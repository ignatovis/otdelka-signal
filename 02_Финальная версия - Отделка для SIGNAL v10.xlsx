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245" yWindow="-21720" windowWidth="38640" windowHeight="21240" tabRatio="909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ВВОД ПОДЗЕМ" sheetId="2" state="visible" r:id="rId2"/>
    <sheet xmlns:r="http://schemas.openxmlformats.org/officeDocument/2006/relationships" name="ВВОД К1" sheetId="3" state="visible" r:id="rId3"/>
    <sheet xmlns:r="http://schemas.openxmlformats.org/officeDocument/2006/relationships" name="ВВОД К2" sheetId="4" state="visible" r:id="rId4"/>
    <sheet xmlns:r="http://schemas.openxmlformats.org/officeDocument/2006/relationships" name="ВВОД К3" sheetId="5" state="visible" r:id="rId5"/>
    <sheet xmlns:r="http://schemas.openxmlformats.org/officeDocument/2006/relationships" name="ПЛАН ЧЕРН ПОДЗЕМ" sheetId="6" state="visible" r:id="rId6"/>
    <sheet xmlns:r="http://schemas.openxmlformats.org/officeDocument/2006/relationships" name="ПЛАН ЧИСТ ПОДЗЕМ" sheetId="7" state="visible" r:id="rId7"/>
    <sheet xmlns:r="http://schemas.openxmlformats.org/officeDocument/2006/relationships" name="ПЛАН ЧЕРН К1" sheetId="8" state="visible" r:id="rId8"/>
    <sheet xmlns:r="http://schemas.openxmlformats.org/officeDocument/2006/relationships" name="ПЛАН ЧИСТ К1" sheetId="9" state="visible" r:id="rId9"/>
    <sheet xmlns:r="http://schemas.openxmlformats.org/officeDocument/2006/relationships" name="ПЛАН ЧЕРН К2" sheetId="10" state="visible" r:id="rId10"/>
    <sheet xmlns:r="http://schemas.openxmlformats.org/officeDocument/2006/relationships" name="ПЛАН ЧИСТ К2" sheetId="11" state="visible" r:id="rId11"/>
    <sheet xmlns:r="http://schemas.openxmlformats.org/officeDocument/2006/relationships" name="ПЛАН ЧЕРН К3" sheetId="12" state="visible" r:id="rId12"/>
    <sheet xmlns:r="http://schemas.openxmlformats.org/officeDocument/2006/relationships" name="ПЛАН ЧИСТ К3" sheetId="13" state="visible" r:id="rId13"/>
    <sheet xmlns:r="http://schemas.openxmlformats.org/officeDocument/2006/relationships" name="ФАКТ ЧЕРН ПОДЗЕМ" sheetId="14" state="visible" r:id="rId14"/>
    <sheet xmlns:r="http://schemas.openxmlformats.org/officeDocument/2006/relationships" name="ФАКТ ЧИСТ ПОДЗЕМ" sheetId="15" state="visible" r:id="rId15"/>
    <sheet xmlns:r="http://schemas.openxmlformats.org/officeDocument/2006/relationships" name="ФАКТ ЧЕРН К1" sheetId="16" state="visible" r:id="rId16"/>
    <sheet xmlns:r="http://schemas.openxmlformats.org/officeDocument/2006/relationships" name="ФАКТ ЧИСТ К1" sheetId="17" state="visible" r:id="rId17"/>
    <sheet xmlns:r="http://schemas.openxmlformats.org/officeDocument/2006/relationships" name="ФАКТ ЧЕРН К2" sheetId="18" state="visible" r:id="rId18"/>
    <sheet xmlns:r="http://schemas.openxmlformats.org/officeDocument/2006/relationships" name="ФАКТ ЧИСТ К2" sheetId="19" state="visible" r:id="rId19"/>
    <sheet xmlns:r="http://schemas.openxmlformats.org/officeDocument/2006/relationships" name="ФАКТ ЧЕРН К3" sheetId="20" state="visible" r:id="rId20"/>
    <sheet xmlns:r="http://schemas.openxmlformats.org/officeDocument/2006/relationships" name="ФАКТ ЧИСТ К3" sheetId="21" state="visible" r:id="rId21"/>
    <sheet xmlns:r="http://schemas.openxmlformats.org/officeDocument/2006/relationships" name="ОТЧЕТ" sheetId="22" state="visible" r:id="rId22"/>
    <sheet xmlns:r="http://schemas.openxmlformats.org/officeDocument/2006/relationships" name="Лист2" sheetId="23" state="visible" r:id="rId23"/>
    <sheet xmlns:r="http://schemas.openxmlformats.org/officeDocument/2006/relationships" name="SIGNAL" sheetId="24" state="visible" r:id="rId24"/>
  </sheets>
  <definedNames>
    <definedName name="К1_Общий_8_2">SIGNAL!$T:$W</definedName>
    <definedName name="К1_Черновая_8_2">SIGNAL!$Z:$AC</definedName>
    <definedName name="К1_Чистовая_8_2">SIGNAL!$AF:$AI</definedName>
    <definedName name="К2_Общий_8_2">SIGNAL!$AL:$AO</definedName>
    <definedName name="К2_Черновая_8_2">SIGNAL!$AR:$AU</definedName>
    <definedName name="К2_Чистовая_8_2">SIGNAL!$AX:$BA</definedName>
    <definedName name="К3_Общий_8_2">SIGNAL!$BD:$BG</definedName>
    <definedName name="К3_Черновая_8_2">SIGNAL!$BJ:$BM</definedName>
    <definedName name="К3_Чистовая_8_2">SIGNAL!$BP:$BS</definedName>
    <definedName name="Общая">SIGNAL!$CN:$CQ</definedName>
    <definedName name="Общий_8_1">SIGNAL!$B:$E</definedName>
    <definedName name="Общий_8_2">SIGNAL!$BV:$BY</definedName>
    <definedName name="Черновая">SIGNAL!$CT:$CW</definedName>
    <definedName name="Черновая_8_1">SIGNAL!$H:$K</definedName>
    <definedName name="Черновая_8_2">SIGNAL!$CB:$CE</definedName>
    <definedName name="Чистовая">SIGNAL!$CZ:$DC</definedName>
    <definedName name="Чистовая_8_1">SIGNAL!$N:$Q</definedName>
    <definedName name="Чистовая_8_2">SIGNAL!$CH:$CK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0.0000"/>
    <numFmt numFmtId="166" formatCode="yyyy\-mm\-dd\ h:mm:ss"/>
  </numFmts>
  <fonts count="11">
    <font>
      <name val="Calibri"/>
      <family val="2"/>
      <color theme="1"/>
      <sz val="11"/>
      <scheme val="minor"/>
    </font>
    <font>
      <name val="Calibri"/>
      <charset val="204"/>
      <family val="2"/>
      <b val="1"/>
      <color rgb="FFFFFFFF"/>
      <sz val="14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i val="1"/>
      <sz val="9"/>
    </font>
    <font>
      <name val="Calibri"/>
      <charset val="204"/>
      <family val="2"/>
      <i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i val="1"/>
      <color rgb="FFFF0000"/>
      <sz val="11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4"/>
    </font>
  </fonts>
  <fills count="18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B4C6E7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C5E0B4"/>
      </patternFill>
    </fill>
    <fill>
      <patternFill patternType="solid">
        <fgColor rgb="FFDAEEF3"/>
      </patternFill>
    </fill>
    <fill>
      <patternFill patternType="solid">
        <fgColor rgb="FFE8E8E8"/>
      </patternFill>
    </fill>
    <fill>
      <patternFill patternType="solid">
        <fgColor rgb="FFFFF2CC"/>
      </patternFill>
    </fill>
    <fill>
      <patternFill patternType="solid">
        <fgColor rgb="FFEAF0FB"/>
      </patternFill>
    </fill>
    <fill>
      <patternFill patternType="solid">
        <fgColor rgb="FFFFC7CE"/>
      </patternFill>
    </fill>
    <fill>
      <patternFill patternType="solid">
        <fgColor rgb="FFD9D2E9"/>
      </patternFill>
    </fill>
    <fill>
      <patternFill patternType="solid">
        <fgColor rgb="FFB4A7D6"/>
      </patternFill>
    </fill>
    <fill>
      <patternFill patternType="solid">
        <fgColor rgb="FFD6DCE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2" fontId="0" fillId="4" borderId="1" pivotButton="0" quotePrefix="0" xfId="0"/>
    <xf numFmtId="164" fontId="0" fillId="5" borderId="1" pivotButton="0" quotePrefix="0" xfId="0"/>
    <xf numFmtId="3" fontId="0" fillId="6" borderId="1" pivotButton="0" quotePrefix="0" xfId="0"/>
    <xf numFmtId="165" fontId="0" fillId="6" borderId="1" pivotButton="0" quotePrefix="0" xfId="0"/>
    <xf numFmtId="165" fontId="0" fillId="5" borderId="1" pivotButton="0" quotePrefix="0" xfId="0"/>
    <xf numFmtId="10" fontId="0" fillId="6" borderId="1" pivotButton="0" quotePrefix="0" xfId="0"/>
    <xf numFmtId="2" fontId="0" fillId="7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165" fontId="2" fillId="5" borderId="1" applyAlignment="1" pivotButton="0" quotePrefix="0" xfId="0">
      <alignment horizontal="center" vertical="center" wrapText="1"/>
    </xf>
    <xf numFmtId="10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2" fillId="0" borderId="1" pivotButton="0" quotePrefix="0" xfId="0"/>
    <xf numFmtId="165" fontId="2" fillId="5" borderId="1" pivotButton="0" quotePrefix="0" xfId="0"/>
    <xf numFmtId="10" fontId="2" fillId="0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0" fontId="0" fillId="0" borderId="0" pivotButton="0" quotePrefix="0" xfId="0"/>
    <xf numFmtId="0" fontId="4" fillId="8" borderId="1" applyAlignment="1" pivotButton="0" quotePrefix="0" xfId="0">
      <alignment horizontal="center" vertical="center" wrapText="1"/>
    </xf>
    <xf numFmtId="3" fontId="0" fillId="5" borderId="1" pivotButton="0" quotePrefix="0" xfId="0"/>
    <xf numFmtId="3" fontId="2" fillId="6" borderId="1" pivotButton="0" quotePrefix="0" xfId="0"/>
    <xf numFmtId="165" fontId="2" fillId="6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0" fillId="10" borderId="1" applyAlignment="1" pivotButton="0" quotePrefix="0" xfId="0">
      <alignment horizontal="left" vertical="center" wrapText="1"/>
    </xf>
    <xf numFmtId="4" fontId="0" fillId="5" borderId="1" pivotButton="0" quotePrefix="0" xfId="0"/>
    <xf numFmtId="0" fontId="0" fillId="6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4" fontId="0" fillId="12" borderId="1" pivotButton="0" quotePrefix="0" xfId="0"/>
    <xf numFmtId="4" fontId="0" fillId="11" borderId="1" pivotButton="0" quotePrefix="0" xfId="0"/>
    <xf numFmtId="4" fontId="0" fillId="0" borderId="1" pivotButton="0" quotePrefix="0" xfId="0"/>
    <xf numFmtId="4" fontId="0" fillId="6" borderId="1" pivotButton="0" quotePrefix="0" xfId="0"/>
    <xf numFmtId="0" fontId="2" fillId="0" borderId="1" applyAlignment="1" pivotButton="0" quotePrefix="0" xfId="0">
      <alignment horizontal="left" vertical="center" wrapText="1"/>
    </xf>
    <xf numFmtId="2" fontId="0" fillId="6" borderId="1" pivotButton="0" quotePrefix="0" xfId="0"/>
    <xf numFmtId="0" fontId="0" fillId="0" borderId="1" applyAlignment="1" pivotButton="0" quotePrefix="0" xfId="0">
      <alignment horizontal="left" vertical="center" wrapText="1"/>
    </xf>
    <xf numFmtId="2" fontId="0" fillId="0" borderId="0" pivotButton="0" quotePrefix="0" xfId="0"/>
    <xf numFmtId="0" fontId="0" fillId="3" borderId="1" pivotButton="0" quotePrefix="0" xfId="0"/>
    <xf numFmtId="0" fontId="4" fillId="14" borderId="1" pivotButton="0" quotePrefix="0" xfId="0"/>
    <xf numFmtId="0" fontId="4" fillId="14" borderId="1" applyAlignment="1" pivotButton="0" quotePrefix="0" xfId="0">
      <alignment horizontal="left" vertical="center" wrapText="1"/>
    </xf>
    <xf numFmtId="0" fontId="0" fillId="14" borderId="1" pivotButton="0" quotePrefix="0" xfId="0"/>
    <xf numFmtId="165" fontId="2" fillId="14" borderId="1" pivotButton="0" quotePrefix="0" xfId="0"/>
    <xf numFmtId="3" fontId="0" fillId="14" borderId="1" pivotButton="0" quotePrefix="0" xfId="0"/>
    <xf numFmtId="10" fontId="2" fillId="14" borderId="1" pivotButton="0" quotePrefix="0" xfId="0"/>
    <xf numFmtId="0" fontId="4" fillId="8" borderId="1" pivotButton="0" quotePrefix="0" xfId="0"/>
    <xf numFmtId="0" fontId="4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165" fontId="2" fillId="8" borderId="1" pivotButton="0" quotePrefix="0" xfId="0"/>
    <xf numFmtId="3" fontId="0" fillId="8" borderId="1" pivotButton="0" quotePrefix="0" xfId="0"/>
    <xf numFmtId="10" fontId="2" fillId="8" borderId="1" pivotButton="0" quotePrefix="0" xfId="0"/>
    <xf numFmtId="0" fontId="4" fillId="15" borderId="1" pivotButton="0" quotePrefix="0" xfId="0"/>
    <xf numFmtId="0" fontId="9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3" fontId="9" fillId="15" borderId="1" pivotButton="0" quotePrefix="0" xfId="0"/>
    <xf numFmtId="10" fontId="10" fillId="15" borderId="1" pivotButton="0" quotePrefix="0" xfId="0"/>
    <xf numFmtId="0" fontId="2" fillId="9" borderId="1" applyAlignment="1" pivotButton="0" quotePrefix="0" xfId="0">
      <alignment horizontal="left" vertical="center" wrapText="1"/>
    </xf>
    <xf numFmtId="164" fontId="2" fillId="9" borderId="1" pivotButton="0" quotePrefix="0" xfId="0"/>
    <xf numFmtId="0" fontId="2" fillId="16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166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7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horizontal="center" vertical="center" wrapText="1"/>
    </xf>
    <xf numFmtId="0" fontId="0" fillId="17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</cellXfs>
  <cellStyles count="1">
    <cellStyle name="Обычный" xfId="0" builtinId="0"/>
  </cellStyles>
  <dxfs count="91"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Шаблон</author>
  </authors>
  <commentList>
    <comment ref="O2" authorId="0" shapeId="0">
      <text>
        <t>Только для 8.2.1 лобби</t>
      </text>
    </comment>
    <comment ref="Q2" authorId="0" shapeId="0">
      <text>
        <t>Введите дату начала работ</t>
      </text>
    </comment>
    <comment ref="R2" authorId="0" shapeId="0">
      <text>
        <t>Введите дату окончания работ</t>
      </text>
    </comment>
    <comment ref="V2" authorId="0" shapeId="0">
      <text>
        <t>По умолчанию = авто.
Можно перезаписать вручную.</t>
      </text>
    </comment>
  </commentList>
</comments>
</file>

<file path=xl/comments/comment2.xml><?xml version="1.0" encoding="utf-8"?>
<comments xmlns="http://schemas.openxmlformats.org/spreadsheetml/2006/main">
  <authors>
    <author>Шаблон</author>
    <author>SIGNAL</author>
  </authors>
  <commentList>
    <comment ref="A2" authorId="0" shapeId="0">
      <text>
        <t>Замените на =TODAY()</t>
      </text>
    </comment>
    <comment ref="B2" authorId="1" shapeId="0">
      <text>
        <t>ИСТИНА = карточка активна.
ЛОЖЬ = скрыта.</t>
      </text>
    </comment>
    <comment ref="B7" authorId="1" shapeId="0">
      <text>
        <t>ИСТИНА = гистограмма.
ЛОЖЬ = линейный график.</t>
      </text>
    </comment>
    <comment ref="B8" authorId="1" shapeId="0">
      <text>
        <t>ИСТИНА = по месяцам.
ЛОЖЬ = понедельно.</t>
      </text>
    </comment>
    <comment ref="B12" authorId="1" shapeId="0">
      <text>
        <t>ИСТИНА = фильтр по дате.
ЛОЖЬ = все данные.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2F5496"/>
    <outlinePr summaryBelow="1" summaryRight="1"/>
    <pageSetUpPr/>
  </sheetPr>
  <dimension ref="A1:W35"/>
  <sheetViews>
    <sheetView tabSelected="1" workbookViewId="0">
      <pane ySplit="2" topLeftCell="A3" activePane="bottomLeft" state="frozen"/>
      <selection pane="bottomLeft" activeCell="N26" sqref="N26"/>
    </sheetView>
  </sheetViews>
  <sheetFormatPr baseColWidth="8" defaultRowHeight="15"/>
  <cols>
    <col width="8" customWidth="1" style="74" min="1" max="1"/>
    <col width="16.140625" customWidth="1" style="74" min="2" max="2"/>
    <col width="48" customWidth="1" style="74" min="3" max="3"/>
    <col width="14" customWidth="1" style="74" min="4" max="4"/>
    <col width="13" customWidth="1" style="74" min="5" max="16"/>
    <col width="14" customWidth="1" style="74" min="17" max="18"/>
    <col width="12" customWidth="1" style="74" min="19" max="19"/>
    <col width="14" customWidth="1" style="74" min="20" max="20"/>
    <col width="16" customWidth="1" style="74" min="21" max="21"/>
    <col width="13" customWidth="1" style="74" min="22" max="22"/>
    <col width="12" customWidth="1" style="74" min="23" max="23"/>
  </cols>
  <sheetData>
    <row r="1">
      <c r="A1" s="73" t="inlineStr">
        <is>
          <t>СПРАВОЧНИК КАТЕГОРИЙ ОТДЕЛКИ</t>
        </is>
      </c>
    </row>
    <row r="2" ht="29.1" customHeight="1" s="74">
      <c r="A2" s="81" t="inlineStr">
        <is>
          <t>Код</t>
        </is>
      </c>
      <c r="B2" s="81" t="inlineStr">
        <is>
          <t>Часть</t>
        </is>
      </c>
      <c r="C2" s="81" t="inlineStr">
        <is>
          <t>Название</t>
        </is>
      </c>
      <c r="D2" s="81" t="inlineStr">
        <is>
          <t>План м²</t>
        </is>
      </c>
      <c r="E2" s="81" t="inlineStr">
        <is>
          <t>Вес черн.</t>
        </is>
      </c>
      <c r="F2" s="81" t="inlineStr">
        <is>
          <t>Вес чист.</t>
        </is>
      </c>
      <c r="G2" s="81" t="inlineStr">
        <is>
          <t>∑ весов</t>
        </is>
      </c>
      <c r="H2" s="81" t="inlineStr">
        <is>
          <t>Черн:Пол</t>
        </is>
      </c>
      <c r="I2" s="81" t="inlineStr">
        <is>
          <t>Черн:Стены</t>
        </is>
      </c>
      <c r="J2" s="81" t="inlineStr">
        <is>
          <t>Черн:Потолок</t>
        </is>
      </c>
      <c r="K2" s="81" t="inlineStr">
        <is>
          <t>∑ черн.</t>
        </is>
      </c>
      <c r="L2" s="81" t="inlineStr">
        <is>
          <t>Чист:Пол</t>
        </is>
      </c>
      <c r="M2" s="81" t="inlineStr">
        <is>
          <t>Чист:Стены</t>
        </is>
      </c>
      <c r="N2" s="81" t="inlineStr">
        <is>
          <t>Чист:Потолок</t>
        </is>
      </c>
      <c r="O2" s="81" t="inlineStr">
        <is>
          <t>Чист:Запол.</t>
        </is>
      </c>
      <c r="P2" s="81" t="inlineStr">
        <is>
          <t>∑ чист.</t>
        </is>
      </c>
      <c r="Q2" s="81" t="inlineStr">
        <is>
          <t>Начало</t>
        </is>
      </c>
      <c r="R2" s="81" t="inlineStr">
        <is>
          <t>Окончание</t>
        </is>
      </c>
      <c r="S2" s="81" t="inlineStr">
        <is>
          <t>Длит.(дни)</t>
        </is>
      </c>
      <c r="T2" s="81" t="inlineStr">
        <is>
          <t>Труд-proxy</t>
        </is>
      </c>
      <c r="U2" s="81" t="inlineStr">
        <is>
          <t>Вес ур.3 (авто)</t>
        </is>
      </c>
      <c r="V2" s="81" t="inlineStr">
        <is>
          <t>Вес ур.3</t>
        </is>
      </c>
      <c r="W2" s="81" t="inlineStr">
        <is>
          <t>Глоб. вес</t>
        </is>
      </c>
    </row>
    <row r="3">
      <c r="A3" s="68" t="inlineStr">
        <is>
          <t>8.1.1</t>
        </is>
      </c>
      <c r="B3" s="68" t="inlineStr">
        <is>
          <t>Подзем.</t>
        </is>
      </c>
      <c r="C3" s="68" t="inlineStr">
        <is>
          <t>Отделка паркинг и рампы</t>
        </is>
      </c>
      <c r="D3" s="68" t="n">
        <v>0</v>
      </c>
      <c r="E3" s="68" t="n">
        <v>0.45</v>
      </c>
      <c r="F3" s="68" t="n">
        <v>0.55</v>
      </c>
      <c r="G3" s="1">
        <f>E3+F3</f>
        <v/>
      </c>
      <c r="H3" s="68" t="n">
        <v>0.38</v>
      </c>
      <c r="I3" s="68" t="n">
        <v>0.41</v>
      </c>
      <c r="J3" s="68" t="n">
        <v>0.21</v>
      </c>
      <c r="K3" s="1">
        <f>SUM(H3:J3)</f>
        <v/>
      </c>
      <c r="L3" s="85" t="n">
        <v>0.46</v>
      </c>
      <c r="M3" s="85" t="n">
        <v>0.3</v>
      </c>
      <c r="N3" s="85" t="n">
        <v>0.12</v>
      </c>
      <c r="O3" s="68" t="n">
        <v>0.12</v>
      </c>
      <c r="P3" s="1">
        <f>SUM(L3:O3)</f>
        <v/>
      </c>
      <c r="Q3" s="2" t="n"/>
      <c r="R3" s="2" t="n"/>
      <c r="S3" s="3">
        <f>IF(OR(Q3="",R3=""),0,R3-Q3)</f>
        <v/>
      </c>
      <c r="T3" s="3">
        <f>S3*D3</f>
        <v/>
      </c>
      <c r="U3" s="4">
        <f>IFERROR(T3/SUMIF($B$3:$B$15,$B3,$T$3:$T$15),0)</f>
        <v/>
      </c>
      <c r="V3" s="5">
        <f>U3</f>
        <v/>
      </c>
      <c r="W3" s="6">
        <f>V3*IF($B3="Подзем.",$V$18,$V$19)</f>
        <v/>
      </c>
    </row>
    <row r="4">
      <c r="A4" s="68" t="inlineStr">
        <is>
          <t>8.1.2</t>
        </is>
      </c>
      <c r="B4" s="68" t="inlineStr">
        <is>
          <t>Подзем.</t>
        </is>
      </c>
      <c r="C4" s="68" t="inlineStr">
        <is>
          <t>Отделка эвакуац. лестн. клетки подзем.</t>
        </is>
      </c>
      <c r="D4" s="68" t="n">
        <v>0</v>
      </c>
      <c r="E4" s="68" t="n">
        <v>0.33</v>
      </c>
      <c r="F4" s="68" t="n">
        <v>0.67</v>
      </c>
      <c r="G4" s="1">
        <f>E4+F4</f>
        <v/>
      </c>
      <c r="H4" s="68" t="n">
        <v>0.2</v>
      </c>
      <c r="I4" s="68" t="n">
        <v>0.61</v>
      </c>
      <c r="J4" s="68" t="n">
        <v>0.19</v>
      </c>
      <c r="K4" s="1">
        <f>SUM(H4:J4)</f>
        <v/>
      </c>
      <c r="L4" s="85" t="n">
        <v>0.32</v>
      </c>
      <c r="M4" s="85" t="n">
        <v>0.29</v>
      </c>
      <c r="N4" s="85" t="n">
        <v>0.23</v>
      </c>
      <c r="O4" s="68" t="n">
        <v>0.16</v>
      </c>
      <c r="P4" s="1">
        <f>SUM(L4:O4)</f>
        <v/>
      </c>
      <c r="Q4" s="2" t="n"/>
      <c r="R4" s="2" t="n"/>
      <c r="S4" s="3">
        <f>IF(OR(Q4="",R4=""),0,R4-Q4)</f>
        <v/>
      </c>
      <c r="T4" s="3">
        <f>S4*D4</f>
        <v/>
      </c>
      <c r="U4" s="4">
        <f>IFERROR(T4/SUMIF($B$3:$B$15,$B4,$T$3:$T$15),0)</f>
        <v/>
      </c>
      <c r="V4" s="5">
        <f>U4</f>
        <v/>
      </c>
      <c r="W4" s="6">
        <f>V4*IF($B4="Подзем.",$V$18,$V$19)</f>
        <v/>
      </c>
    </row>
    <row r="5">
      <c r="A5" s="68" t="inlineStr">
        <is>
          <t>8.1.3</t>
        </is>
      </c>
      <c r="B5" s="68" t="inlineStr">
        <is>
          <t>Подзем.</t>
        </is>
      </c>
      <c r="C5" s="68" t="inlineStr">
        <is>
          <t>Лифт. холлы, тамбур-шлюзы подзем.</t>
        </is>
      </c>
      <c r="D5" s="68" t="n">
        <v>0</v>
      </c>
      <c r="E5" s="68" t="n">
        <v>0.4</v>
      </c>
      <c r="F5" s="68" t="n">
        <v>0.6</v>
      </c>
      <c r="G5" s="1">
        <f>E5+F5</f>
        <v/>
      </c>
      <c r="H5" s="68" t="n">
        <v>0.4</v>
      </c>
      <c r="I5" s="68" t="n">
        <v>0.3</v>
      </c>
      <c r="J5" s="68" t="n">
        <v>0.3</v>
      </c>
      <c r="K5" s="1">
        <f>SUM(H5:J5)</f>
        <v/>
      </c>
      <c r="L5" s="68" t="n">
        <v>0.2</v>
      </c>
      <c r="M5" s="68" t="n">
        <v>0.6</v>
      </c>
      <c r="N5" s="68" t="n">
        <v>0.2</v>
      </c>
      <c r="O5" s="68" t="n">
        <v>0</v>
      </c>
      <c r="P5" s="1">
        <f>SUM(L5:O5)</f>
        <v/>
      </c>
      <c r="Q5" s="2" t="n"/>
      <c r="R5" s="2" t="n"/>
      <c r="S5" s="3">
        <f>IF(OR(Q5="",R5=""),0,R5-Q5)</f>
        <v/>
      </c>
      <c r="T5" s="3">
        <f>S5*D5</f>
        <v/>
      </c>
      <c r="U5" s="4">
        <f>IFERROR(T5/SUMIF($B$3:$B$15,$B5,$T$3:$T$15),0)</f>
        <v/>
      </c>
      <c r="V5" s="5">
        <f>U5</f>
        <v/>
      </c>
      <c r="W5" s="6">
        <f>V5*IF($B5="Подзем.",$V$18,$V$19)</f>
        <v/>
      </c>
    </row>
    <row r="6">
      <c r="A6" s="68" t="inlineStr">
        <is>
          <t>8.1.4</t>
        </is>
      </c>
      <c r="B6" s="68" t="inlineStr">
        <is>
          <t>Подзем.</t>
        </is>
      </c>
      <c r="C6" s="68" t="inlineStr">
        <is>
          <t>Технич. помещения подзем.</t>
        </is>
      </c>
      <c r="D6" s="68" t="n">
        <v>0</v>
      </c>
      <c r="E6" s="68" t="n">
        <v>0.32</v>
      </c>
      <c r="F6" s="68" t="n">
        <v>0.68</v>
      </c>
      <c r="G6" s="1">
        <f>E6+F6</f>
        <v/>
      </c>
      <c r="H6" s="68" t="n">
        <v>0.3</v>
      </c>
      <c r="I6" s="68" t="n">
        <v>0.52</v>
      </c>
      <c r="J6" s="68" t="n">
        <v>0.18</v>
      </c>
      <c r="K6" s="1">
        <f>SUM(H6:J6)</f>
        <v/>
      </c>
      <c r="L6" s="85" t="n">
        <v>0.33</v>
      </c>
      <c r="M6" s="85" t="n">
        <v>0.38</v>
      </c>
      <c r="N6" s="85" t="n">
        <v>0.13</v>
      </c>
      <c r="O6" s="68" t="n">
        <v>0.16</v>
      </c>
      <c r="P6" s="1">
        <f>SUM(L6:O6)</f>
        <v/>
      </c>
      <c r="Q6" s="2" t="n"/>
      <c r="R6" s="2" t="n"/>
      <c r="S6" s="3">
        <f>IF(OR(Q6="",R6=""),0,R6-Q6)</f>
        <v/>
      </c>
      <c r="T6" s="3">
        <f>S6*D6</f>
        <v/>
      </c>
      <c r="U6" s="4">
        <f>IFERROR(T6/SUMIF($B$3:$B$15,$B6,$T$3:$T$15),0)</f>
        <v/>
      </c>
      <c r="V6" s="5">
        <f>U6</f>
        <v/>
      </c>
      <c r="W6" s="6">
        <f>V6*IF($B6="Подзем.",$V$18,$V$19)</f>
        <v/>
      </c>
    </row>
    <row r="7">
      <c r="A7" s="68" t="inlineStr">
        <is>
          <t>8.1.5</t>
        </is>
      </c>
      <c r="B7" s="68" t="inlineStr">
        <is>
          <t>Подзем.</t>
        </is>
      </c>
      <c r="C7" s="68" t="inlineStr">
        <is>
          <t>Прочие помещения подзем.</t>
        </is>
      </c>
      <c r="D7" s="68" t="n">
        <v>0</v>
      </c>
      <c r="E7" s="68" t="n">
        <v>0.4</v>
      </c>
      <c r="F7" s="68" t="n">
        <v>0.6</v>
      </c>
      <c r="G7" s="1">
        <f>E7+F7</f>
        <v/>
      </c>
      <c r="H7" s="68" t="n">
        <v>0.31</v>
      </c>
      <c r="I7" s="68" t="n">
        <v>0.49</v>
      </c>
      <c r="J7" s="68" t="n">
        <v>0.2</v>
      </c>
      <c r="K7" s="1">
        <f>SUM(H7:J7)</f>
        <v/>
      </c>
      <c r="L7" s="85" t="n">
        <v>0.35</v>
      </c>
      <c r="M7" s="85" t="n">
        <v>0.42</v>
      </c>
      <c r="N7" s="85" t="n">
        <v>0.11</v>
      </c>
      <c r="O7" s="68" t="n">
        <v>0.12</v>
      </c>
      <c r="P7" s="1">
        <f>SUM(L7:O7)</f>
        <v/>
      </c>
      <c r="Q7" s="2" t="n"/>
      <c r="R7" s="2" t="n"/>
      <c r="S7" s="3">
        <f>IF(OR(Q7="",R7=""),0,R7-Q7)</f>
        <v/>
      </c>
      <c r="T7" s="3">
        <f>S7*D7</f>
        <v/>
      </c>
      <c r="U7" s="4">
        <f>IFERROR(T7/SUMIF($B$3:$B$15,$B7,$T$3:$T$15),0)</f>
        <v/>
      </c>
      <c r="V7" s="5">
        <f>U7</f>
        <v/>
      </c>
      <c r="W7" s="6">
        <f>V7*IF($B7="Подзем.",$V$18,$V$19)</f>
        <v/>
      </c>
    </row>
    <row r="8">
      <c r="A8" s="68" t="inlineStr">
        <is>
          <t>8.1.6</t>
        </is>
      </c>
      <c r="B8" s="68" t="inlineStr">
        <is>
          <t>Подзем.</t>
        </is>
      </c>
      <c r="C8" s="68" t="inlineStr">
        <is>
          <t>Коммерч. помещения подзем.</t>
        </is>
      </c>
      <c r="D8" s="68" t="n">
        <v>0</v>
      </c>
      <c r="E8" s="68" t="n">
        <v>0.5</v>
      </c>
      <c r="F8" s="68" t="n">
        <v>0.5</v>
      </c>
      <c r="G8" s="1">
        <f>E8+F8</f>
        <v/>
      </c>
      <c r="H8" s="68" t="n">
        <v>0.3</v>
      </c>
      <c r="I8" s="68" t="n">
        <v>0.6899999999999999</v>
      </c>
      <c r="J8" s="68" t="n">
        <v>0.01</v>
      </c>
      <c r="K8" s="1">
        <f>SUM(H8:J8)</f>
        <v/>
      </c>
      <c r="L8" s="68" t="n">
        <v>0.2</v>
      </c>
      <c r="M8" s="68" t="n">
        <v>0.6</v>
      </c>
      <c r="N8" s="68" t="n">
        <v>0.2</v>
      </c>
      <c r="O8" s="68" t="n">
        <v>0</v>
      </c>
      <c r="P8" s="1">
        <f>SUM(L8:O8)</f>
        <v/>
      </c>
      <c r="Q8" s="2" t="n"/>
      <c r="R8" s="2" t="n"/>
      <c r="S8" s="3">
        <f>IF(OR(Q8="",R8=""),0,R8-Q8)</f>
        <v/>
      </c>
      <c r="T8" s="3">
        <f>S8*D8</f>
        <v/>
      </c>
      <c r="U8" s="4">
        <f>IFERROR(T8/SUMIF($B$3:$B$15,$B8,$T$3:$T$15),0)</f>
        <v/>
      </c>
      <c r="V8" s="5">
        <f>U8</f>
        <v/>
      </c>
      <c r="W8" s="6">
        <f>V8*IF($B8="Подзем.",$V$18,$V$19)</f>
        <v/>
      </c>
    </row>
    <row r="9">
      <c r="A9" s="71" t="inlineStr">
        <is>
          <t>8.2.1</t>
        </is>
      </c>
      <c r="B9" s="71" t="inlineStr">
        <is>
          <t>Надзем.</t>
        </is>
      </c>
      <c r="C9" s="71" t="inlineStr">
        <is>
          <t>Отделка лобби/гранд-лобби</t>
        </is>
      </c>
      <c r="D9" s="71">
        <f>B28+B29+B30</f>
        <v/>
      </c>
      <c r="E9" s="71" t="n">
        <v>0.4</v>
      </c>
      <c r="F9" s="71" t="n">
        <v>0.6</v>
      </c>
      <c r="G9" s="7">
        <f>E9+F9</f>
        <v/>
      </c>
      <c r="H9" s="71" t="n">
        <v>0.2</v>
      </c>
      <c r="I9" s="71" t="n">
        <v>0.63</v>
      </c>
      <c r="J9" s="71" t="n">
        <v>0.17</v>
      </c>
      <c r="K9" s="7">
        <f>SUM(H9:J9)</f>
        <v/>
      </c>
      <c r="L9" s="71" t="n">
        <v>0.14</v>
      </c>
      <c r="M9" s="71" t="n">
        <v>0.41</v>
      </c>
      <c r="N9" s="71" t="n">
        <v>0.36</v>
      </c>
      <c r="O9" s="71" t="n">
        <v>0.09</v>
      </c>
      <c r="P9" s="7">
        <f>SUM(L9:O9)</f>
        <v/>
      </c>
      <c r="Q9" s="2" t="n"/>
      <c r="R9" s="2" t="n"/>
      <c r="S9" s="3">
        <f>IF(OR(Q9="",R9=""),0,R9-Q9)</f>
        <v/>
      </c>
      <c r="T9" s="3">
        <f>S9*D9</f>
        <v/>
      </c>
      <c r="U9" s="4">
        <f>IFERROR(T9/SUMIF($B$3:$B$15,$B9,$T$3:$T$15),0)</f>
        <v/>
      </c>
      <c r="V9" s="5">
        <f>U9</f>
        <v/>
      </c>
      <c r="W9" s="6">
        <f>V9*IF($B9="Подзем.",$V$18,$V$19)</f>
        <v/>
      </c>
    </row>
    <row r="10">
      <c r="A10" s="71" t="inlineStr">
        <is>
          <t>8.2.2</t>
        </is>
      </c>
      <c r="B10" s="71" t="inlineStr">
        <is>
          <t>Надзем.</t>
        </is>
      </c>
      <c r="C10" s="71" t="inlineStr">
        <is>
          <t>Отделка эвакуац. лестн. клетки надзем.</t>
        </is>
      </c>
      <c r="D10" s="71">
        <f>C28+C29+C30</f>
        <v/>
      </c>
      <c r="E10" s="71" t="n">
        <v>0.33</v>
      </c>
      <c r="F10" s="71" t="n">
        <v>0.67</v>
      </c>
      <c r="G10" s="7">
        <f>E10+F10</f>
        <v/>
      </c>
      <c r="H10" s="71" t="n">
        <v>0.2</v>
      </c>
      <c r="I10" s="71" t="n">
        <v>0.61</v>
      </c>
      <c r="J10" s="71" t="n">
        <v>0.19</v>
      </c>
      <c r="K10" s="7">
        <f>SUM(H10:J10)</f>
        <v/>
      </c>
      <c r="L10" s="85" t="n">
        <v>0.32</v>
      </c>
      <c r="M10" s="85" t="n">
        <v>0.29</v>
      </c>
      <c r="N10" s="85" t="n">
        <v>0.23</v>
      </c>
      <c r="O10" s="71" t="n">
        <v>0.16</v>
      </c>
      <c r="P10" s="7">
        <f>SUM(L10:O10)</f>
        <v/>
      </c>
      <c r="Q10" s="2" t="n"/>
      <c r="R10" s="2" t="n"/>
      <c r="S10" s="3">
        <f>IF(OR(Q10="",R10=""),0,R10-Q10)</f>
        <v/>
      </c>
      <c r="T10" s="3">
        <f>S10*D10</f>
        <v/>
      </c>
      <c r="U10" s="4">
        <f>IFERROR(T10/SUMIF($B$3:$B$15,$B10,$T$3:$T$15),0)</f>
        <v/>
      </c>
      <c r="V10" s="5">
        <f>U10</f>
        <v/>
      </c>
      <c r="W10" s="6">
        <f>V10*IF($B10="Подзем.",$V$18,$V$19)</f>
        <v/>
      </c>
    </row>
    <row r="11">
      <c r="A11" s="71" t="inlineStr">
        <is>
          <t>8.2.3</t>
        </is>
      </c>
      <c r="B11" s="71" t="inlineStr">
        <is>
          <t>Надзем.</t>
        </is>
      </c>
      <c r="C11" s="71" t="inlineStr">
        <is>
          <t>Лифт. холлы, тамбур-шлюзы надзем.</t>
        </is>
      </c>
      <c r="D11" s="71">
        <f>D28+D29+D30</f>
        <v/>
      </c>
      <c r="E11" s="71" t="n">
        <v>0.4</v>
      </c>
      <c r="F11" s="71" t="n">
        <v>0.6</v>
      </c>
      <c r="G11" s="7">
        <f>E11+F11</f>
        <v/>
      </c>
      <c r="H11" s="71" t="n">
        <v>0.4</v>
      </c>
      <c r="I11" s="71" t="n">
        <v>0.3</v>
      </c>
      <c r="J11" s="71" t="n">
        <v>0.3</v>
      </c>
      <c r="K11" s="7">
        <f>SUM(H11:J11)</f>
        <v/>
      </c>
      <c r="L11" s="71" t="n">
        <v>0.2</v>
      </c>
      <c r="M11" s="71" t="n">
        <v>0.6</v>
      </c>
      <c r="N11" s="71" t="n">
        <v>0.2</v>
      </c>
      <c r="O11" s="71" t="n">
        <v>0</v>
      </c>
      <c r="P11" s="7">
        <f>SUM(L11:O11)</f>
        <v/>
      </c>
      <c r="Q11" s="2" t="n"/>
      <c r="R11" s="2" t="n"/>
      <c r="S11" s="3">
        <f>IF(OR(Q11="",R11=""),0,R11-Q11)</f>
        <v/>
      </c>
      <c r="T11" s="3">
        <f>S11*D11</f>
        <v/>
      </c>
      <c r="U11" s="4">
        <f>IFERROR(T11/SUMIF($B$3:$B$15,$B11,$T$3:$T$15),0)</f>
        <v/>
      </c>
      <c r="V11" s="5">
        <f>U11</f>
        <v/>
      </c>
      <c r="W11" s="6">
        <f>V11*IF($B11="Подзем.",$V$18,$V$19)</f>
        <v/>
      </c>
    </row>
    <row r="12">
      <c r="A12" s="71" t="inlineStr">
        <is>
          <t>8.2.4</t>
        </is>
      </c>
      <c r="B12" s="71" t="inlineStr">
        <is>
          <t>Надзем.</t>
        </is>
      </c>
      <c r="C12" s="71" t="inlineStr">
        <is>
          <t>Технич. помещения надзем.</t>
        </is>
      </c>
      <c r="D12" s="71">
        <f>E28+E29+E30</f>
        <v/>
      </c>
      <c r="E12" s="71" t="n">
        <v>0.32</v>
      </c>
      <c r="F12" s="71" t="n">
        <v>0.68</v>
      </c>
      <c r="G12" s="7">
        <f>E12+F12</f>
        <v/>
      </c>
      <c r="H12" s="71" t="n">
        <v>0.3</v>
      </c>
      <c r="I12" s="71" t="n">
        <v>0.52</v>
      </c>
      <c r="J12" s="71" t="n">
        <v>0.18</v>
      </c>
      <c r="K12" s="7">
        <f>SUM(H12:J12)</f>
        <v/>
      </c>
      <c r="L12" s="85" t="n">
        <v>0.33</v>
      </c>
      <c r="M12" s="85" t="n">
        <v>0.38</v>
      </c>
      <c r="N12" s="85" t="n">
        <v>0.13</v>
      </c>
      <c r="O12" s="71" t="n">
        <v>0.16</v>
      </c>
      <c r="P12" s="7">
        <f>SUM(L12:O12)</f>
        <v/>
      </c>
      <c r="Q12" s="2" t="n"/>
      <c r="R12" s="2" t="n"/>
      <c r="S12" s="3">
        <f>IF(OR(Q12="",R12=""),0,R12-Q12)</f>
        <v/>
      </c>
      <c r="T12" s="3">
        <f>S12*D12</f>
        <v/>
      </c>
      <c r="U12" s="4">
        <f>IFERROR(T12/SUMIF($B$3:$B$15,$B12,$T$3:$T$15),0)</f>
        <v/>
      </c>
      <c r="V12" s="5">
        <f>U12</f>
        <v/>
      </c>
      <c r="W12" s="6">
        <f>V12*IF($B12="Подзем.",$V$18,$V$19)</f>
        <v/>
      </c>
    </row>
    <row r="13">
      <c r="A13" s="71" t="inlineStr">
        <is>
          <t>8.2.5</t>
        </is>
      </c>
      <c r="B13" s="71" t="inlineStr">
        <is>
          <t>Надзем.</t>
        </is>
      </c>
      <c r="C13" s="71" t="inlineStr">
        <is>
          <t>Прочие помещения надзем.</t>
        </is>
      </c>
      <c r="D13" s="71">
        <f>F28+F29+F30</f>
        <v/>
      </c>
      <c r="E13" s="71" t="n">
        <v>0.4</v>
      </c>
      <c r="F13" s="71" t="n">
        <v>0.6</v>
      </c>
      <c r="G13" s="7">
        <f>E13+F13</f>
        <v/>
      </c>
      <c r="H13" s="71" t="n">
        <v>0.31</v>
      </c>
      <c r="I13" s="71" t="n">
        <v>0.49</v>
      </c>
      <c r="J13" s="71" t="n">
        <v>0.2</v>
      </c>
      <c r="K13" s="7">
        <f>SUM(H13:J13)</f>
        <v/>
      </c>
      <c r="L13" s="85" t="n">
        <v>0.35</v>
      </c>
      <c r="M13" s="85" t="n">
        <v>0.42</v>
      </c>
      <c r="N13" s="85" t="n">
        <v>0.11</v>
      </c>
      <c r="O13" s="71" t="n">
        <v>0.12</v>
      </c>
      <c r="P13" s="7">
        <f>SUM(L13:O13)</f>
        <v/>
      </c>
      <c r="Q13" s="2" t="n"/>
      <c r="R13" s="2" t="n"/>
      <c r="S13" s="3">
        <f>IF(OR(Q13="",R13=""),0,R13-Q13)</f>
        <v/>
      </c>
      <c r="T13" s="3">
        <f>S13*D13</f>
        <v/>
      </c>
      <c r="U13" s="4">
        <f>IFERROR(T13/SUMIF($B$3:$B$15,$B13,$T$3:$T$15),0)</f>
        <v/>
      </c>
      <c r="V13" s="5">
        <f>U13</f>
        <v/>
      </c>
      <c r="W13" s="6">
        <f>V13*IF($B13="Подзем.",$V$18,$V$19)</f>
        <v/>
      </c>
    </row>
    <row r="14">
      <c r="A14" s="71" t="inlineStr">
        <is>
          <t>8.2.6</t>
        </is>
      </c>
      <c r="B14" s="71" t="inlineStr">
        <is>
          <t>Надзем.</t>
        </is>
      </c>
      <c r="C14" s="71" t="inlineStr">
        <is>
          <t>Коммерч. помещения надзем.</t>
        </is>
      </c>
      <c r="D14" s="71">
        <f>G28+G29+G30</f>
        <v/>
      </c>
      <c r="E14" s="71" t="n">
        <v>0.5</v>
      </c>
      <c r="F14" s="71" t="n">
        <v>0.5</v>
      </c>
      <c r="G14" s="7">
        <f>E14+F14</f>
        <v/>
      </c>
      <c r="H14" s="71" t="n">
        <v>0.3</v>
      </c>
      <c r="I14" s="71" t="n">
        <v>0.6899999999999999</v>
      </c>
      <c r="J14" s="71" t="n">
        <v>0.01</v>
      </c>
      <c r="K14" s="7">
        <f>SUM(H14:J14)</f>
        <v/>
      </c>
      <c r="L14" s="71" t="n">
        <v>0.2</v>
      </c>
      <c r="M14" s="71" t="n">
        <v>0.6</v>
      </c>
      <c r="N14" s="71" t="n">
        <v>0.2</v>
      </c>
      <c r="O14" s="71" t="n">
        <v>0</v>
      </c>
      <c r="P14" s="7">
        <f>SUM(L14:O14)</f>
        <v/>
      </c>
      <c r="Q14" s="2" t="n"/>
      <c r="R14" s="2" t="n"/>
      <c r="S14" s="3">
        <f>IF(OR(Q14="",R14=""),0,R14-Q14)</f>
        <v/>
      </c>
      <c r="T14" s="3">
        <f>S14*D14</f>
        <v/>
      </c>
      <c r="U14" s="4">
        <f>IFERROR(T14/SUMIF($B$3:$B$15,$B14,$T$3:$T$15),0)</f>
        <v/>
      </c>
      <c r="V14" s="5">
        <f>U14</f>
        <v/>
      </c>
      <c r="W14" s="6">
        <f>V14*IF($B14="Подзем.",$V$18,$V$19)</f>
        <v/>
      </c>
    </row>
    <row r="15">
      <c r="A15" s="71" t="inlineStr">
        <is>
          <t>8.2.7</t>
        </is>
      </c>
      <c r="B15" s="71" t="inlineStr">
        <is>
          <t>Надзем.</t>
        </is>
      </c>
      <c r="C15" s="71" t="inlineStr">
        <is>
          <t>Паркинг и рампы надзем.</t>
        </is>
      </c>
      <c r="D15" s="71">
        <f>H28+H29+H30</f>
        <v/>
      </c>
      <c r="E15" s="71" t="n">
        <v>0.5</v>
      </c>
      <c r="F15" s="71" t="n">
        <v>0.5</v>
      </c>
      <c r="G15" s="7">
        <f>E15+F15</f>
        <v/>
      </c>
      <c r="H15" s="71" t="n">
        <v>0.3</v>
      </c>
      <c r="I15" s="71" t="n">
        <v>0.6899999999999999</v>
      </c>
      <c r="J15" s="71" t="n">
        <v>0.01</v>
      </c>
      <c r="K15" s="7">
        <f>SUM(H15:J15)</f>
        <v/>
      </c>
      <c r="L15" s="71" t="n">
        <v>0.2</v>
      </c>
      <c r="M15" s="71" t="n">
        <v>0.6</v>
      </c>
      <c r="N15" s="71" t="n">
        <v>0.2</v>
      </c>
      <c r="O15" s="71" t="n">
        <v>0</v>
      </c>
      <c r="P15" s="7">
        <f>SUM(L15:O15)</f>
        <v/>
      </c>
      <c r="Q15" s="2" t="n"/>
      <c r="R15" s="2" t="n"/>
      <c r="S15" s="3">
        <f>IF(OR(Q15="",R15=""),0,R15-Q15)</f>
        <v/>
      </c>
      <c r="T15" s="3">
        <f>S15*D15</f>
        <v/>
      </c>
      <c r="U15" s="4">
        <f>IFERROR(T15/SUMIF($B$3:$B$15,$B15,$T$3:$T$15),0)</f>
        <v/>
      </c>
      <c r="V15" s="5">
        <f>U15</f>
        <v/>
      </c>
      <c r="W15" s="6">
        <f>V15*IF($B15="Подзем.",$V$18,$V$19)</f>
        <v/>
      </c>
    </row>
    <row r="17">
      <c r="A17" s="75" t="inlineStr">
        <is>
          <t>АГРЕГАЦИЯ ПО УРОВНЯМ (ур.3 → ур.2 → ур.1)</t>
        </is>
      </c>
    </row>
    <row r="18">
      <c r="A18" s="8" t="inlineStr">
        <is>
          <t>8.1</t>
        </is>
      </c>
      <c r="B18" s="9" t="n"/>
      <c r="C18" s="10" t="inlineStr">
        <is>
          <t>Подземная часть</t>
        </is>
      </c>
      <c r="D18" s="11">
        <f>SUM(D3:D8)</f>
        <v/>
      </c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12">
        <f>MIN(Q3:Q8)</f>
        <v/>
      </c>
      <c r="R18" s="12">
        <f>MAX(R3:R8)</f>
        <v/>
      </c>
      <c r="S18" s="11">
        <f>IF(OR(Q18=0,R18=0),0,R18-Q18)</f>
        <v/>
      </c>
      <c r="T18" s="11">
        <f>SUM(T3:T8)</f>
        <v/>
      </c>
      <c r="U18" s="13">
        <f>IFERROR(T18/(T18+T19),0)</f>
        <v/>
      </c>
      <c r="V18" s="14">
        <f>U18</f>
        <v/>
      </c>
      <c r="W18" s="15">
        <f>V18</f>
        <v/>
      </c>
    </row>
    <row r="19">
      <c r="A19" s="8" t="inlineStr">
        <is>
          <t>8.2</t>
        </is>
      </c>
      <c r="B19" s="9" t="n"/>
      <c r="C19" s="16" t="inlineStr">
        <is>
          <t>Надземная часть</t>
        </is>
      </c>
      <c r="D19" s="17">
        <f>SUM(D9:D15)</f>
        <v/>
      </c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18">
        <f>MIN(Q9:Q15)</f>
        <v/>
      </c>
      <c r="R19" s="18">
        <f>MAX(R9:R15)</f>
        <v/>
      </c>
      <c r="S19" s="19">
        <f>IF(OR(Q19=0,R19=0),0,R19-Q19)</f>
        <v/>
      </c>
      <c r="T19" s="17">
        <f>SUM(T9:T15)</f>
        <v/>
      </c>
      <c r="U19" s="20">
        <f>IFERROR(T19/(T18+T19),0)</f>
        <v/>
      </c>
      <c r="V19" s="21">
        <f>U19</f>
        <v/>
      </c>
      <c r="W19" s="22">
        <f>V19</f>
        <v/>
      </c>
    </row>
    <row r="21">
      <c r="C21" s="23" t="inlineStr">
        <is>
          <t>✓ ∑ вес ур.3 подзем.</t>
        </is>
      </c>
      <c r="V21" s="24">
        <f>SUM(V3:V8)</f>
        <v/>
      </c>
    </row>
    <row r="22">
      <c r="C22" s="23" t="inlineStr">
        <is>
          <t>✓ ∑ вес ур.3 надзем.</t>
        </is>
      </c>
      <c r="V22" s="24">
        <f>SUM(V9:V15)</f>
        <v/>
      </c>
    </row>
    <row r="23">
      <c r="C23" s="23" t="inlineStr">
        <is>
          <t>✓ ∑ вес ур.2</t>
        </is>
      </c>
      <c r="V23" s="24">
        <f>V18+V19</f>
        <v/>
      </c>
    </row>
    <row r="24">
      <c r="C24" s="23" t="inlineStr">
        <is>
          <t>✓ ∑ глоб. вес</t>
        </is>
      </c>
      <c r="W24" s="25">
        <f>SUM(W3:W15)</f>
        <v/>
      </c>
    </row>
    <row r="26">
      <c r="A26" s="75" t="inlineStr">
        <is>
          <t>РАСПРЕДЕЛЕНИЕ НАДЗЕМНОЙ ЧАСТИ ПО КОРПУСАМ</t>
        </is>
      </c>
    </row>
    <row r="27" ht="29.1" customHeight="1" s="74">
      <c r="A27" s="81" t="inlineStr">
        <is>
          <t>Корпус</t>
        </is>
      </c>
      <c r="B27" s="81" t="inlineStr">
        <is>
          <t>8.2.1</t>
        </is>
      </c>
      <c r="C27" s="81" t="inlineStr">
        <is>
          <t>8.2.2</t>
        </is>
      </c>
      <c r="D27" s="81" t="inlineStr">
        <is>
          <t>8.2.3</t>
        </is>
      </c>
      <c r="E27" s="81" t="inlineStr">
        <is>
          <t>8.2.4</t>
        </is>
      </c>
      <c r="F27" s="81" t="inlineStr">
        <is>
          <t>8.2.5</t>
        </is>
      </c>
      <c r="G27" s="81" t="inlineStr">
        <is>
          <t>8.2.6</t>
        </is>
      </c>
      <c r="H27" s="81" t="inlineStr">
        <is>
          <t>8.2.7</t>
        </is>
      </c>
      <c r="I27" s="81" t="inlineStr">
        <is>
          <t>Σ план</t>
        </is>
      </c>
      <c r="J27" s="81" t="inlineStr">
        <is>
          <t>Вес корп.(авто)</t>
        </is>
      </c>
      <c r="K27" s="81" t="inlineStr">
        <is>
          <t>Вес корп.</t>
        </is>
      </c>
    </row>
    <row r="28">
      <c r="A28" s="26" t="inlineStr">
        <is>
          <t>К1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8">
        <f>SUM(B28:H28)</f>
        <v/>
      </c>
      <c r="J28" s="29">
        <f>IFERROR(I28/(I28+I29+I30),0)</f>
        <v/>
      </c>
      <c r="K28" s="21">
        <f>J28</f>
        <v/>
      </c>
    </row>
    <row r="29">
      <c r="A29" s="26" t="inlineStr">
        <is>
          <t>К2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8">
        <f>SUM(B29:H29)</f>
        <v/>
      </c>
      <c r="J29" s="29">
        <f>IFERROR(I29/(I28+I29+I30),0)</f>
        <v/>
      </c>
      <c r="K29" s="21">
        <f>J29</f>
        <v/>
      </c>
    </row>
    <row r="30">
      <c r="A30" s="26" t="inlineStr">
        <is>
          <t>К3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8">
        <f>SUM(B30:H30)</f>
        <v/>
      </c>
      <c r="J30" s="29">
        <f>IFERROR(I30/(I28+I29+I30),0)</f>
        <v/>
      </c>
      <c r="K30" s="21">
        <f>J30</f>
        <v/>
      </c>
    </row>
    <row r="32" ht="24" customHeight="1" s="74">
      <c r="A32" s="23" t="inlineStr">
        <is>
          <t>✓ ∑ вес корп.</t>
        </is>
      </c>
      <c r="K32" s="24">
        <f>K28+K29+K30</f>
        <v/>
      </c>
    </row>
    <row r="35">
      <c r="A35" t="inlineStr">
        <is>
          <t>Дата начала проекта</t>
        </is>
      </c>
      <c r="B35" s="72" t="n">
        <v>46174</v>
      </c>
    </row>
  </sheetData>
  <mergeCells count="3">
    <mergeCell ref="A1:W1"/>
    <mergeCell ref="A17:W17"/>
    <mergeCell ref="A26:K26"/>
  </mergeCells>
  <conditionalFormatting sqref="G3:G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K3:K15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K32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P3:P15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V21:V23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W24">
    <cfRule type="cellIs" priority="13" operator="notEqual" dxfId="2">
      <formula>1</formula>
    </cfRule>
    <cfRule type="cellIs" priority="14" operator="equal" dxfId="1">
      <formula>1</formula>
    </cfRule>
  </conditionalFormatting>
  <dataValidations count="2">
    <dataValidation sqref="E3:F15 H3:J15 L3:O15 V3:V15" showDropDown="0" showInputMessage="0" showErrorMessage="0" allowBlank="0" type="decimal">
      <formula1>0</formula1>
      <formula2>1</formula2>
    </dataValidation>
    <dataValidation sqref="D3:D1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I579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D20" sqref="D20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ПОДЗЕМ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8.1.1</t>
        </is>
      </c>
      <c r="D4" s="32" t="inlineStr">
        <is>
          <t>Отделка паркинг и рампы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8.1.2</t>
        </is>
      </c>
      <c r="D5" s="32" t="inlineStr">
        <is>
          <t>Отделка эвакуац. лестн. клетки подзем.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8.1.3</t>
        </is>
      </c>
      <c r="D6" s="32" t="inlineStr">
        <is>
          <t>Лифт. холлы, тамбур-шлюзы подзем.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8.1.4</t>
        </is>
      </c>
      <c r="D7" s="32" t="inlineStr">
        <is>
          <t>Технич. помещения подзем.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8.1.5</t>
        </is>
      </c>
      <c r="D8" s="32" t="inlineStr">
        <is>
          <t>Прочие помещения подзем.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8.1.6</t>
        </is>
      </c>
      <c r="D9" s="32" t="inlineStr">
        <is>
          <t>Коммерч. помещения подзем.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Чистовая</t>
        </is>
      </c>
      <c r="C10" s="31" t="inlineStr">
        <is>
          <t>8.1.1</t>
        </is>
      </c>
      <c r="D10" s="32" t="inlineStr">
        <is>
          <t>Отделка паркинг и рампы</t>
        </is>
      </c>
      <c r="E10" s="33" t="n"/>
      <c r="F10" s="33" t="n"/>
      <c r="G10" s="33" t="n"/>
      <c r="H10" s="33" t="n"/>
      <c r="I10" s="34">
        <f>COUNTA(E10:G10)&amp;"/3"</f>
        <v/>
      </c>
    </row>
    <row r="11" ht="30" customHeight="1" s="74">
      <c r="A11" s="30">
        <f>A4</f>
        <v/>
      </c>
      <c r="B11" s="31" t="inlineStr">
        <is>
          <t>Чистовая</t>
        </is>
      </c>
      <c r="C11" s="31" t="inlineStr">
        <is>
          <t>8.1.2</t>
        </is>
      </c>
      <c r="D11" s="32" t="inlineStr">
        <is>
          <t>Отделка эвакуац. лестн. клетки подзем.</t>
        </is>
      </c>
      <c r="E11" s="33" t="n"/>
      <c r="F11" s="33" t="n"/>
      <c r="G11" s="33" t="n"/>
      <c r="H11" s="33" t="n"/>
      <c r="I11" s="34">
        <f>COUNTA(E11:G11)&amp;"/3"</f>
        <v/>
      </c>
    </row>
    <row r="12">
      <c r="A12" s="30">
        <f>A4</f>
        <v/>
      </c>
      <c r="B12" s="31" t="inlineStr">
        <is>
          <t>Чистовая</t>
        </is>
      </c>
      <c r="C12" s="31" t="inlineStr">
        <is>
          <t>8.1.3</t>
        </is>
      </c>
      <c r="D12" s="32" t="inlineStr">
        <is>
          <t>Лифт. холлы, тамбур-шлюзы подзем.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8.1.4</t>
        </is>
      </c>
      <c r="D13" s="32" t="inlineStr">
        <is>
          <t>Технич. помещения подзем.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8.1.5</t>
        </is>
      </c>
      <c r="D14" s="32" t="inlineStr">
        <is>
          <t>Прочие помещения подзем.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8.1.6</t>
        </is>
      </c>
      <c r="D15" s="32" t="inlineStr">
        <is>
          <t>Коммерч. помещения подзем.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A4+7</f>
        <v/>
      </c>
      <c r="B16" s="31" t="inlineStr">
        <is>
          <t>Черновая</t>
        </is>
      </c>
      <c r="C16" s="31" t="inlineStr">
        <is>
          <t>8.1.1</t>
        </is>
      </c>
      <c r="D16" s="32" t="inlineStr">
        <is>
          <t>Отделка паркинг и рампы</t>
        </is>
      </c>
      <c r="E16" s="33" t="n"/>
      <c r="F16" s="33" t="n"/>
      <c r="G16" s="33" t="n"/>
      <c r="H16" s="33" t="n"/>
      <c r="I16" s="34">
        <f>COUNTA(E16:G16)&amp;"/3"</f>
        <v/>
      </c>
    </row>
    <row r="17" ht="30" customHeight="1" s="74">
      <c r="A17" s="30">
        <f>A16</f>
        <v/>
      </c>
      <c r="B17" s="31" t="inlineStr">
        <is>
          <t>Черновая</t>
        </is>
      </c>
      <c r="C17" s="31" t="inlineStr">
        <is>
          <t>8.1.2</t>
        </is>
      </c>
      <c r="D17" s="32" t="inlineStr">
        <is>
          <t>Отделка эвакуац. лестн. клетки подзем.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A16</f>
        <v/>
      </c>
      <c r="B18" s="31" t="inlineStr">
        <is>
          <t>Черновая</t>
        </is>
      </c>
      <c r="C18" s="31" t="inlineStr">
        <is>
          <t>8.1.3</t>
        </is>
      </c>
      <c r="D18" s="32" t="inlineStr">
        <is>
          <t>Лифт. холлы, тамбур-шлюзы подзем.</t>
        </is>
      </c>
      <c r="E18" s="33" t="n"/>
      <c r="F18" s="33" t="n"/>
      <c r="G18" s="33" t="n"/>
      <c r="H18" s="33" t="n"/>
      <c r="I18" s="34">
        <f>COUNTA(E18:G18)&amp;"/3"</f>
        <v/>
      </c>
    </row>
    <row r="19">
      <c r="A19" s="30">
        <f>A16</f>
        <v/>
      </c>
      <c r="B19" s="31" t="inlineStr">
        <is>
          <t>Черновая</t>
        </is>
      </c>
      <c r="C19" s="31" t="inlineStr">
        <is>
          <t>8.1.4</t>
        </is>
      </c>
      <c r="D19" s="32" t="inlineStr">
        <is>
          <t>Технич. помещения подзем.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A16</f>
        <v/>
      </c>
      <c r="B20" s="31" t="inlineStr">
        <is>
          <t>Черновая</t>
        </is>
      </c>
      <c r="C20" s="31" t="inlineStr">
        <is>
          <t>8.1.5</t>
        </is>
      </c>
      <c r="D20" s="32" t="inlineStr">
        <is>
          <t>Прочие помещения подзем.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A16</f>
        <v/>
      </c>
      <c r="B21" s="31" t="inlineStr">
        <is>
          <t>Черновая</t>
        </is>
      </c>
      <c r="C21" s="31" t="inlineStr">
        <is>
          <t>8.1.6</t>
        </is>
      </c>
      <c r="D21" s="32" t="inlineStr">
        <is>
          <t>Коммерч. помещения подзем.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A16</f>
        <v/>
      </c>
      <c r="B22" s="31" t="inlineStr">
        <is>
          <t>Чистовая</t>
        </is>
      </c>
      <c r="C22" s="31" t="inlineStr">
        <is>
          <t>8.1.1</t>
        </is>
      </c>
      <c r="D22" s="32" t="inlineStr">
        <is>
          <t>Отделка паркинг и рампы</t>
        </is>
      </c>
      <c r="E22" s="33" t="n"/>
      <c r="F22" s="33" t="n"/>
      <c r="G22" s="33" t="n"/>
      <c r="H22" s="33" t="n"/>
      <c r="I22" s="34">
        <f>COUNTA(E22:G22)&amp;"/3"</f>
        <v/>
      </c>
    </row>
    <row r="23" ht="30" customHeight="1" s="74">
      <c r="A23" s="30">
        <f>A16</f>
        <v/>
      </c>
      <c r="B23" s="31" t="inlineStr">
        <is>
          <t>Чистовая</t>
        </is>
      </c>
      <c r="C23" s="31" t="inlineStr">
        <is>
          <t>8.1.2</t>
        </is>
      </c>
      <c r="D23" s="32" t="inlineStr">
        <is>
          <t>Отделка эвакуац. лестн. клетки подзем.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A16</f>
        <v/>
      </c>
      <c r="B24" s="31" t="inlineStr">
        <is>
          <t>Чистовая</t>
        </is>
      </c>
      <c r="C24" s="31" t="inlineStr">
        <is>
          <t>8.1.3</t>
        </is>
      </c>
      <c r="D24" s="32" t="inlineStr">
        <is>
          <t>Лифт. холлы, тамбур-шлюзы подзем.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A16</f>
        <v/>
      </c>
      <c r="B25" s="31" t="inlineStr">
        <is>
          <t>Чистовая</t>
        </is>
      </c>
      <c r="C25" s="31" t="inlineStr">
        <is>
          <t>8.1.4</t>
        </is>
      </c>
      <c r="D25" s="32" t="inlineStr">
        <is>
          <t>Технич. помещения подзем.</t>
        </is>
      </c>
      <c r="E25" s="33" t="n"/>
      <c r="F25" s="33" t="n"/>
      <c r="G25" s="33" t="n"/>
      <c r="H25" s="33" t="n"/>
      <c r="I25" s="34">
        <f>COUNTA(E25:G25)&amp;"/3"</f>
        <v/>
      </c>
    </row>
    <row r="26">
      <c r="A26" s="30">
        <f>A16</f>
        <v/>
      </c>
      <c r="B26" s="31" t="inlineStr">
        <is>
          <t>Чистовая</t>
        </is>
      </c>
      <c r="C26" s="31" t="inlineStr">
        <is>
          <t>8.1.5</t>
        </is>
      </c>
      <c r="D26" s="32" t="inlineStr">
        <is>
          <t>Прочие помещения подзем.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A16</f>
        <v/>
      </c>
      <c r="B27" s="31" t="inlineStr">
        <is>
          <t>Чистовая</t>
        </is>
      </c>
      <c r="C27" s="31" t="inlineStr">
        <is>
          <t>8.1.6</t>
        </is>
      </c>
      <c r="D27" s="32" t="inlineStr">
        <is>
          <t>Коммерч. помещения подзем.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A16+7</f>
        <v/>
      </c>
      <c r="B28" s="31" t="inlineStr">
        <is>
          <t>Черновая</t>
        </is>
      </c>
      <c r="C28" s="31" t="inlineStr">
        <is>
          <t>8.1.1</t>
        </is>
      </c>
      <c r="D28" s="32" t="inlineStr">
        <is>
          <t>Отделка паркинг и рампы</t>
        </is>
      </c>
      <c r="E28" s="33" t="n"/>
      <c r="F28" s="33" t="n"/>
      <c r="G28" s="33" t="n"/>
      <c r="H28" s="33" t="n"/>
      <c r="I28" s="34">
        <f>COUNTA(E28:G28)&amp;"/3"</f>
        <v/>
      </c>
    </row>
    <row r="29" ht="30" customHeight="1" s="74">
      <c r="A29" s="30">
        <f>A28</f>
        <v/>
      </c>
      <c r="B29" s="31" t="inlineStr">
        <is>
          <t>Черновая</t>
        </is>
      </c>
      <c r="C29" s="31" t="inlineStr">
        <is>
          <t>8.1.2</t>
        </is>
      </c>
      <c r="D29" s="32" t="inlineStr">
        <is>
          <t>Отделка эвакуац. лестн. клетки подзем.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A28</f>
        <v/>
      </c>
      <c r="B30" s="31" t="inlineStr">
        <is>
          <t>Черновая</t>
        </is>
      </c>
      <c r="C30" s="31" t="inlineStr">
        <is>
          <t>8.1.3</t>
        </is>
      </c>
      <c r="D30" s="32" t="inlineStr">
        <is>
          <t>Лифт. холлы, тамбур-шлюзы подзем.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A28</f>
        <v/>
      </c>
      <c r="B31" s="31" t="inlineStr">
        <is>
          <t>Черновая</t>
        </is>
      </c>
      <c r="C31" s="31" t="inlineStr">
        <is>
          <t>8.1.4</t>
        </is>
      </c>
      <c r="D31" s="32" t="inlineStr">
        <is>
          <t>Технич. помещения подзем.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A28</f>
        <v/>
      </c>
      <c r="B32" s="31" t="inlineStr">
        <is>
          <t>Черновая</t>
        </is>
      </c>
      <c r="C32" s="31" t="inlineStr">
        <is>
          <t>8.1.5</t>
        </is>
      </c>
      <c r="D32" s="32" t="inlineStr">
        <is>
          <t>Прочие помещения подзем.</t>
        </is>
      </c>
      <c r="E32" s="33" t="n"/>
      <c r="F32" s="33" t="n"/>
      <c r="G32" s="33" t="n"/>
      <c r="H32" s="33" t="n"/>
      <c r="I32" s="34">
        <f>COUNTA(E32:G32)&amp;"/3"</f>
        <v/>
      </c>
    </row>
    <row r="33">
      <c r="A33" s="30">
        <f>A28</f>
        <v/>
      </c>
      <c r="B33" s="31" t="inlineStr">
        <is>
          <t>Черновая</t>
        </is>
      </c>
      <c r="C33" s="31" t="inlineStr">
        <is>
          <t>8.1.6</t>
        </is>
      </c>
      <c r="D33" s="32" t="inlineStr">
        <is>
          <t>Коммерч. помещения подзем.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A28</f>
        <v/>
      </c>
      <c r="B34" s="31" t="inlineStr">
        <is>
          <t>Чистовая</t>
        </is>
      </c>
      <c r="C34" s="31" t="inlineStr">
        <is>
          <t>8.1.1</t>
        </is>
      </c>
      <c r="D34" s="32" t="inlineStr">
        <is>
          <t>Отделка паркинг и рампы</t>
        </is>
      </c>
      <c r="E34" s="33" t="n"/>
      <c r="F34" s="33" t="n"/>
      <c r="G34" s="33" t="n"/>
      <c r="H34" s="33" t="n"/>
      <c r="I34" s="34">
        <f>COUNTA(E34:G34)&amp;"/3"</f>
        <v/>
      </c>
    </row>
    <row r="35" ht="30" customHeight="1" s="74">
      <c r="A35" s="30">
        <f>A28</f>
        <v/>
      </c>
      <c r="B35" s="31" t="inlineStr">
        <is>
          <t>Чистовая</t>
        </is>
      </c>
      <c r="C35" s="31" t="inlineStr">
        <is>
          <t>8.1.2</t>
        </is>
      </c>
      <c r="D35" s="32" t="inlineStr">
        <is>
          <t>Отделка эвакуац. лестн. клетки подзем.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A28</f>
        <v/>
      </c>
      <c r="B36" s="31" t="inlineStr">
        <is>
          <t>Чистовая</t>
        </is>
      </c>
      <c r="C36" s="31" t="inlineStr">
        <is>
          <t>8.1.3</t>
        </is>
      </c>
      <c r="D36" s="32" t="inlineStr">
        <is>
          <t>Лифт. холлы, тамбур-шлюзы подзем.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A28</f>
        <v/>
      </c>
      <c r="B37" s="31" t="inlineStr">
        <is>
          <t>Чистовая</t>
        </is>
      </c>
      <c r="C37" s="31" t="inlineStr">
        <is>
          <t>8.1.4</t>
        </is>
      </c>
      <c r="D37" s="32" t="inlineStr">
        <is>
          <t>Технич. помещения подзем.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A28</f>
        <v/>
      </c>
      <c r="B38" s="31" t="inlineStr">
        <is>
          <t>Чистовая</t>
        </is>
      </c>
      <c r="C38" s="31" t="inlineStr">
        <is>
          <t>8.1.5</t>
        </is>
      </c>
      <c r="D38" s="32" t="inlineStr">
        <is>
          <t>Прочие помещения подзем.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A28</f>
        <v/>
      </c>
      <c r="B39" s="31" t="inlineStr">
        <is>
          <t>Чистовая</t>
        </is>
      </c>
      <c r="C39" s="31" t="inlineStr">
        <is>
          <t>8.1.6</t>
        </is>
      </c>
      <c r="D39" s="32" t="inlineStr">
        <is>
          <t>Коммерч. помещения подзем.</t>
        </is>
      </c>
      <c r="E39" s="33" t="n"/>
      <c r="F39" s="33" t="n"/>
      <c r="G39" s="33" t="n"/>
      <c r="H39" s="33" t="n"/>
      <c r="I39" s="34">
        <f>COUNTA(E39:G39)&amp;"/3"</f>
        <v/>
      </c>
    </row>
    <row r="40">
      <c r="A40" s="30">
        <f>A28+7</f>
        <v/>
      </c>
      <c r="B40" s="31" t="inlineStr">
        <is>
          <t>Черновая</t>
        </is>
      </c>
      <c r="C40" s="31" t="inlineStr">
        <is>
          <t>8.1.1</t>
        </is>
      </c>
      <c r="D40" s="32" t="inlineStr">
        <is>
          <t>Отделка паркинг и рампы</t>
        </is>
      </c>
      <c r="E40" s="33" t="n"/>
      <c r="F40" s="33" t="n"/>
      <c r="G40" s="33" t="n"/>
      <c r="H40" s="33" t="n"/>
      <c r="I40" s="34">
        <f>COUNTA(E40:G40)&amp;"/3"</f>
        <v/>
      </c>
    </row>
    <row r="41" ht="30" customHeight="1" s="74">
      <c r="A41" s="30">
        <f>A40</f>
        <v/>
      </c>
      <c r="B41" s="31" t="inlineStr">
        <is>
          <t>Черновая</t>
        </is>
      </c>
      <c r="C41" s="31" t="inlineStr">
        <is>
          <t>8.1.2</t>
        </is>
      </c>
      <c r="D41" s="32" t="inlineStr">
        <is>
          <t>Отделка эвакуац. лестн. клетки подзем.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A40</f>
        <v/>
      </c>
      <c r="B42" s="31" t="inlineStr">
        <is>
          <t>Черновая</t>
        </is>
      </c>
      <c r="C42" s="31" t="inlineStr">
        <is>
          <t>8.1.3</t>
        </is>
      </c>
      <c r="D42" s="32" t="inlineStr">
        <is>
          <t>Лифт. холлы, тамбур-шлюзы подзем.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A40</f>
        <v/>
      </c>
      <c r="B43" s="31" t="inlineStr">
        <is>
          <t>Черновая</t>
        </is>
      </c>
      <c r="C43" s="31" t="inlineStr">
        <is>
          <t>8.1.4</t>
        </is>
      </c>
      <c r="D43" s="32" t="inlineStr">
        <is>
          <t>Технич. помещения подзем.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A40</f>
        <v/>
      </c>
      <c r="B44" s="31" t="inlineStr">
        <is>
          <t>Черновая</t>
        </is>
      </c>
      <c r="C44" s="31" t="inlineStr">
        <is>
          <t>8.1.5</t>
        </is>
      </c>
      <c r="D44" s="32" t="inlineStr">
        <is>
          <t>Прочие помещения подзем.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A40</f>
        <v/>
      </c>
      <c r="B45" s="31" t="inlineStr">
        <is>
          <t>Черновая</t>
        </is>
      </c>
      <c r="C45" s="31" t="inlineStr">
        <is>
          <t>8.1.6</t>
        </is>
      </c>
      <c r="D45" s="32" t="inlineStr">
        <is>
          <t>Коммерч. помещения подзем.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A40</f>
        <v/>
      </c>
      <c r="B46" s="31" t="inlineStr">
        <is>
          <t>Чистовая</t>
        </is>
      </c>
      <c r="C46" s="31" t="inlineStr">
        <is>
          <t>8.1.1</t>
        </is>
      </c>
      <c r="D46" s="32" t="inlineStr">
        <is>
          <t>Отделка паркинг и рампы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A40</f>
        <v/>
      </c>
      <c r="B47" s="31" t="inlineStr">
        <is>
          <t>Чистовая</t>
        </is>
      </c>
      <c r="C47" s="31" t="inlineStr">
        <is>
          <t>8.1.2</t>
        </is>
      </c>
      <c r="D47" s="32" t="inlineStr">
        <is>
          <t>Отделка эвакуац. лестн. клетки подзем.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A40</f>
        <v/>
      </c>
      <c r="B48" s="31" t="inlineStr">
        <is>
          <t>Чистовая</t>
        </is>
      </c>
      <c r="C48" s="31" t="inlineStr">
        <is>
          <t>8.1.3</t>
        </is>
      </c>
      <c r="D48" s="32" t="inlineStr">
        <is>
          <t>Лифт. холлы, тамбур-шлюзы подзем.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A40</f>
        <v/>
      </c>
      <c r="B49" s="31" t="inlineStr">
        <is>
          <t>Чистовая</t>
        </is>
      </c>
      <c r="C49" s="31" t="inlineStr">
        <is>
          <t>8.1.4</t>
        </is>
      </c>
      <c r="D49" s="32" t="inlineStr">
        <is>
          <t>Технич. помещения подзем.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A40</f>
        <v/>
      </c>
      <c r="B50" s="31" t="inlineStr">
        <is>
          <t>Чистовая</t>
        </is>
      </c>
      <c r="C50" s="31" t="inlineStr">
        <is>
          <t>8.1.5</t>
        </is>
      </c>
      <c r="D50" s="32" t="inlineStr">
        <is>
          <t>Прочие помещения подзем.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A40</f>
        <v/>
      </c>
      <c r="B51" s="31" t="inlineStr">
        <is>
          <t>Чистовая</t>
        </is>
      </c>
      <c r="C51" s="31" t="inlineStr">
        <is>
          <t>8.1.6</t>
        </is>
      </c>
      <c r="D51" s="32" t="inlineStr">
        <is>
          <t>Коммерч. помещения подзем.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A40+7</f>
        <v/>
      </c>
      <c r="B52" s="31" t="inlineStr">
        <is>
          <t>Черновая</t>
        </is>
      </c>
      <c r="C52" s="31" t="inlineStr">
        <is>
          <t>8.1.1</t>
        </is>
      </c>
      <c r="D52" s="32" t="inlineStr">
        <is>
          <t>Отделка паркинг и рампы</t>
        </is>
      </c>
      <c r="E52" s="33" t="n"/>
      <c r="F52" s="33" t="n"/>
      <c r="G52" s="33" t="n"/>
      <c r="H52" s="33" t="n"/>
      <c r="I52" s="34">
        <f>COUNTA(E52:G52)&amp;"/3"</f>
        <v/>
      </c>
    </row>
    <row r="53" ht="30" customHeight="1" s="74">
      <c r="A53" s="30">
        <f>A52</f>
        <v/>
      </c>
      <c r="B53" s="31" t="inlineStr">
        <is>
          <t>Черновая</t>
        </is>
      </c>
      <c r="C53" s="31" t="inlineStr">
        <is>
          <t>8.1.2</t>
        </is>
      </c>
      <c r="D53" s="32" t="inlineStr">
        <is>
          <t>Отделка эвакуац. лестн. клетки подзем.</t>
        </is>
      </c>
      <c r="E53" s="33" t="n"/>
      <c r="F53" s="33" t="n"/>
      <c r="G53" s="33" t="n"/>
      <c r="H53" s="33" t="n"/>
      <c r="I53" s="34">
        <f>COUNTA(E53:G53)&amp;"/3"</f>
        <v/>
      </c>
    </row>
    <row r="54">
      <c r="A54" s="30">
        <f>A52</f>
        <v/>
      </c>
      <c r="B54" s="31" t="inlineStr">
        <is>
          <t>Черновая</t>
        </is>
      </c>
      <c r="C54" s="31" t="inlineStr">
        <is>
          <t>8.1.3</t>
        </is>
      </c>
      <c r="D54" s="32" t="inlineStr">
        <is>
          <t>Лифт. холлы, тамбур-шлюзы подзем.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A52</f>
        <v/>
      </c>
      <c r="B55" s="31" t="inlineStr">
        <is>
          <t>Черновая</t>
        </is>
      </c>
      <c r="C55" s="31" t="inlineStr">
        <is>
          <t>8.1.4</t>
        </is>
      </c>
      <c r="D55" s="32" t="inlineStr">
        <is>
          <t>Технич. помещения подзем.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A52</f>
        <v/>
      </c>
      <c r="B56" s="31" t="inlineStr">
        <is>
          <t>Черновая</t>
        </is>
      </c>
      <c r="C56" s="31" t="inlineStr">
        <is>
          <t>8.1.5</t>
        </is>
      </c>
      <c r="D56" s="32" t="inlineStr">
        <is>
          <t>Прочие помещения подзем.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A52</f>
        <v/>
      </c>
      <c r="B57" s="31" t="inlineStr">
        <is>
          <t>Черновая</t>
        </is>
      </c>
      <c r="C57" s="31" t="inlineStr">
        <is>
          <t>8.1.6</t>
        </is>
      </c>
      <c r="D57" s="32" t="inlineStr">
        <is>
          <t>Коммерч. помещения подзем.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A52</f>
        <v/>
      </c>
      <c r="B58" s="31" t="inlineStr">
        <is>
          <t>Чистовая</t>
        </is>
      </c>
      <c r="C58" s="31" t="inlineStr">
        <is>
          <t>8.1.1</t>
        </is>
      </c>
      <c r="D58" s="32" t="inlineStr">
        <is>
          <t>Отделка паркинг и рампы</t>
        </is>
      </c>
      <c r="E58" s="33" t="n"/>
      <c r="F58" s="33" t="n"/>
      <c r="G58" s="33" t="n"/>
      <c r="H58" s="33" t="n"/>
      <c r="I58" s="34">
        <f>COUNTA(E58:G58)&amp;"/3"</f>
        <v/>
      </c>
    </row>
    <row r="59" ht="30" customHeight="1" s="74">
      <c r="A59" s="30">
        <f>A52</f>
        <v/>
      </c>
      <c r="B59" s="31" t="inlineStr">
        <is>
          <t>Чистовая</t>
        </is>
      </c>
      <c r="C59" s="31" t="inlineStr">
        <is>
          <t>8.1.2</t>
        </is>
      </c>
      <c r="D59" s="32" t="inlineStr">
        <is>
          <t>Отделка эвакуац. лестн. клетки подзем.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A52</f>
        <v/>
      </c>
      <c r="B60" s="31" t="inlineStr">
        <is>
          <t>Чистовая</t>
        </is>
      </c>
      <c r="C60" s="31" t="inlineStr">
        <is>
          <t>8.1.3</t>
        </is>
      </c>
      <c r="D60" s="32" t="inlineStr">
        <is>
          <t>Лифт. холлы, тамбур-шлюзы подзем.</t>
        </is>
      </c>
      <c r="E60" s="33" t="n"/>
      <c r="F60" s="33" t="n"/>
      <c r="G60" s="33" t="n"/>
      <c r="H60" s="33" t="n"/>
      <c r="I60" s="34">
        <f>COUNTA(E60:G60)&amp;"/3"</f>
        <v/>
      </c>
    </row>
    <row r="61">
      <c r="A61" s="30">
        <f>A52</f>
        <v/>
      </c>
      <c r="B61" s="31" t="inlineStr">
        <is>
          <t>Чистовая</t>
        </is>
      </c>
      <c r="C61" s="31" t="inlineStr">
        <is>
          <t>8.1.4</t>
        </is>
      </c>
      <c r="D61" s="32" t="inlineStr">
        <is>
          <t>Технич. помещения подзем.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A52</f>
        <v/>
      </c>
      <c r="B62" s="31" t="inlineStr">
        <is>
          <t>Чистовая</t>
        </is>
      </c>
      <c r="C62" s="31" t="inlineStr">
        <is>
          <t>8.1.5</t>
        </is>
      </c>
      <c r="D62" s="32" t="inlineStr">
        <is>
          <t>Прочие помещения подзем.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A52</f>
        <v/>
      </c>
      <c r="B63" s="31" t="inlineStr">
        <is>
          <t>Чистовая</t>
        </is>
      </c>
      <c r="C63" s="31" t="inlineStr">
        <is>
          <t>8.1.6</t>
        </is>
      </c>
      <c r="D63" s="32" t="inlineStr">
        <is>
          <t>Коммерч. помещения подзем.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A52+7</f>
        <v/>
      </c>
      <c r="B64" s="31" t="inlineStr">
        <is>
          <t>Черновая</t>
        </is>
      </c>
      <c r="C64" s="31" t="inlineStr">
        <is>
          <t>8.1.1</t>
        </is>
      </c>
      <c r="D64" s="32" t="inlineStr">
        <is>
          <t>Отделка паркинг и рампы</t>
        </is>
      </c>
      <c r="E64" s="33" t="n"/>
      <c r="F64" s="33" t="n"/>
      <c r="G64" s="33" t="n"/>
      <c r="H64" s="33" t="n"/>
      <c r="I64" s="34">
        <f>COUNTA(E64:G64)&amp;"/3"</f>
        <v/>
      </c>
    </row>
    <row r="65" ht="30" customHeight="1" s="74">
      <c r="A65" s="30">
        <f>A64</f>
        <v/>
      </c>
      <c r="B65" s="31" t="inlineStr">
        <is>
          <t>Черновая</t>
        </is>
      </c>
      <c r="C65" s="31" t="inlineStr">
        <is>
          <t>8.1.2</t>
        </is>
      </c>
      <c r="D65" s="32" t="inlineStr">
        <is>
          <t>Отделка эвакуац. лестн. клетки подзем.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A64</f>
        <v/>
      </c>
      <c r="B66" s="31" t="inlineStr">
        <is>
          <t>Черновая</t>
        </is>
      </c>
      <c r="C66" s="31" t="inlineStr">
        <is>
          <t>8.1.3</t>
        </is>
      </c>
      <c r="D66" s="32" t="inlineStr">
        <is>
          <t>Лифт. холлы, тамбур-шлюзы подзем.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A64</f>
        <v/>
      </c>
      <c r="B67" s="31" t="inlineStr">
        <is>
          <t>Черновая</t>
        </is>
      </c>
      <c r="C67" s="31" t="inlineStr">
        <is>
          <t>8.1.4</t>
        </is>
      </c>
      <c r="D67" s="32" t="inlineStr">
        <is>
          <t>Технич. помещения подзем.</t>
        </is>
      </c>
      <c r="E67" s="33" t="n"/>
      <c r="F67" s="33" t="n"/>
      <c r="G67" s="33" t="n"/>
      <c r="H67" s="33" t="n"/>
      <c r="I67" s="34">
        <f>COUNTA(E67:G67)&amp;"/3"</f>
        <v/>
      </c>
    </row>
    <row r="68">
      <c r="A68" s="30">
        <f>A64</f>
        <v/>
      </c>
      <c r="B68" s="31" t="inlineStr">
        <is>
          <t>Черновая</t>
        </is>
      </c>
      <c r="C68" s="31" t="inlineStr">
        <is>
          <t>8.1.5</t>
        </is>
      </c>
      <c r="D68" s="32" t="inlineStr">
        <is>
          <t>Прочие помещения подзем.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A64</f>
        <v/>
      </c>
      <c r="B69" s="31" t="inlineStr">
        <is>
          <t>Черновая</t>
        </is>
      </c>
      <c r="C69" s="31" t="inlineStr">
        <is>
          <t>8.1.6</t>
        </is>
      </c>
      <c r="D69" s="32" t="inlineStr">
        <is>
          <t>Коммерч. помещения подзем.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A64</f>
        <v/>
      </c>
      <c r="B70" s="31" t="inlineStr">
        <is>
          <t>Чистовая</t>
        </is>
      </c>
      <c r="C70" s="31" t="inlineStr">
        <is>
          <t>8.1.1</t>
        </is>
      </c>
      <c r="D70" s="32" t="inlineStr">
        <is>
          <t>Отделка паркинг и рампы</t>
        </is>
      </c>
      <c r="E70" s="33" t="n"/>
      <c r="F70" s="33" t="n"/>
      <c r="G70" s="33" t="n"/>
      <c r="H70" s="33" t="n"/>
      <c r="I70" s="34">
        <f>COUNTA(E70:G70)&amp;"/3"</f>
        <v/>
      </c>
    </row>
    <row r="71" ht="30" customHeight="1" s="74">
      <c r="A71" s="30">
        <f>A64</f>
        <v/>
      </c>
      <c r="B71" s="31" t="inlineStr">
        <is>
          <t>Чистовая</t>
        </is>
      </c>
      <c r="C71" s="31" t="inlineStr">
        <is>
          <t>8.1.2</t>
        </is>
      </c>
      <c r="D71" s="32" t="inlineStr">
        <is>
          <t>Отделка эвакуац. лестн. клетки подзем.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A64</f>
        <v/>
      </c>
      <c r="B72" s="31" t="inlineStr">
        <is>
          <t>Чистовая</t>
        </is>
      </c>
      <c r="C72" s="31" t="inlineStr">
        <is>
          <t>8.1.3</t>
        </is>
      </c>
      <c r="D72" s="32" t="inlineStr">
        <is>
          <t>Лифт. холлы, тамбур-шлюзы подзем.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A64</f>
        <v/>
      </c>
      <c r="B73" s="31" t="inlineStr">
        <is>
          <t>Чистовая</t>
        </is>
      </c>
      <c r="C73" s="31" t="inlineStr">
        <is>
          <t>8.1.4</t>
        </is>
      </c>
      <c r="D73" s="32" t="inlineStr">
        <is>
          <t>Технич. помещения подзем.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A64</f>
        <v/>
      </c>
      <c r="B74" s="31" t="inlineStr">
        <is>
          <t>Чистовая</t>
        </is>
      </c>
      <c r="C74" s="31" t="inlineStr">
        <is>
          <t>8.1.5</t>
        </is>
      </c>
      <c r="D74" s="32" t="inlineStr">
        <is>
          <t>Прочие помещения подзем.</t>
        </is>
      </c>
      <c r="E74" s="33" t="n"/>
      <c r="F74" s="33" t="n"/>
      <c r="G74" s="33" t="n"/>
      <c r="H74" s="33" t="n"/>
      <c r="I74" s="34">
        <f>COUNTA(E74:G74)&amp;"/3"</f>
        <v/>
      </c>
    </row>
    <row r="75">
      <c r="A75" s="30">
        <f>A64</f>
        <v/>
      </c>
      <c r="B75" s="31" t="inlineStr">
        <is>
          <t>Чистовая</t>
        </is>
      </c>
      <c r="C75" s="31" t="inlineStr">
        <is>
          <t>8.1.6</t>
        </is>
      </c>
      <c r="D75" s="32" t="inlineStr">
        <is>
          <t>Коммерч. помещения подзем.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A64+7</f>
        <v/>
      </c>
      <c r="B76" s="31" t="inlineStr">
        <is>
          <t>Черновая</t>
        </is>
      </c>
      <c r="C76" s="31" t="inlineStr">
        <is>
          <t>8.1.1</t>
        </is>
      </c>
      <c r="D76" s="32" t="inlineStr">
        <is>
          <t>Отделка паркинг и рампы</t>
        </is>
      </c>
      <c r="E76" s="33" t="n"/>
      <c r="F76" s="33" t="n"/>
      <c r="G76" s="33" t="n"/>
      <c r="H76" s="33" t="n"/>
      <c r="I76" s="34">
        <f>COUNTA(E76:G76)&amp;"/3"</f>
        <v/>
      </c>
    </row>
    <row r="77" ht="30" customHeight="1" s="74">
      <c r="A77" s="30">
        <f>A76</f>
        <v/>
      </c>
      <c r="B77" s="31" t="inlineStr">
        <is>
          <t>Черновая</t>
        </is>
      </c>
      <c r="C77" s="31" t="inlineStr">
        <is>
          <t>8.1.2</t>
        </is>
      </c>
      <c r="D77" s="32" t="inlineStr">
        <is>
          <t>Отделка эвакуац. лестн. клетки подзем.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A76</f>
        <v/>
      </c>
      <c r="B78" s="31" t="inlineStr">
        <is>
          <t>Черновая</t>
        </is>
      </c>
      <c r="C78" s="31" t="inlineStr">
        <is>
          <t>8.1.3</t>
        </is>
      </c>
      <c r="D78" s="32" t="inlineStr">
        <is>
          <t>Лифт. холлы, тамбур-шлюзы подзем.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A76</f>
        <v/>
      </c>
      <c r="B79" s="31" t="inlineStr">
        <is>
          <t>Черновая</t>
        </is>
      </c>
      <c r="C79" s="31" t="inlineStr">
        <is>
          <t>8.1.4</t>
        </is>
      </c>
      <c r="D79" s="32" t="inlineStr">
        <is>
          <t>Технич. помещения подзем.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A76</f>
        <v/>
      </c>
      <c r="B80" s="31" t="inlineStr">
        <is>
          <t>Черновая</t>
        </is>
      </c>
      <c r="C80" s="31" t="inlineStr">
        <is>
          <t>8.1.5</t>
        </is>
      </c>
      <c r="D80" s="32" t="inlineStr">
        <is>
          <t>Прочие помещения подзем.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A76</f>
        <v/>
      </c>
      <c r="B81" s="31" t="inlineStr">
        <is>
          <t>Черновая</t>
        </is>
      </c>
      <c r="C81" s="31" t="inlineStr">
        <is>
          <t>8.1.6</t>
        </is>
      </c>
      <c r="D81" s="32" t="inlineStr">
        <is>
          <t>Коммерч. помещения подзем.</t>
        </is>
      </c>
      <c r="E81" s="33" t="n"/>
      <c r="F81" s="33" t="n"/>
      <c r="G81" s="33" t="n"/>
      <c r="H81" s="33" t="n"/>
      <c r="I81" s="34">
        <f>COUNTA(E81:G81)&amp;"/3"</f>
        <v/>
      </c>
    </row>
    <row r="82">
      <c r="A82" s="30">
        <f>A76</f>
        <v/>
      </c>
      <c r="B82" s="31" t="inlineStr">
        <is>
          <t>Чистовая</t>
        </is>
      </c>
      <c r="C82" s="31" t="inlineStr">
        <is>
          <t>8.1.1</t>
        </is>
      </c>
      <c r="D82" s="32" t="inlineStr">
        <is>
          <t>Отделка паркинг и рампы</t>
        </is>
      </c>
      <c r="E82" s="33" t="n"/>
      <c r="F82" s="33" t="n"/>
      <c r="G82" s="33" t="n"/>
      <c r="H82" s="33" t="n"/>
      <c r="I82" s="34">
        <f>COUNTA(E82:G82)&amp;"/3"</f>
        <v/>
      </c>
    </row>
    <row r="83" ht="30" customHeight="1" s="74">
      <c r="A83" s="30">
        <f>A76</f>
        <v/>
      </c>
      <c r="B83" s="31" t="inlineStr">
        <is>
          <t>Чистовая</t>
        </is>
      </c>
      <c r="C83" s="31" t="inlineStr">
        <is>
          <t>8.1.2</t>
        </is>
      </c>
      <c r="D83" s="32" t="inlineStr">
        <is>
          <t>Отделка эвакуац. лестн. клетки подзем.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A76</f>
        <v/>
      </c>
      <c r="B84" s="31" t="inlineStr">
        <is>
          <t>Чистовая</t>
        </is>
      </c>
      <c r="C84" s="31" t="inlineStr">
        <is>
          <t>8.1.3</t>
        </is>
      </c>
      <c r="D84" s="32" t="inlineStr">
        <is>
          <t>Лифт. холлы, тамбур-шлюзы подзем.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A76</f>
        <v/>
      </c>
      <c r="B85" s="31" t="inlineStr">
        <is>
          <t>Чистовая</t>
        </is>
      </c>
      <c r="C85" s="31" t="inlineStr">
        <is>
          <t>8.1.4</t>
        </is>
      </c>
      <c r="D85" s="32" t="inlineStr">
        <is>
          <t>Технич. помещения подзем.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A76</f>
        <v/>
      </c>
      <c r="B86" s="31" t="inlineStr">
        <is>
          <t>Чистовая</t>
        </is>
      </c>
      <c r="C86" s="31" t="inlineStr">
        <is>
          <t>8.1.5</t>
        </is>
      </c>
      <c r="D86" s="32" t="inlineStr">
        <is>
          <t>Прочие помещения подзем.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A76</f>
        <v/>
      </c>
      <c r="B87" s="31" t="inlineStr">
        <is>
          <t>Чистовая</t>
        </is>
      </c>
      <c r="C87" s="31" t="inlineStr">
        <is>
          <t>8.1.6</t>
        </is>
      </c>
      <c r="D87" s="32" t="inlineStr">
        <is>
          <t>Коммерч. помещения подзем.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A76+7</f>
        <v/>
      </c>
      <c r="B88" s="31" t="inlineStr">
        <is>
          <t>Черновая</t>
        </is>
      </c>
      <c r="C88" s="31" t="inlineStr">
        <is>
          <t>8.1.1</t>
        </is>
      </c>
      <c r="D88" s="32" t="inlineStr">
        <is>
          <t>Отделка паркинг и рампы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8.1.2</t>
        </is>
      </c>
      <c r="D89" s="32" t="inlineStr">
        <is>
          <t>Отделка эвакуац. лестн. клетки подзем.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8.1.3</t>
        </is>
      </c>
      <c r="D90" s="32" t="inlineStr">
        <is>
          <t>Лифт. холлы, тамбур-шлюзы подзем.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8.1.4</t>
        </is>
      </c>
      <c r="D91" s="32" t="inlineStr">
        <is>
          <t>Технич. помещения подзем.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8.1.5</t>
        </is>
      </c>
      <c r="D92" s="32" t="inlineStr">
        <is>
          <t>Прочие помещения подзем.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8.1.6</t>
        </is>
      </c>
      <c r="D93" s="32" t="inlineStr">
        <is>
          <t>Коммерч. помещения подзем.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Чистовая</t>
        </is>
      </c>
      <c r="C94" s="31" t="inlineStr">
        <is>
          <t>8.1.1</t>
        </is>
      </c>
      <c r="D94" s="32" t="inlineStr">
        <is>
          <t>Отделка паркинг и рампы</t>
        </is>
      </c>
      <c r="E94" s="33" t="n"/>
      <c r="F94" s="33" t="n"/>
      <c r="G94" s="33" t="n"/>
      <c r="H94" s="33" t="n"/>
      <c r="I94" s="34">
        <f>COUNTA(E94:G94)&amp;"/3"</f>
        <v/>
      </c>
    </row>
    <row r="95" ht="30" customHeight="1" s="74">
      <c r="A95" s="30">
        <f>A88</f>
        <v/>
      </c>
      <c r="B95" s="31" t="inlineStr">
        <is>
          <t>Чистовая</t>
        </is>
      </c>
      <c r="C95" s="31" t="inlineStr">
        <is>
          <t>8.1.2</t>
        </is>
      </c>
      <c r="D95" s="32" t="inlineStr">
        <is>
          <t>Отделка эвакуац. лестн. клетки подзем.</t>
        </is>
      </c>
      <c r="E95" s="33" t="n"/>
      <c r="F95" s="33" t="n"/>
      <c r="G95" s="33" t="n"/>
      <c r="H95" s="33" t="n"/>
      <c r="I95" s="34">
        <f>COUNTA(E95:G95)&amp;"/3"</f>
        <v/>
      </c>
    </row>
    <row r="96">
      <c r="A96" s="30">
        <f>A88</f>
        <v/>
      </c>
      <c r="B96" s="31" t="inlineStr">
        <is>
          <t>Чистовая</t>
        </is>
      </c>
      <c r="C96" s="31" t="inlineStr">
        <is>
          <t>8.1.3</t>
        </is>
      </c>
      <c r="D96" s="32" t="inlineStr">
        <is>
          <t>Лифт. холлы, тамбур-шлюзы подзем.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8.1.4</t>
        </is>
      </c>
      <c r="D97" s="32" t="inlineStr">
        <is>
          <t>Технич. помещения подзем.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8.1.5</t>
        </is>
      </c>
      <c r="D98" s="32" t="inlineStr">
        <is>
          <t>Прочие помещения подзем.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8.1.6</t>
        </is>
      </c>
      <c r="D99" s="32" t="inlineStr">
        <is>
          <t>Коммерч. помещения подзем.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A88+7</f>
        <v/>
      </c>
      <c r="B100" s="31" t="inlineStr">
        <is>
          <t>Черновая</t>
        </is>
      </c>
      <c r="C100" s="31" t="inlineStr">
        <is>
          <t>8.1.1</t>
        </is>
      </c>
      <c r="D100" s="32" t="inlineStr">
        <is>
          <t>Отделка паркинг и рампы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 ht="30" customHeight="1" s="74">
      <c r="A101" s="30">
        <f>A100</f>
        <v/>
      </c>
      <c r="B101" s="31" t="inlineStr">
        <is>
          <t>Черновая</t>
        </is>
      </c>
      <c r="C101" s="31" t="inlineStr">
        <is>
          <t>8.1.2</t>
        </is>
      </c>
      <c r="D101" s="32" t="inlineStr">
        <is>
          <t>Отделка эвакуац. лестн. клетки подзем.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A100</f>
        <v/>
      </c>
      <c r="B102" s="31" t="inlineStr">
        <is>
          <t>Черновая</t>
        </is>
      </c>
      <c r="C102" s="31" t="inlineStr">
        <is>
          <t>8.1.3</t>
        </is>
      </c>
      <c r="D102" s="32" t="inlineStr">
        <is>
          <t>Лифт. холлы, тамбур-шлюзы подзем.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>
      <c r="A103" s="30">
        <f>A100</f>
        <v/>
      </c>
      <c r="B103" s="31" t="inlineStr">
        <is>
          <t>Черновая</t>
        </is>
      </c>
      <c r="C103" s="31" t="inlineStr">
        <is>
          <t>8.1.4</t>
        </is>
      </c>
      <c r="D103" s="32" t="inlineStr">
        <is>
          <t>Технич. помещения подзем.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A100</f>
        <v/>
      </c>
      <c r="B104" s="31" t="inlineStr">
        <is>
          <t>Черновая</t>
        </is>
      </c>
      <c r="C104" s="31" t="inlineStr">
        <is>
          <t>8.1.5</t>
        </is>
      </c>
      <c r="D104" s="32" t="inlineStr">
        <is>
          <t>Прочие помещения подзем.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A100</f>
        <v/>
      </c>
      <c r="B105" s="31" t="inlineStr">
        <is>
          <t>Черновая</t>
        </is>
      </c>
      <c r="C105" s="31" t="inlineStr">
        <is>
          <t>8.1.6</t>
        </is>
      </c>
      <c r="D105" s="32" t="inlineStr">
        <is>
          <t>Коммерч. помещения подзем.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A100</f>
        <v/>
      </c>
      <c r="B106" s="31" t="inlineStr">
        <is>
          <t>Чистовая</t>
        </is>
      </c>
      <c r="C106" s="31" t="inlineStr">
        <is>
          <t>8.1.1</t>
        </is>
      </c>
      <c r="D106" s="32" t="inlineStr">
        <is>
          <t>Отделка паркинг и рампы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 ht="30" customHeight="1" s="74">
      <c r="A107" s="30">
        <f>A100</f>
        <v/>
      </c>
      <c r="B107" s="31" t="inlineStr">
        <is>
          <t>Чистовая</t>
        </is>
      </c>
      <c r="C107" s="31" t="inlineStr">
        <is>
          <t>8.1.2</t>
        </is>
      </c>
      <c r="D107" s="32" t="inlineStr">
        <is>
          <t>Отделка эвакуац. лестн. клетки подзем.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A100</f>
        <v/>
      </c>
      <c r="B108" s="31" t="inlineStr">
        <is>
          <t>Чистовая</t>
        </is>
      </c>
      <c r="C108" s="31" t="inlineStr">
        <is>
          <t>8.1.3</t>
        </is>
      </c>
      <c r="D108" s="32" t="inlineStr">
        <is>
          <t>Лифт. холлы, тамбур-шлюзы подзем.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A100</f>
        <v/>
      </c>
      <c r="B109" s="31" t="inlineStr">
        <is>
          <t>Чистовая</t>
        </is>
      </c>
      <c r="C109" s="31" t="inlineStr">
        <is>
          <t>8.1.4</t>
        </is>
      </c>
      <c r="D109" s="32" t="inlineStr">
        <is>
          <t>Технич. помещения подзем.</t>
        </is>
      </c>
      <c r="E109" s="33" t="n"/>
      <c r="F109" s="33" t="n"/>
      <c r="G109" s="33" t="n"/>
      <c r="H109" s="33" t="n"/>
      <c r="I109" s="34">
        <f>COUNTA(E109:G109)&amp;"/3"</f>
        <v/>
      </c>
    </row>
    <row r="110">
      <c r="A110" s="30">
        <f>A100</f>
        <v/>
      </c>
      <c r="B110" s="31" t="inlineStr">
        <is>
          <t>Чистовая</t>
        </is>
      </c>
      <c r="C110" s="31" t="inlineStr">
        <is>
          <t>8.1.5</t>
        </is>
      </c>
      <c r="D110" s="32" t="inlineStr">
        <is>
          <t>Прочие помещения подзем.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A100</f>
        <v/>
      </c>
      <c r="B111" s="31" t="inlineStr">
        <is>
          <t>Чистовая</t>
        </is>
      </c>
      <c r="C111" s="31" t="inlineStr">
        <is>
          <t>8.1.6</t>
        </is>
      </c>
      <c r="D111" s="32" t="inlineStr">
        <is>
          <t>Коммерч. помещения подзем.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A100+7</f>
        <v/>
      </c>
      <c r="B112" s="31" t="inlineStr">
        <is>
          <t>Черновая</t>
        </is>
      </c>
      <c r="C112" s="31" t="inlineStr">
        <is>
          <t>8.1.1</t>
        </is>
      </c>
      <c r="D112" s="32" t="inlineStr">
        <is>
          <t>Отделка паркинг и рампы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 ht="30" customHeight="1" s="74">
      <c r="A113" s="30">
        <f>A112</f>
        <v/>
      </c>
      <c r="B113" s="31" t="inlineStr">
        <is>
          <t>Черновая</t>
        </is>
      </c>
      <c r="C113" s="31" t="inlineStr">
        <is>
          <t>8.1.2</t>
        </is>
      </c>
      <c r="D113" s="32" t="inlineStr">
        <is>
          <t>Отделка эвакуац. лестн. клетки подзем.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A112</f>
        <v/>
      </c>
      <c r="B114" s="31" t="inlineStr">
        <is>
          <t>Черновая</t>
        </is>
      </c>
      <c r="C114" s="31" t="inlineStr">
        <is>
          <t>8.1.3</t>
        </is>
      </c>
      <c r="D114" s="32" t="inlineStr">
        <is>
          <t>Лифт. холлы, тамбур-шлюзы подзем.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A112</f>
        <v/>
      </c>
      <c r="B115" s="31" t="inlineStr">
        <is>
          <t>Черновая</t>
        </is>
      </c>
      <c r="C115" s="31" t="inlineStr">
        <is>
          <t>8.1.4</t>
        </is>
      </c>
      <c r="D115" s="32" t="inlineStr">
        <is>
          <t>Технич. помещения подзем.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A112</f>
        <v/>
      </c>
      <c r="B116" s="31" t="inlineStr">
        <is>
          <t>Черновая</t>
        </is>
      </c>
      <c r="C116" s="31" t="inlineStr">
        <is>
          <t>8.1.5</t>
        </is>
      </c>
      <c r="D116" s="32" t="inlineStr">
        <is>
          <t>Прочие помещения подзем.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>
      <c r="A117" s="30">
        <f>A112</f>
        <v/>
      </c>
      <c r="B117" s="31" t="inlineStr">
        <is>
          <t>Черновая</t>
        </is>
      </c>
      <c r="C117" s="31" t="inlineStr">
        <is>
          <t>8.1.6</t>
        </is>
      </c>
      <c r="D117" s="32" t="inlineStr">
        <is>
          <t>Коммерч. помещения подзем.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A112</f>
        <v/>
      </c>
      <c r="B118" s="31" t="inlineStr">
        <is>
          <t>Чистовая</t>
        </is>
      </c>
      <c r="C118" s="31" t="inlineStr">
        <is>
          <t>8.1.1</t>
        </is>
      </c>
      <c r="D118" s="32" t="inlineStr">
        <is>
          <t>Отделка паркинг и рампы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 ht="30" customHeight="1" s="74">
      <c r="A119" s="30">
        <f>A112</f>
        <v/>
      </c>
      <c r="B119" s="31" t="inlineStr">
        <is>
          <t>Чистовая</t>
        </is>
      </c>
      <c r="C119" s="31" t="inlineStr">
        <is>
          <t>8.1.2</t>
        </is>
      </c>
      <c r="D119" s="32" t="inlineStr">
        <is>
          <t>Отделка эвакуац. лестн. клетки подзем.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A112</f>
        <v/>
      </c>
      <c r="B120" s="31" t="inlineStr">
        <is>
          <t>Чистовая</t>
        </is>
      </c>
      <c r="C120" s="31" t="inlineStr">
        <is>
          <t>8.1.3</t>
        </is>
      </c>
      <c r="D120" s="32" t="inlineStr">
        <is>
          <t>Лифт. холлы, тамбур-шлюзы подзем.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A112</f>
        <v/>
      </c>
      <c r="B121" s="31" t="inlineStr">
        <is>
          <t>Чистовая</t>
        </is>
      </c>
      <c r="C121" s="31" t="inlineStr">
        <is>
          <t>8.1.4</t>
        </is>
      </c>
      <c r="D121" s="32" t="inlineStr">
        <is>
          <t>Технич. помещения подзем.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A112</f>
        <v/>
      </c>
      <c r="B122" s="31" t="inlineStr">
        <is>
          <t>Чистовая</t>
        </is>
      </c>
      <c r="C122" s="31" t="inlineStr">
        <is>
          <t>8.1.5</t>
        </is>
      </c>
      <c r="D122" s="32" t="inlineStr">
        <is>
          <t>Прочие помещения подзем.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A112</f>
        <v/>
      </c>
      <c r="B123" s="31" t="inlineStr">
        <is>
          <t>Чистовая</t>
        </is>
      </c>
      <c r="C123" s="31" t="inlineStr">
        <is>
          <t>8.1.6</t>
        </is>
      </c>
      <c r="D123" s="32" t="inlineStr">
        <is>
          <t>Коммерч. помещения подзем.</t>
        </is>
      </c>
      <c r="E123" s="33" t="n"/>
      <c r="F123" s="33" t="n"/>
      <c r="G123" s="33" t="n"/>
      <c r="H123" s="33" t="n"/>
      <c r="I123" s="34">
        <f>COUNTA(E123:G123)&amp;"/3"</f>
        <v/>
      </c>
    </row>
    <row r="124">
      <c r="A124" s="30">
        <f>A112+7</f>
        <v/>
      </c>
      <c r="B124" s="31" t="inlineStr">
        <is>
          <t>Черновая</t>
        </is>
      </c>
      <c r="C124" s="31" t="inlineStr">
        <is>
          <t>8.1.1</t>
        </is>
      </c>
      <c r="D124" s="32" t="inlineStr">
        <is>
          <t>Отделка паркинг и рампы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 ht="30" customHeight="1" s="74">
      <c r="A125" s="30">
        <f>A124</f>
        <v/>
      </c>
      <c r="B125" s="31" t="inlineStr">
        <is>
          <t>Черновая</t>
        </is>
      </c>
      <c r="C125" s="31" t="inlineStr">
        <is>
          <t>8.1.2</t>
        </is>
      </c>
      <c r="D125" s="32" t="inlineStr">
        <is>
          <t>Отделка эвакуац. лестн. клетки подзем.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A124</f>
        <v/>
      </c>
      <c r="B126" s="31" t="inlineStr">
        <is>
          <t>Черновая</t>
        </is>
      </c>
      <c r="C126" s="31" t="inlineStr">
        <is>
          <t>8.1.3</t>
        </is>
      </c>
      <c r="D126" s="32" t="inlineStr">
        <is>
          <t>Лифт. холлы, тамбур-шлюзы подзем.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A124</f>
        <v/>
      </c>
      <c r="B127" s="31" t="inlineStr">
        <is>
          <t>Черновая</t>
        </is>
      </c>
      <c r="C127" s="31" t="inlineStr">
        <is>
          <t>8.1.4</t>
        </is>
      </c>
      <c r="D127" s="32" t="inlineStr">
        <is>
          <t>Технич. помещения подзем.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A124</f>
        <v/>
      </c>
      <c r="B128" s="31" t="inlineStr">
        <is>
          <t>Черновая</t>
        </is>
      </c>
      <c r="C128" s="31" t="inlineStr">
        <is>
          <t>8.1.5</t>
        </is>
      </c>
      <c r="D128" s="32" t="inlineStr">
        <is>
          <t>Прочие помещения подзем.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A124</f>
        <v/>
      </c>
      <c r="B129" s="31" t="inlineStr">
        <is>
          <t>Черновая</t>
        </is>
      </c>
      <c r="C129" s="31" t="inlineStr">
        <is>
          <t>8.1.6</t>
        </is>
      </c>
      <c r="D129" s="32" t="inlineStr">
        <is>
          <t>Коммерч. помещения подзем.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A124</f>
        <v/>
      </c>
      <c r="B130" s="31" t="inlineStr">
        <is>
          <t>Чистовая</t>
        </is>
      </c>
      <c r="C130" s="31" t="inlineStr">
        <is>
          <t>8.1.1</t>
        </is>
      </c>
      <c r="D130" s="32" t="inlineStr">
        <is>
          <t>Отделка паркинг и рампы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A124</f>
        <v/>
      </c>
      <c r="B131" s="31" t="inlineStr">
        <is>
          <t>Чистовая</t>
        </is>
      </c>
      <c r="C131" s="31" t="inlineStr">
        <is>
          <t>8.1.2</t>
        </is>
      </c>
      <c r="D131" s="32" t="inlineStr">
        <is>
          <t>Отделка эвакуац. лестн. клетки подзем.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A124</f>
        <v/>
      </c>
      <c r="B132" s="31" t="inlineStr">
        <is>
          <t>Чистовая</t>
        </is>
      </c>
      <c r="C132" s="31" t="inlineStr">
        <is>
          <t>8.1.3</t>
        </is>
      </c>
      <c r="D132" s="32" t="inlineStr">
        <is>
          <t>Лифт. холлы, тамбур-шлюзы подзем.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A124</f>
        <v/>
      </c>
      <c r="B133" s="31" t="inlineStr">
        <is>
          <t>Чистовая</t>
        </is>
      </c>
      <c r="C133" s="31" t="inlineStr">
        <is>
          <t>8.1.4</t>
        </is>
      </c>
      <c r="D133" s="32" t="inlineStr">
        <is>
          <t>Технич. помещения подзем.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A124</f>
        <v/>
      </c>
      <c r="B134" s="31" t="inlineStr">
        <is>
          <t>Чистовая</t>
        </is>
      </c>
      <c r="C134" s="31" t="inlineStr">
        <is>
          <t>8.1.5</t>
        </is>
      </c>
      <c r="D134" s="32" t="inlineStr">
        <is>
          <t>Прочие помещения подзем.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A124</f>
        <v/>
      </c>
      <c r="B135" s="31" t="inlineStr">
        <is>
          <t>Чистовая</t>
        </is>
      </c>
      <c r="C135" s="31" t="inlineStr">
        <is>
          <t>8.1.6</t>
        </is>
      </c>
      <c r="D135" s="32" t="inlineStr">
        <is>
          <t>Коммерч. помещения подзем.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A124+7</f>
        <v/>
      </c>
      <c r="B136" s="31" t="inlineStr">
        <is>
          <t>Черновая</t>
        </is>
      </c>
      <c r="C136" s="31" t="inlineStr">
        <is>
          <t>8.1.1</t>
        </is>
      </c>
      <c r="D136" s="32" t="inlineStr">
        <is>
          <t>Отделка паркинг и рампы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 ht="30" customHeight="1" s="74">
      <c r="A137" s="30">
        <f>A136</f>
        <v/>
      </c>
      <c r="B137" s="31" t="inlineStr">
        <is>
          <t>Черновая</t>
        </is>
      </c>
      <c r="C137" s="31" t="inlineStr">
        <is>
          <t>8.1.2</t>
        </is>
      </c>
      <c r="D137" s="32" t="inlineStr">
        <is>
          <t>Отделка эвакуац. лестн. клетки подзем.</t>
        </is>
      </c>
      <c r="E137" s="33" t="n"/>
      <c r="F137" s="33" t="n"/>
      <c r="G137" s="33" t="n"/>
      <c r="H137" s="33" t="n"/>
      <c r="I137" s="34">
        <f>COUNTA(E137:G137)&amp;"/3"</f>
        <v/>
      </c>
    </row>
    <row r="138">
      <c r="A138" s="30">
        <f>A136</f>
        <v/>
      </c>
      <c r="B138" s="31" t="inlineStr">
        <is>
          <t>Черновая</t>
        </is>
      </c>
      <c r="C138" s="31" t="inlineStr">
        <is>
          <t>8.1.3</t>
        </is>
      </c>
      <c r="D138" s="32" t="inlineStr">
        <is>
          <t>Лифт. холлы, тамбур-шлюзы подзем.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A136</f>
        <v/>
      </c>
      <c r="B139" s="31" t="inlineStr">
        <is>
          <t>Черновая</t>
        </is>
      </c>
      <c r="C139" s="31" t="inlineStr">
        <is>
          <t>8.1.4</t>
        </is>
      </c>
      <c r="D139" s="32" t="inlineStr">
        <is>
          <t>Технич. помещения подзем.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A136</f>
        <v/>
      </c>
      <c r="B140" s="31" t="inlineStr">
        <is>
          <t>Черновая</t>
        </is>
      </c>
      <c r="C140" s="31" t="inlineStr">
        <is>
          <t>8.1.5</t>
        </is>
      </c>
      <c r="D140" s="32" t="inlineStr">
        <is>
          <t>Прочие помещения подзем.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A136</f>
        <v/>
      </c>
      <c r="B141" s="31" t="inlineStr">
        <is>
          <t>Черновая</t>
        </is>
      </c>
      <c r="C141" s="31" t="inlineStr">
        <is>
          <t>8.1.6</t>
        </is>
      </c>
      <c r="D141" s="32" t="inlineStr">
        <is>
          <t>Коммерч. помещения подзем.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A136</f>
        <v/>
      </c>
      <c r="B142" s="31" t="inlineStr">
        <is>
          <t>Чистовая</t>
        </is>
      </c>
      <c r="C142" s="31" t="inlineStr">
        <is>
          <t>8.1.1</t>
        </is>
      </c>
      <c r="D142" s="32" t="inlineStr">
        <is>
          <t>Отделка паркинг и рампы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 ht="30" customHeight="1" s="74">
      <c r="A143" s="30">
        <f>A136</f>
        <v/>
      </c>
      <c r="B143" s="31" t="inlineStr">
        <is>
          <t>Чистовая</t>
        </is>
      </c>
      <c r="C143" s="31" t="inlineStr">
        <is>
          <t>8.1.2</t>
        </is>
      </c>
      <c r="D143" s="32" t="inlineStr">
        <is>
          <t>Отделка эвакуац. лестн. клетки подзем.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A136</f>
        <v/>
      </c>
      <c r="B144" s="31" t="inlineStr">
        <is>
          <t>Чистовая</t>
        </is>
      </c>
      <c r="C144" s="31" t="inlineStr">
        <is>
          <t>8.1.3</t>
        </is>
      </c>
      <c r="D144" s="32" t="inlineStr">
        <is>
          <t>Лифт. холлы, тамбур-шлюзы подзем.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>
      <c r="A145" s="30">
        <f>A136</f>
        <v/>
      </c>
      <c r="B145" s="31" t="inlineStr">
        <is>
          <t>Чистовая</t>
        </is>
      </c>
      <c r="C145" s="31" t="inlineStr">
        <is>
          <t>8.1.4</t>
        </is>
      </c>
      <c r="D145" s="32" t="inlineStr">
        <is>
          <t>Технич. помещения подзем.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A136</f>
        <v/>
      </c>
      <c r="B146" s="31" t="inlineStr">
        <is>
          <t>Чистовая</t>
        </is>
      </c>
      <c r="C146" s="31" t="inlineStr">
        <is>
          <t>8.1.5</t>
        </is>
      </c>
      <c r="D146" s="32" t="inlineStr">
        <is>
          <t>Прочие помещения подзем.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A136</f>
        <v/>
      </c>
      <c r="B147" s="31" t="inlineStr">
        <is>
          <t>Чистовая</t>
        </is>
      </c>
      <c r="C147" s="31" t="inlineStr">
        <is>
          <t>8.1.6</t>
        </is>
      </c>
      <c r="D147" s="32" t="inlineStr">
        <is>
          <t>Коммерч. помещения подзем.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A136+7</f>
        <v/>
      </c>
      <c r="B148" s="31" t="inlineStr">
        <is>
          <t>Черновая</t>
        </is>
      </c>
      <c r="C148" s="31" t="inlineStr">
        <is>
          <t>8.1.1</t>
        </is>
      </c>
      <c r="D148" s="32" t="inlineStr">
        <is>
          <t>Отделка паркинг и рампы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 ht="30" customHeight="1" s="74">
      <c r="A149" s="30">
        <f>A148</f>
        <v/>
      </c>
      <c r="B149" s="31" t="inlineStr">
        <is>
          <t>Черновая</t>
        </is>
      </c>
      <c r="C149" s="31" t="inlineStr">
        <is>
          <t>8.1.2</t>
        </is>
      </c>
      <c r="D149" s="32" t="inlineStr">
        <is>
          <t>Отделка эвакуац. лестн. клетки подзем.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A148</f>
        <v/>
      </c>
      <c r="B150" s="31" t="inlineStr">
        <is>
          <t>Черновая</t>
        </is>
      </c>
      <c r="C150" s="31" t="inlineStr">
        <is>
          <t>8.1.3</t>
        </is>
      </c>
      <c r="D150" s="32" t="inlineStr">
        <is>
          <t>Лифт. холлы, тамбур-шлюзы подзем.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A148</f>
        <v/>
      </c>
      <c r="B151" s="31" t="inlineStr">
        <is>
          <t>Черновая</t>
        </is>
      </c>
      <c r="C151" s="31" t="inlineStr">
        <is>
          <t>8.1.4</t>
        </is>
      </c>
      <c r="D151" s="32" t="inlineStr">
        <is>
          <t>Технич. помещения подзем.</t>
        </is>
      </c>
      <c r="E151" s="33" t="n"/>
      <c r="F151" s="33" t="n"/>
      <c r="G151" s="33" t="n"/>
      <c r="H151" s="33" t="n"/>
      <c r="I151" s="34">
        <f>COUNTA(E151:G151)&amp;"/3"</f>
        <v/>
      </c>
    </row>
    <row r="152">
      <c r="A152" s="30">
        <f>A148</f>
        <v/>
      </c>
      <c r="B152" s="31" t="inlineStr">
        <is>
          <t>Черновая</t>
        </is>
      </c>
      <c r="C152" s="31" t="inlineStr">
        <is>
          <t>8.1.5</t>
        </is>
      </c>
      <c r="D152" s="32" t="inlineStr">
        <is>
          <t>Прочие помещения подзем.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A148</f>
        <v/>
      </c>
      <c r="B153" s="31" t="inlineStr">
        <is>
          <t>Черновая</t>
        </is>
      </c>
      <c r="C153" s="31" t="inlineStr">
        <is>
          <t>8.1.6</t>
        </is>
      </c>
      <c r="D153" s="32" t="inlineStr">
        <is>
          <t>Коммерч. помещения подзем.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A148</f>
        <v/>
      </c>
      <c r="B154" s="31" t="inlineStr">
        <is>
          <t>Чистовая</t>
        </is>
      </c>
      <c r="C154" s="31" t="inlineStr">
        <is>
          <t>8.1.1</t>
        </is>
      </c>
      <c r="D154" s="32" t="inlineStr">
        <is>
          <t>Отделка паркинг и рампы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 ht="30" customHeight="1" s="74">
      <c r="A155" s="30">
        <f>A148</f>
        <v/>
      </c>
      <c r="B155" s="31" t="inlineStr">
        <is>
          <t>Чистовая</t>
        </is>
      </c>
      <c r="C155" s="31" t="inlineStr">
        <is>
          <t>8.1.2</t>
        </is>
      </c>
      <c r="D155" s="32" t="inlineStr">
        <is>
          <t>Отделка эвакуац. лестн. клетки подзем.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A148</f>
        <v/>
      </c>
      <c r="B156" s="31" t="inlineStr">
        <is>
          <t>Чистовая</t>
        </is>
      </c>
      <c r="C156" s="31" t="inlineStr">
        <is>
          <t>8.1.3</t>
        </is>
      </c>
      <c r="D156" s="32" t="inlineStr">
        <is>
          <t>Лифт. холлы, тамбур-шлюзы подзем.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A148</f>
        <v/>
      </c>
      <c r="B157" s="31" t="inlineStr">
        <is>
          <t>Чистовая</t>
        </is>
      </c>
      <c r="C157" s="31" t="inlineStr">
        <is>
          <t>8.1.4</t>
        </is>
      </c>
      <c r="D157" s="32" t="inlineStr">
        <is>
          <t>Технич. помещения подзем.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A148</f>
        <v/>
      </c>
      <c r="B158" s="31" t="inlineStr">
        <is>
          <t>Чистовая</t>
        </is>
      </c>
      <c r="C158" s="31" t="inlineStr">
        <is>
          <t>8.1.5</t>
        </is>
      </c>
      <c r="D158" s="32" t="inlineStr">
        <is>
          <t>Прочие помещения подзем.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>
      <c r="A159" s="30">
        <f>A148</f>
        <v/>
      </c>
      <c r="B159" s="31" t="inlineStr">
        <is>
          <t>Чистовая</t>
        </is>
      </c>
      <c r="C159" s="31" t="inlineStr">
        <is>
          <t>8.1.6</t>
        </is>
      </c>
      <c r="D159" s="32" t="inlineStr">
        <is>
          <t>Коммерч. помещения подзем.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A148+7</f>
        <v/>
      </c>
      <c r="B160" s="31" t="inlineStr">
        <is>
          <t>Черновая</t>
        </is>
      </c>
      <c r="C160" s="31" t="inlineStr">
        <is>
          <t>8.1.1</t>
        </is>
      </c>
      <c r="D160" s="32" t="inlineStr">
        <is>
          <t>Отделка паркинг и рампы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 ht="30" customHeight="1" s="74">
      <c r="A161" s="30">
        <f>A160</f>
        <v/>
      </c>
      <c r="B161" s="31" t="inlineStr">
        <is>
          <t>Черновая</t>
        </is>
      </c>
      <c r="C161" s="31" t="inlineStr">
        <is>
          <t>8.1.2</t>
        </is>
      </c>
      <c r="D161" s="32" t="inlineStr">
        <is>
          <t>Отделка эвакуац. лестн. клетки подзем.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A160</f>
        <v/>
      </c>
      <c r="B162" s="31" t="inlineStr">
        <is>
          <t>Черновая</t>
        </is>
      </c>
      <c r="C162" s="31" t="inlineStr">
        <is>
          <t>8.1.3</t>
        </is>
      </c>
      <c r="D162" s="32" t="inlineStr">
        <is>
          <t>Лифт. холлы, тамбур-шлюзы подзем.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A160</f>
        <v/>
      </c>
      <c r="B163" s="31" t="inlineStr">
        <is>
          <t>Черновая</t>
        </is>
      </c>
      <c r="C163" s="31" t="inlineStr">
        <is>
          <t>8.1.4</t>
        </is>
      </c>
      <c r="D163" s="32" t="inlineStr">
        <is>
          <t>Технич. помещения подзем.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A160</f>
        <v/>
      </c>
      <c r="B164" s="31" t="inlineStr">
        <is>
          <t>Черновая</t>
        </is>
      </c>
      <c r="C164" s="31" t="inlineStr">
        <is>
          <t>8.1.5</t>
        </is>
      </c>
      <c r="D164" s="32" t="inlineStr">
        <is>
          <t>Прочие помещения подзем.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A160</f>
        <v/>
      </c>
      <c r="B165" s="31" t="inlineStr">
        <is>
          <t>Черновая</t>
        </is>
      </c>
      <c r="C165" s="31" t="inlineStr">
        <is>
          <t>8.1.6</t>
        </is>
      </c>
      <c r="D165" s="32" t="inlineStr">
        <is>
          <t>Коммерч. помещения подзем.</t>
        </is>
      </c>
      <c r="E165" s="33" t="n"/>
      <c r="F165" s="33" t="n"/>
      <c r="G165" s="33" t="n"/>
      <c r="H165" s="33" t="n"/>
      <c r="I165" s="34">
        <f>COUNTA(E165:G165)&amp;"/3"</f>
        <v/>
      </c>
    </row>
    <row r="166">
      <c r="A166" s="30">
        <f>A160</f>
        <v/>
      </c>
      <c r="B166" s="31" t="inlineStr">
        <is>
          <t>Чистовая</t>
        </is>
      </c>
      <c r="C166" s="31" t="inlineStr">
        <is>
          <t>8.1.1</t>
        </is>
      </c>
      <c r="D166" s="32" t="inlineStr">
        <is>
          <t>Отделка паркинг и рампы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 ht="30" customHeight="1" s="74">
      <c r="A167" s="30">
        <f>A160</f>
        <v/>
      </c>
      <c r="B167" s="31" t="inlineStr">
        <is>
          <t>Чистовая</t>
        </is>
      </c>
      <c r="C167" s="31" t="inlineStr">
        <is>
          <t>8.1.2</t>
        </is>
      </c>
      <c r="D167" s="32" t="inlineStr">
        <is>
          <t>Отделка эвакуац. лестн. клетки подзем.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A160</f>
        <v/>
      </c>
      <c r="B168" s="31" t="inlineStr">
        <is>
          <t>Чистовая</t>
        </is>
      </c>
      <c r="C168" s="31" t="inlineStr">
        <is>
          <t>8.1.3</t>
        </is>
      </c>
      <c r="D168" s="32" t="inlineStr">
        <is>
          <t>Лифт. холлы, тамбур-шлюзы подзем.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A160</f>
        <v/>
      </c>
      <c r="B169" s="31" t="inlineStr">
        <is>
          <t>Чистовая</t>
        </is>
      </c>
      <c r="C169" s="31" t="inlineStr">
        <is>
          <t>8.1.4</t>
        </is>
      </c>
      <c r="D169" s="32" t="inlineStr">
        <is>
          <t>Технич. помещения подзем.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A160</f>
        <v/>
      </c>
      <c r="B170" s="31" t="inlineStr">
        <is>
          <t>Чистовая</t>
        </is>
      </c>
      <c r="C170" s="31" t="inlineStr">
        <is>
          <t>8.1.5</t>
        </is>
      </c>
      <c r="D170" s="32" t="inlineStr">
        <is>
          <t>Прочие помещения подзем.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A160</f>
        <v/>
      </c>
      <c r="B171" s="31" t="inlineStr">
        <is>
          <t>Чистовая</t>
        </is>
      </c>
      <c r="C171" s="31" t="inlineStr">
        <is>
          <t>8.1.6</t>
        </is>
      </c>
      <c r="D171" s="32" t="inlineStr">
        <is>
          <t>Коммерч. помещения подзем.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A160+7</f>
        <v/>
      </c>
      <c r="B172" s="31" t="inlineStr">
        <is>
          <t>Черновая</t>
        </is>
      </c>
      <c r="C172" s="31" t="inlineStr">
        <is>
          <t>8.1.1</t>
        </is>
      </c>
      <c r="D172" s="32" t="inlineStr">
        <is>
          <t>Отделка паркинг и рампы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8.1.2</t>
        </is>
      </c>
      <c r="D173" s="32" t="inlineStr">
        <is>
          <t>Отделка эвакуац. лестн. клетки подзем.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8.1.3</t>
        </is>
      </c>
      <c r="D174" s="32" t="inlineStr">
        <is>
          <t>Лифт. холлы, тамбур-шлюзы подзем.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8.1.4</t>
        </is>
      </c>
      <c r="D175" s="32" t="inlineStr">
        <is>
          <t>Технич. помещения подзем.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8.1.5</t>
        </is>
      </c>
      <c r="D176" s="32" t="inlineStr">
        <is>
          <t>Прочие помещения подзем.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8.1.6</t>
        </is>
      </c>
      <c r="D177" s="32" t="inlineStr">
        <is>
          <t>Коммерч. помещения подзем.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Чистовая</t>
        </is>
      </c>
      <c r="C178" s="31" t="inlineStr">
        <is>
          <t>8.1.1</t>
        </is>
      </c>
      <c r="D178" s="32" t="inlineStr">
        <is>
          <t>Отделка паркинг и рампы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 ht="30" customHeight="1" s="74">
      <c r="A179" s="30">
        <f>A172</f>
        <v/>
      </c>
      <c r="B179" s="31" t="inlineStr">
        <is>
          <t>Чистовая</t>
        </is>
      </c>
      <c r="C179" s="31" t="inlineStr">
        <is>
          <t>8.1.2</t>
        </is>
      </c>
      <c r="D179" s="32" t="inlineStr">
        <is>
          <t>Отделка эвакуац. лестн. клетки подзем.</t>
        </is>
      </c>
      <c r="E179" s="33" t="n"/>
      <c r="F179" s="33" t="n"/>
      <c r="G179" s="33" t="n"/>
      <c r="H179" s="33" t="n"/>
      <c r="I179" s="34">
        <f>COUNTA(E179:G179)&amp;"/3"</f>
        <v/>
      </c>
    </row>
    <row r="180">
      <c r="A180" s="30">
        <f>A172</f>
        <v/>
      </c>
      <c r="B180" s="31" t="inlineStr">
        <is>
          <t>Чистовая</t>
        </is>
      </c>
      <c r="C180" s="31" t="inlineStr">
        <is>
          <t>8.1.3</t>
        </is>
      </c>
      <c r="D180" s="32" t="inlineStr">
        <is>
          <t>Лифт. холлы, тамбур-шлюзы подзем.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8.1.4</t>
        </is>
      </c>
      <c r="D181" s="32" t="inlineStr">
        <is>
          <t>Технич. помещения подзем.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8.1.5</t>
        </is>
      </c>
      <c r="D182" s="32" t="inlineStr">
        <is>
          <t>Прочие помещения подзем.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8.1.6</t>
        </is>
      </c>
      <c r="D183" s="32" t="inlineStr">
        <is>
          <t>Коммерч. помещения подзем.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A172+7</f>
        <v/>
      </c>
      <c r="B184" s="31" t="inlineStr">
        <is>
          <t>Черновая</t>
        </is>
      </c>
      <c r="C184" s="31" t="inlineStr">
        <is>
          <t>8.1.1</t>
        </is>
      </c>
      <c r="D184" s="32" t="inlineStr">
        <is>
          <t>Отделка паркинг и рампы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 ht="30" customHeight="1" s="74">
      <c r="A185" s="30">
        <f>A184</f>
        <v/>
      </c>
      <c r="B185" s="31" t="inlineStr">
        <is>
          <t>Черновая</t>
        </is>
      </c>
      <c r="C185" s="31" t="inlineStr">
        <is>
          <t>8.1.2</t>
        </is>
      </c>
      <c r="D185" s="32" t="inlineStr">
        <is>
          <t>Отделка эвакуац. лестн. клетки подзем.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A184</f>
        <v/>
      </c>
      <c r="B186" s="31" t="inlineStr">
        <is>
          <t>Черновая</t>
        </is>
      </c>
      <c r="C186" s="31" t="inlineStr">
        <is>
          <t>8.1.3</t>
        </is>
      </c>
      <c r="D186" s="32" t="inlineStr">
        <is>
          <t>Лифт. холлы, тамбур-шлюзы подзем.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>
      <c r="A187" s="30">
        <f>A184</f>
        <v/>
      </c>
      <c r="B187" s="31" t="inlineStr">
        <is>
          <t>Черновая</t>
        </is>
      </c>
      <c r="C187" s="31" t="inlineStr">
        <is>
          <t>8.1.4</t>
        </is>
      </c>
      <c r="D187" s="32" t="inlineStr">
        <is>
          <t>Технич. помещения подзем.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A184</f>
        <v/>
      </c>
      <c r="B188" s="31" t="inlineStr">
        <is>
          <t>Черновая</t>
        </is>
      </c>
      <c r="C188" s="31" t="inlineStr">
        <is>
          <t>8.1.5</t>
        </is>
      </c>
      <c r="D188" s="32" t="inlineStr">
        <is>
          <t>Прочие помещения подзем.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A184</f>
        <v/>
      </c>
      <c r="B189" s="31" t="inlineStr">
        <is>
          <t>Черновая</t>
        </is>
      </c>
      <c r="C189" s="31" t="inlineStr">
        <is>
          <t>8.1.6</t>
        </is>
      </c>
      <c r="D189" s="32" t="inlineStr">
        <is>
          <t>Коммерч. помещения подзем.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A184</f>
        <v/>
      </c>
      <c r="B190" s="31" t="inlineStr">
        <is>
          <t>Чистовая</t>
        </is>
      </c>
      <c r="C190" s="31" t="inlineStr">
        <is>
          <t>8.1.1</t>
        </is>
      </c>
      <c r="D190" s="32" t="inlineStr">
        <is>
          <t>Отделка паркинг и рампы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 ht="30" customHeight="1" s="74">
      <c r="A191" s="30">
        <f>A184</f>
        <v/>
      </c>
      <c r="B191" s="31" t="inlineStr">
        <is>
          <t>Чистовая</t>
        </is>
      </c>
      <c r="C191" s="31" t="inlineStr">
        <is>
          <t>8.1.2</t>
        </is>
      </c>
      <c r="D191" s="32" t="inlineStr">
        <is>
          <t>Отделка эвакуац. лестн. клетки подзем.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A184</f>
        <v/>
      </c>
      <c r="B192" s="31" t="inlineStr">
        <is>
          <t>Чистовая</t>
        </is>
      </c>
      <c r="C192" s="31" t="inlineStr">
        <is>
          <t>8.1.3</t>
        </is>
      </c>
      <c r="D192" s="32" t="inlineStr">
        <is>
          <t>Лифт. холлы, тамбур-шлюзы подзем.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A184</f>
        <v/>
      </c>
      <c r="B193" s="31" t="inlineStr">
        <is>
          <t>Чистовая</t>
        </is>
      </c>
      <c r="C193" s="31" t="inlineStr">
        <is>
          <t>8.1.4</t>
        </is>
      </c>
      <c r="D193" s="32" t="inlineStr">
        <is>
          <t>Технич. помещения подзем.</t>
        </is>
      </c>
      <c r="E193" s="33" t="n"/>
      <c r="F193" s="33" t="n"/>
      <c r="G193" s="33" t="n"/>
      <c r="H193" s="33" t="n"/>
      <c r="I193" s="34">
        <f>COUNTA(E193:G193)&amp;"/3"</f>
        <v/>
      </c>
    </row>
    <row r="194">
      <c r="A194" s="30">
        <f>A184</f>
        <v/>
      </c>
      <c r="B194" s="31" t="inlineStr">
        <is>
          <t>Чистовая</t>
        </is>
      </c>
      <c r="C194" s="31" t="inlineStr">
        <is>
          <t>8.1.5</t>
        </is>
      </c>
      <c r="D194" s="32" t="inlineStr">
        <is>
          <t>Прочие помещения подзем.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A184</f>
        <v/>
      </c>
      <c r="B195" s="31" t="inlineStr">
        <is>
          <t>Чистовая</t>
        </is>
      </c>
      <c r="C195" s="31" t="inlineStr">
        <is>
          <t>8.1.6</t>
        </is>
      </c>
      <c r="D195" s="32" t="inlineStr">
        <is>
          <t>Коммерч. помещения подзем.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A184+7</f>
        <v/>
      </c>
      <c r="B196" s="31" t="inlineStr">
        <is>
          <t>Черновая</t>
        </is>
      </c>
      <c r="C196" s="31" t="inlineStr">
        <is>
          <t>8.1.1</t>
        </is>
      </c>
      <c r="D196" s="32" t="inlineStr">
        <is>
          <t>Отделка паркинг и рампы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 ht="30" customHeight="1" s="74">
      <c r="A197" s="30">
        <f>A196</f>
        <v/>
      </c>
      <c r="B197" s="31" t="inlineStr">
        <is>
          <t>Черновая</t>
        </is>
      </c>
      <c r="C197" s="31" t="inlineStr">
        <is>
          <t>8.1.2</t>
        </is>
      </c>
      <c r="D197" s="32" t="inlineStr">
        <is>
          <t>Отделка эвакуац. лестн. клетки подзем.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A196</f>
        <v/>
      </c>
      <c r="B198" s="31" t="inlineStr">
        <is>
          <t>Черновая</t>
        </is>
      </c>
      <c r="C198" s="31" t="inlineStr">
        <is>
          <t>8.1.3</t>
        </is>
      </c>
      <c r="D198" s="32" t="inlineStr">
        <is>
          <t>Лифт. холлы, тамбур-шлюзы подзем.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A196</f>
        <v/>
      </c>
      <c r="B199" s="31" t="inlineStr">
        <is>
          <t>Черновая</t>
        </is>
      </c>
      <c r="C199" s="31" t="inlineStr">
        <is>
          <t>8.1.4</t>
        </is>
      </c>
      <c r="D199" s="32" t="inlineStr">
        <is>
          <t>Технич. помещения подзем.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A196</f>
        <v/>
      </c>
      <c r="B200" s="31" t="inlineStr">
        <is>
          <t>Черновая</t>
        </is>
      </c>
      <c r="C200" s="31" t="inlineStr">
        <is>
          <t>8.1.5</t>
        </is>
      </c>
      <c r="D200" s="32" t="inlineStr">
        <is>
          <t>Прочие помещения подзем.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>
      <c r="A201" s="30">
        <f>A196</f>
        <v/>
      </c>
      <c r="B201" s="31" t="inlineStr">
        <is>
          <t>Черновая</t>
        </is>
      </c>
      <c r="C201" s="31" t="inlineStr">
        <is>
          <t>8.1.6</t>
        </is>
      </c>
      <c r="D201" s="32" t="inlineStr">
        <is>
          <t>Коммерч. помещения подзем.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A196</f>
        <v/>
      </c>
      <c r="B202" s="31" t="inlineStr">
        <is>
          <t>Чистовая</t>
        </is>
      </c>
      <c r="C202" s="31" t="inlineStr">
        <is>
          <t>8.1.1</t>
        </is>
      </c>
      <c r="D202" s="32" t="inlineStr">
        <is>
          <t>Отделка паркинг и рампы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 ht="30" customHeight="1" s="74">
      <c r="A203" s="30">
        <f>A196</f>
        <v/>
      </c>
      <c r="B203" s="31" t="inlineStr">
        <is>
          <t>Чистовая</t>
        </is>
      </c>
      <c r="C203" s="31" t="inlineStr">
        <is>
          <t>8.1.2</t>
        </is>
      </c>
      <c r="D203" s="32" t="inlineStr">
        <is>
          <t>Отделка эвакуац. лестн. клетки подзем.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A196</f>
        <v/>
      </c>
      <c r="B204" s="31" t="inlineStr">
        <is>
          <t>Чистовая</t>
        </is>
      </c>
      <c r="C204" s="31" t="inlineStr">
        <is>
          <t>8.1.3</t>
        </is>
      </c>
      <c r="D204" s="32" t="inlineStr">
        <is>
          <t>Лифт. холлы, тамбур-шлюзы подзем.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A196</f>
        <v/>
      </c>
      <c r="B205" s="31" t="inlineStr">
        <is>
          <t>Чистовая</t>
        </is>
      </c>
      <c r="C205" s="31" t="inlineStr">
        <is>
          <t>8.1.4</t>
        </is>
      </c>
      <c r="D205" s="32" t="inlineStr">
        <is>
          <t>Технич. помещения подзем.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A196</f>
        <v/>
      </c>
      <c r="B206" s="31" t="inlineStr">
        <is>
          <t>Чистовая</t>
        </is>
      </c>
      <c r="C206" s="31" t="inlineStr">
        <is>
          <t>8.1.5</t>
        </is>
      </c>
      <c r="D206" s="32" t="inlineStr">
        <is>
          <t>Прочие помещения подзем.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A196</f>
        <v/>
      </c>
      <c r="B207" s="31" t="inlineStr">
        <is>
          <t>Чистовая</t>
        </is>
      </c>
      <c r="C207" s="31" t="inlineStr">
        <is>
          <t>8.1.6</t>
        </is>
      </c>
      <c r="D207" s="32" t="inlineStr">
        <is>
          <t>Коммерч. помещения подзем.</t>
        </is>
      </c>
      <c r="E207" s="33" t="n"/>
      <c r="F207" s="33" t="n"/>
      <c r="G207" s="33" t="n"/>
      <c r="H207" s="33" t="n"/>
      <c r="I207" s="34">
        <f>COUNTA(E207:G207)&amp;"/3"</f>
        <v/>
      </c>
    </row>
    <row r="208">
      <c r="A208" s="30">
        <f>A196+7</f>
        <v/>
      </c>
      <c r="B208" s="31" t="inlineStr">
        <is>
          <t>Черновая</t>
        </is>
      </c>
      <c r="C208" s="31" t="inlineStr">
        <is>
          <t>8.1.1</t>
        </is>
      </c>
      <c r="D208" s="32" t="inlineStr">
        <is>
          <t>Отделка паркинг и рампы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 ht="30" customHeight="1" s="74">
      <c r="A209" s="30">
        <f>A208</f>
        <v/>
      </c>
      <c r="B209" s="31" t="inlineStr">
        <is>
          <t>Черновая</t>
        </is>
      </c>
      <c r="C209" s="31" t="inlineStr">
        <is>
          <t>8.1.2</t>
        </is>
      </c>
      <c r="D209" s="32" t="inlineStr">
        <is>
          <t>Отделка эвакуац. лестн. клетки подзем.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A208</f>
        <v/>
      </c>
      <c r="B210" s="31" t="inlineStr">
        <is>
          <t>Черновая</t>
        </is>
      </c>
      <c r="C210" s="31" t="inlineStr">
        <is>
          <t>8.1.3</t>
        </is>
      </c>
      <c r="D210" s="32" t="inlineStr">
        <is>
          <t>Лифт. холлы, тамбур-шлюзы подзем.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A208</f>
        <v/>
      </c>
      <c r="B211" s="31" t="inlineStr">
        <is>
          <t>Черновая</t>
        </is>
      </c>
      <c r="C211" s="31" t="inlineStr">
        <is>
          <t>8.1.4</t>
        </is>
      </c>
      <c r="D211" s="32" t="inlineStr">
        <is>
          <t>Технич. помещения подзем.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A208</f>
        <v/>
      </c>
      <c r="B212" s="31" t="inlineStr">
        <is>
          <t>Черновая</t>
        </is>
      </c>
      <c r="C212" s="31" t="inlineStr">
        <is>
          <t>8.1.5</t>
        </is>
      </c>
      <c r="D212" s="32" t="inlineStr">
        <is>
          <t>Прочие помещения подзем.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A208</f>
        <v/>
      </c>
      <c r="B213" s="31" t="inlineStr">
        <is>
          <t>Черновая</t>
        </is>
      </c>
      <c r="C213" s="31" t="inlineStr">
        <is>
          <t>8.1.6</t>
        </is>
      </c>
      <c r="D213" s="32" t="inlineStr">
        <is>
          <t>Коммерч. помещения подзем.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A208</f>
        <v/>
      </c>
      <c r="B214" s="31" t="inlineStr">
        <is>
          <t>Чистовая</t>
        </is>
      </c>
      <c r="C214" s="31" t="inlineStr">
        <is>
          <t>8.1.1</t>
        </is>
      </c>
      <c r="D214" s="32" t="inlineStr">
        <is>
          <t>Отделка паркинг и рампы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A208</f>
        <v/>
      </c>
      <c r="B215" s="31" t="inlineStr">
        <is>
          <t>Чистовая</t>
        </is>
      </c>
      <c r="C215" s="31" t="inlineStr">
        <is>
          <t>8.1.2</t>
        </is>
      </c>
      <c r="D215" s="32" t="inlineStr">
        <is>
          <t>Отделка эвакуац. лестн. клетки подзем.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A208</f>
        <v/>
      </c>
      <c r="B216" s="31" t="inlineStr">
        <is>
          <t>Чистовая</t>
        </is>
      </c>
      <c r="C216" s="31" t="inlineStr">
        <is>
          <t>8.1.3</t>
        </is>
      </c>
      <c r="D216" s="32" t="inlineStr">
        <is>
          <t>Лифт. холлы, тамбур-шлюзы подзем.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A208</f>
        <v/>
      </c>
      <c r="B217" s="31" t="inlineStr">
        <is>
          <t>Чистовая</t>
        </is>
      </c>
      <c r="C217" s="31" t="inlineStr">
        <is>
          <t>8.1.4</t>
        </is>
      </c>
      <c r="D217" s="32" t="inlineStr">
        <is>
          <t>Технич. помещения подзем.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A208</f>
        <v/>
      </c>
      <c r="B218" s="31" t="inlineStr">
        <is>
          <t>Чистовая</t>
        </is>
      </c>
      <c r="C218" s="31" t="inlineStr">
        <is>
          <t>8.1.5</t>
        </is>
      </c>
      <c r="D218" s="32" t="inlineStr">
        <is>
          <t>Прочие помещения подзем.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A208</f>
        <v/>
      </c>
      <c r="B219" s="31" t="inlineStr">
        <is>
          <t>Чистовая</t>
        </is>
      </c>
      <c r="C219" s="31" t="inlineStr">
        <is>
          <t>8.1.6</t>
        </is>
      </c>
      <c r="D219" s="32" t="inlineStr">
        <is>
          <t>Коммерч. помещения подзем.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A208+7</f>
        <v/>
      </c>
      <c r="B220" s="31" t="inlineStr">
        <is>
          <t>Черновая</t>
        </is>
      </c>
      <c r="C220" s="31" t="inlineStr">
        <is>
          <t>8.1.1</t>
        </is>
      </c>
      <c r="D220" s="32" t="inlineStr">
        <is>
          <t>Отделка паркинг и рампы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 ht="30" customHeight="1" s="74">
      <c r="A221" s="30">
        <f>A220</f>
        <v/>
      </c>
      <c r="B221" s="31" t="inlineStr">
        <is>
          <t>Черновая</t>
        </is>
      </c>
      <c r="C221" s="31" t="inlineStr">
        <is>
          <t>8.1.2</t>
        </is>
      </c>
      <c r="D221" s="32" t="inlineStr">
        <is>
          <t>Отделка эвакуац. лестн. клетки подзем.</t>
        </is>
      </c>
      <c r="E221" s="33" t="n"/>
      <c r="F221" s="33" t="n"/>
      <c r="G221" s="33" t="n"/>
      <c r="H221" s="33" t="n"/>
      <c r="I221" s="34">
        <f>COUNTA(E221:G221)&amp;"/3"</f>
        <v/>
      </c>
    </row>
    <row r="222">
      <c r="A222" s="30">
        <f>A220</f>
        <v/>
      </c>
      <c r="B222" s="31" t="inlineStr">
        <is>
          <t>Черновая</t>
        </is>
      </c>
      <c r="C222" s="31" t="inlineStr">
        <is>
          <t>8.1.3</t>
        </is>
      </c>
      <c r="D222" s="32" t="inlineStr">
        <is>
          <t>Лифт. холлы, тамбур-шлюзы подзем.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A220</f>
        <v/>
      </c>
      <c r="B223" s="31" t="inlineStr">
        <is>
          <t>Черновая</t>
        </is>
      </c>
      <c r="C223" s="31" t="inlineStr">
        <is>
          <t>8.1.4</t>
        </is>
      </c>
      <c r="D223" s="32" t="inlineStr">
        <is>
          <t>Технич. помещения подзем.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A220</f>
        <v/>
      </c>
      <c r="B224" s="31" t="inlineStr">
        <is>
          <t>Черновая</t>
        </is>
      </c>
      <c r="C224" s="31" t="inlineStr">
        <is>
          <t>8.1.5</t>
        </is>
      </c>
      <c r="D224" s="32" t="inlineStr">
        <is>
          <t>Прочие помещения подзем.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A220</f>
        <v/>
      </c>
      <c r="B225" s="31" t="inlineStr">
        <is>
          <t>Черновая</t>
        </is>
      </c>
      <c r="C225" s="31" t="inlineStr">
        <is>
          <t>8.1.6</t>
        </is>
      </c>
      <c r="D225" s="32" t="inlineStr">
        <is>
          <t>Коммерч. помещения подзем.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A220</f>
        <v/>
      </c>
      <c r="B226" s="31" t="inlineStr">
        <is>
          <t>Чистовая</t>
        </is>
      </c>
      <c r="C226" s="31" t="inlineStr">
        <is>
          <t>8.1.1</t>
        </is>
      </c>
      <c r="D226" s="32" t="inlineStr">
        <is>
          <t>Отделка паркинг и рампы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 ht="30" customHeight="1" s="74">
      <c r="A227" s="30">
        <f>A220</f>
        <v/>
      </c>
      <c r="B227" s="31" t="inlineStr">
        <is>
          <t>Чистовая</t>
        </is>
      </c>
      <c r="C227" s="31" t="inlineStr">
        <is>
          <t>8.1.2</t>
        </is>
      </c>
      <c r="D227" s="32" t="inlineStr">
        <is>
          <t>Отделка эвакуац. лестн. клетки подзем.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A220</f>
        <v/>
      </c>
      <c r="B228" s="31" t="inlineStr">
        <is>
          <t>Чистовая</t>
        </is>
      </c>
      <c r="C228" s="31" t="inlineStr">
        <is>
          <t>8.1.3</t>
        </is>
      </c>
      <c r="D228" s="32" t="inlineStr">
        <is>
          <t>Лифт. холлы, тамбур-шлюзы подзем.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>
      <c r="A229" s="30">
        <f>A220</f>
        <v/>
      </c>
      <c r="B229" s="31" t="inlineStr">
        <is>
          <t>Чистовая</t>
        </is>
      </c>
      <c r="C229" s="31" t="inlineStr">
        <is>
          <t>8.1.4</t>
        </is>
      </c>
      <c r="D229" s="32" t="inlineStr">
        <is>
          <t>Технич. помещения подзем.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A220</f>
        <v/>
      </c>
      <c r="B230" s="31" t="inlineStr">
        <is>
          <t>Чистовая</t>
        </is>
      </c>
      <c r="C230" s="31" t="inlineStr">
        <is>
          <t>8.1.5</t>
        </is>
      </c>
      <c r="D230" s="32" t="inlineStr">
        <is>
          <t>Прочие помещения подзем.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A220</f>
        <v/>
      </c>
      <c r="B231" s="31" t="inlineStr">
        <is>
          <t>Чистовая</t>
        </is>
      </c>
      <c r="C231" s="31" t="inlineStr">
        <is>
          <t>8.1.6</t>
        </is>
      </c>
      <c r="D231" s="32" t="inlineStr">
        <is>
          <t>Коммерч. помещения подзем.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A220+7</f>
        <v/>
      </c>
      <c r="B232" s="31" t="inlineStr">
        <is>
          <t>Черновая</t>
        </is>
      </c>
      <c r="C232" s="31" t="inlineStr">
        <is>
          <t>8.1.1</t>
        </is>
      </c>
      <c r="D232" s="32" t="inlineStr">
        <is>
          <t>Отделка паркинг и рампы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 ht="30" customHeight="1" s="74">
      <c r="A233" s="30">
        <f>A232</f>
        <v/>
      </c>
      <c r="B233" s="31" t="inlineStr">
        <is>
          <t>Черновая</t>
        </is>
      </c>
      <c r="C233" s="31" t="inlineStr">
        <is>
          <t>8.1.2</t>
        </is>
      </c>
      <c r="D233" s="32" t="inlineStr">
        <is>
          <t>Отделка эвакуац. лестн. клетки подзем.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A232</f>
        <v/>
      </c>
      <c r="B234" s="31" t="inlineStr">
        <is>
          <t>Черновая</t>
        </is>
      </c>
      <c r="C234" s="31" t="inlineStr">
        <is>
          <t>8.1.3</t>
        </is>
      </c>
      <c r="D234" s="32" t="inlineStr">
        <is>
          <t>Лифт. холлы, тамбур-шлюзы подзем.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A232</f>
        <v/>
      </c>
      <c r="B235" s="31" t="inlineStr">
        <is>
          <t>Черновая</t>
        </is>
      </c>
      <c r="C235" s="31" t="inlineStr">
        <is>
          <t>8.1.4</t>
        </is>
      </c>
      <c r="D235" s="32" t="inlineStr">
        <is>
          <t>Технич. помещения подзем.</t>
        </is>
      </c>
      <c r="E235" s="33" t="n"/>
      <c r="F235" s="33" t="n"/>
      <c r="G235" s="33" t="n"/>
      <c r="H235" s="33" t="n"/>
      <c r="I235" s="34">
        <f>COUNTA(E235:G235)&amp;"/3"</f>
        <v/>
      </c>
    </row>
    <row r="236">
      <c r="A236" s="30">
        <f>A232</f>
        <v/>
      </c>
      <c r="B236" s="31" t="inlineStr">
        <is>
          <t>Черновая</t>
        </is>
      </c>
      <c r="C236" s="31" t="inlineStr">
        <is>
          <t>8.1.5</t>
        </is>
      </c>
      <c r="D236" s="32" t="inlineStr">
        <is>
          <t>Прочие помещения подзем.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A232</f>
        <v/>
      </c>
      <c r="B237" s="31" t="inlineStr">
        <is>
          <t>Черновая</t>
        </is>
      </c>
      <c r="C237" s="31" t="inlineStr">
        <is>
          <t>8.1.6</t>
        </is>
      </c>
      <c r="D237" s="32" t="inlineStr">
        <is>
          <t>Коммерч. помещения подзем.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A232</f>
        <v/>
      </c>
      <c r="B238" s="31" t="inlineStr">
        <is>
          <t>Чистовая</t>
        </is>
      </c>
      <c r="C238" s="31" t="inlineStr">
        <is>
          <t>8.1.1</t>
        </is>
      </c>
      <c r="D238" s="32" t="inlineStr">
        <is>
          <t>Отделка паркинг и рампы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 ht="30" customHeight="1" s="74">
      <c r="A239" s="30">
        <f>A232</f>
        <v/>
      </c>
      <c r="B239" s="31" t="inlineStr">
        <is>
          <t>Чистовая</t>
        </is>
      </c>
      <c r="C239" s="31" t="inlineStr">
        <is>
          <t>8.1.2</t>
        </is>
      </c>
      <c r="D239" s="32" t="inlineStr">
        <is>
          <t>Отделка эвакуац. лестн. клетки подзем.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A232</f>
        <v/>
      </c>
      <c r="B240" s="31" t="inlineStr">
        <is>
          <t>Чистовая</t>
        </is>
      </c>
      <c r="C240" s="31" t="inlineStr">
        <is>
          <t>8.1.3</t>
        </is>
      </c>
      <c r="D240" s="32" t="inlineStr">
        <is>
          <t>Лифт. холлы, тамбур-шлюзы подзем.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A232</f>
        <v/>
      </c>
      <c r="B241" s="31" t="inlineStr">
        <is>
          <t>Чистовая</t>
        </is>
      </c>
      <c r="C241" s="31" t="inlineStr">
        <is>
          <t>8.1.4</t>
        </is>
      </c>
      <c r="D241" s="32" t="inlineStr">
        <is>
          <t>Технич. помещения подзем.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A232</f>
        <v/>
      </c>
      <c r="B242" s="31" t="inlineStr">
        <is>
          <t>Чистовая</t>
        </is>
      </c>
      <c r="C242" s="31" t="inlineStr">
        <is>
          <t>8.1.5</t>
        </is>
      </c>
      <c r="D242" s="32" t="inlineStr">
        <is>
          <t>Прочие помещения подзем.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>
      <c r="A243" s="30">
        <f>A232</f>
        <v/>
      </c>
      <c r="B243" s="31" t="inlineStr">
        <is>
          <t>Чистовая</t>
        </is>
      </c>
      <c r="C243" s="31" t="inlineStr">
        <is>
          <t>8.1.6</t>
        </is>
      </c>
      <c r="D243" s="32" t="inlineStr">
        <is>
          <t>Коммерч. помещения подзем.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A232+7</f>
        <v/>
      </c>
      <c r="B244" s="31" t="inlineStr">
        <is>
          <t>Черновая</t>
        </is>
      </c>
      <c r="C244" s="31" t="inlineStr">
        <is>
          <t>8.1.1</t>
        </is>
      </c>
      <c r="D244" s="32" t="inlineStr">
        <is>
          <t>Отделка паркинг и рампы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 ht="30" customHeight="1" s="74">
      <c r="A245" s="30">
        <f>A244</f>
        <v/>
      </c>
      <c r="B245" s="31" t="inlineStr">
        <is>
          <t>Черновая</t>
        </is>
      </c>
      <c r="C245" s="31" t="inlineStr">
        <is>
          <t>8.1.2</t>
        </is>
      </c>
      <c r="D245" s="32" t="inlineStr">
        <is>
          <t>Отделка эвакуац. лестн. клетки подзем.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A244</f>
        <v/>
      </c>
      <c r="B246" s="31" t="inlineStr">
        <is>
          <t>Черновая</t>
        </is>
      </c>
      <c r="C246" s="31" t="inlineStr">
        <is>
          <t>8.1.3</t>
        </is>
      </c>
      <c r="D246" s="32" t="inlineStr">
        <is>
          <t>Лифт. холлы, тамбур-шлюзы подзем.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A244</f>
        <v/>
      </c>
      <c r="B247" s="31" t="inlineStr">
        <is>
          <t>Черновая</t>
        </is>
      </c>
      <c r="C247" s="31" t="inlineStr">
        <is>
          <t>8.1.4</t>
        </is>
      </c>
      <c r="D247" s="32" t="inlineStr">
        <is>
          <t>Технич. помещения подзем.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A244</f>
        <v/>
      </c>
      <c r="B248" s="31" t="inlineStr">
        <is>
          <t>Черновая</t>
        </is>
      </c>
      <c r="C248" s="31" t="inlineStr">
        <is>
          <t>8.1.5</t>
        </is>
      </c>
      <c r="D248" s="32" t="inlineStr">
        <is>
          <t>Прочие помещения подзем.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A244</f>
        <v/>
      </c>
      <c r="B249" s="31" t="inlineStr">
        <is>
          <t>Черновая</t>
        </is>
      </c>
      <c r="C249" s="31" t="inlineStr">
        <is>
          <t>8.1.6</t>
        </is>
      </c>
      <c r="D249" s="32" t="inlineStr">
        <is>
          <t>Коммерч. помещения подзем.</t>
        </is>
      </c>
      <c r="E249" s="33" t="n"/>
      <c r="F249" s="33" t="n"/>
      <c r="G249" s="33" t="n"/>
      <c r="H249" s="33" t="n"/>
      <c r="I249" s="34">
        <f>COUNTA(E249:G249)&amp;"/3"</f>
        <v/>
      </c>
    </row>
    <row r="250">
      <c r="A250" s="30">
        <f>A244</f>
        <v/>
      </c>
      <c r="B250" s="31" t="inlineStr">
        <is>
          <t>Чистовая</t>
        </is>
      </c>
      <c r="C250" s="31" t="inlineStr">
        <is>
          <t>8.1.1</t>
        </is>
      </c>
      <c r="D250" s="32" t="inlineStr">
        <is>
          <t>Отделка паркинг и рампы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 ht="30" customHeight="1" s="74">
      <c r="A251" s="30">
        <f>A244</f>
        <v/>
      </c>
      <c r="B251" s="31" t="inlineStr">
        <is>
          <t>Чистовая</t>
        </is>
      </c>
      <c r="C251" s="31" t="inlineStr">
        <is>
          <t>8.1.2</t>
        </is>
      </c>
      <c r="D251" s="32" t="inlineStr">
        <is>
          <t>Отделка эвакуац. лестн. клетки подзем.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A244</f>
        <v/>
      </c>
      <c r="B252" s="31" t="inlineStr">
        <is>
          <t>Чистовая</t>
        </is>
      </c>
      <c r="C252" s="31" t="inlineStr">
        <is>
          <t>8.1.3</t>
        </is>
      </c>
      <c r="D252" s="32" t="inlineStr">
        <is>
          <t>Лифт. холлы, тамбур-шлюзы подзем.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A244</f>
        <v/>
      </c>
      <c r="B253" s="31" t="inlineStr">
        <is>
          <t>Чистовая</t>
        </is>
      </c>
      <c r="C253" s="31" t="inlineStr">
        <is>
          <t>8.1.4</t>
        </is>
      </c>
      <c r="D253" s="32" t="inlineStr">
        <is>
          <t>Технич. помещения подзем.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A244</f>
        <v/>
      </c>
      <c r="B254" s="31" t="inlineStr">
        <is>
          <t>Чистовая</t>
        </is>
      </c>
      <c r="C254" s="31" t="inlineStr">
        <is>
          <t>8.1.5</t>
        </is>
      </c>
      <c r="D254" s="32" t="inlineStr">
        <is>
          <t>Прочие помещения подзем.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A244</f>
        <v/>
      </c>
      <c r="B255" s="31" t="inlineStr">
        <is>
          <t>Чистовая</t>
        </is>
      </c>
      <c r="C255" s="31" t="inlineStr">
        <is>
          <t>8.1.6</t>
        </is>
      </c>
      <c r="D255" s="32" t="inlineStr">
        <is>
          <t>Коммерч. помещения подзем.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A244+7</f>
        <v/>
      </c>
      <c r="B256" s="31" t="inlineStr">
        <is>
          <t>Черновая</t>
        </is>
      </c>
      <c r="C256" s="31" t="inlineStr">
        <is>
          <t>8.1.1</t>
        </is>
      </c>
      <c r="D256" s="32" t="inlineStr">
        <is>
          <t>Отделка паркинг и рампы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8.1.2</t>
        </is>
      </c>
      <c r="D257" s="32" t="inlineStr">
        <is>
          <t>Отделка эвакуац. лестн. клетки подзем.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8.1.3</t>
        </is>
      </c>
      <c r="D258" s="32" t="inlineStr">
        <is>
          <t>Лифт. холлы, тамбур-шлюзы подзем.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8.1.4</t>
        </is>
      </c>
      <c r="D259" s="32" t="inlineStr">
        <is>
          <t>Технич. помещения подзем.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8.1.5</t>
        </is>
      </c>
      <c r="D260" s="32" t="inlineStr">
        <is>
          <t>Прочие помещения подзем.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8.1.6</t>
        </is>
      </c>
      <c r="D261" s="32" t="inlineStr">
        <is>
          <t>Коммерч. помещения подзем.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Чистовая</t>
        </is>
      </c>
      <c r="C262" s="31" t="inlineStr">
        <is>
          <t>8.1.1</t>
        </is>
      </c>
      <c r="D262" s="32" t="inlineStr">
        <is>
          <t>Отделка паркинг и рампы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 ht="30" customHeight="1" s="74">
      <c r="A263" s="30">
        <f>A256</f>
        <v/>
      </c>
      <c r="B263" s="31" t="inlineStr">
        <is>
          <t>Чистовая</t>
        </is>
      </c>
      <c r="C263" s="31" t="inlineStr">
        <is>
          <t>8.1.2</t>
        </is>
      </c>
      <c r="D263" s="32" t="inlineStr">
        <is>
          <t>Отделка эвакуац. лестн. клетки подзем.</t>
        </is>
      </c>
      <c r="E263" s="33" t="n"/>
      <c r="F263" s="33" t="n"/>
      <c r="G263" s="33" t="n"/>
      <c r="H263" s="33" t="n"/>
      <c r="I263" s="34">
        <f>COUNTA(E263:G263)&amp;"/3"</f>
        <v/>
      </c>
    </row>
    <row r="264">
      <c r="A264" s="30">
        <f>A256</f>
        <v/>
      </c>
      <c r="B264" s="31" t="inlineStr">
        <is>
          <t>Чистовая</t>
        </is>
      </c>
      <c r="C264" s="31" t="inlineStr">
        <is>
          <t>8.1.3</t>
        </is>
      </c>
      <c r="D264" s="32" t="inlineStr">
        <is>
          <t>Лифт. холлы, тамбур-шлюзы подзем.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8.1.4</t>
        </is>
      </c>
      <c r="D265" s="32" t="inlineStr">
        <is>
          <t>Технич. помещения подзем.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8.1.5</t>
        </is>
      </c>
      <c r="D266" s="32" t="inlineStr">
        <is>
          <t>Прочие помещения подзем.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8.1.6</t>
        </is>
      </c>
      <c r="D267" s="32" t="inlineStr">
        <is>
          <t>Коммерч. помещения подзем.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A256+7</f>
        <v/>
      </c>
      <c r="B268" s="31" t="inlineStr">
        <is>
          <t>Черновая</t>
        </is>
      </c>
      <c r="C268" s="31" t="inlineStr">
        <is>
          <t>8.1.1</t>
        </is>
      </c>
      <c r="D268" s="32" t="inlineStr">
        <is>
          <t>Отделка паркинг и рампы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 ht="30" customHeight="1" s="74">
      <c r="A269" s="30">
        <f>A268</f>
        <v/>
      </c>
      <c r="B269" s="31" t="inlineStr">
        <is>
          <t>Черновая</t>
        </is>
      </c>
      <c r="C269" s="31" t="inlineStr">
        <is>
          <t>8.1.2</t>
        </is>
      </c>
      <c r="D269" s="32" t="inlineStr">
        <is>
          <t>Отделка эвакуац. лестн. клетки подзем.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A268</f>
        <v/>
      </c>
      <c r="B270" s="31" t="inlineStr">
        <is>
          <t>Черновая</t>
        </is>
      </c>
      <c r="C270" s="31" t="inlineStr">
        <is>
          <t>8.1.3</t>
        </is>
      </c>
      <c r="D270" s="32" t="inlineStr">
        <is>
          <t>Лифт. холлы, тамбур-шлюзы подзем.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>
      <c r="A271" s="30">
        <f>A268</f>
        <v/>
      </c>
      <c r="B271" s="31" t="inlineStr">
        <is>
          <t>Черновая</t>
        </is>
      </c>
      <c r="C271" s="31" t="inlineStr">
        <is>
          <t>8.1.4</t>
        </is>
      </c>
      <c r="D271" s="32" t="inlineStr">
        <is>
          <t>Технич. помещения подзем.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A268</f>
        <v/>
      </c>
      <c r="B272" s="31" t="inlineStr">
        <is>
          <t>Черновая</t>
        </is>
      </c>
      <c r="C272" s="31" t="inlineStr">
        <is>
          <t>8.1.5</t>
        </is>
      </c>
      <c r="D272" s="32" t="inlineStr">
        <is>
          <t>Прочие помещения подзем.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A268</f>
        <v/>
      </c>
      <c r="B273" s="31" t="inlineStr">
        <is>
          <t>Черновая</t>
        </is>
      </c>
      <c r="C273" s="31" t="inlineStr">
        <is>
          <t>8.1.6</t>
        </is>
      </c>
      <c r="D273" s="32" t="inlineStr">
        <is>
          <t>Коммерч. помещения подзем.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A268</f>
        <v/>
      </c>
      <c r="B274" s="31" t="inlineStr">
        <is>
          <t>Чистовая</t>
        </is>
      </c>
      <c r="C274" s="31" t="inlineStr">
        <is>
          <t>8.1.1</t>
        </is>
      </c>
      <c r="D274" s="32" t="inlineStr">
        <is>
          <t>Отделка паркинг и рампы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 ht="30" customHeight="1" s="74">
      <c r="A275" s="30">
        <f>A268</f>
        <v/>
      </c>
      <c r="B275" s="31" t="inlineStr">
        <is>
          <t>Чистовая</t>
        </is>
      </c>
      <c r="C275" s="31" t="inlineStr">
        <is>
          <t>8.1.2</t>
        </is>
      </c>
      <c r="D275" s="32" t="inlineStr">
        <is>
          <t>Отделка эвакуац. лестн. клетки подзем.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A268</f>
        <v/>
      </c>
      <c r="B276" s="31" t="inlineStr">
        <is>
          <t>Чистовая</t>
        </is>
      </c>
      <c r="C276" s="31" t="inlineStr">
        <is>
          <t>8.1.3</t>
        </is>
      </c>
      <c r="D276" s="32" t="inlineStr">
        <is>
          <t>Лифт. холлы, тамбур-шлюзы подзем.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A268</f>
        <v/>
      </c>
      <c r="B277" s="31" t="inlineStr">
        <is>
          <t>Чистовая</t>
        </is>
      </c>
      <c r="C277" s="31" t="inlineStr">
        <is>
          <t>8.1.4</t>
        </is>
      </c>
      <c r="D277" s="32" t="inlineStr">
        <is>
          <t>Технич. помещения подзем.</t>
        </is>
      </c>
      <c r="E277" s="33" t="n"/>
      <c r="F277" s="33" t="n"/>
      <c r="G277" s="33" t="n"/>
      <c r="H277" s="33" t="n"/>
      <c r="I277" s="34">
        <f>COUNTA(E277:G277)&amp;"/3"</f>
        <v/>
      </c>
    </row>
    <row r="278">
      <c r="A278" s="30">
        <f>A268</f>
        <v/>
      </c>
      <c r="B278" s="31" t="inlineStr">
        <is>
          <t>Чистовая</t>
        </is>
      </c>
      <c r="C278" s="31" t="inlineStr">
        <is>
          <t>8.1.5</t>
        </is>
      </c>
      <c r="D278" s="32" t="inlineStr">
        <is>
          <t>Прочие помещения подзем.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A268</f>
        <v/>
      </c>
      <c r="B279" s="31" t="inlineStr">
        <is>
          <t>Чистовая</t>
        </is>
      </c>
      <c r="C279" s="31" t="inlineStr">
        <is>
          <t>8.1.6</t>
        </is>
      </c>
      <c r="D279" s="32" t="inlineStr">
        <is>
          <t>Коммерч. помещения подзем.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A268+7</f>
        <v/>
      </c>
      <c r="B280" s="31" t="inlineStr">
        <is>
          <t>Черновая</t>
        </is>
      </c>
      <c r="C280" s="31" t="inlineStr">
        <is>
          <t>8.1.1</t>
        </is>
      </c>
      <c r="D280" s="32" t="inlineStr">
        <is>
          <t>Отделка паркинг и рампы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 ht="30" customHeight="1" s="74">
      <c r="A281" s="30">
        <f>A280</f>
        <v/>
      </c>
      <c r="B281" s="31" t="inlineStr">
        <is>
          <t>Черновая</t>
        </is>
      </c>
      <c r="C281" s="31" t="inlineStr">
        <is>
          <t>8.1.2</t>
        </is>
      </c>
      <c r="D281" s="32" t="inlineStr">
        <is>
          <t>Отделка эвакуац. лестн. клетки подзем.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A280</f>
        <v/>
      </c>
      <c r="B282" s="31" t="inlineStr">
        <is>
          <t>Черновая</t>
        </is>
      </c>
      <c r="C282" s="31" t="inlineStr">
        <is>
          <t>8.1.3</t>
        </is>
      </c>
      <c r="D282" s="32" t="inlineStr">
        <is>
          <t>Лифт. холлы, тамбур-шлюзы подзем.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A280</f>
        <v/>
      </c>
      <c r="B283" s="31" t="inlineStr">
        <is>
          <t>Черновая</t>
        </is>
      </c>
      <c r="C283" s="31" t="inlineStr">
        <is>
          <t>8.1.4</t>
        </is>
      </c>
      <c r="D283" s="32" t="inlineStr">
        <is>
          <t>Технич. помещения подзем.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A280</f>
        <v/>
      </c>
      <c r="B284" s="31" t="inlineStr">
        <is>
          <t>Черновая</t>
        </is>
      </c>
      <c r="C284" s="31" t="inlineStr">
        <is>
          <t>8.1.5</t>
        </is>
      </c>
      <c r="D284" s="32" t="inlineStr">
        <is>
          <t>Прочие помещения подзем.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>
      <c r="A285" s="30">
        <f>A280</f>
        <v/>
      </c>
      <c r="B285" s="31" t="inlineStr">
        <is>
          <t>Черновая</t>
        </is>
      </c>
      <c r="C285" s="31" t="inlineStr">
        <is>
          <t>8.1.6</t>
        </is>
      </c>
      <c r="D285" s="32" t="inlineStr">
        <is>
          <t>Коммерч. помещения подзем.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A280</f>
        <v/>
      </c>
      <c r="B286" s="31" t="inlineStr">
        <is>
          <t>Чистовая</t>
        </is>
      </c>
      <c r="C286" s="31" t="inlineStr">
        <is>
          <t>8.1.1</t>
        </is>
      </c>
      <c r="D286" s="32" t="inlineStr">
        <is>
          <t>Отделка паркинг и рампы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 ht="30" customHeight="1" s="74">
      <c r="A287" s="30">
        <f>A280</f>
        <v/>
      </c>
      <c r="B287" s="31" t="inlineStr">
        <is>
          <t>Чистовая</t>
        </is>
      </c>
      <c r="C287" s="31" t="inlineStr">
        <is>
          <t>8.1.2</t>
        </is>
      </c>
      <c r="D287" s="32" t="inlineStr">
        <is>
          <t>Отделка эвакуац. лестн. клетки подзем.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A280</f>
        <v/>
      </c>
      <c r="B288" s="31" t="inlineStr">
        <is>
          <t>Чистовая</t>
        </is>
      </c>
      <c r="C288" s="31" t="inlineStr">
        <is>
          <t>8.1.3</t>
        </is>
      </c>
      <c r="D288" s="32" t="inlineStr">
        <is>
          <t>Лифт. холлы, тамбур-шлюзы подзем.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A280</f>
        <v/>
      </c>
      <c r="B289" s="31" t="inlineStr">
        <is>
          <t>Чистовая</t>
        </is>
      </c>
      <c r="C289" s="31" t="inlineStr">
        <is>
          <t>8.1.4</t>
        </is>
      </c>
      <c r="D289" s="32" t="inlineStr">
        <is>
          <t>Технич. помещения подзем.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A280</f>
        <v/>
      </c>
      <c r="B290" s="31" t="inlineStr">
        <is>
          <t>Чистовая</t>
        </is>
      </c>
      <c r="C290" s="31" t="inlineStr">
        <is>
          <t>8.1.5</t>
        </is>
      </c>
      <c r="D290" s="32" t="inlineStr">
        <is>
          <t>Прочие помещения подзем.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A280</f>
        <v/>
      </c>
      <c r="B291" s="31" t="inlineStr">
        <is>
          <t>Чистовая</t>
        </is>
      </c>
      <c r="C291" s="31" t="inlineStr">
        <is>
          <t>8.1.6</t>
        </is>
      </c>
      <c r="D291" s="32" t="inlineStr">
        <is>
          <t>Коммерч. помещения подзем.</t>
        </is>
      </c>
      <c r="E291" s="33" t="n"/>
      <c r="F291" s="33" t="n"/>
      <c r="G291" s="33" t="n"/>
      <c r="H291" s="33" t="n"/>
      <c r="I291" s="34">
        <f>COUNTA(E291:G291)&amp;"/3"</f>
        <v/>
      </c>
    </row>
    <row r="292">
      <c r="A292" s="30">
        <f>A280+7</f>
        <v/>
      </c>
      <c r="B292" s="31" t="inlineStr">
        <is>
          <t>Черновая</t>
        </is>
      </c>
      <c r="C292" s="31" t="inlineStr">
        <is>
          <t>8.1.1</t>
        </is>
      </c>
      <c r="D292" s="32" t="inlineStr">
        <is>
          <t>Отделка паркинг и рампы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 ht="30" customHeight="1" s="74">
      <c r="A293" s="30">
        <f>A292</f>
        <v/>
      </c>
      <c r="B293" s="31" t="inlineStr">
        <is>
          <t>Черновая</t>
        </is>
      </c>
      <c r="C293" s="31" t="inlineStr">
        <is>
          <t>8.1.2</t>
        </is>
      </c>
      <c r="D293" s="32" t="inlineStr">
        <is>
          <t>Отделка эвакуац. лестн. клетки подзем.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A292</f>
        <v/>
      </c>
      <c r="B294" s="31" t="inlineStr">
        <is>
          <t>Черновая</t>
        </is>
      </c>
      <c r="C294" s="31" t="inlineStr">
        <is>
          <t>8.1.3</t>
        </is>
      </c>
      <c r="D294" s="32" t="inlineStr">
        <is>
          <t>Лифт. холлы, тамбур-шлюзы подзем.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A292</f>
        <v/>
      </c>
      <c r="B295" s="31" t="inlineStr">
        <is>
          <t>Черновая</t>
        </is>
      </c>
      <c r="C295" s="31" t="inlineStr">
        <is>
          <t>8.1.4</t>
        </is>
      </c>
      <c r="D295" s="32" t="inlineStr">
        <is>
          <t>Технич. помещения подзем.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A292</f>
        <v/>
      </c>
      <c r="B296" s="31" t="inlineStr">
        <is>
          <t>Черновая</t>
        </is>
      </c>
      <c r="C296" s="31" t="inlineStr">
        <is>
          <t>8.1.5</t>
        </is>
      </c>
      <c r="D296" s="32" t="inlineStr">
        <is>
          <t>Прочие помещения подзем.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A292</f>
        <v/>
      </c>
      <c r="B297" s="31" t="inlineStr">
        <is>
          <t>Черновая</t>
        </is>
      </c>
      <c r="C297" s="31" t="inlineStr">
        <is>
          <t>8.1.6</t>
        </is>
      </c>
      <c r="D297" s="32" t="inlineStr">
        <is>
          <t>Коммерч. помещения подзем.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A292</f>
        <v/>
      </c>
      <c r="B298" s="31" t="inlineStr">
        <is>
          <t>Чистовая</t>
        </is>
      </c>
      <c r="C298" s="31" t="inlineStr">
        <is>
          <t>8.1.1</t>
        </is>
      </c>
      <c r="D298" s="32" t="inlineStr">
        <is>
          <t>Отделка паркинг и рампы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A292</f>
        <v/>
      </c>
      <c r="B299" s="31" t="inlineStr">
        <is>
          <t>Чистовая</t>
        </is>
      </c>
      <c r="C299" s="31" t="inlineStr">
        <is>
          <t>8.1.2</t>
        </is>
      </c>
      <c r="D299" s="32" t="inlineStr">
        <is>
          <t>Отделка эвакуац. лестн. клетки подзем.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A292</f>
        <v/>
      </c>
      <c r="B300" s="31" t="inlineStr">
        <is>
          <t>Чистовая</t>
        </is>
      </c>
      <c r="C300" s="31" t="inlineStr">
        <is>
          <t>8.1.3</t>
        </is>
      </c>
      <c r="D300" s="32" t="inlineStr">
        <is>
          <t>Лифт. холлы, тамбур-шлюзы подзем.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A292</f>
        <v/>
      </c>
      <c r="B301" s="31" t="inlineStr">
        <is>
          <t>Чистовая</t>
        </is>
      </c>
      <c r="C301" s="31" t="inlineStr">
        <is>
          <t>8.1.4</t>
        </is>
      </c>
      <c r="D301" s="32" t="inlineStr">
        <is>
          <t>Технич. помещения подзем.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A292</f>
        <v/>
      </c>
      <c r="B302" s="31" t="inlineStr">
        <is>
          <t>Чистовая</t>
        </is>
      </c>
      <c r="C302" s="31" t="inlineStr">
        <is>
          <t>8.1.5</t>
        </is>
      </c>
      <c r="D302" s="32" t="inlineStr">
        <is>
          <t>Прочие помещения подзем.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A292</f>
        <v/>
      </c>
      <c r="B303" s="31" t="inlineStr">
        <is>
          <t>Чистовая</t>
        </is>
      </c>
      <c r="C303" s="31" t="inlineStr">
        <is>
          <t>8.1.6</t>
        </is>
      </c>
      <c r="D303" s="32" t="inlineStr">
        <is>
          <t>Коммерч. помещения подзем.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A292+7</f>
        <v/>
      </c>
      <c r="B304" s="31" t="inlineStr">
        <is>
          <t>Черновая</t>
        </is>
      </c>
      <c r="C304" s="31" t="inlineStr">
        <is>
          <t>8.1.1</t>
        </is>
      </c>
      <c r="D304" s="32" t="inlineStr">
        <is>
          <t>Отделка паркинг и рампы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 ht="30" customHeight="1" s="74">
      <c r="A305" s="30">
        <f>A304</f>
        <v/>
      </c>
      <c r="B305" s="31" t="inlineStr">
        <is>
          <t>Черновая</t>
        </is>
      </c>
      <c r="C305" s="31" t="inlineStr">
        <is>
          <t>8.1.2</t>
        </is>
      </c>
      <c r="D305" s="32" t="inlineStr">
        <is>
          <t>Отделка эвакуац. лестн. клетки подзем.</t>
        </is>
      </c>
      <c r="E305" s="33" t="n"/>
      <c r="F305" s="33" t="n"/>
      <c r="G305" s="33" t="n"/>
      <c r="H305" s="33" t="n"/>
      <c r="I305" s="34">
        <f>COUNTA(E305:G305)&amp;"/3"</f>
        <v/>
      </c>
    </row>
    <row r="306">
      <c r="A306" s="30">
        <f>A304</f>
        <v/>
      </c>
      <c r="B306" s="31" t="inlineStr">
        <is>
          <t>Черновая</t>
        </is>
      </c>
      <c r="C306" s="31" t="inlineStr">
        <is>
          <t>8.1.3</t>
        </is>
      </c>
      <c r="D306" s="32" t="inlineStr">
        <is>
          <t>Лифт. холлы, тамбур-шлюзы подзем.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A304</f>
        <v/>
      </c>
      <c r="B307" s="31" t="inlineStr">
        <is>
          <t>Черновая</t>
        </is>
      </c>
      <c r="C307" s="31" t="inlineStr">
        <is>
          <t>8.1.4</t>
        </is>
      </c>
      <c r="D307" s="32" t="inlineStr">
        <is>
          <t>Технич. помещения подзем.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A304</f>
        <v/>
      </c>
      <c r="B308" s="31" t="inlineStr">
        <is>
          <t>Черновая</t>
        </is>
      </c>
      <c r="C308" s="31" t="inlineStr">
        <is>
          <t>8.1.5</t>
        </is>
      </c>
      <c r="D308" s="32" t="inlineStr">
        <is>
          <t>Прочие помещения подзем.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A304</f>
        <v/>
      </c>
      <c r="B309" s="31" t="inlineStr">
        <is>
          <t>Черновая</t>
        </is>
      </c>
      <c r="C309" s="31" t="inlineStr">
        <is>
          <t>8.1.6</t>
        </is>
      </c>
      <c r="D309" s="32" t="inlineStr">
        <is>
          <t>Коммерч. помещения подзем.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A304</f>
        <v/>
      </c>
      <c r="B310" s="31" t="inlineStr">
        <is>
          <t>Чистовая</t>
        </is>
      </c>
      <c r="C310" s="31" t="inlineStr">
        <is>
          <t>8.1.1</t>
        </is>
      </c>
      <c r="D310" s="32" t="inlineStr">
        <is>
          <t>Отделка паркинг и рампы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 ht="30" customHeight="1" s="74">
      <c r="A311" s="30">
        <f>A304</f>
        <v/>
      </c>
      <c r="B311" s="31" t="inlineStr">
        <is>
          <t>Чистовая</t>
        </is>
      </c>
      <c r="C311" s="31" t="inlineStr">
        <is>
          <t>8.1.2</t>
        </is>
      </c>
      <c r="D311" s="32" t="inlineStr">
        <is>
          <t>Отделка эвакуац. лестн. клетки подзем.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A304</f>
        <v/>
      </c>
      <c r="B312" s="31" t="inlineStr">
        <is>
          <t>Чистовая</t>
        </is>
      </c>
      <c r="C312" s="31" t="inlineStr">
        <is>
          <t>8.1.3</t>
        </is>
      </c>
      <c r="D312" s="32" t="inlineStr">
        <is>
          <t>Лифт. холлы, тамбур-шлюзы подзем.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>
      <c r="A313" s="30">
        <f>A304</f>
        <v/>
      </c>
      <c r="B313" s="31" t="inlineStr">
        <is>
          <t>Чистовая</t>
        </is>
      </c>
      <c r="C313" s="31" t="inlineStr">
        <is>
          <t>8.1.4</t>
        </is>
      </c>
      <c r="D313" s="32" t="inlineStr">
        <is>
          <t>Технич. помещения подзем.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A304</f>
        <v/>
      </c>
      <c r="B314" s="31" t="inlineStr">
        <is>
          <t>Чистовая</t>
        </is>
      </c>
      <c r="C314" s="31" t="inlineStr">
        <is>
          <t>8.1.5</t>
        </is>
      </c>
      <c r="D314" s="32" t="inlineStr">
        <is>
          <t>Прочие помещения подзем.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A304</f>
        <v/>
      </c>
      <c r="B315" s="31" t="inlineStr">
        <is>
          <t>Чистовая</t>
        </is>
      </c>
      <c r="C315" s="31" t="inlineStr">
        <is>
          <t>8.1.6</t>
        </is>
      </c>
      <c r="D315" s="32" t="inlineStr">
        <is>
          <t>Коммерч. помещения подзем.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A304+7</f>
        <v/>
      </c>
      <c r="B316" s="31" t="inlineStr">
        <is>
          <t>Черновая</t>
        </is>
      </c>
      <c r="C316" s="31" t="inlineStr">
        <is>
          <t>8.1.1</t>
        </is>
      </c>
      <c r="D316" s="32" t="inlineStr">
        <is>
          <t>Отделка паркинг и рампы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 ht="30" customHeight="1" s="74">
      <c r="A317" s="30">
        <f>A316</f>
        <v/>
      </c>
      <c r="B317" s="31" t="inlineStr">
        <is>
          <t>Черновая</t>
        </is>
      </c>
      <c r="C317" s="31" t="inlineStr">
        <is>
          <t>8.1.2</t>
        </is>
      </c>
      <c r="D317" s="32" t="inlineStr">
        <is>
          <t>Отделка эвакуац. лестн. клетки подзем.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A316</f>
        <v/>
      </c>
      <c r="B318" s="31" t="inlineStr">
        <is>
          <t>Черновая</t>
        </is>
      </c>
      <c r="C318" s="31" t="inlineStr">
        <is>
          <t>8.1.3</t>
        </is>
      </c>
      <c r="D318" s="32" t="inlineStr">
        <is>
          <t>Лифт. холлы, тамбур-шлюзы подзем.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A316</f>
        <v/>
      </c>
      <c r="B319" s="31" t="inlineStr">
        <is>
          <t>Черновая</t>
        </is>
      </c>
      <c r="C319" s="31" t="inlineStr">
        <is>
          <t>8.1.4</t>
        </is>
      </c>
      <c r="D319" s="32" t="inlineStr">
        <is>
          <t>Технич. помещения подзем.</t>
        </is>
      </c>
      <c r="E319" s="33" t="n"/>
      <c r="F319" s="33" t="n"/>
      <c r="G319" s="33" t="n"/>
      <c r="H319" s="33" t="n"/>
      <c r="I319" s="34">
        <f>COUNTA(E319:G319)&amp;"/3"</f>
        <v/>
      </c>
    </row>
    <row r="320">
      <c r="A320" s="30">
        <f>A316</f>
        <v/>
      </c>
      <c r="B320" s="31" t="inlineStr">
        <is>
          <t>Черновая</t>
        </is>
      </c>
      <c r="C320" s="31" t="inlineStr">
        <is>
          <t>8.1.5</t>
        </is>
      </c>
      <c r="D320" s="32" t="inlineStr">
        <is>
          <t>Прочие помещения подзем.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A316</f>
        <v/>
      </c>
      <c r="B321" s="31" t="inlineStr">
        <is>
          <t>Черновая</t>
        </is>
      </c>
      <c r="C321" s="31" t="inlineStr">
        <is>
          <t>8.1.6</t>
        </is>
      </c>
      <c r="D321" s="32" t="inlineStr">
        <is>
          <t>Коммерч. помещения подзем.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A316</f>
        <v/>
      </c>
      <c r="B322" s="31" t="inlineStr">
        <is>
          <t>Чистовая</t>
        </is>
      </c>
      <c r="C322" s="31" t="inlineStr">
        <is>
          <t>8.1.1</t>
        </is>
      </c>
      <c r="D322" s="32" t="inlineStr">
        <is>
          <t>Отделка паркинг и рампы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 ht="30" customHeight="1" s="74">
      <c r="A323" s="30">
        <f>A316</f>
        <v/>
      </c>
      <c r="B323" s="31" t="inlineStr">
        <is>
          <t>Чистовая</t>
        </is>
      </c>
      <c r="C323" s="31" t="inlineStr">
        <is>
          <t>8.1.2</t>
        </is>
      </c>
      <c r="D323" s="32" t="inlineStr">
        <is>
          <t>Отделка эвакуац. лестн. клетки подзем.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A316</f>
        <v/>
      </c>
      <c r="B324" s="31" t="inlineStr">
        <is>
          <t>Чистовая</t>
        </is>
      </c>
      <c r="C324" s="31" t="inlineStr">
        <is>
          <t>8.1.3</t>
        </is>
      </c>
      <c r="D324" s="32" t="inlineStr">
        <is>
          <t>Лифт. холлы, тамбур-шлюзы подзем.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A316</f>
        <v/>
      </c>
      <c r="B325" s="31" t="inlineStr">
        <is>
          <t>Чистовая</t>
        </is>
      </c>
      <c r="C325" s="31" t="inlineStr">
        <is>
          <t>8.1.4</t>
        </is>
      </c>
      <c r="D325" s="32" t="inlineStr">
        <is>
          <t>Технич. помещения подзем.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A316</f>
        <v/>
      </c>
      <c r="B326" s="31" t="inlineStr">
        <is>
          <t>Чистовая</t>
        </is>
      </c>
      <c r="C326" s="31" t="inlineStr">
        <is>
          <t>8.1.5</t>
        </is>
      </c>
      <c r="D326" s="32" t="inlineStr">
        <is>
          <t>Прочие помещения подзем.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>
      <c r="A327" s="30">
        <f>A316</f>
        <v/>
      </c>
      <c r="B327" s="31" t="inlineStr">
        <is>
          <t>Чистовая</t>
        </is>
      </c>
      <c r="C327" s="31" t="inlineStr">
        <is>
          <t>8.1.6</t>
        </is>
      </c>
      <c r="D327" s="32" t="inlineStr">
        <is>
          <t>Коммерч. помещения подзем.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A316+7</f>
        <v/>
      </c>
      <c r="B328" s="31" t="inlineStr">
        <is>
          <t>Черновая</t>
        </is>
      </c>
      <c r="C328" s="31" t="inlineStr">
        <is>
          <t>8.1.1</t>
        </is>
      </c>
      <c r="D328" s="32" t="inlineStr">
        <is>
          <t>Отделка паркинг и рампы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 ht="30" customHeight="1" s="74">
      <c r="A329" s="30">
        <f>A328</f>
        <v/>
      </c>
      <c r="B329" s="31" t="inlineStr">
        <is>
          <t>Черновая</t>
        </is>
      </c>
      <c r="C329" s="31" t="inlineStr">
        <is>
          <t>8.1.2</t>
        </is>
      </c>
      <c r="D329" s="32" t="inlineStr">
        <is>
          <t>Отделка эвакуац. лестн. клетки подзем.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A328</f>
        <v/>
      </c>
      <c r="B330" s="31" t="inlineStr">
        <is>
          <t>Черновая</t>
        </is>
      </c>
      <c r="C330" s="31" t="inlineStr">
        <is>
          <t>8.1.3</t>
        </is>
      </c>
      <c r="D330" s="32" t="inlineStr">
        <is>
          <t>Лифт. холлы, тамбур-шлюзы подзем.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A328</f>
        <v/>
      </c>
      <c r="B331" s="31" t="inlineStr">
        <is>
          <t>Черновая</t>
        </is>
      </c>
      <c r="C331" s="31" t="inlineStr">
        <is>
          <t>8.1.4</t>
        </is>
      </c>
      <c r="D331" s="32" t="inlineStr">
        <is>
          <t>Технич. помещения подзем.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A328</f>
        <v/>
      </c>
      <c r="B332" s="31" t="inlineStr">
        <is>
          <t>Черновая</t>
        </is>
      </c>
      <c r="C332" s="31" t="inlineStr">
        <is>
          <t>8.1.5</t>
        </is>
      </c>
      <c r="D332" s="32" t="inlineStr">
        <is>
          <t>Прочие помещения подзем.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A328</f>
        <v/>
      </c>
      <c r="B333" s="31" t="inlineStr">
        <is>
          <t>Черновая</t>
        </is>
      </c>
      <c r="C333" s="31" t="inlineStr">
        <is>
          <t>8.1.6</t>
        </is>
      </c>
      <c r="D333" s="32" t="inlineStr">
        <is>
          <t>Коммерч. помещения подзем.</t>
        </is>
      </c>
      <c r="E333" s="33" t="n"/>
      <c r="F333" s="33" t="n"/>
      <c r="G333" s="33" t="n"/>
      <c r="H333" s="33" t="n"/>
      <c r="I333" s="34">
        <f>COUNTA(E333:G333)&amp;"/3"</f>
        <v/>
      </c>
    </row>
    <row r="334">
      <c r="A334" s="30">
        <f>A328</f>
        <v/>
      </c>
      <c r="B334" s="31" t="inlineStr">
        <is>
          <t>Чистовая</t>
        </is>
      </c>
      <c r="C334" s="31" t="inlineStr">
        <is>
          <t>8.1.1</t>
        </is>
      </c>
      <c r="D334" s="32" t="inlineStr">
        <is>
          <t>Отделка паркинг и рампы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 ht="30" customHeight="1" s="74">
      <c r="A335" s="30">
        <f>A328</f>
        <v/>
      </c>
      <c r="B335" s="31" t="inlineStr">
        <is>
          <t>Чистовая</t>
        </is>
      </c>
      <c r="C335" s="31" t="inlineStr">
        <is>
          <t>8.1.2</t>
        </is>
      </c>
      <c r="D335" s="32" t="inlineStr">
        <is>
          <t>Отделка эвакуац. лестн. клетки подзем.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A328</f>
        <v/>
      </c>
      <c r="B336" s="31" t="inlineStr">
        <is>
          <t>Чистовая</t>
        </is>
      </c>
      <c r="C336" s="31" t="inlineStr">
        <is>
          <t>8.1.3</t>
        </is>
      </c>
      <c r="D336" s="32" t="inlineStr">
        <is>
          <t>Лифт. холлы, тамбур-шлюзы подзем.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A328</f>
        <v/>
      </c>
      <c r="B337" s="31" t="inlineStr">
        <is>
          <t>Чистовая</t>
        </is>
      </c>
      <c r="C337" s="31" t="inlineStr">
        <is>
          <t>8.1.4</t>
        </is>
      </c>
      <c r="D337" s="32" t="inlineStr">
        <is>
          <t>Технич. помещения подзем.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A328</f>
        <v/>
      </c>
      <c r="B338" s="31" t="inlineStr">
        <is>
          <t>Чистовая</t>
        </is>
      </c>
      <c r="C338" s="31" t="inlineStr">
        <is>
          <t>8.1.5</t>
        </is>
      </c>
      <c r="D338" s="32" t="inlineStr">
        <is>
          <t>Прочие помещения подзем.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A328</f>
        <v/>
      </c>
      <c r="B339" s="31" t="inlineStr">
        <is>
          <t>Чистовая</t>
        </is>
      </c>
      <c r="C339" s="31" t="inlineStr">
        <is>
          <t>8.1.6</t>
        </is>
      </c>
      <c r="D339" s="32" t="inlineStr">
        <is>
          <t>Коммерч. помещения подзем.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A328+7</f>
        <v/>
      </c>
      <c r="B340" s="31" t="inlineStr">
        <is>
          <t>Черновая</t>
        </is>
      </c>
      <c r="C340" s="31" t="inlineStr">
        <is>
          <t>8.1.1</t>
        </is>
      </c>
      <c r="D340" s="32" t="inlineStr">
        <is>
          <t>Отделка паркинг и рампы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8.1.2</t>
        </is>
      </c>
      <c r="D341" s="32" t="inlineStr">
        <is>
          <t>Отделка эвакуац. лестн. клетки подзем.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8.1.3</t>
        </is>
      </c>
      <c r="D342" s="32" t="inlineStr">
        <is>
          <t>Лифт. холлы, тамбур-шлюзы подзем.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8.1.4</t>
        </is>
      </c>
      <c r="D343" s="32" t="inlineStr">
        <is>
          <t>Технич. помещения подзем.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8.1.5</t>
        </is>
      </c>
      <c r="D344" s="32" t="inlineStr">
        <is>
          <t>Прочие помещения подзем.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8.1.6</t>
        </is>
      </c>
      <c r="D345" s="32" t="inlineStr">
        <is>
          <t>Коммерч. помещения подзем.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Чистовая</t>
        </is>
      </c>
      <c r="C346" s="31" t="inlineStr">
        <is>
          <t>8.1.1</t>
        </is>
      </c>
      <c r="D346" s="32" t="inlineStr">
        <is>
          <t>Отделка паркинг и рампы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 ht="30" customHeight="1" s="74">
      <c r="A347" s="30">
        <f>A340</f>
        <v/>
      </c>
      <c r="B347" s="31" t="inlineStr">
        <is>
          <t>Чистовая</t>
        </is>
      </c>
      <c r="C347" s="31" t="inlineStr">
        <is>
          <t>8.1.2</t>
        </is>
      </c>
      <c r="D347" s="32" t="inlineStr">
        <is>
          <t>Отделка эвакуац. лестн. клетки подзем.</t>
        </is>
      </c>
      <c r="E347" s="33" t="n"/>
      <c r="F347" s="33" t="n"/>
      <c r="G347" s="33" t="n"/>
      <c r="H347" s="33" t="n"/>
      <c r="I347" s="34">
        <f>COUNTA(E347:G347)&amp;"/3"</f>
        <v/>
      </c>
    </row>
    <row r="348">
      <c r="A348" s="30">
        <f>A340</f>
        <v/>
      </c>
      <c r="B348" s="31" t="inlineStr">
        <is>
          <t>Чистовая</t>
        </is>
      </c>
      <c r="C348" s="31" t="inlineStr">
        <is>
          <t>8.1.3</t>
        </is>
      </c>
      <c r="D348" s="32" t="inlineStr">
        <is>
          <t>Лифт. холлы, тамбур-шлюзы подзем.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8.1.4</t>
        </is>
      </c>
      <c r="D349" s="32" t="inlineStr">
        <is>
          <t>Технич. помещения подзем.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8.1.5</t>
        </is>
      </c>
      <c r="D350" s="32" t="inlineStr">
        <is>
          <t>Прочие помещения подзем.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8.1.6</t>
        </is>
      </c>
      <c r="D351" s="32" t="inlineStr">
        <is>
          <t>Коммерч. помещения подзем.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A340+7</f>
        <v/>
      </c>
      <c r="B352" s="31" t="inlineStr">
        <is>
          <t>Черновая</t>
        </is>
      </c>
      <c r="C352" s="31" t="inlineStr">
        <is>
          <t>8.1.1</t>
        </is>
      </c>
      <c r="D352" s="32" t="inlineStr">
        <is>
          <t>Отделка паркинг и рампы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 ht="30" customHeight="1" s="74">
      <c r="A353" s="30">
        <f>A352</f>
        <v/>
      </c>
      <c r="B353" s="31" t="inlineStr">
        <is>
          <t>Черновая</t>
        </is>
      </c>
      <c r="C353" s="31" t="inlineStr">
        <is>
          <t>8.1.2</t>
        </is>
      </c>
      <c r="D353" s="32" t="inlineStr">
        <is>
          <t>Отделка эвакуац. лестн. клетки подзем.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A352</f>
        <v/>
      </c>
      <c r="B354" s="31" t="inlineStr">
        <is>
          <t>Черновая</t>
        </is>
      </c>
      <c r="C354" s="31" t="inlineStr">
        <is>
          <t>8.1.3</t>
        </is>
      </c>
      <c r="D354" s="32" t="inlineStr">
        <is>
          <t>Лифт. холлы, тамбур-шлюзы подзем.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>
      <c r="A355" s="30">
        <f>A352</f>
        <v/>
      </c>
      <c r="B355" s="31" t="inlineStr">
        <is>
          <t>Черновая</t>
        </is>
      </c>
      <c r="C355" s="31" t="inlineStr">
        <is>
          <t>8.1.4</t>
        </is>
      </c>
      <c r="D355" s="32" t="inlineStr">
        <is>
          <t>Технич. помещения подзем.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A352</f>
        <v/>
      </c>
      <c r="B356" s="31" t="inlineStr">
        <is>
          <t>Черновая</t>
        </is>
      </c>
      <c r="C356" s="31" t="inlineStr">
        <is>
          <t>8.1.5</t>
        </is>
      </c>
      <c r="D356" s="32" t="inlineStr">
        <is>
          <t>Прочие помещения подзем.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A352</f>
        <v/>
      </c>
      <c r="B357" s="31" t="inlineStr">
        <is>
          <t>Черновая</t>
        </is>
      </c>
      <c r="C357" s="31" t="inlineStr">
        <is>
          <t>8.1.6</t>
        </is>
      </c>
      <c r="D357" s="32" t="inlineStr">
        <is>
          <t>Коммерч. помещения подзем.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A352</f>
        <v/>
      </c>
      <c r="B358" s="31" t="inlineStr">
        <is>
          <t>Чистовая</t>
        </is>
      </c>
      <c r="C358" s="31" t="inlineStr">
        <is>
          <t>8.1.1</t>
        </is>
      </c>
      <c r="D358" s="32" t="inlineStr">
        <is>
          <t>Отделка паркинг и рампы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 ht="30" customHeight="1" s="74">
      <c r="A359" s="30">
        <f>A352</f>
        <v/>
      </c>
      <c r="B359" s="31" t="inlineStr">
        <is>
          <t>Чистовая</t>
        </is>
      </c>
      <c r="C359" s="31" t="inlineStr">
        <is>
          <t>8.1.2</t>
        </is>
      </c>
      <c r="D359" s="32" t="inlineStr">
        <is>
          <t>Отделка эвакуац. лестн. клетки подзем.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A352</f>
        <v/>
      </c>
      <c r="B360" s="31" t="inlineStr">
        <is>
          <t>Чистовая</t>
        </is>
      </c>
      <c r="C360" s="31" t="inlineStr">
        <is>
          <t>8.1.3</t>
        </is>
      </c>
      <c r="D360" s="32" t="inlineStr">
        <is>
          <t>Лифт. холлы, тамбур-шлюзы подзем.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A352</f>
        <v/>
      </c>
      <c r="B361" s="31" t="inlineStr">
        <is>
          <t>Чистовая</t>
        </is>
      </c>
      <c r="C361" s="31" t="inlineStr">
        <is>
          <t>8.1.4</t>
        </is>
      </c>
      <c r="D361" s="32" t="inlineStr">
        <is>
          <t>Технич. помещения подзем.</t>
        </is>
      </c>
      <c r="E361" s="33" t="n"/>
      <c r="F361" s="33" t="n"/>
      <c r="G361" s="33" t="n"/>
      <c r="H361" s="33" t="n"/>
      <c r="I361" s="34">
        <f>COUNTA(E361:G361)&amp;"/3"</f>
        <v/>
      </c>
    </row>
    <row r="362">
      <c r="A362" s="30">
        <f>A352</f>
        <v/>
      </c>
      <c r="B362" s="31" t="inlineStr">
        <is>
          <t>Чистовая</t>
        </is>
      </c>
      <c r="C362" s="31" t="inlineStr">
        <is>
          <t>8.1.5</t>
        </is>
      </c>
      <c r="D362" s="32" t="inlineStr">
        <is>
          <t>Прочие помещения подзем.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A352</f>
        <v/>
      </c>
      <c r="B363" s="31" t="inlineStr">
        <is>
          <t>Чистовая</t>
        </is>
      </c>
      <c r="C363" s="31" t="inlineStr">
        <is>
          <t>8.1.6</t>
        </is>
      </c>
      <c r="D363" s="32" t="inlineStr">
        <is>
          <t>Коммерч. помещения подзем.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A352+7</f>
        <v/>
      </c>
      <c r="B364" s="31" t="inlineStr">
        <is>
          <t>Черновая</t>
        </is>
      </c>
      <c r="C364" s="31" t="inlineStr">
        <is>
          <t>8.1.1</t>
        </is>
      </c>
      <c r="D364" s="32" t="inlineStr">
        <is>
          <t>Отделка паркинг и рампы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 ht="30" customHeight="1" s="74">
      <c r="A365" s="30">
        <f>A364</f>
        <v/>
      </c>
      <c r="B365" s="31" t="inlineStr">
        <is>
          <t>Черновая</t>
        </is>
      </c>
      <c r="C365" s="31" t="inlineStr">
        <is>
          <t>8.1.2</t>
        </is>
      </c>
      <c r="D365" s="32" t="inlineStr">
        <is>
          <t>Отделка эвакуац. лестн. клетки подзем.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A364</f>
        <v/>
      </c>
      <c r="B366" s="31" t="inlineStr">
        <is>
          <t>Черновая</t>
        </is>
      </c>
      <c r="C366" s="31" t="inlineStr">
        <is>
          <t>8.1.3</t>
        </is>
      </c>
      <c r="D366" s="32" t="inlineStr">
        <is>
          <t>Лифт. холлы, тамбур-шлюзы подзем.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A364</f>
        <v/>
      </c>
      <c r="B367" s="31" t="inlineStr">
        <is>
          <t>Черновая</t>
        </is>
      </c>
      <c r="C367" s="31" t="inlineStr">
        <is>
          <t>8.1.4</t>
        </is>
      </c>
      <c r="D367" s="32" t="inlineStr">
        <is>
          <t>Технич. помещения подзем.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A364</f>
        <v/>
      </c>
      <c r="B368" s="31" t="inlineStr">
        <is>
          <t>Черновая</t>
        </is>
      </c>
      <c r="C368" s="31" t="inlineStr">
        <is>
          <t>8.1.5</t>
        </is>
      </c>
      <c r="D368" s="32" t="inlineStr">
        <is>
          <t>Прочие помещения подзем.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>
      <c r="A369" s="30">
        <f>A364</f>
        <v/>
      </c>
      <c r="B369" s="31" t="inlineStr">
        <is>
          <t>Черновая</t>
        </is>
      </c>
      <c r="C369" s="31" t="inlineStr">
        <is>
          <t>8.1.6</t>
        </is>
      </c>
      <c r="D369" s="32" t="inlineStr">
        <is>
          <t>Коммерч. помещения подзем.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A364</f>
        <v/>
      </c>
      <c r="B370" s="31" t="inlineStr">
        <is>
          <t>Чистовая</t>
        </is>
      </c>
      <c r="C370" s="31" t="inlineStr">
        <is>
          <t>8.1.1</t>
        </is>
      </c>
      <c r="D370" s="32" t="inlineStr">
        <is>
          <t>Отделка паркинг и рампы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 ht="30" customHeight="1" s="74">
      <c r="A371" s="30">
        <f>A364</f>
        <v/>
      </c>
      <c r="B371" s="31" t="inlineStr">
        <is>
          <t>Чистовая</t>
        </is>
      </c>
      <c r="C371" s="31" t="inlineStr">
        <is>
          <t>8.1.2</t>
        </is>
      </c>
      <c r="D371" s="32" t="inlineStr">
        <is>
          <t>Отделка эвакуац. лестн. клетки подзем.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A364</f>
        <v/>
      </c>
      <c r="B372" s="31" t="inlineStr">
        <is>
          <t>Чистовая</t>
        </is>
      </c>
      <c r="C372" s="31" t="inlineStr">
        <is>
          <t>8.1.3</t>
        </is>
      </c>
      <c r="D372" s="32" t="inlineStr">
        <is>
          <t>Лифт. холлы, тамбур-шлюзы подзем.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A364</f>
        <v/>
      </c>
      <c r="B373" s="31" t="inlineStr">
        <is>
          <t>Чистовая</t>
        </is>
      </c>
      <c r="C373" s="31" t="inlineStr">
        <is>
          <t>8.1.4</t>
        </is>
      </c>
      <c r="D373" s="32" t="inlineStr">
        <is>
          <t>Технич. помещения подзем.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A364</f>
        <v/>
      </c>
      <c r="B374" s="31" t="inlineStr">
        <is>
          <t>Чистовая</t>
        </is>
      </c>
      <c r="C374" s="31" t="inlineStr">
        <is>
          <t>8.1.5</t>
        </is>
      </c>
      <c r="D374" s="32" t="inlineStr">
        <is>
          <t>Прочие помещения подзем.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A364</f>
        <v/>
      </c>
      <c r="B375" s="31" t="inlineStr">
        <is>
          <t>Чистовая</t>
        </is>
      </c>
      <c r="C375" s="31" t="inlineStr">
        <is>
          <t>8.1.6</t>
        </is>
      </c>
      <c r="D375" s="32" t="inlineStr">
        <is>
          <t>Коммерч. помещения подзем.</t>
        </is>
      </c>
      <c r="E375" s="33" t="n"/>
      <c r="F375" s="33" t="n"/>
      <c r="G375" s="33" t="n"/>
      <c r="H375" s="33" t="n"/>
      <c r="I375" s="34">
        <f>COUNTA(E375:G375)&amp;"/3"</f>
        <v/>
      </c>
    </row>
    <row r="376">
      <c r="A376" s="30">
        <f>A364+7</f>
        <v/>
      </c>
      <c r="B376" s="31" t="inlineStr">
        <is>
          <t>Черновая</t>
        </is>
      </c>
      <c r="C376" s="31" t="inlineStr">
        <is>
          <t>8.1.1</t>
        </is>
      </c>
      <c r="D376" s="32" t="inlineStr">
        <is>
          <t>Отделка паркинг и рампы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 ht="30" customHeight="1" s="74">
      <c r="A377" s="30">
        <f>A376</f>
        <v/>
      </c>
      <c r="B377" s="31" t="inlineStr">
        <is>
          <t>Черновая</t>
        </is>
      </c>
      <c r="C377" s="31" t="inlineStr">
        <is>
          <t>8.1.2</t>
        </is>
      </c>
      <c r="D377" s="32" t="inlineStr">
        <is>
          <t>Отделка эвакуац. лестн. клетки подзем.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A376</f>
        <v/>
      </c>
      <c r="B378" s="31" t="inlineStr">
        <is>
          <t>Черновая</t>
        </is>
      </c>
      <c r="C378" s="31" t="inlineStr">
        <is>
          <t>8.1.3</t>
        </is>
      </c>
      <c r="D378" s="32" t="inlineStr">
        <is>
          <t>Лифт. холлы, тамбур-шлюзы подзем.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A376</f>
        <v/>
      </c>
      <c r="B379" s="31" t="inlineStr">
        <is>
          <t>Черновая</t>
        </is>
      </c>
      <c r="C379" s="31" t="inlineStr">
        <is>
          <t>8.1.4</t>
        </is>
      </c>
      <c r="D379" s="32" t="inlineStr">
        <is>
          <t>Технич. помещения подзем.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A376</f>
        <v/>
      </c>
      <c r="B380" s="31" t="inlineStr">
        <is>
          <t>Черновая</t>
        </is>
      </c>
      <c r="C380" s="31" t="inlineStr">
        <is>
          <t>8.1.5</t>
        </is>
      </c>
      <c r="D380" s="32" t="inlineStr">
        <is>
          <t>Прочие помещения подзем.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A376</f>
        <v/>
      </c>
      <c r="B381" s="31" t="inlineStr">
        <is>
          <t>Черновая</t>
        </is>
      </c>
      <c r="C381" s="31" t="inlineStr">
        <is>
          <t>8.1.6</t>
        </is>
      </c>
      <c r="D381" s="32" t="inlineStr">
        <is>
          <t>Коммерч. помещения подзем.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A376</f>
        <v/>
      </c>
      <c r="B382" s="31" t="inlineStr">
        <is>
          <t>Чистовая</t>
        </is>
      </c>
      <c r="C382" s="31" t="inlineStr">
        <is>
          <t>8.1.1</t>
        </is>
      </c>
      <c r="D382" s="32" t="inlineStr">
        <is>
          <t>Отделка паркинг и рампы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A376</f>
        <v/>
      </c>
      <c r="B383" s="31" t="inlineStr">
        <is>
          <t>Чистовая</t>
        </is>
      </c>
      <c r="C383" s="31" t="inlineStr">
        <is>
          <t>8.1.2</t>
        </is>
      </c>
      <c r="D383" s="32" t="inlineStr">
        <is>
          <t>Отделка эвакуац. лестн. клетки подзем.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A376</f>
        <v/>
      </c>
      <c r="B384" s="31" t="inlineStr">
        <is>
          <t>Чистовая</t>
        </is>
      </c>
      <c r="C384" s="31" t="inlineStr">
        <is>
          <t>8.1.3</t>
        </is>
      </c>
      <c r="D384" s="32" t="inlineStr">
        <is>
          <t>Лифт. холлы, тамбур-шлюзы подзем.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A376</f>
        <v/>
      </c>
      <c r="B385" s="31" t="inlineStr">
        <is>
          <t>Чистовая</t>
        </is>
      </c>
      <c r="C385" s="31" t="inlineStr">
        <is>
          <t>8.1.4</t>
        </is>
      </c>
      <c r="D385" s="32" t="inlineStr">
        <is>
          <t>Технич. помещения подзем.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A376</f>
        <v/>
      </c>
      <c r="B386" s="31" t="inlineStr">
        <is>
          <t>Чистовая</t>
        </is>
      </c>
      <c r="C386" s="31" t="inlineStr">
        <is>
          <t>8.1.5</t>
        </is>
      </c>
      <c r="D386" s="32" t="inlineStr">
        <is>
          <t>Прочие помещения подзем.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A376</f>
        <v/>
      </c>
      <c r="B387" s="31" t="inlineStr">
        <is>
          <t>Чистовая</t>
        </is>
      </c>
      <c r="C387" s="31" t="inlineStr">
        <is>
          <t>8.1.6</t>
        </is>
      </c>
      <c r="D387" s="32" t="inlineStr">
        <is>
          <t>Коммерч. помещения подзем.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A376+7</f>
        <v/>
      </c>
      <c r="B388" s="31" t="inlineStr">
        <is>
          <t>Черновая</t>
        </is>
      </c>
      <c r="C388" s="31" t="inlineStr">
        <is>
          <t>8.1.1</t>
        </is>
      </c>
      <c r="D388" s="32" t="inlineStr">
        <is>
          <t>Отделка паркинг и рампы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 ht="30" customHeight="1" s="74">
      <c r="A389" s="30">
        <f>A388</f>
        <v/>
      </c>
      <c r="B389" s="31" t="inlineStr">
        <is>
          <t>Черновая</t>
        </is>
      </c>
      <c r="C389" s="31" t="inlineStr">
        <is>
          <t>8.1.2</t>
        </is>
      </c>
      <c r="D389" s="32" t="inlineStr">
        <is>
          <t>Отделка эвакуац. лестн. клетки подзем.</t>
        </is>
      </c>
      <c r="E389" s="33" t="n"/>
      <c r="F389" s="33" t="n"/>
      <c r="G389" s="33" t="n"/>
      <c r="H389" s="33" t="n"/>
      <c r="I389" s="34">
        <f>COUNTA(E389:G389)&amp;"/3"</f>
        <v/>
      </c>
    </row>
    <row r="390">
      <c r="A390" s="30">
        <f>A388</f>
        <v/>
      </c>
      <c r="B390" s="31" t="inlineStr">
        <is>
          <t>Черновая</t>
        </is>
      </c>
      <c r="C390" s="31" t="inlineStr">
        <is>
          <t>8.1.3</t>
        </is>
      </c>
      <c r="D390" s="32" t="inlineStr">
        <is>
          <t>Лифт. холлы, тамбур-шлюзы подзем.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A388</f>
        <v/>
      </c>
      <c r="B391" s="31" t="inlineStr">
        <is>
          <t>Черновая</t>
        </is>
      </c>
      <c r="C391" s="31" t="inlineStr">
        <is>
          <t>8.1.4</t>
        </is>
      </c>
      <c r="D391" s="32" t="inlineStr">
        <is>
          <t>Технич. помещения подзем.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A388</f>
        <v/>
      </c>
      <c r="B392" s="31" t="inlineStr">
        <is>
          <t>Черновая</t>
        </is>
      </c>
      <c r="C392" s="31" t="inlineStr">
        <is>
          <t>8.1.5</t>
        </is>
      </c>
      <c r="D392" s="32" t="inlineStr">
        <is>
          <t>Прочие помещения подзем.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A388</f>
        <v/>
      </c>
      <c r="B393" s="31" t="inlineStr">
        <is>
          <t>Черновая</t>
        </is>
      </c>
      <c r="C393" s="31" t="inlineStr">
        <is>
          <t>8.1.6</t>
        </is>
      </c>
      <c r="D393" s="32" t="inlineStr">
        <is>
          <t>Коммерч. помещения подзем.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A388</f>
        <v/>
      </c>
      <c r="B394" s="31" t="inlineStr">
        <is>
          <t>Чистовая</t>
        </is>
      </c>
      <c r="C394" s="31" t="inlineStr">
        <is>
          <t>8.1.1</t>
        </is>
      </c>
      <c r="D394" s="32" t="inlineStr">
        <is>
          <t>Отделка паркинг и рампы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 ht="30" customHeight="1" s="74">
      <c r="A395" s="30">
        <f>A388</f>
        <v/>
      </c>
      <c r="B395" s="31" t="inlineStr">
        <is>
          <t>Чистовая</t>
        </is>
      </c>
      <c r="C395" s="31" t="inlineStr">
        <is>
          <t>8.1.2</t>
        </is>
      </c>
      <c r="D395" s="32" t="inlineStr">
        <is>
          <t>Отделка эвакуац. лестн. клетки подзем.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A388</f>
        <v/>
      </c>
      <c r="B396" s="31" t="inlineStr">
        <is>
          <t>Чистовая</t>
        </is>
      </c>
      <c r="C396" s="31" t="inlineStr">
        <is>
          <t>8.1.3</t>
        </is>
      </c>
      <c r="D396" s="32" t="inlineStr">
        <is>
          <t>Лифт. холлы, тамбур-шлюзы подзем.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>
      <c r="A397" s="30">
        <f>A388</f>
        <v/>
      </c>
      <c r="B397" s="31" t="inlineStr">
        <is>
          <t>Чистовая</t>
        </is>
      </c>
      <c r="C397" s="31" t="inlineStr">
        <is>
          <t>8.1.4</t>
        </is>
      </c>
      <c r="D397" s="32" t="inlineStr">
        <is>
          <t>Технич. помещения подзем.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A388</f>
        <v/>
      </c>
      <c r="B398" s="31" t="inlineStr">
        <is>
          <t>Чистовая</t>
        </is>
      </c>
      <c r="C398" s="31" t="inlineStr">
        <is>
          <t>8.1.5</t>
        </is>
      </c>
      <c r="D398" s="32" t="inlineStr">
        <is>
          <t>Прочие помещения подзем.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A388</f>
        <v/>
      </c>
      <c r="B399" s="31" t="inlineStr">
        <is>
          <t>Чистовая</t>
        </is>
      </c>
      <c r="C399" s="31" t="inlineStr">
        <is>
          <t>8.1.6</t>
        </is>
      </c>
      <c r="D399" s="32" t="inlineStr">
        <is>
          <t>Коммерч. помещения подзем.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A388+7</f>
        <v/>
      </c>
      <c r="B400" s="31" t="inlineStr">
        <is>
          <t>Черновая</t>
        </is>
      </c>
      <c r="C400" s="31" t="inlineStr">
        <is>
          <t>8.1.1</t>
        </is>
      </c>
      <c r="D400" s="32" t="inlineStr">
        <is>
          <t>Отделка паркинг и рампы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 ht="30" customHeight="1" s="74">
      <c r="A401" s="30">
        <f>A400</f>
        <v/>
      </c>
      <c r="B401" s="31" t="inlineStr">
        <is>
          <t>Черновая</t>
        </is>
      </c>
      <c r="C401" s="31" t="inlineStr">
        <is>
          <t>8.1.2</t>
        </is>
      </c>
      <c r="D401" s="32" t="inlineStr">
        <is>
          <t>Отделка эвакуац. лестн. клетки подзем.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A400</f>
        <v/>
      </c>
      <c r="B402" s="31" t="inlineStr">
        <is>
          <t>Черновая</t>
        </is>
      </c>
      <c r="C402" s="31" t="inlineStr">
        <is>
          <t>8.1.3</t>
        </is>
      </c>
      <c r="D402" s="32" t="inlineStr">
        <is>
          <t>Лифт. холлы, тамбур-шлюзы подзем.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A400</f>
        <v/>
      </c>
      <c r="B403" s="31" t="inlineStr">
        <is>
          <t>Черновая</t>
        </is>
      </c>
      <c r="C403" s="31" t="inlineStr">
        <is>
          <t>8.1.4</t>
        </is>
      </c>
      <c r="D403" s="32" t="inlineStr">
        <is>
          <t>Технич. помещения подзем.</t>
        </is>
      </c>
      <c r="E403" s="33" t="n"/>
      <c r="F403" s="33" t="n"/>
      <c r="G403" s="33" t="n"/>
      <c r="H403" s="33" t="n"/>
      <c r="I403" s="34">
        <f>COUNTA(E403:G403)&amp;"/3"</f>
        <v/>
      </c>
    </row>
    <row r="404">
      <c r="A404" s="30">
        <f>A400</f>
        <v/>
      </c>
      <c r="B404" s="31" t="inlineStr">
        <is>
          <t>Черновая</t>
        </is>
      </c>
      <c r="C404" s="31" t="inlineStr">
        <is>
          <t>8.1.5</t>
        </is>
      </c>
      <c r="D404" s="32" t="inlineStr">
        <is>
          <t>Прочие помещения подзем.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A400</f>
        <v/>
      </c>
      <c r="B405" s="31" t="inlineStr">
        <is>
          <t>Черновая</t>
        </is>
      </c>
      <c r="C405" s="31" t="inlineStr">
        <is>
          <t>8.1.6</t>
        </is>
      </c>
      <c r="D405" s="32" t="inlineStr">
        <is>
          <t>Коммерч. помещения подзем.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A400</f>
        <v/>
      </c>
      <c r="B406" s="31" t="inlineStr">
        <is>
          <t>Чистовая</t>
        </is>
      </c>
      <c r="C406" s="31" t="inlineStr">
        <is>
          <t>8.1.1</t>
        </is>
      </c>
      <c r="D406" s="32" t="inlineStr">
        <is>
          <t>Отделка паркинг и рампы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 ht="30" customHeight="1" s="74">
      <c r="A407" s="30">
        <f>A400</f>
        <v/>
      </c>
      <c r="B407" s="31" t="inlineStr">
        <is>
          <t>Чистовая</t>
        </is>
      </c>
      <c r="C407" s="31" t="inlineStr">
        <is>
          <t>8.1.2</t>
        </is>
      </c>
      <c r="D407" s="32" t="inlineStr">
        <is>
          <t>Отделка эвакуац. лестн. клетки подзем.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A400</f>
        <v/>
      </c>
      <c r="B408" s="31" t="inlineStr">
        <is>
          <t>Чистовая</t>
        </is>
      </c>
      <c r="C408" s="31" t="inlineStr">
        <is>
          <t>8.1.3</t>
        </is>
      </c>
      <c r="D408" s="32" t="inlineStr">
        <is>
          <t>Лифт. холлы, тамбур-шлюзы подзем.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A400</f>
        <v/>
      </c>
      <c r="B409" s="31" t="inlineStr">
        <is>
          <t>Чистовая</t>
        </is>
      </c>
      <c r="C409" s="31" t="inlineStr">
        <is>
          <t>8.1.4</t>
        </is>
      </c>
      <c r="D409" s="32" t="inlineStr">
        <is>
          <t>Технич. помещения подзем.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A400</f>
        <v/>
      </c>
      <c r="B410" s="31" t="inlineStr">
        <is>
          <t>Чистовая</t>
        </is>
      </c>
      <c r="C410" s="31" t="inlineStr">
        <is>
          <t>8.1.5</t>
        </is>
      </c>
      <c r="D410" s="32" t="inlineStr">
        <is>
          <t>Прочие помещения подзем.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>
      <c r="A411" s="30">
        <f>A400</f>
        <v/>
      </c>
      <c r="B411" s="31" t="inlineStr">
        <is>
          <t>Чистовая</t>
        </is>
      </c>
      <c r="C411" s="31" t="inlineStr">
        <is>
          <t>8.1.6</t>
        </is>
      </c>
      <c r="D411" s="32" t="inlineStr">
        <is>
          <t>Коммерч. помещения подзем.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A400+7</f>
        <v/>
      </c>
      <c r="B412" s="31" t="inlineStr">
        <is>
          <t>Черновая</t>
        </is>
      </c>
      <c r="C412" s="31" t="inlineStr">
        <is>
          <t>8.1.1</t>
        </is>
      </c>
      <c r="D412" s="32" t="inlineStr">
        <is>
          <t>Отделка паркинг и рампы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 ht="30" customHeight="1" s="74">
      <c r="A413" s="30">
        <f>A412</f>
        <v/>
      </c>
      <c r="B413" s="31" t="inlineStr">
        <is>
          <t>Черновая</t>
        </is>
      </c>
      <c r="C413" s="31" t="inlineStr">
        <is>
          <t>8.1.2</t>
        </is>
      </c>
      <c r="D413" s="32" t="inlineStr">
        <is>
          <t>Отделка эвакуац. лестн. клетки подзем.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A412</f>
        <v/>
      </c>
      <c r="B414" s="31" t="inlineStr">
        <is>
          <t>Черновая</t>
        </is>
      </c>
      <c r="C414" s="31" t="inlineStr">
        <is>
          <t>8.1.3</t>
        </is>
      </c>
      <c r="D414" s="32" t="inlineStr">
        <is>
          <t>Лифт. холлы, тамбур-шлюзы подзем.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A412</f>
        <v/>
      </c>
      <c r="B415" s="31" t="inlineStr">
        <is>
          <t>Черновая</t>
        </is>
      </c>
      <c r="C415" s="31" t="inlineStr">
        <is>
          <t>8.1.4</t>
        </is>
      </c>
      <c r="D415" s="32" t="inlineStr">
        <is>
          <t>Технич. помещения подзем.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A412</f>
        <v/>
      </c>
      <c r="B416" s="31" t="inlineStr">
        <is>
          <t>Черновая</t>
        </is>
      </c>
      <c r="C416" s="31" t="inlineStr">
        <is>
          <t>8.1.5</t>
        </is>
      </c>
      <c r="D416" s="32" t="inlineStr">
        <is>
          <t>Прочие помещения подзем.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A412</f>
        <v/>
      </c>
      <c r="B417" s="31" t="inlineStr">
        <is>
          <t>Черновая</t>
        </is>
      </c>
      <c r="C417" s="31" t="inlineStr">
        <is>
          <t>8.1.6</t>
        </is>
      </c>
      <c r="D417" s="32" t="inlineStr">
        <is>
          <t>Коммерч. помещения подзем.</t>
        </is>
      </c>
      <c r="E417" s="33" t="n"/>
      <c r="F417" s="33" t="n"/>
      <c r="G417" s="33" t="n"/>
      <c r="H417" s="33" t="n"/>
      <c r="I417" s="34">
        <f>COUNTA(E417:G417)&amp;"/3"</f>
        <v/>
      </c>
    </row>
    <row r="418">
      <c r="A418" s="30">
        <f>A412</f>
        <v/>
      </c>
      <c r="B418" s="31" t="inlineStr">
        <is>
          <t>Чистовая</t>
        </is>
      </c>
      <c r="C418" s="31" t="inlineStr">
        <is>
          <t>8.1.1</t>
        </is>
      </c>
      <c r="D418" s="32" t="inlineStr">
        <is>
          <t>Отделка паркинг и рампы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 ht="30" customHeight="1" s="74">
      <c r="A419" s="30">
        <f>A412</f>
        <v/>
      </c>
      <c r="B419" s="31" t="inlineStr">
        <is>
          <t>Чистовая</t>
        </is>
      </c>
      <c r="C419" s="31" t="inlineStr">
        <is>
          <t>8.1.2</t>
        </is>
      </c>
      <c r="D419" s="32" t="inlineStr">
        <is>
          <t>Отделка эвакуац. лестн. клетки подзем.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A412</f>
        <v/>
      </c>
      <c r="B420" s="31" t="inlineStr">
        <is>
          <t>Чистовая</t>
        </is>
      </c>
      <c r="C420" s="31" t="inlineStr">
        <is>
          <t>8.1.3</t>
        </is>
      </c>
      <c r="D420" s="32" t="inlineStr">
        <is>
          <t>Лифт. холлы, тамбур-шлюзы подзем.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A412</f>
        <v/>
      </c>
      <c r="B421" s="31" t="inlineStr">
        <is>
          <t>Чистовая</t>
        </is>
      </c>
      <c r="C421" s="31" t="inlineStr">
        <is>
          <t>8.1.4</t>
        </is>
      </c>
      <c r="D421" s="32" t="inlineStr">
        <is>
          <t>Технич. помещения подзем.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A412</f>
        <v/>
      </c>
      <c r="B422" s="31" t="inlineStr">
        <is>
          <t>Чистовая</t>
        </is>
      </c>
      <c r="C422" s="31" t="inlineStr">
        <is>
          <t>8.1.5</t>
        </is>
      </c>
      <c r="D422" s="32" t="inlineStr">
        <is>
          <t>Прочие помещения подзем.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A412</f>
        <v/>
      </c>
      <c r="B423" s="31" t="inlineStr">
        <is>
          <t>Чистовая</t>
        </is>
      </c>
      <c r="C423" s="31" t="inlineStr">
        <is>
          <t>8.1.6</t>
        </is>
      </c>
      <c r="D423" s="32" t="inlineStr">
        <is>
          <t>Коммерч. помещения подзем.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A412+7</f>
        <v/>
      </c>
      <c r="B424" s="31" t="inlineStr">
        <is>
          <t>Черновая</t>
        </is>
      </c>
      <c r="C424" s="31" t="inlineStr">
        <is>
          <t>8.1.1</t>
        </is>
      </c>
      <c r="D424" s="32" t="inlineStr">
        <is>
          <t>Отделка паркинг и рампы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8.1.2</t>
        </is>
      </c>
      <c r="D425" s="32" t="inlineStr">
        <is>
          <t>Отделка эвакуац. лестн. клетки подзем.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8.1.3</t>
        </is>
      </c>
      <c r="D426" s="32" t="inlineStr">
        <is>
          <t>Лифт. холлы, тамбур-шлюзы подзем.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8.1.4</t>
        </is>
      </c>
      <c r="D427" s="32" t="inlineStr">
        <is>
          <t>Технич. помещения подзем.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8.1.5</t>
        </is>
      </c>
      <c r="D428" s="32" t="inlineStr">
        <is>
          <t>Прочие помещения подзем.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8.1.6</t>
        </is>
      </c>
      <c r="D429" s="32" t="inlineStr">
        <is>
          <t>Коммерч. помещения подзем.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Чистовая</t>
        </is>
      </c>
      <c r="C430" s="31" t="inlineStr">
        <is>
          <t>8.1.1</t>
        </is>
      </c>
      <c r="D430" s="32" t="inlineStr">
        <is>
          <t>Отделка паркинг и рампы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 ht="30" customHeight="1" s="74">
      <c r="A431" s="30">
        <f>A424</f>
        <v/>
      </c>
      <c r="B431" s="31" t="inlineStr">
        <is>
          <t>Чистовая</t>
        </is>
      </c>
      <c r="C431" s="31" t="inlineStr">
        <is>
          <t>8.1.2</t>
        </is>
      </c>
      <c r="D431" s="32" t="inlineStr">
        <is>
          <t>Отделка эвакуац. лестн. клетки подзем.</t>
        </is>
      </c>
      <c r="E431" s="33" t="n"/>
      <c r="F431" s="33" t="n"/>
      <c r="G431" s="33" t="n"/>
      <c r="H431" s="33" t="n"/>
      <c r="I431" s="34">
        <f>COUNTA(E431:G431)&amp;"/3"</f>
        <v/>
      </c>
    </row>
    <row r="432">
      <c r="A432" s="30">
        <f>A424</f>
        <v/>
      </c>
      <c r="B432" s="31" t="inlineStr">
        <is>
          <t>Чистовая</t>
        </is>
      </c>
      <c r="C432" s="31" t="inlineStr">
        <is>
          <t>8.1.3</t>
        </is>
      </c>
      <c r="D432" s="32" t="inlineStr">
        <is>
          <t>Лифт. холлы, тамбур-шлюзы подзем.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8.1.4</t>
        </is>
      </c>
      <c r="D433" s="32" t="inlineStr">
        <is>
          <t>Технич. помещения подзем.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8.1.5</t>
        </is>
      </c>
      <c r="D434" s="32" t="inlineStr">
        <is>
          <t>Прочие помещения подзем.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8.1.6</t>
        </is>
      </c>
      <c r="D435" s="32" t="inlineStr">
        <is>
          <t>Коммерч. помещения подзем.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A424+7</f>
        <v/>
      </c>
      <c r="B436" s="31" t="inlineStr">
        <is>
          <t>Черновая</t>
        </is>
      </c>
      <c r="C436" s="31" t="inlineStr">
        <is>
          <t>8.1.1</t>
        </is>
      </c>
      <c r="D436" s="32" t="inlineStr">
        <is>
          <t>Отделка паркинг и рампы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 ht="30" customHeight="1" s="74">
      <c r="A437" s="30">
        <f>A436</f>
        <v/>
      </c>
      <c r="B437" s="31" t="inlineStr">
        <is>
          <t>Черновая</t>
        </is>
      </c>
      <c r="C437" s="31" t="inlineStr">
        <is>
          <t>8.1.2</t>
        </is>
      </c>
      <c r="D437" s="32" t="inlineStr">
        <is>
          <t>Отделка эвакуац. лестн. клетки подзем.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A436</f>
        <v/>
      </c>
      <c r="B438" s="31" t="inlineStr">
        <is>
          <t>Черновая</t>
        </is>
      </c>
      <c r="C438" s="31" t="inlineStr">
        <is>
          <t>8.1.3</t>
        </is>
      </c>
      <c r="D438" s="32" t="inlineStr">
        <is>
          <t>Лифт. холлы, тамбур-шлюзы подзем.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>
      <c r="A439" s="30">
        <f>A436</f>
        <v/>
      </c>
      <c r="B439" s="31" t="inlineStr">
        <is>
          <t>Черновая</t>
        </is>
      </c>
      <c r="C439" s="31" t="inlineStr">
        <is>
          <t>8.1.4</t>
        </is>
      </c>
      <c r="D439" s="32" t="inlineStr">
        <is>
          <t>Технич. помещения подзем.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A436</f>
        <v/>
      </c>
      <c r="B440" s="31" t="inlineStr">
        <is>
          <t>Черновая</t>
        </is>
      </c>
      <c r="C440" s="31" t="inlineStr">
        <is>
          <t>8.1.5</t>
        </is>
      </c>
      <c r="D440" s="32" t="inlineStr">
        <is>
          <t>Прочие помещения подзем.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A436</f>
        <v/>
      </c>
      <c r="B441" s="31" t="inlineStr">
        <is>
          <t>Черновая</t>
        </is>
      </c>
      <c r="C441" s="31" t="inlineStr">
        <is>
          <t>8.1.6</t>
        </is>
      </c>
      <c r="D441" s="32" t="inlineStr">
        <is>
          <t>Коммерч. помещения подзем.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A436</f>
        <v/>
      </c>
      <c r="B442" s="31" t="inlineStr">
        <is>
          <t>Чистовая</t>
        </is>
      </c>
      <c r="C442" s="31" t="inlineStr">
        <is>
          <t>8.1.1</t>
        </is>
      </c>
      <c r="D442" s="32" t="inlineStr">
        <is>
          <t>Отделка паркинг и рампы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 ht="30" customHeight="1" s="74">
      <c r="A443" s="30">
        <f>A436</f>
        <v/>
      </c>
      <c r="B443" s="31" t="inlineStr">
        <is>
          <t>Чистовая</t>
        </is>
      </c>
      <c r="C443" s="31" t="inlineStr">
        <is>
          <t>8.1.2</t>
        </is>
      </c>
      <c r="D443" s="32" t="inlineStr">
        <is>
          <t>Отделка эвакуац. лестн. клетки подзем.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A436</f>
        <v/>
      </c>
      <c r="B444" s="31" t="inlineStr">
        <is>
          <t>Чистовая</t>
        </is>
      </c>
      <c r="C444" s="31" t="inlineStr">
        <is>
          <t>8.1.3</t>
        </is>
      </c>
      <c r="D444" s="32" t="inlineStr">
        <is>
          <t>Лифт. холлы, тамбур-шлюзы подзем.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A436</f>
        <v/>
      </c>
      <c r="B445" s="31" t="inlineStr">
        <is>
          <t>Чистовая</t>
        </is>
      </c>
      <c r="C445" s="31" t="inlineStr">
        <is>
          <t>8.1.4</t>
        </is>
      </c>
      <c r="D445" s="32" t="inlineStr">
        <is>
          <t>Технич. помещения подзем.</t>
        </is>
      </c>
      <c r="E445" s="33" t="n"/>
      <c r="F445" s="33" t="n"/>
      <c r="G445" s="33" t="n"/>
      <c r="H445" s="33" t="n"/>
      <c r="I445" s="34">
        <f>COUNTA(E445:G445)&amp;"/3"</f>
        <v/>
      </c>
    </row>
    <row r="446">
      <c r="A446" s="30">
        <f>A436</f>
        <v/>
      </c>
      <c r="B446" s="31" t="inlineStr">
        <is>
          <t>Чистовая</t>
        </is>
      </c>
      <c r="C446" s="31" t="inlineStr">
        <is>
          <t>8.1.5</t>
        </is>
      </c>
      <c r="D446" s="32" t="inlineStr">
        <is>
          <t>Прочие помещения подзем.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A436</f>
        <v/>
      </c>
      <c r="B447" s="31" t="inlineStr">
        <is>
          <t>Чистовая</t>
        </is>
      </c>
      <c r="C447" s="31" t="inlineStr">
        <is>
          <t>8.1.6</t>
        </is>
      </c>
      <c r="D447" s="32" t="inlineStr">
        <is>
          <t>Коммерч. помещения подзем.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A436+7</f>
        <v/>
      </c>
      <c r="B448" s="31" t="inlineStr">
        <is>
          <t>Черновая</t>
        </is>
      </c>
      <c r="C448" s="31" t="inlineStr">
        <is>
          <t>8.1.1</t>
        </is>
      </c>
      <c r="D448" s="32" t="inlineStr">
        <is>
          <t>Отделка паркинг и рампы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 ht="30" customHeight="1" s="74">
      <c r="A449" s="30">
        <f>A448</f>
        <v/>
      </c>
      <c r="B449" s="31" t="inlineStr">
        <is>
          <t>Черновая</t>
        </is>
      </c>
      <c r="C449" s="31" t="inlineStr">
        <is>
          <t>8.1.2</t>
        </is>
      </c>
      <c r="D449" s="32" t="inlineStr">
        <is>
          <t>Отделка эвакуац. лестн. клетки подзем.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A448</f>
        <v/>
      </c>
      <c r="B450" s="31" t="inlineStr">
        <is>
          <t>Черновая</t>
        </is>
      </c>
      <c r="C450" s="31" t="inlineStr">
        <is>
          <t>8.1.3</t>
        </is>
      </c>
      <c r="D450" s="32" t="inlineStr">
        <is>
          <t>Лифт. холлы, тамбур-шлюзы подзем.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A448</f>
        <v/>
      </c>
      <c r="B451" s="31" t="inlineStr">
        <is>
          <t>Черновая</t>
        </is>
      </c>
      <c r="C451" s="31" t="inlineStr">
        <is>
          <t>8.1.4</t>
        </is>
      </c>
      <c r="D451" s="32" t="inlineStr">
        <is>
          <t>Технич. помещения подзем.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A448</f>
        <v/>
      </c>
      <c r="B452" s="31" t="inlineStr">
        <is>
          <t>Черновая</t>
        </is>
      </c>
      <c r="C452" s="31" t="inlineStr">
        <is>
          <t>8.1.5</t>
        </is>
      </c>
      <c r="D452" s="32" t="inlineStr">
        <is>
          <t>Прочие помещения подзем.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>
      <c r="A453" s="30">
        <f>A448</f>
        <v/>
      </c>
      <c r="B453" s="31" t="inlineStr">
        <is>
          <t>Черновая</t>
        </is>
      </c>
      <c r="C453" s="31" t="inlineStr">
        <is>
          <t>8.1.6</t>
        </is>
      </c>
      <c r="D453" s="32" t="inlineStr">
        <is>
          <t>Коммерч. помещения подзем.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A448</f>
        <v/>
      </c>
      <c r="B454" s="31" t="inlineStr">
        <is>
          <t>Чистовая</t>
        </is>
      </c>
      <c r="C454" s="31" t="inlineStr">
        <is>
          <t>8.1.1</t>
        </is>
      </c>
      <c r="D454" s="32" t="inlineStr">
        <is>
          <t>Отделка паркинг и рампы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 ht="30" customHeight="1" s="74">
      <c r="A455" s="30">
        <f>A448</f>
        <v/>
      </c>
      <c r="B455" s="31" t="inlineStr">
        <is>
          <t>Чистовая</t>
        </is>
      </c>
      <c r="C455" s="31" t="inlineStr">
        <is>
          <t>8.1.2</t>
        </is>
      </c>
      <c r="D455" s="32" t="inlineStr">
        <is>
          <t>Отделка эвакуац. лестн. клетки подзем.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A448</f>
        <v/>
      </c>
      <c r="B456" s="31" t="inlineStr">
        <is>
          <t>Чистовая</t>
        </is>
      </c>
      <c r="C456" s="31" t="inlineStr">
        <is>
          <t>8.1.3</t>
        </is>
      </c>
      <c r="D456" s="32" t="inlineStr">
        <is>
          <t>Лифт. холлы, тамбур-шлюзы подзем.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A448</f>
        <v/>
      </c>
      <c r="B457" s="31" t="inlineStr">
        <is>
          <t>Чистовая</t>
        </is>
      </c>
      <c r="C457" s="31" t="inlineStr">
        <is>
          <t>8.1.4</t>
        </is>
      </c>
      <c r="D457" s="32" t="inlineStr">
        <is>
          <t>Технич. помещения подзем.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A448</f>
        <v/>
      </c>
      <c r="B458" s="31" t="inlineStr">
        <is>
          <t>Чистовая</t>
        </is>
      </c>
      <c r="C458" s="31" t="inlineStr">
        <is>
          <t>8.1.5</t>
        </is>
      </c>
      <c r="D458" s="32" t="inlineStr">
        <is>
          <t>Прочие помещения подзем.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A448</f>
        <v/>
      </c>
      <c r="B459" s="31" t="inlineStr">
        <is>
          <t>Чистовая</t>
        </is>
      </c>
      <c r="C459" s="31" t="inlineStr">
        <is>
          <t>8.1.6</t>
        </is>
      </c>
      <c r="D459" s="32" t="inlineStr">
        <is>
          <t>Коммерч. помещения подзем.</t>
        </is>
      </c>
      <c r="E459" s="33" t="n"/>
      <c r="F459" s="33" t="n"/>
      <c r="G459" s="33" t="n"/>
      <c r="H459" s="33" t="n"/>
      <c r="I459" s="34">
        <f>COUNTA(E459:G459)&amp;"/3"</f>
        <v/>
      </c>
    </row>
    <row r="460">
      <c r="A460" s="30">
        <f>A448+7</f>
        <v/>
      </c>
      <c r="B460" s="31" t="inlineStr">
        <is>
          <t>Черновая</t>
        </is>
      </c>
      <c r="C460" s="31" t="inlineStr">
        <is>
          <t>8.1.1</t>
        </is>
      </c>
      <c r="D460" s="32" t="inlineStr">
        <is>
          <t>Отделка паркинг и рампы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 ht="30" customHeight="1" s="74">
      <c r="A461" s="30">
        <f>A460</f>
        <v/>
      </c>
      <c r="B461" s="31" t="inlineStr">
        <is>
          <t>Черновая</t>
        </is>
      </c>
      <c r="C461" s="31" t="inlineStr">
        <is>
          <t>8.1.2</t>
        </is>
      </c>
      <c r="D461" s="32" t="inlineStr">
        <is>
          <t>Отделка эвакуац. лестн. клетки подзем.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A460</f>
        <v/>
      </c>
      <c r="B462" s="31" t="inlineStr">
        <is>
          <t>Черновая</t>
        </is>
      </c>
      <c r="C462" s="31" t="inlineStr">
        <is>
          <t>8.1.3</t>
        </is>
      </c>
      <c r="D462" s="32" t="inlineStr">
        <is>
          <t>Лифт. холлы, тамбур-шлюзы подзем.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A460</f>
        <v/>
      </c>
      <c r="B463" s="31" t="inlineStr">
        <is>
          <t>Черновая</t>
        </is>
      </c>
      <c r="C463" s="31" t="inlineStr">
        <is>
          <t>8.1.4</t>
        </is>
      </c>
      <c r="D463" s="32" t="inlineStr">
        <is>
          <t>Технич. помещения подзем.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A460</f>
        <v/>
      </c>
      <c r="B464" s="31" t="inlineStr">
        <is>
          <t>Черновая</t>
        </is>
      </c>
      <c r="C464" s="31" t="inlineStr">
        <is>
          <t>8.1.5</t>
        </is>
      </c>
      <c r="D464" s="32" t="inlineStr">
        <is>
          <t>Прочие помещения подзем.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A460</f>
        <v/>
      </c>
      <c r="B465" s="31" t="inlineStr">
        <is>
          <t>Черновая</t>
        </is>
      </c>
      <c r="C465" s="31" t="inlineStr">
        <is>
          <t>8.1.6</t>
        </is>
      </c>
      <c r="D465" s="32" t="inlineStr">
        <is>
          <t>Коммерч. помещения подзем.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A460</f>
        <v/>
      </c>
      <c r="B466" s="31" t="inlineStr">
        <is>
          <t>Чистовая</t>
        </is>
      </c>
      <c r="C466" s="31" t="inlineStr">
        <is>
          <t>8.1.1</t>
        </is>
      </c>
      <c r="D466" s="32" t="inlineStr">
        <is>
          <t>Отделка паркинг и рампы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A460</f>
        <v/>
      </c>
      <c r="B467" s="31" t="inlineStr">
        <is>
          <t>Чистовая</t>
        </is>
      </c>
      <c r="C467" s="31" t="inlineStr">
        <is>
          <t>8.1.2</t>
        </is>
      </c>
      <c r="D467" s="32" t="inlineStr">
        <is>
          <t>Отделка эвакуац. лестн. клетки подзем.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A460</f>
        <v/>
      </c>
      <c r="B468" s="31" t="inlineStr">
        <is>
          <t>Чистовая</t>
        </is>
      </c>
      <c r="C468" s="31" t="inlineStr">
        <is>
          <t>8.1.3</t>
        </is>
      </c>
      <c r="D468" s="32" t="inlineStr">
        <is>
          <t>Лифт. холлы, тамбур-шлюзы подзем.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A460</f>
        <v/>
      </c>
      <c r="B469" s="31" t="inlineStr">
        <is>
          <t>Чистовая</t>
        </is>
      </c>
      <c r="C469" s="31" t="inlineStr">
        <is>
          <t>8.1.4</t>
        </is>
      </c>
      <c r="D469" s="32" t="inlineStr">
        <is>
          <t>Технич. помещения подзем.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A460</f>
        <v/>
      </c>
      <c r="B470" s="31" t="inlineStr">
        <is>
          <t>Чистовая</t>
        </is>
      </c>
      <c r="C470" s="31" t="inlineStr">
        <is>
          <t>8.1.5</t>
        </is>
      </c>
      <c r="D470" s="32" t="inlineStr">
        <is>
          <t>Прочие помещения подзем.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A460</f>
        <v/>
      </c>
      <c r="B471" s="31" t="inlineStr">
        <is>
          <t>Чистовая</t>
        </is>
      </c>
      <c r="C471" s="31" t="inlineStr">
        <is>
          <t>8.1.6</t>
        </is>
      </c>
      <c r="D471" s="32" t="inlineStr">
        <is>
          <t>Коммерч. помещения подзем.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A460+7</f>
        <v/>
      </c>
      <c r="B472" s="31" t="inlineStr">
        <is>
          <t>Черновая</t>
        </is>
      </c>
      <c r="C472" s="31" t="inlineStr">
        <is>
          <t>8.1.1</t>
        </is>
      </c>
      <c r="D472" s="32" t="inlineStr">
        <is>
          <t>Отделка паркинг и рампы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 ht="30" customHeight="1" s="74">
      <c r="A473" s="30">
        <f>A472</f>
        <v/>
      </c>
      <c r="B473" s="31" t="inlineStr">
        <is>
          <t>Черновая</t>
        </is>
      </c>
      <c r="C473" s="31" t="inlineStr">
        <is>
          <t>8.1.2</t>
        </is>
      </c>
      <c r="D473" s="32" t="inlineStr">
        <is>
          <t>Отделка эвакуац. лестн. клетки подзем.</t>
        </is>
      </c>
      <c r="E473" s="33" t="n"/>
      <c r="F473" s="33" t="n"/>
      <c r="G473" s="33" t="n"/>
      <c r="H473" s="33" t="n"/>
      <c r="I473" s="34">
        <f>COUNTA(E473:G473)&amp;"/3"</f>
        <v/>
      </c>
    </row>
    <row r="474">
      <c r="A474" s="30">
        <f>A472</f>
        <v/>
      </c>
      <c r="B474" s="31" t="inlineStr">
        <is>
          <t>Черновая</t>
        </is>
      </c>
      <c r="C474" s="31" t="inlineStr">
        <is>
          <t>8.1.3</t>
        </is>
      </c>
      <c r="D474" s="32" t="inlineStr">
        <is>
          <t>Лифт. холлы, тамбур-шлюзы подзем.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A472</f>
        <v/>
      </c>
      <c r="B475" s="31" t="inlineStr">
        <is>
          <t>Черновая</t>
        </is>
      </c>
      <c r="C475" s="31" t="inlineStr">
        <is>
          <t>8.1.4</t>
        </is>
      </c>
      <c r="D475" s="32" t="inlineStr">
        <is>
          <t>Технич. помещения подзем.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A472</f>
        <v/>
      </c>
      <c r="B476" s="31" t="inlineStr">
        <is>
          <t>Черновая</t>
        </is>
      </c>
      <c r="C476" s="31" t="inlineStr">
        <is>
          <t>8.1.5</t>
        </is>
      </c>
      <c r="D476" s="32" t="inlineStr">
        <is>
          <t>Прочие помещения подзем.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A472</f>
        <v/>
      </c>
      <c r="B477" s="31" t="inlineStr">
        <is>
          <t>Черновая</t>
        </is>
      </c>
      <c r="C477" s="31" t="inlineStr">
        <is>
          <t>8.1.6</t>
        </is>
      </c>
      <c r="D477" s="32" t="inlineStr">
        <is>
          <t>Коммерч. помещения подзем.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A472</f>
        <v/>
      </c>
      <c r="B478" s="31" t="inlineStr">
        <is>
          <t>Чистовая</t>
        </is>
      </c>
      <c r="C478" s="31" t="inlineStr">
        <is>
          <t>8.1.1</t>
        </is>
      </c>
      <c r="D478" s="32" t="inlineStr">
        <is>
          <t>Отделка паркинг и рампы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 ht="30" customHeight="1" s="74">
      <c r="A479" s="30">
        <f>A472</f>
        <v/>
      </c>
      <c r="B479" s="31" t="inlineStr">
        <is>
          <t>Чистовая</t>
        </is>
      </c>
      <c r="C479" s="31" t="inlineStr">
        <is>
          <t>8.1.2</t>
        </is>
      </c>
      <c r="D479" s="32" t="inlineStr">
        <is>
          <t>Отделка эвакуац. лестн. клетки подзем.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A472</f>
        <v/>
      </c>
      <c r="B480" s="31" t="inlineStr">
        <is>
          <t>Чистовая</t>
        </is>
      </c>
      <c r="C480" s="31" t="inlineStr">
        <is>
          <t>8.1.3</t>
        </is>
      </c>
      <c r="D480" s="32" t="inlineStr">
        <is>
          <t>Лифт. холлы, тамбур-шлюзы подзем.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>
      <c r="A481" s="30">
        <f>A472</f>
        <v/>
      </c>
      <c r="B481" s="31" t="inlineStr">
        <is>
          <t>Чистовая</t>
        </is>
      </c>
      <c r="C481" s="31" t="inlineStr">
        <is>
          <t>8.1.4</t>
        </is>
      </c>
      <c r="D481" s="32" t="inlineStr">
        <is>
          <t>Технич. помещения подзем.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A472</f>
        <v/>
      </c>
      <c r="B482" s="31" t="inlineStr">
        <is>
          <t>Чистовая</t>
        </is>
      </c>
      <c r="C482" s="31" t="inlineStr">
        <is>
          <t>8.1.5</t>
        </is>
      </c>
      <c r="D482" s="32" t="inlineStr">
        <is>
          <t>Прочие помещения подзем.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A472</f>
        <v/>
      </c>
      <c r="B483" s="31" t="inlineStr">
        <is>
          <t>Чистовая</t>
        </is>
      </c>
      <c r="C483" s="31" t="inlineStr">
        <is>
          <t>8.1.6</t>
        </is>
      </c>
      <c r="D483" s="32" t="inlineStr">
        <is>
          <t>Коммерч. помещения подзем.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A472+7</f>
        <v/>
      </c>
      <c r="B484" s="31" t="inlineStr">
        <is>
          <t>Черновая</t>
        </is>
      </c>
      <c r="C484" s="31" t="inlineStr">
        <is>
          <t>8.1.1</t>
        </is>
      </c>
      <c r="D484" s="32" t="inlineStr">
        <is>
          <t>Отделка паркинг и рампы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 ht="30" customHeight="1" s="74">
      <c r="A485" s="30">
        <f>A484</f>
        <v/>
      </c>
      <c r="B485" s="31" t="inlineStr">
        <is>
          <t>Черновая</t>
        </is>
      </c>
      <c r="C485" s="31" t="inlineStr">
        <is>
          <t>8.1.2</t>
        </is>
      </c>
      <c r="D485" s="32" t="inlineStr">
        <is>
          <t>Отделка эвакуац. лестн. клетки подзем.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A484</f>
        <v/>
      </c>
      <c r="B486" s="31" t="inlineStr">
        <is>
          <t>Черновая</t>
        </is>
      </c>
      <c r="C486" s="31" t="inlineStr">
        <is>
          <t>8.1.3</t>
        </is>
      </c>
      <c r="D486" s="32" t="inlineStr">
        <is>
          <t>Лифт. холлы, тамбур-шлюзы подзем.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A484</f>
        <v/>
      </c>
      <c r="B487" s="31" t="inlineStr">
        <is>
          <t>Черновая</t>
        </is>
      </c>
      <c r="C487" s="31" t="inlineStr">
        <is>
          <t>8.1.4</t>
        </is>
      </c>
      <c r="D487" s="32" t="inlineStr">
        <is>
          <t>Технич. помещения подзем.</t>
        </is>
      </c>
      <c r="E487" s="33" t="n"/>
      <c r="F487" s="33" t="n"/>
      <c r="G487" s="33" t="n"/>
      <c r="H487" s="33" t="n"/>
      <c r="I487" s="34">
        <f>COUNTA(E487:G487)&amp;"/3"</f>
        <v/>
      </c>
    </row>
    <row r="488">
      <c r="A488" s="30">
        <f>A484</f>
        <v/>
      </c>
      <c r="B488" s="31" t="inlineStr">
        <is>
          <t>Черновая</t>
        </is>
      </c>
      <c r="C488" s="31" t="inlineStr">
        <is>
          <t>8.1.5</t>
        </is>
      </c>
      <c r="D488" s="32" t="inlineStr">
        <is>
          <t>Прочие помещения подзем.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A484</f>
        <v/>
      </c>
      <c r="B489" s="31" t="inlineStr">
        <is>
          <t>Черновая</t>
        </is>
      </c>
      <c r="C489" s="31" t="inlineStr">
        <is>
          <t>8.1.6</t>
        </is>
      </c>
      <c r="D489" s="32" t="inlineStr">
        <is>
          <t>Коммерч. помещения подзем.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A484</f>
        <v/>
      </c>
      <c r="B490" s="31" t="inlineStr">
        <is>
          <t>Чистовая</t>
        </is>
      </c>
      <c r="C490" s="31" t="inlineStr">
        <is>
          <t>8.1.1</t>
        </is>
      </c>
      <c r="D490" s="32" t="inlineStr">
        <is>
          <t>Отделка паркинг и рампы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 ht="30" customHeight="1" s="74">
      <c r="A491" s="30">
        <f>A484</f>
        <v/>
      </c>
      <c r="B491" s="31" t="inlineStr">
        <is>
          <t>Чистовая</t>
        </is>
      </c>
      <c r="C491" s="31" t="inlineStr">
        <is>
          <t>8.1.2</t>
        </is>
      </c>
      <c r="D491" s="32" t="inlineStr">
        <is>
          <t>Отделка эвакуац. лестн. клетки подзем.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A484</f>
        <v/>
      </c>
      <c r="B492" s="31" t="inlineStr">
        <is>
          <t>Чистовая</t>
        </is>
      </c>
      <c r="C492" s="31" t="inlineStr">
        <is>
          <t>8.1.3</t>
        </is>
      </c>
      <c r="D492" s="32" t="inlineStr">
        <is>
          <t>Лифт. холлы, тамбур-шлюзы подзем.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A484</f>
        <v/>
      </c>
      <c r="B493" s="31" t="inlineStr">
        <is>
          <t>Чистовая</t>
        </is>
      </c>
      <c r="C493" s="31" t="inlineStr">
        <is>
          <t>8.1.4</t>
        </is>
      </c>
      <c r="D493" s="32" t="inlineStr">
        <is>
          <t>Технич. помещения подзем.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A484</f>
        <v/>
      </c>
      <c r="B494" s="31" t="inlineStr">
        <is>
          <t>Чистовая</t>
        </is>
      </c>
      <c r="C494" s="31" t="inlineStr">
        <is>
          <t>8.1.5</t>
        </is>
      </c>
      <c r="D494" s="32" t="inlineStr">
        <is>
          <t>Прочие помещения подзем.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>
      <c r="A495" s="30">
        <f>A484</f>
        <v/>
      </c>
      <c r="B495" s="31" t="inlineStr">
        <is>
          <t>Чистовая</t>
        </is>
      </c>
      <c r="C495" s="31" t="inlineStr">
        <is>
          <t>8.1.6</t>
        </is>
      </c>
      <c r="D495" s="32" t="inlineStr">
        <is>
          <t>Коммерч. помещения подзем.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A484+7</f>
        <v/>
      </c>
      <c r="B496" s="31" t="inlineStr">
        <is>
          <t>Черновая</t>
        </is>
      </c>
      <c r="C496" s="31" t="inlineStr">
        <is>
          <t>8.1.1</t>
        </is>
      </c>
      <c r="D496" s="32" t="inlineStr">
        <is>
          <t>Отделка паркинг и рампы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 ht="30" customHeight="1" s="74">
      <c r="A497" s="30">
        <f>A496</f>
        <v/>
      </c>
      <c r="B497" s="31" t="inlineStr">
        <is>
          <t>Черновая</t>
        </is>
      </c>
      <c r="C497" s="31" t="inlineStr">
        <is>
          <t>8.1.2</t>
        </is>
      </c>
      <c r="D497" s="32" t="inlineStr">
        <is>
          <t>Отделка эвакуац. лестн. клетки подзем.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A496</f>
        <v/>
      </c>
      <c r="B498" s="31" t="inlineStr">
        <is>
          <t>Черновая</t>
        </is>
      </c>
      <c r="C498" s="31" t="inlineStr">
        <is>
          <t>8.1.3</t>
        </is>
      </c>
      <c r="D498" s="32" t="inlineStr">
        <is>
          <t>Лифт. холлы, тамбур-шлюзы подзем.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A496</f>
        <v/>
      </c>
      <c r="B499" s="31" t="inlineStr">
        <is>
          <t>Черновая</t>
        </is>
      </c>
      <c r="C499" s="31" t="inlineStr">
        <is>
          <t>8.1.4</t>
        </is>
      </c>
      <c r="D499" s="32" t="inlineStr">
        <is>
          <t>Технич. помещения подзем.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A496</f>
        <v/>
      </c>
      <c r="B500" s="31" t="inlineStr">
        <is>
          <t>Черновая</t>
        </is>
      </c>
      <c r="C500" s="31" t="inlineStr">
        <is>
          <t>8.1.5</t>
        </is>
      </c>
      <c r="D500" s="32" t="inlineStr">
        <is>
          <t>Прочие помещения подзем.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A496</f>
        <v/>
      </c>
      <c r="B501" s="31" t="inlineStr">
        <is>
          <t>Черновая</t>
        </is>
      </c>
      <c r="C501" s="31" t="inlineStr">
        <is>
          <t>8.1.6</t>
        </is>
      </c>
      <c r="D501" s="32" t="inlineStr">
        <is>
          <t>Коммерч. помещения подзем.</t>
        </is>
      </c>
      <c r="E501" s="33" t="n"/>
      <c r="F501" s="33" t="n"/>
      <c r="G501" s="33" t="n"/>
      <c r="H501" s="33" t="n"/>
      <c r="I501" s="34">
        <f>COUNTA(E501:G501)&amp;"/3"</f>
        <v/>
      </c>
    </row>
    <row r="502">
      <c r="A502" s="30">
        <f>A496</f>
        <v/>
      </c>
      <c r="B502" s="31" t="inlineStr">
        <is>
          <t>Чистовая</t>
        </is>
      </c>
      <c r="C502" s="31" t="inlineStr">
        <is>
          <t>8.1.1</t>
        </is>
      </c>
      <c r="D502" s="32" t="inlineStr">
        <is>
          <t>Отделка паркинг и рампы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 ht="30" customHeight="1" s="74">
      <c r="A503" s="30">
        <f>A496</f>
        <v/>
      </c>
      <c r="B503" s="31" t="inlineStr">
        <is>
          <t>Чистовая</t>
        </is>
      </c>
      <c r="C503" s="31" t="inlineStr">
        <is>
          <t>8.1.2</t>
        </is>
      </c>
      <c r="D503" s="32" t="inlineStr">
        <is>
          <t>Отделка эвакуац. лестн. клетки подзем.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A496</f>
        <v/>
      </c>
      <c r="B504" s="31" t="inlineStr">
        <is>
          <t>Чистовая</t>
        </is>
      </c>
      <c r="C504" s="31" t="inlineStr">
        <is>
          <t>8.1.3</t>
        </is>
      </c>
      <c r="D504" s="32" t="inlineStr">
        <is>
          <t>Лифт. холлы, тамбур-шлюзы подзем.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A496</f>
        <v/>
      </c>
      <c r="B505" s="31" t="inlineStr">
        <is>
          <t>Чистовая</t>
        </is>
      </c>
      <c r="C505" s="31" t="inlineStr">
        <is>
          <t>8.1.4</t>
        </is>
      </c>
      <c r="D505" s="32" t="inlineStr">
        <is>
          <t>Технич. помещения подзем.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A496</f>
        <v/>
      </c>
      <c r="B506" s="31" t="inlineStr">
        <is>
          <t>Чистовая</t>
        </is>
      </c>
      <c r="C506" s="31" t="inlineStr">
        <is>
          <t>8.1.5</t>
        </is>
      </c>
      <c r="D506" s="32" t="inlineStr">
        <is>
          <t>Прочие помещения подзем.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A496</f>
        <v/>
      </c>
      <c r="B507" s="31" t="inlineStr">
        <is>
          <t>Чистовая</t>
        </is>
      </c>
      <c r="C507" s="31" t="inlineStr">
        <is>
          <t>8.1.6</t>
        </is>
      </c>
      <c r="D507" s="32" t="inlineStr">
        <is>
          <t>Коммерч. помещения подзем.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A496+7</f>
        <v/>
      </c>
      <c r="B508" s="31" t="inlineStr">
        <is>
          <t>Черновая</t>
        </is>
      </c>
      <c r="C508" s="31" t="inlineStr">
        <is>
          <t>8.1.1</t>
        </is>
      </c>
      <c r="D508" s="32" t="inlineStr">
        <is>
          <t>Отделка паркинг и рампы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8.1.2</t>
        </is>
      </c>
      <c r="D509" s="32" t="inlineStr">
        <is>
          <t>Отделка эвакуац. лестн. клетки подзем.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8.1.3</t>
        </is>
      </c>
      <c r="D510" s="32" t="inlineStr">
        <is>
          <t>Лифт. холлы, тамбур-шлюзы подзем.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8.1.4</t>
        </is>
      </c>
      <c r="D511" s="32" t="inlineStr">
        <is>
          <t>Технич. помещения подзем.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8.1.5</t>
        </is>
      </c>
      <c r="D512" s="32" t="inlineStr">
        <is>
          <t>Прочие помещения подзем.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8.1.6</t>
        </is>
      </c>
      <c r="D513" s="32" t="inlineStr">
        <is>
          <t>Коммерч. помещения подзем.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Чистовая</t>
        </is>
      </c>
      <c r="C514" s="31" t="inlineStr">
        <is>
          <t>8.1.1</t>
        </is>
      </c>
      <c r="D514" s="32" t="inlineStr">
        <is>
          <t>Отделка паркинг и рампы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 ht="30" customHeight="1" s="74">
      <c r="A515" s="30">
        <f>A508</f>
        <v/>
      </c>
      <c r="B515" s="31" t="inlineStr">
        <is>
          <t>Чистовая</t>
        </is>
      </c>
      <c r="C515" s="31" t="inlineStr">
        <is>
          <t>8.1.2</t>
        </is>
      </c>
      <c r="D515" s="32" t="inlineStr">
        <is>
          <t>Отделка эвакуац. лестн. клетки подзем.</t>
        </is>
      </c>
      <c r="E515" s="33" t="n"/>
      <c r="F515" s="33" t="n"/>
      <c r="G515" s="33" t="n"/>
      <c r="H515" s="33" t="n"/>
      <c r="I515" s="34">
        <f>COUNTA(E515:G515)&amp;"/3"</f>
        <v/>
      </c>
    </row>
    <row r="516">
      <c r="A516" s="30">
        <f>A508</f>
        <v/>
      </c>
      <c r="B516" s="31" t="inlineStr">
        <is>
          <t>Чистовая</t>
        </is>
      </c>
      <c r="C516" s="31" t="inlineStr">
        <is>
          <t>8.1.3</t>
        </is>
      </c>
      <c r="D516" s="32" t="inlineStr">
        <is>
          <t>Лифт. холлы, тамбур-шлюзы подзем.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8.1.4</t>
        </is>
      </c>
      <c r="D517" s="32" t="inlineStr">
        <is>
          <t>Технич. помещения подзем.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8.1.5</t>
        </is>
      </c>
      <c r="D518" s="32" t="inlineStr">
        <is>
          <t>Прочие помещения подзем.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8.1.6</t>
        </is>
      </c>
      <c r="D519" s="32" t="inlineStr">
        <is>
          <t>Коммерч. помещения подзем.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A508+7</f>
        <v/>
      </c>
      <c r="B520" s="31" t="inlineStr">
        <is>
          <t>Черновая</t>
        </is>
      </c>
      <c r="C520" s="31" t="inlineStr">
        <is>
          <t>8.1.1</t>
        </is>
      </c>
      <c r="D520" s="32" t="inlineStr">
        <is>
          <t>Отделка паркинг и рампы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 ht="30" customHeight="1" s="74">
      <c r="A521" s="30">
        <f>A520</f>
        <v/>
      </c>
      <c r="B521" s="31" t="inlineStr">
        <is>
          <t>Черновая</t>
        </is>
      </c>
      <c r="C521" s="31" t="inlineStr">
        <is>
          <t>8.1.2</t>
        </is>
      </c>
      <c r="D521" s="32" t="inlineStr">
        <is>
          <t>Отделка эвакуац. лестн. клетки подзем.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A520</f>
        <v/>
      </c>
      <c r="B522" s="31" t="inlineStr">
        <is>
          <t>Черновая</t>
        </is>
      </c>
      <c r="C522" s="31" t="inlineStr">
        <is>
          <t>8.1.3</t>
        </is>
      </c>
      <c r="D522" s="32" t="inlineStr">
        <is>
          <t>Лифт. холлы, тамбур-шлюзы подзем.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>
      <c r="A523" s="30">
        <f>A520</f>
        <v/>
      </c>
      <c r="B523" s="31" t="inlineStr">
        <is>
          <t>Черновая</t>
        </is>
      </c>
      <c r="C523" s="31" t="inlineStr">
        <is>
          <t>8.1.4</t>
        </is>
      </c>
      <c r="D523" s="32" t="inlineStr">
        <is>
          <t>Технич. помещения подзем.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A520</f>
        <v/>
      </c>
      <c r="B524" s="31" t="inlineStr">
        <is>
          <t>Черновая</t>
        </is>
      </c>
      <c r="C524" s="31" t="inlineStr">
        <is>
          <t>8.1.5</t>
        </is>
      </c>
      <c r="D524" s="32" t="inlineStr">
        <is>
          <t>Прочие помещения подзем.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A520</f>
        <v/>
      </c>
      <c r="B525" s="31" t="inlineStr">
        <is>
          <t>Черновая</t>
        </is>
      </c>
      <c r="C525" s="31" t="inlineStr">
        <is>
          <t>8.1.6</t>
        </is>
      </c>
      <c r="D525" s="32" t="inlineStr">
        <is>
          <t>Коммерч. помещения подзем.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A520</f>
        <v/>
      </c>
      <c r="B526" s="31" t="inlineStr">
        <is>
          <t>Чистовая</t>
        </is>
      </c>
      <c r="C526" s="31" t="inlineStr">
        <is>
          <t>8.1.1</t>
        </is>
      </c>
      <c r="D526" s="32" t="inlineStr">
        <is>
          <t>Отделка паркинг и рампы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 ht="30" customHeight="1" s="74">
      <c r="A527" s="30">
        <f>A520</f>
        <v/>
      </c>
      <c r="B527" s="31" t="inlineStr">
        <is>
          <t>Чистовая</t>
        </is>
      </c>
      <c r="C527" s="31" t="inlineStr">
        <is>
          <t>8.1.2</t>
        </is>
      </c>
      <c r="D527" s="32" t="inlineStr">
        <is>
          <t>Отделка эвакуац. лестн. клетки подзем.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A520</f>
        <v/>
      </c>
      <c r="B528" s="31" t="inlineStr">
        <is>
          <t>Чистовая</t>
        </is>
      </c>
      <c r="C528" s="31" t="inlineStr">
        <is>
          <t>8.1.3</t>
        </is>
      </c>
      <c r="D528" s="32" t="inlineStr">
        <is>
          <t>Лифт. холлы, тамбур-шлюзы подзем.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A520</f>
        <v/>
      </c>
      <c r="B529" s="31" t="inlineStr">
        <is>
          <t>Чистовая</t>
        </is>
      </c>
      <c r="C529" s="31" t="inlineStr">
        <is>
          <t>8.1.4</t>
        </is>
      </c>
      <c r="D529" s="32" t="inlineStr">
        <is>
          <t>Технич. помещения подзем.</t>
        </is>
      </c>
      <c r="E529" s="33" t="n"/>
      <c r="F529" s="33" t="n"/>
      <c r="G529" s="33" t="n"/>
      <c r="H529" s="33" t="n"/>
      <c r="I529" s="34">
        <f>COUNTA(E529:G529)&amp;"/3"</f>
        <v/>
      </c>
    </row>
    <row r="530">
      <c r="A530" s="30">
        <f>A520</f>
        <v/>
      </c>
      <c r="B530" s="31" t="inlineStr">
        <is>
          <t>Чистовая</t>
        </is>
      </c>
      <c r="C530" s="31" t="inlineStr">
        <is>
          <t>8.1.5</t>
        </is>
      </c>
      <c r="D530" s="32" t="inlineStr">
        <is>
          <t>Прочие помещения подзем.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A520</f>
        <v/>
      </c>
      <c r="B531" s="31" t="inlineStr">
        <is>
          <t>Чистовая</t>
        </is>
      </c>
      <c r="C531" s="31" t="inlineStr">
        <is>
          <t>8.1.6</t>
        </is>
      </c>
      <c r="D531" s="32" t="inlineStr">
        <is>
          <t>Коммерч. помещения подзем.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A520+7</f>
        <v/>
      </c>
      <c r="B532" s="31" t="inlineStr">
        <is>
          <t>Черновая</t>
        </is>
      </c>
      <c r="C532" s="31" t="inlineStr">
        <is>
          <t>8.1.1</t>
        </is>
      </c>
      <c r="D532" s="32" t="inlineStr">
        <is>
          <t>Отделка паркинг и рампы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 ht="30" customHeight="1" s="74">
      <c r="A533" s="30">
        <f>A532</f>
        <v/>
      </c>
      <c r="B533" s="31" t="inlineStr">
        <is>
          <t>Черновая</t>
        </is>
      </c>
      <c r="C533" s="31" t="inlineStr">
        <is>
          <t>8.1.2</t>
        </is>
      </c>
      <c r="D533" s="32" t="inlineStr">
        <is>
          <t>Отделка эвакуац. лестн. клетки подзем.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A532</f>
        <v/>
      </c>
      <c r="B534" s="31" t="inlineStr">
        <is>
          <t>Черновая</t>
        </is>
      </c>
      <c r="C534" s="31" t="inlineStr">
        <is>
          <t>8.1.3</t>
        </is>
      </c>
      <c r="D534" s="32" t="inlineStr">
        <is>
          <t>Лифт. холлы, тамбур-шлюзы подзем.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A532</f>
        <v/>
      </c>
      <c r="B535" s="31" t="inlineStr">
        <is>
          <t>Черновая</t>
        </is>
      </c>
      <c r="C535" s="31" t="inlineStr">
        <is>
          <t>8.1.4</t>
        </is>
      </c>
      <c r="D535" s="32" t="inlineStr">
        <is>
          <t>Технич. помещения подзем.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A532</f>
        <v/>
      </c>
      <c r="B536" s="31" t="inlineStr">
        <is>
          <t>Черновая</t>
        </is>
      </c>
      <c r="C536" s="31" t="inlineStr">
        <is>
          <t>8.1.5</t>
        </is>
      </c>
      <c r="D536" s="32" t="inlineStr">
        <is>
          <t>Прочие помещения подзем.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>
      <c r="A537" s="30">
        <f>A532</f>
        <v/>
      </c>
      <c r="B537" s="31" t="inlineStr">
        <is>
          <t>Черновая</t>
        </is>
      </c>
      <c r="C537" s="31" t="inlineStr">
        <is>
          <t>8.1.6</t>
        </is>
      </c>
      <c r="D537" s="32" t="inlineStr">
        <is>
          <t>Коммерч. помещения подзем.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A532</f>
        <v/>
      </c>
      <c r="B538" s="31" t="inlineStr">
        <is>
          <t>Чистовая</t>
        </is>
      </c>
      <c r="C538" s="31" t="inlineStr">
        <is>
          <t>8.1.1</t>
        </is>
      </c>
      <c r="D538" s="32" t="inlineStr">
        <is>
          <t>Отделка паркинг и рампы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 ht="30" customHeight="1" s="74">
      <c r="A539" s="30">
        <f>A532</f>
        <v/>
      </c>
      <c r="B539" s="31" t="inlineStr">
        <is>
          <t>Чистовая</t>
        </is>
      </c>
      <c r="C539" s="31" t="inlineStr">
        <is>
          <t>8.1.2</t>
        </is>
      </c>
      <c r="D539" s="32" t="inlineStr">
        <is>
          <t>Отделка эвакуац. лестн. клетки подзем.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A532</f>
        <v/>
      </c>
      <c r="B540" s="31" t="inlineStr">
        <is>
          <t>Чистовая</t>
        </is>
      </c>
      <c r="C540" s="31" t="inlineStr">
        <is>
          <t>8.1.3</t>
        </is>
      </c>
      <c r="D540" s="32" t="inlineStr">
        <is>
          <t>Лифт. холлы, тамбур-шлюзы подзем.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A532</f>
        <v/>
      </c>
      <c r="B541" s="31" t="inlineStr">
        <is>
          <t>Чистовая</t>
        </is>
      </c>
      <c r="C541" s="31" t="inlineStr">
        <is>
          <t>8.1.4</t>
        </is>
      </c>
      <c r="D541" s="32" t="inlineStr">
        <is>
          <t>Технич. помещения подзем.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A532</f>
        <v/>
      </c>
      <c r="B542" s="31" t="inlineStr">
        <is>
          <t>Чистовая</t>
        </is>
      </c>
      <c r="C542" s="31" t="inlineStr">
        <is>
          <t>8.1.5</t>
        </is>
      </c>
      <c r="D542" s="32" t="inlineStr">
        <is>
          <t>Прочие помещения подзем.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A532</f>
        <v/>
      </c>
      <c r="B543" s="31" t="inlineStr">
        <is>
          <t>Чистовая</t>
        </is>
      </c>
      <c r="C543" s="31" t="inlineStr">
        <is>
          <t>8.1.6</t>
        </is>
      </c>
      <c r="D543" s="32" t="inlineStr">
        <is>
          <t>Коммерч. помещения подзем.</t>
        </is>
      </c>
      <c r="E543" s="33" t="n"/>
      <c r="F543" s="33" t="n"/>
      <c r="G543" s="33" t="n"/>
      <c r="H543" s="33" t="n"/>
      <c r="I543" s="34">
        <f>COUNTA(E543:G543)&amp;"/3"</f>
        <v/>
      </c>
    </row>
    <row r="544">
      <c r="A544" s="30">
        <f>A532+7</f>
        <v/>
      </c>
      <c r="B544" s="31" t="inlineStr">
        <is>
          <t>Черновая</t>
        </is>
      </c>
      <c r="C544" s="31" t="inlineStr">
        <is>
          <t>8.1.1</t>
        </is>
      </c>
      <c r="D544" s="32" t="inlineStr">
        <is>
          <t>Отделка паркинг и рампы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 ht="30" customHeight="1" s="74">
      <c r="A545" s="30">
        <f>A544</f>
        <v/>
      </c>
      <c r="B545" s="31" t="inlineStr">
        <is>
          <t>Черновая</t>
        </is>
      </c>
      <c r="C545" s="31" t="inlineStr">
        <is>
          <t>8.1.2</t>
        </is>
      </c>
      <c r="D545" s="32" t="inlineStr">
        <is>
          <t>Отделка эвакуац. лестн. клетки подзем.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A544</f>
        <v/>
      </c>
      <c r="B546" s="31" t="inlineStr">
        <is>
          <t>Черновая</t>
        </is>
      </c>
      <c r="C546" s="31" t="inlineStr">
        <is>
          <t>8.1.3</t>
        </is>
      </c>
      <c r="D546" s="32" t="inlineStr">
        <is>
          <t>Лифт. холлы, тамбур-шлюзы подзем.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A544</f>
        <v/>
      </c>
      <c r="B547" s="31" t="inlineStr">
        <is>
          <t>Черновая</t>
        </is>
      </c>
      <c r="C547" s="31" t="inlineStr">
        <is>
          <t>8.1.4</t>
        </is>
      </c>
      <c r="D547" s="32" t="inlineStr">
        <is>
          <t>Технич. помещения подзем.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A544</f>
        <v/>
      </c>
      <c r="B548" s="31" t="inlineStr">
        <is>
          <t>Черновая</t>
        </is>
      </c>
      <c r="C548" s="31" t="inlineStr">
        <is>
          <t>8.1.5</t>
        </is>
      </c>
      <c r="D548" s="32" t="inlineStr">
        <is>
          <t>Прочие помещения подзем.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A544</f>
        <v/>
      </c>
      <c r="B549" s="31" t="inlineStr">
        <is>
          <t>Черновая</t>
        </is>
      </c>
      <c r="C549" s="31" t="inlineStr">
        <is>
          <t>8.1.6</t>
        </is>
      </c>
      <c r="D549" s="32" t="inlineStr">
        <is>
          <t>Коммерч. помещения подзем.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A544</f>
        <v/>
      </c>
      <c r="B550" s="31" t="inlineStr">
        <is>
          <t>Чистовая</t>
        </is>
      </c>
      <c r="C550" s="31" t="inlineStr">
        <is>
          <t>8.1.1</t>
        </is>
      </c>
      <c r="D550" s="32" t="inlineStr">
        <is>
          <t>Отделка паркинг и рампы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A544</f>
        <v/>
      </c>
      <c r="B551" s="31" t="inlineStr">
        <is>
          <t>Чистовая</t>
        </is>
      </c>
      <c r="C551" s="31" t="inlineStr">
        <is>
          <t>8.1.2</t>
        </is>
      </c>
      <c r="D551" s="32" t="inlineStr">
        <is>
          <t>Отделка эвакуац. лестн. клетки подзем.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A544</f>
        <v/>
      </c>
      <c r="B552" s="31" t="inlineStr">
        <is>
          <t>Чистовая</t>
        </is>
      </c>
      <c r="C552" s="31" t="inlineStr">
        <is>
          <t>8.1.3</t>
        </is>
      </c>
      <c r="D552" s="32" t="inlineStr">
        <is>
          <t>Лифт. холлы, тамбур-шлюзы подзем.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A544</f>
        <v/>
      </c>
      <c r="B553" s="31" t="inlineStr">
        <is>
          <t>Чистовая</t>
        </is>
      </c>
      <c r="C553" s="31" t="inlineStr">
        <is>
          <t>8.1.4</t>
        </is>
      </c>
      <c r="D553" s="32" t="inlineStr">
        <is>
          <t>Технич. помещения подзем.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A544</f>
        <v/>
      </c>
      <c r="B554" s="31" t="inlineStr">
        <is>
          <t>Чистовая</t>
        </is>
      </c>
      <c r="C554" s="31" t="inlineStr">
        <is>
          <t>8.1.5</t>
        </is>
      </c>
      <c r="D554" s="32" t="inlineStr">
        <is>
          <t>Прочие помещения подзем.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A544</f>
        <v/>
      </c>
      <c r="B555" s="31" t="inlineStr">
        <is>
          <t>Чистовая</t>
        </is>
      </c>
      <c r="C555" s="31" t="inlineStr">
        <is>
          <t>8.1.6</t>
        </is>
      </c>
      <c r="D555" s="32" t="inlineStr">
        <is>
          <t>Коммерч. помещения подзем.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A544+7</f>
        <v/>
      </c>
      <c r="B556" s="31" t="inlineStr">
        <is>
          <t>Черновая</t>
        </is>
      </c>
      <c r="C556" s="31" t="inlineStr">
        <is>
          <t>8.1.1</t>
        </is>
      </c>
      <c r="D556" s="32" t="inlineStr">
        <is>
          <t>Отделка паркинг и рампы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 ht="30" customHeight="1" s="74">
      <c r="A557" s="30">
        <f>A556</f>
        <v/>
      </c>
      <c r="B557" s="31" t="inlineStr">
        <is>
          <t>Черновая</t>
        </is>
      </c>
      <c r="C557" s="31" t="inlineStr">
        <is>
          <t>8.1.2</t>
        </is>
      </c>
      <c r="D557" s="32" t="inlineStr">
        <is>
          <t>Отделка эвакуац. лестн. клетки подзем.</t>
        </is>
      </c>
      <c r="E557" s="33" t="n"/>
      <c r="F557" s="33" t="n"/>
      <c r="G557" s="33" t="n"/>
      <c r="H557" s="33" t="n"/>
      <c r="I557" s="34">
        <f>COUNTA(E557:G557)&amp;"/3"</f>
        <v/>
      </c>
    </row>
    <row r="558">
      <c r="A558" s="30">
        <f>A556</f>
        <v/>
      </c>
      <c r="B558" s="31" t="inlineStr">
        <is>
          <t>Черновая</t>
        </is>
      </c>
      <c r="C558" s="31" t="inlineStr">
        <is>
          <t>8.1.3</t>
        </is>
      </c>
      <c r="D558" s="32" t="inlineStr">
        <is>
          <t>Лифт. холлы, тамбур-шлюзы подзем.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A556</f>
        <v/>
      </c>
      <c r="B559" s="31" t="inlineStr">
        <is>
          <t>Черновая</t>
        </is>
      </c>
      <c r="C559" s="31" t="inlineStr">
        <is>
          <t>8.1.4</t>
        </is>
      </c>
      <c r="D559" s="32" t="inlineStr">
        <is>
          <t>Технич. помещения подзем.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A556</f>
        <v/>
      </c>
      <c r="B560" s="31" t="inlineStr">
        <is>
          <t>Черновая</t>
        </is>
      </c>
      <c r="C560" s="31" t="inlineStr">
        <is>
          <t>8.1.5</t>
        </is>
      </c>
      <c r="D560" s="32" t="inlineStr">
        <is>
          <t>Прочие помещения подзем.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A556</f>
        <v/>
      </c>
      <c r="B561" s="31" t="inlineStr">
        <is>
          <t>Черновая</t>
        </is>
      </c>
      <c r="C561" s="31" t="inlineStr">
        <is>
          <t>8.1.6</t>
        </is>
      </c>
      <c r="D561" s="32" t="inlineStr">
        <is>
          <t>Коммерч. помещения подзем.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A556</f>
        <v/>
      </c>
      <c r="B562" s="31" t="inlineStr">
        <is>
          <t>Чистовая</t>
        </is>
      </c>
      <c r="C562" s="31" t="inlineStr">
        <is>
          <t>8.1.1</t>
        </is>
      </c>
      <c r="D562" s="32" t="inlineStr">
        <is>
          <t>Отделка паркинг и рампы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 ht="30" customHeight="1" s="74">
      <c r="A563" s="30">
        <f>A556</f>
        <v/>
      </c>
      <c r="B563" s="31" t="inlineStr">
        <is>
          <t>Чистовая</t>
        </is>
      </c>
      <c r="C563" s="31" t="inlineStr">
        <is>
          <t>8.1.2</t>
        </is>
      </c>
      <c r="D563" s="32" t="inlineStr">
        <is>
          <t>Отделка эвакуац. лестн. клетки подзем.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A556</f>
        <v/>
      </c>
      <c r="B564" s="31" t="inlineStr">
        <is>
          <t>Чистовая</t>
        </is>
      </c>
      <c r="C564" s="31" t="inlineStr">
        <is>
          <t>8.1.3</t>
        </is>
      </c>
      <c r="D564" s="32" t="inlineStr">
        <is>
          <t>Лифт. холлы, тамбур-шлюзы подзем.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>
      <c r="A565" s="30">
        <f>A556</f>
        <v/>
      </c>
      <c r="B565" s="31" t="inlineStr">
        <is>
          <t>Чистовая</t>
        </is>
      </c>
      <c r="C565" s="31" t="inlineStr">
        <is>
          <t>8.1.4</t>
        </is>
      </c>
      <c r="D565" s="32" t="inlineStr">
        <is>
          <t>Технич. помещения подзем.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A556</f>
        <v/>
      </c>
      <c r="B566" s="31" t="inlineStr">
        <is>
          <t>Чистовая</t>
        </is>
      </c>
      <c r="C566" s="31" t="inlineStr">
        <is>
          <t>8.1.5</t>
        </is>
      </c>
      <c r="D566" s="32" t="inlineStr">
        <is>
          <t>Прочие помещения подзем.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A556</f>
        <v/>
      </c>
      <c r="B567" s="31" t="inlineStr">
        <is>
          <t>Чистовая</t>
        </is>
      </c>
      <c r="C567" s="31" t="inlineStr">
        <is>
          <t>8.1.6</t>
        </is>
      </c>
      <c r="D567" s="32" t="inlineStr">
        <is>
          <t>Коммерч. помещения подзем.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A556+7</f>
        <v/>
      </c>
      <c r="B568" s="31" t="inlineStr">
        <is>
          <t>Черновая</t>
        </is>
      </c>
      <c r="C568" s="31" t="inlineStr">
        <is>
          <t>8.1.1</t>
        </is>
      </c>
      <c r="D568" s="32" t="inlineStr">
        <is>
          <t>Отделка паркинг и рампы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 ht="30" customHeight="1" s="74">
      <c r="A569" s="30">
        <f>A568</f>
        <v/>
      </c>
      <c r="B569" s="31" t="inlineStr">
        <is>
          <t>Черновая</t>
        </is>
      </c>
      <c r="C569" s="31" t="inlineStr">
        <is>
          <t>8.1.2</t>
        </is>
      </c>
      <c r="D569" s="32" t="inlineStr">
        <is>
          <t>Отделка эвакуац. лестн. клетки подзем.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A568</f>
        <v/>
      </c>
      <c r="B570" s="31" t="inlineStr">
        <is>
          <t>Черновая</t>
        </is>
      </c>
      <c r="C570" s="31" t="inlineStr">
        <is>
          <t>8.1.3</t>
        </is>
      </c>
      <c r="D570" s="32" t="inlineStr">
        <is>
          <t>Лифт. холлы, тамбур-шлюзы подзем.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A568</f>
        <v/>
      </c>
      <c r="B571" s="31" t="inlineStr">
        <is>
          <t>Черновая</t>
        </is>
      </c>
      <c r="C571" s="31" t="inlineStr">
        <is>
          <t>8.1.4</t>
        </is>
      </c>
      <c r="D571" s="32" t="inlineStr">
        <is>
          <t>Технич. помещения подзем.</t>
        </is>
      </c>
      <c r="E571" s="33" t="n"/>
      <c r="F571" s="33" t="n"/>
      <c r="G571" s="33" t="n"/>
      <c r="H571" s="33" t="n"/>
      <c r="I571" s="34">
        <f>COUNTA(E571:G571)&amp;"/3"</f>
        <v/>
      </c>
    </row>
    <row r="572">
      <c r="A572" s="30">
        <f>A568</f>
        <v/>
      </c>
      <c r="B572" s="31" t="inlineStr">
        <is>
          <t>Черновая</t>
        </is>
      </c>
      <c r="C572" s="31" t="inlineStr">
        <is>
          <t>8.1.5</t>
        </is>
      </c>
      <c r="D572" s="32" t="inlineStr">
        <is>
          <t>Прочие помещения подзем.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A568</f>
        <v/>
      </c>
      <c r="B573" s="31" t="inlineStr">
        <is>
          <t>Черновая</t>
        </is>
      </c>
      <c r="C573" s="31" t="inlineStr">
        <is>
          <t>8.1.6</t>
        </is>
      </c>
      <c r="D573" s="32" t="inlineStr">
        <is>
          <t>Коммерч. помещения подзем.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A568</f>
        <v/>
      </c>
      <c r="B574" s="31" t="inlineStr">
        <is>
          <t>Чистовая</t>
        </is>
      </c>
      <c r="C574" s="31" t="inlineStr">
        <is>
          <t>8.1.1</t>
        </is>
      </c>
      <c r="D574" s="32" t="inlineStr">
        <is>
          <t>Отделка паркинг и рампы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 ht="30" customHeight="1" s="74">
      <c r="A575" s="30">
        <f>A568</f>
        <v/>
      </c>
      <c r="B575" s="31" t="inlineStr">
        <is>
          <t>Чистовая</t>
        </is>
      </c>
      <c r="C575" s="31" t="inlineStr">
        <is>
          <t>8.1.2</t>
        </is>
      </c>
      <c r="D575" s="32" t="inlineStr">
        <is>
          <t>Отделка эвакуац. лестн. клетки подзем.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A568</f>
        <v/>
      </c>
      <c r="B576" s="31" t="inlineStr">
        <is>
          <t>Чистовая</t>
        </is>
      </c>
      <c r="C576" s="31" t="inlineStr">
        <is>
          <t>8.1.3</t>
        </is>
      </c>
      <c r="D576" s="32" t="inlineStr">
        <is>
          <t>Лифт. холлы, тамбур-шлюзы подзем.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A568</f>
        <v/>
      </c>
      <c r="B577" s="31" t="inlineStr">
        <is>
          <t>Чистовая</t>
        </is>
      </c>
      <c r="C577" s="31" t="inlineStr">
        <is>
          <t>8.1.4</t>
        </is>
      </c>
      <c r="D577" s="32" t="inlineStr">
        <is>
          <t>Технич. помещения подзем.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A568</f>
        <v/>
      </c>
      <c r="B578" s="31" t="inlineStr">
        <is>
          <t>Чистовая</t>
        </is>
      </c>
      <c r="C578" s="31" t="inlineStr">
        <is>
          <t>8.1.5</t>
        </is>
      </c>
      <c r="D578" s="32" t="inlineStr">
        <is>
          <t>Прочие помещения подзем.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>
      <c r="A579" s="30">
        <f>A568</f>
        <v/>
      </c>
      <c r="B579" s="31" t="inlineStr">
        <is>
          <t>Чистовая</t>
        </is>
      </c>
      <c r="C579" s="31" t="inlineStr">
        <is>
          <t>8.1.6</t>
        </is>
      </c>
      <c r="D579" s="32" t="inlineStr">
        <is>
          <t>Коммерч. помещения подзем.</t>
        </is>
      </c>
      <c r="E579" s="33" t="n"/>
      <c r="F579" s="33" t="n"/>
      <c r="G579" s="33" t="n"/>
      <c r="H579" s="33" t="n"/>
      <c r="I579" s="34">
        <f>COUNTA(E579:G579)&amp;"/3"</f>
        <v/>
      </c>
    </row>
  </sheetData>
  <mergeCells count="2">
    <mergeCell ref="A1:I1"/>
    <mergeCell ref="A2:I2"/>
  </mergeCells>
  <conditionalFormatting sqref="A4:I579">
    <cfRule type="expression" priority="1" dxfId="0">
      <formula>AND($A4&lt;=TODAY(),$A4+6&gt;=TODAY())</formula>
    </cfRule>
  </conditionalFormatting>
  <dataValidations count="1">
    <dataValidation sqref="E4:H579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I675"/>
  <sheetViews>
    <sheetView zoomScale="85" zoomScaleNormal="85" workbookViewId="0">
      <pane xSplit="4" ySplit="3" topLeftCell="E181" activePane="bottomRight" state="frozen"/>
      <selection pane="topRight" activeCell="A1" sqref="A1"/>
      <selection pane="bottomLeft" activeCell="A1" sqref="A1"/>
      <selection pane="bottomRight" activeCell="E3" sqref="E1:J1048576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К1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8.2.1</t>
        </is>
      </c>
      <c r="D4" s="32" t="inlineStr">
        <is>
          <t>Отделка лобби/гранд-лобби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8.2.2</t>
        </is>
      </c>
      <c r="D5" s="32" t="inlineStr">
        <is>
          <t>Отделка эвакуац. лестн. клетки надзем.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8.2.3</t>
        </is>
      </c>
      <c r="D6" s="32" t="inlineStr">
        <is>
          <t>Лифт. холлы, тамбур-шлюзы надзем.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8.2.4</t>
        </is>
      </c>
      <c r="D7" s="32" t="inlineStr">
        <is>
          <t>Технич. помещения надзем.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8.2.5</t>
        </is>
      </c>
      <c r="D8" s="32" t="inlineStr">
        <is>
          <t>Прочие помещения надзем.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8.2.6</t>
        </is>
      </c>
      <c r="D9" s="32" t="inlineStr">
        <is>
          <t>Коммерч. помещения надзем.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Черновая</t>
        </is>
      </c>
      <c r="C10" s="31" t="inlineStr">
        <is>
          <t>8.2.7</t>
        </is>
      </c>
      <c r="D10" s="32" t="inlineStr">
        <is>
          <t>Паркинг и рампы надзем.</t>
        </is>
      </c>
      <c r="E10" s="33" t="n"/>
      <c r="F10" s="33" t="n"/>
      <c r="G10" s="33" t="n"/>
      <c r="H10" s="33" t="n"/>
      <c r="I10" s="34">
        <f>COUNTA(E10:G10)&amp;"/3"</f>
        <v/>
      </c>
    </row>
    <row r="11">
      <c r="A11" s="30">
        <f>A4</f>
        <v/>
      </c>
      <c r="B11" s="31" t="inlineStr">
        <is>
          <t>Чистовая</t>
        </is>
      </c>
      <c r="C11" s="31" t="inlineStr">
        <is>
          <t>8.2.1</t>
        </is>
      </c>
      <c r="D11" s="32" t="inlineStr">
        <is>
          <t>Отделка лобби/гранд-лобби</t>
        </is>
      </c>
      <c r="E11" s="33" t="n"/>
      <c r="F11" s="33" t="n"/>
      <c r="G11" s="33" t="n"/>
      <c r="H11" s="33" t="n"/>
      <c r="I11" s="34">
        <f>COUNTA(E11:H11)&amp;"/4"</f>
        <v/>
      </c>
    </row>
    <row r="12" ht="30" customHeight="1" s="74">
      <c r="A12" s="30">
        <f>A4</f>
        <v/>
      </c>
      <c r="B12" s="31" t="inlineStr">
        <is>
          <t>Чистовая</t>
        </is>
      </c>
      <c r="C12" s="31" t="inlineStr">
        <is>
          <t>8.2.2</t>
        </is>
      </c>
      <c r="D12" s="32" t="inlineStr">
        <is>
          <t>Отделка эвакуац. лестн. клетки надзем.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8.2.3</t>
        </is>
      </c>
      <c r="D13" s="32" t="inlineStr">
        <is>
          <t>Лифт. холлы, тамбур-шлюзы надзем.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8.2.4</t>
        </is>
      </c>
      <c r="D14" s="32" t="inlineStr">
        <is>
          <t>Технич. помещения надзем.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8.2.5</t>
        </is>
      </c>
      <c r="D15" s="32" t="inlineStr">
        <is>
          <t>Прочие помещения надзем.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</f>
        <v/>
      </c>
      <c r="B16" s="31" t="inlineStr">
        <is>
          <t>Чистовая</t>
        </is>
      </c>
      <c r="C16" s="31" t="inlineStr">
        <is>
          <t>8.2.6</t>
        </is>
      </c>
      <c r="D16" s="32" t="inlineStr">
        <is>
          <t>Коммерч. помещения надзем.</t>
        </is>
      </c>
      <c r="E16" s="33" t="n"/>
      <c r="F16" s="33" t="n"/>
      <c r="G16" s="33" t="n"/>
      <c r="H16" s="33" t="n"/>
      <c r="I16" s="34">
        <f>COUNTA(E16:G16)&amp;"/3"</f>
        <v/>
      </c>
    </row>
    <row r="17">
      <c r="A17" s="30">
        <f>A4</f>
        <v/>
      </c>
      <c r="B17" s="31" t="inlineStr">
        <is>
          <t>Чистовая</t>
        </is>
      </c>
      <c r="C17" s="31" t="inlineStr">
        <is>
          <t>8.2.7</t>
        </is>
      </c>
      <c r="D17" s="32" t="inlineStr">
        <is>
          <t>Паркинг и рампы надзем.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A4+7</f>
        <v/>
      </c>
      <c r="B18" s="31" t="inlineStr">
        <is>
          <t>Черновая</t>
        </is>
      </c>
      <c r="C18" s="31" t="inlineStr">
        <is>
          <t>8.2.1</t>
        </is>
      </c>
      <c r="D18" s="32" t="inlineStr">
        <is>
          <t>Отделка лобби/гранд-лобби</t>
        </is>
      </c>
      <c r="E18" s="33" t="n"/>
      <c r="F18" s="33" t="n"/>
      <c r="G18" s="33" t="n"/>
      <c r="H18" s="33" t="n"/>
      <c r="I18" s="34">
        <f>COUNTA(E18:G18)&amp;"/3"</f>
        <v/>
      </c>
    </row>
    <row r="19" ht="30" customHeight="1" s="74">
      <c r="A19" s="30">
        <f>A18</f>
        <v/>
      </c>
      <c r="B19" s="31" t="inlineStr">
        <is>
          <t>Черновая</t>
        </is>
      </c>
      <c r="C19" s="31" t="inlineStr">
        <is>
          <t>8.2.2</t>
        </is>
      </c>
      <c r="D19" s="32" t="inlineStr">
        <is>
          <t>Отделка эвакуац. лестн. клетки надзем.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A18</f>
        <v/>
      </c>
      <c r="B20" s="31" t="inlineStr">
        <is>
          <t>Черновая</t>
        </is>
      </c>
      <c r="C20" s="31" t="inlineStr">
        <is>
          <t>8.2.3</t>
        </is>
      </c>
      <c r="D20" s="32" t="inlineStr">
        <is>
          <t>Лифт. холлы, тамбур-шлюзы надзем.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A18</f>
        <v/>
      </c>
      <c r="B21" s="31" t="inlineStr">
        <is>
          <t>Черновая</t>
        </is>
      </c>
      <c r="C21" s="31" t="inlineStr">
        <is>
          <t>8.2.4</t>
        </is>
      </c>
      <c r="D21" s="32" t="inlineStr">
        <is>
          <t>Технич. помещения надзем.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A18</f>
        <v/>
      </c>
      <c r="B22" s="31" t="inlineStr">
        <is>
          <t>Черновая</t>
        </is>
      </c>
      <c r="C22" s="31" t="inlineStr">
        <is>
          <t>8.2.5</t>
        </is>
      </c>
      <c r="D22" s="32" t="inlineStr">
        <is>
          <t>Прочие помещения надзем.</t>
        </is>
      </c>
      <c r="E22" s="33" t="n"/>
      <c r="F22" s="33" t="n"/>
      <c r="G22" s="33" t="n"/>
      <c r="H22" s="33" t="n"/>
      <c r="I22" s="34">
        <f>COUNTA(E22:G22)&amp;"/3"</f>
        <v/>
      </c>
    </row>
    <row r="23">
      <c r="A23" s="30">
        <f>A18</f>
        <v/>
      </c>
      <c r="B23" s="31" t="inlineStr">
        <is>
          <t>Черновая</t>
        </is>
      </c>
      <c r="C23" s="31" t="inlineStr">
        <is>
          <t>8.2.6</t>
        </is>
      </c>
      <c r="D23" s="32" t="inlineStr">
        <is>
          <t>Коммерч. помещения надзем.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A18</f>
        <v/>
      </c>
      <c r="B24" s="31" t="inlineStr">
        <is>
          <t>Черновая</t>
        </is>
      </c>
      <c r="C24" s="31" t="inlineStr">
        <is>
          <t>8.2.7</t>
        </is>
      </c>
      <c r="D24" s="32" t="inlineStr">
        <is>
          <t>Паркинг и рампы надзем.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A18</f>
        <v/>
      </c>
      <c r="B25" s="31" t="inlineStr">
        <is>
          <t>Чистовая</t>
        </is>
      </c>
      <c r="C25" s="31" t="inlineStr">
        <is>
          <t>8.2.1</t>
        </is>
      </c>
      <c r="D25" s="32" t="inlineStr">
        <is>
          <t>Отделка лобби/гранд-лобби</t>
        </is>
      </c>
      <c r="E25" s="33" t="n"/>
      <c r="F25" s="33" t="n"/>
      <c r="G25" s="33" t="n"/>
      <c r="H25" s="33" t="n"/>
      <c r="I25" s="34">
        <f>COUNTA(E25:H25)&amp;"/4"</f>
        <v/>
      </c>
    </row>
    <row r="26" ht="30" customHeight="1" s="74">
      <c r="A26" s="30">
        <f>A18</f>
        <v/>
      </c>
      <c r="B26" s="31" t="inlineStr">
        <is>
          <t>Чистовая</t>
        </is>
      </c>
      <c r="C26" s="31" t="inlineStr">
        <is>
          <t>8.2.2</t>
        </is>
      </c>
      <c r="D26" s="32" t="inlineStr">
        <is>
          <t>Отделка эвакуац. лестн. клетки надзем.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A18</f>
        <v/>
      </c>
      <c r="B27" s="31" t="inlineStr">
        <is>
          <t>Чистовая</t>
        </is>
      </c>
      <c r="C27" s="31" t="inlineStr">
        <is>
          <t>8.2.3</t>
        </is>
      </c>
      <c r="D27" s="32" t="inlineStr">
        <is>
          <t>Лифт. холлы, тамбур-шлюзы надзем.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A18</f>
        <v/>
      </c>
      <c r="B28" s="31" t="inlineStr">
        <is>
          <t>Чистовая</t>
        </is>
      </c>
      <c r="C28" s="31" t="inlineStr">
        <is>
          <t>8.2.4</t>
        </is>
      </c>
      <c r="D28" s="32" t="inlineStr">
        <is>
          <t>Технич. помещения надзем.</t>
        </is>
      </c>
      <c r="E28" s="33" t="n"/>
      <c r="F28" s="33" t="n"/>
      <c r="G28" s="33" t="n"/>
      <c r="H28" s="33" t="n"/>
      <c r="I28" s="34">
        <f>COUNTA(E28:G28)&amp;"/3"</f>
        <v/>
      </c>
    </row>
    <row r="29">
      <c r="A29" s="30">
        <f>A18</f>
        <v/>
      </c>
      <c r="B29" s="31" t="inlineStr">
        <is>
          <t>Чистовая</t>
        </is>
      </c>
      <c r="C29" s="31" t="inlineStr">
        <is>
          <t>8.2.5</t>
        </is>
      </c>
      <c r="D29" s="32" t="inlineStr">
        <is>
          <t>Прочие помещения надзем.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A18</f>
        <v/>
      </c>
      <c r="B30" s="31" t="inlineStr">
        <is>
          <t>Чистовая</t>
        </is>
      </c>
      <c r="C30" s="31" t="inlineStr">
        <is>
          <t>8.2.6</t>
        </is>
      </c>
      <c r="D30" s="32" t="inlineStr">
        <is>
          <t>Коммерч. помещения надзем.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A18</f>
        <v/>
      </c>
      <c r="B31" s="31" t="inlineStr">
        <is>
          <t>Чистовая</t>
        </is>
      </c>
      <c r="C31" s="31" t="inlineStr">
        <is>
          <t>8.2.7</t>
        </is>
      </c>
      <c r="D31" s="32" t="inlineStr">
        <is>
          <t>Паркинг и рампы надзем.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A18+7</f>
        <v/>
      </c>
      <c r="B32" s="31" t="inlineStr">
        <is>
          <t>Черновая</t>
        </is>
      </c>
      <c r="C32" s="31" t="inlineStr">
        <is>
          <t>8.2.1</t>
        </is>
      </c>
      <c r="D32" s="32" t="inlineStr">
        <is>
          <t>Отделка лобби/гранд-лобби</t>
        </is>
      </c>
      <c r="E32" s="33" t="n"/>
      <c r="F32" s="33" t="n"/>
      <c r="G32" s="33" t="n"/>
      <c r="H32" s="33" t="n"/>
      <c r="I32" s="34">
        <f>COUNTA(E32:G32)&amp;"/3"</f>
        <v/>
      </c>
    </row>
    <row r="33" ht="30" customHeight="1" s="74">
      <c r="A33" s="30">
        <f>A32</f>
        <v/>
      </c>
      <c r="B33" s="31" t="inlineStr">
        <is>
          <t>Черновая</t>
        </is>
      </c>
      <c r="C33" s="31" t="inlineStr">
        <is>
          <t>8.2.2</t>
        </is>
      </c>
      <c r="D33" s="32" t="inlineStr">
        <is>
          <t>Отделка эвакуац. лестн. клетки надзем.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A32</f>
        <v/>
      </c>
      <c r="B34" s="31" t="inlineStr">
        <is>
          <t>Черновая</t>
        </is>
      </c>
      <c r="C34" s="31" t="inlineStr">
        <is>
          <t>8.2.3</t>
        </is>
      </c>
      <c r="D34" s="32" t="inlineStr">
        <is>
          <t>Лифт. холлы, тамбур-шлюзы надзем.</t>
        </is>
      </c>
      <c r="E34" s="33" t="n"/>
      <c r="F34" s="33" t="n"/>
      <c r="G34" s="33" t="n"/>
      <c r="H34" s="33" t="n"/>
      <c r="I34" s="34">
        <f>COUNTA(E34:G34)&amp;"/3"</f>
        <v/>
      </c>
    </row>
    <row r="35">
      <c r="A35" s="30">
        <f>A32</f>
        <v/>
      </c>
      <c r="B35" s="31" t="inlineStr">
        <is>
          <t>Черновая</t>
        </is>
      </c>
      <c r="C35" s="31" t="inlineStr">
        <is>
          <t>8.2.4</t>
        </is>
      </c>
      <c r="D35" s="32" t="inlineStr">
        <is>
          <t>Технич. помещения надзем.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A32</f>
        <v/>
      </c>
      <c r="B36" s="31" t="inlineStr">
        <is>
          <t>Черновая</t>
        </is>
      </c>
      <c r="C36" s="31" t="inlineStr">
        <is>
          <t>8.2.5</t>
        </is>
      </c>
      <c r="D36" s="32" t="inlineStr">
        <is>
          <t>Прочие помещения надзем.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A32</f>
        <v/>
      </c>
      <c r="B37" s="31" t="inlineStr">
        <is>
          <t>Черновая</t>
        </is>
      </c>
      <c r="C37" s="31" t="inlineStr">
        <is>
          <t>8.2.6</t>
        </is>
      </c>
      <c r="D37" s="32" t="inlineStr">
        <is>
          <t>Коммерч. помещения надзем.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A32</f>
        <v/>
      </c>
      <c r="B38" s="31" t="inlineStr">
        <is>
          <t>Черновая</t>
        </is>
      </c>
      <c r="C38" s="31" t="inlineStr">
        <is>
          <t>8.2.7</t>
        </is>
      </c>
      <c r="D38" s="32" t="inlineStr">
        <is>
          <t>Паркинг и рампы надзем.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A32</f>
        <v/>
      </c>
      <c r="B39" s="31" t="inlineStr">
        <is>
          <t>Чистовая</t>
        </is>
      </c>
      <c r="C39" s="31" t="inlineStr">
        <is>
          <t>8.2.1</t>
        </is>
      </c>
      <c r="D39" s="32" t="inlineStr">
        <is>
          <t>Отделка лобби/гранд-лобби</t>
        </is>
      </c>
      <c r="E39" s="33" t="n"/>
      <c r="F39" s="33" t="n"/>
      <c r="G39" s="33" t="n"/>
      <c r="H39" s="33" t="n"/>
      <c r="I39" s="34">
        <f>COUNTA(E39:H39)&amp;"/4"</f>
        <v/>
      </c>
    </row>
    <row r="40" ht="30" customHeight="1" s="74">
      <c r="A40" s="30">
        <f>A32</f>
        <v/>
      </c>
      <c r="B40" s="31" t="inlineStr">
        <is>
          <t>Чистовая</t>
        </is>
      </c>
      <c r="C40" s="31" t="inlineStr">
        <is>
          <t>8.2.2</t>
        </is>
      </c>
      <c r="D40" s="32" t="inlineStr">
        <is>
          <t>Отделка эвакуац. лестн. клетки надзем.</t>
        </is>
      </c>
      <c r="E40" s="33" t="n"/>
      <c r="F40" s="33" t="n"/>
      <c r="G40" s="33" t="n"/>
      <c r="H40" s="33" t="n"/>
      <c r="I40" s="34">
        <f>COUNTA(E40:G40)&amp;"/3"</f>
        <v/>
      </c>
    </row>
    <row r="41">
      <c r="A41" s="30">
        <f>A32</f>
        <v/>
      </c>
      <c r="B41" s="31" t="inlineStr">
        <is>
          <t>Чистовая</t>
        </is>
      </c>
      <c r="C41" s="31" t="inlineStr">
        <is>
          <t>8.2.3</t>
        </is>
      </c>
      <c r="D41" s="32" t="inlineStr">
        <is>
          <t>Лифт. холлы, тамбур-шлюзы надзем.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A32</f>
        <v/>
      </c>
      <c r="B42" s="31" t="inlineStr">
        <is>
          <t>Чистовая</t>
        </is>
      </c>
      <c r="C42" s="31" t="inlineStr">
        <is>
          <t>8.2.4</t>
        </is>
      </c>
      <c r="D42" s="32" t="inlineStr">
        <is>
          <t>Технич. помещения надзем.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A32</f>
        <v/>
      </c>
      <c r="B43" s="31" t="inlineStr">
        <is>
          <t>Чистовая</t>
        </is>
      </c>
      <c r="C43" s="31" t="inlineStr">
        <is>
          <t>8.2.5</t>
        </is>
      </c>
      <c r="D43" s="32" t="inlineStr">
        <is>
          <t>Прочие помещения надзем.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A32</f>
        <v/>
      </c>
      <c r="B44" s="31" t="inlineStr">
        <is>
          <t>Чистовая</t>
        </is>
      </c>
      <c r="C44" s="31" t="inlineStr">
        <is>
          <t>8.2.6</t>
        </is>
      </c>
      <c r="D44" s="32" t="inlineStr">
        <is>
          <t>Коммерч. помещения надзем.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A32</f>
        <v/>
      </c>
      <c r="B45" s="31" t="inlineStr">
        <is>
          <t>Чистовая</t>
        </is>
      </c>
      <c r="C45" s="31" t="inlineStr">
        <is>
          <t>8.2.7</t>
        </is>
      </c>
      <c r="D45" s="32" t="inlineStr">
        <is>
          <t>Паркинг и рампы надзем.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A32+7</f>
        <v/>
      </c>
      <c r="B46" s="31" t="inlineStr">
        <is>
          <t>Черновая</t>
        </is>
      </c>
      <c r="C46" s="31" t="inlineStr">
        <is>
          <t>8.2.1</t>
        </is>
      </c>
      <c r="D46" s="32" t="inlineStr">
        <is>
          <t>Отделка лобби/гранд-лобби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A46</f>
        <v/>
      </c>
      <c r="B47" s="31" t="inlineStr">
        <is>
          <t>Черновая</t>
        </is>
      </c>
      <c r="C47" s="31" t="inlineStr">
        <is>
          <t>8.2.2</t>
        </is>
      </c>
      <c r="D47" s="32" t="inlineStr">
        <is>
          <t>Отделка эвакуац. лестн. клетки надзем.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A46</f>
        <v/>
      </c>
      <c r="B48" s="31" t="inlineStr">
        <is>
          <t>Черновая</t>
        </is>
      </c>
      <c r="C48" s="31" t="inlineStr">
        <is>
          <t>8.2.3</t>
        </is>
      </c>
      <c r="D48" s="32" t="inlineStr">
        <is>
          <t>Лифт. холлы, тамбур-шлюзы надзем.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A46</f>
        <v/>
      </c>
      <c r="B49" s="31" t="inlineStr">
        <is>
          <t>Черновая</t>
        </is>
      </c>
      <c r="C49" s="31" t="inlineStr">
        <is>
          <t>8.2.4</t>
        </is>
      </c>
      <c r="D49" s="32" t="inlineStr">
        <is>
          <t>Технич. помещения надзем.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A46</f>
        <v/>
      </c>
      <c r="B50" s="31" t="inlineStr">
        <is>
          <t>Черновая</t>
        </is>
      </c>
      <c r="C50" s="31" t="inlineStr">
        <is>
          <t>8.2.5</t>
        </is>
      </c>
      <c r="D50" s="32" t="inlineStr">
        <is>
          <t>Прочие помещения надзем.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A46</f>
        <v/>
      </c>
      <c r="B51" s="31" t="inlineStr">
        <is>
          <t>Черновая</t>
        </is>
      </c>
      <c r="C51" s="31" t="inlineStr">
        <is>
          <t>8.2.6</t>
        </is>
      </c>
      <c r="D51" s="32" t="inlineStr">
        <is>
          <t>Коммерч. помещения надзем.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A46</f>
        <v/>
      </c>
      <c r="B52" s="31" t="inlineStr">
        <is>
          <t>Черновая</t>
        </is>
      </c>
      <c r="C52" s="31" t="inlineStr">
        <is>
          <t>8.2.7</t>
        </is>
      </c>
      <c r="D52" s="32" t="inlineStr">
        <is>
          <t>Паркинг и рампы надзем.</t>
        </is>
      </c>
      <c r="E52" s="33" t="n"/>
      <c r="F52" s="33" t="n"/>
      <c r="G52" s="33" t="n"/>
      <c r="H52" s="33" t="n"/>
      <c r="I52" s="34">
        <f>COUNTA(E52:G52)&amp;"/3"</f>
        <v/>
      </c>
    </row>
    <row r="53">
      <c r="A53" s="30">
        <f>A46</f>
        <v/>
      </c>
      <c r="B53" s="31" t="inlineStr">
        <is>
          <t>Чистовая</t>
        </is>
      </c>
      <c r="C53" s="31" t="inlineStr">
        <is>
          <t>8.2.1</t>
        </is>
      </c>
      <c r="D53" s="32" t="inlineStr">
        <is>
          <t>Отделка лобби/гранд-лобби</t>
        </is>
      </c>
      <c r="E53" s="33" t="n"/>
      <c r="F53" s="33" t="n"/>
      <c r="G53" s="33" t="n"/>
      <c r="H53" s="33" t="n"/>
      <c r="I53" s="34">
        <f>COUNTA(E53:H53)&amp;"/4"</f>
        <v/>
      </c>
    </row>
    <row r="54" ht="30" customHeight="1" s="74">
      <c r="A54" s="30">
        <f>A46</f>
        <v/>
      </c>
      <c r="B54" s="31" t="inlineStr">
        <is>
          <t>Чистовая</t>
        </is>
      </c>
      <c r="C54" s="31" t="inlineStr">
        <is>
          <t>8.2.2</t>
        </is>
      </c>
      <c r="D54" s="32" t="inlineStr">
        <is>
          <t>Отделка эвакуац. лестн. клетки надзем.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A46</f>
        <v/>
      </c>
      <c r="B55" s="31" t="inlineStr">
        <is>
          <t>Чистовая</t>
        </is>
      </c>
      <c r="C55" s="31" t="inlineStr">
        <is>
          <t>8.2.3</t>
        </is>
      </c>
      <c r="D55" s="32" t="inlineStr">
        <is>
          <t>Лифт. холлы, тамбур-шлюзы надзем.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A46</f>
        <v/>
      </c>
      <c r="B56" s="31" t="inlineStr">
        <is>
          <t>Чистовая</t>
        </is>
      </c>
      <c r="C56" s="31" t="inlineStr">
        <is>
          <t>8.2.4</t>
        </is>
      </c>
      <c r="D56" s="32" t="inlineStr">
        <is>
          <t>Технич. помещения надзем.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A46</f>
        <v/>
      </c>
      <c r="B57" s="31" t="inlineStr">
        <is>
          <t>Чистовая</t>
        </is>
      </c>
      <c r="C57" s="31" t="inlineStr">
        <is>
          <t>8.2.5</t>
        </is>
      </c>
      <c r="D57" s="32" t="inlineStr">
        <is>
          <t>Прочие помещения надзем.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A46</f>
        <v/>
      </c>
      <c r="B58" s="31" t="inlineStr">
        <is>
          <t>Чистовая</t>
        </is>
      </c>
      <c r="C58" s="31" t="inlineStr">
        <is>
          <t>8.2.6</t>
        </is>
      </c>
      <c r="D58" s="32" t="inlineStr">
        <is>
          <t>Коммерч. помещения надзем.</t>
        </is>
      </c>
      <c r="E58" s="33" t="n"/>
      <c r="F58" s="33" t="n"/>
      <c r="G58" s="33" t="n"/>
      <c r="H58" s="33" t="n"/>
      <c r="I58" s="34">
        <f>COUNTA(E58:G58)&amp;"/3"</f>
        <v/>
      </c>
    </row>
    <row r="59">
      <c r="A59" s="30">
        <f>A46</f>
        <v/>
      </c>
      <c r="B59" s="31" t="inlineStr">
        <is>
          <t>Чистовая</t>
        </is>
      </c>
      <c r="C59" s="31" t="inlineStr">
        <is>
          <t>8.2.7</t>
        </is>
      </c>
      <c r="D59" s="32" t="inlineStr">
        <is>
          <t>Паркинг и рампы надзем.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A46+7</f>
        <v/>
      </c>
      <c r="B60" s="31" t="inlineStr">
        <is>
          <t>Черновая</t>
        </is>
      </c>
      <c r="C60" s="31" t="inlineStr">
        <is>
          <t>8.2.1</t>
        </is>
      </c>
      <c r="D60" s="32" t="inlineStr">
        <is>
          <t>Отделка лобби/гранд-лобби</t>
        </is>
      </c>
      <c r="E60" s="33" t="n"/>
      <c r="F60" s="33" t="n"/>
      <c r="G60" s="33" t="n"/>
      <c r="H60" s="33" t="n"/>
      <c r="I60" s="34">
        <f>COUNTA(E60:G60)&amp;"/3"</f>
        <v/>
      </c>
    </row>
    <row r="61" ht="30" customHeight="1" s="74">
      <c r="A61" s="30">
        <f>A60</f>
        <v/>
      </c>
      <c r="B61" s="31" t="inlineStr">
        <is>
          <t>Черновая</t>
        </is>
      </c>
      <c r="C61" s="31" t="inlineStr">
        <is>
          <t>8.2.2</t>
        </is>
      </c>
      <c r="D61" s="32" t="inlineStr">
        <is>
          <t>Отделка эвакуац. лестн. клетки надзем.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A60</f>
        <v/>
      </c>
      <c r="B62" s="31" t="inlineStr">
        <is>
          <t>Черновая</t>
        </is>
      </c>
      <c r="C62" s="31" t="inlineStr">
        <is>
          <t>8.2.3</t>
        </is>
      </c>
      <c r="D62" s="32" t="inlineStr">
        <is>
          <t>Лифт. холлы, тамбур-шлюзы надзем.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A60</f>
        <v/>
      </c>
      <c r="B63" s="31" t="inlineStr">
        <is>
          <t>Черновая</t>
        </is>
      </c>
      <c r="C63" s="31" t="inlineStr">
        <is>
          <t>8.2.4</t>
        </is>
      </c>
      <c r="D63" s="32" t="inlineStr">
        <is>
          <t>Технич. помещения надзем.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A60</f>
        <v/>
      </c>
      <c r="B64" s="31" t="inlineStr">
        <is>
          <t>Черновая</t>
        </is>
      </c>
      <c r="C64" s="31" t="inlineStr">
        <is>
          <t>8.2.5</t>
        </is>
      </c>
      <c r="D64" s="32" t="inlineStr">
        <is>
          <t>Прочие помещения надзем.</t>
        </is>
      </c>
      <c r="E64" s="33" t="n"/>
      <c r="F64" s="33" t="n"/>
      <c r="G64" s="33" t="n"/>
      <c r="H64" s="33" t="n"/>
      <c r="I64" s="34">
        <f>COUNTA(E64:G64)&amp;"/3"</f>
        <v/>
      </c>
    </row>
    <row r="65">
      <c r="A65" s="30">
        <f>A60</f>
        <v/>
      </c>
      <c r="B65" s="31" t="inlineStr">
        <is>
          <t>Черновая</t>
        </is>
      </c>
      <c r="C65" s="31" t="inlineStr">
        <is>
          <t>8.2.6</t>
        </is>
      </c>
      <c r="D65" s="32" t="inlineStr">
        <is>
          <t>Коммерч. помещения надзем.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A60</f>
        <v/>
      </c>
      <c r="B66" s="31" t="inlineStr">
        <is>
          <t>Черновая</t>
        </is>
      </c>
      <c r="C66" s="31" t="inlineStr">
        <is>
          <t>8.2.7</t>
        </is>
      </c>
      <c r="D66" s="32" t="inlineStr">
        <is>
          <t>Паркинг и рампы надзем.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A60</f>
        <v/>
      </c>
      <c r="B67" s="31" t="inlineStr">
        <is>
          <t>Чистовая</t>
        </is>
      </c>
      <c r="C67" s="31" t="inlineStr">
        <is>
          <t>8.2.1</t>
        </is>
      </c>
      <c r="D67" s="32" t="inlineStr">
        <is>
          <t>Отделка лобби/гранд-лобби</t>
        </is>
      </c>
      <c r="E67" s="33" t="n"/>
      <c r="F67" s="33" t="n"/>
      <c r="G67" s="33" t="n"/>
      <c r="H67" s="33" t="n"/>
      <c r="I67" s="34">
        <f>COUNTA(E67:H67)&amp;"/4"</f>
        <v/>
      </c>
    </row>
    <row r="68" ht="30" customHeight="1" s="74">
      <c r="A68" s="30">
        <f>A60</f>
        <v/>
      </c>
      <c r="B68" s="31" t="inlineStr">
        <is>
          <t>Чистовая</t>
        </is>
      </c>
      <c r="C68" s="31" t="inlineStr">
        <is>
          <t>8.2.2</t>
        </is>
      </c>
      <c r="D68" s="32" t="inlineStr">
        <is>
          <t>Отделка эвакуац. лестн. клетки надзем.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A60</f>
        <v/>
      </c>
      <c r="B69" s="31" t="inlineStr">
        <is>
          <t>Чистовая</t>
        </is>
      </c>
      <c r="C69" s="31" t="inlineStr">
        <is>
          <t>8.2.3</t>
        </is>
      </c>
      <c r="D69" s="32" t="inlineStr">
        <is>
          <t>Лифт. холлы, тамбур-шлюзы надзем.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A60</f>
        <v/>
      </c>
      <c r="B70" s="31" t="inlineStr">
        <is>
          <t>Чистовая</t>
        </is>
      </c>
      <c r="C70" s="31" t="inlineStr">
        <is>
          <t>8.2.4</t>
        </is>
      </c>
      <c r="D70" s="32" t="inlineStr">
        <is>
          <t>Технич. помещения надзем.</t>
        </is>
      </c>
      <c r="E70" s="33" t="n"/>
      <c r="F70" s="33" t="n"/>
      <c r="G70" s="33" t="n"/>
      <c r="H70" s="33" t="n"/>
      <c r="I70" s="34">
        <f>COUNTA(E70:G70)&amp;"/3"</f>
        <v/>
      </c>
    </row>
    <row r="71">
      <c r="A71" s="30">
        <f>A60</f>
        <v/>
      </c>
      <c r="B71" s="31" t="inlineStr">
        <is>
          <t>Чистовая</t>
        </is>
      </c>
      <c r="C71" s="31" t="inlineStr">
        <is>
          <t>8.2.5</t>
        </is>
      </c>
      <c r="D71" s="32" t="inlineStr">
        <is>
          <t>Прочие помещения надзем.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A60</f>
        <v/>
      </c>
      <c r="B72" s="31" t="inlineStr">
        <is>
          <t>Чистовая</t>
        </is>
      </c>
      <c r="C72" s="31" t="inlineStr">
        <is>
          <t>8.2.6</t>
        </is>
      </c>
      <c r="D72" s="32" t="inlineStr">
        <is>
          <t>Коммерч. помещения надзем.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A60</f>
        <v/>
      </c>
      <c r="B73" s="31" t="inlineStr">
        <is>
          <t>Чистовая</t>
        </is>
      </c>
      <c r="C73" s="31" t="inlineStr">
        <is>
          <t>8.2.7</t>
        </is>
      </c>
      <c r="D73" s="32" t="inlineStr">
        <is>
          <t>Паркинг и рампы надзем.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A60+7</f>
        <v/>
      </c>
      <c r="B74" s="31" t="inlineStr">
        <is>
          <t>Черновая</t>
        </is>
      </c>
      <c r="C74" s="31" t="inlineStr">
        <is>
          <t>8.2.1</t>
        </is>
      </c>
      <c r="D74" s="32" t="inlineStr">
        <is>
          <t>Отделка лобби/гранд-лобби</t>
        </is>
      </c>
      <c r="E74" s="33" t="n"/>
      <c r="F74" s="33" t="n"/>
      <c r="G74" s="33" t="n"/>
      <c r="H74" s="33" t="n"/>
      <c r="I74" s="34">
        <f>COUNTA(E74:G74)&amp;"/3"</f>
        <v/>
      </c>
    </row>
    <row r="75" ht="30" customHeight="1" s="74">
      <c r="A75" s="30">
        <f>A74</f>
        <v/>
      </c>
      <c r="B75" s="31" t="inlineStr">
        <is>
          <t>Черновая</t>
        </is>
      </c>
      <c r="C75" s="31" t="inlineStr">
        <is>
          <t>8.2.2</t>
        </is>
      </c>
      <c r="D75" s="32" t="inlineStr">
        <is>
          <t>Отделка эвакуац. лестн. клетки надзем.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A74</f>
        <v/>
      </c>
      <c r="B76" s="31" t="inlineStr">
        <is>
          <t>Черновая</t>
        </is>
      </c>
      <c r="C76" s="31" t="inlineStr">
        <is>
          <t>8.2.3</t>
        </is>
      </c>
      <c r="D76" s="32" t="inlineStr">
        <is>
          <t>Лифт. холлы, тамбур-шлюзы надзем.</t>
        </is>
      </c>
      <c r="E76" s="33" t="n"/>
      <c r="F76" s="33" t="n"/>
      <c r="G76" s="33" t="n"/>
      <c r="H76" s="33" t="n"/>
      <c r="I76" s="34">
        <f>COUNTA(E76:G76)&amp;"/3"</f>
        <v/>
      </c>
    </row>
    <row r="77">
      <c r="A77" s="30">
        <f>A74</f>
        <v/>
      </c>
      <c r="B77" s="31" t="inlineStr">
        <is>
          <t>Черновая</t>
        </is>
      </c>
      <c r="C77" s="31" t="inlineStr">
        <is>
          <t>8.2.4</t>
        </is>
      </c>
      <c r="D77" s="32" t="inlineStr">
        <is>
          <t>Технич. помещения надзем.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A74</f>
        <v/>
      </c>
      <c r="B78" s="31" t="inlineStr">
        <is>
          <t>Черновая</t>
        </is>
      </c>
      <c r="C78" s="31" t="inlineStr">
        <is>
          <t>8.2.5</t>
        </is>
      </c>
      <c r="D78" s="32" t="inlineStr">
        <is>
          <t>Прочие помещения надзем.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A74</f>
        <v/>
      </c>
      <c r="B79" s="31" t="inlineStr">
        <is>
          <t>Черновая</t>
        </is>
      </c>
      <c r="C79" s="31" t="inlineStr">
        <is>
          <t>8.2.6</t>
        </is>
      </c>
      <c r="D79" s="32" t="inlineStr">
        <is>
          <t>Коммерч. помещения надзем.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A74</f>
        <v/>
      </c>
      <c r="B80" s="31" t="inlineStr">
        <is>
          <t>Черновая</t>
        </is>
      </c>
      <c r="C80" s="31" t="inlineStr">
        <is>
          <t>8.2.7</t>
        </is>
      </c>
      <c r="D80" s="32" t="inlineStr">
        <is>
          <t>Паркинг и рампы надзем.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A74</f>
        <v/>
      </c>
      <c r="B81" s="31" t="inlineStr">
        <is>
          <t>Чистовая</t>
        </is>
      </c>
      <c r="C81" s="31" t="inlineStr">
        <is>
          <t>8.2.1</t>
        </is>
      </c>
      <c r="D81" s="32" t="inlineStr">
        <is>
          <t>Отделка лобби/гранд-лобби</t>
        </is>
      </c>
      <c r="E81" s="33" t="n"/>
      <c r="F81" s="33" t="n"/>
      <c r="G81" s="33" t="n"/>
      <c r="H81" s="33" t="n"/>
      <c r="I81" s="34">
        <f>COUNTA(E81:H81)&amp;"/4"</f>
        <v/>
      </c>
    </row>
    <row r="82" ht="30" customHeight="1" s="74">
      <c r="A82" s="30">
        <f>A74</f>
        <v/>
      </c>
      <c r="B82" s="31" t="inlineStr">
        <is>
          <t>Чистовая</t>
        </is>
      </c>
      <c r="C82" s="31" t="inlineStr">
        <is>
          <t>8.2.2</t>
        </is>
      </c>
      <c r="D82" s="32" t="inlineStr">
        <is>
          <t>Отделка эвакуац. лестн. клетки надзем.</t>
        </is>
      </c>
      <c r="E82" s="33" t="n"/>
      <c r="F82" s="33" t="n"/>
      <c r="G82" s="33" t="n"/>
      <c r="H82" s="33" t="n"/>
      <c r="I82" s="34">
        <f>COUNTA(E82:G82)&amp;"/3"</f>
        <v/>
      </c>
    </row>
    <row r="83">
      <c r="A83" s="30">
        <f>A74</f>
        <v/>
      </c>
      <c r="B83" s="31" t="inlineStr">
        <is>
          <t>Чистовая</t>
        </is>
      </c>
      <c r="C83" s="31" t="inlineStr">
        <is>
          <t>8.2.3</t>
        </is>
      </c>
      <c r="D83" s="32" t="inlineStr">
        <is>
          <t>Лифт. холлы, тамбур-шлюзы надзем.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A74</f>
        <v/>
      </c>
      <c r="B84" s="31" t="inlineStr">
        <is>
          <t>Чистовая</t>
        </is>
      </c>
      <c r="C84" s="31" t="inlineStr">
        <is>
          <t>8.2.4</t>
        </is>
      </c>
      <c r="D84" s="32" t="inlineStr">
        <is>
          <t>Технич. помещения надзем.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A74</f>
        <v/>
      </c>
      <c r="B85" s="31" t="inlineStr">
        <is>
          <t>Чистовая</t>
        </is>
      </c>
      <c r="C85" s="31" t="inlineStr">
        <is>
          <t>8.2.5</t>
        </is>
      </c>
      <c r="D85" s="32" t="inlineStr">
        <is>
          <t>Прочие помещения надзем.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A74</f>
        <v/>
      </c>
      <c r="B86" s="31" t="inlineStr">
        <is>
          <t>Чистовая</t>
        </is>
      </c>
      <c r="C86" s="31" t="inlineStr">
        <is>
          <t>8.2.6</t>
        </is>
      </c>
      <c r="D86" s="32" t="inlineStr">
        <is>
          <t>Коммерч. помещения надзем.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A74</f>
        <v/>
      </c>
      <c r="B87" s="31" t="inlineStr">
        <is>
          <t>Чистовая</t>
        </is>
      </c>
      <c r="C87" s="31" t="inlineStr">
        <is>
          <t>8.2.7</t>
        </is>
      </c>
      <c r="D87" s="32" t="inlineStr">
        <is>
          <t>Паркинг и рампы надзем.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A74+7</f>
        <v/>
      </c>
      <c r="B88" s="31" t="inlineStr">
        <is>
          <t>Черновая</t>
        </is>
      </c>
      <c r="C88" s="31" t="inlineStr">
        <is>
          <t>8.2.1</t>
        </is>
      </c>
      <c r="D88" s="32" t="inlineStr">
        <is>
          <t>Отделка лобби/гранд-лобби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8.2.2</t>
        </is>
      </c>
      <c r="D89" s="32" t="inlineStr">
        <is>
          <t>Отделка эвакуац. лестн. клетки надзем.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8.2.3</t>
        </is>
      </c>
      <c r="D90" s="32" t="inlineStr">
        <is>
          <t>Лифт. холлы, тамбур-шлюзы надзем.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8.2.4</t>
        </is>
      </c>
      <c r="D91" s="32" t="inlineStr">
        <is>
          <t>Технич. помещения надзем.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8.2.5</t>
        </is>
      </c>
      <c r="D92" s="32" t="inlineStr">
        <is>
          <t>Прочие помещения надзем.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8.2.6</t>
        </is>
      </c>
      <c r="D93" s="32" t="inlineStr">
        <is>
          <t>Коммерч. помещения надзем.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Черновая</t>
        </is>
      </c>
      <c r="C94" s="31" t="inlineStr">
        <is>
          <t>8.2.7</t>
        </is>
      </c>
      <c r="D94" s="32" t="inlineStr">
        <is>
          <t>Паркинг и рампы надзем.</t>
        </is>
      </c>
      <c r="E94" s="33" t="n"/>
      <c r="F94" s="33" t="n"/>
      <c r="G94" s="33" t="n"/>
      <c r="H94" s="33" t="n"/>
      <c r="I94" s="34">
        <f>COUNTA(E94:G94)&amp;"/3"</f>
        <v/>
      </c>
    </row>
    <row r="95">
      <c r="A95" s="30">
        <f>A88</f>
        <v/>
      </c>
      <c r="B95" s="31" t="inlineStr">
        <is>
          <t>Чистовая</t>
        </is>
      </c>
      <c r="C95" s="31" t="inlineStr">
        <is>
          <t>8.2.1</t>
        </is>
      </c>
      <c r="D95" s="32" t="inlineStr">
        <is>
          <t>Отделка лобби/гранд-лобби</t>
        </is>
      </c>
      <c r="E95" s="33" t="n"/>
      <c r="F95" s="33" t="n"/>
      <c r="G95" s="33" t="n"/>
      <c r="H95" s="33" t="n"/>
      <c r="I95" s="34">
        <f>COUNTA(E95:H95)&amp;"/4"</f>
        <v/>
      </c>
    </row>
    <row r="96" ht="30" customHeight="1" s="74">
      <c r="A96" s="30">
        <f>A88</f>
        <v/>
      </c>
      <c r="B96" s="31" t="inlineStr">
        <is>
          <t>Чистовая</t>
        </is>
      </c>
      <c r="C96" s="31" t="inlineStr">
        <is>
          <t>8.2.2</t>
        </is>
      </c>
      <c r="D96" s="32" t="inlineStr">
        <is>
          <t>Отделка эвакуац. лестн. клетки надзем.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8.2.3</t>
        </is>
      </c>
      <c r="D97" s="32" t="inlineStr">
        <is>
          <t>Лифт. холлы, тамбур-шлюзы надзем.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8.2.4</t>
        </is>
      </c>
      <c r="D98" s="32" t="inlineStr">
        <is>
          <t>Технич. помещения надзем.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8.2.5</t>
        </is>
      </c>
      <c r="D99" s="32" t="inlineStr">
        <is>
          <t>Прочие помещения надзем.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</f>
        <v/>
      </c>
      <c r="B100" s="31" t="inlineStr">
        <is>
          <t>Чистовая</t>
        </is>
      </c>
      <c r="C100" s="31" t="inlineStr">
        <is>
          <t>8.2.6</t>
        </is>
      </c>
      <c r="D100" s="32" t="inlineStr">
        <is>
          <t>Коммерч. помещения надзем.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>
      <c r="A101" s="30">
        <f>A88</f>
        <v/>
      </c>
      <c r="B101" s="31" t="inlineStr">
        <is>
          <t>Чистовая</t>
        </is>
      </c>
      <c r="C101" s="31" t="inlineStr">
        <is>
          <t>8.2.7</t>
        </is>
      </c>
      <c r="D101" s="32" t="inlineStr">
        <is>
          <t>Паркинг и рампы надзем.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A88+7</f>
        <v/>
      </c>
      <c r="B102" s="31" t="inlineStr">
        <is>
          <t>Черновая</t>
        </is>
      </c>
      <c r="C102" s="31" t="inlineStr">
        <is>
          <t>8.2.1</t>
        </is>
      </c>
      <c r="D102" s="32" t="inlineStr">
        <is>
          <t>Отделка лобби/гранд-лобби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 ht="30" customHeight="1" s="74">
      <c r="A103" s="30">
        <f>A102</f>
        <v/>
      </c>
      <c r="B103" s="31" t="inlineStr">
        <is>
          <t>Черновая</t>
        </is>
      </c>
      <c r="C103" s="31" t="inlineStr">
        <is>
          <t>8.2.2</t>
        </is>
      </c>
      <c r="D103" s="32" t="inlineStr">
        <is>
          <t>Отделка эвакуац. лестн. клетки надзем.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A102</f>
        <v/>
      </c>
      <c r="B104" s="31" t="inlineStr">
        <is>
          <t>Черновая</t>
        </is>
      </c>
      <c r="C104" s="31" t="inlineStr">
        <is>
          <t>8.2.3</t>
        </is>
      </c>
      <c r="D104" s="32" t="inlineStr">
        <is>
          <t>Лифт. холлы, тамбур-шлюзы надзем.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A102</f>
        <v/>
      </c>
      <c r="B105" s="31" t="inlineStr">
        <is>
          <t>Черновая</t>
        </is>
      </c>
      <c r="C105" s="31" t="inlineStr">
        <is>
          <t>8.2.4</t>
        </is>
      </c>
      <c r="D105" s="32" t="inlineStr">
        <is>
          <t>Технич. помещения надзем.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A102</f>
        <v/>
      </c>
      <c r="B106" s="31" t="inlineStr">
        <is>
          <t>Черновая</t>
        </is>
      </c>
      <c r="C106" s="31" t="inlineStr">
        <is>
          <t>8.2.5</t>
        </is>
      </c>
      <c r="D106" s="32" t="inlineStr">
        <is>
          <t>Прочие помещения надзем.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>
      <c r="A107" s="30">
        <f>A102</f>
        <v/>
      </c>
      <c r="B107" s="31" t="inlineStr">
        <is>
          <t>Черновая</t>
        </is>
      </c>
      <c r="C107" s="31" t="inlineStr">
        <is>
          <t>8.2.6</t>
        </is>
      </c>
      <c r="D107" s="32" t="inlineStr">
        <is>
          <t>Коммерч. помещения надзем.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A102</f>
        <v/>
      </c>
      <c r="B108" s="31" t="inlineStr">
        <is>
          <t>Черновая</t>
        </is>
      </c>
      <c r="C108" s="31" t="inlineStr">
        <is>
          <t>8.2.7</t>
        </is>
      </c>
      <c r="D108" s="32" t="inlineStr">
        <is>
          <t>Паркинг и рампы надзем.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A102</f>
        <v/>
      </c>
      <c r="B109" s="31" t="inlineStr">
        <is>
          <t>Чистовая</t>
        </is>
      </c>
      <c r="C109" s="31" t="inlineStr">
        <is>
          <t>8.2.1</t>
        </is>
      </c>
      <c r="D109" s="32" t="inlineStr">
        <is>
          <t>Отделка лобби/гранд-лобби</t>
        </is>
      </c>
      <c r="E109" s="33" t="n"/>
      <c r="F109" s="33" t="n"/>
      <c r="G109" s="33" t="n"/>
      <c r="H109" s="33" t="n"/>
      <c r="I109" s="34">
        <f>COUNTA(E109:H109)&amp;"/4"</f>
        <v/>
      </c>
    </row>
    <row r="110" ht="30" customHeight="1" s="74">
      <c r="A110" s="30">
        <f>A102</f>
        <v/>
      </c>
      <c r="B110" s="31" t="inlineStr">
        <is>
          <t>Чистовая</t>
        </is>
      </c>
      <c r="C110" s="31" t="inlineStr">
        <is>
          <t>8.2.2</t>
        </is>
      </c>
      <c r="D110" s="32" t="inlineStr">
        <is>
          <t>Отделка эвакуац. лестн. клетки надзем.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A102</f>
        <v/>
      </c>
      <c r="B111" s="31" t="inlineStr">
        <is>
          <t>Чистовая</t>
        </is>
      </c>
      <c r="C111" s="31" t="inlineStr">
        <is>
          <t>8.2.3</t>
        </is>
      </c>
      <c r="D111" s="32" t="inlineStr">
        <is>
          <t>Лифт. холлы, тамбур-шлюзы надзем.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A102</f>
        <v/>
      </c>
      <c r="B112" s="31" t="inlineStr">
        <is>
          <t>Чистовая</t>
        </is>
      </c>
      <c r="C112" s="31" t="inlineStr">
        <is>
          <t>8.2.4</t>
        </is>
      </c>
      <c r="D112" s="32" t="inlineStr">
        <is>
          <t>Технич. помещения надзем.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>
      <c r="A113" s="30">
        <f>A102</f>
        <v/>
      </c>
      <c r="B113" s="31" t="inlineStr">
        <is>
          <t>Чистовая</t>
        </is>
      </c>
      <c r="C113" s="31" t="inlineStr">
        <is>
          <t>8.2.5</t>
        </is>
      </c>
      <c r="D113" s="32" t="inlineStr">
        <is>
          <t>Прочие помещения надзем.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A102</f>
        <v/>
      </c>
      <c r="B114" s="31" t="inlineStr">
        <is>
          <t>Чистовая</t>
        </is>
      </c>
      <c r="C114" s="31" t="inlineStr">
        <is>
          <t>8.2.6</t>
        </is>
      </c>
      <c r="D114" s="32" t="inlineStr">
        <is>
          <t>Коммерч. помещения надзем.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A102</f>
        <v/>
      </c>
      <c r="B115" s="31" t="inlineStr">
        <is>
          <t>Чистовая</t>
        </is>
      </c>
      <c r="C115" s="31" t="inlineStr">
        <is>
          <t>8.2.7</t>
        </is>
      </c>
      <c r="D115" s="32" t="inlineStr">
        <is>
          <t>Паркинг и рампы надзем.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A102+7</f>
        <v/>
      </c>
      <c r="B116" s="31" t="inlineStr">
        <is>
          <t>Черновая</t>
        </is>
      </c>
      <c r="C116" s="31" t="inlineStr">
        <is>
          <t>8.2.1</t>
        </is>
      </c>
      <c r="D116" s="32" t="inlineStr">
        <is>
          <t>Отделка лобби/гранд-лобби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 ht="30" customHeight="1" s="74">
      <c r="A117" s="30">
        <f>A116</f>
        <v/>
      </c>
      <c r="B117" s="31" t="inlineStr">
        <is>
          <t>Черновая</t>
        </is>
      </c>
      <c r="C117" s="31" t="inlineStr">
        <is>
          <t>8.2.2</t>
        </is>
      </c>
      <c r="D117" s="32" t="inlineStr">
        <is>
          <t>Отделка эвакуац. лестн. клетки надзем.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A116</f>
        <v/>
      </c>
      <c r="B118" s="31" t="inlineStr">
        <is>
          <t>Черновая</t>
        </is>
      </c>
      <c r="C118" s="31" t="inlineStr">
        <is>
          <t>8.2.3</t>
        </is>
      </c>
      <c r="D118" s="32" t="inlineStr">
        <is>
          <t>Лифт. холлы, тамбур-шлюзы надзем.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>
      <c r="A119" s="30">
        <f>A116</f>
        <v/>
      </c>
      <c r="B119" s="31" t="inlineStr">
        <is>
          <t>Черновая</t>
        </is>
      </c>
      <c r="C119" s="31" t="inlineStr">
        <is>
          <t>8.2.4</t>
        </is>
      </c>
      <c r="D119" s="32" t="inlineStr">
        <is>
          <t>Технич. помещения надзем.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A116</f>
        <v/>
      </c>
      <c r="B120" s="31" t="inlineStr">
        <is>
          <t>Черновая</t>
        </is>
      </c>
      <c r="C120" s="31" t="inlineStr">
        <is>
          <t>8.2.5</t>
        </is>
      </c>
      <c r="D120" s="32" t="inlineStr">
        <is>
          <t>Прочие помещения надзем.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A116</f>
        <v/>
      </c>
      <c r="B121" s="31" t="inlineStr">
        <is>
          <t>Черновая</t>
        </is>
      </c>
      <c r="C121" s="31" t="inlineStr">
        <is>
          <t>8.2.6</t>
        </is>
      </c>
      <c r="D121" s="32" t="inlineStr">
        <is>
          <t>Коммерч. помещения надзем.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A116</f>
        <v/>
      </c>
      <c r="B122" s="31" t="inlineStr">
        <is>
          <t>Черновая</t>
        </is>
      </c>
      <c r="C122" s="31" t="inlineStr">
        <is>
          <t>8.2.7</t>
        </is>
      </c>
      <c r="D122" s="32" t="inlineStr">
        <is>
          <t>Паркинг и рампы надзем.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A116</f>
        <v/>
      </c>
      <c r="B123" s="31" t="inlineStr">
        <is>
          <t>Чистовая</t>
        </is>
      </c>
      <c r="C123" s="31" t="inlineStr">
        <is>
          <t>8.2.1</t>
        </is>
      </c>
      <c r="D123" s="32" t="inlineStr">
        <is>
          <t>Отделка лобби/гранд-лобби</t>
        </is>
      </c>
      <c r="E123" s="33" t="n"/>
      <c r="F123" s="33" t="n"/>
      <c r="G123" s="33" t="n"/>
      <c r="H123" s="33" t="n"/>
      <c r="I123" s="34">
        <f>COUNTA(E123:H123)&amp;"/4"</f>
        <v/>
      </c>
    </row>
    <row r="124" ht="30" customHeight="1" s="74">
      <c r="A124" s="30">
        <f>A116</f>
        <v/>
      </c>
      <c r="B124" s="31" t="inlineStr">
        <is>
          <t>Чистовая</t>
        </is>
      </c>
      <c r="C124" s="31" t="inlineStr">
        <is>
          <t>8.2.2</t>
        </is>
      </c>
      <c r="D124" s="32" t="inlineStr">
        <is>
          <t>Отделка эвакуац. лестн. клетки надзем.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>
      <c r="A125" s="30">
        <f>A116</f>
        <v/>
      </c>
      <c r="B125" s="31" t="inlineStr">
        <is>
          <t>Чистовая</t>
        </is>
      </c>
      <c r="C125" s="31" t="inlineStr">
        <is>
          <t>8.2.3</t>
        </is>
      </c>
      <c r="D125" s="32" t="inlineStr">
        <is>
          <t>Лифт. холлы, тамбур-шлюзы надзем.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A116</f>
        <v/>
      </c>
      <c r="B126" s="31" t="inlineStr">
        <is>
          <t>Чистовая</t>
        </is>
      </c>
      <c r="C126" s="31" t="inlineStr">
        <is>
          <t>8.2.4</t>
        </is>
      </c>
      <c r="D126" s="32" t="inlineStr">
        <is>
          <t>Технич. помещения надзем.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A116</f>
        <v/>
      </c>
      <c r="B127" s="31" t="inlineStr">
        <is>
          <t>Чистовая</t>
        </is>
      </c>
      <c r="C127" s="31" t="inlineStr">
        <is>
          <t>8.2.5</t>
        </is>
      </c>
      <c r="D127" s="32" t="inlineStr">
        <is>
          <t>Прочие помещения надзем.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A116</f>
        <v/>
      </c>
      <c r="B128" s="31" t="inlineStr">
        <is>
          <t>Чистовая</t>
        </is>
      </c>
      <c r="C128" s="31" t="inlineStr">
        <is>
          <t>8.2.6</t>
        </is>
      </c>
      <c r="D128" s="32" t="inlineStr">
        <is>
          <t>Коммерч. помещения надзем.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A116</f>
        <v/>
      </c>
      <c r="B129" s="31" t="inlineStr">
        <is>
          <t>Чистовая</t>
        </is>
      </c>
      <c r="C129" s="31" t="inlineStr">
        <is>
          <t>8.2.7</t>
        </is>
      </c>
      <c r="D129" s="32" t="inlineStr">
        <is>
          <t>Паркинг и рампы надзем.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A116+7</f>
        <v/>
      </c>
      <c r="B130" s="31" t="inlineStr">
        <is>
          <t>Черновая</t>
        </is>
      </c>
      <c r="C130" s="31" t="inlineStr">
        <is>
          <t>8.2.1</t>
        </is>
      </c>
      <c r="D130" s="32" t="inlineStr">
        <is>
          <t>Отделка лобби/гранд-лобби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A130</f>
        <v/>
      </c>
      <c r="B131" s="31" t="inlineStr">
        <is>
          <t>Черновая</t>
        </is>
      </c>
      <c r="C131" s="31" t="inlineStr">
        <is>
          <t>8.2.2</t>
        </is>
      </c>
      <c r="D131" s="32" t="inlineStr">
        <is>
          <t>Отделка эвакуац. лестн. клетки надзем.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A130</f>
        <v/>
      </c>
      <c r="B132" s="31" t="inlineStr">
        <is>
          <t>Черновая</t>
        </is>
      </c>
      <c r="C132" s="31" t="inlineStr">
        <is>
          <t>8.2.3</t>
        </is>
      </c>
      <c r="D132" s="32" t="inlineStr">
        <is>
          <t>Лифт. холлы, тамбур-шлюзы надзем.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A130</f>
        <v/>
      </c>
      <c r="B133" s="31" t="inlineStr">
        <is>
          <t>Черновая</t>
        </is>
      </c>
      <c r="C133" s="31" t="inlineStr">
        <is>
          <t>8.2.4</t>
        </is>
      </c>
      <c r="D133" s="32" t="inlineStr">
        <is>
          <t>Технич. помещения надзем.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A130</f>
        <v/>
      </c>
      <c r="B134" s="31" t="inlineStr">
        <is>
          <t>Черновая</t>
        </is>
      </c>
      <c r="C134" s="31" t="inlineStr">
        <is>
          <t>8.2.5</t>
        </is>
      </c>
      <c r="D134" s="32" t="inlineStr">
        <is>
          <t>Прочие помещения надзем.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A130</f>
        <v/>
      </c>
      <c r="B135" s="31" t="inlineStr">
        <is>
          <t>Черновая</t>
        </is>
      </c>
      <c r="C135" s="31" t="inlineStr">
        <is>
          <t>8.2.6</t>
        </is>
      </c>
      <c r="D135" s="32" t="inlineStr">
        <is>
          <t>Коммерч. помещения надзем.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A130</f>
        <v/>
      </c>
      <c r="B136" s="31" t="inlineStr">
        <is>
          <t>Черновая</t>
        </is>
      </c>
      <c r="C136" s="31" t="inlineStr">
        <is>
          <t>8.2.7</t>
        </is>
      </c>
      <c r="D136" s="32" t="inlineStr">
        <is>
          <t>Паркинг и рампы надзем.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>
      <c r="A137" s="30">
        <f>A130</f>
        <v/>
      </c>
      <c r="B137" s="31" t="inlineStr">
        <is>
          <t>Чистовая</t>
        </is>
      </c>
      <c r="C137" s="31" t="inlineStr">
        <is>
          <t>8.2.1</t>
        </is>
      </c>
      <c r="D137" s="32" t="inlineStr">
        <is>
          <t>Отделка лобби/гранд-лобби</t>
        </is>
      </c>
      <c r="E137" s="33" t="n"/>
      <c r="F137" s="33" t="n"/>
      <c r="G137" s="33" t="n"/>
      <c r="H137" s="33" t="n"/>
      <c r="I137" s="34">
        <f>COUNTA(E137:H137)&amp;"/4"</f>
        <v/>
      </c>
    </row>
    <row r="138" ht="30" customHeight="1" s="74">
      <c r="A138" s="30">
        <f>A130</f>
        <v/>
      </c>
      <c r="B138" s="31" t="inlineStr">
        <is>
          <t>Чистовая</t>
        </is>
      </c>
      <c r="C138" s="31" t="inlineStr">
        <is>
          <t>8.2.2</t>
        </is>
      </c>
      <c r="D138" s="32" t="inlineStr">
        <is>
          <t>Отделка эвакуац. лестн. клетки надзем.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A130</f>
        <v/>
      </c>
      <c r="B139" s="31" t="inlineStr">
        <is>
          <t>Чистовая</t>
        </is>
      </c>
      <c r="C139" s="31" t="inlineStr">
        <is>
          <t>8.2.3</t>
        </is>
      </c>
      <c r="D139" s="32" t="inlineStr">
        <is>
          <t>Лифт. холлы, тамбур-шлюзы надзем.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A130</f>
        <v/>
      </c>
      <c r="B140" s="31" t="inlineStr">
        <is>
          <t>Чистовая</t>
        </is>
      </c>
      <c r="C140" s="31" t="inlineStr">
        <is>
          <t>8.2.4</t>
        </is>
      </c>
      <c r="D140" s="32" t="inlineStr">
        <is>
          <t>Технич. помещения надзем.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A130</f>
        <v/>
      </c>
      <c r="B141" s="31" t="inlineStr">
        <is>
          <t>Чистовая</t>
        </is>
      </c>
      <c r="C141" s="31" t="inlineStr">
        <is>
          <t>8.2.5</t>
        </is>
      </c>
      <c r="D141" s="32" t="inlineStr">
        <is>
          <t>Прочие помещения надзем.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A130</f>
        <v/>
      </c>
      <c r="B142" s="31" t="inlineStr">
        <is>
          <t>Чистовая</t>
        </is>
      </c>
      <c r="C142" s="31" t="inlineStr">
        <is>
          <t>8.2.6</t>
        </is>
      </c>
      <c r="D142" s="32" t="inlineStr">
        <is>
          <t>Коммерч. помещения надзем.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>
      <c r="A143" s="30">
        <f>A130</f>
        <v/>
      </c>
      <c r="B143" s="31" t="inlineStr">
        <is>
          <t>Чистовая</t>
        </is>
      </c>
      <c r="C143" s="31" t="inlineStr">
        <is>
          <t>8.2.7</t>
        </is>
      </c>
      <c r="D143" s="32" t="inlineStr">
        <is>
          <t>Паркинг и рампы надзем.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A130+7</f>
        <v/>
      </c>
      <c r="B144" s="31" t="inlineStr">
        <is>
          <t>Черновая</t>
        </is>
      </c>
      <c r="C144" s="31" t="inlineStr">
        <is>
          <t>8.2.1</t>
        </is>
      </c>
      <c r="D144" s="32" t="inlineStr">
        <is>
          <t>Отделка лобби/гранд-лобби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 ht="30" customHeight="1" s="74">
      <c r="A145" s="30">
        <f>A144</f>
        <v/>
      </c>
      <c r="B145" s="31" t="inlineStr">
        <is>
          <t>Черновая</t>
        </is>
      </c>
      <c r="C145" s="31" t="inlineStr">
        <is>
          <t>8.2.2</t>
        </is>
      </c>
      <c r="D145" s="32" t="inlineStr">
        <is>
          <t>Отделка эвакуац. лестн. клетки надзем.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A144</f>
        <v/>
      </c>
      <c r="B146" s="31" t="inlineStr">
        <is>
          <t>Черновая</t>
        </is>
      </c>
      <c r="C146" s="31" t="inlineStr">
        <is>
          <t>8.2.3</t>
        </is>
      </c>
      <c r="D146" s="32" t="inlineStr">
        <is>
          <t>Лифт. холлы, тамбур-шлюзы надзем.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A144</f>
        <v/>
      </c>
      <c r="B147" s="31" t="inlineStr">
        <is>
          <t>Черновая</t>
        </is>
      </c>
      <c r="C147" s="31" t="inlineStr">
        <is>
          <t>8.2.4</t>
        </is>
      </c>
      <c r="D147" s="32" t="inlineStr">
        <is>
          <t>Технич. помещения надзем.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A144</f>
        <v/>
      </c>
      <c r="B148" s="31" t="inlineStr">
        <is>
          <t>Черновая</t>
        </is>
      </c>
      <c r="C148" s="31" t="inlineStr">
        <is>
          <t>8.2.5</t>
        </is>
      </c>
      <c r="D148" s="32" t="inlineStr">
        <is>
          <t>Прочие помещения надзем.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>
      <c r="A149" s="30">
        <f>A144</f>
        <v/>
      </c>
      <c r="B149" s="31" t="inlineStr">
        <is>
          <t>Черновая</t>
        </is>
      </c>
      <c r="C149" s="31" t="inlineStr">
        <is>
          <t>8.2.6</t>
        </is>
      </c>
      <c r="D149" s="32" t="inlineStr">
        <is>
          <t>Коммерч. помещения надзем.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A144</f>
        <v/>
      </c>
      <c r="B150" s="31" t="inlineStr">
        <is>
          <t>Черновая</t>
        </is>
      </c>
      <c r="C150" s="31" t="inlineStr">
        <is>
          <t>8.2.7</t>
        </is>
      </c>
      <c r="D150" s="32" t="inlineStr">
        <is>
          <t>Паркинг и рампы надзем.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A144</f>
        <v/>
      </c>
      <c r="B151" s="31" t="inlineStr">
        <is>
          <t>Чистовая</t>
        </is>
      </c>
      <c r="C151" s="31" t="inlineStr">
        <is>
          <t>8.2.1</t>
        </is>
      </c>
      <c r="D151" s="32" t="inlineStr">
        <is>
          <t>Отделка лобби/гранд-лобби</t>
        </is>
      </c>
      <c r="E151" s="33" t="n"/>
      <c r="F151" s="33" t="n"/>
      <c r="G151" s="33" t="n"/>
      <c r="H151" s="33" t="n"/>
      <c r="I151" s="34">
        <f>COUNTA(E151:H151)&amp;"/4"</f>
        <v/>
      </c>
    </row>
    <row r="152" ht="30" customHeight="1" s="74">
      <c r="A152" s="30">
        <f>A144</f>
        <v/>
      </c>
      <c r="B152" s="31" t="inlineStr">
        <is>
          <t>Чистовая</t>
        </is>
      </c>
      <c r="C152" s="31" t="inlineStr">
        <is>
          <t>8.2.2</t>
        </is>
      </c>
      <c r="D152" s="32" t="inlineStr">
        <is>
          <t>Отделка эвакуац. лестн. клетки надзем.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A144</f>
        <v/>
      </c>
      <c r="B153" s="31" t="inlineStr">
        <is>
          <t>Чистовая</t>
        </is>
      </c>
      <c r="C153" s="31" t="inlineStr">
        <is>
          <t>8.2.3</t>
        </is>
      </c>
      <c r="D153" s="32" t="inlineStr">
        <is>
          <t>Лифт. холлы, тамбур-шлюзы надзем.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A144</f>
        <v/>
      </c>
      <c r="B154" s="31" t="inlineStr">
        <is>
          <t>Чистовая</t>
        </is>
      </c>
      <c r="C154" s="31" t="inlineStr">
        <is>
          <t>8.2.4</t>
        </is>
      </c>
      <c r="D154" s="32" t="inlineStr">
        <is>
          <t>Технич. помещения надзем.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>
      <c r="A155" s="30">
        <f>A144</f>
        <v/>
      </c>
      <c r="B155" s="31" t="inlineStr">
        <is>
          <t>Чистовая</t>
        </is>
      </c>
      <c r="C155" s="31" t="inlineStr">
        <is>
          <t>8.2.5</t>
        </is>
      </c>
      <c r="D155" s="32" t="inlineStr">
        <is>
          <t>Прочие помещения надзем.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A144</f>
        <v/>
      </c>
      <c r="B156" s="31" t="inlineStr">
        <is>
          <t>Чистовая</t>
        </is>
      </c>
      <c r="C156" s="31" t="inlineStr">
        <is>
          <t>8.2.6</t>
        </is>
      </c>
      <c r="D156" s="32" t="inlineStr">
        <is>
          <t>Коммерч. помещения надзем.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A144</f>
        <v/>
      </c>
      <c r="B157" s="31" t="inlineStr">
        <is>
          <t>Чистовая</t>
        </is>
      </c>
      <c r="C157" s="31" t="inlineStr">
        <is>
          <t>8.2.7</t>
        </is>
      </c>
      <c r="D157" s="32" t="inlineStr">
        <is>
          <t>Паркинг и рампы надзем.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A144+7</f>
        <v/>
      </c>
      <c r="B158" s="31" t="inlineStr">
        <is>
          <t>Черновая</t>
        </is>
      </c>
      <c r="C158" s="31" t="inlineStr">
        <is>
          <t>8.2.1</t>
        </is>
      </c>
      <c r="D158" s="32" t="inlineStr">
        <is>
          <t>Отделка лобби/гранд-лобби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 ht="30" customHeight="1" s="74">
      <c r="A159" s="30">
        <f>A158</f>
        <v/>
      </c>
      <c r="B159" s="31" t="inlineStr">
        <is>
          <t>Черновая</t>
        </is>
      </c>
      <c r="C159" s="31" t="inlineStr">
        <is>
          <t>8.2.2</t>
        </is>
      </c>
      <c r="D159" s="32" t="inlineStr">
        <is>
          <t>Отделка эвакуац. лестн. клетки надзем.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A158</f>
        <v/>
      </c>
      <c r="B160" s="31" t="inlineStr">
        <is>
          <t>Черновая</t>
        </is>
      </c>
      <c r="C160" s="31" t="inlineStr">
        <is>
          <t>8.2.3</t>
        </is>
      </c>
      <c r="D160" s="32" t="inlineStr">
        <is>
          <t>Лифт. холлы, тамбур-шлюзы надзем.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>
      <c r="A161" s="30">
        <f>A158</f>
        <v/>
      </c>
      <c r="B161" s="31" t="inlineStr">
        <is>
          <t>Черновая</t>
        </is>
      </c>
      <c r="C161" s="31" t="inlineStr">
        <is>
          <t>8.2.4</t>
        </is>
      </c>
      <c r="D161" s="32" t="inlineStr">
        <is>
          <t>Технич. помещения надзем.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A158</f>
        <v/>
      </c>
      <c r="B162" s="31" t="inlineStr">
        <is>
          <t>Черновая</t>
        </is>
      </c>
      <c r="C162" s="31" t="inlineStr">
        <is>
          <t>8.2.5</t>
        </is>
      </c>
      <c r="D162" s="32" t="inlineStr">
        <is>
          <t>Прочие помещения надзем.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A158</f>
        <v/>
      </c>
      <c r="B163" s="31" t="inlineStr">
        <is>
          <t>Черновая</t>
        </is>
      </c>
      <c r="C163" s="31" t="inlineStr">
        <is>
          <t>8.2.6</t>
        </is>
      </c>
      <c r="D163" s="32" t="inlineStr">
        <is>
          <t>Коммерч. помещения надзем.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A158</f>
        <v/>
      </c>
      <c r="B164" s="31" t="inlineStr">
        <is>
          <t>Черновая</t>
        </is>
      </c>
      <c r="C164" s="31" t="inlineStr">
        <is>
          <t>8.2.7</t>
        </is>
      </c>
      <c r="D164" s="32" t="inlineStr">
        <is>
          <t>Паркинг и рампы надзем.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A158</f>
        <v/>
      </c>
      <c r="B165" s="31" t="inlineStr">
        <is>
          <t>Чистовая</t>
        </is>
      </c>
      <c r="C165" s="31" t="inlineStr">
        <is>
          <t>8.2.1</t>
        </is>
      </c>
      <c r="D165" s="32" t="inlineStr">
        <is>
          <t>Отделка лобби/гранд-лобби</t>
        </is>
      </c>
      <c r="E165" s="33" t="n"/>
      <c r="F165" s="33" t="n"/>
      <c r="G165" s="33" t="n"/>
      <c r="H165" s="33" t="n"/>
      <c r="I165" s="34">
        <f>COUNTA(E165:H165)&amp;"/4"</f>
        <v/>
      </c>
    </row>
    <row r="166" ht="30" customHeight="1" s="74">
      <c r="A166" s="30">
        <f>A158</f>
        <v/>
      </c>
      <c r="B166" s="31" t="inlineStr">
        <is>
          <t>Чистовая</t>
        </is>
      </c>
      <c r="C166" s="31" t="inlineStr">
        <is>
          <t>8.2.2</t>
        </is>
      </c>
      <c r="D166" s="32" t="inlineStr">
        <is>
          <t>Отделка эвакуац. лестн. клетки надзем.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>
      <c r="A167" s="30">
        <f>A158</f>
        <v/>
      </c>
      <c r="B167" s="31" t="inlineStr">
        <is>
          <t>Чистовая</t>
        </is>
      </c>
      <c r="C167" s="31" t="inlineStr">
        <is>
          <t>8.2.3</t>
        </is>
      </c>
      <c r="D167" s="32" t="inlineStr">
        <is>
          <t>Лифт. холлы, тамбур-шлюзы надзем.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A158</f>
        <v/>
      </c>
      <c r="B168" s="31" t="inlineStr">
        <is>
          <t>Чистовая</t>
        </is>
      </c>
      <c r="C168" s="31" t="inlineStr">
        <is>
          <t>8.2.4</t>
        </is>
      </c>
      <c r="D168" s="32" t="inlineStr">
        <is>
          <t>Технич. помещения надзем.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A158</f>
        <v/>
      </c>
      <c r="B169" s="31" t="inlineStr">
        <is>
          <t>Чистовая</t>
        </is>
      </c>
      <c r="C169" s="31" t="inlineStr">
        <is>
          <t>8.2.5</t>
        </is>
      </c>
      <c r="D169" s="32" t="inlineStr">
        <is>
          <t>Прочие помещения надзем.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A158</f>
        <v/>
      </c>
      <c r="B170" s="31" t="inlineStr">
        <is>
          <t>Чистовая</t>
        </is>
      </c>
      <c r="C170" s="31" t="inlineStr">
        <is>
          <t>8.2.6</t>
        </is>
      </c>
      <c r="D170" s="32" t="inlineStr">
        <is>
          <t>Коммерч. помещения надзем.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A158</f>
        <v/>
      </c>
      <c r="B171" s="31" t="inlineStr">
        <is>
          <t>Чистовая</t>
        </is>
      </c>
      <c r="C171" s="31" t="inlineStr">
        <is>
          <t>8.2.7</t>
        </is>
      </c>
      <c r="D171" s="32" t="inlineStr">
        <is>
          <t>Паркинг и рампы надзем.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A158+7</f>
        <v/>
      </c>
      <c r="B172" s="31" t="inlineStr">
        <is>
          <t>Черновая</t>
        </is>
      </c>
      <c r="C172" s="31" t="inlineStr">
        <is>
          <t>8.2.1</t>
        </is>
      </c>
      <c r="D172" s="32" t="inlineStr">
        <is>
          <t>Отделка лобби/гранд-лобби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8.2.2</t>
        </is>
      </c>
      <c r="D173" s="32" t="inlineStr">
        <is>
          <t>Отделка эвакуац. лестн. клетки надзем.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8.2.3</t>
        </is>
      </c>
      <c r="D174" s="32" t="inlineStr">
        <is>
          <t>Лифт. холлы, тамбур-шлюзы надзем.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8.2.4</t>
        </is>
      </c>
      <c r="D175" s="32" t="inlineStr">
        <is>
          <t>Технич. помещения надзем.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8.2.5</t>
        </is>
      </c>
      <c r="D176" s="32" t="inlineStr">
        <is>
          <t>Прочие помещения надзем.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8.2.6</t>
        </is>
      </c>
      <c r="D177" s="32" t="inlineStr">
        <is>
          <t>Коммерч. помещения надзем.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Черновая</t>
        </is>
      </c>
      <c r="C178" s="31" t="inlineStr">
        <is>
          <t>8.2.7</t>
        </is>
      </c>
      <c r="D178" s="32" t="inlineStr">
        <is>
          <t>Паркинг и рампы надзем.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>
      <c r="A179" s="30">
        <f>A172</f>
        <v/>
      </c>
      <c r="B179" s="31" t="inlineStr">
        <is>
          <t>Чистовая</t>
        </is>
      </c>
      <c r="C179" s="31" t="inlineStr">
        <is>
          <t>8.2.1</t>
        </is>
      </c>
      <c r="D179" s="32" t="inlineStr">
        <is>
          <t>Отделка лобби/гранд-лобби</t>
        </is>
      </c>
      <c r="E179" s="33" t="n"/>
      <c r="F179" s="33" t="n"/>
      <c r="G179" s="33" t="n"/>
      <c r="H179" s="33" t="n"/>
      <c r="I179" s="34">
        <f>COUNTA(E179:H179)&amp;"/4"</f>
        <v/>
      </c>
    </row>
    <row r="180" ht="30" customHeight="1" s="74">
      <c r="A180" s="30">
        <f>A172</f>
        <v/>
      </c>
      <c r="B180" s="31" t="inlineStr">
        <is>
          <t>Чистовая</t>
        </is>
      </c>
      <c r="C180" s="31" t="inlineStr">
        <is>
          <t>8.2.2</t>
        </is>
      </c>
      <c r="D180" s="32" t="inlineStr">
        <is>
          <t>Отделка эвакуац. лестн. клетки надзем.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8.2.3</t>
        </is>
      </c>
      <c r="D181" s="32" t="inlineStr">
        <is>
          <t>Лифт. холлы, тамбур-шлюзы надзем.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8.2.4</t>
        </is>
      </c>
      <c r="D182" s="32" t="inlineStr">
        <is>
          <t>Технич. помещения надзем.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8.2.5</t>
        </is>
      </c>
      <c r="D183" s="32" t="inlineStr">
        <is>
          <t>Прочие помещения надзем.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</f>
        <v/>
      </c>
      <c r="B184" s="31" t="inlineStr">
        <is>
          <t>Чистовая</t>
        </is>
      </c>
      <c r="C184" s="31" t="inlineStr">
        <is>
          <t>8.2.6</t>
        </is>
      </c>
      <c r="D184" s="32" t="inlineStr">
        <is>
          <t>Коммерч. помещения надзем.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>
      <c r="A185" s="30">
        <f>A172</f>
        <v/>
      </c>
      <c r="B185" s="31" t="inlineStr">
        <is>
          <t>Чистовая</t>
        </is>
      </c>
      <c r="C185" s="31" t="inlineStr">
        <is>
          <t>8.2.7</t>
        </is>
      </c>
      <c r="D185" s="32" t="inlineStr">
        <is>
          <t>Паркинг и рампы надзем.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A172+7</f>
        <v/>
      </c>
      <c r="B186" s="31" t="inlineStr">
        <is>
          <t>Черновая</t>
        </is>
      </c>
      <c r="C186" s="31" t="inlineStr">
        <is>
          <t>8.2.1</t>
        </is>
      </c>
      <c r="D186" s="32" t="inlineStr">
        <is>
          <t>Отделка лобби/гранд-лобби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 ht="30" customHeight="1" s="74">
      <c r="A187" s="30">
        <f>A186</f>
        <v/>
      </c>
      <c r="B187" s="31" t="inlineStr">
        <is>
          <t>Черновая</t>
        </is>
      </c>
      <c r="C187" s="31" t="inlineStr">
        <is>
          <t>8.2.2</t>
        </is>
      </c>
      <c r="D187" s="32" t="inlineStr">
        <is>
          <t>Отделка эвакуац. лестн. клетки надзем.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A186</f>
        <v/>
      </c>
      <c r="B188" s="31" t="inlineStr">
        <is>
          <t>Черновая</t>
        </is>
      </c>
      <c r="C188" s="31" t="inlineStr">
        <is>
          <t>8.2.3</t>
        </is>
      </c>
      <c r="D188" s="32" t="inlineStr">
        <is>
          <t>Лифт. холлы, тамбур-шлюзы надзем.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A186</f>
        <v/>
      </c>
      <c r="B189" s="31" t="inlineStr">
        <is>
          <t>Черновая</t>
        </is>
      </c>
      <c r="C189" s="31" t="inlineStr">
        <is>
          <t>8.2.4</t>
        </is>
      </c>
      <c r="D189" s="32" t="inlineStr">
        <is>
          <t>Технич. помещения надзем.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A186</f>
        <v/>
      </c>
      <c r="B190" s="31" t="inlineStr">
        <is>
          <t>Черновая</t>
        </is>
      </c>
      <c r="C190" s="31" t="inlineStr">
        <is>
          <t>8.2.5</t>
        </is>
      </c>
      <c r="D190" s="32" t="inlineStr">
        <is>
          <t>Прочие помещения надзем.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>
      <c r="A191" s="30">
        <f>A186</f>
        <v/>
      </c>
      <c r="B191" s="31" t="inlineStr">
        <is>
          <t>Черновая</t>
        </is>
      </c>
      <c r="C191" s="31" t="inlineStr">
        <is>
          <t>8.2.6</t>
        </is>
      </c>
      <c r="D191" s="32" t="inlineStr">
        <is>
          <t>Коммерч. помещения надзем.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A186</f>
        <v/>
      </c>
      <c r="B192" s="31" t="inlineStr">
        <is>
          <t>Черновая</t>
        </is>
      </c>
      <c r="C192" s="31" t="inlineStr">
        <is>
          <t>8.2.7</t>
        </is>
      </c>
      <c r="D192" s="32" t="inlineStr">
        <is>
          <t>Паркинг и рампы надзем.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A186</f>
        <v/>
      </c>
      <c r="B193" s="31" t="inlineStr">
        <is>
          <t>Чистовая</t>
        </is>
      </c>
      <c r="C193" s="31" t="inlineStr">
        <is>
          <t>8.2.1</t>
        </is>
      </c>
      <c r="D193" s="32" t="inlineStr">
        <is>
          <t>Отделка лобби/гранд-лобби</t>
        </is>
      </c>
      <c r="E193" s="33" t="n"/>
      <c r="F193" s="33" t="n"/>
      <c r="G193" s="33" t="n"/>
      <c r="H193" s="33" t="n"/>
      <c r="I193" s="34">
        <f>COUNTA(E193:H193)&amp;"/4"</f>
        <v/>
      </c>
    </row>
    <row r="194" ht="30" customHeight="1" s="74">
      <c r="A194" s="30">
        <f>A186</f>
        <v/>
      </c>
      <c r="B194" s="31" t="inlineStr">
        <is>
          <t>Чистовая</t>
        </is>
      </c>
      <c r="C194" s="31" t="inlineStr">
        <is>
          <t>8.2.2</t>
        </is>
      </c>
      <c r="D194" s="32" t="inlineStr">
        <is>
          <t>Отделка эвакуац. лестн. клетки надзем.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A186</f>
        <v/>
      </c>
      <c r="B195" s="31" t="inlineStr">
        <is>
          <t>Чистовая</t>
        </is>
      </c>
      <c r="C195" s="31" t="inlineStr">
        <is>
          <t>8.2.3</t>
        </is>
      </c>
      <c r="D195" s="32" t="inlineStr">
        <is>
          <t>Лифт. холлы, тамбур-шлюзы надзем.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A186</f>
        <v/>
      </c>
      <c r="B196" s="31" t="inlineStr">
        <is>
          <t>Чистовая</t>
        </is>
      </c>
      <c r="C196" s="31" t="inlineStr">
        <is>
          <t>8.2.4</t>
        </is>
      </c>
      <c r="D196" s="32" t="inlineStr">
        <is>
          <t>Технич. помещения надзем.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>
      <c r="A197" s="30">
        <f>A186</f>
        <v/>
      </c>
      <c r="B197" s="31" t="inlineStr">
        <is>
          <t>Чистовая</t>
        </is>
      </c>
      <c r="C197" s="31" t="inlineStr">
        <is>
          <t>8.2.5</t>
        </is>
      </c>
      <c r="D197" s="32" t="inlineStr">
        <is>
          <t>Прочие помещения надзем.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A186</f>
        <v/>
      </c>
      <c r="B198" s="31" t="inlineStr">
        <is>
          <t>Чистовая</t>
        </is>
      </c>
      <c r="C198" s="31" t="inlineStr">
        <is>
          <t>8.2.6</t>
        </is>
      </c>
      <c r="D198" s="32" t="inlineStr">
        <is>
          <t>Коммерч. помещения надзем.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A186</f>
        <v/>
      </c>
      <c r="B199" s="31" t="inlineStr">
        <is>
          <t>Чистовая</t>
        </is>
      </c>
      <c r="C199" s="31" t="inlineStr">
        <is>
          <t>8.2.7</t>
        </is>
      </c>
      <c r="D199" s="32" t="inlineStr">
        <is>
          <t>Паркинг и рампы надзем.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A186+7</f>
        <v/>
      </c>
      <c r="B200" s="31" t="inlineStr">
        <is>
          <t>Черновая</t>
        </is>
      </c>
      <c r="C200" s="31" t="inlineStr">
        <is>
          <t>8.2.1</t>
        </is>
      </c>
      <c r="D200" s="32" t="inlineStr">
        <is>
          <t>Отделка лобби/гранд-лобби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 ht="30" customHeight="1" s="74">
      <c r="A201" s="30">
        <f>A200</f>
        <v/>
      </c>
      <c r="B201" s="31" t="inlineStr">
        <is>
          <t>Черновая</t>
        </is>
      </c>
      <c r="C201" s="31" t="inlineStr">
        <is>
          <t>8.2.2</t>
        </is>
      </c>
      <c r="D201" s="32" t="inlineStr">
        <is>
          <t>Отделка эвакуац. лестн. клетки надзем.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A200</f>
        <v/>
      </c>
      <c r="B202" s="31" t="inlineStr">
        <is>
          <t>Черновая</t>
        </is>
      </c>
      <c r="C202" s="31" t="inlineStr">
        <is>
          <t>8.2.3</t>
        </is>
      </c>
      <c r="D202" s="32" t="inlineStr">
        <is>
          <t>Лифт. холлы, тамбур-шлюзы надзем.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>
      <c r="A203" s="30">
        <f>A200</f>
        <v/>
      </c>
      <c r="B203" s="31" t="inlineStr">
        <is>
          <t>Черновая</t>
        </is>
      </c>
      <c r="C203" s="31" t="inlineStr">
        <is>
          <t>8.2.4</t>
        </is>
      </c>
      <c r="D203" s="32" t="inlineStr">
        <is>
          <t>Технич. помещения надзем.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A200</f>
        <v/>
      </c>
      <c r="B204" s="31" t="inlineStr">
        <is>
          <t>Черновая</t>
        </is>
      </c>
      <c r="C204" s="31" t="inlineStr">
        <is>
          <t>8.2.5</t>
        </is>
      </c>
      <c r="D204" s="32" t="inlineStr">
        <is>
          <t>Прочие помещения надзем.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A200</f>
        <v/>
      </c>
      <c r="B205" s="31" t="inlineStr">
        <is>
          <t>Черновая</t>
        </is>
      </c>
      <c r="C205" s="31" t="inlineStr">
        <is>
          <t>8.2.6</t>
        </is>
      </c>
      <c r="D205" s="32" t="inlineStr">
        <is>
          <t>Коммерч. помещения надзем.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A200</f>
        <v/>
      </c>
      <c r="B206" s="31" t="inlineStr">
        <is>
          <t>Черновая</t>
        </is>
      </c>
      <c r="C206" s="31" t="inlineStr">
        <is>
          <t>8.2.7</t>
        </is>
      </c>
      <c r="D206" s="32" t="inlineStr">
        <is>
          <t>Паркинг и рампы надзем.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A200</f>
        <v/>
      </c>
      <c r="B207" s="31" t="inlineStr">
        <is>
          <t>Чистовая</t>
        </is>
      </c>
      <c r="C207" s="31" t="inlineStr">
        <is>
          <t>8.2.1</t>
        </is>
      </c>
      <c r="D207" s="32" t="inlineStr">
        <is>
          <t>Отделка лобби/гранд-лобби</t>
        </is>
      </c>
      <c r="E207" s="33" t="n"/>
      <c r="F207" s="33" t="n"/>
      <c r="G207" s="33" t="n"/>
      <c r="H207" s="33" t="n"/>
      <c r="I207" s="34">
        <f>COUNTA(E207:H207)&amp;"/4"</f>
        <v/>
      </c>
    </row>
    <row r="208" ht="30" customHeight="1" s="74">
      <c r="A208" s="30">
        <f>A200</f>
        <v/>
      </c>
      <c r="B208" s="31" t="inlineStr">
        <is>
          <t>Чистовая</t>
        </is>
      </c>
      <c r="C208" s="31" t="inlineStr">
        <is>
          <t>8.2.2</t>
        </is>
      </c>
      <c r="D208" s="32" t="inlineStr">
        <is>
          <t>Отделка эвакуац. лестн. клетки надзем.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>
      <c r="A209" s="30">
        <f>A200</f>
        <v/>
      </c>
      <c r="B209" s="31" t="inlineStr">
        <is>
          <t>Чистовая</t>
        </is>
      </c>
      <c r="C209" s="31" t="inlineStr">
        <is>
          <t>8.2.3</t>
        </is>
      </c>
      <c r="D209" s="32" t="inlineStr">
        <is>
          <t>Лифт. холлы, тамбур-шлюзы надзем.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A200</f>
        <v/>
      </c>
      <c r="B210" s="31" t="inlineStr">
        <is>
          <t>Чистовая</t>
        </is>
      </c>
      <c r="C210" s="31" t="inlineStr">
        <is>
          <t>8.2.4</t>
        </is>
      </c>
      <c r="D210" s="32" t="inlineStr">
        <is>
          <t>Технич. помещения надзем.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A200</f>
        <v/>
      </c>
      <c r="B211" s="31" t="inlineStr">
        <is>
          <t>Чистовая</t>
        </is>
      </c>
      <c r="C211" s="31" t="inlineStr">
        <is>
          <t>8.2.5</t>
        </is>
      </c>
      <c r="D211" s="32" t="inlineStr">
        <is>
          <t>Прочие помещения надзем.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A200</f>
        <v/>
      </c>
      <c r="B212" s="31" t="inlineStr">
        <is>
          <t>Чистовая</t>
        </is>
      </c>
      <c r="C212" s="31" t="inlineStr">
        <is>
          <t>8.2.6</t>
        </is>
      </c>
      <c r="D212" s="32" t="inlineStr">
        <is>
          <t>Коммерч. помещения надзем.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A200</f>
        <v/>
      </c>
      <c r="B213" s="31" t="inlineStr">
        <is>
          <t>Чистовая</t>
        </is>
      </c>
      <c r="C213" s="31" t="inlineStr">
        <is>
          <t>8.2.7</t>
        </is>
      </c>
      <c r="D213" s="32" t="inlineStr">
        <is>
          <t>Паркинг и рампы надзем.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A200+7</f>
        <v/>
      </c>
      <c r="B214" s="31" t="inlineStr">
        <is>
          <t>Черновая</t>
        </is>
      </c>
      <c r="C214" s="31" t="inlineStr">
        <is>
          <t>8.2.1</t>
        </is>
      </c>
      <c r="D214" s="32" t="inlineStr">
        <is>
          <t>Отделка лобби/гранд-лобби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A214</f>
        <v/>
      </c>
      <c r="B215" s="31" t="inlineStr">
        <is>
          <t>Черновая</t>
        </is>
      </c>
      <c r="C215" s="31" t="inlineStr">
        <is>
          <t>8.2.2</t>
        </is>
      </c>
      <c r="D215" s="32" t="inlineStr">
        <is>
          <t>Отделка эвакуац. лестн. клетки надзем.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A214</f>
        <v/>
      </c>
      <c r="B216" s="31" t="inlineStr">
        <is>
          <t>Черновая</t>
        </is>
      </c>
      <c r="C216" s="31" t="inlineStr">
        <is>
          <t>8.2.3</t>
        </is>
      </c>
      <c r="D216" s="32" t="inlineStr">
        <is>
          <t>Лифт. холлы, тамбур-шлюзы надзем.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A214</f>
        <v/>
      </c>
      <c r="B217" s="31" t="inlineStr">
        <is>
          <t>Черновая</t>
        </is>
      </c>
      <c r="C217" s="31" t="inlineStr">
        <is>
          <t>8.2.4</t>
        </is>
      </c>
      <c r="D217" s="32" t="inlineStr">
        <is>
          <t>Технич. помещения надзем.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A214</f>
        <v/>
      </c>
      <c r="B218" s="31" t="inlineStr">
        <is>
          <t>Черновая</t>
        </is>
      </c>
      <c r="C218" s="31" t="inlineStr">
        <is>
          <t>8.2.5</t>
        </is>
      </c>
      <c r="D218" s="32" t="inlineStr">
        <is>
          <t>Прочие помещения надзем.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A214</f>
        <v/>
      </c>
      <c r="B219" s="31" t="inlineStr">
        <is>
          <t>Черновая</t>
        </is>
      </c>
      <c r="C219" s="31" t="inlineStr">
        <is>
          <t>8.2.6</t>
        </is>
      </c>
      <c r="D219" s="32" t="inlineStr">
        <is>
          <t>Коммерч. помещения надзем.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A214</f>
        <v/>
      </c>
      <c r="B220" s="31" t="inlineStr">
        <is>
          <t>Черновая</t>
        </is>
      </c>
      <c r="C220" s="31" t="inlineStr">
        <is>
          <t>8.2.7</t>
        </is>
      </c>
      <c r="D220" s="32" t="inlineStr">
        <is>
          <t>Паркинг и рампы надзем.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>
      <c r="A221" s="30">
        <f>A214</f>
        <v/>
      </c>
      <c r="B221" s="31" t="inlineStr">
        <is>
          <t>Чистовая</t>
        </is>
      </c>
      <c r="C221" s="31" t="inlineStr">
        <is>
          <t>8.2.1</t>
        </is>
      </c>
      <c r="D221" s="32" t="inlineStr">
        <is>
          <t>Отделка лобби/гранд-лобби</t>
        </is>
      </c>
      <c r="E221" s="33" t="n"/>
      <c r="F221" s="33" t="n"/>
      <c r="G221" s="33" t="n"/>
      <c r="H221" s="33" t="n"/>
      <c r="I221" s="34">
        <f>COUNTA(E221:H221)&amp;"/4"</f>
        <v/>
      </c>
    </row>
    <row r="222" ht="30" customHeight="1" s="74">
      <c r="A222" s="30">
        <f>A214</f>
        <v/>
      </c>
      <c r="B222" s="31" t="inlineStr">
        <is>
          <t>Чистовая</t>
        </is>
      </c>
      <c r="C222" s="31" t="inlineStr">
        <is>
          <t>8.2.2</t>
        </is>
      </c>
      <c r="D222" s="32" t="inlineStr">
        <is>
          <t>Отделка эвакуац. лестн. клетки надзем.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A214</f>
        <v/>
      </c>
      <c r="B223" s="31" t="inlineStr">
        <is>
          <t>Чистовая</t>
        </is>
      </c>
      <c r="C223" s="31" t="inlineStr">
        <is>
          <t>8.2.3</t>
        </is>
      </c>
      <c r="D223" s="32" t="inlineStr">
        <is>
          <t>Лифт. холлы, тамбур-шлюзы надзем.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A214</f>
        <v/>
      </c>
      <c r="B224" s="31" t="inlineStr">
        <is>
          <t>Чистовая</t>
        </is>
      </c>
      <c r="C224" s="31" t="inlineStr">
        <is>
          <t>8.2.4</t>
        </is>
      </c>
      <c r="D224" s="32" t="inlineStr">
        <is>
          <t>Технич. помещения надзем.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A214</f>
        <v/>
      </c>
      <c r="B225" s="31" t="inlineStr">
        <is>
          <t>Чистовая</t>
        </is>
      </c>
      <c r="C225" s="31" t="inlineStr">
        <is>
          <t>8.2.5</t>
        </is>
      </c>
      <c r="D225" s="32" t="inlineStr">
        <is>
          <t>Прочие помещения надзем.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A214</f>
        <v/>
      </c>
      <c r="B226" s="31" t="inlineStr">
        <is>
          <t>Чистовая</t>
        </is>
      </c>
      <c r="C226" s="31" t="inlineStr">
        <is>
          <t>8.2.6</t>
        </is>
      </c>
      <c r="D226" s="32" t="inlineStr">
        <is>
          <t>Коммерч. помещения надзем.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>
      <c r="A227" s="30">
        <f>A214</f>
        <v/>
      </c>
      <c r="B227" s="31" t="inlineStr">
        <is>
          <t>Чистовая</t>
        </is>
      </c>
      <c r="C227" s="31" t="inlineStr">
        <is>
          <t>8.2.7</t>
        </is>
      </c>
      <c r="D227" s="32" t="inlineStr">
        <is>
          <t>Паркинг и рампы надзем.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A214+7</f>
        <v/>
      </c>
      <c r="B228" s="31" t="inlineStr">
        <is>
          <t>Черновая</t>
        </is>
      </c>
      <c r="C228" s="31" t="inlineStr">
        <is>
          <t>8.2.1</t>
        </is>
      </c>
      <c r="D228" s="32" t="inlineStr">
        <is>
          <t>Отделка лобби/гранд-лобби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 ht="30" customHeight="1" s="74">
      <c r="A229" s="30">
        <f>A228</f>
        <v/>
      </c>
      <c r="B229" s="31" t="inlineStr">
        <is>
          <t>Черновая</t>
        </is>
      </c>
      <c r="C229" s="31" t="inlineStr">
        <is>
          <t>8.2.2</t>
        </is>
      </c>
      <c r="D229" s="32" t="inlineStr">
        <is>
          <t>Отделка эвакуац. лестн. клетки надзем.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A228</f>
        <v/>
      </c>
      <c r="B230" s="31" t="inlineStr">
        <is>
          <t>Черновая</t>
        </is>
      </c>
      <c r="C230" s="31" t="inlineStr">
        <is>
          <t>8.2.3</t>
        </is>
      </c>
      <c r="D230" s="32" t="inlineStr">
        <is>
          <t>Лифт. холлы, тамбур-шлюзы надзем.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A228</f>
        <v/>
      </c>
      <c r="B231" s="31" t="inlineStr">
        <is>
          <t>Черновая</t>
        </is>
      </c>
      <c r="C231" s="31" t="inlineStr">
        <is>
          <t>8.2.4</t>
        </is>
      </c>
      <c r="D231" s="32" t="inlineStr">
        <is>
          <t>Технич. помещения надзем.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A228</f>
        <v/>
      </c>
      <c r="B232" s="31" t="inlineStr">
        <is>
          <t>Черновая</t>
        </is>
      </c>
      <c r="C232" s="31" t="inlineStr">
        <is>
          <t>8.2.5</t>
        </is>
      </c>
      <c r="D232" s="32" t="inlineStr">
        <is>
          <t>Прочие помещения надзем.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>
      <c r="A233" s="30">
        <f>A228</f>
        <v/>
      </c>
      <c r="B233" s="31" t="inlineStr">
        <is>
          <t>Черновая</t>
        </is>
      </c>
      <c r="C233" s="31" t="inlineStr">
        <is>
          <t>8.2.6</t>
        </is>
      </c>
      <c r="D233" s="32" t="inlineStr">
        <is>
          <t>Коммерч. помещения надзем.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A228</f>
        <v/>
      </c>
      <c r="B234" s="31" t="inlineStr">
        <is>
          <t>Черновая</t>
        </is>
      </c>
      <c r="C234" s="31" t="inlineStr">
        <is>
          <t>8.2.7</t>
        </is>
      </c>
      <c r="D234" s="32" t="inlineStr">
        <is>
          <t>Паркинг и рампы надзем.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A228</f>
        <v/>
      </c>
      <c r="B235" s="31" t="inlineStr">
        <is>
          <t>Чистовая</t>
        </is>
      </c>
      <c r="C235" s="31" t="inlineStr">
        <is>
          <t>8.2.1</t>
        </is>
      </c>
      <c r="D235" s="32" t="inlineStr">
        <is>
          <t>Отделка лобби/гранд-лобби</t>
        </is>
      </c>
      <c r="E235" s="33" t="n"/>
      <c r="F235" s="33" t="n"/>
      <c r="G235" s="33" t="n"/>
      <c r="H235" s="33" t="n"/>
      <c r="I235" s="34">
        <f>COUNTA(E235:H235)&amp;"/4"</f>
        <v/>
      </c>
    </row>
    <row r="236" ht="30" customHeight="1" s="74">
      <c r="A236" s="30">
        <f>A228</f>
        <v/>
      </c>
      <c r="B236" s="31" t="inlineStr">
        <is>
          <t>Чистовая</t>
        </is>
      </c>
      <c r="C236" s="31" t="inlineStr">
        <is>
          <t>8.2.2</t>
        </is>
      </c>
      <c r="D236" s="32" t="inlineStr">
        <is>
          <t>Отделка эвакуац. лестн. клетки надзем.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A228</f>
        <v/>
      </c>
      <c r="B237" s="31" t="inlineStr">
        <is>
          <t>Чистовая</t>
        </is>
      </c>
      <c r="C237" s="31" t="inlineStr">
        <is>
          <t>8.2.3</t>
        </is>
      </c>
      <c r="D237" s="32" t="inlineStr">
        <is>
          <t>Лифт. холлы, тамбур-шлюзы надзем.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A228</f>
        <v/>
      </c>
      <c r="B238" s="31" t="inlineStr">
        <is>
          <t>Чистовая</t>
        </is>
      </c>
      <c r="C238" s="31" t="inlineStr">
        <is>
          <t>8.2.4</t>
        </is>
      </c>
      <c r="D238" s="32" t="inlineStr">
        <is>
          <t>Технич. помещения надзем.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>
      <c r="A239" s="30">
        <f>A228</f>
        <v/>
      </c>
      <c r="B239" s="31" t="inlineStr">
        <is>
          <t>Чистовая</t>
        </is>
      </c>
      <c r="C239" s="31" t="inlineStr">
        <is>
          <t>8.2.5</t>
        </is>
      </c>
      <c r="D239" s="32" t="inlineStr">
        <is>
          <t>Прочие помещения надзем.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A228</f>
        <v/>
      </c>
      <c r="B240" s="31" t="inlineStr">
        <is>
          <t>Чистовая</t>
        </is>
      </c>
      <c r="C240" s="31" t="inlineStr">
        <is>
          <t>8.2.6</t>
        </is>
      </c>
      <c r="D240" s="32" t="inlineStr">
        <is>
          <t>Коммерч. помещения надзем.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A228</f>
        <v/>
      </c>
      <c r="B241" s="31" t="inlineStr">
        <is>
          <t>Чистовая</t>
        </is>
      </c>
      <c r="C241" s="31" t="inlineStr">
        <is>
          <t>8.2.7</t>
        </is>
      </c>
      <c r="D241" s="32" t="inlineStr">
        <is>
          <t>Паркинг и рампы надзем.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A228+7</f>
        <v/>
      </c>
      <c r="B242" s="31" t="inlineStr">
        <is>
          <t>Черновая</t>
        </is>
      </c>
      <c r="C242" s="31" t="inlineStr">
        <is>
          <t>8.2.1</t>
        </is>
      </c>
      <c r="D242" s="32" t="inlineStr">
        <is>
          <t>Отделка лобби/гранд-лобби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 ht="30" customHeight="1" s="74">
      <c r="A243" s="30">
        <f>A242</f>
        <v/>
      </c>
      <c r="B243" s="31" t="inlineStr">
        <is>
          <t>Черновая</t>
        </is>
      </c>
      <c r="C243" s="31" t="inlineStr">
        <is>
          <t>8.2.2</t>
        </is>
      </c>
      <c r="D243" s="32" t="inlineStr">
        <is>
          <t>Отделка эвакуац. лестн. клетки надзем.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A242</f>
        <v/>
      </c>
      <c r="B244" s="31" t="inlineStr">
        <is>
          <t>Черновая</t>
        </is>
      </c>
      <c r="C244" s="31" t="inlineStr">
        <is>
          <t>8.2.3</t>
        </is>
      </c>
      <c r="D244" s="32" t="inlineStr">
        <is>
          <t>Лифт. холлы, тамбур-шлюзы надзем.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>
      <c r="A245" s="30">
        <f>A242</f>
        <v/>
      </c>
      <c r="B245" s="31" t="inlineStr">
        <is>
          <t>Черновая</t>
        </is>
      </c>
      <c r="C245" s="31" t="inlineStr">
        <is>
          <t>8.2.4</t>
        </is>
      </c>
      <c r="D245" s="32" t="inlineStr">
        <is>
          <t>Технич. помещения надзем.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A242</f>
        <v/>
      </c>
      <c r="B246" s="31" t="inlineStr">
        <is>
          <t>Черновая</t>
        </is>
      </c>
      <c r="C246" s="31" t="inlineStr">
        <is>
          <t>8.2.5</t>
        </is>
      </c>
      <c r="D246" s="32" t="inlineStr">
        <is>
          <t>Прочие помещения надзем.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A242</f>
        <v/>
      </c>
      <c r="B247" s="31" t="inlineStr">
        <is>
          <t>Черновая</t>
        </is>
      </c>
      <c r="C247" s="31" t="inlineStr">
        <is>
          <t>8.2.6</t>
        </is>
      </c>
      <c r="D247" s="32" t="inlineStr">
        <is>
          <t>Коммерч. помещения надзем.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A242</f>
        <v/>
      </c>
      <c r="B248" s="31" t="inlineStr">
        <is>
          <t>Черновая</t>
        </is>
      </c>
      <c r="C248" s="31" t="inlineStr">
        <is>
          <t>8.2.7</t>
        </is>
      </c>
      <c r="D248" s="32" t="inlineStr">
        <is>
          <t>Паркинг и рампы надзем.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A242</f>
        <v/>
      </c>
      <c r="B249" s="31" t="inlineStr">
        <is>
          <t>Чистовая</t>
        </is>
      </c>
      <c r="C249" s="31" t="inlineStr">
        <is>
          <t>8.2.1</t>
        </is>
      </c>
      <c r="D249" s="32" t="inlineStr">
        <is>
          <t>Отделка лобби/гранд-лобби</t>
        </is>
      </c>
      <c r="E249" s="33" t="n"/>
      <c r="F249" s="33" t="n"/>
      <c r="G249" s="33" t="n"/>
      <c r="H249" s="33" t="n"/>
      <c r="I249" s="34">
        <f>COUNTA(E249:H249)&amp;"/4"</f>
        <v/>
      </c>
    </row>
    <row r="250" ht="30" customHeight="1" s="74">
      <c r="A250" s="30">
        <f>A242</f>
        <v/>
      </c>
      <c r="B250" s="31" t="inlineStr">
        <is>
          <t>Чистовая</t>
        </is>
      </c>
      <c r="C250" s="31" t="inlineStr">
        <is>
          <t>8.2.2</t>
        </is>
      </c>
      <c r="D250" s="32" t="inlineStr">
        <is>
          <t>Отделка эвакуац. лестн. клетки надзем.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>
      <c r="A251" s="30">
        <f>A242</f>
        <v/>
      </c>
      <c r="B251" s="31" t="inlineStr">
        <is>
          <t>Чистовая</t>
        </is>
      </c>
      <c r="C251" s="31" t="inlineStr">
        <is>
          <t>8.2.3</t>
        </is>
      </c>
      <c r="D251" s="32" t="inlineStr">
        <is>
          <t>Лифт. холлы, тамбур-шлюзы надзем.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A242</f>
        <v/>
      </c>
      <c r="B252" s="31" t="inlineStr">
        <is>
          <t>Чистовая</t>
        </is>
      </c>
      <c r="C252" s="31" t="inlineStr">
        <is>
          <t>8.2.4</t>
        </is>
      </c>
      <c r="D252" s="32" t="inlineStr">
        <is>
          <t>Технич. помещения надзем.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A242</f>
        <v/>
      </c>
      <c r="B253" s="31" t="inlineStr">
        <is>
          <t>Чистовая</t>
        </is>
      </c>
      <c r="C253" s="31" t="inlineStr">
        <is>
          <t>8.2.5</t>
        </is>
      </c>
      <c r="D253" s="32" t="inlineStr">
        <is>
          <t>Прочие помещения надзем.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A242</f>
        <v/>
      </c>
      <c r="B254" s="31" t="inlineStr">
        <is>
          <t>Чистовая</t>
        </is>
      </c>
      <c r="C254" s="31" t="inlineStr">
        <is>
          <t>8.2.6</t>
        </is>
      </c>
      <c r="D254" s="32" t="inlineStr">
        <is>
          <t>Коммерч. помещения надзем.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A242</f>
        <v/>
      </c>
      <c r="B255" s="31" t="inlineStr">
        <is>
          <t>Чистовая</t>
        </is>
      </c>
      <c r="C255" s="31" t="inlineStr">
        <is>
          <t>8.2.7</t>
        </is>
      </c>
      <c r="D255" s="32" t="inlineStr">
        <is>
          <t>Паркинг и рампы надзем.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A242+7</f>
        <v/>
      </c>
      <c r="B256" s="31" t="inlineStr">
        <is>
          <t>Черновая</t>
        </is>
      </c>
      <c r="C256" s="31" t="inlineStr">
        <is>
          <t>8.2.1</t>
        </is>
      </c>
      <c r="D256" s="32" t="inlineStr">
        <is>
          <t>Отделка лобби/гранд-лобби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8.2.2</t>
        </is>
      </c>
      <c r="D257" s="32" t="inlineStr">
        <is>
          <t>Отделка эвакуац. лестн. клетки надзем.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8.2.3</t>
        </is>
      </c>
      <c r="D258" s="32" t="inlineStr">
        <is>
          <t>Лифт. холлы, тамбур-шлюзы надзем.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8.2.4</t>
        </is>
      </c>
      <c r="D259" s="32" t="inlineStr">
        <is>
          <t>Технич. помещения надзем.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8.2.5</t>
        </is>
      </c>
      <c r="D260" s="32" t="inlineStr">
        <is>
          <t>Прочие помещения надзем.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8.2.6</t>
        </is>
      </c>
      <c r="D261" s="32" t="inlineStr">
        <is>
          <t>Коммерч. помещения надзем.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Черновая</t>
        </is>
      </c>
      <c r="C262" s="31" t="inlineStr">
        <is>
          <t>8.2.7</t>
        </is>
      </c>
      <c r="D262" s="32" t="inlineStr">
        <is>
          <t>Паркинг и рампы надзем.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>
      <c r="A263" s="30">
        <f>A256</f>
        <v/>
      </c>
      <c r="B263" s="31" t="inlineStr">
        <is>
          <t>Чистовая</t>
        </is>
      </c>
      <c r="C263" s="31" t="inlineStr">
        <is>
          <t>8.2.1</t>
        </is>
      </c>
      <c r="D263" s="32" t="inlineStr">
        <is>
          <t>Отделка лобби/гранд-лобби</t>
        </is>
      </c>
      <c r="E263" s="33" t="n"/>
      <c r="F263" s="33" t="n"/>
      <c r="G263" s="33" t="n"/>
      <c r="H263" s="33" t="n"/>
      <c r="I263" s="34">
        <f>COUNTA(E263:H263)&amp;"/4"</f>
        <v/>
      </c>
    </row>
    <row r="264" ht="30" customHeight="1" s="74">
      <c r="A264" s="30">
        <f>A256</f>
        <v/>
      </c>
      <c r="B264" s="31" t="inlineStr">
        <is>
          <t>Чистовая</t>
        </is>
      </c>
      <c r="C264" s="31" t="inlineStr">
        <is>
          <t>8.2.2</t>
        </is>
      </c>
      <c r="D264" s="32" t="inlineStr">
        <is>
          <t>Отделка эвакуац. лестн. клетки надзем.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8.2.3</t>
        </is>
      </c>
      <c r="D265" s="32" t="inlineStr">
        <is>
          <t>Лифт. холлы, тамбур-шлюзы надзем.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8.2.4</t>
        </is>
      </c>
      <c r="D266" s="32" t="inlineStr">
        <is>
          <t>Технич. помещения надзем.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8.2.5</t>
        </is>
      </c>
      <c r="D267" s="32" t="inlineStr">
        <is>
          <t>Прочие помещения надзем.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</f>
        <v/>
      </c>
      <c r="B268" s="31" t="inlineStr">
        <is>
          <t>Чистовая</t>
        </is>
      </c>
      <c r="C268" s="31" t="inlineStr">
        <is>
          <t>8.2.6</t>
        </is>
      </c>
      <c r="D268" s="32" t="inlineStr">
        <is>
          <t>Коммерч. помещения надзем.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>
      <c r="A269" s="30">
        <f>A256</f>
        <v/>
      </c>
      <c r="B269" s="31" t="inlineStr">
        <is>
          <t>Чистовая</t>
        </is>
      </c>
      <c r="C269" s="31" t="inlineStr">
        <is>
          <t>8.2.7</t>
        </is>
      </c>
      <c r="D269" s="32" t="inlineStr">
        <is>
          <t>Паркинг и рампы надзем.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A256+7</f>
        <v/>
      </c>
      <c r="B270" s="31" t="inlineStr">
        <is>
          <t>Черновая</t>
        </is>
      </c>
      <c r="C270" s="31" t="inlineStr">
        <is>
          <t>8.2.1</t>
        </is>
      </c>
      <c r="D270" s="32" t="inlineStr">
        <is>
          <t>Отделка лобби/гранд-лобби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 ht="30" customHeight="1" s="74">
      <c r="A271" s="30">
        <f>A270</f>
        <v/>
      </c>
      <c r="B271" s="31" t="inlineStr">
        <is>
          <t>Черновая</t>
        </is>
      </c>
      <c r="C271" s="31" t="inlineStr">
        <is>
          <t>8.2.2</t>
        </is>
      </c>
      <c r="D271" s="32" t="inlineStr">
        <is>
          <t>Отделка эвакуац. лестн. клетки надзем.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A270</f>
        <v/>
      </c>
      <c r="B272" s="31" t="inlineStr">
        <is>
          <t>Черновая</t>
        </is>
      </c>
      <c r="C272" s="31" t="inlineStr">
        <is>
          <t>8.2.3</t>
        </is>
      </c>
      <c r="D272" s="32" t="inlineStr">
        <is>
          <t>Лифт. холлы, тамбур-шлюзы надзем.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A270</f>
        <v/>
      </c>
      <c r="B273" s="31" t="inlineStr">
        <is>
          <t>Черновая</t>
        </is>
      </c>
      <c r="C273" s="31" t="inlineStr">
        <is>
          <t>8.2.4</t>
        </is>
      </c>
      <c r="D273" s="32" t="inlineStr">
        <is>
          <t>Технич. помещения надзем.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A270</f>
        <v/>
      </c>
      <c r="B274" s="31" t="inlineStr">
        <is>
          <t>Черновая</t>
        </is>
      </c>
      <c r="C274" s="31" t="inlineStr">
        <is>
          <t>8.2.5</t>
        </is>
      </c>
      <c r="D274" s="32" t="inlineStr">
        <is>
          <t>Прочие помещения надзем.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>
      <c r="A275" s="30">
        <f>A270</f>
        <v/>
      </c>
      <c r="B275" s="31" t="inlineStr">
        <is>
          <t>Черновая</t>
        </is>
      </c>
      <c r="C275" s="31" t="inlineStr">
        <is>
          <t>8.2.6</t>
        </is>
      </c>
      <c r="D275" s="32" t="inlineStr">
        <is>
          <t>Коммерч. помещения надзем.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A270</f>
        <v/>
      </c>
      <c r="B276" s="31" t="inlineStr">
        <is>
          <t>Черновая</t>
        </is>
      </c>
      <c r="C276" s="31" t="inlineStr">
        <is>
          <t>8.2.7</t>
        </is>
      </c>
      <c r="D276" s="32" t="inlineStr">
        <is>
          <t>Паркинг и рампы надзем.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A270</f>
        <v/>
      </c>
      <c r="B277" s="31" t="inlineStr">
        <is>
          <t>Чистовая</t>
        </is>
      </c>
      <c r="C277" s="31" t="inlineStr">
        <is>
          <t>8.2.1</t>
        </is>
      </c>
      <c r="D277" s="32" t="inlineStr">
        <is>
          <t>Отделка лобби/гранд-лобби</t>
        </is>
      </c>
      <c r="E277" s="33" t="n"/>
      <c r="F277" s="33" t="n"/>
      <c r="G277" s="33" t="n"/>
      <c r="H277" s="33" t="n"/>
      <c r="I277" s="34">
        <f>COUNTA(E277:H277)&amp;"/4"</f>
        <v/>
      </c>
    </row>
    <row r="278" ht="30" customHeight="1" s="74">
      <c r="A278" s="30">
        <f>A270</f>
        <v/>
      </c>
      <c r="B278" s="31" t="inlineStr">
        <is>
          <t>Чистовая</t>
        </is>
      </c>
      <c r="C278" s="31" t="inlineStr">
        <is>
          <t>8.2.2</t>
        </is>
      </c>
      <c r="D278" s="32" t="inlineStr">
        <is>
          <t>Отделка эвакуац. лестн. клетки надзем.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A270</f>
        <v/>
      </c>
      <c r="B279" s="31" t="inlineStr">
        <is>
          <t>Чистовая</t>
        </is>
      </c>
      <c r="C279" s="31" t="inlineStr">
        <is>
          <t>8.2.3</t>
        </is>
      </c>
      <c r="D279" s="32" t="inlineStr">
        <is>
          <t>Лифт. холлы, тамбур-шлюзы надзем.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A270</f>
        <v/>
      </c>
      <c r="B280" s="31" t="inlineStr">
        <is>
          <t>Чистовая</t>
        </is>
      </c>
      <c r="C280" s="31" t="inlineStr">
        <is>
          <t>8.2.4</t>
        </is>
      </c>
      <c r="D280" s="32" t="inlineStr">
        <is>
          <t>Технич. помещения надзем.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>
      <c r="A281" s="30">
        <f>A270</f>
        <v/>
      </c>
      <c r="B281" s="31" t="inlineStr">
        <is>
          <t>Чистовая</t>
        </is>
      </c>
      <c r="C281" s="31" t="inlineStr">
        <is>
          <t>8.2.5</t>
        </is>
      </c>
      <c r="D281" s="32" t="inlineStr">
        <is>
          <t>Прочие помещения надзем.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A270</f>
        <v/>
      </c>
      <c r="B282" s="31" t="inlineStr">
        <is>
          <t>Чистовая</t>
        </is>
      </c>
      <c r="C282" s="31" t="inlineStr">
        <is>
          <t>8.2.6</t>
        </is>
      </c>
      <c r="D282" s="32" t="inlineStr">
        <is>
          <t>Коммерч. помещения надзем.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A270</f>
        <v/>
      </c>
      <c r="B283" s="31" t="inlineStr">
        <is>
          <t>Чистовая</t>
        </is>
      </c>
      <c r="C283" s="31" t="inlineStr">
        <is>
          <t>8.2.7</t>
        </is>
      </c>
      <c r="D283" s="32" t="inlineStr">
        <is>
          <t>Паркинг и рампы надзем.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A270+7</f>
        <v/>
      </c>
      <c r="B284" s="31" t="inlineStr">
        <is>
          <t>Черновая</t>
        </is>
      </c>
      <c r="C284" s="31" t="inlineStr">
        <is>
          <t>8.2.1</t>
        </is>
      </c>
      <c r="D284" s="32" t="inlineStr">
        <is>
          <t>Отделка лобби/гранд-лобби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 ht="30" customHeight="1" s="74">
      <c r="A285" s="30">
        <f>A284</f>
        <v/>
      </c>
      <c r="B285" s="31" t="inlineStr">
        <is>
          <t>Черновая</t>
        </is>
      </c>
      <c r="C285" s="31" t="inlineStr">
        <is>
          <t>8.2.2</t>
        </is>
      </c>
      <c r="D285" s="32" t="inlineStr">
        <is>
          <t>Отделка эвакуац. лестн. клетки надзем.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A284</f>
        <v/>
      </c>
      <c r="B286" s="31" t="inlineStr">
        <is>
          <t>Черновая</t>
        </is>
      </c>
      <c r="C286" s="31" t="inlineStr">
        <is>
          <t>8.2.3</t>
        </is>
      </c>
      <c r="D286" s="32" t="inlineStr">
        <is>
          <t>Лифт. холлы, тамбур-шлюзы надзем.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>
      <c r="A287" s="30">
        <f>A284</f>
        <v/>
      </c>
      <c r="B287" s="31" t="inlineStr">
        <is>
          <t>Черновая</t>
        </is>
      </c>
      <c r="C287" s="31" t="inlineStr">
        <is>
          <t>8.2.4</t>
        </is>
      </c>
      <c r="D287" s="32" t="inlineStr">
        <is>
          <t>Технич. помещения надзем.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A284</f>
        <v/>
      </c>
      <c r="B288" s="31" t="inlineStr">
        <is>
          <t>Черновая</t>
        </is>
      </c>
      <c r="C288" s="31" t="inlineStr">
        <is>
          <t>8.2.5</t>
        </is>
      </c>
      <c r="D288" s="32" t="inlineStr">
        <is>
          <t>Прочие помещения надзем.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A284</f>
        <v/>
      </c>
      <c r="B289" s="31" t="inlineStr">
        <is>
          <t>Черновая</t>
        </is>
      </c>
      <c r="C289" s="31" t="inlineStr">
        <is>
          <t>8.2.6</t>
        </is>
      </c>
      <c r="D289" s="32" t="inlineStr">
        <is>
          <t>Коммерч. помещения надзем.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A284</f>
        <v/>
      </c>
      <c r="B290" s="31" t="inlineStr">
        <is>
          <t>Черновая</t>
        </is>
      </c>
      <c r="C290" s="31" t="inlineStr">
        <is>
          <t>8.2.7</t>
        </is>
      </c>
      <c r="D290" s="32" t="inlineStr">
        <is>
          <t>Паркинг и рампы надзем.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A284</f>
        <v/>
      </c>
      <c r="B291" s="31" t="inlineStr">
        <is>
          <t>Чистовая</t>
        </is>
      </c>
      <c r="C291" s="31" t="inlineStr">
        <is>
          <t>8.2.1</t>
        </is>
      </c>
      <c r="D291" s="32" t="inlineStr">
        <is>
          <t>Отделка лобби/гранд-лобби</t>
        </is>
      </c>
      <c r="E291" s="33" t="n"/>
      <c r="F291" s="33" t="n"/>
      <c r="G291" s="33" t="n"/>
      <c r="H291" s="33" t="n"/>
      <c r="I291" s="34">
        <f>COUNTA(E291:H291)&amp;"/4"</f>
        <v/>
      </c>
    </row>
    <row r="292" ht="30" customHeight="1" s="74">
      <c r="A292" s="30">
        <f>A284</f>
        <v/>
      </c>
      <c r="B292" s="31" t="inlineStr">
        <is>
          <t>Чистовая</t>
        </is>
      </c>
      <c r="C292" s="31" t="inlineStr">
        <is>
          <t>8.2.2</t>
        </is>
      </c>
      <c r="D292" s="32" t="inlineStr">
        <is>
          <t>Отделка эвакуац. лестн. клетки надзем.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>
      <c r="A293" s="30">
        <f>A284</f>
        <v/>
      </c>
      <c r="B293" s="31" t="inlineStr">
        <is>
          <t>Чистовая</t>
        </is>
      </c>
      <c r="C293" s="31" t="inlineStr">
        <is>
          <t>8.2.3</t>
        </is>
      </c>
      <c r="D293" s="32" t="inlineStr">
        <is>
          <t>Лифт. холлы, тамбур-шлюзы надзем.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A284</f>
        <v/>
      </c>
      <c r="B294" s="31" t="inlineStr">
        <is>
          <t>Чистовая</t>
        </is>
      </c>
      <c r="C294" s="31" t="inlineStr">
        <is>
          <t>8.2.4</t>
        </is>
      </c>
      <c r="D294" s="32" t="inlineStr">
        <is>
          <t>Технич. помещения надзем.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A284</f>
        <v/>
      </c>
      <c r="B295" s="31" t="inlineStr">
        <is>
          <t>Чистовая</t>
        </is>
      </c>
      <c r="C295" s="31" t="inlineStr">
        <is>
          <t>8.2.5</t>
        </is>
      </c>
      <c r="D295" s="32" t="inlineStr">
        <is>
          <t>Прочие помещения надзем.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A284</f>
        <v/>
      </c>
      <c r="B296" s="31" t="inlineStr">
        <is>
          <t>Чистовая</t>
        </is>
      </c>
      <c r="C296" s="31" t="inlineStr">
        <is>
          <t>8.2.6</t>
        </is>
      </c>
      <c r="D296" s="32" t="inlineStr">
        <is>
          <t>Коммерч. помещения надзем.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A284</f>
        <v/>
      </c>
      <c r="B297" s="31" t="inlineStr">
        <is>
          <t>Чистовая</t>
        </is>
      </c>
      <c r="C297" s="31" t="inlineStr">
        <is>
          <t>8.2.7</t>
        </is>
      </c>
      <c r="D297" s="32" t="inlineStr">
        <is>
          <t>Паркинг и рампы надзем.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A284+7</f>
        <v/>
      </c>
      <c r="B298" s="31" t="inlineStr">
        <is>
          <t>Черновая</t>
        </is>
      </c>
      <c r="C298" s="31" t="inlineStr">
        <is>
          <t>8.2.1</t>
        </is>
      </c>
      <c r="D298" s="32" t="inlineStr">
        <is>
          <t>Отделка лобби/гранд-лобби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A298</f>
        <v/>
      </c>
      <c r="B299" s="31" t="inlineStr">
        <is>
          <t>Черновая</t>
        </is>
      </c>
      <c r="C299" s="31" t="inlineStr">
        <is>
          <t>8.2.2</t>
        </is>
      </c>
      <c r="D299" s="32" t="inlineStr">
        <is>
          <t>Отделка эвакуац. лестн. клетки надзем.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A298</f>
        <v/>
      </c>
      <c r="B300" s="31" t="inlineStr">
        <is>
          <t>Черновая</t>
        </is>
      </c>
      <c r="C300" s="31" t="inlineStr">
        <is>
          <t>8.2.3</t>
        </is>
      </c>
      <c r="D300" s="32" t="inlineStr">
        <is>
          <t>Лифт. холлы, тамбур-шлюзы надзем.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A298</f>
        <v/>
      </c>
      <c r="B301" s="31" t="inlineStr">
        <is>
          <t>Черновая</t>
        </is>
      </c>
      <c r="C301" s="31" t="inlineStr">
        <is>
          <t>8.2.4</t>
        </is>
      </c>
      <c r="D301" s="32" t="inlineStr">
        <is>
          <t>Технич. помещения надзем.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A298</f>
        <v/>
      </c>
      <c r="B302" s="31" t="inlineStr">
        <is>
          <t>Черновая</t>
        </is>
      </c>
      <c r="C302" s="31" t="inlineStr">
        <is>
          <t>8.2.5</t>
        </is>
      </c>
      <c r="D302" s="32" t="inlineStr">
        <is>
          <t>Прочие помещения надзем.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A298</f>
        <v/>
      </c>
      <c r="B303" s="31" t="inlineStr">
        <is>
          <t>Черновая</t>
        </is>
      </c>
      <c r="C303" s="31" t="inlineStr">
        <is>
          <t>8.2.6</t>
        </is>
      </c>
      <c r="D303" s="32" t="inlineStr">
        <is>
          <t>Коммерч. помещения надзем.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A298</f>
        <v/>
      </c>
      <c r="B304" s="31" t="inlineStr">
        <is>
          <t>Черновая</t>
        </is>
      </c>
      <c r="C304" s="31" t="inlineStr">
        <is>
          <t>8.2.7</t>
        </is>
      </c>
      <c r="D304" s="32" t="inlineStr">
        <is>
          <t>Паркинг и рампы надзем.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>
      <c r="A305" s="30">
        <f>A298</f>
        <v/>
      </c>
      <c r="B305" s="31" t="inlineStr">
        <is>
          <t>Чистовая</t>
        </is>
      </c>
      <c r="C305" s="31" t="inlineStr">
        <is>
          <t>8.2.1</t>
        </is>
      </c>
      <c r="D305" s="32" t="inlineStr">
        <is>
          <t>Отделка лобби/гранд-лобби</t>
        </is>
      </c>
      <c r="E305" s="33" t="n"/>
      <c r="F305" s="33" t="n"/>
      <c r="G305" s="33" t="n"/>
      <c r="H305" s="33" t="n"/>
      <c r="I305" s="34">
        <f>COUNTA(E305:H305)&amp;"/4"</f>
        <v/>
      </c>
    </row>
    <row r="306" ht="30" customHeight="1" s="74">
      <c r="A306" s="30">
        <f>A298</f>
        <v/>
      </c>
      <c r="B306" s="31" t="inlineStr">
        <is>
          <t>Чистовая</t>
        </is>
      </c>
      <c r="C306" s="31" t="inlineStr">
        <is>
          <t>8.2.2</t>
        </is>
      </c>
      <c r="D306" s="32" t="inlineStr">
        <is>
          <t>Отделка эвакуац. лестн. клетки надзем.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A298</f>
        <v/>
      </c>
      <c r="B307" s="31" t="inlineStr">
        <is>
          <t>Чистовая</t>
        </is>
      </c>
      <c r="C307" s="31" t="inlineStr">
        <is>
          <t>8.2.3</t>
        </is>
      </c>
      <c r="D307" s="32" t="inlineStr">
        <is>
          <t>Лифт. холлы, тамбур-шлюзы надзем.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A298</f>
        <v/>
      </c>
      <c r="B308" s="31" t="inlineStr">
        <is>
          <t>Чистовая</t>
        </is>
      </c>
      <c r="C308" s="31" t="inlineStr">
        <is>
          <t>8.2.4</t>
        </is>
      </c>
      <c r="D308" s="32" t="inlineStr">
        <is>
          <t>Технич. помещения надзем.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A298</f>
        <v/>
      </c>
      <c r="B309" s="31" t="inlineStr">
        <is>
          <t>Чистовая</t>
        </is>
      </c>
      <c r="C309" s="31" t="inlineStr">
        <is>
          <t>8.2.5</t>
        </is>
      </c>
      <c r="D309" s="32" t="inlineStr">
        <is>
          <t>Прочие помещения надзем.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A298</f>
        <v/>
      </c>
      <c r="B310" s="31" t="inlineStr">
        <is>
          <t>Чистовая</t>
        </is>
      </c>
      <c r="C310" s="31" t="inlineStr">
        <is>
          <t>8.2.6</t>
        </is>
      </c>
      <c r="D310" s="32" t="inlineStr">
        <is>
          <t>Коммерч. помещения надзем.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>
      <c r="A311" s="30">
        <f>A298</f>
        <v/>
      </c>
      <c r="B311" s="31" t="inlineStr">
        <is>
          <t>Чистовая</t>
        </is>
      </c>
      <c r="C311" s="31" t="inlineStr">
        <is>
          <t>8.2.7</t>
        </is>
      </c>
      <c r="D311" s="32" t="inlineStr">
        <is>
          <t>Паркинг и рампы надзем.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A298+7</f>
        <v/>
      </c>
      <c r="B312" s="31" t="inlineStr">
        <is>
          <t>Черновая</t>
        </is>
      </c>
      <c r="C312" s="31" t="inlineStr">
        <is>
          <t>8.2.1</t>
        </is>
      </c>
      <c r="D312" s="32" t="inlineStr">
        <is>
          <t>Отделка лобби/гранд-лобби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 ht="30" customHeight="1" s="74">
      <c r="A313" s="30">
        <f>A312</f>
        <v/>
      </c>
      <c r="B313" s="31" t="inlineStr">
        <is>
          <t>Черновая</t>
        </is>
      </c>
      <c r="C313" s="31" t="inlineStr">
        <is>
          <t>8.2.2</t>
        </is>
      </c>
      <c r="D313" s="32" t="inlineStr">
        <is>
          <t>Отделка эвакуац. лестн. клетки надзем.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A312</f>
        <v/>
      </c>
      <c r="B314" s="31" t="inlineStr">
        <is>
          <t>Черновая</t>
        </is>
      </c>
      <c r="C314" s="31" t="inlineStr">
        <is>
          <t>8.2.3</t>
        </is>
      </c>
      <c r="D314" s="32" t="inlineStr">
        <is>
          <t>Лифт. холлы, тамбур-шлюзы надзем.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A312</f>
        <v/>
      </c>
      <c r="B315" s="31" t="inlineStr">
        <is>
          <t>Черновая</t>
        </is>
      </c>
      <c r="C315" s="31" t="inlineStr">
        <is>
          <t>8.2.4</t>
        </is>
      </c>
      <c r="D315" s="32" t="inlineStr">
        <is>
          <t>Технич. помещения надзем.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A312</f>
        <v/>
      </c>
      <c r="B316" s="31" t="inlineStr">
        <is>
          <t>Черновая</t>
        </is>
      </c>
      <c r="C316" s="31" t="inlineStr">
        <is>
          <t>8.2.5</t>
        </is>
      </c>
      <c r="D316" s="32" t="inlineStr">
        <is>
          <t>Прочие помещения надзем.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>
      <c r="A317" s="30">
        <f>A312</f>
        <v/>
      </c>
      <c r="B317" s="31" t="inlineStr">
        <is>
          <t>Черновая</t>
        </is>
      </c>
      <c r="C317" s="31" t="inlineStr">
        <is>
          <t>8.2.6</t>
        </is>
      </c>
      <c r="D317" s="32" t="inlineStr">
        <is>
          <t>Коммерч. помещения надзем.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A312</f>
        <v/>
      </c>
      <c r="B318" s="31" t="inlineStr">
        <is>
          <t>Черновая</t>
        </is>
      </c>
      <c r="C318" s="31" t="inlineStr">
        <is>
          <t>8.2.7</t>
        </is>
      </c>
      <c r="D318" s="32" t="inlineStr">
        <is>
          <t>Паркинг и рампы надзем.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A312</f>
        <v/>
      </c>
      <c r="B319" s="31" t="inlineStr">
        <is>
          <t>Чистовая</t>
        </is>
      </c>
      <c r="C319" s="31" t="inlineStr">
        <is>
          <t>8.2.1</t>
        </is>
      </c>
      <c r="D319" s="32" t="inlineStr">
        <is>
          <t>Отделка лобби/гранд-лобби</t>
        </is>
      </c>
      <c r="E319" s="33" t="n"/>
      <c r="F319" s="33" t="n"/>
      <c r="G319" s="33" t="n"/>
      <c r="H319" s="33" t="n"/>
      <c r="I319" s="34">
        <f>COUNTA(E319:H319)&amp;"/4"</f>
        <v/>
      </c>
    </row>
    <row r="320" ht="30" customHeight="1" s="74">
      <c r="A320" s="30">
        <f>A312</f>
        <v/>
      </c>
      <c r="B320" s="31" t="inlineStr">
        <is>
          <t>Чистовая</t>
        </is>
      </c>
      <c r="C320" s="31" t="inlineStr">
        <is>
          <t>8.2.2</t>
        </is>
      </c>
      <c r="D320" s="32" t="inlineStr">
        <is>
          <t>Отделка эвакуац. лестн. клетки надзем.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A312</f>
        <v/>
      </c>
      <c r="B321" s="31" t="inlineStr">
        <is>
          <t>Чистовая</t>
        </is>
      </c>
      <c r="C321" s="31" t="inlineStr">
        <is>
          <t>8.2.3</t>
        </is>
      </c>
      <c r="D321" s="32" t="inlineStr">
        <is>
          <t>Лифт. холлы, тамбур-шлюзы надзем.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A312</f>
        <v/>
      </c>
      <c r="B322" s="31" t="inlineStr">
        <is>
          <t>Чистовая</t>
        </is>
      </c>
      <c r="C322" s="31" t="inlineStr">
        <is>
          <t>8.2.4</t>
        </is>
      </c>
      <c r="D322" s="32" t="inlineStr">
        <is>
          <t>Технич. помещения надзем.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>
      <c r="A323" s="30">
        <f>A312</f>
        <v/>
      </c>
      <c r="B323" s="31" t="inlineStr">
        <is>
          <t>Чистовая</t>
        </is>
      </c>
      <c r="C323" s="31" t="inlineStr">
        <is>
          <t>8.2.5</t>
        </is>
      </c>
      <c r="D323" s="32" t="inlineStr">
        <is>
          <t>Прочие помещения надзем.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A312</f>
        <v/>
      </c>
      <c r="B324" s="31" t="inlineStr">
        <is>
          <t>Чистовая</t>
        </is>
      </c>
      <c r="C324" s="31" t="inlineStr">
        <is>
          <t>8.2.6</t>
        </is>
      </c>
      <c r="D324" s="32" t="inlineStr">
        <is>
          <t>Коммерч. помещения надзем.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A312</f>
        <v/>
      </c>
      <c r="B325" s="31" t="inlineStr">
        <is>
          <t>Чистовая</t>
        </is>
      </c>
      <c r="C325" s="31" t="inlineStr">
        <is>
          <t>8.2.7</t>
        </is>
      </c>
      <c r="D325" s="32" t="inlineStr">
        <is>
          <t>Паркинг и рампы надзем.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A312+7</f>
        <v/>
      </c>
      <c r="B326" s="31" t="inlineStr">
        <is>
          <t>Черновая</t>
        </is>
      </c>
      <c r="C326" s="31" t="inlineStr">
        <is>
          <t>8.2.1</t>
        </is>
      </c>
      <c r="D326" s="32" t="inlineStr">
        <is>
          <t>Отделка лобби/гранд-лобби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 ht="30" customHeight="1" s="74">
      <c r="A327" s="30">
        <f>A326</f>
        <v/>
      </c>
      <c r="B327" s="31" t="inlineStr">
        <is>
          <t>Черновая</t>
        </is>
      </c>
      <c r="C327" s="31" t="inlineStr">
        <is>
          <t>8.2.2</t>
        </is>
      </c>
      <c r="D327" s="32" t="inlineStr">
        <is>
          <t>Отделка эвакуац. лестн. клетки надзем.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A326</f>
        <v/>
      </c>
      <c r="B328" s="31" t="inlineStr">
        <is>
          <t>Черновая</t>
        </is>
      </c>
      <c r="C328" s="31" t="inlineStr">
        <is>
          <t>8.2.3</t>
        </is>
      </c>
      <c r="D328" s="32" t="inlineStr">
        <is>
          <t>Лифт. холлы, тамбур-шлюзы надзем.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>
      <c r="A329" s="30">
        <f>A326</f>
        <v/>
      </c>
      <c r="B329" s="31" t="inlineStr">
        <is>
          <t>Черновая</t>
        </is>
      </c>
      <c r="C329" s="31" t="inlineStr">
        <is>
          <t>8.2.4</t>
        </is>
      </c>
      <c r="D329" s="32" t="inlineStr">
        <is>
          <t>Технич. помещения надзем.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A326</f>
        <v/>
      </c>
      <c r="B330" s="31" t="inlineStr">
        <is>
          <t>Черновая</t>
        </is>
      </c>
      <c r="C330" s="31" t="inlineStr">
        <is>
          <t>8.2.5</t>
        </is>
      </c>
      <c r="D330" s="32" t="inlineStr">
        <is>
          <t>Прочие помещения надзем.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A326</f>
        <v/>
      </c>
      <c r="B331" s="31" t="inlineStr">
        <is>
          <t>Черновая</t>
        </is>
      </c>
      <c r="C331" s="31" t="inlineStr">
        <is>
          <t>8.2.6</t>
        </is>
      </c>
      <c r="D331" s="32" t="inlineStr">
        <is>
          <t>Коммерч. помещения надзем.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A326</f>
        <v/>
      </c>
      <c r="B332" s="31" t="inlineStr">
        <is>
          <t>Черновая</t>
        </is>
      </c>
      <c r="C332" s="31" t="inlineStr">
        <is>
          <t>8.2.7</t>
        </is>
      </c>
      <c r="D332" s="32" t="inlineStr">
        <is>
          <t>Паркинг и рампы надзем.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A326</f>
        <v/>
      </c>
      <c r="B333" s="31" t="inlineStr">
        <is>
          <t>Чистовая</t>
        </is>
      </c>
      <c r="C333" s="31" t="inlineStr">
        <is>
          <t>8.2.1</t>
        </is>
      </c>
      <c r="D333" s="32" t="inlineStr">
        <is>
          <t>Отделка лобби/гранд-лобби</t>
        </is>
      </c>
      <c r="E333" s="33" t="n"/>
      <c r="F333" s="33" t="n"/>
      <c r="G333" s="33" t="n"/>
      <c r="H333" s="33" t="n"/>
      <c r="I333" s="34">
        <f>COUNTA(E333:H333)&amp;"/4"</f>
        <v/>
      </c>
    </row>
    <row r="334" ht="30" customHeight="1" s="74">
      <c r="A334" s="30">
        <f>A326</f>
        <v/>
      </c>
      <c r="B334" s="31" t="inlineStr">
        <is>
          <t>Чистовая</t>
        </is>
      </c>
      <c r="C334" s="31" t="inlineStr">
        <is>
          <t>8.2.2</t>
        </is>
      </c>
      <c r="D334" s="32" t="inlineStr">
        <is>
          <t>Отделка эвакуац. лестн. клетки надзем.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>
      <c r="A335" s="30">
        <f>A326</f>
        <v/>
      </c>
      <c r="B335" s="31" t="inlineStr">
        <is>
          <t>Чистовая</t>
        </is>
      </c>
      <c r="C335" s="31" t="inlineStr">
        <is>
          <t>8.2.3</t>
        </is>
      </c>
      <c r="D335" s="32" t="inlineStr">
        <is>
          <t>Лифт. холлы, тамбур-шлюзы надзем.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A326</f>
        <v/>
      </c>
      <c r="B336" s="31" t="inlineStr">
        <is>
          <t>Чистовая</t>
        </is>
      </c>
      <c r="C336" s="31" t="inlineStr">
        <is>
          <t>8.2.4</t>
        </is>
      </c>
      <c r="D336" s="32" t="inlineStr">
        <is>
          <t>Технич. помещения надзем.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A326</f>
        <v/>
      </c>
      <c r="B337" s="31" t="inlineStr">
        <is>
          <t>Чистовая</t>
        </is>
      </c>
      <c r="C337" s="31" t="inlineStr">
        <is>
          <t>8.2.5</t>
        </is>
      </c>
      <c r="D337" s="32" t="inlineStr">
        <is>
          <t>Прочие помещения надзем.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A326</f>
        <v/>
      </c>
      <c r="B338" s="31" t="inlineStr">
        <is>
          <t>Чистовая</t>
        </is>
      </c>
      <c r="C338" s="31" t="inlineStr">
        <is>
          <t>8.2.6</t>
        </is>
      </c>
      <c r="D338" s="32" t="inlineStr">
        <is>
          <t>Коммерч. помещения надзем.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A326</f>
        <v/>
      </c>
      <c r="B339" s="31" t="inlineStr">
        <is>
          <t>Чистовая</t>
        </is>
      </c>
      <c r="C339" s="31" t="inlineStr">
        <is>
          <t>8.2.7</t>
        </is>
      </c>
      <c r="D339" s="32" t="inlineStr">
        <is>
          <t>Паркинг и рампы надзем.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A326+7</f>
        <v/>
      </c>
      <c r="B340" s="31" t="inlineStr">
        <is>
          <t>Черновая</t>
        </is>
      </c>
      <c r="C340" s="31" t="inlineStr">
        <is>
          <t>8.2.1</t>
        </is>
      </c>
      <c r="D340" s="32" t="inlineStr">
        <is>
          <t>Отделка лобби/гранд-лобби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8.2.2</t>
        </is>
      </c>
      <c r="D341" s="32" t="inlineStr">
        <is>
          <t>Отделка эвакуац. лестн. клетки надзем.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8.2.3</t>
        </is>
      </c>
      <c r="D342" s="32" t="inlineStr">
        <is>
          <t>Лифт. холлы, тамбур-шлюзы надзем.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8.2.4</t>
        </is>
      </c>
      <c r="D343" s="32" t="inlineStr">
        <is>
          <t>Технич. помещения надзем.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8.2.5</t>
        </is>
      </c>
      <c r="D344" s="32" t="inlineStr">
        <is>
          <t>Прочие помещения надзем.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8.2.6</t>
        </is>
      </c>
      <c r="D345" s="32" t="inlineStr">
        <is>
          <t>Коммерч. помещения надзем.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Черновая</t>
        </is>
      </c>
      <c r="C346" s="31" t="inlineStr">
        <is>
          <t>8.2.7</t>
        </is>
      </c>
      <c r="D346" s="32" t="inlineStr">
        <is>
          <t>Паркинг и рампы надзем.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>
      <c r="A347" s="30">
        <f>A340</f>
        <v/>
      </c>
      <c r="B347" s="31" t="inlineStr">
        <is>
          <t>Чистовая</t>
        </is>
      </c>
      <c r="C347" s="31" t="inlineStr">
        <is>
          <t>8.2.1</t>
        </is>
      </c>
      <c r="D347" s="32" t="inlineStr">
        <is>
          <t>Отделка лобби/гранд-лобби</t>
        </is>
      </c>
      <c r="E347" s="33" t="n"/>
      <c r="F347" s="33" t="n"/>
      <c r="G347" s="33" t="n"/>
      <c r="H347" s="33" t="n"/>
      <c r="I347" s="34">
        <f>COUNTA(E347:H347)&amp;"/4"</f>
        <v/>
      </c>
    </row>
    <row r="348" ht="30" customHeight="1" s="74">
      <c r="A348" s="30">
        <f>A340</f>
        <v/>
      </c>
      <c r="B348" s="31" t="inlineStr">
        <is>
          <t>Чистовая</t>
        </is>
      </c>
      <c r="C348" s="31" t="inlineStr">
        <is>
          <t>8.2.2</t>
        </is>
      </c>
      <c r="D348" s="32" t="inlineStr">
        <is>
          <t>Отделка эвакуац. лестн. клетки надзем.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8.2.3</t>
        </is>
      </c>
      <c r="D349" s="32" t="inlineStr">
        <is>
          <t>Лифт. холлы, тамбур-шлюзы надзем.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8.2.4</t>
        </is>
      </c>
      <c r="D350" s="32" t="inlineStr">
        <is>
          <t>Технич. помещения надзем.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8.2.5</t>
        </is>
      </c>
      <c r="D351" s="32" t="inlineStr">
        <is>
          <t>Прочие помещения надзем.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</f>
        <v/>
      </c>
      <c r="B352" s="31" t="inlineStr">
        <is>
          <t>Чистовая</t>
        </is>
      </c>
      <c r="C352" s="31" t="inlineStr">
        <is>
          <t>8.2.6</t>
        </is>
      </c>
      <c r="D352" s="32" t="inlineStr">
        <is>
          <t>Коммерч. помещения надзем.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>
      <c r="A353" s="30">
        <f>A340</f>
        <v/>
      </c>
      <c r="B353" s="31" t="inlineStr">
        <is>
          <t>Чистовая</t>
        </is>
      </c>
      <c r="C353" s="31" t="inlineStr">
        <is>
          <t>8.2.7</t>
        </is>
      </c>
      <c r="D353" s="32" t="inlineStr">
        <is>
          <t>Паркинг и рампы надзем.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A340+7</f>
        <v/>
      </c>
      <c r="B354" s="31" t="inlineStr">
        <is>
          <t>Черновая</t>
        </is>
      </c>
      <c r="C354" s="31" t="inlineStr">
        <is>
          <t>8.2.1</t>
        </is>
      </c>
      <c r="D354" s="32" t="inlineStr">
        <is>
          <t>Отделка лобби/гранд-лобби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 ht="30" customHeight="1" s="74">
      <c r="A355" s="30">
        <f>A354</f>
        <v/>
      </c>
      <c r="B355" s="31" t="inlineStr">
        <is>
          <t>Черновая</t>
        </is>
      </c>
      <c r="C355" s="31" t="inlineStr">
        <is>
          <t>8.2.2</t>
        </is>
      </c>
      <c r="D355" s="32" t="inlineStr">
        <is>
          <t>Отделка эвакуац. лестн. клетки надзем.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A354</f>
        <v/>
      </c>
      <c r="B356" s="31" t="inlineStr">
        <is>
          <t>Черновая</t>
        </is>
      </c>
      <c r="C356" s="31" t="inlineStr">
        <is>
          <t>8.2.3</t>
        </is>
      </c>
      <c r="D356" s="32" t="inlineStr">
        <is>
          <t>Лифт. холлы, тамбур-шлюзы надзем.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A354</f>
        <v/>
      </c>
      <c r="B357" s="31" t="inlineStr">
        <is>
          <t>Черновая</t>
        </is>
      </c>
      <c r="C357" s="31" t="inlineStr">
        <is>
          <t>8.2.4</t>
        </is>
      </c>
      <c r="D357" s="32" t="inlineStr">
        <is>
          <t>Технич. помещения надзем.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A354</f>
        <v/>
      </c>
      <c r="B358" s="31" t="inlineStr">
        <is>
          <t>Черновая</t>
        </is>
      </c>
      <c r="C358" s="31" t="inlineStr">
        <is>
          <t>8.2.5</t>
        </is>
      </c>
      <c r="D358" s="32" t="inlineStr">
        <is>
          <t>Прочие помещения надзем.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>
      <c r="A359" s="30">
        <f>A354</f>
        <v/>
      </c>
      <c r="B359" s="31" t="inlineStr">
        <is>
          <t>Черновая</t>
        </is>
      </c>
      <c r="C359" s="31" t="inlineStr">
        <is>
          <t>8.2.6</t>
        </is>
      </c>
      <c r="D359" s="32" t="inlineStr">
        <is>
          <t>Коммерч. помещения надзем.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A354</f>
        <v/>
      </c>
      <c r="B360" s="31" t="inlineStr">
        <is>
          <t>Черновая</t>
        </is>
      </c>
      <c r="C360" s="31" t="inlineStr">
        <is>
          <t>8.2.7</t>
        </is>
      </c>
      <c r="D360" s="32" t="inlineStr">
        <is>
          <t>Паркинг и рампы надзем.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A354</f>
        <v/>
      </c>
      <c r="B361" s="31" t="inlineStr">
        <is>
          <t>Чистовая</t>
        </is>
      </c>
      <c r="C361" s="31" t="inlineStr">
        <is>
          <t>8.2.1</t>
        </is>
      </c>
      <c r="D361" s="32" t="inlineStr">
        <is>
          <t>Отделка лобби/гранд-лобби</t>
        </is>
      </c>
      <c r="E361" s="33" t="n"/>
      <c r="F361" s="33" t="n"/>
      <c r="G361" s="33" t="n"/>
      <c r="H361" s="33" t="n"/>
      <c r="I361" s="34">
        <f>COUNTA(E361:H361)&amp;"/4"</f>
        <v/>
      </c>
    </row>
    <row r="362" ht="30" customHeight="1" s="74">
      <c r="A362" s="30">
        <f>A354</f>
        <v/>
      </c>
      <c r="B362" s="31" t="inlineStr">
        <is>
          <t>Чистовая</t>
        </is>
      </c>
      <c r="C362" s="31" t="inlineStr">
        <is>
          <t>8.2.2</t>
        </is>
      </c>
      <c r="D362" s="32" t="inlineStr">
        <is>
          <t>Отделка эвакуац. лестн. клетки надзем.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A354</f>
        <v/>
      </c>
      <c r="B363" s="31" t="inlineStr">
        <is>
          <t>Чистовая</t>
        </is>
      </c>
      <c r="C363" s="31" t="inlineStr">
        <is>
          <t>8.2.3</t>
        </is>
      </c>
      <c r="D363" s="32" t="inlineStr">
        <is>
          <t>Лифт. холлы, тамбур-шлюзы надзем.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A354</f>
        <v/>
      </c>
      <c r="B364" s="31" t="inlineStr">
        <is>
          <t>Чистовая</t>
        </is>
      </c>
      <c r="C364" s="31" t="inlineStr">
        <is>
          <t>8.2.4</t>
        </is>
      </c>
      <c r="D364" s="32" t="inlineStr">
        <is>
          <t>Технич. помещения надзем.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>
      <c r="A365" s="30">
        <f>A354</f>
        <v/>
      </c>
      <c r="B365" s="31" t="inlineStr">
        <is>
          <t>Чистовая</t>
        </is>
      </c>
      <c r="C365" s="31" t="inlineStr">
        <is>
          <t>8.2.5</t>
        </is>
      </c>
      <c r="D365" s="32" t="inlineStr">
        <is>
          <t>Прочие помещения надзем.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A354</f>
        <v/>
      </c>
      <c r="B366" s="31" t="inlineStr">
        <is>
          <t>Чистовая</t>
        </is>
      </c>
      <c r="C366" s="31" t="inlineStr">
        <is>
          <t>8.2.6</t>
        </is>
      </c>
      <c r="D366" s="32" t="inlineStr">
        <is>
          <t>Коммерч. помещения надзем.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A354</f>
        <v/>
      </c>
      <c r="B367" s="31" t="inlineStr">
        <is>
          <t>Чистовая</t>
        </is>
      </c>
      <c r="C367" s="31" t="inlineStr">
        <is>
          <t>8.2.7</t>
        </is>
      </c>
      <c r="D367" s="32" t="inlineStr">
        <is>
          <t>Паркинг и рампы надзем.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A354+7</f>
        <v/>
      </c>
      <c r="B368" s="31" t="inlineStr">
        <is>
          <t>Черновая</t>
        </is>
      </c>
      <c r="C368" s="31" t="inlineStr">
        <is>
          <t>8.2.1</t>
        </is>
      </c>
      <c r="D368" s="32" t="inlineStr">
        <is>
          <t>Отделка лобби/гранд-лобби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 ht="30" customHeight="1" s="74">
      <c r="A369" s="30">
        <f>A368</f>
        <v/>
      </c>
      <c r="B369" s="31" t="inlineStr">
        <is>
          <t>Черновая</t>
        </is>
      </c>
      <c r="C369" s="31" t="inlineStr">
        <is>
          <t>8.2.2</t>
        </is>
      </c>
      <c r="D369" s="32" t="inlineStr">
        <is>
          <t>Отделка эвакуац. лестн. клетки надзем.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A368</f>
        <v/>
      </c>
      <c r="B370" s="31" t="inlineStr">
        <is>
          <t>Черновая</t>
        </is>
      </c>
      <c r="C370" s="31" t="inlineStr">
        <is>
          <t>8.2.3</t>
        </is>
      </c>
      <c r="D370" s="32" t="inlineStr">
        <is>
          <t>Лифт. холлы, тамбур-шлюзы надзем.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>
      <c r="A371" s="30">
        <f>A368</f>
        <v/>
      </c>
      <c r="B371" s="31" t="inlineStr">
        <is>
          <t>Черновая</t>
        </is>
      </c>
      <c r="C371" s="31" t="inlineStr">
        <is>
          <t>8.2.4</t>
        </is>
      </c>
      <c r="D371" s="32" t="inlineStr">
        <is>
          <t>Технич. помещения надзем.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A368</f>
        <v/>
      </c>
      <c r="B372" s="31" t="inlineStr">
        <is>
          <t>Черновая</t>
        </is>
      </c>
      <c r="C372" s="31" t="inlineStr">
        <is>
          <t>8.2.5</t>
        </is>
      </c>
      <c r="D372" s="32" t="inlineStr">
        <is>
          <t>Прочие помещения надзем.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A368</f>
        <v/>
      </c>
      <c r="B373" s="31" t="inlineStr">
        <is>
          <t>Черновая</t>
        </is>
      </c>
      <c r="C373" s="31" t="inlineStr">
        <is>
          <t>8.2.6</t>
        </is>
      </c>
      <c r="D373" s="32" t="inlineStr">
        <is>
          <t>Коммерч. помещения надзем.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A368</f>
        <v/>
      </c>
      <c r="B374" s="31" t="inlineStr">
        <is>
          <t>Черновая</t>
        </is>
      </c>
      <c r="C374" s="31" t="inlineStr">
        <is>
          <t>8.2.7</t>
        </is>
      </c>
      <c r="D374" s="32" t="inlineStr">
        <is>
          <t>Паркинг и рампы надзем.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A368</f>
        <v/>
      </c>
      <c r="B375" s="31" t="inlineStr">
        <is>
          <t>Чистовая</t>
        </is>
      </c>
      <c r="C375" s="31" t="inlineStr">
        <is>
          <t>8.2.1</t>
        </is>
      </c>
      <c r="D375" s="32" t="inlineStr">
        <is>
          <t>Отделка лобби/гранд-лобби</t>
        </is>
      </c>
      <c r="E375" s="33" t="n"/>
      <c r="F375" s="33" t="n"/>
      <c r="G375" s="33" t="n"/>
      <c r="H375" s="33" t="n"/>
      <c r="I375" s="34">
        <f>COUNTA(E375:H375)&amp;"/4"</f>
        <v/>
      </c>
    </row>
    <row r="376" ht="30" customHeight="1" s="74">
      <c r="A376" s="30">
        <f>A368</f>
        <v/>
      </c>
      <c r="B376" s="31" t="inlineStr">
        <is>
          <t>Чистовая</t>
        </is>
      </c>
      <c r="C376" s="31" t="inlineStr">
        <is>
          <t>8.2.2</t>
        </is>
      </c>
      <c r="D376" s="32" t="inlineStr">
        <is>
          <t>Отделка эвакуац. лестн. клетки надзем.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>
      <c r="A377" s="30">
        <f>A368</f>
        <v/>
      </c>
      <c r="B377" s="31" t="inlineStr">
        <is>
          <t>Чистовая</t>
        </is>
      </c>
      <c r="C377" s="31" t="inlineStr">
        <is>
          <t>8.2.3</t>
        </is>
      </c>
      <c r="D377" s="32" t="inlineStr">
        <is>
          <t>Лифт. холлы, тамбур-шлюзы надзем.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A368</f>
        <v/>
      </c>
      <c r="B378" s="31" t="inlineStr">
        <is>
          <t>Чистовая</t>
        </is>
      </c>
      <c r="C378" s="31" t="inlineStr">
        <is>
          <t>8.2.4</t>
        </is>
      </c>
      <c r="D378" s="32" t="inlineStr">
        <is>
          <t>Технич. помещения надзем.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A368</f>
        <v/>
      </c>
      <c r="B379" s="31" t="inlineStr">
        <is>
          <t>Чистовая</t>
        </is>
      </c>
      <c r="C379" s="31" t="inlineStr">
        <is>
          <t>8.2.5</t>
        </is>
      </c>
      <c r="D379" s="32" t="inlineStr">
        <is>
          <t>Прочие помещения надзем.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A368</f>
        <v/>
      </c>
      <c r="B380" s="31" t="inlineStr">
        <is>
          <t>Чистовая</t>
        </is>
      </c>
      <c r="C380" s="31" t="inlineStr">
        <is>
          <t>8.2.6</t>
        </is>
      </c>
      <c r="D380" s="32" t="inlineStr">
        <is>
          <t>Коммерч. помещения надзем.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A368</f>
        <v/>
      </c>
      <c r="B381" s="31" t="inlineStr">
        <is>
          <t>Чистовая</t>
        </is>
      </c>
      <c r="C381" s="31" t="inlineStr">
        <is>
          <t>8.2.7</t>
        </is>
      </c>
      <c r="D381" s="32" t="inlineStr">
        <is>
          <t>Паркинг и рампы надзем.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A368+7</f>
        <v/>
      </c>
      <c r="B382" s="31" t="inlineStr">
        <is>
          <t>Черновая</t>
        </is>
      </c>
      <c r="C382" s="31" t="inlineStr">
        <is>
          <t>8.2.1</t>
        </is>
      </c>
      <c r="D382" s="32" t="inlineStr">
        <is>
          <t>Отделка лобби/гранд-лобби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A382</f>
        <v/>
      </c>
      <c r="B383" s="31" t="inlineStr">
        <is>
          <t>Черновая</t>
        </is>
      </c>
      <c r="C383" s="31" t="inlineStr">
        <is>
          <t>8.2.2</t>
        </is>
      </c>
      <c r="D383" s="32" t="inlineStr">
        <is>
          <t>Отделка эвакуац. лестн. клетки надзем.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A382</f>
        <v/>
      </c>
      <c r="B384" s="31" t="inlineStr">
        <is>
          <t>Черновая</t>
        </is>
      </c>
      <c r="C384" s="31" t="inlineStr">
        <is>
          <t>8.2.3</t>
        </is>
      </c>
      <c r="D384" s="32" t="inlineStr">
        <is>
          <t>Лифт. холлы, тамбур-шлюзы надзем.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A382</f>
        <v/>
      </c>
      <c r="B385" s="31" t="inlineStr">
        <is>
          <t>Черновая</t>
        </is>
      </c>
      <c r="C385" s="31" t="inlineStr">
        <is>
          <t>8.2.4</t>
        </is>
      </c>
      <c r="D385" s="32" t="inlineStr">
        <is>
          <t>Технич. помещения надзем.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A382</f>
        <v/>
      </c>
      <c r="B386" s="31" t="inlineStr">
        <is>
          <t>Черновая</t>
        </is>
      </c>
      <c r="C386" s="31" t="inlineStr">
        <is>
          <t>8.2.5</t>
        </is>
      </c>
      <c r="D386" s="32" t="inlineStr">
        <is>
          <t>Прочие помещения надзем.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A382</f>
        <v/>
      </c>
      <c r="B387" s="31" t="inlineStr">
        <is>
          <t>Черновая</t>
        </is>
      </c>
      <c r="C387" s="31" t="inlineStr">
        <is>
          <t>8.2.6</t>
        </is>
      </c>
      <c r="D387" s="32" t="inlineStr">
        <is>
          <t>Коммерч. помещения надзем.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A382</f>
        <v/>
      </c>
      <c r="B388" s="31" t="inlineStr">
        <is>
          <t>Черновая</t>
        </is>
      </c>
      <c r="C388" s="31" t="inlineStr">
        <is>
          <t>8.2.7</t>
        </is>
      </c>
      <c r="D388" s="32" t="inlineStr">
        <is>
          <t>Паркинг и рампы надзем.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>
      <c r="A389" s="30">
        <f>A382</f>
        <v/>
      </c>
      <c r="B389" s="31" t="inlineStr">
        <is>
          <t>Чистовая</t>
        </is>
      </c>
      <c r="C389" s="31" t="inlineStr">
        <is>
          <t>8.2.1</t>
        </is>
      </c>
      <c r="D389" s="32" t="inlineStr">
        <is>
          <t>Отделка лобби/гранд-лобби</t>
        </is>
      </c>
      <c r="E389" s="33" t="n"/>
      <c r="F389" s="33" t="n"/>
      <c r="G389" s="33" t="n"/>
      <c r="H389" s="33" t="n"/>
      <c r="I389" s="34">
        <f>COUNTA(E389:H389)&amp;"/4"</f>
        <v/>
      </c>
    </row>
    <row r="390" ht="30" customHeight="1" s="74">
      <c r="A390" s="30">
        <f>A382</f>
        <v/>
      </c>
      <c r="B390" s="31" t="inlineStr">
        <is>
          <t>Чистовая</t>
        </is>
      </c>
      <c r="C390" s="31" t="inlineStr">
        <is>
          <t>8.2.2</t>
        </is>
      </c>
      <c r="D390" s="32" t="inlineStr">
        <is>
          <t>Отделка эвакуац. лестн. клетки надзем.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A382</f>
        <v/>
      </c>
      <c r="B391" s="31" t="inlineStr">
        <is>
          <t>Чистовая</t>
        </is>
      </c>
      <c r="C391" s="31" t="inlineStr">
        <is>
          <t>8.2.3</t>
        </is>
      </c>
      <c r="D391" s="32" t="inlineStr">
        <is>
          <t>Лифт. холлы, тамбур-шлюзы надзем.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A382</f>
        <v/>
      </c>
      <c r="B392" s="31" t="inlineStr">
        <is>
          <t>Чистовая</t>
        </is>
      </c>
      <c r="C392" s="31" t="inlineStr">
        <is>
          <t>8.2.4</t>
        </is>
      </c>
      <c r="D392" s="32" t="inlineStr">
        <is>
          <t>Технич. помещения надзем.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A382</f>
        <v/>
      </c>
      <c r="B393" s="31" t="inlineStr">
        <is>
          <t>Чистовая</t>
        </is>
      </c>
      <c r="C393" s="31" t="inlineStr">
        <is>
          <t>8.2.5</t>
        </is>
      </c>
      <c r="D393" s="32" t="inlineStr">
        <is>
          <t>Прочие помещения надзем.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A382</f>
        <v/>
      </c>
      <c r="B394" s="31" t="inlineStr">
        <is>
          <t>Чистовая</t>
        </is>
      </c>
      <c r="C394" s="31" t="inlineStr">
        <is>
          <t>8.2.6</t>
        </is>
      </c>
      <c r="D394" s="32" t="inlineStr">
        <is>
          <t>Коммерч. помещения надзем.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>
      <c r="A395" s="30">
        <f>A382</f>
        <v/>
      </c>
      <c r="B395" s="31" t="inlineStr">
        <is>
          <t>Чистовая</t>
        </is>
      </c>
      <c r="C395" s="31" t="inlineStr">
        <is>
          <t>8.2.7</t>
        </is>
      </c>
      <c r="D395" s="32" t="inlineStr">
        <is>
          <t>Паркинг и рампы надзем.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A382+7</f>
        <v/>
      </c>
      <c r="B396" s="31" t="inlineStr">
        <is>
          <t>Черновая</t>
        </is>
      </c>
      <c r="C396" s="31" t="inlineStr">
        <is>
          <t>8.2.1</t>
        </is>
      </c>
      <c r="D396" s="32" t="inlineStr">
        <is>
          <t>Отделка лобби/гранд-лобби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 ht="30" customHeight="1" s="74">
      <c r="A397" s="30">
        <f>A396</f>
        <v/>
      </c>
      <c r="B397" s="31" t="inlineStr">
        <is>
          <t>Черновая</t>
        </is>
      </c>
      <c r="C397" s="31" t="inlineStr">
        <is>
          <t>8.2.2</t>
        </is>
      </c>
      <c r="D397" s="32" t="inlineStr">
        <is>
          <t>Отделка эвакуац. лестн. клетки надзем.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A396</f>
        <v/>
      </c>
      <c r="B398" s="31" t="inlineStr">
        <is>
          <t>Черновая</t>
        </is>
      </c>
      <c r="C398" s="31" t="inlineStr">
        <is>
          <t>8.2.3</t>
        </is>
      </c>
      <c r="D398" s="32" t="inlineStr">
        <is>
          <t>Лифт. холлы, тамбур-шлюзы надзем.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A396</f>
        <v/>
      </c>
      <c r="B399" s="31" t="inlineStr">
        <is>
          <t>Черновая</t>
        </is>
      </c>
      <c r="C399" s="31" t="inlineStr">
        <is>
          <t>8.2.4</t>
        </is>
      </c>
      <c r="D399" s="32" t="inlineStr">
        <is>
          <t>Технич. помещения надзем.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A396</f>
        <v/>
      </c>
      <c r="B400" s="31" t="inlineStr">
        <is>
          <t>Черновая</t>
        </is>
      </c>
      <c r="C400" s="31" t="inlineStr">
        <is>
          <t>8.2.5</t>
        </is>
      </c>
      <c r="D400" s="32" t="inlineStr">
        <is>
          <t>Прочие помещения надзем.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>
      <c r="A401" s="30">
        <f>A396</f>
        <v/>
      </c>
      <c r="B401" s="31" t="inlineStr">
        <is>
          <t>Черновая</t>
        </is>
      </c>
      <c r="C401" s="31" t="inlineStr">
        <is>
          <t>8.2.6</t>
        </is>
      </c>
      <c r="D401" s="32" t="inlineStr">
        <is>
          <t>Коммерч. помещения надзем.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A396</f>
        <v/>
      </c>
      <c r="B402" s="31" t="inlineStr">
        <is>
          <t>Черновая</t>
        </is>
      </c>
      <c r="C402" s="31" t="inlineStr">
        <is>
          <t>8.2.7</t>
        </is>
      </c>
      <c r="D402" s="32" t="inlineStr">
        <is>
          <t>Паркинг и рампы надзем.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A396</f>
        <v/>
      </c>
      <c r="B403" s="31" t="inlineStr">
        <is>
          <t>Чистовая</t>
        </is>
      </c>
      <c r="C403" s="31" t="inlineStr">
        <is>
          <t>8.2.1</t>
        </is>
      </c>
      <c r="D403" s="32" t="inlineStr">
        <is>
          <t>Отделка лобби/гранд-лобби</t>
        </is>
      </c>
      <c r="E403" s="33" t="n"/>
      <c r="F403" s="33" t="n"/>
      <c r="G403" s="33" t="n"/>
      <c r="H403" s="33" t="n"/>
      <c r="I403" s="34">
        <f>COUNTA(E403:H403)&amp;"/4"</f>
        <v/>
      </c>
    </row>
    <row r="404" ht="30" customHeight="1" s="74">
      <c r="A404" s="30">
        <f>A396</f>
        <v/>
      </c>
      <c r="B404" s="31" t="inlineStr">
        <is>
          <t>Чистовая</t>
        </is>
      </c>
      <c r="C404" s="31" t="inlineStr">
        <is>
          <t>8.2.2</t>
        </is>
      </c>
      <c r="D404" s="32" t="inlineStr">
        <is>
          <t>Отделка эвакуац. лестн. клетки надзем.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A396</f>
        <v/>
      </c>
      <c r="B405" s="31" t="inlineStr">
        <is>
          <t>Чистовая</t>
        </is>
      </c>
      <c r="C405" s="31" t="inlineStr">
        <is>
          <t>8.2.3</t>
        </is>
      </c>
      <c r="D405" s="32" t="inlineStr">
        <is>
          <t>Лифт. холлы, тамбур-шлюзы надзем.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A396</f>
        <v/>
      </c>
      <c r="B406" s="31" t="inlineStr">
        <is>
          <t>Чистовая</t>
        </is>
      </c>
      <c r="C406" s="31" t="inlineStr">
        <is>
          <t>8.2.4</t>
        </is>
      </c>
      <c r="D406" s="32" t="inlineStr">
        <is>
          <t>Технич. помещения надзем.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>
      <c r="A407" s="30">
        <f>A396</f>
        <v/>
      </c>
      <c r="B407" s="31" t="inlineStr">
        <is>
          <t>Чистовая</t>
        </is>
      </c>
      <c r="C407" s="31" t="inlineStr">
        <is>
          <t>8.2.5</t>
        </is>
      </c>
      <c r="D407" s="32" t="inlineStr">
        <is>
          <t>Прочие помещения надзем.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A396</f>
        <v/>
      </c>
      <c r="B408" s="31" t="inlineStr">
        <is>
          <t>Чистовая</t>
        </is>
      </c>
      <c r="C408" s="31" t="inlineStr">
        <is>
          <t>8.2.6</t>
        </is>
      </c>
      <c r="D408" s="32" t="inlineStr">
        <is>
          <t>Коммерч. помещения надзем.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A396</f>
        <v/>
      </c>
      <c r="B409" s="31" t="inlineStr">
        <is>
          <t>Чистовая</t>
        </is>
      </c>
      <c r="C409" s="31" t="inlineStr">
        <is>
          <t>8.2.7</t>
        </is>
      </c>
      <c r="D409" s="32" t="inlineStr">
        <is>
          <t>Паркинг и рампы надзем.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A396+7</f>
        <v/>
      </c>
      <c r="B410" s="31" t="inlineStr">
        <is>
          <t>Черновая</t>
        </is>
      </c>
      <c r="C410" s="31" t="inlineStr">
        <is>
          <t>8.2.1</t>
        </is>
      </c>
      <c r="D410" s="32" t="inlineStr">
        <is>
          <t>Отделка лобби/гранд-лобби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 ht="30" customHeight="1" s="74">
      <c r="A411" s="30">
        <f>A410</f>
        <v/>
      </c>
      <c r="B411" s="31" t="inlineStr">
        <is>
          <t>Черновая</t>
        </is>
      </c>
      <c r="C411" s="31" t="inlineStr">
        <is>
          <t>8.2.2</t>
        </is>
      </c>
      <c r="D411" s="32" t="inlineStr">
        <is>
          <t>Отделка эвакуац. лестн. клетки надзем.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A410</f>
        <v/>
      </c>
      <c r="B412" s="31" t="inlineStr">
        <is>
          <t>Черновая</t>
        </is>
      </c>
      <c r="C412" s="31" t="inlineStr">
        <is>
          <t>8.2.3</t>
        </is>
      </c>
      <c r="D412" s="32" t="inlineStr">
        <is>
          <t>Лифт. холлы, тамбур-шлюзы надзем.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>
      <c r="A413" s="30">
        <f>A410</f>
        <v/>
      </c>
      <c r="B413" s="31" t="inlineStr">
        <is>
          <t>Черновая</t>
        </is>
      </c>
      <c r="C413" s="31" t="inlineStr">
        <is>
          <t>8.2.4</t>
        </is>
      </c>
      <c r="D413" s="32" t="inlineStr">
        <is>
          <t>Технич. помещения надзем.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A410</f>
        <v/>
      </c>
      <c r="B414" s="31" t="inlineStr">
        <is>
          <t>Черновая</t>
        </is>
      </c>
      <c r="C414" s="31" t="inlineStr">
        <is>
          <t>8.2.5</t>
        </is>
      </c>
      <c r="D414" s="32" t="inlineStr">
        <is>
          <t>Прочие помещения надзем.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A410</f>
        <v/>
      </c>
      <c r="B415" s="31" t="inlineStr">
        <is>
          <t>Черновая</t>
        </is>
      </c>
      <c r="C415" s="31" t="inlineStr">
        <is>
          <t>8.2.6</t>
        </is>
      </c>
      <c r="D415" s="32" t="inlineStr">
        <is>
          <t>Коммерч. помещения надзем.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A410</f>
        <v/>
      </c>
      <c r="B416" s="31" t="inlineStr">
        <is>
          <t>Черновая</t>
        </is>
      </c>
      <c r="C416" s="31" t="inlineStr">
        <is>
          <t>8.2.7</t>
        </is>
      </c>
      <c r="D416" s="32" t="inlineStr">
        <is>
          <t>Паркинг и рампы надзем.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A410</f>
        <v/>
      </c>
      <c r="B417" s="31" t="inlineStr">
        <is>
          <t>Чистовая</t>
        </is>
      </c>
      <c r="C417" s="31" t="inlineStr">
        <is>
          <t>8.2.1</t>
        </is>
      </c>
      <c r="D417" s="32" t="inlineStr">
        <is>
          <t>Отделка лобби/гранд-лобби</t>
        </is>
      </c>
      <c r="E417" s="33" t="n"/>
      <c r="F417" s="33" t="n"/>
      <c r="G417" s="33" t="n"/>
      <c r="H417" s="33" t="n"/>
      <c r="I417" s="34">
        <f>COUNTA(E417:H417)&amp;"/4"</f>
        <v/>
      </c>
    </row>
    <row r="418" ht="30" customHeight="1" s="74">
      <c r="A418" s="30">
        <f>A410</f>
        <v/>
      </c>
      <c r="B418" s="31" t="inlineStr">
        <is>
          <t>Чистовая</t>
        </is>
      </c>
      <c r="C418" s="31" t="inlineStr">
        <is>
          <t>8.2.2</t>
        </is>
      </c>
      <c r="D418" s="32" t="inlineStr">
        <is>
          <t>Отделка эвакуац. лестн. клетки надзем.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>
      <c r="A419" s="30">
        <f>A410</f>
        <v/>
      </c>
      <c r="B419" s="31" t="inlineStr">
        <is>
          <t>Чистовая</t>
        </is>
      </c>
      <c r="C419" s="31" t="inlineStr">
        <is>
          <t>8.2.3</t>
        </is>
      </c>
      <c r="D419" s="32" t="inlineStr">
        <is>
          <t>Лифт. холлы, тамбур-шлюзы надзем.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A410</f>
        <v/>
      </c>
      <c r="B420" s="31" t="inlineStr">
        <is>
          <t>Чистовая</t>
        </is>
      </c>
      <c r="C420" s="31" t="inlineStr">
        <is>
          <t>8.2.4</t>
        </is>
      </c>
      <c r="D420" s="32" t="inlineStr">
        <is>
          <t>Технич. помещения надзем.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A410</f>
        <v/>
      </c>
      <c r="B421" s="31" t="inlineStr">
        <is>
          <t>Чистовая</t>
        </is>
      </c>
      <c r="C421" s="31" t="inlineStr">
        <is>
          <t>8.2.5</t>
        </is>
      </c>
      <c r="D421" s="32" t="inlineStr">
        <is>
          <t>Прочие помещения надзем.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A410</f>
        <v/>
      </c>
      <c r="B422" s="31" t="inlineStr">
        <is>
          <t>Чистовая</t>
        </is>
      </c>
      <c r="C422" s="31" t="inlineStr">
        <is>
          <t>8.2.6</t>
        </is>
      </c>
      <c r="D422" s="32" t="inlineStr">
        <is>
          <t>Коммерч. помещения надзем.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A410</f>
        <v/>
      </c>
      <c r="B423" s="31" t="inlineStr">
        <is>
          <t>Чистовая</t>
        </is>
      </c>
      <c r="C423" s="31" t="inlineStr">
        <is>
          <t>8.2.7</t>
        </is>
      </c>
      <c r="D423" s="32" t="inlineStr">
        <is>
          <t>Паркинг и рампы надзем.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A410+7</f>
        <v/>
      </c>
      <c r="B424" s="31" t="inlineStr">
        <is>
          <t>Черновая</t>
        </is>
      </c>
      <c r="C424" s="31" t="inlineStr">
        <is>
          <t>8.2.1</t>
        </is>
      </c>
      <c r="D424" s="32" t="inlineStr">
        <is>
          <t>Отделка лобби/гранд-лобби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8.2.2</t>
        </is>
      </c>
      <c r="D425" s="32" t="inlineStr">
        <is>
          <t>Отделка эвакуац. лестн. клетки надзем.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8.2.3</t>
        </is>
      </c>
      <c r="D426" s="32" t="inlineStr">
        <is>
          <t>Лифт. холлы, тамбур-шлюзы надзем.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8.2.4</t>
        </is>
      </c>
      <c r="D427" s="32" t="inlineStr">
        <is>
          <t>Технич. помещения надзем.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8.2.5</t>
        </is>
      </c>
      <c r="D428" s="32" t="inlineStr">
        <is>
          <t>Прочие помещения надзем.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8.2.6</t>
        </is>
      </c>
      <c r="D429" s="32" t="inlineStr">
        <is>
          <t>Коммерч. помещения надзем.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Черновая</t>
        </is>
      </c>
      <c r="C430" s="31" t="inlineStr">
        <is>
          <t>8.2.7</t>
        </is>
      </c>
      <c r="D430" s="32" t="inlineStr">
        <is>
          <t>Паркинг и рампы надзем.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>
      <c r="A431" s="30">
        <f>A424</f>
        <v/>
      </c>
      <c r="B431" s="31" t="inlineStr">
        <is>
          <t>Чистовая</t>
        </is>
      </c>
      <c r="C431" s="31" t="inlineStr">
        <is>
          <t>8.2.1</t>
        </is>
      </c>
      <c r="D431" s="32" t="inlineStr">
        <is>
          <t>Отделка лобби/гранд-лобби</t>
        </is>
      </c>
      <c r="E431" s="33" t="n"/>
      <c r="F431" s="33" t="n"/>
      <c r="G431" s="33" t="n"/>
      <c r="H431" s="33" t="n"/>
      <c r="I431" s="34">
        <f>COUNTA(E431:H431)&amp;"/4"</f>
        <v/>
      </c>
    </row>
    <row r="432" ht="30" customHeight="1" s="74">
      <c r="A432" s="30">
        <f>A424</f>
        <v/>
      </c>
      <c r="B432" s="31" t="inlineStr">
        <is>
          <t>Чистовая</t>
        </is>
      </c>
      <c r="C432" s="31" t="inlineStr">
        <is>
          <t>8.2.2</t>
        </is>
      </c>
      <c r="D432" s="32" t="inlineStr">
        <is>
          <t>Отделка эвакуац. лестн. клетки надзем.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8.2.3</t>
        </is>
      </c>
      <c r="D433" s="32" t="inlineStr">
        <is>
          <t>Лифт. холлы, тамбур-шлюзы надзем.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8.2.4</t>
        </is>
      </c>
      <c r="D434" s="32" t="inlineStr">
        <is>
          <t>Технич. помещения надзем.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8.2.5</t>
        </is>
      </c>
      <c r="D435" s="32" t="inlineStr">
        <is>
          <t>Прочие помещения надзем.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</f>
        <v/>
      </c>
      <c r="B436" s="31" t="inlineStr">
        <is>
          <t>Чистовая</t>
        </is>
      </c>
      <c r="C436" s="31" t="inlineStr">
        <is>
          <t>8.2.6</t>
        </is>
      </c>
      <c r="D436" s="32" t="inlineStr">
        <is>
          <t>Коммерч. помещения надзем.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>
      <c r="A437" s="30">
        <f>A424</f>
        <v/>
      </c>
      <c r="B437" s="31" t="inlineStr">
        <is>
          <t>Чистовая</t>
        </is>
      </c>
      <c r="C437" s="31" t="inlineStr">
        <is>
          <t>8.2.7</t>
        </is>
      </c>
      <c r="D437" s="32" t="inlineStr">
        <is>
          <t>Паркинг и рампы надзем.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A424+7</f>
        <v/>
      </c>
      <c r="B438" s="31" t="inlineStr">
        <is>
          <t>Черновая</t>
        </is>
      </c>
      <c r="C438" s="31" t="inlineStr">
        <is>
          <t>8.2.1</t>
        </is>
      </c>
      <c r="D438" s="32" t="inlineStr">
        <is>
          <t>Отделка лобби/гранд-лобби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 ht="30" customHeight="1" s="74">
      <c r="A439" s="30">
        <f>A438</f>
        <v/>
      </c>
      <c r="B439" s="31" t="inlineStr">
        <is>
          <t>Черновая</t>
        </is>
      </c>
      <c r="C439" s="31" t="inlineStr">
        <is>
          <t>8.2.2</t>
        </is>
      </c>
      <c r="D439" s="32" t="inlineStr">
        <is>
          <t>Отделка эвакуац. лестн. клетки надзем.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A438</f>
        <v/>
      </c>
      <c r="B440" s="31" t="inlineStr">
        <is>
          <t>Черновая</t>
        </is>
      </c>
      <c r="C440" s="31" t="inlineStr">
        <is>
          <t>8.2.3</t>
        </is>
      </c>
      <c r="D440" s="32" t="inlineStr">
        <is>
          <t>Лифт. холлы, тамбур-шлюзы надзем.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A438</f>
        <v/>
      </c>
      <c r="B441" s="31" t="inlineStr">
        <is>
          <t>Черновая</t>
        </is>
      </c>
      <c r="C441" s="31" t="inlineStr">
        <is>
          <t>8.2.4</t>
        </is>
      </c>
      <c r="D441" s="32" t="inlineStr">
        <is>
          <t>Технич. помещения надзем.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A438</f>
        <v/>
      </c>
      <c r="B442" s="31" t="inlineStr">
        <is>
          <t>Черновая</t>
        </is>
      </c>
      <c r="C442" s="31" t="inlineStr">
        <is>
          <t>8.2.5</t>
        </is>
      </c>
      <c r="D442" s="32" t="inlineStr">
        <is>
          <t>Прочие помещения надзем.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>
      <c r="A443" s="30">
        <f>A438</f>
        <v/>
      </c>
      <c r="B443" s="31" t="inlineStr">
        <is>
          <t>Черновая</t>
        </is>
      </c>
      <c r="C443" s="31" t="inlineStr">
        <is>
          <t>8.2.6</t>
        </is>
      </c>
      <c r="D443" s="32" t="inlineStr">
        <is>
          <t>Коммерч. помещения надзем.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A438</f>
        <v/>
      </c>
      <c r="B444" s="31" t="inlineStr">
        <is>
          <t>Черновая</t>
        </is>
      </c>
      <c r="C444" s="31" t="inlineStr">
        <is>
          <t>8.2.7</t>
        </is>
      </c>
      <c r="D444" s="32" t="inlineStr">
        <is>
          <t>Паркинг и рампы надзем.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A438</f>
        <v/>
      </c>
      <c r="B445" s="31" t="inlineStr">
        <is>
          <t>Чистовая</t>
        </is>
      </c>
      <c r="C445" s="31" t="inlineStr">
        <is>
          <t>8.2.1</t>
        </is>
      </c>
      <c r="D445" s="32" t="inlineStr">
        <is>
          <t>Отделка лобби/гранд-лобби</t>
        </is>
      </c>
      <c r="E445" s="33" t="n"/>
      <c r="F445" s="33" t="n"/>
      <c r="G445" s="33" t="n"/>
      <c r="H445" s="33" t="n"/>
      <c r="I445" s="34">
        <f>COUNTA(E445:H445)&amp;"/4"</f>
        <v/>
      </c>
    </row>
    <row r="446" ht="30" customHeight="1" s="74">
      <c r="A446" s="30">
        <f>A438</f>
        <v/>
      </c>
      <c r="B446" s="31" t="inlineStr">
        <is>
          <t>Чистовая</t>
        </is>
      </c>
      <c r="C446" s="31" t="inlineStr">
        <is>
          <t>8.2.2</t>
        </is>
      </c>
      <c r="D446" s="32" t="inlineStr">
        <is>
          <t>Отделка эвакуац. лестн. клетки надзем.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A438</f>
        <v/>
      </c>
      <c r="B447" s="31" t="inlineStr">
        <is>
          <t>Чистовая</t>
        </is>
      </c>
      <c r="C447" s="31" t="inlineStr">
        <is>
          <t>8.2.3</t>
        </is>
      </c>
      <c r="D447" s="32" t="inlineStr">
        <is>
          <t>Лифт. холлы, тамбур-шлюзы надзем.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A438</f>
        <v/>
      </c>
      <c r="B448" s="31" t="inlineStr">
        <is>
          <t>Чистовая</t>
        </is>
      </c>
      <c r="C448" s="31" t="inlineStr">
        <is>
          <t>8.2.4</t>
        </is>
      </c>
      <c r="D448" s="32" t="inlineStr">
        <is>
          <t>Технич. помещения надзем.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>
      <c r="A449" s="30">
        <f>A438</f>
        <v/>
      </c>
      <c r="B449" s="31" t="inlineStr">
        <is>
          <t>Чистовая</t>
        </is>
      </c>
      <c r="C449" s="31" t="inlineStr">
        <is>
          <t>8.2.5</t>
        </is>
      </c>
      <c r="D449" s="32" t="inlineStr">
        <is>
          <t>Прочие помещения надзем.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A438</f>
        <v/>
      </c>
      <c r="B450" s="31" t="inlineStr">
        <is>
          <t>Чистовая</t>
        </is>
      </c>
      <c r="C450" s="31" t="inlineStr">
        <is>
          <t>8.2.6</t>
        </is>
      </c>
      <c r="D450" s="32" t="inlineStr">
        <is>
          <t>Коммерч. помещения надзем.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A438</f>
        <v/>
      </c>
      <c r="B451" s="31" t="inlineStr">
        <is>
          <t>Чистовая</t>
        </is>
      </c>
      <c r="C451" s="31" t="inlineStr">
        <is>
          <t>8.2.7</t>
        </is>
      </c>
      <c r="D451" s="32" t="inlineStr">
        <is>
          <t>Паркинг и рампы надзем.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A438+7</f>
        <v/>
      </c>
      <c r="B452" s="31" t="inlineStr">
        <is>
          <t>Черновая</t>
        </is>
      </c>
      <c r="C452" s="31" t="inlineStr">
        <is>
          <t>8.2.1</t>
        </is>
      </c>
      <c r="D452" s="32" t="inlineStr">
        <is>
          <t>Отделка лобби/гранд-лобби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 ht="30" customHeight="1" s="74">
      <c r="A453" s="30">
        <f>A452</f>
        <v/>
      </c>
      <c r="B453" s="31" t="inlineStr">
        <is>
          <t>Черновая</t>
        </is>
      </c>
      <c r="C453" s="31" t="inlineStr">
        <is>
          <t>8.2.2</t>
        </is>
      </c>
      <c r="D453" s="32" t="inlineStr">
        <is>
          <t>Отделка эвакуац. лестн. клетки надзем.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A452</f>
        <v/>
      </c>
      <c r="B454" s="31" t="inlineStr">
        <is>
          <t>Черновая</t>
        </is>
      </c>
      <c r="C454" s="31" t="inlineStr">
        <is>
          <t>8.2.3</t>
        </is>
      </c>
      <c r="D454" s="32" t="inlineStr">
        <is>
          <t>Лифт. холлы, тамбур-шлюзы надзем.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>
      <c r="A455" s="30">
        <f>A452</f>
        <v/>
      </c>
      <c r="B455" s="31" t="inlineStr">
        <is>
          <t>Черновая</t>
        </is>
      </c>
      <c r="C455" s="31" t="inlineStr">
        <is>
          <t>8.2.4</t>
        </is>
      </c>
      <c r="D455" s="32" t="inlineStr">
        <is>
          <t>Технич. помещения надзем.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A452</f>
        <v/>
      </c>
      <c r="B456" s="31" t="inlineStr">
        <is>
          <t>Черновая</t>
        </is>
      </c>
      <c r="C456" s="31" t="inlineStr">
        <is>
          <t>8.2.5</t>
        </is>
      </c>
      <c r="D456" s="32" t="inlineStr">
        <is>
          <t>Прочие помещения надзем.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A452</f>
        <v/>
      </c>
      <c r="B457" s="31" t="inlineStr">
        <is>
          <t>Черновая</t>
        </is>
      </c>
      <c r="C457" s="31" t="inlineStr">
        <is>
          <t>8.2.6</t>
        </is>
      </c>
      <c r="D457" s="32" t="inlineStr">
        <is>
          <t>Коммерч. помещения надзем.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A452</f>
        <v/>
      </c>
      <c r="B458" s="31" t="inlineStr">
        <is>
          <t>Черновая</t>
        </is>
      </c>
      <c r="C458" s="31" t="inlineStr">
        <is>
          <t>8.2.7</t>
        </is>
      </c>
      <c r="D458" s="32" t="inlineStr">
        <is>
          <t>Паркинг и рампы надзем.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A452</f>
        <v/>
      </c>
      <c r="B459" s="31" t="inlineStr">
        <is>
          <t>Чистовая</t>
        </is>
      </c>
      <c r="C459" s="31" t="inlineStr">
        <is>
          <t>8.2.1</t>
        </is>
      </c>
      <c r="D459" s="32" t="inlineStr">
        <is>
          <t>Отделка лобби/гранд-лобби</t>
        </is>
      </c>
      <c r="E459" s="33" t="n"/>
      <c r="F459" s="33" t="n"/>
      <c r="G459" s="33" t="n"/>
      <c r="H459" s="33" t="n"/>
      <c r="I459" s="34">
        <f>COUNTA(E459:H459)&amp;"/4"</f>
        <v/>
      </c>
    </row>
    <row r="460" ht="30" customHeight="1" s="74">
      <c r="A460" s="30">
        <f>A452</f>
        <v/>
      </c>
      <c r="B460" s="31" t="inlineStr">
        <is>
          <t>Чистовая</t>
        </is>
      </c>
      <c r="C460" s="31" t="inlineStr">
        <is>
          <t>8.2.2</t>
        </is>
      </c>
      <c r="D460" s="32" t="inlineStr">
        <is>
          <t>Отделка эвакуац. лестн. клетки надзем.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>
      <c r="A461" s="30">
        <f>A452</f>
        <v/>
      </c>
      <c r="B461" s="31" t="inlineStr">
        <is>
          <t>Чистовая</t>
        </is>
      </c>
      <c r="C461" s="31" t="inlineStr">
        <is>
          <t>8.2.3</t>
        </is>
      </c>
      <c r="D461" s="32" t="inlineStr">
        <is>
          <t>Лифт. холлы, тамбур-шлюзы надзем.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A452</f>
        <v/>
      </c>
      <c r="B462" s="31" t="inlineStr">
        <is>
          <t>Чистовая</t>
        </is>
      </c>
      <c r="C462" s="31" t="inlineStr">
        <is>
          <t>8.2.4</t>
        </is>
      </c>
      <c r="D462" s="32" t="inlineStr">
        <is>
          <t>Технич. помещения надзем.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A452</f>
        <v/>
      </c>
      <c r="B463" s="31" t="inlineStr">
        <is>
          <t>Чистовая</t>
        </is>
      </c>
      <c r="C463" s="31" t="inlineStr">
        <is>
          <t>8.2.5</t>
        </is>
      </c>
      <c r="D463" s="32" t="inlineStr">
        <is>
          <t>Прочие помещения надзем.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A452</f>
        <v/>
      </c>
      <c r="B464" s="31" t="inlineStr">
        <is>
          <t>Чистовая</t>
        </is>
      </c>
      <c r="C464" s="31" t="inlineStr">
        <is>
          <t>8.2.6</t>
        </is>
      </c>
      <c r="D464" s="32" t="inlineStr">
        <is>
          <t>Коммерч. помещения надзем.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A452</f>
        <v/>
      </c>
      <c r="B465" s="31" t="inlineStr">
        <is>
          <t>Чистовая</t>
        </is>
      </c>
      <c r="C465" s="31" t="inlineStr">
        <is>
          <t>8.2.7</t>
        </is>
      </c>
      <c r="D465" s="32" t="inlineStr">
        <is>
          <t>Паркинг и рампы надзем.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A452+7</f>
        <v/>
      </c>
      <c r="B466" s="31" t="inlineStr">
        <is>
          <t>Черновая</t>
        </is>
      </c>
      <c r="C466" s="31" t="inlineStr">
        <is>
          <t>8.2.1</t>
        </is>
      </c>
      <c r="D466" s="32" t="inlineStr">
        <is>
          <t>Отделка лобби/гранд-лобби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A466</f>
        <v/>
      </c>
      <c r="B467" s="31" t="inlineStr">
        <is>
          <t>Черновая</t>
        </is>
      </c>
      <c r="C467" s="31" t="inlineStr">
        <is>
          <t>8.2.2</t>
        </is>
      </c>
      <c r="D467" s="32" t="inlineStr">
        <is>
          <t>Отделка эвакуац. лестн. клетки надзем.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A466</f>
        <v/>
      </c>
      <c r="B468" s="31" t="inlineStr">
        <is>
          <t>Черновая</t>
        </is>
      </c>
      <c r="C468" s="31" t="inlineStr">
        <is>
          <t>8.2.3</t>
        </is>
      </c>
      <c r="D468" s="32" t="inlineStr">
        <is>
          <t>Лифт. холлы, тамбур-шлюзы надзем.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A466</f>
        <v/>
      </c>
      <c r="B469" s="31" t="inlineStr">
        <is>
          <t>Черновая</t>
        </is>
      </c>
      <c r="C469" s="31" t="inlineStr">
        <is>
          <t>8.2.4</t>
        </is>
      </c>
      <c r="D469" s="32" t="inlineStr">
        <is>
          <t>Технич. помещения надзем.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A466</f>
        <v/>
      </c>
      <c r="B470" s="31" t="inlineStr">
        <is>
          <t>Черновая</t>
        </is>
      </c>
      <c r="C470" s="31" t="inlineStr">
        <is>
          <t>8.2.5</t>
        </is>
      </c>
      <c r="D470" s="32" t="inlineStr">
        <is>
          <t>Прочие помещения надзем.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A466</f>
        <v/>
      </c>
      <c r="B471" s="31" t="inlineStr">
        <is>
          <t>Черновая</t>
        </is>
      </c>
      <c r="C471" s="31" t="inlineStr">
        <is>
          <t>8.2.6</t>
        </is>
      </c>
      <c r="D471" s="32" t="inlineStr">
        <is>
          <t>Коммерч. помещения надзем.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A466</f>
        <v/>
      </c>
      <c r="B472" s="31" t="inlineStr">
        <is>
          <t>Черновая</t>
        </is>
      </c>
      <c r="C472" s="31" t="inlineStr">
        <is>
          <t>8.2.7</t>
        </is>
      </c>
      <c r="D472" s="32" t="inlineStr">
        <is>
          <t>Паркинг и рампы надзем.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>
      <c r="A473" s="30">
        <f>A466</f>
        <v/>
      </c>
      <c r="B473" s="31" t="inlineStr">
        <is>
          <t>Чистовая</t>
        </is>
      </c>
      <c r="C473" s="31" t="inlineStr">
        <is>
          <t>8.2.1</t>
        </is>
      </c>
      <c r="D473" s="32" t="inlineStr">
        <is>
          <t>Отделка лобби/гранд-лобби</t>
        </is>
      </c>
      <c r="E473" s="33" t="n"/>
      <c r="F473" s="33" t="n"/>
      <c r="G473" s="33" t="n"/>
      <c r="H473" s="33" t="n"/>
      <c r="I473" s="34">
        <f>COUNTA(E473:H473)&amp;"/4"</f>
        <v/>
      </c>
    </row>
    <row r="474" ht="30" customHeight="1" s="74">
      <c r="A474" s="30">
        <f>A466</f>
        <v/>
      </c>
      <c r="B474" s="31" t="inlineStr">
        <is>
          <t>Чистовая</t>
        </is>
      </c>
      <c r="C474" s="31" t="inlineStr">
        <is>
          <t>8.2.2</t>
        </is>
      </c>
      <c r="D474" s="32" t="inlineStr">
        <is>
          <t>Отделка эвакуац. лестн. клетки надзем.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A466</f>
        <v/>
      </c>
      <c r="B475" s="31" t="inlineStr">
        <is>
          <t>Чистовая</t>
        </is>
      </c>
      <c r="C475" s="31" t="inlineStr">
        <is>
          <t>8.2.3</t>
        </is>
      </c>
      <c r="D475" s="32" t="inlineStr">
        <is>
          <t>Лифт. холлы, тамбур-шлюзы надзем.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A466</f>
        <v/>
      </c>
      <c r="B476" s="31" t="inlineStr">
        <is>
          <t>Чистовая</t>
        </is>
      </c>
      <c r="C476" s="31" t="inlineStr">
        <is>
          <t>8.2.4</t>
        </is>
      </c>
      <c r="D476" s="32" t="inlineStr">
        <is>
          <t>Технич. помещения надзем.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A466</f>
        <v/>
      </c>
      <c r="B477" s="31" t="inlineStr">
        <is>
          <t>Чистовая</t>
        </is>
      </c>
      <c r="C477" s="31" t="inlineStr">
        <is>
          <t>8.2.5</t>
        </is>
      </c>
      <c r="D477" s="32" t="inlineStr">
        <is>
          <t>Прочие помещения надзем.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A466</f>
        <v/>
      </c>
      <c r="B478" s="31" t="inlineStr">
        <is>
          <t>Чистовая</t>
        </is>
      </c>
      <c r="C478" s="31" t="inlineStr">
        <is>
          <t>8.2.6</t>
        </is>
      </c>
      <c r="D478" s="32" t="inlineStr">
        <is>
          <t>Коммерч. помещения надзем.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>
      <c r="A479" s="30">
        <f>A466</f>
        <v/>
      </c>
      <c r="B479" s="31" t="inlineStr">
        <is>
          <t>Чистовая</t>
        </is>
      </c>
      <c r="C479" s="31" t="inlineStr">
        <is>
          <t>8.2.7</t>
        </is>
      </c>
      <c r="D479" s="32" t="inlineStr">
        <is>
          <t>Паркинг и рампы надзем.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A466+7</f>
        <v/>
      </c>
      <c r="B480" s="31" t="inlineStr">
        <is>
          <t>Черновая</t>
        </is>
      </c>
      <c r="C480" s="31" t="inlineStr">
        <is>
          <t>8.2.1</t>
        </is>
      </c>
      <c r="D480" s="32" t="inlineStr">
        <is>
          <t>Отделка лобби/гранд-лобби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 ht="30" customHeight="1" s="74">
      <c r="A481" s="30">
        <f>A480</f>
        <v/>
      </c>
      <c r="B481" s="31" t="inlineStr">
        <is>
          <t>Черновая</t>
        </is>
      </c>
      <c r="C481" s="31" t="inlineStr">
        <is>
          <t>8.2.2</t>
        </is>
      </c>
      <c r="D481" s="32" t="inlineStr">
        <is>
          <t>Отделка эвакуац. лестн. клетки надзем.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A480</f>
        <v/>
      </c>
      <c r="B482" s="31" t="inlineStr">
        <is>
          <t>Черновая</t>
        </is>
      </c>
      <c r="C482" s="31" t="inlineStr">
        <is>
          <t>8.2.3</t>
        </is>
      </c>
      <c r="D482" s="32" t="inlineStr">
        <is>
          <t>Лифт. холлы, тамбур-шлюзы надзем.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A480</f>
        <v/>
      </c>
      <c r="B483" s="31" t="inlineStr">
        <is>
          <t>Черновая</t>
        </is>
      </c>
      <c r="C483" s="31" t="inlineStr">
        <is>
          <t>8.2.4</t>
        </is>
      </c>
      <c r="D483" s="32" t="inlineStr">
        <is>
          <t>Технич. помещения надзем.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A480</f>
        <v/>
      </c>
      <c r="B484" s="31" t="inlineStr">
        <is>
          <t>Черновая</t>
        </is>
      </c>
      <c r="C484" s="31" t="inlineStr">
        <is>
          <t>8.2.5</t>
        </is>
      </c>
      <c r="D484" s="32" t="inlineStr">
        <is>
          <t>Прочие помещения надзем.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>
      <c r="A485" s="30">
        <f>A480</f>
        <v/>
      </c>
      <c r="B485" s="31" t="inlineStr">
        <is>
          <t>Черновая</t>
        </is>
      </c>
      <c r="C485" s="31" t="inlineStr">
        <is>
          <t>8.2.6</t>
        </is>
      </c>
      <c r="D485" s="32" t="inlineStr">
        <is>
          <t>Коммерч. помещения надзем.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A480</f>
        <v/>
      </c>
      <c r="B486" s="31" t="inlineStr">
        <is>
          <t>Черновая</t>
        </is>
      </c>
      <c r="C486" s="31" t="inlineStr">
        <is>
          <t>8.2.7</t>
        </is>
      </c>
      <c r="D486" s="32" t="inlineStr">
        <is>
          <t>Паркинг и рампы надзем.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A480</f>
        <v/>
      </c>
      <c r="B487" s="31" t="inlineStr">
        <is>
          <t>Чистовая</t>
        </is>
      </c>
      <c r="C487" s="31" t="inlineStr">
        <is>
          <t>8.2.1</t>
        </is>
      </c>
      <c r="D487" s="32" t="inlineStr">
        <is>
          <t>Отделка лобби/гранд-лобби</t>
        </is>
      </c>
      <c r="E487" s="33" t="n"/>
      <c r="F487" s="33" t="n"/>
      <c r="G487" s="33" t="n"/>
      <c r="H487" s="33" t="n"/>
      <c r="I487" s="34">
        <f>COUNTA(E487:H487)&amp;"/4"</f>
        <v/>
      </c>
    </row>
    <row r="488" ht="30" customHeight="1" s="74">
      <c r="A488" s="30">
        <f>A480</f>
        <v/>
      </c>
      <c r="B488" s="31" t="inlineStr">
        <is>
          <t>Чистовая</t>
        </is>
      </c>
      <c r="C488" s="31" t="inlineStr">
        <is>
          <t>8.2.2</t>
        </is>
      </c>
      <c r="D488" s="32" t="inlineStr">
        <is>
          <t>Отделка эвакуац. лестн. клетки надзем.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A480</f>
        <v/>
      </c>
      <c r="B489" s="31" t="inlineStr">
        <is>
          <t>Чистовая</t>
        </is>
      </c>
      <c r="C489" s="31" t="inlineStr">
        <is>
          <t>8.2.3</t>
        </is>
      </c>
      <c r="D489" s="32" t="inlineStr">
        <is>
          <t>Лифт. холлы, тамбур-шлюзы надзем.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A480</f>
        <v/>
      </c>
      <c r="B490" s="31" t="inlineStr">
        <is>
          <t>Чистовая</t>
        </is>
      </c>
      <c r="C490" s="31" t="inlineStr">
        <is>
          <t>8.2.4</t>
        </is>
      </c>
      <c r="D490" s="32" t="inlineStr">
        <is>
          <t>Технич. помещения надзем.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>
      <c r="A491" s="30">
        <f>A480</f>
        <v/>
      </c>
      <c r="B491" s="31" t="inlineStr">
        <is>
          <t>Чистовая</t>
        </is>
      </c>
      <c r="C491" s="31" t="inlineStr">
        <is>
          <t>8.2.5</t>
        </is>
      </c>
      <c r="D491" s="32" t="inlineStr">
        <is>
          <t>Прочие помещения надзем.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A480</f>
        <v/>
      </c>
      <c r="B492" s="31" t="inlineStr">
        <is>
          <t>Чистовая</t>
        </is>
      </c>
      <c r="C492" s="31" t="inlineStr">
        <is>
          <t>8.2.6</t>
        </is>
      </c>
      <c r="D492" s="32" t="inlineStr">
        <is>
          <t>Коммерч. помещения надзем.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A480</f>
        <v/>
      </c>
      <c r="B493" s="31" t="inlineStr">
        <is>
          <t>Чистовая</t>
        </is>
      </c>
      <c r="C493" s="31" t="inlineStr">
        <is>
          <t>8.2.7</t>
        </is>
      </c>
      <c r="D493" s="32" t="inlineStr">
        <is>
          <t>Паркинг и рампы надзем.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A480+7</f>
        <v/>
      </c>
      <c r="B494" s="31" t="inlineStr">
        <is>
          <t>Черновая</t>
        </is>
      </c>
      <c r="C494" s="31" t="inlineStr">
        <is>
          <t>8.2.1</t>
        </is>
      </c>
      <c r="D494" s="32" t="inlineStr">
        <is>
          <t>Отделка лобби/гранд-лобби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 ht="30" customHeight="1" s="74">
      <c r="A495" s="30">
        <f>A494</f>
        <v/>
      </c>
      <c r="B495" s="31" t="inlineStr">
        <is>
          <t>Черновая</t>
        </is>
      </c>
      <c r="C495" s="31" t="inlineStr">
        <is>
          <t>8.2.2</t>
        </is>
      </c>
      <c r="D495" s="32" t="inlineStr">
        <is>
          <t>Отделка эвакуац. лестн. клетки надзем.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A494</f>
        <v/>
      </c>
      <c r="B496" s="31" t="inlineStr">
        <is>
          <t>Черновая</t>
        </is>
      </c>
      <c r="C496" s="31" t="inlineStr">
        <is>
          <t>8.2.3</t>
        </is>
      </c>
      <c r="D496" s="32" t="inlineStr">
        <is>
          <t>Лифт. холлы, тамбур-шлюзы надзем.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>
      <c r="A497" s="30">
        <f>A494</f>
        <v/>
      </c>
      <c r="B497" s="31" t="inlineStr">
        <is>
          <t>Черновая</t>
        </is>
      </c>
      <c r="C497" s="31" t="inlineStr">
        <is>
          <t>8.2.4</t>
        </is>
      </c>
      <c r="D497" s="32" t="inlineStr">
        <is>
          <t>Технич. помещения надзем.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A494</f>
        <v/>
      </c>
      <c r="B498" s="31" t="inlineStr">
        <is>
          <t>Черновая</t>
        </is>
      </c>
      <c r="C498" s="31" t="inlineStr">
        <is>
          <t>8.2.5</t>
        </is>
      </c>
      <c r="D498" s="32" t="inlineStr">
        <is>
          <t>Прочие помещения надзем.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A494</f>
        <v/>
      </c>
      <c r="B499" s="31" t="inlineStr">
        <is>
          <t>Черновая</t>
        </is>
      </c>
      <c r="C499" s="31" t="inlineStr">
        <is>
          <t>8.2.6</t>
        </is>
      </c>
      <c r="D499" s="32" t="inlineStr">
        <is>
          <t>Коммерч. помещения надзем.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A494</f>
        <v/>
      </c>
      <c r="B500" s="31" t="inlineStr">
        <is>
          <t>Черновая</t>
        </is>
      </c>
      <c r="C500" s="31" t="inlineStr">
        <is>
          <t>8.2.7</t>
        </is>
      </c>
      <c r="D500" s="32" t="inlineStr">
        <is>
          <t>Паркинг и рампы надзем.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A494</f>
        <v/>
      </c>
      <c r="B501" s="31" t="inlineStr">
        <is>
          <t>Чистовая</t>
        </is>
      </c>
      <c r="C501" s="31" t="inlineStr">
        <is>
          <t>8.2.1</t>
        </is>
      </c>
      <c r="D501" s="32" t="inlineStr">
        <is>
          <t>Отделка лобби/гранд-лобби</t>
        </is>
      </c>
      <c r="E501" s="33" t="n"/>
      <c r="F501" s="33" t="n"/>
      <c r="G501" s="33" t="n"/>
      <c r="H501" s="33" t="n"/>
      <c r="I501" s="34">
        <f>COUNTA(E501:H501)&amp;"/4"</f>
        <v/>
      </c>
    </row>
    <row r="502" ht="30" customHeight="1" s="74">
      <c r="A502" s="30">
        <f>A494</f>
        <v/>
      </c>
      <c r="B502" s="31" t="inlineStr">
        <is>
          <t>Чистовая</t>
        </is>
      </c>
      <c r="C502" s="31" t="inlineStr">
        <is>
          <t>8.2.2</t>
        </is>
      </c>
      <c r="D502" s="32" t="inlineStr">
        <is>
          <t>Отделка эвакуац. лестн. клетки надзем.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>
      <c r="A503" s="30">
        <f>A494</f>
        <v/>
      </c>
      <c r="B503" s="31" t="inlineStr">
        <is>
          <t>Чистовая</t>
        </is>
      </c>
      <c r="C503" s="31" t="inlineStr">
        <is>
          <t>8.2.3</t>
        </is>
      </c>
      <c r="D503" s="32" t="inlineStr">
        <is>
          <t>Лифт. холлы, тамбур-шлюзы надзем.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A494</f>
        <v/>
      </c>
      <c r="B504" s="31" t="inlineStr">
        <is>
          <t>Чистовая</t>
        </is>
      </c>
      <c r="C504" s="31" t="inlineStr">
        <is>
          <t>8.2.4</t>
        </is>
      </c>
      <c r="D504" s="32" t="inlineStr">
        <is>
          <t>Технич. помещения надзем.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A494</f>
        <v/>
      </c>
      <c r="B505" s="31" t="inlineStr">
        <is>
          <t>Чистовая</t>
        </is>
      </c>
      <c r="C505" s="31" t="inlineStr">
        <is>
          <t>8.2.5</t>
        </is>
      </c>
      <c r="D505" s="32" t="inlineStr">
        <is>
          <t>Прочие помещения надзем.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A494</f>
        <v/>
      </c>
      <c r="B506" s="31" t="inlineStr">
        <is>
          <t>Чистовая</t>
        </is>
      </c>
      <c r="C506" s="31" t="inlineStr">
        <is>
          <t>8.2.6</t>
        </is>
      </c>
      <c r="D506" s="32" t="inlineStr">
        <is>
          <t>Коммерч. помещения надзем.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A494</f>
        <v/>
      </c>
      <c r="B507" s="31" t="inlineStr">
        <is>
          <t>Чистовая</t>
        </is>
      </c>
      <c r="C507" s="31" t="inlineStr">
        <is>
          <t>8.2.7</t>
        </is>
      </c>
      <c r="D507" s="32" t="inlineStr">
        <is>
          <t>Паркинг и рампы надзем.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A494+7</f>
        <v/>
      </c>
      <c r="B508" s="31" t="inlineStr">
        <is>
          <t>Черновая</t>
        </is>
      </c>
      <c r="C508" s="31" t="inlineStr">
        <is>
          <t>8.2.1</t>
        </is>
      </c>
      <c r="D508" s="32" t="inlineStr">
        <is>
          <t>Отделка лобби/гранд-лобби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8.2.2</t>
        </is>
      </c>
      <c r="D509" s="32" t="inlineStr">
        <is>
          <t>Отделка эвакуац. лестн. клетки надзем.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8.2.3</t>
        </is>
      </c>
      <c r="D510" s="32" t="inlineStr">
        <is>
          <t>Лифт. холлы, тамбур-шлюзы надзем.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8.2.4</t>
        </is>
      </c>
      <c r="D511" s="32" t="inlineStr">
        <is>
          <t>Технич. помещения надзем.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8.2.5</t>
        </is>
      </c>
      <c r="D512" s="32" t="inlineStr">
        <is>
          <t>Прочие помещения надзем.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8.2.6</t>
        </is>
      </c>
      <c r="D513" s="32" t="inlineStr">
        <is>
          <t>Коммерч. помещения надзем.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Черновая</t>
        </is>
      </c>
      <c r="C514" s="31" t="inlineStr">
        <is>
          <t>8.2.7</t>
        </is>
      </c>
      <c r="D514" s="32" t="inlineStr">
        <is>
          <t>Паркинг и рампы надзем.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>
      <c r="A515" s="30">
        <f>A508</f>
        <v/>
      </c>
      <c r="B515" s="31" t="inlineStr">
        <is>
          <t>Чистовая</t>
        </is>
      </c>
      <c r="C515" s="31" t="inlineStr">
        <is>
          <t>8.2.1</t>
        </is>
      </c>
      <c r="D515" s="32" t="inlineStr">
        <is>
          <t>Отделка лобби/гранд-лобби</t>
        </is>
      </c>
      <c r="E515" s="33" t="n"/>
      <c r="F515" s="33" t="n"/>
      <c r="G515" s="33" t="n"/>
      <c r="H515" s="33" t="n"/>
      <c r="I515" s="34">
        <f>COUNTA(E515:H515)&amp;"/4"</f>
        <v/>
      </c>
    </row>
    <row r="516" ht="30" customHeight="1" s="74">
      <c r="A516" s="30">
        <f>A508</f>
        <v/>
      </c>
      <c r="B516" s="31" t="inlineStr">
        <is>
          <t>Чистовая</t>
        </is>
      </c>
      <c r="C516" s="31" t="inlineStr">
        <is>
          <t>8.2.2</t>
        </is>
      </c>
      <c r="D516" s="32" t="inlineStr">
        <is>
          <t>Отделка эвакуац. лестн. клетки надзем.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8.2.3</t>
        </is>
      </c>
      <c r="D517" s="32" t="inlineStr">
        <is>
          <t>Лифт. холлы, тамбур-шлюзы надзем.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8.2.4</t>
        </is>
      </c>
      <c r="D518" s="32" t="inlineStr">
        <is>
          <t>Технич. помещения надзем.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8.2.5</t>
        </is>
      </c>
      <c r="D519" s="32" t="inlineStr">
        <is>
          <t>Прочие помещения надзем.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</f>
        <v/>
      </c>
      <c r="B520" s="31" t="inlineStr">
        <is>
          <t>Чистовая</t>
        </is>
      </c>
      <c r="C520" s="31" t="inlineStr">
        <is>
          <t>8.2.6</t>
        </is>
      </c>
      <c r="D520" s="32" t="inlineStr">
        <is>
          <t>Коммерч. помещения надзем.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>
      <c r="A521" s="30">
        <f>A508</f>
        <v/>
      </c>
      <c r="B521" s="31" t="inlineStr">
        <is>
          <t>Чистовая</t>
        </is>
      </c>
      <c r="C521" s="31" t="inlineStr">
        <is>
          <t>8.2.7</t>
        </is>
      </c>
      <c r="D521" s="32" t="inlineStr">
        <is>
          <t>Паркинг и рампы надзем.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A508+7</f>
        <v/>
      </c>
      <c r="B522" s="31" t="inlineStr">
        <is>
          <t>Черновая</t>
        </is>
      </c>
      <c r="C522" s="31" t="inlineStr">
        <is>
          <t>8.2.1</t>
        </is>
      </c>
      <c r="D522" s="32" t="inlineStr">
        <is>
          <t>Отделка лобби/гранд-лобби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 ht="30" customHeight="1" s="74">
      <c r="A523" s="30">
        <f>A522</f>
        <v/>
      </c>
      <c r="B523" s="31" t="inlineStr">
        <is>
          <t>Черновая</t>
        </is>
      </c>
      <c r="C523" s="31" t="inlineStr">
        <is>
          <t>8.2.2</t>
        </is>
      </c>
      <c r="D523" s="32" t="inlineStr">
        <is>
          <t>Отделка эвакуац. лестн. клетки надзем.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A522</f>
        <v/>
      </c>
      <c r="B524" s="31" t="inlineStr">
        <is>
          <t>Черновая</t>
        </is>
      </c>
      <c r="C524" s="31" t="inlineStr">
        <is>
          <t>8.2.3</t>
        </is>
      </c>
      <c r="D524" s="32" t="inlineStr">
        <is>
          <t>Лифт. холлы, тамбур-шлюзы надзем.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A522</f>
        <v/>
      </c>
      <c r="B525" s="31" t="inlineStr">
        <is>
          <t>Черновая</t>
        </is>
      </c>
      <c r="C525" s="31" t="inlineStr">
        <is>
          <t>8.2.4</t>
        </is>
      </c>
      <c r="D525" s="32" t="inlineStr">
        <is>
          <t>Технич. помещения надзем.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A522</f>
        <v/>
      </c>
      <c r="B526" s="31" t="inlineStr">
        <is>
          <t>Черновая</t>
        </is>
      </c>
      <c r="C526" s="31" t="inlineStr">
        <is>
          <t>8.2.5</t>
        </is>
      </c>
      <c r="D526" s="32" t="inlineStr">
        <is>
          <t>Прочие помещения надзем.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>
      <c r="A527" s="30">
        <f>A522</f>
        <v/>
      </c>
      <c r="B527" s="31" t="inlineStr">
        <is>
          <t>Черновая</t>
        </is>
      </c>
      <c r="C527" s="31" t="inlineStr">
        <is>
          <t>8.2.6</t>
        </is>
      </c>
      <c r="D527" s="32" t="inlineStr">
        <is>
          <t>Коммерч. помещения надзем.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A522</f>
        <v/>
      </c>
      <c r="B528" s="31" t="inlineStr">
        <is>
          <t>Черновая</t>
        </is>
      </c>
      <c r="C528" s="31" t="inlineStr">
        <is>
          <t>8.2.7</t>
        </is>
      </c>
      <c r="D528" s="32" t="inlineStr">
        <is>
          <t>Паркинг и рампы надзем.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A522</f>
        <v/>
      </c>
      <c r="B529" s="31" t="inlineStr">
        <is>
          <t>Чистовая</t>
        </is>
      </c>
      <c r="C529" s="31" t="inlineStr">
        <is>
          <t>8.2.1</t>
        </is>
      </c>
      <c r="D529" s="32" t="inlineStr">
        <is>
          <t>Отделка лобби/гранд-лобби</t>
        </is>
      </c>
      <c r="E529" s="33" t="n"/>
      <c r="F529" s="33" t="n"/>
      <c r="G529" s="33" t="n"/>
      <c r="H529" s="33" t="n"/>
      <c r="I529" s="34">
        <f>COUNTA(E529:H529)&amp;"/4"</f>
        <v/>
      </c>
    </row>
    <row r="530" ht="30" customHeight="1" s="74">
      <c r="A530" s="30">
        <f>A522</f>
        <v/>
      </c>
      <c r="B530" s="31" t="inlineStr">
        <is>
          <t>Чистовая</t>
        </is>
      </c>
      <c r="C530" s="31" t="inlineStr">
        <is>
          <t>8.2.2</t>
        </is>
      </c>
      <c r="D530" s="32" t="inlineStr">
        <is>
          <t>Отделка эвакуац. лестн. клетки надзем.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A522</f>
        <v/>
      </c>
      <c r="B531" s="31" t="inlineStr">
        <is>
          <t>Чистовая</t>
        </is>
      </c>
      <c r="C531" s="31" t="inlineStr">
        <is>
          <t>8.2.3</t>
        </is>
      </c>
      <c r="D531" s="32" t="inlineStr">
        <is>
          <t>Лифт. холлы, тамбур-шлюзы надзем.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A522</f>
        <v/>
      </c>
      <c r="B532" s="31" t="inlineStr">
        <is>
          <t>Чистовая</t>
        </is>
      </c>
      <c r="C532" s="31" t="inlineStr">
        <is>
          <t>8.2.4</t>
        </is>
      </c>
      <c r="D532" s="32" t="inlineStr">
        <is>
          <t>Технич. помещения надзем.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>
      <c r="A533" s="30">
        <f>A522</f>
        <v/>
      </c>
      <c r="B533" s="31" t="inlineStr">
        <is>
          <t>Чистовая</t>
        </is>
      </c>
      <c r="C533" s="31" t="inlineStr">
        <is>
          <t>8.2.5</t>
        </is>
      </c>
      <c r="D533" s="32" t="inlineStr">
        <is>
          <t>Прочие помещения надзем.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A522</f>
        <v/>
      </c>
      <c r="B534" s="31" t="inlineStr">
        <is>
          <t>Чистовая</t>
        </is>
      </c>
      <c r="C534" s="31" t="inlineStr">
        <is>
          <t>8.2.6</t>
        </is>
      </c>
      <c r="D534" s="32" t="inlineStr">
        <is>
          <t>Коммерч. помещения надзем.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A522</f>
        <v/>
      </c>
      <c r="B535" s="31" t="inlineStr">
        <is>
          <t>Чистовая</t>
        </is>
      </c>
      <c r="C535" s="31" t="inlineStr">
        <is>
          <t>8.2.7</t>
        </is>
      </c>
      <c r="D535" s="32" t="inlineStr">
        <is>
          <t>Паркинг и рампы надзем.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A522+7</f>
        <v/>
      </c>
      <c r="B536" s="31" t="inlineStr">
        <is>
          <t>Черновая</t>
        </is>
      </c>
      <c r="C536" s="31" t="inlineStr">
        <is>
          <t>8.2.1</t>
        </is>
      </c>
      <c r="D536" s="32" t="inlineStr">
        <is>
          <t>Отделка лобби/гранд-лобби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 ht="30" customHeight="1" s="74">
      <c r="A537" s="30">
        <f>A536</f>
        <v/>
      </c>
      <c r="B537" s="31" t="inlineStr">
        <is>
          <t>Черновая</t>
        </is>
      </c>
      <c r="C537" s="31" t="inlineStr">
        <is>
          <t>8.2.2</t>
        </is>
      </c>
      <c r="D537" s="32" t="inlineStr">
        <is>
          <t>Отделка эвакуац. лестн. клетки надзем.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A536</f>
        <v/>
      </c>
      <c r="B538" s="31" t="inlineStr">
        <is>
          <t>Черновая</t>
        </is>
      </c>
      <c r="C538" s="31" t="inlineStr">
        <is>
          <t>8.2.3</t>
        </is>
      </c>
      <c r="D538" s="32" t="inlineStr">
        <is>
          <t>Лифт. холлы, тамбур-шлюзы надзем.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>
      <c r="A539" s="30">
        <f>A536</f>
        <v/>
      </c>
      <c r="B539" s="31" t="inlineStr">
        <is>
          <t>Черновая</t>
        </is>
      </c>
      <c r="C539" s="31" t="inlineStr">
        <is>
          <t>8.2.4</t>
        </is>
      </c>
      <c r="D539" s="32" t="inlineStr">
        <is>
          <t>Технич. помещения надзем.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A536</f>
        <v/>
      </c>
      <c r="B540" s="31" t="inlineStr">
        <is>
          <t>Черновая</t>
        </is>
      </c>
      <c r="C540" s="31" t="inlineStr">
        <is>
          <t>8.2.5</t>
        </is>
      </c>
      <c r="D540" s="32" t="inlineStr">
        <is>
          <t>Прочие помещения надзем.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A536</f>
        <v/>
      </c>
      <c r="B541" s="31" t="inlineStr">
        <is>
          <t>Черновая</t>
        </is>
      </c>
      <c r="C541" s="31" t="inlineStr">
        <is>
          <t>8.2.6</t>
        </is>
      </c>
      <c r="D541" s="32" t="inlineStr">
        <is>
          <t>Коммерч. помещения надзем.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A536</f>
        <v/>
      </c>
      <c r="B542" s="31" t="inlineStr">
        <is>
          <t>Черновая</t>
        </is>
      </c>
      <c r="C542" s="31" t="inlineStr">
        <is>
          <t>8.2.7</t>
        </is>
      </c>
      <c r="D542" s="32" t="inlineStr">
        <is>
          <t>Паркинг и рампы надзем.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A536</f>
        <v/>
      </c>
      <c r="B543" s="31" t="inlineStr">
        <is>
          <t>Чистовая</t>
        </is>
      </c>
      <c r="C543" s="31" t="inlineStr">
        <is>
          <t>8.2.1</t>
        </is>
      </c>
      <c r="D543" s="32" t="inlineStr">
        <is>
          <t>Отделка лобби/гранд-лобби</t>
        </is>
      </c>
      <c r="E543" s="33" t="n"/>
      <c r="F543" s="33" t="n"/>
      <c r="G543" s="33" t="n"/>
      <c r="H543" s="33" t="n"/>
      <c r="I543" s="34">
        <f>COUNTA(E543:H543)&amp;"/4"</f>
        <v/>
      </c>
    </row>
    <row r="544" ht="30" customHeight="1" s="74">
      <c r="A544" s="30">
        <f>A536</f>
        <v/>
      </c>
      <c r="B544" s="31" t="inlineStr">
        <is>
          <t>Чистовая</t>
        </is>
      </c>
      <c r="C544" s="31" t="inlineStr">
        <is>
          <t>8.2.2</t>
        </is>
      </c>
      <c r="D544" s="32" t="inlineStr">
        <is>
          <t>Отделка эвакуац. лестн. клетки надзем.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>
      <c r="A545" s="30">
        <f>A536</f>
        <v/>
      </c>
      <c r="B545" s="31" t="inlineStr">
        <is>
          <t>Чистовая</t>
        </is>
      </c>
      <c r="C545" s="31" t="inlineStr">
        <is>
          <t>8.2.3</t>
        </is>
      </c>
      <c r="D545" s="32" t="inlineStr">
        <is>
          <t>Лифт. холлы, тамбур-шлюзы надзем.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A536</f>
        <v/>
      </c>
      <c r="B546" s="31" t="inlineStr">
        <is>
          <t>Чистовая</t>
        </is>
      </c>
      <c r="C546" s="31" t="inlineStr">
        <is>
          <t>8.2.4</t>
        </is>
      </c>
      <c r="D546" s="32" t="inlineStr">
        <is>
          <t>Технич. помещения надзем.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A536</f>
        <v/>
      </c>
      <c r="B547" s="31" t="inlineStr">
        <is>
          <t>Чистовая</t>
        </is>
      </c>
      <c r="C547" s="31" t="inlineStr">
        <is>
          <t>8.2.5</t>
        </is>
      </c>
      <c r="D547" s="32" t="inlineStr">
        <is>
          <t>Прочие помещения надзем.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A536</f>
        <v/>
      </c>
      <c r="B548" s="31" t="inlineStr">
        <is>
          <t>Чистовая</t>
        </is>
      </c>
      <c r="C548" s="31" t="inlineStr">
        <is>
          <t>8.2.6</t>
        </is>
      </c>
      <c r="D548" s="32" t="inlineStr">
        <is>
          <t>Коммерч. помещения надзем.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A536</f>
        <v/>
      </c>
      <c r="B549" s="31" t="inlineStr">
        <is>
          <t>Чистовая</t>
        </is>
      </c>
      <c r="C549" s="31" t="inlineStr">
        <is>
          <t>8.2.7</t>
        </is>
      </c>
      <c r="D549" s="32" t="inlineStr">
        <is>
          <t>Паркинг и рампы надзем.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A536+7</f>
        <v/>
      </c>
      <c r="B550" s="31" t="inlineStr">
        <is>
          <t>Черновая</t>
        </is>
      </c>
      <c r="C550" s="31" t="inlineStr">
        <is>
          <t>8.2.1</t>
        </is>
      </c>
      <c r="D550" s="32" t="inlineStr">
        <is>
          <t>Отделка лобби/гранд-лобби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A550</f>
        <v/>
      </c>
      <c r="B551" s="31" t="inlineStr">
        <is>
          <t>Черновая</t>
        </is>
      </c>
      <c r="C551" s="31" t="inlineStr">
        <is>
          <t>8.2.2</t>
        </is>
      </c>
      <c r="D551" s="32" t="inlineStr">
        <is>
          <t>Отделка эвакуац. лестн. клетки надзем.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A550</f>
        <v/>
      </c>
      <c r="B552" s="31" t="inlineStr">
        <is>
          <t>Черновая</t>
        </is>
      </c>
      <c r="C552" s="31" t="inlineStr">
        <is>
          <t>8.2.3</t>
        </is>
      </c>
      <c r="D552" s="32" t="inlineStr">
        <is>
          <t>Лифт. холлы, тамбур-шлюзы надзем.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A550</f>
        <v/>
      </c>
      <c r="B553" s="31" t="inlineStr">
        <is>
          <t>Черновая</t>
        </is>
      </c>
      <c r="C553" s="31" t="inlineStr">
        <is>
          <t>8.2.4</t>
        </is>
      </c>
      <c r="D553" s="32" t="inlineStr">
        <is>
          <t>Технич. помещения надзем.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A550</f>
        <v/>
      </c>
      <c r="B554" s="31" t="inlineStr">
        <is>
          <t>Черновая</t>
        </is>
      </c>
      <c r="C554" s="31" t="inlineStr">
        <is>
          <t>8.2.5</t>
        </is>
      </c>
      <c r="D554" s="32" t="inlineStr">
        <is>
          <t>Прочие помещения надзем.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A550</f>
        <v/>
      </c>
      <c r="B555" s="31" t="inlineStr">
        <is>
          <t>Черновая</t>
        </is>
      </c>
      <c r="C555" s="31" t="inlineStr">
        <is>
          <t>8.2.6</t>
        </is>
      </c>
      <c r="D555" s="32" t="inlineStr">
        <is>
          <t>Коммерч. помещения надзем.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A550</f>
        <v/>
      </c>
      <c r="B556" s="31" t="inlineStr">
        <is>
          <t>Черновая</t>
        </is>
      </c>
      <c r="C556" s="31" t="inlineStr">
        <is>
          <t>8.2.7</t>
        </is>
      </c>
      <c r="D556" s="32" t="inlineStr">
        <is>
          <t>Паркинг и рампы надзем.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>
      <c r="A557" s="30">
        <f>A550</f>
        <v/>
      </c>
      <c r="B557" s="31" t="inlineStr">
        <is>
          <t>Чистовая</t>
        </is>
      </c>
      <c r="C557" s="31" t="inlineStr">
        <is>
          <t>8.2.1</t>
        </is>
      </c>
      <c r="D557" s="32" t="inlineStr">
        <is>
          <t>Отделка лобби/гранд-лобби</t>
        </is>
      </c>
      <c r="E557" s="33" t="n"/>
      <c r="F557" s="33" t="n"/>
      <c r="G557" s="33" t="n"/>
      <c r="H557" s="33" t="n"/>
      <c r="I557" s="34">
        <f>COUNTA(E557:H557)&amp;"/4"</f>
        <v/>
      </c>
    </row>
    <row r="558" ht="30" customHeight="1" s="74">
      <c r="A558" s="30">
        <f>A550</f>
        <v/>
      </c>
      <c r="B558" s="31" t="inlineStr">
        <is>
          <t>Чистовая</t>
        </is>
      </c>
      <c r="C558" s="31" t="inlineStr">
        <is>
          <t>8.2.2</t>
        </is>
      </c>
      <c r="D558" s="32" t="inlineStr">
        <is>
          <t>Отделка эвакуац. лестн. клетки надзем.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A550</f>
        <v/>
      </c>
      <c r="B559" s="31" t="inlineStr">
        <is>
          <t>Чистовая</t>
        </is>
      </c>
      <c r="C559" s="31" t="inlineStr">
        <is>
          <t>8.2.3</t>
        </is>
      </c>
      <c r="D559" s="32" t="inlineStr">
        <is>
          <t>Лифт. холлы, тамбур-шлюзы надзем.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A550</f>
        <v/>
      </c>
      <c r="B560" s="31" t="inlineStr">
        <is>
          <t>Чистовая</t>
        </is>
      </c>
      <c r="C560" s="31" t="inlineStr">
        <is>
          <t>8.2.4</t>
        </is>
      </c>
      <c r="D560" s="32" t="inlineStr">
        <is>
          <t>Технич. помещения надзем.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A550</f>
        <v/>
      </c>
      <c r="B561" s="31" t="inlineStr">
        <is>
          <t>Чистовая</t>
        </is>
      </c>
      <c r="C561" s="31" t="inlineStr">
        <is>
          <t>8.2.5</t>
        </is>
      </c>
      <c r="D561" s="32" t="inlineStr">
        <is>
          <t>Прочие помещения надзем.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A550</f>
        <v/>
      </c>
      <c r="B562" s="31" t="inlineStr">
        <is>
          <t>Чистовая</t>
        </is>
      </c>
      <c r="C562" s="31" t="inlineStr">
        <is>
          <t>8.2.6</t>
        </is>
      </c>
      <c r="D562" s="32" t="inlineStr">
        <is>
          <t>Коммерч. помещения надзем.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>
      <c r="A563" s="30">
        <f>A550</f>
        <v/>
      </c>
      <c r="B563" s="31" t="inlineStr">
        <is>
          <t>Чистовая</t>
        </is>
      </c>
      <c r="C563" s="31" t="inlineStr">
        <is>
          <t>8.2.7</t>
        </is>
      </c>
      <c r="D563" s="32" t="inlineStr">
        <is>
          <t>Паркинг и рампы надзем.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A550+7</f>
        <v/>
      </c>
      <c r="B564" s="31" t="inlineStr">
        <is>
          <t>Черновая</t>
        </is>
      </c>
      <c r="C564" s="31" t="inlineStr">
        <is>
          <t>8.2.1</t>
        </is>
      </c>
      <c r="D564" s="32" t="inlineStr">
        <is>
          <t>Отделка лобби/гранд-лобби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 ht="30" customHeight="1" s="74">
      <c r="A565" s="30">
        <f>A564</f>
        <v/>
      </c>
      <c r="B565" s="31" t="inlineStr">
        <is>
          <t>Черновая</t>
        </is>
      </c>
      <c r="C565" s="31" t="inlineStr">
        <is>
          <t>8.2.2</t>
        </is>
      </c>
      <c r="D565" s="32" t="inlineStr">
        <is>
          <t>Отделка эвакуац. лестн. клетки надзем.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A564</f>
        <v/>
      </c>
      <c r="B566" s="31" t="inlineStr">
        <is>
          <t>Черновая</t>
        </is>
      </c>
      <c r="C566" s="31" t="inlineStr">
        <is>
          <t>8.2.3</t>
        </is>
      </c>
      <c r="D566" s="32" t="inlineStr">
        <is>
          <t>Лифт. холлы, тамбур-шлюзы надзем.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A564</f>
        <v/>
      </c>
      <c r="B567" s="31" t="inlineStr">
        <is>
          <t>Черновая</t>
        </is>
      </c>
      <c r="C567" s="31" t="inlineStr">
        <is>
          <t>8.2.4</t>
        </is>
      </c>
      <c r="D567" s="32" t="inlineStr">
        <is>
          <t>Технич. помещения надзем.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A564</f>
        <v/>
      </c>
      <c r="B568" s="31" t="inlineStr">
        <is>
          <t>Черновая</t>
        </is>
      </c>
      <c r="C568" s="31" t="inlineStr">
        <is>
          <t>8.2.5</t>
        </is>
      </c>
      <c r="D568" s="32" t="inlineStr">
        <is>
          <t>Прочие помещения надзем.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>
      <c r="A569" s="30">
        <f>A564</f>
        <v/>
      </c>
      <c r="B569" s="31" t="inlineStr">
        <is>
          <t>Черновая</t>
        </is>
      </c>
      <c r="C569" s="31" t="inlineStr">
        <is>
          <t>8.2.6</t>
        </is>
      </c>
      <c r="D569" s="32" t="inlineStr">
        <is>
          <t>Коммерч. помещения надзем.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A564</f>
        <v/>
      </c>
      <c r="B570" s="31" t="inlineStr">
        <is>
          <t>Черновая</t>
        </is>
      </c>
      <c r="C570" s="31" t="inlineStr">
        <is>
          <t>8.2.7</t>
        </is>
      </c>
      <c r="D570" s="32" t="inlineStr">
        <is>
          <t>Паркинг и рампы надзем.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A564</f>
        <v/>
      </c>
      <c r="B571" s="31" t="inlineStr">
        <is>
          <t>Чистовая</t>
        </is>
      </c>
      <c r="C571" s="31" t="inlineStr">
        <is>
          <t>8.2.1</t>
        </is>
      </c>
      <c r="D571" s="32" t="inlineStr">
        <is>
          <t>Отделка лобби/гранд-лобби</t>
        </is>
      </c>
      <c r="E571" s="33" t="n"/>
      <c r="F571" s="33" t="n"/>
      <c r="G571" s="33" t="n"/>
      <c r="H571" s="33" t="n"/>
      <c r="I571" s="34">
        <f>COUNTA(E571:H571)&amp;"/4"</f>
        <v/>
      </c>
    </row>
    <row r="572" ht="30" customHeight="1" s="74">
      <c r="A572" s="30">
        <f>A564</f>
        <v/>
      </c>
      <c r="B572" s="31" t="inlineStr">
        <is>
          <t>Чистовая</t>
        </is>
      </c>
      <c r="C572" s="31" t="inlineStr">
        <is>
          <t>8.2.2</t>
        </is>
      </c>
      <c r="D572" s="32" t="inlineStr">
        <is>
          <t>Отделка эвакуац. лестн. клетки надзем.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A564</f>
        <v/>
      </c>
      <c r="B573" s="31" t="inlineStr">
        <is>
          <t>Чистовая</t>
        </is>
      </c>
      <c r="C573" s="31" t="inlineStr">
        <is>
          <t>8.2.3</t>
        </is>
      </c>
      <c r="D573" s="32" t="inlineStr">
        <is>
          <t>Лифт. холлы, тамбур-шлюзы надзем.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A564</f>
        <v/>
      </c>
      <c r="B574" s="31" t="inlineStr">
        <is>
          <t>Чистовая</t>
        </is>
      </c>
      <c r="C574" s="31" t="inlineStr">
        <is>
          <t>8.2.4</t>
        </is>
      </c>
      <c r="D574" s="32" t="inlineStr">
        <is>
          <t>Технич. помещения надзем.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>
      <c r="A575" s="30">
        <f>A564</f>
        <v/>
      </c>
      <c r="B575" s="31" t="inlineStr">
        <is>
          <t>Чистовая</t>
        </is>
      </c>
      <c r="C575" s="31" t="inlineStr">
        <is>
          <t>8.2.5</t>
        </is>
      </c>
      <c r="D575" s="32" t="inlineStr">
        <is>
          <t>Прочие помещения надзем.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A564</f>
        <v/>
      </c>
      <c r="B576" s="31" t="inlineStr">
        <is>
          <t>Чистовая</t>
        </is>
      </c>
      <c r="C576" s="31" t="inlineStr">
        <is>
          <t>8.2.6</t>
        </is>
      </c>
      <c r="D576" s="32" t="inlineStr">
        <is>
          <t>Коммерч. помещения надзем.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A564</f>
        <v/>
      </c>
      <c r="B577" s="31" t="inlineStr">
        <is>
          <t>Чистовая</t>
        </is>
      </c>
      <c r="C577" s="31" t="inlineStr">
        <is>
          <t>8.2.7</t>
        </is>
      </c>
      <c r="D577" s="32" t="inlineStr">
        <is>
          <t>Паркинг и рампы надзем.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A564+7</f>
        <v/>
      </c>
      <c r="B578" s="31" t="inlineStr">
        <is>
          <t>Черновая</t>
        </is>
      </c>
      <c r="C578" s="31" t="inlineStr">
        <is>
          <t>8.2.1</t>
        </is>
      </c>
      <c r="D578" s="32" t="inlineStr">
        <is>
          <t>Отделка лобби/гранд-лобби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 ht="30" customHeight="1" s="74">
      <c r="A579" s="30">
        <f>A578</f>
        <v/>
      </c>
      <c r="B579" s="31" t="inlineStr">
        <is>
          <t>Черновая</t>
        </is>
      </c>
      <c r="C579" s="31" t="inlineStr">
        <is>
          <t>8.2.2</t>
        </is>
      </c>
      <c r="D579" s="32" t="inlineStr">
        <is>
          <t>Отделка эвакуац. лестн. клетки надзем.</t>
        </is>
      </c>
      <c r="E579" s="33" t="n"/>
      <c r="F579" s="33" t="n"/>
      <c r="G579" s="33" t="n"/>
      <c r="H579" s="33" t="n"/>
      <c r="I579" s="34">
        <f>COUNTA(E579:G579)&amp;"/3"</f>
        <v/>
      </c>
    </row>
    <row r="580">
      <c r="A580" s="30">
        <f>A578</f>
        <v/>
      </c>
      <c r="B580" s="31" t="inlineStr">
        <is>
          <t>Черновая</t>
        </is>
      </c>
      <c r="C580" s="31" t="inlineStr">
        <is>
          <t>8.2.3</t>
        </is>
      </c>
      <c r="D580" s="32" t="inlineStr">
        <is>
          <t>Лифт. холлы, тамбур-шлюзы надзем.</t>
        </is>
      </c>
      <c r="E580" s="33" t="n"/>
      <c r="F580" s="33" t="n"/>
      <c r="G580" s="33" t="n"/>
      <c r="H580" s="33" t="n"/>
      <c r="I580" s="34">
        <f>COUNTA(E580:G580)&amp;"/3"</f>
        <v/>
      </c>
    </row>
    <row r="581">
      <c r="A581" s="30">
        <f>A578</f>
        <v/>
      </c>
      <c r="B581" s="31" t="inlineStr">
        <is>
          <t>Черновая</t>
        </is>
      </c>
      <c r="C581" s="31" t="inlineStr">
        <is>
          <t>8.2.4</t>
        </is>
      </c>
      <c r="D581" s="32" t="inlineStr">
        <is>
          <t>Технич. помещения надзем.</t>
        </is>
      </c>
      <c r="E581" s="33" t="n"/>
      <c r="F581" s="33" t="n"/>
      <c r="G581" s="33" t="n"/>
      <c r="H581" s="33" t="n"/>
      <c r="I581" s="34">
        <f>COUNTA(E581:G581)&amp;"/3"</f>
        <v/>
      </c>
    </row>
    <row r="582">
      <c r="A582" s="30">
        <f>A578</f>
        <v/>
      </c>
      <c r="B582" s="31" t="inlineStr">
        <is>
          <t>Черновая</t>
        </is>
      </c>
      <c r="C582" s="31" t="inlineStr">
        <is>
          <t>8.2.5</t>
        </is>
      </c>
      <c r="D582" s="32" t="inlineStr">
        <is>
          <t>Прочие помещения надзем.</t>
        </is>
      </c>
      <c r="E582" s="33" t="n"/>
      <c r="F582" s="33" t="n"/>
      <c r="G582" s="33" t="n"/>
      <c r="H582" s="33" t="n"/>
      <c r="I582" s="34">
        <f>COUNTA(E582:G582)&amp;"/3"</f>
        <v/>
      </c>
    </row>
    <row r="583">
      <c r="A583" s="30">
        <f>A578</f>
        <v/>
      </c>
      <c r="B583" s="31" t="inlineStr">
        <is>
          <t>Черновая</t>
        </is>
      </c>
      <c r="C583" s="31" t="inlineStr">
        <is>
          <t>8.2.6</t>
        </is>
      </c>
      <c r="D583" s="32" t="inlineStr">
        <is>
          <t>Коммерч. помещения надзем.</t>
        </is>
      </c>
      <c r="E583" s="33" t="n"/>
      <c r="F583" s="33" t="n"/>
      <c r="G583" s="33" t="n"/>
      <c r="H583" s="33" t="n"/>
      <c r="I583" s="34">
        <f>COUNTA(E583:G583)&amp;"/3"</f>
        <v/>
      </c>
    </row>
    <row r="584">
      <c r="A584" s="30">
        <f>A578</f>
        <v/>
      </c>
      <c r="B584" s="31" t="inlineStr">
        <is>
          <t>Черновая</t>
        </is>
      </c>
      <c r="C584" s="31" t="inlineStr">
        <is>
          <t>8.2.7</t>
        </is>
      </c>
      <c r="D584" s="32" t="inlineStr">
        <is>
          <t>Паркинг и рампы надзем.</t>
        </is>
      </c>
      <c r="E584" s="33" t="n"/>
      <c r="F584" s="33" t="n"/>
      <c r="G584" s="33" t="n"/>
      <c r="H584" s="33" t="n"/>
      <c r="I584" s="34">
        <f>COUNTA(E584:G584)&amp;"/3"</f>
        <v/>
      </c>
    </row>
    <row r="585">
      <c r="A585" s="30">
        <f>A578</f>
        <v/>
      </c>
      <c r="B585" s="31" t="inlineStr">
        <is>
          <t>Чистовая</t>
        </is>
      </c>
      <c r="C585" s="31" t="inlineStr">
        <is>
          <t>8.2.1</t>
        </is>
      </c>
      <c r="D585" s="32" t="inlineStr">
        <is>
          <t>Отделка лобби/гранд-лобби</t>
        </is>
      </c>
      <c r="E585" s="33" t="n"/>
      <c r="F585" s="33" t="n"/>
      <c r="G585" s="33" t="n"/>
      <c r="H585" s="33" t="n"/>
      <c r="I585" s="34">
        <f>COUNTA(E585:H585)&amp;"/4"</f>
        <v/>
      </c>
    </row>
    <row r="586" ht="30" customHeight="1" s="74">
      <c r="A586" s="30">
        <f>A578</f>
        <v/>
      </c>
      <c r="B586" s="31" t="inlineStr">
        <is>
          <t>Чистовая</t>
        </is>
      </c>
      <c r="C586" s="31" t="inlineStr">
        <is>
          <t>8.2.2</t>
        </is>
      </c>
      <c r="D586" s="32" t="inlineStr">
        <is>
          <t>Отделка эвакуац. лестн. клетки надзем.</t>
        </is>
      </c>
      <c r="E586" s="33" t="n"/>
      <c r="F586" s="33" t="n"/>
      <c r="G586" s="33" t="n"/>
      <c r="H586" s="33" t="n"/>
      <c r="I586" s="34">
        <f>COUNTA(E586:G586)&amp;"/3"</f>
        <v/>
      </c>
    </row>
    <row r="587">
      <c r="A587" s="30">
        <f>A578</f>
        <v/>
      </c>
      <c r="B587" s="31" t="inlineStr">
        <is>
          <t>Чистовая</t>
        </is>
      </c>
      <c r="C587" s="31" t="inlineStr">
        <is>
          <t>8.2.3</t>
        </is>
      </c>
      <c r="D587" s="32" t="inlineStr">
        <is>
          <t>Лифт. холлы, тамбур-шлюзы надзем.</t>
        </is>
      </c>
      <c r="E587" s="33" t="n"/>
      <c r="F587" s="33" t="n"/>
      <c r="G587" s="33" t="n"/>
      <c r="H587" s="33" t="n"/>
      <c r="I587" s="34">
        <f>COUNTA(E587:G587)&amp;"/3"</f>
        <v/>
      </c>
    </row>
    <row r="588">
      <c r="A588" s="30">
        <f>A578</f>
        <v/>
      </c>
      <c r="B588" s="31" t="inlineStr">
        <is>
          <t>Чистовая</t>
        </is>
      </c>
      <c r="C588" s="31" t="inlineStr">
        <is>
          <t>8.2.4</t>
        </is>
      </c>
      <c r="D588" s="32" t="inlineStr">
        <is>
          <t>Технич. помещения надзем.</t>
        </is>
      </c>
      <c r="E588" s="33" t="n"/>
      <c r="F588" s="33" t="n"/>
      <c r="G588" s="33" t="n"/>
      <c r="H588" s="33" t="n"/>
      <c r="I588" s="34">
        <f>COUNTA(E588:G588)&amp;"/3"</f>
        <v/>
      </c>
    </row>
    <row r="589">
      <c r="A589" s="30">
        <f>A578</f>
        <v/>
      </c>
      <c r="B589" s="31" t="inlineStr">
        <is>
          <t>Чистовая</t>
        </is>
      </c>
      <c r="C589" s="31" t="inlineStr">
        <is>
          <t>8.2.5</t>
        </is>
      </c>
      <c r="D589" s="32" t="inlineStr">
        <is>
          <t>Прочие помещения надзем.</t>
        </is>
      </c>
      <c r="E589" s="33" t="n"/>
      <c r="F589" s="33" t="n"/>
      <c r="G589" s="33" t="n"/>
      <c r="H589" s="33" t="n"/>
      <c r="I589" s="34">
        <f>COUNTA(E589:G589)&amp;"/3"</f>
        <v/>
      </c>
    </row>
    <row r="590">
      <c r="A590" s="30">
        <f>A578</f>
        <v/>
      </c>
      <c r="B590" s="31" t="inlineStr">
        <is>
          <t>Чистовая</t>
        </is>
      </c>
      <c r="C590" s="31" t="inlineStr">
        <is>
          <t>8.2.6</t>
        </is>
      </c>
      <c r="D590" s="32" t="inlineStr">
        <is>
          <t>Коммерч. помещения надзем.</t>
        </is>
      </c>
      <c r="E590" s="33" t="n"/>
      <c r="F590" s="33" t="n"/>
      <c r="G590" s="33" t="n"/>
      <c r="H590" s="33" t="n"/>
      <c r="I590" s="34">
        <f>COUNTA(E590:G590)&amp;"/3"</f>
        <v/>
      </c>
    </row>
    <row r="591">
      <c r="A591" s="30">
        <f>A578</f>
        <v/>
      </c>
      <c r="B591" s="31" t="inlineStr">
        <is>
          <t>Чистовая</t>
        </is>
      </c>
      <c r="C591" s="31" t="inlineStr">
        <is>
          <t>8.2.7</t>
        </is>
      </c>
      <c r="D591" s="32" t="inlineStr">
        <is>
          <t>Паркинг и рампы надзем.</t>
        </is>
      </c>
      <c r="E591" s="33" t="n"/>
      <c r="F591" s="33" t="n"/>
      <c r="G591" s="33" t="n"/>
      <c r="H591" s="33" t="n"/>
      <c r="I591" s="34">
        <f>COUNTA(E591:G591)&amp;"/3"</f>
        <v/>
      </c>
    </row>
    <row r="592">
      <c r="A592" s="30">
        <f>A578+7</f>
        <v/>
      </c>
      <c r="B592" s="31" t="inlineStr">
        <is>
          <t>Черновая</t>
        </is>
      </c>
      <c r="C592" s="31" t="inlineStr">
        <is>
          <t>8.2.1</t>
        </is>
      </c>
      <c r="D592" s="32" t="inlineStr">
        <is>
          <t>Отделка лобби/гранд-лобби</t>
        </is>
      </c>
      <c r="E592" s="33" t="n"/>
      <c r="F592" s="33" t="n"/>
      <c r="G592" s="33" t="n"/>
      <c r="H592" s="33" t="n"/>
      <c r="I592" s="34">
        <f>COUNTA(E592:G592)&amp;"/3"</f>
        <v/>
      </c>
    </row>
    <row r="593" ht="30" customHeight="1" s="74">
      <c r="A593" s="30">
        <f>A592</f>
        <v/>
      </c>
      <c r="B593" s="31" t="inlineStr">
        <is>
          <t>Черновая</t>
        </is>
      </c>
      <c r="C593" s="31" t="inlineStr">
        <is>
          <t>8.2.2</t>
        </is>
      </c>
      <c r="D593" s="32" t="inlineStr">
        <is>
          <t>Отделка эвакуац. лестн. клетки надзем.</t>
        </is>
      </c>
      <c r="E593" s="33" t="n"/>
      <c r="F593" s="33" t="n"/>
      <c r="G593" s="33" t="n"/>
      <c r="H593" s="33" t="n"/>
      <c r="I593" s="34">
        <f>COUNTA(E593:G593)&amp;"/3"</f>
        <v/>
      </c>
    </row>
    <row r="594">
      <c r="A594" s="30">
        <f>A592</f>
        <v/>
      </c>
      <c r="B594" s="31" t="inlineStr">
        <is>
          <t>Черновая</t>
        </is>
      </c>
      <c r="C594" s="31" t="inlineStr">
        <is>
          <t>8.2.3</t>
        </is>
      </c>
      <c r="D594" s="32" t="inlineStr">
        <is>
          <t>Лифт. холлы, тамбур-шлюзы надзем.</t>
        </is>
      </c>
      <c r="E594" s="33" t="n"/>
      <c r="F594" s="33" t="n"/>
      <c r="G594" s="33" t="n"/>
      <c r="H594" s="33" t="n"/>
      <c r="I594" s="34">
        <f>COUNTA(E594:G594)&amp;"/3"</f>
        <v/>
      </c>
    </row>
    <row r="595">
      <c r="A595" s="30">
        <f>A592</f>
        <v/>
      </c>
      <c r="B595" s="31" t="inlineStr">
        <is>
          <t>Черновая</t>
        </is>
      </c>
      <c r="C595" s="31" t="inlineStr">
        <is>
          <t>8.2.4</t>
        </is>
      </c>
      <c r="D595" s="32" t="inlineStr">
        <is>
          <t>Технич. помещения надзем.</t>
        </is>
      </c>
      <c r="E595" s="33" t="n"/>
      <c r="F595" s="33" t="n"/>
      <c r="G595" s="33" t="n"/>
      <c r="H595" s="33" t="n"/>
      <c r="I595" s="34">
        <f>COUNTA(E595:G595)&amp;"/3"</f>
        <v/>
      </c>
    </row>
    <row r="596">
      <c r="A596" s="30">
        <f>A592</f>
        <v/>
      </c>
      <c r="B596" s="31" t="inlineStr">
        <is>
          <t>Черновая</t>
        </is>
      </c>
      <c r="C596" s="31" t="inlineStr">
        <is>
          <t>8.2.5</t>
        </is>
      </c>
      <c r="D596" s="32" t="inlineStr">
        <is>
          <t>Прочие помещения надзем.</t>
        </is>
      </c>
      <c r="E596" s="33" t="n"/>
      <c r="F596" s="33" t="n"/>
      <c r="G596" s="33" t="n"/>
      <c r="H596" s="33" t="n"/>
      <c r="I596" s="34">
        <f>COUNTA(E596:G596)&amp;"/3"</f>
        <v/>
      </c>
    </row>
    <row r="597">
      <c r="A597" s="30">
        <f>A592</f>
        <v/>
      </c>
      <c r="B597" s="31" t="inlineStr">
        <is>
          <t>Черновая</t>
        </is>
      </c>
      <c r="C597" s="31" t="inlineStr">
        <is>
          <t>8.2.6</t>
        </is>
      </c>
      <c r="D597" s="32" t="inlineStr">
        <is>
          <t>Коммерч. помещения надзем.</t>
        </is>
      </c>
      <c r="E597" s="33" t="n"/>
      <c r="F597" s="33" t="n"/>
      <c r="G597" s="33" t="n"/>
      <c r="H597" s="33" t="n"/>
      <c r="I597" s="34">
        <f>COUNTA(E597:G597)&amp;"/3"</f>
        <v/>
      </c>
    </row>
    <row r="598">
      <c r="A598" s="30">
        <f>A592</f>
        <v/>
      </c>
      <c r="B598" s="31" t="inlineStr">
        <is>
          <t>Черновая</t>
        </is>
      </c>
      <c r="C598" s="31" t="inlineStr">
        <is>
          <t>8.2.7</t>
        </is>
      </c>
      <c r="D598" s="32" t="inlineStr">
        <is>
          <t>Паркинг и рампы надзем.</t>
        </is>
      </c>
      <c r="E598" s="33" t="n"/>
      <c r="F598" s="33" t="n"/>
      <c r="G598" s="33" t="n"/>
      <c r="H598" s="33" t="n"/>
      <c r="I598" s="34">
        <f>COUNTA(E598:G598)&amp;"/3"</f>
        <v/>
      </c>
    </row>
    <row r="599">
      <c r="A599" s="30">
        <f>A592</f>
        <v/>
      </c>
      <c r="B599" s="31" t="inlineStr">
        <is>
          <t>Чистовая</t>
        </is>
      </c>
      <c r="C599" s="31" t="inlineStr">
        <is>
          <t>8.2.1</t>
        </is>
      </c>
      <c r="D599" s="32" t="inlineStr">
        <is>
          <t>Отделка лобби/гранд-лобби</t>
        </is>
      </c>
      <c r="E599" s="33" t="n"/>
      <c r="F599" s="33" t="n"/>
      <c r="G599" s="33" t="n"/>
      <c r="H599" s="33" t="n"/>
      <c r="I599" s="34">
        <f>COUNTA(E599:H599)&amp;"/4"</f>
        <v/>
      </c>
    </row>
    <row r="600" ht="30" customHeight="1" s="74">
      <c r="A600" s="30">
        <f>A592</f>
        <v/>
      </c>
      <c r="B600" s="31" t="inlineStr">
        <is>
          <t>Чистовая</t>
        </is>
      </c>
      <c r="C600" s="31" t="inlineStr">
        <is>
          <t>8.2.2</t>
        </is>
      </c>
      <c r="D600" s="32" t="inlineStr">
        <is>
          <t>Отделка эвакуац. лестн. клетки надзем.</t>
        </is>
      </c>
      <c r="E600" s="33" t="n"/>
      <c r="F600" s="33" t="n"/>
      <c r="G600" s="33" t="n"/>
      <c r="H600" s="33" t="n"/>
      <c r="I600" s="34">
        <f>COUNTA(E600:G600)&amp;"/3"</f>
        <v/>
      </c>
    </row>
    <row r="601">
      <c r="A601" s="30">
        <f>A592</f>
        <v/>
      </c>
      <c r="B601" s="31" t="inlineStr">
        <is>
          <t>Чистовая</t>
        </is>
      </c>
      <c r="C601" s="31" t="inlineStr">
        <is>
          <t>8.2.3</t>
        </is>
      </c>
      <c r="D601" s="32" t="inlineStr">
        <is>
          <t>Лифт. холлы, тамбур-шлюзы надзем.</t>
        </is>
      </c>
      <c r="E601" s="33" t="n"/>
      <c r="F601" s="33" t="n"/>
      <c r="G601" s="33" t="n"/>
      <c r="H601" s="33" t="n"/>
      <c r="I601" s="34">
        <f>COUNTA(E601:G601)&amp;"/3"</f>
        <v/>
      </c>
    </row>
    <row r="602">
      <c r="A602" s="30">
        <f>A592</f>
        <v/>
      </c>
      <c r="B602" s="31" t="inlineStr">
        <is>
          <t>Чистовая</t>
        </is>
      </c>
      <c r="C602" s="31" t="inlineStr">
        <is>
          <t>8.2.4</t>
        </is>
      </c>
      <c r="D602" s="32" t="inlineStr">
        <is>
          <t>Технич. помещения надзем.</t>
        </is>
      </c>
      <c r="E602" s="33" t="n"/>
      <c r="F602" s="33" t="n"/>
      <c r="G602" s="33" t="n"/>
      <c r="H602" s="33" t="n"/>
      <c r="I602" s="34">
        <f>COUNTA(E602:G602)&amp;"/3"</f>
        <v/>
      </c>
    </row>
    <row r="603">
      <c r="A603" s="30">
        <f>A592</f>
        <v/>
      </c>
      <c r="B603" s="31" t="inlineStr">
        <is>
          <t>Чистовая</t>
        </is>
      </c>
      <c r="C603" s="31" t="inlineStr">
        <is>
          <t>8.2.5</t>
        </is>
      </c>
      <c r="D603" s="32" t="inlineStr">
        <is>
          <t>Прочие помещения надзем.</t>
        </is>
      </c>
      <c r="E603" s="33" t="n"/>
      <c r="F603" s="33" t="n"/>
      <c r="G603" s="33" t="n"/>
      <c r="H603" s="33" t="n"/>
      <c r="I603" s="34">
        <f>COUNTA(E603:G603)&amp;"/3"</f>
        <v/>
      </c>
    </row>
    <row r="604">
      <c r="A604" s="30">
        <f>A592</f>
        <v/>
      </c>
      <c r="B604" s="31" t="inlineStr">
        <is>
          <t>Чистовая</t>
        </is>
      </c>
      <c r="C604" s="31" t="inlineStr">
        <is>
          <t>8.2.6</t>
        </is>
      </c>
      <c r="D604" s="32" t="inlineStr">
        <is>
          <t>Коммерч. помещения надзем.</t>
        </is>
      </c>
      <c r="E604" s="33" t="n"/>
      <c r="F604" s="33" t="n"/>
      <c r="G604" s="33" t="n"/>
      <c r="H604" s="33" t="n"/>
      <c r="I604" s="34">
        <f>COUNTA(E604:G604)&amp;"/3"</f>
        <v/>
      </c>
    </row>
    <row r="605">
      <c r="A605" s="30">
        <f>A592</f>
        <v/>
      </c>
      <c r="B605" s="31" t="inlineStr">
        <is>
          <t>Чистовая</t>
        </is>
      </c>
      <c r="C605" s="31" t="inlineStr">
        <is>
          <t>8.2.7</t>
        </is>
      </c>
      <c r="D605" s="32" t="inlineStr">
        <is>
          <t>Паркинг и рампы надзем.</t>
        </is>
      </c>
      <c r="E605" s="33" t="n"/>
      <c r="F605" s="33" t="n"/>
      <c r="G605" s="33" t="n"/>
      <c r="H605" s="33" t="n"/>
      <c r="I605" s="34">
        <f>COUNTA(E605:G605)&amp;"/3"</f>
        <v/>
      </c>
    </row>
    <row r="606">
      <c r="A606" s="30">
        <f>A592+7</f>
        <v/>
      </c>
      <c r="B606" s="31" t="inlineStr">
        <is>
          <t>Черновая</t>
        </is>
      </c>
      <c r="C606" s="31" t="inlineStr">
        <is>
          <t>8.2.1</t>
        </is>
      </c>
      <c r="D606" s="32" t="inlineStr">
        <is>
          <t>Отделка лобби/гранд-лобби</t>
        </is>
      </c>
      <c r="E606" s="33" t="n"/>
      <c r="F606" s="33" t="n"/>
      <c r="G606" s="33" t="n"/>
      <c r="H606" s="33" t="n"/>
      <c r="I606" s="34">
        <f>COUNTA(E606:G606)&amp;"/3"</f>
        <v/>
      </c>
    </row>
    <row r="607" ht="30" customHeight="1" s="74">
      <c r="A607" s="30">
        <f>A606</f>
        <v/>
      </c>
      <c r="B607" s="31" t="inlineStr">
        <is>
          <t>Черновая</t>
        </is>
      </c>
      <c r="C607" s="31" t="inlineStr">
        <is>
          <t>8.2.2</t>
        </is>
      </c>
      <c r="D607" s="32" t="inlineStr">
        <is>
          <t>Отделка эвакуац. лестн. клетки надзем.</t>
        </is>
      </c>
      <c r="E607" s="33" t="n"/>
      <c r="F607" s="33" t="n"/>
      <c r="G607" s="33" t="n"/>
      <c r="H607" s="33" t="n"/>
      <c r="I607" s="34">
        <f>COUNTA(E607:G607)&amp;"/3"</f>
        <v/>
      </c>
    </row>
    <row r="608">
      <c r="A608" s="30">
        <f>A606</f>
        <v/>
      </c>
      <c r="B608" s="31" t="inlineStr">
        <is>
          <t>Черновая</t>
        </is>
      </c>
      <c r="C608" s="31" t="inlineStr">
        <is>
          <t>8.2.3</t>
        </is>
      </c>
      <c r="D608" s="32" t="inlineStr">
        <is>
          <t>Лифт. холлы, тамбур-шлюзы надзем.</t>
        </is>
      </c>
      <c r="E608" s="33" t="n"/>
      <c r="F608" s="33" t="n"/>
      <c r="G608" s="33" t="n"/>
      <c r="H608" s="33" t="n"/>
      <c r="I608" s="34">
        <f>COUNTA(E608:G608)&amp;"/3"</f>
        <v/>
      </c>
    </row>
    <row r="609">
      <c r="A609" s="30">
        <f>A606</f>
        <v/>
      </c>
      <c r="B609" s="31" t="inlineStr">
        <is>
          <t>Черновая</t>
        </is>
      </c>
      <c r="C609" s="31" t="inlineStr">
        <is>
          <t>8.2.4</t>
        </is>
      </c>
      <c r="D609" s="32" t="inlineStr">
        <is>
          <t>Технич. помещения надзем.</t>
        </is>
      </c>
      <c r="E609" s="33" t="n"/>
      <c r="F609" s="33" t="n"/>
      <c r="G609" s="33" t="n"/>
      <c r="H609" s="33" t="n"/>
      <c r="I609" s="34">
        <f>COUNTA(E609:G609)&amp;"/3"</f>
        <v/>
      </c>
    </row>
    <row r="610">
      <c r="A610" s="30">
        <f>A606</f>
        <v/>
      </c>
      <c r="B610" s="31" t="inlineStr">
        <is>
          <t>Черновая</t>
        </is>
      </c>
      <c r="C610" s="31" t="inlineStr">
        <is>
          <t>8.2.5</t>
        </is>
      </c>
      <c r="D610" s="32" t="inlineStr">
        <is>
          <t>Прочие помещения надзем.</t>
        </is>
      </c>
      <c r="E610" s="33" t="n"/>
      <c r="F610" s="33" t="n"/>
      <c r="G610" s="33" t="n"/>
      <c r="H610" s="33" t="n"/>
      <c r="I610" s="34">
        <f>COUNTA(E610:G610)&amp;"/3"</f>
        <v/>
      </c>
    </row>
    <row r="611">
      <c r="A611" s="30">
        <f>A606</f>
        <v/>
      </c>
      <c r="B611" s="31" t="inlineStr">
        <is>
          <t>Черновая</t>
        </is>
      </c>
      <c r="C611" s="31" t="inlineStr">
        <is>
          <t>8.2.6</t>
        </is>
      </c>
      <c r="D611" s="32" t="inlineStr">
        <is>
          <t>Коммерч. помещения надзем.</t>
        </is>
      </c>
      <c r="E611" s="33" t="n"/>
      <c r="F611" s="33" t="n"/>
      <c r="G611" s="33" t="n"/>
      <c r="H611" s="33" t="n"/>
      <c r="I611" s="34">
        <f>COUNTA(E611:G611)&amp;"/3"</f>
        <v/>
      </c>
    </row>
    <row r="612">
      <c r="A612" s="30">
        <f>A606</f>
        <v/>
      </c>
      <c r="B612" s="31" t="inlineStr">
        <is>
          <t>Черновая</t>
        </is>
      </c>
      <c r="C612" s="31" t="inlineStr">
        <is>
          <t>8.2.7</t>
        </is>
      </c>
      <c r="D612" s="32" t="inlineStr">
        <is>
          <t>Паркинг и рампы надзем.</t>
        </is>
      </c>
      <c r="E612" s="33" t="n"/>
      <c r="F612" s="33" t="n"/>
      <c r="G612" s="33" t="n"/>
      <c r="H612" s="33" t="n"/>
      <c r="I612" s="34">
        <f>COUNTA(E612:G612)&amp;"/3"</f>
        <v/>
      </c>
    </row>
    <row r="613">
      <c r="A613" s="30">
        <f>A606</f>
        <v/>
      </c>
      <c r="B613" s="31" t="inlineStr">
        <is>
          <t>Чистовая</t>
        </is>
      </c>
      <c r="C613" s="31" t="inlineStr">
        <is>
          <t>8.2.1</t>
        </is>
      </c>
      <c r="D613" s="32" t="inlineStr">
        <is>
          <t>Отделка лобби/гранд-лобби</t>
        </is>
      </c>
      <c r="E613" s="33" t="n"/>
      <c r="F613" s="33" t="n"/>
      <c r="G613" s="33" t="n"/>
      <c r="H613" s="33" t="n"/>
      <c r="I613" s="34">
        <f>COUNTA(E613:H613)&amp;"/4"</f>
        <v/>
      </c>
    </row>
    <row r="614" ht="30" customHeight="1" s="74">
      <c r="A614" s="30">
        <f>A606</f>
        <v/>
      </c>
      <c r="B614" s="31" t="inlineStr">
        <is>
          <t>Чистовая</t>
        </is>
      </c>
      <c r="C614" s="31" t="inlineStr">
        <is>
          <t>8.2.2</t>
        </is>
      </c>
      <c r="D614" s="32" t="inlineStr">
        <is>
          <t>Отделка эвакуац. лестн. клетки надзем.</t>
        </is>
      </c>
      <c r="E614" s="33" t="n"/>
      <c r="F614" s="33" t="n"/>
      <c r="G614" s="33" t="n"/>
      <c r="H614" s="33" t="n"/>
      <c r="I614" s="34">
        <f>COUNTA(E614:G614)&amp;"/3"</f>
        <v/>
      </c>
    </row>
    <row r="615">
      <c r="A615" s="30">
        <f>A606</f>
        <v/>
      </c>
      <c r="B615" s="31" t="inlineStr">
        <is>
          <t>Чистовая</t>
        </is>
      </c>
      <c r="C615" s="31" t="inlineStr">
        <is>
          <t>8.2.3</t>
        </is>
      </c>
      <c r="D615" s="32" t="inlineStr">
        <is>
          <t>Лифт. холлы, тамбур-шлюзы надзем.</t>
        </is>
      </c>
      <c r="E615" s="33" t="n"/>
      <c r="F615" s="33" t="n"/>
      <c r="G615" s="33" t="n"/>
      <c r="H615" s="33" t="n"/>
      <c r="I615" s="34">
        <f>COUNTA(E615:G615)&amp;"/3"</f>
        <v/>
      </c>
    </row>
    <row r="616">
      <c r="A616" s="30">
        <f>A606</f>
        <v/>
      </c>
      <c r="B616" s="31" t="inlineStr">
        <is>
          <t>Чистовая</t>
        </is>
      </c>
      <c r="C616" s="31" t="inlineStr">
        <is>
          <t>8.2.4</t>
        </is>
      </c>
      <c r="D616" s="32" t="inlineStr">
        <is>
          <t>Технич. помещения надзем.</t>
        </is>
      </c>
      <c r="E616" s="33" t="n"/>
      <c r="F616" s="33" t="n"/>
      <c r="G616" s="33" t="n"/>
      <c r="H616" s="33" t="n"/>
      <c r="I616" s="34">
        <f>COUNTA(E616:G616)&amp;"/3"</f>
        <v/>
      </c>
    </row>
    <row r="617">
      <c r="A617" s="30">
        <f>A606</f>
        <v/>
      </c>
      <c r="B617" s="31" t="inlineStr">
        <is>
          <t>Чистовая</t>
        </is>
      </c>
      <c r="C617" s="31" t="inlineStr">
        <is>
          <t>8.2.5</t>
        </is>
      </c>
      <c r="D617" s="32" t="inlineStr">
        <is>
          <t>Прочие помещения надзем.</t>
        </is>
      </c>
      <c r="E617" s="33" t="n"/>
      <c r="F617" s="33" t="n"/>
      <c r="G617" s="33" t="n"/>
      <c r="H617" s="33" t="n"/>
      <c r="I617" s="34">
        <f>COUNTA(E617:G617)&amp;"/3"</f>
        <v/>
      </c>
    </row>
    <row r="618">
      <c r="A618" s="30">
        <f>A606</f>
        <v/>
      </c>
      <c r="B618" s="31" t="inlineStr">
        <is>
          <t>Чистовая</t>
        </is>
      </c>
      <c r="C618" s="31" t="inlineStr">
        <is>
          <t>8.2.6</t>
        </is>
      </c>
      <c r="D618" s="32" t="inlineStr">
        <is>
          <t>Коммерч. помещения надзем.</t>
        </is>
      </c>
      <c r="E618" s="33" t="n"/>
      <c r="F618" s="33" t="n"/>
      <c r="G618" s="33" t="n"/>
      <c r="H618" s="33" t="n"/>
      <c r="I618" s="34">
        <f>COUNTA(E618:G618)&amp;"/3"</f>
        <v/>
      </c>
    </row>
    <row r="619">
      <c r="A619" s="30">
        <f>A606</f>
        <v/>
      </c>
      <c r="B619" s="31" t="inlineStr">
        <is>
          <t>Чистовая</t>
        </is>
      </c>
      <c r="C619" s="31" t="inlineStr">
        <is>
          <t>8.2.7</t>
        </is>
      </c>
      <c r="D619" s="32" t="inlineStr">
        <is>
          <t>Паркинг и рампы надзем.</t>
        </is>
      </c>
      <c r="E619" s="33" t="n"/>
      <c r="F619" s="33" t="n"/>
      <c r="G619" s="33" t="n"/>
      <c r="H619" s="33" t="n"/>
      <c r="I619" s="34">
        <f>COUNTA(E619:G619)&amp;"/3"</f>
        <v/>
      </c>
    </row>
    <row r="620">
      <c r="A620" s="30">
        <f>A606+7</f>
        <v/>
      </c>
      <c r="B620" s="31" t="inlineStr">
        <is>
          <t>Черновая</t>
        </is>
      </c>
      <c r="C620" s="31" t="inlineStr">
        <is>
          <t>8.2.1</t>
        </is>
      </c>
      <c r="D620" s="32" t="inlineStr">
        <is>
          <t>Отделка лобби/гранд-лобби</t>
        </is>
      </c>
      <c r="E620" s="33" t="n"/>
      <c r="F620" s="33" t="n"/>
      <c r="G620" s="33" t="n"/>
      <c r="H620" s="33" t="n"/>
      <c r="I620" s="34">
        <f>COUNTA(E620:G620)&amp;"/3"</f>
        <v/>
      </c>
    </row>
    <row r="621" ht="30" customHeight="1" s="74">
      <c r="A621" s="30">
        <f>A620</f>
        <v/>
      </c>
      <c r="B621" s="31" t="inlineStr">
        <is>
          <t>Черновая</t>
        </is>
      </c>
      <c r="C621" s="31" t="inlineStr">
        <is>
          <t>8.2.2</t>
        </is>
      </c>
      <c r="D621" s="32" t="inlineStr">
        <is>
          <t>Отделка эвакуац. лестн. клетки надзем.</t>
        </is>
      </c>
      <c r="E621" s="33" t="n"/>
      <c r="F621" s="33" t="n"/>
      <c r="G621" s="33" t="n"/>
      <c r="H621" s="33" t="n"/>
      <c r="I621" s="34">
        <f>COUNTA(E621:G621)&amp;"/3"</f>
        <v/>
      </c>
    </row>
    <row r="622">
      <c r="A622" s="30">
        <f>A620</f>
        <v/>
      </c>
      <c r="B622" s="31" t="inlineStr">
        <is>
          <t>Черновая</t>
        </is>
      </c>
      <c r="C622" s="31" t="inlineStr">
        <is>
          <t>8.2.3</t>
        </is>
      </c>
      <c r="D622" s="32" t="inlineStr">
        <is>
          <t>Лифт. холлы, тамбур-шлюзы надзем.</t>
        </is>
      </c>
      <c r="E622" s="33" t="n"/>
      <c r="F622" s="33" t="n"/>
      <c r="G622" s="33" t="n"/>
      <c r="H622" s="33" t="n"/>
      <c r="I622" s="34">
        <f>COUNTA(E622:G622)&amp;"/3"</f>
        <v/>
      </c>
    </row>
    <row r="623">
      <c r="A623" s="30">
        <f>A620</f>
        <v/>
      </c>
      <c r="B623" s="31" t="inlineStr">
        <is>
          <t>Черновая</t>
        </is>
      </c>
      <c r="C623" s="31" t="inlineStr">
        <is>
          <t>8.2.4</t>
        </is>
      </c>
      <c r="D623" s="32" t="inlineStr">
        <is>
          <t>Технич. помещения надзем.</t>
        </is>
      </c>
      <c r="E623" s="33" t="n"/>
      <c r="F623" s="33" t="n"/>
      <c r="G623" s="33" t="n"/>
      <c r="H623" s="33" t="n"/>
      <c r="I623" s="34">
        <f>COUNTA(E623:G623)&amp;"/3"</f>
        <v/>
      </c>
    </row>
    <row r="624">
      <c r="A624" s="30">
        <f>A620</f>
        <v/>
      </c>
      <c r="B624" s="31" t="inlineStr">
        <is>
          <t>Черновая</t>
        </is>
      </c>
      <c r="C624" s="31" t="inlineStr">
        <is>
          <t>8.2.5</t>
        </is>
      </c>
      <c r="D624" s="32" t="inlineStr">
        <is>
          <t>Прочие помещения надзем.</t>
        </is>
      </c>
      <c r="E624" s="33" t="n"/>
      <c r="F624" s="33" t="n"/>
      <c r="G624" s="33" t="n"/>
      <c r="H624" s="33" t="n"/>
      <c r="I624" s="34">
        <f>COUNTA(E624:G624)&amp;"/3"</f>
        <v/>
      </c>
    </row>
    <row r="625">
      <c r="A625" s="30">
        <f>A620</f>
        <v/>
      </c>
      <c r="B625" s="31" t="inlineStr">
        <is>
          <t>Черновая</t>
        </is>
      </c>
      <c r="C625" s="31" t="inlineStr">
        <is>
          <t>8.2.6</t>
        </is>
      </c>
      <c r="D625" s="32" t="inlineStr">
        <is>
          <t>Коммерч. помещения надзем.</t>
        </is>
      </c>
      <c r="E625" s="33" t="n"/>
      <c r="F625" s="33" t="n"/>
      <c r="G625" s="33" t="n"/>
      <c r="H625" s="33" t="n"/>
      <c r="I625" s="34">
        <f>COUNTA(E625:G625)&amp;"/3"</f>
        <v/>
      </c>
    </row>
    <row r="626">
      <c r="A626" s="30">
        <f>A620</f>
        <v/>
      </c>
      <c r="B626" s="31" t="inlineStr">
        <is>
          <t>Черновая</t>
        </is>
      </c>
      <c r="C626" s="31" t="inlineStr">
        <is>
          <t>8.2.7</t>
        </is>
      </c>
      <c r="D626" s="32" t="inlineStr">
        <is>
          <t>Паркинг и рампы надзем.</t>
        </is>
      </c>
      <c r="E626" s="33" t="n"/>
      <c r="F626" s="33" t="n"/>
      <c r="G626" s="33" t="n"/>
      <c r="H626" s="33" t="n"/>
      <c r="I626" s="34">
        <f>COUNTA(E626:G626)&amp;"/3"</f>
        <v/>
      </c>
    </row>
    <row r="627">
      <c r="A627" s="30">
        <f>A620</f>
        <v/>
      </c>
      <c r="B627" s="31" t="inlineStr">
        <is>
          <t>Чистовая</t>
        </is>
      </c>
      <c r="C627" s="31" t="inlineStr">
        <is>
          <t>8.2.1</t>
        </is>
      </c>
      <c r="D627" s="32" t="inlineStr">
        <is>
          <t>Отделка лобби/гранд-лобби</t>
        </is>
      </c>
      <c r="E627" s="33" t="n"/>
      <c r="F627" s="33" t="n"/>
      <c r="G627" s="33" t="n"/>
      <c r="H627" s="33" t="n"/>
      <c r="I627" s="34">
        <f>COUNTA(E627:H627)&amp;"/4"</f>
        <v/>
      </c>
    </row>
    <row r="628" ht="30" customHeight="1" s="74">
      <c r="A628" s="30">
        <f>A620</f>
        <v/>
      </c>
      <c r="B628" s="31" t="inlineStr">
        <is>
          <t>Чистовая</t>
        </is>
      </c>
      <c r="C628" s="31" t="inlineStr">
        <is>
          <t>8.2.2</t>
        </is>
      </c>
      <c r="D628" s="32" t="inlineStr">
        <is>
          <t>Отделка эвакуац. лестн. клетки надзем.</t>
        </is>
      </c>
      <c r="E628" s="33" t="n"/>
      <c r="F628" s="33" t="n"/>
      <c r="G628" s="33" t="n"/>
      <c r="H628" s="33" t="n"/>
      <c r="I628" s="34">
        <f>COUNTA(E628:G628)&amp;"/3"</f>
        <v/>
      </c>
    </row>
    <row r="629">
      <c r="A629" s="30">
        <f>A620</f>
        <v/>
      </c>
      <c r="B629" s="31" t="inlineStr">
        <is>
          <t>Чистовая</t>
        </is>
      </c>
      <c r="C629" s="31" t="inlineStr">
        <is>
          <t>8.2.3</t>
        </is>
      </c>
      <c r="D629" s="32" t="inlineStr">
        <is>
          <t>Лифт. холлы, тамбур-шлюзы надзем.</t>
        </is>
      </c>
      <c r="E629" s="33" t="n"/>
      <c r="F629" s="33" t="n"/>
      <c r="G629" s="33" t="n"/>
      <c r="H629" s="33" t="n"/>
      <c r="I629" s="34">
        <f>COUNTA(E629:G629)&amp;"/3"</f>
        <v/>
      </c>
    </row>
    <row r="630">
      <c r="A630" s="30">
        <f>A620</f>
        <v/>
      </c>
      <c r="B630" s="31" t="inlineStr">
        <is>
          <t>Чистовая</t>
        </is>
      </c>
      <c r="C630" s="31" t="inlineStr">
        <is>
          <t>8.2.4</t>
        </is>
      </c>
      <c r="D630" s="32" t="inlineStr">
        <is>
          <t>Технич. помещения надзем.</t>
        </is>
      </c>
      <c r="E630" s="33" t="n"/>
      <c r="F630" s="33" t="n"/>
      <c r="G630" s="33" t="n"/>
      <c r="H630" s="33" t="n"/>
      <c r="I630" s="34">
        <f>COUNTA(E630:G630)&amp;"/3"</f>
        <v/>
      </c>
    </row>
    <row r="631">
      <c r="A631" s="30">
        <f>A620</f>
        <v/>
      </c>
      <c r="B631" s="31" t="inlineStr">
        <is>
          <t>Чистовая</t>
        </is>
      </c>
      <c r="C631" s="31" t="inlineStr">
        <is>
          <t>8.2.5</t>
        </is>
      </c>
      <c r="D631" s="32" t="inlineStr">
        <is>
          <t>Прочие помещения надзем.</t>
        </is>
      </c>
      <c r="E631" s="33" t="n"/>
      <c r="F631" s="33" t="n"/>
      <c r="G631" s="33" t="n"/>
      <c r="H631" s="33" t="n"/>
      <c r="I631" s="34">
        <f>COUNTA(E631:G631)&amp;"/3"</f>
        <v/>
      </c>
    </row>
    <row r="632">
      <c r="A632" s="30">
        <f>A620</f>
        <v/>
      </c>
      <c r="B632" s="31" t="inlineStr">
        <is>
          <t>Чистовая</t>
        </is>
      </c>
      <c r="C632" s="31" t="inlineStr">
        <is>
          <t>8.2.6</t>
        </is>
      </c>
      <c r="D632" s="32" t="inlineStr">
        <is>
          <t>Коммерч. помещения надзем.</t>
        </is>
      </c>
      <c r="E632" s="33" t="n"/>
      <c r="F632" s="33" t="n"/>
      <c r="G632" s="33" t="n"/>
      <c r="H632" s="33" t="n"/>
      <c r="I632" s="34">
        <f>COUNTA(E632:G632)&amp;"/3"</f>
        <v/>
      </c>
    </row>
    <row r="633">
      <c r="A633" s="30">
        <f>A620</f>
        <v/>
      </c>
      <c r="B633" s="31" t="inlineStr">
        <is>
          <t>Чистовая</t>
        </is>
      </c>
      <c r="C633" s="31" t="inlineStr">
        <is>
          <t>8.2.7</t>
        </is>
      </c>
      <c r="D633" s="32" t="inlineStr">
        <is>
          <t>Паркинг и рампы надзем.</t>
        </is>
      </c>
      <c r="E633" s="33" t="n"/>
      <c r="F633" s="33" t="n"/>
      <c r="G633" s="33" t="n"/>
      <c r="H633" s="33" t="n"/>
      <c r="I633" s="34">
        <f>COUNTA(E633:G633)&amp;"/3"</f>
        <v/>
      </c>
    </row>
    <row r="634">
      <c r="A634" s="30">
        <f>A620+7</f>
        <v/>
      </c>
      <c r="B634" s="31" t="inlineStr">
        <is>
          <t>Черновая</t>
        </is>
      </c>
      <c r="C634" s="31" t="inlineStr">
        <is>
          <t>8.2.1</t>
        </is>
      </c>
      <c r="D634" s="32" t="inlineStr">
        <is>
          <t>Отделка лобби/гранд-лобби</t>
        </is>
      </c>
      <c r="E634" s="33" t="n"/>
      <c r="F634" s="33" t="n"/>
      <c r="G634" s="33" t="n"/>
      <c r="H634" s="33" t="n"/>
      <c r="I634" s="34">
        <f>COUNTA(E634:G634)&amp;"/3"</f>
        <v/>
      </c>
    </row>
    <row r="635" ht="30" customHeight="1" s="74">
      <c r="A635" s="30">
        <f>A634</f>
        <v/>
      </c>
      <c r="B635" s="31" t="inlineStr">
        <is>
          <t>Черновая</t>
        </is>
      </c>
      <c r="C635" s="31" t="inlineStr">
        <is>
          <t>8.2.2</t>
        </is>
      </c>
      <c r="D635" s="32" t="inlineStr">
        <is>
          <t>Отделка эвакуац. лестн. клетки надзем.</t>
        </is>
      </c>
      <c r="E635" s="33" t="n"/>
      <c r="F635" s="33" t="n"/>
      <c r="G635" s="33" t="n"/>
      <c r="H635" s="33" t="n"/>
      <c r="I635" s="34">
        <f>COUNTA(E635:G635)&amp;"/3"</f>
        <v/>
      </c>
    </row>
    <row r="636">
      <c r="A636" s="30">
        <f>A634</f>
        <v/>
      </c>
      <c r="B636" s="31" t="inlineStr">
        <is>
          <t>Черновая</t>
        </is>
      </c>
      <c r="C636" s="31" t="inlineStr">
        <is>
          <t>8.2.3</t>
        </is>
      </c>
      <c r="D636" s="32" t="inlineStr">
        <is>
          <t>Лифт. холлы, тамбур-шлюзы надзем.</t>
        </is>
      </c>
      <c r="E636" s="33" t="n"/>
      <c r="F636" s="33" t="n"/>
      <c r="G636" s="33" t="n"/>
      <c r="H636" s="33" t="n"/>
      <c r="I636" s="34">
        <f>COUNTA(E636:G636)&amp;"/3"</f>
        <v/>
      </c>
    </row>
    <row r="637">
      <c r="A637" s="30">
        <f>A634</f>
        <v/>
      </c>
      <c r="B637" s="31" t="inlineStr">
        <is>
          <t>Черновая</t>
        </is>
      </c>
      <c r="C637" s="31" t="inlineStr">
        <is>
          <t>8.2.4</t>
        </is>
      </c>
      <c r="D637" s="32" t="inlineStr">
        <is>
          <t>Технич. помещения надзем.</t>
        </is>
      </c>
      <c r="E637" s="33" t="n"/>
      <c r="F637" s="33" t="n"/>
      <c r="G637" s="33" t="n"/>
      <c r="H637" s="33" t="n"/>
      <c r="I637" s="34">
        <f>COUNTA(E637:G637)&amp;"/3"</f>
        <v/>
      </c>
    </row>
    <row r="638">
      <c r="A638" s="30">
        <f>A634</f>
        <v/>
      </c>
      <c r="B638" s="31" t="inlineStr">
        <is>
          <t>Черновая</t>
        </is>
      </c>
      <c r="C638" s="31" t="inlineStr">
        <is>
          <t>8.2.5</t>
        </is>
      </c>
      <c r="D638" s="32" t="inlineStr">
        <is>
          <t>Прочие помещения надзем.</t>
        </is>
      </c>
      <c r="E638" s="33" t="n"/>
      <c r="F638" s="33" t="n"/>
      <c r="G638" s="33" t="n"/>
      <c r="H638" s="33" t="n"/>
      <c r="I638" s="34">
        <f>COUNTA(E638:G638)&amp;"/3"</f>
        <v/>
      </c>
    </row>
    <row r="639">
      <c r="A639" s="30">
        <f>A634</f>
        <v/>
      </c>
      <c r="B639" s="31" t="inlineStr">
        <is>
          <t>Черновая</t>
        </is>
      </c>
      <c r="C639" s="31" t="inlineStr">
        <is>
          <t>8.2.6</t>
        </is>
      </c>
      <c r="D639" s="32" t="inlineStr">
        <is>
          <t>Коммерч. помещения надзем.</t>
        </is>
      </c>
      <c r="E639" s="33" t="n"/>
      <c r="F639" s="33" t="n"/>
      <c r="G639" s="33" t="n"/>
      <c r="H639" s="33" t="n"/>
      <c r="I639" s="34">
        <f>COUNTA(E639:G639)&amp;"/3"</f>
        <v/>
      </c>
    </row>
    <row r="640">
      <c r="A640" s="30">
        <f>A634</f>
        <v/>
      </c>
      <c r="B640" s="31" t="inlineStr">
        <is>
          <t>Черновая</t>
        </is>
      </c>
      <c r="C640" s="31" t="inlineStr">
        <is>
          <t>8.2.7</t>
        </is>
      </c>
      <c r="D640" s="32" t="inlineStr">
        <is>
          <t>Паркинг и рампы надзем.</t>
        </is>
      </c>
      <c r="E640" s="33" t="n"/>
      <c r="F640" s="33" t="n"/>
      <c r="G640" s="33" t="n"/>
      <c r="H640" s="33" t="n"/>
      <c r="I640" s="34">
        <f>COUNTA(E640:G640)&amp;"/3"</f>
        <v/>
      </c>
    </row>
    <row r="641">
      <c r="A641" s="30">
        <f>A634</f>
        <v/>
      </c>
      <c r="B641" s="31" t="inlineStr">
        <is>
          <t>Чистовая</t>
        </is>
      </c>
      <c r="C641" s="31" t="inlineStr">
        <is>
          <t>8.2.1</t>
        </is>
      </c>
      <c r="D641" s="32" t="inlineStr">
        <is>
          <t>Отделка лобби/гранд-лобби</t>
        </is>
      </c>
      <c r="E641" s="33" t="n"/>
      <c r="F641" s="33" t="n"/>
      <c r="G641" s="33" t="n"/>
      <c r="H641" s="33" t="n"/>
      <c r="I641" s="34">
        <f>COUNTA(E641:H641)&amp;"/4"</f>
        <v/>
      </c>
    </row>
    <row r="642" ht="30" customHeight="1" s="74">
      <c r="A642" s="30">
        <f>A634</f>
        <v/>
      </c>
      <c r="B642" s="31" t="inlineStr">
        <is>
          <t>Чистовая</t>
        </is>
      </c>
      <c r="C642" s="31" t="inlineStr">
        <is>
          <t>8.2.2</t>
        </is>
      </c>
      <c r="D642" s="32" t="inlineStr">
        <is>
          <t>Отделка эвакуац. лестн. клетки надзем.</t>
        </is>
      </c>
      <c r="E642" s="33" t="n"/>
      <c r="F642" s="33" t="n"/>
      <c r="G642" s="33" t="n"/>
      <c r="H642" s="33" t="n"/>
      <c r="I642" s="34">
        <f>COUNTA(E642:G642)&amp;"/3"</f>
        <v/>
      </c>
    </row>
    <row r="643">
      <c r="A643" s="30">
        <f>A634</f>
        <v/>
      </c>
      <c r="B643" s="31" t="inlineStr">
        <is>
          <t>Чистовая</t>
        </is>
      </c>
      <c r="C643" s="31" t="inlineStr">
        <is>
          <t>8.2.3</t>
        </is>
      </c>
      <c r="D643" s="32" t="inlineStr">
        <is>
          <t>Лифт. холлы, тамбур-шлюзы надзем.</t>
        </is>
      </c>
      <c r="E643" s="33" t="n"/>
      <c r="F643" s="33" t="n"/>
      <c r="G643" s="33" t="n"/>
      <c r="H643" s="33" t="n"/>
      <c r="I643" s="34">
        <f>COUNTA(E643:G643)&amp;"/3"</f>
        <v/>
      </c>
    </row>
    <row r="644">
      <c r="A644" s="30">
        <f>A634</f>
        <v/>
      </c>
      <c r="B644" s="31" t="inlineStr">
        <is>
          <t>Чистовая</t>
        </is>
      </c>
      <c r="C644" s="31" t="inlineStr">
        <is>
          <t>8.2.4</t>
        </is>
      </c>
      <c r="D644" s="32" t="inlineStr">
        <is>
          <t>Технич. помещения надзем.</t>
        </is>
      </c>
      <c r="E644" s="33" t="n"/>
      <c r="F644" s="33" t="n"/>
      <c r="G644" s="33" t="n"/>
      <c r="H644" s="33" t="n"/>
      <c r="I644" s="34">
        <f>COUNTA(E644:G644)&amp;"/3"</f>
        <v/>
      </c>
    </row>
    <row r="645">
      <c r="A645" s="30">
        <f>A634</f>
        <v/>
      </c>
      <c r="B645" s="31" t="inlineStr">
        <is>
          <t>Чистовая</t>
        </is>
      </c>
      <c r="C645" s="31" t="inlineStr">
        <is>
          <t>8.2.5</t>
        </is>
      </c>
      <c r="D645" s="32" t="inlineStr">
        <is>
          <t>Прочие помещения надзем.</t>
        </is>
      </c>
      <c r="E645" s="33" t="n"/>
      <c r="F645" s="33" t="n"/>
      <c r="G645" s="33" t="n"/>
      <c r="H645" s="33" t="n"/>
      <c r="I645" s="34">
        <f>COUNTA(E645:G645)&amp;"/3"</f>
        <v/>
      </c>
    </row>
    <row r="646">
      <c r="A646" s="30">
        <f>A634</f>
        <v/>
      </c>
      <c r="B646" s="31" t="inlineStr">
        <is>
          <t>Чистовая</t>
        </is>
      </c>
      <c r="C646" s="31" t="inlineStr">
        <is>
          <t>8.2.6</t>
        </is>
      </c>
      <c r="D646" s="32" t="inlineStr">
        <is>
          <t>Коммерч. помещения надзем.</t>
        </is>
      </c>
      <c r="E646" s="33" t="n"/>
      <c r="F646" s="33" t="n"/>
      <c r="G646" s="33" t="n"/>
      <c r="H646" s="33" t="n"/>
      <c r="I646" s="34">
        <f>COUNTA(E646:G646)&amp;"/3"</f>
        <v/>
      </c>
    </row>
    <row r="647">
      <c r="A647" s="30">
        <f>A634</f>
        <v/>
      </c>
      <c r="B647" s="31" t="inlineStr">
        <is>
          <t>Чистовая</t>
        </is>
      </c>
      <c r="C647" s="31" t="inlineStr">
        <is>
          <t>8.2.7</t>
        </is>
      </c>
      <c r="D647" s="32" t="inlineStr">
        <is>
          <t>Паркинг и рампы надзем.</t>
        </is>
      </c>
      <c r="E647" s="33" t="n"/>
      <c r="F647" s="33" t="n"/>
      <c r="G647" s="33" t="n"/>
      <c r="H647" s="33" t="n"/>
      <c r="I647" s="34">
        <f>COUNTA(E647:G647)&amp;"/3"</f>
        <v/>
      </c>
    </row>
    <row r="648">
      <c r="A648" s="30">
        <f>A634+7</f>
        <v/>
      </c>
      <c r="B648" s="31" t="inlineStr">
        <is>
          <t>Черновая</t>
        </is>
      </c>
      <c r="C648" s="31" t="inlineStr">
        <is>
          <t>8.2.1</t>
        </is>
      </c>
      <c r="D648" s="32" t="inlineStr">
        <is>
          <t>Отделка лобби/гранд-лобби</t>
        </is>
      </c>
      <c r="E648" s="33" t="n"/>
      <c r="F648" s="33" t="n"/>
      <c r="G648" s="33" t="n"/>
      <c r="H648" s="33" t="n"/>
      <c r="I648" s="34">
        <f>COUNTA(E648:G648)&amp;"/3"</f>
        <v/>
      </c>
    </row>
    <row r="649" ht="30" customHeight="1" s="74">
      <c r="A649" s="30">
        <f>A648</f>
        <v/>
      </c>
      <c r="B649" s="31" t="inlineStr">
        <is>
          <t>Черновая</t>
        </is>
      </c>
      <c r="C649" s="31" t="inlineStr">
        <is>
          <t>8.2.2</t>
        </is>
      </c>
      <c r="D649" s="32" t="inlineStr">
        <is>
          <t>Отделка эвакуац. лестн. клетки надзем.</t>
        </is>
      </c>
      <c r="E649" s="33" t="n"/>
      <c r="F649" s="33" t="n"/>
      <c r="G649" s="33" t="n"/>
      <c r="H649" s="33" t="n"/>
      <c r="I649" s="34">
        <f>COUNTA(E649:G649)&amp;"/3"</f>
        <v/>
      </c>
    </row>
    <row r="650">
      <c r="A650" s="30">
        <f>A648</f>
        <v/>
      </c>
      <c r="B650" s="31" t="inlineStr">
        <is>
          <t>Черновая</t>
        </is>
      </c>
      <c r="C650" s="31" t="inlineStr">
        <is>
          <t>8.2.3</t>
        </is>
      </c>
      <c r="D650" s="32" t="inlineStr">
        <is>
          <t>Лифт. холлы, тамбур-шлюзы надзем.</t>
        </is>
      </c>
      <c r="E650" s="33" t="n"/>
      <c r="F650" s="33" t="n"/>
      <c r="G650" s="33" t="n"/>
      <c r="H650" s="33" t="n"/>
      <c r="I650" s="34">
        <f>COUNTA(E650:G650)&amp;"/3"</f>
        <v/>
      </c>
    </row>
    <row r="651">
      <c r="A651" s="30">
        <f>A648</f>
        <v/>
      </c>
      <c r="B651" s="31" t="inlineStr">
        <is>
          <t>Черновая</t>
        </is>
      </c>
      <c r="C651" s="31" t="inlineStr">
        <is>
          <t>8.2.4</t>
        </is>
      </c>
      <c r="D651" s="32" t="inlineStr">
        <is>
          <t>Технич. помещения надзем.</t>
        </is>
      </c>
      <c r="E651" s="33" t="n"/>
      <c r="F651" s="33" t="n"/>
      <c r="G651" s="33" t="n"/>
      <c r="H651" s="33" t="n"/>
      <c r="I651" s="34">
        <f>COUNTA(E651:G651)&amp;"/3"</f>
        <v/>
      </c>
    </row>
    <row r="652">
      <c r="A652" s="30">
        <f>A648</f>
        <v/>
      </c>
      <c r="B652" s="31" t="inlineStr">
        <is>
          <t>Черновая</t>
        </is>
      </c>
      <c r="C652" s="31" t="inlineStr">
        <is>
          <t>8.2.5</t>
        </is>
      </c>
      <c r="D652" s="32" t="inlineStr">
        <is>
          <t>Прочие помещения надзем.</t>
        </is>
      </c>
      <c r="E652" s="33" t="n"/>
      <c r="F652" s="33" t="n"/>
      <c r="G652" s="33" t="n"/>
      <c r="H652" s="33" t="n"/>
      <c r="I652" s="34">
        <f>COUNTA(E652:G652)&amp;"/3"</f>
        <v/>
      </c>
    </row>
    <row r="653">
      <c r="A653" s="30">
        <f>A648</f>
        <v/>
      </c>
      <c r="B653" s="31" t="inlineStr">
        <is>
          <t>Черновая</t>
        </is>
      </c>
      <c r="C653" s="31" t="inlineStr">
        <is>
          <t>8.2.6</t>
        </is>
      </c>
      <c r="D653" s="32" t="inlineStr">
        <is>
          <t>Коммерч. помещения надзем.</t>
        </is>
      </c>
      <c r="E653" s="33" t="n"/>
      <c r="F653" s="33" t="n"/>
      <c r="G653" s="33" t="n"/>
      <c r="H653" s="33" t="n"/>
      <c r="I653" s="34">
        <f>COUNTA(E653:G653)&amp;"/3"</f>
        <v/>
      </c>
    </row>
    <row r="654">
      <c r="A654" s="30">
        <f>A648</f>
        <v/>
      </c>
      <c r="B654" s="31" t="inlineStr">
        <is>
          <t>Черновая</t>
        </is>
      </c>
      <c r="C654" s="31" t="inlineStr">
        <is>
          <t>8.2.7</t>
        </is>
      </c>
      <c r="D654" s="32" t="inlineStr">
        <is>
          <t>Паркинг и рампы надзем.</t>
        </is>
      </c>
      <c r="E654" s="33" t="n"/>
      <c r="F654" s="33" t="n"/>
      <c r="G654" s="33" t="n"/>
      <c r="H654" s="33" t="n"/>
      <c r="I654" s="34">
        <f>COUNTA(E654:G654)&amp;"/3"</f>
        <v/>
      </c>
    </row>
    <row r="655">
      <c r="A655" s="30">
        <f>A648</f>
        <v/>
      </c>
      <c r="B655" s="31" t="inlineStr">
        <is>
          <t>Чистовая</t>
        </is>
      </c>
      <c r="C655" s="31" t="inlineStr">
        <is>
          <t>8.2.1</t>
        </is>
      </c>
      <c r="D655" s="32" t="inlineStr">
        <is>
          <t>Отделка лобби/гранд-лобби</t>
        </is>
      </c>
      <c r="E655" s="33" t="n"/>
      <c r="F655" s="33" t="n"/>
      <c r="G655" s="33" t="n"/>
      <c r="H655" s="33" t="n"/>
      <c r="I655" s="34">
        <f>COUNTA(E655:H655)&amp;"/4"</f>
        <v/>
      </c>
    </row>
    <row r="656" ht="30" customHeight="1" s="74">
      <c r="A656" s="30">
        <f>A648</f>
        <v/>
      </c>
      <c r="B656" s="31" t="inlineStr">
        <is>
          <t>Чистовая</t>
        </is>
      </c>
      <c r="C656" s="31" t="inlineStr">
        <is>
          <t>8.2.2</t>
        </is>
      </c>
      <c r="D656" s="32" t="inlineStr">
        <is>
          <t>Отделка эвакуац. лестн. клетки надзем.</t>
        </is>
      </c>
      <c r="E656" s="33" t="n"/>
      <c r="F656" s="33" t="n"/>
      <c r="G656" s="33" t="n"/>
      <c r="H656" s="33" t="n"/>
      <c r="I656" s="34">
        <f>COUNTA(E656:G656)&amp;"/3"</f>
        <v/>
      </c>
    </row>
    <row r="657">
      <c r="A657" s="30">
        <f>A648</f>
        <v/>
      </c>
      <c r="B657" s="31" t="inlineStr">
        <is>
          <t>Чистовая</t>
        </is>
      </c>
      <c r="C657" s="31" t="inlineStr">
        <is>
          <t>8.2.3</t>
        </is>
      </c>
      <c r="D657" s="32" t="inlineStr">
        <is>
          <t>Лифт. холлы, тамбур-шлюзы надзем.</t>
        </is>
      </c>
      <c r="E657" s="33" t="n"/>
      <c r="F657" s="33" t="n"/>
      <c r="G657" s="33" t="n"/>
      <c r="H657" s="33" t="n"/>
      <c r="I657" s="34">
        <f>COUNTA(E657:G657)&amp;"/3"</f>
        <v/>
      </c>
    </row>
    <row r="658">
      <c r="A658" s="30">
        <f>A648</f>
        <v/>
      </c>
      <c r="B658" s="31" t="inlineStr">
        <is>
          <t>Чистовая</t>
        </is>
      </c>
      <c r="C658" s="31" t="inlineStr">
        <is>
          <t>8.2.4</t>
        </is>
      </c>
      <c r="D658" s="32" t="inlineStr">
        <is>
          <t>Технич. помещения надзем.</t>
        </is>
      </c>
      <c r="E658" s="33" t="n"/>
      <c r="F658" s="33" t="n"/>
      <c r="G658" s="33" t="n"/>
      <c r="H658" s="33" t="n"/>
      <c r="I658" s="34">
        <f>COUNTA(E658:G658)&amp;"/3"</f>
        <v/>
      </c>
    </row>
    <row r="659">
      <c r="A659" s="30">
        <f>A648</f>
        <v/>
      </c>
      <c r="B659" s="31" t="inlineStr">
        <is>
          <t>Чистовая</t>
        </is>
      </c>
      <c r="C659" s="31" t="inlineStr">
        <is>
          <t>8.2.5</t>
        </is>
      </c>
      <c r="D659" s="32" t="inlineStr">
        <is>
          <t>Прочие помещения надзем.</t>
        </is>
      </c>
      <c r="E659" s="33" t="n"/>
      <c r="F659" s="33" t="n"/>
      <c r="G659" s="33" t="n"/>
      <c r="H659" s="33" t="n"/>
      <c r="I659" s="34">
        <f>COUNTA(E659:G659)&amp;"/3"</f>
        <v/>
      </c>
    </row>
    <row r="660">
      <c r="A660" s="30">
        <f>A648</f>
        <v/>
      </c>
      <c r="B660" s="31" t="inlineStr">
        <is>
          <t>Чистовая</t>
        </is>
      </c>
      <c r="C660" s="31" t="inlineStr">
        <is>
          <t>8.2.6</t>
        </is>
      </c>
      <c r="D660" s="32" t="inlineStr">
        <is>
          <t>Коммерч. помещения надзем.</t>
        </is>
      </c>
      <c r="E660" s="33" t="n"/>
      <c r="F660" s="33" t="n"/>
      <c r="G660" s="33" t="n"/>
      <c r="H660" s="33" t="n"/>
      <c r="I660" s="34">
        <f>COUNTA(E660:G660)&amp;"/3"</f>
        <v/>
      </c>
    </row>
    <row r="661">
      <c r="A661" s="30">
        <f>A648</f>
        <v/>
      </c>
      <c r="B661" s="31" t="inlineStr">
        <is>
          <t>Чистовая</t>
        </is>
      </c>
      <c r="C661" s="31" t="inlineStr">
        <is>
          <t>8.2.7</t>
        </is>
      </c>
      <c r="D661" s="32" t="inlineStr">
        <is>
          <t>Паркинг и рампы надзем.</t>
        </is>
      </c>
      <c r="E661" s="33" t="n"/>
      <c r="F661" s="33" t="n"/>
      <c r="G661" s="33" t="n"/>
      <c r="H661" s="33" t="n"/>
      <c r="I661" s="34">
        <f>COUNTA(E661:G661)&amp;"/3"</f>
        <v/>
      </c>
    </row>
    <row r="662">
      <c r="A662" s="30">
        <f>A648+7</f>
        <v/>
      </c>
      <c r="B662" s="31" t="inlineStr">
        <is>
          <t>Черновая</t>
        </is>
      </c>
      <c r="C662" s="31" t="inlineStr">
        <is>
          <t>8.2.1</t>
        </is>
      </c>
      <c r="D662" s="32" t="inlineStr">
        <is>
          <t>Отделка лобби/гранд-лобби</t>
        </is>
      </c>
      <c r="E662" s="33" t="n"/>
      <c r="F662" s="33" t="n"/>
      <c r="G662" s="33" t="n"/>
      <c r="H662" s="33" t="n"/>
      <c r="I662" s="34">
        <f>COUNTA(E662:G662)&amp;"/3"</f>
        <v/>
      </c>
    </row>
    <row r="663" ht="30" customHeight="1" s="74">
      <c r="A663" s="30">
        <f>A662</f>
        <v/>
      </c>
      <c r="B663" s="31" t="inlineStr">
        <is>
          <t>Черновая</t>
        </is>
      </c>
      <c r="C663" s="31" t="inlineStr">
        <is>
          <t>8.2.2</t>
        </is>
      </c>
      <c r="D663" s="32" t="inlineStr">
        <is>
          <t>Отделка эвакуац. лестн. клетки надзем.</t>
        </is>
      </c>
      <c r="E663" s="33" t="n"/>
      <c r="F663" s="33" t="n"/>
      <c r="G663" s="33" t="n"/>
      <c r="H663" s="33" t="n"/>
      <c r="I663" s="34">
        <f>COUNTA(E663:G663)&amp;"/3"</f>
        <v/>
      </c>
    </row>
    <row r="664">
      <c r="A664" s="30">
        <f>A662</f>
        <v/>
      </c>
      <c r="B664" s="31" t="inlineStr">
        <is>
          <t>Черновая</t>
        </is>
      </c>
      <c r="C664" s="31" t="inlineStr">
        <is>
          <t>8.2.3</t>
        </is>
      </c>
      <c r="D664" s="32" t="inlineStr">
        <is>
          <t>Лифт. холлы, тамбур-шлюзы надзем.</t>
        </is>
      </c>
      <c r="E664" s="33" t="n"/>
      <c r="F664" s="33" t="n"/>
      <c r="G664" s="33" t="n"/>
      <c r="H664" s="33" t="n"/>
      <c r="I664" s="34">
        <f>COUNTA(E664:G664)&amp;"/3"</f>
        <v/>
      </c>
    </row>
    <row r="665">
      <c r="A665" s="30">
        <f>A662</f>
        <v/>
      </c>
      <c r="B665" s="31" t="inlineStr">
        <is>
          <t>Черновая</t>
        </is>
      </c>
      <c r="C665" s="31" t="inlineStr">
        <is>
          <t>8.2.4</t>
        </is>
      </c>
      <c r="D665" s="32" t="inlineStr">
        <is>
          <t>Технич. помещения надзем.</t>
        </is>
      </c>
      <c r="E665" s="33" t="n"/>
      <c r="F665" s="33" t="n"/>
      <c r="G665" s="33" t="n"/>
      <c r="H665" s="33" t="n"/>
      <c r="I665" s="34">
        <f>COUNTA(E665:G665)&amp;"/3"</f>
        <v/>
      </c>
    </row>
    <row r="666">
      <c r="A666" s="30">
        <f>A662</f>
        <v/>
      </c>
      <c r="B666" s="31" t="inlineStr">
        <is>
          <t>Черновая</t>
        </is>
      </c>
      <c r="C666" s="31" t="inlineStr">
        <is>
          <t>8.2.5</t>
        </is>
      </c>
      <c r="D666" s="32" t="inlineStr">
        <is>
          <t>Прочие помещения надзем.</t>
        </is>
      </c>
      <c r="E666" s="33" t="n"/>
      <c r="F666" s="33" t="n"/>
      <c r="G666" s="33" t="n"/>
      <c r="H666" s="33" t="n"/>
      <c r="I666" s="34">
        <f>COUNTA(E666:G666)&amp;"/3"</f>
        <v/>
      </c>
    </row>
    <row r="667">
      <c r="A667" s="30">
        <f>A662</f>
        <v/>
      </c>
      <c r="B667" s="31" t="inlineStr">
        <is>
          <t>Черновая</t>
        </is>
      </c>
      <c r="C667" s="31" t="inlineStr">
        <is>
          <t>8.2.6</t>
        </is>
      </c>
      <c r="D667" s="32" t="inlineStr">
        <is>
          <t>Коммерч. помещения надзем.</t>
        </is>
      </c>
      <c r="E667" s="33" t="n"/>
      <c r="F667" s="33" t="n"/>
      <c r="G667" s="33" t="n"/>
      <c r="H667" s="33" t="n"/>
      <c r="I667" s="34">
        <f>COUNTA(E667:G667)&amp;"/3"</f>
        <v/>
      </c>
    </row>
    <row r="668">
      <c r="A668" s="30">
        <f>A662</f>
        <v/>
      </c>
      <c r="B668" s="31" t="inlineStr">
        <is>
          <t>Черновая</t>
        </is>
      </c>
      <c r="C668" s="31" t="inlineStr">
        <is>
          <t>8.2.7</t>
        </is>
      </c>
      <c r="D668" s="32" t="inlineStr">
        <is>
          <t>Паркинг и рампы надзем.</t>
        </is>
      </c>
      <c r="E668" s="33" t="n"/>
      <c r="F668" s="33" t="n"/>
      <c r="G668" s="33" t="n"/>
      <c r="H668" s="33" t="n"/>
      <c r="I668" s="34">
        <f>COUNTA(E668:G668)&amp;"/3"</f>
        <v/>
      </c>
    </row>
    <row r="669">
      <c r="A669" s="30">
        <f>A662</f>
        <v/>
      </c>
      <c r="B669" s="31" t="inlineStr">
        <is>
          <t>Чистовая</t>
        </is>
      </c>
      <c r="C669" s="31" t="inlineStr">
        <is>
          <t>8.2.1</t>
        </is>
      </c>
      <c r="D669" s="32" t="inlineStr">
        <is>
          <t>Отделка лобби/гранд-лобби</t>
        </is>
      </c>
      <c r="E669" s="33" t="n"/>
      <c r="F669" s="33" t="n"/>
      <c r="G669" s="33" t="n"/>
      <c r="H669" s="33" t="n"/>
      <c r="I669" s="34">
        <f>COUNTA(E669:H669)&amp;"/4"</f>
        <v/>
      </c>
    </row>
    <row r="670" ht="30" customHeight="1" s="74">
      <c r="A670" s="30">
        <f>A662</f>
        <v/>
      </c>
      <c r="B670" s="31" t="inlineStr">
        <is>
          <t>Чистовая</t>
        </is>
      </c>
      <c r="C670" s="31" t="inlineStr">
        <is>
          <t>8.2.2</t>
        </is>
      </c>
      <c r="D670" s="32" t="inlineStr">
        <is>
          <t>Отделка эвакуац. лестн. клетки надзем.</t>
        </is>
      </c>
      <c r="E670" s="33" t="n"/>
      <c r="F670" s="33" t="n"/>
      <c r="G670" s="33" t="n"/>
      <c r="H670" s="33" t="n"/>
      <c r="I670" s="34">
        <f>COUNTA(E670:G670)&amp;"/3"</f>
        <v/>
      </c>
    </row>
    <row r="671">
      <c r="A671" s="30">
        <f>A662</f>
        <v/>
      </c>
      <c r="B671" s="31" t="inlineStr">
        <is>
          <t>Чистовая</t>
        </is>
      </c>
      <c r="C671" s="31" t="inlineStr">
        <is>
          <t>8.2.3</t>
        </is>
      </c>
      <c r="D671" s="32" t="inlineStr">
        <is>
          <t>Лифт. холлы, тамбур-шлюзы надзем.</t>
        </is>
      </c>
      <c r="E671" s="33" t="n"/>
      <c r="F671" s="33" t="n"/>
      <c r="G671" s="33" t="n"/>
      <c r="H671" s="33" t="n"/>
      <c r="I671" s="34">
        <f>COUNTA(E671:G671)&amp;"/3"</f>
        <v/>
      </c>
    </row>
    <row r="672">
      <c r="A672" s="30">
        <f>A662</f>
        <v/>
      </c>
      <c r="B672" s="31" t="inlineStr">
        <is>
          <t>Чистовая</t>
        </is>
      </c>
      <c r="C672" s="31" t="inlineStr">
        <is>
          <t>8.2.4</t>
        </is>
      </c>
      <c r="D672" s="32" t="inlineStr">
        <is>
          <t>Технич. помещения надзем.</t>
        </is>
      </c>
      <c r="E672" s="33" t="n"/>
      <c r="F672" s="33" t="n"/>
      <c r="G672" s="33" t="n"/>
      <c r="H672" s="33" t="n"/>
      <c r="I672" s="34">
        <f>COUNTA(E672:G672)&amp;"/3"</f>
        <v/>
      </c>
    </row>
    <row r="673">
      <c r="A673" s="30">
        <f>A662</f>
        <v/>
      </c>
      <c r="B673" s="31" t="inlineStr">
        <is>
          <t>Чистовая</t>
        </is>
      </c>
      <c r="C673" s="31" t="inlineStr">
        <is>
          <t>8.2.5</t>
        </is>
      </c>
      <c r="D673" s="32" t="inlineStr">
        <is>
          <t>Прочие помещения надзем.</t>
        </is>
      </c>
      <c r="E673" s="33" t="n"/>
      <c r="F673" s="33" t="n"/>
      <c r="G673" s="33" t="n"/>
      <c r="H673" s="33" t="n"/>
      <c r="I673" s="34">
        <f>COUNTA(E673:G673)&amp;"/3"</f>
        <v/>
      </c>
    </row>
    <row r="674">
      <c r="A674" s="30">
        <f>A662</f>
        <v/>
      </c>
      <c r="B674" s="31" t="inlineStr">
        <is>
          <t>Чистовая</t>
        </is>
      </c>
      <c r="C674" s="31" t="inlineStr">
        <is>
          <t>8.2.6</t>
        </is>
      </c>
      <c r="D674" s="32" t="inlineStr">
        <is>
          <t>Коммерч. помещения надзем.</t>
        </is>
      </c>
      <c r="E674" s="33" t="n"/>
      <c r="F674" s="33" t="n"/>
      <c r="G674" s="33" t="n"/>
      <c r="H674" s="33" t="n"/>
      <c r="I674" s="34">
        <f>COUNTA(E674:G674)&amp;"/3"</f>
        <v/>
      </c>
    </row>
    <row r="675">
      <c r="A675" s="30">
        <f>A662</f>
        <v/>
      </c>
      <c r="B675" s="31" t="inlineStr">
        <is>
          <t>Чистовая</t>
        </is>
      </c>
      <c r="C675" s="31" t="inlineStr">
        <is>
          <t>8.2.7</t>
        </is>
      </c>
      <c r="D675" s="32" t="inlineStr">
        <is>
          <t>Паркинг и рампы надзем.</t>
        </is>
      </c>
      <c r="E675" s="33" t="n"/>
      <c r="F675" s="33" t="n"/>
      <c r="G675" s="33" t="n"/>
      <c r="H675" s="33" t="n"/>
      <c r="I675" s="34">
        <f>COUNTA(E675:G675)&amp;"/3"</f>
        <v/>
      </c>
    </row>
  </sheetData>
  <mergeCells count="2">
    <mergeCell ref="A1:I1"/>
    <mergeCell ref="A2:I2"/>
  </mergeCells>
  <conditionalFormatting sqref="A4:I675">
    <cfRule type="expression" priority="1" dxfId="0">
      <formula>AND($A4&lt;=TODAY(),$A4+6&gt;=TODAY())</formula>
    </cfRule>
  </conditionalFormatting>
  <dataValidations count="1">
    <dataValidation sqref="E4:H67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B050"/>
    <outlinePr summaryBelow="1" summaryRight="1"/>
    <pageSetUpPr/>
  </sheetPr>
  <dimension ref="A1:I675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К2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8.2.1</t>
        </is>
      </c>
      <c r="D4" s="32" t="inlineStr">
        <is>
          <t>Отделка лобби/гранд-лобби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8.2.2</t>
        </is>
      </c>
      <c r="D5" s="32" t="inlineStr">
        <is>
          <t>Отделка эвакуац. лестн. клетки надзем.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8.2.3</t>
        </is>
      </c>
      <c r="D6" s="32" t="inlineStr">
        <is>
          <t>Лифт. холлы, тамбур-шлюзы надзем.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8.2.4</t>
        </is>
      </c>
      <c r="D7" s="32" t="inlineStr">
        <is>
          <t>Технич. помещения надзем.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8.2.5</t>
        </is>
      </c>
      <c r="D8" s="32" t="inlineStr">
        <is>
          <t>Прочие помещения надзем.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8.2.6</t>
        </is>
      </c>
      <c r="D9" s="32" t="inlineStr">
        <is>
          <t>Коммерч. помещения надзем.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Черновая</t>
        </is>
      </c>
      <c r="C10" s="31" t="inlineStr">
        <is>
          <t>8.2.7</t>
        </is>
      </c>
      <c r="D10" s="32" t="inlineStr">
        <is>
          <t>Паркинг и рампы надзем.</t>
        </is>
      </c>
      <c r="E10" s="33" t="n"/>
      <c r="F10" s="33" t="n"/>
      <c r="G10" s="33" t="n"/>
      <c r="H10" s="33" t="n"/>
      <c r="I10" s="34">
        <f>COUNTA(E10:G10)&amp;"/3"</f>
        <v/>
      </c>
    </row>
    <row r="11">
      <c r="A11" s="30">
        <f>A4</f>
        <v/>
      </c>
      <c r="B11" s="31" t="inlineStr">
        <is>
          <t>Чистовая</t>
        </is>
      </c>
      <c r="C11" s="31" t="inlineStr">
        <is>
          <t>8.2.1</t>
        </is>
      </c>
      <c r="D11" s="32" t="inlineStr">
        <is>
          <t>Отделка лобби/гранд-лобби</t>
        </is>
      </c>
      <c r="E11" s="33" t="n"/>
      <c r="F11" s="33" t="n"/>
      <c r="G11" s="33" t="n"/>
      <c r="H11" s="33" t="n"/>
      <c r="I11" s="34">
        <f>COUNTA(E11:H11)&amp;"/4"</f>
        <v/>
      </c>
    </row>
    <row r="12" ht="30" customHeight="1" s="74">
      <c r="A12" s="30">
        <f>A4</f>
        <v/>
      </c>
      <c r="B12" s="31" t="inlineStr">
        <is>
          <t>Чистовая</t>
        </is>
      </c>
      <c r="C12" s="31" t="inlineStr">
        <is>
          <t>8.2.2</t>
        </is>
      </c>
      <c r="D12" s="32" t="inlineStr">
        <is>
          <t>Отделка эвакуац. лестн. клетки надзем.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8.2.3</t>
        </is>
      </c>
      <c r="D13" s="32" t="inlineStr">
        <is>
          <t>Лифт. холлы, тамбур-шлюзы надзем.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8.2.4</t>
        </is>
      </c>
      <c r="D14" s="32" t="inlineStr">
        <is>
          <t>Технич. помещения надзем.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8.2.5</t>
        </is>
      </c>
      <c r="D15" s="32" t="inlineStr">
        <is>
          <t>Прочие помещения надзем.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</f>
        <v/>
      </c>
      <c r="B16" s="31" t="inlineStr">
        <is>
          <t>Чистовая</t>
        </is>
      </c>
      <c r="C16" s="31" t="inlineStr">
        <is>
          <t>8.2.6</t>
        </is>
      </c>
      <c r="D16" s="32" t="inlineStr">
        <is>
          <t>Коммерч. помещения надзем.</t>
        </is>
      </c>
      <c r="E16" s="33" t="n"/>
      <c r="F16" s="33" t="n"/>
      <c r="G16" s="33" t="n"/>
      <c r="H16" s="33" t="n"/>
      <c r="I16" s="34">
        <f>COUNTA(E16:G16)&amp;"/3"</f>
        <v/>
      </c>
    </row>
    <row r="17">
      <c r="A17" s="30">
        <f>A4</f>
        <v/>
      </c>
      <c r="B17" s="31" t="inlineStr">
        <is>
          <t>Чистовая</t>
        </is>
      </c>
      <c r="C17" s="31" t="inlineStr">
        <is>
          <t>8.2.7</t>
        </is>
      </c>
      <c r="D17" s="32" t="inlineStr">
        <is>
          <t>Паркинг и рампы надзем.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A4+7</f>
        <v/>
      </c>
      <c r="B18" s="31" t="inlineStr">
        <is>
          <t>Черновая</t>
        </is>
      </c>
      <c r="C18" s="31" t="inlineStr">
        <is>
          <t>8.2.1</t>
        </is>
      </c>
      <c r="D18" s="32" t="inlineStr">
        <is>
          <t>Отделка лобби/гранд-лобби</t>
        </is>
      </c>
      <c r="E18" s="33" t="n"/>
      <c r="F18" s="33" t="n"/>
      <c r="G18" s="33" t="n"/>
      <c r="H18" s="33" t="n"/>
      <c r="I18" s="34">
        <f>COUNTA(E18:G18)&amp;"/3"</f>
        <v/>
      </c>
    </row>
    <row r="19" ht="30" customHeight="1" s="74">
      <c r="A19" s="30">
        <f>A18</f>
        <v/>
      </c>
      <c r="B19" s="31" t="inlineStr">
        <is>
          <t>Черновая</t>
        </is>
      </c>
      <c r="C19" s="31" t="inlineStr">
        <is>
          <t>8.2.2</t>
        </is>
      </c>
      <c r="D19" s="32" t="inlineStr">
        <is>
          <t>Отделка эвакуац. лестн. клетки надзем.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A18</f>
        <v/>
      </c>
      <c r="B20" s="31" t="inlineStr">
        <is>
          <t>Черновая</t>
        </is>
      </c>
      <c r="C20" s="31" t="inlineStr">
        <is>
          <t>8.2.3</t>
        </is>
      </c>
      <c r="D20" s="32" t="inlineStr">
        <is>
          <t>Лифт. холлы, тамбур-шлюзы надзем.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A18</f>
        <v/>
      </c>
      <c r="B21" s="31" t="inlineStr">
        <is>
          <t>Черновая</t>
        </is>
      </c>
      <c r="C21" s="31" t="inlineStr">
        <is>
          <t>8.2.4</t>
        </is>
      </c>
      <c r="D21" s="32" t="inlineStr">
        <is>
          <t>Технич. помещения надзем.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A18</f>
        <v/>
      </c>
      <c r="B22" s="31" t="inlineStr">
        <is>
          <t>Черновая</t>
        </is>
      </c>
      <c r="C22" s="31" t="inlineStr">
        <is>
          <t>8.2.5</t>
        </is>
      </c>
      <c r="D22" s="32" t="inlineStr">
        <is>
          <t>Прочие помещения надзем.</t>
        </is>
      </c>
      <c r="E22" s="33" t="n"/>
      <c r="F22" s="33" t="n"/>
      <c r="G22" s="33" t="n"/>
      <c r="H22" s="33" t="n"/>
      <c r="I22" s="34">
        <f>COUNTA(E22:G22)&amp;"/3"</f>
        <v/>
      </c>
    </row>
    <row r="23">
      <c r="A23" s="30">
        <f>A18</f>
        <v/>
      </c>
      <c r="B23" s="31" t="inlineStr">
        <is>
          <t>Черновая</t>
        </is>
      </c>
      <c r="C23" s="31" t="inlineStr">
        <is>
          <t>8.2.6</t>
        </is>
      </c>
      <c r="D23" s="32" t="inlineStr">
        <is>
          <t>Коммерч. помещения надзем.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A18</f>
        <v/>
      </c>
      <c r="B24" s="31" t="inlineStr">
        <is>
          <t>Черновая</t>
        </is>
      </c>
      <c r="C24" s="31" t="inlineStr">
        <is>
          <t>8.2.7</t>
        </is>
      </c>
      <c r="D24" s="32" t="inlineStr">
        <is>
          <t>Паркинг и рампы надзем.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A18</f>
        <v/>
      </c>
      <c r="B25" s="31" t="inlineStr">
        <is>
          <t>Чистовая</t>
        </is>
      </c>
      <c r="C25" s="31" t="inlineStr">
        <is>
          <t>8.2.1</t>
        </is>
      </c>
      <c r="D25" s="32" t="inlineStr">
        <is>
          <t>Отделка лобби/гранд-лобби</t>
        </is>
      </c>
      <c r="E25" s="33" t="n"/>
      <c r="F25" s="33" t="n"/>
      <c r="G25" s="33" t="n"/>
      <c r="H25" s="33" t="n"/>
      <c r="I25" s="34">
        <f>COUNTA(E25:H25)&amp;"/4"</f>
        <v/>
      </c>
    </row>
    <row r="26" ht="30" customHeight="1" s="74">
      <c r="A26" s="30">
        <f>A18</f>
        <v/>
      </c>
      <c r="B26" s="31" t="inlineStr">
        <is>
          <t>Чистовая</t>
        </is>
      </c>
      <c r="C26" s="31" t="inlineStr">
        <is>
          <t>8.2.2</t>
        </is>
      </c>
      <c r="D26" s="32" t="inlineStr">
        <is>
          <t>Отделка эвакуац. лестн. клетки надзем.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A18</f>
        <v/>
      </c>
      <c r="B27" s="31" t="inlineStr">
        <is>
          <t>Чистовая</t>
        </is>
      </c>
      <c r="C27" s="31" t="inlineStr">
        <is>
          <t>8.2.3</t>
        </is>
      </c>
      <c r="D27" s="32" t="inlineStr">
        <is>
          <t>Лифт. холлы, тамбур-шлюзы надзем.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A18</f>
        <v/>
      </c>
      <c r="B28" s="31" t="inlineStr">
        <is>
          <t>Чистовая</t>
        </is>
      </c>
      <c r="C28" s="31" t="inlineStr">
        <is>
          <t>8.2.4</t>
        </is>
      </c>
      <c r="D28" s="32" t="inlineStr">
        <is>
          <t>Технич. помещения надзем.</t>
        </is>
      </c>
      <c r="E28" s="33" t="n"/>
      <c r="F28" s="33" t="n"/>
      <c r="G28" s="33" t="n"/>
      <c r="H28" s="33" t="n"/>
      <c r="I28" s="34">
        <f>COUNTA(E28:G28)&amp;"/3"</f>
        <v/>
      </c>
    </row>
    <row r="29">
      <c r="A29" s="30">
        <f>A18</f>
        <v/>
      </c>
      <c r="B29" s="31" t="inlineStr">
        <is>
          <t>Чистовая</t>
        </is>
      </c>
      <c r="C29" s="31" t="inlineStr">
        <is>
          <t>8.2.5</t>
        </is>
      </c>
      <c r="D29" s="32" t="inlineStr">
        <is>
          <t>Прочие помещения надзем.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A18</f>
        <v/>
      </c>
      <c r="B30" s="31" t="inlineStr">
        <is>
          <t>Чистовая</t>
        </is>
      </c>
      <c r="C30" s="31" t="inlineStr">
        <is>
          <t>8.2.6</t>
        </is>
      </c>
      <c r="D30" s="32" t="inlineStr">
        <is>
          <t>Коммерч. помещения надзем.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A18</f>
        <v/>
      </c>
      <c r="B31" s="31" t="inlineStr">
        <is>
          <t>Чистовая</t>
        </is>
      </c>
      <c r="C31" s="31" t="inlineStr">
        <is>
          <t>8.2.7</t>
        </is>
      </c>
      <c r="D31" s="32" t="inlineStr">
        <is>
          <t>Паркинг и рампы надзем.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A18+7</f>
        <v/>
      </c>
      <c r="B32" s="31" t="inlineStr">
        <is>
          <t>Черновая</t>
        </is>
      </c>
      <c r="C32" s="31" t="inlineStr">
        <is>
          <t>8.2.1</t>
        </is>
      </c>
      <c r="D32" s="32" t="inlineStr">
        <is>
          <t>Отделка лобби/гранд-лобби</t>
        </is>
      </c>
      <c r="E32" s="33" t="n"/>
      <c r="F32" s="33" t="n"/>
      <c r="G32" s="33" t="n"/>
      <c r="H32" s="33" t="n"/>
      <c r="I32" s="34">
        <f>COUNTA(E32:G32)&amp;"/3"</f>
        <v/>
      </c>
    </row>
    <row r="33" ht="30" customHeight="1" s="74">
      <c r="A33" s="30">
        <f>A32</f>
        <v/>
      </c>
      <c r="B33" s="31" t="inlineStr">
        <is>
          <t>Черновая</t>
        </is>
      </c>
      <c r="C33" s="31" t="inlineStr">
        <is>
          <t>8.2.2</t>
        </is>
      </c>
      <c r="D33" s="32" t="inlineStr">
        <is>
          <t>Отделка эвакуац. лестн. клетки надзем.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A32</f>
        <v/>
      </c>
      <c r="B34" s="31" t="inlineStr">
        <is>
          <t>Черновая</t>
        </is>
      </c>
      <c r="C34" s="31" t="inlineStr">
        <is>
          <t>8.2.3</t>
        </is>
      </c>
      <c r="D34" s="32" t="inlineStr">
        <is>
          <t>Лифт. холлы, тамбур-шлюзы надзем.</t>
        </is>
      </c>
      <c r="E34" s="33" t="n"/>
      <c r="F34" s="33" t="n"/>
      <c r="G34" s="33" t="n"/>
      <c r="H34" s="33" t="n"/>
      <c r="I34" s="34">
        <f>COUNTA(E34:G34)&amp;"/3"</f>
        <v/>
      </c>
    </row>
    <row r="35">
      <c r="A35" s="30">
        <f>A32</f>
        <v/>
      </c>
      <c r="B35" s="31" t="inlineStr">
        <is>
          <t>Черновая</t>
        </is>
      </c>
      <c r="C35" s="31" t="inlineStr">
        <is>
          <t>8.2.4</t>
        </is>
      </c>
      <c r="D35" s="32" t="inlineStr">
        <is>
          <t>Технич. помещения надзем.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A32</f>
        <v/>
      </c>
      <c r="B36" s="31" t="inlineStr">
        <is>
          <t>Черновая</t>
        </is>
      </c>
      <c r="C36" s="31" t="inlineStr">
        <is>
          <t>8.2.5</t>
        </is>
      </c>
      <c r="D36" s="32" t="inlineStr">
        <is>
          <t>Прочие помещения надзем.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A32</f>
        <v/>
      </c>
      <c r="B37" s="31" t="inlineStr">
        <is>
          <t>Черновая</t>
        </is>
      </c>
      <c r="C37" s="31" t="inlineStr">
        <is>
          <t>8.2.6</t>
        </is>
      </c>
      <c r="D37" s="32" t="inlineStr">
        <is>
          <t>Коммерч. помещения надзем.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A32</f>
        <v/>
      </c>
      <c r="B38" s="31" t="inlineStr">
        <is>
          <t>Черновая</t>
        </is>
      </c>
      <c r="C38" s="31" t="inlineStr">
        <is>
          <t>8.2.7</t>
        </is>
      </c>
      <c r="D38" s="32" t="inlineStr">
        <is>
          <t>Паркинг и рампы надзем.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A32</f>
        <v/>
      </c>
      <c r="B39" s="31" t="inlineStr">
        <is>
          <t>Чистовая</t>
        </is>
      </c>
      <c r="C39" s="31" t="inlineStr">
        <is>
          <t>8.2.1</t>
        </is>
      </c>
      <c r="D39" s="32" t="inlineStr">
        <is>
          <t>Отделка лобби/гранд-лобби</t>
        </is>
      </c>
      <c r="E39" s="33" t="n"/>
      <c r="F39" s="33" t="n"/>
      <c r="G39" s="33" t="n"/>
      <c r="H39" s="33" t="n"/>
      <c r="I39" s="34">
        <f>COUNTA(E39:H39)&amp;"/4"</f>
        <v/>
      </c>
    </row>
    <row r="40" ht="30" customHeight="1" s="74">
      <c r="A40" s="30">
        <f>A32</f>
        <v/>
      </c>
      <c r="B40" s="31" t="inlineStr">
        <is>
          <t>Чистовая</t>
        </is>
      </c>
      <c r="C40" s="31" t="inlineStr">
        <is>
          <t>8.2.2</t>
        </is>
      </c>
      <c r="D40" s="32" t="inlineStr">
        <is>
          <t>Отделка эвакуац. лестн. клетки надзем.</t>
        </is>
      </c>
      <c r="E40" s="33" t="n"/>
      <c r="F40" s="33" t="n"/>
      <c r="G40" s="33" t="n"/>
      <c r="H40" s="33" t="n"/>
      <c r="I40" s="34">
        <f>COUNTA(E40:G40)&amp;"/3"</f>
        <v/>
      </c>
    </row>
    <row r="41">
      <c r="A41" s="30">
        <f>A32</f>
        <v/>
      </c>
      <c r="B41" s="31" t="inlineStr">
        <is>
          <t>Чистовая</t>
        </is>
      </c>
      <c r="C41" s="31" t="inlineStr">
        <is>
          <t>8.2.3</t>
        </is>
      </c>
      <c r="D41" s="32" t="inlineStr">
        <is>
          <t>Лифт. холлы, тамбур-шлюзы надзем.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A32</f>
        <v/>
      </c>
      <c r="B42" s="31" t="inlineStr">
        <is>
          <t>Чистовая</t>
        </is>
      </c>
      <c r="C42" s="31" t="inlineStr">
        <is>
          <t>8.2.4</t>
        </is>
      </c>
      <c r="D42" s="32" t="inlineStr">
        <is>
          <t>Технич. помещения надзем.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A32</f>
        <v/>
      </c>
      <c r="B43" s="31" t="inlineStr">
        <is>
          <t>Чистовая</t>
        </is>
      </c>
      <c r="C43" s="31" t="inlineStr">
        <is>
          <t>8.2.5</t>
        </is>
      </c>
      <c r="D43" s="32" t="inlineStr">
        <is>
          <t>Прочие помещения надзем.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A32</f>
        <v/>
      </c>
      <c r="B44" s="31" t="inlineStr">
        <is>
          <t>Чистовая</t>
        </is>
      </c>
      <c r="C44" s="31" t="inlineStr">
        <is>
          <t>8.2.6</t>
        </is>
      </c>
      <c r="D44" s="32" t="inlineStr">
        <is>
          <t>Коммерч. помещения надзем.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A32</f>
        <v/>
      </c>
      <c r="B45" s="31" t="inlineStr">
        <is>
          <t>Чистовая</t>
        </is>
      </c>
      <c r="C45" s="31" t="inlineStr">
        <is>
          <t>8.2.7</t>
        </is>
      </c>
      <c r="D45" s="32" t="inlineStr">
        <is>
          <t>Паркинг и рампы надзем.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A32+7</f>
        <v/>
      </c>
      <c r="B46" s="31" t="inlineStr">
        <is>
          <t>Черновая</t>
        </is>
      </c>
      <c r="C46" s="31" t="inlineStr">
        <is>
          <t>8.2.1</t>
        </is>
      </c>
      <c r="D46" s="32" t="inlineStr">
        <is>
          <t>Отделка лобби/гранд-лобби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A46</f>
        <v/>
      </c>
      <c r="B47" s="31" t="inlineStr">
        <is>
          <t>Черновая</t>
        </is>
      </c>
      <c r="C47" s="31" t="inlineStr">
        <is>
          <t>8.2.2</t>
        </is>
      </c>
      <c r="D47" s="32" t="inlineStr">
        <is>
          <t>Отделка эвакуац. лестн. клетки надзем.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A46</f>
        <v/>
      </c>
      <c r="B48" s="31" t="inlineStr">
        <is>
          <t>Черновая</t>
        </is>
      </c>
      <c r="C48" s="31" t="inlineStr">
        <is>
          <t>8.2.3</t>
        </is>
      </c>
      <c r="D48" s="32" t="inlineStr">
        <is>
          <t>Лифт. холлы, тамбур-шлюзы надзем.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A46</f>
        <v/>
      </c>
      <c r="B49" s="31" t="inlineStr">
        <is>
          <t>Черновая</t>
        </is>
      </c>
      <c r="C49" s="31" t="inlineStr">
        <is>
          <t>8.2.4</t>
        </is>
      </c>
      <c r="D49" s="32" t="inlineStr">
        <is>
          <t>Технич. помещения надзем.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A46</f>
        <v/>
      </c>
      <c r="B50" s="31" t="inlineStr">
        <is>
          <t>Черновая</t>
        </is>
      </c>
      <c r="C50" s="31" t="inlineStr">
        <is>
          <t>8.2.5</t>
        </is>
      </c>
      <c r="D50" s="32" t="inlineStr">
        <is>
          <t>Прочие помещения надзем.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A46</f>
        <v/>
      </c>
      <c r="B51" s="31" t="inlineStr">
        <is>
          <t>Черновая</t>
        </is>
      </c>
      <c r="C51" s="31" t="inlineStr">
        <is>
          <t>8.2.6</t>
        </is>
      </c>
      <c r="D51" s="32" t="inlineStr">
        <is>
          <t>Коммерч. помещения надзем.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A46</f>
        <v/>
      </c>
      <c r="B52" s="31" t="inlineStr">
        <is>
          <t>Черновая</t>
        </is>
      </c>
      <c r="C52" s="31" t="inlineStr">
        <is>
          <t>8.2.7</t>
        </is>
      </c>
      <c r="D52" s="32" t="inlineStr">
        <is>
          <t>Паркинг и рампы надзем.</t>
        </is>
      </c>
      <c r="E52" s="33" t="n"/>
      <c r="F52" s="33" t="n"/>
      <c r="G52" s="33" t="n"/>
      <c r="H52" s="33" t="n"/>
      <c r="I52" s="34">
        <f>COUNTA(E52:G52)&amp;"/3"</f>
        <v/>
      </c>
    </row>
    <row r="53">
      <c r="A53" s="30">
        <f>A46</f>
        <v/>
      </c>
      <c r="B53" s="31" t="inlineStr">
        <is>
          <t>Чистовая</t>
        </is>
      </c>
      <c r="C53" s="31" t="inlineStr">
        <is>
          <t>8.2.1</t>
        </is>
      </c>
      <c r="D53" s="32" t="inlineStr">
        <is>
          <t>Отделка лобби/гранд-лобби</t>
        </is>
      </c>
      <c r="E53" s="33" t="n"/>
      <c r="F53" s="33" t="n"/>
      <c r="G53" s="33" t="n"/>
      <c r="H53" s="33" t="n"/>
      <c r="I53" s="34">
        <f>COUNTA(E53:H53)&amp;"/4"</f>
        <v/>
      </c>
    </row>
    <row r="54" ht="30" customHeight="1" s="74">
      <c r="A54" s="30">
        <f>A46</f>
        <v/>
      </c>
      <c r="B54" s="31" t="inlineStr">
        <is>
          <t>Чистовая</t>
        </is>
      </c>
      <c r="C54" s="31" t="inlineStr">
        <is>
          <t>8.2.2</t>
        </is>
      </c>
      <c r="D54" s="32" t="inlineStr">
        <is>
          <t>Отделка эвакуац. лестн. клетки надзем.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A46</f>
        <v/>
      </c>
      <c r="B55" s="31" t="inlineStr">
        <is>
          <t>Чистовая</t>
        </is>
      </c>
      <c r="C55" s="31" t="inlineStr">
        <is>
          <t>8.2.3</t>
        </is>
      </c>
      <c r="D55" s="32" t="inlineStr">
        <is>
          <t>Лифт. холлы, тамбур-шлюзы надзем.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A46</f>
        <v/>
      </c>
      <c r="B56" s="31" t="inlineStr">
        <is>
          <t>Чистовая</t>
        </is>
      </c>
      <c r="C56" s="31" t="inlineStr">
        <is>
          <t>8.2.4</t>
        </is>
      </c>
      <c r="D56" s="32" t="inlineStr">
        <is>
          <t>Технич. помещения надзем.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A46</f>
        <v/>
      </c>
      <c r="B57" s="31" t="inlineStr">
        <is>
          <t>Чистовая</t>
        </is>
      </c>
      <c r="C57" s="31" t="inlineStr">
        <is>
          <t>8.2.5</t>
        </is>
      </c>
      <c r="D57" s="32" t="inlineStr">
        <is>
          <t>Прочие помещения надзем.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A46</f>
        <v/>
      </c>
      <c r="B58" s="31" t="inlineStr">
        <is>
          <t>Чистовая</t>
        </is>
      </c>
      <c r="C58" s="31" t="inlineStr">
        <is>
          <t>8.2.6</t>
        </is>
      </c>
      <c r="D58" s="32" t="inlineStr">
        <is>
          <t>Коммерч. помещения надзем.</t>
        </is>
      </c>
      <c r="E58" s="33" t="n"/>
      <c r="F58" s="33" t="n"/>
      <c r="G58" s="33" t="n"/>
      <c r="H58" s="33" t="n"/>
      <c r="I58" s="34">
        <f>COUNTA(E58:G58)&amp;"/3"</f>
        <v/>
      </c>
    </row>
    <row r="59">
      <c r="A59" s="30">
        <f>A46</f>
        <v/>
      </c>
      <c r="B59" s="31" t="inlineStr">
        <is>
          <t>Чистовая</t>
        </is>
      </c>
      <c r="C59" s="31" t="inlineStr">
        <is>
          <t>8.2.7</t>
        </is>
      </c>
      <c r="D59" s="32" t="inlineStr">
        <is>
          <t>Паркинг и рампы надзем.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A46+7</f>
        <v/>
      </c>
      <c r="B60" s="31" t="inlineStr">
        <is>
          <t>Черновая</t>
        </is>
      </c>
      <c r="C60" s="31" t="inlineStr">
        <is>
          <t>8.2.1</t>
        </is>
      </c>
      <c r="D60" s="32" t="inlineStr">
        <is>
          <t>Отделка лобби/гранд-лобби</t>
        </is>
      </c>
      <c r="E60" s="33" t="n"/>
      <c r="F60" s="33" t="n"/>
      <c r="G60" s="33" t="n"/>
      <c r="H60" s="33" t="n"/>
      <c r="I60" s="34">
        <f>COUNTA(E60:G60)&amp;"/3"</f>
        <v/>
      </c>
    </row>
    <row r="61" ht="30" customHeight="1" s="74">
      <c r="A61" s="30">
        <f>A60</f>
        <v/>
      </c>
      <c r="B61" s="31" t="inlineStr">
        <is>
          <t>Черновая</t>
        </is>
      </c>
      <c r="C61" s="31" t="inlineStr">
        <is>
          <t>8.2.2</t>
        </is>
      </c>
      <c r="D61" s="32" t="inlineStr">
        <is>
          <t>Отделка эвакуац. лестн. клетки надзем.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A60</f>
        <v/>
      </c>
      <c r="B62" s="31" t="inlineStr">
        <is>
          <t>Черновая</t>
        </is>
      </c>
      <c r="C62" s="31" t="inlineStr">
        <is>
          <t>8.2.3</t>
        </is>
      </c>
      <c r="D62" s="32" t="inlineStr">
        <is>
          <t>Лифт. холлы, тамбур-шлюзы надзем.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A60</f>
        <v/>
      </c>
      <c r="B63" s="31" t="inlineStr">
        <is>
          <t>Черновая</t>
        </is>
      </c>
      <c r="C63" s="31" t="inlineStr">
        <is>
          <t>8.2.4</t>
        </is>
      </c>
      <c r="D63" s="32" t="inlineStr">
        <is>
          <t>Технич. помещения надзем.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A60</f>
        <v/>
      </c>
      <c r="B64" s="31" t="inlineStr">
        <is>
          <t>Черновая</t>
        </is>
      </c>
      <c r="C64" s="31" t="inlineStr">
        <is>
          <t>8.2.5</t>
        </is>
      </c>
      <c r="D64" s="32" t="inlineStr">
        <is>
          <t>Прочие помещения надзем.</t>
        </is>
      </c>
      <c r="E64" s="33" t="n"/>
      <c r="F64" s="33" t="n"/>
      <c r="G64" s="33" t="n"/>
      <c r="H64" s="33" t="n"/>
      <c r="I64" s="34">
        <f>COUNTA(E64:G64)&amp;"/3"</f>
        <v/>
      </c>
    </row>
    <row r="65">
      <c r="A65" s="30">
        <f>A60</f>
        <v/>
      </c>
      <c r="B65" s="31" t="inlineStr">
        <is>
          <t>Черновая</t>
        </is>
      </c>
      <c r="C65" s="31" t="inlineStr">
        <is>
          <t>8.2.6</t>
        </is>
      </c>
      <c r="D65" s="32" t="inlineStr">
        <is>
          <t>Коммерч. помещения надзем.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A60</f>
        <v/>
      </c>
      <c r="B66" s="31" t="inlineStr">
        <is>
          <t>Черновая</t>
        </is>
      </c>
      <c r="C66" s="31" t="inlineStr">
        <is>
          <t>8.2.7</t>
        </is>
      </c>
      <c r="D66" s="32" t="inlineStr">
        <is>
          <t>Паркинг и рампы надзем.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A60</f>
        <v/>
      </c>
      <c r="B67" s="31" t="inlineStr">
        <is>
          <t>Чистовая</t>
        </is>
      </c>
      <c r="C67" s="31" t="inlineStr">
        <is>
          <t>8.2.1</t>
        </is>
      </c>
      <c r="D67" s="32" t="inlineStr">
        <is>
          <t>Отделка лобби/гранд-лобби</t>
        </is>
      </c>
      <c r="E67" s="33" t="n"/>
      <c r="F67" s="33" t="n"/>
      <c r="G67" s="33" t="n"/>
      <c r="H67" s="33" t="n"/>
      <c r="I67" s="34">
        <f>COUNTA(E67:H67)&amp;"/4"</f>
        <v/>
      </c>
    </row>
    <row r="68" ht="30" customHeight="1" s="74">
      <c r="A68" s="30">
        <f>A60</f>
        <v/>
      </c>
      <c r="B68" s="31" t="inlineStr">
        <is>
          <t>Чистовая</t>
        </is>
      </c>
      <c r="C68" s="31" t="inlineStr">
        <is>
          <t>8.2.2</t>
        </is>
      </c>
      <c r="D68" s="32" t="inlineStr">
        <is>
          <t>Отделка эвакуац. лестн. клетки надзем.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A60</f>
        <v/>
      </c>
      <c r="B69" s="31" t="inlineStr">
        <is>
          <t>Чистовая</t>
        </is>
      </c>
      <c r="C69" s="31" t="inlineStr">
        <is>
          <t>8.2.3</t>
        </is>
      </c>
      <c r="D69" s="32" t="inlineStr">
        <is>
          <t>Лифт. холлы, тамбур-шлюзы надзем.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A60</f>
        <v/>
      </c>
      <c r="B70" s="31" t="inlineStr">
        <is>
          <t>Чистовая</t>
        </is>
      </c>
      <c r="C70" s="31" t="inlineStr">
        <is>
          <t>8.2.4</t>
        </is>
      </c>
      <c r="D70" s="32" t="inlineStr">
        <is>
          <t>Технич. помещения надзем.</t>
        </is>
      </c>
      <c r="E70" s="33" t="n"/>
      <c r="F70" s="33" t="n"/>
      <c r="G70" s="33" t="n"/>
      <c r="H70" s="33" t="n"/>
      <c r="I70" s="34">
        <f>COUNTA(E70:G70)&amp;"/3"</f>
        <v/>
      </c>
    </row>
    <row r="71">
      <c r="A71" s="30">
        <f>A60</f>
        <v/>
      </c>
      <c r="B71" s="31" t="inlineStr">
        <is>
          <t>Чистовая</t>
        </is>
      </c>
      <c r="C71" s="31" t="inlineStr">
        <is>
          <t>8.2.5</t>
        </is>
      </c>
      <c r="D71" s="32" t="inlineStr">
        <is>
          <t>Прочие помещения надзем.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A60</f>
        <v/>
      </c>
      <c r="B72" s="31" t="inlineStr">
        <is>
          <t>Чистовая</t>
        </is>
      </c>
      <c r="C72" s="31" t="inlineStr">
        <is>
          <t>8.2.6</t>
        </is>
      </c>
      <c r="D72" s="32" t="inlineStr">
        <is>
          <t>Коммерч. помещения надзем.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A60</f>
        <v/>
      </c>
      <c r="B73" s="31" t="inlineStr">
        <is>
          <t>Чистовая</t>
        </is>
      </c>
      <c r="C73" s="31" t="inlineStr">
        <is>
          <t>8.2.7</t>
        </is>
      </c>
      <c r="D73" s="32" t="inlineStr">
        <is>
          <t>Паркинг и рампы надзем.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A60+7</f>
        <v/>
      </c>
      <c r="B74" s="31" t="inlineStr">
        <is>
          <t>Черновая</t>
        </is>
      </c>
      <c r="C74" s="31" t="inlineStr">
        <is>
          <t>8.2.1</t>
        </is>
      </c>
      <c r="D74" s="32" t="inlineStr">
        <is>
          <t>Отделка лобби/гранд-лобби</t>
        </is>
      </c>
      <c r="E74" s="33" t="n"/>
      <c r="F74" s="33" t="n"/>
      <c r="G74" s="33" t="n"/>
      <c r="H74" s="33" t="n"/>
      <c r="I74" s="34">
        <f>COUNTA(E74:G74)&amp;"/3"</f>
        <v/>
      </c>
    </row>
    <row r="75" ht="30" customHeight="1" s="74">
      <c r="A75" s="30">
        <f>A74</f>
        <v/>
      </c>
      <c r="B75" s="31" t="inlineStr">
        <is>
          <t>Черновая</t>
        </is>
      </c>
      <c r="C75" s="31" t="inlineStr">
        <is>
          <t>8.2.2</t>
        </is>
      </c>
      <c r="D75" s="32" t="inlineStr">
        <is>
          <t>Отделка эвакуац. лестн. клетки надзем.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A74</f>
        <v/>
      </c>
      <c r="B76" s="31" t="inlineStr">
        <is>
          <t>Черновая</t>
        </is>
      </c>
      <c r="C76" s="31" t="inlineStr">
        <is>
          <t>8.2.3</t>
        </is>
      </c>
      <c r="D76" s="32" t="inlineStr">
        <is>
          <t>Лифт. холлы, тамбур-шлюзы надзем.</t>
        </is>
      </c>
      <c r="E76" s="33" t="n"/>
      <c r="F76" s="33" t="n"/>
      <c r="G76" s="33" t="n"/>
      <c r="H76" s="33" t="n"/>
      <c r="I76" s="34">
        <f>COUNTA(E76:G76)&amp;"/3"</f>
        <v/>
      </c>
    </row>
    <row r="77">
      <c r="A77" s="30">
        <f>A74</f>
        <v/>
      </c>
      <c r="B77" s="31" t="inlineStr">
        <is>
          <t>Черновая</t>
        </is>
      </c>
      <c r="C77" s="31" t="inlineStr">
        <is>
          <t>8.2.4</t>
        </is>
      </c>
      <c r="D77" s="32" t="inlineStr">
        <is>
          <t>Технич. помещения надзем.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A74</f>
        <v/>
      </c>
      <c r="B78" s="31" t="inlineStr">
        <is>
          <t>Черновая</t>
        </is>
      </c>
      <c r="C78" s="31" t="inlineStr">
        <is>
          <t>8.2.5</t>
        </is>
      </c>
      <c r="D78" s="32" t="inlineStr">
        <is>
          <t>Прочие помещения надзем.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A74</f>
        <v/>
      </c>
      <c r="B79" s="31" t="inlineStr">
        <is>
          <t>Черновая</t>
        </is>
      </c>
      <c r="C79" s="31" t="inlineStr">
        <is>
          <t>8.2.6</t>
        </is>
      </c>
      <c r="D79" s="32" t="inlineStr">
        <is>
          <t>Коммерч. помещения надзем.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A74</f>
        <v/>
      </c>
      <c r="B80" s="31" t="inlineStr">
        <is>
          <t>Черновая</t>
        </is>
      </c>
      <c r="C80" s="31" t="inlineStr">
        <is>
          <t>8.2.7</t>
        </is>
      </c>
      <c r="D80" s="32" t="inlineStr">
        <is>
          <t>Паркинг и рампы надзем.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A74</f>
        <v/>
      </c>
      <c r="B81" s="31" t="inlineStr">
        <is>
          <t>Чистовая</t>
        </is>
      </c>
      <c r="C81" s="31" t="inlineStr">
        <is>
          <t>8.2.1</t>
        </is>
      </c>
      <c r="D81" s="32" t="inlineStr">
        <is>
          <t>Отделка лобби/гранд-лобби</t>
        </is>
      </c>
      <c r="E81" s="33" t="n"/>
      <c r="F81" s="33" t="n"/>
      <c r="G81" s="33" t="n"/>
      <c r="H81" s="33" t="n"/>
      <c r="I81" s="34">
        <f>COUNTA(E81:H81)&amp;"/4"</f>
        <v/>
      </c>
    </row>
    <row r="82" ht="30" customHeight="1" s="74">
      <c r="A82" s="30">
        <f>A74</f>
        <v/>
      </c>
      <c r="B82" s="31" t="inlineStr">
        <is>
          <t>Чистовая</t>
        </is>
      </c>
      <c r="C82" s="31" t="inlineStr">
        <is>
          <t>8.2.2</t>
        </is>
      </c>
      <c r="D82" s="32" t="inlineStr">
        <is>
          <t>Отделка эвакуац. лестн. клетки надзем.</t>
        </is>
      </c>
      <c r="E82" s="33" t="n"/>
      <c r="F82" s="33" t="n"/>
      <c r="G82" s="33" t="n"/>
      <c r="H82" s="33" t="n"/>
      <c r="I82" s="34">
        <f>COUNTA(E82:G82)&amp;"/3"</f>
        <v/>
      </c>
    </row>
    <row r="83">
      <c r="A83" s="30">
        <f>A74</f>
        <v/>
      </c>
      <c r="B83" s="31" t="inlineStr">
        <is>
          <t>Чистовая</t>
        </is>
      </c>
      <c r="C83" s="31" t="inlineStr">
        <is>
          <t>8.2.3</t>
        </is>
      </c>
      <c r="D83" s="32" t="inlineStr">
        <is>
          <t>Лифт. холлы, тамбур-шлюзы надзем.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A74</f>
        <v/>
      </c>
      <c r="B84" s="31" t="inlineStr">
        <is>
          <t>Чистовая</t>
        </is>
      </c>
      <c r="C84" s="31" t="inlineStr">
        <is>
          <t>8.2.4</t>
        </is>
      </c>
      <c r="D84" s="32" t="inlineStr">
        <is>
          <t>Технич. помещения надзем.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A74</f>
        <v/>
      </c>
      <c r="B85" s="31" t="inlineStr">
        <is>
          <t>Чистовая</t>
        </is>
      </c>
      <c r="C85" s="31" t="inlineStr">
        <is>
          <t>8.2.5</t>
        </is>
      </c>
      <c r="D85" s="32" t="inlineStr">
        <is>
          <t>Прочие помещения надзем.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A74</f>
        <v/>
      </c>
      <c r="B86" s="31" t="inlineStr">
        <is>
          <t>Чистовая</t>
        </is>
      </c>
      <c r="C86" s="31" t="inlineStr">
        <is>
          <t>8.2.6</t>
        </is>
      </c>
      <c r="D86" s="32" t="inlineStr">
        <is>
          <t>Коммерч. помещения надзем.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A74</f>
        <v/>
      </c>
      <c r="B87" s="31" t="inlineStr">
        <is>
          <t>Чистовая</t>
        </is>
      </c>
      <c r="C87" s="31" t="inlineStr">
        <is>
          <t>8.2.7</t>
        </is>
      </c>
      <c r="D87" s="32" t="inlineStr">
        <is>
          <t>Паркинг и рампы надзем.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A74+7</f>
        <v/>
      </c>
      <c r="B88" s="31" t="inlineStr">
        <is>
          <t>Черновая</t>
        </is>
      </c>
      <c r="C88" s="31" t="inlineStr">
        <is>
          <t>8.2.1</t>
        </is>
      </c>
      <c r="D88" s="32" t="inlineStr">
        <is>
          <t>Отделка лобби/гранд-лобби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8.2.2</t>
        </is>
      </c>
      <c r="D89" s="32" t="inlineStr">
        <is>
          <t>Отделка эвакуац. лестн. клетки надзем.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8.2.3</t>
        </is>
      </c>
      <c r="D90" s="32" t="inlineStr">
        <is>
          <t>Лифт. холлы, тамбур-шлюзы надзем.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8.2.4</t>
        </is>
      </c>
      <c r="D91" s="32" t="inlineStr">
        <is>
          <t>Технич. помещения надзем.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8.2.5</t>
        </is>
      </c>
      <c r="D92" s="32" t="inlineStr">
        <is>
          <t>Прочие помещения надзем.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8.2.6</t>
        </is>
      </c>
      <c r="D93" s="32" t="inlineStr">
        <is>
          <t>Коммерч. помещения надзем.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Черновая</t>
        </is>
      </c>
      <c r="C94" s="31" t="inlineStr">
        <is>
          <t>8.2.7</t>
        </is>
      </c>
      <c r="D94" s="32" t="inlineStr">
        <is>
          <t>Паркинг и рампы надзем.</t>
        </is>
      </c>
      <c r="E94" s="33" t="n"/>
      <c r="F94" s="33" t="n"/>
      <c r="G94" s="33" t="n"/>
      <c r="H94" s="33" t="n"/>
      <c r="I94" s="34">
        <f>COUNTA(E94:G94)&amp;"/3"</f>
        <v/>
      </c>
    </row>
    <row r="95">
      <c r="A95" s="30">
        <f>A88</f>
        <v/>
      </c>
      <c r="B95" s="31" t="inlineStr">
        <is>
          <t>Чистовая</t>
        </is>
      </c>
      <c r="C95" s="31" t="inlineStr">
        <is>
          <t>8.2.1</t>
        </is>
      </c>
      <c r="D95" s="32" t="inlineStr">
        <is>
          <t>Отделка лобби/гранд-лобби</t>
        </is>
      </c>
      <c r="E95" s="33" t="n"/>
      <c r="F95" s="33" t="n"/>
      <c r="G95" s="33" t="n"/>
      <c r="H95" s="33" t="n"/>
      <c r="I95" s="34">
        <f>COUNTA(E95:H95)&amp;"/4"</f>
        <v/>
      </c>
    </row>
    <row r="96" ht="30" customHeight="1" s="74">
      <c r="A96" s="30">
        <f>A88</f>
        <v/>
      </c>
      <c r="B96" s="31" t="inlineStr">
        <is>
          <t>Чистовая</t>
        </is>
      </c>
      <c r="C96" s="31" t="inlineStr">
        <is>
          <t>8.2.2</t>
        </is>
      </c>
      <c r="D96" s="32" t="inlineStr">
        <is>
          <t>Отделка эвакуац. лестн. клетки надзем.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8.2.3</t>
        </is>
      </c>
      <c r="D97" s="32" t="inlineStr">
        <is>
          <t>Лифт. холлы, тамбур-шлюзы надзем.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8.2.4</t>
        </is>
      </c>
      <c r="D98" s="32" t="inlineStr">
        <is>
          <t>Технич. помещения надзем.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8.2.5</t>
        </is>
      </c>
      <c r="D99" s="32" t="inlineStr">
        <is>
          <t>Прочие помещения надзем.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</f>
        <v/>
      </c>
      <c r="B100" s="31" t="inlineStr">
        <is>
          <t>Чистовая</t>
        </is>
      </c>
      <c r="C100" s="31" t="inlineStr">
        <is>
          <t>8.2.6</t>
        </is>
      </c>
      <c r="D100" s="32" t="inlineStr">
        <is>
          <t>Коммерч. помещения надзем.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>
      <c r="A101" s="30">
        <f>A88</f>
        <v/>
      </c>
      <c r="B101" s="31" t="inlineStr">
        <is>
          <t>Чистовая</t>
        </is>
      </c>
      <c r="C101" s="31" t="inlineStr">
        <is>
          <t>8.2.7</t>
        </is>
      </c>
      <c r="D101" s="32" t="inlineStr">
        <is>
          <t>Паркинг и рампы надзем.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A88+7</f>
        <v/>
      </c>
      <c r="B102" s="31" t="inlineStr">
        <is>
          <t>Черновая</t>
        </is>
      </c>
      <c r="C102" s="31" t="inlineStr">
        <is>
          <t>8.2.1</t>
        </is>
      </c>
      <c r="D102" s="32" t="inlineStr">
        <is>
          <t>Отделка лобби/гранд-лобби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 ht="30" customHeight="1" s="74">
      <c r="A103" s="30">
        <f>A102</f>
        <v/>
      </c>
      <c r="B103" s="31" t="inlineStr">
        <is>
          <t>Черновая</t>
        </is>
      </c>
      <c r="C103" s="31" t="inlineStr">
        <is>
          <t>8.2.2</t>
        </is>
      </c>
      <c r="D103" s="32" t="inlineStr">
        <is>
          <t>Отделка эвакуац. лестн. клетки надзем.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A102</f>
        <v/>
      </c>
      <c r="B104" s="31" t="inlineStr">
        <is>
          <t>Черновая</t>
        </is>
      </c>
      <c r="C104" s="31" t="inlineStr">
        <is>
          <t>8.2.3</t>
        </is>
      </c>
      <c r="D104" s="32" t="inlineStr">
        <is>
          <t>Лифт. холлы, тамбур-шлюзы надзем.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A102</f>
        <v/>
      </c>
      <c r="B105" s="31" t="inlineStr">
        <is>
          <t>Черновая</t>
        </is>
      </c>
      <c r="C105" s="31" t="inlineStr">
        <is>
          <t>8.2.4</t>
        </is>
      </c>
      <c r="D105" s="32" t="inlineStr">
        <is>
          <t>Технич. помещения надзем.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A102</f>
        <v/>
      </c>
      <c r="B106" s="31" t="inlineStr">
        <is>
          <t>Черновая</t>
        </is>
      </c>
      <c r="C106" s="31" t="inlineStr">
        <is>
          <t>8.2.5</t>
        </is>
      </c>
      <c r="D106" s="32" t="inlineStr">
        <is>
          <t>Прочие помещения надзем.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>
      <c r="A107" s="30">
        <f>A102</f>
        <v/>
      </c>
      <c r="B107" s="31" t="inlineStr">
        <is>
          <t>Черновая</t>
        </is>
      </c>
      <c r="C107" s="31" t="inlineStr">
        <is>
          <t>8.2.6</t>
        </is>
      </c>
      <c r="D107" s="32" t="inlineStr">
        <is>
          <t>Коммерч. помещения надзем.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A102</f>
        <v/>
      </c>
      <c r="B108" s="31" t="inlineStr">
        <is>
          <t>Черновая</t>
        </is>
      </c>
      <c r="C108" s="31" t="inlineStr">
        <is>
          <t>8.2.7</t>
        </is>
      </c>
      <c r="D108" s="32" t="inlineStr">
        <is>
          <t>Паркинг и рампы надзем.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A102</f>
        <v/>
      </c>
      <c r="B109" s="31" t="inlineStr">
        <is>
          <t>Чистовая</t>
        </is>
      </c>
      <c r="C109" s="31" t="inlineStr">
        <is>
          <t>8.2.1</t>
        </is>
      </c>
      <c r="D109" s="32" t="inlineStr">
        <is>
          <t>Отделка лобби/гранд-лобби</t>
        </is>
      </c>
      <c r="E109" s="33" t="n"/>
      <c r="F109" s="33" t="n"/>
      <c r="G109" s="33" t="n"/>
      <c r="H109" s="33" t="n"/>
      <c r="I109" s="34">
        <f>COUNTA(E109:H109)&amp;"/4"</f>
        <v/>
      </c>
    </row>
    <row r="110" ht="30" customHeight="1" s="74">
      <c r="A110" s="30">
        <f>A102</f>
        <v/>
      </c>
      <c r="B110" s="31" t="inlineStr">
        <is>
          <t>Чистовая</t>
        </is>
      </c>
      <c r="C110" s="31" t="inlineStr">
        <is>
          <t>8.2.2</t>
        </is>
      </c>
      <c r="D110" s="32" t="inlineStr">
        <is>
          <t>Отделка эвакуац. лестн. клетки надзем.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A102</f>
        <v/>
      </c>
      <c r="B111" s="31" t="inlineStr">
        <is>
          <t>Чистовая</t>
        </is>
      </c>
      <c r="C111" s="31" t="inlineStr">
        <is>
          <t>8.2.3</t>
        </is>
      </c>
      <c r="D111" s="32" t="inlineStr">
        <is>
          <t>Лифт. холлы, тамбур-шлюзы надзем.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A102</f>
        <v/>
      </c>
      <c r="B112" s="31" t="inlineStr">
        <is>
          <t>Чистовая</t>
        </is>
      </c>
      <c r="C112" s="31" t="inlineStr">
        <is>
          <t>8.2.4</t>
        </is>
      </c>
      <c r="D112" s="32" t="inlineStr">
        <is>
          <t>Технич. помещения надзем.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>
      <c r="A113" s="30">
        <f>A102</f>
        <v/>
      </c>
      <c r="B113" s="31" t="inlineStr">
        <is>
          <t>Чистовая</t>
        </is>
      </c>
      <c r="C113" s="31" t="inlineStr">
        <is>
          <t>8.2.5</t>
        </is>
      </c>
      <c r="D113" s="32" t="inlineStr">
        <is>
          <t>Прочие помещения надзем.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A102</f>
        <v/>
      </c>
      <c r="B114" s="31" t="inlineStr">
        <is>
          <t>Чистовая</t>
        </is>
      </c>
      <c r="C114" s="31" t="inlineStr">
        <is>
          <t>8.2.6</t>
        </is>
      </c>
      <c r="D114" s="32" t="inlineStr">
        <is>
          <t>Коммерч. помещения надзем.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A102</f>
        <v/>
      </c>
      <c r="B115" s="31" t="inlineStr">
        <is>
          <t>Чистовая</t>
        </is>
      </c>
      <c r="C115" s="31" t="inlineStr">
        <is>
          <t>8.2.7</t>
        </is>
      </c>
      <c r="D115" s="32" t="inlineStr">
        <is>
          <t>Паркинг и рампы надзем.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A102+7</f>
        <v/>
      </c>
      <c r="B116" s="31" t="inlineStr">
        <is>
          <t>Черновая</t>
        </is>
      </c>
      <c r="C116" s="31" t="inlineStr">
        <is>
          <t>8.2.1</t>
        </is>
      </c>
      <c r="D116" s="32" t="inlineStr">
        <is>
          <t>Отделка лобби/гранд-лобби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 ht="30" customHeight="1" s="74">
      <c r="A117" s="30">
        <f>A116</f>
        <v/>
      </c>
      <c r="B117" s="31" t="inlineStr">
        <is>
          <t>Черновая</t>
        </is>
      </c>
      <c r="C117" s="31" t="inlineStr">
        <is>
          <t>8.2.2</t>
        </is>
      </c>
      <c r="D117" s="32" t="inlineStr">
        <is>
          <t>Отделка эвакуац. лестн. клетки надзем.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A116</f>
        <v/>
      </c>
      <c r="B118" s="31" t="inlineStr">
        <is>
          <t>Черновая</t>
        </is>
      </c>
      <c r="C118" s="31" t="inlineStr">
        <is>
          <t>8.2.3</t>
        </is>
      </c>
      <c r="D118" s="32" t="inlineStr">
        <is>
          <t>Лифт. холлы, тамбур-шлюзы надзем.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>
      <c r="A119" s="30">
        <f>A116</f>
        <v/>
      </c>
      <c r="B119" s="31" t="inlineStr">
        <is>
          <t>Черновая</t>
        </is>
      </c>
      <c r="C119" s="31" t="inlineStr">
        <is>
          <t>8.2.4</t>
        </is>
      </c>
      <c r="D119" s="32" t="inlineStr">
        <is>
          <t>Технич. помещения надзем.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A116</f>
        <v/>
      </c>
      <c r="B120" s="31" t="inlineStr">
        <is>
          <t>Черновая</t>
        </is>
      </c>
      <c r="C120" s="31" t="inlineStr">
        <is>
          <t>8.2.5</t>
        </is>
      </c>
      <c r="D120" s="32" t="inlineStr">
        <is>
          <t>Прочие помещения надзем.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A116</f>
        <v/>
      </c>
      <c r="B121" s="31" t="inlineStr">
        <is>
          <t>Черновая</t>
        </is>
      </c>
      <c r="C121" s="31" t="inlineStr">
        <is>
          <t>8.2.6</t>
        </is>
      </c>
      <c r="D121" s="32" t="inlineStr">
        <is>
          <t>Коммерч. помещения надзем.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A116</f>
        <v/>
      </c>
      <c r="B122" s="31" t="inlineStr">
        <is>
          <t>Черновая</t>
        </is>
      </c>
      <c r="C122" s="31" t="inlineStr">
        <is>
          <t>8.2.7</t>
        </is>
      </c>
      <c r="D122" s="32" t="inlineStr">
        <is>
          <t>Паркинг и рампы надзем.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A116</f>
        <v/>
      </c>
      <c r="B123" s="31" t="inlineStr">
        <is>
          <t>Чистовая</t>
        </is>
      </c>
      <c r="C123" s="31" t="inlineStr">
        <is>
          <t>8.2.1</t>
        </is>
      </c>
      <c r="D123" s="32" t="inlineStr">
        <is>
          <t>Отделка лобби/гранд-лобби</t>
        </is>
      </c>
      <c r="E123" s="33" t="n"/>
      <c r="F123" s="33" t="n"/>
      <c r="G123" s="33" t="n"/>
      <c r="H123" s="33" t="n"/>
      <c r="I123" s="34">
        <f>COUNTA(E123:H123)&amp;"/4"</f>
        <v/>
      </c>
    </row>
    <row r="124" ht="30" customHeight="1" s="74">
      <c r="A124" s="30">
        <f>A116</f>
        <v/>
      </c>
      <c r="B124" s="31" t="inlineStr">
        <is>
          <t>Чистовая</t>
        </is>
      </c>
      <c r="C124" s="31" t="inlineStr">
        <is>
          <t>8.2.2</t>
        </is>
      </c>
      <c r="D124" s="32" t="inlineStr">
        <is>
          <t>Отделка эвакуац. лестн. клетки надзем.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>
      <c r="A125" s="30">
        <f>A116</f>
        <v/>
      </c>
      <c r="B125" s="31" t="inlineStr">
        <is>
          <t>Чистовая</t>
        </is>
      </c>
      <c r="C125" s="31" t="inlineStr">
        <is>
          <t>8.2.3</t>
        </is>
      </c>
      <c r="D125" s="32" t="inlineStr">
        <is>
          <t>Лифт. холлы, тамбур-шлюзы надзем.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A116</f>
        <v/>
      </c>
      <c r="B126" s="31" t="inlineStr">
        <is>
          <t>Чистовая</t>
        </is>
      </c>
      <c r="C126" s="31" t="inlineStr">
        <is>
          <t>8.2.4</t>
        </is>
      </c>
      <c r="D126" s="32" t="inlineStr">
        <is>
          <t>Технич. помещения надзем.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A116</f>
        <v/>
      </c>
      <c r="B127" s="31" t="inlineStr">
        <is>
          <t>Чистовая</t>
        </is>
      </c>
      <c r="C127" s="31" t="inlineStr">
        <is>
          <t>8.2.5</t>
        </is>
      </c>
      <c r="D127" s="32" t="inlineStr">
        <is>
          <t>Прочие помещения надзем.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A116</f>
        <v/>
      </c>
      <c r="B128" s="31" t="inlineStr">
        <is>
          <t>Чистовая</t>
        </is>
      </c>
      <c r="C128" s="31" t="inlineStr">
        <is>
          <t>8.2.6</t>
        </is>
      </c>
      <c r="D128" s="32" t="inlineStr">
        <is>
          <t>Коммерч. помещения надзем.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A116</f>
        <v/>
      </c>
      <c r="B129" s="31" t="inlineStr">
        <is>
          <t>Чистовая</t>
        </is>
      </c>
      <c r="C129" s="31" t="inlineStr">
        <is>
          <t>8.2.7</t>
        </is>
      </c>
      <c r="D129" s="32" t="inlineStr">
        <is>
          <t>Паркинг и рампы надзем.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A116+7</f>
        <v/>
      </c>
      <c r="B130" s="31" t="inlineStr">
        <is>
          <t>Черновая</t>
        </is>
      </c>
      <c r="C130" s="31" t="inlineStr">
        <is>
          <t>8.2.1</t>
        </is>
      </c>
      <c r="D130" s="32" t="inlineStr">
        <is>
          <t>Отделка лобби/гранд-лобби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A130</f>
        <v/>
      </c>
      <c r="B131" s="31" t="inlineStr">
        <is>
          <t>Черновая</t>
        </is>
      </c>
      <c r="C131" s="31" t="inlineStr">
        <is>
          <t>8.2.2</t>
        </is>
      </c>
      <c r="D131" s="32" t="inlineStr">
        <is>
          <t>Отделка эвакуац. лестн. клетки надзем.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A130</f>
        <v/>
      </c>
      <c r="B132" s="31" t="inlineStr">
        <is>
          <t>Черновая</t>
        </is>
      </c>
      <c r="C132" s="31" t="inlineStr">
        <is>
          <t>8.2.3</t>
        </is>
      </c>
      <c r="D132" s="32" t="inlineStr">
        <is>
          <t>Лифт. холлы, тамбур-шлюзы надзем.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A130</f>
        <v/>
      </c>
      <c r="B133" s="31" t="inlineStr">
        <is>
          <t>Черновая</t>
        </is>
      </c>
      <c r="C133" s="31" t="inlineStr">
        <is>
          <t>8.2.4</t>
        </is>
      </c>
      <c r="D133" s="32" t="inlineStr">
        <is>
          <t>Технич. помещения надзем.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A130</f>
        <v/>
      </c>
      <c r="B134" s="31" t="inlineStr">
        <is>
          <t>Черновая</t>
        </is>
      </c>
      <c r="C134" s="31" t="inlineStr">
        <is>
          <t>8.2.5</t>
        </is>
      </c>
      <c r="D134" s="32" t="inlineStr">
        <is>
          <t>Прочие помещения надзем.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A130</f>
        <v/>
      </c>
      <c r="B135" s="31" t="inlineStr">
        <is>
          <t>Черновая</t>
        </is>
      </c>
      <c r="C135" s="31" t="inlineStr">
        <is>
          <t>8.2.6</t>
        </is>
      </c>
      <c r="D135" s="32" t="inlineStr">
        <is>
          <t>Коммерч. помещения надзем.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A130</f>
        <v/>
      </c>
      <c r="B136" s="31" t="inlineStr">
        <is>
          <t>Черновая</t>
        </is>
      </c>
      <c r="C136" s="31" t="inlineStr">
        <is>
          <t>8.2.7</t>
        </is>
      </c>
      <c r="D136" s="32" t="inlineStr">
        <is>
          <t>Паркинг и рампы надзем.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>
      <c r="A137" s="30">
        <f>A130</f>
        <v/>
      </c>
      <c r="B137" s="31" t="inlineStr">
        <is>
          <t>Чистовая</t>
        </is>
      </c>
      <c r="C137" s="31" t="inlineStr">
        <is>
          <t>8.2.1</t>
        </is>
      </c>
      <c r="D137" s="32" t="inlineStr">
        <is>
          <t>Отделка лобби/гранд-лобби</t>
        </is>
      </c>
      <c r="E137" s="33" t="n"/>
      <c r="F137" s="33" t="n"/>
      <c r="G137" s="33" t="n"/>
      <c r="H137" s="33" t="n"/>
      <c r="I137" s="34">
        <f>COUNTA(E137:H137)&amp;"/4"</f>
        <v/>
      </c>
    </row>
    <row r="138" ht="30" customHeight="1" s="74">
      <c r="A138" s="30">
        <f>A130</f>
        <v/>
      </c>
      <c r="B138" s="31" t="inlineStr">
        <is>
          <t>Чистовая</t>
        </is>
      </c>
      <c r="C138" s="31" t="inlineStr">
        <is>
          <t>8.2.2</t>
        </is>
      </c>
      <c r="D138" s="32" t="inlineStr">
        <is>
          <t>Отделка эвакуац. лестн. клетки надзем.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A130</f>
        <v/>
      </c>
      <c r="B139" s="31" t="inlineStr">
        <is>
          <t>Чистовая</t>
        </is>
      </c>
      <c r="C139" s="31" t="inlineStr">
        <is>
          <t>8.2.3</t>
        </is>
      </c>
      <c r="D139" s="32" t="inlineStr">
        <is>
          <t>Лифт. холлы, тамбур-шлюзы надзем.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A130</f>
        <v/>
      </c>
      <c r="B140" s="31" t="inlineStr">
        <is>
          <t>Чистовая</t>
        </is>
      </c>
      <c r="C140" s="31" t="inlineStr">
        <is>
          <t>8.2.4</t>
        </is>
      </c>
      <c r="D140" s="32" t="inlineStr">
        <is>
          <t>Технич. помещения надзем.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A130</f>
        <v/>
      </c>
      <c r="B141" s="31" t="inlineStr">
        <is>
          <t>Чистовая</t>
        </is>
      </c>
      <c r="C141" s="31" t="inlineStr">
        <is>
          <t>8.2.5</t>
        </is>
      </c>
      <c r="D141" s="32" t="inlineStr">
        <is>
          <t>Прочие помещения надзем.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A130</f>
        <v/>
      </c>
      <c r="B142" s="31" t="inlineStr">
        <is>
          <t>Чистовая</t>
        </is>
      </c>
      <c r="C142" s="31" t="inlineStr">
        <is>
          <t>8.2.6</t>
        </is>
      </c>
      <c r="D142" s="32" t="inlineStr">
        <is>
          <t>Коммерч. помещения надзем.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>
      <c r="A143" s="30">
        <f>A130</f>
        <v/>
      </c>
      <c r="B143" s="31" t="inlineStr">
        <is>
          <t>Чистовая</t>
        </is>
      </c>
      <c r="C143" s="31" t="inlineStr">
        <is>
          <t>8.2.7</t>
        </is>
      </c>
      <c r="D143" s="32" t="inlineStr">
        <is>
          <t>Паркинг и рампы надзем.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A130+7</f>
        <v/>
      </c>
      <c r="B144" s="31" t="inlineStr">
        <is>
          <t>Черновая</t>
        </is>
      </c>
      <c r="C144" s="31" t="inlineStr">
        <is>
          <t>8.2.1</t>
        </is>
      </c>
      <c r="D144" s="32" t="inlineStr">
        <is>
          <t>Отделка лобби/гранд-лобби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 ht="30" customHeight="1" s="74">
      <c r="A145" s="30">
        <f>A144</f>
        <v/>
      </c>
      <c r="B145" s="31" t="inlineStr">
        <is>
          <t>Черновая</t>
        </is>
      </c>
      <c r="C145" s="31" t="inlineStr">
        <is>
          <t>8.2.2</t>
        </is>
      </c>
      <c r="D145" s="32" t="inlineStr">
        <is>
          <t>Отделка эвакуац. лестн. клетки надзем.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A144</f>
        <v/>
      </c>
      <c r="B146" s="31" t="inlineStr">
        <is>
          <t>Черновая</t>
        </is>
      </c>
      <c r="C146" s="31" t="inlineStr">
        <is>
          <t>8.2.3</t>
        </is>
      </c>
      <c r="D146" s="32" t="inlineStr">
        <is>
          <t>Лифт. холлы, тамбур-шлюзы надзем.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A144</f>
        <v/>
      </c>
      <c r="B147" s="31" t="inlineStr">
        <is>
          <t>Черновая</t>
        </is>
      </c>
      <c r="C147" s="31" t="inlineStr">
        <is>
          <t>8.2.4</t>
        </is>
      </c>
      <c r="D147" s="32" t="inlineStr">
        <is>
          <t>Технич. помещения надзем.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A144</f>
        <v/>
      </c>
      <c r="B148" s="31" t="inlineStr">
        <is>
          <t>Черновая</t>
        </is>
      </c>
      <c r="C148" s="31" t="inlineStr">
        <is>
          <t>8.2.5</t>
        </is>
      </c>
      <c r="D148" s="32" t="inlineStr">
        <is>
          <t>Прочие помещения надзем.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>
      <c r="A149" s="30">
        <f>A144</f>
        <v/>
      </c>
      <c r="B149" s="31" t="inlineStr">
        <is>
          <t>Черновая</t>
        </is>
      </c>
      <c r="C149" s="31" t="inlineStr">
        <is>
          <t>8.2.6</t>
        </is>
      </c>
      <c r="D149" s="32" t="inlineStr">
        <is>
          <t>Коммерч. помещения надзем.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A144</f>
        <v/>
      </c>
      <c r="B150" s="31" t="inlineStr">
        <is>
          <t>Черновая</t>
        </is>
      </c>
      <c r="C150" s="31" t="inlineStr">
        <is>
          <t>8.2.7</t>
        </is>
      </c>
      <c r="D150" s="32" t="inlineStr">
        <is>
          <t>Паркинг и рампы надзем.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A144</f>
        <v/>
      </c>
      <c r="B151" s="31" t="inlineStr">
        <is>
          <t>Чистовая</t>
        </is>
      </c>
      <c r="C151" s="31" t="inlineStr">
        <is>
          <t>8.2.1</t>
        </is>
      </c>
      <c r="D151" s="32" t="inlineStr">
        <is>
          <t>Отделка лобби/гранд-лобби</t>
        </is>
      </c>
      <c r="E151" s="33" t="n"/>
      <c r="F151" s="33" t="n"/>
      <c r="G151" s="33" t="n"/>
      <c r="H151" s="33" t="n"/>
      <c r="I151" s="34">
        <f>COUNTA(E151:H151)&amp;"/4"</f>
        <v/>
      </c>
    </row>
    <row r="152" ht="30" customHeight="1" s="74">
      <c r="A152" s="30">
        <f>A144</f>
        <v/>
      </c>
      <c r="B152" s="31" t="inlineStr">
        <is>
          <t>Чистовая</t>
        </is>
      </c>
      <c r="C152" s="31" t="inlineStr">
        <is>
          <t>8.2.2</t>
        </is>
      </c>
      <c r="D152" s="32" t="inlineStr">
        <is>
          <t>Отделка эвакуац. лестн. клетки надзем.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A144</f>
        <v/>
      </c>
      <c r="B153" s="31" t="inlineStr">
        <is>
          <t>Чистовая</t>
        </is>
      </c>
      <c r="C153" s="31" t="inlineStr">
        <is>
          <t>8.2.3</t>
        </is>
      </c>
      <c r="D153" s="32" t="inlineStr">
        <is>
          <t>Лифт. холлы, тамбур-шлюзы надзем.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A144</f>
        <v/>
      </c>
      <c r="B154" s="31" t="inlineStr">
        <is>
          <t>Чистовая</t>
        </is>
      </c>
      <c r="C154" s="31" t="inlineStr">
        <is>
          <t>8.2.4</t>
        </is>
      </c>
      <c r="D154" s="32" t="inlineStr">
        <is>
          <t>Технич. помещения надзем.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>
      <c r="A155" s="30">
        <f>A144</f>
        <v/>
      </c>
      <c r="B155" s="31" t="inlineStr">
        <is>
          <t>Чистовая</t>
        </is>
      </c>
      <c r="C155" s="31" t="inlineStr">
        <is>
          <t>8.2.5</t>
        </is>
      </c>
      <c r="D155" s="32" t="inlineStr">
        <is>
          <t>Прочие помещения надзем.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A144</f>
        <v/>
      </c>
      <c r="B156" s="31" t="inlineStr">
        <is>
          <t>Чистовая</t>
        </is>
      </c>
      <c r="C156" s="31" t="inlineStr">
        <is>
          <t>8.2.6</t>
        </is>
      </c>
      <c r="D156" s="32" t="inlineStr">
        <is>
          <t>Коммерч. помещения надзем.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A144</f>
        <v/>
      </c>
      <c r="B157" s="31" t="inlineStr">
        <is>
          <t>Чистовая</t>
        </is>
      </c>
      <c r="C157" s="31" t="inlineStr">
        <is>
          <t>8.2.7</t>
        </is>
      </c>
      <c r="D157" s="32" t="inlineStr">
        <is>
          <t>Паркинг и рампы надзем.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A144+7</f>
        <v/>
      </c>
      <c r="B158" s="31" t="inlineStr">
        <is>
          <t>Черновая</t>
        </is>
      </c>
      <c r="C158" s="31" t="inlineStr">
        <is>
          <t>8.2.1</t>
        </is>
      </c>
      <c r="D158" s="32" t="inlineStr">
        <is>
          <t>Отделка лобби/гранд-лобби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 ht="30" customHeight="1" s="74">
      <c r="A159" s="30">
        <f>A158</f>
        <v/>
      </c>
      <c r="B159" s="31" t="inlineStr">
        <is>
          <t>Черновая</t>
        </is>
      </c>
      <c r="C159" s="31" t="inlineStr">
        <is>
          <t>8.2.2</t>
        </is>
      </c>
      <c r="D159" s="32" t="inlineStr">
        <is>
          <t>Отделка эвакуац. лестн. клетки надзем.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A158</f>
        <v/>
      </c>
      <c r="B160" s="31" t="inlineStr">
        <is>
          <t>Черновая</t>
        </is>
      </c>
      <c r="C160" s="31" t="inlineStr">
        <is>
          <t>8.2.3</t>
        </is>
      </c>
      <c r="D160" s="32" t="inlineStr">
        <is>
          <t>Лифт. холлы, тамбур-шлюзы надзем.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>
      <c r="A161" s="30">
        <f>A158</f>
        <v/>
      </c>
      <c r="B161" s="31" t="inlineStr">
        <is>
          <t>Черновая</t>
        </is>
      </c>
      <c r="C161" s="31" t="inlineStr">
        <is>
          <t>8.2.4</t>
        </is>
      </c>
      <c r="D161" s="32" t="inlineStr">
        <is>
          <t>Технич. помещения надзем.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A158</f>
        <v/>
      </c>
      <c r="B162" s="31" t="inlineStr">
        <is>
          <t>Черновая</t>
        </is>
      </c>
      <c r="C162" s="31" t="inlineStr">
        <is>
          <t>8.2.5</t>
        </is>
      </c>
      <c r="D162" s="32" t="inlineStr">
        <is>
          <t>Прочие помещения надзем.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A158</f>
        <v/>
      </c>
      <c r="B163" s="31" t="inlineStr">
        <is>
          <t>Черновая</t>
        </is>
      </c>
      <c r="C163" s="31" t="inlineStr">
        <is>
          <t>8.2.6</t>
        </is>
      </c>
      <c r="D163" s="32" t="inlineStr">
        <is>
          <t>Коммерч. помещения надзем.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A158</f>
        <v/>
      </c>
      <c r="B164" s="31" t="inlineStr">
        <is>
          <t>Черновая</t>
        </is>
      </c>
      <c r="C164" s="31" t="inlineStr">
        <is>
          <t>8.2.7</t>
        </is>
      </c>
      <c r="D164" s="32" t="inlineStr">
        <is>
          <t>Паркинг и рампы надзем.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A158</f>
        <v/>
      </c>
      <c r="B165" s="31" t="inlineStr">
        <is>
          <t>Чистовая</t>
        </is>
      </c>
      <c r="C165" s="31" t="inlineStr">
        <is>
          <t>8.2.1</t>
        </is>
      </c>
      <c r="D165" s="32" t="inlineStr">
        <is>
          <t>Отделка лобби/гранд-лобби</t>
        </is>
      </c>
      <c r="E165" s="33" t="n"/>
      <c r="F165" s="33" t="n"/>
      <c r="G165" s="33" t="n"/>
      <c r="H165" s="33" t="n"/>
      <c r="I165" s="34">
        <f>COUNTA(E165:H165)&amp;"/4"</f>
        <v/>
      </c>
    </row>
    <row r="166" ht="30" customHeight="1" s="74">
      <c r="A166" s="30">
        <f>A158</f>
        <v/>
      </c>
      <c r="B166" s="31" t="inlineStr">
        <is>
          <t>Чистовая</t>
        </is>
      </c>
      <c r="C166" s="31" t="inlineStr">
        <is>
          <t>8.2.2</t>
        </is>
      </c>
      <c r="D166" s="32" t="inlineStr">
        <is>
          <t>Отделка эвакуац. лестн. клетки надзем.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>
      <c r="A167" s="30">
        <f>A158</f>
        <v/>
      </c>
      <c r="B167" s="31" t="inlineStr">
        <is>
          <t>Чистовая</t>
        </is>
      </c>
      <c r="C167" s="31" t="inlineStr">
        <is>
          <t>8.2.3</t>
        </is>
      </c>
      <c r="D167" s="32" t="inlineStr">
        <is>
          <t>Лифт. холлы, тамбур-шлюзы надзем.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A158</f>
        <v/>
      </c>
      <c r="B168" s="31" t="inlineStr">
        <is>
          <t>Чистовая</t>
        </is>
      </c>
      <c r="C168" s="31" t="inlineStr">
        <is>
          <t>8.2.4</t>
        </is>
      </c>
      <c r="D168" s="32" t="inlineStr">
        <is>
          <t>Технич. помещения надзем.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A158</f>
        <v/>
      </c>
      <c r="B169" s="31" t="inlineStr">
        <is>
          <t>Чистовая</t>
        </is>
      </c>
      <c r="C169" s="31" t="inlineStr">
        <is>
          <t>8.2.5</t>
        </is>
      </c>
      <c r="D169" s="32" t="inlineStr">
        <is>
          <t>Прочие помещения надзем.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A158</f>
        <v/>
      </c>
      <c r="B170" s="31" t="inlineStr">
        <is>
          <t>Чистовая</t>
        </is>
      </c>
      <c r="C170" s="31" t="inlineStr">
        <is>
          <t>8.2.6</t>
        </is>
      </c>
      <c r="D170" s="32" t="inlineStr">
        <is>
          <t>Коммерч. помещения надзем.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A158</f>
        <v/>
      </c>
      <c r="B171" s="31" t="inlineStr">
        <is>
          <t>Чистовая</t>
        </is>
      </c>
      <c r="C171" s="31" t="inlineStr">
        <is>
          <t>8.2.7</t>
        </is>
      </c>
      <c r="D171" s="32" t="inlineStr">
        <is>
          <t>Паркинг и рампы надзем.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A158+7</f>
        <v/>
      </c>
      <c r="B172" s="31" t="inlineStr">
        <is>
          <t>Черновая</t>
        </is>
      </c>
      <c r="C172" s="31" t="inlineStr">
        <is>
          <t>8.2.1</t>
        </is>
      </c>
      <c r="D172" s="32" t="inlineStr">
        <is>
          <t>Отделка лобби/гранд-лобби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8.2.2</t>
        </is>
      </c>
      <c r="D173" s="32" t="inlineStr">
        <is>
          <t>Отделка эвакуац. лестн. клетки надзем.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8.2.3</t>
        </is>
      </c>
      <c r="D174" s="32" t="inlineStr">
        <is>
          <t>Лифт. холлы, тамбур-шлюзы надзем.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8.2.4</t>
        </is>
      </c>
      <c r="D175" s="32" t="inlineStr">
        <is>
          <t>Технич. помещения надзем.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8.2.5</t>
        </is>
      </c>
      <c r="D176" s="32" t="inlineStr">
        <is>
          <t>Прочие помещения надзем.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8.2.6</t>
        </is>
      </c>
      <c r="D177" s="32" t="inlineStr">
        <is>
          <t>Коммерч. помещения надзем.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Черновая</t>
        </is>
      </c>
      <c r="C178" s="31" t="inlineStr">
        <is>
          <t>8.2.7</t>
        </is>
      </c>
      <c r="D178" s="32" t="inlineStr">
        <is>
          <t>Паркинг и рампы надзем.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>
      <c r="A179" s="30">
        <f>A172</f>
        <v/>
      </c>
      <c r="B179" s="31" t="inlineStr">
        <is>
          <t>Чистовая</t>
        </is>
      </c>
      <c r="C179" s="31" t="inlineStr">
        <is>
          <t>8.2.1</t>
        </is>
      </c>
      <c r="D179" s="32" t="inlineStr">
        <is>
          <t>Отделка лобби/гранд-лобби</t>
        </is>
      </c>
      <c r="E179" s="33" t="n"/>
      <c r="F179" s="33" t="n"/>
      <c r="G179" s="33" t="n"/>
      <c r="H179" s="33" t="n"/>
      <c r="I179" s="34">
        <f>COUNTA(E179:H179)&amp;"/4"</f>
        <v/>
      </c>
    </row>
    <row r="180" ht="30" customHeight="1" s="74">
      <c r="A180" s="30">
        <f>A172</f>
        <v/>
      </c>
      <c r="B180" s="31" t="inlineStr">
        <is>
          <t>Чистовая</t>
        </is>
      </c>
      <c r="C180" s="31" t="inlineStr">
        <is>
          <t>8.2.2</t>
        </is>
      </c>
      <c r="D180" s="32" t="inlineStr">
        <is>
          <t>Отделка эвакуац. лестн. клетки надзем.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8.2.3</t>
        </is>
      </c>
      <c r="D181" s="32" t="inlineStr">
        <is>
          <t>Лифт. холлы, тамбур-шлюзы надзем.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8.2.4</t>
        </is>
      </c>
      <c r="D182" s="32" t="inlineStr">
        <is>
          <t>Технич. помещения надзем.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8.2.5</t>
        </is>
      </c>
      <c r="D183" s="32" t="inlineStr">
        <is>
          <t>Прочие помещения надзем.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</f>
        <v/>
      </c>
      <c r="B184" s="31" t="inlineStr">
        <is>
          <t>Чистовая</t>
        </is>
      </c>
      <c r="C184" s="31" t="inlineStr">
        <is>
          <t>8.2.6</t>
        </is>
      </c>
      <c r="D184" s="32" t="inlineStr">
        <is>
          <t>Коммерч. помещения надзем.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>
      <c r="A185" s="30">
        <f>A172</f>
        <v/>
      </c>
      <c r="B185" s="31" t="inlineStr">
        <is>
          <t>Чистовая</t>
        </is>
      </c>
      <c r="C185" s="31" t="inlineStr">
        <is>
          <t>8.2.7</t>
        </is>
      </c>
      <c r="D185" s="32" t="inlineStr">
        <is>
          <t>Паркинг и рампы надзем.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A172+7</f>
        <v/>
      </c>
      <c r="B186" s="31" t="inlineStr">
        <is>
          <t>Черновая</t>
        </is>
      </c>
      <c r="C186" s="31" t="inlineStr">
        <is>
          <t>8.2.1</t>
        </is>
      </c>
      <c r="D186" s="32" t="inlineStr">
        <is>
          <t>Отделка лобби/гранд-лобби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 ht="30" customHeight="1" s="74">
      <c r="A187" s="30">
        <f>A186</f>
        <v/>
      </c>
      <c r="B187" s="31" t="inlineStr">
        <is>
          <t>Черновая</t>
        </is>
      </c>
      <c r="C187" s="31" t="inlineStr">
        <is>
          <t>8.2.2</t>
        </is>
      </c>
      <c r="D187" s="32" t="inlineStr">
        <is>
          <t>Отделка эвакуац. лестн. клетки надзем.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A186</f>
        <v/>
      </c>
      <c r="B188" s="31" t="inlineStr">
        <is>
          <t>Черновая</t>
        </is>
      </c>
      <c r="C188" s="31" t="inlineStr">
        <is>
          <t>8.2.3</t>
        </is>
      </c>
      <c r="D188" s="32" t="inlineStr">
        <is>
          <t>Лифт. холлы, тамбур-шлюзы надзем.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A186</f>
        <v/>
      </c>
      <c r="B189" s="31" t="inlineStr">
        <is>
          <t>Черновая</t>
        </is>
      </c>
      <c r="C189" s="31" t="inlineStr">
        <is>
          <t>8.2.4</t>
        </is>
      </c>
      <c r="D189" s="32" t="inlineStr">
        <is>
          <t>Технич. помещения надзем.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A186</f>
        <v/>
      </c>
      <c r="B190" s="31" t="inlineStr">
        <is>
          <t>Черновая</t>
        </is>
      </c>
      <c r="C190" s="31" t="inlineStr">
        <is>
          <t>8.2.5</t>
        </is>
      </c>
      <c r="D190" s="32" t="inlineStr">
        <is>
          <t>Прочие помещения надзем.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>
      <c r="A191" s="30">
        <f>A186</f>
        <v/>
      </c>
      <c r="B191" s="31" t="inlineStr">
        <is>
          <t>Черновая</t>
        </is>
      </c>
      <c r="C191" s="31" t="inlineStr">
        <is>
          <t>8.2.6</t>
        </is>
      </c>
      <c r="D191" s="32" t="inlineStr">
        <is>
          <t>Коммерч. помещения надзем.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A186</f>
        <v/>
      </c>
      <c r="B192" s="31" t="inlineStr">
        <is>
          <t>Черновая</t>
        </is>
      </c>
      <c r="C192" s="31" t="inlineStr">
        <is>
          <t>8.2.7</t>
        </is>
      </c>
      <c r="D192" s="32" t="inlineStr">
        <is>
          <t>Паркинг и рампы надзем.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A186</f>
        <v/>
      </c>
      <c r="B193" s="31" t="inlineStr">
        <is>
          <t>Чистовая</t>
        </is>
      </c>
      <c r="C193" s="31" t="inlineStr">
        <is>
          <t>8.2.1</t>
        </is>
      </c>
      <c r="D193" s="32" t="inlineStr">
        <is>
          <t>Отделка лобби/гранд-лобби</t>
        </is>
      </c>
      <c r="E193" s="33" t="n"/>
      <c r="F193" s="33" t="n"/>
      <c r="G193" s="33" t="n"/>
      <c r="H193" s="33" t="n"/>
      <c r="I193" s="34">
        <f>COUNTA(E193:H193)&amp;"/4"</f>
        <v/>
      </c>
    </row>
    <row r="194" ht="30" customHeight="1" s="74">
      <c r="A194" s="30">
        <f>A186</f>
        <v/>
      </c>
      <c r="B194" s="31" t="inlineStr">
        <is>
          <t>Чистовая</t>
        </is>
      </c>
      <c r="C194" s="31" t="inlineStr">
        <is>
          <t>8.2.2</t>
        </is>
      </c>
      <c r="D194" s="32" t="inlineStr">
        <is>
          <t>Отделка эвакуац. лестн. клетки надзем.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A186</f>
        <v/>
      </c>
      <c r="B195" s="31" t="inlineStr">
        <is>
          <t>Чистовая</t>
        </is>
      </c>
      <c r="C195" s="31" t="inlineStr">
        <is>
          <t>8.2.3</t>
        </is>
      </c>
      <c r="D195" s="32" t="inlineStr">
        <is>
          <t>Лифт. холлы, тамбур-шлюзы надзем.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A186</f>
        <v/>
      </c>
      <c r="B196" s="31" t="inlineStr">
        <is>
          <t>Чистовая</t>
        </is>
      </c>
      <c r="C196" s="31" t="inlineStr">
        <is>
          <t>8.2.4</t>
        </is>
      </c>
      <c r="D196" s="32" t="inlineStr">
        <is>
          <t>Технич. помещения надзем.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>
      <c r="A197" s="30">
        <f>A186</f>
        <v/>
      </c>
      <c r="B197" s="31" t="inlineStr">
        <is>
          <t>Чистовая</t>
        </is>
      </c>
      <c r="C197" s="31" t="inlineStr">
        <is>
          <t>8.2.5</t>
        </is>
      </c>
      <c r="D197" s="32" t="inlineStr">
        <is>
          <t>Прочие помещения надзем.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A186</f>
        <v/>
      </c>
      <c r="B198" s="31" t="inlineStr">
        <is>
          <t>Чистовая</t>
        </is>
      </c>
      <c r="C198" s="31" t="inlineStr">
        <is>
          <t>8.2.6</t>
        </is>
      </c>
      <c r="D198" s="32" t="inlineStr">
        <is>
          <t>Коммерч. помещения надзем.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A186</f>
        <v/>
      </c>
      <c r="B199" s="31" t="inlineStr">
        <is>
          <t>Чистовая</t>
        </is>
      </c>
      <c r="C199" s="31" t="inlineStr">
        <is>
          <t>8.2.7</t>
        </is>
      </c>
      <c r="D199" s="32" t="inlineStr">
        <is>
          <t>Паркинг и рампы надзем.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A186+7</f>
        <v/>
      </c>
      <c r="B200" s="31" t="inlineStr">
        <is>
          <t>Черновая</t>
        </is>
      </c>
      <c r="C200" s="31" t="inlineStr">
        <is>
          <t>8.2.1</t>
        </is>
      </c>
      <c r="D200" s="32" t="inlineStr">
        <is>
          <t>Отделка лобби/гранд-лобби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 ht="30" customHeight="1" s="74">
      <c r="A201" s="30">
        <f>A200</f>
        <v/>
      </c>
      <c r="B201" s="31" t="inlineStr">
        <is>
          <t>Черновая</t>
        </is>
      </c>
      <c r="C201" s="31" t="inlineStr">
        <is>
          <t>8.2.2</t>
        </is>
      </c>
      <c r="D201" s="32" t="inlineStr">
        <is>
          <t>Отделка эвакуац. лестн. клетки надзем.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A200</f>
        <v/>
      </c>
      <c r="B202" s="31" t="inlineStr">
        <is>
          <t>Черновая</t>
        </is>
      </c>
      <c r="C202" s="31" t="inlineStr">
        <is>
          <t>8.2.3</t>
        </is>
      </c>
      <c r="D202" s="32" t="inlineStr">
        <is>
          <t>Лифт. холлы, тамбур-шлюзы надзем.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>
      <c r="A203" s="30">
        <f>A200</f>
        <v/>
      </c>
      <c r="B203" s="31" t="inlineStr">
        <is>
          <t>Черновая</t>
        </is>
      </c>
      <c r="C203" s="31" t="inlineStr">
        <is>
          <t>8.2.4</t>
        </is>
      </c>
      <c r="D203" s="32" t="inlineStr">
        <is>
          <t>Технич. помещения надзем.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A200</f>
        <v/>
      </c>
      <c r="B204" s="31" t="inlineStr">
        <is>
          <t>Черновая</t>
        </is>
      </c>
      <c r="C204" s="31" t="inlineStr">
        <is>
          <t>8.2.5</t>
        </is>
      </c>
      <c r="D204" s="32" t="inlineStr">
        <is>
          <t>Прочие помещения надзем.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A200</f>
        <v/>
      </c>
      <c r="B205" s="31" t="inlineStr">
        <is>
          <t>Черновая</t>
        </is>
      </c>
      <c r="C205" s="31" t="inlineStr">
        <is>
          <t>8.2.6</t>
        </is>
      </c>
      <c r="D205" s="32" t="inlineStr">
        <is>
          <t>Коммерч. помещения надзем.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A200</f>
        <v/>
      </c>
      <c r="B206" s="31" t="inlineStr">
        <is>
          <t>Черновая</t>
        </is>
      </c>
      <c r="C206" s="31" t="inlineStr">
        <is>
          <t>8.2.7</t>
        </is>
      </c>
      <c r="D206" s="32" t="inlineStr">
        <is>
          <t>Паркинг и рампы надзем.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A200</f>
        <v/>
      </c>
      <c r="B207" s="31" t="inlineStr">
        <is>
          <t>Чистовая</t>
        </is>
      </c>
      <c r="C207" s="31" t="inlineStr">
        <is>
          <t>8.2.1</t>
        </is>
      </c>
      <c r="D207" s="32" t="inlineStr">
        <is>
          <t>Отделка лобби/гранд-лобби</t>
        </is>
      </c>
      <c r="E207" s="33" t="n"/>
      <c r="F207" s="33" t="n"/>
      <c r="G207" s="33" t="n"/>
      <c r="H207" s="33" t="n"/>
      <c r="I207" s="34">
        <f>COUNTA(E207:H207)&amp;"/4"</f>
        <v/>
      </c>
    </row>
    <row r="208" ht="30" customHeight="1" s="74">
      <c r="A208" s="30">
        <f>A200</f>
        <v/>
      </c>
      <c r="B208" s="31" t="inlineStr">
        <is>
          <t>Чистовая</t>
        </is>
      </c>
      <c r="C208" s="31" t="inlineStr">
        <is>
          <t>8.2.2</t>
        </is>
      </c>
      <c r="D208" s="32" t="inlineStr">
        <is>
          <t>Отделка эвакуац. лестн. клетки надзем.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>
      <c r="A209" s="30">
        <f>A200</f>
        <v/>
      </c>
      <c r="B209" s="31" t="inlineStr">
        <is>
          <t>Чистовая</t>
        </is>
      </c>
      <c r="C209" s="31" t="inlineStr">
        <is>
          <t>8.2.3</t>
        </is>
      </c>
      <c r="D209" s="32" t="inlineStr">
        <is>
          <t>Лифт. холлы, тамбур-шлюзы надзем.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A200</f>
        <v/>
      </c>
      <c r="B210" s="31" t="inlineStr">
        <is>
          <t>Чистовая</t>
        </is>
      </c>
      <c r="C210" s="31" t="inlineStr">
        <is>
          <t>8.2.4</t>
        </is>
      </c>
      <c r="D210" s="32" t="inlineStr">
        <is>
          <t>Технич. помещения надзем.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A200</f>
        <v/>
      </c>
      <c r="B211" s="31" t="inlineStr">
        <is>
          <t>Чистовая</t>
        </is>
      </c>
      <c r="C211" s="31" t="inlineStr">
        <is>
          <t>8.2.5</t>
        </is>
      </c>
      <c r="D211" s="32" t="inlineStr">
        <is>
          <t>Прочие помещения надзем.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A200</f>
        <v/>
      </c>
      <c r="B212" s="31" t="inlineStr">
        <is>
          <t>Чистовая</t>
        </is>
      </c>
      <c r="C212" s="31" t="inlineStr">
        <is>
          <t>8.2.6</t>
        </is>
      </c>
      <c r="D212" s="32" t="inlineStr">
        <is>
          <t>Коммерч. помещения надзем.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A200</f>
        <v/>
      </c>
      <c r="B213" s="31" t="inlineStr">
        <is>
          <t>Чистовая</t>
        </is>
      </c>
      <c r="C213" s="31" t="inlineStr">
        <is>
          <t>8.2.7</t>
        </is>
      </c>
      <c r="D213" s="32" t="inlineStr">
        <is>
          <t>Паркинг и рампы надзем.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A200+7</f>
        <v/>
      </c>
      <c r="B214" s="31" t="inlineStr">
        <is>
          <t>Черновая</t>
        </is>
      </c>
      <c r="C214" s="31" t="inlineStr">
        <is>
          <t>8.2.1</t>
        </is>
      </c>
      <c r="D214" s="32" t="inlineStr">
        <is>
          <t>Отделка лобби/гранд-лобби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A214</f>
        <v/>
      </c>
      <c r="B215" s="31" t="inlineStr">
        <is>
          <t>Черновая</t>
        </is>
      </c>
      <c r="C215" s="31" t="inlineStr">
        <is>
          <t>8.2.2</t>
        </is>
      </c>
      <c r="D215" s="32" t="inlineStr">
        <is>
          <t>Отделка эвакуац. лестн. клетки надзем.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A214</f>
        <v/>
      </c>
      <c r="B216" s="31" t="inlineStr">
        <is>
          <t>Черновая</t>
        </is>
      </c>
      <c r="C216" s="31" t="inlineStr">
        <is>
          <t>8.2.3</t>
        </is>
      </c>
      <c r="D216" s="32" t="inlineStr">
        <is>
          <t>Лифт. холлы, тамбур-шлюзы надзем.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A214</f>
        <v/>
      </c>
      <c r="B217" s="31" t="inlineStr">
        <is>
          <t>Черновая</t>
        </is>
      </c>
      <c r="C217" s="31" t="inlineStr">
        <is>
          <t>8.2.4</t>
        </is>
      </c>
      <c r="D217" s="32" t="inlineStr">
        <is>
          <t>Технич. помещения надзем.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A214</f>
        <v/>
      </c>
      <c r="B218" s="31" t="inlineStr">
        <is>
          <t>Черновая</t>
        </is>
      </c>
      <c r="C218" s="31" t="inlineStr">
        <is>
          <t>8.2.5</t>
        </is>
      </c>
      <c r="D218" s="32" t="inlineStr">
        <is>
          <t>Прочие помещения надзем.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A214</f>
        <v/>
      </c>
      <c r="B219" s="31" t="inlineStr">
        <is>
          <t>Черновая</t>
        </is>
      </c>
      <c r="C219" s="31" t="inlineStr">
        <is>
          <t>8.2.6</t>
        </is>
      </c>
      <c r="D219" s="32" t="inlineStr">
        <is>
          <t>Коммерч. помещения надзем.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A214</f>
        <v/>
      </c>
      <c r="B220" s="31" t="inlineStr">
        <is>
          <t>Черновая</t>
        </is>
      </c>
      <c r="C220" s="31" t="inlineStr">
        <is>
          <t>8.2.7</t>
        </is>
      </c>
      <c r="D220" s="32" t="inlineStr">
        <is>
          <t>Паркинг и рампы надзем.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>
      <c r="A221" s="30">
        <f>A214</f>
        <v/>
      </c>
      <c r="B221" s="31" t="inlineStr">
        <is>
          <t>Чистовая</t>
        </is>
      </c>
      <c r="C221" s="31" t="inlineStr">
        <is>
          <t>8.2.1</t>
        </is>
      </c>
      <c r="D221" s="32" t="inlineStr">
        <is>
          <t>Отделка лобби/гранд-лобби</t>
        </is>
      </c>
      <c r="E221" s="33" t="n"/>
      <c r="F221" s="33" t="n"/>
      <c r="G221" s="33" t="n"/>
      <c r="H221" s="33" t="n"/>
      <c r="I221" s="34">
        <f>COUNTA(E221:H221)&amp;"/4"</f>
        <v/>
      </c>
    </row>
    <row r="222" ht="30" customHeight="1" s="74">
      <c r="A222" s="30">
        <f>A214</f>
        <v/>
      </c>
      <c r="B222" s="31" t="inlineStr">
        <is>
          <t>Чистовая</t>
        </is>
      </c>
      <c r="C222" s="31" t="inlineStr">
        <is>
          <t>8.2.2</t>
        </is>
      </c>
      <c r="D222" s="32" t="inlineStr">
        <is>
          <t>Отделка эвакуац. лестн. клетки надзем.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A214</f>
        <v/>
      </c>
      <c r="B223" s="31" t="inlineStr">
        <is>
          <t>Чистовая</t>
        </is>
      </c>
      <c r="C223" s="31" t="inlineStr">
        <is>
          <t>8.2.3</t>
        </is>
      </c>
      <c r="D223" s="32" t="inlineStr">
        <is>
          <t>Лифт. холлы, тамбур-шлюзы надзем.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A214</f>
        <v/>
      </c>
      <c r="B224" s="31" t="inlineStr">
        <is>
          <t>Чистовая</t>
        </is>
      </c>
      <c r="C224" s="31" t="inlineStr">
        <is>
          <t>8.2.4</t>
        </is>
      </c>
      <c r="D224" s="32" t="inlineStr">
        <is>
          <t>Технич. помещения надзем.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A214</f>
        <v/>
      </c>
      <c r="B225" s="31" t="inlineStr">
        <is>
          <t>Чистовая</t>
        </is>
      </c>
      <c r="C225" s="31" t="inlineStr">
        <is>
          <t>8.2.5</t>
        </is>
      </c>
      <c r="D225" s="32" t="inlineStr">
        <is>
          <t>Прочие помещения надзем.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A214</f>
        <v/>
      </c>
      <c r="B226" s="31" t="inlineStr">
        <is>
          <t>Чистовая</t>
        </is>
      </c>
      <c r="C226" s="31" t="inlineStr">
        <is>
          <t>8.2.6</t>
        </is>
      </c>
      <c r="D226" s="32" t="inlineStr">
        <is>
          <t>Коммерч. помещения надзем.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>
      <c r="A227" s="30">
        <f>A214</f>
        <v/>
      </c>
      <c r="B227" s="31" t="inlineStr">
        <is>
          <t>Чистовая</t>
        </is>
      </c>
      <c r="C227" s="31" t="inlineStr">
        <is>
          <t>8.2.7</t>
        </is>
      </c>
      <c r="D227" s="32" t="inlineStr">
        <is>
          <t>Паркинг и рампы надзем.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A214+7</f>
        <v/>
      </c>
      <c r="B228" s="31" t="inlineStr">
        <is>
          <t>Черновая</t>
        </is>
      </c>
      <c r="C228" s="31" t="inlineStr">
        <is>
          <t>8.2.1</t>
        </is>
      </c>
      <c r="D228" s="32" t="inlineStr">
        <is>
          <t>Отделка лобби/гранд-лобби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 ht="30" customHeight="1" s="74">
      <c r="A229" s="30">
        <f>A228</f>
        <v/>
      </c>
      <c r="B229" s="31" t="inlineStr">
        <is>
          <t>Черновая</t>
        </is>
      </c>
      <c r="C229" s="31" t="inlineStr">
        <is>
          <t>8.2.2</t>
        </is>
      </c>
      <c r="D229" s="32" t="inlineStr">
        <is>
          <t>Отделка эвакуац. лестн. клетки надзем.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A228</f>
        <v/>
      </c>
      <c r="B230" s="31" t="inlineStr">
        <is>
          <t>Черновая</t>
        </is>
      </c>
      <c r="C230" s="31" t="inlineStr">
        <is>
          <t>8.2.3</t>
        </is>
      </c>
      <c r="D230" s="32" t="inlineStr">
        <is>
          <t>Лифт. холлы, тамбур-шлюзы надзем.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A228</f>
        <v/>
      </c>
      <c r="B231" s="31" t="inlineStr">
        <is>
          <t>Черновая</t>
        </is>
      </c>
      <c r="C231" s="31" t="inlineStr">
        <is>
          <t>8.2.4</t>
        </is>
      </c>
      <c r="D231" s="32" t="inlineStr">
        <is>
          <t>Технич. помещения надзем.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A228</f>
        <v/>
      </c>
      <c r="B232" s="31" t="inlineStr">
        <is>
          <t>Черновая</t>
        </is>
      </c>
      <c r="C232" s="31" t="inlineStr">
        <is>
          <t>8.2.5</t>
        </is>
      </c>
      <c r="D232" s="32" t="inlineStr">
        <is>
          <t>Прочие помещения надзем.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>
      <c r="A233" s="30">
        <f>A228</f>
        <v/>
      </c>
      <c r="B233" s="31" t="inlineStr">
        <is>
          <t>Черновая</t>
        </is>
      </c>
      <c r="C233" s="31" t="inlineStr">
        <is>
          <t>8.2.6</t>
        </is>
      </c>
      <c r="D233" s="32" t="inlineStr">
        <is>
          <t>Коммерч. помещения надзем.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A228</f>
        <v/>
      </c>
      <c r="B234" s="31" t="inlineStr">
        <is>
          <t>Черновая</t>
        </is>
      </c>
      <c r="C234" s="31" t="inlineStr">
        <is>
          <t>8.2.7</t>
        </is>
      </c>
      <c r="D234" s="32" t="inlineStr">
        <is>
          <t>Паркинг и рампы надзем.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A228</f>
        <v/>
      </c>
      <c r="B235" s="31" t="inlineStr">
        <is>
          <t>Чистовая</t>
        </is>
      </c>
      <c r="C235" s="31" t="inlineStr">
        <is>
          <t>8.2.1</t>
        </is>
      </c>
      <c r="D235" s="32" t="inlineStr">
        <is>
          <t>Отделка лобби/гранд-лобби</t>
        </is>
      </c>
      <c r="E235" s="33" t="n"/>
      <c r="F235" s="33" t="n"/>
      <c r="G235" s="33" t="n"/>
      <c r="H235" s="33" t="n"/>
      <c r="I235" s="34">
        <f>COUNTA(E235:H235)&amp;"/4"</f>
        <v/>
      </c>
    </row>
    <row r="236" ht="30" customHeight="1" s="74">
      <c r="A236" s="30">
        <f>A228</f>
        <v/>
      </c>
      <c r="B236" s="31" t="inlineStr">
        <is>
          <t>Чистовая</t>
        </is>
      </c>
      <c r="C236" s="31" t="inlineStr">
        <is>
          <t>8.2.2</t>
        </is>
      </c>
      <c r="D236" s="32" t="inlineStr">
        <is>
          <t>Отделка эвакуац. лестн. клетки надзем.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A228</f>
        <v/>
      </c>
      <c r="B237" s="31" t="inlineStr">
        <is>
          <t>Чистовая</t>
        </is>
      </c>
      <c r="C237" s="31" t="inlineStr">
        <is>
          <t>8.2.3</t>
        </is>
      </c>
      <c r="D237" s="32" t="inlineStr">
        <is>
          <t>Лифт. холлы, тамбур-шлюзы надзем.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A228</f>
        <v/>
      </c>
      <c r="B238" s="31" t="inlineStr">
        <is>
          <t>Чистовая</t>
        </is>
      </c>
      <c r="C238" s="31" t="inlineStr">
        <is>
          <t>8.2.4</t>
        </is>
      </c>
      <c r="D238" s="32" t="inlineStr">
        <is>
          <t>Технич. помещения надзем.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>
      <c r="A239" s="30">
        <f>A228</f>
        <v/>
      </c>
      <c r="B239" s="31" t="inlineStr">
        <is>
          <t>Чистовая</t>
        </is>
      </c>
      <c r="C239" s="31" t="inlineStr">
        <is>
          <t>8.2.5</t>
        </is>
      </c>
      <c r="D239" s="32" t="inlineStr">
        <is>
          <t>Прочие помещения надзем.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A228</f>
        <v/>
      </c>
      <c r="B240" s="31" t="inlineStr">
        <is>
          <t>Чистовая</t>
        </is>
      </c>
      <c r="C240" s="31" t="inlineStr">
        <is>
          <t>8.2.6</t>
        </is>
      </c>
      <c r="D240" s="32" t="inlineStr">
        <is>
          <t>Коммерч. помещения надзем.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A228</f>
        <v/>
      </c>
      <c r="B241" s="31" t="inlineStr">
        <is>
          <t>Чистовая</t>
        </is>
      </c>
      <c r="C241" s="31" t="inlineStr">
        <is>
          <t>8.2.7</t>
        </is>
      </c>
      <c r="D241" s="32" t="inlineStr">
        <is>
          <t>Паркинг и рампы надзем.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A228+7</f>
        <v/>
      </c>
      <c r="B242" s="31" t="inlineStr">
        <is>
          <t>Черновая</t>
        </is>
      </c>
      <c r="C242" s="31" t="inlineStr">
        <is>
          <t>8.2.1</t>
        </is>
      </c>
      <c r="D242" s="32" t="inlineStr">
        <is>
          <t>Отделка лобби/гранд-лобби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 ht="30" customHeight="1" s="74">
      <c r="A243" s="30">
        <f>A242</f>
        <v/>
      </c>
      <c r="B243" s="31" t="inlineStr">
        <is>
          <t>Черновая</t>
        </is>
      </c>
      <c r="C243" s="31" t="inlineStr">
        <is>
          <t>8.2.2</t>
        </is>
      </c>
      <c r="D243" s="32" t="inlineStr">
        <is>
          <t>Отделка эвакуац. лестн. клетки надзем.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A242</f>
        <v/>
      </c>
      <c r="B244" s="31" t="inlineStr">
        <is>
          <t>Черновая</t>
        </is>
      </c>
      <c r="C244" s="31" t="inlineStr">
        <is>
          <t>8.2.3</t>
        </is>
      </c>
      <c r="D244" s="32" t="inlineStr">
        <is>
          <t>Лифт. холлы, тамбур-шлюзы надзем.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>
      <c r="A245" s="30">
        <f>A242</f>
        <v/>
      </c>
      <c r="B245" s="31" t="inlineStr">
        <is>
          <t>Черновая</t>
        </is>
      </c>
      <c r="C245" s="31" t="inlineStr">
        <is>
          <t>8.2.4</t>
        </is>
      </c>
      <c r="D245" s="32" t="inlineStr">
        <is>
          <t>Технич. помещения надзем.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A242</f>
        <v/>
      </c>
      <c r="B246" s="31" t="inlineStr">
        <is>
          <t>Черновая</t>
        </is>
      </c>
      <c r="C246" s="31" t="inlineStr">
        <is>
          <t>8.2.5</t>
        </is>
      </c>
      <c r="D246" s="32" t="inlineStr">
        <is>
          <t>Прочие помещения надзем.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A242</f>
        <v/>
      </c>
      <c r="B247" s="31" t="inlineStr">
        <is>
          <t>Черновая</t>
        </is>
      </c>
      <c r="C247" s="31" t="inlineStr">
        <is>
          <t>8.2.6</t>
        </is>
      </c>
      <c r="D247" s="32" t="inlineStr">
        <is>
          <t>Коммерч. помещения надзем.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A242</f>
        <v/>
      </c>
      <c r="B248" s="31" t="inlineStr">
        <is>
          <t>Черновая</t>
        </is>
      </c>
      <c r="C248" s="31" t="inlineStr">
        <is>
          <t>8.2.7</t>
        </is>
      </c>
      <c r="D248" s="32" t="inlineStr">
        <is>
          <t>Паркинг и рампы надзем.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A242</f>
        <v/>
      </c>
      <c r="B249" s="31" t="inlineStr">
        <is>
          <t>Чистовая</t>
        </is>
      </c>
      <c r="C249" s="31" t="inlineStr">
        <is>
          <t>8.2.1</t>
        </is>
      </c>
      <c r="D249" s="32" t="inlineStr">
        <is>
          <t>Отделка лобби/гранд-лобби</t>
        </is>
      </c>
      <c r="E249" s="33" t="n"/>
      <c r="F249" s="33" t="n"/>
      <c r="G249" s="33" t="n"/>
      <c r="H249" s="33" t="n"/>
      <c r="I249" s="34">
        <f>COUNTA(E249:H249)&amp;"/4"</f>
        <v/>
      </c>
    </row>
    <row r="250" ht="30" customHeight="1" s="74">
      <c r="A250" s="30">
        <f>A242</f>
        <v/>
      </c>
      <c r="B250" s="31" t="inlineStr">
        <is>
          <t>Чистовая</t>
        </is>
      </c>
      <c r="C250" s="31" t="inlineStr">
        <is>
          <t>8.2.2</t>
        </is>
      </c>
      <c r="D250" s="32" t="inlineStr">
        <is>
          <t>Отделка эвакуац. лестн. клетки надзем.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>
      <c r="A251" s="30">
        <f>A242</f>
        <v/>
      </c>
      <c r="B251" s="31" t="inlineStr">
        <is>
          <t>Чистовая</t>
        </is>
      </c>
      <c r="C251" s="31" t="inlineStr">
        <is>
          <t>8.2.3</t>
        </is>
      </c>
      <c r="D251" s="32" t="inlineStr">
        <is>
          <t>Лифт. холлы, тамбур-шлюзы надзем.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A242</f>
        <v/>
      </c>
      <c r="B252" s="31" t="inlineStr">
        <is>
          <t>Чистовая</t>
        </is>
      </c>
      <c r="C252" s="31" t="inlineStr">
        <is>
          <t>8.2.4</t>
        </is>
      </c>
      <c r="D252" s="32" t="inlineStr">
        <is>
          <t>Технич. помещения надзем.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A242</f>
        <v/>
      </c>
      <c r="B253" s="31" t="inlineStr">
        <is>
          <t>Чистовая</t>
        </is>
      </c>
      <c r="C253" s="31" t="inlineStr">
        <is>
          <t>8.2.5</t>
        </is>
      </c>
      <c r="D253" s="32" t="inlineStr">
        <is>
          <t>Прочие помещения надзем.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A242</f>
        <v/>
      </c>
      <c r="B254" s="31" t="inlineStr">
        <is>
          <t>Чистовая</t>
        </is>
      </c>
      <c r="C254" s="31" t="inlineStr">
        <is>
          <t>8.2.6</t>
        </is>
      </c>
      <c r="D254" s="32" t="inlineStr">
        <is>
          <t>Коммерч. помещения надзем.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A242</f>
        <v/>
      </c>
      <c r="B255" s="31" t="inlineStr">
        <is>
          <t>Чистовая</t>
        </is>
      </c>
      <c r="C255" s="31" t="inlineStr">
        <is>
          <t>8.2.7</t>
        </is>
      </c>
      <c r="D255" s="32" t="inlineStr">
        <is>
          <t>Паркинг и рампы надзем.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A242+7</f>
        <v/>
      </c>
      <c r="B256" s="31" t="inlineStr">
        <is>
          <t>Черновая</t>
        </is>
      </c>
      <c r="C256" s="31" t="inlineStr">
        <is>
          <t>8.2.1</t>
        </is>
      </c>
      <c r="D256" s="32" t="inlineStr">
        <is>
          <t>Отделка лобби/гранд-лобби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8.2.2</t>
        </is>
      </c>
      <c r="D257" s="32" t="inlineStr">
        <is>
          <t>Отделка эвакуац. лестн. клетки надзем.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8.2.3</t>
        </is>
      </c>
      <c r="D258" s="32" t="inlineStr">
        <is>
          <t>Лифт. холлы, тамбур-шлюзы надзем.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8.2.4</t>
        </is>
      </c>
      <c r="D259" s="32" t="inlineStr">
        <is>
          <t>Технич. помещения надзем.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8.2.5</t>
        </is>
      </c>
      <c r="D260" s="32" t="inlineStr">
        <is>
          <t>Прочие помещения надзем.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8.2.6</t>
        </is>
      </c>
      <c r="D261" s="32" t="inlineStr">
        <is>
          <t>Коммерч. помещения надзем.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Черновая</t>
        </is>
      </c>
      <c r="C262" s="31" t="inlineStr">
        <is>
          <t>8.2.7</t>
        </is>
      </c>
      <c r="D262" s="32" t="inlineStr">
        <is>
          <t>Паркинг и рампы надзем.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>
      <c r="A263" s="30">
        <f>A256</f>
        <v/>
      </c>
      <c r="B263" s="31" t="inlineStr">
        <is>
          <t>Чистовая</t>
        </is>
      </c>
      <c r="C263" s="31" t="inlineStr">
        <is>
          <t>8.2.1</t>
        </is>
      </c>
      <c r="D263" s="32" t="inlineStr">
        <is>
          <t>Отделка лобби/гранд-лобби</t>
        </is>
      </c>
      <c r="E263" s="33" t="n"/>
      <c r="F263" s="33" t="n"/>
      <c r="G263" s="33" t="n"/>
      <c r="H263" s="33" t="n"/>
      <c r="I263" s="34">
        <f>COUNTA(E263:H263)&amp;"/4"</f>
        <v/>
      </c>
    </row>
    <row r="264" ht="30" customHeight="1" s="74">
      <c r="A264" s="30">
        <f>A256</f>
        <v/>
      </c>
      <c r="B264" s="31" t="inlineStr">
        <is>
          <t>Чистовая</t>
        </is>
      </c>
      <c r="C264" s="31" t="inlineStr">
        <is>
          <t>8.2.2</t>
        </is>
      </c>
      <c r="D264" s="32" t="inlineStr">
        <is>
          <t>Отделка эвакуац. лестн. клетки надзем.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8.2.3</t>
        </is>
      </c>
      <c r="D265" s="32" t="inlineStr">
        <is>
          <t>Лифт. холлы, тамбур-шлюзы надзем.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8.2.4</t>
        </is>
      </c>
      <c r="D266" s="32" t="inlineStr">
        <is>
          <t>Технич. помещения надзем.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8.2.5</t>
        </is>
      </c>
      <c r="D267" s="32" t="inlineStr">
        <is>
          <t>Прочие помещения надзем.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</f>
        <v/>
      </c>
      <c r="B268" s="31" t="inlineStr">
        <is>
          <t>Чистовая</t>
        </is>
      </c>
      <c r="C268" s="31" t="inlineStr">
        <is>
          <t>8.2.6</t>
        </is>
      </c>
      <c r="D268" s="32" t="inlineStr">
        <is>
          <t>Коммерч. помещения надзем.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>
      <c r="A269" s="30">
        <f>A256</f>
        <v/>
      </c>
      <c r="B269" s="31" t="inlineStr">
        <is>
          <t>Чистовая</t>
        </is>
      </c>
      <c r="C269" s="31" t="inlineStr">
        <is>
          <t>8.2.7</t>
        </is>
      </c>
      <c r="D269" s="32" t="inlineStr">
        <is>
          <t>Паркинг и рампы надзем.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A256+7</f>
        <v/>
      </c>
      <c r="B270" s="31" t="inlineStr">
        <is>
          <t>Черновая</t>
        </is>
      </c>
      <c r="C270" s="31" t="inlineStr">
        <is>
          <t>8.2.1</t>
        </is>
      </c>
      <c r="D270" s="32" t="inlineStr">
        <is>
          <t>Отделка лобби/гранд-лобби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 ht="30" customHeight="1" s="74">
      <c r="A271" s="30">
        <f>A270</f>
        <v/>
      </c>
      <c r="B271" s="31" t="inlineStr">
        <is>
          <t>Черновая</t>
        </is>
      </c>
      <c r="C271" s="31" t="inlineStr">
        <is>
          <t>8.2.2</t>
        </is>
      </c>
      <c r="D271" s="32" t="inlineStr">
        <is>
          <t>Отделка эвакуац. лестн. клетки надзем.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A270</f>
        <v/>
      </c>
      <c r="B272" s="31" t="inlineStr">
        <is>
          <t>Черновая</t>
        </is>
      </c>
      <c r="C272" s="31" t="inlineStr">
        <is>
          <t>8.2.3</t>
        </is>
      </c>
      <c r="D272" s="32" t="inlineStr">
        <is>
          <t>Лифт. холлы, тамбур-шлюзы надзем.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A270</f>
        <v/>
      </c>
      <c r="B273" s="31" t="inlineStr">
        <is>
          <t>Черновая</t>
        </is>
      </c>
      <c r="C273" s="31" t="inlineStr">
        <is>
          <t>8.2.4</t>
        </is>
      </c>
      <c r="D273" s="32" t="inlineStr">
        <is>
          <t>Технич. помещения надзем.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A270</f>
        <v/>
      </c>
      <c r="B274" s="31" t="inlineStr">
        <is>
          <t>Черновая</t>
        </is>
      </c>
      <c r="C274" s="31" t="inlineStr">
        <is>
          <t>8.2.5</t>
        </is>
      </c>
      <c r="D274" s="32" t="inlineStr">
        <is>
          <t>Прочие помещения надзем.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>
      <c r="A275" s="30">
        <f>A270</f>
        <v/>
      </c>
      <c r="B275" s="31" t="inlineStr">
        <is>
          <t>Черновая</t>
        </is>
      </c>
      <c r="C275" s="31" t="inlineStr">
        <is>
          <t>8.2.6</t>
        </is>
      </c>
      <c r="D275" s="32" t="inlineStr">
        <is>
          <t>Коммерч. помещения надзем.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A270</f>
        <v/>
      </c>
      <c r="B276" s="31" t="inlineStr">
        <is>
          <t>Черновая</t>
        </is>
      </c>
      <c r="C276" s="31" t="inlineStr">
        <is>
          <t>8.2.7</t>
        </is>
      </c>
      <c r="D276" s="32" t="inlineStr">
        <is>
          <t>Паркинг и рампы надзем.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A270</f>
        <v/>
      </c>
      <c r="B277" s="31" t="inlineStr">
        <is>
          <t>Чистовая</t>
        </is>
      </c>
      <c r="C277" s="31" t="inlineStr">
        <is>
          <t>8.2.1</t>
        </is>
      </c>
      <c r="D277" s="32" t="inlineStr">
        <is>
          <t>Отделка лобби/гранд-лобби</t>
        </is>
      </c>
      <c r="E277" s="33" t="n"/>
      <c r="F277" s="33" t="n"/>
      <c r="G277" s="33" t="n"/>
      <c r="H277" s="33" t="n"/>
      <c r="I277" s="34">
        <f>COUNTA(E277:H277)&amp;"/4"</f>
        <v/>
      </c>
    </row>
    <row r="278" ht="30" customHeight="1" s="74">
      <c r="A278" s="30">
        <f>A270</f>
        <v/>
      </c>
      <c r="B278" s="31" t="inlineStr">
        <is>
          <t>Чистовая</t>
        </is>
      </c>
      <c r="C278" s="31" t="inlineStr">
        <is>
          <t>8.2.2</t>
        </is>
      </c>
      <c r="D278" s="32" t="inlineStr">
        <is>
          <t>Отделка эвакуац. лестн. клетки надзем.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A270</f>
        <v/>
      </c>
      <c r="B279" s="31" t="inlineStr">
        <is>
          <t>Чистовая</t>
        </is>
      </c>
      <c r="C279" s="31" t="inlineStr">
        <is>
          <t>8.2.3</t>
        </is>
      </c>
      <c r="D279" s="32" t="inlineStr">
        <is>
          <t>Лифт. холлы, тамбур-шлюзы надзем.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A270</f>
        <v/>
      </c>
      <c r="B280" s="31" t="inlineStr">
        <is>
          <t>Чистовая</t>
        </is>
      </c>
      <c r="C280" s="31" t="inlineStr">
        <is>
          <t>8.2.4</t>
        </is>
      </c>
      <c r="D280" s="32" t="inlineStr">
        <is>
          <t>Технич. помещения надзем.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>
      <c r="A281" s="30">
        <f>A270</f>
        <v/>
      </c>
      <c r="B281" s="31" t="inlineStr">
        <is>
          <t>Чистовая</t>
        </is>
      </c>
      <c r="C281" s="31" t="inlineStr">
        <is>
          <t>8.2.5</t>
        </is>
      </c>
      <c r="D281" s="32" t="inlineStr">
        <is>
          <t>Прочие помещения надзем.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A270</f>
        <v/>
      </c>
      <c r="B282" s="31" t="inlineStr">
        <is>
          <t>Чистовая</t>
        </is>
      </c>
      <c r="C282" s="31" t="inlineStr">
        <is>
          <t>8.2.6</t>
        </is>
      </c>
      <c r="D282" s="32" t="inlineStr">
        <is>
          <t>Коммерч. помещения надзем.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A270</f>
        <v/>
      </c>
      <c r="B283" s="31" t="inlineStr">
        <is>
          <t>Чистовая</t>
        </is>
      </c>
      <c r="C283" s="31" t="inlineStr">
        <is>
          <t>8.2.7</t>
        </is>
      </c>
      <c r="D283" s="32" t="inlineStr">
        <is>
          <t>Паркинг и рампы надзем.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A270+7</f>
        <v/>
      </c>
      <c r="B284" s="31" t="inlineStr">
        <is>
          <t>Черновая</t>
        </is>
      </c>
      <c r="C284" s="31" t="inlineStr">
        <is>
          <t>8.2.1</t>
        </is>
      </c>
      <c r="D284" s="32" t="inlineStr">
        <is>
          <t>Отделка лобби/гранд-лобби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 ht="30" customHeight="1" s="74">
      <c r="A285" s="30">
        <f>A284</f>
        <v/>
      </c>
      <c r="B285" s="31" t="inlineStr">
        <is>
          <t>Черновая</t>
        </is>
      </c>
      <c r="C285" s="31" t="inlineStr">
        <is>
          <t>8.2.2</t>
        </is>
      </c>
      <c r="D285" s="32" t="inlineStr">
        <is>
          <t>Отделка эвакуац. лестн. клетки надзем.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A284</f>
        <v/>
      </c>
      <c r="B286" s="31" t="inlineStr">
        <is>
          <t>Черновая</t>
        </is>
      </c>
      <c r="C286" s="31" t="inlineStr">
        <is>
          <t>8.2.3</t>
        </is>
      </c>
      <c r="D286" s="32" t="inlineStr">
        <is>
          <t>Лифт. холлы, тамбур-шлюзы надзем.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>
      <c r="A287" s="30">
        <f>A284</f>
        <v/>
      </c>
      <c r="B287" s="31" t="inlineStr">
        <is>
          <t>Черновая</t>
        </is>
      </c>
      <c r="C287" s="31" t="inlineStr">
        <is>
          <t>8.2.4</t>
        </is>
      </c>
      <c r="D287" s="32" t="inlineStr">
        <is>
          <t>Технич. помещения надзем.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A284</f>
        <v/>
      </c>
      <c r="B288" s="31" t="inlineStr">
        <is>
          <t>Черновая</t>
        </is>
      </c>
      <c r="C288" s="31" t="inlineStr">
        <is>
          <t>8.2.5</t>
        </is>
      </c>
      <c r="D288" s="32" t="inlineStr">
        <is>
          <t>Прочие помещения надзем.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A284</f>
        <v/>
      </c>
      <c r="B289" s="31" t="inlineStr">
        <is>
          <t>Черновая</t>
        </is>
      </c>
      <c r="C289" s="31" t="inlineStr">
        <is>
          <t>8.2.6</t>
        </is>
      </c>
      <c r="D289" s="32" t="inlineStr">
        <is>
          <t>Коммерч. помещения надзем.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A284</f>
        <v/>
      </c>
      <c r="B290" s="31" t="inlineStr">
        <is>
          <t>Черновая</t>
        </is>
      </c>
      <c r="C290" s="31" t="inlineStr">
        <is>
          <t>8.2.7</t>
        </is>
      </c>
      <c r="D290" s="32" t="inlineStr">
        <is>
          <t>Паркинг и рампы надзем.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A284</f>
        <v/>
      </c>
      <c r="B291" s="31" t="inlineStr">
        <is>
          <t>Чистовая</t>
        </is>
      </c>
      <c r="C291" s="31" t="inlineStr">
        <is>
          <t>8.2.1</t>
        </is>
      </c>
      <c r="D291" s="32" t="inlineStr">
        <is>
          <t>Отделка лобби/гранд-лобби</t>
        </is>
      </c>
      <c r="E291" s="33" t="n"/>
      <c r="F291" s="33" t="n"/>
      <c r="G291" s="33" t="n"/>
      <c r="H291" s="33" t="n"/>
      <c r="I291" s="34">
        <f>COUNTA(E291:H291)&amp;"/4"</f>
        <v/>
      </c>
    </row>
    <row r="292" ht="30" customHeight="1" s="74">
      <c r="A292" s="30">
        <f>A284</f>
        <v/>
      </c>
      <c r="B292" s="31" t="inlineStr">
        <is>
          <t>Чистовая</t>
        </is>
      </c>
      <c r="C292" s="31" t="inlineStr">
        <is>
          <t>8.2.2</t>
        </is>
      </c>
      <c r="D292" s="32" t="inlineStr">
        <is>
          <t>Отделка эвакуац. лестн. клетки надзем.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>
      <c r="A293" s="30">
        <f>A284</f>
        <v/>
      </c>
      <c r="B293" s="31" t="inlineStr">
        <is>
          <t>Чистовая</t>
        </is>
      </c>
      <c r="C293" s="31" t="inlineStr">
        <is>
          <t>8.2.3</t>
        </is>
      </c>
      <c r="D293" s="32" t="inlineStr">
        <is>
          <t>Лифт. холлы, тамбур-шлюзы надзем.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A284</f>
        <v/>
      </c>
      <c r="B294" s="31" t="inlineStr">
        <is>
          <t>Чистовая</t>
        </is>
      </c>
      <c r="C294" s="31" t="inlineStr">
        <is>
          <t>8.2.4</t>
        </is>
      </c>
      <c r="D294" s="32" t="inlineStr">
        <is>
          <t>Технич. помещения надзем.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A284</f>
        <v/>
      </c>
      <c r="B295" s="31" t="inlineStr">
        <is>
          <t>Чистовая</t>
        </is>
      </c>
      <c r="C295" s="31" t="inlineStr">
        <is>
          <t>8.2.5</t>
        </is>
      </c>
      <c r="D295" s="32" t="inlineStr">
        <is>
          <t>Прочие помещения надзем.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A284</f>
        <v/>
      </c>
      <c r="B296" s="31" t="inlineStr">
        <is>
          <t>Чистовая</t>
        </is>
      </c>
      <c r="C296" s="31" t="inlineStr">
        <is>
          <t>8.2.6</t>
        </is>
      </c>
      <c r="D296" s="32" t="inlineStr">
        <is>
          <t>Коммерч. помещения надзем.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A284</f>
        <v/>
      </c>
      <c r="B297" s="31" t="inlineStr">
        <is>
          <t>Чистовая</t>
        </is>
      </c>
      <c r="C297" s="31" t="inlineStr">
        <is>
          <t>8.2.7</t>
        </is>
      </c>
      <c r="D297" s="32" t="inlineStr">
        <is>
          <t>Паркинг и рампы надзем.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A284+7</f>
        <v/>
      </c>
      <c r="B298" s="31" t="inlineStr">
        <is>
          <t>Черновая</t>
        </is>
      </c>
      <c r="C298" s="31" t="inlineStr">
        <is>
          <t>8.2.1</t>
        </is>
      </c>
      <c r="D298" s="32" t="inlineStr">
        <is>
          <t>Отделка лобби/гранд-лобби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A298</f>
        <v/>
      </c>
      <c r="B299" s="31" t="inlineStr">
        <is>
          <t>Черновая</t>
        </is>
      </c>
      <c r="C299" s="31" t="inlineStr">
        <is>
          <t>8.2.2</t>
        </is>
      </c>
      <c r="D299" s="32" t="inlineStr">
        <is>
          <t>Отделка эвакуац. лестн. клетки надзем.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A298</f>
        <v/>
      </c>
      <c r="B300" s="31" t="inlineStr">
        <is>
          <t>Черновая</t>
        </is>
      </c>
      <c r="C300" s="31" t="inlineStr">
        <is>
          <t>8.2.3</t>
        </is>
      </c>
      <c r="D300" s="32" t="inlineStr">
        <is>
          <t>Лифт. холлы, тамбур-шлюзы надзем.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A298</f>
        <v/>
      </c>
      <c r="B301" s="31" t="inlineStr">
        <is>
          <t>Черновая</t>
        </is>
      </c>
      <c r="C301" s="31" t="inlineStr">
        <is>
          <t>8.2.4</t>
        </is>
      </c>
      <c r="D301" s="32" t="inlineStr">
        <is>
          <t>Технич. помещения надзем.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A298</f>
        <v/>
      </c>
      <c r="B302" s="31" t="inlineStr">
        <is>
          <t>Черновая</t>
        </is>
      </c>
      <c r="C302" s="31" t="inlineStr">
        <is>
          <t>8.2.5</t>
        </is>
      </c>
      <c r="D302" s="32" t="inlineStr">
        <is>
          <t>Прочие помещения надзем.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A298</f>
        <v/>
      </c>
      <c r="B303" s="31" t="inlineStr">
        <is>
          <t>Черновая</t>
        </is>
      </c>
      <c r="C303" s="31" t="inlineStr">
        <is>
          <t>8.2.6</t>
        </is>
      </c>
      <c r="D303" s="32" t="inlineStr">
        <is>
          <t>Коммерч. помещения надзем.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A298</f>
        <v/>
      </c>
      <c r="B304" s="31" t="inlineStr">
        <is>
          <t>Черновая</t>
        </is>
      </c>
      <c r="C304" s="31" t="inlineStr">
        <is>
          <t>8.2.7</t>
        </is>
      </c>
      <c r="D304" s="32" t="inlineStr">
        <is>
          <t>Паркинг и рампы надзем.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>
      <c r="A305" s="30">
        <f>A298</f>
        <v/>
      </c>
      <c r="B305" s="31" t="inlineStr">
        <is>
          <t>Чистовая</t>
        </is>
      </c>
      <c r="C305" s="31" t="inlineStr">
        <is>
          <t>8.2.1</t>
        </is>
      </c>
      <c r="D305" s="32" t="inlineStr">
        <is>
          <t>Отделка лобби/гранд-лобби</t>
        </is>
      </c>
      <c r="E305" s="33" t="n"/>
      <c r="F305" s="33" t="n"/>
      <c r="G305" s="33" t="n"/>
      <c r="H305" s="33" t="n"/>
      <c r="I305" s="34">
        <f>COUNTA(E305:H305)&amp;"/4"</f>
        <v/>
      </c>
    </row>
    <row r="306" ht="30" customHeight="1" s="74">
      <c r="A306" s="30">
        <f>A298</f>
        <v/>
      </c>
      <c r="B306" s="31" t="inlineStr">
        <is>
          <t>Чистовая</t>
        </is>
      </c>
      <c r="C306" s="31" t="inlineStr">
        <is>
          <t>8.2.2</t>
        </is>
      </c>
      <c r="D306" s="32" t="inlineStr">
        <is>
          <t>Отделка эвакуац. лестн. клетки надзем.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A298</f>
        <v/>
      </c>
      <c r="B307" s="31" t="inlineStr">
        <is>
          <t>Чистовая</t>
        </is>
      </c>
      <c r="C307" s="31" t="inlineStr">
        <is>
          <t>8.2.3</t>
        </is>
      </c>
      <c r="D307" s="32" t="inlineStr">
        <is>
          <t>Лифт. холлы, тамбур-шлюзы надзем.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A298</f>
        <v/>
      </c>
      <c r="B308" s="31" t="inlineStr">
        <is>
          <t>Чистовая</t>
        </is>
      </c>
      <c r="C308" s="31" t="inlineStr">
        <is>
          <t>8.2.4</t>
        </is>
      </c>
      <c r="D308" s="32" t="inlineStr">
        <is>
          <t>Технич. помещения надзем.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A298</f>
        <v/>
      </c>
      <c r="B309" s="31" t="inlineStr">
        <is>
          <t>Чистовая</t>
        </is>
      </c>
      <c r="C309" s="31" t="inlineStr">
        <is>
          <t>8.2.5</t>
        </is>
      </c>
      <c r="D309" s="32" t="inlineStr">
        <is>
          <t>Прочие помещения надзем.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A298</f>
        <v/>
      </c>
      <c r="B310" s="31" t="inlineStr">
        <is>
          <t>Чистовая</t>
        </is>
      </c>
      <c r="C310" s="31" t="inlineStr">
        <is>
          <t>8.2.6</t>
        </is>
      </c>
      <c r="D310" s="32" t="inlineStr">
        <is>
          <t>Коммерч. помещения надзем.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>
      <c r="A311" s="30">
        <f>A298</f>
        <v/>
      </c>
      <c r="B311" s="31" t="inlineStr">
        <is>
          <t>Чистовая</t>
        </is>
      </c>
      <c r="C311" s="31" t="inlineStr">
        <is>
          <t>8.2.7</t>
        </is>
      </c>
      <c r="D311" s="32" t="inlineStr">
        <is>
          <t>Паркинг и рампы надзем.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A298+7</f>
        <v/>
      </c>
      <c r="B312" s="31" t="inlineStr">
        <is>
          <t>Черновая</t>
        </is>
      </c>
      <c r="C312" s="31" t="inlineStr">
        <is>
          <t>8.2.1</t>
        </is>
      </c>
      <c r="D312" s="32" t="inlineStr">
        <is>
          <t>Отделка лобби/гранд-лобби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 ht="30" customHeight="1" s="74">
      <c r="A313" s="30">
        <f>A312</f>
        <v/>
      </c>
      <c r="B313" s="31" t="inlineStr">
        <is>
          <t>Черновая</t>
        </is>
      </c>
      <c r="C313" s="31" t="inlineStr">
        <is>
          <t>8.2.2</t>
        </is>
      </c>
      <c r="D313" s="32" t="inlineStr">
        <is>
          <t>Отделка эвакуац. лестн. клетки надзем.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A312</f>
        <v/>
      </c>
      <c r="B314" s="31" t="inlineStr">
        <is>
          <t>Черновая</t>
        </is>
      </c>
      <c r="C314" s="31" t="inlineStr">
        <is>
          <t>8.2.3</t>
        </is>
      </c>
      <c r="D314" s="32" t="inlineStr">
        <is>
          <t>Лифт. холлы, тамбур-шлюзы надзем.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A312</f>
        <v/>
      </c>
      <c r="B315" s="31" t="inlineStr">
        <is>
          <t>Черновая</t>
        </is>
      </c>
      <c r="C315" s="31" t="inlineStr">
        <is>
          <t>8.2.4</t>
        </is>
      </c>
      <c r="D315" s="32" t="inlineStr">
        <is>
          <t>Технич. помещения надзем.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A312</f>
        <v/>
      </c>
      <c r="B316" s="31" t="inlineStr">
        <is>
          <t>Черновая</t>
        </is>
      </c>
      <c r="C316" s="31" t="inlineStr">
        <is>
          <t>8.2.5</t>
        </is>
      </c>
      <c r="D316" s="32" t="inlineStr">
        <is>
          <t>Прочие помещения надзем.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>
      <c r="A317" s="30">
        <f>A312</f>
        <v/>
      </c>
      <c r="B317" s="31" t="inlineStr">
        <is>
          <t>Черновая</t>
        </is>
      </c>
      <c r="C317" s="31" t="inlineStr">
        <is>
          <t>8.2.6</t>
        </is>
      </c>
      <c r="D317" s="32" t="inlineStr">
        <is>
          <t>Коммерч. помещения надзем.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A312</f>
        <v/>
      </c>
      <c r="B318" s="31" t="inlineStr">
        <is>
          <t>Черновая</t>
        </is>
      </c>
      <c r="C318" s="31" t="inlineStr">
        <is>
          <t>8.2.7</t>
        </is>
      </c>
      <c r="D318" s="32" t="inlineStr">
        <is>
          <t>Паркинг и рампы надзем.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A312</f>
        <v/>
      </c>
      <c r="B319" s="31" t="inlineStr">
        <is>
          <t>Чистовая</t>
        </is>
      </c>
      <c r="C319" s="31" t="inlineStr">
        <is>
          <t>8.2.1</t>
        </is>
      </c>
      <c r="D319" s="32" t="inlineStr">
        <is>
          <t>Отделка лобби/гранд-лобби</t>
        </is>
      </c>
      <c r="E319" s="33" t="n"/>
      <c r="F319" s="33" t="n"/>
      <c r="G319" s="33" t="n"/>
      <c r="H319" s="33" t="n"/>
      <c r="I319" s="34">
        <f>COUNTA(E319:H319)&amp;"/4"</f>
        <v/>
      </c>
    </row>
    <row r="320" ht="30" customHeight="1" s="74">
      <c r="A320" s="30">
        <f>A312</f>
        <v/>
      </c>
      <c r="B320" s="31" t="inlineStr">
        <is>
          <t>Чистовая</t>
        </is>
      </c>
      <c r="C320" s="31" t="inlineStr">
        <is>
          <t>8.2.2</t>
        </is>
      </c>
      <c r="D320" s="32" t="inlineStr">
        <is>
          <t>Отделка эвакуац. лестн. клетки надзем.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A312</f>
        <v/>
      </c>
      <c r="B321" s="31" t="inlineStr">
        <is>
          <t>Чистовая</t>
        </is>
      </c>
      <c r="C321" s="31" t="inlineStr">
        <is>
          <t>8.2.3</t>
        </is>
      </c>
      <c r="D321" s="32" t="inlineStr">
        <is>
          <t>Лифт. холлы, тамбур-шлюзы надзем.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A312</f>
        <v/>
      </c>
      <c r="B322" s="31" t="inlineStr">
        <is>
          <t>Чистовая</t>
        </is>
      </c>
      <c r="C322" s="31" t="inlineStr">
        <is>
          <t>8.2.4</t>
        </is>
      </c>
      <c r="D322" s="32" t="inlineStr">
        <is>
          <t>Технич. помещения надзем.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>
      <c r="A323" s="30">
        <f>A312</f>
        <v/>
      </c>
      <c r="B323" s="31" t="inlineStr">
        <is>
          <t>Чистовая</t>
        </is>
      </c>
      <c r="C323" s="31" t="inlineStr">
        <is>
          <t>8.2.5</t>
        </is>
      </c>
      <c r="D323" s="32" t="inlineStr">
        <is>
          <t>Прочие помещения надзем.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A312</f>
        <v/>
      </c>
      <c r="B324" s="31" t="inlineStr">
        <is>
          <t>Чистовая</t>
        </is>
      </c>
      <c r="C324" s="31" t="inlineStr">
        <is>
          <t>8.2.6</t>
        </is>
      </c>
      <c r="D324" s="32" t="inlineStr">
        <is>
          <t>Коммерч. помещения надзем.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A312</f>
        <v/>
      </c>
      <c r="B325" s="31" t="inlineStr">
        <is>
          <t>Чистовая</t>
        </is>
      </c>
      <c r="C325" s="31" t="inlineStr">
        <is>
          <t>8.2.7</t>
        </is>
      </c>
      <c r="D325" s="32" t="inlineStr">
        <is>
          <t>Паркинг и рампы надзем.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A312+7</f>
        <v/>
      </c>
      <c r="B326" s="31" t="inlineStr">
        <is>
          <t>Черновая</t>
        </is>
      </c>
      <c r="C326" s="31" t="inlineStr">
        <is>
          <t>8.2.1</t>
        </is>
      </c>
      <c r="D326" s="32" t="inlineStr">
        <is>
          <t>Отделка лобби/гранд-лобби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 ht="30" customHeight="1" s="74">
      <c r="A327" s="30">
        <f>A326</f>
        <v/>
      </c>
      <c r="B327" s="31" t="inlineStr">
        <is>
          <t>Черновая</t>
        </is>
      </c>
      <c r="C327" s="31" t="inlineStr">
        <is>
          <t>8.2.2</t>
        </is>
      </c>
      <c r="D327" s="32" t="inlineStr">
        <is>
          <t>Отделка эвакуац. лестн. клетки надзем.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A326</f>
        <v/>
      </c>
      <c r="B328" s="31" t="inlineStr">
        <is>
          <t>Черновая</t>
        </is>
      </c>
      <c r="C328" s="31" t="inlineStr">
        <is>
          <t>8.2.3</t>
        </is>
      </c>
      <c r="D328" s="32" t="inlineStr">
        <is>
          <t>Лифт. холлы, тамбур-шлюзы надзем.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>
      <c r="A329" s="30">
        <f>A326</f>
        <v/>
      </c>
      <c r="B329" s="31" t="inlineStr">
        <is>
          <t>Черновая</t>
        </is>
      </c>
      <c r="C329" s="31" t="inlineStr">
        <is>
          <t>8.2.4</t>
        </is>
      </c>
      <c r="D329" s="32" t="inlineStr">
        <is>
          <t>Технич. помещения надзем.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A326</f>
        <v/>
      </c>
      <c r="B330" s="31" t="inlineStr">
        <is>
          <t>Черновая</t>
        </is>
      </c>
      <c r="C330" s="31" t="inlineStr">
        <is>
          <t>8.2.5</t>
        </is>
      </c>
      <c r="D330" s="32" t="inlineStr">
        <is>
          <t>Прочие помещения надзем.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A326</f>
        <v/>
      </c>
      <c r="B331" s="31" t="inlineStr">
        <is>
          <t>Черновая</t>
        </is>
      </c>
      <c r="C331" s="31" t="inlineStr">
        <is>
          <t>8.2.6</t>
        </is>
      </c>
      <c r="D331" s="32" t="inlineStr">
        <is>
          <t>Коммерч. помещения надзем.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A326</f>
        <v/>
      </c>
      <c r="B332" s="31" t="inlineStr">
        <is>
          <t>Черновая</t>
        </is>
      </c>
      <c r="C332" s="31" t="inlineStr">
        <is>
          <t>8.2.7</t>
        </is>
      </c>
      <c r="D332" s="32" t="inlineStr">
        <is>
          <t>Паркинг и рампы надзем.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A326</f>
        <v/>
      </c>
      <c r="B333" s="31" t="inlineStr">
        <is>
          <t>Чистовая</t>
        </is>
      </c>
      <c r="C333" s="31" t="inlineStr">
        <is>
          <t>8.2.1</t>
        </is>
      </c>
      <c r="D333" s="32" t="inlineStr">
        <is>
          <t>Отделка лобби/гранд-лобби</t>
        </is>
      </c>
      <c r="E333" s="33" t="n"/>
      <c r="F333" s="33" t="n"/>
      <c r="G333" s="33" t="n"/>
      <c r="H333" s="33" t="n"/>
      <c r="I333" s="34">
        <f>COUNTA(E333:H333)&amp;"/4"</f>
        <v/>
      </c>
    </row>
    <row r="334" ht="30" customHeight="1" s="74">
      <c r="A334" s="30">
        <f>A326</f>
        <v/>
      </c>
      <c r="B334" s="31" t="inlineStr">
        <is>
          <t>Чистовая</t>
        </is>
      </c>
      <c r="C334" s="31" t="inlineStr">
        <is>
          <t>8.2.2</t>
        </is>
      </c>
      <c r="D334" s="32" t="inlineStr">
        <is>
          <t>Отделка эвакуац. лестн. клетки надзем.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>
      <c r="A335" s="30">
        <f>A326</f>
        <v/>
      </c>
      <c r="B335" s="31" t="inlineStr">
        <is>
          <t>Чистовая</t>
        </is>
      </c>
      <c r="C335" s="31" t="inlineStr">
        <is>
          <t>8.2.3</t>
        </is>
      </c>
      <c r="D335" s="32" t="inlineStr">
        <is>
          <t>Лифт. холлы, тамбур-шлюзы надзем.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A326</f>
        <v/>
      </c>
      <c r="B336" s="31" t="inlineStr">
        <is>
          <t>Чистовая</t>
        </is>
      </c>
      <c r="C336" s="31" t="inlineStr">
        <is>
          <t>8.2.4</t>
        </is>
      </c>
      <c r="D336" s="32" t="inlineStr">
        <is>
          <t>Технич. помещения надзем.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A326</f>
        <v/>
      </c>
      <c r="B337" s="31" t="inlineStr">
        <is>
          <t>Чистовая</t>
        </is>
      </c>
      <c r="C337" s="31" t="inlineStr">
        <is>
          <t>8.2.5</t>
        </is>
      </c>
      <c r="D337" s="32" t="inlineStr">
        <is>
          <t>Прочие помещения надзем.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A326</f>
        <v/>
      </c>
      <c r="B338" s="31" t="inlineStr">
        <is>
          <t>Чистовая</t>
        </is>
      </c>
      <c r="C338" s="31" t="inlineStr">
        <is>
          <t>8.2.6</t>
        </is>
      </c>
      <c r="D338" s="32" t="inlineStr">
        <is>
          <t>Коммерч. помещения надзем.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A326</f>
        <v/>
      </c>
      <c r="B339" s="31" t="inlineStr">
        <is>
          <t>Чистовая</t>
        </is>
      </c>
      <c r="C339" s="31" t="inlineStr">
        <is>
          <t>8.2.7</t>
        </is>
      </c>
      <c r="D339" s="32" t="inlineStr">
        <is>
          <t>Паркинг и рампы надзем.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A326+7</f>
        <v/>
      </c>
      <c r="B340" s="31" t="inlineStr">
        <is>
          <t>Черновая</t>
        </is>
      </c>
      <c r="C340" s="31" t="inlineStr">
        <is>
          <t>8.2.1</t>
        </is>
      </c>
      <c r="D340" s="32" t="inlineStr">
        <is>
          <t>Отделка лобби/гранд-лобби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8.2.2</t>
        </is>
      </c>
      <c r="D341" s="32" t="inlineStr">
        <is>
          <t>Отделка эвакуац. лестн. клетки надзем.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8.2.3</t>
        </is>
      </c>
      <c r="D342" s="32" t="inlineStr">
        <is>
          <t>Лифт. холлы, тамбур-шлюзы надзем.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8.2.4</t>
        </is>
      </c>
      <c r="D343" s="32" t="inlineStr">
        <is>
          <t>Технич. помещения надзем.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8.2.5</t>
        </is>
      </c>
      <c r="D344" s="32" t="inlineStr">
        <is>
          <t>Прочие помещения надзем.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8.2.6</t>
        </is>
      </c>
      <c r="D345" s="32" t="inlineStr">
        <is>
          <t>Коммерч. помещения надзем.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Черновая</t>
        </is>
      </c>
      <c r="C346" s="31" t="inlineStr">
        <is>
          <t>8.2.7</t>
        </is>
      </c>
      <c r="D346" s="32" t="inlineStr">
        <is>
          <t>Паркинг и рампы надзем.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>
      <c r="A347" s="30">
        <f>A340</f>
        <v/>
      </c>
      <c r="B347" s="31" t="inlineStr">
        <is>
          <t>Чистовая</t>
        </is>
      </c>
      <c r="C347" s="31" t="inlineStr">
        <is>
          <t>8.2.1</t>
        </is>
      </c>
      <c r="D347" s="32" t="inlineStr">
        <is>
          <t>Отделка лобби/гранд-лобби</t>
        </is>
      </c>
      <c r="E347" s="33" t="n"/>
      <c r="F347" s="33" t="n"/>
      <c r="G347" s="33" t="n"/>
      <c r="H347" s="33" t="n"/>
      <c r="I347" s="34">
        <f>COUNTA(E347:H347)&amp;"/4"</f>
        <v/>
      </c>
    </row>
    <row r="348" ht="30" customHeight="1" s="74">
      <c r="A348" s="30">
        <f>A340</f>
        <v/>
      </c>
      <c r="B348" s="31" t="inlineStr">
        <is>
          <t>Чистовая</t>
        </is>
      </c>
      <c r="C348" s="31" t="inlineStr">
        <is>
          <t>8.2.2</t>
        </is>
      </c>
      <c r="D348" s="32" t="inlineStr">
        <is>
          <t>Отделка эвакуац. лестн. клетки надзем.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8.2.3</t>
        </is>
      </c>
      <c r="D349" s="32" t="inlineStr">
        <is>
          <t>Лифт. холлы, тамбур-шлюзы надзем.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8.2.4</t>
        </is>
      </c>
      <c r="D350" s="32" t="inlineStr">
        <is>
          <t>Технич. помещения надзем.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8.2.5</t>
        </is>
      </c>
      <c r="D351" s="32" t="inlineStr">
        <is>
          <t>Прочие помещения надзем.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</f>
        <v/>
      </c>
      <c r="B352" s="31" t="inlineStr">
        <is>
          <t>Чистовая</t>
        </is>
      </c>
      <c r="C352" s="31" t="inlineStr">
        <is>
          <t>8.2.6</t>
        </is>
      </c>
      <c r="D352" s="32" t="inlineStr">
        <is>
          <t>Коммерч. помещения надзем.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>
      <c r="A353" s="30">
        <f>A340</f>
        <v/>
      </c>
      <c r="B353" s="31" t="inlineStr">
        <is>
          <t>Чистовая</t>
        </is>
      </c>
      <c r="C353" s="31" t="inlineStr">
        <is>
          <t>8.2.7</t>
        </is>
      </c>
      <c r="D353" s="32" t="inlineStr">
        <is>
          <t>Паркинг и рампы надзем.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A340+7</f>
        <v/>
      </c>
      <c r="B354" s="31" t="inlineStr">
        <is>
          <t>Черновая</t>
        </is>
      </c>
      <c r="C354" s="31" t="inlineStr">
        <is>
          <t>8.2.1</t>
        </is>
      </c>
      <c r="D354" s="32" t="inlineStr">
        <is>
          <t>Отделка лобби/гранд-лобби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 ht="30" customHeight="1" s="74">
      <c r="A355" s="30">
        <f>A354</f>
        <v/>
      </c>
      <c r="B355" s="31" t="inlineStr">
        <is>
          <t>Черновая</t>
        </is>
      </c>
      <c r="C355" s="31" t="inlineStr">
        <is>
          <t>8.2.2</t>
        </is>
      </c>
      <c r="D355" s="32" t="inlineStr">
        <is>
          <t>Отделка эвакуац. лестн. клетки надзем.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A354</f>
        <v/>
      </c>
      <c r="B356" s="31" t="inlineStr">
        <is>
          <t>Черновая</t>
        </is>
      </c>
      <c r="C356" s="31" t="inlineStr">
        <is>
          <t>8.2.3</t>
        </is>
      </c>
      <c r="D356" s="32" t="inlineStr">
        <is>
          <t>Лифт. холлы, тамбур-шлюзы надзем.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A354</f>
        <v/>
      </c>
      <c r="B357" s="31" t="inlineStr">
        <is>
          <t>Черновая</t>
        </is>
      </c>
      <c r="C357" s="31" t="inlineStr">
        <is>
          <t>8.2.4</t>
        </is>
      </c>
      <c r="D357" s="32" t="inlineStr">
        <is>
          <t>Технич. помещения надзем.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A354</f>
        <v/>
      </c>
      <c r="B358" s="31" t="inlineStr">
        <is>
          <t>Черновая</t>
        </is>
      </c>
      <c r="C358" s="31" t="inlineStr">
        <is>
          <t>8.2.5</t>
        </is>
      </c>
      <c r="D358" s="32" t="inlineStr">
        <is>
          <t>Прочие помещения надзем.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>
      <c r="A359" s="30">
        <f>A354</f>
        <v/>
      </c>
      <c r="B359" s="31" t="inlineStr">
        <is>
          <t>Черновая</t>
        </is>
      </c>
      <c r="C359" s="31" t="inlineStr">
        <is>
          <t>8.2.6</t>
        </is>
      </c>
      <c r="D359" s="32" t="inlineStr">
        <is>
          <t>Коммерч. помещения надзем.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A354</f>
        <v/>
      </c>
      <c r="B360" s="31" t="inlineStr">
        <is>
          <t>Черновая</t>
        </is>
      </c>
      <c r="C360" s="31" t="inlineStr">
        <is>
          <t>8.2.7</t>
        </is>
      </c>
      <c r="D360" s="32" t="inlineStr">
        <is>
          <t>Паркинг и рампы надзем.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A354</f>
        <v/>
      </c>
      <c r="B361" s="31" t="inlineStr">
        <is>
          <t>Чистовая</t>
        </is>
      </c>
      <c r="C361" s="31" t="inlineStr">
        <is>
          <t>8.2.1</t>
        </is>
      </c>
      <c r="D361" s="32" t="inlineStr">
        <is>
          <t>Отделка лобби/гранд-лобби</t>
        </is>
      </c>
      <c r="E361" s="33" t="n"/>
      <c r="F361" s="33" t="n"/>
      <c r="G361" s="33" t="n"/>
      <c r="H361" s="33" t="n"/>
      <c r="I361" s="34">
        <f>COUNTA(E361:H361)&amp;"/4"</f>
        <v/>
      </c>
    </row>
    <row r="362" ht="30" customHeight="1" s="74">
      <c r="A362" s="30">
        <f>A354</f>
        <v/>
      </c>
      <c r="B362" s="31" t="inlineStr">
        <is>
          <t>Чистовая</t>
        </is>
      </c>
      <c r="C362" s="31" t="inlineStr">
        <is>
          <t>8.2.2</t>
        </is>
      </c>
      <c r="D362" s="32" t="inlineStr">
        <is>
          <t>Отделка эвакуац. лестн. клетки надзем.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A354</f>
        <v/>
      </c>
      <c r="B363" s="31" t="inlineStr">
        <is>
          <t>Чистовая</t>
        </is>
      </c>
      <c r="C363" s="31" t="inlineStr">
        <is>
          <t>8.2.3</t>
        </is>
      </c>
      <c r="D363" s="32" t="inlineStr">
        <is>
          <t>Лифт. холлы, тамбур-шлюзы надзем.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A354</f>
        <v/>
      </c>
      <c r="B364" s="31" t="inlineStr">
        <is>
          <t>Чистовая</t>
        </is>
      </c>
      <c r="C364" s="31" t="inlineStr">
        <is>
          <t>8.2.4</t>
        </is>
      </c>
      <c r="D364" s="32" t="inlineStr">
        <is>
          <t>Технич. помещения надзем.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>
      <c r="A365" s="30">
        <f>A354</f>
        <v/>
      </c>
      <c r="B365" s="31" t="inlineStr">
        <is>
          <t>Чистовая</t>
        </is>
      </c>
      <c r="C365" s="31" t="inlineStr">
        <is>
          <t>8.2.5</t>
        </is>
      </c>
      <c r="D365" s="32" t="inlineStr">
        <is>
          <t>Прочие помещения надзем.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A354</f>
        <v/>
      </c>
      <c r="B366" s="31" t="inlineStr">
        <is>
          <t>Чистовая</t>
        </is>
      </c>
      <c r="C366" s="31" t="inlineStr">
        <is>
          <t>8.2.6</t>
        </is>
      </c>
      <c r="D366" s="32" t="inlineStr">
        <is>
          <t>Коммерч. помещения надзем.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A354</f>
        <v/>
      </c>
      <c r="B367" s="31" t="inlineStr">
        <is>
          <t>Чистовая</t>
        </is>
      </c>
      <c r="C367" s="31" t="inlineStr">
        <is>
          <t>8.2.7</t>
        </is>
      </c>
      <c r="D367" s="32" t="inlineStr">
        <is>
          <t>Паркинг и рампы надзем.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A354+7</f>
        <v/>
      </c>
      <c r="B368" s="31" t="inlineStr">
        <is>
          <t>Черновая</t>
        </is>
      </c>
      <c r="C368" s="31" t="inlineStr">
        <is>
          <t>8.2.1</t>
        </is>
      </c>
      <c r="D368" s="32" t="inlineStr">
        <is>
          <t>Отделка лобби/гранд-лобби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 ht="30" customHeight="1" s="74">
      <c r="A369" s="30">
        <f>A368</f>
        <v/>
      </c>
      <c r="B369" s="31" t="inlineStr">
        <is>
          <t>Черновая</t>
        </is>
      </c>
      <c r="C369" s="31" t="inlineStr">
        <is>
          <t>8.2.2</t>
        </is>
      </c>
      <c r="D369" s="32" t="inlineStr">
        <is>
          <t>Отделка эвакуац. лестн. клетки надзем.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A368</f>
        <v/>
      </c>
      <c r="B370" s="31" t="inlineStr">
        <is>
          <t>Черновая</t>
        </is>
      </c>
      <c r="C370" s="31" t="inlineStr">
        <is>
          <t>8.2.3</t>
        </is>
      </c>
      <c r="D370" s="32" t="inlineStr">
        <is>
          <t>Лифт. холлы, тамбур-шлюзы надзем.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>
      <c r="A371" s="30">
        <f>A368</f>
        <v/>
      </c>
      <c r="B371" s="31" t="inlineStr">
        <is>
          <t>Черновая</t>
        </is>
      </c>
      <c r="C371" s="31" t="inlineStr">
        <is>
          <t>8.2.4</t>
        </is>
      </c>
      <c r="D371" s="32" t="inlineStr">
        <is>
          <t>Технич. помещения надзем.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A368</f>
        <v/>
      </c>
      <c r="B372" s="31" t="inlineStr">
        <is>
          <t>Черновая</t>
        </is>
      </c>
      <c r="C372" s="31" t="inlineStr">
        <is>
          <t>8.2.5</t>
        </is>
      </c>
      <c r="D372" s="32" t="inlineStr">
        <is>
          <t>Прочие помещения надзем.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A368</f>
        <v/>
      </c>
      <c r="B373" s="31" t="inlineStr">
        <is>
          <t>Черновая</t>
        </is>
      </c>
      <c r="C373" s="31" t="inlineStr">
        <is>
          <t>8.2.6</t>
        </is>
      </c>
      <c r="D373" s="32" t="inlineStr">
        <is>
          <t>Коммерч. помещения надзем.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A368</f>
        <v/>
      </c>
      <c r="B374" s="31" t="inlineStr">
        <is>
          <t>Черновая</t>
        </is>
      </c>
      <c r="C374" s="31" t="inlineStr">
        <is>
          <t>8.2.7</t>
        </is>
      </c>
      <c r="D374" s="32" t="inlineStr">
        <is>
          <t>Паркинг и рампы надзем.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A368</f>
        <v/>
      </c>
      <c r="B375" s="31" t="inlineStr">
        <is>
          <t>Чистовая</t>
        </is>
      </c>
      <c r="C375" s="31" t="inlineStr">
        <is>
          <t>8.2.1</t>
        </is>
      </c>
      <c r="D375" s="32" t="inlineStr">
        <is>
          <t>Отделка лобби/гранд-лобби</t>
        </is>
      </c>
      <c r="E375" s="33" t="n"/>
      <c r="F375" s="33" t="n"/>
      <c r="G375" s="33" t="n"/>
      <c r="H375" s="33" t="n"/>
      <c r="I375" s="34">
        <f>COUNTA(E375:H375)&amp;"/4"</f>
        <v/>
      </c>
    </row>
    <row r="376" ht="30" customHeight="1" s="74">
      <c r="A376" s="30">
        <f>A368</f>
        <v/>
      </c>
      <c r="B376" s="31" t="inlineStr">
        <is>
          <t>Чистовая</t>
        </is>
      </c>
      <c r="C376" s="31" t="inlineStr">
        <is>
          <t>8.2.2</t>
        </is>
      </c>
      <c r="D376" s="32" t="inlineStr">
        <is>
          <t>Отделка эвакуац. лестн. клетки надзем.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>
      <c r="A377" s="30">
        <f>A368</f>
        <v/>
      </c>
      <c r="B377" s="31" t="inlineStr">
        <is>
          <t>Чистовая</t>
        </is>
      </c>
      <c r="C377" s="31" t="inlineStr">
        <is>
          <t>8.2.3</t>
        </is>
      </c>
      <c r="D377" s="32" t="inlineStr">
        <is>
          <t>Лифт. холлы, тамбур-шлюзы надзем.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A368</f>
        <v/>
      </c>
      <c r="B378" s="31" t="inlineStr">
        <is>
          <t>Чистовая</t>
        </is>
      </c>
      <c r="C378" s="31" t="inlineStr">
        <is>
          <t>8.2.4</t>
        </is>
      </c>
      <c r="D378" s="32" t="inlineStr">
        <is>
          <t>Технич. помещения надзем.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A368</f>
        <v/>
      </c>
      <c r="B379" s="31" t="inlineStr">
        <is>
          <t>Чистовая</t>
        </is>
      </c>
      <c r="C379" s="31" t="inlineStr">
        <is>
          <t>8.2.5</t>
        </is>
      </c>
      <c r="D379" s="32" t="inlineStr">
        <is>
          <t>Прочие помещения надзем.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A368</f>
        <v/>
      </c>
      <c r="B380" s="31" t="inlineStr">
        <is>
          <t>Чистовая</t>
        </is>
      </c>
      <c r="C380" s="31" t="inlineStr">
        <is>
          <t>8.2.6</t>
        </is>
      </c>
      <c r="D380" s="32" t="inlineStr">
        <is>
          <t>Коммерч. помещения надзем.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A368</f>
        <v/>
      </c>
      <c r="B381" s="31" t="inlineStr">
        <is>
          <t>Чистовая</t>
        </is>
      </c>
      <c r="C381" s="31" t="inlineStr">
        <is>
          <t>8.2.7</t>
        </is>
      </c>
      <c r="D381" s="32" t="inlineStr">
        <is>
          <t>Паркинг и рампы надзем.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A368+7</f>
        <v/>
      </c>
      <c r="B382" s="31" t="inlineStr">
        <is>
          <t>Черновая</t>
        </is>
      </c>
      <c r="C382" s="31" t="inlineStr">
        <is>
          <t>8.2.1</t>
        </is>
      </c>
      <c r="D382" s="32" t="inlineStr">
        <is>
          <t>Отделка лобби/гранд-лобби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A382</f>
        <v/>
      </c>
      <c r="B383" s="31" t="inlineStr">
        <is>
          <t>Черновая</t>
        </is>
      </c>
      <c r="C383" s="31" t="inlineStr">
        <is>
          <t>8.2.2</t>
        </is>
      </c>
      <c r="D383" s="32" t="inlineStr">
        <is>
          <t>Отделка эвакуац. лестн. клетки надзем.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A382</f>
        <v/>
      </c>
      <c r="B384" s="31" t="inlineStr">
        <is>
          <t>Черновая</t>
        </is>
      </c>
      <c r="C384" s="31" t="inlineStr">
        <is>
          <t>8.2.3</t>
        </is>
      </c>
      <c r="D384" s="32" t="inlineStr">
        <is>
          <t>Лифт. холлы, тамбур-шлюзы надзем.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A382</f>
        <v/>
      </c>
      <c r="B385" s="31" t="inlineStr">
        <is>
          <t>Черновая</t>
        </is>
      </c>
      <c r="C385" s="31" t="inlineStr">
        <is>
          <t>8.2.4</t>
        </is>
      </c>
      <c r="D385" s="32" t="inlineStr">
        <is>
          <t>Технич. помещения надзем.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A382</f>
        <v/>
      </c>
      <c r="B386" s="31" t="inlineStr">
        <is>
          <t>Черновая</t>
        </is>
      </c>
      <c r="C386" s="31" t="inlineStr">
        <is>
          <t>8.2.5</t>
        </is>
      </c>
      <c r="D386" s="32" t="inlineStr">
        <is>
          <t>Прочие помещения надзем.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A382</f>
        <v/>
      </c>
      <c r="B387" s="31" t="inlineStr">
        <is>
          <t>Черновая</t>
        </is>
      </c>
      <c r="C387" s="31" t="inlineStr">
        <is>
          <t>8.2.6</t>
        </is>
      </c>
      <c r="D387" s="32" t="inlineStr">
        <is>
          <t>Коммерч. помещения надзем.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A382</f>
        <v/>
      </c>
      <c r="B388" s="31" t="inlineStr">
        <is>
          <t>Черновая</t>
        </is>
      </c>
      <c r="C388" s="31" t="inlineStr">
        <is>
          <t>8.2.7</t>
        </is>
      </c>
      <c r="D388" s="32" t="inlineStr">
        <is>
          <t>Паркинг и рампы надзем.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>
      <c r="A389" s="30">
        <f>A382</f>
        <v/>
      </c>
      <c r="B389" s="31" t="inlineStr">
        <is>
          <t>Чистовая</t>
        </is>
      </c>
      <c r="C389" s="31" t="inlineStr">
        <is>
          <t>8.2.1</t>
        </is>
      </c>
      <c r="D389" s="32" t="inlineStr">
        <is>
          <t>Отделка лобби/гранд-лобби</t>
        </is>
      </c>
      <c r="E389" s="33" t="n"/>
      <c r="F389" s="33" t="n"/>
      <c r="G389" s="33" t="n"/>
      <c r="H389" s="33" t="n"/>
      <c r="I389" s="34">
        <f>COUNTA(E389:H389)&amp;"/4"</f>
        <v/>
      </c>
    </row>
    <row r="390" ht="30" customHeight="1" s="74">
      <c r="A390" s="30">
        <f>A382</f>
        <v/>
      </c>
      <c r="B390" s="31" t="inlineStr">
        <is>
          <t>Чистовая</t>
        </is>
      </c>
      <c r="C390" s="31" t="inlineStr">
        <is>
          <t>8.2.2</t>
        </is>
      </c>
      <c r="D390" s="32" t="inlineStr">
        <is>
          <t>Отделка эвакуац. лестн. клетки надзем.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A382</f>
        <v/>
      </c>
      <c r="B391" s="31" t="inlineStr">
        <is>
          <t>Чистовая</t>
        </is>
      </c>
      <c r="C391" s="31" t="inlineStr">
        <is>
          <t>8.2.3</t>
        </is>
      </c>
      <c r="D391" s="32" t="inlineStr">
        <is>
          <t>Лифт. холлы, тамбур-шлюзы надзем.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A382</f>
        <v/>
      </c>
      <c r="B392" s="31" t="inlineStr">
        <is>
          <t>Чистовая</t>
        </is>
      </c>
      <c r="C392" s="31" t="inlineStr">
        <is>
          <t>8.2.4</t>
        </is>
      </c>
      <c r="D392" s="32" t="inlineStr">
        <is>
          <t>Технич. помещения надзем.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A382</f>
        <v/>
      </c>
      <c r="B393" s="31" t="inlineStr">
        <is>
          <t>Чистовая</t>
        </is>
      </c>
      <c r="C393" s="31" t="inlineStr">
        <is>
          <t>8.2.5</t>
        </is>
      </c>
      <c r="D393" s="32" t="inlineStr">
        <is>
          <t>Прочие помещения надзем.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A382</f>
        <v/>
      </c>
      <c r="B394" s="31" t="inlineStr">
        <is>
          <t>Чистовая</t>
        </is>
      </c>
      <c r="C394" s="31" t="inlineStr">
        <is>
          <t>8.2.6</t>
        </is>
      </c>
      <c r="D394" s="32" t="inlineStr">
        <is>
          <t>Коммерч. помещения надзем.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>
      <c r="A395" s="30">
        <f>A382</f>
        <v/>
      </c>
      <c r="B395" s="31" t="inlineStr">
        <is>
          <t>Чистовая</t>
        </is>
      </c>
      <c r="C395" s="31" t="inlineStr">
        <is>
          <t>8.2.7</t>
        </is>
      </c>
      <c r="D395" s="32" t="inlineStr">
        <is>
          <t>Паркинг и рампы надзем.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A382+7</f>
        <v/>
      </c>
      <c r="B396" s="31" t="inlineStr">
        <is>
          <t>Черновая</t>
        </is>
      </c>
      <c r="C396" s="31" t="inlineStr">
        <is>
          <t>8.2.1</t>
        </is>
      </c>
      <c r="D396" s="32" t="inlineStr">
        <is>
          <t>Отделка лобби/гранд-лобби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 ht="30" customHeight="1" s="74">
      <c r="A397" s="30">
        <f>A396</f>
        <v/>
      </c>
      <c r="B397" s="31" t="inlineStr">
        <is>
          <t>Черновая</t>
        </is>
      </c>
      <c r="C397" s="31" t="inlineStr">
        <is>
          <t>8.2.2</t>
        </is>
      </c>
      <c r="D397" s="32" t="inlineStr">
        <is>
          <t>Отделка эвакуац. лестн. клетки надзем.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A396</f>
        <v/>
      </c>
      <c r="B398" s="31" t="inlineStr">
        <is>
          <t>Черновая</t>
        </is>
      </c>
      <c r="C398" s="31" t="inlineStr">
        <is>
          <t>8.2.3</t>
        </is>
      </c>
      <c r="D398" s="32" t="inlineStr">
        <is>
          <t>Лифт. холлы, тамбур-шлюзы надзем.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A396</f>
        <v/>
      </c>
      <c r="B399" s="31" t="inlineStr">
        <is>
          <t>Черновая</t>
        </is>
      </c>
      <c r="C399" s="31" t="inlineStr">
        <is>
          <t>8.2.4</t>
        </is>
      </c>
      <c r="D399" s="32" t="inlineStr">
        <is>
          <t>Технич. помещения надзем.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A396</f>
        <v/>
      </c>
      <c r="B400" s="31" t="inlineStr">
        <is>
          <t>Черновая</t>
        </is>
      </c>
      <c r="C400" s="31" t="inlineStr">
        <is>
          <t>8.2.5</t>
        </is>
      </c>
      <c r="D400" s="32" t="inlineStr">
        <is>
          <t>Прочие помещения надзем.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>
      <c r="A401" s="30">
        <f>A396</f>
        <v/>
      </c>
      <c r="B401" s="31" t="inlineStr">
        <is>
          <t>Черновая</t>
        </is>
      </c>
      <c r="C401" s="31" t="inlineStr">
        <is>
          <t>8.2.6</t>
        </is>
      </c>
      <c r="D401" s="32" t="inlineStr">
        <is>
          <t>Коммерч. помещения надзем.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A396</f>
        <v/>
      </c>
      <c r="B402" s="31" t="inlineStr">
        <is>
          <t>Черновая</t>
        </is>
      </c>
      <c r="C402" s="31" t="inlineStr">
        <is>
          <t>8.2.7</t>
        </is>
      </c>
      <c r="D402" s="32" t="inlineStr">
        <is>
          <t>Паркинг и рампы надзем.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A396</f>
        <v/>
      </c>
      <c r="B403" s="31" t="inlineStr">
        <is>
          <t>Чистовая</t>
        </is>
      </c>
      <c r="C403" s="31" t="inlineStr">
        <is>
          <t>8.2.1</t>
        </is>
      </c>
      <c r="D403" s="32" t="inlineStr">
        <is>
          <t>Отделка лобби/гранд-лобби</t>
        </is>
      </c>
      <c r="E403" s="33" t="n"/>
      <c r="F403" s="33" t="n"/>
      <c r="G403" s="33" t="n"/>
      <c r="H403" s="33" t="n"/>
      <c r="I403" s="34">
        <f>COUNTA(E403:H403)&amp;"/4"</f>
        <v/>
      </c>
    </row>
    <row r="404" ht="30" customHeight="1" s="74">
      <c r="A404" s="30">
        <f>A396</f>
        <v/>
      </c>
      <c r="B404" s="31" t="inlineStr">
        <is>
          <t>Чистовая</t>
        </is>
      </c>
      <c r="C404" s="31" t="inlineStr">
        <is>
          <t>8.2.2</t>
        </is>
      </c>
      <c r="D404" s="32" t="inlineStr">
        <is>
          <t>Отделка эвакуац. лестн. клетки надзем.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A396</f>
        <v/>
      </c>
      <c r="B405" s="31" t="inlineStr">
        <is>
          <t>Чистовая</t>
        </is>
      </c>
      <c r="C405" s="31" t="inlineStr">
        <is>
          <t>8.2.3</t>
        </is>
      </c>
      <c r="D405" s="32" t="inlineStr">
        <is>
          <t>Лифт. холлы, тамбур-шлюзы надзем.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A396</f>
        <v/>
      </c>
      <c r="B406" s="31" t="inlineStr">
        <is>
          <t>Чистовая</t>
        </is>
      </c>
      <c r="C406" s="31" t="inlineStr">
        <is>
          <t>8.2.4</t>
        </is>
      </c>
      <c r="D406" s="32" t="inlineStr">
        <is>
          <t>Технич. помещения надзем.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>
      <c r="A407" s="30">
        <f>A396</f>
        <v/>
      </c>
      <c r="B407" s="31" t="inlineStr">
        <is>
          <t>Чистовая</t>
        </is>
      </c>
      <c r="C407" s="31" t="inlineStr">
        <is>
          <t>8.2.5</t>
        </is>
      </c>
      <c r="D407" s="32" t="inlineStr">
        <is>
          <t>Прочие помещения надзем.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A396</f>
        <v/>
      </c>
      <c r="B408" s="31" t="inlineStr">
        <is>
          <t>Чистовая</t>
        </is>
      </c>
      <c r="C408" s="31" t="inlineStr">
        <is>
          <t>8.2.6</t>
        </is>
      </c>
      <c r="D408" s="32" t="inlineStr">
        <is>
          <t>Коммерч. помещения надзем.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A396</f>
        <v/>
      </c>
      <c r="B409" s="31" t="inlineStr">
        <is>
          <t>Чистовая</t>
        </is>
      </c>
      <c r="C409" s="31" t="inlineStr">
        <is>
          <t>8.2.7</t>
        </is>
      </c>
      <c r="D409" s="32" t="inlineStr">
        <is>
          <t>Паркинг и рампы надзем.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A396+7</f>
        <v/>
      </c>
      <c r="B410" s="31" t="inlineStr">
        <is>
          <t>Черновая</t>
        </is>
      </c>
      <c r="C410" s="31" t="inlineStr">
        <is>
          <t>8.2.1</t>
        </is>
      </c>
      <c r="D410" s="32" t="inlineStr">
        <is>
          <t>Отделка лобби/гранд-лобби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 ht="30" customHeight="1" s="74">
      <c r="A411" s="30">
        <f>A410</f>
        <v/>
      </c>
      <c r="B411" s="31" t="inlineStr">
        <is>
          <t>Черновая</t>
        </is>
      </c>
      <c r="C411" s="31" t="inlineStr">
        <is>
          <t>8.2.2</t>
        </is>
      </c>
      <c r="D411" s="32" t="inlineStr">
        <is>
          <t>Отделка эвакуац. лестн. клетки надзем.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A410</f>
        <v/>
      </c>
      <c r="B412" s="31" t="inlineStr">
        <is>
          <t>Черновая</t>
        </is>
      </c>
      <c r="C412" s="31" t="inlineStr">
        <is>
          <t>8.2.3</t>
        </is>
      </c>
      <c r="D412" s="32" t="inlineStr">
        <is>
          <t>Лифт. холлы, тамбур-шлюзы надзем.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>
      <c r="A413" s="30">
        <f>A410</f>
        <v/>
      </c>
      <c r="B413" s="31" t="inlineStr">
        <is>
          <t>Черновая</t>
        </is>
      </c>
      <c r="C413" s="31" t="inlineStr">
        <is>
          <t>8.2.4</t>
        </is>
      </c>
      <c r="D413" s="32" t="inlineStr">
        <is>
          <t>Технич. помещения надзем.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A410</f>
        <v/>
      </c>
      <c r="B414" s="31" t="inlineStr">
        <is>
          <t>Черновая</t>
        </is>
      </c>
      <c r="C414" s="31" t="inlineStr">
        <is>
          <t>8.2.5</t>
        </is>
      </c>
      <c r="D414" s="32" t="inlineStr">
        <is>
          <t>Прочие помещения надзем.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A410</f>
        <v/>
      </c>
      <c r="B415" s="31" t="inlineStr">
        <is>
          <t>Черновая</t>
        </is>
      </c>
      <c r="C415" s="31" t="inlineStr">
        <is>
          <t>8.2.6</t>
        </is>
      </c>
      <c r="D415" s="32" t="inlineStr">
        <is>
          <t>Коммерч. помещения надзем.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A410</f>
        <v/>
      </c>
      <c r="B416" s="31" t="inlineStr">
        <is>
          <t>Черновая</t>
        </is>
      </c>
      <c r="C416" s="31" t="inlineStr">
        <is>
          <t>8.2.7</t>
        </is>
      </c>
      <c r="D416" s="32" t="inlineStr">
        <is>
          <t>Паркинг и рампы надзем.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A410</f>
        <v/>
      </c>
      <c r="B417" s="31" t="inlineStr">
        <is>
          <t>Чистовая</t>
        </is>
      </c>
      <c r="C417" s="31" t="inlineStr">
        <is>
          <t>8.2.1</t>
        </is>
      </c>
      <c r="D417" s="32" t="inlineStr">
        <is>
          <t>Отделка лобби/гранд-лобби</t>
        </is>
      </c>
      <c r="E417" s="33" t="n"/>
      <c r="F417" s="33" t="n"/>
      <c r="G417" s="33" t="n"/>
      <c r="H417" s="33" t="n"/>
      <c r="I417" s="34">
        <f>COUNTA(E417:H417)&amp;"/4"</f>
        <v/>
      </c>
    </row>
    <row r="418" ht="30" customHeight="1" s="74">
      <c r="A418" s="30">
        <f>A410</f>
        <v/>
      </c>
      <c r="B418" s="31" t="inlineStr">
        <is>
          <t>Чистовая</t>
        </is>
      </c>
      <c r="C418" s="31" t="inlineStr">
        <is>
          <t>8.2.2</t>
        </is>
      </c>
      <c r="D418" s="32" t="inlineStr">
        <is>
          <t>Отделка эвакуац. лестн. клетки надзем.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>
      <c r="A419" s="30">
        <f>A410</f>
        <v/>
      </c>
      <c r="B419" s="31" t="inlineStr">
        <is>
          <t>Чистовая</t>
        </is>
      </c>
      <c r="C419" s="31" t="inlineStr">
        <is>
          <t>8.2.3</t>
        </is>
      </c>
      <c r="D419" s="32" t="inlineStr">
        <is>
          <t>Лифт. холлы, тамбур-шлюзы надзем.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A410</f>
        <v/>
      </c>
      <c r="B420" s="31" t="inlineStr">
        <is>
          <t>Чистовая</t>
        </is>
      </c>
      <c r="C420" s="31" t="inlineStr">
        <is>
          <t>8.2.4</t>
        </is>
      </c>
      <c r="D420" s="32" t="inlineStr">
        <is>
          <t>Технич. помещения надзем.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A410</f>
        <v/>
      </c>
      <c r="B421" s="31" t="inlineStr">
        <is>
          <t>Чистовая</t>
        </is>
      </c>
      <c r="C421" s="31" t="inlineStr">
        <is>
          <t>8.2.5</t>
        </is>
      </c>
      <c r="D421" s="32" t="inlineStr">
        <is>
          <t>Прочие помещения надзем.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A410</f>
        <v/>
      </c>
      <c r="B422" s="31" t="inlineStr">
        <is>
          <t>Чистовая</t>
        </is>
      </c>
      <c r="C422" s="31" t="inlineStr">
        <is>
          <t>8.2.6</t>
        </is>
      </c>
      <c r="D422" s="32" t="inlineStr">
        <is>
          <t>Коммерч. помещения надзем.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A410</f>
        <v/>
      </c>
      <c r="B423" s="31" t="inlineStr">
        <is>
          <t>Чистовая</t>
        </is>
      </c>
      <c r="C423" s="31" t="inlineStr">
        <is>
          <t>8.2.7</t>
        </is>
      </c>
      <c r="D423" s="32" t="inlineStr">
        <is>
          <t>Паркинг и рампы надзем.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A410+7</f>
        <v/>
      </c>
      <c r="B424" s="31" t="inlineStr">
        <is>
          <t>Черновая</t>
        </is>
      </c>
      <c r="C424" s="31" t="inlineStr">
        <is>
          <t>8.2.1</t>
        </is>
      </c>
      <c r="D424" s="32" t="inlineStr">
        <is>
          <t>Отделка лобби/гранд-лобби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8.2.2</t>
        </is>
      </c>
      <c r="D425" s="32" t="inlineStr">
        <is>
          <t>Отделка эвакуац. лестн. клетки надзем.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8.2.3</t>
        </is>
      </c>
      <c r="D426" s="32" t="inlineStr">
        <is>
          <t>Лифт. холлы, тамбур-шлюзы надзем.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8.2.4</t>
        </is>
      </c>
      <c r="D427" s="32" t="inlineStr">
        <is>
          <t>Технич. помещения надзем.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8.2.5</t>
        </is>
      </c>
      <c r="D428" s="32" t="inlineStr">
        <is>
          <t>Прочие помещения надзем.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8.2.6</t>
        </is>
      </c>
      <c r="D429" s="32" t="inlineStr">
        <is>
          <t>Коммерч. помещения надзем.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Черновая</t>
        </is>
      </c>
      <c r="C430" s="31" t="inlineStr">
        <is>
          <t>8.2.7</t>
        </is>
      </c>
      <c r="D430" s="32" t="inlineStr">
        <is>
          <t>Паркинг и рампы надзем.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>
      <c r="A431" s="30">
        <f>A424</f>
        <v/>
      </c>
      <c r="B431" s="31" t="inlineStr">
        <is>
          <t>Чистовая</t>
        </is>
      </c>
      <c r="C431" s="31" t="inlineStr">
        <is>
          <t>8.2.1</t>
        </is>
      </c>
      <c r="D431" s="32" t="inlineStr">
        <is>
          <t>Отделка лобби/гранд-лобби</t>
        </is>
      </c>
      <c r="E431" s="33" t="n"/>
      <c r="F431" s="33" t="n"/>
      <c r="G431" s="33" t="n"/>
      <c r="H431" s="33" t="n"/>
      <c r="I431" s="34">
        <f>COUNTA(E431:H431)&amp;"/4"</f>
        <v/>
      </c>
    </row>
    <row r="432" ht="30" customHeight="1" s="74">
      <c r="A432" s="30">
        <f>A424</f>
        <v/>
      </c>
      <c r="B432" s="31" t="inlineStr">
        <is>
          <t>Чистовая</t>
        </is>
      </c>
      <c r="C432" s="31" t="inlineStr">
        <is>
          <t>8.2.2</t>
        </is>
      </c>
      <c r="D432" s="32" t="inlineStr">
        <is>
          <t>Отделка эвакуац. лестн. клетки надзем.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8.2.3</t>
        </is>
      </c>
      <c r="D433" s="32" t="inlineStr">
        <is>
          <t>Лифт. холлы, тамбур-шлюзы надзем.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8.2.4</t>
        </is>
      </c>
      <c r="D434" s="32" t="inlineStr">
        <is>
          <t>Технич. помещения надзем.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8.2.5</t>
        </is>
      </c>
      <c r="D435" s="32" t="inlineStr">
        <is>
          <t>Прочие помещения надзем.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</f>
        <v/>
      </c>
      <c r="B436" s="31" t="inlineStr">
        <is>
          <t>Чистовая</t>
        </is>
      </c>
      <c r="C436" s="31" t="inlineStr">
        <is>
          <t>8.2.6</t>
        </is>
      </c>
      <c r="D436" s="32" t="inlineStr">
        <is>
          <t>Коммерч. помещения надзем.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>
      <c r="A437" s="30">
        <f>A424</f>
        <v/>
      </c>
      <c r="B437" s="31" t="inlineStr">
        <is>
          <t>Чистовая</t>
        </is>
      </c>
      <c r="C437" s="31" t="inlineStr">
        <is>
          <t>8.2.7</t>
        </is>
      </c>
      <c r="D437" s="32" t="inlineStr">
        <is>
          <t>Паркинг и рампы надзем.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A424+7</f>
        <v/>
      </c>
      <c r="B438" s="31" t="inlineStr">
        <is>
          <t>Черновая</t>
        </is>
      </c>
      <c r="C438" s="31" t="inlineStr">
        <is>
          <t>8.2.1</t>
        </is>
      </c>
      <c r="D438" s="32" t="inlineStr">
        <is>
          <t>Отделка лобби/гранд-лобби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 ht="30" customHeight="1" s="74">
      <c r="A439" s="30">
        <f>A438</f>
        <v/>
      </c>
      <c r="B439" s="31" t="inlineStr">
        <is>
          <t>Черновая</t>
        </is>
      </c>
      <c r="C439" s="31" t="inlineStr">
        <is>
          <t>8.2.2</t>
        </is>
      </c>
      <c r="D439" s="32" t="inlineStr">
        <is>
          <t>Отделка эвакуац. лестн. клетки надзем.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A438</f>
        <v/>
      </c>
      <c r="B440" s="31" t="inlineStr">
        <is>
          <t>Черновая</t>
        </is>
      </c>
      <c r="C440" s="31" t="inlineStr">
        <is>
          <t>8.2.3</t>
        </is>
      </c>
      <c r="D440" s="32" t="inlineStr">
        <is>
          <t>Лифт. холлы, тамбур-шлюзы надзем.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A438</f>
        <v/>
      </c>
      <c r="B441" s="31" t="inlineStr">
        <is>
          <t>Черновая</t>
        </is>
      </c>
      <c r="C441" s="31" t="inlineStr">
        <is>
          <t>8.2.4</t>
        </is>
      </c>
      <c r="D441" s="32" t="inlineStr">
        <is>
          <t>Технич. помещения надзем.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A438</f>
        <v/>
      </c>
      <c r="B442" s="31" t="inlineStr">
        <is>
          <t>Черновая</t>
        </is>
      </c>
      <c r="C442" s="31" t="inlineStr">
        <is>
          <t>8.2.5</t>
        </is>
      </c>
      <c r="D442" s="32" t="inlineStr">
        <is>
          <t>Прочие помещения надзем.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>
      <c r="A443" s="30">
        <f>A438</f>
        <v/>
      </c>
      <c r="B443" s="31" t="inlineStr">
        <is>
          <t>Черновая</t>
        </is>
      </c>
      <c r="C443" s="31" t="inlineStr">
        <is>
          <t>8.2.6</t>
        </is>
      </c>
      <c r="D443" s="32" t="inlineStr">
        <is>
          <t>Коммерч. помещения надзем.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A438</f>
        <v/>
      </c>
      <c r="B444" s="31" t="inlineStr">
        <is>
          <t>Черновая</t>
        </is>
      </c>
      <c r="C444" s="31" t="inlineStr">
        <is>
          <t>8.2.7</t>
        </is>
      </c>
      <c r="D444" s="32" t="inlineStr">
        <is>
          <t>Паркинг и рампы надзем.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A438</f>
        <v/>
      </c>
      <c r="B445" s="31" t="inlineStr">
        <is>
          <t>Чистовая</t>
        </is>
      </c>
      <c r="C445" s="31" t="inlineStr">
        <is>
          <t>8.2.1</t>
        </is>
      </c>
      <c r="D445" s="32" t="inlineStr">
        <is>
          <t>Отделка лобби/гранд-лобби</t>
        </is>
      </c>
      <c r="E445" s="33" t="n"/>
      <c r="F445" s="33" t="n"/>
      <c r="G445" s="33" t="n"/>
      <c r="H445" s="33" t="n"/>
      <c r="I445" s="34">
        <f>COUNTA(E445:H445)&amp;"/4"</f>
        <v/>
      </c>
    </row>
    <row r="446" ht="30" customHeight="1" s="74">
      <c r="A446" s="30">
        <f>A438</f>
        <v/>
      </c>
      <c r="B446" s="31" t="inlineStr">
        <is>
          <t>Чистовая</t>
        </is>
      </c>
      <c r="C446" s="31" t="inlineStr">
        <is>
          <t>8.2.2</t>
        </is>
      </c>
      <c r="D446" s="32" t="inlineStr">
        <is>
          <t>Отделка эвакуац. лестн. клетки надзем.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A438</f>
        <v/>
      </c>
      <c r="B447" s="31" t="inlineStr">
        <is>
          <t>Чистовая</t>
        </is>
      </c>
      <c r="C447" s="31" t="inlineStr">
        <is>
          <t>8.2.3</t>
        </is>
      </c>
      <c r="D447" s="32" t="inlineStr">
        <is>
          <t>Лифт. холлы, тамбур-шлюзы надзем.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A438</f>
        <v/>
      </c>
      <c r="B448" s="31" t="inlineStr">
        <is>
          <t>Чистовая</t>
        </is>
      </c>
      <c r="C448" s="31" t="inlineStr">
        <is>
          <t>8.2.4</t>
        </is>
      </c>
      <c r="D448" s="32" t="inlineStr">
        <is>
          <t>Технич. помещения надзем.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>
      <c r="A449" s="30">
        <f>A438</f>
        <v/>
      </c>
      <c r="B449" s="31" t="inlineStr">
        <is>
          <t>Чистовая</t>
        </is>
      </c>
      <c r="C449" s="31" t="inlineStr">
        <is>
          <t>8.2.5</t>
        </is>
      </c>
      <c r="D449" s="32" t="inlineStr">
        <is>
          <t>Прочие помещения надзем.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A438</f>
        <v/>
      </c>
      <c r="B450" s="31" t="inlineStr">
        <is>
          <t>Чистовая</t>
        </is>
      </c>
      <c r="C450" s="31" t="inlineStr">
        <is>
          <t>8.2.6</t>
        </is>
      </c>
      <c r="D450" s="32" t="inlineStr">
        <is>
          <t>Коммерч. помещения надзем.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A438</f>
        <v/>
      </c>
      <c r="B451" s="31" t="inlineStr">
        <is>
          <t>Чистовая</t>
        </is>
      </c>
      <c r="C451" s="31" t="inlineStr">
        <is>
          <t>8.2.7</t>
        </is>
      </c>
      <c r="D451" s="32" t="inlineStr">
        <is>
          <t>Паркинг и рампы надзем.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A438+7</f>
        <v/>
      </c>
      <c r="B452" s="31" t="inlineStr">
        <is>
          <t>Черновая</t>
        </is>
      </c>
      <c r="C452" s="31" t="inlineStr">
        <is>
          <t>8.2.1</t>
        </is>
      </c>
      <c r="D452" s="32" t="inlineStr">
        <is>
          <t>Отделка лобби/гранд-лобби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 ht="30" customHeight="1" s="74">
      <c r="A453" s="30">
        <f>A452</f>
        <v/>
      </c>
      <c r="B453" s="31" t="inlineStr">
        <is>
          <t>Черновая</t>
        </is>
      </c>
      <c r="C453" s="31" t="inlineStr">
        <is>
          <t>8.2.2</t>
        </is>
      </c>
      <c r="D453" s="32" t="inlineStr">
        <is>
          <t>Отделка эвакуац. лестн. клетки надзем.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A452</f>
        <v/>
      </c>
      <c r="B454" s="31" t="inlineStr">
        <is>
          <t>Черновая</t>
        </is>
      </c>
      <c r="C454" s="31" t="inlineStr">
        <is>
          <t>8.2.3</t>
        </is>
      </c>
      <c r="D454" s="32" t="inlineStr">
        <is>
          <t>Лифт. холлы, тамбур-шлюзы надзем.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>
      <c r="A455" s="30">
        <f>A452</f>
        <v/>
      </c>
      <c r="B455" s="31" t="inlineStr">
        <is>
          <t>Черновая</t>
        </is>
      </c>
      <c r="C455" s="31" t="inlineStr">
        <is>
          <t>8.2.4</t>
        </is>
      </c>
      <c r="D455" s="32" t="inlineStr">
        <is>
          <t>Технич. помещения надзем.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A452</f>
        <v/>
      </c>
      <c r="B456" s="31" t="inlineStr">
        <is>
          <t>Черновая</t>
        </is>
      </c>
      <c r="C456" s="31" t="inlineStr">
        <is>
          <t>8.2.5</t>
        </is>
      </c>
      <c r="D456" s="32" t="inlineStr">
        <is>
          <t>Прочие помещения надзем.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A452</f>
        <v/>
      </c>
      <c r="B457" s="31" t="inlineStr">
        <is>
          <t>Черновая</t>
        </is>
      </c>
      <c r="C457" s="31" t="inlineStr">
        <is>
          <t>8.2.6</t>
        </is>
      </c>
      <c r="D457" s="32" t="inlineStr">
        <is>
          <t>Коммерч. помещения надзем.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A452</f>
        <v/>
      </c>
      <c r="B458" s="31" t="inlineStr">
        <is>
          <t>Черновая</t>
        </is>
      </c>
      <c r="C458" s="31" t="inlineStr">
        <is>
          <t>8.2.7</t>
        </is>
      </c>
      <c r="D458" s="32" t="inlineStr">
        <is>
          <t>Паркинг и рампы надзем.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A452</f>
        <v/>
      </c>
      <c r="B459" s="31" t="inlineStr">
        <is>
          <t>Чистовая</t>
        </is>
      </c>
      <c r="C459" s="31" t="inlineStr">
        <is>
          <t>8.2.1</t>
        </is>
      </c>
      <c r="D459" s="32" t="inlineStr">
        <is>
          <t>Отделка лобби/гранд-лобби</t>
        </is>
      </c>
      <c r="E459" s="33" t="n"/>
      <c r="F459" s="33" t="n"/>
      <c r="G459" s="33" t="n"/>
      <c r="H459" s="33" t="n"/>
      <c r="I459" s="34">
        <f>COUNTA(E459:H459)&amp;"/4"</f>
        <v/>
      </c>
    </row>
    <row r="460" ht="30" customHeight="1" s="74">
      <c r="A460" s="30">
        <f>A452</f>
        <v/>
      </c>
      <c r="B460" s="31" t="inlineStr">
        <is>
          <t>Чистовая</t>
        </is>
      </c>
      <c r="C460" s="31" t="inlineStr">
        <is>
          <t>8.2.2</t>
        </is>
      </c>
      <c r="D460" s="32" t="inlineStr">
        <is>
          <t>Отделка эвакуац. лестн. клетки надзем.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>
      <c r="A461" s="30">
        <f>A452</f>
        <v/>
      </c>
      <c r="B461" s="31" t="inlineStr">
        <is>
          <t>Чистовая</t>
        </is>
      </c>
      <c r="C461" s="31" t="inlineStr">
        <is>
          <t>8.2.3</t>
        </is>
      </c>
      <c r="D461" s="32" t="inlineStr">
        <is>
          <t>Лифт. холлы, тамбур-шлюзы надзем.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A452</f>
        <v/>
      </c>
      <c r="B462" s="31" t="inlineStr">
        <is>
          <t>Чистовая</t>
        </is>
      </c>
      <c r="C462" s="31" t="inlineStr">
        <is>
          <t>8.2.4</t>
        </is>
      </c>
      <c r="D462" s="32" t="inlineStr">
        <is>
          <t>Технич. помещения надзем.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A452</f>
        <v/>
      </c>
      <c r="B463" s="31" t="inlineStr">
        <is>
          <t>Чистовая</t>
        </is>
      </c>
      <c r="C463" s="31" t="inlineStr">
        <is>
          <t>8.2.5</t>
        </is>
      </c>
      <c r="D463" s="32" t="inlineStr">
        <is>
          <t>Прочие помещения надзем.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A452</f>
        <v/>
      </c>
      <c r="B464" s="31" t="inlineStr">
        <is>
          <t>Чистовая</t>
        </is>
      </c>
      <c r="C464" s="31" t="inlineStr">
        <is>
          <t>8.2.6</t>
        </is>
      </c>
      <c r="D464" s="32" t="inlineStr">
        <is>
          <t>Коммерч. помещения надзем.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A452</f>
        <v/>
      </c>
      <c r="B465" s="31" t="inlineStr">
        <is>
          <t>Чистовая</t>
        </is>
      </c>
      <c r="C465" s="31" t="inlineStr">
        <is>
          <t>8.2.7</t>
        </is>
      </c>
      <c r="D465" s="32" t="inlineStr">
        <is>
          <t>Паркинг и рампы надзем.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A452+7</f>
        <v/>
      </c>
      <c r="B466" s="31" t="inlineStr">
        <is>
          <t>Черновая</t>
        </is>
      </c>
      <c r="C466" s="31" t="inlineStr">
        <is>
          <t>8.2.1</t>
        </is>
      </c>
      <c r="D466" s="32" t="inlineStr">
        <is>
          <t>Отделка лобби/гранд-лобби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A466</f>
        <v/>
      </c>
      <c r="B467" s="31" t="inlineStr">
        <is>
          <t>Черновая</t>
        </is>
      </c>
      <c r="C467" s="31" t="inlineStr">
        <is>
          <t>8.2.2</t>
        </is>
      </c>
      <c r="D467" s="32" t="inlineStr">
        <is>
          <t>Отделка эвакуац. лестн. клетки надзем.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A466</f>
        <v/>
      </c>
      <c r="B468" s="31" t="inlineStr">
        <is>
          <t>Черновая</t>
        </is>
      </c>
      <c r="C468" s="31" t="inlineStr">
        <is>
          <t>8.2.3</t>
        </is>
      </c>
      <c r="D468" s="32" t="inlineStr">
        <is>
          <t>Лифт. холлы, тамбур-шлюзы надзем.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A466</f>
        <v/>
      </c>
      <c r="B469" s="31" t="inlineStr">
        <is>
          <t>Черновая</t>
        </is>
      </c>
      <c r="C469" s="31" t="inlineStr">
        <is>
          <t>8.2.4</t>
        </is>
      </c>
      <c r="D469" s="32" t="inlineStr">
        <is>
          <t>Технич. помещения надзем.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A466</f>
        <v/>
      </c>
      <c r="B470" s="31" t="inlineStr">
        <is>
          <t>Черновая</t>
        </is>
      </c>
      <c r="C470" s="31" t="inlineStr">
        <is>
          <t>8.2.5</t>
        </is>
      </c>
      <c r="D470" s="32" t="inlineStr">
        <is>
          <t>Прочие помещения надзем.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A466</f>
        <v/>
      </c>
      <c r="B471" s="31" t="inlineStr">
        <is>
          <t>Черновая</t>
        </is>
      </c>
      <c r="C471" s="31" t="inlineStr">
        <is>
          <t>8.2.6</t>
        </is>
      </c>
      <c r="D471" s="32" t="inlineStr">
        <is>
          <t>Коммерч. помещения надзем.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A466</f>
        <v/>
      </c>
      <c r="B472" s="31" t="inlineStr">
        <is>
          <t>Черновая</t>
        </is>
      </c>
      <c r="C472" s="31" t="inlineStr">
        <is>
          <t>8.2.7</t>
        </is>
      </c>
      <c r="D472" s="32" t="inlineStr">
        <is>
          <t>Паркинг и рампы надзем.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>
      <c r="A473" s="30">
        <f>A466</f>
        <v/>
      </c>
      <c r="B473" s="31" t="inlineStr">
        <is>
          <t>Чистовая</t>
        </is>
      </c>
      <c r="C473" s="31" t="inlineStr">
        <is>
          <t>8.2.1</t>
        </is>
      </c>
      <c r="D473" s="32" t="inlineStr">
        <is>
          <t>Отделка лобби/гранд-лобби</t>
        </is>
      </c>
      <c r="E473" s="33" t="n"/>
      <c r="F473" s="33" t="n"/>
      <c r="G473" s="33" t="n"/>
      <c r="H473" s="33" t="n"/>
      <c r="I473" s="34">
        <f>COUNTA(E473:H473)&amp;"/4"</f>
        <v/>
      </c>
    </row>
    <row r="474" ht="30" customHeight="1" s="74">
      <c r="A474" s="30">
        <f>A466</f>
        <v/>
      </c>
      <c r="B474" s="31" t="inlineStr">
        <is>
          <t>Чистовая</t>
        </is>
      </c>
      <c r="C474" s="31" t="inlineStr">
        <is>
          <t>8.2.2</t>
        </is>
      </c>
      <c r="D474" s="32" t="inlineStr">
        <is>
          <t>Отделка эвакуац. лестн. клетки надзем.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A466</f>
        <v/>
      </c>
      <c r="B475" s="31" t="inlineStr">
        <is>
          <t>Чистовая</t>
        </is>
      </c>
      <c r="C475" s="31" t="inlineStr">
        <is>
          <t>8.2.3</t>
        </is>
      </c>
      <c r="D475" s="32" t="inlineStr">
        <is>
          <t>Лифт. холлы, тамбур-шлюзы надзем.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A466</f>
        <v/>
      </c>
      <c r="B476" s="31" t="inlineStr">
        <is>
          <t>Чистовая</t>
        </is>
      </c>
      <c r="C476" s="31" t="inlineStr">
        <is>
          <t>8.2.4</t>
        </is>
      </c>
      <c r="D476" s="32" t="inlineStr">
        <is>
          <t>Технич. помещения надзем.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A466</f>
        <v/>
      </c>
      <c r="B477" s="31" t="inlineStr">
        <is>
          <t>Чистовая</t>
        </is>
      </c>
      <c r="C477" s="31" t="inlineStr">
        <is>
          <t>8.2.5</t>
        </is>
      </c>
      <c r="D477" s="32" t="inlineStr">
        <is>
          <t>Прочие помещения надзем.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A466</f>
        <v/>
      </c>
      <c r="B478" s="31" t="inlineStr">
        <is>
          <t>Чистовая</t>
        </is>
      </c>
      <c r="C478" s="31" t="inlineStr">
        <is>
          <t>8.2.6</t>
        </is>
      </c>
      <c r="D478" s="32" t="inlineStr">
        <is>
          <t>Коммерч. помещения надзем.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>
      <c r="A479" s="30">
        <f>A466</f>
        <v/>
      </c>
      <c r="B479" s="31" t="inlineStr">
        <is>
          <t>Чистовая</t>
        </is>
      </c>
      <c r="C479" s="31" t="inlineStr">
        <is>
          <t>8.2.7</t>
        </is>
      </c>
      <c r="D479" s="32" t="inlineStr">
        <is>
          <t>Паркинг и рампы надзем.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A466+7</f>
        <v/>
      </c>
      <c r="B480" s="31" t="inlineStr">
        <is>
          <t>Черновая</t>
        </is>
      </c>
      <c r="C480" s="31" t="inlineStr">
        <is>
          <t>8.2.1</t>
        </is>
      </c>
      <c r="D480" s="32" t="inlineStr">
        <is>
          <t>Отделка лобби/гранд-лобби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 ht="30" customHeight="1" s="74">
      <c r="A481" s="30">
        <f>A480</f>
        <v/>
      </c>
      <c r="B481" s="31" t="inlineStr">
        <is>
          <t>Черновая</t>
        </is>
      </c>
      <c r="C481" s="31" t="inlineStr">
        <is>
          <t>8.2.2</t>
        </is>
      </c>
      <c r="D481" s="32" t="inlineStr">
        <is>
          <t>Отделка эвакуац. лестн. клетки надзем.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A480</f>
        <v/>
      </c>
      <c r="B482" s="31" t="inlineStr">
        <is>
          <t>Черновая</t>
        </is>
      </c>
      <c r="C482" s="31" t="inlineStr">
        <is>
          <t>8.2.3</t>
        </is>
      </c>
      <c r="D482" s="32" t="inlineStr">
        <is>
          <t>Лифт. холлы, тамбур-шлюзы надзем.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A480</f>
        <v/>
      </c>
      <c r="B483" s="31" t="inlineStr">
        <is>
          <t>Черновая</t>
        </is>
      </c>
      <c r="C483" s="31" t="inlineStr">
        <is>
          <t>8.2.4</t>
        </is>
      </c>
      <c r="D483" s="32" t="inlineStr">
        <is>
          <t>Технич. помещения надзем.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A480</f>
        <v/>
      </c>
      <c r="B484" s="31" t="inlineStr">
        <is>
          <t>Черновая</t>
        </is>
      </c>
      <c r="C484" s="31" t="inlineStr">
        <is>
          <t>8.2.5</t>
        </is>
      </c>
      <c r="D484" s="32" t="inlineStr">
        <is>
          <t>Прочие помещения надзем.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>
      <c r="A485" s="30">
        <f>A480</f>
        <v/>
      </c>
      <c r="B485" s="31" t="inlineStr">
        <is>
          <t>Черновая</t>
        </is>
      </c>
      <c r="C485" s="31" t="inlineStr">
        <is>
          <t>8.2.6</t>
        </is>
      </c>
      <c r="D485" s="32" t="inlineStr">
        <is>
          <t>Коммерч. помещения надзем.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A480</f>
        <v/>
      </c>
      <c r="B486" s="31" t="inlineStr">
        <is>
          <t>Черновая</t>
        </is>
      </c>
      <c r="C486" s="31" t="inlineStr">
        <is>
          <t>8.2.7</t>
        </is>
      </c>
      <c r="D486" s="32" t="inlineStr">
        <is>
          <t>Паркинг и рампы надзем.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A480</f>
        <v/>
      </c>
      <c r="B487" s="31" t="inlineStr">
        <is>
          <t>Чистовая</t>
        </is>
      </c>
      <c r="C487" s="31" t="inlineStr">
        <is>
          <t>8.2.1</t>
        </is>
      </c>
      <c r="D487" s="32" t="inlineStr">
        <is>
          <t>Отделка лобби/гранд-лобби</t>
        </is>
      </c>
      <c r="E487" s="33" t="n"/>
      <c r="F487" s="33" t="n"/>
      <c r="G487" s="33" t="n"/>
      <c r="H487" s="33" t="n"/>
      <c r="I487" s="34">
        <f>COUNTA(E487:H487)&amp;"/4"</f>
        <v/>
      </c>
    </row>
    <row r="488" ht="30" customHeight="1" s="74">
      <c r="A488" s="30">
        <f>A480</f>
        <v/>
      </c>
      <c r="B488" s="31" t="inlineStr">
        <is>
          <t>Чистовая</t>
        </is>
      </c>
      <c r="C488" s="31" t="inlineStr">
        <is>
          <t>8.2.2</t>
        </is>
      </c>
      <c r="D488" s="32" t="inlineStr">
        <is>
          <t>Отделка эвакуац. лестн. клетки надзем.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A480</f>
        <v/>
      </c>
      <c r="B489" s="31" t="inlineStr">
        <is>
          <t>Чистовая</t>
        </is>
      </c>
      <c r="C489" s="31" t="inlineStr">
        <is>
          <t>8.2.3</t>
        </is>
      </c>
      <c r="D489" s="32" t="inlineStr">
        <is>
          <t>Лифт. холлы, тамбур-шлюзы надзем.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A480</f>
        <v/>
      </c>
      <c r="B490" s="31" t="inlineStr">
        <is>
          <t>Чистовая</t>
        </is>
      </c>
      <c r="C490" s="31" t="inlineStr">
        <is>
          <t>8.2.4</t>
        </is>
      </c>
      <c r="D490" s="32" t="inlineStr">
        <is>
          <t>Технич. помещения надзем.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>
      <c r="A491" s="30">
        <f>A480</f>
        <v/>
      </c>
      <c r="B491" s="31" t="inlineStr">
        <is>
          <t>Чистовая</t>
        </is>
      </c>
      <c r="C491" s="31" t="inlineStr">
        <is>
          <t>8.2.5</t>
        </is>
      </c>
      <c r="D491" s="32" t="inlineStr">
        <is>
          <t>Прочие помещения надзем.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A480</f>
        <v/>
      </c>
      <c r="B492" s="31" t="inlineStr">
        <is>
          <t>Чистовая</t>
        </is>
      </c>
      <c r="C492" s="31" t="inlineStr">
        <is>
          <t>8.2.6</t>
        </is>
      </c>
      <c r="D492" s="32" t="inlineStr">
        <is>
          <t>Коммерч. помещения надзем.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A480</f>
        <v/>
      </c>
      <c r="B493" s="31" t="inlineStr">
        <is>
          <t>Чистовая</t>
        </is>
      </c>
      <c r="C493" s="31" t="inlineStr">
        <is>
          <t>8.2.7</t>
        </is>
      </c>
      <c r="D493" s="32" t="inlineStr">
        <is>
          <t>Паркинг и рампы надзем.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A480+7</f>
        <v/>
      </c>
      <c r="B494" s="31" t="inlineStr">
        <is>
          <t>Черновая</t>
        </is>
      </c>
      <c r="C494" s="31" t="inlineStr">
        <is>
          <t>8.2.1</t>
        </is>
      </c>
      <c r="D494" s="32" t="inlineStr">
        <is>
          <t>Отделка лобби/гранд-лобби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 ht="30" customHeight="1" s="74">
      <c r="A495" s="30">
        <f>A494</f>
        <v/>
      </c>
      <c r="B495" s="31" t="inlineStr">
        <is>
          <t>Черновая</t>
        </is>
      </c>
      <c r="C495" s="31" t="inlineStr">
        <is>
          <t>8.2.2</t>
        </is>
      </c>
      <c r="D495" s="32" t="inlineStr">
        <is>
          <t>Отделка эвакуац. лестн. клетки надзем.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A494</f>
        <v/>
      </c>
      <c r="B496" s="31" t="inlineStr">
        <is>
          <t>Черновая</t>
        </is>
      </c>
      <c r="C496" s="31" t="inlineStr">
        <is>
          <t>8.2.3</t>
        </is>
      </c>
      <c r="D496" s="32" t="inlineStr">
        <is>
          <t>Лифт. холлы, тамбур-шлюзы надзем.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>
      <c r="A497" s="30">
        <f>A494</f>
        <v/>
      </c>
      <c r="B497" s="31" t="inlineStr">
        <is>
          <t>Черновая</t>
        </is>
      </c>
      <c r="C497" s="31" t="inlineStr">
        <is>
          <t>8.2.4</t>
        </is>
      </c>
      <c r="D497" s="32" t="inlineStr">
        <is>
          <t>Технич. помещения надзем.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A494</f>
        <v/>
      </c>
      <c r="B498" s="31" t="inlineStr">
        <is>
          <t>Черновая</t>
        </is>
      </c>
      <c r="C498" s="31" t="inlineStr">
        <is>
          <t>8.2.5</t>
        </is>
      </c>
      <c r="D498" s="32" t="inlineStr">
        <is>
          <t>Прочие помещения надзем.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A494</f>
        <v/>
      </c>
      <c r="B499" s="31" t="inlineStr">
        <is>
          <t>Черновая</t>
        </is>
      </c>
      <c r="C499" s="31" t="inlineStr">
        <is>
          <t>8.2.6</t>
        </is>
      </c>
      <c r="D499" s="32" t="inlineStr">
        <is>
          <t>Коммерч. помещения надзем.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A494</f>
        <v/>
      </c>
      <c r="B500" s="31" t="inlineStr">
        <is>
          <t>Черновая</t>
        </is>
      </c>
      <c r="C500" s="31" t="inlineStr">
        <is>
          <t>8.2.7</t>
        </is>
      </c>
      <c r="D500" s="32" t="inlineStr">
        <is>
          <t>Паркинг и рампы надзем.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A494</f>
        <v/>
      </c>
      <c r="B501" s="31" t="inlineStr">
        <is>
          <t>Чистовая</t>
        </is>
      </c>
      <c r="C501" s="31" t="inlineStr">
        <is>
          <t>8.2.1</t>
        </is>
      </c>
      <c r="D501" s="32" t="inlineStr">
        <is>
          <t>Отделка лобби/гранд-лобби</t>
        </is>
      </c>
      <c r="E501" s="33" t="n"/>
      <c r="F501" s="33" t="n"/>
      <c r="G501" s="33" t="n"/>
      <c r="H501" s="33" t="n"/>
      <c r="I501" s="34">
        <f>COUNTA(E501:H501)&amp;"/4"</f>
        <v/>
      </c>
    </row>
    <row r="502" ht="30" customHeight="1" s="74">
      <c r="A502" s="30">
        <f>A494</f>
        <v/>
      </c>
      <c r="B502" s="31" t="inlineStr">
        <is>
          <t>Чистовая</t>
        </is>
      </c>
      <c r="C502" s="31" t="inlineStr">
        <is>
          <t>8.2.2</t>
        </is>
      </c>
      <c r="D502" s="32" t="inlineStr">
        <is>
          <t>Отделка эвакуац. лестн. клетки надзем.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>
      <c r="A503" s="30">
        <f>A494</f>
        <v/>
      </c>
      <c r="B503" s="31" t="inlineStr">
        <is>
          <t>Чистовая</t>
        </is>
      </c>
      <c r="C503" s="31" t="inlineStr">
        <is>
          <t>8.2.3</t>
        </is>
      </c>
      <c r="D503" s="32" t="inlineStr">
        <is>
          <t>Лифт. холлы, тамбур-шлюзы надзем.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A494</f>
        <v/>
      </c>
      <c r="B504" s="31" t="inlineStr">
        <is>
          <t>Чистовая</t>
        </is>
      </c>
      <c r="C504" s="31" t="inlineStr">
        <is>
          <t>8.2.4</t>
        </is>
      </c>
      <c r="D504" s="32" t="inlineStr">
        <is>
          <t>Технич. помещения надзем.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A494</f>
        <v/>
      </c>
      <c r="B505" s="31" t="inlineStr">
        <is>
          <t>Чистовая</t>
        </is>
      </c>
      <c r="C505" s="31" t="inlineStr">
        <is>
          <t>8.2.5</t>
        </is>
      </c>
      <c r="D505" s="32" t="inlineStr">
        <is>
          <t>Прочие помещения надзем.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A494</f>
        <v/>
      </c>
      <c r="B506" s="31" t="inlineStr">
        <is>
          <t>Чистовая</t>
        </is>
      </c>
      <c r="C506" s="31" t="inlineStr">
        <is>
          <t>8.2.6</t>
        </is>
      </c>
      <c r="D506" s="32" t="inlineStr">
        <is>
          <t>Коммерч. помещения надзем.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A494</f>
        <v/>
      </c>
      <c r="B507" s="31" t="inlineStr">
        <is>
          <t>Чистовая</t>
        </is>
      </c>
      <c r="C507" s="31" t="inlineStr">
        <is>
          <t>8.2.7</t>
        </is>
      </c>
      <c r="D507" s="32" t="inlineStr">
        <is>
          <t>Паркинг и рампы надзем.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A494+7</f>
        <v/>
      </c>
      <c r="B508" s="31" t="inlineStr">
        <is>
          <t>Черновая</t>
        </is>
      </c>
      <c r="C508" s="31" t="inlineStr">
        <is>
          <t>8.2.1</t>
        </is>
      </c>
      <c r="D508" s="32" t="inlineStr">
        <is>
          <t>Отделка лобби/гранд-лобби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8.2.2</t>
        </is>
      </c>
      <c r="D509" s="32" t="inlineStr">
        <is>
          <t>Отделка эвакуац. лестн. клетки надзем.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8.2.3</t>
        </is>
      </c>
      <c r="D510" s="32" t="inlineStr">
        <is>
          <t>Лифт. холлы, тамбур-шлюзы надзем.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8.2.4</t>
        </is>
      </c>
      <c r="D511" s="32" t="inlineStr">
        <is>
          <t>Технич. помещения надзем.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8.2.5</t>
        </is>
      </c>
      <c r="D512" s="32" t="inlineStr">
        <is>
          <t>Прочие помещения надзем.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8.2.6</t>
        </is>
      </c>
      <c r="D513" s="32" t="inlineStr">
        <is>
          <t>Коммерч. помещения надзем.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Черновая</t>
        </is>
      </c>
      <c r="C514" s="31" t="inlineStr">
        <is>
          <t>8.2.7</t>
        </is>
      </c>
      <c r="D514" s="32" t="inlineStr">
        <is>
          <t>Паркинг и рампы надзем.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>
      <c r="A515" s="30">
        <f>A508</f>
        <v/>
      </c>
      <c r="B515" s="31" t="inlineStr">
        <is>
          <t>Чистовая</t>
        </is>
      </c>
      <c r="C515" s="31" t="inlineStr">
        <is>
          <t>8.2.1</t>
        </is>
      </c>
      <c r="D515" s="32" t="inlineStr">
        <is>
          <t>Отделка лобби/гранд-лобби</t>
        </is>
      </c>
      <c r="E515" s="33" t="n"/>
      <c r="F515" s="33" t="n"/>
      <c r="G515" s="33" t="n"/>
      <c r="H515" s="33" t="n"/>
      <c r="I515" s="34">
        <f>COUNTA(E515:H515)&amp;"/4"</f>
        <v/>
      </c>
    </row>
    <row r="516" ht="30" customHeight="1" s="74">
      <c r="A516" s="30">
        <f>A508</f>
        <v/>
      </c>
      <c r="B516" s="31" t="inlineStr">
        <is>
          <t>Чистовая</t>
        </is>
      </c>
      <c r="C516" s="31" t="inlineStr">
        <is>
          <t>8.2.2</t>
        </is>
      </c>
      <c r="D516" s="32" t="inlineStr">
        <is>
          <t>Отделка эвакуац. лестн. клетки надзем.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8.2.3</t>
        </is>
      </c>
      <c r="D517" s="32" t="inlineStr">
        <is>
          <t>Лифт. холлы, тамбур-шлюзы надзем.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8.2.4</t>
        </is>
      </c>
      <c r="D518" s="32" t="inlineStr">
        <is>
          <t>Технич. помещения надзем.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8.2.5</t>
        </is>
      </c>
      <c r="D519" s="32" t="inlineStr">
        <is>
          <t>Прочие помещения надзем.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</f>
        <v/>
      </c>
      <c r="B520" s="31" t="inlineStr">
        <is>
          <t>Чистовая</t>
        </is>
      </c>
      <c r="C520" s="31" t="inlineStr">
        <is>
          <t>8.2.6</t>
        </is>
      </c>
      <c r="D520" s="32" t="inlineStr">
        <is>
          <t>Коммерч. помещения надзем.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>
      <c r="A521" s="30">
        <f>A508</f>
        <v/>
      </c>
      <c r="B521" s="31" t="inlineStr">
        <is>
          <t>Чистовая</t>
        </is>
      </c>
      <c r="C521" s="31" t="inlineStr">
        <is>
          <t>8.2.7</t>
        </is>
      </c>
      <c r="D521" s="32" t="inlineStr">
        <is>
          <t>Паркинг и рампы надзем.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A508+7</f>
        <v/>
      </c>
      <c r="B522" s="31" t="inlineStr">
        <is>
          <t>Черновая</t>
        </is>
      </c>
      <c r="C522" s="31" t="inlineStr">
        <is>
          <t>8.2.1</t>
        </is>
      </c>
      <c r="D522" s="32" t="inlineStr">
        <is>
          <t>Отделка лобби/гранд-лобби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 ht="30" customHeight="1" s="74">
      <c r="A523" s="30">
        <f>A522</f>
        <v/>
      </c>
      <c r="B523" s="31" t="inlineStr">
        <is>
          <t>Черновая</t>
        </is>
      </c>
      <c r="C523" s="31" t="inlineStr">
        <is>
          <t>8.2.2</t>
        </is>
      </c>
      <c r="D523" s="32" t="inlineStr">
        <is>
          <t>Отделка эвакуац. лестн. клетки надзем.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A522</f>
        <v/>
      </c>
      <c r="B524" s="31" t="inlineStr">
        <is>
          <t>Черновая</t>
        </is>
      </c>
      <c r="C524" s="31" t="inlineStr">
        <is>
          <t>8.2.3</t>
        </is>
      </c>
      <c r="D524" s="32" t="inlineStr">
        <is>
          <t>Лифт. холлы, тамбур-шлюзы надзем.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A522</f>
        <v/>
      </c>
      <c r="B525" s="31" t="inlineStr">
        <is>
          <t>Черновая</t>
        </is>
      </c>
      <c r="C525" s="31" t="inlineStr">
        <is>
          <t>8.2.4</t>
        </is>
      </c>
      <c r="D525" s="32" t="inlineStr">
        <is>
          <t>Технич. помещения надзем.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A522</f>
        <v/>
      </c>
      <c r="B526" s="31" t="inlineStr">
        <is>
          <t>Черновая</t>
        </is>
      </c>
      <c r="C526" s="31" t="inlineStr">
        <is>
          <t>8.2.5</t>
        </is>
      </c>
      <c r="D526" s="32" t="inlineStr">
        <is>
          <t>Прочие помещения надзем.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>
      <c r="A527" s="30">
        <f>A522</f>
        <v/>
      </c>
      <c r="B527" s="31" t="inlineStr">
        <is>
          <t>Черновая</t>
        </is>
      </c>
      <c r="C527" s="31" t="inlineStr">
        <is>
          <t>8.2.6</t>
        </is>
      </c>
      <c r="D527" s="32" t="inlineStr">
        <is>
          <t>Коммерч. помещения надзем.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A522</f>
        <v/>
      </c>
      <c r="B528" s="31" t="inlineStr">
        <is>
          <t>Черновая</t>
        </is>
      </c>
      <c r="C528" s="31" t="inlineStr">
        <is>
          <t>8.2.7</t>
        </is>
      </c>
      <c r="D528" s="32" t="inlineStr">
        <is>
          <t>Паркинг и рампы надзем.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A522</f>
        <v/>
      </c>
      <c r="B529" s="31" t="inlineStr">
        <is>
          <t>Чистовая</t>
        </is>
      </c>
      <c r="C529" s="31" t="inlineStr">
        <is>
          <t>8.2.1</t>
        </is>
      </c>
      <c r="D529" s="32" t="inlineStr">
        <is>
          <t>Отделка лобби/гранд-лобби</t>
        </is>
      </c>
      <c r="E529" s="33" t="n"/>
      <c r="F529" s="33" t="n"/>
      <c r="G529" s="33" t="n"/>
      <c r="H529" s="33" t="n"/>
      <c r="I529" s="34">
        <f>COUNTA(E529:H529)&amp;"/4"</f>
        <v/>
      </c>
    </row>
    <row r="530" ht="30" customHeight="1" s="74">
      <c r="A530" s="30">
        <f>A522</f>
        <v/>
      </c>
      <c r="B530" s="31" t="inlineStr">
        <is>
          <t>Чистовая</t>
        </is>
      </c>
      <c r="C530" s="31" t="inlineStr">
        <is>
          <t>8.2.2</t>
        </is>
      </c>
      <c r="D530" s="32" t="inlineStr">
        <is>
          <t>Отделка эвакуац. лестн. клетки надзем.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A522</f>
        <v/>
      </c>
      <c r="B531" s="31" t="inlineStr">
        <is>
          <t>Чистовая</t>
        </is>
      </c>
      <c r="C531" s="31" t="inlineStr">
        <is>
          <t>8.2.3</t>
        </is>
      </c>
      <c r="D531" s="32" t="inlineStr">
        <is>
          <t>Лифт. холлы, тамбур-шлюзы надзем.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A522</f>
        <v/>
      </c>
      <c r="B532" s="31" t="inlineStr">
        <is>
          <t>Чистовая</t>
        </is>
      </c>
      <c r="C532" s="31" t="inlineStr">
        <is>
          <t>8.2.4</t>
        </is>
      </c>
      <c r="D532" s="32" t="inlineStr">
        <is>
          <t>Технич. помещения надзем.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>
      <c r="A533" s="30">
        <f>A522</f>
        <v/>
      </c>
      <c r="B533" s="31" t="inlineStr">
        <is>
          <t>Чистовая</t>
        </is>
      </c>
      <c r="C533" s="31" t="inlineStr">
        <is>
          <t>8.2.5</t>
        </is>
      </c>
      <c r="D533" s="32" t="inlineStr">
        <is>
          <t>Прочие помещения надзем.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A522</f>
        <v/>
      </c>
      <c r="B534" s="31" t="inlineStr">
        <is>
          <t>Чистовая</t>
        </is>
      </c>
      <c r="C534" s="31" t="inlineStr">
        <is>
          <t>8.2.6</t>
        </is>
      </c>
      <c r="D534" s="32" t="inlineStr">
        <is>
          <t>Коммерч. помещения надзем.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A522</f>
        <v/>
      </c>
      <c r="B535" s="31" t="inlineStr">
        <is>
          <t>Чистовая</t>
        </is>
      </c>
      <c r="C535" s="31" t="inlineStr">
        <is>
          <t>8.2.7</t>
        </is>
      </c>
      <c r="D535" s="32" t="inlineStr">
        <is>
          <t>Паркинг и рампы надзем.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A522+7</f>
        <v/>
      </c>
      <c r="B536" s="31" t="inlineStr">
        <is>
          <t>Черновая</t>
        </is>
      </c>
      <c r="C536" s="31" t="inlineStr">
        <is>
          <t>8.2.1</t>
        </is>
      </c>
      <c r="D536" s="32" t="inlineStr">
        <is>
          <t>Отделка лобби/гранд-лобби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 ht="30" customHeight="1" s="74">
      <c r="A537" s="30">
        <f>A536</f>
        <v/>
      </c>
      <c r="B537" s="31" t="inlineStr">
        <is>
          <t>Черновая</t>
        </is>
      </c>
      <c r="C537" s="31" t="inlineStr">
        <is>
          <t>8.2.2</t>
        </is>
      </c>
      <c r="D537" s="32" t="inlineStr">
        <is>
          <t>Отделка эвакуац. лестн. клетки надзем.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A536</f>
        <v/>
      </c>
      <c r="B538" s="31" t="inlineStr">
        <is>
          <t>Черновая</t>
        </is>
      </c>
      <c r="C538" s="31" t="inlineStr">
        <is>
          <t>8.2.3</t>
        </is>
      </c>
      <c r="D538" s="32" t="inlineStr">
        <is>
          <t>Лифт. холлы, тамбур-шлюзы надзем.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>
      <c r="A539" s="30">
        <f>A536</f>
        <v/>
      </c>
      <c r="B539" s="31" t="inlineStr">
        <is>
          <t>Черновая</t>
        </is>
      </c>
      <c r="C539" s="31" t="inlineStr">
        <is>
          <t>8.2.4</t>
        </is>
      </c>
      <c r="D539" s="32" t="inlineStr">
        <is>
          <t>Технич. помещения надзем.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A536</f>
        <v/>
      </c>
      <c r="B540" s="31" t="inlineStr">
        <is>
          <t>Черновая</t>
        </is>
      </c>
      <c r="C540" s="31" t="inlineStr">
        <is>
          <t>8.2.5</t>
        </is>
      </c>
      <c r="D540" s="32" t="inlineStr">
        <is>
          <t>Прочие помещения надзем.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A536</f>
        <v/>
      </c>
      <c r="B541" s="31" t="inlineStr">
        <is>
          <t>Черновая</t>
        </is>
      </c>
      <c r="C541" s="31" t="inlineStr">
        <is>
          <t>8.2.6</t>
        </is>
      </c>
      <c r="D541" s="32" t="inlineStr">
        <is>
          <t>Коммерч. помещения надзем.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A536</f>
        <v/>
      </c>
      <c r="B542" s="31" t="inlineStr">
        <is>
          <t>Черновая</t>
        </is>
      </c>
      <c r="C542" s="31" t="inlineStr">
        <is>
          <t>8.2.7</t>
        </is>
      </c>
      <c r="D542" s="32" t="inlineStr">
        <is>
          <t>Паркинг и рампы надзем.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A536</f>
        <v/>
      </c>
      <c r="B543" s="31" t="inlineStr">
        <is>
          <t>Чистовая</t>
        </is>
      </c>
      <c r="C543" s="31" t="inlineStr">
        <is>
          <t>8.2.1</t>
        </is>
      </c>
      <c r="D543" s="32" t="inlineStr">
        <is>
          <t>Отделка лобби/гранд-лобби</t>
        </is>
      </c>
      <c r="E543" s="33" t="n"/>
      <c r="F543" s="33" t="n"/>
      <c r="G543" s="33" t="n"/>
      <c r="H543" s="33" t="n"/>
      <c r="I543" s="34">
        <f>COUNTA(E543:H543)&amp;"/4"</f>
        <v/>
      </c>
    </row>
    <row r="544" ht="30" customHeight="1" s="74">
      <c r="A544" s="30">
        <f>A536</f>
        <v/>
      </c>
      <c r="B544" s="31" t="inlineStr">
        <is>
          <t>Чистовая</t>
        </is>
      </c>
      <c r="C544" s="31" t="inlineStr">
        <is>
          <t>8.2.2</t>
        </is>
      </c>
      <c r="D544" s="32" t="inlineStr">
        <is>
          <t>Отделка эвакуац. лестн. клетки надзем.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>
      <c r="A545" s="30">
        <f>A536</f>
        <v/>
      </c>
      <c r="B545" s="31" t="inlineStr">
        <is>
          <t>Чистовая</t>
        </is>
      </c>
      <c r="C545" s="31" t="inlineStr">
        <is>
          <t>8.2.3</t>
        </is>
      </c>
      <c r="D545" s="32" t="inlineStr">
        <is>
          <t>Лифт. холлы, тамбур-шлюзы надзем.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A536</f>
        <v/>
      </c>
      <c r="B546" s="31" t="inlineStr">
        <is>
          <t>Чистовая</t>
        </is>
      </c>
      <c r="C546" s="31" t="inlineStr">
        <is>
          <t>8.2.4</t>
        </is>
      </c>
      <c r="D546" s="32" t="inlineStr">
        <is>
          <t>Технич. помещения надзем.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A536</f>
        <v/>
      </c>
      <c r="B547" s="31" t="inlineStr">
        <is>
          <t>Чистовая</t>
        </is>
      </c>
      <c r="C547" s="31" t="inlineStr">
        <is>
          <t>8.2.5</t>
        </is>
      </c>
      <c r="D547" s="32" t="inlineStr">
        <is>
          <t>Прочие помещения надзем.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A536</f>
        <v/>
      </c>
      <c r="B548" s="31" t="inlineStr">
        <is>
          <t>Чистовая</t>
        </is>
      </c>
      <c r="C548" s="31" t="inlineStr">
        <is>
          <t>8.2.6</t>
        </is>
      </c>
      <c r="D548" s="32" t="inlineStr">
        <is>
          <t>Коммерч. помещения надзем.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A536</f>
        <v/>
      </c>
      <c r="B549" s="31" t="inlineStr">
        <is>
          <t>Чистовая</t>
        </is>
      </c>
      <c r="C549" s="31" t="inlineStr">
        <is>
          <t>8.2.7</t>
        </is>
      </c>
      <c r="D549" s="32" t="inlineStr">
        <is>
          <t>Паркинг и рампы надзем.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A536+7</f>
        <v/>
      </c>
      <c r="B550" s="31" t="inlineStr">
        <is>
          <t>Черновая</t>
        </is>
      </c>
      <c r="C550" s="31" t="inlineStr">
        <is>
          <t>8.2.1</t>
        </is>
      </c>
      <c r="D550" s="32" t="inlineStr">
        <is>
          <t>Отделка лобби/гранд-лобби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A550</f>
        <v/>
      </c>
      <c r="B551" s="31" t="inlineStr">
        <is>
          <t>Черновая</t>
        </is>
      </c>
      <c r="C551" s="31" t="inlineStr">
        <is>
          <t>8.2.2</t>
        </is>
      </c>
      <c r="D551" s="32" t="inlineStr">
        <is>
          <t>Отделка эвакуац. лестн. клетки надзем.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A550</f>
        <v/>
      </c>
      <c r="B552" s="31" t="inlineStr">
        <is>
          <t>Черновая</t>
        </is>
      </c>
      <c r="C552" s="31" t="inlineStr">
        <is>
          <t>8.2.3</t>
        </is>
      </c>
      <c r="D552" s="32" t="inlineStr">
        <is>
          <t>Лифт. холлы, тамбур-шлюзы надзем.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A550</f>
        <v/>
      </c>
      <c r="B553" s="31" t="inlineStr">
        <is>
          <t>Черновая</t>
        </is>
      </c>
      <c r="C553" s="31" t="inlineStr">
        <is>
          <t>8.2.4</t>
        </is>
      </c>
      <c r="D553" s="32" t="inlineStr">
        <is>
          <t>Технич. помещения надзем.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A550</f>
        <v/>
      </c>
      <c r="B554" s="31" t="inlineStr">
        <is>
          <t>Черновая</t>
        </is>
      </c>
      <c r="C554" s="31" t="inlineStr">
        <is>
          <t>8.2.5</t>
        </is>
      </c>
      <c r="D554" s="32" t="inlineStr">
        <is>
          <t>Прочие помещения надзем.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A550</f>
        <v/>
      </c>
      <c r="B555" s="31" t="inlineStr">
        <is>
          <t>Черновая</t>
        </is>
      </c>
      <c r="C555" s="31" t="inlineStr">
        <is>
          <t>8.2.6</t>
        </is>
      </c>
      <c r="D555" s="32" t="inlineStr">
        <is>
          <t>Коммерч. помещения надзем.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A550</f>
        <v/>
      </c>
      <c r="B556" s="31" t="inlineStr">
        <is>
          <t>Черновая</t>
        </is>
      </c>
      <c r="C556" s="31" t="inlineStr">
        <is>
          <t>8.2.7</t>
        </is>
      </c>
      <c r="D556" s="32" t="inlineStr">
        <is>
          <t>Паркинг и рампы надзем.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>
      <c r="A557" s="30">
        <f>A550</f>
        <v/>
      </c>
      <c r="B557" s="31" t="inlineStr">
        <is>
          <t>Чистовая</t>
        </is>
      </c>
      <c r="C557" s="31" t="inlineStr">
        <is>
          <t>8.2.1</t>
        </is>
      </c>
      <c r="D557" s="32" t="inlineStr">
        <is>
          <t>Отделка лобби/гранд-лобби</t>
        </is>
      </c>
      <c r="E557" s="33" t="n"/>
      <c r="F557" s="33" t="n"/>
      <c r="G557" s="33" t="n"/>
      <c r="H557" s="33" t="n"/>
      <c r="I557" s="34">
        <f>COUNTA(E557:H557)&amp;"/4"</f>
        <v/>
      </c>
    </row>
    <row r="558" ht="30" customHeight="1" s="74">
      <c r="A558" s="30">
        <f>A550</f>
        <v/>
      </c>
      <c r="B558" s="31" t="inlineStr">
        <is>
          <t>Чистовая</t>
        </is>
      </c>
      <c r="C558" s="31" t="inlineStr">
        <is>
          <t>8.2.2</t>
        </is>
      </c>
      <c r="D558" s="32" t="inlineStr">
        <is>
          <t>Отделка эвакуац. лестн. клетки надзем.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A550</f>
        <v/>
      </c>
      <c r="B559" s="31" t="inlineStr">
        <is>
          <t>Чистовая</t>
        </is>
      </c>
      <c r="C559" s="31" t="inlineStr">
        <is>
          <t>8.2.3</t>
        </is>
      </c>
      <c r="D559" s="32" t="inlineStr">
        <is>
          <t>Лифт. холлы, тамбур-шлюзы надзем.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A550</f>
        <v/>
      </c>
      <c r="B560" s="31" t="inlineStr">
        <is>
          <t>Чистовая</t>
        </is>
      </c>
      <c r="C560" s="31" t="inlineStr">
        <is>
          <t>8.2.4</t>
        </is>
      </c>
      <c r="D560" s="32" t="inlineStr">
        <is>
          <t>Технич. помещения надзем.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A550</f>
        <v/>
      </c>
      <c r="B561" s="31" t="inlineStr">
        <is>
          <t>Чистовая</t>
        </is>
      </c>
      <c r="C561" s="31" t="inlineStr">
        <is>
          <t>8.2.5</t>
        </is>
      </c>
      <c r="D561" s="32" t="inlineStr">
        <is>
          <t>Прочие помещения надзем.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A550</f>
        <v/>
      </c>
      <c r="B562" s="31" t="inlineStr">
        <is>
          <t>Чистовая</t>
        </is>
      </c>
      <c r="C562" s="31" t="inlineStr">
        <is>
          <t>8.2.6</t>
        </is>
      </c>
      <c r="D562" s="32" t="inlineStr">
        <is>
          <t>Коммерч. помещения надзем.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>
      <c r="A563" s="30">
        <f>A550</f>
        <v/>
      </c>
      <c r="B563" s="31" t="inlineStr">
        <is>
          <t>Чистовая</t>
        </is>
      </c>
      <c r="C563" s="31" t="inlineStr">
        <is>
          <t>8.2.7</t>
        </is>
      </c>
      <c r="D563" s="32" t="inlineStr">
        <is>
          <t>Паркинг и рампы надзем.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A550+7</f>
        <v/>
      </c>
      <c r="B564" s="31" t="inlineStr">
        <is>
          <t>Черновая</t>
        </is>
      </c>
      <c r="C564" s="31" t="inlineStr">
        <is>
          <t>8.2.1</t>
        </is>
      </c>
      <c r="D564" s="32" t="inlineStr">
        <is>
          <t>Отделка лобби/гранд-лобби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 ht="30" customHeight="1" s="74">
      <c r="A565" s="30">
        <f>A564</f>
        <v/>
      </c>
      <c r="B565" s="31" t="inlineStr">
        <is>
          <t>Черновая</t>
        </is>
      </c>
      <c r="C565" s="31" t="inlineStr">
        <is>
          <t>8.2.2</t>
        </is>
      </c>
      <c r="D565" s="32" t="inlineStr">
        <is>
          <t>Отделка эвакуац. лестн. клетки надзем.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A564</f>
        <v/>
      </c>
      <c r="B566" s="31" t="inlineStr">
        <is>
          <t>Черновая</t>
        </is>
      </c>
      <c r="C566" s="31" t="inlineStr">
        <is>
          <t>8.2.3</t>
        </is>
      </c>
      <c r="D566" s="32" t="inlineStr">
        <is>
          <t>Лифт. холлы, тамбур-шлюзы надзем.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A564</f>
        <v/>
      </c>
      <c r="B567" s="31" t="inlineStr">
        <is>
          <t>Черновая</t>
        </is>
      </c>
      <c r="C567" s="31" t="inlineStr">
        <is>
          <t>8.2.4</t>
        </is>
      </c>
      <c r="D567" s="32" t="inlineStr">
        <is>
          <t>Технич. помещения надзем.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A564</f>
        <v/>
      </c>
      <c r="B568" s="31" t="inlineStr">
        <is>
          <t>Черновая</t>
        </is>
      </c>
      <c r="C568" s="31" t="inlineStr">
        <is>
          <t>8.2.5</t>
        </is>
      </c>
      <c r="D568" s="32" t="inlineStr">
        <is>
          <t>Прочие помещения надзем.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>
      <c r="A569" s="30">
        <f>A564</f>
        <v/>
      </c>
      <c r="B569" s="31" t="inlineStr">
        <is>
          <t>Черновая</t>
        </is>
      </c>
      <c r="C569" s="31" t="inlineStr">
        <is>
          <t>8.2.6</t>
        </is>
      </c>
      <c r="D569" s="32" t="inlineStr">
        <is>
          <t>Коммерч. помещения надзем.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A564</f>
        <v/>
      </c>
      <c r="B570" s="31" t="inlineStr">
        <is>
          <t>Черновая</t>
        </is>
      </c>
      <c r="C570" s="31" t="inlineStr">
        <is>
          <t>8.2.7</t>
        </is>
      </c>
      <c r="D570" s="32" t="inlineStr">
        <is>
          <t>Паркинг и рампы надзем.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A564</f>
        <v/>
      </c>
      <c r="B571" s="31" t="inlineStr">
        <is>
          <t>Чистовая</t>
        </is>
      </c>
      <c r="C571" s="31" t="inlineStr">
        <is>
          <t>8.2.1</t>
        </is>
      </c>
      <c r="D571" s="32" t="inlineStr">
        <is>
          <t>Отделка лобби/гранд-лобби</t>
        </is>
      </c>
      <c r="E571" s="33" t="n"/>
      <c r="F571" s="33" t="n"/>
      <c r="G571" s="33" t="n"/>
      <c r="H571" s="33" t="n"/>
      <c r="I571" s="34">
        <f>COUNTA(E571:H571)&amp;"/4"</f>
        <v/>
      </c>
    </row>
    <row r="572" ht="30" customHeight="1" s="74">
      <c r="A572" s="30">
        <f>A564</f>
        <v/>
      </c>
      <c r="B572" s="31" t="inlineStr">
        <is>
          <t>Чистовая</t>
        </is>
      </c>
      <c r="C572" s="31" t="inlineStr">
        <is>
          <t>8.2.2</t>
        </is>
      </c>
      <c r="D572" s="32" t="inlineStr">
        <is>
          <t>Отделка эвакуац. лестн. клетки надзем.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A564</f>
        <v/>
      </c>
      <c r="B573" s="31" t="inlineStr">
        <is>
          <t>Чистовая</t>
        </is>
      </c>
      <c r="C573" s="31" t="inlineStr">
        <is>
          <t>8.2.3</t>
        </is>
      </c>
      <c r="D573" s="32" t="inlineStr">
        <is>
          <t>Лифт. холлы, тамбур-шлюзы надзем.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A564</f>
        <v/>
      </c>
      <c r="B574" s="31" t="inlineStr">
        <is>
          <t>Чистовая</t>
        </is>
      </c>
      <c r="C574" s="31" t="inlineStr">
        <is>
          <t>8.2.4</t>
        </is>
      </c>
      <c r="D574" s="32" t="inlineStr">
        <is>
          <t>Технич. помещения надзем.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>
      <c r="A575" s="30">
        <f>A564</f>
        <v/>
      </c>
      <c r="B575" s="31" t="inlineStr">
        <is>
          <t>Чистовая</t>
        </is>
      </c>
      <c r="C575" s="31" t="inlineStr">
        <is>
          <t>8.2.5</t>
        </is>
      </c>
      <c r="D575" s="32" t="inlineStr">
        <is>
          <t>Прочие помещения надзем.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A564</f>
        <v/>
      </c>
      <c r="B576" s="31" t="inlineStr">
        <is>
          <t>Чистовая</t>
        </is>
      </c>
      <c r="C576" s="31" t="inlineStr">
        <is>
          <t>8.2.6</t>
        </is>
      </c>
      <c r="D576" s="32" t="inlineStr">
        <is>
          <t>Коммерч. помещения надзем.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A564</f>
        <v/>
      </c>
      <c r="B577" s="31" t="inlineStr">
        <is>
          <t>Чистовая</t>
        </is>
      </c>
      <c r="C577" s="31" t="inlineStr">
        <is>
          <t>8.2.7</t>
        </is>
      </c>
      <c r="D577" s="32" t="inlineStr">
        <is>
          <t>Паркинг и рампы надзем.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A564+7</f>
        <v/>
      </c>
      <c r="B578" s="31" t="inlineStr">
        <is>
          <t>Черновая</t>
        </is>
      </c>
      <c r="C578" s="31" t="inlineStr">
        <is>
          <t>8.2.1</t>
        </is>
      </c>
      <c r="D578" s="32" t="inlineStr">
        <is>
          <t>Отделка лобби/гранд-лобби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 ht="30" customHeight="1" s="74">
      <c r="A579" s="30">
        <f>A578</f>
        <v/>
      </c>
      <c r="B579" s="31" t="inlineStr">
        <is>
          <t>Черновая</t>
        </is>
      </c>
      <c r="C579" s="31" t="inlineStr">
        <is>
          <t>8.2.2</t>
        </is>
      </c>
      <c r="D579" s="32" t="inlineStr">
        <is>
          <t>Отделка эвакуац. лестн. клетки надзем.</t>
        </is>
      </c>
      <c r="E579" s="33" t="n"/>
      <c r="F579" s="33" t="n"/>
      <c r="G579" s="33" t="n"/>
      <c r="H579" s="33" t="n"/>
      <c r="I579" s="34">
        <f>COUNTA(E579:G579)&amp;"/3"</f>
        <v/>
      </c>
    </row>
    <row r="580">
      <c r="A580" s="30">
        <f>A578</f>
        <v/>
      </c>
      <c r="B580" s="31" t="inlineStr">
        <is>
          <t>Черновая</t>
        </is>
      </c>
      <c r="C580" s="31" t="inlineStr">
        <is>
          <t>8.2.3</t>
        </is>
      </c>
      <c r="D580" s="32" t="inlineStr">
        <is>
          <t>Лифт. холлы, тамбур-шлюзы надзем.</t>
        </is>
      </c>
      <c r="E580" s="33" t="n"/>
      <c r="F580" s="33" t="n"/>
      <c r="G580" s="33" t="n"/>
      <c r="H580" s="33" t="n"/>
      <c r="I580" s="34">
        <f>COUNTA(E580:G580)&amp;"/3"</f>
        <v/>
      </c>
    </row>
    <row r="581">
      <c r="A581" s="30">
        <f>A578</f>
        <v/>
      </c>
      <c r="B581" s="31" t="inlineStr">
        <is>
          <t>Черновая</t>
        </is>
      </c>
      <c r="C581" s="31" t="inlineStr">
        <is>
          <t>8.2.4</t>
        </is>
      </c>
      <c r="D581" s="32" t="inlineStr">
        <is>
          <t>Технич. помещения надзем.</t>
        </is>
      </c>
      <c r="E581" s="33" t="n"/>
      <c r="F581" s="33" t="n"/>
      <c r="G581" s="33" t="n"/>
      <c r="H581" s="33" t="n"/>
      <c r="I581" s="34">
        <f>COUNTA(E581:G581)&amp;"/3"</f>
        <v/>
      </c>
    </row>
    <row r="582">
      <c r="A582" s="30">
        <f>A578</f>
        <v/>
      </c>
      <c r="B582" s="31" t="inlineStr">
        <is>
          <t>Черновая</t>
        </is>
      </c>
      <c r="C582" s="31" t="inlineStr">
        <is>
          <t>8.2.5</t>
        </is>
      </c>
      <c r="D582" s="32" t="inlineStr">
        <is>
          <t>Прочие помещения надзем.</t>
        </is>
      </c>
      <c r="E582" s="33" t="n"/>
      <c r="F582" s="33" t="n"/>
      <c r="G582" s="33" t="n"/>
      <c r="H582" s="33" t="n"/>
      <c r="I582" s="34">
        <f>COUNTA(E582:G582)&amp;"/3"</f>
        <v/>
      </c>
    </row>
    <row r="583">
      <c r="A583" s="30">
        <f>A578</f>
        <v/>
      </c>
      <c r="B583" s="31" t="inlineStr">
        <is>
          <t>Черновая</t>
        </is>
      </c>
      <c r="C583" s="31" t="inlineStr">
        <is>
          <t>8.2.6</t>
        </is>
      </c>
      <c r="D583" s="32" t="inlineStr">
        <is>
          <t>Коммерч. помещения надзем.</t>
        </is>
      </c>
      <c r="E583" s="33" t="n"/>
      <c r="F583" s="33" t="n"/>
      <c r="G583" s="33" t="n"/>
      <c r="H583" s="33" t="n"/>
      <c r="I583" s="34">
        <f>COUNTA(E583:G583)&amp;"/3"</f>
        <v/>
      </c>
    </row>
    <row r="584">
      <c r="A584" s="30">
        <f>A578</f>
        <v/>
      </c>
      <c r="B584" s="31" t="inlineStr">
        <is>
          <t>Черновая</t>
        </is>
      </c>
      <c r="C584" s="31" t="inlineStr">
        <is>
          <t>8.2.7</t>
        </is>
      </c>
      <c r="D584" s="32" t="inlineStr">
        <is>
          <t>Паркинг и рампы надзем.</t>
        </is>
      </c>
      <c r="E584" s="33" t="n"/>
      <c r="F584" s="33" t="n"/>
      <c r="G584" s="33" t="n"/>
      <c r="H584" s="33" t="n"/>
      <c r="I584" s="34">
        <f>COUNTA(E584:G584)&amp;"/3"</f>
        <v/>
      </c>
    </row>
    <row r="585">
      <c r="A585" s="30">
        <f>A578</f>
        <v/>
      </c>
      <c r="B585" s="31" t="inlineStr">
        <is>
          <t>Чистовая</t>
        </is>
      </c>
      <c r="C585" s="31" t="inlineStr">
        <is>
          <t>8.2.1</t>
        </is>
      </c>
      <c r="D585" s="32" t="inlineStr">
        <is>
          <t>Отделка лобби/гранд-лобби</t>
        </is>
      </c>
      <c r="E585" s="33" t="n"/>
      <c r="F585" s="33" t="n"/>
      <c r="G585" s="33" t="n"/>
      <c r="H585" s="33" t="n"/>
      <c r="I585" s="34">
        <f>COUNTA(E585:H585)&amp;"/4"</f>
        <v/>
      </c>
    </row>
    <row r="586" ht="30" customHeight="1" s="74">
      <c r="A586" s="30">
        <f>A578</f>
        <v/>
      </c>
      <c r="B586" s="31" t="inlineStr">
        <is>
          <t>Чистовая</t>
        </is>
      </c>
      <c r="C586" s="31" t="inlineStr">
        <is>
          <t>8.2.2</t>
        </is>
      </c>
      <c r="D586" s="32" t="inlineStr">
        <is>
          <t>Отделка эвакуац. лестн. клетки надзем.</t>
        </is>
      </c>
      <c r="E586" s="33" t="n"/>
      <c r="F586" s="33" t="n"/>
      <c r="G586" s="33" t="n"/>
      <c r="H586" s="33" t="n"/>
      <c r="I586" s="34">
        <f>COUNTA(E586:G586)&amp;"/3"</f>
        <v/>
      </c>
    </row>
    <row r="587">
      <c r="A587" s="30">
        <f>A578</f>
        <v/>
      </c>
      <c r="B587" s="31" t="inlineStr">
        <is>
          <t>Чистовая</t>
        </is>
      </c>
      <c r="C587" s="31" t="inlineStr">
        <is>
          <t>8.2.3</t>
        </is>
      </c>
      <c r="D587" s="32" t="inlineStr">
        <is>
          <t>Лифт. холлы, тамбур-шлюзы надзем.</t>
        </is>
      </c>
      <c r="E587" s="33" t="n"/>
      <c r="F587" s="33" t="n"/>
      <c r="G587" s="33" t="n"/>
      <c r="H587" s="33" t="n"/>
      <c r="I587" s="34">
        <f>COUNTA(E587:G587)&amp;"/3"</f>
        <v/>
      </c>
    </row>
    <row r="588">
      <c r="A588" s="30">
        <f>A578</f>
        <v/>
      </c>
      <c r="B588" s="31" t="inlineStr">
        <is>
          <t>Чистовая</t>
        </is>
      </c>
      <c r="C588" s="31" t="inlineStr">
        <is>
          <t>8.2.4</t>
        </is>
      </c>
      <c r="D588" s="32" t="inlineStr">
        <is>
          <t>Технич. помещения надзем.</t>
        </is>
      </c>
      <c r="E588" s="33" t="n"/>
      <c r="F588" s="33" t="n"/>
      <c r="G588" s="33" t="n"/>
      <c r="H588" s="33" t="n"/>
      <c r="I588" s="34">
        <f>COUNTA(E588:G588)&amp;"/3"</f>
        <v/>
      </c>
    </row>
    <row r="589">
      <c r="A589" s="30">
        <f>A578</f>
        <v/>
      </c>
      <c r="B589" s="31" t="inlineStr">
        <is>
          <t>Чистовая</t>
        </is>
      </c>
      <c r="C589" s="31" t="inlineStr">
        <is>
          <t>8.2.5</t>
        </is>
      </c>
      <c r="D589" s="32" t="inlineStr">
        <is>
          <t>Прочие помещения надзем.</t>
        </is>
      </c>
      <c r="E589" s="33" t="n"/>
      <c r="F589" s="33" t="n"/>
      <c r="G589" s="33" t="n"/>
      <c r="H589" s="33" t="n"/>
      <c r="I589" s="34">
        <f>COUNTA(E589:G589)&amp;"/3"</f>
        <v/>
      </c>
    </row>
    <row r="590">
      <c r="A590" s="30">
        <f>A578</f>
        <v/>
      </c>
      <c r="B590" s="31" t="inlineStr">
        <is>
          <t>Чистовая</t>
        </is>
      </c>
      <c r="C590" s="31" t="inlineStr">
        <is>
          <t>8.2.6</t>
        </is>
      </c>
      <c r="D590" s="32" t="inlineStr">
        <is>
          <t>Коммерч. помещения надзем.</t>
        </is>
      </c>
      <c r="E590" s="33" t="n"/>
      <c r="F590" s="33" t="n"/>
      <c r="G590" s="33" t="n"/>
      <c r="H590" s="33" t="n"/>
      <c r="I590" s="34">
        <f>COUNTA(E590:G590)&amp;"/3"</f>
        <v/>
      </c>
    </row>
    <row r="591">
      <c r="A591" s="30">
        <f>A578</f>
        <v/>
      </c>
      <c r="B591" s="31" t="inlineStr">
        <is>
          <t>Чистовая</t>
        </is>
      </c>
      <c r="C591" s="31" t="inlineStr">
        <is>
          <t>8.2.7</t>
        </is>
      </c>
      <c r="D591" s="32" t="inlineStr">
        <is>
          <t>Паркинг и рампы надзем.</t>
        </is>
      </c>
      <c r="E591" s="33" t="n"/>
      <c r="F591" s="33" t="n"/>
      <c r="G591" s="33" t="n"/>
      <c r="H591" s="33" t="n"/>
      <c r="I591" s="34">
        <f>COUNTA(E591:G591)&amp;"/3"</f>
        <v/>
      </c>
    </row>
    <row r="592">
      <c r="A592" s="30">
        <f>A578+7</f>
        <v/>
      </c>
      <c r="B592" s="31" t="inlineStr">
        <is>
          <t>Черновая</t>
        </is>
      </c>
      <c r="C592" s="31" t="inlineStr">
        <is>
          <t>8.2.1</t>
        </is>
      </c>
      <c r="D592" s="32" t="inlineStr">
        <is>
          <t>Отделка лобби/гранд-лобби</t>
        </is>
      </c>
      <c r="E592" s="33" t="n"/>
      <c r="F592" s="33" t="n"/>
      <c r="G592" s="33" t="n"/>
      <c r="H592" s="33" t="n"/>
      <c r="I592" s="34">
        <f>COUNTA(E592:G592)&amp;"/3"</f>
        <v/>
      </c>
    </row>
    <row r="593" ht="30" customHeight="1" s="74">
      <c r="A593" s="30">
        <f>A592</f>
        <v/>
      </c>
      <c r="B593" s="31" t="inlineStr">
        <is>
          <t>Черновая</t>
        </is>
      </c>
      <c r="C593" s="31" t="inlineStr">
        <is>
          <t>8.2.2</t>
        </is>
      </c>
      <c r="D593" s="32" t="inlineStr">
        <is>
          <t>Отделка эвакуац. лестн. клетки надзем.</t>
        </is>
      </c>
      <c r="E593" s="33" t="n"/>
      <c r="F593" s="33" t="n"/>
      <c r="G593" s="33" t="n"/>
      <c r="H593" s="33" t="n"/>
      <c r="I593" s="34">
        <f>COUNTA(E593:G593)&amp;"/3"</f>
        <v/>
      </c>
    </row>
    <row r="594">
      <c r="A594" s="30">
        <f>A592</f>
        <v/>
      </c>
      <c r="B594" s="31" t="inlineStr">
        <is>
          <t>Черновая</t>
        </is>
      </c>
      <c r="C594" s="31" t="inlineStr">
        <is>
          <t>8.2.3</t>
        </is>
      </c>
      <c r="D594" s="32" t="inlineStr">
        <is>
          <t>Лифт. холлы, тамбур-шлюзы надзем.</t>
        </is>
      </c>
      <c r="E594" s="33" t="n"/>
      <c r="F594" s="33" t="n"/>
      <c r="G594" s="33" t="n"/>
      <c r="H594" s="33" t="n"/>
      <c r="I594" s="34">
        <f>COUNTA(E594:G594)&amp;"/3"</f>
        <v/>
      </c>
    </row>
    <row r="595">
      <c r="A595" s="30">
        <f>A592</f>
        <v/>
      </c>
      <c r="B595" s="31" t="inlineStr">
        <is>
          <t>Черновая</t>
        </is>
      </c>
      <c r="C595" s="31" t="inlineStr">
        <is>
          <t>8.2.4</t>
        </is>
      </c>
      <c r="D595" s="32" t="inlineStr">
        <is>
          <t>Технич. помещения надзем.</t>
        </is>
      </c>
      <c r="E595" s="33" t="n"/>
      <c r="F595" s="33" t="n"/>
      <c r="G595" s="33" t="n"/>
      <c r="H595" s="33" t="n"/>
      <c r="I595" s="34">
        <f>COUNTA(E595:G595)&amp;"/3"</f>
        <v/>
      </c>
    </row>
    <row r="596">
      <c r="A596" s="30">
        <f>A592</f>
        <v/>
      </c>
      <c r="B596" s="31" t="inlineStr">
        <is>
          <t>Черновая</t>
        </is>
      </c>
      <c r="C596" s="31" t="inlineStr">
        <is>
          <t>8.2.5</t>
        </is>
      </c>
      <c r="D596" s="32" t="inlineStr">
        <is>
          <t>Прочие помещения надзем.</t>
        </is>
      </c>
      <c r="E596" s="33" t="n"/>
      <c r="F596" s="33" t="n"/>
      <c r="G596" s="33" t="n"/>
      <c r="H596" s="33" t="n"/>
      <c r="I596" s="34">
        <f>COUNTA(E596:G596)&amp;"/3"</f>
        <v/>
      </c>
    </row>
    <row r="597">
      <c r="A597" s="30">
        <f>A592</f>
        <v/>
      </c>
      <c r="B597" s="31" t="inlineStr">
        <is>
          <t>Черновая</t>
        </is>
      </c>
      <c r="C597" s="31" t="inlineStr">
        <is>
          <t>8.2.6</t>
        </is>
      </c>
      <c r="D597" s="32" t="inlineStr">
        <is>
          <t>Коммерч. помещения надзем.</t>
        </is>
      </c>
      <c r="E597" s="33" t="n"/>
      <c r="F597" s="33" t="n"/>
      <c r="G597" s="33" t="n"/>
      <c r="H597" s="33" t="n"/>
      <c r="I597" s="34">
        <f>COUNTA(E597:G597)&amp;"/3"</f>
        <v/>
      </c>
    </row>
    <row r="598">
      <c r="A598" s="30">
        <f>A592</f>
        <v/>
      </c>
      <c r="B598" s="31" t="inlineStr">
        <is>
          <t>Черновая</t>
        </is>
      </c>
      <c r="C598" s="31" t="inlineStr">
        <is>
          <t>8.2.7</t>
        </is>
      </c>
      <c r="D598" s="32" t="inlineStr">
        <is>
          <t>Паркинг и рампы надзем.</t>
        </is>
      </c>
      <c r="E598" s="33" t="n"/>
      <c r="F598" s="33" t="n"/>
      <c r="G598" s="33" t="n"/>
      <c r="H598" s="33" t="n"/>
      <c r="I598" s="34">
        <f>COUNTA(E598:G598)&amp;"/3"</f>
        <v/>
      </c>
    </row>
    <row r="599">
      <c r="A599" s="30">
        <f>A592</f>
        <v/>
      </c>
      <c r="B599" s="31" t="inlineStr">
        <is>
          <t>Чистовая</t>
        </is>
      </c>
      <c r="C599" s="31" t="inlineStr">
        <is>
          <t>8.2.1</t>
        </is>
      </c>
      <c r="D599" s="32" t="inlineStr">
        <is>
          <t>Отделка лобби/гранд-лобби</t>
        </is>
      </c>
      <c r="E599" s="33" t="n"/>
      <c r="F599" s="33" t="n"/>
      <c r="G599" s="33" t="n"/>
      <c r="H599" s="33" t="n"/>
      <c r="I599" s="34">
        <f>COUNTA(E599:H599)&amp;"/4"</f>
        <v/>
      </c>
    </row>
    <row r="600" ht="30" customHeight="1" s="74">
      <c r="A600" s="30">
        <f>A592</f>
        <v/>
      </c>
      <c r="B600" s="31" t="inlineStr">
        <is>
          <t>Чистовая</t>
        </is>
      </c>
      <c r="C600" s="31" t="inlineStr">
        <is>
          <t>8.2.2</t>
        </is>
      </c>
      <c r="D600" s="32" t="inlineStr">
        <is>
          <t>Отделка эвакуац. лестн. клетки надзем.</t>
        </is>
      </c>
      <c r="E600" s="33" t="n"/>
      <c r="F600" s="33" t="n"/>
      <c r="G600" s="33" t="n"/>
      <c r="H600" s="33" t="n"/>
      <c r="I600" s="34">
        <f>COUNTA(E600:G600)&amp;"/3"</f>
        <v/>
      </c>
    </row>
    <row r="601">
      <c r="A601" s="30">
        <f>A592</f>
        <v/>
      </c>
      <c r="B601" s="31" t="inlineStr">
        <is>
          <t>Чистовая</t>
        </is>
      </c>
      <c r="C601" s="31" t="inlineStr">
        <is>
          <t>8.2.3</t>
        </is>
      </c>
      <c r="D601" s="32" t="inlineStr">
        <is>
          <t>Лифт. холлы, тамбур-шлюзы надзем.</t>
        </is>
      </c>
      <c r="E601" s="33" t="n"/>
      <c r="F601" s="33" t="n"/>
      <c r="G601" s="33" t="n"/>
      <c r="H601" s="33" t="n"/>
      <c r="I601" s="34">
        <f>COUNTA(E601:G601)&amp;"/3"</f>
        <v/>
      </c>
    </row>
    <row r="602">
      <c r="A602" s="30">
        <f>A592</f>
        <v/>
      </c>
      <c r="B602" s="31" t="inlineStr">
        <is>
          <t>Чистовая</t>
        </is>
      </c>
      <c r="C602" s="31" t="inlineStr">
        <is>
          <t>8.2.4</t>
        </is>
      </c>
      <c r="D602" s="32" t="inlineStr">
        <is>
          <t>Технич. помещения надзем.</t>
        </is>
      </c>
      <c r="E602" s="33" t="n"/>
      <c r="F602" s="33" t="n"/>
      <c r="G602" s="33" t="n"/>
      <c r="H602" s="33" t="n"/>
      <c r="I602" s="34">
        <f>COUNTA(E602:G602)&amp;"/3"</f>
        <v/>
      </c>
    </row>
    <row r="603">
      <c r="A603" s="30">
        <f>A592</f>
        <v/>
      </c>
      <c r="B603" s="31" t="inlineStr">
        <is>
          <t>Чистовая</t>
        </is>
      </c>
      <c r="C603" s="31" t="inlineStr">
        <is>
          <t>8.2.5</t>
        </is>
      </c>
      <c r="D603" s="32" t="inlineStr">
        <is>
          <t>Прочие помещения надзем.</t>
        </is>
      </c>
      <c r="E603" s="33" t="n"/>
      <c r="F603" s="33" t="n"/>
      <c r="G603" s="33" t="n"/>
      <c r="H603" s="33" t="n"/>
      <c r="I603" s="34">
        <f>COUNTA(E603:G603)&amp;"/3"</f>
        <v/>
      </c>
    </row>
    <row r="604">
      <c r="A604" s="30">
        <f>A592</f>
        <v/>
      </c>
      <c r="B604" s="31" t="inlineStr">
        <is>
          <t>Чистовая</t>
        </is>
      </c>
      <c r="C604" s="31" t="inlineStr">
        <is>
          <t>8.2.6</t>
        </is>
      </c>
      <c r="D604" s="32" t="inlineStr">
        <is>
          <t>Коммерч. помещения надзем.</t>
        </is>
      </c>
      <c r="E604" s="33" t="n"/>
      <c r="F604" s="33" t="n"/>
      <c r="G604" s="33" t="n"/>
      <c r="H604" s="33" t="n"/>
      <c r="I604" s="34">
        <f>COUNTA(E604:G604)&amp;"/3"</f>
        <v/>
      </c>
    </row>
    <row r="605">
      <c r="A605" s="30">
        <f>A592</f>
        <v/>
      </c>
      <c r="B605" s="31" t="inlineStr">
        <is>
          <t>Чистовая</t>
        </is>
      </c>
      <c r="C605" s="31" t="inlineStr">
        <is>
          <t>8.2.7</t>
        </is>
      </c>
      <c r="D605" s="32" t="inlineStr">
        <is>
          <t>Паркинг и рампы надзем.</t>
        </is>
      </c>
      <c r="E605" s="33" t="n"/>
      <c r="F605" s="33" t="n"/>
      <c r="G605" s="33" t="n"/>
      <c r="H605" s="33" t="n"/>
      <c r="I605" s="34">
        <f>COUNTA(E605:G605)&amp;"/3"</f>
        <v/>
      </c>
    </row>
    <row r="606">
      <c r="A606" s="30">
        <f>A592+7</f>
        <v/>
      </c>
      <c r="B606" s="31" t="inlineStr">
        <is>
          <t>Черновая</t>
        </is>
      </c>
      <c r="C606" s="31" t="inlineStr">
        <is>
          <t>8.2.1</t>
        </is>
      </c>
      <c r="D606" s="32" t="inlineStr">
        <is>
          <t>Отделка лобби/гранд-лобби</t>
        </is>
      </c>
      <c r="E606" s="33" t="n"/>
      <c r="F606" s="33" t="n"/>
      <c r="G606" s="33" t="n"/>
      <c r="H606" s="33" t="n"/>
      <c r="I606" s="34">
        <f>COUNTA(E606:G606)&amp;"/3"</f>
        <v/>
      </c>
    </row>
    <row r="607" ht="30" customHeight="1" s="74">
      <c r="A607" s="30">
        <f>A606</f>
        <v/>
      </c>
      <c r="B607" s="31" t="inlineStr">
        <is>
          <t>Черновая</t>
        </is>
      </c>
      <c r="C607" s="31" t="inlineStr">
        <is>
          <t>8.2.2</t>
        </is>
      </c>
      <c r="D607" s="32" t="inlineStr">
        <is>
          <t>Отделка эвакуац. лестн. клетки надзем.</t>
        </is>
      </c>
      <c r="E607" s="33" t="n"/>
      <c r="F607" s="33" t="n"/>
      <c r="G607" s="33" t="n"/>
      <c r="H607" s="33" t="n"/>
      <c r="I607" s="34">
        <f>COUNTA(E607:G607)&amp;"/3"</f>
        <v/>
      </c>
    </row>
    <row r="608">
      <c r="A608" s="30">
        <f>A606</f>
        <v/>
      </c>
      <c r="B608" s="31" t="inlineStr">
        <is>
          <t>Черновая</t>
        </is>
      </c>
      <c r="C608" s="31" t="inlineStr">
        <is>
          <t>8.2.3</t>
        </is>
      </c>
      <c r="D608" s="32" t="inlineStr">
        <is>
          <t>Лифт. холлы, тамбур-шлюзы надзем.</t>
        </is>
      </c>
      <c r="E608" s="33" t="n"/>
      <c r="F608" s="33" t="n"/>
      <c r="G608" s="33" t="n"/>
      <c r="H608" s="33" t="n"/>
      <c r="I608" s="34">
        <f>COUNTA(E608:G608)&amp;"/3"</f>
        <v/>
      </c>
    </row>
    <row r="609">
      <c r="A609" s="30">
        <f>A606</f>
        <v/>
      </c>
      <c r="B609" s="31" t="inlineStr">
        <is>
          <t>Черновая</t>
        </is>
      </c>
      <c r="C609" s="31" t="inlineStr">
        <is>
          <t>8.2.4</t>
        </is>
      </c>
      <c r="D609" s="32" t="inlineStr">
        <is>
          <t>Технич. помещения надзем.</t>
        </is>
      </c>
      <c r="E609" s="33" t="n"/>
      <c r="F609" s="33" t="n"/>
      <c r="G609" s="33" t="n"/>
      <c r="H609" s="33" t="n"/>
      <c r="I609" s="34">
        <f>COUNTA(E609:G609)&amp;"/3"</f>
        <v/>
      </c>
    </row>
    <row r="610">
      <c r="A610" s="30">
        <f>A606</f>
        <v/>
      </c>
      <c r="B610" s="31" t="inlineStr">
        <is>
          <t>Черновая</t>
        </is>
      </c>
      <c r="C610" s="31" t="inlineStr">
        <is>
          <t>8.2.5</t>
        </is>
      </c>
      <c r="D610" s="32" t="inlineStr">
        <is>
          <t>Прочие помещения надзем.</t>
        </is>
      </c>
      <c r="E610" s="33" t="n"/>
      <c r="F610" s="33" t="n"/>
      <c r="G610" s="33" t="n"/>
      <c r="H610" s="33" t="n"/>
      <c r="I610" s="34">
        <f>COUNTA(E610:G610)&amp;"/3"</f>
        <v/>
      </c>
    </row>
    <row r="611">
      <c r="A611" s="30">
        <f>A606</f>
        <v/>
      </c>
      <c r="B611" s="31" t="inlineStr">
        <is>
          <t>Черновая</t>
        </is>
      </c>
      <c r="C611" s="31" t="inlineStr">
        <is>
          <t>8.2.6</t>
        </is>
      </c>
      <c r="D611" s="32" t="inlineStr">
        <is>
          <t>Коммерч. помещения надзем.</t>
        </is>
      </c>
      <c r="E611" s="33" t="n"/>
      <c r="F611" s="33" t="n"/>
      <c r="G611" s="33" t="n"/>
      <c r="H611" s="33" t="n"/>
      <c r="I611" s="34">
        <f>COUNTA(E611:G611)&amp;"/3"</f>
        <v/>
      </c>
    </row>
    <row r="612">
      <c r="A612" s="30">
        <f>A606</f>
        <v/>
      </c>
      <c r="B612" s="31" t="inlineStr">
        <is>
          <t>Черновая</t>
        </is>
      </c>
      <c r="C612" s="31" t="inlineStr">
        <is>
          <t>8.2.7</t>
        </is>
      </c>
      <c r="D612" s="32" t="inlineStr">
        <is>
          <t>Паркинг и рампы надзем.</t>
        </is>
      </c>
      <c r="E612" s="33" t="n"/>
      <c r="F612" s="33" t="n"/>
      <c r="G612" s="33" t="n"/>
      <c r="H612" s="33" t="n"/>
      <c r="I612" s="34">
        <f>COUNTA(E612:G612)&amp;"/3"</f>
        <v/>
      </c>
    </row>
    <row r="613">
      <c r="A613" s="30">
        <f>A606</f>
        <v/>
      </c>
      <c r="B613" s="31" t="inlineStr">
        <is>
          <t>Чистовая</t>
        </is>
      </c>
      <c r="C613" s="31" t="inlineStr">
        <is>
          <t>8.2.1</t>
        </is>
      </c>
      <c r="D613" s="32" t="inlineStr">
        <is>
          <t>Отделка лобби/гранд-лобби</t>
        </is>
      </c>
      <c r="E613" s="33" t="n"/>
      <c r="F613" s="33" t="n"/>
      <c r="G613" s="33" t="n"/>
      <c r="H613" s="33" t="n"/>
      <c r="I613" s="34">
        <f>COUNTA(E613:H613)&amp;"/4"</f>
        <v/>
      </c>
    </row>
    <row r="614" ht="30" customHeight="1" s="74">
      <c r="A614" s="30">
        <f>A606</f>
        <v/>
      </c>
      <c r="B614" s="31" t="inlineStr">
        <is>
          <t>Чистовая</t>
        </is>
      </c>
      <c r="C614" s="31" t="inlineStr">
        <is>
          <t>8.2.2</t>
        </is>
      </c>
      <c r="D614" s="32" t="inlineStr">
        <is>
          <t>Отделка эвакуац. лестн. клетки надзем.</t>
        </is>
      </c>
      <c r="E614" s="33" t="n"/>
      <c r="F614" s="33" t="n"/>
      <c r="G614" s="33" t="n"/>
      <c r="H614" s="33" t="n"/>
      <c r="I614" s="34">
        <f>COUNTA(E614:G614)&amp;"/3"</f>
        <v/>
      </c>
    </row>
    <row r="615">
      <c r="A615" s="30">
        <f>A606</f>
        <v/>
      </c>
      <c r="B615" s="31" t="inlineStr">
        <is>
          <t>Чистовая</t>
        </is>
      </c>
      <c r="C615" s="31" t="inlineStr">
        <is>
          <t>8.2.3</t>
        </is>
      </c>
      <c r="D615" s="32" t="inlineStr">
        <is>
          <t>Лифт. холлы, тамбур-шлюзы надзем.</t>
        </is>
      </c>
      <c r="E615" s="33" t="n"/>
      <c r="F615" s="33" t="n"/>
      <c r="G615" s="33" t="n"/>
      <c r="H615" s="33" t="n"/>
      <c r="I615" s="34">
        <f>COUNTA(E615:G615)&amp;"/3"</f>
        <v/>
      </c>
    </row>
    <row r="616">
      <c r="A616" s="30">
        <f>A606</f>
        <v/>
      </c>
      <c r="B616" s="31" t="inlineStr">
        <is>
          <t>Чистовая</t>
        </is>
      </c>
      <c r="C616" s="31" t="inlineStr">
        <is>
          <t>8.2.4</t>
        </is>
      </c>
      <c r="D616" s="32" t="inlineStr">
        <is>
          <t>Технич. помещения надзем.</t>
        </is>
      </c>
      <c r="E616" s="33" t="n"/>
      <c r="F616" s="33" t="n"/>
      <c r="G616" s="33" t="n"/>
      <c r="H616" s="33" t="n"/>
      <c r="I616" s="34">
        <f>COUNTA(E616:G616)&amp;"/3"</f>
        <v/>
      </c>
    </row>
    <row r="617">
      <c r="A617" s="30">
        <f>A606</f>
        <v/>
      </c>
      <c r="B617" s="31" t="inlineStr">
        <is>
          <t>Чистовая</t>
        </is>
      </c>
      <c r="C617" s="31" t="inlineStr">
        <is>
          <t>8.2.5</t>
        </is>
      </c>
      <c r="D617" s="32" t="inlineStr">
        <is>
          <t>Прочие помещения надзем.</t>
        </is>
      </c>
      <c r="E617" s="33" t="n"/>
      <c r="F617" s="33" t="n"/>
      <c r="G617" s="33" t="n"/>
      <c r="H617" s="33" t="n"/>
      <c r="I617" s="34">
        <f>COUNTA(E617:G617)&amp;"/3"</f>
        <v/>
      </c>
    </row>
    <row r="618">
      <c r="A618" s="30">
        <f>A606</f>
        <v/>
      </c>
      <c r="B618" s="31" t="inlineStr">
        <is>
          <t>Чистовая</t>
        </is>
      </c>
      <c r="C618" s="31" t="inlineStr">
        <is>
          <t>8.2.6</t>
        </is>
      </c>
      <c r="D618" s="32" t="inlineStr">
        <is>
          <t>Коммерч. помещения надзем.</t>
        </is>
      </c>
      <c r="E618" s="33" t="n"/>
      <c r="F618" s="33" t="n"/>
      <c r="G618" s="33" t="n"/>
      <c r="H618" s="33" t="n"/>
      <c r="I618" s="34">
        <f>COUNTA(E618:G618)&amp;"/3"</f>
        <v/>
      </c>
    </row>
    <row r="619">
      <c r="A619" s="30">
        <f>A606</f>
        <v/>
      </c>
      <c r="B619" s="31" t="inlineStr">
        <is>
          <t>Чистовая</t>
        </is>
      </c>
      <c r="C619" s="31" t="inlineStr">
        <is>
          <t>8.2.7</t>
        </is>
      </c>
      <c r="D619" s="32" t="inlineStr">
        <is>
          <t>Паркинг и рампы надзем.</t>
        </is>
      </c>
      <c r="E619" s="33" t="n"/>
      <c r="F619" s="33" t="n"/>
      <c r="G619" s="33" t="n"/>
      <c r="H619" s="33" t="n"/>
      <c r="I619" s="34">
        <f>COUNTA(E619:G619)&amp;"/3"</f>
        <v/>
      </c>
    </row>
    <row r="620">
      <c r="A620" s="30">
        <f>A606+7</f>
        <v/>
      </c>
      <c r="B620" s="31" t="inlineStr">
        <is>
          <t>Черновая</t>
        </is>
      </c>
      <c r="C620" s="31" t="inlineStr">
        <is>
          <t>8.2.1</t>
        </is>
      </c>
      <c r="D620" s="32" t="inlineStr">
        <is>
          <t>Отделка лобби/гранд-лобби</t>
        </is>
      </c>
      <c r="E620" s="33" t="n"/>
      <c r="F620" s="33" t="n"/>
      <c r="G620" s="33" t="n"/>
      <c r="H620" s="33" t="n"/>
      <c r="I620" s="34">
        <f>COUNTA(E620:G620)&amp;"/3"</f>
        <v/>
      </c>
    </row>
    <row r="621" ht="30" customHeight="1" s="74">
      <c r="A621" s="30">
        <f>A620</f>
        <v/>
      </c>
      <c r="B621" s="31" t="inlineStr">
        <is>
          <t>Черновая</t>
        </is>
      </c>
      <c r="C621" s="31" t="inlineStr">
        <is>
          <t>8.2.2</t>
        </is>
      </c>
      <c r="D621" s="32" t="inlineStr">
        <is>
          <t>Отделка эвакуац. лестн. клетки надзем.</t>
        </is>
      </c>
      <c r="E621" s="33" t="n"/>
      <c r="F621" s="33" t="n"/>
      <c r="G621" s="33" t="n"/>
      <c r="H621" s="33" t="n"/>
      <c r="I621" s="34">
        <f>COUNTA(E621:G621)&amp;"/3"</f>
        <v/>
      </c>
    </row>
    <row r="622">
      <c r="A622" s="30">
        <f>A620</f>
        <v/>
      </c>
      <c r="B622" s="31" t="inlineStr">
        <is>
          <t>Черновая</t>
        </is>
      </c>
      <c r="C622" s="31" t="inlineStr">
        <is>
          <t>8.2.3</t>
        </is>
      </c>
      <c r="D622" s="32" t="inlineStr">
        <is>
          <t>Лифт. холлы, тамбур-шлюзы надзем.</t>
        </is>
      </c>
      <c r="E622" s="33" t="n"/>
      <c r="F622" s="33" t="n"/>
      <c r="G622" s="33" t="n"/>
      <c r="H622" s="33" t="n"/>
      <c r="I622" s="34">
        <f>COUNTA(E622:G622)&amp;"/3"</f>
        <v/>
      </c>
    </row>
    <row r="623">
      <c r="A623" s="30">
        <f>A620</f>
        <v/>
      </c>
      <c r="B623" s="31" t="inlineStr">
        <is>
          <t>Черновая</t>
        </is>
      </c>
      <c r="C623" s="31" t="inlineStr">
        <is>
          <t>8.2.4</t>
        </is>
      </c>
      <c r="D623" s="32" t="inlineStr">
        <is>
          <t>Технич. помещения надзем.</t>
        </is>
      </c>
      <c r="E623" s="33" t="n"/>
      <c r="F623" s="33" t="n"/>
      <c r="G623" s="33" t="n"/>
      <c r="H623" s="33" t="n"/>
      <c r="I623" s="34">
        <f>COUNTA(E623:G623)&amp;"/3"</f>
        <v/>
      </c>
    </row>
    <row r="624">
      <c r="A624" s="30">
        <f>A620</f>
        <v/>
      </c>
      <c r="B624" s="31" t="inlineStr">
        <is>
          <t>Черновая</t>
        </is>
      </c>
      <c r="C624" s="31" t="inlineStr">
        <is>
          <t>8.2.5</t>
        </is>
      </c>
      <c r="D624" s="32" t="inlineStr">
        <is>
          <t>Прочие помещения надзем.</t>
        </is>
      </c>
      <c r="E624" s="33" t="n"/>
      <c r="F624" s="33" t="n"/>
      <c r="G624" s="33" t="n"/>
      <c r="H624" s="33" t="n"/>
      <c r="I624" s="34">
        <f>COUNTA(E624:G624)&amp;"/3"</f>
        <v/>
      </c>
    </row>
    <row r="625">
      <c r="A625" s="30">
        <f>A620</f>
        <v/>
      </c>
      <c r="B625" s="31" t="inlineStr">
        <is>
          <t>Черновая</t>
        </is>
      </c>
      <c r="C625" s="31" t="inlineStr">
        <is>
          <t>8.2.6</t>
        </is>
      </c>
      <c r="D625" s="32" t="inlineStr">
        <is>
          <t>Коммерч. помещения надзем.</t>
        </is>
      </c>
      <c r="E625" s="33" t="n"/>
      <c r="F625" s="33" t="n"/>
      <c r="G625" s="33" t="n"/>
      <c r="H625" s="33" t="n"/>
      <c r="I625" s="34">
        <f>COUNTA(E625:G625)&amp;"/3"</f>
        <v/>
      </c>
    </row>
    <row r="626">
      <c r="A626" s="30">
        <f>A620</f>
        <v/>
      </c>
      <c r="B626" s="31" t="inlineStr">
        <is>
          <t>Черновая</t>
        </is>
      </c>
      <c r="C626" s="31" t="inlineStr">
        <is>
          <t>8.2.7</t>
        </is>
      </c>
      <c r="D626" s="32" t="inlineStr">
        <is>
          <t>Паркинг и рампы надзем.</t>
        </is>
      </c>
      <c r="E626" s="33" t="n"/>
      <c r="F626" s="33" t="n"/>
      <c r="G626" s="33" t="n"/>
      <c r="H626" s="33" t="n"/>
      <c r="I626" s="34">
        <f>COUNTA(E626:G626)&amp;"/3"</f>
        <v/>
      </c>
    </row>
    <row r="627">
      <c r="A627" s="30">
        <f>A620</f>
        <v/>
      </c>
      <c r="B627" s="31" t="inlineStr">
        <is>
          <t>Чистовая</t>
        </is>
      </c>
      <c r="C627" s="31" t="inlineStr">
        <is>
          <t>8.2.1</t>
        </is>
      </c>
      <c r="D627" s="32" t="inlineStr">
        <is>
          <t>Отделка лобби/гранд-лобби</t>
        </is>
      </c>
      <c r="E627" s="33" t="n"/>
      <c r="F627" s="33" t="n"/>
      <c r="G627" s="33" t="n"/>
      <c r="H627" s="33" t="n"/>
      <c r="I627" s="34">
        <f>COUNTA(E627:H627)&amp;"/4"</f>
        <v/>
      </c>
    </row>
    <row r="628" ht="30" customHeight="1" s="74">
      <c r="A628" s="30">
        <f>A620</f>
        <v/>
      </c>
      <c r="B628" s="31" t="inlineStr">
        <is>
          <t>Чистовая</t>
        </is>
      </c>
      <c r="C628" s="31" t="inlineStr">
        <is>
          <t>8.2.2</t>
        </is>
      </c>
      <c r="D628" s="32" t="inlineStr">
        <is>
          <t>Отделка эвакуац. лестн. клетки надзем.</t>
        </is>
      </c>
      <c r="E628" s="33" t="n"/>
      <c r="F628" s="33" t="n"/>
      <c r="G628" s="33" t="n"/>
      <c r="H628" s="33" t="n"/>
      <c r="I628" s="34">
        <f>COUNTA(E628:G628)&amp;"/3"</f>
        <v/>
      </c>
    </row>
    <row r="629">
      <c r="A629" s="30">
        <f>A620</f>
        <v/>
      </c>
      <c r="B629" s="31" t="inlineStr">
        <is>
          <t>Чистовая</t>
        </is>
      </c>
      <c r="C629" s="31" t="inlineStr">
        <is>
          <t>8.2.3</t>
        </is>
      </c>
      <c r="D629" s="32" t="inlineStr">
        <is>
          <t>Лифт. холлы, тамбур-шлюзы надзем.</t>
        </is>
      </c>
      <c r="E629" s="33" t="n"/>
      <c r="F629" s="33" t="n"/>
      <c r="G629" s="33" t="n"/>
      <c r="H629" s="33" t="n"/>
      <c r="I629" s="34">
        <f>COUNTA(E629:G629)&amp;"/3"</f>
        <v/>
      </c>
    </row>
    <row r="630">
      <c r="A630" s="30">
        <f>A620</f>
        <v/>
      </c>
      <c r="B630" s="31" t="inlineStr">
        <is>
          <t>Чистовая</t>
        </is>
      </c>
      <c r="C630" s="31" t="inlineStr">
        <is>
          <t>8.2.4</t>
        </is>
      </c>
      <c r="D630" s="32" t="inlineStr">
        <is>
          <t>Технич. помещения надзем.</t>
        </is>
      </c>
      <c r="E630" s="33" t="n"/>
      <c r="F630" s="33" t="n"/>
      <c r="G630" s="33" t="n"/>
      <c r="H630" s="33" t="n"/>
      <c r="I630" s="34">
        <f>COUNTA(E630:G630)&amp;"/3"</f>
        <v/>
      </c>
    </row>
    <row r="631">
      <c r="A631" s="30">
        <f>A620</f>
        <v/>
      </c>
      <c r="B631" s="31" t="inlineStr">
        <is>
          <t>Чистовая</t>
        </is>
      </c>
      <c r="C631" s="31" t="inlineStr">
        <is>
          <t>8.2.5</t>
        </is>
      </c>
      <c r="D631" s="32" t="inlineStr">
        <is>
          <t>Прочие помещения надзем.</t>
        </is>
      </c>
      <c r="E631" s="33" t="n"/>
      <c r="F631" s="33" t="n"/>
      <c r="G631" s="33" t="n"/>
      <c r="H631" s="33" t="n"/>
      <c r="I631" s="34">
        <f>COUNTA(E631:G631)&amp;"/3"</f>
        <v/>
      </c>
    </row>
    <row r="632">
      <c r="A632" s="30">
        <f>A620</f>
        <v/>
      </c>
      <c r="B632" s="31" t="inlineStr">
        <is>
          <t>Чистовая</t>
        </is>
      </c>
      <c r="C632" s="31" t="inlineStr">
        <is>
          <t>8.2.6</t>
        </is>
      </c>
      <c r="D632" s="32" t="inlineStr">
        <is>
          <t>Коммерч. помещения надзем.</t>
        </is>
      </c>
      <c r="E632" s="33" t="n"/>
      <c r="F632" s="33" t="n"/>
      <c r="G632" s="33" t="n"/>
      <c r="H632" s="33" t="n"/>
      <c r="I632" s="34">
        <f>COUNTA(E632:G632)&amp;"/3"</f>
        <v/>
      </c>
    </row>
    <row r="633">
      <c r="A633" s="30">
        <f>A620</f>
        <v/>
      </c>
      <c r="B633" s="31" t="inlineStr">
        <is>
          <t>Чистовая</t>
        </is>
      </c>
      <c r="C633" s="31" t="inlineStr">
        <is>
          <t>8.2.7</t>
        </is>
      </c>
      <c r="D633" s="32" t="inlineStr">
        <is>
          <t>Паркинг и рампы надзем.</t>
        </is>
      </c>
      <c r="E633" s="33" t="n"/>
      <c r="F633" s="33" t="n"/>
      <c r="G633" s="33" t="n"/>
      <c r="H633" s="33" t="n"/>
      <c r="I633" s="34">
        <f>COUNTA(E633:G633)&amp;"/3"</f>
        <v/>
      </c>
    </row>
    <row r="634">
      <c r="A634" s="30">
        <f>A620+7</f>
        <v/>
      </c>
      <c r="B634" s="31" t="inlineStr">
        <is>
          <t>Черновая</t>
        </is>
      </c>
      <c r="C634" s="31" t="inlineStr">
        <is>
          <t>8.2.1</t>
        </is>
      </c>
      <c r="D634" s="32" t="inlineStr">
        <is>
          <t>Отделка лобби/гранд-лобби</t>
        </is>
      </c>
      <c r="E634" s="33" t="n"/>
      <c r="F634" s="33" t="n"/>
      <c r="G634" s="33" t="n"/>
      <c r="H634" s="33" t="n"/>
      <c r="I634" s="34">
        <f>COUNTA(E634:G634)&amp;"/3"</f>
        <v/>
      </c>
    </row>
    <row r="635" ht="30" customHeight="1" s="74">
      <c r="A635" s="30">
        <f>A634</f>
        <v/>
      </c>
      <c r="B635" s="31" t="inlineStr">
        <is>
          <t>Черновая</t>
        </is>
      </c>
      <c r="C635" s="31" t="inlineStr">
        <is>
          <t>8.2.2</t>
        </is>
      </c>
      <c r="D635" s="32" t="inlineStr">
        <is>
          <t>Отделка эвакуац. лестн. клетки надзем.</t>
        </is>
      </c>
      <c r="E635" s="33" t="n"/>
      <c r="F635" s="33" t="n"/>
      <c r="G635" s="33" t="n"/>
      <c r="H635" s="33" t="n"/>
      <c r="I635" s="34">
        <f>COUNTA(E635:G635)&amp;"/3"</f>
        <v/>
      </c>
    </row>
    <row r="636">
      <c r="A636" s="30">
        <f>A634</f>
        <v/>
      </c>
      <c r="B636" s="31" t="inlineStr">
        <is>
          <t>Черновая</t>
        </is>
      </c>
      <c r="C636" s="31" t="inlineStr">
        <is>
          <t>8.2.3</t>
        </is>
      </c>
      <c r="D636" s="32" t="inlineStr">
        <is>
          <t>Лифт. холлы, тамбур-шлюзы надзем.</t>
        </is>
      </c>
      <c r="E636" s="33" t="n"/>
      <c r="F636" s="33" t="n"/>
      <c r="G636" s="33" t="n"/>
      <c r="H636" s="33" t="n"/>
      <c r="I636" s="34">
        <f>COUNTA(E636:G636)&amp;"/3"</f>
        <v/>
      </c>
    </row>
    <row r="637">
      <c r="A637" s="30">
        <f>A634</f>
        <v/>
      </c>
      <c r="B637" s="31" t="inlineStr">
        <is>
          <t>Черновая</t>
        </is>
      </c>
      <c r="C637" s="31" t="inlineStr">
        <is>
          <t>8.2.4</t>
        </is>
      </c>
      <c r="D637" s="32" t="inlineStr">
        <is>
          <t>Технич. помещения надзем.</t>
        </is>
      </c>
      <c r="E637" s="33" t="n"/>
      <c r="F637" s="33" t="n"/>
      <c r="G637" s="33" t="n"/>
      <c r="H637" s="33" t="n"/>
      <c r="I637" s="34">
        <f>COUNTA(E637:G637)&amp;"/3"</f>
        <v/>
      </c>
    </row>
    <row r="638">
      <c r="A638" s="30">
        <f>A634</f>
        <v/>
      </c>
      <c r="B638" s="31" t="inlineStr">
        <is>
          <t>Черновая</t>
        </is>
      </c>
      <c r="C638" s="31" t="inlineStr">
        <is>
          <t>8.2.5</t>
        </is>
      </c>
      <c r="D638" s="32" t="inlineStr">
        <is>
          <t>Прочие помещения надзем.</t>
        </is>
      </c>
      <c r="E638" s="33" t="n"/>
      <c r="F638" s="33" t="n"/>
      <c r="G638" s="33" t="n"/>
      <c r="H638" s="33" t="n"/>
      <c r="I638" s="34">
        <f>COUNTA(E638:G638)&amp;"/3"</f>
        <v/>
      </c>
    </row>
    <row r="639">
      <c r="A639" s="30">
        <f>A634</f>
        <v/>
      </c>
      <c r="B639" s="31" t="inlineStr">
        <is>
          <t>Черновая</t>
        </is>
      </c>
      <c r="C639" s="31" t="inlineStr">
        <is>
          <t>8.2.6</t>
        </is>
      </c>
      <c r="D639" s="32" t="inlineStr">
        <is>
          <t>Коммерч. помещения надзем.</t>
        </is>
      </c>
      <c r="E639" s="33" t="n"/>
      <c r="F639" s="33" t="n"/>
      <c r="G639" s="33" t="n"/>
      <c r="H639" s="33" t="n"/>
      <c r="I639" s="34">
        <f>COUNTA(E639:G639)&amp;"/3"</f>
        <v/>
      </c>
    </row>
    <row r="640">
      <c r="A640" s="30">
        <f>A634</f>
        <v/>
      </c>
      <c r="B640" s="31" t="inlineStr">
        <is>
          <t>Черновая</t>
        </is>
      </c>
      <c r="C640" s="31" t="inlineStr">
        <is>
          <t>8.2.7</t>
        </is>
      </c>
      <c r="D640" s="32" t="inlineStr">
        <is>
          <t>Паркинг и рампы надзем.</t>
        </is>
      </c>
      <c r="E640" s="33" t="n"/>
      <c r="F640" s="33" t="n"/>
      <c r="G640" s="33" t="n"/>
      <c r="H640" s="33" t="n"/>
      <c r="I640" s="34">
        <f>COUNTA(E640:G640)&amp;"/3"</f>
        <v/>
      </c>
    </row>
    <row r="641">
      <c r="A641" s="30">
        <f>A634</f>
        <v/>
      </c>
      <c r="B641" s="31" t="inlineStr">
        <is>
          <t>Чистовая</t>
        </is>
      </c>
      <c r="C641" s="31" t="inlineStr">
        <is>
          <t>8.2.1</t>
        </is>
      </c>
      <c r="D641" s="32" t="inlineStr">
        <is>
          <t>Отделка лобби/гранд-лобби</t>
        </is>
      </c>
      <c r="E641" s="33" t="n"/>
      <c r="F641" s="33" t="n"/>
      <c r="G641" s="33" t="n"/>
      <c r="H641" s="33" t="n"/>
      <c r="I641" s="34">
        <f>COUNTA(E641:H641)&amp;"/4"</f>
        <v/>
      </c>
    </row>
    <row r="642" ht="30" customHeight="1" s="74">
      <c r="A642" s="30">
        <f>A634</f>
        <v/>
      </c>
      <c r="B642" s="31" t="inlineStr">
        <is>
          <t>Чистовая</t>
        </is>
      </c>
      <c r="C642" s="31" t="inlineStr">
        <is>
          <t>8.2.2</t>
        </is>
      </c>
      <c r="D642" s="32" t="inlineStr">
        <is>
          <t>Отделка эвакуац. лестн. клетки надзем.</t>
        </is>
      </c>
      <c r="E642" s="33" t="n"/>
      <c r="F642" s="33" t="n"/>
      <c r="G642" s="33" t="n"/>
      <c r="H642" s="33" t="n"/>
      <c r="I642" s="34">
        <f>COUNTA(E642:G642)&amp;"/3"</f>
        <v/>
      </c>
    </row>
    <row r="643">
      <c r="A643" s="30">
        <f>A634</f>
        <v/>
      </c>
      <c r="B643" s="31" t="inlineStr">
        <is>
          <t>Чистовая</t>
        </is>
      </c>
      <c r="C643" s="31" t="inlineStr">
        <is>
          <t>8.2.3</t>
        </is>
      </c>
      <c r="D643" s="32" t="inlineStr">
        <is>
          <t>Лифт. холлы, тамбур-шлюзы надзем.</t>
        </is>
      </c>
      <c r="E643" s="33" t="n"/>
      <c r="F643" s="33" t="n"/>
      <c r="G643" s="33" t="n"/>
      <c r="H643" s="33" t="n"/>
      <c r="I643" s="34">
        <f>COUNTA(E643:G643)&amp;"/3"</f>
        <v/>
      </c>
    </row>
    <row r="644">
      <c r="A644" s="30">
        <f>A634</f>
        <v/>
      </c>
      <c r="B644" s="31" t="inlineStr">
        <is>
          <t>Чистовая</t>
        </is>
      </c>
      <c r="C644" s="31" t="inlineStr">
        <is>
          <t>8.2.4</t>
        </is>
      </c>
      <c r="D644" s="32" t="inlineStr">
        <is>
          <t>Технич. помещения надзем.</t>
        </is>
      </c>
      <c r="E644" s="33" t="n"/>
      <c r="F644" s="33" t="n"/>
      <c r="G644" s="33" t="n"/>
      <c r="H644" s="33" t="n"/>
      <c r="I644" s="34">
        <f>COUNTA(E644:G644)&amp;"/3"</f>
        <v/>
      </c>
    </row>
    <row r="645">
      <c r="A645" s="30">
        <f>A634</f>
        <v/>
      </c>
      <c r="B645" s="31" t="inlineStr">
        <is>
          <t>Чистовая</t>
        </is>
      </c>
      <c r="C645" s="31" t="inlineStr">
        <is>
          <t>8.2.5</t>
        </is>
      </c>
      <c r="D645" s="32" t="inlineStr">
        <is>
          <t>Прочие помещения надзем.</t>
        </is>
      </c>
      <c r="E645" s="33" t="n"/>
      <c r="F645" s="33" t="n"/>
      <c r="G645" s="33" t="n"/>
      <c r="H645" s="33" t="n"/>
      <c r="I645" s="34">
        <f>COUNTA(E645:G645)&amp;"/3"</f>
        <v/>
      </c>
    </row>
    <row r="646">
      <c r="A646" s="30">
        <f>A634</f>
        <v/>
      </c>
      <c r="B646" s="31" t="inlineStr">
        <is>
          <t>Чистовая</t>
        </is>
      </c>
      <c r="C646" s="31" t="inlineStr">
        <is>
          <t>8.2.6</t>
        </is>
      </c>
      <c r="D646" s="32" t="inlineStr">
        <is>
          <t>Коммерч. помещения надзем.</t>
        </is>
      </c>
      <c r="E646" s="33" t="n"/>
      <c r="F646" s="33" t="n"/>
      <c r="G646" s="33" t="n"/>
      <c r="H646" s="33" t="n"/>
      <c r="I646" s="34">
        <f>COUNTA(E646:G646)&amp;"/3"</f>
        <v/>
      </c>
    </row>
    <row r="647">
      <c r="A647" s="30">
        <f>A634</f>
        <v/>
      </c>
      <c r="B647" s="31" t="inlineStr">
        <is>
          <t>Чистовая</t>
        </is>
      </c>
      <c r="C647" s="31" t="inlineStr">
        <is>
          <t>8.2.7</t>
        </is>
      </c>
      <c r="D647" s="32" t="inlineStr">
        <is>
          <t>Паркинг и рампы надзем.</t>
        </is>
      </c>
      <c r="E647" s="33" t="n"/>
      <c r="F647" s="33" t="n"/>
      <c r="G647" s="33" t="n"/>
      <c r="H647" s="33" t="n"/>
      <c r="I647" s="34">
        <f>COUNTA(E647:G647)&amp;"/3"</f>
        <v/>
      </c>
    </row>
    <row r="648">
      <c r="A648" s="30">
        <f>A634+7</f>
        <v/>
      </c>
      <c r="B648" s="31" t="inlineStr">
        <is>
          <t>Черновая</t>
        </is>
      </c>
      <c r="C648" s="31" t="inlineStr">
        <is>
          <t>8.2.1</t>
        </is>
      </c>
      <c r="D648" s="32" t="inlineStr">
        <is>
          <t>Отделка лобби/гранд-лобби</t>
        </is>
      </c>
      <c r="E648" s="33" t="n"/>
      <c r="F648" s="33" t="n"/>
      <c r="G648" s="33" t="n"/>
      <c r="H648" s="33" t="n"/>
      <c r="I648" s="34">
        <f>COUNTA(E648:G648)&amp;"/3"</f>
        <v/>
      </c>
    </row>
    <row r="649" ht="30" customHeight="1" s="74">
      <c r="A649" s="30">
        <f>A648</f>
        <v/>
      </c>
      <c r="B649" s="31" t="inlineStr">
        <is>
          <t>Черновая</t>
        </is>
      </c>
      <c r="C649" s="31" t="inlineStr">
        <is>
          <t>8.2.2</t>
        </is>
      </c>
      <c r="D649" s="32" t="inlineStr">
        <is>
          <t>Отделка эвакуац. лестн. клетки надзем.</t>
        </is>
      </c>
      <c r="E649" s="33" t="n"/>
      <c r="F649" s="33" t="n"/>
      <c r="G649" s="33" t="n"/>
      <c r="H649" s="33" t="n"/>
      <c r="I649" s="34">
        <f>COUNTA(E649:G649)&amp;"/3"</f>
        <v/>
      </c>
    </row>
    <row r="650">
      <c r="A650" s="30">
        <f>A648</f>
        <v/>
      </c>
      <c r="B650" s="31" t="inlineStr">
        <is>
          <t>Черновая</t>
        </is>
      </c>
      <c r="C650" s="31" t="inlineStr">
        <is>
          <t>8.2.3</t>
        </is>
      </c>
      <c r="D650" s="32" t="inlineStr">
        <is>
          <t>Лифт. холлы, тамбур-шлюзы надзем.</t>
        </is>
      </c>
      <c r="E650" s="33" t="n"/>
      <c r="F650" s="33" t="n"/>
      <c r="G650" s="33" t="n"/>
      <c r="H650" s="33" t="n"/>
      <c r="I650" s="34">
        <f>COUNTA(E650:G650)&amp;"/3"</f>
        <v/>
      </c>
    </row>
    <row r="651">
      <c r="A651" s="30">
        <f>A648</f>
        <v/>
      </c>
      <c r="B651" s="31" t="inlineStr">
        <is>
          <t>Черновая</t>
        </is>
      </c>
      <c r="C651" s="31" t="inlineStr">
        <is>
          <t>8.2.4</t>
        </is>
      </c>
      <c r="D651" s="32" t="inlineStr">
        <is>
          <t>Технич. помещения надзем.</t>
        </is>
      </c>
      <c r="E651" s="33" t="n"/>
      <c r="F651" s="33" t="n"/>
      <c r="G651" s="33" t="n"/>
      <c r="H651" s="33" t="n"/>
      <c r="I651" s="34">
        <f>COUNTA(E651:G651)&amp;"/3"</f>
        <v/>
      </c>
    </row>
    <row r="652">
      <c r="A652" s="30">
        <f>A648</f>
        <v/>
      </c>
      <c r="B652" s="31" t="inlineStr">
        <is>
          <t>Черновая</t>
        </is>
      </c>
      <c r="C652" s="31" t="inlineStr">
        <is>
          <t>8.2.5</t>
        </is>
      </c>
      <c r="D652" s="32" t="inlineStr">
        <is>
          <t>Прочие помещения надзем.</t>
        </is>
      </c>
      <c r="E652" s="33" t="n"/>
      <c r="F652" s="33" t="n"/>
      <c r="G652" s="33" t="n"/>
      <c r="H652" s="33" t="n"/>
      <c r="I652" s="34">
        <f>COUNTA(E652:G652)&amp;"/3"</f>
        <v/>
      </c>
    </row>
    <row r="653">
      <c r="A653" s="30">
        <f>A648</f>
        <v/>
      </c>
      <c r="B653" s="31" t="inlineStr">
        <is>
          <t>Черновая</t>
        </is>
      </c>
      <c r="C653" s="31" t="inlineStr">
        <is>
          <t>8.2.6</t>
        </is>
      </c>
      <c r="D653" s="32" t="inlineStr">
        <is>
          <t>Коммерч. помещения надзем.</t>
        </is>
      </c>
      <c r="E653" s="33" t="n"/>
      <c r="F653" s="33" t="n"/>
      <c r="G653" s="33" t="n"/>
      <c r="H653" s="33" t="n"/>
      <c r="I653" s="34">
        <f>COUNTA(E653:G653)&amp;"/3"</f>
        <v/>
      </c>
    </row>
    <row r="654">
      <c r="A654" s="30">
        <f>A648</f>
        <v/>
      </c>
      <c r="B654" s="31" t="inlineStr">
        <is>
          <t>Черновая</t>
        </is>
      </c>
      <c r="C654" s="31" t="inlineStr">
        <is>
          <t>8.2.7</t>
        </is>
      </c>
      <c r="D654" s="32" t="inlineStr">
        <is>
          <t>Паркинг и рампы надзем.</t>
        </is>
      </c>
      <c r="E654" s="33" t="n"/>
      <c r="F654" s="33" t="n"/>
      <c r="G654" s="33" t="n"/>
      <c r="H654" s="33" t="n"/>
      <c r="I654" s="34">
        <f>COUNTA(E654:G654)&amp;"/3"</f>
        <v/>
      </c>
    </row>
    <row r="655">
      <c r="A655" s="30">
        <f>A648</f>
        <v/>
      </c>
      <c r="B655" s="31" t="inlineStr">
        <is>
          <t>Чистовая</t>
        </is>
      </c>
      <c r="C655" s="31" t="inlineStr">
        <is>
          <t>8.2.1</t>
        </is>
      </c>
      <c r="D655" s="32" t="inlineStr">
        <is>
          <t>Отделка лобби/гранд-лобби</t>
        </is>
      </c>
      <c r="E655" s="33" t="n"/>
      <c r="F655" s="33" t="n"/>
      <c r="G655" s="33" t="n"/>
      <c r="H655" s="33" t="n"/>
      <c r="I655" s="34">
        <f>COUNTA(E655:H655)&amp;"/4"</f>
        <v/>
      </c>
    </row>
    <row r="656" ht="30" customHeight="1" s="74">
      <c r="A656" s="30">
        <f>A648</f>
        <v/>
      </c>
      <c r="B656" s="31" t="inlineStr">
        <is>
          <t>Чистовая</t>
        </is>
      </c>
      <c r="C656" s="31" t="inlineStr">
        <is>
          <t>8.2.2</t>
        </is>
      </c>
      <c r="D656" s="32" t="inlineStr">
        <is>
          <t>Отделка эвакуац. лестн. клетки надзем.</t>
        </is>
      </c>
      <c r="E656" s="33" t="n"/>
      <c r="F656" s="33" t="n"/>
      <c r="G656" s="33" t="n"/>
      <c r="H656" s="33" t="n"/>
      <c r="I656" s="34">
        <f>COUNTA(E656:G656)&amp;"/3"</f>
        <v/>
      </c>
    </row>
    <row r="657">
      <c r="A657" s="30">
        <f>A648</f>
        <v/>
      </c>
      <c r="B657" s="31" t="inlineStr">
        <is>
          <t>Чистовая</t>
        </is>
      </c>
      <c r="C657" s="31" t="inlineStr">
        <is>
          <t>8.2.3</t>
        </is>
      </c>
      <c r="D657" s="32" t="inlineStr">
        <is>
          <t>Лифт. холлы, тамбур-шлюзы надзем.</t>
        </is>
      </c>
      <c r="E657" s="33" t="n"/>
      <c r="F657" s="33" t="n"/>
      <c r="G657" s="33" t="n"/>
      <c r="H657" s="33" t="n"/>
      <c r="I657" s="34">
        <f>COUNTA(E657:G657)&amp;"/3"</f>
        <v/>
      </c>
    </row>
    <row r="658">
      <c r="A658" s="30">
        <f>A648</f>
        <v/>
      </c>
      <c r="B658" s="31" t="inlineStr">
        <is>
          <t>Чистовая</t>
        </is>
      </c>
      <c r="C658" s="31" t="inlineStr">
        <is>
          <t>8.2.4</t>
        </is>
      </c>
      <c r="D658" s="32" t="inlineStr">
        <is>
          <t>Технич. помещения надзем.</t>
        </is>
      </c>
      <c r="E658" s="33" t="n"/>
      <c r="F658" s="33" t="n"/>
      <c r="G658" s="33" t="n"/>
      <c r="H658" s="33" t="n"/>
      <c r="I658" s="34">
        <f>COUNTA(E658:G658)&amp;"/3"</f>
        <v/>
      </c>
    </row>
    <row r="659">
      <c r="A659" s="30">
        <f>A648</f>
        <v/>
      </c>
      <c r="B659" s="31" t="inlineStr">
        <is>
          <t>Чистовая</t>
        </is>
      </c>
      <c r="C659" s="31" t="inlineStr">
        <is>
          <t>8.2.5</t>
        </is>
      </c>
      <c r="D659" s="32" t="inlineStr">
        <is>
          <t>Прочие помещения надзем.</t>
        </is>
      </c>
      <c r="E659" s="33" t="n"/>
      <c r="F659" s="33" t="n"/>
      <c r="G659" s="33" t="n"/>
      <c r="H659" s="33" t="n"/>
      <c r="I659" s="34">
        <f>COUNTA(E659:G659)&amp;"/3"</f>
        <v/>
      </c>
    </row>
    <row r="660">
      <c r="A660" s="30">
        <f>A648</f>
        <v/>
      </c>
      <c r="B660" s="31" t="inlineStr">
        <is>
          <t>Чистовая</t>
        </is>
      </c>
      <c r="C660" s="31" t="inlineStr">
        <is>
          <t>8.2.6</t>
        </is>
      </c>
      <c r="D660" s="32" t="inlineStr">
        <is>
          <t>Коммерч. помещения надзем.</t>
        </is>
      </c>
      <c r="E660" s="33" t="n"/>
      <c r="F660" s="33" t="n"/>
      <c r="G660" s="33" t="n"/>
      <c r="H660" s="33" t="n"/>
      <c r="I660" s="34">
        <f>COUNTA(E660:G660)&amp;"/3"</f>
        <v/>
      </c>
    </row>
    <row r="661">
      <c r="A661" s="30">
        <f>A648</f>
        <v/>
      </c>
      <c r="B661" s="31" t="inlineStr">
        <is>
          <t>Чистовая</t>
        </is>
      </c>
      <c r="C661" s="31" t="inlineStr">
        <is>
          <t>8.2.7</t>
        </is>
      </c>
      <c r="D661" s="32" t="inlineStr">
        <is>
          <t>Паркинг и рампы надзем.</t>
        </is>
      </c>
      <c r="E661" s="33" t="n"/>
      <c r="F661" s="33" t="n"/>
      <c r="G661" s="33" t="n"/>
      <c r="H661" s="33" t="n"/>
      <c r="I661" s="34">
        <f>COUNTA(E661:G661)&amp;"/3"</f>
        <v/>
      </c>
    </row>
    <row r="662">
      <c r="A662" s="30">
        <f>A648+7</f>
        <v/>
      </c>
      <c r="B662" s="31" t="inlineStr">
        <is>
          <t>Черновая</t>
        </is>
      </c>
      <c r="C662" s="31" t="inlineStr">
        <is>
          <t>8.2.1</t>
        </is>
      </c>
      <c r="D662" s="32" t="inlineStr">
        <is>
          <t>Отделка лобби/гранд-лобби</t>
        </is>
      </c>
      <c r="E662" s="33" t="n"/>
      <c r="F662" s="33" t="n"/>
      <c r="G662" s="33" t="n"/>
      <c r="H662" s="33" t="n"/>
      <c r="I662" s="34">
        <f>COUNTA(E662:G662)&amp;"/3"</f>
        <v/>
      </c>
    </row>
    <row r="663" ht="30" customHeight="1" s="74">
      <c r="A663" s="30">
        <f>A662</f>
        <v/>
      </c>
      <c r="B663" s="31" t="inlineStr">
        <is>
          <t>Черновая</t>
        </is>
      </c>
      <c r="C663" s="31" t="inlineStr">
        <is>
          <t>8.2.2</t>
        </is>
      </c>
      <c r="D663" s="32" t="inlineStr">
        <is>
          <t>Отделка эвакуац. лестн. клетки надзем.</t>
        </is>
      </c>
      <c r="E663" s="33" t="n"/>
      <c r="F663" s="33" t="n"/>
      <c r="G663" s="33" t="n"/>
      <c r="H663" s="33" t="n"/>
      <c r="I663" s="34">
        <f>COUNTA(E663:G663)&amp;"/3"</f>
        <v/>
      </c>
    </row>
    <row r="664">
      <c r="A664" s="30">
        <f>A662</f>
        <v/>
      </c>
      <c r="B664" s="31" t="inlineStr">
        <is>
          <t>Черновая</t>
        </is>
      </c>
      <c r="C664" s="31" t="inlineStr">
        <is>
          <t>8.2.3</t>
        </is>
      </c>
      <c r="D664" s="32" t="inlineStr">
        <is>
          <t>Лифт. холлы, тамбур-шлюзы надзем.</t>
        </is>
      </c>
      <c r="E664" s="33" t="n"/>
      <c r="F664" s="33" t="n"/>
      <c r="G664" s="33" t="n"/>
      <c r="H664" s="33" t="n"/>
      <c r="I664" s="34">
        <f>COUNTA(E664:G664)&amp;"/3"</f>
        <v/>
      </c>
    </row>
    <row r="665">
      <c r="A665" s="30">
        <f>A662</f>
        <v/>
      </c>
      <c r="B665" s="31" t="inlineStr">
        <is>
          <t>Черновая</t>
        </is>
      </c>
      <c r="C665" s="31" t="inlineStr">
        <is>
          <t>8.2.4</t>
        </is>
      </c>
      <c r="D665" s="32" t="inlineStr">
        <is>
          <t>Технич. помещения надзем.</t>
        </is>
      </c>
      <c r="E665" s="33" t="n"/>
      <c r="F665" s="33" t="n"/>
      <c r="G665" s="33" t="n"/>
      <c r="H665" s="33" t="n"/>
      <c r="I665" s="34">
        <f>COUNTA(E665:G665)&amp;"/3"</f>
        <v/>
      </c>
    </row>
    <row r="666">
      <c r="A666" s="30">
        <f>A662</f>
        <v/>
      </c>
      <c r="B666" s="31" t="inlineStr">
        <is>
          <t>Черновая</t>
        </is>
      </c>
      <c r="C666" s="31" t="inlineStr">
        <is>
          <t>8.2.5</t>
        </is>
      </c>
      <c r="D666" s="32" t="inlineStr">
        <is>
          <t>Прочие помещения надзем.</t>
        </is>
      </c>
      <c r="E666" s="33" t="n"/>
      <c r="F666" s="33" t="n"/>
      <c r="G666" s="33" t="n"/>
      <c r="H666" s="33" t="n"/>
      <c r="I666" s="34">
        <f>COUNTA(E666:G666)&amp;"/3"</f>
        <v/>
      </c>
    </row>
    <row r="667">
      <c r="A667" s="30">
        <f>A662</f>
        <v/>
      </c>
      <c r="B667" s="31" t="inlineStr">
        <is>
          <t>Черновая</t>
        </is>
      </c>
      <c r="C667" s="31" t="inlineStr">
        <is>
          <t>8.2.6</t>
        </is>
      </c>
      <c r="D667" s="32" t="inlineStr">
        <is>
          <t>Коммерч. помещения надзем.</t>
        </is>
      </c>
      <c r="E667" s="33" t="n"/>
      <c r="F667" s="33" t="n"/>
      <c r="G667" s="33" t="n"/>
      <c r="H667" s="33" t="n"/>
      <c r="I667" s="34">
        <f>COUNTA(E667:G667)&amp;"/3"</f>
        <v/>
      </c>
    </row>
    <row r="668">
      <c r="A668" s="30">
        <f>A662</f>
        <v/>
      </c>
      <c r="B668" s="31" t="inlineStr">
        <is>
          <t>Черновая</t>
        </is>
      </c>
      <c r="C668" s="31" t="inlineStr">
        <is>
          <t>8.2.7</t>
        </is>
      </c>
      <c r="D668" s="32" t="inlineStr">
        <is>
          <t>Паркинг и рампы надзем.</t>
        </is>
      </c>
      <c r="E668" s="33" t="n"/>
      <c r="F668" s="33" t="n"/>
      <c r="G668" s="33" t="n"/>
      <c r="H668" s="33" t="n"/>
      <c r="I668" s="34">
        <f>COUNTA(E668:G668)&amp;"/3"</f>
        <v/>
      </c>
    </row>
    <row r="669">
      <c r="A669" s="30">
        <f>A662</f>
        <v/>
      </c>
      <c r="B669" s="31" t="inlineStr">
        <is>
          <t>Чистовая</t>
        </is>
      </c>
      <c r="C669" s="31" t="inlineStr">
        <is>
          <t>8.2.1</t>
        </is>
      </c>
      <c r="D669" s="32" t="inlineStr">
        <is>
          <t>Отделка лобби/гранд-лобби</t>
        </is>
      </c>
      <c r="E669" s="33" t="n"/>
      <c r="F669" s="33" t="n"/>
      <c r="G669" s="33" t="n"/>
      <c r="H669" s="33" t="n"/>
      <c r="I669" s="34">
        <f>COUNTA(E669:H669)&amp;"/4"</f>
        <v/>
      </c>
    </row>
    <row r="670" ht="30" customHeight="1" s="74">
      <c r="A670" s="30">
        <f>A662</f>
        <v/>
      </c>
      <c r="B670" s="31" t="inlineStr">
        <is>
          <t>Чистовая</t>
        </is>
      </c>
      <c r="C670" s="31" t="inlineStr">
        <is>
          <t>8.2.2</t>
        </is>
      </c>
      <c r="D670" s="32" t="inlineStr">
        <is>
          <t>Отделка эвакуац. лестн. клетки надзем.</t>
        </is>
      </c>
      <c r="E670" s="33" t="n"/>
      <c r="F670" s="33" t="n"/>
      <c r="G670" s="33" t="n"/>
      <c r="H670" s="33" t="n"/>
      <c r="I670" s="34">
        <f>COUNTA(E670:G670)&amp;"/3"</f>
        <v/>
      </c>
    </row>
    <row r="671">
      <c r="A671" s="30">
        <f>A662</f>
        <v/>
      </c>
      <c r="B671" s="31" t="inlineStr">
        <is>
          <t>Чистовая</t>
        </is>
      </c>
      <c r="C671" s="31" t="inlineStr">
        <is>
          <t>8.2.3</t>
        </is>
      </c>
      <c r="D671" s="32" t="inlineStr">
        <is>
          <t>Лифт. холлы, тамбур-шлюзы надзем.</t>
        </is>
      </c>
      <c r="E671" s="33" t="n"/>
      <c r="F671" s="33" t="n"/>
      <c r="G671" s="33" t="n"/>
      <c r="H671" s="33" t="n"/>
      <c r="I671" s="34">
        <f>COUNTA(E671:G671)&amp;"/3"</f>
        <v/>
      </c>
    </row>
    <row r="672">
      <c r="A672" s="30">
        <f>A662</f>
        <v/>
      </c>
      <c r="B672" s="31" t="inlineStr">
        <is>
          <t>Чистовая</t>
        </is>
      </c>
      <c r="C672" s="31" t="inlineStr">
        <is>
          <t>8.2.4</t>
        </is>
      </c>
      <c r="D672" s="32" t="inlineStr">
        <is>
          <t>Технич. помещения надзем.</t>
        </is>
      </c>
      <c r="E672" s="33" t="n"/>
      <c r="F672" s="33" t="n"/>
      <c r="G672" s="33" t="n"/>
      <c r="H672" s="33" t="n"/>
      <c r="I672" s="34">
        <f>COUNTA(E672:G672)&amp;"/3"</f>
        <v/>
      </c>
    </row>
    <row r="673">
      <c r="A673" s="30">
        <f>A662</f>
        <v/>
      </c>
      <c r="B673" s="31" t="inlineStr">
        <is>
          <t>Чистовая</t>
        </is>
      </c>
      <c r="C673" s="31" t="inlineStr">
        <is>
          <t>8.2.5</t>
        </is>
      </c>
      <c r="D673" s="32" t="inlineStr">
        <is>
          <t>Прочие помещения надзем.</t>
        </is>
      </c>
      <c r="E673" s="33" t="n"/>
      <c r="F673" s="33" t="n"/>
      <c r="G673" s="33" t="n"/>
      <c r="H673" s="33" t="n"/>
      <c r="I673" s="34">
        <f>COUNTA(E673:G673)&amp;"/3"</f>
        <v/>
      </c>
    </row>
    <row r="674">
      <c r="A674" s="30">
        <f>A662</f>
        <v/>
      </c>
      <c r="B674" s="31" t="inlineStr">
        <is>
          <t>Чистовая</t>
        </is>
      </c>
      <c r="C674" s="31" t="inlineStr">
        <is>
          <t>8.2.6</t>
        </is>
      </c>
      <c r="D674" s="32" t="inlineStr">
        <is>
          <t>Коммерч. помещения надзем.</t>
        </is>
      </c>
      <c r="E674" s="33" t="n"/>
      <c r="F674" s="33" t="n"/>
      <c r="G674" s="33" t="n"/>
      <c r="H674" s="33" t="n"/>
      <c r="I674" s="34">
        <f>COUNTA(E674:G674)&amp;"/3"</f>
        <v/>
      </c>
    </row>
    <row r="675">
      <c r="A675" s="30">
        <f>A662</f>
        <v/>
      </c>
      <c r="B675" s="31" t="inlineStr">
        <is>
          <t>Чистовая</t>
        </is>
      </c>
      <c r="C675" s="31" t="inlineStr">
        <is>
          <t>8.2.7</t>
        </is>
      </c>
      <c r="D675" s="32" t="inlineStr">
        <is>
          <t>Паркинг и рампы надзем.</t>
        </is>
      </c>
      <c r="E675" s="33" t="n"/>
      <c r="F675" s="33" t="n"/>
      <c r="G675" s="33" t="n"/>
      <c r="H675" s="33" t="n"/>
      <c r="I675" s="34">
        <f>COUNTA(E675:G675)&amp;"/3"</f>
        <v/>
      </c>
    </row>
  </sheetData>
  <mergeCells count="2">
    <mergeCell ref="A1:I1"/>
    <mergeCell ref="A2:I2"/>
  </mergeCells>
  <conditionalFormatting sqref="A4:I675">
    <cfRule type="expression" priority="1" dxfId="0">
      <formula>AND($A4&lt;=TODAY(),$A4+6&gt;=TODAY())</formula>
    </cfRule>
  </conditionalFormatting>
  <dataValidations count="1">
    <dataValidation sqref="E4:H67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I675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К3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8.2.1</t>
        </is>
      </c>
      <c r="D4" s="32" t="inlineStr">
        <is>
          <t>Отделка лобби/гранд-лобби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8.2.2</t>
        </is>
      </c>
      <c r="D5" s="32" t="inlineStr">
        <is>
          <t>Отделка эвакуац. лестн. клетки надзем.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8.2.3</t>
        </is>
      </c>
      <c r="D6" s="32" t="inlineStr">
        <is>
          <t>Лифт. холлы, тамбур-шлюзы надзем.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8.2.4</t>
        </is>
      </c>
      <c r="D7" s="32" t="inlineStr">
        <is>
          <t>Технич. помещения надзем.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8.2.5</t>
        </is>
      </c>
      <c r="D8" s="32" t="inlineStr">
        <is>
          <t>Прочие помещения надзем.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8.2.6</t>
        </is>
      </c>
      <c r="D9" s="32" t="inlineStr">
        <is>
          <t>Коммерч. помещения надзем.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Черновая</t>
        </is>
      </c>
      <c r="C10" s="31" t="inlineStr">
        <is>
          <t>8.2.7</t>
        </is>
      </c>
      <c r="D10" s="32" t="inlineStr">
        <is>
          <t>Паркинг и рампы надзем.</t>
        </is>
      </c>
      <c r="E10" s="33" t="n"/>
      <c r="F10" s="33" t="n"/>
      <c r="G10" s="33" t="n"/>
      <c r="H10" s="33" t="n"/>
      <c r="I10" s="34">
        <f>COUNTA(E10:G10)&amp;"/3"</f>
        <v/>
      </c>
    </row>
    <row r="11">
      <c r="A11" s="30">
        <f>A4</f>
        <v/>
      </c>
      <c r="B11" s="31" t="inlineStr">
        <is>
          <t>Чистовая</t>
        </is>
      </c>
      <c r="C11" s="31" t="inlineStr">
        <is>
          <t>8.2.1</t>
        </is>
      </c>
      <c r="D11" s="32" t="inlineStr">
        <is>
          <t>Отделка лобби/гранд-лобби</t>
        </is>
      </c>
      <c r="E11" s="33" t="n"/>
      <c r="F11" s="33" t="n"/>
      <c r="G11" s="33" t="n"/>
      <c r="H11" s="33" t="n"/>
      <c r="I11" s="34">
        <f>COUNTA(E11:H11)&amp;"/4"</f>
        <v/>
      </c>
    </row>
    <row r="12" ht="30" customHeight="1" s="74">
      <c r="A12" s="30">
        <f>A4</f>
        <v/>
      </c>
      <c r="B12" s="31" t="inlineStr">
        <is>
          <t>Чистовая</t>
        </is>
      </c>
      <c r="C12" s="31" t="inlineStr">
        <is>
          <t>8.2.2</t>
        </is>
      </c>
      <c r="D12" s="32" t="inlineStr">
        <is>
          <t>Отделка эвакуац. лестн. клетки надзем.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8.2.3</t>
        </is>
      </c>
      <c r="D13" s="32" t="inlineStr">
        <is>
          <t>Лифт. холлы, тамбур-шлюзы надзем.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8.2.4</t>
        </is>
      </c>
      <c r="D14" s="32" t="inlineStr">
        <is>
          <t>Технич. помещения надзем.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8.2.5</t>
        </is>
      </c>
      <c r="D15" s="32" t="inlineStr">
        <is>
          <t>Прочие помещения надзем.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</f>
        <v/>
      </c>
      <c r="B16" s="31" t="inlineStr">
        <is>
          <t>Чистовая</t>
        </is>
      </c>
      <c r="C16" s="31" t="inlineStr">
        <is>
          <t>8.2.6</t>
        </is>
      </c>
      <c r="D16" s="32" t="inlineStr">
        <is>
          <t>Коммерч. помещения надзем.</t>
        </is>
      </c>
      <c r="E16" s="33" t="n"/>
      <c r="F16" s="33" t="n"/>
      <c r="G16" s="33" t="n"/>
      <c r="H16" s="33" t="n"/>
      <c r="I16" s="34">
        <f>COUNTA(E16:G16)&amp;"/3"</f>
        <v/>
      </c>
    </row>
    <row r="17">
      <c r="A17" s="30">
        <f>A4</f>
        <v/>
      </c>
      <c r="B17" s="31" t="inlineStr">
        <is>
          <t>Чистовая</t>
        </is>
      </c>
      <c r="C17" s="31" t="inlineStr">
        <is>
          <t>8.2.7</t>
        </is>
      </c>
      <c r="D17" s="32" t="inlineStr">
        <is>
          <t>Паркинг и рампы надзем.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A4+7</f>
        <v/>
      </c>
      <c r="B18" s="31" t="inlineStr">
        <is>
          <t>Черновая</t>
        </is>
      </c>
      <c r="C18" s="31" t="inlineStr">
        <is>
          <t>8.2.1</t>
        </is>
      </c>
      <c r="D18" s="32" t="inlineStr">
        <is>
          <t>Отделка лобби/гранд-лобби</t>
        </is>
      </c>
      <c r="E18" s="33" t="n"/>
      <c r="F18" s="33" t="n"/>
      <c r="G18" s="33" t="n"/>
      <c r="H18" s="33" t="n"/>
      <c r="I18" s="34">
        <f>COUNTA(E18:G18)&amp;"/3"</f>
        <v/>
      </c>
    </row>
    <row r="19" ht="30" customHeight="1" s="74">
      <c r="A19" s="30">
        <f>A18</f>
        <v/>
      </c>
      <c r="B19" s="31" t="inlineStr">
        <is>
          <t>Черновая</t>
        </is>
      </c>
      <c r="C19" s="31" t="inlineStr">
        <is>
          <t>8.2.2</t>
        </is>
      </c>
      <c r="D19" s="32" t="inlineStr">
        <is>
          <t>Отделка эвакуац. лестн. клетки надзем.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A18</f>
        <v/>
      </c>
      <c r="B20" s="31" t="inlineStr">
        <is>
          <t>Черновая</t>
        </is>
      </c>
      <c r="C20" s="31" t="inlineStr">
        <is>
          <t>8.2.3</t>
        </is>
      </c>
      <c r="D20" s="32" t="inlineStr">
        <is>
          <t>Лифт. холлы, тамбур-шлюзы надзем.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A18</f>
        <v/>
      </c>
      <c r="B21" s="31" t="inlineStr">
        <is>
          <t>Черновая</t>
        </is>
      </c>
      <c r="C21" s="31" t="inlineStr">
        <is>
          <t>8.2.4</t>
        </is>
      </c>
      <c r="D21" s="32" t="inlineStr">
        <is>
          <t>Технич. помещения надзем.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A18</f>
        <v/>
      </c>
      <c r="B22" s="31" t="inlineStr">
        <is>
          <t>Черновая</t>
        </is>
      </c>
      <c r="C22" s="31" t="inlineStr">
        <is>
          <t>8.2.5</t>
        </is>
      </c>
      <c r="D22" s="32" t="inlineStr">
        <is>
          <t>Прочие помещения надзем.</t>
        </is>
      </c>
      <c r="E22" s="33" t="n"/>
      <c r="F22" s="33" t="n"/>
      <c r="G22" s="33" t="n"/>
      <c r="H22" s="33" t="n"/>
      <c r="I22" s="34">
        <f>COUNTA(E22:G22)&amp;"/3"</f>
        <v/>
      </c>
    </row>
    <row r="23">
      <c r="A23" s="30">
        <f>A18</f>
        <v/>
      </c>
      <c r="B23" s="31" t="inlineStr">
        <is>
          <t>Черновая</t>
        </is>
      </c>
      <c r="C23" s="31" t="inlineStr">
        <is>
          <t>8.2.6</t>
        </is>
      </c>
      <c r="D23" s="32" t="inlineStr">
        <is>
          <t>Коммерч. помещения надзем.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A18</f>
        <v/>
      </c>
      <c r="B24" s="31" t="inlineStr">
        <is>
          <t>Черновая</t>
        </is>
      </c>
      <c r="C24" s="31" t="inlineStr">
        <is>
          <t>8.2.7</t>
        </is>
      </c>
      <c r="D24" s="32" t="inlineStr">
        <is>
          <t>Паркинг и рампы надзем.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A18</f>
        <v/>
      </c>
      <c r="B25" s="31" t="inlineStr">
        <is>
          <t>Чистовая</t>
        </is>
      </c>
      <c r="C25" s="31" t="inlineStr">
        <is>
          <t>8.2.1</t>
        </is>
      </c>
      <c r="D25" s="32" t="inlineStr">
        <is>
          <t>Отделка лобби/гранд-лобби</t>
        </is>
      </c>
      <c r="E25" s="33" t="n"/>
      <c r="F25" s="33" t="n"/>
      <c r="G25" s="33" t="n"/>
      <c r="H25" s="33" t="n"/>
      <c r="I25" s="34">
        <f>COUNTA(E25:H25)&amp;"/4"</f>
        <v/>
      </c>
    </row>
    <row r="26" ht="30" customHeight="1" s="74">
      <c r="A26" s="30">
        <f>A18</f>
        <v/>
      </c>
      <c r="B26" s="31" t="inlineStr">
        <is>
          <t>Чистовая</t>
        </is>
      </c>
      <c r="C26" s="31" t="inlineStr">
        <is>
          <t>8.2.2</t>
        </is>
      </c>
      <c r="D26" s="32" t="inlineStr">
        <is>
          <t>Отделка эвакуац. лестн. клетки надзем.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A18</f>
        <v/>
      </c>
      <c r="B27" s="31" t="inlineStr">
        <is>
          <t>Чистовая</t>
        </is>
      </c>
      <c r="C27" s="31" t="inlineStr">
        <is>
          <t>8.2.3</t>
        </is>
      </c>
      <c r="D27" s="32" t="inlineStr">
        <is>
          <t>Лифт. холлы, тамбур-шлюзы надзем.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A18</f>
        <v/>
      </c>
      <c r="B28" s="31" t="inlineStr">
        <is>
          <t>Чистовая</t>
        </is>
      </c>
      <c r="C28" s="31" t="inlineStr">
        <is>
          <t>8.2.4</t>
        </is>
      </c>
      <c r="D28" s="32" t="inlineStr">
        <is>
          <t>Технич. помещения надзем.</t>
        </is>
      </c>
      <c r="E28" s="33" t="n"/>
      <c r="F28" s="33" t="n"/>
      <c r="G28" s="33" t="n"/>
      <c r="H28" s="33" t="n"/>
      <c r="I28" s="34">
        <f>COUNTA(E28:G28)&amp;"/3"</f>
        <v/>
      </c>
    </row>
    <row r="29">
      <c r="A29" s="30">
        <f>A18</f>
        <v/>
      </c>
      <c r="B29" s="31" t="inlineStr">
        <is>
          <t>Чистовая</t>
        </is>
      </c>
      <c r="C29" s="31" t="inlineStr">
        <is>
          <t>8.2.5</t>
        </is>
      </c>
      <c r="D29" s="32" t="inlineStr">
        <is>
          <t>Прочие помещения надзем.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A18</f>
        <v/>
      </c>
      <c r="B30" s="31" t="inlineStr">
        <is>
          <t>Чистовая</t>
        </is>
      </c>
      <c r="C30" s="31" t="inlineStr">
        <is>
          <t>8.2.6</t>
        </is>
      </c>
      <c r="D30" s="32" t="inlineStr">
        <is>
          <t>Коммерч. помещения надзем.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A18</f>
        <v/>
      </c>
      <c r="B31" s="31" t="inlineStr">
        <is>
          <t>Чистовая</t>
        </is>
      </c>
      <c r="C31" s="31" t="inlineStr">
        <is>
          <t>8.2.7</t>
        </is>
      </c>
      <c r="D31" s="32" t="inlineStr">
        <is>
          <t>Паркинг и рампы надзем.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A18+7</f>
        <v/>
      </c>
      <c r="B32" s="31" t="inlineStr">
        <is>
          <t>Черновая</t>
        </is>
      </c>
      <c r="C32" s="31" t="inlineStr">
        <is>
          <t>8.2.1</t>
        </is>
      </c>
      <c r="D32" s="32" t="inlineStr">
        <is>
          <t>Отделка лобби/гранд-лобби</t>
        </is>
      </c>
      <c r="E32" s="33" t="n"/>
      <c r="F32" s="33" t="n"/>
      <c r="G32" s="33" t="n"/>
      <c r="H32" s="33" t="n"/>
      <c r="I32" s="34">
        <f>COUNTA(E32:G32)&amp;"/3"</f>
        <v/>
      </c>
    </row>
    <row r="33" ht="30" customHeight="1" s="74">
      <c r="A33" s="30">
        <f>A32</f>
        <v/>
      </c>
      <c r="B33" s="31" t="inlineStr">
        <is>
          <t>Черновая</t>
        </is>
      </c>
      <c r="C33" s="31" t="inlineStr">
        <is>
          <t>8.2.2</t>
        </is>
      </c>
      <c r="D33" s="32" t="inlineStr">
        <is>
          <t>Отделка эвакуац. лестн. клетки надзем.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A32</f>
        <v/>
      </c>
      <c r="B34" s="31" t="inlineStr">
        <is>
          <t>Черновая</t>
        </is>
      </c>
      <c r="C34" s="31" t="inlineStr">
        <is>
          <t>8.2.3</t>
        </is>
      </c>
      <c r="D34" s="32" t="inlineStr">
        <is>
          <t>Лифт. холлы, тамбур-шлюзы надзем.</t>
        </is>
      </c>
      <c r="E34" s="33" t="n"/>
      <c r="F34" s="33" t="n"/>
      <c r="G34" s="33" t="n"/>
      <c r="H34" s="33" t="n"/>
      <c r="I34" s="34">
        <f>COUNTA(E34:G34)&amp;"/3"</f>
        <v/>
      </c>
    </row>
    <row r="35">
      <c r="A35" s="30">
        <f>A32</f>
        <v/>
      </c>
      <c r="B35" s="31" t="inlineStr">
        <is>
          <t>Черновая</t>
        </is>
      </c>
      <c r="C35" s="31" t="inlineStr">
        <is>
          <t>8.2.4</t>
        </is>
      </c>
      <c r="D35" s="32" t="inlineStr">
        <is>
          <t>Технич. помещения надзем.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A32</f>
        <v/>
      </c>
      <c r="B36" s="31" t="inlineStr">
        <is>
          <t>Черновая</t>
        </is>
      </c>
      <c r="C36" s="31" t="inlineStr">
        <is>
          <t>8.2.5</t>
        </is>
      </c>
      <c r="D36" s="32" t="inlineStr">
        <is>
          <t>Прочие помещения надзем.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A32</f>
        <v/>
      </c>
      <c r="B37" s="31" t="inlineStr">
        <is>
          <t>Черновая</t>
        </is>
      </c>
      <c r="C37" s="31" t="inlineStr">
        <is>
          <t>8.2.6</t>
        </is>
      </c>
      <c r="D37" s="32" t="inlineStr">
        <is>
          <t>Коммерч. помещения надзем.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A32</f>
        <v/>
      </c>
      <c r="B38" s="31" t="inlineStr">
        <is>
          <t>Черновая</t>
        </is>
      </c>
      <c r="C38" s="31" t="inlineStr">
        <is>
          <t>8.2.7</t>
        </is>
      </c>
      <c r="D38" s="32" t="inlineStr">
        <is>
          <t>Паркинг и рампы надзем.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A32</f>
        <v/>
      </c>
      <c r="B39" s="31" t="inlineStr">
        <is>
          <t>Чистовая</t>
        </is>
      </c>
      <c r="C39" s="31" t="inlineStr">
        <is>
          <t>8.2.1</t>
        </is>
      </c>
      <c r="D39" s="32" t="inlineStr">
        <is>
          <t>Отделка лобби/гранд-лобби</t>
        </is>
      </c>
      <c r="E39" s="33" t="n"/>
      <c r="F39" s="33" t="n"/>
      <c r="G39" s="33" t="n"/>
      <c r="H39" s="33" t="n"/>
      <c r="I39" s="34">
        <f>COUNTA(E39:H39)&amp;"/4"</f>
        <v/>
      </c>
    </row>
    <row r="40" ht="30" customHeight="1" s="74">
      <c r="A40" s="30">
        <f>A32</f>
        <v/>
      </c>
      <c r="B40" s="31" t="inlineStr">
        <is>
          <t>Чистовая</t>
        </is>
      </c>
      <c r="C40" s="31" t="inlineStr">
        <is>
          <t>8.2.2</t>
        </is>
      </c>
      <c r="D40" s="32" t="inlineStr">
        <is>
          <t>Отделка эвакуац. лестн. клетки надзем.</t>
        </is>
      </c>
      <c r="E40" s="33" t="n"/>
      <c r="F40" s="33" t="n"/>
      <c r="G40" s="33" t="n"/>
      <c r="H40" s="33" t="n"/>
      <c r="I40" s="34">
        <f>COUNTA(E40:G40)&amp;"/3"</f>
        <v/>
      </c>
    </row>
    <row r="41">
      <c r="A41" s="30">
        <f>A32</f>
        <v/>
      </c>
      <c r="B41" s="31" t="inlineStr">
        <is>
          <t>Чистовая</t>
        </is>
      </c>
      <c r="C41" s="31" t="inlineStr">
        <is>
          <t>8.2.3</t>
        </is>
      </c>
      <c r="D41" s="32" t="inlineStr">
        <is>
          <t>Лифт. холлы, тамбур-шлюзы надзем.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A32</f>
        <v/>
      </c>
      <c r="B42" s="31" t="inlineStr">
        <is>
          <t>Чистовая</t>
        </is>
      </c>
      <c r="C42" s="31" t="inlineStr">
        <is>
          <t>8.2.4</t>
        </is>
      </c>
      <c r="D42" s="32" t="inlineStr">
        <is>
          <t>Технич. помещения надзем.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A32</f>
        <v/>
      </c>
      <c r="B43" s="31" t="inlineStr">
        <is>
          <t>Чистовая</t>
        </is>
      </c>
      <c r="C43" s="31" t="inlineStr">
        <is>
          <t>8.2.5</t>
        </is>
      </c>
      <c r="D43" s="32" t="inlineStr">
        <is>
          <t>Прочие помещения надзем.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A32</f>
        <v/>
      </c>
      <c r="B44" s="31" t="inlineStr">
        <is>
          <t>Чистовая</t>
        </is>
      </c>
      <c r="C44" s="31" t="inlineStr">
        <is>
          <t>8.2.6</t>
        </is>
      </c>
      <c r="D44" s="32" t="inlineStr">
        <is>
          <t>Коммерч. помещения надзем.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A32</f>
        <v/>
      </c>
      <c r="B45" s="31" t="inlineStr">
        <is>
          <t>Чистовая</t>
        </is>
      </c>
      <c r="C45" s="31" t="inlineStr">
        <is>
          <t>8.2.7</t>
        </is>
      </c>
      <c r="D45" s="32" t="inlineStr">
        <is>
          <t>Паркинг и рампы надзем.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A32+7</f>
        <v/>
      </c>
      <c r="B46" s="31" t="inlineStr">
        <is>
          <t>Черновая</t>
        </is>
      </c>
      <c r="C46" s="31" t="inlineStr">
        <is>
          <t>8.2.1</t>
        </is>
      </c>
      <c r="D46" s="32" t="inlineStr">
        <is>
          <t>Отделка лобби/гранд-лобби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A46</f>
        <v/>
      </c>
      <c r="B47" s="31" t="inlineStr">
        <is>
          <t>Черновая</t>
        </is>
      </c>
      <c r="C47" s="31" t="inlineStr">
        <is>
          <t>8.2.2</t>
        </is>
      </c>
      <c r="D47" s="32" t="inlineStr">
        <is>
          <t>Отделка эвакуац. лестн. клетки надзем.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A46</f>
        <v/>
      </c>
      <c r="B48" s="31" t="inlineStr">
        <is>
          <t>Черновая</t>
        </is>
      </c>
      <c r="C48" s="31" t="inlineStr">
        <is>
          <t>8.2.3</t>
        </is>
      </c>
      <c r="D48" s="32" t="inlineStr">
        <is>
          <t>Лифт. холлы, тамбур-шлюзы надзем.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A46</f>
        <v/>
      </c>
      <c r="B49" s="31" t="inlineStr">
        <is>
          <t>Черновая</t>
        </is>
      </c>
      <c r="C49" s="31" t="inlineStr">
        <is>
          <t>8.2.4</t>
        </is>
      </c>
      <c r="D49" s="32" t="inlineStr">
        <is>
          <t>Технич. помещения надзем.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A46</f>
        <v/>
      </c>
      <c r="B50" s="31" t="inlineStr">
        <is>
          <t>Черновая</t>
        </is>
      </c>
      <c r="C50" s="31" t="inlineStr">
        <is>
          <t>8.2.5</t>
        </is>
      </c>
      <c r="D50" s="32" t="inlineStr">
        <is>
          <t>Прочие помещения надзем.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A46</f>
        <v/>
      </c>
      <c r="B51" s="31" t="inlineStr">
        <is>
          <t>Черновая</t>
        </is>
      </c>
      <c r="C51" s="31" t="inlineStr">
        <is>
          <t>8.2.6</t>
        </is>
      </c>
      <c r="D51" s="32" t="inlineStr">
        <is>
          <t>Коммерч. помещения надзем.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A46</f>
        <v/>
      </c>
      <c r="B52" s="31" t="inlineStr">
        <is>
          <t>Черновая</t>
        </is>
      </c>
      <c r="C52" s="31" t="inlineStr">
        <is>
          <t>8.2.7</t>
        </is>
      </c>
      <c r="D52" s="32" t="inlineStr">
        <is>
          <t>Паркинг и рампы надзем.</t>
        </is>
      </c>
      <c r="E52" s="33" t="n"/>
      <c r="F52" s="33" t="n"/>
      <c r="G52" s="33" t="n"/>
      <c r="H52" s="33" t="n"/>
      <c r="I52" s="34">
        <f>COUNTA(E52:G52)&amp;"/3"</f>
        <v/>
      </c>
    </row>
    <row r="53">
      <c r="A53" s="30">
        <f>A46</f>
        <v/>
      </c>
      <c r="B53" s="31" t="inlineStr">
        <is>
          <t>Чистовая</t>
        </is>
      </c>
      <c r="C53" s="31" t="inlineStr">
        <is>
          <t>8.2.1</t>
        </is>
      </c>
      <c r="D53" s="32" t="inlineStr">
        <is>
          <t>Отделка лобби/гранд-лобби</t>
        </is>
      </c>
      <c r="E53" s="33" t="n"/>
      <c r="F53" s="33" t="n"/>
      <c r="G53" s="33" t="n"/>
      <c r="H53" s="33" t="n"/>
      <c r="I53" s="34">
        <f>COUNTA(E53:H53)&amp;"/4"</f>
        <v/>
      </c>
    </row>
    <row r="54" ht="30" customHeight="1" s="74">
      <c r="A54" s="30">
        <f>A46</f>
        <v/>
      </c>
      <c r="B54" s="31" t="inlineStr">
        <is>
          <t>Чистовая</t>
        </is>
      </c>
      <c r="C54" s="31" t="inlineStr">
        <is>
          <t>8.2.2</t>
        </is>
      </c>
      <c r="D54" s="32" t="inlineStr">
        <is>
          <t>Отделка эвакуац. лестн. клетки надзем.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A46</f>
        <v/>
      </c>
      <c r="B55" s="31" t="inlineStr">
        <is>
          <t>Чистовая</t>
        </is>
      </c>
      <c r="C55" s="31" t="inlineStr">
        <is>
          <t>8.2.3</t>
        </is>
      </c>
      <c r="D55" s="32" t="inlineStr">
        <is>
          <t>Лифт. холлы, тамбур-шлюзы надзем.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A46</f>
        <v/>
      </c>
      <c r="B56" s="31" t="inlineStr">
        <is>
          <t>Чистовая</t>
        </is>
      </c>
      <c r="C56" s="31" t="inlineStr">
        <is>
          <t>8.2.4</t>
        </is>
      </c>
      <c r="D56" s="32" t="inlineStr">
        <is>
          <t>Технич. помещения надзем.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A46</f>
        <v/>
      </c>
      <c r="B57" s="31" t="inlineStr">
        <is>
          <t>Чистовая</t>
        </is>
      </c>
      <c r="C57" s="31" t="inlineStr">
        <is>
          <t>8.2.5</t>
        </is>
      </c>
      <c r="D57" s="32" t="inlineStr">
        <is>
          <t>Прочие помещения надзем.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A46</f>
        <v/>
      </c>
      <c r="B58" s="31" t="inlineStr">
        <is>
          <t>Чистовая</t>
        </is>
      </c>
      <c r="C58" s="31" t="inlineStr">
        <is>
          <t>8.2.6</t>
        </is>
      </c>
      <c r="D58" s="32" t="inlineStr">
        <is>
          <t>Коммерч. помещения надзем.</t>
        </is>
      </c>
      <c r="E58" s="33" t="n"/>
      <c r="F58" s="33" t="n"/>
      <c r="G58" s="33" t="n"/>
      <c r="H58" s="33" t="n"/>
      <c r="I58" s="34">
        <f>COUNTA(E58:G58)&amp;"/3"</f>
        <v/>
      </c>
    </row>
    <row r="59">
      <c r="A59" s="30">
        <f>A46</f>
        <v/>
      </c>
      <c r="B59" s="31" t="inlineStr">
        <is>
          <t>Чистовая</t>
        </is>
      </c>
      <c r="C59" s="31" t="inlineStr">
        <is>
          <t>8.2.7</t>
        </is>
      </c>
      <c r="D59" s="32" t="inlineStr">
        <is>
          <t>Паркинг и рампы надзем.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A46+7</f>
        <v/>
      </c>
      <c r="B60" s="31" t="inlineStr">
        <is>
          <t>Черновая</t>
        </is>
      </c>
      <c r="C60" s="31" t="inlineStr">
        <is>
          <t>8.2.1</t>
        </is>
      </c>
      <c r="D60" s="32" t="inlineStr">
        <is>
          <t>Отделка лобби/гранд-лобби</t>
        </is>
      </c>
      <c r="E60" s="33" t="n"/>
      <c r="F60" s="33" t="n"/>
      <c r="G60" s="33" t="n"/>
      <c r="H60" s="33" t="n"/>
      <c r="I60" s="34">
        <f>COUNTA(E60:G60)&amp;"/3"</f>
        <v/>
      </c>
    </row>
    <row r="61" ht="30" customHeight="1" s="74">
      <c r="A61" s="30">
        <f>A60</f>
        <v/>
      </c>
      <c r="B61" s="31" t="inlineStr">
        <is>
          <t>Черновая</t>
        </is>
      </c>
      <c r="C61" s="31" t="inlineStr">
        <is>
          <t>8.2.2</t>
        </is>
      </c>
      <c r="D61" s="32" t="inlineStr">
        <is>
          <t>Отделка эвакуац. лестн. клетки надзем.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A60</f>
        <v/>
      </c>
      <c r="B62" s="31" t="inlineStr">
        <is>
          <t>Черновая</t>
        </is>
      </c>
      <c r="C62" s="31" t="inlineStr">
        <is>
          <t>8.2.3</t>
        </is>
      </c>
      <c r="D62" s="32" t="inlineStr">
        <is>
          <t>Лифт. холлы, тамбур-шлюзы надзем.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A60</f>
        <v/>
      </c>
      <c r="B63" s="31" t="inlineStr">
        <is>
          <t>Черновая</t>
        </is>
      </c>
      <c r="C63" s="31" t="inlineStr">
        <is>
          <t>8.2.4</t>
        </is>
      </c>
      <c r="D63" s="32" t="inlineStr">
        <is>
          <t>Технич. помещения надзем.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A60</f>
        <v/>
      </c>
      <c r="B64" s="31" t="inlineStr">
        <is>
          <t>Черновая</t>
        </is>
      </c>
      <c r="C64" s="31" t="inlineStr">
        <is>
          <t>8.2.5</t>
        </is>
      </c>
      <c r="D64" s="32" t="inlineStr">
        <is>
          <t>Прочие помещения надзем.</t>
        </is>
      </c>
      <c r="E64" s="33" t="n"/>
      <c r="F64" s="33" t="n"/>
      <c r="G64" s="33" t="n"/>
      <c r="H64" s="33" t="n"/>
      <c r="I64" s="34">
        <f>COUNTA(E64:G64)&amp;"/3"</f>
        <v/>
      </c>
    </row>
    <row r="65">
      <c r="A65" s="30">
        <f>A60</f>
        <v/>
      </c>
      <c r="B65" s="31" t="inlineStr">
        <is>
          <t>Черновая</t>
        </is>
      </c>
      <c r="C65" s="31" t="inlineStr">
        <is>
          <t>8.2.6</t>
        </is>
      </c>
      <c r="D65" s="32" t="inlineStr">
        <is>
          <t>Коммерч. помещения надзем.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A60</f>
        <v/>
      </c>
      <c r="B66" s="31" t="inlineStr">
        <is>
          <t>Черновая</t>
        </is>
      </c>
      <c r="C66" s="31" t="inlineStr">
        <is>
          <t>8.2.7</t>
        </is>
      </c>
      <c r="D66" s="32" t="inlineStr">
        <is>
          <t>Паркинг и рампы надзем.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A60</f>
        <v/>
      </c>
      <c r="B67" s="31" t="inlineStr">
        <is>
          <t>Чистовая</t>
        </is>
      </c>
      <c r="C67" s="31" t="inlineStr">
        <is>
          <t>8.2.1</t>
        </is>
      </c>
      <c r="D67" s="32" t="inlineStr">
        <is>
          <t>Отделка лобби/гранд-лобби</t>
        </is>
      </c>
      <c r="E67" s="33" t="n"/>
      <c r="F67" s="33" t="n"/>
      <c r="G67" s="33" t="n"/>
      <c r="H67" s="33" t="n"/>
      <c r="I67" s="34">
        <f>COUNTA(E67:H67)&amp;"/4"</f>
        <v/>
      </c>
    </row>
    <row r="68" ht="30" customHeight="1" s="74">
      <c r="A68" s="30">
        <f>A60</f>
        <v/>
      </c>
      <c r="B68" s="31" t="inlineStr">
        <is>
          <t>Чистовая</t>
        </is>
      </c>
      <c r="C68" s="31" t="inlineStr">
        <is>
          <t>8.2.2</t>
        </is>
      </c>
      <c r="D68" s="32" t="inlineStr">
        <is>
          <t>Отделка эвакуац. лестн. клетки надзем.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A60</f>
        <v/>
      </c>
      <c r="B69" s="31" t="inlineStr">
        <is>
          <t>Чистовая</t>
        </is>
      </c>
      <c r="C69" s="31" t="inlineStr">
        <is>
          <t>8.2.3</t>
        </is>
      </c>
      <c r="D69" s="32" t="inlineStr">
        <is>
          <t>Лифт. холлы, тамбур-шлюзы надзем.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A60</f>
        <v/>
      </c>
      <c r="B70" s="31" t="inlineStr">
        <is>
          <t>Чистовая</t>
        </is>
      </c>
      <c r="C70" s="31" t="inlineStr">
        <is>
          <t>8.2.4</t>
        </is>
      </c>
      <c r="D70" s="32" t="inlineStr">
        <is>
          <t>Технич. помещения надзем.</t>
        </is>
      </c>
      <c r="E70" s="33" t="n"/>
      <c r="F70" s="33" t="n"/>
      <c r="G70" s="33" t="n"/>
      <c r="H70" s="33" t="n"/>
      <c r="I70" s="34">
        <f>COUNTA(E70:G70)&amp;"/3"</f>
        <v/>
      </c>
    </row>
    <row r="71">
      <c r="A71" s="30">
        <f>A60</f>
        <v/>
      </c>
      <c r="B71" s="31" t="inlineStr">
        <is>
          <t>Чистовая</t>
        </is>
      </c>
      <c r="C71" s="31" t="inlineStr">
        <is>
          <t>8.2.5</t>
        </is>
      </c>
      <c r="D71" s="32" t="inlineStr">
        <is>
          <t>Прочие помещения надзем.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A60</f>
        <v/>
      </c>
      <c r="B72" s="31" t="inlineStr">
        <is>
          <t>Чистовая</t>
        </is>
      </c>
      <c r="C72" s="31" t="inlineStr">
        <is>
          <t>8.2.6</t>
        </is>
      </c>
      <c r="D72" s="32" t="inlineStr">
        <is>
          <t>Коммерч. помещения надзем.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A60</f>
        <v/>
      </c>
      <c r="B73" s="31" t="inlineStr">
        <is>
          <t>Чистовая</t>
        </is>
      </c>
      <c r="C73" s="31" t="inlineStr">
        <is>
          <t>8.2.7</t>
        </is>
      </c>
      <c r="D73" s="32" t="inlineStr">
        <is>
          <t>Паркинг и рампы надзем.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A60+7</f>
        <v/>
      </c>
      <c r="B74" s="31" t="inlineStr">
        <is>
          <t>Черновая</t>
        </is>
      </c>
      <c r="C74" s="31" t="inlineStr">
        <is>
          <t>8.2.1</t>
        </is>
      </c>
      <c r="D74" s="32" t="inlineStr">
        <is>
          <t>Отделка лобби/гранд-лобби</t>
        </is>
      </c>
      <c r="E74" s="33" t="n"/>
      <c r="F74" s="33" t="n"/>
      <c r="G74" s="33" t="n"/>
      <c r="H74" s="33" t="n"/>
      <c r="I74" s="34">
        <f>COUNTA(E74:G74)&amp;"/3"</f>
        <v/>
      </c>
    </row>
    <row r="75" ht="30" customHeight="1" s="74">
      <c r="A75" s="30">
        <f>A74</f>
        <v/>
      </c>
      <c r="B75" s="31" t="inlineStr">
        <is>
          <t>Черновая</t>
        </is>
      </c>
      <c r="C75" s="31" t="inlineStr">
        <is>
          <t>8.2.2</t>
        </is>
      </c>
      <c r="D75" s="32" t="inlineStr">
        <is>
          <t>Отделка эвакуац. лестн. клетки надзем.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A74</f>
        <v/>
      </c>
      <c r="B76" s="31" t="inlineStr">
        <is>
          <t>Черновая</t>
        </is>
      </c>
      <c r="C76" s="31" t="inlineStr">
        <is>
          <t>8.2.3</t>
        </is>
      </c>
      <c r="D76" s="32" t="inlineStr">
        <is>
          <t>Лифт. холлы, тамбур-шлюзы надзем.</t>
        </is>
      </c>
      <c r="E76" s="33" t="n"/>
      <c r="F76" s="33" t="n"/>
      <c r="G76" s="33" t="n"/>
      <c r="H76" s="33" t="n"/>
      <c r="I76" s="34">
        <f>COUNTA(E76:G76)&amp;"/3"</f>
        <v/>
      </c>
    </row>
    <row r="77">
      <c r="A77" s="30">
        <f>A74</f>
        <v/>
      </c>
      <c r="B77" s="31" t="inlineStr">
        <is>
          <t>Черновая</t>
        </is>
      </c>
      <c r="C77" s="31" t="inlineStr">
        <is>
          <t>8.2.4</t>
        </is>
      </c>
      <c r="D77" s="32" t="inlineStr">
        <is>
          <t>Технич. помещения надзем.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A74</f>
        <v/>
      </c>
      <c r="B78" s="31" t="inlineStr">
        <is>
          <t>Черновая</t>
        </is>
      </c>
      <c r="C78" s="31" t="inlineStr">
        <is>
          <t>8.2.5</t>
        </is>
      </c>
      <c r="D78" s="32" t="inlineStr">
        <is>
          <t>Прочие помещения надзем.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A74</f>
        <v/>
      </c>
      <c r="B79" s="31" t="inlineStr">
        <is>
          <t>Черновая</t>
        </is>
      </c>
      <c r="C79" s="31" t="inlineStr">
        <is>
          <t>8.2.6</t>
        </is>
      </c>
      <c r="D79" s="32" t="inlineStr">
        <is>
          <t>Коммерч. помещения надзем.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A74</f>
        <v/>
      </c>
      <c r="B80" s="31" t="inlineStr">
        <is>
          <t>Черновая</t>
        </is>
      </c>
      <c r="C80" s="31" t="inlineStr">
        <is>
          <t>8.2.7</t>
        </is>
      </c>
      <c r="D80" s="32" t="inlineStr">
        <is>
          <t>Паркинг и рампы надзем.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A74</f>
        <v/>
      </c>
      <c r="B81" s="31" t="inlineStr">
        <is>
          <t>Чистовая</t>
        </is>
      </c>
      <c r="C81" s="31" t="inlineStr">
        <is>
          <t>8.2.1</t>
        </is>
      </c>
      <c r="D81" s="32" t="inlineStr">
        <is>
          <t>Отделка лобби/гранд-лобби</t>
        </is>
      </c>
      <c r="E81" s="33" t="n"/>
      <c r="F81" s="33" t="n"/>
      <c r="G81" s="33" t="n"/>
      <c r="H81" s="33" t="n"/>
      <c r="I81" s="34">
        <f>COUNTA(E81:H81)&amp;"/4"</f>
        <v/>
      </c>
    </row>
    <row r="82" ht="30" customHeight="1" s="74">
      <c r="A82" s="30">
        <f>A74</f>
        <v/>
      </c>
      <c r="B82" s="31" t="inlineStr">
        <is>
          <t>Чистовая</t>
        </is>
      </c>
      <c r="C82" s="31" t="inlineStr">
        <is>
          <t>8.2.2</t>
        </is>
      </c>
      <c r="D82" s="32" t="inlineStr">
        <is>
          <t>Отделка эвакуац. лестн. клетки надзем.</t>
        </is>
      </c>
      <c r="E82" s="33" t="n"/>
      <c r="F82" s="33" t="n"/>
      <c r="G82" s="33" t="n"/>
      <c r="H82" s="33" t="n"/>
      <c r="I82" s="34">
        <f>COUNTA(E82:G82)&amp;"/3"</f>
        <v/>
      </c>
    </row>
    <row r="83">
      <c r="A83" s="30">
        <f>A74</f>
        <v/>
      </c>
      <c r="B83" s="31" t="inlineStr">
        <is>
          <t>Чистовая</t>
        </is>
      </c>
      <c r="C83" s="31" t="inlineStr">
        <is>
          <t>8.2.3</t>
        </is>
      </c>
      <c r="D83" s="32" t="inlineStr">
        <is>
          <t>Лифт. холлы, тамбур-шлюзы надзем.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A74</f>
        <v/>
      </c>
      <c r="B84" s="31" t="inlineStr">
        <is>
          <t>Чистовая</t>
        </is>
      </c>
      <c r="C84" s="31" t="inlineStr">
        <is>
          <t>8.2.4</t>
        </is>
      </c>
      <c r="D84" s="32" t="inlineStr">
        <is>
          <t>Технич. помещения надзем.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A74</f>
        <v/>
      </c>
      <c r="B85" s="31" t="inlineStr">
        <is>
          <t>Чистовая</t>
        </is>
      </c>
      <c r="C85" s="31" t="inlineStr">
        <is>
          <t>8.2.5</t>
        </is>
      </c>
      <c r="D85" s="32" t="inlineStr">
        <is>
          <t>Прочие помещения надзем.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A74</f>
        <v/>
      </c>
      <c r="B86" s="31" t="inlineStr">
        <is>
          <t>Чистовая</t>
        </is>
      </c>
      <c r="C86" s="31" t="inlineStr">
        <is>
          <t>8.2.6</t>
        </is>
      </c>
      <c r="D86" s="32" t="inlineStr">
        <is>
          <t>Коммерч. помещения надзем.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A74</f>
        <v/>
      </c>
      <c r="B87" s="31" t="inlineStr">
        <is>
          <t>Чистовая</t>
        </is>
      </c>
      <c r="C87" s="31" t="inlineStr">
        <is>
          <t>8.2.7</t>
        </is>
      </c>
      <c r="D87" s="32" t="inlineStr">
        <is>
          <t>Паркинг и рампы надзем.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A74+7</f>
        <v/>
      </c>
      <c r="B88" s="31" t="inlineStr">
        <is>
          <t>Черновая</t>
        </is>
      </c>
      <c r="C88" s="31" t="inlineStr">
        <is>
          <t>8.2.1</t>
        </is>
      </c>
      <c r="D88" s="32" t="inlineStr">
        <is>
          <t>Отделка лобби/гранд-лобби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8.2.2</t>
        </is>
      </c>
      <c r="D89" s="32" t="inlineStr">
        <is>
          <t>Отделка эвакуац. лестн. клетки надзем.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8.2.3</t>
        </is>
      </c>
      <c r="D90" s="32" t="inlineStr">
        <is>
          <t>Лифт. холлы, тамбур-шлюзы надзем.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8.2.4</t>
        </is>
      </c>
      <c r="D91" s="32" t="inlineStr">
        <is>
          <t>Технич. помещения надзем.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8.2.5</t>
        </is>
      </c>
      <c r="D92" s="32" t="inlineStr">
        <is>
          <t>Прочие помещения надзем.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8.2.6</t>
        </is>
      </c>
      <c r="D93" s="32" t="inlineStr">
        <is>
          <t>Коммерч. помещения надзем.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Черновая</t>
        </is>
      </c>
      <c r="C94" s="31" t="inlineStr">
        <is>
          <t>8.2.7</t>
        </is>
      </c>
      <c r="D94" s="32" t="inlineStr">
        <is>
          <t>Паркинг и рампы надзем.</t>
        </is>
      </c>
      <c r="E94" s="33" t="n"/>
      <c r="F94" s="33" t="n"/>
      <c r="G94" s="33" t="n"/>
      <c r="H94" s="33" t="n"/>
      <c r="I94" s="34">
        <f>COUNTA(E94:G94)&amp;"/3"</f>
        <v/>
      </c>
    </row>
    <row r="95">
      <c r="A95" s="30">
        <f>A88</f>
        <v/>
      </c>
      <c r="B95" s="31" t="inlineStr">
        <is>
          <t>Чистовая</t>
        </is>
      </c>
      <c r="C95" s="31" t="inlineStr">
        <is>
          <t>8.2.1</t>
        </is>
      </c>
      <c r="D95" s="32" t="inlineStr">
        <is>
          <t>Отделка лобби/гранд-лобби</t>
        </is>
      </c>
      <c r="E95" s="33" t="n"/>
      <c r="F95" s="33" t="n"/>
      <c r="G95" s="33" t="n"/>
      <c r="H95" s="33" t="n"/>
      <c r="I95" s="34">
        <f>COUNTA(E95:H95)&amp;"/4"</f>
        <v/>
      </c>
    </row>
    <row r="96" ht="30" customHeight="1" s="74">
      <c r="A96" s="30">
        <f>A88</f>
        <v/>
      </c>
      <c r="B96" s="31" t="inlineStr">
        <is>
          <t>Чистовая</t>
        </is>
      </c>
      <c r="C96" s="31" t="inlineStr">
        <is>
          <t>8.2.2</t>
        </is>
      </c>
      <c r="D96" s="32" t="inlineStr">
        <is>
          <t>Отделка эвакуац. лестн. клетки надзем.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8.2.3</t>
        </is>
      </c>
      <c r="D97" s="32" t="inlineStr">
        <is>
          <t>Лифт. холлы, тамбур-шлюзы надзем.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8.2.4</t>
        </is>
      </c>
      <c r="D98" s="32" t="inlineStr">
        <is>
          <t>Технич. помещения надзем.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8.2.5</t>
        </is>
      </c>
      <c r="D99" s="32" t="inlineStr">
        <is>
          <t>Прочие помещения надзем.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</f>
        <v/>
      </c>
      <c r="B100" s="31" t="inlineStr">
        <is>
          <t>Чистовая</t>
        </is>
      </c>
      <c r="C100" s="31" t="inlineStr">
        <is>
          <t>8.2.6</t>
        </is>
      </c>
      <c r="D100" s="32" t="inlineStr">
        <is>
          <t>Коммерч. помещения надзем.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>
      <c r="A101" s="30">
        <f>A88</f>
        <v/>
      </c>
      <c r="B101" s="31" t="inlineStr">
        <is>
          <t>Чистовая</t>
        </is>
      </c>
      <c r="C101" s="31" t="inlineStr">
        <is>
          <t>8.2.7</t>
        </is>
      </c>
      <c r="D101" s="32" t="inlineStr">
        <is>
          <t>Паркинг и рампы надзем.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A88+7</f>
        <v/>
      </c>
      <c r="B102" s="31" t="inlineStr">
        <is>
          <t>Черновая</t>
        </is>
      </c>
      <c r="C102" s="31" t="inlineStr">
        <is>
          <t>8.2.1</t>
        </is>
      </c>
      <c r="D102" s="32" t="inlineStr">
        <is>
          <t>Отделка лобби/гранд-лобби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 ht="30" customHeight="1" s="74">
      <c r="A103" s="30">
        <f>A102</f>
        <v/>
      </c>
      <c r="B103" s="31" t="inlineStr">
        <is>
          <t>Черновая</t>
        </is>
      </c>
      <c r="C103" s="31" t="inlineStr">
        <is>
          <t>8.2.2</t>
        </is>
      </c>
      <c r="D103" s="32" t="inlineStr">
        <is>
          <t>Отделка эвакуац. лестн. клетки надзем.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A102</f>
        <v/>
      </c>
      <c r="B104" s="31" t="inlineStr">
        <is>
          <t>Черновая</t>
        </is>
      </c>
      <c r="C104" s="31" t="inlineStr">
        <is>
          <t>8.2.3</t>
        </is>
      </c>
      <c r="D104" s="32" t="inlineStr">
        <is>
          <t>Лифт. холлы, тамбур-шлюзы надзем.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A102</f>
        <v/>
      </c>
      <c r="B105" s="31" t="inlineStr">
        <is>
          <t>Черновая</t>
        </is>
      </c>
      <c r="C105" s="31" t="inlineStr">
        <is>
          <t>8.2.4</t>
        </is>
      </c>
      <c r="D105" s="32" t="inlineStr">
        <is>
          <t>Технич. помещения надзем.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A102</f>
        <v/>
      </c>
      <c r="B106" s="31" t="inlineStr">
        <is>
          <t>Черновая</t>
        </is>
      </c>
      <c r="C106" s="31" t="inlineStr">
        <is>
          <t>8.2.5</t>
        </is>
      </c>
      <c r="D106" s="32" t="inlineStr">
        <is>
          <t>Прочие помещения надзем.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>
      <c r="A107" s="30">
        <f>A102</f>
        <v/>
      </c>
      <c r="B107" s="31" t="inlineStr">
        <is>
          <t>Черновая</t>
        </is>
      </c>
      <c r="C107" s="31" t="inlineStr">
        <is>
          <t>8.2.6</t>
        </is>
      </c>
      <c r="D107" s="32" t="inlineStr">
        <is>
          <t>Коммерч. помещения надзем.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A102</f>
        <v/>
      </c>
      <c r="B108" s="31" t="inlineStr">
        <is>
          <t>Черновая</t>
        </is>
      </c>
      <c r="C108" s="31" t="inlineStr">
        <is>
          <t>8.2.7</t>
        </is>
      </c>
      <c r="D108" s="32" t="inlineStr">
        <is>
          <t>Паркинг и рампы надзем.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A102</f>
        <v/>
      </c>
      <c r="B109" s="31" t="inlineStr">
        <is>
          <t>Чистовая</t>
        </is>
      </c>
      <c r="C109" s="31" t="inlineStr">
        <is>
          <t>8.2.1</t>
        </is>
      </c>
      <c r="D109" s="32" t="inlineStr">
        <is>
          <t>Отделка лобби/гранд-лобби</t>
        </is>
      </c>
      <c r="E109" s="33" t="n"/>
      <c r="F109" s="33" t="n"/>
      <c r="G109" s="33" t="n"/>
      <c r="H109" s="33" t="n"/>
      <c r="I109" s="34">
        <f>COUNTA(E109:H109)&amp;"/4"</f>
        <v/>
      </c>
    </row>
    <row r="110" ht="30" customHeight="1" s="74">
      <c r="A110" s="30">
        <f>A102</f>
        <v/>
      </c>
      <c r="B110" s="31" t="inlineStr">
        <is>
          <t>Чистовая</t>
        </is>
      </c>
      <c r="C110" s="31" t="inlineStr">
        <is>
          <t>8.2.2</t>
        </is>
      </c>
      <c r="D110" s="32" t="inlineStr">
        <is>
          <t>Отделка эвакуац. лестн. клетки надзем.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A102</f>
        <v/>
      </c>
      <c r="B111" s="31" t="inlineStr">
        <is>
          <t>Чистовая</t>
        </is>
      </c>
      <c r="C111" s="31" t="inlineStr">
        <is>
          <t>8.2.3</t>
        </is>
      </c>
      <c r="D111" s="32" t="inlineStr">
        <is>
          <t>Лифт. холлы, тамбур-шлюзы надзем.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A102</f>
        <v/>
      </c>
      <c r="B112" s="31" t="inlineStr">
        <is>
          <t>Чистовая</t>
        </is>
      </c>
      <c r="C112" s="31" t="inlineStr">
        <is>
          <t>8.2.4</t>
        </is>
      </c>
      <c r="D112" s="32" t="inlineStr">
        <is>
          <t>Технич. помещения надзем.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>
      <c r="A113" s="30">
        <f>A102</f>
        <v/>
      </c>
      <c r="B113" s="31" t="inlineStr">
        <is>
          <t>Чистовая</t>
        </is>
      </c>
      <c r="C113" s="31" t="inlineStr">
        <is>
          <t>8.2.5</t>
        </is>
      </c>
      <c r="D113" s="32" t="inlineStr">
        <is>
          <t>Прочие помещения надзем.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A102</f>
        <v/>
      </c>
      <c r="B114" s="31" t="inlineStr">
        <is>
          <t>Чистовая</t>
        </is>
      </c>
      <c r="C114" s="31" t="inlineStr">
        <is>
          <t>8.2.6</t>
        </is>
      </c>
      <c r="D114" s="32" t="inlineStr">
        <is>
          <t>Коммерч. помещения надзем.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A102</f>
        <v/>
      </c>
      <c r="B115" s="31" t="inlineStr">
        <is>
          <t>Чистовая</t>
        </is>
      </c>
      <c r="C115" s="31" t="inlineStr">
        <is>
          <t>8.2.7</t>
        </is>
      </c>
      <c r="D115" s="32" t="inlineStr">
        <is>
          <t>Паркинг и рампы надзем.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A102+7</f>
        <v/>
      </c>
      <c r="B116" s="31" t="inlineStr">
        <is>
          <t>Черновая</t>
        </is>
      </c>
      <c r="C116" s="31" t="inlineStr">
        <is>
          <t>8.2.1</t>
        </is>
      </c>
      <c r="D116" s="32" t="inlineStr">
        <is>
          <t>Отделка лобби/гранд-лобби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 ht="30" customHeight="1" s="74">
      <c r="A117" s="30">
        <f>A116</f>
        <v/>
      </c>
      <c r="B117" s="31" t="inlineStr">
        <is>
          <t>Черновая</t>
        </is>
      </c>
      <c r="C117" s="31" t="inlineStr">
        <is>
          <t>8.2.2</t>
        </is>
      </c>
      <c r="D117" s="32" t="inlineStr">
        <is>
          <t>Отделка эвакуац. лестн. клетки надзем.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A116</f>
        <v/>
      </c>
      <c r="B118" s="31" t="inlineStr">
        <is>
          <t>Черновая</t>
        </is>
      </c>
      <c r="C118" s="31" t="inlineStr">
        <is>
          <t>8.2.3</t>
        </is>
      </c>
      <c r="D118" s="32" t="inlineStr">
        <is>
          <t>Лифт. холлы, тамбур-шлюзы надзем.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>
      <c r="A119" s="30">
        <f>A116</f>
        <v/>
      </c>
      <c r="B119" s="31" t="inlineStr">
        <is>
          <t>Черновая</t>
        </is>
      </c>
      <c r="C119" s="31" t="inlineStr">
        <is>
          <t>8.2.4</t>
        </is>
      </c>
      <c r="D119" s="32" t="inlineStr">
        <is>
          <t>Технич. помещения надзем.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A116</f>
        <v/>
      </c>
      <c r="B120" s="31" t="inlineStr">
        <is>
          <t>Черновая</t>
        </is>
      </c>
      <c r="C120" s="31" t="inlineStr">
        <is>
          <t>8.2.5</t>
        </is>
      </c>
      <c r="D120" s="32" t="inlineStr">
        <is>
          <t>Прочие помещения надзем.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A116</f>
        <v/>
      </c>
      <c r="B121" s="31" t="inlineStr">
        <is>
          <t>Черновая</t>
        </is>
      </c>
      <c r="C121" s="31" t="inlineStr">
        <is>
          <t>8.2.6</t>
        </is>
      </c>
      <c r="D121" s="32" t="inlineStr">
        <is>
          <t>Коммерч. помещения надзем.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A116</f>
        <v/>
      </c>
      <c r="B122" s="31" t="inlineStr">
        <is>
          <t>Черновая</t>
        </is>
      </c>
      <c r="C122" s="31" t="inlineStr">
        <is>
          <t>8.2.7</t>
        </is>
      </c>
      <c r="D122" s="32" t="inlineStr">
        <is>
          <t>Паркинг и рампы надзем.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A116</f>
        <v/>
      </c>
      <c r="B123" s="31" t="inlineStr">
        <is>
          <t>Чистовая</t>
        </is>
      </c>
      <c r="C123" s="31" t="inlineStr">
        <is>
          <t>8.2.1</t>
        </is>
      </c>
      <c r="D123" s="32" t="inlineStr">
        <is>
          <t>Отделка лобби/гранд-лобби</t>
        </is>
      </c>
      <c r="E123" s="33" t="n"/>
      <c r="F123" s="33" t="n"/>
      <c r="G123" s="33" t="n"/>
      <c r="H123" s="33" t="n"/>
      <c r="I123" s="34">
        <f>COUNTA(E123:H123)&amp;"/4"</f>
        <v/>
      </c>
    </row>
    <row r="124" ht="30" customHeight="1" s="74">
      <c r="A124" s="30">
        <f>A116</f>
        <v/>
      </c>
      <c r="B124" s="31" t="inlineStr">
        <is>
          <t>Чистовая</t>
        </is>
      </c>
      <c r="C124" s="31" t="inlineStr">
        <is>
          <t>8.2.2</t>
        </is>
      </c>
      <c r="D124" s="32" t="inlineStr">
        <is>
          <t>Отделка эвакуац. лестн. клетки надзем.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>
      <c r="A125" s="30">
        <f>A116</f>
        <v/>
      </c>
      <c r="B125" s="31" t="inlineStr">
        <is>
          <t>Чистовая</t>
        </is>
      </c>
      <c r="C125" s="31" t="inlineStr">
        <is>
          <t>8.2.3</t>
        </is>
      </c>
      <c r="D125" s="32" t="inlineStr">
        <is>
          <t>Лифт. холлы, тамбур-шлюзы надзем.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A116</f>
        <v/>
      </c>
      <c r="B126" s="31" t="inlineStr">
        <is>
          <t>Чистовая</t>
        </is>
      </c>
      <c r="C126" s="31" t="inlineStr">
        <is>
          <t>8.2.4</t>
        </is>
      </c>
      <c r="D126" s="32" t="inlineStr">
        <is>
          <t>Технич. помещения надзем.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A116</f>
        <v/>
      </c>
      <c r="B127" s="31" t="inlineStr">
        <is>
          <t>Чистовая</t>
        </is>
      </c>
      <c r="C127" s="31" t="inlineStr">
        <is>
          <t>8.2.5</t>
        </is>
      </c>
      <c r="D127" s="32" t="inlineStr">
        <is>
          <t>Прочие помещения надзем.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A116</f>
        <v/>
      </c>
      <c r="B128" s="31" t="inlineStr">
        <is>
          <t>Чистовая</t>
        </is>
      </c>
      <c r="C128" s="31" t="inlineStr">
        <is>
          <t>8.2.6</t>
        </is>
      </c>
      <c r="D128" s="32" t="inlineStr">
        <is>
          <t>Коммерч. помещения надзем.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A116</f>
        <v/>
      </c>
      <c r="B129" s="31" t="inlineStr">
        <is>
          <t>Чистовая</t>
        </is>
      </c>
      <c r="C129" s="31" t="inlineStr">
        <is>
          <t>8.2.7</t>
        </is>
      </c>
      <c r="D129" s="32" t="inlineStr">
        <is>
          <t>Паркинг и рампы надзем.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A116+7</f>
        <v/>
      </c>
      <c r="B130" s="31" t="inlineStr">
        <is>
          <t>Черновая</t>
        </is>
      </c>
      <c r="C130" s="31" t="inlineStr">
        <is>
          <t>8.2.1</t>
        </is>
      </c>
      <c r="D130" s="32" t="inlineStr">
        <is>
          <t>Отделка лобби/гранд-лобби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A130</f>
        <v/>
      </c>
      <c r="B131" s="31" t="inlineStr">
        <is>
          <t>Черновая</t>
        </is>
      </c>
      <c r="C131" s="31" t="inlineStr">
        <is>
          <t>8.2.2</t>
        </is>
      </c>
      <c r="D131" s="32" t="inlineStr">
        <is>
          <t>Отделка эвакуац. лестн. клетки надзем.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A130</f>
        <v/>
      </c>
      <c r="B132" s="31" t="inlineStr">
        <is>
          <t>Черновая</t>
        </is>
      </c>
      <c r="C132" s="31" t="inlineStr">
        <is>
          <t>8.2.3</t>
        </is>
      </c>
      <c r="D132" s="32" t="inlineStr">
        <is>
          <t>Лифт. холлы, тамбур-шлюзы надзем.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A130</f>
        <v/>
      </c>
      <c r="B133" s="31" t="inlineStr">
        <is>
          <t>Черновая</t>
        </is>
      </c>
      <c r="C133" s="31" t="inlineStr">
        <is>
          <t>8.2.4</t>
        </is>
      </c>
      <c r="D133" s="32" t="inlineStr">
        <is>
          <t>Технич. помещения надзем.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A130</f>
        <v/>
      </c>
      <c r="B134" s="31" t="inlineStr">
        <is>
          <t>Черновая</t>
        </is>
      </c>
      <c r="C134" s="31" t="inlineStr">
        <is>
          <t>8.2.5</t>
        </is>
      </c>
      <c r="D134" s="32" t="inlineStr">
        <is>
          <t>Прочие помещения надзем.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A130</f>
        <v/>
      </c>
      <c r="B135" s="31" t="inlineStr">
        <is>
          <t>Черновая</t>
        </is>
      </c>
      <c r="C135" s="31" t="inlineStr">
        <is>
          <t>8.2.6</t>
        </is>
      </c>
      <c r="D135" s="32" t="inlineStr">
        <is>
          <t>Коммерч. помещения надзем.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A130</f>
        <v/>
      </c>
      <c r="B136" s="31" t="inlineStr">
        <is>
          <t>Черновая</t>
        </is>
      </c>
      <c r="C136" s="31" t="inlineStr">
        <is>
          <t>8.2.7</t>
        </is>
      </c>
      <c r="D136" s="32" t="inlineStr">
        <is>
          <t>Паркинг и рампы надзем.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>
      <c r="A137" s="30">
        <f>A130</f>
        <v/>
      </c>
      <c r="B137" s="31" t="inlineStr">
        <is>
          <t>Чистовая</t>
        </is>
      </c>
      <c r="C137" s="31" t="inlineStr">
        <is>
          <t>8.2.1</t>
        </is>
      </c>
      <c r="D137" s="32" t="inlineStr">
        <is>
          <t>Отделка лобби/гранд-лобби</t>
        </is>
      </c>
      <c r="E137" s="33" t="n"/>
      <c r="F137" s="33" t="n"/>
      <c r="G137" s="33" t="n"/>
      <c r="H137" s="33" t="n"/>
      <c r="I137" s="34">
        <f>COUNTA(E137:H137)&amp;"/4"</f>
        <v/>
      </c>
    </row>
    <row r="138" ht="30" customHeight="1" s="74">
      <c r="A138" s="30">
        <f>A130</f>
        <v/>
      </c>
      <c r="B138" s="31" t="inlineStr">
        <is>
          <t>Чистовая</t>
        </is>
      </c>
      <c r="C138" s="31" t="inlineStr">
        <is>
          <t>8.2.2</t>
        </is>
      </c>
      <c r="D138" s="32" t="inlineStr">
        <is>
          <t>Отделка эвакуац. лестн. клетки надзем.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A130</f>
        <v/>
      </c>
      <c r="B139" s="31" t="inlineStr">
        <is>
          <t>Чистовая</t>
        </is>
      </c>
      <c r="C139" s="31" t="inlineStr">
        <is>
          <t>8.2.3</t>
        </is>
      </c>
      <c r="D139" s="32" t="inlineStr">
        <is>
          <t>Лифт. холлы, тамбур-шлюзы надзем.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A130</f>
        <v/>
      </c>
      <c r="B140" s="31" t="inlineStr">
        <is>
          <t>Чистовая</t>
        </is>
      </c>
      <c r="C140" s="31" t="inlineStr">
        <is>
          <t>8.2.4</t>
        </is>
      </c>
      <c r="D140" s="32" t="inlineStr">
        <is>
          <t>Технич. помещения надзем.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A130</f>
        <v/>
      </c>
      <c r="B141" s="31" t="inlineStr">
        <is>
          <t>Чистовая</t>
        </is>
      </c>
      <c r="C141" s="31" t="inlineStr">
        <is>
          <t>8.2.5</t>
        </is>
      </c>
      <c r="D141" s="32" t="inlineStr">
        <is>
          <t>Прочие помещения надзем.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A130</f>
        <v/>
      </c>
      <c r="B142" s="31" t="inlineStr">
        <is>
          <t>Чистовая</t>
        </is>
      </c>
      <c r="C142" s="31" t="inlineStr">
        <is>
          <t>8.2.6</t>
        </is>
      </c>
      <c r="D142" s="32" t="inlineStr">
        <is>
          <t>Коммерч. помещения надзем.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>
      <c r="A143" s="30">
        <f>A130</f>
        <v/>
      </c>
      <c r="B143" s="31" t="inlineStr">
        <is>
          <t>Чистовая</t>
        </is>
      </c>
      <c r="C143" s="31" t="inlineStr">
        <is>
          <t>8.2.7</t>
        </is>
      </c>
      <c r="D143" s="32" t="inlineStr">
        <is>
          <t>Паркинг и рампы надзем.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A130+7</f>
        <v/>
      </c>
      <c r="B144" s="31" t="inlineStr">
        <is>
          <t>Черновая</t>
        </is>
      </c>
      <c r="C144" s="31" t="inlineStr">
        <is>
          <t>8.2.1</t>
        </is>
      </c>
      <c r="D144" s="32" t="inlineStr">
        <is>
          <t>Отделка лобби/гранд-лобби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 ht="30" customHeight="1" s="74">
      <c r="A145" s="30">
        <f>A144</f>
        <v/>
      </c>
      <c r="B145" s="31" t="inlineStr">
        <is>
          <t>Черновая</t>
        </is>
      </c>
      <c r="C145" s="31" t="inlineStr">
        <is>
          <t>8.2.2</t>
        </is>
      </c>
      <c r="D145" s="32" t="inlineStr">
        <is>
          <t>Отделка эвакуац. лестн. клетки надзем.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A144</f>
        <v/>
      </c>
      <c r="B146" s="31" t="inlineStr">
        <is>
          <t>Черновая</t>
        </is>
      </c>
      <c r="C146" s="31" t="inlineStr">
        <is>
          <t>8.2.3</t>
        </is>
      </c>
      <c r="D146" s="32" t="inlineStr">
        <is>
          <t>Лифт. холлы, тамбур-шлюзы надзем.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A144</f>
        <v/>
      </c>
      <c r="B147" s="31" t="inlineStr">
        <is>
          <t>Черновая</t>
        </is>
      </c>
      <c r="C147" s="31" t="inlineStr">
        <is>
          <t>8.2.4</t>
        </is>
      </c>
      <c r="D147" s="32" t="inlineStr">
        <is>
          <t>Технич. помещения надзем.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A144</f>
        <v/>
      </c>
      <c r="B148" s="31" t="inlineStr">
        <is>
          <t>Черновая</t>
        </is>
      </c>
      <c r="C148" s="31" t="inlineStr">
        <is>
          <t>8.2.5</t>
        </is>
      </c>
      <c r="D148" s="32" t="inlineStr">
        <is>
          <t>Прочие помещения надзем.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>
      <c r="A149" s="30">
        <f>A144</f>
        <v/>
      </c>
      <c r="B149" s="31" t="inlineStr">
        <is>
          <t>Черновая</t>
        </is>
      </c>
      <c r="C149" s="31" t="inlineStr">
        <is>
          <t>8.2.6</t>
        </is>
      </c>
      <c r="D149" s="32" t="inlineStr">
        <is>
          <t>Коммерч. помещения надзем.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A144</f>
        <v/>
      </c>
      <c r="B150" s="31" t="inlineStr">
        <is>
          <t>Черновая</t>
        </is>
      </c>
      <c r="C150" s="31" t="inlineStr">
        <is>
          <t>8.2.7</t>
        </is>
      </c>
      <c r="D150" s="32" t="inlineStr">
        <is>
          <t>Паркинг и рампы надзем.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A144</f>
        <v/>
      </c>
      <c r="B151" s="31" t="inlineStr">
        <is>
          <t>Чистовая</t>
        </is>
      </c>
      <c r="C151" s="31" t="inlineStr">
        <is>
          <t>8.2.1</t>
        </is>
      </c>
      <c r="D151" s="32" t="inlineStr">
        <is>
          <t>Отделка лобби/гранд-лобби</t>
        </is>
      </c>
      <c r="E151" s="33" t="n"/>
      <c r="F151" s="33" t="n"/>
      <c r="G151" s="33" t="n"/>
      <c r="H151" s="33" t="n"/>
      <c r="I151" s="34">
        <f>COUNTA(E151:H151)&amp;"/4"</f>
        <v/>
      </c>
    </row>
    <row r="152" ht="30" customHeight="1" s="74">
      <c r="A152" s="30">
        <f>A144</f>
        <v/>
      </c>
      <c r="B152" s="31" t="inlineStr">
        <is>
          <t>Чистовая</t>
        </is>
      </c>
      <c r="C152" s="31" t="inlineStr">
        <is>
          <t>8.2.2</t>
        </is>
      </c>
      <c r="D152" s="32" t="inlineStr">
        <is>
          <t>Отделка эвакуац. лестн. клетки надзем.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A144</f>
        <v/>
      </c>
      <c r="B153" s="31" t="inlineStr">
        <is>
          <t>Чистовая</t>
        </is>
      </c>
      <c r="C153" s="31" t="inlineStr">
        <is>
          <t>8.2.3</t>
        </is>
      </c>
      <c r="D153" s="32" t="inlineStr">
        <is>
          <t>Лифт. холлы, тамбур-шлюзы надзем.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A144</f>
        <v/>
      </c>
      <c r="B154" s="31" t="inlineStr">
        <is>
          <t>Чистовая</t>
        </is>
      </c>
      <c r="C154" s="31" t="inlineStr">
        <is>
          <t>8.2.4</t>
        </is>
      </c>
      <c r="D154" s="32" t="inlineStr">
        <is>
          <t>Технич. помещения надзем.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>
      <c r="A155" s="30">
        <f>A144</f>
        <v/>
      </c>
      <c r="B155" s="31" t="inlineStr">
        <is>
          <t>Чистовая</t>
        </is>
      </c>
      <c r="C155" s="31" t="inlineStr">
        <is>
          <t>8.2.5</t>
        </is>
      </c>
      <c r="D155" s="32" t="inlineStr">
        <is>
          <t>Прочие помещения надзем.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A144</f>
        <v/>
      </c>
      <c r="B156" s="31" t="inlineStr">
        <is>
          <t>Чистовая</t>
        </is>
      </c>
      <c r="C156" s="31" t="inlineStr">
        <is>
          <t>8.2.6</t>
        </is>
      </c>
      <c r="D156" s="32" t="inlineStr">
        <is>
          <t>Коммерч. помещения надзем.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A144</f>
        <v/>
      </c>
      <c r="B157" s="31" t="inlineStr">
        <is>
          <t>Чистовая</t>
        </is>
      </c>
      <c r="C157" s="31" t="inlineStr">
        <is>
          <t>8.2.7</t>
        </is>
      </c>
      <c r="D157" s="32" t="inlineStr">
        <is>
          <t>Паркинг и рампы надзем.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A144+7</f>
        <v/>
      </c>
      <c r="B158" s="31" t="inlineStr">
        <is>
          <t>Черновая</t>
        </is>
      </c>
      <c r="C158" s="31" t="inlineStr">
        <is>
          <t>8.2.1</t>
        </is>
      </c>
      <c r="D158" s="32" t="inlineStr">
        <is>
          <t>Отделка лобби/гранд-лобби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 ht="30" customHeight="1" s="74">
      <c r="A159" s="30">
        <f>A158</f>
        <v/>
      </c>
      <c r="B159" s="31" t="inlineStr">
        <is>
          <t>Черновая</t>
        </is>
      </c>
      <c r="C159" s="31" t="inlineStr">
        <is>
          <t>8.2.2</t>
        </is>
      </c>
      <c r="D159" s="32" t="inlineStr">
        <is>
          <t>Отделка эвакуац. лестн. клетки надзем.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A158</f>
        <v/>
      </c>
      <c r="B160" s="31" t="inlineStr">
        <is>
          <t>Черновая</t>
        </is>
      </c>
      <c r="C160" s="31" t="inlineStr">
        <is>
          <t>8.2.3</t>
        </is>
      </c>
      <c r="D160" s="32" t="inlineStr">
        <is>
          <t>Лифт. холлы, тамбур-шлюзы надзем.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>
      <c r="A161" s="30">
        <f>A158</f>
        <v/>
      </c>
      <c r="B161" s="31" t="inlineStr">
        <is>
          <t>Черновая</t>
        </is>
      </c>
      <c r="C161" s="31" t="inlineStr">
        <is>
          <t>8.2.4</t>
        </is>
      </c>
      <c r="D161" s="32" t="inlineStr">
        <is>
          <t>Технич. помещения надзем.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A158</f>
        <v/>
      </c>
      <c r="B162" s="31" t="inlineStr">
        <is>
          <t>Черновая</t>
        </is>
      </c>
      <c r="C162" s="31" t="inlineStr">
        <is>
          <t>8.2.5</t>
        </is>
      </c>
      <c r="D162" s="32" t="inlineStr">
        <is>
          <t>Прочие помещения надзем.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A158</f>
        <v/>
      </c>
      <c r="B163" s="31" t="inlineStr">
        <is>
          <t>Черновая</t>
        </is>
      </c>
      <c r="C163" s="31" t="inlineStr">
        <is>
          <t>8.2.6</t>
        </is>
      </c>
      <c r="D163" s="32" t="inlineStr">
        <is>
          <t>Коммерч. помещения надзем.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A158</f>
        <v/>
      </c>
      <c r="B164" s="31" t="inlineStr">
        <is>
          <t>Черновая</t>
        </is>
      </c>
      <c r="C164" s="31" t="inlineStr">
        <is>
          <t>8.2.7</t>
        </is>
      </c>
      <c r="D164" s="32" t="inlineStr">
        <is>
          <t>Паркинг и рампы надзем.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A158</f>
        <v/>
      </c>
      <c r="B165" s="31" t="inlineStr">
        <is>
          <t>Чистовая</t>
        </is>
      </c>
      <c r="C165" s="31" t="inlineStr">
        <is>
          <t>8.2.1</t>
        </is>
      </c>
      <c r="D165" s="32" t="inlineStr">
        <is>
          <t>Отделка лобби/гранд-лобби</t>
        </is>
      </c>
      <c r="E165" s="33" t="n"/>
      <c r="F165" s="33" t="n"/>
      <c r="G165" s="33" t="n"/>
      <c r="H165" s="33" t="n"/>
      <c r="I165" s="34">
        <f>COUNTA(E165:H165)&amp;"/4"</f>
        <v/>
      </c>
    </row>
    <row r="166" ht="30" customHeight="1" s="74">
      <c r="A166" s="30">
        <f>A158</f>
        <v/>
      </c>
      <c r="B166" s="31" t="inlineStr">
        <is>
          <t>Чистовая</t>
        </is>
      </c>
      <c r="C166" s="31" t="inlineStr">
        <is>
          <t>8.2.2</t>
        </is>
      </c>
      <c r="D166" s="32" t="inlineStr">
        <is>
          <t>Отделка эвакуац. лестн. клетки надзем.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>
      <c r="A167" s="30">
        <f>A158</f>
        <v/>
      </c>
      <c r="B167" s="31" t="inlineStr">
        <is>
          <t>Чистовая</t>
        </is>
      </c>
      <c r="C167" s="31" t="inlineStr">
        <is>
          <t>8.2.3</t>
        </is>
      </c>
      <c r="D167" s="32" t="inlineStr">
        <is>
          <t>Лифт. холлы, тамбур-шлюзы надзем.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A158</f>
        <v/>
      </c>
      <c r="B168" s="31" t="inlineStr">
        <is>
          <t>Чистовая</t>
        </is>
      </c>
      <c r="C168" s="31" t="inlineStr">
        <is>
          <t>8.2.4</t>
        </is>
      </c>
      <c r="D168" s="32" t="inlineStr">
        <is>
          <t>Технич. помещения надзем.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A158</f>
        <v/>
      </c>
      <c r="B169" s="31" t="inlineStr">
        <is>
          <t>Чистовая</t>
        </is>
      </c>
      <c r="C169" s="31" t="inlineStr">
        <is>
          <t>8.2.5</t>
        </is>
      </c>
      <c r="D169" s="32" t="inlineStr">
        <is>
          <t>Прочие помещения надзем.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A158</f>
        <v/>
      </c>
      <c r="B170" s="31" t="inlineStr">
        <is>
          <t>Чистовая</t>
        </is>
      </c>
      <c r="C170" s="31" t="inlineStr">
        <is>
          <t>8.2.6</t>
        </is>
      </c>
      <c r="D170" s="32" t="inlineStr">
        <is>
          <t>Коммерч. помещения надзем.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A158</f>
        <v/>
      </c>
      <c r="B171" s="31" t="inlineStr">
        <is>
          <t>Чистовая</t>
        </is>
      </c>
      <c r="C171" s="31" t="inlineStr">
        <is>
          <t>8.2.7</t>
        </is>
      </c>
      <c r="D171" s="32" t="inlineStr">
        <is>
          <t>Паркинг и рампы надзем.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A158+7</f>
        <v/>
      </c>
      <c r="B172" s="31" t="inlineStr">
        <is>
          <t>Черновая</t>
        </is>
      </c>
      <c r="C172" s="31" t="inlineStr">
        <is>
          <t>8.2.1</t>
        </is>
      </c>
      <c r="D172" s="32" t="inlineStr">
        <is>
          <t>Отделка лобби/гранд-лобби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8.2.2</t>
        </is>
      </c>
      <c r="D173" s="32" t="inlineStr">
        <is>
          <t>Отделка эвакуац. лестн. клетки надзем.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8.2.3</t>
        </is>
      </c>
      <c r="D174" s="32" t="inlineStr">
        <is>
          <t>Лифт. холлы, тамбур-шлюзы надзем.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8.2.4</t>
        </is>
      </c>
      <c r="D175" s="32" t="inlineStr">
        <is>
          <t>Технич. помещения надзем.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8.2.5</t>
        </is>
      </c>
      <c r="D176" s="32" t="inlineStr">
        <is>
          <t>Прочие помещения надзем.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8.2.6</t>
        </is>
      </c>
      <c r="D177" s="32" t="inlineStr">
        <is>
          <t>Коммерч. помещения надзем.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Черновая</t>
        </is>
      </c>
      <c r="C178" s="31" t="inlineStr">
        <is>
          <t>8.2.7</t>
        </is>
      </c>
      <c r="D178" s="32" t="inlineStr">
        <is>
          <t>Паркинг и рампы надзем.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>
      <c r="A179" s="30">
        <f>A172</f>
        <v/>
      </c>
      <c r="B179" s="31" t="inlineStr">
        <is>
          <t>Чистовая</t>
        </is>
      </c>
      <c r="C179" s="31" t="inlineStr">
        <is>
          <t>8.2.1</t>
        </is>
      </c>
      <c r="D179" s="32" t="inlineStr">
        <is>
          <t>Отделка лобби/гранд-лобби</t>
        </is>
      </c>
      <c r="E179" s="33" t="n"/>
      <c r="F179" s="33" t="n"/>
      <c r="G179" s="33" t="n"/>
      <c r="H179" s="33" t="n"/>
      <c r="I179" s="34">
        <f>COUNTA(E179:H179)&amp;"/4"</f>
        <v/>
      </c>
    </row>
    <row r="180" ht="30" customHeight="1" s="74">
      <c r="A180" s="30">
        <f>A172</f>
        <v/>
      </c>
      <c r="B180" s="31" t="inlineStr">
        <is>
          <t>Чистовая</t>
        </is>
      </c>
      <c r="C180" s="31" t="inlineStr">
        <is>
          <t>8.2.2</t>
        </is>
      </c>
      <c r="D180" s="32" t="inlineStr">
        <is>
          <t>Отделка эвакуац. лестн. клетки надзем.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8.2.3</t>
        </is>
      </c>
      <c r="D181" s="32" t="inlineStr">
        <is>
          <t>Лифт. холлы, тамбур-шлюзы надзем.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8.2.4</t>
        </is>
      </c>
      <c r="D182" s="32" t="inlineStr">
        <is>
          <t>Технич. помещения надзем.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8.2.5</t>
        </is>
      </c>
      <c r="D183" s="32" t="inlineStr">
        <is>
          <t>Прочие помещения надзем.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</f>
        <v/>
      </c>
      <c r="B184" s="31" t="inlineStr">
        <is>
          <t>Чистовая</t>
        </is>
      </c>
      <c r="C184" s="31" t="inlineStr">
        <is>
          <t>8.2.6</t>
        </is>
      </c>
      <c r="D184" s="32" t="inlineStr">
        <is>
          <t>Коммерч. помещения надзем.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>
      <c r="A185" s="30">
        <f>A172</f>
        <v/>
      </c>
      <c r="B185" s="31" t="inlineStr">
        <is>
          <t>Чистовая</t>
        </is>
      </c>
      <c r="C185" s="31" t="inlineStr">
        <is>
          <t>8.2.7</t>
        </is>
      </c>
      <c r="D185" s="32" t="inlineStr">
        <is>
          <t>Паркинг и рампы надзем.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A172+7</f>
        <v/>
      </c>
      <c r="B186" s="31" t="inlineStr">
        <is>
          <t>Черновая</t>
        </is>
      </c>
      <c r="C186" s="31" t="inlineStr">
        <is>
          <t>8.2.1</t>
        </is>
      </c>
      <c r="D186" s="32" t="inlineStr">
        <is>
          <t>Отделка лобби/гранд-лобби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 ht="30" customHeight="1" s="74">
      <c r="A187" s="30">
        <f>A186</f>
        <v/>
      </c>
      <c r="B187" s="31" t="inlineStr">
        <is>
          <t>Черновая</t>
        </is>
      </c>
      <c r="C187" s="31" t="inlineStr">
        <is>
          <t>8.2.2</t>
        </is>
      </c>
      <c r="D187" s="32" t="inlineStr">
        <is>
          <t>Отделка эвакуац. лестн. клетки надзем.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A186</f>
        <v/>
      </c>
      <c r="B188" s="31" t="inlineStr">
        <is>
          <t>Черновая</t>
        </is>
      </c>
      <c r="C188" s="31" t="inlineStr">
        <is>
          <t>8.2.3</t>
        </is>
      </c>
      <c r="D188" s="32" t="inlineStr">
        <is>
          <t>Лифт. холлы, тамбур-шлюзы надзем.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A186</f>
        <v/>
      </c>
      <c r="B189" s="31" t="inlineStr">
        <is>
          <t>Черновая</t>
        </is>
      </c>
      <c r="C189" s="31" t="inlineStr">
        <is>
          <t>8.2.4</t>
        </is>
      </c>
      <c r="D189" s="32" t="inlineStr">
        <is>
          <t>Технич. помещения надзем.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A186</f>
        <v/>
      </c>
      <c r="B190" s="31" t="inlineStr">
        <is>
          <t>Черновая</t>
        </is>
      </c>
      <c r="C190" s="31" t="inlineStr">
        <is>
          <t>8.2.5</t>
        </is>
      </c>
      <c r="D190" s="32" t="inlineStr">
        <is>
          <t>Прочие помещения надзем.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>
      <c r="A191" s="30">
        <f>A186</f>
        <v/>
      </c>
      <c r="B191" s="31" t="inlineStr">
        <is>
          <t>Черновая</t>
        </is>
      </c>
      <c r="C191" s="31" t="inlineStr">
        <is>
          <t>8.2.6</t>
        </is>
      </c>
      <c r="D191" s="32" t="inlineStr">
        <is>
          <t>Коммерч. помещения надзем.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A186</f>
        <v/>
      </c>
      <c r="B192" s="31" t="inlineStr">
        <is>
          <t>Черновая</t>
        </is>
      </c>
      <c r="C192" s="31" t="inlineStr">
        <is>
          <t>8.2.7</t>
        </is>
      </c>
      <c r="D192" s="32" t="inlineStr">
        <is>
          <t>Паркинг и рампы надзем.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A186</f>
        <v/>
      </c>
      <c r="B193" s="31" t="inlineStr">
        <is>
          <t>Чистовая</t>
        </is>
      </c>
      <c r="C193" s="31" t="inlineStr">
        <is>
          <t>8.2.1</t>
        </is>
      </c>
      <c r="D193" s="32" t="inlineStr">
        <is>
          <t>Отделка лобби/гранд-лобби</t>
        </is>
      </c>
      <c r="E193" s="33" t="n"/>
      <c r="F193" s="33" t="n"/>
      <c r="G193" s="33" t="n"/>
      <c r="H193" s="33" t="n"/>
      <c r="I193" s="34">
        <f>COUNTA(E193:H193)&amp;"/4"</f>
        <v/>
      </c>
    </row>
    <row r="194" ht="30" customHeight="1" s="74">
      <c r="A194" s="30">
        <f>A186</f>
        <v/>
      </c>
      <c r="B194" s="31" t="inlineStr">
        <is>
          <t>Чистовая</t>
        </is>
      </c>
      <c r="C194" s="31" t="inlineStr">
        <is>
          <t>8.2.2</t>
        </is>
      </c>
      <c r="D194" s="32" t="inlineStr">
        <is>
          <t>Отделка эвакуац. лестн. клетки надзем.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A186</f>
        <v/>
      </c>
      <c r="B195" s="31" t="inlineStr">
        <is>
          <t>Чистовая</t>
        </is>
      </c>
      <c r="C195" s="31" t="inlineStr">
        <is>
          <t>8.2.3</t>
        </is>
      </c>
      <c r="D195" s="32" t="inlineStr">
        <is>
          <t>Лифт. холлы, тамбур-шлюзы надзем.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A186</f>
        <v/>
      </c>
      <c r="B196" s="31" t="inlineStr">
        <is>
          <t>Чистовая</t>
        </is>
      </c>
      <c r="C196" s="31" t="inlineStr">
        <is>
          <t>8.2.4</t>
        </is>
      </c>
      <c r="D196" s="32" t="inlineStr">
        <is>
          <t>Технич. помещения надзем.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>
      <c r="A197" s="30">
        <f>A186</f>
        <v/>
      </c>
      <c r="B197" s="31" t="inlineStr">
        <is>
          <t>Чистовая</t>
        </is>
      </c>
      <c r="C197" s="31" t="inlineStr">
        <is>
          <t>8.2.5</t>
        </is>
      </c>
      <c r="D197" s="32" t="inlineStr">
        <is>
          <t>Прочие помещения надзем.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A186</f>
        <v/>
      </c>
      <c r="B198" s="31" t="inlineStr">
        <is>
          <t>Чистовая</t>
        </is>
      </c>
      <c r="C198" s="31" t="inlineStr">
        <is>
          <t>8.2.6</t>
        </is>
      </c>
      <c r="D198" s="32" t="inlineStr">
        <is>
          <t>Коммерч. помещения надзем.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A186</f>
        <v/>
      </c>
      <c r="B199" s="31" t="inlineStr">
        <is>
          <t>Чистовая</t>
        </is>
      </c>
      <c r="C199" s="31" t="inlineStr">
        <is>
          <t>8.2.7</t>
        </is>
      </c>
      <c r="D199" s="32" t="inlineStr">
        <is>
          <t>Паркинг и рампы надзем.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A186+7</f>
        <v/>
      </c>
      <c r="B200" s="31" t="inlineStr">
        <is>
          <t>Черновая</t>
        </is>
      </c>
      <c r="C200" s="31" t="inlineStr">
        <is>
          <t>8.2.1</t>
        </is>
      </c>
      <c r="D200" s="32" t="inlineStr">
        <is>
          <t>Отделка лобби/гранд-лобби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 ht="30" customHeight="1" s="74">
      <c r="A201" s="30">
        <f>A200</f>
        <v/>
      </c>
      <c r="B201" s="31" t="inlineStr">
        <is>
          <t>Черновая</t>
        </is>
      </c>
      <c r="C201" s="31" t="inlineStr">
        <is>
          <t>8.2.2</t>
        </is>
      </c>
      <c r="D201" s="32" t="inlineStr">
        <is>
          <t>Отделка эвакуац. лестн. клетки надзем.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A200</f>
        <v/>
      </c>
      <c r="B202" s="31" t="inlineStr">
        <is>
          <t>Черновая</t>
        </is>
      </c>
      <c r="C202" s="31" t="inlineStr">
        <is>
          <t>8.2.3</t>
        </is>
      </c>
      <c r="D202" s="32" t="inlineStr">
        <is>
          <t>Лифт. холлы, тамбур-шлюзы надзем.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>
      <c r="A203" s="30">
        <f>A200</f>
        <v/>
      </c>
      <c r="B203" s="31" t="inlineStr">
        <is>
          <t>Черновая</t>
        </is>
      </c>
      <c r="C203" s="31" t="inlineStr">
        <is>
          <t>8.2.4</t>
        </is>
      </c>
      <c r="D203" s="32" t="inlineStr">
        <is>
          <t>Технич. помещения надзем.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A200</f>
        <v/>
      </c>
      <c r="B204" s="31" t="inlineStr">
        <is>
          <t>Черновая</t>
        </is>
      </c>
      <c r="C204" s="31" t="inlineStr">
        <is>
          <t>8.2.5</t>
        </is>
      </c>
      <c r="D204" s="32" t="inlineStr">
        <is>
          <t>Прочие помещения надзем.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A200</f>
        <v/>
      </c>
      <c r="B205" s="31" t="inlineStr">
        <is>
          <t>Черновая</t>
        </is>
      </c>
      <c r="C205" s="31" t="inlineStr">
        <is>
          <t>8.2.6</t>
        </is>
      </c>
      <c r="D205" s="32" t="inlineStr">
        <is>
          <t>Коммерч. помещения надзем.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A200</f>
        <v/>
      </c>
      <c r="B206" s="31" t="inlineStr">
        <is>
          <t>Черновая</t>
        </is>
      </c>
      <c r="C206" s="31" t="inlineStr">
        <is>
          <t>8.2.7</t>
        </is>
      </c>
      <c r="D206" s="32" t="inlineStr">
        <is>
          <t>Паркинг и рампы надзем.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A200</f>
        <v/>
      </c>
      <c r="B207" s="31" t="inlineStr">
        <is>
          <t>Чистовая</t>
        </is>
      </c>
      <c r="C207" s="31" t="inlineStr">
        <is>
          <t>8.2.1</t>
        </is>
      </c>
      <c r="D207" s="32" t="inlineStr">
        <is>
          <t>Отделка лобби/гранд-лобби</t>
        </is>
      </c>
      <c r="E207" s="33" t="n"/>
      <c r="F207" s="33" t="n"/>
      <c r="G207" s="33" t="n"/>
      <c r="H207" s="33" t="n"/>
      <c r="I207" s="34">
        <f>COUNTA(E207:H207)&amp;"/4"</f>
        <v/>
      </c>
    </row>
    <row r="208" ht="30" customHeight="1" s="74">
      <c r="A208" s="30">
        <f>A200</f>
        <v/>
      </c>
      <c r="B208" s="31" t="inlineStr">
        <is>
          <t>Чистовая</t>
        </is>
      </c>
      <c r="C208" s="31" t="inlineStr">
        <is>
          <t>8.2.2</t>
        </is>
      </c>
      <c r="D208" s="32" t="inlineStr">
        <is>
          <t>Отделка эвакуац. лестн. клетки надзем.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>
      <c r="A209" s="30">
        <f>A200</f>
        <v/>
      </c>
      <c r="B209" s="31" t="inlineStr">
        <is>
          <t>Чистовая</t>
        </is>
      </c>
      <c r="C209" s="31" t="inlineStr">
        <is>
          <t>8.2.3</t>
        </is>
      </c>
      <c r="D209" s="32" t="inlineStr">
        <is>
          <t>Лифт. холлы, тамбур-шлюзы надзем.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A200</f>
        <v/>
      </c>
      <c r="B210" s="31" t="inlineStr">
        <is>
          <t>Чистовая</t>
        </is>
      </c>
      <c r="C210" s="31" t="inlineStr">
        <is>
          <t>8.2.4</t>
        </is>
      </c>
      <c r="D210" s="32" t="inlineStr">
        <is>
          <t>Технич. помещения надзем.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A200</f>
        <v/>
      </c>
      <c r="B211" s="31" t="inlineStr">
        <is>
          <t>Чистовая</t>
        </is>
      </c>
      <c r="C211" s="31" t="inlineStr">
        <is>
          <t>8.2.5</t>
        </is>
      </c>
      <c r="D211" s="32" t="inlineStr">
        <is>
          <t>Прочие помещения надзем.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A200</f>
        <v/>
      </c>
      <c r="B212" s="31" t="inlineStr">
        <is>
          <t>Чистовая</t>
        </is>
      </c>
      <c r="C212" s="31" t="inlineStr">
        <is>
          <t>8.2.6</t>
        </is>
      </c>
      <c r="D212" s="32" t="inlineStr">
        <is>
          <t>Коммерч. помещения надзем.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A200</f>
        <v/>
      </c>
      <c r="B213" s="31" t="inlineStr">
        <is>
          <t>Чистовая</t>
        </is>
      </c>
      <c r="C213" s="31" t="inlineStr">
        <is>
          <t>8.2.7</t>
        </is>
      </c>
      <c r="D213" s="32" t="inlineStr">
        <is>
          <t>Паркинг и рампы надзем.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A200+7</f>
        <v/>
      </c>
      <c r="B214" s="31" t="inlineStr">
        <is>
          <t>Черновая</t>
        </is>
      </c>
      <c r="C214" s="31" t="inlineStr">
        <is>
          <t>8.2.1</t>
        </is>
      </c>
      <c r="D214" s="32" t="inlineStr">
        <is>
          <t>Отделка лобби/гранд-лобби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A214</f>
        <v/>
      </c>
      <c r="B215" s="31" t="inlineStr">
        <is>
          <t>Черновая</t>
        </is>
      </c>
      <c r="C215" s="31" t="inlineStr">
        <is>
          <t>8.2.2</t>
        </is>
      </c>
      <c r="D215" s="32" t="inlineStr">
        <is>
          <t>Отделка эвакуац. лестн. клетки надзем.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A214</f>
        <v/>
      </c>
      <c r="B216" s="31" t="inlineStr">
        <is>
          <t>Черновая</t>
        </is>
      </c>
      <c r="C216" s="31" t="inlineStr">
        <is>
          <t>8.2.3</t>
        </is>
      </c>
      <c r="D216" s="32" t="inlineStr">
        <is>
          <t>Лифт. холлы, тамбур-шлюзы надзем.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A214</f>
        <v/>
      </c>
      <c r="B217" s="31" t="inlineStr">
        <is>
          <t>Черновая</t>
        </is>
      </c>
      <c r="C217" s="31" t="inlineStr">
        <is>
          <t>8.2.4</t>
        </is>
      </c>
      <c r="D217" s="32" t="inlineStr">
        <is>
          <t>Технич. помещения надзем.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A214</f>
        <v/>
      </c>
      <c r="B218" s="31" t="inlineStr">
        <is>
          <t>Черновая</t>
        </is>
      </c>
      <c r="C218" s="31" t="inlineStr">
        <is>
          <t>8.2.5</t>
        </is>
      </c>
      <c r="D218" s="32" t="inlineStr">
        <is>
          <t>Прочие помещения надзем.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A214</f>
        <v/>
      </c>
      <c r="B219" s="31" t="inlineStr">
        <is>
          <t>Черновая</t>
        </is>
      </c>
      <c r="C219" s="31" t="inlineStr">
        <is>
          <t>8.2.6</t>
        </is>
      </c>
      <c r="D219" s="32" t="inlineStr">
        <is>
          <t>Коммерч. помещения надзем.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A214</f>
        <v/>
      </c>
      <c r="B220" s="31" t="inlineStr">
        <is>
          <t>Черновая</t>
        </is>
      </c>
      <c r="C220" s="31" t="inlineStr">
        <is>
          <t>8.2.7</t>
        </is>
      </c>
      <c r="D220" s="32" t="inlineStr">
        <is>
          <t>Паркинг и рампы надзем.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>
      <c r="A221" s="30">
        <f>A214</f>
        <v/>
      </c>
      <c r="B221" s="31" t="inlineStr">
        <is>
          <t>Чистовая</t>
        </is>
      </c>
      <c r="C221" s="31" t="inlineStr">
        <is>
          <t>8.2.1</t>
        </is>
      </c>
      <c r="D221" s="32" t="inlineStr">
        <is>
          <t>Отделка лобби/гранд-лобби</t>
        </is>
      </c>
      <c r="E221" s="33" t="n"/>
      <c r="F221" s="33" t="n"/>
      <c r="G221" s="33" t="n"/>
      <c r="H221" s="33" t="n"/>
      <c r="I221" s="34">
        <f>COUNTA(E221:H221)&amp;"/4"</f>
        <v/>
      </c>
    </row>
    <row r="222" ht="30" customHeight="1" s="74">
      <c r="A222" s="30">
        <f>A214</f>
        <v/>
      </c>
      <c r="B222" s="31" t="inlineStr">
        <is>
          <t>Чистовая</t>
        </is>
      </c>
      <c r="C222" s="31" t="inlineStr">
        <is>
          <t>8.2.2</t>
        </is>
      </c>
      <c r="D222" s="32" t="inlineStr">
        <is>
          <t>Отделка эвакуац. лестн. клетки надзем.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A214</f>
        <v/>
      </c>
      <c r="B223" s="31" t="inlineStr">
        <is>
          <t>Чистовая</t>
        </is>
      </c>
      <c r="C223" s="31" t="inlineStr">
        <is>
          <t>8.2.3</t>
        </is>
      </c>
      <c r="D223" s="32" t="inlineStr">
        <is>
          <t>Лифт. холлы, тамбур-шлюзы надзем.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A214</f>
        <v/>
      </c>
      <c r="B224" s="31" t="inlineStr">
        <is>
          <t>Чистовая</t>
        </is>
      </c>
      <c r="C224" s="31" t="inlineStr">
        <is>
          <t>8.2.4</t>
        </is>
      </c>
      <c r="D224" s="32" t="inlineStr">
        <is>
          <t>Технич. помещения надзем.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A214</f>
        <v/>
      </c>
      <c r="B225" s="31" t="inlineStr">
        <is>
          <t>Чистовая</t>
        </is>
      </c>
      <c r="C225" s="31" t="inlineStr">
        <is>
          <t>8.2.5</t>
        </is>
      </c>
      <c r="D225" s="32" t="inlineStr">
        <is>
          <t>Прочие помещения надзем.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A214</f>
        <v/>
      </c>
      <c r="B226" s="31" t="inlineStr">
        <is>
          <t>Чистовая</t>
        </is>
      </c>
      <c r="C226" s="31" t="inlineStr">
        <is>
          <t>8.2.6</t>
        </is>
      </c>
      <c r="D226" s="32" t="inlineStr">
        <is>
          <t>Коммерч. помещения надзем.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>
      <c r="A227" s="30">
        <f>A214</f>
        <v/>
      </c>
      <c r="B227" s="31" t="inlineStr">
        <is>
          <t>Чистовая</t>
        </is>
      </c>
      <c r="C227" s="31" t="inlineStr">
        <is>
          <t>8.2.7</t>
        </is>
      </c>
      <c r="D227" s="32" t="inlineStr">
        <is>
          <t>Паркинг и рампы надзем.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A214+7</f>
        <v/>
      </c>
      <c r="B228" s="31" t="inlineStr">
        <is>
          <t>Черновая</t>
        </is>
      </c>
      <c r="C228" s="31" t="inlineStr">
        <is>
          <t>8.2.1</t>
        </is>
      </c>
      <c r="D228" s="32" t="inlineStr">
        <is>
          <t>Отделка лобби/гранд-лобби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 ht="30" customHeight="1" s="74">
      <c r="A229" s="30">
        <f>A228</f>
        <v/>
      </c>
      <c r="B229" s="31" t="inlineStr">
        <is>
          <t>Черновая</t>
        </is>
      </c>
      <c r="C229" s="31" t="inlineStr">
        <is>
          <t>8.2.2</t>
        </is>
      </c>
      <c r="D229" s="32" t="inlineStr">
        <is>
          <t>Отделка эвакуац. лестн. клетки надзем.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A228</f>
        <v/>
      </c>
      <c r="B230" s="31" t="inlineStr">
        <is>
          <t>Черновая</t>
        </is>
      </c>
      <c r="C230" s="31" t="inlineStr">
        <is>
          <t>8.2.3</t>
        </is>
      </c>
      <c r="D230" s="32" t="inlineStr">
        <is>
          <t>Лифт. холлы, тамбур-шлюзы надзем.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A228</f>
        <v/>
      </c>
      <c r="B231" s="31" t="inlineStr">
        <is>
          <t>Черновая</t>
        </is>
      </c>
      <c r="C231" s="31" t="inlineStr">
        <is>
          <t>8.2.4</t>
        </is>
      </c>
      <c r="D231" s="32" t="inlineStr">
        <is>
          <t>Технич. помещения надзем.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A228</f>
        <v/>
      </c>
      <c r="B232" s="31" t="inlineStr">
        <is>
          <t>Черновая</t>
        </is>
      </c>
      <c r="C232" s="31" t="inlineStr">
        <is>
          <t>8.2.5</t>
        </is>
      </c>
      <c r="D232" s="32" t="inlineStr">
        <is>
          <t>Прочие помещения надзем.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>
      <c r="A233" s="30">
        <f>A228</f>
        <v/>
      </c>
      <c r="B233" s="31" t="inlineStr">
        <is>
          <t>Черновая</t>
        </is>
      </c>
      <c r="C233" s="31" t="inlineStr">
        <is>
          <t>8.2.6</t>
        </is>
      </c>
      <c r="D233" s="32" t="inlineStr">
        <is>
          <t>Коммерч. помещения надзем.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A228</f>
        <v/>
      </c>
      <c r="B234" s="31" t="inlineStr">
        <is>
          <t>Черновая</t>
        </is>
      </c>
      <c r="C234" s="31" t="inlineStr">
        <is>
          <t>8.2.7</t>
        </is>
      </c>
      <c r="D234" s="32" t="inlineStr">
        <is>
          <t>Паркинг и рампы надзем.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A228</f>
        <v/>
      </c>
      <c r="B235" s="31" t="inlineStr">
        <is>
          <t>Чистовая</t>
        </is>
      </c>
      <c r="C235" s="31" t="inlineStr">
        <is>
          <t>8.2.1</t>
        </is>
      </c>
      <c r="D235" s="32" t="inlineStr">
        <is>
          <t>Отделка лобби/гранд-лобби</t>
        </is>
      </c>
      <c r="E235" s="33" t="n"/>
      <c r="F235" s="33" t="n"/>
      <c r="G235" s="33" t="n"/>
      <c r="H235" s="33" t="n"/>
      <c r="I235" s="34">
        <f>COUNTA(E235:H235)&amp;"/4"</f>
        <v/>
      </c>
    </row>
    <row r="236" ht="30" customHeight="1" s="74">
      <c r="A236" s="30">
        <f>A228</f>
        <v/>
      </c>
      <c r="B236" s="31" t="inlineStr">
        <is>
          <t>Чистовая</t>
        </is>
      </c>
      <c r="C236" s="31" t="inlineStr">
        <is>
          <t>8.2.2</t>
        </is>
      </c>
      <c r="D236" s="32" t="inlineStr">
        <is>
          <t>Отделка эвакуац. лестн. клетки надзем.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A228</f>
        <v/>
      </c>
      <c r="B237" s="31" t="inlineStr">
        <is>
          <t>Чистовая</t>
        </is>
      </c>
      <c r="C237" s="31" t="inlineStr">
        <is>
          <t>8.2.3</t>
        </is>
      </c>
      <c r="D237" s="32" t="inlineStr">
        <is>
          <t>Лифт. холлы, тамбур-шлюзы надзем.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A228</f>
        <v/>
      </c>
      <c r="B238" s="31" t="inlineStr">
        <is>
          <t>Чистовая</t>
        </is>
      </c>
      <c r="C238" s="31" t="inlineStr">
        <is>
          <t>8.2.4</t>
        </is>
      </c>
      <c r="D238" s="32" t="inlineStr">
        <is>
          <t>Технич. помещения надзем.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>
      <c r="A239" s="30">
        <f>A228</f>
        <v/>
      </c>
      <c r="B239" s="31" t="inlineStr">
        <is>
          <t>Чистовая</t>
        </is>
      </c>
      <c r="C239" s="31" t="inlineStr">
        <is>
          <t>8.2.5</t>
        </is>
      </c>
      <c r="D239" s="32" t="inlineStr">
        <is>
          <t>Прочие помещения надзем.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A228</f>
        <v/>
      </c>
      <c r="B240" s="31" t="inlineStr">
        <is>
          <t>Чистовая</t>
        </is>
      </c>
      <c r="C240" s="31" t="inlineStr">
        <is>
          <t>8.2.6</t>
        </is>
      </c>
      <c r="D240" s="32" t="inlineStr">
        <is>
          <t>Коммерч. помещения надзем.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A228</f>
        <v/>
      </c>
      <c r="B241" s="31" t="inlineStr">
        <is>
          <t>Чистовая</t>
        </is>
      </c>
      <c r="C241" s="31" t="inlineStr">
        <is>
          <t>8.2.7</t>
        </is>
      </c>
      <c r="D241" s="32" t="inlineStr">
        <is>
          <t>Паркинг и рампы надзем.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A228+7</f>
        <v/>
      </c>
      <c r="B242" s="31" t="inlineStr">
        <is>
          <t>Черновая</t>
        </is>
      </c>
      <c r="C242" s="31" t="inlineStr">
        <is>
          <t>8.2.1</t>
        </is>
      </c>
      <c r="D242" s="32" t="inlineStr">
        <is>
          <t>Отделка лобби/гранд-лобби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 ht="30" customHeight="1" s="74">
      <c r="A243" s="30">
        <f>A242</f>
        <v/>
      </c>
      <c r="B243" s="31" t="inlineStr">
        <is>
          <t>Черновая</t>
        </is>
      </c>
      <c r="C243" s="31" t="inlineStr">
        <is>
          <t>8.2.2</t>
        </is>
      </c>
      <c r="D243" s="32" t="inlineStr">
        <is>
          <t>Отделка эвакуац. лестн. клетки надзем.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A242</f>
        <v/>
      </c>
      <c r="B244" s="31" t="inlineStr">
        <is>
          <t>Черновая</t>
        </is>
      </c>
      <c r="C244" s="31" t="inlineStr">
        <is>
          <t>8.2.3</t>
        </is>
      </c>
      <c r="D244" s="32" t="inlineStr">
        <is>
          <t>Лифт. холлы, тамбур-шлюзы надзем.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>
      <c r="A245" s="30">
        <f>A242</f>
        <v/>
      </c>
      <c r="B245" s="31" t="inlineStr">
        <is>
          <t>Черновая</t>
        </is>
      </c>
      <c r="C245" s="31" t="inlineStr">
        <is>
          <t>8.2.4</t>
        </is>
      </c>
      <c r="D245" s="32" t="inlineStr">
        <is>
          <t>Технич. помещения надзем.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A242</f>
        <v/>
      </c>
      <c r="B246" s="31" t="inlineStr">
        <is>
          <t>Черновая</t>
        </is>
      </c>
      <c r="C246" s="31" t="inlineStr">
        <is>
          <t>8.2.5</t>
        </is>
      </c>
      <c r="D246" s="32" t="inlineStr">
        <is>
          <t>Прочие помещения надзем.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A242</f>
        <v/>
      </c>
      <c r="B247" s="31" t="inlineStr">
        <is>
          <t>Черновая</t>
        </is>
      </c>
      <c r="C247" s="31" t="inlineStr">
        <is>
          <t>8.2.6</t>
        </is>
      </c>
      <c r="D247" s="32" t="inlineStr">
        <is>
          <t>Коммерч. помещения надзем.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A242</f>
        <v/>
      </c>
      <c r="B248" s="31" t="inlineStr">
        <is>
          <t>Черновая</t>
        </is>
      </c>
      <c r="C248" s="31" t="inlineStr">
        <is>
          <t>8.2.7</t>
        </is>
      </c>
      <c r="D248" s="32" t="inlineStr">
        <is>
          <t>Паркинг и рампы надзем.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A242</f>
        <v/>
      </c>
      <c r="B249" s="31" t="inlineStr">
        <is>
          <t>Чистовая</t>
        </is>
      </c>
      <c r="C249" s="31" t="inlineStr">
        <is>
          <t>8.2.1</t>
        </is>
      </c>
      <c r="D249" s="32" t="inlineStr">
        <is>
          <t>Отделка лобби/гранд-лобби</t>
        </is>
      </c>
      <c r="E249" s="33" t="n"/>
      <c r="F249" s="33" t="n"/>
      <c r="G249" s="33" t="n"/>
      <c r="H249" s="33" t="n"/>
      <c r="I249" s="34">
        <f>COUNTA(E249:H249)&amp;"/4"</f>
        <v/>
      </c>
    </row>
    <row r="250" ht="30" customHeight="1" s="74">
      <c r="A250" s="30">
        <f>A242</f>
        <v/>
      </c>
      <c r="B250" s="31" t="inlineStr">
        <is>
          <t>Чистовая</t>
        </is>
      </c>
      <c r="C250" s="31" t="inlineStr">
        <is>
          <t>8.2.2</t>
        </is>
      </c>
      <c r="D250" s="32" t="inlineStr">
        <is>
          <t>Отделка эвакуац. лестн. клетки надзем.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>
      <c r="A251" s="30">
        <f>A242</f>
        <v/>
      </c>
      <c r="B251" s="31" t="inlineStr">
        <is>
          <t>Чистовая</t>
        </is>
      </c>
      <c r="C251" s="31" t="inlineStr">
        <is>
          <t>8.2.3</t>
        </is>
      </c>
      <c r="D251" s="32" t="inlineStr">
        <is>
          <t>Лифт. холлы, тамбур-шлюзы надзем.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A242</f>
        <v/>
      </c>
      <c r="B252" s="31" t="inlineStr">
        <is>
          <t>Чистовая</t>
        </is>
      </c>
      <c r="C252" s="31" t="inlineStr">
        <is>
          <t>8.2.4</t>
        </is>
      </c>
      <c r="D252" s="32" t="inlineStr">
        <is>
          <t>Технич. помещения надзем.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A242</f>
        <v/>
      </c>
      <c r="B253" s="31" t="inlineStr">
        <is>
          <t>Чистовая</t>
        </is>
      </c>
      <c r="C253" s="31" t="inlineStr">
        <is>
          <t>8.2.5</t>
        </is>
      </c>
      <c r="D253" s="32" t="inlineStr">
        <is>
          <t>Прочие помещения надзем.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A242</f>
        <v/>
      </c>
      <c r="B254" s="31" t="inlineStr">
        <is>
          <t>Чистовая</t>
        </is>
      </c>
      <c r="C254" s="31" t="inlineStr">
        <is>
          <t>8.2.6</t>
        </is>
      </c>
      <c r="D254" s="32" t="inlineStr">
        <is>
          <t>Коммерч. помещения надзем.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A242</f>
        <v/>
      </c>
      <c r="B255" s="31" t="inlineStr">
        <is>
          <t>Чистовая</t>
        </is>
      </c>
      <c r="C255" s="31" t="inlineStr">
        <is>
          <t>8.2.7</t>
        </is>
      </c>
      <c r="D255" s="32" t="inlineStr">
        <is>
          <t>Паркинг и рампы надзем.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A242+7</f>
        <v/>
      </c>
      <c r="B256" s="31" t="inlineStr">
        <is>
          <t>Черновая</t>
        </is>
      </c>
      <c r="C256" s="31" t="inlineStr">
        <is>
          <t>8.2.1</t>
        </is>
      </c>
      <c r="D256" s="32" t="inlineStr">
        <is>
          <t>Отделка лобби/гранд-лобби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8.2.2</t>
        </is>
      </c>
      <c r="D257" s="32" t="inlineStr">
        <is>
          <t>Отделка эвакуац. лестн. клетки надзем.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8.2.3</t>
        </is>
      </c>
      <c r="D258" s="32" t="inlineStr">
        <is>
          <t>Лифт. холлы, тамбур-шлюзы надзем.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8.2.4</t>
        </is>
      </c>
      <c r="D259" s="32" t="inlineStr">
        <is>
          <t>Технич. помещения надзем.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8.2.5</t>
        </is>
      </c>
      <c r="D260" s="32" t="inlineStr">
        <is>
          <t>Прочие помещения надзем.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8.2.6</t>
        </is>
      </c>
      <c r="D261" s="32" t="inlineStr">
        <is>
          <t>Коммерч. помещения надзем.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Черновая</t>
        </is>
      </c>
      <c r="C262" s="31" t="inlineStr">
        <is>
          <t>8.2.7</t>
        </is>
      </c>
      <c r="D262" s="32" t="inlineStr">
        <is>
          <t>Паркинг и рампы надзем.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>
      <c r="A263" s="30">
        <f>A256</f>
        <v/>
      </c>
      <c r="B263" s="31" t="inlineStr">
        <is>
          <t>Чистовая</t>
        </is>
      </c>
      <c r="C263" s="31" t="inlineStr">
        <is>
          <t>8.2.1</t>
        </is>
      </c>
      <c r="D263" s="32" t="inlineStr">
        <is>
          <t>Отделка лобби/гранд-лобби</t>
        </is>
      </c>
      <c r="E263" s="33" t="n"/>
      <c r="F263" s="33" t="n"/>
      <c r="G263" s="33" t="n"/>
      <c r="H263" s="33" t="n"/>
      <c r="I263" s="34">
        <f>COUNTA(E263:H263)&amp;"/4"</f>
        <v/>
      </c>
    </row>
    <row r="264" ht="30" customHeight="1" s="74">
      <c r="A264" s="30">
        <f>A256</f>
        <v/>
      </c>
      <c r="B264" s="31" t="inlineStr">
        <is>
          <t>Чистовая</t>
        </is>
      </c>
      <c r="C264" s="31" t="inlineStr">
        <is>
          <t>8.2.2</t>
        </is>
      </c>
      <c r="D264" s="32" t="inlineStr">
        <is>
          <t>Отделка эвакуац. лестн. клетки надзем.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8.2.3</t>
        </is>
      </c>
      <c r="D265" s="32" t="inlineStr">
        <is>
          <t>Лифт. холлы, тамбур-шлюзы надзем.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8.2.4</t>
        </is>
      </c>
      <c r="D266" s="32" t="inlineStr">
        <is>
          <t>Технич. помещения надзем.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8.2.5</t>
        </is>
      </c>
      <c r="D267" s="32" t="inlineStr">
        <is>
          <t>Прочие помещения надзем.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</f>
        <v/>
      </c>
      <c r="B268" s="31" t="inlineStr">
        <is>
          <t>Чистовая</t>
        </is>
      </c>
      <c r="C268" s="31" t="inlineStr">
        <is>
          <t>8.2.6</t>
        </is>
      </c>
      <c r="D268" s="32" t="inlineStr">
        <is>
          <t>Коммерч. помещения надзем.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>
      <c r="A269" s="30">
        <f>A256</f>
        <v/>
      </c>
      <c r="B269" s="31" t="inlineStr">
        <is>
          <t>Чистовая</t>
        </is>
      </c>
      <c r="C269" s="31" t="inlineStr">
        <is>
          <t>8.2.7</t>
        </is>
      </c>
      <c r="D269" s="32" t="inlineStr">
        <is>
          <t>Паркинг и рампы надзем.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A256+7</f>
        <v/>
      </c>
      <c r="B270" s="31" t="inlineStr">
        <is>
          <t>Черновая</t>
        </is>
      </c>
      <c r="C270" s="31" t="inlineStr">
        <is>
          <t>8.2.1</t>
        </is>
      </c>
      <c r="D270" s="32" t="inlineStr">
        <is>
          <t>Отделка лобби/гранд-лобби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 ht="30" customHeight="1" s="74">
      <c r="A271" s="30">
        <f>A270</f>
        <v/>
      </c>
      <c r="B271" s="31" t="inlineStr">
        <is>
          <t>Черновая</t>
        </is>
      </c>
      <c r="C271" s="31" t="inlineStr">
        <is>
          <t>8.2.2</t>
        </is>
      </c>
      <c r="D271" s="32" t="inlineStr">
        <is>
          <t>Отделка эвакуац. лестн. клетки надзем.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A270</f>
        <v/>
      </c>
      <c r="B272" s="31" t="inlineStr">
        <is>
          <t>Черновая</t>
        </is>
      </c>
      <c r="C272" s="31" t="inlineStr">
        <is>
          <t>8.2.3</t>
        </is>
      </c>
      <c r="D272" s="32" t="inlineStr">
        <is>
          <t>Лифт. холлы, тамбур-шлюзы надзем.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A270</f>
        <v/>
      </c>
      <c r="B273" s="31" t="inlineStr">
        <is>
          <t>Черновая</t>
        </is>
      </c>
      <c r="C273" s="31" t="inlineStr">
        <is>
          <t>8.2.4</t>
        </is>
      </c>
      <c r="D273" s="32" t="inlineStr">
        <is>
          <t>Технич. помещения надзем.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A270</f>
        <v/>
      </c>
      <c r="B274" s="31" t="inlineStr">
        <is>
          <t>Черновая</t>
        </is>
      </c>
      <c r="C274" s="31" t="inlineStr">
        <is>
          <t>8.2.5</t>
        </is>
      </c>
      <c r="D274" s="32" t="inlineStr">
        <is>
          <t>Прочие помещения надзем.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>
      <c r="A275" s="30">
        <f>A270</f>
        <v/>
      </c>
      <c r="B275" s="31" t="inlineStr">
        <is>
          <t>Черновая</t>
        </is>
      </c>
      <c r="C275" s="31" t="inlineStr">
        <is>
          <t>8.2.6</t>
        </is>
      </c>
      <c r="D275" s="32" t="inlineStr">
        <is>
          <t>Коммерч. помещения надзем.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A270</f>
        <v/>
      </c>
      <c r="B276" s="31" t="inlineStr">
        <is>
          <t>Черновая</t>
        </is>
      </c>
      <c r="C276" s="31" t="inlineStr">
        <is>
          <t>8.2.7</t>
        </is>
      </c>
      <c r="D276" s="32" t="inlineStr">
        <is>
          <t>Паркинг и рампы надзем.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A270</f>
        <v/>
      </c>
      <c r="B277" s="31" t="inlineStr">
        <is>
          <t>Чистовая</t>
        </is>
      </c>
      <c r="C277" s="31" t="inlineStr">
        <is>
          <t>8.2.1</t>
        </is>
      </c>
      <c r="D277" s="32" t="inlineStr">
        <is>
          <t>Отделка лобби/гранд-лобби</t>
        </is>
      </c>
      <c r="E277" s="33" t="n"/>
      <c r="F277" s="33" t="n"/>
      <c r="G277" s="33" t="n"/>
      <c r="H277" s="33" t="n"/>
      <c r="I277" s="34">
        <f>COUNTA(E277:H277)&amp;"/4"</f>
        <v/>
      </c>
    </row>
    <row r="278" ht="30" customHeight="1" s="74">
      <c r="A278" s="30">
        <f>A270</f>
        <v/>
      </c>
      <c r="B278" s="31" t="inlineStr">
        <is>
          <t>Чистовая</t>
        </is>
      </c>
      <c r="C278" s="31" t="inlineStr">
        <is>
          <t>8.2.2</t>
        </is>
      </c>
      <c r="D278" s="32" t="inlineStr">
        <is>
          <t>Отделка эвакуац. лестн. клетки надзем.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A270</f>
        <v/>
      </c>
      <c r="B279" s="31" t="inlineStr">
        <is>
          <t>Чистовая</t>
        </is>
      </c>
      <c r="C279" s="31" t="inlineStr">
        <is>
          <t>8.2.3</t>
        </is>
      </c>
      <c r="D279" s="32" t="inlineStr">
        <is>
          <t>Лифт. холлы, тамбур-шлюзы надзем.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A270</f>
        <v/>
      </c>
      <c r="B280" s="31" t="inlineStr">
        <is>
          <t>Чистовая</t>
        </is>
      </c>
      <c r="C280" s="31" t="inlineStr">
        <is>
          <t>8.2.4</t>
        </is>
      </c>
      <c r="D280" s="32" t="inlineStr">
        <is>
          <t>Технич. помещения надзем.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>
      <c r="A281" s="30">
        <f>A270</f>
        <v/>
      </c>
      <c r="B281" s="31" t="inlineStr">
        <is>
          <t>Чистовая</t>
        </is>
      </c>
      <c r="C281" s="31" t="inlineStr">
        <is>
          <t>8.2.5</t>
        </is>
      </c>
      <c r="D281" s="32" t="inlineStr">
        <is>
          <t>Прочие помещения надзем.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A270</f>
        <v/>
      </c>
      <c r="B282" s="31" t="inlineStr">
        <is>
          <t>Чистовая</t>
        </is>
      </c>
      <c r="C282" s="31" t="inlineStr">
        <is>
          <t>8.2.6</t>
        </is>
      </c>
      <c r="D282" s="32" t="inlineStr">
        <is>
          <t>Коммерч. помещения надзем.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A270</f>
        <v/>
      </c>
      <c r="B283" s="31" t="inlineStr">
        <is>
          <t>Чистовая</t>
        </is>
      </c>
      <c r="C283" s="31" t="inlineStr">
        <is>
          <t>8.2.7</t>
        </is>
      </c>
      <c r="D283" s="32" t="inlineStr">
        <is>
          <t>Паркинг и рампы надзем.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A270+7</f>
        <v/>
      </c>
      <c r="B284" s="31" t="inlineStr">
        <is>
          <t>Черновая</t>
        </is>
      </c>
      <c r="C284" s="31" t="inlineStr">
        <is>
          <t>8.2.1</t>
        </is>
      </c>
      <c r="D284" s="32" t="inlineStr">
        <is>
          <t>Отделка лобби/гранд-лобби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 ht="30" customHeight="1" s="74">
      <c r="A285" s="30">
        <f>A284</f>
        <v/>
      </c>
      <c r="B285" s="31" t="inlineStr">
        <is>
          <t>Черновая</t>
        </is>
      </c>
      <c r="C285" s="31" t="inlineStr">
        <is>
          <t>8.2.2</t>
        </is>
      </c>
      <c r="D285" s="32" t="inlineStr">
        <is>
          <t>Отделка эвакуац. лестн. клетки надзем.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A284</f>
        <v/>
      </c>
      <c r="B286" s="31" t="inlineStr">
        <is>
          <t>Черновая</t>
        </is>
      </c>
      <c r="C286" s="31" t="inlineStr">
        <is>
          <t>8.2.3</t>
        </is>
      </c>
      <c r="D286" s="32" t="inlineStr">
        <is>
          <t>Лифт. холлы, тамбур-шлюзы надзем.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>
      <c r="A287" s="30">
        <f>A284</f>
        <v/>
      </c>
      <c r="B287" s="31" t="inlineStr">
        <is>
          <t>Черновая</t>
        </is>
      </c>
      <c r="C287" s="31" t="inlineStr">
        <is>
          <t>8.2.4</t>
        </is>
      </c>
      <c r="D287" s="32" t="inlineStr">
        <is>
          <t>Технич. помещения надзем.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A284</f>
        <v/>
      </c>
      <c r="B288" s="31" t="inlineStr">
        <is>
          <t>Черновая</t>
        </is>
      </c>
      <c r="C288" s="31" t="inlineStr">
        <is>
          <t>8.2.5</t>
        </is>
      </c>
      <c r="D288" s="32" t="inlineStr">
        <is>
          <t>Прочие помещения надзем.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A284</f>
        <v/>
      </c>
      <c r="B289" s="31" t="inlineStr">
        <is>
          <t>Черновая</t>
        </is>
      </c>
      <c r="C289" s="31" t="inlineStr">
        <is>
          <t>8.2.6</t>
        </is>
      </c>
      <c r="D289" s="32" t="inlineStr">
        <is>
          <t>Коммерч. помещения надзем.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A284</f>
        <v/>
      </c>
      <c r="B290" s="31" t="inlineStr">
        <is>
          <t>Черновая</t>
        </is>
      </c>
      <c r="C290" s="31" t="inlineStr">
        <is>
          <t>8.2.7</t>
        </is>
      </c>
      <c r="D290" s="32" t="inlineStr">
        <is>
          <t>Паркинг и рампы надзем.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A284</f>
        <v/>
      </c>
      <c r="B291" s="31" t="inlineStr">
        <is>
          <t>Чистовая</t>
        </is>
      </c>
      <c r="C291" s="31" t="inlineStr">
        <is>
          <t>8.2.1</t>
        </is>
      </c>
      <c r="D291" s="32" t="inlineStr">
        <is>
          <t>Отделка лобби/гранд-лобби</t>
        </is>
      </c>
      <c r="E291" s="33" t="n"/>
      <c r="F291" s="33" t="n"/>
      <c r="G291" s="33" t="n"/>
      <c r="H291" s="33" t="n"/>
      <c r="I291" s="34">
        <f>COUNTA(E291:H291)&amp;"/4"</f>
        <v/>
      </c>
    </row>
    <row r="292" ht="30" customHeight="1" s="74">
      <c r="A292" s="30">
        <f>A284</f>
        <v/>
      </c>
      <c r="B292" s="31" t="inlineStr">
        <is>
          <t>Чистовая</t>
        </is>
      </c>
      <c r="C292" s="31" t="inlineStr">
        <is>
          <t>8.2.2</t>
        </is>
      </c>
      <c r="D292" s="32" t="inlineStr">
        <is>
          <t>Отделка эвакуац. лестн. клетки надзем.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>
      <c r="A293" s="30">
        <f>A284</f>
        <v/>
      </c>
      <c r="B293" s="31" t="inlineStr">
        <is>
          <t>Чистовая</t>
        </is>
      </c>
      <c r="C293" s="31" t="inlineStr">
        <is>
          <t>8.2.3</t>
        </is>
      </c>
      <c r="D293" s="32" t="inlineStr">
        <is>
          <t>Лифт. холлы, тамбур-шлюзы надзем.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A284</f>
        <v/>
      </c>
      <c r="B294" s="31" t="inlineStr">
        <is>
          <t>Чистовая</t>
        </is>
      </c>
      <c r="C294" s="31" t="inlineStr">
        <is>
          <t>8.2.4</t>
        </is>
      </c>
      <c r="D294" s="32" t="inlineStr">
        <is>
          <t>Технич. помещения надзем.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A284</f>
        <v/>
      </c>
      <c r="B295" s="31" t="inlineStr">
        <is>
          <t>Чистовая</t>
        </is>
      </c>
      <c r="C295" s="31" t="inlineStr">
        <is>
          <t>8.2.5</t>
        </is>
      </c>
      <c r="D295" s="32" t="inlineStr">
        <is>
          <t>Прочие помещения надзем.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A284</f>
        <v/>
      </c>
      <c r="B296" s="31" t="inlineStr">
        <is>
          <t>Чистовая</t>
        </is>
      </c>
      <c r="C296" s="31" t="inlineStr">
        <is>
          <t>8.2.6</t>
        </is>
      </c>
      <c r="D296" s="32" t="inlineStr">
        <is>
          <t>Коммерч. помещения надзем.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A284</f>
        <v/>
      </c>
      <c r="B297" s="31" t="inlineStr">
        <is>
          <t>Чистовая</t>
        </is>
      </c>
      <c r="C297" s="31" t="inlineStr">
        <is>
          <t>8.2.7</t>
        </is>
      </c>
      <c r="D297" s="32" t="inlineStr">
        <is>
          <t>Паркинг и рампы надзем.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A284+7</f>
        <v/>
      </c>
      <c r="B298" s="31" t="inlineStr">
        <is>
          <t>Черновая</t>
        </is>
      </c>
      <c r="C298" s="31" t="inlineStr">
        <is>
          <t>8.2.1</t>
        </is>
      </c>
      <c r="D298" s="32" t="inlineStr">
        <is>
          <t>Отделка лобби/гранд-лобби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A298</f>
        <v/>
      </c>
      <c r="B299" s="31" t="inlineStr">
        <is>
          <t>Черновая</t>
        </is>
      </c>
      <c r="C299" s="31" t="inlineStr">
        <is>
          <t>8.2.2</t>
        </is>
      </c>
      <c r="D299" s="32" t="inlineStr">
        <is>
          <t>Отделка эвакуац. лестн. клетки надзем.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A298</f>
        <v/>
      </c>
      <c r="B300" s="31" t="inlineStr">
        <is>
          <t>Черновая</t>
        </is>
      </c>
      <c r="C300" s="31" t="inlineStr">
        <is>
          <t>8.2.3</t>
        </is>
      </c>
      <c r="D300" s="32" t="inlineStr">
        <is>
          <t>Лифт. холлы, тамбур-шлюзы надзем.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A298</f>
        <v/>
      </c>
      <c r="B301" s="31" t="inlineStr">
        <is>
          <t>Черновая</t>
        </is>
      </c>
      <c r="C301" s="31" t="inlineStr">
        <is>
          <t>8.2.4</t>
        </is>
      </c>
      <c r="D301" s="32" t="inlineStr">
        <is>
          <t>Технич. помещения надзем.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A298</f>
        <v/>
      </c>
      <c r="B302" s="31" t="inlineStr">
        <is>
          <t>Черновая</t>
        </is>
      </c>
      <c r="C302" s="31" t="inlineStr">
        <is>
          <t>8.2.5</t>
        </is>
      </c>
      <c r="D302" s="32" t="inlineStr">
        <is>
          <t>Прочие помещения надзем.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A298</f>
        <v/>
      </c>
      <c r="B303" s="31" t="inlineStr">
        <is>
          <t>Черновая</t>
        </is>
      </c>
      <c r="C303" s="31" t="inlineStr">
        <is>
          <t>8.2.6</t>
        </is>
      </c>
      <c r="D303" s="32" t="inlineStr">
        <is>
          <t>Коммерч. помещения надзем.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A298</f>
        <v/>
      </c>
      <c r="B304" s="31" t="inlineStr">
        <is>
          <t>Черновая</t>
        </is>
      </c>
      <c r="C304" s="31" t="inlineStr">
        <is>
          <t>8.2.7</t>
        </is>
      </c>
      <c r="D304" s="32" t="inlineStr">
        <is>
          <t>Паркинг и рампы надзем.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>
      <c r="A305" s="30">
        <f>A298</f>
        <v/>
      </c>
      <c r="B305" s="31" t="inlineStr">
        <is>
          <t>Чистовая</t>
        </is>
      </c>
      <c r="C305" s="31" t="inlineStr">
        <is>
          <t>8.2.1</t>
        </is>
      </c>
      <c r="D305" s="32" t="inlineStr">
        <is>
          <t>Отделка лобби/гранд-лобби</t>
        </is>
      </c>
      <c r="E305" s="33" t="n"/>
      <c r="F305" s="33" t="n"/>
      <c r="G305" s="33" t="n"/>
      <c r="H305" s="33" t="n"/>
      <c r="I305" s="34">
        <f>COUNTA(E305:H305)&amp;"/4"</f>
        <v/>
      </c>
    </row>
    <row r="306" ht="30" customHeight="1" s="74">
      <c r="A306" s="30">
        <f>A298</f>
        <v/>
      </c>
      <c r="B306" s="31" t="inlineStr">
        <is>
          <t>Чистовая</t>
        </is>
      </c>
      <c r="C306" s="31" t="inlineStr">
        <is>
          <t>8.2.2</t>
        </is>
      </c>
      <c r="D306" s="32" t="inlineStr">
        <is>
          <t>Отделка эвакуац. лестн. клетки надзем.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A298</f>
        <v/>
      </c>
      <c r="B307" s="31" t="inlineStr">
        <is>
          <t>Чистовая</t>
        </is>
      </c>
      <c r="C307" s="31" t="inlineStr">
        <is>
          <t>8.2.3</t>
        </is>
      </c>
      <c r="D307" s="32" t="inlineStr">
        <is>
          <t>Лифт. холлы, тамбур-шлюзы надзем.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A298</f>
        <v/>
      </c>
      <c r="B308" s="31" t="inlineStr">
        <is>
          <t>Чистовая</t>
        </is>
      </c>
      <c r="C308" s="31" t="inlineStr">
        <is>
          <t>8.2.4</t>
        </is>
      </c>
      <c r="D308" s="32" t="inlineStr">
        <is>
          <t>Технич. помещения надзем.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A298</f>
        <v/>
      </c>
      <c r="B309" s="31" t="inlineStr">
        <is>
          <t>Чистовая</t>
        </is>
      </c>
      <c r="C309" s="31" t="inlineStr">
        <is>
          <t>8.2.5</t>
        </is>
      </c>
      <c r="D309" s="32" t="inlineStr">
        <is>
          <t>Прочие помещения надзем.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A298</f>
        <v/>
      </c>
      <c r="B310" s="31" t="inlineStr">
        <is>
          <t>Чистовая</t>
        </is>
      </c>
      <c r="C310" s="31" t="inlineStr">
        <is>
          <t>8.2.6</t>
        </is>
      </c>
      <c r="D310" s="32" t="inlineStr">
        <is>
          <t>Коммерч. помещения надзем.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>
      <c r="A311" s="30">
        <f>A298</f>
        <v/>
      </c>
      <c r="B311" s="31" t="inlineStr">
        <is>
          <t>Чистовая</t>
        </is>
      </c>
      <c r="C311" s="31" t="inlineStr">
        <is>
          <t>8.2.7</t>
        </is>
      </c>
      <c r="D311" s="32" t="inlineStr">
        <is>
          <t>Паркинг и рампы надзем.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A298+7</f>
        <v/>
      </c>
      <c r="B312" s="31" t="inlineStr">
        <is>
          <t>Черновая</t>
        </is>
      </c>
      <c r="C312" s="31" t="inlineStr">
        <is>
          <t>8.2.1</t>
        </is>
      </c>
      <c r="D312" s="32" t="inlineStr">
        <is>
          <t>Отделка лобби/гранд-лобби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 ht="30" customHeight="1" s="74">
      <c r="A313" s="30">
        <f>A312</f>
        <v/>
      </c>
      <c r="B313" s="31" t="inlineStr">
        <is>
          <t>Черновая</t>
        </is>
      </c>
      <c r="C313" s="31" t="inlineStr">
        <is>
          <t>8.2.2</t>
        </is>
      </c>
      <c r="D313" s="32" t="inlineStr">
        <is>
          <t>Отделка эвакуац. лестн. клетки надзем.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A312</f>
        <v/>
      </c>
      <c r="B314" s="31" t="inlineStr">
        <is>
          <t>Черновая</t>
        </is>
      </c>
      <c r="C314" s="31" t="inlineStr">
        <is>
          <t>8.2.3</t>
        </is>
      </c>
      <c r="D314" s="32" t="inlineStr">
        <is>
          <t>Лифт. холлы, тамбур-шлюзы надзем.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A312</f>
        <v/>
      </c>
      <c r="B315" s="31" t="inlineStr">
        <is>
          <t>Черновая</t>
        </is>
      </c>
      <c r="C315" s="31" t="inlineStr">
        <is>
          <t>8.2.4</t>
        </is>
      </c>
      <c r="D315" s="32" t="inlineStr">
        <is>
          <t>Технич. помещения надзем.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A312</f>
        <v/>
      </c>
      <c r="B316" s="31" t="inlineStr">
        <is>
          <t>Черновая</t>
        </is>
      </c>
      <c r="C316" s="31" t="inlineStr">
        <is>
          <t>8.2.5</t>
        </is>
      </c>
      <c r="D316" s="32" t="inlineStr">
        <is>
          <t>Прочие помещения надзем.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>
      <c r="A317" s="30">
        <f>A312</f>
        <v/>
      </c>
      <c r="B317" s="31" t="inlineStr">
        <is>
          <t>Черновая</t>
        </is>
      </c>
      <c r="C317" s="31" t="inlineStr">
        <is>
          <t>8.2.6</t>
        </is>
      </c>
      <c r="D317" s="32" t="inlineStr">
        <is>
          <t>Коммерч. помещения надзем.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A312</f>
        <v/>
      </c>
      <c r="B318" s="31" t="inlineStr">
        <is>
          <t>Черновая</t>
        </is>
      </c>
      <c r="C318" s="31" t="inlineStr">
        <is>
          <t>8.2.7</t>
        </is>
      </c>
      <c r="D318" s="32" t="inlineStr">
        <is>
          <t>Паркинг и рампы надзем.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A312</f>
        <v/>
      </c>
      <c r="B319" s="31" t="inlineStr">
        <is>
          <t>Чистовая</t>
        </is>
      </c>
      <c r="C319" s="31" t="inlineStr">
        <is>
          <t>8.2.1</t>
        </is>
      </c>
      <c r="D319" s="32" t="inlineStr">
        <is>
          <t>Отделка лобби/гранд-лобби</t>
        </is>
      </c>
      <c r="E319" s="33" t="n"/>
      <c r="F319" s="33" t="n"/>
      <c r="G319" s="33" t="n"/>
      <c r="H319" s="33" t="n"/>
      <c r="I319" s="34">
        <f>COUNTA(E319:H319)&amp;"/4"</f>
        <v/>
      </c>
    </row>
    <row r="320" ht="30" customHeight="1" s="74">
      <c r="A320" s="30">
        <f>A312</f>
        <v/>
      </c>
      <c r="B320" s="31" t="inlineStr">
        <is>
          <t>Чистовая</t>
        </is>
      </c>
      <c r="C320" s="31" t="inlineStr">
        <is>
          <t>8.2.2</t>
        </is>
      </c>
      <c r="D320" s="32" t="inlineStr">
        <is>
          <t>Отделка эвакуац. лестн. клетки надзем.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A312</f>
        <v/>
      </c>
      <c r="B321" s="31" t="inlineStr">
        <is>
          <t>Чистовая</t>
        </is>
      </c>
      <c r="C321" s="31" t="inlineStr">
        <is>
          <t>8.2.3</t>
        </is>
      </c>
      <c r="D321" s="32" t="inlineStr">
        <is>
          <t>Лифт. холлы, тамбур-шлюзы надзем.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A312</f>
        <v/>
      </c>
      <c r="B322" s="31" t="inlineStr">
        <is>
          <t>Чистовая</t>
        </is>
      </c>
      <c r="C322" s="31" t="inlineStr">
        <is>
          <t>8.2.4</t>
        </is>
      </c>
      <c r="D322" s="32" t="inlineStr">
        <is>
          <t>Технич. помещения надзем.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>
      <c r="A323" s="30">
        <f>A312</f>
        <v/>
      </c>
      <c r="B323" s="31" t="inlineStr">
        <is>
          <t>Чистовая</t>
        </is>
      </c>
      <c r="C323" s="31" t="inlineStr">
        <is>
          <t>8.2.5</t>
        </is>
      </c>
      <c r="D323" s="32" t="inlineStr">
        <is>
          <t>Прочие помещения надзем.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A312</f>
        <v/>
      </c>
      <c r="B324" s="31" t="inlineStr">
        <is>
          <t>Чистовая</t>
        </is>
      </c>
      <c r="C324" s="31" t="inlineStr">
        <is>
          <t>8.2.6</t>
        </is>
      </c>
      <c r="D324" s="32" t="inlineStr">
        <is>
          <t>Коммерч. помещения надзем.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A312</f>
        <v/>
      </c>
      <c r="B325" s="31" t="inlineStr">
        <is>
          <t>Чистовая</t>
        </is>
      </c>
      <c r="C325" s="31" t="inlineStr">
        <is>
          <t>8.2.7</t>
        </is>
      </c>
      <c r="D325" s="32" t="inlineStr">
        <is>
          <t>Паркинг и рампы надзем.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A312+7</f>
        <v/>
      </c>
      <c r="B326" s="31" t="inlineStr">
        <is>
          <t>Черновая</t>
        </is>
      </c>
      <c r="C326" s="31" t="inlineStr">
        <is>
          <t>8.2.1</t>
        </is>
      </c>
      <c r="D326" s="32" t="inlineStr">
        <is>
          <t>Отделка лобби/гранд-лобби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 ht="30" customHeight="1" s="74">
      <c r="A327" s="30">
        <f>A326</f>
        <v/>
      </c>
      <c r="B327" s="31" t="inlineStr">
        <is>
          <t>Черновая</t>
        </is>
      </c>
      <c r="C327" s="31" t="inlineStr">
        <is>
          <t>8.2.2</t>
        </is>
      </c>
      <c r="D327" s="32" t="inlineStr">
        <is>
          <t>Отделка эвакуац. лестн. клетки надзем.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A326</f>
        <v/>
      </c>
      <c r="B328" s="31" t="inlineStr">
        <is>
          <t>Черновая</t>
        </is>
      </c>
      <c r="C328" s="31" t="inlineStr">
        <is>
          <t>8.2.3</t>
        </is>
      </c>
      <c r="D328" s="32" t="inlineStr">
        <is>
          <t>Лифт. холлы, тамбур-шлюзы надзем.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>
      <c r="A329" s="30">
        <f>A326</f>
        <v/>
      </c>
      <c r="B329" s="31" t="inlineStr">
        <is>
          <t>Черновая</t>
        </is>
      </c>
      <c r="C329" s="31" t="inlineStr">
        <is>
          <t>8.2.4</t>
        </is>
      </c>
      <c r="D329" s="32" t="inlineStr">
        <is>
          <t>Технич. помещения надзем.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A326</f>
        <v/>
      </c>
      <c r="B330" s="31" t="inlineStr">
        <is>
          <t>Черновая</t>
        </is>
      </c>
      <c r="C330" s="31" t="inlineStr">
        <is>
          <t>8.2.5</t>
        </is>
      </c>
      <c r="D330" s="32" t="inlineStr">
        <is>
          <t>Прочие помещения надзем.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A326</f>
        <v/>
      </c>
      <c r="B331" s="31" t="inlineStr">
        <is>
          <t>Черновая</t>
        </is>
      </c>
      <c r="C331" s="31" t="inlineStr">
        <is>
          <t>8.2.6</t>
        </is>
      </c>
      <c r="D331" s="32" t="inlineStr">
        <is>
          <t>Коммерч. помещения надзем.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A326</f>
        <v/>
      </c>
      <c r="B332" s="31" t="inlineStr">
        <is>
          <t>Черновая</t>
        </is>
      </c>
      <c r="C332" s="31" t="inlineStr">
        <is>
          <t>8.2.7</t>
        </is>
      </c>
      <c r="D332" s="32" t="inlineStr">
        <is>
          <t>Паркинг и рампы надзем.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A326</f>
        <v/>
      </c>
      <c r="B333" s="31" t="inlineStr">
        <is>
          <t>Чистовая</t>
        </is>
      </c>
      <c r="C333" s="31" t="inlineStr">
        <is>
          <t>8.2.1</t>
        </is>
      </c>
      <c r="D333" s="32" t="inlineStr">
        <is>
          <t>Отделка лобби/гранд-лобби</t>
        </is>
      </c>
      <c r="E333" s="33" t="n"/>
      <c r="F333" s="33" t="n"/>
      <c r="G333" s="33" t="n"/>
      <c r="H333" s="33" t="n"/>
      <c r="I333" s="34">
        <f>COUNTA(E333:H333)&amp;"/4"</f>
        <v/>
      </c>
    </row>
    <row r="334" ht="30" customHeight="1" s="74">
      <c r="A334" s="30">
        <f>A326</f>
        <v/>
      </c>
      <c r="B334" s="31" t="inlineStr">
        <is>
          <t>Чистовая</t>
        </is>
      </c>
      <c r="C334" s="31" t="inlineStr">
        <is>
          <t>8.2.2</t>
        </is>
      </c>
      <c r="D334" s="32" t="inlineStr">
        <is>
          <t>Отделка эвакуац. лестн. клетки надзем.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>
      <c r="A335" s="30">
        <f>A326</f>
        <v/>
      </c>
      <c r="B335" s="31" t="inlineStr">
        <is>
          <t>Чистовая</t>
        </is>
      </c>
      <c r="C335" s="31" t="inlineStr">
        <is>
          <t>8.2.3</t>
        </is>
      </c>
      <c r="D335" s="32" t="inlineStr">
        <is>
          <t>Лифт. холлы, тамбур-шлюзы надзем.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A326</f>
        <v/>
      </c>
      <c r="B336" s="31" t="inlineStr">
        <is>
          <t>Чистовая</t>
        </is>
      </c>
      <c r="C336" s="31" t="inlineStr">
        <is>
          <t>8.2.4</t>
        </is>
      </c>
      <c r="D336" s="32" t="inlineStr">
        <is>
          <t>Технич. помещения надзем.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A326</f>
        <v/>
      </c>
      <c r="B337" s="31" t="inlineStr">
        <is>
          <t>Чистовая</t>
        </is>
      </c>
      <c r="C337" s="31" t="inlineStr">
        <is>
          <t>8.2.5</t>
        </is>
      </c>
      <c r="D337" s="32" t="inlineStr">
        <is>
          <t>Прочие помещения надзем.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A326</f>
        <v/>
      </c>
      <c r="B338" s="31" t="inlineStr">
        <is>
          <t>Чистовая</t>
        </is>
      </c>
      <c r="C338" s="31" t="inlineStr">
        <is>
          <t>8.2.6</t>
        </is>
      </c>
      <c r="D338" s="32" t="inlineStr">
        <is>
          <t>Коммерч. помещения надзем.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A326</f>
        <v/>
      </c>
      <c r="B339" s="31" t="inlineStr">
        <is>
          <t>Чистовая</t>
        </is>
      </c>
      <c r="C339" s="31" t="inlineStr">
        <is>
          <t>8.2.7</t>
        </is>
      </c>
      <c r="D339" s="32" t="inlineStr">
        <is>
          <t>Паркинг и рампы надзем.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A326+7</f>
        <v/>
      </c>
      <c r="B340" s="31" t="inlineStr">
        <is>
          <t>Черновая</t>
        </is>
      </c>
      <c r="C340" s="31" t="inlineStr">
        <is>
          <t>8.2.1</t>
        </is>
      </c>
      <c r="D340" s="32" t="inlineStr">
        <is>
          <t>Отделка лобби/гранд-лобби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8.2.2</t>
        </is>
      </c>
      <c r="D341" s="32" t="inlineStr">
        <is>
          <t>Отделка эвакуац. лестн. клетки надзем.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8.2.3</t>
        </is>
      </c>
      <c r="D342" s="32" t="inlineStr">
        <is>
          <t>Лифт. холлы, тамбур-шлюзы надзем.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8.2.4</t>
        </is>
      </c>
      <c r="D343" s="32" t="inlineStr">
        <is>
          <t>Технич. помещения надзем.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8.2.5</t>
        </is>
      </c>
      <c r="D344" s="32" t="inlineStr">
        <is>
          <t>Прочие помещения надзем.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8.2.6</t>
        </is>
      </c>
      <c r="D345" s="32" t="inlineStr">
        <is>
          <t>Коммерч. помещения надзем.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Черновая</t>
        </is>
      </c>
      <c r="C346" s="31" t="inlineStr">
        <is>
          <t>8.2.7</t>
        </is>
      </c>
      <c r="D346" s="32" t="inlineStr">
        <is>
          <t>Паркинг и рампы надзем.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>
      <c r="A347" s="30">
        <f>A340</f>
        <v/>
      </c>
      <c r="B347" s="31" t="inlineStr">
        <is>
          <t>Чистовая</t>
        </is>
      </c>
      <c r="C347" s="31" t="inlineStr">
        <is>
          <t>8.2.1</t>
        </is>
      </c>
      <c r="D347" s="32" t="inlineStr">
        <is>
          <t>Отделка лобби/гранд-лобби</t>
        </is>
      </c>
      <c r="E347" s="33" t="n"/>
      <c r="F347" s="33" t="n"/>
      <c r="G347" s="33" t="n"/>
      <c r="H347" s="33" t="n"/>
      <c r="I347" s="34">
        <f>COUNTA(E347:H347)&amp;"/4"</f>
        <v/>
      </c>
    </row>
    <row r="348" ht="30" customHeight="1" s="74">
      <c r="A348" s="30">
        <f>A340</f>
        <v/>
      </c>
      <c r="B348" s="31" t="inlineStr">
        <is>
          <t>Чистовая</t>
        </is>
      </c>
      <c r="C348" s="31" t="inlineStr">
        <is>
          <t>8.2.2</t>
        </is>
      </c>
      <c r="D348" s="32" t="inlineStr">
        <is>
          <t>Отделка эвакуац. лестн. клетки надзем.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8.2.3</t>
        </is>
      </c>
      <c r="D349" s="32" t="inlineStr">
        <is>
          <t>Лифт. холлы, тамбур-шлюзы надзем.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8.2.4</t>
        </is>
      </c>
      <c r="D350" s="32" t="inlineStr">
        <is>
          <t>Технич. помещения надзем.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8.2.5</t>
        </is>
      </c>
      <c r="D351" s="32" t="inlineStr">
        <is>
          <t>Прочие помещения надзем.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</f>
        <v/>
      </c>
      <c r="B352" s="31" t="inlineStr">
        <is>
          <t>Чистовая</t>
        </is>
      </c>
      <c r="C352" s="31" t="inlineStr">
        <is>
          <t>8.2.6</t>
        </is>
      </c>
      <c r="D352" s="32" t="inlineStr">
        <is>
          <t>Коммерч. помещения надзем.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>
      <c r="A353" s="30">
        <f>A340</f>
        <v/>
      </c>
      <c r="B353" s="31" t="inlineStr">
        <is>
          <t>Чистовая</t>
        </is>
      </c>
      <c r="C353" s="31" t="inlineStr">
        <is>
          <t>8.2.7</t>
        </is>
      </c>
      <c r="D353" s="32" t="inlineStr">
        <is>
          <t>Паркинг и рампы надзем.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A340+7</f>
        <v/>
      </c>
      <c r="B354" s="31" t="inlineStr">
        <is>
          <t>Черновая</t>
        </is>
      </c>
      <c r="C354" s="31" t="inlineStr">
        <is>
          <t>8.2.1</t>
        </is>
      </c>
      <c r="D354" s="32" t="inlineStr">
        <is>
          <t>Отделка лобби/гранд-лобби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 ht="30" customHeight="1" s="74">
      <c r="A355" s="30">
        <f>A354</f>
        <v/>
      </c>
      <c r="B355" s="31" t="inlineStr">
        <is>
          <t>Черновая</t>
        </is>
      </c>
      <c r="C355" s="31" t="inlineStr">
        <is>
          <t>8.2.2</t>
        </is>
      </c>
      <c r="D355" s="32" t="inlineStr">
        <is>
          <t>Отделка эвакуац. лестн. клетки надзем.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A354</f>
        <v/>
      </c>
      <c r="B356" s="31" t="inlineStr">
        <is>
          <t>Черновая</t>
        </is>
      </c>
      <c r="C356" s="31" t="inlineStr">
        <is>
          <t>8.2.3</t>
        </is>
      </c>
      <c r="D356" s="32" t="inlineStr">
        <is>
          <t>Лифт. холлы, тамбур-шлюзы надзем.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A354</f>
        <v/>
      </c>
      <c r="B357" s="31" t="inlineStr">
        <is>
          <t>Черновая</t>
        </is>
      </c>
      <c r="C357" s="31" t="inlineStr">
        <is>
          <t>8.2.4</t>
        </is>
      </c>
      <c r="D357" s="32" t="inlineStr">
        <is>
          <t>Технич. помещения надзем.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A354</f>
        <v/>
      </c>
      <c r="B358" s="31" t="inlineStr">
        <is>
          <t>Черновая</t>
        </is>
      </c>
      <c r="C358" s="31" t="inlineStr">
        <is>
          <t>8.2.5</t>
        </is>
      </c>
      <c r="D358" s="32" t="inlineStr">
        <is>
          <t>Прочие помещения надзем.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>
      <c r="A359" s="30">
        <f>A354</f>
        <v/>
      </c>
      <c r="B359" s="31" t="inlineStr">
        <is>
          <t>Черновая</t>
        </is>
      </c>
      <c r="C359" s="31" t="inlineStr">
        <is>
          <t>8.2.6</t>
        </is>
      </c>
      <c r="D359" s="32" t="inlineStr">
        <is>
          <t>Коммерч. помещения надзем.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A354</f>
        <v/>
      </c>
      <c r="B360" s="31" t="inlineStr">
        <is>
          <t>Черновая</t>
        </is>
      </c>
      <c r="C360" s="31" t="inlineStr">
        <is>
          <t>8.2.7</t>
        </is>
      </c>
      <c r="D360" s="32" t="inlineStr">
        <is>
          <t>Паркинг и рампы надзем.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A354</f>
        <v/>
      </c>
      <c r="B361" s="31" t="inlineStr">
        <is>
          <t>Чистовая</t>
        </is>
      </c>
      <c r="C361" s="31" t="inlineStr">
        <is>
          <t>8.2.1</t>
        </is>
      </c>
      <c r="D361" s="32" t="inlineStr">
        <is>
          <t>Отделка лобби/гранд-лобби</t>
        </is>
      </c>
      <c r="E361" s="33" t="n"/>
      <c r="F361" s="33" t="n"/>
      <c r="G361" s="33" t="n"/>
      <c r="H361" s="33" t="n"/>
      <c r="I361" s="34">
        <f>COUNTA(E361:H361)&amp;"/4"</f>
        <v/>
      </c>
    </row>
    <row r="362" ht="30" customHeight="1" s="74">
      <c r="A362" s="30">
        <f>A354</f>
        <v/>
      </c>
      <c r="B362" s="31" t="inlineStr">
        <is>
          <t>Чистовая</t>
        </is>
      </c>
      <c r="C362" s="31" t="inlineStr">
        <is>
          <t>8.2.2</t>
        </is>
      </c>
      <c r="D362" s="32" t="inlineStr">
        <is>
          <t>Отделка эвакуац. лестн. клетки надзем.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A354</f>
        <v/>
      </c>
      <c r="B363" s="31" t="inlineStr">
        <is>
          <t>Чистовая</t>
        </is>
      </c>
      <c r="C363" s="31" t="inlineStr">
        <is>
          <t>8.2.3</t>
        </is>
      </c>
      <c r="D363" s="32" t="inlineStr">
        <is>
          <t>Лифт. холлы, тамбур-шлюзы надзем.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A354</f>
        <v/>
      </c>
      <c r="B364" s="31" t="inlineStr">
        <is>
          <t>Чистовая</t>
        </is>
      </c>
      <c r="C364" s="31" t="inlineStr">
        <is>
          <t>8.2.4</t>
        </is>
      </c>
      <c r="D364" s="32" t="inlineStr">
        <is>
          <t>Технич. помещения надзем.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>
      <c r="A365" s="30">
        <f>A354</f>
        <v/>
      </c>
      <c r="B365" s="31" t="inlineStr">
        <is>
          <t>Чистовая</t>
        </is>
      </c>
      <c r="C365" s="31" t="inlineStr">
        <is>
          <t>8.2.5</t>
        </is>
      </c>
      <c r="D365" s="32" t="inlineStr">
        <is>
          <t>Прочие помещения надзем.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A354</f>
        <v/>
      </c>
      <c r="B366" s="31" t="inlineStr">
        <is>
          <t>Чистовая</t>
        </is>
      </c>
      <c r="C366" s="31" t="inlineStr">
        <is>
          <t>8.2.6</t>
        </is>
      </c>
      <c r="D366" s="32" t="inlineStr">
        <is>
          <t>Коммерч. помещения надзем.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A354</f>
        <v/>
      </c>
      <c r="B367" s="31" t="inlineStr">
        <is>
          <t>Чистовая</t>
        </is>
      </c>
      <c r="C367" s="31" t="inlineStr">
        <is>
          <t>8.2.7</t>
        </is>
      </c>
      <c r="D367" s="32" t="inlineStr">
        <is>
          <t>Паркинг и рампы надзем.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A354+7</f>
        <v/>
      </c>
      <c r="B368" s="31" t="inlineStr">
        <is>
          <t>Черновая</t>
        </is>
      </c>
      <c r="C368" s="31" t="inlineStr">
        <is>
          <t>8.2.1</t>
        </is>
      </c>
      <c r="D368" s="32" t="inlineStr">
        <is>
          <t>Отделка лобби/гранд-лобби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 ht="30" customHeight="1" s="74">
      <c r="A369" s="30">
        <f>A368</f>
        <v/>
      </c>
      <c r="B369" s="31" t="inlineStr">
        <is>
          <t>Черновая</t>
        </is>
      </c>
      <c r="C369" s="31" t="inlineStr">
        <is>
          <t>8.2.2</t>
        </is>
      </c>
      <c r="D369" s="32" t="inlineStr">
        <is>
          <t>Отделка эвакуац. лестн. клетки надзем.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A368</f>
        <v/>
      </c>
      <c r="B370" s="31" t="inlineStr">
        <is>
          <t>Черновая</t>
        </is>
      </c>
      <c r="C370" s="31" t="inlineStr">
        <is>
          <t>8.2.3</t>
        </is>
      </c>
      <c r="D370" s="32" t="inlineStr">
        <is>
          <t>Лифт. холлы, тамбур-шлюзы надзем.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>
      <c r="A371" s="30">
        <f>A368</f>
        <v/>
      </c>
      <c r="B371" s="31" t="inlineStr">
        <is>
          <t>Черновая</t>
        </is>
      </c>
      <c r="C371" s="31" t="inlineStr">
        <is>
          <t>8.2.4</t>
        </is>
      </c>
      <c r="D371" s="32" t="inlineStr">
        <is>
          <t>Технич. помещения надзем.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A368</f>
        <v/>
      </c>
      <c r="B372" s="31" t="inlineStr">
        <is>
          <t>Черновая</t>
        </is>
      </c>
      <c r="C372" s="31" t="inlineStr">
        <is>
          <t>8.2.5</t>
        </is>
      </c>
      <c r="D372" s="32" t="inlineStr">
        <is>
          <t>Прочие помещения надзем.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A368</f>
        <v/>
      </c>
      <c r="B373" s="31" t="inlineStr">
        <is>
          <t>Черновая</t>
        </is>
      </c>
      <c r="C373" s="31" t="inlineStr">
        <is>
          <t>8.2.6</t>
        </is>
      </c>
      <c r="D373" s="32" t="inlineStr">
        <is>
          <t>Коммерч. помещения надзем.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A368</f>
        <v/>
      </c>
      <c r="B374" s="31" t="inlineStr">
        <is>
          <t>Черновая</t>
        </is>
      </c>
      <c r="C374" s="31" t="inlineStr">
        <is>
          <t>8.2.7</t>
        </is>
      </c>
      <c r="D374" s="32" t="inlineStr">
        <is>
          <t>Паркинг и рампы надзем.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A368</f>
        <v/>
      </c>
      <c r="B375" s="31" t="inlineStr">
        <is>
          <t>Чистовая</t>
        </is>
      </c>
      <c r="C375" s="31" t="inlineStr">
        <is>
          <t>8.2.1</t>
        </is>
      </c>
      <c r="D375" s="32" t="inlineStr">
        <is>
          <t>Отделка лобби/гранд-лобби</t>
        </is>
      </c>
      <c r="E375" s="33" t="n"/>
      <c r="F375" s="33" t="n"/>
      <c r="G375" s="33" t="n"/>
      <c r="H375" s="33" t="n"/>
      <c r="I375" s="34">
        <f>COUNTA(E375:H375)&amp;"/4"</f>
        <v/>
      </c>
    </row>
    <row r="376" ht="30" customHeight="1" s="74">
      <c r="A376" s="30">
        <f>A368</f>
        <v/>
      </c>
      <c r="B376" s="31" t="inlineStr">
        <is>
          <t>Чистовая</t>
        </is>
      </c>
      <c r="C376" s="31" t="inlineStr">
        <is>
          <t>8.2.2</t>
        </is>
      </c>
      <c r="D376" s="32" t="inlineStr">
        <is>
          <t>Отделка эвакуац. лестн. клетки надзем.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>
      <c r="A377" s="30">
        <f>A368</f>
        <v/>
      </c>
      <c r="B377" s="31" t="inlineStr">
        <is>
          <t>Чистовая</t>
        </is>
      </c>
      <c r="C377" s="31" t="inlineStr">
        <is>
          <t>8.2.3</t>
        </is>
      </c>
      <c r="D377" s="32" t="inlineStr">
        <is>
          <t>Лифт. холлы, тамбур-шлюзы надзем.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A368</f>
        <v/>
      </c>
      <c r="B378" s="31" t="inlineStr">
        <is>
          <t>Чистовая</t>
        </is>
      </c>
      <c r="C378" s="31" t="inlineStr">
        <is>
          <t>8.2.4</t>
        </is>
      </c>
      <c r="D378" s="32" t="inlineStr">
        <is>
          <t>Технич. помещения надзем.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A368</f>
        <v/>
      </c>
      <c r="B379" s="31" t="inlineStr">
        <is>
          <t>Чистовая</t>
        </is>
      </c>
      <c r="C379" s="31" t="inlineStr">
        <is>
          <t>8.2.5</t>
        </is>
      </c>
      <c r="D379" s="32" t="inlineStr">
        <is>
          <t>Прочие помещения надзем.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A368</f>
        <v/>
      </c>
      <c r="B380" s="31" t="inlineStr">
        <is>
          <t>Чистовая</t>
        </is>
      </c>
      <c r="C380" s="31" t="inlineStr">
        <is>
          <t>8.2.6</t>
        </is>
      </c>
      <c r="D380" s="32" t="inlineStr">
        <is>
          <t>Коммерч. помещения надзем.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A368</f>
        <v/>
      </c>
      <c r="B381" s="31" t="inlineStr">
        <is>
          <t>Чистовая</t>
        </is>
      </c>
      <c r="C381" s="31" t="inlineStr">
        <is>
          <t>8.2.7</t>
        </is>
      </c>
      <c r="D381" s="32" t="inlineStr">
        <is>
          <t>Паркинг и рампы надзем.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A368+7</f>
        <v/>
      </c>
      <c r="B382" s="31" t="inlineStr">
        <is>
          <t>Черновая</t>
        </is>
      </c>
      <c r="C382" s="31" t="inlineStr">
        <is>
          <t>8.2.1</t>
        </is>
      </c>
      <c r="D382" s="32" t="inlineStr">
        <is>
          <t>Отделка лобби/гранд-лобби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A382</f>
        <v/>
      </c>
      <c r="B383" s="31" t="inlineStr">
        <is>
          <t>Черновая</t>
        </is>
      </c>
      <c r="C383" s="31" t="inlineStr">
        <is>
          <t>8.2.2</t>
        </is>
      </c>
      <c r="D383" s="32" t="inlineStr">
        <is>
          <t>Отделка эвакуац. лестн. клетки надзем.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A382</f>
        <v/>
      </c>
      <c r="B384" s="31" t="inlineStr">
        <is>
          <t>Черновая</t>
        </is>
      </c>
      <c r="C384" s="31" t="inlineStr">
        <is>
          <t>8.2.3</t>
        </is>
      </c>
      <c r="D384" s="32" t="inlineStr">
        <is>
          <t>Лифт. холлы, тамбур-шлюзы надзем.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A382</f>
        <v/>
      </c>
      <c r="B385" s="31" t="inlineStr">
        <is>
          <t>Черновая</t>
        </is>
      </c>
      <c r="C385" s="31" t="inlineStr">
        <is>
          <t>8.2.4</t>
        </is>
      </c>
      <c r="D385" s="32" t="inlineStr">
        <is>
          <t>Технич. помещения надзем.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A382</f>
        <v/>
      </c>
      <c r="B386" s="31" t="inlineStr">
        <is>
          <t>Черновая</t>
        </is>
      </c>
      <c r="C386" s="31" t="inlineStr">
        <is>
          <t>8.2.5</t>
        </is>
      </c>
      <c r="D386" s="32" t="inlineStr">
        <is>
          <t>Прочие помещения надзем.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A382</f>
        <v/>
      </c>
      <c r="B387" s="31" t="inlineStr">
        <is>
          <t>Черновая</t>
        </is>
      </c>
      <c r="C387" s="31" t="inlineStr">
        <is>
          <t>8.2.6</t>
        </is>
      </c>
      <c r="D387" s="32" t="inlineStr">
        <is>
          <t>Коммерч. помещения надзем.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A382</f>
        <v/>
      </c>
      <c r="B388" s="31" t="inlineStr">
        <is>
          <t>Черновая</t>
        </is>
      </c>
      <c r="C388" s="31" t="inlineStr">
        <is>
          <t>8.2.7</t>
        </is>
      </c>
      <c r="D388" s="32" t="inlineStr">
        <is>
          <t>Паркинг и рампы надзем.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>
      <c r="A389" s="30">
        <f>A382</f>
        <v/>
      </c>
      <c r="B389" s="31" t="inlineStr">
        <is>
          <t>Чистовая</t>
        </is>
      </c>
      <c r="C389" s="31" t="inlineStr">
        <is>
          <t>8.2.1</t>
        </is>
      </c>
      <c r="D389" s="32" t="inlineStr">
        <is>
          <t>Отделка лобби/гранд-лобби</t>
        </is>
      </c>
      <c r="E389" s="33" t="n"/>
      <c r="F389" s="33" t="n"/>
      <c r="G389" s="33" t="n"/>
      <c r="H389" s="33" t="n"/>
      <c r="I389" s="34">
        <f>COUNTA(E389:H389)&amp;"/4"</f>
        <v/>
      </c>
    </row>
    <row r="390" ht="30" customHeight="1" s="74">
      <c r="A390" s="30">
        <f>A382</f>
        <v/>
      </c>
      <c r="B390" s="31" t="inlineStr">
        <is>
          <t>Чистовая</t>
        </is>
      </c>
      <c r="C390" s="31" t="inlineStr">
        <is>
          <t>8.2.2</t>
        </is>
      </c>
      <c r="D390" s="32" t="inlineStr">
        <is>
          <t>Отделка эвакуац. лестн. клетки надзем.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A382</f>
        <v/>
      </c>
      <c r="B391" s="31" t="inlineStr">
        <is>
          <t>Чистовая</t>
        </is>
      </c>
      <c r="C391" s="31" t="inlineStr">
        <is>
          <t>8.2.3</t>
        </is>
      </c>
      <c r="D391" s="32" t="inlineStr">
        <is>
          <t>Лифт. холлы, тамбур-шлюзы надзем.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A382</f>
        <v/>
      </c>
      <c r="B392" s="31" t="inlineStr">
        <is>
          <t>Чистовая</t>
        </is>
      </c>
      <c r="C392" s="31" t="inlineStr">
        <is>
          <t>8.2.4</t>
        </is>
      </c>
      <c r="D392" s="32" t="inlineStr">
        <is>
          <t>Технич. помещения надзем.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A382</f>
        <v/>
      </c>
      <c r="B393" s="31" t="inlineStr">
        <is>
          <t>Чистовая</t>
        </is>
      </c>
      <c r="C393" s="31" t="inlineStr">
        <is>
          <t>8.2.5</t>
        </is>
      </c>
      <c r="D393" s="32" t="inlineStr">
        <is>
          <t>Прочие помещения надзем.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A382</f>
        <v/>
      </c>
      <c r="B394" s="31" t="inlineStr">
        <is>
          <t>Чистовая</t>
        </is>
      </c>
      <c r="C394" s="31" t="inlineStr">
        <is>
          <t>8.2.6</t>
        </is>
      </c>
      <c r="D394" s="32" t="inlineStr">
        <is>
          <t>Коммерч. помещения надзем.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>
      <c r="A395" s="30">
        <f>A382</f>
        <v/>
      </c>
      <c r="B395" s="31" t="inlineStr">
        <is>
          <t>Чистовая</t>
        </is>
      </c>
      <c r="C395" s="31" t="inlineStr">
        <is>
          <t>8.2.7</t>
        </is>
      </c>
      <c r="D395" s="32" t="inlineStr">
        <is>
          <t>Паркинг и рампы надзем.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A382+7</f>
        <v/>
      </c>
      <c r="B396" s="31" t="inlineStr">
        <is>
          <t>Черновая</t>
        </is>
      </c>
      <c r="C396" s="31" t="inlineStr">
        <is>
          <t>8.2.1</t>
        </is>
      </c>
      <c r="D396" s="32" t="inlineStr">
        <is>
          <t>Отделка лобби/гранд-лобби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 ht="30" customHeight="1" s="74">
      <c r="A397" s="30">
        <f>A396</f>
        <v/>
      </c>
      <c r="B397" s="31" t="inlineStr">
        <is>
          <t>Черновая</t>
        </is>
      </c>
      <c r="C397" s="31" t="inlineStr">
        <is>
          <t>8.2.2</t>
        </is>
      </c>
      <c r="D397" s="32" t="inlineStr">
        <is>
          <t>Отделка эвакуац. лестн. клетки надзем.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A396</f>
        <v/>
      </c>
      <c r="B398" s="31" t="inlineStr">
        <is>
          <t>Черновая</t>
        </is>
      </c>
      <c r="C398" s="31" t="inlineStr">
        <is>
          <t>8.2.3</t>
        </is>
      </c>
      <c r="D398" s="32" t="inlineStr">
        <is>
          <t>Лифт. холлы, тамбур-шлюзы надзем.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A396</f>
        <v/>
      </c>
      <c r="B399" s="31" t="inlineStr">
        <is>
          <t>Черновая</t>
        </is>
      </c>
      <c r="C399" s="31" t="inlineStr">
        <is>
          <t>8.2.4</t>
        </is>
      </c>
      <c r="D399" s="32" t="inlineStr">
        <is>
          <t>Технич. помещения надзем.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A396</f>
        <v/>
      </c>
      <c r="B400" s="31" t="inlineStr">
        <is>
          <t>Черновая</t>
        </is>
      </c>
      <c r="C400" s="31" t="inlineStr">
        <is>
          <t>8.2.5</t>
        </is>
      </c>
      <c r="D400" s="32" t="inlineStr">
        <is>
          <t>Прочие помещения надзем.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>
      <c r="A401" s="30">
        <f>A396</f>
        <v/>
      </c>
      <c r="B401" s="31" t="inlineStr">
        <is>
          <t>Черновая</t>
        </is>
      </c>
      <c r="C401" s="31" t="inlineStr">
        <is>
          <t>8.2.6</t>
        </is>
      </c>
      <c r="D401" s="32" t="inlineStr">
        <is>
          <t>Коммерч. помещения надзем.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A396</f>
        <v/>
      </c>
      <c r="B402" s="31" t="inlineStr">
        <is>
          <t>Черновая</t>
        </is>
      </c>
      <c r="C402" s="31" t="inlineStr">
        <is>
          <t>8.2.7</t>
        </is>
      </c>
      <c r="D402" s="32" t="inlineStr">
        <is>
          <t>Паркинг и рампы надзем.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A396</f>
        <v/>
      </c>
      <c r="B403" s="31" t="inlineStr">
        <is>
          <t>Чистовая</t>
        </is>
      </c>
      <c r="C403" s="31" t="inlineStr">
        <is>
          <t>8.2.1</t>
        </is>
      </c>
      <c r="D403" s="32" t="inlineStr">
        <is>
          <t>Отделка лобби/гранд-лобби</t>
        </is>
      </c>
      <c r="E403" s="33" t="n"/>
      <c r="F403" s="33" t="n"/>
      <c r="G403" s="33" t="n"/>
      <c r="H403" s="33" t="n"/>
      <c r="I403" s="34">
        <f>COUNTA(E403:H403)&amp;"/4"</f>
        <v/>
      </c>
    </row>
    <row r="404" ht="30" customHeight="1" s="74">
      <c r="A404" s="30">
        <f>A396</f>
        <v/>
      </c>
      <c r="B404" s="31" t="inlineStr">
        <is>
          <t>Чистовая</t>
        </is>
      </c>
      <c r="C404" s="31" t="inlineStr">
        <is>
          <t>8.2.2</t>
        </is>
      </c>
      <c r="D404" s="32" t="inlineStr">
        <is>
          <t>Отделка эвакуац. лестн. клетки надзем.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A396</f>
        <v/>
      </c>
      <c r="B405" s="31" t="inlineStr">
        <is>
          <t>Чистовая</t>
        </is>
      </c>
      <c r="C405" s="31" t="inlineStr">
        <is>
          <t>8.2.3</t>
        </is>
      </c>
      <c r="D405" s="32" t="inlineStr">
        <is>
          <t>Лифт. холлы, тамбур-шлюзы надзем.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A396</f>
        <v/>
      </c>
      <c r="B406" s="31" t="inlineStr">
        <is>
          <t>Чистовая</t>
        </is>
      </c>
      <c r="C406" s="31" t="inlineStr">
        <is>
          <t>8.2.4</t>
        </is>
      </c>
      <c r="D406" s="32" t="inlineStr">
        <is>
          <t>Технич. помещения надзем.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>
      <c r="A407" s="30">
        <f>A396</f>
        <v/>
      </c>
      <c r="B407" s="31" t="inlineStr">
        <is>
          <t>Чистовая</t>
        </is>
      </c>
      <c r="C407" s="31" t="inlineStr">
        <is>
          <t>8.2.5</t>
        </is>
      </c>
      <c r="D407" s="32" t="inlineStr">
        <is>
          <t>Прочие помещения надзем.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A396</f>
        <v/>
      </c>
      <c r="B408" s="31" t="inlineStr">
        <is>
          <t>Чистовая</t>
        </is>
      </c>
      <c r="C408" s="31" t="inlineStr">
        <is>
          <t>8.2.6</t>
        </is>
      </c>
      <c r="D408" s="32" t="inlineStr">
        <is>
          <t>Коммерч. помещения надзем.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A396</f>
        <v/>
      </c>
      <c r="B409" s="31" t="inlineStr">
        <is>
          <t>Чистовая</t>
        </is>
      </c>
      <c r="C409" s="31" t="inlineStr">
        <is>
          <t>8.2.7</t>
        </is>
      </c>
      <c r="D409" s="32" t="inlineStr">
        <is>
          <t>Паркинг и рампы надзем.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A396+7</f>
        <v/>
      </c>
      <c r="B410" s="31" t="inlineStr">
        <is>
          <t>Черновая</t>
        </is>
      </c>
      <c r="C410" s="31" t="inlineStr">
        <is>
          <t>8.2.1</t>
        </is>
      </c>
      <c r="D410" s="32" t="inlineStr">
        <is>
          <t>Отделка лобби/гранд-лобби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 ht="30" customHeight="1" s="74">
      <c r="A411" s="30">
        <f>A410</f>
        <v/>
      </c>
      <c r="B411" s="31" t="inlineStr">
        <is>
          <t>Черновая</t>
        </is>
      </c>
      <c r="C411" s="31" t="inlineStr">
        <is>
          <t>8.2.2</t>
        </is>
      </c>
      <c r="D411" s="32" t="inlineStr">
        <is>
          <t>Отделка эвакуац. лестн. клетки надзем.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A410</f>
        <v/>
      </c>
      <c r="B412" s="31" t="inlineStr">
        <is>
          <t>Черновая</t>
        </is>
      </c>
      <c r="C412" s="31" t="inlineStr">
        <is>
          <t>8.2.3</t>
        </is>
      </c>
      <c r="D412" s="32" t="inlineStr">
        <is>
          <t>Лифт. холлы, тамбур-шлюзы надзем.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>
      <c r="A413" s="30">
        <f>A410</f>
        <v/>
      </c>
      <c r="B413" s="31" t="inlineStr">
        <is>
          <t>Черновая</t>
        </is>
      </c>
      <c r="C413" s="31" t="inlineStr">
        <is>
          <t>8.2.4</t>
        </is>
      </c>
      <c r="D413" s="32" t="inlineStr">
        <is>
          <t>Технич. помещения надзем.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A410</f>
        <v/>
      </c>
      <c r="B414" s="31" t="inlineStr">
        <is>
          <t>Черновая</t>
        </is>
      </c>
      <c r="C414" s="31" t="inlineStr">
        <is>
          <t>8.2.5</t>
        </is>
      </c>
      <c r="D414" s="32" t="inlineStr">
        <is>
          <t>Прочие помещения надзем.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A410</f>
        <v/>
      </c>
      <c r="B415" s="31" t="inlineStr">
        <is>
          <t>Черновая</t>
        </is>
      </c>
      <c r="C415" s="31" t="inlineStr">
        <is>
          <t>8.2.6</t>
        </is>
      </c>
      <c r="D415" s="32" t="inlineStr">
        <is>
          <t>Коммерч. помещения надзем.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A410</f>
        <v/>
      </c>
      <c r="B416" s="31" t="inlineStr">
        <is>
          <t>Черновая</t>
        </is>
      </c>
      <c r="C416" s="31" t="inlineStr">
        <is>
          <t>8.2.7</t>
        </is>
      </c>
      <c r="D416" s="32" t="inlineStr">
        <is>
          <t>Паркинг и рампы надзем.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A410</f>
        <v/>
      </c>
      <c r="B417" s="31" t="inlineStr">
        <is>
          <t>Чистовая</t>
        </is>
      </c>
      <c r="C417" s="31" t="inlineStr">
        <is>
          <t>8.2.1</t>
        </is>
      </c>
      <c r="D417" s="32" t="inlineStr">
        <is>
          <t>Отделка лобби/гранд-лобби</t>
        </is>
      </c>
      <c r="E417" s="33" t="n"/>
      <c r="F417" s="33" t="n"/>
      <c r="G417" s="33" t="n"/>
      <c r="H417" s="33" t="n"/>
      <c r="I417" s="34">
        <f>COUNTA(E417:H417)&amp;"/4"</f>
        <v/>
      </c>
    </row>
    <row r="418" ht="30" customHeight="1" s="74">
      <c r="A418" s="30">
        <f>A410</f>
        <v/>
      </c>
      <c r="B418" s="31" t="inlineStr">
        <is>
          <t>Чистовая</t>
        </is>
      </c>
      <c r="C418" s="31" t="inlineStr">
        <is>
          <t>8.2.2</t>
        </is>
      </c>
      <c r="D418" s="32" t="inlineStr">
        <is>
          <t>Отделка эвакуац. лестн. клетки надзем.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>
      <c r="A419" s="30">
        <f>A410</f>
        <v/>
      </c>
      <c r="B419" s="31" t="inlineStr">
        <is>
          <t>Чистовая</t>
        </is>
      </c>
      <c r="C419" s="31" t="inlineStr">
        <is>
          <t>8.2.3</t>
        </is>
      </c>
      <c r="D419" s="32" t="inlineStr">
        <is>
          <t>Лифт. холлы, тамбур-шлюзы надзем.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A410</f>
        <v/>
      </c>
      <c r="B420" s="31" t="inlineStr">
        <is>
          <t>Чистовая</t>
        </is>
      </c>
      <c r="C420" s="31" t="inlineStr">
        <is>
          <t>8.2.4</t>
        </is>
      </c>
      <c r="D420" s="32" t="inlineStr">
        <is>
          <t>Технич. помещения надзем.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A410</f>
        <v/>
      </c>
      <c r="B421" s="31" t="inlineStr">
        <is>
          <t>Чистовая</t>
        </is>
      </c>
      <c r="C421" s="31" t="inlineStr">
        <is>
          <t>8.2.5</t>
        </is>
      </c>
      <c r="D421" s="32" t="inlineStr">
        <is>
          <t>Прочие помещения надзем.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A410</f>
        <v/>
      </c>
      <c r="B422" s="31" t="inlineStr">
        <is>
          <t>Чистовая</t>
        </is>
      </c>
      <c r="C422" s="31" t="inlineStr">
        <is>
          <t>8.2.6</t>
        </is>
      </c>
      <c r="D422" s="32" t="inlineStr">
        <is>
          <t>Коммерч. помещения надзем.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A410</f>
        <v/>
      </c>
      <c r="B423" s="31" t="inlineStr">
        <is>
          <t>Чистовая</t>
        </is>
      </c>
      <c r="C423" s="31" t="inlineStr">
        <is>
          <t>8.2.7</t>
        </is>
      </c>
      <c r="D423" s="32" t="inlineStr">
        <is>
          <t>Паркинг и рампы надзем.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A410+7</f>
        <v/>
      </c>
      <c r="B424" s="31" t="inlineStr">
        <is>
          <t>Черновая</t>
        </is>
      </c>
      <c r="C424" s="31" t="inlineStr">
        <is>
          <t>8.2.1</t>
        </is>
      </c>
      <c r="D424" s="32" t="inlineStr">
        <is>
          <t>Отделка лобби/гранд-лобби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8.2.2</t>
        </is>
      </c>
      <c r="D425" s="32" t="inlineStr">
        <is>
          <t>Отделка эвакуац. лестн. клетки надзем.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8.2.3</t>
        </is>
      </c>
      <c r="D426" s="32" t="inlineStr">
        <is>
          <t>Лифт. холлы, тамбур-шлюзы надзем.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8.2.4</t>
        </is>
      </c>
      <c r="D427" s="32" t="inlineStr">
        <is>
          <t>Технич. помещения надзем.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8.2.5</t>
        </is>
      </c>
      <c r="D428" s="32" t="inlineStr">
        <is>
          <t>Прочие помещения надзем.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8.2.6</t>
        </is>
      </c>
      <c r="D429" s="32" t="inlineStr">
        <is>
          <t>Коммерч. помещения надзем.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Черновая</t>
        </is>
      </c>
      <c r="C430" s="31" t="inlineStr">
        <is>
          <t>8.2.7</t>
        </is>
      </c>
      <c r="D430" s="32" t="inlineStr">
        <is>
          <t>Паркинг и рампы надзем.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>
      <c r="A431" s="30">
        <f>A424</f>
        <v/>
      </c>
      <c r="B431" s="31" t="inlineStr">
        <is>
          <t>Чистовая</t>
        </is>
      </c>
      <c r="C431" s="31" t="inlineStr">
        <is>
          <t>8.2.1</t>
        </is>
      </c>
      <c r="D431" s="32" t="inlineStr">
        <is>
          <t>Отделка лобби/гранд-лобби</t>
        </is>
      </c>
      <c r="E431" s="33" t="n"/>
      <c r="F431" s="33" t="n"/>
      <c r="G431" s="33" t="n"/>
      <c r="H431" s="33" t="n"/>
      <c r="I431" s="34">
        <f>COUNTA(E431:H431)&amp;"/4"</f>
        <v/>
      </c>
    </row>
    <row r="432" ht="30" customHeight="1" s="74">
      <c r="A432" s="30">
        <f>A424</f>
        <v/>
      </c>
      <c r="B432" s="31" t="inlineStr">
        <is>
          <t>Чистовая</t>
        </is>
      </c>
      <c r="C432" s="31" t="inlineStr">
        <is>
          <t>8.2.2</t>
        </is>
      </c>
      <c r="D432" s="32" t="inlineStr">
        <is>
          <t>Отделка эвакуац. лестн. клетки надзем.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8.2.3</t>
        </is>
      </c>
      <c r="D433" s="32" t="inlineStr">
        <is>
          <t>Лифт. холлы, тамбур-шлюзы надзем.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8.2.4</t>
        </is>
      </c>
      <c r="D434" s="32" t="inlineStr">
        <is>
          <t>Технич. помещения надзем.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8.2.5</t>
        </is>
      </c>
      <c r="D435" s="32" t="inlineStr">
        <is>
          <t>Прочие помещения надзем.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</f>
        <v/>
      </c>
      <c r="B436" s="31" t="inlineStr">
        <is>
          <t>Чистовая</t>
        </is>
      </c>
      <c r="C436" s="31" t="inlineStr">
        <is>
          <t>8.2.6</t>
        </is>
      </c>
      <c r="D436" s="32" t="inlineStr">
        <is>
          <t>Коммерч. помещения надзем.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>
      <c r="A437" s="30">
        <f>A424</f>
        <v/>
      </c>
      <c r="B437" s="31" t="inlineStr">
        <is>
          <t>Чистовая</t>
        </is>
      </c>
      <c r="C437" s="31" t="inlineStr">
        <is>
          <t>8.2.7</t>
        </is>
      </c>
      <c r="D437" s="32" t="inlineStr">
        <is>
          <t>Паркинг и рампы надзем.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A424+7</f>
        <v/>
      </c>
      <c r="B438" s="31" t="inlineStr">
        <is>
          <t>Черновая</t>
        </is>
      </c>
      <c r="C438" s="31" t="inlineStr">
        <is>
          <t>8.2.1</t>
        </is>
      </c>
      <c r="D438" s="32" t="inlineStr">
        <is>
          <t>Отделка лобби/гранд-лобби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 ht="30" customHeight="1" s="74">
      <c r="A439" s="30">
        <f>A438</f>
        <v/>
      </c>
      <c r="B439" s="31" t="inlineStr">
        <is>
          <t>Черновая</t>
        </is>
      </c>
      <c r="C439" s="31" t="inlineStr">
        <is>
          <t>8.2.2</t>
        </is>
      </c>
      <c r="D439" s="32" t="inlineStr">
        <is>
          <t>Отделка эвакуац. лестн. клетки надзем.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A438</f>
        <v/>
      </c>
      <c r="B440" s="31" t="inlineStr">
        <is>
          <t>Черновая</t>
        </is>
      </c>
      <c r="C440" s="31" t="inlineStr">
        <is>
          <t>8.2.3</t>
        </is>
      </c>
      <c r="D440" s="32" t="inlineStr">
        <is>
          <t>Лифт. холлы, тамбур-шлюзы надзем.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A438</f>
        <v/>
      </c>
      <c r="B441" s="31" t="inlineStr">
        <is>
          <t>Черновая</t>
        </is>
      </c>
      <c r="C441" s="31" t="inlineStr">
        <is>
          <t>8.2.4</t>
        </is>
      </c>
      <c r="D441" s="32" t="inlineStr">
        <is>
          <t>Технич. помещения надзем.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A438</f>
        <v/>
      </c>
      <c r="B442" s="31" t="inlineStr">
        <is>
          <t>Черновая</t>
        </is>
      </c>
      <c r="C442" s="31" t="inlineStr">
        <is>
          <t>8.2.5</t>
        </is>
      </c>
      <c r="D442" s="32" t="inlineStr">
        <is>
          <t>Прочие помещения надзем.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>
      <c r="A443" s="30">
        <f>A438</f>
        <v/>
      </c>
      <c r="B443" s="31" t="inlineStr">
        <is>
          <t>Черновая</t>
        </is>
      </c>
      <c r="C443" s="31" t="inlineStr">
        <is>
          <t>8.2.6</t>
        </is>
      </c>
      <c r="D443" s="32" t="inlineStr">
        <is>
          <t>Коммерч. помещения надзем.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A438</f>
        <v/>
      </c>
      <c r="B444" s="31" t="inlineStr">
        <is>
          <t>Черновая</t>
        </is>
      </c>
      <c r="C444" s="31" t="inlineStr">
        <is>
          <t>8.2.7</t>
        </is>
      </c>
      <c r="D444" s="32" t="inlineStr">
        <is>
          <t>Паркинг и рампы надзем.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A438</f>
        <v/>
      </c>
      <c r="B445" s="31" t="inlineStr">
        <is>
          <t>Чистовая</t>
        </is>
      </c>
      <c r="C445" s="31" t="inlineStr">
        <is>
          <t>8.2.1</t>
        </is>
      </c>
      <c r="D445" s="32" t="inlineStr">
        <is>
          <t>Отделка лобби/гранд-лобби</t>
        </is>
      </c>
      <c r="E445" s="33" t="n"/>
      <c r="F445" s="33" t="n"/>
      <c r="G445" s="33" t="n"/>
      <c r="H445" s="33" t="n"/>
      <c r="I445" s="34">
        <f>COUNTA(E445:H445)&amp;"/4"</f>
        <v/>
      </c>
    </row>
    <row r="446" ht="30" customHeight="1" s="74">
      <c r="A446" s="30">
        <f>A438</f>
        <v/>
      </c>
      <c r="B446" s="31" t="inlineStr">
        <is>
          <t>Чистовая</t>
        </is>
      </c>
      <c r="C446" s="31" t="inlineStr">
        <is>
          <t>8.2.2</t>
        </is>
      </c>
      <c r="D446" s="32" t="inlineStr">
        <is>
          <t>Отделка эвакуац. лестн. клетки надзем.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A438</f>
        <v/>
      </c>
      <c r="B447" s="31" t="inlineStr">
        <is>
          <t>Чистовая</t>
        </is>
      </c>
      <c r="C447" s="31" t="inlineStr">
        <is>
          <t>8.2.3</t>
        </is>
      </c>
      <c r="D447" s="32" t="inlineStr">
        <is>
          <t>Лифт. холлы, тамбур-шлюзы надзем.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A438</f>
        <v/>
      </c>
      <c r="B448" s="31" t="inlineStr">
        <is>
          <t>Чистовая</t>
        </is>
      </c>
      <c r="C448" s="31" t="inlineStr">
        <is>
          <t>8.2.4</t>
        </is>
      </c>
      <c r="D448" s="32" t="inlineStr">
        <is>
          <t>Технич. помещения надзем.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>
      <c r="A449" s="30">
        <f>A438</f>
        <v/>
      </c>
      <c r="B449" s="31" t="inlineStr">
        <is>
          <t>Чистовая</t>
        </is>
      </c>
      <c r="C449" s="31" t="inlineStr">
        <is>
          <t>8.2.5</t>
        </is>
      </c>
      <c r="D449" s="32" t="inlineStr">
        <is>
          <t>Прочие помещения надзем.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A438</f>
        <v/>
      </c>
      <c r="B450" s="31" t="inlineStr">
        <is>
          <t>Чистовая</t>
        </is>
      </c>
      <c r="C450" s="31" t="inlineStr">
        <is>
          <t>8.2.6</t>
        </is>
      </c>
      <c r="D450" s="32" t="inlineStr">
        <is>
          <t>Коммерч. помещения надзем.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A438</f>
        <v/>
      </c>
      <c r="B451" s="31" t="inlineStr">
        <is>
          <t>Чистовая</t>
        </is>
      </c>
      <c r="C451" s="31" t="inlineStr">
        <is>
          <t>8.2.7</t>
        </is>
      </c>
      <c r="D451" s="32" t="inlineStr">
        <is>
          <t>Паркинг и рампы надзем.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A438+7</f>
        <v/>
      </c>
      <c r="B452" s="31" t="inlineStr">
        <is>
          <t>Черновая</t>
        </is>
      </c>
      <c r="C452" s="31" t="inlineStr">
        <is>
          <t>8.2.1</t>
        </is>
      </c>
      <c r="D452" s="32" t="inlineStr">
        <is>
          <t>Отделка лобби/гранд-лобби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 ht="30" customHeight="1" s="74">
      <c r="A453" s="30">
        <f>A452</f>
        <v/>
      </c>
      <c r="B453" s="31" t="inlineStr">
        <is>
          <t>Черновая</t>
        </is>
      </c>
      <c r="C453" s="31" t="inlineStr">
        <is>
          <t>8.2.2</t>
        </is>
      </c>
      <c r="D453" s="32" t="inlineStr">
        <is>
          <t>Отделка эвакуац. лестн. клетки надзем.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A452</f>
        <v/>
      </c>
      <c r="B454" s="31" t="inlineStr">
        <is>
          <t>Черновая</t>
        </is>
      </c>
      <c r="C454" s="31" t="inlineStr">
        <is>
          <t>8.2.3</t>
        </is>
      </c>
      <c r="D454" s="32" t="inlineStr">
        <is>
          <t>Лифт. холлы, тамбур-шлюзы надзем.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>
      <c r="A455" s="30">
        <f>A452</f>
        <v/>
      </c>
      <c r="B455" s="31" t="inlineStr">
        <is>
          <t>Черновая</t>
        </is>
      </c>
      <c r="C455" s="31" t="inlineStr">
        <is>
          <t>8.2.4</t>
        </is>
      </c>
      <c r="D455" s="32" t="inlineStr">
        <is>
          <t>Технич. помещения надзем.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A452</f>
        <v/>
      </c>
      <c r="B456" s="31" t="inlineStr">
        <is>
          <t>Черновая</t>
        </is>
      </c>
      <c r="C456" s="31" t="inlineStr">
        <is>
          <t>8.2.5</t>
        </is>
      </c>
      <c r="D456" s="32" t="inlineStr">
        <is>
          <t>Прочие помещения надзем.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A452</f>
        <v/>
      </c>
      <c r="B457" s="31" t="inlineStr">
        <is>
          <t>Черновая</t>
        </is>
      </c>
      <c r="C457" s="31" t="inlineStr">
        <is>
          <t>8.2.6</t>
        </is>
      </c>
      <c r="D457" s="32" t="inlineStr">
        <is>
          <t>Коммерч. помещения надзем.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A452</f>
        <v/>
      </c>
      <c r="B458" s="31" t="inlineStr">
        <is>
          <t>Черновая</t>
        </is>
      </c>
      <c r="C458" s="31" t="inlineStr">
        <is>
          <t>8.2.7</t>
        </is>
      </c>
      <c r="D458" s="32" t="inlineStr">
        <is>
          <t>Паркинг и рампы надзем.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A452</f>
        <v/>
      </c>
      <c r="B459" s="31" t="inlineStr">
        <is>
          <t>Чистовая</t>
        </is>
      </c>
      <c r="C459" s="31" t="inlineStr">
        <is>
          <t>8.2.1</t>
        </is>
      </c>
      <c r="D459" s="32" t="inlineStr">
        <is>
          <t>Отделка лобби/гранд-лобби</t>
        </is>
      </c>
      <c r="E459" s="33" t="n"/>
      <c r="F459" s="33" t="n"/>
      <c r="G459" s="33" t="n"/>
      <c r="H459" s="33" t="n"/>
      <c r="I459" s="34">
        <f>COUNTA(E459:H459)&amp;"/4"</f>
        <v/>
      </c>
    </row>
    <row r="460" ht="30" customHeight="1" s="74">
      <c r="A460" s="30">
        <f>A452</f>
        <v/>
      </c>
      <c r="B460" s="31" t="inlineStr">
        <is>
          <t>Чистовая</t>
        </is>
      </c>
      <c r="C460" s="31" t="inlineStr">
        <is>
          <t>8.2.2</t>
        </is>
      </c>
      <c r="D460" s="32" t="inlineStr">
        <is>
          <t>Отделка эвакуац. лестн. клетки надзем.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>
      <c r="A461" s="30">
        <f>A452</f>
        <v/>
      </c>
      <c r="B461" s="31" t="inlineStr">
        <is>
          <t>Чистовая</t>
        </is>
      </c>
      <c r="C461" s="31" t="inlineStr">
        <is>
          <t>8.2.3</t>
        </is>
      </c>
      <c r="D461" s="32" t="inlineStr">
        <is>
          <t>Лифт. холлы, тамбур-шлюзы надзем.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A452</f>
        <v/>
      </c>
      <c r="B462" s="31" t="inlineStr">
        <is>
          <t>Чистовая</t>
        </is>
      </c>
      <c r="C462" s="31" t="inlineStr">
        <is>
          <t>8.2.4</t>
        </is>
      </c>
      <c r="D462" s="32" t="inlineStr">
        <is>
          <t>Технич. помещения надзем.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A452</f>
        <v/>
      </c>
      <c r="B463" s="31" t="inlineStr">
        <is>
          <t>Чистовая</t>
        </is>
      </c>
      <c r="C463" s="31" t="inlineStr">
        <is>
          <t>8.2.5</t>
        </is>
      </c>
      <c r="D463" s="32" t="inlineStr">
        <is>
          <t>Прочие помещения надзем.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A452</f>
        <v/>
      </c>
      <c r="B464" s="31" t="inlineStr">
        <is>
          <t>Чистовая</t>
        </is>
      </c>
      <c r="C464" s="31" t="inlineStr">
        <is>
          <t>8.2.6</t>
        </is>
      </c>
      <c r="D464" s="32" t="inlineStr">
        <is>
          <t>Коммерч. помещения надзем.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A452</f>
        <v/>
      </c>
      <c r="B465" s="31" t="inlineStr">
        <is>
          <t>Чистовая</t>
        </is>
      </c>
      <c r="C465" s="31" t="inlineStr">
        <is>
          <t>8.2.7</t>
        </is>
      </c>
      <c r="D465" s="32" t="inlineStr">
        <is>
          <t>Паркинг и рампы надзем.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A452+7</f>
        <v/>
      </c>
      <c r="B466" s="31" t="inlineStr">
        <is>
          <t>Черновая</t>
        </is>
      </c>
      <c r="C466" s="31" t="inlineStr">
        <is>
          <t>8.2.1</t>
        </is>
      </c>
      <c r="D466" s="32" t="inlineStr">
        <is>
          <t>Отделка лобби/гранд-лобби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A466</f>
        <v/>
      </c>
      <c r="B467" s="31" t="inlineStr">
        <is>
          <t>Черновая</t>
        </is>
      </c>
      <c r="C467" s="31" t="inlineStr">
        <is>
          <t>8.2.2</t>
        </is>
      </c>
      <c r="D467" s="32" t="inlineStr">
        <is>
          <t>Отделка эвакуац. лестн. клетки надзем.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A466</f>
        <v/>
      </c>
      <c r="B468" s="31" t="inlineStr">
        <is>
          <t>Черновая</t>
        </is>
      </c>
      <c r="C468" s="31" t="inlineStr">
        <is>
          <t>8.2.3</t>
        </is>
      </c>
      <c r="D468" s="32" t="inlineStr">
        <is>
          <t>Лифт. холлы, тамбур-шлюзы надзем.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A466</f>
        <v/>
      </c>
      <c r="B469" s="31" t="inlineStr">
        <is>
          <t>Черновая</t>
        </is>
      </c>
      <c r="C469" s="31" t="inlineStr">
        <is>
          <t>8.2.4</t>
        </is>
      </c>
      <c r="D469" s="32" t="inlineStr">
        <is>
          <t>Технич. помещения надзем.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A466</f>
        <v/>
      </c>
      <c r="B470" s="31" t="inlineStr">
        <is>
          <t>Черновая</t>
        </is>
      </c>
      <c r="C470" s="31" t="inlineStr">
        <is>
          <t>8.2.5</t>
        </is>
      </c>
      <c r="D470" s="32" t="inlineStr">
        <is>
          <t>Прочие помещения надзем.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A466</f>
        <v/>
      </c>
      <c r="B471" s="31" t="inlineStr">
        <is>
          <t>Черновая</t>
        </is>
      </c>
      <c r="C471" s="31" t="inlineStr">
        <is>
          <t>8.2.6</t>
        </is>
      </c>
      <c r="D471" s="32" t="inlineStr">
        <is>
          <t>Коммерч. помещения надзем.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A466</f>
        <v/>
      </c>
      <c r="B472" s="31" t="inlineStr">
        <is>
          <t>Черновая</t>
        </is>
      </c>
      <c r="C472" s="31" t="inlineStr">
        <is>
          <t>8.2.7</t>
        </is>
      </c>
      <c r="D472" s="32" t="inlineStr">
        <is>
          <t>Паркинг и рампы надзем.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>
      <c r="A473" s="30">
        <f>A466</f>
        <v/>
      </c>
      <c r="B473" s="31" t="inlineStr">
        <is>
          <t>Чистовая</t>
        </is>
      </c>
      <c r="C473" s="31" t="inlineStr">
        <is>
          <t>8.2.1</t>
        </is>
      </c>
      <c r="D473" s="32" t="inlineStr">
        <is>
          <t>Отделка лобби/гранд-лобби</t>
        </is>
      </c>
      <c r="E473" s="33" t="n"/>
      <c r="F473" s="33" t="n"/>
      <c r="G473" s="33" t="n"/>
      <c r="H473" s="33" t="n"/>
      <c r="I473" s="34">
        <f>COUNTA(E473:H473)&amp;"/4"</f>
        <v/>
      </c>
    </row>
    <row r="474" ht="30" customHeight="1" s="74">
      <c r="A474" s="30">
        <f>A466</f>
        <v/>
      </c>
      <c r="B474" s="31" t="inlineStr">
        <is>
          <t>Чистовая</t>
        </is>
      </c>
      <c r="C474" s="31" t="inlineStr">
        <is>
          <t>8.2.2</t>
        </is>
      </c>
      <c r="D474" s="32" t="inlineStr">
        <is>
          <t>Отделка эвакуац. лестн. клетки надзем.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A466</f>
        <v/>
      </c>
      <c r="B475" s="31" t="inlineStr">
        <is>
          <t>Чистовая</t>
        </is>
      </c>
      <c r="C475" s="31" t="inlineStr">
        <is>
          <t>8.2.3</t>
        </is>
      </c>
      <c r="D475" s="32" t="inlineStr">
        <is>
          <t>Лифт. холлы, тамбур-шлюзы надзем.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A466</f>
        <v/>
      </c>
      <c r="B476" s="31" t="inlineStr">
        <is>
          <t>Чистовая</t>
        </is>
      </c>
      <c r="C476" s="31" t="inlineStr">
        <is>
          <t>8.2.4</t>
        </is>
      </c>
      <c r="D476" s="32" t="inlineStr">
        <is>
          <t>Технич. помещения надзем.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A466</f>
        <v/>
      </c>
      <c r="B477" s="31" t="inlineStr">
        <is>
          <t>Чистовая</t>
        </is>
      </c>
      <c r="C477" s="31" t="inlineStr">
        <is>
          <t>8.2.5</t>
        </is>
      </c>
      <c r="D477" s="32" t="inlineStr">
        <is>
          <t>Прочие помещения надзем.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A466</f>
        <v/>
      </c>
      <c r="B478" s="31" t="inlineStr">
        <is>
          <t>Чистовая</t>
        </is>
      </c>
      <c r="C478" s="31" t="inlineStr">
        <is>
          <t>8.2.6</t>
        </is>
      </c>
      <c r="D478" s="32" t="inlineStr">
        <is>
          <t>Коммерч. помещения надзем.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>
      <c r="A479" s="30">
        <f>A466</f>
        <v/>
      </c>
      <c r="B479" s="31" t="inlineStr">
        <is>
          <t>Чистовая</t>
        </is>
      </c>
      <c r="C479" s="31" t="inlineStr">
        <is>
          <t>8.2.7</t>
        </is>
      </c>
      <c r="D479" s="32" t="inlineStr">
        <is>
          <t>Паркинг и рампы надзем.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A466+7</f>
        <v/>
      </c>
      <c r="B480" s="31" t="inlineStr">
        <is>
          <t>Черновая</t>
        </is>
      </c>
      <c r="C480" s="31" t="inlineStr">
        <is>
          <t>8.2.1</t>
        </is>
      </c>
      <c r="D480" s="32" t="inlineStr">
        <is>
          <t>Отделка лобби/гранд-лобби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 ht="30" customHeight="1" s="74">
      <c r="A481" s="30">
        <f>A480</f>
        <v/>
      </c>
      <c r="B481" s="31" t="inlineStr">
        <is>
          <t>Черновая</t>
        </is>
      </c>
      <c r="C481" s="31" t="inlineStr">
        <is>
          <t>8.2.2</t>
        </is>
      </c>
      <c r="D481" s="32" t="inlineStr">
        <is>
          <t>Отделка эвакуац. лестн. клетки надзем.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A480</f>
        <v/>
      </c>
      <c r="B482" s="31" t="inlineStr">
        <is>
          <t>Черновая</t>
        </is>
      </c>
      <c r="C482" s="31" t="inlineStr">
        <is>
          <t>8.2.3</t>
        </is>
      </c>
      <c r="D482" s="32" t="inlineStr">
        <is>
          <t>Лифт. холлы, тамбур-шлюзы надзем.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A480</f>
        <v/>
      </c>
      <c r="B483" s="31" t="inlineStr">
        <is>
          <t>Черновая</t>
        </is>
      </c>
      <c r="C483" s="31" t="inlineStr">
        <is>
          <t>8.2.4</t>
        </is>
      </c>
      <c r="D483" s="32" t="inlineStr">
        <is>
          <t>Технич. помещения надзем.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A480</f>
        <v/>
      </c>
      <c r="B484" s="31" t="inlineStr">
        <is>
          <t>Черновая</t>
        </is>
      </c>
      <c r="C484" s="31" t="inlineStr">
        <is>
          <t>8.2.5</t>
        </is>
      </c>
      <c r="D484" s="32" t="inlineStr">
        <is>
          <t>Прочие помещения надзем.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>
      <c r="A485" s="30">
        <f>A480</f>
        <v/>
      </c>
      <c r="B485" s="31" t="inlineStr">
        <is>
          <t>Черновая</t>
        </is>
      </c>
      <c r="C485" s="31" t="inlineStr">
        <is>
          <t>8.2.6</t>
        </is>
      </c>
      <c r="D485" s="32" t="inlineStr">
        <is>
          <t>Коммерч. помещения надзем.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A480</f>
        <v/>
      </c>
      <c r="B486" s="31" t="inlineStr">
        <is>
          <t>Черновая</t>
        </is>
      </c>
      <c r="C486" s="31" t="inlineStr">
        <is>
          <t>8.2.7</t>
        </is>
      </c>
      <c r="D486" s="32" t="inlineStr">
        <is>
          <t>Паркинг и рампы надзем.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A480</f>
        <v/>
      </c>
      <c r="B487" s="31" t="inlineStr">
        <is>
          <t>Чистовая</t>
        </is>
      </c>
      <c r="C487" s="31" t="inlineStr">
        <is>
          <t>8.2.1</t>
        </is>
      </c>
      <c r="D487" s="32" t="inlineStr">
        <is>
          <t>Отделка лобби/гранд-лобби</t>
        </is>
      </c>
      <c r="E487" s="33" t="n"/>
      <c r="F487" s="33" t="n"/>
      <c r="G487" s="33" t="n"/>
      <c r="H487" s="33" t="n"/>
      <c r="I487" s="34">
        <f>COUNTA(E487:H487)&amp;"/4"</f>
        <v/>
      </c>
    </row>
    <row r="488" ht="30" customHeight="1" s="74">
      <c r="A488" s="30">
        <f>A480</f>
        <v/>
      </c>
      <c r="B488" s="31" t="inlineStr">
        <is>
          <t>Чистовая</t>
        </is>
      </c>
      <c r="C488" s="31" t="inlineStr">
        <is>
          <t>8.2.2</t>
        </is>
      </c>
      <c r="D488" s="32" t="inlineStr">
        <is>
          <t>Отделка эвакуац. лестн. клетки надзем.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A480</f>
        <v/>
      </c>
      <c r="B489" s="31" t="inlineStr">
        <is>
          <t>Чистовая</t>
        </is>
      </c>
      <c r="C489" s="31" t="inlineStr">
        <is>
          <t>8.2.3</t>
        </is>
      </c>
      <c r="D489" s="32" t="inlineStr">
        <is>
          <t>Лифт. холлы, тамбур-шлюзы надзем.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A480</f>
        <v/>
      </c>
      <c r="B490" s="31" t="inlineStr">
        <is>
          <t>Чистовая</t>
        </is>
      </c>
      <c r="C490" s="31" t="inlineStr">
        <is>
          <t>8.2.4</t>
        </is>
      </c>
      <c r="D490" s="32" t="inlineStr">
        <is>
          <t>Технич. помещения надзем.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>
      <c r="A491" s="30">
        <f>A480</f>
        <v/>
      </c>
      <c r="B491" s="31" t="inlineStr">
        <is>
          <t>Чистовая</t>
        </is>
      </c>
      <c r="C491" s="31" t="inlineStr">
        <is>
          <t>8.2.5</t>
        </is>
      </c>
      <c r="D491" s="32" t="inlineStr">
        <is>
          <t>Прочие помещения надзем.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A480</f>
        <v/>
      </c>
      <c r="B492" s="31" t="inlineStr">
        <is>
          <t>Чистовая</t>
        </is>
      </c>
      <c r="C492" s="31" t="inlineStr">
        <is>
          <t>8.2.6</t>
        </is>
      </c>
      <c r="D492" s="32" t="inlineStr">
        <is>
          <t>Коммерч. помещения надзем.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A480</f>
        <v/>
      </c>
      <c r="B493" s="31" t="inlineStr">
        <is>
          <t>Чистовая</t>
        </is>
      </c>
      <c r="C493" s="31" t="inlineStr">
        <is>
          <t>8.2.7</t>
        </is>
      </c>
      <c r="D493" s="32" t="inlineStr">
        <is>
          <t>Паркинг и рампы надзем.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A480+7</f>
        <v/>
      </c>
      <c r="B494" s="31" t="inlineStr">
        <is>
          <t>Черновая</t>
        </is>
      </c>
      <c r="C494" s="31" t="inlineStr">
        <is>
          <t>8.2.1</t>
        </is>
      </c>
      <c r="D494" s="32" t="inlineStr">
        <is>
          <t>Отделка лобби/гранд-лобби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 ht="30" customHeight="1" s="74">
      <c r="A495" s="30">
        <f>A494</f>
        <v/>
      </c>
      <c r="B495" s="31" t="inlineStr">
        <is>
          <t>Черновая</t>
        </is>
      </c>
      <c r="C495" s="31" t="inlineStr">
        <is>
          <t>8.2.2</t>
        </is>
      </c>
      <c r="D495" s="32" t="inlineStr">
        <is>
          <t>Отделка эвакуац. лестн. клетки надзем.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A494</f>
        <v/>
      </c>
      <c r="B496" s="31" t="inlineStr">
        <is>
          <t>Черновая</t>
        </is>
      </c>
      <c r="C496" s="31" t="inlineStr">
        <is>
          <t>8.2.3</t>
        </is>
      </c>
      <c r="D496" s="32" t="inlineStr">
        <is>
          <t>Лифт. холлы, тамбур-шлюзы надзем.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>
      <c r="A497" s="30">
        <f>A494</f>
        <v/>
      </c>
      <c r="B497" s="31" t="inlineStr">
        <is>
          <t>Черновая</t>
        </is>
      </c>
      <c r="C497" s="31" t="inlineStr">
        <is>
          <t>8.2.4</t>
        </is>
      </c>
      <c r="D497" s="32" t="inlineStr">
        <is>
          <t>Технич. помещения надзем.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A494</f>
        <v/>
      </c>
      <c r="B498" s="31" t="inlineStr">
        <is>
          <t>Черновая</t>
        </is>
      </c>
      <c r="C498" s="31" t="inlineStr">
        <is>
          <t>8.2.5</t>
        </is>
      </c>
      <c r="D498" s="32" t="inlineStr">
        <is>
          <t>Прочие помещения надзем.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A494</f>
        <v/>
      </c>
      <c r="B499" s="31" t="inlineStr">
        <is>
          <t>Черновая</t>
        </is>
      </c>
      <c r="C499" s="31" t="inlineStr">
        <is>
          <t>8.2.6</t>
        </is>
      </c>
      <c r="D499" s="32" t="inlineStr">
        <is>
          <t>Коммерч. помещения надзем.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A494</f>
        <v/>
      </c>
      <c r="B500" s="31" t="inlineStr">
        <is>
          <t>Черновая</t>
        </is>
      </c>
      <c r="C500" s="31" t="inlineStr">
        <is>
          <t>8.2.7</t>
        </is>
      </c>
      <c r="D500" s="32" t="inlineStr">
        <is>
          <t>Паркинг и рампы надзем.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A494</f>
        <v/>
      </c>
      <c r="B501" s="31" t="inlineStr">
        <is>
          <t>Чистовая</t>
        </is>
      </c>
      <c r="C501" s="31" t="inlineStr">
        <is>
          <t>8.2.1</t>
        </is>
      </c>
      <c r="D501" s="32" t="inlineStr">
        <is>
          <t>Отделка лобби/гранд-лобби</t>
        </is>
      </c>
      <c r="E501" s="33" t="n"/>
      <c r="F501" s="33" t="n"/>
      <c r="G501" s="33" t="n"/>
      <c r="H501" s="33" t="n"/>
      <c r="I501" s="34">
        <f>COUNTA(E501:H501)&amp;"/4"</f>
        <v/>
      </c>
    </row>
    <row r="502" ht="30" customHeight="1" s="74">
      <c r="A502" s="30">
        <f>A494</f>
        <v/>
      </c>
      <c r="B502" s="31" t="inlineStr">
        <is>
          <t>Чистовая</t>
        </is>
      </c>
      <c r="C502" s="31" t="inlineStr">
        <is>
          <t>8.2.2</t>
        </is>
      </c>
      <c r="D502" s="32" t="inlineStr">
        <is>
          <t>Отделка эвакуац. лестн. клетки надзем.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>
      <c r="A503" s="30">
        <f>A494</f>
        <v/>
      </c>
      <c r="B503" s="31" t="inlineStr">
        <is>
          <t>Чистовая</t>
        </is>
      </c>
      <c r="C503" s="31" t="inlineStr">
        <is>
          <t>8.2.3</t>
        </is>
      </c>
      <c r="D503" s="32" t="inlineStr">
        <is>
          <t>Лифт. холлы, тамбур-шлюзы надзем.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A494</f>
        <v/>
      </c>
      <c r="B504" s="31" t="inlineStr">
        <is>
          <t>Чистовая</t>
        </is>
      </c>
      <c r="C504" s="31" t="inlineStr">
        <is>
          <t>8.2.4</t>
        </is>
      </c>
      <c r="D504" s="32" t="inlineStr">
        <is>
          <t>Технич. помещения надзем.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A494</f>
        <v/>
      </c>
      <c r="B505" s="31" t="inlineStr">
        <is>
          <t>Чистовая</t>
        </is>
      </c>
      <c r="C505" s="31" t="inlineStr">
        <is>
          <t>8.2.5</t>
        </is>
      </c>
      <c r="D505" s="32" t="inlineStr">
        <is>
          <t>Прочие помещения надзем.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A494</f>
        <v/>
      </c>
      <c r="B506" s="31" t="inlineStr">
        <is>
          <t>Чистовая</t>
        </is>
      </c>
      <c r="C506" s="31" t="inlineStr">
        <is>
          <t>8.2.6</t>
        </is>
      </c>
      <c r="D506" s="32" t="inlineStr">
        <is>
          <t>Коммерч. помещения надзем.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A494</f>
        <v/>
      </c>
      <c r="B507" s="31" t="inlineStr">
        <is>
          <t>Чистовая</t>
        </is>
      </c>
      <c r="C507" s="31" t="inlineStr">
        <is>
          <t>8.2.7</t>
        </is>
      </c>
      <c r="D507" s="32" t="inlineStr">
        <is>
          <t>Паркинг и рампы надзем.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A494+7</f>
        <v/>
      </c>
      <c r="B508" s="31" t="inlineStr">
        <is>
          <t>Черновая</t>
        </is>
      </c>
      <c r="C508" s="31" t="inlineStr">
        <is>
          <t>8.2.1</t>
        </is>
      </c>
      <c r="D508" s="32" t="inlineStr">
        <is>
          <t>Отделка лобби/гранд-лобби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8.2.2</t>
        </is>
      </c>
      <c r="D509" s="32" t="inlineStr">
        <is>
          <t>Отделка эвакуац. лестн. клетки надзем.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8.2.3</t>
        </is>
      </c>
      <c r="D510" s="32" t="inlineStr">
        <is>
          <t>Лифт. холлы, тамбур-шлюзы надзем.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8.2.4</t>
        </is>
      </c>
      <c r="D511" s="32" t="inlineStr">
        <is>
          <t>Технич. помещения надзем.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8.2.5</t>
        </is>
      </c>
      <c r="D512" s="32" t="inlineStr">
        <is>
          <t>Прочие помещения надзем.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8.2.6</t>
        </is>
      </c>
      <c r="D513" s="32" t="inlineStr">
        <is>
          <t>Коммерч. помещения надзем.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Черновая</t>
        </is>
      </c>
      <c r="C514" s="31" t="inlineStr">
        <is>
          <t>8.2.7</t>
        </is>
      </c>
      <c r="D514" s="32" t="inlineStr">
        <is>
          <t>Паркинг и рампы надзем.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>
      <c r="A515" s="30">
        <f>A508</f>
        <v/>
      </c>
      <c r="B515" s="31" t="inlineStr">
        <is>
          <t>Чистовая</t>
        </is>
      </c>
      <c r="C515" s="31" t="inlineStr">
        <is>
          <t>8.2.1</t>
        </is>
      </c>
      <c r="D515" s="32" t="inlineStr">
        <is>
          <t>Отделка лобби/гранд-лобби</t>
        </is>
      </c>
      <c r="E515" s="33" t="n"/>
      <c r="F515" s="33" t="n"/>
      <c r="G515" s="33" t="n"/>
      <c r="H515" s="33" t="n"/>
      <c r="I515" s="34">
        <f>COUNTA(E515:H515)&amp;"/4"</f>
        <v/>
      </c>
    </row>
    <row r="516" ht="30" customHeight="1" s="74">
      <c r="A516" s="30">
        <f>A508</f>
        <v/>
      </c>
      <c r="B516" s="31" t="inlineStr">
        <is>
          <t>Чистовая</t>
        </is>
      </c>
      <c r="C516" s="31" t="inlineStr">
        <is>
          <t>8.2.2</t>
        </is>
      </c>
      <c r="D516" s="32" t="inlineStr">
        <is>
          <t>Отделка эвакуац. лестн. клетки надзем.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8.2.3</t>
        </is>
      </c>
      <c r="D517" s="32" t="inlineStr">
        <is>
          <t>Лифт. холлы, тамбур-шлюзы надзем.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8.2.4</t>
        </is>
      </c>
      <c r="D518" s="32" t="inlineStr">
        <is>
          <t>Технич. помещения надзем.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8.2.5</t>
        </is>
      </c>
      <c r="D519" s="32" t="inlineStr">
        <is>
          <t>Прочие помещения надзем.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</f>
        <v/>
      </c>
      <c r="B520" s="31" t="inlineStr">
        <is>
          <t>Чистовая</t>
        </is>
      </c>
      <c r="C520" s="31" t="inlineStr">
        <is>
          <t>8.2.6</t>
        </is>
      </c>
      <c r="D520" s="32" t="inlineStr">
        <is>
          <t>Коммерч. помещения надзем.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>
      <c r="A521" s="30">
        <f>A508</f>
        <v/>
      </c>
      <c r="B521" s="31" t="inlineStr">
        <is>
          <t>Чистовая</t>
        </is>
      </c>
      <c r="C521" s="31" t="inlineStr">
        <is>
          <t>8.2.7</t>
        </is>
      </c>
      <c r="D521" s="32" t="inlineStr">
        <is>
          <t>Паркинг и рампы надзем.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A508+7</f>
        <v/>
      </c>
      <c r="B522" s="31" t="inlineStr">
        <is>
          <t>Черновая</t>
        </is>
      </c>
      <c r="C522" s="31" t="inlineStr">
        <is>
          <t>8.2.1</t>
        </is>
      </c>
      <c r="D522" s="32" t="inlineStr">
        <is>
          <t>Отделка лобби/гранд-лобби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 ht="30" customHeight="1" s="74">
      <c r="A523" s="30">
        <f>A522</f>
        <v/>
      </c>
      <c r="B523" s="31" t="inlineStr">
        <is>
          <t>Черновая</t>
        </is>
      </c>
      <c r="C523" s="31" t="inlineStr">
        <is>
          <t>8.2.2</t>
        </is>
      </c>
      <c r="D523" s="32" t="inlineStr">
        <is>
          <t>Отделка эвакуац. лестн. клетки надзем.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A522</f>
        <v/>
      </c>
      <c r="B524" s="31" t="inlineStr">
        <is>
          <t>Черновая</t>
        </is>
      </c>
      <c r="C524" s="31" t="inlineStr">
        <is>
          <t>8.2.3</t>
        </is>
      </c>
      <c r="D524" s="32" t="inlineStr">
        <is>
          <t>Лифт. холлы, тамбур-шлюзы надзем.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A522</f>
        <v/>
      </c>
      <c r="B525" s="31" t="inlineStr">
        <is>
          <t>Черновая</t>
        </is>
      </c>
      <c r="C525" s="31" t="inlineStr">
        <is>
          <t>8.2.4</t>
        </is>
      </c>
      <c r="D525" s="32" t="inlineStr">
        <is>
          <t>Технич. помещения надзем.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A522</f>
        <v/>
      </c>
      <c r="B526" s="31" t="inlineStr">
        <is>
          <t>Черновая</t>
        </is>
      </c>
      <c r="C526" s="31" t="inlineStr">
        <is>
          <t>8.2.5</t>
        </is>
      </c>
      <c r="D526" s="32" t="inlineStr">
        <is>
          <t>Прочие помещения надзем.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>
      <c r="A527" s="30">
        <f>A522</f>
        <v/>
      </c>
      <c r="B527" s="31" t="inlineStr">
        <is>
          <t>Черновая</t>
        </is>
      </c>
      <c r="C527" s="31" t="inlineStr">
        <is>
          <t>8.2.6</t>
        </is>
      </c>
      <c r="D527" s="32" t="inlineStr">
        <is>
          <t>Коммерч. помещения надзем.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A522</f>
        <v/>
      </c>
      <c r="B528" s="31" t="inlineStr">
        <is>
          <t>Черновая</t>
        </is>
      </c>
      <c r="C528" s="31" t="inlineStr">
        <is>
          <t>8.2.7</t>
        </is>
      </c>
      <c r="D528" s="32" t="inlineStr">
        <is>
          <t>Паркинг и рампы надзем.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A522</f>
        <v/>
      </c>
      <c r="B529" s="31" t="inlineStr">
        <is>
          <t>Чистовая</t>
        </is>
      </c>
      <c r="C529" s="31" t="inlineStr">
        <is>
          <t>8.2.1</t>
        </is>
      </c>
      <c r="D529" s="32" t="inlineStr">
        <is>
          <t>Отделка лобби/гранд-лобби</t>
        </is>
      </c>
      <c r="E529" s="33" t="n"/>
      <c r="F529" s="33" t="n"/>
      <c r="G529" s="33" t="n"/>
      <c r="H529" s="33" t="n"/>
      <c r="I529" s="34">
        <f>COUNTA(E529:H529)&amp;"/4"</f>
        <v/>
      </c>
    </row>
    <row r="530" ht="30" customHeight="1" s="74">
      <c r="A530" s="30">
        <f>A522</f>
        <v/>
      </c>
      <c r="B530" s="31" t="inlineStr">
        <is>
          <t>Чистовая</t>
        </is>
      </c>
      <c r="C530" s="31" t="inlineStr">
        <is>
          <t>8.2.2</t>
        </is>
      </c>
      <c r="D530" s="32" t="inlineStr">
        <is>
          <t>Отделка эвакуац. лестн. клетки надзем.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A522</f>
        <v/>
      </c>
      <c r="B531" s="31" t="inlineStr">
        <is>
          <t>Чистовая</t>
        </is>
      </c>
      <c r="C531" s="31" t="inlineStr">
        <is>
          <t>8.2.3</t>
        </is>
      </c>
      <c r="D531" s="32" t="inlineStr">
        <is>
          <t>Лифт. холлы, тамбур-шлюзы надзем.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A522</f>
        <v/>
      </c>
      <c r="B532" s="31" t="inlineStr">
        <is>
          <t>Чистовая</t>
        </is>
      </c>
      <c r="C532" s="31" t="inlineStr">
        <is>
          <t>8.2.4</t>
        </is>
      </c>
      <c r="D532" s="32" t="inlineStr">
        <is>
          <t>Технич. помещения надзем.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>
      <c r="A533" s="30">
        <f>A522</f>
        <v/>
      </c>
      <c r="B533" s="31" t="inlineStr">
        <is>
          <t>Чистовая</t>
        </is>
      </c>
      <c r="C533" s="31" t="inlineStr">
        <is>
          <t>8.2.5</t>
        </is>
      </c>
      <c r="D533" s="32" t="inlineStr">
        <is>
          <t>Прочие помещения надзем.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A522</f>
        <v/>
      </c>
      <c r="B534" s="31" t="inlineStr">
        <is>
          <t>Чистовая</t>
        </is>
      </c>
      <c r="C534" s="31" t="inlineStr">
        <is>
          <t>8.2.6</t>
        </is>
      </c>
      <c r="D534" s="32" t="inlineStr">
        <is>
          <t>Коммерч. помещения надзем.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A522</f>
        <v/>
      </c>
      <c r="B535" s="31" t="inlineStr">
        <is>
          <t>Чистовая</t>
        </is>
      </c>
      <c r="C535" s="31" t="inlineStr">
        <is>
          <t>8.2.7</t>
        </is>
      </c>
      <c r="D535" s="32" t="inlineStr">
        <is>
          <t>Паркинг и рампы надзем.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A522+7</f>
        <v/>
      </c>
      <c r="B536" s="31" t="inlineStr">
        <is>
          <t>Черновая</t>
        </is>
      </c>
      <c r="C536" s="31" t="inlineStr">
        <is>
          <t>8.2.1</t>
        </is>
      </c>
      <c r="D536" s="32" t="inlineStr">
        <is>
          <t>Отделка лобби/гранд-лобби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 ht="30" customHeight="1" s="74">
      <c r="A537" s="30">
        <f>A536</f>
        <v/>
      </c>
      <c r="B537" s="31" t="inlineStr">
        <is>
          <t>Черновая</t>
        </is>
      </c>
      <c r="C537" s="31" t="inlineStr">
        <is>
          <t>8.2.2</t>
        </is>
      </c>
      <c r="D537" s="32" t="inlineStr">
        <is>
          <t>Отделка эвакуац. лестн. клетки надзем.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A536</f>
        <v/>
      </c>
      <c r="B538" s="31" t="inlineStr">
        <is>
          <t>Черновая</t>
        </is>
      </c>
      <c r="C538" s="31" t="inlineStr">
        <is>
          <t>8.2.3</t>
        </is>
      </c>
      <c r="D538" s="32" t="inlineStr">
        <is>
          <t>Лифт. холлы, тамбур-шлюзы надзем.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>
      <c r="A539" s="30">
        <f>A536</f>
        <v/>
      </c>
      <c r="B539" s="31" t="inlineStr">
        <is>
          <t>Черновая</t>
        </is>
      </c>
      <c r="C539" s="31" t="inlineStr">
        <is>
          <t>8.2.4</t>
        </is>
      </c>
      <c r="D539" s="32" t="inlineStr">
        <is>
          <t>Технич. помещения надзем.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A536</f>
        <v/>
      </c>
      <c r="B540" s="31" t="inlineStr">
        <is>
          <t>Черновая</t>
        </is>
      </c>
      <c r="C540" s="31" t="inlineStr">
        <is>
          <t>8.2.5</t>
        </is>
      </c>
      <c r="D540" s="32" t="inlineStr">
        <is>
          <t>Прочие помещения надзем.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A536</f>
        <v/>
      </c>
      <c r="B541" s="31" t="inlineStr">
        <is>
          <t>Черновая</t>
        </is>
      </c>
      <c r="C541" s="31" t="inlineStr">
        <is>
          <t>8.2.6</t>
        </is>
      </c>
      <c r="D541" s="32" t="inlineStr">
        <is>
          <t>Коммерч. помещения надзем.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A536</f>
        <v/>
      </c>
      <c r="B542" s="31" t="inlineStr">
        <is>
          <t>Черновая</t>
        </is>
      </c>
      <c r="C542" s="31" t="inlineStr">
        <is>
          <t>8.2.7</t>
        </is>
      </c>
      <c r="D542" s="32" t="inlineStr">
        <is>
          <t>Паркинг и рампы надзем.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A536</f>
        <v/>
      </c>
      <c r="B543" s="31" t="inlineStr">
        <is>
          <t>Чистовая</t>
        </is>
      </c>
      <c r="C543" s="31" t="inlineStr">
        <is>
          <t>8.2.1</t>
        </is>
      </c>
      <c r="D543" s="32" t="inlineStr">
        <is>
          <t>Отделка лобби/гранд-лобби</t>
        </is>
      </c>
      <c r="E543" s="33" t="n"/>
      <c r="F543" s="33" t="n"/>
      <c r="G543" s="33" t="n"/>
      <c r="H543" s="33" t="n"/>
      <c r="I543" s="34">
        <f>COUNTA(E543:H543)&amp;"/4"</f>
        <v/>
      </c>
    </row>
    <row r="544" ht="30" customHeight="1" s="74">
      <c r="A544" s="30">
        <f>A536</f>
        <v/>
      </c>
      <c r="B544" s="31" t="inlineStr">
        <is>
          <t>Чистовая</t>
        </is>
      </c>
      <c r="C544" s="31" t="inlineStr">
        <is>
          <t>8.2.2</t>
        </is>
      </c>
      <c r="D544" s="32" t="inlineStr">
        <is>
          <t>Отделка эвакуац. лестн. клетки надзем.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>
      <c r="A545" s="30">
        <f>A536</f>
        <v/>
      </c>
      <c r="B545" s="31" t="inlineStr">
        <is>
          <t>Чистовая</t>
        </is>
      </c>
      <c r="C545" s="31" t="inlineStr">
        <is>
          <t>8.2.3</t>
        </is>
      </c>
      <c r="D545" s="32" t="inlineStr">
        <is>
          <t>Лифт. холлы, тамбур-шлюзы надзем.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A536</f>
        <v/>
      </c>
      <c r="B546" s="31" t="inlineStr">
        <is>
          <t>Чистовая</t>
        </is>
      </c>
      <c r="C546" s="31" t="inlineStr">
        <is>
          <t>8.2.4</t>
        </is>
      </c>
      <c r="D546" s="32" t="inlineStr">
        <is>
          <t>Технич. помещения надзем.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A536</f>
        <v/>
      </c>
      <c r="B547" s="31" t="inlineStr">
        <is>
          <t>Чистовая</t>
        </is>
      </c>
      <c r="C547" s="31" t="inlineStr">
        <is>
          <t>8.2.5</t>
        </is>
      </c>
      <c r="D547" s="32" t="inlineStr">
        <is>
          <t>Прочие помещения надзем.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A536</f>
        <v/>
      </c>
      <c r="B548" s="31" t="inlineStr">
        <is>
          <t>Чистовая</t>
        </is>
      </c>
      <c r="C548" s="31" t="inlineStr">
        <is>
          <t>8.2.6</t>
        </is>
      </c>
      <c r="D548" s="32" t="inlineStr">
        <is>
          <t>Коммерч. помещения надзем.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A536</f>
        <v/>
      </c>
      <c r="B549" s="31" t="inlineStr">
        <is>
          <t>Чистовая</t>
        </is>
      </c>
      <c r="C549" s="31" t="inlineStr">
        <is>
          <t>8.2.7</t>
        </is>
      </c>
      <c r="D549" s="32" t="inlineStr">
        <is>
          <t>Паркинг и рампы надзем.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A536+7</f>
        <v/>
      </c>
      <c r="B550" s="31" t="inlineStr">
        <is>
          <t>Черновая</t>
        </is>
      </c>
      <c r="C550" s="31" t="inlineStr">
        <is>
          <t>8.2.1</t>
        </is>
      </c>
      <c r="D550" s="32" t="inlineStr">
        <is>
          <t>Отделка лобби/гранд-лобби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A550</f>
        <v/>
      </c>
      <c r="B551" s="31" t="inlineStr">
        <is>
          <t>Черновая</t>
        </is>
      </c>
      <c r="C551" s="31" t="inlineStr">
        <is>
          <t>8.2.2</t>
        </is>
      </c>
      <c r="D551" s="32" t="inlineStr">
        <is>
          <t>Отделка эвакуац. лестн. клетки надзем.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A550</f>
        <v/>
      </c>
      <c r="B552" s="31" t="inlineStr">
        <is>
          <t>Черновая</t>
        </is>
      </c>
      <c r="C552" s="31" t="inlineStr">
        <is>
          <t>8.2.3</t>
        </is>
      </c>
      <c r="D552" s="32" t="inlineStr">
        <is>
          <t>Лифт. холлы, тамбур-шлюзы надзем.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A550</f>
        <v/>
      </c>
      <c r="B553" s="31" t="inlineStr">
        <is>
          <t>Черновая</t>
        </is>
      </c>
      <c r="C553" s="31" t="inlineStr">
        <is>
          <t>8.2.4</t>
        </is>
      </c>
      <c r="D553" s="32" t="inlineStr">
        <is>
          <t>Технич. помещения надзем.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A550</f>
        <v/>
      </c>
      <c r="B554" s="31" t="inlineStr">
        <is>
          <t>Черновая</t>
        </is>
      </c>
      <c r="C554" s="31" t="inlineStr">
        <is>
          <t>8.2.5</t>
        </is>
      </c>
      <c r="D554" s="32" t="inlineStr">
        <is>
          <t>Прочие помещения надзем.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A550</f>
        <v/>
      </c>
      <c r="B555" s="31" t="inlineStr">
        <is>
          <t>Черновая</t>
        </is>
      </c>
      <c r="C555" s="31" t="inlineStr">
        <is>
          <t>8.2.6</t>
        </is>
      </c>
      <c r="D555" s="32" t="inlineStr">
        <is>
          <t>Коммерч. помещения надзем.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A550</f>
        <v/>
      </c>
      <c r="B556" s="31" t="inlineStr">
        <is>
          <t>Черновая</t>
        </is>
      </c>
      <c r="C556" s="31" t="inlineStr">
        <is>
          <t>8.2.7</t>
        </is>
      </c>
      <c r="D556" s="32" t="inlineStr">
        <is>
          <t>Паркинг и рампы надзем.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>
      <c r="A557" s="30">
        <f>A550</f>
        <v/>
      </c>
      <c r="B557" s="31" t="inlineStr">
        <is>
          <t>Чистовая</t>
        </is>
      </c>
      <c r="C557" s="31" t="inlineStr">
        <is>
          <t>8.2.1</t>
        </is>
      </c>
      <c r="D557" s="32" t="inlineStr">
        <is>
          <t>Отделка лобби/гранд-лобби</t>
        </is>
      </c>
      <c r="E557" s="33" t="n"/>
      <c r="F557" s="33" t="n"/>
      <c r="G557" s="33" t="n"/>
      <c r="H557" s="33" t="n"/>
      <c r="I557" s="34">
        <f>COUNTA(E557:H557)&amp;"/4"</f>
        <v/>
      </c>
    </row>
    <row r="558" ht="30" customHeight="1" s="74">
      <c r="A558" s="30">
        <f>A550</f>
        <v/>
      </c>
      <c r="B558" s="31" t="inlineStr">
        <is>
          <t>Чистовая</t>
        </is>
      </c>
      <c r="C558" s="31" t="inlineStr">
        <is>
          <t>8.2.2</t>
        </is>
      </c>
      <c r="D558" s="32" t="inlineStr">
        <is>
          <t>Отделка эвакуац. лестн. клетки надзем.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A550</f>
        <v/>
      </c>
      <c r="B559" s="31" t="inlineStr">
        <is>
          <t>Чистовая</t>
        </is>
      </c>
      <c r="C559" s="31" t="inlineStr">
        <is>
          <t>8.2.3</t>
        </is>
      </c>
      <c r="D559" s="32" t="inlineStr">
        <is>
          <t>Лифт. холлы, тамбур-шлюзы надзем.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A550</f>
        <v/>
      </c>
      <c r="B560" s="31" t="inlineStr">
        <is>
          <t>Чистовая</t>
        </is>
      </c>
      <c r="C560" s="31" t="inlineStr">
        <is>
          <t>8.2.4</t>
        </is>
      </c>
      <c r="D560" s="32" t="inlineStr">
        <is>
          <t>Технич. помещения надзем.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A550</f>
        <v/>
      </c>
      <c r="B561" s="31" t="inlineStr">
        <is>
          <t>Чистовая</t>
        </is>
      </c>
      <c r="C561" s="31" t="inlineStr">
        <is>
          <t>8.2.5</t>
        </is>
      </c>
      <c r="D561" s="32" t="inlineStr">
        <is>
          <t>Прочие помещения надзем.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A550</f>
        <v/>
      </c>
      <c r="B562" s="31" t="inlineStr">
        <is>
          <t>Чистовая</t>
        </is>
      </c>
      <c r="C562" s="31" t="inlineStr">
        <is>
          <t>8.2.6</t>
        </is>
      </c>
      <c r="D562" s="32" t="inlineStr">
        <is>
          <t>Коммерч. помещения надзем.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>
      <c r="A563" s="30">
        <f>A550</f>
        <v/>
      </c>
      <c r="B563" s="31" t="inlineStr">
        <is>
          <t>Чистовая</t>
        </is>
      </c>
      <c r="C563" s="31" t="inlineStr">
        <is>
          <t>8.2.7</t>
        </is>
      </c>
      <c r="D563" s="32" t="inlineStr">
        <is>
          <t>Паркинг и рампы надзем.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A550+7</f>
        <v/>
      </c>
      <c r="B564" s="31" t="inlineStr">
        <is>
          <t>Черновая</t>
        </is>
      </c>
      <c r="C564" s="31" t="inlineStr">
        <is>
          <t>8.2.1</t>
        </is>
      </c>
      <c r="D564" s="32" t="inlineStr">
        <is>
          <t>Отделка лобби/гранд-лобби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 ht="30" customHeight="1" s="74">
      <c r="A565" s="30">
        <f>A564</f>
        <v/>
      </c>
      <c r="B565" s="31" t="inlineStr">
        <is>
          <t>Черновая</t>
        </is>
      </c>
      <c r="C565" s="31" t="inlineStr">
        <is>
          <t>8.2.2</t>
        </is>
      </c>
      <c r="D565" s="32" t="inlineStr">
        <is>
          <t>Отделка эвакуац. лестн. клетки надзем.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A564</f>
        <v/>
      </c>
      <c r="B566" s="31" t="inlineStr">
        <is>
          <t>Черновая</t>
        </is>
      </c>
      <c r="C566" s="31" t="inlineStr">
        <is>
          <t>8.2.3</t>
        </is>
      </c>
      <c r="D566" s="32" t="inlineStr">
        <is>
          <t>Лифт. холлы, тамбур-шлюзы надзем.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A564</f>
        <v/>
      </c>
      <c r="B567" s="31" t="inlineStr">
        <is>
          <t>Черновая</t>
        </is>
      </c>
      <c r="C567" s="31" t="inlineStr">
        <is>
          <t>8.2.4</t>
        </is>
      </c>
      <c r="D567" s="32" t="inlineStr">
        <is>
          <t>Технич. помещения надзем.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A564</f>
        <v/>
      </c>
      <c r="B568" s="31" t="inlineStr">
        <is>
          <t>Черновая</t>
        </is>
      </c>
      <c r="C568" s="31" t="inlineStr">
        <is>
          <t>8.2.5</t>
        </is>
      </c>
      <c r="D568" s="32" t="inlineStr">
        <is>
          <t>Прочие помещения надзем.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>
      <c r="A569" s="30">
        <f>A564</f>
        <v/>
      </c>
      <c r="B569" s="31" t="inlineStr">
        <is>
          <t>Черновая</t>
        </is>
      </c>
      <c r="C569" s="31" t="inlineStr">
        <is>
          <t>8.2.6</t>
        </is>
      </c>
      <c r="D569" s="32" t="inlineStr">
        <is>
          <t>Коммерч. помещения надзем.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A564</f>
        <v/>
      </c>
      <c r="B570" s="31" t="inlineStr">
        <is>
          <t>Черновая</t>
        </is>
      </c>
      <c r="C570" s="31" t="inlineStr">
        <is>
          <t>8.2.7</t>
        </is>
      </c>
      <c r="D570" s="32" t="inlineStr">
        <is>
          <t>Паркинг и рампы надзем.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A564</f>
        <v/>
      </c>
      <c r="B571" s="31" t="inlineStr">
        <is>
          <t>Чистовая</t>
        </is>
      </c>
      <c r="C571" s="31" t="inlineStr">
        <is>
          <t>8.2.1</t>
        </is>
      </c>
      <c r="D571" s="32" t="inlineStr">
        <is>
          <t>Отделка лобби/гранд-лобби</t>
        </is>
      </c>
      <c r="E571" s="33" t="n"/>
      <c r="F571" s="33" t="n"/>
      <c r="G571" s="33" t="n"/>
      <c r="H571" s="33" t="n"/>
      <c r="I571" s="34">
        <f>COUNTA(E571:H571)&amp;"/4"</f>
        <v/>
      </c>
    </row>
    <row r="572" ht="30" customHeight="1" s="74">
      <c r="A572" s="30">
        <f>A564</f>
        <v/>
      </c>
      <c r="B572" s="31" t="inlineStr">
        <is>
          <t>Чистовая</t>
        </is>
      </c>
      <c r="C572" s="31" t="inlineStr">
        <is>
          <t>8.2.2</t>
        </is>
      </c>
      <c r="D572" s="32" t="inlineStr">
        <is>
          <t>Отделка эвакуац. лестн. клетки надзем.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A564</f>
        <v/>
      </c>
      <c r="B573" s="31" t="inlineStr">
        <is>
          <t>Чистовая</t>
        </is>
      </c>
      <c r="C573" s="31" t="inlineStr">
        <is>
          <t>8.2.3</t>
        </is>
      </c>
      <c r="D573" s="32" t="inlineStr">
        <is>
          <t>Лифт. холлы, тамбур-шлюзы надзем.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A564</f>
        <v/>
      </c>
      <c r="B574" s="31" t="inlineStr">
        <is>
          <t>Чистовая</t>
        </is>
      </c>
      <c r="C574" s="31" t="inlineStr">
        <is>
          <t>8.2.4</t>
        </is>
      </c>
      <c r="D574" s="32" t="inlineStr">
        <is>
          <t>Технич. помещения надзем.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>
      <c r="A575" s="30">
        <f>A564</f>
        <v/>
      </c>
      <c r="B575" s="31" t="inlineStr">
        <is>
          <t>Чистовая</t>
        </is>
      </c>
      <c r="C575" s="31" t="inlineStr">
        <is>
          <t>8.2.5</t>
        </is>
      </c>
      <c r="D575" s="32" t="inlineStr">
        <is>
          <t>Прочие помещения надзем.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A564</f>
        <v/>
      </c>
      <c r="B576" s="31" t="inlineStr">
        <is>
          <t>Чистовая</t>
        </is>
      </c>
      <c r="C576" s="31" t="inlineStr">
        <is>
          <t>8.2.6</t>
        </is>
      </c>
      <c r="D576" s="32" t="inlineStr">
        <is>
          <t>Коммерч. помещения надзем.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A564</f>
        <v/>
      </c>
      <c r="B577" s="31" t="inlineStr">
        <is>
          <t>Чистовая</t>
        </is>
      </c>
      <c r="C577" s="31" t="inlineStr">
        <is>
          <t>8.2.7</t>
        </is>
      </c>
      <c r="D577" s="32" t="inlineStr">
        <is>
          <t>Паркинг и рампы надзем.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A564+7</f>
        <v/>
      </c>
      <c r="B578" s="31" t="inlineStr">
        <is>
          <t>Черновая</t>
        </is>
      </c>
      <c r="C578" s="31" t="inlineStr">
        <is>
          <t>8.2.1</t>
        </is>
      </c>
      <c r="D578" s="32" t="inlineStr">
        <is>
          <t>Отделка лобби/гранд-лобби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 ht="30" customHeight="1" s="74">
      <c r="A579" s="30">
        <f>A578</f>
        <v/>
      </c>
      <c r="B579" s="31" t="inlineStr">
        <is>
          <t>Черновая</t>
        </is>
      </c>
      <c r="C579" s="31" t="inlineStr">
        <is>
          <t>8.2.2</t>
        </is>
      </c>
      <c r="D579" s="32" t="inlineStr">
        <is>
          <t>Отделка эвакуац. лестн. клетки надзем.</t>
        </is>
      </c>
      <c r="E579" s="33" t="n"/>
      <c r="F579" s="33" t="n"/>
      <c r="G579" s="33" t="n"/>
      <c r="H579" s="33" t="n"/>
      <c r="I579" s="34">
        <f>COUNTA(E579:G579)&amp;"/3"</f>
        <v/>
      </c>
    </row>
    <row r="580">
      <c r="A580" s="30">
        <f>A578</f>
        <v/>
      </c>
      <c r="B580" s="31" t="inlineStr">
        <is>
          <t>Черновая</t>
        </is>
      </c>
      <c r="C580" s="31" t="inlineStr">
        <is>
          <t>8.2.3</t>
        </is>
      </c>
      <c r="D580" s="32" t="inlineStr">
        <is>
          <t>Лифт. холлы, тамбур-шлюзы надзем.</t>
        </is>
      </c>
      <c r="E580" s="33" t="n"/>
      <c r="F580" s="33" t="n"/>
      <c r="G580" s="33" t="n"/>
      <c r="H580" s="33" t="n"/>
      <c r="I580" s="34">
        <f>COUNTA(E580:G580)&amp;"/3"</f>
        <v/>
      </c>
    </row>
    <row r="581">
      <c r="A581" s="30">
        <f>A578</f>
        <v/>
      </c>
      <c r="B581" s="31" t="inlineStr">
        <is>
          <t>Черновая</t>
        </is>
      </c>
      <c r="C581" s="31" t="inlineStr">
        <is>
          <t>8.2.4</t>
        </is>
      </c>
      <c r="D581" s="32" t="inlineStr">
        <is>
          <t>Технич. помещения надзем.</t>
        </is>
      </c>
      <c r="E581" s="33" t="n"/>
      <c r="F581" s="33" t="n"/>
      <c r="G581" s="33" t="n"/>
      <c r="H581" s="33" t="n"/>
      <c r="I581" s="34">
        <f>COUNTA(E581:G581)&amp;"/3"</f>
        <v/>
      </c>
    </row>
    <row r="582">
      <c r="A582" s="30">
        <f>A578</f>
        <v/>
      </c>
      <c r="B582" s="31" t="inlineStr">
        <is>
          <t>Черновая</t>
        </is>
      </c>
      <c r="C582" s="31" t="inlineStr">
        <is>
          <t>8.2.5</t>
        </is>
      </c>
      <c r="D582" s="32" t="inlineStr">
        <is>
          <t>Прочие помещения надзем.</t>
        </is>
      </c>
      <c r="E582" s="33" t="n"/>
      <c r="F582" s="33" t="n"/>
      <c r="G582" s="33" t="n"/>
      <c r="H582" s="33" t="n"/>
      <c r="I582" s="34">
        <f>COUNTA(E582:G582)&amp;"/3"</f>
        <v/>
      </c>
    </row>
    <row r="583">
      <c r="A583" s="30">
        <f>A578</f>
        <v/>
      </c>
      <c r="B583" s="31" t="inlineStr">
        <is>
          <t>Черновая</t>
        </is>
      </c>
      <c r="C583" s="31" t="inlineStr">
        <is>
          <t>8.2.6</t>
        </is>
      </c>
      <c r="D583" s="32" t="inlineStr">
        <is>
          <t>Коммерч. помещения надзем.</t>
        </is>
      </c>
      <c r="E583" s="33" t="n"/>
      <c r="F583" s="33" t="n"/>
      <c r="G583" s="33" t="n"/>
      <c r="H583" s="33" t="n"/>
      <c r="I583" s="34">
        <f>COUNTA(E583:G583)&amp;"/3"</f>
        <v/>
      </c>
    </row>
    <row r="584">
      <c r="A584" s="30">
        <f>A578</f>
        <v/>
      </c>
      <c r="B584" s="31" t="inlineStr">
        <is>
          <t>Черновая</t>
        </is>
      </c>
      <c r="C584" s="31" t="inlineStr">
        <is>
          <t>8.2.7</t>
        </is>
      </c>
      <c r="D584" s="32" t="inlineStr">
        <is>
          <t>Паркинг и рампы надзем.</t>
        </is>
      </c>
      <c r="E584" s="33" t="n"/>
      <c r="F584" s="33" t="n"/>
      <c r="G584" s="33" t="n"/>
      <c r="H584" s="33" t="n"/>
      <c r="I584" s="34">
        <f>COUNTA(E584:G584)&amp;"/3"</f>
        <v/>
      </c>
    </row>
    <row r="585">
      <c r="A585" s="30">
        <f>A578</f>
        <v/>
      </c>
      <c r="B585" s="31" t="inlineStr">
        <is>
          <t>Чистовая</t>
        </is>
      </c>
      <c r="C585" s="31" t="inlineStr">
        <is>
          <t>8.2.1</t>
        </is>
      </c>
      <c r="D585" s="32" t="inlineStr">
        <is>
          <t>Отделка лобби/гранд-лобби</t>
        </is>
      </c>
      <c r="E585" s="33" t="n"/>
      <c r="F585" s="33" t="n"/>
      <c r="G585" s="33" t="n"/>
      <c r="H585" s="33" t="n"/>
      <c r="I585" s="34">
        <f>COUNTA(E585:H585)&amp;"/4"</f>
        <v/>
      </c>
    </row>
    <row r="586" ht="30" customHeight="1" s="74">
      <c r="A586" s="30">
        <f>A578</f>
        <v/>
      </c>
      <c r="B586" s="31" t="inlineStr">
        <is>
          <t>Чистовая</t>
        </is>
      </c>
      <c r="C586" s="31" t="inlineStr">
        <is>
          <t>8.2.2</t>
        </is>
      </c>
      <c r="D586" s="32" t="inlineStr">
        <is>
          <t>Отделка эвакуац. лестн. клетки надзем.</t>
        </is>
      </c>
      <c r="E586" s="33" t="n"/>
      <c r="F586" s="33" t="n"/>
      <c r="G586" s="33" t="n"/>
      <c r="H586" s="33" t="n"/>
      <c r="I586" s="34">
        <f>COUNTA(E586:G586)&amp;"/3"</f>
        <v/>
      </c>
    </row>
    <row r="587">
      <c r="A587" s="30">
        <f>A578</f>
        <v/>
      </c>
      <c r="B587" s="31" t="inlineStr">
        <is>
          <t>Чистовая</t>
        </is>
      </c>
      <c r="C587" s="31" t="inlineStr">
        <is>
          <t>8.2.3</t>
        </is>
      </c>
      <c r="D587" s="32" t="inlineStr">
        <is>
          <t>Лифт. холлы, тамбур-шлюзы надзем.</t>
        </is>
      </c>
      <c r="E587" s="33" t="n"/>
      <c r="F587" s="33" t="n"/>
      <c r="G587" s="33" t="n"/>
      <c r="H587" s="33" t="n"/>
      <c r="I587" s="34">
        <f>COUNTA(E587:G587)&amp;"/3"</f>
        <v/>
      </c>
    </row>
    <row r="588">
      <c r="A588" s="30">
        <f>A578</f>
        <v/>
      </c>
      <c r="B588" s="31" t="inlineStr">
        <is>
          <t>Чистовая</t>
        </is>
      </c>
      <c r="C588" s="31" t="inlineStr">
        <is>
          <t>8.2.4</t>
        </is>
      </c>
      <c r="D588" s="32" t="inlineStr">
        <is>
          <t>Технич. помещения надзем.</t>
        </is>
      </c>
      <c r="E588" s="33" t="n"/>
      <c r="F588" s="33" t="n"/>
      <c r="G588" s="33" t="n"/>
      <c r="H588" s="33" t="n"/>
      <c r="I588" s="34">
        <f>COUNTA(E588:G588)&amp;"/3"</f>
        <v/>
      </c>
    </row>
    <row r="589">
      <c r="A589" s="30">
        <f>A578</f>
        <v/>
      </c>
      <c r="B589" s="31" t="inlineStr">
        <is>
          <t>Чистовая</t>
        </is>
      </c>
      <c r="C589" s="31" t="inlineStr">
        <is>
          <t>8.2.5</t>
        </is>
      </c>
      <c r="D589" s="32" t="inlineStr">
        <is>
          <t>Прочие помещения надзем.</t>
        </is>
      </c>
      <c r="E589" s="33" t="n"/>
      <c r="F589" s="33" t="n"/>
      <c r="G589" s="33" t="n"/>
      <c r="H589" s="33" t="n"/>
      <c r="I589" s="34">
        <f>COUNTA(E589:G589)&amp;"/3"</f>
        <v/>
      </c>
    </row>
    <row r="590">
      <c r="A590" s="30">
        <f>A578</f>
        <v/>
      </c>
      <c r="B590" s="31" t="inlineStr">
        <is>
          <t>Чистовая</t>
        </is>
      </c>
      <c r="C590" s="31" t="inlineStr">
        <is>
          <t>8.2.6</t>
        </is>
      </c>
      <c r="D590" s="32" t="inlineStr">
        <is>
          <t>Коммерч. помещения надзем.</t>
        </is>
      </c>
      <c r="E590" s="33" t="n"/>
      <c r="F590" s="33" t="n"/>
      <c r="G590" s="33" t="n"/>
      <c r="H590" s="33" t="n"/>
      <c r="I590" s="34">
        <f>COUNTA(E590:G590)&amp;"/3"</f>
        <v/>
      </c>
    </row>
    <row r="591">
      <c r="A591" s="30">
        <f>A578</f>
        <v/>
      </c>
      <c r="B591" s="31" t="inlineStr">
        <is>
          <t>Чистовая</t>
        </is>
      </c>
      <c r="C591" s="31" t="inlineStr">
        <is>
          <t>8.2.7</t>
        </is>
      </c>
      <c r="D591" s="32" t="inlineStr">
        <is>
          <t>Паркинг и рампы надзем.</t>
        </is>
      </c>
      <c r="E591" s="33" t="n"/>
      <c r="F591" s="33" t="n"/>
      <c r="G591" s="33" t="n"/>
      <c r="H591" s="33" t="n"/>
      <c r="I591" s="34">
        <f>COUNTA(E591:G591)&amp;"/3"</f>
        <v/>
      </c>
    </row>
    <row r="592">
      <c r="A592" s="30">
        <f>A578+7</f>
        <v/>
      </c>
      <c r="B592" s="31" t="inlineStr">
        <is>
          <t>Черновая</t>
        </is>
      </c>
      <c r="C592" s="31" t="inlineStr">
        <is>
          <t>8.2.1</t>
        </is>
      </c>
      <c r="D592" s="32" t="inlineStr">
        <is>
          <t>Отделка лобби/гранд-лобби</t>
        </is>
      </c>
      <c r="E592" s="33" t="n"/>
      <c r="F592" s="33" t="n"/>
      <c r="G592" s="33" t="n"/>
      <c r="H592" s="33" t="n"/>
      <c r="I592" s="34">
        <f>COUNTA(E592:G592)&amp;"/3"</f>
        <v/>
      </c>
    </row>
    <row r="593" ht="30" customHeight="1" s="74">
      <c r="A593" s="30">
        <f>A592</f>
        <v/>
      </c>
      <c r="B593" s="31" t="inlineStr">
        <is>
          <t>Черновая</t>
        </is>
      </c>
      <c r="C593" s="31" t="inlineStr">
        <is>
          <t>8.2.2</t>
        </is>
      </c>
      <c r="D593" s="32" t="inlineStr">
        <is>
          <t>Отделка эвакуац. лестн. клетки надзем.</t>
        </is>
      </c>
      <c r="E593" s="33" t="n"/>
      <c r="F593" s="33" t="n"/>
      <c r="G593" s="33" t="n"/>
      <c r="H593" s="33" t="n"/>
      <c r="I593" s="34">
        <f>COUNTA(E593:G593)&amp;"/3"</f>
        <v/>
      </c>
    </row>
    <row r="594">
      <c r="A594" s="30">
        <f>A592</f>
        <v/>
      </c>
      <c r="B594" s="31" t="inlineStr">
        <is>
          <t>Черновая</t>
        </is>
      </c>
      <c r="C594" s="31" t="inlineStr">
        <is>
          <t>8.2.3</t>
        </is>
      </c>
      <c r="D594" s="32" t="inlineStr">
        <is>
          <t>Лифт. холлы, тамбур-шлюзы надзем.</t>
        </is>
      </c>
      <c r="E594" s="33" t="n"/>
      <c r="F594" s="33" t="n"/>
      <c r="G594" s="33" t="n"/>
      <c r="H594" s="33" t="n"/>
      <c r="I594" s="34">
        <f>COUNTA(E594:G594)&amp;"/3"</f>
        <v/>
      </c>
    </row>
    <row r="595">
      <c r="A595" s="30">
        <f>A592</f>
        <v/>
      </c>
      <c r="B595" s="31" t="inlineStr">
        <is>
          <t>Черновая</t>
        </is>
      </c>
      <c r="C595" s="31" t="inlineStr">
        <is>
          <t>8.2.4</t>
        </is>
      </c>
      <c r="D595" s="32" t="inlineStr">
        <is>
          <t>Технич. помещения надзем.</t>
        </is>
      </c>
      <c r="E595" s="33" t="n"/>
      <c r="F595" s="33" t="n"/>
      <c r="G595" s="33" t="n"/>
      <c r="H595" s="33" t="n"/>
      <c r="I595" s="34">
        <f>COUNTA(E595:G595)&amp;"/3"</f>
        <v/>
      </c>
    </row>
    <row r="596">
      <c r="A596" s="30">
        <f>A592</f>
        <v/>
      </c>
      <c r="B596" s="31" t="inlineStr">
        <is>
          <t>Черновая</t>
        </is>
      </c>
      <c r="C596" s="31" t="inlineStr">
        <is>
          <t>8.2.5</t>
        </is>
      </c>
      <c r="D596" s="32" t="inlineStr">
        <is>
          <t>Прочие помещения надзем.</t>
        </is>
      </c>
      <c r="E596" s="33" t="n"/>
      <c r="F596" s="33" t="n"/>
      <c r="G596" s="33" t="n"/>
      <c r="H596" s="33" t="n"/>
      <c r="I596" s="34">
        <f>COUNTA(E596:G596)&amp;"/3"</f>
        <v/>
      </c>
    </row>
    <row r="597">
      <c r="A597" s="30">
        <f>A592</f>
        <v/>
      </c>
      <c r="B597" s="31" t="inlineStr">
        <is>
          <t>Черновая</t>
        </is>
      </c>
      <c r="C597" s="31" t="inlineStr">
        <is>
          <t>8.2.6</t>
        </is>
      </c>
      <c r="D597" s="32" t="inlineStr">
        <is>
          <t>Коммерч. помещения надзем.</t>
        </is>
      </c>
      <c r="E597" s="33" t="n"/>
      <c r="F597" s="33" t="n"/>
      <c r="G597" s="33" t="n"/>
      <c r="H597" s="33" t="n"/>
      <c r="I597" s="34">
        <f>COUNTA(E597:G597)&amp;"/3"</f>
        <v/>
      </c>
    </row>
    <row r="598">
      <c r="A598" s="30">
        <f>A592</f>
        <v/>
      </c>
      <c r="B598" s="31" t="inlineStr">
        <is>
          <t>Черновая</t>
        </is>
      </c>
      <c r="C598" s="31" t="inlineStr">
        <is>
          <t>8.2.7</t>
        </is>
      </c>
      <c r="D598" s="32" t="inlineStr">
        <is>
          <t>Паркинг и рампы надзем.</t>
        </is>
      </c>
      <c r="E598" s="33" t="n"/>
      <c r="F598" s="33" t="n"/>
      <c r="G598" s="33" t="n"/>
      <c r="H598" s="33" t="n"/>
      <c r="I598" s="34">
        <f>COUNTA(E598:G598)&amp;"/3"</f>
        <v/>
      </c>
    </row>
    <row r="599">
      <c r="A599" s="30">
        <f>A592</f>
        <v/>
      </c>
      <c r="B599" s="31" t="inlineStr">
        <is>
          <t>Чистовая</t>
        </is>
      </c>
      <c r="C599" s="31" t="inlineStr">
        <is>
          <t>8.2.1</t>
        </is>
      </c>
      <c r="D599" s="32" t="inlineStr">
        <is>
          <t>Отделка лобби/гранд-лобби</t>
        </is>
      </c>
      <c r="E599" s="33" t="n"/>
      <c r="F599" s="33" t="n"/>
      <c r="G599" s="33" t="n"/>
      <c r="H599" s="33" t="n"/>
      <c r="I599" s="34">
        <f>COUNTA(E599:H599)&amp;"/4"</f>
        <v/>
      </c>
    </row>
    <row r="600" ht="30" customHeight="1" s="74">
      <c r="A600" s="30">
        <f>A592</f>
        <v/>
      </c>
      <c r="B600" s="31" t="inlineStr">
        <is>
          <t>Чистовая</t>
        </is>
      </c>
      <c r="C600" s="31" t="inlineStr">
        <is>
          <t>8.2.2</t>
        </is>
      </c>
      <c r="D600" s="32" t="inlineStr">
        <is>
          <t>Отделка эвакуац. лестн. клетки надзем.</t>
        </is>
      </c>
      <c r="E600" s="33" t="n"/>
      <c r="F600" s="33" t="n"/>
      <c r="G600" s="33" t="n"/>
      <c r="H600" s="33" t="n"/>
      <c r="I600" s="34">
        <f>COUNTA(E600:G600)&amp;"/3"</f>
        <v/>
      </c>
    </row>
    <row r="601">
      <c r="A601" s="30">
        <f>A592</f>
        <v/>
      </c>
      <c r="B601" s="31" t="inlineStr">
        <is>
          <t>Чистовая</t>
        </is>
      </c>
      <c r="C601" s="31" t="inlineStr">
        <is>
          <t>8.2.3</t>
        </is>
      </c>
      <c r="D601" s="32" t="inlineStr">
        <is>
          <t>Лифт. холлы, тамбур-шлюзы надзем.</t>
        </is>
      </c>
      <c r="E601" s="33" t="n"/>
      <c r="F601" s="33" t="n"/>
      <c r="G601" s="33" t="n"/>
      <c r="H601" s="33" t="n"/>
      <c r="I601" s="34">
        <f>COUNTA(E601:G601)&amp;"/3"</f>
        <v/>
      </c>
    </row>
    <row r="602">
      <c r="A602" s="30">
        <f>A592</f>
        <v/>
      </c>
      <c r="B602" s="31" t="inlineStr">
        <is>
          <t>Чистовая</t>
        </is>
      </c>
      <c r="C602" s="31" t="inlineStr">
        <is>
          <t>8.2.4</t>
        </is>
      </c>
      <c r="D602" s="32" t="inlineStr">
        <is>
          <t>Технич. помещения надзем.</t>
        </is>
      </c>
      <c r="E602" s="33" t="n"/>
      <c r="F602" s="33" t="n"/>
      <c r="G602" s="33" t="n"/>
      <c r="H602" s="33" t="n"/>
      <c r="I602" s="34">
        <f>COUNTA(E602:G602)&amp;"/3"</f>
        <v/>
      </c>
    </row>
    <row r="603">
      <c r="A603" s="30">
        <f>A592</f>
        <v/>
      </c>
      <c r="B603" s="31" t="inlineStr">
        <is>
          <t>Чистовая</t>
        </is>
      </c>
      <c r="C603" s="31" t="inlineStr">
        <is>
          <t>8.2.5</t>
        </is>
      </c>
      <c r="D603" s="32" t="inlineStr">
        <is>
          <t>Прочие помещения надзем.</t>
        </is>
      </c>
      <c r="E603" s="33" t="n"/>
      <c r="F603" s="33" t="n"/>
      <c r="G603" s="33" t="n"/>
      <c r="H603" s="33" t="n"/>
      <c r="I603" s="34">
        <f>COUNTA(E603:G603)&amp;"/3"</f>
        <v/>
      </c>
    </row>
    <row r="604">
      <c r="A604" s="30">
        <f>A592</f>
        <v/>
      </c>
      <c r="B604" s="31" t="inlineStr">
        <is>
          <t>Чистовая</t>
        </is>
      </c>
      <c r="C604" s="31" t="inlineStr">
        <is>
          <t>8.2.6</t>
        </is>
      </c>
      <c r="D604" s="32" t="inlineStr">
        <is>
          <t>Коммерч. помещения надзем.</t>
        </is>
      </c>
      <c r="E604" s="33" t="n"/>
      <c r="F604" s="33" t="n"/>
      <c r="G604" s="33" t="n"/>
      <c r="H604" s="33" t="n"/>
      <c r="I604" s="34">
        <f>COUNTA(E604:G604)&amp;"/3"</f>
        <v/>
      </c>
    </row>
    <row r="605">
      <c r="A605" s="30">
        <f>A592</f>
        <v/>
      </c>
      <c r="B605" s="31" t="inlineStr">
        <is>
          <t>Чистовая</t>
        </is>
      </c>
      <c r="C605" s="31" t="inlineStr">
        <is>
          <t>8.2.7</t>
        </is>
      </c>
      <c r="D605" s="32" t="inlineStr">
        <is>
          <t>Паркинг и рампы надзем.</t>
        </is>
      </c>
      <c r="E605" s="33" t="n"/>
      <c r="F605" s="33" t="n"/>
      <c r="G605" s="33" t="n"/>
      <c r="H605" s="33" t="n"/>
      <c r="I605" s="34">
        <f>COUNTA(E605:G605)&amp;"/3"</f>
        <v/>
      </c>
    </row>
    <row r="606">
      <c r="A606" s="30">
        <f>A592+7</f>
        <v/>
      </c>
      <c r="B606" s="31" t="inlineStr">
        <is>
          <t>Черновая</t>
        </is>
      </c>
      <c r="C606" s="31" t="inlineStr">
        <is>
          <t>8.2.1</t>
        </is>
      </c>
      <c r="D606" s="32" t="inlineStr">
        <is>
          <t>Отделка лобби/гранд-лобби</t>
        </is>
      </c>
      <c r="E606" s="33" t="n"/>
      <c r="F606" s="33" t="n"/>
      <c r="G606" s="33" t="n"/>
      <c r="H606" s="33" t="n"/>
      <c r="I606" s="34">
        <f>COUNTA(E606:G606)&amp;"/3"</f>
        <v/>
      </c>
    </row>
    <row r="607" ht="30" customHeight="1" s="74">
      <c r="A607" s="30">
        <f>A606</f>
        <v/>
      </c>
      <c r="B607" s="31" t="inlineStr">
        <is>
          <t>Черновая</t>
        </is>
      </c>
      <c r="C607" s="31" t="inlineStr">
        <is>
          <t>8.2.2</t>
        </is>
      </c>
      <c r="D607" s="32" t="inlineStr">
        <is>
          <t>Отделка эвакуац. лестн. клетки надзем.</t>
        </is>
      </c>
      <c r="E607" s="33" t="n"/>
      <c r="F607" s="33" t="n"/>
      <c r="G607" s="33" t="n"/>
      <c r="H607" s="33" t="n"/>
      <c r="I607" s="34">
        <f>COUNTA(E607:G607)&amp;"/3"</f>
        <v/>
      </c>
    </row>
    <row r="608">
      <c r="A608" s="30">
        <f>A606</f>
        <v/>
      </c>
      <c r="B608" s="31" t="inlineStr">
        <is>
          <t>Черновая</t>
        </is>
      </c>
      <c r="C608" s="31" t="inlineStr">
        <is>
          <t>8.2.3</t>
        </is>
      </c>
      <c r="D608" s="32" t="inlineStr">
        <is>
          <t>Лифт. холлы, тамбур-шлюзы надзем.</t>
        </is>
      </c>
      <c r="E608" s="33" t="n"/>
      <c r="F608" s="33" t="n"/>
      <c r="G608" s="33" t="n"/>
      <c r="H608" s="33" t="n"/>
      <c r="I608" s="34">
        <f>COUNTA(E608:G608)&amp;"/3"</f>
        <v/>
      </c>
    </row>
    <row r="609">
      <c r="A609" s="30">
        <f>A606</f>
        <v/>
      </c>
      <c r="B609" s="31" t="inlineStr">
        <is>
          <t>Черновая</t>
        </is>
      </c>
      <c r="C609" s="31" t="inlineStr">
        <is>
          <t>8.2.4</t>
        </is>
      </c>
      <c r="D609" s="32" t="inlineStr">
        <is>
          <t>Технич. помещения надзем.</t>
        </is>
      </c>
      <c r="E609" s="33" t="n"/>
      <c r="F609" s="33" t="n"/>
      <c r="G609" s="33" t="n"/>
      <c r="H609" s="33" t="n"/>
      <c r="I609" s="34">
        <f>COUNTA(E609:G609)&amp;"/3"</f>
        <v/>
      </c>
    </row>
    <row r="610">
      <c r="A610" s="30">
        <f>A606</f>
        <v/>
      </c>
      <c r="B610" s="31" t="inlineStr">
        <is>
          <t>Черновая</t>
        </is>
      </c>
      <c r="C610" s="31" t="inlineStr">
        <is>
          <t>8.2.5</t>
        </is>
      </c>
      <c r="D610" s="32" t="inlineStr">
        <is>
          <t>Прочие помещения надзем.</t>
        </is>
      </c>
      <c r="E610" s="33" t="n"/>
      <c r="F610" s="33" t="n"/>
      <c r="G610" s="33" t="n"/>
      <c r="H610" s="33" t="n"/>
      <c r="I610" s="34">
        <f>COUNTA(E610:G610)&amp;"/3"</f>
        <v/>
      </c>
    </row>
    <row r="611">
      <c r="A611" s="30">
        <f>A606</f>
        <v/>
      </c>
      <c r="B611" s="31" t="inlineStr">
        <is>
          <t>Черновая</t>
        </is>
      </c>
      <c r="C611" s="31" t="inlineStr">
        <is>
          <t>8.2.6</t>
        </is>
      </c>
      <c r="D611" s="32" t="inlineStr">
        <is>
          <t>Коммерч. помещения надзем.</t>
        </is>
      </c>
      <c r="E611" s="33" t="n"/>
      <c r="F611" s="33" t="n"/>
      <c r="G611" s="33" t="n"/>
      <c r="H611" s="33" t="n"/>
      <c r="I611" s="34">
        <f>COUNTA(E611:G611)&amp;"/3"</f>
        <v/>
      </c>
    </row>
    <row r="612">
      <c r="A612" s="30">
        <f>A606</f>
        <v/>
      </c>
      <c r="B612" s="31" t="inlineStr">
        <is>
          <t>Черновая</t>
        </is>
      </c>
      <c r="C612" s="31" t="inlineStr">
        <is>
          <t>8.2.7</t>
        </is>
      </c>
      <c r="D612" s="32" t="inlineStr">
        <is>
          <t>Паркинг и рампы надзем.</t>
        </is>
      </c>
      <c r="E612" s="33" t="n"/>
      <c r="F612" s="33" t="n"/>
      <c r="G612" s="33" t="n"/>
      <c r="H612" s="33" t="n"/>
      <c r="I612" s="34">
        <f>COUNTA(E612:G612)&amp;"/3"</f>
        <v/>
      </c>
    </row>
    <row r="613">
      <c r="A613" s="30">
        <f>A606</f>
        <v/>
      </c>
      <c r="B613" s="31" t="inlineStr">
        <is>
          <t>Чистовая</t>
        </is>
      </c>
      <c r="C613" s="31" t="inlineStr">
        <is>
          <t>8.2.1</t>
        </is>
      </c>
      <c r="D613" s="32" t="inlineStr">
        <is>
          <t>Отделка лобби/гранд-лобби</t>
        </is>
      </c>
      <c r="E613" s="33" t="n"/>
      <c r="F613" s="33" t="n"/>
      <c r="G613" s="33" t="n"/>
      <c r="H613" s="33" t="n"/>
      <c r="I613" s="34">
        <f>COUNTA(E613:H613)&amp;"/4"</f>
        <v/>
      </c>
    </row>
    <row r="614" ht="30" customHeight="1" s="74">
      <c r="A614" s="30">
        <f>A606</f>
        <v/>
      </c>
      <c r="B614" s="31" t="inlineStr">
        <is>
          <t>Чистовая</t>
        </is>
      </c>
      <c r="C614" s="31" t="inlineStr">
        <is>
          <t>8.2.2</t>
        </is>
      </c>
      <c r="D614" s="32" t="inlineStr">
        <is>
          <t>Отделка эвакуац. лестн. клетки надзем.</t>
        </is>
      </c>
      <c r="E614" s="33" t="n"/>
      <c r="F614" s="33" t="n"/>
      <c r="G614" s="33" t="n"/>
      <c r="H614" s="33" t="n"/>
      <c r="I614" s="34">
        <f>COUNTA(E614:G614)&amp;"/3"</f>
        <v/>
      </c>
    </row>
    <row r="615">
      <c r="A615" s="30">
        <f>A606</f>
        <v/>
      </c>
      <c r="B615" s="31" t="inlineStr">
        <is>
          <t>Чистовая</t>
        </is>
      </c>
      <c r="C615" s="31" t="inlineStr">
        <is>
          <t>8.2.3</t>
        </is>
      </c>
      <c r="D615" s="32" t="inlineStr">
        <is>
          <t>Лифт. холлы, тамбур-шлюзы надзем.</t>
        </is>
      </c>
      <c r="E615" s="33" t="n"/>
      <c r="F615" s="33" t="n"/>
      <c r="G615" s="33" t="n"/>
      <c r="H615" s="33" t="n"/>
      <c r="I615" s="34">
        <f>COUNTA(E615:G615)&amp;"/3"</f>
        <v/>
      </c>
    </row>
    <row r="616">
      <c r="A616" s="30">
        <f>A606</f>
        <v/>
      </c>
      <c r="B616" s="31" t="inlineStr">
        <is>
          <t>Чистовая</t>
        </is>
      </c>
      <c r="C616" s="31" t="inlineStr">
        <is>
          <t>8.2.4</t>
        </is>
      </c>
      <c r="D616" s="32" t="inlineStr">
        <is>
          <t>Технич. помещения надзем.</t>
        </is>
      </c>
      <c r="E616" s="33" t="n"/>
      <c r="F616" s="33" t="n"/>
      <c r="G616" s="33" t="n"/>
      <c r="H616" s="33" t="n"/>
      <c r="I616" s="34">
        <f>COUNTA(E616:G616)&amp;"/3"</f>
        <v/>
      </c>
    </row>
    <row r="617">
      <c r="A617" s="30">
        <f>A606</f>
        <v/>
      </c>
      <c r="B617" s="31" t="inlineStr">
        <is>
          <t>Чистовая</t>
        </is>
      </c>
      <c r="C617" s="31" t="inlineStr">
        <is>
          <t>8.2.5</t>
        </is>
      </c>
      <c r="D617" s="32" t="inlineStr">
        <is>
          <t>Прочие помещения надзем.</t>
        </is>
      </c>
      <c r="E617" s="33" t="n"/>
      <c r="F617" s="33" t="n"/>
      <c r="G617" s="33" t="n"/>
      <c r="H617" s="33" t="n"/>
      <c r="I617" s="34">
        <f>COUNTA(E617:G617)&amp;"/3"</f>
        <v/>
      </c>
    </row>
    <row r="618">
      <c r="A618" s="30">
        <f>A606</f>
        <v/>
      </c>
      <c r="B618" s="31" t="inlineStr">
        <is>
          <t>Чистовая</t>
        </is>
      </c>
      <c r="C618" s="31" t="inlineStr">
        <is>
          <t>8.2.6</t>
        </is>
      </c>
      <c r="D618" s="32" t="inlineStr">
        <is>
          <t>Коммерч. помещения надзем.</t>
        </is>
      </c>
      <c r="E618" s="33" t="n"/>
      <c r="F618" s="33" t="n"/>
      <c r="G618" s="33" t="n"/>
      <c r="H618" s="33" t="n"/>
      <c r="I618" s="34">
        <f>COUNTA(E618:G618)&amp;"/3"</f>
        <v/>
      </c>
    </row>
    <row r="619">
      <c r="A619" s="30">
        <f>A606</f>
        <v/>
      </c>
      <c r="B619" s="31" t="inlineStr">
        <is>
          <t>Чистовая</t>
        </is>
      </c>
      <c r="C619" s="31" t="inlineStr">
        <is>
          <t>8.2.7</t>
        </is>
      </c>
      <c r="D619" s="32" t="inlineStr">
        <is>
          <t>Паркинг и рампы надзем.</t>
        </is>
      </c>
      <c r="E619" s="33" t="n"/>
      <c r="F619" s="33" t="n"/>
      <c r="G619" s="33" t="n"/>
      <c r="H619" s="33" t="n"/>
      <c r="I619" s="34">
        <f>COUNTA(E619:G619)&amp;"/3"</f>
        <v/>
      </c>
    </row>
    <row r="620">
      <c r="A620" s="30">
        <f>A606+7</f>
        <v/>
      </c>
      <c r="B620" s="31" t="inlineStr">
        <is>
          <t>Черновая</t>
        </is>
      </c>
      <c r="C620" s="31" t="inlineStr">
        <is>
          <t>8.2.1</t>
        </is>
      </c>
      <c r="D620" s="32" t="inlineStr">
        <is>
          <t>Отделка лобби/гранд-лобби</t>
        </is>
      </c>
      <c r="E620" s="33" t="n"/>
      <c r="F620" s="33" t="n"/>
      <c r="G620" s="33" t="n"/>
      <c r="H620" s="33" t="n"/>
      <c r="I620" s="34">
        <f>COUNTA(E620:G620)&amp;"/3"</f>
        <v/>
      </c>
    </row>
    <row r="621" ht="30" customHeight="1" s="74">
      <c r="A621" s="30">
        <f>A620</f>
        <v/>
      </c>
      <c r="B621" s="31" t="inlineStr">
        <is>
          <t>Черновая</t>
        </is>
      </c>
      <c r="C621" s="31" t="inlineStr">
        <is>
          <t>8.2.2</t>
        </is>
      </c>
      <c r="D621" s="32" t="inlineStr">
        <is>
          <t>Отделка эвакуац. лестн. клетки надзем.</t>
        </is>
      </c>
      <c r="E621" s="33" t="n"/>
      <c r="F621" s="33" t="n"/>
      <c r="G621" s="33" t="n"/>
      <c r="H621" s="33" t="n"/>
      <c r="I621" s="34">
        <f>COUNTA(E621:G621)&amp;"/3"</f>
        <v/>
      </c>
    </row>
    <row r="622">
      <c r="A622" s="30">
        <f>A620</f>
        <v/>
      </c>
      <c r="B622" s="31" t="inlineStr">
        <is>
          <t>Черновая</t>
        </is>
      </c>
      <c r="C622" s="31" t="inlineStr">
        <is>
          <t>8.2.3</t>
        </is>
      </c>
      <c r="D622" s="32" t="inlineStr">
        <is>
          <t>Лифт. холлы, тамбур-шлюзы надзем.</t>
        </is>
      </c>
      <c r="E622" s="33" t="n"/>
      <c r="F622" s="33" t="n"/>
      <c r="G622" s="33" t="n"/>
      <c r="H622" s="33" t="n"/>
      <c r="I622" s="34">
        <f>COUNTA(E622:G622)&amp;"/3"</f>
        <v/>
      </c>
    </row>
    <row r="623">
      <c r="A623" s="30">
        <f>A620</f>
        <v/>
      </c>
      <c r="B623" s="31" t="inlineStr">
        <is>
          <t>Черновая</t>
        </is>
      </c>
      <c r="C623" s="31" t="inlineStr">
        <is>
          <t>8.2.4</t>
        </is>
      </c>
      <c r="D623" s="32" t="inlineStr">
        <is>
          <t>Технич. помещения надзем.</t>
        </is>
      </c>
      <c r="E623" s="33" t="n"/>
      <c r="F623" s="33" t="n"/>
      <c r="G623" s="33" t="n"/>
      <c r="H623" s="33" t="n"/>
      <c r="I623" s="34">
        <f>COUNTA(E623:G623)&amp;"/3"</f>
        <v/>
      </c>
    </row>
    <row r="624">
      <c r="A624" s="30">
        <f>A620</f>
        <v/>
      </c>
      <c r="B624" s="31" t="inlineStr">
        <is>
          <t>Черновая</t>
        </is>
      </c>
      <c r="C624" s="31" t="inlineStr">
        <is>
          <t>8.2.5</t>
        </is>
      </c>
      <c r="D624" s="32" t="inlineStr">
        <is>
          <t>Прочие помещения надзем.</t>
        </is>
      </c>
      <c r="E624" s="33" t="n"/>
      <c r="F624" s="33" t="n"/>
      <c r="G624" s="33" t="n"/>
      <c r="H624" s="33" t="n"/>
      <c r="I624" s="34">
        <f>COUNTA(E624:G624)&amp;"/3"</f>
        <v/>
      </c>
    </row>
    <row r="625">
      <c r="A625" s="30">
        <f>A620</f>
        <v/>
      </c>
      <c r="B625" s="31" t="inlineStr">
        <is>
          <t>Черновая</t>
        </is>
      </c>
      <c r="C625" s="31" t="inlineStr">
        <is>
          <t>8.2.6</t>
        </is>
      </c>
      <c r="D625" s="32" t="inlineStr">
        <is>
          <t>Коммерч. помещения надзем.</t>
        </is>
      </c>
      <c r="E625" s="33" t="n"/>
      <c r="F625" s="33" t="n"/>
      <c r="G625" s="33" t="n"/>
      <c r="H625" s="33" t="n"/>
      <c r="I625" s="34">
        <f>COUNTA(E625:G625)&amp;"/3"</f>
        <v/>
      </c>
    </row>
    <row r="626">
      <c r="A626" s="30">
        <f>A620</f>
        <v/>
      </c>
      <c r="B626" s="31" t="inlineStr">
        <is>
          <t>Черновая</t>
        </is>
      </c>
      <c r="C626" s="31" t="inlineStr">
        <is>
          <t>8.2.7</t>
        </is>
      </c>
      <c r="D626" s="32" t="inlineStr">
        <is>
          <t>Паркинг и рампы надзем.</t>
        </is>
      </c>
      <c r="E626" s="33" t="n"/>
      <c r="F626" s="33" t="n"/>
      <c r="G626" s="33" t="n"/>
      <c r="H626" s="33" t="n"/>
      <c r="I626" s="34">
        <f>COUNTA(E626:G626)&amp;"/3"</f>
        <v/>
      </c>
    </row>
    <row r="627">
      <c r="A627" s="30">
        <f>A620</f>
        <v/>
      </c>
      <c r="B627" s="31" t="inlineStr">
        <is>
          <t>Чистовая</t>
        </is>
      </c>
      <c r="C627" s="31" t="inlineStr">
        <is>
          <t>8.2.1</t>
        </is>
      </c>
      <c r="D627" s="32" t="inlineStr">
        <is>
          <t>Отделка лобби/гранд-лобби</t>
        </is>
      </c>
      <c r="E627" s="33" t="n"/>
      <c r="F627" s="33" t="n"/>
      <c r="G627" s="33" t="n"/>
      <c r="H627" s="33" t="n"/>
      <c r="I627" s="34">
        <f>COUNTA(E627:H627)&amp;"/4"</f>
        <v/>
      </c>
    </row>
    <row r="628" ht="30" customHeight="1" s="74">
      <c r="A628" s="30">
        <f>A620</f>
        <v/>
      </c>
      <c r="B628" s="31" t="inlineStr">
        <is>
          <t>Чистовая</t>
        </is>
      </c>
      <c r="C628" s="31" t="inlineStr">
        <is>
          <t>8.2.2</t>
        </is>
      </c>
      <c r="D628" s="32" t="inlineStr">
        <is>
          <t>Отделка эвакуац. лестн. клетки надзем.</t>
        </is>
      </c>
      <c r="E628" s="33" t="n"/>
      <c r="F628" s="33" t="n"/>
      <c r="G628" s="33" t="n"/>
      <c r="H628" s="33" t="n"/>
      <c r="I628" s="34">
        <f>COUNTA(E628:G628)&amp;"/3"</f>
        <v/>
      </c>
    </row>
    <row r="629">
      <c r="A629" s="30">
        <f>A620</f>
        <v/>
      </c>
      <c r="B629" s="31" t="inlineStr">
        <is>
          <t>Чистовая</t>
        </is>
      </c>
      <c r="C629" s="31" t="inlineStr">
        <is>
          <t>8.2.3</t>
        </is>
      </c>
      <c r="D629" s="32" t="inlineStr">
        <is>
          <t>Лифт. холлы, тамбур-шлюзы надзем.</t>
        </is>
      </c>
      <c r="E629" s="33" t="n"/>
      <c r="F629" s="33" t="n"/>
      <c r="G629" s="33" t="n"/>
      <c r="H629" s="33" t="n"/>
      <c r="I629" s="34">
        <f>COUNTA(E629:G629)&amp;"/3"</f>
        <v/>
      </c>
    </row>
    <row r="630">
      <c r="A630" s="30">
        <f>A620</f>
        <v/>
      </c>
      <c r="B630" s="31" t="inlineStr">
        <is>
          <t>Чистовая</t>
        </is>
      </c>
      <c r="C630" s="31" t="inlineStr">
        <is>
          <t>8.2.4</t>
        </is>
      </c>
      <c r="D630" s="32" t="inlineStr">
        <is>
          <t>Технич. помещения надзем.</t>
        </is>
      </c>
      <c r="E630" s="33" t="n"/>
      <c r="F630" s="33" t="n"/>
      <c r="G630" s="33" t="n"/>
      <c r="H630" s="33" t="n"/>
      <c r="I630" s="34">
        <f>COUNTA(E630:G630)&amp;"/3"</f>
        <v/>
      </c>
    </row>
    <row r="631">
      <c r="A631" s="30">
        <f>A620</f>
        <v/>
      </c>
      <c r="B631" s="31" t="inlineStr">
        <is>
          <t>Чистовая</t>
        </is>
      </c>
      <c r="C631" s="31" t="inlineStr">
        <is>
          <t>8.2.5</t>
        </is>
      </c>
      <c r="D631" s="32" t="inlineStr">
        <is>
          <t>Прочие помещения надзем.</t>
        </is>
      </c>
      <c r="E631" s="33" t="n"/>
      <c r="F631" s="33" t="n"/>
      <c r="G631" s="33" t="n"/>
      <c r="H631" s="33" t="n"/>
      <c r="I631" s="34">
        <f>COUNTA(E631:G631)&amp;"/3"</f>
        <v/>
      </c>
    </row>
    <row r="632">
      <c r="A632" s="30">
        <f>A620</f>
        <v/>
      </c>
      <c r="B632" s="31" t="inlineStr">
        <is>
          <t>Чистовая</t>
        </is>
      </c>
      <c r="C632" s="31" t="inlineStr">
        <is>
          <t>8.2.6</t>
        </is>
      </c>
      <c r="D632" s="32" t="inlineStr">
        <is>
          <t>Коммерч. помещения надзем.</t>
        </is>
      </c>
      <c r="E632" s="33" t="n"/>
      <c r="F632" s="33" t="n"/>
      <c r="G632" s="33" t="n"/>
      <c r="H632" s="33" t="n"/>
      <c r="I632" s="34">
        <f>COUNTA(E632:G632)&amp;"/3"</f>
        <v/>
      </c>
    </row>
    <row r="633">
      <c r="A633" s="30">
        <f>A620</f>
        <v/>
      </c>
      <c r="B633" s="31" t="inlineStr">
        <is>
          <t>Чистовая</t>
        </is>
      </c>
      <c r="C633" s="31" t="inlineStr">
        <is>
          <t>8.2.7</t>
        </is>
      </c>
      <c r="D633" s="32" t="inlineStr">
        <is>
          <t>Паркинг и рампы надзем.</t>
        </is>
      </c>
      <c r="E633" s="33" t="n"/>
      <c r="F633" s="33" t="n"/>
      <c r="G633" s="33" t="n"/>
      <c r="H633" s="33" t="n"/>
      <c r="I633" s="34">
        <f>COUNTA(E633:G633)&amp;"/3"</f>
        <v/>
      </c>
    </row>
    <row r="634">
      <c r="A634" s="30">
        <f>A620+7</f>
        <v/>
      </c>
      <c r="B634" s="31" t="inlineStr">
        <is>
          <t>Черновая</t>
        </is>
      </c>
      <c r="C634" s="31" t="inlineStr">
        <is>
          <t>8.2.1</t>
        </is>
      </c>
      <c r="D634" s="32" t="inlineStr">
        <is>
          <t>Отделка лобби/гранд-лобби</t>
        </is>
      </c>
      <c r="E634" s="33" t="n"/>
      <c r="F634" s="33" t="n"/>
      <c r="G634" s="33" t="n"/>
      <c r="H634" s="33" t="n"/>
      <c r="I634" s="34">
        <f>COUNTA(E634:G634)&amp;"/3"</f>
        <v/>
      </c>
    </row>
    <row r="635" ht="30" customHeight="1" s="74">
      <c r="A635" s="30">
        <f>A634</f>
        <v/>
      </c>
      <c r="B635" s="31" t="inlineStr">
        <is>
          <t>Черновая</t>
        </is>
      </c>
      <c r="C635" s="31" t="inlineStr">
        <is>
          <t>8.2.2</t>
        </is>
      </c>
      <c r="D635" s="32" t="inlineStr">
        <is>
          <t>Отделка эвакуац. лестн. клетки надзем.</t>
        </is>
      </c>
      <c r="E635" s="33" t="n"/>
      <c r="F635" s="33" t="n"/>
      <c r="G635" s="33" t="n"/>
      <c r="H635" s="33" t="n"/>
      <c r="I635" s="34">
        <f>COUNTA(E635:G635)&amp;"/3"</f>
        <v/>
      </c>
    </row>
    <row r="636">
      <c r="A636" s="30">
        <f>A634</f>
        <v/>
      </c>
      <c r="B636" s="31" t="inlineStr">
        <is>
          <t>Черновая</t>
        </is>
      </c>
      <c r="C636" s="31" t="inlineStr">
        <is>
          <t>8.2.3</t>
        </is>
      </c>
      <c r="D636" s="32" t="inlineStr">
        <is>
          <t>Лифт. холлы, тамбур-шлюзы надзем.</t>
        </is>
      </c>
      <c r="E636" s="33" t="n"/>
      <c r="F636" s="33" t="n"/>
      <c r="G636" s="33" t="n"/>
      <c r="H636" s="33" t="n"/>
      <c r="I636" s="34">
        <f>COUNTA(E636:G636)&amp;"/3"</f>
        <v/>
      </c>
    </row>
    <row r="637">
      <c r="A637" s="30">
        <f>A634</f>
        <v/>
      </c>
      <c r="B637" s="31" t="inlineStr">
        <is>
          <t>Черновая</t>
        </is>
      </c>
      <c r="C637" s="31" t="inlineStr">
        <is>
          <t>8.2.4</t>
        </is>
      </c>
      <c r="D637" s="32" t="inlineStr">
        <is>
          <t>Технич. помещения надзем.</t>
        </is>
      </c>
      <c r="E637" s="33" t="n"/>
      <c r="F637" s="33" t="n"/>
      <c r="G637" s="33" t="n"/>
      <c r="H637" s="33" t="n"/>
      <c r="I637" s="34">
        <f>COUNTA(E637:G637)&amp;"/3"</f>
        <v/>
      </c>
    </row>
    <row r="638">
      <c r="A638" s="30">
        <f>A634</f>
        <v/>
      </c>
      <c r="B638" s="31" t="inlineStr">
        <is>
          <t>Черновая</t>
        </is>
      </c>
      <c r="C638" s="31" t="inlineStr">
        <is>
          <t>8.2.5</t>
        </is>
      </c>
      <c r="D638" s="32" t="inlineStr">
        <is>
          <t>Прочие помещения надзем.</t>
        </is>
      </c>
      <c r="E638" s="33" t="n"/>
      <c r="F638" s="33" t="n"/>
      <c r="G638" s="33" t="n"/>
      <c r="H638" s="33" t="n"/>
      <c r="I638" s="34">
        <f>COUNTA(E638:G638)&amp;"/3"</f>
        <v/>
      </c>
    </row>
    <row r="639">
      <c r="A639" s="30">
        <f>A634</f>
        <v/>
      </c>
      <c r="B639" s="31" t="inlineStr">
        <is>
          <t>Черновая</t>
        </is>
      </c>
      <c r="C639" s="31" t="inlineStr">
        <is>
          <t>8.2.6</t>
        </is>
      </c>
      <c r="D639" s="32" t="inlineStr">
        <is>
          <t>Коммерч. помещения надзем.</t>
        </is>
      </c>
      <c r="E639" s="33" t="n"/>
      <c r="F639" s="33" t="n"/>
      <c r="G639" s="33" t="n"/>
      <c r="H639" s="33" t="n"/>
      <c r="I639" s="34">
        <f>COUNTA(E639:G639)&amp;"/3"</f>
        <v/>
      </c>
    </row>
    <row r="640">
      <c r="A640" s="30">
        <f>A634</f>
        <v/>
      </c>
      <c r="B640" s="31" t="inlineStr">
        <is>
          <t>Черновая</t>
        </is>
      </c>
      <c r="C640" s="31" t="inlineStr">
        <is>
          <t>8.2.7</t>
        </is>
      </c>
      <c r="D640" s="32" t="inlineStr">
        <is>
          <t>Паркинг и рампы надзем.</t>
        </is>
      </c>
      <c r="E640" s="33" t="n"/>
      <c r="F640" s="33" t="n"/>
      <c r="G640" s="33" t="n"/>
      <c r="H640" s="33" t="n"/>
      <c r="I640" s="34">
        <f>COUNTA(E640:G640)&amp;"/3"</f>
        <v/>
      </c>
    </row>
    <row r="641">
      <c r="A641" s="30">
        <f>A634</f>
        <v/>
      </c>
      <c r="B641" s="31" t="inlineStr">
        <is>
          <t>Чистовая</t>
        </is>
      </c>
      <c r="C641" s="31" t="inlineStr">
        <is>
          <t>8.2.1</t>
        </is>
      </c>
      <c r="D641" s="32" t="inlineStr">
        <is>
          <t>Отделка лобби/гранд-лобби</t>
        </is>
      </c>
      <c r="E641" s="33" t="n"/>
      <c r="F641" s="33" t="n"/>
      <c r="G641" s="33" t="n"/>
      <c r="H641" s="33" t="n"/>
      <c r="I641" s="34">
        <f>COUNTA(E641:H641)&amp;"/4"</f>
        <v/>
      </c>
    </row>
    <row r="642" ht="30" customHeight="1" s="74">
      <c r="A642" s="30">
        <f>A634</f>
        <v/>
      </c>
      <c r="B642" s="31" t="inlineStr">
        <is>
          <t>Чистовая</t>
        </is>
      </c>
      <c r="C642" s="31" t="inlineStr">
        <is>
          <t>8.2.2</t>
        </is>
      </c>
      <c r="D642" s="32" t="inlineStr">
        <is>
          <t>Отделка эвакуац. лестн. клетки надзем.</t>
        </is>
      </c>
      <c r="E642" s="33" t="n"/>
      <c r="F642" s="33" t="n"/>
      <c r="G642" s="33" t="n"/>
      <c r="H642" s="33" t="n"/>
      <c r="I642" s="34">
        <f>COUNTA(E642:G642)&amp;"/3"</f>
        <v/>
      </c>
    </row>
    <row r="643">
      <c r="A643" s="30">
        <f>A634</f>
        <v/>
      </c>
      <c r="B643" s="31" t="inlineStr">
        <is>
          <t>Чистовая</t>
        </is>
      </c>
      <c r="C643" s="31" t="inlineStr">
        <is>
          <t>8.2.3</t>
        </is>
      </c>
      <c r="D643" s="32" t="inlineStr">
        <is>
          <t>Лифт. холлы, тамбур-шлюзы надзем.</t>
        </is>
      </c>
      <c r="E643" s="33" t="n"/>
      <c r="F643" s="33" t="n"/>
      <c r="G643" s="33" t="n"/>
      <c r="H643" s="33" t="n"/>
      <c r="I643" s="34">
        <f>COUNTA(E643:G643)&amp;"/3"</f>
        <v/>
      </c>
    </row>
    <row r="644">
      <c r="A644" s="30">
        <f>A634</f>
        <v/>
      </c>
      <c r="B644" s="31" t="inlineStr">
        <is>
          <t>Чистовая</t>
        </is>
      </c>
      <c r="C644" s="31" t="inlineStr">
        <is>
          <t>8.2.4</t>
        </is>
      </c>
      <c r="D644" s="32" t="inlineStr">
        <is>
          <t>Технич. помещения надзем.</t>
        </is>
      </c>
      <c r="E644" s="33" t="n"/>
      <c r="F644" s="33" t="n"/>
      <c r="G644" s="33" t="n"/>
      <c r="H644" s="33" t="n"/>
      <c r="I644" s="34">
        <f>COUNTA(E644:G644)&amp;"/3"</f>
        <v/>
      </c>
    </row>
    <row r="645">
      <c r="A645" s="30">
        <f>A634</f>
        <v/>
      </c>
      <c r="B645" s="31" t="inlineStr">
        <is>
          <t>Чистовая</t>
        </is>
      </c>
      <c r="C645" s="31" t="inlineStr">
        <is>
          <t>8.2.5</t>
        </is>
      </c>
      <c r="D645" s="32" t="inlineStr">
        <is>
          <t>Прочие помещения надзем.</t>
        </is>
      </c>
      <c r="E645" s="33" t="n"/>
      <c r="F645" s="33" t="n"/>
      <c r="G645" s="33" t="n"/>
      <c r="H645" s="33" t="n"/>
      <c r="I645" s="34">
        <f>COUNTA(E645:G645)&amp;"/3"</f>
        <v/>
      </c>
    </row>
    <row r="646">
      <c r="A646" s="30">
        <f>A634</f>
        <v/>
      </c>
      <c r="B646" s="31" t="inlineStr">
        <is>
          <t>Чистовая</t>
        </is>
      </c>
      <c r="C646" s="31" t="inlineStr">
        <is>
          <t>8.2.6</t>
        </is>
      </c>
      <c r="D646" s="32" t="inlineStr">
        <is>
          <t>Коммерч. помещения надзем.</t>
        </is>
      </c>
      <c r="E646" s="33" t="n"/>
      <c r="F646" s="33" t="n"/>
      <c r="G646" s="33" t="n"/>
      <c r="H646" s="33" t="n"/>
      <c r="I646" s="34">
        <f>COUNTA(E646:G646)&amp;"/3"</f>
        <v/>
      </c>
    </row>
    <row r="647">
      <c r="A647" s="30">
        <f>A634</f>
        <v/>
      </c>
      <c r="B647" s="31" t="inlineStr">
        <is>
          <t>Чистовая</t>
        </is>
      </c>
      <c r="C647" s="31" t="inlineStr">
        <is>
          <t>8.2.7</t>
        </is>
      </c>
      <c r="D647" s="32" t="inlineStr">
        <is>
          <t>Паркинг и рампы надзем.</t>
        </is>
      </c>
      <c r="E647" s="33" t="n"/>
      <c r="F647" s="33" t="n"/>
      <c r="G647" s="33" t="n"/>
      <c r="H647" s="33" t="n"/>
      <c r="I647" s="34">
        <f>COUNTA(E647:G647)&amp;"/3"</f>
        <v/>
      </c>
    </row>
    <row r="648">
      <c r="A648" s="30">
        <f>A634+7</f>
        <v/>
      </c>
      <c r="B648" s="31" t="inlineStr">
        <is>
          <t>Черновая</t>
        </is>
      </c>
      <c r="C648" s="31" t="inlineStr">
        <is>
          <t>8.2.1</t>
        </is>
      </c>
      <c r="D648" s="32" t="inlineStr">
        <is>
          <t>Отделка лобби/гранд-лобби</t>
        </is>
      </c>
      <c r="E648" s="33" t="n"/>
      <c r="F648" s="33" t="n"/>
      <c r="G648" s="33" t="n"/>
      <c r="H648" s="33" t="n"/>
      <c r="I648" s="34">
        <f>COUNTA(E648:G648)&amp;"/3"</f>
        <v/>
      </c>
    </row>
    <row r="649" ht="30" customHeight="1" s="74">
      <c r="A649" s="30">
        <f>A648</f>
        <v/>
      </c>
      <c r="B649" s="31" t="inlineStr">
        <is>
          <t>Черновая</t>
        </is>
      </c>
      <c r="C649" s="31" t="inlineStr">
        <is>
          <t>8.2.2</t>
        </is>
      </c>
      <c r="D649" s="32" t="inlineStr">
        <is>
          <t>Отделка эвакуац. лестн. клетки надзем.</t>
        </is>
      </c>
      <c r="E649" s="33" t="n"/>
      <c r="F649" s="33" t="n"/>
      <c r="G649" s="33" t="n"/>
      <c r="H649" s="33" t="n"/>
      <c r="I649" s="34">
        <f>COUNTA(E649:G649)&amp;"/3"</f>
        <v/>
      </c>
    </row>
    <row r="650">
      <c r="A650" s="30">
        <f>A648</f>
        <v/>
      </c>
      <c r="B650" s="31" t="inlineStr">
        <is>
          <t>Черновая</t>
        </is>
      </c>
      <c r="C650" s="31" t="inlineStr">
        <is>
          <t>8.2.3</t>
        </is>
      </c>
      <c r="D650" s="32" t="inlineStr">
        <is>
          <t>Лифт. холлы, тамбур-шлюзы надзем.</t>
        </is>
      </c>
      <c r="E650" s="33" t="n"/>
      <c r="F650" s="33" t="n"/>
      <c r="G650" s="33" t="n"/>
      <c r="H650" s="33" t="n"/>
      <c r="I650" s="34">
        <f>COUNTA(E650:G650)&amp;"/3"</f>
        <v/>
      </c>
    </row>
    <row r="651">
      <c r="A651" s="30">
        <f>A648</f>
        <v/>
      </c>
      <c r="B651" s="31" t="inlineStr">
        <is>
          <t>Черновая</t>
        </is>
      </c>
      <c r="C651" s="31" t="inlineStr">
        <is>
          <t>8.2.4</t>
        </is>
      </c>
      <c r="D651" s="32" t="inlineStr">
        <is>
          <t>Технич. помещения надзем.</t>
        </is>
      </c>
      <c r="E651" s="33" t="n"/>
      <c r="F651" s="33" t="n"/>
      <c r="G651" s="33" t="n"/>
      <c r="H651" s="33" t="n"/>
      <c r="I651" s="34">
        <f>COUNTA(E651:G651)&amp;"/3"</f>
        <v/>
      </c>
    </row>
    <row r="652">
      <c r="A652" s="30">
        <f>A648</f>
        <v/>
      </c>
      <c r="B652" s="31" t="inlineStr">
        <is>
          <t>Черновая</t>
        </is>
      </c>
      <c r="C652" s="31" t="inlineStr">
        <is>
          <t>8.2.5</t>
        </is>
      </c>
      <c r="D652" s="32" t="inlineStr">
        <is>
          <t>Прочие помещения надзем.</t>
        </is>
      </c>
      <c r="E652" s="33" t="n"/>
      <c r="F652" s="33" t="n"/>
      <c r="G652" s="33" t="n"/>
      <c r="H652" s="33" t="n"/>
      <c r="I652" s="34">
        <f>COUNTA(E652:G652)&amp;"/3"</f>
        <v/>
      </c>
    </row>
    <row r="653">
      <c r="A653" s="30">
        <f>A648</f>
        <v/>
      </c>
      <c r="B653" s="31" t="inlineStr">
        <is>
          <t>Черновая</t>
        </is>
      </c>
      <c r="C653" s="31" t="inlineStr">
        <is>
          <t>8.2.6</t>
        </is>
      </c>
      <c r="D653" s="32" t="inlineStr">
        <is>
          <t>Коммерч. помещения надзем.</t>
        </is>
      </c>
      <c r="E653" s="33" t="n"/>
      <c r="F653" s="33" t="n"/>
      <c r="G653" s="33" t="n"/>
      <c r="H653" s="33" t="n"/>
      <c r="I653" s="34">
        <f>COUNTA(E653:G653)&amp;"/3"</f>
        <v/>
      </c>
    </row>
    <row r="654">
      <c r="A654" s="30">
        <f>A648</f>
        <v/>
      </c>
      <c r="B654" s="31" t="inlineStr">
        <is>
          <t>Черновая</t>
        </is>
      </c>
      <c r="C654" s="31" t="inlineStr">
        <is>
          <t>8.2.7</t>
        </is>
      </c>
      <c r="D654" s="32" t="inlineStr">
        <is>
          <t>Паркинг и рампы надзем.</t>
        </is>
      </c>
      <c r="E654" s="33" t="n"/>
      <c r="F654" s="33" t="n"/>
      <c r="G654" s="33" t="n"/>
      <c r="H654" s="33" t="n"/>
      <c r="I654" s="34">
        <f>COUNTA(E654:G654)&amp;"/3"</f>
        <v/>
      </c>
    </row>
    <row r="655">
      <c r="A655" s="30">
        <f>A648</f>
        <v/>
      </c>
      <c r="B655" s="31" t="inlineStr">
        <is>
          <t>Чистовая</t>
        </is>
      </c>
      <c r="C655" s="31" t="inlineStr">
        <is>
          <t>8.2.1</t>
        </is>
      </c>
      <c r="D655" s="32" t="inlineStr">
        <is>
          <t>Отделка лобби/гранд-лобби</t>
        </is>
      </c>
      <c r="E655" s="33" t="n"/>
      <c r="F655" s="33" t="n"/>
      <c r="G655" s="33" t="n"/>
      <c r="H655" s="33" t="n"/>
      <c r="I655" s="34">
        <f>COUNTA(E655:H655)&amp;"/4"</f>
        <v/>
      </c>
    </row>
    <row r="656" ht="30" customHeight="1" s="74">
      <c r="A656" s="30">
        <f>A648</f>
        <v/>
      </c>
      <c r="B656" s="31" t="inlineStr">
        <is>
          <t>Чистовая</t>
        </is>
      </c>
      <c r="C656" s="31" t="inlineStr">
        <is>
          <t>8.2.2</t>
        </is>
      </c>
      <c r="D656" s="32" t="inlineStr">
        <is>
          <t>Отделка эвакуац. лестн. клетки надзем.</t>
        </is>
      </c>
      <c r="E656" s="33" t="n"/>
      <c r="F656" s="33" t="n"/>
      <c r="G656" s="33" t="n"/>
      <c r="H656" s="33" t="n"/>
      <c r="I656" s="34">
        <f>COUNTA(E656:G656)&amp;"/3"</f>
        <v/>
      </c>
    </row>
    <row r="657">
      <c r="A657" s="30">
        <f>A648</f>
        <v/>
      </c>
      <c r="B657" s="31" t="inlineStr">
        <is>
          <t>Чистовая</t>
        </is>
      </c>
      <c r="C657" s="31" t="inlineStr">
        <is>
          <t>8.2.3</t>
        </is>
      </c>
      <c r="D657" s="32" t="inlineStr">
        <is>
          <t>Лифт. холлы, тамбур-шлюзы надзем.</t>
        </is>
      </c>
      <c r="E657" s="33" t="n"/>
      <c r="F657" s="33" t="n"/>
      <c r="G657" s="33" t="n"/>
      <c r="H657" s="33" t="n"/>
      <c r="I657" s="34">
        <f>COUNTA(E657:G657)&amp;"/3"</f>
        <v/>
      </c>
    </row>
    <row r="658">
      <c r="A658" s="30">
        <f>A648</f>
        <v/>
      </c>
      <c r="B658" s="31" t="inlineStr">
        <is>
          <t>Чистовая</t>
        </is>
      </c>
      <c r="C658" s="31" t="inlineStr">
        <is>
          <t>8.2.4</t>
        </is>
      </c>
      <c r="D658" s="32" t="inlineStr">
        <is>
          <t>Технич. помещения надзем.</t>
        </is>
      </c>
      <c r="E658" s="33" t="n"/>
      <c r="F658" s="33" t="n"/>
      <c r="G658" s="33" t="n"/>
      <c r="H658" s="33" t="n"/>
      <c r="I658" s="34">
        <f>COUNTA(E658:G658)&amp;"/3"</f>
        <v/>
      </c>
    </row>
    <row r="659">
      <c r="A659" s="30">
        <f>A648</f>
        <v/>
      </c>
      <c r="B659" s="31" t="inlineStr">
        <is>
          <t>Чистовая</t>
        </is>
      </c>
      <c r="C659" s="31" t="inlineStr">
        <is>
          <t>8.2.5</t>
        </is>
      </c>
      <c r="D659" s="32" t="inlineStr">
        <is>
          <t>Прочие помещения надзем.</t>
        </is>
      </c>
      <c r="E659" s="33" t="n"/>
      <c r="F659" s="33" t="n"/>
      <c r="G659" s="33" t="n"/>
      <c r="H659" s="33" t="n"/>
      <c r="I659" s="34">
        <f>COUNTA(E659:G659)&amp;"/3"</f>
        <v/>
      </c>
    </row>
    <row r="660">
      <c r="A660" s="30">
        <f>A648</f>
        <v/>
      </c>
      <c r="B660" s="31" t="inlineStr">
        <is>
          <t>Чистовая</t>
        </is>
      </c>
      <c r="C660" s="31" t="inlineStr">
        <is>
          <t>8.2.6</t>
        </is>
      </c>
      <c r="D660" s="32" t="inlineStr">
        <is>
          <t>Коммерч. помещения надзем.</t>
        </is>
      </c>
      <c r="E660" s="33" t="n"/>
      <c r="F660" s="33" t="n"/>
      <c r="G660" s="33" t="n"/>
      <c r="H660" s="33" t="n"/>
      <c r="I660" s="34">
        <f>COUNTA(E660:G660)&amp;"/3"</f>
        <v/>
      </c>
    </row>
    <row r="661">
      <c r="A661" s="30">
        <f>A648</f>
        <v/>
      </c>
      <c r="B661" s="31" t="inlineStr">
        <is>
          <t>Чистовая</t>
        </is>
      </c>
      <c r="C661" s="31" t="inlineStr">
        <is>
          <t>8.2.7</t>
        </is>
      </c>
      <c r="D661" s="32" t="inlineStr">
        <is>
          <t>Паркинг и рампы надзем.</t>
        </is>
      </c>
      <c r="E661" s="33" t="n"/>
      <c r="F661" s="33" t="n"/>
      <c r="G661" s="33" t="n"/>
      <c r="H661" s="33" t="n"/>
      <c r="I661" s="34">
        <f>COUNTA(E661:G661)&amp;"/3"</f>
        <v/>
      </c>
    </row>
    <row r="662">
      <c r="A662" s="30">
        <f>A648+7</f>
        <v/>
      </c>
      <c r="B662" s="31" t="inlineStr">
        <is>
          <t>Черновая</t>
        </is>
      </c>
      <c r="C662" s="31" t="inlineStr">
        <is>
          <t>8.2.1</t>
        </is>
      </c>
      <c r="D662" s="32" t="inlineStr">
        <is>
          <t>Отделка лобби/гранд-лобби</t>
        </is>
      </c>
      <c r="E662" s="33" t="n"/>
      <c r="F662" s="33" t="n"/>
      <c r="G662" s="33" t="n"/>
      <c r="H662" s="33" t="n"/>
      <c r="I662" s="34">
        <f>COUNTA(E662:G662)&amp;"/3"</f>
        <v/>
      </c>
    </row>
    <row r="663" ht="30" customHeight="1" s="74">
      <c r="A663" s="30">
        <f>A662</f>
        <v/>
      </c>
      <c r="B663" s="31" t="inlineStr">
        <is>
          <t>Черновая</t>
        </is>
      </c>
      <c r="C663" s="31" t="inlineStr">
        <is>
          <t>8.2.2</t>
        </is>
      </c>
      <c r="D663" s="32" t="inlineStr">
        <is>
          <t>Отделка эвакуац. лестн. клетки надзем.</t>
        </is>
      </c>
      <c r="E663" s="33" t="n"/>
      <c r="F663" s="33" t="n"/>
      <c r="G663" s="33" t="n"/>
      <c r="H663" s="33" t="n"/>
      <c r="I663" s="34">
        <f>COUNTA(E663:G663)&amp;"/3"</f>
        <v/>
      </c>
    </row>
    <row r="664">
      <c r="A664" s="30">
        <f>A662</f>
        <v/>
      </c>
      <c r="B664" s="31" t="inlineStr">
        <is>
          <t>Черновая</t>
        </is>
      </c>
      <c r="C664" s="31" t="inlineStr">
        <is>
          <t>8.2.3</t>
        </is>
      </c>
      <c r="D664" s="32" t="inlineStr">
        <is>
          <t>Лифт. холлы, тамбур-шлюзы надзем.</t>
        </is>
      </c>
      <c r="E664" s="33" t="n"/>
      <c r="F664" s="33" t="n"/>
      <c r="G664" s="33" t="n"/>
      <c r="H664" s="33" t="n"/>
      <c r="I664" s="34">
        <f>COUNTA(E664:G664)&amp;"/3"</f>
        <v/>
      </c>
    </row>
    <row r="665">
      <c r="A665" s="30">
        <f>A662</f>
        <v/>
      </c>
      <c r="B665" s="31" t="inlineStr">
        <is>
          <t>Черновая</t>
        </is>
      </c>
      <c r="C665" s="31" t="inlineStr">
        <is>
          <t>8.2.4</t>
        </is>
      </c>
      <c r="D665" s="32" t="inlineStr">
        <is>
          <t>Технич. помещения надзем.</t>
        </is>
      </c>
      <c r="E665" s="33" t="n"/>
      <c r="F665" s="33" t="n"/>
      <c r="G665" s="33" t="n"/>
      <c r="H665" s="33" t="n"/>
      <c r="I665" s="34">
        <f>COUNTA(E665:G665)&amp;"/3"</f>
        <v/>
      </c>
    </row>
    <row r="666">
      <c r="A666" s="30">
        <f>A662</f>
        <v/>
      </c>
      <c r="B666" s="31" t="inlineStr">
        <is>
          <t>Черновая</t>
        </is>
      </c>
      <c r="C666" s="31" t="inlineStr">
        <is>
          <t>8.2.5</t>
        </is>
      </c>
      <c r="D666" s="32" t="inlineStr">
        <is>
          <t>Прочие помещения надзем.</t>
        </is>
      </c>
      <c r="E666" s="33" t="n"/>
      <c r="F666" s="33" t="n"/>
      <c r="G666" s="33" t="n"/>
      <c r="H666" s="33" t="n"/>
      <c r="I666" s="34">
        <f>COUNTA(E666:G666)&amp;"/3"</f>
        <v/>
      </c>
    </row>
    <row r="667">
      <c r="A667" s="30">
        <f>A662</f>
        <v/>
      </c>
      <c r="B667" s="31" t="inlineStr">
        <is>
          <t>Черновая</t>
        </is>
      </c>
      <c r="C667" s="31" t="inlineStr">
        <is>
          <t>8.2.6</t>
        </is>
      </c>
      <c r="D667" s="32" t="inlineStr">
        <is>
          <t>Коммерч. помещения надзем.</t>
        </is>
      </c>
      <c r="E667" s="33" t="n"/>
      <c r="F667" s="33" t="n"/>
      <c r="G667" s="33" t="n"/>
      <c r="H667" s="33" t="n"/>
      <c r="I667" s="34">
        <f>COUNTA(E667:G667)&amp;"/3"</f>
        <v/>
      </c>
    </row>
    <row r="668">
      <c r="A668" s="30">
        <f>A662</f>
        <v/>
      </c>
      <c r="B668" s="31" t="inlineStr">
        <is>
          <t>Черновая</t>
        </is>
      </c>
      <c r="C668" s="31" t="inlineStr">
        <is>
          <t>8.2.7</t>
        </is>
      </c>
      <c r="D668" s="32" t="inlineStr">
        <is>
          <t>Паркинг и рампы надзем.</t>
        </is>
      </c>
      <c r="E668" s="33" t="n"/>
      <c r="F668" s="33" t="n"/>
      <c r="G668" s="33" t="n"/>
      <c r="H668" s="33" t="n"/>
      <c r="I668" s="34">
        <f>COUNTA(E668:G668)&amp;"/3"</f>
        <v/>
      </c>
    </row>
    <row r="669">
      <c r="A669" s="30">
        <f>A662</f>
        <v/>
      </c>
      <c r="B669" s="31" t="inlineStr">
        <is>
          <t>Чистовая</t>
        </is>
      </c>
      <c r="C669" s="31" t="inlineStr">
        <is>
          <t>8.2.1</t>
        </is>
      </c>
      <c r="D669" s="32" t="inlineStr">
        <is>
          <t>Отделка лобби/гранд-лобби</t>
        </is>
      </c>
      <c r="E669" s="33" t="n"/>
      <c r="F669" s="33" t="n"/>
      <c r="G669" s="33" t="n"/>
      <c r="H669" s="33" t="n"/>
      <c r="I669" s="34">
        <f>COUNTA(E669:H669)&amp;"/4"</f>
        <v/>
      </c>
    </row>
    <row r="670" ht="30" customHeight="1" s="74">
      <c r="A670" s="30">
        <f>A662</f>
        <v/>
      </c>
      <c r="B670" s="31" t="inlineStr">
        <is>
          <t>Чистовая</t>
        </is>
      </c>
      <c r="C670" s="31" t="inlineStr">
        <is>
          <t>8.2.2</t>
        </is>
      </c>
      <c r="D670" s="32" t="inlineStr">
        <is>
          <t>Отделка эвакуац. лестн. клетки надзем.</t>
        </is>
      </c>
      <c r="E670" s="33" t="n"/>
      <c r="F670" s="33" t="n"/>
      <c r="G670" s="33" t="n"/>
      <c r="H670" s="33" t="n"/>
      <c r="I670" s="34">
        <f>COUNTA(E670:G670)&amp;"/3"</f>
        <v/>
      </c>
    </row>
    <row r="671">
      <c r="A671" s="30">
        <f>A662</f>
        <v/>
      </c>
      <c r="B671" s="31" t="inlineStr">
        <is>
          <t>Чистовая</t>
        </is>
      </c>
      <c r="C671" s="31" t="inlineStr">
        <is>
          <t>8.2.3</t>
        </is>
      </c>
      <c r="D671" s="32" t="inlineStr">
        <is>
          <t>Лифт. холлы, тамбур-шлюзы надзем.</t>
        </is>
      </c>
      <c r="E671" s="33" t="n"/>
      <c r="F671" s="33" t="n"/>
      <c r="G671" s="33" t="n"/>
      <c r="H671" s="33" t="n"/>
      <c r="I671" s="34">
        <f>COUNTA(E671:G671)&amp;"/3"</f>
        <v/>
      </c>
    </row>
    <row r="672">
      <c r="A672" s="30">
        <f>A662</f>
        <v/>
      </c>
      <c r="B672" s="31" t="inlineStr">
        <is>
          <t>Чистовая</t>
        </is>
      </c>
      <c r="C672" s="31" t="inlineStr">
        <is>
          <t>8.2.4</t>
        </is>
      </c>
      <c r="D672" s="32" t="inlineStr">
        <is>
          <t>Технич. помещения надзем.</t>
        </is>
      </c>
      <c r="E672" s="33" t="n"/>
      <c r="F672" s="33" t="n"/>
      <c r="G672" s="33" t="n"/>
      <c r="H672" s="33" t="n"/>
      <c r="I672" s="34">
        <f>COUNTA(E672:G672)&amp;"/3"</f>
        <v/>
      </c>
    </row>
    <row r="673">
      <c r="A673" s="30">
        <f>A662</f>
        <v/>
      </c>
      <c r="B673" s="31" t="inlineStr">
        <is>
          <t>Чистовая</t>
        </is>
      </c>
      <c r="C673" s="31" t="inlineStr">
        <is>
          <t>8.2.5</t>
        </is>
      </c>
      <c r="D673" s="32" t="inlineStr">
        <is>
          <t>Прочие помещения надзем.</t>
        </is>
      </c>
      <c r="E673" s="33" t="n"/>
      <c r="F673" s="33" t="n"/>
      <c r="G673" s="33" t="n"/>
      <c r="H673" s="33" t="n"/>
      <c r="I673" s="34">
        <f>COUNTA(E673:G673)&amp;"/3"</f>
        <v/>
      </c>
    </row>
    <row r="674">
      <c r="A674" s="30">
        <f>A662</f>
        <v/>
      </c>
      <c r="B674" s="31" t="inlineStr">
        <is>
          <t>Чистовая</t>
        </is>
      </c>
      <c r="C674" s="31" t="inlineStr">
        <is>
          <t>8.2.6</t>
        </is>
      </c>
      <c r="D674" s="32" t="inlineStr">
        <is>
          <t>Коммерч. помещения надзем.</t>
        </is>
      </c>
      <c r="E674" s="33" t="n"/>
      <c r="F674" s="33" t="n"/>
      <c r="G674" s="33" t="n"/>
      <c r="H674" s="33" t="n"/>
      <c r="I674" s="34">
        <f>COUNTA(E674:G674)&amp;"/3"</f>
        <v/>
      </c>
    </row>
    <row r="675">
      <c r="A675" s="30">
        <f>A662</f>
        <v/>
      </c>
      <c r="B675" s="31" t="inlineStr">
        <is>
          <t>Чистовая</t>
        </is>
      </c>
      <c r="C675" s="31" t="inlineStr">
        <is>
          <t>8.2.7</t>
        </is>
      </c>
      <c r="D675" s="32" t="inlineStr">
        <is>
          <t>Паркинг и рампы надзем.</t>
        </is>
      </c>
      <c r="E675" s="33" t="n"/>
      <c r="F675" s="33" t="n"/>
      <c r="G675" s="33" t="n"/>
      <c r="H675" s="33" t="n"/>
      <c r="I675" s="34">
        <f>COUNTA(E675:G675)&amp;"/3"</f>
        <v/>
      </c>
    </row>
  </sheetData>
  <mergeCells count="2">
    <mergeCell ref="A1:I1"/>
    <mergeCell ref="A2:I2"/>
  </mergeCells>
  <conditionalFormatting sqref="A4:I675">
    <cfRule type="expression" priority="1" dxfId="0">
      <formula>AND($A4&lt;=TODAY(),$A4+6&gt;=TODAY())</formula>
    </cfRule>
  </conditionalFormatting>
  <dataValidations count="1">
    <dataValidation sqref="E4:H67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W52"/>
  <sheetViews>
    <sheetView zoomScale="70" zoomScaleNormal="70" workbookViewId="0">
      <pane xSplit="1" ySplit="4" topLeftCell="B8" activePane="bottomRight" state="frozen"/>
      <selection pane="topRight" activeCell="A1" sqref="A1"/>
      <selection pane="bottomLeft" activeCell="A1" sqref="A1"/>
      <selection pane="bottomRight" activeCell="L20" sqref="L20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ПЛАН ЧЕРН ПОДЗЕМ</t>
        </is>
      </c>
      <c r="U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</row>
    <row r="3">
      <c r="A3" s="82" t="n"/>
      <c r="B3" s="77" t="inlineStr">
        <is>
          <t>8.1.1 Отделка паркинг и рампы</t>
        </is>
      </c>
      <c r="C3" s="78" t="n"/>
      <c r="D3" s="79" t="n"/>
      <c r="E3" s="77" t="inlineStr">
        <is>
          <t>8.1.2 Отделка эвакуац. лестн. клетки подзем.</t>
        </is>
      </c>
      <c r="F3" s="78" t="n"/>
      <c r="G3" s="79" t="n"/>
      <c r="H3" s="77" t="inlineStr">
        <is>
          <t>8.1.3 Лифт. холлы, тамбур-шлюзы подзем.</t>
        </is>
      </c>
      <c r="I3" s="78" t="n"/>
      <c r="J3" s="79" t="n"/>
      <c r="K3" s="77" t="inlineStr">
        <is>
          <t>8.1.4 Технич. помещения подзем.</t>
        </is>
      </c>
      <c r="L3" s="78" t="n"/>
      <c r="M3" s="79" t="n"/>
      <c r="N3" s="77" t="inlineStr">
        <is>
          <t>8.1.5 Прочие помещения подзем.</t>
        </is>
      </c>
      <c r="O3" s="78" t="n"/>
      <c r="P3" s="79" t="n"/>
      <c r="Q3" s="77" t="inlineStr">
        <is>
          <t>8.1.6 Коммерч. помещения подзем.</t>
        </is>
      </c>
      <c r="R3" s="78" t="n"/>
      <c r="S3" s="79" t="n"/>
      <c r="U3" s="35" t="inlineStr">
        <is>
          <t>Пол</t>
        </is>
      </c>
      <c r="V3" s="35" t="inlineStr">
        <is>
          <t>Стены</t>
        </is>
      </c>
      <c r="W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77" t="inlineStr">
        <is>
          <t>Пол</t>
        </is>
      </c>
      <c r="F4" s="77" t="inlineStr">
        <is>
          <t>Стены</t>
        </is>
      </c>
      <c r="G4" s="77" t="inlineStr">
        <is>
          <t>Потолок</t>
        </is>
      </c>
      <c r="H4" s="77" t="inlineStr">
        <is>
          <t>Пол</t>
        </is>
      </c>
      <c r="I4" s="77" t="inlineStr">
        <is>
          <t>Стены</t>
        </is>
      </c>
      <c r="J4" s="77" t="inlineStr">
        <is>
          <t>Потолок</t>
        </is>
      </c>
      <c r="K4" s="77" t="inlineStr">
        <is>
          <t>Пол</t>
        </is>
      </c>
      <c r="L4" s="77" t="inlineStr">
        <is>
          <t>Стены</t>
        </is>
      </c>
      <c r="M4" s="77" t="inlineStr">
        <is>
          <t>Потолок</t>
        </is>
      </c>
      <c r="N4" s="77" t="inlineStr">
        <is>
          <t>Пол</t>
        </is>
      </c>
      <c r="O4" s="77" t="inlineStr">
        <is>
          <t>Стены</t>
        </is>
      </c>
      <c r="P4" s="77" t="inlineStr">
        <is>
          <t>Потолок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U4" s="36" t="n"/>
      <c r="V4" s="36" t="n"/>
      <c r="W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U5" s="38">
        <f>B5+E5+H5+K5+N5+Q5</f>
        <v/>
      </c>
      <c r="V5" s="38">
        <f>C5+F5+I5+L5+O5+R5</f>
        <v/>
      </c>
      <c r="W5" s="38">
        <f>D5+G5+J5+M5+P5+S5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U6" s="38">
        <f>B6+E6+H6+K6+N6+Q6</f>
        <v/>
      </c>
      <c r="V6" s="38">
        <f>C6+F6+I6+L6+O6+R6</f>
        <v/>
      </c>
      <c r="W6" s="38">
        <f>D6+G6+J6+M6+P6+S6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U7" s="38">
        <f>B7+E7+H7+K7+N7+Q7</f>
        <v/>
      </c>
      <c r="V7" s="38">
        <f>C7+F7+I7+L7+O7+R7</f>
        <v/>
      </c>
      <c r="W7" s="38">
        <f>D7+G7+J7+M7+P7+S7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U8" s="38">
        <f>B8+E8+H8+K8+N8+Q8</f>
        <v/>
      </c>
      <c r="V8" s="38">
        <f>C8+F8+I8+L8+O8+R8</f>
        <v/>
      </c>
      <c r="W8" s="38">
        <f>D8+G8+J8+M8+P8+S8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U9" s="38">
        <f>B9+E9+H9+K9+N9+Q9</f>
        <v/>
      </c>
      <c r="V9" s="38">
        <f>C9+F9+I9+L9+O9+R9</f>
        <v/>
      </c>
      <c r="W9" s="38">
        <f>D9+G9+J9+M9+P9+S9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U10" s="38">
        <f>B10+E10+H10+K10+N10+Q10</f>
        <v/>
      </c>
      <c r="V10" s="38">
        <f>C10+F10+I10+L10+O10+R10</f>
        <v/>
      </c>
      <c r="W10" s="38">
        <f>D10+G10+J10+M10+P10+S10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U11" s="38">
        <f>B11+E11+H11+K11+N11+Q11</f>
        <v/>
      </c>
      <c r="V11" s="38">
        <f>C11+F11+I11+L11+O11+R11</f>
        <v/>
      </c>
      <c r="W11" s="38">
        <f>D11+G11+J11+M11+P11+S11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U12" s="38">
        <f>B12+E12+H12+K12+N12+Q12</f>
        <v/>
      </c>
      <c r="V12" s="38">
        <f>C12+F12+I12+L12+O12+R12</f>
        <v/>
      </c>
      <c r="W12" s="38">
        <f>D12+G12+J12+M12+P12+S12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U13" s="38">
        <f>B13+E13+H13+K13+N13+Q13</f>
        <v/>
      </c>
      <c r="V13" s="38">
        <f>C13+F13+I13+L13+O13+R13</f>
        <v/>
      </c>
      <c r="W13" s="38">
        <f>D13+G13+J13+M13+P13+S13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U14" s="38">
        <f>B14+E14+H14+K14+N14+Q14</f>
        <v/>
      </c>
      <c r="V14" s="38">
        <f>C14+F14+I14+L14+O14+R14</f>
        <v/>
      </c>
      <c r="W14" s="38">
        <f>D14+G14+J14+M14+P14+S14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U15" s="38">
        <f>B15+E15+H15+K15+N15+Q15</f>
        <v/>
      </c>
      <c r="V15" s="38">
        <f>C15+F15+I15+L15+O15+R15</f>
        <v/>
      </c>
      <c r="W15" s="38">
        <f>D15+G15+J15+M15+P15+S15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U16" s="38">
        <f>B16+E16+H16+K16+N16+Q16</f>
        <v/>
      </c>
      <c r="V16" s="38">
        <f>C16+F16+I16+L16+O16+R16</f>
        <v/>
      </c>
      <c r="W16" s="38">
        <f>D16+G16+J16+M16+P16+S16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U17" s="38">
        <f>B17+E17+H17+K17+N17+Q17</f>
        <v/>
      </c>
      <c r="V17" s="38">
        <f>C17+F17+I17+L17+O17+R17</f>
        <v/>
      </c>
      <c r="W17" s="38">
        <f>D17+G17+J17+M17+P17+S17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U18" s="38">
        <f>B18+E18+H18+K18+N18+Q18</f>
        <v/>
      </c>
      <c r="V18" s="38">
        <f>C18+F18+I18+L18+O18+R18</f>
        <v/>
      </c>
      <c r="W18" s="38">
        <f>D18+G18+J18+M18+P18+S18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U19" s="38">
        <f>B19+E19+H19+K19+N19+Q19</f>
        <v/>
      </c>
      <c r="V19" s="38">
        <f>C19+F19+I19+L19+O19+R19</f>
        <v/>
      </c>
      <c r="W19" s="38">
        <f>D19+G19+J19+M19+P19+S19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U20" s="38">
        <f>B20+E20+H20+K20+N20+Q20</f>
        <v/>
      </c>
      <c r="V20" s="38">
        <f>C20+F20+I20+L20+O20+R20</f>
        <v/>
      </c>
      <c r="W20" s="38">
        <f>D20+G20+J20+M20+P20+S20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U21" s="38">
        <f>B21+E21+H21+K21+N21+Q21</f>
        <v/>
      </c>
      <c r="V21" s="38">
        <f>C21+F21+I21+L21+O21+R21</f>
        <v/>
      </c>
      <c r="W21" s="38">
        <f>D21+G21+J21+M21+P21+S21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U22" s="38">
        <f>B22+E22+H22+K22+N22+Q22</f>
        <v/>
      </c>
      <c r="V22" s="38">
        <f>C22+F22+I22+L22+O22+R22</f>
        <v/>
      </c>
      <c r="W22" s="38">
        <f>D22+G22+J22+M22+P22+S22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U23" s="38">
        <f>B23+E23+H23+K23+N23+Q23</f>
        <v/>
      </c>
      <c r="V23" s="38">
        <f>C23+F23+I23+L23+O23+R23</f>
        <v/>
      </c>
      <c r="W23" s="38">
        <f>D23+G23+J23+M23+P23+S23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U24" s="38">
        <f>B24+E24+H24+K24+N24+Q24</f>
        <v/>
      </c>
      <c r="V24" s="38">
        <f>C24+F24+I24+L24+O24+R24</f>
        <v/>
      </c>
      <c r="W24" s="38">
        <f>D24+G24+J24+M24+P24+S24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U25" s="38">
        <f>B25+E25+H25+K25+N25+Q25</f>
        <v/>
      </c>
      <c r="V25" s="38">
        <f>C25+F25+I25+L25+O25+R25</f>
        <v/>
      </c>
      <c r="W25" s="38">
        <f>D25+G25+J25+M25+P25+S25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U26" s="38">
        <f>B26+E26+H26+K26+N26+Q26</f>
        <v/>
      </c>
      <c r="V26" s="38">
        <f>C26+F26+I26+L26+O26+R26</f>
        <v/>
      </c>
      <c r="W26" s="38">
        <f>D26+G26+J26+M26+P26+S26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U27" s="38">
        <f>B27+E27+H27+K27+N27+Q27</f>
        <v/>
      </c>
      <c r="V27" s="38">
        <f>C27+F27+I27+L27+O27+R27</f>
        <v/>
      </c>
      <c r="W27" s="38">
        <f>D27+G27+J27+M27+P27+S27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U28" s="38">
        <f>B28+E28+H28+K28+N28+Q28</f>
        <v/>
      </c>
      <c r="V28" s="38">
        <f>C28+F28+I28+L28+O28+R28</f>
        <v/>
      </c>
      <c r="W28" s="38">
        <f>D28+G28+J28+M28+P28+S28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U29" s="38">
        <f>B29+E29+H29+K29+N29+Q29</f>
        <v/>
      </c>
      <c r="V29" s="38">
        <f>C29+F29+I29+L29+O29+R29</f>
        <v/>
      </c>
      <c r="W29" s="38">
        <f>D29+G29+J29+M29+P29+S29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U30" s="38">
        <f>B30+E30+H30+K30+N30+Q30</f>
        <v/>
      </c>
      <c r="V30" s="38">
        <f>C30+F30+I30+L30+O30+R30</f>
        <v/>
      </c>
      <c r="W30" s="38">
        <f>D30+G30+J30+M30+P30+S30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U31" s="38">
        <f>B31+E31+H31+K31+N31+Q31</f>
        <v/>
      </c>
      <c r="V31" s="38">
        <f>C31+F31+I31+L31+O31+R31</f>
        <v/>
      </c>
      <c r="W31" s="38">
        <f>D31+G31+J31+M31+P31+S31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U32" s="38">
        <f>B32+E32+H32+K32+N32+Q32</f>
        <v/>
      </c>
      <c r="V32" s="38">
        <f>C32+F32+I32+L32+O32+R32</f>
        <v/>
      </c>
      <c r="W32" s="38">
        <f>D32+G32+J32+M32+P32+S32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U33" s="38">
        <f>B33+E33+H33+K33+N33+Q33</f>
        <v/>
      </c>
      <c r="V33" s="38">
        <f>C33+F33+I33+L33+O33+R33</f>
        <v/>
      </c>
      <c r="W33" s="38">
        <f>D33+G33+J33+M33+P33+S33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U34" s="38">
        <f>B34+E34+H34+K34+N34+Q34</f>
        <v/>
      </c>
      <c r="V34" s="38">
        <f>C34+F34+I34+L34+O34+R34</f>
        <v/>
      </c>
      <c r="W34" s="38">
        <f>D34+G34+J34+M34+P34+S34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U35" s="38">
        <f>B35+E35+H35+K35+N35+Q35</f>
        <v/>
      </c>
      <c r="V35" s="38">
        <f>C35+F35+I35+L35+O35+R35</f>
        <v/>
      </c>
      <c r="W35" s="38">
        <f>D35+G35+J35+M35+P35+S35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U36" s="38">
        <f>B36+E36+H36+K36+N36+Q36</f>
        <v/>
      </c>
      <c r="V36" s="38">
        <f>C36+F36+I36+L36+O36+R36</f>
        <v/>
      </c>
      <c r="W36" s="38">
        <f>D36+G36+J36+M36+P36+S36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U37" s="38">
        <f>B37+E37+H37+K37+N37+Q37</f>
        <v/>
      </c>
      <c r="V37" s="38">
        <f>C37+F37+I37+L37+O37+R37</f>
        <v/>
      </c>
      <c r="W37" s="38">
        <f>D37+G37+J37+M37+P37+S37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U38" s="38">
        <f>B38+E38+H38+K38+N38+Q38</f>
        <v/>
      </c>
      <c r="V38" s="38">
        <f>C38+F38+I38+L38+O38+R38</f>
        <v/>
      </c>
      <c r="W38" s="38">
        <f>D38+G38+J38+M38+P38+S38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U39" s="38">
        <f>B39+E39+H39+K39+N39+Q39</f>
        <v/>
      </c>
      <c r="V39" s="38">
        <f>C39+F39+I39+L39+O39+R39</f>
        <v/>
      </c>
      <c r="W39" s="38">
        <f>D39+G39+J39+M39+P39+S39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U40" s="38">
        <f>B40+E40+H40+K40+N40+Q40</f>
        <v/>
      </c>
      <c r="V40" s="38">
        <f>C40+F40+I40+L40+O40+R40</f>
        <v/>
      </c>
      <c r="W40" s="38">
        <f>D40+G40+J40+M40+P40+S40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U41" s="38">
        <f>B41+E41+H41+K41+N41+Q41</f>
        <v/>
      </c>
      <c r="V41" s="38">
        <f>C41+F41+I41+L41+O41+R41</f>
        <v/>
      </c>
      <c r="W41" s="38">
        <f>D41+G41+J41+M41+P41+S41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U42" s="38">
        <f>B42+E42+H42+K42+N42+Q42</f>
        <v/>
      </c>
      <c r="V42" s="38">
        <f>C42+F42+I42+L42+O42+R42</f>
        <v/>
      </c>
      <c r="W42" s="38">
        <f>D42+G42+J42+M42+P42+S42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U43" s="38">
        <f>B43+E43+H43+K43+N43+Q43</f>
        <v/>
      </c>
      <c r="V43" s="38">
        <f>C43+F43+I43+L43+O43+R43</f>
        <v/>
      </c>
      <c r="W43" s="38">
        <f>D43+G43+J43+M43+P43+S43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U44" s="38">
        <f>B44+E44+H44+K44+N44+Q44</f>
        <v/>
      </c>
      <c r="V44" s="38">
        <f>C44+F44+I44+L44+O44+R44</f>
        <v/>
      </c>
      <c r="W44" s="38">
        <f>D44+G44+J44+M44+P44+S44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U45" s="38">
        <f>B45+E45+H45+K45+N45+Q45</f>
        <v/>
      </c>
      <c r="V45" s="38">
        <f>C45+F45+I45+L45+O45+R45</f>
        <v/>
      </c>
      <c r="W45" s="38">
        <f>D45+G45+J45+M45+P45+S45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U46" s="38">
        <f>B46+E46+H46+K46+N46+Q46</f>
        <v/>
      </c>
      <c r="V46" s="38">
        <f>C46+F46+I46+L46+O46+R46</f>
        <v/>
      </c>
      <c r="W46" s="38">
        <f>D46+G46+J46+M46+P46+S46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U47" s="38">
        <f>B47+E47+H47+K47+N47+Q47</f>
        <v/>
      </c>
      <c r="V47" s="38">
        <f>C47+F47+I47+L47+O47+R47</f>
        <v/>
      </c>
      <c r="W47" s="38">
        <f>D47+G47+J47+M47+P47+S47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U48" s="38">
        <f>B48+E48+H48+K48+N48+Q48</f>
        <v/>
      </c>
      <c r="V48" s="38">
        <f>C48+F48+I48+L48+O48+R48</f>
        <v/>
      </c>
      <c r="W48" s="38">
        <f>D48+G48+J48+M48+P48+S48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U49" s="38">
        <f>B49+E49+H49+K49+N49+Q49</f>
        <v/>
      </c>
      <c r="V49" s="38">
        <f>C49+F49+I49+L49+O49+R49</f>
        <v/>
      </c>
      <c r="W49" s="38">
        <f>D49+G49+J49+M49+P49+S49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U50" s="38">
        <f>B50+E50+H50+K50+N50+Q50</f>
        <v/>
      </c>
      <c r="V50" s="38">
        <f>C50+F50+I50+L50+O50+R50</f>
        <v/>
      </c>
      <c r="W50" s="38">
        <f>D50+G50+J50+M50+P50+S50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U51" s="38">
        <f>B51+E51+H51+K51+N51+Q51</f>
        <v/>
      </c>
      <c r="V51" s="38">
        <f>C51+F51+I51+L51+O51+R51</f>
        <v/>
      </c>
      <c r="W51" s="38">
        <f>D51+G51+J51+M51+P51+S51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U52" s="38">
        <f>B52+E52+H52+K52+N52+Q52</f>
        <v/>
      </c>
      <c r="V52" s="38">
        <f>C52+F52+I52+L52+O52+R52</f>
        <v/>
      </c>
      <c r="W52" s="38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I8" sqref="I8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ПЛАН ЧИСТ ПОДЗЕМ</t>
        </is>
      </c>
      <c r="Y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  <c r="U2" s="78" t="n"/>
      <c r="V2" s="78" t="n"/>
      <c r="W2" s="79" t="n"/>
    </row>
    <row r="3">
      <c r="A3" s="82" t="n"/>
      <c r="B3" s="77" t="inlineStr">
        <is>
          <t>8.1.1 Отделка паркинг и рампы</t>
        </is>
      </c>
      <c r="C3" s="78" t="n"/>
      <c r="D3" s="78" t="n"/>
      <c r="E3" s="79" t="n"/>
      <c r="F3" s="77" t="inlineStr">
        <is>
          <t>8.1.2 Отделка эвакуац. лестн. клетки подзем.</t>
        </is>
      </c>
      <c r="G3" s="78" t="n"/>
      <c r="H3" s="78" t="n"/>
      <c r="I3" s="79" t="n"/>
      <c r="J3" s="77" t="inlineStr">
        <is>
          <t>8.1.3 Лифт. холлы, тамбур-шлюзы подзем.</t>
        </is>
      </c>
      <c r="K3" s="78" t="n"/>
      <c r="L3" s="79" t="n"/>
      <c r="M3" s="77" t="inlineStr">
        <is>
          <t>8.1.4 Технич. помещения подзем.</t>
        </is>
      </c>
      <c r="N3" s="78" t="n"/>
      <c r="O3" s="78" t="n"/>
      <c r="P3" s="79" t="n"/>
      <c r="Q3" s="77" t="inlineStr">
        <is>
          <t>8.1.5 Прочие помещения подзем.</t>
        </is>
      </c>
      <c r="R3" s="78" t="n"/>
      <c r="S3" s="78" t="n"/>
      <c r="T3" s="79" t="n"/>
      <c r="U3" s="77" t="inlineStr">
        <is>
          <t>8.1.6 Коммерч. помещения подзем.</t>
        </is>
      </c>
      <c r="V3" s="78" t="n"/>
      <c r="W3" s="79" t="n"/>
      <c r="Y3" s="35" t="inlineStr">
        <is>
          <t>Пол</t>
        </is>
      </c>
      <c r="Z3" s="35" t="inlineStr">
        <is>
          <t>Стены</t>
        </is>
      </c>
      <c r="AA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86" t="inlineStr">
        <is>
          <t>Запол.</t>
        </is>
      </c>
      <c r="F4" s="77" t="inlineStr">
        <is>
          <t>Пол</t>
        </is>
      </c>
      <c r="G4" s="77" t="inlineStr">
        <is>
          <t>Стены</t>
        </is>
      </c>
      <c r="H4" s="77" t="inlineStr">
        <is>
          <t>Потолок</t>
        </is>
      </c>
      <c r="I4" s="86" t="inlineStr">
        <is>
          <t>Запол.</t>
        </is>
      </c>
      <c r="J4" s="77" t="inlineStr">
        <is>
          <t>Пол</t>
        </is>
      </c>
      <c r="K4" s="77" t="inlineStr">
        <is>
          <t>Стены</t>
        </is>
      </c>
      <c r="L4" s="77" t="inlineStr">
        <is>
          <t>Потолок</t>
        </is>
      </c>
      <c r="M4" s="77" t="inlineStr">
        <is>
          <t>Пол</t>
        </is>
      </c>
      <c r="N4" s="77" t="inlineStr">
        <is>
          <t>Стены</t>
        </is>
      </c>
      <c r="O4" s="77" t="inlineStr">
        <is>
          <t>Потолок</t>
        </is>
      </c>
      <c r="P4" s="86" t="inlineStr">
        <is>
          <t>Запол.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T4" s="86" t="inlineStr">
        <is>
          <t>Запол.</t>
        </is>
      </c>
      <c r="U4" s="77" t="inlineStr">
        <is>
          <t>Пол</t>
        </is>
      </c>
      <c r="V4" s="77" t="inlineStr">
        <is>
          <t>Стены</t>
        </is>
      </c>
      <c r="W4" s="77" t="inlineStr">
        <is>
          <t>Потолок</t>
        </is>
      </c>
      <c r="Y4" s="36" t="n"/>
      <c r="Z4" s="36" t="n"/>
      <c r="AA4" s="36" t="n"/>
    </row>
    <row r="5">
      <c r="A5" s="18">
        <f>СПРАВОЧНИК!$B$35</f>
        <v/>
      </c>
      <c r="B5" s="37" t="n"/>
      <c r="C5" s="37" t="n"/>
      <c r="D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Y5" s="38">
        <f>B5+E5+H5+K5+N5+Q5</f>
        <v/>
      </c>
      <c r="Z5" s="38">
        <f>C5+F5+I5+L5+O5+R5</f>
        <v/>
      </c>
      <c r="AA5" s="38">
        <f>D5+G5+J5+M5+P5+S5</f>
        <v/>
      </c>
    </row>
    <row r="6">
      <c r="A6" s="18">
        <f>A5+7</f>
        <v/>
      </c>
      <c r="B6" s="37" t="n"/>
      <c r="C6" s="37" t="n"/>
      <c r="D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Y6" s="38">
        <f>B6+E6+H6+K6+N6+Q6</f>
        <v/>
      </c>
      <c r="Z6" s="38">
        <f>C6+F6+I6+L6+O6+R6</f>
        <v/>
      </c>
      <c r="AA6" s="38">
        <f>D6+G6+J6+M6+P6+S6</f>
        <v/>
      </c>
    </row>
    <row r="7">
      <c r="A7" s="18">
        <f>A6+7</f>
        <v/>
      </c>
      <c r="B7" s="37" t="n"/>
      <c r="C7" s="37" t="n"/>
      <c r="D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Y7" s="38">
        <f>B7+E7+H7+K7+N7+Q7</f>
        <v/>
      </c>
      <c r="Z7" s="38">
        <f>C7+F7+I7+L7+O7+R7</f>
        <v/>
      </c>
      <c r="AA7" s="38">
        <f>D7+G7+J7+M7+P7+S7</f>
        <v/>
      </c>
    </row>
    <row r="8">
      <c r="A8" s="18">
        <f>A7+7</f>
        <v/>
      </c>
      <c r="B8" s="37" t="n"/>
      <c r="C8" s="37" t="n"/>
      <c r="D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Y8" s="38">
        <f>B8+E8+H8+K8+N8+Q8</f>
        <v/>
      </c>
      <c r="Z8" s="38">
        <f>C8+F8+I8+L8+O8+R8</f>
        <v/>
      </c>
      <c r="AA8" s="38">
        <f>D8+G8+J8+M8+P8+S8</f>
        <v/>
      </c>
    </row>
    <row r="9">
      <c r="A9" s="18">
        <f>A8+7</f>
        <v/>
      </c>
      <c r="B9" s="37" t="n"/>
      <c r="C9" s="37" t="n"/>
      <c r="D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Y9" s="38">
        <f>B9+E9+H9+K9+N9+Q9</f>
        <v/>
      </c>
      <c r="Z9" s="38">
        <f>C9+F9+I9+L9+O9+R9</f>
        <v/>
      </c>
      <c r="AA9" s="38">
        <f>D9+G9+J9+M9+P9+S9</f>
        <v/>
      </c>
    </row>
    <row r="10">
      <c r="A10" s="18">
        <f>A9+7</f>
        <v/>
      </c>
      <c r="B10" s="37" t="n"/>
      <c r="C10" s="37" t="n"/>
      <c r="D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Y10" s="38">
        <f>B10+E10+H10+K10+N10+Q10</f>
        <v/>
      </c>
      <c r="Z10" s="38">
        <f>C10+F10+I10+L10+O10+R10</f>
        <v/>
      </c>
      <c r="AA10" s="38">
        <f>D10+G10+J10+M10+P10+S10</f>
        <v/>
      </c>
    </row>
    <row r="11">
      <c r="A11" s="18">
        <f>A10+7</f>
        <v/>
      </c>
      <c r="B11" s="37" t="n"/>
      <c r="C11" s="37" t="n"/>
      <c r="D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Y11" s="38">
        <f>B11+E11+H11+K11+N11+Q11</f>
        <v/>
      </c>
      <c r="Z11" s="38">
        <f>C11+F11+I11+L11+O11+R11</f>
        <v/>
      </c>
      <c r="AA11" s="38">
        <f>D11+G11+J11+M11+P11+S11</f>
        <v/>
      </c>
    </row>
    <row r="12">
      <c r="A12" s="18">
        <f>A11+7</f>
        <v/>
      </c>
      <c r="B12" s="37" t="n"/>
      <c r="C12" s="37" t="n"/>
      <c r="D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Y12" s="38">
        <f>B12+E12+H12+K12+N12+Q12</f>
        <v/>
      </c>
      <c r="Z12" s="38">
        <f>C12+F12+I12+L12+O12+R12</f>
        <v/>
      </c>
      <c r="AA12" s="38">
        <f>D12+G12+J12+M12+P12+S12</f>
        <v/>
      </c>
    </row>
    <row r="13">
      <c r="A13" s="18">
        <f>A12+7</f>
        <v/>
      </c>
      <c r="B13" s="37" t="n"/>
      <c r="C13" s="37" t="n"/>
      <c r="D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Y13" s="38">
        <f>B13+E13+H13+K13+N13+Q13</f>
        <v/>
      </c>
      <c r="Z13" s="38">
        <f>C13+F13+I13+L13+O13+R13</f>
        <v/>
      </c>
      <c r="AA13" s="38">
        <f>D13+G13+J13+M13+P13+S13</f>
        <v/>
      </c>
    </row>
    <row r="14">
      <c r="A14" s="18">
        <f>A13+7</f>
        <v/>
      </c>
      <c r="B14" s="37" t="n"/>
      <c r="C14" s="37" t="n"/>
      <c r="D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Y14" s="38">
        <f>B14+E14+H14+K14+N14+Q14</f>
        <v/>
      </c>
      <c r="Z14" s="38">
        <f>C14+F14+I14+L14+O14+R14</f>
        <v/>
      </c>
      <c r="AA14" s="38">
        <f>D14+G14+J14+M14+P14+S14</f>
        <v/>
      </c>
    </row>
    <row r="15">
      <c r="A15" s="18">
        <f>A14+7</f>
        <v/>
      </c>
      <c r="B15" s="37" t="n"/>
      <c r="C15" s="37" t="n"/>
      <c r="D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Y15" s="38">
        <f>B15+E15+H15+K15+N15+Q15</f>
        <v/>
      </c>
      <c r="Z15" s="38">
        <f>C15+F15+I15+L15+O15+R15</f>
        <v/>
      </c>
      <c r="AA15" s="38">
        <f>D15+G15+J15+M15+P15+S15</f>
        <v/>
      </c>
    </row>
    <row r="16">
      <c r="A16" s="18">
        <f>A15+7</f>
        <v/>
      </c>
      <c r="B16" s="37" t="n"/>
      <c r="C16" s="37" t="n"/>
      <c r="D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Y16" s="38">
        <f>B16+E16+H16+K16+N16+Q16</f>
        <v/>
      </c>
      <c r="Z16" s="38">
        <f>C16+F16+I16+L16+O16+R16</f>
        <v/>
      </c>
      <c r="AA16" s="38">
        <f>D16+G16+J16+M16+P16+S16</f>
        <v/>
      </c>
    </row>
    <row r="17">
      <c r="A17" s="18">
        <f>A16+7</f>
        <v/>
      </c>
      <c r="B17" s="37" t="n"/>
      <c r="C17" s="37" t="n"/>
      <c r="D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Y17" s="38">
        <f>B17+E17+H17+K17+N17+Q17</f>
        <v/>
      </c>
      <c r="Z17" s="38">
        <f>C17+F17+I17+L17+O17+R17</f>
        <v/>
      </c>
      <c r="AA17" s="38">
        <f>D17+G17+J17+M17+P17+S17</f>
        <v/>
      </c>
    </row>
    <row r="18">
      <c r="A18" s="18">
        <f>A17+7</f>
        <v/>
      </c>
      <c r="B18" s="37" t="n"/>
      <c r="C18" s="37" t="n"/>
      <c r="D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Y18" s="38">
        <f>B18+E18+H18+K18+N18+Q18</f>
        <v/>
      </c>
      <c r="Z18" s="38">
        <f>C18+F18+I18+L18+O18+R18</f>
        <v/>
      </c>
      <c r="AA18" s="38">
        <f>D18+G18+J18+M18+P18+S18</f>
        <v/>
      </c>
    </row>
    <row r="19">
      <c r="A19" s="18">
        <f>A18+7</f>
        <v/>
      </c>
      <c r="B19" s="37" t="n"/>
      <c r="C19" s="37" t="n"/>
      <c r="D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Y19" s="38">
        <f>B19+E19+H19+K19+N19+Q19</f>
        <v/>
      </c>
      <c r="Z19" s="38">
        <f>C19+F19+I19+L19+O19+R19</f>
        <v/>
      </c>
      <c r="AA19" s="38">
        <f>D19+G19+J19+M19+P19+S19</f>
        <v/>
      </c>
    </row>
    <row r="20">
      <c r="A20" s="18">
        <f>A19+7</f>
        <v/>
      </c>
      <c r="B20" s="37" t="n"/>
      <c r="C20" s="37" t="n"/>
      <c r="D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Y20" s="38">
        <f>B20+E20+H20+K20+N20+Q20</f>
        <v/>
      </c>
      <c r="Z20" s="38">
        <f>C20+F20+I20+L20+O20+R20</f>
        <v/>
      </c>
      <c r="AA20" s="38">
        <f>D20+G20+J20+M20+P20+S20</f>
        <v/>
      </c>
    </row>
    <row r="21">
      <c r="A21" s="18">
        <f>A20+7</f>
        <v/>
      </c>
      <c r="B21" s="37" t="n"/>
      <c r="C21" s="37" t="n"/>
      <c r="D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Y21" s="38">
        <f>B21+E21+H21+K21+N21+Q21</f>
        <v/>
      </c>
      <c r="Z21" s="38">
        <f>C21+F21+I21+L21+O21+R21</f>
        <v/>
      </c>
      <c r="AA21" s="38">
        <f>D21+G21+J21+M21+P21+S21</f>
        <v/>
      </c>
    </row>
    <row r="22">
      <c r="A22" s="18">
        <f>A21+7</f>
        <v/>
      </c>
      <c r="B22" s="37" t="n"/>
      <c r="C22" s="37" t="n"/>
      <c r="D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Y22" s="38">
        <f>B22+E22+H22+K22+N22+Q22</f>
        <v/>
      </c>
      <c r="Z22" s="38">
        <f>C22+F22+I22+L22+O22+R22</f>
        <v/>
      </c>
      <c r="AA22" s="38">
        <f>D22+G22+J22+M22+P22+S22</f>
        <v/>
      </c>
    </row>
    <row r="23">
      <c r="A23" s="18">
        <f>A22+7</f>
        <v/>
      </c>
      <c r="B23" s="37" t="n"/>
      <c r="C23" s="37" t="n"/>
      <c r="D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Y23" s="38">
        <f>B23+E23+H23+K23+N23+Q23</f>
        <v/>
      </c>
      <c r="Z23" s="38">
        <f>C23+F23+I23+L23+O23+R23</f>
        <v/>
      </c>
      <c r="AA23" s="38">
        <f>D23+G23+J23+M23+P23+S23</f>
        <v/>
      </c>
    </row>
    <row r="24">
      <c r="A24" s="18">
        <f>A23+7</f>
        <v/>
      </c>
      <c r="B24" s="37" t="n"/>
      <c r="C24" s="37" t="n"/>
      <c r="D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Y24" s="38">
        <f>B24+E24+H24+K24+N24+Q24</f>
        <v/>
      </c>
      <c r="Z24" s="38">
        <f>C24+F24+I24+L24+O24+R24</f>
        <v/>
      </c>
      <c r="AA24" s="38">
        <f>D24+G24+J24+M24+P24+S24</f>
        <v/>
      </c>
    </row>
    <row r="25">
      <c r="A25" s="18">
        <f>A24+7</f>
        <v/>
      </c>
      <c r="B25" s="37" t="n"/>
      <c r="C25" s="37" t="n"/>
      <c r="D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Y25" s="38">
        <f>B25+E25+H25+K25+N25+Q25</f>
        <v/>
      </c>
      <c r="Z25" s="38">
        <f>C25+F25+I25+L25+O25+R25</f>
        <v/>
      </c>
      <c r="AA25" s="38">
        <f>D25+G25+J25+M25+P25+S25</f>
        <v/>
      </c>
    </row>
    <row r="26">
      <c r="A26" s="18">
        <f>A25+7</f>
        <v/>
      </c>
      <c r="B26" s="37" t="n"/>
      <c r="C26" s="37" t="n"/>
      <c r="D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Y26" s="38">
        <f>B26+E26+H26+K26+N26+Q26</f>
        <v/>
      </c>
      <c r="Z26" s="38">
        <f>C26+F26+I26+L26+O26+R26</f>
        <v/>
      </c>
      <c r="AA26" s="38">
        <f>D26+G26+J26+M26+P26+S26</f>
        <v/>
      </c>
    </row>
    <row r="27">
      <c r="A27" s="18">
        <f>A26+7</f>
        <v/>
      </c>
      <c r="B27" s="37" t="n"/>
      <c r="C27" s="37" t="n"/>
      <c r="D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Y27" s="38">
        <f>B27+E27+H27+K27+N27+Q27</f>
        <v/>
      </c>
      <c r="Z27" s="38">
        <f>C27+F27+I27+L27+O27+R27</f>
        <v/>
      </c>
      <c r="AA27" s="38">
        <f>D27+G27+J27+M27+P27+S27</f>
        <v/>
      </c>
    </row>
    <row r="28">
      <c r="A28" s="18">
        <f>A27+7</f>
        <v/>
      </c>
      <c r="B28" s="37" t="n"/>
      <c r="C28" s="37" t="n"/>
      <c r="D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Y28" s="38">
        <f>B28+E28+H28+K28+N28+Q28</f>
        <v/>
      </c>
      <c r="Z28" s="38">
        <f>C28+F28+I28+L28+O28+R28</f>
        <v/>
      </c>
      <c r="AA28" s="38">
        <f>D28+G28+J28+M28+P28+S28</f>
        <v/>
      </c>
    </row>
    <row r="29">
      <c r="A29" s="18">
        <f>A28+7</f>
        <v/>
      </c>
      <c r="B29" s="37" t="n"/>
      <c r="C29" s="37" t="n"/>
      <c r="D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Y29" s="38">
        <f>B29+E29+H29+K29+N29+Q29</f>
        <v/>
      </c>
      <c r="Z29" s="38">
        <f>C29+F29+I29+L29+O29+R29</f>
        <v/>
      </c>
      <c r="AA29" s="38">
        <f>D29+G29+J29+M29+P29+S29</f>
        <v/>
      </c>
    </row>
    <row r="30">
      <c r="A30" s="18">
        <f>A29+7</f>
        <v/>
      </c>
      <c r="B30" s="37" t="n"/>
      <c r="C30" s="37" t="n"/>
      <c r="D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Y30" s="38">
        <f>B30+E30+H30+K30+N30+Q30</f>
        <v/>
      </c>
      <c r="Z30" s="38">
        <f>C30+F30+I30+L30+O30+R30</f>
        <v/>
      </c>
      <c r="AA30" s="38">
        <f>D30+G30+J30+M30+P30+S30</f>
        <v/>
      </c>
    </row>
    <row r="31">
      <c r="A31" s="18">
        <f>A30+7</f>
        <v/>
      </c>
      <c r="B31" s="37" t="n"/>
      <c r="C31" s="37" t="n"/>
      <c r="D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Y31" s="38">
        <f>B31+E31+H31+K31+N31+Q31</f>
        <v/>
      </c>
      <c r="Z31" s="38">
        <f>C31+F31+I31+L31+O31+R31</f>
        <v/>
      </c>
      <c r="AA31" s="38">
        <f>D31+G31+J31+M31+P31+S31</f>
        <v/>
      </c>
    </row>
    <row r="32">
      <c r="A32" s="18">
        <f>A31+7</f>
        <v/>
      </c>
      <c r="B32" s="37" t="n"/>
      <c r="C32" s="37" t="n"/>
      <c r="D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Y32" s="38">
        <f>B32+E32+H32+K32+N32+Q32</f>
        <v/>
      </c>
      <c r="Z32" s="38">
        <f>C32+F32+I32+L32+O32+R32</f>
        <v/>
      </c>
      <c r="AA32" s="38">
        <f>D32+G32+J32+M32+P32+S32</f>
        <v/>
      </c>
    </row>
    <row r="33">
      <c r="A33" s="18">
        <f>A32+7</f>
        <v/>
      </c>
      <c r="B33" s="37" t="n"/>
      <c r="C33" s="37" t="n"/>
      <c r="D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Y33" s="38">
        <f>B33+E33+H33+K33+N33+Q33</f>
        <v/>
      </c>
      <c r="Z33" s="38">
        <f>C33+F33+I33+L33+O33+R33</f>
        <v/>
      </c>
      <c r="AA33" s="38">
        <f>D33+G33+J33+M33+P33+S33</f>
        <v/>
      </c>
    </row>
    <row r="34">
      <c r="A34" s="18">
        <f>A33+7</f>
        <v/>
      </c>
      <c r="B34" s="37" t="n"/>
      <c r="C34" s="37" t="n"/>
      <c r="D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Y34" s="38">
        <f>B34+E34+H34+K34+N34+Q34</f>
        <v/>
      </c>
      <c r="Z34" s="38">
        <f>C34+F34+I34+L34+O34+R34</f>
        <v/>
      </c>
      <c r="AA34" s="38">
        <f>D34+G34+J34+M34+P34+S34</f>
        <v/>
      </c>
    </row>
    <row r="35">
      <c r="A35" s="18">
        <f>A34+7</f>
        <v/>
      </c>
      <c r="B35" s="37" t="n"/>
      <c r="C35" s="37" t="n"/>
      <c r="D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Y35" s="38">
        <f>B35+E35+H35+K35+N35+Q35</f>
        <v/>
      </c>
      <c r="Z35" s="38">
        <f>C35+F35+I35+L35+O35+R35</f>
        <v/>
      </c>
      <c r="AA35" s="38">
        <f>D35+G35+J35+M35+P35+S35</f>
        <v/>
      </c>
    </row>
    <row r="36">
      <c r="A36" s="18">
        <f>A35+7</f>
        <v/>
      </c>
      <c r="B36" s="37" t="n"/>
      <c r="C36" s="37" t="n"/>
      <c r="D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Y36" s="38">
        <f>B36+E36+H36+K36+N36+Q36</f>
        <v/>
      </c>
      <c r="Z36" s="38">
        <f>C36+F36+I36+L36+O36+R36</f>
        <v/>
      </c>
      <c r="AA36" s="38">
        <f>D36+G36+J36+M36+P36+S36</f>
        <v/>
      </c>
    </row>
    <row r="37">
      <c r="A37" s="18">
        <f>A36+7</f>
        <v/>
      </c>
      <c r="B37" s="37" t="n"/>
      <c r="C37" s="37" t="n"/>
      <c r="D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Y37" s="38">
        <f>B37+E37+H37+K37+N37+Q37</f>
        <v/>
      </c>
      <c r="Z37" s="38">
        <f>C37+F37+I37+L37+O37+R37</f>
        <v/>
      </c>
      <c r="AA37" s="38">
        <f>D37+G37+J37+M37+P37+S37</f>
        <v/>
      </c>
    </row>
    <row r="38">
      <c r="A38" s="18">
        <f>A37+7</f>
        <v/>
      </c>
      <c r="B38" s="37" t="n"/>
      <c r="C38" s="37" t="n"/>
      <c r="D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Y38" s="38">
        <f>B38+E38+H38+K38+N38+Q38</f>
        <v/>
      </c>
      <c r="Z38" s="38">
        <f>C38+F38+I38+L38+O38+R38</f>
        <v/>
      </c>
      <c r="AA38" s="38">
        <f>D38+G38+J38+M38+P38+S38</f>
        <v/>
      </c>
    </row>
    <row r="39">
      <c r="A39" s="18">
        <f>A38+7</f>
        <v/>
      </c>
      <c r="B39" s="37" t="n"/>
      <c r="C39" s="37" t="n"/>
      <c r="D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Y39" s="38">
        <f>B39+E39+H39+K39+N39+Q39</f>
        <v/>
      </c>
      <c r="Z39" s="38">
        <f>C39+F39+I39+L39+O39+R39</f>
        <v/>
      </c>
      <c r="AA39" s="38">
        <f>D39+G39+J39+M39+P39+S39</f>
        <v/>
      </c>
    </row>
    <row r="40">
      <c r="A40" s="18">
        <f>A39+7</f>
        <v/>
      </c>
      <c r="B40" s="37" t="n"/>
      <c r="C40" s="37" t="n"/>
      <c r="D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Y40" s="38">
        <f>B40+E40+H40+K40+N40+Q40</f>
        <v/>
      </c>
      <c r="Z40" s="38">
        <f>C40+F40+I40+L40+O40+R40</f>
        <v/>
      </c>
      <c r="AA40" s="38">
        <f>D40+G40+J40+M40+P40+S40</f>
        <v/>
      </c>
    </row>
    <row r="41">
      <c r="A41" s="18">
        <f>A40+7</f>
        <v/>
      </c>
      <c r="B41" s="37" t="n"/>
      <c r="C41" s="37" t="n"/>
      <c r="D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Y41" s="38">
        <f>B41+E41+H41+K41+N41+Q41</f>
        <v/>
      </c>
      <c r="Z41" s="38">
        <f>C41+F41+I41+L41+O41+R41</f>
        <v/>
      </c>
      <c r="AA41" s="38">
        <f>D41+G41+J41+M41+P41+S41</f>
        <v/>
      </c>
    </row>
    <row r="42">
      <c r="A42" s="18">
        <f>A41+7</f>
        <v/>
      </c>
      <c r="B42" s="37" t="n"/>
      <c r="C42" s="37" t="n"/>
      <c r="D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Y42" s="38">
        <f>B42+E42+H42+K42+N42+Q42</f>
        <v/>
      </c>
      <c r="Z42" s="38">
        <f>C42+F42+I42+L42+O42+R42</f>
        <v/>
      </c>
      <c r="AA42" s="38">
        <f>D42+G42+J42+M42+P42+S42</f>
        <v/>
      </c>
    </row>
    <row r="43">
      <c r="A43" s="18">
        <f>A42+7</f>
        <v/>
      </c>
      <c r="B43" s="37" t="n"/>
      <c r="C43" s="37" t="n"/>
      <c r="D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Y43" s="38">
        <f>B43+E43+H43+K43+N43+Q43</f>
        <v/>
      </c>
      <c r="Z43" s="38">
        <f>C43+F43+I43+L43+O43+R43</f>
        <v/>
      </c>
      <c r="AA43" s="38">
        <f>D43+G43+J43+M43+P43+S43</f>
        <v/>
      </c>
    </row>
    <row r="44">
      <c r="A44" s="18">
        <f>A43+7</f>
        <v/>
      </c>
      <c r="B44" s="37" t="n"/>
      <c r="C44" s="37" t="n"/>
      <c r="D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Y44" s="38">
        <f>B44+E44+H44+K44+N44+Q44</f>
        <v/>
      </c>
      <c r="Z44" s="38">
        <f>C44+F44+I44+L44+O44+R44</f>
        <v/>
      </c>
      <c r="AA44" s="38">
        <f>D44+G44+J44+M44+P44+S44</f>
        <v/>
      </c>
    </row>
    <row r="45">
      <c r="A45" s="18">
        <f>A44+7</f>
        <v/>
      </c>
      <c r="B45" s="37" t="n"/>
      <c r="C45" s="37" t="n"/>
      <c r="D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Y45" s="38">
        <f>B45+E45+H45+K45+N45+Q45</f>
        <v/>
      </c>
      <c r="Z45" s="38">
        <f>C45+F45+I45+L45+O45+R45</f>
        <v/>
      </c>
      <c r="AA45" s="38">
        <f>D45+G45+J45+M45+P45+S45</f>
        <v/>
      </c>
    </row>
    <row r="46">
      <c r="A46" s="18">
        <f>A45+7</f>
        <v/>
      </c>
      <c r="B46" s="37" t="n"/>
      <c r="C46" s="37" t="n"/>
      <c r="D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Y46" s="38">
        <f>B46+E46+H46+K46+N46+Q46</f>
        <v/>
      </c>
      <c r="Z46" s="38">
        <f>C46+F46+I46+L46+O46+R46</f>
        <v/>
      </c>
      <c r="AA46" s="38">
        <f>D46+G46+J46+M46+P46+S46</f>
        <v/>
      </c>
    </row>
    <row r="47">
      <c r="A47" s="18">
        <f>A46+7</f>
        <v/>
      </c>
      <c r="B47" s="37" t="n"/>
      <c r="C47" s="37" t="n"/>
      <c r="D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Y47" s="38">
        <f>B47+E47+H47+K47+N47+Q47</f>
        <v/>
      </c>
      <c r="Z47" s="38">
        <f>C47+F47+I47+L47+O47+R47</f>
        <v/>
      </c>
      <c r="AA47" s="38">
        <f>D47+G47+J47+M47+P47+S47</f>
        <v/>
      </c>
    </row>
    <row r="48">
      <c r="A48" s="18">
        <f>A47+7</f>
        <v/>
      </c>
      <c r="B48" s="37" t="n"/>
      <c r="C48" s="37" t="n"/>
      <c r="D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Y48" s="38">
        <f>B48+E48+H48+K48+N48+Q48</f>
        <v/>
      </c>
      <c r="Z48" s="38">
        <f>C48+F48+I48+L48+O48+R48</f>
        <v/>
      </c>
      <c r="AA48" s="38">
        <f>D48+G48+J48+M48+P48+S48</f>
        <v/>
      </c>
    </row>
    <row r="49">
      <c r="A49" s="18">
        <f>A48+7</f>
        <v/>
      </c>
      <c r="B49" s="37" t="n"/>
      <c r="C49" s="37" t="n"/>
      <c r="D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Y49" s="38">
        <f>B49+E49+H49+K49+N49+Q49</f>
        <v/>
      </c>
      <c r="Z49" s="38">
        <f>C49+F49+I49+L49+O49+R49</f>
        <v/>
      </c>
      <c r="AA49" s="38">
        <f>D49+G49+J49+M49+P49+S49</f>
        <v/>
      </c>
    </row>
    <row r="50">
      <c r="A50" s="18">
        <f>A49+7</f>
        <v/>
      </c>
      <c r="B50" s="37" t="n"/>
      <c r="C50" s="37" t="n"/>
      <c r="D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Y50" s="38">
        <f>B50+E50+H50+K50+N50+Q50</f>
        <v/>
      </c>
      <c r="Z50" s="38">
        <f>C50+F50+I50+L50+O50+R50</f>
        <v/>
      </c>
      <c r="AA50" s="38">
        <f>D50+G50+J50+M50+P50+S50</f>
        <v/>
      </c>
    </row>
    <row r="51">
      <c r="A51" s="18">
        <f>A50+7</f>
        <v/>
      </c>
      <c r="B51" s="37" t="n"/>
      <c r="C51" s="37" t="n"/>
      <c r="D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Y51" s="38">
        <f>B51+E51+H51+K51+N51+Q51</f>
        <v/>
      </c>
      <c r="Z51" s="38">
        <f>C51+F51+I51+L51+O51+R51</f>
        <v/>
      </c>
      <c r="AA51" s="38">
        <f>D51+G51+J51+M51+P51+S51</f>
        <v/>
      </c>
    </row>
    <row r="52">
      <c r="A52" s="18">
        <f>A51+7</f>
        <v/>
      </c>
      <c r="B52" s="37" t="n"/>
      <c r="C52" s="37" t="n"/>
      <c r="D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Y52" s="38">
        <f>B52+E52+H52+K52+N52+Q52</f>
        <v/>
      </c>
      <c r="Z52" s="38">
        <f>C52+F52+I52+L52+O52+R52</f>
        <v/>
      </c>
      <c r="AA52" s="38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ПЛАН ЧЕРН К1</t>
        </is>
      </c>
      <c r="X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ПЛАН ЧИСТ К1</t>
        </is>
      </c>
      <c r="AB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X8" s="37" t="n"/>
      <c r="Y8" s="37" t="n"/>
      <c r="Z8" s="37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X9" s="37" t="n"/>
      <c r="Y9" s="37" t="n"/>
      <c r="Z9" s="37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X10" s="37" t="n"/>
      <c r="Y10" s="37" t="n"/>
      <c r="Z10" s="37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X11" s="37" t="n"/>
      <c r="Y11" s="37" t="n"/>
      <c r="Z11" s="37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X12" s="37" t="n"/>
      <c r="Y12" s="37" t="n"/>
      <c r="Z12" s="37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X13" s="37" t="n"/>
      <c r="Y13" s="37" t="n"/>
      <c r="Z13" s="37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X14" s="37" t="n"/>
      <c r="Y14" s="37" t="n"/>
      <c r="Z14" s="37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X15" s="37" t="n"/>
      <c r="Y15" s="37" t="n"/>
      <c r="Z15" s="37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X16" s="37" t="n"/>
      <c r="Y16" s="37" t="n"/>
      <c r="Z16" s="37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X17" s="37" t="n"/>
      <c r="Y17" s="37" t="n"/>
      <c r="Z17" s="37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X18" s="37" t="n"/>
      <c r="Y18" s="37" t="n"/>
      <c r="Z18" s="37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X19" s="37" t="n"/>
      <c r="Y19" s="37" t="n"/>
      <c r="Z19" s="37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X20" s="37" t="n"/>
      <c r="Y20" s="37" t="n"/>
      <c r="Z20" s="37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X21" s="37" t="n"/>
      <c r="Y21" s="37" t="n"/>
      <c r="Z21" s="37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X22" s="37" t="n"/>
      <c r="Y22" s="37" t="n"/>
      <c r="Z22" s="37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X23" s="37" t="n"/>
      <c r="Y23" s="37" t="n"/>
      <c r="Z23" s="37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X24" s="37" t="n"/>
      <c r="Y24" s="37" t="n"/>
      <c r="Z24" s="37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X25" s="37" t="n"/>
      <c r="Y25" s="37" t="n"/>
      <c r="Z25" s="37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X26" s="37" t="n"/>
      <c r="Y26" s="37" t="n"/>
      <c r="Z26" s="37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X27" s="37" t="n"/>
      <c r="Y27" s="37" t="n"/>
      <c r="Z27" s="37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X28" s="37" t="n"/>
      <c r="Y28" s="37" t="n"/>
      <c r="Z28" s="37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X29" s="37" t="n"/>
      <c r="Y29" s="37" t="n"/>
      <c r="Z29" s="37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X30" s="37" t="n"/>
      <c r="Y30" s="37" t="n"/>
      <c r="Z30" s="37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X31" s="37" t="n"/>
      <c r="Y31" s="37" t="n"/>
      <c r="Z31" s="37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X32" s="37" t="n"/>
      <c r="Y32" s="37" t="n"/>
      <c r="Z32" s="37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X33" s="37" t="n"/>
      <c r="Y33" s="37" t="n"/>
      <c r="Z33" s="37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X34" s="37" t="n"/>
      <c r="Y34" s="37" t="n"/>
      <c r="Z34" s="37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X35" s="37" t="n"/>
      <c r="Y35" s="37" t="n"/>
      <c r="Z35" s="37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X36" s="37" t="n"/>
      <c r="Y36" s="37" t="n"/>
      <c r="Z36" s="37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X37" s="37" t="n"/>
      <c r="Y37" s="37" t="n"/>
      <c r="Z37" s="37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X38" s="37" t="n"/>
      <c r="Y38" s="37" t="n"/>
      <c r="Z38" s="37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X39" s="37" t="n"/>
      <c r="Y39" s="37" t="n"/>
      <c r="Z39" s="37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X40" s="37" t="n"/>
      <c r="Y40" s="37" t="n"/>
      <c r="Z40" s="37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X41" s="37" t="n"/>
      <c r="Y41" s="37" t="n"/>
      <c r="Z41" s="37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X42" s="37" t="n"/>
      <c r="Y42" s="37" t="n"/>
      <c r="Z42" s="37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X43" s="37" t="n"/>
      <c r="Y43" s="37" t="n"/>
      <c r="Z43" s="37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X44" s="37" t="n"/>
      <c r="Y44" s="37" t="n"/>
      <c r="Z44" s="37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X45" s="37" t="n"/>
      <c r="Y45" s="37" t="n"/>
      <c r="Z45" s="37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X46" s="37" t="n"/>
      <c r="Y46" s="37" t="n"/>
      <c r="Z46" s="37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X47" s="37" t="n"/>
      <c r="Y47" s="37" t="n"/>
      <c r="Z47" s="37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X48" s="37" t="n"/>
      <c r="Y48" s="37" t="n"/>
      <c r="Z48" s="37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X49" s="37" t="n"/>
      <c r="Y49" s="37" t="n"/>
      <c r="Z49" s="37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X50" s="37" t="n"/>
      <c r="Y50" s="37" t="n"/>
      <c r="Z50" s="37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X51" s="37" t="n"/>
      <c r="Y51" s="37" t="n"/>
      <c r="Z51" s="37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X52" s="37" t="n"/>
      <c r="Y52" s="37" t="n"/>
      <c r="Z52" s="37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ПЛАН ЧЕРН К2</t>
        </is>
      </c>
      <c r="X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ПЛАН ЧИСТ К2</t>
        </is>
      </c>
      <c r="AB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X8" s="37" t="n"/>
      <c r="Y8" s="37" t="n"/>
      <c r="Z8" s="37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X9" s="37" t="n"/>
      <c r="Y9" s="37" t="n"/>
      <c r="Z9" s="37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X10" s="37" t="n"/>
      <c r="Y10" s="37" t="n"/>
      <c r="Z10" s="37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X11" s="37" t="n"/>
      <c r="Y11" s="37" t="n"/>
      <c r="Z11" s="37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X12" s="37" t="n"/>
      <c r="Y12" s="37" t="n"/>
      <c r="Z12" s="37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X13" s="37" t="n"/>
      <c r="Y13" s="37" t="n"/>
      <c r="Z13" s="37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X14" s="37" t="n"/>
      <c r="Y14" s="37" t="n"/>
      <c r="Z14" s="37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X15" s="37" t="n"/>
      <c r="Y15" s="37" t="n"/>
      <c r="Z15" s="37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X16" s="37" t="n"/>
      <c r="Y16" s="37" t="n"/>
      <c r="Z16" s="37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X17" s="37" t="n"/>
      <c r="Y17" s="37" t="n"/>
      <c r="Z17" s="37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X18" s="37" t="n"/>
      <c r="Y18" s="37" t="n"/>
      <c r="Z18" s="37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X19" s="37" t="n"/>
      <c r="Y19" s="37" t="n"/>
      <c r="Z19" s="37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X20" s="37" t="n"/>
      <c r="Y20" s="37" t="n"/>
      <c r="Z20" s="37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X21" s="37" t="n"/>
      <c r="Y21" s="37" t="n"/>
      <c r="Z21" s="37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X22" s="37" t="n"/>
      <c r="Y22" s="37" t="n"/>
      <c r="Z22" s="37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X23" s="37" t="n"/>
      <c r="Y23" s="37" t="n"/>
      <c r="Z23" s="37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X24" s="37" t="n"/>
      <c r="Y24" s="37" t="n"/>
      <c r="Z24" s="37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X25" s="37" t="n"/>
      <c r="Y25" s="37" t="n"/>
      <c r="Z25" s="37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X26" s="37" t="n"/>
      <c r="Y26" s="37" t="n"/>
      <c r="Z26" s="37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X27" s="37" t="n"/>
      <c r="Y27" s="37" t="n"/>
      <c r="Z27" s="37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X28" s="37" t="n"/>
      <c r="Y28" s="37" t="n"/>
      <c r="Z28" s="37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X29" s="37" t="n"/>
      <c r="Y29" s="37" t="n"/>
      <c r="Z29" s="37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X30" s="37" t="n"/>
      <c r="Y30" s="37" t="n"/>
      <c r="Z30" s="37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X31" s="37" t="n"/>
      <c r="Y31" s="37" t="n"/>
      <c r="Z31" s="37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X32" s="37" t="n"/>
      <c r="Y32" s="37" t="n"/>
      <c r="Z32" s="37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X33" s="37" t="n"/>
      <c r="Y33" s="37" t="n"/>
      <c r="Z33" s="37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X34" s="37" t="n"/>
      <c r="Y34" s="37" t="n"/>
      <c r="Z34" s="37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X35" s="37" t="n"/>
      <c r="Y35" s="37" t="n"/>
      <c r="Z35" s="37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X36" s="37" t="n"/>
      <c r="Y36" s="37" t="n"/>
      <c r="Z36" s="37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X37" s="37" t="n"/>
      <c r="Y37" s="37" t="n"/>
      <c r="Z37" s="37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X38" s="37" t="n"/>
      <c r="Y38" s="37" t="n"/>
      <c r="Z38" s="37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X39" s="37" t="n"/>
      <c r="Y39" s="37" t="n"/>
      <c r="Z39" s="37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X40" s="37" t="n"/>
      <c r="Y40" s="37" t="n"/>
      <c r="Z40" s="37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X41" s="37" t="n"/>
      <c r="Y41" s="37" t="n"/>
      <c r="Z41" s="37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X42" s="37" t="n"/>
      <c r="Y42" s="37" t="n"/>
      <c r="Z42" s="37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X43" s="37" t="n"/>
      <c r="Y43" s="37" t="n"/>
      <c r="Z43" s="37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X44" s="37" t="n"/>
      <c r="Y44" s="37" t="n"/>
      <c r="Z44" s="37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X45" s="37" t="n"/>
      <c r="Y45" s="37" t="n"/>
      <c r="Z45" s="37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X46" s="37" t="n"/>
      <c r="Y46" s="37" t="n"/>
      <c r="Z46" s="37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X47" s="37" t="n"/>
      <c r="Y47" s="37" t="n"/>
      <c r="Z47" s="37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X48" s="37" t="n"/>
      <c r="Y48" s="37" t="n"/>
      <c r="Z48" s="37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X49" s="37" t="n"/>
      <c r="Y49" s="37" t="n"/>
      <c r="Z49" s="37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X50" s="37" t="n"/>
      <c r="Y50" s="37" t="n"/>
      <c r="Z50" s="37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X51" s="37" t="n"/>
      <c r="Y51" s="37" t="n"/>
      <c r="Z51" s="37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X52" s="37" t="n"/>
      <c r="Y52" s="37" t="n"/>
      <c r="Z52" s="37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ПЛАН ЧЕРН К3</t>
        </is>
      </c>
      <c r="X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ПЛАН ЧИСТ К3</t>
        </is>
      </c>
      <c r="AB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X8" s="37" t="n"/>
      <c r="Y8" s="37" t="n"/>
      <c r="Z8" s="37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X9" s="37" t="n"/>
      <c r="Y9" s="37" t="n"/>
      <c r="Z9" s="37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X10" s="37" t="n"/>
      <c r="Y10" s="37" t="n"/>
      <c r="Z10" s="37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X11" s="37" t="n"/>
      <c r="Y11" s="37" t="n"/>
      <c r="Z11" s="37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X12" s="37" t="n"/>
      <c r="Y12" s="37" t="n"/>
      <c r="Z12" s="37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X13" s="37" t="n"/>
      <c r="Y13" s="37" t="n"/>
      <c r="Z13" s="37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X14" s="37" t="n"/>
      <c r="Y14" s="37" t="n"/>
      <c r="Z14" s="37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X15" s="37" t="n"/>
      <c r="Y15" s="37" t="n"/>
      <c r="Z15" s="37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X16" s="37" t="n"/>
      <c r="Y16" s="37" t="n"/>
      <c r="Z16" s="37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X17" s="37" t="n"/>
      <c r="Y17" s="37" t="n"/>
      <c r="Z17" s="37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X18" s="37" t="n"/>
      <c r="Y18" s="37" t="n"/>
      <c r="Z18" s="37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X19" s="37" t="n"/>
      <c r="Y19" s="37" t="n"/>
      <c r="Z19" s="37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X20" s="37" t="n"/>
      <c r="Y20" s="37" t="n"/>
      <c r="Z20" s="37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X21" s="37" t="n"/>
      <c r="Y21" s="37" t="n"/>
      <c r="Z21" s="37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X22" s="37" t="n"/>
      <c r="Y22" s="37" t="n"/>
      <c r="Z22" s="37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X23" s="37" t="n"/>
      <c r="Y23" s="37" t="n"/>
      <c r="Z23" s="37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X24" s="37" t="n"/>
      <c r="Y24" s="37" t="n"/>
      <c r="Z24" s="37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X25" s="37" t="n"/>
      <c r="Y25" s="37" t="n"/>
      <c r="Z25" s="37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X26" s="37" t="n"/>
      <c r="Y26" s="37" t="n"/>
      <c r="Z26" s="37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X27" s="37" t="n"/>
      <c r="Y27" s="37" t="n"/>
      <c r="Z27" s="37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X28" s="37" t="n"/>
      <c r="Y28" s="37" t="n"/>
      <c r="Z28" s="37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X29" s="37" t="n"/>
      <c r="Y29" s="37" t="n"/>
      <c r="Z29" s="37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X30" s="37" t="n"/>
      <c r="Y30" s="37" t="n"/>
      <c r="Z30" s="37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X31" s="37" t="n"/>
      <c r="Y31" s="37" t="n"/>
      <c r="Z31" s="37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X32" s="37" t="n"/>
      <c r="Y32" s="37" t="n"/>
      <c r="Z32" s="37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X33" s="37" t="n"/>
      <c r="Y33" s="37" t="n"/>
      <c r="Z33" s="37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X34" s="37" t="n"/>
      <c r="Y34" s="37" t="n"/>
      <c r="Z34" s="37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X35" s="37" t="n"/>
      <c r="Y35" s="37" t="n"/>
      <c r="Z35" s="37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X36" s="37" t="n"/>
      <c r="Y36" s="37" t="n"/>
      <c r="Z36" s="37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X37" s="37" t="n"/>
      <c r="Y37" s="37" t="n"/>
      <c r="Z37" s="37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X38" s="37" t="n"/>
      <c r="Y38" s="37" t="n"/>
      <c r="Z38" s="37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X39" s="37" t="n"/>
      <c r="Y39" s="37" t="n"/>
      <c r="Z39" s="37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X40" s="37" t="n"/>
      <c r="Y40" s="37" t="n"/>
      <c r="Z40" s="37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X41" s="37" t="n"/>
      <c r="Y41" s="37" t="n"/>
      <c r="Z41" s="37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X42" s="37" t="n"/>
      <c r="Y42" s="37" t="n"/>
      <c r="Z42" s="37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X43" s="37" t="n"/>
      <c r="Y43" s="37" t="n"/>
      <c r="Z43" s="37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X44" s="37" t="n"/>
      <c r="Y44" s="37" t="n"/>
      <c r="Z44" s="37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X45" s="37" t="n"/>
      <c r="Y45" s="37" t="n"/>
      <c r="Z45" s="37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X46" s="37" t="n"/>
      <c r="Y46" s="37" t="n"/>
      <c r="Z46" s="37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X47" s="37" t="n"/>
      <c r="Y47" s="37" t="n"/>
      <c r="Z47" s="37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X48" s="37" t="n"/>
      <c r="Y48" s="37" t="n"/>
      <c r="Z48" s="37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X49" s="37" t="n"/>
      <c r="Y49" s="37" t="n"/>
      <c r="Z49" s="37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X50" s="37" t="n"/>
      <c r="Y50" s="37" t="n"/>
      <c r="Z50" s="37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X51" s="37" t="n"/>
      <c r="Y51" s="37" t="n"/>
      <c r="Z51" s="37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X52" s="37" t="n"/>
      <c r="Y52" s="37" t="n"/>
      <c r="Z52" s="37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BF8F00"/>
    <outlinePr summaryBelow="1" summaryRight="1"/>
    <pageSetUpPr/>
  </sheetPr>
  <dimension ref="A1:W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ФАКТ ЧЕРН ПОДЗЕМ</t>
        </is>
      </c>
      <c r="U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</row>
    <row r="3">
      <c r="A3" s="82" t="n"/>
      <c r="B3" s="77" t="inlineStr">
        <is>
          <t>8.1.1 Отделка паркинг и рампы</t>
        </is>
      </c>
      <c r="C3" s="78" t="n"/>
      <c r="D3" s="79" t="n"/>
      <c r="E3" s="77" t="inlineStr">
        <is>
          <t>8.1.2 Отделка эвакуац. лестн. клетки подзем.</t>
        </is>
      </c>
      <c r="F3" s="78" t="n"/>
      <c r="G3" s="79" t="n"/>
      <c r="H3" s="77" t="inlineStr">
        <is>
          <t>8.1.3 Лифт. холлы, тамбур-шлюзы подзем.</t>
        </is>
      </c>
      <c r="I3" s="78" t="n"/>
      <c r="J3" s="79" t="n"/>
      <c r="K3" s="77" t="inlineStr">
        <is>
          <t>8.1.4 Технич. помещения подзем.</t>
        </is>
      </c>
      <c r="L3" s="78" t="n"/>
      <c r="M3" s="79" t="n"/>
      <c r="N3" s="77" t="inlineStr">
        <is>
          <t>8.1.5 Прочие помещения подзем.</t>
        </is>
      </c>
      <c r="O3" s="78" t="n"/>
      <c r="P3" s="79" t="n"/>
      <c r="Q3" s="77" t="inlineStr">
        <is>
          <t>8.1.6 Коммерч. помещения подзем.</t>
        </is>
      </c>
      <c r="R3" s="78" t="n"/>
      <c r="S3" s="79" t="n"/>
      <c r="U3" s="35" t="inlineStr">
        <is>
          <t>Пол</t>
        </is>
      </c>
      <c r="V3" s="35" t="inlineStr">
        <is>
          <t>Стены</t>
        </is>
      </c>
      <c r="W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77" t="inlineStr">
        <is>
          <t>Пол</t>
        </is>
      </c>
      <c r="F4" s="77" t="inlineStr">
        <is>
          <t>Стены</t>
        </is>
      </c>
      <c r="G4" s="77" t="inlineStr">
        <is>
          <t>Потолок</t>
        </is>
      </c>
      <c r="H4" s="77" t="inlineStr">
        <is>
          <t>Пол</t>
        </is>
      </c>
      <c r="I4" s="77" t="inlineStr">
        <is>
          <t>Стены</t>
        </is>
      </c>
      <c r="J4" s="77" t="inlineStr">
        <is>
          <t>Потолок</t>
        </is>
      </c>
      <c r="K4" s="77" t="inlineStr">
        <is>
          <t>Пол</t>
        </is>
      </c>
      <c r="L4" s="77" t="inlineStr">
        <is>
          <t>Стены</t>
        </is>
      </c>
      <c r="M4" s="77" t="inlineStr">
        <is>
          <t>Потолок</t>
        </is>
      </c>
      <c r="N4" s="77" t="inlineStr">
        <is>
          <t>Пол</t>
        </is>
      </c>
      <c r="O4" s="77" t="inlineStr">
        <is>
          <t>Стены</t>
        </is>
      </c>
      <c r="P4" s="77" t="inlineStr">
        <is>
          <t>Потолок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U4" s="36" t="n"/>
      <c r="V4" s="36" t="n"/>
      <c r="W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U5" s="38">
        <f>B5+E5+H5+K5+N5+Q5</f>
        <v/>
      </c>
      <c r="V5" s="38">
        <f>C5+F5+I5+L5+O5+R5</f>
        <v/>
      </c>
      <c r="W5" s="38">
        <f>D5+G5+J5+M5+P5+S5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U6" s="38">
        <f>B6+E6+H6+K6+N6+Q6</f>
        <v/>
      </c>
      <c r="V6" s="38">
        <f>C6+F6+I6+L6+O6+R6</f>
        <v/>
      </c>
      <c r="W6" s="38">
        <f>D6+G6+J6+M6+P6+S6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U7" s="38">
        <f>B7+E7+H7+K7+N7+Q7</f>
        <v/>
      </c>
      <c r="V7" s="38">
        <f>C7+F7+I7+L7+O7+R7</f>
        <v/>
      </c>
      <c r="W7" s="38">
        <f>D7+G7+J7+M7+P7+S7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U8" s="38">
        <f>B8+E8+H8+K8+N8+Q8</f>
        <v/>
      </c>
      <c r="V8" s="38">
        <f>C8+F8+I8+L8+O8+R8</f>
        <v/>
      </c>
      <c r="W8" s="38">
        <f>D8+G8+J8+M8+P8+S8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U9" s="38">
        <f>B9+E9+H9+K9+N9+Q9</f>
        <v/>
      </c>
      <c r="V9" s="38">
        <f>C9+F9+I9+L9+O9+R9</f>
        <v/>
      </c>
      <c r="W9" s="38">
        <f>D9+G9+J9+M9+P9+S9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U10" s="38">
        <f>B10+E10+H10+K10+N10+Q10</f>
        <v/>
      </c>
      <c r="V10" s="38">
        <f>C10+F10+I10+L10+O10+R10</f>
        <v/>
      </c>
      <c r="W10" s="38">
        <f>D10+G10+J10+M10+P10+S10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U11" s="38">
        <f>B11+E11+H11+K11+N11+Q11</f>
        <v/>
      </c>
      <c r="V11" s="38">
        <f>C11+F11+I11+L11+O11+R11</f>
        <v/>
      </c>
      <c r="W11" s="38">
        <f>D11+G11+J11+M11+P11+S11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U12" s="38">
        <f>B12+E12+H12+K12+N12+Q12</f>
        <v/>
      </c>
      <c r="V12" s="38">
        <f>C12+F12+I12+L12+O12+R12</f>
        <v/>
      </c>
      <c r="W12" s="38">
        <f>D12+G12+J12+M12+P12+S12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U13" s="38">
        <f>B13+E13+H13+K13+N13+Q13</f>
        <v/>
      </c>
      <c r="V13" s="38">
        <f>C13+F13+I13+L13+O13+R13</f>
        <v/>
      </c>
      <c r="W13" s="38">
        <f>D13+G13+J13+M13+P13+S13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U14" s="38">
        <f>B14+E14+H14+K14+N14+Q14</f>
        <v/>
      </c>
      <c r="V14" s="38">
        <f>C14+F14+I14+L14+O14+R14</f>
        <v/>
      </c>
      <c r="W14" s="38">
        <f>D14+G14+J14+M14+P14+S14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U15" s="38">
        <f>B15+E15+H15+K15+N15+Q15</f>
        <v/>
      </c>
      <c r="V15" s="38">
        <f>C15+F15+I15+L15+O15+R15</f>
        <v/>
      </c>
      <c r="W15" s="38">
        <f>D15+G15+J15+M15+P15+S15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U16" s="38">
        <f>B16+E16+H16+K16+N16+Q16</f>
        <v/>
      </c>
      <c r="V16" s="38">
        <f>C16+F16+I16+L16+O16+R16</f>
        <v/>
      </c>
      <c r="W16" s="38">
        <f>D16+G16+J16+M16+P16+S16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U17" s="38">
        <f>B17+E17+H17+K17+N17+Q17</f>
        <v/>
      </c>
      <c r="V17" s="38">
        <f>C17+F17+I17+L17+O17+R17</f>
        <v/>
      </c>
      <c r="W17" s="38">
        <f>D17+G17+J17+M17+P17+S17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U18" s="38">
        <f>B18+E18+H18+K18+N18+Q18</f>
        <v/>
      </c>
      <c r="V18" s="38">
        <f>C18+F18+I18+L18+O18+R18</f>
        <v/>
      </c>
      <c r="W18" s="38">
        <f>D18+G18+J18+M18+P18+S18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U19" s="38">
        <f>B19+E19+H19+K19+N19+Q19</f>
        <v/>
      </c>
      <c r="V19" s="38">
        <f>C19+F19+I19+L19+O19+R19</f>
        <v/>
      </c>
      <c r="W19" s="38">
        <f>D19+G19+J19+M19+P19+S19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U20" s="38">
        <f>B20+E20+H20+K20+N20+Q20</f>
        <v/>
      </c>
      <c r="V20" s="38">
        <f>C20+F20+I20+L20+O20+R20</f>
        <v/>
      </c>
      <c r="W20" s="38">
        <f>D20+G20+J20+M20+P20+S20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U21" s="38">
        <f>B21+E21+H21+K21+N21+Q21</f>
        <v/>
      </c>
      <c r="V21" s="38">
        <f>C21+F21+I21+L21+O21+R21</f>
        <v/>
      </c>
      <c r="W21" s="38">
        <f>D21+G21+J21+M21+P21+S21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U22" s="38">
        <f>B22+E22+H22+K22+N22+Q22</f>
        <v/>
      </c>
      <c r="V22" s="38">
        <f>C22+F22+I22+L22+O22+R22</f>
        <v/>
      </c>
      <c r="W22" s="38">
        <f>D22+G22+J22+M22+P22+S22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U23" s="38">
        <f>B23+E23+H23+K23+N23+Q23</f>
        <v/>
      </c>
      <c r="V23" s="38">
        <f>C23+F23+I23+L23+O23+R23</f>
        <v/>
      </c>
      <c r="W23" s="38">
        <f>D23+G23+J23+M23+P23+S23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U24" s="38">
        <f>B24+E24+H24+K24+N24+Q24</f>
        <v/>
      </c>
      <c r="V24" s="38">
        <f>C24+F24+I24+L24+O24+R24</f>
        <v/>
      </c>
      <c r="W24" s="38">
        <f>D24+G24+J24+M24+P24+S24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U25" s="38">
        <f>B25+E25+H25+K25+N25+Q25</f>
        <v/>
      </c>
      <c r="V25" s="38">
        <f>C25+F25+I25+L25+O25+R25</f>
        <v/>
      </c>
      <c r="W25" s="38">
        <f>D25+G25+J25+M25+P25+S25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U26" s="38">
        <f>B26+E26+H26+K26+N26+Q26</f>
        <v/>
      </c>
      <c r="V26" s="38">
        <f>C26+F26+I26+L26+O26+R26</f>
        <v/>
      </c>
      <c r="W26" s="38">
        <f>D26+G26+J26+M26+P26+S26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U27" s="38">
        <f>B27+E27+H27+K27+N27+Q27</f>
        <v/>
      </c>
      <c r="V27" s="38">
        <f>C27+F27+I27+L27+O27+R27</f>
        <v/>
      </c>
      <c r="W27" s="38">
        <f>D27+G27+J27+M27+P27+S27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U28" s="38">
        <f>B28+E28+H28+K28+N28+Q28</f>
        <v/>
      </c>
      <c r="V28" s="38">
        <f>C28+F28+I28+L28+O28+R28</f>
        <v/>
      </c>
      <c r="W28" s="38">
        <f>D28+G28+J28+M28+P28+S28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U29" s="38">
        <f>B29+E29+H29+K29+N29+Q29</f>
        <v/>
      </c>
      <c r="V29" s="38">
        <f>C29+F29+I29+L29+O29+R29</f>
        <v/>
      </c>
      <c r="W29" s="38">
        <f>D29+G29+J29+M29+P29+S29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U30" s="38">
        <f>B30+E30+H30+K30+N30+Q30</f>
        <v/>
      </c>
      <c r="V30" s="38">
        <f>C30+F30+I30+L30+O30+R30</f>
        <v/>
      </c>
      <c r="W30" s="38">
        <f>D30+G30+J30+M30+P30+S30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U31" s="38">
        <f>B31+E31+H31+K31+N31+Q31</f>
        <v/>
      </c>
      <c r="V31" s="38">
        <f>C31+F31+I31+L31+O31+R31</f>
        <v/>
      </c>
      <c r="W31" s="38">
        <f>D31+G31+J31+M31+P31+S31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U32" s="38">
        <f>B32+E32+H32+K32+N32+Q32</f>
        <v/>
      </c>
      <c r="V32" s="38">
        <f>C32+F32+I32+L32+O32+R32</f>
        <v/>
      </c>
      <c r="W32" s="38">
        <f>D32+G32+J32+M32+P32+S32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U33" s="38">
        <f>B33+E33+H33+K33+N33+Q33</f>
        <v/>
      </c>
      <c r="V33" s="38">
        <f>C33+F33+I33+L33+O33+R33</f>
        <v/>
      </c>
      <c r="W33" s="38">
        <f>D33+G33+J33+M33+P33+S33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U34" s="38">
        <f>B34+E34+H34+K34+N34+Q34</f>
        <v/>
      </c>
      <c r="V34" s="38">
        <f>C34+F34+I34+L34+O34+R34</f>
        <v/>
      </c>
      <c r="W34" s="38">
        <f>D34+G34+J34+M34+P34+S34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U35" s="38">
        <f>B35+E35+H35+K35+N35+Q35</f>
        <v/>
      </c>
      <c r="V35" s="38">
        <f>C35+F35+I35+L35+O35+R35</f>
        <v/>
      </c>
      <c r="W35" s="38">
        <f>D35+G35+J35+M35+P35+S35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U36" s="38">
        <f>B36+E36+H36+K36+N36+Q36</f>
        <v/>
      </c>
      <c r="V36" s="38">
        <f>C36+F36+I36+L36+O36+R36</f>
        <v/>
      </c>
      <c r="W36" s="38">
        <f>D36+G36+J36+M36+P36+S36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U37" s="38">
        <f>B37+E37+H37+K37+N37+Q37</f>
        <v/>
      </c>
      <c r="V37" s="38">
        <f>C37+F37+I37+L37+O37+R37</f>
        <v/>
      </c>
      <c r="W37" s="38">
        <f>D37+G37+J37+M37+P37+S37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U38" s="38">
        <f>B38+E38+H38+K38+N38+Q38</f>
        <v/>
      </c>
      <c r="V38" s="38">
        <f>C38+F38+I38+L38+O38+R38</f>
        <v/>
      </c>
      <c r="W38" s="38">
        <f>D38+G38+J38+M38+P38+S38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U39" s="38">
        <f>B39+E39+H39+K39+N39+Q39</f>
        <v/>
      </c>
      <c r="V39" s="38">
        <f>C39+F39+I39+L39+O39+R39</f>
        <v/>
      </c>
      <c r="W39" s="38">
        <f>D39+G39+J39+M39+P39+S39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U40" s="38">
        <f>B40+E40+H40+K40+N40+Q40</f>
        <v/>
      </c>
      <c r="V40" s="38">
        <f>C40+F40+I40+L40+O40+R40</f>
        <v/>
      </c>
      <c r="W40" s="38">
        <f>D40+G40+J40+M40+P40+S40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U41" s="38">
        <f>B41+E41+H41+K41+N41+Q41</f>
        <v/>
      </c>
      <c r="V41" s="38">
        <f>C41+F41+I41+L41+O41+R41</f>
        <v/>
      </c>
      <c r="W41" s="38">
        <f>D41+G41+J41+M41+P41+S41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U42" s="38">
        <f>B42+E42+H42+K42+N42+Q42</f>
        <v/>
      </c>
      <c r="V42" s="38">
        <f>C42+F42+I42+L42+O42+R42</f>
        <v/>
      </c>
      <c r="W42" s="38">
        <f>D42+G42+J42+M42+P42+S42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U43" s="38">
        <f>B43+E43+H43+K43+N43+Q43</f>
        <v/>
      </c>
      <c r="V43" s="38">
        <f>C43+F43+I43+L43+O43+R43</f>
        <v/>
      </c>
      <c r="W43" s="38">
        <f>D43+G43+J43+M43+P43+S43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U44" s="38">
        <f>B44+E44+H44+K44+N44+Q44</f>
        <v/>
      </c>
      <c r="V44" s="38">
        <f>C44+F44+I44+L44+O44+R44</f>
        <v/>
      </c>
      <c r="W44" s="38">
        <f>D44+G44+J44+M44+P44+S44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U45" s="38">
        <f>B45+E45+H45+K45+N45+Q45</f>
        <v/>
      </c>
      <c r="V45" s="38">
        <f>C45+F45+I45+L45+O45+R45</f>
        <v/>
      </c>
      <c r="W45" s="38">
        <f>D45+G45+J45+M45+P45+S45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U46" s="38">
        <f>B46+E46+H46+K46+N46+Q46</f>
        <v/>
      </c>
      <c r="V46" s="38">
        <f>C46+F46+I46+L46+O46+R46</f>
        <v/>
      </c>
      <c r="W46" s="38">
        <f>D46+G46+J46+M46+P46+S46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U47" s="38">
        <f>B47+E47+H47+K47+N47+Q47</f>
        <v/>
      </c>
      <c r="V47" s="38">
        <f>C47+F47+I47+L47+O47+R47</f>
        <v/>
      </c>
      <c r="W47" s="38">
        <f>D47+G47+J47+M47+P47+S47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U48" s="38">
        <f>B48+E48+H48+K48+N48+Q48</f>
        <v/>
      </c>
      <c r="V48" s="38">
        <f>C48+F48+I48+L48+O48+R48</f>
        <v/>
      </c>
      <c r="W48" s="38">
        <f>D48+G48+J48+M48+P48+S48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U49" s="38">
        <f>B49+E49+H49+K49+N49+Q49</f>
        <v/>
      </c>
      <c r="V49" s="38">
        <f>C49+F49+I49+L49+O49+R49</f>
        <v/>
      </c>
      <c r="W49" s="38">
        <f>D49+G49+J49+M49+P49+S49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U50" s="38">
        <f>B50+E50+H50+K50+N50+Q50</f>
        <v/>
      </c>
      <c r="V50" s="38">
        <f>C50+F50+I50+L50+O50+R50</f>
        <v/>
      </c>
      <c r="W50" s="38">
        <f>D50+G50+J50+M50+P50+S50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U51" s="38">
        <f>B51+E51+H51+K51+N51+Q51</f>
        <v/>
      </c>
      <c r="V51" s="38">
        <f>C51+F51+I51+L51+O51+R51</f>
        <v/>
      </c>
      <c r="W51" s="38">
        <f>D51+G51+J51+M51+P51+S51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U52" s="38">
        <f>B52+E52+H52+K52+N52+Q52</f>
        <v/>
      </c>
      <c r="V52" s="38">
        <f>C52+F52+I52+L52+O52+R52</f>
        <v/>
      </c>
      <c r="W52" s="38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548235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ФАКТ ЧИСТ ПОДЗЕМ</t>
        </is>
      </c>
      <c r="Y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  <c r="U2" s="78" t="n"/>
      <c r="V2" s="78" t="n"/>
      <c r="W2" s="79" t="n"/>
    </row>
    <row r="3">
      <c r="A3" s="82" t="n"/>
      <c r="B3" s="77" t="inlineStr">
        <is>
          <t>8.1.1 Отделка паркинг и рампы</t>
        </is>
      </c>
      <c r="C3" s="78" t="n"/>
      <c r="D3" s="78" t="n"/>
      <c r="E3" s="79" t="n"/>
      <c r="F3" s="77" t="inlineStr">
        <is>
          <t>8.1.2 Отделка эвакуац. лестн. клетки подзем.</t>
        </is>
      </c>
      <c r="G3" s="78" t="n"/>
      <c r="H3" s="78" t="n"/>
      <c r="I3" s="79" t="n"/>
      <c r="J3" s="77" t="inlineStr">
        <is>
          <t>8.1.3 Лифт. холлы, тамбур-шлюзы подзем.</t>
        </is>
      </c>
      <c r="K3" s="78" t="n"/>
      <c r="L3" s="79" t="n"/>
      <c r="M3" s="77" t="inlineStr">
        <is>
          <t>8.1.4 Технич. помещения подзем.</t>
        </is>
      </c>
      <c r="N3" s="78" t="n"/>
      <c r="O3" s="78" t="n"/>
      <c r="P3" s="79" t="n"/>
      <c r="Q3" s="77" t="inlineStr">
        <is>
          <t>8.1.5 Прочие помещения подзем.</t>
        </is>
      </c>
      <c r="R3" s="78" t="n"/>
      <c r="S3" s="78" t="n"/>
      <c r="T3" s="79" t="n"/>
      <c r="U3" s="77" t="inlineStr">
        <is>
          <t>8.1.6 Коммерч. помещения подзем.</t>
        </is>
      </c>
      <c r="V3" s="78" t="n"/>
      <c r="W3" s="79" t="n"/>
      <c r="Y3" s="35" t="inlineStr">
        <is>
          <t>Пол</t>
        </is>
      </c>
      <c r="Z3" s="35" t="inlineStr">
        <is>
          <t>Стены</t>
        </is>
      </c>
      <c r="AA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86" t="inlineStr">
        <is>
          <t>Запол.</t>
        </is>
      </c>
      <c r="F4" s="77" t="inlineStr">
        <is>
          <t>Пол</t>
        </is>
      </c>
      <c r="G4" s="77" t="inlineStr">
        <is>
          <t>Стены</t>
        </is>
      </c>
      <c r="H4" s="77" t="inlineStr">
        <is>
          <t>Потолок</t>
        </is>
      </c>
      <c r="I4" s="86" t="inlineStr">
        <is>
          <t>Запол.</t>
        </is>
      </c>
      <c r="J4" s="77" t="inlineStr">
        <is>
          <t>Пол</t>
        </is>
      </c>
      <c r="K4" s="77" t="inlineStr">
        <is>
          <t>Стены</t>
        </is>
      </c>
      <c r="L4" s="77" t="inlineStr">
        <is>
          <t>Потолок</t>
        </is>
      </c>
      <c r="M4" s="77" t="inlineStr">
        <is>
          <t>Пол</t>
        </is>
      </c>
      <c r="N4" s="77" t="inlineStr">
        <is>
          <t>Стены</t>
        </is>
      </c>
      <c r="O4" s="77" t="inlineStr">
        <is>
          <t>Потолок</t>
        </is>
      </c>
      <c r="P4" s="86" t="inlineStr">
        <is>
          <t>Запол.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T4" s="86" t="inlineStr">
        <is>
          <t>Запол.</t>
        </is>
      </c>
      <c r="U4" s="77" t="inlineStr">
        <is>
          <t>Пол</t>
        </is>
      </c>
      <c r="V4" s="77" t="inlineStr">
        <is>
          <t>Стены</t>
        </is>
      </c>
      <c r="W4" s="77" t="inlineStr">
        <is>
          <t>Потолок</t>
        </is>
      </c>
      <c r="Y4" s="36" t="n"/>
      <c r="Z4" s="36" t="n"/>
      <c r="AA4" s="36" t="n"/>
    </row>
    <row r="5">
      <c r="A5" s="18">
        <f>СПРАВОЧНИК!$B$35</f>
        <v/>
      </c>
      <c r="B5" s="39" t="n"/>
      <c r="C5" s="39" t="n"/>
      <c r="D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Y5" s="38">
        <f>B5+E5+H5+K5+N5+Q5</f>
        <v/>
      </c>
      <c r="Z5" s="38">
        <f>C5+F5+I5+L5+O5+R5</f>
        <v/>
      </c>
      <c r="AA5" s="38">
        <f>D5+G5+J5+M5+P5+S5</f>
        <v/>
      </c>
    </row>
    <row r="6">
      <c r="A6" s="18">
        <f>A5+7</f>
        <v/>
      </c>
      <c r="B6" s="39" t="n"/>
      <c r="C6" s="39" t="n"/>
      <c r="D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Y6" s="38">
        <f>B6+E6+H6+K6+N6+Q6</f>
        <v/>
      </c>
      <c r="Z6" s="38">
        <f>C6+F6+I6+L6+O6+R6</f>
        <v/>
      </c>
      <c r="AA6" s="38">
        <f>D6+G6+J6+M6+P6+S6</f>
        <v/>
      </c>
    </row>
    <row r="7">
      <c r="A7" s="18">
        <f>A6+7</f>
        <v/>
      </c>
      <c r="B7" s="39" t="n"/>
      <c r="C7" s="39" t="n"/>
      <c r="D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Y7" s="38">
        <f>B7+E7+H7+K7+N7+Q7</f>
        <v/>
      </c>
      <c r="Z7" s="38">
        <f>C7+F7+I7+L7+O7+R7</f>
        <v/>
      </c>
      <c r="AA7" s="38">
        <f>D7+G7+J7+M7+P7+S7</f>
        <v/>
      </c>
    </row>
    <row r="8">
      <c r="A8" s="18">
        <f>A7+7</f>
        <v/>
      </c>
      <c r="B8" s="39" t="n"/>
      <c r="C8" s="39" t="n"/>
      <c r="D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Y8" s="38">
        <f>B8+E8+H8+K8+N8+Q8</f>
        <v/>
      </c>
      <c r="Z8" s="38">
        <f>C8+F8+I8+L8+O8+R8</f>
        <v/>
      </c>
      <c r="AA8" s="38">
        <f>D8+G8+J8+M8+P8+S8</f>
        <v/>
      </c>
    </row>
    <row r="9">
      <c r="A9" s="18">
        <f>A8+7</f>
        <v/>
      </c>
      <c r="B9" s="39" t="n"/>
      <c r="C9" s="39" t="n"/>
      <c r="D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Y9" s="38">
        <f>B9+E9+H9+K9+N9+Q9</f>
        <v/>
      </c>
      <c r="Z9" s="38">
        <f>C9+F9+I9+L9+O9+R9</f>
        <v/>
      </c>
      <c r="AA9" s="38">
        <f>D9+G9+J9+M9+P9+S9</f>
        <v/>
      </c>
    </row>
    <row r="10">
      <c r="A10" s="18">
        <f>A9+7</f>
        <v/>
      </c>
      <c r="B10" s="39" t="n"/>
      <c r="C10" s="39" t="n"/>
      <c r="D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Y10" s="38">
        <f>B10+E10+H10+K10+N10+Q10</f>
        <v/>
      </c>
      <c r="Z10" s="38">
        <f>C10+F10+I10+L10+O10+R10</f>
        <v/>
      </c>
      <c r="AA10" s="38">
        <f>D10+G10+J10+M10+P10+S10</f>
        <v/>
      </c>
    </row>
    <row r="11">
      <c r="A11" s="18">
        <f>A10+7</f>
        <v/>
      </c>
      <c r="B11" s="39" t="n"/>
      <c r="C11" s="39" t="n"/>
      <c r="D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Y11" s="38">
        <f>B11+E11+H11+K11+N11+Q11</f>
        <v/>
      </c>
      <c r="Z11" s="38">
        <f>C11+F11+I11+L11+O11+R11</f>
        <v/>
      </c>
      <c r="AA11" s="38">
        <f>D11+G11+J11+M11+P11+S11</f>
        <v/>
      </c>
    </row>
    <row r="12">
      <c r="A12" s="18">
        <f>A11+7</f>
        <v/>
      </c>
      <c r="B12" s="39" t="n"/>
      <c r="C12" s="39" t="n"/>
      <c r="D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Y12" s="38">
        <f>B12+E12+H12+K12+N12+Q12</f>
        <v/>
      </c>
      <c r="Z12" s="38">
        <f>C12+F12+I12+L12+O12+R12</f>
        <v/>
      </c>
      <c r="AA12" s="38">
        <f>D12+G12+J12+M12+P12+S12</f>
        <v/>
      </c>
    </row>
    <row r="13">
      <c r="A13" s="18">
        <f>A12+7</f>
        <v/>
      </c>
      <c r="B13" s="39" t="n"/>
      <c r="C13" s="39" t="n"/>
      <c r="D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Y13" s="38">
        <f>B13+E13+H13+K13+N13+Q13</f>
        <v/>
      </c>
      <c r="Z13" s="38">
        <f>C13+F13+I13+L13+O13+R13</f>
        <v/>
      </c>
      <c r="AA13" s="38">
        <f>D13+G13+J13+M13+P13+S13</f>
        <v/>
      </c>
    </row>
    <row r="14">
      <c r="A14" s="18">
        <f>A13+7</f>
        <v/>
      </c>
      <c r="B14" s="39" t="n"/>
      <c r="C14" s="39" t="n"/>
      <c r="D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Y14" s="38">
        <f>B14+E14+H14+K14+N14+Q14</f>
        <v/>
      </c>
      <c r="Z14" s="38">
        <f>C14+F14+I14+L14+O14+R14</f>
        <v/>
      </c>
      <c r="AA14" s="38">
        <f>D14+G14+J14+M14+P14+S14</f>
        <v/>
      </c>
    </row>
    <row r="15">
      <c r="A15" s="18">
        <f>A14+7</f>
        <v/>
      </c>
      <c r="B15" s="39" t="n"/>
      <c r="C15" s="39" t="n"/>
      <c r="D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Y15" s="38">
        <f>B15+E15+H15+K15+N15+Q15</f>
        <v/>
      </c>
      <c r="Z15" s="38">
        <f>C15+F15+I15+L15+O15+R15</f>
        <v/>
      </c>
      <c r="AA15" s="38">
        <f>D15+G15+J15+M15+P15+S15</f>
        <v/>
      </c>
    </row>
    <row r="16">
      <c r="A16" s="18">
        <f>A15+7</f>
        <v/>
      </c>
      <c r="B16" s="39" t="n"/>
      <c r="C16" s="39" t="n"/>
      <c r="D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Y16" s="38">
        <f>B16+E16+H16+K16+N16+Q16</f>
        <v/>
      </c>
      <c r="Z16" s="38">
        <f>C16+F16+I16+L16+O16+R16</f>
        <v/>
      </c>
      <c r="AA16" s="38">
        <f>D16+G16+J16+M16+P16+S16</f>
        <v/>
      </c>
    </row>
    <row r="17">
      <c r="A17" s="18">
        <f>A16+7</f>
        <v/>
      </c>
      <c r="B17" s="39" t="n"/>
      <c r="C17" s="39" t="n"/>
      <c r="D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Y17" s="38">
        <f>B17+E17+H17+K17+N17+Q17</f>
        <v/>
      </c>
      <c r="Z17" s="38">
        <f>C17+F17+I17+L17+O17+R17</f>
        <v/>
      </c>
      <c r="AA17" s="38">
        <f>D17+G17+J17+M17+P17+S17</f>
        <v/>
      </c>
    </row>
    <row r="18">
      <c r="A18" s="18">
        <f>A17+7</f>
        <v/>
      </c>
      <c r="B18" s="39" t="n"/>
      <c r="C18" s="39" t="n"/>
      <c r="D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Y18" s="38">
        <f>B18+E18+H18+K18+N18+Q18</f>
        <v/>
      </c>
      <c r="Z18" s="38">
        <f>C18+F18+I18+L18+O18+R18</f>
        <v/>
      </c>
      <c r="AA18" s="38">
        <f>D18+G18+J18+M18+P18+S18</f>
        <v/>
      </c>
    </row>
    <row r="19">
      <c r="A19" s="18">
        <f>A18+7</f>
        <v/>
      </c>
      <c r="B19" s="39" t="n"/>
      <c r="C19" s="39" t="n"/>
      <c r="D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Y19" s="38">
        <f>B19+E19+H19+K19+N19+Q19</f>
        <v/>
      </c>
      <c r="Z19" s="38">
        <f>C19+F19+I19+L19+O19+R19</f>
        <v/>
      </c>
      <c r="AA19" s="38">
        <f>D19+G19+J19+M19+P19+S19</f>
        <v/>
      </c>
    </row>
    <row r="20">
      <c r="A20" s="18">
        <f>A19+7</f>
        <v/>
      </c>
      <c r="B20" s="39" t="n"/>
      <c r="C20" s="39" t="n"/>
      <c r="D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Y20" s="38">
        <f>B20+E20+H20+K20+N20+Q20</f>
        <v/>
      </c>
      <c r="Z20" s="38">
        <f>C20+F20+I20+L20+O20+R20</f>
        <v/>
      </c>
      <c r="AA20" s="38">
        <f>D20+G20+J20+M20+P20+S20</f>
        <v/>
      </c>
    </row>
    <row r="21">
      <c r="A21" s="18">
        <f>A20+7</f>
        <v/>
      </c>
      <c r="B21" s="39" t="n"/>
      <c r="C21" s="39" t="n"/>
      <c r="D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Y21" s="38">
        <f>B21+E21+H21+K21+N21+Q21</f>
        <v/>
      </c>
      <c r="Z21" s="38">
        <f>C21+F21+I21+L21+O21+R21</f>
        <v/>
      </c>
      <c r="AA21" s="38">
        <f>D21+G21+J21+M21+P21+S21</f>
        <v/>
      </c>
    </row>
    <row r="22">
      <c r="A22" s="18">
        <f>A21+7</f>
        <v/>
      </c>
      <c r="B22" s="39" t="n"/>
      <c r="C22" s="39" t="n"/>
      <c r="D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Y22" s="38">
        <f>B22+E22+H22+K22+N22+Q22</f>
        <v/>
      </c>
      <c r="Z22" s="38">
        <f>C22+F22+I22+L22+O22+R22</f>
        <v/>
      </c>
      <c r="AA22" s="38">
        <f>D22+G22+J22+M22+P22+S22</f>
        <v/>
      </c>
    </row>
    <row r="23">
      <c r="A23" s="18">
        <f>A22+7</f>
        <v/>
      </c>
      <c r="B23" s="39" t="n"/>
      <c r="C23" s="39" t="n"/>
      <c r="D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Y23" s="38">
        <f>B23+E23+H23+K23+N23+Q23</f>
        <v/>
      </c>
      <c r="Z23" s="38">
        <f>C23+F23+I23+L23+O23+R23</f>
        <v/>
      </c>
      <c r="AA23" s="38">
        <f>D23+G23+J23+M23+P23+S23</f>
        <v/>
      </c>
    </row>
    <row r="24">
      <c r="A24" s="18">
        <f>A23+7</f>
        <v/>
      </c>
      <c r="B24" s="39" t="n"/>
      <c r="C24" s="39" t="n"/>
      <c r="D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Y24" s="38">
        <f>B24+E24+H24+K24+N24+Q24</f>
        <v/>
      </c>
      <c r="Z24" s="38">
        <f>C24+F24+I24+L24+O24+R24</f>
        <v/>
      </c>
      <c r="AA24" s="38">
        <f>D24+G24+J24+M24+P24+S24</f>
        <v/>
      </c>
    </row>
    <row r="25">
      <c r="A25" s="18">
        <f>A24+7</f>
        <v/>
      </c>
      <c r="B25" s="39" t="n"/>
      <c r="C25" s="39" t="n"/>
      <c r="D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Y25" s="38">
        <f>B25+E25+H25+K25+N25+Q25</f>
        <v/>
      </c>
      <c r="Z25" s="38">
        <f>C25+F25+I25+L25+O25+R25</f>
        <v/>
      </c>
      <c r="AA25" s="38">
        <f>D25+G25+J25+M25+P25+S25</f>
        <v/>
      </c>
    </row>
    <row r="26">
      <c r="A26" s="18">
        <f>A25+7</f>
        <v/>
      </c>
      <c r="B26" s="39" t="n"/>
      <c r="C26" s="39" t="n"/>
      <c r="D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Y26" s="38">
        <f>B26+E26+H26+K26+N26+Q26</f>
        <v/>
      </c>
      <c r="Z26" s="38">
        <f>C26+F26+I26+L26+O26+R26</f>
        <v/>
      </c>
      <c r="AA26" s="38">
        <f>D26+G26+J26+M26+P26+S26</f>
        <v/>
      </c>
    </row>
    <row r="27">
      <c r="A27" s="18">
        <f>A26+7</f>
        <v/>
      </c>
      <c r="B27" s="39" t="n"/>
      <c r="C27" s="39" t="n"/>
      <c r="D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Y27" s="38">
        <f>B27+E27+H27+K27+N27+Q27</f>
        <v/>
      </c>
      <c r="Z27" s="38">
        <f>C27+F27+I27+L27+O27+R27</f>
        <v/>
      </c>
      <c r="AA27" s="38">
        <f>D27+G27+J27+M27+P27+S27</f>
        <v/>
      </c>
    </row>
    <row r="28">
      <c r="A28" s="18">
        <f>A27+7</f>
        <v/>
      </c>
      <c r="B28" s="39" t="n"/>
      <c r="C28" s="39" t="n"/>
      <c r="D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Y28" s="38">
        <f>B28+E28+H28+K28+N28+Q28</f>
        <v/>
      </c>
      <c r="Z28" s="38">
        <f>C28+F28+I28+L28+O28+R28</f>
        <v/>
      </c>
      <c r="AA28" s="38">
        <f>D28+G28+J28+M28+P28+S28</f>
        <v/>
      </c>
    </row>
    <row r="29">
      <c r="A29" s="18">
        <f>A28+7</f>
        <v/>
      </c>
      <c r="B29" s="39" t="n"/>
      <c r="C29" s="39" t="n"/>
      <c r="D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Y29" s="38">
        <f>B29+E29+H29+K29+N29+Q29</f>
        <v/>
      </c>
      <c r="Z29" s="38">
        <f>C29+F29+I29+L29+O29+R29</f>
        <v/>
      </c>
      <c r="AA29" s="38">
        <f>D29+G29+J29+M29+P29+S29</f>
        <v/>
      </c>
    </row>
    <row r="30">
      <c r="A30" s="18">
        <f>A29+7</f>
        <v/>
      </c>
      <c r="B30" s="39" t="n"/>
      <c r="C30" s="39" t="n"/>
      <c r="D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Y30" s="38">
        <f>B30+E30+H30+K30+N30+Q30</f>
        <v/>
      </c>
      <c r="Z30" s="38">
        <f>C30+F30+I30+L30+O30+R30</f>
        <v/>
      </c>
      <c r="AA30" s="38">
        <f>D30+G30+J30+M30+P30+S30</f>
        <v/>
      </c>
    </row>
    <row r="31">
      <c r="A31" s="18">
        <f>A30+7</f>
        <v/>
      </c>
      <c r="B31" s="39" t="n"/>
      <c r="C31" s="39" t="n"/>
      <c r="D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Y31" s="38">
        <f>B31+E31+H31+K31+N31+Q31</f>
        <v/>
      </c>
      <c r="Z31" s="38">
        <f>C31+F31+I31+L31+O31+R31</f>
        <v/>
      </c>
      <c r="AA31" s="38">
        <f>D31+G31+J31+M31+P31+S31</f>
        <v/>
      </c>
    </row>
    <row r="32">
      <c r="A32" s="18">
        <f>A31+7</f>
        <v/>
      </c>
      <c r="B32" s="39" t="n"/>
      <c r="C32" s="39" t="n"/>
      <c r="D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Y32" s="38">
        <f>B32+E32+H32+K32+N32+Q32</f>
        <v/>
      </c>
      <c r="Z32" s="38">
        <f>C32+F32+I32+L32+O32+R32</f>
        <v/>
      </c>
      <c r="AA32" s="38">
        <f>D32+G32+J32+M32+P32+S32</f>
        <v/>
      </c>
    </row>
    <row r="33">
      <c r="A33" s="18">
        <f>A32+7</f>
        <v/>
      </c>
      <c r="B33" s="39" t="n"/>
      <c r="C33" s="39" t="n"/>
      <c r="D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Y33" s="38">
        <f>B33+E33+H33+K33+N33+Q33</f>
        <v/>
      </c>
      <c r="Z33" s="38">
        <f>C33+F33+I33+L33+O33+R33</f>
        <v/>
      </c>
      <c r="AA33" s="38">
        <f>D33+G33+J33+M33+P33+S33</f>
        <v/>
      </c>
    </row>
    <row r="34">
      <c r="A34" s="18">
        <f>A33+7</f>
        <v/>
      </c>
      <c r="B34" s="39" t="n"/>
      <c r="C34" s="39" t="n"/>
      <c r="D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Y34" s="38">
        <f>B34+E34+H34+K34+N34+Q34</f>
        <v/>
      </c>
      <c r="Z34" s="38">
        <f>C34+F34+I34+L34+O34+R34</f>
        <v/>
      </c>
      <c r="AA34" s="38">
        <f>D34+G34+J34+M34+P34+S34</f>
        <v/>
      </c>
    </row>
    <row r="35">
      <c r="A35" s="18">
        <f>A34+7</f>
        <v/>
      </c>
      <c r="B35" s="39" t="n"/>
      <c r="C35" s="39" t="n"/>
      <c r="D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Y35" s="38">
        <f>B35+E35+H35+K35+N35+Q35</f>
        <v/>
      </c>
      <c r="Z35" s="38">
        <f>C35+F35+I35+L35+O35+R35</f>
        <v/>
      </c>
      <c r="AA35" s="38">
        <f>D35+G35+J35+M35+P35+S35</f>
        <v/>
      </c>
    </row>
    <row r="36">
      <c r="A36" s="18">
        <f>A35+7</f>
        <v/>
      </c>
      <c r="B36" s="39" t="n"/>
      <c r="C36" s="39" t="n"/>
      <c r="D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Y36" s="38">
        <f>B36+E36+H36+K36+N36+Q36</f>
        <v/>
      </c>
      <c r="Z36" s="38">
        <f>C36+F36+I36+L36+O36+R36</f>
        <v/>
      </c>
      <c r="AA36" s="38">
        <f>D36+G36+J36+M36+P36+S36</f>
        <v/>
      </c>
    </row>
    <row r="37">
      <c r="A37" s="18">
        <f>A36+7</f>
        <v/>
      </c>
      <c r="B37" s="39" t="n"/>
      <c r="C37" s="39" t="n"/>
      <c r="D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Y37" s="38">
        <f>B37+E37+H37+K37+N37+Q37</f>
        <v/>
      </c>
      <c r="Z37" s="38">
        <f>C37+F37+I37+L37+O37+R37</f>
        <v/>
      </c>
      <c r="AA37" s="38">
        <f>D37+G37+J37+M37+P37+S37</f>
        <v/>
      </c>
    </row>
    <row r="38">
      <c r="A38" s="18">
        <f>A37+7</f>
        <v/>
      </c>
      <c r="B38" s="39" t="n"/>
      <c r="C38" s="39" t="n"/>
      <c r="D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Y38" s="38">
        <f>B38+E38+H38+K38+N38+Q38</f>
        <v/>
      </c>
      <c r="Z38" s="38">
        <f>C38+F38+I38+L38+O38+R38</f>
        <v/>
      </c>
      <c r="AA38" s="38">
        <f>D38+G38+J38+M38+P38+S38</f>
        <v/>
      </c>
    </row>
    <row r="39">
      <c r="A39" s="18">
        <f>A38+7</f>
        <v/>
      </c>
      <c r="B39" s="39" t="n"/>
      <c r="C39" s="39" t="n"/>
      <c r="D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Y39" s="38">
        <f>B39+E39+H39+K39+N39+Q39</f>
        <v/>
      </c>
      <c r="Z39" s="38">
        <f>C39+F39+I39+L39+O39+R39</f>
        <v/>
      </c>
      <c r="AA39" s="38">
        <f>D39+G39+J39+M39+P39+S39</f>
        <v/>
      </c>
    </row>
    <row r="40">
      <c r="A40" s="18">
        <f>A39+7</f>
        <v/>
      </c>
      <c r="B40" s="39" t="n"/>
      <c r="C40" s="39" t="n"/>
      <c r="D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Y40" s="38">
        <f>B40+E40+H40+K40+N40+Q40</f>
        <v/>
      </c>
      <c r="Z40" s="38">
        <f>C40+F40+I40+L40+O40+R40</f>
        <v/>
      </c>
      <c r="AA40" s="38">
        <f>D40+G40+J40+M40+P40+S40</f>
        <v/>
      </c>
    </row>
    <row r="41">
      <c r="A41" s="18">
        <f>A40+7</f>
        <v/>
      </c>
      <c r="B41" s="39" t="n"/>
      <c r="C41" s="39" t="n"/>
      <c r="D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Y41" s="38">
        <f>B41+E41+H41+K41+N41+Q41</f>
        <v/>
      </c>
      <c r="Z41" s="38">
        <f>C41+F41+I41+L41+O41+R41</f>
        <v/>
      </c>
      <c r="AA41" s="38">
        <f>D41+G41+J41+M41+P41+S41</f>
        <v/>
      </c>
    </row>
    <row r="42">
      <c r="A42" s="18">
        <f>A41+7</f>
        <v/>
      </c>
      <c r="B42" s="39" t="n"/>
      <c r="C42" s="39" t="n"/>
      <c r="D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Y42" s="38">
        <f>B42+E42+H42+K42+N42+Q42</f>
        <v/>
      </c>
      <c r="Z42" s="38">
        <f>C42+F42+I42+L42+O42+R42</f>
        <v/>
      </c>
      <c r="AA42" s="38">
        <f>D42+G42+J42+M42+P42+S42</f>
        <v/>
      </c>
    </row>
    <row r="43">
      <c r="A43" s="18">
        <f>A42+7</f>
        <v/>
      </c>
      <c r="B43" s="39" t="n"/>
      <c r="C43" s="39" t="n"/>
      <c r="D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Y43" s="38">
        <f>B43+E43+H43+K43+N43+Q43</f>
        <v/>
      </c>
      <c r="Z43" s="38">
        <f>C43+F43+I43+L43+O43+R43</f>
        <v/>
      </c>
      <c r="AA43" s="38">
        <f>D43+G43+J43+M43+P43+S43</f>
        <v/>
      </c>
    </row>
    <row r="44">
      <c r="A44" s="18">
        <f>A43+7</f>
        <v/>
      </c>
      <c r="B44" s="39" t="n"/>
      <c r="C44" s="39" t="n"/>
      <c r="D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Y44" s="38">
        <f>B44+E44+H44+K44+N44+Q44</f>
        <v/>
      </c>
      <c r="Z44" s="38">
        <f>C44+F44+I44+L44+O44+R44</f>
        <v/>
      </c>
      <c r="AA44" s="38">
        <f>D44+G44+J44+M44+P44+S44</f>
        <v/>
      </c>
    </row>
    <row r="45">
      <c r="A45" s="18">
        <f>A44+7</f>
        <v/>
      </c>
      <c r="B45" s="39" t="n"/>
      <c r="C45" s="39" t="n"/>
      <c r="D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Y45" s="38">
        <f>B45+E45+H45+K45+N45+Q45</f>
        <v/>
      </c>
      <c r="Z45" s="38">
        <f>C45+F45+I45+L45+O45+R45</f>
        <v/>
      </c>
      <c r="AA45" s="38">
        <f>D45+G45+J45+M45+P45+S45</f>
        <v/>
      </c>
    </row>
    <row r="46">
      <c r="A46" s="18">
        <f>A45+7</f>
        <v/>
      </c>
      <c r="B46" s="39" t="n"/>
      <c r="C46" s="39" t="n"/>
      <c r="D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Y46" s="38">
        <f>B46+E46+H46+K46+N46+Q46</f>
        <v/>
      </c>
      <c r="Z46" s="38">
        <f>C46+F46+I46+L46+O46+R46</f>
        <v/>
      </c>
      <c r="AA46" s="38">
        <f>D46+G46+J46+M46+P46+S46</f>
        <v/>
      </c>
    </row>
    <row r="47">
      <c r="A47" s="18">
        <f>A46+7</f>
        <v/>
      </c>
      <c r="B47" s="39" t="n"/>
      <c r="C47" s="39" t="n"/>
      <c r="D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Y47" s="38">
        <f>B47+E47+H47+K47+N47+Q47</f>
        <v/>
      </c>
      <c r="Z47" s="38">
        <f>C47+F47+I47+L47+O47+R47</f>
        <v/>
      </c>
      <c r="AA47" s="38">
        <f>D47+G47+J47+M47+P47+S47</f>
        <v/>
      </c>
    </row>
    <row r="48">
      <c r="A48" s="18">
        <f>A47+7</f>
        <v/>
      </c>
      <c r="B48" s="39" t="n"/>
      <c r="C48" s="39" t="n"/>
      <c r="D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Y48" s="38">
        <f>B48+E48+H48+K48+N48+Q48</f>
        <v/>
      </c>
      <c r="Z48" s="38">
        <f>C48+F48+I48+L48+O48+R48</f>
        <v/>
      </c>
      <c r="AA48" s="38">
        <f>D48+G48+J48+M48+P48+S48</f>
        <v/>
      </c>
    </row>
    <row r="49">
      <c r="A49" s="18">
        <f>A48+7</f>
        <v/>
      </c>
      <c r="B49" s="39" t="n"/>
      <c r="C49" s="39" t="n"/>
      <c r="D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Y49" s="38">
        <f>B49+E49+H49+K49+N49+Q49</f>
        <v/>
      </c>
      <c r="Z49" s="38">
        <f>C49+F49+I49+L49+O49+R49</f>
        <v/>
      </c>
      <c r="AA49" s="38">
        <f>D49+G49+J49+M49+P49+S49</f>
        <v/>
      </c>
    </row>
    <row r="50">
      <c r="A50" s="18">
        <f>A49+7</f>
        <v/>
      </c>
      <c r="B50" s="39" t="n"/>
      <c r="C50" s="39" t="n"/>
      <c r="D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Y50" s="38">
        <f>B50+E50+H50+K50+N50+Q50</f>
        <v/>
      </c>
      <c r="Z50" s="38">
        <f>C50+F50+I50+L50+O50+R50</f>
        <v/>
      </c>
      <c r="AA50" s="38">
        <f>D50+G50+J50+M50+P50+S50</f>
        <v/>
      </c>
    </row>
    <row r="51">
      <c r="A51" s="18">
        <f>A50+7</f>
        <v/>
      </c>
      <c r="B51" s="39" t="n"/>
      <c r="C51" s="39" t="n"/>
      <c r="D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Y51" s="38">
        <f>B51+E51+H51+K51+N51+Q51</f>
        <v/>
      </c>
      <c r="Z51" s="38">
        <f>C51+F51+I51+L51+O51+R51</f>
        <v/>
      </c>
      <c r="AA51" s="38">
        <f>D51+G51+J51+M51+P51+S51</f>
        <v/>
      </c>
    </row>
    <row r="52">
      <c r="A52" s="18">
        <f>A51+7</f>
        <v/>
      </c>
      <c r="B52" s="39" t="n"/>
      <c r="C52" s="39" t="n"/>
      <c r="D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Y52" s="38">
        <f>B52+E52+H52+K52+N52+Q52</f>
        <v/>
      </c>
      <c r="Z52" s="38">
        <f>C52+F52+I52+L52+O52+R52</f>
        <v/>
      </c>
      <c r="AA52" s="38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13" sqref="H13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ФАКТ ЧЕРН К1</t>
        </is>
      </c>
      <c r="X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13" activePane="bottomRight" state="frozen"/>
      <selection pane="topRight" activeCell="A1" sqref="A1"/>
      <selection pane="bottomLeft" activeCell="A1" sqref="A1"/>
      <selection pane="bottomRight" activeCell="A20" sqref="A20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ФАКТ ЧИСТ К1</t>
        </is>
      </c>
      <c r="AB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X5" s="39" t="n"/>
      <c r="Y5" s="39" t="n"/>
      <c r="Z5" s="39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X6" s="39" t="n"/>
      <c r="Y6" s="39" t="n"/>
      <c r="Z6" s="39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X7" s="39" t="n"/>
      <c r="Y7" s="39" t="n"/>
      <c r="Z7" s="39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X8" s="39" t="n"/>
      <c r="Y8" s="39" t="n"/>
      <c r="Z8" s="39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X9" s="39" t="n"/>
      <c r="Y9" s="39" t="n"/>
      <c r="Z9" s="39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X10" s="39" t="n"/>
      <c r="Y10" s="39" t="n"/>
      <c r="Z10" s="39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X11" s="39" t="n"/>
      <c r="Y11" s="39" t="n"/>
      <c r="Z11" s="39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X12" s="39" t="n"/>
      <c r="Y12" s="39" t="n"/>
      <c r="Z12" s="39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X13" s="39" t="n"/>
      <c r="Y13" s="39" t="n"/>
      <c r="Z13" s="39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X14" s="39" t="n"/>
      <c r="Y14" s="39" t="n"/>
      <c r="Z14" s="39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X15" s="39" t="n"/>
      <c r="Y15" s="39" t="n"/>
      <c r="Z15" s="39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X16" s="39" t="n"/>
      <c r="Y16" s="39" t="n"/>
      <c r="Z16" s="39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X17" s="39" t="n"/>
      <c r="Y17" s="39" t="n"/>
      <c r="Z17" s="39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X18" s="39" t="n"/>
      <c r="Y18" s="39" t="n"/>
      <c r="Z18" s="39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X19" s="39" t="n"/>
      <c r="Y19" s="39" t="n"/>
      <c r="Z19" s="39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X20" s="39" t="n"/>
      <c r="Y20" s="39" t="n"/>
      <c r="Z20" s="39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X21" s="39" t="n"/>
      <c r="Y21" s="39" t="n"/>
      <c r="Z21" s="39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X22" s="39" t="n"/>
      <c r="Y22" s="39" t="n"/>
      <c r="Z22" s="39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X23" s="39" t="n"/>
      <c r="Y23" s="39" t="n"/>
      <c r="Z23" s="39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X24" s="39" t="n"/>
      <c r="Y24" s="39" t="n"/>
      <c r="Z24" s="39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X25" s="39" t="n"/>
      <c r="Y25" s="39" t="n"/>
      <c r="Z25" s="39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X26" s="39" t="n"/>
      <c r="Y26" s="39" t="n"/>
      <c r="Z26" s="39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X27" s="39" t="n"/>
      <c r="Y27" s="39" t="n"/>
      <c r="Z27" s="39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X28" s="39" t="n"/>
      <c r="Y28" s="39" t="n"/>
      <c r="Z28" s="39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X29" s="39" t="n"/>
      <c r="Y29" s="39" t="n"/>
      <c r="Z29" s="39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X30" s="39" t="n"/>
      <c r="Y30" s="39" t="n"/>
      <c r="Z30" s="39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X31" s="39" t="n"/>
      <c r="Y31" s="39" t="n"/>
      <c r="Z31" s="39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X32" s="39" t="n"/>
      <c r="Y32" s="39" t="n"/>
      <c r="Z32" s="39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X33" s="39" t="n"/>
      <c r="Y33" s="39" t="n"/>
      <c r="Z33" s="39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X34" s="39" t="n"/>
      <c r="Y34" s="39" t="n"/>
      <c r="Z34" s="39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X35" s="39" t="n"/>
      <c r="Y35" s="39" t="n"/>
      <c r="Z35" s="39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X36" s="39" t="n"/>
      <c r="Y36" s="39" t="n"/>
      <c r="Z36" s="39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X37" s="39" t="n"/>
      <c r="Y37" s="39" t="n"/>
      <c r="Z37" s="39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X38" s="39" t="n"/>
      <c r="Y38" s="39" t="n"/>
      <c r="Z38" s="39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X39" s="39" t="n"/>
      <c r="Y39" s="39" t="n"/>
      <c r="Z39" s="39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X40" s="39" t="n"/>
      <c r="Y40" s="39" t="n"/>
      <c r="Z40" s="39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X41" s="39" t="n"/>
      <c r="Y41" s="39" t="n"/>
      <c r="Z41" s="39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X42" s="39" t="n"/>
      <c r="Y42" s="39" t="n"/>
      <c r="Z42" s="39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X43" s="39" t="n"/>
      <c r="Y43" s="39" t="n"/>
      <c r="Z43" s="39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X44" s="39" t="n"/>
      <c r="Y44" s="39" t="n"/>
      <c r="Z44" s="39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X45" s="39" t="n"/>
      <c r="Y45" s="39" t="n"/>
      <c r="Z45" s="39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X46" s="39" t="n"/>
      <c r="Y46" s="39" t="n"/>
      <c r="Z46" s="39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X47" s="39" t="n"/>
      <c r="Y47" s="39" t="n"/>
      <c r="Z47" s="39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X48" s="39" t="n"/>
      <c r="Y48" s="39" t="n"/>
      <c r="Z48" s="39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X49" s="39" t="n"/>
      <c r="Y49" s="39" t="n"/>
      <c r="Z49" s="39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X50" s="39" t="n"/>
      <c r="Y50" s="39" t="n"/>
      <c r="Z50" s="39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X51" s="39" t="n"/>
      <c r="Y51" s="39" t="n"/>
      <c r="Z51" s="39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X52" s="39" t="n"/>
      <c r="Y52" s="39" t="n"/>
      <c r="Z52" s="39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ФАКТ ЧЕРН К2</t>
        </is>
      </c>
      <c r="X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ФАКТ ЧИСТ К2</t>
        </is>
      </c>
      <c r="AB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X5" s="39" t="n"/>
      <c r="Y5" s="39" t="n"/>
      <c r="Z5" s="39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X6" s="39" t="n"/>
      <c r="Y6" s="39" t="n"/>
      <c r="Z6" s="39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X7" s="39" t="n"/>
      <c r="Y7" s="39" t="n"/>
      <c r="Z7" s="39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X8" s="39" t="n"/>
      <c r="Y8" s="39" t="n"/>
      <c r="Z8" s="39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X9" s="39" t="n"/>
      <c r="Y9" s="39" t="n"/>
      <c r="Z9" s="39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X10" s="39" t="n"/>
      <c r="Y10" s="39" t="n"/>
      <c r="Z10" s="39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X11" s="39" t="n"/>
      <c r="Y11" s="39" t="n"/>
      <c r="Z11" s="39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X12" s="39" t="n"/>
      <c r="Y12" s="39" t="n"/>
      <c r="Z12" s="39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X13" s="39" t="n"/>
      <c r="Y13" s="39" t="n"/>
      <c r="Z13" s="39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X14" s="39" t="n"/>
      <c r="Y14" s="39" t="n"/>
      <c r="Z14" s="39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X15" s="39" t="n"/>
      <c r="Y15" s="39" t="n"/>
      <c r="Z15" s="39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X16" s="39" t="n"/>
      <c r="Y16" s="39" t="n"/>
      <c r="Z16" s="39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X17" s="39" t="n"/>
      <c r="Y17" s="39" t="n"/>
      <c r="Z17" s="39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X18" s="39" t="n"/>
      <c r="Y18" s="39" t="n"/>
      <c r="Z18" s="39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X19" s="39" t="n"/>
      <c r="Y19" s="39" t="n"/>
      <c r="Z19" s="39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X20" s="39" t="n"/>
      <c r="Y20" s="39" t="n"/>
      <c r="Z20" s="39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X21" s="39" t="n"/>
      <c r="Y21" s="39" t="n"/>
      <c r="Z21" s="39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X22" s="39" t="n"/>
      <c r="Y22" s="39" t="n"/>
      <c r="Z22" s="39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X23" s="39" t="n"/>
      <c r="Y23" s="39" t="n"/>
      <c r="Z23" s="39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X24" s="39" t="n"/>
      <c r="Y24" s="39" t="n"/>
      <c r="Z24" s="39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X25" s="39" t="n"/>
      <c r="Y25" s="39" t="n"/>
      <c r="Z25" s="39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X26" s="39" t="n"/>
      <c r="Y26" s="39" t="n"/>
      <c r="Z26" s="39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X27" s="39" t="n"/>
      <c r="Y27" s="39" t="n"/>
      <c r="Z27" s="39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X28" s="39" t="n"/>
      <c r="Y28" s="39" t="n"/>
      <c r="Z28" s="39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X29" s="39" t="n"/>
      <c r="Y29" s="39" t="n"/>
      <c r="Z29" s="39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X30" s="39" t="n"/>
      <c r="Y30" s="39" t="n"/>
      <c r="Z30" s="39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X31" s="39" t="n"/>
      <c r="Y31" s="39" t="n"/>
      <c r="Z31" s="39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X32" s="39" t="n"/>
      <c r="Y32" s="39" t="n"/>
      <c r="Z32" s="39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X33" s="39" t="n"/>
      <c r="Y33" s="39" t="n"/>
      <c r="Z33" s="39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X34" s="39" t="n"/>
      <c r="Y34" s="39" t="n"/>
      <c r="Z34" s="39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X35" s="39" t="n"/>
      <c r="Y35" s="39" t="n"/>
      <c r="Z35" s="39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X36" s="39" t="n"/>
      <c r="Y36" s="39" t="n"/>
      <c r="Z36" s="39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X37" s="39" t="n"/>
      <c r="Y37" s="39" t="n"/>
      <c r="Z37" s="39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X38" s="39" t="n"/>
      <c r="Y38" s="39" t="n"/>
      <c r="Z38" s="39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X39" s="39" t="n"/>
      <c r="Y39" s="39" t="n"/>
      <c r="Z39" s="39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X40" s="39" t="n"/>
      <c r="Y40" s="39" t="n"/>
      <c r="Z40" s="39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X41" s="39" t="n"/>
      <c r="Y41" s="39" t="n"/>
      <c r="Z41" s="39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X42" s="39" t="n"/>
      <c r="Y42" s="39" t="n"/>
      <c r="Z42" s="39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X43" s="39" t="n"/>
      <c r="Y43" s="39" t="n"/>
      <c r="Z43" s="39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X44" s="39" t="n"/>
      <c r="Y44" s="39" t="n"/>
      <c r="Z44" s="39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X45" s="39" t="n"/>
      <c r="Y45" s="39" t="n"/>
      <c r="Z45" s="39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X46" s="39" t="n"/>
      <c r="Y46" s="39" t="n"/>
      <c r="Z46" s="39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X47" s="39" t="n"/>
      <c r="Y47" s="39" t="n"/>
      <c r="Z47" s="39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X48" s="39" t="n"/>
      <c r="Y48" s="39" t="n"/>
      <c r="Z48" s="39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X49" s="39" t="n"/>
      <c r="Y49" s="39" t="n"/>
      <c r="Z49" s="39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X50" s="39" t="n"/>
      <c r="Y50" s="39" t="n"/>
      <c r="Z50" s="39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X51" s="39" t="n"/>
      <c r="Y51" s="39" t="n"/>
      <c r="Z51" s="39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X52" s="39" t="n"/>
      <c r="Y52" s="39" t="n"/>
      <c r="Z52" s="39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ФАКТ ЧЕРН К3</t>
        </is>
      </c>
      <c r="X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ФАКТ ЧИСТ К3</t>
        </is>
      </c>
      <c r="AB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8" t="n"/>
      <c r="W2" s="79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X5" s="39" t="n"/>
      <c r="Y5" s="39" t="n"/>
      <c r="Z5" s="39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X6" s="39" t="n"/>
      <c r="Y6" s="39" t="n"/>
      <c r="Z6" s="39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X7" s="39" t="n"/>
      <c r="Y7" s="39" t="n"/>
      <c r="Z7" s="39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X8" s="39" t="n"/>
      <c r="Y8" s="39" t="n"/>
      <c r="Z8" s="39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X9" s="39" t="n"/>
      <c r="Y9" s="39" t="n"/>
      <c r="Z9" s="39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X10" s="39" t="n"/>
      <c r="Y10" s="39" t="n"/>
      <c r="Z10" s="39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X11" s="39" t="n"/>
      <c r="Y11" s="39" t="n"/>
      <c r="Z11" s="39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X12" s="39" t="n"/>
      <c r="Y12" s="39" t="n"/>
      <c r="Z12" s="39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X13" s="39" t="n"/>
      <c r="Y13" s="39" t="n"/>
      <c r="Z13" s="39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X14" s="39" t="n"/>
      <c r="Y14" s="39" t="n"/>
      <c r="Z14" s="39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X15" s="39" t="n"/>
      <c r="Y15" s="39" t="n"/>
      <c r="Z15" s="39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X16" s="39" t="n"/>
      <c r="Y16" s="39" t="n"/>
      <c r="Z16" s="39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X17" s="39" t="n"/>
      <c r="Y17" s="39" t="n"/>
      <c r="Z17" s="39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X18" s="39" t="n"/>
      <c r="Y18" s="39" t="n"/>
      <c r="Z18" s="39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X19" s="39" t="n"/>
      <c r="Y19" s="39" t="n"/>
      <c r="Z19" s="39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X20" s="39" t="n"/>
      <c r="Y20" s="39" t="n"/>
      <c r="Z20" s="39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X21" s="39" t="n"/>
      <c r="Y21" s="39" t="n"/>
      <c r="Z21" s="39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X22" s="39" t="n"/>
      <c r="Y22" s="39" t="n"/>
      <c r="Z22" s="39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X23" s="39" t="n"/>
      <c r="Y23" s="39" t="n"/>
      <c r="Z23" s="39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X24" s="39" t="n"/>
      <c r="Y24" s="39" t="n"/>
      <c r="Z24" s="39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X25" s="39" t="n"/>
      <c r="Y25" s="39" t="n"/>
      <c r="Z25" s="39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X26" s="39" t="n"/>
      <c r="Y26" s="39" t="n"/>
      <c r="Z26" s="39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X27" s="39" t="n"/>
      <c r="Y27" s="39" t="n"/>
      <c r="Z27" s="39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X28" s="39" t="n"/>
      <c r="Y28" s="39" t="n"/>
      <c r="Z28" s="39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X29" s="39" t="n"/>
      <c r="Y29" s="39" t="n"/>
      <c r="Z29" s="39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X30" s="39" t="n"/>
      <c r="Y30" s="39" t="n"/>
      <c r="Z30" s="39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X31" s="39" t="n"/>
      <c r="Y31" s="39" t="n"/>
      <c r="Z31" s="39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X32" s="39" t="n"/>
      <c r="Y32" s="39" t="n"/>
      <c r="Z32" s="39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X33" s="39" t="n"/>
      <c r="Y33" s="39" t="n"/>
      <c r="Z33" s="39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X34" s="39" t="n"/>
      <c r="Y34" s="39" t="n"/>
      <c r="Z34" s="39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X35" s="39" t="n"/>
      <c r="Y35" s="39" t="n"/>
      <c r="Z35" s="39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X36" s="39" t="n"/>
      <c r="Y36" s="39" t="n"/>
      <c r="Z36" s="39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X37" s="39" t="n"/>
      <c r="Y37" s="39" t="n"/>
      <c r="Z37" s="39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X38" s="39" t="n"/>
      <c r="Y38" s="39" t="n"/>
      <c r="Z38" s="39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X39" s="39" t="n"/>
      <c r="Y39" s="39" t="n"/>
      <c r="Z39" s="39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X40" s="39" t="n"/>
      <c r="Y40" s="39" t="n"/>
      <c r="Z40" s="39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X41" s="39" t="n"/>
      <c r="Y41" s="39" t="n"/>
      <c r="Z41" s="39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X42" s="39" t="n"/>
      <c r="Y42" s="39" t="n"/>
      <c r="Z42" s="39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X43" s="39" t="n"/>
      <c r="Y43" s="39" t="n"/>
      <c r="Z43" s="39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X44" s="39" t="n"/>
      <c r="Y44" s="39" t="n"/>
      <c r="Z44" s="39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X45" s="39" t="n"/>
      <c r="Y45" s="39" t="n"/>
      <c r="Z45" s="39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X46" s="39" t="n"/>
      <c r="Y46" s="39" t="n"/>
      <c r="Z46" s="39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X47" s="39" t="n"/>
      <c r="Y47" s="39" t="n"/>
      <c r="Z47" s="39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X48" s="39" t="n"/>
      <c r="Y48" s="39" t="n"/>
      <c r="Z48" s="39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X49" s="39" t="n"/>
      <c r="Y49" s="39" t="n"/>
      <c r="Z49" s="39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X50" s="39" t="n"/>
      <c r="Y50" s="39" t="n"/>
      <c r="Z50" s="39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X51" s="39" t="n"/>
      <c r="Y51" s="39" t="n"/>
      <c r="Z51" s="39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X52" s="39" t="n"/>
      <c r="Y52" s="39" t="n"/>
      <c r="Z52" s="39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7030A0"/>
    <outlinePr summaryBelow="1" summaryRight="1"/>
    <pageSetUpPr/>
  </sheetPr>
  <dimension ref="A1:I336"/>
  <sheetViews>
    <sheetView workbookViewId="0">
      <pane ySplit="3" topLeftCell="A4" activePane="bottomLeft" state="frozen"/>
      <selection pane="bottomLeft" activeCell="A1" sqref="A1:I1"/>
    </sheetView>
  </sheetViews>
  <sheetFormatPr baseColWidth="8" defaultRowHeight="15"/>
  <cols>
    <col width="8" customWidth="1" style="74" min="1" max="1"/>
    <col width="52" customWidth="1" style="74" min="2" max="2"/>
    <col width="12" customWidth="1" style="74" min="3" max="3"/>
    <col width="14" customWidth="1" style="74" min="4" max="9"/>
  </cols>
  <sheetData>
    <row r="1">
      <c r="A1" s="73" t="inlineStr">
        <is>
          <t>ОТЧЁТ ПО ОТДЕЛОЧНЫМ РАБОТАМ</t>
        </is>
      </c>
    </row>
    <row r="2">
      <c r="A2" s="84" t="inlineStr">
        <is>
          <t>⚠ Автоматический. Не вносите данные напрямую.</t>
        </is>
      </c>
    </row>
    <row r="3"/>
    <row r="4">
      <c r="A4" s="75" t="inlineStr">
        <is>
          <t>ПОДЗЕМНАЯ ЧАСТЬ</t>
        </is>
      </c>
    </row>
    <row r="5">
      <c r="A5" s="81" t="inlineStr">
        <is>
          <t>Код</t>
        </is>
      </c>
      <c r="B5" s="81" t="inlineStr">
        <is>
          <t>Название</t>
        </is>
      </c>
      <c r="C5" s="81" t="inlineStr">
        <is>
          <t>Тип</t>
        </is>
      </c>
      <c r="D5" s="81" t="inlineStr">
        <is>
          <t>Вес ур.4</t>
        </is>
      </c>
      <c r="E5" s="81" t="inlineStr">
        <is>
          <t>Вес ур.5</t>
        </is>
      </c>
      <c r="F5" s="81" t="inlineStr">
        <is>
          <t>План м²</t>
        </is>
      </c>
      <c r="G5" s="81" t="inlineStr">
        <is>
          <t>Факт м²</t>
        </is>
      </c>
      <c r="H5" s="81" t="inlineStr">
        <is>
          <t>Факт %</t>
        </is>
      </c>
      <c r="I5" s="81" t="inlineStr">
        <is>
          <t>Взвеш. %</t>
        </is>
      </c>
    </row>
    <row r="6">
      <c r="A6" s="8" t="inlineStr">
        <is>
          <t>8.1.1</t>
        </is>
      </c>
      <c r="B6" s="16">
        <f>СПРАВОЧНИК!C3</f>
        <v/>
      </c>
      <c r="C6" s="9" t="inlineStr">
        <is>
          <t>Главная</t>
        </is>
      </c>
      <c r="D6" s="9" t="n"/>
      <c r="E6" s="9" t="n"/>
      <c r="F6" s="3">
        <f>СПРАВОЧНИК!B3</f>
        <v/>
      </c>
      <c r="G6" s="40">
        <f>G7*D7+G11*D11</f>
        <v/>
      </c>
      <c r="H6" s="6">
        <f>IF(F6=0,0,G6/F6)</f>
        <v/>
      </c>
      <c r="I6" s="6">
        <f>I7+I11</f>
        <v/>
      </c>
    </row>
    <row r="7">
      <c r="A7" s="9" t="n"/>
      <c r="B7" s="41" t="inlineStr">
        <is>
          <t xml:space="preserve">  Черновая</t>
        </is>
      </c>
      <c r="C7" s="9" t="inlineStr">
        <is>
          <t>Категория</t>
        </is>
      </c>
      <c r="D7" s="42">
        <f>СПРАВОЧНИК!E3</f>
        <v/>
      </c>
      <c r="E7" s="9" t="n"/>
      <c r="F7" s="3">
        <f>F6</f>
        <v/>
      </c>
      <c r="G7" s="40">
        <f>G8*E8+G9*E9+G10*E10</f>
        <v/>
      </c>
      <c r="H7" s="6">
        <f>IF(F7=0,0,G7/F7)</f>
        <v/>
      </c>
      <c r="I7" s="6">
        <f>H7*D7</f>
        <v/>
      </c>
    </row>
    <row r="8">
      <c r="A8" s="9" t="n"/>
      <c r="B8" s="43" t="inlineStr">
        <is>
          <t xml:space="preserve">   Пол</t>
        </is>
      </c>
      <c r="C8" s="9" t="inlineStr">
        <is>
          <t>Вид</t>
        </is>
      </c>
      <c r="D8" s="9" t="n"/>
      <c r="E8" s="42">
        <f>СПРАВОЧНИК!$H$3</f>
        <v/>
      </c>
      <c r="F8" s="3">
        <f>F6</f>
        <v/>
      </c>
      <c r="G8" s="40">
        <f>SUM('ФАКТ ЧЕРН ПОДЗЕМ'!B5:B52)</f>
        <v/>
      </c>
      <c r="H8" s="6">
        <f>IF(F8=0,0,G8/F8)</f>
        <v/>
      </c>
      <c r="I8" s="6">
        <f>H8*E8</f>
        <v/>
      </c>
    </row>
    <row r="9">
      <c r="A9" s="9" t="n"/>
      <c r="B9" s="43" t="inlineStr">
        <is>
          <t xml:space="preserve">   Стены</t>
        </is>
      </c>
      <c r="C9" s="9" t="inlineStr">
        <is>
          <t>Вид</t>
        </is>
      </c>
      <c r="D9" s="9" t="n"/>
      <c r="E9" s="42">
        <f>СПРАВОЧНИК!$I$3</f>
        <v/>
      </c>
      <c r="F9" s="3">
        <f>F6</f>
        <v/>
      </c>
      <c r="G9" s="40">
        <f>SUM('ФАКТ ЧЕРН ПОДЗЕМ'!C5:C52)</f>
        <v/>
      </c>
      <c r="H9" s="6">
        <f>IF(F9=0,0,G9/F9)</f>
        <v/>
      </c>
      <c r="I9" s="6">
        <f>H9*E9</f>
        <v/>
      </c>
    </row>
    <row r="10">
      <c r="A10" s="9" t="n"/>
      <c r="B10" s="43" t="inlineStr">
        <is>
          <t xml:space="preserve">   Потолок</t>
        </is>
      </c>
      <c r="C10" s="9" t="inlineStr">
        <is>
          <t>Вид</t>
        </is>
      </c>
      <c r="D10" s="9" t="n"/>
      <c r="E10" s="42">
        <f>СПРАВОЧНИК!$J$3</f>
        <v/>
      </c>
      <c r="F10" s="3">
        <f>F6</f>
        <v/>
      </c>
      <c r="G10" s="40">
        <f>SUM('ФАКТ ЧЕРН ПОДЗЕМ'!D5:D52)</f>
        <v/>
      </c>
      <c r="H10" s="6">
        <f>IF(F10=0,0,G10/F10)</f>
        <v/>
      </c>
      <c r="I10" s="6">
        <f>H10*E10</f>
        <v/>
      </c>
    </row>
    <row r="11">
      <c r="A11" s="9" t="n"/>
      <c r="B11" s="41" t="inlineStr">
        <is>
          <t xml:space="preserve">  Чистовая</t>
        </is>
      </c>
      <c r="C11" s="9" t="inlineStr">
        <is>
          <t>Категория</t>
        </is>
      </c>
      <c r="D11" s="42">
        <f>СПРАВОЧНИК!F3</f>
        <v/>
      </c>
      <c r="E11" s="9" t="n"/>
      <c r="F11" s="3">
        <f>F6</f>
        <v/>
      </c>
      <c r="G11" s="40">
        <f>G12*E12+G13*E13+G14*E14+G15*E15</f>
        <v/>
      </c>
      <c r="H11" s="6">
        <f>IF(F11=0,0,G11/F11)</f>
        <v/>
      </c>
      <c r="I11" s="6">
        <f>H11*D11</f>
        <v/>
      </c>
    </row>
    <row r="12">
      <c r="A12" s="9" t="n"/>
      <c r="B12" s="43" t="inlineStr">
        <is>
          <t xml:space="preserve">   Пол</t>
        </is>
      </c>
      <c r="C12" s="9" t="inlineStr">
        <is>
          <t>Вид</t>
        </is>
      </c>
      <c r="D12" s="9" t="n"/>
      <c r="E12" s="42">
        <f>СПРАВОЧНИК!$L$3</f>
        <v/>
      </c>
      <c r="F12" s="3">
        <f>F6</f>
        <v/>
      </c>
      <c r="G12" s="40">
        <f>SUM('ФАКТ ЧИСТ ПОДЗЕМ'!B5:B52)</f>
        <v/>
      </c>
      <c r="H12" s="6">
        <f>IF(F12=0,0,G12/F12)</f>
        <v/>
      </c>
      <c r="I12" s="6">
        <f>H12*E12</f>
        <v/>
      </c>
    </row>
    <row r="13">
      <c r="A13" s="9" t="n"/>
      <c r="B13" s="43" t="inlineStr">
        <is>
          <t xml:space="preserve">   Стены</t>
        </is>
      </c>
      <c r="C13" s="9" t="inlineStr">
        <is>
          <t>Вид</t>
        </is>
      </c>
      <c r="D13" s="9" t="n"/>
      <c r="E13" s="42">
        <f>СПРАВОЧНИК!$M$3</f>
        <v/>
      </c>
      <c r="F13" s="3">
        <f>F6</f>
        <v/>
      </c>
      <c r="G13" s="40">
        <f>SUM('ФАКТ ЧИСТ ПОДЗЕМ'!C5:C52)</f>
        <v/>
      </c>
      <c r="H13" s="6">
        <f>IF(F13=0,0,G13/F13)</f>
        <v/>
      </c>
      <c r="I13" s="6">
        <f>H13*E13</f>
        <v/>
      </c>
    </row>
    <row r="14">
      <c r="A14" s="9" t="n"/>
      <c r="B14" s="43" t="inlineStr">
        <is>
          <t xml:space="preserve">   Потолок</t>
        </is>
      </c>
      <c r="C14" s="9" t="inlineStr">
        <is>
          <t>Вид</t>
        </is>
      </c>
      <c r="D14" s="9" t="n"/>
      <c r="E14" s="42">
        <f>СПРАВОЧНИК!$N$3</f>
        <v/>
      </c>
      <c r="F14" s="3">
        <f>F6</f>
        <v/>
      </c>
      <c r="G14" s="40">
        <f>SUM('ФАКТ ЧИСТ ПОДЗЕМ'!D5:D52)</f>
        <v/>
      </c>
      <c r="H14" s="6">
        <f>IF(F14=0,0,G14/F14)</f>
        <v/>
      </c>
      <c r="I14" s="6">
        <f>H14*E14</f>
        <v/>
      </c>
    </row>
    <row r="15">
      <c r="A15" s="9" t="n"/>
      <c r="B15" s="43" t="inlineStr">
        <is>
          <t xml:space="preserve">   Заполн. проемов</t>
        </is>
      </c>
      <c r="C15" s="9" t="inlineStr">
        <is>
          <t>Вид</t>
        </is>
      </c>
      <c r="D15" s="9" t="n"/>
      <c r="E15" s="42">
        <f>СПРАВОЧНИК!$O$3</f>
        <v/>
      </c>
      <c r="F15" s="3">
        <f>F6</f>
        <v/>
      </c>
      <c r="G15" s="40">
        <f>SUM('ФАКТ ЧИСТ ПОДЗЕМ'!E5:E52)</f>
        <v/>
      </c>
      <c r="H15" s="6">
        <f>IF(F15=0,0,G15/F15)</f>
        <v/>
      </c>
      <c r="I15" s="6">
        <f>H15*E15</f>
        <v/>
      </c>
    </row>
    <row r="16">
      <c r="B16" s="23" t="inlineStr">
        <is>
          <t xml:space="preserve">  ✓ Сумма</t>
        </is>
      </c>
      <c r="D16" s="44">
        <f>D7+D11</f>
        <v/>
      </c>
    </row>
    <row r="17"/>
    <row r="18">
      <c r="A18" s="8" t="inlineStr">
        <is>
          <t>8.1.2</t>
        </is>
      </c>
      <c r="B18" s="16">
        <f>СПРАВОЧНИК!C4</f>
        <v/>
      </c>
      <c r="C18" s="9" t="inlineStr">
        <is>
          <t>Главная</t>
        </is>
      </c>
      <c r="D18" s="9" t="n"/>
      <c r="E18" s="9" t="n"/>
      <c r="F18" s="3">
        <f>СПРАВОЧНИК!B4</f>
        <v/>
      </c>
      <c r="G18" s="40">
        <f>G19*D19+G23*D23</f>
        <v/>
      </c>
      <c r="H18" s="6">
        <f>IF(F18=0,0,G18/F18)</f>
        <v/>
      </c>
      <c r="I18" s="6">
        <f>I19+I23</f>
        <v/>
      </c>
    </row>
    <row r="19">
      <c r="A19" s="9" t="n"/>
      <c r="B19" s="41" t="inlineStr">
        <is>
          <t xml:space="preserve">  Черновая</t>
        </is>
      </c>
      <c r="C19" s="9" t="inlineStr">
        <is>
          <t>Категория</t>
        </is>
      </c>
      <c r="D19" s="42">
        <f>СПРАВОЧНИК!E4</f>
        <v/>
      </c>
      <c r="E19" s="9" t="n"/>
      <c r="F19" s="3">
        <f>F17</f>
        <v/>
      </c>
      <c r="G19" s="40">
        <f>G20*E20+G21*E21+G22*E22</f>
        <v/>
      </c>
      <c r="H19" s="6">
        <f>IF(F18=0,0,G18/F18)</f>
        <v/>
      </c>
      <c r="I19" s="6">
        <f>H19*D19</f>
        <v/>
      </c>
    </row>
    <row r="20">
      <c r="A20" s="9" t="n"/>
      <c r="B20" s="43" t="inlineStr">
        <is>
          <t xml:space="preserve">   Пол</t>
        </is>
      </c>
      <c r="C20" s="9" t="inlineStr">
        <is>
          <t>Вид</t>
        </is>
      </c>
      <c r="D20" s="9" t="n"/>
      <c r="E20" s="42">
        <f>СПРАВОЧНИК!$H$4</f>
        <v/>
      </c>
      <c r="F20" s="3">
        <f>F18</f>
        <v/>
      </c>
      <c r="G20" s="40">
        <f>SUM('ФАКТ ЧЕРН ПОДЗЕМ'!E5:E52)</f>
        <v/>
      </c>
      <c r="H20" s="6">
        <f>IF(F20=0,0,G20/F20)</f>
        <v/>
      </c>
      <c r="I20" s="6">
        <f>H20*E20</f>
        <v/>
      </c>
    </row>
    <row r="21">
      <c r="A21" s="9" t="n"/>
      <c r="B21" s="43" t="inlineStr">
        <is>
          <t xml:space="preserve">   Стены</t>
        </is>
      </c>
      <c r="C21" s="9" t="inlineStr">
        <is>
          <t>Вид</t>
        </is>
      </c>
      <c r="D21" s="9" t="n"/>
      <c r="E21" s="42">
        <f>СПРАВОЧНИК!$I$4</f>
        <v/>
      </c>
      <c r="F21" s="3">
        <f>F18</f>
        <v/>
      </c>
      <c r="G21" s="40">
        <f>SUM('ФАКТ ЧЕРН ПОДЗЕМ'!F5:F52)</f>
        <v/>
      </c>
      <c r="H21" s="6">
        <f>IF(F21=0,0,G21/F21)</f>
        <v/>
      </c>
      <c r="I21" s="6">
        <f>H21*E21</f>
        <v/>
      </c>
    </row>
    <row r="22">
      <c r="A22" s="9" t="n"/>
      <c r="B22" s="43" t="inlineStr">
        <is>
          <t xml:space="preserve">   Потолок</t>
        </is>
      </c>
      <c r="C22" s="9" t="inlineStr">
        <is>
          <t>Вид</t>
        </is>
      </c>
      <c r="D22" s="9" t="n"/>
      <c r="E22" s="42">
        <f>СПРАВОЧНИК!$J$4</f>
        <v/>
      </c>
      <c r="F22" s="3">
        <f>F18</f>
        <v/>
      </c>
      <c r="G22" s="40">
        <f>SUM('ФАКТ ЧЕРН ПОДЗЕМ'!G5:G52)</f>
        <v/>
      </c>
      <c r="H22" s="6">
        <f>IF(F22=0,0,G22/F22)</f>
        <v/>
      </c>
      <c r="I22" s="6">
        <f>H22*E22</f>
        <v/>
      </c>
    </row>
    <row r="23">
      <c r="A23" s="9" t="n"/>
      <c r="B23" s="41" t="inlineStr">
        <is>
          <t xml:space="preserve">  Чистовая</t>
        </is>
      </c>
      <c r="C23" s="9" t="inlineStr">
        <is>
          <t>Категория</t>
        </is>
      </c>
      <c r="D23" s="42">
        <f>СПРАВОЧНИК!F4</f>
        <v/>
      </c>
      <c r="E23" s="9" t="n"/>
      <c r="F23" s="3">
        <f>F17</f>
        <v/>
      </c>
      <c r="G23" s="40">
        <f>G24*E24+G25*E25+G26*E26+G27*E27</f>
        <v/>
      </c>
      <c r="H23" s="6">
        <f>IF(F22=0,0,G22/F22)</f>
        <v/>
      </c>
      <c r="I23" s="6">
        <f>H23*D23</f>
        <v/>
      </c>
    </row>
    <row r="24">
      <c r="A24" s="9" t="n"/>
      <c r="B24" s="43" t="inlineStr">
        <is>
          <t xml:space="preserve">   Пол</t>
        </is>
      </c>
      <c r="C24" s="9" t="inlineStr">
        <is>
          <t>Вид</t>
        </is>
      </c>
      <c r="D24" s="9" t="n"/>
      <c r="E24" s="42">
        <f>СПРАВОЧНИК!$L$4</f>
        <v/>
      </c>
      <c r="F24" s="3">
        <f>F18</f>
        <v/>
      </c>
      <c r="G24" s="40">
        <f>SUM('ФАКТ ЧИСТ ПОДЗЕМ'!F5:F52)</f>
        <v/>
      </c>
      <c r="H24" s="6">
        <f>IF(F24=0,0,G24/F24)</f>
        <v/>
      </c>
      <c r="I24" s="6">
        <f>H24*E24</f>
        <v/>
      </c>
    </row>
    <row r="25">
      <c r="A25" s="9" t="n"/>
      <c r="B25" s="43" t="inlineStr">
        <is>
          <t xml:space="preserve">   Стены</t>
        </is>
      </c>
      <c r="C25" s="9" t="inlineStr">
        <is>
          <t>Вид</t>
        </is>
      </c>
      <c r="D25" s="9" t="n"/>
      <c r="E25" s="42">
        <f>СПРАВОЧНИК!$M$4</f>
        <v/>
      </c>
      <c r="F25" s="3">
        <f>F18</f>
        <v/>
      </c>
      <c r="G25" s="40">
        <f>SUM('ФАКТ ЧИСТ ПОДЗЕМ'!G5:G52)</f>
        <v/>
      </c>
      <c r="H25" s="6">
        <f>IF(F25=0,0,G25/F25)</f>
        <v/>
      </c>
      <c r="I25" s="6">
        <f>H25*E25</f>
        <v/>
      </c>
    </row>
    <row r="26">
      <c r="A26" s="9" t="n"/>
      <c r="B26" s="43" t="inlineStr">
        <is>
          <t xml:space="preserve">   Потолок</t>
        </is>
      </c>
      <c r="C26" s="9" t="inlineStr">
        <is>
          <t>Вид</t>
        </is>
      </c>
      <c r="D26" s="9" t="n"/>
      <c r="E26" s="42">
        <f>СПРАВОЧНИК!$N$4</f>
        <v/>
      </c>
      <c r="F26" s="3">
        <f>F18</f>
        <v/>
      </c>
      <c r="G26" s="40">
        <f>SUM('ФАКТ ЧИСТ ПОДЗЕМ'!H5:H52)</f>
        <v/>
      </c>
      <c r="H26" s="6">
        <f>IF(F26=0,0,G26/F26)</f>
        <v/>
      </c>
      <c r="I26" s="6">
        <f>H26*E26</f>
        <v/>
      </c>
    </row>
    <row r="27">
      <c r="A27" s="9" t="n"/>
      <c r="B27" s="43" t="inlineStr">
        <is>
          <t xml:space="preserve">   Заполн. проемов</t>
        </is>
      </c>
      <c r="C27" s="9" t="inlineStr">
        <is>
          <t>Вид</t>
        </is>
      </c>
      <c r="D27" s="9" t="n"/>
      <c r="E27" s="42">
        <f>СПРАВОЧНИК!$O$4</f>
        <v/>
      </c>
      <c r="F27" s="3">
        <f>F18</f>
        <v/>
      </c>
      <c r="G27" s="40">
        <f>SUM('ФАКТ ЧИСТ ПОДЗЕМ'!I5:I52)</f>
        <v/>
      </c>
      <c r="H27" s="6">
        <f>IF(F27=0,0,G27/F27)</f>
        <v/>
      </c>
      <c r="I27" s="6">
        <f>H27*E27</f>
        <v/>
      </c>
    </row>
    <row r="28">
      <c r="B28" s="23" t="inlineStr">
        <is>
          <t xml:space="preserve">  ✓ Сумма</t>
        </is>
      </c>
      <c r="D28" s="44">
        <f>D19+D23</f>
        <v/>
      </c>
    </row>
    <row r="29"/>
    <row r="30">
      <c r="A30" s="8" t="inlineStr">
        <is>
          <t>8.1.3</t>
        </is>
      </c>
      <c r="B30" s="16">
        <f>СПРАВОЧНИК!C5</f>
        <v/>
      </c>
      <c r="C30" s="9" t="inlineStr">
        <is>
          <t>Главная</t>
        </is>
      </c>
      <c r="D30" s="9" t="n"/>
      <c r="E30" s="9" t="n"/>
      <c r="F30" s="3">
        <f>СПРАВОЧНИК!B5</f>
        <v/>
      </c>
      <c r="G30" s="40">
        <f>G31*D31+G35*D35</f>
        <v/>
      </c>
      <c r="H30" s="6">
        <f>IF(F30=0,0,G30/F30)</f>
        <v/>
      </c>
      <c r="I30" s="6">
        <f>I31+I35</f>
        <v/>
      </c>
    </row>
    <row r="31">
      <c r="A31" s="9" t="n"/>
      <c r="B31" s="41" t="inlineStr">
        <is>
          <t xml:space="preserve">  Черновая</t>
        </is>
      </c>
      <c r="C31" s="9" t="inlineStr">
        <is>
          <t>Категория</t>
        </is>
      </c>
      <c r="D31" s="42">
        <f>СПРАВОЧНИК!E5</f>
        <v/>
      </c>
      <c r="E31" s="9" t="n"/>
      <c r="F31" s="3">
        <f>F28</f>
        <v/>
      </c>
      <c r="G31" s="40">
        <f>G32*E32+G33*E33+G34*E34</f>
        <v/>
      </c>
      <c r="H31" s="6">
        <f>IF(F29=0,0,G29/F29)</f>
        <v/>
      </c>
      <c r="I31" s="6">
        <f>H31*D31</f>
        <v/>
      </c>
    </row>
    <row r="32">
      <c r="A32" s="9" t="n"/>
      <c r="B32" s="43" t="inlineStr">
        <is>
          <t xml:space="preserve">   Пол</t>
        </is>
      </c>
      <c r="C32" s="9" t="inlineStr">
        <is>
          <t>Вид</t>
        </is>
      </c>
      <c r="D32" s="9" t="n"/>
      <c r="E32" s="42">
        <f>СПРАВОЧНИК!$H$5</f>
        <v/>
      </c>
      <c r="F32" s="3">
        <f>F30</f>
        <v/>
      </c>
      <c r="G32" s="40">
        <f>SUM('ФАКТ ЧЕРН ПОДЗЕМ'!H5:H52)</f>
        <v/>
      </c>
      <c r="H32" s="6">
        <f>IF(F32=0,0,G32/F32)</f>
        <v/>
      </c>
      <c r="I32" s="6">
        <f>H32*E32</f>
        <v/>
      </c>
    </row>
    <row r="33">
      <c r="A33" s="9" t="n"/>
      <c r="B33" s="43" t="inlineStr">
        <is>
          <t xml:space="preserve">   Стены</t>
        </is>
      </c>
      <c r="C33" s="9" t="inlineStr">
        <is>
          <t>Вид</t>
        </is>
      </c>
      <c r="D33" s="9" t="n"/>
      <c r="E33" s="42">
        <f>СПРАВОЧНИК!$I$5</f>
        <v/>
      </c>
      <c r="F33" s="3">
        <f>F30</f>
        <v/>
      </c>
      <c r="G33" s="40">
        <f>SUM('ФАКТ ЧЕРН ПОДЗЕМ'!I5:I52)</f>
        <v/>
      </c>
      <c r="H33" s="6">
        <f>IF(F33=0,0,G33/F33)</f>
        <v/>
      </c>
      <c r="I33" s="6">
        <f>H33*E33</f>
        <v/>
      </c>
    </row>
    <row r="34">
      <c r="A34" s="9" t="n"/>
      <c r="B34" s="43" t="inlineStr">
        <is>
          <t xml:space="preserve">   Потолок</t>
        </is>
      </c>
      <c r="C34" s="9" t="inlineStr">
        <is>
          <t>Вид</t>
        </is>
      </c>
      <c r="D34" s="9" t="n"/>
      <c r="E34" s="42">
        <f>СПРАВОЧНИК!$J$5</f>
        <v/>
      </c>
      <c r="F34" s="3">
        <f>F30</f>
        <v/>
      </c>
      <c r="G34" s="40">
        <f>SUM('ФАКТ ЧЕРН ПОДЗЕМ'!J5:J52)</f>
        <v/>
      </c>
      <c r="H34" s="6">
        <f>IF(F34=0,0,G34/F34)</f>
        <v/>
      </c>
      <c r="I34" s="6">
        <f>H34*E34</f>
        <v/>
      </c>
    </row>
    <row r="35">
      <c r="A35" s="9" t="n"/>
      <c r="B35" s="41" t="inlineStr">
        <is>
          <t xml:space="preserve">  Чистовая</t>
        </is>
      </c>
      <c r="C35" s="9" t="inlineStr">
        <is>
          <t>Категория</t>
        </is>
      </c>
      <c r="D35" s="42">
        <f>СПРАВОЧНИК!F5</f>
        <v/>
      </c>
      <c r="E35" s="9" t="n"/>
      <c r="F35" s="3">
        <f>F28</f>
        <v/>
      </c>
      <c r="G35" s="40">
        <f>G36*E36+G37*E37+G38*E38</f>
        <v/>
      </c>
      <c r="H35" s="6">
        <f>IF(F33=0,0,G33/F33)</f>
        <v/>
      </c>
      <c r="I35" s="6">
        <f>H35*D35</f>
        <v/>
      </c>
    </row>
    <row r="36">
      <c r="A36" s="9" t="n"/>
      <c r="B36" s="43" t="inlineStr">
        <is>
          <t xml:space="preserve">   Пол</t>
        </is>
      </c>
      <c r="C36" s="9" t="inlineStr">
        <is>
          <t>Вид</t>
        </is>
      </c>
      <c r="D36" s="9" t="n"/>
      <c r="E36" s="42">
        <f>СПРАВОЧНИК!$L$5</f>
        <v/>
      </c>
      <c r="F36" s="3">
        <f>F30</f>
        <v/>
      </c>
      <c r="G36" s="40">
        <f>SUM('ФАКТ ЧИСТ ПОДЗЕМ'!J5:J52)</f>
        <v/>
      </c>
      <c r="H36" s="6">
        <f>IF(F36=0,0,G36/F36)</f>
        <v/>
      </c>
      <c r="I36" s="6">
        <f>H36*E36</f>
        <v/>
      </c>
    </row>
    <row r="37">
      <c r="A37" s="9" t="n"/>
      <c r="B37" s="43" t="inlineStr">
        <is>
          <t xml:space="preserve">   Стены</t>
        </is>
      </c>
      <c r="C37" s="9" t="inlineStr">
        <is>
          <t>Вид</t>
        </is>
      </c>
      <c r="D37" s="9" t="n"/>
      <c r="E37" s="42">
        <f>СПРАВОЧНИК!$M$5</f>
        <v/>
      </c>
      <c r="F37" s="3">
        <f>F30</f>
        <v/>
      </c>
      <c r="G37" s="40">
        <f>SUM('ФАКТ ЧИСТ ПОДЗЕМ'!K5:K52)</f>
        <v/>
      </c>
      <c r="H37" s="6">
        <f>IF(F37=0,0,G37/F37)</f>
        <v/>
      </c>
      <c r="I37" s="6">
        <f>H37*E37</f>
        <v/>
      </c>
    </row>
    <row r="38">
      <c r="A38" s="9" t="n"/>
      <c r="B38" s="43" t="inlineStr">
        <is>
          <t xml:space="preserve">   Потолок</t>
        </is>
      </c>
      <c r="C38" s="9" t="inlineStr">
        <is>
          <t>Вид</t>
        </is>
      </c>
      <c r="D38" s="9" t="n"/>
      <c r="E38" s="42">
        <f>СПРАВОЧНИК!$N$5</f>
        <v/>
      </c>
      <c r="F38" s="3">
        <f>F30</f>
        <v/>
      </c>
      <c r="G38" s="40">
        <f>SUM('ФАКТ ЧИСТ ПОДЗЕМ'!L5:L52)</f>
        <v/>
      </c>
      <c r="H38" s="6">
        <f>IF(F38=0,0,G38/F38)</f>
        <v/>
      </c>
      <c r="I38" s="6">
        <f>H38*E38</f>
        <v/>
      </c>
    </row>
    <row r="39">
      <c r="B39" s="23" t="inlineStr">
        <is>
          <t xml:space="preserve">  ✓ Сумма</t>
        </is>
      </c>
      <c r="D39" s="44">
        <f>D31+D35</f>
        <v/>
      </c>
    </row>
    <row r="40"/>
    <row r="41">
      <c r="A41" s="8" t="inlineStr">
        <is>
          <t>8.1.4</t>
        </is>
      </c>
      <c r="B41" s="16">
        <f>СПРАВОЧНИК!C6</f>
        <v/>
      </c>
      <c r="C41" s="9" t="inlineStr">
        <is>
          <t>Главная</t>
        </is>
      </c>
      <c r="D41" s="9" t="n"/>
      <c r="E41" s="9" t="n"/>
      <c r="F41" s="3">
        <f>СПРАВОЧНИК!B6</f>
        <v/>
      </c>
      <c r="G41" s="40">
        <f>G42*D42+G46*D46</f>
        <v/>
      </c>
      <c r="H41" s="6">
        <f>IF(F41=0,0,G41/F41)</f>
        <v/>
      </c>
      <c r="I41" s="6">
        <f>I42+I46</f>
        <v/>
      </c>
    </row>
    <row r="42">
      <c r="A42" s="9" t="n"/>
      <c r="B42" s="41" t="inlineStr">
        <is>
          <t xml:space="preserve">  Черновая</t>
        </is>
      </c>
      <c r="C42" s="9" t="inlineStr">
        <is>
          <t>Категория</t>
        </is>
      </c>
      <c r="D42" s="42">
        <f>СПРАВОЧНИК!E6</f>
        <v/>
      </c>
      <c r="E42" s="9" t="n"/>
      <c r="F42" s="3">
        <f>F39</f>
        <v/>
      </c>
      <c r="G42" s="40">
        <f>G43*E43+G44*E44+G45*E45</f>
        <v/>
      </c>
      <c r="H42" s="6">
        <f>IF(F40=0,0,G40/F40)</f>
        <v/>
      </c>
      <c r="I42" s="6">
        <f>H42*D42</f>
        <v/>
      </c>
    </row>
    <row r="43">
      <c r="A43" s="9" t="n"/>
      <c r="B43" s="43" t="inlineStr">
        <is>
          <t xml:space="preserve">   Пол</t>
        </is>
      </c>
      <c r="C43" s="9" t="inlineStr">
        <is>
          <t>Вид</t>
        </is>
      </c>
      <c r="D43" s="9" t="n"/>
      <c r="E43" s="42">
        <f>СПРАВОЧНИК!$H$6</f>
        <v/>
      </c>
      <c r="F43" s="3">
        <f>F41</f>
        <v/>
      </c>
      <c r="G43" s="40">
        <f>SUM('ФАКТ ЧЕРН ПОДЗЕМ'!K5:K52)</f>
        <v/>
      </c>
      <c r="H43" s="6">
        <f>IF(F43=0,0,G43/F43)</f>
        <v/>
      </c>
      <c r="I43" s="6">
        <f>H43*E43</f>
        <v/>
      </c>
    </row>
    <row r="44">
      <c r="A44" s="9" t="n"/>
      <c r="B44" s="43" t="inlineStr">
        <is>
          <t xml:space="preserve">   Стены</t>
        </is>
      </c>
      <c r="C44" s="9" t="inlineStr">
        <is>
          <t>Вид</t>
        </is>
      </c>
      <c r="D44" s="9" t="n"/>
      <c r="E44" s="42">
        <f>СПРАВОЧНИК!$I$6</f>
        <v/>
      </c>
      <c r="F44" s="3">
        <f>F41</f>
        <v/>
      </c>
      <c r="G44" s="40">
        <f>SUM('ФАКТ ЧЕРН ПОДЗЕМ'!L5:L52)</f>
        <v/>
      </c>
      <c r="H44" s="6">
        <f>IF(F44=0,0,G44/F44)</f>
        <v/>
      </c>
      <c r="I44" s="6">
        <f>H44*E44</f>
        <v/>
      </c>
    </row>
    <row r="45">
      <c r="A45" s="9" t="n"/>
      <c r="B45" s="43" t="inlineStr">
        <is>
          <t xml:space="preserve">   Потолок</t>
        </is>
      </c>
      <c r="C45" s="9" t="inlineStr">
        <is>
          <t>Вид</t>
        </is>
      </c>
      <c r="D45" s="9" t="n"/>
      <c r="E45" s="42">
        <f>СПРАВОЧНИК!$J$6</f>
        <v/>
      </c>
      <c r="F45" s="3">
        <f>F41</f>
        <v/>
      </c>
      <c r="G45" s="40">
        <f>SUM('ФАКТ ЧЕРН ПОДЗЕМ'!M5:M52)</f>
        <v/>
      </c>
      <c r="H45" s="6">
        <f>IF(F45=0,0,G45/F45)</f>
        <v/>
      </c>
      <c r="I45" s="6">
        <f>H45*E45</f>
        <v/>
      </c>
    </row>
    <row r="46">
      <c r="A46" s="9" t="n"/>
      <c r="B46" s="41" t="inlineStr">
        <is>
          <t xml:space="preserve">  Чистовая</t>
        </is>
      </c>
      <c r="C46" s="9" t="inlineStr">
        <is>
          <t>Категория</t>
        </is>
      </c>
      <c r="D46" s="42">
        <f>СПРАВОЧНИК!F6</f>
        <v/>
      </c>
      <c r="E46" s="9" t="n"/>
      <c r="F46" s="3">
        <f>F39</f>
        <v/>
      </c>
      <c r="G46" s="40">
        <f>G47*E47+G48*E48+G49*E49+G50*E50</f>
        <v/>
      </c>
      <c r="H46" s="6">
        <f>IF(F44=0,0,G44/F44)</f>
        <v/>
      </c>
      <c r="I46" s="6">
        <f>H46*D46</f>
        <v/>
      </c>
    </row>
    <row r="47">
      <c r="A47" s="9" t="n"/>
      <c r="B47" s="43" t="inlineStr">
        <is>
          <t xml:space="preserve">   Пол</t>
        </is>
      </c>
      <c r="C47" s="9" t="inlineStr">
        <is>
          <t>Вид</t>
        </is>
      </c>
      <c r="D47" s="9" t="n"/>
      <c r="E47" s="42">
        <f>СПРАВОЧНИК!$L$6</f>
        <v/>
      </c>
      <c r="F47" s="3">
        <f>F41</f>
        <v/>
      </c>
      <c r="G47" s="40">
        <f>SUM('ФАКТ ЧИСТ ПОДЗЕМ'!M5:M52)</f>
        <v/>
      </c>
      <c r="H47" s="6">
        <f>IF(F47=0,0,G47/F47)</f>
        <v/>
      </c>
      <c r="I47" s="6">
        <f>H47*E47</f>
        <v/>
      </c>
    </row>
    <row r="48">
      <c r="A48" s="9" t="n"/>
      <c r="B48" s="43" t="inlineStr">
        <is>
          <t xml:space="preserve">   Стены</t>
        </is>
      </c>
      <c r="C48" s="9" t="inlineStr">
        <is>
          <t>Вид</t>
        </is>
      </c>
      <c r="D48" s="9" t="n"/>
      <c r="E48" s="42">
        <f>СПРАВОЧНИК!$M$6</f>
        <v/>
      </c>
      <c r="F48" s="3">
        <f>F41</f>
        <v/>
      </c>
      <c r="G48" s="40">
        <f>SUM('ФАКТ ЧИСТ ПОДЗЕМ'!N5:N52)</f>
        <v/>
      </c>
      <c r="H48" s="6">
        <f>IF(F48=0,0,G48/F48)</f>
        <v/>
      </c>
      <c r="I48" s="6">
        <f>H48*E48</f>
        <v/>
      </c>
    </row>
    <row r="49">
      <c r="A49" s="9" t="n"/>
      <c r="B49" s="43" t="inlineStr">
        <is>
          <t xml:space="preserve">   Потолок</t>
        </is>
      </c>
      <c r="C49" s="9" t="inlineStr">
        <is>
          <t>Вид</t>
        </is>
      </c>
      <c r="D49" s="9" t="n"/>
      <c r="E49" s="42">
        <f>СПРАВОЧНИК!$N$6</f>
        <v/>
      </c>
      <c r="F49" s="3">
        <f>F41</f>
        <v/>
      </c>
      <c r="G49" s="40">
        <f>SUM('ФАКТ ЧИСТ ПОДЗЕМ'!O5:O52)</f>
        <v/>
      </c>
      <c r="H49" s="6">
        <f>IF(F49=0,0,G49/F49)</f>
        <v/>
      </c>
      <c r="I49" s="6">
        <f>H49*E49</f>
        <v/>
      </c>
    </row>
    <row r="50">
      <c r="A50" s="9" t="n"/>
      <c r="B50" s="43" t="inlineStr">
        <is>
          <t xml:space="preserve">   Заполн. проемов</t>
        </is>
      </c>
      <c r="C50" s="9" t="inlineStr">
        <is>
          <t>Вид</t>
        </is>
      </c>
      <c r="D50" s="9" t="n"/>
      <c r="E50" s="42">
        <f>СПРАВОЧНИК!$O$6</f>
        <v/>
      </c>
      <c r="F50" s="3">
        <f>F41</f>
        <v/>
      </c>
      <c r="G50" s="40">
        <f>SUM('ФАКТ ЧИСТ ПОДЗЕМ'!P5:P52)</f>
        <v/>
      </c>
      <c r="H50" s="6">
        <f>IF(F50=0,0,G50/F50)</f>
        <v/>
      </c>
      <c r="I50" s="6">
        <f>H50*E50</f>
        <v/>
      </c>
    </row>
    <row r="51">
      <c r="B51" s="23" t="inlineStr">
        <is>
          <t xml:space="preserve">  ✓ Сумма</t>
        </is>
      </c>
      <c r="D51" s="44">
        <f>D42+D46</f>
        <v/>
      </c>
    </row>
    <row r="52"/>
    <row r="53">
      <c r="A53" s="8" t="inlineStr">
        <is>
          <t>8.1.5</t>
        </is>
      </c>
      <c r="B53" s="16">
        <f>СПРАВОЧНИК!C7</f>
        <v/>
      </c>
      <c r="C53" s="9" t="inlineStr">
        <is>
          <t>Главная</t>
        </is>
      </c>
      <c r="D53" s="9" t="n"/>
      <c r="E53" s="9" t="n"/>
      <c r="F53" s="3">
        <f>СПРАВОЧНИК!B7</f>
        <v/>
      </c>
      <c r="G53" s="40">
        <f>G54*D54+G58*D58</f>
        <v/>
      </c>
      <c r="H53" s="6">
        <f>IF(F53=0,0,G53/F53)</f>
        <v/>
      </c>
      <c r="I53" s="6">
        <f>I54+I58</f>
        <v/>
      </c>
    </row>
    <row r="54">
      <c r="A54" s="9" t="n"/>
      <c r="B54" s="41" t="inlineStr">
        <is>
          <t xml:space="preserve">  Черновая</t>
        </is>
      </c>
      <c r="C54" s="9" t="inlineStr">
        <is>
          <t>Категория</t>
        </is>
      </c>
      <c r="D54" s="42">
        <f>СПРАВОЧНИК!E7</f>
        <v/>
      </c>
      <c r="E54" s="9" t="n"/>
      <c r="F54" s="3">
        <f>F50</f>
        <v/>
      </c>
      <c r="G54" s="40">
        <f>G55*E55+G56*E56+G57*E57</f>
        <v/>
      </c>
      <c r="H54" s="6">
        <f>IF(F51=0,0,G51/F51)</f>
        <v/>
      </c>
      <c r="I54" s="6">
        <f>H54*D54</f>
        <v/>
      </c>
    </row>
    <row r="55">
      <c r="A55" s="9" t="n"/>
      <c r="B55" s="43" t="inlineStr">
        <is>
          <t xml:space="preserve">   Пол</t>
        </is>
      </c>
      <c r="C55" s="9" t="inlineStr">
        <is>
          <t>Вид</t>
        </is>
      </c>
      <c r="D55" s="9" t="n"/>
      <c r="E55" s="42">
        <f>СПРАВОЧНИК!$H$7</f>
        <v/>
      </c>
      <c r="F55" s="3">
        <f>F53</f>
        <v/>
      </c>
      <c r="G55" s="40">
        <f>SUM('ФАКТ ЧЕРН ПОДЗЕМ'!N5:N52)</f>
        <v/>
      </c>
      <c r="H55" s="6">
        <f>IF(F55=0,0,G55/F55)</f>
        <v/>
      </c>
      <c r="I55" s="6">
        <f>H55*E55</f>
        <v/>
      </c>
    </row>
    <row r="56">
      <c r="A56" s="9" t="n"/>
      <c r="B56" s="43" t="inlineStr">
        <is>
          <t xml:space="preserve">   Стены</t>
        </is>
      </c>
      <c r="C56" s="9" t="inlineStr">
        <is>
          <t>Вид</t>
        </is>
      </c>
      <c r="D56" s="9" t="n"/>
      <c r="E56" s="42">
        <f>СПРАВОЧНИК!$I$7</f>
        <v/>
      </c>
      <c r="F56" s="3">
        <f>F53</f>
        <v/>
      </c>
      <c r="G56" s="40">
        <f>SUM('ФАКТ ЧЕРН ПОДЗЕМ'!O5:O52)</f>
        <v/>
      </c>
      <c r="H56" s="6">
        <f>IF(F56=0,0,G56/F56)</f>
        <v/>
      </c>
      <c r="I56" s="6">
        <f>H56*E56</f>
        <v/>
      </c>
    </row>
    <row r="57">
      <c r="A57" s="9" t="n"/>
      <c r="B57" s="43" t="inlineStr">
        <is>
          <t xml:space="preserve">   Потолок</t>
        </is>
      </c>
      <c r="C57" s="9" t="inlineStr">
        <is>
          <t>Вид</t>
        </is>
      </c>
      <c r="D57" s="9" t="n"/>
      <c r="E57" s="42">
        <f>СПРАВОЧНИК!$J$7</f>
        <v/>
      </c>
      <c r="F57" s="3">
        <f>F53</f>
        <v/>
      </c>
      <c r="G57" s="40">
        <f>SUM('ФАКТ ЧЕРН ПОДЗЕМ'!P5:P52)</f>
        <v/>
      </c>
      <c r="H57" s="6">
        <f>IF(F57=0,0,G57/F57)</f>
        <v/>
      </c>
      <c r="I57" s="6">
        <f>H57*E57</f>
        <v/>
      </c>
    </row>
    <row r="58">
      <c r="A58" s="9" t="n"/>
      <c r="B58" s="41" t="inlineStr">
        <is>
          <t xml:space="preserve">  Чистовая</t>
        </is>
      </c>
      <c r="C58" s="9" t="inlineStr">
        <is>
          <t>Категория</t>
        </is>
      </c>
      <c r="D58" s="42">
        <f>СПРАВОЧНИК!F7</f>
        <v/>
      </c>
      <c r="E58" s="9" t="n"/>
      <c r="F58" s="3">
        <f>F50</f>
        <v/>
      </c>
      <c r="G58" s="40">
        <f>G59*E59+G60*E60+G61*E61+G62*E62</f>
        <v/>
      </c>
      <c r="H58" s="6">
        <f>IF(F55=0,0,G55/F55)</f>
        <v/>
      </c>
      <c r="I58" s="6">
        <f>H58*D58</f>
        <v/>
      </c>
    </row>
    <row r="59">
      <c r="A59" s="9" t="n"/>
      <c r="B59" s="43" t="inlineStr">
        <is>
          <t xml:space="preserve">   Пол</t>
        </is>
      </c>
      <c r="C59" s="9" t="inlineStr">
        <is>
          <t>Вид</t>
        </is>
      </c>
      <c r="D59" s="9" t="n"/>
      <c r="E59" s="42">
        <f>СПРАВОЧНИК!$L$7</f>
        <v/>
      </c>
      <c r="F59" s="3">
        <f>F53</f>
        <v/>
      </c>
      <c r="G59" s="40">
        <f>SUM('ФАКТ ЧИСТ ПОДЗЕМ'!Q5:Q52)</f>
        <v/>
      </c>
      <c r="H59" s="6">
        <f>IF(F59=0,0,G59/F59)</f>
        <v/>
      </c>
      <c r="I59" s="6">
        <f>H59*E59</f>
        <v/>
      </c>
    </row>
    <row r="60">
      <c r="A60" s="9" t="n"/>
      <c r="B60" s="43" t="inlineStr">
        <is>
          <t xml:space="preserve">   Стены</t>
        </is>
      </c>
      <c r="C60" s="9" t="inlineStr">
        <is>
          <t>Вид</t>
        </is>
      </c>
      <c r="D60" s="9" t="n"/>
      <c r="E60" s="42">
        <f>СПРАВОЧНИК!$M$7</f>
        <v/>
      </c>
      <c r="F60" s="3">
        <f>F53</f>
        <v/>
      </c>
      <c r="G60" s="40">
        <f>SUM('ФАКТ ЧИСТ ПОДЗЕМ'!R5:R52)</f>
        <v/>
      </c>
      <c r="H60" s="6">
        <f>IF(F60=0,0,G60/F60)</f>
        <v/>
      </c>
      <c r="I60" s="6">
        <f>H60*E60</f>
        <v/>
      </c>
    </row>
    <row r="61">
      <c r="A61" s="9" t="n"/>
      <c r="B61" s="43" t="inlineStr">
        <is>
          <t xml:space="preserve">   Потолок</t>
        </is>
      </c>
      <c r="C61" s="9" t="inlineStr">
        <is>
          <t>Вид</t>
        </is>
      </c>
      <c r="D61" s="9" t="n"/>
      <c r="E61" s="42">
        <f>СПРАВОЧНИК!$N$7</f>
        <v/>
      </c>
      <c r="F61" s="3">
        <f>F53</f>
        <v/>
      </c>
      <c r="G61" s="40">
        <f>SUM('ФАКТ ЧИСТ ПОДЗЕМ'!S5:S52)</f>
        <v/>
      </c>
      <c r="H61" s="6">
        <f>IF(F61=0,0,G61/F61)</f>
        <v/>
      </c>
      <c r="I61" s="6">
        <f>H61*E61</f>
        <v/>
      </c>
    </row>
    <row r="62">
      <c r="A62" s="9" t="n"/>
      <c r="B62" s="43" t="inlineStr">
        <is>
          <t xml:space="preserve">   Заполн. проемов</t>
        </is>
      </c>
      <c r="C62" s="9" t="inlineStr">
        <is>
          <t>Вид</t>
        </is>
      </c>
      <c r="D62" s="9" t="n"/>
      <c r="E62" s="42">
        <f>СПРАВОЧНИК!$O$7</f>
        <v/>
      </c>
      <c r="F62" s="3">
        <f>F53</f>
        <v/>
      </c>
      <c r="G62" s="40">
        <f>SUM('ФАКТ ЧИСТ ПОДЗЕМ'!T5:T52)</f>
        <v/>
      </c>
      <c r="H62" s="6">
        <f>IF(F62=0,0,G62/F62)</f>
        <v/>
      </c>
      <c r="I62" s="6">
        <f>H62*E62</f>
        <v/>
      </c>
    </row>
    <row r="63">
      <c r="B63" s="23" t="inlineStr">
        <is>
          <t xml:space="preserve">  ✓ Сумма</t>
        </is>
      </c>
      <c r="D63" s="44">
        <f>D54+D58</f>
        <v/>
      </c>
    </row>
    <row r="64"/>
    <row r="65">
      <c r="A65" s="8" t="inlineStr">
        <is>
          <t>8.1.6</t>
        </is>
      </c>
      <c r="B65" s="16">
        <f>СПРАВОЧНИК!C8</f>
        <v/>
      </c>
      <c r="C65" s="9" t="inlineStr">
        <is>
          <t>Главная</t>
        </is>
      </c>
      <c r="D65" s="9" t="n"/>
      <c r="E65" s="9" t="n"/>
      <c r="F65" s="3">
        <f>СПРАВОЧНИК!B8</f>
        <v/>
      </c>
      <c r="G65" s="40">
        <f>G66*D66+G70*D70</f>
        <v/>
      </c>
      <c r="H65" s="6">
        <f>IF(F65=0,0,G65/F65)</f>
        <v/>
      </c>
      <c r="I65" s="6">
        <f>I66+I70</f>
        <v/>
      </c>
    </row>
    <row r="66">
      <c r="A66" s="9" t="n"/>
      <c r="B66" s="41" t="inlineStr">
        <is>
          <t xml:space="preserve">  Черновая</t>
        </is>
      </c>
      <c r="C66" s="9" t="inlineStr">
        <is>
          <t>Категория</t>
        </is>
      </c>
      <c r="D66" s="42">
        <f>СПРАВОЧНИК!E8</f>
        <v/>
      </c>
      <c r="E66" s="9" t="n"/>
      <c r="F66" s="3">
        <f>F61</f>
        <v/>
      </c>
      <c r="G66" s="40">
        <f>G67*E67+G68*E68+G69*E69</f>
        <v/>
      </c>
      <c r="H66" s="6">
        <f>IF(F62=0,0,G62/F62)</f>
        <v/>
      </c>
      <c r="I66" s="6">
        <f>H66*D66</f>
        <v/>
      </c>
    </row>
    <row r="67">
      <c r="A67" s="9" t="n"/>
      <c r="B67" s="43" t="inlineStr">
        <is>
          <t xml:space="preserve">   Пол</t>
        </is>
      </c>
      <c r="C67" s="9" t="inlineStr">
        <is>
          <t>Вид</t>
        </is>
      </c>
      <c r="D67" s="9" t="n"/>
      <c r="E67" s="42">
        <f>СПРАВОЧНИК!$H$8</f>
        <v/>
      </c>
      <c r="F67" s="3">
        <f>F65</f>
        <v/>
      </c>
      <c r="G67" s="40">
        <f>SUM('ФАКТ ЧЕРН ПОДЗЕМ'!Q5:Q52)</f>
        <v/>
      </c>
      <c r="H67" s="6">
        <f>IF(F67=0,0,G67/F67)</f>
        <v/>
      </c>
      <c r="I67" s="6">
        <f>H67*E67</f>
        <v/>
      </c>
    </row>
    <row r="68">
      <c r="A68" s="9" t="n"/>
      <c r="B68" s="43" t="inlineStr">
        <is>
          <t xml:space="preserve">   Стены</t>
        </is>
      </c>
      <c r="C68" s="9" t="inlineStr">
        <is>
          <t>Вид</t>
        </is>
      </c>
      <c r="D68" s="9" t="n"/>
      <c r="E68" s="42">
        <f>СПРАВОЧНИК!$I$8</f>
        <v/>
      </c>
      <c r="F68" s="3">
        <f>F65</f>
        <v/>
      </c>
      <c r="G68" s="40">
        <f>SUM('ФАКТ ЧЕРН ПОДЗЕМ'!R5:R52)</f>
        <v/>
      </c>
      <c r="H68" s="6">
        <f>IF(F68=0,0,G68/F68)</f>
        <v/>
      </c>
      <c r="I68" s="6">
        <f>H68*E68</f>
        <v/>
      </c>
    </row>
    <row r="69">
      <c r="A69" s="9" t="n"/>
      <c r="B69" s="43" t="inlineStr">
        <is>
          <t xml:space="preserve">   Потолок</t>
        </is>
      </c>
      <c r="C69" s="9" t="inlineStr">
        <is>
          <t>Вид</t>
        </is>
      </c>
      <c r="D69" s="9" t="n"/>
      <c r="E69" s="42">
        <f>СПРАВОЧНИК!$J$8</f>
        <v/>
      </c>
      <c r="F69" s="3">
        <f>F65</f>
        <v/>
      </c>
      <c r="G69" s="40">
        <f>SUM('ФАКТ ЧЕРН ПОДЗЕМ'!S5:S52)</f>
        <v/>
      </c>
      <c r="H69" s="6">
        <f>IF(F69=0,0,G69/F69)</f>
        <v/>
      </c>
      <c r="I69" s="6">
        <f>H69*E69</f>
        <v/>
      </c>
    </row>
    <row r="70">
      <c r="A70" s="9" t="n"/>
      <c r="B70" s="41" t="inlineStr">
        <is>
          <t xml:space="preserve">  Чистовая</t>
        </is>
      </c>
      <c r="C70" s="9" t="inlineStr">
        <is>
          <t>Категория</t>
        </is>
      </c>
      <c r="D70" s="42">
        <f>СПРАВОЧНИК!F8</f>
        <v/>
      </c>
      <c r="E70" s="9" t="n"/>
      <c r="F70" s="3">
        <f>F61</f>
        <v/>
      </c>
      <c r="G70" s="40">
        <f>G71*E71+G72*E72+G73*E73</f>
        <v/>
      </c>
      <c r="H70" s="6">
        <f>IF(F66=0,0,G66/F66)</f>
        <v/>
      </c>
      <c r="I70" s="6">
        <f>H70*D70</f>
        <v/>
      </c>
    </row>
    <row r="71">
      <c r="A71" s="9" t="n"/>
      <c r="B71" s="43" t="inlineStr">
        <is>
          <t xml:space="preserve">   Пол</t>
        </is>
      </c>
      <c r="C71" s="9" t="inlineStr">
        <is>
          <t>Вид</t>
        </is>
      </c>
      <c r="D71" s="9" t="n"/>
      <c r="E71" s="42">
        <f>СПРАВОЧНИК!$L$8</f>
        <v/>
      </c>
      <c r="F71" s="3">
        <f>F65</f>
        <v/>
      </c>
      <c r="G71" s="40">
        <f>SUM('ФАКТ ЧИСТ ПОДЗЕМ'!U5:U52)</f>
        <v/>
      </c>
      <c r="H71" s="6">
        <f>IF(F71=0,0,G71/F71)</f>
        <v/>
      </c>
      <c r="I71" s="6">
        <f>H71*E71</f>
        <v/>
      </c>
    </row>
    <row r="72">
      <c r="A72" s="9" t="n"/>
      <c r="B72" s="43" t="inlineStr">
        <is>
          <t xml:space="preserve">   Стены</t>
        </is>
      </c>
      <c r="C72" s="9" t="inlineStr">
        <is>
          <t>Вид</t>
        </is>
      </c>
      <c r="D72" s="9" t="n"/>
      <c r="E72" s="42">
        <f>СПРАВОЧНИК!$M$8</f>
        <v/>
      </c>
      <c r="F72" s="3">
        <f>F65</f>
        <v/>
      </c>
      <c r="G72" s="40">
        <f>SUM('ФАКТ ЧИСТ ПОДЗЕМ'!V5:V52)</f>
        <v/>
      </c>
      <c r="H72" s="6">
        <f>IF(F72=0,0,G72/F72)</f>
        <v/>
      </c>
      <c r="I72" s="6">
        <f>H72*E72</f>
        <v/>
      </c>
    </row>
    <row r="73">
      <c r="A73" s="9" t="n"/>
      <c r="B73" s="43" t="inlineStr">
        <is>
          <t xml:space="preserve">   Потолок</t>
        </is>
      </c>
      <c r="C73" s="9" t="inlineStr">
        <is>
          <t>Вид</t>
        </is>
      </c>
      <c r="D73" s="9" t="n"/>
      <c r="E73" s="42">
        <f>СПРАВОЧНИК!$N$8</f>
        <v/>
      </c>
      <c r="F73" s="3">
        <f>F65</f>
        <v/>
      </c>
      <c r="G73" s="40">
        <f>SUM('ФАКТ ЧИСТ ПОДЗЕМ'!W5:W52)</f>
        <v/>
      </c>
      <c r="H73" s="6">
        <f>IF(F73=0,0,G73/F73)</f>
        <v/>
      </c>
      <c r="I73" s="6">
        <f>H73*E73</f>
        <v/>
      </c>
    </row>
    <row r="74">
      <c r="B74" s="23" t="inlineStr">
        <is>
          <t xml:space="preserve">  ✓ Сумма</t>
        </is>
      </c>
      <c r="D74" s="44">
        <f>D66+D70</f>
        <v/>
      </c>
    </row>
    <row r="75"/>
    <row r="76">
      <c r="A76" s="75" t="inlineStr">
        <is>
          <t>НАДЗЕМНАЯ ЧАСТЬ — К1</t>
        </is>
      </c>
    </row>
    <row r="77">
      <c r="A77" s="81" t="inlineStr">
        <is>
          <t>Код</t>
        </is>
      </c>
      <c r="B77" s="81" t="inlineStr">
        <is>
          <t>Название</t>
        </is>
      </c>
      <c r="C77" s="81" t="inlineStr">
        <is>
          <t>Тип</t>
        </is>
      </c>
      <c r="D77" s="81" t="inlineStr">
        <is>
          <t>Вес ур.4</t>
        </is>
      </c>
      <c r="E77" s="81" t="inlineStr">
        <is>
          <t>Вес ур.5</t>
        </is>
      </c>
      <c r="F77" s="81" t="inlineStr">
        <is>
          <t>План м²</t>
        </is>
      </c>
      <c r="G77" s="81" t="inlineStr">
        <is>
          <t>Факт м²</t>
        </is>
      </c>
      <c r="H77" s="81" t="inlineStr">
        <is>
          <t>Факт %</t>
        </is>
      </c>
      <c r="I77" s="81" t="inlineStr">
        <is>
          <t>Взвеш. %</t>
        </is>
      </c>
    </row>
    <row r="78">
      <c r="A78" s="8" t="inlineStr">
        <is>
          <t>8.2.1</t>
        </is>
      </c>
      <c r="B78" s="16">
        <f>СПРАВОЧНИК!C9</f>
        <v/>
      </c>
      <c r="C78" s="9" t="inlineStr">
        <is>
          <t>Главная</t>
        </is>
      </c>
      <c r="D78" s="9" t="n"/>
      <c r="E78" s="9" t="n"/>
      <c r="F78" s="3">
        <f>СПРАВОЧНИК!B9</f>
        <v/>
      </c>
      <c r="G78" s="40">
        <f>G79*D79+G83*D83</f>
        <v/>
      </c>
      <c r="H78" s="6">
        <f>IF(F78=0,0,G78/F78)</f>
        <v/>
      </c>
      <c r="I78" s="6">
        <f>I79+I83</f>
        <v/>
      </c>
    </row>
    <row r="79">
      <c r="A79" s="9" t="n"/>
      <c r="B79" s="41" t="inlineStr">
        <is>
          <t xml:space="preserve">  Черновая</t>
        </is>
      </c>
      <c r="C79" s="9" t="inlineStr">
        <is>
          <t>Категория</t>
        </is>
      </c>
      <c r="D79" s="42">
        <f>СПРАВОЧНИК!E9</f>
        <v/>
      </c>
      <c r="E79" s="9" t="n"/>
      <c r="F79" s="3">
        <f>F74</f>
        <v/>
      </c>
      <c r="G79" s="40">
        <f>G80*E80+G81*E81+G82*E82</f>
        <v/>
      </c>
      <c r="H79" s="6">
        <f>IF(F75=0,0,G75/F75)</f>
        <v/>
      </c>
      <c r="I79" s="6">
        <f>H79*D79</f>
        <v/>
      </c>
    </row>
    <row r="80">
      <c r="A80" s="9" t="n"/>
      <c r="B80" s="43" t="inlineStr">
        <is>
          <t xml:space="preserve">   Пол</t>
        </is>
      </c>
      <c r="C80" s="9" t="inlineStr">
        <is>
          <t>Вид</t>
        </is>
      </c>
      <c r="D80" s="9" t="n"/>
      <c r="E80" s="42">
        <f>СПРАВОЧНИК!$H$9</f>
        <v/>
      </c>
      <c r="F80" s="3">
        <f>F78</f>
        <v/>
      </c>
      <c r="G80" s="40">
        <f>SUM('ФАКТ ЧЕРН К1'!B5:B52)</f>
        <v/>
      </c>
      <c r="H80" s="6">
        <f>IF(F80=0,0,G80/F80)</f>
        <v/>
      </c>
      <c r="I80" s="6">
        <f>H80*E80</f>
        <v/>
      </c>
    </row>
    <row r="81">
      <c r="A81" s="9" t="n"/>
      <c r="B81" s="43" t="inlineStr">
        <is>
          <t xml:space="preserve">   Стены</t>
        </is>
      </c>
      <c r="C81" s="9" t="inlineStr">
        <is>
          <t>Вид</t>
        </is>
      </c>
      <c r="D81" s="9" t="n"/>
      <c r="E81" s="42">
        <f>СПРАВОЧНИК!$I$9</f>
        <v/>
      </c>
      <c r="F81" s="3">
        <f>F78</f>
        <v/>
      </c>
      <c r="G81" s="40">
        <f>SUM('ФАКТ ЧЕРН К1'!C5:C52)</f>
        <v/>
      </c>
      <c r="H81" s="6">
        <f>IF(F81=0,0,G81/F81)</f>
        <v/>
      </c>
      <c r="I81" s="6">
        <f>H81*E81</f>
        <v/>
      </c>
    </row>
    <row r="82">
      <c r="A82" s="9" t="n"/>
      <c r="B82" s="43" t="inlineStr">
        <is>
          <t xml:space="preserve">   Потолок</t>
        </is>
      </c>
      <c r="C82" s="9" t="inlineStr">
        <is>
          <t>Вид</t>
        </is>
      </c>
      <c r="D82" s="9" t="n"/>
      <c r="E82" s="42">
        <f>СПРАВОЧНИК!$J$9</f>
        <v/>
      </c>
      <c r="F82" s="3">
        <f>F78</f>
        <v/>
      </c>
      <c r="G82" s="40">
        <f>SUM('ФАКТ ЧЕРН К1'!D5:D52)</f>
        <v/>
      </c>
      <c r="H82" s="6">
        <f>IF(F82=0,0,G82/F82)</f>
        <v/>
      </c>
      <c r="I82" s="6">
        <f>H82*E82</f>
        <v/>
      </c>
    </row>
    <row r="83">
      <c r="A83" s="9" t="n"/>
      <c r="B83" s="41" t="inlineStr">
        <is>
          <t xml:space="preserve">  Чистовая</t>
        </is>
      </c>
      <c r="C83" s="9" t="inlineStr">
        <is>
          <t>Категория</t>
        </is>
      </c>
      <c r="D83" s="42">
        <f>СПРАВОЧНИК!F9</f>
        <v/>
      </c>
      <c r="E83" s="9" t="n"/>
      <c r="F83" s="3">
        <f>F74</f>
        <v/>
      </c>
      <c r="G83" s="40">
        <f>G84*E84+G85*E85+G86*E86+G87*E87</f>
        <v/>
      </c>
      <c r="H83" s="6">
        <f>IF(F79=0,0,G79/F79)</f>
        <v/>
      </c>
      <c r="I83" s="6">
        <f>H83*D83</f>
        <v/>
      </c>
    </row>
    <row r="84">
      <c r="A84" s="9" t="n"/>
      <c r="B84" s="43" t="inlineStr">
        <is>
          <t xml:space="preserve">   Пол</t>
        </is>
      </c>
      <c r="C84" s="9" t="inlineStr">
        <is>
          <t>Вид</t>
        </is>
      </c>
      <c r="D84" s="9" t="n"/>
      <c r="E84" s="42">
        <f>СПРАВОЧНИК!$L$9</f>
        <v/>
      </c>
      <c r="F84" s="3">
        <f>F78</f>
        <v/>
      </c>
      <c r="G84" s="40">
        <f>SUM('ФАКТ ЧИСТ К1'!B5:B52)</f>
        <v/>
      </c>
      <c r="H84" s="6">
        <f>IF(F84=0,0,G84/F84)</f>
        <v/>
      </c>
      <c r="I84" s="6">
        <f>H84*E84</f>
        <v/>
      </c>
    </row>
    <row r="85">
      <c r="A85" s="9" t="n"/>
      <c r="B85" s="43" t="inlineStr">
        <is>
          <t xml:space="preserve">   Стены</t>
        </is>
      </c>
      <c r="C85" s="9" t="inlineStr">
        <is>
          <t>Вид</t>
        </is>
      </c>
      <c r="D85" s="9" t="n"/>
      <c r="E85" s="42">
        <f>СПРАВОЧНИК!$M$9</f>
        <v/>
      </c>
      <c r="F85" s="3">
        <f>F78</f>
        <v/>
      </c>
      <c r="G85" s="40">
        <f>SUM('ФАКТ ЧИСТ К1'!C5:C52)</f>
        <v/>
      </c>
      <c r="H85" s="6">
        <f>IF(F85=0,0,G85/F85)</f>
        <v/>
      </c>
      <c r="I85" s="6">
        <f>H85*E85</f>
        <v/>
      </c>
    </row>
    <row r="86">
      <c r="A86" s="9" t="n"/>
      <c r="B86" s="43" t="inlineStr">
        <is>
          <t xml:space="preserve">   Потолок</t>
        </is>
      </c>
      <c r="C86" s="9" t="inlineStr">
        <is>
          <t>Вид</t>
        </is>
      </c>
      <c r="D86" s="9" t="n"/>
      <c r="E86" s="42">
        <f>СПРАВОЧНИК!$N$9</f>
        <v/>
      </c>
      <c r="F86" s="3">
        <f>F78</f>
        <v/>
      </c>
      <c r="G86" s="40">
        <f>SUM('ФАКТ ЧИСТ К1'!D5:D52)</f>
        <v/>
      </c>
      <c r="H86" s="6">
        <f>IF(F86=0,0,G86/F86)</f>
        <v/>
      </c>
      <c r="I86" s="6">
        <f>H86*E86</f>
        <v/>
      </c>
    </row>
    <row r="87">
      <c r="A87" s="9" t="n"/>
      <c r="B87" s="43" t="inlineStr">
        <is>
          <t xml:space="preserve">   Заполн. проемов</t>
        </is>
      </c>
      <c r="C87" s="9" t="inlineStr">
        <is>
          <t>Вид</t>
        </is>
      </c>
      <c r="D87" s="9" t="n"/>
      <c r="E87" s="42">
        <f>СПРАВОЧНИК!$O$9</f>
        <v/>
      </c>
      <c r="F87" s="3">
        <f>F78</f>
        <v/>
      </c>
      <c r="G87" s="40">
        <f>SUM('ФАКТ ЧИСТ К1'!E5:E52)</f>
        <v/>
      </c>
      <c r="H87" s="6">
        <f>IF(F87=0,0,G87/F87)</f>
        <v/>
      </c>
      <c r="I87" s="6">
        <f>H87*E87</f>
        <v/>
      </c>
    </row>
    <row r="88">
      <c r="B88" s="23" t="inlineStr">
        <is>
          <t xml:space="preserve">  ✓ Сумма</t>
        </is>
      </c>
      <c r="D88" s="44">
        <f>D79+D83</f>
        <v/>
      </c>
    </row>
    <row r="89"/>
    <row r="90">
      <c r="A90" s="8" t="inlineStr">
        <is>
          <t>8.2.2</t>
        </is>
      </c>
      <c r="B90" s="16">
        <f>СПРАВОЧНИК!C10</f>
        <v/>
      </c>
      <c r="C90" s="9" t="inlineStr">
        <is>
          <t>Главная</t>
        </is>
      </c>
      <c r="D90" s="9" t="n"/>
      <c r="E90" s="9" t="n"/>
      <c r="F90" s="3">
        <f>СПРАВОЧНИК!B10</f>
        <v/>
      </c>
      <c r="G90" s="40">
        <f>G91*D91+G95*D95</f>
        <v/>
      </c>
      <c r="H90" s="6">
        <f>IF(F90=0,0,G90/F90)</f>
        <v/>
      </c>
      <c r="I90" s="6">
        <f>I91+I95</f>
        <v/>
      </c>
    </row>
    <row r="91">
      <c r="A91" s="9" t="n"/>
      <c r="B91" s="41" t="inlineStr">
        <is>
          <t xml:space="preserve">  Черновая</t>
        </is>
      </c>
      <c r="C91" s="9" t="inlineStr">
        <is>
          <t>Категория</t>
        </is>
      </c>
      <c r="D91" s="42">
        <f>СПРАВОЧНИК!E10</f>
        <v/>
      </c>
      <c r="E91" s="9" t="n"/>
      <c r="F91" s="3">
        <f>F86</f>
        <v/>
      </c>
      <c r="G91" s="40">
        <f>G92*E92+G93*E93+G94*E94</f>
        <v/>
      </c>
      <c r="H91" s="6">
        <f>IF(F87=0,0,G87/F87)</f>
        <v/>
      </c>
      <c r="I91" s="6">
        <f>H91*D91</f>
        <v/>
      </c>
    </row>
    <row r="92">
      <c r="A92" s="9" t="n"/>
      <c r="B92" s="43" t="inlineStr">
        <is>
          <t xml:space="preserve">   Пол</t>
        </is>
      </c>
      <c r="C92" s="9" t="inlineStr">
        <is>
          <t>Вид</t>
        </is>
      </c>
      <c r="D92" s="9" t="n"/>
      <c r="E92" s="42">
        <f>СПРАВОЧНИК!$H$10</f>
        <v/>
      </c>
      <c r="F92" s="3">
        <f>F90</f>
        <v/>
      </c>
      <c r="G92" s="40">
        <f>SUM('ФАКТ ЧЕРН К1'!E5:E52)</f>
        <v/>
      </c>
      <c r="H92" s="6">
        <f>IF(F92=0,0,G92/F92)</f>
        <v/>
      </c>
      <c r="I92" s="6">
        <f>H92*E92</f>
        <v/>
      </c>
    </row>
    <row r="93">
      <c r="A93" s="9" t="n"/>
      <c r="B93" s="43" t="inlineStr">
        <is>
          <t xml:space="preserve">   Стены</t>
        </is>
      </c>
      <c r="C93" s="9" t="inlineStr">
        <is>
          <t>Вид</t>
        </is>
      </c>
      <c r="D93" s="9" t="n"/>
      <c r="E93" s="42">
        <f>СПРАВОЧНИК!$I$10</f>
        <v/>
      </c>
      <c r="F93" s="3">
        <f>F90</f>
        <v/>
      </c>
      <c r="G93" s="40">
        <f>SUM('ФАКТ ЧЕРН К1'!F5:F52)</f>
        <v/>
      </c>
      <c r="H93" s="6">
        <f>IF(F93=0,0,G93/F93)</f>
        <v/>
      </c>
      <c r="I93" s="6">
        <f>H93*E93</f>
        <v/>
      </c>
    </row>
    <row r="94">
      <c r="A94" s="9" t="n"/>
      <c r="B94" s="43" t="inlineStr">
        <is>
          <t xml:space="preserve">   Потолок</t>
        </is>
      </c>
      <c r="C94" s="9" t="inlineStr">
        <is>
          <t>Вид</t>
        </is>
      </c>
      <c r="D94" s="9" t="n"/>
      <c r="E94" s="42">
        <f>СПРАВОЧНИК!$J$10</f>
        <v/>
      </c>
      <c r="F94" s="3">
        <f>F90</f>
        <v/>
      </c>
      <c r="G94" s="40">
        <f>SUM('ФАКТ ЧЕРН К1'!G5:G52)</f>
        <v/>
      </c>
      <c r="H94" s="6">
        <f>IF(F94=0,0,G94/F94)</f>
        <v/>
      </c>
      <c r="I94" s="6">
        <f>H94*E94</f>
        <v/>
      </c>
    </row>
    <row r="95">
      <c r="A95" s="9" t="n"/>
      <c r="B95" s="41" t="inlineStr">
        <is>
          <t xml:space="preserve">  Чистовая</t>
        </is>
      </c>
      <c r="C95" s="9" t="inlineStr">
        <is>
          <t>Категория</t>
        </is>
      </c>
      <c r="D95" s="42">
        <f>СПРАВОЧНИК!F10</f>
        <v/>
      </c>
      <c r="E95" s="9" t="n"/>
      <c r="F95" s="3">
        <f>F86</f>
        <v/>
      </c>
      <c r="G95" s="40">
        <f>G96*E96+G97*E97+G98*E98+G99*E99</f>
        <v/>
      </c>
      <c r="H95" s="6">
        <f>IF(F91=0,0,G91/F91)</f>
        <v/>
      </c>
      <c r="I95" s="6">
        <f>H95*D95</f>
        <v/>
      </c>
    </row>
    <row r="96">
      <c r="A96" s="9" t="n"/>
      <c r="B96" s="43" t="inlineStr">
        <is>
          <t xml:space="preserve">   Пол</t>
        </is>
      </c>
      <c r="C96" s="9" t="inlineStr">
        <is>
          <t>Вид</t>
        </is>
      </c>
      <c r="D96" s="9" t="n"/>
      <c r="E96" s="42">
        <f>СПРАВОЧНИК!$L$10</f>
        <v/>
      </c>
      <c r="F96" s="3">
        <f>F90</f>
        <v/>
      </c>
      <c r="G96" s="40">
        <f>SUM('ФАКТ ЧИСТ К1'!F5:F52)</f>
        <v/>
      </c>
      <c r="H96" s="6">
        <f>IF(F96=0,0,G96/F96)</f>
        <v/>
      </c>
      <c r="I96" s="6">
        <f>H96*E96</f>
        <v/>
      </c>
    </row>
    <row r="97">
      <c r="A97" s="9" t="n"/>
      <c r="B97" s="43" t="inlineStr">
        <is>
          <t xml:space="preserve">   Стены</t>
        </is>
      </c>
      <c r="C97" s="9" t="inlineStr">
        <is>
          <t>Вид</t>
        </is>
      </c>
      <c r="D97" s="9" t="n"/>
      <c r="E97" s="42">
        <f>СПРАВОЧНИК!$M$10</f>
        <v/>
      </c>
      <c r="F97" s="3">
        <f>F90</f>
        <v/>
      </c>
      <c r="G97" s="40">
        <f>SUM('ФАКТ ЧИСТ К1'!G5:G52)</f>
        <v/>
      </c>
      <c r="H97" s="6">
        <f>IF(F97=0,0,G97/F97)</f>
        <v/>
      </c>
      <c r="I97" s="6">
        <f>H97*E97</f>
        <v/>
      </c>
    </row>
    <row r="98">
      <c r="A98" s="9" t="n"/>
      <c r="B98" s="43" t="inlineStr">
        <is>
          <t xml:space="preserve">   Потолок</t>
        </is>
      </c>
      <c r="C98" s="9" t="inlineStr">
        <is>
          <t>Вид</t>
        </is>
      </c>
      <c r="D98" s="9" t="n"/>
      <c r="E98" s="42">
        <f>СПРАВОЧНИК!$N$10</f>
        <v/>
      </c>
      <c r="F98" s="3">
        <f>F90</f>
        <v/>
      </c>
      <c r="G98" s="40">
        <f>SUM('ФАКТ ЧИСТ К1'!H5:H52)</f>
        <v/>
      </c>
      <c r="H98" s="6">
        <f>IF(F98=0,0,G98/F98)</f>
        <v/>
      </c>
      <c r="I98" s="6">
        <f>H98*E98</f>
        <v/>
      </c>
    </row>
    <row r="99">
      <c r="A99" s="9" t="n"/>
      <c r="B99" s="43" t="inlineStr">
        <is>
          <t xml:space="preserve">   Заполн. проемов</t>
        </is>
      </c>
      <c r="C99" s="9" t="inlineStr">
        <is>
          <t>Вид</t>
        </is>
      </c>
      <c r="D99" s="9" t="n"/>
      <c r="E99" s="42">
        <f>СПРАВОЧНИК!$O$10</f>
        <v/>
      </c>
      <c r="F99" s="3">
        <f>F90</f>
        <v/>
      </c>
      <c r="G99" s="40">
        <f>SUM('ФАКТ ЧИСТ К1'!I5:I52)</f>
        <v/>
      </c>
      <c r="H99" s="6">
        <f>IF(F99=0,0,G99/F99)</f>
        <v/>
      </c>
      <c r="I99" s="6">
        <f>H99*E99</f>
        <v/>
      </c>
    </row>
    <row r="100">
      <c r="B100" s="23" t="inlineStr">
        <is>
          <t xml:space="preserve">  ✓ Сумма</t>
        </is>
      </c>
      <c r="D100" s="44">
        <f>D91+D95</f>
        <v/>
      </c>
    </row>
    <row r="101"/>
    <row r="102">
      <c r="A102" s="8" t="inlineStr">
        <is>
          <t>8.2.3</t>
        </is>
      </c>
      <c r="B102" s="16">
        <f>СПРАВОЧНИК!C11</f>
        <v/>
      </c>
      <c r="C102" s="9" t="inlineStr">
        <is>
          <t>Главная</t>
        </is>
      </c>
      <c r="D102" s="9" t="n"/>
      <c r="E102" s="9" t="n"/>
      <c r="F102" s="3">
        <f>СПРАВОЧНИК!B11</f>
        <v/>
      </c>
      <c r="G102" s="40">
        <f>G103*D103+G107*D107</f>
        <v/>
      </c>
      <c r="H102" s="6">
        <f>IF(F102=0,0,G102/F102)</f>
        <v/>
      </c>
      <c r="I102" s="6">
        <f>I103+I107</f>
        <v/>
      </c>
    </row>
    <row r="103">
      <c r="A103" s="9" t="n"/>
      <c r="B103" s="41" t="inlineStr">
        <is>
          <t xml:space="preserve">  Черновая</t>
        </is>
      </c>
      <c r="C103" s="9" t="inlineStr">
        <is>
          <t>Категория</t>
        </is>
      </c>
      <c r="D103" s="42">
        <f>СПРАВОЧНИК!E11</f>
        <v/>
      </c>
      <c r="E103" s="9" t="n"/>
      <c r="F103" s="3">
        <f>F97</f>
        <v/>
      </c>
      <c r="G103" s="40">
        <f>G104*E104+G105*E105+G106*E106</f>
        <v/>
      </c>
      <c r="H103" s="6">
        <f>IF(F98=0,0,G98/F98)</f>
        <v/>
      </c>
      <c r="I103" s="6">
        <f>H103*D103</f>
        <v/>
      </c>
    </row>
    <row r="104">
      <c r="A104" s="9" t="n"/>
      <c r="B104" s="43" t="inlineStr">
        <is>
          <t xml:space="preserve">   Пол</t>
        </is>
      </c>
      <c r="C104" s="9" t="inlineStr">
        <is>
          <t>Вид</t>
        </is>
      </c>
      <c r="D104" s="9" t="n"/>
      <c r="E104" s="42">
        <f>СПРАВОЧНИК!$H$11</f>
        <v/>
      </c>
      <c r="F104" s="3">
        <f>F102</f>
        <v/>
      </c>
      <c r="G104" s="40">
        <f>SUM('ФАКТ ЧЕРН К1'!H5:H52)</f>
        <v/>
      </c>
      <c r="H104" s="6">
        <f>IF(F104=0,0,G104/F104)</f>
        <v/>
      </c>
      <c r="I104" s="6">
        <f>H104*E104</f>
        <v/>
      </c>
    </row>
    <row r="105">
      <c r="A105" s="9" t="n"/>
      <c r="B105" s="43" t="inlineStr">
        <is>
          <t xml:space="preserve">   Стены</t>
        </is>
      </c>
      <c r="C105" s="9" t="inlineStr">
        <is>
          <t>Вид</t>
        </is>
      </c>
      <c r="D105" s="9" t="n"/>
      <c r="E105" s="42">
        <f>СПРАВОЧНИК!$I$11</f>
        <v/>
      </c>
      <c r="F105" s="3">
        <f>F102</f>
        <v/>
      </c>
      <c r="G105" s="40">
        <f>SUM('ФАКТ ЧЕРН К1'!I5:I52)</f>
        <v/>
      </c>
      <c r="H105" s="6">
        <f>IF(F105=0,0,G105/F105)</f>
        <v/>
      </c>
      <c r="I105" s="6">
        <f>H105*E105</f>
        <v/>
      </c>
    </row>
    <row r="106">
      <c r="A106" s="9" t="n"/>
      <c r="B106" s="43" t="inlineStr">
        <is>
          <t xml:space="preserve">   Потолок</t>
        </is>
      </c>
      <c r="C106" s="9" t="inlineStr">
        <is>
          <t>Вид</t>
        </is>
      </c>
      <c r="D106" s="9" t="n"/>
      <c r="E106" s="42">
        <f>СПРАВОЧНИК!$J$11</f>
        <v/>
      </c>
      <c r="F106" s="3">
        <f>F102</f>
        <v/>
      </c>
      <c r="G106" s="40">
        <f>SUM('ФАКТ ЧЕРН К1'!J5:J52)</f>
        <v/>
      </c>
      <c r="H106" s="6">
        <f>IF(F106=0,0,G106/F106)</f>
        <v/>
      </c>
      <c r="I106" s="6">
        <f>H106*E106</f>
        <v/>
      </c>
    </row>
    <row r="107">
      <c r="A107" s="9" t="n"/>
      <c r="B107" s="41" t="inlineStr">
        <is>
          <t xml:space="preserve">  Чистовая</t>
        </is>
      </c>
      <c r="C107" s="9" t="inlineStr">
        <is>
          <t>Категория</t>
        </is>
      </c>
      <c r="D107" s="42">
        <f>СПРАВОЧНИК!F11</f>
        <v/>
      </c>
      <c r="E107" s="9" t="n"/>
      <c r="F107" s="3">
        <f>F97</f>
        <v/>
      </c>
      <c r="G107" s="40">
        <f>G108*E108+G109*E109+G110*E110</f>
        <v/>
      </c>
      <c r="H107" s="6">
        <f>IF(F102=0,0,G102/F102)</f>
        <v/>
      </c>
      <c r="I107" s="6">
        <f>H107*D107</f>
        <v/>
      </c>
    </row>
    <row r="108">
      <c r="A108" s="9" t="n"/>
      <c r="B108" s="43" t="inlineStr">
        <is>
          <t xml:space="preserve">   Пол</t>
        </is>
      </c>
      <c r="C108" s="9" t="inlineStr">
        <is>
          <t>Вид</t>
        </is>
      </c>
      <c r="D108" s="9" t="n"/>
      <c r="E108" s="42">
        <f>СПРАВОЧНИК!$L$11</f>
        <v/>
      </c>
      <c r="F108" s="3">
        <f>F102</f>
        <v/>
      </c>
      <c r="G108" s="40">
        <f>SUM('ФАКТ ЧИСТ К1'!J5:J52)</f>
        <v/>
      </c>
      <c r="H108" s="6">
        <f>IF(F108=0,0,G108/F108)</f>
        <v/>
      </c>
      <c r="I108" s="6">
        <f>H108*E108</f>
        <v/>
      </c>
    </row>
    <row r="109">
      <c r="A109" s="9" t="n"/>
      <c r="B109" s="43" t="inlineStr">
        <is>
          <t xml:space="preserve">   Стены</t>
        </is>
      </c>
      <c r="C109" s="9" t="inlineStr">
        <is>
          <t>Вид</t>
        </is>
      </c>
      <c r="D109" s="9" t="n"/>
      <c r="E109" s="42">
        <f>СПРАВОЧНИК!$M$11</f>
        <v/>
      </c>
      <c r="F109" s="3">
        <f>F102</f>
        <v/>
      </c>
      <c r="G109" s="40">
        <f>SUM('ФАКТ ЧИСТ К1'!K5:K52)</f>
        <v/>
      </c>
      <c r="H109" s="6">
        <f>IF(F109=0,0,G109/F109)</f>
        <v/>
      </c>
      <c r="I109" s="6">
        <f>H109*E109</f>
        <v/>
      </c>
    </row>
    <row r="110">
      <c r="A110" s="9" t="n"/>
      <c r="B110" s="43" t="inlineStr">
        <is>
          <t xml:space="preserve">   Потолок</t>
        </is>
      </c>
      <c r="C110" s="9" t="inlineStr">
        <is>
          <t>Вид</t>
        </is>
      </c>
      <c r="D110" s="9" t="n"/>
      <c r="E110" s="42">
        <f>СПРАВОЧНИК!$N$11</f>
        <v/>
      </c>
      <c r="F110" s="3">
        <f>F102</f>
        <v/>
      </c>
      <c r="G110" s="40">
        <f>SUM('ФАКТ ЧИСТ К1'!L5:L52)</f>
        <v/>
      </c>
      <c r="H110" s="6">
        <f>IF(F110=0,0,G110/F110)</f>
        <v/>
      </c>
      <c r="I110" s="6">
        <f>H110*E110</f>
        <v/>
      </c>
    </row>
    <row r="111">
      <c r="B111" s="23" t="inlineStr">
        <is>
          <t xml:space="preserve">  ✓ Сумма</t>
        </is>
      </c>
      <c r="D111" s="44">
        <f>D103+D107</f>
        <v/>
      </c>
    </row>
    <row r="112"/>
    <row r="113">
      <c r="A113" s="8" t="inlineStr">
        <is>
          <t>8.2.4</t>
        </is>
      </c>
      <c r="B113" s="16">
        <f>СПРАВОЧНИК!C12</f>
        <v/>
      </c>
      <c r="C113" s="9" t="inlineStr">
        <is>
          <t>Главная</t>
        </is>
      </c>
      <c r="D113" s="9" t="n"/>
      <c r="E113" s="9" t="n"/>
      <c r="F113" s="3">
        <f>СПРАВОЧНИК!B12</f>
        <v/>
      </c>
      <c r="G113" s="40">
        <f>G114*D114+G118*D118</f>
        <v/>
      </c>
      <c r="H113" s="6">
        <f>IF(F113=0,0,G113/F113)</f>
        <v/>
      </c>
      <c r="I113" s="6">
        <f>I114+I118</f>
        <v/>
      </c>
    </row>
    <row r="114">
      <c r="A114" s="9" t="n"/>
      <c r="B114" s="41" t="inlineStr">
        <is>
          <t xml:space="preserve">  Черновая</t>
        </is>
      </c>
      <c r="C114" s="9" t="inlineStr">
        <is>
          <t>Категория</t>
        </is>
      </c>
      <c r="D114" s="42">
        <f>СПРАВОЧНИК!E12</f>
        <v/>
      </c>
      <c r="E114" s="9" t="n"/>
      <c r="F114" s="3">
        <f>F108</f>
        <v/>
      </c>
      <c r="G114" s="40">
        <f>G115*E115+G116*E116+G117*E117</f>
        <v/>
      </c>
      <c r="H114" s="6">
        <f>IF(F109=0,0,G109/F109)</f>
        <v/>
      </c>
      <c r="I114" s="6">
        <f>H114*D114</f>
        <v/>
      </c>
    </row>
    <row r="115">
      <c r="A115" s="9" t="n"/>
      <c r="B115" s="43" t="inlineStr">
        <is>
          <t xml:space="preserve">   Пол</t>
        </is>
      </c>
      <c r="C115" s="9" t="inlineStr">
        <is>
          <t>Вид</t>
        </is>
      </c>
      <c r="D115" s="9" t="n"/>
      <c r="E115" s="42">
        <f>СПРАВОЧНИК!$H$12</f>
        <v/>
      </c>
      <c r="F115" s="3">
        <f>F113</f>
        <v/>
      </c>
      <c r="G115" s="40">
        <f>SUM('ФАКТ ЧЕРН К1'!K5:K52)</f>
        <v/>
      </c>
      <c r="H115" s="6">
        <f>IF(F115=0,0,G115/F115)</f>
        <v/>
      </c>
      <c r="I115" s="6">
        <f>H115*E115</f>
        <v/>
      </c>
    </row>
    <row r="116">
      <c r="A116" s="9" t="n"/>
      <c r="B116" s="43" t="inlineStr">
        <is>
          <t xml:space="preserve">   Стены</t>
        </is>
      </c>
      <c r="C116" s="9" t="inlineStr">
        <is>
          <t>Вид</t>
        </is>
      </c>
      <c r="D116" s="9" t="n"/>
      <c r="E116" s="42">
        <f>СПРАВОЧНИК!$I$12</f>
        <v/>
      </c>
      <c r="F116" s="3">
        <f>F113</f>
        <v/>
      </c>
      <c r="G116" s="40">
        <f>SUM('ФАКТ ЧЕРН К1'!L5:L52)</f>
        <v/>
      </c>
      <c r="H116" s="6">
        <f>IF(F116=0,0,G116/F116)</f>
        <v/>
      </c>
      <c r="I116" s="6">
        <f>H116*E116</f>
        <v/>
      </c>
    </row>
    <row r="117">
      <c r="A117" s="9" t="n"/>
      <c r="B117" s="43" t="inlineStr">
        <is>
          <t xml:space="preserve">   Потолок</t>
        </is>
      </c>
      <c r="C117" s="9" t="inlineStr">
        <is>
          <t>Вид</t>
        </is>
      </c>
      <c r="D117" s="9" t="n"/>
      <c r="E117" s="42">
        <f>СПРАВОЧНИК!$J$12</f>
        <v/>
      </c>
      <c r="F117" s="3">
        <f>F113</f>
        <v/>
      </c>
      <c r="G117" s="40">
        <f>SUM('ФАКТ ЧЕРН К1'!M5:M52)</f>
        <v/>
      </c>
      <c r="H117" s="6">
        <f>IF(F117=0,0,G117/F117)</f>
        <v/>
      </c>
      <c r="I117" s="6">
        <f>H117*E117</f>
        <v/>
      </c>
    </row>
    <row r="118">
      <c r="A118" s="9" t="n"/>
      <c r="B118" s="41" t="inlineStr">
        <is>
          <t xml:space="preserve">  Чистовая</t>
        </is>
      </c>
      <c r="C118" s="9" t="inlineStr">
        <is>
          <t>Категория</t>
        </is>
      </c>
      <c r="D118" s="42">
        <f>СПРАВОЧНИК!F12</f>
        <v/>
      </c>
      <c r="E118" s="9" t="n"/>
      <c r="F118" s="3">
        <f>F108</f>
        <v/>
      </c>
      <c r="G118" s="40">
        <f>G119*E119+G120*E120+G121*E121+G122*E122</f>
        <v/>
      </c>
      <c r="H118" s="6">
        <f>IF(F113=0,0,G113/F113)</f>
        <v/>
      </c>
      <c r="I118" s="6">
        <f>H118*D118</f>
        <v/>
      </c>
    </row>
    <row r="119">
      <c r="A119" s="9" t="n"/>
      <c r="B119" s="43" t="inlineStr">
        <is>
          <t xml:space="preserve">   Пол</t>
        </is>
      </c>
      <c r="C119" s="9" t="inlineStr">
        <is>
          <t>Вид</t>
        </is>
      </c>
      <c r="D119" s="9" t="n"/>
      <c r="E119" s="42">
        <f>СПРАВОЧНИК!$L$12</f>
        <v/>
      </c>
      <c r="F119" s="3">
        <f>F113</f>
        <v/>
      </c>
      <c r="G119" s="40">
        <f>SUM('ФАКТ ЧИСТ К1'!M5:M52)</f>
        <v/>
      </c>
      <c r="H119" s="6">
        <f>IF(F119=0,0,G119/F119)</f>
        <v/>
      </c>
      <c r="I119" s="6">
        <f>H119*E119</f>
        <v/>
      </c>
    </row>
    <row r="120">
      <c r="A120" s="9" t="n"/>
      <c r="B120" s="43" t="inlineStr">
        <is>
          <t xml:space="preserve">   Стены</t>
        </is>
      </c>
      <c r="C120" s="9" t="inlineStr">
        <is>
          <t>Вид</t>
        </is>
      </c>
      <c r="D120" s="9" t="n"/>
      <c r="E120" s="42">
        <f>СПРАВОЧНИК!$M$12</f>
        <v/>
      </c>
      <c r="F120" s="3">
        <f>F113</f>
        <v/>
      </c>
      <c r="G120" s="40">
        <f>SUM('ФАКТ ЧИСТ К1'!N5:N52)</f>
        <v/>
      </c>
      <c r="H120" s="6">
        <f>IF(F120=0,0,G120/F120)</f>
        <v/>
      </c>
      <c r="I120" s="6">
        <f>H120*E120</f>
        <v/>
      </c>
    </row>
    <row r="121">
      <c r="A121" s="9" t="n"/>
      <c r="B121" s="43" t="inlineStr">
        <is>
          <t xml:space="preserve">   Потолок</t>
        </is>
      </c>
      <c r="C121" s="9" t="inlineStr">
        <is>
          <t>Вид</t>
        </is>
      </c>
      <c r="D121" s="9" t="n"/>
      <c r="E121" s="42">
        <f>СПРАВОЧНИК!$N$12</f>
        <v/>
      </c>
      <c r="F121" s="3">
        <f>F113</f>
        <v/>
      </c>
      <c r="G121" s="40">
        <f>SUM('ФАКТ ЧИСТ К1'!O5:O52)</f>
        <v/>
      </c>
      <c r="H121" s="6">
        <f>IF(F121=0,0,G121/F121)</f>
        <v/>
      </c>
      <c r="I121" s="6">
        <f>H121*E121</f>
        <v/>
      </c>
    </row>
    <row r="122">
      <c r="A122" s="9" t="n"/>
      <c r="B122" s="43" t="inlineStr">
        <is>
          <t xml:space="preserve">   Заполн. проемов</t>
        </is>
      </c>
      <c r="C122" s="9" t="inlineStr">
        <is>
          <t>Вид</t>
        </is>
      </c>
      <c r="D122" s="9" t="n"/>
      <c r="E122" s="42">
        <f>СПРАВОЧНИК!$O$12</f>
        <v/>
      </c>
      <c r="F122" s="3">
        <f>F113</f>
        <v/>
      </c>
      <c r="G122" s="40">
        <f>SUM('ФАКТ ЧИСТ К1'!P5:P52)</f>
        <v/>
      </c>
      <c r="H122" s="6">
        <f>IF(F122=0,0,G122/F122)</f>
        <v/>
      </c>
      <c r="I122" s="6">
        <f>H122*E122</f>
        <v/>
      </c>
    </row>
    <row r="123">
      <c r="B123" s="23" t="inlineStr">
        <is>
          <t xml:space="preserve">  ✓ Сумма</t>
        </is>
      </c>
      <c r="D123" s="44">
        <f>D114+D118</f>
        <v/>
      </c>
    </row>
    <row r="124"/>
    <row r="125">
      <c r="A125" s="8" t="inlineStr">
        <is>
          <t>8.2.5</t>
        </is>
      </c>
      <c r="B125" s="16">
        <f>СПРАВОЧНИК!C13</f>
        <v/>
      </c>
      <c r="C125" s="9" t="inlineStr">
        <is>
          <t>Главная</t>
        </is>
      </c>
      <c r="D125" s="9" t="n"/>
      <c r="E125" s="9" t="n"/>
      <c r="F125" s="3">
        <f>СПРАВОЧНИК!B13</f>
        <v/>
      </c>
      <c r="G125" s="40">
        <f>G126*D126+G130*D130</f>
        <v/>
      </c>
      <c r="H125" s="6">
        <f>IF(F125=0,0,G125/F125)</f>
        <v/>
      </c>
      <c r="I125" s="6">
        <f>I126+I130</f>
        <v/>
      </c>
    </row>
    <row r="126">
      <c r="A126" s="9" t="n"/>
      <c r="B126" s="41" t="inlineStr">
        <is>
          <t xml:space="preserve">  Черновая</t>
        </is>
      </c>
      <c r="C126" s="9" t="inlineStr">
        <is>
          <t>Категория</t>
        </is>
      </c>
      <c r="D126" s="42">
        <f>СПРАВОЧНИК!E13</f>
        <v/>
      </c>
      <c r="E126" s="9" t="n"/>
      <c r="F126" s="3">
        <f>F119</f>
        <v/>
      </c>
      <c r="G126" s="40">
        <f>G127*E127+G128*E128+G129*E129</f>
        <v/>
      </c>
      <c r="H126" s="6">
        <f>IF(F120=0,0,G120/F120)</f>
        <v/>
      </c>
      <c r="I126" s="6">
        <f>H126*D126</f>
        <v/>
      </c>
    </row>
    <row r="127">
      <c r="A127" s="9" t="n"/>
      <c r="B127" s="43" t="inlineStr">
        <is>
          <t xml:space="preserve">   Пол</t>
        </is>
      </c>
      <c r="C127" s="9" t="inlineStr">
        <is>
          <t>Вид</t>
        </is>
      </c>
      <c r="D127" s="9" t="n"/>
      <c r="E127" s="42">
        <f>СПРАВОЧНИК!$H$13</f>
        <v/>
      </c>
      <c r="F127" s="3">
        <f>F125</f>
        <v/>
      </c>
      <c r="G127" s="40">
        <f>SUM('ФАКТ ЧЕРН К1'!N5:N52)</f>
        <v/>
      </c>
      <c r="H127" s="6">
        <f>IF(F127=0,0,G127/F127)</f>
        <v/>
      </c>
      <c r="I127" s="6">
        <f>H127*E127</f>
        <v/>
      </c>
    </row>
    <row r="128">
      <c r="A128" s="9" t="n"/>
      <c r="B128" s="43" t="inlineStr">
        <is>
          <t xml:space="preserve">   Стены</t>
        </is>
      </c>
      <c r="C128" s="9" t="inlineStr">
        <is>
          <t>Вид</t>
        </is>
      </c>
      <c r="D128" s="9" t="n"/>
      <c r="E128" s="42">
        <f>СПРАВОЧНИК!$I$13</f>
        <v/>
      </c>
      <c r="F128" s="3">
        <f>F125</f>
        <v/>
      </c>
      <c r="G128" s="40">
        <f>SUM('ФАКТ ЧЕРН К1'!O5:O52)</f>
        <v/>
      </c>
      <c r="H128" s="6">
        <f>IF(F128=0,0,G128/F128)</f>
        <v/>
      </c>
      <c r="I128" s="6">
        <f>H128*E128</f>
        <v/>
      </c>
    </row>
    <row r="129">
      <c r="A129" s="9" t="n"/>
      <c r="B129" s="43" t="inlineStr">
        <is>
          <t xml:space="preserve">   Потолок</t>
        </is>
      </c>
      <c r="C129" s="9" t="inlineStr">
        <is>
          <t>Вид</t>
        </is>
      </c>
      <c r="D129" s="9" t="n"/>
      <c r="E129" s="42">
        <f>СПРАВОЧНИК!$J$13</f>
        <v/>
      </c>
      <c r="F129" s="3">
        <f>F125</f>
        <v/>
      </c>
      <c r="G129" s="40">
        <f>SUM('ФАКТ ЧЕРН К1'!P5:P52)</f>
        <v/>
      </c>
      <c r="H129" s="6">
        <f>IF(F129=0,0,G129/F129)</f>
        <v/>
      </c>
      <c r="I129" s="6">
        <f>H129*E129</f>
        <v/>
      </c>
    </row>
    <row r="130">
      <c r="A130" s="9" t="n"/>
      <c r="B130" s="41" t="inlineStr">
        <is>
          <t xml:space="preserve">  Чистовая</t>
        </is>
      </c>
      <c r="C130" s="9" t="inlineStr">
        <is>
          <t>Категория</t>
        </is>
      </c>
      <c r="D130" s="42">
        <f>СПРАВОЧНИК!F13</f>
        <v/>
      </c>
      <c r="E130" s="9" t="n"/>
      <c r="F130" s="3">
        <f>F119</f>
        <v/>
      </c>
      <c r="G130" s="40">
        <f>G131*E131+G132*E132+G133*E133+G134*E134</f>
        <v/>
      </c>
      <c r="H130" s="6">
        <f>IF(F124=0,0,G124/F124)</f>
        <v/>
      </c>
      <c r="I130" s="6">
        <f>H130*D130</f>
        <v/>
      </c>
    </row>
    <row r="131">
      <c r="A131" s="9" t="n"/>
      <c r="B131" s="43" t="inlineStr">
        <is>
          <t xml:space="preserve">   Пол</t>
        </is>
      </c>
      <c r="C131" s="9" t="inlineStr">
        <is>
          <t>Вид</t>
        </is>
      </c>
      <c r="D131" s="9" t="n"/>
      <c r="E131" s="42">
        <f>СПРАВОЧНИК!$L$13</f>
        <v/>
      </c>
      <c r="F131" s="3">
        <f>F125</f>
        <v/>
      </c>
      <c r="G131" s="40">
        <f>SUM('ФАКТ ЧИСТ К1'!Q5:Q52)</f>
        <v/>
      </c>
      <c r="H131" s="6">
        <f>IF(F131=0,0,G131/F131)</f>
        <v/>
      </c>
      <c r="I131" s="6">
        <f>H131*E131</f>
        <v/>
      </c>
    </row>
    <row r="132">
      <c r="A132" s="9" t="n"/>
      <c r="B132" s="43" t="inlineStr">
        <is>
          <t xml:space="preserve">   Стены</t>
        </is>
      </c>
      <c r="C132" s="9" t="inlineStr">
        <is>
          <t>Вид</t>
        </is>
      </c>
      <c r="D132" s="9" t="n"/>
      <c r="E132" s="42">
        <f>СПРАВОЧНИК!$M$13</f>
        <v/>
      </c>
      <c r="F132" s="3">
        <f>F125</f>
        <v/>
      </c>
      <c r="G132" s="40">
        <f>SUM('ФАКТ ЧИСТ К1'!R5:R52)</f>
        <v/>
      </c>
      <c r="H132" s="6">
        <f>IF(F132=0,0,G132/F132)</f>
        <v/>
      </c>
      <c r="I132" s="6">
        <f>H132*E132</f>
        <v/>
      </c>
    </row>
    <row r="133">
      <c r="A133" s="9" t="n"/>
      <c r="B133" s="43" t="inlineStr">
        <is>
          <t xml:space="preserve">   Потолок</t>
        </is>
      </c>
      <c r="C133" s="9" t="inlineStr">
        <is>
          <t>Вид</t>
        </is>
      </c>
      <c r="D133" s="9" t="n"/>
      <c r="E133" s="42">
        <f>СПРАВОЧНИК!$N$13</f>
        <v/>
      </c>
      <c r="F133" s="3">
        <f>F125</f>
        <v/>
      </c>
      <c r="G133" s="40">
        <f>SUM('ФАКТ ЧИСТ К1'!S5:S52)</f>
        <v/>
      </c>
      <c r="H133" s="6">
        <f>IF(F133=0,0,G133/F133)</f>
        <v/>
      </c>
      <c r="I133" s="6">
        <f>H133*E133</f>
        <v/>
      </c>
    </row>
    <row r="134">
      <c r="A134" s="9" t="n"/>
      <c r="B134" s="43" t="inlineStr">
        <is>
          <t xml:space="preserve">   Заполн. проемов</t>
        </is>
      </c>
      <c r="C134" s="9" t="inlineStr">
        <is>
          <t>Вид</t>
        </is>
      </c>
      <c r="D134" s="9" t="n"/>
      <c r="E134" s="42">
        <f>СПРАВОЧНИК!$O$13</f>
        <v/>
      </c>
      <c r="F134" s="3">
        <f>F125</f>
        <v/>
      </c>
      <c r="G134" s="40">
        <f>SUM('ФАКТ ЧИСТ К1'!T5:T52)</f>
        <v/>
      </c>
      <c r="H134" s="6">
        <f>IF(F134=0,0,G134/F134)</f>
        <v/>
      </c>
      <c r="I134" s="6">
        <f>H134*E134</f>
        <v/>
      </c>
    </row>
    <row r="135">
      <c r="B135" s="23" t="inlineStr">
        <is>
          <t xml:space="preserve">  ✓ Сумма</t>
        </is>
      </c>
      <c r="D135" s="44">
        <f>D126+D130</f>
        <v/>
      </c>
    </row>
    <row r="136"/>
    <row r="137">
      <c r="A137" s="8" t="inlineStr">
        <is>
          <t>8.2.6</t>
        </is>
      </c>
      <c r="B137" s="16">
        <f>СПРАВОЧНИК!C14</f>
        <v/>
      </c>
      <c r="C137" s="9" t="inlineStr">
        <is>
          <t>Главная</t>
        </is>
      </c>
      <c r="D137" s="9" t="n"/>
      <c r="E137" s="9" t="n"/>
      <c r="F137" s="3">
        <f>СПРАВОЧНИК!B14</f>
        <v/>
      </c>
      <c r="G137" s="40">
        <f>G138*D138+G142*D142</f>
        <v/>
      </c>
      <c r="H137" s="6">
        <f>IF(F137=0,0,G137/F137)</f>
        <v/>
      </c>
      <c r="I137" s="6">
        <f>I138+I142</f>
        <v/>
      </c>
    </row>
    <row r="138">
      <c r="A138" s="9" t="n"/>
      <c r="B138" s="41" t="inlineStr">
        <is>
          <t xml:space="preserve">  Черновая</t>
        </is>
      </c>
      <c r="C138" s="9" t="inlineStr">
        <is>
          <t>Категория</t>
        </is>
      </c>
      <c r="D138" s="42">
        <f>СПРАВОЧНИК!E14</f>
        <v/>
      </c>
      <c r="E138" s="9" t="n"/>
      <c r="F138" s="3">
        <f>F130</f>
        <v/>
      </c>
      <c r="G138" s="40">
        <f>G139*E139+G140*E140+G141*E141</f>
        <v/>
      </c>
      <c r="H138" s="6">
        <f>IF(F131=0,0,G131/F131)</f>
        <v/>
      </c>
      <c r="I138" s="6">
        <f>H138*D138</f>
        <v/>
      </c>
    </row>
    <row r="139">
      <c r="A139" s="9" t="n"/>
      <c r="B139" s="43" t="inlineStr">
        <is>
          <t xml:space="preserve">   Пол</t>
        </is>
      </c>
      <c r="C139" s="9" t="inlineStr">
        <is>
          <t>Вид</t>
        </is>
      </c>
      <c r="D139" s="9" t="n"/>
      <c r="E139" s="42">
        <f>СПРАВОЧНИК!$H$14</f>
        <v/>
      </c>
      <c r="F139" s="3">
        <f>F137</f>
        <v/>
      </c>
      <c r="G139" s="40">
        <f>SUM('ФАКТ ЧЕРН К1'!Q5:Q52)</f>
        <v/>
      </c>
      <c r="H139" s="6">
        <f>IF(F139=0,0,G139/F139)</f>
        <v/>
      </c>
      <c r="I139" s="6">
        <f>H139*E139</f>
        <v/>
      </c>
    </row>
    <row r="140">
      <c r="A140" s="9" t="n"/>
      <c r="B140" s="43" t="inlineStr">
        <is>
          <t xml:space="preserve">   Стены</t>
        </is>
      </c>
      <c r="C140" s="9" t="inlineStr">
        <is>
          <t>Вид</t>
        </is>
      </c>
      <c r="D140" s="9" t="n"/>
      <c r="E140" s="42">
        <f>СПРАВОЧНИК!$I$14</f>
        <v/>
      </c>
      <c r="F140" s="3">
        <f>F137</f>
        <v/>
      </c>
      <c r="G140" s="40">
        <f>SUM('ФАКТ ЧЕРН К1'!R5:R52)</f>
        <v/>
      </c>
      <c r="H140" s="6">
        <f>IF(F140=0,0,G140/F140)</f>
        <v/>
      </c>
      <c r="I140" s="6">
        <f>H140*E140</f>
        <v/>
      </c>
    </row>
    <row r="141">
      <c r="A141" s="9" t="n"/>
      <c r="B141" s="43" t="inlineStr">
        <is>
          <t xml:space="preserve">   Потолок</t>
        </is>
      </c>
      <c r="C141" s="9" t="inlineStr">
        <is>
          <t>Вид</t>
        </is>
      </c>
      <c r="D141" s="9" t="n"/>
      <c r="E141" s="42">
        <f>СПРАВОЧНИК!$J$14</f>
        <v/>
      </c>
      <c r="F141" s="3">
        <f>F137</f>
        <v/>
      </c>
      <c r="G141" s="40">
        <f>SUM('ФАКТ ЧЕРН К1'!S5:S52)</f>
        <v/>
      </c>
      <c r="H141" s="6">
        <f>IF(F141=0,0,G141/F141)</f>
        <v/>
      </c>
      <c r="I141" s="6">
        <f>H141*E141</f>
        <v/>
      </c>
    </row>
    <row r="142">
      <c r="A142" s="9" t="n"/>
      <c r="B142" s="41" t="inlineStr">
        <is>
          <t xml:space="preserve">  Чистовая</t>
        </is>
      </c>
      <c r="C142" s="9" t="inlineStr">
        <is>
          <t>Категория</t>
        </is>
      </c>
      <c r="D142" s="42">
        <f>СПРАВОЧНИК!F14</f>
        <v/>
      </c>
      <c r="E142" s="9" t="n"/>
      <c r="F142" s="3">
        <f>F130</f>
        <v/>
      </c>
      <c r="G142" s="40">
        <f>G143*E143+G144*E144+G145*E145</f>
        <v/>
      </c>
      <c r="H142" s="6">
        <f>IF(F135=0,0,G135/F135)</f>
        <v/>
      </c>
      <c r="I142" s="6">
        <f>H142*D142</f>
        <v/>
      </c>
    </row>
    <row r="143">
      <c r="A143" s="9" t="n"/>
      <c r="B143" s="43" t="inlineStr">
        <is>
          <t xml:space="preserve">   Пол</t>
        </is>
      </c>
      <c r="C143" s="9" t="inlineStr">
        <is>
          <t>Вид</t>
        </is>
      </c>
      <c r="D143" s="9" t="n"/>
      <c r="E143" s="42">
        <f>СПРАВОЧНИК!$L$14</f>
        <v/>
      </c>
      <c r="F143" s="3">
        <f>F137</f>
        <v/>
      </c>
      <c r="G143" s="40">
        <f>SUM('ФАКТ ЧИСТ К1'!U5:U52)</f>
        <v/>
      </c>
      <c r="H143" s="6">
        <f>IF(F143=0,0,G143/F143)</f>
        <v/>
      </c>
      <c r="I143" s="6">
        <f>H143*E143</f>
        <v/>
      </c>
    </row>
    <row r="144">
      <c r="A144" s="9" t="n"/>
      <c r="B144" s="43" t="inlineStr">
        <is>
          <t xml:space="preserve">   Стены</t>
        </is>
      </c>
      <c r="C144" s="9" t="inlineStr">
        <is>
          <t>Вид</t>
        </is>
      </c>
      <c r="D144" s="9" t="n"/>
      <c r="E144" s="42">
        <f>СПРАВОЧНИК!$M$14</f>
        <v/>
      </c>
      <c r="F144" s="3">
        <f>F137</f>
        <v/>
      </c>
      <c r="G144" s="40">
        <f>SUM('ФАКТ ЧИСТ К1'!V5:V52)</f>
        <v/>
      </c>
      <c r="H144" s="6">
        <f>IF(F144=0,0,G144/F144)</f>
        <v/>
      </c>
      <c r="I144" s="6">
        <f>H144*E144</f>
        <v/>
      </c>
    </row>
    <row r="145">
      <c r="A145" s="9" t="n"/>
      <c r="B145" s="43" t="inlineStr">
        <is>
          <t xml:space="preserve">   Потолок</t>
        </is>
      </c>
      <c r="C145" s="9" t="inlineStr">
        <is>
          <t>Вид</t>
        </is>
      </c>
      <c r="D145" s="9" t="n"/>
      <c r="E145" s="42">
        <f>СПРАВОЧНИК!$N$14</f>
        <v/>
      </c>
      <c r="F145" s="3">
        <f>F137</f>
        <v/>
      </c>
      <c r="G145" s="40">
        <f>SUM('ФАКТ ЧИСТ К1'!W5:W52)</f>
        <v/>
      </c>
      <c r="H145" s="6">
        <f>IF(F145=0,0,G145/F145)</f>
        <v/>
      </c>
      <c r="I145" s="6">
        <f>H145*E145</f>
        <v/>
      </c>
    </row>
    <row r="146">
      <c r="B146" s="23" t="inlineStr">
        <is>
          <t xml:space="preserve">  ✓ Сумма</t>
        </is>
      </c>
      <c r="D146" s="44">
        <f>D138+D142</f>
        <v/>
      </c>
    </row>
    <row r="147"/>
    <row r="148">
      <c r="A148" s="8" t="inlineStr">
        <is>
          <t>8.2.7</t>
        </is>
      </c>
      <c r="B148" s="16">
        <f>СПРАВОЧНИК!C15</f>
        <v/>
      </c>
      <c r="C148" s="9" t="inlineStr">
        <is>
          <t>Главная</t>
        </is>
      </c>
      <c r="D148" s="9" t="n"/>
      <c r="E148" s="9" t="n"/>
      <c r="F148" s="3">
        <f>СПРАВОЧНИК!B15</f>
        <v/>
      </c>
      <c r="G148" s="40">
        <f>G149*D149+G153*D153</f>
        <v/>
      </c>
      <c r="H148" s="6">
        <f>IF(F148=0,0,G148/F148)</f>
        <v/>
      </c>
      <c r="I148" s="6">
        <f>I149+I153</f>
        <v/>
      </c>
    </row>
    <row r="149">
      <c r="A149" s="9" t="n"/>
      <c r="B149" s="41" t="inlineStr">
        <is>
          <t xml:space="preserve">  Черновая</t>
        </is>
      </c>
      <c r="C149" s="9" t="inlineStr">
        <is>
          <t>Категория</t>
        </is>
      </c>
      <c r="D149" s="42">
        <f>СПРАВОЧНИК!E15</f>
        <v/>
      </c>
      <c r="E149" s="9" t="n"/>
      <c r="F149" s="3">
        <f>F141</f>
        <v/>
      </c>
      <c r="G149" s="40">
        <f>G150*E150+G151*E151+G152*E152</f>
        <v/>
      </c>
      <c r="H149" s="6">
        <f>IF(F142=0,0,G142/F142)</f>
        <v/>
      </c>
      <c r="I149" s="6">
        <f>H149*D149</f>
        <v/>
      </c>
    </row>
    <row r="150">
      <c r="A150" s="9" t="n"/>
      <c r="B150" s="43" t="inlineStr">
        <is>
          <t xml:space="preserve">   Пол</t>
        </is>
      </c>
      <c r="C150" s="9" t="inlineStr">
        <is>
          <t>Вид</t>
        </is>
      </c>
      <c r="D150" s="9" t="n"/>
      <c r="E150" s="42">
        <f>СПРАВОЧНИК!$H$15</f>
        <v/>
      </c>
      <c r="F150" s="3">
        <f>F148</f>
        <v/>
      </c>
      <c r="G150" s="40">
        <f>SUM('ФАКТ ЧЕРН К1'!T5:T52)</f>
        <v/>
      </c>
      <c r="H150" s="6">
        <f>IF(F150=0,0,G150/F150)</f>
        <v/>
      </c>
      <c r="I150" s="6">
        <f>H150*E150</f>
        <v/>
      </c>
    </row>
    <row r="151">
      <c r="A151" s="9" t="n"/>
      <c r="B151" s="43" t="inlineStr">
        <is>
          <t xml:space="preserve">   Стены</t>
        </is>
      </c>
      <c r="C151" s="9" t="inlineStr">
        <is>
          <t>Вид</t>
        </is>
      </c>
      <c r="D151" s="9" t="n"/>
      <c r="E151" s="42">
        <f>СПРАВОЧНИК!$I$15</f>
        <v/>
      </c>
      <c r="F151" s="3">
        <f>F148</f>
        <v/>
      </c>
      <c r="G151" s="40">
        <f>SUM('ФАКТ ЧЕРН К1'!U5:U52)</f>
        <v/>
      </c>
      <c r="H151" s="6">
        <f>IF(F151=0,0,G151/F151)</f>
        <v/>
      </c>
      <c r="I151" s="6">
        <f>H151*E151</f>
        <v/>
      </c>
    </row>
    <row r="152">
      <c r="A152" s="9" t="n"/>
      <c r="B152" s="43" t="inlineStr">
        <is>
          <t xml:space="preserve">   Потолок</t>
        </is>
      </c>
      <c r="C152" s="9" t="inlineStr">
        <is>
          <t>Вид</t>
        </is>
      </c>
      <c r="D152" s="9" t="n"/>
      <c r="E152" s="42">
        <f>СПРАВОЧНИК!$J$15</f>
        <v/>
      </c>
      <c r="F152" s="3">
        <f>F148</f>
        <v/>
      </c>
      <c r="G152" s="40">
        <f>SUM('ФАКТ ЧЕРН К1'!V5:V52)</f>
        <v/>
      </c>
      <c r="H152" s="6">
        <f>IF(F152=0,0,G152/F152)</f>
        <v/>
      </c>
      <c r="I152" s="6">
        <f>H152*E152</f>
        <v/>
      </c>
    </row>
    <row r="153">
      <c r="A153" s="9" t="n"/>
      <c r="B153" s="41" t="inlineStr">
        <is>
          <t xml:space="preserve">  Чистовая</t>
        </is>
      </c>
      <c r="C153" s="9" t="inlineStr">
        <is>
          <t>Категория</t>
        </is>
      </c>
      <c r="D153" s="42">
        <f>СПРАВОЧНИК!F15</f>
        <v/>
      </c>
      <c r="E153" s="9" t="n"/>
      <c r="F153" s="3">
        <f>F141</f>
        <v/>
      </c>
      <c r="G153" s="40">
        <f>G154*E154+G155*E155+G156*E156</f>
        <v/>
      </c>
      <c r="H153" s="6">
        <f>IF(F146=0,0,G146/F146)</f>
        <v/>
      </c>
      <c r="I153" s="6">
        <f>H153*D153</f>
        <v/>
      </c>
    </row>
    <row r="154">
      <c r="A154" s="9" t="n"/>
      <c r="B154" s="43" t="inlineStr">
        <is>
          <t xml:space="preserve">   Пол</t>
        </is>
      </c>
      <c r="C154" s="9" t="inlineStr">
        <is>
          <t>Вид</t>
        </is>
      </c>
      <c r="D154" s="9" t="n"/>
      <c r="E154" s="42">
        <f>СПРАВОЧНИК!$L$15</f>
        <v/>
      </c>
      <c r="F154" s="3">
        <f>F148</f>
        <v/>
      </c>
      <c r="G154" s="40">
        <f>SUM('ФАКТ ЧИСТ К1'!X5:X52)</f>
        <v/>
      </c>
      <c r="H154" s="6">
        <f>IF(F154=0,0,G154/F154)</f>
        <v/>
      </c>
      <c r="I154" s="6">
        <f>H154*E154</f>
        <v/>
      </c>
    </row>
    <row r="155">
      <c r="A155" s="9" t="n"/>
      <c r="B155" s="43" t="inlineStr">
        <is>
          <t xml:space="preserve">   Стены</t>
        </is>
      </c>
      <c r="C155" s="9" t="inlineStr">
        <is>
          <t>Вид</t>
        </is>
      </c>
      <c r="D155" s="9" t="n"/>
      <c r="E155" s="42">
        <f>СПРАВОЧНИК!$M$15</f>
        <v/>
      </c>
      <c r="F155" s="3">
        <f>F148</f>
        <v/>
      </c>
      <c r="G155" s="40">
        <f>SUM('ФАКТ ЧИСТ К1'!Y5:Y52)</f>
        <v/>
      </c>
      <c r="H155" s="6">
        <f>IF(F155=0,0,G155/F155)</f>
        <v/>
      </c>
      <c r="I155" s="6">
        <f>H155*E155</f>
        <v/>
      </c>
    </row>
    <row r="156">
      <c r="A156" s="9" t="n"/>
      <c r="B156" s="43" t="inlineStr">
        <is>
          <t xml:space="preserve">   Потолок</t>
        </is>
      </c>
      <c r="C156" s="9" t="inlineStr">
        <is>
          <t>Вид</t>
        </is>
      </c>
      <c r="D156" s="9" t="n"/>
      <c r="E156" s="42">
        <f>СПРАВОЧНИК!$N$15</f>
        <v/>
      </c>
      <c r="F156" s="3">
        <f>F148</f>
        <v/>
      </c>
      <c r="G156" s="40">
        <f>SUM('ФАКТ ЧИСТ К1'!Z5:Z52)</f>
        <v/>
      </c>
      <c r="H156" s="6">
        <f>IF(F156=0,0,G156/F156)</f>
        <v/>
      </c>
      <c r="I156" s="6">
        <f>H156*E156</f>
        <v/>
      </c>
    </row>
    <row r="157">
      <c r="B157" s="23" t="inlineStr">
        <is>
          <t xml:space="preserve">  ✓ Сумма</t>
        </is>
      </c>
      <c r="D157" s="44">
        <f>D149+D153</f>
        <v/>
      </c>
    </row>
    <row r="158"/>
    <row r="159">
      <c r="A159" s="75" t="inlineStr">
        <is>
          <t>НАДЗЕМНАЯ ЧАСТЬ — К2</t>
        </is>
      </c>
    </row>
    <row r="160">
      <c r="A160" s="81" t="inlineStr">
        <is>
          <t>Код</t>
        </is>
      </c>
      <c r="B160" s="81" t="inlineStr">
        <is>
          <t>Название</t>
        </is>
      </c>
      <c r="C160" s="81" t="inlineStr">
        <is>
          <t>Тип</t>
        </is>
      </c>
      <c r="D160" s="81" t="inlineStr">
        <is>
          <t>Вес ур.4</t>
        </is>
      </c>
      <c r="E160" s="81" t="inlineStr">
        <is>
          <t>Вес ур.5</t>
        </is>
      </c>
      <c r="F160" s="81" t="inlineStr">
        <is>
          <t>План м²</t>
        </is>
      </c>
      <c r="G160" s="81" t="inlineStr">
        <is>
          <t>Факт м²</t>
        </is>
      </c>
      <c r="H160" s="81" t="inlineStr">
        <is>
          <t>Факт %</t>
        </is>
      </c>
      <c r="I160" s="81" t="inlineStr">
        <is>
          <t>Взвеш. %</t>
        </is>
      </c>
    </row>
    <row r="161">
      <c r="A161" s="8" t="inlineStr">
        <is>
          <t>8.2.1</t>
        </is>
      </c>
      <c r="B161" s="16">
        <f>СПРАВОЧНИК!C9</f>
        <v/>
      </c>
      <c r="C161" s="9" t="inlineStr">
        <is>
          <t>Главная</t>
        </is>
      </c>
      <c r="D161" s="9" t="n"/>
      <c r="E161" s="9" t="n"/>
      <c r="F161" s="3">
        <f>СПРАВОЧНИК!B9</f>
        <v/>
      </c>
      <c r="G161" s="40">
        <f>G162*D162+G166*D166</f>
        <v/>
      </c>
      <c r="H161" s="6">
        <f>IF(F161=0,0,G161/F161)</f>
        <v/>
      </c>
      <c r="I161" s="6">
        <f>I162+I166</f>
        <v/>
      </c>
    </row>
    <row r="162">
      <c r="A162" s="9" t="n"/>
      <c r="B162" s="41" t="inlineStr">
        <is>
          <t xml:space="preserve">  Черновая</t>
        </is>
      </c>
      <c r="C162" s="9" t="inlineStr">
        <is>
          <t>Категория</t>
        </is>
      </c>
      <c r="D162" s="42">
        <f>СПРАВОЧНИК!E9</f>
        <v/>
      </c>
      <c r="E162" s="9" t="n"/>
      <c r="F162" s="3">
        <f>F154</f>
        <v/>
      </c>
      <c r="G162" s="40">
        <f>G163*E163+G164*E164+G165*E165</f>
        <v/>
      </c>
      <c r="H162" s="6">
        <f>IF(F155=0,0,G155/F155)</f>
        <v/>
      </c>
      <c r="I162" s="6">
        <f>H162*D162</f>
        <v/>
      </c>
    </row>
    <row r="163">
      <c r="A163" s="9" t="n"/>
      <c r="B163" s="43" t="inlineStr">
        <is>
          <t xml:space="preserve">   Пол</t>
        </is>
      </c>
      <c r="C163" s="9" t="inlineStr">
        <is>
          <t>Вид</t>
        </is>
      </c>
      <c r="D163" s="9" t="n"/>
      <c r="E163" s="42">
        <f>СПРАВОЧНИК!$H$9</f>
        <v/>
      </c>
      <c r="F163" s="3">
        <f>F161</f>
        <v/>
      </c>
      <c r="G163" s="40">
        <f>SUM('ФАКТ ЧЕРН К2'!B5:B52)</f>
        <v/>
      </c>
      <c r="H163" s="6">
        <f>IF(F163=0,0,G163/F163)</f>
        <v/>
      </c>
      <c r="I163" s="6">
        <f>H163*E163</f>
        <v/>
      </c>
    </row>
    <row r="164">
      <c r="A164" s="9" t="n"/>
      <c r="B164" s="43" t="inlineStr">
        <is>
          <t xml:space="preserve">   Стены</t>
        </is>
      </c>
      <c r="C164" s="9" t="inlineStr">
        <is>
          <t>Вид</t>
        </is>
      </c>
      <c r="D164" s="9" t="n"/>
      <c r="E164" s="42">
        <f>СПРАВОЧНИК!$I$9</f>
        <v/>
      </c>
      <c r="F164" s="3">
        <f>F161</f>
        <v/>
      </c>
      <c r="G164" s="40">
        <f>SUM('ФАКТ ЧЕРН К2'!C5:C52)</f>
        <v/>
      </c>
      <c r="H164" s="6">
        <f>IF(F164=0,0,G164/F164)</f>
        <v/>
      </c>
      <c r="I164" s="6">
        <f>H164*E164</f>
        <v/>
      </c>
    </row>
    <row r="165">
      <c r="A165" s="9" t="n"/>
      <c r="B165" s="43" t="inlineStr">
        <is>
          <t xml:space="preserve">   Потолок</t>
        </is>
      </c>
      <c r="C165" s="9" t="inlineStr">
        <is>
          <t>Вид</t>
        </is>
      </c>
      <c r="D165" s="9" t="n"/>
      <c r="E165" s="42">
        <f>СПРАВОЧНИК!$J$9</f>
        <v/>
      </c>
      <c r="F165" s="3">
        <f>F161</f>
        <v/>
      </c>
      <c r="G165" s="40">
        <f>SUM('ФАКТ ЧЕРН К2'!D5:D52)</f>
        <v/>
      </c>
      <c r="H165" s="6">
        <f>IF(F165=0,0,G165/F165)</f>
        <v/>
      </c>
      <c r="I165" s="6">
        <f>H165*E165</f>
        <v/>
      </c>
    </row>
    <row r="166">
      <c r="A166" s="9" t="n"/>
      <c r="B166" s="41" t="inlineStr">
        <is>
          <t xml:space="preserve">  Чистовая</t>
        </is>
      </c>
      <c r="C166" s="9" t="inlineStr">
        <is>
          <t>Категория</t>
        </is>
      </c>
      <c r="D166" s="42">
        <f>СПРАВОЧНИК!F9</f>
        <v/>
      </c>
      <c r="E166" s="9" t="n"/>
      <c r="F166" s="3">
        <f>F154</f>
        <v/>
      </c>
      <c r="G166" s="40">
        <f>G167*E167+G168*E168+G169*E169+G170*E170</f>
        <v/>
      </c>
      <c r="H166" s="6">
        <f>IF(F159=0,0,G159/F159)</f>
        <v/>
      </c>
      <c r="I166" s="6">
        <f>H166*D166</f>
        <v/>
      </c>
    </row>
    <row r="167">
      <c r="A167" s="9" t="n"/>
      <c r="B167" s="43" t="inlineStr">
        <is>
          <t xml:space="preserve">   Пол</t>
        </is>
      </c>
      <c r="C167" s="9" t="inlineStr">
        <is>
          <t>Вид</t>
        </is>
      </c>
      <c r="D167" s="9" t="n"/>
      <c r="E167" s="42">
        <f>СПРАВОЧНИК!$L$9</f>
        <v/>
      </c>
      <c r="F167" s="3">
        <f>F161</f>
        <v/>
      </c>
      <c r="G167" s="40">
        <f>SUM('ФАКТ ЧИСТ К2'!B5:B52)</f>
        <v/>
      </c>
      <c r="H167" s="6">
        <f>IF(F167=0,0,G167/F167)</f>
        <v/>
      </c>
      <c r="I167" s="6">
        <f>H167*E167</f>
        <v/>
      </c>
    </row>
    <row r="168">
      <c r="A168" s="9" t="n"/>
      <c r="B168" s="43" t="inlineStr">
        <is>
          <t xml:space="preserve">   Стены</t>
        </is>
      </c>
      <c r="C168" s="9" t="inlineStr">
        <is>
          <t>Вид</t>
        </is>
      </c>
      <c r="D168" s="9" t="n"/>
      <c r="E168" s="42">
        <f>СПРАВОЧНИК!$M$9</f>
        <v/>
      </c>
      <c r="F168" s="3">
        <f>F161</f>
        <v/>
      </c>
      <c r="G168" s="40">
        <f>SUM('ФАКТ ЧИСТ К2'!C5:C52)</f>
        <v/>
      </c>
      <c r="H168" s="6">
        <f>IF(F168=0,0,G168/F168)</f>
        <v/>
      </c>
      <c r="I168" s="6">
        <f>H168*E168</f>
        <v/>
      </c>
    </row>
    <row r="169">
      <c r="A169" s="9" t="n"/>
      <c r="B169" s="43" t="inlineStr">
        <is>
          <t xml:space="preserve">   Потолок</t>
        </is>
      </c>
      <c r="C169" s="9" t="inlineStr">
        <is>
          <t>Вид</t>
        </is>
      </c>
      <c r="D169" s="9" t="n"/>
      <c r="E169" s="42">
        <f>СПРАВОЧНИК!$N$9</f>
        <v/>
      </c>
      <c r="F169" s="3">
        <f>F161</f>
        <v/>
      </c>
      <c r="G169" s="40">
        <f>SUM('ФАКТ ЧИСТ К2'!D5:D52)</f>
        <v/>
      </c>
      <c r="H169" s="6">
        <f>IF(F169=0,0,G169/F169)</f>
        <v/>
      </c>
      <c r="I169" s="6">
        <f>H169*E169</f>
        <v/>
      </c>
    </row>
    <row r="170">
      <c r="A170" s="9" t="n"/>
      <c r="B170" s="43" t="inlineStr">
        <is>
          <t xml:space="preserve">   Заполн. проемов</t>
        </is>
      </c>
      <c r="C170" s="9" t="inlineStr">
        <is>
          <t>Вид</t>
        </is>
      </c>
      <c r="D170" s="9" t="n"/>
      <c r="E170" s="42">
        <f>СПРАВОЧНИК!$O$9</f>
        <v/>
      </c>
      <c r="F170" s="3">
        <f>F161</f>
        <v/>
      </c>
      <c r="G170" s="40">
        <f>SUM('ФАКТ ЧИСТ К2'!E5:E52)</f>
        <v/>
      </c>
      <c r="H170" s="6">
        <f>IF(F170=0,0,G170/F170)</f>
        <v/>
      </c>
      <c r="I170" s="6">
        <f>H170*E170</f>
        <v/>
      </c>
    </row>
    <row r="171">
      <c r="B171" s="23" t="inlineStr">
        <is>
          <t xml:space="preserve">  ✓ Сумма</t>
        </is>
      </c>
      <c r="D171" s="44">
        <f>D162+D166</f>
        <v/>
      </c>
    </row>
    <row r="172"/>
    <row r="173">
      <c r="A173" s="8" t="inlineStr">
        <is>
          <t>8.2.2</t>
        </is>
      </c>
      <c r="B173" s="16">
        <f>СПРАВОЧНИК!C10</f>
        <v/>
      </c>
      <c r="C173" s="9" t="inlineStr">
        <is>
          <t>Главная</t>
        </is>
      </c>
      <c r="D173" s="9" t="n"/>
      <c r="E173" s="9" t="n"/>
      <c r="F173" s="3">
        <f>СПРАВОЧНИК!B10</f>
        <v/>
      </c>
      <c r="G173" s="40">
        <f>G174*D174+G178*D178</f>
        <v/>
      </c>
      <c r="H173" s="6">
        <f>IF(F173=0,0,G173/F173)</f>
        <v/>
      </c>
      <c r="I173" s="6">
        <f>I174+I178</f>
        <v/>
      </c>
    </row>
    <row r="174">
      <c r="A174" s="9" t="n"/>
      <c r="B174" s="41" t="inlineStr">
        <is>
          <t xml:space="preserve">  Черновая</t>
        </is>
      </c>
      <c r="C174" s="9" t="inlineStr">
        <is>
          <t>Категория</t>
        </is>
      </c>
      <c r="D174" s="42">
        <f>СПРАВОЧНИК!E10</f>
        <v/>
      </c>
      <c r="E174" s="9" t="n"/>
      <c r="F174" s="3">
        <f>F166</f>
        <v/>
      </c>
      <c r="G174" s="40">
        <f>G175*E175+G176*E176+G177*E177</f>
        <v/>
      </c>
      <c r="H174" s="6">
        <f>IF(F167=0,0,G167/F167)</f>
        <v/>
      </c>
      <c r="I174" s="6">
        <f>H174*D174</f>
        <v/>
      </c>
    </row>
    <row r="175">
      <c r="A175" s="9" t="n"/>
      <c r="B175" s="43" t="inlineStr">
        <is>
          <t xml:space="preserve">   Пол</t>
        </is>
      </c>
      <c r="C175" s="9" t="inlineStr">
        <is>
          <t>Вид</t>
        </is>
      </c>
      <c r="D175" s="9" t="n"/>
      <c r="E175" s="42">
        <f>СПРАВОЧНИК!$H$10</f>
        <v/>
      </c>
      <c r="F175" s="3">
        <f>F173</f>
        <v/>
      </c>
      <c r="G175" s="40">
        <f>SUM('ФАКТ ЧЕРН К2'!E5:E52)</f>
        <v/>
      </c>
      <c r="H175" s="6">
        <f>IF(F175=0,0,G175/F175)</f>
        <v/>
      </c>
      <c r="I175" s="6">
        <f>H175*E175</f>
        <v/>
      </c>
    </row>
    <row r="176">
      <c r="A176" s="9" t="n"/>
      <c r="B176" s="43" t="inlineStr">
        <is>
          <t xml:space="preserve">   Стены</t>
        </is>
      </c>
      <c r="C176" s="9" t="inlineStr">
        <is>
          <t>Вид</t>
        </is>
      </c>
      <c r="D176" s="9" t="n"/>
      <c r="E176" s="42">
        <f>СПРАВОЧНИК!$I$10</f>
        <v/>
      </c>
      <c r="F176" s="3">
        <f>F173</f>
        <v/>
      </c>
      <c r="G176" s="40">
        <f>SUM('ФАКТ ЧЕРН К2'!F5:F52)</f>
        <v/>
      </c>
      <c r="H176" s="6">
        <f>IF(F176=0,0,G176/F176)</f>
        <v/>
      </c>
      <c r="I176" s="6">
        <f>H176*E176</f>
        <v/>
      </c>
    </row>
    <row r="177">
      <c r="A177" s="9" t="n"/>
      <c r="B177" s="43" t="inlineStr">
        <is>
          <t xml:space="preserve">   Потолок</t>
        </is>
      </c>
      <c r="C177" s="9" t="inlineStr">
        <is>
          <t>Вид</t>
        </is>
      </c>
      <c r="D177" s="9" t="n"/>
      <c r="E177" s="42">
        <f>СПРАВОЧНИК!$J$10</f>
        <v/>
      </c>
      <c r="F177" s="3">
        <f>F173</f>
        <v/>
      </c>
      <c r="G177" s="40">
        <f>SUM('ФАКТ ЧЕРН К2'!G5:G52)</f>
        <v/>
      </c>
      <c r="H177" s="6">
        <f>IF(F177=0,0,G177/F177)</f>
        <v/>
      </c>
      <c r="I177" s="6">
        <f>H177*E177</f>
        <v/>
      </c>
    </row>
    <row r="178">
      <c r="A178" s="9" t="n"/>
      <c r="B178" s="41" t="inlineStr">
        <is>
          <t xml:space="preserve">  Чистовая</t>
        </is>
      </c>
      <c r="C178" s="9" t="inlineStr">
        <is>
          <t>Категория</t>
        </is>
      </c>
      <c r="D178" s="42">
        <f>СПРАВОЧНИК!F10</f>
        <v/>
      </c>
      <c r="E178" s="9" t="n"/>
      <c r="F178" s="3">
        <f>F166</f>
        <v/>
      </c>
      <c r="G178" s="40">
        <f>G179*E179+G180*E180+G181*E181+G182*E182</f>
        <v/>
      </c>
      <c r="H178" s="6">
        <f>IF(F171=0,0,G171/F171)</f>
        <v/>
      </c>
      <c r="I178" s="6">
        <f>H178*D178</f>
        <v/>
      </c>
    </row>
    <row r="179">
      <c r="A179" s="9" t="n"/>
      <c r="B179" s="43" t="inlineStr">
        <is>
          <t xml:space="preserve">   Пол</t>
        </is>
      </c>
      <c r="C179" s="9" t="inlineStr">
        <is>
          <t>Вид</t>
        </is>
      </c>
      <c r="D179" s="9" t="n"/>
      <c r="E179" s="42">
        <f>СПРАВОЧНИК!$L$10</f>
        <v/>
      </c>
      <c r="F179" s="3">
        <f>F173</f>
        <v/>
      </c>
      <c r="G179" s="40">
        <f>SUM('ФАКТ ЧИСТ К2'!F5:F52)</f>
        <v/>
      </c>
      <c r="H179" s="6">
        <f>IF(F179=0,0,G179/F179)</f>
        <v/>
      </c>
      <c r="I179" s="6">
        <f>H179*E179</f>
        <v/>
      </c>
    </row>
    <row r="180">
      <c r="A180" s="9" t="n"/>
      <c r="B180" s="43" t="inlineStr">
        <is>
          <t xml:space="preserve">   Стены</t>
        </is>
      </c>
      <c r="C180" s="9" t="inlineStr">
        <is>
          <t>Вид</t>
        </is>
      </c>
      <c r="D180" s="9" t="n"/>
      <c r="E180" s="42">
        <f>СПРАВОЧНИК!$M$10</f>
        <v/>
      </c>
      <c r="F180" s="3">
        <f>F173</f>
        <v/>
      </c>
      <c r="G180" s="40">
        <f>SUM('ФАКТ ЧИСТ К2'!G5:G52)</f>
        <v/>
      </c>
      <c r="H180" s="6">
        <f>IF(F180=0,0,G180/F180)</f>
        <v/>
      </c>
      <c r="I180" s="6">
        <f>H180*E180</f>
        <v/>
      </c>
    </row>
    <row r="181">
      <c r="A181" s="9" t="n"/>
      <c r="B181" s="43" t="inlineStr">
        <is>
          <t xml:space="preserve">   Потолок</t>
        </is>
      </c>
      <c r="C181" s="9" t="inlineStr">
        <is>
          <t>Вид</t>
        </is>
      </c>
      <c r="D181" s="9" t="n"/>
      <c r="E181" s="42">
        <f>СПРАВОЧНИК!$N$10</f>
        <v/>
      </c>
      <c r="F181" s="3">
        <f>F173</f>
        <v/>
      </c>
      <c r="G181" s="40">
        <f>SUM('ФАКТ ЧИСТ К2'!H5:H52)</f>
        <v/>
      </c>
      <c r="H181" s="6">
        <f>IF(F181=0,0,G181/F181)</f>
        <v/>
      </c>
      <c r="I181" s="6">
        <f>H181*E181</f>
        <v/>
      </c>
    </row>
    <row r="182">
      <c r="A182" s="9" t="n"/>
      <c r="B182" s="43" t="inlineStr">
        <is>
          <t xml:space="preserve">   Заполн. проемов</t>
        </is>
      </c>
      <c r="C182" s="9" t="inlineStr">
        <is>
          <t>Вид</t>
        </is>
      </c>
      <c r="D182" s="9" t="n"/>
      <c r="E182" s="42">
        <f>СПРАВОЧНИК!$O$10</f>
        <v/>
      </c>
      <c r="F182" s="3">
        <f>F173</f>
        <v/>
      </c>
      <c r="G182" s="40">
        <f>SUM('ФАКТ ЧИСТ К2'!I5:I52)</f>
        <v/>
      </c>
      <c r="H182" s="6">
        <f>IF(F182=0,0,G182/F182)</f>
        <v/>
      </c>
      <c r="I182" s="6">
        <f>H182*E182</f>
        <v/>
      </c>
    </row>
    <row r="183">
      <c r="B183" s="23" t="inlineStr">
        <is>
          <t xml:space="preserve">  ✓ Сумма</t>
        </is>
      </c>
      <c r="D183" s="44">
        <f>D174+D178</f>
        <v/>
      </c>
    </row>
    <row r="184"/>
    <row r="185">
      <c r="A185" s="8" t="inlineStr">
        <is>
          <t>8.2.3</t>
        </is>
      </c>
      <c r="B185" s="16">
        <f>СПРАВОЧНИК!C11</f>
        <v/>
      </c>
      <c r="C185" s="9" t="inlineStr">
        <is>
          <t>Главная</t>
        </is>
      </c>
      <c r="D185" s="9" t="n"/>
      <c r="E185" s="9" t="n"/>
      <c r="F185" s="3">
        <f>СПРАВОЧНИК!B11</f>
        <v/>
      </c>
      <c r="G185" s="40">
        <f>G186*D186+G190*D190</f>
        <v/>
      </c>
      <c r="H185" s="6">
        <f>IF(F185=0,0,G185/F185)</f>
        <v/>
      </c>
      <c r="I185" s="6">
        <f>I186+I190</f>
        <v/>
      </c>
    </row>
    <row r="186">
      <c r="A186" s="9" t="n"/>
      <c r="B186" s="41" t="inlineStr">
        <is>
          <t xml:space="preserve">  Черновая</t>
        </is>
      </c>
      <c r="C186" s="9" t="inlineStr">
        <is>
          <t>Категория</t>
        </is>
      </c>
      <c r="D186" s="42">
        <f>СПРАВОЧНИК!E11</f>
        <v/>
      </c>
      <c r="E186" s="9" t="n"/>
      <c r="F186" s="3">
        <f>F177</f>
        <v/>
      </c>
      <c r="G186" s="40">
        <f>G187*E187+G188*E188+G189*E189</f>
        <v/>
      </c>
      <c r="H186" s="6">
        <f>IF(F178=0,0,G178/F178)</f>
        <v/>
      </c>
      <c r="I186" s="6">
        <f>H186*D186</f>
        <v/>
      </c>
    </row>
    <row r="187">
      <c r="A187" s="9" t="n"/>
      <c r="B187" s="43" t="inlineStr">
        <is>
          <t xml:space="preserve">   Пол</t>
        </is>
      </c>
      <c r="C187" s="9" t="inlineStr">
        <is>
          <t>Вид</t>
        </is>
      </c>
      <c r="D187" s="9" t="n"/>
      <c r="E187" s="42">
        <f>СПРАВОЧНИК!$H$11</f>
        <v/>
      </c>
      <c r="F187" s="3">
        <f>F185</f>
        <v/>
      </c>
      <c r="G187" s="40">
        <f>SUM('ФАКТ ЧЕРН К2'!H5:H52)</f>
        <v/>
      </c>
      <c r="H187" s="6">
        <f>IF(F187=0,0,G187/F187)</f>
        <v/>
      </c>
      <c r="I187" s="6">
        <f>H187*E187</f>
        <v/>
      </c>
    </row>
    <row r="188">
      <c r="A188" s="9" t="n"/>
      <c r="B188" s="43" t="inlineStr">
        <is>
          <t xml:space="preserve">   Стены</t>
        </is>
      </c>
      <c r="C188" s="9" t="inlineStr">
        <is>
          <t>Вид</t>
        </is>
      </c>
      <c r="D188" s="9" t="n"/>
      <c r="E188" s="42">
        <f>СПРАВОЧНИК!$I$11</f>
        <v/>
      </c>
      <c r="F188" s="3">
        <f>F185</f>
        <v/>
      </c>
      <c r="G188" s="40">
        <f>SUM('ФАКТ ЧЕРН К2'!I5:I52)</f>
        <v/>
      </c>
      <c r="H188" s="6">
        <f>IF(F188=0,0,G188/F188)</f>
        <v/>
      </c>
      <c r="I188" s="6">
        <f>H188*E188</f>
        <v/>
      </c>
    </row>
    <row r="189">
      <c r="A189" s="9" t="n"/>
      <c r="B189" s="43" t="inlineStr">
        <is>
          <t xml:space="preserve">   Потолок</t>
        </is>
      </c>
      <c r="C189" s="9" t="inlineStr">
        <is>
          <t>Вид</t>
        </is>
      </c>
      <c r="D189" s="9" t="n"/>
      <c r="E189" s="42">
        <f>СПРАВОЧНИК!$J$11</f>
        <v/>
      </c>
      <c r="F189" s="3">
        <f>F185</f>
        <v/>
      </c>
      <c r="G189" s="40">
        <f>SUM('ФАКТ ЧЕРН К2'!J5:J52)</f>
        <v/>
      </c>
      <c r="H189" s="6">
        <f>IF(F189=0,0,G189/F189)</f>
        <v/>
      </c>
      <c r="I189" s="6">
        <f>H189*E189</f>
        <v/>
      </c>
    </row>
    <row r="190">
      <c r="A190" s="9" t="n"/>
      <c r="B190" s="41" t="inlineStr">
        <is>
          <t xml:space="preserve">  Чистовая</t>
        </is>
      </c>
      <c r="C190" s="9" t="inlineStr">
        <is>
          <t>Категория</t>
        </is>
      </c>
      <c r="D190" s="42">
        <f>СПРАВОЧНИК!F11</f>
        <v/>
      </c>
      <c r="E190" s="9" t="n"/>
      <c r="F190" s="3">
        <f>F177</f>
        <v/>
      </c>
      <c r="G190" s="40">
        <f>G191*E191+G192*E192+G193*E193</f>
        <v/>
      </c>
      <c r="H190" s="6">
        <f>IF(F182=0,0,G182/F182)</f>
        <v/>
      </c>
      <c r="I190" s="6">
        <f>H190*D190</f>
        <v/>
      </c>
    </row>
    <row r="191">
      <c r="A191" s="9" t="n"/>
      <c r="B191" s="43" t="inlineStr">
        <is>
          <t xml:space="preserve">   Пол</t>
        </is>
      </c>
      <c r="C191" s="9" t="inlineStr">
        <is>
          <t>Вид</t>
        </is>
      </c>
      <c r="D191" s="9" t="n"/>
      <c r="E191" s="42">
        <f>СПРАВОЧНИК!$L$11</f>
        <v/>
      </c>
      <c r="F191" s="3">
        <f>F185</f>
        <v/>
      </c>
      <c r="G191" s="40">
        <f>SUM('ФАКТ ЧИСТ К2'!J5:J52)</f>
        <v/>
      </c>
      <c r="H191" s="6">
        <f>IF(F191=0,0,G191/F191)</f>
        <v/>
      </c>
      <c r="I191" s="6">
        <f>H191*E191</f>
        <v/>
      </c>
    </row>
    <row r="192">
      <c r="A192" s="9" t="n"/>
      <c r="B192" s="43" t="inlineStr">
        <is>
          <t xml:space="preserve">   Стены</t>
        </is>
      </c>
      <c r="C192" s="9" t="inlineStr">
        <is>
          <t>Вид</t>
        </is>
      </c>
      <c r="D192" s="9" t="n"/>
      <c r="E192" s="42">
        <f>СПРАВОЧНИК!$M$11</f>
        <v/>
      </c>
      <c r="F192" s="3">
        <f>F185</f>
        <v/>
      </c>
      <c r="G192" s="40">
        <f>SUM('ФАКТ ЧИСТ К2'!K5:K52)</f>
        <v/>
      </c>
      <c r="H192" s="6">
        <f>IF(F192=0,0,G192/F192)</f>
        <v/>
      </c>
      <c r="I192" s="6">
        <f>H192*E192</f>
        <v/>
      </c>
    </row>
    <row r="193">
      <c r="A193" s="9" t="n"/>
      <c r="B193" s="43" t="inlineStr">
        <is>
          <t xml:space="preserve">   Потолок</t>
        </is>
      </c>
      <c r="C193" s="9" t="inlineStr">
        <is>
          <t>Вид</t>
        </is>
      </c>
      <c r="D193" s="9" t="n"/>
      <c r="E193" s="42">
        <f>СПРАВОЧНИК!$N$11</f>
        <v/>
      </c>
      <c r="F193" s="3">
        <f>F185</f>
        <v/>
      </c>
      <c r="G193" s="40">
        <f>SUM('ФАКТ ЧИСТ К2'!L5:L52)</f>
        <v/>
      </c>
      <c r="H193" s="6">
        <f>IF(F193=0,0,G193/F193)</f>
        <v/>
      </c>
      <c r="I193" s="6">
        <f>H193*E193</f>
        <v/>
      </c>
    </row>
    <row r="194">
      <c r="B194" s="23" t="inlineStr">
        <is>
          <t xml:space="preserve">  ✓ Сумма</t>
        </is>
      </c>
      <c r="D194" s="44">
        <f>D186+D190</f>
        <v/>
      </c>
    </row>
    <row r="195"/>
    <row r="196">
      <c r="A196" s="8" t="inlineStr">
        <is>
          <t>8.2.4</t>
        </is>
      </c>
      <c r="B196" s="16">
        <f>СПРАВОЧНИК!C12</f>
        <v/>
      </c>
      <c r="C196" s="9" t="inlineStr">
        <is>
          <t>Главная</t>
        </is>
      </c>
      <c r="D196" s="9" t="n"/>
      <c r="E196" s="9" t="n"/>
      <c r="F196" s="3">
        <f>СПРАВОЧНИК!B12</f>
        <v/>
      </c>
      <c r="G196" s="40">
        <f>G197*D197+G201*D201</f>
        <v/>
      </c>
      <c r="H196" s="6">
        <f>IF(F196=0,0,G196/F196)</f>
        <v/>
      </c>
      <c r="I196" s="6">
        <f>I197+I201</f>
        <v/>
      </c>
    </row>
    <row r="197">
      <c r="A197" s="9" t="n"/>
      <c r="B197" s="41" t="inlineStr">
        <is>
          <t xml:space="preserve">  Черновая</t>
        </is>
      </c>
      <c r="C197" s="9" t="inlineStr">
        <is>
          <t>Категория</t>
        </is>
      </c>
      <c r="D197" s="42">
        <f>СПРАВОЧНИК!E12</f>
        <v/>
      </c>
      <c r="E197" s="9" t="n"/>
      <c r="F197" s="3">
        <f>F188</f>
        <v/>
      </c>
      <c r="G197" s="40">
        <f>G198*E198+G199*E199+G200*E200</f>
        <v/>
      </c>
      <c r="H197" s="6">
        <f>IF(F189=0,0,G189/F189)</f>
        <v/>
      </c>
      <c r="I197" s="6">
        <f>H197*D197</f>
        <v/>
      </c>
    </row>
    <row r="198">
      <c r="A198" s="9" t="n"/>
      <c r="B198" s="43" t="inlineStr">
        <is>
          <t xml:space="preserve">   Пол</t>
        </is>
      </c>
      <c r="C198" s="9" t="inlineStr">
        <is>
          <t>Вид</t>
        </is>
      </c>
      <c r="D198" s="9" t="n"/>
      <c r="E198" s="42">
        <f>СПРАВОЧНИК!$H$12</f>
        <v/>
      </c>
      <c r="F198" s="3">
        <f>F196</f>
        <v/>
      </c>
      <c r="G198" s="40">
        <f>SUM('ФАКТ ЧЕРН К2'!K5:K52)</f>
        <v/>
      </c>
      <c r="H198" s="6">
        <f>IF(F198=0,0,G198/F198)</f>
        <v/>
      </c>
      <c r="I198" s="6">
        <f>H198*E198</f>
        <v/>
      </c>
    </row>
    <row r="199">
      <c r="A199" s="9" t="n"/>
      <c r="B199" s="43" t="inlineStr">
        <is>
          <t xml:space="preserve">   Стены</t>
        </is>
      </c>
      <c r="C199" s="9" t="inlineStr">
        <is>
          <t>Вид</t>
        </is>
      </c>
      <c r="D199" s="9" t="n"/>
      <c r="E199" s="42">
        <f>СПРАВОЧНИК!$I$12</f>
        <v/>
      </c>
      <c r="F199" s="3">
        <f>F196</f>
        <v/>
      </c>
      <c r="G199" s="40">
        <f>SUM('ФАКТ ЧЕРН К2'!L5:L52)</f>
        <v/>
      </c>
      <c r="H199" s="6">
        <f>IF(F199=0,0,G199/F199)</f>
        <v/>
      </c>
      <c r="I199" s="6">
        <f>H199*E199</f>
        <v/>
      </c>
    </row>
    <row r="200">
      <c r="A200" s="9" t="n"/>
      <c r="B200" s="43" t="inlineStr">
        <is>
          <t xml:space="preserve">   Потолок</t>
        </is>
      </c>
      <c r="C200" s="9" t="inlineStr">
        <is>
          <t>Вид</t>
        </is>
      </c>
      <c r="D200" s="9" t="n"/>
      <c r="E200" s="42">
        <f>СПРАВОЧНИК!$J$12</f>
        <v/>
      </c>
      <c r="F200" s="3">
        <f>F196</f>
        <v/>
      </c>
      <c r="G200" s="40">
        <f>SUM('ФАКТ ЧЕРН К2'!M5:M52)</f>
        <v/>
      </c>
      <c r="H200" s="6">
        <f>IF(F200=0,0,G200/F200)</f>
        <v/>
      </c>
      <c r="I200" s="6">
        <f>H200*E200</f>
        <v/>
      </c>
    </row>
    <row r="201">
      <c r="A201" s="9" t="n"/>
      <c r="B201" s="41" t="inlineStr">
        <is>
          <t xml:space="preserve">  Чистовая</t>
        </is>
      </c>
      <c r="C201" s="9" t="inlineStr">
        <is>
          <t>Категория</t>
        </is>
      </c>
      <c r="D201" s="42">
        <f>СПРАВОЧНИК!F12</f>
        <v/>
      </c>
      <c r="E201" s="9" t="n"/>
      <c r="F201" s="3">
        <f>F188</f>
        <v/>
      </c>
      <c r="G201" s="40">
        <f>G202*E202+G203*E203+G204*E204+G205*E205</f>
        <v/>
      </c>
      <c r="H201" s="6">
        <f>IF(F193=0,0,G193/F193)</f>
        <v/>
      </c>
      <c r="I201" s="6">
        <f>H201*D201</f>
        <v/>
      </c>
    </row>
    <row r="202">
      <c r="A202" s="9" t="n"/>
      <c r="B202" s="43" t="inlineStr">
        <is>
          <t xml:space="preserve">   Пол</t>
        </is>
      </c>
      <c r="C202" s="9" t="inlineStr">
        <is>
          <t>Вид</t>
        </is>
      </c>
      <c r="D202" s="9" t="n"/>
      <c r="E202" s="42">
        <f>СПРАВОЧНИК!$L$12</f>
        <v/>
      </c>
      <c r="F202" s="3">
        <f>F196</f>
        <v/>
      </c>
      <c r="G202" s="40">
        <f>SUM('ФАКТ ЧИСТ К2'!M5:M52)</f>
        <v/>
      </c>
      <c r="H202" s="6">
        <f>IF(F202=0,0,G202/F202)</f>
        <v/>
      </c>
      <c r="I202" s="6">
        <f>H202*E202</f>
        <v/>
      </c>
    </row>
    <row r="203">
      <c r="A203" s="9" t="n"/>
      <c r="B203" s="43" t="inlineStr">
        <is>
          <t xml:space="preserve">   Стены</t>
        </is>
      </c>
      <c r="C203" s="9" t="inlineStr">
        <is>
          <t>Вид</t>
        </is>
      </c>
      <c r="D203" s="9" t="n"/>
      <c r="E203" s="42">
        <f>СПРАВОЧНИК!$M$12</f>
        <v/>
      </c>
      <c r="F203" s="3">
        <f>F196</f>
        <v/>
      </c>
      <c r="G203" s="40">
        <f>SUM('ФАКТ ЧИСТ К2'!N5:N52)</f>
        <v/>
      </c>
      <c r="H203" s="6">
        <f>IF(F203=0,0,G203/F203)</f>
        <v/>
      </c>
      <c r="I203" s="6">
        <f>H203*E203</f>
        <v/>
      </c>
    </row>
    <row r="204">
      <c r="A204" s="9" t="n"/>
      <c r="B204" s="43" t="inlineStr">
        <is>
          <t xml:space="preserve">   Потолок</t>
        </is>
      </c>
      <c r="C204" s="9" t="inlineStr">
        <is>
          <t>Вид</t>
        </is>
      </c>
      <c r="D204" s="9" t="n"/>
      <c r="E204" s="42">
        <f>СПРАВОЧНИК!$N$12</f>
        <v/>
      </c>
      <c r="F204" s="3">
        <f>F196</f>
        <v/>
      </c>
      <c r="G204" s="40">
        <f>SUM('ФАКТ ЧИСТ К2'!O5:O52)</f>
        <v/>
      </c>
      <c r="H204" s="6">
        <f>IF(F204=0,0,G204/F204)</f>
        <v/>
      </c>
      <c r="I204" s="6">
        <f>H204*E204</f>
        <v/>
      </c>
    </row>
    <row r="205">
      <c r="A205" s="9" t="n"/>
      <c r="B205" s="43" t="inlineStr">
        <is>
          <t xml:space="preserve">   Заполн. проемов</t>
        </is>
      </c>
      <c r="C205" s="9" t="inlineStr">
        <is>
          <t>Вид</t>
        </is>
      </c>
      <c r="D205" s="9" t="n"/>
      <c r="E205" s="42">
        <f>СПРАВОЧНИК!$O$12</f>
        <v/>
      </c>
      <c r="F205" s="3">
        <f>F196</f>
        <v/>
      </c>
      <c r="G205" s="40">
        <f>SUM('ФАКТ ЧИСТ К2'!P5:P52)</f>
        <v/>
      </c>
      <c r="H205" s="6">
        <f>IF(F205=0,0,G205/F205)</f>
        <v/>
      </c>
      <c r="I205" s="6">
        <f>H205*E205</f>
        <v/>
      </c>
    </row>
    <row r="206">
      <c r="B206" s="23" t="inlineStr">
        <is>
          <t xml:space="preserve">  ✓ Сумма</t>
        </is>
      </c>
      <c r="D206" s="44">
        <f>D197+D201</f>
        <v/>
      </c>
    </row>
    <row r="207"/>
    <row r="208">
      <c r="A208" s="8" t="inlineStr">
        <is>
          <t>8.2.5</t>
        </is>
      </c>
      <c r="B208" s="16">
        <f>СПРАВОЧНИК!C13</f>
        <v/>
      </c>
      <c r="C208" s="9" t="inlineStr">
        <is>
          <t>Главная</t>
        </is>
      </c>
      <c r="D208" s="9" t="n"/>
      <c r="E208" s="9" t="n"/>
      <c r="F208" s="3">
        <f>СПРАВОЧНИК!B13</f>
        <v/>
      </c>
      <c r="G208" s="40">
        <f>G209*D209+G213*D213</f>
        <v/>
      </c>
      <c r="H208" s="6">
        <f>IF(F208=0,0,G208/F208)</f>
        <v/>
      </c>
      <c r="I208" s="6">
        <f>I209+I213</f>
        <v/>
      </c>
    </row>
    <row r="209">
      <c r="A209" s="9" t="n"/>
      <c r="B209" s="41" t="inlineStr">
        <is>
          <t xml:space="preserve">  Черновая</t>
        </is>
      </c>
      <c r="C209" s="9" t="inlineStr">
        <is>
          <t>Категория</t>
        </is>
      </c>
      <c r="D209" s="42">
        <f>СПРАВОЧНИК!E13</f>
        <v/>
      </c>
      <c r="E209" s="9" t="n"/>
      <c r="F209" s="3">
        <f>F199</f>
        <v/>
      </c>
      <c r="G209" s="40">
        <f>G210*E210+G211*E211+G212*E212</f>
        <v/>
      </c>
      <c r="H209" s="6">
        <f>IF(F200=0,0,G200/F200)</f>
        <v/>
      </c>
      <c r="I209" s="6">
        <f>H209*D209</f>
        <v/>
      </c>
    </row>
    <row r="210">
      <c r="A210" s="9" t="n"/>
      <c r="B210" s="43" t="inlineStr">
        <is>
          <t xml:space="preserve">   Пол</t>
        </is>
      </c>
      <c r="C210" s="9" t="inlineStr">
        <is>
          <t>Вид</t>
        </is>
      </c>
      <c r="D210" s="9" t="n"/>
      <c r="E210" s="42">
        <f>СПРАВОЧНИК!$H$13</f>
        <v/>
      </c>
      <c r="F210" s="3">
        <f>F208</f>
        <v/>
      </c>
      <c r="G210" s="40">
        <f>SUM('ФАКТ ЧЕРН К2'!N5:N52)</f>
        <v/>
      </c>
      <c r="H210" s="6">
        <f>IF(F210=0,0,G210/F210)</f>
        <v/>
      </c>
      <c r="I210" s="6">
        <f>H210*E210</f>
        <v/>
      </c>
    </row>
    <row r="211">
      <c r="A211" s="9" t="n"/>
      <c r="B211" s="43" t="inlineStr">
        <is>
          <t xml:space="preserve">   Стены</t>
        </is>
      </c>
      <c r="C211" s="9" t="inlineStr">
        <is>
          <t>Вид</t>
        </is>
      </c>
      <c r="D211" s="9" t="n"/>
      <c r="E211" s="42">
        <f>СПРАВОЧНИК!$I$13</f>
        <v/>
      </c>
      <c r="F211" s="3">
        <f>F208</f>
        <v/>
      </c>
      <c r="G211" s="40">
        <f>SUM('ФАКТ ЧЕРН К2'!O5:O52)</f>
        <v/>
      </c>
      <c r="H211" s="6">
        <f>IF(F211=0,0,G211/F211)</f>
        <v/>
      </c>
      <c r="I211" s="6">
        <f>H211*E211</f>
        <v/>
      </c>
    </row>
    <row r="212">
      <c r="A212" s="9" t="n"/>
      <c r="B212" s="43" t="inlineStr">
        <is>
          <t xml:space="preserve">   Потолок</t>
        </is>
      </c>
      <c r="C212" s="9" t="inlineStr">
        <is>
          <t>Вид</t>
        </is>
      </c>
      <c r="D212" s="9" t="n"/>
      <c r="E212" s="42">
        <f>СПРАВОЧНИК!$J$13</f>
        <v/>
      </c>
      <c r="F212" s="3">
        <f>F208</f>
        <v/>
      </c>
      <c r="G212" s="40">
        <f>SUM('ФАКТ ЧЕРН К2'!P5:P52)</f>
        <v/>
      </c>
      <c r="H212" s="6">
        <f>IF(F212=0,0,G212/F212)</f>
        <v/>
      </c>
      <c r="I212" s="6">
        <f>H212*E212</f>
        <v/>
      </c>
    </row>
    <row r="213">
      <c r="A213" s="9" t="n"/>
      <c r="B213" s="41" t="inlineStr">
        <is>
          <t xml:space="preserve">  Чистовая</t>
        </is>
      </c>
      <c r="C213" s="9" t="inlineStr">
        <is>
          <t>Категория</t>
        </is>
      </c>
      <c r="D213" s="42">
        <f>СПРАВОЧНИК!F13</f>
        <v/>
      </c>
      <c r="E213" s="9" t="n"/>
      <c r="F213" s="3">
        <f>F199</f>
        <v/>
      </c>
      <c r="G213" s="40">
        <f>G214*E214+G215*E215+G216*E216+G217*E217</f>
        <v/>
      </c>
      <c r="H213" s="6">
        <f>IF(F204=0,0,G204/F204)</f>
        <v/>
      </c>
      <c r="I213" s="6">
        <f>H213*D213</f>
        <v/>
      </c>
    </row>
    <row r="214">
      <c r="A214" s="9" t="n"/>
      <c r="B214" s="43" t="inlineStr">
        <is>
          <t xml:space="preserve">   Пол</t>
        </is>
      </c>
      <c r="C214" s="9" t="inlineStr">
        <is>
          <t>Вид</t>
        </is>
      </c>
      <c r="D214" s="9" t="n"/>
      <c r="E214" s="42">
        <f>СПРАВОЧНИК!$L$13</f>
        <v/>
      </c>
      <c r="F214" s="3">
        <f>F208</f>
        <v/>
      </c>
      <c r="G214" s="40">
        <f>SUM('ФАКТ ЧИСТ К2'!Q5:Q52)</f>
        <v/>
      </c>
      <c r="H214" s="6">
        <f>IF(F214=0,0,G214/F214)</f>
        <v/>
      </c>
      <c r="I214" s="6">
        <f>H214*E214</f>
        <v/>
      </c>
    </row>
    <row r="215">
      <c r="A215" s="9" t="n"/>
      <c r="B215" s="43" t="inlineStr">
        <is>
          <t xml:space="preserve">   Стены</t>
        </is>
      </c>
      <c r="C215" s="9" t="inlineStr">
        <is>
          <t>Вид</t>
        </is>
      </c>
      <c r="D215" s="9" t="n"/>
      <c r="E215" s="42">
        <f>СПРАВОЧНИК!$M$13</f>
        <v/>
      </c>
      <c r="F215" s="3">
        <f>F208</f>
        <v/>
      </c>
      <c r="G215" s="40">
        <f>SUM('ФАКТ ЧИСТ К2'!R5:R52)</f>
        <v/>
      </c>
      <c r="H215" s="6">
        <f>IF(F215=0,0,G215/F215)</f>
        <v/>
      </c>
      <c r="I215" s="6">
        <f>H215*E215</f>
        <v/>
      </c>
    </row>
    <row r="216">
      <c r="A216" s="9" t="n"/>
      <c r="B216" s="43" t="inlineStr">
        <is>
          <t xml:space="preserve">   Потолок</t>
        </is>
      </c>
      <c r="C216" s="9" t="inlineStr">
        <is>
          <t>Вид</t>
        </is>
      </c>
      <c r="D216" s="9" t="n"/>
      <c r="E216" s="42">
        <f>СПРАВОЧНИК!$N$13</f>
        <v/>
      </c>
      <c r="F216" s="3">
        <f>F208</f>
        <v/>
      </c>
      <c r="G216" s="40">
        <f>SUM('ФАКТ ЧИСТ К2'!S5:S52)</f>
        <v/>
      </c>
      <c r="H216" s="6">
        <f>IF(F216=0,0,G216/F216)</f>
        <v/>
      </c>
      <c r="I216" s="6">
        <f>H216*E216</f>
        <v/>
      </c>
    </row>
    <row r="217">
      <c r="A217" s="9" t="n"/>
      <c r="B217" s="43" t="inlineStr">
        <is>
          <t xml:space="preserve">   Заполн. проемов</t>
        </is>
      </c>
      <c r="C217" s="9" t="inlineStr">
        <is>
          <t>Вид</t>
        </is>
      </c>
      <c r="D217" s="9" t="n"/>
      <c r="E217" s="42">
        <f>СПРАВОЧНИК!$O$13</f>
        <v/>
      </c>
      <c r="F217" s="3">
        <f>F208</f>
        <v/>
      </c>
      <c r="G217" s="40">
        <f>SUM('ФАКТ ЧИСТ К2'!T5:T52)</f>
        <v/>
      </c>
      <c r="H217" s="6">
        <f>IF(F217=0,0,G217/F217)</f>
        <v/>
      </c>
      <c r="I217" s="6">
        <f>H217*E217</f>
        <v/>
      </c>
    </row>
    <row r="218">
      <c r="B218" s="23" t="inlineStr">
        <is>
          <t xml:space="preserve">  ✓ Сумма</t>
        </is>
      </c>
      <c r="D218" s="44">
        <f>D209+D213</f>
        <v/>
      </c>
    </row>
    <row r="219"/>
    <row r="220">
      <c r="A220" s="8" t="inlineStr">
        <is>
          <t>8.2.6</t>
        </is>
      </c>
      <c r="B220" s="16">
        <f>СПРАВОЧНИК!C14</f>
        <v/>
      </c>
      <c r="C220" s="9" t="inlineStr">
        <is>
          <t>Главная</t>
        </is>
      </c>
      <c r="D220" s="9" t="n"/>
      <c r="E220" s="9" t="n"/>
      <c r="F220" s="3">
        <f>СПРАВОЧНИК!B14</f>
        <v/>
      </c>
      <c r="G220" s="40">
        <f>G221*D221+G225*D225</f>
        <v/>
      </c>
      <c r="H220" s="6">
        <f>IF(F220=0,0,G220/F220)</f>
        <v/>
      </c>
      <c r="I220" s="6">
        <f>I221+I225</f>
        <v/>
      </c>
    </row>
    <row r="221">
      <c r="A221" s="9" t="n"/>
      <c r="B221" s="41" t="inlineStr">
        <is>
          <t xml:space="preserve">  Черновая</t>
        </is>
      </c>
      <c r="C221" s="9" t="inlineStr">
        <is>
          <t>Категория</t>
        </is>
      </c>
      <c r="D221" s="42">
        <f>СПРАВОЧНИК!E14</f>
        <v/>
      </c>
      <c r="E221" s="9" t="n"/>
      <c r="F221" s="3">
        <f>F210</f>
        <v/>
      </c>
      <c r="G221" s="40">
        <f>G222*E222+G223*E223+G224*E224</f>
        <v/>
      </c>
      <c r="H221" s="6">
        <f>IF(F211=0,0,G211/F211)</f>
        <v/>
      </c>
      <c r="I221" s="6">
        <f>H221*D221</f>
        <v/>
      </c>
    </row>
    <row r="222">
      <c r="A222" s="9" t="n"/>
      <c r="B222" s="43" t="inlineStr">
        <is>
          <t xml:space="preserve">   Пол</t>
        </is>
      </c>
      <c r="C222" s="9" t="inlineStr">
        <is>
          <t>Вид</t>
        </is>
      </c>
      <c r="D222" s="9" t="n"/>
      <c r="E222" s="42">
        <f>СПРАВОЧНИК!$H$14</f>
        <v/>
      </c>
      <c r="F222" s="3">
        <f>F220</f>
        <v/>
      </c>
      <c r="G222" s="40">
        <f>SUM('ФАКТ ЧЕРН К2'!Q5:Q52)</f>
        <v/>
      </c>
      <c r="H222" s="6">
        <f>IF(F222=0,0,G222/F222)</f>
        <v/>
      </c>
      <c r="I222" s="6">
        <f>H222*E222</f>
        <v/>
      </c>
    </row>
    <row r="223">
      <c r="A223" s="9" t="n"/>
      <c r="B223" s="43" t="inlineStr">
        <is>
          <t xml:space="preserve">   Стены</t>
        </is>
      </c>
      <c r="C223" s="9" t="inlineStr">
        <is>
          <t>Вид</t>
        </is>
      </c>
      <c r="D223" s="9" t="n"/>
      <c r="E223" s="42">
        <f>СПРАВОЧНИК!$I$14</f>
        <v/>
      </c>
      <c r="F223" s="3">
        <f>F220</f>
        <v/>
      </c>
      <c r="G223" s="40">
        <f>SUM('ФАКТ ЧЕРН К2'!R5:R52)</f>
        <v/>
      </c>
      <c r="H223" s="6">
        <f>IF(F223=0,0,G223/F223)</f>
        <v/>
      </c>
      <c r="I223" s="6">
        <f>H223*E223</f>
        <v/>
      </c>
    </row>
    <row r="224">
      <c r="A224" s="9" t="n"/>
      <c r="B224" s="43" t="inlineStr">
        <is>
          <t xml:space="preserve">   Потолок</t>
        </is>
      </c>
      <c r="C224" s="9" t="inlineStr">
        <is>
          <t>Вид</t>
        </is>
      </c>
      <c r="D224" s="9" t="n"/>
      <c r="E224" s="42">
        <f>СПРАВОЧНИК!$J$14</f>
        <v/>
      </c>
      <c r="F224" s="3">
        <f>F220</f>
        <v/>
      </c>
      <c r="G224" s="40">
        <f>SUM('ФАКТ ЧЕРН К2'!S5:S52)</f>
        <v/>
      </c>
      <c r="H224" s="6">
        <f>IF(F224=0,0,G224/F224)</f>
        <v/>
      </c>
      <c r="I224" s="6">
        <f>H224*E224</f>
        <v/>
      </c>
    </row>
    <row r="225">
      <c r="A225" s="9" t="n"/>
      <c r="B225" s="41" t="inlineStr">
        <is>
          <t xml:space="preserve">  Чистовая</t>
        </is>
      </c>
      <c r="C225" s="9" t="inlineStr">
        <is>
          <t>Категория</t>
        </is>
      </c>
      <c r="D225" s="42">
        <f>СПРАВОЧНИК!F14</f>
        <v/>
      </c>
      <c r="E225" s="9" t="n"/>
      <c r="F225" s="3">
        <f>F210</f>
        <v/>
      </c>
      <c r="G225" s="40">
        <f>G226*E226+G227*E227+G228*E228</f>
        <v/>
      </c>
      <c r="H225" s="6">
        <f>IF(F215=0,0,G215/F215)</f>
        <v/>
      </c>
      <c r="I225" s="6">
        <f>H225*D225</f>
        <v/>
      </c>
    </row>
    <row r="226">
      <c r="A226" s="9" t="n"/>
      <c r="B226" s="43" t="inlineStr">
        <is>
          <t xml:space="preserve">   Пол</t>
        </is>
      </c>
      <c r="C226" s="9" t="inlineStr">
        <is>
          <t>Вид</t>
        </is>
      </c>
      <c r="D226" s="9" t="n"/>
      <c r="E226" s="42">
        <f>СПРАВОЧНИК!$L$14</f>
        <v/>
      </c>
      <c r="F226" s="3">
        <f>F220</f>
        <v/>
      </c>
      <c r="G226" s="40">
        <f>SUM('ФАКТ ЧИСТ К2'!U5:U52)</f>
        <v/>
      </c>
      <c r="H226" s="6">
        <f>IF(F226=0,0,G226/F226)</f>
        <v/>
      </c>
      <c r="I226" s="6">
        <f>H226*E226</f>
        <v/>
      </c>
    </row>
    <row r="227">
      <c r="A227" s="9" t="n"/>
      <c r="B227" s="43" t="inlineStr">
        <is>
          <t xml:space="preserve">   Стены</t>
        </is>
      </c>
      <c r="C227" s="9" t="inlineStr">
        <is>
          <t>Вид</t>
        </is>
      </c>
      <c r="D227" s="9" t="n"/>
      <c r="E227" s="42">
        <f>СПРАВОЧНИК!$M$14</f>
        <v/>
      </c>
      <c r="F227" s="3">
        <f>F220</f>
        <v/>
      </c>
      <c r="G227" s="40">
        <f>SUM('ФАКТ ЧИСТ К2'!V5:V52)</f>
        <v/>
      </c>
      <c r="H227" s="6">
        <f>IF(F227=0,0,G227/F227)</f>
        <v/>
      </c>
      <c r="I227" s="6">
        <f>H227*E227</f>
        <v/>
      </c>
    </row>
    <row r="228">
      <c r="A228" s="9" t="n"/>
      <c r="B228" s="43" t="inlineStr">
        <is>
          <t xml:space="preserve">   Потолок</t>
        </is>
      </c>
      <c r="C228" s="9" t="inlineStr">
        <is>
          <t>Вид</t>
        </is>
      </c>
      <c r="D228" s="9" t="n"/>
      <c r="E228" s="42">
        <f>СПРАВОЧНИК!$N$14</f>
        <v/>
      </c>
      <c r="F228" s="3">
        <f>F220</f>
        <v/>
      </c>
      <c r="G228" s="40">
        <f>SUM('ФАКТ ЧИСТ К2'!W5:W52)</f>
        <v/>
      </c>
      <c r="H228" s="6">
        <f>IF(F228=0,0,G228/F228)</f>
        <v/>
      </c>
      <c r="I228" s="6">
        <f>H228*E228</f>
        <v/>
      </c>
    </row>
    <row r="229">
      <c r="B229" s="23" t="inlineStr">
        <is>
          <t xml:space="preserve">  ✓ Сумма</t>
        </is>
      </c>
      <c r="D229" s="44">
        <f>D221+D225</f>
        <v/>
      </c>
    </row>
    <row r="230"/>
    <row r="231">
      <c r="A231" s="8" t="inlineStr">
        <is>
          <t>8.2.7</t>
        </is>
      </c>
      <c r="B231" s="16">
        <f>СПРАВОЧНИК!C15</f>
        <v/>
      </c>
      <c r="C231" s="9" t="inlineStr">
        <is>
          <t>Главная</t>
        </is>
      </c>
      <c r="D231" s="9" t="n"/>
      <c r="E231" s="9" t="n"/>
      <c r="F231" s="3">
        <f>СПРАВОЧНИК!B15</f>
        <v/>
      </c>
      <c r="G231" s="40">
        <f>G232*D232+G236*D236</f>
        <v/>
      </c>
      <c r="H231" s="6">
        <f>IF(F231=0,0,G231/F231)</f>
        <v/>
      </c>
      <c r="I231" s="6">
        <f>I232+I236</f>
        <v/>
      </c>
    </row>
    <row r="232">
      <c r="A232" s="9" t="n"/>
      <c r="B232" s="41" t="inlineStr">
        <is>
          <t xml:space="preserve">  Черновая</t>
        </is>
      </c>
      <c r="C232" s="9" t="inlineStr">
        <is>
          <t>Категория</t>
        </is>
      </c>
      <c r="D232" s="42">
        <f>СПРАВОЧНИК!E15</f>
        <v/>
      </c>
      <c r="E232" s="9" t="n"/>
      <c r="F232" s="3">
        <f>F221</f>
        <v/>
      </c>
      <c r="G232" s="40">
        <f>G233*E233+G234*E234+G235*E235</f>
        <v/>
      </c>
      <c r="H232" s="6">
        <f>IF(F222=0,0,G222/F222)</f>
        <v/>
      </c>
      <c r="I232" s="6">
        <f>H232*D232</f>
        <v/>
      </c>
    </row>
    <row r="233">
      <c r="A233" s="9" t="n"/>
      <c r="B233" s="43" t="inlineStr">
        <is>
          <t xml:space="preserve">   Пол</t>
        </is>
      </c>
      <c r="C233" s="9" t="inlineStr">
        <is>
          <t>Вид</t>
        </is>
      </c>
      <c r="D233" s="9" t="n"/>
      <c r="E233" s="42">
        <f>СПРАВОЧНИК!$H$15</f>
        <v/>
      </c>
      <c r="F233" s="3">
        <f>F231</f>
        <v/>
      </c>
      <c r="G233" s="40">
        <f>SUM('ФАКТ ЧЕРН К2'!T5:T52)</f>
        <v/>
      </c>
      <c r="H233" s="6">
        <f>IF(F233=0,0,G233/F233)</f>
        <v/>
      </c>
      <c r="I233" s="6">
        <f>H233*E233</f>
        <v/>
      </c>
    </row>
    <row r="234">
      <c r="A234" s="9" t="n"/>
      <c r="B234" s="43" t="inlineStr">
        <is>
          <t xml:space="preserve">   Стены</t>
        </is>
      </c>
      <c r="C234" s="9" t="inlineStr">
        <is>
          <t>Вид</t>
        </is>
      </c>
      <c r="D234" s="9" t="n"/>
      <c r="E234" s="42">
        <f>СПРАВОЧНИК!$I$15</f>
        <v/>
      </c>
      <c r="F234" s="3">
        <f>F231</f>
        <v/>
      </c>
      <c r="G234" s="40">
        <f>SUM('ФАКТ ЧЕРН К2'!U5:U52)</f>
        <v/>
      </c>
      <c r="H234" s="6">
        <f>IF(F234=0,0,G234/F234)</f>
        <v/>
      </c>
      <c r="I234" s="6">
        <f>H234*E234</f>
        <v/>
      </c>
    </row>
    <row r="235">
      <c r="A235" s="9" t="n"/>
      <c r="B235" s="43" t="inlineStr">
        <is>
          <t xml:space="preserve">   Потолок</t>
        </is>
      </c>
      <c r="C235" s="9" t="inlineStr">
        <is>
          <t>Вид</t>
        </is>
      </c>
      <c r="D235" s="9" t="n"/>
      <c r="E235" s="42">
        <f>СПРАВОЧНИК!$J$15</f>
        <v/>
      </c>
      <c r="F235" s="3">
        <f>F231</f>
        <v/>
      </c>
      <c r="G235" s="40">
        <f>SUM('ФАКТ ЧЕРН К2'!V5:V52)</f>
        <v/>
      </c>
      <c r="H235" s="6">
        <f>IF(F235=0,0,G235/F235)</f>
        <v/>
      </c>
      <c r="I235" s="6">
        <f>H235*E235</f>
        <v/>
      </c>
    </row>
    <row r="236">
      <c r="A236" s="9" t="n"/>
      <c r="B236" s="41" t="inlineStr">
        <is>
          <t xml:space="preserve">  Чистовая</t>
        </is>
      </c>
      <c r="C236" s="9" t="inlineStr">
        <is>
          <t>Категория</t>
        </is>
      </c>
      <c r="D236" s="42">
        <f>СПРАВОЧНИК!F15</f>
        <v/>
      </c>
      <c r="E236" s="9" t="n"/>
      <c r="F236" s="3">
        <f>F221</f>
        <v/>
      </c>
      <c r="G236" s="40">
        <f>G237*E237+G238*E238+G239*E239</f>
        <v/>
      </c>
      <c r="H236" s="6">
        <f>IF(F226=0,0,G226/F226)</f>
        <v/>
      </c>
      <c r="I236" s="6">
        <f>H236*D236</f>
        <v/>
      </c>
    </row>
    <row r="237">
      <c r="A237" s="9" t="n"/>
      <c r="B237" s="43" t="inlineStr">
        <is>
          <t xml:space="preserve">   Пол</t>
        </is>
      </c>
      <c r="C237" s="9" t="inlineStr">
        <is>
          <t>Вид</t>
        </is>
      </c>
      <c r="D237" s="9" t="n"/>
      <c r="E237" s="42">
        <f>СПРАВОЧНИК!$L$15</f>
        <v/>
      </c>
      <c r="F237" s="3">
        <f>F231</f>
        <v/>
      </c>
      <c r="G237" s="40">
        <f>SUM('ФАКТ ЧИСТ К2'!X5:X52)</f>
        <v/>
      </c>
      <c r="H237" s="6">
        <f>IF(F237=0,0,G237/F237)</f>
        <v/>
      </c>
      <c r="I237" s="6">
        <f>H237*E237</f>
        <v/>
      </c>
    </row>
    <row r="238">
      <c r="A238" s="9" t="n"/>
      <c r="B238" s="43" t="inlineStr">
        <is>
          <t xml:space="preserve">   Стены</t>
        </is>
      </c>
      <c r="C238" s="9" t="inlineStr">
        <is>
          <t>Вид</t>
        </is>
      </c>
      <c r="D238" s="9" t="n"/>
      <c r="E238" s="42">
        <f>СПРАВОЧНИК!$M$15</f>
        <v/>
      </c>
      <c r="F238" s="3">
        <f>F231</f>
        <v/>
      </c>
      <c r="G238" s="40">
        <f>SUM('ФАКТ ЧИСТ К2'!Y5:Y52)</f>
        <v/>
      </c>
      <c r="H238" s="6">
        <f>IF(F238=0,0,G238/F238)</f>
        <v/>
      </c>
      <c r="I238" s="6">
        <f>H238*E238</f>
        <v/>
      </c>
    </row>
    <row r="239">
      <c r="A239" s="9" t="n"/>
      <c r="B239" s="43" t="inlineStr">
        <is>
          <t xml:space="preserve">   Потолок</t>
        </is>
      </c>
      <c r="C239" s="9" t="inlineStr">
        <is>
          <t>Вид</t>
        </is>
      </c>
      <c r="D239" s="9" t="n"/>
      <c r="E239" s="42">
        <f>СПРАВОЧНИК!$N$15</f>
        <v/>
      </c>
      <c r="F239" s="3">
        <f>F231</f>
        <v/>
      </c>
      <c r="G239" s="40">
        <f>SUM('ФАКТ ЧИСТ К2'!Z5:Z52)</f>
        <v/>
      </c>
      <c r="H239" s="6">
        <f>IF(F239=0,0,G239/F239)</f>
        <v/>
      </c>
      <c r="I239" s="6">
        <f>H239*E239</f>
        <v/>
      </c>
    </row>
    <row r="240">
      <c r="B240" s="23" t="inlineStr">
        <is>
          <t xml:space="preserve">  ✓ Сумма</t>
        </is>
      </c>
      <c r="D240" s="44">
        <f>D232+D236</f>
        <v/>
      </c>
    </row>
    <row r="241"/>
    <row r="242">
      <c r="A242" s="75" t="inlineStr">
        <is>
          <t>НАДЗЕМНАЯ ЧАСТЬ — К3</t>
        </is>
      </c>
    </row>
    <row r="243">
      <c r="A243" s="81" t="inlineStr">
        <is>
          <t>Код</t>
        </is>
      </c>
      <c r="B243" s="81" t="inlineStr">
        <is>
          <t>Название</t>
        </is>
      </c>
      <c r="C243" s="81" t="inlineStr">
        <is>
          <t>Тип</t>
        </is>
      </c>
      <c r="D243" s="81" t="inlineStr">
        <is>
          <t>Вес ур.4</t>
        </is>
      </c>
      <c r="E243" s="81" t="inlineStr">
        <is>
          <t>Вес ур.5</t>
        </is>
      </c>
      <c r="F243" s="81" t="inlineStr">
        <is>
          <t>План м²</t>
        </is>
      </c>
      <c r="G243" s="81" t="inlineStr">
        <is>
          <t>Факт м²</t>
        </is>
      </c>
      <c r="H243" s="81" t="inlineStr">
        <is>
          <t>Факт %</t>
        </is>
      </c>
      <c r="I243" s="81" t="inlineStr">
        <is>
          <t>Взвеш. %</t>
        </is>
      </c>
    </row>
    <row r="244">
      <c r="A244" s="8" t="inlineStr">
        <is>
          <t>8.2.1</t>
        </is>
      </c>
      <c r="B244" s="16">
        <f>СПРАВОЧНИК!C9</f>
        <v/>
      </c>
      <c r="C244" s="9" t="inlineStr">
        <is>
          <t>Главная</t>
        </is>
      </c>
      <c r="D244" s="9" t="n"/>
      <c r="E244" s="9" t="n"/>
      <c r="F244" s="3">
        <f>СПРАВОЧНИК!B9</f>
        <v/>
      </c>
      <c r="G244" s="40">
        <f>G245*D245+G249*D249</f>
        <v/>
      </c>
      <c r="H244" s="6">
        <f>IF(F244=0,0,G244/F244)</f>
        <v/>
      </c>
      <c r="I244" s="6">
        <f>I245+I249</f>
        <v/>
      </c>
    </row>
    <row r="245">
      <c r="A245" s="9" t="n"/>
      <c r="B245" s="41" t="inlineStr">
        <is>
          <t xml:space="preserve">  Черновая</t>
        </is>
      </c>
      <c r="C245" s="9" t="inlineStr">
        <is>
          <t>Категория</t>
        </is>
      </c>
      <c r="D245" s="42">
        <f>СПРАВОЧНИК!E9</f>
        <v/>
      </c>
      <c r="E245" s="9" t="n"/>
      <c r="F245" s="3">
        <f>F234</f>
        <v/>
      </c>
      <c r="G245" s="40">
        <f>G246*E246+G247*E247+G248*E248</f>
        <v/>
      </c>
      <c r="H245" s="6">
        <f>IF(F235=0,0,G235/F235)</f>
        <v/>
      </c>
      <c r="I245" s="6">
        <f>H245*D245</f>
        <v/>
      </c>
    </row>
    <row r="246">
      <c r="A246" s="9" t="n"/>
      <c r="B246" s="43" t="inlineStr">
        <is>
          <t xml:space="preserve">   Пол</t>
        </is>
      </c>
      <c r="C246" s="9" t="inlineStr">
        <is>
          <t>Вид</t>
        </is>
      </c>
      <c r="D246" s="9" t="n"/>
      <c r="E246" s="42">
        <f>СПРАВОЧНИК!$H$9</f>
        <v/>
      </c>
      <c r="F246" s="3">
        <f>F244</f>
        <v/>
      </c>
      <c r="G246" s="40">
        <f>SUM('ФАКТ ЧЕРН К3'!B5:B52)</f>
        <v/>
      </c>
      <c r="H246" s="6">
        <f>IF(F246=0,0,G246/F246)</f>
        <v/>
      </c>
      <c r="I246" s="6">
        <f>H246*E246</f>
        <v/>
      </c>
    </row>
    <row r="247">
      <c r="A247" s="9" t="n"/>
      <c r="B247" s="43" t="inlineStr">
        <is>
          <t xml:space="preserve">   Стены</t>
        </is>
      </c>
      <c r="C247" s="9" t="inlineStr">
        <is>
          <t>Вид</t>
        </is>
      </c>
      <c r="D247" s="9" t="n"/>
      <c r="E247" s="42">
        <f>СПРАВОЧНИК!$I$9</f>
        <v/>
      </c>
      <c r="F247" s="3">
        <f>F244</f>
        <v/>
      </c>
      <c r="G247" s="40">
        <f>SUM('ФАКТ ЧЕРН К3'!C5:C52)</f>
        <v/>
      </c>
      <c r="H247" s="6">
        <f>IF(F247=0,0,G247/F247)</f>
        <v/>
      </c>
      <c r="I247" s="6">
        <f>H247*E247</f>
        <v/>
      </c>
    </row>
    <row r="248">
      <c r="A248" s="9" t="n"/>
      <c r="B248" s="43" t="inlineStr">
        <is>
          <t xml:space="preserve">   Потолок</t>
        </is>
      </c>
      <c r="C248" s="9" t="inlineStr">
        <is>
          <t>Вид</t>
        </is>
      </c>
      <c r="D248" s="9" t="n"/>
      <c r="E248" s="42">
        <f>СПРАВОЧНИК!$J$9</f>
        <v/>
      </c>
      <c r="F248" s="3">
        <f>F244</f>
        <v/>
      </c>
      <c r="G248" s="40">
        <f>SUM('ФАКТ ЧЕРН К3'!D5:D52)</f>
        <v/>
      </c>
      <c r="H248" s="6">
        <f>IF(F248=0,0,G248/F248)</f>
        <v/>
      </c>
      <c r="I248" s="6">
        <f>H248*E248</f>
        <v/>
      </c>
    </row>
    <row r="249">
      <c r="A249" s="9" t="n"/>
      <c r="B249" s="41" t="inlineStr">
        <is>
          <t xml:space="preserve">  Чистовая</t>
        </is>
      </c>
      <c r="C249" s="9" t="inlineStr">
        <is>
          <t>Категория</t>
        </is>
      </c>
      <c r="D249" s="42">
        <f>СПРАВОЧНИК!F9</f>
        <v/>
      </c>
      <c r="E249" s="9" t="n"/>
      <c r="F249" s="3">
        <f>F234</f>
        <v/>
      </c>
      <c r="G249" s="40">
        <f>G250*E250+G251*E251+G252*E252+G253*E253</f>
        <v/>
      </c>
      <c r="H249" s="6">
        <f>IF(F239=0,0,G239/F239)</f>
        <v/>
      </c>
      <c r="I249" s="6">
        <f>H249*D249</f>
        <v/>
      </c>
    </row>
    <row r="250">
      <c r="A250" s="9" t="n"/>
      <c r="B250" s="43" t="inlineStr">
        <is>
          <t xml:space="preserve">   Пол</t>
        </is>
      </c>
      <c r="C250" s="9" t="inlineStr">
        <is>
          <t>Вид</t>
        </is>
      </c>
      <c r="D250" s="9" t="n"/>
      <c r="E250" s="42">
        <f>СПРАВОЧНИК!$L$9</f>
        <v/>
      </c>
      <c r="F250" s="3">
        <f>F244</f>
        <v/>
      </c>
      <c r="G250" s="40">
        <f>SUM('ФАКТ ЧИСТ К3'!B5:B52)</f>
        <v/>
      </c>
      <c r="H250" s="6">
        <f>IF(F250=0,0,G250/F250)</f>
        <v/>
      </c>
      <c r="I250" s="6">
        <f>H250*E250</f>
        <v/>
      </c>
    </row>
    <row r="251">
      <c r="A251" s="9" t="n"/>
      <c r="B251" s="43" t="inlineStr">
        <is>
          <t xml:space="preserve">   Стены</t>
        </is>
      </c>
      <c r="C251" s="9" t="inlineStr">
        <is>
          <t>Вид</t>
        </is>
      </c>
      <c r="D251" s="9" t="n"/>
      <c r="E251" s="42">
        <f>СПРАВОЧНИК!$M$9</f>
        <v/>
      </c>
      <c r="F251" s="3">
        <f>F244</f>
        <v/>
      </c>
      <c r="G251" s="40">
        <f>SUM('ФАКТ ЧИСТ К3'!C5:C52)</f>
        <v/>
      </c>
      <c r="H251" s="6">
        <f>IF(F251=0,0,G251/F251)</f>
        <v/>
      </c>
      <c r="I251" s="6">
        <f>H251*E251</f>
        <v/>
      </c>
    </row>
    <row r="252">
      <c r="A252" s="9" t="n"/>
      <c r="B252" s="43" t="inlineStr">
        <is>
          <t xml:space="preserve">   Потолок</t>
        </is>
      </c>
      <c r="C252" s="9" t="inlineStr">
        <is>
          <t>Вид</t>
        </is>
      </c>
      <c r="D252" s="9" t="n"/>
      <c r="E252" s="42">
        <f>СПРАВОЧНИК!$N$9</f>
        <v/>
      </c>
      <c r="F252" s="3">
        <f>F244</f>
        <v/>
      </c>
      <c r="G252" s="40">
        <f>SUM('ФАКТ ЧИСТ К3'!D5:D52)</f>
        <v/>
      </c>
      <c r="H252" s="6">
        <f>IF(F252=0,0,G252/F252)</f>
        <v/>
      </c>
      <c r="I252" s="6">
        <f>H252*E252</f>
        <v/>
      </c>
    </row>
    <row r="253">
      <c r="A253" s="9" t="n"/>
      <c r="B253" s="43" t="inlineStr">
        <is>
          <t xml:space="preserve">   Заполн. проемов</t>
        </is>
      </c>
      <c r="C253" s="9" t="inlineStr">
        <is>
          <t>Вид</t>
        </is>
      </c>
      <c r="D253" s="9" t="n"/>
      <c r="E253" s="42">
        <f>СПРАВОЧНИК!$O$9</f>
        <v/>
      </c>
      <c r="F253" s="3">
        <f>F244</f>
        <v/>
      </c>
      <c r="G253" s="40">
        <f>SUM('ФАКТ ЧИСТ К3'!E5:E52)</f>
        <v/>
      </c>
      <c r="H253" s="6">
        <f>IF(F253=0,0,G253/F253)</f>
        <v/>
      </c>
      <c r="I253" s="6">
        <f>H253*E253</f>
        <v/>
      </c>
    </row>
    <row r="254">
      <c r="B254" s="23" t="inlineStr">
        <is>
          <t xml:space="preserve">  ✓ Сумма</t>
        </is>
      </c>
      <c r="D254" s="44">
        <f>D245+D249</f>
        <v/>
      </c>
    </row>
    <row r="255"/>
    <row r="256">
      <c r="A256" s="8" t="inlineStr">
        <is>
          <t>8.2.2</t>
        </is>
      </c>
      <c r="B256" s="16">
        <f>СПРАВОЧНИК!C10</f>
        <v/>
      </c>
      <c r="C256" s="9" t="inlineStr">
        <is>
          <t>Главная</t>
        </is>
      </c>
      <c r="D256" s="9" t="n"/>
      <c r="E256" s="9" t="n"/>
      <c r="F256" s="3">
        <f>СПРАВОЧНИК!B10</f>
        <v/>
      </c>
      <c r="G256" s="40">
        <f>G257*D257+G261*D261</f>
        <v/>
      </c>
      <c r="H256" s="6">
        <f>IF(F256=0,0,G256/F256)</f>
        <v/>
      </c>
      <c r="I256" s="6">
        <f>I257+I261</f>
        <v/>
      </c>
    </row>
    <row r="257">
      <c r="A257" s="9" t="n"/>
      <c r="B257" s="41" t="inlineStr">
        <is>
          <t xml:space="preserve">  Черновая</t>
        </is>
      </c>
      <c r="C257" s="9" t="inlineStr">
        <is>
          <t>Категория</t>
        </is>
      </c>
      <c r="D257" s="42">
        <f>СПРАВОЧНИК!E10</f>
        <v/>
      </c>
      <c r="E257" s="9" t="n"/>
      <c r="F257" s="3">
        <f>F246</f>
        <v/>
      </c>
      <c r="G257" s="40">
        <f>G258*E258+G259*E259+G260*E260</f>
        <v/>
      </c>
      <c r="H257" s="6">
        <f>IF(F247=0,0,G247/F247)</f>
        <v/>
      </c>
      <c r="I257" s="6">
        <f>H257*D257</f>
        <v/>
      </c>
    </row>
    <row r="258">
      <c r="A258" s="9" t="n"/>
      <c r="B258" s="43" t="inlineStr">
        <is>
          <t xml:space="preserve">   Пол</t>
        </is>
      </c>
      <c r="C258" s="9" t="inlineStr">
        <is>
          <t>Вид</t>
        </is>
      </c>
      <c r="D258" s="9" t="n"/>
      <c r="E258" s="42">
        <f>СПРАВОЧНИК!$H$10</f>
        <v/>
      </c>
      <c r="F258" s="3">
        <f>F256</f>
        <v/>
      </c>
      <c r="G258" s="40">
        <f>SUM('ФАКТ ЧЕРН К3'!E5:E52)</f>
        <v/>
      </c>
      <c r="H258" s="6">
        <f>IF(F258=0,0,G258/F258)</f>
        <v/>
      </c>
      <c r="I258" s="6">
        <f>H258*E258</f>
        <v/>
      </c>
    </row>
    <row r="259">
      <c r="A259" s="9" t="n"/>
      <c r="B259" s="43" t="inlineStr">
        <is>
          <t xml:space="preserve">   Стены</t>
        </is>
      </c>
      <c r="C259" s="9" t="inlineStr">
        <is>
          <t>Вид</t>
        </is>
      </c>
      <c r="D259" s="9" t="n"/>
      <c r="E259" s="42">
        <f>СПРАВОЧНИК!$I$10</f>
        <v/>
      </c>
      <c r="F259" s="3">
        <f>F256</f>
        <v/>
      </c>
      <c r="G259" s="40">
        <f>SUM('ФАКТ ЧЕРН К3'!F5:F52)</f>
        <v/>
      </c>
      <c r="H259" s="6">
        <f>IF(F259=0,0,G259/F259)</f>
        <v/>
      </c>
      <c r="I259" s="6">
        <f>H259*E259</f>
        <v/>
      </c>
    </row>
    <row r="260">
      <c r="A260" s="9" t="n"/>
      <c r="B260" s="43" t="inlineStr">
        <is>
          <t xml:space="preserve">   Потолок</t>
        </is>
      </c>
      <c r="C260" s="9" t="inlineStr">
        <is>
          <t>Вид</t>
        </is>
      </c>
      <c r="D260" s="9" t="n"/>
      <c r="E260" s="42">
        <f>СПРАВОЧНИК!$J$10</f>
        <v/>
      </c>
      <c r="F260" s="3">
        <f>F256</f>
        <v/>
      </c>
      <c r="G260" s="40">
        <f>SUM('ФАКТ ЧЕРН К3'!G5:G52)</f>
        <v/>
      </c>
      <c r="H260" s="6">
        <f>IF(F260=0,0,G260/F260)</f>
        <v/>
      </c>
      <c r="I260" s="6">
        <f>H260*E260</f>
        <v/>
      </c>
    </row>
    <row r="261">
      <c r="A261" s="9" t="n"/>
      <c r="B261" s="41" t="inlineStr">
        <is>
          <t xml:space="preserve">  Чистовая</t>
        </is>
      </c>
      <c r="C261" s="9" t="inlineStr">
        <is>
          <t>Категория</t>
        </is>
      </c>
      <c r="D261" s="42">
        <f>СПРАВОЧНИК!F10</f>
        <v/>
      </c>
      <c r="E261" s="9" t="n"/>
      <c r="F261" s="3">
        <f>F246</f>
        <v/>
      </c>
      <c r="G261" s="40">
        <f>G262*E262+G263*E263+G264*E264+G265*E265</f>
        <v/>
      </c>
      <c r="H261" s="6">
        <f>IF(F251=0,0,G251/F251)</f>
        <v/>
      </c>
      <c r="I261" s="6">
        <f>H261*D261</f>
        <v/>
      </c>
    </row>
    <row r="262">
      <c r="A262" s="9" t="n"/>
      <c r="B262" s="43" t="inlineStr">
        <is>
          <t xml:space="preserve">   Пол</t>
        </is>
      </c>
      <c r="C262" s="9" t="inlineStr">
        <is>
          <t>Вид</t>
        </is>
      </c>
      <c r="D262" s="9" t="n"/>
      <c r="E262" s="42">
        <f>СПРАВОЧНИК!$L$10</f>
        <v/>
      </c>
      <c r="F262" s="3">
        <f>F256</f>
        <v/>
      </c>
      <c r="G262" s="40">
        <f>SUM('ФАКТ ЧИСТ К3'!F5:F52)</f>
        <v/>
      </c>
      <c r="H262" s="6">
        <f>IF(F262=0,0,G262/F262)</f>
        <v/>
      </c>
      <c r="I262" s="6">
        <f>H262*E262</f>
        <v/>
      </c>
    </row>
    <row r="263">
      <c r="A263" s="9" t="n"/>
      <c r="B263" s="43" t="inlineStr">
        <is>
          <t xml:space="preserve">   Стены</t>
        </is>
      </c>
      <c r="C263" s="9" t="inlineStr">
        <is>
          <t>Вид</t>
        </is>
      </c>
      <c r="D263" s="9" t="n"/>
      <c r="E263" s="42">
        <f>СПРАВОЧНИК!$M$10</f>
        <v/>
      </c>
      <c r="F263" s="3">
        <f>F256</f>
        <v/>
      </c>
      <c r="G263" s="40">
        <f>SUM('ФАКТ ЧИСТ К3'!G5:G52)</f>
        <v/>
      </c>
      <c r="H263" s="6">
        <f>IF(F263=0,0,G263/F263)</f>
        <v/>
      </c>
      <c r="I263" s="6">
        <f>H263*E263</f>
        <v/>
      </c>
    </row>
    <row r="264">
      <c r="A264" s="9" t="n"/>
      <c r="B264" s="43" t="inlineStr">
        <is>
          <t xml:space="preserve">   Потолок</t>
        </is>
      </c>
      <c r="C264" s="9" t="inlineStr">
        <is>
          <t>Вид</t>
        </is>
      </c>
      <c r="D264" s="9" t="n"/>
      <c r="E264" s="42">
        <f>СПРАВОЧНИК!$N$10</f>
        <v/>
      </c>
      <c r="F264" s="3">
        <f>F256</f>
        <v/>
      </c>
      <c r="G264" s="40">
        <f>SUM('ФАКТ ЧИСТ К3'!H5:H52)</f>
        <v/>
      </c>
      <c r="H264" s="6">
        <f>IF(F264=0,0,G264/F264)</f>
        <v/>
      </c>
      <c r="I264" s="6">
        <f>H264*E264</f>
        <v/>
      </c>
    </row>
    <row r="265">
      <c r="A265" s="9" t="n"/>
      <c r="B265" s="43" t="inlineStr">
        <is>
          <t xml:space="preserve">   Заполн. проемов</t>
        </is>
      </c>
      <c r="C265" s="9" t="inlineStr">
        <is>
          <t>Вид</t>
        </is>
      </c>
      <c r="D265" s="9" t="n"/>
      <c r="E265" s="42">
        <f>СПРАВОЧНИК!$O$10</f>
        <v/>
      </c>
      <c r="F265" s="3">
        <f>F256</f>
        <v/>
      </c>
      <c r="G265" s="40">
        <f>SUM('ФАКТ ЧИСТ К3'!I5:I52)</f>
        <v/>
      </c>
      <c r="H265" s="6">
        <f>IF(F265=0,0,G265/F265)</f>
        <v/>
      </c>
      <c r="I265" s="6">
        <f>H265*E265</f>
        <v/>
      </c>
    </row>
    <row r="266">
      <c r="B266" s="23" t="inlineStr">
        <is>
          <t xml:space="preserve">  ✓ Сумма</t>
        </is>
      </c>
      <c r="D266" s="44">
        <f>D257+D261</f>
        <v/>
      </c>
    </row>
    <row r="267"/>
    <row r="268">
      <c r="A268" s="8" t="inlineStr">
        <is>
          <t>8.2.3</t>
        </is>
      </c>
      <c r="B268" s="16">
        <f>СПРАВОЧНИК!C11</f>
        <v/>
      </c>
      <c r="C268" s="9" t="inlineStr">
        <is>
          <t>Главная</t>
        </is>
      </c>
      <c r="D268" s="9" t="n"/>
      <c r="E268" s="9" t="n"/>
      <c r="F268" s="3">
        <f>СПРАВОЧНИК!B11</f>
        <v/>
      </c>
      <c r="G268" s="40">
        <f>G269*D269+G273*D273</f>
        <v/>
      </c>
      <c r="H268" s="6">
        <f>IF(F268=0,0,G268/F268)</f>
        <v/>
      </c>
      <c r="I268" s="6">
        <f>I269+I273</f>
        <v/>
      </c>
    </row>
    <row r="269">
      <c r="A269" s="9" t="n"/>
      <c r="B269" s="41" t="inlineStr">
        <is>
          <t xml:space="preserve">  Черновая</t>
        </is>
      </c>
      <c r="C269" s="9" t="inlineStr">
        <is>
          <t>Категория</t>
        </is>
      </c>
      <c r="D269" s="42">
        <f>СПРАВОЧНИК!E11</f>
        <v/>
      </c>
      <c r="E269" s="9" t="n"/>
      <c r="F269" s="3">
        <f>F257</f>
        <v/>
      </c>
      <c r="G269" s="40">
        <f>G270*E270+G271*E271+G272*E272</f>
        <v/>
      </c>
      <c r="H269" s="6">
        <f>IF(F258=0,0,G258/F258)</f>
        <v/>
      </c>
      <c r="I269" s="6">
        <f>H269*D269</f>
        <v/>
      </c>
    </row>
    <row r="270">
      <c r="A270" s="9" t="n"/>
      <c r="B270" s="43" t="inlineStr">
        <is>
          <t xml:space="preserve">   Пол</t>
        </is>
      </c>
      <c r="C270" s="9" t="inlineStr">
        <is>
          <t>Вид</t>
        </is>
      </c>
      <c r="D270" s="9" t="n"/>
      <c r="E270" s="42">
        <f>СПРАВОЧНИК!$H$11</f>
        <v/>
      </c>
      <c r="F270" s="3">
        <f>F268</f>
        <v/>
      </c>
      <c r="G270" s="40">
        <f>SUM('ФАКТ ЧЕРН К3'!H5:H52)</f>
        <v/>
      </c>
      <c r="H270" s="6">
        <f>IF(F270=0,0,G270/F270)</f>
        <v/>
      </c>
      <c r="I270" s="6">
        <f>H270*E270</f>
        <v/>
      </c>
    </row>
    <row r="271">
      <c r="A271" s="9" t="n"/>
      <c r="B271" s="43" t="inlineStr">
        <is>
          <t xml:space="preserve">   Стены</t>
        </is>
      </c>
      <c r="C271" s="9" t="inlineStr">
        <is>
          <t>Вид</t>
        </is>
      </c>
      <c r="D271" s="9" t="n"/>
      <c r="E271" s="42">
        <f>СПРАВОЧНИК!$I$11</f>
        <v/>
      </c>
      <c r="F271" s="3">
        <f>F268</f>
        <v/>
      </c>
      <c r="G271" s="40">
        <f>SUM('ФАКТ ЧЕРН К3'!I5:I52)</f>
        <v/>
      </c>
      <c r="H271" s="6">
        <f>IF(F271=0,0,G271/F271)</f>
        <v/>
      </c>
      <c r="I271" s="6">
        <f>H271*E271</f>
        <v/>
      </c>
    </row>
    <row r="272">
      <c r="A272" s="9" t="n"/>
      <c r="B272" s="43" t="inlineStr">
        <is>
          <t xml:space="preserve">   Потолок</t>
        </is>
      </c>
      <c r="C272" s="9" t="inlineStr">
        <is>
          <t>Вид</t>
        </is>
      </c>
      <c r="D272" s="9" t="n"/>
      <c r="E272" s="42">
        <f>СПРАВОЧНИК!$J$11</f>
        <v/>
      </c>
      <c r="F272" s="3">
        <f>F268</f>
        <v/>
      </c>
      <c r="G272" s="40">
        <f>SUM('ФАКТ ЧЕРН К3'!J5:J52)</f>
        <v/>
      </c>
      <c r="H272" s="6">
        <f>IF(F272=0,0,G272/F272)</f>
        <v/>
      </c>
      <c r="I272" s="6">
        <f>H272*E272</f>
        <v/>
      </c>
    </row>
    <row r="273">
      <c r="A273" s="9" t="n"/>
      <c r="B273" s="41" t="inlineStr">
        <is>
          <t xml:space="preserve">  Чистовая</t>
        </is>
      </c>
      <c r="C273" s="9" t="inlineStr">
        <is>
          <t>Категория</t>
        </is>
      </c>
      <c r="D273" s="42">
        <f>СПРАВОЧНИК!F11</f>
        <v/>
      </c>
      <c r="E273" s="9" t="n"/>
      <c r="F273" s="3">
        <f>F257</f>
        <v/>
      </c>
      <c r="G273" s="40">
        <f>G274*E274+G275*E275+G276*E276</f>
        <v/>
      </c>
      <c r="H273" s="6">
        <f>IF(F262=0,0,G262/F262)</f>
        <v/>
      </c>
      <c r="I273" s="6">
        <f>H273*D273</f>
        <v/>
      </c>
    </row>
    <row r="274">
      <c r="A274" s="9" t="n"/>
      <c r="B274" s="43" t="inlineStr">
        <is>
          <t xml:space="preserve">   Пол</t>
        </is>
      </c>
      <c r="C274" s="9" t="inlineStr">
        <is>
          <t>Вид</t>
        </is>
      </c>
      <c r="D274" s="9" t="n"/>
      <c r="E274" s="42">
        <f>СПРАВОЧНИК!$L$11</f>
        <v/>
      </c>
      <c r="F274" s="3">
        <f>F268</f>
        <v/>
      </c>
      <c r="G274" s="40">
        <f>SUM('ФАКТ ЧИСТ К3'!J5:J52)</f>
        <v/>
      </c>
      <c r="H274" s="6">
        <f>IF(F274=0,0,G274/F274)</f>
        <v/>
      </c>
      <c r="I274" s="6">
        <f>H274*E274</f>
        <v/>
      </c>
    </row>
    <row r="275">
      <c r="A275" s="9" t="n"/>
      <c r="B275" s="43" t="inlineStr">
        <is>
          <t xml:space="preserve">   Стены</t>
        </is>
      </c>
      <c r="C275" s="9" t="inlineStr">
        <is>
          <t>Вид</t>
        </is>
      </c>
      <c r="D275" s="9" t="n"/>
      <c r="E275" s="42">
        <f>СПРАВОЧНИК!$M$11</f>
        <v/>
      </c>
      <c r="F275" s="3">
        <f>F268</f>
        <v/>
      </c>
      <c r="G275" s="40">
        <f>SUM('ФАКТ ЧИСТ К3'!K5:K52)</f>
        <v/>
      </c>
      <c r="H275" s="6">
        <f>IF(F275=0,0,G275/F275)</f>
        <v/>
      </c>
      <c r="I275" s="6">
        <f>H275*E275</f>
        <v/>
      </c>
    </row>
    <row r="276">
      <c r="A276" s="9" t="n"/>
      <c r="B276" s="43" t="inlineStr">
        <is>
          <t xml:space="preserve">   Потолок</t>
        </is>
      </c>
      <c r="C276" s="9" t="inlineStr">
        <is>
          <t>Вид</t>
        </is>
      </c>
      <c r="D276" s="9" t="n"/>
      <c r="E276" s="42">
        <f>СПРАВОЧНИК!$N$11</f>
        <v/>
      </c>
      <c r="F276" s="3">
        <f>F268</f>
        <v/>
      </c>
      <c r="G276" s="40">
        <f>SUM('ФАКТ ЧИСТ К3'!L5:L52)</f>
        <v/>
      </c>
      <c r="H276" s="6">
        <f>IF(F276=0,0,G276/F276)</f>
        <v/>
      </c>
      <c r="I276" s="6">
        <f>H276*E276</f>
        <v/>
      </c>
    </row>
    <row r="277">
      <c r="B277" s="23" t="inlineStr">
        <is>
          <t xml:space="preserve">  ✓ Сумма</t>
        </is>
      </c>
      <c r="D277" s="44">
        <f>D269+D273</f>
        <v/>
      </c>
    </row>
    <row r="278"/>
    <row r="279">
      <c r="A279" s="8" t="inlineStr">
        <is>
          <t>8.2.4</t>
        </is>
      </c>
      <c r="B279" s="16">
        <f>СПРАВОЧНИК!C12</f>
        <v/>
      </c>
      <c r="C279" s="9" t="inlineStr">
        <is>
          <t>Главная</t>
        </is>
      </c>
      <c r="D279" s="9" t="n"/>
      <c r="E279" s="9" t="n"/>
      <c r="F279" s="3">
        <f>СПРАВОЧНИК!B12</f>
        <v/>
      </c>
      <c r="G279" s="40">
        <f>G280*D280+G284*D284</f>
        <v/>
      </c>
      <c r="H279" s="6">
        <f>IF(F279=0,0,G279/F279)</f>
        <v/>
      </c>
      <c r="I279" s="6">
        <f>I280+I284</f>
        <v/>
      </c>
    </row>
    <row r="280">
      <c r="A280" s="9" t="n"/>
      <c r="B280" s="41" t="inlineStr">
        <is>
          <t xml:space="preserve">  Черновая</t>
        </is>
      </c>
      <c r="C280" s="9" t="inlineStr">
        <is>
          <t>Категория</t>
        </is>
      </c>
      <c r="D280" s="42">
        <f>СПРАВОЧНИК!E12</f>
        <v/>
      </c>
      <c r="E280" s="9" t="n"/>
      <c r="F280" s="3">
        <f>F268</f>
        <v/>
      </c>
      <c r="G280" s="40">
        <f>G281*E281+G282*E282+G283*E283</f>
        <v/>
      </c>
      <c r="H280" s="6">
        <f>IF(F269=0,0,G269/F269)</f>
        <v/>
      </c>
      <c r="I280" s="6">
        <f>H280*D280</f>
        <v/>
      </c>
    </row>
    <row r="281">
      <c r="A281" s="9" t="n"/>
      <c r="B281" s="43" t="inlineStr">
        <is>
          <t xml:space="preserve">   Пол</t>
        </is>
      </c>
      <c r="C281" s="9" t="inlineStr">
        <is>
          <t>Вид</t>
        </is>
      </c>
      <c r="D281" s="9" t="n"/>
      <c r="E281" s="42">
        <f>СПРАВОЧНИК!$H$12</f>
        <v/>
      </c>
      <c r="F281" s="3">
        <f>F279</f>
        <v/>
      </c>
      <c r="G281" s="40">
        <f>SUM('ФАКТ ЧЕРН К3'!K5:K52)</f>
        <v/>
      </c>
      <c r="H281" s="6">
        <f>IF(F281=0,0,G281/F281)</f>
        <v/>
      </c>
      <c r="I281" s="6">
        <f>H281*E281</f>
        <v/>
      </c>
    </row>
    <row r="282">
      <c r="A282" s="9" t="n"/>
      <c r="B282" s="43" t="inlineStr">
        <is>
          <t xml:space="preserve">   Стены</t>
        </is>
      </c>
      <c r="C282" s="9" t="inlineStr">
        <is>
          <t>Вид</t>
        </is>
      </c>
      <c r="D282" s="9" t="n"/>
      <c r="E282" s="42">
        <f>СПРАВОЧНИК!$I$12</f>
        <v/>
      </c>
      <c r="F282" s="3">
        <f>F279</f>
        <v/>
      </c>
      <c r="G282" s="40">
        <f>SUM('ФАКТ ЧЕРН К3'!L5:L52)</f>
        <v/>
      </c>
      <c r="H282" s="6">
        <f>IF(F282=0,0,G282/F282)</f>
        <v/>
      </c>
      <c r="I282" s="6">
        <f>H282*E282</f>
        <v/>
      </c>
    </row>
    <row r="283">
      <c r="A283" s="9" t="n"/>
      <c r="B283" s="43" t="inlineStr">
        <is>
          <t xml:space="preserve">   Потолок</t>
        </is>
      </c>
      <c r="C283" s="9" t="inlineStr">
        <is>
          <t>Вид</t>
        </is>
      </c>
      <c r="D283" s="9" t="n"/>
      <c r="E283" s="42">
        <f>СПРАВОЧНИК!$J$12</f>
        <v/>
      </c>
      <c r="F283" s="3">
        <f>F279</f>
        <v/>
      </c>
      <c r="G283" s="40">
        <f>SUM('ФАКТ ЧЕРН К3'!M5:M52)</f>
        <v/>
      </c>
      <c r="H283" s="6">
        <f>IF(F283=0,0,G283/F283)</f>
        <v/>
      </c>
      <c r="I283" s="6">
        <f>H283*E283</f>
        <v/>
      </c>
    </row>
    <row r="284">
      <c r="A284" s="9" t="n"/>
      <c r="B284" s="41" t="inlineStr">
        <is>
          <t xml:space="preserve">  Чистовая</t>
        </is>
      </c>
      <c r="C284" s="9" t="inlineStr">
        <is>
          <t>Категория</t>
        </is>
      </c>
      <c r="D284" s="42">
        <f>СПРАВОЧНИК!F12</f>
        <v/>
      </c>
      <c r="E284" s="9" t="n"/>
      <c r="F284" s="3">
        <f>F268</f>
        <v/>
      </c>
      <c r="G284" s="40">
        <f>G285*E285+G286*E286+G287*E287+G288*E288</f>
        <v/>
      </c>
      <c r="H284" s="6">
        <f>IF(F273=0,0,G273/F273)</f>
        <v/>
      </c>
      <c r="I284" s="6">
        <f>H284*D284</f>
        <v/>
      </c>
    </row>
    <row r="285">
      <c r="A285" s="9" t="n"/>
      <c r="B285" s="43" t="inlineStr">
        <is>
          <t xml:space="preserve">   Пол</t>
        </is>
      </c>
      <c r="C285" s="9" t="inlineStr">
        <is>
          <t>Вид</t>
        </is>
      </c>
      <c r="D285" s="9" t="n"/>
      <c r="E285" s="42">
        <f>СПРАВОЧНИК!$L$12</f>
        <v/>
      </c>
      <c r="F285" s="3">
        <f>F279</f>
        <v/>
      </c>
      <c r="G285" s="40">
        <f>SUM('ФАКТ ЧИСТ К3'!M5:M52)</f>
        <v/>
      </c>
      <c r="H285" s="6">
        <f>IF(F285=0,0,G285/F285)</f>
        <v/>
      </c>
      <c r="I285" s="6">
        <f>H285*E285</f>
        <v/>
      </c>
    </row>
    <row r="286">
      <c r="A286" s="9" t="n"/>
      <c r="B286" s="43" t="inlineStr">
        <is>
          <t xml:space="preserve">   Стены</t>
        </is>
      </c>
      <c r="C286" s="9" t="inlineStr">
        <is>
          <t>Вид</t>
        </is>
      </c>
      <c r="D286" s="9" t="n"/>
      <c r="E286" s="42">
        <f>СПРАВОЧНИК!$M$12</f>
        <v/>
      </c>
      <c r="F286" s="3">
        <f>F279</f>
        <v/>
      </c>
      <c r="G286" s="40">
        <f>SUM('ФАКТ ЧИСТ К3'!N5:N52)</f>
        <v/>
      </c>
      <c r="H286" s="6">
        <f>IF(F286=0,0,G286/F286)</f>
        <v/>
      </c>
      <c r="I286" s="6">
        <f>H286*E286</f>
        <v/>
      </c>
    </row>
    <row r="287">
      <c r="A287" s="9" t="n"/>
      <c r="B287" s="43" t="inlineStr">
        <is>
          <t xml:space="preserve">   Потолок</t>
        </is>
      </c>
      <c r="C287" s="9" t="inlineStr">
        <is>
          <t>Вид</t>
        </is>
      </c>
      <c r="D287" s="9" t="n"/>
      <c r="E287" s="42">
        <f>СПРАВОЧНИК!$N$12</f>
        <v/>
      </c>
      <c r="F287" s="3">
        <f>F279</f>
        <v/>
      </c>
      <c r="G287" s="40">
        <f>SUM('ФАКТ ЧИСТ К3'!O5:O52)</f>
        <v/>
      </c>
      <c r="H287" s="6">
        <f>IF(F287=0,0,G287/F287)</f>
        <v/>
      </c>
      <c r="I287" s="6">
        <f>H287*E287</f>
        <v/>
      </c>
    </row>
    <row r="288">
      <c r="A288" s="9" t="n"/>
      <c r="B288" s="43" t="inlineStr">
        <is>
          <t xml:space="preserve">   Заполн. проемов</t>
        </is>
      </c>
      <c r="C288" s="9" t="inlineStr">
        <is>
          <t>Вид</t>
        </is>
      </c>
      <c r="D288" s="9" t="n"/>
      <c r="E288" s="42">
        <f>СПРАВОЧНИК!$O$12</f>
        <v/>
      </c>
      <c r="F288" s="3">
        <f>F279</f>
        <v/>
      </c>
      <c r="G288" s="40">
        <f>SUM('ФАКТ ЧИСТ К3'!P5:P52)</f>
        <v/>
      </c>
      <c r="H288" s="6">
        <f>IF(F288=0,0,G288/F288)</f>
        <v/>
      </c>
      <c r="I288" s="6">
        <f>H288*E288</f>
        <v/>
      </c>
    </row>
    <row r="289">
      <c r="B289" s="23" t="inlineStr">
        <is>
          <t xml:space="preserve">  ✓ Сумма</t>
        </is>
      </c>
      <c r="D289" s="44">
        <f>D280+D284</f>
        <v/>
      </c>
    </row>
    <row r="290"/>
    <row r="291">
      <c r="A291" s="8" t="inlineStr">
        <is>
          <t>8.2.5</t>
        </is>
      </c>
      <c r="B291" s="16">
        <f>СПРАВОЧНИК!C13</f>
        <v/>
      </c>
      <c r="C291" s="9" t="inlineStr">
        <is>
          <t>Главная</t>
        </is>
      </c>
      <c r="D291" s="9" t="n"/>
      <c r="E291" s="9" t="n"/>
      <c r="F291" s="3">
        <f>СПРАВОЧНИК!B13</f>
        <v/>
      </c>
      <c r="G291" s="40">
        <f>G292*D292+G296*D296</f>
        <v/>
      </c>
      <c r="H291" s="6">
        <f>IF(F291=0,0,G291/F291)</f>
        <v/>
      </c>
      <c r="I291" s="6">
        <f>I292+I296</f>
        <v/>
      </c>
    </row>
    <row r="292">
      <c r="A292" s="9" t="n"/>
      <c r="B292" s="41" t="inlineStr">
        <is>
          <t xml:space="preserve">  Черновая</t>
        </is>
      </c>
      <c r="C292" s="9" t="inlineStr">
        <is>
          <t>Категория</t>
        </is>
      </c>
      <c r="D292" s="42">
        <f>СПРАВОЧНИК!E13</f>
        <v/>
      </c>
      <c r="E292" s="9" t="n"/>
      <c r="F292" s="3">
        <f>F279</f>
        <v/>
      </c>
      <c r="G292" s="40">
        <f>G293*E293+G294*E294+G295*E295</f>
        <v/>
      </c>
      <c r="H292" s="6">
        <f>IF(F280=0,0,G280/F280)</f>
        <v/>
      </c>
      <c r="I292" s="6">
        <f>H292*D292</f>
        <v/>
      </c>
    </row>
    <row r="293">
      <c r="A293" s="9" t="n"/>
      <c r="B293" s="43" t="inlineStr">
        <is>
          <t xml:space="preserve">   Пол</t>
        </is>
      </c>
      <c r="C293" s="9" t="inlineStr">
        <is>
          <t>Вид</t>
        </is>
      </c>
      <c r="D293" s="9" t="n"/>
      <c r="E293" s="42">
        <f>СПРАВОЧНИК!$H$13</f>
        <v/>
      </c>
      <c r="F293" s="3">
        <f>F291</f>
        <v/>
      </c>
      <c r="G293" s="40">
        <f>SUM('ФАКТ ЧЕРН К3'!N5:N52)</f>
        <v/>
      </c>
      <c r="H293" s="6">
        <f>IF(F293=0,0,G293/F293)</f>
        <v/>
      </c>
      <c r="I293" s="6">
        <f>H293*E293</f>
        <v/>
      </c>
    </row>
    <row r="294">
      <c r="A294" s="9" t="n"/>
      <c r="B294" s="43" t="inlineStr">
        <is>
          <t xml:space="preserve">   Стены</t>
        </is>
      </c>
      <c r="C294" s="9" t="inlineStr">
        <is>
          <t>Вид</t>
        </is>
      </c>
      <c r="D294" s="9" t="n"/>
      <c r="E294" s="42">
        <f>СПРАВОЧНИК!$I$13</f>
        <v/>
      </c>
      <c r="F294" s="3">
        <f>F291</f>
        <v/>
      </c>
      <c r="G294" s="40">
        <f>SUM('ФАКТ ЧЕРН К3'!O5:O52)</f>
        <v/>
      </c>
      <c r="H294" s="6">
        <f>IF(F294=0,0,G294/F294)</f>
        <v/>
      </c>
      <c r="I294" s="6">
        <f>H294*E294</f>
        <v/>
      </c>
    </row>
    <row r="295">
      <c r="A295" s="9" t="n"/>
      <c r="B295" s="43" t="inlineStr">
        <is>
          <t xml:space="preserve">   Потолок</t>
        </is>
      </c>
      <c r="C295" s="9" t="inlineStr">
        <is>
          <t>Вид</t>
        </is>
      </c>
      <c r="D295" s="9" t="n"/>
      <c r="E295" s="42">
        <f>СПРАВОЧНИК!$J$13</f>
        <v/>
      </c>
      <c r="F295" s="3">
        <f>F291</f>
        <v/>
      </c>
      <c r="G295" s="40">
        <f>SUM('ФАКТ ЧЕРН К3'!P5:P52)</f>
        <v/>
      </c>
      <c r="H295" s="6">
        <f>IF(F295=0,0,G295/F295)</f>
        <v/>
      </c>
      <c r="I295" s="6">
        <f>H295*E295</f>
        <v/>
      </c>
    </row>
    <row r="296">
      <c r="A296" s="9" t="n"/>
      <c r="B296" s="41" t="inlineStr">
        <is>
          <t xml:space="preserve">  Чистовая</t>
        </is>
      </c>
      <c r="C296" s="9" t="inlineStr">
        <is>
          <t>Категория</t>
        </is>
      </c>
      <c r="D296" s="42">
        <f>СПРАВОЧНИК!F13</f>
        <v/>
      </c>
      <c r="E296" s="9" t="n"/>
      <c r="F296" s="3">
        <f>F279</f>
        <v/>
      </c>
      <c r="G296" s="40">
        <f>G297*E297+G298*E298+G299*E299+G300*E300</f>
        <v/>
      </c>
      <c r="H296" s="6">
        <f>IF(F284=0,0,G284/F284)</f>
        <v/>
      </c>
      <c r="I296" s="6">
        <f>H296*D296</f>
        <v/>
      </c>
    </row>
    <row r="297">
      <c r="A297" s="9" t="n"/>
      <c r="B297" s="43" t="inlineStr">
        <is>
          <t xml:space="preserve">   Пол</t>
        </is>
      </c>
      <c r="C297" s="9" t="inlineStr">
        <is>
          <t>Вид</t>
        </is>
      </c>
      <c r="D297" s="9" t="n"/>
      <c r="E297" s="42">
        <f>СПРАВОЧНИК!$L$13</f>
        <v/>
      </c>
      <c r="F297" s="3">
        <f>F291</f>
        <v/>
      </c>
      <c r="G297" s="40">
        <f>SUM('ФАКТ ЧИСТ К3'!Q5:Q52)</f>
        <v/>
      </c>
      <c r="H297" s="6">
        <f>IF(F297=0,0,G297/F297)</f>
        <v/>
      </c>
      <c r="I297" s="6">
        <f>H297*E297</f>
        <v/>
      </c>
    </row>
    <row r="298">
      <c r="A298" s="9" t="n"/>
      <c r="B298" s="43" t="inlineStr">
        <is>
          <t xml:space="preserve">   Стены</t>
        </is>
      </c>
      <c r="C298" s="9" t="inlineStr">
        <is>
          <t>Вид</t>
        </is>
      </c>
      <c r="D298" s="9" t="n"/>
      <c r="E298" s="42">
        <f>СПРАВОЧНИК!$M$13</f>
        <v/>
      </c>
      <c r="F298" s="3">
        <f>F291</f>
        <v/>
      </c>
      <c r="G298" s="40">
        <f>SUM('ФАКТ ЧИСТ К3'!R5:R52)</f>
        <v/>
      </c>
      <c r="H298" s="6">
        <f>IF(F298=0,0,G298/F298)</f>
        <v/>
      </c>
      <c r="I298" s="6">
        <f>H298*E298</f>
        <v/>
      </c>
    </row>
    <row r="299">
      <c r="A299" s="9" t="n"/>
      <c r="B299" s="43" t="inlineStr">
        <is>
          <t xml:space="preserve">   Потолок</t>
        </is>
      </c>
      <c r="C299" s="9" t="inlineStr">
        <is>
          <t>Вид</t>
        </is>
      </c>
      <c r="D299" s="9" t="n"/>
      <c r="E299" s="42">
        <f>СПРАВОЧНИК!$N$13</f>
        <v/>
      </c>
      <c r="F299" s="3">
        <f>F291</f>
        <v/>
      </c>
      <c r="G299" s="40">
        <f>SUM('ФАКТ ЧИСТ К3'!S5:S52)</f>
        <v/>
      </c>
      <c r="H299" s="6">
        <f>IF(F299=0,0,G299/F299)</f>
        <v/>
      </c>
      <c r="I299" s="6">
        <f>H299*E299</f>
        <v/>
      </c>
    </row>
    <row r="300">
      <c r="A300" s="9" t="n"/>
      <c r="B300" s="43" t="inlineStr">
        <is>
          <t xml:space="preserve">   Заполн. проемов</t>
        </is>
      </c>
      <c r="C300" s="9" t="inlineStr">
        <is>
          <t>Вид</t>
        </is>
      </c>
      <c r="D300" s="9" t="n"/>
      <c r="E300" s="42">
        <f>СПРАВОЧНИК!$O$13</f>
        <v/>
      </c>
      <c r="F300" s="3">
        <f>F291</f>
        <v/>
      </c>
      <c r="G300" s="40">
        <f>SUM('ФАКТ ЧИСТ К3'!T5:T52)</f>
        <v/>
      </c>
      <c r="H300" s="6">
        <f>IF(F300=0,0,G300/F300)</f>
        <v/>
      </c>
      <c r="I300" s="6">
        <f>H300*E300</f>
        <v/>
      </c>
    </row>
    <row r="301">
      <c r="B301" s="23" t="inlineStr">
        <is>
          <t xml:space="preserve">  ✓ Сумма</t>
        </is>
      </c>
      <c r="D301" s="44">
        <f>D292+D296</f>
        <v/>
      </c>
    </row>
    <row r="302"/>
    <row r="303">
      <c r="A303" s="8" t="inlineStr">
        <is>
          <t>8.2.6</t>
        </is>
      </c>
      <c r="B303" s="16">
        <f>СПРАВОЧНИК!C14</f>
        <v/>
      </c>
      <c r="C303" s="9" t="inlineStr">
        <is>
          <t>Главная</t>
        </is>
      </c>
      <c r="D303" s="9" t="n"/>
      <c r="E303" s="9" t="n"/>
      <c r="F303" s="3">
        <f>СПРАВОЧНИК!B14</f>
        <v/>
      </c>
      <c r="G303" s="40">
        <f>G304*D304+G308*D308</f>
        <v/>
      </c>
      <c r="H303" s="6">
        <f>IF(F303=0,0,G303/F303)</f>
        <v/>
      </c>
      <c r="I303" s="6">
        <f>I304+I308</f>
        <v/>
      </c>
    </row>
    <row r="304">
      <c r="A304" s="9" t="n"/>
      <c r="B304" s="41" t="inlineStr">
        <is>
          <t xml:space="preserve">  Черновая</t>
        </is>
      </c>
      <c r="C304" s="9" t="inlineStr">
        <is>
          <t>Категория</t>
        </is>
      </c>
      <c r="D304" s="42">
        <f>СПРАВОЧНИК!E14</f>
        <v/>
      </c>
      <c r="E304" s="9" t="n"/>
      <c r="F304" s="3">
        <f>F290</f>
        <v/>
      </c>
      <c r="G304" s="40">
        <f>G305*E305+G306*E306+G307*E307</f>
        <v/>
      </c>
      <c r="H304" s="6">
        <f>IF(F291=0,0,G291/F291)</f>
        <v/>
      </c>
      <c r="I304" s="6">
        <f>H304*D304</f>
        <v/>
      </c>
    </row>
    <row r="305">
      <c r="A305" s="9" t="n"/>
      <c r="B305" s="43" t="inlineStr">
        <is>
          <t xml:space="preserve">   Пол</t>
        </is>
      </c>
      <c r="C305" s="9" t="inlineStr">
        <is>
          <t>Вид</t>
        </is>
      </c>
      <c r="D305" s="9" t="n"/>
      <c r="E305" s="42">
        <f>СПРАВОЧНИК!$H$14</f>
        <v/>
      </c>
      <c r="F305" s="3">
        <f>F303</f>
        <v/>
      </c>
      <c r="G305" s="40">
        <f>SUM('ФАКТ ЧЕРН К3'!Q5:Q52)</f>
        <v/>
      </c>
      <c r="H305" s="6">
        <f>IF(F305=0,0,G305/F305)</f>
        <v/>
      </c>
      <c r="I305" s="6">
        <f>H305*E305</f>
        <v/>
      </c>
    </row>
    <row r="306">
      <c r="A306" s="9" t="n"/>
      <c r="B306" s="43" t="inlineStr">
        <is>
          <t xml:space="preserve">   Стены</t>
        </is>
      </c>
      <c r="C306" s="9" t="inlineStr">
        <is>
          <t>Вид</t>
        </is>
      </c>
      <c r="D306" s="9" t="n"/>
      <c r="E306" s="42">
        <f>СПРАВОЧНИК!$I$14</f>
        <v/>
      </c>
      <c r="F306" s="3">
        <f>F303</f>
        <v/>
      </c>
      <c r="G306" s="40">
        <f>SUM('ФАКТ ЧЕРН К3'!R5:R52)</f>
        <v/>
      </c>
      <c r="H306" s="6">
        <f>IF(F306=0,0,G306/F306)</f>
        <v/>
      </c>
      <c r="I306" s="6">
        <f>H306*E306</f>
        <v/>
      </c>
    </row>
    <row r="307">
      <c r="A307" s="9" t="n"/>
      <c r="B307" s="43" t="inlineStr">
        <is>
          <t xml:space="preserve">   Потолок</t>
        </is>
      </c>
      <c r="C307" s="9" t="inlineStr">
        <is>
          <t>Вид</t>
        </is>
      </c>
      <c r="D307" s="9" t="n"/>
      <c r="E307" s="42">
        <f>СПРАВОЧНИК!$J$14</f>
        <v/>
      </c>
      <c r="F307" s="3">
        <f>F303</f>
        <v/>
      </c>
      <c r="G307" s="40">
        <f>SUM('ФАКТ ЧЕРН К3'!S5:S52)</f>
        <v/>
      </c>
      <c r="H307" s="6">
        <f>IF(F307=0,0,G307/F307)</f>
        <v/>
      </c>
      <c r="I307" s="6">
        <f>H307*E307</f>
        <v/>
      </c>
    </row>
    <row r="308">
      <c r="A308" s="9" t="n"/>
      <c r="B308" s="41" t="inlineStr">
        <is>
          <t xml:space="preserve">  Чистовая</t>
        </is>
      </c>
      <c r="C308" s="9" t="inlineStr">
        <is>
          <t>Категория</t>
        </is>
      </c>
      <c r="D308" s="42">
        <f>СПРАВОЧНИК!F14</f>
        <v/>
      </c>
      <c r="E308" s="9" t="n"/>
      <c r="F308" s="3">
        <f>F290</f>
        <v/>
      </c>
      <c r="G308" s="40">
        <f>G309*E309+G310*E310+G311*E311</f>
        <v/>
      </c>
      <c r="H308" s="6">
        <f>IF(F295=0,0,G295/F295)</f>
        <v/>
      </c>
      <c r="I308" s="6">
        <f>H308*D308</f>
        <v/>
      </c>
    </row>
    <row r="309">
      <c r="A309" s="9" t="n"/>
      <c r="B309" s="43" t="inlineStr">
        <is>
          <t xml:space="preserve">   Пол</t>
        </is>
      </c>
      <c r="C309" s="9" t="inlineStr">
        <is>
          <t>Вид</t>
        </is>
      </c>
      <c r="D309" s="9" t="n"/>
      <c r="E309" s="42">
        <f>СПРАВОЧНИК!$L$14</f>
        <v/>
      </c>
      <c r="F309" s="3">
        <f>F303</f>
        <v/>
      </c>
      <c r="G309" s="40">
        <f>SUM('ФАКТ ЧИСТ К3'!U5:U52)</f>
        <v/>
      </c>
      <c r="H309" s="6">
        <f>IF(F309=0,0,G309/F309)</f>
        <v/>
      </c>
      <c r="I309" s="6">
        <f>H309*E309</f>
        <v/>
      </c>
    </row>
    <row r="310">
      <c r="A310" s="9" t="n"/>
      <c r="B310" s="43" t="inlineStr">
        <is>
          <t xml:space="preserve">   Стены</t>
        </is>
      </c>
      <c r="C310" s="9" t="inlineStr">
        <is>
          <t>Вид</t>
        </is>
      </c>
      <c r="D310" s="9" t="n"/>
      <c r="E310" s="42">
        <f>СПРАВОЧНИК!$M$14</f>
        <v/>
      </c>
      <c r="F310" s="3">
        <f>F303</f>
        <v/>
      </c>
      <c r="G310" s="40">
        <f>SUM('ФАКТ ЧИСТ К3'!V5:V52)</f>
        <v/>
      </c>
      <c r="H310" s="6">
        <f>IF(F310=0,0,G310/F310)</f>
        <v/>
      </c>
      <c r="I310" s="6">
        <f>H310*E310</f>
        <v/>
      </c>
    </row>
    <row r="311">
      <c r="A311" s="9" t="n"/>
      <c r="B311" s="43" t="inlineStr">
        <is>
          <t xml:space="preserve">   Потолок</t>
        </is>
      </c>
      <c r="C311" s="9" t="inlineStr">
        <is>
          <t>Вид</t>
        </is>
      </c>
      <c r="D311" s="9" t="n"/>
      <c r="E311" s="42">
        <f>СПРАВОЧНИК!$N$14</f>
        <v/>
      </c>
      <c r="F311" s="3">
        <f>F303</f>
        <v/>
      </c>
      <c r="G311" s="40">
        <f>SUM('ФАКТ ЧИСТ К3'!W5:W52)</f>
        <v/>
      </c>
      <c r="H311" s="6">
        <f>IF(F311=0,0,G311/F311)</f>
        <v/>
      </c>
      <c r="I311" s="6">
        <f>H311*E311</f>
        <v/>
      </c>
    </row>
    <row r="312">
      <c r="B312" s="23" t="inlineStr">
        <is>
          <t xml:space="preserve">  ✓ Сумма</t>
        </is>
      </c>
      <c r="D312" s="44">
        <f>D304+D308</f>
        <v/>
      </c>
    </row>
    <row r="313"/>
    <row r="314">
      <c r="A314" s="8" t="inlineStr">
        <is>
          <t>8.2.7</t>
        </is>
      </c>
      <c r="B314" s="16">
        <f>СПРАВОЧНИК!C15</f>
        <v/>
      </c>
      <c r="C314" s="9" t="inlineStr">
        <is>
          <t>Главная</t>
        </is>
      </c>
      <c r="D314" s="9" t="n"/>
      <c r="E314" s="9" t="n"/>
      <c r="F314" s="3">
        <f>СПРАВОЧНИК!B15</f>
        <v/>
      </c>
      <c r="G314" s="40">
        <f>G315*D315+G319*D319</f>
        <v/>
      </c>
      <c r="H314" s="6">
        <f>IF(F314=0,0,G314/F314)</f>
        <v/>
      </c>
      <c r="I314" s="6">
        <f>I315+I319</f>
        <v/>
      </c>
    </row>
    <row r="315">
      <c r="A315" s="9" t="n"/>
      <c r="B315" s="41" t="inlineStr">
        <is>
          <t xml:space="preserve">  Черновая</t>
        </is>
      </c>
      <c r="C315" s="9" t="inlineStr">
        <is>
          <t>Категория</t>
        </is>
      </c>
      <c r="D315" s="42">
        <f>СПРАВОЧНИК!E15</f>
        <v/>
      </c>
      <c r="E315" s="9" t="n"/>
      <c r="F315" s="3">
        <f>F301</f>
        <v/>
      </c>
      <c r="G315" s="40">
        <f>G316*E316+G317*E317+G318*E318</f>
        <v/>
      </c>
      <c r="H315" s="6">
        <f>IF(F302=0,0,G302/F302)</f>
        <v/>
      </c>
      <c r="I315" s="6">
        <f>H315*D315</f>
        <v/>
      </c>
    </row>
    <row r="316">
      <c r="A316" s="9" t="n"/>
      <c r="B316" s="43" t="inlineStr">
        <is>
          <t xml:space="preserve">   Пол</t>
        </is>
      </c>
      <c r="C316" s="9" t="inlineStr">
        <is>
          <t>Вид</t>
        </is>
      </c>
      <c r="D316" s="9" t="n"/>
      <c r="E316" s="42">
        <f>СПРАВОЧНИК!$H$15</f>
        <v/>
      </c>
      <c r="F316" s="3">
        <f>F314</f>
        <v/>
      </c>
      <c r="G316" s="40">
        <f>SUM('ФАКТ ЧЕРН К3'!T5:T52)</f>
        <v/>
      </c>
      <c r="H316" s="6">
        <f>IF(F316=0,0,G316/F316)</f>
        <v/>
      </c>
      <c r="I316" s="6">
        <f>H316*E316</f>
        <v/>
      </c>
    </row>
    <row r="317">
      <c r="A317" s="9" t="n"/>
      <c r="B317" s="43" t="inlineStr">
        <is>
          <t xml:space="preserve">   Стены</t>
        </is>
      </c>
      <c r="C317" s="9" t="inlineStr">
        <is>
          <t>Вид</t>
        </is>
      </c>
      <c r="D317" s="9" t="n"/>
      <c r="E317" s="42">
        <f>СПРАВОЧНИК!$I$15</f>
        <v/>
      </c>
      <c r="F317" s="3">
        <f>F314</f>
        <v/>
      </c>
      <c r="G317" s="40">
        <f>SUM('ФАКТ ЧЕРН К3'!U5:U52)</f>
        <v/>
      </c>
      <c r="H317" s="6">
        <f>IF(F317=0,0,G317/F317)</f>
        <v/>
      </c>
      <c r="I317" s="6">
        <f>H317*E317</f>
        <v/>
      </c>
    </row>
    <row r="318">
      <c r="A318" s="9" t="n"/>
      <c r="B318" s="43" t="inlineStr">
        <is>
          <t xml:space="preserve">   Потолок</t>
        </is>
      </c>
      <c r="C318" s="9" t="inlineStr">
        <is>
          <t>Вид</t>
        </is>
      </c>
      <c r="D318" s="9" t="n"/>
      <c r="E318" s="42">
        <f>СПРАВОЧНИК!$J$15</f>
        <v/>
      </c>
      <c r="F318" s="3">
        <f>F314</f>
        <v/>
      </c>
      <c r="G318" s="40">
        <f>SUM('ФАКТ ЧЕРН К3'!V5:V52)</f>
        <v/>
      </c>
      <c r="H318" s="6">
        <f>IF(F318=0,0,G318/F318)</f>
        <v/>
      </c>
      <c r="I318" s="6">
        <f>H318*E318</f>
        <v/>
      </c>
    </row>
    <row r="319">
      <c r="A319" s="9" t="n"/>
      <c r="B319" s="41" t="inlineStr">
        <is>
          <t xml:space="preserve">  Чистовая</t>
        </is>
      </c>
      <c r="C319" s="9" t="inlineStr">
        <is>
          <t>Категория</t>
        </is>
      </c>
      <c r="D319" s="42">
        <f>СПРАВОЧНИК!F15</f>
        <v/>
      </c>
      <c r="E319" s="9" t="n"/>
      <c r="F319" s="3">
        <f>F301</f>
        <v/>
      </c>
      <c r="G319" s="40">
        <f>G320*E320+G321*E321+G322*E322</f>
        <v/>
      </c>
      <c r="H319" s="6">
        <f>IF(F306=0,0,G306/F306)</f>
        <v/>
      </c>
      <c r="I319" s="6">
        <f>H319*D319</f>
        <v/>
      </c>
    </row>
    <row r="320">
      <c r="A320" s="9" t="n"/>
      <c r="B320" s="43" t="inlineStr">
        <is>
          <t xml:space="preserve">   Пол</t>
        </is>
      </c>
      <c r="C320" s="9" t="inlineStr">
        <is>
          <t>Вид</t>
        </is>
      </c>
      <c r="D320" s="9" t="n"/>
      <c r="E320" s="42">
        <f>СПРАВОЧНИК!$L$15</f>
        <v/>
      </c>
      <c r="F320" s="3">
        <f>F314</f>
        <v/>
      </c>
      <c r="G320" s="40">
        <f>SUM('ФАКТ ЧИСТ К3'!X5:X52)</f>
        <v/>
      </c>
      <c r="H320" s="6">
        <f>IF(F320=0,0,G320/F320)</f>
        <v/>
      </c>
      <c r="I320" s="6">
        <f>H320*E320</f>
        <v/>
      </c>
    </row>
    <row r="321">
      <c r="A321" s="9" t="n"/>
      <c r="B321" s="43" t="inlineStr">
        <is>
          <t xml:space="preserve">   Стены</t>
        </is>
      </c>
      <c r="C321" s="9" t="inlineStr">
        <is>
          <t>Вид</t>
        </is>
      </c>
      <c r="D321" s="9" t="n"/>
      <c r="E321" s="42">
        <f>СПРАВОЧНИК!$M$15</f>
        <v/>
      </c>
      <c r="F321" s="3">
        <f>F314</f>
        <v/>
      </c>
      <c r="G321" s="40">
        <f>SUM('ФАКТ ЧИСТ К3'!Y5:Y52)</f>
        <v/>
      </c>
      <c r="H321" s="6">
        <f>IF(F321=0,0,G321/F321)</f>
        <v/>
      </c>
      <c r="I321" s="6">
        <f>H321*E321</f>
        <v/>
      </c>
    </row>
    <row r="322">
      <c r="A322" s="9" t="n"/>
      <c r="B322" s="43" t="inlineStr">
        <is>
          <t xml:space="preserve">   Потолок</t>
        </is>
      </c>
      <c r="C322" s="9" t="inlineStr">
        <is>
          <t>Вид</t>
        </is>
      </c>
      <c r="D322" s="9" t="n"/>
      <c r="E322" s="42">
        <f>СПРАВОЧНИК!$N$15</f>
        <v/>
      </c>
      <c r="F322" s="3">
        <f>F314</f>
        <v/>
      </c>
      <c r="G322" s="40">
        <f>SUM('ФАКТ ЧИСТ К3'!Z5:Z52)</f>
        <v/>
      </c>
      <c r="H322" s="6">
        <f>IF(F322=0,0,G322/F322)</f>
        <v/>
      </c>
      <c r="I322" s="6">
        <f>H322*E322</f>
        <v/>
      </c>
    </row>
    <row r="323" ht="18.6" customHeight="1" s="74">
      <c r="B323" s="23" t="inlineStr">
        <is>
          <t xml:space="preserve">  ✓ Сумма</t>
        </is>
      </c>
      <c r="D323" s="44">
        <f>D315+D319</f>
        <v/>
      </c>
    </row>
    <row r="324"/>
    <row r="325"/>
    <row r="326">
      <c r="A326" s="75" t="inlineStr">
        <is>
          <t>АГРЕГАЦИЯ: УРОВЕНЬ 3 → УРОВЕНЬ 2 → УРОВЕНЬ 1</t>
        </is>
      </c>
    </row>
    <row r="327">
      <c r="A327" s="45" t="n"/>
      <c r="B327" s="81" t="inlineStr">
        <is>
          <t>Название</t>
        </is>
      </c>
      <c r="C327" s="45" t="n"/>
      <c r="D327" s="81" t="inlineStr">
        <is>
          <t>Вес</t>
        </is>
      </c>
      <c r="E327" s="45" t="n"/>
      <c r="F327" s="81" t="inlineStr">
        <is>
          <t>План м²</t>
        </is>
      </c>
      <c r="G327" s="45" t="n"/>
      <c r="H327" s="81" t="inlineStr">
        <is>
          <t>Факт %</t>
        </is>
      </c>
      <c r="I327" s="81" t="inlineStr">
        <is>
          <t>Взвеш. %</t>
        </is>
      </c>
    </row>
    <row r="328">
      <c r="A328" s="46" t="inlineStr">
        <is>
          <t>8.1</t>
        </is>
      </c>
      <c r="B328" s="47" t="inlineStr">
        <is>
          <t>Подземная часть</t>
        </is>
      </c>
      <c r="C328" s="48" t="n"/>
      <c r="D328" s="49">
        <f>СПРАВОЧНИК!V18</f>
        <v/>
      </c>
      <c r="E328" s="48" t="n"/>
      <c r="F328" s="50">
        <f>F6+F18+F30+F41+F53+F65</f>
        <v/>
      </c>
      <c r="G328" s="48">
        <f>G6+G18+G30+G41+G53+G65</f>
        <v/>
      </c>
      <c r="H328" s="51">
        <f>СПРАВОЧНИК!V3*H6+СПРАВОЧНИК!V4*H17+СПРАВОЧНИК!V5*H28+СПРАВОЧНИК!V6*H39+СПРАВОЧНИК!V7*H50+СПРАВОЧНИК!V8*H61</f>
        <v/>
      </c>
      <c r="I328" s="51">
        <f>I6+I18+I30+I41+I53+I65</f>
        <v/>
      </c>
    </row>
    <row r="329">
      <c r="A329" s="52" t="inlineStr">
        <is>
          <t>8.2</t>
        </is>
      </c>
      <c r="B329" s="53" t="inlineStr">
        <is>
          <t>Надземная К1</t>
        </is>
      </c>
      <c r="C329" s="54" t="n"/>
      <c r="D329" s="55">
        <f>СПРАВОЧНИК!K28</f>
        <v/>
      </c>
      <c r="E329" s="54" t="n"/>
      <c r="F329" s="56">
        <f>F78+F90+F102+F113+F125+F137+F148</f>
        <v/>
      </c>
      <c r="G329" s="54">
        <f>G78+G90+G102+G113+G125+G137+G148</f>
        <v/>
      </c>
      <c r="H329" s="57">
        <f>СПРАВОЧНИК!V9*H74+СПРАВОЧНИК!V10*H86+СПРАВОЧНИК!V11*H97+СПРАВОЧНИК!V12*H108+СПРАВОЧНИК!V13*H119+СПРАВОЧНИК!V14*H130+СПРАВОЧНИК!V15*H141</f>
        <v/>
      </c>
      <c r="I329" s="57">
        <f>I78+I90+I102+I113+I125+I137+I148</f>
        <v/>
      </c>
    </row>
    <row r="330">
      <c r="A330" s="52" t="inlineStr">
        <is>
          <t>8.2</t>
        </is>
      </c>
      <c r="B330" s="53" t="inlineStr">
        <is>
          <t>Надземная К2</t>
        </is>
      </c>
      <c r="C330" s="54" t="n"/>
      <c r="D330" s="55">
        <f>СПРАВОЧНИК!K29</f>
        <v/>
      </c>
      <c r="E330" s="54" t="n"/>
      <c r="F330" s="56">
        <f>F161+F173+F185+F196+F208+F220+F231</f>
        <v/>
      </c>
      <c r="G330" s="54">
        <f>G161+G173+G185+G196+G208+G220+G231</f>
        <v/>
      </c>
      <c r="H330" s="57">
        <f>СПРАВОЧНИК!V9*H154+СПРАВОЧНИК!V10*H166+СПРАВОЧНИК!V11*H177+СПРАВОЧНИК!V12*H188+СПРАВОЧНИК!V13*H199+СПРАВОЧНИК!V14*H210+СПРАВОЧНИК!V15*H221</f>
        <v/>
      </c>
      <c r="I330" s="57">
        <f>I161+I173+I185+I196+I208+I220+I231</f>
        <v/>
      </c>
    </row>
    <row r="331">
      <c r="A331" s="52" t="inlineStr">
        <is>
          <t>8.2</t>
        </is>
      </c>
      <c r="B331" s="53" t="inlineStr">
        <is>
          <t>Надземная К3</t>
        </is>
      </c>
      <c r="C331" s="54" t="n"/>
      <c r="D331" s="55">
        <f>СПРАВОЧНИК!K30</f>
        <v/>
      </c>
      <c r="E331" s="54" t="n"/>
      <c r="F331" s="56">
        <f>F244+F256+F268+F279+F291+F303+F314</f>
        <v/>
      </c>
      <c r="G331" s="54">
        <f>G244+G256+G268+G279+G291+G303+G314</f>
        <v/>
      </c>
      <c r="H331" s="57">
        <f>СПРАВОЧНИК!V9*H234+СПРАВОЧНИК!V10*H246+СПРАВОЧНИК!V11*H257+СПРАВОЧНИК!V12*H268+СПРАВОЧНИК!V13*H279+СПРАВОЧНИК!V14*H290+СПРАВОЧНИК!V15*H301</f>
        <v/>
      </c>
      <c r="I331" s="57">
        <f>I244+I256+I268+I279+I291+I303+I314</f>
        <v/>
      </c>
    </row>
    <row r="332">
      <c r="A332" s="46" t="inlineStr">
        <is>
          <t>8.2</t>
        </is>
      </c>
      <c r="B332" s="47" t="inlineStr">
        <is>
          <t>Надземная часть (все корпуса)</t>
        </is>
      </c>
      <c r="C332" s="48" t="n"/>
      <c r="D332" s="49">
        <f>СПРАВОЧНИК!V19</f>
        <v/>
      </c>
      <c r="E332" s="48" t="n"/>
      <c r="F332" s="50">
        <f>F316+F317+F318</f>
        <v/>
      </c>
      <c r="G332" s="48" t="n"/>
      <c r="H332" s="51">
        <f>D316*H316+D317*H317+D318*H318</f>
        <v/>
      </c>
      <c r="I332" s="51">
        <f>H319*D319</f>
        <v/>
      </c>
    </row>
    <row r="333">
      <c r="B333" s="23" t="inlineStr">
        <is>
          <t>✓ ∑ вес ур.2</t>
        </is>
      </c>
      <c r="D333" s="24">
        <f>D315+D319</f>
        <v/>
      </c>
    </row>
    <row r="334">
      <c r="B334" s="23" t="inlineStr">
        <is>
          <t>✓ ∑ вес корп.</t>
        </is>
      </c>
      <c r="D334" s="24">
        <f>D316+D317+D318</f>
        <v/>
      </c>
    </row>
    <row r="335"/>
    <row r="336">
      <c r="A336" s="58" t="inlineStr">
        <is>
          <t>8</t>
        </is>
      </c>
      <c r="B336" s="59" t="inlineStr">
        <is>
          <t>ОТДЕЛКА — ОБЩИЙ %</t>
        </is>
      </c>
      <c r="C336" s="60" t="n"/>
      <c r="D336" s="60" t="n"/>
      <c r="E336" s="60" t="n"/>
      <c r="F336" s="61">
        <f>F315+F319</f>
        <v/>
      </c>
      <c r="G336" s="60" t="n"/>
      <c r="H336" s="62">
        <f>I315+I319</f>
        <v/>
      </c>
      <c r="I336" s="60" t="n"/>
    </row>
  </sheetData>
  <mergeCells count="7">
    <mergeCell ref="A152:I152"/>
    <mergeCell ref="A2:I2"/>
    <mergeCell ref="A313:I313"/>
    <mergeCell ref="A1:I1"/>
    <mergeCell ref="A4:I4"/>
    <mergeCell ref="A232:I232"/>
    <mergeCell ref="A72:I72"/>
  </mergeCells>
  <conditionalFormatting sqref="D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D26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D37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D48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D59">
    <cfRule type="cellIs" priority="9" operator="notEqual" dxfId="2">
      <formula>1</formula>
    </cfRule>
    <cfRule type="cellIs" priority="10" operator="equal" dxfId="1">
      <formula>1</formula>
    </cfRule>
  </conditionalFormatting>
  <conditionalFormatting sqref="D70">
    <cfRule type="cellIs" priority="11" operator="notEqual" dxfId="2">
      <formula>1</formula>
    </cfRule>
    <cfRule type="cellIs" priority="12" operator="equal" dxfId="1">
      <formula>1</formula>
    </cfRule>
  </conditionalFormatting>
  <conditionalFormatting sqref="D84">
    <cfRule type="cellIs" priority="13" operator="notEqual" dxfId="2">
      <formula>1</formula>
    </cfRule>
    <cfRule type="cellIs" priority="14" operator="equal" dxfId="1">
      <formula>1</formula>
    </cfRule>
  </conditionalFormatting>
  <conditionalFormatting sqref="D95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D106">
    <cfRule type="cellIs" priority="17" operator="notEqual" dxfId="2">
      <formula>1</formula>
    </cfRule>
    <cfRule type="cellIs" priority="18" operator="equal" dxfId="1">
      <formula>1</formula>
    </cfRule>
  </conditionalFormatting>
  <conditionalFormatting sqref="D117">
    <cfRule type="cellIs" priority="19" operator="notEqual" dxfId="2">
      <formula>1</formula>
    </cfRule>
    <cfRule type="cellIs" priority="20" operator="equal" dxfId="1">
      <formula>1</formula>
    </cfRule>
  </conditionalFormatting>
  <conditionalFormatting sqref="D128">
    <cfRule type="cellIs" priority="21" operator="notEqual" dxfId="2">
      <formula>1</formula>
    </cfRule>
    <cfRule type="cellIs" priority="22" operator="equal" dxfId="1">
      <formula>1</formula>
    </cfRule>
  </conditionalFormatting>
  <conditionalFormatting sqref="D139">
    <cfRule type="cellIs" priority="23" operator="notEqual" dxfId="2">
      <formula>1</formula>
    </cfRule>
    <cfRule type="cellIs" priority="24" operator="equal" dxfId="1">
      <formula>1</formula>
    </cfRule>
  </conditionalFormatting>
  <conditionalFormatting sqref="D150">
    <cfRule type="cellIs" priority="25" operator="notEqual" dxfId="2">
      <formula>1</formula>
    </cfRule>
    <cfRule type="cellIs" priority="26" operator="equal" dxfId="1">
      <formula>1</formula>
    </cfRule>
  </conditionalFormatting>
  <conditionalFormatting sqref="D164">
    <cfRule type="cellIs" priority="27" operator="notEqual" dxfId="2">
      <formula>1</formula>
    </cfRule>
    <cfRule type="cellIs" priority="28" operator="equal" dxfId="1">
      <formula>1</formula>
    </cfRule>
  </conditionalFormatting>
  <conditionalFormatting sqref="D175">
    <cfRule type="cellIs" priority="29" operator="notEqual" dxfId="2">
      <formula>1</formula>
    </cfRule>
    <cfRule type="cellIs" priority="30" operator="equal" dxfId="1">
      <formula>1</formula>
    </cfRule>
  </conditionalFormatting>
  <conditionalFormatting sqref="D186">
    <cfRule type="cellIs" priority="31" operator="notEqual" dxfId="2">
      <formula>1</formula>
    </cfRule>
    <cfRule type="cellIs" priority="32" operator="equal" dxfId="1">
      <formula>1</formula>
    </cfRule>
  </conditionalFormatting>
  <conditionalFormatting sqref="D197">
    <cfRule type="cellIs" priority="33" operator="notEqual" dxfId="2">
      <formula>1</formula>
    </cfRule>
    <cfRule type="cellIs" priority="34" operator="equal" dxfId="1">
      <formula>1</formula>
    </cfRule>
  </conditionalFormatting>
  <conditionalFormatting sqref="D208">
    <cfRule type="cellIs" priority="35" operator="notEqual" dxfId="2">
      <formula>1</formula>
    </cfRule>
    <cfRule type="cellIs" priority="36" operator="equal" dxfId="1">
      <formula>1</formula>
    </cfRule>
  </conditionalFormatting>
  <conditionalFormatting sqref="D219">
    <cfRule type="cellIs" priority="37" operator="notEqual" dxfId="2">
      <formula>1</formula>
    </cfRule>
    <cfRule type="cellIs" priority="38" operator="equal" dxfId="1">
      <formula>1</formula>
    </cfRule>
  </conditionalFormatting>
  <conditionalFormatting sqref="D230">
    <cfRule type="cellIs" priority="39" operator="notEqual" dxfId="2">
      <formula>1</formula>
    </cfRule>
    <cfRule type="cellIs" priority="40" operator="equal" dxfId="1">
      <formula>1</formula>
    </cfRule>
  </conditionalFormatting>
  <conditionalFormatting sqref="D244">
    <cfRule type="cellIs" priority="41" operator="notEqual" dxfId="2">
      <formula>1</formula>
    </cfRule>
    <cfRule type="cellIs" priority="42" operator="equal" dxfId="1">
      <formula>1</formula>
    </cfRule>
  </conditionalFormatting>
  <conditionalFormatting sqref="D255">
    <cfRule type="cellIs" priority="43" operator="notEqual" dxfId="2">
      <formula>1</formula>
    </cfRule>
    <cfRule type="cellIs" priority="44" operator="equal" dxfId="1">
      <formula>1</formula>
    </cfRule>
  </conditionalFormatting>
  <conditionalFormatting sqref="D266">
    <cfRule type="cellIs" priority="45" operator="notEqual" dxfId="2">
      <formula>1</formula>
    </cfRule>
    <cfRule type="cellIs" priority="46" operator="equal" dxfId="1">
      <formula>1</formula>
    </cfRule>
  </conditionalFormatting>
  <conditionalFormatting sqref="D277">
    <cfRule type="cellIs" priority="47" operator="notEqual" dxfId="2">
      <formula>1</formula>
    </cfRule>
    <cfRule type="cellIs" priority="48" operator="equal" dxfId="1">
      <formula>1</formula>
    </cfRule>
  </conditionalFormatting>
  <conditionalFormatting sqref="D288">
    <cfRule type="cellIs" priority="49" operator="notEqual" dxfId="2">
      <formula>1</formula>
    </cfRule>
    <cfRule type="cellIs" priority="50" operator="equal" dxfId="1">
      <formula>1</formula>
    </cfRule>
  </conditionalFormatting>
  <conditionalFormatting sqref="D299">
    <cfRule type="cellIs" priority="51" operator="notEqual" dxfId="2">
      <formula>1</formula>
    </cfRule>
    <cfRule type="cellIs" priority="52" operator="equal" dxfId="1">
      <formula>1</formula>
    </cfRule>
  </conditionalFormatting>
  <conditionalFormatting sqref="D310">
    <cfRule type="cellIs" priority="53" operator="notEqual" dxfId="2">
      <formula>1</formula>
    </cfRule>
    <cfRule type="cellIs" priority="54" operator="equal" dxfId="1">
      <formula>1</formula>
    </cfRule>
  </conditionalFormatting>
  <conditionalFormatting sqref="D320">
    <cfRule type="cellIs" priority="55" operator="notEqual" dxfId="2">
      <formula>1</formula>
    </cfRule>
    <cfRule type="cellIs" priority="56" operator="equal" dxfId="1">
      <formula>1</formula>
    </cfRule>
  </conditionalFormatting>
  <conditionalFormatting sqref="D321">
    <cfRule type="cellIs" priority="57" operator="notEqual" dxfId="2">
      <formula>D319</formula>
    </cfRule>
    <cfRule type="cellIs" priority="58" operator="equal" dxfId="1">
      <formula>D319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rgb="FF4472C4"/>
    <outlinePr summaryBelow="1" summaryRight="1"/>
    <pageSetUpPr/>
  </sheetPr>
  <dimension ref="A1:DC61"/>
  <sheetViews>
    <sheetView zoomScale="55" zoomScaleNormal="55" workbookViewId="0">
      <selection activeCell="N1" sqref="N1:Q1"/>
    </sheetView>
  </sheetViews>
  <sheetFormatPr baseColWidth="8" defaultColWidth="14.7109375" defaultRowHeight="15"/>
  <sheetData>
    <row r="1">
      <c r="A1" s="63" t="inlineStr">
        <is>
          <t>Дата отчета</t>
        </is>
      </c>
      <c r="B1" s="65" t="inlineStr">
        <is>
          <t>Заголовок</t>
        </is>
      </c>
      <c r="C1" s="9" t="inlineStr">
        <is>
          <t>План-факт по объемам</t>
        </is>
      </c>
      <c r="H1" s="65" t="inlineStr">
        <is>
          <t>Заголовок</t>
        </is>
      </c>
      <c r="I1" s="9" t="inlineStr">
        <is>
          <t>План-факт по объемам</t>
        </is>
      </c>
      <c r="N1" s="65" t="inlineStr">
        <is>
          <t>Заголовок</t>
        </is>
      </c>
      <c r="O1" s="9" t="inlineStr">
        <is>
          <t>План-факт по объемам</t>
        </is>
      </c>
      <c r="T1" s="65" t="inlineStr">
        <is>
          <t>Заголовок</t>
        </is>
      </c>
      <c r="U1" s="9" t="inlineStr">
        <is>
          <t>План-факт по объемам</t>
        </is>
      </c>
      <c r="Z1" s="65" t="inlineStr">
        <is>
          <t>Заголовок</t>
        </is>
      </c>
      <c r="AA1" s="9" t="inlineStr">
        <is>
          <t>План-факт по объемам</t>
        </is>
      </c>
      <c r="AF1" s="65" t="inlineStr">
        <is>
          <t>Заголовок</t>
        </is>
      </c>
      <c r="AG1" s="9" t="inlineStr">
        <is>
          <t>План-факт по объемам</t>
        </is>
      </c>
      <c r="AL1" s="65" t="inlineStr">
        <is>
          <t>Заголовок</t>
        </is>
      </c>
      <c r="AM1" s="9" t="inlineStr">
        <is>
          <t>План-факт по объемам</t>
        </is>
      </c>
      <c r="AR1" s="65" t="inlineStr">
        <is>
          <t>Заголовок</t>
        </is>
      </c>
      <c r="AS1" s="9" t="inlineStr">
        <is>
          <t>План-факт по объемам</t>
        </is>
      </c>
      <c r="AX1" s="65" t="inlineStr">
        <is>
          <t>Заголовок</t>
        </is>
      </c>
      <c r="AY1" s="9" t="inlineStr">
        <is>
          <t>План-факт по объемам</t>
        </is>
      </c>
      <c r="BD1" s="65" t="inlineStr">
        <is>
          <t>Заголовок</t>
        </is>
      </c>
      <c r="BE1" s="9" t="inlineStr">
        <is>
          <t>План-факт по объемам</t>
        </is>
      </c>
      <c r="BJ1" s="65" t="inlineStr">
        <is>
          <t>Заголовок</t>
        </is>
      </c>
      <c r="BK1" s="9" t="inlineStr">
        <is>
          <t>План-факт по объемам</t>
        </is>
      </c>
      <c r="BP1" s="65" t="inlineStr">
        <is>
          <t>Заголовок</t>
        </is>
      </c>
      <c r="BQ1" s="9" t="inlineStr">
        <is>
          <t>План-факт по объемам</t>
        </is>
      </c>
      <c r="BV1" s="65" t="inlineStr">
        <is>
          <t>Заголовок</t>
        </is>
      </c>
      <c r="BW1" s="9" t="inlineStr">
        <is>
          <t>План-факт по объемам</t>
        </is>
      </c>
      <c r="CB1" s="65" t="inlineStr">
        <is>
          <t>Заголовок</t>
        </is>
      </c>
      <c r="CC1" s="9" t="inlineStr">
        <is>
          <t>План-факт по объемам</t>
        </is>
      </c>
      <c r="CH1" s="65" t="inlineStr">
        <is>
          <t>Заголовок</t>
        </is>
      </c>
      <c r="CI1" s="9" t="inlineStr">
        <is>
          <t>План-факт по объемам</t>
        </is>
      </c>
      <c r="CN1" s="65" t="inlineStr">
        <is>
          <t>Заголовок</t>
        </is>
      </c>
      <c r="CO1" s="9" t="inlineStr">
        <is>
          <t>План-факт по объемам</t>
        </is>
      </c>
      <c r="CT1" s="65" t="inlineStr">
        <is>
          <t>Заголовок</t>
        </is>
      </c>
      <c r="CU1" s="9" t="inlineStr">
        <is>
          <t>План-факт по объемам</t>
        </is>
      </c>
      <c r="CZ1" s="65" t="inlineStr">
        <is>
          <t>Заголовок</t>
        </is>
      </c>
      <c r="DA1" s="9" t="inlineStr">
        <is>
          <t>План-факт по объемам</t>
        </is>
      </c>
    </row>
    <row r="2">
      <c r="A2" s="64" t="n">
        <v>46202</v>
      </c>
      <c r="B2" s="65" t="inlineStr">
        <is>
          <t>Статус</t>
        </is>
      </c>
      <c r="C2" s="9" t="inlineStr">
        <is>
          <t>true</t>
        </is>
      </c>
      <c r="H2" s="65" t="inlineStr">
        <is>
          <t>Статус</t>
        </is>
      </c>
      <c r="I2" s="9" t="inlineStr">
        <is>
          <t>true</t>
        </is>
      </c>
      <c r="N2" s="65" t="inlineStr">
        <is>
          <t>Статус</t>
        </is>
      </c>
      <c r="O2" s="9" t="inlineStr">
        <is>
          <t>true</t>
        </is>
      </c>
      <c r="T2" s="65" t="inlineStr">
        <is>
          <t>Статус</t>
        </is>
      </c>
      <c r="U2" s="9" t="inlineStr">
        <is>
          <t>true</t>
        </is>
      </c>
      <c r="Z2" s="65" t="inlineStr">
        <is>
          <t>Статус</t>
        </is>
      </c>
      <c r="AA2" s="9" t="inlineStr">
        <is>
          <t>true</t>
        </is>
      </c>
      <c r="AF2" s="65" t="inlineStr">
        <is>
          <t>Статус</t>
        </is>
      </c>
      <c r="AG2" s="9" t="inlineStr">
        <is>
          <t>true</t>
        </is>
      </c>
      <c r="AL2" s="65" t="inlineStr">
        <is>
          <t>Статус</t>
        </is>
      </c>
      <c r="AM2" s="9" t="inlineStr">
        <is>
          <t>true</t>
        </is>
      </c>
      <c r="AR2" s="65" t="inlineStr">
        <is>
          <t>Статус</t>
        </is>
      </c>
      <c r="AS2" s="9" t="inlineStr">
        <is>
          <t>true</t>
        </is>
      </c>
      <c r="AX2" s="65" t="inlineStr">
        <is>
          <t>Статус</t>
        </is>
      </c>
      <c r="AY2" s="9" t="inlineStr">
        <is>
          <t>true</t>
        </is>
      </c>
      <c r="BD2" s="65" t="inlineStr">
        <is>
          <t>Статус</t>
        </is>
      </c>
      <c r="BE2" s="9" t="inlineStr">
        <is>
          <t>true</t>
        </is>
      </c>
      <c r="BJ2" s="65" t="inlineStr">
        <is>
          <t>Статус</t>
        </is>
      </c>
      <c r="BK2" s="9" t="inlineStr">
        <is>
          <t>true</t>
        </is>
      </c>
      <c r="BP2" s="65" t="inlineStr">
        <is>
          <t>Статус</t>
        </is>
      </c>
      <c r="BQ2" s="9" t="inlineStr">
        <is>
          <t>true</t>
        </is>
      </c>
      <c r="BV2" s="65" t="inlineStr">
        <is>
          <t>Статус</t>
        </is>
      </c>
      <c r="BW2" s="9" t="inlineStr">
        <is>
          <t>true</t>
        </is>
      </c>
      <c r="CB2" s="65" t="inlineStr">
        <is>
          <t>Статус</t>
        </is>
      </c>
      <c r="CC2" s="9" t="inlineStr">
        <is>
          <t>true</t>
        </is>
      </c>
      <c r="CH2" s="65" t="inlineStr">
        <is>
          <t>Статус</t>
        </is>
      </c>
      <c r="CI2" s="9" t="inlineStr">
        <is>
          <t>true</t>
        </is>
      </c>
      <c r="CN2" s="65" t="inlineStr">
        <is>
          <t>Статус</t>
        </is>
      </c>
      <c r="CO2" s="9" t="inlineStr">
        <is>
          <t>true</t>
        </is>
      </c>
      <c r="CT2" s="65" t="inlineStr">
        <is>
          <t>Статус</t>
        </is>
      </c>
      <c r="CU2" s="9" t="inlineStr">
        <is>
          <t>true</t>
        </is>
      </c>
      <c r="CZ2" s="65" t="inlineStr">
        <is>
          <t>Статус</t>
        </is>
      </c>
      <c r="DA2" s="9" t="inlineStr">
        <is>
          <t>true</t>
        </is>
      </c>
    </row>
    <row r="3" ht="29.1" customHeight="1" s="74">
      <c r="B3" s="65" t="inlineStr">
        <is>
          <t>Url изображения</t>
        </is>
      </c>
      <c r="C3" s="9" t="n"/>
      <c r="H3" s="65" t="inlineStr">
        <is>
          <t>Url изображения</t>
        </is>
      </c>
      <c r="I3" s="9" t="n"/>
      <c r="N3" s="65" t="inlineStr">
        <is>
          <t>Url изображения</t>
        </is>
      </c>
      <c r="O3" s="9" t="n"/>
      <c r="T3" s="65" t="inlineStr">
        <is>
          <t>Url изображения</t>
        </is>
      </c>
      <c r="U3" s="9" t="n"/>
      <c r="Z3" s="65" t="inlineStr">
        <is>
          <t>Url изображения</t>
        </is>
      </c>
      <c r="AA3" s="9" t="n"/>
      <c r="AF3" s="65" t="inlineStr">
        <is>
          <t>Url изображения</t>
        </is>
      </c>
      <c r="AG3" s="9" t="n"/>
      <c r="AL3" s="65" t="inlineStr">
        <is>
          <t>Url изображения</t>
        </is>
      </c>
      <c r="AM3" s="9" t="n"/>
      <c r="AR3" s="65" t="inlineStr">
        <is>
          <t>Url изображения</t>
        </is>
      </c>
      <c r="AS3" s="9" t="n"/>
      <c r="AX3" s="65" t="inlineStr">
        <is>
          <t>Url изображения</t>
        </is>
      </c>
      <c r="AY3" s="9" t="n"/>
      <c r="BD3" s="65" t="inlineStr">
        <is>
          <t>Url изображения</t>
        </is>
      </c>
      <c r="BE3" s="9" t="n"/>
      <c r="BJ3" s="65" t="inlineStr">
        <is>
          <t>Url изображения</t>
        </is>
      </c>
      <c r="BK3" s="9" t="n"/>
      <c r="BP3" s="65" t="inlineStr">
        <is>
          <t>Url изображения</t>
        </is>
      </c>
      <c r="BQ3" s="9" t="n"/>
      <c r="BV3" s="65" t="inlineStr">
        <is>
          <t>Url изображения</t>
        </is>
      </c>
      <c r="BW3" s="9" t="n"/>
      <c r="CB3" s="65" t="inlineStr">
        <is>
          <t>Url изображения</t>
        </is>
      </c>
      <c r="CC3" s="9" t="n"/>
      <c r="CH3" s="65" t="inlineStr">
        <is>
          <t>Url изображения</t>
        </is>
      </c>
      <c r="CI3" s="9" t="n"/>
      <c r="CN3" s="65" t="inlineStr">
        <is>
          <t>Url изображения</t>
        </is>
      </c>
      <c r="CO3" s="9" t="n"/>
      <c r="CT3" s="65" t="inlineStr">
        <is>
          <t>Url изображения</t>
        </is>
      </c>
      <c r="CU3" s="9" t="n"/>
      <c r="CZ3" s="65" t="inlineStr">
        <is>
          <t>Url изображения</t>
        </is>
      </c>
      <c r="DA3" s="9" t="n"/>
    </row>
    <row r="4">
      <c r="B4" s="65" t="inlineStr">
        <is>
          <t>Тип</t>
        </is>
      </c>
      <c r="C4" s="9" t="inlineStr">
        <is>
          <t>planFact2</t>
        </is>
      </c>
      <c r="H4" s="65" t="inlineStr">
        <is>
          <t>Тип</t>
        </is>
      </c>
      <c r="I4" s="9" t="inlineStr">
        <is>
          <t>planFact2</t>
        </is>
      </c>
      <c r="N4" s="65" t="inlineStr">
        <is>
          <t>Тип</t>
        </is>
      </c>
      <c r="O4" s="9" t="inlineStr">
        <is>
          <t>planFact2</t>
        </is>
      </c>
      <c r="T4" s="65" t="inlineStr">
        <is>
          <t>Тип</t>
        </is>
      </c>
      <c r="U4" s="9" t="inlineStr">
        <is>
          <t>planFact2</t>
        </is>
      </c>
      <c r="Z4" s="65" t="inlineStr">
        <is>
          <t>Тип</t>
        </is>
      </c>
      <c r="AA4" s="9" t="inlineStr">
        <is>
          <t>planFact2</t>
        </is>
      </c>
      <c r="AF4" s="65" t="inlineStr">
        <is>
          <t>Тип</t>
        </is>
      </c>
      <c r="AG4" s="9" t="inlineStr">
        <is>
          <t>planFact2</t>
        </is>
      </c>
      <c r="AL4" s="65" t="inlineStr">
        <is>
          <t>Тип</t>
        </is>
      </c>
      <c r="AM4" s="9" t="inlineStr">
        <is>
          <t>planFact2</t>
        </is>
      </c>
      <c r="AR4" s="65" t="inlineStr">
        <is>
          <t>Тип</t>
        </is>
      </c>
      <c r="AS4" s="9" t="inlineStr">
        <is>
          <t>planFact2</t>
        </is>
      </c>
      <c r="AX4" s="65" t="inlineStr">
        <is>
          <t>Тип</t>
        </is>
      </c>
      <c r="AY4" s="9" t="inlineStr">
        <is>
          <t>planFact2</t>
        </is>
      </c>
      <c r="BD4" s="65" t="inlineStr">
        <is>
          <t>Тип</t>
        </is>
      </c>
      <c r="BE4" s="9" t="inlineStr">
        <is>
          <t>planFact2</t>
        </is>
      </c>
      <c r="BJ4" s="65" t="inlineStr">
        <is>
          <t>Тип</t>
        </is>
      </c>
      <c r="BK4" s="9" t="inlineStr">
        <is>
          <t>planFact2</t>
        </is>
      </c>
      <c r="BP4" s="65" t="inlineStr">
        <is>
          <t>Тип</t>
        </is>
      </c>
      <c r="BQ4" s="9" t="inlineStr">
        <is>
          <t>planFact2</t>
        </is>
      </c>
      <c r="BV4" s="65" t="inlineStr">
        <is>
          <t>Тип</t>
        </is>
      </c>
      <c r="BW4" s="9" t="inlineStr">
        <is>
          <t>planFact2</t>
        </is>
      </c>
      <c r="CB4" s="65" t="inlineStr">
        <is>
          <t>Тип</t>
        </is>
      </c>
      <c r="CC4" s="9" t="inlineStr">
        <is>
          <t>planFact2</t>
        </is>
      </c>
      <c r="CH4" s="65" t="inlineStr">
        <is>
          <t>Тип</t>
        </is>
      </c>
      <c r="CI4" s="9" t="inlineStr">
        <is>
          <t>planFact2</t>
        </is>
      </c>
      <c r="CN4" s="65" t="inlineStr">
        <is>
          <t>Тип</t>
        </is>
      </c>
      <c r="CO4" s="9" t="inlineStr">
        <is>
          <t>planFact2</t>
        </is>
      </c>
      <c r="CT4" s="65" t="inlineStr">
        <is>
          <t>Тип</t>
        </is>
      </c>
      <c r="CU4" s="9" t="inlineStr">
        <is>
          <t>planFact2</t>
        </is>
      </c>
      <c r="CZ4" s="65" t="inlineStr">
        <is>
          <t>Тип</t>
        </is>
      </c>
      <c r="DA4" s="9" t="inlineStr">
        <is>
          <t>planFact2</t>
        </is>
      </c>
    </row>
    <row r="5">
      <c r="C5" s="9" t="n"/>
      <c r="I5" s="9" t="n"/>
      <c r="O5" s="9" t="n"/>
      <c r="U5" s="9" t="n"/>
      <c r="AA5" s="9" t="n"/>
      <c r="AG5" s="9" t="n"/>
      <c r="AM5" s="9" t="n"/>
      <c r="AS5" s="9" t="n"/>
      <c r="AY5" s="9" t="n"/>
      <c r="BE5" s="9" t="n"/>
      <c r="BK5" s="9" t="n"/>
      <c r="BQ5" s="9" t="n"/>
      <c r="BW5" s="9" t="n"/>
      <c r="CC5" s="9" t="n"/>
      <c r="CI5" s="9" t="n"/>
      <c r="CO5" s="9" t="n"/>
      <c r="CU5" s="9" t="n"/>
      <c r="DA5" s="9" t="n"/>
    </row>
    <row r="6">
      <c r="B6" s="65" t="inlineStr">
        <is>
          <t>Дата</t>
        </is>
      </c>
      <c r="C6" s="18">
        <f>$A$2</f>
        <v/>
      </c>
      <c r="H6" s="65" t="inlineStr">
        <is>
          <t>Дата</t>
        </is>
      </c>
      <c r="I6" s="18">
        <f>$A$2</f>
        <v/>
      </c>
      <c r="N6" s="65" t="inlineStr">
        <is>
          <t>Дата</t>
        </is>
      </c>
      <c r="O6" s="18">
        <f>$A$2</f>
        <v/>
      </c>
      <c r="T6" s="65" t="inlineStr">
        <is>
          <t>Дата</t>
        </is>
      </c>
      <c r="U6" s="18">
        <f>$A$2</f>
        <v/>
      </c>
      <c r="Z6" s="65" t="inlineStr">
        <is>
          <t>Дата</t>
        </is>
      </c>
      <c r="AA6" s="18">
        <f>$A$2</f>
        <v/>
      </c>
      <c r="AF6" s="65" t="inlineStr">
        <is>
          <t>Дата</t>
        </is>
      </c>
      <c r="AG6" s="18">
        <f>$A$2</f>
        <v/>
      </c>
      <c r="AL6" s="65" t="inlineStr">
        <is>
          <t>Дата</t>
        </is>
      </c>
      <c r="AM6" s="18">
        <f>$A$2</f>
        <v/>
      </c>
      <c r="AR6" s="65" t="inlineStr">
        <is>
          <t>Дата</t>
        </is>
      </c>
      <c r="AS6" s="18">
        <f>$A$2</f>
        <v/>
      </c>
      <c r="AX6" s="65" t="inlineStr">
        <is>
          <t>Дата</t>
        </is>
      </c>
      <c r="AY6" s="18">
        <f>$A$2</f>
        <v/>
      </c>
      <c r="BD6" s="65" t="inlineStr">
        <is>
          <t>Дата</t>
        </is>
      </c>
      <c r="BE6" s="18">
        <f>$A$2</f>
        <v/>
      </c>
      <c r="BJ6" s="65" t="inlineStr">
        <is>
          <t>Дата</t>
        </is>
      </c>
      <c r="BK6" s="18">
        <f>$A$2</f>
        <v/>
      </c>
      <c r="BP6" s="65" t="inlineStr">
        <is>
          <t>Дата</t>
        </is>
      </c>
      <c r="BQ6" s="18">
        <f>$A$2</f>
        <v/>
      </c>
      <c r="BV6" s="65" t="inlineStr">
        <is>
          <t>Дата</t>
        </is>
      </c>
      <c r="BW6" s="18">
        <f>$A$2</f>
        <v/>
      </c>
      <c r="CB6" s="65" t="inlineStr">
        <is>
          <t>Дата</t>
        </is>
      </c>
      <c r="CC6" s="18">
        <f>$A$2</f>
        <v/>
      </c>
      <c r="CH6" s="65" t="inlineStr">
        <is>
          <t>Дата</t>
        </is>
      </c>
      <c r="CI6" s="18">
        <f>$A$2</f>
        <v/>
      </c>
      <c r="CN6" s="65" t="inlineStr">
        <is>
          <t>Дата</t>
        </is>
      </c>
      <c r="CO6" s="18">
        <f>$A$2</f>
        <v/>
      </c>
      <c r="CT6" s="65" t="inlineStr">
        <is>
          <t>Дата</t>
        </is>
      </c>
      <c r="CU6" s="18">
        <f>$A$2</f>
        <v/>
      </c>
      <c r="CZ6" s="65" t="inlineStr">
        <is>
          <t>Дата</t>
        </is>
      </c>
      <c r="DA6" s="18">
        <f>$A$2</f>
        <v/>
      </c>
    </row>
    <row r="7">
      <c r="B7" s="65" t="inlineStr">
        <is>
          <t>Гистограмма</t>
        </is>
      </c>
      <c r="C7" s="9" t="inlineStr">
        <is>
          <t>false</t>
        </is>
      </c>
      <c r="H7" s="65" t="inlineStr">
        <is>
          <t>Гистограмма</t>
        </is>
      </c>
      <c r="I7" s="9" t="inlineStr">
        <is>
          <t>false</t>
        </is>
      </c>
      <c r="N7" s="65" t="inlineStr">
        <is>
          <t>Гистограмма</t>
        </is>
      </c>
      <c r="O7" s="9" t="inlineStr">
        <is>
          <t>false</t>
        </is>
      </c>
      <c r="T7" s="65" t="inlineStr">
        <is>
          <t>Гистограмма</t>
        </is>
      </c>
      <c r="U7" s="9" t="inlineStr">
        <is>
          <t>false</t>
        </is>
      </c>
      <c r="Z7" s="65" t="inlineStr">
        <is>
          <t>Гистограмма</t>
        </is>
      </c>
      <c r="AA7" s="9" t="inlineStr">
        <is>
          <t>false</t>
        </is>
      </c>
      <c r="AF7" s="65" t="inlineStr">
        <is>
          <t>Гистограмма</t>
        </is>
      </c>
      <c r="AG7" s="9" t="inlineStr">
        <is>
          <t>false</t>
        </is>
      </c>
      <c r="AL7" s="65" t="inlineStr">
        <is>
          <t>Гистограмма</t>
        </is>
      </c>
      <c r="AM7" s="9" t="inlineStr">
        <is>
          <t>false</t>
        </is>
      </c>
      <c r="AR7" s="65" t="inlineStr">
        <is>
          <t>Гистограмма</t>
        </is>
      </c>
      <c r="AS7" s="9" t="inlineStr">
        <is>
          <t>false</t>
        </is>
      </c>
      <c r="AX7" s="65" t="inlineStr">
        <is>
          <t>Гистограмма</t>
        </is>
      </c>
      <c r="AY7" s="9" t="inlineStr">
        <is>
          <t>false</t>
        </is>
      </c>
      <c r="BD7" s="65" t="inlineStr">
        <is>
          <t>Гистограмма</t>
        </is>
      </c>
      <c r="BE7" s="9" t="inlineStr">
        <is>
          <t>false</t>
        </is>
      </c>
      <c r="BJ7" s="65" t="inlineStr">
        <is>
          <t>Гистограмма</t>
        </is>
      </c>
      <c r="BK7" s="9" t="inlineStr">
        <is>
          <t>false</t>
        </is>
      </c>
      <c r="BP7" s="65" t="inlineStr">
        <is>
          <t>Гистограмма</t>
        </is>
      </c>
      <c r="BQ7" s="9" t="inlineStr">
        <is>
          <t>false</t>
        </is>
      </c>
      <c r="BV7" s="65" t="inlineStr">
        <is>
          <t>Гистограмма</t>
        </is>
      </c>
      <c r="BW7" s="9" t="inlineStr">
        <is>
          <t>false</t>
        </is>
      </c>
      <c r="CB7" s="65" t="inlineStr">
        <is>
          <t>Гистограмма</t>
        </is>
      </c>
      <c r="CC7" s="9" t="inlineStr">
        <is>
          <t>false</t>
        </is>
      </c>
      <c r="CH7" s="65" t="inlineStr">
        <is>
          <t>Гистограмма</t>
        </is>
      </c>
      <c r="CI7" s="9" t="inlineStr">
        <is>
          <t>false</t>
        </is>
      </c>
      <c r="CN7" s="65" t="inlineStr">
        <is>
          <t>Гистограмма</t>
        </is>
      </c>
      <c r="CO7" s="9" t="inlineStr">
        <is>
          <t>false</t>
        </is>
      </c>
      <c r="CT7" s="65" t="inlineStr">
        <is>
          <t>Гистограмма</t>
        </is>
      </c>
      <c r="CU7" s="9" t="inlineStr">
        <is>
          <t>false</t>
        </is>
      </c>
      <c r="CZ7" s="65" t="inlineStr">
        <is>
          <t>Гистограмма</t>
        </is>
      </c>
      <c r="DA7" s="9" t="inlineStr">
        <is>
          <t>false</t>
        </is>
      </c>
    </row>
    <row r="8">
      <c r="B8" s="65" t="inlineStr">
        <is>
          <t>По месяцам</t>
        </is>
      </c>
      <c r="C8" s="9" t="inlineStr">
        <is>
          <t>false</t>
        </is>
      </c>
      <c r="H8" s="65" t="inlineStr">
        <is>
          <t>По месяцам</t>
        </is>
      </c>
      <c r="I8" s="9" t="inlineStr">
        <is>
          <t>false</t>
        </is>
      </c>
      <c r="N8" s="65" t="inlineStr">
        <is>
          <t>По месяцам</t>
        </is>
      </c>
      <c r="O8" s="9" t="inlineStr">
        <is>
          <t>false</t>
        </is>
      </c>
      <c r="T8" s="65" t="inlineStr">
        <is>
          <t>По месяцам</t>
        </is>
      </c>
      <c r="U8" s="9" t="inlineStr">
        <is>
          <t>false</t>
        </is>
      </c>
      <c r="Z8" s="65" t="inlineStr">
        <is>
          <t>По месяцам</t>
        </is>
      </c>
      <c r="AA8" s="9" t="inlineStr">
        <is>
          <t>false</t>
        </is>
      </c>
      <c r="AF8" s="65" t="inlineStr">
        <is>
          <t>По месяцам</t>
        </is>
      </c>
      <c r="AG8" s="9" t="inlineStr">
        <is>
          <t>false</t>
        </is>
      </c>
      <c r="AL8" s="65" t="inlineStr">
        <is>
          <t>По месяцам</t>
        </is>
      </c>
      <c r="AM8" s="9" t="inlineStr">
        <is>
          <t>false</t>
        </is>
      </c>
      <c r="AR8" s="65" t="inlineStr">
        <is>
          <t>По месяцам</t>
        </is>
      </c>
      <c r="AS8" s="9" t="inlineStr">
        <is>
          <t>false</t>
        </is>
      </c>
      <c r="AX8" s="65" t="inlineStr">
        <is>
          <t>По месяцам</t>
        </is>
      </c>
      <c r="AY8" s="9" t="inlineStr">
        <is>
          <t>false</t>
        </is>
      </c>
      <c r="BD8" s="65" t="inlineStr">
        <is>
          <t>По месяцам</t>
        </is>
      </c>
      <c r="BE8" s="9" t="inlineStr">
        <is>
          <t>false</t>
        </is>
      </c>
      <c r="BJ8" s="65" t="inlineStr">
        <is>
          <t>По месяцам</t>
        </is>
      </c>
      <c r="BK8" s="9" t="inlineStr">
        <is>
          <t>false</t>
        </is>
      </c>
      <c r="BP8" s="65" t="inlineStr">
        <is>
          <t>По месяцам</t>
        </is>
      </c>
      <c r="BQ8" s="9" t="inlineStr">
        <is>
          <t>false</t>
        </is>
      </c>
      <c r="BV8" s="65" t="inlineStr">
        <is>
          <t>По месяцам</t>
        </is>
      </c>
      <c r="BW8" s="9" t="inlineStr">
        <is>
          <t>false</t>
        </is>
      </c>
      <c r="CB8" s="65" t="inlineStr">
        <is>
          <t>По месяцам</t>
        </is>
      </c>
      <c r="CC8" s="9" t="inlineStr">
        <is>
          <t>false</t>
        </is>
      </c>
      <c r="CH8" s="65" t="inlineStr">
        <is>
          <t>По месяцам</t>
        </is>
      </c>
      <c r="CI8" s="9" t="inlineStr">
        <is>
          <t>false</t>
        </is>
      </c>
      <c r="CN8" s="65" t="inlineStr">
        <is>
          <t>По месяцам</t>
        </is>
      </c>
      <c r="CO8" s="9" t="inlineStr">
        <is>
          <t>false</t>
        </is>
      </c>
      <c r="CT8" s="65" t="inlineStr">
        <is>
          <t>По месяцам</t>
        </is>
      </c>
      <c r="CU8" s="9" t="inlineStr">
        <is>
          <t>false</t>
        </is>
      </c>
      <c r="CZ8" s="65" t="inlineStr">
        <is>
          <t>По месяцам</t>
        </is>
      </c>
      <c r="DA8" s="9" t="inlineStr">
        <is>
          <t>false</t>
        </is>
      </c>
    </row>
    <row r="9">
      <c r="B9" s="65" t="inlineStr">
        <is>
          <t>Всего</t>
        </is>
      </c>
      <c r="C9" s="9">
        <f>СПРАВОЧНИК!D18</f>
        <v/>
      </c>
      <c r="H9" s="65" t="inlineStr">
        <is>
          <t>Всего</t>
        </is>
      </c>
      <c r="I9" s="9">
        <f>СПРАВОЧНИК!D18</f>
        <v/>
      </c>
      <c r="N9" s="65" t="inlineStr">
        <is>
          <t>Всего</t>
        </is>
      </c>
      <c r="O9" s="9">
        <f>СПРАВОЧНИК!D18</f>
        <v/>
      </c>
      <c r="T9" s="65" t="inlineStr">
        <is>
          <t>Всего</t>
        </is>
      </c>
      <c r="U9" s="9">
        <f>СПРАВОЧНИК!B28+СПРАВОЧНИК!C28+СПРАВОЧНИК!D28+СПРАВОЧНИК!E28+СПРАВОЧНИК!F28+СПРАВОЧНИК!G28+СПРАВОЧНИК!H28</f>
        <v/>
      </c>
      <c r="Z9" s="65" t="inlineStr">
        <is>
          <t>Всего</t>
        </is>
      </c>
      <c r="AA9" s="9">
        <f>СПРАВОЧНИК!B28+СПРАВОЧНИК!C28+СПРАВОЧНИК!D28+СПРАВОЧНИК!E28+СПРАВОЧНИК!F28+СПРАВОЧНИК!G28+СПРАВОЧНИК!H28</f>
        <v/>
      </c>
      <c r="AF9" s="65" t="inlineStr">
        <is>
          <t>Всего</t>
        </is>
      </c>
      <c r="AG9" s="9">
        <f>СПРАВОЧНИК!B28+СПРАВОЧНИК!C28+СПРАВОЧНИК!D28+СПРАВОЧНИК!E28+СПРАВОЧНИК!F28+СПРАВОЧНИК!G28+СПРАВОЧНИК!H28</f>
        <v/>
      </c>
      <c r="AL9" s="65" t="inlineStr">
        <is>
          <t>Всего</t>
        </is>
      </c>
      <c r="AM9" s="9">
        <f>СПРАВОЧНИК!B29+СПРАВОЧНИК!C29+СПРАВОЧНИК!D29+СПРАВОЧНИК!E29+СПРАВОЧНИК!F29+СПРАВОЧНИК!G29+СПРАВОЧНИК!H29</f>
        <v/>
      </c>
      <c r="AR9" s="65" t="inlineStr">
        <is>
          <t>Всего</t>
        </is>
      </c>
      <c r="AS9" s="9">
        <f>СПРАВОЧНИК!B29+СПРАВОЧНИК!C29+СПРАВОЧНИК!D29+СПРАВОЧНИК!E29+СПРАВОЧНИК!F29+СПРАВОЧНИК!G29+СПРАВОЧНИК!H29</f>
        <v/>
      </c>
      <c r="AX9" s="65" t="inlineStr">
        <is>
          <t>Всего</t>
        </is>
      </c>
      <c r="AY9" s="9">
        <f>СПРАВОЧНИК!B29+СПРАВОЧНИК!C29+СПРАВОЧНИК!D29+СПРАВОЧНИК!E29+СПРАВОЧНИК!F29+СПРАВОЧНИК!G29+СПРАВОЧНИК!H29</f>
        <v/>
      </c>
      <c r="BD9" s="65" t="inlineStr">
        <is>
          <t>Всего</t>
        </is>
      </c>
      <c r="BE9" s="9">
        <f>СПРАВОЧНИК!B30+СПРАВОЧНИК!C30+СПРАВОЧНИК!D30+СПРАВОЧНИК!E30+СПРАВОЧНИК!F30+СПРАВОЧНИК!G30+СПРАВОЧНИК!H30</f>
        <v/>
      </c>
      <c r="BJ9" s="65" t="inlineStr">
        <is>
          <t>Всего</t>
        </is>
      </c>
      <c r="BK9" s="9">
        <f>СПРАВОЧНИК!B30+СПРАВОЧНИК!C30+СПРАВОЧНИК!D30+СПРАВОЧНИК!E30+СПРАВОЧНИК!F30+СПРАВОЧНИК!G30+СПРАВОЧНИК!H30</f>
        <v/>
      </c>
      <c r="BP9" s="65" t="inlineStr">
        <is>
          <t>Всего</t>
        </is>
      </c>
      <c r="BQ9" s="9">
        <f>СПРАВОЧНИК!B30+СПРАВОЧНИК!C30+СПРАВОЧНИК!D30+СПРАВОЧНИК!E30+СПРАВОЧНИК!F30+СПРАВОЧНИК!G30+СПРАВОЧНИК!H30</f>
        <v/>
      </c>
      <c r="BV9" s="65" t="inlineStr">
        <is>
          <t>Всего</t>
        </is>
      </c>
      <c r="BW9" s="9">
        <f>СПРАВОЧНИК!D19</f>
        <v/>
      </c>
      <c r="CB9" s="65" t="inlineStr">
        <is>
          <t>Всего</t>
        </is>
      </c>
      <c r="CC9" s="9">
        <f>СПРАВОЧНИК!D19</f>
        <v/>
      </c>
      <c r="CH9" s="65" t="inlineStr">
        <is>
          <t>Всего</t>
        </is>
      </c>
      <c r="CI9" s="9">
        <f>СПРАВОЧНИК!D19</f>
        <v/>
      </c>
      <c r="CN9" s="65" t="inlineStr">
        <is>
          <t>Всего</t>
        </is>
      </c>
      <c r="CO9" s="9">
        <f>СПРАВОЧНИК!D18+СПРАВОЧНИК!D19</f>
        <v/>
      </c>
      <c r="CT9" s="65" t="inlineStr">
        <is>
          <t>Всего</t>
        </is>
      </c>
      <c r="CU9" s="9">
        <f>СПРАВОЧНИК!D18+СПРАВОЧНИК!D19</f>
        <v/>
      </c>
      <c r="CZ9" s="65" t="inlineStr">
        <is>
          <t>Всего</t>
        </is>
      </c>
      <c r="DA9" s="9">
        <f>СПРАВОЧНИК!D18+СПРАВОЧНИК!D19</f>
        <v/>
      </c>
    </row>
    <row r="10">
      <c r="B10" s="65" t="inlineStr">
        <is>
          <t>Тип</t>
        </is>
      </c>
      <c r="C10" s="9" t="inlineStr">
        <is>
          <t>8.1 Подземная часть: Общий</t>
        </is>
      </c>
      <c r="H10" s="65" t="inlineStr">
        <is>
          <t>Тип</t>
        </is>
      </c>
      <c r="I10" s="9" t="inlineStr">
        <is>
          <t>8.1 Подземная часть: Черновая</t>
        </is>
      </c>
      <c r="N10" s="65" t="inlineStr">
        <is>
          <t>Тип</t>
        </is>
      </c>
      <c r="O10" s="9" t="inlineStr">
        <is>
          <t>8.1 Подземная часть: Чистовая</t>
        </is>
      </c>
      <c r="T10" s="65" t="inlineStr">
        <is>
          <t>Тип</t>
        </is>
      </c>
      <c r="U10" s="9" t="inlineStr">
        <is>
          <t>8.2 Надземная К1: Общий</t>
        </is>
      </c>
      <c r="Z10" s="65" t="inlineStr">
        <is>
          <t>Тип</t>
        </is>
      </c>
      <c r="AA10" s="9" t="inlineStr">
        <is>
          <t>8.2 Надземная К1: Черновая</t>
        </is>
      </c>
      <c r="AF10" s="65" t="inlineStr">
        <is>
          <t>Тип</t>
        </is>
      </c>
      <c r="AG10" s="9" t="inlineStr">
        <is>
          <t>8.2 Надземная К1: Чистовая</t>
        </is>
      </c>
      <c r="AL10" s="65" t="inlineStr">
        <is>
          <t>Тип</t>
        </is>
      </c>
      <c r="AM10" s="9" t="inlineStr">
        <is>
          <t>8.2 Надземная К2: Общий</t>
        </is>
      </c>
      <c r="AR10" s="65" t="inlineStr">
        <is>
          <t>Тип</t>
        </is>
      </c>
      <c r="AS10" s="9" t="inlineStr">
        <is>
          <t>8.2 Надземная К2: Черновая</t>
        </is>
      </c>
      <c r="AX10" s="65" t="inlineStr">
        <is>
          <t>Тип</t>
        </is>
      </c>
      <c r="AY10" s="9" t="inlineStr">
        <is>
          <t>8.2 Надземная К2: Чистовая</t>
        </is>
      </c>
      <c r="BD10" s="65" t="inlineStr">
        <is>
          <t>Тип</t>
        </is>
      </c>
      <c r="BE10" s="9" t="inlineStr">
        <is>
          <t>8.2 Надземная К3: Общий</t>
        </is>
      </c>
      <c r="BJ10" s="65" t="inlineStr">
        <is>
          <t>Тип</t>
        </is>
      </c>
      <c r="BK10" s="9" t="inlineStr">
        <is>
          <t>8.2 Надземная К3: Черновая</t>
        </is>
      </c>
      <c r="BP10" s="65" t="inlineStr">
        <is>
          <t>Тип</t>
        </is>
      </c>
      <c r="BQ10" s="9" t="inlineStr">
        <is>
          <t>8.2 Надземная К3: Чистовая</t>
        </is>
      </c>
      <c r="BV10" s="65" t="inlineStr">
        <is>
          <t>Тип</t>
        </is>
      </c>
      <c r="BW10" s="9" t="inlineStr">
        <is>
          <t>8.2 Надзем. (все): Общий</t>
        </is>
      </c>
      <c r="CB10" s="65" t="inlineStr">
        <is>
          <t>Тип</t>
        </is>
      </c>
      <c r="CC10" s="9" t="inlineStr">
        <is>
          <t>8.2 Надзем. (все): Черновая</t>
        </is>
      </c>
      <c r="CH10" s="65" t="inlineStr">
        <is>
          <t>Тип</t>
        </is>
      </c>
      <c r="CI10" s="9" t="inlineStr">
        <is>
          <t>8.2 Надзем. (все): Чистовая</t>
        </is>
      </c>
      <c r="CN10" s="65" t="inlineStr">
        <is>
          <t>Тип</t>
        </is>
      </c>
      <c r="CO10" s="9" t="inlineStr">
        <is>
          <t>8. Отделка общий: Общий</t>
        </is>
      </c>
      <c r="CT10" s="65" t="inlineStr">
        <is>
          <t>Тип</t>
        </is>
      </c>
      <c r="CU10" s="9" t="inlineStr">
        <is>
          <t>8. Отделка общий: Черновая</t>
        </is>
      </c>
      <c r="CZ10" s="65" t="inlineStr">
        <is>
          <t>Тип</t>
        </is>
      </c>
      <c r="DA10" s="9" t="inlineStr">
        <is>
          <t>8. Отделка общий: Чистовая</t>
        </is>
      </c>
    </row>
    <row r="11">
      <c r="B11" s="65" t="inlineStr">
        <is>
          <t>Ед. изм.</t>
        </is>
      </c>
      <c r="C11" s="9" t="inlineStr">
        <is>
          <t>м2</t>
        </is>
      </c>
      <c r="H11" s="65" t="inlineStr">
        <is>
          <t>Ед. изм.</t>
        </is>
      </c>
      <c r="I11" s="9" t="inlineStr">
        <is>
          <t>м2</t>
        </is>
      </c>
      <c r="N11" s="65" t="inlineStr">
        <is>
          <t>Ед. изм.</t>
        </is>
      </c>
      <c r="O11" s="9" t="inlineStr">
        <is>
          <t>м2</t>
        </is>
      </c>
      <c r="T11" s="65" t="inlineStr">
        <is>
          <t>Ед. изм.</t>
        </is>
      </c>
      <c r="U11" s="9" t="inlineStr">
        <is>
          <t>м2</t>
        </is>
      </c>
      <c r="Z11" s="65" t="inlineStr">
        <is>
          <t>Ед. изм.</t>
        </is>
      </c>
      <c r="AA11" s="9" t="inlineStr">
        <is>
          <t>м2</t>
        </is>
      </c>
      <c r="AF11" s="65" t="inlineStr">
        <is>
          <t>Ед. изм.</t>
        </is>
      </c>
      <c r="AG11" s="9" t="inlineStr">
        <is>
          <t>м2</t>
        </is>
      </c>
      <c r="AL11" s="65" t="inlineStr">
        <is>
          <t>Ед. изм.</t>
        </is>
      </c>
      <c r="AM11" s="9" t="inlineStr">
        <is>
          <t>м2</t>
        </is>
      </c>
      <c r="AR11" s="65" t="inlineStr">
        <is>
          <t>Ед. изм.</t>
        </is>
      </c>
      <c r="AS11" s="9" t="inlineStr">
        <is>
          <t>м2</t>
        </is>
      </c>
      <c r="AX11" s="65" t="inlineStr">
        <is>
          <t>Ед. изм.</t>
        </is>
      </c>
      <c r="AY11" s="9" t="inlineStr">
        <is>
          <t>м2</t>
        </is>
      </c>
      <c r="BD11" s="65" t="inlineStr">
        <is>
          <t>Ед. изм.</t>
        </is>
      </c>
      <c r="BE11" s="9" t="inlineStr">
        <is>
          <t>м2</t>
        </is>
      </c>
      <c r="BJ11" s="65" t="inlineStr">
        <is>
          <t>Ед. изм.</t>
        </is>
      </c>
      <c r="BK11" s="9" t="inlineStr">
        <is>
          <t>м2</t>
        </is>
      </c>
      <c r="BP11" s="65" t="inlineStr">
        <is>
          <t>Ед. изм.</t>
        </is>
      </c>
      <c r="BQ11" s="9" t="inlineStr">
        <is>
          <t>м2</t>
        </is>
      </c>
      <c r="BV11" s="65" t="inlineStr">
        <is>
          <t>Ед. изм.</t>
        </is>
      </c>
      <c r="BW11" s="9" t="inlineStr">
        <is>
          <t>м2</t>
        </is>
      </c>
      <c r="CB11" s="65" t="inlineStr">
        <is>
          <t>Ед. изм.</t>
        </is>
      </c>
      <c r="CC11" s="9" t="inlineStr">
        <is>
          <t>м2</t>
        </is>
      </c>
      <c r="CH11" s="65" t="inlineStr">
        <is>
          <t>Ед. изм.</t>
        </is>
      </c>
      <c r="CI11" s="9" t="inlineStr">
        <is>
          <t>м2</t>
        </is>
      </c>
      <c r="CN11" s="65" t="inlineStr">
        <is>
          <t>Ед. изм.</t>
        </is>
      </c>
      <c r="CO11" s="9" t="inlineStr">
        <is>
          <t>м2</t>
        </is>
      </c>
      <c r="CT11" s="65" t="inlineStr">
        <is>
          <t>Ед. изм.</t>
        </is>
      </c>
      <c r="CU11" s="9" t="inlineStr">
        <is>
          <t>м2</t>
        </is>
      </c>
      <c r="CZ11" s="65" t="inlineStr">
        <is>
          <t>Ед. изм.</t>
        </is>
      </c>
      <c r="DA11" s="9" t="inlineStr">
        <is>
          <t>м2</t>
        </is>
      </c>
    </row>
    <row r="12" ht="29.1" customHeight="1" s="74">
      <c r="B12" s="65" t="inlineStr">
        <is>
          <t>Учитывать дату карточки</t>
        </is>
      </c>
      <c r="C12" s="9" t="inlineStr">
        <is>
          <t>true</t>
        </is>
      </c>
      <c r="H12" s="65" t="inlineStr">
        <is>
          <t>Учитывать дату карточки</t>
        </is>
      </c>
      <c r="I12" s="9" t="inlineStr">
        <is>
          <t>true</t>
        </is>
      </c>
      <c r="N12" s="65" t="inlineStr">
        <is>
          <t>Учитывать дату карточки</t>
        </is>
      </c>
      <c r="O12" s="9" t="inlineStr">
        <is>
          <t>true</t>
        </is>
      </c>
      <c r="T12" s="65" t="inlineStr">
        <is>
          <t>Учитывать дату карточки</t>
        </is>
      </c>
      <c r="U12" s="9" t="inlineStr">
        <is>
          <t>true</t>
        </is>
      </c>
      <c r="Z12" s="65" t="inlineStr">
        <is>
          <t>Учитывать дату карточки</t>
        </is>
      </c>
      <c r="AA12" s="9" t="inlineStr">
        <is>
          <t>true</t>
        </is>
      </c>
      <c r="AF12" s="65" t="inlineStr">
        <is>
          <t>Учитывать дату карточки</t>
        </is>
      </c>
      <c r="AG12" s="9" t="inlineStr">
        <is>
          <t>true</t>
        </is>
      </c>
      <c r="AL12" s="65" t="inlineStr">
        <is>
          <t>Учитывать дату карточки</t>
        </is>
      </c>
      <c r="AM12" s="9" t="inlineStr">
        <is>
          <t>true</t>
        </is>
      </c>
      <c r="AR12" s="65" t="inlineStr">
        <is>
          <t>Учитывать дату карточки</t>
        </is>
      </c>
      <c r="AS12" s="9" t="inlineStr">
        <is>
          <t>true</t>
        </is>
      </c>
      <c r="AX12" s="65" t="inlineStr">
        <is>
          <t>Учитывать дату карточки</t>
        </is>
      </c>
      <c r="AY12" s="9" t="inlineStr">
        <is>
          <t>true</t>
        </is>
      </c>
      <c r="BD12" s="65" t="inlineStr">
        <is>
          <t>Учитывать дату карточки</t>
        </is>
      </c>
      <c r="BE12" s="9" t="inlineStr">
        <is>
          <t>true</t>
        </is>
      </c>
      <c r="BJ12" s="65" t="inlineStr">
        <is>
          <t>Учитывать дату карточки</t>
        </is>
      </c>
      <c r="BK12" s="9" t="inlineStr">
        <is>
          <t>true</t>
        </is>
      </c>
      <c r="BP12" s="65" t="inlineStr">
        <is>
          <t>Учитывать дату карточки</t>
        </is>
      </c>
      <c r="BQ12" s="9" t="inlineStr">
        <is>
          <t>true</t>
        </is>
      </c>
      <c r="BV12" s="65" t="inlineStr">
        <is>
          <t>Учитывать дату карточки</t>
        </is>
      </c>
      <c r="BW12" s="9" t="inlineStr">
        <is>
          <t>true</t>
        </is>
      </c>
      <c r="CB12" s="65" t="inlineStr">
        <is>
          <t>Учитывать дату карточки</t>
        </is>
      </c>
      <c r="CC12" s="9" t="inlineStr">
        <is>
          <t>true</t>
        </is>
      </c>
      <c r="CH12" s="65" t="inlineStr">
        <is>
          <t>Учитывать дату карточки</t>
        </is>
      </c>
      <c r="CI12" s="9" t="inlineStr">
        <is>
          <t>true</t>
        </is>
      </c>
      <c r="CN12" s="65" t="inlineStr">
        <is>
          <t>Учитывать дату карточки</t>
        </is>
      </c>
      <c r="CO12" s="9" t="inlineStr">
        <is>
          <t>true</t>
        </is>
      </c>
      <c r="CT12" s="65" t="inlineStr">
        <is>
          <t>Учитывать дату карточки</t>
        </is>
      </c>
      <c r="CU12" s="9" t="inlineStr">
        <is>
          <t>true</t>
        </is>
      </c>
      <c r="CZ12" s="65" t="inlineStr">
        <is>
          <t>Учитывать дату карточки</t>
        </is>
      </c>
      <c r="DA12" s="9" t="inlineStr">
        <is>
          <t>true</t>
        </is>
      </c>
    </row>
    <row r="13">
      <c r="B13" s="81" t="inlineStr">
        <is>
          <t>Данные</t>
        </is>
      </c>
      <c r="C13" s="81" t="n"/>
      <c r="D13" s="81" t="n"/>
      <c r="H13" s="81" t="inlineStr">
        <is>
          <t>Данные</t>
        </is>
      </c>
      <c r="I13" s="81" t="n"/>
      <c r="J13" s="81" t="n"/>
      <c r="N13" s="81" t="inlineStr">
        <is>
          <t>Данные</t>
        </is>
      </c>
      <c r="O13" s="81" t="n"/>
      <c r="P13" s="81" t="n"/>
      <c r="T13" s="81" t="inlineStr">
        <is>
          <t>Данные</t>
        </is>
      </c>
      <c r="U13" s="81" t="n"/>
      <c r="V13" s="81" t="n"/>
      <c r="Z13" s="81" t="inlineStr">
        <is>
          <t>Данные</t>
        </is>
      </c>
      <c r="AA13" s="81" t="n"/>
      <c r="AB13" s="81" t="n"/>
      <c r="AF13" s="81" t="inlineStr">
        <is>
          <t>Данные</t>
        </is>
      </c>
      <c r="AG13" s="81" t="n"/>
      <c r="AH13" s="81" t="n"/>
      <c r="AL13" s="81" t="inlineStr">
        <is>
          <t>Данные</t>
        </is>
      </c>
      <c r="AM13" s="81" t="n"/>
      <c r="AN13" s="81" t="n"/>
      <c r="AR13" s="81" t="inlineStr">
        <is>
          <t>Данные</t>
        </is>
      </c>
      <c r="AS13" s="81" t="n"/>
      <c r="AT13" s="81" t="n"/>
      <c r="AX13" s="81" t="inlineStr">
        <is>
          <t>Данные</t>
        </is>
      </c>
      <c r="AY13" s="81" t="n"/>
      <c r="AZ13" s="81" t="n"/>
      <c r="BD13" s="81" t="inlineStr">
        <is>
          <t>Данные</t>
        </is>
      </c>
      <c r="BE13" s="81" t="n"/>
      <c r="BF13" s="81" t="n"/>
      <c r="BJ13" s="81" t="inlineStr">
        <is>
          <t>Данные</t>
        </is>
      </c>
      <c r="BK13" s="81" t="n"/>
      <c r="BL13" s="81" t="n"/>
      <c r="BP13" s="81" t="inlineStr">
        <is>
          <t>Данные</t>
        </is>
      </c>
      <c r="BQ13" s="81" t="n"/>
      <c r="BR13" s="81" t="n"/>
      <c r="BV13" s="81" t="inlineStr">
        <is>
          <t>Данные</t>
        </is>
      </c>
      <c r="BW13" s="81" t="n"/>
      <c r="BX13" s="81" t="n"/>
      <c r="CB13" s="81" t="inlineStr">
        <is>
          <t>Данные</t>
        </is>
      </c>
      <c r="CC13" s="81" t="n"/>
      <c r="CD13" s="81" t="n"/>
      <c r="CH13" s="81" t="inlineStr">
        <is>
          <t>Данные</t>
        </is>
      </c>
      <c r="CI13" s="81" t="n"/>
      <c r="CJ13" s="81" t="n"/>
      <c r="CN13" s="81" t="inlineStr">
        <is>
          <t>Данные</t>
        </is>
      </c>
      <c r="CO13" s="81" t="n"/>
      <c r="CP13" s="81" t="n"/>
      <c r="CT13" s="81" t="inlineStr">
        <is>
          <t>Данные</t>
        </is>
      </c>
      <c r="CU13" s="81" t="n"/>
      <c r="CV13" s="81" t="n"/>
      <c r="CZ13" s="81" t="inlineStr">
        <is>
          <t>Данные</t>
        </is>
      </c>
      <c r="DA13" s="81" t="n"/>
      <c r="DB13" s="81" t="n"/>
    </row>
    <row r="14">
      <c r="C14" s="18">
        <f>СПРАВОЧНИК!$B$35</f>
        <v/>
      </c>
      <c r="D14" s="37">
        <f>СПРАВОЧНИК!$E$3*('ПЛАН ЧЕРН ПОДЗЕМ'!B5*СПРАВОЧНИК!$H$3+'ПЛАН ЧЕРН ПОДЗЕМ'!C5*СПРАВОЧНИК!$I$3+'ПЛАН ЧЕРН ПОДЗЕМ'!D5*СПРАВОЧНИК!$J$3)+СПРАВОЧНИК!$E$4*('ПЛАН ЧЕРН ПОДЗЕМ'!E5*СПРАВОЧНИК!$H$4+'ПЛАН ЧЕРН ПОДЗЕМ'!F5*СПРАВОЧНИК!$I$4+'ПЛАН ЧЕРН ПОДЗЕМ'!G5*СПРАВОЧНИК!$J$4)+СПРАВОЧНИК!$E$5*('ПЛАН ЧЕРН ПОДЗЕМ'!H5*СПРАВОЧНИК!$H$5+'ПЛАН ЧЕРН ПОДЗЕМ'!I5*СПРАВОЧНИК!$I$5+'ПЛАН ЧЕРН ПОДЗЕМ'!J5*СПРАВОЧНИК!$J$5)+СПРАВОЧНИК!$E$6*('ПЛАН ЧЕРН ПОДЗЕМ'!K5*СПРАВОЧНИК!$H$6+'ПЛАН ЧЕРН ПОДЗЕМ'!L5*СПРАВОЧНИК!$I$6+'ПЛАН ЧЕРН ПОДЗЕМ'!M5*СПРАВОЧНИК!$J$6)+СПРАВОЧНИК!$E$7*('ПЛАН ЧЕРН ПОДЗЕМ'!N5*СПРАВОЧНИК!$H$7+'ПЛАН ЧЕРН ПОДЗЕМ'!O5*СПРАВОЧНИК!$I$7+'ПЛАН ЧЕРН ПОДЗЕМ'!P5*СПРАВОЧНИК!$J$7)+СПРАВОЧНИК!$E$8*('ПЛАН ЧЕРН ПОДЗЕМ'!Q5*СПРАВОЧНИК!$H$8+'ПЛАН ЧЕРН ПОДЗЕМ'!R5*СПРАВОЧНИК!$I$8+'ПЛАН ЧЕРН ПОДЗЕМ'!S5*СПРАВОЧНИК!$J$8)+СПРАВОЧНИК!$F$3*('ПЛАН ЧИСТ ПОДЗЕМ'!B5*СПРАВОЧНИК!$L$3+'ПЛАН ЧИСТ ПОДЗЕМ'!C5*СПРАВОЧНИК!$M$3+'ПЛАН ЧИСТ ПОДЗЕМ'!D5*СПРАВОЧНИК!$N$3+'ПЛАН ЧИСТ ПОДЗЕМ'!E5*СПРАВОЧНИК!$O$3)+СПРАВОЧНИК!$F$4*('ПЛАН ЧИСТ ПОДЗЕМ'!F5*СПРАВОЧНИК!$L$4+'ПЛАН ЧИСТ ПОДЗЕМ'!G5*СПРАВОЧНИК!$M$4+'ПЛАН ЧИСТ ПОДЗЕМ'!H5*СПРАВОЧНИК!$N$4+'ПЛАН ЧИСТ ПОДЗЕМ'!I5*СПРАВОЧНИК!$O$4)+СПРАВОЧНИК!$F$5*('ПЛАН ЧИСТ ПОДЗЕМ'!J5*СПРАВОЧНИК!$L$5+'ПЛАН ЧИСТ ПОДЗЕМ'!K5*СПРАВОЧНИК!$M$5+'ПЛАН ЧИСТ ПОДЗЕМ'!L5*СПРАВОЧНИК!$N$5)+СПРАВОЧНИК!$F$6*('ПЛАН ЧИСТ ПОДЗЕМ'!M5*СПРАВОЧНИК!$L$6+'ПЛАН ЧИСТ ПОДЗЕМ'!N5*СПРАВОЧНИК!$M$6+'ПЛАН ЧИСТ ПОДЗЕМ'!O5*СПРАВОЧНИК!$N$6+'ПЛАН ЧИСТ ПОДЗЕМ'!P5*СПРАВОЧНИК!$O$6)+СПРАВОЧНИК!$F$7*('ПЛАН ЧИСТ ПОДЗЕМ'!Q5*СПРАВОЧНИК!$L$7+'ПЛАН ЧИСТ ПОДЗЕМ'!R5*СПРАВОЧНИК!$M$7+'ПЛАН ЧИСТ ПОДЗЕМ'!S5*СПРАВОЧНИК!$N$7+'ПЛАН ЧИСТ ПОДЗЕМ'!T5*СПРАВОЧНИК!$O$7)+СПРАВОЧНИК!$F$8*('ПЛАН ЧИСТ ПОДЗЕМ'!U5*СПРАВОЧНИК!$L$8+'ПЛАН ЧИСТ ПОДЗЕМ'!V5*СПРАВОЧНИК!$M$8+'ПЛАН ЧИСТ ПОДЗЕМ'!W5*СПРАВОЧНИК!$N$8)</f>
        <v/>
      </c>
      <c r="E14" s="40">
        <f>СПРАВОЧНИК!$E$3*(('ФАКТ ЧЕРН ПОДЗЕМ'!B5)*СПРАВОЧНИК!$H$3+('ФАКТ ЧЕРН ПОДЗЕМ'!C5)*СПРАВОЧНИК!$I$3+('ФАКТ ЧЕРН ПОДЗЕМ'!D5)*СПРАВОЧНИК!$J$3)+СПРАВОЧНИК!$E$4*(('ФАКТ ЧЕРН ПОДЗЕМ'!E5)*СПРАВОЧНИК!$H$4+('ФАКТ ЧЕРН ПОДЗЕМ'!F5)*СПРАВОЧНИК!$I$4+('ФАКТ ЧЕРН ПОДЗЕМ'!G5)*СПРАВОЧНИК!$J$4)+СПРАВОЧНИК!$E$5*(('ФАКТ ЧЕРН ПОДЗЕМ'!H5)*СПРАВОЧНИК!$H$5+('ФАКТ ЧЕРН ПОДЗЕМ'!I5)*СПРАВОЧНИК!$I$5+('ФАКТ ЧЕРН ПОДЗЕМ'!J5)*СПРАВОЧНИК!$J$5)+СПРАВОЧНИК!$E$6*(('ФАКТ ЧЕРН ПОДЗЕМ'!K5)*СПРАВОЧНИК!$H$6+('ФАКТ ЧЕРН ПОДЗЕМ'!L5)*СПРАВОЧНИК!$I$6+('ФАКТ ЧЕРН ПОДЗЕМ'!M5)*СПРАВОЧНИК!$J$6)+СПРАВОЧНИК!$E$7*(('ФАКТ ЧЕРН ПОДЗЕМ'!N5)*СПРАВОЧНИК!$H$7+('ФАКТ ЧЕРН ПОДЗЕМ'!O5)*СПРАВОЧНИК!$I$7+('ФАКТ ЧЕРН ПОДЗЕМ'!P5)*СПРАВОЧНИК!$J$7)+СПРАВОЧНИК!$E$8*(('ФАКТ ЧЕРН ПОДЗЕМ'!Q5)*СПРАВОЧНИК!$H$8+('ФАКТ ЧЕРН ПОДЗЕМ'!R5)*СПРАВОЧНИК!$I$8+('ФАКТ ЧЕРН ПОДЗЕМ'!S5)*СПРАВОЧНИК!$J$8)+СПРАВОЧНИК!$F$3*(('ФАКТ ЧИСТ ПОДЗЕМ'!B5)*СПРАВОЧНИК!$L$3+('ФАКТ ЧИСТ ПОДЗЕМ'!C5)*СПРАВОЧНИК!$M$3+('ФАКТ ЧИСТ ПОДЗЕМ'!D5)*СПРАВОЧНИК!$N$3+('ФАКТ ЧИСТ ПОДЗЕМ'!E5)*СПРАВОЧНИК!$O$3)+СПРАВОЧНИК!$F$4*(('ФАКТ ЧИСТ ПОДЗЕМ'!F5)*СПРАВОЧНИК!$L$4+('ФАКТ ЧИСТ ПОДЗЕМ'!G5)*СПРАВОЧНИК!$M$4+('ФАКТ ЧИСТ ПОДЗЕМ'!H5)*СПРАВОЧНИК!$N$4+('ФАКТ ЧИСТ ПОДЗЕМ'!I5)*СПРАВОЧНИК!$O$4)+СПРАВОЧНИК!$F$5*(('ФАКТ ЧИСТ ПОДЗЕМ'!J5)*СПРАВОЧНИК!$L$5+('ФАКТ ЧИСТ ПОДЗЕМ'!K5)*СПРАВОЧНИК!$M$5+('ФАКТ ЧИСТ ПОДЗЕМ'!L5)*СПРАВОЧНИК!$N$5)+СПРАВОЧНИК!$F$6*(('ФАКТ ЧИСТ ПОДЗЕМ'!M5)*СПРАВОЧНИК!$L$6+('ФАКТ ЧИСТ ПОДЗЕМ'!N5)*СПРАВОЧНИК!$M$6+('ФАКТ ЧИСТ ПОДЗЕМ'!O5)*СПРАВОЧНИК!$N$6+('ФАКТ ЧИСТ ПОДЗЕМ'!P5)*СПРАВОЧНИК!$O$6)+СПРАВОЧНИК!$F$7*(('ФАКТ ЧИСТ ПОДЗЕМ'!Q5)*СПРАВОЧНИК!$L$7+('ФАКТ ЧИСТ ПОДЗЕМ'!R5)*СПРАВОЧНИК!$M$7+('ФАКТ ЧИСТ ПОДЗЕМ'!S5)*СПРАВОЧНИК!$N$7+('ФАКТ ЧИСТ ПОДЗЕМ'!T5)*СПРАВОЧНИК!$O$7)+СПРАВОЧНИК!$F$8*(('ФАКТ ЧИСТ ПОДЗЕМ'!U5)*СПРАВОЧНИК!$L$8+('ФАКТ ЧИСТ ПОДЗЕМ'!V5)*СПРАВОЧНИК!$M$8+('ФАКТ ЧИСТ ПОДЗЕМ'!W5)*СПРАВОЧНИК!$N$8)</f>
        <v/>
      </c>
      <c r="I14" s="18">
        <f>СПРАВОЧНИК!$B$35</f>
        <v/>
      </c>
      <c r="J14" s="37">
        <f>'ПЛАН ЧЕРН ПОДЗЕМ'!B5*СПРАВОЧНИК!$H$3+'ПЛАН ЧЕРН ПОДЗЕМ'!C5*СПРАВОЧНИК!$I$3+'ПЛАН ЧЕРН ПОДЗЕМ'!D5*СПРАВОЧНИК!$J$3+'ПЛАН ЧЕРН ПОДЗЕМ'!E5*СПРАВОЧНИК!$H$4+'ПЛАН ЧЕРН ПОДЗЕМ'!F5*СПРАВОЧНИК!$I$4+'ПЛАН ЧЕРН ПОДЗЕМ'!G5*СПРАВОЧНИК!$J$4+'ПЛАН ЧЕРН ПОДЗЕМ'!H5*СПРАВОЧНИК!$H$5+'ПЛАН ЧЕРН ПОДЗЕМ'!I5*СПРАВОЧНИК!$I$5+'ПЛАН ЧЕРН ПОДЗЕМ'!J5*СПРАВОЧНИК!$J$5+'ПЛАН ЧЕРН ПОДЗЕМ'!K5*СПРАВОЧНИК!$H$6+'ПЛАН ЧЕРН ПОДЗЕМ'!L5*СПРАВОЧНИК!$I$6+'ПЛАН ЧЕРН ПОДЗЕМ'!M5*СПРАВОЧНИК!$J$6+'ПЛАН ЧЕРН ПОДЗЕМ'!N5*СПРАВОЧНИК!$H$7+'ПЛАН ЧЕРН ПОДЗЕМ'!O5*СПРАВОЧНИК!$I$7+'ПЛАН ЧЕРН ПОДЗЕМ'!P5*СПРАВОЧНИК!$J$7+'ПЛАН ЧЕРН ПОДЗЕМ'!Q5*СПРАВОЧНИК!$H$8+'ПЛАН ЧЕРН ПОДЗЕМ'!R5*СПРАВОЧНИК!$I$8+'ПЛАН ЧЕРН ПОДЗЕМ'!S5*СПРАВОЧНИК!$J$8</f>
        <v/>
      </c>
      <c r="K14" s="40">
        <f>('ФАКТ ЧЕРН ПОДЗЕМ'!B5)*СПРАВОЧНИК!$H$3+('ФАКТ ЧЕРН ПОДЗЕМ'!C5)*СПРАВОЧНИК!$I$3+('ФАКТ ЧЕРН ПОДЗЕМ'!D5)*СПРАВОЧНИК!$J$3+('ФАКТ ЧЕРН ПОДЗЕМ'!E5)*СПРАВОЧНИК!$H$4+('ФАКТ ЧЕРН ПОДЗЕМ'!F5)*СПРАВОЧНИК!$I$4+('ФАКТ ЧЕРН ПОДЗЕМ'!G5)*СПРАВОЧНИК!$J$4+('ФАКТ ЧЕРН ПОДЗЕМ'!H5)*СПРАВОЧНИК!$H$5+('ФАКТ ЧЕРН ПОДЗЕМ'!I5)*СПРАВОЧНИК!$I$5+('ФАКТ ЧЕРН ПОДЗЕМ'!J5)*СПРАВОЧНИК!$J$5+('ФАКТ ЧЕРН ПОДЗЕМ'!K5)*СПРАВОЧНИК!$H$6+('ФАКТ ЧЕРН ПОДЗЕМ'!L5)*СПРАВОЧНИК!$I$6+('ФАКТ ЧЕРН ПОДЗЕМ'!M5)*СПРАВОЧНИК!$J$6+('ФАКТ ЧЕРН ПОДЗЕМ'!N5)*СПРАВОЧНИК!$H$7+('ФАКТ ЧЕРН ПОДЗЕМ'!O5)*СПРАВОЧНИК!$I$7+('ФАКТ ЧЕРН ПОДЗЕМ'!P5)*СПРАВОЧНИК!$J$7+('ФАКТ ЧЕРН ПОДЗЕМ'!Q5)*СПРАВОЧНИК!$H$8+('ФАКТ ЧЕРН ПОДЗЕМ'!R5)*СПРАВОЧНИК!$I$8+('ФАКТ ЧЕРН ПОДЗЕМ'!S5)*СПРАВОЧНИК!$J$8</f>
        <v/>
      </c>
      <c r="O14" s="18">
        <f>СПРАВОЧНИК!$B$35</f>
        <v/>
      </c>
      <c r="P14" s="37">
        <f>'ПЛАН ЧИСТ ПОДЗЕМ'!B5*СПРАВОЧНИК!$L$3+'ПЛАН ЧИСТ ПОДЗЕМ'!C5*СПРАВОЧНИК!$M$3+'ПЛАН ЧИСТ ПОДЗЕМ'!D5*СПРАВОЧНИК!$N$3+'ПЛАН ЧИСТ ПОДЗЕМ'!E5*СПРАВОЧНИК!$O$3+'ПЛАН ЧИСТ ПОДЗЕМ'!F5*СПРАВОЧНИК!$L$4+'ПЛАН ЧИСТ ПОДЗЕМ'!G5*СПРАВОЧНИК!$M$4+'ПЛАН ЧИСТ ПОДЗЕМ'!H5*СПРАВОЧНИК!$N$4+'ПЛАН ЧИСТ ПОДЗЕМ'!I5*СПРАВОЧНИК!$O$4+'ПЛАН ЧИСТ ПОДЗЕМ'!J5*СПРАВОЧНИК!$L$5+'ПЛАН ЧИСТ ПОДЗЕМ'!K5*СПРАВОЧНИК!$M$5+'ПЛАН ЧИСТ ПОДЗЕМ'!L5*СПРАВОЧНИК!$N$5+'ПЛАН ЧИСТ ПОДЗЕМ'!M5*СПРАВОЧНИК!$L$6+'ПЛАН ЧИСТ ПОДЗЕМ'!N5*СПРАВОЧНИК!$M$6+'ПЛАН ЧИСТ ПОДЗЕМ'!O5*СПРАВОЧНИК!$N$6+'ПЛАН ЧИСТ ПОДЗЕМ'!P5*СПРАВОЧНИК!$O$6+'ПЛАН ЧИСТ ПОДЗЕМ'!Q5*СПРАВОЧНИК!$L$7+'ПЛАН ЧИСТ ПОДЗЕМ'!R5*СПРАВОЧНИК!$M$7+'ПЛАН ЧИСТ ПОДЗЕМ'!S5*СПРАВОЧНИК!$N$7+'ПЛАН ЧИСТ ПОДЗЕМ'!T5*СПРАВОЧНИК!$O$7+'ПЛАН ЧИСТ ПОДЗЕМ'!U5*СПРАВОЧНИК!$L$8+'ПЛАН ЧИСТ ПОДЗЕМ'!V5*СПРАВОЧНИК!$M$8+'ПЛАН ЧИСТ ПОДЗЕМ'!W5*СПРАВОЧНИК!$N$8</f>
        <v/>
      </c>
      <c r="Q14" s="40">
        <f>('ФАКТ ЧИСТ ПОДЗЕМ'!B5)*СПРАВОЧНИК!$L$3+('ФАКТ ЧИСТ ПОДЗЕМ'!C5)*СПРАВОЧНИК!$M$3+('ФАКТ ЧИСТ ПОДЗЕМ'!D5)*СПРАВОЧНИК!$N$3+('ФАКТ ЧИСТ ПОДЗЕМ'!E5)*СПРАВОЧНИК!$O$3+('ФАКТ ЧИСТ ПОДЗЕМ'!F5)*СПРАВОЧНИК!$L$4+('ФАКТ ЧИСТ ПОДЗЕМ'!G5)*СПРАВОЧНИК!$M$4+('ФАКТ ЧИСТ ПОДЗЕМ'!H5)*СПРАВОЧНИК!$N$4+('ФАКТ ЧИСТ ПОДЗЕМ'!I5)*СПРАВОЧНИК!$O$4+('ФАКТ ЧИСТ ПОДЗЕМ'!J5)*СПРАВОЧНИК!$L$5+('ФАКТ ЧИСТ ПОДЗЕМ'!K5)*СПРАВОЧНИК!$M$5+('ФАКТ ЧИСТ ПОДЗЕМ'!L5)*СПРАВОЧНИК!$N$5+('ФАКТ ЧИСТ ПОДЗЕМ'!M5)*СПРАВОЧНИК!$L$6+('ФАКТ ЧИСТ ПОДЗЕМ'!N5)*СПРАВОЧНИК!$M$6+('ФАКТ ЧИСТ ПОДЗЕМ'!O5)*СПРАВОЧНИК!$N$6+('ФАКТ ЧИСТ ПОДЗЕМ'!P5)*СПРАВОЧНИК!$O$6+('ФАКТ ЧИСТ ПОДЗЕМ'!Q5)*СПРАВОЧНИК!$L$7+('ФАКТ ЧИСТ ПОДЗЕМ'!R5)*СПРАВОЧНИК!$M$7+('ФАКТ ЧИСТ ПОДЗЕМ'!S5)*СПРАВОЧНИК!$N$7+('ФАКТ ЧИСТ ПОДЗЕМ'!T5)*СПРАВОЧНИК!$O$7+('ФАКТ ЧИСТ ПОДЗЕМ'!U5)*СПРАВОЧНИК!$L$8+('ФАКТ ЧИСТ ПОДЗЕМ'!V5)*СПРАВОЧНИК!$M$8+('ФАКТ ЧИСТ ПОДЗЕМ'!W5)*СПРАВОЧНИК!$N$8</f>
        <v/>
      </c>
      <c r="U14" s="18">
        <f>СПРАВОЧНИК!$B$35</f>
        <v/>
      </c>
      <c r="V14" s="37">
        <f>СПРАВОЧНИК!$E$9*('ПЛАН ЧЕРН К1'!B5*СПРАВОЧНИК!$H$9+'ПЛАН ЧЕРН К1'!C5*СПРАВОЧНИК!$I$9+'ПЛАН ЧЕРН К1'!D5*СПРАВОЧНИК!$J$9)+СПРАВОЧНИК!$E$10*('ПЛАН ЧЕРН К1'!E5*СПРАВОЧНИК!$H$10+'ПЛАН ЧЕРН К1'!F5*СПРАВОЧНИК!$I$10+'ПЛАН ЧЕРН К1'!G5*СПРАВОЧНИК!$J$10)+СПРАВОЧНИК!$E$11*('ПЛАН ЧЕРН К1'!H5*СПРАВОЧНИК!$H$11+'ПЛАН ЧЕРН К1'!I5*СПРАВОЧНИК!$I$11+'ПЛАН ЧЕРН К1'!J5*СПРАВОЧНИК!$J$11)+СПРАВОЧНИК!$E$12*('ПЛАН ЧЕРН К1'!K5*СПРАВОЧНИК!$H$12+'ПЛАН ЧЕРН К1'!L5*СПРАВОЧНИК!$I$12+'ПЛАН ЧЕРН К1'!M5*СПРАВОЧНИК!$J$12)+СПРАВОЧНИК!$E$13*('ПЛАН ЧЕРН К1'!N5*СПРАВОЧНИК!$H$13+'ПЛАН ЧЕРН К1'!O5*СПРАВОЧНИК!$I$13+'ПЛАН ЧЕРН К1'!P5*СПРАВОЧНИК!$J$13)+СПРАВОЧНИК!$E$14*('ПЛАН ЧЕРН К1'!Q5*СПРАВОЧНИК!$H$14+'ПЛАН ЧЕРН К1'!R5*СПРАВОЧНИК!$I$14+'ПЛАН ЧЕРН К1'!S5*СПРАВОЧНИК!$J$14)+СПРАВОЧНИК!$E$15*('ПЛАН ЧЕРН К1'!T5*СПРАВОЧНИК!$H$15+'ПЛАН ЧЕРН К1'!U5*СПРАВОЧНИК!$I$15+'ПЛАН ЧЕРН К1'!V5*СПРАВОЧНИК!$J$15)+СПРАВОЧНИК!$F$9*('ПЛАН ЧИСТ К1'!B5*СПРАВОЧНИК!$L$9+'ПЛАН ЧИСТ К1'!C5*СПРАВОЧНИК!$M$9+'ПЛАН ЧИСТ К1'!D5*СПРАВОЧНИК!$N$9+'ПЛАН ЧИСТ К1'!E5*СПРАВОЧНИК!$O$9)+СПРАВОЧНИК!$F$10*('ПЛАН ЧИСТ К1'!F5*СПРАВОЧНИК!$L$10+'ПЛАН ЧИСТ К1'!G5*СПРАВОЧНИК!$M$10+'ПЛАН ЧИСТ К1'!H5*СПРАВОЧНИК!$N$10+'ПЛАН ЧИСТ К1'!I5*СПРАВОЧНИК!$O$10)+СПРАВОЧНИК!$F$11*('ПЛАН ЧИСТ К1'!J5*СПРАВОЧНИК!$L$11+'ПЛАН ЧИСТ К1'!K5*СПРАВОЧНИК!$M$11+'ПЛАН ЧИСТ К1'!L5*СПРАВОЧНИК!$N$11)+СПРАВОЧНИК!$F$12*('ПЛАН ЧИСТ К1'!M5*СПРАВОЧНИК!$L$12+'ПЛАН ЧИСТ К1'!N5*СПРАВОЧНИК!$M$12+'ПЛАН ЧИСТ К1'!O5*СПРАВОЧНИК!$N$12+'ПЛАН ЧИСТ К1'!P5*СПРАВОЧНИК!$O$12)+СПРАВОЧНИК!$F$13*('ПЛАН ЧИСТ К1'!Q5*СПРАВОЧНИК!$L$13+'ПЛАН ЧИСТ К1'!R5*СПРАВОЧНИК!$M$13+'ПЛАН ЧИСТ К1'!S5*СПРАВОЧНИК!$N$13+'ПЛАН ЧИСТ К1'!T5*СПРАВОЧНИК!$O$13)+СПРАВОЧНИК!$F$14*('ПЛАН ЧИСТ К1'!U5*СПРАВОЧНИК!$L$14+'ПЛАН ЧИСТ К1'!V5*СПРАВОЧНИК!$M$14+'ПЛАН ЧИСТ К1'!W5*СПРАВОЧНИК!$N$14)+СПРАВОЧНИК!$F$15*('ПЛАН ЧИСТ К1'!X5*СПРАВОЧНИК!$L$15+'ПЛАН ЧИСТ К1'!Y5*СПРАВОЧНИК!$M$15+'ПЛАН ЧИСТ К1'!Z5*СПРАВОЧНИК!$N$15)</f>
        <v/>
      </c>
      <c r="W14" s="40">
        <f>СПРАВОЧНИК!$E$9*(('ФАКТ ЧЕРН К1'!B5)*СПРАВОЧНИК!$H$9+('ФАКТ ЧЕРН К1'!C5)*СПРАВОЧНИК!$I$9+('ФАКТ ЧЕРН К1'!D5)*СПРАВОЧНИК!$J$9)+СПРАВОЧНИК!$E$10*(('ФАКТ ЧЕРН К1'!E5)*СПРАВОЧНИК!$H$10+('ФАКТ ЧЕРН К1'!F5)*СПРАВОЧНИК!$I$10+('ФАКТ ЧЕРН К1'!G5)*СПРАВОЧНИК!$J$10)+СПРАВОЧНИК!$E$11*(('ФАКТ ЧЕРН К1'!H5)*СПРАВОЧНИК!$H$11+('ФАКТ ЧЕРН К1'!I5)*СПРАВОЧНИК!$I$11+('ФАКТ ЧЕРН К1'!J5)*СПРАВОЧНИК!$J$11)+СПРАВОЧНИК!$E$12*(('ФАКТ ЧЕРН К1'!K5)*СПРАВОЧНИК!$H$12+('ФАКТ ЧЕРН К1'!L5)*СПРАВОЧНИК!$I$12+('ФАКТ ЧЕРН К1'!M5)*СПРАВОЧНИК!$J$12)+СПРАВОЧНИК!$E$13*(('ФАКТ ЧЕРН К1'!N5)*СПРАВОЧНИК!$H$13+('ФАКТ ЧЕРН К1'!O5)*СПРАВОЧНИК!$I$13+('ФАКТ ЧЕРН К1'!P5)*СПРАВОЧНИК!$J$13)+СПРАВОЧНИК!$E$14*(('ФАКТ ЧЕРН К1'!Q5)*СПРАВОЧНИК!$H$14+('ФАКТ ЧЕРН К1'!R5)*СПРАВОЧНИК!$I$14+('ФАКТ ЧЕРН К1'!S5)*СПРАВОЧНИК!$J$14)+СПРАВОЧНИК!$E$15*(('ФАКТ ЧЕРН К1'!T5)*СПРАВОЧНИК!$H$15+('ФАКТ ЧЕРН К1'!U5)*СПРАВОЧНИК!$I$15+('ФАКТ ЧЕРН К1'!V5)*СПРАВОЧНИК!$J$15)+СПРАВОЧНИК!$F$9*(('ФАКТ ЧИСТ К1'!B5)*СПРАВОЧНИК!$L$9+('ФАКТ ЧИСТ К1'!C5)*СПРАВОЧНИК!$M$9+('ФАКТ ЧИСТ К1'!D5)*СПРАВОЧНИК!$N$9+('ФАКТ ЧИСТ К1'!E5)*СПРАВОЧНИК!$O$9)+СПРАВОЧНИК!$F$10*(('ФАКТ ЧИСТ К1'!F5)*СПРАВОЧНИК!$L$10+('ФАКТ ЧИСТ К1'!G5)*СПРАВОЧНИК!$M$10+('ФАКТ ЧИСТ К1'!H5)*СПРАВОЧНИК!$N$10+('ФАКТ ЧИСТ К1'!I5)*СПРАВОЧНИК!$O$10)+СПРАВОЧНИК!$F$11*(('ФАКТ ЧИСТ К1'!J5)*СПРАВОЧНИК!$L$11+('ФАКТ ЧИСТ К1'!K5)*СПРАВОЧНИК!$M$11+('ФАКТ ЧИСТ К1'!L5)*СПРАВОЧНИК!$N$11)+СПРАВОЧНИК!$F$12*(('ФАКТ ЧИСТ К1'!M5)*СПРАВОЧНИК!$L$12+('ФАКТ ЧИСТ К1'!N5)*СПРАВОЧНИК!$M$12+('ФАКТ ЧИСТ К1'!O5)*СПРАВОЧНИК!$N$12+('ФАКТ ЧИСТ К1'!P5)*СПРАВОЧНИК!$O$12)+СПРАВОЧНИК!$F$13*(('ФАКТ ЧИСТ К1'!Q5)*СПРАВОЧНИК!$L$13+('ФАКТ ЧИСТ К1'!R5)*СПРАВОЧНИК!$M$13+('ФАКТ ЧИСТ К1'!S5)*СПРАВОЧНИК!$N$13+('ФАКТ ЧИСТ К1'!T5)*СПРАВОЧНИК!$O$13)+СПРАВОЧНИК!$F$14*(('ФАКТ ЧИСТ К1'!U5)*СПРАВОЧНИК!$L$14+('ФАКТ ЧИСТ К1'!V5)*СПРАВОЧНИК!$M$14+('ФАКТ ЧИСТ К1'!W5)*СПРАВОЧНИК!$N$14)+СПРАВОЧНИК!$F$15*(('ФАКТ ЧИСТ К1'!X5)*СПРАВОЧНИК!$L$15+('ФАКТ ЧИСТ К1'!Y5)*СПРАВОЧНИК!$M$15+('ФАКТ ЧИСТ К1'!Z5)*СПРАВОЧНИК!$N$15)</f>
        <v/>
      </c>
      <c r="AA14" s="18">
        <f>СПРАВОЧНИК!$B$35</f>
        <v/>
      </c>
      <c r="AB14" s="37">
        <f>'ПЛАН ЧЕРН К1'!B5*СПРАВОЧНИК!$H$9+'ПЛАН ЧЕРН К1'!C5*СПРАВОЧНИК!$I$9+'ПЛАН ЧЕРН К1'!D5*СПРАВОЧНИК!$J$9+'ПЛАН ЧЕРН К1'!E5*СПРАВОЧНИК!$H$10+'ПЛАН ЧЕРН К1'!F5*СПРАВОЧНИК!$I$10+'ПЛАН ЧЕРН К1'!G5*СПРАВОЧНИК!$J$10+'ПЛАН ЧЕРН К1'!H5*СПРАВОЧНИК!$H$11+'ПЛАН ЧЕРН К1'!I5*СПРАВОЧНИК!$I$11+'ПЛАН ЧЕРН К1'!J5*СПРАВОЧНИК!$J$11+'ПЛАН ЧЕРН К1'!K5*СПРАВОЧНИК!$H$12+'ПЛАН ЧЕРН К1'!L5*СПРАВОЧНИК!$I$12+'ПЛАН ЧЕРН К1'!M5*СПРАВОЧНИК!$J$12+'ПЛАН ЧЕРН К1'!N5*СПРАВОЧНИК!$H$13+'ПЛАН ЧЕРН К1'!O5*СПРАВОЧНИК!$I$13+'ПЛАН ЧЕРН К1'!P5*СПРАВОЧНИК!$J$13+'ПЛАН ЧЕРН К1'!Q5*СПРАВОЧНИК!$H$14+'ПЛАН ЧЕРН К1'!R5*СПРАВОЧНИК!$I$14+'ПЛАН ЧЕРН К1'!S5*СПРАВОЧНИК!$J$14+'ПЛАН ЧЕРН К1'!T5*СПРАВОЧНИК!$H$15+'ПЛАН ЧЕРН К1'!U5*СПРАВОЧНИК!$I$15+'ПЛАН ЧЕРН К1'!V5*СПРАВОЧНИК!$J$15</f>
        <v/>
      </c>
      <c r="AC14" s="40">
        <f>('ФАКТ ЧЕРН К1'!B5)*СПРАВОЧНИК!$H$9+('ФАКТ ЧЕРН К1'!C5)*СПРАВОЧНИК!$I$9+('ФАКТ ЧЕРН К1'!D5)*СПРАВОЧНИК!$J$9+('ФАКТ ЧЕРН К1'!E5)*СПРАВОЧНИК!$H$10+('ФАКТ ЧЕРН К1'!F5)*СПРАВОЧНИК!$I$10+('ФАКТ ЧЕРН К1'!G5)*СПРАВОЧНИК!$J$10+('ФАКТ ЧЕРН К1'!H5)*СПРАВОЧНИК!$H$11+('ФАКТ ЧЕРН К1'!I5)*СПРАВОЧНИК!$I$11+('ФАКТ ЧЕРН К1'!J5)*СПРАВОЧНИК!$J$11+('ФАКТ ЧЕРН К1'!K5)*СПРАВОЧНИК!$H$12+('ФАКТ ЧЕРН К1'!L5)*СПРАВОЧНИК!$I$12+('ФАКТ ЧЕРН К1'!M5)*СПРАВОЧНИК!$J$12+('ФАКТ ЧЕРН К1'!N5)*СПРАВОЧНИК!$H$13+('ФАКТ ЧЕРН К1'!O5)*СПРАВОЧНИК!$I$13+('ФАКТ ЧЕРН К1'!P5)*СПРАВОЧНИК!$J$13+('ФАКТ ЧЕРН К1'!Q5)*СПРАВОЧНИК!$H$14+('ФАКТ ЧЕРН К1'!R5)*СПРАВОЧНИК!$I$14+('ФАКТ ЧЕРН К1'!S5)*СПРАВОЧНИК!$J$14+('ФАКТ ЧЕРН К1'!T5)*СПРАВОЧНИК!$H$15+('ФАКТ ЧЕРН К1'!U5)*СПРАВОЧНИК!$I$15+('ФАКТ ЧЕРН К1'!V5)*СПРАВОЧНИК!$J$15</f>
        <v/>
      </c>
      <c r="AG14" s="18">
        <f>СПРАВОЧНИК!$B$35</f>
        <v/>
      </c>
      <c r="AH14" s="37">
        <f>'ПЛАН ЧИСТ К1'!B5*СПРАВОЧНИК!$L$9+'ПЛАН ЧИСТ К1'!C5*СПРАВОЧНИК!$M$9+'ПЛАН ЧИСТ К1'!D5*СПРАВОЧНИК!$N$9+'ПЛАН ЧИСТ К1'!E5*СПРАВОЧНИК!$O$9+'ПЛАН ЧИСТ К1'!F5*СПРАВОЧНИК!$L$10+'ПЛАН ЧИСТ К1'!G5*СПРАВОЧНИК!$M$10+'ПЛАН ЧИСТ К1'!H5*СПРАВОЧНИК!$N$10+'ПЛАН ЧИСТ К1'!I5*СПРАВОЧНИК!$O$10+'ПЛАН ЧИСТ К1'!J5*СПРАВОЧНИК!$L$11+'ПЛАН ЧИСТ К1'!K5*СПРАВОЧНИК!$M$11+'ПЛАН ЧИСТ К1'!L5*СПРАВОЧНИК!$N$11+'ПЛАН ЧИСТ К1'!M5*СПРАВОЧНИК!$L$12+'ПЛАН ЧИСТ К1'!N5*СПРАВОЧНИК!$M$12+'ПЛАН ЧИСТ К1'!O5*СПРАВОЧНИК!$N$12+'ПЛАН ЧИСТ К1'!P5*СПРАВОЧНИК!$O$12+'ПЛАН ЧИСТ К1'!Q5*СПРАВОЧНИК!$L$13+'ПЛАН ЧИСТ К1'!R5*СПРАВОЧНИК!$M$13+'ПЛАН ЧИСТ К1'!S5*СПРАВОЧНИК!$N$13+'ПЛАН ЧИСТ К1'!T5*СПРАВОЧНИК!$O$13+'ПЛАН ЧИСТ К1'!U5*СПРАВОЧНИК!$L$14+'ПЛАН ЧИСТ К1'!V5*СПРАВОЧНИК!$M$14+'ПЛАН ЧИСТ К1'!W5*СПРАВОЧНИК!$N$14+'ПЛАН ЧИСТ К1'!X5*СПРАВОЧНИК!$L$15+'ПЛАН ЧИСТ К1'!Y5*СПРАВОЧНИК!$M$15+'ПЛАН ЧИСТ К1'!Z5*СПРАВОЧНИК!$N$15</f>
        <v/>
      </c>
      <c r="AI14" s="40">
        <f>('ФАКТ ЧИСТ К1'!B5)*СПРАВОЧНИК!$L$9+('ФАКТ ЧИСТ К1'!C5)*СПРАВОЧНИК!$M$9+('ФАКТ ЧИСТ К1'!D5)*СПРАВОЧНИК!$N$9+('ФАКТ ЧИСТ К1'!E5)*СПРАВОЧНИК!$O$9+('ФАКТ ЧИСТ К1'!F5)*СПРАВОЧНИК!$L$10+('ФАКТ ЧИСТ К1'!G5)*СПРАВОЧНИК!$M$10+('ФАКТ ЧИСТ К1'!H5)*СПРАВОЧНИК!$N$10+('ФАКТ ЧИСТ К1'!I5)*СПРАВОЧНИК!$O$10+('ФАКТ ЧИСТ К1'!J5)*СПРАВОЧНИК!$L$11+('ФАКТ ЧИСТ К1'!K5)*СПРАВОЧНИК!$M$11+('ФАКТ ЧИСТ К1'!L5)*СПРАВОЧНИК!$N$11+('ФАКТ ЧИСТ К1'!M5)*СПРАВОЧНИК!$L$12+('ФАКТ ЧИСТ К1'!N5)*СПРАВОЧНИК!$M$12+('ФАКТ ЧИСТ К1'!O5)*СПРАВОЧНИК!$N$12+('ФАКТ ЧИСТ К1'!P5)*СПРАВОЧНИК!$O$12+('ФАКТ ЧИСТ К1'!Q5)*СПРАВОЧНИК!$L$13+('ФАКТ ЧИСТ К1'!R5)*СПРАВОЧНИК!$M$13+('ФАКТ ЧИСТ К1'!S5)*СПРАВОЧНИК!$N$13+('ФАКТ ЧИСТ К1'!T5)*СПРАВОЧНИК!$O$13+('ФАКТ ЧИСТ К1'!U5)*СПРАВОЧНИК!$L$14+('ФАКТ ЧИСТ К1'!V5)*СПРАВОЧНИК!$M$14+('ФАКТ ЧИСТ К1'!W5)*СПРАВОЧНИК!$N$14+('ФАКТ ЧИСТ К1'!X5)*СПРАВОЧНИК!$L$15+('ФАКТ ЧИСТ К1'!Y5)*СПРАВОЧНИК!$M$15+('ФАКТ ЧИСТ К1'!Z5)*СПРАВОЧНИК!$N$15</f>
        <v/>
      </c>
      <c r="AM14" s="18">
        <f>СПРАВОЧНИК!$B$35</f>
        <v/>
      </c>
      <c r="AN14" s="37">
        <f>СПРАВОЧНИК!$E$9*('ПЛАН ЧЕРН К2'!B5*СПРАВОЧНИК!$H$9+'ПЛАН ЧЕРН К2'!C5*СПРАВОЧНИК!$I$9+'ПЛАН ЧЕРН К2'!D5*СПРАВОЧНИК!$J$9)+СПРАВОЧНИК!$E$10*('ПЛАН ЧЕРН К2'!E5*СПРАВОЧНИК!$H$10+'ПЛАН ЧЕРН К2'!F5*СПРАВОЧНИК!$I$10+'ПЛАН ЧЕРН К2'!G5*СПРАВОЧНИК!$J$10)+СПРАВОЧНИК!$E$11*('ПЛАН ЧЕРН К2'!H5*СПРАВОЧНИК!$H$11+'ПЛАН ЧЕРН К2'!I5*СПРАВОЧНИК!$I$11+'ПЛАН ЧЕРН К2'!J5*СПРАВОЧНИК!$J$11)+СПРАВОЧНИК!$E$12*('ПЛАН ЧЕРН К2'!K5*СПРАВОЧНИК!$H$12+'ПЛАН ЧЕРН К2'!L5*СПРАВОЧНИК!$I$12+'ПЛАН ЧЕРН К2'!M5*СПРАВОЧНИК!$J$12)+СПРАВОЧНИК!$E$13*('ПЛАН ЧЕРН К2'!N5*СПРАВОЧНИК!$H$13+'ПЛАН ЧЕРН К2'!O5*СПРАВОЧНИК!$I$13+'ПЛАН ЧЕРН К2'!P5*СПРАВОЧНИК!$J$13)+СПРАВОЧНИК!$E$14*('ПЛАН ЧЕРН К2'!Q5*СПРАВОЧНИК!$H$14+'ПЛАН ЧЕРН К2'!R5*СПРАВОЧНИК!$I$14+'ПЛАН ЧЕРН К2'!S5*СПРАВОЧНИК!$J$14)+СПРАВОЧНИК!$E$15*('ПЛАН ЧЕРН К2'!T5*СПРАВОЧНИК!$H$15+'ПЛАН ЧЕРН К2'!U5*СПРАВОЧНИК!$I$15+'ПЛАН ЧЕРН К2'!V5*СПРАВОЧНИК!$J$15)+СПРАВОЧНИК!$F$9*('ПЛАН ЧИСТ К2'!B5*СПРАВОЧНИК!$L$9+'ПЛАН ЧИСТ К2'!C5*СПРАВОЧНИК!$M$9+'ПЛАН ЧИСТ К2'!D5*СПРАВОЧНИК!$N$9+'ПЛАН ЧИСТ К2'!E5*СПРАВОЧНИК!$O$9)+СПРАВОЧНИК!$F$10*('ПЛАН ЧИСТ К2'!F5*СПРАВОЧНИК!$L$10+'ПЛАН ЧИСТ К2'!G5*СПРАВОЧНИК!$M$10+'ПЛАН ЧИСТ К2'!H5*СПРАВОЧНИК!$N$10+'ПЛАН ЧИСТ К2'!I5*СПРАВОЧНИК!$O$10)+СПРАВОЧНИК!$F$11*('ПЛАН ЧИСТ К2'!J5*СПРАВОЧНИК!$L$11+'ПЛАН ЧИСТ К2'!K5*СПРАВОЧНИК!$M$11+'ПЛАН ЧИСТ К2'!L5*СПРАВОЧНИК!$N$11)+СПРАВОЧНИК!$F$12*('ПЛАН ЧИСТ К2'!M5*СПРАВОЧНИК!$L$12+'ПЛАН ЧИСТ К2'!N5*СПРАВОЧНИК!$M$12+'ПЛАН ЧИСТ К2'!O5*СПРАВОЧНИК!$N$12+'ПЛАН ЧИСТ К2'!P5*СПРАВОЧНИК!$O$12)+СПРАВОЧНИК!$F$13*('ПЛАН ЧИСТ К2'!Q5*СПРАВОЧНИК!$L$13+'ПЛАН ЧИСТ К2'!R5*СПРАВОЧНИК!$M$13+'ПЛАН ЧИСТ К2'!S5*СПРАВОЧНИК!$N$13+'ПЛАН ЧИСТ К2'!T5*СПРАВОЧНИК!$O$13)+СПРАВОЧНИК!$F$14*('ПЛАН ЧИСТ К2'!U5*СПРАВОЧНИК!$L$14+'ПЛАН ЧИСТ К2'!V5*СПРАВОЧНИК!$M$14+'ПЛАН ЧИСТ К2'!W5*СПРАВОЧНИК!$N$14)+СПРАВОЧНИК!$F$15*('ПЛАН ЧИСТ К2'!X5*СПРАВОЧНИК!$L$15+'ПЛАН ЧИСТ К2'!Y5*СПРАВОЧНИК!$M$15+'ПЛАН ЧИСТ К2'!Z5*СПРАВОЧНИК!$N$15)</f>
        <v/>
      </c>
      <c r="AO14" s="40">
        <f>СПРАВОЧНИК!$E$9*(('ФАКТ ЧЕРН К2'!B5)*СПРАВОЧНИК!$H$9+('ФАКТ ЧЕРН К2'!C5)*СПРАВОЧНИК!$I$9+('ФАКТ ЧЕРН К2'!D5)*СПРАВОЧНИК!$J$9)+СПРАВОЧНИК!$E$10*(('ФАКТ ЧЕРН К2'!E5)*СПРАВОЧНИК!$H$10+('ФАКТ ЧЕРН К2'!F5)*СПРАВОЧНИК!$I$10+('ФАКТ ЧЕРН К2'!G5)*СПРАВОЧНИК!$J$10)+СПРАВОЧНИК!$E$11*(('ФАКТ ЧЕРН К2'!H5)*СПРАВОЧНИК!$H$11+('ФАКТ ЧЕРН К2'!I5)*СПРАВОЧНИК!$I$11+('ФАКТ ЧЕРН К2'!J5)*СПРАВОЧНИК!$J$11)+СПРАВОЧНИК!$E$12*(('ФАКТ ЧЕРН К2'!K5)*СПРАВОЧНИК!$H$12+('ФАКТ ЧЕРН К2'!L5)*СПРАВОЧНИК!$I$12+('ФАКТ ЧЕРН К2'!M5)*СПРАВОЧНИК!$J$12)+СПРАВОЧНИК!$E$13*(('ФАКТ ЧЕРН К2'!N5)*СПРАВОЧНИК!$H$13+('ФАКТ ЧЕРН К2'!O5)*СПРАВОЧНИК!$I$13+('ФАКТ ЧЕРН К2'!P5)*СПРАВОЧНИК!$J$13)+СПРАВОЧНИК!$E$14*(('ФАКТ ЧЕРН К2'!Q5)*СПРАВОЧНИК!$H$14+('ФАКТ ЧЕРН К2'!R5)*СПРАВОЧНИК!$I$14+('ФАКТ ЧЕРН К2'!S5)*СПРАВОЧНИК!$J$14)+СПРАВОЧНИК!$E$15*(('ФАКТ ЧЕРН К2'!T5)*СПРАВОЧНИК!$H$15+('ФАКТ ЧЕРН К2'!U5)*СПРАВОЧНИК!$I$15+('ФАКТ ЧЕРН К2'!V5)*СПРАВОЧНИК!$J$15)+СПРАВОЧНИК!$F$9*(('ФАКТ ЧИСТ К2'!B5)*СПРАВОЧНИК!$L$9+('ФАКТ ЧИСТ К2'!C5)*СПРАВОЧНИК!$M$9+('ФАКТ ЧИСТ К2'!D5)*СПРАВОЧНИК!$N$9+('ФАКТ ЧИСТ К2'!E5)*СПРАВОЧНИК!$O$9)+СПРАВОЧНИК!$F$10*(('ФАКТ ЧИСТ К2'!F5)*СПРАВОЧНИК!$L$10+('ФАКТ ЧИСТ К2'!G5)*СПРАВОЧНИК!$M$10+('ФАКТ ЧИСТ К2'!H5)*СПРАВОЧНИК!$N$10+('ФАКТ ЧИСТ К2'!I5)*СПРАВОЧНИК!$O$10)+СПРАВОЧНИК!$F$11*(('ФАКТ ЧИСТ К2'!J5)*СПРАВОЧНИК!$L$11+('ФАКТ ЧИСТ К2'!K5)*СПРАВОЧНИК!$M$11+('ФАКТ ЧИСТ К2'!L5)*СПРАВОЧНИК!$N$11)+СПРАВОЧНИК!$F$12*(('ФАКТ ЧИСТ К2'!M5)*СПРАВОЧНИК!$L$12+('ФАКТ ЧИСТ К2'!N5)*СПРАВОЧНИК!$M$12+('ФАКТ ЧИСТ К2'!O5)*СПРАВОЧНИК!$N$12+('ФАКТ ЧИСТ К2'!P5)*СПРАВОЧНИК!$O$12)+СПРАВОЧНИК!$F$13*(('ФАКТ ЧИСТ К2'!Q5)*СПРАВОЧНИК!$L$13+('ФАКТ ЧИСТ К2'!R5)*СПРАВОЧНИК!$M$13+('ФАКТ ЧИСТ К2'!S5)*СПРАВОЧНИК!$N$13+('ФАКТ ЧИСТ К2'!T5)*СПРАВОЧНИК!$O$13)+СПРАВОЧНИК!$F$14*(('ФАКТ ЧИСТ К2'!U5)*СПРАВОЧНИК!$L$14+('ФАКТ ЧИСТ К2'!V5)*СПРАВОЧНИК!$M$14+('ФАКТ ЧИСТ К2'!W5)*СПРАВОЧНИК!$N$14)+СПРАВОЧНИК!$F$15*(('ФАКТ ЧИСТ К2'!X5)*СПРАВОЧНИК!$L$15+('ФАКТ ЧИСТ К2'!Y5)*СПРАВОЧНИК!$M$15+('ФАКТ ЧИСТ К2'!Z5)*СПРАВОЧНИК!$N$15)</f>
        <v/>
      </c>
      <c r="AS14" s="18">
        <f>СПРАВОЧНИК!$B$35</f>
        <v/>
      </c>
      <c r="AT14" s="37">
        <f>'ПЛАН ЧЕРН К2'!B5*СПРАВОЧНИК!$H$9+'ПЛАН ЧЕРН К2'!C5*СПРАВОЧНИК!$I$9+'ПЛАН ЧЕРН К2'!D5*СПРАВОЧНИК!$J$9+'ПЛАН ЧЕРН К2'!E5*СПРАВОЧНИК!$H$10+'ПЛАН ЧЕРН К2'!F5*СПРАВОЧНИК!$I$10+'ПЛАН ЧЕРН К2'!G5*СПРАВОЧНИК!$J$10+'ПЛАН ЧЕРН К2'!H5*СПРАВОЧНИК!$H$11+'ПЛАН ЧЕРН К2'!I5*СПРАВОЧНИК!$I$11+'ПЛАН ЧЕРН К2'!J5*СПРАВОЧНИК!$J$11+'ПЛАН ЧЕРН К2'!K5*СПРАВОЧНИК!$H$12+'ПЛАН ЧЕРН К2'!L5*СПРАВОЧНИК!$I$12+'ПЛАН ЧЕРН К2'!M5*СПРАВОЧНИК!$J$12+'ПЛАН ЧЕРН К2'!N5*СПРАВОЧНИК!$H$13+'ПЛАН ЧЕРН К2'!O5*СПРАВОЧНИК!$I$13+'ПЛАН ЧЕРН К2'!P5*СПРАВОЧНИК!$J$13+'ПЛАН ЧЕРН К2'!Q5*СПРАВОЧНИК!$H$14+'ПЛАН ЧЕРН К2'!R5*СПРАВОЧНИК!$I$14+'ПЛАН ЧЕРН К2'!S5*СПРАВОЧНИК!$J$14+'ПЛАН ЧЕРН К2'!T5*СПРАВОЧНИК!$H$15+'ПЛАН ЧЕРН К2'!U5*СПРАВОЧНИК!$I$15+'ПЛАН ЧЕРН К2'!V5*СПРАВОЧНИК!$J$15</f>
        <v/>
      </c>
      <c r="AU14" s="40">
        <f>('ФАКТ ЧЕРН К2'!B5)*СПРАВОЧНИК!$H$9+('ФАКТ ЧЕРН К2'!C5)*СПРАВОЧНИК!$I$9+('ФАКТ ЧЕРН К2'!D5)*СПРАВОЧНИК!$J$9+('ФАКТ ЧЕРН К2'!E5)*СПРАВОЧНИК!$H$10+('ФАКТ ЧЕРН К2'!F5)*СПРАВОЧНИК!$I$10+('ФАКТ ЧЕРН К2'!G5)*СПРАВОЧНИК!$J$10+('ФАКТ ЧЕРН К2'!H5)*СПРАВОЧНИК!$H$11+('ФАКТ ЧЕРН К2'!I5)*СПРАВОЧНИК!$I$11+('ФАКТ ЧЕРН К2'!J5)*СПРАВОЧНИК!$J$11+('ФАКТ ЧЕРН К2'!K5)*СПРАВОЧНИК!$H$12+('ФАКТ ЧЕРН К2'!L5)*СПРАВОЧНИК!$I$12+('ФАКТ ЧЕРН К2'!M5)*СПРАВОЧНИК!$J$12+('ФАКТ ЧЕРН К2'!N5)*СПРАВОЧНИК!$H$13+('ФАКТ ЧЕРН К2'!O5)*СПРАВОЧНИК!$I$13+('ФАКТ ЧЕРН К2'!P5)*СПРАВОЧНИК!$J$13+('ФАКТ ЧЕРН К2'!Q5)*СПРАВОЧНИК!$H$14+('ФАКТ ЧЕРН К2'!R5)*СПРАВОЧНИК!$I$14+('ФАКТ ЧЕРН К2'!S5)*СПРАВОЧНИК!$J$14+('ФАКТ ЧЕРН К2'!T5)*СПРАВОЧНИК!$H$15+('ФАКТ ЧЕРН К2'!U5)*СПРАВОЧНИК!$I$15+('ФАКТ ЧЕРН К2'!V5)*СПРАВОЧНИК!$J$15</f>
        <v/>
      </c>
      <c r="AY14" s="18">
        <f>СПРАВОЧНИК!$B$35</f>
        <v/>
      </c>
      <c r="AZ14" s="37">
        <f>'ПЛАН ЧИСТ К2'!B5*СПРАВОЧНИК!$L$9+'ПЛАН ЧИСТ К2'!C5*СПРАВОЧНИК!$M$9+'ПЛАН ЧИСТ К2'!D5*СПРАВОЧНИК!$N$9+'ПЛАН ЧИСТ К2'!E5*СПРАВОЧНИК!$O$9+'ПЛАН ЧИСТ К2'!F5*СПРАВОЧНИК!$L$10+'ПЛАН ЧИСТ К2'!G5*СПРАВОЧНИК!$M$10+'ПЛАН ЧИСТ К2'!H5*СПРАВОЧНИК!$N$10+'ПЛАН ЧИСТ К2'!I5*СПРАВОЧНИК!$O$10+'ПЛАН ЧИСТ К2'!J5*СПРАВОЧНИК!$L$11+'ПЛАН ЧИСТ К2'!K5*СПРАВОЧНИК!$M$11+'ПЛАН ЧИСТ К2'!L5*СПРАВОЧНИК!$N$11+'ПЛАН ЧИСТ К2'!M5*СПРАВОЧНИК!$L$12+'ПЛАН ЧИСТ К2'!N5*СПРАВОЧНИК!$M$12+'ПЛАН ЧИСТ К2'!O5*СПРАВОЧНИК!$N$12+'ПЛАН ЧИСТ К2'!P5*СПРАВОЧНИК!$O$12+'ПЛАН ЧИСТ К2'!Q5*СПРАВОЧНИК!$L$13+'ПЛАН ЧИСТ К2'!R5*СПРАВОЧНИК!$M$13+'ПЛАН ЧИСТ К2'!S5*СПРАВОЧНИК!$N$13+'ПЛАН ЧИСТ К2'!T5*СПРАВОЧНИК!$O$13+'ПЛАН ЧИСТ К2'!U5*СПРАВОЧНИК!$L$14+'ПЛАН ЧИСТ К2'!V5*СПРАВОЧНИК!$M$14+'ПЛАН ЧИСТ К2'!W5*СПРАВОЧНИК!$N$14+'ПЛАН ЧИСТ К2'!X5*СПРАВОЧНИК!$L$15+'ПЛАН ЧИСТ К2'!Y5*СПРАВОЧНИК!$M$15+'ПЛАН ЧИСТ К2'!Z5*СПРАВОЧНИК!$N$15</f>
        <v/>
      </c>
      <c r="BA14" s="40">
        <f>('ФАКТ ЧИСТ К2'!B5)*СПРАВОЧНИК!$L$9+('ФАКТ ЧИСТ К2'!C5)*СПРАВОЧНИК!$M$9+('ФАКТ ЧИСТ К2'!D5)*СПРАВОЧНИК!$N$9+('ФАКТ ЧИСТ К2'!E5)*СПРАВОЧНИК!$O$9+('ФАКТ ЧИСТ К2'!F5)*СПРАВОЧНИК!$L$10+('ФАКТ ЧИСТ К2'!G5)*СПРАВОЧНИК!$M$10+('ФАКТ ЧИСТ К2'!H5)*СПРАВОЧНИК!$N$10+('ФАКТ ЧИСТ К2'!I5)*СПРАВОЧНИК!$O$10+('ФАКТ ЧИСТ К2'!J5)*СПРАВОЧНИК!$L$11+('ФАКТ ЧИСТ К2'!K5)*СПРАВОЧНИК!$M$11+('ФАКТ ЧИСТ К2'!L5)*СПРАВОЧНИК!$N$11+('ФАКТ ЧИСТ К2'!M5)*СПРАВОЧНИК!$L$12+('ФАКТ ЧИСТ К2'!N5)*СПРАВОЧНИК!$M$12+('ФАКТ ЧИСТ К2'!O5)*СПРАВОЧНИК!$N$12+('ФАКТ ЧИСТ К2'!P5)*СПРАВОЧНИК!$O$12+('ФАКТ ЧИСТ К2'!Q5)*СПРАВОЧНИК!$L$13+('ФАКТ ЧИСТ К2'!R5)*СПРАВОЧНИК!$M$13+('ФАКТ ЧИСТ К2'!S5)*СПРАВОЧНИК!$N$13+('ФАКТ ЧИСТ К2'!T5)*СПРАВОЧНИК!$O$13+('ФАКТ ЧИСТ К2'!U5)*СПРАВОЧНИК!$L$14+('ФАКТ ЧИСТ К2'!V5)*СПРАВОЧНИК!$M$14+('ФАКТ ЧИСТ К2'!W5)*СПРАВОЧНИК!$N$14+('ФАКТ ЧИСТ К2'!X5)*СПРАВОЧНИК!$L$15+('ФАКТ ЧИСТ К2'!Y5)*СПРАВОЧНИК!$M$15+('ФАКТ ЧИСТ К2'!Z5)*СПРАВОЧНИК!$N$15</f>
        <v/>
      </c>
      <c r="BE14" s="18">
        <f>СПРАВОЧНИК!$B$35</f>
        <v/>
      </c>
      <c r="BF14" s="37">
        <f>СПРАВОЧНИК!$E$9*('ПЛАН ЧЕРН К3'!B5*СПРАВОЧНИК!$H$9+'ПЛАН ЧЕРН К3'!C5*СПРАВОЧНИК!$I$9+'ПЛАН ЧЕРН К3'!D5*СПРАВОЧНИК!$J$9)+СПРАВОЧНИК!$E$10*('ПЛАН ЧЕРН К3'!E5*СПРАВОЧНИК!$H$10+'ПЛАН ЧЕРН К3'!F5*СПРАВОЧНИК!$I$10+'ПЛАН ЧЕРН К3'!G5*СПРАВОЧНИК!$J$10)+СПРАВОЧНИК!$E$11*('ПЛАН ЧЕРН К3'!H5*СПРАВОЧНИК!$H$11+'ПЛАН ЧЕРН К3'!I5*СПРАВОЧНИК!$I$11+'ПЛАН ЧЕРН К3'!J5*СПРАВОЧНИК!$J$11)+СПРАВОЧНИК!$E$12*('ПЛАН ЧЕРН К3'!K5*СПРАВОЧНИК!$H$12+'ПЛАН ЧЕРН К3'!L5*СПРАВОЧНИК!$I$12+'ПЛАН ЧЕРН К3'!M5*СПРАВОЧНИК!$J$12)+СПРАВОЧНИК!$E$13*('ПЛАН ЧЕРН К3'!N5*СПРАВОЧНИК!$H$13+'ПЛАН ЧЕРН К3'!O5*СПРАВОЧНИК!$I$13+'ПЛАН ЧЕРН К3'!P5*СПРАВОЧНИК!$J$13)+СПРАВОЧНИК!$E$14*('ПЛАН ЧЕРН К3'!Q5*СПРАВОЧНИК!$H$14+'ПЛАН ЧЕРН К3'!R5*СПРАВОЧНИК!$I$14+'ПЛАН ЧЕРН К3'!S5*СПРАВОЧНИК!$J$14)+СПРАВОЧНИК!$E$15*('ПЛАН ЧЕРН К3'!T5*СПРАВОЧНИК!$H$15+'ПЛАН ЧЕРН К3'!U5*СПРАВОЧНИК!$I$15+'ПЛАН ЧЕРН К3'!V5*СПРАВОЧНИК!$J$15)+СПРАВОЧНИК!$F$9*('ПЛАН ЧИСТ К3'!B5*СПРАВОЧНИК!$L$9+'ПЛАН ЧИСТ К3'!C5*СПРАВОЧНИК!$M$9+'ПЛАН ЧИСТ К3'!D5*СПРАВОЧНИК!$N$9+'ПЛАН ЧИСТ К3'!E5*СПРАВОЧНИК!$O$9)+СПРАВОЧНИК!$F$10*('ПЛАН ЧИСТ К3'!F5*СПРАВОЧНИК!$L$10+'ПЛАН ЧИСТ К3'!G5*СПРАВОЧНИК!$M$10+'ПЛАН ЧИСТ К3'!H5*СПРАВОЧНИК!$N$10+'ПЛАН ЧИСТ К3'!I5*СПРАВОЧНИК!$O$10)+СПРАВОЧНИК!$F$11*('ПЛАН ЧИСТ К3'!J5*СПРАВОЧНИК!$L$11+'ПЛАН ЧИСТ К3'!K5*СПРАВОЧНИК!$M$11+'ПЛАН ЧИСТ К3'!L5*СПРАВОЧНИК!$N$11)+СПРАВОЧНИК!$F$12*('ПЛАН ЧИСТ К3'!M5*СПРАВОЧНИК!$L$12+'ПЛАН ЧИСТ К3'!N5*СПРАВОЧНИК!$M$12+'ПЛАН ЧИСТ К3'!O5*СПРАВОЧНИК!$N$12+'ПЛАН ЧИСТ К3'!P5*СПРАВОЧНИК!$O$12)+СПРАВОЧНИК!$F$13*('ПЛАН ЧИСТ К3'!Q5*СПРАВОЧНИК!$L$13+'ПЛАН ЧИСТ К3'!R5*СПРАВОЧНИК!$M$13+'ПЛАН ЧИСТ К3'!S5*СПРАВОЧНИК!$N$13+'ПЛАН ЧИСТ К3'!T5*СПРАВОЧНИК!$O$13)+СПРАВОЧНИК!$F$14*('ПЛАН ЧИСТ К3'!U5*СПРАВОЧНИК!$L$14+'ПЛАН ЧИСТ К3'!V5*СПРАВОЧНИК!$M$14+'ПЛАН ЧИСТ К3'!W5*СПРАВОЧНИК!$N$14)+СПРАВОЧНИК!$F$15*('ПЛАН ЧИСТ К3'!X5*СПРАВОЧНИК!$L$15+'ПЛАН ЧИСТ К3'!Y5*СПРАВОЧНИК!$M$15+'ПЛАН ЧИСТ К3'!Z5*СПРАВОЧНИК!$N$15)</f>
        <v/>
      </c>
      <c r="BG14" s="40">
        <f>СПРАВОЧНИК!$E$9*(('ФАКТ ЧЕРН К3'!B5)*СПРАВОЧНИК!$H$9+('ФАКТ ЧЕРН К3'!C5)*СПРАВОЧНИК!$I$9+('ФАКТ ЧЕРН К3'!D5)*СПРАВОЧНИК!$J$9)+СПРАВОЧНИК!$E$10*(('ФАКТ ЧЕРН К3'!E5)*СПРАВОЧНИК!$H$10+('ФАКТ ЧЕРН К3'!F5)*СПРАВОЧНИК!$I$10+('ФАКТ ЧЕРН К3'!G5)*СПРАВОЧНИК!$J$10)+СПРАВОЧНИК!$E$11*(('ФАКТ ЧЕРН К3'!H5)*СПРАВОЧНИК!$H$11+('ФАКТ ЧЕРН К3'!I5)*СПРАВОЧНИК!$I$11+('ФАКТ ЧЕРН К3'!J5)*СПРАВОЧНИК!$J$11)+СПРАВОЧНИК!$E$12*(('ФАКТ ЧЕРН К3'!K5)*СПРАВОЧНИК!$H$12+('ФАКТ ЧЕРН К3'!L5)*СПРАВОЧНИК!$I$12+('ФАКТ ЧЕРН К3'!M5)*СПРАВОЧНИК!$J$12)+СПРАВОЧНИК!$E$13*(('ФАКТ ЧЕРН К3'!N5)*СПРАВОЧНИК!$H$13+('ФАКТ ЧЕРН К3'!O5)*СПРАВОЧНИК!$I$13+('ФАКТ ЧЕРН К3'!P5)*СПРАВОЧНИК!$J$13)+СПРАВОЧНИК!$E$14*(('ФАКТ ЧЕРН К3'!Q5)*СПРАВОЧНИК!$H$14+('ФАКТ ЧЕРН К3'!R5)*СПРАВОЧНИК!$I$14+('ФАКТ ЧЕРН К3'!S5)*СПРАВОЧНИК!$J$14)+СПРАВОЧНИК!$E$15*(('ФАКТ ЧЕРН К3'!T5)*СПРАВОЧНИК!$H$15+('ФАКТ ЧЕРН К3'!U5)*СПРАВОЧНИК!$I$15+('ФАКТ ЧЕРН К3'!V5)*СПРАВОЧНИК!$J$15)+СПРАВОЧНИК!$F$9*(('ФАКТ ЧИСТ К3'!B5)*СПРАВОЧНИК!$L$9+('ФАКТ ЧИСТ К3'!C5)*СПРАВОЧНИК!$M$9+('ФАКТ ЧИСТ К3'!D5)*СПРАВОЧНИК!$N$9+('ФАКТ ЧИСТ К3'!E5)*СПРАВОЧНИК!$O$9)+СПРАВОЧНИК!$F$10*(('ФАКТ ЧИСТ К3'!F5)*СПРАВОЧНИК!$L$10+('ФАКТ ЧИСТ К3'!G5)*СПРАВОЧНИК!$M$10+('ФАКТ ЧИСТ К3'!H5)*СПРАВОЧНИК!$N$10+('ФАКТ ЧИСТ К3'!I5)*СПРАВОЧНИК!$O$10)+СПРАВОЧНИК!$F$11*(('ФАКТ ЧИСТ К3'!J5)*СПРАВОЧНИК!$L$11+('ФАКТ ЧИСТ К3'!K5)*СПРАВОЧНИК!$M$11+('ФАКТ ЧИСТ К3'!L5)*СПРАВОЧНИК!$N$11)+СПРАВОЧНИК!$F$12*(('ФАКТ ЧИСТ К3'!M5)*СПРАВОЧНИК!$L$12+('ФАКТ ЧИСТ К3'!N5)*СПРАВОЧНИК!$M$12+('ФАКТ ЧИСТ К3'!O5)*СПРАВОЧНИК!$N$12+('ФАКТ ЧИСТ К3'!P5)*СПРАВОЧНИК!$O$12)+СПРАВОЧНИК!$F$13*(('ФАКТ ЧИСТ К3'!Q5)*СПРАВОЧНИК!$L$13+('ФАКТ ЧИСТ К3'!R5)*СПРАВОЧНИК!$M$13+('ФАКТ ЧИСТ К3'!S5)*СПРАВОЧНИК!$N$13+('ФАКТ ЧИСТ К3'!T5)*СПРАВОЧНИК!$O$13)+СПРАВОЧНИК!$F$14*(('ФАКТ ЧИСТ К3'!U5)*СПРАВОЧНИК!$L$14+('ФАКТ ЧИСТ К3'!V5)*СПРАВОЧНИК!$M$14+('ФАКТ ЧИСТ К3'!W5)*СПРАВОЧНИК!$N$14)+СПРАВОЧНИК!$F$15*(('ФАКТ ЧИСТ К3'!X5)*СПРАВОЧНИК!$L$15+('ФАКТ ЧИСТ К3'!Y5)*СПРАВОЧНИК!$M$15+('ФАКТ ЧИСТ К3'!Z5)*СПРАВОЧНИК!$N$15)</f>
        <v/>
      </c>
      <c r="BK14" s="18">
        <f>СПРАВОЧНИК!$B$35</f>
        <v/>
      </c>
      <c r="BL14" s="37">
        <f>'ПЛАН ЧЕРН К3'!B5*СПРАВОЧНИК!$H$9+'ПЛАН ЧЕРН К3'!C5*СПРАВОЧНИК!$I$9+'ПЛАН ЧЕРН К3'!D5*СПРАВОЧНИК!$J$9+'ПЛАН ЧЕРН К3'!E5*СПРАВОЧНИК!$H$10+'ПЛАН ЧЕРН К3'!F5*СПРАВОЧНИК!$I$10+'ПЛАН ЧЕРН К3'!G5*СПРАВОЧНИК!$J$10+'ПЛАН ЧЕРН К3'!H5*СПРАВОЧНИК!$H$11+'ПЛАН ЧЕРН К3'!I5*СПРАВОЧНИК!$I$11+'ПЛАН ЧЕРН К3'!J5*СПРАВОЧНИК!$J$11+'ПЛАН ЧЕРН К3'!K5*СПРАВОЧНИК!$H$12+'ПЛАН ЧЕРН К3'!L5*СПРАВОЧНИК!$I$12+'ПЛАН ЧЕРН К3'!M5*СПРАВОЧНИК!$J$12+'ПЛАН ЧЕРН К3'!N5*СПРАВОЧНИК!$H$13+'ПЛАН ЧЕРН К3'!O5*СПРАВОЧНИК!$I$13+'ПЛАН ЧЕРН К3'!P5*СПРАВОЧНИК!$J$13+'ПЛАН ЧЕРН К3'!Q5*СПРАВОЧНИК!$H$14+'ПЛАН ЧЕРН К3'!R5*СПРАВОЧНИК!$I$14+'ПЛАН ЧЕРН К3'!S5*СПРАВОЧНИК!$J$14+'ПЛАН ЧЕРН К3'!T5*СПРАВОЧНИК!$H$15+'ПЛАН ЧЕРН К3'!U5*СПРАВОЧНИК!$I$15+'ПЛАН ЧЕРН К3'!V5*СПРАВОЧНИК!$J$15</f>
        <v/>
      </c>
      <c r="BM14" s="40">
        <f>('ФАКТ ЧЕРН К3'!B5)*СПРАВОЧНИК!$H$9+('ФАКТ ЧЕРН К3'!C5)*СПРАВОЧНИК!$I$9+('ФАКТ ЧЕРН К3'!D5)*СПРАВОЧНИК!$J$9+('ФАКТ ЧЕРН К3'!E5)*СПРАВОЧНИК!$H$10+('ФАКТ ЧЕРН К3'!F5)*СПРАВОЧНИК!$I$10+('ФАКТ ЧЕРН К3'!G5)*СПРАВОЧНИК!$J$10+('ФАКТ ЧЕРН К3'!H5)*СПРАВОЧНИК!$H$11+('ФАКТ ЧЕРН К3'!I5)*СПРАВОЧНИК!$I$11+('ФАКТ ЧЕРН К3'!J5)*СПРАВОЧНИК!$J$11+('ФАКТ ЧЕРН К3'!K5)*СПРАВОЧНИК!$H$12+('ФАКТ ЧЕРН К3'!L5)*СПРАВОЧНИК!$I$12+('ФАКТ ЧЕРН К3'!M5)*СПРАВОЧНИК!$J$12+('ФАКТ ЧЕРН К3'!N5)*СПРАВОЧНИК!$H$13+('ФАКТ ЧЕРН К3'!O5)*СПРАВОЧНИК!$I$13+('ФАКТ ЧЕРН К3'!P5)*СПРАВОЧНИК!$J$13+('ФАКТ ЧЕРН К3'!Q5)*СПРАВОЧНИК!$H$14+('ФАКТ ЧЕРН К3'!R5)*СПРАВОЧНИК!$I$14+('ФАКТ ЧЕРН К3'!S5)*СПРАВОЧНИК!$J$14+('ФАКТ ЧЕРН К3'!T5)*СПРАВОЧНИК!$H$15+('ФАКТ ЧЕРН К3'!U5)*СПРАВОЧНИК!$I$15+('ФАКТ ЧЕРН К3'!V5)*СПРАВОЧНИК!$J$15</f>
        <v/>
      </c>
      <c r="BQ14" s="18">
        <f>СПРАВОЧНИК!$B$35</f>
        <v/>
      </c>
      <c r="BR14" s="37">
        <f>'ПЛАН ЧИСТ К3'!B5*СПРАВОЧНИК!$L$9+'ПЛАН ЧИСТ К3'!C5*СПРАВОЧНИК!$M$9+'ПЛАН ЧИСТ К3'!D5*СПРАВОЧНИК!$N$9+'ПЛАН ЧИСТ К3'!E5*СПРАВОЧНИК!$O$9+'ПЛАН ЧИСТ К3'!F5*СПРАВОЧНИК!$L$10+'ПЛАН ЧИСТ К3'!G5*СПРАВОЧНИК!$M$10+'ПЛАН ЧИСТ К3'!H5*СПРАВОЧНИК!$N$10+'ПЛАН ЧИСТ К3'!I5*СПРАВОЧНИК!$O$10+'ПЛАН ЧИСТ К3'!J5*СПРАВОЧНИК!$L$11+'ПЛАН ЧИСТ К3'!K5*СПРАВОЧНИК!$M$11+'ПЛАН ЧИСТ К3'!L5*СПРАВОЧНИК!$N$11+'ПЛАН ЧИСТ К3'!M5*СПРАВОЧНИК!$L$12+'ПЛАН ЧИСТ К3'!N5*СПРАВОЧНИК!$M$12+'ПЛАН ЧИСТ К3'!O5*СПРАВОЧНИК!$N$12+'ПЛАН ЧИСТ К3'!P5*СПРАВОЧНИК!$O$12+'ПЛАН ЧИСТ К3'!Q5*СПРАВОЧНИК!$L$13+'ПЛАН ЧИСТ К3'!R5*СПРАВОЧНИК!$M$13+'ПЛАН ЧИСТ К3'!S5*СПРАВОЧНИК!$N$13+'ПЛАН ЧИСТ К3'!T5*СПРАВОЧНИК!$O$13+'ПЛАН ЧИСТ К3'!U5*СПРАВОЧНИК!$L$14+'ПЛАН ЧИСТ К3'!V5*СПРАВОЧНИК!$M$14+'ПЛАН ЧИСТ К3'!W5*СПРАВОЧНИК!$N$14+'ПЛАН ЧИСТ К3'!X5*СПРАВОЧНИК!$L$15+'ПЛАН ЧИСТ К3'!Y5*СПРАВОЧНИК!$M$15+'ПЛАН ЧИСТ К3'!Z5*СПРАВОЧНИК!$N$15</f>
        <v/>
      </c>
      <c r="BS14" s="40">
        <f>('ФАКТ ЧИСТ К3'!B5)*СПРАВОЧНИК!$L$9+('ФАКТ ЧИСТ К3'!C5)*СПРАВОЧНИК!$M$9+('ФАКТ ЧИСТ К3'!D5)*СПРАВОЧНИК!$N$9+('ФАКТ ЧИСТ К3'!E5)*СПРАВОЧНИК!$O$9+('ФАКТ ЧИСТ К3'!F5)*СПРАВОЧНИК!$L$10+('ФАКТ ЧИСТ К3'!G5)*СПРАВОЧНИК!$M$10+('ФАКТ ЧИСТ К3'!H5)*СПРАВОЧНИК!$N$10+('ФАКТ ЧИСТ К3'!I5)*СПРАВОЧНИК!$O$10+('ФАКТ ЧИСТ К3'!J5)*СПРАВОЧНИК!$L$11+('ФАКТ ЧИСТ К3'!K5)*СПРАВОЧНИК!$M$11+('ФАКТ ЧИСТ К3'!L5)*СПРАВОЧНИК!$N$11+('ФАКТ ЧИСТ К3'!M5)*СПРАВОЧНИК!$L$12+('ФАКТ ЧИСТ К3'!N5)*СПРАВОЧНИК!$M$12+('ФАКТ ЧИСТ К3'!O5)*СПРАВОЧНИК!$N$12+('ФАКТ ЧИСТ К3'!P5)*СПРАВОЧНИК!$O$12+('ФАКТ ЧИСТ К3'!Q5)*СПРАВОЧНИК!$L$13+('ФАКТ ЧИСТ К3'!R5)*СПРАВОЧНИК!$M$13+('ФАКТ ЧИСТ К3'!S5)*СПРАВОЧНИК!$N$13+('ФАКТ ЧИСТ К3'!T5)*СПРАВОЧНИК!$O$13+('ФАКТ ЧИСТ К3'!U5)*СПРАВОЧНИК!$L$14+('ФАКТ ЧИСТ К3'!V5)*СПРАВОЧНИК!$M$14+('ФАКТ ЧИСТ К3'!W5)*СПРАВОЧНИК!$N$14+('ФАКТ ЧИСТ К3'!X5)*СПРАВОЧНИК!$L$15+('ФАКТ ЧИСТ К3'!Y5)*СПРАВОЧНИК!$M$15+('ФАКТ ЧИСТ К3'!Z5)*СПРАВОЧНИК!$N$15</f>
        <v/>
      </c>
      <c r="BW14" s="18">
        <f>СПРАВОЧНИК!$B$35</f>
        <v/>
      </c>
      <c r="BX14" s="37">
        <f>V14+AN14+BF14</f>
        <v/>
      </c>
      <c r="BY14" s="40">
        <f>W14+AO14+BG14</f>
        <v/>
      </c>
      <c r="CC14" s="18">
        <f>СПРАВОЧНИК!$B$35</f>
        <v/>
      </c>
      <c r="CD14" s="37">
        <f>AB14+AT14+BL14</f>
        <v/>
      </c>
      <c r="CE14" s="40">
        <f>AC14+AU14+BM14</f>
        <v/>
      </c>
      <c r="CI14" s="18">
        <f>СПРАВОЧНИК!$B$35</f>
        <v/>
      </c>
      <c r="CJ14" s="37">
        <f>AH14+AZ14+BR14</f>
        <v/>
      </c>
      <c r="CK14" s="40">
        <f>AI14+BA14+BS14</f>
        <v/>
      </c>
      <c r="CO14" s="18">
        <f>СПРАВОЧНИК!$B$35</f>
        <v/>
      </c>
      <c r="CP14" s="37">
        <f>D14+BX14</f>
        <v/>
      </c>
      <c r="CQ14" s="40">
        <f>E14+BY14</f>
        <v/>
      </c>
      <c r="CU14" s="18">
        <f>СПРАВОЧНИК!$B$35</f>
        <v/>
      </c>
      <c r="CV14" s="37">
        <f>J14+CD14</f>
        <v/>
      </c>
      <c r="CW14" s="40">
        <f>K14+CE14</f>
        <v/>
      </c>
      <c r="DA14" s="18">
        <f>СПРАВОЧНИК!$B$35</f>
        <v/>
      </c>
      <c r="DB14" s="37">
        <f>P14+CJ14</f>
        <v/>
      </c>
      <c r="DC14" s="40">
        <f>Q14+CK14</f>
        <v/>
      </c>
    </row>
    <row r="15">
      <c r="C15" s="18">
        <f>C14+7</f>
        <v/>
      </c>
      <c r="D15" s="37">
        <f>СПРАВОЧНИК!$E$3*('ПЛАН ЧЕРН ПОДЗЕМ'!B6*СПРАВОЧНИК!$H$3+'ПЛАН ЧЕРН ПОДЗЕМ'!C6*СПРАВОЧНИК!$I$3+'ПЛАН ЧЕРН ПОДЗЕМ'!D6*СПРАВОЧНИК!$J$3)+СПРАВОЧНИК!$E$4*('ПЛАН ЧЕРН ПОДЗЕМ'!E6*СПРАВОЧНИК!$H$4+'ПЛАН ЧЕРН ПОДЗЕМ'!F6*СПРАВОЧНИК!$I$4+'ПЛАН ЧЕРН ПОДЗЕМ'!G6*СПРАВОЧНИК!$J$4)+СПРАВОЧНИК!$E$5*('ПЛАН ЧЕРН ПОДЗЕМ'!H6*СПРАВОЧНИК!$H$5+'ПЛАН ЧЕРН ПОДЗЕМ'!I6*СПРАВОЧНИК!$I$5+'ПЛАН ЧЕРН ПОДЗЕМ'!J6*СПРАВОЧНИК!$J$5)+СПРАВОЧНИК!$E$6*('ПЛАН ЧЕРН ПОДЗЕМ'!K6*СПРАВОЧНИК!$H$6+'ПЛАН ЧЕРН ПОДЗЕМ'!L6*СПРАВОЧНИК!$I$6+'ПЛАН ЧЕРН ПОДЗЕМ'!M6*СПРАВОЧНИК!$J$6)+СПРАВОЧНИК!$E$7*('ПЛАН ЧЕРН ПОДЗЕМ'!N6*СПРАВОЧНИК!$H$7+'ПЛАН ЧЕРН ПОДЗЕМ'!O6*СПРАВОЧНИК!$I$7+'ПЛАН ЧЕРН ПОДЗЕМ'!P6*СПРАВОЧНИК!$J$7)+СПРАВОЧНИК!$E$8*('ПЛАН ЧЕРН ПОДЗЕМ'!Q6*СПРАВОЧНИК!$H$8+'ПЛАН ЧЕРН ПОДЗЕМ'!R6*СПРАВОЧНИК!$I$8+'ПЛАН ЧЕРН ПОДЗЕМ'!S6*СПРАВОЧНИК!$J$8)+СПРАВОЧНИК!$F$3*('ПЛАН ЧИСТ ПОДЗЕМ'!B6*СПРАВОЧНИК!$L$3+'ПЛАН ЧИСТ ПОДЗЕМ'!C6*СПРАВОЧНИК!$M$3+'ПЛАН ЧИСТ ПОДЗЕМ'!D6*СПРАВОЧНИК!$N$3+'ПЛАН ЧИСТ ПОДЗЕМ'!E6*СПРАВОЧНИК!$O$3)+СПРАВОЧНИК!$F$4*('ПЛАН ЧИСТ ПОДЗЕМ'!F6*СПРАВОЧНИК!$L$4+'ПЛАН ЧИСТ ПОДЗЕМ'!G6*СПРАВОЧНИК!$M$4+'ПЛАН ЧИСТ ПОДЗЕМ'!H6*СПРАВОЧНИК!$N$4+'ПЛАН ЧИСТ ПОДЗЕМ'!I6*СПРАВОЧНИК!$O$4)+СПРАВОЧНИК!$F$5*('ПЛАН ЧИСТ ПОДЗЕМ'!J6*СПРАВОЧНИК!$L$5+'ПЛАН ЧИСТ ПОДЗЕМ'!K6*СПРАВОЧНИК!$M$5+'ПЛАН ЧИСТ ПОДЗЕМ'!L6*СПРАВОЧНИК!$N$5)+СПРАВОЧНИК!$F$6*('ПЛАН ЧИСТ ПОДЗЕМ'!M6*СПРАВОЧНИК!$L$6+'ПЛАН ЧИСТ ПОДЗЕМ'!N6*СПРАВОЧНИК!$M$6+'ПЛАН ЧИСТ ПОДЗЕМ'!O6*СПРАВОЧНИК!$N$6+'ПЛАН ЧИСТ ПОДЗЕМ'!P6*СПРАВОЧНИК!$O$6)+СПРАВОЧНИК!$F$7*('ПЛАН ЧИСТ ПОДЗЕМ'!Q6*СПРАВОЧНИК!$L$7+'ПЛАН ЧИСТ ПОДЗЕМ'!R6*СПРАВОЧНИК!$M$7+'ПЛАН ЧИСТ ПОДЗЕМ'!S6*СПРАВОЧНИК!$N$7+'ПЛАН ЧИСТ ПОДЗЕМ'!T6*СПРАВОЧНИК!$O$7)+СПРАВОЧНИК!$F$8*('ПЛАН ЧИСТ ПОДЗЕМ'!U6*СПРАВОЧНИК!$L$8+'ПЛАН ЧИСТ ПОДЗЕМ'!V6*СПРАВОЧНИК!$M$8+'ПЛАН ЧИСТ ПОДЗЕМ'!W6*СПРАВОЧНИК!$N$8)</f>
        <v/>
      </c>
      <c r="E15" s="40">
        <f>СПРАВОЧНИК!$E$3*(('ФАКТ ЧЕРН ПОДЗЕМ'!B6)*СПРАВОЧНИК!$H$3+('ФАКТ ЧЕРН ПОДЗЕМ'!C6)*СПРАВОЧНИК!$I$3+('ФАКТ ЧЕРН ПОДЗЕМ'!D6)*СПРАВОЧНИК!$J$3)+СПРАВОЧНИК!$E$4*(('ФАКТ ЧЕРН ПОДЗЕМ'!E6)*СПРАВОЧНИК!$H$4+('ФАКТ ЧЕРН ПОДЗЕМ'!F6)*СПРАВОЧНИК!$I$4+('ФАКТ ЧЕРН ПОДЗЕМ'!G6)*СПРАВОЧНИК!$J$4)+СПРАВОЧНИК!$E$5*(('ФАКТ ЧЕРН ПОДЗЕМ'!H6)*СПРАВОЧНИК!$H$5+('ФАКТ ЧЕРН ПОДЗЕМ'!I6)*СПРАВОЧНИК!$I$5+('ФАКТ ЧЕРН ПОДЗЕМ'!J6)*СПРАВОЧНИК!$J$5)+СПРАВОЧНИК!$E$6*(('ФАКТ ЧЕРН ПОДЗЕМ'!K6)*СПРАВОЧНИК!$H$6+('ФАКТ ЧЕРН ПОДЗЕМ'!L6)*СПРАВОЧНИК!$I$6+('ФАКТ ЧЕРН ПОДЗЕМ'!M6)*СПРАВОЧНИК!$J$6)+СПРАВОЧНИК!$E$7*(('ФАКТ ЧЕРН ПОДЗЕМ'!N6)*СПРАВОЧНИК!$H$7+('ФАКТ ЧЕРН ПОДЗЕМ'!O6)*СПРАВОЧНИК!$I$7+('ФАКТ ЧЕРН ПОДЗЕМ'!P6)*СПРАВОЧНИК!$J$7)+СПРАВОЧНИК!$E$8*(('ФАКТ ЧЕРН ПОДЗЕМ'!Q6)*СПРАВОЧНИК!$H$8+('ФАКТ ЧЕРН ПОДЗЕМ'!R6)*СПРАВОЧНИК!$I$8+('ФАКТ ЧЕРН ПОДЗЕМ'!S6)*СПРАВОЧНИК!$J$8)+СПРАВОЧНИК!$F$3*(('ФАКТ ЧИСТ ПОДЗЕМ'!B6)*СПРАВОЧНИК!$L$3+('ФАКТ ЧИСТ ПОДЗЕМ'!C6)*СПРАВОЧНИК!$M$3+('ФАКТ ЧИСТ ПОДЗЕМ'!D6)*СПРАВОЧНИК!$N$3+('ФАКТ ЧИСТ ПОДЗЕМ'!E6)*СПРАВОЧНИК!$O$3)+СПРАВОЧНИК!$F$4*(('ФАКТ ЧИСТ ПОДЗЕМ'!F6)*СПРАВОЧНИК!$L$4+('ФАКТ ЧИСТ ПОДЗЕМ'!G6)*СПРАВОЧНИК!$M$4+('ФАКТ ЧИСТ ПОДЗЕМ'!H6)*СПРАВОЧНИК!$N$4+('ФАКТ ЧИСТ ПОДЗЕМ'!I6)*СПРАВОЧНИК!$O$4)+СПРАВОЧНИК!$F$5*(('ФАКТ ЧИСТ ПОДЗЕМ'!J6)*СПРАВОЧНИК!$L$5+('ФАКТ ЧИСТ ПОДЗЕМ'!K6)*СПРАВОЧНИК!$M$5+('ФАКТ ЧИСТ ПОДЗЕМ'!L6)*СПРАВОЧНИК!$N$5)+СПРАВОЧНИК!$F$6*(('ФАКТ ЧИСТ ПОДЗЕМ'!M6)*СПРАВОЧНИК!$L$6+('ФАКТ ЧИСТ ПОДЗЕМ'!N6)*СПРАВОЧНИК!$M$6+('ФАКТ ЧИСТ ПОДЗЕМ'!O6)*СПРАВОЧНИК!$N$6+('ФАКТ ЧИСТ ПОДЗЕМ'!P6)*СПРАВОЧНИК!$O$6)+СПРАВОЧНИК!$F$7*(('ФАКТ ЧИСТ ПОДЗЕМ'!Q6)*СПРАВОЧНИК!$L$7+('ФАКТ ЧИСТ ПОДЗЕМ'!R6)*СПРАВОЧНИК!$M$7+('ФАКТ ЧИСТ ПОДЗЕМ'!S6)*СПРАВОЧНИК!$N$7+('ФАКТ ЧИСТ ПОДЗЕМ'!T6)*СПРАВОЧНИК!$O$7)+СПРАВОЧНИК!$F$8*(('ФАКТ ЧИСТ ПОДЗЕМ'!U6)*СПРАВОЧНИК!$L$8+('ФАКТ ЧИСТ ПОДЗЕМ'!V6)*СПРАВОЧНИК!$M$8+('ФАКТ ЧИСТ ПОДЗЕМ'!W6)*СПРАВОЧНИК!$N$8)</f>
        <v/>
      </c>
      <c r="I15" s="18">
        <f>I14+7</f>
        <v/>
      </c>
      <c r="J15" s="37">
        <f>'ПЛАН ЧЕРН ПОДЗЕМ'!B6*СПРАВОЧНИК!$H$3+'ПЛАН ЧЕРН ПОДЗЕМ'!C6*СПРАВОЧНИК!$I$3+'ПЛАН ЧЕРН ПОДЗЕМ'!D6*СПРАВОЧНИК!$J$3+'ПЛАН ЧЕРН ПОДЗЕМ'!E6*СПРАВОЧНИК!$H$4+'ПЛАН ЧЕРН ПОДЗЕМ'!F6*СПРАВОЧНИК!$I$4+'ПЛАН ЧЕРН ПОДЗЕМ'!G6*СПРАВОЧНИК!$J$4+'ПЛАН ЧЕРН ПОДЗЕМ'!H6*СПРАВОЧНИК!$H$5+'ПЛАН ЧЕРН ПОДЗЕМ'!I6*СПРАВОЧНИК!$I$5+'ПЛАН ЧЕРН ПОДЗЕМ'!J6*СПРАВОЧНИК!$J$5+'ПЛАН ЧЕРН ПОДЗЕМ'!K6*СПРАВОЧНИК!$H$6+'ПЛАН ЧЕРН ПОДЗЕМ'!L6*СПРАВОЧНИК!$I$6+'ПЛАН ЧЕРН ПОДЗЕМ'!M6*СПРАВОЧНИК!$J$6+'ПЛАН ЧЕРН ПОДЗЕМ'!N6*СПРАВОЧНИК!$H$7+'ПЛАН ЧЕРН ПОДЗЕМ'!O6*СПРАВОЧНИК!$I$7+'ПЛАН ЧЕРН ПОДЗЕМ'!P6*СПРАВОЧНИК!$J$7+'ПЛАН ЧЕРН ПОДЗЕМ'!Q6*СПРАВОЧНИК!$H$8+'ПЛАН ЧЕРН ПОДЗЕМ'!R6*СПРАВОЧНИК!$I$8+'ПЛАН ЧЕРН ПОДЗЕМ'!S6*СПРАВОЧНИК!$J$8</f>
        <v/>
      </c>
      <c r="K15" s="40">
        <f>('ФАКТ ЧЕРН ПОДЗЕМ'!B6)*СПРАВОЧНИК!$H$3+('ФАКТ ЧЕРН ПОДЗЕМ'!C6)*СПРАВОЧНИК!$I$3+('ФАКТ ЧЕРН ПОДЗЕМ'!D6)*СПРАВОЧНИК!$J$3+('ФАКТ ЧЕРН ПОДЗЕМ'!E6)*СПРАВОЧНИК!$H$4+('ФАКТ ЧЕРН ПОДЗЕМ'!F6)*СПРАВОЧНИК!$I$4+('ФАКТ ЧЕРН ПОДЗЕМ'!G6)*СПРАВОЧНИК!$J$4+('ФАКТ ЧЕРН ПОДЗЕМ'!H6)*СПРАВОЧНИК!$H$5+('ФАКТ ЧЕРН ПОДЗЕМ'!I6)*СПРАВОЧНИК!$I$5+('ФАКТ ЧЕРН ПОДЗЕМ'!J6)*СПРАВОЧНИК!$J$5+('ФАКТ ЧЕРН ПОДЗЕМ'!K6)*СПРАВОЧНИК!$H$6+('ФАКТ ЧЕРН ПОДЗЕМ'!L6)*СПРАВОЧНИК!$I$6+('ФАКТ ЧЕРН ПОДЗЕМ'!M6)*СПРАВОЧНИК!$J$6+('ФАКТ ЧЕРН ПОДЗЕМ'!N6)*СПРАВОЧНИК!$H$7+('ФАКТ ЧЕРН ПОДЗЕМ'!O6)*СПРАВОЧНИК!$I$7+('ФАКТ ЧЕРН ПОДЗЕМ'!P6)*СПРАВОЧНИК!$J$7+('ФАКТ ЧЕРН ПОДЗЕМ'!Q6)*СПРАВОЧНИК!$H$8+('ФАКТ ЧЕРН ПОДЗЕМ'!R6)*СПРАВОЧНИК!$I$8+('ФАКТ ЧЕРН ПОДЗЕМ'!S6)*СПРАВОЧНИК!$J$8</f>
        <v/>
      </c>
      <c r="O15" s="18">
        <f>O14+7</f>
        <v/>
      </c>
      <c r="P15" s="37">
        <f>'ПЛАН ЧИСТ ПОДЗЕМ'!B6*СПРАВОЧНИК!$L$3+'ПЛАН ЧИСТ ПОДЗЕМ'!C6*СПРАВОЧНИК!$M$3+'ПЛАН ЧИСТ ПОДЗЕМ'!D6*СПРАВОЧНИК!$N$3+'ПЛАН ЧИСТ ПОДЗЕМ'!E6*СПРАВОЧНИК!$O$3+'ПЛАН ЧИСТ ПОДЗЕМ'!F6*СПРАВОЧНИК!$L$4+'ПЛАН ЧИСТ ПОДЗЕМ'!G6*СПРАВОЧНИК!$M$4+'ПЛАН ЧИСТ ПОДЗЕМ'!H6*СПРАВОЧНИК!$N$4+'ПЛАН ЧИСТ ПОДЗЕМ'!I6*СПРАВОЧНИК!$O$4+'ПЛАН ЧИСТ ПОДЗЕМ'!J6*СПРАВОЧНИК!$L$5+'ПЛАН ЧИСТ ПОДЗЕМ'!K6*СПРАВОЧНИК!$M$5+'ПЛАН ЧИСТ ПОДЗЕМ'!L6*СПРАВОЧНИК!$N$5+'ПЛАН ЧИСТ ПОДЗЕМ'!M6*СПРАВОЧНИК!$L$6+'ПЛАН ЧИСТ ПОДЗЕМ'!N6*СПРАВОЧНИК!$M$6+'ПЛАН ЧИСТ ПОДЗЕМ'!O6*СПРАВОЧНИК!$N$6+'ПЛАН ЧИСТ ПОДЗЕМ'!P6*СПРАВОЧНИК!$O$6+'ПЛАН ЧИСТ ПОДЗЕМ'!Q6*СПРАВОЧНИК!$L$7+'ПЛАН ЧИСТ ПОДЗЕМ'!R6*СПРАВОЧНИК!$M$7+'ПЛАН ЧИСТ ПОДЗЕМ'!S6*СПРАВОЧНИК!$N$7+'ПЛАН ЧИСТ ПОДЗЕМ'!T6*СПРАВОЧНИК!$O$7+'ПЛАН ЧИСТ ПОДЗЕМ'!U6*СПРАВОЧНИК!$L$8+'ПЛАН ЧИСТ ПОДЗЕМ'!V6*СПРАВОЧНИК!$M$8+'ПЛАН ЧИСТ ПОДЗЕМ'!W6*СПРАВОЧНИК!$N$8</f>
        <v/>
      </c>
      <c r="Q15" s="40">
        <f>('ФАКТ ЧИСТ ПОДЗЕМ'!B6)*СПРАВОЧНИК!$L$3+('ФАКТ ЧИСТ ПОДЗЕМ'!C6)*СПРАВОЧНИК!$M$3+('ФАКТ ЧИСТ ПОДЗЕМ'!D6)*СПРАВОЧНИК!$N$3+('ФАКТ ЧИСТ ПОДЗЕМ'!E6)*СПРАВОЧНИК!$O$3+('ФАКТ ЧИСТ ПОДЗЕМ'!F6)*СПРАВОЧНИК!$L$4+('ФАКТ ЧИСТ ПОДЗЕМ'!G6)*СПРАВОЧНИК!$M$4+('ФАКТ ЧИСТ ПОДЗЕМ'!H6)*СПРАВОЧНИК!$N$4+('ФАКТ ЧИСТ ПОДЗЕМ'!I6)*СПРАВОЧНИК!$O$4+('ФАКТ ЧИСТ ПОДЗЕМ'!J6)*СПРАВОЧНИК!$L$5+('ФАКТ ЧИСТ ПОДЗЕМ'!K6)*СПРАВОЧНИК!$M$5+('ФАКТ ЧИСТ ПОДЗЕМ'!L6)*СПРАВОЧНИК!$N$5+('ФАКТ ЧИСТ ПОДЗЕМ'!M6)*СПРАВОЧНИК!$L$6+('ФАКТ ЧИСТ ПОДЗЕМ'!N6)*СПРАВОЧНИК!$M$6+('ФАКТ ЧИСТ ПОДЗЕМ'!O6)*СПРАВОЧНИК!$N$6+('ФАКТ ЧИСТ ПОДЗЕМ'!P6)*СПРАВОЧНИК!$O$6+('ФАКТ ЧИСТ ПОДЗЕМ'!Q6)*СПРАВОЧНИК!$L$7+('ФАКТ ЧИСТ ПОДЗЕМ'!R6)*СПРАВОЧНИК!$M$7+('ФАКТ ЧИСТ ПОДЗЕМ'!S6)*СПРАВОЧНИК!$N$7+('ФАКТ ЧИСТ ПОДЗЕМ'!T6)*СПРАВОЧНИК!$O$7+('ФАКТ ЧИСТ ПОДЗЕМ'!U6)*СПРАВОЧНИК!$L$8+('ФАКТ ЧИСТ ПОДЗЕМ'!V6)*СПРАВОЧНИК!$M$8+('ФАКТ ЧИСТ ПОДЗЕМ'!W6)*СПРАВОЧНИК!$N$8</f>
        <v/>
      </c>
      <c r="U15" s="18">
        <f>U14+7</f>
        <v/>
      </c>
      <c r="V15" s="37">
        <f>СПРАВОЧНИК!$E$9*('ПЛАН ЧЕРН К1'!B6*СПРАВОЧНИК!$H$9+'ПЛАН ЧЕРН К1'!C6*СПРАВОЧНИК!$I$9+'ПЛАН ЧЕРН К1'!D6*СПРАВОЧНИК!$J$9)+СПРАВОЧНИК!$E$10*('ПЛАН ЧЕРН К1'!E6*СПРАВОЧНИК!$H$10+'ПЛАН ЧЕРН К1'!F6*СПРАВОЧНИК!$I$10+'ПЛАН ЧЕРН К1'!G6*СПРАВОЧНИК!$J$10)+СПРАВОЧНИК!$E$11*('ПЛАН ЧЕРН К1'!H6*СПРАВОЧНИК!$H$11+'ПЛАН ЧЕРН К1'!I6*СПРАВОЧНИК!$I$11+'ПЛАН ЧЕРН К1'!J6*СПРАВОЧНИК!$J$11)+СПРАВОЧНИК!$E$12*('ПЛАН ЧЕРН К1'!K6*СПРАВОЧНИК!$H$12+'ПЛАН ЧЕРН К1'!L6*СПРАВОЧНИК!$I$12+'ПЛАН ЧЕРН К1'!M6*СПРАВОЧНИК!$J$12)+СПРАВОЧНИК!$E$13*('ПЛАН ЧЕРН К1'!N6*СПРАВОЧНИК!$H$13+'ПЛАН ЧЕРН К1'!O6*СПРАВОЧНИК!$I$13+'ПЛАН ЧЕРН К1'!P6*СПРАВОЧНИК!$J$13)+СПРАВОЧНИК!$E$14*('ПЛАН ЧЕРН К1'!Q6*СПРАВОЧНИК!$H$14+'ПЛАН ЧЕРН К1'!R6*СПРАВОЧНИК!$I$14+'ПЛАН ЧЕРН К1'!S6*СПРАВОЧНИК!$J$14)+СПРАВОЧНИК!$E$15*('ПЛАН ЧЕРН К1'!T6*СПРАВОЧНИК!$H$15+'ПЛАН ЧЕРН К1'!U6*СПРАВОЧНИК!$I$15+'ПЛАН ЧЕРН К1'!V6*СПРАВОЧНИК!$J$15)+СПРАВОЧНИК!$F$9*('ПЛАН ЧИСТ К1'!B6*СПРАВОЧНИК!$L$9+'ПЛАН ЧИСТ К1'!C6*СПРАВОЧНИК!$M$9+'ПЛАН ЧИСТ К1'!D6*СПРАВОЧНИК!$N$9+'ПЛАН ЧИСТ К1'!E6*СПРАВОЧНИК!$O$9)+СПРАВОЧНИК!$F$10*('ПЛАН ЧИСТ К1'!F6*СПРАВОЧНИК!$L$10+'ПЛАН ЧИСТ К1'!G6*СПРАВОЧНИК!$M$10+'ПЛАН ЧИСТ К1'!H6*СПРАВОЧНИК!$N$10+'ПЛАН ЧИСТ К1'!I6*СПРАВОЧНИК!$O$10)+СПРАВОЧНИК!$F$11*('ПЛАН ЧИСТ К1'!J6*СПРАВОЧНИК!$L$11+'ПЛАН ЧИСТ К1'!K6*СПРАВОЧНИК!$M$11+'ПЛАН ЧИСТ К1'!L6*СПРАВОЧНИК!$N$11)+СПРАВОЧНИК!$F$12*('ПЛАН ЧИСТ К1'!M6*СПРАВОЧНИК!$L$12+'ПЛАН ЧИСТ К1'!N6*СПРАВОЧНИК!$M$12+'ПЛАН ЧИСТ К1'!O6*СПРАВОЧНИК!$N$12+'ПЛАН ЧИСТ К1'!P6*СПРАВОЧНИК!$O$12)+СПРАВОЧНИК!$F$13*('ПЛАН ЧИСТ К1'!Q6*СПРАВОЧНИК!$L$13+'ПЛАН ЧИСТ К1'!R6*СПРАВОЧНИК!$M$13+'ПЛАН ЧИСТ К1'!S6*СПРАВОЧНИК!$N$13+'ПЛАН ЧИСТ К1'!T6*СПРАВОЧНИК!$O$13)+СПРАВОЧНИК!$F$14*('ПЛАН ЧИСТ К1'!U6*СПРАВОЧНИК!$L$14+'ПЛАН ЧИСТ К1'!V6*СПРАВОЧНИК!$M$14+'ПЛАН ЧИСТ К1'!W6*СПРАВОЧНИК!$N$14)+СПРАВОЧНИК!$F$15*('ПЛАН ЧИСТ К1'!X6*СПРАВОЧНИК!$L$15+'ПЛАН ЧИСТ К1'!Y6*СПРАВОЧНИК!$M$15+'ПЛАН ЧИСТ К1'!Z6*СПРАВОЧНИК!$N$15)</f>
        <v/>
      </c>
      <c r="W15" s="40">
        <f>СПРАВОЧНИК!$E$9*(('ФАКТ ЧЕРН К1'!B6)*СПРАВОЧНИК!$H$9+('ФАКТ ЧЕРН К1'!C6)*СПРАВОЧНИК!$I$9+('ФАКТ ЧЕРН К1'!D6)*СПРАВОЧНИК!$J$9)+СПРАВОЧНИК!$E$10*(('ФАКТ ЧЕРН К1'!E6)*СПРАВОЧНИК!$H$10+('ФАКТ ЧЕРН К1'!F6)*СПРАВОЧНИК!$I$10+('ФАКТ ЧЕРН К1'!G6)*СПРАВОЧНИК!$J$10)+СПРАВОЧНИК!$E$11*(('ФАКТ ЧЕРН К1'!H6)*СПРАВОЧНИК!$H$11+('ФАКТ ЧЕРН К1'!I6)*СПРАВОЧНИК!$I$11+('ФАКТ ЧЕРН К1'!J6)*СПРАВОЧНИК!$J$11)+СПРАВОЧНИК!$E$12*(('ФАКТ ЧЕРН К1'!K6)*СПРАВОЧНИК!$H$12+('ФАКТ ЧЕРН К1'!L6)*СПРАВОЧНИК!$I$12+('ФАКТ ЧЕРН К1'!M6)*СПРАВОЧНИК!$J$12)+СПРАВОЧНИК!$E$13*(('ФАКТ ЧЕРН К1'!N6)*СПРАВОЧНИК!$H$13+('ФАКТ ЧЕРН К1'!O6)*СПРАВОЧНИК!$I$13+('ФАКТ ЧЕРН К1'!P6)*СПРАВОЧНИК!$J$13)+СПРАВОЧНИК!$E$14*(('ФАКТ ЧЕРН К1'!Q6)*СПРАВОЧНИК!$H$14+('ФАКТ ЧЕРН К1'!R6)*СПРАВОЧНИК!$I$14+('ФАКТ ЧЕРН К1'!S6)*СПРАВОЧНИК!$J$14)+СПРАВОЧНИК!$E$15*(('ФАКТ ЧЕРН К1'!T6)*СПРАВОЧНИК!$H$15+('ФАКТ ЧЕРН К1'!U6)*СПРАВОЧНИК!$I$15+('ФАКТ ЧЕРН К1'!V6)*СПРАВОЧНИК!$J$15)+СПРАВОЧНИК!$F$9*(('ФАКТ ЧИСТ К1'!B6)*СПРАВОЧНИК!$L$9+('ФАКТ ЧИСТ К1'!C6)*СПРАВОЧНИК!$M$9+('ФАКТ ЧИСТ К1'!D6)*СПРАВОЧНИК!$N$9+('ФАКТ ЧИСТ К1'!E6)*СПРАВОЧНИК!$O$9)+СПРАВОЧНИК!$F$10*(('ФАКТ ЧИСТ К1'!F6)*СПРАВОЧНИК!$L$10+('ФАКТ ЧИСТ К1'!G6)*СПРАВОЧНИК!$M$10+('ФАКТ ЧИСТ К1'!H6)*СПРАВОЧНИК!$N$10+('ФАКТ ЧИСТ К1'!I6)*СПРАВОЧНИК!$O$10)+СПРАВОЧНИК!$F$11*(('ФАКТ ЧИСТ К1'!J6)*СПРАВОЧНИК!$L$11+('ФАКТ ЧИСТ К1'!K6)*СПРАВОЧНИК!$M$11+('ФАКТ ЧИСТ К1'!L6)*СПРАВОЧНИК!$N$11)+СПРАВОЧНИК!$F$12*(('ФАКТ ЧИСТ К1'!M6)*СПРАВОЧНИК!$L$12+('ФАКТ ЧИСТ К1'!N6)*СПРАВОЧНИК!$M$12+('ФАКТ ЧИСТ К1'!O6)*СПРАВОЧНИК!$N$12+('ФАКТ ЧИСТ К1'!P6)*СПРАВОЧНИК!$O$12)+СПРАВОЧНИК!$F$13*(('ФАКТ ЧИСТ К1'!Q6)*СПРАВОЧНИК!$L$13+('ФАКТ ЧИСТ К1'!R6)*СПРАВОЧНИК!$M$13+('ФАКТ ЧИСТ К1'!S6)*СПРАВОЧНИК!$N$13+('ФАКТ ЧИСТ К1'!T6)*СПРАВОЧНИК!$O$13)+СПРАВОЧНИК!$F$14*(('ФАКТ ЧИСТ К1'!U6)*СПРАВОЧНИК!$L$14+('ФАКТ ЧИСТ К1'!V6)*СПРАВОЧНИК!$M$14+('ФАКТ ЧИСТ К1'!W6)*СПРАВОЧНИК!$N$14)+СПРАВОЧНИК!$F$15*(('ФАКТ ЧИСТ К1'!X6)*СПРАВОЧНИК!$L$15+('ФАКТ ЧИСТ К1'!Y6)*СПРАВОЧНИК!$M$15+('ФАКТ ЧИСТ К1'!Z6)*СПРАВОЧНИК!$N$15)</f>
        <v/>
      </c>
      <c r="AA15" s="18">
        <f>AA14+7</f>
        <v/>
      </c>
      <c r="AB15" s="37">
        <f>'ПЛАН ЧЕРН К1'!B6*СПРАВОЧНИК!$H$9+'ПЛАН ЧЕРН К1'!C6*СПРАВОЧНИК!$I$9+'ПЛАН ЧЕРН К1'!D6*СПРАВОЧНИК!$J$9+'ПЛАН ЧЕРН К1'!E6*СПРАВОЧНИК!$H$10+'ПЛАН ЧЕРН К1'!F6*СПРАВОЧНИК!$I$10+'ПЛАН ЧЕРН К1'!G6*СПРАВОЧНИК!$J$10+'ПЛАН ЧЕРН К1'!H6*СПРАВОЧНИК!$H$11+'ПЛАН ЧЕРН К1'!I6*СПРАВОЧНИК!$I$11+'ПЛАН ЧЕРН К1'!J6*СПРАВОЧНИК!$J$11+'ПЛАН ЧЕРН К1'!K6*СПРАВОЧНИК!$H$12+'ПЛАН ЧЕРН К1'!L6*СПРАВОЧНИК!$I$12+'ПЛАН ЧЕРН К1'!M6*СПРАВОЧНИК!$J$12+'ПЛАН ЧЕРН К1'!N6*СПРАВОЧНИК!$H$13+'ПЛАН ЧЕРН К1'!O6*СПРАВОЧНИК!$I$13+'ПЛАН ЧЕРН К1'!P6*СПРАВОЧНИК!$J$13+'ПЛАН ЧЕРН К1'!Q6*СПРАВОЧНИК!$H$14+'ПЛАН ЧЕРН К1'!R6*СПРАВОЧНИК!$I$14+'ПЛАН ЧЕРН К1'!S6*СПРАВОЧНИК!$J$14+'ПЛАН ЧЕРН К1'!T6*СПРАВОЧНИК!$H$15+'ПЛАН ЧЕРН К1'!U6*СПРАВОЧНИК!$I$15+'ПЛАН ЧЕРН К1'!V6*СПРАВОЧНИК!$J$15</f>
        <v/>
      </c>
      <c r="AC15" s="40">
        <f>('ФАКТ ЧЕРН К1'!B6)*СПРАВОЧНИК!$H$9+('ФАКТ ЧЕРН К1'!C6)*СПРАВОЧНИК!$I$9+('ФАКТ ЧЕРН К1'!D6)*СПРАВОЧНИК!$J$9+('ФАКТ ЧЕРН К1'!E6)*СПРАВОЧНИК!$H$10+('ФАКТ ЧЕРН К1'!F6)*СПРАВОЧНИК!$I$10+('ФАКТ ЧЕРН К1'!G6)*СПРАВОЧНИК!$J$10+('ФАКТ ЧЕРН К1'!H6)*СПРАВОЧНИК!$H$11+('ФАКТ ЧЕРН К1'!I6)*СПРАВОЧНИК!$I$11+('ФАКТ ЧЕРН К1'!J6)*СПРАВОЧНИК!$J$11+('ФАКТ ЧЕРН К1'!K6)*СПРАВОЧНИК!$H$12+('ФАКТ ЧЕРН К1'!L6)*СПРАВОЧНИК!$I$12+('ФАКТ ЧЕРН К1'!M6)*СПРАВОЧНИК!$J$12+('ФАКТ ЧЕРН К1'!N6)*СПРАВОЧНИК!$H$13+('ФАКТ ЧЕРН К1'!O6)*СПРАВОЧНИК!$I$13+('ФАКТ ЧЕРН К1'!P6)*СПРАВОЧНИК!$J$13+('ФАКТ ЧЕРН К1'!Q6)*СПРАВОЧНИК!$H$14+('ФАКТ ЧЕРН К1'!R6)*СПРАВОЧНИК!$I$14+('ФАКТ ЧЕРН К1'!S6)*СПРАВОЧНИК!$J$14+('ФАКТ ЧЕРН К1'!T6)*СПРАВОЧНИК!$H$15+('ФАКТ ЧЕРН К1'!U6)*СПРАВОЧНИК!$I$15+('ФАКТ ЧЕРН К1'!V6)*СПРАВОЧНИК!$J$15</f>
        <v/>
      </c>
      <c r="AG15" s="18">
        <f>AG14+7</f>
        <v/>
      </c>
      <c r="AH15" s="37">
        <f>'ПЛАН ЧИСТ К1'!B6*СПРАВОЧНИК!$L$9+'ПЛАН ЧИСТ К1'!C6*СПРАВОЧНИК!$M$9+'ПЛАН ЧИСТ К1'!D6*СПРАВОЧНИК!$N$9+'ПЛАН ЧИСТ К1'!E6*СПРАВОЧНИК!$O$9+'ПЛАН ЧИСТ К1'!F6*СПРАВОЧНИК!$L$10+'ПЛАН ЧИСТ К1'!G6*СПРАВОЧНИК!$M$10+'ПЛАН ЧИСТ К1'!H6*СПРАВОЧНИК!$N$10+'ПЛАН ЧИСТ К1'!I6*СПРАВОЧНИК!$O$10+'ПЛАН ЧИСТ К1'!J6*СПРАВОЧНИК!$L$11+'ПЛАН ЧИСТ К1'!K6*СПРАВОЧНИК!$M$11+'ПЛАН ЧИСТ К1'!L6*СПРАВОЧНИК!$N$11+'ПЛАН ЧИСТ К1'!M6*СПРАВОЧНИК!$L$12+'ПЛАН ЧИСТ К1'!N6*СПРАВОЧНИК!$M$12+'ПЛАН ЧИСТ К1'!O6*СПРАВОЧНИК!$N$12+'ПЛАН ЧИСТ К1'!P6*СПРАВОЧНИК!$O$12+'ПЛАН ЧИСТ К1'!Q6*СПРАВОЧНИК!$L$13+'ПЛАН ЧИСТ К1'!R6*СПРАВОЧНИК!$M$13+'ПЛАН ЧИСТ К1'!S6*СПРАВОЧНИК!$N$13+'ПЛАН ЧИСТ К1'!T6*СПРАВОЧНИК!$O$13+'ПЛАН ЧИСТ К1'!U6*СПРАВОЧНИК!$L$14+'ПЛАН ЧИСТ К1'!V6*СПРАВОЧНИК!$M$14+'ПЛАН ЧИСТ К1'!W6*СПРАВОЧНИК!$N$14+'ПЛАН ЧИСТ К1'!X6*СПРАВОЧНИК!$L$15+'ПЛАН ЧИСТ К1'!Y6*СПРАВОЧНИК!$M$15+'ПЛАН ЧИСТ К1'!Z6*СПРАВОЧНИК!$N$15</f>
        <v/>
      </c>
      <c r="AI15" s="40">
        <f>('ФАКТ ЧИСТ К1'!B6)*СПРАВОЧНИК!$L$9+('ФАКТ ЧИСТ К1'!C6)*СПРАВОЧНИК!$M$9+('ФАКТ ЧИСТ К1'!D6)*СПРАВОЧНИК!$N$9+('ФАКТ ЧИСТ К1'!E6)*СПРАВОЧНИК!$O$9+('ФАКТ ЧИСТ К1'!F6)*СПРАВОЧНИК!$L$10+('ФАКТ ЧИСТ К1'!G6)*СПРАВОЧНИК!$M$10+('ФАКТ ЧИСТ К1'!H6)*СПРАВОЧНИК!$N$10+('ФАКТ ЧИСТ К1'!I6)*СПРАВОЧНИК!$O$10+('ФАКТ ЧИСТ К1'!J6)*СПРАВОЧНИК!$L$11+('ФАКТ ЧИСТ К1'!K6)*СПРАВОЧНИК!$M$11+('ФАКТ ЧИСТ К1'!L6)*СПРАВОЧНИК!$N$11+('ФАКТ ЧИСТ К1'!M6)*СПРАВОЧНИК!$L$12+('ФАКТ ЧИСТ К1'!N6)*СПРАВОЧНИК!$M$12+('ФАКТ ЧИСТ К1'!O6)*СПРАВОЧНИК!$N$12+('ФАКТ ЧИСТ К1'!P6)*СПРАВОЧНИК!$O$12+('ФАКТ ЧИСТ К1'!Q6)*СПРАВОЧНИК!$L$13+('ФАКТ ЧИСТ К1'!R6)*СПРАВОЧНИК!$M$13+('ФАКТ ЧИСТ К1'!S6)*СПРАВОЧНИК!$N$13+('ФАКТ ЧИСТ К1'!T6)*СПРАВОЧНИК!$O$13+('ФАКТ ЧИСТ К1'!U6)*СПРАВОЧНИК!$L$14+('ФАКТ ЧИСТ К1'!V6)*СПРАВОЧНИК!$M$14+('ФАКТ ЧИСТ К1'!W6)*СПРАВОЧНИК!$N$14+('ФАКТ ЧИСТ К1'!X6)*СПРАВОЧНИК!$L$15+('ФАКТ ЧИСТ К1'!Y6)*СПРАВОЧНИК!$M$15+('ФАКТ ЧИСТ К1'!Z6)*СПРАВОЧНИК!$N$15</f>
        <v/>
      </c>
      <c r="AM15" s="18">
        <f>AM14+7</f>
        <v/>
      </c>
      <c r="AN15" s="37">
        <f>СПРАВОЧНИК!$E$9*('ПЛАН ЧЕРН К2'!B6*СПРАВОЧНИК!$H$9+'ПЛАН ЧЕРН К2'!C6*СПРАВОЧНИК!$I$9+'ПЛАН ЧЕРН К2'!D6*СПРАВОЧНИК!$J$9)+СПРАВОЧНИК!$E$10*('ПЛАН ЧЕРН К2'!E6*СПРАВОЧНИК!$H$10+'ПЛАН ЧЕРН К2'!F6*СПРАВОЧНИК!$I$10+'ПЛАН ЧЕРН К2'!G6*СПРАВОЧНИК!$J$10)+СПРАВОЧНИК!$E$11*('ПЛАН ЧЕРН К2'!H6*СПРАВОЧНИК!$H$11+'ПЛАН ЧЕРН К2'!I6*СПРАВОЧНИК!$I$11+'ПЛАН ЧЕРН К2'!J6*СПРАВОЧНИК!$J$11)+СПРАВОЧНИК!$E$12*('ПЛАН ЧЕРН К2'!K6*СПРАВОЧНИК!$H$12+'ПЛАН ЧЕРН К2'!L6*СПРАВОЧНИК!$I$12+'ПЛАН ЧЕРН К2'!M6*СПРАВОЧНИК!$J$12)+СПРАВОЧНИК!$E$13*('ПЛАН ЧЕРН К2'!N6*СПРАВОЧНИК!$H$13+'ПЛАН ЧЕРН К2'!O6*СПРАВОЧНИК!$I$13+'ПЛАН ЧЕРН К2'!P6*СПРАВОЧНИК!$J$13)+СПРАВОЧНИК!$E$14*('ПЛАН ЧЕРН К2'!Q6*СПРАВОЧНИК!$H$14+'ПЛАН ЧЕРН К2'!R6*СПРАВОЧНИК!$I$14+'ПЛАН ЧЕРН К2'!S6*СПРАВОЧНИК!$J$14)+СПРАВОЧНИК!$E$15*('ПЛАН ЧЕРН К2'!T6*СПРАВОЧНИК!$H$15+'ПЛАН ЧЕРН К2'!U6*СПРАВОЧНИК!$I$15+'ПЛАН ЧЕРН К2'!V6*СПРАВОЧНИК!$J$15)+СПРАВОЧНИК!$F$9*('ПЛАН ЧИСТ К2'!B6*СПРАВОЧНИК!$L$9+'ПЛАН ЧИСТ К2'!C6*СПРАВОЧНИК!$M$9+'ПЛАН ЧИСТ К2'!D6*СПРАВОЧНИК!$N$9+'ПЛАН ЧИСТ К2'!E6*СПРАВОЧНИК!$O$9)+СПРАВОЧНИК!$F$10*('ПЛАН ЧИСТ К2'!F6*СПРАВОЧНИК!$L$10+'ПЛАН ЧИСТ К2'!G6*СПРАВОЧНИК!$M$10+'ПЛАН ЧИСТ К2'!H6*СПРАВОЧНИК!$N$10+'ПЛАН ЧИСТ К2'!I6*СПРАВОЧНИК!$O$10)+СПРАВОЧНИК!$F$11*('ПЛАН ЧИСТ К2'!J6*СПРАВОЧНИК!$L$11+'ПЛАН ЧИСТ К2'!K6*СПРАВОЧНИК!$M$11+'ПЛАН ЧИСТ К2'!L6*СПРАВОЧНИК!$N$11)+СПРАВОЧНИК!$F$12*('ПЛАН ЧИСТ К2'!M6*СПРАВОЧНИК!$L$12+'ПЛАН ЧИСТ К2'!N6*СПРАВОЧНИК!$M$12+'ПЛАН ЧИСТ К2'!O6*СПРАВОЧНИК!$N$12+'ПЛАН ЧИСТ К2'!P6*СПРАВОЧНИК!$O$12)+СПРАВОЧНИК!$F$13*('ПЛАН ЧИСТ К2'!Q6*СПРАВОЧНИК!$L$13+'ПЛАН ЧИСТ К2'!R6*СПРАВОЧНИК!$M$13+'ПЛАН ЧИСТ К2'!S6*СПРАВОЧНИК!$N$13+'ПЛАН ЧИСТ К2'!T6*СПРАВОЧНИК!$O$13)+СПРАВОЧНИК!$F$14*('ПЛАН ЧИСТ К2'!U6*СПРАВОЧНИК!$L$14+'ПЛАН ЧИСТ К2'!V6*СПРАВОЧНИК!$M$14+'ПЛАН ЧИСТ К2'!W6*СПРАВОЧНИК!$N$14)+СПРАВОЧНИК!$F$15*('ПЛАН ЧИСТ К2'!X6*СПРАВОЧНИК!$L$15+'ПЛАН ЧИСТ К2'!Y6*СПРАВОЧНИК!$M$15+'ПЛАН ЧИСТ К2'!Z6*СПРАВОЧНИК!$N$15)</f>
        <v/>
      </c>
      <c r="AO15" s="40">
        <f>СПРАВОЧНИК!$E$9*(('ФАКТ ЧЕРН К2'!B6)*СПРАВОЧНИК!$H$9+('ФАКТ ЧЕРН К2'!C6)*СПРАВОЧНИК!$I$9+('ФАКТ ЧЕРН К2'!D6)*СПРАВОЧНИК!$J$9)+СПРАВОЧНИК!$E$10*(('ФАКТ ЧЕРН К2'!E6)*СПРАВОЧНИК!$H$10+('ФАКТ ЧЕРН К2'!F6)*СПРАВОЧНИК!$I$10+('ФАКТ ЧЕРН К2'!G6)*СПРАВОЧНИК!$J$10)+СПРАВОЧНИК!$E$11*(('ФАКТ ЧЕРН К2'!H6)*СПРАВОЧНИК!$H$11+('ФАКТ ЧЕРН К2'!I6)*СПРАВОЧНИК!$I$11+('ФАКТ ЧЕРН К2'!J6)*СПРАВОЧНИК!$J$11)+СПРАВОЧНИК!$E$12*(('ФАКТ ЧЕРН К2'!K6)*СПРАВОЧНИК!$H$12+('ФАКТ ЧЕРН К2'!L6)*СПРАВОЧНИК!$I$12+('ФАКТ ЧЕРН К2'!M6)*СПРАВОЧНИК!$J$12)+СПРАВОЧНИК!$E$13*(('ФАКТ ЧЕРН К2'!N6)*СПРАВОЧНИК!$H$13+('ФАКТ ЧЕРН К2'!O6)*СПРАВОЧНИК!$I$13+('ФАКТ ЧЕРН К2'!P6)*СПРАВОЧНИК!$J$13)+СПРАВОЧНИК!$E$14*(('ФАКТ ЧЕРН К2'!Q6)*СПРАВОЧНИК!$H$14+('ФАКТ ЧЕРН К2'!R6)*СПРАВОЧНИК!$I$14+('ФАКТ ЧЕРН К2'!S6)*СПРАВОЧНИК!$J$14)+СПРАВОЧНИК!$E$15*(('ФАКТ ЧЕРН К2'!T6)*СПРАВОЧНИК!$H$15+('ФАКТ ЧЕРН К2'!U6)*СПРАВОЧНИК!$I$15+('ФАКТ ЧЕРН К2'!V6)*СПРАВОЧНИК!$J$15)+СПРАВОЧНИК!$F$9*(('ФАКТ ЧИСТ К2'!B6)*СПРАВОЧНИК!$L$9+('ФАКТ ЧИСТ К2'!C6)*СПРАВОЧНИК!$M$9+('ФАКТ ЧИСТ К2'!D6)*СПРАВОЧНИК!$N$9+('ФАКТ ЧИСТ К2'!E6)*СПРАВОЧНИК!$O$9)+СПРАВОЧНИК!$F$10*(('ФАКТ ЧИСТ К2'!F6)*СПРАВОЧНИК!$L$10+('ФАКТ ЧИСТ К2'!G6)*СПРАВОЧНИК!$M$10+('ФАКТ ЧИСТ К2'!H6)*СПРАВОЧНИК!$N$10+('ФАКТ ЧИСТ К2'!I6)*СПРАВОЧНИК!$O$10)+СПРАВОЧНИК!$F$11*(('ФАКТ ЧИСТ К2'!J6)*СПРАВОЧНИК!$L$11+('ФАКТ ЧИСТ К2'!K6)*СПРАВОЧНИК!$M$11+('ФАКТ ЧИСТ К2'!L6)*СПРАВОЧНИК!$N$11)+СПРАВОЧНИК!$F$12*(('ФАКТ ЧИСТ К2'!M6)*СПРАВОЧНИК!$L$12+('ФАКТ ЧИСТ К2'!N6)*СПРАВОЧНИК!$M$12+('ФАКТ ЧИСТ К2'!O6)*СПРАВОЧНИК!$N$12+('ФАКТ ЧИСТ К2'!P6)*СПРАВОЧНИК!$O$12)+СПРАВОЧНИК!$F$13*(('ФАКТ ЧИСТ К2'!Q6)*СПРАВОЧНИК!$L$13+('ФАКТ ЧИСТ К2'!R6)*СПРАВОЧНИК!$M$13+('ФАКТ ЧИСТ К2'!S6)*СПРАВОЧНИК!$N$13+('ФАКТ ЧИСТ К2'!T6)*СПРАВОЧНИК!$O$13)+СПРАВОЧНИК!$F$14*(('ФАКТ ЧИСТ К2'!U6)*СПРАВОЧНИК!$L$14+('ФАКТ ЧИСТ К2'!V6)*СПРАВОЧНИК!$M$14+('ФАКТ ЧИСТ К2'!W6)*СПРАВОЧНИК!$N$14)+СПРАВОЧНИК!$F$15*(('ФАКТ ЧИСТ К2'!X6)*СПРАВОЧНИК!$L$15+('ФАКТ ЧИСТ К2'!Y6)*СПРАВОЧНИК!$M$15+('ФАКТ ЧИСТ К2'!Z6)*СПРАВОЧНИК!$N$15)</f>
        <v/>
      </c>
      <c r="AS15" s="18">
        <f>AS14+7</f>
        <v/>
      </c>
      <c r="AT15" s="37">
        <f>'ПЛАН ЧЕРН К2'!B6*СПРАВОЧНИК!$H$9+'ПЛАН ЧЕРН К2'!C6*СПРАВОЧНИК!$I$9+'ПЛАН ЧЕРН К2'!D6*СПРАВОЧНИК!$J$9+'ПЛАН ЧЕРН К2'!E6*СПРАВОЧНИК!$H$10+'ПЛАН ЧЕРН К2'!F6*СПРАВОЧНИК!$I$10+'ПЛАН ЧЕРН К2'!G6*СПРАВОЧНИК!$J$10+'ПЛАН ЧЕРН К2'!H6*СПРАВОЧНИК!$H$11+'ПЛАН ЧЕРН К2'!I6*СПРАВОЧНИК!$I$11+'ПЛАН ЧЕРН К2'!J6*СПРАВОЧНИК!$J$11+'ПЛАН ЧЕРН К2'!K6*СПРАВОЧНИК!$H$12+'ПЛАН ЧЕРН К2'!L6*СПРАВОЧНИК!$I$12+'ПЛАН ЧЕРН К2'!M6*СПРАВОЧНИК!$J$12+'ПЛАН ЧЕРН К2'!N6*СПРАВОЧНИК!$H$13+'ПЛАН ЧЕРН К2'!O6*СПРАВОЧНИК!$I$13+'ПЛАН ЧЕРН К2'!P6*СПРАВОЧНИК!$J$13+'ПЛАН ЧЕРН К2'!Q6*СПРАВОЧНИК!$H$14+'ПЛАН ЧЕРН К2'!R6*СПРАВОЧНИК!$I$14+'ПЛАН ЧЕРН К2'!S6*СПРАВОЧНИК!$J$14+'ПЛАН ЧЕРН К2'!T6*СПРАВОЧНИК!$H$15+'ПЛАН ЧЕРН К2'!U6*СПРАВОЧНИК!$I$15+'ПЛАН ЧЕРН К2'!V6*СПРАВОЧНИК!$J$15</f>
        <v/>
      </c>
      <c r="AU15" s="40">
        <f>('ФАКТ ЧЕРН К2'!B6)*СПРАВОЧНИК!$H$9+('ФАКТ ЧЕРН К2'!C6)*СПРАВОЧНИК!$I$9+('ФАКТ ЧЕРН К2'!D6)*СПРАВОЧНИК!$J$9+('ФАКТ ЧЕРН К2'!E6)*СПРАВОЧНИК!$H$10+('ФАКТ ЧЕРН К2'!F6)*СПРАВОЧНИК!$I$10+('ФАКТ ЧЕРН К2'!G6)*СПРАВОЧНИК!$J$10+('ФАКТ ЧЕРН К2'!H6)*СПРАВОЧНИК!$H$11+('ФАКТ ЧЕРН К2'!I6)*СПРАВОЧНИК!$I$11+('ФАКТ ЧЕРН К2'!J6)*СПРАВОЧНИК!$J$11+('ФАКТ ЧЕРН К2'!K6)*СПРАВОЧНИК!$H$12+('ФАКТ ЧЕРН К2'!L6)*СПРАВОЧНИК!$I$12+('ФАКТ ЧЕРН К2'!M6)*СПРАВОЧНИК!$J$12+('ФАКТ ЧЕРН К2'!N6)*СПРАВОЧНИК!$H$13+('ФАКТ ЧЕРН К2'!O6)*СПРАВОЧНИК!$I$13+('ФАКТ ЧЕРН К2'!P6)*СПРАВОЧНИК!$J$13+('ФАКТ ЧЕРН К2'!Q6)*СПРАВОЧНИК!$H$14+('ФАКТ ЧЕРН К2'!R6)*СПРАВОЧНИК!$I$14+('ФАКТ ЧЕРН К2'!S6)*СПРАВОЧНИК!$J$14+('ФАКТ ЧЕРН К2'!T6)*СПРАВОЧНИК!$H$15+('ФАКТ ЧЕРН К2'!U6)*СПРАВОЧНИК!$I$15+('ФАКТ ЧЕРН К2'!V6)*СПРАВОЧНИК!$J$15</f>
        <v/>
      </c>
      <c r="AY15" s="18">
        <f>AY14+7</f>
        <v/>
      </c>
      <c r="AZ15" s="37">
        <f>'ПЛАН ЧИСТ К2'!B6*СПРАВОЧНИК!$L$9+'ПЛАН ЧИСТ К2'!C6*СПРАВОЧНИК!$M$9+'ПЛАН ЧИСТ К2'!D6*СПРАВОЧНИК!$N$9+'ПЛАН ЧИСТ К2'!E6*СПРАВОЧНИК!$O$9+'ПЛАН ЧИСТ К2'!F6*СПРАВОЧНИК!$L$10+'ПЛАН ЧИСТ К2'!G6*СПРАВОЧНИК!$M$10+'ПЛАН ЧИСТ К2'!H6*СПРАВОЧНИК!$N$10+'ПЛАН ЧИСТ К2'!I6*СПРАВОЧНИК!$O$10+'ПЛАН ЧИСТ К2'!J6*СПРАВОЧНИК!$L$11+'ПЛАН ЧИСТ К2'!K6*СПРАВОЧНИК!$M$11+'ПЛАН ЧИСТ К2'!L6*СПРАВОЧНИК!$N$11+'ПЛАН ЧИСТ К2'!M6*СПРАВОЧНИК!$L$12+'ПЛАН ЧИСТ К2'!N6*СПРАВОЧНИК!$M$12+'ПЛАН ЧИСТ К2'!O6*СПРАВОЧНИК!$N$12+'ПЛАН ЧИСТ К2'!P6*СПРАВОЧНИК!$O$12+'ПЛАН ЧИСТ К2'!Q6*СПРАВОЧНИК!$L$13+'ПЛАН ЧИСТ К2'!R6*СПРАВОЧНИК!$M$13+'ПЛАН ЧИСТ К2'!S6*СПРАВОЧНИК!$N$13+'ПЛАН ЧИСТ К2'!T6*СПРАВОЧНИК!$O$13+'ПЛАН ЧИСТ К2'!U6*СПРАВОЧНИК!$L$14+'ПЛАН ЧИСТ К2'!V6*СПРАВОЧНИК!$M$14+'ПЛАН ЧИСТ К2'!W6*СПРАВОЧНИК!$N$14+'ПЛАН ЧИСТ К2'!X6*СПРАВОЧНИК!$L$15+'ПЛАН ЧИСТ К2'!Y6*СПРАВОЧНИК!$M$15+'ПЛАН ЧИСТ К2'!Z6*СПРАВОЧНИК!$N$15</f>
        <v/>
      </c>
      <c r="BA15" s="40">
        <f>('ФАКТ ЧИСТ К2'!B6)*СПРАВОЧНИК!$L$9+('ФАКТ ЧИСТ К2'!C6)*СПРАВОЧНИК!$M$9+('ФАКТ ЧИСТ К2'!D6)*СПРАВОЧНИК!$N$9+('ФАКТ ЧИСТ К2'!E6)*СПРАВОЧНИК!$O$9+('ФАКТ ЧИСТ К2'!F6)*СПРАВОЧНИК!$L$10+('ФАКТ ЧИСТ К2'!G6)*СПРАВОЧНИК!$M$10+('ФАКТ ЧИСТ К2'!H6)*СПРАВОЧНИК!$N$10+('ФАКТ ЧИСТ К2'!I6)*СПРАВОЧНИК!$O$10+('ФАКТ ЧИСТ К2'!J6)*СПРАВОЧНИК!$L$11+('ФАКТ ЧИСТ К2'!K6)*СПРАВОЧНИК!$M$11+('ФАКТ ЧИСТ К2'!L6)*СПРАВОЧНИК!$N$11+('ФАКТ ЧИСТ К2'!M6)*СПРАВОЧНИК!$L$12+('ФАКТ ЧИСТ К2'!N6)*СПРАВОЧНИК!$M$12+('ФАКТ ЧИСТ К2'!O6)*СПРАВОЧНИК!$N$12+('ФАКТ ЧИСТ К2'!P6)*СПРАВОЧНИК!$O$12+('ФАКТ ЧИСТ К2'!Q6)*СПРАВОЧНИК!$L$13+('ФАКТ ЧИСТ К2'!R6)*СПРАВОЧНИК!$M$13+('ФАКТ ЧИСТ К2'!S6)*СПРАВОЧНИК!$N$13+('ФАКТ ЧИСТ К2'!T6)*СПРАВОЧНИК!$O$13+('ФАКТ ЧИСТ К2'!U6)*СПРАВОЧНИК!$L$14+('ФАКТ ЧИСТ К2'!V6)*СПРАВОЧНИК!$M$14+('ФАКТ ЧИСТ К2'!W6)*СПРАВОЧНИК!$N$14+('ФАКТ ЧИСТ К2'!X6)*СПРАВОЧНИК!$L$15+('ФАКТ ЧИСТ К2'!Y6)*СПРАВОЧНИК!$M$15+('ФАКТ ЧИСТ К2'!Z6)*СПРАВОЧНИК!$N$15</f>
        <v/>
      </c>
      <c r="BE15" s="18">
        <f>BE14+7</f>
        <v/>
      </c>
      <c r="BF15" s="37">
        <f>СПРАВОЧНИК!$E$9*('ПЛАН ЧЕРН К3'!B6*СПРАВОЧНИК!$H$9+'ПЛАН ЧЕРН К3'!C6*СПРАВОЧНИК!$I$9+'ПЛАН ЧЕРН К3'!D6*СПРАВОЧНИК!$J$9)+СПРАВОЧНИК!$E$10*('ПЛАН ЧЕРН К3'!E6*СПРАВОЧНИК!$H$10+'ПЛАН ЧЕРН К3'!F6*СПРАВОЧНИК!$I$10+'ПЛАН ЧЕРН К3'!G6*СПРАВОЧНИК!$J$10)+СПРАВОЧНИК!$E$11*('ПЛАН ЧЕРН К3'!H6*СПРАВОЧНИК!$H$11+'ПЛАН ЧЕРН К3'!I6*СПРАВОЧНИК!$I$11+'ПЛАН ЧЕРН К3'!J6*СПРАВОЧНИК!$J$11)+СПРАВОЧНИК!$E$12*('ПЛАН ЧЕРН К3'!K6*СПРАВОЧНИК!$H$12+'ПЛАН ЧЕРН К3'!L6*СПРАВОЧНИК!$I$12+'ПЛАН ЧЕРН К3'!M6*СПРАВОЧНИК!$J$12)+СПРАВОЧНИК!$E$13*('ПЛАН ЧЕРН К3'!N6*СПРАВОЧНИК!$H$13+'ПЛАН ЧЕРН К3'!O6*СПРАВОЧНИК!$I$13+'ПЛАН ЧЕРН К3'!P6*СПРАВОЧНИК!$J$13)+СПРАВОЧНИК!$E$14*('ПЛАН ЧЕРН К3'!Q6*СПРАВОЧНИК!$H$14+'ПЛАН ЧЕРН К3'!R6*СПРАВОЧНИК!$I$14+'ПЛАН ЧЕРН К3'!S6*СПРАВОЧНИК!$J$14)+СПРАВОЧНИК!$E$15*('ПЛАН ЧЕРН К3'!T6*СПРАВОЧНИК!$H$15+'ПЛАН ЧЕРН К3'!U6*СПРАВОЧНИК!$I$15+'ПЛАН ЧЕРН К3'!V6*СПРАВОЧНИК!$J$15)+СПРАВОЧНИК!$F$9*('ПЛАН ЧИСТ К3'!B6*СПРАВОЧНИК!$L$9+'ПЛАН ЧИСТ К3'!C6*СПРАВОЧНИК!$M$9+'ПЛАН ЧИСТ К3'!D6*СПРАВОЧНИК!$N$9+'ПЛАН ЧИСТ К3'!E6*СПРАВОЧНИК!$O$9)+СПРАВОЧНИК!$F$10*('ПЛАН ЧИСТ К3'!F6*СПРАВОЧНИК!$L$10+'ПЛАН ЧИСТ К3'!G6*СПРАВОЧНИК!$M$10+'ПЛАН ЧИСТ К3'!H6*СПРАВОЧНИК!$N$10+'ПЛАН ЧИСТ К3'!I6*СПРАВОЧНИК!$O$10)+СПРАВОЧНИК!$F$11*('ПЛАН ЧИСТ К3'!J6*СПРАВОЧНИК!$L$11+'ПЛАН ЧИСТ К3'!K6*СПРАВОЧНИК!$M$11+'ПЛАН ЧИСТ К3'!L6*СПРАВОЧНИК!$N$11)+СПРАВОЧНИК!$F$12*('ПЛАН ЧИСТ К3'!M6*СПРАВОЧНИК!$L$12+'ПЛАН ЧИСТ К3'!N6*СПРАВОЧНИК!$M$12+'ПЛАН ЧИСТ К3'!O6*СПРАВОЧНИК!$N$12+'ПЛАН ЧИСТ К3'!P6*СПРАВОЧНИК!$O$12)+СПРАВОЧНИК!$F$13*('ПЛАН ЧИСТ К3'!Q6*СПРАВОЧНИК!$L$13+'ПЛАН ЧИСТ К3'!R6*СПРАВОЧНИК!$M$13+'ПЛАН ЧИСТ К3'!S6*СПРАВОЧНИК!$N$13+'ПЛАН ЧИСТ К3'!T6*СПРАВОЧНИК!$O$13)+СПРАВОЧНИК!$F$14*('ПЛАН ЧИСТ К3'!U6*СПРАВОЧНИК!$L$14+'ПЛАН ЧИСТ К3'!V6*СПРАВОЧНИК!$M$14+'ПЛАН ЧИСТ К3'!W6*СПРАВОЧНИК!$N$14)+СПРАВОЧНИК!$F$15*('ПЛАН ЧИСТ К3'!X6*СПРАВОЧНИК!$L$15+'ПЛАН ЧИСТ К3'!Y6*СПРАВОЧНИК!$M$15+'ПЛАН ЧИСТ К3'!Z6*СПРАВОЧНИК!$N$15)</f>
        <v/>
      </c>
      <c r="BG15" s="40">
        <f>СПРАВОЧНИК!$E$9*(('ФАКТ ЧЕРН К3'!B6)*СПРАВОЧНИК!$H$9+('ФАКТ ЧЕРН К3'!C6)*СПРАВОЧНИК!$I$9+('ФАКТ ЧЕРН К3'!D6)*СПРАВОЧНИК!$J$9)+СПРАВОЧНИК!$E$10*(('ФАКТ ЧЕРН К3'!E6)*СПРАВОЧНИК!$H$10+('ФАКТ ЧЕРН К3'!F6)*СПРАВОЧНИК!$I$10+('ФАКТ ЧЕРН К3'!G6)*СПРАВОЧНИК!$J$10)+СПРАВОЧНИК!$E$11*(('ФАКТ ЧЕРН К3'!H6)*СПРАВОЧНИК!$H$11+('ФАКТ ЧЕРН К3'!I6)*СПРАВОЧНИК!$I$11+('ФАКТ ЧЕРН К3'!J6)*СПРАВОЧНИК!$J$11)+СПРАВОЧНИК!$E$12*(('ФАКТ ЧЕРН К3'!K6)*СПРАВОЧНИК!$H$12+('ФАКТ ЧЕРН К3'!L6)*СПРАВОЧНИК!$I$12+('ФАКТ ЧЕРН К3'!M6)*СПРАВОЧНИК!$J$12)+СПРАВОЧНИК!$E$13*(('ФАКТ ЧЕРН К3'!N6)*СПРАВОЧНИК!$H$13+('ФАКТ ЧЕРН К3'!O6)*СПРАВОЧНИК!$I$13+('ФАКТ ЧЕРН К3'!P6)*СПРАВОЧНИК!$J$13)+СПРАВОЧНИК!$E$14*(('ФАКТ ЧЕРН К3'!Q6)*СПРАВОЧНИК!$H$14+('ФАКТ ЧЕРН К3'!R6)*СПРАВОЧНИК!$I$14+('ФАКТ ЧЕРН К3'!S6)*СПРАВОЧНИК!$J$14)+СПРАВОЧНИК!$E$15*(('ФАКТ ЧЕРН К3'!T6)*СПРАВОЧНИК!$H$15+('ФАКТ ЧЕРН К3'!U6)*СПРАВОЧНИК!$I$15+('ФАКТ ЧЕРН К3'!V6)*СПРАВОЧНИК!$J$15)+СПРАВОЧНИК!$F$9*(('ФАКТ ЧИСТ К3'!B6)*СПРАВОЧНИК!$L$9+('ФАКТ ЧИСТ К3'!C6)*СПРАВОЧНИК!$M$9+('ФАКТ ЧИСТ К3'!D6)*СПРАВОЧНИК!$N$9+('ФАКТ ЧИСТ К3'!E6)*СПРАВОЧНИК!$O$9)+СПРАВОЧНИК!$F$10*(('ФАКТ ЧИСТ К3'!F6)*СПРАВОЧНИК!$L$10+('ФАКТ ЧИСТ К3'!G6)*СПРАВОЧНИК!$M$10+('ФАКТ ЧИСТ К3'!H6)*СПРАВОЧНИК!$N$10+('ФАКТ ЧИСТ К3'!I6)*СПРАВОЧНИК!$O$10)+СПРАВОЧНИК!$F$11*(('ФАКТ ЧИСТ К3'!J6)*СПРАВОЧНИК!$L$11+('ФАКТ ЧИСТ К3'!K6)*СПРАВОЧНИК!$M$11+('ФАКТ ЧИСТ К3'!L6)*СПРАВОЧНИК!$N$11)+СПРАВОЧНИК!$F$12*(('ФАКТ ЧИСТ К3'!M6)*СПРАВОЧНИК!$L$12+('ФАКТ ЧИСТ К3'!N6)*СПРАВОЧНИК!$M$12+('ФАКТ ЧИСТ К3'!O6)*СПРАВОЧНИК!$N$12+('ФАКТ ЧИСТ К3'!P6)*СПРАВОЧНИК!$O$12)+СПРАВОЧНИК!$F$13*(('ФАКТ ЧИСТ К3'!Q6)*СПРАВОЧНИК!$L$13+('ФАКТ ЧИСТ К3'!R6)*СПРАВОЧНИК!$M$13+('ФАКТ ЧИСТ К3'!S6)*СПРАВОЧНИК!$N$13+('ФАКТ ЧИСТ К3'!T6)*СПРАВОЧНИК!$O$13)+СПРАВОЧНИК!$F$14*(('ФАКТ ЧИСТ К3'!U6)*СПРАВОЧНИК!$L$14+('ФАКТ ЧИСТ К3'!V6)*СПРАВОЧНИК!$M$14+('ФАКТ ЧИСТ К3'!W6)*СПРАВОЧНИК!$N$14)+СПРАВОЧНИК!$F$15*(('ФАКТ ЧИСТ К3'!X6)*СПРАВОЧНИК!$L$15+('ФАКТ ЧИСТ К3'!Y6)*СПРАВОЧНИК!$M$15+('ФАКТ ЧИСТ К3'!Z6)*СПРАВОЧНИК!$N$15)</f>
        <v/>
      </c>
      <c r="BK15" s="18">
        <f>BK14+7</f>
        <v/>
      </c>
      <c r="BL15" s="37">
        <f>'ПЛАН ЧЕРН К3'!B6*СПРАВОЧНИК!$H$9+'ПЛАН ЧЕРН К3'!C6*СПРАВОЧНИК!$I$9+'ПЛАН ЧЕРН К3'!D6*СПРАВОЧНИК!$J$9+'ПЛАН ЧЕРН К3'!E6*СПРАВОЧНИК!$H$10+'ПЛАН ЧЕРН К3'!F6*СПРАВОЧНИК!$I$10+'ПЛАН ЧЕРН К3'!G6*СПРАВОЧНИК!$J$10+'ПЛАН ЧЕРН К3'!H6*СПРАВОЧНИК!$H$11+'ПЛАН ЧЕРН К3'!I6*СПРАВОЧНИК!$I$11+'ПЛАН ЧЕРН К3'!J6*СПРАВОЧНИК!$J$11+'ПЛАН ЧЕРН К3'!K6*СПРАВОЧНИК!$H$12+'ПЛАН ЧЕРН К3'!L6*СПРАВОЧНИК!$I$12+'ПЛАН ЧЕРН К3'!M6*СПРАВОЧНИК!$J$12+'ПЛАН ЧЕРН К3'!N6*СПРАВОЧНИК!$H$13+'ПЛАН ЧЕРН К3'!O6*СПРАВОЧНИК!$I$13+'ПЛАН ЧЕРН К3'!P6*СПРАВОЧНИК!$J$13+'ПЛАН ЧЕРН К3'!Q6*СПРАВОЧНИК!$H$14+'ПЛАН ЧЕРН К3'!R6*СПРАВОЧНИК!$I$14+'ПЛАН ЧЕРН К3'!S6*СПРАВОЧНИК!$J$14+'ПЛАН ЧЕРН К3'!T6*СПРАВОЧНИК!$H$15+'ПЛАН ЧЕРН К3'!U6*СПРАВОЧНИК!$I$15+'ПЛАН ЧЕРН К3'!V6*СПРАВОЧНИК!$J$15</f>
        <v/>
      </c>
      <c r="BM15" s="40">
        <f>('ФАКТ ЧЕРН К3'!B6)*СПРАВОЧНИК!$H$9+('ФАКТ ЧЕРН К3'!C6)*СПРАВОЧНИК!$I$9+('ФАКТ ЧЕРН К3'!D6)*СПРАВОЧНИК!$J$9+('ФАКТ ЧЕРН К3'!E6)*СПРАВОЧНИК!$H$10+('ФАКТ ЧЕРН К3'!F6)*СПРАВОЧНИК!$I$10+('ФАКТ ЧЕРН К3'!G6)*СПРАВОЧНИК!$J$10+('ФАКТ ЧЕРН К3'!H6)*СПРАВОЧНИК!$H$11+('ФАКТ ЧЕРН К3'!I6)*СПРАВОЧНИК!$I$11+('ФАКТ ЧЕРН К3'!J6)*СПРАВОЧНИК!$J$11+('ФАКТ ЧЕРН К3'!K6)*СПРАВОЧНИК!$H$12+('ФАКТ ЧЕРН К3'!L6)*СПРАВОЧНИК!$I$12+('ФАКТ ЧЕРН К3'!M6)*СПРАВОЧНИК!$J$12+('ФАКТ ЧЕРН К3'!N6)*СПРАВОЧНИК!$H$13+('ФАКТ ЧЕРН К3'!O6)*СПРАВОЧНИК!$I$13+('ФАКТ ЧЕРН К3'!P6)*СПРАВОЧНИК!$J$13+('ФАКТ ЧЕРН К3'!Q6)*СПРАВОЧНИК!$H$14+('ФАКТ ЧЕРН К3'!R6)*СПРАВОЧНИК!$I$14+('ФАКТ ЧЕРН К3'!S6)*СПРАВОЧНИК!$J$14+('ФАКТ ЧЕРН К3'!T6)*СПРАВОЧНИК!$H$15+('ФАКТ ЧЕРН К3'!U6)*СПРАВОЧНИК!$I$15+('ФАКТ ЧЕРН К3'!V6)*СПРАВОЧНИК!$J$15</f>
        <v/>
      </c>
      <c r="BQ15" s="18">
        <f>BQ14+7</f>
        <v/>
      </c>
      <c r="BR15" s="37">
        <f>'ПЛАН ЧИСТ К3'!B6*СПРАВОЧНИК!$L$9+'ПЛАН ЧИСТ К3'!C6*СПРАВОЧНИК!$M$9+'ПЛАН ЧИСТ К3'!D6*СПРАВОЧНИК!$N$9+'ПЛАН ЧИСТ К3'!E6*СПРАВОЧНИК!$O$9+'ПЛАН ЧИСТ К3'!F6*СПРАВОЧНИК!$L$10+'ПЛАН ЧИСТ К3'!G6*СПРАВОЧНИК!$M$10+'ПЛАН ЧИСТ К3'!H6*СПРАВОЧНИК!$N$10+'ПЛАН ЧИСТ К3'!I6*СПРАВОЧНИК!$O$10+'ПЛАН ЧИСТ К3'!J6*СПРАВОЧНИК!$L$11+'ПЛАН ЧИСТ К3'!K6*СПРАВОЧНИК!$M$11+'ПЛАН ЧИСТ К3'!L6*СПРАВОЧНИК!$N$11+'ПЛАН ЧИСТ К3'!M6*СПРАВОЧНИК!$L$12+'ПЛАН ЧИСТ К3'!N6*СПРАВОЧНИК!$M$12+'ПЛАН ЧИСТ К3'!O6*СПРАВОЧНИК!$N$12+'ПЛАН ЧИСТ К3'!P6*СПРАВОЧНИК!$O$12+'ПЛАН ЧИСТ К3'!Q6*СПРАВОЧНИК!$L$13+'ПЛАН ЧИСТ К3'!R6*СПРАВОЧНИК!$M$13+'ПЛАН ЧИСТ К3'!S6*СПРАВОЧНИК!$N$13+'ПЛАН ЧИСТ К3'!T6*СПРАВОЧНИК!$O$13+'ПЛАН ЧИСТ К3'!U6*СПРАВОЧНИК!$L$14+'ПЛАН ЧИСТ К3'!V6*СПРАВОЧНИК!$M$14+'ПЛАН ЧИСТ К3'!W6*СПРАВОЧНИК!$N$14+'ПЛАН ЧИСТ К3'!X6*СПРАВОЧНИК!$L$15+'ПЛАН ЧИСТ К3'!Y6*СПРАВОЧНИК!$M$15+'ПЛАН ЧИСТ К3'!Z6*СПРАВОЧНИК!$N$15</f>
        <v/>
      </c>
      <c r="BS15" s="40">
        <f>('ФАКТ ЧИСТ К3'!B6)*СПРАВОЧНИК!$L$9+('ФАКТ ЧИСТ К3'!C6)*СПРАВОЧНИК!$M$9+('ФАКТ ЧИСТ К3'!D6)*СПРАВОЧНИК!$N$9+('ФАКТ ЧИСТ К3'!E6)*СПРАВОЧНИК!$O$9+('ФАКТ ЧИСТ К3'!F6)*СПРАВОЧНИК!$L$10+('ФАКТ ЧИСТ К3'!G6)*СПРАВОЧНИК!$M$10+('ФАКТ ЧИСТ К3'!H6)*СПРАВОЧНИК!$N$10+('ФАКТ ЧИСТ К3'!I6)*СПРАВОЧНИК!$O$10+('ФАКТ ЧИСТ К3'!J6)*СПРАВОЧНИК!$L$11+('ФАКТ ЧИСТ К3'!K6)*СПРАВОЧНИК!$M$11+('ФАКТ ЧИСТ К3'!L6)*СПРАВОЧНИК!$N$11+('ФАКТ ЧИСТ К3'!M6)*СПРАВОЧНИК!$L$12+('ФАКТ ЧИСТ К3'!N6)*СПРАВОЧНИК!$M$12+('ФАКТ ЧИСТ К3'!O6)*СПРАВОЧНИК!$N$12+('ФАКТ ЧИСТ К3'!P6)*СПРАВОЧНИК!$O$12+('ФАКТ ЧИСТ К3'!Q6)*СПРАВОЧНИК!$L$13+('ФАКТ ЧИСТ К3'!R6)*СПРАВОЧНИК!$M$13+('ФАКТ ЧИСТ К3'!S6)*СПРАВОЧНИК!$N$13+('ФАКТ ЧИСТ К3'!T6)*СПРАВОЧНИК!$O$13+('ФАКТ ЧИСТ К3'!U6)*СПРАВОЧНИК!$L$14+('ФАКТ ЧИСТ К3'!V6)*СПРАВОЧНИК!$M$14+('ФАКТ ЧИСТ К3'!W6)*СПРАВОЧНИК!$N$14+('ФАКТ ЧИСТ К3'!X6)*СПРАВОЧНИК!$L$15+('ФАКТ ЧИСТ К3'!Y6)*СПРАВОЧНИК!$M$15+('ФАКТ ЧИСТ К3'!Z6)*СПРАВОЧНИК!$N$15</f>
        <v/>
      </c>
      <c r="BW15" s="18">
        <f>BW14+7</f>
        <v/>
      </c>
      <c r="BX15" s="37">
        <f>V15+AN15+BF15</f>
        <v/>
      </c>
      <c r="BY15" s="40">
        <f>W15+AO15+BG15</f>
        <v/>
      </c>
      <c r="CC15" s="18">
        <f>CC14+7</f>
        <v/>
      </c>
      <c r="CD15" s="37">
        <f>AB15+AT15+BL15</f>
        <v/>
      </c>
      <c r="CE15" s="40">
        <f>AC15+AU15+BM15</f>
        <v/>
      </c>
      <c r="CI15" s="18">
        <f>CI14+7</f>
        <v/>
      </c>
      <c r="CJ15" s="37">
        <f>AH15+AZ15+BR15</f>
        <v/>
      </c>
      <c r="CK15" s="40">
        <f>AI15+BA15+BS15</f>
        <v/>
      </c>
      <c r="CO15" s="18">
        <f>CO14+7</f>
        <v/>
      </c>
      <c r="CP15" s="37">
        <f>D15+BX15</f>
        <v/>
      </c>
      <c r="CQ15" s="40">
        <f>E15+BY15</f>
        <v/>
      </c>
      <c r="CU15" s="18">
        <f>CU14+7</f>
        <v/>
      </c>
      <c r="CV15" s="37">
        <f>J15+CD15</f>
        <v/>
      </c>
      <c r="CW15" s="40">
        <f>K15+CE15</f>
        <v/>
      </c>
      <c r="DA15" s="18">
        <f>DA14+7</f>
        <v/>
      </c>
      <c r="DB15" s="37">
        <f>P15+CJ15</f>
        <v/>
      </c>
      <c r="DC15" s="40">
        <f>Q15+CK15</f>
        <v/>
      </c>
    </row>
    <row r="16">
      <c r="C16" s="18">
        <f>C15+7</f>
        <v/>
      </c>
      <c r="D16" s="37">
        <f>СПРАВОЧНИК!$E$3*('ПЛАН ЧЕРН ПОДЗЕМ'!B7*СПРАВОЧНИК!$H$3+'ПЛАН ЧЕРН ПОДЗЕМ'!C7*СПРАВОЧНИК!$I$3+'ПЛАН ЧЕРН ПОДЗЕМ'!D7*СПРАВОЧНИК!$J$3)+СПРАВОЧНИК!$E$4*('ПЛАН ЧЕРН ПОДЗЕМ'!E7*СПРАВОЧНИК!$H$4+'ПЛАН ЧЕРН ПОДЗЕМ'!F7*СПРАВОЧНИК!$I$4+'ПЛАН ЧЕРН ПОДЗЕМ'!G7*СПРАВОЧНИК!$J$4)+СПРАВОЧНИК!$E$5*('ПЛАН ЧЕРН ПОДЗЕМ'!H7*СПРАВОЧНИК!$H$5+'ПЛАН ЧЕРН ПОДЗЕМ'!I7*СПРАВОЧНИК!$I$5+'ПЛАН ЧЕРН ПОДЗЕМ'!J7*СПРАВОЧНИК!$J$5)+СПРАВОЧНИК!$E$6*('ПЛАН ЧЕРН ПОДЗЕМ'!K7*СПРАВОЧНИК!$H$6+'ПЛАН ЧЕРН ПОДЗЕМ'!L7*СПРАВОЧНИК!$I$6+'ПЛАН ЧЕРН ПОДЗЕМ'!M7*СПРАВОЧНИК!$J$6)+СПРАВОЧНИК!$E$7*('ПЛАН ЧЕРН ПОДЗЕМ'!N7*СПРАВОЧНИК!$H$7+'ПЛАН ЧЕРН ПОДЗЕМ'!O7*СПРАВОЧНИК!$I$7+'ПЛАН ЧЕРН ПОДЗЕМ'!P7*СПРАВОЧНИК!$J$7)+СПРАВОЧНИК!$E$8*('ПЛАН ЧЕРН ПОДЗЕМ'!Q7*СПРАВОЧНИК!$H$8+'ПЛАН ЧЕРН ПОДЗЕМ'!R7*СПРАВОЧНИК!$I$8+'ПЛАН ЧЕРН ПОДЗЕМ'!S7*СПРАВОЧНИК!$J$8)+СПРАВОЧНИК!$F$3*('ПЛАН ЧИСТ ПОДЗЕМ'!B7*СПРАВОЧНИК!$L$3+'ПЛАН ЧИСТ ПОДЗЕМ'!C7*СПРАВОЧНИК!$M$3+'ПЛАН ЧИСТ ПОДЗЕМ'!D7*СПРАВОЧНИК!$N$3+'ПЛАН ЧИСТ ПОДЗЕМ'!E7*СПРАВОЧНИК!$O$3)+СПРАВОЧНИК!$F$4*('ПЛАН ЧИСТ ПОДЗЕМ'!F7*СПРАВОЧНИК!$L$4+'ПЛАН ЧИСТ ПОДЗЕМ'!G7*СПРАВОЧНИК!$M$4+'ПЛАН ЧИСТ ПОДЗЕМ'!H7*СПРАВОЧНИК!$N$4+'ПЛАН ЧИСТ ПОДЗЕМ'!I7*СПРАВОЧНИК!$O$4)+СПРАВОЧНИК!$F$5*('ПЛАН ЧИСТ ПОДЗЕМ'!J7*СПРАВОЧНИК!$L$5+'ПЛАН ЧИСТ ПОДЗЕМ'!K7*СПРАВОЧНИК!$M$5+'ПЛАН ЧИСТ ПОДЗЕМ'!L7*СПРАВОЧНИК!$N$5)+СПРАВОЧНИК!$F$6*('ПЛАН ЧИСТ ПОДЗЕМ'!M7*СПРАВОЧНИК!$L$6+'ПЛАН ЧИСТ ПОДЗЕМ'!N7*СПРАВОЧНИК!$M$6+'ПЛАН ЧИСТ ПОДЗЕМ'!O7*СПРАВОЧНИК!$N$6+'ПЛАН ЧИСТ ПОДЗЕМ'!P7*СПРАВОЧНИК!$O$6)+СПРАВОЧНИК!$F$7*('ПЛАН ЧИСТ ПОДЗЕМ'!Q7*СПРАВОЧНИК!$L$7+'ПЛАН ЧИСТ ПОДЗЕМ'!R7*СПРАВОЧНИК!$M$7+'ПЛАН ЧИСТ ПОДЗЕМ'!S7*СПРАВОЧНИК!$N$7+'ПЛАН ЧИСТ ПОДЗЕМ'!T7*СПРАВОЧНИК!$O$7)+СПРАВОЧНИК!$F$8*('ПЛАН ЧИСТ ПОДЗЕМ'!U7*СПРАВОЧНИК!$L$8+'ПЛАН ЧИСТ ПОДЗЕМ'!V7*СПРАВОЧНИК!$M$8+'ПЛАН ЧИСТ ПОДЗЕМ'!W7*СПРАВОЧНИК!$N$8)</f>
        <v/>
      </c>
      <c r="E16" s="40">
        <f>СПРАВОЧНИК!$E$3*(('ФАКТ ЧЕРН ПОДЗЕМ'!B7)*СПРАВОЧНИК!$H$3+('ФАКТ ЧЕРН ПОДЗЕМ'!C7)*СПРАВОЧНИК!$I$3+('ФАКТ ЧЕРН ПОДЗЕМ'!D7)*СПРАВОЧНИК!$J$3)+СПРАВОЧНИК!$E$4*(('ФАКТ ЧЕРН ПОДЗЕМ'!E7)*СПРАВОЧНИК!$H$4+('ФАКТ ЧЕРН ПОДЗЕМ'!F7)*СПРАВОЧНИК!$I$4+('ФАКТ ЧЕРН ПОДЗЕМ'!G7)*СПРАВОЧНИК!$J$4)+СПРАВОЧНИК!$E$5*(('ФАКТ ЧЕРН ПОДЗЕМ'!H7)*СПРАВОЧНИК!$H$5+('ФАКТ ЧЕРН ПОДЗЕМ'!I7)*СПРАВОЧНИК!$I$5+('ФАКТ ЧЕРН ПОДЗЕМ'!J7)*СПРАВОЧНИК!$J$5)+СПРАВОЧНИК!$E$6*(('ФАКТ ЧЕРН ПОДЗЕМ'!K7)*СПРАВОЧНИК!$H$6+('ФАКТ ЧЕРН ПОДЗЕМ'!L7)*СПРАВОЧНИК!$I$6+('ФАКТ ЧЕРН ПОДЗЕМ'!M7)*СПРАВОЧНИК!$J$6)+СПРАВОЧНИК!$E$7*(('ФАКТ ЧЕРН ПОДЗЕМ'!N7)*СПРАВОЧНИК!$H$7+('ФАКТ ЧЕРН ПОДЗЕМ'!O7)*СПРАВОЧНИК!$I$7+('ФАКТ ЧЕРН ПОДЗЕМ'!P7)*СПРАВОЧНИК!$J$7)+СПРАВОЧНИК!$E$8*(('ФАКТ ЧЕРН ПОДЗЕМ'!Q7)*СПРАВОЧНИК!$H$8+('ФАКТ ЧЕРН ПОДЗЕМ'!R7)*СПРАВОЧНИК!$I$8+('ФАКТ ЧЕРН ПОДЗЕМ'!S7)*СПРАВОЧНИК!$J$8)+СПРАВОЧНИК!$F$3*(('ФАКТ ЧИСТ ПОДЗЕМ'!B7)*СПРАВОЧНИК!$L$3+('ФАКТ ЧИСТ ПОДЗЕМ'!C7)*СПРАВОЧНИК!$M$3+('ФАКТ ЧИСТ ПОДЗЕМ'!D7)*СПРАВОЧНИК!$N$3+('ФАКТ ЧИСТ ПОДЗЕМ'!E7)*СПРАВОЧНИК!$O$3)+СПРАВОЧНИК!$F$4*(('ФАКТ ЧИСТ ПОДЗЕМ'!F7)*СПРАВОЧНИК!$L$4+('ФАКТ ЧИСТ ПОДЗЕМ'!G7)*СПРАВОЧНИК!$M$4+('ФАКТ ЧИСТ ПОДЗЕМ'!H7)*СПРАВОЧНИК!$N$4+('ФАКТ ЧИСТ ПОДЗЕМ'!I7)*СПРАВОЧНИК!$O$4)+СПРАВОЧНИК!$F$5*(('ФАКТ ЧИСТ ПОДЗЕМ'!J7)*СПРАВОЧНИК!$L$5+('ФАКТ ЧИСТ ПОДЗЕМ'!K7)*СПРАВОЧНИК!$M$5+('ФАКТ ЧИСТ ПОДЗЕМ'!L7)*СПРАВОЧНИК!$N$5)+СПРАВОЧНИК!$F$6*(('ФАКТ ЧИСТ ПОДЗЕМ'!M7)*СПРАВОЧНИК!$L$6+('ФАКТ ЧИСТ ПОДЗЕМ'!N7)*СПРАВОЧНИК!$M$6+('ФАКТ ЧИСТ ПОДЗЕМ'!O7)*СПРАВОЧНИК!$N$6+('ФАКТ ЧИСТ ПОДЗЕМ'!P7)*СПРАВОЧНИК!$O$6)+СПРАВОЧНИК!$F$7*(('ФАКТ ЧИСТ ПОДЗЕМ'!Q7)*СПРАВОЧНИК!$L$7+('ФАКТ ЧИСТ ПОДЗЕМ'!R7)*СПРАВОЧНИК!$M$7+('ФАКТ ЧИСТ ПОДЗЕМ'!S7)*СПРАВОЧНИК!$N$7+('ФАКТ ЧИСТ ПОДЗЕМ'!T7)*СПРАВОЧНИК!$O$7)+СПРАВОЧНИК!$F$8*(('ФАКТ ЧИСТ ПОДЗЕМ'!U7)*СПРАВОЧНИК!$L$8+('ФАКТ ЧИСТ ПОДЗЕМ'!V7)*СПРАВОЧНИК!$M$8+('ФАКТ ЧИСТ ПОДЗЕМ'!W7)*СПРАВОЧНИК!$N$8)</f>
        <v/>
      </c>
      <c r="I16" s="18">
        <f>I15+7</f>
        <v/>
      </c>
      <c r="J16" s="37">
        <f>'ПЛАН ЧЕРН ПОДЗЕМ'!B7*СПРАВОЧНИК!$H$3+'ПЛАН ЧЕРН ПОДЗЕМ'!C7*СПРАВОЧНИК!$I$3+'ПЛАН ЧЕРН ПОДЗЕМ'!D7*СПРАВОЧНИК!$J$3+'ПЛАН ЧЕРН ПОДЗЕМ'!E7*СПРАВОЧНИК!$H$4+'ПЛАН ЧЕРН ПОДЗЕМ'!F7*СПРАВОЧНИК!$I$4+'ПЛАН ЧЕРН ПОДЗЕМ'!G7*СПРАВОЧНИК!$J$4+'ПЛАН ЧЕРН ПОДЗЕМ'!H7*СПРАВОЧНИК!$H$5+'ПЛАН ЧЕРН ПОДЗЕМ'!I7*СПРАВОЧНИК!$I$5+'ПЛАН ЧЕРН ПОДЗЕМ'!J7*СПРАВОЧНИК!$J$5+'ПЛАН ЧЕРН ПОДЗЕМ'!K7*СПРАВОЧНИК!$H$6+'ПЛАН ЧЕРН ПОДЗЕМ'!L7*СПРАВОЧНИК!$I$6+'ПЛАН ЧЕРН ПОДЗЕМ'!M7*СПРАВОЧНИК!$J$6+'ПЛАН ЧЕРН ПОДЗЕМ'!N7*СПРАВОЧНИК!$H$7+'ПЛАН ЧЕРН ПОДЗЕМ'!O7*СПРАВОЧНИК!$I$7+'ПЛАН ЧЕРН ПОДЗЕМ'!P7*СПРАВОЧНИК!$J$7+'ПЛАН ЧЕРН ПОДЗЕМ'!Q7*СПРАВОЧНИК!$H$8+'ПЛАН ЧЕРН ПОДЗЕМ'!R7*СПРАВОЧНИК!$I$8+'ПЛАН ЧЕРН ПОДЗЕМ'!S7*СПРАВОЧНИК!$J$8</f>
        <v/>
      </c>
      <c r="K16" s="40">
        <f>('ФАКТ ЧЕРН ПОДЗЕМ'!B7)*СПРАВОЧНИК!$H$3+('ФАКТ ЧЕРН ПОДЗЕМ'!C7)*СПРАВОЧНИК!$I$3+('ФАКТ ЧЕРН ПОДЗЕМ'!D7)*СПРАВОЧНИК!$J$3+('ФАКТ ЧЕРН ПОДЗЕМ'!E7)*СПРАВОЧНИК!$H$4+('ФАКТ ЧЕРН ПОДЗЕМ'!F7)*СПРАВОЧНИК!$I$4+('ФАКТ ЧЕРН ПОДЗЕМ'!G7)*СПРАВОЧНИК!$J$4+('ФАКТ ЧЕРН ПОДЗЕМ'!H7)*СПРАВОЧНИК!$H$5+('ФАКТ ЧЕРН ПОДЗЕМ'!I7)*СПРАВОЧНИК!$I$5+('ФАКТ ЧЕРН ПОДЗЕМ'!J7)*СПРАВОЧНИК!$J$5+('ФАКТ ЧЕРН ПОДЗЕМ'!K7)*СПРАВОЧНИК!$H$6+('ФАКТ ЧЕРН ПОДЗЕМ'!L7)*СПРАВОЧНИК!$I$6+('ФАКТ ЧЕРН ПОДЗЕМ'!M7)*СПРАВОЧНИК!$J$6+('ФАКТ ЧЕРН ПОДЗЕМ'!N7)*СПРАВОЧНИК!$H$7+('ФАКТ ЧЕРН ПОДЗЕМ'!O7)*СПРАВОЧНИК!$I$7+('ФАКТ ЧЕРН ПОДЗЕМ'!P7)*СПРАВОЧНИК!$J$7+('ФАКТ ЧЕРН ПОДЗЕМ'!Q7)*СПРАВОЧНИК!$H$8+('ФАКТ ЧЕРН ПОДЗЕМ'!R7)*СПРАВОЧНИК!$I$8+('ФАКТ ЧЕРН ПОДЗЕМ'!S7)*СПРАВОЧНИК!$J$8</f>
        <v/>
      </c>
      <c r="O16" s="18">
        <f>O15+7</f>
        <v/>
      </c>
      <c r="P16" s="37">
        <f>'ПЛАН ЧИСТ ПОДЗЕМ'!B7*СПРАВОЧНИК!$L$3+'ПЛАН ЧИСТ ПОДЗЕМ'!C7*СПРАВОЧНИК!$M$3+'ПЛАН ЧИСТ ПОДЗЕМ'!D7*СПРАВОЧНИК!$N$3+'ПЛАН ЧИСТ ПОДЗЕМ'!E7*СПРАВОЧНИК!$O$3+'ПЛАН ЧИСТ ПОДЗЕМ'!F7*СПРАВОЧНИК!$L$4+'ПЛАН ЧИСТ ПОДЗЕМ'!G7*СПРАВОЧНИК!$M$4+'ПЛАН ЧИСТ ПОДЗЕМ'!H7*СПРАВОЧНИК!$N$4+'ПЛАН ЧИСТ ПОДЗЕМ'!I7*СПРАВОЧНИК!$O$4+'ПЛАН ЧИСТ ПОДЗЕМ'!J7*СПРАВОЧНИК!$L$5+'ПЛАН ЧИСТ ПОДЗЕМ'!K7*СПРАВОЧНИК!$M$5+'ПЛАН ЧИСТ ПОДЗЕМ'!L7*СПРАВОЧНИК!$N$5+'ПЛАН ЧИСТ ПОДЗЕМ'!M7*СПРАВОЧНИК!$L$6+'ПЛАН ЧИСТ ПОДЗЕМ'!N7*СПРАВОЧНИК!$M$6+'ПЛАН ЧИСТ ПОДЗЕМ'!O7*СПРАВОЧНИК!$N$6+'ПЛАН ЧИСТ ПОДЗЕМ'!P7*СПРАВОЧНИК!$O$6+'ПЛАН ЧИСТ ПОДЗЕМ'!Q7*СПРАВОЧНИК!$L$7+'ПЛАН ЧИСТ ПОДЗЕМ'!R7*СПРАВОЧНИК!$M$7+'ПЛАН ЧИСТ ПОДЗЕМ'!S7*СПРАВОЧНИК!$N$7+'ПЛАН ЧИСТ ПОДЗЕМ'!T7*СПРАВОЧНИК!$O$7+'ПЛАН ЧИСТ ПОДЗЕМ'!U7*СПРАВОЧНИК!$L$8+'ПЛАН ЧИСТ ПОДЗЕМ'!V7*СПРАВОЧНИК!$M$8+'ПЛАН ЧИСТ ПОДЗЕМ'!W7*СПРАВОЧНИК!$N$8</f>
        <v/>
      </c>
      <c r="Q16" s="40">
        <f>('ФАКТ ЧИСТ ПОДЗЕМ'!B7)*СПРАВОЧНИК!$L$3+('ФАКТ ЧИСТ ПОДЗЕМ'!C7)*СПРАВОЧНИК!$M$3+('ФАКТ ЧИСТ ПОДЗЕМ'!D7)*СПРАВОЧНИК!$N$3+('ФАКТ ЧИСТ ПОДЗЕМ'!E7)*СПРАВОЧНИК!$O$3+('ФАКТ ЧИСТ ПОДЗЕМ'!F7)*СПРАВОЧНИК!$L$4+('ФАКТ ЧИСТ ПОДЗЕМ'!G7)*СПРАВОЧНИК!$M$4+('ФАКТ ЧИСТ ПОДЗЕМ'!H7)*СПРАВОЧНИК!$N$4+('ФАКТ ЧИСТ ПОДЗЕМ'!I7)*СПРАВОЧНИК!$O$4+('ФАКТ ЧИСТ ПОДЗЕМ'!J7)*СПРАВОЧНИК!$L$5+('ФАКТ ЧИСТ ПОДЗЕМ'!K7)*СПРАВОЧНИК!$M$5+('ФАКТ ЧИСТ ПОДЗЕМ'!L7)*СПРАВОЧНИК!$N$5+('ФАКТ ЧИСТ ПОДЗЕМ'!M7)*СПРАВОЧНИК!$L$6+('ФАКТ ЧИСТ ПОДЗЕМ'!N7)*СПРАВОЧНИК!$M$6+('ФАКТ ЧИСТ ПОДЗЕМ'!O7)*СПРАВОЧНИК!$N$6+('ФАКТ ЧИСТ ПОДЗЕМ'!P7)*СПРАВОЧНИК!$O$6+('ФАКТ ЧИСТ ПОДЗЕМ'!Q7)*СПРАВОЧНИК!$L$7+('ФАКТ ЧИСТ ПОДЗЕМ'!R7)*СПРАВОЧНИК!$M$7+('ФАКТ ЧИСТ ПОДЗЕМ'!S7)*СПРАВОЧНИК!$N$7+('ФАКТ ЧИСТ ПОДЗЕМ'!T7)*СПРАВОЧНИК!$O$7+('ФАКТ ЧИСТ ПОДЗЕМ'!U7)*СПРАВОЧНИК!$L$8+('ФАКТ ЧИСТ ПОДЗЕМ'!V7)*СПРАВОЧНИК!$M$8+('ФАКТ ЧИСТ ПОДЗЕМ'!W7)*СПРАВОЧНИК!$N$8</f>
        <v/>
      </c>
      <c r="U16" s="18">
        <f>U15+7</f>
        <v/>
      </c>
      <c r="V16" s="37">
        <f>СПРАВОЧНИК!$E$9*('ПЛАН ЧЕРН К1'!B7*СПРАВОЧНИК!$H$9+'ПЛАН ЧЕРН К1'!C7*СПРАВОЧНИК!$I$9+'ПЛАН ЧЕРН К1'!D7*СПРАВОЧНИК!$J$9)+СПРАВОЧНИК!$E$10*('ПЛАН ЧЕРН К1'!E7*СПРАВОЧНИК!$H$10+'ПЛАН ЧЕРН К1'!F7*СПРАВОЧНИК!$I$10+'ПЛАН ЧЕРН К1'!G7*СПРАВОЧНИК!$J$10)+СПРАВОЧНИК!$E$11*('ПЛАН ЧЕРН К1'!H7*СПРАВОЧНИК!$H$11+'ПЛАН ЧЕРН К1'!I7*СПРАВОЧНИК!$I$11+'ПЛАН ЧЕРН К1'!J7*СПРАВОЧНИК!$J$11)+СПРАВОЧНИК!$E$12*('ПЛАН ЧЕРН К1'!K7*СПРАВОЧНИК!$H$12+'ПЛАН ЧЕРН К1'!L7*СПРАВОЧНИК!$I$12+'ПЛАН ЧЕРН К1'!M7*СПРАВОЧНИК!$J$12)+СПРАВОЧНИК!$E$13*('ПЛАН ЧЕРН К1'!N7*СПРАВОЧНИК!$H$13+'ПЛАН ЧЕРН К1'!O7*СПРАВОЧНИК!$I$13+'ПЛАН ЧЕРН К1'!P7*СПРАВОЧНИК!$J$13)+СПРАВОЧНИК!$E$14*('ПЛАН ЧЕРН К1'!Q7*СПРАВОЧНИК!$H$14+'ПЛАН ЧЕРН К1'!R7*СПРАВОЧНИК!$I$14+'ПЛАН ЧЕРН К1'!S7*СПРАВОЧНИК!$J$14)+СПРАВОЧНИК!$E$15*('ПЛАН ЧЕРН К1'!T7*СПРАВОЧНИК!$H$15+'ПЛАН ЧЕРН К1'!U7*СПРАВОЧНИК!$I$15+'ПЛАН ЧЕРН К1'!V7*СПРАВОЧНИК!$J$15)+СПРАВОЧНИК!$F$9*('ПЛАН ЧИСТ К1'!B7*СПРАВОЧНИК!$L$9+'ПЛАН ЧИСТ К1'!C7*СПРАВОЧНИК!$M$9+'ПЛАН ЧИСТ К1'!D7*СПРАВОЧНИК!$N$9+'ПЛАН ЧИСТ К1'!E7*СПРАВОЧНИК!$O$9)+СПРАВОЧНИК!$F$10*('ПЛАН ЧИСТ К1'!F7*СПРАВОЧНИК!$L$10+'ПЛАН ЧИСТ К1'!G7*СПРАВОЧНИК!$M$10+'ПЛАН ЧИСТ К1'!H7*СПРАВОЧНИК!$N$10+'ПЛАН ЧИСТ К1'!I7*СПРАВОЧНИК!$O$10)+СПРАВОЧНИК!$F$11*('ПЛАН ЧИСТ К1'!J7*СПРАВОЧНИК!$L$11+'ПЛАН ЧИСТ К1'!K7*СПРАВОЧНИК!$M$11+'ПЛАН ЧИСТ К1'!L7*СПРАВОЧНИК!$N$11)+СПРАВОЧНИК!$F$12*('ПЛАН ЧИСТ К1'!M7*СПРАВОЧНИК!$L$12+'ПЛАН ЧИСТ К1'!N7*СПРАВОЧНИК!$M$12+'ПЛАН ЧИСТ К1'!O7*СПРАВОЧНИК!$N$12+'ПЛАН ЧИСТ К1'!P7*СПРАВОЧНИК!$O$12)+СПРАВОЧНИК!$F$13*('ПЛАН ЧИСТ К1'!Q7*СПРАВОЧНИК!$L$13+'ПЛАН ЧИСТ К1'!R7*СПРАВОЧНИК!$M$13+'ПЛАН ЧИСТ К1'!S7*СПРАВОЧНИК!$N$13+'ПЛАН ЧИСТ К1'!T7*СПРАВОЧНИК!$O$13)+СПРАВОЧНИК!$F$14*('ПЛАН ЧИСТ К1'!U7*СПРАВОЧНИК!$L$14+'ПЛАН ЧИСТ К1'!V7*СПРАВОЧНИК!$M$14+'ПЛАН ЧИСТ К1'!W7*СПРАВОЧНИК!$N$14)+СПРАВОЧНИК!$F$15*('ПЛАН ЧИСТ К1'!X7*СПРАВОЧНИК!$L$15+'ПЛАН ЧИСТ К1'!Y7*СПРАВОЧНИК!$M$15+'ПЛАН ЧИСТ К1'!Z7*СПРАВОЧНИК!$N$15)</f>
        <v/>
      </c>
      <c r="W16" s="40">
        <f>СПРАВОЧНИК!$E$9*(('ФАКТ ЧЕРН К1'!B7)*СПРАВОЧНИК!$H$9+('ФАКТ ЧЕРН К1'!C7)*СПРАВОЧНИК!$I$9+('ФАКТ ЧЕРН К1'!D7)*СПРАВОЧНИК!$J$9)+СПРАВОЧНИК!$E$10*(('ФАКТ ЧЕРН К1'!E7)*СПРАВОЧНИК!$H$10+('ФАКТ ЧЕРН К1'!F7)*СПРАВОЧНИК!$I$10+('ФАКТ ЧЕРН К1'!G7)*СПРАВОЧНИК!$J$10)+СПРАВОЧНИК!$E$11*(('ФАКТ ЧЕРН К1'!H7)*СПРАВОЧНИК!$H$11+('ФАКТ ЧЕРН К1'!I7)*СПРАВОЧНИК!$I$11+('ФАКТ ЧЕРН К1'!J7)*СПРАВОЧНИК!$J$11)+СПРАВОЧНИК!$E$12*(('ФАКТ ЧЕРН К1'!K7)*СПРАВОЧНИК!$H$12+('ФАКТ ЧЕРН К1'!L7)*СПРАВОЧНИК!$I$12+('ФАКТ ЧЕРН К1'!M7)*СПРАВОЧНИК!$J$12)+СПРАВОЧНИК!$E$13*(('ФАКТ ЧЕРН К1'!N7)*СПРАВОЧНИК!$H$13+('ФАКТ ЧЕРН К1'!O7)*СПРАВОЧНИК!$I$13+('ФАКТ ЧЕРН К1'!P7)*СПРАВОЧНИК!$J$13)+СПРАВОЧНИК!$E$14*(('ФАКТ ЧЕРН К1'!Q7)*СПРАВОЧНИК!$H$14+('ФАКТ ЧЕРН К1'!R7)*СПРАВОЧНИК!$I$14+('ФАКТ ЧЕРН К1'!S7)*СПРАВОЧНИК!$J$14)+СПРАВОЧНИК!$E$15*(('ФАКТ ЧЕРН К1'!T7)*СПРАВОЧНИК!$H$15+('ФАКТ ЧЕРН К1'!U7)*СПРАВОЧНИК!$I$15+('ФАКТ ЧЕРН К1'!V7)*СПРАВОЧНИК!$J$15)+СПРАВОЧНИК!$F$9*(('ФАКТ ЧИСТ К1'!B7)*СПРАВОЧНИК!$L$9+('ФАКТ ЧИСТ К1'!C7)*СПРАВОЧНИК!$M$9+('ФАКТ ЧИСТ К1'!D7)*СПРАВОЧНИК!$N$9+('ФАКТ ЧИСТ К1'!E7)*СПРАВОЧНИК!$O$9)+СПРАВОЧНИК!$F$10*(('ФАКТ ЧИСТ К1'!F7)*СПРАВОЧНИК!$L$10+('ФАКТ ЧИСТ К1'!G7)*СПРАВОЧНИК!$M$10+('ФАКТ ЧИСТ К1'!H7)*СПРАВОЧНИК!$N$10+('ФАКТ ЧИСТ К1'!I7)*СПРАВОЧНИК!$O$10)+СПРАВОЧНИК!$F$11*(('ФАКТ ЧИСТ К1'!J7)*СПРАВОЧНИК!$L$11+('ФАКТ ЧИСТ К1'!K7)*СПРАВОЧНИК!$M$11+('ФАКТ ЧИСТ К1'!L7)*СПРАВОЧНИК!$N$11)+СПРАВОЧНИК!$F$12*(('ФАКТ ЧИСТ К1'!M7)*СПРАВОЧНИК!$L$12+('ФАКТ ЧИСТ К1'!N7)*СПРАВОЧНИК!$M$12+('ФАКТ ЧИСТ К1'!O7)*СПРАВОЧНИК!$N$12+('ФАКТ ЧИСТ К1'!P7)*СПРАВОЧНИК!$O$12)+СПРАВОЧНИК!$F$13*(('ФАКТ ЧИСТ К1'!Q7)*СПРАВОЧНИК!$L$13+('ФАКТ ЧИСТ К1'!R7)*СПРАВОЧНИК!$M$13+('ФАКТ ЧИСТ К1'!S7)*СПРАВОЧНИК!$N$13+('ФАКТ ЧИСТ К1'!T7)*СПРАВОЧНИК!$O$13)+СПРАВОЧНИК!$F$14*(('ФАКТ ЧИСТ К1'!U7)*СПРАВОЧНИК!$L$14+('ФАКТ ЧИСТ К1'!V7)*СПРАВОЧНИК!$M$14+('ФАКТ ЧИСТ К1'!W7)*СПРАВОЧНИК!$N$14)+СПРАВОЧНИК!$F$15*(('ФАКТ ЧИСТ К1'!X7)*СПРАВОЧНИК!$L$15+('ФАКТ ЧИСТ К1'!Y7)*СПРАВОЧНИК!$M$15+('ФАКТ ЧИСТ К1'!Z7)*СПРАВОЧНИК!$N$15)</f>
        <v/>
      </c>
      <c r="AA16" s="18">
        <f>AA15+7</f>
        <v/>
      </c>
      <c r="AB16" s="37">
        <f>'ПЛАН ЧЕРН К1'!B7*СПРАВОЧНИК!$H$9+'ПЛАН ЧЕРН К1'!C7*СПРАВОЧНИК!$I$9+'ПЛАН ЧЕРН К1'!D7*СПРАВОЧНИК!$J$9+'ПЛАН ЧЕРН К1'!E7*СПРАВОЧНИК!$H$10+'ПЛАН ЧЕРН К1'!F7*СПРАВОЧНИК!$I$10+'ПЛАН ЧЕРН К1'!G7*СПРАВОЧНИК!$J$10+'ПЛАН ЧЕРН К1'!H7*СПРАВОЧНИК!$H$11+'ПЛАН ЧЕРН К1'!I7*СПРАВОЧНИК!$I$11+'ПЛАН ЧЕРН К1'!J7*СПРАВОЧНИК!$J$11+'ПЛАН ЧЕРН К1'!K7*СПРАВОЧНИК!$H$12+'ПЛАН ЧЕРН К1'!L7*СПРАВОЧНИК!$I$12+'ПЛАН ЧЕРН К1'!M7*СПРАВОЧНИК!$J$12+'ПЛАН ЧЕРН К1'!N7*СПРАВОЧНИК!$H$13+'ПЛАН ЧЕРН К1'!O7*СПРАВОЧНИК!$I$13+'ПЛАН ЧЕРН К1'!P7*СПРАВОЧНИК!$J$13+'ПЛАН ЧЕРН К1'!Q7*СПРАВОЧНИК!$H$14+'ПЛАН ЧЕРН К1'!R7*СПРАВОЧНИК!$I$14+'ПЛАН ЧЕРН К1'!S7*СПРАВОЧНИК!$J$14+'ПЛАН ЧЕРН К1'!T7*СПРАВОЧНИК!$H$15+'ПЛАН ЧЕРН К1'!U7*СПРАВОЧНИК!$I$15+'ПЛАН ЧЕРН К1'!V7*СПРАВОЧНИК!$J$15</f>
        <v/>
      </c>
      <c r="AC16" s="40">
        <f>('ФАКТ ЧЕРН К1'!B7)*СПРАВОЧНИК!$H$9+('ФАКТ ЧЕРН К1'!C7)*СПРАВОЧНИК!$I$9+('ФАКТ ЧЕРН К1'!D7)*СПРАВОЧНИК!$J$9+('ФАКТ ЧЕРН К1'!E7)*СПРАВОЧНИК!$H$10+('ФАКТ ЧЕРН К1'!F7)*СПРАВОЧНИК!$I$10+('ФАКТ ЧЕРН К1'!G7)*СПРАВОЧНИК!$J$10+('ФАКТ ЧЕРН К1'!H7)*СПРАВОЧНИК!$H$11+('ФАКТ ЧЕРН К1'!I7)*СПРАВОЧНИК!$I$11+('ФАКТ ЧЕРН К1'!J7)*СПРАВОЧНИК!$J$11+('ФАКТ ЧЕРН К1'!K7)*СПРАВОЧНИК!$H$12+('ФАКТ ЧЕРН К1'!L7)*СПРАВОЧНИК!$I$12+('ФАКТ ЧЕРН К1'!M7)*СПРАВОЧНИК!$J$12+('ФАКТ ЧЕРН К1'!N7)*СПРАВОЧНИК!$H$13+('ФАКТ ЧЕРН К1'!O7)*СПРАВОЧНИК!$I$13+('ФАКТ ЧЕРН К1'!P7)*СПРАВОЧНИК!$J$13+('ФАКТ ЧЕРН К1'!Q7)*СПРАВОЧНИК!$H$14+('ФАКТ ЧЕРН К1'!R7)*СПРАВОЧНИК!$I$14+('ФАКТ ЧЕРН К1'!S7)*СПРАВОЧНИК!$J$14+('ФАКТ ЧЕРН К1'!T7)*СПРАВОЧНИК!$H$15+('ФАКТ ЧЕРН К1'!U7)*СПРАВОЧНИК!$I$15+('ФАКТ ЧЕРН К1'!V7)*СПРАВОЧНИК!$J$15</f>
        <v/>
      </c>
      <c r="AG16" s="18">
        <f>AG15+7</f>
        <v/>
      </c>
      <c r="AH16" s="37">
        <f>'ПЛАН ЧИСТ К1'!B7*СПРАВОЧНИК!$L$9+'ПЛАН ЧИСТ К1'!C7*СПРАВОЧНИК!$M$9+'ПЛАН ЧИСТ К1'!D7*СПРАВОЧНИК!$N$9+'ПЛАН ЧИСТ К1'!E7*СПРАВОЧНИК!$O$9+'ПЛАН ЧИСТ К1'!F7*СПРАВОЧНИК!$L$10+'ПЛАН ЧИСТ К1'!G7*СПРАВОЧНИК!$M$10+'ПЛАН ЧИСТ К1'!H7*СПРАВОЧНИК!$N$10+'ПЛАН ЧИСТ К1'!I7*СПРАВОЧНИК!$O$10+'ПЛАН ЧИСТ К1'!J7*СПРАВОЧНИК!$L$11+'ПЛАН ЧИСТ К1'!K7*СПРАВОЧНИК!$M$11+'ПЛАН ЧИСТ К1'!L7*СПРАВОЧНИК!$N$11+'ПЛАН ЧИСТ К1'!M7*СПРАВОЧНИК!$L$12+'ПЛАН ЧИСТ К1'!N7*СПРАВОЧНИК!$M$12+'ПЛАН ЧИСТ К1'!O7*СПРАВОЧНИК!$N$12+'ПЛАН ЧИСТ К1'!P7*СПРАВОЧНИК!$O$12+'ПЛАН ЧИСТ К1'!Q7*СПРАВОЧНИК!$L$13+'ПЛАН ЧИСТ К1'!R7*СПРАВОЧНИК!$M$13+'ПЛАН ЧИСТ К1'!S7*СПРАВОЧНИК!$N$13+'ПЛАН ЧИСТ К1'!T7*СПРАВОЧНИК!$O$13+'ПЛАН ЧИСТ К1'!U7*СПРАВОЧНИК!$L$14+'ПЛАН ЧИСТ К1'!V7*СПРАВОЧНИК!$M$14+'ПЛАН ЧИСТ К1'!W7*СПРАВОЧНИК!$N$14+'ПЛАН ЧИСТ К1'!X7*СПРАВОЧНИК!$L$15+'ПЛАН ЧИСТ К1'!Y7*СПРАВОЧНИК!$M$15+'ПЛАН ЧИСТ К1'!Z7*СПРАВОЧНИК!$N$15</f>
        <v/>
      </c>
      <c r="AI16" s="40">
        <f>('ФАКТ ЧИСТ К1'!B7)*СПРАВОЧНИК!$L$9+('ФАКТ ЧИСТ К1'!C7)*СПРАВОЧНИК!$M$9+('ФАКТ ЧИСТ К1'!D7)*СПРАВОЧНИК!$N$9+('ФАКТ ЧИСТ К1'!E7)*СПРАВОЧНИК!$O$9+('ФАКТ ЧИСТ К1'!F7)*СПРАВОЧНИК!$L$10+('ФАКТ ЧИСТ К1'!G7)*СПРАВОЧНИК!$M$10+('ФАКТ ЧИСТ К1'!H7)*СПРАВОЧНИК!$N$10+('ФАКТ ЧИСТ К1'!I7)*СПРАВОЧНИК!$O$10+('ФАКТ ЧИСТ К1'!J7)*СПРАВОЧНИК!$L$11+('ФАКТ ЧИСТ К1'!K7)*СПРАВОЧНИК!$M$11+('ФАКТ ЧИСТ К1'!L7)*СПРАВОЧНИК!$N$11+('ФАКТ ЧИСТ К1'!M7)*СПРАВОЧНИК!$L$12+('ФАКТ ЧИСТ К1'!N7)*СПРАВОЧНИК!$M$12+('ФАКТ ЧИСТ К1'!O7)*СПРАВОЧНИК!$N$12+('ФАКТ ЧИСТ К1'!P7)*СПРАВОЧНИК!$O$12+('ФАКТ ЧИСТ К1'!Q7)*СПРАВОЧНИК!$L$13+('ФАКТ ЧИСТ К1'!R7)*СПРАВОЧНИК!$M$13+('ФАКТ ЧИСТ К1'!S7)*СПРАВОЧНИК!$N$13+('ФАКТ ЧИСТ К1'!T7)*СПРАВОЧНИК!$O$13+('ФАКТ ЧИСТ К1'!U7)*СПРАВОЧНИК!$L$14+('ФАКТ ЧИСТ К1'!V7)*СПРАВОЧНИК!$M$14+('ФАКТ ЧИСТ К1'!W7)*СПРАВОЧНИК!$N$14+('ФАКТ ЧИСТ К1'!X7)*СПРАВОЧНИК!$L$15+('ФАКТ ЧИСТ К1'!Y7)*СПРАВОЧНИК!$M$15+('ФАКТ ЧИСТ К1'!Z7)*СПРАВОЧНИК!$N$15</f>
        <v/>
      </c>
      <c r="AM16" s="18">
        <f>AM15+7</f>
        <v/>
      </c>
      <c r="AN16" s="37">
        <f>СПРАВОЧНИК!$E$9*('ПЛАН ЧЕРН К2'!B7*СПРАВОЧНИК!$H$9+'ПЛАН ЧЕРН К2'!C7*СПРАВОЧНИК!$I$9+'ПЛАН ЧЕРН К2'!D7*СПРАВОЧНИК!$J$9)+СПРАВОЧНИК!$E$10*('ПЛАН ЧЕРН К2'!E7*СПРАВОЧНИК!$H$10+'ПЛАН ЧЕРН К2'!F7*СПРАВОЧНИК!$I$10+'ПЛАН ЧЕРН К2'!G7*СПРАВОЧНИК!$J$10)+СПРАВОЧНИК!$E$11*('ПЛАН ЧЕРН К2'!H7*СПРАВОЧНИК!$H$11+'ПЛАН ЧЕРН К2'!I7*СПРАВОЧНИК!$I$11+'ПЛАН ЧЕРН К2'!J7*СПРАВОЧНИК!$J$11)+СПРАВОЧНИК!$E$12*('ПЛАН ЧЕРН К2'!K7*СПРАВОЧНИК!$H$12+'ПЛАН ЧЕРН К2'!L7*СПРАВОЧНИК!$I$12+'ПЛАН ЧЕРН К2'!M7*СПРАВОЧНИК!$J$12)+СПРАВОЧНИК!$E$13*('ПЛАН ЧЕРН К2'!N7*СПРАВОЧНИК!$H$13+'ПЛАН ЧЕРН К2'!O7*СПРАВОЧНИК!$I$13+'ПЛАН ЧЕРН К2'!P7*СПРАВОЧНИК!$J$13)+СПРАВОЧНИК!$E$14*('ПЛАН ЧЕРН К2'!Q7*СПРАВОЧНИК!$H$14+'ПЛАН ЧЕРН К2'!R7*СПРАВОЧНИК!$I$14+'ПЛАН ЧЕРН К2'!S7*СПРАВОЧНИК!$J$14)+СПРАВОЧНИК!$E$15*('ПЛАН ЧЕРН К2'!T7*СПРАВОЧНИК!$H$15+'ПЛАН ЧЕРН К2'!U7*СПРАВОЧНИК!$I$15+'ПЛАН ЧЕРН К2'!V7*СПРАВОЧНИК!$J$15)+СПРАВОЧНИК!$F$9*('ПЛАН ЧИСТ К2'!B7*СПРАВОЧНИК!$L$9+'ПЛАН ЧИСТ К2'!C7*СПРАВОЧНИК!$M$9+'ПЛАН ЧИСТ К2'!D7*СПРАВОЧНИК!$N$9+'ПЛАН ЧИСТ К2'!E7*СПРАВОЧНИК!$O$9)+СПРАВОЧНИК!$F$10*('ПЛАН ЧИСТ К2'!F7*СПРАВОЧНИК!$L$10+'ПЛАН ЧИСТ К2'!G7*СПРАВОЧНИК!$M$10+'ПЛАН ЧИСТ К2'!H7*СПРАВОЧНИК!$N$10+'ПЛАН ЧИСТ К2'!I7*СПРАВОЧНИК!$O$10)+СПРАВОЧНИК!$F$11*('ПЛАН ЧИСТ К2'!J7*СПРАВОЧНИК!$L$11+'ПЛАН ЧИСТ К2'!K7*СПРАВОЧНИК!$M$11+'ПЛАН ЧИСТ К2'!L7*СПРАВОЧНИК!$N$11)+СПРАВОЧНИК!$F$12*('ПЛАН ЧИСТ К2'!M7*СПРАВОЧНИК!$L$12+'ПЛАН ЧИСТ К2'!N7*СПРАВОЧНИК!$M$12+'ПЛАН ЧИСТ К2'!O7*СПРАВОЧНИК!$N$12+'ПЛАН ЧИСТ К2'!P7*СПРАВОЧНИК!$O$12)+СПРАВОЧНИК!$F$13*('ПЛАН ЧИСТ К2'!Q7*СПРАВОЧНИК!$L$13+'ПЛАН ЧИСТ К2'!R7*СПРАВОЧНИК!$M$13+'ПЛАН ЧИСТ К2'!S7*СПРАВОЧНИК!$N$13+'ПЛАН ЧИСТ К2'!T7*СПРАВОЧНИК!$O$13)+СПРАВОЧНИК!$F$14*('ПЛАН ЧИСТ К2'!U7*СПРАВОЧНИК!$L$14+'ПЛАН ЧИСТ К2'!V7*СПРАВОЧНИК!$M$14+'ПЛАН ЧИСТ К2'!W7*СПРАВОЧНИК!$N$14)+СПРАВОЧНИК!$F$15*('ПЛАН ЧИСТ К2'!X7*СПРАВОЧНИК!$L$15+'ПЛАН ЧИСТ К2'!Y7*СПРАВОЧНИК!$M$15+'ПЛАН ЧИСТ К2'!Z7*СПРАВОЧНИК!$N$15)</f>
        <v/>
      </c>
      <c r="AO16" s="40">
        <f>СПРАВОЧНИК!$E$9*(('ФАКТ ЧЕРН К2'!B7)*СПРАВОЧНИК!$H$9+('ФАКТ ЧЕРН К2'!C7)*СПРАВОЧНИК!$I$9+('ФАКТ ЧЕРН К2'!D7)*СПРАВОЧНИК!$J$9)+СПРАВОЧНИК!$E$10*(('ФАКТ ЧЕРН К2'!E7)*СПРАВОЧНИК!$H$10+('ФАКТ ЧЕРН К2'!F7)*СПРАВОЧНИК!$I$10+('ФАКТ ЧЕРН К2'!G7)*СПРАВОЧНИК!$J$10)+СПРАВОЧНИК!$E$11*(('ФАКТ ЧЕРН К2'!H7)*СПРАВОЧНИК!$H$11+('ФАКТ ЧЕРН К2'!I7)*СПРАВОЧНИК!$I$11+('ФАКТ ЧЕРН К2'!J7)*СПРАВОЧНИК!$J$11)+СПРАВОЧНИК!$E$12*(('ФАКТ ЧЕРН К2'!K7)*СПРАВОЧНИК!$H$12+('ФАКТ ЧЕРН К2'!L7)*СПРАВОЧНИК!$I$12+('ФАКТ ЧЕРН К2'!M7)*СПРАВОЧНИК!$J$12)+СПРАВОЧНИК!$E$13*(('ФАКТ ЧЕРН К2'!N7)*СПРАВОЧНИК!$H$13+('ФАКТ ЧЕРН К2'!O7)*СПРАВОЧНИК!$I$13+('ФАКТ ЧЕРН К2'!P7)*СПРАВОЧНИК!$J$13)+СПРАВОЧНИК!$E$14*(('ФАКТ ЧЕРН К2'!Q7)*СПРАВОЧНИК!$H$14+('ФАКТ ЧЕРН К2'!R7)*СПРАВОЧНИК!$I$14+('ФАКТ ЧЕРН К2'!S7)*СПРАВОЧНИК!$J$14)+СПРАВОЧНИК!$E$15*(('ФАКТ ЧЕРН К2'!T7)*СПРАВОЧНИК!$H$15+('ФАКТ ЧЕРН К2'!U7)*СПРАВОЧНИК!$I$15+('ФАКТ ЧЕРН К2'!V7)*СПРАВОЧНИК!$J$15)+СПРАВОЧНИК!$F$9*(('ФАКТ ЧИСТ К2'!B7)*СПРАВОЧНИК!$L$9+('ФАКТ ЧИСТ К2'!C7)*СПРАВОЧНИК!$M$9+('ФАКТ ЧИСТ К2'!D7)*СПРАВОЧНИК!$N$9+('ФАКТ ЧИСТ К2'!E7)*СПРАВОЧНИК!$O$9)+СПРАВОЧНИК!$F$10*(('ФАКТ ЧИСТ К2'!F7)*СПРАВОЧНИК!$L$10+('ФАКТ ЧИСТ К2'!G7)*СПРАВОЧНИК!$M$10+('ФАКТ ЧИСТ К2'!H7)*СПРАВОЧНИК!$N$10+('ФАКТ ЧИСТ К2'!I7)*СПРАВОЧНИК!$O$10)+СПРАВОЧНИК!$F$11*(('ФАКТ ЧИСТ К2'!J7)*СПРАВОЧНИК!$L$11+('ФАКТ ЧИСТ К2'!K7)*СПРАВОЧНИК!$M$11+('ФАКТ ЧИСТ К2'!L7)*СПРАВОЧНИК!$N$11)+СПРАВОЧНИК!$F$12*(('ФАКТ ЧИСТ К2'!M7)*СПРАВОЧНИК!$L$12+('ФАКТ ЧИСТ К2'!N7)*СПРАВОЧНИК!$M$12+('ФАКТ ЧИСТ К2'!O7)*СПРАВОЧНИК!$N$12+('ФАКТ ЧИСТ К2'!P7)*СПРАВОЧНИК!$O$12)+СПРАВОЧНИК!$F$13*(('ФАКТ ЧИСТ К2'!Q7)*СПРАВОЧНИК!$L$13+('ФАКТ ЧИСТ К2'!R7)*СПРАВОЧНИК!$M$13+('ФАКТ ЧИСТ К2'!S7)*СПРАВОЧНИК!$N$13+('ФАКТ ЧИСТ К2'!T7)*СПРАВОЧНИК!$O$13)+СПРАВОЧНИК!$F$14*(('ФАКТ ЧИСТ К2'!U7)*СПРАВОЧНИК!$L$14+('ФАКТ ЧИСТ К2'!V7)*СПРАВОЧНИК!$M$14+('ФАКТ ЧИСТ К2'!W7)*СПРАВОЧНИК!$N$14)+СПРАВОЧНИК!$F$15*(('ФАКТ ЧИСТ К2'!X7)*СПРАВОЧНИК!$L$15+('ФАКТ ЧИСТ К2'!Y7)*СПРАВОЧНИК!$M$15+('ФАКТ ЧИСТ К2'!Z7)*СПРАВОЧНИК!$N$15)</f>
        <v/>
      </c>
      <c r="AS16" s="18">
        <f>AS15+7</f>
        <v/>
      </c>
      <c r="AT16" s="37">
        <f>'ПЛАН ЧЕРН К2'!B7*СПРАВОЧНИК!$H$9+'ПЛАН ЧЕРН К2'!C7*СПРАВОЧНИК!$I$9+'ПЛАН ЧЕРН К2'!D7*СПРАВОЧНИК!$J$9+'ПЛАН ЧЕРН К2'!E7*СПРАВОЧНИК!$H$10+'ПЛАН ЧЕРН К2'!F7*СПРАВОЧНИК!$I$10+'ПЛАН ЧЕРН К2'!G7*СПРАВОЧНИК!$J$10+'ПЛАН ЧЕРН К2'!H7*СПРАВОЧНИК!$H$11+'ПЛАН ЧЕРН К2'!I7*СПРАВОЧНИК!$I$11+'ПЛАН ЧЕРН К2'!J7*СПРАВОЧНИК!$J$11+'ПЛАН ЧЕРН К2'!K7*СПРАВОЧНИК!$H$12+'ПЛАН ЧЕРН К2'!L7*СПРАВОЧНИК!$I$12+'ПЛАН ЧЕРН К2'!M7*СПРАВОЧНИК!$J$12+'ПЛАН ЧЕРН К2'!N7*СПРАВОЧНИК!$H$13+'ПЛАН ЧЕРН К2'!O7*СПРАВОЧНИК!$I$13+'ПЛАН ЧЕРН К2'!P7*СПРАВОЧНИК!$J$13+'ПЛАН ЧЕРН К2'!Q7*СПРАВОЧНИК!$H$14+'ПЛАН ЧЕРН К2'!R7*СПРАВОЧНИК!$I$14+'ПЛАН ЧЕРН К2'!S7*СПРАВОЧНИК!$J$14+'ПЛАН ЧЕРН К2'!T7*СПРАВОЧНИК!$H$15+'ПЛАН ЧЕРН К2'!U7*СПРАВОЧНИК!$I$15+'ПЛАН ЧЕРН К2'!V7*СПРАВОЧНИК!$J$15</f>
        <v/>
      </c>
      <c r="AU16" s="40">
        <f>('ФАКТ ЧЕРН К2'!B7)*СПРАВОЧНИК!$H$9+('ФАКТ ЧЕРН К2'!C7)*СПРАВОЧНИК!$I$9+('ФАКТ ЧЕРН К2'!D7)*СПРАВОЧНИК!$J$9+('ФАКТ ЧЕРН К2'!E7)*СПРАВОЧНИК!$H$10+('ФАКТ ЧЕРН К2'!F7)*СПРАВОЧНИК!$I$10+('ФАКТ ЧЕРН К2'!G7)*СПРАВОЧНИК!$J$10+('ФАКТ ЧЕРН К2'!H7)*СПРАВОЧНИК!$H$11+('ФАКТ ЧЕРН К2'!I7)*СПРАВОЧНИК!$I$11+('ФАКТ ЧЕРН К2'!J7)*СПРАВОЧНИК!$J$11+('ФАКТ ЧЕРН К2'!K7)*СПРАВОЧНИК!$H$12+('ФАКТ ЧЕРН К2'!L7)*СПРАВОЧНИК!$I$12+('ФАКТ ЧЕРН К2'!M7)*СПРАВОЧНИК!$J$12+('ФАКТ ЧЕРН К2'!N7)*СПРАВОЧНИК!$H$13+('ФАКТ ЧЕРН К2'!O7)*СПРАВОЧНИК!$I$13+('ФАКТ ЧЕРН К2'!P7)*СПРАВОЧНИК!$J$13+('ФАКТ ЧЕРН К2'!Q7)*СПРАВОЧНИК!$H$14+('ФАКТ ЧЕРН К2'!R7)*СПРАВОЧНИК!$I$14+('ФАКТ ЧЕРН К2'!S7)*СПРАВОЧНИК!$J$14+('ФАКТ ЧЕРН К2'!T7)*СПРАВОЧНИК!$H$15+('ФАКТ ЧЕРН К2'!U7)*СПРАВОЧНИК!$I$15+('ФАКТ ЧЕРН К2'!V7)*СПРАВОЧНИК!$J$15</f>
        <v/>
      </c>
      <c r="AY16" s="18">
        <f>AY15+7</f>
        <v/>
      </c>
      <c r="AZ16" s="37">
        <f>'ПЛАН ЧИСТ К2'!B7*СПРАВОЧНИК!$L$9+'ПЛАН ЧИСТ К2'!C7*СПРАВОЧНИК!$M$9+'ПЛАН ЧИСТ К2'!D7*СПРАВОЧНИК!$N$9+'ПЛАН ЧИСТ К2'!E7*СПРАВОЧНИК!$O$9+'ПЛАН ЧИСТ К2'!F7*СПРАВОЧНИК!$L$10+'ПЛАН ЧИСТ К2'!G7*СПРАВОЧНИК!$M$10+'ПЛАН ЧИСТ К2'!H7*СПРАВОЧНИК!$N$10+'ПЛАН ЧИСТ К2'!I7*СПРАВОЧНИК!$O$10+'ПЛАН ЧИСТ К2'!J7*СПРАВОЧНИК!$L$11+'ПЛАН ЧИСТ К2'!K7*СПРАВОЧНИК!$M$11+'ПЛАН ЧИСТ К2'!L7*СПРАВОЧНИК!$N$11+'ПЛАН ЧИСТ К2'!M7*СПРАВОЧНИК!$L$12+'ПЛАН ЧИСТ К2'!N7*СПРАВОЧНИК!$M$12+'ПЛАН ЧИСТ К2'!O7*СПРАВОЧНИК!$N$12+'ПЛАН ЧИСТ К2'!P7*СПРАВОЧНИК!$O$12+'ПЛАН ЧИСТ К2'!Q7*СПРАВОЧНИК!$L$13+'ПЛАН ЧИСТ К2'!R7*СПРАВОЧНИК!$M$13+'ПЛАН ЧИСТ К2'!S7*СПРАВОЧНИК!$N$13+'ПЛАН ЧИСТ К2'!T7*СПРАВОЧНИК!$O$13+'ПЛАН ЧИСТ К2'!U7*СПРАВОЧНИК!$L$14+'ПЛАН ЧИСТ К2'!V7*СПРАВОЧНИК!$M$14+'ПЛАН ЧИСТ К2'!W7*СПРАВОЧНИК!$N$14+'ПЛАН ЧИСТ К2'!X7*СПРАВОЧНИК!$L$15+'ПЛАН ЧИСТ К2'!Y7*СПРАВОЧНИК!$M$15+'ПЛАН ЧИСТ К2'!Z7*СПРАВОЧНИК!$N$15</f>
        <v/>
      </c>
      <c r="BA16" s="40">
        <f>('ФАКТ ЧИСТ К2'!B7)*СПРАВОЧНИК!$L$9+('ФАКТ ЧИСТ К2'!C7)*СПРАВОЧНИК!$M$9+('ФАКТ ЧИСТ К2'!D7)*СПРАВОЧНИК!$N$9+('ФАКТ ЧИСТ К2'!E7)*СПРАВОЧНИК!$O$9+('ФАКТ ЧИСТ К2'!F7)*СПРАВОЧНИК!$L$10+('ФАКТ ЧИСТ К2'!G7)*СПРАВОЧНИК!$M$10+('ФАКТ ЧИСТ К2'!H7)*СПРАВОЧНИК!$N$10+('ФАКТ ЧИСТ К2'!I7)*СПРАВОЧНИК!$O$10+('ФАКТ ЧИСТ К2'!J7)*СПРАВОЧНИК!$L$11+('ФАКТ ЧИСТ К2'!K7)*СПРАВОЧНИК!$M$11+('ФАКТ ЧИСТ К2'!L7)*СПРАВОЧНИК!$N$11+('ФАКТ ЧИСТ К2'!M7)*СПРАВОЧНИК!$L$12+('ФАКТ ЧИСТ К2'!N7)*СПРАВОЧНИК!$M$12+('ФАКТ ЧИСТ К2'!O7)*СПРАВОЧНИК!$N$12+('ФАКТ ЧИСТ К2'!P7)*СПРАВОЧНИК!$O$12+('ФАКТ ЧИСТ К2'!Q7)*СПРАВОЧНИК!$L$13+('ФАКТ ЧИСТ К2'!R7)*СПРАВОЧНИК!$M$13+('ФАКТ ЧИСТ К2'!S7)*СПРАВОЧНИК!$N$13+('ФАКТ ЧИСТ К2'!T7)*СПРАВОЧНИК!$O$13+('ФАКТ ЧИСТ К2'!U7)*СПРАВОЧНИК!$L$14+('ФАКТ ЧИСТ К2'!V7)*СПРАВОЧНИК!$M$14+('ФАКТ ЧИСТ К2'!W7)*СПРАВОЧНИК!$N$14+('ФАКТ ЧИСТ К2'!X7)*СПРАВОЧНИК!$L$15+('ФАКТ ЧИСТ К2'!Y7)*СПРАВОЧНИК!$M$15+('ФАКТ ЧИСТ К2'!Z7)*СПРАВОЧНИК!$N$15</f>
        <v/>
      </c>
      <c r="BE16" s="18">
        <f>BE15+7</f>
        <v/>
      </c>
      <c r="BF16" s="37">
        <f>СПРАВОЧНИК!$E$9*('ПЛАН ЧЕРН К3'!B7*СПРАВОЧНИК!$H$9+'ПЛАН ЧЕРН К3'!C7*СПРАВОЧНИК!$I$9+'ПЛАН ЧЕРН К3'!D7*СПРАВОЧНИК!$J$9)+СПРАВОЧНИК!$E$10*('ПЛАН ЧЕРН К3'!E7*СПРАВОЧНИК!$H$10+'ПЛАН ЧЕРН К3'!F7*СПРАВОЧНИК!$I$10+'ПЛАН ЧЕРН К3'!G7*СПРАВОЧНИК!$J$10)+СПРАВОЧНИК!$E$11*('ПЛАН ЧЕРН К3'!H7*СПРАВОЧНИК!$H$11+'ПЛАН ЧЕРН К3'!I7*СПРАВОЧНИК!$I$11+'ПЛАН ЧЕРН К3'!J7*СПРАВОЧНИК!$J$11)+СПРАВОЧНИК!$E$12*('ПЛАН ЧЕРН К3'!K7*СПРАВОЧНИК!$H$12+'ПЛАН ЧЕРН К3'!L7*СПРАВОЧНИК!$I$12+'ПЛАН ЧЕРН К3'!M7*СПРАВОЧНИК!$J$12)+СПРАВОЧНИК!$E$13*('ПЛАН ЧЕРН К3'!N7*СПРАВОЧНИК!$H$13+'ПЛАН ЧЕРН К3'!O7*СПРАВОЧНИК!$I$13+'ПЛАН ЧЕРН К3'!P7*СПРАВОЧНИК!$J$13)+СПРАВОЧНИК!$E$14*('ПЛАН ЧЕРН К3'!Q7*СПРАВОЧНИК!$H$14+'ПЛАН ЧЕРН К3'!R7*СПРАВОЧНИК!$I$14+'ПЛАН ЧЕРН К3'!S7*СПРАВОЧНИК!$J$14)+СПРАВОЧНИК!$E$15*('ПЛАН ЧЕРН К3'!T7*СПРАВОЧНИК!$H$15+'ПЛАН ЧЕРН К3'!U7*СПРАВОЧНИК!$I$15+'ПЛАН ЧЕРН К3'!V7*СПРАВОЧНИК!$J$15)+СПРАВОЧНИК!$F$9*('ПЛАН ЧИСТ К3'!B7*СПРАВОЧНИК!$L$9+'ПЛАН ЧИСТ К3'!C7*СПРАВОЧНИК!$M$9+'ПЛАН ЧИСТ К3'!D7*СПРАВОЧНИК!$N$9+'ПЛАН ЧИСТ К3'!E7*СПРАВОЧНИК!$O$9)+СПРАВОЧНИК!$F$10*('ПЛАН ЧИСТ К3'!F7*СПРАВОЧНИК!$L$10+'ПЛАН ЧИСТ К3'!G7*СПРАВОЧНИК!$M$10+'ПЛАН ЧИСТ К3'!H7*СПРАВОЧНИК!$N$10+'ПЛАН ЧИСТ К3'!I7*СПРАВОЧНИК!$O$10)+СПРАВОЧНИК!$F$11*('ПЛАН ЧИСТ К3'!J7*СПРАВОЧНИК!$L$11+'ПЛАН ЧИСТ К3'!K7*СПРАВОЧНИК!$M$11+'ПЛАН ЧИСТ К3'!L7*СПРАВОЧНИК!$N$11)+СПРАВОЧНИК!$F$12*('ПЛАН ЧИСТ К3'!M7*СПРАВОЧНИК!$L$12+'ПЛАН ЧИСТ К3'!N7*СПРАВОЧНИК!$M$12+'ПЛАН ЧИСТ К3'!O7*СПРАВОЧНИК!$N$12+'ПЛАН ЧИСТ К3'!P7*СПРАВОЧНИК!$O$12)+СПРАВОЧНИК!$F$13*('ПЛАН ЧИСТ К3'!Q7*СПРАВОЧНИК!$L$13+'ПЛАН ЧИСТ К3'!R7*СПРАВОЧНИК!$M$13+'ПЛАН ЧИСТ К3'!S7*СПРАВОЧНИК!$N$13+'ПЛАН ЧИСТ К3'!T7*СПРАВОЧНИК!$O$13)+СПРАВОЧНИК!$F$14*('ПЛАН ЧИСТ К3'!U7*СПРАВОЧНИК!$L$14+'ПЛАН ЧИСТ К3'!V7*СПРАВОЧНИК!$M$14+'ПЛАН ЧИСТ К3'!W7*СПРАВОЧНИК!$N$14)+СПРАВОЧНИК!$F$15*('ПЛАН ЧИСТ К3'!X7*СПРАВОЧНИК!$L$15+'ПЛАН ЧИСТ К3'!Y7*СПРАВОЧНИК!$M$15+'ПЛАН ЧИСТ К3'!Z7*СПРАВОЧНИК!$N$15)</f>
        <v/>
      </c>
      <c r="BG16" s="40">
        <f>СПРАВОЧНИК!$E$9*(('ФАКТ ЧЕРН К3'!B7)*СПРАВОЧНИК!$H$9+('ФАКТ ЧЕРН К3'!C7)*СПРАВОЧНИК!$I$9+('ФАКТ ЧЕРН К3'!D7)*СПРАВОЧНИК!$J$9)+СПРАВОЧНИК!$E$10*(('ФАКТ ЧЕРН К3'!E7)*СПРАВОЧНИК!$H$10+('ФАКТ ЧЕРН К3'!F7)*СПРАВОЧНИК!$I$10+('ФАКТ ЧЕРН К3'!G7)*СПРАВОЧНИК!$J$10)+СПРАВОЧНИК!$E$11*(('ФАКТ ЧЕРН К3'!H7)*СПРАВОЧНИК!$H$11+('ФАКТ ЧЕРН К3'!I7)*СПРАВОЧНИК!$I$11+('ФАКТ ЧЕРН К3'!J7)*СПРАВОЧНИК!$J$11)+СПРАВОЧНИК!$E$12*(('ФАКТ ЧЕРН К3'!K7)*СПРАВОЧНИК!$H$12+('ФАКТ ЧЕРН К3'!L7)*СПРАВОЧНИК!$I$12+('ФАКТ ЧЕРН К3'!M7)*СПРАВОЧНИК!$J$12)+СПРАВОЧНИК!$E$13*(('ФАКТ ЧЕРН К3'!N7)*СПРАВОЧНИК!$H$13+('ФАКТ ЧЕРН К3'!O7)*СПРАВОЧНИК!$I$13+('ФАКТ ЧЕРН К3'!P7)*СПРАВОЧНИК!$J$13)+СПРАВОЧНИК!$E$14*(('ФАКТ ЧЕРН К3'!Q7)*СПРАВОЧНИК!$H$14+('ФАКТ ЧЕРН К3'!R7)*СПРАВОЧНИК!$I$14+('ФАКТ ЧЕРН К3'!S7)*СПРАВОЧНИК!$J$14)+СПРАВОЧНИК!$E$15*(('ФАКТ ЧЕРН К3'!T7)*СПРАВОЧНИК!$H$15+('ФАКТ ЧЕРН К3'!U7)*СПРАВОЧНИК!$I$15+('ФАКТ ЧЕРН К3'!V7)*СПРАВОЧНИК!$J$15)+СПРАВОЧНИК!$F$9*(('ФАКТ ЧИСТ К3'!B7)*СПРАВОЧНИК!$L$9+('ФАКТ ЧИСТ К3'!C7)*СПРАВОЧНИК!$M$9+('ФАКТ ЧИСТ К3'!D7)*СПРАВОЧНИК!$N$9+('ФАКТ ЧИСТ К3'!E7)*СПРАВОЧНИК!$O$9)+СПРАВОЧНИК!$F$10*(('ФАКТ ЧИСТ К3'!F7)*СПРАВОЧНИК!$L$10+('ФАКТ ЧИСТ К3'!G7)*СПРАВОЧНИК!$M$10+('ФАКТ ЧИСТ К3'!H7)*СПРАВОЧНИК!$N$10+('ФАКТ ЧИСТ К3'!I7)*СПРАВОЧНИК!$O$10)+СПРАВОЧНИК!$F$11*(('ФАКТ ЧИСТ К3'!J7)*СПРАВОЧНИК!$L$11+('ФАКТ ЧИСТ К3'!K7)*СПРАВОЧНИК!$M$11+('ФАКТ ЧИСТ К3'!L7)*СПРАВОЧНИК!$N$11)+СПРАВОЧНИК!$F$12*(('ФАКТ ЧИСТ К3'!M7)*СПРАВОЧНИК!$L$12+('ФАКТ ЧИСТ К3'!N7)*СПРАВОЧНИК!$M$12+('ФАКТ ЧИСТ К3'!O7)*СПРАВОЧНИК!$N$12+('ФАКТ ЧИСТ К3'!P7)*СПРАВОЧНИК!$O$12)+СПРАВОЧНИК!$F$13*(('ФАКТ ЧИСТ К3'!Q7)*СПРАВОЧНИК!$L$13+('ФАКТ ЧИСТ К3'!R7)*СПРАВОЧНИК!$M$13+('ФАКТ ЧИСТ К3'!S7)*СПРАВОЧНИК!$N$13+('ФАКТ ЧИСТ К3'!T7)*СПРАВОЧНИК!$O$13)+СПРАВОЧНИК!$F$14*(('ФАКТ ЧИСТ К3'!U7)*СПРАВОЧНИК!$L$14+('ФАКТ ЧИСТ К3'!V7)*СПРАВОЧНИК!$M$14+('ФАКТ ЧИСТ К3'!W7)*СПРАВОЧНИК!$N$14)+СПРАВОЧНИК!$F$15*(('ФАКТ ЧИСТ К3'!X7)*СПРАВОЧНИК!$L$15+('ФАКТ ЧИСТ К3'!Y7)*СПРАВОЧНИК!$M$15+('ФАКТ ЧИСТ К3'!Z7)*СПРАВОЧНИК!$N$15)</f>
        <v/>
      </c>
      <c r="BK16" s="18">
        <f>BK15+7</f>
        <v/>
      </c>
      <c r="BL16" s="37">
        <f>'ПЛАН ЧЕРН К3'!B7*СПРАВОЧНИК!$H$9+'ПЛАН ЧЕРН К3'!C7*СПРАВОЧНИК!$I$9+'ПЛАН ЧЕРН К3'!D7*СПРАВОЧНИК!$J$9+'ПЛАН ЧЕРН К3'!E7*СПРАВОЧНИК!$H$10+'ПЛАН ЧЕРН К3'!F7*СПРАВОЧНИК!$I$10+'ПЛАН ЧЕРН К3'!G7*СПРАВОЧНИК!$J$10+'ПЛАН ЧЕРН К3'!H7*СПРАВОЧНИК!$H$11+'ПЛАН ЧЕРН К3'!I7*СПРАВОЧНИК!$I$11+'ПЛАН ЧЕРН К3'!J7*СПРАВОЧНИК!$J$11+'ПЛАН ЧЕРН К3'!K7*СПРАВОЧНИК!$H$12+'ПЛАН ЧЕРН К3'!L7*СПРАВОЧНИК!$I$12+'ПЛАН ЧЕРН К3'!M7*СПРАВОЧНИК!$J$12+'ПЛАН ЧЕРН К3'!N7*СПРАВОЧНИК!$H$13+'ПЛАН ЧЕРН К3'!O7*СПРАВОЧНИК!$I$13+'ПЛАН ЧЕРН К3'!P7*СПРАВОЧНИК!$J$13+'ПЛАН ЧЕРН К3'!Q7*СПРАВОЧНИК!$H$14+'ПЛАН ЧЕРН К3'!R7*СПРАВОЧНИК!$I$14+'ПЛАН ЧЕРН К3'!S7*СПРАВОЧНИК!$J$14+'ПЛАН ЧЕРН К3'!T7*СПРАВОЧНИК!$H$15+'ПЛАН ЧЕРН К3'!U7*СПРАВОЧНИК!$I$15+'ПЛАН ЧЕРН К3'!V7*СПРАВОЧНИК!$J$15</f>
        <v/>
      </c>
      <c r="BM16" s="40">
        <f>('ФАКТ ЧЕРН К3'!B7)*СПРАВОЧНИК!$H$9+('ФАКТ ЧЕРН К3'!C7)*СПРАВОЧНИК!$I$9+('ФАКТ ЧЕРН К3'!D7)*СПРАВОЧНИК!$J$9+('ФАКТ ЧЕРН К3'!E7)*СПРАВОЧНИК!$H$10+('ФАКТ ЧЕРН К3'!F7)*СПРАВОЧНИК!$I$10+('ФАКТ ЧЕРН К3'!G7)*СПРАВОЧНИК!$J$10+('ФАКТ ЧЕРН К3'!H7)*СПРАВОЧНИК!$H$11+('ФАКТ ЧЕРН К3'!I7)*СПРАВОЧНИК!$I$11+('ФАКТ ЧЕРН К3'!J7)*СПРАВОЧНИК!$J$11+('ФАКТ ЧЕРН К3'!K7)*СПРАВОЧНИК!$H$12+('ФАКТ ЧЕРН К3'!L7)*СПРАВОЧНИК!$I$12+('ФАКТ ЧЕРН К3'!M7)*СПРАВОЧНИК!$J$12+('ФАКТ ЧЕРН К3'!N7)*СПРАВОЧНИК!$H$13+('ФАКТ ЧЕРН К3'!O7)*СПРАВОЧНИК!$I$13+('ФАКТ ЧЕРН К3'!P7)*СПРАВОЧНИК!$J$13+('ФАКТ ЧЕРН К3'!Q7)*СПРАВОЧНИК!$H$14+('ФАКТ ЧЕРН К3'!R7)*СПРАВОЧНИК!$I$14+('ФАКТ ЧЕРН К3'!S7)*СПРАВОЧНИК!$J$14+('ФАКТ ЧЕРН К3'!T7)*СПРАВОЧНИК!$H$15+('ФАКТ ЧЕРН К3'!U7)*СПРАВОЧНИК!$I$15+('ФАКТ ЧЕРН К3'!V7)*СПРАВОЧНИК!$J$15</f>
        <v/>
      </c>
      <c r="BQ16" s="18">
        <f>BQ15+7</f>
        <v/>
      </c>
      <c r="BR16" s="37">
        <f>'ПЛАН ЧИСТ К3'!B7*СПРАВОЧНИК!$L$9+'ПЛАН ЧИСТ К3'!C7*СПРАВОЧНИК!$M$9+'ПЛАН ЧИСТ К3'!D7*СПРАВОЧНИК!$N$9+'ПЛАН ЧИСТ К3'!E7*СПРАВОЧНИК!$O$9+'ПЛАН ЧИСТ К3'!F7*СПРАВОЧНИК!$L$10+'ПЛАН ЧИСТ К3'!G7*СПРАВОЧНИК!$M$10+'ПЛАН ЧИСТ К3'!H7*СПРАВОЧНИК!$N$10+'ПЛАН ЧИСТ К3'!I7*СПРАВОЧНИК!$O$10+'ПЛАН ЧИСТ К3'!J7*СПРАВОЧНИК!$L$11+'ПЛАН ЧИСТ К3'!K7*СПРАВОЧНИК!$M$11+'ПЛАН ЧИСТ К3'!L7*СПРАВОЧНИК!$N$11+'ПЛАН ЧИСТ К3'!M7*СПРАВОЧНИК!$L$12+'ПЛАН ЧИСТ К3'!N7*СПРАВОЧНИК!$M$12+'ПЛАН ЧИСТ К3'!O7*СПРАВОЧНИК!$N$12+'ПЛАН ЧИСТ К3'!P7*СПРАВОЧНИК!$O$12+'ПЛАН ЧИСТ К3'!Q7*СПРАВОЧНИК!$L$13+'ПЛАН ЧИСТ К3'!R7*СПРАВОЧНИК!$M$13+'ПЛАН ЧИСТ К3'!S7*СПРАВОЧНИК!$N$13+'ПЛАН ЧИСТ К3'!T7*СПРАВОЧНИК!$O$13+'ПЛАН ЧИСТ К3'!U7*СПРАВОЧНИК!$L$14+'ПЛАН ЧИСТ К3'!V7*СПРАВОЧНИК!$M$14+'ПЛАН ЧИСТ К3'!W7*СПРАВОЧНИК!$N$14+'ПЛАН ЧИСТ К3'!X7*СПРАВОЧНИК!$L$15+'ПЛАН ЧИСТ К3'!Y7*СПРАВОЧНИК!$M$15+'ПЛАН ЧИСТ К3'!Z7*СПРАВОЧНИК!$N$15</f>
        <v/>
      </c>
      <c r="BS16" s="40">
        <f>('ФАКТ ЧИСТ К3'!B7)*СПРАВОЧНИК!$L$9+('ФАКТ ЧИСТ К3'!C7)*СПРАВОЧНИК!$M$9+('ФАКТ ЧИСТ К3'!D7)*СПРАВОЧНИК!$N$9+('ФАКТ ЧИСТ К3'!E7)*СПРАВОЧНИК!$O$9+('ФАКТ ЧИСТ К3'!F7)*СПРАВОЧНИК!$L$10+('ФАКТ ЧИСТ К3'!G7)*СПРАВОЧНИК!$M$10+('ФАКТ ЧИСТ К3'!H7)*СПРАВОЧНИК!$N$10+('ФАКТ ЧИСТ К3'!I7)*СПРАВОЧНИК!$O$10+('ФАКТ ЧИСТ К3'!J7)*СПРАВОЧНИК!$L$11+('ФАКТ ЧИСТ К3'!K7)*СПРАВОЧНИК!$M$11+('ФАКТ ЧИСТ К3'!L7)*СПРАВОЧНИК!$N$11+('ФАКТ ЧИСТ К3'!M7)*СПРАВОЧНИК!$L$12+('ФАКТ ЧИСТ К3'!N7)*СПРАВОЧНИК!$M$12+('ФАКТ ЧИСТ К3'!O7)*СПРАВОЧНИК!$N$12+('ФАКТ ЧИСТ К3'!P7)*СПРАВОЧНИК!$O$12+('ФАКТ ЧИСТ К3'!Q7)*СПРАВОЧНИК!$L$13+('ФАКТ ЧИСТ К3'!R7)*СПРАВОЧНИК!$M$13+('ФАКТ ЧИСТ К3'!S7)*СПРАВОЧНИК!$N$13+('ФАКТ ЧИСТ К3'!T7)*СПРАВОЧНИК!$O$13+('ФАКТ ЧИСТ К3'!U7)*СПРАВОЧНИК!$L$14+('ФАКТ ЧИСТ К3'!V7)*СПРАВОЧНИК!$M$14+('ФАКТ ЧИСТ К3'!W7)*СПРАВОЧНИК!$N$14+('ФАКТ ЧИСТ К3'!X7)*СПРАВОЧНИК!$L$15+('ФАКТ ЧИСТ К3'!Y7)*СПРАВОЧНИК!$M$15+('ФАКТ ЧИСТ К3'!Z7)*СПРАВОЧНИК!$N$15</f>
        <v/>
      </c>
      <c r="BW16" s="18">
        <f>BW15+7</f>
        <v/>
      </c>
      <c r="BX16" s="37">
        <f>V16+AN16+BF16</f>
        <v/>
      </c>
      <c r="BY16" s="40">
        <f>W16+AO16+BG16</f>
        <v/>
      </c>
      <c r="CC16" s="18">
        <f>CC15+7</f>
        <v/>
      </c>
      <c r="CD16" s="37">
        <f>AB16+AT16+BL16</f>
        <v/>
      </c>
      <c r="CE16" s="40">
        <f>AC16+AU16+BM16</f>
        <v/>
      </c>
      <c r="CI16" s="18">
        <f>CI15+7</f>
        <v/>
      </c>
      <c r="CJ16" s="37">
        <f>AH16+AZ16+BR16</f>
        <v/>
      </c>
      <c r="CK16" s="40">
        <f>AI16+BA16+BS16</f>
        <v/>
      </c>
      <c r="CO16" s="18">
        <f>CO15+7</f>
        <v/>
      </c>
      <c r="CP16" s="37">
        <f>D16+BX16</f>
        <v/>
      </c>
      <c r="CQ16" s="40">
        <f>E16+BY16</f>
        <v/>
      </c>
      <c r="CU16" s="18">
        <f>CU15+7</f>
        <v/>
      </c>
      <c r="CV16" s="37">
        <f>J16+CD16</f>
        <v/>
      </c>
      <c r="CW16" s="40">
        <f>K16+CE16</f>
        <v/>
      </c>
      <c r="DA16" s="18">
        <f>DA15+7</f>
        <v/>
      </c>
      <c r="DB16" s="37">
        <f>P16+CJ16</f>
        <v/>
      </c>
      <c r="DC16" s="40">
        <f>Q16+CK16</f>
        <v/>
      </c>
    </row>
    <row r="17">
      <c r="C17" s="18">
        <f>C16+7</f>
        <v/>
      </c>
      <c r="D17" s="37">
        <f>СПРАВОЧНИК!$E$3*('ПЛАН ЧЕРН ПОДЗЕМ'!B8*СПРАВОЧНИК!$H$3+'ПЛАН ЧЕРН ПОДЗЕМ'!C8*СПРАВОЧНИК!$I$3+'ПЛАН ЧЕРН ПОДЗЕМ'!D8*СПРАВОЧНИК!$J$3)+СПРАВОЧНИК!$E$4*('ПЛАН ЧЕРН ПОДЗЕМ'!E8*СПРАВОЧНИК!$H$4+'ПЛАН ЧЕРН ПОДЗЕМ'!F8*СПРАВОЧНИК!$I$4+'ПЛАН ЧЕРН ПОДЗЕМ'!G8*СПРАВОЧНИК!$J$4)+СПРАВОЧНИК!$E$5*('ПЛАН ЧЕРН ПОДЗЕМ'!H8*СПРАВОЧНИК!$H$5+'ПЛАН ЧЕРН ПОДЗЕМ'!I8*СПРАВОЧНИК!$I$5+'ПЛАН ЧЕРН ПОДЗЕМ'!J8*СПРАВОЧНИК!$J$5)+СПРАВОЧНИК!$E$6*('ПЛАН ЧЕРН ПОДЗЕМ'!K8*СПРАВОЧНИК!$H$6+'ПЛАН ЧЕРН ПОДЗЕМ'!L8*СПРАВОЧНИК!$I$6+'ПЛАН ЧЕРН ПОДЗЕМ'!M8*СПРАВОЧНИК!$J$6)+СПРАВОЧНИК!$E$7*('ПЛАН ЧЕРН ПОДЗЕМ'!N8*СПРАВОЧНИК!$H$7+'ПЛАН ЧЕРН ПОДЗЕМ'!O8*СПРАВОЧНИК!$I$7+'ПЛАН ЧЕРН ПОДЗЕМ'!P8*СПРАВОЧНИК!$J$7)+СПРАВОЧНИК!$E$8*('ПЛАН ЧЕРН ПОДЗЕМ'!Q8*СПРАВОЧНИК!$H$8+'ПЛАН ЧЕРН ПОДЗЕМ'!R8*СПРАВОЧНИК!$I$8+'ПЛАН ЧЕРН ПОДЗЕМ'!S8*СПРАВОЧНИК!$J$8)+СПРАВОЧНИК!$F$3*('ПЛАН ЧИСТ ПОДЗЕМ'!B8*СПРАВОЧНИК!$L$3+'ПЛАН ЧИСТ ПОДЗЕМ'!C8*СПРАВОЧНИК!$M$3+'ПЛАН ЧИСТ ПОДЗЕМ'!D8*СПРАВОЧНИК!$N$3+'ПЛАН ЧИСТ ПОДЗЕМ'!E8*СПРАВОЧНИК!$O$3)+СПРАВОЧНИК!$F$4*('ПЛАН ЧИСТ ПОДЗЕМ'!F8*СПРАВОЧНИК!$L$4+'ПЛАН ЧИСТ ПОДЗЕМ'!G8*СПРАВОЧНИК!$M$4+'ПЛАН ЧИСТ ПОДЗЕМ'!H8*СПРАВОЧНИК!$N$4+'ПЛАН ЧИСТ ПОДЗЕМ'!I8*СПРАВОЧНИК!$O$4)+СПРАВОЧНИК!$F$5*('ПЛАН ЧИСТ ПОДЗЕМ'!J8*СПРАВОЧНИК!$L$5+'ПЛАН ЧИСТ ПОДЗЕМ'!K8*СПРАВОЧНИК!$M$5+'ПЛАН ЧИСТ ПОДЗЕМ'!L8*СПРАВОЧНИК!$N$5)+СПРАВОЧНИК!$F$6*('ПЛАН ЧИСТ ПОДЗЕМ'!M8*СПРАВОЧНИК!$L$6+'ПЛАН ЧИСТ ПОДЗЕМ'!N8*СПРАВОЧНИК!$M$6+'ПЛАН ЧИСТ ПОДЗЕМ'!O8*СПРАВОЧНИК!$N$6+'ПЛАН ЧИСТ ПОДЗЕМ'!P8*СПРАВОЧНИК!$O$6)+СПРАВОЧНИК!$F$7*('ПЛАН ЧИСТ ПОДЗЕМ'!Q8*СПРАВОЧНИК!$L$7+'ПЛАН ЧИСТ ПОДЗЕМ'!R8*СПРАВОЧНИК!$M$7+'ПЛАН ЧИСТ ПОДЗЕМ'!S8*СПРАВОЧНИК!$N$7+'ПЛАН ЧИСТ ПОДЗЕМ'!T8*СПРАВОЧНИК!$O$7)+СПРАВОЧНИК!$F$8*('ПЛАН ЧИСТ ПОДЗЕМ'!U8*СПРАВОЧНИК!$L$8+'ПЛАН ЧИСТ ПОДЗЕМ'!V8*СПРАВОЧНИК!$M$8+'ПЛАН ЧИСТ ПОДЗЕМ'!W8*СПРАВОЧНИК!$N$8)</f>
        <v/>
      </c>
      <c r="E17" s="40">
        <f>СПРАВОЧНИК!$E$3*(('ФАКТ ЧЕРН ПОДЗЕМ'!B8)*СПРАВОЧНИК!$H$3+('ФАКТ ЧЕРН ПОДЗЕМ'!C8)*СПРАВОЧНИК!$I$3+('ФАКТ ЧЕРН ПОДЗЕМ'!D8)*СПРАВОЧНИК!$J$3)+СПРАВОЧНИК!$E$4*(('ФАКТ ЧЕРН ПОДЗЕМ'!E8)*СПРАВОЧНИК!$H$4+('ФАКТ ЧЕРН ПОДЗЕМ'!F8)*СПРАВОЧНИК!$I$4+('ФАКТ ЧЕРН ПОДЗЕМ'!G8)*СПРАВОЧНИК!$J$4)+СПРАВОЧНИК!$E$5*(('ФАКТ ЧЕРН ПОДЗЕМ'!H8)*СПРАВОЧНИК!$H$5+('ФАКТ ЧЕРН ПОДЗЕМ'!I8)*СПРАВОЧНИК!$I$5+('ФАКТ ЧЕРН ПОДЗЕМ'!J8)*СПРАВОЧНИК!$J$5)+СПРАВОЧНИК!$E$6*(('ФАКТ ЧЕРН ПОДЗЕМ'!K8)*СПРАВОЧНИК!$H$6+('ФАКТ ЧЕРН ПОДЗЕМ'!L8)*СПРАВОЧНИК!$I$6+('ФАКТ ЧЕРН ПОДЗЕМ'!M8)*СПРАВОЧНИК!$J$6)+СПРАВОЧНИК!$E$7*(('ФАКТ ЧЕРН ПОДЗЕМ'!N8)*СПРАВОЧНИК!$H$7+('ФАКТ ЧЕРН ПОДЗЕМ'!O8)*СПРАВОЧНИК!$I$7+('ФАКТ ЧЕРН ПОДЗЕМ'!P8)*СПРАВОЧНИК!$J$7)+СПРАВОЧНИК!$E$8*(('ФАКТ ЧЕРН ПОДЗЕМ'!Q8)*СПРАВОЧНИК!$H$8+('ФАКТ ЧЕРН ПОДЗЕМ'!R8)*СПРАВОЧНИК!$I$8+('ФАКТ ЧЕРН ПОДЗЕМ'!S8)*СПРАВОЧНИК!$J$8)+СПРАВОЧНИК!$F$3*(('ФАКТ ЧИСТ ПОДЗЕМ'!B8)*СПРАВОЧНИК!$L$3+('ФАКТ ЧИСТ ПОДЗЕМ'!C8)*СПРАВОЧНИК!$M$3+('ФАКТ ЧИСТ ПОДЗЕМ'!D8)*СПРАВОЧНИК!$N$3+('ФАКТ ЧИСТ ПОДЗЕМ'!E8)*СПРАВОЧНИК!$O$3)+СПРАВОЧНИК!$F$4*(('ФАКТ ЧИСТ ПОДЗЕМ'!F8)*СПРАВОЧНИК!$L$4+('ФАКТ ЧИСТ ПОДЗЕМ'!G8)*СПРАВОЧНИК!$M$4+('ФАКТ ЧИСТ ПОДЗЕМ'!H8)*СПРАВОЧНИК!$N$4+('ФАКТ ЧИСТ ПОДЗЕМ'!I8)*СПРАВОЧНИК!$O$4)+СПРАВОЧНИК!$F$5*(('ФАКТ ЧИСТ ПОДЗЕМ'!J8)*СПРАВОЧНИК!$L$5+('ФАКТ ЧИСТ ПОДЗЕМ'!K8)*СПРАВОЧНИК!$M$5+('ФАКТ ЧИСТ ПОДЗЕМ'!L8)*СПРАВОЧНИК!$N$5)+СПРАВОЧНИК!$F$6*(('ФАКТ ЧИСТ ПОДЗЕМ'!M8)*СПРАВОЧНИК!$L$6+('ФАКТ ЧИСТ ПОДЗЕМ'!N8)*СПРАВОЧНИК!$M$6+('ФАКТ ЧИСТ ПОДЗЕМ'!O8)*СПРАВОЧНИК!$N$6+('ФАКТ ЧИСТ ПОДЗЕМ'!P8)*СПРАВОЧНИК!$O$6)+СПРАВОЧНИК!$F$7*(('ФАКТ ЧИСТ ПОДЗЕМ'!Q8)*СПРАВОЧНИК!$L$7+('ФАКТ ЧИСТ ПОДЗЕМ'!R8)*СПРАВОЧНИК!$M$7+('ФАКТ ЧИСТ ПОДЗЕМ'!S8)*СПРАВОЧНИК!$N$7+('ФАКТ ЧИСТ ПОДЗЕМ'!T8)*СПРАВОЧНИК!$O$7)+СПРАВОЧНИК!$F$8*(('ФАКТ ЧИСТ ПОДЗЕМ'!U8)*СПРАВОЧНИК!$L$8+('ФАКТ ЧИСТ ПОДЗЕМ'!V8)*СПРАВОЧНИК!$M$8+('ФАКТ ЧИСТ ПОДЗЕМ'!W8)*СПРАВОЧНИК!$N$8)</f>
        <v/>
      </c>
      <c r="I17" s="18">
        <f>I16+7</f>
        <v/>
      </c>
      <c r="J17" s="37">
        <f>'ПЛАН ЧЕРН ПОДЗЕМ'!B8*СПРАВОЧНИК!$H$3+'ПЛАН ЧЕРН ПОДЗЕМ'!C8*СПРАВОЧНИК!$I$3+'ПЛАН ЧЕРН ПОДЗЕМ'!D8*СПРАВОЧНИК!$J$3+'ПЛАН ЧЕРН ПОДЗЕМ'!E8*СПРАВОЧНИК!$H$4+'ПЛАН ЧЕРН ПОДЗЕМ'!F8*СПРАВОЧНИК!$I$4+'ПЛАН ЧЕРН ПОДЗЕМ'!G8*СПРАВОЧНИК!$J$4+'ПЛАН ЧЕРН ПОДЗЕМ'!H8*СПРАВОЧНИК!$H$5+'ПЛАН ЧЕРН ПОДЗЕМ'!I8*СПРАВОЧНИК!$I$5+'ПЛАН ЧЕРН ПОДЗЕМ'!J8*СПРАВОЧНИК!$J$5+'ПЛАН ЧЕРН ПОДЗЕМ'!K8*СПРАВОЧНИК!$H$6+'ПЛАН ЧЕРН ПОДЗЕМ'!L8*СПРАВОЧНИК!$I$6+'ПЛАН ЧЕРН ПОДЗЕМ'!M8*СПРАВОЧНИК!$J$6+'ПЛАН ЧЕРН ПОДЗЕМ'!N8*СПРАВОЧНИК!$H$7+'ПЛАН ЧЕРН ПОДЗЕМ'!O8*СПРАВОЧНИК!$I$7+'ПЛАН ЧЕРН ПОДЗЕМ'!P8*СПРАВОЧНИК!$J$7+'ПЛАН ЧЕРН ПОДЗЕМ'!Q8*СПРАВОЧНИК!$H$8+'ПЛАН ЧЕРН ПОДЗЕМ'!R8*СПРАВОЧНИК!$I$8+'ПЛАН ЧЕРН ПОДЗЕМ'!S8*СПРАВОЧНИК!$J$8</f>
        <v/>
      </c>
      <c r="K17" s="40">
        <f>('ФАКТ ЧЕРН ПОДЗЕМ'!B8)*СПРАВОЧНИК!$H$3+('ФАКТ ЧЕРН ПОДЗЕМ'!C8)*СПРАВОЧНИК!$I$3+('ФАКТ ЧЕРН ПОДЗЕМ'!D8)*СПРАВОЧНИК!$J$3+('ФАКТ ЧЕРН ПОДЗЕМ'!E8)*СПРАВОЧНИК!$H$4+('ФАКТ ЧЕРН ПОДЗЕМ'!F8)*СПРАВОЧНИК!$I$4+('ФАКТ ЧЕРН ПОДЗЕМ'!G8)*СПРАВОЧНИК!$J$4+('ФАКТ ЧЕРН ПОДЗЕМ'!H8)*СПРАВОЧНИК!$H$5+('ФАКТ ЧЕРН ПОДЗЕМ'!I8)*СПРАВОЧНИК!$I$5+('ФАКТ ЧЕРН ПОДЗЕМ'!J8)*СПРАВОЧНИК!$J$5+('ФАКТ ЧЕРН ПОДЗЕМ'!K8)*СПРАВОЧНИК!$H$6+('ФАКТ ЧЕРН ПОДЗЕМ'!L8)*СПРАВОЧНИК!$I$6+('ФАКТ ЧЕРН ПОДЗЕМ'!M8)*СПРАВОЧНИК!$J$6+('ФАКТ ЧЕРН ПОДЗЕМ'!N8)*СПРАВОЧНИК!$H$7+('ФАКТ ЧЕРН ПОДЗЕМ'!O8)*СПРАВОЧНИК!$I$7+('ФАКТ ЧЕРН ПОДЗЕМ'!P8)*СПРАВОЧНИК!$J$7+('ФАКТ ЧЕРН ПОДЗЕМ'!Q8)*СПРАВОЧНИК!$H$8+('ФАКТ ЧЕРН ПОДЗЕМ'!R8)*СПРАВОЧНИК!$I$8+('ФАКТ ЧЕРН ПОДЗЕМ'!S8)*СПРАВОЧНИК!$J$8</f>
        <v/>
      </c>
      <c r="O17" s="18">
        <f>O16+7</f>
        <v/>
      </c>
      <c r="P17" s="37">
        <f>'ПЛАН ЧИСТ ПОДЗЕМ'!B8*СПРАВОЧНИК!$L$3+'ПЛАН ЧИСТ ПОДЗЕМ'!C8*СПРАВОЧНИК!$M$3+'ПЛАН ЧИСТ ПОДЗЕМ'!D8*СПРАВОЧНИК!$N$3+'ПЛАН ЧИСТ ПОДЗЕМ'!E8*СПРАВОЧНИК!$O$3+'ПЛАН ЧИСТ ПОДЗЕМ'!F8*СПРАВОЧНИК!$L$4+'ПЛАН ЧИСТ ПОДЗЕМ'!G8*СПРАВОЧНИК!$M$4+'ПЛАН ЧИСТ ПОДЗЕМ'!H8*СПРАВОЧНИК!$N$4+'ПЛАН ЧИСТ ПОДЗЕМ'!I8*СПРАВОЧНИК!$O$4+'ПЛАН ЧИСТ ПОДЗЕМ'!J8*СПРАВОЧНИК!$L$5+'ПЛАН ЧИСТ ПОДЗЕМ'!K8*СПРАВОЧНИК!$M$5+'ПЛАН ЧИСТ ПОДЗЕМ'!L8*СПРАВОЧНИК!$N$5+'ПЛАН ЧИСТ ПОДЗЕМ'!M8*СПРАВОЧНИК!$L$6+'ПЛАН ЧИСТ ПОДЗЕМ'!N8*СПРАВОЧНИК!$M$6+'ПЛАН ЧИСТ ПОДЗЕМ'!O8*СПРАВОЧНИК!$N$6+'ПЛАН ЧИСТ ПОДЗЕМ'!P8*СПРАВОЧНИК!$O$6+'ПЛАН ЧИСТ ПОДЗЕМ'!Q8*СПРАВОЧНИК!$L$7+'ПЛАН ЧИСТ ПОДЗЕМ'!R8*СПРАВОЧНИК!$M$7+'ПЛАН ЧИСТ ПОДЗЕМ'!S8*СПРАВОЧНИК!$N$7+'ПЛАН ЧИСТ ПОДЗЕМ'!T8*СПРАВОЧНИК!$O$7+'ПЛАН ЧИСТ ПОДЗЕМ'!U8*СПРАВОЧНИК!$L$8+'ПЛАН ЧИСТ ПОДЗЕМ'!V8*СПРАВОЧНИК!$M$8+'ПЛАН ЧИСТ ПОДЗЕМ'!W8*СПРАВОЧНИК!$N$8</f>
        <v/>
      </c>
      <c r="Q17" s="40">
        <f>('ФАКТ ЧИСТ ПОДЗЕМ'!B8)*СПРАВОЧНИК!$L$3+('ФАКТ ЧИСТ ПОДЗЕМ'!C8)*СПРАВОЧНИК!$M$3+('ФАКТ ЧИСТ ПОДЗЕМ'!D8)*СПРАВОЧНИК!$N$3+('ФАКТ ЧИСТ ПОДЗЕМ'!E8)*СПРАВОЧНИК!$O$3+('ФАКТ ЧИСТ ПОДЗЕМ'!F8)*СПРАВОЧНИК!$L$4+('ФАКТ ЧИСТ ПОДЗЕМ'!G8)*СПРАВОЧНИК!$M$4+('ФАКТ ЧИСТ ПОДЗЕМ'!H8)*СПРАВОЧНИК!$N$4+('ФАКТ ЧИСТ ПОДЗЕМ'!I8)*СПРАВОЧНИК!$O$4+('ФАКТ ЧИСТ ПОДЗЕМ'!J8)*СПРАВОЧНИК!$L$5+('ФАКТ ЧИСТ ПОДЗЕМ'!K8)*СПРАВОЧНИК!$M$5+('ФАКТ ЧИСТ ПОДЗЕМ'!L8)*СПРАВОЧНИК!$N$5+('ФАКТ ЧИСТ ПОДЗЕМ'!M8)*СПРАВОЧНИК!$L$6+('ФАКТ ЧИСТ ПОДЗЕМ'!N8)*СПРАВОЧНИК!$M$6+('ФАКТ ЧИСТ ПОДЗЕМ'!O8)*СПРАВОЧНИК!$N$6+('ФАКТ ЧИСТ ПОДЗЕМ'!P8)*СПРАВОЧНИК!$O$6+('ФАКТ ЧИСТ ПОДЗЕМ'!Q8)*СПРАВОЧНИК!$L$7+('ФАКТ ЧИСТ ПОДЗЕМ'!R8)*СПРАВОЧНИК!$M$7+('ФАКТ ЧИСТ ПОДЗЕМ'!S8)*СПРАВОЧНИК!$N$7+('ФАКТ ЧИСТ ПОДЗЕМ'!T8)*СПРАВОЧНИК!$O$7+('ФАКТ ЧИСТ ПОДЗЕМ'!U8)*СПРАВОЧНИК!$L$8+('ФАКТ ЧИСТ ПОДЗЕМ'!V8)*СПРАВОЧНИК!$M$8+('ФАКТ ЧИСТ ПОДЗЕМ'!W8)*СПРАВОЧНИК!$N$8</f>
        <v/>
      </c>
      <c r="U17" s="18">
        <f>U16+7</f>
        <v/>
      </c>
      <c r="V17" s="37">
        <f>СПРАВОЧНИК!$E$9*('ПЛАН ЧЕРН К1'!B8*СПРАВОЧНИК!$H$9+'ПЛАН ЧЕРН К1'!C8*СПРАВОЧНИК!$I$9+'ПЛАН ЧЕРН К1'!D8*СПРАВОЧНИК!$J$9)+СПРАВОЧНИК!$E$10*('ПЛАН ЧЕРН К1'!E8*СПРАВОЧНИК!$H$10+'ПЛАН ЧЕРН К1'!F8*СПРАВОЧНИК!$I$10+'ПЛАН ЧЕРН К1'!G8*СПРАВОЧНИК!$J$10)+СПРАВОЧНИК!$E$11*('ПЛАН ЧЕРН К1'!H8*СПРАВОЧНИК!$H$11+'ПЛАН ЧЕРН К1'!I8*СПРАВОЧНИК!$I$11+'ПЛАН ЧЕРН К1'!J8*СПРАВОЧНИК!$J$11)+СПРАВОЧНИК!$E$12*('ПЛАН ЧЕРН К1'!K8*СПРАВОЧНИК!$H$12+'ПЛАН ЧЕРН К1'!L8*СПРАВОЧНИК!$I$12+'ПЛАН ЧЕРН К1'!M8*СПРАВОЧНИК!$J$12)+СПРАВОЧНИК!$E$13*('ПЛАН ЧЕРН К1'!N8*СПРАВОЧНИК!$H$13+'ПЛАН ЧЕРН К1'!O8*СПРАВОЧНИК!$I$13+'ПЛАН ЧЕРН К1'!P8*СПРАВОЧНИК!$J$13)+СПРАВОЧНИК!$E$14*('ПЛАН ЧЕРН К1'!Q8*СПРАВОЧНИК!$H$14+'ПЛАН ЧЕРН К1'!R8*СПРАВОЧНИК!$I$14+'ПЛАН ЧЕРН К1'!S8*СПРАВОЧНИК!$J$14)+СПРАВОЧНИК!$E$15*('ПЛАН ЧЕРН К1'!T8*СПРАВОЧНИК!$H$15+'ПЛАН ЧЕРН К1'!U8*СПРАВОЧНИК!$I$15+'ПЛАН ЧЕРН К1'!V8*СПРАВОЧНИК!$J$15)+СПРАВОЧНИК!$F$9*('ПЛАН ЧИСТ К1'!B8*СПРАВОЧНИК!$L$9+'ПЛАН ЧИСТ К1'!C8*СПРАВОЧНИК!$M$9+'ПЛАН ЧИСТ К1'!D8*СПРАВОЧНИК!$N$9+'ПЛАН ЧИСТ К1'!E8*СПРАВОЧНИК!$O$9)+СПРАВОЧНИК!$F$10*('ПЛАН ЧИСТ К1'!F8*СПРАВОЧНИК!$L$10+'ПЛАН ЧИСТ К1'!G8*СПРАВОЧНИК!$M$10+'ПЛАН ЧИСТ К1'!H8*СПРАВОЧНИК!$N$10+'ПЛАН ЧИСТ К1'!I8*СПРАВОЧНИК!$O$10)+СПРАВОЧНИК!$F$11*('ПЛАН ЧИСТ К1'!J8*СПРАВОЧНИК!$L$11+'ПЛАН ЧИСТ К1'!K8*СПРАВОЧНИК!$M$11+'ПЛАН ЧИСТ К1'!L8*СПРАВОЧНИК!$N$11)+СПРАВОЧНИК!$F$12*('ПЛАН ЧИСТ К1'!M8*СПРАВОЧНИК!$L$12+'ПЛАН ЧИСТ К1'!N8*СПРАВОЧНИК!$M$12+'ПЛАН ЧИСТ К1'!O8*СПРАВОЧНИК!$N$12+'ПЛАН ЧИСТ К1'!P8*СПРАВОЧНИК!$O$12)+СПРАВОЧНИК!$F$13*('ПЛАН ЧИСТ К1'!Q8*СПРАВОЧНИК!$L$13+'ПЛАН ЧИСТ К1'!R8*СПРАВОЧНИК!$M$13+'ПЛАН ЧИСТ К1'!S8*СПРАВОЧНИК!$N$13+'ПЛАН ЧИСТ К1'!T8*СПРАВОЧНИК!$O$13)+СПРАВОЧНИК!$F$14*('ПЛАН ЧИСТ К1'!U8*СПРАВОЧНИК!$L$14+'ПЛАН ЧИСТ К1'!V8*СПРАВОЧНИК!$M$14+'ПЛАН ЧИСТ К1'!W8*СПРАВОЧНИК!$N$14)+СПРАВОЧНИК!$F$15*('ПЛАН ЧИСТ К1'!X8*СПРАВОЧНИК!$L$15+'ПЛАН ЧИСТ К1'!Y8*СПРАВОЧНИК!$M$15+'ПЛАН ЧИСТ К1'!Z8*СПРАВОЧНИК!$N$15)</f>
        <v/>
      </c>
      <c r="W17" s="40">
        <f>СПРАВОЧНИК!$E$9*(('ФАКТ ЧЕРН К1'!B8)*СПРАВОЧНИК!$H$9+('ФАКТ ЧЕРН К1'!C8)*СПРАВОЧНИК!$I$9+('ФАКТ ЧЕРН К1'!D8)*СПРАВОЧНИК!$J$9)+СПРАВОЧНИК!$E$10*(('ФАКТ ЧЕРН К1'!E8)*СПРАВОЧНИК!$H$10+('ФАКТ ЧЕРН К1'!F8)*СПРАВОЧНИК!$I$10+('ФАКТ ЧЕРН К1'!G8)*СПРАВОЧНИК!$J$10)+СПРАВОЧНИК!$E$11*(('ФАКТ ЧЕРН К1'!H8)*СПРАВОЧНИК!$H$11+('ФАКТ ЧЕРН К1'!I8)*СПРАВОЧНИК!$I$11+('ФАКТ ЧЕРН К1'!J8)*СПРАВОЧНИК!$J$11)+СПРАВОЧНИК!$E$12*(('ФАКТ ЧЕРН К1'!K8)*СПРАВОЧНИК!$H$12+('ФАКТ ЧЕРН К1'!L8)*СПРАВОЧНИК!$I$12+('ФАКТ ЧЕРН К1'!M8)*СПРАВОЧНИК!$J$12)+СПРАВОЧНИК!$E$13*(('ФАКТ ЧЕРН К1'!N8)*СПРАВОЧНИК!$H$13+('ФАКТ ЧЕРН К1'!O8)*СПРАВОЧНИК!$I$13+('ФАКТ ЧЕРН К1'!P8)*СПРАВОЧНИК!$J$13)+СПРАВОЧНИК!$E$14*(('ФАКТ ЧЕРН К1'!Q8)*СПРАВОЧНИК!$H$14+('ФАКТ ЧЕРН К1'!R8)*СПРАВОЧНИК!$I$14+('ФАКТ ЧЕРН К1'!S8)*СПРАВОЧНИК!$J$14)+СПРАВОЧНИК!$E$15*(('ФАКТ ЧЕРН К1'!T8)*СПРАВОЧНИК!$H$15+('ФАКТ ЧЕРН К1'!U8)*СПРАВОЧНИК!$I$15+('ФАКТ ЧЕРН К1'!V8)*СПРАВОЧНИК!$J$15)+СПРАВОЧНИК!$F$9*(('ФАКТ ЧИСТ К1'!B8)*СПРАВОЧНИК!$L$9+('ФАКТ ЧИСТ К1'!C8)*СПРАВОЧНИК!$M$9+('ФАКТ ЧИСТ К1'!D8)*СПРАВОЧНИК!$N$9+('ФАКТ ЧИСТ К1'!E8)*СПРАВОЧНИК!$O$9)+СПРАВОЧНИК!$F$10*(('ФАКТ ЧИСТ К1'!F8)*СПРАВОЧНИК!$L$10+('ФАКТ ЧИСТ К1'!G8)*СПРАВОЧНИК!$M$10+('ФАКТ ЧИСТ К1'!H8)*СПРАВОЧНИК!$N$10+('ФАКТ ЧИСТ К1'!I8)*СПРАВОЧНИК!$O$10)+СПРАВОЧНИК!$F$11*(('ФАКТ ЧИСТ К1'!J8)*СПРАВОЧНИК!$L$11+('ФАКТ ЧИСТ К1'!K8)*СПРАВОЧНИК!$M$11+('ФАКТ ЧИСТ К1'!L8)*СПРАВОЧНИК!$N$11)+СПРАВОЧНИК!$F$12*(('ФАКТ ЧИСТ К1'!M8)*СПРАВОЧНИК!$L$12+('ФАКТ ЧИСТ К1'!N8)*СПРАВОЧНИК!$M$12+('ФАКТ ЧИСТ К1'!O8)*СПРАВОЧНИК!$N$12+('ФАКТ ЧИСТ К1'!P8)*СПРАВОЧНИК!$O$12)+СПРАВОЧНИК!$F$13*(('ФАКТ ЧИСТ К1'!Q8)*СПРАВОЧНИК!$L$13+('ФАКТ ЧИСТ К1'!R8)*СПРАВОЧНИК!$M$13+('ФАКТ ЧИСТ К1'!S8)*СПРАВОЧНИК!$N$13+('ФАКТ ЧИСТ К1'!T8)*СПРАВОЧНИК!$O$13)+СПРАВОЧНИК!$F$14*(('ФАКТ ЧИСТ К1'!U8)*СПРАВОЧНИК!$L$14+('ФАКТ ЧИСТ К1'!V8)*СПРАВОЧНИК!$M$14+('ФАКТ ЧИСТ К1'!W8)*СПРАВОЧНИК!$N$14)+СПРАВОЧНИК!$F$15*(('ФАКТ ЧИСТ К1'!X8)*СПРАВОЧНИК!$L$15+('ФАКТ ЧИСТ К1'!Y8)*СПРАВОЧНИК!$M$15+('ФАКТ ЧИСТ К1'!Z8)*СПРАВОЧНИК!$N$15)</f>
        <v/>
      </c>
      <c r="AA17" s="18">
        <f>AA16+7</f>
        <v/>
      </c>
      <c r="AB17" s="37">
        <f>'ПЛАН ЧЕРН К1'!B8*СПРАВОЧНИК!$H$9+'ПЛАН ЧЕРН К1'!C8*СПРАВОЧНИК!$I$9+'ПЛАН ЧЕРН К1'!D8*СПРАВОЧНИК!$J$9+'ПЛАН ЧЕРН К1'!E8*СПРАВОЧНИК!$H$10+'ПЛАН ЧЕРН К1'!F8*СПРАВОЧНИК!$I$10+'ПЛАН ЧЕРН К1'!G8*СПРАВОЧНИК!$J$10+'ПЛАН ЧЕРН К1'!H8*СПРАВОЧНИК!$H$11+'ПЛАН ЧЕРН К1'!I8*СПРАВОЧНИК!$I$11+'ПЛАН ЧЕРН К1'!J8*СПРАВОЧНИК!$J$11+'ПЛАН ЧЕРН К1'!K8*СПРАВОЧНИК!$H$12+'ПЛАН ЧЕРН К1'!L8*СПРАВОЧНИК!$I$12+'ПЛАН ЧЕРН К1'!M8*СПРАВОЧНИК!$J$12+'ПЛАН ЧЕРН К1'!N8*СПРАВОЧНИК!$H$13+'ПЛАН ЧЕРН К1'!O8*СПРАВОЧНИК!$I$13+'ПЛАН ЧЕРН К1'!P8*СПРАВОЧНИК!$J$13+'ПЛАН ЧЕРН К1'!Q8*СПРАВОЧНИК!$H$14+'ПЛАН ЧЕРН К1'!R8*СПРАВОЧНИК!$I$14+'ПЛАН ЧЕРН К1'!S8*СПРАВОЧНИК!$J$14+'ПЛАН ЧЕРН К1'!T8*СПРАВОЧНИК!$H$15+'ПЛАН ЧЕРН К1'!U8*СПРАВОЧНИК!$I$15+'ПЛАН ЧЕРН К1'!V8*СПРАВОЧНИК!$J$15</f>
        <v/>
      </c>
      <c r="AC17" s="40">
        <f>('ФАКТ ЧЕРН К1'!B8)*СПРАВОЧНИК!$H$9+('ФАКТ ЧЕРН К1'!C8)*СПРАВОЧНИК!$I$9+('ФАКТ ЧЕРН К1'!D8)*СПРАВОЧНИК!$J$9+('ФАКТ ЧЕРН К1'!E8)*СПРАВОЧНИК!$H$10+('ФАКТ ЧЕРН К1'!F8)*СПРАВОЧНИК!$I$10+('ФАКТ ЧЕРН К1'!G8)*СПРАВОЧНИК!$J$10+('ФАКТ ЧЕРН К1'!H8)*СПРАВОЧНИК!$H$11+('ФАКТ ЧЕРН К1'!I8)*СПРАВОЧНИК!$I$11+('ФАКТ ЧЕРН К1'!J8)*СПРАВОЧНИК!$J$11+('ФАКТ ЧЕРН К1'!K8)*СПРАВОЧНИК!$H$12+('ФАКТ ЧЕРН К1'!L8)*СПРАВОЧНИК!$I$12+('ФАКТ ЧЕРН К1'!M8)*СПРАВОЧНИК!$J$12+('ФАКТ ЧЕРН К1'!N8)*СПРАВОЧНИК!$H$13+('ФАКТ ЧЕРН К1'!O8)*СПРАВОЧНИК!$I$13+('ФАКТ ЧЕРН К1'!P8)*СПРАВОЧНИК!$J$13+('ФАКТ ЧЕРН К1'!Q8)*СПРАВОЧНИК!$H$14+('ФАКТ ЧЕРН К1'!R8)*СПРАВОЧНИК!$I$14+('ФАКТ ЧЕРН К1'!S8)*СПРАВОЧНИК!$J$14+('ФАКТ ЧЕРН К1'!T8)*СПРАВОЧНИК!$H$15+('ФАКТ ЧЕРН К1'!U8)*СПРАВОЧНИК!$I$15+('ФАКТ ЧЕРН К1'!V8)*СПРАВОЧНИК!$J$15</f>
        <v/>
      </c>
      <c r="AG17" s="18">
        <f>AG16+7</f>
        <v/>
      </c>
      <c r="AH17" s="37">
        <f>'ПЛАН ЧИСТ К1'!B8*СПРАВОЧНИК!$L$9+'ПЛАН ЧИСТ К1'!C8*СПРАВОЧНИК!$M$9+'ПЛАН ЧИСТ К1'!D8*СПРАВОЧНИК!$N$9+'ПЛАН ЧИСТ К1'!E8*СПРАВОЧНИК!$O$9+'ПЛАН ЧИСТ К1'!F8*СПРАВОЧНИК!$L$10+'ПЛАН ЧИСТ К1'!G8*СПРАВОЧНИК!$M$10+'ПЛАН ЧИСТ К1'!H8*СПРАВОЧНИК!$N$10+'ПЛАН ЧИСТ К1'!I8*СПРАВОЧНИК!$O$10+'ПЛАН ЧИСТ К1'!J8*СПРАВОЧНИК!$L$11+'ПЛАН ЧИСТ К1'!K8*СПРАВОЧНИК!$M$11+'ПЛАН ЧИСТ К1'!L8*СПРАВОЧНИК!$N$11+'ПЛАН ЧИСТ К1'!M8*СПРАВОЧНИК!$L$12+'ПЛАН ЧИСТ К1'!N8*СПРАВОЧНИК!$M$12+'ПЛАН ЧИСТ К1'!O8*СПРАВОЧНИК!$N$12+'ПЛАН ЧИСТ К1'!P8*СПРАВОЧНИК!$O$12+'ПЛАН ЧИСТ К1'!Q8*СПРАВОЧНИК!$L$13+'ПЛАН ЧИСТ К1'!R8*СПРАВОЧНИК!$M$13+'ПЛАН ЧИСТ К1'!S8*СПРАВОЧНИК!$N$13+'ПЛАН ЧИСТ К1'!T8*СПРАВОЧНИК!$O$13+'ПЛАН ЧИСТ К1'!U8*СПРАВОЧНИК!$L$14+'ПЛАН ЧИСТ К1'!V8*СПРАВОЧНИК!$M$14+'ПЛАН ЧИСТ К1'!W8*СПРАВОЧНИК!$N$14+'ПЛАН ЧИСТ К1'!X8*СПРАВОЧНИК!$L$15+'ПЛАН ЧИСТ К1'!Y8*СПРАВОЧНИК!$M$15+'ПЛАН ЧИСТ К1'!Z8*СПРАВОЧНИК!$N$15</f>
        <v/>
      </c>
      <c r="AI17" s="40">
        <f>('ФАКТ ЧИСТ К1'!B8)*СПРАВОЧНИК!$L$9+('ФАКТ ЧИСТ К1'!C8)*СПРАВОЧНИК!$M$9+('ФАКТ ЧИСТ К1'!D8)*СПРАВОЧНИК!$N$9+('ФАКТ ЧИСТ К1'!E8)*СПРАВОЧНИК!$O$9+('ФАКТ ЧИСТ К1'!F8)*СПРАВОЧНИК!$L$10+('ФАКТ ЧИСТ К1'!G8)*СПРАВОЧНИК!$M$10+('ФАКТ ЧИСТ К1'!H8)*СПРАВОЧНИК!$N$10+('ФАКТ ЧИСТ К1'!I8)*СПРАВОЧНИК!$O$10+('ФАКТ ЧИСТ К1'!J8)*СПРАВОЧНИК!$L$11+('ФАКТ ЧИСТ К1'!K8)*СПРАВОЧНИК!$M$11+('ФАКТ ЧИСТ К1'!L8)*СПРАВОЧНИК!$N$11+('ФАКТ ЧИСТ К1'!M8)*СПРАВОЧНИК!$L$12+('ФАКТ ЧИСТ К1'!N8)*СПРАВОЧНИК!$M$12+('ФАКТ ЧИСТ К1'!O8)*СПРАВОЧНИК!$N$12+('ФАКТ ЧИСТ К1'!P8)*СПРАВОЧНИК!$O$12+('ФАКТ ЧИСТ К1'!Q8)*СПРАВОЧНИК!$L$13+('ФАКТ ЧИСТ К1'!R8)*СПРАВОЧНИК!$M$13+('ФАКТ ЧИСТ К1'!S8)*СПРАВОЧНИК!$N$13+('ФАКТ ЧИСТ К1'!T8)*СПРАВОЧНИК!$O$13+('ФАКТ ЧИСТ К1'!U8)*СПРАВОЧНИК!$L$14+('ФАКТ ЧИСТ К1'!V8)*СПРАВОЧНИК!$M$14+('ФАКТ ЧИСТ К1'!W8)*СПРАВОЧНИК!$N$14+('ФАКТ ЧИСТ К1'!X8)*СПРАВОЧНИК!$L$15+('ФАКТ ЧИСТ К1'!Y8)*СПРАВОЧНИК!$M$15+('ФАКТ ЧИСТ К1'!Z8)*СПРАВОЧНИК!$N$15</f>
        <v/>
      </c>
      <c r="AM17" s="18">
        <f>AM16+7</f>
        <v/>
      </c>
      <c r="AN17" s="37">
        <f>СПРАВОЧНИК!$E$9*('ПЛАН ЧЕРН К2'!B8*СПРАВОЧНИК!$H$9+'ПЛАН ЧЕРН К2'!C8*СПРАВОЧНИК!$I$9+'ПЛАН ЧЕРН К2'!D8*СПРАВОЧНИК!$J$9)+СПРАВОЧНИК!$E$10*('ПЛАН ЧЕРН К2'!E8*СПРАВОЧНИК!$H$10+'ПЛАН ЧЕРН К2'!F8*СПРАВОЧНИК!$I$10+'ПЛАН ЧЕРН К2'!G8*СПРАВОЧНИК!$J$10)+СПРАВОЧНИК!$E$11*('ПЛАН ЧЕРН К2'!H8*СПРАВОЧНИК!$H$11+'ПЛАН ЧЕРН К2'!I8*СПРАВОЧНИК!$I$11+'ПЛАН ЧЕРН К2'!J8*СПРАВОЧНИК!$J$11)+СПРАВОЧНИК!$E$12*('ПЛАН ЧЕРН К2'!K8*СПРАВОЧНИК!$H$12+'ПЛАН ЧЕРН К2'!L8*СПРАВОЧНИК!$I$12+'ПЛАН ЧЕРН К2'!M8*СПРАВОЧНИК!$J$12)+СПРАВОЧНИК!$E$13*('ПЛАН ЧЕРН К2'!N8*СПРАВОЧНИК!$H$13+'ПЛАН ЧЕРН К2'!O8*СПРАВОЧНИК!$I$13+'ПЛАН ЧЕРН К2'!P8*СПРАВОЧНИК!$J$13)+СПРАВОЧНИК!$E$14*('ПЛАН ЧЕРН К2'!Q8*СПРАВОЧНИК!$H$14+'ПЛАН ЧЕРН К2'!R8*СПРАВОЧНИК!$I$14+'ПЛАН ЧЕРН К2'!S8*СПРАВОЧНИК!$J$14)+СПРАВОЧНИК!$E$15*('ПЛАН ЧЕРН К2'!T8*СПРАВОЧНИК!$H$15+'ПЛАН ЧЕРН К2'!U8*СПРАВОЧНИК!$I$15+'ПЛАН ЧЕРН К2'!V8*СПРАВОЧНИК!$J$15)+СПРАВОЧНИК!$F$9*('ПЛАН ЧИСТ К2'!B8*СПРАВОЧНИК!$L$9+'ПЛАН ЧИСТ К2'!C8*СПРАВОЧНИК!$M$9+'ПЛАН ЧИСТ К2'!D8*СПРАВОЧНИК!$N$9+'ПЛАН ЧИСТ К2'!E8*СПРАВОЧНИК!$O$9)+СПРАВОЧНИК!$F$10*('ПЛАН ЧИСТ К2'!F8*СПРАВОЧНИК!$L$10+'ПЛАН ЧИСТ К2'!G8*СПРАВОЧНИК!$M$10+'ПЛАН ЧИСТ К2'!H8*СПРАВОЧНИК!$N$10+'ПЛАН ЧИСТ К2'!I8*СПРАВОЧНИК!$O$10)+СПРАВОЧНИК!$F$11*('ПЛАН ЧИСТ К2'!J8*СПРАВОЧНИК!$L$11+'ПЛАН ЧИСТ К2'!K8*СПРАВОЧНИК!$M$11+'ПЛАН ЧИСТ К2'!L8*СПРАВОЧНИК!$N$11)+СПРАВОЧНИК!$F$12*('ПЛАН ЧИСТ К2'!M8*СПРАВОЧНИК!$L$12+'ПЛАН ЧИСТ К2'!N8*СПРАВОЧНИК!$M$12+'ПЛАН ЧИСТ К2'!O8*СПРАВОЧНИК!$N$12+'ПЛАН ЧИСТ К2'!P8*СПРАВОЧНИК!$O$12)+СПРАВОЧНИК!$F$13*('ПЛАН ЧИСТ К2'!Q8*СПРАВОЧНИК!$L$13+'ПЛАН ЧИСТ К2'!R8*СПРАВОЧНИК!$M$13+'ПЛАН ЧИСТ К2'!S8*СПРАВОЧНИК!$N$13+'ПЛАН ЧИСТ К2'!T8*СПРАВОЧНИК!$O$13)+СПРАВОЧНИК!$F$14*('ПЛАН ЧИСТ К2'!U8*СПРАВОЧНИК!$L$14+'ПЛАН ЧИСТ К2'!V8*СПРАВОЧНИК!$M$14+'ПЛАН ЧИСТ К2'!W8*СПРАВОЧНИК!$N$14)+СПРАВОЧНИК!$F$15*('ПЛАН ЧИСТ К2'!X8*СПРАВОЧНИК!$L$15+'ПЛАН ЧИСТ К2'!Y8*СПРАВОЧНИК!$M$15+'ПЛАН ЧИСТ К2'!Z8*СПРАВОЧНИК!$N$15)</f>
        <v/>
      </c>
      <c r="AO17" s="40">
        <f>СПРАВОЧНИК!$E$9*(('ФАКТ ЧЕРН К2'!B8)*СПРАВОЧНИК!$H$9+('ФАКТ ЧЕРН К2'!C8)*СПРАВОЧНИК!$I$9+('ФАКТ ЧЕРН К2'!D8)*СПРАВОЧНИК!$J$9)+СПРАВОЧНИК!$E$10*(('ФАКТ ЧЕРН К2'!E8)*СПРАВОЧНИК!$H$10+('ФАКТ ЧЕРН К2'!F8)*СПРАВОЧНИК!$I$10+('ФАКТ ЧЕРН К2'!G8)*СПРАВОЧНИК!$J$10)+СПРАВОЧНИК!$E$11*(('ФАКТ ЧЕРН К2'!H8)*СПРАВОЧНИК!$H$11+('ФАКТ ЧЕРН К2'!I8)*СПРАВОЧНИК!$I$11+('ФАКТ ЧЕРН К2'!J8)*СПРАВОЧНИК!$J$11)+СПРАВОЧНИК!$E$12*(('ФАКТ ЧЕРН К2'!K8)*СПРАВОЧНИК!$H$12+('ФАКТ ЧЕРН К2'!L8)*СПРАВОЧНИК!$I$12+('ФАКТ ЧЕРН К2'!M8)*СПРАВОЧНИК!$J$12)+СПРАВОЧНИК!$E$13*(('ФАКТ ЧЕРН К2'!N8)*СПРАВОЧНИК!$H$13+('ФАКТ ЧЕРН К2'!O8)*СПРАВОЧНИК!$I$13+('ФАКТ ЧЕРН К2'!P8)*СПРАВОЧНИК!$J$13)+СПРАВОЧНИК!$E$14*(('ФАКТ ЧЕРН К2'!Q8)*СПРАВОЧНИК!$H$14+('ФАКТ ЧЕРН К2'!R8)*СПРАВОЧНИК!$I$14+('ФАКТ ЧЕРН К2'!S8)*СПРАВОЧНИК!$J$14)+СПРАВОЧНИК!$E$15*(('ФАКТ ЧЕРН К2'!T8)*СПРАВОЧНИК!$H$15+('ФАКТ ЧЕРН К2'!U8)*СПРАВОЧНИК!$I$15+('ФАКТ ЧЕРН К2'!V8)*СПРАВОЧНИК!$J$15)+СПРАВОЧНИК!$F$9*(('ФАКТ ЧИСТ К2'!B8)*СПРАВОЧНИК!$L$9+('ФАКТ ЧИСТ К2'!C8)*СПРАВОЧНИК!$M$9+('ФАКТ ЧИСТ К2'!D8)*СПРАВОЧНИК!$N$9+('ФАКТ ЧИСТ К2'!E8)*СПРАВОЧНИК!$O$9)+СПРАВОЧНИК!$F$10*(('ФАКТ ЧИСТ К2'!F8)*СПРАВОЧНИК!$L$10+('ФАКТ ЧИСТ К2'!G8)*СПРАВОЧНИК!$M$10+('ФАКТ ЧИСТ К2'!H8)*СПРАВОЧНИК!$N$10+('ФАКТ ЧИСТ К2'!I8)*СПРАВОЧНИК!$O$10)+СПРАВОЧНИК!$F$11*(('ФАКТ ЧИСТ К2'!J8)*СПРАВОЧНИК!$L$11+('ФАКТ ЧИСТ К2'!K8)*СПРАВОЧНИК!$M$11+('ФАКТ ЧИСТ К2'!L8)*СПРАВОЧНИК!$N$11)+СПРАВОЧНИК!$F$12*(('ФАКТ ЧИСТ К2'!M8)*СПРАВОЧНИК!$L$12+('ФАКТ ЧИСТ К2'!N8)*СПРАВОЧНИК!$M$12+('ФАКТ ЧИСТ К2'!O8)*СПРАВОЧНИК!$N$12+('ФАКТ ЧИСТ К2'!P8)*СПРАВОЧНИК!$O$12)+СПРАВОЧНИК!$F$13*(('ФАКТ ЧИСТ К2'!Q8)*СПРАВОЧНИК!$L$13+('ФАКТ ЧИСТ К2'!R8)*СПРАВОЧНИК!$M$13+('ФАКТ ЧИСТ К2'!S8)*СПРАВОЧНИК!$N$13+('ФАКТ ЧИСТ К2'!T8)*СПРАВОЧНИК!$O$13)+СПРАВОЧНИК!$F$14*(('ФАКТ ЧИСТ К2'!U8)*СПРАВОЧНИК!$L$14+('ФАКТ ЧИСТ К2'!V8)*СПРАВОЧНИК!$M$14+('ФАКТ ЧИСТ К2'!W8)*СПРАВОЧНИК!$N$14)+СПРАВОЧНИК!$F$15*(('ФАКТ ЧИСТ К2'!X8)*СПРАВОЧНИК!$L$15+('ФАКТ ЧИСТ К2'!Y8)*СПРАВОЧНИК!$M$15+('ФАКТ ЧИСТ К2'!Z8)*СПРАВОЧНИК!$N$15)</f>
        <v/>
      </c>
      <c r="AS17" s="18">
        <f>AS16+7</f>
        <v/>
      </c>
      <c r="AT17" s="37">
        <f>'ПЛАН ЧЕРН К2'!B8*СПРАВОЧНИК!$H$9+'ПЛАН ЧЕРН К2'!C8*СПРАВОЧНИК!$I$9+'ПЛАН ЧЕРН К2'!D8*СПРАВОЧНИК!$J$9+'ПЛАН ЧЕРН К2'!E8*СПРАВОЧНИК!$H$10+'ПЛАН ЧЕРН К2'!F8*СПРАВОЧНИК!$I$10+'ПЛАН ЧЕРН К2'!G8*СПРАВОЧНИК!$J$10+'ПЛАН ЧЕРН К2'!H8*СПРАВОЧНИК!$H$11+'ПЛАН ЧЕРН К2'!I8*СПРАВОЧНИК!$I$11+'ПЛАН ЧЕРН К2'!J8*СПРАВОЧНИК!$J$11+'ПЛАН ЧЕРН К2'!K8*СПРАВОЧНИК!$H$12+'ПЛАН ЧЕРН К2'!L8*СПРАВОЧНИК!$I$12+'ПЛАН ЧЕРН К2'!M8*СПРАВОЧНИК!$J$12+'ПЛАН ЧЕРН К2'!N8*СПРАВОЧНИК!$H$13+'ПЛАН ЧЕРН К2'!O8*СПРАВОЧНИК!$I$13+'ПЛАН ЧЕРН К2'!P8*СПРАВОЧНИК!$J$13+'ПЛАН ЧЕРН К2'!Q8*СПРАВОЧНИК!$H$14+'ПЛАН ЧЕРН К2'!R8*СПРАВОЧНИК!$I$14+'ПЛАН ЧЕРН К2'!S8*СПРАВОЧНИК!$J$14+'ПЛАН ЧЕРН К2'!T8*СПРАВОЧНИК!$H$15+'ПЛАН ЧЕРН К2'!U8*СПРАВОЧНИК!$I$15+'ПЛАН ЧЕРН К2'!V8*СПРАВОЧНИК!$J$15</f>
        <v/>
      </c>
      <c r="AU17" s="40">
        <f>('ФАКТ ЧЕРН К2'!B8)*СПРАВОЧНИК!$H$9+('ФАКТ ЧЕРН К2'!C8)*СПРАВОЧНИК!$I$9+('ФАКТ ЧЕРН К2'!D8)*СПРАВОЧНИК!$J$9+('ФАКТ ЧЕРН К2'!E8)*СПРАВОЧНИК!$H$10+('ФАКТ ЧЕРН К2'!F8)*СПРАВОЧНИК!$I$10+('ФАКТ ЧЕРН К2'!G8)*СПРАВОЧНИК!$J$10+('ФАКТ ЧЕРН К2'!H8)*СПРАВОЧНИК!$H$11+('ФАКТ ЧЕРН К2'!I8)*СПРАВОЧНИК!$I$11+('ФАКТ ЧЕРН К2'!J8)*СПРАВОЧНИК!$J$11+('ФАКТ ЧЕРН К2'!K8)*СПРАВОЧНИК!$H$12+('ФАКТ ЧЕРН К2'!L8)*СПРАВОЧНИК!$I$12+('ФАКТ ЧЕРН К2'!M8)*СПРАВОЧНИК!$J$12+('ФАКТ ЧЕРН К2'!N8)*СПРАВОЧНИК!$H$13+('ФАКТ ЧЕРН К2'!O8)*СПРАВОЧНИК!$I$13+('ФАКТ ЧЕРН К2'!P8)*СПРАВОЧНИК!$J$13+('ФАКТ ЧЕРН К2'!Q8)*СПРАВОЧНИК!$H$14+('ФАКТ ЧЕРН К2'!R8)*СПРАВОЧНИК!$I$14+('ФАКТ ЧЕРН К2'!S8)*СПРАВОЧНИК!$J$14+('ФАКТ ЧЕРН К2'!T8)*СПРАВОЧНИК!$H$15+('ФАКТ ЧЕРН К2'!U8)*СПРАВОЧНИК!$I$15+('ФАКТ ЧЕРН К2'!V8)*СПРАВОЧНИК!$J$15</f>
        <v/>
      </c>
      <c r="AY17" s="18">
        <f>AY16+7</f>
        <v/>
      </c>
      <c r="AZ17" s="37">
        <f>'ПЛАН ЧИСТ К2'!B8*СПРАВОЧНИК!$L$9+'ПЛАН ЧИСТ К2'!C8*СПРАВОЧНИК!$M$9+'ПЛАН ЧИСТ К2'!D8*СПРАВОЧНИК!$N$9+'ПЛАН ЧИСТ К2'!E8*СПРАВОЧНИК!$O$9+'ПЛАН ЧИСТ К2'!F8*СПРАВОЧНИК!$L$10+'ПЛАН ЧИСТ К2'!G8*СПРАВОЧНИК!$M$10+'ПЛАН ЧИСТ К2'!H8*СПРАВОЧНИК!$N$10+'ПЛАН ЧИСТ К2'!I8*СПРАВОЧНИК!$O$10+'ПЛАН ЧИСТ К2'!J8*СПРАВОЧНИК!$L$11+'ПЛАН ЧИСТ К2'!K8*СПРАВОЧНИК!$M$11+'ПЛАН ЧИСТ К2'!L8*СПРАВОЧНИК!$N$11+'ПЛАН ЧИСТ К2'!M8*СПРАВОЧНИК!$L$12+'ПЛАН ЧИСТ К2'!N8*СПРАВОЧНИК!$M$12+'ПЛАН ЧИСТ К2'!O8*СПРАВОЧНИК!$N$12+'ПЛАН ЧИСТ К2'!P8*СПРАВОЧНИК!$O$12+'ПЛАН ЧИСТ К2'!Q8*СПРАВОЧНИК!$L$13+'ПЛАН ЧИСТ К2'!R8*СПРАВОЧНИК!$M$13+'ПЛАН ЧИСТ К2'!S8*СПРАВОЧНИК!$N$13+'ПЛАН ЧИСТ К2'!T8*СПРАВОЧНИК!$O$13+'ПЛАН ЧИСТ К2'!U8*СПРАВОЧНИК!$L$14+'ПЛАН ЧИСТ К2'!V8*СПРАВОЧНИК!$M$14+'ПЛАН ЧИСТ К2'!W8*СПРАВОЧНИК!$N$14+'ПЛАН ЧИСТ К2'!X8*СПРАВОЧНИК!$L$15+'ПЛАН ЧИСТ К2'!Y8*СПРАВОЧНИК!$M$15+'ПЛАН ЧИСТ К2'!Z8*СПРАВОЧНИК!$N$15</f>
        <v/>
      </c>
      <c r="BA17" s="40">
        <f>('ФАКТ ЧИСТ К2'!B8)*СПРАВОЧНИК!$L$9+('ФАКТ ЧИСТ К2'!C8)*СПРАВОЧНИК!$M$9+('ФАКТ ЧИСТ К2'!D8)*СПРАВОЧНИК!$N$9+('ФАКТ ЧИСТ К2'!E8)*СПРАВОЧНИК!$O$9+('ФАКТ ЧИСТ К2'!F8)*СПРАВОЧНИК!$L$10+('ФАКТ ЧИСТ К2'!G8)*СПРАВОЧНИК!$M$10+('ФАКТ ЧИСТ К2'!H8)*СПРАВОЧНИК!$N$10+('ФАКТ ЧИСТ К2'!I8)*СПРАВОЧНИК!$O$10+('ФАКТ ЧИСТ К2'!J8)*СПРАВОЧНИК!$L$11+('ФАКТ ЧИСТ К2'!K8)*СПРАВОЧНИК!$M$11+('ФАКТ ЧИСТ К2'!L8)*СПРАВОЧНИК!$N$11+('ФАКТ ЧИСТ К2'!M8)*СПРАВОЧНИК!$L$12+('ФАКТ ЧИСТ К2'!N8)*СПРАВОЧНИК!$M$12+('ФАКТ ЧИСТ К2'!O8)*СПРАВОЧНИК!$N$12+('ФАКТ ЧИСТ К2'!P8)*СПРАВОЧНИК!$O$12+('ФАКТ ЧИСТ К2'!Q8)*СПРАВОЧНИК!$L$13+('ФАКТ ЧИСТ К2'!R8)*СПРАВОЧНИК!$M$13+('ФАКТ ЧИСТ К2'!S8)*СПРАВОЧНИК!$N$13+('ФАКТ ЧИСТ К2'!T8)*СПРАВОЧНИК!$O$13+('ФАКТ ЧИСТ К2'!U8)*СПРАВОЧНИК!$L$14+('ФАКТ ЧИСТ К2'!V8)*СПРАВОЧНИК!$M$14+('ФАКТ ЧИСТ К2'!W8)*СПРАВОЧНИК!$N$14+('ФАКТ ЧИСТ К2'!X8)*СПРАВОЧНИК!$L$15+('ФАКТ ЧИСТ К2'!Y8)*СПРАВОЧНИК!$M$15+('ФАКТ ЧИСТ К2'!Z8)*СПРАВОЧНИК!$N$15</f>
        <v/>
      </c>
      <c r="BE17" s="18">
        <f>BE16+7</f>
        <v/>
      </c>
      <c r="BF17" s="37">
        <f>СПРАВОЧНИК!$E$9*('ПЛАН ЧЕРН К3'!B8*СПРАВОЧНИК!$H$9+'ПЛАН ЧЕРН К3'!C8*СПРАВОЧНИК!$I$9+'ПЛАН ЧЕРН К3'!D8*СПРАВОЧНИК!$J$9)+СПРАВОЧНИК!$E$10*('ПЛАН ЧЕРН К3'!E8*СПРАВОЧНИК!$H$10+'ПЛАН ЧЕРН К3'!F8*СПРАВОЧНИК!$I$10+'ПЛАН ЧЕРН К3'!G8*СПРАВОЧНИК!$J$10)+СПРАВОЧНИК!$E$11*('ПЛАН ЧЕРН К3'!H8*СПРАВОЧНИК!$H$11+'ПЛАН ЧЕРН К3'!I8*СПРАВОЧНИК!$I$11+'ПЛАН ЧЕРН К3'!J8*СПРАВОЧНИК!$J$11)+СПРАВОЧНИК!$E$12*('ПЛАН ЧЕРН К3'!K8*СПРАВОЧНИК!$H$12+'ПЛАН ЧЕРН К3'!L8*СПРАВОЧНИК!$I$12+'ПЛАН ЧЕРН К3'!M8*СПРАВОЧНИК!$J$12)+СПРАВОЧНИК!$E$13*('ПЛАН ЧЕРН К3'!N8*СПРАВОЧНИК!$H$13+'ПЛАН ЧЕРН К3'!O8*СПРАВОЧНИК!$I$13+'ПЛАН ЧЕРН К3'!P8*СПРАВОЧНИК!$J$13)+СПРАВОЧНИК!$E$14*('ПЛАН ЧЕРН К3'!Q8*СПРАВОЧНИК!$H$14+'ПЛАН ЧЕРН К3'!R8*СПРАВОЧНИК!$I$14+'ПЛАН ЧЕРН К3'!S8*СПРАВОЧНИК!$J$14)+СПРАВОЧНИК!$E$15*('ПЛАН ЧЕРН К3'!T8*СПРАВОЧНИК!$H$15+'ПЛАН ЧЕРН К3'!U8*СПРАВОЧНИК!$I$15+'ПЛАН ЧЕРН К3'!V8*СПРАВОЧНИК!$J$15)+СПРАВОЧНИК!$F$9*('ПЛАН ЧИСТ К3'!B8*СПРАВОЧНИК!$L$9+'ПЛАН ЧИСТ К3'!C8*СПРАВОЧНИК!$M$9+'ПЛАН ЧИСТ К3'!D8*СПРАВОЧНИК!$N$9+'ПЛАН ЧИСТ К3'!E8*СПРАВОЧНИК!$O$9)+СПРАВОЧНИК!$F$10*('ПЛАН ЧИСТ К3'!F8*СПРАВОЧНИК!$L$10+'ПЛАН ЧИСТ К3'!G8*СПРАВОЧНИК!$M$10+'ПЛАН ЧИСТ К3'!H8*СПРАВОЧНИК!$N$10+'ПЛАН ЧИСТ К3'!I8*СПРАВОЧНИК!$O$10)+СПРАВОЧНИК!$F$11*('ПЛАН ЧИСТ К3'!J8*СПРАВОЧНИК!$L$11+'ПЛАН ЧИСТ К3'!K8*СПРАВОЧНИК!$M$11+'ПЛАН ЧИСТ К3'!L8*СПРАВОЧНИК!$N$11)+СПРАВОЧНИК!$F$12*('ПЛАН ЧИСТ К3'!M8*СПРАВОЧНИК!$L$12+'ПЛАН ЧИСТ К3'!N8*СПРАВОЧНИК!$M$12+'ПЛАН ЧИСТ К3'!O8*СПРАВОЧНИК!$N$12+'ПЛАН ЧИСТ К3'!P8*СПРАВОЧНИК!$O$12)+СПРАВОЧНИК!$F$13*('ПЛАН ЧИСТ К3'!Q8*СПРАВОЧНИК!$L$13+'ПЛАН ЧИСТ К3'!R8*СПРАВОЧНИК!$M$13+'ПЛАН ЧИСТ К3'!S8*СПРАВОЧНИК!$N$13+'ПЛАН ЧИСТ К3'!T8*СПРАВОЧНИК!$O$13)+СПРАВОЧНИК!$F$14*('ПЛАН ЧИСТ К3'!U8*СПРАВОЧНИК!$L$14+'ПЛАН ЧИСТ К3'!V8*СПРАВОЧНИК!$M$14+'ПЛАН ЧИСТ К3'!W8*СПРАВОЧНИК!$N$14)+СПРАВОЧНИК!$F$15*('ПЛАН ЧИСТ К3'!X8*СПРАВОЧНИК!$L$15+'ПЛАН ЧИСТ К3'!Y8*СПРАВОЧНИК!$M$15+'ПЛАН ЧИСТ К3'!Z8*СПРАВОЧНИК!$N$15)</f>
        <v/>
      </c>
      <c r="BG17" s="40">
        <f>СПРАВОЧНИК!$E$9*(('ФАКТ ЧЕРН К3'!B8)*СПРАВОЧНИК!$H$9+('ФАКТ ЧЕРН К3'!C8)*СПРАВОЧНИК!$I$9+('ФАКТ ЧЕРН К3'!D8)*СПРАВОЧНИК!$J$9)+СПРАВОЧНИК!$E$10*(('ФАКТ ЧЕРН К3'!E8)*СПРАВОЧНИК!$H$10+('ФАКТ ЧЕРН К3'!F8)*СПРАВОЧНИК!$I$10+('ФАКТ ЧЕРН К3'!G8)*СПРАВОЧНИК!$J$10)+СПРАВОЧНИК!$E$11*(('ФАКТ ЧЕРН К3'!H8)*СПРАВОЧНИК!$H$11+('ФАКТ ЧЕРН К3'!I8)*СПРАВОЧНИК!$I$11+('ФАКТ ЧЕРН К3'!J8)*СПРАВОЧНИК!$J$11)+СПРАВОЧНИК!$E$12*(('ФАКТ ЧЕРН К3'!K8)*СПРАВОЧНИК!$H$12+('ФАКТ ЧЕРН К3'!L8)*СПРАВОЧНИК!$I$12+('ФАКТ ЧЕРН К3'!M8)*СПРАВОЧНИК!$J$12)+СПРАВОЧНИК!$E$13*(('ФАКТ ЧЕРН К3'!N8)*СПРАВОЧНИК!$H$13+('ФАКТ ЧЕРН К3'!O8)*СПРАВОЧНИК!$I$13+('ФАКТ ЧЕРН К3'!P8)*СПРАВОЧНИК!$J$13)+СПРАВОЧНИК!$E$14*(('ФАКТ ЧЕРН К3'!Q8)*СПРАВОЧНИК!$H$14+('ФАКТ ЧЕРН К3'!R8)*СПРАВОЧНИК!$I$14+('ФАКТ ЧЕРН К3'!S8)*СПРАВОЧНИК!$J$14)+СПРАВОЧНИК!$E$15*(('ФАКТ ЧЕРН К3'!T8)*СПРАВОЧНИК!$H$15+('ФАКТ ЧЕРН К3'!U8)*СПРАВОЧНИК!$I$15+('ФАКТ ЧЕРН К3'!V8)*СПРАВОЧНИК!$J$15)+СПРАВОЧНИК!$F$9*(('ФАКТ ЧИСТ К3'!B8)*СПРАВОЧНИК!$L$9+('ФАКТ ЧИСТ К3'!C8)*СПРАВОЧНИК!$M$9+('ФАКТ ЧИСТ К3'!D8)*СПРАВОЧНИК!$N$9+('ФАКТ ЧИСТ К3'!E8)*СПРАВОЧНИК!$O$9)+СПРАВОЧНИК!$F$10*(('ФАКТ ЧИСТ К3'!F8)*СПРАВОЧНИК!$L$10+('ФАКТ ЧИСТ К3'!G8)*СПРАВОЧНИК!$M$10+('ФАКТ ЧИСТ К3'!H8)*СПРАВОЧНИК!$N$10+('ФАКТ ЧИСТ К3'!I8)*СПРАВОЧНИК!$O$10)+СПРАВОЧНИК!$F$11*(('ФАКТ ЧИСТ К3'!J8)*СПРАВОЧНИК!$L$11+('ФАКТ ЧИСТ К3'!K8)*СПРАВОЧНИК!$M$11+('ФАКТ ЧИСТ К3'!L8)*СПРАВОЧНИК!$N$11)+СПРАВОЧНИК!$F$12*(('ФАКТ ЧИСТ К3'!M8)*СПРАВОЧНИК!$L$12+('ФАКТ ЧИСТ К3'!N8)*СПРАВОЧНИК!$M$12+('ФАКТ ЧИСТ К3'!O8)*СПРАВОЧНИК!$N$12+('ФАКТ ЧИСТ К3'!P8)*СПРАВОЧНИК!$O$12)+СПРАВОЧНИК!$F$13*(('ФАКТ ЧИСТ К3'!Q8)*СПРАВОЧНИК!$L$13+('ФАКТ ЧИСТ К3'!R8)*СПРАВОЧНИК!$M$13+('ФАКТ ЧИСТ К3'!S8)*СПРАВОЧНИК!$N$13+('ФАКТ ЧИСТ К3'!T8)*СПРАВОЧНИК!$O$13)+СПРАВОЧНИК!$F$14*(('ФАКТ ЧИСТ К3'!U8)*СПРАВОЧНИК!$L$14+('ФАКТ ЧИСТ К3'!V8)*СПРАВОЧНИК!$M$14+('ФАКТ ЧИСТ К3'!W8)*СПРАВОЧНИК!$N$14)+СПРАВОЧНИК!$F$15*(('ФАКТ ЧИСТ К3'!X8)*СПРАВОЧНИК!$L$15+('ФАКТ ЧИСТ К3'!Y8)*СПРАВОЧНИК!$M$15+('ФАКТ ЧИСТ К3'!Z8)*СПРАВОЧНИК!$N$15)</f>
        <v/>
      </c>
      <c r="BK17" s="18">
        <f>BK16+7</f>
        <v/>
      </c>
      <c r="BL17" s="37">
        <f>'ПЛАН ЧЕРН К3'!B8*СПРАВОЧНИК!$H$9+'ПЛАН ЧЕРН К3'!C8*СПРАВОЧНИК!$I$9+'ПЛАН ЧЕРН К3'!D8*СПРАВОЧНИК!$J$9+'ПЛАН ЧЕРН К3'!E8*СПРАВОЧНИК!$H$10+'ПЛАН ЧЕРН К3'!F8*СПРАВОЧНИК!$I$10+'ПЛАН ЧЕРН К3'!G8*СПРАВОЧНИК!$J$10+'ПЛАН ЧЕРН К3'!H8*СПРАВОЧНИК!$H$11+'ПЛАН ЧЕРН К3'!I8*СПРАВОЧНИК!$I$11+'ПЛАН ЧЕРН К3'!J8*СПРАВОЧНИК!$J$11+'ПЛАН ЧЕРН К3'!K8*СПРАВОЧНИК!$H$12+'ПЛАН ЧЕРН К3'!L8*СПРАВОЧНИК!$I$12+'ПЛАН ЧЕРН К3'!M8*СПРАВОЧНИК!$J$12+'ПЛАН ЧЕРН К3'!N8*СПРАВОЧНИК!$H$13+'ПЛАН ЧЕРН К3'!O8*СПРАВОЧНИК!$I$13+'ПЛАН ЧЕРН К3'!P8*СПРАВОЧНИК!$J$13+'ПЛАН ЧЕРН К3'!Q8*СПРАВОЧНИК!$H$14+'ПЛАН ЧЕРН К3'!R8*СПРАВОЧНИК!$I$14+'ПЛАН ЧЕРН К3'!S8*СПРАВОЧНИК!$J$14+'ПЛАН ЧЕРН К3'!T8*СПРАВОЧНИК!$H$15+'ПЛАН ЧЕРН К3'!U8*СПРАВОЧНИК!$I$15+'ПЛАН ЧЕРН К3'!V8*СПРАВОЧНИК!$J$15</f>
        <v/>
      </c>
      <c r="BM17" s="40">
        <f>('ФАКТ ЧЕРН К3'!B8)*СПРАВОЧНИК!$H$9+('ФАКТ ЧЕРН К3'!C8)*СПРАВОЧНИК!$I$9+('ФАКТ ЧЕРН К3'!D8)*СПРАВОЧНИК!$J$9+('ФАКТ ЧЕРН К3'!E8)*СПРАВОЧНИК!$H$10+('ФАКТ ЧЕРН К3'!F8)*СПРАВОЧНИК!$I$10+('ФАКТ ЧЕРН К3'!G8)*СПРАВОЧНИК!$J$10+('ФАКТ ЧЕРН К3'!H8)*СПРАВОЧНИК!$H$11+('ФАКТ ЧЕРН К3'!I8)*СПРАВОЧНИК!$I$11+('ФАКТ ЧЕРН К3'!J8)*СПРАВОЧНИК!$J$11+('ФАКТ ЧЕРН К3'!K8)*СПРАВОЧНИК!$H$12+('ФАКТ ЧЕРН К3'!L8)*СПРАВОЧНИК!$I$12+('ФАКТ ЧЕРН К3'!M8)*СПРАВОЧНИК!$J$12+('ФАКТ ЧЕРН К3'!N8)*СПРАВОЧНИК!$H$13+('ФАКТ ЧЕРН К3'!O8)*СПРАВОЧНИК!$I$13+('ФАКТ ЧЕРН К3'!P8)*СПРАВОЧНИК!$J$13+('ФАКТ ЧЕРН К3'!Q8)*СПРАВОЧНИК!$H$14+('ФАКТ ЧЕРН К3'!R8)*СПРАВОЧНИК!$I$14+('ФАКТ ЧЕРН К3'!S8)*СПРАВОЧНИК!$J$14+('ФАКТ ЧЕРН К3'!T8)*СПРАВОЧНИК!$H$15+('ФАКТ ЧЕРН К3'!U8)*СПРАВОЧНИК!$I$15+('ФАКТ ЧЕРН К3'!V8)*СПРАВОЧНИК!$J$15</f>
        <v/>
      </c>
      <c r="BQ17" s="18">
        <f>BQ16+7</f>
        <v/>
      </c>
      <c r="BR17" s="37">
        <f>'ПЛАН ЧИСТ К3'!B8*СПРАВОЧНИК!$L$9+'ПЛАН ЧИСТ К3'!C8*СПРАВОЧНИК!$M$9+'ПЛАН ЧИСТ К3'!D8*СПРАВОЧНИК!$N$9+'ПЛАН ЧИСТ К3'!E8*СПРАВОЧНИК!$O$9+'ПЛАН ЧИСТ К3'!F8*СПРАВОЧНИК!$L$10+'ПЛАН ЧИСТ К3'!G8*СПРАВОЧНИК!$M$10+'ПЛАН ЧИСТ К3'!H8*СПРАВОЧНИК!$N$10+'ПЛАН ЧИСТ К3'!I8*СПРАВОЧНИК!$O$10+'ПЛАН ЧИСТ К3'!J8*СПРАВОЧНИК!$L$11+'ПЛАН ЧИСТ К3'!K8*СПРАВОЧНИК!$M$11+'ПЛАН ЧИСТ К3'!L8*СПРАВОЧНИК!$N$11+'ПЛАН ЧИСТ К3'!M8*СПРАВОЧНИК!$L$12+'ПЛАН ЧИСТ К3'!N8*СПРАВОЧНИК!$M$12+'ПЛАН ЧИСТ К3'!O8*СПРАВОЧНИК!$N$12+'ПЛАН ЧИСТ К3'!P8*СПРАВОЧНИК!$O$12+'ПЛАН ЧИСТ К3'!Q8*СПРАВОЧНИК!$L$13+'ПЛАН ЧИСТ К3'!R8*СПРАВОЧНИК!$M$13+'ПЛАН ЧИСТ К3'!S8*СПРАВОЧНИК!$N$13+'ПЛАН ЧИСТ К3'!T8*СПРАВОЧНИК!$O$13+'ПЛАН ЧИСТ К3'!U8*СПРАВОЧНИК!$L$14+'ПЛАН ЧИСТ К3'!V8*СПРАВОЧНИК!$M$14+'ПЛАН ЧИСТ К3'!W8*СПРАВОЧНИК!$N$14+'ПЛАН ЧИСТ К3'!X8*СПРАВОЧНИК!$L$15+'ПЛАН ЧИСТ К3'!Y8*СПРАВОЧНИК!$M$15+'ПЛАН ЧИСТ К3'!Z8*СПРАВОЧНИК!$N$15</f>
        <v/>
      </c>
      <c r="BS17" s="40">
        <f>('ФАКТ ЧИСТ К3'!B8)*СПРАВОЧНИК!$L$9+('ФАКТ ЧИСТ К3'!C8)*СПРАВОЧНИК!$M$9+('ФАКТ ЧИСТ К3'!D8)*СПРАВОЧНИК!$N$9+('ФАКТ ЧИСТ К3'!E8)*СПРАВОЧНИК!$O$9+('ФАКТ ЧИСТ К3'!F8)*СПРАВОЧНИК!$L$10+('ФАКТ ЧИСТ К3'!G8)*СПРАВОЧНИК!$M$10+('ФАКТ ЧИСТ К3'!H8)*СПРАВОЧНИК!$N$10+('ФАКТ ЧИСТ К3'!I8)*СПРАВОЧНИК!$O$10+('ФАКТ ЧИСТ К3'!J8)*СПРАВОЧНИК!$L$11+('ФАКТ ЧИСТ К3'!K8)*СПРАВОЧНИК!$M$11+('ФАКТ ЧИСТ К3'!L8)*СПРАВОЧНИК!$N$11+('ФАКТ ЧИСТ К3'!M8)*СПРАВОЧНИК!$L$12+('ФАКТ ЧИСТ К3'!N8)*СПРАВОЧНИК!$M$12+('ФАКТ ЧИСТ К3'!O8)*СПРАВОЧНИК!$N$12+('ФАКТ ЧИСТ К3'!P8)*СПРАВОЧНИК!$O$12+('ФАКТ ЧИСТ К3'!Q8)*СПРАВОЧНИК!$L$13+('ФАКТ ЧИСТ К3'!R8)*СПРАВОЧНИК!$M$13+('ФАКТ ЧИСТ К3'!S8)*СПРАВОЧНИК!$N$13+('ФАКТ ЧИСТ К3'!T8)*СПРАВОЧНИК!$O$13+('ФАКТ ЧИСТ К3'!U8)*СПРАВОЧНИК!$L$14+('ФАКТ ЧИСТ К3'!V8)*СПРАВОЧНИК!$M$14+('ФАКТ ЧИСТ К3'!W8)*СПРАВОЧНИК!$N$14+('ФАКТ ЧИСТ К3'!X8)*СПРАВОЧНИК!$L$15+('ФАКТ ЧИСТ К3'!Y8)*СПРАВОЧНИК!$M$15+('ФАКТ ЧИСТ К3'!Z8)*СПРАВОЧНИК!$N$15</f>
        <v/>
      </c>
      <c r="BW17" s="18">
        <f>BW16+7</f>
        <v/>
      </c>
      <c r="BX17" s="37">
        <f>V17+AN17+BF17</f>
        <v/>
      </c>
      <c r="BY17" s="40">
        <f>W17+AO17+BG17</f>
        <v/>
      </c>
      <c r="CC17" s="18">
        <f>CC16+7</f>
        <v/>
      </c>
      <c r="CD17" s="37">
        <f>AB17+AT17+BL17</f>
        <v/>
      </c>
      <c r="CE17" s="40">
        <f>AC17+AU17+BM17</f>
        <v/>
      </c>
      <c r="CI17" s="18">
        <f>CI16+7</f>
        <v/>
      </c>
      <c r="CJ17" s="37">
        <f>AH17+AZ17+BR17</f>
        <v/>
      </c>
      <c r="CK17" s="40">
        <f>AI17+BA17+BS17</f>
        <v/>
      </c>
      <c r="CO17" s="18">
        <f>CO16+7</f>
        <v/>
      </c>
      <c r="CP17" s="37">
        <f>D17+BX17</f>
        <v/>
      </c>
      <c r="CQ17" s="40">
        <f>E17+BY17</f>
        <v/>
      </c>
      <c r="CU17" s="18">
        <f>CU16+7</f>
        <v/>
      </c>
      <c r="CV17" s="37">
        <f>J17+CD17</f>
        <v/>
      </c>
      <c r="CW17" s="40">
        <f>K17+CE17</f>
        <v/>
      </c>
      <c r="DA17" s="18">
        <f>DA16+7</f>
        <v/>
      </c>
      <c r="DB17" s="37">
        <f>P17+CJ17</f>
        <v/>
      </c>
      <c r="DC17" s="40">
        <f>Q17+CK17</f>
        <v/>
      </c>
    </row>
    <row r="18">
      <c r="C18" s="18">
        <f>C17+7</f>
        <v/>
      </c>
      <c r="D18" s="37">
        <f>СПРАВОЧНИК!$E$3*('ПЛАН ЧЕРН ПОДЗЕМ'!B9*СПРАВОЧНИК!$H$3+'ПЛАН ЧЕРН ПОДЗЕМ'!C9*СПРАВОЧНИК!$I$3+'ПЛАН ЧЕРН ПОДЗЕМ'!D9*СПРАВОЧНИК!$J$3)+СПРАВОЧНИК!$E$4*('ПЛАН ЧЕРН ПОДЗЕМ'!E9*СПРАВОЧНИК!$H$4+'ПЛАН ЧЕРН ПОДЗЕМ'!F9*СПРАВОЧНИК!$I$4+'ПЛАН ЧЕРН ПОДЗЕМ'!G9*СПРАВОЧНИК!$J$4)+СПРАВОЧНИК!$E$5*('ПЛАН ЧЕРН ПОДЗЕМ'!H9*СПРАВОЧНИК!$H$5+'ПЛАН ЧЕРН ПОДЗЕМ'!I9*СПРАВОЧНИК!$I$5+'ПЛАН ЧЕРН ПОДЗЕМ'!J9*СПРАВОЧНИК!$J$5)+СПРАВОЧНИК!$E$6*('ПЛАН ЧЕРН ПОДЗЕМ'!K9*СПРАВОЧНИК!$H$6+'ПЛАН ЧЕРН ПОДЗЕМ'!L9*СПРАВОЧНИК!$I$6+'ПЛАН ЧЕРН ПОДЗЕМ'!M9*СПРАВОЧНИК!$J$6)+СПРАВОЧНИК!$E$7*('ПЛАН ЧЕРН ПОДЗЕМ'!N9*СПРАВОЧНИК!$H$7+'ПЛАН ЧЕРН ПОДЗЕМ'!O9*СПРАВОЧНИК!$I$7+'ПЛАН ЧЕРН ПОДЗЕМ'!P9*СПРАВОЧНИК!$J$7)+СПРАВОЧНИК!$E$8*('ПЛАН ЧЕРН ПОДЗЕМ'!Q9*СПРАВОЧНИК!$H$8+'ПЛАН ЧЕРН ПОДЗЕМ'!R9*СПРАВОЧНИК!$I$8+'ПЛАН ЧЕРН ПОДЗЕМ'!S9*СПРАВОЧНИК!$J$8)+СПРАВОЧНИК!$F$3*('ПЛАН ЧИСТ ПОДЗЕМ'!B9*СПРАВОЧНИК!$L$3+'ПЛАН ЧИСТ ПОДЗЕМ'!C9*СПРАВОЧНИК!$M$3+'ПЛАН ЧИСТ ПОДЗЕМ'!D9*СПРАВОЧНИК!$N$3+'ПЛАН ЧИСТ ПОДЗЕМ'!E9*СПРАВОЧНИК!$O$3)+СПРАВОЧНИК!$F$4*('ПЛАН ЧИСТ ПОДЗЕМ'!F9*СПРАВОЧНИК!$L$4+'ПЛАН ЧИСТ ПОДЗЕМ'!G9*СПРАВОЧНИК!$M$4+'ПЛАН ЧИСТ ПОДЗЕМ'!H9*СПРАВОЧНИК!$N$4+'ПЛАН ЧИСТ ПОДЗЕМ'!I9*СПРАВОЧНИК!$O$4)+СПРАВОЧНИК!$F$5*('ПЛАН ЧИСТ ПОДЗЕМ'!J9*СПРАВОЧНИК!$L$5+'ПЛАН ЧИСТ ПОДЗЕМ'!K9*СПРАВОЧНИК!$M$5+'ПЛАН ЧИСТ ПОДЗЕМ'!L9*СПРАВОЧНИК!$N$5)+СПРАВОЧНИК!$F$6*('ПЛАН ЧИСТ ПОДЗЕМ'!M9*СПРАВОЧНИК!$L$6+'ПЛАН ЧИСТ ПОДЗЕМ'!N9*СПРАВОЧНИК!$M$6+'ПЛАН ЧИСТ ПОДЗЕМ'!O9*СПРАВОЧНИК!$N$6+'ПЛАН ЧИСТ ПОДЗЕМ'!P9*СПРАВОЧНИК!$O$6)+СПРАВОЧНИК!$F$7*('ПЛАН ЧИСТ ПОДЗЕМ'!Q9*СПРАВОЧНИК!$L$7+'ПЛАН ЧИСТ ПОДЗЕМ'!R9*СПРАВОЧНИК!$M$7+'ПЛАН ЧИСТ ПОДЗЕМ'!S9*СПРАВОЧНИК!$N$7+'ПЛАН ЧИСТ ПОДЗЕМ'!T9*СПРАВОЧНИК!$O$7)+СПРАВОЧНИК!$F$8*('ПЛАН ЧИСТ ПОДЗЕМ'!U9*СПРАВОЧНИК!$L$8+'ПЛАН ЧИСТ ПОДЗЕМ'!V9*СПРАВОЧНИК!$M$8+'ПЛАН ЧИСТ ПОДЗЕМ'!W9*СПРАВОЧНИК!$N$8)</f>
        <v/>
      </c>
      <c r="E18" s="40">
        <f>СПРАВОЧНИК!$E$3*(('ФАКТ ЧЕРН ПОДЗЕМ'!B9)*СПРАВОЧНИК!$H$3+('ФАКТ ЧЕРН ПОДЗЕМ'!C9)*СПРАВОЧНИК!$I$3+('ФАКТ ЧЕРН ПОДЗЕМ'!D9)*СПРАВОЧНИК!$J$3)+СПРАВОЧНИК!$E$4*(('ФАКТ ЧЕРН ПОДЗЕМ'!E9)*СПРАВОЧНИК!$H$4+('ФАКТ ЧЕРН ПОДЗЕМ'!F9)*СПРАВОЧНИК!$I$4+('ФАКТ ЧЕРН ПОДЗЕМ'!G9)*СПРАВОЧНИК!$J$4)+СПРАВОЧНИК!$E$5*(('ФАКТ ЧЕРН ПОДЗЕМ'!H9)*СПРАВОЧНИК!$H$5+('ФАКТ ЧЕРН ПОДЗЕМ'!I9)*СПРАВОЧНИК!$I$5+('ФАКТ ЧЕРН ПОДЗЕМ'!J9)*СПРАВОЧНИК!$J$5)+СПРАВОЧНИК!$E$6*(('ФАКТ ЧЕРН ПОДЗЕМ'!K9)*СПРАВОЧНИК!$H$6+('ФАКТ ЧЕРН ПОДЗЕМ'!L9)*СПРАВОЧНИК!$I$6+('ФАКТ ЧЕРН ПОДЗЕМ'!M9)*СПРАВОЧНИК!$J$6)+СПРАВОЧНИК!$E$7*(('ФАКТ ЧЕРН ПОДЗЕМ'!N9)*СПРАВОЧНИК!$H$7+('ФАКТ ЧЕРН ПОДЗЕМ'!O9)*СПРАВОЧНИК!$I$7+('ФАКТ ЧЕРН ПОДЗЕМ'!P9)*СПРАВОЧНИК!$J$7)+СПРАВОЧНИК!$E$8*(('ФАКТ ЧЕРН ПОДЗЕМ'!Q9)*СПРАВОЧНИК!$H$8+('ФАКТ ЧЕРН ПОДЗЕМ'!R9)*СПРАВОЧНИК!$I$8+('ФАКТ ЧЕРН ПОДЗЕМ'!S9)*СПРАВОЧНИК!$J$8)+СПРАВОЧНИК!$F$3*(('ФАКТ ЧИСТ ПОДЗЕМ'!B9)*СПРАВОЧНИК!$L$3+('ФАКТ ЧИСТ ПОДЗЕМ'!C9)*СПРАВОЧНИК!$M$3+('ФАКТ ЧИСТ ПОДЗЕМ'!D9)*СПРАВОЧНИК!$N$3+('ФАКТ ЧИСТ ПОДЗЕМ'!E9)*СПРАВОЧНИК!$O$3)+СПРАВОЧНИК!$F$4*(('ФАКТ ЧИСТ ПОДЗЕМ'!F9)*СПРАВОЧНИК!$L$4+('ФАКТ ЧИСТ ПОДЗЕМ'!G9)*СПРАВОЧНИК!$M$4+('ФАКТ ЧИСТ ПОДЗЕМ'!H9)*СПРАВОЧНИК!$N$4+('ФАКТ ЧИСТ ПОДЗЕМ'!I9)*СПРАВОЧНИК!$O$4)+СПРАВОЧНИК!$F$5*(('ФАКТ ЧИСТ ПОДЗЕМ'!J9)*СПРАВОЧНИК!$L$5+('ФАКТ ЧИСТ ПОДЗЕМ'!K9)*СПРАВОЧНИК!$M$5+('ФАКТ ЧИСТ ПОДЗЕМ'!L9)*СПРАВОЧНИК!$N$5)+СПРАВОЧНИК!$F$6*(('ФАКТ ЧИСТ ПОДЗЕМ'!M9)*СПРАВОЧНИК!$L$6+('ФАКТ ЧИСТ ПОДЗЕМ'!N9)*СПРАВОЧНИК!$M$6+('ФАКТ ЧИСТ ПОДЗЕМ'!O9)*СПРАВОЧНИК!$N$6+('ФАКТ ЧИСТ ПОДЗЕМ'!P9)*СПРАВОЧНИК!$O$6)+СПРАВОЧНИК!$F$7*(('ФАКТ ЧИСТ ПОДЗЕМ'!Q9)*СПРАВОЧНИК!$L$7+('ФАКТ ЧИСТ ПОДЗЕМ'!R9)*СПРАВОЧНИК!$M$7+('ФАКТ ЧИСТ ПОДЗЕМ'!S9)*СПРАВОЧНИК!$N$7+('ФАКТ ЧИСТ ПОДЗЕМ'!T9)*СПРАВОЧНИК!$O$7)+СПРАВОЧНИК!$F$8*(('ФАКТ ЧИСТ ПОДЗЕМ'!U9)*СПРАВОЧНИК!$L$8+('ФАКТ ЧИСТ ПОДЗЕМ'!V9)*СПРАВОЧНИК!$M$8+('ФАКТ ЧИСТ ПОДЗЕМ'!W9)*СПРАВОЧНИК!$N$8)</f>
        <v/>
      </c>
      <c r="I18" s="18">
        <f>I17+7</f>
        <v/>
      </c>
      <c r="J18" s="37">
        <f>'ПЛАН ЧЕРН ПОДЗЕМ'!B9*СПРАВОЧНИК!$H$3+'ПЛАН ЧЕРН ПОДЗЕМ'!C9*СПРАВОЧНИК!$I$3+'ПЛАН ЧЕРН ПОДЗЕМ'!D9*СПРАВОЧНИК!$J$3+'ПЛАН ЧЕРН ПОДЗЕМ'!E9*СПРАВОЧНИК!$H$4+'ПЛАН ЧЕРН ПОДЗЕМ'!F9*СПРАВОЧНИК!$I$4+'ПЛАН ЧЕРН ПОДЗЕМ'!G9*СПРАВОЧНИК!$J$4+'ПЛАН ЧЕРН ПОДЗЕМ'!H9*СПРАВОЧНИК!$H$5+'ПЛАН ЧЕРН ПОДЗЕМ'!I9*СПРАВОЧНИК!$I$5+'ПЛАН ЧЕРН ПОДЗЕМ'!J9*СПРАВОЧНИК!$J$5+'ПЛАН ЧЕРН ПОДЗЕМ'!K9*СПРАВОЧНИК!$H$6+'ПЛАН ЧЕРН ПОДЗЕМ'!L9*СПРАВОЧНИК!$I$6+'ПЛАН ЧЕРН ПОДЗЕМ'!M9*СПРАВОЧНИК!$J$6+'ПЛАН ЧЕРН ПОДЗЕМ'!N9*СПРАВОЧНИК!$H$7+'ПЛАН ЧЕРН ПОДЗЕМ'!O9*СПРАВОЧНИК!$I$7+'ПЛАН ЧЕРН ПОДЗЕМ'!P9*СПРАВОЧНИК!$J$7+'ПЛАН ЧЕРН ПОДЗЕМ'!Q9*СПРАВОЧНИК!$H$8+'ПЛАН ЧЕРН ПОДЗЕМ'!R9*СПРАВОЧНИК!$I$8+'ПЛАН ЧЕРН ПОДЗЕМ'!S9*СПРАВОЧНИК!$J$8</f>
        <v/>
      </c>
      <c r="K18" s="40">
        <f>('ФАКТ ЧЕРН ПОДЗЕМ'!B9)*СПРАВОЧНИК!$H$3+('ФАКТ ЧЕРН ПОДЗЕМ'!C9)*СПРАВОЧНИК!$I$3+('ФАКТ ЧЕРН ПОДЗЕМ'!D9)*СПРАВОЧНИК!$J$3+('ФАКТ ЧЕРН ПОДЗЕМ'!E9)*СПРАВОЧНИК!$H$4+('ФАКТ ЧЕРН ПОДЗЕМ'!F9)*СПРАВОЧНИК!$I$4+('ФАКТ ЧЕРН ПОДЗЕМ'!G9)*СПРАВОЧНИК!$J$4+('ФАКТ ЧЕРН ПОДЗЕМ'!H9)*СПРАВОЧНИК!$H$5+('ФАКТ ЧЕРН ПОДЗЕМ'!I9)*СПРАВОЧНИК!$I$5+('ФАКТ ЧЕРН ПОДЗЕМ'!J9)*СПРАВОЧНИК!$J$5+('ФАКТ ЧЕРН ПОДЗЕМ'!K9)*СПРАВОЧНИК!$H$6+('ФАКТ ЧЕРН ПОДЗЕМ'!L9)*СПРАВОЧНИК!$I$6+('ФАКТ ЧЕРН ПОДЗЕМ'!M9)*СПРАВОЧНИК!$J$6+('ФАКТ ЧЕРН ПОДЗЕМ'!N9)*СПРАВОЧНИК!$H$7+('ФАКТ ЧЕРН ПОДЗЕМ'!O9)*СПРАВОЧНИК!$I$7+('ФАКТ ЧЕРН ПОДЗЕМ'!P9)*СПРАВОЧНИК!$J$7+('ФАКТ ЧЕРН ПОДЗЕМ'!Q9)*СПРАВОЧНИК!$H$8+('ФАКТ ЧЕРН ПОДЗЕМ'!R9)*СПРАВОЧНИК!$I$8+('ФАКТ ЧЕРН ПОДЗЕМ'!S9)*СПРАВОЧНИК!$J$8</f>
        <v/>
      </c>
      <c r="O18" s="18">
        <f>O17+7</f>
        <v/>
      </c>
      <c r="P18" s="37">
        <f>'ПЛАН ЧИСТ ПОДЗЕМ'!B9*СПРАВОЧНИК!$L$3+'ПЛАН ЧИСТ ПОДЗЕМ'!C9*СПРАВОЧНИК!$M$3+'ПЛАН ЧИСТ ПОДЗЕМ'!D9*СПРАВОЧНИК!$N$3+'ПЛАН ЧИСТ ПОДЗЕМ'!E9*СПРАВОЧНИК!$O$3+'ПЛАН ЧИСТ ПОДЗЕМ'!F9*СПРАВОЧНИК!$L$4+'ПЛАН ЧИСТ ПОДЗЕМ'!G9*СПРАВОЧНИК!$M$4+'ПЛАН ЧИСТ ПОДЗЕМ'!H9*СПРАВОЧНИК!$N$4+'ПЛАН ЧИСТ ПОДЗЕМ'!I9*СПРАВОЧНИК!$O$4+'ПЛАН ЧИСТ ПОДЗЕМ'!J9*СПРАВОЧНИК!$L$5+'ПЛАН ЧИСТ ПОДЗЕМ'!K9*СПРАВОЧНИК!$M$5+'ПЛАН ЧИСТ ПОДЗЕМ'!L9*СПРАВОЧНИК!$N$5+'ПЛАН ЧИСТ ПОДЗЕМ'!M9*СПРАВОЧНИК!$L$6+'ПЛАН ЧИСТ ПОДЗЕМ'!N9*СПРАВОЧНИК!$M$6+'ПЛАН ЧИСТ ПОДЗЕМ'!O9*СПРАВОЧНИК!$N$6+'ПЛАН ЧИСТ ПОДЗЕМ'!P9*СПРАВОЧНИК!$O$6+'ПЛАН ЧИСТ ПОДЗЕМ'!Q9*СПРАВОЧНИК!$L$7+'ПЛАН ЧИСТ ПОДЗЕМ'!R9*СПРАВОЧНИК!$M$7+'ПЛАН ЧИСТ ПОДЗЕМ'!S9*СПРАВОЧНИК!$N$7+'ПЛАН ЧИСТ ПОДЗЕМ'!T9*СПРАВОЧНИК!$O$7+'ПЛАН ЧИСТ ПОДЗЕМ'!U9*СПРАВОЧНИК!$L$8+'ПЛАН ЧИСТ ПОДЗЕМ'!V9*СПРАВОЧНИК!$M$8+'ПЛАН ЧИСТ ПОДЗЕМ'!W9*СПРАВОЧНИК!$N$8</f>
        <v/>
      </c>
      <c r="Q18" s="40">
        <f>('ФАКТ ЧИСТ ПОДЗЕМ'!B9)*СПРАВОЧНИК!$L$3+('ФАКТ ЧИСТ ПОДЗЕМ'!C9)*СПРАВОЧНИК!$M$3+('ФАКТ ЧИСТ ПОДЗЕМ'!D9)*СПРАВОЧНИК!$N$3+('ФАКТ ЧИСТ ПОДЗЕМ'!E9)*СПРАВОЧНИК!$O$3+('ФАКТ ЧИСТ ПОДЗЕМ'!F9)*СПРАВОЧНИК!$L$4+('ФАКТ ЧИСТ ПОДЗЕМ'!G9)*СПРАВОЧНИК!$M$4+('ФАКТ ЧИСТ ПОДЗЕМ'!H9)*СПРАВОЧНИК!$N$4+('ФАКТ ЧИСТ ПОДЗЕМ'!I9)*СПРАВОЧНИК!$O$4+('ФАКТ ЧИСТ ПОДЗЕМ'!J9)*СПРАВОЧНИК!$L$5+('ФАКТ ЧИСТ ПОДЗЕМ'!K9)*СПРАВОЧНИК!$M$5+('ФАКТ ЧИСТ ПОДЗЕМ'!L9)*СПРАВОЧНИК!$N$5+('ФАКТ ЧИСТ ПОДЗЕМ'!M9)*СПРАВОЧНИК!$L$6+('ФАКТ ЧИСТ ПОДЗЕМ'!N9)*СПРАВОЧНИК!$M$6+('ФАКТ ЧИСТ ПОДЗЕМ'!O9)*СПРАВОЧНИК!$N$6+('ФАКТ ЧИСТ ПОДЗЕМ'!P9)*СПРАВОЧНИК!$O$6+('ФАКТ ЧИСТ ПОДЗЕМ'!Q9)*СПРАВОЧНИК!$L$7+('ФАКТ ЧИСТ ПОДЗЕМ'!R9)*СПРАВОЧНИК!$M$7+('ФАКТ ЧИСТ ПОДЗЕМ'!S9)*СПРАВОЧНИК!$N$7+('ФАКТ ЧИСТ ПОДЗЕМ'!T9)*СПРАВОЧНИК!$O$7+('ФАКТ ЧИСТ ПОДЗЕМ'!U9)*СПРАВОЧНИК!$L$8+('ФАКТ ЧИСТ ПОДЗЕМ'!V9)*СПРАВОЧНИК!$M$8+('ФАКТ ЧИСТ ПОДЗЕМ'!W9)*СПРАВОЧНИК!$N$8</f>
        <v/>
      </c>
      <c r="U18" s="18">
        <f>U17+7</f>
        <v/>
      </c>
      <c r="V18" s="37">
        <f>СПРАВОЧНИК!$E$9*('ПЛАН ЧЕРН К1'!B9*СПРАВОЧНИК!$H$9+'ПЛАН ЧЕРН К1'!C9*СПРАВОЧНИК!$I$9+'ПЛАН ЧЕРН К1'!D9*СПРАВОЧНИК!$J$9)+СПРАВОЧНИК!$E$10*('ПЛАН ЧЕРН К1'!E9*СПРАВОЧНИК!$H$10+'ПЛАН ЧЕРН К1'!F9*СПРАВОЧНИК!$I$10+'ПЛАН ЧЕРН К1'!G9*СПРАВОЧНИК!$J$10)+СПРАВОЧНИК!$E$11*('ПЛАН ЧЕРН К1'!H9*СПРАВОЧНИК!$H$11+'ПЛАН ЧЕРН К1'!I9*СПРАВОЧНИК!$I$11+'ПЛАН ЧЕРН К1'!J9*СПРАВОЧНИК!$J$11)+СПРАВОЧНИК!$E$12*('ПЛАН ЧЕРН К1'!K9*СПРАВОЧНИК!$H$12+'ПЛАН ЧЕРН К1'!L9*СПРАВОЧНИК!$I$12+'ПЛАН ЧЕРН К1'!M9*СПРАВОЧНИК!$J$12)+СПРАВОЧНИК!$E$13*('ПЛАН ЧЕРН К1'!N9*СПРАВОЧНИК!$H$13+'ПЛАН ЧЕРН К1'!O9*СПРАВОЧНИК!$I$13+'ПЛАН ЧЕРН К1'!P9*СПРАВОЧНИК!$J$13)+СПРАВОЧНИК!$E$14*('ПЛАН ЧЕРН К1'!Q9*СПРАВОЧНИК!$H$14+'ПЛАН ЧЕРН К1'!R9*СПРАВОЧНИК!$I$14+'ПЛАН ЧЕРН К1'!S9*СПРАВОЧНИК!$J$14)+СПРАВОЧНИК!$E$15*('ПЛАН ЧЕРН К1'!T9*СПРАВОЧНИК!$H$15+'ПЛАН ЧЕРН К1'!U9*СПРАВОЧНИК!$I$15+'ПЛАН ЧЕРН К1'!V9*СПРАВОЧНИК!$J$15)+СПРАВОЧНИК!$F$9*('ПЛАН ЧИСТ К1'!B9*СПРАВОЧНИК!$L$9+'ПЛАН ЧИСТ К1'!C9*СПРАВОЧНИК!$M$9+'ПЛАН ЧИСТ К1'!D9*СПРАВОЧНИК!$N$9+'ПЛАН ЧИСТ К1'!E9*СПРАВОЧНИК!$O$9)+СПРАВОЧНИК!$F$10*('ПЛАН ЧИСТ К1'!F9*СПРАВОЧНИК!$L$10+'ПЛАН ЧИСТ К1'!G9*СПРАВОЧНИК!$M$10+'ПЛАН ЧИСТ К1'!H9*СПРАВОЧНИК!$N$10+'ПЛАН ЧИСТ К1'!I9*СПРАВОЧНИК!$O$10)+СПРАВОЧНИК!$F$11*('ПЛАН ЧИСТ К1'!J9*СПРАВОЧНИК!$L$11+'ПЛАН ЧИСТ К1'!K9*СПРАВОЧНИК!$M$11+'ПЛАН ЧИСТ К1'!L9*СПРАВОЧНИК!$N$11)+СПРАВОЧНИК!$F$12*('ПЛАН ЧИСТ К1'!M9*СПРАВОЧНИК!$L$12+'ПЛАН ЧИСТ К1'!N9*СПРАВОЧНИК!$M$12+'ПЛАН ЧИСТ К1'!O9*СПРАВОЧНИК!$N$12+'ПЛАН ЧИСТ К1'!P9*СПРАВОЧНИК!$O$12)+СПРАВОЧНИК!$F$13*('ПЛАН ЧИСТ К1'!Q9*СПРАВОЧНИК!$L$13+'ПЛАН ЧИСТ К1'!R9*СПРАВОЧНИК!$M$13+'ПЛАН ЧИСТ К1'!S9*СПРАВОЧНИК!$N$13+'ПЛАН ЧИСТ К1'!T9*СПРАВОЧНИК!$O$13)+СПРАВОЧНИК!$F$14*('ПЛАН ЧИСТ К1'!U9*СПРАВОЧНИК!$L$14+'ПЛАН ЧИСТ К1'!V9*СПРАВОЧНИК!$M$14+'ПЛАН ЧИСТ К1'!W9*СПРАВОЧНИК!$N$14)+СПРАВОЧНИК!$F$15*('ПЛАН ЧИСТ К1'!X9*СПРАВОЧНИК!$L$15+'ПЛАН ЧИСТ К1'!Y9*СПРАВОЧНИК!$M$15+'ПЛАН ЧИСТ К1'!Z9*СПРАВОЧНИК!$N$15)</f>
        <v/>
      </c>
      <c r="W18" s="40">
        <f>СПРАВОЧНИК!$E$9*(('ФАКТ ЧЕРН К1'!B9)*СПРАВОЧНИК!$H$9+('ФАКТ ЧЕРН К1'!C9)*СПРАВОЧНИК!$I$9+('ФАКТ ЧЕРН К1'!D9)*СПРАВОЧНИК!$J$9)+СПРАВОЧНИК!$E$10*(('ФАКТ ЧЕРН К1'!E9)*СПРАВОЧНИК!$H$10+('ФАКТ ЧЕРН К1'!F9)*СПРАВОЧНИК!$I$10+('ФАКТ ЧЕРН К1'!G9)*СПРАВОЧНИК!$J$10)+СПРАВОЧНИК!$E$11*(('ФАКТ ЧЕРН К1'!H9)*СПРАВОЧНИК!$H$11+('ФАКТ ЧЕРН К1'!I9)*СПРАВОЧНИК!$I$11+('ФАКТ ЧЕРН К1'!J9)*СПРАВОЧНИК!$J$11)+СПРАВОЧНИК!$E$12*(('ФАКТ ЧЕРН К1'!K9)*СПРАВОЧНИК!$H$12+('ФАКТ ЧЕРН К1'!L9)*СПРАВОЧНИК!$I$12+('ФАКТ ЧЕРН К1'!M9)*СПРАВОЧНИК!$J$12)+СПРАВОЧНИК!$E$13*(('ФАКТ ЧЕРН К1'!N9)*СПРАВОЧНИК!$H$13+('ФАКТ ЧЕРН К1'!O9)*СПРАВОЧНИК!$I$13+('ФАКТ ЧЕРН К1'!P9)*СПРАВОЧНИК!$J$13)+СПРАВОЧНИК!$E$14*(('ФАКТ ЧЕРН К1'!Q9)*СПРАВОЧНИК!$H$14+('ФАКТ ЧЕРН К1'!R9)*СПРАВОЧНИК!$I$14+('ФАКТ ЧЕРН К1'!S9)*СПРАВОЧНИК!$J$14)+СПРАВОЧНИК!$E$15*(('ФАКТ ЧЕРН К1'!T9)*СПРАВОЧНИК!$H$15+('ФАКТ ЧЕРН К1'!U9)*СПРАВОЧНИК!$I$15+('ФАКТ ЧЕРН К1'!V9)*СПРАВОЧНИК!$J$15)+СПРАВОЧНИК!$F$9*(('ФАКТ ЧИСТ К1'!B9)*СПРАВОЧНИК!$L$9+('ФАКТ ЧИСТ К1'!C9)*СПРАВОЧНИК!$M$9+('ФАКТ ЧИСТ К1'!D9)*СПРАВОЧНИК!$N$9+('ФАКТ ЧИСТ К1'!E9)*СПРАВОЧНИК!$O$9)+СПРАВОЧНИК!$F$10*(('ФАКТ ЧИСТ К1'!F9)*СПРАВОЧНИК!$L$10+('ФАКТ ЧИСТ К1'!G9)*СПРАВОЧНИК!$M$10+('ФАКТ ЧИСТ К1'!H9)*СПРАВОЧНИК!$N$10+('ФАКТ ЧИСТ К1'!I9)*СПРАВОЧНИК!$O$10)+СПРАВОЧНИК!$F$11*(('ФАКТ ЧИСТ К1'!J9)*СПРАВОЧНИК!$L$11+('ФАКТ ЧИСТ К1'!K9)*СПРАВОЧНИК!$M$11+('ФАКТ ЧИСТ К1'!L9)*СПРАВОЧНИК!$N$11)+СПРАВОЧНИК!$F$12*(('ФАКТ ЧИСТ К1'!M9)*СПРАВОЧНИК!$L$12+('ФАКТ ЧИСТ К1'!N9)*СПРАВОЧНИК!$M$12+('ФАКТ ЧИСТ К1'!O9)*СПРАВОЧНИК!$N$12+('ФАКТ ЧИСТ К1'!P9)*СПРАВОЧНИК!$O$12)+СПРАВОЧНИК!$F$13*(('ФАКТ ЧИСТ К1'!Q9)*СПРАВОЧНИК!$L$13+('ФАКТ ЧИСТ К1'!R9)*СПРАВОЧНИК!$M$13+('ФАКТ ЧИСТ К1'!S9)*СПРАВОЧНИК!$N$13+('ФАКТ ЧИСТ К1'!T9)*СПРАВОЧНИК!$O$13)+СПРАВОЧНИК!$F$14*(('ФАКТ ЧИСТ К1'!U9)*СПРАВОЧНИК!$L$14+('ФАКТ ЧИСТ К1'!V9)*СПРАВОЧНИК!$M$14+('ФАКТ ЧИСТ К1'!W9)*СПРАВОЧНИК!$N$14)+СПРАВОЧНИК!$F$15*(('ФАКТ ЧИСТ К1'!X9)*СПРАВОЧНИК!$L$15+('ФАКТ ЧИСТ К1'!Y9)*СПРАВОЧНИК!$M$15+('ФАКТ ЧИСТ К1'!Z9)*СПРАВОЧНИК!$N$15)</f>
        <v/>
      </c>
      <c r="AA18" s="18">
        <f>AA17+7</f>
        <v/>
      </c>
      <c r="AB18" s="37">
        <f>'ПЛАН ЧЕРН К1'!B9*СПРАВОЧНИК!$H$9+'ПЛАН ЧЕРН К1'!C9*СПРАВОЧНИК!$I$9+'ПЛАН ЧЕРН К1'!D9*СПРАВОЧНИК!$J$9+'ПЛАН ЧЕРН К1'!E9*СПРАВОЧНИК!$H$10+'ПЛАН ЧЕРН К1'!F9*СПРАВОЧНИК!$I$10+'ПЛАН ЧЕРН К1'!G9*СПРАВОЧНИК!$J$10+'ПЛАН ЧЕРН К1'!H9*СПРАВОЧНИК!$H$11+'ПЛАН ЧЕРН К1'!I9*СПРАВОЧНИК!$I$11+'ПЛАН ЧЕРН К1'!J9*СПРАВОЧНИК!$J$11+'ПЛАН ЧЕРН К1'!K9*СПРАВОЧНИК!$H$12+'ПЛАН ЧЕРН К1'!L9*СПРАВОЧНИК!$I$12+'ПЛАН ЧЕРН К1'!M9*СПРАВОЧНИК!$J$12+'ПЛАН ЧЕРН К1'!N9*СПРАВОЧНИК!$H$13+'ПЛАН ЧЕРН К1'!O9*СПРАВОЧНИК!$I$13+'ПЛАН ЧЕРН К1'!P9*СПРАВОЧНИК!$J$13+'ПЛАН ЧЕРН К1'!Q9*СПРАВОЧНИК!$H$14+'ПЛАН ЧЕРН К1'!R9*СПРАВОЧНИК!$I$14+'ПЛАН ЧЕРН К1'!S9*СПРАВОЧНИК!$J$14+'ПЛАН ЧЕРН К1'!T9*СПРАВОЧНИК!$H$15+'ПЛАН ЧЕРН К1'!U9*СПРАВОЧНИК!$I$15+'ПЛАН ЧЕРН К1'!V9*СПРАВОЧНИК!$J$15</f>
        <v/>
      </c>
      <c r="AC18" s="40">
        <f>('ФАКТ ЧЕРН К1'!B9)*СПРАВОЧНИК!$H$9+('ФАКТ ЧЕРН К1'!C9)*СПРАВОЧНИК!$I$9+('ФАКТ ЧЕРН К1'!D9)*СПРАВОЧНИК!$J$9+('ФАКТ ЧЕРН К1'!E9)*СПРАВОЧНИК!$H$10+('ФАКТ ЧЕРН К1'!F9)*СПРАВОЧНИК!$I$10+('ФАКТ ЧЕРН К1'!G9)*СПРАВОЧНИК!$J$10+('ФАКТ ЧЕРН К1'!H9)*СПРАВОЧНИК!$H$11+('ФАКТ ЧЕРН К1'!I9)*СПРАВОЧНИК!$I$11+('ФАКТ ЧЕРН К1'!J9)*СПРАВОЧНИК!$J$11+('ФАКТ ЧЕРН К1'!K9)*СПРАВОЧНИК!$H$12+('ФАКТ ЧЕРН К1'!L9)*СПРАВОЧНИК!$I$12+('ФАКТ ЧЕРН К1'!M9)*СПРАВОЧНИК!$J$12+('ФАКТ ЧЕРН К1'!N9)*СПРАВОЧНИК!$H$13+('ФАКТ ЧЕРН К1'!O9)*СПРАВОЧНИК!$I$13+('ФАКТ ЧЕРН К1'!P9)*СПРАВОЧНИК!$J$13+('ФАКТ ЧЕРН К1'!Q9)*СПРАВОЧНИК!$H$14+('ФАКТ ЧЕРН К1'!R9)*СПРАВОЧНИК!$I$14+('ФАКТ ЧЕРН К1'!S9)*СПРАВОЧНИК!$J$14+('ФАКТ ЧЕРН К1'!T9)*СПРАВОЧНИК!$H$15+('ФАКТ ЧЕРН К1'!U9)*СПРАВОЧНИК!$I$15+('ФАКТ ЧЕРН К1'!V9)*СПРАВОЧНИК!$J$15</f>
        <v/>
      </c>
      <c r="AG18" s="18">
        <f>AG17+7</f>
        <v/>
      </c>
      <c r="AH18" s="37">
        <f>'ПЛАН ЧИСТ К1'!B9*СПРАВОЧНИК!$L$9+'ПЛАН ЧИСТ К1'!C9*СПРАВОЧНИК!$M$9+'ПЛАН ЧИСТ К1'!D9*СПРАВОЧНИК!$N$9+'ПЛАН ЧИСТ К1'!E9*СПРАВОЧНИК!$O$9+'ПЛАН ЧИСТ К1'!F9*СПРАВОЧНИК!$L$10+'ПЛАН ЧИСТ К1'!G9*СПРАВОЧНИК!$M$10+'ПЛАН ЧИСТ К1'!H9*СПРАВОЧНИК!$N$10+'ПЛАН ЧИСТ К1'!I9*СПРАВОЧНИК!$O$10+'ПЛАН ЧИСТ К1'!J9*СПРАВОЧНИК!$L$11+'ПЛАН ЧИСТ К1'!K9*СПРАВОЧНИК!$M$11+'ПЛАН ЧИСТ К1'!L9*СПРАВОЧНИК!$N$11+'ПЛАН ЧИСТ К1'!M9*СПРАВОЧНИК!$L$12+'ПЛАН ЧИСТ К1'!N9*СПРАВОЧНИК!$M$12+'ПЛАН ЧИСТ К1'!O9*СПРАВОЧНИК!$N$12+'ПЛАН ЧИСТ К1'!P9*СПРАВОЧНИК!$O$12+'ПЛАН ЧИСТ К1'!Q9*СПРАВОЧНИК!$L$13+'ПЛАН ЧИСТ К1'!R9*СПРАВОЧНИК!$M$13+'ПЛАН ЧИСТ К1'!S9*СПРАВОЧНИК!$N$13+'ПЛАН ЧИСТ К1'!T9*СПРАВОЧНИК!$O$13+'ПЛАН ЧИСТ К1'!U9*СПРАВОЧНИК!$L$14+'ПЛАН ЧИСТ К1'!V9*СПРАВОЧНИК!$M$14+'ПЛАН ЧИСТ К1'!W9*СПРАВОЧНИК!$N$14+'ПЛАН ЧИСТ К1'!X9*СПРАВОЧНИК!$L$15+'ПЛАН ЧИСТ К1'!Y9*СПРАВОЧНИК!$M$15+'ПЛАН ЧИСТ К1'!Z9*СПРАВОЧНИК!$N$15</f>
        <v/>
      </c>
      <c r="AI18" s="40">
        <f>('ФАКТ ЧИСТ К1'!B9)*СПРАВОЧНИК!$L$9+('ФАКТ ЧИСТ К1'!C9)*СПРАВОЧНИК!$M$9+('ФАКТ ЧИСТ К1'!D9)*СПРАВОЧНИК!$N$9+('ФАКТ ЧИСТ К1'!E9)*СПРАВОЧНИК!$O$9+('ФАКТ ЧИСТ К1'!F9)*СПРАВОЧНИК!$L$10+('ФАКТ ЧИСТ К1'!G9)*СПРАВОЧНИК!$M$10+('ФАКТ ЧИСТ К1'!H9)*СПРАВОЧНИК!$N$10+('ФАКТ ЧИСТ К1'!I9)*СПРАВОЧНИК!$O$10+('ФАКТ ЧИСТ К1'!J9)*СПРАВОЧНИК!$L$11+('ФАКТ ЧИСТ К1'!K9)*СПРАВОЧНИК!$M$11+('ФАКТ ЧИСТ К1'!L9)*СПРАВОЧНИК!$N$11+('ФАКТ ЧИСТ К1'!M9)*СПРАВОЧНИК!$L$12+('ФАКТ ЧИСТ К1'!N9)*СПРАВОЧНИК!$M$12+('ФАКТ ЧИСТ К1'!O9)*СПРАВОЧНИК!$N$12+('ФАКТ ЧИСТ К1'!P9)*СПРАВОЧНИК!$O$12+('ФАКТ ЧИСТ К1'!Q9)*СПРАВОЧНИК!$L$13+('ФАКТ ЧИСТ К1'!R9)*СПРАВОЧНИК!$M$13+('ФАКТ ЧИСТ К1'!S9)*СПРАВОЧНИК!$N$13+('ФАКТ ЧИСТ К1'!T9)*СПРАВОЧНИК!$O$13+('ФАКТ ЧИСТ К1'!U9)*СПРАВОЧНИК!$L$14+('ФАКТ ЧИСТ К1'!V9)*СПРАВОЧНИК!$M$14+('ФАКТ ЧИСТ К1'!W9)*СПРАВОЧНИК!$N$14+('ФАКТ ЧИСТ К1'!X9)*СПРАВОЧНИК!$L$15+('ФАКТ ЧИСТ К1'!Y9)*СПРАВОЧНИК!$M$15+('ФАКТ ЧИСТ К1'!Z9)*СПРАВОЧНИК!$N$15</f>
        <v/>
      </c>
      <c r="AM18" s="18">
        <f>AM17+7</f>
        <v/>
      </c>
      <c r="AN18" s="37">
        <f>СПРАВОЧНИК!$E$9*('ПЛАН ЧЕРН К2'!B9*СПРАВОЧНИК!$H$9+'ПЛАН ЧЕРН К2'!C9*СПРАВОЧНИК!$I$9+'ПЛАН ЧЕРН К2'!D9*СПРАВОЧНИК!$J$9)+СПРАВОЧНИК!$E$10*('ПЛАН ЧЕРН К2'!E9*СПРАВОЧНИК!$H$10+'ПЛАН ЧЕРН К2'!F9*СПРАВОЧНИК!$I$10+'ПЛАН ЧЕРН К2'!G9*СПРАВОЧНИК!$J$10)+СПРАВОЧНИК!$E$11*('ПЛАН ЧЕРН К2'!H9*СПРАВОЧНИК!$H$11+'ПЛАН ЧЕРН К2'!I9*СПРАВОЧНИК!$I$11+'ПЛАН ЧЕРН К2'!J9*СПРАВОЧНИК!$J$11)+СПРАВОЧНИК!$E$12*('ПЛАН ЧЕРН К2'!K9*СПРАВОЧНИК!$H$12+'ПЛАН ЧЕРН К2'!L9*СПРАВОЧНИК!$I$12+'ПЛАН ЧЕРН К2'!M9*СПРАВОЧНИК!$J$12)+СПРАВОЧНИК!$E$13*('ПЛАН ЧЕРН К2'!N9*СПРАВОЧНИК!$H$13+'ПЛАН ЧЕРН К2'!O9*СПРАВОЧНИК!$I$13+'ПЛАН ЧЕРН К2'!P9*СПРАВОЧНИК!$J$13)+СПРАВОЧНИК!$E$14*('ПЛАН ЧЕРН К2'!Q9*СПРАВОЧНИК!$H$14+'ПЛАН ЧЕРН К2'!R9*СПРАВОЧНИК!$I$14+'ПЛАН ЧЕРН К2'!S9*СПРАВОЧНИК!$J$14)+СПРАВОЧНИК!$E$15*('ПЛАН ЧЕРН К2'!T9*СПРАВОЧНИК!$H$15+'ПЛАН ЧЕРН К2'!U9*СПРАВОЧНИК!$I$15+'ПЛАН ЧЕРН К2'!V9*СПРАВОЧНИК!$J$15)+СПРАВОЧНИК!$F$9*('ПЛАН ЧИСТ К2'!B9*СПРАВОЧНИК!$L$9+'ПЛАН ЧИСТ К2'!C9*СПРАВОЧНИК!$M$9+'ПЛАН ЧИСТ К2'!D9*СПРАВОЧНИК!$N$9+'ПЛАН ЧИСТ К2'!E9*СПРАВОЧНИК!$O$9)+СПРАВОЧНИК!$F$10*('ПЛАН ЧИСТ К2'!F9*СПРАВОЧНИК!$L$10+'ПЛАН ЧИСТ К2'!G9*СПРАВОЧНИК!$M$10+'ПЛАН ЧИСТ К2'!H9*СПРАВОЧНИК!$N$10+'ПЛАН ЧИСТ К2'!I9*СПРАВОЧНИК!$O$10)+СПРАВОЧНИК!$F$11*('ПЛАН ЧИСТ К2'!J9*СПРАВОЧНИК!$L$11+'ПЛАН ЧИСТ К2'!K9*СПРАВОЧНИК!$M$11+'ПЛАН ЧИСТ К2'!L9*СПРАВОЧНИК!$N$11)+СПРАВОЧНИК!$F$12*('ПЛАН ЧИСТ К2'!M9*СПРАВОЧНИК!$L$12+'ПЛАН ЧИСТ К2'!N9*СПРАВОЧНИК!$M$12+'ПЛАН ЧИСТ К2'!O9*СПРАВОЧНИК!$N$12+'ПЛАН ЧИСТ К2'!P9*СПРАВОЧНИК!$O$12)+СПРАВОЧНИК!$F$13*('ПЛАН ЧИСТ К2'!Q9*СПРАВОЧНИК!$L$13+'ПЛАН ЧИСТ К2'!R9*СПРАВОЧНИК!$M$13+'ПЛАН ЧИСТ К2'!S9*СПРАВОЧНИК!$N$13+'ПЛАН ЧИСТ К2'!T9*СПРАВОЧНИК!$O$13)+СПРАВОЧНИК!$F$14*('ПЛАН ЧИСТ К2'!U9*СПРАВОЧНИК!$L$14+'ПЛАН ЧИСТ К2'!V9*СПРАВОЧНИК!$M$14+'ПЛАН ЧИСТ К2'!W9*СПРАВОЧНИК!$N$14)+СПРАВОЧНИК!$F$15*('ПЛАН ЧИСТ К2'!X9*СПРАВОЧНИК!$L$15+'ПЛАН ЧИСТ К2'!Y9*СПРАВОЧНИК!$M$15+'ПЛАН ЧИСТ К2'!Z9*СПРАВОЧНИК!$N$15)</f>
        <v/>
      </c>
      <c r="AO18" s="40">
        <f>СПРАВОЧНИК!$E$9*(('ФАКТ ЧЕРН К2'!B9)*СПРАВОЧНИК!$H$9+('ФАКТ ЧЕРН К2'!C9)*СПРАВОЧНИК!$I$9+('ФАКТ ЧЕРН К2'!D9)*СПРАВОЧНИК!$J$9)+СПРАВОЧНИК!$E$10*(('ФАКТ ЧЕРН К2'!E9)*СПРАВОЧНИК!$H$10+('ФАКТ ЧЕРН К2'!F9)*СПРАВОЧНИК!$I$10+('ФАКТ ЧЕРН К2'!G9)*СПРАВОЧНИК!$J$10)+СПРАВОЧНИК!$E$11*(('ФАКТ ЧЕРН К2'!H9)*СПРАВОЧНИК!$H$11+('ФАКТ ЧЕРН К2'!I9)*СПРАВОЧНИК!$I$11+('ФАКТ ЧЕРН К2'!J9)*СПРАВОЧНИК!$J$11)+СПРАВОЧНИК!$E$12*(('ФАКТ ЧЕРН К2'!K9)*СПРАВОЧНИК!$H$12+('ФАКТ ЧЕРН К2'!L9)*СПРАВОЧНИК!$I$12+('ФАКТ ЧЕРН К2'!M9)*СПРАВОЧНИК!$J$12)+СПРАВОЧНИК!$E$13*(('ФАКТ ЧЕРН К2'!N9)*СПРАВОЧНИК!$H$13+('ФАКТ ЧЕРН К2'!O9)*СПРАВОЧНИК!$I$13+('ФАКТ ЧЕРН К2'!P9)*СПРАВОЧНИК!$J$13)+СПРАВОЧНИК!$E$14*(('ФАКТ ЧЕРН К2'!Q9)*СПРАВОЧНИК!$H$14+('ФАКТ ЧЕРН К2'!R9)*СПРАВОЧНИК!$I$14+('ФАКТ ЧЕРН К2'!S9)*СПРАВОЧНИК!$J$14)+СПРАВОЧНИК!$E$15*(('ФАКТ ЧЕРН К2'!T9)*СПРАВОЧНИК!$H$15+('ФАКТ ЧЕРН К2'!U9)*СПРАВОЧНИК!$I$15+('ФАКТ ЧЕРН К2'!V9)*СПРАВОЧНИК!$J$15)+СПРАВОЧНИК!$F$9*(('ФАКТ ЧИСТ К2'!B9)*СПРАВОЧНИК!$L$9+('ФАКТ ЧИСТ К2'!C9)*СПРАВОЧНИК!$M$9+('ФАКТ ЧИСТ К2'!D9)*СПРАВОЧНИК!$N$9+('ФАКТ ЧИСТ К2'!E9)*СПРАВОЧНИК!$O$9)+СПРАВОЧНИК!$F$10*(('ФАКТ ЧИСТ К2'!F9)*СПРАВОЧНИК!$L$10+('ФАКТ ЧИСТ К2'!G9)*СПРАВОЧНИК!$M$10+('ФАКТ ЧИСТ К2'!H9)*СПРАВОЧНИК!$N$10+('ФАКТ ЧИСТ К2'!I9)*СПРАВОЧНИК!$O$10)+СПРАВОЧНИК!$F$11*(('ФАКТ ЧИСТ К2'!J9)*СПРАВОЧНИК!$L$11+('ФАКТ ЧИСТ К2'!K9)*СПРАВОЧНИК!$M$11+('ФАКТ ЧИСТ К2'!L9)*СПРАВОЧНИК!$N$11)+СПРАВОЧНИК!$F$12*(('ФАКТ ЧИСТ К2'!M9)*СПРАВОЧНИК!$L$12+('ФАКТ ЧИСТ К2'!N9)*СПРАВОЧНИК!$M$12+('ФАКТ ЧИСТ К2'!O9)*СПРАВОЧНИК!$N$12+('ФАКТ ЧИСТ К2'!P9)*СПРАВОЧНИК!$O$12)+СПРАВОЧНИК!$F$13*(('ФАКТ ЧИСТ К2'!Q9)*СПРАВОЧНИК!$L$13+('ФАКТ ЧИСТ К2'!R9)*СПРАВОЧНИК!$M$13+('ФАКТ ЧИСТ К2'!S9)*СПРАВОЧНИК!$N$13+('ФАКТ ЧИСТ К2'!T9)*СПРАВОЧНИК!$O$13)+СПРАВОЧНИК!$F$14*(('ФАКТ ЧИСТ К2'!U9)*СПРАВОЧНИК!$L$14+('ФАКТ ЧИСТ К2'!V9)*СПРАВОЧНИК!$M$14+('ФАКТ ЧИСТ К2'!W9)*СПРАВОЧНИК!$N$14)+СПРАВОЧНИК!$F$15*(('ФАКТ ЧИСТ К2'!X9)*СПРАВОЧНИК!$L$15+('ФАКТ ЧИСТ К2'!Y9)*СПРАВОЧНИК!$M$15+('ФАКТ ЧИСТ К2'!Z9)*СПРАВОЧНИК!$N$15)</f>
        <v/>
      </c>
      <c r="AS18" s="18">
        <f>AS17+7</f>
        <v/>
      </c>
      <c r="AT18" s="37">
        <f>'ПЛАН ЧЕРН К2'!B9*СПРАВОЧНИК!$H$9+'ПЛАН ЧЕРН К2'!C9*СПРАВОЧНИК!$I$9+'ПЛАН ЧЕРН К2'!D9*СПРАВОЧНИК!$J$9+'ПЛАН ЧЕРН К2'!E9*СПРАВОЧНИК!$H$10+'ПЛАН ЧЕРН К2'!F9*СПРАВОЧНИК!$I$10+'ПЛАН ЧЕРН К2'!G9*СПРАВОЧНИК!$J$10+'ПЛАН ЧЕРН К2'!H9*СПРАВОЧНИК!$H$11+'ПЛАН ЧЕРН К2'!I9*СПРАВОЧНИК!$I$11+'ПЛАН ЧЕРН К2'!J9*СПРАВОЧНИК!$J$11+'ПЛАН ЧЕРН К2'!K9*СПРАВОЧНИК!$H$12+'ПЛАН ЧЕРН К2'!L9*СПРАВОЧНИК!$I$12+'ПЛАН ЧЕРН К2'!M9*СПРАВОЧНИК!$J$12+'ПЛАН ЧЕРН К2'!N9*СПРАВОЧНИК!$H$13+'ПЛАН ЧЕРН К2'!O9*СПРАВОЧНИК!$I$13+'ПЛАН ЧЕРН К2'!P9*СПРАВОЧНИК!$J$13+'ПЛАН ЧЕРН К2'!Q9*СПРАВОЧНИК!$H$14+'ПЛАН ЧЕРН К2'!R9*СПРАВОЧНИК!$I$14+'ПЛАН ЧЕРН К2'!S9*СПРАВОЧНИК!$J$14+'ПЛАН ЧЕРН К2'!T9*СПРАВОЧНИК!$H$15+'ПЛАН ЧЕРН К2'!U9*СПРАВОЧНИК!$I$15+'ПЛАН ЧЕРН К2'!V9*СПРАВОЧНИК!$J$15</f>
        <v/>
      </c>
      <c r="AU18" s="40">
        <f>('ФАКТ ЧЕРН К2'!B9)*СПРАВОЧНИК!$H$9+('ФАКТ ЧЕРН К2'!C9)*СПРАВОЧНИК!$I$9+('ФАКТ ЧЕРН К2'!D9)*СПРАВОЧНИК!$J$9+('ФАКТ ЧЕРН К2'!E9)*СПРАВОЧНИК!$H$10+('ФАКТ ЧЕРН К2'!F9)*СПРАВОЧНИК!$I$10+('ФАКТ ЧЕРН К2'!G9)*СПРАВОЧНИК!$J$10+('ФАКТ ЧЕРН К2'!H9)*СПРАВОЧНИК!$H$11+('ФАКТ ЧЕРН К2'!I9)*СПРАВОЧНИК!$I$11+('ФАКТ ЧЕРН К2'!J9)*СПРАВОЧНИК!$J$11+('ФАКТ ЧЕРН К2'!K9)*СПРАВОЧНИК!$H$12+('ФАКТ ЧЕРН К2'!L9)*СПРАВОЧНИК!$I$12+('ФАКТ ЧЕРН К2'!M9)*СПРАВОЧНИК!$J$12+('ФАКТ ЧЕРН К2'!N9)*СПРАВОЧНИК!$H$13+('ФАКТ ЧЕРН К2'!O9)*СПРАВОЧНИК!$I$13+('ФАКТ ЧЕРН К2'!P9)*СПРАВОЧНИК!$J$13+('ФАКТ ЧЕРН К2'!Q9)*СПРАВОЧНИК!$H$14+('ФАКТ ЧЕРН К2'!R9)*СПРАВОЧНИК!$I$14+('ФАКТ ЧЕРН К2'!S9)*СПРАВОЧНИК!$J$14+('ФАКТ ЧЕРН К2'!T9)*СПРАВОЧНИК!$H$15+('ФАКТ ЧЕРН К2'!U9)*СПРАВОЧНИК!$I$15+('ФАКТ ЧЕРН К2'!V9)*СПРАВОЧНИК!$J$15</f>
        <v/>
      </c>
      <c r="AY18" s="18">
        <f>AY17+7</f>
        <v/>
      </c>
      <c r="AZ18" s="37">
        <f>'ПЛАН ЧИСТ К2'!B9*СПРАВОЧНИК!$L$9+'ПЛАН ЧИСТ К2'!C9*СПРАВОЧНИК!$M$9+'ПЛАН ЧИСТ К2'!D9*СПРАВОЧНИК!$N$9+'ПЛАН ЧИСТ К2'!E9*СПРАВОЧНИК!$O$9+'ПЛАН ЧИСТ К2'!F9*СПРАВОЧНИК!$L$10+'ПЛАН ЧИСТ К2'!G9*СПРАВОЧНИК!$M$10+'ПЛАН ЧИСТ К2'!H9*СПРАВОЧНИК!$N$10+'ПЛАН ЧИСТ К2'!I9*СПРАВОЧНИК!$O$10+'ПЛАН ЧИСТ К2'!J9*СПРАВОЧНИК!$L$11+'ПЛАН ЧИСТ К2'!K9*СПРАВОЧНИК!$M$11+'ПЛАН ЧИСТ К2'!L9*СПРАВОЧНИК!$N$11+'ПЛАН ЧИСТ К2'!M9*СПРАВОЧНИК!$L$12+'ПЛАН ЧИСТ К2'!N9*СПРАВОЧНИК!$M$12+'ПЛАН ЧИСТ К2'!O9*СПРАВОЧНИК!$N$12+'ПЛАН ЧИСТ К2'!P9*СПРАВОЧНИК!$O$12+'ПЛАН ЧИСТ К2'!Q9*СПРАВОЧНИК!$L$13+'ПЛАН ЧИСТ К2'!R9*СПРАВОЧНИК!$M$13+'ПЛАН ЧИСТ К2'!S9*СПРАВОЧНИК!$N$13+'ПЛАН ЧИСТ К2'!T9*СПРАВОЧНИК!$O$13+'ПЛАН ЧИСТ К2'!U9*СПРАВОЧНИК!$L$14+'ПЛАН ЧИСТ К2'!V9*СПРАВОЧНИК!$M$14+'ПЛАН ЧИСТ К2'!W9*СПРАВОЧНИК!$N$14+'ПЛАН ЧИСТ К2'!X9*СПРАВОЧНИК!$L$15+'ПЛАН ЧИСТ К2'!Y9*СПРАВОЧНИК!$M$15+'ПЛАН ЧИСТ К2'!Z9*СПРАВОЧНИК!$N$15</f>
        <v/>
      </c>
      <c r="BA18" s="40">
        <f>('ФАКТ ЧИСТ К2'!B9)*СПРАВОЧНИК!$L$9+('ФАКТ ЧИСТ К2'!C9)*СПРАВОЧНИК!$M$9+('ФАКТ ЧИСТ К2'!D9)*СПРАВОЧНИК!$N$9+('ФАКТ ЧИСТ К2'!E9)*СПРАВОЧНИК!$O$9+('ФАКТ ЧИСТ К2'!F9)*СПРАВОЧНИК!$L$10+('ФАКТ ЧИСТ К2'!G9)*СПРАВОЧНИК!$M$10+('ФАКТ ЧИСТ К2'!H9)*СПРАВОЧНИК!$N$10+('ФАКТ ЧИСТ К2'!I9)*СПРАВОЧНИК!$O$10+('ФАКТ ЧИСТ К2'!J9)*СПРАВОЧНИК!$L$11+('ФАКТ ЧИСТ К2'!K9)*СПРАВОЧНИК!$M$11+('ФАКТ ЧИСТ К2'!L9)*СПРАВОЧНИК!$N$11+('ФАКТ ЧИСТ К2'!M9)*СПРАВОЧНИК!$L$12+('ФАКТ ЧИСТ К2'!N9)*СПРАВОЧНИК!$M$12+('ФАКТ ЧИСТ К2'!O9)*СПРАВОЧНИК!$N$12+('ФАКТ ЧИСТ К2'!P9)*СПРАВОЧНИК!$O$12+('ФАКТ ЧИСТ К2'!Q9)*СПРАВОЧНИК!$L$13+('ФАКТ ЧИСТ К2'!R9)*СПРАВОЧНИК!$M$13+('ФАКТ ЧИСТ К2'!S9)*СПРАВОЧНИК!$N$13+('ФАКТ ЧИСТ К2'!T9)*СПРАВОЧНИК!$O$13+('ФАКТ ЧИСТ К2'!U9)*СПРАВОЧНИК!$L$14+('ФАКТ ЧИСТ К2'!V9)*СПРАВОЧНИК!$M$14+('ФАКТ ЧИСТ К2'!W9)*СПРАВОЧНИК!$N$14+('ФАКТ ЧИСТ К2'!X9)*СПРАВОЧНИК!$L$15+('ФАКТ ЧИСТ К2'!Y9)*СПРАВОЧНИК!$M$15+('ФАКТ ЧИСТ К2'!Z9)*СПРАВОЧНИК!$N$15</f>
        <v/>
      </c>
      <c r="BE18" s="18">
        <f>BE17+7</f>
        <v/>
      </c>
      <c r="BF18" s="37">
        <f>СПРАВОЧНИК!$E$9*('ПЛАН ЧЕРН К3'!B9*СПРАВОЧНИК!$H$9+'ПЛАН ЧЕРН К3'!C9*СПРАВОЧНИК!$I$9+'ПЛАН ЧЕРН К3'!D9*СПРАВОЧНИК!$J$9)+СПРАВОЧНИК!$E$10*('ПЛАН ЧЕРН К3'!E9*СПРАВОЧНИК!$H$10+'ПЛАН ЧЕРН К3'!F9*СПРАВОЧНИК!$I$10+'ПЛАН ЧЕРН К3'!G9*СПРАВОЧНИК!$J$10)+СПРАВОЧНИК!$E$11*('ПЛАН ЧЕРН К3'!H9*СПРАВОЧНИК!$H$11+'ПЛАН ЧЕРН К3'!I9*СПРАВОЧНИК!$I$11+'ПЛАН ЧЕРН К3'!J9*СПРАВОЧНИК!$J$11)+СПРАВОЧНИК!$E$12*('ПЛАН ЧЕРН К3'!K9*СПРАВОЧНИК!$H$12+'ПЛАН ЧЕРН К3'!L9*СПРАВОЧНИК!$I$12+'ПЛАН ЧЕРН К3'!M9*СПРАВОЧНИК!$J$12)+СПРАВОЧНИК!$E$13*('ПЛАН ЧЕРН К3'!N9*СПРАВОЧНИК!$H$13+'ПЛАН ЧЕРН К3'!O9*СПРАВОЧНИК!$I$13+'ПЛАН ЧЕРН К3'!P9*СПРАВОЧНИК!$J$13)+СПРАВОЧНИК!$E$14*('ПЛАН ЧЕРН К3'!Q9*СПРАВОЧНИК!$H$14+'ПЛАН ЧЕРН К3'!R9*СПРАВОЧНИК!$I$14+'ПЛАН ЧЕРН К3'!S9*СПРАВОЧНИК!$J$14)+СПРАВОЧНИК!$E$15*('ПЛАН ЧЕРН К3'!T9*СПРАВОЧНИК!$H$15+'ПЛАН ЧЕРН К3'!U9*СПРАВОЧНИК!$I$15+'ПЛАН ЧЕРН К3'!V9*СПРАВОЧНИК!$J$15)+СПРАВОЧНИК!$F$9*('ПЛАН ЧИСТ К3'!B9*СПРАВОЧНИК!$L$9+'ПЛАН ЧИСТ К3'!C9*СПРАВОЧНИК!$M$9+'ПЛАН ЧИСТ К3'!D9*СПРАВОЧНИК!$N$9+'ПЛАН ЧИСТ К3'!E9*СПРАВОЧНИК!$O$9)+СПРАВОЧНИК!$F$10*('ПЛАН ЧИСТ К3'!F9*СПРАВОЧНИК!$L$10+'ПЛАН ЧИСТ К3'!G9*СПРАВОЧНИК!$M$10+'ПЛАН ЧИСТ К3'!H9*СПРАВОЧНИК!$N$10+'ПЛАН ЧИСТ К3'!I9*СПРАВОЧНИК!$O$10)+СПРАВОЧНИК!$F$11*('ПЛАН ЧИСТ К3'!J9*СПРАВОЧНИК!$L$11+'ПЛАН ЧИСТ К3'!K9*СПРАВОЧНИК!$M$11+'ПЛАН ЧИСТ К3'!L9*СПРАВОЧНИК!$N$11)+СПРАВОЧНИК!$F$12*('ПЛАН ЧИСТ К3'!M9*СПРАВОЧНИК!$L$12+'ПЛАН ЧИСТ К3'!N9*СПРАВОЧНИК!$M$12+'ПЛАН ЧИСТ К3'!O9*СПРАВОЧНИК!$N$12+'ПЛАН ЧИСТ К3'!P9*СПРАВОЧНИК!$O$12)+СПРАВОЧНИК!$F$13*('ПЛАН ЧИСТ К3'!Q9*СПРАВОЧНИК!$L$13+'ПЛАН ЧИСТ К3'!R9*СПРАВОЧНИК!$M$13+'ПЛАН ЧИСТ К3'!S9*СПРАВОЧНИК!$N$13+'ПЛАН ЧИСТ К3'!T9*СПРАВОЧНИК!$O$13)+СПРАВОЧНИК!$F$14*('ПЛАН ЧИСТ К3'!U9*СПРАВОЧНИК!$L$14+'ПЛАН ЧИСТ К3'!V9*СПРАВОЧНИК!$M$14+'ПЛАН ЧИСТ К3'!W9*СПРАВОЧНИК!$N$14)+СПРАВОЧНИК!$F$15*('ПЛАН ЧИСТ К3'!X9*СПРАВОЧНИК!$L$15+'ПЛАН ЧИСТ К3'!Y9*СПРАВОЧНИК!$M$15+'ПЛАН ЧИСТ К3'!Z9*СПРАВОЧНИК!$N$15)</f>
        <v/>
      </c>
      <c r="BG18" s="40">
        <f>СПРАВОЧНИК!$E$9*(('ФАКТ ЧЕРН К3'!B9)*СПРАВОЧНИК!$H$9+('ФАКТ ЧЕРН К3'!C9)*СПРАВОЧНИК!$I$9+('ФАКТ ЧЕРН К3'!D9)*СПРАВОЧНИК!$J$9)+СПРАВОЧНИК!$E$10*(('ФАКТ ЧЕРН К3'!E9)*СПРАВОЧНИК!$H$10+('ФАКТ ЧЕРН К3'!F9)*СПРАВОЧНИК!$I$10+('ФАКТ ЧЕРН К3'!G9)*СПРАВОЧНИК!$J$10)+СПРАВОЧНИК!$E$11*(('ФАКТ ЧЕРН К3'!H9)*СПРАВОЧНИК!$H$11+('ФАКТ ЧЕРН К3'!I9)*СПРАВОЧНИК!$I$11+('ФАКТ ЧЕРН К3'!J9)*СПРАВОЧНИК!$J$11)+СПРАВОЧНИК!$E$12*(('ФАКТ ЧЕРН К3'!K9)*СПРАВОЧНИК!$H$12+('ФАКТ ЧЕРН К3'!L9)*СПРАВОЧНИК!$I$12+('ФАКТ ЧЕРН К3'!M9)*СПРАВОЧНИК!$J$12)+СПРАВОЧНИК!$E$13*(('ФАКТ ЧЕРН К3'!N9)*СПРАВОЧНИК!$H$13+('ФАКТ ЧЕРН К3'!O9)*СПРАВОЧНИК!$I$13+('ФАКТ ЧЕРН К3'!P9)*СПРАВОЧНИК!$J$13)+СПРАВОЧНИК!$E$14*(('ФАКТ ЧЕРН К3'!Q9)*СПРАВОЧНИК!$H$14+('ФАКТ ЧЕРН К3'!R9)*СПРАВОЧНИК!$I$14+('ФАКТ ЧЕРН К3'!S9)*СПРАВОЧНИК!$J$14)+СПРАВОЧНИК!$E$15*(('ФАКТ ЧЕРН К3'!T9)*СПРАВОЧНИК!$H$15+('ФАКТ ЧЕРН К3'!U9)*СПРАВОЧНИК!$I$15+('ФАКТ ЧЕРН К3'!V9)*СПРАВОЧНИК!$J$15)+СПРАВОЧНИК!$F$9*(('ФАКТ ЧИСТ К3'!B9)*СПРАВОЧНИК!$L$9+('ФАКТ ЧИСТ К3'!C9)*СПРАВОЧНИК!$M$9+('ФАКТ ЧИСТ К3'!D9)*СПРАВОЧНИК!$N$9+('ФАКТ ЧИСТ К3'!E9)*СПРАВОЧНИК!$O$9)+СПРАВОЧНИК!$F$10*(('ФАКТ ЧИСТ К3'!F9)*СПРАВОЧНИК!$L$10+('ФАКТ ЧИСТ К3'!G9)*СПРАВОЧНИК!$M$10+('ФАКТ ЧИСТ К3'!H9)*СПРАВОЧНИК!$N$10+('ФАКТ ЧИСТ К3'!I9)*СПРАВОЧНИК!$O$10)+СПРАВОЧНИК!$F$11*(('ФАКТ ЧИСТ К3'!J9)*СПРАВОЧНИК!$L$11+('ФАКТ ЧИСТ К3'!K9)*СПРАВОЧНИК!$M$11+('ФАКТ ЧИСТ К3'!L9)*СПРАВОЧНИК!$N$11)+СПРАВОЧНИК!$F$12*(('ФАКТ ЧИСТ К3'!M9)*СПРАВОЧНИК!$L$12+('ФАКТ ЧИСТ К3'!N9)*СПРАВОЧНИК!$M$12+('ФАКТ ЧИСТ К3'!O9)*СПРАВОЧНИК!$N$12+('ФАКТ ЧИСТ К3'!P9)*СПРАВОЧНИК!$O$12)+СПРАВОЧНИК!$F$13*(('ФАКТ ЧИСТ К3'!Q9)*СПРАВОЧНИК!$L$13+('ФАКТ ЧИСТ К3'!R9)*СПРАВОЧНИК!$M$13+('ФАКТ ЧИСТ К3'!S9)*СПРАВОЧНИК!$N$13+('ФАКТ ЧИСТ К3'!T9)*СПРАВОЧНИК!$O$13)+СПРАВОЧНИК!$F$14*(('ФАКТ ЧИСТ К3'!U9)*СПРАВОЧНИК!$L$14+('ФАКТ ЧИСТ К3'!V9)*СПРАВОЧНИК!$M$14+('ФАКТ ЧИСТ К3'!W9)*СПРАВОЧНИК!$N$14)+СПРАВОЧНИК!$F$15*(('ФАКТ ЧИСТ К3'!X9)*СПРАВОЧНИК!$L$15+('ФАКТ ЧИСТ К3'!Y9)*СПРАВОЧНИК!$M$15+('ФАКТ ЧИСТ К3'!Z9)*СПРАВОЧНИК!$N$15)</f>
        <v/>
      </c>
      <c r="BK18" s="18">
        <f>BK17+7</f>
        <v/>
      </c>
      <c r="BL18" s="37">
        <f>'ПЛАН ЧЕРН К3'!B9*СПРАВОЧНИК!$H$9+'ПЛАН ЧЕРН К3'!C9*СПРАВОЧНИК!$I$9+'ПЛАН ЧЕРН К3'!D9*СПРАВОЧНИК!$J$9+'ПЛАН ЧЕРН К3'!E9*СПРАВОЧНИК!$H$10+'ПЛАН ЧЕРН К3'!F9*СПРАВОЧНИК!$I$10+'ПЛАН ЧЕРН К3'!G9*СПРАВОЧНИК!$J$10+'ПЛАН ЧЕРН К3'!H9*СПРАВОЧНИК!$H$11+'ПЛАН ЧЕРН К3'!I9*СПРАВОЧНИК!$I$11+'ПЛАН ЧЕРН К3'!J9*СПРАВОЧНИК!$J$11+'ПЛАН ЧЕРН К3'!K9*СПРАВОЧНИК!$H$12+'ПЛАН ЧЕРН К3'!L9*СПРАВОЧНИК!$I$12+'ПЛАН ЧЕРН К3'!M9*СПРАВОЧНИК!$J$12+'ПЛАН ЧЕРН К3'!N9*СПРАВОЧНИК!$H$13+'ПЛАН ЧЕРН К3'!O9*СПРАВОЧНИК!$I$13+'ПЛАН ЧЕРН К3'!P9*СПРАВОЧНИК!$J$13+'ПЛАН ЧЕРН К3'!Q9*СПРАВОЧНИК!$H$14+'ПЛАН ЧЕРН К3'!R9*СПРАВОЧНИК!$I$14+'ПЛАН ЧЕРН К3'!S9*СПРАВОЧНИК!$J$14+'ПЛАН ЧЕРН К3'!T9*СПРАВОЧНИК!$H$15+'ПЛАН ЧЕРН К3'!U9*СПРАВОЧНИК!$I$15+'ПЛАН ЧЕРН К3'!V9*СПРАВОЧНИК!$J$15</f>
        <v/>
      </c>
      <c r="BM18" s="40">
        <f>('ФАКТ ЧЕРН К3'!B9)*СПРАВОЧНИК!$H$9+('ФАКТ ЧЕРН К3'!C9)*СПРАВОЧНИК!$I$9+('ФАКТ ЧЕРН К3'!D9)*СПРАВОЧНИК!$J$9+('ФАКТ ЧЕРН К3'!E9)*СПРАВОЧНИК!$H$10+('ФАКТ ЧЕРН К3'!F9)*СПРАВОЧНИК!$I$10+('ФАКТ ЧЕРН К3'!G9)*СПРАВОЧНИК!$J$10+('ФАКТ ЧЕРН К3'!H9)*СПРАВОЧНИК!$H$11+('ФАКТ ЧЕРН К3'!I9)*СПРАВОЧНИК!$I$11+('ФАКТ ЧЕРН К3'!J9)*СПРАВОЧНИК!$J$11+('ФАКТ ЧЕРН К3'!K9)*СПРАВОЧНИК!$H$12+('ФАКТ ЧЕРН К3'!L9)*СПРАВОЧНИК!$I$12+('ФАКТ ЧЕРН К3'!M9)*СПРАВОЧНИК!$J$12+('ФАКТ ЧЕРН К3'!N9)*СПРАВОЧНИК!$H$13+('ФАКТ ЧЕРН К3'!O9)*СПРАВОЧНИК!$I$13+('ФАКТ ЧЕРН К3'!P9)*СПРАВОЧНИК!$J$13+('ФАКТ ЧЕРН К3'!Q9)*СПРАВОЧНИК!$H$14+('ФАКТ ЧЕРН К3'!R9)*СПРАВОЧНИК!$I$14+('ФАКТ ЧЕРН К3'!S9)*СПРАВОЧНИК!$J$14+('ФАКТ ЧЕРН К3'!T9)*СПРАВОЧНИК!$H$15+('ФАКТ ЧЕРН К3'!U9)*СПРАВОЧНИК!$I$15+('ФАКТ ЧЕРН К3'!V9)*СПРАВОЧНИК!$J$15</f>
        <v/>
      </c>
      <c r="BQ18" s="18">
        <f>BQ17+7</f>
        <v/>
      </c>
      <c r="BR18" s="37">
        <f>'ПЛАН ЧИСТ К3'!B9*СПРАВОЧНИК!$L$9+'ПЛАН ЧИСТ К3'!C9*СПРАВОЧНИК!$M$9+'ПЛАН ЧИСТ К3'!D9*СПРАВОЧНИК!$N$9+'ПЛАН ЧИСТ К3'!E9*СПРАВОЧНИК!$O$9+'ПЛАН ЧИСТ К3'!F9*СПРАВОЧНИК!$L$10+'ПЛАН ЧИСТ К3'!G9*СПРАВОЧНИК!$M$10+'ПЛАН ЧИСТ К3'!H9*СПРАВОЧНИК!$N$10+'ПЛАН ЧИСТ К3'!I9*СПРАВОЧНИК!$O$10+'ПЛАН ЧИСТ К3'!J9*СПРАВОЧНИК!$L$11+'ПЛАН ЧИСТ К3'!K9*СПРАВОЧНИК!$M$11+'ПЛАН ЧИСТ К3'!L9*СПРАВОЧНИК!$N$11+'ПЛАН ЧИСТ К3'!M9*СПРАВОЧНИК!$L$12+'ПЛАН ЧИСТ К3'!N9*СПРАВОЧНИК!$M$12+'ПЛАН ЧИСТ К3'!O9*СПРАВОЧНИК!$N$12+'ПЛАН ЧИСТ К3'!P9*СПРАВОЧНИК!$O$12+'ПЛАН ЧИСТ К3'!Q9*СПРАВОЧНИК!$L$13+'ПЛАН ЧИСТ К3'!R9*СПРАВОЧНИК!$M$13+'ПЛАН ЧИСТ К3'!S9*СПРАВОЧНИК!$N$13+'ПЛАН ЧИСТ К3'!T9*СПРАВОЧНИК!$O$13+'ПЛАН ЧИСТ К3'!U9*СПРАВОЧНИК!$L$14+'ПЛАН ЧИСТ К3'!V9*СПРАВОЧНИК!$M$14+'ПЛАН ЧИСТ К3'!W9*СПРАВОЧНИК!$N$14+'ПЛАН ЧИСТ К3'!X9*СПРАВОЧНИК!$L$15+'ПЛАН ЧИСТ К3'!Y9*СПРАВОЧНИК!$M$15+'ПЛАН ЧИСТ К3'!Z9*СПРАВОЧНИК!$N$15</f>
        <v/>
      </c>
      <c r="BS18" s="40">
        <f>('ФАКТ ЧИСТ К3'!B9)*СПРАВОЧНИК!$L$9+('ФАКТ ЧИСТ К3'!C9)*СПРАВОЧНИК!$M$9+('ФАКТ ЧИСТ К3'!D9)*СПРАВОЧНИК!$N$9+('ФАКТ ЧИСТ К3'!E9)*СПРАВОЧНИК!$O$9+('ФАКТ ЧИСТ К3'!F9)*СПРАВОЧНИК!$L$10+('ФАКТ ЧИСТ К3'!G9)*СПРАВОЧНИК!$M$10+('ФАКТ ЧИСТ К3'!H9)*СПРАВОЧНИК!$N$10+('ФАКТ ЧИСТ К3'!I9)*СПРАВОЧНИК!$O$10+('ФАКТ ЧИСТ К3'!J9)*СПРАВОЧНИК!$L$11+('ФАКТ ЧИСТ К3'!K9)*СПРАВОЧНИК!$M$11+('ФАКТ ЧИСТ К3'!L9)*СПРАВОЧНИК!$N$11+('ФАКТ ЧИСТ К3'!M9)*СПРАВОЧНИК!$L$12+('ФАКТ ЧИСТ К3'!N9)*СПРАВОЧНИК!$M$12+('ФАКТ ЧИСТ К3'!O9)*СПРАВОЧНИК!$N$12+('ФАКТ ЧИСТ К3'!P9)*СПРАВОЧНИК!$O$12+('ФАКТ ЧИСТ К3'!Q9)*СПРАВОЧНИК!$L$13+('ФАКТ ЧИСТ К3'!R9)*СПРАВОЧНИК!$M$13+('ФАКТ ЧИСТ К3'!S9)*СПРАВОЧНИК!$N$13+('ФАКТ ЧИСТ К3'!T9)*СПРАВОЧНИК!$O$13+('ФАКТ ЧИСТ К3'!U9)*СПРАВОЧНИК!$L$14+('ФАКТ ЧИСТ К3'!V9)*СПРАВОЧНИК!$M$14+('ФАКТ ЧИСТ К3'!W9)*СПРАВОЧНИК!$N$14+('ФАКТ ЧИСТ К3'!X9)*СПРАВОЧНИК!$L$15+('ФАКТ ЧИСТ К3'!Y9)*СПРАВОЧНИК!$M$15+('ФАКТ ЧИСТ К3'!Z9)*СПРАВОЧНИК!$N$15</f>
        <v/>
      </c>
      <c r="BW18" s="18">
        <f>BW17+7</f>
        <v/>
      </c>
      <c r="BX18" s="37">
        <f>V18+AN18+BF18</f>
        <v/>
      </c>
      <c r="BY18" s="40">
        <f>W18+AO18+BG18</f>
        <v/>
      </c>
      <c r="CC18" s="18">
        <f>CC17+7</f>
        <v/>
      </c>
      <c r="CD18" s="37">
        <f>AB18+AT18+BL18</f>
        <v/>
      </c>
      <c r="CE18" s="40">
        <f>AC18+AU18+BM18</f>
        <v/>
      </c>
      <c r="CI18" s="18">
        <f>CI17+7</f>
        <v/>
      </c>
      <c r="CJ18" s="37">
        <f>AH18+AZ18+BR18</f>
        <v/>
      </c>
      <c r="CK18" s="40">
        <f>AI18+BA18+BS18</f>
        <v/>
      </c>
      <c r="CO18" s="18">
        <f>CO17+7</f>
        <v/>
      </c>
      <c r="CP18" s="37">
        <f>D18+BX18</f>
        <v/>
      </c>
      <c r="CQ18" s="40">
        <f>E18+BY18</f>
        <v/>
      </c>
      <c r="CU18" s="18">
        <f>CU17+7</f>
        <v/>
      </c>
      <c r="CV18" s="37">
        <f>J18+CD18</f>
        <v/>
      </c>
      <c r="CW18" s="40">
        <f>K18+CE18</f>
        <v/>
      </c>
      <c r="DA18" s="18">
        <f>DA17+7</f>
        <v/>
      </c>
      <c r="DB18" s="37">
        <f>P18+CJ18</f>
        <v/>
      </c>
      <c r="DC18" s="40">
        <f>Q18+CK18</f>
        <v/>
      </c>
    </row>
    <row r="19">
      <c r="C19" s="18">
        <f>C18+7</f>
        <v/>
      </c>
      <c r="D19" s="37">
        <f>СПРАВОЧНИК!$E$3*('ПЛАН ЧЕРН ПОДЗЕМ'!B10*СПРАВОЧНИК!$H$3+'ПЛАН ЧЕРН ПОДЗЕМ'!C10*СПРАВОЧНИК!$I$3+'ПЛАН ЧЕРН ПОДЗЕМ'!D10*СПРАВОЧНИК!$J$3)+СПРАВОЧНИК!$E$4*('ПЛАН ЧЕРН ПОДЗЕМ'!E10*СПРАВОЧНИК!$H$4+'ПЛАН ЧЕРН ПОДЗЕМ'!F10*СПРАВОЧНИК!$I$4+'ПЛАН ЧЕРН ПОДЗЕМ'!G10*СПРАВОЧНИК!$J$4)+СПРАВОЧНИК!$E$5*('ПЛАН ЧЕРН ПОДЗЕМ'!H10*СПРАВОЧНИК!$H$5+'ПЛАН ЧЕРН ПОДЗЕМ'!I10*СПРАВОЧНИК!$I$5+'ПЛАН ЧЕРН ПОДЗЕМ'!J10*СПРАВОЧНИК!$J$5)+СПРАВОЧНИК!$E$6*('ПЛАН ЧЕРН ПОДЗЕМ'!K10*СПРАВОЧНИК!$H$6+'ПЛАН ЧЕРН ПОДЗЕМ'!L10*СПРАВОЧНИК!$I$6+'ПЛАН ЧЕРН ПОДЗЕМ'!M10*СПРАВОЧНИК!$J$6)+СПРАВОЧНИК!$E$7*('ПЛАН ЧЕРН ПОДЗЕМ'!N10*СПРАВОЧНИК!$H$7+'ПЛАН ЧЕРН ПОДЗЕМ'!O10*СПРАВОЧНИК!$I$7+'ПЛАН ЧЕРН ПОДЗЕМ'!P10*СПРАВОЧНИК!$J$7)+СПРАВОЧНИК!$E$8*('ПЛАН ЧЕРН ПОДЗЕМ'!Q10*СПРАВОЧНИК!$H$8+'ПЛАН ЧЕРН ПОДЗЕМ'!R10*СПРАВОЧНИК!$I$8+'ПЛАН ЧЕРН ПОДЗЕМ'!S10*СПРАВОЧНИК!$J$8)+СПРАВОЧНИК!$F$3*('ПЛАН ЧИСТ ПОДЗЕМ'!B10*СПРАВОЧНИК!$L$3+'ПЛАН ЧИСТ ПОДЗЕМ'!C10*СПРАВОЧНИК!$M$3+'ПЛАН ЧИСТ ПОДЗЕМ'!D10*СПРАВОЧНИК!$N$3+'ПЛАН ЧИСТ ПОДЗЕМ'!E10*СПРАВОЧНИК!$O$3)+СПРАВОЧНИК!$F$4*('ПЛАН ЧИСТ ПОДЗЕМ'!F10*СПРАВОЧНИК!$L$4+'ПЛАН ЧИСТ ПОДЗЕМ'!G10*СПРАВОЧНИК!$M$4+'ПЛАН ЧИСТ ПОДЗЕМ'!H10*СПРАВОЧНИК!$N$4+'ПЛАН ЧИСТ ПОДЗЕМ'!I10*СПРАВОЧНИК!$O$4)+СПРАВОЧНИК!$F$5*('ПЛАН ЧИСТ ПОДЗЕМ'!J10*СПРАВОЧНИК!$L$5+'ПЛАН ЧИСТ ПОДЗЕМ'!K10*СПРАВОЧНИК!$M$5+'ПЛАН ЧИСТ ПОДЗЕМ'!L10*СПРАВОЧНИК!$N$5)+СПРАВОЧНИК!$F$6*('ПЛАН ЧИСТ ПОДЗЕМ'!M10*СПРАВОЧНИК!$L$6+'ПЛАН ЧИСТ ПОДЗЕМ'!N10*СПРАВОЧНИК!$M$6+'ПЛАН ЧИСТ ПОДЗЕМ'!O10*СПРАВОЧНИК!$N$6+'ПЛАН ЧИСТ ПОДЗЕМ'!P10*СПРАВОЧНИК!$O$6)+СПРАВОЧНИК!$F$7*('ПЛАН ЧИСТ ПОДЗЕМ'!Q10*СПРАВОЧНИК!$L$7+'ПЛАН ЧИСТ ПОДЗЕМ'!R10*СПРАВОЧНИК!$M$7+'ПЛАН ЧИСТ ПОДЗЕМ'!S10*СПРАВОЧНИК!$N$7+'ПЛАН ЧИСТ ПОДЗЕМ'!T10*СПРАВОЧНИК!$O$7)+СПРАВОЧНИК!$F$8*('ПЛАН ЧИСТ ПОДЗЕМ'!U10*СПРАВОЧНИК!$L$8+'ПЛАН ЧИСТ ПОДЗЕМ'!V10*СПРАВОЧНИК!$M$8+'ПЛАН ЧИСТ ПОДЗЕМ'!W10*СПРАВОЧНИК!$N$8)</f>
        <v/>
      </c>
      <c r="E19" s="40">
        <f>СПРАВОЧНИК!$E$3*(('ФАКТ ЧЕРН ПОДЗЕМ'!B10)*СПРАВОЧНИК!$H$3+('ФАКТ ЧЕРН ПОДЗЕМ'!C10)*СПРАВОЧНИК!$I$3+('ФАКТ ЧЕРН ПОДЗЕМ'!D10)*СПРАВОЧНИК!$J$3)+СПРАВОЧНИК!$E$4*(('ФАКТ ЧЕРН ПОДЗЕМ'!E10)*СПРАВОЧНИК!$H$4+('ФАКТ ЧЕРН ПОДЗЕМ'!F10)*СПРАВОЧНИК!$I$4+('ФАКТ ЧЕРН ПОДЗЕМ'!G10)*СПРАВОЧНИК!$J$4)+СПРАВОЧНИК!$E$5*(('ФАКТ ЧЕРН ПОДЗЕМ'!H10)*СПРАВОЧНИК!$H$5+('ФАКТ ЧЕРН ПОДЗЕМ'!I10)*СПРАВОЧНИК!$I$5+('ФАКТ ЧЕРН ПОДЗЕМ'!J10)*СПРАВОЧНИК!$J$5)+СПРАВОЧНИК!$E$6*(('ФАКТ ЧЕРН ПОДЗЕМ'!K10)*СПРАВОЧНИК!$H$6+('ФАКТ ЧЕРН ПОДЗЕМ'!L10)*СПРАВОЧНИК!$I$6+('ФАКТ ЧЕРН ПОДЗЕМ'!M10)*СПРАВОЧНИК!$J$6)+СПРАВОЧНИК!$E$7*(('ФАКТ ЧЕРН ПОДЗЕМ'!N10)*СПРАВОЧНИК!$H$7+('ФАКТ ЧЕРН ПОДЗЕМ'!O10)*СПРАВОЧНИК!$I$7+('ФАКТ ЧЕРН ПОДЗЕМ'!P10)*СПРАВОЧНИК!$J$7)+СПРАВОЧНИК!$E$8*(('ФАКТ ЧЕРН ПОДЗЕМ'!Q10)*СПРАВОЧНИК!$H$8+('ФАКТ ЧЕРН ПОДЗЕМ'!R10)*СПРАВОЧНИК!$I$8+('ФАКТ ЧЕРН ПОДЗЕМ'!S10)*СПРАВОЧНИК!$J$8)+СПРАВОЧНИК!$F$3*(('ФАКТ ЧИСТ ПОДЗЕМ'!B10)*СПРАВОЧНИК!$L$3+('ФАКТ ЧИСТ ПОДЗЕМ'!C10)*СПРАВОЧНИК!$M$3+('ФАКТ ЧИСТ ПОДЗЕМ'!D10)*СПРАВОЧНИК!$N$3+('ФАКТ ЧИСТ ПОДЗЕМ'!E10)*СПРАВОЧНИК!$O$3)+СПРАВОЧНИК!$F$4*(('ФАКТ ЧИСТ ПОДЗЕМ'!F10)*СПРАВОЧНИК!$L$4+('ФАКТ ЧИСТ ПОДЗЕМ'!G10)*СПРАВОЧНИК!$M$4+('ФАКТ ЧИСТ ПОДЗЕМ'!H10)*СПРАВОЧНИК!$N$4+('ФАКТ ЧИСТ ПОДЗЕМ'!I10)*СПРАВОЧНИК!$O$4)+СПРАВОЧНИК!$F$5*(('ФАКТ ЧИСТ ПОДЗЕМ'!J10)*СПРАВОЧНИК!$L$5+('ФАКТ ЧИСТ ПОДЗЕМ'!K10)*СПРАВОЧНИК!$M$5+('ФАКТ ЧИСТ ПОДЗЕМ'!L10)*СПРАВОЧНИК!$N$5)+СПРАВОЧНИК!$F$6*(('ФАКТ ЧИСТ ПОДЗЕМ'!M10)*СПРАВОЧНИК!$L$6+('ФАКТ ЧИСТ ПОДЗЕМ'!N10)*СПРАВОЧНИК!$M$6+('ФАКТ ЧИСТ ПОДЗЕМ'!O10)*СПРАВОЧНИК!$N$6+('ФАКТ ЧИСТ ПОДЗЕМ'!P10)*СПРАВОЧНИК!$O$6)+СПРАВОЧНИК!$F$7*(('ФАКТ ЧИСТ ПОДЗЕМ'!Q10)*СПРАВОЧНИК!$L$7+('ФАКТ ЧИСТ ПОДЗЕМ'!R10)*СПРАВОЧНИК!$M$7+('ФАКТ ЧИСТ ПОДЗЕМ'!S10)*СПРАВОЧНИК!$N$7+('ФАКТ ЧИСТ ПОДЗЕМ'!T10)*СПРАВОЧНИК!$O$7)+СПРАВОЧНИК!$F$8*(('ФАКТ ЧИСТ ПОДЗЕМ'!U10)*СПРАВОЧНИК!$L$8+('ФАКТ ЧИСТ ПОДЗЕМ'!V10)*СПРАВОЧНИК!$M$8+('ФАКТ ЧИСТ ПОДЗЕМ'!W10)*СПРАВОЧНИК!$N$8)</f>
        <v/>
      </c>
      <c r="I19" s="18">
        <f>I18+7</f>
        <v/>
      </c>
      <c r="J19" s="37">
        <f>'ПЛАН ЧЕРН ПОДЗЕМ'!B10*СПРАВОЧНИК!$H$3+'ПЛАН ЧЕРН ПОДЗЕМ'!C10*СПРАВОЧНИК!$I$3+'ПЛАН ЧЕРН ПОДЗЕМ'!D10*СПРАВОЧНИК!$J$3+'ПЛАН ЧЕРН ПОДЗЕМ'!E10*СПРАВОЧНИК!$H$4+'ПЛАН ЧЕРН ПОДЗЕМ'!F10*СПРАВОЧНИК!$I$4+'ПЛАН ЧЕРН ПОДЗЕМ'!G10*СПРАВОЧНИК!$J$4+'ПЛАН ЧЕРН ПОДЗЕМ'!H10*СПРАВОЧНИК!$H$5+'ПЛАН ЧЕРН ПОДЗЕМ'!I10*СПРАВОЧНИК!$I$5+'ПЛАН ЧЕРН ПОДЗЕМ'!J10*СПРАВОЧНИК!$J$5+'ПЛАН ЧЕРН ПОДЗЕМ'!K10*СПРАВОЧНИК!$H$6+'ПЛАН ЧЕРН ПОДЗЕМ'!L10*СПРАВОЧНИК!$I$6+'ПЛАН ЧЕРН ПОДЗЕМ'!M10*СПРАВОЧНИК!$J$6+'ПЛАН ЧЕРН ПОДЗЕМ'!N10*СПРАВОЧНИК!$H$7+'ПЛАН ЧЕРН ПОДЗЕМ'!O10*СПРАВОЧНИК!$I$7+'ПЛАН ЧЕРН ПОДЗЕМ'!P10*СПРАВОЧНИК!$J$7+'ПЛАН ЧЕРН ПОДЗЕМ'!Q10*СПРАВОЧНИК!$H$8+'ПЛАН ЧЕРН ПОДЗЕМ'!R10*СПРАВОЧНИК!$I$8+'ПЛАН ЧЕРН ПОДЗЕМ'!S10*СПРАВОЧНИК!$J$8</f>
        <v/>
      </c>
      <c r="K19" s="40">
        <f>('ФАКТ ЧЕРН ПОДЗЕМ'!B10)*СПРАВОЧНИК!$H$3+('ФАКТ ЧЕРН ПОДЗЕМ'!C10)*СПРАВОЧНИК!$I$3+('ФАКТ ЧЕРН ПОДЗЕМ'!D10)*СПРАВОЧНИК!$J$3+('ФАКТ ЧЕРН ПОДЗЕМ'!E10)*СПРАВОЧНИК!$H$4+('ФАКТ ЧЕРН ПОДЗЕМ'!F10)*СПРАВОЧНИК!$I$4+('ФАКТ ЧЕРН ПОДЗЕМ'!G10)*СПРАВОЧНИК!$J$4+('ФАКТ ЧЕРН ПОДЗЕМ'!H10)*СПРАВОЧНИК!$H$5+('ФАКТ ЧЕРН ПОДЗЕМ'!I10)*СПРАВОЧНИК!$I$5+('ФАКТ ЧЕРН ПОДЗЕМ'!J10)*СПРАВОЧНИК!$J$5+('ФАКТ ЧЕРН ПОДЗЕМ'!K10)*СПРАВОЧНИК!$H$6+('ФАКТ ЧЕРН ПОДЗЕМ'!L10)*СПРАВОЧНИК!$I$6+('ФАКТ ЧЕРН ПОДЗЕМ'!M10)*СПРАВОЧНИК!$J$6+('ФАКТ ЧЕРН ПОДЗЕМ'!N10)*СПРАВОЧНИК!$H$7+('ФАКТ ЧЕРН ПОДЗЕМ'!O10)*СПРАВОЧНИК!$I$7+('ФАКТ ЧЕРН ПОДЗЕМ'!P10)*СПРАВОЧНИК!$J$7+('ФАКТ ЧЕРН ПОДЗЕМ'!Q10)*СПРАВОЧНИК!$H$8+('ФАКТ ЧЕРН ПОДЗЕМ'!R10)*СПРАВОЧНИК!$I$8+('ФАКТ ЧЕРН ПОДЗЕМ'!S10)*СПРАВОЧНИК!$J$8</f>
        <v/>
      </c>
      <c r="O19" s="18">
        <f>O18+7</f>
        <v/>
      </c>
      <c r="P19" s="37">
        <f>'ПЛАН ЧИСТ ПОДЗЕМ'!B10*СПРАВОЧНИК!$L$3+'ПЛАН ЧИСТ ПОДЗЕМ'!C10*СПРАВОЧНИК!$M$3+'ПЛАН ЧИСТ ПОДЗЕМ'!D10*СПРАВОЧНИК!$N$3+'ПЛАН ЧИСТ ПОДЗЕМ'!E10*СПРАВОЧНИК!$O$3+'ПЛАН ЧИСТ ПОДЗЕМ'!F10*СПРАВОЧНИК!$L$4+'ПЛАН ЧИСТ ПОДЗЕМ'!G10*СПРАВОЧНИК!$M$4+'ПЛАН ЧИСТ ПОДЗЕМ'!H10*СПРАВОЧНИК!$N$4+'ПЛАН ЧИСТ ПОДЗЕМ'!I10*СПРАВОЧНИК!$O$4+'ПЛАН ЧИСТ ПОДЗЕМ'!J10*СПРАВОЧНИК!$L$5+'ПЛАН ЧИСТ ПОДЗЕМ'!K10*СПРАВОЧНИК!$M$5+'ПЛАН ЧИСТ ПОДЗЕМ'!L10*СПРАВОЧНИК!$N$5+'ПЛАН ЧИСТ ПОДЗЕМ'!M10*СПРАВОЧНИК!$L$6+'ПЛАН ЧИСТ ПОДЗЕМ'!N10*СПРАВОЧНИК!$M$6+'ПЛАН ЧИСТ ПОДЗЕМ'!O10*СПРАВОЧНИК!$N$6+'ПЛАН ЧИСТ ПОДЗЕМ'!P10*СПРАВОЧНИК!$O$6+'ПЛАН ЧИСТ ПОДЗЕМ'!Q10*СПРАВОЧНИК!$L$7+'ПЛАН ЧИСТ ПОДЗЕМ'!R10*СПРАВОЧНИК!$M$7+'ПЛАН ЧИСТ ПОДЗЕМ'!S10*СПРАВОЧНИК!$N$7+'ПЛАН ЧИСТ ПОДЗЕМ'!T10*СПРАВОЧНИК!$O$7+'ПЛАН ЧИСТ ПОДЗЕМ'!U10*СПРАВОЧНИК!$L$8+'ПЛАН ЧИСТ ПОДЗЕМ'!V10*СПРАВОЧНИК!$M$8+'ПЛАН ЧИСТ ПОДЗЕМ'!W10*СПРАВОЧНИК!$N$8</f>
        <v/>
      </c>
      <c r="Q19" s="40">
        <f>('ФАКТ ЧИСТ ПОДЗЕМ'!B10)*СПРАВОЧНИК!$L$3+('ФАКТ ЧИСТ ПОДЗЕМ'!C10)*СПРАВОЧНИК!$M$3+('ФАКТ ЧИСТ ПОДЗЕМ'!D10)*СПРАВОЧНИК!$N$3+('ФАКТ ЧИСТ ПОДЗЕМ'!E10)*СПРАВОЧНИК!$O$3+('ФАКТ ЧИСТ ПОДЗЕМ'!F10)*СПРАВОЧНИК!$L$4+('ФАКТ ЧИСТ ПОДЗЕМ'!G10)*СПРАВОЧНИК!$M$4+('ФАКТ ЧИСТ ПОДЗЕМ'!H10)*СПРАВОЧНИК!$N$4+('ФАКТ ЧИСТ ПОДЗЕМ'!I10)*СПРАВОЧНИК!$O$4+('ФАКТ ЧИСТ ПОДЗЕМ'!J10)*СПРАВОЧНИК!$L$5+('ФАКТ ЧИСТ ПОДЗЕМ'!K10)*СПРАВОЧНИК!$M$5+('ФАКТ ЧИСТ ПОДЗЕМ'!L10)*СПРАВОЧНИК!$N$5+('ФАКТ ЧИСТ ПОДЗЕМ'!M10)*СПРАВОЧНИК!$L$6+('ФАКТ ЧИСТ ПОДЗЕМ'!N10)*СПРАВОЧНИК!$M$6+('ФАКТ ЧИСТ ПОДЗЕМ'!O10)*СПРАВОЧНИК!$N$6+('ФАКТ ЧИСТ ПОДЗЕМ'!P10)*СПРАВОЧНИК!$O$6+('ФАКТ ЧИСТ ПОДЗЕМ'!Q10)*СПРАВОЧНИК!$L$7+('ФАКТ ЧИСТ ПОДЗЕМ'!R10)*СПРАВОЧНИК!$M$7+('ФАКТ ЧИСТ ПОДЗЕМ'!S10)*СПРАВОЧНИК!$N$7+('ФАКТ ЧИСТ ПОДЗЕМ'!T10)*СПРАВОЧНИК!$O$7+('ФАКТ ЧИСТ ПОДЗЕМ'!U10)*СПРАВОЧНИК!$L$8+('ФАКТ ЧИСТ ПОДЗЕМ'!V10)*СПРАВОЧНИК!$M$8+('ФАКТ ЧИСТ ПОДЗЕМ'!W10)*СПРАВОЧНИК!$N$8</f>
        <v/>
      </c>
      <c r="U19" s="18">
        <f>U18+7</f>
        <v/>
      </c>
      <c r="V19" s="37">
        <f>СПРАВОЧНИК!$E$9*('ПЛАН ЧЕРН К1'!B10*СПРАВОЧНИК!$H$9+'ПЛАН ЧЕРН К1'!C10*СПРАВОЧНИК!$I$9+'ПЛАН ЧЕРН К1'!D10*СПРАВОЧНИК!$J$9)+СПРАВОЧНИК!$E$10*('ПЛАН ЧЕРН К1'!E10*СПРАВОЧНИК!$H$10+'ПЛАН ЧЕРН К1'!F10*СПРАВОЧНИК!$I$10+'ПЛАН ЧЕРН К1'!G10*СПРАВОЧНИК!$J$10)+СПРАВОЧНИК!$E$11*('ПЛАН ЧЕРН К1'!H10*СПРАВОЧНИК!$H$11+'ПЛАН ЧЕРН К1'!I10*СПРАВОЧНИК!$I$11+'ПЛАН ЧЕРН К1'!J10*СПРАВОЧНИК!$J$11)+СПРАВОЧНИК!$E$12*('ПЛАН ЧЕРН К1'!K10*СПРАВОЧНИК!$H$12+'ПЛАН ЧЕРН К1'!L10*СПРАВОЧНИК!$I$12+'ПЛАН ЧЕРН К1'!M10*СПРАВОЧНИК!$J$12)+СПРАВОЧНИК!$E$13*('ПЛАН ЧЕРН К1'!N10*СПРАВОЧНИК!$H$13+'ПЛАН ЧЕРН К1'!O10*СПРАВОЧНИК!$I$13+'ПЛАН ЧЕРН К1'!P10*СПРАВОЧНИК!$J$13)+СПРАВОЧНИК!$E$14*('ПЛАН ЧЕРН К1'!Q10*СПРАВОЧНИК!$H$14+'ПЛАН ЧЕРН К1'!R10*СПРАВОЧНИК!$I$14+'ПЛАН ЧЕРН К1'!S10*СПРАВОЧНИК!$J$14)+СПРАВОЧНИК!$E$15*('ПЛАН ЧЕРН К1'!T10*СПРАВОЧНИК!$H$15+'ПЛАН ЧЕРН К1'!U10*СПРАВОЧНИК!$I$15+'ПЛАН ЧЕРН К1'!V10*СПРАВОЧНИК!$J$15)+СПРАВОЧНИК!$F$9*('ПЛАН ЧИСТ К1'!B10*СПРАВОЧНИК!$L$9+'ПЛАН ЧИСТ К1'!C10*СПРАВОЧНИК!$M$9+'ПЛАН ЧИСТ К1'!D10*СПРАВОЧНИК!$N$9+'ПЛАН ЧИСТ К1'!E10*СПРАВОЧНИК!$O$9)+СПРАВОЧНИК!$F$10*('ПЛАН ЧИСТ К1'!F10*СПРАВОЧНИК!$L$10+'ПЛАН ЧИСТ К1'!G10*СПРАВОЧНИК!$M$10+'ПЛАН ЧИСТ К1'!H10*СПРАВОЧНИК!$N$10+'ПЛАН ЧИСТ К1'!I10*СПРАВОЧНИК!$O$10)+СПРАВОЧНИК!$F$11*('ПЛАН ЧИСТ К1'!J10*СПРАВОЧНИК!$L$11+'ПЛАН ЧИСТ К1'!K10*СПРАВОЧНИК!$M$11+'ПЛАН ЧИСТ К1'!L10*СПРАВОЧНИК!$N$11)+СПРАВОЧНИК!$F$12*('ПЛАН ЧИСТ К1'!M10*СПРАВОЧНИК!$L$12+'ПЛАН ЧИСТ К1'!N10*СПРАВОЧНИК!$M$12+'ПЛАН ЧИСТ К1'!O10*СПРАВОЧНИК!$N$12+'ПЛАН ЧИСТ К1'!P10*СПРАВОЧНИК!$O$12)+СПРАВОЧНИК!$F$13*('ПЛАН ЧИСТ К1'!Q10*СПРАВОЧНИК!$L$13+'ПЛАН ЧИСТ К1'!R10*СПРАВОЧНИК!$M$13+'ПЛАН ЧИСТ К1'!S10*СПРАВОЧНИК!$N$13+'ПЛАН ЧИСТ К1'!T10*СПРАВОЧНИК!$O$13)+СПРАВОЧНИК!$F$14*('ПЛАН ЧИСТ К1'!U10*СПРАВОЧНИК!$L$14+'ПЛАН ЧИСТ К1'!V10*СПРАВОЧНИК!$M$14+'ПЛАН ЧИСТ К1'!W10*СПРАВОЧНИК!$N$14)+СПРАВОЧНИК!$F$15*('ПЛАН ЧИСТ К1'!X10*СПРАВОЧНИК!$L$15+'ПЛАН ЧИСТ К1'!Y10*СПРАВОЧНИК!$M$15+'ПЛАН ЧИСТ К1'!Z10*СПРАВОЧНИК!$N$15)</f>
        <v/>
      </c>
      <c r="W19" s="40">
        <f>СПРАВОЧНИК!$E$9*(('ФАКТ ЧЕРН К1'!B10)*СПРАВОЧНИК!$H$9+('ФАКТ ЧЕРН К1'!C10)*СПРАВОЧНИК!$I$9+('ФАКТ ЧЕРН К1'!D10)*СПРАВОЧНИК!$J$9)+СПРАВОЧНИК!$E$10*(('ФАКТ ЧЕРН К1'!E10)*СПРАВОЧНИК!$H$10+('ФАКТ ЧЕРН К1'!F10)*СПРАВОЧНИК!$I$10+('ФАКТ ЧЕРН К1'!G10)*СПРАВОЧНИК!$J$10)+СПРАВОЧНИК!$E$11*(('ФАКТ ЧЕРН К1'!H10)*СПРАВОЧНИК!$H$11+('ФАКТ ЧЕРН К1'!I10)*СПРАВОЧНИК!$I$11+('ФАКТ ЧЕРН К1'!J10)*СПРАВОЧНИК!$J$11)+СПРАВОЧНИК!$E$12*(('ФАКТ ЧЕРН К1'!K10)*СПРАВОЧНИК!$H$12+('ФАКТ ЧЕРН К1'!L10)*СПРАВОЧНИК!$I$12+('ФАКТ ЧЕРН К1'!M10)*СПРАВОЧНИК!$J$12)+СПРАВОЧНИК!$E$13*(('ФАКТ ЧЕРН К1'!N10)*СПРАВОЧНИК!$H$13+('ФАКТ ЧЕРН К1'!O10)*СПРАВОЧНИК!$I$13+('ФАКТ ЧЕРН К1'!P10)*СПРАВОЧНИК!$J$13)+СПРАВОЧНИК!$E$14*(('ФАКТ ЧЕРН К1'!Q10)*СПРАВОЧНИК!$H$14+('ФАКТ ЧЕРН К1'!R10)*СПРАВОЧНИК!$I$14+('ФАКТ ЧЕРН К1'!S10)*СПРАВОЧНИК!$J$14)+СПРАВОЧНИК!$E$15*(('ФАКТ ЧЕРН К1'!T10)*СПРАВОЧНИК!$H$15+('ФАКТ ЧЕРН К1'!U10)*СПРАВОЧНИК!$I$15+('ФАКТ ЧЕРН К1'!V10)*СПРАВОЧНИК!$J$15)+СПРАВОЧНИК!$F$9*(('ФАКТ ЧИСТ К1'!B10)*СПРАВОЧНИК!$L$9+('ФАКТ ЧИСТ К1'!C10)*СПРАВОЧНИК!$M$9+('ФАКТ ЧИСТ К1'!D10)*СПРАВОЧНИК!$N$9+('ФАКТ ЧИСТ К1'!E10)*СПРАВОЧНИК!$O$9)+СПРАВОЧНИК!$F$10*(('ФАКТ ЧИСТ К1'!F10)*СПРАВОЧНИК!$L$10+('ФАКТ ЧИСТ К1'!G10)*СПРАВОЧНИК!$M$10+('ФАКТ ЧИСТ К1'!H10)*СПРАВОЧНИК!$N$10+('ФАКТ ЧИСТ К1'!I10)*СПРАВОЧНИК!$O$10)+СПРАВОЧНИК!$F$11*(('ФАКТ ЧИСТ К1'!J10)*СПРАВОЧНИК!$L$11+('ФАКТ ЧИСТ К1'!K10)*СПРАВОЧНИК!$M$11+('ФАКТ ЧИСТ К1'!L10)*СПРАВОЧНИК!$N$11)+СПРАВОЧНИК!$F$12*(('ФАКТ ЧИСТ К1'!M10)*СПРАВОЧНИК!$L$12+('ФАКТ ЧИСТ К1'!N10)*СПРАВОЧНИК!$M$12+('ФАКТ ЧИСТ К1'!O10)*СПРАВОЧНИК!$N$12+('ФАКТ ЧИСТ К1'!P10)*СПРАВОЧНИК!$O$12)+СПРАВОЧНИК!$F$13*(('ФАКТ ЧИСТ К1'!Q10)*СПРАВОЧНИК!$L$13+('ФАКТ ЧИСТ К1'!R10)*СПРАВОЧНИК!$M$13+('ФАКТ ЧИСТ К1'!S10)*СПРАВОЧНИК!$N$13+('ФАКТ ЧИСТ К1'!T10)*СПРАВОЧНИК!$O$13)+СПРАВОЧНИК!$F$14*(('ФАКТ ЧИСТ К1'!U10)*СПРАВОЧНИК!$L$14+('ФАКТ ЧИСТ К1'!V10)*СПРАВОЧНИК!$M$14+('ФАКТ ЧИСТ К1'!W10)*СПРАВОЧНИК!$N$14)+СПРАВОЧНИК!$F$15*(('ФАКТ ЧИСТ К1'!X10)*СПРАВОЧНИК!$L$15+('ФАКТ ЧИСТ К1'!Y10)*СПРАВОЧНИК!$M$15+('ФАКТ ЧИСТ К1'!Z10)*СПРАВОЧНИК!$N$15)</f>
        <v/>
      </c>
      <c r="AA19" s="18">
        <f>AA18+7</f>
        <v/>
      </c>
      <c r="AB19" s="37">
        <f>'ПЛАН ЧЕРН К1'!B10*СПРАВОЧНИК!$H$9+'ПЛАН ЧЕРН К1'!C10*СПРАВОЧНИК!$I$9+'ПЛАН ЧЕРН К1'!D10*СПРАВОЧНИК!$J$9+'ПЛАН ЧЕРН К1'!E10*СПРАВОЧНИК!$H$10+'ПЛАН ЧЕРН К1'!F10*СПРАВОЧНИК!$I$10+'ПЛАН ЧЕРН К1'!G10*СПРАВОЧНИК!$J$10+'ПЛАН ЧЕРН К1'!H10*СПРАВОЧНИК!$H$11+'ПЛАН ЧЕРН К1'!I10*СПРАВОЧНИК!$I$11+'ПЛАН ЧЕРН К1'!J10*СПРАВОЧНИК!$J$11+'ПЛАН ЧЕРН К1'!K10*СПРАВОЧНИК!$H$12+'ПЛАН ЧЕРН К1'!L10*СПРАВОЧНИК!$I$12+'ПЛАН ЧЕРН К1'!M10*СПРАВОЧНИК!$J$12+'ПЛАН ЧЕРН К1'!N10*СПРАВОЧНИК!$H$13+'ПЛАН ЧЕРН К1'!O10*СПРАВОЧНИК!$I$13+'ПЛАН ЧЕРН К1'!P10*СПРАВОЧНИК!$J$13+'ПЛАН ЧЕРН К1'!Q10*СПРАВОЧНИК!$H$14+'ПЛАН ЧЕРН К1'!R10*СПРАВОЧНИК!$I$14+'ПЛАН ЧЕРН К1'!S10*СПРАВОЧНИК!$J$14+'ПЛАН ЧЕРН К1'!T10*СПРАВОЧНИК!$H$15+'ПЛАН ЧЕРН К1'!U10*СПРАВОЧНИК!$I$15+'ПЛАН ЧЕРН К1'!V10*СПРАВОЧНИК!$J$15</f>
        <v/>
      </c>
      <c r="AC19" s="40">
        <f>('ФАКТ ЧЕРН К1'!B10)*СПРАВОЧНИК!$H$9+('ФАКТ ЧЕРН К1'!C10)*СПРАВОЧНИК!$I$9+('ФАКТ ЧЕРН К1'!D10)*СПРАВОЧНИК!$J$9+('ФАКТ ЧЕРН К1'!E10)*СПРАВОЧНИК!$H$10+('ФАКТ ЧЕРН К1'!F10)*СПРАВОЧНИК!$I$10+('ФАКТ ЧЕРН К1'!G10)*СПРАВОЧНИК!$J$10+('ФАКТ ЧЕРН К1'!H10)*СПРАВОЧНИК!$H$11+('ФАКТ ЧЕРН К1'!I10)*СПРАВОЧНИК!$I$11+('ФАКТ ЧЕРН К1'!J10)*СПРАВОЧНИК!$J$11+('ФАКТ ЧЕРН К1'!K10)*СПРАВОЧНИК!$H$12+('ФАКТ ЧЕРН К1'!L10)*СПРАВОЧНИК!$I$12+('ФАКТ ЧЕРН К1'!M10)*СПРАВОЧНИК!$J$12+('ФАКТ ЧЕРН К1'!N10)*СПРАВОЧНИК!$H$13+('ФАКТ ЧЕРН К1'!O10)*СПРАВОЧНИК!$I$13+('ФАКТ ЧЕРН К1'!P10)*СПРАВОЧНИК!$J$13+('ФАКТ ЧЕРН К1'!Q10)*СПРАВОЧНИК!$H$14+('ФАКТ ЧЕРН К1'!R10)*СПРАВОЧНИК!$I$14+('ФАКТ ЧЕРН К1'!S10)*СПРАВОЧНИК!$J$14+('ФАКТ ЧЕРН К1'!T10)*СПРАВОЧНИК!$H$15+('ФАКТ ЧЕРН К1'!U10)*СПРАВОЧНИК!$I$15+('ФАКТ ЧЕРН К1'!V10)*СПРАВОЧНИК!$J$15</f>
        <v/>
      </c>
      <c r="AG19" s="18">
        <f>AG18+7</f>
        <v/>
      </c>
      <c r="AH19" s="37">
        <f>'ПЛАН ЧИСТ К1'!B10*СПРАВОЧНИК!$L$9+'ПЛАН ЧИСТ К1'!C10*СПРАВОЧНИК!$M$9+'ПЛАН ЧИСТ К1'!D10*СПРАВОЧНИК!$N$9+'ПЛАН ЧИСТ К1'!E10*СПРАВОЧНИК!$O$9+'ПЛАН ЧИСТ К1'!F10*СПРАВОЧНИК!$L$10+'ПЛАН ЧИСТ К1'!G10*СПРАВОЧНИК!$M$10+'ПЛАН ЧИСТ К1'!H10*СПРАВОЧНИК!$N$10+'ПЛАН ЧИСТ К1'!I10*СПРАВОЧНИК!$O$10+'ПЛАН ЧИСТ К1'!J10*СПРАВОЧНИК!$L$11+'ПЛАН ЧИСТ К1'!K10*СПРАВОЧНИК!$M$11+'ПЛАН ЧИСТ К1'!L10*СПРАВОЧНИК!$N$11+'ПЛАН ЧИСТ К1'!M10*СПРАВОЧНИК!$L$12+'ПЛАН ЧИСТ К1'!N10*СПРАВОЧНИК!$M$12+'ПЛАН ЧИСТ К1'!O10*СПРАВОЧНИК!$N$12+'ПЛАН ЧИСТ К1'!P10*СПРАВОЧНИК!$O$12+'ПЛАН ЧИСТ К1'!Q10*СПРАВОЧНИК!$L$13+'ПЛАН ЧИСТ К1'!R10*СПРАВОЧНИК!$M$13+'ПЛАН ЧИСТ К1'!S10*СПРАВОЧНИК!$N$13+'ПЛАН ЧИСТ К1'!T10*СПРАВОЧНИК!$O$13+'ПЛАН ЧИСТ К1'!U10*СПРАВОЧНИК!$L$14+'ПЛАН ЧИСТ К1'!V10*СПРАВОЧНИК!$M$14+'ПЛАН ЧИСТ К1'!W10*СПРАВОЧНИК!$N$14+'ПЛАН ЧИСТ К1'!X10*СПРАВОЧНИК!$L$15+'ПЛАН ЧИСТ К1'!Y10*СПРАВОЧНИК!$M$15+'ПЛАН ЧИСТ К1'!Z10*СПРАВОЧНИК!$N$15</f>
        <v/>
      </c>
      <c r="AI19" s="40">
        <f>('ФАКТ ЧИСТ К1'!B10)*СПРАВОЧНИК!$L$9+('ФАКТ ЧИСТ К1'!C10)*СПРАВОЧНИК!$M$9+('ФАКТ ЧИСТ К1'!D10)*СПРАВОЧНИК!$N$9+('ФАКТ ЧИСТ К1'!E10)*СПРАВОЧНИК!$O$9+('ФАКТ ЧИСТ К1'!F10)*СПРАВОЧНИК!$L$10+('ФАКТ ЧИСТ К1'!G10)*СПРАВОЧНИК!$M$10+('ФАКТ ЧИСТ К1'!H10)*СПРАВОЧНИК!$N$10+('ФАКТ ЧИСТ К1'!I10)*СПРАВОЧНИК!$O$10+('ФАКТ ЧИСТ К1'!J10)*СПРАВОЧНИК!$L$11+('ФАКТ ЧИСТ К1'!K10)*СПРАВОЧНИК!$M$11+('ФАКТ ЧИСТ К1'!L10)*СПРАВОЧНИК!$N$11+('ФАКТ ЧИСТ К1'!M10)*СПРАВОЧНИК!$L$12+('ФАКТ ЧИСТ К1'!N10)*СПРАВОЧНИК!$M$12+('ФАКТ ЧИСТ К1'!O10)*СПРАВОЧНИК!$N$12+('ФАКТ ЧИСТ К1'!P10)*СПРАВОЧНИК!$O$12+('ФАКТ ЧИСТ К1'!Q10)*СПРАВОЧНИК!$L$13+('ФАКТ ЧИСТ К1'!R10)*СПРАВОЧНИК!$M$13+('ФАКТ ЧИСТ К1'!S10)*СПРАВОЧНИК!$N$13+('ФАКТ ЧИСТ К1'!T10)*СПРАВОЧНИК!$O$13+('ФАКТ ЧИСТ К1'!U10)*СПРАВОЧНИК!$L$14+('ФАКТ ЧИСТ К1'!V10)*СПРАВОЧНИК!$M$14+('ФАКТ ЧИСТ К1'!W10)*СПРАВОЧНИК!$N$14+('ФАКТ ЧИСТ К1'!X10)*СПРАВОЧНИК!$L$15+('ФАКТ ЧИСТ К1'!Y10)*СПРАВОЧНИК!$M$15+('ФАКТ ЧИСТ К1'!Z10)*СПРАВОЧНИК!$N$15</f>
        <v/>
      </c>
      <c r="AM19" s="18">
        <f>AM18+7</f>
        <v/>
      </c>
      <c r="AN19" s="37">
        <f>СПРАВОЧНИК!$E$9*('ПЛАН ЧЕРН К2'!B10*СПРАВОЧНИК!$H$9+'ПЛАН ЧЕРН К2'!C10*СПРАВОЧНИК!$I$9+'ПЛАН ЧЕРН К2'!D10*СПРАВОЧНИК!$J$9)+СПРАВОЧНИК!$E$10*('ПЛАН ЧЕРН К2'!E10*СПРАВОЧНИК!$H$10+'ПЛАН ЧЕРН К2'!F10*СПРАВОЧНИК!$I$10+'ПЛАН ЧЕРН К2'!G10*СПРАВОЧНИК!$J$10)+СПРАВОЧНИК!$E$11*('ПЛАН ЧЕРН К2'!H10*СПРАВОЧНИК!$H$11+'ПЛАН ЧЕРН К2'!I10*СПРАВОЧНИК!$I$11+'ПЛАН ЧЕРН К2'!J10*СПРАВОЧНИК!$J$11)+СПРАВОЧНИК!$E$12*('ПЛАН ЧЕРН К2'!K10*СПРАВОЧНИК!$H$12+'ПЛАН ЧЕРН К2'!L10*СПРАВОЧНИК!$I$12+'ПЛАН ЧЕРН К2'!M10*СПРАВОЧНИК!$J$12)+СПРАВОЧНИК!$E$13*('ПЛАН ЧЕРН К2'!N10*СПРАВОЧНИК!$H$13+'ПЛАН ЧЕРН К2'!O10*СПРАВОЧНИК!$I$13+'ПЛАН ЧЕРН К2'!P10*СПРАВОЧНИК!$J$13)+СПРАВОЧНИК!$E$14*('ПЛАН ЧЕРН К2'!Q10*СПРАВОЧНИК!$H$14+'ПЛАН ЧЕРН К2'!R10*СПРАВОЧНИК!$I$14+'ПЛАН ЧЕРН К2'!S10*СПРАВОЧНИК!$J$14)+СПРАВОЧНИК!$E$15*('ПЛАН ЧЕРН К2'!T10*СПРАВОЧНИК!$H$15+'ПЛАН ЧЕРН К2'!U10*СПРАВОЧНИК!$I$15+'ПЛАН ЧЕРН К2'!V10*СПРАВОЧНИК!$J$15)+СПРАВОЧНИК!$F$9*('ПЛАН ЧИСТ К2'!B10*СПРАВОЧНИК!$L$9+'ПЛАН ЧИСТ К2'!C10*СПРАВОЧНИК!$M$9+'ПЛАН ЧИСТ К2'!D10*СПРАВОЧНИК!$N$9+'ПЛАН ЧИСТ К2'!E10*СПРАВОЧНИК!$O$9)+СПРАВОЧНИК!$F$10*('ПЛАН ЧИСТ К2'!F10*СПРАВОЧНИК!$L$10+'ПЛАН ЧИСТ К2'!G10*СПРАВОЧНИК!$M$10+'ПЛАН ЧИСТ К2'!H10*СПРАВОЧНИК!$N$10+'ПЛАН ЧИСТ К2'!I10*СПРАВОЧНИК!$O$10)+СПРАВОЧНИК!$F$11*('ПЛАН ЧИСТ К2'!J10*СПРАВОЧНИК!$L$11+'ПЛАН ЧИСТ К2'!K10*СПРАВОЧНИК!$M$11+'ПЛАН ЧИСТ К2'!L10*СПРАВОЧНИК!$N$11)+СПРАВОЧНИК!$F$12*('ПЛАН ЧИСТ К2'!M10*СПРАВОЧНИК!$L$12+'ПЛАН ЧИСТ К2'!N10*СПРАВОЧНИК!$M$12+'ПЛАН ЧИСТ К2'!O10*СПРАВОЧНИК!$N$12+'ПЛАН ЧИСТ К2'!P10*СПРАВОЧНИК!$O$12)+СПРАВОЧНИК!$F$13*('ПЛАН ЧИСТ К2'!Q10*СПРАВОЧНИК!$L$13+'ПЛАН ЧИСТ К2'!R10*СПРАВОЧНИК!$M$13+'ПЛАН ЧИСТ К2'!S10*СПРАВОЧНИК!$N$13+'ПЛАН ЧИСТ К2'!T10*СПРАВОЧНИК!$O$13)+СПРАВОЧНИК!$F$14*('ПЛАН ЧИСТ К2'!U10*СПРАВОЧНИК!$L$14+'ПЛАН ЧИСТ К2'!V10*СПРАВОЧНИК!$M$14+'ПЛАН ЧИСТ К2'!W10*СПРАВОЧНИК!$N$14)+СПРАВОЧНИК!$F$15*('ПЛАН ЧИСТ К2'!X10*СПРАВОЧНИК!$L$15+'ПЛАН ЧИСТ К2'!Y10*СПРАВОЧНИК!$M$15+'ПЛАН ЧИСТ К2'!Z10*СПРАВОЧНИК!$N$15)</f>
        <v/>
      </c>
      <c r="AO19" s="40">
        <f>СПРАВОЧНИК!$E$9*(('ФАКТ ЧЕРН К2'!B10)*СПРАВОЧНИК!$H$9+('ФАКТ ЧЕРН К2'!C10)*СПРАВОЧНИК!$I$9+('ФАКТ ЧЕРН К2'!D10)*СПРАВОЧНИК!$J$9)+СПРАВОЧНИК!$E$10*(('ФАКТ ЧЕРН К2'!E10)*СПРАВОЧНИК!$H$10+('ФАКТ ЧЕРН К2'!F10)*СПРАВОЧНИК!$I$10+('ФАКТ ЧЕРН К2'!G10)*СПРАВОЧНИК!$J$10)+СПРАВОЧНИК!$E$11*(('ФАКТ ЧЕРН К2'!H10)*СПРАВОЧНИК!$H$11+('ФАКТ ЧЕРН К2'!I10)*СПРАВОЧНИК!$I$11+('ФАКТ ЧЕРН К2'!J10)*СПРАВОЧНИК!$J$11)+СПРАВОЧНИК!$E$12*(('ФАКТ ЧЕРН К2'!K10)*СПРАВОЧНИК!$H$12+('ФАКТ ЧЕРН К2'!L10)*СПРАВОЧНИК!$I$12+('ФАКТ ЧЕРН К2'!M10)*СПРАВОЧНИК!$J$12)+СПРАВОЧНИК!$E$13*(('ФАКТ ЧЕРН К2'!N10)*СПРАВОЧНИК!$H$13+('ФАКТ ЧЕРН К2'!O10)*СПРАВОЧНИК!$I$13+('ФАКТ ЧЕРН К2'!P10)*СПРАВОЧНИК!$J$13)+СПРАВОЧНИК!$E$14*(('ФАКТ ЧЕРН К2'!Q10)*СПРАВОЧНИК!$H$14+('ФАКТ ЧЕРН К2'!R10)*СПРАВОЧНИК!$I$14+('ФАКТ ЧЕРН К2'!S10)*СПРАВОЧНИК!$J$14)+СПРАВОЧНИК!$E$15*(('ФАКТ ЧЕРН К2'!T10)*СПРАВОЧНИК!$H$15+('ФАКТ ЧЕРН К2'!U10)*СПРАВОЧНИК!$I$15+('ФАКТ ЧЕРН К2'!V10)*СПРАВОЧНИК!$J$15)+СПРАВОЧНИК!$F$9*(('ФАКТ ЧИСТ К2'!B10)*СПРАВОЧНИК!$L$9+('ФАКТ ЧИСТ К2'!C10)*СПРАВОЧНИК!$M$9+('ФАКТ ЧИСТ К2'!D10)*СПРАВОЧНИК!$N$9+('ФАКТ ЧИСТ К2'!E10)*СПРАВОЧНИК!$O$9)+СПРАВОЧНИК!$F$10*(('ФАКТ ЧИСТ К2'!F10)*СПРАВОЧНИК!$L$10+('ФАКТ ЧИСТ К2'!G10)*СПРАВОЧНИК!$M$10+('ФАКТ ЧИСТ К2'!H10)*СПРАВОЧНИК!$N$10+('ФАКТ ЧИСТ К2'!I10)*СПРАВОЧНИК!$O$10)+СПРАВОЧНИК!$F$11*(('ФАКТ ЧИСТ К2'!J10)*СПРАВОЧНИК!$L$11+('ФАКТ ЧИСТ К2'!K10)*СПРАВОЧНИК!$M$11+('ФАКТ ЧИСТ К2'!L10)*СПРАВОЧНИК!$N$11)+СПРАВОЧНИК!$F$12*(('ФАКТ ЧИСТ К2'!M10)*СПРАВОЧНИК!$L$12+('ФАКТ ЧИСТ К2'!N10)*СПРАВОЧНИК!$M$12+('ФАКТ ЧИСТ К2'!O10)*СПРАВОЧНИК!$N$12+('ФАКТ ЧИСТ К2'!P10)*СПРАВОЧНИК!$O$12)+СПРАВОЧНИК!$F$13*(('ФАКТ ЧИСТ К2'!Q10)*СПРАВОЧНИК!$L$13+('ФАКТ ЧИСТ К2'!R10)*СПРАВОЧНИК!$M$13+('ФАКТ ЧИСТ К2'!S10)*СПРАВОЧНИК!$N$13+('ФАКТ ЧИСТ К2'!T10)*СПРАВОЧНИК!$O$13)+СПРАВОЧНИК!$F$14*(('ФАКТ ЧИСТ К2'!U10)*СПРАВОЧНИК!$L$14+('ФАКТ ЧИСТ К2'!V10)*СПРАВОЧНИК!$M$14+('ФАКТ ЧИСТ К2'!W10)*СПРАВОЧНИК!$N$14)+СПРАВОЧНИК!$F$15*(('ФАКТ ЧИСТ К2'!X10)*СПРАВОЧНИК!$L$15+('ФАКТ ЧИСТ К2'!Y10)*СПРАВОЧНИК!$M$15+('ФАКТ ЧИСТ К2'!Z10)*СПРАВОЧНИК!$N$15)</f>
        <v/>
      </c>
      <c r="AS19" s="18">
        <f>AS18+7</f>
        <v/>
      </c>
      <c r="AT19" s="37">
        <f>'ПЛАН ЧЕРН К2'!B10*СПРАВОЧНИК!$H$9+'ПЛАН ЧЕРН К2'!C10*СПРАВОЧНИК!$I$9+'ПЛАН ЧЕРН К2'!D10*СПРАВОЧНИК!$J$9+'ПЛАН ЧЕРН К2'!E10*СПРАВОЧНИК!$H$10+'ПЛАН ЧЕРН К2'!F10*СПРАВОЧНИК!$I$10+'ПЛАН ЧЕРН К2'!G10*СПРАВОЧНИК!$J$10+'ПЛАН ЧЕРН К2'!H10*СПРАВОЧНИК!$H$11+'ПЛАН ЧЕРН К2'!I10*СПРАВОЧНИК!$I$11+'ПЛАН ЧЕРН К2'!J10*СПРАВОЧНИК!$J$11+'ПЛАН ЧЕРН К2'!K10*СПРАВОЧНИК!$H$12+'ПЛАН ЧЕРН К2'!L10*СПРАВОЧНИК!$I$12+'ПЛАН ЧЕРН К2'!M10*СПРАВОЧНИК!$J$12+'ПЛАН ЧЕРН К2'!N10*СПРАВОЧНИК!$H$13+'ПЛАН ЧЕРН К2'!O10*СПРАВОЧНИК!$I$13+'ПЛАН ЧЕРН К2'!P10*СПРАВОЧНИК!$J$13+'ПЛАН ЧЕРН К2'!Q10*СПРАВОЧНИК!$H$14+'ПЛАН ЧЕРН К2'!R10*СПРАВОЧНИК!$I$14+'ПЛАН ЧЕРН К2'!S10*СПРАВОЧНИК!$J$14+'ПЛАН ЧЕРН К2'!T10*СПРАВОЧНИК!$H$15+'ПЛАН ЧЕРН К2'!U10*СПРАВОЧНИК!$I$15+'ПЛАН ЧЕРН К2'!V10*СПРАВОЧНИК!$J$15</f>
        <v/>
      </c>
      <c r="AU19" s="40">
        <f>('ФАКТ ЧЕРН К2'!B10)*СПРАВОЧНИК!$H$9+('ФАКТ ЧЕРН К2'!C10)*СПРАВОЧНИК!$I$9+('ФАКТ ЧЕРН К2'!D10)*СПРАВОЧНИК!$J$9+('ФАКТ ЧЕРН К2'!E10)*СПРАВОЧНИК!$H$10+('ФАКТ ЧЕРН К2'!F10)*СПРАВОЧНИК!$I$10+('ФАКТ ЧЕРН К2'!G10)*СПРАВОЧНИК!$J$10+('ФАКТ ЧЕРН К2'!H10)*СПРАВОЧНИК!$H$11+('ФАКТ ЧЕРН К2'!I10)*СПРАВОЧНИК!$I$11+('ФАКТ ЧЕРН К2'!J10)*СПРАВОЧНИК!$J$11+('ФАКТ ЧЕРН К2'!K10)*СПРАВОЧНИК!$H$12+('ФАКТ ЧЕРН К2'!L10)*СПРАВОЧНИК!$I$12+('ФАКТ ЧЕРН К2'!M10)*СПРАВОЧНИК!$J$12+('ФАКТ ЧЕРН К2'!N10)*СПРАВОЧНИК!$H$13+('ФАКТ ЧЕРН К2'!O10)*СПРАВОЧНИК!$I$13+('ФАКТ ЧЕРН К2'!P10)*СПРАВОЧНИК!$J$13+('ФАКТ ЧЕРН К2'!Q10)*СПРАВОЧНИК!$H$14+('ФАКТ ЧЕРН К2'!R10)*СПРАВОЧНИК!$I$14+('ФАКТ ЧЕРН К2'!S10)*СПРАВОЧНИК!$J$14+('ФАКТ ЧЕРН К2'!T10)*СПРАВОЧНИК!$H$15+('ФАКТ ЧЕРН К2'!U10)*СПРАВОЧНИК!$I$15+('ФАКТ ЧЕРН К2'!V10)*СПРАВОЧНИК!$J$15</f>
        <v/>
      </c>
      <c r="AY19" s="18">
        <f>AY18+7</f>
        <v/>
      </c>
      <c r="AZ19" s="37">
        <f>'ПЛАН ЧИСТ К2'!B10*СПРАВОЧНИК!$L$9+'ПЛАН ЧИСТ К2'!C10*СПРАВОЧНИК!$M$9+'ПЛАН ЧИСТ К2'!D10*СПРАВОЧНИК!$N$9+'ПЛАН ЧИСТ К2'!E10*СПРАВОЧНИК!$O$9+'ПЛАН ЧИСТ К2'!F10*СПРАВОЧНИК!$L$10+'ПЛАН ЧИСТ К2'!G10*СПРАВОЧНИК!$M$10+'ПЛАН ЧИСТ К2'!H10*СПРАВОЧНИК!$N$10+'ПЛАН ЧИСТ К2'!I10*СПРАВОЧНИК!$O$10+'ПЛАН ЧИСТ К2'!J10*СПРАВОЧНИК!$L$11+'ПЛАН ЧИСТ К2'!K10*СПРАВОЧНИК!$M$11+'ПЛАН ЧИСТ К2'!L10*СПРАВОЧНИК!$N$11+'ПЛАН ЧИСТ К2'!M10*СПРАВОЧНИК!$L$12+'ПЛАН ЧИСТ К2'!N10*СПРАВОЧНИК!$M$12+'ПЛАН ЧИСТ К2'!O10*СПРАВОЧНИК!$N$12+'ПЛАН ЧИСТ К2'!P10*СПРАВОЧНИК!$O$12+'ПЛАН ЧИСТ К2'!Q10*СПРАВОЧНИК!$L$13+'ПЛАН ЧИСТ К2'!R10*СПРАВОЧНИК!$M$13+'ПЛАН ЧИСТ К2'!S10*СПРАВОЧНИК!$N$13+'ПЛАН ЧИСТ К2'!T10*СПРАВОЧНИК!$O$13+'ПЛАН ЧИСТ К2'!U10*СПРАВОЧНИК!$L$14+'ПЛАН ЧИСТ К2'!V10*СПРАВОЧНИК!$M$14+'ПЛАН ЧИСТ К2'!W10*СПРАВОЧНИК!$N$14+'ПЛАН ЧИСТ К2'!X10*СПРАВОЧНИК!$L$15+'ПЛАН ЧИСТ К2'!Y10*СПРАВОЧНИК!$M$15+'ПЛАН ЧИСТ К2'!Z10*СПРАВОЧНИК!$N$15</f>
        <v/>
      </c>
      <c r="BA19" s="40">
        <f>('ФАКТ ЧИСТ К2'!B10)*СПРАВОЧНИК!$L$9+('ФАКТ ЧИСТ К2'!C10)*СПРАВОЧНИК!$M$9+('ФАКТ ЧИСТ К2'!D10)*СПРАВОЧНИК!$N$9+('ФАКТ ЧИСТ К2'!E10)*СПРАВОЧНИК!$O$9+('ФАКТ ЧИСТ К2'!F10)*СПРАВОЧНИК!$L$10+('ФАКТ ЧИСТ К2'!G10)*СПРАВОЧНИК!$M$10+('ФАКТ ЧИСТ К2'!H10)*СПРАВОЧНИК!$N$10+('ФАКТ ЧИСТ К2'!I10)*СПРАВОЧНИК!$O$10+('ФАКТ ЧИСТ К2'!J10)*СПРАВОЧНИК!$L$11+('ФАКТ ЧИСТ К2'!K10)*СПРАВОЧНИК!$M$11+('ФАКТ ЧИСТ К2'!L10)*СПРАВОЧНИК!$N$11+('ФАКТ ЧИСТ К2'!M10)*СПРАВОЧНИК!$L$12+('ФАКТ ЧИСТ К2'!N10)*СПРАВОЧНИК!$M$12+('ФАКТ ЧИСТ К2'!O10)*СПРАВОЧНИК!$N$12+('ФАКТ ЧИСТ К2'!P10)*СПРАВОЧНИК!$O$12+('ФАКТ ЧИСТ К2'!Q10)*СПРАВОЧНИК!$L$13+('ФАКТ ЧИСТ К2'!R10)*СПРАВОЧНИК!$M$13+('ФАКТ ЧИСТ К2'!S10)*СПРАВОЧНИК!$N$13+('ФАКТ ЧИСТ К2'!T10)*СПРАВОЧНИК!$O$13+('ФАКТ ЧИСТ К2'!U10)*СПРАВОЧНИК!$L$14+('ФАКТ ЧИСТ К2'!V10)*СПРАВОЧНИК!$M$14+('ФАКТ ЧИСТ К2'!W10)*СПРАВОЧНИК!$N$14+('ФАКТ ЧИСТ К2'!X10)*СПРАВОЧНИК!$L$15+('ФАКТ ЧИСТ К2'!Y10)*СПРАВОЧНИК!$M$15+('ФАКТ ЧИСТ К2'!Z10)*СПРАВОЧНИК!$N$15</f>
        <v/>
      </c>
      <c r="BE19" s="18">
        <f>BE18+7</f>
        <v/>
      </c>
      <c r="BF19" s="37">
        <f>СПРАВОЧНИК!$E$9*('ПЛАН ЧЕРН К3'!B10*СПРАВОЧНИК!$H$9+'ПЛАН ЧЕРН К3'!C10*СПРАВОЧНИК!$I$9+'ПЛАН ЧЕРН К3'!D10*СПРАВОЧНИК!$J$9)+СПРАВОЧНИК!$E$10*('ПЛАН ЧЕРН К3'!E10*СПРАВОЧНИК!$H$10+'ПЛАН ЧЕРН К3'!F10*СПРАВОЧНИК!$I$10+'ПЛАН ЧЕРН К3'!G10*СПРАВОЧНИК!$J$10)+СПРАВОЧНИК!$E$11*('ПЛАН ЧЕРН К3'!H10*СПРАВОЧНИК!$H$11+'ПЛАН ЧЕРН К3'!I10*СПРАВОЧНИК!$I$11+'ПЛАН ЧЕРН К3'!J10*СПРАВОЧНИК!$J$11)+СПРАВОЧНИК!$E$12*('ПЛАН ЧЕРН К3'!K10*СПРАВОЧНИК!$H$12+'ПЛАН ЧЕРН К3'!L10*СПРАВОЧНИК!$I$12+'ПЛАН ЧЕРН К3'!M10*СПРАВОЧНИК!$J$12)+СПРАВОЧНИК!$E$13*('ПЛАН ЧЕРН К3'!N10*СПРАВОЧНИК!$H$13+'ПЛАН ЧЕРН К3'!O10*СПРАВОЧНИК!$I$13+'ПЛАН ЧЕРН К3'!P10*СПРАВОЧНИК!$J$13)+СПРАВОЧНИК!$E$14*('ПЛАН ЧЕРН К3'!Q10*СПРАВОЧНИК!$H$14+'ПЛАН ЧЕРН К3'!R10*СПРАВОЧНИК!$I$14+'ПЛАН ЧЕРН К3'!S10*СПРАВОЧНИК!$J$14)+СПРАВОЧНИК!$E$15*('ПЛАН ЧЕРН К3'!T10*СПРАВОЧНИК!$H$15+'ПЛАН ЧЕРН К3'!U10*СПРАВОЧНИК!$I$15+'ПЛАН ЧЕРН К3'!V10*СПРАВОЧНИК!$J$15)+СПРАВОЧНИК!$F$9*('ПЛАН ЧИСТ К3'!B10*СПРАВОЧНИК!$L$9+'ПЛАН ЧИСТ К3'!C10*СПРАВОЧНИК!$M$9+'ПЛАН ЧИСТ К3'!D10*СПРАВОЧНИК!$N$9+'ПЛАН ЧИСТ К3'!E10*СПРАВОЧНИК!$O$9)+СПРАВОЧНИК!$F$10*('ПЛАН ЧИСТ К3'!F10*СПРАВОЧНИК!$L$10+'ПЛАН ЧИСТ К3'!G10*СПРАВОЧНИК!$M$10+'ПЛАН ЧИСТ К3'!H10*СПРАВОЧНИК!$N$10+'ПЛАН ЧИСТ К3'!I10*СПРАВОЧНИК!$O$10)+СПРАВОЧНИК!$F$11*('ПЛАН ЧИСТ К3'!J10*СПРАВОЧНИК!$L$11+'ПЛАН ЧИСТ К3'!K10*СПРАВОЧНИК!$M$11+'ПЛАН ЧИСТ К3'!L10*СПРАВОЧНИК!$N$11)+СПРАВОЧНИК!$F$12*('ПЛАН ЧИСТ К3'!M10*СПРАВОЧНИК!$L$12+'ПЛАН ЧИСТ К3'!N10*СПРАВОЧНИК!$M$12+'ПЛАН ЧИСТ К3'!O10*СПРАВОЧНИК!$N$12+'ПЛАН ЧИСТ К3'!P10*СПРАВОЧНИК!$O$12)+СПРАВОЧНИК!$F$13*('ПЛАН ЧИСТ К3'!Q10*СПРАВОЧНИК!$L$13+'ПЛАН ЧИСТ К3'!R10*СПРАВОЧНИК!$M$13+'ПЛАН ЧИСТ К3'!S10*СПРАВОЧНИК!$N$13+'ПЛАН ЧИСТ К3'!T10*СПРАВОЧНИК!$O$13)+СПРАВОЧНИК!$F$14*('ПЛАН ЧИСТ К3'!U10*СПРАВОЧНИК!$L$14+'ПЛАН ЧИСТ К3'!V10*СПРАВОЧНИК!$M$14+'ПЛАН ЧИСТ К3'!W10*СПРАВОЧНИК!$N$14)+СПРАВОЧНИК!$F$15*('ПЛАН ЧИСТ К3'!X10*СПРАВОЧНИК!$L$15+'ПЛАН ЧИСТ К3'!Y10*СПРАВОЧНИК!$M$15+'ПЛАН ЧИСТ К3'!Z10*СПРАВОЧНИК!$N$15)</f>
        <v/>
      </c>
      <c r="BG19" s="40">
        <f>СПРАВОЧНИК!$E$9*(('ФАКТ ЧЕРН К3'!B10)*СПРАВОЧНИК!$H$9+('ФАКТ ЧЕРН К3'!C10)*СПРАВОЧНИК!$I$9+('ФАКТ ЧЕРН К3'!D10)*СПРАВОЧНИК!$J$9)+СПРАВОЧНИК!$E$10*(('ФАКТ ЧЕРН К3'!E10)*СПРАВОЧНИК!$H$10+('ФАКТ ЧЕРН К3'!F10)*СПРАВОЧНИК!$I$10+('ФАКТ ЧЕРН К3'!G10)*СПРАВОЧНИК!$J$10)+СПРАВОЧНИК!$E$11*(('ФАКТ ЧЕРН К3'!H10)*СПРАВОЧНИК!$H$11+('ФАКТ ЧЕРН К3'!I10)*СПРАВОЧНИК!$I$11+('ФАКТ ЧЕРН К3'!J10)*СПРАВОЧНИК!$J$11)+СПРАВОЧНИК!$E$12*(('ФАКТ ЧЕРН К3'!K10)*СПРАВОЧНИК!$H$12+('ФАКТ ЧЕРН К3'!L10)*СПРАВОЧНИК!$I$12+('ФАКТ ЧЕРН К3'!M10)*СПРАВОЧНИК!$J$12)+СПРАВОЧНИК!$E$13*(('ФАКТ ЧЕРН К3'!N10)*СПРАВОЧНИК!$H$13+('ФАКТ ЧЕРН К3'!O10)*СПРАВОЧНИК!$I$13+('ФАКТ ЧЕРН К3'!P10)*СПРАВОЧНИК!$J$13)+СПРАВОЧНИК!$E$14*(('ФАКТ ЧЕРН К3'!Q10)*СПРАВОЧНИК!$H$14+('ФАКТ ЧЕРН К3'!R10)*СПРАВОЧНИК!$I$14+('ФАКТ ЧЕРН К3'!S10)*СПРАВОЧНИК!$J$14)+СПРАВОЧНИК!$E$15*(('ФАКТ ЧЕРН К3'!T10)*СПРАВОЧНИК!$H$15+('ФАКТ ЧЕРН К3'!U10)*СПРАВОЧНИК!$I$15+('ФАКТ ЧЕРН К3'!V10)*СПРАВОЧНИК!$J$15)+СПРАВОЧНИК!$F$9*(('ФАКТ ЧИСТ К3'!B10)*СПРАВОЧНИК!$L$9+('ФАКТ ЧИСТ К3'!C10)*СПРАВОЧНИК!$M$9+('ФАКТ ЧИСТ К3'!D10)*СПРАВОЧНИК!$N$9+('ФАКТ ЧИСТ К3'!E10)*СПРАВОЧНИК!$O$9)+СПРАВОЧНИК!$F$10*(('ФАКТ ЧИСТ К3'!F10)*СПРАВОЧНИК!$L$10+('ФАКТ ЧИСТ К3'!G10)*СПРАВОЧНИК!$M$10+('ФАКТ ЧИСТ К3'!H10)*СПРАВОЧНИК!$N$10+('ФАКТ ЧИСТ К3'!I10)*СПРАВОЧНИК!$O$10)+СПРАВОЧНИК!$F$11*(('ФАКТ ЧИСТ К3'!J10)*СПРАВОЧНИК!$L$11+('ФАКТ ЧИСТ К3'!K10)*СПРАВОЧНИК!$M$11+('ФАКТ ЧИСТ К3'!L10)*СПРАВОЧНИК!$N$11)+СПРАВОЧНИК!$F$12*(('ФАКТ ЧИСТ К3'!M10)*СПРАВОЧНИК!$L$12+('ФАКТ ЧИСТ К3'!N10)*СПРАВОЧНИК!$M$12+('ФАКТ ЧИСТ К3'!O10)*СПРАВОЧНИК!$N$12+('ФАКТ ЧИСТ К3'!P10)*СПРАВОЧНИК!$O$12)+СПРАВОЧНИК!$F$13*(('ФАКТ ЧИСТ К3'!Q10)*СПРАВОЧНИК!$L$13+('ФАКТ ЧИСТ К3'!R10)*СПРАВОЧНИК!$M$13+('ФАКТ ЧИСТ К3'!S10)*СПРАВОЧНИК!$N$13+('ФАКТ ЧИСТ К3'!T10)*СПРАВОЧНИК!$O$13)+СПРАВОЧНИК!$F$14*(('ФАКТ ЧИСТ К3'!U10)*СПРАВОЧНИК!$L$14+('ФАКТ ЧИСТ К3'!V10)*СПРАВОЧНИК!$M$14+('ФАКТ ЧИСТ К3'!W10)*СПРАВОЧНИК!$N$14)+СПРАВОЧНИК!$F$15*(('ФАКТ ЧИСТ К3'!X10)*СПРАВОЧНИК!$L$15+('ФАКТ ЧИСТ К3'!Y10)*СПРАВОЧНИК!$M$15+('ФАКТ ЧИСТ К3'!Z10)*СПРАВОЧНИК!$N$15)</f>
        <v/>
      </c>
      <c r="BK19" s="18">
        <f>BK18+7</f>
        <v/>
      </c>
      <c r="BL19" s="37">
        <f>'ПЛАН ЧЕРН К3'!B10*СПРАВОЧНИК!$H$9+'ПЛАН ЧЕРН К3'!C10*СПРАВОЧНИК!$I$9+'ПЛАН ЧЕРН К3'!D10*СПРАВОЧНИК!$J$9+'ПЛАН ЧЕРН К3'!E10*СПРАВОЧНИК!$H$10+'ПЛАН ЧЕРН К3'!F10*СПРАВОЧНИК!$I$10+'ПЛАН ЧЕРН К3'!G10*СПРАВОЧНИК!$J$10+'ПЛАН ЧЕРН К3'!H10*СПРАВОЧНИК!$H$11+'ПЛАН ЧЕРН К3'!I10*СПРАВОЧНИК!$I$11+'ПЛАН ЧЕРН К3'!J10*СПРАВОЧНИК!$J$11+'ПЛАН ЧЕРН К3'!K10*СПРАВОЧНИК!$H$12+'ПЛАН ЧЕРН К3'!L10*СПРАВОЧНИК!$I$12+'ПЛАН ЧЕРН К3'!M10*СПРАВОЧНИК!$J$12+'ПЛАН ЧЕРН К3'!N10*СПРАВОЧНИК!$H$13+'ПЛАН ЧЕРН К3'!O10*СПРАВОЧНИК!$I$13+'ПЛАН ЧЕРН К3'!P10*СПРАВОЧНИК!$J$13+'ПЛАН ЧЕРН К3'!Q10*СПРАВОЧНИК!$H$14+'ПЛАН ЧЕРН К3'!R10*СПРАВОЧНИК!$I$14+'ПЛАН ЧЕРН К3'!S10*СПРАВОЧНИК!$J$14+'ПЛАН ЧЕРН К3'!T10*СПРАВОЧНИК!$H$15+'ПЛАН ЧЕРН К3'!U10*СПРАВОЧНИК!$I$15+'ПЛАН ЧЕРН К3'!V10*СПРАВОЧНИК!$J$15</f>
        <v/>
      </c>
      <c r="BM19" s="40">
        <f>('ФАКТ ЧЕРН К3'!B10)*СПРАВОЧНИК!$H$9+('ФАКТ ЧЕРН К3'!C10)*СПРАВОЧНИК!$I$9+('ФАКТ ЧЕРН К3'!D10)*СПРАВОЧНИК!$J$9+('ФАКТ ЧЕРН К3'!E10)*СПРАВОЧНИК!$H$10+('ФАКТ ЧЕРН К3'!F10)*СПРАВОЧНИК!$I$10+('ФАКТ ЧЕРН К3'!G10)*СПРАВОЧНИК!$J$10+('ФАКТ ЧЕРН К3'!H10)*СПРАВОЧНИК!$H$11+('ФАКТ ЧЕРН К3'!I10)*СПРАВОЧНИК!$I$11+('ФАКТ ЧЕРН К3'!J10)*СПРАВОЧНИК!$J$11+('ФАКТ ЧЕРН К3'!K10)*СПРАВОЧНИК!$H$12+('ФАКТ ЧЕРН К3'!L10)*СПРАВОЧНИК!$I$12+('ФАКТ ЧЕРН К3'!M10)*СПРАВОЧНИК!$J$12+('ФАКТ ЧЕРН К3'!N10)*СПРАВОЧНИК!$H$13+('ФАКТ ЧЕРН К3'!O10)*СПРАВОЧНИК!$I$13+('ФАКТ ЧЕРН К3'!P10)*СПРАВОЧНИК!$J$13+('ФАКТ ЧЕРН К3'!Q10)*СПРАВОЧНИК!$H$14+('ФАКТ ЧЕРН К3'!R10)*СПРАВОЧНИК!$I$14+('ФАКТ ЧЕРН К3'!S10)*СПРАВОЧНИК!$J$14+('ФАКТ ЧЕРН К3'!T10)*СПРАВОЧНИК!$H$15+('ФАКТ ЧЕРН К3'!U10)*СПРАВОЧНИК!$I$15+('ФАКТ ЧЕРН К3'!V10)*СПРАВОЧНИК!$J$15</f>
        <v/>
      </c>
      <c r="BQ19" s="18">
        <f>BQ18+7</f>
        <v/>
      </c>
      <c r="BR19" s="37">
        <f>'ПЛАН ЧИСТ К3'!B10*СПРАВОЧНИК!$L$9+'ПЛАН ЧИСТ К3'!C10*СПРАВОЧНИК!$M$9+'ПЛАН ЧИСТ К3'!D10*СПРАВОЧНИК!$N$9+'ПЛАН ЧИСТ К3'!E10*СПРАВОЧНИК!$O$9+'ПЛАН ЧИСТ К3'!F10*СПРАВОЧНИК!$L$10+'ПЛАН ЧИСТ К3'!G10*СПРАВОЧНИК!$M$10+'ПЛАН ЧИСТ К3'!H10*СПРАВОЧНИК!$N$10+'ПЛАН ЧИСТ К3'!I10*СПРАВОЧНИК!$O$10+'ПЛАН ЧИСТ К3'!J10*СПРАВОЧНИК!$L$11+'ПЛАН ЧИСТ К3'!K10*СПРАВОЧНИК!$M$11+'ПЛАН ЧИСТ К3'!L10*СПРАВОЧНИК!$N$11+'ПЛАН ЧИСТ К3'!M10*СПРАВОЧНИК!$L$12+'ПЛАН ЧИСТ К3'!N10*СПРАВОЧНИК!$M$12+'ПЛАН ЧИСТ К3'!O10*СПРАВОЧНИК!$N$12+'ПЛАН ЧИСТ К3'!P10*СПРАВОЧНИК!$O$12+'ПЛАН ЧИСТ К3'!Q10*СПРАВОЧНИК!$L$13+'ПЛАН ЧИСТ К3'!R10*СПРАВОЧНИК!$M$13+'ПЛАН ЧИСТ К3'!S10*СПРАВОЧНИК!$N$13+'ПЛАН ЧИСТ К3'!T10*СПРАВОЧНИК!$O$13+'ПЛАН ЧИСТ К3'!U10*СПРАВОЧНИК!$L$14+'ПЛАН ЧИСТ К3'!V10*СПРАВОЧНИК!$M$14+'ПЛАН ЧИСТ К3'!W10*СПРАВОЧНИК!$N$14+'ПЛАН ЧИСТ К3'!X10*СПРАВОЧНИК!$L$15+'ПЛАН ЧИСТ К3'!Y10*СПРАВОЧНИК!$M$15+'ПЛАН ЧИСТ К3'!Z10*СПРАВОЧНИК!$N$15</f>
        <v/>
      </c>
      <c r="BS19" s="40">
        <f>('ФАКТ ЧИСТ К3'!B10)*СПРАВОЧНИК!$L$9+('ФАКТ ЧИСТ К3'!C10)*СПРАВОЧНИК!$M$9+('ФАКТ ЧИСТ К3'!D10)*СПРАВОЧНИК!$N$9+('ФАКТ ЧИСТ К3'!E10)*СПРАВОЧНИК!$O$9+('ФАКТ ЧИСТ К3'!F10)*СПРАВОЧНИК!$L$10+('ФАКТ ЧИСТ К3'!G10)*СПРАВОЧНИК!$M$10+('ФАКТ ЧИСТ К3'!H10)*СПРАВОЧНИК!$N$10+('ФАКТ ЧИСТ К3'!I10)*СПРАВОЧНИК!$O$10+('ФАКТ ЧИСТ К3'!J10)*СПРАВОЧНИК!$L$11+('ФАКТ ЧИСТ К3'!K10)*СПРАВОЧНИК!$M$11+('ФАКТ ЧИСТ К3'!L10)*СПРАВОЧНИК!$N$11+('ФАКТ ЧИСТ К3'!M10)*СПРАВОЧНИК!$L$12+('ФАКТ ЧИСТ К3'!N10)*СПРАВОЧНИК!$M$12+('ФАКТ ЧИСТ К3'!O10)*СПРАВОЧНИК!$N$12+('ФАКТ ЧИСТ К3'!P10)*СПРАВОЧНИК!$O$12+('ФАКТ ЧИСТ К3'!Q10)*СПРАВОЧНИК!$L$13+('ФАКТ ЧИСТ К3'!R10)*СПРАВОЧНИК!$M$13+('ФАКТ ЧИСТ К3'!S10)*СПРАВОЧНИК!$N$13+('ФАКТ ЧИСТ К3'!T10)*СПРАВОЧНИК!$O$13+('ФАКТ ЧИСТ К3'!U10)*СПРАВОЧНИК!$L$14+('ФАКТ ЧИСТ К3'!V10)*СПРАВОЧНИК!$M$14+('ФАКТ ЧИСТ К3'!W10)*СПРАВОЧНИК!$N$14+('ФАКТ ЧИСТ К3'!X10)*СПРАВОЧНИК!$L$15+('ФАКТ ЧИСТ К3'!Y10)*СПРАВОЧНИК!$M$15+('ФАКТ ЧИСТ К3'!Z10)*СПРАВОЧНИК!$N$15</f>
        <v/>
      </c>
      <c r="BW19" s="18">
        <f>BW18+7</f>
        <v/>
      </c>
      <c r="BX19" s="37">
        <f>V19+AN19+BF19</f>
        <v/>
      </c>
      <c r="BY19" s="40">
        <f>W19+AO19+BG19</f>
        <v/>
      </c>
      <c r="CC19" s="18">
        <f>CC18+7</f>
        <v/>
      </c>
      <c r="CD19" s="37">
        <f>AB19+AT19+BL19</f>
        <v/>
      </c>
      <c r="CE19" s="40">
        <f>AC19+AU19+BM19</f>
        <v/>
      </c>
      <c r="CI19" s="18">
        <f>CI18+7</f>
        <v/>
      </c>
      <c r="CJ19" s="37">
        <f>AH19+AZ19+BR19</f>
        <v/>
      </c>
      <c r="CK19" s="40">
        <f>AI19+BA19+BS19</f>
        <v/>
      </c>
      <c r="CO19" s="18">
        <f>CO18+7</f>
        <v/>
      </c>
      <c r="CP19" s="37">
        <f>D19+BX19</f>
        <v/>
      </c>
      <c r="CQ19" s="40">
        <f>E19+BY19</f>
        <v/>
      </c>
      <c r="CU19" s="18">
        <f>CU18+7</f>
        <v/>
      </c>
      <c r="CV19" s="37">
        <f>J19+CD19</f>
        <v/>
      </c>
      <c r="CW19" s="40">
        <f>K19+CE19</f>
        <v/>
      </c>
      <c r="DA19" s="18">
        <f>DA18+7</f>
        <v/>
      </c>
      <c r="DB19" s="37">
        <f>P19+CJ19</f>
        <v/>
      </c>
      <c r="DC19" s="40">
        <f>Q19+CK19</f>
        <v/>
      </c>
    </row>
    <row r="20">
      <c r="C20" s="18">
        <f>C19+7</f>
        <v/>
      </c>
      <c r="D20" s="37">
        <f>СПРАВОЧНИК!$E$3*('ПЛАН ЧЕРН ПОДЗЕМ'!B11*СПРАВОЧНИК!$H$3+'ПЛАН ЧЕРН ПОДЗЕМ'!C11*СПРАВОЧНИК!$I$3+'ПЛАН ЧЕРН ПОДЗЕМ'!D11*СПРАВОЧНИК!$J$3)+СПРАВОЧНИК!$E$4*('ПЛАН ЧЕРН ПОДЗЕМ'!E11*СПРАВОЧНИК!$H$4+'ПЛАН ЧЕРН ПОДЗЕМ'!F11*СПРАВОЧНИК!$I$4+'ПЛАН ЧЕРН ПОДЗЕМ'!G11*СПРАВОЧНИК!$J$4)+СПРАВОЧНИК!$E$5*('ПЛАН ЧЕРН ПОДЗЕМ'!H11*СПРАВОЧНИК!$H$5+'ПЛАН ЧЕРН ПОДЗЕМ'!I11*СПРАВОЧНИК!$I$5+'ПЛАН ЧЕРН ПОДЗЕМ'!J11*СПРАВОЧНИК!$J$5)+СПРАВОЧНИК!$E$6*('ПЛАН ЧЕРН ПОДЗЕМ'!K11*СПРАВОЧНИК!$H$6+'ПЛАН ЧЕРН ПОДЗЕМ'!L11*СПРАВОЧНИК!$I$6+'ПЛАН ЧЕРН ПОДЗЕМ'!M11*СПРАВОЧНИК!$J$6)+СПРАВОЧНИК!$E$7*('ПЛАН ЧЕРН ПОДЗЕМ'!N11*СПРАВОЧНИК!$H$7+'ПЛАН ЧЕРН ПОДЗЕМ'!O11*СПРАВОЧНИК!$I$7+'ПЛАН ЧЕРН ПОДЗЕМ'!P11*СПРАВОЧНИК!$J$7)+СПРАВОЧНИК!$E$8*('ПЛАН ЧЕРН ПОДЗЕМ'!Q11*СПРАВОЧНИК!$H$8+'ПЛАН ЧЕРН ПОДЗЕМ'!R11*СПРАВОЧНИК!$I$8+'ПЛАН ЧЕРН ПОДЗЕМ'!S11*СПРАВОЧНИК!$J$8)+СПРАВОЧНИК!$F$3*('ПЛАН ЧИСТ ПОДЗЕМ'!B11*СПРАВОЧНИК!$L$3+'ПЛАН ЧИСТ ПОДЗЕМ'!C11*СПРАВОЧНИК!$M$3+'ПЛАН ЧИСТ ПОДЗЕМ'!D11*СПРАВОЧНИК!$N$3+'ПЛАН ЧИСТ ПОДЗЕМ'!E11*СПРАВОЧНИК!$O$3)+СПРАВОЧНИК!$F$4*('ПЛАН ЧИСТ ПОДЗЕМ'!F11*СПРАВОЧНИК!$L$4+'ПЛАН ЧИСТ ПОДЗЕМ'!G11*СПРАВОЧНИК!$M$4+'ПЛАН ЧИСТ ПОДЗЕМ'!H11*СПРАВОЧНИК!$N$4+'ПЛАН ЧИСТ ПОДЗЕМ'!I11*СПРАВОЧНИК!$O$4)+СПРАВОЧНИК!$F$5*('ПЛАН ЧИСТ ПОДЗЕМ'!J11*СПРАВОЧНИК!$L$5+'ПЛАН ЧИСТ ПОДЗЕМ'!K11*СПРАВОЧНИК!$M$5+'ПЛАН ЧИСТ ПОДЗЕМ'!L11*СПРАВОЧНИК!$N$5)+СПРАВОЧНИК!$F$6*('ПЛАН ЧИСТ ПОДЗЕМ'!M11*СПРАВОЧНИК!$L$6+'ПЛАН ЧИСТ ПОДЗЕМ'!N11*СПРАВОЧНИК!$M$6+'ПЛАН ЧИСТ ПОДЗЕМ'!O11*СПРАВОЧНИК!$N$6+'ПЛАН ЧИСТ ПОДЗЕМ'!P11*СПРАВОЧНИК!$O$6)+СПРАВОЧНИК!$F$7*('ПЛАН ЧИСТ ПОДЗЕМ'!Q11*СПРАВОЧНИК!$L$7+'ПЛАН ЧИСТ ПОДЗЕМ'!R11*СПРАВОЧНИК!$M$7+'ПЛАН ЧИСТ ПОДЗЕМ'!S11*СПРАВОЧНИК!$N$7+'ПЛАН ЧИСТ ПОДЗЕМ'!T11*СПРАВОЧНИК!$O$7)+СПРАВОЧНИК!$F$8*('ПЛАН ЧИСТ ПОДЗЕМ'!U11*СПРАВОЧНИК!$L$8+'ПЛАН ЧИСТ ПОДЗЕМ'!V11*СПРАВОЧНИК!$M$8+'ПЛАН ЧИСТ ПОДЗЕМ'!W11*СПРАВОЧНИК!$N$8)</f>
        <v/>
      </c>
      <c r="E20" s="40">
        <f>СПРАВОЧНИК!$E$3*(('ФАКТ ЧЕРН ПОДЗЕМ'!B11)*СПРАВОЧНИК!$H$3+('ФАКТ ЧЕРН ПОДЗЕМ'!C11)*СПРАВОЧНИК!$I$3+('ФАКТ ЧЕРН ПОДЗЕМ'!D11)*СПРАВОЧНИК!$J$3)+СПРАВОЧНИК!$E$4*(('ФАКТ ЧЕРН ПОДЗЕМ'!E11)*СПРАВОЧНИК!$H$4+('ФАКТ ЧЕРН ПОДЗЕМ'!F11)*СПРАВОЧНИК!$I$4+('ФАКТ ЧЕРН ПОДЗЕМ'!G11)*СПРАВОЧНИК!$J$4)+СПРАВОЧНИК!$E$5*(('ФАКТ ЧЕРН ПОДЗЕМ'!H11)*СПРАВОЧНИК!$H$5+('ФАКТ ЧЕРН ПОДЗЕМ'!I11)*СПРАВОЧНИК!$I$5+('ФАКТ ЧЕРН ПОДЗЕМ'!J11)*СПРАВОЧНИК!$J$5)+СПРАВОЧНИК!$E$6*(('ФАКТ ЧЕРН ПОДЗЕМ'!K11)*СПРАВОЧНИК!$H$6+('ФАКТ ЧЕРН ПОДЗЕМ'!L11)*СПРАВОЧНИК!$I$6+('ФАКТ ЧЕРН ПОДЗЕМ'!M11)*СПРАВОЧНИК!$J$6)+СПРАВОЧНИК!$E$7*(('ФАКТ ЧЕРН ПОДЗЕМ'!N11)*СПРАВОЧНИК!$H$7+('ФАКТ ЧЕРН ПОДЗЕМ'!O11)*СПРАВОЧНИК!$I$7+('ФАКТ ЧЕРН ПОДЗЕМ'!P11)*СПРАВОЧНИК!$J$7)+СПРАВОЧНИК!$E$8*(('ФАКТ ЧЕРН ПОДЗЕМ'!Q11)*СПРАВОЧНИК!$H$8+('ФАКТ ЧЕРН ПОДЗЕМ'!R11)*СПРАВОЧНИК!$I$8+('ФАКТ ЧЕРН ПОДЗЕМ'!S11)*СПРАВОЧНИК!$J$8)+СПРАВОЧНИК!$F$3*(('ФАКТ ЧИСТ ПОДЗЕМ'!B11)*СПРАВОЧНИК!$L$3+('ФАКТ ЧИСТ ПОДЗЕМ'!C11)*СПРАВОЧНИК!$M$3+('ФАКТ ЧИСТ ПОДЗЕМ'!D11)*СПРАВОЧНИК!$N$3+('ФАКТ ЧИСТ ПОДЗЕМ'!E11)*СПРАВОЧНИК!$O$3)+СПРАВОЧНИК!$F$4*(('ФАКТ ЧИСТ ПОДЗЕМ'!F11)*СПРАВОЧНИК!$L$4+('ФАКТ ЧИСТ ПОДЗЕМ'!G11)*СПРАВОЧНИК!$M$4+('ФАКТ ЧИСТ ПОДЗЕМ'!H11)*СПРАВОЧНИК!$N$4+('ФАКТ ЧИСТ ПОДЗЕМ'!I11)*СПРАВОЧНИК!$O$4)+СПРАВОЧНИК!$F$5*(('ФАКТ ЧИСТ ПОДЗЕМ'!J11)*СПРАВОЧНИК!$L$5+('ФАКТ ЧИСТ ПОДЗЕМ'!K11)*СПРАВОЧНИК!$M$5+('ФАКТ ЧИСТ ПОДЗЕМ'!L11)*СПРАВОЧНИК!$N$5)+СПРАВОЧНИК!$F$6*(('ФАКТ ЧИСТ ПОДЗЕМ'!M11)*СПРАВОЧНИК!$L$6+('ФАКТ ЧИСТ ПОДЗЕМ'!N11)*СПРАВОЧНИК!$M$6+('ФАКТ ЧИСТ ПОДЗЕМ'!O11)*СПРАВОЧНИК!$N$6+('ФАКТ ЧИСТ ПОДЗЕМ'!P11)*СПРАВОЧНИК!$O$6)+СПРАВОЧНИК!$F$7*(('ФАКТ ЧИСТ ПОДЗЕМ'!Q11)*СПРАВОЧНИК!$L$7+('ФАКТ ЧИСТ ПОДЗЕМ'!R11)*СПРАВОЧНИК!$M$7+('ФАКТ ЧИСТ ПОДЗЕМ'!S11)*СПРАВОЧНИК!$N$7+('ФАКТ ЧИСТ ПОДЗЕМ'!T11)*СПРАВОЧНИК!$O$7)+СПРАВОЧНИК!$F$8*(('ФАКТ ЧИСТ ПОДЗЕМ'!U11)*СПРАВОЧНИК!$L$8+('ФАКТ ЧИСТ ПОДЗЕМ'!V11)*СПРАВОЧНИК!$M$8+('ФАКТ ЧИСТ ПОДЗЕМ'!W11)*СПРАВОЧНИК!$N$8)</f>
        <v/>
      </c>
      <c r="I20" s="18">
        <f>I19+7</f>
        <v/>
      </c>
      <c r="J20" s="37">
        <f>'ПЛАН ЧЕРН ПОДЗЕМ'!B11*СПРАВОЧНИК!$H$3+'ПЛАН ЧЕРН ПОДЗЕМ'!C11*СПРАВОЧНИК!$I$3+'ПЛАН ЧЕРН ПОДЗЕМ'!D11*СПРАВОЧНИК!$J$3+'ПЛАН ЧЕРН ПОДЗЕМ'!E11*СПРАВОЧНИК!$H$4+'ПЛАН ЧЕРН ПОДЗЕМ'!F11*СПРАВОЧНИК!$I$4+'ПЛАН ЧЕРН ПОДЗЕМ'!G11*СПРАВОЧНИК!$J$4+'ПЛАН ЧЕРН ПОДЗЕМ'!H11*СПРАВОЧНИК!$H$5+'ПЛАН ЧЕРН ПОДЗЕМ'!I11*СПРАВОЧНИК!$I$5+'ПЛАН ЧЕРН ПОДЗЕМ'!J11*СПРАВОЧНИК!$J$5+'ПЛАН ЧЕРН ПОДЗЕМ'!K11*СПРАВОЧНИК!$H$6+'ПЛАН ЧЕРН ПОДЗЕМ'!L11*СПРАВОЧНИК!$I$6+'ПЛАН ЧЕРН ПОДЗЕМ'!M11*СПРАВОЧНИК!$J$6+'ПЛАН ЧЕРН ПОДЗЕМ'!N11*СПРАВОЧНИК!$H$7+'ПЛАН ЧЕРН ПОДЗЕМ'!O11*СПРАВОЧНИК!$I$7+'ПЛАН ЧЕРН ПОДЗЕМ'!P11*СПРАВОЧНИК!$J$7+'ПЛАН ЧЕРН ПОДЗЕМ'!Q11*СПРАВОЧНИК!$H$8+'ПЛАН ЧЕРН ПОДЗЕМ'!R11*СПРАВОЧНИК!$I$8+'ПЛАН ЧЕРН ПОДЗЕМ'!S11*СПРАВОЧНИК!$J$8</f>
        <v/>
      </c>
      <c r="K20" s="40">
        <f>('ФАКТ ЧЕРН ПОДЗЕМ'!B11)*СПРАВОЧНИК!$H$3+('ФАКТ ЧЕРН ПОДЗЕМ'!C11)*СПРАВОЧНИК!$I$3+('ФАКТ ЧЕРН ПОДЗЕМ'!D11)*СПРАВОЧНИК!$J$3+('ФАКТ ЧЕРН ПОДЗЕМ'!E11)*СПРАВОЧНИК!$H$4+('ФАКТ ЧЕРН ПОДЗЕМ'!F11)*СПРАВОЧНИК!$I$4+('ФАКТ ЧЕРН ПОДЗЕМ'!G11)*СПРАВОЧНИК!$J$4+('ФАКТ ЧЕРН ПОДЗЕМ'!H11)*СПРАВОЧНИК!$H$5+('ФАКТ ЧЕРН ПОДЗЕМ'!I11)*СПРАВОЧНИК!$I$5+('ФАКТ ЧЕРН ПОДЗЕМ'!J11)*СПРАВОЧНИК!$J$5+('ФАКТ ЧЕРН ПОДЗЕМ'!K11)*СПРАВОЧНИК!$H$6+('ФАКТ ЧЕРН ПОДЗЕМ'!L11)*СПРАВОЧНИК!$I$6+('ФАКТ ЧЕРН ПОДЗЕМ'!M11)*СПРАВОЧНИК!$J$6+('ФАКТ ЧЕРН ПОДЗЕМ'!N11)*СПРАВОЧНИК!$H$7+('ФАКТ ЧЕРН ПОДЗЕМ'!O11)*СПРАВОЧНИК!$I$7+('ФАКТ ЧЕРН ПОДЗЕМ'!P11)*СПРАВОЧНИК!$J$7+('ФАКТ ЧЕРН ПОДЗЕМ'!Q11)*СПРАВОЧНИК!$H$8+('ФАКТ ЧЕРН ПОДЗЕМ'!R11)*СПРАВОЧНИК!$I$8+('ФАКТ ЧЕРН ПОДЗЕМ'!S11)*СПРАВОЧНИК!$J$8</f>
        <v/>
      </c>
      <c r="O20" s="18">
        <f>O19+7</f>
        <v/>
      </c>
      <c r="P20" s="37">
        <f>'ПЛАН ЧИСТ ПОДЗЕМ'!B11*СПРАВОЧНИК!$L$3+'ПЛАН ЧИСТ ПОДЗЕМ'!C11*СПРАВОЧНИК!$M$3+'ПЛАН ЧИСТ ПОДЗЕМ'!D11*СПРАВОЧНИК!$N$3+'ПЛАН ЧИСТ ПОДЗЕМ'!E11*СПРАВОЧНИК!$O$3+'ПЛАН ЧИСТ ПОДЗЕМ'!F11*СПРАВОЧНИК!$L$4+'ПЛАН ЧИСТ ПОДЗЕМ'!G11*СПРАВОЧНИК!$M$4+'ПЛАН ЧИСТ ПОДЗЕМ'!H11*СПРАВОЧНИК!$N$4+'ПЛАН ЧИСТ ПОДЗЕМ'!I11*СПРАВОЧНИК!$O$4+'ПЛАН ЧИСТ ПОДЗЕМ'!J11*СПРАВОЧНИК!$L$5+'ПЛАН ЧИСТ ПОДЗЕМ'!K11*СПРАВОЧНИК!$M$5+'ПЛАН ЧИСТ ПОДЗЕМ'!L11*СПРАВОЧНИК!$N$5+'ПЛАН ЧИСТ ПОДЗЕМ'!M11*СПРАВОЧНИК!$L$6+'ПЛАН ЧИСТ ПОДЗЕМ'!N11*СПРАВОЧНИК!$M$6+'ПЛАН ЧИСТ ПОДЗЕМ'!O11*СПРАВОЧНИК!$N$6+'ПЛАН ЧИСТ ПОДЗЕМ'!P11*СПРАВОЧНИК!$O$6+'ПЛАН ЧИСТ ПОДЗЕМ'!Q11*СПРАВОЧНИК!$L$7+'ПЛАН ЧИСТ ПОДЗЕМ'!R11*СПРАВОЧНИК!$M$7+'ПЛАН ЧИСТ ПОДЗЕМ'!S11*СПРАВОЧНИК!$N$7+'ПЛАН ЧИСТ ПОДЗЕМ'!T11*СПРАВОЧНИК!$O$7+'ПЛАН ЧИСТ ПОДЗЕМ'!U11*СПРАВОЧНИК!$L$8+'ПЛАН ЧИСТ ПОДЗЕМ'!V11*СПРАВОЧНИК!$M$8+'ПЛАН ЧИСТ ПОДЗЕМ'!W11*СПРАВОЧНИК!$N$8</f>
        <v/>
      </c>
      <c r="Q20" s="40">
        <f>('ФАКТ ЧИСТ ПОДЗЕМ'!B11)*СПРАВОЧНИК!$L$3+('ФАКТ ЧИСТ ПОДЗЕМ'!C11)*СПРАВОЧНИК!$M$3+('ФАКТ ЧИСТ ПОДЗЕМ'!D11)*СПРАВОЧНИК!$N$3+('ФАКТ ЧИСТ ПОДЗЕМ'!E11)*СПРАВОЧНИК!$O$3+('ФАКТ ЧИСТ ПОДЗЕМ'!F11)*СПРАВОЧНИК!$L$4+('ФАКТ ЧИСТ ПОДЗЕМ'!G11)*СПРАВОЧНИК!$M$4+('ФАКТ ЧИСТ ПОДЗЕМ'!H11)*СПРАВОЧНИК!$N$4+('ФАКТ ЧИСТ ПОДЗЕМ'!I11)*СПРАВОЧНИК!$O$4+('ФАКТ ЧИСТ ПОДЗЕМ'!J11)*СПРАВОЧНИК!$L$5+('ФАКТ ЧИСТ ПОДЗЕМ'!K11)*СПРАВОЧНИК!$M$5+('ФАКТ ЧИСТ ПОДЗЕМ'!L11)*СПРАВОЧНИК!$N$5+('ФАКТ ЧИСТ ПОДЗЕМ'!M11)*СПРАВОЧНИК!$L$6+('ФАКТ ЧИСТ ПОДЗЕМ'!N11)*СПРАВОЧНИК!$M$6+('ФАКТ ЧИСТ ПОДЗЕМ'!O11)*СПРАВОЧНИК!$N$6+('ФАКТ ЧИСТ ПОДЗЕМ'!P11)*СПРАВОЧНИК!$O$6+('ФАКТ ЧИСТ ПОДЗЕМ'!Q11)*СПРАВОЧНИК!$L$7+('ФАКТ ЧИСТ ПОДЗЕМ'!R11)*СПРАВОЧНИК!$M$7+('ФАКТ ЧИСТ ПОДЗЕМ'!S11)*СПРАВОЧНИК!$N$7+('ФАКТ ЧИСТ ПОДЗЕМ'!T11)*СПРАВОЧНИК!$O$7+('ФАКТ ЧИСТ ПОДЗЕМ'!U11)*СПРАВОЧНИК!$L$8+('ФАКТ ЧИСТ ПОДЗЕМ'!V11)*СПРАВОЧНИК!$M$8+('ФАКТ ЧИСТ ПОДЗЕМ'!W11)*СПРАВОЧНИК!$N$8</f>
        <v/>
      </c>
      <c r="U20" s="18">
        <f>U19+7</f>
        <v/>
      </c>
      <c r="V20" s="37">
        <f>СПРАВОЧНИК!$E$9*('ПЛАН ЧЕРН К1'!B11*СПРАВОЧНИК!$H$9+'ПЛАН ЧЕРН К1'!C11*СПРАВОЧНИК!$I$9+'ПЛАН ЧЕРН К1'!D11*СПРАВОЧНИК!$J$9)+СПРАВОЧНИК!$E$10*('ПЛАН ЧЕРН К1'!E11*СПРАВОЧНИК!$H$10+'ПЛАН ЧЕРН К1'!F11*СПРАВОЧНИК!$I$10+'ПЛАН ЧЕРН К1'!G11*СПРАВОЧНИК!$J$10)+СПРАВОЧНИК!$E$11*('ПЛАН ЧЕРН К1'!H11*СПРАВОЧНИК!$H$11+'ПЛАН ЧЕРН К1'!I11*СПРАВОЧНИК!$I$11+'ПЛАН ЧЕРН К1'!J11*СПРАВОЧНИК!$J$11)+СПРАВОЧНИК!$E$12*('ПЛАН ЧЕРН К1'!K11*СПРАВОЧНИК!$H$12+'ПЛАН ЧЕРН К1'!L11*СПРАВОЧНИК!$I$12+'ПЛАН ЧЕРН К1'!M11*СПРАВОЧНИК!$J$12)+СПРАВОЧНИК!$E$13*('ПЛАН ЧЕРН К1'!N11*СПРАВОЧНИК!$H$13+'ПЛАН ЧЕРН К1'!O11*СПРАВОЧНИК!$I$13+'ПЛАН ЧЕРН К1'!P11*СПРАВОЧНИК!$J$13)+СПРАВОЧНИК!$E$14*('ПЛАН ЧЕРН К1'!Q11*СПРАВОЧНИК!$H$14+'ПЛАН ЧЕРН К1'!R11*СПРАВОЧНИК!$I$14+'ПЛАН ЧЕРН К1'!S11*СПРАВОЧНИК!$J$14)+СПРАВОЧНИК!$E$15*('ПЛАН ЧЕРН К1'!T11*СПРАВОЧНИК!$H$15+'ПЛАН ЧЕРН К1'!U11*СПРАВОЧНИК!$I$15+'ПЛАН ЧЕРН К1'!V11*СПРАВОЧНИК!$J$15)+СПРАВОЧНИК!$F$9*('ПЛАН ЧИСТ К1'!B11*СПРАВОЧНИК!$L$9+'ПЛАН ЧИСТ К1'!C11*СПРАВОЧНИК!$M$9+'ПЛАН ЧИСТ К1'!D11*СПРАВОЧНИК!$N$9+'ПЛАН ЧИСТ К1'!E11*СПРАВОЧНИК!$O$9)+СПРАВОЧНИК!$F$10*('ПЛАН ЧИСТ К1'!F11*СПРАВОЧНИК!$L$10+'ПЛАН ЧИСТ К1'!G11*СПРАВОЧНИК!$M$10+'ПЛАН ЧИСТ К1'!H11*СПРАВОЧНИК!$N$10+'ПЛАН ЧИСТ К1'!I11*СПРАВОЧНИК!$O$10)+СПРАВОЧНИК!$F$11*('ПЛАН ЧИСТ К1'!J11*СПРАВОЧНИК!$L$11+'ПЛАН ЧИСТ К1'!K11*СПРАВОЧНИК!$M$11+'ПЛАН ЧИСТ К1'!L11*СПРАВОЧНИК!$N$11)+СПРАВОЧНИК!$F$12*('ПЛАН ЧИСТ К1'!M11*СПРАВОЧНИК!$L$12+'ПЛАН ЧИСТ К1'!N11*СПРАВОЧНИК!$M$12+'ПЛАН ЧИСТ К1'!O11*СПРАВОЧНИК!$N$12+'ПЛАН ЧИСТ К1'!P11*СПРАВОЧНИК!$O$12)+СПРАВОЧНИК!$F$13*('ПЛАН ЧИСТ К1'!Q11*СПРАВОЧНИК!$L$13+'ПЛАН ЧИСТ К1'!R11*СПРАВОЧНИК!$M$13+'ПЛАН ЧИСТ К1'!S11*СПРАВОЧНИК!$N$13+'ПЛАН ЧИСТ К1'!T11*СПРАВОЧНИК!$O$13)+СПРАВОЧНИК!$F$14*('ПЛАН ЧИСТ К1'!U11*СПРАВОЧНИК!$L$14+'ПЛАН ЧИСТ К1'!V11*СПРАВОЧНИК!$M$14+'ПЛАН ЧИСТ К1'!W11*СПРАВОЧНИК!$N$14)+СПРАВОЧНИК!$F$15*('ПЛАН ЧИСТ К1'!X11*СПРАВОЧНИК!$L$15+'ПЛАН ЧИСТ К1'!Y11*СПРАВОЧНИК!$M$15+'ПЛАН ЧИСТ К1'!Z11*СПРАВОЧНИК!$N$15)</f>
        <v/>
      </c>
      <c r="W20" s="40">
        <f>СПРАВОЧНИК!$E$9*(('ФАКТ ЧЕРН К1'!B11)*СПРАВОЧНИК!$H$9+('ФАКТ ЧЕРН К1'!C11)*СПРАВОЧНИК!$I$9+('ФАКТ ЧЕРН К1'!D11)*СПРАВОЧНИК!$J$9)+СПРАВОЧНИК!$E$10*(('ФАКТ ЧЕРН К1'!E11)*СПРАВОЧНИК!$H$10+('ФАКТ ЧЕРН К1'!F11)*СПРАВОЧНИК!$I$10+('ФАКТ ЧЕРН К1'!G11)*СПРАВОЧНИК!$J$10)+СПРАВОЧНИК!$E$11*(('ФАКТ ЧЕРН К1'!H11)*СПРАВОЧНИК!$H$11+('ФАКТ ЧЕРН К1'!I11)*СПРАВОЧНИК!$I$11+('ФАКТ ЧЕРН К1'!J11)*СПРАВОЧНИК!$J$11)+СПРАВОЧНИК!$E$12*(('ФАКТ ЧЕРН К1'!K11)*СПРАВОЧНИК!$H$12+('ФАКТ ЧЕРН К1'!L11)*СПРАВОЧНИК!$I$12+('ФАКТ ЧЕРН К1'!M11)*СПРАВОЧНИК!$J$12)+СПРАВОЧНИК!$E$13*(('ФАКТ ЧЕРН К1'!N11)*СПРАВОЧНИК!$H$13+('ФАКТ ЧЕРН К1'!O11)*СПРАВОЧНИК!$I$13+('ФАКТ ЧЕРН К1'!P11)*СПРАВОЧНИК!$J$13)+СПРАВОЧНИК!$E$14*(('ФАКТ ЧЕРН К1'!Q11)*СПРАВОЧНИК!$H$14+('ФАКТ ЧЕРН К1'!R11)*СПРАВОЧНИК!$I$14+('ФАКТ ЧЕРН К1'!S11)*СПРАВОЧНИК!$J$14)+СПРАВОЧНИК!$E$15*(('ФАКТ ЧЕРН К1'!T11)*СПРАВОЧНИК!$H$15+('ФАКТ ЧЕРН К1'!U11)*СПРАВОЧНИК!$I$15+('ФАКТ ЧЕРН К1'!V11)*СПРАВОЧНИК!$J$15)+СПРАВОЧНИК!$F$9*(('ФАКТ ЧИСТ К1'!B11)*СПРАВОЧНИК!$L$9+('ФАКТ ЧИСТ К1'!C11)*СПРАВОЧНИК!$M$9+('ФАКТ ЧИСТ К1'!D11)*СПРАВОЧНИК!$N$9+('ФАКТ ЧИСТ К1'!E11)*СПРАВОЧНИК!$O$9)+СПРАВОЧНИК!$F$10*(('ФАКТ ЧИСТ К1'!F11)*СПРАВОЧНИК!$L$10+('ФАКТ ЧИСТ К1'!G11)*СПРАВОЧНИК!$M$10+('ФАКТ ЧИСТ К1'!H11)*СПРАВОЧНИК!$N$10+('ФАКТ ЧИСТ К1'!I11)*СПРАВОЧНИК!$O$10)+СПРАВОЧНИК!$F$11*(('ФАКТ ЧИСТ К1'!J11)*СПРАВОЧНИК!$L$11+('ФАКТ ЧИСТ К1'!K11)*СПРАВОЧНИК!$M$11+('ФАКТ ЧИСТ К1'!L11)*СПРАВОЧНИК!$N$11)+СПРАВОЧНИК!$F$12*(('ФАКТ ЧИСТ К1'!M11)*СПРАВОЧНИК!$L$12+('ФАКТ ЧИСТ К1'!N11)*СПРАВОЧНИК!$M$12+('ФАКТ ЧИСТ К1'!O11)*СПРАВОЧНИК!$N$12+('ФАКТ ЧИСТ К1'!P11)*СПРАВОЧНИК!$O$12)+СПРАВОЧНИК!$F$13*(('ФАКТ ЧИСТ К1'!Q11)*СПРАВОЧНИК!$L$13+('ФАКТ ЧИСТ К1'!R11)*СПРАВОЧНИК!$M$13+('ФАКТ ЧИСТ К1'!S11)*СПРАВОЧНИК!$N$13+('ФАКТ ЧИСТ К1'!T11)*СПРАВОЧНИК!$O$13)+СПРАВОЧНИК!$F$14*(('ФАКТ ЧИСТ К1'!U11)*СПРАВОЧНИК!$L$14+('ФАКТ ЧИСТ К1'!V11)*СПРАВОЧНИК!$M$14+('ФАКТ ЧИСТ К1'!W11)*СПРАВОЧНИК!$N$14)+СПРАВОЧНИК!$F$15*(('ФАКТ ЧИСТ К1'!X11)*СПРАВОЧНИК!$L$15+('ФАКТ ЧИСТ К1'!Y11)*СПРАВОЧНИК!$M$15+('ФАКТ ЧИСТ К1'!Z11)*СПРАВОЧНИК!$N$15)</f>
        <v/>
      </c>
      <c r="AA20" s="18">
        <f>AA19+7</f>
        <v/>
      </c>
      <c r="AB20" s="37">
        <f>'ПЛАН ЧЕРН К1'!B11*СПРАВОЧНИК!$H$9+'ПЛАН ЧЕРН К1'!C11*СПРАВОЧНИК!$I$9+'ПЛАН ЧЕРН К1'!D11*СПРАВОЧНИК!$J$9+'ПЛАН ЧЕРН К1'!E11*СПРАВОЧНИК!$H$10+'ПЛАН ЧЕРН К1'!F11*СПРАВОЧНИК!$I$10+'ПЛАН ЧЕРН К1'!G11*СПРАВОЧНИК!$J$10+'ПЛАН ЧЕРН К1'!H11*СПРАВОЧНИК!$H$11+'ПЛАН ЧЕРН К1'!I11*СПРАВОЧНИК!$I$11+'ПЛАН ЧЕРН К1'!J11*СПРАВОЧНИК!$J$11+'ПЛАН ЧЕРН К1'!K11*СПРАВОЧНИК!$H$12+'ПЛАН ЧЕРН К1'!L11*СПРАВОЧНИК!$I$12+'ПЛАН ЧЕРН К1'!M11*СПРАВОЧНИК!$J$12+'ПЛАН ЧЕРН К1'!N11*СПРАВОЧНИК!$H$13+'ПЛАН ЧЕРН К1'!O11*СПРАВОЧНИК!$I$13+'ПЛАН ЧЕРН К1'!P11*СПРАВОЧНИК!$J$13+'ПЛАН ЧЕРН К1'!Q11*СПРАВОЧНИК!$H$14+'ПЛАН ЧЕРН К1'!R11*СПРАВОЧНИК!$I$14+'ПЛАН ЧЕРН К1'!S11*СПРАВОЧНИК!$J$14+'ПЛАН ЧЕРН К1'!T11*СПРАВОЧНИК!$H$15+'ПЛАН ЧЕРН К1'!U11*СПРАВОЧНИК!$I$15+'ПЛАН ЧЕРН К1'!V11*СПРАВОЧНИК!$J$15</f>
        <v/>
      </c>
      <c r="AC20" s="40">
        <f>('ФАКТ ЧЕРН К1'!B11)*СПРАВОЧНИК!$H$9+('ФАКТ ЧЕРН К1'!C11)*СПРАВОЧНИК!$I$9+('ФАКТ ЧЕРН К1'!D11)*СПРАВОЧНИК!$J$9+('ФАКТ ЧЕРН К1'!E11)*СПРАВОЧНИК!$H$10+('ФАКТ ЧЕРН К1'!F11)*СПРАВОЧНИК!$I$10+('ФАКТ ЧЕРН К1'!G11)*СПРАВОЧНИК!$J$10+('ФАКТ ЧЕРН К1'!H11)*СПРАВОЧНИК!$H$11+('ФАКТ ЧЕРН К1'!I11)*СПРАВОЧНИК!$I$11+('ФАКТ ЧЕРН К1'!J11)*СПРАВОЧНИК!$J$11+('ФАКТ ЧЕРН К1'!K11)*СПРАВОЧНИК!$H$12+('ФАКТ ЧЕРН К1'!L11)*СПРАВОЧНИК!$I$12+('ФАКТ ЧЕРН К1'!M11)*СПРАВОЧНИК!$J$12+('ФАКТ ЧЕРН К1'!N11)*СПРАВОЧНИК!$H$13+('ФАКТ ЧЕРН К1'!O11)*СПРАВОЧНИК!$I$13+('ФАКТ ЧЕРН К1'!P11)*СПРАВОЧНИК!$J$13+('ФАКТ ЧЕРН К1'!Q11)*СПРАВОЧНИК!$H$14+('ФАКТ ЧЕРН К1'!R11)*СПРАВОЧНИК!$I$14+('ФАКТ ЧЕРН К1'!S11)*СПРАВОЧНИК!$J$14+('ФАКТ ЧЕРН К1'!T11)*СПРАВОЧНИК!$H$15+('ФАКТ ЧЕРН К1'!U11)*СПРАВОЧНИК!$I$15+('ФАКТ ЧЕРН К1'!V11)*СПРАВОЧНИК!$J$15</f>
        <v/>
      </c>
      <c r="AG20" s="18">
        <f>AG19+7</f>
        <v/>
      </c>
      <c r="AH20" s="37">
        <f>'ПЛАН ЧИСТ К1'!B11*СПРАВОЧНИК!$L$9+'ПЛАН ЧИСТ К1'!C11*СПРАВОЧНИК!$M$9+'ПЛАН ЧИСТ К1'!D11*СПРАВОЧНИК!$N$9+'ПЛАН ЧИСТ К1'!E11*СПРАВОЧНИК!$O$9+'ПЛАН ЧИСТ К1'!F11*СПРАВОЧНИК!$L$10+'ПЛАН ЧИСТ К1'!G11*СПРАВОЧНИК!$M$10+'ПЛАН ЧИСТ К1'!H11*СПРАВОЧНИК!$N$10+'ПЛАН ЧИСТ К1'!I11*СПРАВОЧНИК!$O$10+'ПЛАН ЧИСТ К1'!J11*СПРАВОЧНИК!$L$11+'ПЛАН ЧИСТ К1'!K11*СПРАВОЧНИК!$M$11+'ПЛАН ЧИСТ К1'!L11*СПРАВОЧНИК!$N$11+'ПЛАН ЧИСТ К1'!M11*СПРАВОЧНИК!$L$12+'ПЛАН ЧИСТ К1'!N11*СПРАВОЧНИК!$M$12+'ПЛАН ЧИСТ К1'!O11*СПРАВОЧНИК!$N$12+'ПЛАН ЧИСТ К1'!P11*СПРАВОЧНИК!$O$12+'ПЛАН ЧИСТ К1'!Q11*СПРАВОЧНИК!$L$13+'ПЛАН ЧИСТ К1'!R11*СПРАВОЧНИК!$M$13+'ПЛАН ЧИСТ К1'!S11*СПРАВОЧНИК!$N$13+'ПЛАН ЧИСТ К1'!T11*СПРАВОЧНИК!$O$13+'ПЛАН ЧИСТ К1'!U11*СПРАВОЧНИК!$L$14+'ПЛАН ЧИСТ К1'!V11*СПРАВОЧНИК!$M$14+'ПЛАН ЧИСТ К1'!W11*СПРАВОЧНИК!$N$14+'ПЛАН ЧИСТ К1'!X11*СПРАВОЧНИК!$L$15+'ПЛАН ЧИСТ К1'!Y11*СПРАВОЧНИК!$M$15+'ПЛАН ЧИСТ К1'!Z11*СПРАВОЧНИК!$N$15</f>
        <v/>
      </c>
      <c r="AI20" s="40">
        <f>('ФАКТ ЧИСТ К1'!B11)*СПРАВОЧНИК!$L$9+('ФАКТ ЧИСТ К1'!C11)*СПРАВОЧНИК!$M$9+('ФАКТ ЧИСТ К1'!D11)*СПРАВОЧНИК!$N$9+('ФАКТ ЧИСТ К1'!E11)*СПРАВОЧНИК!$O$9+('ФАКТ ЧИСТ К1'!F11)*СПРАВОЧНИК!$L$10+('ФАКТ ЧИСТ К1'!G11)*СПРАВОЧНИК!$M$10+('ФАКТ ЧИСТ К1'!H11)*СПРАВОЧНИК!$N$10+('ФАКТ ЧИСТ К1'!I11)*СПРАВОЧНИК!$O$10+('ФАКТ ЧИСТ К1'!J11)*СПРАВОЧНИК!$L$11+('ФАКТ ЧИСТ К1'!K11)*СПРАВОЧНИК!$M$11+('ФАКТ ЧИСТ К1'!L11)*СПРАВОЧНИК!$N$11+('ФАКТ ЧИСТ К1'!M11)*СПРАВОЧНИК!$L$12+('ФАКТ ЧИСТ К1'!N11)*СПРАВОЧНИК!$M$12+('ФАКТ ЧИСТ К1'!O11)*СПРАВОЧНИК!$N$12+('ФАКТ ЧИСТ К1'!P11)*СПРАВОЧНИК!$O$12+('ФАКТ ЧИСТ К1'!Q11)*СПРАВОЧНИК!$L$13+('ФАКТ ЧИСТ К1'!R11)*СПРАВОЧНИК!$M$13+('ФАКТ ЧИСТ К1'!S11)*СПРАВОЧНИК!$N$13+('ФАКТ ЧИСТ К1'!T11)*СПРАВОЧНИК!$O$13+('ФАКТ ЧИСТ К1'!U11)*СПРАВОЧНИК!$L$14+('ФАКТ ЧИСТ К1'!V11)*СПРАВОЧНИК!$M$14+('ФАКТ ЧИСТ К1'!W11)*СПРАВОЧНИК!$N$14+('ФАКТ ЧИСТ К1'!X11)*СПРАВОЧНИК!$L$15+('ФАКТ ЧИСТ К1'!Y11)*СПРАВОЧНИК!$M$15+('ФАКТ ЧИСТ К1'!Z11)*СПРАВОЧНИК!$N$15</f>
        <v/>
      </c>
      <c r="AM20" s="18">
        <f>AM19+7</f>
        <v/>
      </c>
      <c r="AN20" s="37">
        <f>СПРАВОЧНИК!$E$9*('ПЛАН ЧЕРН К2'!B11*СПРАВОЧНИК!$H$9+'ПЛАН ЧЕРН К2'!C11*СПРАВОЧНИК!$I$9+'ПЛАН ЧЕРН К2'!D11*СПРАВОЧНИК!$J$9)+СПРАВОЧНИК!$E$10*('ПЛАН ЧЕРН К2'!E11*СПРАВОЧНИК!$H$10+'ПЛАН ЧЕРН К2'!F11*СПРАВОЧНИК!$I$10+'ПЛАН ЧЕРН К2'!G11*СПРАВОЧНИК!$J$10)+СПРАВОЧНИК!$E$11*('ПЛАН ЧЕРН К2'!H11*СПРАВОЧНИК!$H$11+'ПЛАН ЧЕРН К2'!I11*СПРАВОЧНИК!$I$11+'ПЛАН ЧЕРН К2'!J11*СПРАВОЧНИК!$J$11)+СПРАВОЧНИК!$E$12*('ПЛАН ЧЕРН К2'!K11*СПРАВОЧНИК!$H$12+'ПЛАН ЧЕРН К2'!L11*СПРАВОЧНИК!$I$12+'ПЛАН ЧЕРН К2'!M11*СПРАВОЧНИК!$J$12)+СПРАВОЧНИК!$E$13*('ПЛАН ЧЕРН К2'!N11*СПРАВОЧНИК!$H$13+'ПЛАН ЧЕРН К2'!O11*СПРАВОЧНИК!$I$13+'ПЛАН ЧЕРН К2'!P11*СПРАВОЧНИК!$J$13)+СПРАВОЧНИК!$E$14*('ПЛАН ЧЕРН К2'!Q11*СПРАВОЧНИК!$H$14+'ПЛАН ЧЕРН К2'!R11*СПРАВОЧНИК!$I$14+'ПЛАН ЧЕРН К2'!S11*СПРАВОЧНИК!$J$14)+СПРАВОЧНИК!$E$15*('ПЛАН ЧЕРН К2'!T11*СПРАВОЧНИК!$H$15+'ПЛАН ЧЕРН К2'!U11*СПРАВОЧНИК!$I$15+'ПЛАН ЧЕРН К2'!V11*СПРАВОЧНИК!$J$15)+СПРАВОЧНИК!$F$9*('ПЛАН ЧИСТ К2'!B11*СПРАВОЧНИК!$L$9+'ПЛАН ЧИСТ К2'!C11*СПРАВОЧНИК!$M$9+'ПЛАН ЧИСТ К2'!D11*СПРАВОЧНИК!$N$9+'ПЛАН ЧИСТ К2'!E11*СПРАВОЧНИК!$O$9)+СПРАВОЧНИК!$F$10*('ПЛАН ЧИСТ К2'!F11*СПРАВОЧНИК!$L$10+'ПЛАН ЧИСТ К2'!G11*СПРАВОЧНИК!$M$10+'ПЛАН ЧИСТ К2'!H11*СПРАВОЧНИК!$N$10+'ПЛАН ЧИСТ К2'!I11*СПРАВОЧНИК!$O$10)+СПРАВОЧНИК!$F$11*('ПЛАН ЧИСТ К2'!J11*СПРАВОЧНИК!$L$11+'ПЛАН ЧИСТ К2'!K11*СПРАВОЧНИК!$M$11+'ПЛАН ЧИСТ К2'!L11*СПРАВОЧНИК!$N$11)+СПРАВОЧНИК!$F$12*('ПЛАН ЧИСТ К2'!M11*СПРАВОЧНИК!$L$12+'ПЛАН ЧИСТ К2'!N11*СПРАВОЧНИК!$M$12+'ПЛАН ЧИСТ К2'!O11*СПРАВОЧНИК!$N$12+'ПЛАН ЧИСТ К2'!P11*СПРАВОЧНИК!$O$12)+СПРАВОЧНИК!$F$13*('ПЛАН ЧИСТ К2'!Q11*СПРАВОЧНИК!$L$13+'ПЛАН ЧИСТ К2'!R11*СПРАВОЧНИК!$M$13+'ПЛАН ЧИСТ К2'!S11*СПРАВОЧНИК!$N$13+'ПЛАН ЧИСТ К2'!T11*СПРАВОЧНИК!$O$13)+СПРАВОЧНИК!$F$14*('ПЛАН ЧИСТ К2'!U11*СПРАВОЧНИК!$L$14+'ПЛАН ЧИСТ К2'!V11*СПРАВОЧНИК!$M$14+'ПЛАН ЧИСТ К2'!W11*СПРАВОЧНИК!$N$14)+СПРАВОЧНИК!$F$15*('ПЛАН ЧИСТ К2'!X11*СПРАВОЧНИК!$L$15+'ПЛАН ЧИСТ К2'!Y11*СПРАВОЧНИК!$M$15+'ПЛАН ЧИСТ К2'!Z11*СПРАВОЧНИК!$N$15)</f>
        <v/>
      </c>
      <c r="AO20" s="40">
        <f>СПРАВОЧНИК!$E$9*(('ФАКТ ЧЕРН К2'!B11)*СПРАВОЧНИК!$H$9+('ФАКТ ЧЕРН К2'!C11)*СПРАВОЧНИК!$I$9+('ФАКТ ЧЕРН К2'!D11)*СПРАВОЧНИК!$J$9)+СПРАВОЧНИК!$E$10*(('ФАКТ ЧЕРН К2'!E11)*СПРАВОЧНИК!$H$10+('ФАКТ ЧЕРН К2'!F11)*СПРАВОЧНИК!$I$10+('ФАКТ ЧЕРН К2'!G11)*СПРАВОЧНИК!$J$10)+СПРАВОЧНИК!$E$11*(('ФАКТ ЧЕРН К2'!H11)*СПРАВОЧНИК!$H$11+('ФАКТ ЧЕРН К2'!I11)*СПРАВОЧНИК!$I$11+('ФАКТ ЧЕРН К2'!J11)*СПРАВОЧНИК!$J$11)+СПРАВОЧНИК!$E$12*(('ФАКТ ЧЕРН К2'!K11)*СПРАВОЧНИК!$H$12+('ФАКТ ЧЕРН К2'!L11)*СПРАВОЧНИК!$I$12+('ФАКТ ЧЕРН К2'!M11)*СПРАВОЧНИК!$J$12)+СПРАВОЧНИК!$E$13*(('ФАКТ ЧЕРН К2'!N11)*СПРАВОЧНИК!$H$13+('ФАКТ ЧЕРН К2'!O11)*СПРАВОЧНИК!$I$13+('ФАКТ ЧЕРН К2'!P11)*СПРАВОЧНИК!$J$13)+СПРАВОЧНИК!$E$14*(('ФАКТ ЧЕРН К2'!Q11)*СПРАВОЧНИК!$H$14+('ФАКТ ЧЕРН К2'!R11)*СПРАВОЧНИК!$I$14+('ФАКТ ЧЕРН К2'!S11)*СПРАВОЧНИК!$J$14)+СПРАВОЧНИК!$E$15*(('ФАКТ ЧЕРН К2'!T11)*СПРАВОЧНИК!$H$15+('ФАКТ ЧЕРН К2'!U11)*СПРАВОЧНИК!$I$15+('ФАКТ ЧЕРН К2'!V11)*СПРАВОЧНИК!$J$15)+СПРАВОЧНИК!$F$9*(('ФАКТ ЧИСТ К2'!B11)*СПРАВОЧНИК!$L$9+('ФАКТ ЧИСТ К2'!C11)*СПРАВОЧНИК!$M$9+('ФАКТ ЧИСТ К2'!D11)*СПРАВОЧНИК!$N$9+('ФАКТ ЧИСТ К2'!E11)*СПРАВОЧНИК!$O$9)+СПРАВОЧНИК!$F$10*(('ФАКТ ЧИСТ К2'!F11)*СПРАВОЧНИК!$L$10+('ФАКТ ЧИСТ К2'!G11)*СПРАВОЧНИК!$M$10+('ФАКТ ЧИСТ К2'!H11)*СПРАВОЧНИК!$N$10+('ФАКТ ЧИСТ К2'!I11)*СПРАВОЧНИК!$O$10)+СПРАВОЧНИК!$F$11*(('ФАКТ ЧИСТ К2'!J11)*СПРАВОЧНИК!$L$11+('ФАКТ ЧИСТ К2'!K11)*СПРАВОЧНИК!$M$11+('ФАКТ ЧИСТ К2'!L11)*СПРАВОЧНИК!$N$11)+СПРАВОЧНИК!$F$12*(('ФАКТ ЧИСТ К2'!M11)*СПРАВОЧНИК!$L$12+('ФАКТ ЧИСТ К2'!N11)*СПРАВОЧНИК!$M$12+('ФАКТ ЧИСТ К2'!O11)*СПРАВОЧНИК!$N$12+('ФАКТ ЧИСТ К2'!P11)*СПРАВОЧНИК!$O$12)+СПРАВОЧНИК!$F$13*(('ФАКТ ЧИСТ К2'!Q11)*СПРАВОЧНИК!$L$13+('ФАКТ ЧИСТ К2'!R11)*СПРАВОЧНИК!$M$13+('ФАКТ ЧИСТ К2'!S11)*СПРАВОЧНИК!$N$13+('ФАКТ ЧИСТ К2'!T11)*СПРАВОЧНИК!$O$13)+СПРАВОЧНИК!$F$14*(('ФАКТ ЧИСТ К2'!U11)*СПРАВОЧНИК!$L$14+('ФАКТ ЧИСТ К2'!V11)*СПРАВОЧНИК!$M$14+('ФАКТ ЧИСТ К2'!W11)*СПРАВОЧНИК!$N$14)+СПРАВОЧНИК!$F$15*(('ФАКТ ЧИСТ К2'!X11)*СПРАВОЧНИК!$L$15+('ФАКТ ЧИСТ К2'!Y11)*СПРАВОЧНИК!$M$15+('ФАКТ ЧИСТ К2'!Z11)*СПРАВОЧНИК!$N$15)</f>
        <v/>
      </c>
      <c r="AS20" s="18">
        <f>AS19+7</f>
        <v/>
      </c>
      <c r="AT20" s="37">
        <f>'ПЛАН ЧЕРН К2'!B11*СПРАВОЧНИК!$H$9+'ПЛАН ЧЕРН К2'!C11*СПРАВОЧНИК!$I$9+'ПЛАН ЧЕРН К2'!D11*СПРАВОЧНИК!$J$9+'ПЛАН ЧЕРН К2'!E11*СПРАВОЧНИК!$H$10+'ПЛАН ЧЕРН К2'!F11*СПРАВОЧНИК!$I$10+'ПЛАН ЧЕРН К2'!G11*СПРАВОЧНИК!$J$10+'ПЛАН ЧЕРН К2'!H11*СПРАВОЧНИК!$H$11+'ПЛАН ЧЕРН К2'!I11*СПРАВОЧНИК!$I$11+'ПЛАН ЧЕРН К2'!J11*СПРАВОЧНИК!$J$11+'ПЛАН ЧЕРН К2'!K11*СПРАВОЧНИК!$H$12+'ПЛАН ЧЕРН К2'!L11*СПРАВОЧНИК!$I$12+'ПЛАН ЧЕРН К2'!M11*СПРАВОЧНИК!$J$12+'ПЛАН ЧЕРН К2'!N11*СПРАВОЧНИК!$H$13+'ПЛАН ЧЕРН К2'!O11*СПРАВОЧНИК!$I$13+'ПЛАН ЧЕРН К2'!P11*СПРАВОЧНИК!$J$13+'ПЛАН ЧЕРН К2'!Q11*СПРАВОЧНИК!$H$14+'ПЛАН ЧЕРН К2'!R11*СПРАВОЧНИК!$I$14+'ПЛАН ЧЕРН К2'!S11*СПРАВОЧНИК!$J$14+'ПЛАН ЧЕРН К2'!T11*СПРАВОЧНИК!$H$15+'ПЛАН ЧЕРН К2'!U11*СПРАВОЧНИК!$I$15+'ПЛАН ЧЕРН К2'!V11*СПРАВОЧНИК!$J$15</f>
        <v/>
      </c>
      <c r="AU20" s="40">
        <f>('ФАКТ ЧЕРН К2'!B11)*СПРАВОЧНИК!$H$9+('ФАКТ ЧЕРН К2'!C11)*СПРАВОЧНИК!$I$9+('ФАКТ ЧЕРН К2'!D11)*СПРАВОЧНИК!$J$9+('ФАКТ ЧЕРН К2'!E11)*СПРАВОЧНИК!$H$10+('ФАКТ ЧЕРН К2'!F11)*СПРАВОЧНИК!$I$10+('ФАКТ ЧЕРН К2'!G11)*СПРАВОЧНИК!$J$10+('ФАКТ ЧЕРН К2'!H11)*СПРАВОЧНИК!$H$11+('ФАКТ ЧЕРН К2'!I11)*СПРАВОЧНИК!$I$11+('ФАКТ ЧЕРН К2'!J11)*СПРАВОЧНИК!$J$11+('ФАКТ ЧЕРН К2'!K11)*СПРАВОЧНИК!$H$12+('ФАКТ ЧЕРН К2'!L11)*СПРАВОЧНИК!$I$12+('ФАКТ ЧЕРН К2'!M11)*СПРАВОЧНИК!$J$12+('ФАКТ ЧЕРН К2'!N11)*СПРАВОЧНИК!$H$13+('ФАКТ ЧЕРН К2'!O11)*СПРАВОЧНИК!$I$13+('ФАКТ ЧЕРН К2'!P11)*СПРАВОЧНИК!$J$13+('ФАКТ ЧЕРН К2'!Q11)*СПРАВОЧНИК!$H$14+('ФАКТ ЧЕРН К2'!R11)*СПРАВОЧНИК!$I$14+('ФАКТ ЧЕРН К2'!S11)*СПРАВОЧНИК!$J$14+('ФАКТ ЧЕРН К2'!T11)*СПРАВОЧНИК!$H$15+('ФАКТ ЧЕРН К2'!U11)*СПРАВОЧНИК!$I$15+('ФАКТ ЧЕРН К2'!V11)*СПРАВОЧНИК!$J$15</f>
        <v/>
      </c>
      <c r="AY20" s="18">
        <f>AY19+7</f>
        <v/>
      </c>
      <c r="AZ20" s="37">
        <f>'ПЛАН ЧИСТ К2'!B11*СПРАВОЧНИК!$L$9+'ПЛАН ЧИСТ К2'!C11*СПРАВОЧНИК!$M$9+'ПЛАН ЧИСТ К2'!D11*СПРАВОЧНИК!$N$9+'ПЛАН ЧИСТ К2'!E11*СПРАВОЧНИК!$O$9+'ПЛАН ЧИСТ К2'!F11*СПРАВОЧНИК!$L$10+'ПЛАН ЧИСТ К2'!G11*СПРАВОЧНИК!$M$10+'ПЛАН ЧИСТ К2'!H11*СПРАВОЧНИК!$N$10+'ПЛАН ЧИСТ К2'!I11*СПРАВОЧНИК!$O$10+'ПЛАН ЧИСТ К2'!J11*СПРАВОЧНИК!$L$11+'ПЛАН ЧИСТ К2'!K11*СПРАВОЧНИК!$M$11+'ПЛАН ЧИСТ К2'!L11*СПРАВОЧНИК!$N$11+'ПЛАН ЧИСТ К2'!M11*СПРАВОЧНИК!$L$12+'ПЛАН ЧИСТ К2'!N11*СПРАВОЧНИК!$M$12+'ПЛАН ЧИСТ К2'!O11*СПРАВОЧНИК!$N$12+'ПЛАН ЧИСТ К2'!P11*СПРАВОЧНИК!$O$12+'ПЛАН ЧИСТ К2'!Q11*СПРАВОЧНИК!$L$13+'ПЛАН ЧИСТ К2'!R11*СПРАВОЧНИК!$M$13+'ПЛАН ЧИСТ К2'!S11*СПРАВОЧНИК!$N$13+'ПЛАН ЧИСТ К2'!T11*СПРАВОЧНИК!$O$13+'ПЛАН ЧИСТ К2'!U11*СПРАВОЧНИК!$L$14+'ПЛАН ЧИСТ К2'!V11*СПРАВОЧНИК!$M$14+'ПЛАН ЧИСТ К2'!W11*СПРАВОЧНИК!$N$14+'ПЛАН ЧИСТ К2'!X11*СПРАВОЧНИК!$L$15+'ПЛАН ЧИСТ К2'!Y11*СПРАВОЧНИК!$M$15+'ПЛАН ЧИСТ К2'!Z11*СПРАВОЧНИК!$N$15</f>
        <v/>
      </c>
      <c r="BA20" s="40">
        <f>('ФАКТ ЧИСТ К2'!B11)*СПРАВОЧНИК!$L$9+('ФАКТ ЧИСТ К2'!C11)*СПРАВОЧНИК!$M$9+('ФАКТ ЧИСТ К2'!D11)*СПРАВОЧНИК!$N$9+('ФАКТ ЧИСТ К2'!E11)*СПРАВОЧНИК!$O$9+('ФАКТ ЧИСТ К2'!F11)*СПРАВОЧНИК!$L$10+('ФАКТ ЧИСТ К2'!G11)*СПРАВОЧНИК!$M$10+('ФАКТ ЧИСТ К2'!H11)*СПРАВОЧНИК!$N$10+('ФАКТ ЧИСТ К2'!I11)*СПРАВОЧНИК!$O$10+('ФАКТ ЧИСТ К2'!J11)*СПРАВОЧНИК!$L$11+('ФАКТ ЧИСТ К2'!K11)*СПРАВОЧНИК!$M$11+('ФАКТ ЧИСТ К2'!L11)*СПРАВОЧНИК!$N$11+('ФАКТ ЧИСТ К2'!M11)*СПРАВОЧНИК!$L$12+('ФАКТ ЧИСТ К2'!N11)*СПРАВОЧНИК!$M$12+('ФАКТ ЧИСТ К2'!O11)*СПРАВОЧНИК!$N$12+('ФАКТ ЧИСТ К2'!P11)*СПРАВОЧНИК!$O$12+('ФАКТ ЧИСТ К2'!Q11)*СПРАВОЧНИК!$L$13+('ФАКТ ЧИСТ К2'!R11)*СПРАВОЧНИК!$M$13+('ФАКТ ЧИСТ К2'!S11)*СПРАВОЧНИК!$N$13+('ФАКТ ЧИСТ К2'!T11)*СПРАВОЧНИК!$O$13+('ФАКТ ЧИСТ К2'!U11)*СПРАВОЧНИК!$L$14+('ФАКТ ЧИСТ К2'!V11)*СПРАВОЧНИК!$M$14+('ФАКТ ЧИСТ К2'!W11)*СПРАВОЧНИК!$N$14+('ФАКТ ЧИСТ К2'!X11)*СПРАВОЧНИК!$L$15+('ФАКТ ЧИСТ К2'!Y11)*СПРАВОЧНИК!$M$15+('ФАКТ ЧИСТ К2'!Z11)*СПРАВОЧНИК!$N$15</f>
        <v/>
      </c>
      <c r="BE20" s="18">
        <f>BE19+7</f>
        <v/>
      </c>
      <c r="BF20" s="37">
        <f>СПРАВОЧНИК!$E$9*('ПЛАН ЧЕРН К3'!B11*СПРАВОЧНИК!$H$9+'ПЛАН ЧЕРН К3'!C11*СПРАВОЧНИК!$I$9+'ПЛАН ЧЕРН К3'!D11*СПРАВОЧНИК!$J$9)+СПРАВОЧНИК!$E$10*('ПЛАН ЧЕРН К3'!E11*СПРАВОЧНИК!$H$10+'ПЛАН ЧЕРН К3'!F11*СПРАВОЧНИК!$I$10+'ПЛАН ЧЕРН К3'!G11*СПРАВОЧНИК!$J$10)+СПРАВОЧНИК!$E$11*('ПЛАН ЧЕРН К3'!H11*СПРАВОЧНИК!$H$11+'ПЛАН ЧЕРН К3'!I11*СПРАВОЧНИК!$I$11+'ПЛАН ЧЕРН К3'!J11*СПРАВОЧНИК!$J$11)+СПРАВОЧНИК!$E$12*('ПЛАН ЧЕРН К3'!K11*СПРАВОЧНИК!$H$12+'ПЛАН ЧЕРН К3'!L11*СПРАВОЧНИК!$I$12+'ПЛАН ЧЕРН К3'!M11*СПРАВОЧНИК!$J$12)+СПРАВОЧНИК!$E$13*('ПЛАН ЧЕРН К3'!N11*СПРАВОЧНИК!$H$13+'ПЛАН ЧЕРН К3'!O11*СПРАВОЧНИК!$I$13+'ПЛАН ЧЕРН К3'!P11*СПРАВОЧНИК!$J$13)+СПРАВОЧНИК!$E$14*('ПЛАН ЧЕРН К3'!Q11*СПРАВОЧНИК!$H$14+'ПЛАН ЧЕРН К3'!R11*СПРАВОЧНИК!$I$14+'ПЛАН ЧЕРН К3'!S11*СПРАВОЧНИК!$J$14)+СПРАВОЧНИК!$E$15*('ПЛАН ЧЕРН К3'!T11*СПРАВОЧНИК!$H$15+'ПЛАН ЧЕРН К3'!U11*СПРАВОЧНИК!$I$15+'ПЛАН ЧЕРН К3'!V11*СПРАВОЧНИК!$J$15)+СПРАВОЧНИК!$F$9*('ПЛАН ЧИСТ К3'!B11*СПРАВОЧНИК!$L$9+'ПЛАН ЧИСТ К3'!C11*СПРАВОЧНИК!$M$9+'ПЛАН ЧИСТ К3'!D11*СПРАВОЧНИК!$N$9+'ПЛАН ЧИСТ К3'!E11*СПРАВОЧНИК!$O$9)+СПРАВОЧНИК!$F$10*('ПЛАН ЧИСТ К3'!F11*СПРАВОЧНИК!$L$10+'ПЛАН ЧИСТ К3'!G11*СПРАВОЧНИК!$M$10+'ПЛАН ЧИСТ К3'!H11*СПРАВОЧНИК!$N$10+'ПЛАН ЧИСТ К3'!I11*СПРАВОЧНИК!$O$10)+СПРАВОЧНИК!$F$11*('ПЛАН ЧИСТ К3'!J11*СПРАВОЧНИК!$L$11+'ПЛАН ЧИСТ К3'!K11*СПРАВОЧНИК!$M$11+'ПЛАН ЧИСТ К3'!L11*СПРАВОЧНИК!$N$11)+СПРАВОЧНИК!$F$12*('ПЛАН ЧИСТ К3'!M11*СПРАВОЧНИК!$L$12+'ПЛАН ЧИСТ К3'!N11*СПРАВОЧНИК!$M$12+'ПЛАН ЧИСТ К3'!O11*СПРАВОЧНИК!$N$12+'ПЛАН ЧИСТ К3'!P11*СПРАВОЧНИК!$O$12)+СПРАВОЧНИК!$F$13*('ПЛАН ЧИСТ К3'!Q11*СПРАВОЧНИК!$L$13+'ПЛАН ЧИСТ К3'!R11*СПРАВОЧНИК!$M$13+'ПЛАН ЧИСТ К3'!S11*СПРАВОЧНИК!$N$13+'ПЛАН ЧИСТ К3'!T11*СПРАВОЧНИК!$O$13)+СПРАВОЧНИК!$F$14*('ПЛАН ЧИСТ К3'!U11*СПРАВОЧНИК!$L$14+'ПЛАН ЧИСТ К3'!V11*СПРАВОЧНИК!$M$14+'ПЛАН ЧИСТ К3'!W11*СПРАВОЧНИК!$N$14)+СПРАВОЧНИК!$F$15*('ПЛАН ЧИСТ К3'!X11*СПРАВОЧНИК!$L$15+'ПЛАН ЧИСТ К3'!Y11*СПРАВОЧНИК!$M$15+'ПЛАН ЧИСТ К3'!Z11*СПРАВОЧНИК!$N$15)</f>
        <v/>
      </c>
      <c r="BG20" s="40">
        <f>СПРАВОЧНИК!$E$9*(('ФАКТ ЧЕРН К3'!B11)*СПРАВОЧНИК!$H$9+('ФАКТ ЧЕРН К3'!C11)*СПРАВОЧНИК!$I$9+('ФАКТ ЧЕРН К3'!D11)*СПРАВОЧНИК!$J$9)+СПРАВОЧНИК!$E$10*(('ФАКТ ЧЕРН К3'!E11)*СПРАВОЧНИК!$H$10+('ФАКТ ЧЕРН К3'!F11)*СПРАВОЧНИК!$I$10+('ФАКТ ЧЕРН К3'!G11)*СПРАВОЧНИК!$J$10)+СПРАВОЧНИК!$E$11*(('ФАКТ ЧЕРН К3'!H11)*СПРАВОЧНИК!$H$11+('ФАКТ ЧЕРН К3'!I11)*СПРАВОЧНИК!$I$11+('ФАКТ ЧЕРН К3'!J11)*СПРАВОЧНИК!$J$11)+СПРАВОЧНИК!$E$12*(('ФАКТ ЧЕРН К3'!K11)*СПРАВОЧНИК!$H$12+('ФАКТ ЧЕРН К3'!L11)*СПРАВОЧНИК!$I$12+('ФАКТ ЧЕРН К3'!M11)*СПРАВОЧНИК!$J$12)+СПРАВОЧНИК!$E$13*(('ФАКТ ЧЕРН К3'!N11)*СПРАВОЧНИК!$H$13+('ФАКТ ЧЕРН К3'!O11)*СПРАВОЧНИК!$I$13+('ФАКТ ЧЕРН К3'!P11)*СПРАВОЧНИК!$J$13)+СПРАВОЧНИК!$E$14*(('ФАКТ ЧЕРН К3'!Q11)*СПРАВОЧНИК!$H$14+('ФАКТ ЧЕРН К3'!R11)*СПРАВОЧНИК!$I$14+('ФАКТ ЧЕРН К3'!S11)*СПРАВОЧНИК!$J$14)+СПРАВОЧНИК!$E$15*(('ФАКТ ЧЕРН К3'!T11)*СПРАВОЧНИК!$H$15+('ФАКТ ЧЕРН К3'!U11)*СПРАВОЧНИК!$I$15+('ФАКТ ЧЕРН К3'!V11)*СПРАВОЧНИК!$J$15)+СПРАВОЧНИК!$F$9*(('ФАКТ ЧИСТ К3'!B11)*СПРАВОЧНИК!$L$9+('ФАКТ ЧИСТ К3'!C11)*СПРАВОЧНИК!$M$9+('ФАКТ ЧИСТ К3'!D11)*СПРАВОЧНИК!$N$9+('ФАКТ ЧИСТ К3'!E11)*СПРАВОЧНИК!$O$9)+СПРАВОЧНИК!$F$10*(('ФАКТ ЧИСТ К3'!F11)*СПРАВОЧНИК!$L$10+('ФАКТ ЧИСТ К3'!G11)*СПРАВОЧНИК!$M$10+('ФАКТ ЧИСТ К3'!H11)*СПРАВОЧНИК!$N$10+('ФАКТ ЧИСТ К3'!I11)*СПРАВОЧНИК!$O$10)+СПРАВОЧНИК!$F$11*(('ФАКТ ЧИСТ К3'!J11)*СПРАВОЧНИК!$L$11+('ФАКТ ЧИСТ К3'!K11)*СПРАВОЧНИК!$M$11+('ФАКТ ЧИСТ К3'!L11)*СПРАВОЧНИК!$N$11)+СПРАВОЧНИК!$F$12*(('ФАКТ ЧИСТ К3'!M11)*СПРАВОЧНИК!$L$12+('ФАКТ ЧИСТ К3'!N11)*СПРАВОЧНИК!$M$12+('ФАКТ ЧИСТ К3'!O11)*СПРАВОЧНИК!$N$12+('ФАКТ ЧИСТ К3'!P11)*СПРАВОЧНИК!$O$12)+СПРАВОЧНИК!$F$13*(('ФАКТ ЧИСТ К3'!Q11)*СПРАВОЧНИК!$L$13+('ФАКТ ЧИСТ К3'!R11)*СПРАВОЧНИК!$M$13+('ФАКТ ЧИСТ К3'!S11)*СПРАВОЧНИК!$N$13+('ФАКТ ЧИСТ К3'!T11)*СПРАВОЧНИК!$O$13)+СПРАВОЧНИК!$F$14*(('ФАКТ ЧИСТ К3'!U11)*СПРАВОЧНИК!$L$14+('ФАКТ ЧИСТ К3'!V11)*СПРАВОЧНИК!$M$14+('ФАКТ ЧИСТ К3'!W11)*СПРАВОЧНИК!$N$14)+СПРАВОЧНИК!$F$15*(('ФАКТ ЧИСТ К3'!X11)*СПРАВОЧНИК!$L$15+('ФАКТ ЧИСТ К3'!Y11)*СПРАВОЧНИК!$M$15+('ФАКТ ЧИСТ К3'!Z11)*СПРАВОЧНИК!$N$15)</f>
        <v/>
      </c>
      <c r="BK20" s="18">
        <f>BK19+7</f>
        <v/>
      </c>
      <c r="BL20" s="37">
        <f>'ПЛАН ЧЕРН К3'!B11*СПРАВОЧНИК!$H$9+'ПЛАН ЧЕРН К3'!C11*СПРАВОЧНИК!$I$9+'ПЛАН ЧЕРН К3'!D11*СПРАВОЧНИК!$J$9+'ПЛАН ЧЕРН К3'!E11*СПРАВОЧНИК!$H$10+'ПЛАН ЧЕРН К3'!F11*СПРАВОЧНИК!$I$10+'ПЛАН ЧЕРН К3'!G11*СПРАВОЧНИК!$J$10+'ПЛАН ЧЕРН К3'!H11*СПРАВОЧНИК!$H$11+'ПЛАН ЧЕРН К3'!I11*СПРАВОЧНИК!$I$11+'ПЛАН ЧЕРН К3'!J11*СПРАВОЧНИК!$J$11+'ПЛАН ЧЕРН К3'!K11*СПРАВОЧНИК!$H$12+'ПЛАН ЧЕРН К3'!L11*СПРАВОЧНИК!$I$12+'ПЛАН ЧЕРН К3'!M11*СПРАВОЧНИК!$J$12+'ПЛАН ЧЕРН К3'!N11*СПРАВОЧНИК!$H$13+'ПЛАН ЧЕРН К3'!O11*СПРАВОЧНИК!$I$13+'ПЛАН ЧЕРН К3'!P11*СПРАВОЧНИК!$J$13+'ПЛАН ЧЕРН К3'!Q11*СПРАВОЧНИК!$H$14+'ПЛАН ЧЕРН К3'!R11*СПРАВОЧНИК!$I$14+'ПЛАН ЧЕРН К3'!S11*СПРАВОЧНИК!$J$14+'ПЛАН ЧЕРН К3'!T11*СПРАВОЧНИК!$H$15+'ПЛАН ЧЕРН К3'!U11*СПРАВОЧНИК!$I$15+'ПЛАН ЧЕРН К3'!V11*СПРАВОЧНИК!$J$15</f>
        <v/>
      </c>
      <c r="BM20" s="40">
        <f>('ФАКТ ЧЕРН К3'!B11)*СПРАВОЧНИК!$H$9+('ФАКТ ЧЕРН К3'!C11)*СПРАВОЧНИК!$I$9+('ФАКТ ЧЕРН К3'!D11)*СПРАВОЧНИК!$J$9+('ФАКТ ЧЕРН К3'!E11)*СПРАВОЧНИК!$H$10+('ФАКТ ЧЕРН К3'!F11)*СПРАВОЧНИК!$I$10+('ФАКТ ЧЕРН К3'!G11)*СПРАВОЧНИК!$J$10+('ФАКТ ЧЕРН К3'!H11)*СПРАВОЧНИК!$H$11+('ФАКТ ЧЕРН К3'!I11)*СПРАВОЧНИК!$I$11+('ФАКТ ЧЕРН К3'!J11)*СПРАВОЧНИК!$J$11+('ФАКТ ЧЕРН К3'!K11)*СПРАВОЧНИК!$H$12+('ФАКТ ЧЕРН К3'!L11)*СПРАВОЧНИК!$I$12+('ФАКТ ЧЕРН К3'!M11)*СПРАВОЧНИК!$J$12+('ФАКТ ЧЕРН К3'!N11)*СПРАВОЧНИК!$H$13+('ФАКТ ЧЕРН К3'!O11)*СПРАВОЧНИК!$I$13+('ФАКТ ЧЕРН К3'!P11)*СПРАВОЧНИК!$J$13+('ФАКТ ЧЕРН К3'!Q11)*СПРАВОЧНИК!$H$14+('ФАКТ ЧЕРН К3'!R11)*СПРАВОЧНИК!$I$14+('ФАКТ ЧЕРН К3'!S11)*СПРАВОЧНИК!$J$14+('ФАКТ ЧЕРН К3'!T11)*СПРАВОЧНИК!$H$15+('ФАКТ ЧЕРН К3'!U11)*СПРАВОЧНИК!$I$15+('ФАКТ ЧЕРН К3'!V11)*СПРАВОЧНИК!$J$15</f>
        <v/>
      </c>
      <c r="BQ20" s="18">
        <f>BQ19+7</f>
        <v/>
      </c>
      <c r="BR20" s="37">
        <f>'ПЛАН ЧИСТ К3'!B11*СПРАВОЧНИК!$L$9+'ПЛАН ЧИСТ К3'!C11*СПРАВОЧНИК!$M$9+'ПЛАН ЧИСТ К3'!D11*СПРАВОЧНИК!$N$9+'ПЛАН ЧИСТ К3'!E11*СПРАВОЧНИК!$O$9+'ПЛАН ЧИСТ К3'!F11*СПРАВОЧНИК!$L$10+'ПЛАН ЧИСТ К3'!G11*СПРАВОЧНИК!$M$10+'ПЛАН ЧИСТ К3'!H11*СПРАВОЧНИК!$N$10+'ПЛАН ЧИСТ К3'!I11*СПРАВОЧНИК!$O$10+'ПЛАН ЧИСТ К3'!J11*СПРАВОЧНИК!$L$11+'ПЛАН ЧИСТ К3'!K11*СПРАВОЧНИК!$M$11+'ПЛАН ЧИСТ К3'!L11*СПРАВОЧНИК!$N$11+'ПЛАН ЧИСТ К3'!M11*СПРАВОЧНИК!$L$12+'ПЛАН ЧИСТ К3'!N11*СПРАВОЧНИК!$M$12+'ПЛАН ЧИСТ К3'!O11*СПРАВОЧНИК!$N$12+'ПЛАН ЧИСТ К3'!P11*СПРАВОЧНИК!$O$12+'ПЛАН ЧИСТ К3'!Q11*СПРАВОЧНИК!$L$13+'ПЛАН ЧИСТ К3'!R11*СПРАВОЧНИК!$M$13+'ПЛАН ЧИСТ К3'!S11*СПРАВОЧНИК!$N$13+'ПЛАН ЧИСТ К3'!T11*СПРАВОЧНИК!$O$13+'ПЛАН ЧИСТ К3'!U11*СПРАВОЧНИК!$L$14+'ПЛАН ЧИСТ К3'!V11*СПРАВОЧНИК!$M$14+'ПЛАН ЧИСТ К3'!W11*СПРАВОЧНИК!$N$14+'ПЛАН ЧИСТ К3'!X11*СПРАВОЧНИК!$L$15+'ПЛАН ЧИСТ К3'!Y11*СПРАВОЧНИК!$M$15+'ПЛАН ЧИСТ К3'!Z11*СПРАВОЧНИК!$N$15</f>
        <v/>
      </c>
      <c r="BS20" s="40">
        <f>('ФАКТ ЧИСТ К3'!B11)*СПРАВОЧНИК!$L$9+('ФАКТ ЧИСТ К3'!C11)*СПРАВОЧНИК!$M$9+('ФАКТ ЧИСТ К3'!D11)*СПРАВОЧНИК!$N$9+('ФАКТ ЧИСТ К3'!E11)*СПРАВОЧНИК!$O$9+('ФАКТ ЧИСТ К3'!F11)*СПРАВОЧНИК!$L$10+('ФАКТ ЧИСТ К3'!G11)*СПРАВОЧНИК!$M$10+('ФАКТ ЧИСТ К3'!H11)*СПРАВОЧНИК!$N$10+('ФАКТ ЧИСТ К3'!I11)*СПРАВОЧНИК!$O$10+('ФАКТ ЧИСТ К3'!J11)*СПРАВОЧНИК!$L$11+('ФАКТ ЧИСТ К3'!K11)*СПРАВОЧНИК!$M$11+('ФАКТ ЧИСТ К3'!L11)*СПРАВОЧНИК!$N$11+('ФАКТ ЧИСТ К3'!M11)*СПРАВОЧНИК!$L$12+('ФАКТ ЧИСТ К3'!N11)*СПРАВОЧНИК!$M$12+('ФАКТ ЧИСТ К3'!O11)*СПРАВОЧНИК!$N$12+('ФАКТ ЧИСТ К3'!P11)*СПРАВОЧНИК!$O$12+('ФАКТ ЧИСТ К3'!Q11)*СПРАВОЧНИК!$L$13+('ФАКТ ЧИСТ К3'!R11)*СПРАВОЧНИК!$M$13+('ФАКТ ЧИСТ К3'!S11)*СПРАВОЧНИК!$N$13+('ФАКТ ЧИСТ К3'!T11)*СПРАВОЧНИК!$O$13+('ФАКТ ЧИСТ К3'!U11)*СПРАВОЧНИК!$L$14+('ФАКТ ЧИСТ К3'!V11)*СПРАВОЧНИК!$M$14+('ФАКТ ЧИСТ К3'!W11)*СПРАВОЧНИК!$N$14+('ФАКТ ЧИСТ К3'!X11)*СПРАВОЧНИК!$L$15+('ФАКТ ЧИСТ К3'!Y11)*СПРАВОЧНИК!$M$15+('ФАКТ ЧИСТ К3'!Z11)*СПРАВОЧНИК!$N$15</f>
        <v/>
      </c>
      <c r="BW20" s="18">
        <f>BW19+7</f>
        <v/>
      </c>
      <c r="BX20" s="37">
        <f>V20+AN20+BF20</f>
        <v/>
      </c>
      <c r="BY20" s="40">
        <f>W20+AO20+BG20</f>
        <v/>
      </c>
      <c r="CC20" s="18">
        <f>CC19+7</f>
        <v/>
      </c>
      <c r="CD20" s="37">
        <f>AB20+AT20+BL20</f>
        <v/>
      </c>
      <c r="CE20" s="40">
        <f>AC20+AU20+BM20</f>
        <v/>
      </c>
      <c r="CI20" s="18">
        <f>CI19+7</f>
        <v/>
      </c>
      <c r="CJ20" s="37">
        <f>AH20+AZ20+BR20</f>
        <v/>
      </c>
      <c r="CK20" s="40">
        <f>AI20+BA20+BS20</f>
        <v/>
      </c>
      <c r="CO20" s="18">
        <f>CO19+7</f>
        <v/>
      </c>
      <c r="CP20" s="37">
        <f>D20+BX20</f>
        <v/>
      </c>
      <c r="CQ20" s="40">
        <f>E20+BY20</f>
        <v/>
      </c>
      <c r="CU20" s="18">
        <f>CU19+7</f>
        <v/>
      </c>
      <c r="CV20" s="37">
        <f>J20+CD20</f>
        <v/>
      </c>
      <c r="CW20" s="40">
        <f>K20+CE20</f>
        <v/>
      </c>
      <c r="DA20" s="18">
        <f>DA19+7</f>
        <v/>
      </c>
      <c r="DB20" s="37">
        <f>P20+CJ20</f>
        <v/>
      </c>
      <c r="DC20" s="40">
        <f>Q20+CK20</f>
        <v/>
      </c>
    </row>
    <row r="21">
      <c r="C21" s="18">
        <f>C20+7</f>
        <v/>
      </c>
      <c r="D21" s="37">
        <f>СПРАВОЧНИК!$E$3*('ПЛАН ЧЕРН ПОДЗЕМ'!B12*СПРАВОЧНИК!$H$3+'ПЛАН ЧЕРН ПОДЗЕМ'!C12*СПРАВОЧНИК!$I$3+'ПЛАН ЧЕРН ПОДЗЕМ'!D12*СПРАВОЧНИК!$J$3)+СПРАВОЧНИК!$E$4*('ПЛАН ЧЕРН ПОДЗЕМ'!E12*СПРАВОЧНИК!$H$4+'ПЛАН ЧЕРН ПОДЗЕМ'!F12*СПРАВОЧНИК!$I$4+'ПЛАН ЧЕРН ПОДЗЕМ'!G12*СПРАВОЧНИК!$J$4)+СПРАВОЧНИК!$E$5*('ПЛАН ЧЕРН ПОДЗЕМ'!H12*СПРАВОЧНИК!$H$5+'ПЛАН ЧЕРН ПОДЗЕМ'!I12*СПРАВОЧНИК!$I$5+'ПЛАН ЧЕРН ПОДЗЕМ'!J12*СПРАВОЧНИК!$J$5)+СПРАВОЧНИК!$E$6*('ПЛАН ЧЕРН ПОДЗЕМ'!K12*СПРАВОЧНИК!$H$6+'ПЛАН ЧЕРН ПОДЗЕМ'!L12*СПРАВОЧНИК!$I$6+'ПЛАН ЧЕРН ПОДЗЕМ'!M12*СПРАВОЧНИК!$J$6)+СПРАВОЧНИК!$E$7*('ПЛАН ЧЕРН ПОДЗЕМ'!N12*СПРАВОЧНИК!$H$7+'ПЛАН ЧЕРН ПОДЗЕМ'!O12*СПРАВОЧНИК!$I$7+'ПЛАН ЧЕРН ПОДЗЕМ'!P12*СПРАВОЧНИК!$J$7)+СПРАВОЧНИК!$E$8*('ПЛАН ЧЕРН ПОДЗЕМ'!Q12*СПРАВОЧНИК!$H$8+'ПЛАН ЧЕРН ПОДЗЕМ'!R12*СПРАВОЧНИК!$I$8+'ПЛАН ЧЕРН ПОДЗЕМ'!S12*СПРАВОЧНИК!$J$8)+СПРАВОЧНИК!$F$3*('ПЛАН ЧИСТ ПОДЗЕМ'!B12*СПРАВОЧНИК!$L$3+'ПЛАН ЧИСТ ПОДЗЕМ'!C12*СПРАВОЧНИК!$M$3+'ПЛАН ЧИСТ ПОДЗЕМ'!D12*СПРАВОЧНИК!$N$3+'ПЛАН ЧИСТ ПОДЗЕМ'!E12*СПРАВОЧНИК!$O$3)+СПРАВОЧНИК!$F$4*('ПЛАН ЧИСТ ПОДЗЕМ'!F12*СПРАВОЧНИК!$L$4+'ПЛАН ЧИСТ ПОДЗЕМ'!G12*СПРАВОЧНИК!$M$4+'ПЛАН ЧИСТ ПОДЗЕМ'!H12*СПРАВОЧНИК!$N$4+'ПЛАН ЧИСТ ПОДЗЕМ'!I12*СПРАВОЧНИК!$O$4)+СПРАВОЧНИК!$F$5*('ПЛАН ЧИСТ ПОДЗЕМ'!J12*СПРАВОЧНИК!$L$5+'ПЛАН ЧИСТ ПОДЗЕМ'!K12*СПРАВОЧНИК!$M$5+'ПЛАН ЧИСТ ПОДЗЕМ'!L12*СПРАВОЧНИК!$N$5)+СПРАВОЧНИК!$F$6*('ПЛАН ЧИСТ ПОДЗЕМ'!M12*СПРАВОЧНИК!$L$6+'ПЛАН ЧИСТ ПОДЗЕМ'!N12*СПРАВОЧНИК!$M$6+'ПЛАН ЧИСТ ПОДЗЕМ'!O12*СПРАВОЧНИК!$N$6+'ПЛАН ЧИСТ ПОДЗЕМ'!P12*СПРАВОЧНИК!$O$6)+СПРАВОЧНИК!$F$7*('ПЛАН ЧИСТ ПОДЗЕМ'!Q12*СПРАВОЧНИК!$L$7+'ПЛАН ЧИСТ ПОДЗЕМ'!R12*СПРАВОЧНИК!$M$7+'ПЛАН ЧИСТ ПОДЗЕМ'!S12*СПРАВОЧНИК!$N$7+'ПЛАН ЧИСТ ПОДЗЕМ'!T12*СПРАВОЧНИК!$O$7)+СПРАВОЧНИК!$F$8*('ПЛАН ЧИСТ ПОДЗЕМ'!U12*СПРАВОЧНИК!$L$8+'ПЛАН ЧИСТ ПОДЗЕМ'!V12*СПРАВОЧНИК!$M$8+'ПЛАН ЧИСТ ПОДЗЕМ'!W12*СПРАВОЧНИК!$N$8)</f>
        <v/>
      </c>
      <c r="E21" s="40">
        <f>СПРАВОЧНИК!$E$3*(('ФАКТ ЧЕРН ПОДЗЕМ'!B12)*СПРАВОЧНИК!$H$3+('ФАКТ ЧЕРН ПОДЗЕМ'!C12)*СПРАВОЧНИК!$I$3+('ФАКТ ЧЕРН ПОДЗЕМ'!D12)*СПРАВОЧНИК!$J$3)+СПРАВОЧНИК!$E$4*(('ФАКТ ЧЕРН ПОДЗЕМ'!E12)*СПРАВОЧНИК!$H$4+('ФАКТ ЧЕРН ПОДЗЕМ'!F12)*СПРАВОЧНИК!$I$4+('ФАКТ ЧЕРН ПОДЗЕМ'!G12)*СПРАВОЧНИК!$J$4)+СПРАВОЧНИК!$E$5*(('ФАКТ ЧЕРН ПОДЗЕМ'!H12)*СПРАВОЧНИК!$H$5+('ФАКТ ЧЕРН ПОДЗЕМ'!I12)*СПРАВОЧНИК!$I$5+('ФАКТ ЧЕРН ПОДЗЕМ'!J12)*СПРАВОЧНИК!$J$5)+СПРАВОЧНИК!$E$6*(('ФАКТ ЧЕРН ПОДЗЕМ'!K12)*СПРАВОЧНИК!$H$6+('ФАКТ ЧЕРН ПОДЗЕМ'!L12)*СПРАВОЧНИК!$I$6+('ФАКТ ЧЕРН ПОДЗЕМ'!M12)*СПРАВОЧНИК!$J$6)+СПРАВОЧНИК!$E$7*(('ФАКТ ЧЕРН ПОДЗЕМ'!N12)*СПРАВОЧНИК!$H$7+('ФАКТ ЧЕРН ПОДЗЕМ'!O12)*СПРАВОЧНИК!$I$7+('ФАКТ ЧЕРН ПОДЗЕМ'!P12)*СПРАВОЧНИК!$J$7)+СПРАВОЧНИК!$E$8*(('ФАКТ ЧЕРН ПОДЗЕМ'!Q12)*СПРАВОЧНИК!$H$8+('ФАКТ ЧЕРН ПОДЗЕМ'!R12)*СПРАВОЧНИК!$I$8+('ФАКТ ЧЕРН ПОДЗЕМ'!S12)*СПРАВОЧНИК!$J$8)+СПРАВОЧНИК!$F$3*(('ФАКТ ЧИСТ ПОДЗЕМ'!B12)*СПРАВОЧНИК!$L$3+('ФАКТ ЧИСТ ПОДЗЕМ'!C12)*СПРАВОЧНИК!$M$3+('ФАКТ ЧИСТ ПОДЗЕМ'!D12)*СПРАВОЧНИК!$N$3+('ФАКТ ЧИСТ ПОДЗЕМ'!E12)*СПРАВОЧНИК!$O$3)+СПРАВОЧНИК!$F$4*(('ФАКТ ЧИСТ ПОДЗЕМ'!F12)*СПРАВОЧНИК!$L$4+('ФАКТ ЧИСТ ПОДЗЕМ'!G12)*СПРАВОЧНИК!$M$4+('ФАКТ ЧИСТ ПОДЗЕМ'!H12)*СПРАВОЧНИК!$N$4+('ФАКТ ЧИСТ ПОДЗЕМ'!I12)*СПРАВОЧНИК!$O$4)+СПРАВОЧНИК!$F$5*(('ФАКТ ЧИСТ ПОДЗЕМ'!J12)*СПРАВОЧНИК!$L$5+('ФАКТ ЧИСТ ПОДЗЕМ'!K12)*СПРАВОЧНИК!$M$5+('ФАКТ ЧИСТ ПОДЗЕМ'!L12)*СПРАВОЧНИК!$N$5)+СПРАВОЧНИК!$F$6*(('ФАКТ ЧИСТ ПОДЗЕМ'!M12)*СПРАВОЧНИК!$L$6+('ФАКТ ЧИСТ ПОДЗЕМ'!N12)*СПРАВОЧНИК!$M$6+('ФАКТ ЧИСТ ПОДЗЕМ'!O12)*СПРАВОЧНИК!$N$6+('ФАКТ ЧИСТ ПОДЗЕМ'!P12)*СПРАВОЧНИК!$O$6)+СПРАВОЧНИК!$F$7*(('ФАКТ ЧИСТ ПОДЗЕМ'!Q12)*СПРАВОЧНИК!$L$7+('ФАКТ ЧИСТ ПОДЗЕМ'!R12)*СПРАВОЧНИК!$M$7+('ФАКТ ЧИСТ ПОДЗЕМ'!S12)*СПРАВОЧНИК!$N$7+('ФАКТ ЧИСТ ПОДЗЕМ'!T12)*СПРАВОЧНИК!$O$7)+СПРАВОЧНИК!$F$8*(('ФАКТ ЧИСТ ПОДЗЕМ'!U12)*СПРАВОЧНИК!$L$8+('ФАКТ ЧИСТ ПОДЗЕМ'!V12)*СПРАВОЧНИК!$M$8+('ФАКТ ЧИСТ ПОДЗЕМ'!W12)*СПРАВОЧНИК!$N$8)</f>
        <v/>
      </c>
      <c r="I21" s="18">
        <f>I20+7</f>
        <v/>
      </c>
      <c r="J21" s="37">
        <f>'ПЛАН ЧЕРН ПОДЗЕМ'!B12*СПРАВОЧНИК!$H$3+'ПЛАН ЧЕРН ПОДЗЕМ'!C12*СПРАВОЧНИК!$I$3+'ПЛАН ЧЕРН ПОДЗЕМ'!D12*СПРАВОЧНИК!$J$3+'ПЛАН ЧЕРН ПОДЗЕМ'!E12*СПРАВОЧНИК!$H$4+'ПЛАН ЧЕРН ПОДЗЕМ'!F12*СПРАВОЧНИК!$I$4+'ПЛАН ЧЕРН ПОДЗЕМ'!G12*СПРАВОЧНИК!$J$4+'ПЛАН ЧЕРН ПОДЗЕМ'!H12*СПРАВОЧНИК!$H$5+'ПЛАН ЧЕРН ПОДЗЕМ'!I12*СПРАВОЧНИК!$I$5+'ПЛАН ЧЕРН ПОДЗЕМ'!J12*СПРАВОЧНИК!$J$5+'ПЛАН ЧЕРН ПОДЗЕМ'!K12*СПРАВОЧНИК!$H$6+'ПЛАН ЧЕРН ПОДЗЕМ'!L12*СПРАВОЧНИК!$I$6+'ПЛАН ЧЕРН ПОДЗЕМ'!M12*СПРАВОЧНИК!$J$6+'ПЛАН ЧЕРН ПОДЗЕМ'!N12*СПРАВОЧНИК!$H$7+'ПЛАН ЧЕРН ПОДЗЕМ'!O12*СПРАВОЧНИК!$I$7+'ПЛАН ЧЕРН ПОДЗЕМ'!P12*СПРАВОЧНИК!$J$7+'ПЛАН ЧЕРН ПОДЗЕМ'!Q12*СПРАВОЧНИК!$H$8+'ПЛАН ЧЕРН ПОДЗЕМ'!R12*СПРАВОЧНИК!$I$8+'ПЛАН ЧЕРН ПОДЗЕМ'!S12*СПРАВОЧНИК!$J$8</f>
        <v/>
      </c>
      <c r="K21" s="40">
        <f>('ФАКТ ЧЕРН ПОДЗЕМ'!B12)*СПРАВОЧНИК!$H$3+('ФАКТ ЧЕРН ПОДЗЕМ'!C12)*СПРАВОЧНИК!$I$3+('ФАКТ ЧЕРН ПОДЗЕМ'!D12)*СПРАВОЧНИК!$J$3+('ФАКТ ЧЕРН ПОДЗЕМ'!E12)*СПРАВОЧНИК!$H$4+('ФАКТ ЧЕРН ПОДЗЕМ'!F12)*СПРАВОЧНИК!$I$4+('ФАКТ ЧЕРН ПОДЗЕМ'!G12)*СПРАВОЧНИК!$J$4+('ФАКТ ЧЕРН ПОДЗЕМ'!H12)*СПРАВОЧНИК!$H$5+('ФАКТ ЧЕРН ПОДЗЕМ'!I12)*СПРАВОЧНИК!$I$5+('ФАКТ ЧЕРН ПОДЗЕМ'!J12)*СПРАВОЧНИК!$J$5+('ФАКТ ЧЕРН ПОДЗЕМ'!K12)*СПРАВОЧНИК!$H$6+('ФАКТ ЧЕРН ПОДЗЕМ'!L12)*СПРАВОЧНИК!$I$6+('ФАКТ ЧЕРН ПОДЗЕМ'!M12)*СПРАВОЧНИК!$J$6+('ФАКТ ЧЕРН ПОДЗЕМ'!N12)*СПРАВОЧНИК!$H$7+('ФАКТ ЧЕРН ПОДЗЕМ'!O12)*СПРАВОЧНИК!$I$7+('ФАКТ ЧЕРН ПОДЗЕМ'!P12)*СПРАВОЧНИК!$J$7+('ФАКТ ЧЕРН ПОДЗЕМ'!Q12)*СПРАВОЧНИК!$H$8+('ФАКТ ЧЕРН ПОДЗЕМ'!R12)*СПРАВОЧНИК!$I$8+('ФАКТ ЧЕРН ПОДЗЕМ'!S12)*СПРАВОЧНИК!$J$8</f>
        <v/>
      </c>
      <c r="O21" s="18">
        <f>O20+7</f>
        <v/>
      </c>
      <c r="P21" s="37">
        <f>'ПЛАН ЧИСТ ПОДЗЕМ'!B12*СПРАВОЧНИК!$L$3+'ПЛАН ЧИСТ ПОДЗЕМ'!C12*СПРАВОЧНИК!$M$3+'ПЛАН ЧИСТ ПОДЗЕМ'!D12*СПРАВОЧНИК!$N$3+'ПЛАН ЧИСТ ПОДЗЕМ'!E12*СПРАВОЧНИК!$O$3+'ПЛАН ЧИСТ ПОДЗЕМ'!F12*СПРАВОЧНИК!$L$4+'ПЛАН ЧИСТ ПОДЗЕМ'!G12*СПРАВОЧНИК!$M$4+'ПЛАН ЧИСТ ПОДЗЕМ'!H12*СПРАВОЧНИК!$N$4+'ПЛАН ЧИСТ ПОДЗЕМ'!I12*СПРАВОЧНИК!$O$4+'ПЛАН ЧИСТ ПОДЗЕМ'!J12*СПРАВОЧНИК!$L$5+'ПЛАН ЧИСТ ПОДЗЕМ'!K12*СПРАВОЧНИК!$M$5+'ПЛАН ЧИСТ ПОДЗЕМ'!L12*СПРАВОЧНИК!$N$5+'ПЛАН ЧИСТ ПОДЗЕМ'!M12*СПРАВОЧНИК!$L$6+'ПЛАН ЧИСТ ПОДЗЕМ'!N12*СПРАВОЧНИК!$M$6+'ПЛАН ЧИСТ ПОДЗЕМ'!O12*СПРАВОЧНИК!$N$6+'ПЛАН ЧИСТ ПОДЗЕМ'!P12*СПРАВОЧНИК!$O$6+'ПЛАН ЧИСТ ПОДЗЕМ'!Q12*СПРАВОЧНИК!$L$7+'ПЛАН ЧИСТ ПОДЗЕМ'!R12*СПРАВОЧНИК!$M$7+'ПЛАН ЧИСТ ПОДЗЕМ'!S12*СПРАВОЧНИК!$N$7+'ПЛАН ЧИСТ ПОДЗЕМ'!T12*СПРАВОЧНИК!$O$7+'ПЛАН ЧИСТ ПОДЗЕМ'!U12*СПРАВОЧНИК!$L$8+'ПЛАН ЧИСТ ПОДЗЕМ'!V12*СПРАВОЧНИК!$M$8+'ПЛАН ЧИСТ ПОДЗЕМ'!W12*СПРАВОЧНИК!$N$8</f>
        <v/>
      </c>
      <c r="Q21" s="40">
        <f>('ФАКТ ЧИСТ ПОДЗЕМ'!B12)*СПРАВОЧНИК!$L$3+('ФАКТ ЧИСТ ПОДЗЕМ'!C12)*СПРАВОЧНИК!$M$3+('ФАКТ ЧИСТ ПОДЗЕМ'!D12)*СПРАВОЧНИК!$N$3+('ФАКТ ЧИСТ ПОДЗЕМ'!E12)*СПРАВОЧНИК!$O$3+('ФАКТ ЧИСТ ПОДЗЕМ'!F12)*СПРАВОЧНИК!$L$4+('ФАКТ ЧИСТ ПОДЗЕМ'!G12)*СПРАВОЧНИК!$M$4+('ФАКТ ЧИСТ ПОДЗЕМ'!H12)*СПРАВОЧНИК!$N$4+('ФАКТ ЧИСТ ПОДЗЕМ'!I12)*СПРАВОЧНИК!$O$4+('ФАКТ ЧИСТ ПОДЗЕМ'!J12)*СПРАВОЧНИК!$L$5+('ФАКТ ЧИСТ ПОДЗЕМ'!K12)*СПРАВОЧНИК!$M$5+('ФАКТ ЧИСТ ПОДЗЕМ'!L12)*СПРАВОЧНИК!$N$5+('ФАКТ ЧИСТ ПОДЗЕМ'!M12)*СПРАВОЧНИК!$L$6+('ФАКТ ЧИСТ ПОДЗЕМ'!N12)*СПРАВОЧНИК!$M$6+('ФАКТ ЧИСТ ПОДЗЕМ'!O12)*СПРАВОЧНИК!$N$6+('ФАКТ ЧИСТ ПОДЗЕМ'!P12)*СПРАВОЧНИК!$O$6+('ФАКТ ЧИСТ ПОДЗЕМ'!Q12)*СПРАВОЧНИК!$L$7+('ФАКТ ЧИСТ ПОДЗЕМ'!R12)*СПРАВОЧНИК!$M$7+('ФАКТ ЧИСТ ПОДЗЕМ'!S12)*СПРАВОЧНИК!$N$7+('ФАКТ ЧИСТ ПОДЗЕМ'!T12)*СПРАВОЧНИК!$O$7+('ФАКТ ЧИСТ ПОДЗЕМ'!U12)*СПРАВОЧНИК!$L$8+('ФАКТ ЧИСТ ПОДЗЕМ'!V12)*СПРАВОЧНИК!$M$8+('ФАКТ ЧИСТ ПОДЗЕМ'!W12)*СПРАВОЧНИК!$N$8</f>
        <v/>
      </c>
      <c r="U21" s="18">
        <f>U20+7</f>
        <v/>
      </c>
      <c r="V21" s="37">
        <f>СПРАВОЧНИК!$E$9*('ПЛАН ЧЕРН К1'!B12*СПРАВОЧНИК!$H$9+'ПЛАН ЧЕРН К1'!C12*СПРАВОЧНИК!$I$9+'ПЛАН ЧЕРН К1'!D12*СПРАВОЧНИК!$J$9)+СПРАВОЧНИК!$E$10*('ПЛАН ЧЕРН К1'!E12*СПРАВОЧНИК!$H$10+'ПЛАН ЧЕРН К1'!F12*СПРАВОЧНИК!$I$10+'ПЛАН ЧЕРН К1'!G12*СПРАВОЧНИК!$J$10)+СПРАВОЧНИК!$E$11*('ПЛАН ЧЕРН К1'!H12*СПРАВОЧНИК!$H$11+'ПЛАН ЧЕРН К1'!I12*СПРАВОЧНИК!$I$11+'ПЛАН ЧЕРН К1'!J12*СПРАВОЧНИК!$J$11)+СПРАВОЧНИК!$E$12*('ПЛАН ЧЕРН К1'!K12*СПРАВОЧНИК!$H$12+'ПЛАН ЧЕРН К1'!L12*СПРАВОЧНИК!$I$12+'ПЛАН ЧЕРН К1'!M12*СПРАВОЧНИК!$J$12)+СПРАВОЧНИК!$E$13*('ПЛАН ЧЕРН К1'!N12*СПРАВОЧНИК!$H$13+'ПЛАН ЧЕРН К1'!O12*СПРАВОЧНИК!$I$13+'ПЛАН ЧЕРН К1'!P12*СПРАВОЧНИК!$J$13)+СПРАВОЧНИК!$E$14*('ПЛАН ЧЕРН К1'!Q12*СПРАВОЧНИК!$H$14+'ПЛАН ЧЕРН К1'!R12*СПРАВОЧНИК!$I$14+'ПЛАН ЧЕРН К1'!S12*СПРАВОЧНИК!$J$14)+СПРАВОЧНИК!$E$15*('ПЛАН ЧЕРН К1'!T12*СПРАВОЧНИК!$H$15+'ПЛАН ЧЕРН К1'!U12*СПРАВОЧНИК!$I$15+'ПЛАН ЧЕРН К1'!V12*СПРАВОЧНИК!$J$15)+СПРАВОЧНИК!$F$9*('ПЛАН ЧИСТ К1'!B12*СПРАВОЧНИК!$L$9+'ПЛАН ЧИСТ К1'!C12*СПРАВОЧНИК!$M$9+'ПЛАН ЧИСТ К1'!D12*СПРАВОЧНИК!$N$9+'ПЛАН ЧИСТ К1'!E12*СПРАВОЧНИК!$O$9)+СПРАВОЧНИК!$F$10*('ПЛАН ЧИСТ К1'!F12*СПРАВОЧНИК!$L$10+'ПЛАН ЧИСТ К1'!G12*СПРАВОЧНИК!$M$10+'ПЛАН ЧИСТ К1'!H12*СПРАВОЧНИК!$N$10+'ПЛАН ЧИСТ К1'!I12*СПРАВОЧНИК!$O$10)+СПРАВОЧНИК!$F$11*('ПЛАН ЧИСТ К1'!J12*СПРАВОЧНИК!$L$11+'ПЛАН ЧИСТ К1'!K12*СПРАВОЧНИК!$M$11+'ПЛАН ЧИСТ К1'!L12*СПРАВОЧНИК!$N$11)+СПРАВОЧНИК!$F$12*('ПЛАН ЧИСТ К1'!M12*СПРАВОЧНИК!$L$12+'ПЛАН ЧИСТ К1'!N12*СПРАВОЧНИК!$M$12+'ПЛАН ЧИСТ К1'!O12*СПРАВОЧНИК!$N$12+'ПЛАН ЧИСТ К1'!P12*СПРАВОЧНИК!$O$12)+СПРАВОЧНИК!$F$13*('ПЛАН ЧИСТ К1'!Q12*СПРАВОЧНИК!$L$13+'ПЛАН ЧИСТ К1'!R12*СПРАВОЧНИК!$M$13+'ПЛАН ЧИСТ К1'!S12*СПРАВОЧНИК!$N$13+'ПЛАН ЧИСТ К1'!T12*СПРАВОЧНИК!$O$13)+СПРАВОЧНИК!$F$14*('ПЛАН ЧИСТ К1'!U12*СПРАВОЧНИК!$L$14+'ПЛАН ЧИСТ К1'!V12*СПРАВОЧНИК!$M$14+'ПЛАН ЧИСТ К1'!W12*СПРАВОЧНИК!$N$14)+СПРАВОЧНИК!$F$15*('ПЛАН ЧИСТ К1'!X12*СПРАВОЧНИК!$L$15+'ПЛАН ЧИСТ К1'!Y12*СПРАВОЧНИК!$M$15+'ПЛАН ЧИСТ К1'!Z12*СПРАВОЧНИК!$N$15)</f>
        <v/>
      </c>
      <c r="W21" s="40">
        <f>СПРАВОЧНИК!$E$9*(('ФАКТ ЧЕРН К1'!B12)*СПРАВОЧНИК!$H$9+('ФАКТ ЧЕРН К1'!C12)*СПРАВОЧНИК!$I$9+('ФАКТ ЧЕРН К1'!D12)*СПРАВОЧНИК!$J$9)+СПРАВОЧНИК!$E$10*(('ФАКТ ЧЕРН К1'!E12)*СПРАВОЧНИК!$H$10+('ФАКТ ЧЕРН К1'!F12)*СПРАВОЧНИК!$I$10+('ФАКТ ЧЕРН К1'!G12)*СПРАВОЧНИК!$J$10)+СПРАВОЧНИК!$E$11*(('ФАКТ ЧЕРН К1'!H12)*СПРАВОЧНИК!$H$11+('ФАКТ ЧЕРН К1'!I12)*СПРАВОЧНИК!$I$11+('ФАКТ ЧЕРН К1'!J12)*СПРАВОЧНИК!$J$11)+СПРАВОЧНИК!$E$12*(('ФАКТ ЧЕРН К1'!K12)*СПРАВОЧНИК!$H$12+('ФАКТ ЧЕРН К1'!L12)*СПРАВОЧНИК!$I$12+('ФАКТ ЧЕРН К1'!M12)*СПРАВОЧНИК!$J$12)+СПРАВОЧНИК!$E$13*(('ФАКТ ЧЕРН К1'!N12)*СПРАВОЧНИК!$H$13+('ФАКТ ЧЕРН К1'!O12)*СПРАВОЧНИК!$I$13+('ФАКТ ЧЕРН К1'!P12)*СПРАВОЧНИК!$J$13)+СПРАВОЧНИК!$E$14*(('ФАКТ ЧЕРН К1'!Q12)*СПРАВОЧНИК!$H$14+('ФАКТ ЧЕРН К1'!R12)*СПРАВОЧНИК!$I$14+('ФАКТ ЧЕРН К1'!S12)*СПРАВОЧНИК!$J$14)+СПРАВОЧНИК!$E$15*(('ФАКТ ЧЕРН К1'!T12)*СПРАВОЧНИК!$H$15+('ФАКТ ЧЕРН К1'!U12)*СПРАВОЧНИК!$I$15+('ФАКТ ЧЕРН К1'!V12)*СПРАВОЧНИК!$J$15)+СПРАВОЧНИК!$F$9*(('ФАКТ ЧИСТ К1'!B12)*СПРАВОЧНИК!$L$9+('ФАКТ ЧИСТ К1'!C12)*СПРАВОЧНИК!$M$9+('ФАКТ ЧИСТ К1'!D12)*СПРАВОЧНИК!$N$9+('ФАКТ ЧИСТ К1'!E12)*СПРАВОЧНИК!$O$9)+СПРАВОЧНИК!$F$10*(('ФАКТ ЧИСТ К1'!F12)*СПРАВОЧНИК!$L$10+('ФАКТ ЧИСТ К1'!G12)*СПРАВОЧНИК!$M$10+('ФАКТ ЧИСТ К1'!H12)*СПРАВОЧНИК!$N$10+('ФАКТ ЧИСТ К1'!I12)*СПРАВОЧНИК!$O$10)+СПРАВОЧНИК!$F$11*(('ФАКТ ЧИСТ К1'!J12)*СПРАВОЧНИК!$L$11+('ФАКТ ЧИСТ К1'!K12)*СПРАВОЧНИК!$M$11+('ФАКТ ЧИСТ К1'!L12)*СПРАВОЧНИК!$N$11)+СПРАВОЧНИК!$F$12*(('ФАКТ ЧИСТ К1'!M12)*СПРАВОЧНИК!$L$12+('ФАКТ ЧИСТ К1'!N12)*СПРАВОЧНИК!$M$12+('ФАКТ ЧИСТ К1'!O12)*СПРАВОЧНИК!$N$12+('ФАКТ ЧИСТ К1'!P12)*СПРАВОЧНИК!$O$12)+СПРАВОЧНИК!$F$13*(('ФАКТ ЧИСТ К1'!Q12)*СПРАВОЧНИК!$L$13+('ФАКТ ЧИСТ К1'!R12)*СПРАВОЧНИК!$M$13+('ФАКТ ЧИСТ К1'!S12)*СПРАВОЧНИК!$N$13+('ФАКТ ЧИСТ К1'!T12)*СПРАВОЧНИК!$O$13)+СПРАВОЧНИК!$F$14*(('ФАКТ ЧИСТ К1'!U12)*СПРАВОЧНИК!$L$14+('ФАКТ ЧИСТ К1'!V12)*СПРАВОЧНИК!$M$14+('ФАКТ ЧИСТ К1'!W12)*СПРАВОЧНИК!$N$14)+СПРАВОЧНИК!$F$15*(('ФАКТ ЧИСТ К1'!X12)*СПРАВОЧНИК!$L$15+('ФАКТ ЧИСТ К1'!Y12)*СПРАВОЧНИК!$M$15+('ФАКТ ЧИСТ К1'!Z12)*СПРАВОЧНИК!$N$15)</f>
        <v/>
      </c>
      <c r="AA21" s="18">
        <f>AA20+7</f>
        <v/>
      </c>
      <c r="AB21" s="37">
        <f>'ПЛАН ЧЕРН К1'!B12*СПРАВОЧНИК!$H$9+'ПЛАН ЧЕРН К1'!C12*СПРАВОЧНИК!$I$9+'ПЛАН ЧЕРН К1'!D12*СПРАВОЧНИК!$J$9+'ПЛАН ЧЕРН К1'!E12*СПРАВОЧНИК!$H$10+'ПЛАН ЧЕРН К1'!F12*СПРАВОЧНИК!$I$10+'ПЛАН ЧЕРН К1'!G12*СПРАВОЧНИК!$J$10+'ПЛАН ЧЕРН К1'!H12*СПРАВОЧНИК!$H$11+'ПЛАН ЧЕРН К1'!I12*СПРАВОЧНИК!$I$11+'ПЛАН ЧЕРН К1'!J12*СПРАВОЧНИК!$J$11+'ПЛАН ЧЕРН К1'!K12*СПРАВОЧНИК!$H$12+'ПЛАН ЧЕРН К1'!L12*СПРАВОЧНИК!$I$12+'ПЛАН ЧЕРН К1'!M12*СПРАВОЧНИК!$J$12+'ПЛАН ЧЕРН К1'!N12*СПРАВОЧНИК!$H$13+'ПЛАН ЧЕРН К1'!O12*СПРАВОЧНИК!$I$13+'ПЛАН ЧЕРН К1'!P12*СПРАВОЧНИК!$J$13+'ПЛАН ЧЕРН К1'!Q12*СПРАВОЧНИК!$H$14+'ПЛАН ЧЕРН К1'!R12*СПРАВОЧНИК!$I$14+'ПЛАН ЧЕРН К1'!S12*СПРАВОЧНИК!$J$14+'ПЛАН ЧЕРН К1'!T12*СПРАВОЧНИК!$H$15+'ПЛАН ЧЕРН К1'!U12*СПРАВОЧНИК!$I$15+'ПЛАН ЧЕРН К1'!V12*СПРАВОЧНИК!$J$15</f>
        <v/>
      </c>
      <c r="AC21" s="40">
        <f>('ФАКТ ЧЕРН К1'!B12)*СПРАВОЧНИК!$H$9+('ФАКТ ЧЕРН К1'!C12)*СПРАВОЧНИК!$I$9+('ФАКТ ЧЕРН К1'!D12)*СПРАВОЧНИК!$J$9+('ФАКТ ЧЕРН К1'!E12)*СПРАВОЧНИК!$H$10+('ФАКТ ЧЕРН К1'!F12)*СПРАВОЧНИК!$I$10+('ФАКТ ЧЕРН К1'!G12)*СПРАВОЧНИК!$J$10+('ФАКТ ЧЕРН К1'!H12)*СПРАВОЧНИК!$H$11+('ФАКТ ЧЕРН К1'!I12)*СПРАВОЧНИК!$I$11+('ФАКТ ЧЕРН К1'!J12)*СПРАВОЧНИК!$J$11+('ФАКТ ЧЕРН К1'!K12)*СПРАВОЧНИК!$H$12+('ФАКТ ЧЕРН К1'!L12)*СПРАВОЧНИК!$I$12+('ФАКТ ЧЕРН К1'!M12)*СПРАВОЧНИК!$J$12+('ФАКТ ЧЕРН К1'!N12)*СПРАВОЧНИК!$H$13+('ФАКТ ЧЕРН К1'!O12)*СПРАВОЧНИК!$I$13+('ФАКТ ЧЕРН К1'!P12)*СПРАВОЧНИК!$J$13+('ФАКТ ЧЕРН К1'!Q12)*СПРАВОЧНИК!$H$14+('ФАКТ ЧЕРН К1'!R12)*СПРАВОЧНИК!$I$14+('ФАКТ ЧЕРН К1'!S12)*СПРАВОЧНИК!$J$14+('ФАКТ ЧЕРН К1'!T12)*СПРАВОЧНИК!$H$15+('ФАКТ ЧЕРН К1'!U12)*СПРАВОЧНИК!$I$15+('ФАКТ ЧЕРН К1'!V12)*СПРАВОЧНИК!$J$15</f>
        <v/>
      </c>
      <c r="AG21" s="18">
        <f>AG20+7</f>
        <v/>
      </c>
      <c r="AH21" s="37">
        <f>'ПЛАН ЧИСТ К1'!B12*СПРАВОЧНИК!$L$9+'ПЛАН ЧИСТ К1'!C12*СПРАВОЧНИК!$M$9+'ПЛАН ЧИСТ К1'!D12*СПРАВОЧНИК!$N$9+'ПЛАН ЧИСТ К1'!E12*СПРАВОЧНИК!$O$9+'ПЛАН ЧИСТ К1'!F12*СПРАВОЧНИК!$L$10+'ПЛАН ЧИСТ К1'!G12*СПРАВОЧНИК!$M$10+'ПЛАН ЧИСТ К1'!H12*СПРАВОЧНИК!$N$10+'ПЛАН ЧИСТ К1'!I12*СПРАВОЧНИК!$O$10+'ПЛАН ЧИСТ К1'!J12*СПРАВОЧНИК!$L$11+'ПЛАН ЧИСТ К1'!K12*СПРАВОЧНИК!$M$11+'ПЛАН ЧИСТ К1'!L12*СПРАВОЧНИК!$N$11+'ПЛАН ЧИСТ К1'!M12*СПРАВОЧНИК!$L$12+'ПЛАН ЧИСТ К1'!N12*СПРАВОЧНИК!$M$12+'ПЛАН ЧИСТ К1'!O12*СПРАВОЧНИК!$N$12+'ПЛАН ЧИСТ К1'!P12*СПРАВОЧНИК!$O$12+'ПЛАН ЧИСТ К1'!Q12*СПРАВОЧНИК!$L$13+'ПЛАН ЧИСТ К1'!R12*СПРАВОЧНИК!$M$13+'ПЛАН ЧИСТ К1'!S12*СПРАВОЧНИК!$N$13+'ПЛАН ЧИСТ К1'!T12*СПРАВОЧНИК!$O$13+'ПЛАН ЧИСТ К1'!U12*СПРАВОЧНИК!$L$14+'ПЛАН ЧИСТ К1'!V12*СПРАВОЧНИК!$M$14+'ПЛАН ЧИСТ К1'!W12*СПРАВОЧНИК!$N$14+'ПЛАН ЧИСТ К1'!X12*СПРАВОЧНИК!$L$15+'ПЛАН ЧИСТ К1'!Y12*СПРАВОЧНИК!$M$15+'ПЛАН ЧИСТ К1'!Z12*СПРАВОЧНИК!$N$15</f>
        <v/>
      </c>
      <c r="AI21" s="40">
        <f>('ФАКТ ЧИСТ К1'!B12)*СПРАВОЧНИК!$L$9+('ФАКТ ЧИСТ К1'!C12)*СПРАВОЧНИК!$M$9+('ФАКТ ЧИСТ К1'!D12)*СПРАВОЧНИК!$N$9+('ФАКТ ЧИСТ К1'!E12)*СПРАВОЧНИК!$O$9+('ФАКТ ЧИСТ К1'!F12)*СПРАВОЧНИК!$L$10+('ФАКТ ЧИСТ К1'!G12)*СПРАВОЧНИК!$M$10+('ФАКТ ЧИСТ К1'!H12)*СПРАВОЧНИК!$N$10+('ФАКТ ЧИСТ К1'!I12)*СПРАВОЧНИК!$O$10+('ФАКТ ЧИСТ К1'!J12)*СПРАВОЧНИК!$L$11+('ФАКТ ЧИСТ К1'!K12)*СПРАВОЧНИК!$M$11+('ФАКТ ЧИСТ К1'!L12)*СПРАВОЧНИК!$N$11+('ФАКТ ЧИСТ К1'!M12)*СПРАВОЧНИК!$L$12+('ФАКТ ЧИСТ К1'!N12)*СПРАВОЧНИК!$M$12+('ФАКТ ЧИСТ К1'!O12)*СПРАВОЧНИК!$N$12+('ФАКТ ЧИСТ К1'!P12)*СПРАВОЧНИК!$O$12+('ФАКТ ЧИСТ К1'!Q12)*СПРАВОЧНИК!$L$13+('ФАКТ ЧИСТ К1'!R12)*СПРАВОЧНИК!$M$13+('ФАКТ ЧИСТ К1'!S12)*СПРАВОЧНИК!$N$13+('ФАКТ ЧИСТ К1'!T12)*СПРАВОЧНИК!$O$13+('ФАКТ ЧИСТ К1'!U12)*СПРАВОЧНИК!$L$14+('ФАКТ ЧИСТ К1'!V12)*СПРАВОЧНИК!$M$14+('ФАКТ ЧИСТ К1'!W12)*СПРАВОЧНИК!$N$14+('ФАКТ ЧИСТ К1'!X12)*СПРАВОЧНИК!$L$15+('ФАКТ ЧИСТ К1'!Y12)*СПРАВОЧНИК!$M$15+('ФАКТ ЧИСТ К1'!Z12)*СПРАВОЧНИК!$N$15</f>
        <v/>
      </c>
      <c r="AM21" s="18">
        <f>AM20+7</f>
        <v/>
      </c>
      <c r="AN21" s="37">
        <f>СПРАВОЧНИК!$E$9*('ПЛАН ЧЕРН К2'!B12*СПРАВОЧНИК!$H$9+'ПЛАН ЧЕРН К2'!C12*СПРАВОЧНИК!$I$9+'ПЛАН ЧЕРН К2'!D12*СПРАВОЧНИК!$J$9)+СПРАВОЧНИК!$E$10*('ПЛАН ЧЕРН К2'!E12*СПРАВОЧНИК!$H$10+'ПЛАН ЧЕРН К2'!F12*СПРАВОЧНИК!$I$10+'ПЛАН ЧЕРН К2'!G12*СПРАВОЧНИК!$J$10)+СПРАВОЧНИК!$E$11*('ПЛАН ЧЕРН К2'!H12*СПРАВОЧНИК!$H$11+'ПЛАН ЧЕРН К2'!I12*СПРАВОЧНИК!$I$11+'ПЛАН ЧЕРН К2'!J12*СПРАВОЧНИК!$J$11)+СПРАВОЧНИК!$E$12*('ПЛАН ЧЕРН К2'!K12*СПРАВОЧНИК!$H$12+'ПЛАН ЧЕРН К2'!L12*СПРАВОЧНИК!$I$12+'ПЛАН ЧЕРН К2'!M12*СПРАВОЧНИК!$J$12)+СПРАВОЧНИК!$E$13*('ПЛАН ЧЕРН К2'!N12*СПРАВОЧНИК!$H$13+'ПЛАН ЧЕРН К2'!O12*СПРАВОЧНИК!$I$13+'ПЛАН ЧЕРН К2'!P12*СПРАВОЧНИК!$J$13)+СПРАВОЧНИК!$E$14*('ПЛАН ЧЕРН К2'!Q12*СПРАВОЧНИК!$H$14+'ПЛАН ЧЕРН К2'!R12*СПРАВОЧНИК!$I$14+'ПЛАН ЧЕРН К2'!S12*СПРАВОЧНИК!$J$14)+СПРАВОЧНИК!$E$15*('ПЛАН ЧЕРН К2'!T12*СПРАВОЧНИК!$H$15+'ПЛАН ЧЕРН К2'!U12*СПРАВОЧНИК!$I$15+'ПЛАН ЧЕРН К2'!V12*СПРАВОЧНИК!$J$15)+СПРАВОЧНИК!$F$9*('ПЛАН ЧИСТ К2'!B12*СПРАВОЧНИК!$L$9+'ПЛАН ЧИСТ К2'!C12*СПРАВОЧНИК!$M$9+'ПЛАН ЧИСТ К2'!D12*СПРАВОЧНИК!$N$9+'ПЛАН ЧИСТ К2'!E12*СПРАВОЧНИК!$O$9)+СПРАВОЧНИК!$F$10*('ПЛАН ЧИСТ К2'!F12*СПРАВОЧНИК!$L$10+'ПЛАН ЧИСТ К2'!G12*СПРАВОЧНИК!$M$10+'ПЛАН ЧИСТ К2'!H12*СПРАВОЧНИК!$N$10+'ПЛАН ЧИСТ К2'!I12*СПРАВОЧНИК!$O$10)+СПРАВОЧНИК!$F$11*('ПЛАН ЧИСТ К2'!J12*СПРАВОЧНИК!$L$11+'ПЛАН ЧИСТ К2'!K12*СПРАВОЧНИК!$M$11+'ПЛАН ЧИСТ К2'!L12*СПРАВОЧНИК!$N$11)+СПРАВОЧНИК!$F$12*('ПЛАН ЧИСТ К2'!M12*СПРАВОЧНИК!$L$12+'ПЛАН ЧИСТ К2'!N12*СПРАВОЧНИК!$M$12+'ПЛАН ЧИСТ К2'!O12*СПРАВОЧНИК!$N$12+'ПЛАН ЧИСТ К2'!P12*СПРАВОЧНИК!$O$12)+СПРАВОЧНИК!$F$13*('ПЛАН ЧИСТ К2'!Q12*СПРАВОЧНИК!$L$13+'ПЛАН ЧИСТ К2'!R12*СПРАВОЧНИК!$M$13+'ПЛАН ЧИСТ К2'!S12*СПРАВОЧНИК!$N$13+'ПЛАН ЧИСТ К2'!T12*СПРАВОЧНИК!$O$13)+СПРАВОЧНИК!$F$14*('ПЛАН ЧИСТ К2'!U12*СПРАВОЧНИК!$L$14+'ПЛАН ЧИСТ К2'!V12*СПРАВОЧНИК!$M$14+'ПЛАН ЧИСТ К2'!W12*СПРАВОЧНИК!$N$14)+СПРАВОЧНИК!$F$15*('ПЛАН ЧИСТ К2'!X12*СПРАВОЧНИК!$L$15+'ПЛАН ЧИСТ К2'!Y12*СПРАВОЧНИК!$M$15+'ПЛАН ЧИСТ К2'!Z12*СПРАВОЧНИК!$N$15)</f>
        <v/>
      </c>
      <c r="AO21" s="40">
        <f>СПРАВОЧНИК!$E$9*(('ФАКТ ЧЕРН К2'!B12)*СПРАВОЧНИК!$H$9+('ФАКТ ЧЕРН К2'!C12)*СПРАВОЧНИК!$I$9+('ФАКТ ЧЕРН К2'!D12)*СПРАВОЧНИК!$J$9)+СПРАВОЧНИК!$E$10*(('ФАКТ ЧЕРН К2'!E12)*СПРАВОЧНИК!$H$10+('ФАКТ ЧЕРН К2'!F12)*СПРАВОЧНИК!$I$10+('ФАКТ ЧЕРН К2'!G12)*СПРАВОЧНИК!$J$10)+СПРАВОЧНИК!$E$11*(('ФАКТ ЧЕРН К2'!H12)*СПРАВОЧНИК!$H$11+('ФАКТ ЧЕРН К2'!I12)*СПРАВОЧНИК!$I$11+('ФАКТ ЧЕРН К2'!J12)*СПРАВОЧНИК!$J$11)+СПРАВОЧНИК!$E$12*(('ФАКТ ЧЕРН К2'!K12)*СПРАВОЧНИК!$H$12+('ФАКТ ЧЕРН К2'!L12)*СПРАВОЧНИК!$I$12+('ФАКТ ЧЕРН К2'!M12)*СПРАВОЧНИК!$J$12)+СПРАВОЧНИК!$E$13*(('ФАКТ ЧЕРН К2'!N12)*СПРАВОЧНИК!$H$13+('ФАКТ ЧЕРН К2'!O12)*СПРАВОЧНИК!$I$13+('ФАКТ ЧЕРН К2'!P12)*СПРАВОЧНИК!$J$13)+СПРАВОЧНИК!$E$14*(('ФАКТ ЧЕРН К2'!Q12)*СПРАВОЧНИК!$H$14+('ФАКТ ЧЕРН К2'!R12)*СПРАВОЧНИК!$I$14+('ФАКТ ЧЕРН К2'!S12)*СПРАВОЧНИК!$J$14)+СПРАВОЧНИК!$E$15*(('ФАКТ ЧЕРН К2'!T12)*СПРАВОЧНИК!$H$15+('ФАКТ ЧЕРН К2'!U12)*СПРАВОЧНИК!$I$15+('ФАКТ ЧЕРН К2'!V12)*СПРАВОЧНИК!$J$15)+СПРАВОЧНИК!$F$9*(('ФАКТ ЧИСТ К2'!B12)*СПРАВОЧНИК!$L$9+('ФАКТ ЧИСТ К2'!C12)*СПРАВОЧНИК!$M$9+('ФАКТ ЧИСТ К2'!D12)*СПРАВОЧНИК!$N$9+('ФАКТ ЧИСТ К2'!E12)*СПРАВОЧНИК!$O$9)+СПРАВОЧНИК!$F$10*(('ФАКТ ЧИСТ К2'!F12)*СПРАВОЧНИК!$L$10+('ФАКТ ЧИСТ К2'!G12)*СПРАВОЧНИК!$M$10+('ФАКТ ЧИСТ К2'!H12)*СПРАВОЧНИК!$N$10+('ФАКТ ЧИСТ К2'!I12)*СПРАВОЧНИК!$O$10)+СПРАВОЧНИК!$F$11*(('ФАКТ ЧИСТ К2'!J12)*СПРАВОЧНИК!$L$11+('ФАКТ ЧИСТ К2'!K12)*СПРАВОЧНИК!$M$11+('ФАКТ ЧИСТ К2'!L12)*СПРАВОЧНИК!$N$11)+СПРАВОЧНИК!$F$12*(('ФАКТ ЧИСТ К2'!M12)*СПРАВОЧНИК!$L$12+('ФАКТ ЧИСТ К2'!N12)*СПРАВОЧНИК!$M$12+('ФАКТ ЧИСТ К2'!O12)*СПРАВОЧНИК!$N$12+('ФАКТ ЧИСТ К2'!P12)*СПРАВОЧНИК!$O$12)+СПРАВОЧНИК!$F$13*(('ФАКТ ЧИСТ К2'!Q12)*СПРАВОЧНИК!$L$13+('ФАКТ ЧИСТ К2'!R12)*СПРАВОЧНИК!$M$13+('ФАКТ ЧИСТ К2'!S12)*СПРАВОЧНИК!$N$13+('ФАКТ ЧИСТ К2'!T12)*СПРАВОЧНИК!$O$13)+СПРАВОЧНИК!$F$14*(('ФАКТ ЧИСТ К2'!U12)*СПРАВОЧНИК!$L$14+('ФАКТ ЧИСТ К2'!V12)*СПРАВОЧНИК!$M$14+('ФАКТ ЧИСТ К2'!W12)*СПРАВОЧНИК!$N$14)+СПРАВОЧНИК!$F$15*(('ФАКТ ЧИСТ К2'!X12)*СПРАВОЧНИК!$L$15+('ФАКТ ЧИСТ К2'!Y12)*СПРАВОЧНИК!$M$15+('ФАКТ ЧИСТ К2'!Z12)*СПРАВОЧНИК!$N$15)</f>
        <v/>
      </c>
      <c r="AS21" s="18">
        <f>AS20+7</f>
        <v/>
      </c>
      <c r="AT21" s="37">
        <f>'ПЛАН ЧЕРН К2'!B12*СПРАВОЧНИК!$H$9+'ПЛАН ЧЕРН К2'!C12*СПРАВОЧНИК!$I$9+'ПЛАН ЧЕРН К2'!D12*СПРАВОЧНИК!$J$9+'ПЛАН ЧЕРН К2'!E12*СПРАВОЧНИК!$H$10+'ПЛАН ЧЕРН К2'!F12*СПРАВОЧНИК!$I$10+'ПЛАН ЧЕРН К2'!G12*СПРАВОЧНИК!$J$10+'ПЛАН ЧЕРН К2'!H12*СПРАВОЧНИК!$H$11+'ПЛАН ЧЕРН К2'!I12*СПРАВОЧНИК!$I$11+'ПЛАН ЧЕРН К2'!J12*СПРАВОЧНИК!$J$11+'ПЛАН ЧЕРН К2'!K12*СПРАВОЧНИК!$H$12+'ПЛАН ЧЕРН К2'!L12*СПРАВОЧНИК!$I$12+'ПЛАН ЧЕРН К2'!M12*СПРАВОЧНИК!$J$12+'ПЛАН ЧЕРН К2'!N12*СПРАВОЧНИК!$H$13+'ПЛАН ЧЕРН К2'!O12*СПРАВОЧНИК!$I$13+'ПЛАН ЧЕРН К2'!P12*СПРАВОЧНИК!$J$13+'ПЛАН ЧЕРН К2'!Q12*СПРАВОЧНИК!$H$14+'ПЛАН ЧЕРН К2'!R12*СПРАВОЧНИК!$I$14+'ПЛАН ЧЕРН К2'!S12*СПРАВОЧНИК!$J$14+'ПЛАН ЧЕРН К2'!T12*СПРАВОЧНИК!$H$15+'ПЛАН ЧЕРН К2'!U12*СПРАВОЧНИК!$I$15+'ПЛАН ЧЕРН К2'!V12*СПРАВОЧНИК!$J$15</f>
        <v/>
      </c>
      <c r="AU21" s="40">
        <f>('ФАКТ ЧЕРН К2'!B12)*СПРАВОЧНИК!$H$9+('ФАКТ ЧЕРН К2'!C12)*СПРАВОЧНИК!$I$9+('ФАКТ ЧЕРН К2'!D12)*СПРАВОЧНИК!$J$9+('ФАКТ ЧЕРН К2'!E12)*СПРАВОЧНИК!$H$10+('ФАКТ ЧЕРН К2'!F12)*СПРАВОЧНИК!$I$10+('ФАКТ ЧЕРН К2'!G12)*СПРАВОЧНИК!$J$10+('ФАКТ ЧЕРН К2'!H12)*СПРАВОЧНИК!$H$11+('ФАКТ ЧЕРН К2'!I12)*СПРАВОЧНИК!$I$11+('ФАКТ ЧЕРН К2'!J12)*СПРАВОЧНИК!$J$11+('ФАКТ ЧЕРН К2'!K12)*СПРАВОЧНИК!$H$12+('ФАКТ ЧЕРН К2'!L12)*СПРАВОЧНИК!$I$12+('ФАКТ ЧЕРН К2'!M12)*СПРАВОЧНИК!$J$12+('ФАКТ ЧЕРН К2'!N12)*СПРАВОЧНИК!$H$13+('ФАКТ ЧЕРН К2'!O12)*СПРАВОЧНИК!$I$13+('ФАКТ ЧЕРН К2'!P12)*СПРАВОЧНИК!$J$13+('ФАКТ ЧЕРН К2'!Q12)*СПРАВОЧНИК!$H$14+('ФАКТ ЧЕРН К2'!R12)*СПРАВОЧНИК!$I$14+('ФАКТ ЧЕРН К2'!S12)*СПРАВОЧНИК!$J$14+('ФАКТ ЧЕРН К2'!T12)*СПРАВОЧНИК!$H$15+('ФАКТ ЧЕРН К2'!U12)*СПРАВОЧНИК!$I$15+('ФАКТ ЧЕРН К2'!V12)*СПРАВОЧНИК!$J$15</f>
        <v/>
      </c>
      <c r="AY21" s="18">
        <f>AY20+7</f>
        <v/>
      </c>
      <c r="AZ21" s="37">
        <f>'ПЛАН ЧИСТ К2'!B12*СПРАВОЧНИК!$L$9+'ПЛАН ЧИСТ К2'!C12*СПРАВОЧНИК!$M$9+'ПЛАН ЧИСТ К2'!D12*СПРАВОЧНИК!$N$9+'ПЛАН ЧИСТ К2'!E12*СПРАВОЧНИК!$O$9+'ПЛАН ЧИСТ К2'!F12*СПРАВОЧНИК!$L$10+'ПЛАН ЧИСТ К2'!G12*СПРАВОЧНИК!$M$10+'ПЛАН ЧИСТ К2'!H12*СПРАВОЧНИК!$N$10+'ПЛАН ЧИСТ К2'!I12*СПРАВОЧНИК!$O$10+'ПЛАН ЧИСТ К2'!J12*СПРАВОЧНИК!$L$11+'ПЛАН ЧИСТ К2'!K12*СПРАВОЧНИК!$M$11+'ПЛАН ЧИСТ К2'!L12*СПРАВОЧНИК!$N$11+'ПЛАН ЧИСТ К2'!M12*СПРАВОЧНИК!$L$12+'ПЛАН ЧИСТ К2'!N12*СПРАВОЧНИК!$M$12+'ПЛАН ЧИСТ К2'!O12*СПРАВОЧНИК!$N$12+'ПЛАН ЧИСТ К2'!P12*СПРАВОЧНИК!$O$12+'ПЛАН ЧИСТ К2'!Q12*СПРАВОЧНИК!$L$13+'ПЛАН ЧИСТ К2'!R12*СПРАВОЧНИК!$M$13+'ПЛАН ЧИСТ К2'!S12*СПРАВОЧНИК!$N$13+'ПЛАН ЧИСТ К2'!T12*СПРАВОЧНИК!$O$13+'ПЛАН ЧИСТ К2'!U12*СПРАВОЧНИК!$L$14+'ПЛАН ЧИСТ К2'!V12*СПРАВОЧНИК!$M$14+'ПЛАН ЧИСТ К2'!W12*СПРАВОЧНИК!$N$14+'ПЛАН ЧИСТ К2'!X12*СПРАВОЧНИК!$L$15+'ПЛАН ЧИСТ К2'!Y12*СПРАВОЧНИК!$M$15+'ПЛАН ЧИСТ К2'!Z12*СПРАВОЧНИК!$N$15</f>
        <v/>
      </c>
      <c r="BA21" s="40">
        <f>('ФАКТ ЧИСТ К2'!B12)*СПРАВОЧНИК!$L$9+('ФАКТ ЧИСТ К2'!C12)*СПРАВОЧНИК!$M$9+('ФАКТ ЧИСТ К2'!D12)*СПРАВОЧНИК!$N$9+('ФАКТ ЧИСТ К2'!E12)*СПРАВОЧНИК!$O$9+('ФАКТ ЧИСТ К2'!F12)*СПРАВОЧНИК!$L$10+('ФАКТ ЧИСТ К2'!G12)*СПРАВОЧНИК!$M$10+('ФАКТ ЧИСТ К2'!H12)*СПРАВОЧНИК!$N$10+('ФАКТ ЧИСТ К2'!I12)*СПРАВОЧНИК!$O$10+('ФАКТ ЧИСТ К2'!J12)*СПРАВОЧНИК!$L$11+('ФАКТ ЧИСТ К2'!K12)*СПРАВОЧНИК!$M$11+('ФАКТ ЧИСТ К2'!L12)*СПРАВОЧНИК!$N$11+('ФАКТ ЧИСТ К2'!M12)*СПРАВОЧНИК!$L$12+('ФАКТ ЧИСТ К2'!N12)*СПРАВОЧНИК!$M$12+('ФАКТ ЧИСТ К2'!O12)*СПРАВОЧНИК!$N$12+('ФАКТ ЧИСТ К2'!P12)*СПРАВОЧНИК!$O$12+('ФАКТ ЧИСТ К2'!Q12)*СПРАВОЧНИК!$L$13+('ФАКТ ЧИСТ К2'!R12)*СПРАВОЧНИК!$M$13+('ФАКТ ЧИСТ К2'!S12)*СПРАВОЧНИК!$N$13+('ФАКТ ЧИСТ К2'!T12)*СПРАВОЧНИК!$O$13+('ФАКТ ЧИСТ К2'!U12)*СПРАВОЧНИК!$L$14+('ФАКТ ЧИСТ К2'!V12)*СПРАВОЧНИК!$M$14+('ФАКТ ЧИСТ К2'!W12)*СПРАВОЧНИК!$N$14+('ФАКТ ЧИСТ К2'!X12)*СПРАВОЧНИК!$L$15+('ФАКТ ЧИСТ К2'!Y12)*СПРАВОЧНИК!$M$15+('ФАКТ ЧИСТ К2'!Z12)*СПРАВОЧНИК!$N$15</f>
        <v/>
      </c>
      <c r="BE21" s="18">
        <f>BE20+7</f>
        <v/>
      </c>
      <c r="BF21" s="37">
        <f>СПРАВОЧНИК!$E$9*('ПЛАН ЧЕРН К3'!B12*СПРАВОЧНИК!$H$9+'ПЛАН ЧЕРН К3'!C12*СПРАВОЧНИК!$I$9+'ПЛАН ЧЕРН К3'!D12*СПРАВОЧНИК!$J$9)+СПРАВОЧНИК!$E$10*('ПЛАН ЧЕРН К3'!E12*СПРАВОЧНИК!$H$10+'ПЛАН ЧЕРН К3'!F12*СПРАВОЧНИК!$I$10+'ПЛАН ЧЕРН К3'!G12*СПРАВОЧНИК!$J$10)+СПРАВОЧНИК!$E$11*('ПЛАН ЧЕРН К3'!H12*СПРАВОЧНИК!$H$11+'ПЛАН ЧЕРН К3'!I12*СПРАВОЧНИК!$I$11+'ПЛАН ЧЕРН К3'!J12*СПРАВОЧНИК!$J$11)+СПРАВОЧНИК!$E$12*('ПЛАН ЧЕРН К3'!K12*СПРАВОЧНИК!$H$12+'ПЛАН ЧЕРН К3'!L12*СПРАВОЧНИК!$I$12+'ПЛАН ЧЕРН К3'!M12*СПРАВОЧНИК!$J$12)+СПРАВОЧНИК!$E$13*('ПЛАН ЧЕРН К3'!N12*СПРАВОЧНИК!$H$13+'ПЛАН ЧЕРН К3'!O12*СПРАВОЧНИК!$I$13+'ПЛАН ЧЕРН К3'!P12*СПРАВОЧНИК!$J$13)+СПРАВОЧНИК!$E$14*('ПЛАН ЧЕРН К3'!Q12*СПРАВОЧНИК!$H$14+'ПЛАН ЧЕРН К3'!R12*СПРАВОЧНИК!$I$14+'ПЛАН ЧЕРН К3'!S12*СПРАВОЧНИК!$J$14)+СПРАВОЧНИК!$E$15*('ПЛАН ЧЕРН К3'!T12*СПРАВОЧНИК!$H$15+'ПЛАН ЧЕРН К3'!U12*СПРАВОЧНИК!$I$15+'ПЛАН ЧЕРН К3'!V12*СПРАВОЧНИК!$J$15)+СПРАВОЧНИК!$F$9*('ПЛАН ЧИСТ К3'!B12*СПРАВОЧНИК!$L$9+'ПЛАН ЧИСТ К3'!C12*СПРАВОЧНИК!$M$9+'ПЛАН ЧИСТ К3'!D12*СПРАВОЧНИК!$N$9+'ПЛАН ЧИСТ К3'!E12*СПРАВОЧНИК!$O$9)+СПРАВОЧНИК!$F$10*('ПЛАН ЧИСТ К3'!F12*СПРАВОЧНИК!$L$10+'ПЛАН ЧИСТ К3'!G12*СПРАВОЧНИК!$M$10+'ПЛАН ЧИСТ К3'!H12*СПРАВОЧНИК!$N$10+'ПЛАН ЧИСТ К3'!I12*СПРАВОЧНИК!$O$10)+СПРАВОЧНИК!$F$11*('ПЛАН ЧИСТ К3'!J12*СПРАВОЧНИК!$L$11+'ПЛАН ЧИСТ К3'!K12*СПРАВОЧНИК!$M$11+'ПЛАН ЧИСТ К3'!L12*СПРАВОЧНИК!$N$11)+СПРАВОЧНИК!$F$12*('ПЛАН ЧИСТ К3'!M12*СПРАВОЧНИК!$L$12+'ПЛАН ЧИСТ К3'!N12*СПРАВОЧНИК!$M$12+'ПЛАН ЧИСТ К3'!O12*СПРАВОЧНИК!$N$12+'ПЛАН ЧИСТ К3'!P12*СПРАВОЧНИК!$O$12)+СПРАВОЧНИК!$F$13*('ПЛАН ЧИСТ К3'!Q12*СПРАВОЧНИК!$L$13+'ПЛАН ЧИСТ К3'!R12*СПРАВОЧНИК!$M$13+'ПЛАН ЧИСТ К3'!S12*СПРАВОЧНИК!$N$13+'ПЛАН ЧИСТ К3'!T12*СПРАВОЧНИК!$O$13)+СПРАВОЧНИК!$F$14*('ПЛАН ЧИСТ К3'!U12*СПРАВОЧНИК!$L$14+'ПЛАН ЧИСТ К3'!V12*СПРАВОЧНИК!$M$14+'ПЛАН ЧИСТ К3'!W12*СПРАВОЧНИК!$N$14)+СПРАВОЧНИК!$F$15*('ПЛАН ЧИСТ К3'!X12*СПРАВОЧНИК!$L$15+'ПЛАН ЧИСТ К3'!Y12*СПРАВОЧНИК!$M$15+'ПЛАН ЧИСТ К3'!Z12*СПРАВОЧНИК!$N$15)</f>
        <v/>
      </c>
      <c r="BG21" s="40">
        <f>СПРАВОЧНИК!$E$9*(('ФАКТ ЧЕРН К3'!B12)*СПРАВОЧНИК!$H$9+('ФАКТ ЧЕРН К3'!C12)*СПРАВОЧНИК!$I$9+('ФАКТ ЧЕРН К3'!D12)*СПРАВОЧНИК!$J$9)+СПРАВОЧНИК!$E$10*(('ФАКТ ЧЕРН К3'!E12)*СПРАВОЧНИК!$H$10+('ФАКТ ЧЕРН К3'!F12)*СПРАВОЧНИК!$I$10+('ФАКТ ЧЕРН К3'!G12)*СПРАВОЧНИК!$J$10)+СПРАВОЧНИК!$E$11*(('ФАКТ ЧЕРН К3'!H12)*СПРАВОЧНИК!$H$11+('ФАКТ ЧЕРН К3'!I12)*СПРАВОЧНИК!$I$11+('ФАКТ ЧЕРН К3'!J12)*СПРАВОЧНИК!$J$11)+СПРАВОЧНИК!$E$12*(('ФАКТ ЧЕРН К3'!K12)*СПРАВОЧНИК!$H$12+('ФАКТ ЧЕРН К3'!L12)*СПРАВОЧНИК!$I$12+('ФАКТ ЧЕРН К3'!M12)*СПРАВОЧНИК!$J$12)+СПРАВОЧНИК!$E$13*(('ФАКТ ЧЕРН К3'!N12)*СПРАВОЧНИК!$H$13+('ФАКТ ЧЕРН К3'!O12)*СПРАВОЧНИК!$I$13+('ФАКТ ЧЕРН К3'!P12)*СПРАВОЧНИК!$J$13)+СПРАВОЧНИК!$E$14*(('ФАКТ ЧЕРН К3'!Q12)*СПРАВОЧНИК!$H$14+('ФАКТ ЧЕРН К3'!R12)*СПРАВОЧНИК!$I$14+('ФАКТ ЧЕРН К3'!S12)*СПРАВОЧНИК!$J$14)+СПРАВОЧНИК!$E$15*(('ФАКТ ЧЕРН К3'!T12)*СПРАВОЧНИК!$H$15+('ФАКТ ЧЕРН К3'!U12)*СПРАВОЧНИК!$I$15+('ФАКТ ЧЕРН К3'!V12)*СПРАВОЧНИК!$J$15)+СПРАВОЧНИК!$F$9*(('ФАКТ ЧИСТ К3'!B12)*СПРАВОЧНИК!$L$9+('ФАКТ ЧИСТ К3'!C12)*СПРАВОЧНИК!$M$9+('ФАКТ ЧИСТ К3'!D12)*СПРАВОЧНИК!$N$9+('ФАКТ ЧИСТ К3'!E12)*СПРАВОЧНИК!$O$9)+СПРАВОЧНИК!$F$10*(('ФАКТ ЧИСТ К3'!F12)*СПРАВОЧНИК!$L$10+('ФАКТ ЧИСТ К3'!G12)*СПРАВОЧНИК!$M$10+('ФАКТ ЧИСТ К3'!H12)*СПРАВОЧНИК!$N$10+('ФАКТ ЧИСТ К3'!I12)*СПРАВОЧНИК!$O$10)+СПРАВОЧНИК!$F$11*(('ФАКТ ЧИСТ К3'!J12)*СПРАВОЧНИК!$L$11+('ФАКТ ЧИСТ К3'!K12)*СПРАВОЧНИК!$M$11+('ФАКТ ЧИСТ К3'!L12)*СПРАВОЧНИК!$N$11)+СПРАВОЧНИК!$F$12*(('ФАКТ ЧИСТ К3'!M12)*СПРАВОЧНИК!$L$12+('ФАКТ ЧИСТ К3'!N12)*СПРАВОЧНИК!$M$12+('ФАКТ ЧИСТ К3'!O12)*СПРАВОЧНИК!$N$12+('ФАКТ ЧИСТ К3'!P12)*СПРАВОЧНИК!$O$12)+СПРАВОЧНИК!$F$13*(('ФАКТ ЧИСТ К3'!Q12)*СПРАВОЧНИК!$L$13+('ФАКТ ЧИСТ К3'!R12)*СПРАВОЧНИК!$M$13+('ФАКТ ЧИСТ К3'!S12)*СПРАВОЧНИК!$N$13+('ФАКТ ЧИСТ К3'!T12)*СПРАВОЧНИК!$O$13)+СПРАВОЧНИК!$F$14*(('ФАКТ ЧИСТ К3'!U12)*СПРАВОЧНИК!$L$14+('ФАКТ ЧИСТ К3'!V12)*СПРАВОЧНИК!$M$14+('ФАКТ ЧИСТ К3'!W12)*СПРАВОЧНИК!$N$14)+СПРАВОЧНИК!$F$15*(('ФАКТ ЧИСТ К3'!X12)*СПРАВОЧНИК!$L$15+('ФАКТ ЧИСТ К3'!Y12)*СПРАВОЧНИК!$M$15+('ФАКТ ЧИСТ К3'!Z12)*СПРАВОЧНИК!$N$15)</f>
        <v/>
      </c>
      <c r="BK21" s="18">
        <f>BK20+7</f>
        <v/>
      </c>
      <c r="BL21" s="37">
        <f>'ПЛАН ЧЕРН К3'!B12*СПРАВОЧНИК!$H$9+'ПЛАН ЧЕРН К3'!C12*СПРАВОЧНИК!$I$9+'ПЛАН ЧЕРН К3'!D12*СПРАВОЧНИК!$J$9+'ПЛАН ЧЕРН К3'!E12*СПРАВОЧНИК!$H$10+'ПЛАН ЧЕРН К3'!F12*СПРАВОЧНИК!$I$10+'ПЛАН ЧЕРН К3'!G12*СПРАВОЧНИК!$J$10+'ПЛАН ЧЕРН К3'!H12*СПРАВОЧНИК!$H$11+'ПЛАН ЧЕРН К3'!I12*СПРАВОЧНИК!$I$11+'ПЛАН ЧЕРН К3'!J12*СПРАВОЧНИК!$J$11+'ПЛАН ЧЕРН К3'!K12*СПРАВОЧНИК!$H$12+'ПЛАН ЧЕРН К3'!L12*СПРАВОЧНИК!$I$12+'ПЛАН ЧЕРН К3'!M12*СПРАВОЧНИК!$J$12+'ПЛАН ЧЕРН К3'!N12*СПРАВОЧНИК!$H$13+'ПЛАН ЧЕРН К3'!O12*СПРАВОЧНИК!$I$13+'ПЛАН ЧЕРН К3'!P12*СПРАВОЧНИК!$J$13+'ПЛАН ЧЕРН К3'!Q12*СПРАВОЧНИК!$H$14+'ПЛАН ЧЕРН К3'!R12*СПРАВОЧНИК!$I$14+'ПЛАН ЧЕРН К3'!S12*СПРАВОЧНИК!$J$14+'ПЛАН ЧЕРН К3'!T12*СПРАВОЧНИК!$H$15+'ПЛАН ЧЕРН К3'!U12*СПРАВОЧНИК!$I$15+'ПЛАН ЧЕРН К3'!V12*СПРАВОЧНИК!$J$15</f>
        <v/>
      </c>
      <c r="BM21" s="40">
        <f>('ФАКТ ЧЕРН К3'!B12)*СПРАВОЧНИК!$H$9+('ФАКТ ЧЕРН К3'!C12)*СПРАВОЧНИК!$I$9+('ФАКТ ЧЕРН К3'!D12)*СПРАВОЧНИК!$J$9+('ФАКТ ЧЕРН К3'!E12)*СПРАВОЧНИК!$H$10+('ФАКТ ЧЕРН К3'!F12)*СПРАВОЧНИК!$I$10+('ФАКТ ЧЕРН К3'!G12)*СПРАВОЧНИК!$J$10+('ФАКТ ЧЕРН К3'!H12)*СПРАВОЧНИК!$H$11+('ФАКТ ЧЕРН К3'!I12)*СПРАВОЧНИК!$I$11+('ФАКТ ЧЕРН К3'!J12)*СПРАВОЧНИК!$J$11+('ФАКТ ЧЕРН К3'!K12)*СПРАВОЧНИК!$H$12+('ФАКТ ЧЕРН К3'!L12)*СПРАВОЧНИК!$I$12+('ФАКТ ЧЕРН К3'!M12)*СПРАВОЧНИК!$J$12+('ФАКТ ЧЕРН К3'!N12)*СПРАВОЧНИК!$H$13+('ФАКТ ЧЕРН К3'!O12)*СПРАВОЧНИК!$I$13+('ФАКТ ЧЕРН К3'!P12)*СПРАВОЧНИК!$J$13+('ФАКТ ЧЕРН К3'!Q12)*СПРАВОЧНИК!$H$14+('ФАКТ ЧЕРН К3'!R12)*СПРАВОЧНИК!$I$14+('ФАКТ ЧЕРН К3'!S12)*СПРАВОЧНИК!$J$14+('ФАКТ ЧЕРН К3'!T12)*СПРАВОЧНИК!$H$15+('ФАКТ ЧЕРН К3'!U12)*СПРАВОЧНИК!$I$15+('ФАКТ ЧЕРН К3'!V12)*СПРАВОЧНИК!$J$15</f>
        <v/>
      </c>
      <c r="BQ21" s="18">
        <f>BQ20+7</f>
        <v/>
      </c>
      <c r="BR21" s="37">
        <f>'ПЛАН ЧИСТ К3'!B12*СПРАВОЧНИК!$L$9+'ПЛАН ЧИСТ К3'!C12*СПРАВОЧНИК!$M$9+'ПЛАН ЧИСТ К3'!D12*СПРАВОЧНИК!$N$9+'ПЛАН ЧИСТ К3'!E12*СПРАВОЧНИК!$O$9+'ПЛАН ЧИСТ К3'!F12*СПРАВОЧНИК!$L$10+'ПЛАН ЧИСТ К3'!G12*СПРАВОЧНИК!$M$10+'ПЛАН ЧИСТ К3'!H12*СПРАВОЧНИК!$N$10+'ПЛАН ЧИСТ К3'!I12*СПРАВОЧНИК!$O$10+'ПЛАН ЧИСТ К3'!J12*СПРАВОЧНИК!$L$11+'ПЛАН ЧИСТ К3'!K12*СПРАВОЧНИК!$M$11+'ПЛАН ЧИСТ К3'!L12*СПРАВОЧНИК!$N$11+'ПЛАН ЧИСТ К3'!M12*СПРАВОЧНИК!$L$12+'ПЛАН ЧИСТ К3'!N12*СПРАВОЧНИК!$M$12+'ПЛАН ЧИСТ К3'!O12*СПРАВОЧНИК!$N$12+'ПЛАН ЧИСТ К3'!P12*СПРАВОЧНИК!$O$12+'ПЛАН ЧИСТ К3'!Q12*СПРАВОЧНИК!$L$13+'ПЛАН ЧИСТ К3'!R12*СПРАВОЧНИК!$M$13+'ПЛАН ЧИСТ К3'!S12*СПРАВОЧНИК!$N$13+'ПЛАН ЧИСТ К3'!T12*СПРАВОЧНИК!$O$13+'ПЛАН ЧИСТ К3'!U12*СПРАВОЧНИК!$L$14+'ПЛАН ЧИСТ К3'!V12*СПРАВОЧНИК!$M$14+'ПЛАН ЧИСТ К3'!W12*СПРАВОЧНИК!$N$14+'ПЛАН ЧИСТ К3'!X12*СПРАВОЧНИК!$L$15+'ПЛАН ЧИСТ К3'!Y12*СПРАВОЧНИК!$M$15+'ПЛАН ЧИСТ К3'!Z12*СПРАВОЧНИК!$N$15</f>
        <v/>
      </c>
      <c r="BS21" s="40">
        <f>('ФАКТ ЧИСТ К3'!B12)*СПРАВОЧНИК!$L$9+('ФАКТ ЧИСТ К3'!C12)*СПРАВОЧНИК!$M$9+('ФАКТ ЧИСТ К3'!D12)*СПРАВОЧНИК!$N$9+('ФАКТ ЧИСТ К3'!E12)*СПРАВОЧНИК!$O$9+('ФАКТ ЧИСТ К3'!F12)*СПРАВОЧНИК!$L$10+('ФАКТ ЧИСТ К3'!G12)*СПРАВОЧНИК!$M$10+('ФАКТ ЧИСТ К3'!H12)*СПРАВОЧНИК!$N$10+('ФАКТ ЧИСТ К3'!I12)*СПРАВОЧНИК!$O$10+('ФАКТ ЧИСТ К3'!J12)*СПРАВОЧНИК!$L$11+('ФАКТ ЧИСТ К3'!K12)*СПРАВОЧНИК!$M$11+('ФАКТ ЧИСТ К3'!L12)*СПРАВОЧНИК!$N$11+('ФАКТ ЧИСТ К3'!M12)*СПРАВОЧНИК!$L$12+('ФАКТ ЧИСТ К3'!N12)*СПРАВОЧНИК!$M$12+('ФАКТ ЧИСТ К3'!O12)*СПРАВОЧНИК!$N$12+('ФАКТ ЧИСТ К3'!P12)*СПРАВОЧНИК!$O$12+('ФАКТ ЧИСТ К3'!Q12)*СПРАВОЧНИК!$L$13+('ФАКТ ЧИСТ К3'!R12)*СПРАВОЧНИК!$M$13+('ФАКТ ЧИСТ К3'!S12)*СПРАВОЧНИК!$N$13+('ФАКТ ЧИСТ К3'!T12)*СПРАВОЧНИК!$O$13+('ФАКТ ЧИСТ К3'!U12)*СПРАВОЧНИК!$L$14+('ФАКТ ЧИСТ К3'!V12)*СПРАВОЧНИК!$M$14+('ФАКТ ЧИСТ К3'!W12)*СПРАВОЧНИК!$N$14+('ФАКТ ЧИСТ К3'!X12)*СПРАВОЧНИК!$L$15+('ФАКТ ЧИСТ К3'!Y12)*СПРАВОЧНИК!$M$15+('ФАКТ ЧИСТ К3'!Z12)*СПРАВОЧНИК!$N$15</f>
        <v/>
      </c>
      <c r="BW21" s="18">
        <f>BW20+7</f>
        <v/>
      </c>
      <c r="BX21" s="37">
        <f>V21+AN21+BF21</f>
        <v/>
      </c>
      <c r="BY21" s="40">
        <f>W21+AO21+BG21</f>
        <v/>
      </c>
      <c r="CC21" s="18">
        <f>CC20+7</f>
        <v/>
      </c>
      <c r="CD21" s="37">
        <f>AB21+AT21+BL21</f>
        <v/>
      </c>
      <c r="CE21" s="40">
        <f>AC21+AU21+BM21</f>
        <v/>
      </c>
      <c r="CI21" s="18">
        <f>CI20+7</f>
        <v/>
      </c>
      <c r="CJ21" s="37">
        <f>AH21+AZ21+BR21</f>
        <v/>
      </c>
      <c r="CK21" s="40">
        <f>AI21+BA21+BS21</f>
        <v/>
      </c>
      <c r="CO21" s="18">
        <f>CO20+7</f>
        <v/>
      </c>
      <c r="CP21" s="37">
        <f>D21+BX21</f>
        <v/>
      </c>
      <c r="CQ21" s="40">
        <f>E21+BY21</f>
        <v/>
      </c>
      <c r="CU21" s="18">
        <f>CU20+7</f>
        <v/>
      </c>
      <c r="CV21" s="37">
        <f>J21+CD21</f>
        <v/>
      </c>
      <c r="CW21" s="40">
        <f>K21+CE21</f>
        <v/>
      </c>
      <c r="DA21" s="18">
        <f>DA20+7</f>
        <v/>
      </c>
      <c r="DB21" s="37">
        <f>P21+CJ21</f>
        <v/>
      </c>
      <c r="DC21" s="40">
        <f>Q21+CK21</f>
        <v/>
      </c>
    </row>
    <row r="22">
      <c r="C22" s="18">
        <f>C21+7</f>
        <v/>
      </c>
      <c r="D22" s="37">
        <f>СПРАВОЧНИК!$E$3*('ПЛАН ЧЕРН ПОДЗЕМ'!B13*СПРАВОЧНИК!$H$3+'ПЛАН ЧЕРН ПОДЗЕМ'!C13*СПРАВОЧНИК!$I$3+'ПЛАН ЧЕРН ПОДЗЕМ'!D13*СПРАВОЧНИК!$J$3)+СПРАВОЧНИК!$E$4*('ПЛАН ЧЕРН ПОДЗЕМ'!E13*СПРАВОЧНИК!$H$4+'ПЛАН ЧЕРН ПОДЗЕМ'!F13*СПРАВОЧНИК!$I$4+'ПЛАН ЧЕРН ПОДЗЕМ'!G13*СПРАВОЧНИК!$J$4)+СПРАВОЧНИК!$E$5*('ПЛАН ЧЕРН ПОДЗЕМ'!H13*СПРАВОЧНИК!$H$5+'ПЛАН ЧЕРН ПОДЗЕМ'!I13*СПРАВОЧНИК!$I$5+'ПЛАН ЧЕРН ПОДЗЕМ'!J13*СПРАВОЧНИК!$J$5)+СПРАВОЧНИК!$E$6*('ПЛАН ЧЕРН ПОДЗЕМ'!K13*СПРАВОЧНИК!$H$6+'ПЛАН ЧЕРН ПОДЗЕМ'!L13*СПРАВОЧНИК!$I$6+'ПЛАН ЧЕРН ПОДЗЕМ'!M13*СПРАВОЧНИК!$J$6)+СПРАВОЧНИК!$E$7*('ПЛАН ЧЕРН ПОДЗЕМ'!N13*СПРАВОЧНИК!$H$7+'ПЛАН ЧЕРН ПОДЗЕМ'!O13*СПРАВОЧНИК!$I$7+'ПЛАН ЧЕРН ПОДЗЕМ'!P13*СПРАВОЧНИК!$J$7)+СПРАВОЧНИК!$E$8*('ПЛАН ЧЕРН ПОДЗЕМ'!Q13*СПРАВОЧНИК!$H$8+'ПЛАН ЧЕРН ПОДЗЕМ'!R13*СПРАВОЧНИК!$I$8+'ПЛАН ЧЕРН ПОДЗЕМ'!S13*СПРАВОЧНИК!$J$8)+СПРАВОЧНИК!$F$3*('ПЛАН ЧИСТ ПОДЗЕМ'!B13*СПРАВОЧНИК!$L$3+'ПЛАН ЧИСТ ПОДЗЕМ'!C13*СПРАВОЧНИК!$M$3+'ПЛАН ЧИСТ ПОДЗЕМ'!D13*СПРАВОЧНИК!$N$3+'ПЛАН ЧИСТ ПОДЗЕМ'!E13*СПРАВОЧНИК!$O$3)+СПРАВОЧНИК!$F$4*('ПЛАН ЧИСТ ПОДЗЕМ'!F13*СПРАВОЧНИК!$L$4+'ПЛАН ЧИСТ ПОДЗЕМ'!G13*СПРАВОЧНИК!$M$4+'ПЛАН ЧИСТ ПОДЗЕМ'!H13*СПРАВОЧНИК!$N$4+'ПЛАН ЧИСТ ПОДЗЕМ'!I13*СПРАВОЧНИК!$O$4)+СПРАВОЧНИК!$F$5*('ПЛАН ЧИСТ ПОДЗЕМ'!J13*СПРАВОЧНИК!$L$5+'ПЛАН ЧИСТ ПОДЗЕМ'!K13*СПРАВОЧНИК!$M$5+'ПЛАН ЧИСТ ПОДЗЕМ'!L13*СПРАВОЧНИК!$N$5)+СПРАВОЧНИК!$F$6*('ПЛАН ЧИСТ ПОДЗЕМ'!M13*СПРАВОЧНИК!$L$6+'ПЛАН ЧИСТ ПОДЗЕМ'!N13*СПРАВОЧНИК!$M$6+'ПЛАН ЧИСТ ПОДЗЕМ'!O13*СПРАВОЧНИК!$N$6+'ПЛАН ЧИСТ ПОДЗЕМ'!P13*СПРАВОЧНИК!$O$6)+СПРАВОЧНИК!$F$7*('ПЛАН ЧИСТ ПОДЗЕМ'!Q13*СПРАВОЧНИК!$L$7+'ПЛАН ЧИСТ ПОДЗЕМ'!R13*СПРАВОЧНИК!$M$7+'ПЛАН ЧИСТ ПОДЗЕМ'!S13*СПРАВОЧНИК!$N$7+'ПЛАН ЧИСТ ПОДЗЕМ'!T13*СПРАВОЧНИК!$O$7)+СПРАВОЧНИК!$F$8*('ПЛАН ЧИСТ ПОДЗЕМ'!U13*СПРАВОЧНИК!$L$8+'ПЛАН ЧИСТ ПОДЗЕМ'!V13*СПРАВОЧНИК!$M$8+'ПЛАН ЧИСТ ПОДЗЕМ'!W13*СПРАВОЧНИК!$N$8)</f>
        <v/>
      </c>
      <c r="E22" s="40">
        <f>СПРАВОЧНИК!$E$3*(('ФАКТ ЧЕРН ПОДЗЕМ'!B13)*СПРАВОЧНИК!$H$3+('ФАКТ ЧЕРН ПОДЗЕМ'!C13)*СПРАВОЧНИК!$I$3+('ФАКТ ЧЕРН ПОДЗЕМ'!D13)*СПРАВОЧНИК!$J$3)+СПРАВОЧНИК!$E$4*(('ФАКТ ЧЕРН ПОДЗЕМ'!E13)*СПРАВОЧНИК!$H$4+('ФАКТ ЧЕРН ПОДЗЕМ'!F13)*СПРАВОЧНИК!$I$4+('ФАКТ ЧЕРН ПОДЗЕМ'!G13)*СПРАВОЧНИК!$J$4)+СПРАВОЧНИК!$E$5*(('ФАКТ ЧЕРН ПОДЗЕМ'!H13)*СПРАВОЧНИК!$H$5+('ФАКТ ЧЕРН ПОДЗЕМ'!I13)*СПРАВОЧНИК!$I$5+('ФАКТ ЧЕРН ПОДЗЕМ'!J13)*СПРАВОЧНИК!$J$5)+СПРАВОЧНИК!$E$6*(('ФАКТ ЧЕРН ПОДЗЕМ'!K13)*СПРАВОЧНИК!$H$6+('ФАКТ ЧЕРН ПОДЗЕМ'!L13)*СПРАВОЧНИК!$I$6+('ФАКТ ЧЕРН ПОДЗЕМ'!M13)*СПРАВОЧНИК!$J$6)+СПРАВОЧНИК!$E$7*(('ФАКТ ЧЕРН ПОДЗЕМ'!N13)*СПРАВОЧНИК!$H$7+('ФАКТ ЧЕРН ПОДЗЕМ'!O13)*СПРАВОЧНИК!$I$7+('ФАКТ ЧЕРН ПОДЗЕМ'!P13)*СПРАВОЧНИК!$J$7)+СПРАВОЧНИК!$E$8*(('ФАКТ ЧЕРН ПОДЗЕМ'!Q13)*СПРАВОЧНИК!$H$8+('ФАКТ ЧЕРН ПОДЗЕМ'!R13)*СПРАВОЧНИК!$I$8+('ФАКТ ЧЕРН ПОДЗЕМ'!S13)*СПРАВОЧНИК!$J$8)+СПРАВОЧНИК!$F$3*(('ФАКТ ЧИСТ ПОДЗЕМ'!B13)*СПРАВОЧНИК!$L$3+('ФАКТ ЧИСТ ПОДЗЕМ'!C13)*СПРАВОЧНИК!$M$3+('ФАКТ ЧИСТ ПОДЗЕМ'!D13)*СПРАВОЧНИК!$N$3+('ФАКТ ЧИСТ ПОДЗЕМ'!E13)*СПРАВОЧНИК!$O$3)+СПРАВОЧНИК!$F$4*(('ФАКТ ЧИСТ ПОДЗЕМ'!F13)*СПРАВОЧНИК!$L$4+('ФАКТ ЧИСТ ПОДЗЕМ'!G13)*СПРАВОЧНИК!$M$4+('ФАКТ ЧИСТ ПОДЗЕМ'!H13)*СПРАВОЧНИК!$N$4+('ФАКТ ЧИСТ ПОДЗЕМ'!I13)*СПРАВОЧНИК!$O$4)+СПРАВОЧНИК!$F$5*(('ФАКТ ЧИСТ ПОДЗЕМ'!J13)*СПРАВОЧНИК!$L$5+('ФАКТ ЧИСТ ПОДЗЕМ'!K13)*СПРАВОЧНИК!$M$5+('ФАКТ ЧИСТ ПОДЗЕМ'!L13)*СПРАВОЧНИК!$N$5)+СПРАВОЧНИК!$F$6*(('ФАКТ ЧИСТ ПОДЗЕМ'!M13)*СПРАВОЧНИК!$L$6+('ФАКТ ЧИСТ ПОДЗЕМ'!N13)*СПРАВОЧНИК!$M$6+('ФАКТ ЧИСТ ПОДЗЕМ'!O13)*СПРАВОЧНИК!$N$6+('ФАКТ ЧИСТ ПОДЗЕМ'!P13)*СПРАВОЧНИК!$O$6)+СПРАВОЧНИК!$F$7*(('ФАКТ ЧИСТ ПОДЗЕМ'!Q13)*СПРАВОЧНИК!$L$7+('ФАКТ ЧИСТ ПОДЗЕМ'!R13)*СПРАВОЧНИК!$M$7+('ФАКТ ЧИСТ ПОДЗЕМ'!S13)*СПРАВОЧНИК!$N$7+('ФАКТ ЧИСТ ПОДЗЕМ'!T13)*СПРАВОЧНИК!$O$7)+СПРАВОЧНИК!$F$8*(('ФАКТ ЧИСТ ПОДЗЕМ'!U13)*СПРАВОЧНИК!$L$8+('ФАКТ ЧИСТ ПОДЗЕМ'!V13)*СПРАВОЧНИК!$M$8+('ФАКТ ЧИСТ ПОДЗЕМ'!W13)*СПРАВОЧНИК!$N$8)</f>
        <v/>
      </c>
      <c r="I22" s="18">
        <f>I21+7</f>
        <v/>
      </c>
      <c r="J22" s="37">
        <f>'ПЛАН ЧЕРН ПОДЗЕМ'!B13*СПРАВОЧНИК!$H$3+'ПЛАН ЧЕРН ПОДЗЕМ'!C13*СПРАВОЧНИК!$I$3+'ПЛАН ЧЕРН ПОДЗЕМ'!D13*СПРАВОЧНИК!$J$3+'ПЛАН ЧЕРН ПОДЗЕМ'!E13*СПРАВОЧНИК!$H$4+'ПЛАН ЧЕРН ПОДЗЕМ'!F13*СПРАВОЧНИК!$I$4+'ПЛАН ЧЕРН ПОДЗЕМ'!G13*СПРАВОЧНИК!$J$4+'ПЛАН ЧЕРН ПОДЗЕМ'!H13*СПРАВОЧНИК!$H$5+'ПЛАН ЧЕРН ПОДЗЕМ'!I13*СПРАВОЧНИК!$I$5+'ПЛАН ЧЕРН ПОДЗЕМ'!J13*СПРАВОЧНИК!$J$5+'ПЛАН ЧЕРН ПОДЗЕМ'!K13*СПРАВОЧНИК!$H$6+'ПЛАН ЧЕРН ПОДЗЕМ'!L13*СПРАВОЧНИК!$I$6+'ПЛАН ЧЕРН ПОДЗЕМ'!M13*СПРАВОЧНИК!$J$6+'ПЛАН ЧЕРН ПОДЗЕМ'!N13*СПРАВОЧНИК!$H$7+'ПЛАН ЧЕРН ПОДЗЕМ'!O13*СПРАВОЧНИК!$I$7+'ПЛАН ЧЕРН ПОДЗЕМ'!P13*СПРАВОЧНИК!$J$7+'ПЛАН ЧЕРН ПОДЗЕМ'!Q13*СПРАВОЧНИК!$H$8+'ПЛАН ЧЕРН ПОДЗЕМ'!R13*СПРАВОЧНИК!$I$8+'ПЛАН ЧЕРН ПОДЗЕМ'!S13*СПРАВОЧНИК!$J$8</f>
        <v/>
      </c>
      <c r="K22" s="40">
        <f>('ФАКТ ЧЕРН ПОДЗЕМ'!B13)*СПРАВОЧНИК!$H$3+('ФАКТ ЧЕРН ПОДЗЕМ'!C13)*СПРАВОЧНИК!$I$3+('ФАКТ ЧЕРН ПОДЗЕМ'!D13)*СПРАВОЧНИК!$J$3+('ФАКТ ЧЕРН ПОДЗЕМ'!E13)*СПРАВОЧНИК!$H$4+('ФАКТ ЧЕРН ПОДЗЕМ'!F13)*СПРАВОЧНИК!$I$4+('ФАКТ ЧЕРН ПОДЗЕМ'!G13)*СПРАВОЧНИК!$J$4+('ФАКТ ЧЕРН ПОДЗЕМ'!H13)*СПРАВОЧНИК!$H$5+('ФАКТ ЧЕРН ПОДЗЕМ'!I13)*СПРАВОЧНИК!$I$5+('ФАКТ ЧЕРН ПОДЗЕМ'!J13)*СПРАВОЧНИК!$J$5+('ФАКТ ЧЕРН ПОДЗЕМ'!K13)*СПРАВОЧНИК!$H$6+('ФАКТ ЧЕРН ПОДЗЕМ'!L13)*СПРАВОЧНИК!$I$6+('ФАКТ ЧЕРН ПОДЗЕМ'!M13)*СПРАВОЧНИК!$J$6+('ФАКТ ЧЕРН ПОДЗЕМ'!N13)*СПРАВОЧНИК!$H$7+('ФАКТ ЧЕРН ПОДЗЕМ'!O13)*СПРАВОЧНИК!$I$7+('ФАКТ ЧЕРН ПОДЗЕМ'!P13)*СПРАВОЧНИК!$J$7+('ФАКТ ЧЕРН ПОДЗЕМ'!Q13)*СПРАВОЧНИК!$H$8+('ФАКТ ЧЕРН ПОДЗЕМ'!R13)*СПРАВОЧНИК!$I$8+('ФАКТ ЧЕРН ПОДЗЕМ'!S13)*СПРАВОЧНИК!$J$8</f>
        <v/>
      </c>
      <c r="O22" s="18">
        <f>O21+7</f>
        <v/>
      </c>
      <c r="P22" s="37">
        <f>'ПЛАН ЧИСТ ПОДЗЕМ'!B13*СПРАВОЧНИК!$L$3+'ПЛАН ЧИСТ ПОДЗЕМ'!C13*СПРАВОЧНИК!$M$3+'ПЛАН ЧИСТ ПОДЗЕМ'!D13*СПРАВОЧНИК!$N$3+'ПЛАН ЧИСТ ПОДЗЕМ'!E13*СПРАВОЧНИК!$O$3+'ПЛАН ЧИСТ ПОДЗЕМ'!F13*СПРАВОЧНИК!$L$4+'ПЛАН ЧИСТ ПОДЗЕМ'!G13*СПРАВОЧНИК!$M$4+'ПЛАН ЧИСТ ПОДЗЕМ'!H13*СПРАВОЧНИК!$N$4+'ПЛАН ЧИСТ ПОДЗЕМ'!I13*СПРАВОЧНИК!$O$4+'ПЛАН ЧИСТ ПОДЗЕМ'!J13*СПРАВОЧНИК!$L$5+'ПЛАН ЧИСТ ПОДЗЕМ'!K13*СПРАВОЧНИК!$M$5+'ПЛАН ЧИСТ ПОДЗЕМ'!L13*СПРАВОЧНИК!$N$5+'ПЛАН ЧИСТ ПОДЗЕМ'!M13*СПРАВОЧНИК!$L$6+'ПЛАН ЧИСТ ПОДЗЕМ'!N13*СПРАВОЧНИК!$M$6+'ПЛАН ЧИСТ ПОДЗЕМ'!O13*СПРАВОЧНИК!$N$6+'ПЛАН ЧИСТ ПОДЗЕМ'!P13*СПРАВОЧНИК!$O$6+'ПЛАН ЧИСТ ПОДЗЕМ'!Q13*СПРАВОЧНИК!$L$7+'ПЛАН ЧИСТ ПОДЗЕМ'!R13*СПРАВОЧНИК!$M$7+'ПЛАН ЧИСТ ПОДЗЕМ'!S13*СПРАВОЧНИК!$N$7+'ПЛАН ЧИСТ ПОДЗЕМ'!T13*СПРАВОЧНИК!$O$7+'ПЛАН ЧИСТ ПОДЗЕМ'!U13*СПРАВОЧНИК!$L$8+'ПЛАН ЧИСТ ПОДЗЕМ'!V13*СПРАВОЧНИК!$M$8+'ПЛАН ЧИСТ ПОДЗЕМ'!W13*СПРАВОЧНИК!$N$8</f>
        <v/>
      </c>
      <c r="Q22" s="40">
        <f>('ФАКТ ЧИСТ ПОДЗЕМ'!B13)*СПРАВОЧНИК!$L$3+('ФАКТ ЧИСТ ПОДЗЕМ'!C13)*СПРАВОЧНИК!$M$3+('ФАКТ ЧИСТ ПОДЗЕМ'!D13)*СПРАВОЧНИК!$N$3+('ФАКТ ЧИСТ ПОДЗЕМ'!E13)*СПРАВОЧНИК!$O$3+('ФАКТ ЧИСТ ПОДЗЕМ'!F13)*СПРАВОЧНИК!$L$4+('ФАКТ ЧИСТ ПОДЗЕМ'!G13)*СПРАВОЧНИК!$M$4+('ФАКТ ЧИСТ ПОДЗЕМ'!H13)*СПРАВОЧНИК!$N$4+('ФАКТ ЧИСТ ПОДЗЕМ'!I13)*СПРАВОЧНИК!$O$4+('ФАКТ ЧИСТ ПОДЗЕМ'!J13)*СПРАВОЧНИК!$L$5+('ФАКТ ЧИСТ ПОДЗЕМ'!K13)*СПРАВОЧНИК!$M$5+('ФАКТ ЧИСТ ПОДЗЕМ'!L13)*СПРАВОЧНИК!$N$5+('ФАКТ ЧИСТ ПОДЗЕМ'!M13)*СПРАВОЧНИК!$L$6+('ФАКТ ЧИСТ ПОДЗЕМ'!N13)*СПРАВОЧНИК!$M$6+('ФАКТ ЧИСТ ПОДЗЕМ'!O13)*СПРАВОЧНИК!$N$6+('ФАКТ ЧИСТ ПОДЗЕМ'!P13)*СПРАВОЧНИК!$O$6+('ФАКТ ЧИСТ ПОДЗЕМ'!Q13)*СПРАВОЧНИК!$L$7+('ФАКТ ЧИСТ ПОДЗЕМ'!R13)*СПРАВОЧНИК!$M$7+('ФАКТ ЧИСТ ПОДЗЕМ'!S13)*СПРАВОЧНИК!$N$7+('ФАКТ ЧИСТ ПОДЗЕМ'!T13)*СПРАВОЧНИК!$O$7+('ФАКТ ЧИСТ ПОДЗЕМ'!U13)*СПРАВОЧНИК!$L$8+('ФАКТ ЧИСТ ПОДЗЕМ'!V13)*СПРАВОЧНИК!$M$8+('ФАКТ ЧИСТ ПОДЗЕМ'!W13)*СПРАВОЧНИК!$N$8</f>
        <v/>
      </c>
      <c r="U22" s="18">
        <f>U21+7</f>
        <v/>
      </c>
      <c r="V22" s="37">
        <f>СПРАВОЧНИК!$E$9*('ПЛАН ЧЕРН К1'!B13*СПРАВОЧНИК!$H$9+'ПЛАН ЧЕРН К1'!C13*СПРАВОЧНИК!$I$9+'ПЛАН ЧЕРН К1'!D13*СПРАВОЧНИК!$J$9)+СПРАВОЧНИК!$E$10*('ПЛАН ЧЕРН К1'!E13*СПРАВОЧНИК!$H$10+'ПЛАН ЧЕРН К1'!F13*СПРАВОЧНИК!$I$10+'ПЛАН ЧЕРН К1'!G13*СПРАВОЧНИК!$J$10)+СПРАВОЧНИК!$E$11*('ПЛАН ЧЕРН К1'!H13*СПРАВОЧНИК!$H$11+'ПЛАН ЧЕРН К1'!I13*СПРАВОЧНИК!$I$11+'ПЛАН ЧЕРН К1'!J13*СПРАВОЧНИК!$J$11)+СПРАВОЧНИК!$E$12*('ПЛАН ЧЕРН К1'!K13*СПРАВОЧНИК!$H$12+'ПЛАН ЧЕРН К1'!L13*СПРАВОЧНИК!$I$12+'ПЛАН ЧЕРН К1'!M13*СПРАВОЧНИК!$J$12)+СПРАВОЧНИК!$E$13*('ПЛАН ЧЕРН К1'!N13*СПРАВОЧНИК!$H$13+'ПЛАН ЧЕРН К1'!O13*СПРАВОЧНИК!$I$13+'ПЛАН ЧЕРН К1'!P13*СПРАВОЧНИК!$J$13)+СПРАВОЧНИК!$E$14*('ПЛАН ЧЕРН К1'!Q13*СПРАВОЧНИК!$H$14+'ПЛАН ЧЕРН К1'!R13*СПРАВОЧНИК!$I$14+'ПЛАН ЧЕРН К1'!S13*СПРАВОЧНИК!$J$14)+СПРАВОЧНИК!$E$15*('ПЛАН ЧЕРН К1'!T13*СПРАВОЧНИК!$H$15+'ПЛАН ЧЕРН К1'!U13*СПРАВОЧНИК!$I$15+'ПЛАН ЧЕРН К1'!V13*СПРАВОЧНИК!$J$15)+СПРАВОЧНИК!$F$9*('ПЛАН ЧИСТ К1'!B13*СПРАВОЧНИК!$L$9+'ПЛАН ЧИСТ К1'!C13*СПРАВОЧНИК!$M$9+'ПЛАН ЧИСТ К1'!D13*СПРАВОЧНИК!$N$9+'ПЛАН ЧИСТ К1'!E13*СПРАВОЧНИК!$O$9)+СПРАВОЧНИК!$F$10*('ПЛАН ЧИСТ К1'!F13*СПРАВОЧНИК!$L$10+'ПЛАН ЧИСТ К1'!G13*СПРАВОЧНИК!$M$10+'ПЛАН ЧИСТ К1'!H13*СПРАВОЧНИК!$N$10+'ПЛАН ЧИСТ К1'!I13*СПРАВОЧНИК!$O$10)+СПРАВОЧНИК!$F$11*('ПЛАН ЧИСТ К1'!J13*СПРАВОЧНИК!$L$11+'ПЛАН ЧИСТ К1'!K13*СПРАВОЧНИК!$M$11+'ПЛАН ЧИСТ К1'!L13*СПРАВОЧНИК!$N$11)+СПРАВОЧНИК!$F$12*('ПЛАН ЧИСТ К1'!M13*СПРАВОЧНИК!$L$12+'ПЛАН ЧИСТ К1'!N13*СПРАВОЧНИК!$M$12+'ПЛАН ЧИСТ К1'!O13*СПРАВОЧНИК!$N$12+'ПЛАН ЧИСТ К1'!P13*СПРАВОЧНИК!$O$12)+СПРАВОЧНИК!$F$13*('ПЛАН ЧИСТ К1'!Q13*СПРАВОЧНИК!$L$13+'ПЛАН ЧИСТ К1'!R13*СПРАВОЧНИК!$M$13+'ПЛАН ЧИСТ К1'!S13*СПРАВОЧНИК!$N$13+'ПЛАН ЧИСТ К1'!T13*СПРАВОЧНИК!$O$13)+СПРАВОЧНИК!$F$14*('ПЛАН ЧИСТ К1'!U13*СПРАВОЧНИК!$L$14+'ПЛАН ЧИСТ К1'!V13*СПРАВОЧНИК!$M$14+'ПЛАН ЧИСТ К1'!W13*СПРАВОЧНИК!$N$14)+СПРАВОЧНИК!$F$15*('ПЛАН ЧИСТ К1'!X13*СПРАВОЧНИК!$L$15+'ПЛАН ЧИСТ К1'!Y13*СПРАВОЧНИК!$M$15+'ПЛАН ЧИСТ К1'!Z13*СПРАВОЧНИК!$N$15)</f>
        <v/>
      </c>
      <c r="W22" s="40">
        <f>СПРАВОЧНИК!$E$9*(('ФАКТ ЧЕРН К1'!B13)*СПРАВОЧНИК!$H$9+('ФАКТ ЧЕРН К1'!C13)*СПРАВОЧНИК!$I$9+('ФАКТ ЧЕРН К1'!D13)*СПРАВОЧНИК!$J$9)+СПРАВОЧНИК!$E$10*(('ФАКТ ЧЕРН К1'!E13)*СПРАВОЧНИК!$H$10+('ФАКТ ЧЕРН К1'!F13)*СПРАВОЧНИК!$I$10+('ФАКТ ЧЕРН К1'!G13)*СПРАВОЧНИК!$J$10)+СПРАВОЧНИК!$E$11*(('ФАКТ ЧЕРН К1'!H13)*СПРАВОЧНИК!$H$11+('ФАКТ ЧЕРН К1'!I13)*СПРАВОЧНИК!$I$11+('ФАКТ ЧЕРН К1'!J13)*СПРАВОЧНИК!$J$11)+СПРАВОЧНИК!$E$12*(('ФАКТ ЧЕРН К1'!K13)*СПРАВОЧНИК!$H$12+('ФАКТ ЧЕРН К1'!L13)*СПРАВОЧНИК!$I$12+('ФАКТ ЧЕРН К1'!M13)*СПРАВОЧНИК!$J$12)+СПРАВОЧНИК!$E$13*(('ФАКТ ЧЕРН К1'!N13)*СПРАВОЧНИК!$H$13+('ФАКТ ЧЕРН К1'!O13)*СПРАВОЧНИК!$I$13+('ФАКТ ЧЕРН К1'!P13)*СПРАВОЧНИК!$J$13)+СПРАВОЧНИК!$E$14*(('ФАКТ ЧЕРН К1'!Q13)*СПРАВОЧНИК!$H$14+('ФАКТ ЧЕРН К1'!R13)*СПРАВОЧНИК!$I$14+('ФАКТ ЧЕРН К1'!S13)*СПРАВОЧНИК!$J$14)+СПРАВОЧНИК!$E$15*(('ФАКТ ЧЕРН К1'!T13)*СПРАВОЧНИК!$H$15+('ФАКТ ЧЕРН К1'!U13)*СПРАВОЧНИК!$I$15+('ФАКТ ЧЕРН К1'!V13)*СПРАВОЧНИК!$J$15)+СПРАВОЧНИК!$F$9*(('ФАКТ ЧИСТ К1'!B13)*СПРАВОЧНИК!$L$9+('ФАКТ ЧИСТ К1'!C13)*СПРАВОЧНИК!$M$9+('ФАКТ ЧИСТ К1'!D13)*СПРАВОЧНИК!$N$9+('ФАКТ ЧИСТ К1'!E13)*СПРАВОЧНИК!$O$9)+СПРАВОЧНИК!$F$10*(('ФАКТ ЧИСТ К1'!F13)*СПРАВОЧНИК!$L$10+('ФАКТ ЧИСТ К1'!G13)*СПРАВОЧНИК!$M$10+('ФАКТ ЧИСТ К1'!H13)*СПРАВОЧНИК!$N$10+('ФАКТ ЧИСТ К1'!I13)*СПРАВОЧНИК!$O$10)+СПРАВОЧНИК!$F$11*(('ФАКТ ЧИСТ К1'!J13)*СПРАВОЧНИК!$L$11+('ФАКТ ЧИСТ К1'!K13)*СПРАВОЧНИК!$M$11+('ФАКТ ЧИСТ К1'!L13)*СПРАВОЧНИК!$N$11)+СПРАВОЧНИК!$F$12*(('ФАКТ ЧИСТ К1'!M13)*СПРАВОЧНИК!$L$12+('ФАКТ ЧИСТ К1'!N13)*СПРАВОЧНИК!$M$12+('ФАКТ ЧИСТ К1'!O13)*СПРАВОЧНИК!$N$12+('ФАКТ ЧИСТ К1'!P13)*СПРАВОЧНИК!$O$12)+СПРАВОЧНИК!$F$13*(('ФАКТ ЧИСТ К1'!Q13)*СПРАВОЧНИК!$L$13+('ФАКТ ЧИСТ К1'!R13)*СПРАВОЧНИК!$M$13+('ФАКТ ЧИСТ К1'!S13)*СПРАВОЧНИК!$N$13+('ФАКТ ЧИСТ К1'!T13)*СПРАВОЧНИК!$O$13)+СПРАВОЧНИК!$F$14*(('ФАКТ ЧИСТ К1'!U13)*СПРАВОЧНИК!$L$14+('ФАКТ ЧИСТ К1'!V13)*СПРАВОЧНИК!$M$14+('ФАКТ ЧИСТ К1'!W13)*СПРАВОЧНИК!$N$14)+СПРАВОЧНИК!$F$15*(('ФАКТ ЧИСТ К1'!X13)*СПРАВОЧНИК!$L$15+('ФАКТ ЧИСТ К1'!Y13)*СПРАВОЧНИК!$M$15+('ФАКТ ЧИСТ К1'!Z13)*СПРАВОЧНИК!$N$15)</f>
        <v/>
      </c>
      <c r="AA22" s="18">
        <f>AA21+7</f>
        <v/>
      </c>
      <c r="AB22" s="37">
        <f>'ПЛАН ЧЕРН К1'!B13*СПРАВОЧНИК!$H$9+'ПЛАН ЧЕРН К1'!C13*СПРАВОЧНИК!$I$9+'ПЛАН ЧЕРН К1'!D13*СПРАВОЧНИК!$J$9+'ПЛАН ЧЕРН К1'!E13*СПРАВОЧНИК!$H$10+'ПЛАН ЧЕРН К1'!F13*СПРАВОЧНИК!$I$10+'ПЛАН ЧЕРН К1'!G13*СПРАВОЧНИК!$J$10+'ПЛАН ЧЕРН К1'!H13*СПРАВОЧНИК!$H$11+'ПЛАН ЧЕРН К1'!I13*СПРАВОЧНИК!$I$11+'ПЛАН ЧЕРН К1'!J13*СПРАВОЧНИК!$J$11+'ПЛАН ЧЕРН К1'!K13*СПРАВОЧНИК!$H$12+'ПЛАН ЧЕРН К1'!L13*СПРАВОЧНИК!$I$12+'ПЛАН ЧЕРН К1'!M13*СПРАВОЧНИК!$J$12+'ПЛАН ЧЕРН К1'!N13*СПРАВОЧНИК!$H$13+'ПЛАН ЧЕРН К1'!O13*СПРАВОЧНИК!$I$13+'ПЛАН ЧЕРН К1'!P13*СПРАВОЧНИК!$J$13+'ПЛАН ЧЕРН К1'!Q13*СПРАВОЧНИК!$H$14+'ПЛАН ЧЕРН К1'!R13*СПРАВОЧНИК!$I$14+'ПЛАН ЧЕРН К1'!S13*СПРАВОЧНИК!$J$14+'ПЛАН ЧЕРН К1'!T13*СПРАВОЧНИК!$H$15+'ПЛАН ЧЕРН К1'!U13*СПРАВОЧНИК!$I$15+'ПЛАН ЧЕРН К1'!V13*СПРАВОЧНИК!$J$15</f>
        <v/>
      </c>
      <c r="AC22" s="40">
        <f>('ФАКТ ЧЕРН К1'!B13)*СПРАВОЧНИК!$H$9+('ФАКТ ЧЕРН К1'!C13)*СПРАВОЧНИК!$I$9+('ФАКТ ЧЕРН К1'!D13)*СПРАВОЧНИК!$J$9+('ФАКТ ЧЕРН К1'!E13)*СПРАВОЧНИК!$H$10+('ФАКТ ЧЕРН К1'!F13)*СПРАВОЧНИК!$I$10+('ФАКТ ЧЕРН К1'!G13)*СПРАВОЧНИК!$J$10+('ФАКТ ЧЕРН К1'!H13)*СПРАВОЧНИК!$H$11+('ФАКТ ЧЕРН К1'!I13)*СПРАВОЧНИК!$I$11+('ФАКТ ЧЕРН К1'!J13)*СПРАВОЧНИК!$J$11+('ФАКТ ЧЕРН К1'!K13)*СПРАВОЧНИК!$H$12+('ФАКТ ЧЕРН К1'!L13)*СПРАВОЧНИК!$I$12+('ФАКТ ЧЕРН К1'!M13)*СПРАВОЧНИК!$J$12+('ФАКТ ЧЕРН К1'!N13)*СПРАВОЧНИК!$H$13+('ФАКТ ЧЕРН К1'!O13)*СПРАВОЧНИК!$I$13+('ФАКТ ЧЕРН К1'!P13)*СПРАВОЧНИК!$J$13+('ФАКТ ЧЕРН К1'!Q13)*СПРАВОЧНИК!$H$14+('ФАКТ ЧЕРН К1'!R13)*СПРАВОЧНИК!$I$14+('ФАКТ ЧЕРН К1'!S13)*СПРАВОЧНИК!$J$14+('ФАКТ ЧЕРН К1'!T13)*СПРАВОЧНИК!$H$15+('ФАКТ ЧЕРН К1'!U13)*СПРАВОЧНИК!$I$15+('ФАКТ ЧЕРН К1'!V13)*СПРАВОЧНИК!$J$15</f>
        <v/>
      </c>
      <c r="AG22" s="18">
        <f>AG21+7</f>
        <v/>
      </c>
      <c r="AH22" s="37">
        <f>'ПЛАН ЧИСТ К1'!B13*СПРАВОЧНИК!$L$9+'ПЛАН ЧИСТ К1'!C13*СПРАВОЧНИК!$M$9+'ПЛАН ЧИСТ К1'!D13*СПРАВОЧНИК!$N$9+'ПЛАН ЧИСТ К1'!E13*СПРАВОЧНИК!$O$9+'ПЛАН ЧИСТ К1'!F13*СПРАВОЧНИК!$L$10+'ПЛАН ЧИСТ К1'!G13*СПРАВОЧНИК!$M$10+'ПЛАН ЧИСТ К1'!H13*СПРАВОЧНИК!$N$10+'ПЛАН ЧИСТ К1'!I13*СПРАВОЧНИК!$O$10+'ПЛАН ЧИСТ К1'!J13*СПРАВОЧНИК!$L$11+'ПЛАН ЧИСТ К1'!K13*СПРАВОЧНИК!$M$11+'ПЛАН ЧИСТ К1'!L13*СПРАВОЧНИК!$N$11+'ПЛАН ЧИСТ К1'!M13*СПРАВОЧНИК!$L$12+'ПЛАН ЧИСТ К1'!N13*СПРАВОЧНИК!$M$12+'ПЛАН ЧИСТ К1'!O13*СПРАВОЧНИК!$N$12+'ПЛАН ЧИСТ К1'!P13*СПРАВОЧНИК!$O$12+'ПЛАН ЧИСТ К1'!Q13*СПРАВОЧНИК!$L$13+'ПЛАН ЧИСТ К1'!R13*СПРАВОЧНИК!$M$13+'ПЛАН ЧИСТ К1'!S13*СПРАВОЧНИК!$N$13+'ПЛАН ЧИСТ К1'!T13*СПРАВОЧНИК!$O$13+'ПЛАН ЧИСТ К1'!U13*СПРАВОЧНИК!$L$14+'ПЛАН ЧИСТ К1'!V13*СПРАВОЧНИК!$M$14+'ПЛАН ЧИСТ К1'!W13*СПРАВОЧНИК!$N$14+'ПЛАН ЧИСТ К1'!X13*СПРАВОЧНИК!$L$15+'ПЛАН ЧИСТ К1'!Y13*СПРАВОЧНИК!$M$15+'ПЛАН ЧИСТ К1'!Z13*СПРАВОЧНИК!$N$15</f>
        <v/>
      </c>
      <c r="AI22" s="40">
        <f>('ФАКТ ЧИСТ К1'!B13)*СПРАВОЧНИК!$L$9+('ФАКТ ЧИСТ К1'!C13)*СПРАВОЧНИК!$M$9+('ФАКТ ЧИСТ К1'!D13)*СПРАВОЧНИК!$N$9+('ФАКТ ЧИСТ К1'!E13)*СПРАВОЧНИК!$O$9+('ФАКТ ЧИСТ К1'!F13)*СПРАВОЧНИК!$L$10+('ФАКТ ЧИСТ К1'!G13)*СПРАВОЧНИК!$M$10+('ФАКТ ЧИСТ К1'!H13)*СПРАВОЧНИК!$N$10+('ФАКТ ЧИСТ К1'!I13)*СПРАВОЧНИК!$O$10+('ФАКТ ЧИСТ К1'!J13)*СПРАВОЧНИК!$L$11+('ФАКТ ЧИСТ К1'!K13)*СПРАВОЧНИК!$M$11+('ФАКТ ЧИСТ К1'!L13)*СПРАВОЧНИК!$N$11+('ФАКТ ЧИСТ К1'!M13)*СПРАВОЧНИК!$L$12+('ФАКТ ЧИСТ К1'!N13)*СПРАВОЧНИК!$M$12+('ФАКТ ЧИСТ К1'!O13)*СПРАВОЧНИК!$N$12+('ФАКТ ЧИСТ К1'!P13)*СПРАВОЧНИК!$O$12+('ФАКТ ЧИСТ К1'!Q13)*СПРАВОЧНИК!$L$13+('ФАКТ ЧИСТ К1'!R13)*СПРАВОЧНИК!$M$13+('ФАКТ ЧИСТ К1'!S13)*СПРАВОЧНИК!$N$13+('ФАКТ ЧИСТ К1'!T13)*СПРАВОЧНИК!$O$13+('ФАКТ ЧИСТ К1'!U13)*СПРАВОЧНИК!$L$14+('ФАКТ ЧИСТ К1'!V13)*СПРАВОЧНИК!$M$14+('ФАКТ ЧИСТ К1'!W13)*СПРАВОЧНИК!$N$14+('ФАКТ ЧИСТ К1'!X13)*СПРАВОЧНИК!$L$15+('ФАКТ ЧИСТ К1'!Y13)*СПРАВОЧНИК!$M$15+('ФАКТ ЧИСТ К1'!Z13)*СПРАВОЧНИК!$N$15</f>
        <v/>
      </c>
      <c r="AM22" s="18">
        <f>AM21+7</f>
        <v/>
      </c>
      <c r="AN22" s="37">
        <f>СПРАВОЧНИК!$E$9*('ПЛАН ЧЕРН К2'!B13*СПРАВОЧНИК!$H$9+'ПЛАН ЧЕРН К2'!C13*СПРАВОЧНИК!$I$9+'ПЛАН ЧЕРН К2'!D13*СПРАВОЧНИК!$J$9)+СПРАВОЧНИК!$E$10*('ПЛАН ЧЕРН К2'!E13*СПРАВОЧНИК!$H$10+'ПЛАН ЧЕРН К2'!F13*СПРАВОЧНИК!$I$10+'ПЛАН ЧЕРН К2'!G13*СПРАВОЧНИК!$J$10)+СПРАВОЧНИК!$E$11*('ПЛАН ЧЕРН К2'!H13*СПРАВОЧНИК!$H$11+'ПЛАН ЧЕРН К2'!I13*СПРАВОЧНИК!$I$11+'ПЛАН ЧЕРН К2'!J13*СПРАВОЧНИК!$J$11)+СПРАВОЧНИК!$E$12*('ПЛАН ЧЕРН К2'!K13*СПРАВОЧНИК!$H$12+'ПЛАН ЧЕРН К2'!L13*СПРАВОЧНИК!$I$12+'ПЛАН ЧЕРН К2'!M13*СПРАВОЧНИК!$J$12)+СПРАВОЧНИК!$E$13*('ПЛАН ЧЕРН К2'!N13*СПРАВОЧНИК!$H$13+'ПЛАН ЧЕРН К2'!O13*СПРАВОЧНИК!$I$13+'ПЛАН ЧЕРН К2'!P13*СПРАВОЧНИК!$J$13)+СПРАВОЧНИК!$E$14*('ПЛАН ЧЕРН К2'!Q13*СПРАВОЧНИК!$H$14+'ПЛАН ЧЕРН К2'!R13*СПРАВОЧНИК!$I$14+'ПЛАН ЧЕРН К2'!S13*СПРАВОЧНИК!$J$14)+СПРАВОЧНИК!$E$15*('ПЛАН ЧЕРН К2'!T13*СПРАВОЧНИК!$H$15+'ПЛАН ЧЕРН К2'!U13*СПРАВОЧНИК!$I$15+'ПЛАН ЧЕРН К2'!V13*СПРАВОЧНИК!$J$15)+СПРАВОЧНИК!$F$9*('ПЛАН ЧИСТ К2'!B13*СПРАВОЧНИК!$L$9+'ПЛАН ЧИСТ К2'!C13*СПРАВОЧНИК!$M$9+'ПЛАН ЧИСТ К2'!D13*СПРАВОЧНИК!$N$9+'ПЛАН ЧИСТ К2'!E13*СПРАВОЧНИК!$O$9)+СПРАВОЧНИК!$F$10*('ПЛАН ЧИСТ К2'!F13*СПРАВОЧНИК!$L$10+'ПЛАН ЧИСТ К2'!G13*СПРАВОЧНИК!$M$10+'ПЛАН ЧИСТ К2'!H13*СПРАВОЧНИК!$N$10+'ПЛАН ЧИСТ К2'!I13*СПРАВОЧНИК!$O$10)+СПРАВОЧНИК!$F$11*('ПЛАН ЧИСТ К2'!J13*СПРАВОЧНИК!$L$11+'ПЛАН ЧИСТ К2'!K13*СПРАВОЧНИК!$M$11+'ПЛАН ЧИСТ К2'!L13*СПРАВОЧНИК!$N$11)+СПРАВОЧНИК!$F$12*('ПЛАН ЧИСТ К2'!M13*СПРАВОЧНИК!$L$12+'ПЛАН ЧИСТ К2'!N13*СПРАВОЧНИК!$M$12+'ПЛАН ЧИСТ К2'!O13*СПРАВОЧНИК!$N$12+'ПЛАН ЧИСТ К2'!P13*СПРАВОЧНИК!$O$12)+СПРАВОЧНИК!$F$13*('ПЛАН ЧИСТ К2'!Q13*СПРАВОЧНИК!$L$13+'ПЛАН ЧИСТ К2'!R13*СПРАВОЧНИК!$M$13+'ПЛАН ЧИСТ К2'!S13*СПРАВОЧНИК!$N$13+'ПЛАН ЧИСТ К2'!T13*СПРАВОЧНИК!$O$13)+СПРАВОЧНИК!$F$14*('ПЛАН ЧИСТ К2'!U13*СПРАВОЧНИК!$L$14+'ПЛАН ЧИСТ К2'!V13*СПРАВОЧНИК!$M$14+'ПЛАН ЧИСТ К2'!W13*СПРАВОЧНИК!$N$14)+СПРАВОЧНИК!$F$15*('ПЛАН ЧИСТ К2'!X13*СПРАВОЧНИК!$L$15+'ПЛАН ЧИСТ К2'!Y13*СПРАВОЧНИК!$M$15+'ПЛАН ЧИСТ К2'!Z13*СПРАВОЧНИК!$N$15)</f>
        <v/>
      </c>
      <c r="AO22" s="40">
        <f>СПРАВОЧНИК!$E$9*(('ФАКТ ЧЕРН К2'!B13)*СПРАВОЧНИК!$H$9+('ФАКТ ЧЕРН К2'!C13)*СПРАВОЧНИК!$I$9+('ФАКТ ЧЕРН К2'!D13)*СПРАВОЧНИК!$J$9)+СПРАВОЧНИК!$E$10*(('ФАКТ ЧЕРН К2'!E13)*СПРАВОЧНИК!$H$10+('ФАКТ ЧЕРН К2'!F13)*СПРАВОЧНИК!$I$10+('ФАКТ ЧЕРН К2'!G13)*СПРАВОЧНИК!$J$10)+СПРАВОЧНИК!$E$11*(('ФАКТ ЧЕРН К2'!H13)*СПРАВОЧНИК!$H$11+('ФАКТ ЧЕРН К2'!I13)*СПРАВОЧНИК!$I$11+('ФАКТ ЧЕРН К2'!J13)*СПРАВОЧНИК!$J$11)+СПРАВОЧНИК!$E$12*(('ФАКТ ЧЕРН К2'!K13)*СПРАВОЧНИК!$H$12+('ФАКТ ЧЕРН К2'!L13)*СПРАВОЧНИК!$I$12+('ФАКТ ЧЕРН К2'!M13)*СПРАВОЧНИК!$J$12)+СПРАВОЧНИК!$E$13*(('ФАКТ ЧЕРН К2'!N13)*СПРАВОЧНИК!$H$13+('ФАКТ ЧЕРН К2'!O13)*СПРАВОЧНИК!$I$13+('ФАКТ ЧЕРН К2'!P13)*СПРАВОЧНИК!$J$13)+СПРАВОЧНИК!$E$14*(('ФАКТ ЧЕРН К2'!Q13)*СПРАВОЧНИК!$H$14+('ФАКТ ЧЕРН К2'!R13)*СПРАВОЧНИК!$I$14+('ФАКТ ЧЕРН К2'!S13)*СПРАВОЧНИК!$J$14)+СПРАВОЧНИК!$E$15*(('ФАКТ ЧЕРН К2'!T13)*СПРАВОЧНИК!$H$15+('ФАКТ ЧЕРН К2'!U13)*СПРАВОЧНИК!$I$15+('ФАКТ ЧЕРН К2'!V13)*СПРАВОЧНИК!$J$15)+СПРАВОЧНИК!$F$9*(('ФАКТ ЧИСТ К2'!B13)*СПРАВОЧНИК!$L$9+('ФАКТ ЧИСТ К2'!C13)*СПРАВОЧНИК!$M$9+('ФАКТ ЧИСТ К2'!D13)*СПРАВОЧНИК!$N$9+('ФАКТ ЧИСТ К2'!E13)*СПРАВОЧНИК!$O$9)+СПРАВОЧНИК!$F$10*(('ФАКТ ЧИСТ К2'!F13)*СПРАВОЧНИК!$L$10+('ФАКТ ЧИСТ К2'!G13)*СПРАВОЧНИК!$M$10+('ФАКТ ЧИСТ К2'!H13)*СПРАВОЧНИК!$N$10+('ФАКТ ЧИСТ К2'!I13)*СПРАВОЧНИК!$O$10)+СПРАВОЧНИК!$F$11*(('ФАКТ ЧИСТ К2'!J13)*СПРАВОЧНИК!$L$11+('ФАКТ ЧИСТ К2'!K13)*СПРАВОЧНИК!$M$11+('ФАКТ ЧИСТ К2'!L13)*СПРАВОЧНИК!$N$11)+СПРАВОЧНИК!$F$12*(('ФАКТ ЧИСТ К2'!M13)*СПРАВОЧНИК!$L$12+('ФАКТ ЧИСТ К2'!N13)*СПРАВОЧНИК!$M$12+('ФАКТ ЧИСТ К2'!O13)*СПРАВОЧНИК!$N$12+('ФАКТ ЧИСТ К2'!P13)*СПРАВОЧНИК!$O$12)+СПРАВОЧНИК!$F$13*(('ФАКТ ЧИСТ К2'!Q13)*СПРАВОЧНИК!$L$13+('ФАКТ ЧИСТ К2'!R13)*СПРАВОЧНИК!$M$13+('ФАКТ ЧИСТ К2'!S13)*СПРАВОЧНИК!$N$13+('ФАКТ ЧИСТ К2'!T13)*СПРАВОЧНИК!$O$13)+СПРАВОЧНИК!$F$14*(('ФАКТ ЧИСТ К2'!U13)*СПРАВОЧНИК!$L$14+('ФАКТ ЧИСТ К2'!V13)*СПРАВОЧНИК!$M$14+('ФАКТ ЧИСТ К2'!W13)*СПРАВОЧНИК!$N$14)+СПРАВОЧНИК!$F$15*(('ФАКТ ЧИСТ К2'!X13)*СПРАВОЧНИК!$L$15+('ФАКТ ЧИСТ К2'!Y13)*СПРАВОЧНИК!$M$15+('ФАКТ ЧИСТ К2'!Z13)*СПРАВОЧНИК!$N$15)</f>
        <v/>
      </c>
      <c r="AS22" s="18">
        <f>AS21+7</f>
        <v/>
      </c>
      <c r="AT22" s="37">
        <f>'ПЛАН ЧЕРН К2'!B13*СПРАВОЧНИК!$H$9+'ПЛАН ЧЕРН К2'!C13*СПРАВОЧНИК!$I$9+'ПЛАН ЧЕРН К2'!D13*СПРАВОЧНИК!$J$9+'ПЛАН ЧЕРН К2'!E13*СПРАВОЧНИК!$H$10+'ПЛАН ЧЕРН К2'!F13*СПРАВОЧНИК!$I$10+'ПЛАН ЧЕРН К2'!G13*СПРАВОЧНИК!$J$10+'ПЛАН ЧЕРН К2'!H13*СПРАВОЧНИК!$H$11+'ПЛАН ЧЕРН К2'!I13*СПРАВОЧНИК!$I$11+'ПЛАН ЧЕРН К2'!J13*СПРАВОЧНИК!$J$11+'ПЛАН ЧЕРН К2'!K13*СПРАВОЧНИК!$H$12+'ПЛАН ЧЕРН К2'!L13*СПРАВОЧНИК!$I$12+'ПЛАН ЧЕРН К2'!M13*СПРАВОЧНИК!$J$12+'ПЛАН ЧЕРН К2'!N13*СПРАВОЧНИК!$H$13+'ПЛАН ЧЕРН К2'!O13*СПРАВОЧНИК!$I$13+'ПЛАН ЧЕРН К2'!P13*СПРАВОЧНИК!$J$13+'ПЛАН ЧЕРН К2'!Q13*СПРАВОЧНИК!$H$14+'ПЛАН ЧЕРН К2'!R13*СПРАВОЧНИК!$I$14+'ПЛАН ЧЕРН К2'!S13*СПРАВОЧНИК!$J$14+'ПЛАН ЧЕРН К2'!T13*СПРАВОЧНИК!$H$15+'ПЛАН ЧЕРН К2'!U13*СПРАВОЧНИК!$I$15+'ПЛАН ЧЕРН К2'!V13*СПРАВОЧНИК!$J$15</f>
        <v/>
      </c>
      <c r="AU22" s="40">
        <f>('ФАКТ ЧЕРН К2'!B13)*СПРАВОЧНИК!$H$9+('ФАКТ ЧЕРН К2'!C13)*СПРАВОЧНИК!$I$9+('ФАКТ ЧЕРН К2'!D13)*СПРАВОЧНИК!$J$9+('ФАКТ ЧЕРН К2'!E13)*СПРАВОЧНИК!$H$10+('ФАКТ ЧЕРН К2'!F13)*СПРАВОЧНИК!$I$10+('ФАКТ ЧЕРН К2'!G13)*СПРАВОЧНИК!$J$10+('ФАКТ ЧЕРН К2'!H13)*СПРАВОЧНИК!$H$11+('ФАКТ ЧЕРН К2'!I13)*СПРАВОЧНИК!$I$11+('ФАКТ ЧЕРН К2'!J13)*СПРАВОЧНИК!$J$11+('ФАКТ ЧЕРН К2'!K13)*СПРАВОЧНИК!$H$12+('ФАКТ ЧЕРН К2'!L13)*СПРАВОЧНИК!$I$12+('ФАКТ ЧЕРН К2'!M13)*СПРАВОЧНИК!$J$12+('ФАКТ ЧЕРН К2'!N13)*СПРАВОЧНИК!$H$13+('ФАКТ ЧЕРН К2'!O13)*СПРАВОЧНИК!$I$13+('ФАКТ ЧЕРН К2'!P13)*СПРАВОЧНИК!$J$13+('ФАКТ ЧЕРН К2'!Q13)*СПРАВОЧНИК!$H$14+('ФАКТ ЧЕРН К2'!R13)*СПРАВОЧНИК!$I$14+('ФАКТ ЧЕРН К2'!S13)*СПРАВОЧНИК!$J$14+('ФАКТ ЧЕРН К2'!T13)*СПРАВОЧНИК!$H$15+('ФАКТ ЧЕРН К2'!U13)*СПРАВОЧНИК!$I$15+('ФАКТ ЧЕРН К2'!V13)*СПРАВОЧНИК!$J$15</f>
        <v/>
      </c>
      <c r="AY22" s="18">
        <f>AY21+7</f>
        <v/>
      </c>
      <c r="AZ22" s="37">
        <f>'ПЛАН ЧИСТ К2'!B13*СПРАВОЧНИК!$L$9+'ПЛАН ЧИСТ К2'!C13*СПРАВОЧНИК!$M$9+'ПЛАН ЧИСТ К2'!D13*СПРАВОЧНИК!$N$9+'ПЛАН ЧИСТ К2'!E13*СПРАВОЧНИК!$O$9+'ПЛАН ЧИСТ К2'!F13*СПРАВОЧНИК!$L$10+'ПЛАН ЧИСТ К2'!G13*СПРАВОЧНИК!$M$10+'ПЛАН ЧИСТ К2'!H13*СПРАВОЧНИК!$N$10+'ПЛАН ЧИСТ К2'!I13*СПРАВОЧНИК!$O$10+'ПЛАН ЧИСТ К2'!J13*СПРАВОЧНИК!$L$11+'ПЛАН ЧИСТ К2'!K13*СПРАВОЧНИК!$M$11+'ПЛАН ЧИСТ К2'!L13*СПРАВОЧНИК!$N$11+'ПЛАН ЧИСТ К2'!M13*СПРАВОЧНИК!$L$12+'ПЛАН ЧИСТ К2'!N13*СПРАВОЧНИК!$M$12+'ПЛАН ЧИСТ К2'!O13*СПРАВОЧНИК!$N$12+'ПЛАН ЧИСТ К2'!P13*СПРАВОЧНИК!$O$12+'ПЛАН ЧИСТ К2'!Q13*СПРАВОЧНИК!$L$13+'ПЛАН ЧИСТ К2'!R13*СПРАВОЧНИК!$M$13+'ПЛАН ЧИСТ К2'!S13*СПРАВОЧНИК!$N$13+'ПЛАН ЧИСТ К2'!T13*СПРАВОЧНИК!$O$13+'ПЛАН ЧИСТ К2'!U13*СПРАВОЧНИК!$L$14+'ПЛАН ЧИСТ К2'!V13*СПРАВОЧНИК!$M$14+'ПЛАН ЧИСТ К2'!W13*СПРАВОЧНИК!$N$14+'ПЛАН ЧИСТ К2'!X13*СПРАВОЧНИК!$L$15+'ПЛАН ЧИСТ К2'!Y13*СПРАВОЧНИК!$M$15+'ПЛАН ЧИСТ К2'!Z13*СПРАВОЧНИК!$N$15</f>
        <v/>
      </c>
      <c r="BA22" s="40">
        <f>('ФАКТ ЧИСТ К2'!B13)*СПРАВОЧНИК!$L$9+('ФАКТ ЧИСТ К2'!C13)*СПРАВОЧНИК!$M$9+('ФАКТ ЧИСТ К2'!D13)*СПРАВОЧНИК!$N$9+('ФАКТ ЧИСТ К2'!E13)*СПРАВОЧНИК!$O$9+('ФАКТ ЧИСТ К2'!F13)*СПРАВОЧНИК!$L$10+('ФАКТ ЧИСТ К2'!G13)*СПРАВОЧНИК!$M$10+('ФАКТ ЧИСТ К2'!H13)*СПРАВОЧНИК!$N$10+('ФАКТ ЧИСТ К2'!I13)*СПРАВОЧНИК!$O$10+('ФАКТ ЧИСТ К2'!J13)*СПРАВОЧНИК!$L$11+('ФАКТ ЧИСТ К2'!K13)*СПРАВОЧНИК!$M$11+('ФАКТ ЧИСТ К2'!L13)*СПРАВОЧНИК!$N$11+('ФАКТ ЧИСТ К2'!M13)*СПРАВОЧНИК!$L$12+('ФАКТ ЧИСТ К2'!N13)*СПРАВОЧНИК!$M$12+('ФАКТ ЧИСТ К2'!O13)*СПРАВОЧНИК!$N$12+('ФАКТ ЧИСТ К2'!P13)*СПРАВОЧНИК!$O$12+('ФАКТ ЧИСТ К2'!Q13)*СПРАВОЧНИК!$L$13+('ФАКТ ЧИСТ К2'!R13)*СПРАВОЧНИК!$M$13+('ФАКТ ЧИСТ К2'!S13)*СПРАВОЧНИК!$N$13+('ФАКТ ЧИСТ К2'!T13)*СПРАВОЧНИК!$O$13+('ФАКТ ЧИСТ К2'!U13)*СПРАВОЧНИК!$L$14+('ФАКТ ЧИСТ К2'!V13)*СПРАВОЧНИК!$M$14+('ФАКТ ЧИСТ К2'!W13)*СПРАВОЧНИК!$N$14+('ФАКТ ЧИСТ К2'!X13)*СПРАВОЧНИК!$L$15+('ФАКТ ЧИСТ К2'!Y13)*СПРАВОЧНИК!$M$15+('ФАКТ ЧИСТ К2'!Z13)*СПРАВОЧНИК!$N$15</f>
        <v/>
      </c>
      <c r="BE22" s="18">
        <f>BE21+7</f>
        <v/>
      </c>
      <c r="BF22" s="37">
        <f>СПРАВОЧНИК!$E$9*('ПЛАН ЧЕРН К3'!B13*СПРАВОЧНИК!$H$9+'ПЛАН ЧЕРН К3'!C13*СПРАВОЧНИК!$I$9+'ПЛАН ЧЕРН К3'!D13*СПРАВОЧНИК!$J$9)+СПРАВОЧНИК!$E$10*('ПЛАН ЧЕРН К3'!E13*СПРАВОЧНИК!$H$10+'ПЛАН ЧЕРН К3'!F13*СПРАВОЧНИК!$I$10+'ПЛАН ЧЕРН К3'!G13*СПРАВОЧНИК!$J$10)+СПРАВОЧНИК!$E$11*('ПЛАН ЧЕРН К3'!H13*СПРАВОЧНИК!$H$11+'ПЛАН ЧЕРН К3'!I13*СПРАВОЧНИК!$I$11+'ПЛАН ЧЕРН К3'!J13*СПРАВОЧНИК!$J$11)+СПРАВОЧНИК!$E$12*('ПЛАН ЧЕРН К3'!K13*СПРАВОЧНИК!$H$12+'ПЛАН ЧЕРН К3'!L13*СПРАВОЧНИК!$I$12+'ПЛАН ЧЕРН К3'!M13*СПРАВОЧНИК!$J$12)+СПРАВОЧНИК!$E$13*('ПЛАН ЧЕРН К3'!N13*СПРАВОЧНИК!$H$13+'ПЛАН ЧЕРН К3'!O13*СПРАВОЧНИК!$I$13+'ПЛАН ЧЕРН К3'!P13*СПРАВОЧНИК!$J$13)+СПРАВОЧНИК!$E$14*('ПЛАН ЧЕРН К3'!Q13*СПРАВОЧНИК!$H$14+'ПЛАН ЧЕРН К3'!R13*СПРАВОЧНИК!$I$14+'ПЛАН ЧЕРН К3'!S13*СПРАВОЧНИК!$J$14)+СПРАВОЧНИК!$E$15*('ПЛАН ЧЕРН К3'!T13*СПРАВОЧНИК!$H$15+'ПЛАН ЧЕРН К3'!U13*СПРАВОЧНИК!$I$15+'ПЛАН ЧЕРН К3'!V13*СПРАВОЧНИК!$J$15)+СПРАВОЧНИК!$F$9*('ПЛАН ЧИСТ К3'!B13*СПРАВОЧНИК!$L$9+'ПЛАН ЧИСТ К3'!C13*СПРАВОЧНИК!$M$9+'ПЛАН ЧИСТ К3'!D13*СПРАВОЧНИК!$N$9+'ПЛАН ЧИСТ К3'!E13*СПРАВОЧНИК!$O$9)+СПРАВОЧНИК!$F$10*('ПЛАН ЧИСТ К3'!F13*СПРАВОЧНИК!$L$10+'ПЛАН ЧИСТ К3'!G13*СПРАВОЧНИК!$M$10+'ПЛАН ЧИСТ К3'!H13*СПРАВОЧНИК!$N$10+'ПЛАН ЧИСТ К3'!I13*СПРАВОЧНИК!$O$10)+СПРАВОЧНИК!$F$11*('ПЛАН ЧИСТ К3'!J13*СПРАВОЧНИК!$L$11+'ПЛАН ЧИСТ К3'!K13*СПРАВОЧНИК!$M$11+'ПЛАН ЧИСТ К3'!L13*СПРАВОЧНИК!$N$11)+СПРАВОЧНИК!$F$12*('ПЛАН ЧИСТ К3'!M13*СПРАВОЧНИК!$L$12+'ПЛАН ЧИСТ К3'!N13*СПРАВОЧНИК!$M$12+'ПЛАН ЧИСТ К3'!O13*СПРАВОЧНИК!$N$12+'ПЛАН ЧИСТ К3'!P13*СПРАВОЧНИК!$O$12)+СПРАВОЧНИК!$F$13*('ПЛАН ЧИСТ К3'!Q13*СПРАВОЧНИК!$L$13+'ПЛАН ЧИСТ К3'!R13*СПРАВОЧНИК!$M$13+'ПЛАН ЧИСТ К3'!S13*СПРАВОЧНИК!$N$13+'ПЛАН ЧИСТ К3'!T13*СПРАВОЧНИК!$O$13)+СПРАВОЧНИК!$F$14*('ПЛАН ЧИСТ К3'!U13*СПРАВОЧНИК!$L$14+'ПЛАН ЧИСТ К3'!V13*СПРАВОЧНИК!$M$14+'ПЛАН ЧИСТ К3'!W13*СПРАВОЧНИК!$N$14)+СПРАВОЧНИК!$F$15*('ПЛАН ЧИСТ К3'!X13*СПРАВОЧНИК!$L$15+'ПЛАН ЧИСТ К3'!Y13*СПРАВОЧНИК!$M$15+'ПЛАН ЧИСТ К3'!Z13*СПРАВОЧНИК!$N$15)</f>
        <v/>
      </c>
      <c r="BG22" s="40">
        <f>СПРАВОЧНИК!$E$9*(('ФАКТ ЧЕРН К3'!B13)*СПРАВОЧНИК!$H$9+('ФАКТ ЧЕРН К3'!C13)*СПРАВОЧНИК!$I$9+('ФАКТ ЧЕРН К3'!D13)*СПРАВОЧНИК!$J$9)+СПРАВОЧНИК!$E$10*(('ФАКТ ЧЕРН К3'!E13)*СПРАВОЧНИК!$H$10+('ФАКТ ЧЕРН К3'!F13)*СПРАВОЧНИК!$I$10+('ФАКТ ЧЕРН К3'!G13)*СПРАВОЧНИК!$J$10)+СПРАВОЧНИК!$E$11*(('ФАКТ ЧЕРН К3'!H13)*СПРАВОЧНИК!$H$11+('ФАКТ ЧЕРН К3'!I13)*СПРАВОЧНИК!$I$11+('ФАКТ ЧЕРН К3'!J13)*СПРАВОЧНИК!$J$11)+СПРАВОЧНИК!$E$12*(('ФАКТ ЧЕРН К3'!K13)*СПРАВОЧНИК!$H$12+('ФАКТ ЧЕРН К3'!L13)*СПРАВОЧНИК!$I$12+('ФАКТ ЧЕРН К3'!M13)*СПРАВОЧНИК!$J$12)+СПРАВОЧНИК!$E$13*(('ФАКТ ЧЕРН К3'!N13)*СПРАВОЧНИК!$H$13+('ФАКТ ЧЕРН К3'!O13)*СПРАВОЧНИК!$I$13+('ФАКТ ЧЕРН К3'!P13)*СПРАВОЧНИК!$J$13)+СПРАВОЧНИК!$E$14*(('ФАКТ ЧЕРН К3'!Q13)*СПРАВОЧНИК!$H$14+('ФАКТ ЧЕРН К3'!R13)*СПРАВОЧНИК!$I$14+('ФАКТ ЧЕРН К3'!S13)*СПРАВОЧНИК!$J$14)+СПРАВОЧНИК!$E$15*(('ФАКТ ЧЕРН К3'!T13)*СПРАВОЧНИК!$H$15+('ФАКТ ЧЕРН К3'!U13)*СПРАВОЧНИК!$I$15+('ФАКТ ЧЕРН К3'!V13)*СПРАВОЧНИК!$J$15)+СПРАВОЧНИК!$F$9*(('ФАКТ ЧИСТ К3'!B13)*СПРАВОЧНИК!$L$9+('ФАКТ ЧИСТ К3'!C13)*СПРАВОЧНИК!$M$9+('ФАКТ ЧИСТ К3'!D13)*СПРАВОЧНИК!$N$9+('ФАКТ ЧИСТ К3'!E13)*СПРАВОЧНИК!$O$9)+СПРАВОЧНИК!$F$10*(('ФАКТ ЧИСТ К3'!F13)*СПРАВОЧНИК!$L$10+('ФАКТ ЧИСТ К3'!G13)*СПРАВОЧНИК!$M$10+('ФАКТ ЧИСТ К3'!H13)*СПРАВОЧНИК!$N$10+('ФАКТ ЧИСТ К3'!I13)*СПРАВОЧНИК!$O$10)+СПРАВОЧНИК!$F$11*(('ФАКТ ЧИСТ К3'!J13)*СПРАВОЧНИК!$L$11+('ФАКТ ЧИСТ К3'!K13)*СПРАВОЧНИК!$M$11+('ФАКТ ЧИСТ К3'!L13)*СПРАВОЧНИК!$N$11)+СПРАВОЧНИК!$F$12*(('ФАКТ ЧИСТ К3'!M13)*СПРАВОЧНИК!$L$12+('ФАКТ ЧИСТ К3'!N13)*СПРАВОЧНИК!$M$12+('ФАКТ ЧИСТ К3'!O13)*СПРАВОЧНИК!$N$12+('ФАКТ ЧИСТ К3'!P13)*СПРАВОЧНИК!$O$12)+СПРАВОЧНИК!$F$13*(('ФАКТ ЧИСТ К3'!Q13)*СПРАВОЧНИК!$L$13+('ФАКТ ЧИСТ К3'!R13)*СПРАВОЧНИК!$M$13+('ФАКТ ЧИСТ К3'!S13)*СПРАВОЧНИК!$N$13+('ФАКТ ЧИСТ К3'!T13)*СПРАВОЧНИК!$O$13)+СПРАВОЧНИК!$F$14*(('ФАКТ ЧИСТ К3'!U13)*СПРАВОЧНИК!$L$14+('ФАКТ ЧИСТ К3'!V13)*СПРАВОЧНИК!$M$14+('ФАКТ ЧИСТ К3'!W13)*СПРАВОЧНИК!$N$14)+СПРАВОЧНИК!$F$15*(('ФАКТ ЧИСТ К3'!X13)*СПРАВОЧНИК!$L$15+('ФАКТ ЧИСТ К3'!Y13)*СПРАВОЧНИК!$M$15+('ФАКТ ЧИСТ К3'!Z13)*СПРАВОЧНИК!$N$15)</f>
        <v/>
      </c>
      <c r="BK22" s="18">
        <f>BK21+7</f>
        <v/>
      </c>
      <c r="BL22" s="37">
        <f>'ПЛАН ЧЕРН К3'!B13*СПРАВОЧНИК!$H$9+'ПЛАН ЧЕРН К3'!C13*СПРАВОЧНИК!$I$9+'ПЛАН ЧЕРН К3'!D13*СПРАВОЧНИК!$J$9+'ПЛАН ЧЕРН К3'!E13*СПРАВОЧНИК!$H$10+'ПЛАН ЧЕРН К3'!F13*СПРАВОЧНИК!$I$10+'ПЛАН ЧЕРН К3'!G13*СПРАВОЧНИК!$J$10+'ПЛАН ЧЕРН К3'!H13*СПРАВОЧНИК!$H$11+'ПЛАН ЧЕРН К3'!I13*СПРАВОЧНИК!$I$11+'ПЛАН ЧЕРН К3'!J13*СПРАВОЧНИК!$J$11+'ПЛАН ЧЕРН К3'!K13*СПРАВОЧНИК!$H$12+'ПЛАН ЧЕРН К3'!L13*СПРАВОЧНИК!$I$12+'ПЛАН ЧЕРН К3'!M13*СПРАВОЧНИК!$J$12+'ПЛАН ЧЕРН К3'!N13*СПРАВОЧНИК!$H$13+'ПЛАН ЧЕРН К3'!O13*СПРАВОЧНИК!$I$13+'ПЛАН ЧЕРН К3'!P13*СПРАВОЧНИК!$J$13+'ПЛАН ЧЕРН К3'!Q13*СПРАВОЧНИК!$H$14+'ПЛАН ЧЕРН К3'!R13*СПРАВОЧНИК!$I$14+'ПЛАН ЧЕРН К3'!S13*СПРАВОЧНИК!$J$14+'ПЛАН ЧЕРН К3'!T13*СПРАВОЧНИК!$H$15+'ПЛАН ЧЕРН К3'!U13*СПРАВОЧНИК!$I$15+'ПЛАН ЧЕРН К3'!V13*СПРАВОЧНИК!$J$15</f>
        <v/>
      </c>
      <c r="BM22" s="40">
        <f>('ФАКТ ЧЕРН К3'!B13)*СПРАВОЧНИК!$H$9+('ФАКТ ЧЕРН К3'!C13)*СПРАВОЧНИК!$I$9+('ФАКТ ЧЕРН К3'!D13)*СПРАВОЧНИК!$J$9+('ФАКТ ЧЕРН К3'!E13)*СПРАВОЧНИК!$H$10+('ФАКТ ЧЕРН К3'!F13)*СПРАВОЧНИК!$I$10+('ФАКТ ЧЕРН К3'!G13)*СПРАВОЧНИК!$J$10+('ФАКТ ЧЕРН К3'!H13)*СПРАВОЧНИК!$H$11+('ФАКТ ЧЕРН К3'!I13)*СПРАВОЧНИК!$I$11+('ФАКТ ЧЕРН К3'!J13)*СПРАВОЧНИК!$J$11+('ФАКТ ЧЕРН К3'!K13)*СПРАВОЧНИК!$H$12+('ФАКТ ЧЕРН К3'!L13)*СПРАВОЧНИК!$I$12+('ФАКТ ЧЕРН К3'!M13)*СПРАВОЧНИК!$J$12+('ФАКТ ЧЕРН К3'!N13)*СПРАВОЧНИК!$H$13+('ФАКТ ЧЕРН К3'!O13)*СПРАВОЧНИК!$I$13+('ФАКТ ЧЕРН К3'!P13)*СПРАВОЧНИК!$J$13+('ФАКТ ЧЕРН К3'!Q13)*СПРАВОЧНИК!$H$14+('ФАКТ ЧЕРН К3'!R13)*СПРАВОЧНИК!$I$14+('ФАКТ ЧЕРН К3'!S13)*СПРАВОЧНИК!$J$14+('ФАКТ ЧЕРН К3'!T13)*СПРАВОЧНИК!$H$15+('ФАКТ ЧЕРН К3'!U13)*СПРАВОЧНИК!$I$15+('ФАКТ ЧЕРН К3'!V13)*СПРАВОЧНИК!$J$15</f>
        <v/>
      </c>
      <c r="BQ22" s="18">
        <f>BQ21+7</f>
        <v/>
      </c>
      <c r="BR22" s="37">
        <f>'ПЛАН ЧИСТ К3'!B13*СПРАВОЧНИК!$L$9+'ПЛАН ЧИСТ К3'!C13*СПРАВОЧНИК!$M$9+'ПЛАН ЧИСТ К3'!D13*СПРАВОЧНИК!$N$9+'ПЛАН ЧИСТ К3'!E13*СПРАВОЧНИК!$O$9+'ПЛАН ЧИСТ К3'!F13*СПРАВОЧНИК!$L$10+'ПЛАН ЧИСТ К3'!G13*СПРАВОЧНИК!$M$10+'ПЛАН ЧИСТ К3'!H13*СПРАВОЧНИК!$N$10+'ПЛАН ЧИСТ К3'!I13*СПРАВОЧНИК!$O$10+'ПЛАН ЧИСТ К3'!J13*СПРАВОЧНИК!$L$11+'ПЛАН ЧИСТ К3'!K13*СПРАВОЧНИК!$M$11+'ПЛАН ЧИСТ К3'!L13*СПРАВОЧНИК!$N$11+'ПЛАН ЧИСТ К3'!M13*СПРАВОЧНИК!$L$12+'ПЛАН ЧИСТ К3'!N13*СПРАВОЧНИК!$M$12+'ПЛАН ЧИСТ К3'!O13*СПРАВОЧНИК!$N$12+'ПЛАН ЧИСТ К3'!P13*СПРАВОЧНИК!$O$12+'ПЛАН ЧИСТ К3'!Q13*СПРАВОЧНИК!$L$13+'ПЛАН ЧИСТ К3'!R13*СПРАВОЧНИК!$M$13+'ПЛАН ЧИСТ К3'!S13*СПРАВОЧНИК!$N$13+'ПЛАН ЧИСТ К3'!T13*СПРАВОЧНИК!$O$13+'ПЛАН ЧИСТ К3'!U13*СПРАВОЧНИК!$L$14+'ПЛАН ЧИСТ К3'!V13*СПРАВОЧНИК!$M$14+'ПЛАН ЧИСТ К3'!W13*СПРАВОЧНИК!$N$14+'ПЛАН ЧИСТ К3'!X13*СПРАВОЧНИК!$L$15+'ПЛАН ЧИСТ К3'!Y13*СПРАВОЧНИК!$M$15+'ПЛАН ЧИСТ К3'!Z13*СПРАВОЧНИК!$N$15</f>
        <v/>
      </c>
      <c r="BS22" s="40">
        <f>('ФАКТ ЧИСТ К3'!B13)*СПРАВОЧНИК!$L$9+('ФАКТ ЧИСТ К3'!C13)*СПРАВОЧНИК!$M$9+('ФАКТ ЧИСТ К3'!D13)*СПРАВОЧНИК!$N$9+('ФАКТ ЧИСТ К3'!E13)*СПРАВОЧНИК!$O$9+('ФАКТ ЧИСТ К3'!F13)*СПРАВОЧНИК!$L$10+('ФАКТ ЧИСТ К3'!G13)*СПРАВОЧНИК!$M$10+('ФАКТ ЧИСТ К3'!H13)*СПРАВОЧНИК!$N$10+('ФАКТ ЧИСТ К3'!I13)*СПРАВОЧНИК!$O$10+('ФАКТ ЧИСТ К3'!J13)*СПРАВОЧНИК!$L$11+('ФАКТ ЧИСТ К3'!K13)*СПРАВОЧНИК!$M$11+('ФАКТ ЧИСТ К3'!L13)*СПРАВОЧНИК!$N$11+('ФАКТ ЧИСТ К3'!M13)*СПРАВОЧНИК!$L$12+('ФАКТ ЧИСТ К3'!N13)*СПРАВОЧНИК!$M$12+('ФАКТ ЧИСТ К3'!O13)*СПРАВОЧНИК!$N$12+('ФАКТ ЧИСТ К3'!P13)*СПРАВОЧНИК!$O$12+('ФАКТ ЧИСТ К3'!Q13)*СПРАВОЧНИК!$L$13+('ФАКТ ЧИСТ К3'!R13)*СПРАВОЧНИК!$M$13+('ФАКТ ЧИСТ К3'!S13)*СПРАВОЧНИК!$N$13+('ФАКТ ЧИСТ К3'!T13)*СПРАВОЧНИК!$O$13+('ФАКТ ЧИСТ К3'!U13)*СПРАВОЧНИК!$L$14+('ФАКТ ЧИСТ К3'!V13)*СПРАВОЧНИК!$M$14+('ФАКТ ЧИСТ К3'!W13)*СПРАВОЧНИК!$N$14+('ФАКТ ЧИСТ К3'!X13)*СПРАВОЧНИК!$L$15+('ФАКТ ЧИСТ К3'!Y13)*СПРАВОЧНИК!$M$15+('ФАКТ ЧИСТ К3'!Z13)*СПРАВОЧНИК!$N$15</f>
        <v/>
      </c>
      <c r="BW22" s="18">
        <f>BW21+7</f>
        <v/>
      </c>
      <c r="BX22" s="37">
        <f>V22+AN22+BF22</f>
        <v/>
      </c>
      <c r="BY22" s="40">
        <f>W22+AO22+BG22</f>
        <v/>
      </c>
      <c r="CC22" s="18">
        <f>CC21+7</f>
        <v/>
      </c>
      <c r="CD22" s="37">
        <f>AB22+AT22+BL22</f>
        <v/>
      </c>
      <c r="CE22" s="40">
        <f>AC22+AU22+BM22</f>
        <v/>
      </c>
      <c r="CI22" s="18">
        <f>CI21+7</f>
        <v/>
      </c>
      <c r="CJ22" s="37">
        <f>AH22+AZ22+BR22</f>
        <v/>
      </c>
      <c r="CK22" s="40">
        <f>AI22+BA22+BS22</f>
        <v/>
      </c>
      <c r="CO22" s="18">
        <f>CO21+7</f>
        <v/>
      </c>
      <c r="CP22" s="37">
        <f>D22+BX22</f>
        <v/>
      </c>
      <c r="CQ22" s="40">
        <f>E22+BY22</f>
        <v/>
      </c>
      <c r="CU22" s="18">
        <f>CU21+7</f>
        <v/>
      </c>
      <c r="CV22" s="37">
        <f>J22+CD22</f>
        <v/>
      </c>
      <c r="CW22" s="40">
        <f>K22+CE22</f>
        <v/>
      </c>
      <c r="DA22" s="18">
        <f>DA21+7</f>
        <v/>
      </c>
      <c r="DB22" s="37">
        <f>P22+CJ22</f>
        <v/>
      </c>
      <c r="DC22" s="40">
        <f>Q22+CK22</f>
        <v/>
      </c>
    </row>
    <row r="23">
      <c r="C23" s="18">
        <f>C22+7</f>
        <v/>
      </c>
      <c r="D23" s="37">
        <f>СПРАВОЧНИК!$E$3*('ПЛАН ЧЕРН ПОДЗЕМ'!B14*СПРАВОЧНИК!$H$3+'ПЛАН ЧЕРН ПОДЗЕМ'!C14*СПРАВОЧНИК!$I$3+'ПЛАН ЧЕРН ПОДЗЕМ'!D14*СПРАВОЧНИК!$J$3)+СПРАВОЧНИК!$E$4*('ПЛАН ЧЕРН ПОДЗЕМ'!E14*СПРАВОЧНИК!$H$4+'ПЛАН ЧЕРН ПОДЗЕМ'!F14*СПРАВОЧНИК!$I$4+'ПЛАН ЧЕРН ПОДЗЕМ'!G14*СПРАВОЧНИК!$J$4)+СПРАВОЧНИК!$E$5*('ПЛАН ЧЕРН ПОДЗЕМ'!H14*СПРАВОЧНИК!$H$5+'ПЛАН ЧЕРН ПОДЗЕМ'!I14*СПРАВОЧНИК!$I$5+'ПЛАН ЧЕРН ПОДЗЕМ'!J14*СПРАВОЧНИК!$J$5)+СПРАВОЧНИК!$E$6*('ПЛАН ЧЕРН ПОДЗЕМ'!K14*СПРАВОЧНИК!$H$6+'ПЛАН ЧЕРН ПОДЗЕМ'!L14*СПРАВОЧНИК!$I$6+'ПЛАН ЧЕРН ПОДЗЕМ'!M14*СПРАВОЧНИК!$J$6)+СПРАВОЧНИК!$E$7*('ПЛАН ЧЕРН ПОДЗЕМ'!N14*СПРАВОЧНИК!$H$7+'ПЛАН ЧЕРН ПОДЗЕМ'!O14*СПРАВОЧНИК!$I$7+'ПЛАН ЧЕРН ПОДЗЕМ'!P14*СПРАВОЧНИК!$J$7)+СПРАВОЧНИК!$E$8*('ПЛАН ЧЕРН ПОДЗЕМ'!Q14*СПРАВОЧНИК!$H$8+'ПЛАН ЧЕРН ПОДЗЕМ'!R14*СПРАВОЧНИК!$I$8+'ПЛАН ЧЕРН ПОДЗЕМ'!S14*СПРАВОЧНИК!$J$8)+СПРАВОЧНИК!$F$3*('ПЛАН ЧИСТ ПОДЗЕМ'!B14*СПРАВОЧНИК!$L$3+'ПЛАН ЧИСТ ПОДЗЕМ'!C14*СПРАВОЧНИК!$M$3+'ПЛАН ЧИСТ ПОДЗЕМ'!D14*СПРАВОЧНИК!$N$3+'ПЛАН ЧИСТ ПОДЗЕМ'!E14*СПРАВОЧНИК!$O$3)+СПРАВОЧНИК!$F$4*('ПЛАН ЧИСТ ПОДЗЕМ'!F14*СПРАВОЧНИК!$L$4+'ПЛАН ЧИСТ ПОДЗЕМ'!G14*СПРАВОЧНИК!$M$4+'ПЛАН ЧИСТ ПОДЗЕМ'!H14*СПРАВОЧНИК!$N$4+'ПЛАН ЧИСТ ПОДЗЕМ'!I14*СПРАВОЧНИК!$O$4)+СПРАВОЧНИК!$F$5*('ПЛАН ЧИСТ ПОДЗЕМ'!J14*СПРАВОЧНИК!$L$5+'ПЛАН ЧИСТ ПОДЗЕМ'!K14*СПРАВОЧНИК!$M$5+'ПЛАН ЧИСТ ПОДЗЕМ'!L14*СПРАВОЧНИК!$N$5)+СПРАВОЧНИК!$F$6*('ПЛАН ЧИСТ ПОДЗЕМ'!M14*СПРАВОЧНИК!$L$6+'ПЛАН ЧИСТ ПОДЗЕМ'!N14*СПРАВОЧНИК!$M$6+'ПЛАН ЧИСТ ПОДЗЕМ'!O14*СПРАВОЧНИК!$N$6+'ПЛАН ЧИСТ ПОДЗЕМ'!P14*СПРАВОЧНИК!$O$6)+СПРАВОЧНИК!$F$7*('ПЛАН ЧИСТ ПОДЗЕМ'!Q14*СПРАВОЧНИК!$L$7+'ПЛАН ЧИСТ ПОДЗЕМ'!R14*СПРАВОЧНИК!$M$7+'ПЛАН ЧИСТ ПОДЗЕМ'!S14*СПРАВОЧНИК!$N$7+'ПЛАН ЧИСТ ПОДЗЕМ'!T14*СПРАВОЧНИК!$O$7)+СПРАВОЧНИК!$F$8*('ПЛАН ЧИСТ ПОДЗЕМ'!U14*СПРАВОЧНИК!$L$8+'ПЛАН ЧИСТ ПОДЗЕМ'!V14*СПРАВОЧНИК!$M$8+'ПЛАН ЧИСТ ПОДЗЕМ'!W14*СПРАВОЧНИК!$N$8)</f>
        <v/>
      </c>
      <c r="E23" s="40">
        <f>СПРАВОЧНИК!$E$3*(('ФАКТ ЧЕРН ПОДЗЕМ'!B14)*СПРАВОЧНИК!$H$3+('ФАКТ ЧЕРН ПОДЗЕМ'!C14)*СПРАВОЧНИК!$I$3+('ФАКТ ЧЕРН ПОДЗЕМ'!D14)*СПРАВОЧНИК!$J$3)+СПРАВОЧНИК!$E$4*(('ФАКТ ЧЕРН ПОДЗЕМ'!E14)*СПРАВОЧНИК!$H$4+('ФАКТ ЧЕРН ПОДЗЕМ'!F14)*СПРАВОЧНИК!$I$4+('ФАКТ ЧЕРН ПОДЗЕМ'!G14)*СПРАВОЧНИК!$J$4)+СПРАВОЧНИК!$E$5*(('ФАКТ ЧЕРН ПОДЗЕМ'!H14)*СПРАВОЧНИК!$H$5+('ФАКТ ЧЕРН ПОДЗЕМ'!I14)*СПРАВОЧНИК!$I$5+('ФАКТ ЧЕРН ПОДЗЕМ'!J14)*СПРАВОЧНИК!$J$5)+СПРАВОЧНИК!$E$6*(('ФАКТ ЧЕРН ПОДЗЕМ'!K14)*СПРАВОЧНИК!$H$6+('ФАКТ ЧЕРН ПОДЗЕМ'!L14)*СПРАВОЧНИК!$I$6+('ФАКТ ЧЕРН ПОДЗЕМ'!M14)*СПРАВОЧНИК!$J$6)+СПРАВОЧНИК!$E$7*(('ФАКТ ЧЕРН ПОДЗЕМ'!N14)*СПРАВОЧНИК!$H$7+('ФАКТ ЧЕРН ПОДЗЕМ'!O14)*СПРАВОЧНИК!$I$7+('ФАКТ ЧЕРН ПОДЗЕМ'!P14)*СПРАВОЧНИК!$J$7)+СПРАВОЧНИК!$E$8*(('ФАКТ ЧЕРН ПОДЗЕМ'!Q14)*СПРАВОЧНИК!$H$8+('ФАКТ ЧЕРН ПОДЗЕМ'!R14)*СПРАВОЧНИК!$I$8+('ФАКТ ЧЕРН ПОДЗЕМ'!S14)*СПРАВОЧНИК!$J$8)+СПРАВОЧНИК!$F$3*(('ФАКТ ЧИСТ ПОДЗЕМ'!B14)*СПРАВОЧНИК!$L$3+('ФАКТ ЧИСТ ПОДЗЕМ'!C14)*СПРАВОЧНИК!$M$3+('ФАКТ ЧИСТ ПОДЗЕМ'!D14)*СПРАВОЧНИК!$N$3+('ФАКТ ЧИСТ ПОДЗЕМ'!E14)*СПРАВОЧНИК!$O$3)+СПРАВОЧНИК!$F$4*(('ФАКТ ЧИСТ ПОДЗЕМ'!F14)*СПРАВОЧНИК!$L$4+('ФАКТ ЧИСТ ПОДЗЕМ'!G14)*СПРАВОЧНИК!$M$4+('ФАКТ ЧИСТ ПОДЗЕМ'!H14)*СПРАВОЧНИК!$N$4+('ФАКТ ЧИСТ ПОДЗЕМ'!I14)*СПРАВОЧНИК!$O$4)+СПРАВОЧНИК!$F$5*(('ФАКТ ЧИСТ ПОДЗЕМ'!J14)*СПРАВОЧНИК!$L$5+('ФАКТ ЧИСТ ПОДЗЕМ'!K14)*СПРАВОЧНИК!$M$5+('ФАКТ ЧИСТ ПОДЗЕМ'!L14)*СПРАВОЧНИК!$N$5)+СПРАВОЧНИК!$F$6*(('ФАКТ ЧИСТ ПОДЗЕМ'!M14)*СПРАВОЧНИК!$L$6+('ФАКТ ЧИСТ ПОДЗЕМ'!N14)*СПРАВОЧНИК!$M$6+('ФАКТ ЧИСТ ПОДЗЕМ'!O14)*СПРАВОЧНИК!$N$6+('ФАКТ ЧИСТ ПОДЗЕМ'!P14)*СПРАВОЧНИК!$O$6)+СПРАВОЧНИК!$F$7*(('ФАКТ ЧИСТ ПОДЗЕМ'!Q14)*СПРАВОЧНИК!$L$7+('ФАКТ ЧИСТ ПОДЗЕМ'!R14)*СПРАВОЧНИК!$M$7+('ФАКТ ЧИСТ ПОДЗЕМ'!S14)*СПРАВОЧНИК!$N$7+('ФАКТ ЧИСТ ПОДЗЕМ'!T14)*СПРАВОЧНИК!$O$7)+СПРАВОЧНИК!$F$8*(('ФАКТ ЧИСТ ПОДЗЕМ'!U14)*СПРАВОЧНИК!$L$8+('ФАКТ ЧИСТ ПОДЗЕМ'!V14)*СПРАВОЧНИК!$M$8+('ФАКТ ЧИСТ ПОДЗЕМ'!W14)*СПРАВОЧНИК!$N$8)</f>
        <v/>
      </c>
      <c r="I23" s="18">
        <f>I22+7</f>
        <v/>
      </c>
      <c r="J23" s="37">
        <f>'ПЛАН ЧЕРН ПОДЗЕМ'!B14*СПРАВОЧНИК!$H$3+'ПЛАН ЧЕРН ПОДЗЕМ'!C14*СПРАВОЧНИК!$I$3+'ПЛАН ЧЕРН ПОДЗЕМ'!D14*СПРАВОЧНИК!$J$3+'ПЛАН ЧЕРН ПОДЗЕМ'!E14*СПРАВОЧНИК!$H$4+'ПЛАН ЧЕРН ПОДЗЕМ'!F14*СПРАВОЧНИК!$I$4+'ПЛАН ЧЕРН ПОДЗЕМ'!G14*СПРАВОЧНИК!$J$4+'ПЛАН ЧЕРН ПОДЗЕМ'!H14*СПРАВОЧНИК!$H$5+'ПЛАН ЧЕРН ПОДЗЕМ'!I14*СПРАВОЧНИК!$I$5+'ПЛАН ЧЕРН ПОДЗЕМ'!J14*СПРАВОЧНИК!$J$5+'ПЛАН ЧЕРН ПОДЗЕМ'!K14*СПРАВОЧНИК!$H$6+'ПЛАН ЧЕРН ПОДЗЕМ'!L14*СПРАВОЧНИК!$I$6+'ПЛАН ЧЕРН ПОДЗЕМ'!M14*СПРАВОЧНИК!$J$6+'ПЛАН ЧЕРН ПОДЗЕМ'!N14*СПРАВОЧНИК!$H$7+'ПЛАН ЧЕРН ПОДЗЕМ'!O14*СПРАВОЧНИК!$I$7+'ПЛАН ЧЕРН ПОДЗЕМ'!P14*СПРАВОЧНИК!$J$7+'ПЛАН ЧЕРН ПОДЗЕМ'!Q14*СПРАВОЧНИК!$H$8+'ПЛАН ЧЕРН ПОДЗЕМ'!R14*СПРАВОЧНИК!$I$8+'ПЛАН ЧЕРН ПОДЗЕМ'!S14*СПРАВОЧНИК!$J$8</f>
        <v/>
      </c>
      <c r="K23" s="40">
        <f>('ФАКТ ЧЕРН ПОДЗЕМ'!B14)*СПРАВОЧНИК!$H$3+('ФАКТ ЧЕРН ПОДЗЕМ'!C14)*СПРАВОЧНИК!$I$3+('ФАКТ ЧЕРН ПОДЗЕМ'!D14)*СПРАВОЧНИК!$J$3+('ФАКТ ЧЕРН ПОДЗЕМ'!E14)*СПРАВОЧНИК!$H$4+('ФАКТ ЧЕРН ПОДЗЕМ'!F14)*СПРАВОЧНИК!$I$4+('ФАКТ ЧЕРН ПОДЗЕМ'!G14)*СПРАВОЧНИК!$J$4+('ФАКТ ЧЕРН ПОДЗЕМ'!H14)*СПРАВОЧНИК!$H$5+('ФАКТ ЧЕРН ПОДЗЕМ'!I14)*СПРАВОЧНИК!$I$5+('ФАКТ ЧЕРН ПОДЗЕМ'!J14)*СПРАВОЧНИК!$J$5+('ФАКТ ЧЕРН ПОДЗЕМ'!K14)*СПРАВОЧНИК!$H$6+('ФАКТ ЧЕРН ПОДЗЕМ'!L14)*СПРАВОЧНИК!$I$6+('ФАКТ ЧЕРН ПОДЗЕМ'!M14)*СПРАВОЧНИК!$J$6+('ФАКТ ЧЕРН ПОДЗЕМ'!N14)*СПРАВОЧНИК!$H$7+('ФАКТ ЧЕРН ПОДЗЕМ'!O14)*СПРАВОЧНИК!$I$7+('ФАКТ ЧЕРН ПОДЗЕМ'!P14)*СПРАВОЧНИК!$J$7+('ФАКТ ЧЕРН ПОДЗЕМ'!Q14)*СПРАВОЧНИК!$H$8+('ФАКТ ЧЕРН ПОДЗЕМ'!R14)*СПРАВОЧНИК!$I$8+('ФАКТ ЧЕРН ПОДЗЕМ'!S14)*СПРАВОЧНИК!$J$8</f>
        <v/>
      </c>
      <c r="O23" s="18">
        <f>O22+7</f>
        <v/>
      </c>
      <c r="P23" s="37">
        <f>'ПЛАН ЧИСТ ПОДЗЕМ'!B14*СПРАВОЧНИК!$L$3+'ПЛАН ЧИСТ ПОДЗЕМ'!C14*СПРАВОЧНИК!$M$3+'ПЛАН ЧИСТ ПОДЗЕМ'!D14*СПРАВОЧНИК!$N$3+'ПЛАН ЧИСТ ПОДЗЕМ'!E14*СПРАВОЧНИК!$O$3+'ПЛАН ЧИСТ ПОДЗЕМ'!F14*СПРАВОЧНИК!$L$4+'ПЛАН ЧИСТ ПОДЗЕМ'!G14*СПРАВОЧНИК!$M$4+'ПЛАН ЧИСТ ПОДЗЕМ'!H14*СПРАВОЧНИК!$N$4+'ПЛАН ЧИСТ ПОДЗЕМ'!I14*СПРАВОЧНИК!$O$4+'ПЛАН ЧИСТ ПОДЗЕМ'!J14*СПРАВОЧНИК!$L$5+'ПЛАН ЧИСТ ПОДЗЕМ'!K14*СПРАВОЧНИК!$M$5+'ПЛАН ЧИСТ ПОДЗЕМ'!L14*СПРАВОЧНИК!$N$5+'ПЛАН ЧИСТ ПОДЗЕМ'!M14*СПРАВОЧНИК!$L$6+'ПЛАН ЧИСТ ПОДЗЕМ'!N14*СПРАВОЧНИК!$M$6+'ПЛАН ЧИСТ ПОДЗЕМ'!O14*СПРАВОЧНИК!$N$6+'ПЛАН ЧИСТ ПОДЗЕМ'!P14*СПРАВОЧНИК!$O$6+'ПЛАН ЧИСТ ПОДЗЕМ'!Q14*СПРАВОЧНИК!$L$7+'ПЛАН ЧИСТ ПОДЗЕМ'!R14*СПРАВОЧНИК!$M$7+'ПЛАН ЧИСТ ПОДЗЕМ'!S14*СПРАВОЧНИК!$N$7+'ПЛАН ЧИСТ ПОДЗЕМ'!T14*СПРАВОЧНИК!$O$7+'ПЛАН ЧИСТ ПОДЗЕМ'!U14*СПРАВОЧНИК!$L$8+'ПЛАН ЧИСТ ПОДЗЕМ'!V14*СПРАВОЧНИК!$M$8+'ПЛАН ЧИСТ ПОДЗЕМ'!W14*СПРАВОЧНИК!$N$8</f>
        <v/>
      </c>
      <c r="Q23" s="40">
        <f>('ФАКТ ЧИСТ ПОДЗЕМ'!B14)*СПРАВОЧНИК!$L$3+('ФАКТ ЧИСТ ПОДЗЕМ'!C14)*СПРАВОЧНИК!$M$3+('ФАКТ ЧИСТ ПОДЗЕМ'!D14)*СПРАВОЧНИК!$N$3+('ФАКТ ЧИСТ ПОДЗЕМ'!E14)*СПРАВОЧНИК!$O$3+('ФАКТ ЧИСТ ПОДЗЕМ'!F14)*СПРАВОЧНИК!$L$4+('ФАКТ ЧИСТ ПОДЗЕМ'!G14)*СПРАВОЧНИК!$M$4+('ФАКТ ЧИСТ ПОДЗЕМ'!H14)*СПРАВОЧНИК!$N$4+('ФАКТ ЧИСТ ПОДЗЕМ'!I14)*СПРАВОЧНИК!$O$4+('ФАКТ ЧИСТ ПОДЗЕМ'!J14)*СПРАВОЧНИК!$L$5+('ФАКТ ЧИСТ ПОДЗЕМ'!K14)*СПРАВОЧНИК!$M$5+('ФАКТ ЧИСТ ПОДЗЕМ'!L14)*СПРАВОЧНИК!$N$5+('ФАКТ ЧИСТ ПОДЗЕМ'!M14)*СПРАВОЧНИК!$L$6+('ФАКТ ЧИСТ ПОДЗЕМ'!N14)*СПРАВОЧНИК!$M$6+('ФАКТ ЧИСТ ПОДЗЕМ'!O14)*СПРАВОЧНИК!$N$6+('ФАКТ ЧИСТ ПОДЗЕМ'!P14)*СПРАВОЧНИК!$O$6+('ФАКТ ЧИСТ ПОДЗЕМ'!Q14)*СПРАВОЧНИК!$L$7+('ФАКТ ЧИСТ ПОДЗЕМ'!R14)*СПРАВОЧНИК!$M$7+('ФАКТ ЧИСТ ПОДЗЕМ'!S14)*СПРАВОЧНИК!$N$7+('ФАКТ ЧИСТ ПОДЗЕМ'!T14)*СПРАВОЧНИК!$O$7+('ФАКТ ЧИСТ ПОДЗЕМ'!U14)*СПРАВОЧНИК!$L$8+('ФАКТ ЧИСТ ПОДЗЕМ'!V14)*СПРАВОЧНИК!$M$8+('ФАКТ ЧИСТ ПОДЗЕМ'!W14)*СПРАВОЧНИК!$N$8</f>
        <v/>
      </c>
      <c r="U23" s="18">
        <f>U22+7</f>
        <v/>
      </c>
      <c r="V23" s="37">
        <f>СПРАВОЧНИК!$E$9*('ПЛАН ЧЕРН К1'!B14*СПРАВОЧНИК!$H$9+'ПЛАН ЧЕРН К1'!C14*СПРАВОЧНИК!$I$9+'ПЛАН ЧЕРН К1'!D14*СПРАВОЧНИК!$J$9)+СПРАВОЧНИК!$E$10*('ПЛАН ЧЕРН К1'!E14*СПРАВОЧНИК!$H$10+'ПЛАН ЧЕРН К1'!F14*СПРАВОЧНИК!$I$10+'ПЛАН ЧЕРН К1'!G14*СПРАВОЧНИК!$J$10)+СПРАВОЧНИК!$E$11*('ПЛАН ЧЕРН К1'!H14*СПРАВОЧНИК!$H$11+'ПЛАН ЧЕРН К1'!I14*СПРАВОЧНИК!$I$11+'ПЛАН ЧЕРН К1'!J14*СПРАВОЧНИК!$J$11)+СПРАВОЧНИК!$E$12*('ПЛАН ЧЕРН К1'!K14*СПРАВОЧНИК!$H$12+'ПЛАН ЧЕРН К1'!L14*СПРАВОЧНИК!$I$12+'ПЛАН ЧЕРН К1'!M14*СПРАВОЧНИК!$J$12)+СПРАВОЧНИК!$E$13*('ПЛАН ЧЕРН К1'!N14*СПРАВОЧНИК!$H$13+'ПЛАН ЧЕРН К1'!O14*СПРАВОЧНИК!$I$13+'ПЛАН ЧЕРН К1'!P14*СПРАВОЧНИК!$J$13)+СПРАВОЧНИК!$E$14*('ПЛАН ЧЕРН К1'!Q14*СПРАВОЧНИК!$H$14+'ПЛАН ЧЕРН К1'!R14*СПРАВОЧНИК!$I$14+'ПЛАН ЧЕРН К1'!S14*СПРАВОЧНИК!$J$14)+СПРАВОЧНИК!$E$15*('ПЛАН ЧЕРН К1'!T14*СПРАВОЧНИК!$H$15+'ПЛАН ЧЕРН К1'!U14*СПРАВОЧНИК!$I$15+'ПЛАН ЧЕРН К1'!V14*СПРАВОЧНИК!$J$15)+СПРАВОЧНИК!$F$9*('ПЛАН ЧИСТ К1'!B14*СПРАВОЧНИК!$L$9+'ПЛАН ЧИСТ К1'!C14*СПРАВОЧНИК!$M$9+'ПЛАН ЧИСТ К1'!D14*СПРАВОЧНИК!$N$9+'ПЛАН ЧИСТ К1'!E14*СПРАВОЧНИК!$O$9)+СПРАВОЧНИК!$F$10*('ПЛАН ЧИСТ К1'!F14*СПРАВОЧНИК!$L$10+'ПЛАН ЧИСТ К1'!G14*СПРАВОЧНИК!$M$10+'ПЛАН ЧИСТ К1'!H14*СПРАВОЧНИК!$N$10+'ПЛАН ЧИСТ К1'!I14*СПРАВОЧНИК!$O$10)+СПРАВОЧНИК!$F$11*('ПЛАН ЧИСТ К1'!J14*СПРАВОЧНИК!$L$11+'ПЛАН ЧИСТ К1'!K14*СПРАВОЧНИК!$M$11+'ПЛАН ЧИСТ К1'!L14*СПРАВОЧНИК!$N$11)+СПРАВОЧНИК!$F$12*('ПЛАН ЧИСТ К1'!M14*СПРАВОЧНИК!$L$12+'ПЛАН ЧИСТ К1'!N14*СПРАВОЧНИК!$M$12+'ПЛАН ЧИСТ К1'!O14*СПРАВОЧНИК!$N$12+'ПЛАН ЧИСТ К1'!P14*СПРАВОЧНИК!$O$12)+СПРАВОЧНИК!$F$13*('ПЛАН ЧИСТ К1'!Q14*СПРАВОЧНИК!$L$13+'ПЛАН ЧИСТ К1'!R14*СПРАВОЧНИК!$M$13+'ПЛАН ЧИСТ К1'!S14*СПРАВОЧНИК!$N$13+'ПЛАН ЧИСТ К1'!T14*СПРАВОЧНИК!$O$13)+СПРАВОЧНИК!$F$14*('ПЛАН ЧИСТ К1'!U14*СПРАВОЧНИК!$L$14+'ПЛАН ЧИСТ К1'!V14*СПРАВОЧНИК!$M$14+'ПЛАН ЧИСТ К1'!W14*СПРАВОЧНИК!$N$14)+СПРАВОЧНИК!$F$15*('ПЛАН ЧИСТ К1'!X14*СПРАВОЧНИК!$L$15+'ПЛАН ЧИСТ К1'!Y14*СПРАВОЧНИК!$M$15+'ПЛАН ЧИСТ К1'!Z14*СПРАВОЧНИК!$N$15)</f>
        <v/>
      </c>
      <c r="W23" s="40">
        <f>СПРАВОЧНИК!$E$9*(('ФАКТ ЧЕРН К1'!B14)*СПРАВОЧНИК!$H$9+('ФАКТ ЧЕРН К1'!C14)*СПРАВОЧНИК!$I$9+('ФАКТ ЧЕРН К1'!D14)*СПРАВОЧНИК!$J$9)+СПРАВОЧНИК!$E$10*(('ФАКТ ЧЕРН К1'!E14)*СПРАВОЧНИК!$H$10+('ФАКТ ЧЕРН К1'!F14)*СПРАВОЧНИК!$I$10+('ФАКТ ЧЕРН К1'!G14)*СПРАВОЧНИК!$J$10)+СПРАВОЧНИК!$E$11*(('ФАКТ ЧЕРН К1'!H14)*СПРАВОЧНИК!$H$11+('ФАКТ ЧЕРН К1'!I14)*СПРАВОЧНИК!$I$11+('ФАКТ ЧЕРН К1'!J14)*СПРАВОЧНИК!$J$11)+СПРАВОЧНИК!$E$12*(('ФАКТ ЧЕРН К1'!K14)*СПРАВОЧНИК!$H$12+('ФАКТ ЧЕРН К1'!L14)*СПРАВОЧНИК!$I$12+('ФАКТ ЧЕРН К1'!M14)*СПРАВОЧНИК!$J$12)+СПРАВОЧНИК!$E$13*(('ФАКТ ЧЕРН К1'!N14)*СПРАВОЧНИК!$H$13+('ФАКТ ЧЕРН К1'!O14)*СПРАВОЧНИК!$I$13+('ФАКТ ЧЕРН К1'!P14)*СПРАВОЧНИК!$J$13)+СПРАВОЧНИК!$E$14*(('ФАКТ ЧЕРН К1'!Q14)*СПРАВОЧНИК!$H$14+('ФАКТ ЧЕРН К1'!R14)*СПРАВОЧНИК!$I$14+('ФАКТ ЧЕРН К1'!S14)*СПРАВОЧНИК!$J$14)+СПРАВОЧНИК!$E$15*(('ФАКТ ЧЕРН К1'!T14)*СПРАВОЧНИК!$H$15+('ФАКТ ЧЕРН К1'!U14)*СПРАВОЧНИК!$I$15+('ФАКТ ЧЕРН К1'!V14)*СПРАВОЧНИК!$J$15)+СПРАВОЧНИК!$F$9*(('ФАКТ ЧИСТ К1'!B14)*СПРАВОЧНИК!$L$9+('ФАКТ ЧИСТ К1'!C14)*СПРАВОЧНИК!$M$9+('ФАКТ ЧИСТ К1'!D14)*СПРАВОЧНИК!$N$9+('ФАКТ ЧИСТ К1'!E14)*СПРАВОЧНИК!$O$9)+СПРАВОЧНИК!$F$10*(('ФАКТ ЧИСТ К1'!F14)*СПРАВОЧНИК!$L$10+('ФАКТ ЧИСТ К1'!G14)*СПРАВОЧНИК!$M$10+('ФАКТ ЧИСТ К1'!H14)*СПРАВОЧНИК!$N$10+('ФАКТ ЧИСТ К1'!I14)*СПРАВОЧНИК!$O$10)+СПРАВОЧНИК!$F$11*(('ФАКТ ЧИСТ К1'!J14)*СПРАВОЧНИК!$L$11+('ФАКТ ЧИСТ К1'!K14)*СПРАВОЧНИК!$M$11+('ФАКТ ЧИСТ К1'!L14)*СПРАВОЧНИК!$N$11)+СПРАВОЧНИК!$F$12*(('ФАКТ ЧИСТ К1'!M14)*СПРАВОЧНИК!$L$12+('ФАКТ ЧИСТ К1'!N14)*СПРАВОЧНИК!$M$12+('ФАКТ ЧИСТ К1'!O14)*СПРАВОЧНИК!$N$12+('ФАКТ ЧИСТ К1'!P14)*СПРАВОЧНИК!$O$12)+СПРАВОЧНИК!$F$13*(('ФАКТ ЧИСТ К1'!Q14)*СПРАВОЧНИК!$L$13+('ФАКТ ЧИСТ К1'!R14)*СПРАВОЧНИК!$M$13+('ФАКТ ЧИСТ К1'!S14)*СПРАВОЧНИК!$N$13+('ФАКТ ЧИСТ К1'!T14)*СПРАВОЧНИК!$O$13)+СПРАВОЧНИК!$F$14*(('ФАКТ ЧИСТ К1'!U14)*СПРАВОЧНИК!$L$14+('ФАКТ ЧИСТ К1'!V14)*СПРАВОЧНИК!$M$14+('ФАКТ ЧИСТ К1'!W14)*СПРАВОЧНИК!$N$14)+СПРАВОЧНИК!$F$15*(('ФАКТ ЧИСТ К1'!X14)*СПРАВОЧНИК!$L$15+('ФАКТ ЧИСТ К1'!Y14)*СПРАВОЧНИК!$M$15+('ФАКТ ЧИСТ К1'!Z14)*СПРАВОЧНИК!$N$15)</f>
        <v/>
      </c>
      <c r="AA23" s="18">
        <f>AA22+7</f>
        <v/>
      </c>
      <c r="AB23" s="37">
        <f>'ПЛАН ЧЕРН К1'!B14*СПРАВОЧНИК!$H$9+'ПЛАН ЧЕРН К1'!C14*СПРАВОЧНИК!$I$9+'ПЛАН ЧЕРН К1'!D14*СПРАВОЧНИК!$J$9+'ПЛАН ЧЕРН К1'!E14*СПРАВОЧНИК!$H$10+'ПЛАН ЧЕРН К1'!F14*СПРАВОЧНИК!$I$10+'ПЛАН ЧЕРН К1'!G14*СПРАВОЧНИК!$J$10+'ПЛАН ЧЕРН К1'!H14*СПРАВОЧНИК!$H$11+'ПЛАН ЧЕРН К1'!I14*СПРАВОЧНИК!$I$11+'ПЛАН ЧЕРН К1'!J14*СПРАВОЧНИК!$J$11+'ПЛАН ЧЕРН К1'!K14*СПРАВОЧНИК!$H$12+'ПЛАН ЧЕРН К1'!L14*СПРАВОЧНИК!$I$12+'ПЛАН ЧЕРН К1'!M14*СПРАВОЧНИК!$J$12+'ПЛАН ЧЕРН К1'!N14*СПРАВОЧНИК!$H$13+'ПЛАН ЧЕРН К1'!O14*СПРАВОЧНИК!$I$13+'ПЛАН ЧЕРН К1'!P14*СПРАВОЧНИК!$J$13+'ПЛАН ЧЕРН К1'!Q14*СПРАВОЧНИК!$H$14+'ПЛАН ЧЕРН К1'!R14*СПРАВОЧНИК!$I$14+'ПЛАН ЧЕРН К1'!S14*СПРАВОЧНИК!$J$14+'ПЛАН ЧЕРН К1'!T14*СПРАВОЧНИК!$H$15+'ПЛАН ЧЕРН К1'!U14*СПРАВОЧНИК!$I$15+'ПЛАН ЧЕРН К1'!V14*СПРАВОЧНИК!$J$15</f>
        <v/>
      </c>
      <c r="AC23" s="40">
        <f>('ФАКТ ЧЕРН К1'!B14)*СПРАВОЧНИК!$H$9+('ФАКТ ЧЕРН К1'!C14)*СПРАВОЧНИК!$I$9+('ФАКТ ЧЕРН К1'!D14)*СПРАВОЧНИК!$J$9+('ФАКТ ЧЕРН К1'!E14)*СПРАВОЧНИК!$H$10+('ФАКТ ЧЕРН К1'!F14)*СПРАВОЧНИК!$I$10+('ФАКТ ЧЕРН К1'!G14)*СПРАВОЧНИК!$J$10+('ФАКТ ЧЕРН К1'!H14)*СПРАВОЧНИК!$H$11+('ФАКТ ЧЕРН К1'!I14)*СПРАВОЧНИК!$I$11+('ФАКТ ЧЕРН К1'!J14)*СПРАВОЧНИК!$J$11+('ФАКТ ЧЕРН К1'!K14)*СПРАВОЧНИК!$H$12+('ФАКТ ЧЕРН К1'!L14)*СПРАВОЧНИК!$I$12+('ФАКТ ЧЕРН К1'!M14)*СПРАВОЧНИК!$J$12+('ФАКТ ЧЕРН К1'!N14)*СПРАВОЧНИК!$H$13+('ФАКТ ЧЕРН К1'!O14)*СПРАВОЧНИК!$I$13+('ФАКТ ЧЕРН К1'!P14)*СПРАВОЧНИК!$J$13+('ФАКТ ЧЕРН К1'!Q14)*СПРАВОЧНИК!$H$14+('ФАКТ ЧЕРН К1'!R14)*СПРАВОЧНИК!$I$14+('ФАКТ ЧЕРН К1'!S14)*СПРАВОЧНИК!$J$14+('ФАКТ ЧЕРН К1'!T14)*СПРАВОЧНИК!$H$15+('ФАКТ ЧЕРН К1'!U14)*СПРАВОЧНИК!$I$15+('ФАКТ ЧЕРН К1'!V14)*СПРАВОЧНИК!$J$15</f>
        <v/>
      </c>
      <c r="AG23" s="18">
        <f>AG22+7</f>
        <v/>
      </c>
      <c r="AH23" s="37">
        <f>'ПЛАН ЧИСТ К1'!B14*СПРАВОЧНИК!$L$9+'ПЛАН ЧИСТ К1'!C14*СПРАВОЧНИК!$M$9+'ПЛАН ЧИСТ К1'!D14*СПРАВОЧНИК!$N$9+'ПЛАН ЧИСТ К1'!E14*СПРАВОЧНИК!$O$9+'ПЛАН ЧИСТ К1'!F14*СПРАВОЧНИК!$L$10+'ПЛАН ЧИСТ К1'!G14*СПРАВОЧНИК!$M$10+'ПЛАН ЧИСТ К1'!H14*СПРАВОЧНИК!$N$10+'ПЛАН ЧИСТ К1'!I14*СПРАВОЧНИК!$O$10+'ПЛАН ЧИСТ К1'!J14*СПРАВОЧНИК!$L$11+'ПЛАН ЧИСТ К1'!K14*СПРАВОЧНИК!$M$11+'ПЛАН ЧИСТ К1'!L14*СПРАВОЧНИК!$N$11+'ПЛАН ЧИСТ К1'!M14*СПРАВОЧНИК!$L$12+'ПЛАН ЧИСТ К1'!N14*СПРАВОЧНИК!$M$12+'ПЛАН ЧИСТ К1'!O14*СПРАВОЧНИК!$N$12+'ПЛАН ЧИСТ К1'!P14*СПРАВОЧНИК!$O$12+'ПЛАН ЧИСТ К1'!Q14*СПРАВОЧНИК!$L$13+'ПЛАН ЧИСТ К1'!R14*СПРАВОЧНИК!$M$13+'ПЛАН ЧИСТ К1'!S14*СПРАВОЧНИК!$N$13+'ПЛАН ЧИСТ К1'!T14*СПРАВОЧНИК!$O$13+'ПЛАН ЧИСТ К1'!U14*СПРАВОЧНИК!$L$14+'ПЛАН ЧИСТ К1'!V14*СПРАВОЧНИК!$M$14+'ПЛАН ЧИСТ К1'!W14*СПРАВОЧНИК!$N$14+'ПЛАН ЧИСТ К1'!X14*СПРАВОЧНИК!$L$15+'ПЛАН ЧИСТ К1'!Y14*СПРАВОЧНИК!$M$15+'ПЛАН ЧИСТ К1'!Z14*СПРАВОЧНИК!$N$15</f>
        <v/>
      </c>
      <c r="AI23" s="40">
        <f>('ФАКТ ЧИСТ К1'!B14)*СПРАВОЧНИК!$L$9+('ФАКТ ЧИСТ К1'!C14)*СПРАВОЧНИК!$M$9+('ФАКТ ЧИСТ К1'!D14)*СПРАВОЧНИК!$N$9+('ФАКТ ЧИСТ К1'!E14)*СПРАВОЧНИК!$O$9+('ФАКТ ЧИСТ К1'!F14)*СПРАВОЧНИК!$L$10+('ФАКТ ЧИСТ К1'!G14)*СПРАВОЧНИК!$M$10+('ФАКТ ЧИСТ К1'!H14)*СПРАВОЧНИК!$N$10+('ФАКТ ЧИСТ К1'!I14)*СПРАВОЧНИК!$O$10+('ФАКТ ЧИСТ К1'!J14)*СПРАВОЧНИК!$L$11+('ФАКТ ЧИСТ К1'!K14)*СПРАВОЧНИК!$M$11+('ФАКТ ЧИСТ К1'!L14)*СПРАВОЧНИК!$N$11+('ФАКТ ЧИСТ К1'!M14)*СПРАВОЧНИК!$L$12+('ФАКТ ЧИСТ К1'!N14)*СПРАВОЧНИК!$M$12+('ФАКТ ЧИСТ К1'!O14)*СПРАВОЧНИК!$N$12+('ФАКТ ЧИСТ К1'!P14)*СПРАВОЧНИК!$O$12+('ФАКТ ЧИСТ К1'!Q14)*СПРАВОЧНИК!$L$13+('ФАКТ ЧИСТ К1'!R14)*СПРАВОЧНИК!$M$13+('ФАКТ ЧИСТ К1'!S14)*СПРАВОЧНИК!$N$13+('ФАКТ ЧИСТ К1'!T14)*СПРАВОЧНИК!$O$13+('ФАКТ ЧИСТ К1'!U14)*СПРАВОЧНИК!$L$14+('ФАКТ ЧИСТ К1'!V14)*СПРАВОЧНИК!$M$14+('ФАКТ ЧИСТ К1'!W14)*СПРАВОЧНИК!$N$14+('ФАКТ ЧИСТ К1'!X14)*СПРАВОЧНИК!$L$15+('ФАКТ ЧИСТ К1'!Y14)*СПРАВОЧНИК!$M$15+('ФАКТ ЧИСТ К1'!Z14)*СПРАВОЧНИК!$N$15</f>
        <v/>
      </c>
      <c r="AM23" s="18">
        <f>AM22+7</f>
        <v/>
      </c>
      <c r="AN23" s="37">
        <f>СПРАВОЧНИК!$E$9*('ПЛАН ЧЕРН К2'!B14*СПРАВОЧНИК!$H$9+'ПЛАН ЧЕРН К2'!C14*СПРАВОЧНИК!$I$9+'ПЛАН ЧЕРН К2'!D14*СПРАВОЧНИК!$J$9)+СПРАВОЧНИК!$E$10*('ПЛАН ЧЕРН К2'!E14*СПРАВОЧНИК!$H$10+'ПЛАН ЧЕРН К2'!F14*СПРАВОЧНИК!$I$10+'ПЛАН ЧЕРН К2'!G14*СПРАВОЧНИК!$J$10)+СПРАВОЧНИК!$E$11*('ПЛАН ЧЕРН К2'!H14*СПРАВОЧНИК!$H$11+'ПЛАН ЧЕРН К2'!I14*СПРАВОЧНИК!$I$11+'ПЛАН ЧЕРН К2'!J14*СПРАВОЧНИК!$J$11)+СПРАВОЧНИК!$E$12*('ПЛАН ЧЕРН К2'!K14*СПРАВОЧНИК!$H$12+'ПЛАН ЧЕРН К2'!L14*СПРАВОЧНИК!$I$12+'ПЛАН ЧЕРН К2'!M14*СПРАВОЧНИК!$J$12)+СПРАВОЧНИК!$E$13*('ПЛАН ЧЕРН К2'!N14*СПРАВОЧНИК!$H$13+'ПЛАН ЧЕРН К2'!O14*СПРАВОЧНИК!$I$13+'ПЛАН ЧЕРН К2'!P14*СПРАВОЧНИК!$J$13)+СПРАВОЧНИК!$E$14*('ПЛАН ЧЕРН К2'!Q14*СПРАВОЧНИК!$H$14+'ПЛАН ЧЕРН К2'!R14*СПРАВОЧНИК!$I$14+'ПЛАН ЧЕРН К2'!S14*СПРАВОЧНИК!$J$14)+СПРАВОЧНИК!$E$15*('ПЛАН ЧЕРН К2'!T14*СПРАВОЧНИК!$H$15+'ПЛАН ЧЕРН К2'!U14*СПРАВОЧНИК!$I$15+'ПЛАН ЧЕРН К2'!V14*СПРАВОЧНИК!$J$15)+СПРАВОЧНИК!$F$9*('ПЛАН ЧИСТ К2'!B14*СПРАВОЧНИК!$L$9+'ПЛАН ЧИСТ К2'!C14*СПРАВОЧНИК!$M$9+'ПЛАН ЧИСТ К2'!D14*СПРАВОЧНИК!$N$9+'ПЛАН ЧИСТ К2'!E14*СПРАВОЧНИК!$O$9)+СПРАВОЧНИК!$F$10*('ПЛАН ЧИСТ К2'!F14*СПРАВОЧНИК!$L$10+'ПЛАН ЧИСТ К2'!G14*СПРАВОЧНИК!$M$10+'ПЛАН ЧИСТ К2'!H14*СПРАВОЧНИК!$N$10+'ПЛАН ЧИСТ К2'!I14*СПРАВОЧНИК!$O$10)+СПРАВОЧНИК!$F$11*('ПЛАН ЧИСТ К2'!J14*СПРАВОЧНИК!$L$11+'ПЛАН ЧИСТ К2'!K14*СПРАВОЧНИК!$M$11+'ПЛАН ЧИСТ К2'!L14*СПРАВОЧНИК!$N$11)+СПРАВОЧНИК!$F$12*('ПЛАН ЧИСТ К2'!M14*СПРАВОЧНИК!$L$12+'ПЛАН ЧИСТ К2'!N14*СПРАВОЧНИК!$M$12+'ПЛАН ЧИСТ К2'!O14*СПРАВОЧНИК!$N$12+'ПЛАН ЧИСТ К2'!P14*СПРАВОЧНИК!$O$12)+СПРАВОЧНИК!$F$13*('ПЛАН ЧИСТ К2'!Q14*СПРАВОЧНИК!$L$13+'ПЛАН ЧИСТ К2'!R14*СПРАВОЧНИК!$M$13+'ПЛАН ЧИСТ К2'!S14*СПРАВОЧНИК!$N$13+'ПЛАН ЧИСТ К2'!T14*СПРАВОЧНИК!$O$13)+СПРАВОЧНИК!$F$14*('ПЛАН ЧИСТ К2'!U14*СПРАВОЧНИК!$L$14+'ПЛАН ЧИСТ К2'!V14*СПРАВОЧНИК!$M$14+'ПЛАН ЧИСТ К2'!W14*СПРАВОЧНИК!$N$14)+СПРАВОЧНИК!$F$15*('ПЛАН ЧИСТ К2'!X14*СПРАВОЧНИК!$L$15+'ПЛАН ЧИСТ К2'!Y14*СПРАВОЧНИК!$M$15+'ПЛАН ЧИСТ К2'!Z14*СПРАВОЧНИК!$N$15)</f>
        <v/>
      </c>
      <c r="AO23" s="40">
        <f>СПРАВОЧНИК!$E$9*(('ФАКТ ЧЕРН К2'!B14)*СПРАВОЧНИК!$H$9+('ФАКТ ЧЕРН К2'!C14)*СПРАВОЧНИК!$I$9+('ФАКТ ЧЕРН К2'!D14)*СПРАВОЧНИК!$J$9)+СПРАВОЧНИК!$E$10*(('ФАКТ ЧЕРН К2'!E14)*СПРАВОЧНИК!$H$10+('ФАКТ ЧЕРН К2'!F14)*СПРАВОЧНИК!$I$10+('ФАКТ ЧЕРН К2'!G14)*СПРАВОЧНИК!$J$10)+СПРАВОЧНИК!$E$11*(('ФАКТ ЧЕРН К2'!H14)*СПРАВОЧНИК!$H$11+('ФАКТ ЧЕРН К2'!I14)*СПРАВОЧНИК!$I$11+('ФАКТ ЧЕРН К2'!J14)*СПРАВОЧНИК!$J$11)+СПРАВОЧНИК!$E$12*(('ФАКТ ЧЕРН К2'!K14)*СПРАВОЧНИК!$H$12+('ФАКТ ЧЕРН К2'!L14)*СПРАВОЧНИК!$I$12+('ФАКТ ЧЕРН К2'!M14)*СПРАВОЧНИК!$J$12)+СПРАВОЧНИК!$E$13*(('ФАКТ ЧЕРН К2'!N14)*СПРАВОЧНИК!$H$13+('ФАКТ ЧЕРН К2'!O14)*СПРАВОЧНИК!$I$13+('ФАКТ ЧЕРН К2'!P14)*СПРАВОЧНИК!$J$13)+СПРАВОЧНИК!$E$14*(('ФАКТ ЧЕРН К2'!Q14)*СПРАВОЧНИК!$H$14+('ФАКТ ЧЕРН К2'!R14)*СПРАВОЧНИК!$I$14+('ФАКТ ЧЕРН К2'!S14)*СПРАВОЧНИК!$J$14)+СПРАВОЧНИК!$E$15*(('ФАКТ ЧЕРН К2'!T14)*СПРАВОЧНИК!$H$15+('ФАКТ ЧЕРН К2'!U14)*СПРАВОЧНИК!$I$15+('ФАКТ ЧЕРН К2'!V14)*СПРАВОЧНИК!$J$15)+СПРАВОЧНИК!$F$9*(('ФАКТ ЧИСТ К2'!B14)*СПРАВОЧНИК!$L$9+('ФАКТ ЧИСТ К2'!C14)*СПРАВОЧНИК!$M$9+('ФАКТ ЧИСТ К2'!D14)*СПРАВОЧНИК!$N$9+('ФАКТ ЧИСТ К2'!E14)*СПРАВОЧНИК!$O$9)+СПРАВОЧНИК!$F$10*(('ФАКТ ЧИСТ К2'!F14)*СПРАВОЧНИК!$L$10+('ФАКТ ЧИСТ К2'!G14)*СПРАВОЧНИК!$M$10+('ФАКТ ЧИСТ К2'!H14)*СПРАВОЧНИК!$N$10+('ФАКТ ЧИСТ К2'!I14)*СПРАВОЧНИК!$O$10)+СПРАВОЧНИК!$F$11*(('ФАКТ ЧИСТ К2'!J14)*СПРАВОЧНИК!$L$11+('ФАКТ ЧИСТ К2'!K14)*СПРАВОЧНИК!$M$11+('ФАКТ ЧИСТ К2'!L14)*СПРАВОЧНИК!$N$11)+СПРАВОЧНИК!$F$12*(('ФАКТ ЧИСТ К2'!M14)*СПРАВОЧНИК!$L$12+('ФАКТ ЧИСТ К2'!N14)*СПРАВОЧНИК!$M$12+('ФАКТ ЧИСТ К2'!O14)*СПРАВОЧНИК!$N$12+('ФАКТ ЧИСТ К2'!P14)*СПРАВОЧНИК!$O$12)+СПРАВОЧНИК!$F$13*(('ФАКТ ЧИСТ К2'!Q14)*СПРАВОЧНИК!$L$13+('ФАКТ ЧИСТ К2'!R14)*СПРАВОЧНИК!$M$13+('ФАКТ ЧИСТ К2'!S14)*СПРАВОЧНИК!$N$13+('ФАКТ ЧИСТ К2'!T14)*СПРАВОЧНИК!$O$13)+СПРАВОЧНИК!$F$14*(('ФАКТ ЧИСТ К2'!U14)*СПРАВОЧНИК!$L$14+('ФАКТ ЧИСТ К2'!V14)*СПРАВОЧНИК!$M$14+('ФАКТ ЧИСТ К2'!W14)*СПРАВОЧНИК!$N$14)+СПРАВОЧНИК!$F$15*(('ФАКТ ЧИСТ К2'!X14)*СПРАВОЧНИК!$L$15+('ФАКТ ЧИСТ К2'!Y14)*СПРАВОЧНИК!$M$15+('ФАКТ ЧИСТ К2'!Z14)*СПРАВОЧНИК!$N$15)</f>
        <v/>
      </c>
      <c r="AS23" s="18">
        <f>AS22+7</f>
        <v/>
      </c>
      <c r="AT23" s="37">
        <f>'ПЛАН ЧЕРН К2'!B14*СПРАВОЧНИК!$H$9+'ПЛАН ЧЕРН К2'!C14*СПРАВОЧНИК!$I$9+'ПЛАН ЧЕРН К2'!D14*СПРАВОЧНИК!$J$9+'ПЛАН ЧЕРН К2'!E14*СПРАВОЧНИК!$H$10+'ПЛАН ЧЕРН К2'!F14*СПРАВОЧНИК!$I$10+'ПЛАН ЧЕРН К2'!G14*СПРАВОЧНИК!$J$10+'ПЛАН ЧЕРН К2'!H14*СПРАВОЧНИК!$H$11+'ПЛАН ЧЕРН К2'!I14*СПРАВОЧНИК!$I$11+'ПЛАН ЧЕРН К2'!J14*СПРАВОЧНИК!$J$11+'ПЛАН ЧЕРН К2'!K14*СПРАВОЧНИК!$H$12+'ПЛАН ЧЕРН К2'!L14*СПРАВОЧНИК!$I$12+'ПЛАН ЧЕРН К2'!M14*СПРАВОЧНИК!$J$12+'ПЛАН ЧЕРН К2'!N14*СПРАВОЧНИК!$H$13+'ПЛАН ЧЕРН К2'!O14*СПРАВОЧНИК!$I$13+'ПЛАН ЧЕРН К2'!P14*СПРАВОЧНИК!$J$13+'ПЛАН ЧЕРН К2'!Q14*СПРАВОЧНИК!$H$14+'ПЛАН ЧЕРН К2'!R14*СПРАВОЧНИК!$I$14+'ПЛАН ЧЕРН К2'!S14*СПРАВОЧНИК!$J$14+'ПЛАН ЧЕРН К2'!T14*СПРАВОЧНИК!$H$15+'ПЛАН ЧЕРН К2'!U14*СПРАВОЧНИК!$I$15+'ПЛАН ЧЕРН К2'!V14*СПРАВОЧНИК!$J$15</f>
        <v/>
      </c>
      <c r="AU23" s="40">
        <f>('ФАКТ ЧЕРН К2'!B14)*СПРАВОЧНИК!$H$9+('ФАКТ ЧЕРН К2'!C14)*СПРАВОЧНИК!$I$9+('ФАКТ ЧЕРН К2'!D14)*СПРАВОЧНИК!$J$9+('ФАКТ ЧЕРН К2'!E14)*СПРАВОЧНИК!$H$10+('ФАКТ ЧЕРН К2'!F14)*СПРАВОЧНИК!$I$10+('ФАКТ ЧЕРН К2'!G14)*СПРАВОЧНИК!$J$10+('ФАКТ ЧЕРН К2'!H14)*СПРАВОЧНИК!$H$11+('ФАКТ ЧЕРН К2'!I14)*СПРАВОЧНИК!$I$11+('ФАКТ ЧЕРН К2'!J14)*СПРАВОЧНИК!$J$11+('ФАКТ ЧЕРН К2'!K14)*СПРАВОЧНИК!$H$12+('ФАКТ ЧЕРН К2'!L14)*СПРАВОЧНИК!$I$12+('ФАКТ ЧЕРН К2'!M14)*СПРАВОЧНИК!$J$12+('ФАКТ ЧЕРН К2'!N14)*СПРАВОЧНИК!$H$13+('ФАКТ ЧЕРН К2'!O14)*СПРАВОЧНИК!$I$13+('ФАКТ ЧЕРН К2'!P14)*СПРАВОЧНИК!$J$13+('ФАКТ ЧЕРН К2'!Q14)*СПРАВОЧНИК!$H$14+('ФАКТ ЧЕРН К2'!R14)*СПРАВОЧНИК!$I$14+('ФАКТ ЧЕРН К2'!S14)*СПРАВОЧНИК!$J$14+('ФАКТ ЧЕРН К2'!T14)*СПРАВОЧНИК!$H$15+('ФАКТ ЧЕРН К2'!U14)*СПРАВОЧНИК!$I$15+('ФАКТ ЧЕРН К2'!V14)*СПРАВОЧНИК!$J$15</f>
        <v/>
      </c>
      <c r="AY23" s="18">
        <f>AY22+7</f>
        <v/>
      </c>
      <c r="AZ23" s="37">
        <f>'ПЛАН ЧИСТ К2'!B14*СПРАВОЧНИК!$L$9+'ПЛАН ЧИСТ К2'!C14*СПРАВОЧНИК!$M$9+'ПЛАН ЧИСТ К2'!D14*СПРАВОЧНИК!$N$9+'ПЛАН ЧИСТ К2'!E14*СПРАВОЧНИК!$O$9+'ПЛАН ЧИСТ К2'!F14*СПРАВОЧНИК!$L$10+'ПЛАН ЧИСТ К2'!G14*СПРАВОЧНИК!$M$10+'ПЛАН ЧИСТ К2'!H14*СПРАВОЧНИК!$N$10+'ПЛАН ЧИСТ К2'!I14*СПРАВОЧНИК!$O$10+'ПЛАН ЧИСТ К2'!J14*СПРАВОЧНИК!$L$11+'ПЛАН ЧИСТ К2'!K14*СПРАВОЧНИК!$M$11+'ПЛАН ЧИСТ К2'!L14*СПРАВОЧНИК!$N$11+'ПЛАН ЧИСТ К2'!M14*СПРАВОЧНИК!$L$12+'ПЛАН ЧИСТ К2'!N14*СПРАВОЧНИК!$M$12+'ПЛАН ЧИСТ К2'!O14*СПРАВОЧНИК!$N$12+'ПЛАН ЧИСТ К2'!P14*СПРАВОЧНИК!$O$12+'ПЛАН ЧИСТ К2'!Q14*СПРАВОЧНИК!$L$13+'ПЛАН ЧИСТ К2'!R14*СПРАВОЧНИК!$M$13+'ПЛАН ЧИСТ К2'!S14*СПРАВОЧНИК!$N$13+'ПЛАН ЧИСТ К2'!T14*СПРАВОЧНИК!$O$13+'ПЛАН ЧИСТ К2'!U14*СПРАВОЧНИК!$L$14+'ПЛАН ЧИСТ К2'!V14*СПРАВОЧНИК!$M$14+'ПЛАН ЧИСТ К2'!W14*СПРАВОЧНИК!$N$14+'ПЛАН ЧИСТ К2'!X14*СПРАВОЧНИК!$L$15+'ПЛАН ЧИСТ К2'!Y14*СПРАВОЧНИК!$M$15+'ПЛАН ЧИСТ К2'!Z14*СПРАВОЧНИК!$N$15</f>
        <v/>
      </c>
      <c r="BA23" s="40">
        <f>('ФАКТ ЧИСТ К2'!B14)*СПРАВОЧНИК!$L$9+('ФАКТ ЧИСТ К2'!C14)*СПРАВОЧНИК!$M$9+('ФАКТ ЧИСТ К2'!D14)*СПРАВОЧНИК!$N$9+('ФАКТ ЧИСТ К2'!E14)*СПРАВОЧНИК!$O$9+('ФАКТ ЧИСТ К2'!F14)*СПРАВОЧНИК!$L$10+('ФАКТ ЧИСТ К2'!G14)*СПРАВОЧНИК!$M$10+('ФАКТ ЧИСТ К2'!H14)*СПРАВОЧНИК!$N$10+('ФАКТ ЧИСТ К2'!I14)*СПРАВОЧНИК!$O$10+('ФАКТ ЧИСТ К2'!J14)*СПРАВОЧНИК!$L$11+('ФАКТ ЧИСТ К2'!K14)*СПРАВОЧНИК!$M$11+('ФАКТ ЧИСТ К2'!L14)*СПРАВОЧНИК!$N$11+('ФАКТ ЧИСТ К2'!M14)*СПРАВОЧНИК!$L$12+('ФАКТ ЧИСТ К2'!N14)*СПРАВОЧНИК!$M$12+('ФАКТ ЧИСТ К2'!O14)*СПРАВОЧНИК!$N$12+('ФАКТ ЧИСТ К2'!P14)*СПРАВОЧНИК!$O$12+('ФАКТ ЧИСТ К2'!Q14)*СПРАВОЧНИК!$L$13+('ФАКТ ЧИСТ К2'!R14)*СПРАВОЧНИК!$M$13+('ФАКТ ЧИСТ К2'!S14)*СПРАВОЧНИК!$N$13+('ФАКТ ЧИСТ К2'!T14)*СПРАВОЧНИК!$O$13+('ФАКТ ЧИСТ К2'!U14)*СПРАВОЧНИК!$L$14+('ФАКТ ЧИСТ К2'!V14)*СПРАВОЧНИК!$M$14+('ФАКТ ЧИСТ К2'!W14)*СПРАВОЧНИК!$N$14+('ФАКТ ЧИСТ К2'!X14)*СПРАВОЧНИК!$L$15+('ФАКТ ЧИСТ К2'!Y14)*СПРАВОЧНИК!$M$15+('ФАКТ ЧИСТ К2'!Z14)*СПРАВОЧНИК!$N$15</f>
        <v/>
      </c>
      <c r="BE23" s="18">
        <f>BE22+7</f>
        <v/>
      </c>
      <c r="BF23" s="37">
        <f>СПРАВОЧНИК!$E$9*('ПЛАН ЧЕРН К3'!B14*СПРАВОЧНИК!$H$9+'ПЛАН ЧЕРН К3'!C14*СПРАВОЧНИК!$I$9+'ПЛАН ЧЕРН К3'!D14*СПРАВОЧНИК!$J$9)+СПРАВОЧНИК!$E$10*('ПЛАН ЧЕРН К3'!E14*СПРАВОЧНИК!$H$10+'ПЛАН ЧЕРН К3'!F14*СПРАВОЧНИК!$I$10+'ПЛАН ЧЕРН К3'!G14*СПРАВОЧНИК!$J$10)+СПРАВОЧНИК!$E$11*('ПЛАН ЧЕРН К3'!H14*СПРАВОЧНИК!$H$11+'ПЛАН ЧЕРН К3'!I14*СПРАВОЧНИК!$I$11+'ПЛАН ЧЕРН К3'!J14*СПРАВОЧНИК!$J$11)+СПРАВОЧНИК!$E$12*('ПЛАН ЧЕРН К3'!K14*СПРАВОЧНИК!$H$12+'ПЛАН ЧЕРН К3'!L14*СПРАВОЧНИК!$I$12+'ПЛАН ЧЕРН К3'!M14*СПРАВОЧНИК!$J$12)+СПРАВОЧНИК!$E$13*('ПЛАН ЧЕРН К3'!N14*СПРАВОЧНИК!$H$13+'ПЛАН ЧЕРН К3'!O14*СПРАВОЧНИК!$I$13+'ПЛАН ЧЕРН К3'!P14*СПРАВОЧНИК!$J$13)+СПРАВОЧНИК!$E$14*('ПЛАН ЧЕРН К3'!Q14*СПРАВОЧНИК!$H$14+'ПЛАН ЧЕРН К3'!R14*СПРАВОЧНИК!$I$14+'ПЛАН ЧЕРН К3'!S14*СПРАВОЧНИК!$J$14)+СПРАВОЧНИК!$E$15*('ПЛАН ЧЕРН К3'!T14*СПРАВОЧНИК!$H$15+'ПЛАН ЧЕРН К3'!U14*СПРАВОЧНИК!$I$15+'ПЛАН ЧЕРН К3'!V14*СПРАВОЧНИК!$J$15)+СПРАВОЧНИК!$F$9*('ПЛАН ЧИСТ К3'!B14*СПРАВОЧНИК!$L$9+'ПЛАН ЧИСТ К3'!C14*СПРАВОЧНИК!$M$9+'ПЛАН ЧИСТ К3'!D14*СПРАВОЧНИК!$N$9+'ПЛАН ЧИСТ К3'!E14*СПРАВОЧНИК!$O$9)+СПРАВОЧНИК!$F$10*('ПЛАН ЧИСТ К3'!F14*СПРАВОЧНИК!$L$10+'ПЛАН ЧИСТ К3'!G14*СПРАВОЧНИК!$M$10+'ПЛАН ЧИСТ К3'!H14*СПРАВОЧНИК!$N$10+'ПЛАН ЧИСТ К3'!I14*СПРАВОЧНИК!$O$10)+СПРАВОЧНИК!$F$11*('ПЛАН ЧИСТ К3'!J14*СПРАВОЧНИК!$L$11+'ПЛАН ЧИСТ К3'!K14*СПРАВОЧНИК!$M$11+'ПЛАН ЧИСТ К3'!L14*СПРАВОЧНИК!$N$11)+СПРАВОЧНИК!$F$12*('ПЛАН ЧИСТ К3'!M14*СПРАВОЧНИК!$L$12+'ПЛАН ЧИСТ К3'!N14*СПРАВОЧНИК!$M$12+'ПЛАН ЧИСТ К3'!O14*СПРАВОЧНИК!$N$12+'ПЛАН ЧИСТ К3'!P14*СПРАВОЧНИК!$O$12)+СПРАВОЧНИК!$F$13*('ПЛАН ЧИСТ К3'!Q14*СПРАВОЧНИК!$L$13+'ПЛАН ЧИСТ К3'!R14*СПРАВОЧНИК!$M$13+'ПЛАН ЧИСТ К3'!S14*СПРАВОЧНИК!$N$13+'ПЛАН ЧИСТ К3'!T14*СПРАВОЧНИК!$O$13)+СПРАВОЧНИК!$F$14*('ПЛАН ЧИСТ К3'!U14*СПРАВОЧНИК!$L$14+'ПЛАН ЧИСТ К3'!V14*СПРАВОЧНИК!$M$14+'ПЛАН ЧИСТ К3'!W14*СПРАВОЧНИК!$N$14)+СПРАВОЧНИК!$F$15*('ПЛАН ЧИСТ К3'!X14*СПРАВОЧНИК!$L$15+'ПЛАН ЧИСТ К3'!Y14*СПРАВОЧНИК!$M$15+'ПЛАН ЧИСТ К3'!Z14*СПРАВОЧНИК!$N$15)</f>
        <v/>
      </c>
      <c r="BG23" s="40">
        <f>СПРАВОЧНИК!$E$9*(('ФАКТ ЧЕРН К3'!B14)*СПРАВОЧНИК!$H$9+('ФАКТ ЧЕРН К3'!C14)*СПРАВОЧНИК!$I$9+('ФАКТ ЧЕРН К3'!D14)*СПРАВОЧНИК!$J$9)+СПРАВОЧНИК!$E$10*(('ФАКТ ЧЕРН К3'!E14)*СПРАВОЧНИК!$H$10+('ФАКТ ЧЕРН К3'!F14)*СПРАВОЧНИК!$I$10+('ФАКТ ЧЕРН К3'!G14)*СПРАВОЧНИК!$J$10)+СПРАВОЧНИК!$E$11*(('ФАКТ ЧЕРН К3'!H14)*СПРАВОЧНИК!$H$11+('ФАКТ ЧЕРН К3'!I14)*СПРАВОЧНИК!$I$11+('ФАКТ ЧЕРН К3'!J14)*СПРАВОЧНИК!$J$11)+СПРАВОЧНИК!$E$12*(('ФАКТ ЧЕРН К3'!K14)*СПРАВОЧНИК!$H$12+('ФАКТ ЧЕРН К3'!L14)*СПРАВОЧНИК!$I$12+('ФАКТ ЧЕРН К3'!M14)*СПРАВОЧНИК!$J$12)+СПРАВОЧНИК!$E$13*(('ФАКТ ЧЕРН К3'!N14)*СПРАВОЧНИК!$H$13+('ФАКТ ЧЕРН К3'!O14)*СПРАВОЧНИК!$I$13+('ФАКТ ЧЕРН К3'!P14)*СПРАВОЧНИК!$J$13)+СПРАВОЧНИК!$E$14*(('ФАКТ ЧЕРН К3'!Q14)*СПРАВОЧНИК!$H$14+('ФАКТ ЧЕРН К3'!R14)*СПРАВОЧНИК!$I$14+('ФАКТ ЧЕРН К3'!S14)*СПРАВОЧНИК!$J$14)+СПРАВОЧНИК!$E$15*(('ФАКТ ЧЕРН К3'!T14)*СПРАВОЧНИК!$H$15+('ФАКТ ЧЕРН К3'!U14)*СПРАВОЧНИК!$I$15+('ФАКТ ЧЕРН К3'!V14)*СПРАВОЧНИК!$J$15)+СПРАВОЧНИК!$F$9*(('ФАКТ ЧИСТ К3'!B14)*СПРАВОЧНИК!$L$9+('ФАКТ ЧИСТ К3'!C14)*СПРАВОЧНИК!$M$9+('ФАКТ ЧИСТ К3'!D14)*СПРАВОЧНИК!$N$9+('ФАКТ ЧИСТ К3'!E14)*СПРАВОЧНИК!$O$9)+СПРАВОЧНИК!$F$10*(('ФАКТ ЧИСТ К3'!F14)*СПРАВОЧНИК!$L$10+('ФАКТ ЧИСТ К3'!G14)*СПРАВОЧНИК!$M$10+('ФАКТ ЧИСТ К3'!H14)*СПРАВОЧНИК!$N$10+('ФАКТ ЧИСТ К3'!I14)*СПРАВОЧНИК!$O$10)+СПРАВОЧНИК!$F$11*(('ФАКТ ЧИСТ К3'!J14)*СПРАВОЧНИК!$L$11+('ФАКТ ЧИСТ К3'!K14)*СПРАВОЧНИК!$M$11+('ФАКТ ЧИСТ К3'!L14)*СПРАВОЧНИК!$N$11)+СПРАВОЧНИК!$F$12*(('ФАКТ ЧИСТ К3'!M14)*СПРАВОЧНИК!$L$12+('ФАКТ ЧИСТ К3'!N14)*СПРАВОЧНИК!$M$12+('ФАКТ ЧИСТ К3'!O14)*СПРАВОЧНИК!$N$12+('ФАКТ ЧИСТ К3'!P14)*СПРАВОЧНИК!$O$12)+СПРАВОЧНИК!$F$13*(('ФАКТ ЧИСТ К3'!Q14)*СПРАВОЧНИК!$L$13+('ФАКТ ЧИСТ К3'!R14)*СПРАВОЧНИК!$M$13+('ФАКТ ЧИСТ К3'!S14)*СПРАВОЧНИК!$N$13+('ФАКТ ЧИСТ К3'!T14)*СПРАВОЧНИК!$O$13)+СПРАВОЧНИК!$F$14*(('ФАКТ ЧИСТ К3'!U14)*СПРАВОЧНИК!$L$14+('ФАКТ ЧИСТ К3'!V14)*СПРАВОЧНИК!$M$14+('ФАКТ ЧИСТ К3'!W14)*СПРАВОЧНИК!$N$14)+СПРАВОЧНИК!$F$15*(('ФАКТ ЧИСТ К3'!X14)*СПРАВОЧНИК!$L$15+('ФАКТ ЧИСТ К3'!Y14)*СПРАВОЧНИК!$M$15+('ФАКТ ЧИСТ К3'!Z14)*СПРАВОЧНИК!$N$15)</f>
        <v/>
      </c>
      <c r="BK23" s="18">
        <f>BK22+7</f>
        <v/>
      </c>
      <c r="BL23" s="37">
        <f>'ПЛАН ЧЕРН К3'!B14*СПРАВОЧНИК!$H$9+'ПЛАН ЧЕРН К3'!C14*СПРАВОЧНИК!$I$9+'ПЛАН ЧЕРН К3'!D14*СПРАВОЧНИК!$J$9+'ПЛАН ЧЕРН К3'!E14*СПРАВОЧНИК!$H$10+'ПЛАН ЧЕРН К3'!F14*СПРАВОЧНИК!$I$10+'ПЛАН ЧЕРН К3'!G14*СПРАВОЧНИК!$J$10+'ПЛАН ЧЕРН К3'!H14*СПРАВОЧНИК!$H$11+'ПЛАН ЧЕРН К3'!I14*СПРАВОЧНИК!$I$11+'ПЛАН ЧЕРН К3'!J14*СПРАВОЧНИК!$J$11+'ПЛАН ЧЕРН К3'!K14*СПРАВОЧНИК!$H$12+'ПЛАН ЧЕРН К3'!L14*СПРАВОЧНИК!$I$12+'ПЛАН ЧЕРН К3'!M14*СПРАВОЧНИК!$J$12+'ПЛАН ЧЕРН К3'!N14*СПРАВОЧНИК!$H$13+'ПЛАН ЧЕРН К3'!O14*СПРАВОЧНИК!$I$13+'ПЛАН ЧЕРН К3'!P14*СПРАВОЧНИК!$J$13+'ПЛАН ЧЕРН К3'!Q14*СПРАВОЧНИК!$H$14+'ПЛАН ЧЕРН К3'!R14*СПРАВОЧНИК!$I$14+'ПЛАН ЧЕРН К3'!S14*СПРАВОЧНИК!$J$14+'ПЛАН ЧЕРН К3'!T14*СПРАВОЧНИК!$H$15+'ПЛАН ЧЕРН К3'!U14*СПРАВОЧНИК!$I$15+'ПЛАН ЧЕРН К3'!V14*СПРАВОЧНИК!$J$15</f>
        <v/>
      </c>
      <c r="BM23" s="40">
        <f>('ФАКТ ЧЕРН К3'!B14)*СПРАВОЧНИК!$H$9+('ФАКТ ЧЕРН К3'!C14)*СПРАВОЧНИК!$I$9+('ФАКТ ЧЕРН К3'!D14)*СПРАВОЧНИК!$J$9+('ФАКТ ЧЕРН К3'!E14)*СПРАВОЧНИК!$H$10+('ФАКТ ЧЕРН К3'!F14)*СПРАВОЧНИК!$I$10+('ФАКТ ЧЕРН К3'!G14)*СПРАВОЧНИК!$J$10+('ФАКТ ЧЕРН К3'!H14)*СПРАВОЧНИК!$H$11+('ФАКТ ЧЕРН К3'!I14)*СПРАВОЧНИК!$I$11+('ФАКТ ЧЕРН К3'!J14)*СПРАВОЧНИК!$J$11+('ФАКТ ЧЕРН К3'!K14)*СПРАВОЧНИК!$H$12+('ФАКТ ЧЕРН К3'!L14)*СПРАВОЧНИК!$I$12+('ФАКТ ЧЕРН К3'!M14)*СПРАВОЧНИК!$J$12+('ФАКТ ЧЕРН К3'!N14)*СПРАВОЧНИК!$H$13+('ФАКТ ЧЕРН К3'!O14)*СПРАВОЧНИК!$I$13+('ФАКТ ЧЕРН К3'!P14)*СПРАВОЧНИК!$J$13+('ФАКТ ЧЕРН К3'!Q14)*СПРАВОЧНИК!$H$14+('ФАКТ ЧЕРН К3'!R14)*СПРАВОЧНИК!$I$14+('ФАКТ ЧЕРН К3'!S14)*СПРАВОЧНИК!$J$14+('ФАКТ ЧЕРН К3'!T14)*СПРАВОЧНИК!$H$15+('ФАКТ ЧЕРН К3'!U14)*СПРАВОЧНИК!$I$15+('ФАКТ ЧЕРН К3'!V14)*СПРАВОЧНИК!$J$15</f>
        <v/>
      </c>
      <c r="BQ23" s="18">
        <f>BQ22+7</f>
        <v/>
      </c>
      <c r="BR23" s="37">
        <f>'ПЛАН ЧИСТ К3'!B14*СПРАВОЧНИК!$L$9+'ПЛАН ЧИСТ К3'!C14*СПРАВОЧНИК!$M$9+'ПЛАН ЧИСТ К3'!D14*СПРАВОЧНИК!$N$9+'ПЛАН ЧИСТ К3'!E14*СПРАВОЧНИК!$O$9+'ПЛАН ЧИСТ К3'!F14*СПРАВОЧНИК!$L$10+'ПЛАН ЧИСТ К3'!G14*СПРАВОЧНИК!$M$10+'ПЛАН ЧИСТ К3'!H14*СПРАВОЧНИК!$N$10+'ПЛАН ЧИСТ К3'!I14*СПРАВОЧНИК!$O$10+'ПЛАН ЧИСТ К3'!J14*СПРАВОЧНИК!$L$11+'ПЛАН ЧИСТ К3'!K14*СПРАВОЧНИК!$M$11+'ПЛАН ЧИСТ К3'!L14*СПРАВОЧНИК!$N$11+'ПЛАН ЧИСТ К3'!M14*СПРАВОЧНИК!$L$12+'ПЛАН ЧИСТ К3'!N14*СПРАВОЧНИК!$M$12+'ПЛАН ЧИСТ К3'!O14*СПРАВОЧНИК!$N$12+'ПЛАН ЧИСТ К3'!P14*СПРАВОЧНИК!$O$12+'ПЛАН ЧИСТ К3'!Q14*СПРАВОЧНИК!$L$13+'ПЛАН ЧИСТ К3'!R14*СПРАВОЧНИК!$M$13+'ПЛАН ЧИСТ К3'!S14*СПРАВОЧНИК!$N$13+'ПЛАН ЧИСТ К3'!T14*СПРАВОЧНИК!$O$13+'ПЛАН ЧИСТ К3'!U14*СПРАВОЧНИК!$L$14+'ПЛАН ЧИСТ К3'!V14*СПРАВОЧНИК!$M$14+'ПЛАН ЧИСТ К3'!W14*СПРАВОЧНИК!$N$14+'ПЛАН ЧИСТ К3'!X14*СПРАВОЧНИК!$L$15+'ПЛАН ЧИСТ К3'!Y14*СПРАВОЧНИК!$M$15+'ПЛАН ЧИСТ К3'!Z14*СПРАВОЧНИК!$N$15</f>
        <v/>
      </c>
      <c r="BS23" s="40">
        <f>('ФАКТ ЧИСТ К3'!B14)*СПРАВОЧНИК!$L$9+('ФАКТ ЧИСТ К3'!C14)*СПРАВОЧНИК!$M$9+('ФАКТ ЧИСТ К3'!D14)*СПРАВОЧНИК!$N$9+('ФАКТ ЧИСТ К3'!E14)*СПРАВОЧНИК!$O$9+('ФАКТ ЧИСТ К3'!F14)*СПРАВОЧНИК!$L$10+('ФАКТ ЧИСТ К3'!G14)*СПРАВОЧНИК!$M$10+('ФАКТ ЧИСТ К3'!H14)*СПРАВОЧНИК!$N$10+('ФАКТ ЧИСТ К3'!I14)*СПРАВОЧНИК!$O$10+('ФАКТ ЧИСТ К3'!J14)*СПРАВОЧНИК!$L$11+('ФАКТ ЧИСТ К3'!K14)*СПРАВОЧНИК!$M$11+('ФАКТ ЧИСТ К3'!L14)*СПРАВОЧНИК!$N$11+('ФАКТ ЧИСТ К3'!M14)*СПРАВОЧНИК!$L$12+('ФАКТ ЧИСТ К3'!N14)*СПРАВОЧНИК!$M$12+('ФАКТ ЧИСТ К3'!O14)*СПРАВОЧНИК!$N$12+('ФАКТ ЧИСТ К3'!P14)*СПРАВОЧНИК!$O$12+('ФАКТ ЧИСТ К3'!Q14)*СПРАВОЧНИК!$L$13+('ФАКТ ЧИСТ К3'!R14)*СПРАВОЧНИК!$M$13+('ФАКТ ЧИСТ К3'!S14)*СПРАВОЧНИК!$N$13+('ФАКТ ЧИСТ К3'!T14)*СПРАВОЧНИК!$O$13+('ФАКТ ЧИСТ К3'!U14)*СПРАВОЧНИК!$L$14+('ФАКТ ЧИСТ К3'!V14)*СПРАВОЧНИК!$M$14+('ФАКТ ЧИСТ К3'!W14)*СПРАВОЧНИК!$N$14+('ФАКТ ЧИСТ К3'!X14)*СПРАВОЧНИК!$L$15+('ФАКТ ЧИСТ К3'!Y14)*СПРАВОЧНИК!$M$15+('ФАКТ ЧИСТ К3'!Z14)*СПРАВОЧНИК!$N$15</f>
        <v/>
      </c>
      <c r="BW23" s="18">
        <f>BW22+7</f>
        <v/>
      </c>
      <c r="BX23" s="37">
        <f>V23+AN23+BF23</f>
        <v/>
      </c>
      <c r="BY23" s="40">
        <f>W23+AO23+BG23</f>
        <v/>
      </c>
      <c r="CC23" s="18">
        <f>CC22+7</f>
        <v/>
      </c>
      <c r="CD23" s="37">
        <f>AB23+AT23+BL23</f>
        <v/>
      </c>
      <c r="CE23" s="40">
        <f>AC23+AU23+BM23</f>
        <v/>
      </c>
      <c r="CI23" s="18">
        <f>CI22+7</f>
        <v/>
      </c>
      <c r="CJ23" s="37">
        <f>AH23+AZ23+BR23</f>
        <v/>
      </c>
      <c r="CK23" s="40">
        <f>AI23+BA23+BS23</f>
        <v/>
      </c>
      <c r="CO23" s="18">
        <f>CO22+7</f>
        <v/>
      </c>
      <c r="CP23" s="37">
        <f>D23+BX23</f>
        <v/>
      </c>
      <c r="CQ23" s="40">
        <f>E23+BY23</f>
        <v/>
      </c>
      <c r="CU23" s="18">
        <f>CU22+7</f>
        <v/>
      </c>
      <c r="CV23" s="37">
        <f>J23+CD23</f>
        <v/>
      </c>
      <c r="CW23" s="40">
        <f>K23+CE23</f>
        <v/>
      </c>
      <c r="DA23" s="18">
        <f>DA22+7</f>
        <v/>
      </c>
      <c r="DB23" s="37">
        <f>P23+CJ23</f>
        <v/>
      </c>
      <c r="DC23" s="40">
        <f>Q23+CK23</f>
        <v/>
      </c>
    </row>
    <row r="24">
      <c r="C24" s="18">
        <f>C23+7</f>
        <v/>
      </c>
      <c r="D24" s="37">
        <f>СПРАВОЧНИК!$E$3*('ПЛАН ЧЕРН ПОДЗЕМ'!B15*СПРАВОЧНИК!$H$3+'ПЛАН ЧЕРН ПОДЗЕМ'!C15*СПРАВОЧНИК!$I$3+'ПЛАН ЧЕРН ПОДЗЕМ'!D15*СПРАВОЧНИК!$J$3)+СПРАВОЧНИК!$E$4*('ПЛАН ЧЕРН ПОДЗЕМ'!E15*СПРАВОЧНИК!$H$4+'ПЛАН ЧЕРН ПОДЗЕМ'!F15*СПРАВОЧНИК!$I$4+'ПЛАН ЧЕРН ПОДЗЕМ'!G15*СПРАВОЧНИК!$J$4)+СПРАВОЧНИК!$E$5*('ПЛАН ЧЕРН ПОДЗЕМ'!H15*СПРАВОЧНИК!$H$5+'ПЛАН ЧЕРН ПОДЗЕМ'!I15*СПРАВОЧНИК!$I$5+'ПЛАН ЧЕРН ПОДЗЕМ'!J15*СПРАВОЧНИК!$J$5)+СПРАВОЧНИК!$E$6*('ПЛАН ЧЕРН ПОДЗЕМ'!K15*СПРАВОЧНИК!$H$6+'ПЛАН ЧЕРН ПОДЗЕМ'!L15*СПРАВОЧНИК!$I$6+'ПЛАН ЧЕРН ПОДЗЕМ'!M15*СПРАВОЧНИК!$J$6)+СПРАВОЧНИК!$E$7*('ПЛАН ЧЕРН ПОДЗЕМ'!N15*СПРАВОЧНИК!$H$7+'ПЛАН ЧЕРН ПОДЗЕМ'!O15*СПРАВОЧНИК!$I$7+'ПЛАН ЧЕРН ПОДЗЕМ'!P15*СПРАВОЧНИК!$J$7)+СПРАВОЧНИК!$E$8*('ПЛАН ЧЕРН ПОДЗЕМ'!Q15*СПРАВОЧНИК!$H$8+'ПЛАН ЧЕРН ПОДЗЕМ'!R15*СПРАВОЧНИК!$I$8+'ПЛАН ЧЕРН ПОДЗЕМ'!S15*СПРАВОЧНИК!$J$8)+СПРАВОЧНИК!$F$3*('ПЛАН ЧИСТ ПОДЗЕМ'!B15*СПРАВОЧНИК!$L$3+'ПЛАН ЧИСТ ПОДЗЕМ'!C15*СПРАВОЧНИК!$M$3+'ПЛАН ЧИСТ ПОДЗЕМ'!D15*СПРАВОЧНИК!$N$3+'ПЛАН ЧИСТ ПОДЗЕМ'!E15*СПРАВОЧНИК!$O$3)+СПРАВОЧНИК!$F$4*('ПЛАН ЧИСТ ПОДЗЕМ'!F15*СПРАВОЧНИК!$L$4+'ПЛАН ЧИСТ ПОДЗЕМ'!G15*СПРАВОЧНИК!$M$4+'ПЛАН ЧИСТ ПОДЗЕМ'!H15*СПРАВОЧНИК!$N$4+'ПЛАН ЧИСТ ПОДЗЕМ'!I15*СПРАВОЧНИК!$O$4)+СПРАВОЧНИК!$F$5*('ПЛАН ЧИСТ ПОДЗЕМ'!J15*СПРАВОЧНИК!$L$5+'ПЛАН ЧИСТ ПОДЗЕМ'!K15*СПРАВОЧНИК!$M$5+'ПЛАН ЧИСТ ПОДЗЕМ'!L15*СПРАВОЧНИК!$N$5)+СПРАВОЧНИК!$F$6*('ПЛАН ЧИСТ ПОДЗЕМ'!M15*СПРАВОЧНИК!$L$6+'ПЛАН ЧИСТ ПОДЗЕМ'!N15*СПРАВОЧНИК!$M$6+'ПЛАН ЧИСТ ПОДЗЕМ'!O15*СПРАВОЧНИК!$N$6+'ПЛАН ЧИСТ ПОДЗЕМ'!P15*СПРАВОЧНИК!$O$6)+СПРАВОЧНИК!$F$7*('ПЛАН ЧИСТ ПОДЗЕМ'!Q15*СПРАВОЧНИК!$L$7+'ПЛАН ЧИСТ ПОДЗЕМ'!R15*СПРАВОЧНИК!$M$7+'ПЛАН ЧИСТ ПОДЗЕМ'!S15*СПРАВОЧНИК!$N$7+'ПЛАН ЧИСТ ПОДЗЕМ'!T15*СПРАВОЧНИК!$O$7)+СПРАВОЧНИК!$F$8*('ПЛАН ЧИСТ ПОДЗЕМ'!U15*СПРАВОЧНИК!$L$8+'ПЛАН ЧИСТ ПОДЗЕМ'!V15*СПРАВОЧНИК!$M$8+'ПЛАН ЧИСТ ПОДЗЕМ'!W15*СПРАВОЧНИК!$N$8)</f>
        <v/>
      </c>
      <c r="E24" s="40">
        <f>СПРАВОЧНИК!$E$3*(('ФАКТ ЧЕРН ПОДЗЕМ'!B15)*СПРАВОЧНИК!$H$3+('ФАКТ ЧЕРН ПОДЗЕМ'!C15)*СПРАВОЧНИК!$I$3+('ФАКТ ЧЕРН ПОДЗЕМ'!D15)*СПРАВОЧНИК!$J$3)+СПРАВОЧНИК!$E$4*(('ФАКТ ЧЕРН ПОДЗЕМ'!E15)*СПРАВОЧНИК!$H$4+('ФАКТ ЧЕРН ПОДЗЕМ'!F15)*СПРАВОЧНИК!$I$4+('ФАКТ ЧЕРН ПОДЗЕМ'!G15)*СПРАВОЧНИК!$J$4)+СПРАВОЧНИК!$E$5*(('ФАКТ ЧЕРН ПОДЗЕМ'!H15)*СПРАВОЧНИК!$H$5+('ФАКТ ЧЕРН ПОДЗЕМ'!I15)*СПРАВОЧНИК!$I$5+('ФАКТ ЧЕРН ПОДЗЕМ'!J15)*СПРАВОЧНИК!$J$5)+СПРАВОЧНИК!$E$6*(('ФАКТ ЧЕРН ПОДЗЕМ'!K15)*СПРАВОЧНИК!$H$6+('ФАКТ ЧЕРН ПОДЗЕМ'!L15)*СПРАВОЧНИК!$I$6+('ФАКТ ЧЕРН ПОДЗЕМ'!M15)*СПРАВОЧНИК!$J$6)+СПРАВОЧНИК!$E$7*(('ФАКТ ЧЕРН ПОДЗЕМ'!N15)*СПРАВОЧНИК!$H$7+('ФАКТ ЧЕРН ПОДЗЕМ'!O15)*СПРАВОЧНИК!$I$7+('ФАКТ ЧЕРН ПОДЗЕМ'!P15)*СПРАВОЧНИК!$J$7)+СПРАВОЧНИК!$E$8*(('ФАКТ ЧЕРН ПОДЗЕМ'!Q15)*СПРАВОЧНИК!$H$8+('ФАКТ ЧЕРН ПОДЗЕМ'!R15)*СПРАВОЧНИК!$I$8+('ФАКТ ЧЕРН ПОДЗЕМ'!S15)*СПРАВОЧНИК!$J$8)+СПРАВОЧНИК!$F$3*(('ФАКТ ЧИСТ ПОДЗЕМ'!B15)*СПРАВОЧНИК!$L$3+('ФАКТ ЧИСТ ПОДЗЕМ'!C15)*СПРАВОЧНИК!$M$3+('ФАКТ ЧИСТ ПОДЗЕМ'!D15)*СПРАВОЧНИК!$N$3+('ФАКТ ЧИСТ ПОДЗЕМ'!E15)*СПРАВОЧНИК!$O$3)+СПРАВОЧНИК!$F$4*(('ФАКТ ЧИСТ ПОДЗЕМ'!F15)*СПРАВОЧНИК!$L$4+('ФАКТ ЧИСТ ПОДЗЕМ'!G15)*СПРАВОЧНИК!$M$4+('ФАКТ ЧИСТ ПОДЗЕМ'!H15)*СПРАВОЧНИК!$N$4+('ФАКТ ЧИСТ ПОДЗЕМ'!I15)*СПРАВОЧНИК!$O$4)+СПРАВОЧНИК!$F$5*(('ФАКТ ЧИСТ ПОДЗЕМ'!J15)*СПРАВОЧНИК!$L$5+('ФАКТ ЧИСТ ПОДЗЕМ'!K15)*СПРАВОЧНИК!$M$5+('ФАКТ ЧИСТ ПОДЗЕМ'!L15)*СПРАВОЧНИК!$N$5)+СПРАВОЧНИК!$F$6*(('ФАКТ ЧИСТ ПОДЗЕМ'!M15)*СПРАВОЧНИК!$L$6+('ФАКТ ЧИСТ ПОДЗЕМ'!N15)*СПРАВОЧНИК!$M$6+('ФАКТ ЧИСТ ПОДЗЕМ'!O15)*СПРАВОЧНИК!$N$6+('ФАКТ ЧИСТ ПОДЗЕМ'!P15)*СПРАВОЧНИК!$O$6)+СПРАВОЧНИК!$F$7*(('ФАКТ ЧИСТ ПОДЗЕМ'!Q15)*СПРАВОЧНИК!$L$7+('ФАКТ ЧИСТ ПОДЗЕМ'!R15)*СПРАВОЧНИК!$M$7+('ФАКТ ЧИСТ ПОДЗЕМ'!S15)*СПРАВОЧНИК!$N$7+('ФАКТ ЧИСТ ПОДЗЕМ'!T15)*СПРАВОЧНИК!$O$7)+СПРАВОЧНИК!$F$8*(('ФАКТ ЧИСТ ПОДЗЕМ'!U15)*СПРАВОЧНИК!$L$8+('ФАКТ ЧИСТ ПОДЗЕМ'!V15)*СПРАВОЧНИК!$M$8+('ФАКТ ЧИСТ ПОДЗЕМ'!W15)*СПРАВОЧНИК!$N$8)</f>
        <v/>
      </c>
      <c r="I24" s="18">
        <f>I23+7</f>
        <v/>
      </c>
      <c r="J24" s="37">
        <f>'ПЛАН ЧЕРН ПОДЗЕМ'!B15*СПРАВОЧНИК!$H$3+'ПЛАН ЧЕРН ПОДЗЕМ'!C15*СПРАВОЧНИК!$I$3+'ПЛАН ЧЕРН ПОДЗЕМ'!D15*СПРАВОЧНИК!$J$3+'ПЛАН ЧЕРН ПОДЗЕМ'!E15*СПРАВОЧНИК!$H$4+'ПЛАН ЧЕРН ПОДЗЕМ'!F15*СПРАВОЧНИК!$I$4+'ПЛАН ЧЕРН ПОДЗЕМ'!G15*СПРАВОЧНИК!$J$4+'ПЛАН ЧЕРН ПОДЗЕМ'!H15*СПРАВОЧНИК!$H$5+'ПЛАН ЧЕРН ПОДЗЕМ'!I15*СПРАВОЧНИК!$I$5+'ПЛАН ЧЕРН ПОДЗЕМ'!J15*СПРАВОЧНИК!$J$5+'ПЛАН ЧЕРН ПОДЗЕМ'!K15*СПРАВОЧНИК!$H$6+'ПЛАН ЧЕРН ПОДЗЕМ'!L15*СПРАВОЧНИК!$I$6+'ПЛАН ЧЕРН ПОДЗЕМ'!M15*СПРАВОЧНИК!$J$6+'ПЛАН ЧЕРН ПОДЗЕМ'!N15*СПРАВОЧНИК!$H$7+'ПЛАН ЧЕРН ПОДЗЕМ'!O15*СПРАВОЧНИК!$I$7+'ПЛАН ЧЕРН ПОДЗЕМ'!P15*СПРАВОЧНИК!$J$7+'ПЛАН ЧЕРН ПОДЗЕМ'!Q15*СПРАВОЧНИК!$H$8+'ПЛАН ЧЕРН ПОДЗЕМ'!R15*СПРАВОЧНИК!$I$8+'ПЛАН ЧЕРН ПОДЗЕМ'!S15*СПРАВОЧНИК!$J$8</f>
        <v/>
      </c>
      <c r="K24" s="40">
        <f>('ФАКТ ЧЕРН ПОДЗЕМ'!B15)*СПРАВОЧНИК!$H$3+('ФАКТ ЧЕРН ПОДЗЕМ'!C15)*СПРАВОЧНИК!$I$3+('ФАКТ ЧЕРН ПОДЗЕМ'!D15)*СПРАВОЧНИК!$J$3+('ФАКТ ЧЕРН ПОДЗЕМ'!E15)*СПРАВОЧНИК!$H$4+('ФАКТ ЧЕРН ПОДЗЕМ'!F15)*СПРАВОЧНИК!$I$4+('ФАКТ ЧЕРН ПОДЗЕМ'!G15)*СПРАВОЧНИК!$J$4+('ФАКТ ЧЕРН ПОДЗЕМ'!H15)*СПРАВОЧНИК!$H$5+('ФАКТ ЧЕРН ПОДЗЕМ'!I15)*СПРАВОЧНИК!$I$5+('ФАКТ ЧЕРН ПОДЗЕМ'!J15)*СПРАВОЧНИК!$J$5+('ФАКТ ЧЕРН ПОДЗЕМ'!K15)*СПРАВОЧНИК!$H$6+('ФАКТ ЧЕРН ПОДЗЕМ'!L15)*СПРАВОЧНИК!$I$6+('ФАКТ ЧЕРН ПОДЗЕМ'!M15)*СПРАВОЧНИК!$J$6+('ФАКТ ЧЕРН ПОДЗЕМ'!N15)*СПРАВОЧНИК!$H$7+('ФАКТ ЧЕРН ПОДЗЕМ'!O15)*СПРАВОЧНИК!$I$7+('ФАКТ ЧЕРН ПОДЗЕМ'!P15)*СПРАВОЧНИК!$J$7+('ФАКТ ЧЕРН ПОДЗЕМ'!Q15)*СПРАВОЧНИК!$H$8+('ФАКТ ЧЕРН ПОДЗЕМ'!R15)*СПРАВОЧНИК!$I$8+('ФАКТ ЧЕРН ПОДЗЕМ'!S15)*СПРАВОЧНИК!$J$8</f>
        <v/>
      </c>
      <c r="O24" s="18">
        <f>O23+7</f>
        <v/>
      </c>
      <c r="P24" s="37">
        <f>'ПЛАН ЧИСТ ПОДЗЕМ'!B15*СПРАВОЧНИК!$L$3+'ПЛАН ЧИСТ ПОДЗЕМ'!C15*СПРАВОЧНИК!$M$3+'ПЛАН ЧИСТ ПОДЗЕМ'!D15*СПРАВОЧНИК!$N$3+'ПЛАН ЧИСТ ПОДЗЕМ'!E15*СПРАВОЧНИК!$O$3+'ПЛАН ЧИСТ ПОДЗЕМ'!F15*СПРАВОЧНИК!$L$4+'ПЛАН ЧИСТ ПОДЗЕМ'!G15*СПРАВОЧНИК!$M$4+'ПЛАН ЧИСТ ПОДЗЕМ'!H15*СПРАВОЧНИК!$N$4+'ПЛАН ЧИСТ ПОДЗЕМ'!I15*СПРАВОЧНИК!$O$4+'ПЛАН ЧИСТ ПОДЗЕМ'!J15*СПРАВОЧНИК!$L$5+'ПЛАН ЧИСТ ПОДЗЕМ'!K15*СПРАВОЧНИК!$M$5+'ПЛАН ЧИСТ ПОДЗЕМ'!L15*СПРАВОЧНИК!$N$5+'ПЛАН ЧИСТ ПОДЗЕМ'!M15*СПРАВОЧНИК!$L$6+'ПЛАН ЧИСТ ПОДЗЕМ'!N15*СПРАВОЧНИК!$M$6+'ПЛАН ЧИСТ ПОДЗЕМ'!O15*СПРАВОЧНИК!$N$6+'ПЛАН ЧИСТ ПОДЗЕМ'!P15*СПРАВОЧНИК!$O$6+'ПЛАН ЧИСТ ПОДЗЕМ'!Q15*СПРАВОЧНИК!$L$7+'ПЛАН ЧИСТ ПОДЗЕМ'!R15*СПРАВОЧНИК!$M$7+'ПЛАН ЧИСТ ПОДЗЕМ'!S15*СПРАВОЧНИК!$N$7+'ПЛАН ЧИСТ ПОДЗЕМ'!T15*СПРАВОЧНИК!$O$7+'ПЛАН ЧИСТ ПОДЗЕМ'!U15*СПРАВОЧНИК!$L$8+'ПЛАН ЧИСТ ПОДЗЕМ'!V15*СПРАВОЧНИК!$M$8+'ПЛАН ЧИСТ ПОДЗЕМ'!W15*СПРАВОЧНИК!$N$8</f>
        <v/>
      </c>
      <c r="Q24" s="40">
        <f>('ФАКТ ЧИСТ ПОДЗЕМ'!B15)*СПРАВОЧНИК!$L$3+('ФАКТ ЧИСТ ПОДЗЕМ'!C15)*СПРАВОЧНИК!$M$3+('ФАКТ ЧИСТ ПОДЗЕМ'!D15)*СПРАВОЧНИК!$N$3+('ФАКТ ЧИСТ ПОДЗЕМ'!E15)*СПРАВОЧНИК!$O$3+('ФАКТ ЧИСТ ПОДЗЕМ'!F15)*СПРАВОЧНИК!$L$4+('ФАКТ ЧИСТ ПОДЗЕМ'!G15)*СПРАВОЧНИК!$M$4+('ФАКТ ЧИСТ ПОДЗЕМ'!H15)*СПРАВОЧНИК!$N$4+('ФАКТ ЧИСТ ПОДЗЕМ'!I15)*СПРАВОЧНИК!$O$4+('ФАКТ ЧИСТ ПОДЗЕМ'!J15)*СПРАВОЧНИК!$L$5+('ФАКТ ЧИСТ ПОДЗЕМ'!K15)*СПРАВОЧНИК!$M$5+('ФАКТ ЧИСТ ПОДЗЕМ'!L15)*СПРАВОЧНИК!$N$5+('ФАКТ ЧИСТ ПОДЗЕМ'!M15)*СПРАВОЧНИК!$L$6+('ФАКТ ЧИСТ ПОДЗЕМ'!N15)*СПРАВОЧНИК!$M$6+('ФАКТ ЧИСТ ПОДЗЕМ'!O15)*СПРАВОЧНИК!$N$6+('ФАКТ ЧИСТ ПОДЗЕМ'!P15)*СПРАВОЧНИК!$O$6+('ФАКТ ЧИСТ ПОДЗЕМ'!Q15)*СПРАВОЧНИК!$L$7+('ФАКТ ЧИСТ ПОДЗЕМ'!R15)*СПРАВОЧНИК!$M$7+('ФАКТ ЧИСТ ПОДЗЕМ'!S15)*СПРАВОЧНИК!$N$7+('ФАКТ ЧИСТ ПОДЗЕМ'!T15)*СПРАВОЧНИК!$O$7+('ФАКТ ЧИСТ ПОДЗЕМ'!U15)*СПРАВОЧНИК!$L$8+('ФАКТ ЧИСТ ПОДЗЕМ'!V15)*СПРАВОЧНИК!$M$8+('ФАКТ ЧИСТ ПОДЗЕМ'!W15)*СПРАВОЧНИК!$N$8</f>
        <v/>
      </c>
      <c r="U24" s="18">
        <f>U23+7</f>
        <v/>
      </c>
      <c r="V24" s="37">
        <f>СПРАВОЧНИК!$E$9*('ПЛАН ЧЕРН К1'!B15*СПРАВОЧНИК!$H$9+'ПЛАН ЧЕРН К1'!C15*СПРАВОЧНИК!$I$9+'ПЛАН ЧЕРН К1'!D15*СПРАВОЧНИК!$J$9)+СПРАВОЧНИК!$E$10*('ПЛАН ЧЕРН К1'!E15*СПРАВОЧНИК!$H$10+'ПЛАН ЧЕРН К1'!F15*СПРАВОЧНИК!$I$10+'ПЛАН ЧЕРН К1'!G15*СПРАВОЧНИК!$J$10)+СПРАВОЧНИК!$E$11*('ПЛАН ЧЕРН К1'!H15*СПРАВОЧНИК!$H$11+'ПЛАН ЧЕРН К1'!I15*СПРАВОЧНИК!$I$11+'ПЛАН ЧЕРН К1'!J15*СПРАВОЧНИК!$J$11)+СПРАВОЧНИК!$E$12*('ПЛАН ЧЕРН К1'!K15*СПРАВОЧНИК!$H$12+'ПЛАН ЧЕРН К1'!L15*СПРАВОЧНИК!$I$12+'ПЛАН ЧЕРН К1'!M15*СПРАВОЧНИК!$J$12)+СПРАВОЧНИК!$E$13*('ПЛАН ЧЕРН К1'!N15*СПРАВОЧНИК!$H$13+'ПЛАН ЧЕРН К1'!O15*СПРАВОЧНИК!$I$13+'ПЛАН ЧЕРН К1'!P15*СПРАВОЧНИК!$J$13)+СПРАВОЧНИК!$E$14*('ПЛАН ЧЕРН К1'!Q15*СПРАВОЧНИК!$H$14+'ПЛАН ЧЕРН К1'!R15*СПРАВОЧНИК!$I$14+'ПЛАН ЧЕРН К1'!S15*СПРАВОЧНИК!$J$14)+СПРАВОЧНИК!$E$15*('ПЛАН ЧЕРН К1'!T15*СПРАВОЧНИК!$H$15+'ПЛАН ЧЕРН К1'!U15*СПРАВОЧНИК!$I$15+'ПЛАН ЧЕРН К1'!V15*СПРАВОЧНИК!$J$15)+СПРАВОЧНИК!$F$9*('ПЛАН ЧИСТ К1'!B15*СПРАВОЧНИК!$L$9+'ПЛАН ЧИСТ К1'!C15*СПРАВОЧНИК!$M$9+'ПЛАН ЧИСТ К1'!D15*СПРАВОЧНИК!$N$9+'ПЛАН ЧИСТ К1'!E15*СПРАВОЧНИК!$O$9)+СПРАВОЧНИК!$F$10*('ПЛАН ЧИСТ К1'!F15*СПРАВОЧНИК!$L$10+'ПЛАН ЧИСТ К1'!G15*СПРАВОЧНИК!$M$10+'ПЛАН ЧИСТ К1'!H15*СПРАВОЧНИК!$N$10+'ПЛАН ЧИСТ К1'!I15*СПРАВОЧНИК!$O$10)+СПРАВОЧНИК!$F$11*('ПЛАН ЧИСТ К1'!J15*СПРАВОЧНИК!$L$11+'ПЛАН ЧИСТ К1'!K15*СПРАВОЧНИК!$M$11+'ПЛАН ЧИСТ К1'!L15*СПРАВОЧНИК!$N$11)+СПРАВОЧНИК!$F$12*('ПЛАН ЧИСТ К1'!M15*СПРАВОЧНИК!$L$12+'ПЛАН ЧИСТ К1'!N15*СПРАВОЧНИК!$M$12+'ПЛАН ЧИСТ К1'!O15*СПРАВОЧНИК!$N$12+'ПЛАН ЧИСТ К1'!P15*СПРАВОЧНИК!$O$12)+СПРАВОЧНИК!$F$13*('ПЛАН ЧИСТ К1'!Q15*СПРАВОЧНИК!$L$13+'ПЛАН ЧИСТ К1'!R15*СПРАВОЧНИК!$M$13+'ПЛАН ЧИСТ К1'!S15*СПРАВОЧНИК!$N$13+'ПЛАН ЧИСТ К1'!T15*СПРАВОЧНИК!$O$13)+СПРАВОЧНИК!$F$14*('ПЛАН ЧИСТ К1'!U15*СПРАВОЧНИК!$L$14+'ПЛАН ЧИСТ К1'!V15*СПРАВОЧНИК!$M$14+'ПЛАН ЧИСТ К1'!W15*СПРАВОЧНИК!$N$14)+СПРАВОЧНИК!$F$15*('ПЛАН ЧИСТ К1'!X15*СПРАВОЧНИК!$L$15+'ПЛАН ЧИСТ К1'!Y15*СПРАВОЧНИК!$M$15+'ПЛАН ЧИСТ К1'!Z15*СПРАВОЧНИК!$N$15)</f>
        <v/>
      </c>
      <c r="W24" s="40">
        <f>СПРАВОЧНИК!$E$9*(('ФАКТ ЧЕРН К1'!B15)*СПРАВОЧНИК!$H$9+('ФАКТ ЧЕРН К1'!C15)*СПРАВОЧНИК!$I$9+('ФАКТ ЧЕРН К1'!D15)*СПРАВОЧНИК!$J$9)+СПРАВОЧНИК!$E$10*(('ФАКТ ЧЕРН К1'!E15)*СПРАВОЧНИК!$H$10+('ФАКТ ЧЕРН К1'!F15)*СПРАВОЧНИК!$I$10+('ФАКТ ЧЕРН К1'!G15)*СПРАВОЧНИК!$J$10)+СПРАВОЧНИК!$E$11*(('ФАКТ ЧЕРН К1'!H15)*СПРАВОЧНИК!$H$11+('ФАКТ ЧЕРН К1'!I15)*СПРАВОЧНИК!$I$11+('ФАКТ ЧЕРН К1'!J15)*СПРАВОЧНИК!$J$11)+СПРАВОЧНИК!$E$12*(('ФАКТ ЧЕРН К1'!K15)*СПРАВОЧНИК!$H$12+('ФАКТ ЧЕРН К1'!L15)*СПРАВОЧНИК!$I$12+('ФАКТ ЧЕРН К1'!M15)*СПРАВОЧНИК!$J$12)+СПРАВОЧНИК!$E$13*(('ФАКТ ЧЕРН К1'!N15)*СПРАВОЧНИК!$H$13+('ФАКТ ЧЕРН К1'!O15)*СПРАВОЧНИК!$I$13+('ФАКТ ЧЕРН К1'!P15)*СПРАВОЧНИК!$J$13)+СПРАВОЧНИК!$E$14*(('ФАКТ ЧЕРН К1'!Q15)*СПРАВОЧНИК!$H$14+('ФАКТ ЧЕРН К1'!R15)*СПРАВОЧНИК!$I$14+('ФАКТ ЧЕРН К1'!S15)*СПРАВОЧНИК!$J$14)+СПРАВОЧНИК!$E$15*(('ФАКТ ЧЕРН К1'!T15)*СПРАВОЧНИК!$H$15+('ФАКТ ЧЕРН К1'!U15)*СПРАВОЧНИК!$I$15+('ФАКТ ЧЕРН К1'!V15)*СПРАВОЧНИК!$J$15)+СПРАВОЧНИК!$F$9*(('ФАКТ ЧИСТ К1'!B15)*СПРАВОЧНИК!$L$9+('ФАКТ ЧИСТ К1'!C15)*СПРАВОЧНИК!$M$9+('ФАКТ ЧИСТ К1'!D15)*СПРАВОЧНИК!$N$9+('ФАКТ ЧИСТ К1'!E15)*СПРАВОЧНИК!$O$9)+СПРАВОЧНИК!$F$10*(('ФАКТ ЧИСТ К1'!F15)*СПРАВОЧНИК!$L$10+('ФАКТ ЧИСТ К1'!G15)*СПРАВОЧНИК!$M$10+('ФАКТ ЧИСТ К1'!H15)*СПРАВОЧНИК!$N$10+('ФАКТ ЧИСТ К1'!I15)*СПРАВОЧНИК!$O$10)+СПРАВОЧНИК!$F$11*(('ФАКТ ЧИСТ К1'!J15)*СПРАВОЧНИК!$L$11+('ФАКТ ЧИСТ К1'!K15)*СПРАВОЧНИК!$M$11+('ФАКТ ЧИСТ К1'!L15)*СПРАВОЧНИК!$N$11)+СПРАВОЧНИК!$F$12*(('ФАКТ ЧИСТ К1'!M15)*СПРАВОЧНИК!$L$12+('ФАКТ ЧИСТ К1'!N15)*СПРАВОЧНИК!$M$12+('ФАКТ ЧИСТ К1'!O15)*СПРАВОЧНИК!$N$12+('ФАКТ ЧИСТ К1'!P15)*СПРАВОЧНИК!$O$12)+СПРАВОЧНИК!$F$13*(('ФАКТ ЧИСТ К1'!Q15)*СПРАВОЧНИК!$L$13+('ФАКТ ЧИСТ К1'!R15)*СПРАВОЧНИК!$M$13+('ФАКТ ЧИСТ К1'!S15)*СПРАВОЧНИК!$N$13+('ФАКТ ЧИСТ К1'!T15)*СПРАВОЧНИК!$O$13)+СПРАВОЧНИК!$F$14*(('ФАКТ ЧИСТ К1'!U15)*СПРАВОЧНИК!$L$14+('ФАКТ ЧИСТ К1'!V15)*СПРАВОЧНИК!$M$14+('ФАКТ ЧИСТ К1'!W15)*СПРАВОЧНИК!$N$14)+СПРАВОЧНИК!$F$15*(('ФАКТ ЧИСТ К1'!X15)*СПРАВОЧНИК!$L$15+('ФАКТ ЧИСТ К1'!Y15)*СПРАВОЧНИК!$M$15+('ФАКТ ЧИСТ К1'!Z15)*СПРАВОЧНИК!$N$15)</f>
        <v/>
      </c>
      <c r="AA24" s="18">
        <f>AA23+7</f>
        <v/>
      </c>
      <c r="AB24" s="37">
        <f>'ПЛАН ЧЕРН К1'!B15*СПРАВОЧНИК!$H$9+'ПЛАН ЧЕРН К1'!C15*СПРАВОЧНИК!$I$9+'ПЛАН ЧЕРН К1'!D15*СПРАВОЧНИК!$J$9+'ПЛАН ЧЕРН К1'!E15*СПРАВОЧНИК!$H$10+'ПЛАН ЧЕРН К1'!F15*СПРАВОЧНИК!$I$10+'ПЛАН ЧЕРН К1'!G15*СПРАВОЧНИК!$J$10+'ПЛАН ЧЕРН К1'!H15*СПРАВОЧНИК!$H$11+'ПЛАН ЧЕРН К1'!I15*СПРАВОЧНИК!$I$11+'ПЛАН ЧЕРН К1'!J15*СПРАВОЧНИК!$J$11+'ПЛАН ЧЕРН К1'!K15*СПРАВОЧНИК!$H$12+'ПЛАН ЧЕРН К1'!L15*СПРАВОЧНИК!$I$12+'ПЛАН ЧЕРН К1'!M15*СПРАВОЧНИК!$J$12+'ПЛАН ЧЕРН К1'!N15*СПРАВОЧНИК!$H$13+'ПЛАН ЧЕРН К1'!O15*СПРАВОЧНИК!$I$13+'ПЛАН ЧЕРН К1'!P15*СПРАВОЧНИК!$J$13+'ПЛАН ЧЕРН К1'!Q15*СПРАВОЧНИК!$H$14+'ПЛАН ЧЕРН К1'!R15*СПРАВОЧНИК!$I$14+'ПЛАН ЧЕРН К1'!S15*СПРАВОЧНИК!$J$14+'ПЛАН ЧЕРН К1'!T15*СПРАВОЧНИК!$H$15+'ПЛАН ЧЕРН К1'!U15*СПРАВОЧНИК!$I$15+'ПЛАН ЧЕРН К1'!V15*СПРАВОЧНИК!$J$15</f>
        <v/>
      </c>
      <c r="AC24" s="40">
        <f>('ФАКТ ЧЕРН К1'!B15)*СПРАВОЧНИК!$H$9+('ФАКТ ЧЕРН К1'!C15)*СПРАВОЧНИК!$I$9+('ФАКТ ЧЕРН К1'!D15)*СПРАВОЧНИК!$J$9+('ФАКТ ЧЕРН К1'!E15)*СПРАВОЧНИК!$H$10+('ФАКТ ЧЕРН К1'!F15)*СПРАВОЧНИК!$I$10+('ФАКТ ЧЕРН К1'!G15)*СПРАВОЧНИК!$J$10+('ФАКТ ЧЕРН К1'!H15)*СПРАВОЧНИК!$H$11+('ФАКТ ЧЕРН К1'!I15)*СПРАВОЧНИК!$I$11+('ФАКТ ЧЕРН К1'!J15)*СПРАВОЧНИК!$J$11+('ФАКТ ЧЕРН К1'!K15)*СПРАВОЧНИК!$H$12+('ФАКТ ЧЕРН К1'!L15)*СПРАВОЧНИК!$I$12+('ФАКТ ЧЕРН К1'!M15)*СПРАВОЧНИК!$J$12+('ФАКТ ЧЕРН К1'!N15)*СПРАВОЧНИК!$H$13+('ФАКТ ЧЕРН К1'!O15)*СПРАВОЧНИК!$I$13+('ФАКТ ЧЕРН К1'!P15)*СПРАВОЧНИК!$J$13+('ФАКТ ЧЕРН К1'!Q15)*СПРАВОЧНИК!$H$14+('ФАКТ ЧЕРН К1'!R15)*СПРАВОЧНИК!$I$14+('ФАКТ ЧЕРН К1'!S15)*СПРАВОЧНИК!$J$14+('ФАКТ ЧЕРН К1'!T15)*СПРАВОЧНИК!$H$15+('ФАКТ ЧЕРН К1'!U15)*СПРАВОЧНИК!$I$15+('ФАКТ ЧЕРН К1'!V15)*СПРАВОЧНИК!$J$15</f>
        <v/>
      </c>
      <c r="AG24" s="18">
        <f>AG23+7</f>
        <v/>
      </c>
      <c r="AH24" s="37">
        <f>'ПЛАН ЧИСТ К1'!B15*СПРАВОЧНИК!$L$9+'ПЛАН ЧИСТ К1'!C15*СПРАВОЧНИК!$M$9+'ПЛАН ЧИСТ К1'!D15*СПРАВОЧНИК!$N$9+'ПЛАН ЧИСТ К1'!E15*СПРАВОЧНИК!$O$9+'ПЛАН ЧИСТ К1'!F15*СПРАВОЧНИК!$L$10+'ПЛАН ЧИСТ К1'!G15*СПРАВОЧНИК!$M$10+'ПЛАН ЧИСТ К1'!H15*СПРАВОЧНИК!$N$10+'ПЛАН ЧИСТ К1'!I15*СПРАВОЧНИК!$O$10+'ПЛАН ЧИСТ К1'!J15*СПРАВОЧНИК!$L$11+'ПЛАН ЧИСТ К1'!K15*СПРАВОЧНИК!$M$11+'ПЛАН ЧИСТ К1'!L15*СПРАВОЧНИК!$N$11+'ПЛАН ЧИСТ К1'!M15*СПРАВОЧНИК!$L$12+'ПЛАН ЧИСТ К1'!N15*СПРАВОЧНИК!$M$12+'ПЛАН ЧИСТ К1'!O15*СПРАВОЧНИК!$N$12+'ПЛАН ЧИСТ К1'!P15*СПРАВОЧНИК!$O$12+'ПЛАН ЧИСТ К1'!Q15*СПРАВОЧНИК!$L$13+'ПЛАН ЧИСТ К1'!R15*СПРАВОЧНИК!$M$13+'ПЛАН ЧИСТ К1'!S15*СПРАВОЧНИК!$N$13+'ПЛАН ЧИСТ К1'!T15*СПРАВОЧНИК!$O$13+'ПЛАН ЧИСТ К1'!U15*СПРАВОЧНИК!$L$14+'ПЛАН ЧИСТ К1'!V15*СПРАВОЧНИК!$M$14+'ПЛАН ЧИСТ К1'!W15*СПРАВОЧНИК!$N$14+'ПЛАН ЧИСТ К1'!X15*СПРАВОЧНИК!$L$15+'ПЛАН ЧИСТ К1'!Y15*СПРАВОЧНИК!$M$15+'ПЛАН ЧИСТ К1'!Z15*СПРАВОЧНИК!$N$15</f>
        <v/>
      </c>
      <c r="AI24" s="40">
        <f>('ФАКТ ЧИСТ К1'!B15)*СПРАВОЧНИК!$L$9+('ФАКТ ЧИСТ К1'!C15)*СПРАВОЧНИК!$M$9+('ФАКТ ЧИСТ К1'!D15)*СПРАВОЧНИК!$N$9+('ФАКТ ЧИСТ К1'!E15)*СПРАВОЧНИК!$O$9+('ФАКТ ЧИСТ К1'!F15)*СПРАВОЧНИК!$L$10+('ФАКТ ЧИСТ К1'!G15)*СПРАВОЧНИК!$M$10+('ФАКТ ЧИСТ К1'!H15)*СПРАВОЧНИК!$N$10+('ФАКТ ЧИСТ К1'!I15)*СПРАВОЧНИК!$O$10+('ФАКТ ЧИСТ К1'!J15)*СПРАВОЧНИК!$L$11+('ФАКТ ЧИСТ К1'!K15)*СПРАВОЧНИК!$M$11+('ФАКТ ЧИСТ К1'!L15)*СПРАВОЧНИК!$N$11+('ФАКТ ЧИСТ К1'!M15)*СПРАВОЧНИК!$L$12+('ФАКТ ЧИСТ К1'!N15)*СПРАВОЧНИК!$M$12+('ФАКТ ЧИСТ К1'!O15)*СПРАВОЧНИК!$N$12+('ФАКТ ЧИСТ К1'!P15)*СПРАВОЧНИК!$O$12+('ФАКТ ЧИСТ К1'!Q15)*СПРАВОЧНИК!$L$13+('ФАКТ ЧИСТ К1'!R15)*СПРАВОЧНИК!$M$13+('ФАКТ ЧИСТ К1'!S15)*СПРАВОЧНИК!$N$13+('ФАКТ ЧИСТ К1'!T15)*СПРАВОЧНИК!$O$13+('ФАКТ ЧИСТ К1'!U15)*СПРАВОЧНИК!$L$14+('ФАКТ ЧИСТ К1'!V15)*СПРАВОЧНИК!$M$14+('ФАКТ ЧИСТ К1'!W15)*СПРАВОЧНИК!$N$14+('ФАКТ ЧИСТ К1'!X15)*СПРАВОЧНИК!$L$15+('ФАКТ ЧИСТ К1'!Y15)*СПРАВОЧНИК!$M$15+('ФАКТ ЧИСТ К1'!Z15)*СПРАВОЧНИК!$N$15</f>
        <v/>
      </c>
      <c r="AM24" s="18">
        <f>AM23+7</f>
        <v/>
      </c>
      <c r="AN24" s="37">
        <f>СПРАВОЧНИК!$E$9*('ПЛАН ЧЕРН К2'!B15*СПРАВОЧНИК!$H$9+'ПЛАН ЧЕРН К2'!C15*СПРАВОЧНИК!$I$9+'ПЛАН ЧЕРН К2'!D15*СПРАВОЧНИК!$J$9)+СПРАВОЧНИК!$E$10*('ПЛАН ЧЕРН К2'!E15*СПРАВОЧНИК!$H$10+'ПЛАН ЧЕРН К2'!F15*СПРАВОЧНИК!$I$10+'ПЛАН ЧЕРН К2'!G15*СПРАВОЧНИК!$J$10)+СПРАВОЧНИК!$E$11*('ПЛАН ЧЕРН К2'!H15*СПРАВОЧНИК!$H$11+'ПЛАН ЧЕРН К2'!I15*СПРАВОЧНИК!$I$11+'ПЛАН ЧЕРН К2'!J15*СПРАВОЧНИК!$J$11)+СПРАВОЧНИК!$E$12*('ПЛАН ЧЕРН К2'!K15*СПРАВОЧНИК!$H$12+'ПЛАН ЧЕРН К2'!L15*СПРАВОЧНИК!$I$12+'ПЛАН ЧЕРН К2'!M15*СПРАВОЧНИК!$J$12)+СПРАВОЧНИК!$E$13*('ПЛАН ЧЕРН К2'!N15*СПРАВОЧНИК!$H$13+'ПЛАН ЧЕРН К2'!O15*СПРАВОЧНИК!$I$13+'ПЛАН ЧЕРН К2'!P15*СПРАВОЧНИК!$J$13)+СПРАВОЧНИК!$E$14*('ПЛАН ЧЕРН К2'!Q15*СПРАВОЧНИК!$H$14+'ПЛАН ЧЕРН К2'!R15*СПРАВОЧНИК!$I$14+'ПЛАН ЧЕРН К2'!S15*СПРАВОЧНИК!$J$14)+СПРАВОЧНИК!$E$15*('ПЛАН ЧЕРН К2'!T15*СПРАВОЧНИК!$H$15+'ПЛАН ЧЕРН К2'!U15*СПРАВОЧНИК!$I$15+'ПЛАН ЧЕРН К2'!V15*СПРАВОЧНИК!$J$15)+СПРАВОЧНИК!$F$9*('ПЛАН ЧИСТ К2'!B15*СПРАВОЧНИК!$L$9+'ПЛАН ЧИСТ К2'!C15*СПРАВОЧНИК!$M$9+'ПЛАН ЧИСТ К2'!D15*СПРАВОЧНИК!$N$9+'ПЛАН ЧИСТ К2'!E15*СПРАВОЧНИК!$O$9)+СПРАВОЧНИК!$F$10*('ПЛАН ЧИСТ К2'!F15*СПРАВОЧНИК!$L$10+'ПЛАН ЧИСТ К2'!G15*СПРАВОЧНИК!$M$10+'ПЛАН ЧИСТ К2'!H15*СПРАВОЧНИК!$N$10+'ПЛАН ЧИСТ К2'!I15*СПРАВОЧНИК!$O$10)+СПРАВОЧНИК!$F$11*('ПЛАН ЧИСТ К2'!J15*СПРАВОЧНИК!$L$11+'ПЛАН ЧИСТ К2'!K15*СПРАВОЧНИК!$M$11+'ПЛАН ЧИСТ К2'!L15*СПРАВОЧНИК!$N$11)+СПРАВОЧНИК!$F$12*('ПЛАН ЧИСТ К2'!M15*СПРАВОЧНИК!$L$12+'ПЛАН ЧИСТ К2'!N15*СПРАВОЧНИК!$M$12+'ПЛАН ЧИСТ К2'!O15*СПРАВОЧНИК!$N$12+'ПЛАН ЧИСТ К2'!P15*СПРАВОЧНИК!$O$12)+СПРАВОЧНИК!$F$13*('ПЛАН ЧИСТ К2'!Q15*СПРАВОЧНИК!$L$13+'ПЛАН ЧИСТ К2'!R15*СПРАВОЧНИК!$M$13+'ПЛАН ЧИСТ К2'!S15*СПРАВОЧНИК!$N$13+'ПЛАН ЧИСТ К2'!T15*СПРАВОЧНИК!$O$13)+СПРАВОЧНИК!$F$14*('ПЛАН ЧИСТ К2'!U15*СПРАВОЧНИК!$L$14+'ПЛАН ЧИСТ К2'!V15*СПРАВОЧНИК!$M$14+'ПЛАН ЧИСТ К2'!W15*СПРАВОЧНИК!$N$14)+СПРАВОЧНИК!$F$15*('ПЛАН ЧИСТ К2'!X15*СПРАВОЧНИК!$L$15+'ПЛАН ЧИСТ К2'!Y15*СПРАВОЧНИК!$M$15+'ПЛАН ЧИСТ К2'!Z15*СПРАВОЧНИК!$N$15)</f>
        <v/>
      </c>
      <c r="AO24" s="40">
        <f>СПРАВОЧНИК!$E$9*(('ФАКТ ЧЕРН К2'!B15)*СПРАВОЧНИК!$H$9+('ФАКТ ЧЕРН К2'!C15)*СПРАВОЧНИК!$I$9+('ФАКТ ЧЕРН К2'!D15)*СПРАВОЧНИК!$J$9)+СПРАВОЧНИК!$E$10*(('ФАКТ ЧЕРН К2'!E15)*СПРАВОЧНИК!$H$10+('ФАКТ ЧЕРН К2'!F15)*СПРАВОЧНИК!$I$10+('ФАКТ ЧЕРН К2'!G15)*СПРАВОЧНИК!$J$10)+СПРАВОЧНИК!$E$11*(('ФАКТ ЧЕРН К2'!H15)*СПРАВОЧНИК!$H$11+('ФАКТ ЧЕРН К2'!I15)*СПРАВОЧНИК!$I$11+('ФАКТ ЧЕРН К2'!J15)*СПРАВОЧНИК!$J$11)+СПРАВОЧНИК!$E$12*(('ФАКТ ЧЕРН К2'!K15)*СПРАВОЧНИК!$H$12+('ФАКТ ЧЕРН К2'!L15)*СПРАВОЧНИК!$I$12+('ФАКТ ЧЕРН К2'!M15)*СПРАВОЧНИК!$J$12)+СПРАВОЧНИК!$E$13*(('ФАКТ ЧЕРН К2'!N15)*СПРАВОЧНИК!$H$13+('ФАКТ ЧЕРН К2'!O15)*СПРАВОЧНИК!$I$13+('ФАКТ ЧЕРН К2'!P15)*СПРАВОЧНИК!$J$13)+СПРАВОЧНИК!$E$14*(('ФАКТ ЧЕРН К2'!Q15)*СПРАВОЧНИК!$H$14+('ФАКТ ЧЕРН К2'!R15)*СПРАВОЧНИК!$I$14+('ФАКТ ЧЕРН К2'!S15)*СПРАВОЧНИК!$J$14)+СПРАВОЧНИК!$E$15*(('ФАКТ ЧЕРН К2'!T15)*СПРАВОЧНИК!$H$15+('ФАКТ ЧЕРН К2'!U15)*СПРАВОЧНИК!$I$15+('ФАКТ ЧЕРН К2'!V15)*СПРАВОЧНИК!$J$15)+СПРАВОЧНИК!$F$9*(('ФАКТ ЧИСТ К2'!B15)*СПРАВОЧНИК!$L$9+('ФАКТ ЧИСТ К2'!C15)*СПРАВОЧНИК!$M$9+('ФАКТ ЧИСТ К2'!D15)*СПРАВОЧНИК!$N$9+('ФАКТ ЧИСТ К2'!E15)*СПРАВОЧНИК!$O$9)+СПРАВОЧНИК!$F$10*(('ФАКТ ЧИСТ К2'!F15)*СПРАВОЧНИК!$L$10+('ФАКТ ЧИСТ К2'!G15)*СПРАВОЧНИК!$M$10+('ФАКТ ЧИСТ К2'!H15)*СПРАВОЧНИК!$N$10+('ФАКТ ЧИСТ К2'!I15)*СПРАВОЧНИК!$O$10)+СПРАВОЧНИК!$F$11*(('ФАКТ ЧИСТ К2'!J15)*СПРАВОЧНИК!$L$11+('ФАКТ ЧИСТ К2'!K15)*СПРАВОЧНИК!$M$11+('ФАКТ ЧИСТ К2'!L15)*СПРАВОЧНИК!$N$11)+СПРАВОЧНИК!$F$12*(('ФАКТ ЧИСТ К2'!M15)*СПРАВОЧНИК!$L$12+('ФАКТ ЧИСТ К2'!N15)*СПРАВОЧНИК!$M$12+('ФАКТ ЧИСТ К2'!O15)*СПРАВОЧНИК!$N$12+('ФАКТ ЧИСТ К2'!P15)*СПРАВОЧНИК!$O$12)+СПРАВОЧНИК!$F$13*(('ФАКТ ЧИСТ К2'!Q15)*СПРАВОЧНИК!$L$13+('ФАКТ ЧИСТ К2'!R15)*СПРАВОЧНИК!$M$13+('ФАКТ ЧИСТ К2'!S15)*СПРАВОЧНИК!$N$13+('ФАКТ ЧИСТ К2'!T15)*СПРАВОЧНИК!$O$13)+СПРАВОЧНИК!$F$14*(('ФАКТ ЧИСТ К2'!U15)*СПРАВОЧНИК!$L$14+('ФАКТ ЧИСТ К2'!V15)*СПРАВОЧНИК!$M$14+('ФАКТ ЧИСТ К2'!W15)*СПРАВОЧНИК!$N$14)+СПРАВОЧНИК!$F$15*(('ФАКТ ЧИСТ К2'!X15)*СПРАВОЧНИК!$L$15+('ФАКТ ЧИСТ К2'!Y15)*СПРАВОЧНИК!$M$15+('ФАКТ ЧИСТ К2'!Z15)*СПРАВОЧНИК!$N$15)</f>
        <v/>
      </c>
      <c r="AS24" s="18">
        <f>AS23+7</f>
        <v/>
      </c>
      <c r="AT24" s="37">
        <f>'ПЛАН ЧЕРН К2'!B15*СПРАВОЧНИК!$H$9+'ПЛАН ЧЕРН К2'!C15*СПРАВОЧНИК!$I$9+'ПЛАН ЧЕРН К2'!D15*СПРАВОЧНИК!$J$9+'ПЛАН ЧЕРН К2'!E15*СПРАВОЧНИК!$H$10+'ПЛАН ЧЕРН К2'!F15*СПРАВОЧНИК!$I$10+'ПЛАН ЧЕРН К2'!G15*СПРАВОЧНИК!$J$10+'ПЛАН ЧЕРН К2'!H15*СПРАВОЧНИК!$H$11+'ПЛАН ЧЕРН К2'!I15*СПРАВОЧНИК!$I$11+'ПЛАН ЧЕРН К2'!J15*СПРАВОЧНИК!$J$11+'ПЛАН ЧЕРН К2'!K15*СПРАВОЧНИК!$H$12+'ПЛАН ЧЕРН К2'!L15*СПРАВОЧНИК!$I$12+'ПЛАН ЧЕРН К2'!M15*СПРАВОЧНИК!$J$12+'ПЛАН ЧЕРН К2'!N15*СПРАВОЧНИК!$H$13+'ПЛАН ЧЕРН К2'!O15*СПРАВОЧНИК!$I$13+'ПЛАН ЧЕРН К2'!P15*СПРАВОЧНИК!$J$13+'ПЛАН ЧЕРН К2'!Q15*СПРАВОЧНИК!$H$14+'ПЛАН ЧЕРН К2'!R15*СПРАВОЧНИК!$I$14+'ПЛАН ЧЕРН К2'!S15*СПРАВОЧНИК!$J$14+'ПЛАН ЧЕРН К2'!T15*СПРАВОЧНИК!$H$15+'ПЛАН ЧЕРН К2'!U15*СПРАВОЧНИК!$I$15+'ПЛАН ЧЕРН К2'!V15*СПРАВОЧНИК!$J$15</f>
        <v/>
      </c>
      <c r="AU24" s="40">
        <f>('ФАКТ ЧЕРН К2'!B15)*СПРАВОЧНИК!$H$9+('ФАКТ ЧЕРН К2'!C15)*СПРАВОЧНИК!$I$9+('ФАКТ ЧЕРН К2'!D15)*СПРАВОЧНИК!$J$9+('ФАКТ ЧЕРН К2'!E15)*СПРАВОЧНИК!$H$10+('ФАКТ ЧЕРН К2'!F15)*СПРАВОЧНИК!$I$10+('ФАКТ ЧЕРН К2'!G15)*СПРАВОЧНИК!$J$10+('ФАКТ ЧЕРН К2'!H15)*СПРАВОЧНИК!$H$11+('ФАКТ ЧЕРН К2'!I15)*СПРАВОЧНИК!$I$11+('ФАКТ ЧЕРН К2'!J15)*СПРАВОЧНИК!$J$11+('ФАКТ ЧЕРН К2'!K15)*СПРАВОЧНИК!$H$12+('ФАКТ ЧЕРН К2'!L15)*СПРАВОЧНИК!$I$12+('ФАКТ ЧЕРН К2'!M15)*СПРАВОЧНИК!$J$12+('ФАКТ ЧЕРН К2'!N15)*СПРАВОЧНИК!$H$13+('ФАКТ ЧЕРН К2'!O15)*СПРАВОЧНИК!$I$13+('ФАКТ ЧЕРН К2'!P15)*СПРАВОЧНИК!$J$13+('ФАКТ ЧЕРН К2'!Q15)*СПРАВОЧНИК!$H$14+('ФАКТ ЧЕРН К2'!R15)*СПРАВОЧНИК!$I$14+('ФАКТ ЧЕРН К2'!S15)*СПРАВОЧНИК!$J$14+('ФАКТ ЧЕРН К2'!T15)*СПРАВОЧНИК!$H$15+('ФАКТ ЧЕРН К2'!U15)*СПРАВОЧНИК!$I$15+('ФАКТ ЧЕРН К2'!V15)*СПРАВОЧНИК!$J$15</f>
        <v/>
      </c>
      <c r="AY24" s="18">
        <f>AY23+7</f>
        <v/>
      </c>
      <c r="AZ24" s="37">
        <f>'ПЛАН ЧИСТ К2'!B15*СПРАВОЧНИК!$L$9+'ПЛАН ЧИСТ К2'!C15*СПРАВОЧНИК!$M$9+'ПЛАН ЧИСТ К2'!D15*СПРАВОЧНИК!$N$9+'ПЛАН ЧИСТ К2'!E15*СПРАВОЧНИК!$O$9+'ПЛАН ЧИСТ К2'!F15*СПРАВОЧНИК!$L$10+'ПЛАН ЧИСТ К2'!G15*СПРАВОЧНИК!$M$10+'ПЛАН ЧИСТ К2'!H15*СПРАВОЧНИК!$N$10+'ПЛАН ЧИСТ К2'!I15*СПРАВОЧНИК!$O$10+'ПЛАН ЧИСТ К2'!J15*СПРАВОЧНИК!$L$11+'ПЛАН ЧИСТ К2'!K15*СПРАВОЧНИК!$M$11+'ПЛАН ЧИСТ К2'!L15*СПРАВОЧНИК!$N$11+'ПЛАН ЧИСТ К2'!M15*СПРАВОЧНИК!$L$12+'ПЛАН ЧИСТ К2'!N15*СПРАВОЧНИК!$M$12+'ПЛАН ЧИСТ К2'!O15*СПРАВОЧНИК!$N$12+'ПЛАН ЧИСТ К2'!P15*СПРАВОЧНИК!$O$12+'ПЛАН ЧИСТ К2'!Q15*СПРАВОЧНИК!$L$13+'ПЛАН ЧИСТ К2'!R15*СПРАВОЧНИК!$M$13+'ПЛАН ЧИСТ К2'!S15*СПРАВОЧНИК!$N$13+'ПЛАН ЧИСТ К2'!T15*СПРАВОЧНИК!$O$13+'ПЛАН ЧИСТ К2'!U15*СПРАВОЧНИК!$L$14+'ПЛАН ЧИСТ К2'!V15*СПРАВОЧНИК!$M$14+'ПЛАН ЧИСТ К2'!W15*СПРАВОЧНИК!$N$14+'ПЛАН ЧИСТ К2'!X15*СПРАВОЧНИК!$L$15+'ПЛАН ЧИСТ К2'!Y15*СПРАВОЧНИК!$M$15+'ПЛАН ЧИСТ К2'!Z15*СПРАВОЧНИК!$N$15</f>
        <v/>
      </c>
      <c r="BA24" s="40">
        <f>('ФАКТ ЧИСТ К2'!B15)*СПРАВОЧНИК!$L$9+('ФАКТ ЧИСТ К2'!C15)*СПРАВОЧНИК!$M$9+('ФАКТ ЧИСТ К2'!D15)*СПРАВОЧНИК!$N$9+('ФАКТ ЧИСТ К2'!E15)*СПРАВОЧНИК!$O$9+('ФАКТ ЧИСТ К2'!F15)*СПРАВОЧНИК!$L$10+('ФАКТ ЧИСТ К2'!G15)*СПРАВОЧНИК!$M$10+('ФАКТ ЧИСТ К2'!H15)*СПРАВОЧНИК!$N$10+('ФАКТ ЧИСТ К2'!I15)*СПРАВОЧНИК!$O$10+('ФАКТ ЧИСТ К2'!J15)*СПРАВОЧНИК!$L$11+('ФАКТ ЧИСТ К2'!K15)*СПРАВОЧНИК!$M$11+('ФАКТ ЧИСТ К2'!L15)*СПРАВОЧНИК!$N$11+('ФАКТ ЧИСТ К2'!M15)*СПРАВОЧНИК!$L$12+('ФАКТ ЧИСТ К2'!N15)*СПРАВОЧНИК!$M$12+('ФАКТ ЧИСТ К2'!O15)*СПРАВОЧНИК!$N$12+('ФАКТ ЧИСТ К2'!P15)*СПРАВОЧНИК!$O$12+('ФАКТ ЧИСТ К2'!Q15)*СПРАВОЧНИК!$L$13+('ФАКТ ЧИСТ К2'!R15)*СПРАВОЧНИК!$M$13+('ФАКТ ЧИСТ К2'!S15)*СПРАВОЧНИК!$N$13+('ФАКТ ЧИСТ К2'!T15)*СПРАВОЧНИК!$O$13+('ФАКТ ЧИСТ К2'!U15)*СПРАВОЧНИК!$L$14+('ФАКТ ЧИСТ К2'!V15)*СПРАВОЧНИК!$M$14+('ФАКТ ЧИСТ К2'!W15)*СПРАВОЧНИК!$N$14+('ФАКТ ЧИСТ К2'!X15)*СПРАВОЧНИК!$L$15+('ФАКТ ЧИСТ К2'!Y15)*СПРАВОЧНИК!$M$15+('ФАКТ ЧИСТ К2'!Z15)*СПРАВОЧНИК!$N$15</f>
        <v/>
      </c>
      <c r="BE24" s="18">
        <f>BE23+7</f>
        <v/>
      </c>
      <c r="BF24" s="37">
        <f>СПРАВОЧНИК!$E$9*('ПЛАН ЧЕРН К3'!B15*СПРАВОЧНИК!$H$9+'ПЛАН ЧЕРН К3'!C15*СПРАВОЧНИК!$I$9+'ПЛАН ЧЕРН К3'!D15*СПРАВОЧНИК!$J$9)+СПРАВОЧНИК!$E$10*('ПЛАН ЧЕРН К3'!E15*СПРАВОЧНИК!$H$10+'ПЛАН ЧЕРН К3'!F15*СПРАВОЧНИК!$I$10+'ПЛАН ЧЕРН К3'!G15*СПРАВОЧНИК!$J$10)+СПРАВОЧНИК!$E$11*('ПЛАН ЧЕРН К3'!H15*СПРАВОЧНИК!$H$11+'ПЛАН ЧЕРН К3'!I15*СПРАВОЧНИК!$I$11+'ПЛАН ЧЕРН К3'!J15*СПРАВОЧНИК!$J$11)+СПРАВОЧНИК!$E$12*('ПЛАН ЧЕРН К3'!K15*СПРАВОЧНИК!$H$12+'ПЛАН ЧЕРН К3'!L15*СПРАВОЧНИК!$I$12+'ПЛАН ЧЕРН К3'!M15*СПРАВОЧНИК!$J$12)+СПРАВОЧНИК!$E$13*('ПЛАН ЧЕРН К3'!N15*СПРАВОЧНИК!$H$13+'ПЛАН ЧЕРН К3'!O15*СПРАВОЧНИК!$I$13+'ПЛАН ЧЕРН К3'!P15*СПРАВОЧНИК!$J$13)+СПРАВОЧНИК!$E$14*('ПЛАН ЧЕРН К3'!Q15*СПРАВОЧНИК!$H$14+'ПЛАН ЧЕРН К3'!R15*СПРАВОЧНИК!$I$14+'ПЛАН ЧЕРН К3'!S15*СПРАВОЧНИК!$J$14)+СПРАВОЧНИК!$E$15*('ПЛАН ЧЕРН К3'!T15*СПРАВОЧНИК!$H$15+'ПЛАН ЧЕРН К3'!U15*СПРАВОЧНИК!$I$15+'ПЛАН ЧЕРН К3'!V15*СПРАВОЧНИК!$J$15)+СПРАВОЧНИК!$F$9*('ПЛАН ЧИСТ К3'!B15*СПРАВОЧНИК!$L$9+'ПЛАН ЧИСТ К3'!C15*СПРАВОЧНИК!$M$9+'ПЛАН ЧИСТ К3'!D15*СПРАВОЧНИК!$N$9+'ПЛАН ЧИСТ К3'!E15*СПРАВОЧНИК!$O$9)+СПРАВОЧНИК!$F$10*('ПЛАН ЧИСТ К3'!F15*СПРАВОЧНИК!$L$10+'ПЛАН ЧИСТ К3'!G15*СПРАВОЧНИК!$M$10+'ПЛАН ЧИСТ К3'!H15*СПРАВОЧНИК!$N$10+'ПЛАН ЧИСТ К3'!I15*СПРАВОЧНИК!$O$10)+СПРАВОЧНИК!$F$11*('ПЛАН ЧИСТ К3'!J15*СПРАВОЧНИК!$L$11+'ПЛАН ЧИСТ К3'!K15*СПРАВОЧНИК!$M$11+'ПЛАН ЧИСТ К3'!L15*СПРАВОЧНИК!$N$11)+СПРАВОЧНИК!$F$12*('ПЛАН ЧИСТ К3'!M15*СПРАВОЧНИК!$L$12+'ПЛАН ЧИСТ К3'!N15*СПРАВОЧНИК!$M$12+'ПЛАН ЧИСТ К3'!O15*СПРАВОЧНИК!$N$12+'ПЛАН ЧИСТ К3'!P15*СПРАВОЧНИК!$O$12)+СПРАВОЧНИК!$F$13*('ПЛАН ЧИСТ К3'!Q15*СПРАВОЧНИК!$L$13+'ПЛАН ЧИСТ К3'!R15*СПРАВОЧНИК!$M$13+'ПЛАН ЧИСТ К3'!S15*СПРАВОЧНИК!$N$13+'ПЛАН ЧИСТ К3'!T15*СПРАВОЧНИК!$O$13)+СПРАВОЧНИК!$F$14*('ПЛАН ЧИСТ К3'!U15*СПРАВОЧНИК!$L$14+'ПЛАН ЧИСТ К3'!V15*СПРАВОЧНИК!$M$14+'ПЛАН ЧИСТ К3'!W15*СПРАВОЧНИК!$N$14)+СПРАВОЧНИК!$F$15*('ПЛАН ЧИСТ К3'!X15*СПРАВОЧНИК!$L$15+'ПЛАН ЧИСТ К3'!Y15*СПРАВОЧНИК!$M$15+'ПЛАН ЧИСТ К3'!Z15*СПРАВОЧНИК!$N$15)</f>
        <v/>
      </c>
      <c r="BG24" s="40">
        <f>СПРАВОЧНИК!$E$9*(('ФАКТ ЧЕРН К3'!B15)*СПРАВОЧНИК!$H$9+('ФАКТ ЧЕРН К3'!C15)*СПРАВОЧНИК!$I$9+('ФАКТ ЧЕРН К3'!D15)*СПРАВОЧНИК!$J$9)+СПРАВОЧНИК!$E$10*(('ФАКТ ЧЕРН К3'!E15)*СПРАВОЧНИК!$H$10+('ФАКТ ЧЕРН К3'!F15)*СПРАВОЧНИК!$I$10+('ФАКТ ЧЕРН К3'!G15)*СПРАВОЧНИК!$J$10)+СПРАВОЧНИК!$E$11*(('ФАКТ ЧЕРН К3'!H15)*СПРАВОЧНИК!$H$11+('ФАКТ ЧЕРН К3'!I15)*СПРАВОЧНИК!$I$11+('ФАКТ ЧЕРН К3'!J15)*СПРАВОЧНИК!$J$11)+СПРАВОЧНИК!$E$12*(('ФАКТ ЧЕРН К3'!K15)*СПРАВОЧНИК!$H$12+('ФАКТ ЧЕРН К3'!L15)*СПРАВОЧНИК!$I$12+('ФАКТ ЧЕРН К3'!M15)*СПРАВОЧНИК!$J$12)+СПРАВОЧНИК!$E$13*(('ФАКТ ЧЕРН К3'!N15)*СПРАВОЧНИК!$H$13+('ФАКТ ЧЕРН К3'!O15)*СПРАВОЧНИК!$I$13+('ФАКТ ЧЕРН К3'!P15)*СПРАВОЧНИК!$J$13)+СПРАВОЧНИК!$E$14*(('ФАКТ ЧЕРН К3'!Q15)*СПРАВОЧНИК!$H$14+('ФАКТ ЧЕРН К3'!R15)*СПРАВОЧНИК!$I$14+('ФАКТ ЧЕРН К3'!S15)*СПРАВОЧНИК!$J$14)+СПРАВОЧНИК!$E$15*(('ФАКТ ЧЕРН К3'!T15)*СПРАВОЧНИК!$H$15+('ФАКТ ЧЕРН К3'!U15)*СПРАВОЧНИК!$I$15+('ФАКТ ЧЕРН К3'!V15)*СПРАВОЧНИК!$J$15)+СПРАВОЧНИК!$F$9*(('ФАКТ ЧИСТ К3'!B15)*СПРАВОЧНИК!$L$9+('ФАКТ ЧИСТ К3'!C15)*СПРАВОЧНИК!$M$9+('ФАКТ ЧИСТ К3'!D15)*СПРАВОЧНИК!$N$9+('ФАКТ ЧИСТ К3'!E15)*СПРАВОЧНИК!$O$9)+СПРАВОЧНИК!$F$10*(('ФАКТ ЧИСТ К3'!F15)*СПРАВОЧНИК!$L$10+('ФАКТ ЧИСТ К3'!G15)*СПРАВОЧНИК!$M$10+('ФАКТ ЧИСТ К3'!H15)*СПРАВОЧНИК!$N$10+('ФАКТ ЧИСТ К3'!I15)*СПРАВОЧНИК!$O$10)+СПРАВОЧНИК!$F$11*(('ФАКТ ЧИСТ К3'!J15)*СПРАВОЧНИК!$L$11+('ФАКТ ЧИСТ К3'!K15)*СПРАВОЧНИК!$M$11+('ФАКТ ЧИСТ К3'!L15)*СПРАВОЧНИК!$N$11)+СПРАВОЧНИК!$F$12*(('ФАКТ ЧИСТ К3'!M15)*СПРАВОЧНИК!$L$12+('ФАКТ ЧИСТ К3'!N15)*СПРАВОЧНИК!$M$12+('ФАКТ ЧИСТ К3'!O15)*СПРАВОЧНИК!$N$12+('ФАКТ ЧИСТ К3'!P15)*СПРАВОЧНИК!$O$12)+СПРАВОЧНИК!$F$13*(('ФАКТ ЧИСТ К3'!Q15)*СПРАВОЧНИК!$L$13+('ФАКТ ЧИСТ К3'!R15)*СПРАВОЧНИК!$M$13+('ФАКТ ЧИСТ К3'!S15)*СПРАВОЧНИК!$N$13+('ФАКТ ЧИСТ К3'!T15)*СПРАВОЧНИК!$O$13)+СПРАВОЧНИК!$F$14*(('ФАКТ ЧИСТ К3'!U15)*СПРАВОЧНИК!$L$14+('ФАКТ ЧИСТ К3'!V15)*СПРАВОЧНИК!$M$14+('ФАКТ ЧИСТ К3'!W15)*СПРАВОЧНИК!$N$14)+СПРАВОЧНИК!$F$15*(('ФАКТ ЧИСТ К3'!X15)*СПРАВОЧНИК!$L$15+('ФАКТ ЧИСТ К3'!Y15)*СПРАВОЧНИК!$M$15+('ФАКТ ЧИСТ К3'!Z15)*СПРАВОЧНИК!$N$15)</f>
        <v/>
      </c>
      <c r="BK24" s="18">
        <f>BK23+7</f>
        <v/>
      </c>
      <c r="BL24" s="37">
        <f>'ПЛАН ЧЕРН К3'!B15*СПРАВОЧНИК!$H$9+'ПЛАН ЧЕРН К3'!C15*СПРАВОЧНИК!$I$9+'ПЛАН ЧЕРН К3'!D15*СПРАВОЧНИК!$J$9+'ПЛАН ЧЕРН К3'!E15*СПРАВОЧНИК!$H$10+'ПЛАН ЧЕРН К3'!F15*СПРАВОЧНИК!$I$10+'ПЛАН ЧЕРН К3'!G15*СПРАВОЧНИК!$J$10+'ПЛАН ЧЕРН К3'!H15*СПРАВОЧНИК!$H$11+'ПЛАН ЧЕРН К3'!I15*СПРАВОЧНИК!$I$11+'ПЛАН ЧЕРН К3'!J15*СПРАВОЧНИК!$J$11+'ПЛАН ЧЕРН К3'!K15*СПРАВОЧНИК!$H$12+'ПЛАН ЧЕРН К3'!L15*СПРАВОЧНИК!$I$12+'ПЛАН ЧЕРН К3'!M15*СПРАВОЧНИК!$J$12+'ПЛАН ЧЕРН К3'!N15*СПРАВОЧНИК!$H$13+'ПЛАН ЧЕРН К3'!O15*СПРАВОЧНИК!$I$13+'ПЛАН ЧЕРН К3'!P15*СПРАВОЧНИК!$J$13+'ПЛАН ЧЕРН К3'!Q15*СПРАВОЧНИК!$H$14+'ПЛАН ЧЕРН К3'!R15*СПРАВОЧНИК!$I$14+'ПЛАН ЧЕРН К3'!S15*СПРАВОЧНИК!$J$14+'ПЛАН ЧЕРН К3'!T15*СПРАВОЧНИК!$H$15+'ПЛАН ЧЕРН К3'!U15*СПРАВОЧНИК!$I$15+'ПЛАН ЧЕРН К3'!V15*СПРАВОЧНИК!$J$15</f>
        <v/>
      </c>
      <c r="BM24" s="40">
        <f>('ФАКТ ЧЕРН К3'!B15)*СПРАВОЧНИК!$H$9+('ФАКТ ЧЕРН К3'!C15)*СПРАВОЧНИК!$I$9+('ФАКТ ЧЕРН К3'!D15)*СПРАВОЧНИК!$J$9+('ФАКТ ЧЕРН К3'!E15)*СПРАВОЧНИК!$H$10+('ФАКТ ЧЕРН К3'!F15)*СПРАВОЧНИК!$I$10+('ФАКТ ЧЕРН К3'!G15)*СПРАВОЧНИК!$J$10+('ФАКТ ЧЕРН К3'!H15)*СПРАВОЧНИК!$H$11+('ФАКТ ЧЕРН К3'!I15)*СПРАВОЧНИК!$I$11+('ФАКТ ЧЕРН К3'!J15)*СПРАВОЧНИК!$J$11+('ФАКТ ЧЕРН К3'!K15)*СПРАВОЧНИК!$H$12+('ФАКТ ЧЕРН К3'!L15)*СПРАВОЧНИК!$I$12+('ФАКТ ЧЕРН К3'!M15)*СПРАВОЧНИК!$J$12+('ФАКТ ЧЕРН К3'!N15)*СПРАВОЧНИК!$H$13+('ФАКТ ЧЕРН К3'!O15)*СПРАВОЧНИК!$I$13+('ФАКТ ЧЕРН К3'!P15)*СПРАВОЧНИК!$J$13+('ФАКТ ЧЕРН К3'!Q15)*СПРАВОЧНИК!$H$14+('ФАКТ ЧЕРН К3'!R15)*СПРАВОЧНИК!$I$14+('ФАКТ ЧЕРН К3'!S15)*СПРАВОЧНИК!$J$14+('ФАКТ ЧЕРН К3'!T15)*СПРАВОЧНИК!$H$15+('ФАКТ ЧЕРН К3'!U15)*СПРАВОЧНИК!$I$15+('ФАКТ ЧЕРН К3'!V15)*СПРАВОЧНИК!$J$15</f>
        <v/>
      </c>
      <c r="BQ24" s="18">
        <f>BQ23+7</f>
        <v/>
      </c>
      <c r="BR24" s="37">
        <f>'ПЛАН ЧИСТ К3'!B15*СПРАВОЧНИК!$L$9+'ПЛАН ЧИСТ К3'!C15*СПРАВОЧНИК!$M$9+'ПЛАН ЧИСТ К3'!D15*СПРАВОЧНИК!$N$9+'ПЛАН ЧИСТ К3'!E15*СПРАВОЧНИК!$O$9+'ПЛАН ЧИСТ К3'!F15*СПРАВОЧНИК!$L$10+'ПЛАН ЧИСТ К3'!G15*СПРАВОЧНИК!$M$10+'ПЛАН ЧИСТ К3'!H15*СПРАВОЧНИК!$N$10+'ПЛАН ЧИСТ К3'!I15*СПРАВОЧНИК!$O$10+'ПЛАН ЧИСТ К3'!J15*СПРАВОЧНИК!$L$11+'ПЛАН ЧИСТ К3'!K15*СПРАВОЧНИК!$M$11+'ПЛАН ЧИСТ К3'!L15*СПРАВОЧНИК!$N$11+'ПЛАН ЧИСТ К3'!M15*СПРАВОЧНИК!$L$12+'ПЛАН ЧИСТ К3'!N15*СПРАВОЧНИК!$M$12+'ПЛАН ЧИСТ К3'!O15*СПРАВОЧНИК!$N$12+'ПЛАН ЧИСТ К3'!P15*СПРАВОЧНИК!$O$12+'ПЛАН ЧИСТ К3'!Q15*СПРАВОЧНИК!$L$13+'ПЛАН ЧИСТ К3'!R15*СПРАВОЧНИК!$M$13+'ПЛАН ЧИСТ К3'!S15*СПРАВОЧНИК!$N$13+'ПЛАН ЧИСТ К3'!T15*СПРАВОЧНИК!$O$13+'ПЛАН ЧИСТ К3'!U15*СПРАВОЧНИК!$L$14+'ПЛАН ЧИСТ К3'!V15*СПРАВОЧНИК!$M$14+'ПЛАН ЧИСТ К3'!W15*СПРАВОЧНИК!$N$14+'ПЛАН ЧИСТ К3'!X15*СПРАВОЧНИК!$L$15+'ПЛАН ЧИСТ К3'!Y15*СПРАВОЧНИК!$M$15+'ПЛАН ЧИСТ К3'!Z15*СПРАВОЧНИК!$N$15</f>
        <v/>
      </c>
      <c r="BS24" s="40">
        <f>('ФАКТ ЧИСТ К3'!B15)*СПРАВОЧНИК!$L$9+('ФАКТ ЧИСТ К3'!C15)*СПРАВОЧНИК!$M$9+('ФАКТ ЧИСТ К3'!D15)*СПРАВОЧНИК!$N$9+('ФАКТ ЧИСТ К3'!E15)*СПРАВОЧНИК!$O$9+('ФАКТ ЧИСТ К3'!F15)*СПРАВОЧНИК!$L$10+('ФАКТ ЧИСТ К3'!G15)*СПРАВОЧНИК!$M$10+('ФАКТ ЧИСТ К3'!H15)*СПРАВОЧНИК!$N$10+('ФАКТ ЧИСТ К3'!I15)*СПРАВОЧНИК!$O$10+('ФАКТ ЧИСТ К3'!J15)*СПРАВОЧНИК!$L$11+('ФАКТ ЧИСТ К3'!K15)*СПРАВОЧНИК!$M$11+('ФАКТ ЧИСТ К3'!L15)*СПРАВОЧНИК!$N$11+('ФАКТ ЧИСТ К3'!M15)*СПРАВОЧНИК!$L$12+('ФАКТ ЧИСТ К3'!N15)*СПРАВОЧНИК!$M$12+('ФАКТ ЧИСТ К3'!O15)*СПРАВОЧНИК!$N$12+('ФАКТ ЧИСТ К3'!P15)*СПРАВОЧНИК!$O$12+('ФАКТ ЧИСТ К3'!Q15)*СПРАВОЧНИК!$L$13+('ФАКТ ЧИСТ К3'!R15)*СПРАВОЧНИК!$M$13+('ФАКТ ЧИСТ К3'!S15)*СПРАВОЧНИК!$N$13+('ФАКТ ЧИСТ К3'!T15)*СПРАВОЧНИК!$O$13+('ФАКТ ЧИСТ К3'!U15)*СПРАВОЧНИК!$L$14+('ФАКТ ЧИСТ К3'!V15)*СПРАВОЧНИК!$M$14+('ФАКТ ЧИСТ К3'!W15)*СПРАВОЧНИК!$N$14+('ФАКТ ЧИСТ К3'!X15)*СПРАВОЧНИК!$L$15+('ФАКТ ЧИСТ К3'!Y15)*СПРАВОЧНИК!$M$15+('ФАКТ ЧИСТ К3'!Z15)*СПРАВОЧНИК!$N$15</f>
        <v/>
      </c>
      <c r="BW24" s="18">
        <f>BW23+7</f>
        <v/>
      </c>
      <c r="BX24" s="37">
        <f>V24+AN24+BF24</f>
        <v/>
      </c>
      <c r="BY24" s="40">
        <f>W24+AO24+BG24</f>
        <v/>
      </c>
      <c r="CC24" s="18">
        <f>CC23+7</f>
        <v/>
      </c>
      <c r="CD24" s="37">
        <f>AB24+AT24+BL24</f>
        <v/>
      </c>
      <c r="CE24" s="40">
        <f>AC24+AU24+BM24</f>
        <v/>
      </c>
      <c r="CI24" s="18">
        <f>CI23+7</f>
        <v/>
      </c>
      <c r="CJ24" s="37">
        <f>AH24+AZ24+BR24</f>
        <v/>
      </c>
      <c r="CK24" s="40">
        <f>AI24+BA24+BS24</f>
        <v/>
      </c>
      <c r="CO24" s="18">
        <f>CO23+7</f>
        <v/>
      </c>
      <c r="CP24" s="37">
        <f>D24+BX24</f>
        <v/>
      </c>
      <c r="CQ24" s="40">
        <f>E24+BY24</f>
        <v/>
      </c>
      <c r="CU24" s="18">
        <f>CU23+7</f>
        <v/>
      </c>
      <c r="CV24" s="37">
        <f>J24+CD24</f>
        <v/>
      </c>
      <c r="CW24" s="40">
        <f>K24+CE24</f>
        <v/>
      </c>
      <c r="DA24" s="18">
        <f>DA23+7</f>
        <v/>
      </c>
      <c r="DB24" s="37">
        <f>P24+CJ24</f>
        <v/>
      </c>
      <c r="DC24" s="40">
        <f>Q24+CK24</f>
        <v/>
      </c>
    </row>
    <row r="25">
      <c r="C25" s="18">
        <f>C24+7</f>
        <v/>
      </c>
      <c r="D25" s="37">
        <f>СПРАВОЧНИК!$E$3*('ПЛАН ЧЕРН ПОДЗЕМ'!B16*СПРАВОЧНИК!$H$3+'ПЛАН ЧЕРН ПОДЗЕМ'!C16*СПРАВОЧНИК!$I$3+'ПЛАН ЧЕРН ПОДЗЕМ'!D16*СПРАВОЧНИК!$J$3)+СПРАВОЧНИК!$E$4*('ПЛАН ЧЕРН ПОДЗЕМ'!E16*СПРАВОЧНИК!$H$4+'ПЛАН ЧЕРН ПОДЗЕМ'!F16*СПРАВОЧНИК!$I$4+'ПЛАН ЧЕРН ПОДЗЕМ'!G16*СПРАВОЧНИК!$J$4)+СПРАВОЧНИК!$E$5*('ПЛАН ЧЕРН ПОДЗЕМ'!H16*СПРАВОЧНИК!$H$5+'ПЛАН ЧЕРН ПОДЗЕМ'!I16*СПРАВОЧНИК!$I$5+'ПЛАН ЧЕРН ПОДЗЕМ'!J16*СПРАВОЧНИК!$J$5)+СПРАВОЧНИК!$E$6*('ПЛАН ЧЕРН ПОДЗЕМ'!K16*СПРАВОЧНИК!$H$6+'ПЛАН ЧЕРН ПОДЗЕМ'!L16*СПРАВОЧНИК!$I$6+'ПЛАН ЧЕРН ПОДЗЕМ'!M16*СПРАВОЧНИК!$J$6)+СПРАВОЧНИК!$E$7*('ПЛАН ЧЕРН ПОДЗЕМ'!N16*СПРАВОЧНИК!$H$7+'ПЛАН ЧЕРН ПОДЗЕМ'!O16*СПРАВОЧНИК!$I$7+'ПЛАН ЧЕРН ПОДЗЕМ'!P16*СПРАВОЧНИК!$J$7)+СПРАВОЧНИК!$E$8*('ПЛАН ЧЕРН ПОДЗЕМ'!Q16*СПРАВОЧНИК!$H$8+'ПЛАН ЧЕРН ПОДЗЕМ'!R16*СПРАВОЧНИК!$I$8+'ПЛАН ЧЕРН ПОДЗЕМ'!S16*СПРАВОЧНИК!$J$8)+СПРАВОЧНИК!$F$3*('ПЛАН ЧИСТ ПОДЗЕМ'!B16*СПРАВОЧНИК!$L$3+'ПЛАН ЧИСТ ПОДЗЕМ'!C16*СПРАВОЧНИК!$M$3+'ПЛАН ЧИСТ ПОДЗЕМ'!D16*СПРАВОЧНИК!$N$3+'ПЛАН ЧИСТ ПОДЗЕМ'!E16*СПРАВОЧНИК!$O$3)+СПРАВОЧНИК!$F$4*('ПЛАН ЧИСТ ПОДЗЕМ'!F16*СПРАВОЧНИК!$L$4+'ПЛАН ЧИСТ ПОДЗЕМ'!G16*СПРАВОЧНИК!$M$4+'ПЛАН ЧИСТ ПОДЗЕМ'!H16*СПРАВОЧНИК!$N$4+'ПЛАН ЧИСТ ПОДЗЕМ'!I16*СПРАВОЧНИК!$O$4)+СПРАВОЧНИК!$F$5*('ПЛАН ЧИСТ ПОДЗЕМ'!J16*СПРАВОЧНИК!$L$5+'ПЛАН ЧИСТ ПОДЗЕМ'!K16*СПРАВОЧНИК!$M$5+'ПЛАН ЧИСТ ПОДЗЕМ'!L16*СПРАВОЧНИК!$N$5)+СПРАВОЧНИК!$F$6*('ПЛАН ЧИСТ ПОДЗЕМ'!M16*СПРАВОЧНИК!$L$6+'ПЛАН ЧИСТ ПОДЗЕМ'!N16*СПРАВОЧНИК!$M$6+'ПЛАН ЧИСТ ПОДЗЕМ'!O16*СПРАВОЧНИК!$N$6+'ПЛАН ЧИСТ ПОДЗЕМ'!P16*СПРАВОЧНИК!$O$6)+СПРАВОЧНИК!$F$7*('ПЛАН ЧИСТ ПОДЗЕМ'!Q16*СПРАВОЧНИК!$L$7+'ПЛАН ЧИСТ ПОДЗЕМ'!R16*СПРАВОЧНИК!$M$7+'ПЛАН ЧИСТ ПОДЗЕМ'!S16*СПРАВОЧНИК!$N$7+'ПЛАН ЧИСТ ПОДЗЕМ'!T16*СПРАВОЧНИК!$O$7)+СПРАВОЧНИК!$F$8*('ПЛАН ЧИСТ ПОДЗЕМ'!U16*СПРАВОЧНИК!$L$8+'ПЛАН ЧИСТ ПОДЗЕМ'!V16*СПРАВОЧНИК!$M$8+'ПЛАН ЧИСТ ПОДЗЕМ'!W16*СПРАВОЧНИК!$N$8)</f>
        <v/>
      </c>
      <c r="E25" s="40">
        <f>СПРАВОЧНИК!$E$3*(('ФАКТ ЧЕРН ПОДЗЕМ'!B16)*СПРАВОЧНИК!$H$3+('ФАКТ ЧЕРН ПОДЗЕМ'!C16)*СПРАВОЧНИК!$I$3+('ФАКТ ЧЕРН ПОДЗЕМ'!D16)*СПРАВОЧНИК!$J$3)+СПРАВОЧНИК!$E$4*(('ФАКТ ЧЕРН ПОДЗЕМ'!E16)*СПРАВОЧНИК!$H$4+('ФАКТ ЧЕРН ПОДЗЕМ'!F16)*СПРАВОЧНИК!$I$4+('ФАКТ ЧЕРН ПОДЗЕМ'!G16)*СПРАВОЧНИК!$J$4)+СПРАВОЧНИК!$E$5*(('ФАКТ ЧЕРН ПОДЗЕМ'!H16)*СПРАВОЧНИК!$H$5+('ФАКТ ЧЕРН ПОДЗЕМ'!I16)*СПРАВОЧНИК!$I$5+('ФАКТ ЧЕРН ПОДЗЕМ'!J16)*СПРАВОЧНИК!$J$5)+СПРАВОЧНИК!$E$6*(('ФАКТ ЧЕРН ПОДЗЕМ'!K16)*СПРАВОЧНИК!$H$6+('ФАКТ ЧЕРН ПОДЗЕМ'!L16)*СПРАВОЧНИК!$I$6+('ФАКТ ЧЕРН ПОДЗЕМ'!M16)*СПРАВОЧНИК!$J$6)+СПРАВОЧНИК!$E$7*(('ФАКТ ЧЕРН ПОДЗЕМ'!N16)*СПРАВОЧНИК!$H$7+('ФАКТ ЧЕРН ПОДЗЕМ'!O16)*СПРАВОЧНИК!$I$7+('ФАКТ ЧЕРН ПОДЗЕМ'!P16)*СПРАВОЧНИК!$J$7)+СПРАВОЧНИК!$E$8*(('ФАКТ ЧЕРН ПОДЗЕМ'!Q16)*СПРАВОЧНИК!$H$8+('ФАКТ ЧЕРН ПОДЗЕМ'!R16)*СПРАВОЧНИК!$I$8+('ФАКТ ЧЕРН ПОДЗЕМ'!S16)*СПРАВОЧНИК!$J$8)+СПРАВОЧНИК!$F$3*(('ФАКТ ЧИСТ ПОДЗЕМ'!B16)*СПРАВОЧНИК!$L$3+('ФАКТ ЧИСТ ПОДЗЕМ'!C16)*СПРАВОЧНИК!$M$3+('ФАКТ ЧИСТ ПОДЗЕМ'!D16)*СПРАВОЧНИК!$N$3+('ФАКТ ЧИСТ ПОДЗЕМ'!E16)*СПРАВОЧНИК!$O$3)+СПРАВОЧНИК!$F$4*(('ФАКТ ЧИСТ ПОДЗЕМ'!F16)*СПРАВОЧНИК!$L$4+('ФАКТ ЧИСТ ПОДЗЕМ'!G16)*СПРАВОЧНИК!$M$4+('ФАКТ ЧИСТ ПОДЗЕМ'!H16)*СПРАВОЧНИК!$N$4+('ФАКТ ЧИСТ ПОДЗЕМ'!I16)*СПРАВОЧНИК!$O$4)+СПРАВОЧНИК!$F$5*(('ФАКТ ЧИСТ ПОДЗЕМ'!J16)*СПРАВОЧНИК!$L$5+('ФАКТ ЧИСТ ПОДЗЕМ'!K16)*СПРАВОЧНИК!$M$5+('ФАКТ ЧИСТ ПОДЗЕМ'!L16)*СПРАВОЧНИК!$N$5)+СПРАВОЧНИК!$F$6*(('ФАКТ ЧИСТ ПОДЗЕМ'!M16)*СПРАВОЧНИК!$L$6+('ФАКТ ЧИСТ ПОДЗЕМ'!N16)*СПРАВОЧНИК!$M$6+('ФАКТ ЧИСТ ПОДЗЕМ'!O16)*СПРАВОЧНИК!$N$6+('ФАКТ ЧИСТ ПОДЗЕМ'!P16)*СПРАВОЧНИК!$O$6)+СПРАВОЧНИК!$F$7*(('ФАКТ ЧИСТ ПОДЗЕМ'!Q16)*СПРАВОЧНИК!$L$7+('ФАКТ ЧИСТ ПОДЗЕМ'!R16)*СПРАВОЧНИК!$M$7+('ФАКТ ЧИСТ ПОДЗЕМ'!S16)*СПРАВОЧНИК!$N$7+('ФАКТ ЧИСТ ПОДЗЕМ'!T16)*СПРАВОЧНИК!$O$7)+СПРАВОЧНИК!$F$8*(('ФАКТ ЧИСТ ПОДЗЕМ'!U16)*СПРАВОЧНИК!$L$8+('ФАКТ ЧИСТ ПОДЗЕМ'!V16)*СПРАВОЧНИК!$M$8+('ФАКТ ЧИСТ ПОДЗЕМ'!W16)*СПРАВОЧНИК!$N$8)</f>
        <v/>
      </c>
      <c r="I25" s="18">
        <f>I24+7</f>
        <v/>
      </c>
      <c r="J25" s="37">
        <f>'ПЛАН ЧЕРН ПОДЗЕМ'!B16*СПРАВОЧНИК!$H$3+'ПЛАН ЧЕРН ПОДЗЕМ'!C16*СПРАВОЧНИК!$I$3+'ПЛАН ЧЕРН ПОДЗЕМ'!D16*СПРАВОЧНИК!$J$3+'ПЛАН ЧЕРН ПОДЗЕМ'!E16*СПРАВОЧНИК!$H$4+'ПЛАН ЧЕРН ПОДЗЕМ'!F16*СПРАВОЧНИК!$I$4+'ПЛАН ЧЕРН ПОДЗЕМ'!G16*СПРАВОЧНИК!$J$4+'ПЛАН ЧЕРН ПОДЗЕМ'!H16*СПРАВОЧНИК!$H$5+'ПЛАН ЧЕРН ПОДЗЕМ'!I16*СПРАВОЧНИК!$I$5+'ПЛАН ЧЕРН ПОДЗЕМ'!J16*СПРАВОЧНИК!$J$5+'ПЛАН ЧЕРН ПОДЗЕМ'!K16*СПРАВОЧНИК!$H$6+'ПЛАН ЧЕРН ПОДЗЕМ'!L16*СПРАВОЧНИК!$I$6+'ПЛАН ЧЕРН ПОДЗЕМ'!M16*СПРАВОЧНИК!$J$6+'ПЛАН ЧЕРН ПОДЗЕМ'!N16*СПРАВОЧНИК!$H$7+'ПЛАН ЧЕРН ПОДЗЕМ'!O16*СПРАВОЧНИК!$I$7+'ПЛАН ЧЕРН ПОДЗЕМ'!P16*СПРАВОЧНИК!$J$7+'ПЛАН ЧЕРН ПОДЗЕМ'!Q16*СПРАВОЧНИК!$H$8+'ПЛАН ЧЕРН ПОДЗЕМ'!R16*СПРАВОЧНИК!$I$8+'ПЛАН ЧЕРН ПОДЗЕМ'!S16*СПРАВОЧНИК!$J$8</f>
        <v/>
      </c>
      <c r="K25" s="40">
        <f>('ФАКТ ЧЕРН ПОДЗЕМ'!B16)*СПРАВОЧНИК!$H$3+('ФАКТ ЧЕРН ПОДЗЕМ'!C16)*СПРАВОЧНИК!$I$3+('ФАКТ ЧЕРН ПОДЗЕМ'!D16)*СПРАВОЧНИК!$J$3+('ФАКТ ЧЕРН ПОДЗЕМ'!E16)*СПРАВОЧНИК!$H$4+('ФАКТ ЧЕРН ПОДЗЕМ'!F16)*СПРАВОЧНИК!$I$4+('ФАКТ ЧЕРН ПОДЗЕМ'!G16)*СПРАВОЧНИК!$J$4+('ФАКТ ЧЕРН ПОДЗЕМ'!H16)*СПРАВОЧНИК!$H$5+('ФАКТ ЧЕРН ПОДЗЕМ'!I16)*СПРАВОЧНИК!$I$5+('ФАКТ ЧЕРН ПОДЗЕМ'!J16)*СПРАВОЧНИК!$J$5+('ФАКТ ЧЕРН ПОДЗЕМ'!K16)*СПРАВОЧНИК!$H$6+('ФАКТ ЧЕРН ПОДЗЕМ'!L16)*СПРАВОЧНИК!$I$6+('ФАКТ ЧЕРН ПОДЗЕМ'!M16)*СПРАВОЧНИК!$J$6+('ФАКТ ЧЕРН ПОДЗЕМ'!N16)*СПРАВОЧНИК!$H$7+('ФАКТ ЧЕРН ПОДЗЕМ'!O16)*СПРАВОЧНИК!$I$7+('ФАКТ ЧЕРН ПОДЗЕМ'!P16)*СПРАВОЧНИК!$J$7+('ФАКТ ЧЕРН ПОДЗЕМ'!Q16)*СПРАВОЧНИК!$H$8+('ФАКТ ЧЕРН ПОДЗЕМ'!R16)*СПРАВОЧНИК!$I$8+('ФАКТ ЧЕРН ПОДЗЕМ'!S16)*СПРАВОЧНИК!$J$8</f>
        <v/>
      </c>
      <c r="O25" s="18">
        <f>O24+7</f>
        <v/>
      </c>
      <c r="P25" s="37">
        <f>'ПЛАН ЧИСТ ПОДЗЕМ'!B16*СПРАВОЧНИК!$L$3+'ПЛАН ЧИСТ ПОДЗЕМ'!C16*СПРАВОЧНИК!$M$3+'ПЛАН ЧИСТ ПОДЗЕМ'!D16*СПРАВОЧНИК!$N$3+'ПЛАН ЧИСТ ПОДЗЕМ'!E16*СПРАВОЧНИК!$O$3+'ПЛАН ЧИСТ ПОДЗЕМ'!F16*СПРАВОЧНИК!$L$4+'ПЛАН ЧИСТ ПОДЗЕМ'!G16*СПРАВОЧНИК!$M$4+'ПЛАН ЧИСТ ПОДЗЕМ'!H16*СПРАВОЧНИК!$N$4+'ПЛАН ЧИСТ ПОДЗЕМ'!I16*СПРАВОЧНИК!$O$4+'ПЛАН ЧИСТ ПОДЗЕМ'!J16*СПРАВОЧНИК!$L$5+'ПЛАН ЧИСТ ПОДЗЕМ'!K16*СПРАВОЧНИК!$M$5+'ПЛАН ЧИСТ ПОДЗЕМ'!L16*СПРАВОЧНИК!$N$5+'ПЛАН ЧИСТ ПОДЗЕМ'!M16*СПРАВОЧНИК!$L$6+'ПЛАН ЧИСТ ПОДЗЕМ'!N16*СПРАВОЧНИК!$M$6+'ПЛАН ЧИСТ ПОДЗЕМ'!O16*СПРАВОЧНИК!$N$6+'ПЛАН ЧИСТ ПОДЗЕМ'!P16*СПРАВОЧНИК!$O$6+'ПЛАН ЧИСТ ПОДЗЕМ'!Q16*СПРАВОЧНИК!$L$7+'ПЛАН ЧИСТ ПОДЗЕМ'!R16*СПРАВОЧНИК!$M$7+'ПЛАН ЧИСТ ПОДЗЕМ'!S16*СПРАВОЧНИК!$N$7+'ПЛАН ЧИСТ ПОДЗЕМ'!T16*СПРАВОЧНИК!$O$7+'ПЛАН ЧИСТ ПОДЗЕМ'!U16*СПРАВОЧНИК!$L$8+'ПЛАН ЧИСТ ПОДЗЕМ'!V16*СПРАВОЧНИК!$M$8+'ПЛАН ЧИСТ ПОДЗЕМ'!W16*СПРАВОЧНИК!$N$8</f>
        <v/>
      </c>
      <c r="Q25" s="40">
        <f>('ФАКТ ЧИСТ ПОДЗЕМ'!B16)*СПРАВОЧНИК!$L$3+('ФАКТ ЧИСТ ПОДЗЕМ'!C16)*СПРАВОЧНИК!$M$3+('ФАКТ ЧИСТ ПОДЗЕМ'!D16)*СПРАВОЧНИК!$N$3+('ФАКТ ЧИСТ ПОДЗЕМ'!E16)*СПРАВОЧНИК!$O$3+('ФАКТ ЧИСТ ПОДЗЕМ'!F16)*СПРАВОЧНИК!$L$4+('ФАКТ ЧИСТ ПОДЗЕМ'!G16)*СПРАВОЧНИК!$M$4+('ФАКТ ЧИСТ ПОДЗЕМ'!H16)*СПРАВОЧНИК!$N$4+('ФАКТ ЧИСТ ПОДЗЕМ'!I16)*СПРАВОЧНИК!$O$4+('ФАКТ ЧИСТ ПОДЗЕМ'!J16)*СПРАВОЧНИК!$L$5+('ФАКТ ЧИСТ ПОДЗЕМ'!K16)*СПРАВОЧНИК!$M$5+('ФАКТ ЧИСТ ПОДЗЕМ'!L16)*СПРАВОЧНИК!$N$5+('ФАКТ ЧИСТ ПОДЗЕМ'!M16)*СПРАВОЧНИК!$L$6+('ФАКТ ЧИСТ ПОДЗЕМ'!N16)*СПРАВОЧНИК!$M$6+('ФАКТ ЧИСТ ПОДЗЕМ'!O16)*СПРАВОЧНИК!$N$6+('ФАКТ ЧИСТ ПОДЗЕМ'!P16)*СПРАВОЧНИК!$O$6+('ФАКТ ЧИСТ ПОДЗЕМ'!Q16)*СПРАВОЧНИК!$L$7+('ФАКТ ЧИСТ ПОДЗЕМ'!R16)*СПРАВОЧНИК!$M$7+('ФАКТ ЧИСТ ПОДЗЕМ'!S16)*СПРАВОЧНИК!$N$7+('ФАКТ ЧИСТ ПОДЗЕМ'!T16)*СПРАВОЧНИК!$O$7+('ФАКТ ЧИСТ ПОДЗЕМ'!U16)*СПРАВОЧНИК!$L$8+('ФАКТ ЧИСТ ПОДЗЕМ'!V16)*СПРАВОЧНИК!$M$8+('ФАКТ ЧИСТ ПОДЗЕМ'!W16)*СПРАВОЧНИК!$N$8</f>
        <v/>
      </c>
      <c r="U25" s="18">
        <f>U24+7</f>
        <v/>
      </c>
      <c r="V25" s="37">
        <f>СПРАВОЧНИК!$E$9*('ПЛАН ЧЕРН К1'!B16*СПРАВОЧНИК!$H$9+'ПЛАН ЧЕРН К1'!C16*СПРАВОЧНИК!$I$9+'ПЛАН ЧЕРН К1'!D16*СПРАВОЧНИК!$J$9)+СПРАВОЧНИК!$E$10*('ПЛАН ЧЕРН К1'!E16*СПРАВОЧНИК!$H$10+'ПЛАН ЧЕРН К1'!F16*СПРАВОЧНИК!$I$10+'ПЛАН ЧЕРН К1'!G16*СПРАВОЧНИК!$J$10)+СПРАВОЧНИК!$E$11*('ПЛАН ЧЕРН К1'!H16*СПРАВОЧНИК!$H$11+'ПЛАН ЧЕРН К1'!I16*СПРАВОЧНИК!$I$11+'ПЛАН ЧЕРН К1'!J16*СПРАВОЧНИК!$J$11)+СПРАВОЧНИК!$E$12*('ПЛАН ЧЕРН К1'!K16*СПРАВОЧНИК!$H$12+'ПЛАН ЧЕРН К1'!L16*СПРАВОЧНИК!$I$12+'ПЛАН ЧЕРН К1'!M16*СПРАВОЧНИК!$J$12)+СПРАВОЧНИК!$E$13*('ПЛАН ЧЕРН К1'!N16*СПРАВОЧНИК!$H$13+'ПЛАН ЧЕРН К1'!O16*СПРАВОЧНИК!$I$13+'ПЛАН ЧЕРН К1'!P16*СПРАВОЧНИК!$J$13)+СПРАВОЧНИК!$E$14*('ПЛАН ЧЕРН К1'!Q16*СПРАВОЧНИК!$H$14+'ПЛАН ЧЕРН К1'!R16*СПРАВОЧНИК!$I$14+'ПЛАН ЧЕРН К1'!S16*СПРАВОЧНИК!$J$14)+СПРАВОЧНИК!$E$15*('ПЛАН ЧЕРН К1'!T16*СПРАВОЧНИК!$H$15+'ПЛАН ЧЕРН К1'!U16*СПРАВОЧНИК!$I$15+'ПЛАН ЧЕРН К1'!V16*СПРАВОЧНИК!$J$15)+СПРАВОЧНИК!$F$9*('ПЛАН ЧИСТ К1'!B16*СПРАВОЧНИК!$L$9+'ПЛАН ЧИСТ К1'!C16*СПРАВОЧНИК!$M$9+'ПЛАН ЧИСТ К1'!D16*СПРАВОЧНИК!$N$9+'ПЛАН ЧИСТ К1'!E16*СПРАВОЧНИК!$O$9)+СПРАВОЧНИК!$F$10*('ПЛАН ЧИСТ К1'!F16*СПРАВОЧНИК!$L$10+'ПЛАН ЧИСТ К1'!G16*СПРАВОЧНИК!$M$10+'ПЛАН ЧИСТ К1'!H16*СПРАВОЧНИК!$N$10+'ПЛАН ЧИСТ К1'!I16*СПРАВОЧНИК!$O$10)+СПРАВОЧНИК!$F$11*('ПЛАН ЧИСТ К1'!J16*СПРАВОЧНИК!$L$11+'ПЛАН ЧИСТ К1'!K16*СПРАВОЧНИК!$M$11+'ПЛАН ЧИСТ К1'!L16*СПРАВОЧНИК!$N$11)+СПРАВОЧНИК!$F$12*('ПЛАН ЧИСТ К1'!M16*СПРАВОЧНИК!$L$12+'ПЛАН ЧИСТ К1'!N16*СПРАВОЧНИК!$M$12+'ПЛАН ЧИСТ К1'!O16*СПРАВОЧНИК!$N$12+'ПЛАН ЧИСТ К1'!P16*СПРАВОЧНИК!$O$12)+СПРАВОЧНИК!$F$13*('ПЛАН ЧИСТ К1'!Q16*СПРАВОЧНИК!$L$13+'ПЛАН ЧИСТ К1'!R16*СПРАВОЧНИК!$M$13+'ПЛАН ЧИСТ К1'!S16*СПРАВОЧНИК!$N$13+'ПЛАН ЧИСТ К1'!T16*СПРАВОЧНИК!$O$13)+СПРАВОЧНИК!$F$14*('ПЛАН ЧИСТ К1'!U16*СПРАВОЧНИК!$L$14+'ПЛАН ЧИСТ К1'!V16*СПРАВОЧНИК!$M$14+'ПЛАН ЧИСТ К1'!W16*СПРАВОЧНИК!$N$14)+СПРАВОЧНИК!$F$15*('ПЛАН ЧИСТ К1'!X16*СПРАВОЧНИК!$L$15+'ПЛАН ЧИСТ К1'!Y16*СПРАВОЧНИК!$M$15+'ПЛАН ЧИСТ К1'!Z16*СПРАВОЧНИК!$N$15)</f>
        <v/>
      </c>
      <c r="W25" s="40">
        <f>СПРАВОЧНИК!$E$9*(('ФАКТ ЧЕРН К1'!B16)*СПРАВОЧНИК!$H$9+('ФАКТ ЧЕРН К1'!C16)*СПРАВОЧНИК!$I$9+('ФАКТ ЧЕРН К1'!D16)*СПРАВОЧНИК!$J$9)+СПРАВОЧНИК!$E$10*(('ФАКТ ЧЕРН К1'!E16)*СПРАВОЧНИК!$H$10+('ФАКТ ЧЕРН К1'!F16)*СПРАВОЧНИК!$I$10+('ФАКТ ЧЕРН К1'!G16)*СПРАВОЧНИК!$J$10)+СПРАВОЧНИК!$E$11*(('ФАКТ ЧЕРН К1'!H16)*СПРАВОЧНИК!$H$11+('ФАКТ ЧЕРН К1'!I16)*СПРАВОЧНИК!$I$11+('ФАКТ ЧЕРН К1'!J16)*СПРАВОЧНИК!$J$11)+СПРАВОЧНИК!$E$12*(('ФАКТ ЧЕРН К1'!K16)*СПРАВОЧНИК!$H$12+('ФАКТ ЧЕРН К1'!L16)*СПРАВОЧНИК!$I$12+('ФАКТ ЧЕРН К1'!M16)*СПРАВОЧНИК!$J$12)+СПРАВОЧНИК!$E$13*(('ФАКТ ЧЕРН К1'!N16)*СПРАВОЧНИК!$H$13+('ФАКТ ЧЕРН К1'!O16)*СПРАВОЧНИК!$I$13+('ФАКТ ЧЕРН К1'!P16)*СПРАВОЧНИК!$J$13)+СПРАВОЧНИК!$E$14*(('ФАКТ ЧЕРН К1'!Q16)*СПРАВОЧНИК!$H$14+('ФАКТ ЧЕРН К1'!R16)*СПРАВОЧНИК!$I$14+('ФАКТ ЧЕРН К1'!S16)*СПРАВОЧНИК!$J$14)+СПРАВОЧНИК!$E$15*(('ФАКТ ЧЕРН К1'!T16)*СПРАВОЧНИК!$H$15+('ФАКТ ЧЕРН К1'!U16)*СПРАВОЧНИК!$I$15+('ФАКТ ЧЕРН К1'!V16)*СПРАВОЧНИК!$J$15)+СПРАВОЧНИК!$F$9*(('ФАКТ ЧИСТ К1'!B16)*СПРАВОЧНИК!$L$9+('ФАКТ ЧИСТ К1'!C16)*СПРАВОЧНИК!$M$9+('ФАКТ ЧИСТ К1'!D16)*СПРАВОЧНИК!$N$9+('ФАКТ ЧИСТ К1'!E16)*СПРАВОЧНИК!$O$9)+СПРАВОЧНИК!$F$10*(('ФАКТ ЧИСТ К1'!F16)*СПРАВОЧНИК!$L$10+('ФАКТ ЧИСТ К1'!G16)*СПРАВОЧНИК!$M$10+('ФАКТ ЧИСТ К1'!H16)*СПРАВОЧНИК!$N$10+('ФАКТ ЧИСТ К1'!I16)*СПРАВОЧНИК!$O$10)+СПРАВОЧНИК!$F$11*(('ФАКТ ЧИСТ К1'!J16)*СПРАВОЧНИК!$L$11+('ФАКТ ЧИСТ К1'!K16)*СПРАВОЧНИК!$M$11+('ФАКТ ЧИСТ К1'!L16)*СПРАВОЧНИК!$N$11)+СПРАВОЧНИК!$F$12*(('ФАКТ ЧИСТ К1'!M16)*СПРАВОЧНИК!$L$12+('ФАКТ ЧИСТ К1'!N16)*СПРАВОЧНИК!$M$12+('ФАКТ ЧИСТ К1'!O16)*СПРАВОЧНИК!$N$12+('ФАКТ ЧИСТ К1'!P16)*СПРАВОЧНИК!$O$12)+СПРАВОЧНИК!$F$13*(('ФАКТ ЧИСТ К1'!Q16)*СПРАВОЧНИК!$L$13+('ФАКТ ЧИСТ К1'!R16)*СПРАВОЧНИК!$M$13+('ФАКТ ЧИСТ К1'!S16)*СПРАВОЧНИК!$N$13+('ФАКТ ЧИСТ К1'!T16)*СПРАВОЧНИК!$O$13)+СПРАВОЧНИК!$F$14*(('ФАКТ ЧИСТ К1'!U16)*СПРАВОЧНИК!$L$14+('ФАКТ ЧИСТ К1'!V16)*СПРАВОЧНИК!$M$14+('ФАКТ ЧИСТ К1'!W16)*СПРАВОЧНИК!$N$14)+СПРАВОЧНИК!$F$15*(('ФАКТ ЧИСТ К1'!X16)*СПРАВОЧНИК!$L$15+('ФАКТ ЧИСТ К1'!Y16)*СПРАВОЧНИК!$M$15+('ФАКТ ЧИСТ К1'!Z16)*СПРАВОЧНИК!$N$15)</f>
        <v/>
      </c>
      <c r="AA25" s="18">
        <f>AA24+7</f>
        <v/>
      </c>
      <c r="AB25" s="37">
        <f>'ПЛАН ЧЕРН К1'!B16*СПРАВОЧНИК!$H$9+'ПЛАН ЧЕРН К1'!C16*СПРАВОЧНИК!$I$9+'ПЛАН ЧЕРН К1'!D16*СПРАВОЧНИК!$J$9+'ПЛАН ЧЕРН К1'!E16*СПРАВОЧНИК!$H$10+'ПЛАН ЧЕРН К1'!F16*СПРАВОЧНИК!$I$10+'ПЛАН ЧЕРН К1'!G16*СПРАВОЧНИК!$J$10+'ПЛАН ЧЕРН К1'!H16*СПРАВОЧНИК!$H$11+'ПЛАН ЧЕРН К1'!I16*СПРАВОЧНИК!$I$11+'ПЛАН ЧЕРН К1'!J16*СПРАВОЧНИК!$J$11+'ПЛАН ЧЕРН К1'!K16*СПРАВОЧНИК!$H$12+'ПЛАН ЧЕРН К1'!L16*СПРАВОЧНИК!$I$12+'ПЛАН ЧЕРН К1'!M16*СПРАВОЧНИК!$J$12+'ПЛАН ЧЕРН К1'!N16*СПРАВОЧНИК!$H$13+'ПЛАН ЧЕРН К1'!O16*СПРАВОЧНИК!$I$13+'ПЛАН ЧЕРН К1'!P16*СПРАВОЧНИК!$J$13+'ПЛАН ЧЕРН К1'!Q16*СПРАВОЧНИК!$H$14+'ПЛАН ЧЕРН К1'!R16*СПРАВОЧНИК!$I$14+'ПЛАН ЧЕРН К1'!S16*СПРАВОЧНИК!$J$14+'ПЛАН ЧЕРН К1'!T16*СПРАВОЧНИК!$H$15+'ПЛАН ЧЕРН К1'!U16*СПРАВОЧНИК!$I$15+'ПЛАН ЧЕРН К1'!V16*СПРАВОЧНИК!$J$15</f>
        <v/>
      </c>
      <c r="AC25" s="40">
        <f>('ФАКТ ЧЕРН К1'!B16)*СПРАВОЧНИК!$H$9+('ФАКТ ЧЕРН К1'!C16)*СПРАВОЧНИК!$I$9+('ФАКТ ЧЕРН К1'!D16)*СПРАВОЧНИК!$J$9+('ФАКТ ЧЕРН К1'!E16)*СПРАВОЧНИК!$H$10+('ФАКТ ЧЕРН К1'!F16)*СПРАВОЧНИК!$I$10+('ФАКТ ЧЕРН К1'!G16)*СПРАВОЧНИК!$J$10+('ФАКТ ЧЕРН К1'!H16)*СПРАВОЧНИК!$H$11+('ФАКТ ЧЕРН К1'!I16)*СПРАВОЧНИК!$I$11+('ФАКТ ЧЕРН К1'!J16)*СПРАВОЧНИК!$J$11+('ФАКТ ЧЕРН К1'!K16)*СПРАВОЧНИК!$H$12+('ФАКТ ЧЕРН К1'!L16)*СПРАВОЧНИК!$I$12+('ФАКТ ЧЕРН К1'!M16)*СПРАВОЧНИК!$J$12+('ФАКТ ЧЕРН К1'!N16)*СПРАВОЧНИК!$H$13+('ФАКТ ЧЕРН К1'!O16)*СПРАВОЧНИК!$I$13+('ФАКТ ЧЕРН К1'!P16)*СПРАВОЧНИК!$J$13+('ФАКТ ЧЕРН К1'!Q16)*СПРАВОЧНИК!$H$14+('ФАКТ ЧЕРН К1'!R16)*СПРАВОЧНИК!$I$14+('ФАКТ ЧЕРН К1'!S16)*СПРАВОЧНИК!$J$14+('ФАКТ ЧЕРН К1'!T16)*СПРАВОЧНИК!$H$15+('ФАКТ ЧЕРН К1'!U16)*СПРАВОЧНИК!$I$15+('ФАКТ ЧЕРН К1'!V16)*СПРАВОЧНИК!$J$15</f>
        <v/>
      </c>
      <c r="AG25" s="18">
        <f>AG24+7</f>
        <v/>
      </c>
      <c r="AH25" s="37">
        <f>'ПЛАН ЧИСТ К1'!B16*СПРАВОЧНИК!$L$9+'ПЛАН ЧИСТ К1'!C16*СПРАВОЧНИК!$M$9+'ПЛАН ЧИСТ К1'!D16*СПРАВОЧНИК!$N$9+'ПЛАН ЧИСТ К1'!E16*СПРАВОЧНИК!$O$9+'ПЛАН ЧИСТ К1'!F16*СПРАВОЧНИК!$L$10+'ПЛАН ЧИСТ К1'!G16*СПРАВОЧНИК!$M$10+'ПЛАН ЧИСТ К1'!H16*СПРАВОЧНИК!$N$10+'ПЛАН ЧИСТ К1'!I16*СПРАВОЧНИК!$O$10+'ПЛАН ЧИСТ К1'!J16*СПРАВОЧНИК!$L$11+'ПЛАН ЧИСТ К1'!K16*СПРАВОЧНИК!$M$11+'ПЛАН ЧИСТ К1'!L16*СПРАВОЧНИК!$N$11+'ПЛАН ЧИСТ К1'!M16*СПРАВОЧНИК!$L$12+'ПЛАН ЧИСТ К1'!N16*СПРАВОЧНИК!$M$12+'ПЛАН ЧИСТ К1'!O16*СПРАВОЧНИК!$N$12+'ПЛАН ЧИСТ К1'!P16*СПРАВОЧНИК!$O$12+'ПЛАН ЧИСТ К1'!Q16*СПРАВОЧНИК!$L$13+'ПЛАН ЧИСТ К1'!R16*СПРАВОЧНИК!$M$13+'ПЛАН ЧИСТ К1'!S16*СПРАВОЧНИК!$N$13+'ПЛАН ЧИСТ К1'!T16*СПРАВОЧНИК!$O$13+'ПЛАН ЧИСТ К1'!U16*СПРАВОЧНИК!$L$14+'ПЛАН ЧИСТ К1'!V16*СПРАВОЧНИК!$M$14+'ПЛАН ЧИСТ К1'!W16*СПРАВОЧНИК!$N$14+'ПЛАН ЧИСТ К1'!X16*СПРАВОЧНИК!$L$15+'ПЛАН ЧИСТ К1'!Y16*СПРАВОЧНИК!$M$15+'ПЛАН ЧИСТ К1'!Z16*СПРАВОЧНИК!$N$15</f>
        <v/>
      </c>
      <c r="AI25" s="40">
        <f>('ФАКТ ЧИСТ К1'!B16)*СПРАВОЧНИК!$L$9+('ФАКТ ЧИСТ К1'!C16)*СПРАВОЧНИК!$M$9+('ФАКТ ЧИСТ К1'!D16)*СПРАВОЧНИК!$N$9+('ФАКТ ЧИСТ К1'!E16)*СПРАВОЧНИК!$O$9+('ФАКТ ЧИСТ К1'!F16)*СПРАВОЧНИК!$L$10+('ФАКТ ЧИСТ К1'!G16)*СПРАВОЧНИК!$M$10+('ФАКТ ЧИСТ К1'!H16)*СПРАВОЧНИК!$N$10+('ФАКТ ЧИСТ К1'!I16)*СПРАВОЧНИК!$O$10+('ФАКТ ЧИСТ К1'!J16)*СПРАВОЧНИК!$L$11+('ФАКТ ЧИСТ К1'!K16)*СПРАВОЧНИК!$M$11+('ФАКТ ЧИСТ К1'!L16)*СПРАВОЧНИК!$N$11+('ФАКТ ЧИСТ К1'!M16)*СПРАВОЧНИК!$L$12+('ФАКТ ЧИСТ К1'!N16)*СПРАВОЧНИК!$M$12+('ФАКТ ЧИСТ К1'!O16)*СПРАВОЧНИК!$N$12+('ФАКТ ЧИСТ К1'!P16)*СПРАВОЧНИК!$O$12+('ФАКТ ЧИСТ К1'!Q16)*СПРАВОЧНИК!$L$13+('ФАКТ ЧИСТ К1'!R16)*СПРАВОЧНИК!$M$13+('ФАКТ ЧИСТ К1'!S16)*СПРАВОЧНИК!$N$13+('ФАКТ ЧИСТ К1'!T16)*СПРАВОЧНИК!$O$13+('ФАКТ ЧИСТ К1'!U16)*СПРАВОЧНИК!$L$14+('ФАКТ ЧИСТ К1'!V16)*СПРАВОЧНИК!$M$14+('ФАКТ ЧИСТ К1'!W16)*СПРАВОЧНИК!$N$14+('ФАКТ ЧИСТ К1'!X16)*СПРАВОЧНИК!$L$15+('ФАКТ ЧИСТ К1'!Y16)*СПРАВОЧНИК!$M$15+('ФАКТ ЧИСТ К1'!Z16)*СПРАВОЧНИК!$N$15</f>
        <v/>
      </c>
      <c r="AM25" s="18">
        <f>AM24+7</f>
        <v/>
      </c>
      <c r="AN25" s="37">
        <f>СПРАВОЧНИК!$E$9*('ПЛАН ЧЕРН К2'!B16*СПРАВОЧНИК!$H$9+'ПЛАН ЧЕРН К2'!C16*СПРАВОЧНИК!$I$9+'ПЛАН ЧЕРН К2'!D16*СПРАВОЧНИК!$J$9)+СПРАВОЧНИК!$E$10*('ПЛАН ЧЕРН К2'!E16*СПРАВОЧНИК!$H$10+'ПЛАН ЧЕРН К2'!F16*СПРАВОЧНИК!$I$10+'ПЛАН ЧЕРН К2'!G16*СПРАВОЧНИК!$J$10)+СПРАВОЧНИК!$E$11*('ПЛАН ЧЕРН К2'!H16*СПРАВОЧНИК!$H$11+'ПЛАН ЧЕРН К2'!I16*СПРАВОЧНИК!$I$11+'ПЛАН ЧЕРН К2'!J16*СПРАВОЧНИК!$J$11)+СПРАВОЧНИК!$E$12*('ПЛАН ЧЕРН К2'!K16*СПРАВОЧНИК!$H$12+'ПЛАН ЧЕРН К2'!L16*СПРАВОЧНИК!$I$12+'ПЛАН ЧЕРН К2'!M16*СПРАВОЧНИК!$J$12)+СПРАВОЧНИК!$E$13*('ПЛАН ЧЕРН К2'!N16*СПРАВОЧНИК!$H$13+'ПЛАН ЧЕРН К2'!O16*СПРАВОЧНИК!$I$13+'ПЛАН ЧЕРН К2'!P16*СПРАВОЧНИК!$J$13)+СПРАВОЧНИК!$E$14*('ПЛАН ЧЕРН К2'!Q16*СПРАВОЧНИК!$H$14+'ПЛАН ЧЕРН К2'!R16*СПРАВОЧНИК!$I$14+'ПЛАН ЧЕРН К2'!S16*СПРАВОЧНИК!$J$14)+СПРАВОЧНИК!$E$15*('ПЛАН ЧЕРН К2'!T16*СПРАВОЧНИК!$H$15+'ПЛАН ЧЕРН К2'!U16*СПРАВОЧНИК!$I$15+'ПЛАН ЧЕРН К2'!V16*СПРАВОЧНИК!$J$15)+СПРАВОЧНИК!$F$9*('ПЛАН ЧИСТ К2'!B16*СПРАВОЧНИК!$L$9+'ПЛАН ЧИСТ К2'!C16*СПРАВОЧНИК!$M$9+'ПЛАН ЧИСТ К2'!D16*СПРАВОЧНИК!$N$9+'ПЛАН ЧИСТ К2'!E16*СПРАВОЧНИК!$O$9)+СПРАВОЧНИК!$F$10*('ПЛАН ЧИСТ К2'!F16*СПРАВОЧНИК!$L$10+'ПЛАН ЧИСТ К2'!G16*СПРАВОЧНИК!$M$10+'ПЛАН ЧИСТ К2'!H16*СПРАВОЧНИК!$N$10+'ПЛАН ЧИСТ К2'!I16*СПРАВОЧНИК!$O$10)+СПРАВОЧНИК!$F$11*('ПЛАН ЧИСТ К2'!J16*СПРАВОЧНИК!$L$11+'ПЛАН ЧИСТ К2'!K16*СПРАВОЧНИК!$M$11+'ПЛАН ЧИСТ К2'!L16*СПРАВОЧНИК!$N$11)+СПРАВОЧНИК!$F$12*('ПЛАН ЧИСТ К2'!M16*СПРАВОЧНИК!$L$12+'ПЛАН ЧИСТ К2'!N16*СПРАВОЧНИК!$M$12+'ПЛАН ЧИСТ К2'!O16*СПРАВОЧНИК!$N$12+'ПЛАН ЧИСТ К2'!P16*СПРАВОЧНИК!$O$12)+СПРАВОЧНИК!$F$13*('ПЛАН ЧИСТ К2'!Q16*СПРАВОЧНИК!$L$13+'ПЛАН ЧИСТ К2'!R16*СПРАВОЧНИК!$M$13+'ПЛАН ЧИСТ К2'!S16*СПРАВОЧНИК!$N$13+'ПЛАН ЧИСТ К2'!T16*СПРАВОЧНИК!$O$13)+СПРАВОЧНИК!$F$14*('ПЛАН ЧИСТ К2'!U16*СПРАВОЧНИК!$L$14+'ПЛАН ЧИСТ К2'!V16*СПРАВОЧНИК!$M$14+'ПЛАН ЧИСТ К2'!W16*СПРАВОЧНИК!$N$14)+СПРАВОЧНИК!$F$15*('ПЛАН ЧИСТ К2'!X16*СПРАВОЧНИК!$L$15+'ПЛАН ЧИСТ К2'!Y16*СПРАВОЧНИК!$M$15+'ПЛАН ЧИСТ К2'!Z16*СПРАВОЧНИК!$N$15)</f>
        <v/>
      </c>
      <c r="AO25" s="40">
        <f>СПРАВОЧНИК!$E$9*(('ФАКТ ЧЕРН К2'!B16)*СПРАВОЧНИК!$H$9+('ФАКТ ЧЕРН К2'!C16)*СПРАВОЧНИК!$I$9+('ФАКТ ЧЕРН К2'!D16)*СПРАВОЧНИК!$J$9)+СПРАВОЧНИК!$E$10*(('ФАКТ ЧЕРН К2'!E16)*СПРАВОЧНИК!$H$10+('ФАКТ ЧЕРН К2'!F16)*СПРАВОЧНИК!$I$10+('ФАКТ ЧЕРН К2'!G16)*СПРАВОЧНИК!$J$10)+СПРАВОЧНИК!$E$11*(('ФАКТ ЧЕРН К2'!H16)*СПРАВОЧНИК!$H$11+('ФАКТ ЧЕРН К2'!I16)*СПРАВОЧНИК!$I$11+('ФАКТ ЧЕРН К2'!J16)*СПРАВОЧНИК!$J$11)+СПРАВОЧНИК!$E$12*(('ФАКТ ЧЕРН К2'!K16)*СПРАВОЧНИК!$H$12+('ФАКТ ЧЕРН К2'!L16)*СПРАВОЧНИК!$I$12+('ФАКТ ЧЕРН К2'!M16)*СПРАВОЧНИК!$J$12)+СПРАВОЧНИК!$E$13*(('ФАКТ ЧЕРН К2'!N16)*СПРАВОЧНИК!$H$13+('ФАКТ ЧЕРН К2'!O16)*СПРАВОЧНИК!$I$13+('ФАКТ ЧЕРН К2'!P16)*СПРАВОЧНИК!$J$13)+СПРАВОЧНИК!$E$14*(('ФАКТ ЧЕРН К2'!Q16)*СПРАВОЧНИК!$H$14+('ФАКТ ЧЕРН К2'!R16)*СПРАВОЧНИК!$I$14+('ФАКТ ЧЕРН К2'!S16)*СПРАВОЧНИК!$J$14)+СПРАВОЧНИК!$E$15*(('ФАКТ ЧЕРН К2'!T16)*СПРАВОЧНИК!$H$15+('ФАКТ ЧЕРН К2'!U16)*СПРАВОЧНИК!$I$15+('ФАКТ ЧЕРН К2'!V16)*СПРАВОЧНИК!$J$15)+СПРАВОЧНИК!$F$9*(('ФАКТ ЧИСТ К2'!B16)*СПРАВОЧНИК!$L$9+('ФАКТ ЧИСТ К2'!C16)*СПРАВОЧНИК!$M$9+('ФАКТ ЧИСТ К2'!D16)*СПРАВОЧНИК!$N$9+('ФАКТ ЧИСТ К2'!E16)*СПРАВОЧНИК!$O$9)+СПРАВОЧНИК!$F$10*(('ФАКТ ЧИСТ К2'!F16)*СПРАВОЧНИК!$L$10+('ФАКТ ЧИСТ К2'!G16)*СПРАВОЧНИК!$M$10+('ФАКТ ЧИСТ К2'!H16)*СПРАВОЧНИК!$N$10+('ФАКТ ЧИСТ К2'!I16)*СПРАВОЧНИК!$O$10)+СПРАВОЧНИК!$F$11*(('ФАКТ ЧИСТ К2'!J16)*СПРАВОЧНИК!$L$11+('ФАКТ ЧИСТ К2'!K16)*СПРАВОЧНИК!$M$11+('ФАКТ ЧИСТ К2'!L16)*СПРАВОЧНИК!$N$11)+СПРАВОЧНИК!$F$12*(('ФАКТ ЧИСТ К2'!M16)*СПРАВОЧНИК!$L$12+('ФАКТ ЧИСТ К2'!N16)*СПРАВОЧНИК!$M$12+('ФАКТ ЧИСТ К2'!O16)*СПРАВОЧНИК!$N$12+('ФАКТ ЧИСТ К2'!P16)*СПРАВОЧНИК!$O$12)+СПРАВОЧНИК!$F$13*(('ФАКТ ЧИСТ К2'!Q16)*СПРАВОЧНИК!$L$13+('ФАКТ ЧИСТ К2'!R16)*СПРАВОЧНИК!$M$13+('ФАКТ ЧИСТ К2'!S16)*СПРАВОЧНИК!$N$13+('ФАКТ ЧИСТ К2'!T16)*СПРАВОЧНИК!$O$13)+СПРАВОЧНИК!$F$14*(('ФАКТ ЧИСТ К2'!U16)*СПРАВОЧНИК!$L$14+('ФАКТ ЧИСТ К2'!V16)*СПРАВОЧНИК!$M$14+('ФАКТ ЧИСТ К2'!W16)*СПРАВОЧНИК!$N$14)+СПРАВОЧНИК!$F$15*(('ФАКТ ЧИСТ К2'!X16)*СПРАВОЧНИК!$L$15+('ФАКТ ЧИСТ К2'!Y16)*СПРАВОЧНИК!$M$15+('ФАКТ ЧИСТ К2'!Z16)*СПРАВОЧНИК!$N$15)</f>
        <v/>
      </c>
      <c r="AS25" s="18">
        <f>AS24+7</f>
        <v/>
      </c>
      <c r="AT25" s="37">
        <f>'ПЛАН ЧЕРН К2'!B16*СПРАВОЧНИК!$H$9+'ПЛАН ЧЕРН К2'!C16*СПРАВОЧНИК!$I$9+'ПЛАН ЧЕРН К2'!D16*СПРАВОЧНИК!$J$9+'ПЛАН ЧЕРН К2'!E16*СПРАВОЧНИК!$H$10+'ПЛАН ЧЕРН К2'!F16*СПРАВОЧНИК!$I$10+'ПЛАН ЧЕРН К2'!G16*СПРАВОЧНИК!$J$10+'ПЛАН ЧЕРН К2'!H16*СПРАВОЧНИК!$H$11+'ПЛАН ЧЕРН К2'!I16*СПРАВОЧНИК!$I$11+'ПЛАН ЧЕРН К2'!J16*СПРАВОЧНИК!$J$11+'ПЛАН ЧЕРН К2'!K16*СПРАВОЧНИК!$H$12+'ПЛАН ЧЕРН К2'!L16*СПРАВОЧНИК!$I$12+'ПЛАН ЧЕРН К2'!M16*СПРАВОЧНИК!$J$12+'ПЛАН ЧЕРН К2'!N16*СПРАВОЧНИК!$H$13+'ПЛАН ЧЕРН К2'!O16*СПРАВОЧНИК!$I$13+'ПЛАН ЧЕРН К2'!P16*СПРАВОЧНИК!$J$13+'ПЛАН ЧЕРН К2'!Q16*СПРАВОЧНИК!$H$14+'ПЛАН ЧЕРН К2'!R16*СПРАВОЧНИК!$I$14+'ПЛАН ЧЕРН К2'!S16*СПРАВОЧНИК!$J$14+'ПЛАН ЧЕРН К2'!T16*СПРАВОЧНИК!$H$15+'ПЛАН ЧЕРН К2'!U16*СПРАВОЧНИК!$I$15+'ПЛАН ЧЕРН К2'!V16*СПРАВОЧНИК!$J$15</f>
        <v/>
      </c>
      <c r="AU25" s="40">
        <f>('ФАКТ ЧЕРН К2'!B16)*СПРАВОЧНИК!$H$9+('ФАКТ ЧЕРН К2'!C16)*СПРАВОЧНИК!$I$9+('ФАКТ ЧЕРН К2'!D16)*СПРАВОЧНИК!$J$9+('ФАКТ ЧЕРН К2'!E16)*СПРАВОЧНИК!$H$10+('ФАКТ ЧЕРН К2'!F16)*СПРАВОЧНИК!$I$10+('ФАКТ ЧЕРН К2'!G16)*СПРАВОЧНИК!$J$10+('ФАКТ ЧЕРН К2'!H16)*СПРАВОЧНИК!$H$11+('ФАКТ ЧЕРН К2'!I16)*СПРАВОЧНИК!$I$11+('ФАКТ ЧЕРН К2'!J16)*СПРАВОЧНИК!$J$11+('ФАКТ ЧЕРН К2'!K16)*СПРАВОЧНИК!$H$12+('ФАКТ ЧЕРН К2'!L16)*СПРАВОЧНИК!$I$12+('ФАКТ ЧЕРН К2'!M16)*СПРАВОЧНИК!$J$12+('ФАКТ ЧЕРН К2'!N16)*СПРАВОЧНИК!$H$13+('ФАКТ ЧЕРН К2'!O16)*СПРАВОЧНИК!$I$13+('ФАКТ ЧЕРН К2'!P16)*СПРАВОЧНИК!$J$13+('ФАКТ ЧЕРН К2'!Q16)*СПРАВОЧНИК!$H$14+('ФАКТ ЧЕРН К2'!R16)*СПРАВОЧНИК!$I$14+('ФАКТ ЧЕРН К2'!S16)*СПРАВОЧНИК!$J$14+('ФАКТ ЧЕРН К2'!T16)*СПРАВОЧНИК!$H$15+('ФАКТ ЧЕРН К2'!U16)*СПРАВОЧНИК!$I$15+('ФАКТ ЧЕРН К2'!V16)*СПРАВОЧНИК!$J$15</f>
        <v/>
      </c>
      <c r="AY25" s="18">
        <f>AY24+7</f>
        <v/>
      </c>
      <c r="AZ25" s="37">
        <f>'ПЛАН ЧИСТ К2'!B16*СПРАВОЧНИК!$L$9+'ПЛАН ЧИСТ К2'!C16*СПРАВОЧНИК!$M$9+'ПЛАН ЧИСТ К2'!D16*СПРАВОЧНИК!$N$9+'ПЛАН ЧИСТ К2'!E16*СПРАВОЧНИК!$O$9+'ПЛАН ЧИСТ К2'!F16*СПРАВОЧНИК!$L$10+'ПЛАН ЧИСТ К2'!G16*СПРАВОЧНИК!$M$10+'ПЛАН ЧИСТ К2'!H16*СПРАВОЧНИК!$N$10+'ПЛАН ЧИСТ К2'!I16*СПРАВОЧНИК!$O$10+'ПЛАН ЧИСТ К2'!J16*СПРАВОЧНИК!$L$11+'ПЛАН ЧИСТ К2'!K16*СПРАВОЧНИК!$M$11+'ПЛАН ЧИСТ К2'!L16*СПРАВОЧНИК!$N$11+'ПЛАН ЧИСТ К2'!M16*СПРАВОЧНИК!$L$12+'ПЛАН ЧИСТ К2'!N16*СПРАВОЧНИК!$M$12+'ПЛАН ЧИСТ К2'!O16*СПРАВОЧНИК!$N$12+'ПЛАН ЧИСТ К2'!P16*СПРАВОЧНИК!$O$12+'ПЛАН ЧИСТ К2'!Q16*СПРАВОЧНИК!$L$13+'ПЛАН ЧИСТ К2'!R16*СПРАВОЧНИК!$M$13+'ПЛАН ЧИСТ К2'!S16*СПРАВОЧНИК!$N$13+'ПЛАН ЧИСТ К2'!T16*СПРАВОЧНИК!$O$13+'ПЛАН ЧИСТ К2'!U16*СПРАВОЧНИК!$L$14+'ПЛАН ЧИСТ К2'!V16*СПРАВОЧНИК!$M$14+'ПЛАН ЧИСТ К2'!W16*СПРАВОЧНИК!$N$14+'ПЛАН ЧИСТ К2'!X16*СПРАВОЧНИК!$L$15+'ПЛАН ЧИСТ К2'!Y16*СПРАВОЧНИК!$M$15+'ПЛАН ЧИСТ К2'!Z16*СПРАВОЧНИК!$N$15</f>
        <v/>
      </c>
      <c r="BA25" s="40">
        <f>('ФАКТ ЧИСТ К2'!B16)*СПРАВОЧНИК!$L$9+('ФАКТ ЧИСТ К2'!C16)*СПРАВОЧНИК!$M$9+('ФАКТ ЧИСТ К2'!D16)*СПРАВОЧНИК!$N$9+('ФАКТ ЧИСТ К2'!E16)*СПРАВОЧНИК!$O$9+('ФАКТ ЧИСТ К2'!F16)*СПРАВОЧНИК!$L$10+('ФАКТ ЧИСТ К2'!G16)*СПРАВОЧНИК!$M$10+('ФАКТ ЧИСТ К2'!H16)*СПРАВОЧНИК!$N$10+('ФАКТ ЧИСТ К2'!I16)*СПРАВОЧНИК!$O$10+('ФАКТ ЧИСТ К2'!J16)*СПРАВОЧНИК!$L$11+('ФАКТ ЧИСТ К2'!K16)*СПРАВОЧНИК!$M$11+('ФАКТ ЧИСТ К2'!L16)*СПРАВОЧНИК!$N$11+('ФАКТ ЧИСТ К2'!M16)*СПРАВОЧНИК!$L$12+('ФАКТ ЧИСТ К2'!N16)*СПРАВОЧНИК!$M$12+('ФАКТ ЧИСТ К2'!O16)*СПРАВОЧНИК!$N$12+('ФАКТ ЧИСТ К2'!P16)*СПРАВОЧНИК!$O$12+('ФАКТ ЧИСТ К2'!Q16)*СПРАВОЧНИК!$L$13+('ФАКТ ЧИСТ К2'!R16)*СПРАВОЧНИК!$M$13+('ФАКТ ЧИСТ К2'!S16)*СПРАВОЧНИК!$N$13+('ФАКТ ЧИСТ К2'!T16)*СПРАВОЧНИК!$O$13+('ФАКТ ЧИСТ К2'!U16)*СПРАВОЧНИК!$L$14+('ФАКТ ЧИСТ К2'!V16)*СПРАВОЧНИК!$M$14+('ФАКТ ЧИСТ К2'!W16)*СПРАВОЧНИК!$N$14+('ФАКТ ЧИСТ К2'!X16)*СПРАВОЧНИК!$L$15+('ФАКТ ЧИСТ К2'!Y16)*СПРАВОЧНИК!$M$15+('ФАКТ ЧИСТ К2'!Z16)*СПРАВОЧНИК!$N$15</f>
        <v/>
      </c>
      <c r="BE25" s="18">
        <f>BE24+7</f>
        <v/>
      </c>
      <c r="BF25" s="37">
        <f>СПРАВОЧНИК!$E$9*('ПЛАН ЧЕРН К3'!B16*СПРАВОЧНИК!$H$9+'ПЛАН ЧЕРН К3'!C16*СПРАВОЧНИК!$I$9+'ПЛАН ЧЕРН К3'!D16*СПРАВОЧНИК!$J$9)+СПРАВОЧНИК!$E$10*('ПЛАН ЧЕРН К3'!E16*СПРАВОЧНИК!$H$10+'ПЛАН ЧЕРН К3'!F16*СПРАВОЧНИК!$I$10+'ПЛАН ЧЕРН К3'!G16*СПРАВОЧНИК!$J$10)+СПРАВОЧНИК!$E$11*('ПЛАН ЧЕРН К3'!H16*СПРАВОЧНИК!$H$11+'ПЛАН ЧЕРН К3'!I16*СПРАВОЧНИК!$I$11+'ПЛАН ЧЕРН К3'!J16*СПРАВОЧНИК!$J$11)+СПРАВОЧНИК!$E$12*('ПЛАН ЧЕРН К3'!K16*СПРАВОЧНИК!$H$12+'ПЛАН ЧЕРН К3'!L16*СПРАВОЧНИК!$I$12+'ПЛАН ЧЕРН К3'!M16*СПРАВОЧНИК!$J$12)+СПРАВОЧНИК!$E$13*('ПЛАН ЧЕРН К3'!N16*СПРАВОЧНИК!$H$13+'ПЛАН ЧЕРН К3'!O16*СПРАВОЧНИК!$I$13+'ПЛАН ЧЕРН К3'!P16*СПРАВОЧНИК!$J$13)+СПРАВОЧНИК!$E$14*('ПЛАН ЧЕРН К3'!Q16*СПРАВОЧНИК!$H$14+'ПЛАН ЧЕРН К3'!R16*СПРАВОЧНИК!$I$14+'ПЛАН ЧЕРН К3'!S16*СПРАВОЧНИК!$J$14)+СПРАВОЧНИК!$E$15*('ПЛАН ЧЕРН К3'!T16*СПРАВОЧНИК!$H$15+'ПЛАН ЧЕРН К3'!U16*СПРАВОЧНИК!$I$15+'ПЛАН ЧЕРН К3'!V16*СПРАВОЧНИК!$J$15)+СПРАВОЧНИК!$F$9*('ПЛАН ЧИСТ К3'!B16*СПРАВОЧНИК!$L$9+'ПЛАН ЧИСТ К3'!C16*СПРАВОЧНИК!$M$9+'ПЛАН ЧИСТ К3'!D16*СПРАВОЧНИК!$N$9+'ПЛАН ЧИСТ К3'!E16*СПРАВОЧНИК!$O$9)+СПРАВОЧНИК!$F$10*('ПЛАН ЧИСТ К3'!F16*СПРАВОЧНИК!$L$10+'ПЛАН ЧИСТ К3'!G16*СПРАВОЧНИК!$M$10+'ПЛАН ЧИСТ К3'!H16*СПРАВОЧНИК!$N$10+'ПЛАН ЧИСТ К3'!I16*СПРАВОЧНИК!$O$10)+СПРАВОЧНИК!$F$11*('ПЛАН ЧИСТ К3'!J16*СПРАВОЧНИК!$L$11+'ПЛАН ЧИСТ К3'!K16*СПРАВОЧНИК!$M$11+'ПЛАН ЧИСТ К3'!L16*СПРАВОЧНИК!$N$11)+СПРАВОЧНИК!$F$12*('ПЛАН ЧИСТ К3'!M16*СПРАВОЧНИК!$L$12+'ПЛАН ЧИСТ К3'!N16*СПРАВОЧНИК!$M$12+'ПЛАН ЧИСТ К3'!O16*СПРАВОЧНИК!$N$12+'ПЛАН ЧИСТ К3'!P16*СПРАВОЧНИК!$O$12)+СПРАВОЧНИК!$F$13*('ПЛАН ЧИСТ К3'!Q16*СПРАВОЧНИК!$L$13+'ПЛАН ЧИСТ К3'!R16*СПРАВОЧНИК!$M$13+'ПЛАН ЧИСТ К3'!S16*СПРАВОЧНИК!$N$13+'ПЛАН ЧИСТ К3'!T16*СПРАВОЧНИК!$O$13)+СПРАВОЧНИК!$F$14*('ПЛАН ЧИСТ К3'!U16*СПРАВОЧНИК!$L$14+'ПЛАН ЧИСТ К3'!V16*СПРАВОЧНИК!$M$14+'ПЛАН ЧИСТ К3'!W16*СПРАВОЧНИК!$N$14)+СПРАВОЧНИК!$F$15*('ПЛАН ЧИСТ К3'!X16*СПРАВОЧНИК!$L$15+'ПЛАН ЧИСТ К3'!Y16*СПРАВОЧНИК!$M$15+'ПЛАН ЧИСТ К3'!Z16*СПРАВОЧНИК!$N$15)</f>
        <v/>
      </c>
      <c r="BG25" s="40">
        <f>СПРАВОЧНИК!$E$9*(('ФАКТ ЧЕРН К3'!B16)*СПРАВОЧНИК!$H$9+('ФАКТ ЧЕРН К3'!C16)*СПРАВОЧНИК!$I$9+('ФАКТ ЧЕРН К3'!D16)*СПРАВОЧНИК!$J$9)+СПРАВОЧНИК!$E$10*(('ФАКТ ЧЕРН К3'!E16)*СПРАВОЧНИК!$H$10+('ФАКТ ЧЕРН К3'!F16)*СПРАВОЧНИК!$I$10+('ФАКТ ЧЕРН К3'!G16)*СПРАВОЧНИК!$J$10)+СПРАВОЧНИК!$E$11*(('ФАКТ ЧЕРН К3'!H16)*СПРАВОЧНИК!$H$11+('ФАКТ ЧЕРН К3'!I16)*СПРАВОЧНИК!$I$11+('ФАКТ ЧЕРН К3'!J16)*СПРАВОЧНИК!$J$11)+СПРАВОЧНИК!$E$12*(('ФАКТ ЧЕРН К3'!K16)*СПРАВОЧНИК!$H$12+('ФАКТ ЧЕРН К3'!L16)*СПРАВОЧНИК!$I$12+('ФАКТ ЧЕРН К3'!M16)*СПРАВОЧНИК!$J$12)+СПРАВОЧНИК!$E$13*(('ФАКТ ЧЕРН К3'!N16)*СПРАВОЧНИК!$H$13+('ФАКТ ЧЕРН К3'!O16)*СПРАВОЧНИК!$I$13+('ФАКТ ЧЕРН К3'!P16)*СПРАВОЧНИК!$J$13)+СПРАВОЧНИК!$E$14*(('ФАКТ ЧЕРН К3'!Q16)*СПРАВОЧНИК!$H$14+('ФАКТ ЧЕРН К3'!R16)*СПРАВОЧНИК!$I$14+('ФАКТ ЧЕРН К3'!S16)*СПРАВОЧНИК!$J$14)+СПРАВОЧНИК!$E$15*(('ФАКТ ЧЕРН К3'!T16)*СПРАВОЧНИК!$H$15+('ФАКТ ЧЕРН К3'!U16)*СПРАВОЧНИК!$I$15+('ФАКТ ЧЕРН К3'!V16)*СПРАВОЧНИК!$J$15)+СПРАВОЧНИК!$F$9*(('ФАКТ ЧИСТ К3'!B16)*СПРАВОЧНИК!$L$9+('ФАКТ ЧИСТ К3'!C16)*СПРАВОЧНИК!$M$9+('ФАКТ ЧИСТ К3'!D16)*СПРАВОЧНИК!$N$9+('ФАКТ ЧИСТ К3'!E16)*СПРАВОЧНИК!$O$9)+СПРАВОЧНИК!$F$10*(('ФАКТ ЧИСТ К3'!F16)*СПРАВОЧНИК!$L$10+('ФАКТ ЧИСТ К3'!G16)*СПРАВОЧНИК!$M$10+('ФАКТ ЧИСТ К3'!H16)*СПРАВОЧНИК!$N$10+('ФАКТ ЧИСТ К3'!I16)*СПРАВОЧНИК!$O$10)+СПРАВОЧНИК!$F$11*(('ФАКТ ЧИСТ К3'!J16)*СПРАВОЧНИК!$L$11+('ФАКТ ЧИСТ К3'!K16)*СПРАВОЧНИК!$M$11+('ФАКТ ЧИСТ К3'!L16)*СПРАВОЧНИК!$N$11)+СПРАВОЧНИК!$F$12*(('ФАКТ ЧИСТ К3'!M16)*СПРАВОЧНИК!$L$12+('ФАКТ ЧИСТ К3'!N16)*СПРАВОЧНИК!$M$12+('ФАКТ ЧИСТ К3'!O16)*СПРАВОЧНИК!$N$12+('ФАКТ ЧИСТ К3'!P16)*СПРАВОЧНИК!$O$12)+СПРАВОЧНИК!$F$13*(('ФАКТ ЧИСТ К3'!Q16)*СПРАВОЧНИК!$L$13+('ФАКТ ЧИСТ К3'!R16)*СПРАВОЧНИК!$M$13+('ФАКТ ЧИСТ К3'!S16)*СПРАВОЧНИК!$N$13+('ФАКТ ЧИСТ К3'!T16)*СПРАВОЧНИК!$O$13)+СПРАВОЧНИК!$F$14*(('ФАКТ ЧИСТ К3'!U16)*СПРАВОЧНИК!$L$14+('ФАКТ ЧИСТ К3'!V16)*СПРАВОЧНИК!$M$14+('ФАКТ ЧИСТ К3'!W16)*СПРАВОЧНИК!$N$14)+СПРАВОЧНИК!$F$15*(('ФАКТ ЧИСТ К3'!X16)*СПРАВОЧНИК!$L$15+('ФАКТ ЧИСТ К3'!Y16)*СПРАВОЧНИК!$M$15+('ФАКТ ЧИСТ К3'!Z16)*СПРАВОЧНИК!$N$15)</f>
        <v/>
      </c>
      <c r="BK25" s="18">
        <f>BK24+7</f>
        <v/>
      </c>
      <c r="BL25" s="37">
        <f>'ПЛАН ЧЕРН К3'!B16*СПРАВОЧНИК!$H$9+'ПЛАН ЧЕРН К3'!C16*СПРАВОЧНИК!$I$9+'ПЛАН ЧЕРН К3'!D16*СПРАВОЧНИК!$J$9+'ПЛАН ЧЕРН К3'!E16*СПРАВОЧНИК!$H$10+'ПЛАН ЧЕРН К3'!F16*СПРАВОЧНИК!$I$10+'ПЛАН ЧЕРН К3'!G16*СПРАВОЧНИК!$J$10+'ПЛАН ЧЕРН К3'!H16*СПРАВОЧНИК!$H$11+'ПЛАН ЧЕРН К3'!I16*СПРАВОЧНИК!$I$11+'ПЛАН ЧЕРН К3'!J16*СПРАВОЧНИК!$J$11+'ПЛАН ЧЕРН К3'!K16*СПРАВОЧНИК!$H$12+'ПЛАН ЧЕРН К3'!L16*СПРАВОЧНИК!$I$12+'ПЛАН ЧЕРН К3'!M16*СПРАВОЧНИК!$J$12+'ПЛАН ЧЕРН К3'!N16*СПРАВОЧНИК!$H$13+'ПЛАН ЧЕРН К3'!O16*СПРАВОЧНИК!$I$13+'ПЛАН ЧЕРН К3'!P16*СПРАВОЧНИК!$J$13+'ПЛАН ЧЕРН К3'!Q16*СПРАВОЧНИК!$H$14+'ПЛАН ЧЕРН К3'!R16*СПРАВОЧНИК!$I$14+'ПЛАН ЧЕРН К3'!S16*СПРАВОЧНИК!$J$14+'ПЛАН ЧЕРН К3'!T16*СПРАВОЧНИК!$H$15+'ПЛАН ЧЕРН К3'!U16*СПРАВОЧНИК!$I$15+'ПЛАН ЧЕРН К3'!V16*СПРАВОЧНИК!$J$15</f>
        <v/>
      </c>
      <c r="BM25" s="40">
        <f>('ФАКТ ЧЕРН К3'!B16)*СПРАВОЧНИК!$H$9+('ФАКТ ЧЕРН К3'!C16)*СПРАВОЧНИК!$I$9+('ФАКТ ЧЕРН К3'!D16)*СПРАВОЧНИК!$J$9+('ФАКТ ЧЕРН К3'!E16)*СПРАВОЧНИК!$H$10+('ФАКТ ЧЕРН К3'!F16)*СПРАВОЧНИК!$I$10+('ФАКТ ЧЕРН К3'!G16)*СПРАВОЧНИК!$J$10+('ФАКТ ЧЕРН К3'!H16)*СПРАВОЧНИК!$H$11+('ФАКТ ЧЕРН К3'!I16)*СПРАВОЧНИК!$I$11+('ФАКТ ЧЕРН К3'!J16)*СПРАВОЧНИК!$J$11+('ФАКТ ЧЕРН К3'!K16)*СПРАВОЧНИК!$H$12+('ФАКТ ЧЕРН К3'!L16)*СПРАВОЧНИК!$I$12+('ФАКТ ЧЕРН К3'!M16)*СПРАВОЧНИК!$J$12+('ФАКТ ЧЕРН К3'!N16)*СПРАВОЧНИК!$H$13+('ФАКТ ЧЕРН К3'!O16)*СПРАВОЧНИК!$I$13+('ФАКТ ЧЕРН К3'!P16)*СПРАВОЧНИК!$J$13+('ФАКТ ЧЕРН К3'!Q16)*СПРАВОЧНИК!$H$14+('ФАКТ ЧЕРН К3'!R16)*СПРАВОЧНИК!$I$14+('ФАКТ ЧЕРН К3'!S16)*СПРАВОЧНИК!$J$14+('ФАКТ ЧЕРН К3'!T16)*СПРАВОЧНИК!$H$15+('ФАКТ ЧЕРН К3'!U16)*СПРАВОЧНИК!$I$15+('ФАКТ ЧЕРН К3'!V16)*СПРАВОЧНИК!$J$15</f>
        <v/>
      </c>
      <c r="BQ25" s="18">
        <f>BQ24+7</f>
        <v/>
      </c>
      <c r="BR25" s="37">
        <f>'ПЛАН ЧИСТ К3'!B16*СПРАВОЧНИК!$L$9+'ПЛАН ЧИСТ К3'!C16*СПРАВОЧНИК!$M$9+'ПЛАН ЧИСТ К3'!D16*СПРАВОЧНИК!$N$9+'ПЛАН ЧИСТ К3'!E16*СПРАВОЧНИК!$O$9+'ПЛАН ЧИСТ К3'!F16*СПРАВОЧНИК!$L$10+'ПЛАН ЧИСТ К3'!G16*СПРАВОЧНИК!$M$10+'ПЛАН ЧИСТ К3'!H16*СПРАВОЧНИК!$N$10+'ПЛАН ЧИСТ К3'!I16*СПРАВОЧНИК!$O$10+'ПЛАН ЧИСТ К3'!J16*СПРАВОЧНИК!$L$11+'ПЛАН ЧИСТ К3'!K16*СПРАВОЧНИК!$M$11+'ПЛАН ЧИСТ К3'!L16*СПРАВОЧНИК!$N$11+'ПЛАН ЧИСТ К3'!M16*СПРАВОЧНИК!$L$12+'ПЛАН ЧИСТ К3'!N16*СПРАВОЧНИК!$M$12+'ПЛАН ЧИСТ К3'!O16*СПРАВОЧНИК!$N$12+'ПЛАН ЧИСТ К3'!P16*СПРАВОЧНИК!$O$12+'ПЛАН ЧИСТ К3'!Q16*СПРАВОЧНИК!$L$13+'ПЛАН ЧИСТ К3'!R16*СПРАВОЧНИК!$M$13+'ПЛАН ЧИСТ К3'!S16*СПРАВОЧНИК!$N$13+'ПЛАН ЧИСТ К3'!T16*СПРАВОЧНИК!$O$13+'ПЛАН ЧИСТ К3'!U16*СПРАВОЧНИК!$L$14+'ПЛАН ЧИСТ К3'!V16*СПРАВОЧНИК!$M$14+'ПЛАН ЧИСТ К3'!W16*СПРАВОЧНИК!$N$14+'ПЛАН ЧИСТ К3'!X16*СПРАВОЧНИК!$L$15+'ПЛАН ЧИСТ К3'!Y16*СПРАВОЧНИК!$M$15+'ПЛАН ЧИСТ К3'!Z16*СПРАВОЧНИК!$N$15</f>
        <v/>
      </c>
      <c r="BS25" s="40">
        <f>('ФАКТ ЧИСТ К3'!B16)*СПРАВОЧНИК!$L$9+('ФАКТ ЧИСТ К3'!C16)*СПРАВОЧНИК!$M$9+('ФАКТ ЧИСТ К3'!D16)*СПРАВОЧНИК!$N$9+('ФАКТ ЧИСТ К3'!E16)*СПРАВОЧНИК!$O$9+('ФАКТ ЧИСТ К3'!F16)*СПРАВОЧНИК!$L$10+('ФАКТ ЧИСТ К3'!G16)*СПРАВОЧНИК!$M$10+('ФАКТ ЧИСТ К3'!H16)*СПРАВОЧНИК!$N$10+('ФАКТ ЧИСТ К3'!I16)*СПРАВОЧНИК!$O$10+('ФАКТ ЧИСТ К3'!J16)*СПРАВОЧНИК!$L$11+('ФАКТ ЧИСТ К3'!K16)*СПРАВОЧНИК!$M$11+('ФАКТ ЧИСТ К3'!L16)*СПРАВОЧНИК!$N$11+('ФАКТ ЧИСТ К3'!M16)*СПРАВОЧНИК!$L$12+('ФАКТ ЧИСТ К3'!N16)*СПРАВОЧНИК!$M$12+('ФАКТ ЧИСТ К3'!O16)*СПРАВОЧНИК!$N$12+('ФАКТ ЧИСТ К3'!P16)*СПРАВОЧНИК!$O$12+('ФАКТ ЧИСТ К3'!Q16)*СПРАВОЧНИК!$L$13+('ФАКТ ЧИСТ К3'!R16)*СПРАВОЧНИК!$M$13+('ФАКТ ЧИСТ К3'!S16)*СПРАВОЧНИК!$N$13+('ФАКТ ЧИСТ К3'!T16)*СПРАВОЧНИК!$O$13+('ФАКТ ЧИСТ К3'!U16)*СПРАВОЧНИК!$L$14+('ФАКТ ЧИСТ К3'!V16)*СПРАВОЧНИК!$M$14+('ФАКТ ЧИСТ К3'!W16)*СПРАВОЧНИК!$N$14+('ФАКТ ЧИСТ К3'!X16)*СПРАВОЧНИК!$L$15+('ФАКТ ЧИСТ К3'!Y16)*СПРАВОЧНИК!$M$15+('ФАКТ ЧИСТ К3'!Z16)*СПРАВОЧНИК!$N$15</f>
        <v/>
      </c>
      <c r="BW25" s="18">
        <f>BW24+7</f>
        <v/>
      </c>
      <c r="BX25" s="37">
        <f>V25+AN25+BF25</f>
        <v/>
      </c>
      <c r="BY25" s="40">
        <f>W25+AO25+BG25</f>
        <v/>
      </c>
      <c r="CC25" s="18">
        <f>CC24+7</f>
        <v/>
      </c>
      <c r="CD25" s="37">
        <f>AB25+AT25+BL25</f>
        <v/>
      </c>
      <c r="CE25" s="40">
        <f>AC25+AU25+BM25</f>
        <v/>
      </c>
      <c r="CI25" s="18">
        <f>CI24+7</f>
        <v/>
      </c>
      <c r="CJ25" s="37">
        <f>AH25+AZ25+BR25</f>
        <v/>
      </c>
      <c r="CK25" s="40">
        <f>AI25+BA25+BS25</f>
        <v/>
      </c>
      <c r="CO25" s="18">
        <f>CO24+7</f>
        <v/>
      </c>
      <c r="CP25" s="37">
        <f>D25+BX25</f>
        <v/>
      </c>
      <c r="CQ25" s="40">
        <f>E25+BY25</f>
        <v/>
      </c>
      <c r="CU25" s="18">
        <f>CU24+7</f>
        <v/>
      </c>
      <c r="CV25" s="37">
        <f>J25+CD25</f>
        <v/>
      </c>
      <c r="CW25" s="40">
        <f>K25+CE25</f>
        <v/>
      </c>
      <c r="DA25" s="18">
        <f>DA24+7</f>
        <v/>
      </c>
      <c r="DB25" s="37">
        <f>P25+CJ25</f>
        <v/>
      </c>
      <c r="DC25" s="40">
        <f>Q25+CK25</f>
        <v/>
      </c>
    </row>
    <row r="26">
      <c r="C26" s="18">
        <f>C25+7</f>
        <v/>
      </c>
      <c r="D26" s="37">
        <f>СПРАВОЧНИК!$E$3*('ПЛАН ЧЕРН ПОДЗЕМ'!B17*СПРАВОЧНИК!$H$3+'ПЛАН ЧЕРН ПОДЗЕМ'!C17*СПРАВОЧНИК!$I$3+'ПЛАН ЧЕРН ПОДЗЕМ'!D17*СПРАВОЧНИК!$J$3)+СПРАВОЧНИК!$E$4*('ПЛАН ЧЕРН ПОДЗЕМ'!E17*СПРАВОЧНИК!$H$4+'ПЛАН ЧЕРН ПОДЗЕМ'!F17*СПРАВОЧНИК!$I$4+'ПЛАН ЧЕРН ПОДЗЕМ'!G17*СПРАВОЧНИК!$J$4)+СПРАВОЧНИК!$E$5*('ПЛАН ЧЕРН ПОДЗЕМ'!H17*СПРАВОЧНИК!$H$5+'ПЛАН ЧЕРН ПОДЗЕМ'!I17*СПРАВОЧНИК!$I$5+'ПЛАН ЧЕРН ПОДЗЕМ'!J17*СПРАВОЧНИК!$J$5)+СПРАВОЧНИК!$E$6*('ПЛАН ЧЕРН ПОДЗЕМ'!K17*СПРАВОЧНИК!$H$6+'ПЛАН ЧЕРН ПОДЗЕМ'!L17*СПРАВОЧНИК!$I$6+'ПЛАН ЧЕРН ПОДЗЕМ'!M17*СПРАВОЧНИК!$J$6)+СПРАВОЧНИК!$E$7*('ПЛАН ЧЕРН ПОДЗЕМ'!N17*СПРАВОЧНИК!$H$7+'ПЛАН ЧЕРН ПОДЗЕМ'!O17*СПРАВОЧНИК!$I$7+'ПЛАН ЧЕРН ПОДЗЕМ'!P17*СПРАВОЧНИК!$J$7)+СПРАВОЧНИК!$E$8*('ПЛАН ЧЕРН ПОДЗЕМ'!Q17*СПРАВОЧНИК!$H$8+'ПЛАН ЧЕРН ПОДЗЕМ'!R17*СПРАВОЧНИК!$I$8+'ПЛАН ЧЕРН ПОДЗЕМ'!S17*СПРАВОЧНИК!$J$8)+СПРАВОЧНИК!$F$3*('ПЛАН ЧИСТ ПОДЗЕМ'!B17*СПРАВОЧНИК!$L$3+'ПЛАН ЧИСТ ПОДЗЕМ'!C17*СПРАВОЧНИК!$M$3+'ПЛАН ЧИСТ ПОДЗЕМ'!D17*СПРАВОЧНИК!$N$3+'ПЛАН ЧИСТ ПОДЗЕМ'!E17*СПРАВОЧНИК!$O$3)+СПРАВОЧНИК!$F$4*('ПЛАН ЧИСТ ПОДЗЕМ'!F17*СПРАВОЧНИК!$L$4+'ПЛАН ЧИСТ ПОДЗЕМ'!G17*СПРАВОЧНИК!$M$4+'ПЛАН ЧИСТ ПОДЗЕМ'!H17*СПРАВОЧНИК!$N$4+'ПЛАН ЧИСТ ПОДЗЕМ'!I17*СПРАВОЧНИК!$O$4)+СПРАВОЧНИК!$F$5*('ПЛАН ЧИСТ ПОДЗЕМ'!J17*СПРАВОЧНИК!$L$5+'ПЛАН ЧИСТ ПОДЗЕМ'!K17*СПРАВОЧНИК!$M$5+'ПЛАН ЧИСТ ПОДЗЕМ'!L17*СПРАВОЧНИК!$N$5)+СПРАВОЧНИК!$F$6*('ПЛАН ЧИСТ ПОДЗЕМ'!M17*СПРАВОЧНИК!$L$6+'ПЛАН ЧИСТ ПОДЗЕМ'!N17*СПРАВОЧНИК!$M$6+'ПЛАН ЧИСТ ПОДЗЕМ'!O17*СПРАВОЧНИК!$N$6+'ПЛАН ЧИСТ ПОДЗЕМ'!P17*СПРАВОЧНИК!$O$6)+СПРАВОЧНИК!$F$7*('ПЛАН ЧИСТ ПОДЗЕМ'!Q17*СПРАВОЧНИК!$L$7+'ПЛАН ЧИСТ ПОДЗЕМ'!R17*СПРАВОЧНИК!$M$7+'ПЛАН ЧИСТ ПОДЗЕМ'!S17*СПРАВОЧНИК!$N$7+'ПЛАН ЧИСТ ПОДЗЕМ'!T17*СПРАВОЧНИК!$O$7)+СПРАВОЧНИК!$F$8*('ПЛАН ЧИСТ ПОДЗЕМ'!U17*СПРАВОЧНИК!$L$8+'ПЛАН ЧИСТ ПОДЗЕМ'!V17*СПРАВОЧНИК!$M$8+'ПЛАН ЧИСТ ПОДЗЕМ'!W17*СПРАВОЧНИК!$N$8)</f>
        <v/>
      </c>
      <c r="E26" s="40">
        <f>СПРАВОЧНИК!$E$3*(('ФАКТ ЧЕРН ПОДЗЕМ'!B17)*СПРАВОЧНИК!$H$3+('ФАКТ ЧЕРН ПОДЗЕМ'!C17)*СПРАВОЧНИК!$I$3+('ФАКТ ЧЕРН ПОДЗЕМ'!D17)*СПРАВОЧНИК!$J$3)+СПРАВОЧНИК!$E$4*(('ФАКТ ЧЕРН ПОДЗЕМ'!E17)*СПРАВОЧНИК!$H$4+('ФАКТ ЧЕРН ПОДЗЕМ'!F17)*СПРАВОЧНИК!$I$4+('ФАКТ ЧЕРН ПОДЗЕМ'!G17)*СПРАВОЧНИК!$J$4)+СПРАВОЧНИК!$E$5*(('ФАКТ ЧЕРН ПОДЗЕМ'!H17)*СПРАВОЧНИК!$H$5+('ФАКТ ЧЕРН ПОДЗЕМ'!I17)*СПРАВОЧНИК!$I$5+('ФАКТ ЧЕРН ПОДЗЕМ'!J17)*СПРАВОЧНИК!$J$5)+СПРАВОЧНИК!$E$6*(('ФАКТ ЧЕРН ПОДЗЕМ'!K17)*СПРАВОЧНИК!$H$6+('ФАКТ ЧЕРН ПОДЗЕМ'!L17)*СПРАВОЧНИК!$I$6+('ФАКТ ЧЕРН ПОДЗЕМ'!M17)*СПРАВОЧНИК!$J$6)+СПРАВОЧНИК!$E$7*(('ФАКТ ЧЕРН ПОДЗЕМ'!N17)*СПРАВОЧНИК!$H$7+('ФАКТ ЧЕРН ПОДЗЕМ'!O17)*СПРАВОЧНИК!$I$7+('ФАКТ ЧЕРН ПОДЗЕМ'!P17)*СПРАВОЧНИК!$J$7)+СПРАВОЧНИК!$E$8*(('ФАКТ ЧЕРН ПОДЗЕМ'!Q17)*СПРАВОЧНИК!$H$8+('ФАКТ ЧЕРН ПОДЗЕМ'!R17)*СПРАВОЧНИК!$I$8+('ФАКТ ЧЕРН ПОДЗЕМ'!S17)*СПРАВОЧНИК!$J$8)+СПРАВОЧНИК!$F$3*(('ФАКТ ЧИСТ ПОДЗЕМ'!B17)*СПРАВОЧНИК!$L$3+('ФАКТ ЧИСТ ПОДЗЕМ'!C17)*СПРАВОЧНИК!$M$3+('ФАКТ ЧИСТ ПОДЗЕМ'!D17)*СПРАВОЧНИК!$N$3+('ФАКТ ЧИСТ ПОДЗЕМ'!E17)*СПРАВОЧНИК!$O$3)+СПРАВОЧНИК!$F$4*(('ФАКТ ЧИСТ ПОДЗЕМ'!F17)*СПРАВОЧНИК!$L$4+('ФАКТ ЧИСТ ПОДЗЕМ'!G17)*СПРАВОЧНИК!$M$4+('ФАКТ ЧИСТ ПОДЗЕМ'!H17)*СПРАВОЧНИК!$N$4+('ФАКТ ЧИСТ ПОДЗЕМ'!I17)*СПРАВОЧНИК!$O$4)+СПРАВОЧНИК!$F$5*(('ФАКТ ЧИСТ ПОДЗЕМ'!J17)*СПРАВОЧНИК!$L$5+('ФАКТ ЧИСТ ПОДЗЕМ'!K17)*СПРАВОЧНИК!$M$5+('ФАКТ ЧИСТ ПОДЗЕМ'!L17)*СПРАВОЧНИК!$N$5)+СПРАВОЧНИК!$F$6*(('ФАКТ ЧИСТ ПОДЗЕМ'!M17)*СПРАВОЧНИК!$L$6+('ФАКТ ЧИСТ ПОДЗЕМ'!N17)*СПРАВОЧНИК!$M$6+('ФАКТ ЧИСТ ПОДЗЕМ'!O17)*СПРАВОЧНИК!$N$6+('ФАКТ ЧИСТ ПОДЗЕМ'!P17)*СПРАВОЧНИК!$O$6)+СПРАВОЧНИК!$F$7*(('ФАКТ ЧИСТ ПОДЗЕМ'!Q17)*СПРАВОЧНИК!$L$7+('ФАКТ ЧИСТ ПОДЗЕМ'!R17)*СПРАВОЧНИК!$M$7+('ФАКТ ЧИСТ ПОДЗЕМ'!S17)*СПРАВОЧНИК!$N$7+('ФАКТ ЧИСТ ПОДЗЕМ'!T17)*СПРАВОЧНИК!$O$7)+СПРАВОЧНИК!$F$8*(('ФАКТ ЧИСТ ПОДЗЕМ'!U17)*СПРАВОЧНИК!$L$8+('ФАКТ ЧИСТ ПОДЗЕМ'!V17)*СПРАВОЧНИК!$M$8+('ФАКТ ЧИСТ ПОДЗЕМ'!W17)*СПРАВОЧНИК!$N$8)</f>
        <v/>
      </c>
      <c r="I26" s="18">
        <f>I25+7</f>
        <v/>
      </c>
      <c r="J26" s="37">
        <f>'ПЛАН ЧЕРН ПОДЗЕМ'!B17*СПРАВОЧНИК!$H$3+'ПЛАН ЧЕРН ПОДЗЕМ'!C17*СПРАВОЧНИК!$I$3+'ПЛАН ЧЕРН ПОДЗЕМ'!D17*СПРАВОЧНИК!$J$3+'ПЛАН ЧЕРН ПОДЗЕМ'!E17*СПРАВОЧНИК!$H$4+'ПЛАН ЧЕРН ПОДЗЕМ'!F17*СПРАВОЧНИК!$I$4+'ПЛАН ЧЕРН ПОДЗЕМ'!G17*СПРАВОЧНИК!$J$4+'ПЛАН ЧЕРН ПОДЗЕМ'!H17*СПРАВОЧНИК!$H$5+'ПЛАН ЧЕРН ПОДЗЕМ'!I17*СПРАВОЧНИК!$I$5+'ПЛАН ЧЕРН ПОДЗЕМ'!J17*СПРАВОЧНИК!$J$5+'ПЛАН ЧЕРН ПОДЗЕМ'!K17*СПРАВОЧНИК!$H$6+'ПЛАН ЧЕРН ПОДЗЕМ'!L17*СПРАВОЧНИК!$I$6+'ПЛАН ЧЕРН ПОДЗЕМ'!M17*СПРАВОЧНИК!$J$6+'ПЛАН ЧЕРН ПОДЗЕМ'!N17*СПРАВОЧНИК!$H$7+'ПЛАН ЧЕРН ПОДЗЕМ'!O17*СПРАВОЧНИК!$I$7+'ПЛАН ЧЕРН ПОДЗЕМ'!P17*СПРАВОЧНИК!$J$7+'ПЛАН ЧЕРН ПОДЗЕМ'!Q17*СПРАВОЧНИК!$H$8+'ПЛАН ЧЕРН ПОДЗЕМ'!R17*СПРАВОЧНИК!$I$8+'ПЛАН ЧЕРН ПОДЗЕМ'!S17*СПРАВОЧНИК!$J$8</f>
        <v/>
      </c>
      <c r="K26" s="40">
        <f>('ФАКТ ЧЕРН ПОДЗЕМ'!B17)*СПРАВОЧНИК!$H$3+('ФАКТ ЧЕРН ПОДЗЕМ'!C17)*СПРАВОЧНИК!$I$3+('ФАКТ ЧЕРН ПОДЗЕМ'!D17)*СПРАВОЧНИК!$J$3+('ФАКТ ЧЕРН ПОДЗЕМ'!E17)*СПРАВОЧНИК!$H$4+('ФАКТ ЧЕРН ПОДЗЕМ'!F17)*СПРАВОЧНИК!$I$4+('ФАКТ ЧЕРН ПОДЗЕМ'!G17)*СПРАВОЧНИК!$J$4+('ФАКТ ЧЕРН ПОДЗЕМ'!H17)*СПРАВОЧНИК!$H$5+('ФАКТ ЧЕРН ПОДЗЕМ'!I17)*СПРАВОЧНИК!$I$5+('ФАКТ ЧЕРН ПОДЗЕМ'!J17)*СПРАВОЧНИК!$J$5+('ФАКТ ЧЕРН ПОДЗЕМ'!K17)*СПРАВОЧНИК!$H$6+('ФАКТ ЧЕРН ПОДЗЕМ'!L17)*СПРАВОЧНИК!$I$6+('ФАКТ ЧЕРН ПОДЗЕМ'!M17)*СПРАВОЧНИК!$J$6+('ФАКТ ЧЕРН ПОДЗЕМ'!N17)*СПРАВОЧНИК!$H$7+('ФАКТ ЧЕРН ПОДЗЕМ'!O17)*СПРАВОЧНИК!$I$7+('ФАКТ ЧЕРН ПОДЗЕМ'!P17)*СПРАВОЧНИК!$J$7+('ФАКТ ЧЕРН ПОДЗЕМ'!Q17)*СПРАВОЧНИК!$H$8+('ФАКТ ЧЕРН ПОДЗЕМ'!R17)*СПРАВОЧНИК!$I$8+('ФАКТ ЧЕРН ПОДЗЕМ'!S17)*СПРАВОЧНИК!$J$8</f>
        <v/>
      </c>
      <c r="O26" s="18">
        <f>O25+7</f>
        <v/>
      </c>
      <c r="P26" s="37">
        <f>'ПЛАН ЧИСТ ПОДЗЕМ'!B17*СПРАВОЧНИК!$L$3+'ПЛАН ЧИСТ ПОДЗЕМ'!C17*СПРАВОЧНИК!$M$3+'ПЛАН ЧИСТ ПОДЗЕМ'!D17*СПРАВОЧНИК!$N$3+'ПЛАН ЧИСТ ПОДЗЕМ'!E17*СПРАВОЧНИК!$O$3+'ПЛАН ЧИСТ ПОДЗЕМ'!F17*СПРАВОЧНИК!$L$4+'ПЛАН ЧИСТ ПОДЗЕМ'!G17*СПРАВОЧНИК!$M$4+'ПЛАН ЧИСТ ПОДЗЕМ'!H17*СПРАВОЧНИК!$N$4+'ПЛАН ЧИСТ ПОДЗЕМ'!I17*СПРАВОЧНИК!$O$4+'ПЛАН ЧИСТ ПОДЗЕМ'!J17*СПРАВОЧНИК!$L$5+'ПЛАН ЧИСТ ПОДЗЕМ'!K17*СПРАВОЧНИК!$M$5+'ПЛАН ЧИСТ ПОДЗЕМ'!L17*СПРАВОЧНИК!$N$5+'ПЛАН ЧИСТ ПОДЗЕМ'!M17*СПРАВОЧНИК!$L$6+'ПЛАН ЧИСТ ПОДЗЕМ'!N17*СПРАВОЧНИК!$M$6+'ПЛАН ЧИСТ ПОДЗЕМ'!O17*СПРАВОЧНИК!$N$6+'ПЛАН ЧИСТ ПОДЗЕМ'!P17*СПРАВОЧНИК!$O$6+'ПЛАН ЧИСТ ПОДЗЕМ'!Q17*СПРАВОЧНИК!$L$7+'ПЛАН ЧИСТ ПОДЗЕМ'!R17*СПРАВОЧНИК!$M$7+'ПЛАН ЧИСТ ПОДЗЕМ'!S17*СПРАВОЧНИК!$N$7+'ПЛАН ЧИСТ ПОДЗЕМ'!T17*СПРАВОЧНИК!$O$7+'ПЛАН ЧИСТ ПОДЗЕМ'!U17*СПРАВОЧНИК!$L$8+'ПЛАН ЧИСТ ПОДЗЕМ'!V17*СПРАВОЧНИК!$M$8+'ПЛАН ЧИСТ ПОДЗЕМ'!W17*СПРАВОЧНИК!$N$8</f>
        <v/>
      </c>
      <c r="Q26" s="40">
        <f>('ФАКТ ЧИСТ ПОДЗЕМ'!B17)*СПРАВОЧНИК!$L$3+('ФАКТ ЧИСТ ПОДЗЕМ'!C17)*СПРАВОЧНИК!$M$3+('ФАКТ ЧИСТ ПОДЗЕМ'!D17)*СПРАВОЧНИК!$N$3+('ФАКТ ЧИСТ ПОДЗЕМ'!E17)*СПРАВОЧНИК!$O$3+('ФАКТ ЧИСТ ПОДЗЕМ'!F17)*СПРАВОЧНИК!$L$4+('ФАКТ ЧИСТ ПОДЗЕМ'!G17)*СПРАВОЧНИК!$M$4+('ФАКТ ЧИСТ ПОДЗЕМ'!H17)*СПРАВОЧНИК!$N$4+('ФАКТ ЧИСТ ПОДЗЕМ'!I17)*СПРАВОЧНИК!$O$4+('ФАКТ ЧИСТ ПОДЗЕМ'!J17)*СПРАВОЧНИК!$L$5+('ФАКТ ЧИСТ ПОДЗЕМ'!K17)*СПРАВОЧНИК!$M$5+('ФАКТ ЧИСТ ПОДЗЕМ'!L17)*СПРАВОЧНИК!$N$5+('ФАКТ ЧИСТ ПОДЗЕМ'!M17)*СПРАВОЧНИК!$L$6+('ФАКТ ЧИСТ ПОДЗЕМ'!N17)*СПРАВОЧНИК!$M$6+('ФАКТ ЧИСТ ПОДЗЕМ'!O17)*СПРАВОЧНИК!$N$6+('ФАКТ ЧИСТ ПОДЗЕМ'!P17)*СПРАВОЧНИК!$O$6+('ФАКТ ЧИСТ ПОДЗЕМ'!Q17)*СПРАВОЧНИК!$L$7+('ФАКТ ЧИСТ ПОДЗЕМ'!R17)*СПРАВОЧНИК!$M$7+('ФАКТ ЧИСТ ПОДЗЕМ'!S17)*СПРАВОЧНИК!$N$7+('ФАКТ ЧИСТ ПОДЗЕМ'!T17)*СПРАВОЧНИК!$O$7+('ФАКТ ЧИСТ ПОДЗЕМ'!U17)*СПРАВОЧНИК!$L$8+('ФАКТ ЧИСТ ПОДЗЕМ'!V17)*СПРАВОЧНИК!$M$8+('ФАКТ ЧИСТ ПОДЗЕМ'!W17)*СПРАВОЧНИК!$N$8</f>
        <v/>
      </c>
      <c r="U26" s="18">
        <f>U25+7</f>
        <v/>
      </c>
      <c r="V26" s="37">
        <f>СПРАВОЧНИК!$E$9*('ПЛАН ЧЕРН К1'!B17*СПРАВОЧНИК!$H$9+'ПЛАН ЧЕРН К1'!C17*СПРАВОЧНИК!$I$9+'ПЛАН ЧЕРН К1'!D17*СПРАВОЧНИК!$J$9)+СПРАВОЧНИК!$E$10*('ПЛАН ЧЕРН К1'!E17*СПРАВОЧНИК!$H$10+'ПЛАН ЧЕРН К1'!F17*СПРАВОЧНИК!$I$10+'ПЛАН ЧЕРН К1'!G17*СПРАВОЧНИК!$J$10)+СПРАВОЧНИК!$E$11*('ПЛАН ЧЕРН К1'!H17*СПРАВОЧНИК!$H$11+'ПЛАН ЧЕРН К1'!I17*СПРАВОЧНИК!$I$11+'ПЛАН ЧЕРН К1'!J17*СПРАВОЧНИК!$J$11)+СПРАВОЧНИК!$E$12*('ПЛАН ЧЕРН К1'!K17*СПРАВОЧНИК!$H$12+'ПЛАН ЧЕРН К1'!L17*СПРАВОЧНИК!$I$12+'ПЛАН ЧЕРН К1'!M17*СПРАВОЧНИК!$J$12)+СПРАВОЧНИК!$E$13*('ПЛАН ЧЕРН К1'!N17*СПРАВОЧНИК!$H$13+'ПЛАН ЧЕРН К1'!O17*СПРАВОЧНИК!$I$13+'ПЛАН ЧЕРН К1'!P17*СПРАВОЧНИК!$J$13)+СПРАВОЧНИК!$E$14*('ПЛАН ЧЕРН К1'!Q17*СПРАВОЧНИК!$H$14+'ПЛАН ЧЕРН К1'!R17*СПРАВОЧНИК!$I$14+'ПЛАН ЧЕРН К1'!S17*СПРАВОЧНИК!$J$14)+СПРАВОЧНИК!$E$15*('ПЛАН ЧЕРН К1'!T17*СПРАВОЧНИК!$H$15+'ПЛАН ЧЕРН К1'!U17*СПРАВОЧНИК!$I$15+'ПЛАН ЧЕРН К1'!V17*СПРАВОЧНИК!$J$15)+СПРАВОЧНИК!$F$9*('ПЛАН ЧИСТ К1'!B17*СПРАВОЧНИК!$L$9+'ПЛАН ЧИСТ К1'!C17*СПРАВОЧНИК!$M$9+'ПЛАН ЧИСТ К1'!D17*СПРАВОЧНИК!$N$9+'ПЛАН ЧИСТ К1'!E17*СПРАВОЧНИК!$O$9)+СПРАВОЧНИК!$F$10*('ПЛАН ЧИСТ К1'!F17*СПРАВОЧНИК!$L$10+'ПЛАН ЧИСТ К1'!G17*СПРАВОЧНИК!$M$10+'ПЛАН ЧИСТ К1'!H17*СПРАВОЧНИК!$N$10+'ПЛАН ЧИСТ К1'!I17*СПРАВОЧНИК!$O$10)+СПРАВОЧНИК!$F$11*('ПЛАН ЧИСТ К1'!J17*СПРАВОЧНИК!$L$11+'ПЛАН ЧИСТ К1'!K17*СПРАВОЧНИК!$M$11+'ПЛАН ЧИСТ К1'!L17*СПРАВОЧНИК!$N$11)+СПРАВОЧНИК!$F$12*('ПЛАН ЧИСТ К1'!M17*СПРАВОЧНИК!$L$12+'ПЛАН ЧИСТ К1'!N17*СПРАВОЧНИК!$M$12+'ПЛАН ЧИСТ К1'!O17*СПРАВОЧНИК!$N$12+'ПЛАН ЧИСТ К1'!P17*СПРАВОЧНИК!$O$12)+СПРАВОЧНИК!$F$13*('ПЛАН ЧИСТ К1'!Q17*СПРАВОЧНИК!$L$13+'ПЛАН ЧИСТ К1'!R17*СПРАВОЧНИК!$M$13+'ПЛАН ЧИСТ К1'!S17*СПРАВОЧНИК!$N$13+'ПЛАН ЧИСТ К1'!T17*СПРАВОЧНИК!$O$13)+СПРАВОЧНИК!$F$14*('ПЛАН ЧИСТ К1'!U17*СПРАВОЧНИК!$L$14+'ПЛАН ЧИСТ К1'!V17*СПРАВОЧНИК!$M$14+'ПЛАН ЧИСТ К1'!W17*СПРАВОЧНИК!$N$14)+СПРАВОЧНИК!$F$15*('ПЛАН ЧИСТ К1'!X17*СПРАВОЧНИК!$L$15+'ПЛАН ЧИСТ К1'!Y17*СПРАВОЧНИК!$M$15+'ПЛАН ЧИСТ К1'!Z17*СПРАВОЧНИК!$N$15)</f>
        <v/>
      </c>
      <c r="W26" s="40">
        <f>СПРАВОЧНИК!$E$9*(('ФАКТ ЧЕРН К1'!B17)*СПРАВОЧНИК!$H$9+('ФАКТ ЧЕРН К1'!C17)*СПРАВОЧНИК!$I$9+('ФАКТ ЧЕРН К1'!D17)*СПРАВОЧНИК!$J$9)+СПРАВОЧНИК!$E$10*(('ФАКТ ЧЕРН К1'!E17)*СПРАВОЧНИК!$H$10+('ФАКТ ЧЕРН К1'!F17)*СПРАВОЧНИК!$I$10+('ФАКТ ЧЕРН К1'!G17)*СПРАВОЧНИК!$J$10)+СПРАВОЧНИК!$E$11*(('ФАКТ ЧЕРН К1'!H17)*СПРАВОЧНИК!$H$11+('ФАКТ ЧЕРН К1'!I17)*СПРАВОЧНИК!$I$11+('ФАКТ ЧЕРН К1'!J17)*СПРАВОЧНИК!$J$11)+СПРАВОЧНИК!$E$12*(('ФАКТ ЧЕРН К1'!K17)*СПРАВОЧНИК!$H$12+('ФАКТ ЧЕРН К1'!L17)*СПРАВОЧНИК!$I$12+('ФАКТ ЧЕРН К1'!M17)*СПРАВОЧНИК!$J$12)+СПРАВОЧНИК!$E$13*(('ФАКТ ЧЕРН К1'!N17)*СПРАВОЧНИК!$H$13+('ФАКТ ЧЕРН К1'!O17)*СПРАВОЧНИК!$I$13+('ФАКТ ЧЕРН К1'!P17)*СПРАВОЧНИК!$J$13)+СПРАВОЧНИК!$E$14*(('ФАКТ ЧЕРН К1'!Q17)*СПРАВОЧНИК!$H$14+('ФАКТ ЧЕРН К1'!R17)*СПРАВОЧНИК!$I$14+('ФАКТ ЧЕРН К1'!S17)*СПРАВОЧНИК!$J$14)+СПРАВОЧНИК!$E$15*(('ФАКТ ЧЕРН К1'!T17)*СПРАВОЧНИК!$H$15+('ФАКТ ЧЕРН К1'!U17)*СПРАВОЧНИК!$I$15+('ФАКТ ЧЕРН К1'!V17)*СПРАВОЧНИК!$J$15)+СПРАВОЧНИК!$F$9*(('ФАКТ ЧИСТ К1'!B17)*СПРАВОЧНИК!$L$9+('ФАКТ ЧИСТ К1'!C17)*СПРАВОЧНИК!$M$9+('ФАКТ ЧИСТ К1'!D17)*СПРАВОЧНИК!$N$9+('ФАКТ ЧИСТ К1'!E17)*СПРАВОЧНИК!$O$9)+СПРАВОЧНИК!$F$10*(('ФАКТ ЧИСТ К1'!F17)*СПРАВОЧНИК!$L$10+('ФАКТ ЧИСТ К1'!G17)*СПРАВОЧНИК!$M$10+('ФАКТ ЧИСТ К1'!H17)*СПРАВОЧНИК!$N$10+('ФАКТ ЧИСТ К1'!I17)*СПРАВОЧНИК!$O$10)+СПРАВОЧНИК!$F$11*(('ФАКТ ЧИСТ К1'!J17)*СПРАВОЧНИК!$L$11+('ФАКТ ЧИСТ К1'!K17)*СПРАВОЧНИК!$M$11+('ФАКТ ЧИСТ К1'!L17)*СПРАВОЧНИК!$N$11)+СПРАВОЧНИК!$F$12*(('ФАКТ ЧИСТ К1'!M17)*СПРАВОЧНИК!$L$12+('ФАКТ ЧИСТ К1'!N17)*СПРАВОЧНИК!$M$12+('ФАКТ ЧИСТ К1'!O17)*СПРАВОЧНИК!$N$12+('ФАКТ ЧИСТ К1'!P17)*СПРАВОЧНИК!$O$12)+СПРАВОЧНИК!$F$13*(('ФАКТ ЧИСТ К1'!Q17)*СПРАВОЧНИК!$L$13+('ФАКТ ЧИСТ К1'!R17)*СПРАВОЧНИК!$M$13+('ФАКТ ЧИСТ К1'!S17)*СПРАВОЧНИК!$N$13+('ФАКТ ЧИСТ К1'!T17)*СПРАВОЧНИК!$O$13)+СПРАВОЧНИК!$F$14*(('ФАКТ ЧИСТ К1'!U17)*СПРАВОЧНИК!$L$14+('ФАКТ ЧИСТ К1'!V17)*СПРАВОЧНИК!$M$14+('ФАКТ ЧИСТ К1'!W17)*СПРАВОЧНИК!$N$14)+СПРАВОЧНИК!$F$15*(('ФАКТ ЧИСТ К1'!X17)*СПРАВОЧНИК!$L$15+('ФАКТ ЧИСТ К1'!Y17)*СПРАВОЧНИК!$M$15+('ФАКТ ЧИСТ К1'!Z17)*СПРАВОЧНИК!$N$15)</f>
        <v/>
      </c>
      <c r="AA26" s="18">
        <f>AA25+7</f>
        <v/>
      </c>
      <c r="AB26" s="37">
        <f>'ПЛАН ЧЕРН К1'!B17*СПРАВОЧНИК!$H$9+'ПЛАН ЧЕРН К1'!C17*СПРАВОЧНИК!$I$9+'ПЛАН ЧЕРН К1'!D17*СПРАВОЧНИК!$J$9+'ПЛАН ЧЕРН К1'!E17*СПРАВОЧНИК!$H$10+'ПЛАН ЧЕРН К1'!F17*СПРАВОЧНИК!$I$10+'ПЛАН ЧЕРН К1'!G17*СПРАВОЧНИК!$J$10+'ПЛАН ЧЕРН К1'!H17*СПРАВОЧНИК!$H$11+'ПЛАН ЧЕРН К1'!I17*СПРАВОЧНИК!$I$11+'ПЛАН ЧЕРН К1'!J17*СПРАВОЧНИК!$J$11+'ПЛАН ЧЕРН К1'!K17*СПРАВОЧНИК!$H$12+'ПЛАН ЧЕРН К1'!L17*СПРАВОЧНИК!$I$12+'ПЛАН ЧЕРН К1'!M17*СПРАВОЧНИК!$J$12+'ПЛАН ЧЕРН К1'!N17*СПРАВОЧНИК!$H$13+'ПЛАН ЧЕРН К1'!O17*СПРАВОЧНИК!$I$13+'ПЛАН ЧЕРН К1'!P17*СПРАВОЧНИК!$J$13+'ПЛАН ЧЕРН К1'!Q17*СПРАВОЧНИК!$H$14+'ПЛАН ЧЕРН К1'!R17*СПРАВОЧНИК!$I$14+'ПЛАН ЧЕРН К1'!S17*СПРАВОЧНИК!$J$14+'ПЛАН ЧЕРН К1'!T17*СПРАВОЧНИК!$H$15+'ПЛАН ЧЕРН К1'!U17*СПРАВОЧНИК!$I$15+'ПЛАН ЧЕРН К1'!V17*СПРАВОЧНИК!$J$15</f>
        <v/>
      </c>
      <c r="AC26" s="40">
        <f>('ФАКТ ЧЕРН К1'!B17)*СПРАВОЧНИК!$H$9+('ФАКТ ЧЕРН К1'!C17)*СПРАВОЧНИК!$I$9+('ФАКТ ЧЕРН К1'!D17)*СПРАВОЧНИК!$J$9+('ФАКТ ЧЕРН К1'!E17)*СПРАВОЧНИК!$H$10+('ФАКТ ЧЕРН К1'!F17)*СПРАВОЧНИК!$I$10+('ФАКТ ЧЕРН К1'!G17)*СПРАВОЧНИК!$J$10+('ФАКТ ЧЕРН К1'!H17)*СПРАВОЧНИК!$H$11+('ФАКТ ЧЕРН К1'!I17)*СПРАВОЧНИК!$I$11+('ФАКТ ЧЕРН К1'!J17)*СПРАВОЧНИК!$J$11+('ФАКТ ЧЕРН К1'!K17)*СПРАВОЧНИК!$H$12+('ФАКТ ЧЕРН К1'!L17)*СПРАВОЧНИК!$I$12+('ФАКТ ЧЕРН К1'!M17)*СПРАВОЧНИК!$J$12+('ФАКТ ЧЕРН К1'!N17)*СПРАВОЧНИК!$H$13+('ФАКТ ЧЕРН К1'!O17)*СПРАВОЧНИК!$I$13+('ФАКТ ЧЕРН К1'!P17)*СПРАВОЧНИК!$J$13+('ФАКТ ЧЕРН К1'!Q17)*СПРАВОЧНИК!$H$14+('ФАКТ ЧЕРН К1'!R17)*СПРАВОЧНИК!$I$14+('ФАКТ ЧЕРН К1'!S17)*СПРАВОЧНИК!$J$14+('ФАКТ ЧЕРН К1'!T17)*СПРАВОЧНИК!$H$15+('ФАКТ ЧЕРН К1'!U17)*СПРАВОЧНИК!$I$15+('ФАКТ ЧЕРН К1'!V17)*СПРАВОЧНИК!$J$15</f>
        <v/>
      </c>
      <c r="AG26" s="18">
        <f>AG25+7</f>
        <v/>
      </c>
      <c r="AH26" s="37">
        <f>'ПЛАН ЧИСТ К1'!B17*СПРАВОЧНИК!$L$9+'ПЛАН ЧИСТ К1'!C17*СПРАВОЧНИК!$M$9+'ПЛАН ЧИСТ К1'!D17*СПРАВОЧНИК!$N$9+'ПЛАН ЧИСТ К1'!E17*СПРАВОЧНИК!$O$9+'ПЛАН ЧИСТ К1'!F17*СПРАВОЧНИК!$L$10+'ПЛАН ЧИСТ К1'!G17*СПРАВОЧНИК!$M$10+'ПЛАН ЧИСТ К1'!H17*СПРАВОЧНИК!$N$10+'ПЛАН ЧИСТ К1'!I17*СПРАВОЧНИК!$O$10+'ПЛАН ЧИСТ К1'!J17*СПРАВОЧНИК!$L$11+'ПЛАН ЧИСТ К1'!K17*СПРАВОЧНИК!$M$11+'ПЛАН ЧИСТ К1'!L17*СПРАВОЧНИК!$N$11+'ПЛАН ЧИСТ К1'!M17*СПРАВОЧНИК!$L$12+'ПЛАН ЧИСТ К1'!N17*СПРАВОЧНИК!$M$12+'ПЛАН ЧИСТ К1'!O17*СПРАВОЧНИК!$N$12+'ПЛАН ЧИСТ К1'!P17*СПРАВОЧНИК!$O$12+'ПЛАН ЧИСТ К1'!Q17*СПРАВОЧНИК!$L$13+'ПЛАН ЧИСТ К1'!R17*СПРАВОЧНИК!$M$13+'ПЛАН ЧИСТ К1'!S17*СПРАВОЧНИК!$N$13+'ПЛАН ЧИСТ К1'!T17*СПРАВОЧНИК!$O$13+'ПЛАН ЧИСТ К1'!U17*СПРАВОЧНИК!$L$14+'ПЛАН ЧИСТ К1'!V17*СПРАВОЧНИК!$M$14+'ПЛАН ЧИСТ К1'!W17*СПРАВОЧНИК!$N$14+'ПЛАН ЧИСТ К1'!X17*СПРАВОЧНИК!$L$15+'ПЛАН ЧИСТ К1'!Y17*СПРАВОЧНИК!$M$15+'ПЛАН ЧИСТ К1'!Z17*СПРАВОЧНИК!$N$15</f>
        <v/>
      </c>
      <c r="AI26" s="40">
        <f>('ФАКТ ЧИСТ К1'!B17)*СПРАВОЧНИК!$L$9+('ФАКТ ЧИСТ К1'!C17)*СПРАВОЧНИК!$M$9+('ФАКТ ЧИСТ К1'!D17)*СПРАВОЧНИК!$N$9+('ФАКТ ЧИСТ К1'!E17)*СПРАВОЧНИК!$O$9+('ФАКТ ЧИСТ К1'!F17)*СПРАВОЧНИК!$L$10+('ФАКТ ЧИСТ К1'!G17)*СПРАВОЧНИК!$M$10+('ФАКТ ЧИСТ К1'!H17)*СПРАВОЧНИК!$N$10+('ФАКТ ЧИСТ К1'!I17)*СПРАВОЧНИК!$O$10+('ФАКТ ЧИСТ К1'!J17)*СПРАВОЧНИК!$L$11+('ФАКТ ЧИСТ К1'!K17)*СПРАВОЧНИК!$M$11+('ФАКТ ЧИСТ К1'!L17)*СПРАВОЧНИК!$N$11+('ФАКТ ЧИСТ К1'!M17)*СПРАВОЧНИК!$L$12+('ФАКТ ЧИСТ К1'!N17)*СПРАВОЧНИК!$M$12+('ФАКТ ЧИСТ К1'!O17)*СПРАВОЧНИК!$N$12+('ФАКТ ЧИСТ К1'!P17)*СПРАВОЧНИК!$O$12+('ФАКТ ЧИСТ К1'!Q17)*СПРАВОЧНИК!$L$13+('ФАКТ ЧИСТ К1'!R17)*СПРАВОЧНИК!$M$13+('ФАКТ ЧИСТ К1'!S17)*СПРАВОЧНИК!$N$13+('ФАКТ ЧИСТ К1'!T17)*СПРАВОЧНИК!$O$13+('ФАКТ ЧИСТ К1'!U17)*СПРАВОЧНИК!$L$14+('ФАКТ ЧИСТ К1'!V17)*СПРАВОЧНИК!$M$14+('ФАКТ ЧИСТ К1'!W17)*СПРАВОЧНИК!$N$14+('ФАКТ ЧИСТ К1'!X17)*СПРАВОЧНИК!$L$15+('ФАКТ ЧИСТ К1'!Y17)*СПРАВОЧНИК!$M$15+('ФАКТ ЧИСТ К1'!Z17)*СПРАВОЧНИК!$N$15</f>
        <v/>
      </c>
      <c r="AM26" s="18">
        <f>AM25+7</f>
        <v/>
      </c>
      <c r="AN26" s="37">
        <f>СПРАВОЧНИК!$E$9*('ПЛАН ЧЕРН К2'!B17*СПРАВОЧНИК!$H$9+'ПЛАН ЧЕРН К2'!C17*СПРАВОЧНИК!$I$9+'ПЛАН ЧЕРН К2'!D17*СПРАВОЧНИК!$J$9)+СПРАВОЧНИК!$E$10*('ПЛАН ЧЕРН К2'!E17*СПРАВОЧНИК!$H$10+'ПЛАН ЧЕРН К2'!F17*СПРАВОЧНИК!$I$10+'ПЛАН ЧЕРН К2'!G17*СПРАВОЧНИК!$J$10)+СПРАВОЧНИК!$E$11*('ПЛАН ЧЕРН К2'!H17*СПРАВОЧНИК!$H$11+'ПЛАН ЧЕРН К2'!I17*СПРАВОЧНИК!$I$11+'ПЛАН ЧЕРН К2'!J17*СПРАВОЧНИК!$J$11)+СПРАВОЧНИК!$E$12*('ПЛАН ЧЕРН К2'!K17*СПРАВОЧНИК!$H$12+'ПЛАН ЧЕРН К2'!L17*СПРАВОЧНИК!$I$12+'ПЛАН ЧЕРН К2'!M17*СПРАВОЧНИК!$J$12)+СПРАВОЧНИК!$E$13*('ПЛАН ЧЕРН К2'!N17*СПРАВОЧНИК!$H$13+'ПЛАН ЧЕРН К2'!O17*СПРАВОЧНИК!$I$13+'ПЛАН ЧЕРН К2'!P17*СПРАВОЧНИК!$J$13)+СПРАВОЧНИК!$E$14*('ПЛАН ЧЕРН К2'!Q17*СПРАВОЧНИК!$H$14+'ПЛАН ЧЕРН К2'!R17*СПРАВОЧНИК!$I$14+'ПЛАН ЧЕРН К2'!S17*СПРАВОЧНИК!$J$14)+СПРАВОЧНИК!$E$15*('ПЛАН ЧЕРН К2'!T17*СПРАВОЧНИК!$H$15+'ПЛАН ЧЕРН К2'!U17*СПРАВОЧНИК!$I$15+'ПЛАН ЧЕРН К2'!V17*СПРАВОЧНИК!$J$15)+СПРАВОЧНИК!$F$9*('ПЛАН ЧИСТ К2'!B17*СПРАВОЧНИК!$L$9+'ПЛАН ЧИСТ К2'!C17*СПРАВОЧНИК!$M$9+'ПЛАН ЧИСТ К2'!D17*СПРАВОЧНИК!$N$9+'ПЛАН ЧИСТ К2'!E17*СПРАВОЧНИК!$O$9)+СПРАВОЧНИК!$F$10*('ПЛАН ЧИСТ К2'!F17*СПРАВОЧНИК!$L$10+'ПЛАН ЧИСТ К2'!G17*СПРАВОЧНИК!$M$10+'ПЛАН ЧИСТ К2'!H17*СПРАВОЧНИК!$N$10+'ПЛАН ЧИСТ К2'!I17*СПРАВОЧНИК!$O$10)+СПРАВОЧНИК!$F$11*('ПЛАН ЧИСТ К2'!J17*СПРАВОЧНИК!$L$11+'ПЛАН ЧИСТ К2'!K17*СПРАВОЧНИК!$M$11+'ПЛАН ЧИСТ К2'!L17*СПРАВОЧНИК!$N$11)+СПРАВОЧНИК!$F$12*('ПЛАН ЧИСТ К2'!M17*СПРАВОЧНИК!$L$12+'ПЛАН ЧИСТ К2'!N17*СПРАВОЧНИК!$M$12+'ПЛАН ЧИСТ К2'!O17*СПРАВОЧНИК!$N$12+'ПЛАН ЧИСТ К2'!P17*СПРАВОЧНИК!$O$12)+СПРАВОЧНИК!$F$13*('ПЛАН ЧИСТ К2'!Q17*СПРАВОЧНИК!$L$13+'ПЛАН ЧИСТ К2'!R17*СПРАВОЧНИК!$M$13+'ПЛАН ЧИСТ К2'!S17*СПРАВОЧНИК!$N$13+'ПЛАН ЧИСТ К2'!T17*СПРАВОЧНИК!$O$13)+СПРАВОЧНИК!$F$14*('ПЛАН ЧИСТ К2'!U17*СПРАВОЧНИК!$L$14+'ПЛАН ЧИСТ К2'!V17*СПРАВОЧНИК!$M$14+'ПЛАН ЧИСТ К2'!W17*СПРАВОЧНИК!$N$14)+СПРАВОЧНИК!$F$15*('ПЛАН ЧИСТ К2'!X17*СПРАВОЧНИК!$L$15+'ПЛАН ЧИСТ К2'!Y17*СПРАВОЧНИК!$M$15+'ПЛАН ЧИСТ К2'!Z17*СПРАВОЧНИК!$N$15)</f>
        <v/>
      </c>
      <c r="AO26" s="40">
        <f>СПРАВОЧНИК!$E$9*(('ФАКТ ЧЕРН К2'!B17)*СПРАВОЧНИК!$H$9+('ФАКТ ЧЕРН К2'!C17)*СПРАВОЧНИК!$I$9+('ФАКТ ЧЕРН К2'!D17)*СПРАВОЧНИК!$J$9)+СПРАВОЧНИК!$E$10*(('ФАКТ ЧЕРН К2'!E17)*СПРАВОЧНИК!$H$10+('ФАКТ ЧЕРН К2'!F17)*СПРАВОЧНИК!$I$10+('ФАКТ ЧЕРН К2'!G17)*СПРАВОЧНИК!$J$10)+СПРАВОЧНИК!$E$11*(('ФАКТ ЧЕРН К2'!H17)*СПРАВОЧНИК!$H$11+('ФАКТ ЧЕРН К2'!I17)*СПРАВОЧНИК!$I$11+('ФАКТ ЧЕРН К2'!J17)*СПРАВОЧНИК!$J$11)+СПРАВОЧНИК!$E$12*(('ФАКТ ЧЕРН К2'!K17)*СПРАВОЧНИК!$H$12+('ФАКТ ЧЕРН К2'!L17)*СПРАВОЧНИК!$I$12+('ФАКТ ЧЕРН К2'!M17)*СПРАВОЧНИК!$J$12)+СПРАВОЧНИК!$E$13*(('ФАКТ ЧЕРН К2'!N17)*СПРАВОЧНИК!$H$13+('ФАКТ ЧЕРН К2'!O17)*СПРАВОЧНИК!$I$13+('ФАКТ ЧЕРН К2'!P17)*СПРАВОЧНИК!$J$13)+СПРАВОЧНИК!$E$14*(('ФАКТ ЧЕРН К2'!Q17)*СПРАВОЧНИК!$H$14+('ФАКТ ЧЕРН К2'!R17)*СПРАВОЧНИК!$I$14+('ФАКТ ЧЕРН К2'!S17)*СПРАВОЧНИК!$J$14)+СПРАВОЧНИК!$E$15*(('ФАКТ ЧЕРН К2'!T17)*СПРАВОЧНИК!$H$15+('ФАКТ ЧЕРН К2'!U17)*СПРАВОЧНИК!$I$15+('ФАКТ ЧЕРН К2'!V17)*СПРАВОЧНИК!$J$15)+СПРАВОЧНИК!$F$9*(('ФАКТ ЧИСТ К2'!B17)*СПРАВОЧНИК!$L$9+('ФАКТ ЧИСТ К2'!C17)*СПРАВОЧНИК!$M$9+('ФАКТ ЧИСТ К2'!D17)*СПРАВОЧНИК!$N$9+('ФАКТ ЧИСТ К2'!E17)*СПРАВОЧНИК!$O$9)+СПРАВОЧНИК!$F$10*(('ФАКТ ЧИСТ К2'!F17)*СПРАВОЧНИК!$L$10+('ФАКТ ЧИСТ К2'!G17)*СПРАВОЧНИК!$M$10+('ФАКТ ЧИСТ К2'!H17)*СПРАВОЧНИК!$N$10+('ФАКТ ЧИСТ К2'!I17)*СПРАВОЧНИК!$O$10)+СПРАВОЧНИК!$F$11*(('ФАКТ ЧИСТ К2'!J17)*СПРАВОЧНИК!$L$11+('ФАКТ ЧИСТ К2'!K17)*СПРАВОЧНИК!$M$11+('ФАКТ ЧИСТ К2'!L17)*СПРАВОЧНИК!$N$11)+СПРАВОЧНИК!$F$12*(('ФАКТ ЧИСТ К2'!M17)*СПРАВОЧНИК!$L$12+('ФАКТ ЧИСТ К2'!N17)*СПРАВОЧНИК!$M$12+('ФАКТ ЧИСТ К2'!O17)*СПРАВОЧНИК!$N$12+('ФАКТ ЧИСТ К2'!P17)*СПРАВОЧНИК!$O$12)+СПРАВОЧНИК!$F$13*(('ФАКТ ЧИСТ К2'!Q17)*СПРАВОЧНИК!$L$13+('ФАКТ ЧИСТ К2'!R17)*СПРАВОЧНИК!$M$13+('ФАКТ ЧИСТ К2'!S17)*СПРАВОЧНИК!$N$13+('ФАКТ ЧИСТ К2'!T17)*СПРАВОЧНИК!$O$13)+СПРАВОЧНИК!$F$14*(('ФАКТ ЧИСТ К2'!U17)*СПРАВОЧНИК!$L$14+('ФАКТ ЧИСТ К2'!V17)*СПРАВОЧНИК!$M$14+('ФАКТ ЧИСТ К2'!W17)*СПРАВОЧНИК!$N$14)+СПРАВОЧНИК!$F$15*(('ФАКТ ЧИСТ К2'!X17)*СПРАВОЧНИК!$L$15+('ФАКТ ЧИСТ К2'!Y17)*СПРАВОЧНИК!$M$15+('ФАКТ ЧИСТ К2'!Z17)*СПРАВОЧНИК!$N$15)</f>
        <v/>
      </c>
      <c r="AS26" s="18">
        <f>AS25+7</f>
        <v/>
      </c>
      <c r="AT26" s="37">
        <f>'ПЛАН ЧЕРН К2'!B17*СПРАВОЧНИК!$H$9+'ПЛАН ЧЕРН К2'!C17*СПРАВОЧНИК!$I$9+'ПЛАН ЧЕРН К2'!D17*СПРАВОЧНИК!$J$9+'ПЛАН ЧЕРН К2'!E17*СПРАВОЧНИК!$H$10+'ПЛАН ЧЕРН К2'!F17*СПРАВОЧНИК!$I$10+'ПЛАН ЧЕРН К2'!G17*СПРАВОЧНИК!$J$10+'ПЛАН ЧЕРН К2'!H17*СПРАВОЧНИК!$H$11+'ПЛАН ЧЕРН К2'!I17*СПРАВОЧНИК!$I$11+'ПЛАН ЧЕРН К2'!J17*СПРАВОЧНИК!$J$11+'ПЛАН ЧЕРН К2'!K17*СПРАВОЧНИК!$H$12+'ПЛАН ЧЕРН К2'!L17*СПРАВОЧНИК!$I$12+'ПЛАН ЧЕРН К2'!M17*СПРАВОЧНИК!$J$12+'ПЛАН ЧЕРН К2'!N17*СПРАВОЧНИК!$H$13+'ПЛАН ЧЕРН К2'!O17*СПРАВОЧНИК!$I$13+'ПЛАН ЧЕРН К2'!P17*СПРАВОЧНИК!$J$13+'ПЛАН ЧЕРН К2'!Q17*СПРАВОЧНИК!$H$14+'ПЛАН ЧЕРН К2'!R17*СПРАВОЧНИК!$I$14+'ПЛАН ЧЕРН К2'!S17*СПРАВОЧНИК!$J$14+'ПЛАН ЧЕРН К2'!T17*СПРАВОЧНИК!$H$15+'ПЛАН ЧЕРН К2'!U17*СПРАВОЧНИК!$I$15+'ПЛАН ЧЕРН К2'!V17*СПРАВОЧНИК!$J$15</f>
        <v/>
      </c>
      <c r="AU26" s="40">
        <f>('ФАКТ ЧЕРН К2'!B17)*СПРАВОЧНИК!$H$9+('ФАКТ ЧЕРН К2'!C17)*СПРАВОЧНИК!$I$9+('ФАКТ ЧЕРН К2'!D17)*СПРАВОЧНИК!$J$9+('ФАКТ ЧЕРН К2'!E17)*СПРАВОЧНИК!$H$10+('ФАКТ ЧЕРН К2'!F17)*СПРАВОЧНИК!$I$10+('ФАКТ ЧЕРН К2'!G17)*СПРАВОЧНИК!$J$10+('ФАКТ ЧЕРН К2'!H17)*СПРАВОЧНИК!$H$11+('ФАКТ ЧЕРН К2'!I17)*СПРАВОЧНИК!$I$11+('ФАКТ ЧЕРН К2'!J17)*СПРАВОЧНИК!$J$11+('ФАКТ ЧЕРН К2'!K17)*СПРАВОЧНИК!$H$12+('ФАКТ ЧЕРН К2'!L17)*СПРАВОЧНИК!$I$12+('ФАКТ ЧЕРН К2'!M17)*СПРАВОЧНИК!$J$12+('ФАКТ ЧЕРН К2'!N17)*СПРАВОЧНИК!$H$13+('ФАКТ ЧЕРН К2'!O17)*СПРАВОЧНИК!$I$13+('ФАКТ ЧЕРН К2'!P17)*СПРАВОЧНИК!$J$13+('ФАКТ ЧЕРН К2'!Q17)*СПРАВОЧНИК!$H$14+('ФАКТ ЧЕРН К2'!R17)*СПРАВОЧНИК!$I$14+('ФАКТ ЧЕРН К2'!S17)*СПРАВОЧНИК!$J$14+('ФАКТ ЧЕРН К2'!T17)*СПРАВОЧНИК!$H$15+('ФАКТ ЧЕРН К2'!U17)*СПРАВОЧНИК!$I$15+('ФАКТ ЧЕРН К2'!V17)*СПРАВОЧНИК!$J$15</f>
        <v/>
      </c>
      <c r="AY26" s="18">
        <f>AY25+7</f>
        <v/>
      </c>
      <c r="AZ26" s="37">
        <f>'ПЛАН ЧИСТ К2'!B17*СПРАВОЧНИК!$L$9+'ПЛАН ЧИСТ К2'!C17*СПРАВОЧНИК!$M$9+'ПЛАН ЧИСТ К2'!D17*СПРАВОЧНИК!$N$9+'ПЛАН ЧИСТ К2'!E17*СПРАВОЧНИК!$O$9+'ПЛАН ЧИСТ К2'!F17*СПРАВОЧНИК!$L$10+'ПЛАН ЧИСТ К2'!G17*СПРАВОЧНИК!$M$10+'ПЛАН ЧИСТ К2'!H17*СПРАВОЧНИК!$N$10+'ПЛАН ЧИСТ К2'!I17*СПРАВОЧНИК!$O$10+'ПЛАН ЧИСТ К2'!J17*СПРАВОЧНИК!$L$11+'ПЛАН ЧИСТ К2'!K17*СПРАВОЧНИК!$M$11+'ПЛАН ЧИСТ К2'!L17*СПРАВОЧНИК!$N$11+'ПЛАН ЧИСТ К2'!M17*СПРАВОЧНИК!$L$12+'ПЛАН ЧИСТ К2'!N17*СПРАВОЧНИК!$M$12+'ПЛАН ЧИСТ К2'!O17*СПРАВОЧНИК!$N$12+'ПЛАН ЧИСТ К2'!P17*СПРАВОЧНИК!$O$12+'ПЛАН ЧИСТ К2'!Q17*СПРАВОЧНИК!$L$13+'ПЛАН ЧИСТ К2'!R17*СПРАВОЧНИК!$M$13+'ПЛАН ЧИСТ К2'!S17*СПРАВОЧНИК!$N$13+'ПЛАН ЧИСТ К2'!T17*СПРАВОЧНИК!$O$13+'ПЛАН ЧИСТ К2'!U17*СПРАВОЧНИК!$L$14+'ПЛАН ЧИСТ К2'!V17*СПРАВОЧНИК!$M$14+'ПЛАН ЧИСТ К2'!W17*СПРАВОЧНИК!$N$14+'ПЛАН ЧИСТ К2'!X17*СПРАВОЧНИК!$L$15+'ПЛАН ЧИСТ К2'!Y17*СПРАВОЧНИК!$M$15+'ПЛАН ЧИСТ К2'!Z17*СПРАВОЧНИК!$N$15</f>
        <v/>
      </c>
      <c r="BA26" s="40">
        <f>('ФАКТ ЧИСТ К2'!B17)*СПРАВОЧНИК!$L$9+('ФАКТ ЧИСТ К2'!C17)*СПРАВОЧНИК!$M$9+('ФАКТ ЧИСТ К2'!D17)*СПРАВОЧНИК!$N$9+('ФАКТ ЧИСТ К2'!E17)*СПРАВОЧНИК!$O$9+('ФАКТ ЧИСТ К2'!F17)*СПРАВОЧНИК!$L$10+('ФАКТ ЧИСТ К2'!G17)*СПРАВОЧНИК!$M$10+('ФАКТ ЧИСТ К2'!H17)*СПРАВОЧНИК!$N$10+('ФАКТ ЧИСТ К2'!I17)*СПРАВОЧНИК!$O$10+('ФАКТ ЧИСТ К2'!J17)*СПРАВОЧНИК!$L$11+('ФАКТ ЧИСТ К2'!K17)*СПРАВОЧНИК!$M$11+('ФАКТ ЧИСТ К2'!L17)*СПРАВОЧНИК!$N$11+('ФАКТ ЧИСТ К2'!M17)*СПРАВОЧНИК!$L$12+('ФАКТ ЧИСТ К2'!N17)*СПРАВОЧНИК!$M$12+('ФАКТ ЧИСТ К2'!O17)*СПРАВОЧНИК!$N$12+('ФАКТ ЧИСТ К2'!P17)*СПРАВОЧНИК!$O$12+('ФАКТ ЧИСТ К2'!Q17)*СПРАВОЧНИК!$L$13+('ФАКТ ЧИСТ К2'!R17)*СПРАВОЧНИК!$M$13+('ФАКТ ЧИСТ К2'!S17)*СПРАВОЧНИК!$N$13+('ФАКТ ЧИСТ К2'!T17)*СПРАВОЧНИК!$O$13+('ФАКТ ЧИСТ К2'!U17)*СПРАВОЧНИК!$L$14+('ФАКТ ЧИСТ К2'!V17)*СПРАВОЧНИК!$M$14+('ФАКТ ЧИСТ К2'!W17)*СПРАВОЧНИК!$N$14+('ФАКТ ЧИСТ К2'!X17)*СПРАВОЧНИК!$L$15+('ФАКТ ЧИСТ К2'!Y17)*СПРАВОЧНИК!$M$15+('ФАКТ ЧИСТ К2'!Z17)*СПРАВОЧНИК!$N$15</f>
        <v/>
      </c>
      <c r="BE26" s="18">
        <f>BE25+7</f>
        <v/>
      </c>
      <c r="BF26" s="37">
        <f>СПРАВОЧНИК!$E$9*('ПЛАН ЧЕРН К3'!B17*СПРАВОЧНИК!$H$9+'ПЛАН ЧЕРН К3'!C17*СПРАВОЧНИК!$I$9+'ПЛАН ЧЕРН К3'!D17*СПРАВОЧНИК!$J$9)+СПРАВОЧНИК!$E$10*('ПЛАН ЧЕРН К3'!E17*СПРАВОЧНИК!$H$10+'ПЛАН ЧЕРН К3'!F17*СПРАВОЧНИК!$I$10+'ПЛАН ЧЕРН К3'!G17*СПРАВОЧНИК!$J$10)+СПРАВОЧНИК!$E$11*('ПЛАН ЧЕРН К3'!H17*СПРАВОЧНИК!$H$11+'ПЛАН ЧЕРН К3'!I17*СПРАВОЧНИК!$I$11+'ПЛАН ЧЕРН К3'!J17*СПРАВОЧНИК!$J$11)+СПРАВОЧНИК!$E$12*('ПЛАН ЧЕРН К3'!K17*СПРАВОЧНИК!$H$12+'ПЛАН ЧЕРН К3'!L17*СПРАВОЧНИК!$I$12+'ПЛАН ЧЕРН К3'!M17*СПРАВОЧНИК!$J$12)+СПРАВОЧНИК!$E$13*('ПЛАН ЧЕРН К3'!N17*СПРАВОЧНИК!$H$13+'ПЛАН ЧЕРН К3'!O17*СПРАВОЧНИК!$I$13+'ПЛАН ЧЕРН К3'!P17*СПРАВОЧНИК!$J$13)+СПРАВОЧНИК!$E$14*('ПЛАН ЧЕРН К3'!Q17*СПРАВОЧНИК!$H$14+'ПЛАН ЧЕРН К3'!R17*СПРАВОЧНИК!$I$14+'ПЛАН ЧЕРН К3'!S17*СПРАВОЧНИК!$J$14)+СПРАВОЧНИК!$E$15*('ПЛАН ЧЕРН К3'!T17*СПРАВОЧНИК!$H$15+'ПЛАН ЧЕРН К3'!U17*СПРАВОЧНИК!$I$15+'ПЛАН ЧЕРН К3'!V17*СПРАВОЧНИК!$J$15)+СПРАВОЧНИК!$F$9*('ПЛАН ЧИСТ К3'!B17*СПРАВОЧНИК!$L$9+'ПЛАН ЧИСТ К3'!C17*СПРАВОЧНИК!$M$9+'ПЛАН ЧИСТ К3'!D17*СПРАВОЧНИК!$N$9+'ПЛАН ЧИСТ К3'!E17*СПРАВОЧНИК!$O$9)+СПРАВОЧНИК!$F$10*('ПЛАН ЧИСТ К3'!F17*СПРАВОЧНИК!$L$10+'ПЛАН ЧИСТ К3'!G17*СПРАВОЧНИК!$M$10+'ПЛАН ЧИСТ К3'!H17*СПРАВОЧНИК!$N$10+'ПЛАН ЧИСТ К3'!I17*СПРАВОЧНИК!$O$10)+СПРАВОЧНИК!$F$11*('ПЛАН ЧИСТ К3'!J17*СПРАВОЧНИК!$L$11+'ПЛАН ЧИСТ К3'!K17*СПРАВОЧНИК!$M$11+'ПЛАН ЧИСТ К3'!L17*СПРАВОЧНИК!$N$11)+СПРАВОЧНИК!$F$12*('ПЛАН ЧИСТ К3'!M17*СПРАВОЧНИК!$L$12+'ПЛАН ЧИСТ К3'!N17*СПРАВОЧНИК!$M$12+'ПЛАН ЧИСТ К3'!O17*СПРАВОЧНИК!$N$12+'ПЛАН ЧИСТ К3'!P17*СПРАВОЧНИК!$O$12)+СПРАВОЧНИК!$F$13*('ПЛАН ЧИСТ К3'!Q17*СПРАВОЧНИК!$L$13+'ПЛАН ЧИСТ К3'!R17*СПРАВОЧНИК!$M$13+'ПЛАН ЧИСТ К3'!S17*СПРАВОЧНИК!$N$13+'ПЛАН ЧИСТ К3'!T17*СПРАВОЧНИК!$O$13)+СПРАВОЧНИК!$F$14*('ПЛАН ЧИСТ К3'!U17*СПРАВОЧНИК!$L$14+'ПЛАН ЧИСТ К3'!V17*СПРАВОЧНИК!$M$14+'ПЛАН ЧИСТ К3'!W17*СПРАВОЧНИК!$N$14)+СПРАВОЧНИК!$F$15*('ПЛАН ЧИСТ К3'!X17*СПРАВОЧНИК!$L$15+'ПЛАН ЧИСТ К3'!Y17*СПРАВОЧНИК!$M$15+'ПЛАН ЧИСТ К3'!Z17*СПРАВОЧНИК!$N$15)</f>
        <v/>
      </c>
      <c r="BG26" s="40">
        <f>СПРАВОЧНИК!$E$9*(('ФАКТ ЧЕРН К3'!B17)*СПРАВОЧНИК!$H$9+('ФАКТ ЧЕРН К3'!C17)*СПРАВОЧНИК!$I$9+('ФАКТ ЧЕРН К3'!D17)*СПРАВОЧНИК!$J$9)+СПРАВОЧНИК!$E$10*(('ФАКТ ЧЕРН К3'!E17)*СПРАВОЧНИК!$H$10+('ФАКТ ЧЕРН К3'!F17)*СПРАВОЧНИК!$I$10+('ФАКТ ЧЕРН К3'!G17)*СПРАВОЧНИК!$J$10)+СПРАВОЧНИК!$E$11*(('ФАКТ ЧЕРН К3'!H17)*СПРАВОЧНИК!$H$11+('ФАКТ ЧЕРН К3'!I17)*СПРАВОЧНИК!$I$11+('ФАКТ ЧЕРН К3'!J17)*СПРАВОЧНИК!$J$11)+СПРАВОЧНИК!$E$12*(('ФАКТ ЧЕРН К3'!K17)*СПРАВОЧНИК!$H$12+('ФАКТ ЧЕРН К3'!L17)*СПРАВОЧНИК!$I$12+('ФАКТ ЧЕРН К3'!M17)*СПРАВОЧНИК!$J$12)+СПРАВОЧНИК!$E$13*(('ФАКТ ЧЕРН К3'!N17)*СПРАВОЧНИК!$H$13+('ФАКТ ЧЕРН К3'!O17)*СПРАВОЧНИК!$I$13+('ФАКТ ЧЕРН К3'!P17)*СПРАВОЧНИК!$J$13)+СПРАВОЧНИК!$E$14*(('ФАКТ ЧЕРН К3'!Q17)*СПРАВОЧНИК!$H$14+('ФАКТ ЧЕРН К3'!R17)*СПРАВОЧНИК!$I$14+('ФАКТ ЧЕРН К3'!S17)*СПРАВОЧНИК!$J$14)+СПРАВОЧНИК!$E$15*(('ФАКТ ЧЕРН К3'!T17)*СПРАВОЧНИК!$H$15+('ФАКТ ЧЕРН К3'!U17)*СПРАВОЧНИК!$I$15+('ФАКТ ЧЕРН К3'!V17)*СПРАВОЧНИК!$J$15)+СПРАВОЧНИК!$F$9*(('ФАКТ ЧИСТ К3'!B17)*СПРАВОЧНИК!$L$9+('ФАКТ ЧИСТ К3'!C17)*СПРАВОЧНИК!$M$9+('ФАКТ ЧИСТ К3'!D17)*СПРАВОЧНИК!$N$9+('ФАКТ ЧИСТ К3'!E17)*СПРАВОЧНИК!$O$9)+СПРАВОЧНИК!$F$10*(('ФАКТ ЧИСТ К3'!F17)*СПРАВОЧНИК!$L$10+('ФАКТ ЧИСТ К3'!G17)*СПРАВОЧНИК!$M$10+('ФАКТ ЧИСТ К3'!H17)*СПРАВОЧНИК!$N$10+('ФАКТ ЧИСТ К3'!I17)*СПРАВОЧНИК!$O$10)+СПРАВОЧНИК!$F$11*(('ФАКТ ЧИСТ К3'!J17)*СПРАВОЧНИК!$L$11+('ФАКТ ЧИСТ К3'!K17)*СПРАВОЧНИК!$M$11+('ФАКТ ЧИСТ К3'!L17)*СПРАВОЧНИК!$N$11)+СПРАВОЧНИК!$F$12*(('ФАКТ ЧИСТ К3'!M17)*СПРАВОЧНИК!$L$12+('ФАКТ ЧИСТ К3'!N17)*СПРАВОЧНИК!$M$12+('ФАКТ ЧИСТ К3'!O17)*СПРАВОЧНИК!$N$12+('ФАКТ ЧИСТ К3'!P17)*СПРАВОЧНИК!$O$12)+СПРАВОЧНИК!$F$13*(('ФАКТ ЧИСТ К3'!Q17)*СПРАВОЧНИК!$L$13+('ФАКТ ЧИСТ К3'!R17)*СПРАВОЧНИК!$M$13+('ФАКТ ЧИСТ К3'!S17)*СПРАВОЧНИК!$N$13+('ФАКТ ЧИСТ К3'!T17)*СПРАВОЧНИК!$O$13)+СПРАВОЧНИК!$F$14*(('ФАКТ ЧИСТ К3'!U17)*СПРАВОЧНИК!$L$14+('ФАКТ ЧИСТ К3'!V17)*СПРАВОЧНИК!$M$14+('ФАКТ ЧИСТ К3'!W17)*СПРАВОЧНИК!$N$14)+СПРАВОЧНИК!$F$15*(('ФАКТ ЧИСТ К3'!X17)*СПРАВОЧНИК!$L$15+('ФАКТ ЧИСТ К3'!Y17)*СПРАВОЧНИК!$M$15+('ФАКТ ЧИСТ К3'!Z17)*СПРАВОЧНИК!$N$15)</f>
        <v/>
      </c>
      <c r="BK26" s="18">
        <f>BK25+7</f>
        <v/>
      </c>
      <c r="BL26" s="37">
        <f>'ПЛАН ЧЕРН К3'!B17*СПРАВОЧНИК!$H$9+'ПЛАН ЧЕРН К3'!C17*СПРАВОЧНИК!$I$9+'ПЛАН ЧЕРН К3'!D17*СПРАВОЧНИК!$J$9+'ПЛАН ЧЕРН К3'!E17*СПРАВОЧНИК!$H$10+'ПЛАН ЧЕРН К3'!F17*СПРАВОЧНИК!$I$10+'ПЛАН ЧЕРН К3'!G17*СПРАВОЧНИК!$J$10+'ПЛАН ЧЕРН К3'!H17*СПРАВОЧНИК!$H$11+'ПЛАН ЧЕРН К3'!I17*СПРАВОЧНИК!$I$11+'ПЛАН ЧЕРН К3'!J17*СПРАВОЧНИК!$J$11+'ПЛАН ЧЕРН К3'!K17*СПРАВОЧНИК!$H$12+'ПЛАН ЧЕРН К3'!L17*СПРАВОЧНИК!$I$12+'ПЛАН ЧЕРН К3'!M17*СПРАВОЧНИК!$J$12+'ПЛАН ЧЕРН К3'!N17*СПРАВОЧНИК!$H$13+'ПЛАН ЧЕРН К3'!O17*СПРАВОЧНИК!$I$13+'ПЛАН ЧЕРН К3'!P17*СПРАВОЧНИК!$J$13+'ПЛАН ЧЕРН К3'!Q17*СПРАВОЧНИК!$H$14+'ПЛАН ЧЕРН К3'!R17*СПРАВОЧНИК!$I$14+'ПЛАН ЧЕРН К3'!S17*СПРАВОЧНИК!$J$14+'ПЛАН ЧЕРН К3'!T17*СПРАВОЧНИК!$H$15+'ПЛАН ЧЕРН К3'!U17*СПРАВОЧНИК!$I$15+'ПЛАН ЧЕРН К3'!V17*СПРАВОЧНИК!$J$15</f>
        <v/>
      </c>
      <c r="BM26" s="40">
        <f>('ФАКТ ЧЕРН К3'!B17)*СПРАВОЧНИК!$H$9+('ФАКТ ЧЕРН К3'!C17)*СПРАВОЧНИК!$I$9+('ФАКТ ЧЕРН К3'!D17)*СПРАВОЧНИК!$J$9+('ФАКТ ЧЕРН К3'!E17)*СПРАВОЧНИК!$H$10+('ФАКТ ЧЕРН К3'!F17)*СПРАВОЧНИК!$I$10+('ФАКТ ЧЕРН К3'!G17)*СПРАВОЧНИК!$J$10+('ФАКТ ЧЕРН К3'!H17)*СПРАВОЧНИК!$H$11+('ФАКТ ЧЕРН К3'!I17)*СПРАВОЧНИК!$I$11+('ФАКТ ЧЕРН К3'!J17)*СПРАВОЧНИК!$J$11+('ФАКТ ЧЕРН К3'!K17)*СПРАВОЧНИК!$H$12+('ФАКТ ЧЕРН К3'!L17)*СПРАВОЧНИК!$I$12+('ФАКТ ЧЕРН К3'!M17)*СПРАВОЧНИК!$J$12+('ФАКТ ЧЕРН К3'!N17)*СПРАВОЧНИК!$H$13+('ФАКТ ЧЕРН К3'!O17)*СПРАВОЧНИК!$I$13+('ФАКТ ЧЕРН К3'!P17)*СПРАВОЧНИК!$J$13+('ФАКТ ЧЕРН К3'!Q17)*СПРАВОЧНИК!$H$14+('ФАКТ ЧЕРН К3'!R17)*СПРАВОЧНИК!$I$14+('ФАКТ ЧЕРН К3'!S17)*СПРАВОЧНИК!$J$14+('ФАКТ ЧЕРН К3'!T17)*СПРАВОЧНИК!$H$15+('ФАКТ ЧЕРН К3'!U17)*СПРАВОЧНИК!$I$15+('ФАКТ ЧЕРН К3'!V17)*СПРАВОЧНИК!$J$15</f>
        <v/>
      </c>
      <c r="BQ26" s="18">
        <f>BQ25+7</f>
        <v/>
      </c>
      <c r="BR26" s="37">
        <f>'ПЛАН ЧИСТ К3'!B17*СПРАВОЧНИК!$L$9+'ПЛАН ЧИСТ К3'!C17*СПРАВОЧНИК!$M$9+'ПЛАН ЧИСТ К3'!D17*СПРАВОЧНИК!$N$9+'ПЛАН ЧИСТ К3'!E17*СПРАВОЧНИК!$O$9+'ПЛАН ЧИСТ К3'!F17*СПРАВОЧНИК!$L$10+'ПЛАН ЧИСТ К3'!G17*СПРАВОЧНИК!$M$10+'ПЛАН ЧИСТ К3'!H17*СПРАВОЧНИК!$N$10+'ПЛАН ЧИСТ К3'!I17*СПРАВОЧНИК!$O$10+'ПЛАН ЧИСТ К3'!J17*СПРАВОЧНИК!$L$11+'ПЛАН ЧИСТ К3'!K17*СПРАВОЧНИК!$M$11+'ПЛАН ЧИСТ К3'!L17*СПРАВОЧНИК!$N$11+'ПЛАН ЧИСТ К3'!M17*СПРАВОЧНИК!$L$12+'ПЛАН ЧИСТ К3'!N17*СПРАВОЧНИК!$M$12+'ПЛАН ЧИСТ К3'!O17*СПРАВОЧНИК!$N$12+'ПЛАН ЧИСТ К3'!P17*СПРАВОЧНИК!$O$12+'ПЛАН ЧИСТ К3'!Q17*СПРАВОЧНИК!$L$13+'ПЛАН ЧИСТ К3'!R17*СПРАВОЧНИК!$M$13+'ПЛАН ЧИСТ К3'!S17*СПРАВОЧНИК!$N$13+'ПЛАН ЧИСТ К3'!T17*СПРАВОЧНИК!$O$13+'ПЛАН ЧИСТ К3'!U17*СПРАВОЧНИК!$L$14+'ПЛАН ЧИСТ К3'!V17*СПРАВОЧНИК!$M$14+'ПЛАН ЧИСТ К3'!W17*СПРАВОЧНИК!$N$14+'ПЛАН ЧИСТ К3'!X17*СПРАВОЧНИК!$L$15+'ПЛАН ЧИСТ К3'!Y17*СПРАВОЧНИК!$M$15+'ПЛАН ЧИСТ К3'!Z17*СПРАВОЧНИК!$N$15</f>
        <v/>
      </c>
      <c r="BS26" s="40">
        <f>('ФАКТ ЧИСТ К3'!B17)*СПРАВОЧНИК!$L$9+('ФАКТ ЧИСТ К3'!C17)*СПРАВОЧНИК!$M$9+('ФАКТ ЧИСТ К3'!D17)*СПРАВОЧНИК!$N$9+('ФАКТ ЧИСТ К3'!E17)*СПРАВОЧНИК!$O$9+('ФАКТ ЧИСТ К3'!F17)*СПРАВОЧНИК!$L$10+('ФАКТ ЧИСТ К3'!G17)*СПРАВОЧНИК!$M$10+('ФАКТ ЧИСТ К3'!H17)*СПРАВОЧНИК!$N$10+('ФАКТ ЧИСТ К3'!I17)*СПРАВОЧНИК!$O$10+('ФАКТ ЧИСТ К3'!J17)*СПРАВОЧНИК!$L$11+('ФАКТ ЧИСТ К3'!K17)*СПРАВОЧНИК!$M$11+('ФАКТ ЧИСТ К3'!L17)*СПРАВОЧНИК!$N$11+('ФАКТ ЧИСТ К3'!M17)*СПРАВОЧНИК!$L$12+('ФАКТ ЧИСТ К3'!N17)*СПРАВОЧНИК!$M$12+('ФАКТ ЧИСТ К3'!O17)*СПРАВОЧНИК!$N$12+('ФАКТ ЧИСТ К3'!P17)*СПРАВОЧНИК!$O$12+('ФАКТ ЧИСТ К3'!Q17)*СПРАВОЧНИК!$L$13+('ФАКТ ЧИСТ К3'!R17)*СПРАВОЧНИК!$M$13+('ФАКТ ЧИСТ К3'!S17)*СПРАВОЧНИК!$N$13+('ФАКТ ЧИСТ К3'!T17)*СПРАВОЧНИК!$O$13+('ФАКТ ЧИСТ К3'!U17)*СПРАВОЧНИК!$L$14+('ФАКТ ЧИСТ К3'!V17)*СПРАВОЧНИК!$M$14+('ФАКТ ЧИСТ К3'!W17)*СПРАВОЧНИК!$N$14+('ФАКТ ЧИСТ К3'!X17)*СПРАВОЧНИК!$L$15+('ФАКТ ЧИСТ К3'!Y17)*СПРАВОЧНИК!$M$15+('ФАКТ ЧИСТ К3'!Z17)*СПРАВОЧНИК!$N$15</f>
        <v/>
      </c>
      <c r="BW26" s="18">
        <f>BW25+7</f>
        <v/>
      </c>
      <c r="BX26" s="37">
        <f>V26+AN26+BF26</f>
        <v/>
      </c>
      <c r="BY26" s="40">
        <f>W26+AO26+BG26</f>
        <v/>
      </c>
      <c r="CC26" s="18">
        <f>CC25+7</f>
        <v/>
      </c>
      <c r="CD26" s="37">
        <f>AB26+AT26+BL26</f>
        <v/>
      </c>
      <c r="CE26" s="40">
        <f>AC26+AU26+BM26</f>
        <v/>
      </c>
      <c r="CI26" s="18">
        <f>CI25+7</f>
        <v/>
      </c>
      <c r="CJ26" s="37">
        <f>AH26+AZ26+BR26</f>
        <v/>
      </c>
      <c r="CK26" s="40">
        <f>AI26+BA26+BS26</f>
        <v/>
      </c>
      <c r="CO26" s="18">
        <f>CO25+7</f>
        <v/>
      </c>
      <c r="CP26" s="37">
        <f>D26+BX26</f>
        <v/>
      </c>
      <c r="CQ26" s="40">
        <f>E26+BY26</f>
        <v/>
      </c>
      <c r="CU26" s="18">
        <f>CU25+7</f>
        <v/>
      </c>
      <c r="CV26" s="37">
        <f>J26+CD26</f>
        <v/>
      </c>
      <c r="CW26" s="40">
        <f>K26+CE26</f>
        <v/>
      </c>
      <c r="DA26" s="18">
        <f>DA25+7</f>
        <v/>
      </c>
      <c r="DB26" s="37">
        <f>P26+CJ26</f>
        <v/>
      </c>
      <c r="DC26" s="40">
        <f>Q26+CK26</f>
        <v/>
      </c>
    </row>
    <row r="27">
      <c r="C27" s="18">
        <f>C26+7</f>
        <v/>
      </c>
      <c r="D27" s="37">
        <f>СПРАВОЧНИК!$E$3*('ПЛАН ЧЕРН ПОДЗЕМ'!B18*СПРАВОЧНИК!$H$3+'ПЛАН ЧЕРН ПОДЗЕМ'!C18*СПРАВОЧНИК!$I$3+'ПЛАН ЧЕРН ПОДЗЕМ'!D18*СПРАВОЧНИК!$J$3)+СПРАВОЧНИК!$E$4*('ПЛАН ЧЕРН ПОДЗЕМ'!E18*СПРАВОЧНИК!$H$4+'ПЛАН ЧЕРН ПОДЗЕМ'!F18*СПРАВОЧНИК!$I$4+'ПЛАН ЧЕРН ПОДЗЕМ'!G18*СПРАВОЧНИК!$J$4)+СПРАВОЧНИК!$E$5*('ПЛАН ЧЕРН ПОДЗЕМ'!H18*СПРАВОЧНИК!$H$5+'ПЛАН ЧЕРН ПОДЗЕМ'!I18*СПРАВОЧНИК!$I$5+'ПЛАН ЧЕРН ПОДЗЕМ'!J18*СПРАВОЧНИК!$J$5)+СПРАВОЧНИК!$E$6*('ПЛАН ЧЕРН ПОДЗЕМ'!K18*СПРАВОЧНИК!$H$6+'ПЛАН ЧЕРН ПОДЗЕМ'!L18*СПРАВОЧНИК!$I$6+'ПЛАН ЧЕРН ПОДЗЕМ'!M18*СПРАВОЧНИК!$J$6)+СПРАВОЧНИК!$E$7*('ПЛАН ЧЕРН ПОДЗЕМ'!N18*СПРАВОЧНИК!$H$7+'ПЛАН ЧЕРН ПОДЗЕМ'!O18*СПРАВОЧНИК!$I$7+'ПЛАН ЧЕРН ПОДЗЕМ'!P18*СПРАВОЧНИК!$J$7)+СПРАВОЧНИК!$E$8*('ПЛАН ЧЕРН ПОДЗЕМ'!Q18*СПРАВОЧНИК!$H$8+'ПЛАН ЧЕРН ПОДЗЕМ'!R18*СПРАВОЧНИК!$I$8+'ПЛАН ЧЕРН ПОДЗЕМ'!S18*СПРАВОЧНИК!$J$8)+СПРАВОЧНИК!$F$3*('ПЛАН ЧИСТ ПОДЗЕМ'!B18*СПРАВОЧНИК!$L$3+'ПЛАН ЧИСТ ПОДЗЕМ'!C18*СПРАВОЧНИК!$M$3+'ПЛАН ЧИСТ ПОДЗЕМ'!D18*СПРАВОЧНИК!$N$3+'ПЛАН ЧИСТ ПОДЗЕМ'!E18*СПРАВОЧНИК!$O$3)+СПРАВОЧНИК!$F$4*('ПЛАН ЧИСТ ПОДЗЕМ'!F18*СПРАВОЧНИК!$L$4+'ПЛАН ЧИСТ ПОДЗЕМ'!G18*СПРАВОЧНИК!$M$4+'ПЛАН ЧИСТ ПОДЗЕМ'!H18*СПРАВОЧНИК!$N$4+'ПЛАН ЧИСТ ПОДЗЕМ'!I18*СПРАВОЧНИК!$O$4)+СПРАВОЧНИК!$F$5*('ПЛАН ЧИСТ ПОДЗЕМ'!J18*СПРАВОЧНИК!$L$5+'ПЛАН ЧИСТ ПОДЗЕМ'!K18*СПРАВОЧНИК!$M$5+'ПЛАН ЧИСТ ПОДЗЕМ'!L18*СПРАВОЧНИК!$N$5)+СПРАВОЧНИК!$F$6*('ПЛАН ЧИСТ ПОДЗЕМ'!M18*СПРАВОЧНИК!$L$6+'ПЛАН ЧИСТ ПОДЗЕМ'!N18*СПРАВОЧНИК!$M$6+'ПЛАН ЧИСТ ПОДЗЕМ'!O18*СПРАВОЧНИК!$N$6+'ПЛАН ЧИСТ ПОДЗЕМ'!P18*СПРАВОЧНИК!$O$6)+СПРАВОЧНИК!$F$7*('ПЛАН ЧИСТ ПОДЗЕМ'!Q18*СПРАВОЧНИК!$L$7+'ПЛАН ЧИСТ ПОДЗЕМ'!R18*СПРАВОЧНИК!$M$7+'ПЛАН ЧИСТ ПОДЗЕМ'!S18*СПРАВОЧНИК!$N$7+'ПЛАН ЧИСТ ПОДЗЕМ'!T18*СПРАВОЧНИК!$O$7)+СПРАВОЧНИК!$F$8*('ПЛАН ЧИСТ ПОДЗЕМ'!U18*СПРАВОЧНИК!$L$8+'ПЛАН ЧИСТ ПОДЗЕМ'!V18*СПРАВОЧНИК!$M$8+'ПЛАН ЧИСТ ПОДЗЕМ'!W18*СПРАВОЧНИК!$N$8)</f>
        <v/>
      </c>
      <c r="E27" s="40">
        <f>СПРАВОЧНИК!$E$3*(('ФАКТ ЧЕРН ПОДЗЕМ'!B18)*СПРАВОЧНИК!$H$3+('ФАКТ ЧЕРН ПОДЗЕМ'!C18)*СПРАВОЧНИК!$I$3+('ФАКТ ЧЕРН ПОДЗЕМ'!D18)*СПРАВОЧНИК!$J$3)+СПРАВОЧНИК!$E$4*(('ФАКТ ЧЕРН ПОДЗЕМ'!E18)*СПРАВОЧНИК!$H$4+('ФАКТ ЧЕРН ПОДЗЕМ'!F18)*СПРАВОЧНИК!$I$4+('ФАКТ ЧЕРН ПОДЗЕМ'!G18)*СПРАВОЧНИК!$J$4)+СПРАВОЧНИК!$E$5*(('ФАКТ ЧЕРН ПОДЗЕМ'!H18)*СПРАВОЧНИК!$H$5+('ФАКТ ЧЕРН ПОДЗЕМ'!I18)*СПРАВОЧНИК!$I$5+('ФАКТ ЧЕРН ПОДЗЕМ'!J18)*СПРАВОЧНИК!$J$5)+СПРАВОЧНИК!$E$6*(('ФАКТ ЧЕРН ПОДЗЕМ'!K18)*СПРАВОЧНИК!$H$6+('ФАКТ ЧЕРН ПОДЗЕМ'!L18)*СПРАВОЧНИК!$I$6+('ФАКТ ЧЕРН ПОДЗЕМ'!M18)*СПРАВОЧНИК!$J$6)+СПРАВОЧНИК!$E$7*(('ФАКТ ЧЕРН ПОДЗЕМ'!N18)*СПРАВОЧНИК!$H$7+('ФАКТ ЧЕРН ПОДЗЕМ'!O18)*СПРАВОЧНИК!$I$7+('ФАКТ ЧЕРН ПОДЗЕМ'!P18)*СПРАВОЧНИК!$J$7)+СПРАВОЧНИК!$E$8*(('ФАКТ ЧЕРН ПОДЗЕМ'!Q18)*СПРАВОЧНИК!$H$8+('ФАКТ ЧЕРН ПОДЗЕМ'!R18)*СПРАВОЧНИК!$I$8+('ФАКТ ЧЕРН ПОДЗЕМ'!S18)*СПРАВОЧНИК!$J$8)+СПРАВОЧНИК!$F$3*(('ФАКТ ЧИСТ ПОДЗЕМ'!B18)*СПРАВОЧНИК!$L$3+('ФАКТ ЧИСТ ПОДЗЕМ'!C18)*СПРАВОЧНИК!$M$3+('ФАКТ ЧИСТ ПОДЗЕМ'!D18)*СПРАВОЧНИК!$N$3+('ФАКТ ЧИСТ ПОДЗЕМ'!E18)*СПРАВОЧНИК!$O$3)+СПРАВОЧНИК!$F$4*(('ФАКТ ЧИСТ ПОДЗЕМ'!F18)*СПРАВОЧНИК!$L$4+('ФАКТ ЧИСТ ПОДЗЕМ'!G18)*СПРАВОЧНИК!$M$4+('ФАКТ ЧИСТ ПОДЗЕМ'!H18)*СПРАВОЧНИК!$N$4+('ФАКТ ЧИСТ ПОДЗЕМ'!I18)*СПРАВОЧНИК!$O$4)+СПРАВОЧНИК!$F$5*(('ФАКТ ЧИСТ ПОДЗЕМ'!J18)*СПРАВОЧНИК!$L$5+('ФАКТ ЧИСТ ПОДЗЕМ'!K18)*СПРАВОЧНИК!$M$5+('ФАКТ ЧИСТ ПОДЗЕМ'!L18)*СПРАВОЧНИК!$N$5)+СПРАВОЧНИК!$F$6*(('ФАКТ ЧИСТ ПОДЗЕМ'!M18)*СПРАВОЧНИК!$L$6+('ФАКТ ЧИСТ ПОДЗЕМ'!N18)*СПРАВОЧНИК!$M$6+('ФАКТ ЧИСТ ПОДЗЕМ'!O18)*СПРАВОЧНИК!$N$6+('ФАКТ ЧИСТ ПОДЗЕМ'!P18)*СПРАВОЧНИК!$O$6)+СПРАВОЧНИК!$F$7*(('ФАКТ ЧИСТ ПОДЗЕМ'!Q18)*СПРАВОЧНИК!$L$7+('ФАКТ ЧИСТ ПОДЗЕМ'!R18)*СПРАВОЧНИК!$M$7+('ФАКТ ЧИСТ ПОДЗЕМ'!S18)*СПРАВОЧНИК!$N$7+('ФАКТ ЧИСТ ПОДЗЕМ'!T18)*СПРАВОЧНИК!$O$7)+СПРАВОЧНИК!$F$8*(('ФАКТ ЧИСТ ПОДЗЕМ'!U18)*СПРАВОЧНИК!$L$8+('ФАКТ ЧИСТ ПОДЗЕМ'!V18)*СПРАВОЧНИК!$M$8+('ФАКТ ЧИСТ ПОДЗЕМ'!W18)*СПРАВОЧНИК!$N$8)</f>
        <v/>
      </c>
      <c r="I27" s="18">
        <f>I26+7</f>
        <v/>
      </c>
      <c r="J27" s="37">
        <f>'ПЛАН ЧЕРН ПОДЗЕМ'!B18*СПРАВОЧНИК!$H$3+'ПЛАН ЧЕРН ПОДЗЕМ'!C18*СПРАВОЧНИК!$I$3+'ПЛАН ЧЕРН ПОДЗЕМ'!D18*СПРАВОЧНИК!$J$3+'ПЛАН ЧЕРН ПОДЗЕМ'!E18*СПРАВОЧНИК!$H$4+'ПЛАН ЧЕРН ПОДЗЕМ'!F18*СПРАВОЧНИК!$I$4+'ПЛАН ЧЕРН ПОДЗЕМ'!G18*СПРАВОЧНИК!$J$4+'ПЛАН ЧЕРН ПОДЗЕМ'!H18*СПРАВОЧНИК!$H$5+'ПЛАН ЧЕРН ПОДЗЕМ'!I18*СПРАВОЧНИК!$I$5+'ПЛАН ЧЕРН ПОДЗЕМ'!J18*СПРАВОЧНИК!$J$5+'ПЛАН ЧЕРН ПОДЗЕМ'!K18*СПРАВОЧНИК!$H$6+'ПЛАН ЧЕРН ПОДЗЕМ'!L18*СПРАВОЧНИК!$I$6+'ПЛАН ЧЕРН ПОДЗЕМ'!M18*СПРАВОЧНИК!$J$6+'ПЛАН ЧЕРН ПОДЗЕМ'!N18*СПРАВОЧНИК!$H$7+'ПЛАН ЧЕРН ПОДЗЕМ'!O18*СПРАВОЧНИК!$I$7+'ПЛАН ЧЕРН ПОДЗЕМ'!P18*СПРАВОЧНИК!$J$7+'ПЛАН ЧЕРН ПОДЗЕМ'!Q18*СПРАВОЧНИК!$H$8+'ПЛАН ЧЕРН ПОДЗЕМ'!R18*СПРАВОЧНИК!$I$8+'ПЛАН ЧЕРН ПОДЗЕМ'!S18*СПРАВОЧНИК!$J$8</f>
        <v/>
      </c>
      <c r="K27" s="40">
        <f>('ФАКТ ЧЕРН ПОДЗЕМ'!B18)*СПРАВОЧНИК!$H$3+('ФАКТ ЧЕРН ПОДЗЕМ'!C18)*СПРАВОЧНИК!$I$3+('ФАКТ ЧЕРН ПОДЗЕМ'!D18)*СПРАВОЧНИК!$J$3+('ФАКТ ЧЕРН ПОДЗЕМ'!E18)*СПРАВОЧНИК!$H$4+('ФАКТ ЧЕРН ПОДЗЕМ'!F18)*СПРАВОЧНИК!$I$4+('ФАКТ ЧЕРН ПОДЗЕМ'!G18)*СПРАВОЧНИК!$J$4+('ФАКТ ЧЕРН ПОДЗЕМ'!H18)*СПРАВОЧНИК!$H$5+('ФАКТ ЧЕРН ПОДЗЕМ'!I18)*СПРАВОЧНИК!$I$5+('ФАКТ ЧЕРН ПОДЗЕМ'!J18)*СПРАВОЧНИК!$J$5+('ФАКТ ЧЕРН ПОДЗЕМ'!K18)*СПРАВОЧНИК!$H$6+('ФАКТ ЧЕРН ПОДЗЕМ'!L18)*СПРАВОЧНИК!$I$6+('ФАКТ ЧЕРН ПОДЗЕМ'!M18)*СПРАВОЧНИК!$J$6+('ФАКТ ЧЕРН ПОДЗЕМ'!N18)*СПРАВОЧНИК!$H$7+('ФАКТ ЧЕРН ПОДЗЕМ'!O18)*СПРАВОЧНИК!$I$7+('ФАКТ ЧЕРН ПОДЗЕМ'!P18)*СПРАВОЧНИК!$J$7+('ФАКТ ЧЕРН ПОДЗЕМ'!Q18)*СПРАВОЧНИК!$H$8+('ФАКТ ЧЕРН ПОДЗЕМ'!R18)*СПРАВОЧНИК!$I$8+('ФАКТ ЧЕРН ПОДЗЕМ'!S18)*СПРАВОЧНИК!$J$8</f>
        <v/>
      </c>
      <c r="O27" s="18">
        <f>O26+7</f>
        <v/>
      </c>
      <c r="P27" s="37">
        <f>'ПЛАН ЧИСТ ПОДЗЕМ'!B18*СПРАВОЧНИК!$L$3+'ПЛАН ЧИСТ ПОДЗЕМ'!C18*СПРАВОЧНИК!$M$3+'ПЛАН ЧИСТ ПОДЗЕМ'!D18*СПРАВОЧНИК!$N$3+'ПЛАН ЧИСТ ПОДЗЕМ'!E18*СПРАВОЧНИК!$O$3+'ПЛАН ЧИСТ ПОДЗЕМ'!F18*СПРАВОЧНИК!$L$4+'ПЛАН ЧИСТ ПОДЗЕМ'!G18*СПРАВОЧНИК!$M$4+'ПЛАН ЧИСТ ПОДЗЕМ'!H18*СПРАВОЧНИК!$N$4+'ПЛАН ЧИСТ ПОДЗЕМ'!I18*СПРАВОЧНИК!$O$4+'ПЛАН ЧИСТ ПОДЗЕМ'!J18*СПРАВОЧНИК!$L$5+'ПЛАН ЧИСТ ПОДЗЕМ'!K18*СПРАВОЧНИК!$M$5+'ПЛАН ЧИСТ ПОДЗЕМ'!L18*СПРАВОЧНИК!$N$5+'ПЛАН ЧИСТ ПОДЗЕМ'!M18*СПРАВОЧНИК!$L$6+'ПЛАН ЧИСТ ПОДЗЕМ'!N18*СПРАВОЧНИК!$M$6+'ПЛАН ЧИСТ ПОДЗЕМ'!O18*СПРАВОЧНИК!$N$6+'ПЛАН ЧИСТ ПОДЗЕМ'!P18*СПРАВОЧНИК!$O$6+'ПЛАН ЧИСТ ПОДЗЕМ'!Q18*СПРАВОЧНИК!$L$7+'ПЛАН ЧИСТ ПОДЗЕМ'!R18*СПРАВОЧНИК!$M$7+'ПЛАН ЧИСТ ПОДЗЕМ'!S18*СПРАВОЧНИК!$N$7+'ПЛАН ЧИСТ ПОДЗЕМ'!T18*СПРАВОЧНИК!$O$7+'ПЛАН ЧИСТ ПОДЗЕМ'!U18*СПРАВОЧНИК!$L$8+'ПЛАН ЧИСТ ПОДЗЕМ'!V18*СПРАВОЧНИК!$M$8+'ПЛАН ЧИСТ ПОДЗЕМ'!W18*СПРАВОЧНИК!$N$8</f>
        <v/>
      </c>
      <c r="Q27" s="40">
        <f>('ФАКТ ЧИСТ ПОДЗЕМ'!B18)*СПРАВОЧНИК!$L$3+('ФАКТ ЧИСТ ПОДЗЕМ'!C18)*СПРАВОЧНИК!$M$3+('ФАКТ ЧИСТ ПОДЗЕМ'!D18)*СПРАВОЧНИК!$N$3+('ФАКТ ЧИСТ ПОДЗЕМ'!E18)*СПРАВОЧНИК!$O$3+('ФАКТ ЧИСТ ПОДЗЕМ'!F18)*СПРАВОЧНИК!$L$4+('ФАКТ ЧИСТ ПОДЗЕМ'!G18)*СПРАВОЧНИК!$M$4+('ФАКТ ЧИСТ ПОДЗЕМ'!H18)*СПРАВОЧНИК!$N$4+('ФАКТ ЧИСТ ПОДЗЕМ'!I18)*СПРАВОЧНИК!$O$4+('ФАКТ ЧИСТ ПОДЗЕМ'!J18)*СПРАВОЧНИК!$L$5+('ФАКТ ЧИСТ ПОДЗЕМ'!K18)*СПРАВОЧНИК!$M$5+('ФАКТ ЧИСТ ПОДЗЕМ'!L18)*СПРАВОЧНИК!$N$5+('ФАКТ ЧИСТ ПОДЗЕМ'!M18)*СПРАВОЧНИК!$L$6+('ФАКТ ЧИСТ ПОДЗЕМ'!N18)*СПРАВОЧНИК!$M$6+('ФАКТ ЧИСТ ПОДЗЕМ'!O18)*СПРАВОЧНИК!$N$6+('ФАКТ ЧИСТ ПОДЗЕМ'!P18)*СПРАВОЧНИК!$O$6+('ФАКТ ЧИСТ ПОДЗЕМ'!Q18)*СПРАВОЧНИК!$L$7+('ФАКТ ЧИСТ ПОДЗЕМ'!R18)*СПРАВОЧНИК!$M$7+('ФАКТ ЧИСТ ПОДЗЕМ'!S18)*СПРАВОЧНИК!$N$7+('ФАКТ ЧИСТ ПОДЗЕМ'!T18)*СПРАВОЧНИК!$O$7+('ФАКТ ЧИСТ ПОДЗЕМ'!U18)*СПРАВОЧНИК!$L$8+('ФАКТ ЧИСТ ПОДЗЕМ'!V18)*СПРАВОЧНИК!$M$8+('ФАКТ ЧИСТ ПОДЗЕМ'!W18)*СПРАВОЧНИК!$N$8</f>
        <v/>
      </c>
      <c r="U27" s="18">
        <f>U26+7</f>
        <v/>
      </c>
      <c r="V27" s="37">
        <f>СПРАВОЧНИК!$E$9*('ПЛАН ЧЕРН К1'!B18*СПРАВОЧНИК!$H$9+'ПЛАН ЧЕРН К1'!C18*СПРАВОЧНИК!$I$9+'ПЛАН ЧЕРН К1'!D18*СПРАВОЧНИК!$J$9)+СПРАВОЧНИК!$E$10*('ПЛАН ЧЕРН К1'!E18*СПРАВОЧНИК!$H$10+'ПЛАН ЧЕРН К1'!F18*СПРАВОЧНИК!$I$10+'ПЛАН ЧЕРН К1'!G18*СПРАВОЧНИК!$J$10)+СПРАВОЧНИК!$E$11*('ПЛАН ЧЕРН К1'!H18*СПРАВОЧНИК!$H$11+'ПЛАН ЧЕРН К1'!I18*СПРАВОЧНИК!$I$11+'ПЛАН ЧЕРН К1'!J18*СПРАВОЧНИК!$J$11)+СПРАВОЧНИК!$E$12*('ПЛАН ЧЕРН К1'!K18*СПРАВОЧНИК!$H$12+'ПЛАН ЧЕРН К1'!L18*СПРАВОЧНИК!$I$12+'ПЛАН ЧЕРН К1'!M18*СПРАВОЧНИК!$J$12)+СПРАВОЧНИК!$E$13*('ПЛАН ЧЕРН К1'!N18*СПРАВОЧНИК!$H$13+'ПЛАН ЧЕРН К1'!O18*СПРАВОЧНИК!$I$13+'ПЛАН ЧЕРН К1'!P18*СПРАВОЧНИК!$J$13)+СПРАВОЧНИК!$E$14*('ПЛАН ЧЕРН К1'!Q18*СПРАВОЧНИК!$H$14+'ПЛАН ЧЕРН К1'!R18*СПРАВОЧНИК!$I$14+'ПЛАН ЧЕРН К1'!S18*СПРАВОЧНИК!$J$14)+СПРАВОЧНИК!$E$15*('ПЛАН ЧЕРН К1'!T18*СПРАВОЧНИК!$H$15+'ПЛАН ЧЕРН К1'!U18*СПРАВОЧНИК!$I$15+'ПЛАН ЧЕРН К1'!V18*СПРАВОЧНИК!$J$15)+СПРАВОЧНИК!$F$9*('ПЛАН ЧИСТ К1'!B18*СПРАВОЧНИК!$L$9+'ПЛАН ЧИСТ К1'!C18*СПРАВОЧНИК!$M$9+'ПЛАН ЧИСТ К1'!D18*СПРАВОЧНИК!$N$9+'ПЛАН ЧИСТ К1'!E18*СПРАВОЧНИК!$O$9)+СПРАВОЧНИК!$F$10*('ПЛАН ЧИСТ К1'!F18*СПРАВОЧНИК!$L$10+'ПЛАН ЧИСТ К1'!G18*СПРАВОЧНИК!$M$10+'ПЛАН ЧИСТ К1'!H18*СПРАВОЧНИК!$N$10+'ПЛАН ЧИСТ К1'!I18*СПРАВОЧНИК!$O$10)+СПРАВОЧНИК!$F$11*('ПЛАН ЧИСТ К1'!J18*СПРАВОЧНИК!$L$11+'ПЛАН ЧИСТ К1'!K18*СПРАВОЧНИК!$M$11+'ПЛАН ЧИСТ К1'!L18*СПРАВОЧНИК!$N$11)+СПРАВОЧНИК!$F$12*('ПЛАН ЧИСТ К1'!M18*СПРАВОЧНИК!$L$12+'ПЛАН ЧИСТ К1'!N18*СПРАВОЧНИК!$M$12+'ПЛАН ЧИСТ К1'!O18*СПРАВОЧНИК!$N$12+'ПЛАН ЧИСТ К1'!P18*СПРАВОЧНИК!$O$12)+СПРАВОЧНИК!$F$13*('ПЛАН ЧИСТ К1'!Q18*СПРАВОЧНИК!$L$13+'ПЛАН ЧИСТ К1'!R18*СПРАВОЧНИК!$M$13+'ПЛАН ЧИСТ К1'!S18*СПРАВОЧНИК!$N$13+'ПЛАН ЧИСТ К1'!T18*СПРАВОЧНИК!$O$13)+СПРАВОЧНИК!$F$14*('ПЛАН ЧИСТ К1'!U18*СПРАВОЧНИК!$L$14+'ПЛАН ЧИСТ К1'!V18*СПРАВОЧНИК!$M$14+'ПЛАН ЧИСТ К1'!W18*СПРАВОЧНИК!$N$14)+СПРАВОЧНИК!$F$15*('ПЛАН ЧИСТ К1'!X18*СПРАВОЧНИК!$L$15+'ПЛАН ЧИСТ К1'!Y18*СПРАВОЧНИК!$M$15+'ПЛАН ЧИСТ К1'!Z18*СПРАВОЧНИК!$N$15)</f>
        <v/>
      </c>
      <c r="W27" s="40">
        <f>СПРАВОЧНИК!$E$9*(('ФАКТ ЧЕРН К1'!B18)*СПРАВОЧНИК!$H$9+('ФАКТ ЧЕРН К1'!C18)*СПРАВОЧНИК!$I$9+('ФАКТ ЧЕРН К1'!D18)*СПРАВОЧНИК!$J$9)+СПРАВОЧНИК!$E$10*(('ФАКТ ЧЕРН К1'!E18)*СПРАВОЧНИК!$H$10+('ФАКТ ЧЕРН К1'!F18)*СПРАВОЧНИК!$I$10+('ФАКТ ЧЕРН К1'!G18)*СПРАВОЧНИК!$J$10)+СПРАВОЧНИК!$E$11*(('ФАКТ ЧЕРН К1'!H18)*СПРАВОЧНИК!$H$11+('ФАКТ ЧЕРН К1'!I18)*СПРАВОЧНИК!$I$11+('ФАКТ ЧЕРН К1'!J18)*СПРАВОЧНИК!$J$11)+СПРАВОЧНИК!$E$12*(('ФАКТ ЧЕРН К1'!K18)*СПРАВОЧНИК!$H$12+('ФАКТ ЧЕРН К1'!L18)*СПРАВОЧНИК!$I$12+('ФАКТ ЧЕРН К1'!M18)*СПРАВОЧНИК!$J$12)+СПРАВОЧНИК!$E$13*(('ФАКТ ЧЕРН К1'!N18)*СПРАВОЧНИК!$H$13+('ФАКТ ЧЕРН К1'!O18)*СПРАВОЧНИК!$I$13+('ФАКТ ЧЕРН К1'!P18)*СПРАВОЧНИК!$J$13)+СПРАВОЧНИК!$E$14*(('ФАКТ ЧЕРН К1'!Q18)*СПРАВОЧНИК!$H$14+('ФАКТ ЧЕРН К1'!R18)*СПРАВОЧНИК!$I$14+('ФАКТ ЧЕРН К1'!S18)*СПРАВОЧНИК!$J$14)+СПРАВОЧНИК!$E$15*(('ФАКТ ЧЕРН К1'!T18)*СПРАВОЧНИК!$H$15+('ФАКТ ЧЕРН К1'!U18)*СПРАВОЧНИК!$I$15+('ФАКТ ЧЕРН К1'!V18)*СПРАВОЧНИК!$J$15)+СПРАВОЧНИК!$F$9*(('ФАКТ ЧИСТ К1'!B18)*СПРАВОЧНИК!$L$9+('ФАКТ ЧИСТ К1'!C18)*СПРАВОЧНИК!$M$9+('ФАКТ ЧИСТ К1'!D18)*СПРАВОЧНИК!$N$9+('ФАКТ ЧИСТ К1'!E18)*СПРАВОЧНИК!$O$9)+СПРАВОЧНИК!$F$10*(('ФАКТ ЧИСТ К1'!F18)*СПРАВОЧНИК!$L$10+('ФАКТ ЧИСТ К1'!G18)*СПРАВОЧНИК!$M$10+('ФАКТ ЧИСТ К1'!H18)*СПРАВОЧНИК!$N$10+('ФАКТ ЧИСТ К1'!I18)*СПРАВОЧНИК!$O$10)+СПРАВОЧНИК!$F$11*(('ФАКТ ЧИСТ К1'!J18)*СПРАВОЧНИК!$L$11+('ФАКТ ЧИСТ К1'!K18)*СПРАВОЧНИК!$M$11+('ФАКТ ЧИСТ К1'!L18)*СПРАВОЧНИК!$N$11)+СПРАВОЧНИК!$F$12*(('ФАКТ ЧИСТ К1'!M18)*СПРАВОЧНИК!$L$12+('ФАКТ ЧИСТ К1'!N18)*СПРАВОЧНИК!$M$12+('ФАКТ ЧИСТ К1'!O18)*СПРАВОЧНИК!$N$12+('ФАКТ ЧИСТ К1'!P18)*СПРАВОЧНИК!$O$12)+СПРАВОЧНИК!$F$13*(('ФАКТ ЧИСТ К1'!Q18)*СПРАВОЧНИК!$L$13+('ФАКТ ЧИСТ К1'!R18)*СПРАВОЧНИК!$M$13+('ФАКТ ЧИСТ К1'!S18)*СПРАВОЧНИК!$N$13+('ФАКТ ЧИСТ К1'!T18)*СПРАВОЧНИК!$O$13)+СПРАВОЧНИК!$F$14*(('ФАКТ ЧИСТ К1'!U18)*СПРАВОЧНИК!$L$14+('ФАКТ ЧИСТ К1'!V18)*СПРАВОЧНИК!$M$14+('ФАКТ ЧИСТ К1'!W18)*СПРАВОЧНИК!$N$14)+СПРАВОЧНИК!$F$15*(('ФАКТ ЧИСТ К1'!X18)*СПРАВОЧНИК!$L$15+('ФАКТ ЧИСТ К1'!Y18)*СПРАВОЧНИК!$M$15+('ФАКТ ЧИСТ К1'!Z18)*СПРАВОЧНИК!$N$15)</f>
        <v/>
      </c>
      <c r="AA27" s="18">
        <f>AA26+7</f>
        <v/>
      </c>
      <c r="AB27" s="37">
        <f>'ПЛАН ЧЕРН К1'!B18*СПРАВОЧНИК!$H$9+'ПЛАН ЧЕРН К1'!C18*СПРАВОЧНИК!$I$9+'ПЛАН ЧЕРН К1'!D18*СПРАВОЧНИК!$J$9+'ПЛАН ЧЕРН К1'!E18*СПРАВОЧНИК!$H$10+'ПЛАН ЧЕРН К1'!F18*СПРАВОЧНИК!$I$10+'ПЛАН ЧЕРН К1'!G18*СПРАВОЧНИК!$J$10+'ПЛАН ЧЕРН К1'!H18*СПРАВОЧНИК!$H$11+'ПЛАН ЧЕРН К1'!I18*СПРАВОЧНИК!$I$11+'ПЛАН ЧЕРН К1'!J18*СПРАВОЧНИК!$J$11+'ПЛАН ЧЕРН К1'!K18*СПРАВОЧНИК!$H$12+'ПЛАН ЧЕРН К1'!L18*СПРАВОЧНИК!$I$12+'ПЛАН ЧЕРН К1'!M18*СПРАВОЧНИК!$J$12+'ПЛАН ЧЕРН К1'!N18*СПРАВОЧНИК!$H$13+'ПЛАН ЧЕРН К1'!O18*СПРАВОЧНИК!$I$13+'ПЛАН ЧЕРН К1'!P18*СПРАВОЧНИК!$J$13+'ПЛАН ЧЕРН К1'!Q18*СПРАВОЧНИК!$H$14+'ПЛАН ЧЕРН К1'!R18*СПРАВОЧНИК!$I$14+'ПЛАН ЧЕРН К1'!S18*СПРАВОЧНИК!$J$14+'ПЛАН ЧЕРН К1'!T18*СПРАВОЧНИК!$H$15+'ПЛАН ЧЕРН К1'!U18*СПРАВОЧНИК!$I$15+'ПЛАН ЧЕРН К1'!V18*СПРАВОЧНИК!$J$15</f>
        <v/>
      </c>
      <c r="AC27" s="40">
        <f>('ФАКТ ЧЕРН К1'!B18)*СПРАВОЧНИК!$H$9+('ФАКТ ЧЕРН К1'!C18)*СПРАВОЧНИК!$I$9+('ФАКТ ЧЕРН К1'!D18)*СПРАВОЧНИК!$J$9+('ФАКТ ЧЕРН К1'!E18)*СПРАВОЧНИК!$H$10+('ФАКТ ЧЕРН К1'!F18)*СПРАВОЧНИК!$I$10+('ФАКТ ЧЕРН К1'!G18)*СПРАВОЧНИК!$J$10+('ФАКТ ЧЕРН К1'!H18)*СПРАВОЧНИК!$H$11+('ФАКТ ЧЕРН К1'!I18)*СПРАВОЧНИК!$I$11+('ФАКТ ЧЕРН К1'!J18)*СПРАВОЧНИК!$J$11+('ФАКТ ЧЕРН К1'!K18)*СПРАВОЧНИК!$H$12+('ФАКТ ЧЕРН К1'!L18)*СПРАВОЧНИК!$I$12+('ФАКТ ЧЕРН К1'!M18)*СПРАВОЧНИК!$J$12+('ФАКТ ЧЕРН К1'!N18)*СПРАВОЧНИК!$H$13+('ФАКТ ЧЕРН К1'!O18)*СПРАВОЧНИК!$I$13+('ФАКТ ЧЕРН К1'!P18)*СПРАВОЧНИК!$J$13+('ФАКТ ЧЕРН К1'!Q18)*СПРАВОЧНИК!$H$14+('ФАКТ ЧЕРН К1'!R18)*СПРАВОЧНИК!$I$14+('ФАКТ ЧЕРН К1'!S18)*СПРАВОЧНИК!$J$14+('ФАКТ ЧЕРН К1'!T18)*СПРАВОЧНИК!$H$15+('ФАКТ ЧЕРН К1'!U18)*СПРАВОЧНИК!$I$15+('ФАКТ ЧЕРН К1'!V18)*СПРАВОЧНИК!$J$15</f>
        <v/>
      </c>
      <c r="AG27" s="18">
        <f>AG26+7</f>
        <v/>
      </c>
      <c r="AH27" s="37">
        <f>'ПЛАН ЧИСТ К1'!B18*СПРАВОЧНИК!$L$9+'ПЛАН ЧИСТ К1'!C18*СПРАВОЧНИК!$M$9+'ПЛАН ЧИСТ К1'!D18*СПРАВОЧНИК!$N$9+'ПЛАН ЧИСТ К1'!E18*СПРАВОЧНИК!$O$9+'ПЛАН ЧИСТ К1'!F18*СПРАВОЧНИК!$L$10+'ПЛАН ЧИСТ К1'!G18*СПРАВОЧНИК!$M$10+'ПЛАН ЧИСТ К1'!H18*СПРАВОЧНИК!$N$10+'ПЛАН ЧИСТ К1'!I18*СПРАВОЧНИК!$O$10+'ПЛАН ЧИСТ К1'!J18*СПРАВОЧНИК!$L$11+'ПЛАН ЧИСТ К1'!K18*СПРАВОЧНИК!$M$11+'ПЛАН ЧИСТ К1'!L18*СПРАВОЧНИК!$N$11+'ПЛАН ЧИСТ К1'!M18*СПРАВОЧНИК!$L$12+'ПЛАН ЧИСТ К1'!N18*СПРАВОЧНИК!$M$12+'ПЛАН ЧИСТ К1'!O18*СПРАВОЧНИК!$N$12+'ПЛАН ЧИСТ К1'!P18*СПРАВОЧНИК!$O$12+'ПЛАН ЧИСТ К1'!Q18*СПРАВОЧНИК!$L$13+'ПЛАН ЧИСТ К1'!R18*СПРАВОЧНИК!$M$13+'ПЛАН ЧИСТ К1'!S18*СПРАВОЧНИК!$N$13+'ПЛАН ЧИСТ К1'!T18*СПРАВОЧНИК!$O$13+'ПЛАН ЧИСТ К1'!U18*СПРАВОЧНИК!$L$14+'ПЛАН ЧИСТ К1'!V18*СПРАВОЧНИК!$M$14+'ПЛАН ЧИСТ К1'!W18*СПРАВОЧНИК!$N$14+'ПЛАН ЧИСТ К1'!X18*СПРАВОЧНИК!$L$15+'ПЛАН ЧИСТ К1'!Y18*СПРАВОЧНИК!$M$15+'ПЛАН ЧИСТ К1'!Z18*СПРАВОЧНИК!$N$15</f>
        <v/>
      </c>
      <c r="AI27" s="40">
        <f>('ФАКТ ЧИСТ К1'!B18)*СПРАВОЧНИК!$L$9+('ФАКТ ЧИСТ К1'!C18)*СПРАВОЧНИК!$M$9+('ФАКТ ЧИСТ К1'!D18)*СПРАВОЧНИК!$N$9+('ФАКТ ЧИСТ К1'!E18)*СПРАВОЧНИК!$O$9+('ФАКТ ЧИСТ К1'!F18)*СПРАВОЧНИК!$L$10+('ФАКТ ЧИСТ К1'!G18)*СПРАВОЧНИК!$M$10+('ФАКТ ЧИСТ К1'!H18)*СПРАВОЧНИК!$N$10+('ФАКТ ЧИСТ К1'!I18)*СПРАВОЧНИК!$O$10+('ФАКТ ЧИСТ К1'!J18)*СПРАВОЧНИК!$L$11+('ФАКТ ЧИСТ К1'!K18)*СПРАВОЧНИК!$M$11+('ФАКТ ЧИСТ К1'!L18)*СПРАВОЧНИК!$N$11+('ФАКТ ЧИСТ К1'!M18)*СПРАВОЧНИК!$L$12+('ФАКТ ЧИСТ К1'!N18)*СПРАВОЧНИК!$M$12+('ФАКТ ЧИСТ К1'!O18)*СПРАВОЧНИК!$N$12+('ФАКТ ЧИСТ К1'!P18)*СПРАВОЧНИК!$O$12+('ФАКТ ЧИСТ К1'!Q18)*СПРАВОЧНИК!$L$13+('ФАКТ ЧИСТ К1'!R18)*СПРАВОЧНИК!$M$13+('ФАКТ ЧИСТ К1'!S18)*СПРАВОЧНИК!$N$13+('ФАКТ ЧИСТ К1'!T18)*СПРАВОЧНИК!$O$13+('ФАКТ ЧИСТ К1'!U18)*СПРАВОЧНИК!$L$14+('ФАКТ ЧИСТ К1'!V18)*СПРАВОЧНИК!$M$14+('ФАКТ ЧИСТ К1'!W18)*СПРАВОЧНИК!$N$14+('ФАКТ ЧИСТ К1'!X18)*СПРАВОЧНИК!$L$15+('ФАКТ ЧИСТ К1'!Y18)*СПРАВОЧНИК!$M$15+('ФАКТ ЧИСТ К1'!Z18)*СПРАВОЧНИК!$N$15</f>
        <v/>
      </c>
      <c r="AM27" s="18">
        <f>AM26+7</f>
        <v/>
      </c>
      <c r="AN27" s="37">
        <f>СПРАВОЧНИК!$E$9*('ПЛАН ЧЕРН К2'!B18*СПРАВОЧНИК!$H$9+'ПЛАН ЧЕРН К2'!C18*СПРАВОЧНИК!$I$9+'ПЛАН ЧЕРН К2'!D18*СПРАВОЧНИК!$J$9)+СПРАВОЧНИК!$E$10*('ПЛАН ЧЕРН К2'!E18*СПРАВОЧНИК!$H$10+'ПЛАН ЧЕРН К2'!F18*СПРАВОЧНИК!$I$10+'ПЛАН ЧЕРН К2'!G18*СПРАВОЧНИК!$J$10)+СПРАВОЧНИК!$E$11*('ПЛАН ЧЕРН К2'!H18*СПРАВОЧНИК!$H$11+'ПЛАН ЧЕРН К2'!I18*СПРАВОЧНИК!$I$11+'ПЛАН ЧЕРН К2'!J18*СПРАВОЧНИК!$J$11)+СПРАВОЧНИК!$E$12*('ПЛАН ЧЕРН К2'!K18*СПРАВОЧНИК!$H$12+'ПЛАН ЧЕРН К2'!L18*СПРАВОЧНИК!$I$12+'ПЛАН ЧЕРН К2'!M18*СПРАВОЧНИК!$J$12)+СПРАВОЧНИК!$E$13*('ПЛАН ЧЕРН К2'!N18*СПРАВОЧНИК!$H$13+'ПЛАН ЧЕРН К2'!O18*СПРАВОЧНИК!$I$13+'ПЛАН ЧЕРН К2'!P18*СПРАВОЧНИК!$J$13)+СПРАВОЧНИК!$E$14*('ПЛАН ЧЕРН К2'!Q18*СПРАВОЧНИК!$H$14+'ПЛАН ЧЕРН К2'!R18*СПРАВОЧНИК!$I$14+'ПЛАН ЧЕРН К2'!S18*СПРАВОЧНИК!$J$14)+СПРАВОЧНИК!$E$15*('ПЛАН ЧЕРН К2'!T18*СПРАВОЧНИК!$H$15+'ПЛАН ЧЕРН К2'!U18*СПРАВОЧНИК!$I$15+'ПЛАН ЧЕРН К2'!V18*СПРАВОЧНИК!$J$15)+СПРАВОЧНИК!$F$9*('ПЛАН ЧИСТ К2'!B18*СПРАВОЧНИК!$L$9+'ПЛАН ЧИСТ К2'!C18*СПРАВОЧНИК!$M$9+'ПЛАН ЧИСТ К2'!D18*СПРАВОЧНИК!$N$9+'ПЛАН ЧИСТ К2'!E18*СПРАВОЧНИК!$O$9)+СПРАВОЧНИК!$F$10*('ПЛАН ЧИСТ К2'!F18*СПРАВОЧНИК!$L$10+'ПЛАН ЧИСТ К2'!G18*СПРАВОЧНИК!$M$10+'ПЛАН ЧИСТ К2'!H18*СПРАВОЧНИК!$N$10+'ПЛАН ЧИСТ К2'!I18*СПРАВОЧНИК!$O$10)+СПРАВОЧНИК!$F$11*('ПЛАН ЧИСТ К2'!J18*СПРАВОЧНИК!$L$11+'ПЛАН ЧИСТ К2'!K18*СПРАВОЧНИК!$M$11+'ПЛАН ЧИСТ К2'!L18*СПРАВОЧНИК!$N$11)+СПРАВОЧНИК!$F$12*('ПЛАН ЧИСТ К2'!M18*СПРАВОЧНИК!$L$12+'ПЛАН ЧИСТ К2'!N18*СПРАВОЧНИК!$M$12+'ПЛАН ЧИСТ К2'!O18*СПРАВОЧНИК!$N$12+'ПЛАН ЧИСТ К2'!P18*СПРАВОЧНИК!$O$12)+СПРАВОЧНИК!$F$13*('ПЛАН ЧИСТ К2'!Q18*СПРАВОЧНИК!$L$13+'ПЛАН ЧИСТ К2'!R18*СПРАВОЧНИК!$M$13+'ПЛАН ЧИСТ К2'!S18*СПРАВОЧНИК!$N$13+'ПЛАН ЧИСТ К2'!T18*СПРАВОЧНИК!$O$13)+СПРАВОЧНИК!$F$14*('ПЛАН ЧИСТ К2'!U18*СПРАВОЧНИК!$L$14+'ПЛАН ЧИСТ К2'!V18*СПРАВОЧНИК!$M$14+'ПЛАН ЧИСТ К2'!W18*СПРАВОЧНИК!$N$14)+СПРАВОЧНИК!$F$15*('ПЛАН ЧИСТ К2'!X18*СПРАВОЧНИК!$L$15+'ПЛАН ЧИСТ К2'!Y18*СПРАВОЧНИК!$M$15+'ПЛАН ЧИСТ К2'!Z18*СПРАВОЧНИК!$N$15)</f>
        <v/>
      </c>
      <c r="AO27" s="40">
        <f>СПРАВОЧНИК!$E$9*(('ФАКТ ЧЕРН К2'!B18)*СПРАВОЧНИК!$H$9+('ФАКТ ЧЕРН К2'!C18)*СПРАВОЧНИК!$I$9+('ФАКТ ЧЕРН К2'!D18)*СПРАВОЧНИК!$J$9)+СПРАВОЧНИК!$E$10*(('ФАКТ ЧЕРН К2'!E18)*СПРАВОЧНИК!$H$10+('ФАКТ ЧЕРН К2'!F18)*СПРАВОЧНИК!$I$10+('ФАКТ ЧЕРН К2'!G18)*СПРАВОЧНИК!$J$10)+СПРАВОЧНИК!$E$11*(('ФАКТ ЧЕРН К2'!H18)*СПРАВОЧНИК!$H$11+('ФАКТ ЧЕРН К2'!I18)*СПРАВОЧНИК!$I$11+('ФАКТ ЧЕРН К2'!J18)*СПРАВОЧНИК!$J$11)+СПРАВОЧНИК!$E$12*(('ФАКТ ЧЕРН К2'!K18)*СПРАВОЧНИК!$H$12+('ФАКТ ЧЕРН К2'!L18)*СПРАВОЧНИК!$I$12+('ФАКТ ЧЕРН К2'!M18)*СПРАВОЧНИК!$J$12)+СПРАВОЧНИК!$E$13*(('ФАКТ ЧЕРН К2'!N18)*СПРАВОЧНИК!$H$13+('ФАКТ ЧЕРН К2'!O18)*СПРАВОЧНИК!$I$13+('ФАКТ ЧЕРН К2'!P18)*СПРАВОЧНИК!$J$13)+СПРАВОЧНИК!$E$14*(('ФАКТ ЧЕРН К2'!Q18)*СПРАВОЧНИК!$H$14+('ФАКТ ЧЕРН К2'!R18)*СПРАВОЧНИК!$I$14+('ФАКТ ЧЕРН К2'!S18)*СПРАВОЧНИК!$J$14)+СПРАВОЧНИК!$E$15*(('ФАКТ ЧЕРН К2'!T18)*СПРАВОЧНИК!$H$15+('ФАКТ ЧЕРН К2'!U18)*СПРАВОЧНИК!$I$15+('ФАКТ ЧЕРН К2'!V18)*СПРАВОЧНИК!$J$15)+СПРАВОЧНИК!$F$9*(('ФАКТ ЧИСТ К2'!B18)*СПРАВОЧНИК!$L$9+('ФАКТ ЧИСТ К2'!C18)*СПРАВОЧНИК!$M$9+('ФАКТ ЧИСТ К2'!D18)*СПРАВОЧНИК!$N$9+('ФАКТ ЧИСТ К2'!E18)*СПРАВОЧНИК!$O$9)+СПРАВОЧНИК!$F$10*(('ФАКТ ЧИСТ К2'!F18)*СПРАВОЧНИК!$L$10+('ФАКТ ЧИСТ К2'!G18)*СПРАВОЧНИК!$M$10+('ФАКТ ЧИСТ К2'!H18)*СПРАВОЧНИК!$N$10+('ФАКТ ЧИСТ К2'!I18)*СПРАВОЧНИК!$O$10)+СПРАВОЧНИК!$F$11*(('ФАКТ ЧИСТ К2'!J18)*СПРАВОЧНИК!$L$11+('ФАКТ ЧИСТ К2'!K18)*СПРАВОЧНИК!$M$11+('ФАКТ ЧИСТ К2'!L18)*СПРАВОЧНИК!$N$11)+СПРАВОЧНИК!$F$12*(('ФАКТ ЧИСТ К2'!M18)*СПРАВОЧНИК!$L$12+('ФАКТ ЧИСТ К2'!N18)*СПРАВОЧНИК!$M$12+('ФАКТ ЧИСТ К2'!O18)*СПРАВОЧНИК!$N$12+('ФАКТ ЧИСТ К2'!P18)*СПРАВОЧНИК!$O$12)+СПРАВОЧНИК!$F$13*(('ФАКТ ЧИСТ К2'!Q18)*СПРАВОЧНИК!$L$13+('ФАКТ ЧИСТ К2'!R18)*СПРАВОЧНИК!$M$13+('ФАКТ ЧИСТ К2'!S18)*СПРАВОЧНИК!$N$13+('ФАКТ ЧИСТ К2'!T18)*СПРАВОЧНИК!$O$13)+СПРАВОЧНИК!$F$14*(('ФАКТ ЧИСТ К2'!U18)*СПРАВОЧНИК!$L$14+('ФАКТ ЧИСТ К2'!V18)*СПРАВОЧНИК!$M$14+('ФАКТ ЧИСТ К2'!W18)*СПРАВОЧНИК!$N$14)+СПРАВОЧНИК!$F$15*(('ФАКТ ЧИСТ К2'!X18)*СПРАВОЧНИК!$L$15+('ФАКТ ЧИСТ К2'!Y18)*СПРАВОЧНИК!$M$15+('ФАКТ ЧИСТ К2'!Z18)*СПРАВОЧНИК!$N$15)</f>
        <v/>
      </c>
      <c r="AS27" s="18">
        <f>AS26+7</f>
        <v/>
      </c>
      <c r="AT27" s="37">
        <f>'ПЛАН ЧЕРН К2'!B18*СПРАВОЧНИК!$H$9+'ПЛАН ЧЕРН К2'!C18*СПРАВОЧНИК!$I$9+'ПЛАН ЧЕРН К2'!D18*СПРАВОЧНИК!$J$9+'ПЛАН ЧЕРН К2'!E18*СПРАВОЧНИК!$H$10+'ПЛАН ЧЕРН К2'!F18*СПРАВОЧНИК!$I$10+'ПЛАН ЧЕРН К2'!G18*СПРАВОЧНИК!$J$10+'ПЛАН ЧЕРН К2'!H18*СПРАВОЧНИК!$H$11+'ПЛАН ЧЕРН К2'!I18*СПРАВОЧНИК!$I$11+'ПЛАН ЧЕРН К2'!J18*СПРАВОЧНИК!$J$11+'ПЛАН ЧЕРН К2'!K18*СПРАВОЧНИК!$H$12+'ПЛАН ЧЕРН К2'!L18*СПРАВОЧНИК!$I$12+'ПЛАН ЧЕРН К2'!M18*СПРАВОЧНИК!$J$12+'ПЛАН ЧЕРН К2'!N18*СПРАВОЧНИК!$H$13+'ПЛАН ЧЕРН К2'!O18*СПРАВОЧНИК!$I$13+'ПЛАН ЧЕРН К2'!P18*СПРАВОЧНИК!$J$13+'ПЛАН ЧЕРН К2'!Q18*СПРАВОЧНИК!$H$14+'ПЛАН ЧЕРН К2'!R18*СПРАВОЧНИК!$I$14+'ПЛАН ЧЕРН К2'!S18*СПРАВОЧНИК!$J$14+'ПЛАН ЧЕРН К2'!T18*СПРАВОЧНИК!$H$15+'ПЛАН ЧЕРН К2'!U18*СПРАВОЧНИК!$I$15+'ПЛАН ЧЕРН К2'!V18*СПРАВОЧНИК!$J$15</f>
        <v/>
      </c>
      <c r="AU27" s="40">
        <f>('ФАКТ ЧЕРН К2'!B18)*СПРАВОЧНИК!$H$9+('ФАКТ ЧЕРН К2'!C18)*СПРАВОЧНИК!$I$9+('ФАКТ ЧЕРН К2'!D18)*СПРАВОЧНИК!$J$9+('ФАКТ ЧЕРН К2'!E18)*СПРАВОЧНИК!$H$10+('ФАКТ ЧЕРН К2'!F18)*СПРАВОЧНИК!$I$10+('ФАКТ ЧЕРН К2'!G18)*СПРАВОЧНИК!$J$10+('ФАКТ ЧЕРН К2'!H18)*СПРАВОЧНИК!$H$11+('ФАКТ ЧЕРН К2'!I18)*СПРАВОЧНИК!$I$11+('ФАКТ ЧЕРН К2'!J18)*СПРАВОЧНИК!$J$11+('ФАКТ ЧЕРН К2'!K18)*СПРАВОЧНИК!$H$12+('ФАКТ ЧЕРН К2'!L18)*СПРАВОЧНИК!$I$12+('ФАКТ ЧЕРН К2'!M18)*СПРАВОЧНИК!$J$12+('ФАКТ ЧЕРН К2'!N18)*СПРАВОЧНИК!$H$13+('ФАКТ ЧЕРН К2'!O18)*СПРАВОЧНИК!$I$13+('ФАКТ ЧЕРН К2'!P18)*СПРАВОЧНИК!$J$13+('ФАКТ ЧЕРН К2'!Q18)*СПРАВОЧНИК!$H$14+('ФАКТ ЧЕРН К2'!R18)*СПРАВОЧНИК!$I$14+('ФАКТ ЧЕРН К2'!S18)*СПРАВОЧНИК!$J$14+('ФАКТ ЧЕРН К2'!T18)*СПРАВОЧНИК!$H$15+('ФАКТ ЧЕРН К2'!U18)*СПРАВОЧНИК!$I$15+('ФАКТ ЧЕРН К2'!V18)*СПРАВОЧНИК!$J$15</f>
        <v/>
      </c>
      <c r="AY27" s="18">
        <f>AY26+7</f>
        <v/>
      </c>
      <c r="AZ27" s="37">
        <f>'ПЛАН ЧИСТ К2'!B18*СПРАВОЧНИК!$L$9+'ПЛАН ЧИСТ К2'!C18*СПРАВОЧНИК!$M$9+'ПЛАН ЧИСТ К2'!D18*СПРАВОЧНИК!$N$9+'ПЛАН ЧИСТ К2'!E18*СПРАВОЧНИК!$O$9+'ПЛАН ЧИСТ К2'!F18*СПРАВОЧНИК!$L$10+'ПЛАН ЧИСТ К2'!G18*СПРАВОЧНИК!$M$10+'ПЛАН ЧИСТ К2'!H18*СПРАВОЧНИК!$N$10+'ПЛАН ЧИСТ К2'!I18*СПРАВОЧНИК!$O$10+'ПЛАН ЧИСТ К2'!J18*СПРАВОЧНИК!$L$11+'ПЛАН ЧИСТ К2'!K18*СПРАВОЧНИК!$M$11+'ПЛАН ЧИСТ К2'!L18*СПРАВОЧНИК!$N$11+'ПЛАН ЧИСТ К2'!M18*СПРАВОЧНИК!$L$12+'ПЛАН ЧИСТ К2'!N18*СПРАВОЧНИК!$M$12+'ПЛАН ЧИСТ К2'!O18*СПРАВОЧНИК!$N$12+'ПЛАН ЧИСТ К2'!P18*СПРАВОЧНИК!$O$12+'ПЛАН ЧИСТ К2'!Q18*СПРАВОЧНИК!$L$13+'ПЛАН ЧИСТ К2'!R18*СПРАВОЧНИК!$M$13+'ПЛАН ЧИСТ К2'!S18*СПРАВОЧНИК!$N$13+'ПЛАН ЧИСТ К2'!T18*СПРАВОЧНИК!$O$13+'ПЛАН ЧИСТ К2'!U18*СПРАВОЧНИК!$L$14+'ПЛАН ЧИСТ К2'!V18*СПРАВОЧНИК!$M$14+'ПЛАН ЧИСТ К2'!W18*СПРАВОЧНИК!$N$14+'ПЛАН ЧИСТ К2'!X18*СПРАВОЧНИК!$L$15+'ПЛАН ЧИСТ К2'!Y18*СПРАВОЧНИК!$M$15+'ПЛАН ЧИСТ К2'!Z18*СПРАВОЧНИК!$N$15</f>
        <v/>
      </c>
      <c r="BA27" s="40">
        <f>('ФАКТ ЧИСТ К2'!B18)*СПРАВОЧНИК!$L$9+('ФАКТ ЧИСТ К2'!C18)*СПРАВОЧНИК!$M$9+('ФАКТ ЧИСТ К2'!D18)*СПРАВОЧНИК!$N$9+('ФАКТ ЧИСТ К2'!E18)*СПРАВОЧНИК!$O$9+('ФАКТ ЧИСТ К2'!F18)*СПРАВОЧНИК!$L$10+('ФАКТ ЧИСТ К2'!G18)*СПРАВОЧНИК!$M$10+('ФАКТ ЧИСТ К2'!H18)*СПРАВОЧНИК!$N$10+('ФАКТ ЧИСТ К2'!I18)*СПРАВОЧНИК!$O$10+('ФАКТ ЧИСТ К2'!J18)*СПРАВОЧНИК!$L$11+('ФАКТ ЧИСТ К2'!K18)*СПРАВОЧНИК!$M$11+('ФАКТ ЧИСТ К2'!L18)*СПРАВОЧНИК!$N$11+('ФАКТ ЧИСТ К2'!M18)*СПРАВОЧНИК!$L$12+('ФАКТ ЧИСТ К2'!N18)*СПРАВОЧНИК!$M$12+('ФАКТ ЧИСТ К2'!O18)*СПРАВОЧНИК!$N$12+('ФАКТ ЧИСТ К2'!P18)*СПРАВОЧНИК!$O$12+('ФАКТ ЧИСТ К2'!Q18)*СПРАВОЧНИК!$L$13+('ФАКТ ЧИСТ К2'!R18)*СПРАВОЧНИК!$M$13+('ФАКТ ЧИСТ К2'!S18)*СПРАВОЧНИК!$N$13+('ФАКТ ЧИСТ К2'!T18)*СПРАВОЧНИК!$O$13+('ФАКТ ЧИСТ К2'!U18)*СПРАВОЧНИК!$L$14+('ФАКТ ЧИСТ К2'!V18)*СПРАВОЧНИК!$M$14+('ФАКТ ЧИСТ К2'!W18)*СПРАВОЧНИК!$N$14+('ФАКТ ЧИСТ К2'!X18)*СПРАВОЧНИК!$L$15+('ФАКТ ЧИСТ К2'!Y18)*СПРАВОЧНИК!$M$15+('ФАКТ ЧИСТ К2'!Z18)*СПРАВОЧНИК!$N$15</f>
        <v/>
      </c>
      <c r="BE27" s="18">
        <f>BE26+7</f>
        <v/>
      </c>
      <c r="BF27" s="37">
        <f>СПРАВОЧНИК!$E$9*('ПЛАН ЧЕРН К3'!B18*СПРАВОЧНИК!$H$9+'ПЛАН ЧЕРН К3'!C18*СПРАВОЧНИК!$I$9+'ПЛАН ЧЕРН К3'!D18*СПРАВОЧНИК!$J$9)+СПРАВОЧНИК!$E$10*('ПЛАН ЧЕРН К3'!E18*СПРАВОЧНИК!$H$10+'ПЛАН ЧЕРН К3'!F18*СПРАВОЧНИК!$I$10+'ПЛАН ЧЕРН К3'!G18*СПРАВОЧНИК!$J$10)+СПРАВОЧНИК!$E$11*('ПЛАН ЧЕРН К3'!H18*СПРАВОЧНИК!$H$11+'ПЛАН ЧЕРН К3'!I18*СПРАВОЧНИК!$I$11+'ПЛАН ЧЕРН К3'!J18*СПРАВОЧНИК!$J$11)+СПРАВОЧНИК!$E$12*('ПЛАН ЧЕРН К3'!K18*СПРАВОЧНИК!$H$12+'ПЛАН ЧЕРН К3'!L18*СПРАВОЧНИК!$I$12+'ПЛАН ЧЕРН К3'!M18*СПРАВОЧНИК!$J$12)+СПРАВОЧНИК!$E$13*('ПЛАН ЧЕРН К3'!N18*СПРАВОЧНИК!$H$13+'ПЛАН ЧЕРН К3'!O18*СПРАВОЧНИК!$I$13+'ПЛАН ЧЕРН К3'!P18*СПРАВОЧНИК!$J$13)+СПРАВОЧНИК!$E$14*('ПЛАН ЧЕРН К3'!Q18*СПРАВОЧНИК!$H$14+'ПЛАН ЧЕРН К3'!R18*СПРАВОЧНИК!$I$14+'ПЛАН ЧЕРН К3'!S18*СПРАВОЧНИК!$J$14)+СПРАВОЧНИК!$E$15*('ПЛАН ЧЕРН К3'!T18*СПРАВОЧНИК!$H$15+'ПЛАН ЧЕРН К3'!U18*СПРАВОЧНИК!$I$15+'ПЛАН ЧЕРН К3'!V18*СПРАВОЧНИК!$J$15)+СПРАВОЧНИК!$F$9*('ПЛАН ЧИСТ К3'!B18*СПРАВОЧНИК!$L$9+'ПЛАН ЧИСТ К3'!C18*СПРАВОЧНИК!$M$9+'ПЛАН ЧИСТ К3'!D18*СПРАВОЧНИК!$N$9+'ПЛАН ЧИСТ К3'!E18*СПРАВОЧНИК!$O$9)+СПРАВОЧНИК!$F$10*('ПЛАН ЧИСТ К3'!F18*СПРАВОЧНИК!$L$10+'ПЛАН ЧИСТ К3'!G18*СПРАВОЧНИК!$M$10+'ПЛАН ЧИСТ К3'!H18*СПРАВОЧНИК!$N$10+'ПЛАН ЧИСТ К3'!I18*СПРАВОЧНИК!$O$10)+СПРАВОЧНИК!$F$11*('ПЛАН ЧИСТ К3'!J18*СПРАВОЧНИК!$L$11+'ПЛАН ЧИСТ К3'!K18*СПРАВОЧНИК!$M$11+'ПЛАН ЧИСТ К3'!L18*СПРАВОЧНИК!$N$11)+СПРАВОЧНИК!$F$12*('ПЛАН ЧИСТ К3'!M18*СПРАВОЧНИК!$L$12+'ПЛАН ЧИСТ К3'!N18*СПРАВОЧНИК!$M$12+'ПЛАН ЧИСТ К3'!O18*СПРАВОЧНИК!$N$12+'ПЛАН ЧИСТ К3'!P18*СПРАВОЧНИК!$O$12)+СПРАВОЧНИК!$F$13*('ПЛАН ЧИСТ К3'!Q18*СПРАВОЧНИК!$L$13+'ПЛАН ЧИСТ К3'!R18*СПРАВОЧНИК!$M$13+'ПЛАН ЧИСТ К3'!S18*СПРАВОЧНИК!$N$13+'ПЛАН ЧИСТ К3'!T18*СПРАВОЧНИК!$O$13)+СПРАВОЧНИК!$F$14*('ПЛАН ЧИСТ К3'!U18*СПРАВОЧНИК!$L$14+'ПЛАН ЧИСТ К3'!V18*СПРАВОЧНИК!$M$14+'ПЛАН ЧИСТ К3'!W18*СПРАВОЧНИК!$N$14)+СПРАВОЧНИК!$F$15*('ПЛАН ЧИСТ К3'!X18*СПРАВОЧНИК!$L$15+'ПЛАН ЧИСТ К3'!Y18*СПРАВОЧНИК!$M$15+'ПЛАН ЧИСТ К3'!Z18*СПРАВОЧНИК!$N$15)</f>
        <v/>
      </c>
      <c r="BG27" s="40">
        <f>СПРАВОЧНИК!$E$9*(('ФАКТ ЧЕРН К3'!B18)*СПРАВОЧНИК!$H$9+('ФАКТ ЧЕРН К3'!C18)*СПРАВОЧНИК!$I$9+('ФАКТ ЧЕРН К3'!D18)*СПРАВОЧНИК!$J$9)+СПРАВОЧНИК!$E$10*(('ФАКТ ЧЕРН К3'!E18)*СПРАВОЧНИК!$H$10+('ФАКТ ЧЕРН К3'!F18)*СПРАВОЧНИК!$I$10+('ФАКТ ЧЕРН К3'!G18)*СПРАВОЧНИК!$J$10)+СПРАВОЧНИК!$E$11*(('ФАКТ ЧЕРН К3'!H18)*СПРАВОЧНИК!$H$11+('ФАКТ ЧЕРН К3'!I18)*СПРАВОЧНИК!$I$11+('ФАКТ ЧЕРН К3'!J18)*СПРАВОЧНИК!$J$11)+СПРАВОЧНИК!$E$12*(('ФАКТ ЧЕРН К3'!K18)*СПРАВОЧНИК!$H$12+('ФАКТ ЧЕРН К3'!L18)*СПРАВОЧНИК!$I$12+('ФАКТ ЧЕРН К3'!M18)*СПРАВОЧНИК!$J$12)+СПРАВОЧНИК!$E$13*(('ФАКТ ЧЕРН К3'!N18)*СПРАВОЧНИК!$H$13+('ФАКТ ЧЕРН К3'!O18)*СПРАВОЧНИК!$I$13+('ФАКТ ЧЕРН К3'!P18)*СПРАВОЧНИК!$J$13)+СПРАВОЧНИК!$E$14*(('ФАКТ ЧЕРН К3'!Q18)*СПРАВОЧНИК!$H$14+('ФАКТ ЧЕРН К3'!R18)*СПРАВОЧНИК!$I$14+('ФАКТ ЧЕРН К3'!S18)*СПРАВОЧНИК!$J$14)+СПРАВОЧНИК!$E$15*(('ФАКТ ЧЕРН К3'!T18)*СПРАВОЧНИК!$H$15+('ФАКТ ЧЕРН К3'!U18)*СПРАВОЧНИК!$I$15+('ФАКТ ЧЕРН К3'!V18)*СПРАВОЧНИК!$J$15)+СПРАВОЧНИК!$F$9*(('ФАКТ ЧИСТ К3'!B18)*СПРАВОЧНИК!$L$9+('ФАКТ ЧИСТ К3'!C18)*СПРАВОЧНИК!$M$9+('ФАКТ ЧИСТ К3'!D18)*СПРАВОЧНИК!$N$9+('ФАКТ ЧИСТ К3'!E18)*СПРАВОЧНИК!$O$9)+СПРАВОЧНИК!$F$10*(('ФАКТ ЧИСТ К3'!F18)*СПРАВОЧНИК!$L$10+('ФАКТ ЧИСТ К3'!G18)*СПРАВОЧНИК!$M$10+('ФАКТ ЧИСТ К3'!H18)*СПРАВОЧНИК!$N$10+('ФАКТ ЧИСТ К3'!I18)*СПРАВОЧНИК!$O$10)+СПРАВОЧНИК!$F$11*(('ФАКТ ЧИСТ К3'!J18)*СПРАВОЧНИК!$L$11+('ФАКТ ЧИСТ К3'!K18)*СПРАВОЧНИК!$M$11+('ФАКТ ЧИСТ К3'!L18)*СПРАВОЧНИК!$N$11)+СПРАВОЧНИК!$F$12*(('ФАКТ ЧИСТ К3'!M18)*СПРАВОЧНИК!$L$12+('ФАКТ ЧИСТ К3'!N18)*СПРАВОЧНИК!$M$12+('ФАКТ ЧИСТ К3'!O18)*СПРАВОЧНИК!$N$12+('ФАКТ ЧИСТ К3'!P18)*СПРАВОЧНИК!$O$12)+СПРАВОЧНИК!$F$13*(('ФАКТ ЧИСТ К3'!Q18)*СПРАВОЧНИК!$L$13+('ФАКТ ЧИСТ К3'!R18)*СПРАВОЧНИК!$M$13+('ФАКТ ЧИСТ К3'!S18)*СПРАВОЧНИК!$N$13+('ФАКТ ЧИСТ К3'!T18)*СПРАВОЧНИК!$O$13)+СПРАВОЧНИК!$F$14*(('ФАКТ ЧИСТ К3'!U18)*СПРАВОЧНИК!$L$14+('ФАКТ ЧИСТ К3'!V18)*СПРАВОЧНИК!$M$14+('ФАКТ ЧИСТ К3'!W18)*СПРАВОЧНИК!$N$14)+СПРАВОЧНИК!$F$15*(('ФАКТ ЧИСТ К3'!X18)*СПРАВОЧНИК!$L$15+('ФАКТ ЧИСТ К3'!Y18)*СПРАВОЧНИК!$M$15+('ФАКТ ЧИСТ К3'!Z18)*СПРАВОЧНИК!$N$15)</f>
        <v/>
      </c>
      <c r="BK27" s="18">
        <f>BK26+7</f>
        <v/>
      </c>
      <c r="BL27" s="37">
        <f>'ПЛАН ЧЕРН К3'!B18*СПРАВОЧНИК!$H$9+'ПЛАН ЧЕРН К3'!C18*СПРАВОЧНИК!$I$9+'ПЛАН ЧЕРН К3'!D18*СПРАВОЧНИК!$J$9+'ПЛАН ЧЕРН К3'!E18*СПРАВОЧНИК!$H$10+'ПЛАН ЧЕРН К3'!F18*СПРАВОЧНИК!$I$10+'ПЛАН ЧЕРН К3'!G18*СПРАВОЧНИК!$J$10+'ПЛАН ЧЕРН К3'!H18*СПРАВОЧНИК!$H$11+'ПЛАН ЧЕРН К3'!I18*СПРАВОЧНИК!$I$11+'ПЛАН ЧЕРН К3'!J18*СПРАВОЧНИК!$J$11+'ПЛАН ЧЕРН К3'!K18*СПРАВОЧНИК!$H$12+'ПЛАН ЧЕРН К3'!L18*СПРАВОЧНИК!$I$12+'ПЛАН ЧЕРН К3'!M18*СПРАВОЧНИК!$J$12+'ПЛАН ЧЕРН К3'!N18*СПРАВОЧНИК!$H$13+'ПЛАН ЧЕРН К3'!O18*СПРАВОЧНИК!$I$13+'ПЛАН ЧЕРН К3'!P18*СПРАВОЧНИК!$J$13+'ПЛАН ЧЕРН К3'!Q18*СПРАВОЧНИК!$H$14+'ПЛАН ЧЕРН К3'!R18*СПРАВОЧНИК!$I$14+'ПЛАН ЧЕРН К3'!S18*СПРАВОЧНИК!$J$14+'ПЛАН ЧЕРН К3'!T18*СПРАВОЧНИК!$H$15+'ПЛАН ЧЕРН К3'!U18*СПРАВОЧНИК!$I$15+'ПЛАН ЧЕРН К3'!V18*СПРАВОЧНИК!$J$15</f>
        <v/>
      </c>
      <c r="BM27" s="40">
        <f>('ФАКТ ЧЕРН К3'!B18)*СПРАВОЧНИК!$H$9+('ФАКТ ЧЕРН К3'!C18)*СПРАВОЧНИК!$I$9+('ФАКТ ЧЕРН К3'!D18)*СПРАВОЧНИК!$J$9+('ФАКТ ЧЕРН К3'!E18)*СПРАВОЧНИК!$H$10+('ФАКТ ЧЕРН К3'!F18)*СПРАВОЧНИК!$I$10+('ФАКТ ЧЕРН К3'!G18)*СПРАВОЧНИК!$J$10+('ФАКТ ЧЕРН К3'!H18)*СПРАВОЧНИК!$H$11+('ФАКТ ЧЕРН К3'!I18)*СПРАВОЧНИК!$I$11+('ФАКТ ЧЕРН К3'!J18)*СПРАВОЧНИК!$J$11+('ФАКТ ЧЕРН К3'!K18)*СПРАВОЧНИК!$H$12+('ФАКТ ЧЕРН К3'!L18)*СПРАВОЧНИК!$I$12+('ФАКТ ЧЕРН К3'!M18)*СПРАВОЧНИК!$J$12+('ФАКТ ЧЕРН К3'!N18)*СПРАВОЧНИК!$H$13+('ФАКТ ЧЕРН К3'!O18)*СПРАВОЧНИК!$I$13+('ФАКТ ЧЕРН К3'!P18)*СПРАВОЧНИК!$J$13+('ФАКТ ЧЕРН К3'!Q18)*СПРАВОЧНИК!$H$14+('ФАКТ ЧЕРН К3'!R18)*СПРАВОЧНИК!$I$14+('ФАКТ ЧЕРН К3'!S18)*СПРАВОЧНИК!$J$14+('ФАКТ ЧЕРН К3'!T18)*СПРАВОЧНИК!$H$15+('ФАКТ ЧЕРН К3'!U18)*СПРАВОЧНИК!$I$15+('ФАКТ ЧЕРН К3'!V18)*СПРАВОЧНИК!$J$15</f>
        <v/>
      </c>
      <c r="BQ27" s="18">
        <f>BQ26+7</f>
        <v/>
      </c>
      <c r="BR27" s="37">
        <f>'ПЛАН ЧИСТ К3'!B18*СПРАВОЧНИК!$L$9+'ПЛАН ЧИСТ К3'!C18*СПРАВОЧНИК!$M$9+'ПЛАН ЧИСТ К3'!D18*СПРАВОЧНИК!$N$9+'ПЛАН ЧИСТ К3'!E18*СПРАВОЧНИК!$O$9+'ПЛАН ЧИСТ К3'!F18*СПРАВОЧНИК!$L$10+'ПЛАН ЧИСТ К3'!G18*СПРАВОЧНИК!$M$10+'ПЛАН ЧИСТ К3'!H18*СПРАВОЧНИК!$N$10+'ПЛАН ЧИСТ К3'!I18*СПРАВОЧНИК!$O$10+'ПЛАН ЧИСТ К3'!J18*СПРАВОЧНИК!$L$11+'ПЛАН ЧИСТ К3'!K18*СПРАВОЧНИК!$M$11+'ПЛАН ЧИСТ К3'!L18*СПРАВОЧНИК!$N$11+'ПЛАН ЧИСТ К3'!M18*СПРАВОЧНИК!$L$12+'ПЛАН ЧИСТ К3'!N18*СПРАВОЧНИК!$M$12+'ПЛАН ЧИСТ К3'!O18*СПРАВОЧНИК!$N$12+'ПЛАН ЧИСТ К3'!P18*СПРАВОЧНИК!$O$12+'ПЛАН ЧИСТ К3'!Q18*СПРАВОЧНИК!$L$13+'ПЛАН ЧИСТ К3'!R18*СПРАВОЧНИК!$M$13+'ПЛАН ЧИСТ К3'!S18*СПРАВОЧНИК!$N$13+'ПЛАН ЧИСТ К3'!T18*СПРАВОЧНИК!$O$13+'ПЛАН ЧИСТ К3'!U18*СПРАВОЧНИК!$L$14+'ПЛАН ЧИСТ К3'!V18*СПРАВОЧНИК!$M$14+'ПЛАН ЧИСТ К3'!W18*СПРАВОЧНИК!$N$14+'ПЛАН ЧИСТ К3'!X18*СПРАВОЧНИК!$L$15+'ПЛАН ЧИСТ К3'!Y18*СПРАВОЧНИК!$M$15+'ПЛАН ЧИСТ К3'!Z18*СПРАВОЧНИК!$N$15</f>
        <v/>
      </c>
      <c r="BS27" s="40">
        <f>('ФАКТ ЧИСТ К3'!B18)*СПРАВОЧНИК!$L$9+('ФАКТ ЧИСТ К3'!C18)*СПРАВОЧНИК!$M$9+('ФАКТ ЧИСТ К3'!D18)*СПРАВОЧНИК!$N$9+('ФАКТ ЧИСТ К3'!E18)*СПРАВОЧНИК!$O$9+('ФАКТ ЧИСТ К3'!F18)*СПРАВОЧНИК!$L$10+('ФАКТ ЧИСТ К3'!G18)*СПРАВОЧНИК!$M$10+('ФАКТ ЧИСТ К3'!H18)*СПРАВОЧНИК!$N$10+('ФАКТ ЧИСТ К3'!I18)*СПРАВОЧНИК!$O$10+('ФАКТ ЧИСТ К3'!J18)*СПРАВОЧНИК!$L$11+('ФАКТ ЧИСТ К3'!K18)*СПРАВОЧНИК!$M$11+('ФАКТ ЧИСТ К3'!L18)*СПРАВОЧНИК!$N$11+('ФАКТ ЧИСТ К3'!M18)*СПРАВОЧНИК!$L$12+('ФАКТ ЧИСТ К3'!N18)*СПРАВОЧНИК!$M$12+('ФАКТ ЧИСТ К3'!O18)*СПРАВОЧНИК!$N$12+('ФАКТ ЧИСТ К3'!P18)*СПРАВОЧНИК!$O$12+('ФАКТ ЧИСТ К3'!Q18)*СПРАВОЧНИК!$L$13+('ФАКТ ЧИСТ К3'!R18)*СПРАВОЧНИК!$M$13+('ФАКТ ЧИСТ К3'!S18)*СПРАВОЧНИК!$N$13+('ФАКТ ЧИСТ К3'!T18)*СПРАВОЧНИК!$O$13+('ФАКТ ЧИСТ К3'!U18)*СПРАВОЧНИК!$L$14+('ФАКТ ЧИСТ К3'!V18)*СПРАВОЧНИК!$M$14+('ФАКТ ЧИСТ К3'!W18)*СПРАВОЧНИК!$N$14+('ФАКТ ЧИСТ К3'!X18)*СПРАВОЧНИК!$L$15+('ФАКТ ЧИСТ К3'!Y18)*СПРАВОЧНИК!$M$15+('ФАКТ ЧИСТ К3'!Z18)*СПРАВОЧНИК!$N$15</f>
        <v/>
      </c>
      <c r="BW27" s="18">
        <f>BW26+7</f>
        <v/>
      </c>
      <c r="BX27" s="37">
        <f>V27+AN27+BF27</f>
        <v/>
      </c>
      <c r="BY27" s="40">
        <f>W27+AO27+BG27</f>
        <v/>
      </c>
      <c r="CC27" s="18">
        <f>CC26+7</f>
        <v/>
      </c>
      <c r="CD27" s="37">
        <f>AB27+AT27+BL27</f>
        <v/>
      </c>
      <c r="CE27" s="40">
        <f>AC27+AU27+BM27</f>
        <v/>
      </c>
      <c r="CI27" s="18">
        <f>CI26+7</f>
        <v/>
      </c>
      <c r="CJ27" s="37">
        <f>AH27+AZ27+BR27</f>
        <v/>
      </c>
      <c r="CK27" s="40">
        <f>AI27+BA27+BS27</f>
        <v/>
      </c>
      <c r="CO27" s="18">
        <f>CO26+7</f>
        <v/>
      </c>
      <c r="CP27" s="37">
        <f>D27+BX27</f>
        <v/>
      </c>
      <c r="CQ27" s="40">
        <f>E27+BY27</f>
        <v/>
      </c>
      <c r="CU27" s="18">
        <f>CU26+7</f>
        <v/>
      </c>
      <c r="CV27" s="37">
        <f>J27+CD27</f>
        <v/>
      </c>
      <c r="CW27" s="40">
        <f>K27+CE27</f>
        <v/>
      </c>
      <c r="DA27" s="18">
        <f>DA26+7</f>
        <v/>
      </c>
      <c r="DB27" s="37">
        <f>P27+CJ27</f>
        <v/>
      </c>
      <c r="DC27" s="40">
        <f>Q27+CK27</f>
        <v/>
      </c>
    </row>
    <row r="28">
      <c r="C28" s="18">
        <f>C27+7</f>
        <v/>
      </c>
      <c r="D28" s="37">
        <f>СПРАВОЧНИК!$E$3*('ПЛАН ЧЕРН ПОДЗЕМ'!B19*СПРАВОЧНИК!$H$3+'ПЛАН ЧЕРН ПОДЗЕМ'!C19*СПРАВОЧНИК!$I$3+'ПЛАН ЧЕРН ПОДЗЕМ'!D19*СПРАВОЧНИК!$J$3)+СПРАВОЧНИК!$E$4*('ПЛАН ЧЕРН ПОДЗЕМ'!E19*СПРАВОЧНИК!$H$4+'ПЛАН ЧЕРН ПОДЗЕМ'!F19*СПРАВОЧНИК!$I$4+'ПЛАН ЧЕРН ПОДЗЕМ'!G19*СПРАВОЧНИК!$J$4)+СПРАВОЧНИК!$E$5*('ПЛАН ЧЕРН ПОДЗЕМ'!H19*СПРАВОЧНИК!$H$5+'ПЛАН ЧЕРН ПОДЗЕМ'!I19*СПРАВОЧНИК!$I$5+'ПЛАН ЧЕРН ПОДЗЕМ'!J19*СПРАВОЧНИК!$J$5)+СПРАВОЧНИК!$E$6*('ПЛАН ЧЕРН ПОДЗЕМ'!K19*СПРАВОЧНИК!$H$6+'ПЛАН ЧЕРН ПОДЗЕМ'!L19*СПРАВОЧНИК!$I$6+'ПЛАН ЧЕРН ПОДЗЕМ'!M19*СПРАВОЧНИК!$J$6)+СПРАВОЧНИК!$E$7*('ПЛАН ЧЕРН ПОДЗЕМ'!N19*СПРАВОЧНИК!$H$7+'ПЛАН ЧЕРН ПОДЗЕМ'!O19*СПРАВОЧНИК!$I$7+'ПЛАН ЧЕРН ПОДЗЕМ'!P19*СПРАВОЧНИК!$J$7)+СПРАВОЧНИК!$E$8*('ПЛАН ЧЕРН ПОДЗЕМ'!Q19*СПРАВОЧНИК!$H$8+'ПЛАН ЧЕРН ПОДЗЕМ'!R19*СПРАВОЧНИК!$I$8+'ПЛАН ЧЕРН ПОДЗЕМ'!S19*СПРАВОЧНИК!$J$8)+СПРАВОЧНИК!$F$3*('ПЛАН ЧИСТ ПОДЗЕМ'!B19*СПРАВОЧНИК!$L$3+'ПЛАН ЧИСТ ПОДЗЕМ'!C19*СПРАВОЧНИК!$M$3+'ПЛАН ЧИСТ ПОДЗЕМ'!D19*СПРАВОЧНИК!$N$3+'ПЛАН ЧИСТ ПОДЗЕМ'!E19*СПРАВОЧНИК!$O$3)+СПРАВОЧНИК!$F$4*('ПЛАН ЧИСТ ПОДЗЕМ'!F19*СПРАВОЧНИК!$L$4+'ПЛАН ЧИСТ ПОДЗЕМ'!G19*СПРАВОЧНИК!$M$4+'ПЛАН ЧИСТ ПОДЗЕМ'!H19*СПРАВОЧНИК!$N$4+'ПЛАН ЧИСТ ПОДЗЕМ'!I19*СПРАВОЧНИК!$O$4)+СПРАВОЧНИК!$F$5*('ПЛАН ЧИСТ ПОДЗЕМ'!J19*СПРАВОЧНИК!$L$5+'ПЛАН ЧИСТ ПОДЗЕМ'!K19*СПРАВОЧНИК!$M$5+'ПЛАН ЧИСТ ПОДЗЕМ'!L19*СПРАВОЧНИК!$N$5)+СПРАВОЧНИК!$F$6*('ПЛАН ЧИСТ ПОДЗЕМ'!M19*СПРАВОЧНИК!$L$6+'ПЛАН ЧИСТ ПОДЗЕМ'!N19*СПРАВОЧНИК!$M$6+'ПЛАН ЧИСТ ПОДЗЕМ'!O19*СПРАВОЧНИК!$N$6+'ПЛАН ЧИСТ ПОДЗЕМ'!P19*СПРАВОЧНИК!$O$6)+СПРАВОЧНИК!$F$7*('ПЛАН ЧИСТ ПОДЗЕМ'!Q19*СПРАВОЧНИК!$L$7+'ПЛАН ЧИСТ ПОДЗЕМ'!R19*СПРАВОЧНИК!$M$7+'ПЛАН ЧИСТ ПОДЗЕМ'!S19*СПРАВОЧНИК!$N$7+'ПЛАН ЧИСТ ПОДЗЕМ'!T19*СПРАВОЧНИК!$O$7)+СПРАВОЧНИК!$F$8*('ПЛАН ЧИСТ ПОДЗЕМ'!U19*СПРАВОЧНИК!$L$8+'ПЛАН ЧИСТ ПОДЗЕМ'!V19*СПРАВОЧНИК!$M$8+'ПЛАН ЧИСТ ПОДЗЕМ'!W19*СПРАВОЧНИК!$N$8)</f>
        <v/>
      </c>
      <c r="E28" s="40">
        <f>СПРАВОЧНИК!$E$3*(('ФАКТ ЧЕРН ПОДЗЕМ'!B19)*СПРАВОЧНИК!$H$3+('ФАКТ ЧЕРН ПОДЗЕМ'!C19)*СПРАВОЧНИК!$I$3+('ФАКТ ЧЕРН ПОДЗЕМ'!D19)*СПРАВОЧНИК!$J$3)+СПРАВОЧНИК!$E$4*(('ФАКТ ЧЕРН ПОДЗЕМ'!E19)*СПРАВОЧНИК!$H$4+('ФАКТ ЧЕРН ПОДЗЕМ'!F19)*СПРАВОЧНИК!$I$4+('ФАКТ ЧЕРН ПОДЗЕМ'!G19)*СПРАВОЧНИК!$J$4)+СПРАВОЧНИК!$E$5*(('ФАКТ ЧЕРН ПОДЗЕМ'!H19)*СПРАВОЧНИК!$H$5+('ФАКТ ЧЕРН ПОДЗЕМ'!I19)*СПРАВОЧНИК!$I$5+('ФАКТ ЧЕРН ПОДЗЕМ'!J19)*СПРАВОЧНИК!$J$5)+СПРАВОЧНИК!$E$6*(('ФАКТ ЧЕРН ПОДЗЕМ'!K19)*СПРАВОЧНИК!$H$6+('ФАКТ ЧЕРН ПОДЗЕМ'!L19)*СПРАВОЧНИК!$I$6+('ФАКТ ЧЕРН ПОДЗЕМ'!M19)*СПРАВОЧНИК!$J$6)+СПРАВОЧНИК!$E$7*(('ФАКТ ЧЕРН ПОДЗЕМ'!N19)*СПРАВОЧНИК!$H$7+('ФАКТ ЧЕРН ПОДЗЕМ'!O19)*СПРАВОЧНИК!$I$7+('ФАКТ ЧЕРН ПОДЗЕМ'!P19)*СПРАВОЧНИК!$J$7)+СПРАВОЧНИК!$E$8*(('ФАКТ ЧЕРН ПОДЗЕМ'!Q19)*СПРАВОЧНИК!$H$8+('ФАКТ ЧЕРН ПОДЗЕМ'!R19)*СПРАВОЧНИК!$I$8+('ФАКТ ЧЕРН ПОДЗЕМ'!S19)*СПРАВОЧНИК!$J$8)+СПРАВОЧНИК!$F$3*(('ФАКТ ЧИСТ ПОДЗЕМ'!B19)*СПРАВОЧНИК!$L$3+('ФАКТ ЧИСТ ПОДЗЕМ'!C19)*СПРАВОЧНИК!$M$3+('ФАКТ ЧИСТ ПОДЗЕМ'!D19)*СПРАВОЧНИК!$N$3+('ФАКТ ЧИСТ ПОДЗЕМ'!E19)*СПРАВОЧНИК!$O$3)+СПРАВОЧНИК!$F$4*(('ФАКТ ЧИСТ ПОДЗЕМ'!F19)*СПРАВОЧНИК!$L$4+('ФАКТ ЧИСТ ПОДЗЕМ'!G19)*СПРАВОЧНИК!$M$4+('ФАКТ ЧИСТ ПОДЗЕМ'!H19)*СПРАВОЧНИК!$N$4+('ФАКТ ЧИСТ ПОДЗЕМ'!I19)*СПРАВОЧНИК!$O$4)+СПРАВОЧНИК!$F$5*(('ФАКТ ЧИСТ ПОДЗЕМ'!J19)*СПРАВОЧНИК!$L$5+('ФАКТ ЧИСТ ПОДЗЕМ'!K19)*СПРАВОЧНИК!$M$5+('ФАКТ ЧИСТ ПОДЗЕМ'!L19)*СПРАВОЧНИК!$N$5)+СПРАВОЧНИК!$F$6*(('ФАКТ ЧИСТ ПОДЗЕМ'!M19)*СПРАВОЧНИК!$L$6+('ФАКТ ЧИСТ ПОДЗЕМ'!N19)*СПРАВОЧНИК!$M$6+('ФАКТ ЧИСТ ПОДЗЕМ'!O19)*СПРАВОЧНИК!$N$6+('ФАКТ ЧИСТ ПОДЗЕМ'!P19)*СПРАВОЧНИК!$O$6)+СПРАВОЧНИК!$F$7*(('ФАКТ ЧИСТ ПОДЗЕМ'!Q19)*СПРАВОЧНИК!$L$7+('ФАКТ ЧИСТ ПОДЗЕМ'!R19)*СПРАВОЧНИК!$M$7+('ФАКТ ЧИСТ ПОДЗЕМ'!S19)*СПРАВОЧНИК!$N$7+('ФАКТ ЧИСТ ПОДЗЕМ'!T19)*СПРАВОЧНИК!$O$7)+СПРАВОЧНИК!$F$8*(('ФАКТ ЧИСТ ПОДЗЕМ'!U19)*СПРАВОЧНИК!$L$8+('ФАКТ ЧИСТ ПОДЗЕМ'!V19)*СПРАВОЧНИК!$M$8+('ФАКТ ЧИСТ ПОДЗЕМ'!W19)*СПРАВОЧНИК!$N$8)</f>
        <v/>
      </c>
      <c r="I28" s="18">
        <f>I27+7</f>
        <v/>
      </c>
      <c r="J28" s="37">
        <f>'ПЛАН ЧЕРН ПОДЗЕМ'!B19*СПРАВОЧНИК!$H$3+'ПЛАН ЧЕРН ПОДЗЕМ'!C19*СПРАВОЧНИК!$I$3+'ПЛАН ЧЕРН ПОДЗЕМ'!D19*СПРАВОЧНИК!$J$3+'ПЛАН ЧЕРН ПОДЗЕМ'!E19*СПРАВОЧНИК!$H$4+'ПЛАН ЧЕРН ПОДЗЕМ'!F19*СПРАВОЧНИК!$I$4+'ПЛАН ЧЕРН ПОДЗЕМ'!G19*СПРАВОЧНИК!$J$4+'ПЛАН ЧЕРН ПОДЗЕМ'!H19*СПРАВОЧНИК!$H$5+'ПЛАН ЧЕРН ПОДЗЕМ'!I19*СПРАВОЧНИК!$I$5+'ПЛАН ЧЕРН ПОДЗЕМ'!J19*СПРАВОЧНИК!$J$5+'ПЛАН ЧЕРН ПОДЗЕМ'!K19*СПРАВОЧНИК!$H$6+'ПЛАН ЧЕРН ПОДЗЕМ'!L19*СПРАВОЧНИК!$I$6+'ПЛАН ЧЕРН ПОДЗЕМ'!M19*СПРАВОЧНИК!$J$6+'ПЛАН ЧЕРН ПОДЗЕМ'!N19*СПРАВОЧНИК!$H$7+'ПЛАН ЧЕРН ПОДЗЕМ'!O19*СПРАВОЧНИК!$I$7+'ПЛАН ЧЕРН ПОДЗЕМ'!P19*СПРАВОЧНИК!$J$7+'ПЛАН ЧЕРН ПОДЗЕМ'!Q19*СПРАВОЧНИК!$H$8+'ПЛАН ЧЕРН ПОДЗЕМ'!R19*СПРАВОЧНИК!$I$8+'ПЛАН ЧЕРН ПОДЗЕМ'!S19*СПРАВОЧНИК!$J$8</f>
        <v/>
      </c>
      <c r="K28" s="40">
        <f>('ФАКТ ЧЕРН ПОДЗЕМ'!B19)*СПРАВОЧНИК!$H$3+('ФАКТ ЧЕРН ПОДЗЕМ'!C19)*СПРАВОЧНИК!$I$3+('ФАКТ ЧЕРН ПОДЗЕМ'!D19)*СПРАВОЧНИК!$J$3+('ФАКТ ЧЕРН ПОДЗЕМ'!E19)*СПРАВОЧНИК!$H$4+('ФАКТ ЧЕРН ПОДЗЕМ'!F19)*СПРАВОЧНИК!$I$4+('ФАКТ ЧЕРН ПОДЗЕМ'!G19)*СПРАВОЧНИК!$J$4+('ФАКТ ЧЕРН ПОДЗЕМ'!H19)*СПРАВОЧНИК!$H$5+('ФАКТ ЧЕРН ПОДЗЕМ'!I19)*СПРАВОЧНИК!$I$5+('ФАКТ ЧЕРН ПОДЗЕМ'!J19)*СПРАВОЧНИК!$J$5+('ФАКТ ЧЕРН ПОДЗЕМ'!K19)*СПРАВОЧНИК!$H$6+('ФАКТ ЧЕРН ПОДЗЕМ'!L19)*СПРАВОЧНИК!$I$6+('ФАКТ ЧЕРН ПОДЗЕМ'!M19)*СПРАВОЧНИК!$J$6+('ФАКТ ЧЕРН ПОДЗЕМ'!N19)*СПРАВОЧНИК!$H$7+('ФАКТ ЧЕРН ПОДЗЕМ'!O19)*СПРАВОЧНИК!$I$7+('ФАКТ ЧЕРН ПОДЗЕМ'!P19)*СПРАВОЧНИК!$J$7+('ФАКТ ЧЕРН ПОДЗЕМ'!Q19)*СПРАВОЧНИК!$H$8+('ФАКТ ЧЕРН ПОДЗЕМ'!R19)*СПРАВОЧНИК!$I$8+('ФАКТ ЧЕРН ПОДЗЕМ'!S19)*СПРАВОЧНИК!$J$8</f>
        <v/>
      </c>
      <c r="O28" s="18">
        <f>O27+7</f>
        <v/>
      </c>
      <c r="P28" s="37">
        <f>'ПЛАН ЧИСТ ПОДЗЕМ'!B19*СПРАВОЧНИК!$L$3+'ПЛАН ЧИСТ ПОДЗЕМ'!C19*СПРАВОЧНИК!$M$3+'ПЛАН ЧИСТ ПОДЗЕМ'!D19*СПРАВОЧНИК!$N$3+'ПЛАН ЧИСТ ПОДЗЕМ'!E19*СПРАВОЧНИК!$O$3+'ПЛАН ЧИСТ ПОДЗЕМ'!F19*СПРАВОЧНИК!$L$4+'ПЛАН ЧИСТ ПОДЗЕМ'!G19*СПРАВОЧНИК!$M$4+'ПЛАН ЧИСТ ПОДЗЕМ'!H19*СПРАВОЧНИК!$N$4+'ПЛАН ЧИСТ ПОДЗЕМ'!I19*СПРАВОЧНИК!$O$4+'ПЛАН ЧИСТ ПОДЗЕМ'!J19*СПРАВОЧНИК!$L$5+'ПЛАН ЧИСТ ПОДЗЕМ'!K19*СПРАВОЧНИК!$M$5+'ПЛАН ЧИСТ ПОДЗЕМ'!L19*СПРАВОЧНИК!$N$5+'ПЛАН ЧИСТ ПОДЗЕМ'!M19*СПРАВОЧНИК!$L$6+'ПЛАН ЧИСТ ПОДЗЕМ'!N19*СПРАВОЧНИК!$M$6+'ПЛАН ЧИСТ ПОДЗЕМ'!O19*СПРАВОЧНИК!$N$6+'ПЛАН ЧИСТ ПОДЗЕМ'!P19*СПРАВОЧНИК!$O$6+'ПЛАН ЧИСТ ПОДЗЕМ'!Q19*СПРАВОЧНИК!$L$7+'ПЛАН ЧИСТ ПОДЗЕМ'!R19*СПРАВОЧНИК!$M$7+'ПЛАН ЧИСТ ПОДЗЕМ'!S19*СПРАВОЧНИК!$N$7+'ПЛАН ЧИСТ ПОДЗЕМ'!T19*СПРАВОЧНИК!$O$7+'ПЛАН ЧИСТ ПОДЗЕМ'!U19*СПРАВОЧНИК!$L$8+'ПЛАН ЧИСТ ПОДЗЕМ'!V19*СПРАВОЧНИК!$M$8+'ПЛАН ЧИСТ ПОДЗЕМ'!W19*СПРАВОЧНИК!$N$8</f>
        <v/>
      </c>
      <c r="Q28" s="40">
        <f>('ФАКТ ЧИСТ ПОДЗЕМ'!B19)*СПРАВОЧНИК!$L$3+('ФАКТ ЧИСТ ПОДЗЕМ'!C19)*СПРАВОЧНИК!$M$3+('ФАКТ ЧИСТ ПОДЗЕМ'!D19)*СПРАВОЧНИК!$N$3+('ФАКТ ЧИСТ ПОДЗЕМ'!E19)*СПРАВОЧНИК!$O$3+('ФАКТ ЧИСТ ПОДЗЕМ'!F19)*СПРАВОЧНИК!$L$4+('ФАКТ ЧИСТ ПОДЗЕМ'!G19)*СПРАВОЧНИК!$M$4+('ФАКТ ЧИСТ ПОДЗЕМ'!H19)*СПРАВОЧНИК!$N$4+('ФАКТ ЧИСТ ПОДЗЕМ'!I19)*СПРАВОЧНИК!$O$4+('ФАКТ ЧИСТ ПОДЗЕМ'!J19)*СПРАВОЧНИК!$L$5+('ФАКТ ЧИСТ ПОДЗЕМ'!K19)*СПРАВОЧНИК!$M$5+('ФАКТ ЧИСТ ПОДЗЕМ'!L19)*СПРАВОЧНИК!$N$5+('ФАКТ ЧИСТ ПОДЗЕМ'!M19)*СПРАВОЧНИК!$L$6+('ФАКТ ЧИСТ ПОДЗЕМ'!N19)*СПРАВОЧНИК!$M$6+('ФАКТ ЧИСТ ПОДЗЕМ'!O19)*СПРАВОЧНИК!$N$6+('ФАКТ ЧИСТ ПОДЗЕМ'!P19)*СПРАВОЧНИК!$O$6+('ФАКТ ЧИСТ ПОДЗЕМ'!Q19)*СПРАВОЧНИК!$L$7+('ФАКТ ЧИСТ ПОДЗЕМ'!R19)*СПРАВОЧНИК!$M$7+('ФАКТ ЧИСТ ПОДЗЕМ'!S19)*СПРАВОЧНИК!$N$7+('ФАКТ ЧИСТ ПОДЗЕМ'!T19)*СПРАВОЧНИК!$O$7+('ФАКТ ЧИСТ ПОДЗЕМ'!U19)*СПРАВОЧНИК!$L$8+('ФАКТ ЧИСТ ПОДЗЕМ'!V19)*СПРАВОЧНИК!$M$8+('ФАКТ ЧИСТ ПОДЗЕМ'!W19)*СПРАВОЧНИК!$N$8</f>
        <v/>
      </c>
      <c r="U28" s="18">
        <f>U27+7</f>
        <v/>
      </c>
      <c r="V28" s="37">
        <f>СПРАВОЧНИК!$E$9*('ПЛАН ЧЕРН К1'!B19*СПРАВОЧНИК!$H$9+'ПЛАН ЧЕРН К1'!C19*СПРАВОЧНИК!$I$9+'ПЛАН ЧЕРН К1'!D19*СПРАВОЧНИК!$J$9)+СПРАВОЧНИК!$E$10*('ПЛАН ЧЕРН К1'!E19*СПРАВОЧНИК!$H$10+'ПЛАН ЧЕРН К1'!F19*СПРАВОЧНИК!$I$10+'ПЛАН ЧЕРН К1'!G19*СПРАВОЧНИК!$J$10)+СПРАВОЧНИК!$E$11*('ПЛАН ЧЕРН К1'!H19*СПРАВОЧНИК!$H$11+'ПЛАН ЧЕРН К1'!I19*СПРАВОЧНИК!$I$11+'ПЛАН ЧЕРН К1'!J19*СПРАВОЧНИК!$J$11)+СПРАВОЧНИК!$E$12*('ПЛАН ЧЕРН К1'!K19*СПРАВОЧНИК!$H$12+'ПЛАН ЧЕРН К1'!L19*СПРАВОЧНИК!$I$12+'ПЛАН ЧЕРН К1'!M19*СПРАВОЧНИК!$J$12)+СПРАВОЧНИК!$E$13*('ПЛАН ЧЕРН К1'!N19*СПРАВОЧНИК!$H$13+'ПЛАН ЧЕРН К1'!O19*СПРАВОЧНИК!$I$13+'ПЛАН ЧЕРН К1'!P19*СПРАВОЧНИК!$J$13)+СПРАВОЧНИК!$E$14*('ПЛАН ЧЕРН К1'!Q19*СПРАВОЧНИК!$H$14+'ПЛАН ЧЕРН К1'!R19*СПРАВОЧНИК!$I$14+'ПЛАН ЧЕРН К1'!S19*СПРАВОЧНИК!$J$14)+СПРАВОЧНИК!$E$15*('ПЛАН ЧЕРН К1'!T19*СПРАВОЧНИК!$H$15+'ПЛАН ЧЕРН К1'!U19*СПРАВОЧНИК!$I$15+'ПЛАН ЧЕРН К1'!V19*СПРАВОЧНИК!$J$15)+СПРАВОЧНИК!$F$9*('ПЛАН ЧИСТ К1'!B19*СПРАВОЧНИК!$L$9+'ПЛАН ЧИСТ К1'!C19*СПРАВОЧНИК!$M$9+'ПЛАН ЧИСТ К1'!D19*СПРАВОЧНИК!$N$9+'ПЛАН ЧИСТ К1'!E19*СПРАВОЧНИК!$O$9)+СПРАВОЧНИК!$F$10*('ПЛАН ЧИСТ К1'!F19*СПРАВОЧНИК!$L$10+'ПЛАН ЧИСТ К1'!G19*СПРАВОЧНИК!$M$10+'ПЛАН ЧИСТ К1'!H19*СПРАВОЧНИК!$N$10+'ПЛАН ЧИСТ К1'!I19*СПРАВОЧНИК!$O$10)+СПРАВОЧНИК!$F$11*('ПЛАН ЧИСТ К1'!J19*СПРАВОЧНИК!$L$11+'ПЛАН ЧИСТ К1'!K19*СПРАВОЧНИК!$M$11+'ПЛАН ЧИСТ К1'!L19*СПРАВОЧНИК!$N$11)+СПРАВОЧНИК!$F$12*('ПЛАН ЧИСТ К1'!M19*СПРАВОЧНИК!$L$12+'ПЛАН ЧИСТ К1'!N19*СПРАВОЧНИК!$M$12+'ПЛАН ЧИСТ К1'!O19*СПРАВОЧНИК!$N$12+'ПЛАН ЧИСТ К1'!P19*СПРАВОЧНИК!$O$12)+СПРАВОЧНИК!$F$13*('ПЛАН ЧИСТ К1'!Q19*СПРАВОЧНИК!$L$13+'ПЛАН ЧИСТ К1'!R19*СПРАВОЧНИК!$M$13+'ПЛАН ЧИСТ К1'!S19*СПРАВОЧНИК!$N$13+'ПЛАН ЧИСТ К1'!T19*СПРАВОЧНИК!$O$13)+СПРАВОЧНИК!$F$14*('ПЛАН ЧИСТ К1'!U19*СПРАВОЧНИК!$L$14+'ПЛАН ЧИСТ К1'!V19*СПРАВОЧНИК!$M$14+'ПЛАН ЧИСТ К1'!W19*СПРАВОЧНИК!$N$14)+СПРАВОЧНИК!$F$15*('ПЛАН ЧИСТ К1'!X19*СПРАВОЧНИК!$L$15+'ПЛАН ЧИСТ К1'!Y19*СПРАВОЧНИК!$M$15+'ПЛАН ЧИСТ К1'!Z19*СПРАВОЧНИК!$N$15)</f>
        <v/>
      </c>
      <c r="W28" s="40">
        <f>СПРАВОЧНИК!$E$9*(('ФАКТ ЧЕРН К1'!B19)*СПРАВОЧНИК!$H$9+('ФАКТ ЧЕРН К1'!C19)*СПРАВОЧНИК!$I$9+('ФАКТ ЧЕРН К1'!D19)*СПРАВОЧНИК!$J$9)+СПРАВОЧНИК!$E$10*(('ФАКТ ЧЕРН К1'!E19)*СПРАВОЧНИК!$H$10+('ФАКТ ЧЕРН К1'!F19)*СПРАВОЧНИК!$I$10+('ФАКТ ЧЕРН К1'!G19)*СПРАВОЧНИК!$J$10)+СПРАВОЧНИК!$E$11*(('ФАКТ ЧЕРН К1'!H19)*СПРАВОЧНИК!$H$11+('ФАКТ ЧЕРН К1'!I19)*СПРАВОЧНИК!$I$11+('ФАКТ ЧЕРН К1'!J19)*СПРАВОЧНИК!$J$11)+СПРАВОЧНИК!$E$12*(('ФАКТ ЧЕРН К1'!K19)*СПРАВОЧНИК!$H$12+('ФАКТ ЧЕРН К1'!L19)*СПРАВОЧНИК!$I$12+('ФАКТ ЧЕРН К1'!M19)*СПРАВОЧНИК!$J$12)+СПРАВОЧНИК!$E$13*(('ФАКТ ЧЕРН К1'!N19)*СПРАВОЧНИК!$H$13+('ФАКТ ЧЕРН К1'!O19)*СПРАВОЧНИК!$I$13+('ФАКТ ЧЕРН К1'!P19)*СПРАВОЧНИК!$J$13)+СПРАВОЧНИК!$E$14*(('ФАКТ ЧЕРН К1'!Q19)*СПРАВОЧНИК!$H$14+('ФАКТ ЧЕРН К1'!R19)*СПРАВОЧНИК!$I$14+('ФАКТ ЧЕРН К1'!S19)*СПРАВОЧНИК!$J$14)+СПРАВОЧНИК!$E$15*(('ФАКТ ЧЕРН К1'!T19)*СПРАВОЧНИК!$H$15+('ФАКТ ЧЕРН К1'!U19)*СПРАВОЧНИК!$I$15+('ФАКТ ЧЕРН К1'!V19)*СПРАВОЧНИК!$J$15)+СПРАВОЧНИК!$F$9*(('ФАКТ ЧИСТ К1'!B19)*СПРАВОЧНИК!$L$9+('ФАКТ ЧИСТ К1'!C19)*СПРАВОЧНИК!$M$9+('ФАКТ ЧИСТ К1'!D19)*СПРАВОЧНИК!$N$9+('ФАКТ ЧИСТ К1'!E19)*СПРАВОЧНИК!$O$9)+СПРАВОЧНИК!$F$10*(('ФАКТ ЧИСТ К1'!F19)*СПРАВОЧНИК!$L$10+('ФАКТ ЧИСТ К1'!G19)*СПРАВОЧНИК!$M$10+('ФАКТ ЧИСТ К1'!H19)*СПРАВОЧНИК!$N$10+('ФАКТ ЧИСТ К1'!I19)*СПРАВОЧНИК!$O$10)+СПРАВОЧНИК!$F$11*(('ФАКТ ЧИСТ К1'!J19)*СПРАВОЧНИК!$L$11+('ФАКТ ЧИСТ К1'!K19)*СПРАВОЧНИК!$M$11+('ФАКТ ЧИСТ К1'!L19)*СПРАВОЧНИК!$N$11)+СПРАВОЧНИК!$F$12*(('ФАКТ ЧИСТ К1'!M19)*СПРАВОЧНИК!$L$12+('ФАКТ ЧИСТ К1'!N19)*СПРАВОЧНИК!$M$12+('ФАКТ ЧИСТ К1'!O19)*СПРАВОЧНИК!$N$12+('ФАКТ ЧИСТ К1'!P19)*СПРАВОЧНИК!$O$12)+СПРАВОЧНИК!$F$13*(('ФАКТ ЧИСТ К1'!Q19)*СПРАВОЧНИК!$L$13+('ФАКТ ЧИСТ К1'!R19)*СПРАВОЧНИК!$M$13+('ФАКТ ЧИСТ К1'!S19)*СПРАВОЧНИК!$N$13+('ФАКТ ЧИСТ К1'!T19)*СПРАВОЧНИК!$O$13)+СПРАВОЧНИК!$F$14*(('ФАКТ ЧИСТ К1'!U19)*СПРАВОЧНИК!$L$14+('ФАКТ ЧИСТ К1'!V19)*СПРАВОЧНИК!$M$14+('ФАКТ ЧИСТ К1'!W19)*СПРАВОЧНИК!$N$14)+СПРАВОЧНИК!$F$15*(('ФАКТ ЧИСТ К1'!X19)*СПРАВОЧНИК!$L$15+('ФАКТ ЧИСТ К1'!Y19)*СПРАВОЧНИК!$M$15+('ФАКТ ЧИСТ К1'!Z19)*СПРАВОЧНИК!$N$15)</f>
        <v/>
      </c>
      <c r="AA28" s="18">
        <f>AA27+7</f>
        <v/>
      </c>
      <c r="AB28" s="37">
        <f>'ПЛАН ЧЕРН К1'!B19*СПРАВОЧНИК!$H$9+'ПЛАН ЧЕРН К1'!C19*СПРАВОЧНИК!$I$9+'ПЛАН ЧЕРН К1'!D19*СПРАВОЧНИК!$J$9+'ПЛАН ЧЕРН К1'!E19*СПРАВОЧНИК!$H$10+'ПЛАН ЧЕРН К1'!F19*СПРАВОЧНИК!$I$10+'ПЛАН ЧЕРН К1'!G19*СПРАВОЧНИК!$J$10+'ПЛАН ЧЕРН К1'!H19*СПРАВОЧНИК!$H$11+'ПЛАН ЧЕРН К1'!I19*СПРАВОЧНИК!$I$11+'ПЛАН ЧЕРН К1'!J19*СПРАВОЧНИК!$J$11+'ПЛАН ЧЕРН К1'!K19*СПРАВОЧНИК!$H$12+'ПЛАН ЧЕРН К1'!L19*СПРАВОЧНИК!$I$12+'ПЛАН ЧЕРН К1'!M19*СПРАВОЧНИК!$J$12+'ПЛАН ЧЕРН К1'!N19*СПРАВОЧНИК!$H$13+'ПЛАН ЧЕРН К1'!O19*СПРАВОЧНИК!$I$13+'ПЛАН ЧЕРН К1'!P19*СПРАВОЧНИК!$J$13+'ПЛАН ЧЕРН К1'!Q19*СПРАВОЧНИК!$H$14+'ПЛАН ЧЕРН К1'!R19*СПРАВОЧНИК!$I$14+'ПЛАН ЧЕРН К1'!S19*СПРАВОЧНИК!$J$14+'ПЛАН ЧЕРН К1'!T19*СПРАВОЧНИК!$H$15+'ПЛАН ЧЕРН К1'!U19*СПРАВОЧНИК!$I$15+'ПЛАН ЧЕРН К1'!V19*СПРАВОЧНИК!$J$15</f>
        <v/>
      </c>
      <c r="AC28" s="40">
        <f>('ФАКТ ЧЕРН К1'!B19)*СПРАВОЧНИК!$H$9+('ФАКТ ЧЕРН К1'!C19)*СПРАВОЧНИК!$I$9+('ФАКТ ЧЕРН К1'!D19)*СПРАВОЧНИК!$J$9+('ФАКТ ЧЕРН К1'!E19)*СПРАВОЧНИК!$H$10+('ФАКТ ЧЕРН К1'!F19)*СПРАВОЧНИК!$I$10+('ФАКТ ЧЕРН К1'!G19)*СПРАВОЧНИК!$J$10+('ФАКТ ЧЕРН К1'!H19)*СПРАВОЧНИК!$H$11+('ФАКТ ЧЕРН К1'!I19)*СПРАВОЧНИК!$I$11+('ФАКТ ЧЕРН К1'!J19)*СПРАВОЧНИК!$J$11+('ФАКТ ЧЕРН К1'!K19)*СПРАВОЧНИК!$H$12+('ФАКТ ЧЕРН К1'!L19)*СПРАВОЧНИК!$I$12+('ФАКТ ЧЕРН К1'!M19)*СПРАВОЧНИК!$J$12+('ФАКТ ЧЕРН К1'!N19)*СПРАВОЧНИК!$H$13+('ФАКТ ЧЕРН К1'!O19)*СПРАВОЧНИК!$I$13+('ФАКТ ЧЕРН К1'!P19)*СПРАВОЧНИК!$J$13+('ФАКТ ЧЕРН К1'!Q19)*СПРАВОЧНИК!$H$14+('ФАКТ ЧЕРН К1'!R19)*СПРАВОЧНИК!$I$14+('ФАКТ ЧЕРН К1'!S19)*СПРАВОЧНИК!$J$14+('ФАКТ ЧЕРН К1'!T19)*СПРАВОЧНИК!$H$15+('ФАКТ ЧЕРН К1'!U19)*СПРАВОЧНИК!$I$15+('ФАКТ ЧЕРН К1'!V19)*СПРАВОЧНИК!$J$15</f>
        <v/>
      </c>
      <c r="AG28" s="18">
        <f>AG27+7</f>
        <v/>
      </c>
      <c r="AH28" s="37">
        <f>'ПЛАН ЧИСТ К1'!B19*СПРАВОЧНИК!$L$9+'ПЛАН ЧИСТ К1'!C19*СПРАВОЧНИК!$M$9+'ПЛАН ЧИСТ К1'!D19*СПРАВОЧНИК!$N$9+'ПЛАН ЧИСТ К1'!E19*СПРАВОЧНИК!$O$9+'ПЛАН ЧИСТ К1'!F19*СПРАВОЧНИК!$L$10+'ПЛАН ЧИСТ К1'!G19*СПРАВОЧНИК!$M$10+'ПЛАН ЧИСТ К1'!H19*СПРАВОЧНИК!$N$10+'ПЛАН ЧИСТ К1'!I19*СПРАВОЧНИК!$O$10+'ПЛАН ЧИСТ К1'!J19*СПРАВОЧНИК!$L$11+'ПЛАН ЧИСТ К1'!K19*СПРАВОЧНИК!$M$11+'ПЛАН ЧИСТ К1'!L19*СПРАВОЧНИК!$N$11+'ПЛАН ЧИСТ К1'!M19*СПРАВОЧНИК!$L$12+'ПЛАН ЧИСТ К1'!N19*СПРАВОЧНИК!$M$12+'ПЛАН ЧИСТ К1'!O19*СПРАВОЧНИК!$N$12+'ПЛАН ЧИСТ К1'!P19*СПРАВОЧНИК!$O$12+'ПЛАН ЧИСТ К1'!Q19*СПРАВОЧНИК!$L$13+'ПЛАН ЧИСТ К1'!R19*СПРАВОЧНИК!$M$13+'ПЛАН ЧИСТ К1'!S19*СПРАВОЧНИК!$N$13+'ПЛАН ЧИСТ К1'!T19*СПРАВОЧНИК!$O$13+'ПЛАН ЧИСТ К1'!U19*СПРАВОЧНИК!$L$14+'ПЛАН ЧИСТ К1'!V19*СПРАВОЧНИК!$M$14+'ПЛАН ЧИСТ К1'!W19*СПРАВОЧНИК!$N$14+'ПЛАН ЧИСТ К1'!X19*СПРАВОЧНИК!$L$15+'ПЛАН ЧИСТ К1'!Y19*СПРАВОЧНИК!$M$15+'ПЛАН ЧИСТ К1'!Z19*СПРАВОЧНИК!$N$15</f>
        <v/>
      </c>
      <c r="AI28" s="40">
        <f>('ФАКТ ЧИСТ К1'!B19)*СПРАВОЧНИК!$L$9+('ФАКТ ЧИСТ К1'!C19)*СПРАВОЧНИК!$M$9+('ФАКТ ЧИСТ К1'!D19)*СПРАВОЧНИК!$N$9+('ФАКТ ЧИСТ К1'!E19)*СПРАВОЧНИК!$O$9+('ФАКТ ЧИСТ К1'!F19)*СПРАВОЧНИК!$L$10+('ФАКТ ЧИСТ К1'!G19)*СПРАВОЧНИК!$M$10+('ФАКТ ЧИСТ К1'!H19)*СПРАВОЧНИК!$N$10+('ФАКТ ЧИСТ К1'!I19)*СПРАВОЧНИК!$O$10+('ФАКТ ЧИСТ К1'!J19)*СПРАВОЧНИК!$L$11+('ФАКТ ЧИСТ К1'!K19)*СПРАВОЧНИК!$M$11+('ФАКТ ЧИСТ К1'!L19)*СПРАВОЧНИК!$N$11+('ФАКТ ЧИСТ К1'!M19)*СПРАВОЧНИК!$L$12+('ФАКТ ЧИСТ К1'!N19)*СПРАВОЧНИК!$M$12+('ФАКТ ЧИСТ К1'!O19)*СПРАВОЧНИК!$N$12+('ФАКТ ЧИСТ К1'!P19)*СПРАВОЧНИК!$O$12+('ФАКТ ЧИСТ К1'!Q19)*СПРАВОЧНИК!$L$13+('ФАКТ ЧИСТ К1'!R19)*СПРАВОЧНИК!$M$13+('ФАКТ ЧИСТ К1'!S19)*СПРАВОЧНИК!$N$13+('ФАКТ ЧИСТ К1'!T19)*СПРАВОЧНИК!$O$13+('ФАКТ ЧИСТ К1'!U19)*СПРАВОЧНИК!$L$14+('ФАКТ ЧИСТ К1'!V19)*СПРАВОЧНИК!$M$14+('ФАКТ ЧИСТ К1'!W19)*СПРАВОЧНИК!$N$14+('ФАКТ ЧИСТ К1'!X19)*СПРАВОЧНИК!$L$15+('ФАКТ ЧИСТ К1'!Y19)*СПРАВОЧНИК!$M$15+('ФАКТ ЧИСТ К1'!Z19)*СПРАВОЧНИК!$N$15</f>
        <v/>
      </c>
      <c r="AM28" s="18">
        <f>AM27+7</f>
        <v/>
      </c>
      <c r="AN28" s="37">
        <f>СПРАВОЧНИК!$E$9*('ПЛАН ЧЕРН К2'!B19*СПРАВОЧНИК!$H$9+'ПЛАН ЧЕРН К2'!C19*СПРАВОЧНИК!$I$9+'ПЛАН ЧЕРН К2'!D19*СПРАВОЧНИК!$J$9)+СПРАВОЧНИК!$E$10*('ПЛАН ЧЕРН К2'!E19*СПРАВОЧНИК!$H$10+'ПЛАН ЧЕРН К2'!F19*СПРАВОЧНИК!$I$10+'ПЛАН ЧЕРН К2'!G19*СПРАВОЧНИК!$J$10)+СПРАВОЧНИК!$E$11*('ПЛАН ЧЕРН К2'!H19*СПРАВОЧНИК!$H$11+'ПЛАН ЧЕРН К2'!I19*СПРАВОЧНИК!$I$11+'ПЛАН ЧЕРН К2'!J19*СПРАВОЧНИК!$J$11)+СПРАВОЧНИК!$E$12*('ПЛАН ЧЕРН К2'!K19*СПРАВОЧНИК!$H$12+'ПЛАН ЧЕРН К2'!L19*СПРАВОЧНИК!$I$12+'ПЛАН ЧЕРН К2'!M19*СПРАВОЧНИК!$J$12)+СПРАВОЧНИК!$E$13*('ПЛАН ЧЕРН К2'!N19*СПРАВОЧНИК!$H$13+'ПЛАН ЧЕРН К2'!O19*СПРАВОЧНИК!$I$13+'ПЛАН ЧЕРН К2'!P19*СПРАВОЧНИК!$J$13)+СПРАВОЧНИК!$E$14*('ПЛАН ЧЕРН К2'!Q19*СПРАВОЧНИК!$H$14+'ПЛАН ЧЕРН К2'!R19*СПРАВОЧНИК!$I$14+'ПЛАН ЧЕРН К2'!S19*СПРАВОЧНИК!$J$14)+СПРАВОЧНИК!$E$15*('ПЛАН ЧЕРН К2'!T19*СПРАВОЧНИК!$H$15+'ПЛАН ЧЕРН К2'!U19*СПРАВОЧНИК!$I$15+'ПЛАН ЧЕРН К2'!V19*СПРАВОЧНИК!$J$15)+СПРАВОЧНИК!$F$9*('ПЛАН ЧИСТ К2'!B19*СПРАВОЧНИК!$L$9+'ПЛАН ЧИСТ К2'!C19*СПРАВОЧНИК!$M$9+'ПЛАН ЧИСТ К2'!D19*СПРАВОЧНИК!$N$9+'ПЛАН ЧИСТ К2'!E19*СПРАВОЧНИК!$O$9)+СПРАВОЧНИК!$F$10*('ПЛАН ЧИСТ К2'!F19*СПРАВОЧНИК!$L$10+'ПЛАН ЧИСТ К2'!G19*СПРАВОЧНИК!$M$10+'ПЛАН ЧИСТ К2'!H19*СПРАВОЧНИК!$N$10+'ПЛАН ЧИСТ К2'!I19*СПРАВОЧНИК!$O$10)+СПРАВОЧНИК!$F$11*('ПЛАН ЧИСТ К2'!J19*СПРАВОЧНИК!$L$11+'ПЛАН ЧИСТ К2'!K19*СПРАВОЧНИК!$M$11+'ПЛАН ЧИСТ К2'!L19*СПРАВОЧНИК!$N$11)+СПРАВОЧНИК!$F$12*('ПЛАН ЧИСТ К2'!M19*СПРАВОЧНИК!$L$12+'ПЛАН ЧИСТ К2'!N19*СПРАВОЧНИК!$M$12+'ПЛАН ЧИСТ К2'!O19*СПРАВОЧНИК!$N$12+'ПЛАН ЧИСТ К2'!P19*СПРАВОЧНИК!$O$12)+СПРАВОЧНИК!$F$13*('ПЛАН ЧИСТ К2'!Q19*СПРАВОЧНИК!$L$13+'ПЛАН ЧИСТ К2'!R19*СПРАВОЧНИК!$M$13+'ПЛАН ЧИСТ К2'!S19*СПРАВОЧНИК!$N$13+'ПЛАН ЧИСТ К2'!T19*СПРАВОЧНИК!$O$13)+СПРАВОЧНИК!$F$14*('ПЛАН ЧИСТ К2'!U19*СПРАВОЧНИК!$L$14+'ПЛАН ЧИСТ К2'!V19*СПРАВОЧНИК!$M$14+'ПЛАН ЧИСТ К2'!W19*СПРАВОЧНИК!$N$14)+СПРАВОЧНИК!$F$15*('ПЛАН ЧИСТ К2'!X19*СПРАВОЧНИК!$L$15+'ПЛАН ЧИСТ К2'!Y19*СПРАВОЧНИК!$M$15+'ПЛАН ЧИСТ К2'!Z19*СПРАВОЧНИК!$N$15)</f>
        <v/>
      </c>
      <c r="AO28" s="40">
        <f>СПРАВОЧНИК!$E$9*(('ФАКТ ЧЕРН К2'!B19)*СПРАВОЧНИК!$H$9+('ФАКТ ЧЕРН К2'!C19)*СПРАВОЧНИК!$I$9+('ФАКТ ЧЕРН К2'!D19)*СПРАВОЧНИК!$J$9)+СПРАВОЧНИК!$E$10*(('ФАКТ ЧЕРН К2'!E19)*СПРАВОЧНИК!$H$10+('ФАКТ ЧЕРН К2'!F19)*СПРАВОЧНИК!$I$10+('ФАКТ ЧЕРН К2'!G19)*СПРАВОЧНИК!$J$10)+СПРАВОЧНИК!$E$11*(('ФАКТ ЧЕРН К2'!H19)*СПРАВОЧНИК!$H$11+('ФАКТ ЧЕРН К2'!I19)*СПРАВОЧНИК!$I$11+('ФАКТ ЧЕРН К2'!J19)*СПРАВОЧНИК!$J$11)+СПРАВОЧНИК!$E$12*(('ФАКТ ЧЕРН К2'!K19)*СПРАВОЧНИК!$H$12+('ФАКТ ЧЕРН К2'!L19)*СПРАВОЧНИК!$I$12+('ФАКТ ЧЕРН К2'!M19)*СПРАВОЧНИК!$J$12)+СПРАВОЧНИК!$E$13*(('ФАКТ ЧЕРН К2'!N19)*СПРАВОЧНИК!$H$13+('ФАКТ ЧЕРН К2'!O19)*СПРАВОЧНИК!$I$13+('ФАКТ ЧЕРН К2'!P19)*СПРАВОЧНИК!$J$13)+СПРАВОЧНИК!$E$14*(('ФАКТ ЧЕРН К2'!Q19)*СПРАВОЧНИК!$H$14+('ФАКТ ЧЕРН К2'!R19)*СПРАВОЧНИК!$I$14+('ФАКТ ЧЕРН К2'!S19)*СПРАВОЧНИК!$J$14)+СПРАВОЧНИК!$E$15*(('ФАКТ ЧЕРН К2'!T19)*СПРАВОЧНИК!$H$15+('ФАКТ ЧЕРН К2'!U19)*СПРАВОЧНИК!$I$15+('ФАКТ ЧЕРН К2'!V19)*СПРАВОЧНИК!$J$15)+СПРАВОЧНИК!$F$9*(('ФАКТ ЧИСТ К2'!B19)*СПРАВОЧНИК!$L$9+('ФАКТ ЧИСТ К2'!C19)*СПРАВОЧНИК!$M$9+('ФАКТ ЧИСТ К2'!D19)*СПРАВОЧНИК!$N$9+('ФАКТ ЧИСТ К2'!E19)*СПРАВОЧНИК!$O$9)+СПРАВОЧНИК!$F$10*(('ФАКТ ЧИСТ К2'!F19)*СПРАВОЧНИК!$L$10+('ФАКТ ЧИСТ К2'!G19)*СПРАВОЧНИК!$M$10+('ФАКТ ЧИСТ К2'!H19)*СПРАВОЧНИК!$N$10+('ФАКТ ЧИСТ К2'!I19)*СПРАВОЧНИК!$O$10)+СПРАВОЧНИК!$F$11*(('ФАКТ ЧИСТ К2'!J19)*СПРАВОЧНИК!$L$11+('ФАКТ ЧИСТ К2'!K19)*СПРАВОЧНИК!$M$11+('ФАКТ ЧИСТ К2'!L19)*СПРАВОЧНИК!$N$11)+СПРАВОЧНИК!$F$12*(('ФАКТ ЧИСТ К2'!M19)*СПРАВОЧНИК!$L$12+('ФАКТ ЧИСТ К2'!N19)*СПРАВОЧНИК!$M$12+('ФАКТ ЧИСТ К2'!O19)*СПРАВОЧНИК!$N$12+('ФАКТ ЧИСТ К2'!P19)*СПРАВОЧНИК!$O$12)+СПРАВОЧНИК!$F$13*(('ФАКТ ЧИСТ К2'!Q19)*СПРАВОЧНИК!$L$13+('ФАКТ ЧИСТ К2'!R19)*СПРАВОЧНИК!$M$13+('ФАКТ ЧИСТ К2'!S19)*СПРАВОЧНИК!$N$13+('ФАКТ ЧИСТ К2'!T19)*СПРАВОЧНИК!$O$13)+СПРАВОЧНИК!$F$14*(('ФАКТ ЧИСТ К2'!U19)*СПРАВОЧНИК!$L$14+('ФАКТ ЧИСТ К2'!V19)*СПРАВОЧНИК!$M$14+('ФАКТ ЧИСТ К2'!W19)*СПРАВОЧНИК!$N$14)+СПРАВОЧНИК!$F$15*(('ФАКТ ЧИСТ К2'!X19)*СПРАВОЧНИК!$L$15+('ФАКТ ЧИСТ К2'!Y19)*СПРАВОЧНИК!$M$15+('ФАКТ ЧИСТ К2'!Z19)*СПРАВОЧНИК!$N$15)</f>
        <v/>
      </c>
      <c r="AS28" s="18">
        <f>AS27+7</f>
        <v/>
      </c>
      <c r="AT28" s="37">
        <f>'ПЛАН ЧЕРН К2'!B19*СПРАВОЧНИК!$H$9+'ПЛАН ЧЕРН К2'!C19*СПРАВОЧНИК!$I$9+'ПЛАН ЧЕРН К2'!D19*СПРАВОЧНИК!$J$9+'ПЛАН ЧЕРН К2'!E19*СПРАВОЧНИК!$H$10+'ПЛАН ЧЕРН К2'!F19*СПРАВОЧНИК!$I$10+'ПЛАН ЧЕРН К2'!G19*СПРАВОЧНИК!$J$10+'ПЛАН ЧЕРН К2'!H19*СПРАВОЧНИК!$H$11+'ПЛАН ЧЕРН К2'!I19*СПРАВОЧНИК!$I$11+'ПЛАН ЧЕРН К2'!J19*СПРАВОЧНИК!$J$11+'ПЛАН ЧЕРН К2'!K19*СПРАВОЧНИК!$H$12+'ПЛАН ЧЕРН К2'!L19*СПРАВОЧНИК!$I$12+'ПЛАН ЧЕРН К2'!M19*СПРАВОЧНИК!$J$12+'ПЛАН ЧЕРН К2'!N19*СПРАВОЧНИК!$H$13+'ПЛАН ЧЕРН К2'!O19*СПРАВОЧНИК!$I$13+'ПЛАН ЧЕРН К2'!P19*СПРАВОЧНИК!$J$13+'ПЛАН ЧЕРН К2'!Q19*СПРАВОЧНИК!$H$14+'ПЛАН ЧЕРН К2'!R19*СПРАВОЧНИК!$I$14+'ПЛАН ЧЕРН К2'!S19*СПРАВОЧНИК!$J$14+'ПЛАН ЧЕРН К2'!T19*СПРАВОЧНИК!$H$15+'ПЛАН ЧЕРН К2'!U19*СПРАВОЧНИК!$I$15+'ПЛАН ЧЕРН К2'!V19*СПРАВОЧНИК!$J$15</f>
        <v/>
      </c>
      <c r="AU28" s="40">
        <f>('ФАКТ ЧЕРН К2'!B19)*СПРАВОЧНИК!$H$9+('ФАКТ ЧЕРН К2'!C19)*СПРАВОЧНИК!$I$9+('ФАКТ ЧЕРН К2'!D19)*СПРАВОЧНИК!$J$9+('ФАКТ ЧЕРН К2'!E19)*СПРАВОЧНИК!$H$10+('ФАКТ ЧЕРН К2'!F19)*СПРАВОЧНИК!$I$10+('ФАКТ ЧЕРН К2'!G19)*СПРАВОЧНИК!$J$10+('ФАКТ ЧЕРН К2'!H19)*СПРАВОЧНИК!$H$11+('ФАКТ ЧЕРН К2'!I19)*СПРАВОЧНИК!$I$11+('ФАКТ ЧЕРН К2'!J19)*СПРАВОЧНИК!$J$11+('ФАКТ ЧЕРН К2'!K19)*СПРАВОЧНИК!$H$12+('ФАКТ ЧЕРН К2'!L19)*СПРАВОЧНИК!$I$12+('ФАКТ ЧЕРН К2'!M19)*СПРАВОЧНИК!$J$12+('ФАКТ ЧЕРН К2'!N19)*СПРАВОЧНИК!$H$13+('ФАКТ ЧЕРН К2'!O19)*СПРАВОЧНИК!$I$13+('ФАКТ ЧЕРН К2'!P19)*СПРАВОЧНИК!$J$13+('ФАКТ ЧЕРН К2'!Q19)*СПРАВОЧНИК!$H$14+('ФАКТ ЧЕРН К2'!R19)*СПРАВОЧНИК!$I$14+('ФАКТ ЧЕРН К2'!S19)*СПРАВОЧНИК!$J$14+('ФАКТ ЧЕРН К2'!T19)*СПРАВОЧНИК!$H$15+('ФАКТ ЧЕРН К2'!U19)*СПРАВОЧНИК!$I$15+('ФАКТ ЧЕРН К2'!V19)*СПРАВОЧНИК!$J$15</f>
        <v/>
      </c>
      <c r="AY28" s="18">
        <f>AY27+7</f>
        <v/>
      </c>
      <c r="AZ28" s="37">
        <f>'ПЛАН ЧИСТ К2'!B19*СПРАВОЧНИК!$L$9+'ПЛАН ЧИСТ К2'!C19*СПРАВОЧНИК!$M$9+'ПЛАН ЧИСТ К2'!D19*СПРАВОЧНИК!$N$9+'ПЛАН ЧИСТ К2'!E19*СПРАВОЧНИК!$O$9+'ПЛАН ЧИСТ К2'!F19*СПРАВОЧНИК!$L$10+'ПЛАН ЧИСТ К2'!G19*СПРАВОЧНИК!$M$10+'ПЛАН ЧИСТ К2'!H19*СПРАВОЧНИК!$N$10+'ПЛАН ЧИСТ К2'!I19*СПРАВОЧНИК!$O$10+'ПЛАН ЧИСТ К2'!J19*СПРАВОЧНИК!$L$11+'ПЛАН ЧИСТ К2'!K19*СПРАВОЧНИК!$M$11+'ПЛАН ЧИСТ К2'!L19*СПРАВОЧНИК!$N$11+'ПЛАН ЧИСТ К2'!M19*СПРАВОЧНИК!$L$12+'ПЛАН ЧИСТ К2'!N19*СПРАВОЧНИК!$M$12+'ПЛАН ЧИСТ К2'!O19*СПРАВОЧНИК!$N$12+'ПЛАН ЧИСТ К2'!P19*СПРАВОЧНИК!$O$12+'ПЛАН ЧИСТ К2'!Q19*СПРАВОЧНИК!$L$13+'ПЛАН ЧИСТ К2'!R19*СПРАВОЧНИК!$M$13+'ПЛАН ЧИСТ К2'!S19*СПРАВОЧНИК!$N$13+'ПЛАН ЧИСТ К2'!T19*СПРАВОЧНИК!$O$13+'ПЛАН ЧИСТ К2'!U19*СПРАВОЧНИК!$L$14+'ПЛАН ЧИСТ К2'!V19*СПРАВОЧНИК!$M$14+'ПЛАН ЧИСТ К2'!W19*СПРАВОЧНИК!$N$14+'ПЛАН ЧИСТ К2'!X19*СПРАВОЧНИК!$L$15+'ПЛАН ЧИСТ К2'!Y19*СПРАВОЧНИК!$M$15+'ПЛАН ЧИСТ К2'!Z19*СПРАВОЧНИК!$N$15</f>
        <v/>
      </c>
      <c r="BA28" s="40">
        <f>('ФАКТ ЧИСТ К2'!B19)*СПРАВОЧНИК!$L$9+('ФАКТ ЧИСТ К2'!C19)*СПРАВОЧНИК!$M$9+('ФАКТ ЧИСТ К2'!D19)*СПРАВОЧНИК!$N$9+('ФАКТ ЧИСТ К2'!E19)*СПРАВОЧНИК!$O$9+('ФАКТ ЧИСТ К2'!F19)*СПРАВОЧНИК!$L$10+('ФАКТ ЧИСТ К2'!G19)*СПРАВОЧНИК!$M$10+('ФАКТ ЧИСТ К2'!H19)*СПРАВОЧНИК!$N$10+('ФАКТ ЧИСТ К2'!I19)*СПРАВОЧНИК!$O$10+('ФАКТ ЧИСТ К2'!J19)*СПРАВОЧНИК!$L$11+('ФАКТ ЧИСТ К2'!K19)*СПРАВОЧНИК!$M$11+('ФАКТ ЧИСТ К2'!L19)*СПРАВОЧНИК!$N$11+('ФАКТ ЧИСТ К2'!M19)*СПРАВОЧНИК!$L$12+('ФАКТ ЧИСТ К2'!N19)*СПРАВОЧНИК!$M$12+('ФАКТ ЧИСТ К2'!O19)*СПРАВОЧНИК!$N$12+('ФАКТ ЧИСТ К2'!P19)*СПРАВОЧНИК!$O$12+('ФАКТ ЧИСТ К2'!Q19)*СПРАВОЧНИК!$L$13+('ФАКТ ЧИСТ К2'!R19)*СПРАВОЧНИК!$M$13+('ФАКТ ЧИСТ К2'!S19)*СПРАВОЧНИК!$N$13+('ФАКТ ЧИСТ К2'!T19)*СПРАВОЧНИК!$O$13+('ФАКТ ЧИСТ К2'!U19)*СПРАВОЧНИК!$L$14+('ФАКТ ЧИСТ К2'!V19)*СПРАВОЧНИК!$M$14+('ФАКТ ЧИСТ К2'!W19)*СПРАВОЧНИК!$N$14+('ФАКТ ЧИСТ К2'!X19)*СПРАВОЧНИК!$L$15+('ФАКТ ЧИСТ К2'!Y19)*СПРАВОЧНИК!$M$15+('ФАКТ ЧИСТ К2'!Z19)*СПРАВОЧНИК!$N$15</f>
        <v/>
      </c>
      <c r="BE28" s="18">
        <f>BE27+7</f>
        <v/>
      </c>
      <c r="BF28" s="37">
        <f>СПРАВОЧНИК!$E$9*('ПЛАН ЧЕРН К3'!B19*СПРАВОЧНИК!$H$9+'ПЛАН ЧЕРН К3'!C19*СПРАВОЧНИК!$I$9+'ПЛАН ЧЕРН К3'!D19*СПРАВОЧНИК!$J$9)+СПРАВОЧНИК!$E$10*('ПЛАН ЧЕРН К3'!E19*СПРАВОЧНИК!$H$10+'ПЛАН ЧЕРН К3'!F19*СПРАВОЧНИК!$I$10+'ПЛАН ЧЕРН К3'!G19*СПРАВОЧНИК!$J$10)+СПРАВОЧНИК!$E$11*('ПЛАН ЧЕРН К3'!H19*СПРАВОЧНИК!$H$11+'ПЛАН ЧЕРН К3'!I19*СПРАВОЧНИК!$I$11+'ПЛАН ЧЕРН К3'!J19*СПРАВОЧНИК!$J$11)+СПРАВОЧНИК!$E$12*('ПЛАН ЧЕРН К3'!K19*СПРАВОЧНИК!$H$12+'ПЛАН ЧЕРН К3'!L19*СПРАВОЧНИК!$I$12+'ПЛАН ЧЕРН К3'!M19*СПРАВОЧНИК!$J$12)+СПРАВОЧНИК!$E$13*('ПЛАН ЧЕРН К3'!N19*СПРАВОЧНИК!$H$13+'ПЛАН ЧЕРН К3'!O19*СПРАВОЧНИК!$I$13+'ПЛАН ЧЕРН К3'!P19*СПРАВОЧНИК!$J$13)+СПРАВОЧНИК!$E$14*('ПЛАН ЧЕРН К3'!Q19*СПРАВОЧНИК!$H$14+'ПЛАН ЧЕРН К3'!R19*СПРАВОЧНИК!$I$14+'ПЛАН ЧЕРН К3'!S19*СПРАВОЧНИК!$J$14)+СПРАВОЧНИК!$E$15*('ПЛАН ЧЕРН К3'!T19*СПРАВОЧНИК!$H$15+'ПЛАН ЧЕРН К3'!U19*СПРАВОЧНИК!$I$15+'ПЛАН ЧЕРН К3'!V19*СПРАВОЧНИК!$J$15)+СПРАВОЧНИК!$F$9*('ПЛАН ЧИСТ К3'!B19*СПРАВОЧНИК!$L$9+'ПЛАН ЧИСТ К3'!C19*СПРАВОЧНИК!$M$9+'ПЛАН ЧИСТ К3'!D19*СПРАВОЧНИК!$N$9+'ПЛАН ЧИСТ К3'!E19*СПРАВОЧНИК!$O$9)+СПРАВОЧНИК!$F$10*('ПЛАН ЧИСТ К3'!F19*СПРАВОЧНИК!$L$10+'ПЛАН ЧИСТ К3'!G19*СПРАВОЧНИК!$M$10+'ПЛАН ЧИСТ К3'!H19*СПРАВОЧНИК!$N$10+'ПЛАН ЧИСТ К3'!I19*СПРАВОЧНИК!$O$10)+СПРАВОЧНИК!$F$11*('ПЛАН ЧИСТ К3'!J19*СПРАВОЧНИК!$L$11+'ПЛАН ЧИСТ К3'!K19*СПРАВОЧНИК!$M$11+'ПЛАН ЧИСТ К3'!L19*СПРАВОЧНИК!$N$11)+СПРАВОЧНИК!$F$12*('ПЛАН ЧИСТ К3'!M19*СПРАВОЧНИК!$L$12+'ПЛАН ЧИСТ К3'!N19*СПРАВОЧНИК!$M$12+'ПЛАН ЧИСТ К3'!O19*СПРАВОЧНИК!$N$12+'ПЛАН ЧИСТ К3'!P19*СПРАВОЧНИК!$O$12)+СПРАВОЧНИК!$F$13*('ПЛАН ЧИСТ К3'!Q19*СПРАВОЧНИК!$L$13+'ПЛАН ЧИСТ К3'!R19*СПРАВОЧНИК!$M$13+'ПЛАН ЧИСТ К3'!S19*СПРАВОЧНИК!$N$13+'ПЛАН ЧИСТ К3'!T19*СПРАВОЧНИК!$O$13)+СПРАВОЧНИК!$F$14*('ПЛАН ЧИСТ К3'!U19*СПРАВОЧНИК!$L$14+'ПЛАН ЧИСТ К3'!V19*СПРАВОЧНИК!$M$14+'ПЛАН ЧИСТ К3'!W19*СПРАВОЧНИК!$N$14)+СПРАВОЧНИК!$F$15*('ПЛАН ЧИСТ К3'!X19*СПРАВОЧНИК!$L$15+'ПЛАН ЧИСТ К3'!Y19*СПРАВОЧНИК!$M$15+'ПЛАН ЧИСТ К3'!Z19*СПРАВОЧНИК!$N$15)</f>
        <v/>
      </c>
      <c r="BG28" s="40">
        <f>СПРАВОЧНИК!$E$9*(('ФАКТ ЧЕРН К3'!B19)*СПРАВОЧНИК!$H$9+('ФАКТ ЧЕРН К3'!C19)*СПРАВОЧНИК!$I$9+('ФАКТ ЧЕРН К3'!D19)*СПРАВОЧНИК!$J$9)+СПРАВОЧНИК!$E$10*(('ФАКТ ЧЕРН К3'!E19)*СПРАВОЧНИК!$H$10+('ФАКТ ЧЕРН К3'!F19)*СПРАВОЧНИК!$I$10+('ФАКТ ЧЕРН К3'!G19)*СПРАВОЧНИК!$J$10)+СПРАВОЧНИК!$E$11*(('ФАКТ ЧЕРН К3'!H19)*СПРАВОЧНИК!$H$11+('ФАКТ ЧЕРН К3'!I19)*СПРАВОЧНИК!$I$11+('ФАКТ ЧЕРН К3'!J19)*СПРАВОЧНИК!$J$11)+СПРАВОЧНИК!$E$12*(('ФАКТ ЧЕРН К3'!K19)*СПРАВОЧНИК!$H$12+('ФАКТ ЧЕРН К3'!L19)*СПРАВОЧНИК!$I$12+('ФАКТ ЧЕРН К3'!M19)*СПРАВОЧНИК!$J$12)+СПРАВОЧНИК!$E$13*(('ФАКТ ЧЕРН К3'!N19)*СПРАВОЧНИК!$H$13+('ФАКТ ЧЕРН К3'!O19)*СПРАВОЧНИК!$I$13+('ФАКТ ЧЕРН К3'!P19)*СПРАВОЧНИК!$J$13)+СПРАВОЧНИК!$E$14*(('ФАКТ ЧЕРН К3'!Q19)*СПРАВОЧНИК!$H$14+('ФАКТ ЧЕРН К3'!R19)*СПРАВОЧНИК!$I$14+('ФАКТ ЧЕРН К3'!S19)*СПРАВОЧНИК!$J$14)+СПРАВОЧНИК!$E$15*(('ФАКТ ЧЕРН К3'!T19)*СПРАВОЧНИК!$H$15+('ФАКТ ЧЕРН К3'!U19)*СПРАВОЧНИК!$I$15+('ФАКТ ЧЕРН К3'!V19)*СПРАВОЧНИК!$J$15)+СПРАВОЧНИК!$F$9*(('ФАКТ ЧИСТ К3'!B19)*СПРАВОЧНИК!$L$9+('ФАКТ ЧИСТ К3'!C19)*СПРАВОЧНИК!$M$9+('ФАКТ ЧИСТ К3'!D19)*СПРАВОЧНИК!$N$9+('ФАКТ ЧИСТ К3'!E19)*СПРАВОЧНИК!$O$9)+СПРАВОЧНИК!$F$10*(('ФАКТ ЧИСТ К3'!F19)*СПРАВОЧНИК!$L$10+('ФАКТ ЧИСТ К3'!G19)*СПРАВОЧНИК!$M$10+('ФАКТ ЧИСТ К3'!H19)*СПРАВОЧНИК!$N$10+('ФАКТ ЧИСТ К3'!I19)*СПРАВОЧНИК!$O$10)+СПРАВОЧНИК!$F$11*(('ФАКТ ЧИСТ К3'!J19)*СПРАВОЧНИК!$L$11+('ФАКТ ЧИСТ К3'!K19)*СПРАВОЧНИК!$M$11+('ФАКТ ЧИСТ К3'!L19)*СПРАВОЧНИК!$N$11)+СПРАВОЧНИК!$F$12*(('ФАКТ ЧИСТ К3'!M19)*СПРАВОЧНИК!$L$12+('ФАКТ ЧИСТ К3'!N19)*СПРАВОЧНИК!$M$12+('ФАКТ ЧИСТ К3'!O19)*СПРАВОЧНИК!$N$12+('ФАКТ ЧИСТ К3'!P19)*СПРАВОЧНИК!$O$12)+СПРАВОЧНИК!$F$13*(('ФАКТ ЧИСТ К3'!Q19)*СПРАВОЧНИК!$L$13+('ФАКТ ЧИСТ К3'!R19)*СПРАВОЧНИК!$M$13+('ФАКТ ЧИСТ К3'!S19)*СПРАВОЧНИК!$N$13+('ФАКТ ЧИСТ К3'!T19)*СПРАВОЧНИК!$O$13)+СПРАВОЧНИК!$F$14*(('ФАКТ ЧИСТ К3'!U19)*СПРАВОЧНИК!$L$14+('ФАКТ ЧИСТ К3'!V19)*СПРАВОЧНИК!$M$14+('ФАКТ ЧИСТ К3'!W19)*СПРАВОЧНИК!$N$14)+СПРАВОЧНИК!$F$15*(('ФАКТ ЧИСТ К3'!X19)*СПРАВОЧНИК!$L$15+('ФАКТ ЧИСТ К3'!Y19)*СПРАВОЧНИК!$M$15+('ФАКТ ЧИСТ К3'!Z19)*СПРАВОЧНИК!$N$15)</f>
        <v/>
      </c>
      <c r="BK28" s="18">
        <f>BK27+7</f>
        <v/>
      </c>
      <c r="BL28" s="37">
        <f>'ПЛАН ЧЕРН К3'!B19*СПРАВОЧНИК!$H$9+'ПЛАН ЧЕРН К3'!C19*СПРАВОЧНИК!$I$9+'ПЛАН ЧЕРН К3'!D19*СПРАВОЧНИК!$J$9+'ПЛАН ЧЕРН К3'!E19*СПРАВОЧНИК!$H$10+'ПЛАН ЧЕРН К3'!F19*СПРАВОЧНИК!$I$10+'ПЛАН ЧЕРН К3'!G19*СПРАВОЧНИК!$J$10+'ПЛАН ЧЕРН К3'!H19*СПРАВОЧНИК!$H$11+'ПЛАН ЧЕРН К3'!I19*СПРАВОЧНИК!$I$11+'ПЛАН ЧЕРН К3'!J19*СПРАВОЧНИК!$J$11+'ПЛАН ЧЕРН К3'!K19*СПРАВОЧНИК!$H$12+'ПЛАН ЧЕРН К3'!L19*СПРАВОЧНИК!$I$12+'ПЛАН ЧЕРН К3'!M19*СПРАВОЧНИК!$J$12+'ПЛАН ЧЕРН К3'!N19*СПРАВОЧНИК!$H$13+'ПЛАН ЧЕРН К3'!O19*СПРАВОЧНИК!$I$13+'ПЛАН ЧЕРН К3'!P19*СПРАВОЧНИК!$J$13+'ПЛАН ЧЕРН К3'!Q19*СПРАВОЧНИК!$H$14+'ПЛАН ЧЕРН К3'!R19*СПРАВОЧНИК!$I$14+'ПЛАН ЧЕРН К3'!S19*СПРАВОЧНИК!$J$14+'ПЛАН ЧЕРН К3'!T19*СПРАВОЧНИК!$H$15+'ПЛАН ЧЕРН К3'!U19*СПРАВОЧНИК!$I$15+'ПЛАН ЧЕРН К3'!V19*СПРАВОЧНИК!$J$15</f>
        <v/>
      </c>
      <c r="BM28" s="40">
        <f>('ФАКТ ЧЕРН К3'!B19)*СПРАВОЧНИК!$H$9+('ФАКТ ЧЕРН К3'!C19)*СПРАВОЧНИК!$I$9+('ФАКТ ЧЕРН К3'!D19)*СПРАВОЧНИК!$J$9+('ФАКТ ЧЕРН К3'!E19)*СПРАВОЧНИК!$H$10+('ФАКТ ЧЕРН К3'!F19)*СПРАВОЧНИК!$I$10+('ФАКТ ЧЕРН К3'!G19)*СПРАВОЧНИК!$J$10+('ФАКТ ЧЕРН К3'!H19)*СПРАВОЧНИК!$H$11+('ФАКТ ЧЕРН К3'!I19)*СПРАВОЧНИК!$I$11+('ФАКТ ЧЕРН К3'!J19)*СПРАВОЧНИК!$J$11+('ФАКТ ЧЕРН К3'!K19)*СПРАВОЧНИК!$H$12+('ФАКТ ЧЕРН К3'!L19)*СПРАВОЧНИК!$I$12+('ФАКТ ЧЕРН К3'!M19)*СПРАВОЧНИК!$J$12+('ФАКТ ЧЕРН К3'!N19)*СПРАВОЧНИК!$H$13+('ФАКТ ЧЕРН К3'!O19)*СПРАВОЧНИК!$I$13+('ФАКТ ЧЕРН К3'!P19)*СПРАВОЧНИК!$J$13+('ФАКТ ЧЕРН К3'!Q19)*СПРАВОЧНИК!$H$14+('ФАКТ ЧЕРН К3'!R19)*СПРАВОЧНИК!$I$14+('ФАКТ ЧЕРН К3'!S19)*СПРАВОЧНИК!$J$14+('ФАКТ ЧЕРН К3'!T19)*СПРАВОЧНИК!$H$15+('ФАКТ ЧЕРН К3'!U19)*СПРАВОЧНИК!$I$15+('ФАКТ ЧЕРН К3'!V19)*СПРАВОЧНИК!$J$15</f>
        <v/>
      </c>
      <c r="BQ28" s="18">
        <f>BQ27+7</f>
        <v/>
      </c>
      <c r="BR28" s="37">
        <f>'ПЛАН ЧИСТ К3'!B19*СПРАВОЧНИК!$L$9+'ПЛАН ЧИСТ К3'!C19*СПРАВОЧНИК!$M$9+'ПЛАН ЧИСТ К3'!D19*СПРАВОЧНИК!$N$9+'ПЛАН ЧИСТ К3'!E19*СПРАВОЧНИК!$O$9+'ПЛАН ЧИСТ К3'!F19*СПРАВОЧНИК!$L$10+'ПЛАН ЧИСТ К3'!G19*СПРАВОЧНИК!$M$10+'ПЛАН ЧИСТ К3'!H19*СПРАВОЧНИК!$N$10+'ПЛАН ЧИСТ К3'!I19*СПРАВОЧНИК!$O$10+'ПЛАН ЧИСТ К3'!J19*СПРАВОЧНИК!$L$11+'ПЛАН ЧИСТ К3'!K19*СПРАВОЧНИК!$M$11+'ПЛАН ЧИСТ К3'!L19*СПРАВОЧНИК!$N$11+'ПЛАН ЧИСТ К3'!M19*СПРАВОЧНИК!$L$12+'ПЛАН ЧИСТ К3'!N19*СПРАВОЧНИК!$M$12+'ПЛАН ЧИСТ К3'!O19*СПРАВОЧНИК!$N$12+'ПЛАН ЧИСТ К3'!P19*СПРАВОЧНИК!$O$12+'ПЛАН ЧИСТ К3'!Q19*СПРАВОЧНИК!$L$13+'ПЛАН ЧИСТ К3'!R19*СПРАВОЧНИК!$M$13+'ПЛАН ЧИСТ К3'!S19*СПРАВОЧНИК!$N$13+'ПЛАН ЧИСТ К3'!T19*СПРАВОЧНИК!$O$13+'ПЛАН ЧИСТ К3'!U19*СПРАВОЧНИК!$L$14+'ПЛАН ЧИСТ К3'!V19*СПРАВОЧНИК!$M$14+'ПЛАН ЧИСТ К3'!W19*СПРАВОЧНИК!$N$14+'ПЛАН ЧИСТ К3'!X19*СПРАВОЧНИК!$L$15+'ПЛАН ЧИСТ К3'!Y19*СПРАВОЧНИК!$M$15+'ПЛАН ЧИСТ К3'!Z19*СПРАВОЧНИК!$N$15</f>
        <v/>
      </c>
      <c r="BS28" s="40">
        <f>('ФАКТ ЧИСТ К3'!B19)*СПРАВОЧНИК!$L$9+('ФАКТ ЧИСТ К3'!C19)*СПРАВОЧНИК!$M$9+('ФАКТ ЧИСТ К3'!D19)*СПРАВОЧНИК!$N$9+('ФАКТ ЧИСТ К3'!E19)*СПРАВОЧНИК!$O$9+('ФАКТ ЧИСТ К3'!F19)*СПРАВОЧНИК!$L$10+('ФАКТ ЧИСТ К3'!G19)*СПРАВОЧНИК!$M$10+('ФАКТ ЧИСТ К3'!H19)*СПРАВОЧНИК!$N$10+('ФАКТ ЧИСТ К3'!I19)*СПРАВОЧНИК!$O$10+('ФАКТ ЧИСТ К3'!J19)*СПРАВОЧНИК!$L$11+('ФАКТ ЧИСТ К3'!K19)*СПРАВОЧНИК!$M$11+('ФАКТ ЧИСТ К3'!L19)*СПРАВОЧНИК!$N$11+('ФАКТ ЧИСТ К3'!M19)*СПРАВОЧНИК!$L$12+('ФАКТ ЧИСТ К3'!N19)*СПРАВОЧНИК!$M$12+('ФАКТ ЧИСТ К3'!O19)*СПРАВОЧНИК!$N$12+('ФАКТ ЧИСТ К3'!P19)*СПРАВОЧНИК!$O$12+('ФАКТ ЧИСТ К3'!Q19)*СПРАВОЧНИК!$L$13+('ФАКТ ЧИСТ К3'!R19)*СПРАВОЧНИК!$M$13+('ФАКТ ЧИСТ К3'!S19)*СПРАВОЧНИК!$N$13+('ФАКТ ЧИСТ К3'!T19)*СПРАВОЧНИК!$O$13+('ФАКТ ЧИСТ К3'!U19)*СПРАВОЧНИК!$L$14+('ФАКТ ЧИСТ К3'!V19)*СПРАВОЧНИК!$M$14+('ФАКТ ЧИСТ К3'!W19)*СПРАВОЧНИК!$N$14+('ФАКТ ЧИСТ К3'!X19)*СПРАВОЧНИК!$L$15+('ФАКТ ЧИСТ К3'!Y19)*СПРАВОЧНИК!$M$15+('ФАКТ ЧИСТ К3'!Z19)*СПРАВОЧНИК!$N$15</f>
        <v/>
      </c>
      <c r="BW28" s="18">
        <f>BW27+7</f>
        <v/>
      </c>
      <c r="BX28" s="37">
        <f>V28+AN28+BF28</f>
        <v/>
      </c>
      <c r="BY28" s="40">
        <f>W28+AO28+BG28</f>
        <v/>
      </c>
      <c r="CC28" s="18">
        <f>CC27+7</f>
        <v/>
      </c>
      <c r="CD28" s="37">
        <f>AB28+AT28+BL28</f>
        <v/>
      </c>
      <c r="CE28" s="40">
        <f>AC28+AU28+BM28</f>
        <v/>
      </c>
      <c r="CI28" s="18">
        <f>CI27+7</f>
        <v/>
      </c>
      <c r="CJ28" s="37">
        <f>AH28+AZ28+BR28</f>
        <v/>
      </c>
      <c r="CK28" s="40">
        <f>AI28+BA28+BS28</f>
        <v/>
      </c>
      <c r="CO28" s="18">
        <f>CO27+7</f>
        <v/>
      </c>
      <c r="CP28" s="37">
        <f>D28+BX28</f>
        <v/>
      </c>
      <c r="CQ28" s="40">
        <f>E28+BY28</f>
        <v/>
      </c>
      <c r="CU28" s="18">
        <f>CU27+7</f>
        <v/>
      </c>
      <c r="CV28" s="37">
        <f>J28+CD28</f>
        <v/>
      </c>
      <c r="CW28" s="40">
        <f>K28+CE28</f>
        <v/>
      </c>
      <c r="DA28" s="18">
        <f>DA27+7</f>
        <v/>
      </c>
      <c r="DB28" s="37">
        <f>P28+CJ28</f>
        <v/>
      </c>
      <c r="DC28" s="40">
        <f>Q28+CK28</f>
        <v/>
      </c>
    </row>
    <row r="29">
      <c r="C29" s="18">
        <f>C28+7</f>
        <v/>
      </c>
      <c r="D29" s="37">
        <f>СПРАВОЧНИК!$E$3*('ПЛАН ЧЕРН ПОДЗЕМ'!B20*СПРАВОЧНИК!$H$3+'ПЛАН ЧЕРН ПОДЗЕМ'!C20*СПРАВОЧНИК!$I$3+'ПЛАН ЧЕРН ПОДЗЕМ'!D20*СПРАВОЧНИК!$J$3)+СПРАВОЧНИК!$E$4*('ПЛАН ЧЕРН ПОДЗЕМ'!E20*СПРАВОЧНИК!$H$4+'ПЛАН ЧЕРН ПОДЗЕМ'!F20*СПРАВОЧНИК!$I$4+'ПЛАН ЧЕРН ПОДЗЕМ'!G20*СПРАВОЧНИК!$J$4)+СПРАВОЧНИК!$E$5*('ПЛАН ЧЕРН ПОДЗЕМ'!H20*СПРАВОЧНИК!$H$5+'ПЛАН ЧЕРН ПОДЗЕМ'!I20*СПРАВОЧНИК!$I$5+'ПЛАН ЧЕРН ПОДЗЕМ'!J20*СПРАВОЧНИК!$J$5)+СПРАВОЧНИК!$E$6*('ПЛАН ЧЕРН ПОДЗЕМ'!K20*СПРАВОЧНИК!$H$6+'ПЛАН ЧЕРН ПОДЗЕМ'!L20*СПРАВОЧНИК!$I$6+'ПЛАН ЧЕРН ПОДЗЕМ'!M20*СПРАВОЧНИК!$J$6)+СПРАВОЧНИК!$E$7*('ПЛАН ЧЕРН ПОДЗЕМ'!N20*СПРАВОЧНИК!$H$7+'ПЛАН ЧЕРН ПОДЗЕМ'!O20*СПРАВОЧНИК!$I$7+'ПЛАН ЧЕРН ПОДЗЕМ'!P20*СПРАВОЧНИК!$J$7)+СПРАВОЧНИК!$E$8*('ПЛАН ЧЕРН ПОДЗЕМ'!Q20*СПРАВОЧНИК!$H$8+'ПЛАН ЧЕРН ПОДЗЕМ'!R20*СПРАВОЧНИК!$I$8+'ПЛАН ЧЕРН ПОДЗЕМ'!S20*СПРАВОЧНИК!$J$8)+СПРАВОЧНИК!$F$3*('ПЛАН ЧИСТ ПОДЗЕМ'!B20*СПРАВОЧНИК!$L$3+'ПЛАН ЧИСТ ПОДЗЕМ'!C20*СПРАВОЧНИК!$M$3+'ПЛАН ЧИСТ ПОДЗЕМ'!D20*СПРАВОЧНИК!$N$3+'ПЛАН ЧИСТ ПОДЗЕМ'!E20*СПРАВОЧНИК!$O$3)+СПРАВОЧНИК!$F$4*('ПЛАН ЧИСТ ПОДЗЕМ'!F20*СПРАВОЧНИК!$L$4+'ПЛАН ЧИСТ ПОДЗЕМ'!G20*СПРАВОЧНИК!$M$4+'ПЛАН ЧИСТ ПОДЗЕМ'!H20*СПРАВОЧНИК!$N$4+'ПЛАН ЧИСТ ПОДЗЕМ'!I20*СПРАВОЧНИК!$O$4)+СПРАВОЧНИК!$F$5*('ПЛАН ЧИСТ ПОДЗЕМ'!J20*СПРАВОЧНИК!$L$5+'ПЛАН ЧИСТ ПОДЗЕМ'!K20*СПРАВОЧНИК!$M$5+'ПЛАН ЧИСТ ПОДЗЕМ'!L20*СПРАВОЧНИК!$N$5)+СПРАВОЧНИК!$F$6*('ПЛАН ЧИСТ ПОДЗЕМ'!M20*СПРАВОЧНИК!$L$6+'ПЛАН ЧИСТ ПОДЗЕМ'!N20*СПРАВОЧНИК!$M$6+'ПЛАН ЧИСТ ПОДЗЕМ'!O20*СПРАВОЧНИК!$N$6+'ПЛАН ЧИСТ ПОДЗЕМ'!P20*СПРАВОЧНИК!$O$6)+СПРАВОЧНИК!$F$7*('ПЛАН ЧИСТ ПОДЗЕМ'!Q20*СПРАВОЧНИК!$L$7+'ПЛАН ЧИСТ ПОДЗЕМ'!R20*СПРАВОЧНИК!$M$7+'ПЛАН ЧИСТ ПОДЗЕМ'!S20*СПРАВОЧНИК!$N$7+'ПЛАН ЧИСТ ПОДЗЕМ'!T20*СПРАВОЧНИК!$O$7)+СПРАВОЧНИК!$F$8*('ПЛАН ЧИСТ ПОДЗЕМ'!U20*СПРАВОЧНИК!$L$8+'ПЛАН ЧИСТ ПОДЗЕМ'!V20*СПРАВОЧНИК!$M$8+'ПЛАН ЧИСТ ПОДЗЕМ'!W20*СПРАВОЧНИК!$N$8)</f>
        <v/>
      </c>
      <c r="E29" s="40">
        <f>СПРАВОЧНИК!$E$3*(('ФАКТ ЧЕРН ПОДЗЕМ'!B20)*СПРАВОЧНИК!$H$3+('ФАКТ ЧЕРН ПОДЗЕМ'!C20)*СПРАВОЧНИК!$I$3+('ФАКТ ЧЕРН ПОДЗЕМ'!D20)*СПРАВОЧНИК!$J$3)+СПРАВОЧНИК!$E$4*(('ФАКТ ЧЕРН ПОДЗЕМ'!E20)*СПРАВОЧНИК!$H$4+('ФАКТ ЧЕРН ПОДЗЕМ'!F20)*СПРАВОЧНИК!$I$4+('ФАКТ ЧЕРН ПОДЗЕМ'!G20)*СПРАВОЧНИК!$J$4)+СПРАВОЧНИК!$E$5*(('ФАКТ ЧЕРН ПОДЗЕМ'!H20)*СПРАВОЧНИК!$H$5+('ФАКТ ЧЕРН ПОДЗЕМ'!I20)*СПРАВОЧНИК!$I$5+('ФАКТ ЧЕРН ПОДЗЕМ'!J20)*СПРАВОЧНИК!$J$5)+СПРАВОЧНИК!$E$6*(('ФАКТ ЧЕРН ПОДЗЕМ'!K20)*СПРАВОЧНИК!$H$6+('ФАКТ ЧЕРН ПОДЗЕМ'!L20)*СПРАВОЧНИК!$I$6+('ФАКТ ЧЕРН ПОДЗЕМ'!M20)*СПРАВОЧНИК!$J$6)+СПРАВОЧНИК!$E$7*(('ФАКТ ЧЕРН ПОДЗЕМ'!N20)*СПРАВОЧНИК!$H$7+('ФАКТ ЧЕРН ПОДЗЕМ'!O20)*СПРАВОЧНИК!$I$7+('ФАКТ ЧЕРН ПОДЗЕМ'!P20)*СПРАВОЧНИК!$J$7)+СПРАВОЧНИК!$E$8*(('ФАКТ ЧЕРН ПОДЗЕМ'!Q20)*СПРАВОЧНИК!$H$8+('ФАКТ ЧЕРН ПОДЗЕМ'!R20)*СПРАВОЧНИК!$I$8+('ФАКТ ЧЕРН ПОДЗЕМ'!S20)*СПРАВОЧНИК!$J$8)+СПРАВОЧНИК!$F$3*(('ФАКТ ЧИСТ ПОДЗЕМ'!B20)*СПРАВОЧНИК!$L$3+('ФАКТ ЧИСТ ПОДЗЕМ'!C20)*СПРАВОЧНИК!$M$3+('ФАКТ ЧИСТ ПОДЗЕМ'!D20)*СПРАВОЧНИК!$N$3+('ФАКТ ЧИСТ ПОДЗЕМ'!E20)*СПРАВОЧНИК!$O$3)+СПРАВОЧНИК!$F$4*(('ФАКТ ЧИСТ ПОДЗЕМ'!F20)*СПРАВОЧНИК!$L$4+('ФАКТ ЧИСТ ПОДЗЕМ'!G20)*СПРАВОЧНИК!$M$4+('ФАКТ ЧИСТ ПОДЗЕМ'!H20)*СПРАВОЧНИК!$N$4+('ФАКТ ЧИСТ ПОДЗЕМ'!I20)*СПРАВОЧНИК!$O$4)+СПРАВОЧНИК!$F$5*(('ФАКТ ЧИСТ ПОДЗЕМ'!J20)*СПРАВОЧНИК!$L$5+('ФАКТ ЧИСТ ПОДЗЕМ'!K20)*СПРАВОЧНИК!$M$5+('ФАКТ ЧИСТ ПОДЗЕМ'!L20)*СПРАВОЧНИК!$N$5)+СПРАВОЧНИК!$F$6*(('ФАКТ ЧИСТ ПОДЗЕМ'!M20)*СПРАВОЧНИК!$L$6+('ФАКТ ЧИСТ ПОДЗЕМ'!N20)*СПРАВОЧНИК!$M$6+('ФАКТ ЧИСТ ПОДЗЕМ'!O20)*СПРАВОЧНИК!$N$6+('ФАКТ ЧИСТ ПОДЗЕМ'!P20)*СПРАВОЧНИК!$O$6)+СПРАВОЧНИК!$F$7*(('ФАКТ ЧИСТ ПОДЗЕМ'!Q20)*СПРАВОЧНИК!$L$7+('ФАКТ ЧИСТ ПОДЗЕМ'!R20)*СПРАВОЧНИК!$M$7+('ФАКТ ЧИСТ ПОДЗЕМ'!S20)*СПРАВОЧНИК!$N$7+('ФАКТ ЧИСТ ПОДЗЕМ'!T20)*СПРАВОЧНИК!$O$7)+СПРАВОЧНИК!$F$8*(('ФАКТ ЧИСТ ПОДЗЕМ'!U20)*СПРАВОЧНИК!$L$8+('ФАКТ ЧИСТ ПОДЗЕМ'!V20)*СПРАВОЧНИК!$M$8+('ФАКТ ЧИСТ ПОДЗЕМ'!W20)*СПРАВОЧНИК!$N$8)</f>
        <v/>
      </c>
      <c r="I29" s="18">
        <f>I28+7</f>
        <v/>
      </c>
      <c r="J29" s="37">
        <f>'ПЛАН ЧЕРН ПОДЗЕМ'!B20*СПРАВОЧНИК!$H$3+'ПЛАН ЧЕРН ПОДЗЕМ'!C20*СПРАВОЧНИК!$I$3+'ПЛАН ЧЕРН ПОДЗЕМ'!D20*СПРАВОЧНИК!$J$3+'ПЛАН ЧЕРН ПОДЗЕМ'!E20*СПРАВОЧНИК!$H$4+'ПЛАН ЧЕРН ПОДЗЕМ'!F20*СПРАВОЧНИК!$I$4+'ПЛАН ЧЕРН ПОДЗЕМ'!G20*СПРАВОЧНИК!$J$4+'ПЛАН ЧЕРН ПОДЗЕМ'!H20*СПРАВОЧНИК!$H$5+'ПЛАН ЧЕРН ПОДЗЕМ'!I20*СПРАВОЧНИК!$I$5+'ПЛАН ЧЕРН ПОДЗЕМ'!J20*СПРАВОЧНИК!$J$5+'ПЛАН ЧЕРН ПОДЗЕМ'!K20*СПРАВОЧНИК!$H$6+'ПЛАН ЧЕРН ПОДЗЕМ'!L20*СПРАВОЧНИК!$I$6+'ПЛАН ЧЕРН ПОДЗЕМ'!M20*СПРАВОЧНИК!$J$6+'ПЛАН ЧЕРН ПОДЗЕМ'!N20*СПРАВОЧНИК!$H$7+'ПЛАН ЧЕРН ПОДЗЕМ'!O20*СПРАВОЧНИК!$I$7+'ПЛАН ЧЕРН ПОДЗЕМ'!P20*СПРАВОЧНИК!$J$7+'ПЛАН ЧЕРН ПОДЗЕМ'!Q20*СПРАВОЧНИК!$H$8+'ПЛАН ЧЕРН ПОДЗЕМ'!R20*СПРАВОЧНИК!$I$8+'ПЛАН ЧЕРН ПОДЗЕМ'!S20*СПРАВОЧНИК!$J$8</f>
        <v/>
      </c>
      <c r="K29" s="40">
        <f>('ФАКТ ЧЕРН ПОДЗЕМ'!B20)*СПРАВОЧНИК!$H$3+('ФАКТ ЧЕРН ПОДЗЕМ'!C20)*СПРАВОЧНИК!$I$3+('ФАКТ ЧЕРН ПОДЗЕМ'!D20)*СПРАВОЧНИК!$J$3+('ФАКТ ЧЕРН ПОДЗЕМ'!E20)*СПРАВОЧНИК!$H$4+('ФАКТ ЧЕРН ПОДЗЕМ'!F20)*СПРАВОЧНИК!$I$4+('ФАКТ ЧЕРН ПОДЗЕМ'!G20)*СПРАВОЧНИК!$J$4+('ФАКТ ЧЕРН ПОДЗЕМ'!H20)*СПРАВОЧНИК!$H$5+('ФАКТ ЧЕРН ПОДЗЕМ'!I20)*СПРАВОЧНИК!$I$5+('ФАКТ ЧЕРН ПОДЗЕМ'!J20)*СПРАВОЧНИК!$J$5+('ФАКТ ЧЕРН ПОДЗЕМ'!K20)*СПРАВОЧНИК!$H$6+('ФАКТ ЧЕРН ПОДЗЕМ'!L20)*СПРАВОЧНИК!$I$6+('ФАКТ ЧЕРН ПОДЗЕМ'!M20)*СПРАВОЧНИК!$J$6+('ФАКТ ЧЕРН ПОДЗЕМ'!N20)*СПРАВОЧНИК!$H$7+('ФАКТ ЧЕРН ПОДЗЕМ'!O20)*СПРАВОЧНИК!$I$7+('ФАКТ ЧЕРН ПОДЗЕМ'!P20)*СПРАВОЧНИК!$J$7+('ФАКТ ЧЕРН ПОДЗЕМ'!Q20)*СПРАВОЧНИК!$H$8+('ФАКТ ЧЕРН ПОДЗЕМ'!R20)*СПРАВОЧНИК!$I$8+('ФАКТ ЧЕРН ПОДЗЕМ'!S20)*СПРАВОЧНИК!$J$8</f>
        <v/>
      </c>
      <c r="O29" s="18">
        <f>O28+7</f>
        <v/>
      </c>
      <c r="P29" s="37">
        <f>'ПЛАН ЧИСТ ПОДЗЕМ'!B20*СПРАВОЧНИК!$L$3+'ПЛАН ЧИСТ ПОДЗЕМ'!C20*СПРАВОЧНИК!$M$3+'ПЛАН ЧИСТ ПОДЗЕМ'!D20*СПРАВОЧНИК!$N$3+'ПЛАН ЧИСТ ПОДЗЕМ'!E20*СПРАВОЧНИК!$O$3+'ПЛАН ЧИСТ ПОДЗЕМ'!F20*СПРАВОЧНИК!$L$4+'ПЛАН ЧИСТ ПОДЗЕМ'!G20*СПРАВОЧНИК!$M$4+'ПЛАН ЧИСТ ПОДЗЕМ'!H20*СПРАВОЧНИК!$N$4+'ПЛАН ЧИСТ ПОДЗЕМ'!I20*СПРАВОЧНИК!$O$4+'ПЛАН ЧИСТ ПОДЗЕМ'!J20*СПРАВОЧНИК!$L$5+'ПЛАН ЧИСТ ПОДЗЕМ'!K20*СПРАВОЧНИК!$M$5+'ПЛАН ЧИСТ ПОДЗЕМ'!L20*СПРАВОЧНИК!$N$5+'ПЛАН ЧИСТ ПОДЗЕМ'!M20*СПРАВОЧНИК!$L$6+'ПЛАН ЧИСТ ПОДЗЕМ'!N20*СПРАВОЧНИК!$M$6+'ПЛАН ЧИСТ ПОДЗЕМ'!O20*СПРАВОЧНИК!$N$6+'ПЛАН ЧИСТ ПОДЗЕМ'!P20*СПРАВОЧНИК!$O$6+'ПЛАН ЧИСТ ПОДЗЕМ'!Q20*СПРАВОЧНИК!$L$7+'ПЛАН ЧИСТ ПОДЗЕМ'!R20*СПРАВОЧНИК!$M$7+'ПЛАН ЧИСТ ПОДЗЕМ'!S20*СПРАВОЧНИК!$N$7+'ПЛАН ЧИСТ ПОДЗЕМ'!T20*СПРАВОЧНИК!$O$7+'ПЛАН ЧИСТ ПОДЗЕМ'!U20*СПРАВОЧНИК!$L$8+'ПЛАН ЧИСТ ПОДЗЕМ'!V20*СПРАВОЧНИК!$M$8+'ПЛАН ЧИСТ ПОДЗЕМ'!W20*СПРАВОЧНИК!$N$8</f>
        <v/>
      </c>
      <c r="Q29" s="40">
        <f>('ФАКТ ЧИСТ ПОДЗЕМ'!B20)*СПРАВОЧНИК!$L$3+('ФАКТ ЧИСТ ПОДЗЕМ'!C20)*СПРАВОЧНИК!$M$3+('ФАКТ ЧИСТ ПОДЗЕМ'!D20)*СПРАВОЧНИК!$N$3+('ФАКТ ЧИСТ ПОДЗЕМ'!E20)*СПРАВОЧНИК!$O$3+('ФАКТ ЧИСТ ПОДЗЕМ'!F20)*СПРАВОЧНИК!$L$4+('ФАКТ ЧИСТ ПОДЗЕМ'!G20)*СПРАВОЧНИК!$M$4+('ФАКТ ЧИСТ ПОДЗЕМ'!H20)*СПРАВОЧНИК!$N$4+('ФАКТ ЧИСТ ПОДЗЕМ'!I20)*СПРАВОЧНИК!$O$4+('ФАКТ ЧИСТ ПОДЗЕМ'!J20)*СПРАВОЧНИК!$L$5+('ФАКТ ЧИСТ ПОДЗЕМ'!K20)*СПРАВОЧНИК!$M$5+('ФАКТ ЧИСТ ПОДЗЕМ'!L20)*СПРАВОЧНИК!$N$5+('ФАКТ ЧИСТ ПОДЗЕМ'!M20)*СПРАВОЧНИК!$L$6+('ФАКТ ЧИСТ ПОДЗЕМ'!N20)*СПРАВОЧНИК!$M$6+('ФАКТ ЧИСТ ПОДЗЕМ'!O20)*СПРАВОЧНИК!$N$6+('ФАКТ ЧИСТ ПОДЗЕМ'!P20)*СПРАВОЧНИК!$O$6+('ФАКТ ЧИСТ ПОДЗЕМ'!Q20)*СПРАВОЧНИК!$L$7+('ФАКТ ЧИСТ ПОДЗЕМ'!R20)*СПРАВОЧНИК!$M$7+('ФАКТ ЧИСТ ПОДЗЕМ'!S20)*СПРАВОЧНИК!$N$7+('ФАКТ ЧИСТ ПОДЗЕМ'!T20)*СПРАВОЧНИК!$O$7+('ФАКТ ЧИСТ ПОДЗЕМ'!U20)*СПРАВОЧНИК!$L$8+('ФАКТ ЧИСТ ПОДЗЕМ'!V20)*СПРАВОЧНИК!$M$8+('ФАКТ ЧИСТ ПОДЗЕМ'!W20)*СПРАВОЧНИК!$N$8</f>
        <v/>
      </c>
      <c r="U29" s="18">
        <f>U28+7</f>
        <v/>
      </c>
      <c r="V29" s="37">
        <f>СПРАВОЧНИК!$E$9*('ПЛАН ЧЕРН К1'!B20*СПРАВОЧНИК!$H$9+'ПЛАН ЧЕРН К1'!C20*СПРАВОЧНИК!$I$9+'ПЛАН ЧЕРН К1'!D20*СПРАВОЧНИК!$J$9)+СПРАВОЧНИК!$E$10*('ПЛАН ЧЕРН К1'!E20*СПРАВОЧНИК!$H$10+'ПЛАН ЧЕРН К1'!F20*СПРАВОЧНИК!$I$10+'ПЛАН ЧЕРН К1'!G20*СПРАВОЧНИК!$J$10)+СПРАВОЧНИК!$E$11*('ПЛАН ЧЕРН К1'!H20*СПРАВОЧНИК!$H$11+'ПЛАН ЧЕРН К1'!I20*СПРАВОЧНИК!$I$11+'ПЛАН ЧЕРН К1'!J20*СПРАВОЧНИК!$J$11)+СПРАВОЧНИК!$E$12*('ПЛАН ЧЕРН К1'!K20*СПРАВОЧНИК!$H$12+'ПЛАН ЧЕРН К1'!L20*СПРАВОЧНИК!$I$12+'ПЛАН ЧЕРН К1'!M20*СПРАВОЧНИК!$J$12)+СПРАВОЧНИК!$E$13*('ПЛАН ЧЕРН К1'!N20*СПРАВОЧНИК!$H$13+'ПЛАН ЧЕРН К1'!O20*СПРАВОЧНИК!$I$13+'ПЛАН ЧЕРН К1'!P20*СПРАВОЧНИК!$J$13)+СПРАВОЧНИК!$E$14*('ПЛАН ЧЕРН К1'!Q20*СПРАВОЧНИК!$H$14+'ПЛАН ЧЕРН К1'!R20*СПРАВОЧНИК!$I$14+'ПЛАН ЧЕРН К1'!S20*СПРАВОЧНИК!$J$14)+СПРАВОЧНИК!$E$15*('ПЛАН ЧЕРН К1'!T20*СПРАВОЧНИК!$H$15+'ПЛАН ЧЕРН К1'!U20*СПРАВОЧНИК!$I$15+'ПЛАН ЧЕРН К1'!V20*СПРАВОЧНИК!$J$15)+СПРАВОЧНИК!$F$9*('ПЛАН ЧИСТ К1'!B20*СПРАВОЧНИК!$L$9+'ПЛАН ЧИСТ К1'!C20*СПРАВОЧНИК!$M$9+'ПЛАН ЧИСТ К1'!D20*СПРАВОЧНИК!$N$9+'ПЛАН ЧИСТ К1'!E20*СПРАВОЧНИК!$O$9)+СПРАВОЧНИК!$F$10*('ПЛАН ЧИСТ К1'!F20*СПРАВОЧНИК!$L$10+'ПЛАН ЧИСТ К1'!G20*СПРАВОЧНИК!$M$10+'ПЛАН ЧИСТ К1'!H20*СПРАВОЧНИК!$N$10+'ПЛАН ЧИСТ К1'!I20*СПРАВОЧНИК!$O$10)+СПРАВОЧНИК!$F$11*('ПЛАН ЧИСТ К1'!J20*СПРАВОЧНИК!$L$11+'ПЛАН ЧИСТ К1'!K20*СПРАВОЧНИК!$M$11+'ПЛАН ЧИСТ К1'!L20*СПРАВОЧНИК!$N$11)+СПРАВОЧНИК!$F$12*('ПЛАН ЧИСТ К1'!M20*СПРАВОЧНИК!$L$12+'ПЛАН ЧИСТ К1'!N20*СПРАВОЧНИК!$M$12+'ПЛАН ЧИСТ К1'!O20*СПРАВОЧНИК!$N$12+'ПЛАН ЧИСТ К1'!P20*СПРАВОЧНИК!$O$12)+СПРАВОЧНИК!$F$13*('ПЛАН ЧИСТ К1'!Q20*СПРАВОЧНИК!$L$13+'ПЛАН ЧИСТ К1'!R20*СПРАВОЧНИК!$M$13+'ПЛАН ЧИСТ К1'!S20*СПРАВОЧНИК!$N$13+'ПЛАН ЧИСТ К1'!T20*СПРАВОЧНИК!$O$13)+СПРАВОЧНИК!$F$14*('ПЛАН ЧИСТ К1'!U20*СПРАВОЧНИК!$L$14+'ПЛАН ЧИСТ К1'!V20*СПРАВОЧНИК!$M$14+'ПЛАН ЧИСТ К1'!W20*СПРАВОЧНИК!$N$14)+СПРАВОЧНИК!$F$15*('ПЛАН ЧИСТ К1'!X20*СПРАВОЧНИК!$L$15+'ПЛАН ЧИСТ К1'!Y20*СПРАВОЧНИК!$M$15+'ПЛАН ЧИСТ К1'!Z20*СПРАВОЧНИК!$N$15)</f>
        <v/>
      </c>
      <c r="W29" s="40">
        <f>СПРАВОЧНИК!$E$9*(('ФАКТ ЧЕРН К1'!B20)*СПРАВОЧНИК!$H$9+('ФАКТ ЧЕРН К1'!C20)*СПРАВОЧНИК!$I$9+('ФАКТ ЧЕРН К1'!D20)*СПРАВОЧНИК!$J$9)+СПРАВОЧНИК!$E$10*(('ФАКТ ЧЕРН К1'!E20)*СПРАВОЧНИК!$H$10+('ФАКТ ЧЕРН К1'!F20)*СПРАВОЧНИК!$I$10+('ФАКТ ЧЕРН К1'!G20)*СПРАВОЧНИК!$J$10)+СПРАВОЧНИК!$E$11*(('ФАКТ ЧЕРН К1'!H20)*СПРАВОЧНИК!$H$11+('ФАКТ ЧЕРН К1'!I20)*СПРАВОЧНИК!$I$11+('ФАКТ ЧЕРН К1'!J20)*СПРАВОЧНИК!$J$11)+СПРАВОЧНИК!$E$12*(('ФАКТ ЧЕРН К1'!K20)*СПРАВОЧНИК!$H$12+('ФАКТ ЧЕРН К1'!L20)*СПРАВОЧНИК!$I$12+('ФАКТ ЧЕРН К1'!M20)*СПРАВОЧНИК!$J$12)+СПРАВОЧНИК!$E$13*(('ФАКТ ЧЕРН К1'!N20)*СПРАВОЧНИК!$H$13+('ФАКТ ЧЕРН К1'!O20)*СПРАВОЧНИК!$I$13+('ФАКТ ЧЕРН К1'!P20)*СПРАВОЧНИК!$J$13)+СПРАВОЧНИК!$E$14*(('ФАКТ ЧЕРН К1'!Q20)*СПРАВОЧНИК!$H$14+('ФАКТ ЧЕРН К1'!R20)*СПРАВОЧНИК!$I$14+('ФАКТ ЧЕРН К1'!S20)*СПРАВОЧНИК!$J$14)+СПРАВОЧНИК!$E$15*(('ФАКТ ЧЕРН К1'!T20)*СПРАВОЧНИК!$H$15+('ФАКТ ЧЕРН К1'!U20)*СПРАВОЧНИК!$I$15+('ФАКТ ЧЕРН К1'!V20)*СПРАВОЧНИК!$J$15)+СПРАВОЧНИК!$F$9*(('ФАКТ ЧИСТ К1'!B20)*СПРАВОЧНИК!$L$9+('ФАКТ ЧИСТ К1'!C20)*СПРАВОЧНИК!$M$9+('ФАКТ ЧИСТ К1'!D20)*СПРАВОЧНИК!$N$9+('ФАКТ ЧИСТ К1'!E20)*СПРАВОЧНИК!$O$9)+СПРАВОЧНИК!$F$10*(('ФАКТ ЧИСТ К1'!F20)*СПРАВОЧНИК!$L$10+('ФАКТ ЧИСТ К1'!G20)*СПРАВОЧНИК!$M$10+('ФАКТ ЧИСТ К1'!H20)*СПРАВОЧНИК!$N$10+('ФАКТ ЧИСТ К1'!I20)*СПРАВОЧНИК!$O$10)+СПРАВОЧНИК!$F$11*(('ФАКТ ЧИСТ К1'!J20)*СПРАВОЧНИК!$L$11+('ФАКТ ЧИСТ К1'!K20)*СПРАВОЧНИК!$M$11+('ФАКТ ЧИСТ К1'!L20)*СПРАВОЧНИК!$N$11)+СПРАВОЧНИК!$F$12*(('ФАКТ ЧИСТ К1'!M20)*СПРАВОЧНИК!$L$12+('ФАКТ ЧИСТ К1'!N20)*СПРАВОЧНИК!$M$12+('ФАКТ ЧИСТ К1'!O20)*СПРАВОЧНИК!$N$12+('ФАКТ ЧИСТ К1'!P20)*СПРАВОЧНИК!$O$12)+СПРАВОЧНИК!$F$13*(('ФАКТ ЧИСТ К1'!Q20)*СПРАВОЧНИК!$L$13+('ФАКТ ЧИСТ К1'!R20)*СПРАВОЧНИК!$M$13+('ФАКТ ЧИСТ К1'!S20)*СПРАВОЧНИК!$N$13+('ФАКТ ЧИСТ К1'!T20)*СПРАВОЧНИК!$O$13)+СПРАВОЧНИК!$F$14*(('ФАКТ ЧИСТ К1'!U20)*СПРАВОЧНИК!$L$14+('ФАКТ ЧИСТ К1'!V20)*СПРАВОЧНИК!$M$14+('ФАКТ ЧИСТ К1'!W20)*СПРАВОЧНИК!$N$14)+СПРАВОЧНИК!$F$15*(('ФАКТ ЧИСТ К1'!X20)*СПРАВОЧНИК!$L$15+('ФАКТ ЧИСТ К1'!Y20)*СПРАВОЧНИК!$M$15+('ФАКТ ЧИСТ К1'!Z20)*СПРАВОЧНИК!$N$15)</f>
        <v/>
      </c>
      <c r="AA29" s="18">
        <f>AA28+7</f>
        <v/>
      </c>
      <c r="AB29" s="37">
        <f>'ПЛАН ЧЕРН К1'!B20*СПРАВОЧНИК!$H$9+'ПЛАН ЧЕРН К1'!C20*СПРАВОЧНИК!$I$9+'ПЛАН ЧЕРН К1'!D20*СПРАВОЧНИК!$J$9+'ПЛАН ЧЕРН К1'!E20*СПРАВОЧНИК!$H$10+'ПЛАН ЧЕРН К1'!F20*СПРАВОЧНИК!$I$10+'ПЛАН ЧЕРН К1'!G20*СПРАВОЧНИК!$J$10+'ПЛАН ЧЕРН К1'!H20*СПРАВОЧНИК!$H$11+'ПЛАН ЧЕРН К1'!I20*СПРАВОЧНИК!$I$11+'ПЛАН ЧЕРН К1'!J20*СПРАВОЧНИК!$J$11+'ПЛАН ЧЕРН К1'!K20*СПРАВОЧНИК!$H$12+'ПЛАН ЧЕРН К1'!L20*СПРАВОЧНИК!$I$12+'ПЛАН ЧЕРН К1'!M20*СПРАВОЧНИК!$J$12+'ПЛАН ЧЕРН К1'!N20*СПРАВОЧНИК!$H$13+'ПЛАН ЧЕРН К1'!O20*СПРАВОЧНИК!$I$13+'ПЛАН ЧЕРН К1'!P20*СПРАВОЧНИК!$J$13+'ПЛАН ЧЕРН К1'!Q20*СПРАВОЧНИК!$H$14+'ПЛАН ЧЕРН К1'!R20*СПРАВОЧНИК!$I$14+'ПЛАН ЧЕРН К1'!S20*СПРАВОЧНИК!$J$14+'ПЛАН ЧЕРН К1'!T20*СПРАВОЧНИК!$H$15+'ПЛАН ЧЕРН К1'!U20*СПРАВОЧНИК!$I$15+'ПЛАН ЧЕРН К1'!V20*СПРАВОЧНИК!$J$15</f>
        <v/>
      </c>
      <c r="AC29" s="40">
        <f>('ФАКТ ЧЕРН К1'!B20)*СПРАВОЧНИК!$H$9+('ФАКТ ЧЕРН К1'!C20)*СПРАВОЧНИК!$I$9+('ФАКТ ЧЕРН К1'!D20)*СПРАВОЧНИК!$J$9+('ФАКТ ЧЕРН К1'!E20)*СПРАВОЧНИК!$H$10+('ФАКТ ЧЕРН К1'!F20)*СПРАВОЧНИК!$I$10+('ФАКТ ЧЕРН К1'!G20)*СПРАВОЧНИК!$J$10+('ФАКТ ЧЕРН К1'!H20)*СПРАВОЧНИК!$H$11+('ФАКТ ЧЕРН К1'!I20)*СПРАВОЧНИК!$I$11+('ФАКТ ЧЕРН К1'!J20)*СПРАВОЧНИК!$J$11+('ФАКТ ЧЕРН К1'!K20)*СПРАВОЧНИК!$H$12+('ФАКТ ЧЕРН К1'!L20)*СПРАВОЧНИК!$I$12+('ФАКТ ЧЕРН К1'!M20)*СПРАВОЧНИК!$J$12+('ФАКТ ЧЕРН К1'!N20)*СПРАВОЧНИК!$H$13+('ФАКТ ЧЕРН К1'!O20)*СПРАВОЧНИК!$I$13+('ФАКТ ЧЕРН К1'!P20)*СПРАВОЧНИК!$J$13+('ФАКТ ЧЕРН К1'!Q20)*СПРАВОЧНИК!$H$14+('ФАКТ ЧЕРН К1'!R20)*СПРАВОЧНИК!$I$14+('ФАКТ ЧЕРН К1'!S20)*СПРАВОЧНИК!$J$14+('ФАКТ ЧЕРН К1'!T20)*СПРАВОЧНИК!$H$15+('ФАКТ ЧЕРН К1'!U20)*СПРАВОЧНИК!$I$15+('ФАКТ ЧЕРН К1'!V20)*СПРАВОЧНИК!$J$15</f>
        <v/>
      </c>
      <c r="AG29" s="18">
        <f>AG28+7</f>
        <v/>
      </c>
      <c r="AH29" s="37">
        <f>'ПЛАН ЧИСТ К1'!B20*СПРАВОЧНИК!$L$9+'ПЛАН ЧИСТ К1'!C20*СПРАВОЧНИК!$M$9+'ПЛАН ЧИСТ К1'!D20*СПРАВОЧНИК!$N$9+'ПЛАН ЧИСТ К1'!E20*СПРАВОЧНИК!$O$9+'ПЛАН ЧИСТ К1'!F20*СПРАВОЧНИК!$L$10+'ПЛАН ЧИСТ К1'!G20*СПРАВОЧНИК!$M$10+'ПЛАН ЧИСТ К1'!H20*СПРАВОЧНИК!$N$10+'ПЛАН ЧИСТ К1'!I20*СПРАВОЧНИК!$O$10+'ПЛАН ЧИСТ К1'!J20*СПРАВОЧНИК!$L$11+'ПЛАН ЧИСТ К1'!K20*СПРАВОЧНИК!$M$11+'ПЛАН ЧИСТ К1'!L20*СПРАВОЧНИК!$N$11+'ПЛАН ЧИСТ К1'!M20*СПРАВОЧНИК!$L$12+'ПЛАН ЧИСТ К1'!N20*СПРАВОЧНИК!$M$12+'ПЛАН ЧИСТ К1'!O20*СПРАВОЧНИК!$N$12+'ПЛАН ЧИСТ К1'!P20*СПРАВОЧНИК!$O$12+'ПЛАН ЧИСТ К1'!Q20*СПРАВОЧНИК!$L$13+'ПЛАН ЧИСТ К1'!R20*СПРАВОЧНИК!$M$13+'ПЛАН ЧИСТ К1'!S20*СПРАВОЧНИК!$N$13+'ПЛАН ЧИСТ К1'!T20*СПРАВОЧНИК!$O$13+'ПЛАН ЧИСТ К1'!U20*СПРАВОЧНИК!$L$14+'ПЛАН ЧИСТ К1'!V20*СПРАВОЧНИК!$M$14+'ПЛАН ЧИСТ К1'!W20*СПРАВОЧНИК!$N$14+'ПЛАН ЧИСТ К1'!X20*СПРАВОЧНИК!$L$15+'ПЛАН ЧИСТ К1'!Y20*СПРАВОЧНИК!$M$15+'ПЛАН ЧИСТ К1'!Z20*СПРАВОЧНИК!$N$15</f>
        <v/>
      </c>
      <c r="AI29" s="40">
        <f>('ФАКТ ЧИСТ К1'!B20)*СПРАВОЧНИК!$L$9+('ФАКТ ЧИСТ К1'!C20)*СПРАВОЧНИК!$M$9+('ФАКТ ЧИСТ К1'!D20)*СПРАВОЧНИК!$N$9+('ФАКТ ЧИСТ К1'!E20)*СПРАВОЧНИК!$O$9+('ФАКТ ЧИСТ К1'!F20)*СПРАВОЧНИК!$L$10+('ФАКТ ЧИСТ К1'!G20)*СПРАВОЧНИК!$M$10+('ФАКТ ЧИСТ К1'!H20)*СПРАВОЧНИК!$N$10+('ФАКТ ЧИСТ К1'!I20)*СПРАВОЧНИК!$O$10+('ФАКТ ЧИСТ К1'!J20)*СПРАВОЧНИК!$L$11+('ФАКТ ЧИСТ К1'!K20)*СПРАВОЧНИК!$M$11+('ФАКТ ЧИСТ К1'!L20)*СПРАВОЧНИК!$N$11+('ФАКТ ЧИСТ К1'!M20)*СПРАВОЧНИК!$L$12+('ФАКТ ЧИСТ К1'!N20)*СПРАВОЧНИК!$M$12+('ФАКТ ЧИСТ К1'!O20)*СПРАВОЧНИК!$N$12+('ФАКТ ЧИСТ К1'!P20)*СПРАВОЧНИК!$O$12+('ФАКТ ЧИСТ К1'!Q20)*СПРАВОЧНИК!$L$13+('ФАКТ ЧИСТ К1'!R20)*СПРАВОЧНИК!$M$13+('ФАКТ ЧИСТ К1'!S20)*СПРАВОЧНИК!$N$13+('ФАКТ ЧИСТ К1'!T20)*СПРАВОЧНИК!$O$13+('ФАКТ ЧИСТ К1'!U20)*СПРАВОЧНИК!$L$14+('ФАКТ ЧИСТ К1'!V20)*СПРАВОЧНИК!$M$14+('ФАКТ ЧИСТ К1'!W20)*СПРАВОЧНИК!$N$14+('ФАКТ ЧИСТ К1'!X20)*СПРАВОЧНИК!$L$15+('ФАКТ ЧИСТ К1'!Y20)*СПРАВОЧНИК!$M$15+('ФАКТ ЧИСТ К1'!Z20)*СПРАВОЧНИК!$N$15</f>
        <v/>
      </c>
      <c r="AM29" s="18">
        <f>AM28+7</f>
        <v/>
      </c>
      <c r="AN29" s="37">
        <f>СПРАВОЧНИК!$E$9*('ПЛАН ЧЕРН К2'!B20*СПРАВОЧНИК!$H$9+'ПЛАН ЧЕРН К2'!C20*СПРАВОЧНИК!$I$9+'ПЛАН ЧЕРН К2'!D20*СПРАВОЧНИК!$J$9)+СПРАВОЧНИК!$E$10*('ПЛАН ЧЕРН К2'!E20*СПРАВОЧНИК!$H$10+'ПЛАН ЧЕРН К2'!F20*СПРАВОЧНИК!$I$10+'ПЛАН ЧЕРН К2'!G20*СПРАВОЧНИК!$J$10)+СПРАВОЧНИК!$E$11*('ПЛАН ЧЕРН К2'!H20*СПРАВОЧНИК!$H$11+'ПЛАН ЧЕРН К2'!I20*СПРАВОЧНИК!$I$11+'ПЛАН ЧЕРН К2'!J20*СПРАВОЧНИК!$J$11)+СПРАВОЧНИК!$E$12*('ПЛАН ЧЕРН К2'!K20*СПРАВОЧНИК!$H$12+'ПЛАН ЧЕРН К2'!L20*СПРАВОЧНИК!$I$12+'ПЛАН ЧЕРН К2'!M20*СПРАВОЧНИК!$J$12)+СПРАВОЧНИК!$E$13*('ПЛАН ЧЕРН К2'!N20*СПРАВОЧНИК!$H$13+'ПЛАН ЧЕРН К2'!O20*СПРАВОЧНИК!$I$13+'ПЛАН ЧЕРН К2'!P20*СПРАВОЧНИК!$J$13)+СПРАВОЧНИК!$E$14*('ПЛАН ЧЕРН К2'!Q20*СПРАВОЧНИК!$H$14+'ПЛАН ЧЕРН К2'!R20*СПРАВОЧНИК!$I$14+'ПЛАН ЧЕРН К2'!S20*СПРАВОЧНИК!$J$14)+СПРАВОЧНИК!$E$15*('ПЛАН ЧЕРН К2'!T20*СПРАВОЧНИК!$H$15+'ПЛАН ЧЕРН К2'!U20*СПРАВОЧНИК!$I$15+'ПЛАН ЧЕРН К2'!V20*СПРАВОЧНИК!$J$15)+СПРАВОЧНИК!$F$9*('ПЛАН ЧИСТ К2'!B20*СПРАВОЧНИК!$L$9+'ПЛАН ЧИСТ К2'!C20*СПРАВОЧНИК!$M$9+'ПЛАН ЧИСТ К2'!D20*СПРАВОЧНИК!$N$9+'ПЛАН ЧИСТ К2'!E20*СПРАВОЧНИК!$O$9)+СПРАВОЧНИК!$F$10*('ПЛАН ЧИСТ К2'!F20*СПРАВОЧНИК!$L$10+'ПЛАН ЧИСТ К2'!G20*СПРАВОЧНИК!$M$10+'ПЛАН ЧИСТ К2'!H20*СПРАВОЧНИК!$N$10+'ПЛАН ЧИСТ К2'!I20*СПРАВОЧНИК!$O$10)+СПРАВОЧНИК!$F$11*('ПЛАН ЧИСТ К2'!J20*СПРАВОЧНИК!$L$11+'ПЛАН ЧИСТ К2'!K20*СПРАВОЧНИК!$M$11+'ПЛАН ЧИСТ К2'!L20*СПРАВОЧНИК!$N$11)+СПРАВОЧНИК!$F$12*('ПЛАН ЧИСТ К2'!M20*СПРАВОЧНИК!$L$12+'ПЛАН ЧИСТ К2'!N20*СПРАВОЧНИК!$M$12+'ПЛАН ЧИСТ К2'!O20*СПРАВОЧНИК!$N$12+'ПЛАН ЧИСТ К2'!P20*СПРАВОЧНИК!$O$12)+СПРАВОЧНИК!$F$13*('ПЛАН ЧИСТ К2'!Q20*СПРАВОЧНИК!$L$13+'ПЛАН ЧИСТ К2'!R20*СПРАВОЧНИК!$M$13+'ПЛАН ЧИСТ К2'!S20*СПРАВОЧНИК!$N$13+'ПЛАН ЧИСТ К2'!T20*СПРАВОЧНИК!$O$13)+СПРАВОЧНИК!$F$14*('ПЛАН ЧИСТ К2'!U20*СПРАВОЧНИК!$L$14+'ПЛАН ЧИСТ К2'!V20*СПРАВОЧНИК!$M$14+'ПЛАН ЧИСТ К2'!W20*СПРАВОЧНИК!$N$14)+СПРАВОЧНИК!$F$15*('ПЛАН ЧИСТ К2'!X20*СПРАВОЧНИК!$L$15+'ПЛАН ЧИСТ К2'!Y20*СПРАВОЧНИК!$M$15+'ПЛАН ЧИСТ К2'!Z20*СПРАВОЧНИК!$N$15)</f>
        <v/>
      </c>
      <c r="AO29" s="40">
        <f>СПРАВОЧНИК!$E$9*(('ФАКТ ЧЕРН К2'!B20)*СПРАВОЧНИК!$H$9+('ФАКТ ЧЕРН К2'!C20)*СПРАВОЧНИК!$I$9+('ФАКТ ЧЕРН К2'!D20)*СПРАВОЧНИК!$J$9)+СПРАВОЧНИК!$E$10*(('ФАКТ ЧЕРН К2'!E20)*СПРАВОЧНИК!$H$10+('ФАКТ ЧЕРН К2'!F20)*СПРАВОЧНИК!$I$10+('ФАКТ ЧЕРН К2'!G20)*СПРАВОЧНИК!$J$10)+СПРАВОЧНИК!$E$11*(('ФАКТ ЧЕРН К2'!H20)*СПРАВОЧНИК!$H$11+('ФАКТ ЧЕРН К2'!I20)*СПРАВОЧНИК!$I$11+('ФАКТ ЧЕРН К2'!J20)*СПРАВОЧНИК!$J$11)+СПРАВОЧНИК!$E$12*(('ФАКТ ЧЕРН К2'!K20)*СПРАВОЧНИК!$H$12+('ФАКТ ЧЕРН К2'!L20)*СПРАВОЧНИК!$I$12+('ФАКТ ЧЕРН К2'!M20)*СПРАВОЧНИК!$J$12)+СПРАВОЧНИК!$E$13*(('ФАКТ ЧЕРН К2'!N20)*СПРАВОЧНИК!$H$13+('ФАКТ ЧЕРН К2'!O20)*СПРАВОЧНИК!$I$13+('ФАКТ ЧЕРН К2'!P20)*СПРАВОЧНИК!$J$13)+СПРАВОЧНИК!$E$14*(('ФАКТ ЧЕРН К2'!Q20)*СПРАВОЧНИК!$H$14+('ФАКТ ЧЕРН К2'!R20)*СПРАВОЧНИК!$I$14+('ФАКТ ЧЕРН К2'!S20)*СПРАВОЧНИК!$J$14)+СПРАВОЧНИК!$E$15*(('ФАКТ ЧЕРН К2'!T20)*СПРАВОЧНИК!$H$15+('ФАКТ ЧЕРН К2'!U20)*СПРАВОЧНИК!$I$15+('ФАКТ ЧЕРН К2'!V20)*СПРАВОЧНИК!$J$15)+СПРАВОЧНИК!$F$9*(('ФАКТ ЧИСТ К2'!B20)*СПРАВОЧНИК!$L$9+('ФАКТ ЧИСТ К2'!C20)*СПРАВОЧНИК!$M$9+('ФАКТ ЧИСТ К2'!D20)*СПРАВОЧНИК!$N$9+('ФАКТ ЧИСТ К2'!E20)*СПРАВОЧНИК!$O$9)+СПРАВОЧНИК!$F$10*(('ФАКТ ЧИСТ К2'!F20)*СПРАВОЧНИК!$L$10+('ФАКТ ЧИСТ К2'!G20)*СПРАВОЧНИК!$M$10+('ФАКТ ЧИСТ К2'!H20)*СПРАВОЧНИК!$N$10+('ФАКТ ЧИСТ К2'!I20)*СПРАВОЧНИК!$O$10)+СПРАВОЧНИК!$F$11*(('ФАКТ ЧИСТ К2'!J20)*СПРАВОЧНИК!$L$11+('ФАКТ ЧИСТ К2'!K20)*СПРАВОЧНИК!$M$11+('ФАКТ ЧИСТ К2'!L20)*СПРАВОЧНИК!$N$11)+СПРАВОЧНИК!$F$12*(('ФАКТ ЧИСТ К2'!M20)*СПРАВОЧНИК!$L$12+('ФАКТ ЧИСТ К2'!N20)*СПРАВОЧНИК!$M$12+('ФАКТ ЧИСТ К2'!O20)*СПРАВОЧНИК!$N$12+('ФАКТ ЧИСТ К2'!P20)*СПРАВОЧНИК!$O$12)+СПРАВОЧНИК!$F$13*(('ФАКТ ЧИСТ К2'!Q20)*СПРАВОЧНИК!$L$13+('ФАКТ ЧИСТ К2'!R20)*СПРАВОЧНИК!$M$13+('ФАКТ ЧИСТ К2'!S20)*СПРАВОЧНИК!$N$13+('ФАКТ ЧИСТ К2'!T20)*СПРАВОЧНИК!$O$13)+СПРАВОЧНИК!$F$14*(('ФАКТ ЧИСТ К2'!U20)*СПРАВОЧНИК!$L$14+('ФАКТ ЧИСТ К2'!V20)*СПРАВОЧНИК!$M$14+('ФАКТ ЧИСТ К2'!W20)*СПРАВОЧНИК!$N$14)+СПРАВОЧНИК!$F$15*(('ФАКТ ЧИСТ К2'!X20)*СПРАВОЧНИК!$L$15+('ФАКТ ЧИСТ К2'!Y20)*СПРАВОЧНИК!$M$15+('ФАКТ ЧИСТ К2'!Z20)*СПРАВОЧНИК!$N$15)</f>
        <v/>
      </c>
      <c r="AS29" s="18">
        <f>AS28+7</f>
        <v/>
      </c>
      <c r="AT29" s="37">
        <f>'ПЛАН ЧЕРН К2'!B20*СПРАВОЧНИК!$H$9+'ПЛАН ЧЕРН К2'!C20*СПРАВОЧНИК!$I$9+'ПЛАН ЧЕРН К2'!D20*СПРАВОЧНИК!$J$9+'ПЛАН ЧЕРН К2'!E20*СПРАВОЧНИК!$H$10+'ПЛАН ЧЕРН К2'!F20*СПРАВОЧНИК!$I$10+'ПЛАН ЧЕРН К2'!G20*СПРАВОЧНИК!$J$10+'ПЛАН ЧЕРН К2'!H20*СПРАВОЧНИК!$H$11+'ПЛАН ЧЕРН К2'!I20*СПРАВОЧНИК!$I$11+'ПЛАН ЧЕРН К2'!J20*СПРАВОЧНИК!$J$11+'ПЛАН ЧЕРН К2'!K20*СПРАВОЧНИК!$H$12+'ПЛАН ЧЕРН К2'!L20*СПРАВОЧНИК!$I$12+'ПЛАН ЧЕРН К2'!M20*СПРАВОЧНИК!$J$12+'ПЛАН ЧЕРН К2'!N20*СПРАВОЧНИК!$H$13+'ПЛАН ЧЕРН К2'!O20*СПРАВОЧНИК!$I$13+'ПЛАН ЧЕРН К2'!P20*СПРАВОЧНИК!$J$13+'ПЛАН ЧЕРН К2'!Q20*СПРАВОЧНИК!$H$14+'ПЛАН ЧЕРН К2'!R20*СПРАВОЧНИК!$I$14+'ПЛАН ЧЕРН К2'!S20*СПРАВОЧНИК!$J$14+'ПЛАН ЧЕРН К2'!T20*СПРАВОЧНИК!$H$15+'ПЛАН ЧЕРН К2'!U20*СПРАВОЧНИК!$I$15+'ПЛАН ЧЕРН К2'!V20*СПРАВОЧНИК!$J$15</f>
        <v/>
      </c>
      <c r="AU29" s="40">
        <f>('ФАКТ ЧЕРН К2'!B20)*СПРАВОЧНИК!$H$9+('ФАКТ ЧЕРН К2'!C20)*СПРАВОЧНИК!$I$9+('ФАКТ ЧЕРН К2'!D20)*СПРАВОЧНИК!$J$9+('ФАКТ ЧЕРН К2'!E20)*СПРАВОЧНИК!$H$10+('ФАКТ ЧЕРН К2'!F20)*СПРАВОЧНИК!$I$10+('ФАКТ ЧЕРН К2'!G20)*СПРАВОЧНИК!$J$10+('ФАКТ ЧЕРН К2'!H20)*СПРАВОЧНИК!$H$11+('ФАКТ ЧЕРН К2'!I20)*СПРАВОЧНИК!$I$11+('ФАКТ ЧЕРН К2'!J20)*СПРАВОЧНИК!$J$11+('ФАКТ ЧЕРН К2'!K20)*СПРАВОЧНИК!$H$12+('ФАКТ ЧЕРН К2'!L20)*СПРАВОЧНИК!$I$12+('ФАКТ ЧЕРН К2'!M20)*СПРАВОЧНИК!$J$12+('ФАКТ ЧЕРН К2'!N20)*СПРАВОЧНИК!$H$13+('ФАКТ ЧЕРН К2'!O20)*СПРАВОЧНИК!$I$13+('ФАКТ ЧЕРН К2'!P20)*СПРАВОЧНИК!$J$13+('ФАКТ ЧЕРН К2'!Q20)*СПРАВОЧНИК!$H$14+('ФАКТ ЧЕРН К2'!R20)*СПРАВОЧНИК!$I$14+('ФАКТ ЧЕРН К2'!S20)*СПРАВОЧНИК!$J$14+('ФАКТ ЧЕРН К2'!T20)*СПРАВОЧНИК!$H$15+('ФАКТ ЧЕРН К2'!U20)*СПРАВОЧНИК!$I$15+('ФАКТ ЧЕРН К2'!V20)*СПРАВОЧНИК!$J$15</f>
        <v/>
      </c>
      <c r="AY29" s="18">
        <f>AY28+7</f>
        <v/>
      </c>
      <c r="AZ29" s="37">
        <f>'ПЛАН ЧИСТ К2'!B20*СПРАВОЧНИК!$L$9+'ПЛАН ЧИСТ К2'!C20*СПРАВОЧНИК!$M$9+'ПЛАН ЧИСТ К2'!D20*СПРАВОЧНИК!$N$9+'ПЛАН ЧИСТ К2'!E20*СПРАВОЧНИК!$O$9+'ПЛАН ЧИСТ К2'!F20*СПРАВОЧНИК!$L$10+'ПЛАН ЧИСТ К2'!G20*СПРАВОЧНИК!$M$10+'ПЛАН ЧИСТ К2'!H20*СПРАВОЧНИК!$N$10+'ПЛАН ЧИСТ К2'!I20*СПРАВОЧНИК!$O$10+'ПЛАН ЧИСТ К2'!J20*СПРАВОЧНИК!$L$11+'ПЛАН ЧИСТ К2'!K20*СПРАВОЧНИК!$M$11+'ПЛАН ЧИСТ К2'!L20*СПРАВОЧНИК!$N$11+'ПЛАН ЧИСТ К2'!M20*СПРАВОЧНИК!$L$12+'ПЛАН ЧИСТ К2'!N20*СПРАВОЧНИК!$M$12+'ПЛАН ЧИСТ К2'!O20*СПРАВОЧНИК!$N$12+'ПЛАН ЧИСТ К2'!P20*СПРАВОЧНИК!$O$12+'ПЛАН ЧИСТ К2'!Q20*СПРАВОЧНИК!$L$13+'ПЛАН ЧИСТ К2'!R20*СПРАВОЧНИК!$M$13+'ПЛАН ЧИСТ К2'!S20*СПРАВОЧНИК!$N$13+'ПЛАН ЧИСТ К2'!T20*СПРАВОЧНИК!$O$13+'ПЛАН ЧИСТ К2'!U20*СПРАВОЧНИК!$L$14+'ПЛАН ЧИСТ К2'!V20*СПРАВОЧНИК!$M$14+'ПЛАН ЧИСТ К2'!W20*СПРАВОЧНИК!$N$14+'ПЛАН ЧИСТ К2'!X20*СПРАВОЧНИК!$L$15+'ПЛАН ЧИСТ К2'!Y20*СПРАВОЧНИК!$M$15+'ПЛАН ЧИСТ К2'!Z20*СПРАВОЧНИК!$N$15</f>
        <v/>
      </c>
      <c r="BA29" s="40">
        <f>('ФАКТ ЧИСТ К2'!B20)*СПРАВОЧНИК!$L$9+('ФАКТ ЧИСТ К2'!C20)*СПРАВОЧНИК!$M$9+('ФАКТ ЧИСТ К2'!D20)*СПРАВОЧНИК!$N$9+('ФАКТ ЧИСТ К2'!E20)*СПРАВОЧНИК!$O$9+('ФАКТ ЧИСТ К2'!F20)*СПРАВОЧНИК!$L$10+('ФАКТ ЧИСТ К2'!G20)*СПРАВОЧНИК!$M$10+('ФАКТ ЧИСТ К2'!H20)*СПРАВОЧНИК!$N$10+('ФАКТ ЧИСТ К2'!I20)*СПРАВОЧНИК!$O$10+('ФАКТ ЧИСТ К2'!J20)*СПРАВОЧНИК!$L$11+('ФАКТ ЧИСТ К2'!K20)*СПРАВОЧНИК!$M$11+('ФАКТ ЧИСТ К2'!L20)*СПРАВОЧНИК!$N$11+('ФАКТ ЧИСТ К2'!M20)*СПРАВОЧНИК!$L$12+('ФАКТ ЧИСТ К2'!N20)*СПРАВОЧНИК!$M$12+('ФАКТ ЧИСТ К2'!O20)*СПРАВОЧНИК!$N$12+('ФАКТ ЧИСТ К2'!P20)*СПРАВОЧНИК!$O$12+('ФАКТ ЧИСТ К2'!Q20)*СПРАВОЧНИК!$L$13+('ФАКТ ЧИСТ К2'!R20)*СПРАВОЧНИК!$M$13+('ФАКТ ЧИСТ К2'!S20)*СПРАВОЧНИК!$N$13+('ФАКТ ЧИСТ К2'!T20)*СПРАВОЧНИК!$O$13+('ФАКТ ЧИСТ К2'!U20)*СПРАВОЧНИК!$L$14+('ФАКТ ЧИСТ К2'!V20)*СПРАВОЧНИК!$M$14+('ФАКТ ЧИСТ К2'!W20)*СПРАВОЧНИК!$N$14+('ФАКТ ЧИСТ К2'!X20)*СПРАВОЧНИК!$L$15+('ФАКТ ЧИСТ К2'!Y20)*СПРАВОЧНИК!$M$15+('ФАКТ ЧИСТ К2'!Z20)*СПРАВОЧНИК!$N$15</f>
        <v/>
      </c>
      <c r="BE29" s="18">
        <f>BE28+7</f>
        <v/>
      </c>
      <c r="BF29" s="37">
        <f>СПРАВОЧНИК!$E$9*('ПЛАН ЧЕРН К3'!B20*СПРАВОЧНИК!$H$9+'ПЛАН ЧЕРН К3'!C20*СПРАВОЧНИК!$I$9+'ПЛАН ЧЕРН К3'!D20*СПРАВОЧНИК!$J$9)+СПРАВОЧНИК!$E$10*('ПЛАН ЧЕРН К3'!E20*СПРАВОЧНИК!$H$10+'ПЛАН ЧЕРН К3'!F20*СПРАВОЧНИК!$I$10+'ПЛАН ЧЕРН К3'!G20*СПРАВОЧНИК!$J$10)+СПРАВОЧНИК!$E$11*('ПЛАН ЧЕРН К3'!H20*СПРАВОЧНИК!$H$11+'ПЛАН ЧЕРН К3'!I20*СПРАВОЧНИК!$I$11+'ПЛАН ЧЕРН К3'!J20*СПРАВОЧНИК!$J$11)+СПРАВОЧНИК!$E$12*('ПЛАН ЧЕРН К3'!K20*СПРАВОЧНИК!$H$12+'ПЛАН ЧЕРН К3'!L20*СПРАВОЧНИК!$I$12+'ПЛАН ЧЕРН К3'!M20*СПРАВОЧНИК!$J$12)+СПРАВОЧНИК!$E$13*('ПЛАН ЧЕРН К3'!N20*СПРАВОЧНИК!$H$13+'ПЛАН ЧЕРН К3'!O20*СПРАВОЧНИК!$I$13+'ПЛАН ЧЕРН К3'!P20*СПРАВОЧНИК!$J$13)+СПРАВОЧНИК!$E$14*('ПЛАН ЧЕРН К3'!Q20*СПРАВОЧНИК!$H$14+'ПЛАН ЧЕРН К3'!R20*СПРАВОЧНИК!$I$14+'ПЛАН ЧЕРН К3'!S20*СПРАВОЧНИК!$J$14)+СПРАВОЧНИК!$E$15*('ПЛАН ЧЕРН К3'!T20*СПРАВОЧНИК!$H$15+'ПЛАН ЧЕРН К3'!U20*СПРАВОЧНИК!$I$15+'ПЛАН ЧЕРН К3'!V20*СПРАВОЧНИК!$J$15)+СПРАВОЧНИК!$F$9*('ПЛАН ЧИСТ К3'!B20*СПРАВОЧНИК!$L$9+'ПЛАН ЧИСТ К3'!C20*СПРАВОЧНИК!$M$9+'ПЛАН ЧИСТ К3'!D20*СПРАВОЧНИК!$N$9+'ПЛАН ЧИСТ К3'!E20*СПРАВОЧНИК!$O$9)+СПРАВОЧНИК!$F$10*('ПЛАН ЧИСТ К3'!F20*СПРАВОЧНИК!$L$10+'ПЛАН ЧИСТ К3'!G20*СПРАВОЧНИК!$M$10+'ПЛАН ЧИСТ К3'!H20*СПРАВОЧНИК!$N$10+'ПЛАН ЧИСТ К3'!I20*СПРАВОЧНИК!$O$10)+СПРАВОЧНИК!$F$11*('ПЛАН ЧИСТ К3'!J20*СПРАВОЧНИК!$L$11+'ПЛАН ЧИСТ К3'!K20*СПРАВОЧНИК!$M$11+'ПЛАН ЧИСТ К3'!L20*СПРАВОЧНИК!$N$11)+СПРАВОЧНИК!$F$12*('ПЛАН ЧИСТ К3'!M20*СПРАВОЧНИК!$L$12+'ПЛАН ЧИСТ К3'!N20*СПРАВОЧНИК!$M$12+'ПЛАН ЧИСТ К3'!O20*СПРАВОЧНИК!$N$12+'ПЛАН ЧИСТ К3'!P20*СПРАВОЧНИК!$O$12)+СПРАВОЧНИК!$F$13*('ПЛАН ЧИСТ К3'!Q20*СПРАВОЧНИК!$L$13+'ПЛАН ЧИСТ К3'!R20*СПРАВОЧНИК!$M$13+'ПЛАН ЧИСТ К3'!S20*СПРАВОЧНИК!$N$13+'ПЛАН ЧИСТ К3'!T20*СПРАВОЧНИК!$O$13)+СПРАВОЧНИК!$F$14*('ПЛАН ЧИСТ К3'!U20*СПРАВОЧНИК!$L$14+'ПЛАН ЧИСТ К3'!V20*СПРАВОЧНИК!$M$14+'ПЛАН ЧИСТ К3'!W20*СПРАВОЧНИК!$N$14)+СПРАВОЧНИК!$F$15*('ПЛАН ЧИСТ К3'!X20*СПРАВОЧНИК!$L$15+'ПЛАН ЧИСТ К3'!Y20*СПРАВОЧНИК!$M$15+'ПЛАН ЧИСТ К3'!Z20*СПРАВОЧНИК!$N$15)</f>
        <v/>
      </c>
      <c r="BG29" s="40">
        <f>СПРАВОЧНИК!$E$9*(('ФАКТ ЧЕРН К3'!B20)*СПРАВОЧНИК!$H$9+('ФАКТ ЧЕРН К3'!C20)*СПРАВОЧНИК!$I$9+('ФАКТ ЧЕРН К3'!D20)*СПРАВОЧНИК!$J$9)+СПРАВОЧНИК!$E$10*(('ФАКТ ЧЕРН К3'!E20)*СПРАВОЧНИК!$H$10+('ФАКТ ЧЕРН К3'!F20)*СПРАВОЧНИК!$I$10+('ФАКТ ЧЕРН К3'!G20)*СПРАВОЧНИК!$J$10)+СПРАВОЧНИК!$E$11*(('ФАКТ ЧЕРН К3'!H20)*СПРАВОЧНИК!$H$11+('ФАКТ ЧЕРН К3'!I20)*СПРАВОЧНИК!$I$11+('ФАКТ ЧЕРН К3'!J20)*СПРАВОЧНИК!$J$11)+СПРАВОЧНИК!$E$12*(('ФАКТ ЧЕРН К3'!K20)*СПРАВОЧНИК!$H$12+('ФАКТ ЧЕРН К3'!L20)*СПРАВОЧНИК!$I$12+('ФАКТ ЧЕРН К3'!M20)*СПРАВОЧНИК!$J$12)+СПРАВОЧНИК!$E$13*(('ФАКТ ЧЕРН К3'!N20)*СПРАВОЧНИК!$H$13+('ФАКТ ЧЕРН К3'!O20)*СПРАВОЧНИК!$I$13+('ФАКТ ЧЕРН К3'!P20)*СПРАВОЧНИК!$J$13)+СПРАВОЧНИК!$E$14*(('ФАКТ ЧЕРН К3'!Q20)*СПРАВОЧНИК!$H$14+('ФАКТ ЧЕРН К3'!R20)*СПРАВОЧНИК!$I$14+('ФАКТ ЧЕРН К3'!S20)*СПРАВОЧНИК!$J$14)+СПРАВОЧНИК!$E$15*(('ФАКТ ЧЕРН К3'!T20)*СПРАВОЧНИК!$H$15+('ФАКТ ЧЕРН К3'!U20)*СПРАВОЧНИК!$I$15+('ФАКТ ЧЕРН К3'!V20)*СПРАВОЧНИК!$J$15)+СПРАВОЧНИК!$F$9*(('ФАКТ ЧИСТ К3'!B20)*СПРАВОЧНИК!$L$9+('ФАКТ ЧИСТ К3'!C20)*СПРАВОЧНИК!$M$9+('ФАКТ ЧИСТ К3'!D20)*СПРАВОЧНИК!$N$9+('ФАКТ ЧИСТ К3'!E20)*СПРАВОЧНИК!$O$9)+СПРАВОЧНИК!$F$10*(('ФАКТ ЧИСТ К3'!F20)*СПРАВОЧНИК!$L$10+('ФАКТ ЧИСТ К3'!G20)*СПРАВОЧНИК!$M$10+('ФАКТ ЧИСТ К3'!H20)*СПРАВОЧНИК!$N$10+('ФАКТ ЧИСТ К3'!I20)*СПРАВОЧНИК!$O$10)+СПРАВОЧНИК!$F$11*(('ФАКТ ЧИСТ К3'!J20)*СПРАВОЧНИК!$L$11+('ФАКТ ЧИСТ К3'!K20)*СПРАВОЧНИК!$M$11+('ФАКТ ЧИСТ К3'!L20)*СПРАВОЧНИК!$N$11)+СПРАВОЧНИК!$F$12*(('ФАКТ ЧИСТ К3'!M20)*СПРАВОЧНИК!$L$12+('ФАКТ ЧИСТ К3'!N20)*СПРАВОЧНИК!$M$12+('ФАКТ ЧИСТ К3'!O20)*СПРАВОЧНИК!$N$12+('ФАКТ ЧИСТ К3'!P20)*СПРАВОЧНИК!$O$12)+СПРАВОЧНИК!$F$13*(('ФАКТ ЧИСТ К3'!Q20)*СПРАВОЧНИК!$L$13+('ФАКТ ЧИСТ К3'!R20)*СПРАВОЧНИК!$M$13+('ФАКТ ЧИСТ К3'!S20)*СПРАВОЧНИК!$N$13+('ФАКТ ЧИСТ К3'!T20)*СПРАВОЧНИК!$O$13)+СПРАВОЧНИК!$F$14*(('ФАКТ ЧИСТ К3'!U20)*СПРАВОЧНИК!$L$14+('ФАКТ ЧИСТ К3'!V20)*СПРАВОЧНИК!$M$14+('ФАКТ ЧИСТ К3'!W20)*СПРАВОЧНИК!$N$14)+СПРАВОЧНИК!$F$15*(('ФАКТ ЧИСТ К3'!X20)*СПРАВОЧНИК!$L$15+('ФАКТ ЧИСТ К3'!Y20)*СПРАВОЧНИК!$M$15+('ФАКТ ЧИСТ К3'!Z20)*СПРАВОЧНИК!$N$15)</f>
        <v/>
      </c>
      <c r="BK29" s="18">
        <f>BK28+7</f>
        <v/>
      </c>
      <c r="BL29" s="37">
        <f>'ПЛАН ЧЕРН К3'!B20*СПРАВОЧНИК!$H$9+'ПЛАН ЧЕРН К3'!C20*СПРАВОЧНИК!$I$9+'ПЛАН ЧЕРН К3'!D20*СПРАВОЧНИК!$J$9+'ПЛАН ЧЕРН К3'!E20*СПРАВОЧНИК!$H$10+'ПЛАН ЧЕРН К3'!F20*СПРАВОЧНИК!$I$10+'ПЛАН ЧЕРН К3'!G20*СПРАВОЧНИК!$J$10+'ПЛАН ЧЕРН К3'!H20*СПРАВОЧНИК!$H$11+'ПЛАН ЧЕРН К3'!I20*СПРАВОЧНИК!$I$11+'ПЛАН ЧЕРН К3'!J20*СПРАВОЧНИК!$J$11+'ПЛАН ЧЕРН К3'!K20*СПРАВОЧНИК!$H$12+'ПЛАН ЧЕРН К3'!L20*СПРАВОЧНИК!$I$12+'ПЛАН ЧЕРН К3'!M20*СПРАВОЧНИК!$J$12+'ПЛАН ЧЕРН К3'!N20*СПРАВОЧНИК!$H$13+'ПЛАН ЧЕРН К3'!O20*СПРАВОЧНИК!$I$13+'ПЛАН ЧЕРН К3'!P20*СПРАВОЧНИК!$J$13+'ПЛАН ЧЕРН К3'!Q20*СПРАВОЧНИК!$H$14+'ПЛАН ЧЕРН К3'!R20*СПРАВОЧНИК!$I$14+'ПЛАН ЧЕРН К3'!S20*СПРАВОЧНИК!$J$14+'ПЛАН ЧЕРН К3'!T20*СПРАВОЧНИК!$H$15+'ПЛАН ЧЕРН К3'!U20*СПРАВОЧНИК!$I$15+'ПЛАН ЧЕРН К3'!V20*СПРАВОЧНИК!$J$15</f>
        <v/>
      </c>
      <c r="BM29" s="40">
        <f>('ФАКТ ЧЕРН К3'!B20)*СПРАВОЧНИК!$H$9+('ФАКТ ЧЕРН К3'!C20)*СПРАВОЧНИК!$I$9+('ФАКТ ЧЕРН К3'!D20)*СПРАВОЧНИК!$J$9+('ФАКТ ЧЕРН К3'!E20)*СПРАВОЧНИК!$H$10+('ФАКТ ЧЕРН К3'!F20)*СПРАВОЧНИК!$I$10+('ФАКТ ЧЕРН К3'!G20)*СПРАВОЧНИК!$J$10+('ФАКТ ЧЕРН К3'!H20)*СПРАВОЧНИК!$H$11+('ФАКТ ЧЕРН К3'!I20)*СПРАВОЧНИК!$I$11+('ФАКТ ЧЕРН К3'!J20)*СПРАВОЧНИК!$J$11+('ФАКТ ЧЕРН К3'!K20)*СПРАВОЧНИК!$H$12+('ФАКТ ЧЕРН К3'!L20)*СПРАВОЧНИК!$I$12+('ФАКТ ЧЕРН К3'!M20)*СПРАВОЧНИК!$J$12+('ФАКТ ЧЕРН К3'!N20)*СПРАВОЧНИК!$H$13+('ФАКТ ЧЕРН К3'!O20)*СПРАВОЧНИК!$I$13+('ФАКТ ЧЕРН К3'!P20)*СПРАВОЧНИК!$J$13+('ФАКТ ЧЕРН К3'!Q20)*СПРАВОЧНИК!$H$14+('ФАКТ ЧЕРН К3'!R20)*СПРАВОЧНИК!$I$14+('ФАКТ ЧЕРН К3'!S20)*СПРАВОЧНИК!$J$14+('ФАКТ ЧЕРН К3'!T20)*СПРАВОЧНИК!$H$15+('ФАКТ ЧЕРН К3'!U20)*СПРАВОЧНИК!$I$15+('ФАКТ ЧЕРН К3'!V20)*СПРАВОЧНИК!$J$15</f>
        <v/>
      </c>
      <c r="BQ29" s="18">
        <f>BQ28+7</f>
        <v/>
      </c>
      <c r="BR29" s="37">
        <f>'ПЛАН ЧИСТ К3'!B20*СПРАВОЧНИК!$L$9+'ПЛАН ЧИСТ К3'!C20*СПРАВОЧНИК!$M$9+'ПЛАН ЧИСТ К3'!D20*СПРАВОЧНИК!$N$9+'ПЛАН ЧИСТ К3'!E20*СПРАВОЧНИК!$O$9+'ПЛАН ЧИСТ К3'!F20*СПРАВОЧНИК!$L$10+'ПЛАН ЧИСТ К3'!G20*СПРАВОЧНИК!$M$10+'ПЛАН ЧИСТ К3'!H20*СПРАВОЧНИК!$N$10+'ПЛАН ЧИСТ К3'!I20*СПРАВОЧНИК!$O$10+'ПЛАН ЧИСТ К3'!J20*СПРАВОЧНИК!$L$11+'ПЛАН ЧИСТ К3'!K20*СПРАВОЧНИК!$M$11+'ПЛАН ЧИСТ К3'!L20*СПРАВОЧНИК!$N$11+'ПЛАН ЧИСТ К3'!M20*СПРАВОЧНИК!$L$12+'ПЛАН ЧИСТ К3'!N20*СПРАВОЧНИК!$M$12+'ПЛАН ЧИСТ К3'!O20*СПРАВОЧНИК!$N$12+'ПЛАН ЧИСТ К3'!P20*СПРАВОЧНИК!$O$12+'ПЛАН ЧИСТ К3'!Q20*СПРАВОЧНИК!$L$13+'ПЛАН ЧИСТ К3'!R20*СПРАВОЧНИК!$M$13+'ПЛАН ЧИСТ К3'!S20*СПРАВОЧНИК!$N$13+'ПЛАН ЧИСТ К3'!T20*СПРАВОЧНИК!$O$13+'ПЛАН ЧИСТ К3'!U20*СПРАВОЧНИК!$L$14+'ПЛАН ЧИСТ К3'!V20*СПРАВОЧНИК!$M$14+'ПЛАН ЧИСТ К3'!W20*СПРАВОЧНИК!$N$14+'ПЛАН ЧИСТ К3'!X20*СПРАВОЧНИК!$L$15+'ПЛАН ЧИСТ К3'!Y20*СПРАВОЧНИК!$M$15+'ПЛАН ЧИСТ К3'!Z20*СПРАВОЧНИК!$N$15</f>
        <v/>
      </c>
      <c r="BS29" s="40">
        <f>('ФАКТ ЧИСТ К3'!B20)*СПРАВОЧНИК!$L$9+('ФАКТ ЧИСТ К3'!C20)*СПРАВОЧНИК!$M$9+('ФАКТ ЧИСТ К3'!D20)*СПРАВОЧНИК!$N$9+('ФАКТ ЧИСТ К3'!E20)*СПРАВОЧНИК!$O$9+('ФАКТ ЧИСТ К3'!F20)*СПРАВОЧНИК!$L$10+('ФАКТ ЧИСТ К3'!G20)*СПРАВОЧНИК!$M$10+('ФАКТ ЧИСТ К3'!H20)*СПРАВОЧНИК!$N$10+('ФАКТ ЧИСТ К3'!I20)*СПРАВОЧНИК!$O$10+('ФАКТ ЧИСТ К3'!J20)*СПРАВОЧНИК!$L$11+('ФАКТ ЧИСТ К3'!K20)*СПРАВОЧНИК!$M$11+('ФАКТ ЧИСТ К3'!L20)*СПРАВОЧНИК!$N$11+('ФАКТ ЧИСТ К3'!M20)*СПРАВОЧНИК!$L$12+('ФАКТ ЧИСТ К3'!N20)*СПРАВОЧНИК!$M$12+('ФАКТ ЧИСТ К3'!O20)*СПРАВОЧНИК!$N$12+('ФАКТ ЧИСТ К3'!P20)*СПРАВОЧНИК!$O$12+('ФАКТ ЧИСТ К3'!Q20)*СПРАВОЧНИК!$L$13+('ФАКТ ЧИСТ К3'!R20)*СПРАВОЧНИК!$M$13+('ФАКТ ЧИСТ К3'!S20)*СПРАВОЧНИК!$N$13+('ФАКТ ЧИСТ К3'!T20)*СПРАВОЧНИК!$O$13+('ФАКТ ЧИСТ К3'!U20)*СПРАВОЧНИК!$L$14+('ФАКТ ЧИСТ К3'!V20)*СПРАВОЧНИК!$M$14+('ФАКТ ЧИСТ К3'!W20)*СПРАВОЧНИК!$N$14+('ФАКТ ЧИСТ К3'!X20)*СПРАВОЧНИК!$L$15+('ФАКТ ЧИСТ К3'!Y20)*СПРАВОЧНИК!$M$15+('ФАКТ ЧИСТ К3'!Z20)*СПРАВОЧНИК!$N$15</f>
        <v/>
      </c>
      <c r="BW29" s="18">
        <f>BW28+7</f>
        <v/>
      </c>
      <c r="BX29" s="37">
        <f>V29+AN29+BF29</f>
        <v/>
      </c>
      <c r="BY29" s="40">
        <f>W29+AO29+BG29</f>
        <v/>
      </c>
      <c r="CC29" s="18">
        <f>CC28+7</f>
        <v/>
      </c>
      <c r="CD29" s="37">
        <f>AB29+AT29+BL29</f>
        <v/>
      </c>
      <c r="CE29" s="40">
        <f>AC29+AU29+BM29</f>
        <v/>
      </c>
      <c r="CI29" s="18">
        <f>CI28+7</f>
        <v/>
      </c>
      <c r="CJ29" s="37">
        <f>AH29+AZ29+BR29</f>
        <v/>
      </c>
      <c r="CK29" s="40">
        <f>AI29+BA29+BS29</f>
        <v/>
      </c>
      <c r="CO29" s="18">
        <f>CO28+7</f>
        <v/>
      </c>
      <c r="CP29" s="37">
        <f>D29+BX29</f>
        <v/>
      </c>
      <c r="CQ29" s="40">
        <f>E29+BY29</f>
        <v/>
      </c>
      <c r="CU29" s="18">
        <f>CU28+7</f>
        <v/>
      </c>
      <c r="CV29" s="37">
        <f>J29+CD29</f>
        <v/>
      </c>
      <c r="CW29" s="40">
        <f>K29+CE29</f>
        <v/>
      </c>
      <c r="DA29" s="18">
        <f>DA28+7</f>
        <v/>
      </c>
      <c r="DB29" s="37">
        <f>P29+CJ29</f>
        <v/>
      </c>
      <c r="DC29" s="40">
        <f>Q29+CK29</f>
        <v/>
      </c>
    </row>
    <row r="30">
      <c r="C30" s="18">
        <f>C29+7</f>
        <v/>
      </c>
      <c r="D30" s="37">
        <f>СПРАВОЧНИК!$E$3*('ПЛАН ЧЕРН ПОДЗЕМ'!B21*СПРАВОЧНИК!$H$3+'ПЛАН ЧЕРН ПОДЗЕМ'!C21*СПРАВОЧНИК!$I$3+'ПЛАН ЧЕРН ПОДЗЕМ'!D21*СПРАВОЧНИК!$J$3)+СПРАВОЧНИК!$E$4*('ПЛАН ЧЕРН ПОДЗЕМ'!E21*СПРАВОЧНИК!$H$4+'ПЛАН ЧЕРН ПОДЗЕМ'!F21*СПРАВОЧНИК!$I$4+'ПЛАН ЧЕРН ПОДЗЕМ'!G21*СПРАВОЧНИК!$J$4)+СПРАВОЧНИК!$E$5*('ПЛАН ЧЕРН ПОДЗЕМ'!H21*СПРАВОЧНИК!$H$5+'ПЛАН ЧЕРН ПОДЗЕМ'!I21*СПРАВОЧНИК!$I$5+'ПЛАН ЧЕРН ПОДЗЕМ'!J21*СПРАВОЧНИК!$J$5)+СПРАВОЧНИК!$E$6*('ПЛАН ЧЕРН ПОДЗЕМ'!K21*СПРАВОЧНИК!$H$6+'ПЛАН ЧЕРН ПОДЗЕМ'!L21*СПРАВОЧНИК!$I$6+'ПЛАН ЧЕРН ПОДЗЕМ'!M21*СПРАВОЧНИК!$J$6)+СПРАВОЧНИК!$E$7*('ПЛАН ЧЕРН ПОДЗЕМ'!N21*СПРАВОЧНИК!$H$7+'ПЛАН ЧЕРН ПОДЗЕМ'!O21*СПРАВОЧНИК!$I$7+'ПЛАН ЧЕРН ПОДЗЕМ'!P21*СПРАВОЧНИК!$J$7)+СПРАВОЧНИК!$E$8*('ПЛАН ЧЕРН ПОДЗЕМ'!Q21*СПРАВОЧНИК!$H$8+'ПЛАН ЧЕРН ПОДЗЕМ'!R21*СПРАВОЧНИК!$I$8+'ПЛАН ЧЕРН ПОДЗЕМ'!S21*СПРАВОЧНИК!$J$8)+СПРАВОЧНИК!$F$3*('ПЛАН ЧИСТ ПОДЗЕМ'!B21*СПРАВОЧНИК!$L$3+'ПЛАН ЧИСТ ПОДЗЕМ'!C21*СПРАВОЧНИК!$M$3+'ПЛАН ЧИСТ ПОДЗЕМ'!D21*СПРАВОЧНИК!$N$3+'ПЛАН ЧИСТ ПОДЗЕМ'!E21*СПРАВОЧНИК!$O$3)+СПРАВОЧНИК!$F$4*('ПЛАН ЧИСТ ПОДЗЕМ'!F21*СПРАВОЧНИК!$L$4+'ПЛАН ЧИСТ ПОДЗЕМ'!G21*СПРАВОЧНИК!$M$4+'ПЛАН ЧИСТ ПОДЗЕМ'!H21*СПРАВОЧНИК!$N$4+'ПЛАН ЧИСТ ПОДЗЕМ'!I21*СПРАВОЧНИК!$O$4)+СПРАВОЧНИК!$F$5*('ПЛАН ЧИСТ ПОДЗЕМ'!J21*СПРАВОЧНИК!$L$5+'ПЛАН ЧИСТ ПОДЗЕМ'!K21*СПРАВОЧНИК!$M$5+'ПЛАН ЧИСТ ПОДЗЕМ'!L21*СПРАВОЧНИК!$N$5)+СПРАВОЧНИК!$F$6*('ПЛАН ЧИСТ ПОДЗЕМ'!M21*СПРАВОЧНИК!$L$6+'ПЛАН ЧИСТ ПОДЗЕМ'!N21*СПРАВОЧНИК!$M$6+'ПЛАН ЧИСТ ПОДЗЕМ'!O21*СПРАВОЧНИК!$N$6+'ПЛАН ЧИСТ ПОДЗЕМ'!P21*СПРАВОЧНИК!$O$6)+СПРАВОЧНИК!$F$7*('ПЛАН ЧИСТ ПОДЗЕМ'!Q21*СПРАВОЧНИК!$L$7+'ПЛАН ЧИСТ ПОДЗЕМ'!R21*СПРАВОЧНИК!$M$7+'ПЛАН ЧИСТ ПОДЗЕМ'!S21*СПРАВОЧНИК!$N$7+'ПЛАН ЧИСТ ПОДЗЕМ'!T21*СПРАВОЧНИК!$O$7)+СПРАВОЧНИК!$F$8*('ПЛАН ЧИСТ ПОДЗЕМ'!U21*СПРАВОЧНИК!$L$8+'ПЛАН ЧИСТ ПОДЗЕМ'!V21*СПРАВОЧНИК!$M$8+'ПЛАН ЧИСТ ПОДЗЕМ'!W21*СПРАВОЧНИК!$N$8)</f>
        <v/>
      </c>
      <c r="E30" s="40">
        <f>СПРАВОЧНИК!$E$3*(('ФАКТ ЧЕРН ПОДЗЕМ'!B21)*СПРАВОЧНИК!$H$3+('ФАКТ ЧЕРН ПОДЗЕМ'!C21)*СПРАВОЧНИК!$I$3+('ФАКТ ЧЕРН ПОДЗЕМ'!D21)*СПРАВОЧНИК!$J$3)+СПРАВОЧНИК!$E$4*(('ФАКТ ЧЕРН ПОДЗЕМ'!E21)*СПРАВОЧНИК!$H$4+('ФАКТ ЧЕРН ПОДЗЕМ'!F21)*СПРАВОЧНИК!$I$4+('ФАКТ ЧЕРН ПОДЗЕМ'!G21)*СПРАВОЧНИК!$J$4)+СПРАВОЧНИК!$E$5*(('ФАКТ ЧЕРН ПОДЗЕМ'!H21)*СПРАВОЧНИК!$H$5+('ФАКТ ЧЕРН ПОДЗЕМ'!I21)*СПРАВОЧНИК!$I$5+('ФАКТ ЧЕРН ПОДЗЕМ'!J21)*СПРАВОЧНИК!$J$5)+СПРАВОЧНИК!$E$6*(('ФАКТ ЧЕРН ПОДЗЕМ'!K21)*СПРАВОЧНИК!$H$6+('ФАКТ ЧЕРН ПОДЗЕМ'!L21)*СПРАВОЧНИК!$I$6+('ФАКТ ЧЕРН ПОДЗЕМ'!M21)*СПРАВОЧНИК!$J$6)+СПРАВОЧНИК!$E$7*(('ФАКТ ЧЕРН ПОДЗЕМ'!N21)*СПРАВОЧНИК!$H$7+('ФАКТ ЧЕРН ПОДЗЕМ'!O21)*СПРАВОЧНИК!$I$7+('ФАКТ ЧЕРН ПОДЗЕМ'!P21)*СПРАВОЧНИК!$J$7)+СПРАВОЧНИК!$E$8*(('ФАКТ ЧЕРН ПОДЗЕМ'!Q21)*СПРАВОЧНИК!$H$8+('ФАКТ ЧЕРН ПОДЗЕМ'!R21)*СПРАВОЧНИК!$I$8+('ФАКТ ЧЕРН ПОДЗЕМ'!S21)*СПРАВОЧНИК!$J$8)+СПРАВОЧНИК!$F$3*(('ФАКТ ЧИСТ ПОДЗЕМ'!B21)*СПРАВОЧНИК!$L$3+('ФАКТ ЧИСТ ПОДЗЕМ'!C21)*СПРАВОЧНИК!$M$3+('ФАКТ ЧИСТ ПОДЗЕМ'!D21)*СПРАВОЧНИК!$N$3+('ФАКТ ЧИСТ ПОДЗЕМ'!E21)*СПРАВОЧНИК!$O$3)+СПРАВОЧНИК!$F$4*(('ФАКТ ЧИСТ ПОДЗЕМ'!F21)*СПРАВОЧНИК!$L$4+('ФАКТ ЧИСТ ПОДЗЕМ'!G21)*СПРАВОЧНИК!$M$4+('ФАКТ ЧИСТ ПОДЗЕМ'!H21)*СПРАВОЧНИК!$N$4+('ФАКТ ЧИСТ ПОДЗЕМ'!I21)*СПРАВОЧНИК!$O$4)+СПРАВОЧНИК!$F$5*(('ФАКТ ЧИСТ ПОДЗЕМ'!J21)*СПРАВОЧНИК!$L$5+('ФАКТ ЧИСТ ПОДЗЕМ'!K21)*СПРАВОЧНИК!$M$5+('ФАКТ ЧИСТ ПОДЗЕМ'!L21)*СПРАВОЧНИК!$N$5)+СПРАВОЧНИК!$F$6*(('ФАКТ ЧИСТ ПОДЗЕМ'!M21)*СПРАВОЧНИК!$L$6+('ФАКТ ЧИСТ ПОДЗЕМ'!N21)*СПРАВОЧНИК!$M$6+('ФАКТ ЧИСТ ПОДЗЕМ'!O21)*СПРАВОЧНИК!$N$6+('ФАКТ ЧИСТ ПОДЗЕМ'!P21)*СПРАВОЧНИК!$O$6)+СПРАВОЧНИК!$F$7*(('ФАКТ ЧИСТ ПОДЗЕМ'!Q21)*СПРАВОЧНИК!$L$7+('ФАКТ ЧИСТ ПОДЗЕМ'!R21)*СПРАВОЧНИК!$M$7+('ФАКТ ЧИСТ ПОДЗЕМ'!S21)*СПРАВОЧНИК!$N$7+('ФАКТ ЧИСТ ПОДЗЕМ'!T21)*СПРАВОЧНИК!$O$7)+СПРАВОЧНИК!$F$8*(('ФАКТ ЧИСТ ПОДЗЕМ'!U21)*СПРАВОЧНИК!$L$8+('ФАКТ ЧИСТ ПОДЗЕМ'!V21)*СПРАВОЧНИК!$M$8+('ФАКТ ЧИСТ ПОДЗЕМ'!W21)*СПРАВОЧНИК!$N$8)</f>
        <v/>
      </c>
      <c r="I30" s="18">
        <f>I29+7</f>
        <v/>
      </c>
      <c r="J30" s="37">
        <f>'ПЛАН ЧЕРН ПОДЗЕМ'!B21*СПРАВОЧНИК!$H$3+'ПЛАН ЧЕРН ПОДЗЕМ'!C21*СПРАВОЧНИК!$I$3+'ПЛАН ЧЕРН ПОДЗЕМ'!D21*СПРАВОЧНИК!$J$3+'ПЛАН ЧЕРН ПОДЗЕМ'!E21*СПРАВОЧНИК!$H$4+'ПЛАН ЧЕРН ПОДЗЕМ'!F21*СПРАВОЧНИК!$I$4+'ПЛАН ЧЕРН ПОДЗЕМ'!G21*СПРАВОЧНИК!$J$4+'ПЛАН ЧЕРН ПОДЗЕМ'!H21*СПРАВОЧНИК!$H$5+'ПЛАН ЧЕРН ПОДЗЕМ'!I21*СПРАВОЧНИК!$I$5+'ПЛАН ЧЕРН ПОДЗЕМ'!J21*СПРАВОЧНИК!$J$5+'ПЛАН ЧЕРН ПОДЗЕМ'!K21*СПРАВОЧНИК!$H$6+'ПЛАН ЧЕРН ПОДЗЕМ'!L21*СПРАВОЧНИК!$I$6+'ПЛАН ЧЕРН ПОДЗЕМ'!M21*СПРАВОЧНИК!$J$6+'ПЛАН ЧЕРН ПОДЗЕМ'!N21*СПРАВОЧНИК!$H$7+'ПЛАН ЧЕРН ПОДЗЕМ'!O21*СПРАВОЧНИК!$I$7+'ПЛАН ЧЕРН ПОДЗЕМ'!P21*СПРАВОЧНИК!$J$7+'ПЛАН ЧЕРН ПОДЗЕМ'!Q21*СПРАВОЧНИК!$H$8+'ПЛАН ЧЕРН ПОДЗЕМ'!R21*СПРАВОЧНИК!$I$8+'ПЛАН ЧЕРН ПОДЗЕМ'!S21*СПРАВОЧНИК!$J$8</f>
        <v/>
      </c>
      <c r="K30" s="40">
        <f>('ФАКТ ЧЕРН ПОДЗЕМ'!B21)*СПРАВОЧНИК!$H$3+('ФАКТ ЧЕРН ПОДЗЕМ'!C21)*СПРАВОЧНИК!$I$3+('ФАКТ ЧЕРН ПОДЗЕМ'!D21)*СПРАВОЧНИК!$J$3+('ФАКТ ЧЕРН ПОДЗЕМ'!E21)*СПРАВОЧНИК!$H$4+('ФАКТ ЧЕРН ПОДЗЕМ'!F21)*СПРАВОЧНИК!$I$4+('ФАКТ ЧЕРН ПОДЗЕМ'!G21)*СПРАВОЧНИК!$J$4+('ФАКТ ЧЕРН ПОДЗЕМ'!H21)*СПРАВОЧНИК!$H$5+('ФАКТ ЧЕРН ПОДЗЕМ'!I21)*СПРАВОЧНИК!$I$5+('ФАКТ ЧЕРН ПОДЗЕМ'!J21)*СПРАВОЧНИК!$J$5+('ФАКТ ЧЕРН ПОДЗЕМ'!K21)*СПРАВОЧНИК!$H$6+('ФАКТ ЧЕРН ПОДЗЕМ'!L21)*СПРАВОЧНИК!$I$6+('ФАКТ ЧЕРН ПОДЗЕМ'!M21)*СПРАВОЧНИК!$J$6+('ФАКТ ЧЕРН ПОДЗЕМ'!N21)*СПРАВОЧНИК!$H$7+('ФАКТ ЧЕРН ПОДЗЕМ'!O21)*СПРАВОЧНИК!$I$7+('ФАКТ ЧЕРН ПОДЗЕМ'!P21)*СПРАВОЧНИК!$J$7+('ФАКТ ЧЕРН ПОДЗЕМ'!Q21)*СПРАВОЧНИК!$H$8+('ФАКТ ЧЕРН ПОДЗЕМ'!R21)*СПРАВОЧНИК!$I$8+('ФАКТ ЧЕРН ПОДЗЕМ'!S21)*СПРАВОЧНИК!$J$8</f>
        <v/>
      </c>
      <c r="O30" s="18">
        <f>O29+7</f>
        <v/>
      </c>
      <c r="P30" s="37">
        <f>'ПЛАН ЧИСТ ПОДЗЕМ'!B21*СПРАВОЧНИК!$L$3+'ПЛАН ЧИСТ ПОДЗЕМ'!C21*СПРАВОЧНИК!$M$3+'ПЛАН ЧИСТ ПОДЗЕМ'!D21*СПРАВОЧНИК!$N$3+'ПЛАН ЧИСТ ПОДЗЕМ'!E21*СПРАВОЧНИК!$O$3+'ПЛАН ЧИСТ ПОДЗЕМ'!F21*СПРАВОЧНИК!$L$4+'ПЛАН ЧИСТ ПОДЗЕМ'!G21*СПРАВОЧНИК!$M$4+'ПЛАН ЧИСТ ПОДЗЕМ'!H21*СПРАВОЧНИК!$N$4+'ПЛАН ЧИСТ ПОДЗЕМ'!I21*СПРАВОЧНИК!$O$4+'ПЛАН ЧИСТ ПОДЗЕМ'!J21*СПРАВОЧНИК!$L$5+'ПЛАН ЧИСТ ПОДЗЕМ'!K21*СПРАВОЧНИК!$M$5+'ПЛАН ЧИСТ ПОДЗЕМ'!L21*СПРАВОЧНИК!$N$5+'ПЛАН ЧИСТ ПОДЗЕМ'!M21*СПРАВОЧНИК!$L$6+'ПЛАН ЧИСТ ПОДЗЕМ'!N21*СПРАВОЧНИК!$M$6+'ПЛАН ЧИСТ ПОДЗЕМ'!O21*СПРАВОЧНИК!$N$6+'ПЛАН ЧИСТ ПОДЗЕМ'!P21*СПРАВОЧНИК!$O$6+'ПЛАН ЧИСТ ПОДЗЕМ'!Q21*СПРАВОЧНИК!$L$7+'ПЛАН ЧИСТ ПОДЗЕМ'!R21*СПРАВОЧНИК!$M$7+'ПЛАН ЧИСТ ПОДЗЕМ'!S21*СПРАВОЧНИК!$N$7+'ПЛАН ЧИСТ ПОДЗЕМ'!T21*СПРАВОЧНИК!$O$7+'ПЛАН ЧИСТ ПОДЗЕМ'!U21*СПРАВОЧНИК!$L$8+'ПЛАН ЧИСТ ПОДЗЕМ'!V21*СПРАВОЧНИК!$M$8+'ПЛАН ЧИСТ ПОДЗЕМ'!W21*СПРАВОЧНИК!$N$8</f>
        <v/>
      </c>
      <c r="Q30" s="40">
        <f>('ФАКТ ЧИСТ ПОДЗЕМ'!B21)*СПРАВОЧНИК!$L$3+('ФАКТ ЧИСТ ПОДЗЕМ'!C21)*СПРАВОЧНИК!$M$3+('ФАКТ ЧИСТ ПОДЗЕМ'!D21)*СПРАВОЧНИК!$N$3+('ФАКТ ЧИСТ ПОДЗЕМ'!E21)*СПРАВОЧНИК!$O$3+('ФАКТ ЧИСТ ПОДЗЕМ'!F21)*СПРАВОЧНИК!$L$4+('ФАКТ ЧИСТ ПОДЗЕМ'!G21)*СПРАВОЧНИК!$M$4+('ФАКТ ЧИСТ ПОДЗЕМ'!H21)*СПРАВОЧНИК!$N$4+('ФАКТ ЧИСТ ПОДЗЕМ'!I21)*СПРАВОЧНИК!$O$4+('ФАКТ ЧИСТ ПОДЗЕМ'!J21)*СПРАВОЧНИК!$L$5+('ФАКТ ЧИСТ ПОДЗЕМ'!K21)*СПРАВОЧНИК!$M$5+('ФАКТ ЧИСТ ПОДЗЕМ'!L21)*СПРАВОЧНИК!$N$5+('ФАКТ ЧИСТ ПОДЗЕМ'!M21)*СПРАВОЧНИК!$L$6+('ФАКТ ЧИСТ ПОДЗЕМ'!N21)*СПРАВОЧНИК!$M$6+('ФАКТ ЧИСТ ПОДЗЕМ'!O21)*СПРАВОЧНИК!$N$6+('ФАКТ ЧИСТ ПОДЗЕМ'!P21)*СПРАВОЧНИК!$O$6+('ФАКТ ЧИСТ ПОДЗЕМ'!Q21)*СПРАВОЧНИК!$L$7+('ФАКТ ЧИСТ ПОДЗЕМ'!R21)*СПРАВОЧНИК!$M$7+('ФАКТ ЧИСТ ПОДЗЕМ'!S21)*СПРАВОЧНИК!$N$7+('ФАКТ ЧИСТ ПОДЗЕМ'!T21)*СПРАВОЧНИК!$O$7+('ФАКТ ЧИСТ ПОДЗЕМ'!U21)*СПРАВОЧНИК!$L$8+('ФАКТ ЧИСТ ПОДЗЕМ'!V21)*СПРАВОЧНИК!$M$8+('ФАКТ ЧИСТ ПОДЗЕМ'!W21)*СПРАВОЧНИК!$N$8</f>
        <v/>
      </c>
      <c r="U30" s="18">
        <f>U29+7</f>
        <v/>
      </c>
      <c r="V30" s="37">
        <f>СПРАВОЧНИК!$E$9*('ПЛАН ЧЕРН К1'!B21*СПРАВОЧНИК!$H$9+'ПЛАН ЧЕРН К1'!C21*СПРАВОЧНИК!$I$9+'ПЛАН ЧЕРН К1'!D21*СПРАВОЧНИК!$J$9)+СПРАВОЧНИК!$E$10*('ПЛАН ЧЕРН К1'!E21*СПРАВОЧНИК!$H$10+'ПЛАН ЧЕРН К1'!F21*СПРАВОЧНИК!$I$10+'ПЛАН ЧЕРН К1'!G21*СПРАВОЧНИК!$J$10)+СПРАВОЧНИК!$E$11*('ПЛАН ЧЕРН К1'!H21*СПРАВОЧНИК!$H$11+'ПЛАН ЧЕРН К1'!I21*СПРАВОЧНИК!$I$11+'ПЛАН ЧЕРН К1'!J21*СПРАВОЧНИК!$J$11)+СПРАВОЧНИК!$E$12*('ПЛАН ЧЕРН К1'!K21*СПРАВОЧНИК!$H$12+'ПЛАН ЧЕРН К1'!L21*СПРАВОЧНИК!$I$12+'ПЛАН ЧЕРН К1'!M21*СПРАВОЧНИК!$J$12)+СПРАВОЧНИК!$E$13*('ПЛАН ЧЕРН К1'!N21*СПРАВОЧНИК!$H$13+'ПЛАН ЧЕРН К1'!O21*СПРАВОЧНИК!$I$13+'ПЛАН ЧЕРН К1'!P21*СПРАВОЧНИК!$J$13)+СПРАВОЧНИК!$E$14*('ПЛАН ЧЕРН К1'!Q21*СПРАВОЧНИК!$H$14+'ПЛАН ЧЕРН К1'!R21*СПРАВОЧНИК!$I$14+'ПЛАН ЧЕРН К1'!S21*СПРАВОЧНИК!$J$14)+СПРАВОЧНИК!$E$15*('ПЛАН ЧЕРН К1'!T21*СПРАВОЧНИК!$H$15+'ПЛАН ЧЕРН К1'!U21*СПРАВОЧНИК!$I$15+'ПЛАН ЧЕРН К1'!V21*СПРАВОЧНИК!$J$15)+СПРАВОЧНИК!$F$9*('ПЛАН ЧИСТ К1'!B21*СПРАВОЧНИК!$L$9+'ПЛАН ЧИСТ К1'!C21*СПРАВОЧНИК!$M$9+'ПЛАН ЧИСТ К1'!D21*СПРАВОЧНИК!$N$9+'ПЛАН ЧИСТ К1'!E21*СПРАВОЧНИК!$O$9)+СПРАВОЧНИК!$F$10*('ПЛАН ЧИСТ К1'!F21*СПРАВОЧНИК!$L$10+'ПЛАН ЧИСТ К1'!G21*СПРАВОЧНИК!$M$10+'ПЛАН ЧИСТ К1'!H21*СПРАВОЧНИК!$N$10+'ПЛАН ЧИСТ К1'!I21*СПРАВОЧНИК!$O$10)+СПРАВОЧНИК!$F$11*('ПЛАН ЧИСТ К1'!J21*СПРАВОЧНИК!$L$11+'ПЛАН ЧИСТ К1'!K21*СПРАВОЧНИК!$M$11+'ПЛАН ЧИСТ К1'!L21*СПРАВОЧНИК!$N$11)+СПРАВОЧНИК!$F$12*('ПЛАН ЧИСТ К1'!M21*СПРАВОЧНИК!$L$12+'ПЛАН ЧИСТ К1'!N21*СПРАВОЧНИК!$M$12+'ПЛАН ЧИСТ К1'!O21*СПРАВОЧНИК!$N$12+'ПЛАН ЧИСТ К1'!P21*СПРАВОЧНИК!$O$12)+СПРАВОЧНИК!$F$13*('ПЛАН ЧИСТ К1'!Q21*СПРАВОЧНИК!$L$13+'ПЛАН ЧИСТ К1'!R21*СПРАВОЧНИК!$M$13+'ПЛАН ЧИСТ К1'!S21*СПРАВОЧНИК!$N$13+'ПЛАН ЧИСТ К1'!T21*СПРАВОЧНИК!$O$13)+СПРАВОЧНИК!$F$14*('ПЛАН ЧИСТ К1'!U21*СПРАВОЧНИК!$L$14+'ПЛАН ЧИСТ К1'!V21*СПРАВОЧНИК!$M$14+'ПЛАН ЧИСТ К1'!W21*СПРАВОЧНИК!$N$14)+СПРАВОЧНИК!$F$15*('ПЛАН ЧИСТ К1'!X21*СПРАВОЧНИК!$L$15+'ПЛАН ЧИСТ К1'!Y21*СПРАВОЧНИК!$M$15+'ПЛАН ЧИСТ К1'!Z21*СПРАВОЧНИК!$N$15)</f>
        <v/>
      </c>
      <c r="W30" s="40">
        <f>СПРАВОЧНИК!$E$9*(('ФАКТ ЧЕРН К1'!B21)*СПРАВОЧНИК!$H$9+('ФАКТ ЧЕРН К1'!C21)*СПРАВОЧНИК!$I$9+('ФАКТ ЧЕРН К1'!D21)*СПРАВОЧНИК!$J$9)+СПРАВОЧНИК!$E$10*(('ФАКТ ЧЕРН К1'!E21)*СПРАВОЧНИК!$H$10+('ФАКТ ЧЕРН К1'!F21)*СПРАВОЧНИК!$I$10+('ФАКТ ЧЕРН К1'!G21)*СПРАВОЧНИК!$J$10)+СПРАВОЧНИК!$E$11*(('ФАКТ ЧЕРН К1'!H21)*СПРАВОЧНИК!$H$11+('ФАКТ ЧЕРН К1'!I21)*СПРАВОЧНИК!$I$11+('ФАКТ ЧЕРН К1'!J21)*СПРАВОЧНИК!$J$11)+СПРАВОЧНИК!$E$12*(('ФАКТ ЧЕРН К1'!K21)*СПРАВОЧНИК!$H$12+('ФАКТ ЧЕРН К1'!L21)*СПРАВОЧНИК!$I$12+('ФАКТ ЧЕРН К1'!M21)*СПРАВОЧНИК!$J$12)+СПРАВОЧНИК!$E$13*(('ФАКТ ЧЕРН К1'!N21)*СПРАВОЧНИК!$H$13+('ФАКТ ЧЕРН К1'!O21)*СПРАВОЧНИК!$I$13+('ФАКТ ЧЕРН К1'!P21)*СПРАВОЧНИК!$J$13)+СПРАВОЧНИК!$E$14*(('ФАКТ ЧЕРН К1'!Q21)*СПРАВОЧНИК!$H$14+('ФАКТ ЧЕРН К1'!R21)*СПРАВОЧНИК!$I$14+('ФАКТ ЧЕРН К1'!S21)*СПРАВОЧНИК!$J$14)+СПРАВОЧНИК!$E$15*(('ФАКТ ЧЕРН К1'!T21)*СПРАВОЧНИК!$H$15+('ФАКТ ЧЕРН К1'!U21)*СПРАВОЧНИК!$I$15+('ФАКТ ЧЕРН К1'!V21)*СПРАВОЧНИК!$J$15)+СПРАВОЧНИК!$F$9*(('ФАКТ ЧИСТ К1'!B21)*СПРАВОЧНИК!$L$9+('ФАКТ ЧИСТ К1'!C21)*СПРАВОЧНИК!$M$9+('ФАКТ ЧИСТ К1'!D21)*СПРАВОЧНИК!$N$9+('ФАКТ ЧИСТ К1'!E21)*СПРАВОЧНИК!$O$9)+СПРАВОЧНИК!$F$10*(('ФАКТ ЧИСТ К1'!F21)*СПРАВОЧНИК!$L$10+('ФАКТ ЧИСТ К1'!G21)*СПРАВОЧНИК!$M$10+('ФАКТ ЧИСТ К1'!H21)*СПРАВОЧНИК!$N$10+('ФАКТ ЧИСТ К1'!I21)*СПРАВОЧНИК!$O$10)+СПРАВОЧНИК!$F$11*(('ФАКТ ЧИСТ К1'!J21)*СПРАВОЧНИК!$L$11+('ФАКТ ЧИСТ К1'!K21)*СПРАВОЧНИК!$M$11+('ФАКТ ЧИСТ К1'!L21)*СПРАВОЧНИК!$N$11)+СПРАВОЧНИК!$F$12*(('ФАКТ ЧИСТ К1'!M21)*СПРАВОЧНИК!$L$12+('ФАКТ ЧИСТ К1'!N21)*СПРАВОЧНИК!$M$12+('ФАКТ ЧИСТ К1'!O21)*СПРАВОЧНИК!$N$12+('ФАКТ ЧИСТ К1'!P21)*СПРАВОЧНИК!$O$12)+СПРАВОЧНИК!$F$13*(('ФАКТ ЧИСТ К1'!Q21)*СПРАВОЧНИК!$L$13+('ФАКТ ЧИСТ К1'!R21)*СПРАВОЧНИК!$M$13+('ФАКТ ЧИСТ К1'!S21)*СПРАВОЧНИК!$N$13+('ФАКТ ЧИСТ К1'!T21)*СПРАВОЧНИК!$O$13)+СПРАВОЧНИК!$F$14*(('ФАКТ ЧИСТ К1'!U21)*СПРАВОЧНИК!$L$14+('ФАКТ ЧИСТ К1'!V21)*СПРАВОЧНИК!$M$14+('ФАКТ ЧИСТ К1'!W21)*СПРАВОЧНИК!$N$14)+СПРАВОЧНИК!$F$15*(('ФАКТ ЧИСТ К1'!X21)*СПРАВОЧНИК!$L$15+('ФАКТ ЧИСТ К1'!Y21)*СПРАВОЧНИК!$M$15+('ФАКТ ЧИСТ К1'!Z21)*СПРАВОЧНИК!$N$15)</f>
        <v/>
      </c>
      <c r="AA30" s="18">
        <f>AA29+7</f>
        <v/>
      </c>
      <c r="AB30" s="37">
        <f>'ПЛАН ЧЕРН К1'!B21*СПРАВОЧНИК!$H$9+'ПЛАН ЧЕРН К1'!C21*СПРАВОЧНИК!$I$9+'ПЛАН ЧЕРН К1'!D21*СПРАВОЧНИК!$J$9+'ПЛАН ЧЕРН К1'!E21*СПРАВОЧНИК!$H$10+'ПЛАН ЧЕРН К1'!F21*СПРАВОЧНИК!$I$10+'ПЛАН ЧЕРН К1'!G21*СПРАВОЧНИК!$J$10+'ПЛАН ЧЕРН К1'!H21*СПРАВОЧНИК!$H$11+'ПЛАН ЧЕРН К1'!I21*СПРАВОЧНИК!$I$11+'ПЛАН ЧЕРН К1'!J21*СПРАВОЧНИК!$J$11+'ПЛАН ЧЕРН К1'!K21*СПРАВОЧНИК!$H$12+'ПЛАН ЧЕРН К1'!L21*СПРАВОЧНИК!$I$12+'ПЛАН ЧЕРН К1'!M21*СПРАВОЧНИК!$J$12+'ПЛАН ЧЕРН К1'!N21*СПРАВОЧНИК!$H$13+'ПЛАН ЧЕРН К1'!O21*СПРАВОЧНИК!$I$13+'ПЛАН ЧЕРН К1'!P21*СПРАВОЧНИК!$J$13+'ПЛАН ЧЕРН К1'!Q21*СПРАВОЧНИК!$H$14+'ПЛАН ЧЕРН К1'!R21*СПРАВОЧНИК!$I$14+'ПЛАН ЧЕРН К1'!S21*СПРАВОЧНИК!$J$14+'ПЛАН ЧЕРН К1'!T21*СПРАВОЧНИК!$H$15+'ПЛАН ЧЕРН К1'!U21*СПРАВОЧНИК!$I$15+'ПЛАН ЧЕРН К1'!V21*СПРАВОЧНИК!$J$15</f>
        <v/>
      </c>
      <c r="AC30" s="40">
        <f>('ФАКТ ЧЕРН К1'!B21)*СПРАВОЧНИК!$H$9+('ФАКТ ЧЕРН К1'!C21)*СПРАВОЧНИК!$I$9+('ФАКТ ЧЕРН К1'!D21)*СПРАВОЧНИК!$J$9+('ФАКТ ЧЕРН К1'!E21)*СПРАВОЧНИК!$H$10+('ФАКТ ЧЕРН К1'!F21)*СПРАВОЧНИК!$I$10+('ФАКТ ЧЕРН К1'!G21)*СПРАВОЧНИК!$J$10+('ФАКТ ЧЕРН К1'!H21)*СПРАВОЧНИК!$H$11+('ФАКТ ЧЕРН К1'!I21)*СПРАВОЧНИК!$I$11+('ФАКТ ЧЕРН К1'!J21)*СПРАВОЧНИК!$J$11+('ФАКТ ЧЕРН К1'!K21)*СПРАВОЧНИК!$H$12+('ФАКТ ЧЕРН К1'!L21)*СПРАВОЧНИК!$I$12+('ФАКТ ЧЕРН К1'!M21)*СПРАВОЧНИК!$J$12+('ФАКТ ЧЕРН К1'!N21)*СПРАВОЧНИК!$H$13+('ФАКТ ЧЕРН К1'!O21)*СПРАВОЧНИК!$I$13+('ФАКТ ЧЕРН К1'!P21)*СПРАВОЧНИК!$J$13+('ФАКТ ЧЕРН К1'!Q21)*СПРАВОЧНИК!$H$14+('ФАКТ ЧЕРН К1'!R21)*СПРАВОЧНИК!$I$14+('ФАКТ ЧЕРН К1'!S21)*СПРАВОЧНИК!$J$14+('ФАКТ ЧЕРН К1'!T21)*СПРАВОЧНИК!$H$15+('ФАКТ ЧЕРН К1'!U21)*СПРАВОЧНИК!$I$15+('ФАКТ ЧЕРН К1'!V21)*СПРАВОЧНИК!$J$15</f>
        <v/>
      </c>
      <c r="AG30" s="18">
        <f>AG29+7</f>
        <v/>
      </c>
      <c r="AH30" s="37">
        <f>'ПЛАН ЧИСТ К1'!B21*СПРАВОЧНИК!$L$9+'ПЛАН ЧИСТ К1'!C21*СПРАВОЧНИК!$M$9+'ПЛАН ЧИСТ К1'!D21*СПРАВОЧНИК!$N$9+'ПЛАН ЧИСТ К1'!E21*СПРАВОЧНИК!$O$9+'ПЛАН ЧИСТ К1'!F21*СПРАВОЧНИК!$L$10+'ПЛАН ЧИСТ К1'!G21*СПРАВОЧНИК!$M$10+'ПЛАН ЧИСТ К1'!H21*СПРАВОЧНИК!$N$10+'ПЛАН ЧИСТ К1'!I21*СПРАВОЧНИК!$O$10+'ПЛАН ЧИСТ К1'!J21*СПРАВОЧНИК!$L$11+'ПЛАН ЧИСТ К1'!K21*СПРАВОЧНИК!$M$11+'ПЛАН ЧИСТ К1'!L21*СПРАВОЧНИК!$N$11+'ПЛАН ЧИСТ К1'!M21*СПРАВОЧНИК!$L$12+'ПЛАН ЧИСТ К1'!N21*СПРАВОЧНИК!$M$12+'ПЛАН ЧИСТ К1'!O21*СПРАВОЧНИК!$N$12+'ПЛАН ЧИСТ К1'!P21*СПРАВОЧНИК!$O$12+'ПЛАН ЧИСТ К1'!Q21*СПРАВОЧНИК!$L$13+'ПЛАН ЧИСТ К1'!R21*СПРАВОЧНИК!$M$13+'ПЛАН ЧИСТ К1'!S21*СПРАВОЧНИК!$N$13+'ПЛАН ЧИСТ К1'!T21*СПРАВОЧНИК!$O$13+'ПЛАН ЧИСТ К1'!U21*СПРАВОЧНИК!$L$14+'ПЛАН ЧИСТ К1'!V21*СПРАВОЧНИК!$M$14+'ПЛАН ЧИСТ К1'!W21*СПРАВОЧНИК!$N$14+'ПЛАН ЧИСТ К1'!X21*СПРАВОЧНИК!$L$15+'ПЛАН ЧИСТ К1'!Y21*СПРАВОЧНИК!$M$15+'ПЛАН ЧИСТ К1'!Z21*СПРАВОЧНИК!$N$15</f>
        <v/>
      </c>
      <c r="AI30" s="40">
        <f>('ФАКТ ЧИСТ К1'!B21)*СПРАВОЧНИК!$L$9+('ФАКТ ЧИСТ К1'!C21)*СПРАВОЧНИК!$M$9+('ФАКТ ЧИСТ К1'!D21)*СПРАВОЧНИК!$N$9+('ФАКТ ЧИСТ К1'!E21)*СПРАВОЧНИК!$O$9+('ФАКТ ЧИСТ К1'!F21)*СПРАВОЧНИК!$L$10+('ФАКТ ЧИСТ К1'!G21)*СПРАВОЧНИК!$M$10+('ФАКТ ЧИСТ К1'!H21)*СПРАВОЧНИК!$N$10+('ФАКТ ЧИСТ К1'!I21)*СПРАВОЧНИК!$O$10+('ФАКТ ЧИСТ К1'!J21)*СПРАВОЧНИК!$L$11+('ФАКТ ЧИСТ К1'!K21)*СПРАВОЧНИК!$M$11+('ФАКТ ЧИСТ К1'!L21)*СПРАВОЧНИК!$N$11+('ФАКТ ЧИСТ К1'!M21)*СПРАВОЧНИК!$L$12+('ФАКТ ЧИСТ К1'!N21)*СПРАВОЧНИК!$M$12+('ФАКТ ЧИСТ К1'!O21)*СПРАВОЧНИК!$N$12+('ФАКТ ЧИСТ К1'!P21)*СПРАВОЧНИК!$O$12+('ФАКТ ЧИСТ К1'!Q21)*СПРАВОЧНИК!$L$13+('ФАКТ ЧИСТ К1'!R21)*СПРАВОЧНИК!$M$13+('ФАКТ ЧИСТ К1'!S21)*СПРАВОЧНИК!$N$13+('ФАКТ ЧИСТ К1'!T21)*СПРАВОЧНИК!$O$13+('ФАКТ ЧИСТ К1'!U21)*СПРАВОЧНИК!$L$14+('ФАКТ ЧИСТ К1'!V21)*СПРАВОЧНИК!$M$14+('ФАКТ ЧИСТ К1'!W21)*СПРАВОЧНИК!$N$14+('ФАКТ ЧИСТ К1'!X21)*СПРАВОЧНИК!$L$15+('ФАКТ ЧИСТ К1'!Y21)*СПРАВОЧНИК!$M$15+('ФАКТ ЧИСТ К1'!Z21)*СПРАВОЧНИК!$N$15</f>
        <v/>
      </c>
      <c r="AM30" s="18">
        <f>AM29+7</f>
        <v/>
      </c>
      <c r="AN30" s="37">
        <f>СПРАВОЧНИК!$E$9*('ПЛАН ЧЕРН К2'!B21*СПРАВОЧНИК!$H$9+'ПЛАН ЧЕРН К2'!C21*СПРАВОЧНИК!$I$9+'ПЛАН ЧЕРН К2'!D21*СПРАВОЧНИК!$J$9)+СПРАВОЧНИК!$E$10*('ПЛАН ЧЕРН К2'!E21*СПРАВОЧНИК!$H$10+'ПЛАН ЧЕРН К2'!F21*СПРАВОЧНИК!$I$10+'ПЛАН ЧЕРН К2'!G21*СПРАВОЧНИК!$J$10)+СПРАВОЧНИК!$E$11*('ПЛАН ЧЕРН К2'!H21*СПРАВОЧНИК!$H$11+'ПЛАН ЧЕРН К2'!I21*СПРАВОЧНИК!$I$11+'ПЛАН ЧЕРН К2'!J21*СПРАВОЧНИК!$J$11)+СПРАВОЧНИК!$E$12*('ПЛАН ЧЕРН К2'!K21*СПРАВОЧНИК!$H$12+'ПЛАН ЧЕРН К2'!L21*СПРАВОЧНИК!$I$12+'ПЛАН ЧЕРН К2'!M21*СПРАВОЧНИК!$J$12)+СПРАВОЧНИК!$E$13*('ПЛАН ЧЕРН К2'!N21*СПРАВОЧНИК!$H$13+'ПЛАН ЧЕРН К2'!O21*СПРАВОЧНИК!$I$13+'ПЛАН ЧЕРН К2'!P21*СПРАВОЧНИК!$J$13)+СПРАВОЧНИК!$E$14*('ПЛАН ЧЕРН К2'!Q21*СПРАВОЧНИК!$H$14+'ПЛАН ЧЕРН К2'!R21*СПРАВОЧНИК!$I$14+'ПЛАН ЧЕРН К2'!S21*СПРАВОЧНИК!$J$14)+СПРАВОЧНИК!$E$15*('ПЛАН ЧЕРН К2'!T21*СПРАВОЧНИК!$H$15+'ПЛАН ЧЕРН К2'!U21*СПРАВОЧНИК!$I$15+'ПЛАН ЧЕРН К2'!V21*СПРАВОЧНИК!$J$15)+СПРАВОЧНИК!$F$9*('ПЛАН ЧИСТ К2'!B21*СПРАВОЧНИК!$L$9+'ПЛАН ЧИСТ К2'!C21*СПРАВОЧНИК!$M$9+'ПЛАН ЧИСТ К2'!D21*СПРАВОЧНИК!$N$9+'ПЛАН ЧИСТ К2'!E21*СПРАВОЧНИК!$O$9)+СПРАВОЧНИК!$F$10*('ПЛАН ЧИСТ К2'!F21*СПРАВОЧНИК!$L$10+'ПЛАН ЧИСТ К2'!G21*СПРАВОЧНИК!$M$10+'ПЛАН ЧИСТ К2'!H21*СПРАВОЧНИК!$N$10+'ПЛАН ЧИСТ К2'!I21*СПРАВОЧНИК!$O$10)+СПРАВОЧНИК!$F$11*('ПЛАН ЧИСТ К2'!J21*СПРАВОЧНИК!$L$11+'ПЛАН ЧИСТ К2'!K21*СПРАВОЧНИК!$M$11+'ПЛАН ЧИСТ К2'!L21*СПРАВОЧНИК!$N$11)+СПРАВОЧНИК!$F$12*('ПЛАН ЧИСТ К2'!M21*СПРАВОЧНИК!$L$12+'ПЛАН ЧИСТ К2'!N21*СПРАВОЧНИК!$M$12+'ПЛАН ЧИСТ К2'!O21*СПРАВОЧНИК!$N$12+'ПЛАН ЧИСТ К2'!P21*СПРАВОЧНИК!$O$12)+СПРАВОЧНИК!$F$13*('ПЛАН ЧИСТ К2'!Q21*СПРАВОЧНИК!$L$13+'ПЛАН ЧИСТ К2'!R21*СПРАВОЧНИК!$M$13+'ПЛАН ЧИСТ К2'!S21*СПРАВОЧНИК!$N$13+'ПЛАН ЧИСТ К2'!T21*СПРАВОЧНИК!$O$13)+СПРАВОЧНИК!$F$14*('ПЛАН ЧИСТ К2'!U21*СПРАВОЧНИК!$L$14+'ПЛАН ЧИСТ К2'!V21*СПРАВОЧНИК!$M$14+'ПЛАН ЧИСТ К2'!W21*СПРАВОЧНИК!$N$14)+СПРАВОЧНИК!$F$15*('ПЛАН ЧИСТ К2'!X21*СПРАВОЧНИК!$L$15+'ПЛАН ЧИСТ К2'!Y21*СПРАВОЧНИК!$M$15+'ПЛАН ЧИСТ К2'!Z21*СПРАВОЧНИК!$N$15)</f>
        <v/>
      </c>
      <c r="AO30" s="40">
        <f>СПРАВОЧНИК!$E$9*(('ФАКТ ЧЕРН К2'!B21)*СПРАВОЧНИК!$H$9+('ФАКТ ЧЕРН К2'!C21)*СПРАВОЧНИК!$I$9+('ФАКТ ЧЕРН К2'!D21)*СПРАВОЧНИК!$J$9)+СПРАВОЧНИК!$E$10*(('ФАКТ ЧЕРН К2'!E21)*СПРАВОЧНИК!$H$10+('ФАКТ ЧЕРН К2'!F21)*СПРАВОЧНИК!$I$10+('ФАКТ ЧЕРН К2'!G21)*СПРАВОЧНИК!$J$10)+СПРАВОЧНИК!$E$11*(('ФАКТ ЧЕРН К2'!H21)*СПРАВОЧНИК!$H$11+('ФАКТ ЧЕРН К2'!I21)*СПРАВОЧНИК!$I$11+('ФАКТ ЧЕРН К2'!J21)*СПРАВОЧНИК!$J$11)+СПРАВОЧНИК!$E$12*(('ФАКТ ЧЕРН К2'!K21)*СПРАВОЧНИК!$H$12+('ФАКТ ЧЕРН К2'!L21)*СПРАВОЧНИК!$I$12+('ФАКТ ЧЕРН К2'!M21)*СПРАВОЧНИК!$J$12)+СПРАВОЧНИК!$E$13*(('ФАКТ ЧЕРН К2'!N21)*СПРАВОЧНИК!$H$13+('ФАКТ ЧЕРН К2'!O21)*СПРАВОЧНИК!$I$13+('ФАКТ ЧЕРН К2'!P21)*СПРАВОЧНИК!$J$13)+СПРАВОЧНИК!$E$14*(('ФАКТ ЧЕРН К2'!Q21)*СПРАВОЧНИК!$H$14+('ФАКТ ЧЕРН К2'!R21)*СПРАВОЧНИК!$I$14+('ФАКТ ЧЕРН К2'!S21)*СПРАВОЧНИК!$J$14)+СПРАВОЧНИК!$E$15*(('ФАКТ ЧЕРН К2'!T21)*СПРАВОЧНИК!$H$15+('ФАКТ ЧЕРН К2'!U21)*СПРАВОЧНИК!$I$15+('ФАКТ ЧЕРН К2'!V21)*СПРАВОЧНИК!$J$15)+СПРАВОЧНИК!$F$9*(('ФАКТ ЧИСТ К2'!B21)*СПРАВОЧНИК!$L$9+('ФАКТ ЧИСТ К2'!C21)*СПРАВОЧНИК!$M$9+('ФАКТ ЧИСТ К2'!D21)*СПРАВОЧНИК!$N$9+('ФАКТ ЧИСТ К2'!E21)*СПРАВОЧНИК!$O$9)+СПРАВОЧНИК!$F$10*(('ФАКТ ЧИСТ К2'!F21)*СПРАВОЧНИК!$L$10+('ФАКТ ЧИСТ К2'!G21)*СПРАВОЧНИК!$M$10+('ФАКТ ЧИСТ К2'!H21)*СПРАВОЧНИК!$N$10+('ФАКТ ЧИСТ К2'!I21)*СПРАВОЧНИК!$O$10)+СПРАВОЧНИК!$F$11*(('ФАКТ ЧИСТ К2'!J21)*СПРАВОЧНИК!$L$11+('ФАКТ ЧИСТ К2'!K21)*СПРАВОЧНИК!$M$11+('ФАКТ ЧИСТ К2'!L21)*СПРАВОЧНИК!$N$11)+СПРАВОЧНИК!$F$12*(('ФАКТ ЧИСТ К2'!M21)*СПРАВОЧНИК!$L$12+('ФАКТ ЧИСТ К2'!N21)*СПРАВОЧНИК!$M$12+('ФАКТ ЧИСТ К2'!O21)*СПРАВОЧНИК!$N$12+('ФАКТ ЧИСТ К2'!P21)*СПРАВОЧНИК!$O$12)+СПРАВОЧНИК!$F$13*(('ФАКТ ЧИСТ К2'!Q21)*СПРАВОЧНИК!$L$13+('ФАКТ ЧИСТ К2'!R21)*СПРАВОЧНИК!$M$13+('ФАКТ ЧИСТ К2'!S21)*СПРАВОЧНИК!$N$13+('ФАКТ ЧИСТ К2'!T21)*СПРАВОЧНИК!$O$13)+СПРАВОЧНИК!$F$14*(('ФАКТ ЧИСТ К2'!U21)*СПРАВОЧНИК!$L$14+('ФАКТ ЧИСТ К2'!V21)*СПРАВОЧНИК!$M$14+('ФАКТ ЧИСТ К2'!W21)*СПРАВОЧНИК!$N$14)+СПРАВОЧНИК!$F$15*(('ФАКТ ЧИСТ К2'!X21)*СПРАВОЧНИК!$L$15+('ФАКТ ЧИСТ К2'!Y21)*СПРАВОЧНИК!$M$15+('ФАКТ ЧИСТ К2'!Z21)*СПРАВОЧНИК!$N$15)</f>
        <v/>
      </c>
      <c r="AS30" s="18">
        <f>AS29+7</f>
        <v/>
      </c>
      <c r="AT30" s="37">
        <f>'ПЛАН ЧЕРН К2'!B21*СПРАВОЧНИК!$H$9+'ПЛАН ЧЕРН К2'!C21*СПРАВОЧНИК!$I$9+'ПЛАН ЧЕРН К2'!D21*СПРАВОЧНИК!$J$9+'ПЛАН ЧЕРН К2'!E21*СПРАВОЧНИК!$H$10+'ПЛАН ЧЕРН К2'!F21*СПРАВОЧНИК!$I$10+'ПЛАН ЧЕРН К2'!G21*СПРАВОЧНИК!$J$10+'ПЛАН ЧЕРН К2'!H21*СПРАВОЧНИК!$H$11+'ПЛАН ЧЕРН К2'!I21*СПРАВОЧНИК!$I$11+'ПЛАН ЧЕРН К2'!J21*СПРАВОЧНИК!$J$11+'ПЛАН ЧЕРН К2'!K21*СПРАВОЧНИК!$H$12+'ПЛАН ЧЕРН К2'!L21*СПРАВОЧНИК!$I$12+'ПЛАН ЧЕРН К2'!M21*СПРАВОЧНИК!$J$12+'ПЛАН ЧЕРН К2'!N21*СПРАВОЧНИК!$H$13+'ПЛАН ЧЕРН К2'!O21*СПРАВОЧНИК!$I$13+'ПЛАН ЧЕРН К2'!P21*СПРАВОЧНИК!$J$13+'ПЛАН ЧЕРН К2'!Q21*СПРАВОЧНИК!$H$14+'ПЛАН ЧЕРН К2'!R21*СПРАВОЧНИК!$I$14+'ПЛАН ЧЕРН К2'!S21*СПРАВОЧНИК!$J$14+'ПЛАН ЧЕРН К2'!T21*СПРАВОЧНИК!$H$15+'ПЛАН ЧЕРН К2'!U21*СПРАВОЧНИК!$I$15+'ПЛАН ЧЕРН К2'!V21*СПРАВОЧНИК!$J$15</f>
        <v/>
      </c>
      <c r="AU30" s="40">
        <f>('ФАКТ ЧЕРН К2'!B21)*СПРАВОЧНИК!$H$9+('ФАКТ ЧЕРН К2'!C21)*СПРАВОЧНИК!$I$9+('ФАКТ ЧЕРН К2'!D21)*СПРАВОЧНИК!$J$9+('ФАКТ ЧЕРН К2'!E21)*СПРАВОЧНИК!$H$10+('ФАКТ ЧЕРН К2'!F21)*СПРАВОЧНИК!$I$10+('ФАКТ ЧЕРН К2'!G21)*СПРАВОЧНИК!$J$10+('ФАКТ ЧЕРН К2'!H21)*СПРАВОЧНИК!$H$11+('ФАКТ ЧЕРН К2'!I21)*СПРАВОЧНИК!$I$11+('ФАКТ ЧЕРН К2'!J21)*СПРАВОЧНИК!$J$11+('ФАКТ ЧЕРН К2'!K21)*СПРАВОЧНИК!$H$12+('ФАКТ ЧЕРН К2'!L21)*СПРАВОЧНИК!$I$12+('ФАКТ ЧЕРН К2'!M21)*СПРАВОЧНИК!$J$12+('ФАКТ ЧЕРН К2'!N21)*СПРАВОЧНИК!$H$13+('ФАКТ ЧЕРН К2'!O21)*СПРАВОЧНИК!$I$13+('ФАКТ ЧЕРН К2'!P21)*СПРАВОЧНИК!$J$13+('ФАКТ ЧЕРН К2'!Q21)*СПРАВОЧНИК!$H$14+('ФАКТ ЧЕРН К2'!R21)*СПРАВОЧНИК!$I$14+('ФАКТ ЧЕРН К2'!S21)*СПРАВОЧНИК!$J$14+('ФАКТ ЧЕРН К2'!T21)*СПРАВОЧНИК!$H$15+('ФАКТ ЧЕРН К2'!U21)*СПРАВОЧНИК!$I$15+('ФАКТ ЧЕРН К2'!V21)*СПРАВОЧНИК!$J$15</f>
        <v/>
      </c>
      <c r="AY30" s="18">
        <f>AY29+7</f>
        <v/>
      </c>
      <c r="AZ30" s="37">
        <f>'ПЛАН ЧИСТ К2'!B21*СПРАВОЧНИК!$L$9+'ПЛАН ЧИСТ К2'!C21*СПРАВОЧНИК!$M$9+'ПЛАН ЧИСТ К2'!D21*СПРАВОЧНИК!$N$9+'ПЛАН ЧИСТ К2'!E21*СПРАВОЧНИК!$O$9+'ПЛАН ЧИСТ К2'!F21*СПРАВОЧНИК!$L$10+'ПЛАН ЧИСТ К2'!G21*СПРАВОЧНИК!$M$10+'ПЛАН ЧИСТ К2'!H21*СПРАВОЧНИК!$N$10+'ПЛАН ЧИСТ К2'!I21*СПРАВОЧНИК!$O$10+'ПЛАН ЧИСТ К2'!J21*СПРАВОЧНИК!$L$11+'ПЛАН ЧИСТ К2'!K21*СПРАВОЧНИК!$M$11+'ПЛАН ЧИСТ К2'!L21*СПРАВОЧНИК!$N$11+'ПЛАН ЧИСТ К2'!M21*СПРАВОЧНИК!$L$12+'ПЛАН ЧИСТ К2'!N21*СПРАВОЧНИК!$M$12+'ПЛАН ЧИСТ К2'!O21*СПРАВОЧНИК!$N$12+'ПЛАН ЧИСТ К2'!P21*СПРАВОЧНИК!$O$12+'ПЛАН ЧИСТ К2'!Q21*СПРАВОЧНИК!$L$13+'ПЛАН ЧИСТ К2'!R21*СПРАВОЧНИК!$M$13+'ПЛАН ЧИСТ К2'!S21*СПРАВОЧНИК!$N$13+'ПЛАН ЧИСТ К2'!T21*СПРАВОЧНИК!$O$13+'ПЛАН ЧИСТ К2'!U21*СПРАВОЧНИК!$L$14+'ПЛАН ЧИСТ К2'!V21*СПРАВОЧНИК!$M$14+'ПЛАН ЧИСТ К2'!W21*СПРАВОЧНИК!$N$14+'ПЛАН ЧИСТ К2'!X21*СПРАВОЧНИК!$L$15+'ПЛАН ЧИСТ К2'!Y21*СПРАВОЧНИК!$M$15+'ПЛАН ЧИСТ К2'!Z21*СПРАВОЧНИК!$N$15</f>
        <v/>
      </c>
      <c r="BA30" s="40">
        <f>('ФАКТ ЧИСТ К2'!B21)*СПРАВОЧНИК!$L$9+('ФАКТ ЧИСТ К2'!C21)*СПРАВОЧНИК!$M$9+('ФАКТ ЧИСТ К2'!D21)*СПРАВОЧНИК!$N$9+('ФАКТ ЧИСТ К2'!E21)*СПРАВОЧНИК!$O$9+('ФАКТ ЧИСТ К2'!F21)*СПРАВОЧНИК!$L$10+('ФАКТ ЧИСТ К2'!G21)*СПРАВОЧНИК!$M$10+('ФАКТ ЧИСТ К2'!H21)*СПРАВОЧНИК!$N$10+('ФАКТ ЧИСТ К2'!I21)*СПРАВОЧНИК!$O$10+('ФАКТ ЧИСТ К2'!J21)*СПРАВОЧНИК!$L$11+('ФАКТ ЧИСТ К2'!K21)*СПРАВОЧНИК!$M$11+('ФАКТ ЧИСТ К2'!L21)*СПРАВОЧНИК!$N$11+('ФАКТ ЧИСТ К2'!M21)*СПРАВОЧНИК!$L$12+('ФАКТ ЧИСТ К2'!N21)*СПРАВОЧНИК!$M$12+('ФАКТ ЧИСТ К2'!O21)*СПРАВОЧНИК!$N$12+('ФАКТ ЧИСТ К2'!P21)*СПРАВОЧНИК!$O$12+('ФАКТ ЧИСТ К2'!Q21)*СПРАВОЧНИК!$L$13+('ФАКТ ЧИСТ К2'!R21)*СПРАВОЧНИК!$M$13+('ФАКТ ЧИСТ К2'!S21)*СПРАВОЧНИК!$N$13+('ФАКТ ЧИСТ К2'!T21)*СПРАВОЧНИК!$O$13+('ФАКТ ЧИСТ К2'!U21)*СПРАВОЧНИК!$L$14+('ФАКТ ЧИСТ К2'!V21)*СПРАВОЧНИК!$M$14+('ФАКТ ЧИСТ К2'!W21)*СПРАВОЧНИК!$N$14+('ФАКТ ЧИСТ К2'!X21)*СПРАВОЧНИК!$L$15+('ФАКТ ЧИСТ К2'!Y21)*СПРАВОЧНИК!$M$15+('ФАКТ ЧИСТ К2'!Z21)*СПРАВОЧНИК!$N$15</f>
        <v/>
      </c>
      <c r="BE30" s="18">
        <f>BE29+7</f>
        <v/>
      </c>
      <c r="BF30" s="37">
        <f>СПРАВОЧНИК!$E$9*('ПЛАН ЧЕРН К3'!B21*СПРАВОЧНИК!$H$9+'ПЛАН ЧЕРН К3'!C21*СПРАВОЧНИК!$I$9+'ПЛАН ЧЕРН К3'!D21*СПРАВОЧНИК!$J$9)+СПРАВОЧНИК!$E$10*('ПЛАН ЧЕРН К3'!E21*СПРАВОЧНИК!$H$10+'ПЛАН ЧЕРН К3'!F21*СПРАВОЧНИК!$I$10+'ПЛАН ЧЕРН К3'!G21*СПРАВОЧНИК!$J$10)+СПРАВОЧНИК!$E$11*('ПЛАН ЧЕРН К3'!H21*СПРАВОЧНИК!$H$11+'ПЛАН ЧЕРН К3'!I21*СПРАВОЧНИК!$I$11+'ПЛАН ЧЕРН К3'!J21*СПРАВОЧНИК!$J$11)+СПРАВОЧНИК!$E$12*('ПЛАН ЧЕРН К3'!K21*СПРАВОЧНИК!$H$12+'ПЛАН ЧЕРН К3'!L21*СПРАВОЧНИК!$I$12+'ПЛАН ЧЕРН К3'!M21*СПРАВОЧНИК!$J$12)+СПРАВОЧНИК!$E$13*('ПЛАН ЧЕРН К3'!N21*СПРАВОЧНИК!$H$13+'ПЛАН ЧЕРН К3'!O21*СПРАВОЧНИК!$I$13+'ПЛАН ЧЕРН К3'!P21*СПРАВОЧНИК!$J$13)+СПРАВОЧНИК!$E$14*('ПЛАН ЧЕРН К3'!Q21*СПРАВОЧНИК!$H$14+'ПЛАН ЧЕРН К3'!R21*СПРАВОЧНИК!$I$14+'ПЛАН ЧЕРН К3'!S21*СПРАВОЧНИК!$J$14)+СПРАВОЧНИК!$E$15*('ПЛАН ЧЕРН К3'!T21*СПРАВОЧНИК!$H$15+'ПЛАН ЧЕРН К3'!U21*СПРАВОЧНИК!$I$15+'ПЛАН ЧЕРН К3'!V21*СПРАВОЧНИК!$J$15)+СПРАВОЧНИК!$F$9*('ПЛАН ЧИСТ К3'!B21*СПРАВОЧНИК!$L$9+'ПЛАН ЧИСТ К3'!C21*СПРАВОЧНИК!$M$9+'ПЛАН ЧИСТ К3'!D21*СПРАВОЧНИК!$N$9+'ПЛАН ЧИСТ К3'!E21*СПРАВОЧНИК!$O$9)+СПРАВОЧНИК!$F$10*('ПЛАН ЧИСТ К3'!F21*СПРАВОЧНИК!$L$10+'ПЛАН ЧИСТ К3'!G21*СПРАВОЧНИК!$M$10+'ПЛАН ЧИСТ К3'!H21*СПРАВОЧНИК!$N$10+'ПЛАН ЧИСТ К3'!I21*СПРАВОЧНИК!$O$10)+СПРАВОЧНИК!$F$11*('ПЛАН ЧИСТ К3'!J21*СПРАВОЧНИК!$L$11+'ПЛАН ЧИСТ К3'!K21*СПРАВОЧНИК!$M$11+'ПЛАН ЧИСТ К3'!L21*СПРАВОЧНИК!$N$11)+СПРАВОЧНИК!$F$12*('ПЛАН ЧИСТ К3'!M21*СПРАВОЧНИК!$L$12+'ПЛАН ЧИСТ К3'!N21*СПРАВОЧНИК!$M$12+'ПЛАН ЧИСТ К3'!O21*СПРАВОЧНИК!$N$12+'ПЛАН ЧИСТ К3'!P21*СПРАВОЧНИК!$O$12)+СПРАВОЧНИК!$F$13*('ПЛАН ЧИСТ К3'!Q21*СПРАВОЧНИК!$L$13+'ПЛАН ЧИСТ К3'!R21*СПРАВОЧНИК!$M$13+'ПЛАН ЧИСТ К3'!S21*СПРАВОЧНИК!$N$13+'ПЛАН ЧИСТ К3'!T21*СПРАВОЧНИК!$O$13)+СПРАВОЧНИК!$F$14*('ПЛАН ЧИСТ К3'!U21*СПРАВОЧНИК!$L$14+'ПЛАН ЧИСТ К3'!V21*СПРАВОЧНИК!$M$14+'ПЛАН ЧИСТ К3'!W21*СПРАВОЧНИК!$N$14)+СПРАВОЧНИК!$F$15*('ПЛАН ЧИСТ К3'!X21*СПРАВОЧНИК!$L$15+'ПЛАН ЧИСТ К3'!Y21*СПРАВОЧНИК!$M$15+'ПЛАН ЧИСТ К3'!Z21*СПРАВОЧНИК!$N$15)</f>
        <v/>
      </c>
      <c r="BG30" s="40">
        <f>СПРАВОЧНИК!$E$9*(('ФАКТ ЧЕРН К3'!B21)*СПРАВОЧНИК!$H$9+('ФАКТ ЧЕРН К3'!C21)*СПРАВОЧНИК!$I$9+('ФАКТ ЧЕРН К3'!D21)*СПРАВОЧНИК!$J$9)+СПРАВОЧНИК!$E$10*(('ФАКТ ЧЕРН К3'!E21)*СПРАВОЧНИК!$H$10+('ФАКТ ЧЕРН К3'!F21)*СПРАВОЧНИК!$I$10+('ФАКТ ЧЕРН К3'!G21)*СПРАВОЧНИК!$J$10)+СПРАВОЧНИК!$E$11*(('ФАКТ ЧЕРН К3'!H21)*СПРАВОЧНИК!$H$11+('ФАКТ ЧЕРН К3'!I21)*СПРАВОЧНИК!$I$11+('ФАКТ ЧЕРН К3'!J21)*СПРАВОЧНИК!$J$11)+СПРАВОЧНИК!$E$12*(('ФАКТ ЧЕРН К3'!K21)*СПРАВОЧНИК!$H$12+('ФАКТ ЧЕРН К3'!L21)*СПРАВОЧНИК!$I$12+('ФАКТ ЧЕРН К3'!M21)*СПРАВОЧНИК!$J$12)+СПРАВОЧНИК!$E$13*(('ФАКТ ЧЕРН К3'!N21)*СПРАВОЧНИК!$H$13+('ФАКТ ЧЕРН К3'!O21)*СПРАВОЧНИК!$I$13+('ФАКТ ЧЕРН К3'!P21)*СПРАВОЧНИК!$J$13)+СПРАВОЧНИК!$E$14*(('ФАКТ ЧЕРН К3'!Q21)*СПРАВОЧНИК!$H$14+('ФАКТ ЧЕРН К3'!R21)*СПРАВОЧНИК!$I$14+('ФАКТ ЧЕРН К3'!S21)*СПРАВОЧНИК!$J$14)+СПРАВОЧНИК!$E$15*(('ФАКТ ЧЕРН К3'!T21)*СПРАВОЧНИК!$H$15+('ФАКТ ЧЕРН К3'!U21)*СПРАВОЧНИК!$I$15+('ФАКТ ЧЕРН К3'!V21)*СПРАВОЧНИК!$J$15)+СПРАВОЧНИК!$F$9*(('ФАКТ ЧИСТ К3'!B21)*СПРАВОЧНИК!$L$9+('ФАКТ ЧИСТ К3'!C21)*СПРАВОЧНИК!$M$9+('ФАКТ ЧИСТ К3'!D21)*СПРАВОЧНИК!$N$9+('ФАКТ ЧИСТ К3'!E21)*СПРАВОЧНИК!$O$9)+СПРАВОЧНИК!$F$10*(('ФАКТ ЧИСТ К3'!F21)*СПРАВОЧНИК!$L$10+('ФАКТ ЧИСТ К3'!G21)*СПРАВОЧНИК!$M$10+('ФАКТ ЧИСТ К3'!H21)*СПРАВОЧНИК!$N$10+('ФАКТ ЧИСТ К3'!I21)*СПРАВОЧНИК!$O$10)+СПРАВОЧНИК!$F$11*(('ФАКТ ЧИСТ К3'!J21)*СПРАВОЧНИК!$L$11+('ФАКТ ЧИСТ К3'!K21)*СПРАВОЧНИК!$M$11+('ФАКТ ЧИСТ К3'!L21)*СПРАВОЧНИК!$N$11)+СПРАВОЧНИК!$F$12*(('ФАКТ ЧИСТ К3'!M21)*СПРАВОЧНИК!$L$12+('ФАКТ ЧИСТ К3'!N21)*СПРАВОЧНИК!$M$12+('ФАКТ ЧИСТ К3'!O21)*СПРАВОЧНИК!$N$12+('ФАКТ ЧИСТ К3'!P21)*СПРАВОЧНИК!$O$12)+СПРАВОЧНИК!$F$13*(('ФАКТ ЧИСТ К3'!Q21)*СПРАВОЧНИК!$L$13+('ФАКТ ЧИСТ К3'!R21)*СПРАВОЧНИК!$M$13+('ФАКТ ЧИСТ К3'!S21)*СПРАВОЧНИК!$N$13+('ФАКТ ЧИСТ К3'!T21)*СПРАВОЧНИК!$O$13)+СПРАВОЧНИК!$F$14*(('ФАКТ ЧИСТ К3'!U21)*СПРАВОЧНИК!$L$14+('ФАКТ ЧИСТ К3'!V21)*СПРАВОЧНИК!$M$14+('ФАКТ ЧИСТ К3'!W21)*СПРАВОЧНИК!$N$14)+СПРАВОЧНИК!$F$15*(('ФАКТ ЧИСТ К3'!X21)*СПРАВОЧНИК!$L$15+('ФАКТ ЧИСТ К3'!Y21)*СПРАВОЧНИК!$M$15+('ФАКТ ЧИСТ К3'!Z21)*СПРАВОЧНИК!$N$15)</f>
        <v/>
      </c>
      <c r="BK30" s="18">
        <f>BK29+7</f>
        <v/>
      </c>
      <c r="BL30" s="37">
        <f>'ПЛАН ЧЕРН К3'!B21*СПРАВОЧНИК!$H$9+'ПЛАН ЧЕРН К3'!C21*СПРАВОЧНИК!$I$9+'ПЛАН ЧЕРН К3'!D21*СПРАВОЧНИК!$J$9+'ПЛАН ЧЕРН К3'!E21*СПРАВОЧНИК!$H$10+'ПЛАН ЧЕРН К3'!F21*СПРАВОЧНИК!$I$10+'ПЛАН ЧЕРН К3'!G21*СПРАВОЧНИК!$J$10+'ПЛАН ЧЕРН К3'!H21*СПРАВОЧНИК!$H$11+'ПЛАН ЧЕРН К3'!I21*СПРАВОЧНИК!$I$11+'ПЛАН ЧЕРН К3'!J21*СПРАВОЧНИК!$J$11+'ПЛАН ЧЕРН К3'!K21*СПРАВОЧНИК!$H$12+'ПЛАН ЧЕРН К3'!L21*СПРАВОЧНИК!$I$12+'ПЛАН ЧЕРН К3'!M21*СПРАВОЧНИК!$J$12+'ПЛАН ЧЕРН К3'!N21*СПРАВОЧНИК!$H$13+'ПЛАН ЧЕРН К3'!O21*СПРАВОЧНИК!$I$13+'ПЛАН ЧЕРН К3'!P21*СПРАВОЧНИК!$J$13+'ПЛАН ЧЕРН К3'!Q21*СПРАВОЧНИК!$H$14+'ПЛАН ЧЕРН К3'!R21*СПРАВОЧНИК!$I$14+'ПЛАН ЧЕРН К3'!S21*СПРАВОЧНИК!$J$14+'ПЛАН ЧЕРН К3'!T21*СПРАВОЧНИК!$H$15+'ПЛАН ЧЕРН К3'!U21*СПРАВОЧНИК!$I$15+'ПЛАН ЧЕРН К3'!V21*СПРАВОЧНИК!$J$15</f>
        <v/>
      </c>
      <c r="BM30" s="40">
        <f>('ФАКТ ЧЕРН К3'!B21)*СПРАВОЧНИК!$H$9+('ФАКТ ЧЕРН К3'!C21)*СПРАВОЧНИК!$I$9+('ФАКТ ЧЕРН К3'!D21)*СПРАВОЧНИК!$J$9+('ФАКТ ЧЕРН К3'!E21)*СПРАВОЧНИК!$H$10+('ФАКТ ЧЕРН К3'!F21)*СПРАВОЧНИК!$I$10+('ФАКТ ЧЕРН К3'!G21)*СПРАВОЧНИК!$J$10+('ФАКТ ЧЕРН К3'!H21)*СПРАВОЧНИК!$H$11+('ФАКТ ЧЕРН К3'!I21)*СПРАВОЧНИК!$I$11+('ФАКТ ЧЕРН К3'!J21)*СПРАВОЧНИК!$J$11+('ФАКТ ЧЕРН К3'!K21)*СПРАВОЧНИК!$H$12+('ФАКТ ЧЕРН К3'!L21)*СПРАВОЧНИК!$I$12+('ФАКТ ЧЕРН К3'!M21)*СПРАВОЧНИК!$J$12+('ФАКТ ЧЕРН К3'!N21)*СПРАВОЧНИК!$H$13+('ФАКТ ЧЕРН К3'!O21)*СПРАВОЧНИК!$I$13+('ФАКТ ЧЕРН К3'!P21)*СПРАВОЧНИК!$J$13+('ФАКТ ЧЕРН К3'!Q21)*СПРАВОЧНИК!$H$14+('ФАКТ ЧЕРН К3'!R21)*СПРАВОЧНИК!$I$14+('ФАКТ ЧЕРН К3'!S21)*СПРАВОЧНИК!$J$14+('ФАКТ ЧЕРН К3'!T21)*СПРАВОЧНИК!$H$15+('ФАКТ ЧЕРН К3'!U21)*СПРАВОЧНИК!$I$15+('ФАКТ ЧЕРН К3'!V21)*СПРАВОЧНИК!$J$15</f>
        <v/>
      </c>
      <c r="BQ30" s="18">
        <f>BQ29+7</f>
        <v/>
      </c>
      <c r="BR30" s="37">
        <f>'ПЛАН ЧИСТ К3'!B21*СПРАВОЧНИК!$L$9+'ПЛАН ЧИСТ К3'!C21*СПРАВОЧНИК!$M$9+'ПЛАН ЧИСТ К3'!D21*СПРАВОЧНИК!$N$9+'ПЛАН ЧИСТ К3'!E21*СПРАВОЧНИК!$O$9+'ПЛАН ЧИСТ К3'!F21*СПРАВОЧНИК!$L$10+'ПЛАН ЧИСТ К3'!G21*СПРАВОЧНИК!$M$10+'ПЛАН ЧИСТ К3'!H21*СПРАВОЧНИК!$N$10+'ПЛАН ЧИСТ К3'!I21*СПРАВОЧНИК!$O$10+'ПЛАН ЧИСТ К3'!J21*СПРАВОЧНИК!$L$11+'ПЛАН ЧИСТ К3'!K21*СПРАВОЧНИК!$M$11+'ПЛАН ЧИСТ К3'!L21*СПРАВОЧНИК!$N$11+'ПЛАН ЧИСТ К3'!M21*СПРАВОЧНИК!$L$12+'ПЛАН ЧИСТ К3'!N21*СПРАВОЧНИК!$M$12+'ПЛАН ЧИСТ К3'!O21*СПРАВОЧНИК!$N$12+'ПЛАН ЧИСТ К3'!P21*СПРАВОЧНИК!$O$12+'ПЛАН ЧИСТ К3'!Q21*СПРАВОЧНИК!$L$13+'ПЛАН ЧИСТ К3'!R21*СПРАВОЧНИК!$M$13+'ПЛАН ЧИСТ К3'!S21*СПРАВОЧНИК!$N$13+'ПЛАН ЧИСТ К3'!T21*СПРАВОЧНИК!$O$13+'ПЛАН ЧИСТ К3'!U21*СПРАВОЧНИК!$L$14+'ПЛАН ЧИСТ К3'!V21*СПРАВОЧНИК!$M$14+'ПЛАН ЧИСТ К3'!W21*СПРАВОЧНИК!$N$14+'ПЛАН ЧИСТ К3'!X21*СПРАВОЧНИК!$L$15+'ПЛАН ЧИСТ К3'!Y21*СПРАВОЧНИК!$M$15+'ПЛАН ЧИСТ К3'!Z21*СПРАВОЧНИК!$N$15</f>
        <v/>
      </c>
      <c r="BS30" s="40">
        <f>('ФАКТ ЧИСТ К3'!B21)*СПРАВОЧНИК!$L$9+('ФАКТ ЧИСТ К3'!C21)*СПРАВОЧНИК!$M$9+('ФАКТ ЧИСТ К3'!D21)*СПРАВОЧНИК!$N$9+('ФАКТ ЧИСТ К3'!E21)*СПРАВОЧНИК!$O$9+('ФАКТ ЧИСТ К3'!F21)*СПРАВОЧНИК!$L$10+('ФАКТ ЧИСТ К3'!G21)*СПРАВОЧНИК!$M$10+('ФАКТ ЧИСТ К3'!H21)*СПРАВОЧНИК!$N$10+('ФАКТ ЧИСТ К3'!I21)*СПРАВОЧНИК!$O$10+('ФАКТ ЧИСТ К3'!J21)*СПРАВОЧНИК!$L$11+('ФАКТ ЧИСТ К3'!K21)*СПРАВОЧНИК!$M$11+('ФАКТ ЧИСТ К3'!L21)*СПРАВОЧНИК!$N$11+('ФАКТ ЧИСТ К3'!M21)*СПРАВОЧНИК!$L$12+('ФАКТ ЧИСТ К3'!N21)*СПРАВОЧНИК!$M$12+('ФАКТ ЧИСТ К3'!O21)*СПРАВОЧНИК!$N$12+('ФАКТ ЧИСТ К3'!P21)*СПРАВОЧНИК!$O$12+('ФАКТ ЧИСТ К3'!Q21)*СПРАВОЧНИК!$L$13+('ФАКТ ЧИСТ К3'!R21)*СПРАВОЧНИК!$M$13+('ФАКТ ЧИСТ К3'!S21)*СПРАВОЧНИК!$N$13+('ФАКТ ЧИСТ К3'!T21)*СПРАВОЧНИК!$O$13+('ФАКТ ЧИСТ К3'!U21)*СПРАВОЧНИК!$L$14+('ФАКТ ЧИСТ К3'!V21)*СПРАВОЧНИК!$M$14+('ФАКТ ЧИСТ К3'!W21)*СПРАВОЧНИК!$N$14+('ФАКТ ЧИСТ К3'!X21)*СПРАВОЧНИК!$L$15+('ФАКТ ЧИСТ К3'!Y21)*СПРАВОЧНИК!$M$15+('ФАКТ ЧИСТ К3'!Z21)*СПРАВОЧНИК!$N$15</f>
        <v/>
      </c>
      <c r="BW30" s="18">
        <f>BW29+7</f>
        <v/>
      </c>
      <c r="BX30" s="37">
        <f>V30+AN30+BF30</f>
        <v/>
      </c>
      <c r="BY30" s="40">
        <f>W30+AO30+BG30</f>
        <v/>
      </c>
      <c r="CC30" s="18">
        <f>CC29+7</f>
        <v/>
      </c>
      <c r="CD30" s="37">
        <f>AB30+AT30+BL30</f>
        <v/>
      </c>
      <c r="CE30" s="40">
        <f>AC30+AU30+BM30</f>
        <v/>
      </c>
      <c r="CI30" s="18">
        <f>CI29+7</f>
        <v/>
      </c>
      <c r="CJ30" s="37">
        <f>AH30+AZ30+BR30</f>
        <v/>
      </c>
      <c r="CK30" s="40">
        <f>AI30+BA30+BS30</f>
        <v/>
      </c>
      <c r="CO30" s="18">
        <f>CO29+7</f>
        <v/>
      </c>
      <c r="CP30" s="37">
        <f>D30+BX30</f>
        <v/>
      </c>
      <c r="CQ30" s="40">
        <f>E30+BY30</f>
        <v/>
      </c>
      <c r="CU30" s="18">
        <f>CU29+7</f>
        <v/>
      </c>
      <c r="CV30" s="37">
        <f>J30+CD30</f>
        <v/>
      </c>
      <c r="CW30" s="40">
        <f>K30+CE30</f>
        <v/>
      </c>
      <c r="DA30" s="18">
        <f>DA29+7</f>
        <v/>
      </c>
      <c r="DB30" s="37">
        <f>P30+CJ30</f>
        <v/>
      </c>
      <c r="DC30" s="40">
        <f>Q30+CK30</f>
        <v/>
      </c>
    </row>
    <row r="31">
      <c r="C31" s="18">
        <f>C30+7</f>
        <v/>
      </c>
      <c r="D31" s="37">
        <f>СПРАВОЧНИК!$E$3*('ПЛАН ЧЕРН ПОДЗЕМ'!B22*СПРАВОЧНИК!$H$3+'ПЛАН ЧЕРН ПОДЗЕМ'!C22*СПРАВОЧНИК!$I$3+'ПЛАН ЧЕРН ПОДЗЕМ'!D22*СПРАВОЧНИК!$J$3)+СПРАВОЧНИК!$E$4*('ПЛАН ЧЕРН ПОДЗЕМ'!E22*СПРАВОЧНИК!$H$4+'ПЛАН ЧЕРН ПОДЗЕМ'!F22*СПРАВОЧНИК!$I$4+'ПЛАН ЧЕРН ПОДЗЕМ'!G22*СПРАВОЧНИК!$J$4)+СПРАВОЧНИК!$E$5*('ПЛАН ЧЕРН ПОДЗЕМ'!H22*СПРАВОЧНИК!$H$5+'ПЛАН ЧЕРН ПОДЗЕМ'!I22*СПРАВОЧНИК!$I$5+'ПЛАН ЧЕРН ПОДЗЕМ'!J22*СПРАВОЧНИК!$J$5)+СПРАВОЧНИК!$E$6*('ПЛАН ЧЕРН ПОДЗЕМ'!K22*СПРАВОЧНИК!$H$6+'ПЛАН ЧЕРН ПОДЗЕМ'!L22*СПРАВОЧНИК!$I$6+'ПЛАН ЧЕРН ПОДЗЕМ'!M22*СПРАВОЧНИК!$J$6)+СПРАВОЧНИК!$E$7*('ПЛАН ЧЕРН ПОДЗЕМ'!N22*СПРАВОЧНИК!$H$7+'ПЛАН ЧЕРН ПОДЗЕМ'!O22*СПРАВОЧНИК!$I$7+'ПЛАН ЧЕРН ПОДЗЕМ'!P22*СПРАВОЧНИК!$J$7)+СПРАВОЧНИК!$E$8*('ПЛАН ЧЕРН ПОДЗЕМ'!Q22*СПРАВОЧНИК!$H$8+'ПЛАН ЧЕРН ПОДЗЕМ'!R22*СПРАВОЧНИК!$I$8+'ПЛАН ЧЕРН ПОДЗЕМ'!S22*СПРАВОЧНИК!$J$8)+СПРАВОЧНИК!$F$3*('ПЛАН ЧИСТ ПОДЗЕМ'!B22*СПРАВОЧНИК!$L$3+'ПЛАН ЧИСТ ПОДЗЕМ'!C22*СПРАВОЧНИК!$M$3+'ПЛАН ЧИСТ ПОДЗЕМ'!D22*СПРАВОЧНИК!$N$3+'ПЛАН ЧИСТ ПОДЗЕМ'!E22*СПРАВОЧНИК!$O$3)+СПРАВОЧНИК!$F$4*('ПЛАН ЧИСТ ПОДЗЕМ'!F22*СПРАВОЧНИК!$L$4+'ПЛАН ЧИСТ ПОДЗЕМ'!G22*СПРАВОЧНИК!$M$4+'ПЛАН ЧИСТ ПОДЗЕМ'!H22*СПРАВОЧНИК!$N$4+'ПЛАН ЧИСТ ПОДЗЕМ'!I22*СПРАВОЧНИК!$O$4)+СПРАВОЧНИК!$F$5*('ПЛАН ЧИСТ ПОДЗЕМ'!J22*СПРАВОЧНИК!$L$5+'ПЛАН ЧИСТ ПОДЗЕМ'!K22*СПРАВОЧНИК!$M$5+'ПЛАН ЧИСТ ПОДЗЕМ'!L22*СПРАВОЧНИК!$N$5)+СПРАВОЧНИК!$F$6*('ПЛАН ЧИСТ ПОДЗЕМ'!M22*СПРАВОЧНИК!$L$6+'ПЛАН ЧИСТ ПОДЗЕМ'!N22*СПРАВОЧНИК!$M$6+'ПЛАН ЧИСТ ПОДЗЕМ'!O22*СПРАВОЧНИК!$N$6+'ПЛАН ЧИСТ ПОДЗЕМ'!P22*СПРАВОЧНИК!$O$6)+СПРАВОЧНИК!$F$7*('ПЛАН ЧИСТ ПОДЗЕМ'!Q22*СПРАВОЧНИК!$L$7+'ПЛАН ЧИСТ ПОДЗЕМ'!R22*СПРАВОЧНИК!$M$7+'ПЛАН ЧИСТ ПОДЗЕМ'!S22*СПРАВОЧНИК!$N$7+'ПЛАН ЧИСТ ПОДЗЕМ'!T22*СПРАВОЧНИК!$O$7)+СПРАВОЧНИК!$F$8*('ПЛАН ЧИСТ ПОДЗЕМ'!U22*СПРАВОЧНИК!$L$8+'ПЛАН ЧИСТ ПОДЗЕМ'!V22*СПРАВОЧНИК!$M$8+'ПЛАН ЧИСТ ПОДЗЕМ'!W22*СПРАВОЧНИК!$N$8)</f>
        <v/>
      </c>
      <c r="E31" s="40">
        <f>СПРАВОЧНИК!$E$3*(('ФАКТ ЧЕРН ПОДЗЕМ'!B22)*СПРАВОЧНИК!$H$3+('ФАКТ ЧЕРН ПОДЗЕМ'!C22)*СПРАВОЧНИК!$I$3+('ФАКТ ЧЕРН ПОДЗЕМ'!D22)*СПРАВОЧНИК!$J$3)+СПРАВОЧНИК!$E$4*(('ФАКТ ЧЕРН ПОДЗЕМ'!E22)*СПРАВОЧНИК!$H$4+('ФАКТ ЧЕРН ПОДЗЕМ'!F22)*СПРАВОЧНИК!$I$4+('ФАКТ ЧЕРН ПОДЗЕМ'!G22)*СПРАВОЧНИК!$J$4)+СПРАВОЧНИК!$E$5*(('ФАКТ ЧЕРН ПОДЗЕМ'!H22)*СПРАВОЧНИК!$H$5+('ФАКТ ЧЕРН ПОДЗЕМ'!I22)*СПРАВОЧНИК!$I$5+('ФАКТ ЧЕРН ПОДЗЕМ'!J22)*СПРАВОЧНИК!$J$5)+СПРАВОЧНИК!$E$6*(('ФАКТ ЧЕРН ПОДЗЕМ'!K22)*СПРАВОЧНИК!$H$6+('ФАКТ ЧЕРН ПОДЗЕМ'!L22)*СПРАВОЧНИК!$I$6+('ФАКТ ЧЕРН ПОДЗЕМ'!M22)*СПРАВОЧНИК!$J$6)+СПРАВОЧНИК!$E$7*(('ФАКТ ЧЕРН ПОДЗЕМ'!N22)*СПРАВОЧНИК!$H$7+('ФАКТ ЧЕРН ПОДЗЕМ'!O22)*СПРАВОЧНИК!$I$7+('ФАКТ ЧЕРН ПОДЗЕМ'!P22)*СПРАВОЧНИК!$J$7)+СПРАВОЧНИК!$E$8*(('ФАКТ ЧЕРН ПОДЗЕМ'!Q22)*СПРАВОЧНИК!$H$8+('ФАКТ ЧЕРН ПОДЗЕМ'!R22)*СПРАВОЧНИК!$I$8+('ФАКТ ЧЕРН ПОДЗЕМ'!S22)*СПРАВОЧНИК!$J$8)+СПРАВОЧНИК!$F$3*(('ФАКТ ЧИСТ ПОДЗЕМ'!B22)*СПРАВОЧНИК!$L$3+('ФАКТ ЧИСТ ПОДЗЕМ'!C22)*СПРАВОЧНИК!$M$3+('ФАКТ ЧИСТ ПОДЗЕМ'!D22)*СПРАВОЧНИК!$N$3+('ФАКТ ЧИСТ ПОДЗЕМ'!E22)*СПРАВОЧНИК!$O$3)+СПРАВОЧНИК!$F$4*(('ФАКТ ЧИСТ ПОДЗЕМ'!F22)*СПРАВОЧНИК!$L$4+('ФАКТ ЧИСТ ПОДЗЕМ'!G22)*СПРАВОЧНИК!$M$4+('ФАКТ ЧИСТ ПОДЗЕМ'!H22)*СПРАВОЧНИК!$N$4+('ФАКТ ЧИСТ ПОДЗЕМ'!I22)*СПРАВОЧНИК!$O$4)+СПРАВОЧНИК!$F$5*(('ФАКТ ЧИСТ ПОДЗЕМ'!J22)*СПРАВОЧНИК!$L$5+('ФАКТ ЧИСТ ПОДЗЕМ'!K22)*СПРАВОЧНИК!$M$5+('ФАКТ ЧИСТ ПОДЗЕМ'!L22)*СПРАВОЧНИК!$N$5)+СПРАВОЧНИК!$F$6*(('ФАКТ ЧИСТ ПОДЗЕМ'!M22)*СПРАВОЧНИК!$L$6+('ФАКТ ЧИСТ ПОДЗЕМ'!N22)*СПРАВОЧНИК!$M$6+('ФАКТ ЧИСТ ПОДЗЕМ'!O22)*СПРАВОЧНИК!$N$6+('ФАКТ ЧИСТ ПОДЗЕМ'!P22)*СПРАВОЧНИК!$O$6)+СПРАВОЧНИК!$F$7*(('ФАКТ ЧИСТ ПОДЗЕМ'!Q22)*СПРАВОЧНИК!$L$7+('ФАКТ ЧИСТ ПОДЗЕМ'!R22)*СПРАВОЧНИК!$M$7+('ФАКТ ЧИСТ ПОДЗЕМ'!S22)*СПРАВОЧНИК!$N$7+('ФАКТ ЧИСТ ПОДЗЕМ'!T22)*СПРАВОЧНИК!$O$7)+СПРАВОЧНИК!$F$8*(('ФАКТ ЧИСТ ПОДЗЕМ'!U22)*СПРАВОЧНИК!$L$8+('ФАКТ ЧИСТ ПОДЗЕМ'!V22)*СПРАВОЧНИК!$M$8+('ФАКТ ЧИСТ ПОДЗЕМ'!W22)*СПРАВОЧНИК!$N$8)</f>
        <v/>
      </c>
      <c r="I31" s="18">
        <f>I30+7</f>
        <v/>
      </c>
      <c r="J31" s="37">
        <f>'ПЛАН ЧЕРН ПОДЗЕМ'!B22*СПРАВОЧНИК!$H$3+'ПЛАН ЧЕРН ПОДЗЕМ'!C22*СПРАВОЧНИК!$I$3+'ПЛАН ЧЕРН ПОДЗЕМ'!D22*СПРАВОЧНИК!$J$3+'ПЛАН ЧЕРН ПОДЗЕМ'!E22*СПРАВОЧНИК!$H$4+'ПЛАН ЧЕРН ПОДЗЕМ'!F22*СПРАВОЧНИК!$I$4+'ПЛАН ЧЕРН ПОДЗЕМ'!G22*СПРАВОЧНИК!$J$4+'ПЛАН ЧЕРН ПОДЗЕМ'!H22*СПРАВОЧНИК!$H$5+'ПЛАН ЧЕРН ПОДЗЕМ'!I22*СПРАВОЧНИК!$I$5+'ПЛАН ЧЕРН ПОДЗЕМ'!J22*СПРАВОЧНИК!$J$5+'ПЛАН ЧЕРН ПОДЗЕМ'!K22*СПРАВОЧНИК!$H$6+'ПЛАН ЧЕРН ПОДЗЕМ'!L22*СПРАВОЧНИК!$I$6+'ПЛАН ЧЕРН ПОДЗЕМ'!M22*СПРАВОЧНИК!$J$6+'ПЛАН ЧЕРН ПОДЗЕМ'!N22*СПРАВОЧНИК!$H$7+'ПЛАН ЧЕРН ПОДЗЕМ'!O22*СПРАВОЧНИК!$I$7+'ПЛАН ЧЕРН ПОДЗЕМ'!P22*СПРАВОЧНИК!$J$7+'ПЛАН ЧЕРН ПОДЗЕМ'!Q22*СПРАВОЧНИК!$H$8+'ПЛАН ЧЕРН ПОДЗЕМ'!R22*СПРАВОЧНИК!$I$8+'ПЛАН ЧЕРН ПОДЗЕМ'!S22*СПРАВОЧНИК!$J$8</f>
        <v/>
      </c>
      <c r="K31" s="40">
        <f>('ФАКТ ЧЕРН ПОДЗЕМ'!B22)*СПРАВОЧНИК!$H$3+('ФАКТ ЧЕРН ПОДЗЕМ'!C22)*СПРАВОЧНИК!$I$3+('ФАКТ ЧЕРН ПОДЗЕМ'!D22)*СПРАВОЧНИК!$J$3+('ФАКТ ЧЕРН ПОДЗЕМ'!E22)*СПРАВОЧНИК!$H$4+('ФАКТ ЧЕРН ПОДЗЕМ'!F22)*СПРАВОЧНИК!$I$4+('ФАКТ ЧЕРН ПОДЗЕМ'!G22)*СПРАВОЧНИК!$J$4+('ФАКТ ЧЕРН ПОДЗЕМ'!H22)*СПРАВОЧНИК!$H$5+('ФАКТ ЧЕРН ПОДЗЕМ'!I22)*СПРАВОЧНИК!$I$5+('ФАКТ ЧЕРН ПОДЗЕМ'!J22)*СПРАВОЧНИК!$J$5+('ФАКТ ЧЕРН ПОДЗЕМ'!K22)*СПРАВОЧНИК!$H$6+('ФАКТ ЧЕРН ПОДЗЕМ'!L22)*СПРАВОЧНИК!$I$6+('ФАКТ ЧЕРН ПОДЗЕМ'!M22)*СПРАВОЧНИК!$J$6+('ФАКТ ЧЕРН ПОДЗЕМ'!N22)*СПРАВОЧНИК!$H$7+('ФАКТ ЧЕРН ПОДЗЕМ'!O22)*СПРАВОЧНИК!$I$7+('ФАКТ ЧЕРН ПОДЗЕМ'!P22)*СПРАВОЧНИК!$J$7+('ФАКТ ЧЕРН ПОДЗЕМ'!Q22)*СПРАВОЧНИК!$H$8+('ФАКТ ЧЕРН ПОДЗЕМ'!R22)*СПРАВОЧНИК!$I$8+('ФАКТ ЧЕРН ПОДЗЕМ'!S22)*СПРАВОЧНИК!$J$8</f>
        <v/>
      </c>
      <c r="O31" s="18">
        <f>O30+7</f>
        <v/>
      </c>
      <c r="P31" s="37">
        <f>'ПЛАН ЧИСТ ПОДЗЕМ'!B22*СПРАВОЧНИК!$L$3+'ПЛАН ЧИСТ ПОДЗЕМ'!C22*СПРАВОЧНИК!$M$3+'ПЛАН ЧИСТ ПОДЗЕМ'!D22*СПРАВОЧНИК!$N$3+'ПЛАН ЧИСТ ПОДЗЕМ'!E22*СПРАВОЧНИК!$O$3+'ПЛАН ЧИСТ ПОДЗЕМ'!F22*СПРАВОЧНИК!$L$4+'ПЛАН ЧИСТ ПОДЗЕМ'!G22*СПРАВОЧНИК!$M$4+'ПЛАН ЧИСТ ПОДЗЕМ'!H22*СПРАВОЧНИК!$N$4+'ПЛАН ЧИСТ ПОДЗЕМ'!I22*СПРАВОЧНИК!$O$4+'ПЛАН ЧИСТ ПОДЗЕМ'!J22*СПРАВОЧНИК!$L$5+'ПЛАН ЧИСТ ПОДЗЕМ'!K22*СПРАВОЧНИК!$M$5+'ПЛАН ЧИСТ ПОДЗЕМ'!L22*СПРАВОЧНИК!$N$5+'ПЛАН ЧИСТ ПОДЗЕМ'!M22*СПРАВОЧНИК!$L$6+'ПЛАН ЧИСТ ПОДЗЕМ'!N22*СПРАВОЧНИК!$M$6+'ПЛАН ЧИСТ ПОДЗЕМ'!O22*СПРАВОЧНИК!$N$6+'ПЛАН ЧИСТ ПОДЗЕМ'!P22*СПРАВОЧНИК!$O$6+'ПЛАН ЧИСТ ПОДЗЕМ'!Q22*СПРАВОЧНИК!$L$7+'ПЛАН ЧИСТ ПОДЗЕМ'!R22*СПРАВОЧНИК!$M$7+'ПЛАН ЧИСТ ПОДЗЕМ'!S22*СПРАВОЧНИК!$N$7+'ПЛАН ЧИСТ ПОДЗЕМ'!T22*СПРАВОЧНИК!$O$7+'ПЛАН ЧИСТ ПОДЗЕМ'!U22*СПРАВОЧНИК!$L$8+'ПЛАН ЧИСТ ПОДЗЕМ'!V22*СПРАВОЧНИК!$M$8+'ПЛАН ЧИСТ ПОДЗЕМ'!W22*СПРАВОЧНИК!$N$8</f>
        <v/>
      </c>
      <c r="Q31" s="40">
        <f>('ФАКТ ЧИСТ ПОДЗЕМ'!B22)*СПРАВОЧНИК!$L$3+('ФАКТ ЧИСТ ПОДЗЕМ'!C22)*СПРАВОЧНИК!$M$3+('ФАКТ ЧИСТ ПОДЗЕМ'!D22)*СПРАВОЧНИК!$N$3+('ФАКТ ЧИСТ ПОДЗЕМ'!E22)*СПРАВОЧНИК!$O$3+('ФАКТ ЧИСТ ПОДЗЕМ'!F22)*СПРАВОЧНИК!$L$4+('ФАКТ ЧИСТ ПОДЗЕМ'!G22)*СПРАВОЧНИК!$M$4+('ФАКТ ЧИСТ ПОДЗЕМ'!H22)*СПРАВОЧНИК!$N$4+('ФАКТ ЧИСТ ПОДЗЕМ'!I22)*СПРАВОЧНИК!$O$4+('ФАКТ ЧИСТ ПОДЗЕМ'!J22)*СПРАВОЧНИК!$L$5+('ФАКТ ЧИСТ ПОДЗЕМ'!K22)*СПРАВОЧНИК!$M$5+('ФАКТ ЧИСТ ПОДЗЕМ'!L22)*СПРАВОЧНИК!$N$5+('ФАКТ ЧИСТ ПОДЗЕМ'!M22)*СПРАВОЧНИК!$L$6+('ФАКТ ЧИСТ ПОДЗЕМ'!N22)*СПРАВОЧНИК!$M$6+('ФАКТ ЧИСТ ПОДЗЕМ'!O22)*СПРАВОЧНИК!$N$6+('ФАКТ ЧИСТ ПОДЗЕМ'!P22)*СПРАВОЧНИК!$O$6+('ФАКТ ЧИСТ ПОДЗЕМ'!Q22)*СПРАВОЧНИК!$L$7+('ФАКТ ЧИСТ ПОДЗЕМ'!R22)*СПРАВОЧНИК!$M$7+('ФАКТ ЧИСТ ПОДЗЕМ'!S22)*СПРАВОЧНИК!$N$7+('ФАКТ ЧИСТ ПОДЗЕМ'!T22)*СПРАВОЧНИК!$O$7+('ФАКТ ЧИСТ ПОДЗЕМ'!U22)*СПРАВОЧНИК!$L$8+('ФАКТ ЧИСТ ПОДЗЕМ'!V22)*СПРАВОЧНИК!$M$8+('ФАКТ ЧИСТ ПОДЗЕМ'!W22)*СПРАВОЧНИК!$N$8</f>
        <v/>
      </c>
      <c r="U31" s="18">
        <f>U30+7</f>
        <v/>
      </c>
      <c r="V31" s="37">
        <f>СПРАВОЧНИК!$E$9*('ПЛАН ЧЕРН К1'!B22*СПРАВОЧНИК!$H$9+'ПЛАН ЧЕРН К1'!C22*СПРАВОЧНИК!$I$9+'ПЛАН ЧЕРН К1'!D22*СПРАВОЧНИК!$J$9)+СПРАВОЧНИК!$E$10*('ПЛАН ЧЕРН К1'!E22*СПРАВОЧНИК!$H$10+'ПЛАН ЧЕРН К1'!F22*СПРАВОЧНИК!$I$10+'ПЛАН ЧЕРН К1'!G22*СПРАВОЧНИК!$J$10)+СПРАВОЧНИК!$E$11*('ПЛАН ЧЕРН К1'!H22*СПРАВОЧНИК!$H$11+'ПЛАН ЧЕРН К1'!I22*СПРАВОЧНИК!$I$11+'ПЛАН ЧЕРН К1'!J22*СПРАВОЧНИК!$J$11)+СПРАВОЧНИК!$E$12*('ПЛАН ЧЕРН К1'!K22*СПРАВОЧНИК!$H$12+'ПЛАН ЧЕРН К1'!L22*СПРАВОЧНИК!$I$12+'ПЛАН ЧЕРН К1'!M22*СПРАВОЧНИК!$J$12)+СПРАВОЧНИК!$E$13*('ПЛАН ЧЕРН К1'!N22*СПРАВОЧНИК!$H$13+'ПЛАН ЧЕРН К1'!O22*СПРАВОЧНИК!$I$13+'ПЛАН ЧЕРН К1'!P22*СПРАВОЧНИК!$J$13)+СПРАВОЧНИК!$E$14*('ПЛАН ЧЕРН К1'!Q22*СПРАВОЧНИК!$H$14+'ПЛАН ЧЕРН К1'!R22*СПРАВОЧНИК!$I$14+'ПЛАН ЧЕРН К1'!S22*СПРАВОЧНИК!$J$14)+СПРАВОЧНИК!$E$15*('ПЛАН ЧЕРН К1'!T22*СПРАВОЧНИК!$H$15+'ПЛАН ЧЕРН К1'!U22*СПРАВОЧНИК!$I$15+'ПЛАН ЧЕРН К1'!V22*СПРАВОЧНИК!$J$15)+СПРАВОЧНИК!$F$9*('ПЛАН ЧИСТ К1'!B22*СПРАВОЧНИК!$L$9+'ПЛАН ЧИСТ К1'!C22*СПРАВОЧНИК!$M$9+'ПЛАН ЧИСТ К1'!D22*СПРАВОЧНИК!$N$9+'ПЛАН ЧИСТ К1'!E22*СПРАВОЧНИК!$O$9)+СПРАВОЧНИК!$F$10*('ПЛАН ЧИСТ К1'!F22*СПРАВОЧНИК!$L$10+'ПЛАН ЧИСТ К1'!G22*СПРАВОЧНИК!$M$10+'ПЛАН ЧИСТ К1'!H22*СПРАВОЧНИК!$N$10+'ПЛАН ЧИСТ К1'!I22*СПРАВОЧНИК!$O$10)+СПРАВОЧНИК!$F$11*('ПЛАН ЧИСТ К1'!J22*СПРАВОЧНИК!$L$11+'ПЛАН ЧИСТ К1'!K22*СПРАВОЧНИК!$M$11+'ПЛАН ЧИСТ К1'!L22*СПРАВОЧНИК!$N$11)+СПРАВОЧНИК!$F$12*('ПЛАН ЧИСТ К1'!M22*СПРАВОЧНИК!$L$12+'ПЛАН ЧИСТ К1'!N22*СПРАВОЧНИК!$M$12+'ПЛАН ЧИСТ К1'!O22*СПРАВОЧНИК!$N$12+'ПЛАН ЧИСТ К1'!P22*СПРАВОЧНИК!$O$12)+СПРАВОЧНИК!$F$13*('ПЛАН ЧИСТ К1'!Q22*СПРАВОЧНИК!$L$13+'ПЛАН ЧИСТ К1'!R22*СПРАВОЧНИК!$M$13+'ПЛАН ЧИСТ К1'!S22*СПРАВОЧНИК!$N$13+'ПЛАН ЧИСТ К1'!T22*СПРАВОЧНИК!$O$13)+СПРАВОЧНИК!$F$14*('ПЛАН ЧИСТ К1'!U22*СПРАВОЧНИК!$L$14+'ПЛАН ЧИСТ К1'!V22*СПРАВОЧНИК!$M$14+'ПЛАН ЧИСТ К1'!W22*СПРАВОЧНИК!$N$14)+СПРАВОЧНИК!$F$15*('ПЛАН ЧИСТ К1'!X22*СПРАВОЧНИК!$L$15+'ПЛАН ЧИСТ К1'!Y22*СПРАВОЧНИК!$M$15+'ПЛАН ЧИСТ К1'!Z22*СПРАВОЧНИК!$N$15)</f>
        <v/>
      </c>
      <c r="W31" s="40">
        <f>СПРАВОЧНИК!$E$9*(('ФАКТ ЧЕРН К1'!B22)*СПРАВОЧНИК!$H$9+('ФАКТ ЧЕРН К1'!C22)*СПРАВОЧНИК!$I$9+('ФАКТ ЧЕРН К1'!D22)*СПРАВОЧНИК!$J$9)+СПРАВОЧНИК!$E$10*(('ФАКТ ЧЕРН К1'!E22)*СПРАВОЧНИК!$H$10+('ФАКТ ЧЕРН К1'!F22)*СПРАВОЧНИК!$I$10+('ФАКТ ЧЕРН К1'!G22)*СПРАВОЧНИК!$J$10)+СПРАВОЧНИК!$E$11*(('ФАКТ ЧЕРН К1'!H22)*СПРАВОЧНИК!$H$11+('ФАКТ ЧЕРН К1'!I22)*СПРАВОЧНИК!$I$11+('ФАКТ ЧЕРН К1'!J22)*СПРАВОЧНИК!$J$11)+СПРАВОЧНИК!$E$12*(('ФАКТ ЧЕРН К1'!K22)*СПРАВОЧНИК!$H$12+('ФАКТ ЧЕРН К1'!L22)*СПРАВОЧНИК!$I$12+('ФАКТ ЧЕРН К1'!M22)*СПРАВОЧНИК!$J$12)+СПРАВОЧНИК!$E$13*(('ФАКТ ЧЕРН К1'!N22)*СПРАВОЧНИК!$H$13+('ФАКТ ЧЕРН К1'!O22)*СПРАВОЧНИК!$I$13+('ФАКТ ЧЕРН К1'!P22)*СПРАВОЧНИК!$J$13)+СПРАВОЧНИК!$E$14*(('ФАКТ ЧЕРН К1'!Q22)*СПРАВОЧНИК!$H$14+('ФАКТ ЧЕРН К1'!R22)*СПРАВОЧНИК!$I$14+('ФАКТ ЧЕРН К1'!S22)*СПРАВОЧНИК!$J$14)+СПРАВОЧНИК!$E$15*(('ФАКТ ЧЕРН К1'!T22)*СПРАВОЧНИК!$H$15+('ФАКТ ЧЕРН К1'!U22)*СПРАВОЧНИК!$I$15+('ФАКТ ЧЕРН К1'!V22)*СПРАВОЧНИК!$J$15)+СПРАВОЧНИК!$F$9*(('ФАКТ ЧИСТ К1'!B22)*СПРАВОЧНИК!$L$9+('ФАКТ ЧИСТ К1'!C22)*СПРАВОЧНИК!$M$9+('ФАКТ ЧИСТ К1'!D22)*СПРАВОЧНИК!$N$9+('ФАКТ ЧИСТ К1'!E22)*СПРАВОЧНИК!$O$9)+СПРАВОЧНИК!$F$10*(('ФАКТ ЧИСТ К1'!F22)*СПРАВОЧНИК!$L$10+('ФАКТ ЧИСТ К1'!G22)*СПРАВОЧНИК!$M$10+('ФАКТ ЧИСТ К1'!H22)*СПРАВОЧНИК!$N$10+('ФАКТ ЧИСТ К1'!I22)*СПРАВОЧНИК!$O$10)+СПРАВОЧНИК!$F$11*(('ФАКТ ЧИСТ К1'!J22)*СПРАВОЧНИК!$L$11+('ФАКТ ЧИСТ К1'!K22)*СПРАВОЧНИК!$M$11+('ФАКТ ЧИСТ К1'!L22)*СПРАВОЧНИК!$N$11)+СПРАВОЧНИК!$F$12*(('ФАКТ ЧИСТ К1'!M22)*СПРАВОЧНИК!$L$12+('ФАКТ ЧИСТ К1'!N22)*СПРАВОЧНИК!$M$12+('ФАКТ ЧИСТ К1'!O22)*СПРАВОЧНИК!$N$12+('ФАКТ ЧИСТ К1'!P22)*СПРАВОЧНИК!$O$12)+СПРАВОЧНИК!$F$13*(('ФАКТ ЧИСТ К1'!Q22)*СПРАВОЧНИК!$L$13+('ФАКТ ЧИСТ К1'!R22)*СПРАВОЧНИК!$M$13+('ФАКТ ЧИСТ К1'!S22)*СПРАВОЧНИК!$N$13+('ФАКТ ЧИСТ К1'!T22)*СПРАВОЧНИК!$O$13)+СПРАВОЧНИК!$F$14*(('ФАКТ ЧИСТ К1'!U22)*СПРАВОЧНИК!$L$14+('ФАКТ ЧИСТ К1'!V22)*СПРАВОЧНИК!$M$14+('ФАКТ ЧИСТ К1'!W22)*СПРАВОЧНИК!$N$14)+СПРАВОЧНИК!$F$15*(('ФАКТ ЧИСТ К1'!X22)*СПРАВОЧНИК!$L$15+('ФАКТ ЧИСТ К1'!Y22)*СПРАВОЧНИК!$M$15+('ФАКТ ЧИСТ К1'!Z22)*СПРАВОЧНИК!$N$15)</f>
        <v/>
      </c>
      <c r="AA31" s="18">
        <f>AA30+7</f>
        <v/>
      </c>
      <c r="AB31" s="37">
        <f>'ПЛАН ЧЕРН К1'!B22*СПРАВОЧНИК!$H$9+'ПЛАН ЧЕРН К1'!C22*СПРАВОЧНИК!$I$9+'ПЛАН ЧЕРН К1'!D22*СПРАВОЧНИК!$J$9+'ПЛАН ЧЕРН К1'!E22*СПРАВОЧНИК!$H$10+'ПЛАН ЧЕРН К1'!F22*СПРАВОЧНИК!$I$10+'ПЛАН ЧЕРН К1'!G22*СПРАВОЧНИК!$J$10+'ПЛАН ЧЕРН К1'!H22*СПРАВОЧНИК!$H$11+'ПЛАН ЧЕРН К1'!I22*СПРАВОЧНИК!$I$11+'ПЛАН ЧЕРН К1'!J22*СПРАВОЧНИК!$J$11+'ПЛАН ЧЕРН К1'!K22*СПРАВОЧНИК!$H$12+'ПЛАН ЧЕРН К1'!L22*СПРАВОЧНИК!$I$12+'ПЛАН ЧЕРН К1'!M22*СПРАВОЧНИК!$J$12+'ПЛАН ЧЕРН К1'!N22*СПРАВОЧНИК!$H$13+'ПЛАН ЧЕРН К1'!O22*СПРАВОЧНИК!$I$13+'ПЛАН ЧЕРН К1'!P22*СПРАВОЧНИК!$J$13+'ПЛАН ЧЕРН К1'!Q22*СПРАВОЧНИК!$H$14+'ПЛАН ЧЕРН К1'!R22*СПРАВОЧНИК!$I$14+'ПЛАН ЧЕРН К1'!S22*СПРАВОЧНИК!$J$14+'ПЛАН ЧЕРН К1'!T22*СПРАВОЧНИК!$H$15+'ПЛАН ЧЕРН К1'!U22*СПРАВОЧНИК!$I$15+'ПЛАН ЧЕРН К1'!V22*СПРАВОЧНИК!$J$15</f>
        <v/>
      </c>
      <c r="AC31" s="40">
        <f>('ФАКТ ЧЕРН К1'!B22)*СПРАВОЧНИК!$H$9+('ФАКТ ЧЕРН К1'!C22)*СПРАВОЧНИК!$I$9+('ФАКТ ЧЕРН К1'!D22)*СПРАВОЧНИК!$J$9+('ФАКТ ЧЕРН К1'!E22)*СПРАВОЧНИК!$H$10+('ФАКТ ЧЕРН К1'!F22)*СПРАВОЧНИК!$I$10+('ФАКТ ЧЕРН К1'!G22)*СПРАВОЧНИК!$J$10+('ФАКТ ЧЕРН К1'!H22)*СПРАВОЧНИК!$H$11+('ФАКТ ЧЕРН К1'!I22)*СПРАВОЧНИК!$I$11+('ФАКТ ЧЕРН К1'!J22)*СПРАВОЧНИК!$J$11+('ФАКТ ЧЕРН К1'!K22)*СПРАВОЧНИК!$H$12+('ФАКТ ЧЕРН К1'!L22)*СПРАВОЧНИК!$I$12+('ФАКТ ЧЕРН К1'!M22)*СПРАВОЧНИК!$J$12+('ФАКТ ЧЕРН К1'!N22)*СПРАВОЧНИК!$H$13+('ФАКТ ЧЕРН К1'!O22)*СПРАВОЧНИК!$I$13+('ФАКТ ЧЕРН К1'!P22)*СПРАВОЧНИК!$J$13+('ФАКТ ЧЕРН К1'!Q22)*СПРАВОЧНИК!$H$14+('ФАКТ ЧЕРН К1'!R22)*СПРАВОЧНИК!$I$14+('ФАКТ ЧЕРН К1'!S22)*СПРАВОЧНИК!$J$14+('ФАКТ ЧЕРН К1'!T22)*СПРАВОЧНИК!$H$15+('ФАКТ ЧЕРН К1'!U22)*СПРАВОЧНИК!$I$15+('ФАКТ ЧЕРН К1'!V22)*СПРАВОЧНИК!$J$15</f>
        <v/>
      </c>
      <c r="AG31" s="18">
        <f>AG30+7</f>
        <v/>
      </c>
      <c r="AH31" s="37">
        <f>'ПЛАН ЧИСТ К1'!B22*СПРАВОЧНИК!$L$9+'ПЛАН ЧИСТ К1'!C22*СПРАВОЧНИК!$M$9+'ПЛАН ЧИСТ К1'!D22*СПРАВОЧНИК!$N$9+'ПЛАН ЧИСТ К1'!E22*СПРАВОЧНИК!$O$9+'ПЛАН ЧИСТ К1'!F22*СПРАВОЧНИК!$L$10+'ПЛАН ЧИСТ К1'!G22*СПРАВОЧНИК!$M$10+'ПЛАН ЧИСТ К1'!H22*СПРАВОЧНИК!$N$10+'ПЛАН ЧИСТ К1'!I22*СПРАВОЧНИК!$O$10+'ПЛАН ЧИСТ К1'!J22*СПРАВОЧНИК!$L$11+'ПЛАН ЧИСТ К1'!K22*СПРАВОЧНИК!$M$11+'ПЛАН ЧИСТ К1'!L22*СПРАВОЧНИК!$N$11+'ПЛАН ЧИСТ К1'!M22*СПРАВОЧНИК!$L$12+'ПЛАН ЧИСТ К1'!N22*СПРАВОЧНИК!$M$12+'ПЛАН ЧИСТ К1'!O22*СПРАВОЧНИК!$N$12+'ПЛАН ЧИСТ К1'!P22*СПРАВОЧНИК!$O$12+'ПЛАН ЧИСТ К1'!Q22*СПРАВОЧНИК!$L$13+'ПЛАН ЧИСТ К1'!R22*СПРАВОЧНИК!$M$13+'ПЛАН ЧИСТ К1'!S22*СПРАВОЧНИК!$N$13+'ПЛАН ЧИСТ К1'!T22*СПРАВОЧНИК!$O$13+'ПЛАН ЧИСТ К1'!U22*СПРАВОЧНИК!$L$14+'ПЛАН ЧИСТ К1'!V22*СПРАВОЧНИК!$M$14+'ПЛАН ЧИСТ К1'!W22*СПРАВОЧНИК!$N$14+'ПЛАН ЧИСТ К1'!X22*СПРАВОЧНИК!$L$15+'ПЛАН ЧИСТ К1'!Y22*СПРАВОЧНИК!$M$15+'ПЛАН ЧИСТ К1'!Z22*СПРАВОЧНИК!$N$15</f>
        <v/>
      </c>
      <c r="AI31" s="40">
        <f>('ФАКТ ЧИСТ К1'!B22)*СПРАВОЧНИК!$L$9+('ФАКТ ЧИСТ К1'!C22)*СПРАВОЧНИК!$M$9+('ФАКТ ЧИСТ К1'!D22)*СПРАВОЧНИК!$N$9+('ФАКТ ЧИСТ К1'!E22)*СПРАВОЧНИК!$O$9+('ФАКТ ЧИСТ К1'!F22)*СПРАВОЧНИК!$L$10+('ФАКТ ЧИСТ К1'!G22)*СПРАВОЧНИК!$M$10+('ФАКТ ЧИСТ К1'!H22)*СПРАВОЧНИК!$N$10+('ФАКТ ЧИСТ К1'!I22)*СПРАВОЧНИК!$O$10+('ФАКТ ЧИСТ К1'!J22)*СПРАВОЧНИК!$L$11+('ФАКТ ЧИСТ К1'!K22)*СПРАВОЧНИК!$M$11+('ФАКТ ЧИСТ К1'!L22)*СПРАВОЧНИК!$N$11+('ФАКТ ЧИСТ К1'!M22)*СПРАВОЧНИК!$L$12+('ФАКТ ЧИСТ К1'!N22)*СПРАВОЧНИК!$M$12+('ФАКТ ЧИСТ К1'!O22)*СПРАВОЧНИК!$N$12+('ФАКТ ЧИСТ К1'!P22)*СПРАВОЧНИК!$O$12+('ФАКТ ЧИСТ К1'!Q22)*СПРАВОЧНИК!$L$13+('ФАКТ ЧИСТ К1'!R22)*СПРАВОЧНИК!$M$13+('ФАКТ ЧИСТ К1'!S22)*СПРАВОЧНИК!$N$13+('ФАКТ ЧИСТ К1'!T22)*СПРАВОЧНИК!$O$13+('ФАКТ ЧИСТ К1'!U22)*СПРАВОЧНИК!$L$14+('ФАКТ ЧИСТ К1'!V22)*СПРАВОЧНИК!$M$14+('ФАКТ ЧИСТ К1'!W22)*СПРАВОЧНИК!$N$14+('ФАКТ ЧИСТ К1'!X22)*СПРАВОЧНИК!$L$15+('ФАКТ ЧИСТ К1'!Y22)*СПРАВОЧНИК!$M$15+('ФАКТ ЧИСТ К1'!Z22)*СПРАВОЧНИК!$N$15</f>
        <v/>
      </c>
      <c r="AM31" s="18">
        <f>AM30+7</f>
        <v/>
      </c>
      <c r="AN31" s="37">
        <f>СПРАВОЧНИК!$E$9*('ПЛАН ЧЕРН К2'!B22*СПРАВОЧНИК!$H$9+'ПЛАН ЧЕРН К2'!C22*СПРАВОЧНИК!$I$9+'ПЛАН ЧЕРН К2'!D22*СПРАВОЧНИК!$J$9)+СПРАВОЧНИК!$E$10*('ПЛАН ЧЕРН К2'!E22*СПРАВОЧНИК!$H$10+'ПЛАН ЧЕРН К2'!F22*СПРАВОЧНИК!$I$10+'ПЛАН ЧЕРН К2'!G22*СПРАВОЧНИК!$J$10)+СПРАВОЧНИК!$E$11*('ПЛАН ЧЕРН К2'!H22*СПРАВОЧНИК!$H$11+'ПЛАН ЧЕРН К2'!I22*СПРАВОЧНИК!$I$11+'ПЛАН ЧЕРН К2'!J22*СПРАВОЧНИК!$J$11)+СПРАВОЧНИК!$E$12*('ПЛАН ЧЕРН К2'!K22*СПРАВОЧНИК!$H$12+'ПЛАН ЧЕРН К2'!L22*СПРАВОЧНИК!$I$12+'ПЛАН ЧЕРН К2'!M22*СПРАВОЧНИК!$J$12)+СПРАВОЧНИК!$E$13*('ПЛАН ЧЕРН К2'!N22*СПРАВОЧНИК!$H$13+'ПЛАН ЧЕРН К2'!O22*СПРАВОЧНИК!$I$13+'ПЛАН ЧЕРН К2'!P22*СПРАВОЧНИК!$J$13)+СПРАВОЧНИК!$E$14*('ПЛАН ЧЕРН К2'!Q22*СПРАВОЧНИК!$H$14+'ПЛАН ЧЕРН К2'!R22*СПРАВОЧНИК!$I$14+'ПЛАН ЧЕРН К2'!S22*СПРАВОЧНИК!$J$14)+СПРАВОЧНИК!$E$15*('ПЛАН ЧЕРН К2'!T22*СПРАВОЧНИК!$H$15+'ПЛАН ЧЕРН К2'!U22*СПРАВОЧНИК!$I$15+'ПЛАН ЧЕРН К2'!V22*СПРАВОЧНИК!$J$15)+СПРАВОЧНИК!$F$9*('ПЛАН ЧИСТ К2'!B22*СПРАВОЧНИК!$L$9+'ПЛАН ЧИСТ К2'!C22*СПРАВОЧНИК!$M$9+'ПЛАН ЧИСТ К2'!D22*СПРАВОЧНИК!$N$9+'ПЛАН ЧИСТ К2'!E22*СПРАВОЧНИК!$O$9)+СПРАВОЧНИК!$F$10*('ПЛАН ЧИСТ К2'!F22*СПРАВОЧНИК!$L$10+'ПЛАН ЧИСТ К2'!G22*СПРАВОЧНИК!$M$10+'ПЛАН ЧИСТ К2'!H22*СПРАВОЧНИК!$N$10+'ПЛАН ЧИСТ К2'!I22*СПРАВОЧНИК!$O$10)+СПРАВОЧНИК!$F$11*('ПЛАН ЧИСТ К2'!J22*СПРАВОЧНИК!$L$11+'ПЛАН ЧИСТ К2'!K22*СПРАВОЧНИК!$M$11+'ПЛАН ЧИСТ К2'!L22*СПРАВОЧНИК!$N$11)+СПРАВОЧНИК!$F$12*('ПЛАН ЧИСТ К2'!M22*СПРАВОЧНИК!$L$12+'ПЛАН ЧИСТ К2'!N22*СПРАВОЧНИК!$M$12+'ПЛАН ЧИСТ К2'!O22*СПРАВОЧНИК!$N$12+'ПЛАН ЧИСТ К2'!P22*СПРАВОЧНИК!$O$12)+СПРАВОЧНИК!$F$13*('ПЛАН ЧИСТ К2'!Q22*СПРАВОЧНИК!$L$13+'ПЛАН ЧИСТ К2'!R22*СПРАВОЧНИК!$M$13+'ПЛАН ЧИСТ К2'!S22*СПРАВОЧНИК!$N$13+'ПЛАН ЧИСТ К2'!T22*СПРАВОЧНИК!$O$13)+СПРАВОЧНИК!$F$14*('ПЛАН ЧИСТ К2'!U22*СПРАВОЧНИК!$L$14+'ПЛАН ЧИСТ К2'!V22*СПРАВОЧНИК!$M$14+'ПЛАН ЧИСТ К2'!W22*СПРАВОЧНИК!$N$14)+СПРАВОЧНИК!$F$15*('ПЛАН ЧИСТ К2'!X22*СПРАВОЧНИК!$L$15+'ПЛАН ЧИСТ К2'!Y22*СПРАВОЧНИК!$M$15+'ПЛАН ЧИСТ К2'!Z22*СПРАВОЧНИК!$N$15)</f>
        <v/>
      </c>
      <c r="AO31" s="40">
        <f>СПРАВОЧНИК!$E$9*(('ФАКТ ЧЕРН К2'!B22)*СПРАВОЧНИК!$H$9+('ФАКТ ЧЕРН К2'!C22)*СПРАВОЧНИК!$I$9+('ФАКТ ЧЕРН К2'!D22)*СПРАВОЧНИК!$J$9)+СПРАВОЧНИК!$E$10*(('ФАКТ ЧЕРН К2'!E22)*СПРАВОЧНИК!$H$10+('ФАКТ ЧЕРН К2'!F22)*СПРАВОЧНИК!$I$10+('ФАКТ ЧЕРН К2'!G22)*СПРАВОЧНИК!$J$10)+СПРАВОЧНИК!$E$11*(('ФАКТ ЧЕРН К2'!H22)*СПРАВОЧНИК!$H$11+('ФАКТ ЧЕРН К2'!I22)*СПРАВОЧНИК!$I$11+('ФАКТ ЧЕРН К2'!J22)*СПРАВОЧНИК!$J$11)+СПРАВОЧНИК!$E$12*(('ФАКТ ЧЕРН К2'!K22)*СПРАВОЧНИК!$H$12+('ФАКТ ЧЕРН К2'!L22)*СПРАВОЧНИК!$I$12+('ФАКТ ЧЕРН К2'!M22)*СПРАВОЧНИК!$J$12)+СПРАВОЧНИК!$E$13*(('ФАКТ ЧЕРН К2'!N22)*СПРАВОЧНИК!$H$13+('ФАКТ ЧЕРН К2'!O22)*СПРАВОЧНИК!$I$13+('ФАКТ ЧЕРН К2'!P22)*СПРАВОЧНИК!$J$13)+СПРАВОЧНИК!$E$14*(('ФАКТ ЧЕРН К2'!Q22)*СПРАВОЧНИК!$H$14+('ФАКТ ЧЕРН К2'!R22)*СПРАВОЧНИК!$I$14+('ФАКТ ЧЕРН К2'!S22)*СПРАВОЧНИК!$J$14)+СПРАВОЧНИК!$E$15*(('ФАКТ ЧЕРН К2'!T22)*СПРАВОЧНИК!$H$15+('ФАКТ ЧЕРН К2'!U22)*СПРАВОЧНИК!$I$15+('ФАКТ ЧЕРН К2'!V22)*СПРАВОЧНИК!$J$15)+СПРАВОЧНИК!$F$9*(('ФАКТ ЧИСТ К2'!B22)*СПРАВОЧНИК!$L$9+('ФАКТ ЧИСТ К2'!C22)*СПРАВОЧНИК!$M$9+('ФАКТ ЧИСТ К2'!D22)*СПРАВОЧНИК!$N$9+('ФАКТ ЧИСТ К2'!E22)*СПРАВОЧНИК!$O$9)+СПРАВОЧНИК!$F$10*(('ФАКТ ЧИСТ К2'!F22)*СПРАВОЧНИК!$L$10+('ФАКТ ЧИСТ К2'!G22)*СПРАВОЧНИК!$M$10+('ФАКТ ЧИСТ К2'!H22)*СПРАВОЧНИК!$N$10+('ФАКТ ЧИСТ К2'!I22)*СПРАВОЧНИК!$O$10)+СПРАВОЧНИК!$F$11*(('ФАКТ ЧИСТ К2'!J22)*СПРАВОЧНИК!$L$11+('ФАКТ ЧИСТ К2'!K22)*СПРАВОЧНИК!$M$11+('ФАКТ ЧИСТ К2'!L22)*СПРАВОЧНИК!$N$11)+СПРАВОЧНИК!$F$12*(('ФАКТ ЧИСТ К2'!M22)*СПРАВОЧНИК!$L$12+('ФАКТ ЧИСТ К2'!N22)*СПРАВОЧНИК!$M$12+('ФАКТ ЧИСТ К2'!O22)*СПРАВОЧНИК!$N$12+('ФАКТ ЧИСТ К2'!P22)*СПРАВОЧНИК!$O$12)+СПРАВОЧНИК!$F$13*(('ФАКТ ЧИСТ К2'!Q22)*СПРАВОЧНИК!$L$13+('ФАКТ ЧИСТ К2'!R22)*СПРАВОЧНИК!$M$13+('ФАКТ ЧИСТ К2'!S22)*СПРАВОЧНИК!$N$13+('ФАКТ ЧИСТ К2'!T22)*СПРАВОЧНИК!$O$13)+СПРАВОЧНИК!$F$14*(('ФАКТ ЧИСТ К2'!U22)*СПРАВОЧНИК!$L$14+('ФАКТ ЧИСТ К2'!V22)*СПРАВОЧНИК!$M$14+('ФАКТ ЧИСТ К2'!W22)*СПРАВОЧНИК!$N$14)+СПРАВОЧНИК!$F$15*(('ФАКТ ЧИСТ К2'!X22)*СПРАВОЧНИК!$L$15+('ФАКТ ЧИСТ К2'!Y22)*СПРАВОЧНИК!$M$15+('ФАКТ ЧИСТ К2'!Z22)*СПРАВОЧНИК!$N$15)</f>
        <v/>
      </c>
      <c r="AS31" s="18">
        <f>AS30+7</f>
        <v/>
      </c>
      <c r="AT31" s="37">
        <f>'ПЛАН ЧЕРН К2'!B22*СПРАВОЧНИК!$H$9+'ПЛАН ЧЕРН К2'!C22*СПРАВОЧНИК!$I$9+'ПЛАН ЧЕРН К2'!D22*СПРАВОЧНИК!$J$9+'ПЛАН ЧЕРН К2'!E22*СПРАВОЧНИК!$H$10+'ПЛАН ЧЕРН К2'!F22*СПРАВОЧНИК!$I$10+'ПЛАН ЧЕРН К2'!G22*СПРАВОЧНИК!$J$10+'ПЛАН ЧЕРН К2'!H22*СПРАВОЧНИК!$H$11+'ПЛАН ЧЕРН К2'!I22*СПРАВОЧНИК!$I$11+'ПЛАН ЧЕРН К2'!J22*СПРАВОЧНИК!$J$11+'ПЛАН ЧЕРН К2'!K22*СПРАВОЧНИК!$H$12+'ПЛАН ЧЕРН К2'!L22*СПРАВОЧНИК!$I$12+'ПЛАН ЧЕРН К2'!M22*СПРАВОЧНИК!$J$12+'ПЛАН ЧЕРН К2'!N22*СПРАВОЧНИК!$H$13+'ПЛАН ЧЕРН К2'!O22*СПРАВОЧНИК!$I$13+'ПЛАН ЧЕРН К2'!P22*СПРАВОЧНИК!$J$13+'ПЛАН ЧЕРН К2'!Q22*СПРАВОЧНИК!$H$14+'ПЛАН ЧЕРН К2'!R22*СПРАВОЧНИК!$I$14+'ПЛАН ЧЕРН К2'!S22*СПРАВОЧНИК!$J$14+'ПЛАН ЧЕРН К2'!T22*СПРАВОЧНИК!$H$15+'ПЛАН ЧЕРН К2'!U22*СПРАВОЧНИК!$I$15+'ПЛАН ЧЕРН К2'!V22*СПРАВОЧНИК!$J$15</f>
        <v/>
      </c>
      <c r="AU31" s="40">
        <f>('ФАКТ ЧЕРН К2'!B22)*СПРАВОЧНИК!$H$9+('ФАКТ ЧЕРН К2'!C22)*СПРАВОЧНИК!$I$9+('ФАКТ ЧЕРН К2'!D22)*СПРАВОЧНИК!$J$9+('ФАКТ ЧЕРН К2'!E22)*СПРАВОЧНИК!$H$10+('ФАКТ ЧЕРН К2'!F22)*СПРАВОЧНИК!$I$10+('ФАКТ ЧЕРН К2'!G22)*СПРАВОЧНИК!$J$10+('ФАКТ ЧЕРН К2'!H22)*СПРАВОЧНИК!$H$11+('ФАКТ ЧЕРН К2'!I22)*СПРАВОЧНИК!$I$11+('ФАКТ ЧЕРН К2'!J22)*СПРАВОЧНИК!$J$11+('ФАКТ ЧЕРН К2'!K22)*СПРАВОЧНИК!$H$12+('ФАКТ ЧЕРН К2'!L22)*СПРАВОЧНИК!$I$12+('ФАКТ ЧЕРН К2'!M22)*СПРАВОЧНИК!$J$12+('ФАКТ ЧЕРН К2'!N22)*СПРАВОЧНИК!$H$13+('ФАКТ ЧЕРН К2'!O22)*СПРАВОЧНИК!$I$13+('ФАКТ ЧЕРН К2'!P22)*СПРАВОЧНИК!$J$13+('ФАКТ ЧЕРН К2'!Q22)*СПРАВОЧНИК!$H$14+('ФАКТ ЧЕРН К2'!R22)*СПРАВОЧНИК!$I$14+('ФАКТ ЧЕРН К2'!S22)*СПРАВОЧНИК!$J$14+('ФАКТ ЧЕРН К2'!T22)*СПРАВОЧНИК!$H$15+('ФАКТ ЧЕРН К2'!U22)*СПРАВОЧНИК!$I$15+('ФАКТ ЧЕРН К2'!V22)*СПРАВОЧНИК!$J$15</f>
        <v/>
      </c>
      <c r="AY31" s="18">
        <f>AY30+7</f>
        <v/>
      </c>
      <c r="AZ31" s="37">
        <f>'ПЛАН ЧИСТ К2'!B22*СПРАВОЧНИК!$L$9+'ПЛАН ЧИСТ К2'!C22*СПРАВОЧНИК!$M$9+'ПЛАН ЧИСТ К2'!D22*СПРАВОЧНИК!$N$9+'ПЛАН ЧИСТ К2'!E22*СПРАВОЧНИК!$O$9+'ПЛАН ЧИСТ К2'!F22*СПРАВОЧНИК!$L$10+'ПЛАН ЧИСТ К2'!G22*СПРАВОЧНИК!$M$10+'ПЛАН ЧИСТ К2'!H22*СПРАВОЧНИК!$N$10+'ПЛАН ЧИСТ К2'!I22*СПРАВОЧНИК!$O$10+'ПЛАН ЧИСТ К2'!J22*СПРАВОЧНИК!$L$11+'ПЛАН ЧИСТ К2'!K22*СПРАВОЧНИК!$M$11+'ПЛАН ЧИСТ К2'!L22*СПРАВОЧНИК!$N$11+'ПЛАН ЧИСТ К2'!M22*СПРАВОЧНИК!$L$12+'ПЛАН ЧИСТ К2'!N22*СПРАВОЧНИК!$M$12+'ПЛАН ЧИСТ К2'!O22*СПРАВОЧНИК!$N$12+'ПЛАН ЧИСТ К2'!P22*СПРАВОЧНИК!$O$12+'ПЛАН ЧИСТ К2'!Q22*СПРАВОЧНИК!$L$13+'ПЛАН ЧИСТ К2'!R22*СПРАВОЧНИК!$M$13+'ПЛАН ЧИСТ К2'!S22*СПРАВОЧНИК!$N$13+'ПЛАН ЧИСТ К2'!T22*СПРАВОЧНИК!$O$13+'ПЛАН ЧИСТ К2'!U22*СПРАВОЧНИК!$L$14+'ПЛАН ЧИСТ К2'!V22*СПРАВОЧНИК!$M$14+'ПЛАН ЧИСТ К2'!W22*СПРАВОЧНИК!$N$14+'ПЛАН ЧИСТ К2'!X22*СПРАВОЧНИК!$L$15+'ПЛАН ЧИСТ К2'!Y22*СПРАВОЧНИК!$M$15+'ПЛАН ЧИСТ К2'!Z22*СПРАВОЧНИК!$N$15</f>
        <v/>
      </c>
      <c r="BA31" s="40">
        <f>('ФАКТ ЧИСТ К2'!B22)*СПРАВОЧНИК!$L$9+('ФАКТ ЧИСТ К2'!C22)*СПРАВОЧНИК!$M$9+('ФАКТ ЧИСТ К2'!D22)*СПРАВОЧНИК!$N$9+('ФАКТ ЧИСТ К2'!E22)*СПРАВОЧНИК!$O$9+('ФАКТ ЧИСТ К2'!F22)*СПРАВОЧНИК!$L$10+('ФАКТ ЧИСТ К2'!G22)*СПРАВОЧНИК!$M$10+('ФАКТ ЧИСТ К2'!H22)*СПРАВОЧНИК!$N$10+('ФАКТ ЧИСТ К2'!I22)*СПРАВОЧНИК!$O$10+('ФАКТ ЧИСТ К2'!J22)*СПРАВОЧНИК!$L$11+('ФАКТ ЧИСТ К2'!K22)*СПРАВОЧНИК!$M$11+('ФАКТ ЧИСТ К2'!L22)*СПРАВОЧНИК!$N$11+('ФАКТ ЧИСТ К2'!M22)*СПРАВОЧНИК!$L$12+('ФАКТ ЧИСТ К2'!N22)*СПРАВОЧНИК!$M$12+('ФАКТ ЧИСТ К2'!O22)*СПРАВОЧНИК!$N$12+('ФАКТ ЧИСТ К2'!P22)*СПРАВОЧНИК!$O$12+('ФАКТ ЧИСТ К2'!Q22)*СПРАВОЧНИК!$L$13+('ФАКТ ЧИСТ К2'!R22)*СПРАВОЧНИК!$M$13+('ФАКТ ЧИСТ К2'!S22)*СПРАВОЧНИК!$N$13+('ФАКТ ЧИСТ К2'!T22)*СПРАВОЧНИК!$O$13+('ФАКТ ЧИСТ К2'!U22)*СПРАВОЧНИК!$L$14+('ФАКТ ЧИСТ К2'!V22)*СПРАВОЧНИК!$M$14+('ФАКТ ЧИСТ К2'!W22)*СПРАВОЧНИК!$N$14+('ФАКТ ЧИСТ К2'!X22)*СПРАВОЧНИК!$L$15+('ФАКТ ЧИСТ К2'!Y22)*СПРАВОЧНИК!$M$15+('ФАКТ ЧИСТ К2'!Z22)*СПРАВОЧНИК!$N$15</f>
        <v/>
      </c>
      <c r="BE31" s="18">
        <f>BE30+7</f>
        <v/>
      </c>
      <c r="BF31" s="37">
        <f>СПРАВОЧНИК!$E$9*('ПЛАН ЧЕРН К3'!B22*СПРАВОЧНИК!$H$9+'ПЛАН ЧЕРН К3'!C22*СПРАВОЧНИК!$I$9+'ПЛАН ЧЕРН К3'!D22*СПРАВОЧНИК!$J$9)+СПРАВОЧНИК!$E$10*('ПЛАН ЧЕРН К3'!E22*СПРАВОЧНИК!$H$10+'ПЛАН ЧЕРН К3'!F22*СПРАВОЧНИК!$I$10+'ПЛАН ЧЕРН К3'!G22*СПРАВОЧНИК!$J$10)+СПРАВОЧНИК!$E$11*('ПЛАН ЧЕРН К3'!H22*СПРАВОЧНИК!$H$11+'ПЛАН ЧЕРН К3'!I22*СПРАВОЧНИК!$I$11+'ПЛАН ЧЕРН К3'!J22*СПРАВОЧНИК!$J$11)+СПРАВОЧНИК!$E$12*('ПЛАН ЧЕРН К3'!K22*СПРАВОЧНИК!$H$12+'ПЛАН ЧЕРН К3'!L22*СПРАВОЧНИК!$I$12+'ПЛАН ЧЕРН К3'!M22*СПРАВОЧНИК!$J$12)+СПРАВОЧНИК!$E$13*('ПЛАН ЧЕРН К3'!N22*СПРАВОЧНИК!$H$13+'ПЛАН ЧЕРН К3'!O22*СПРАВОЧНИК!$I$13+'ПЛАН ЧЕРН К3'!P22*СПРАВОЧНИК!$J$13)+СПРАВОЧНИК!$E$14*('ПЛАН ЧЕРН К3'!Q22*СПРАВОЧНИК!$H$14+'ПЛАН ЧЕРН К3'!R22*СПРАВОЧНИК!$I$14+'ПЛАН ЧЕРН К3'!S22*СПРАВОЧНИК!$J$14)+СПРАВОЧНИК!$E$15*('ПЛАН ЧЕРН К3'!T22*СПРАВОЧНИК!$H$15+'ПЛАН ЧЕРН К3'!U22*СПРАВОЧНИК!$I$15+'ПЛАН ЧЕРН К3'!V22*СПРАВОЧНИК!$J$15)+СПРАВОЧНИК!$F$9*('ПЛАН ЧИСТ К3'!B22*СПРАВОЧНИК!$L$9+'ПЛАН ЧИСТ К3'!C22*СПРАВОЧНИК!$M$9+'ПЛАН ЧИСТ К3'!D22*СПРАВОЧНИК!$N$9+'ПЛАН ЧИСТ К3'!E22*СПРАВОЧНИК!$O$9)+СПРАВОЧНИК!$F$10*('ПЛАН ЧИСТ К3'!F22*СПРАВОЧНИК!$L$10+'ПЛАН ЧИСТ К3'!G22*СПРАВОЧНИК!$M$10+'ПЛАН ЧИСТ К3'!H22*СПРАВОЧНИК!$N$10+'ПЛАН ЧИСТ К3'!I22*СПРАВОЧНИК!$O$10)+СПРАВОЧНИК!$F$11*('ПЛАН ЧИСТ К3'!J22*СПРАВОЧНИК!$L$11+'ПЛАН ЧИСТ К3'!K22*СПРАВОЧНИК!$M$11+'ПЛАН ЧИСТ К3'!L22*СПРАВОЧНИК!$N$11)+СПРАВОЧНИК!$F$12*('ПЛАН ЧИСТ К3'!M22*СПРАВОЧНИК!$L$12+'ПЛАН ЧИСТ К3'!N22*СПРАВОЧНИК!$M$12+'ПЛАН ЧИСТ К3'!O22*СПРАВОЧНИК!$N$12+'ПЛАН ЧИСТ К3'!P22*СПРАВОЧНИК!$O$12)+СПРАВОЧНИК!$F$13*('ПЛАН ЧИСТ К3'!Q22*СПРАВОЧНИК!$L$13+'ПЛАН ЧИСТ К3'!R22*СПРАВОЧНИК!$M$13+'ПЛАН ЧИСТ К3'!S22*СПРАВОЧНИК!$N$13+'ПЛАН ЧИСТ К3'!T22*СПРАВОЧНИК!$O$13)+СПРАВОЧНИК!$F$14*('ПЛАН ЧИСТ К3'!U22*СПРАВОЧНИК!$L$14+'ПЛАН ЧИСТ К3'!V22*СПРАВОЧНИК!$M$14+'ПЛАН ЧИСТ К3'!W22*СПРАВОЧНИК!$N$14)+СПРАВОЧНИК!$F$15*('ПЛАН ЧИСТ К3'!X22*СПРАВОЧНИК!$L$15+'ПЛАН ЧИСТ К3'!Y22*СПРАВОЧНИК!$M$15+'ПЛАН ЧИСТ К3'!Z22*СПРАВОЧНИК!$N$15)</f>
        <v/>
      </c>
      <c r="BG31" s="40">
        <f>СПРАВОЧНИК!$E$9*(('ФАКТ ЧЕРН К3'!B22)*СПРАВОЧНИК!$H$9+('ФАКТ ЧЕРН К3'!C22)*СПРАВОЧНИК!$I$9+('ФАКТ ЧЕРН К3'!D22)*СПРАВОЧНИК!$J$9)+СПРАВОЧНИК!$E$10*(('ФАКТ ЧЕРН К3'!E22)*СПРАВОЧНИК!$H$10+('ФАКТ ЧЕРН К3'!F22)*СПРАВОЧНИК!$I$10+('ФАКТ ЧЕРН К3'!G22)*СПРАВОЧНИК!$J$10)+СПРАВОЧНИК!$E$11*(('ФАКТ ЧЕРН К3'!H22)*СПРАВОЧНИК!$H$11+('ФАКТ ЧЕРН К3'!I22)*СПРАВОЧНИК!$I$11+('ФАКТ ЧЕРН К3'!J22)*СПРАВОЧНИК!$J$11)+СПРАВОЧНИК!$E$12*(('ФАКТ ЧЕРН К3'!K22)*СПРАВОЧНИК!$H$12+('ФАКТ ЧЕРН К3'!L22)*СПРАВОЧНИК!$I$12+('ФАКТ ЧЕРН К3'!M22)*СПРАВОЧНИК!$J$12)+СПРАВОЧНИК!$E$13*(('ФАКТ ЧЕРН К3'!N22)*СПРАВОЧНИК!$H$13+('ФАКТ ЧЕРН К3'!O22)*СПРАВОЧНИК!$I$13+('ФАКТ ЧЕРН К3'!P22)*СПРАВОЧНИК!$J$13)+СПРАВОЧНИК!$E$14*(('ФАКТ ЧЕРН К3'!Q22)*СПРАВОЧНИК!$H$14+('ФАКТ ЧЕРН К3'!R22)*СПРАВОЧНИК!$I$14+('ФАКТ ЧЕРН К3'!S22)*СПРАВОЧНИК!$J$14)+СПРАВОЧНИК!$E$15*(('ФАКТ ЧЕРН К3'!T22)*СПРАВОЧНИК!$H$15+('ФАКТ ЧЕРН К3'!U22)*СПРАВОЧНИК!$I$15+('ФАКТ ЧЕРН К3'!V22)*СПРАВОЧНИК!$J$15)+СПРАВОЧНИК!$F$9*(('ФАКТ ЧИСТ К3'!B22)*СПРАВОЧНИК!$L$9+('ФАКТ ЧИСТ К3'!C22)*СПРАВОЧНИК!$M$9+('ФАКТ ЧИСТ К3'!D22)*СПРАВОЧНИК!$N$9+('ФАКТ ЧИСТ К3'!E22)*СПРАВОЧНИК!$O$9)+СПРАВОЧНИК!$F$10*(('ФАКТ ЧИСТ К3'!F22)*СПРАВОЧНИК!$L$10+('ФАКТ ЧИСТ К3'!G22)*СПРАВОЧНИК!$M$10+('ФАКТ ЧИСТ К3'!H22)*СПРАВОЧНИК!$N$10+('ФАКТ ЧИСТ К3'!I22)*СПРАВОЧНИК!$O$10)+СПРАВОЧНИК!$F$11*(('ФАКТ ЧИСТ К3'!J22)*СПРАВОЧНИК!$L$11+('ФАКТ ЧИСТ К3'!K22)*СПРАВОЧНИК!$M$11+('ФАКТ ЧИСТ К3'!L22)*СПРАВОЧНИК!$N$11)+СПРАВОЧНИК!$F$12*(('ФАКТ ЧИСТ К3'!M22)*СПРАВОЧНИК!$L$12+('ФАКТ ЧИСТ К3'!N22)*СПРАВОЧНИК!$M$12+('ФАКТ ЧИСТ К3'!O22)*СПРАВОЧНИК!$N$12+('ФАКТ ЧИСТ К3'!P22)*СПРАВОЧНИК!$O$12)+СПРАВОЧНИК!$F$13*(('ФАКТ ЧИСТ К3'!Q22)*СПРАВОЧНИК!$L$13+('ФАКТ ЧИСТ К3'!R22)*СПРАВОЧНИК!$M$13+('ФАКТ ЧИСТ К3'!S22)*СПРАВОЧНИК!$N$13+('ФАКТ ЧИСТ К3'!T22)*СПРАВОЧНИК!$O$13)+СПРАВОЧНИК!$F$14*(('ФАКТ ЧИСТ К3'!U22)*СПРАВОЧНИК!$L$14+('ФАКТ ЧИСТ К3'!V22)*СПРАВОЧНИК!$M$14+('ФАКТ ЧИСТ К3'!W22)*СПРАВОЧНИК!$N$14)+СПРАВОЧНИК!$F$15*(('ФАКТ ЧИСТ К3'!X22)*СПРАВОЧНИК!$L$15+('ФАКТ ЧИСТ К3'!Y22)*СПРАВОЧНИК!$M$15+('ФАКТ ЧИСТ К3'!Z22)*СПРАВОЧНИК!$N$15)</f>
        <v/>
      </c>
      <c r="BK31" s="18">
        <f>BK30+7</f>
        <v/>
      </c>
      <c r="BL31" s="37">
        <f>'ПЛАН ЧЕРН К3'!B22*СПРАВОЧНИК!$H$9+'ПЛАН ЧЕРН К3'!C22*СПРАВОЧНИК!$I$9+'ПЛАН ЧЕРН К3'!D22*СПРАВОЧНИК!$J$9+'ПЛАН ЧЕРН К3'!E22*СПРАВОЧНИК!$H$10+'ПЛАН ЧЕРН К3'!F22*СПРАВОЧНИК!$I$10+'ПЛАН ЧЕРН К3'!G22*СПРАВОЧНИК!$J$10+'ПЛАН ЧЕРН К3'!H22*СПРАВОЧНИК!$H$11+'ПЛАН ЧЕРН К3'!I22*СПРАВОЧНИК!$I$11+'ПЛАН ЧЕРН К3'!J22*СПРАВОЧНИК!$J$11+'ПЛАН ЧЕРН К3'!K22*СПРАВОЧНИК!$H$12+'ПЛАН ЧЕРН К3'!L22*СПРАВОЧНИК!$I$12+'ПЛАН ЧЕРН К3'!M22*СПРАВОЧНИК!$J$12+'ПЛАН ЧЕРН К3'!N22*СПРАВОЧНИК!$H$13+'ПЛАН ЧЕРН К3'!O22*СПРАВОЧНИК!$I$13+'ПЛАН ЧЕРН К3'!P22*СПРАВОЧНИК!$J$13+'ПЛАН ЧЕРН К3'!Q22*СПРАВОЧНИК!$H$14+'ПЛАН ЧЕРН К3'!R22*СПРАВОЧНИК!$I$14+'ПЛАН ЧЕРН К3'!S22*СПРАВОЧНИК!$J$14+'ПЛАН ЧЕРН К3'!T22*СПРАВОЧНИК!$H$15+'ПЛАН ЧЕРН К3'!U22*СПРАВОЧНИК!$I$15+'ПЛАН ЧЕРН К3'!V22*СПРАВОЧНИК!$J$15</f>
        <v/>
      </c>
      <c r="BM31" s="40">
        <f>('ФАКТ ЧЕРН К3'!B22)*СПРАВОЧНИК!$H$9+('ФАКТ ЧЕРН К3'!C22)*СПРАВОЧНИК!$I$9+('ФАКТ ЧЕРН К3'!D22)*СПРАВОЧНИК!$J$9+('ФАКТ ЧЕРН К3'!E22)*СПРАВОЧНИК!$H$10+('ФАКТ ЧЕРН К3'!F22)*СПРАВОЧНИК!$I$10+('ФАКТ ЧЕРН К3'!G22)*СПРАВОЧНИК!$J$10+('ФАКТ ЧЕРН К3'!H22)*СПРАВОЧНИК!$H$11+('ФАКТ ЧЕРН К3'!I22)*СПРАВОЧНИК!$I$11+('ФАКТ ЧЕРН К3'!J22)*СПРАВОЧНИК!$J$11+('ФАКТ ЧЕРН К3'!K22)*СПРАВОЧНИК!$H$12+('ФАКТ ЧЕРН К3'!L22)*СПРАВОЧНИК!$I$12+('ФАКТ ЧЕРН К3'!M22)*СПРАВОЧНИК!$J$12+('ФАКТ ЧЕРН К3'!N22)*СПРАВОЧНИК!$H$13+('ФАКТ ЧЕРН К3'!O22)*СПРАВОЧНИК!$I$13+('ФАКТ ЧЕРН К3'!P22)*СПРАВОЧНИК!$J$13+('ФАКТ ЧЕРН К3'!Q22)*СПРАВОЧНИК!$H$14+('ФАКТ ЧЕРН К3'!R22)*СПРАВОЧНИК!$I$14+('ФАКТ ЧЕРН К3'!S22)*СПРАВОЧНИК!$J$14+('ФАКТ ЧЕРН К3'!T22)*СПРАВОЧНИК!$H$15+('ФАКТ ЧЕРН К3'!U22)*СПРАВОЧНИК!$I$15+('ФАКТ ЧЕРН К3'!V22)*СПРАВОЧНИК!$J$15</f>
        <v/>
      </c>
      <c r="BQ31" s="18">
        <f>BQ30+7</f>
        <v/>
      </c>
      <c r="BR31" s="37">
        <f>'ПЛАН ЧИСТ К3'!B22*СПРАВОЧНИК!$L$9+'ПЛАН ЧИСТ К3'!C22*СПРАВОЧНИК!$M$9+'ПЛАН ЧИСТ К3'!D22*СПРАВОЧНИК!$N$9+'ПЛАН ЧИСТ К3'!E22*СПРАВОЧНИК!$O$9+'ПЛАН ЧИСТ К3'!F22*СПРАВОЧНИК!$L$10+'ПЛАН ЧИСТ К3'!G22*СПРАВОЧНИК!$M$10+'ПЛАН ЧИСТ К3'!H22*СПРАВОЧНИК!$N$10+'ПЛАН ЧИСТ К3'!I22*СПРАВОЧНИК!$O$10+'ПЛАН ЧИСТ К3'!J22*СПРАВОЧНИК!$L$11+'ПЛАН ЧИСТ К3'!K22*СПРАВОЧНИК!$M$11+'ПЛАН ЧИСТ К3'!L22*СПРАВОЧНИК!$N$11+'ПЛАН ЧИСТ К3'!M22*СПРАВОЧНИК!$L$12+'ПЛАН ЧИСТ К3'!N22*СПРАВОЧНИК!$M$12+'ПЛАН ЧИСТ К3'!O22*СПРАВОЧНИК!$N$12+'ПЛАН ЧИСТ К3'!P22*СПРАВОЧНИК!$O$12+'ПЛАН ЧИСТ К3'!Q22*СПРАВОЧНИК!$L$13+'ПЛАН ЧИСТ К3'!R22*СПРАВОЧНИК!$M$13+'ПЛАН ЧИСТ К3'!S22*СПРАВОЧНИК!$N$13+'ПЛАН ЧИСТ К3'!T22*СПРАВОЧНИК!$O$13+'ПЛАН ЧИСТ К3'!U22*СПРАВОЧНИК!$L$14+'ПЛАН ЧИСТ К3'!V22*СПРАВОЧНИК!$M$14+'ПЛАН ЧИСТ К3'!W22*СПРАВОЧНИК!$N$14+'ПЛАН ЧИСТ К3'!X22*СПРАВОЧНИК!$L$15+'ПЛАН ЧИСТ К3'!Y22*СПРАВОЧНИК!$M$15+'ПЛАН ЧИСТ К3'!Z22*СПРАВОЧНИК!$N$15</f>
        <v/>
      </c>
      <c r="BS31" s="40">
        <f>('ФАКТ ЧИСТ К3'!B22)*СПРАВОЧНИК!$L$9+('ФАКТ ЧИСТ К3'!C22)*СПРАВОЧНИК!$M$9+('ФАКТ ЧИСТ К3'!D22)*СПРАВОЧНИК!$N$9+('ФАКТ ЧИСТ К3'!E22)*СПРАВОЧНИК!$O$9+('ФАКТ ЧИСТ К3'!F22)*СПРАВОЧНИК!$L$10+('ФАКТ ЧИСТ К3'!G22)*СПРАВОЧНИК!$M$10+('ФАКТ ЧИСТ К3'!H22)*СПРАВОЧНИК!$N$10+('ФАКТ ЧИСТ К3'!I22)*СПРАВОЧНИК!$O$10+('ФАКТ ЧИСТ К3'!J22)*СПРАВОЧНИК!$L$11+('ФАКТ ЧИСТ К3'!K22)*СПРАВОЧНИК!$M$11+('ФАКТ ЧИСТ К3'!L22)*СПРАВОЧНИК!$N$11+('ФАКТ ЧИСТ К3'!M22)*СПРАВОЧНИК!$L$12+('ФАКТ ЧИСТ К3'!N22)*СПРАВОЧНИК!$M$12+('ФАКТ ЧИСТ К3'!O22)*СПРАВОЧНИК!$N$12+('ФАКТ ЧИСТ К3'!P22)*СПРАВОЧНИК!$O$12+('ФАКТ ЧИСТ К3'!Q22)*СПРАВОЧНИК!$L$13+('ФАКТ ЧИСТ К3'!R22)*СПРАВОЧНИК!$M$13+('ФАКТ ЧИСТ К3'!S22)*СПРАВОЧНИК!$N$13+('ФАКТ ЧИСТ К3'!T22)*СПРАВОЧНИК!$O$13+('ФАКТ ЧИСТ К3'!U22)*СПРАВОЧНИК!$L$14+('ФАКТ ЧИСТ К3'!V22)*СПРАВОЧНИК!$M$14+('ФАКТ ЧИСТ К3'!W22)*СПРАВОЧНИК!$N$14+('ФАКТ ЧИСТ К3'!X22)*СПРАВОЧНИК!$L$15+('ФАКТ ЧИСТ К3'!Y22)*СПРАВОЧНИК!$M$15+('ФАКТ ЧИСТ К3'!Z22)*СПРАВОЧНИК!$N$15</f>
        <v/>
      </c>
      <c r="BW31" s="18">
        <f>BW30+7</f>
        <v/>
      </c>
      <c r="BX31" s="37">
        <f>V31+AN31+BF31</f>
        <v/>
      </c>
      <c r="BY31" s="40">
        <f>W31+AO31+BG31</f>
        <v/>
      </c>
      <c r="CC31" s="18">
        <f>CC30+7</f>
        <v/>
      </c>
      <c r="CD31" s="37">
        <f>AB31+AT31+BL31</f>
        <v/>
      </c>
      <c r="CE31" s="40">
        <f>AC31+AU31+BM31</f>
        <v/>
      </c>
      <c r="CI31" s="18">
        <f>CI30+7</f>
        <v/>
      </c>
      <c r="CJ31" s="37">
        <f>AH31+AZ31+BR31</f>
        <v/>
      </c>
      <c r="CK31" s="40">
        <f>AI31+BA31+BS31</f>
        <v/>
      </c>
      <c r="CO31" s="18">
        <f>CO30+7</f>
        <v/>
      </c>
      <c r="CP31" s="37">
        <f>D31+BX31</f>
        <v/>
      </c>
      <c r="CQ31" s="40">
        <f>E31+BY31</f>
        <v/>
      </c>
      <c r="CU31" s="18">
        <f>CU30+7</f>
        <v/>
      </c>
      <c r="CV31" s="37">
        <f>J31+CD31</f>
        <v/>
      </c>
      <c r="CW31" s="40">
        <f>K31+CE31</f>
        <v/>
      </c>
      <c r="DA31" s="18">
        <f>DA30+7</f>
        <v/>
      </c>
      <c r="DB31" s="37">
        <f>P31+CJ31</f>
        <v/>
      </c>
      <c r="DC31" s="40">
        <f>Q31+CK31</f>
        <v/>
      </c>
    </row>
    <row r="32">
      <c r="C32" s="18">
        <f>C31+7</f>
        <v/>
      </c>
      <c r="D32" s="37">
        <f>СПРАВОЧНИК!$E$3*('ПЛАН ЧЕРН ПОДЗЕМ'!B23*СПРАВОЧНИК!$H$3+'ПЛАН ЧЕРН ПОДЗЕМ'!C23*СПРАВОЧНИК!$I$3+'ПЛАН ЧЕРН ПОДЗЕМ'!D23*СПРАВОЧНИК!$J$3)+СПРАВОЧНИК!$E$4*('ПЛАН ЧЕРН ПОДЗЕМ'!E23*СПРАВОЧНИК!$H$4+'ПЛАН ЧЕРН ПОДЗЕМ'!F23*СПРАВОЧНИК!$I$4+'ПЛАН ЧЕРН ПОДЗЕМ'!G23*СПРАВОЧНИК!$J$4)+СПРАВОЧНИК!$E$5*('ПЛАН ЧЕРН ПОДЗЕМ'!H23*СПРАВОЧНИК!$H$5+'ПЛАН ЧЕРН ПОДЗЕМ'!I23*СПРАВОЧНИК!$I$5+'ПЛАН ЧЕРН ПОДЗЕМ'!J23*СПРАВОЧНИК!$J$5)+СПРАВОЧНИК!$E$6*('ПЛАН ЧЕРН ПОДЗЕМ'!K23*СПРАВОЧНИК!$H$6+'ПЛАН ЧЕРН ПОДЗЕМ'!L23*СПРАВОЧНИК!$I$6+'ПЛАН ЧЕРН ПОДЗЕМ'!M23*СПРАВОЧНИК!$J$6)+СПРАВОЧНИК!$E$7*('ПЛАН ЧЕРН ПОДЗЕМ'!N23*СПРАВОЧНИК!$H$7+'ПЛАН ЧЕРН ПОДЗЕМ'!O23*СПРАВОЧНИК!$I$7+'ПЛАН ЧЕРН ПОДЗЕМ'!P23*СПРАВОЧНИК!$J$7)+СПРАВОЧНИК!$E$8*('ПЛАН ЧЕРН ПОДЗЕМ'!Q23*СПРАВОЧНИК!$H$8+'ПЛАН ЧЕРН ПОДЗЕМ'!R23*СПРАВОЧНИК!$I$8+'ПЛАН ЧЕРН ПОДЗЕМ'!S23*СПРАВОЧНИК!$J$8)+СПРАВОЧНИК!$F$3*('ПЛАН ЧИСТ ПОДЗЕМ'!B23*СПРАВОЧНИК!$L$3+'ПЛАН ЧИСТ ПОДЗЕМ'!C23*СПРАВОЧНИК!$M$3+'ПЛАН ЧИСТ ПОДЗЕМ'!D23*СПРАВОЧНИК!$N$3+'ПЛАН ЧИСТ ПОДЗЕМ'!E23*СПРАВОЧНИК!$O$3)+СПРАВОЧНИК!$F$4*('ПЛАН ЧИСТ ПОДЗЕМ'!F23*СПРАВОЧНИК!$L$4+'ПЛАН ЧИСТ ПОДЗЕМ'!G23*СПРАВОЧНИК!$M$4+'ПЛАН ЧИСТ ПОДЗЕМ'!H23*СПРАВОЧНИК!$N$4+'ПЛАН ЧИСТ ПОДЗЕМ'!I23*СПРАВОЧНИК!$O$4)+СПРАВОЧНИК!$F$5*('ПЛАН ЧИСТ ПОДЗЕМ'!J23*СПРАВОЧНИК!$L$5+'ПЛАН ЧИСТ ПОДЗЕМ'!K23*СПРАВОЧНИК!$M$5+'ПЛАН ЧИСТ ПОДЗЕМ'!L23*СПРАВОЧНИК!$N$5)+СПРАВОЧНИК!$F$6*('ПЛАН ЧИСТ ПОДЗЕМ'!M23*СПРАВОЧНИК!$L$6+'ПЛАН ЧИСТ ПОДЗЕМ'!N23*СПРАВОЧНИК!$M$6+'ПЛАН ЧИСТ ПОДЗЕМ'!O23*СПРАВОЧНИК!$N$6+'ПЛАН ЧИСТ ПОДЗЕМ'!P23*СПРАВОЧНИК!$O$6)+СПРАВОЧНИК!$F$7*('ПЛАН ЧИСТ ПОДЗЕМ'!Q23*СПРАВОЧНИК!$L$7+'ПЛАН ЧИСТ ПОДЗЕМ'!R23*СПРАВОЧНИК!$M$7+'ПЛАН ЧИСТ ПОДЗЕМ'!S23*СПРАВОЧНИК!$N$7+'ПЛАН ЧИСТ ПОДЗЕМ'!T23*СПРАВОЧНИК!$O$7)+СПРАВОЧНИК!$F$8*('ПЛАН ЧИСТ ПОДЗЕМ'!U23*СПРАВОЧНИК!$L$8+'ПЛАН ЧИСТ ПОДЗЕМ'!V23*СПРАВОЧНИК!$M$8+'ПЛАН ЧИСТ ПОДЗЕМ'!W23*СПРАВОЧНИК!$N$8)</f>
        <v/>
      </c>
      <c r="E32" s="40">
        <f>СПРАВОЧНИК!$E$3*(('ФАКТ ЧЕРН ПОДЗЕМ'!B23)*СПРАВОЧНИК!$H$3+('ФАКТ ЧЕРН ПОДЗЕМ'!C23)*СПРАВОЧНИК!$I$3+('ФАКТ ЧЕРН ПОДЗЕМ'!D23)*СПРАВОЧНИК!$J$3)+СПРАВОЧНИК!$E$4*(('ФАКТ ЧЕРН ПОДЗЕМ'!E23)*СПРАВОЧНИК!$H$4+('ФАКТ ЧЕРН ПОДЗЕМ'!F23)*СПРАВОЧНИК!$I$4+('ФАКТ ЧЕРН ПОДЗЕМ'!G23)*СПРАВОЧНИК!$J$4)+СПРАВОЧНИК!$E$5*(('ФАКТ ЧЕРН ПОДЗЕМ'!H23)*СПРАВОЧНИК!$H$5+('ФАКТ ЧЕРН ПОДЗЕМ'!I23)*СПРАВОЧНИК!$I$5+('ФАКТ ЧЕРН ПОДЗЕМ'!J23)*СПРАВОЧНИК!$J$5)+СПРАВОЧНИК!$E$6*(('ФАКТ ЧЕРН ПОДЗЕМ'!K23)*СПРАВОЧНИК!$H$6+('ФАКТ ЧЕРН ПОДЗЕМ'!L23)*СПРАВОЧНИК!$I$6+('ФАКТ ЧЕРН ПОДЗЕМ'!M23)*СПРАВОЧНИК!$J$6)+СПРАВОЧНИК!$E$7*(('ФАКТ ЧЕРН ПОДЗЕМ'!N23)*СПРАВОЧНИК!$H$7+('ФАКТ ЧЕРН ПОДЗЕМ'!O23)*СПРАВОЧНИК!$I$7+('ФАКТ ЧЕРН ПОДЗЕМ'!P23)*СПРАВОЧНИК!$J$7)+СПРАВОЧНИК!$E$8*(('ФАКТ ЧЕРН ПОДЗЕМ'!Q23)*СПРАВОЧНИК!$H$8+('ФАКТ ЧЕРН ПОДЗЕМ'!R23)*СПРАВОЧНИК!$I$8+('ФАКТ ЧЕРН ПОДЗЕМ'!S23)*СПРАВОЧНИК!$J$8)+СПРАВОЧНИК!$F$3*(('ФАКТ ЧИСТ ПОДЗЕМ'!B23)*СПРАВОЧНИК!$L$3+('ФАКТ ЧИСТ ПОДЗЕМ'!C23)*СПРАВОЧНИК!$M$3+('ФАКТ ЧИСТ ПОДЗЕМ'!D23)*СПРАВОЧНИК!$N$3+('ФАКТ ЧИСТ ПОДЗЕМ'!E23)*СПРАВОЧНИК!$O$3)+СПРАВОЧНИК!$F$4*(('ФАКТ ЧИСТ ПОДЗЕМ'!F23)*СПРАВОЧНИК!$L$4+('ФАКТ ЧИСТ ПОДЗЕМ'!G23)*СПРАВОЧНИК!$M$4+('ФАКТ ЧИСТ ПОДЗЕМ'!H23)*СПРАВОЧНИК!$N$4+('ФАКТ ЧИСТ ПОДЗЕМ'!I23)*СПРАВОЧНИК!$O$4)+СПРАВОЧНИК!$F$5*(('ФАКТ ЧИСТ ПОДЗЕМ'!J23)*СПРАВОЧНИК!$L$5+('ФАКТ ЧИСТ ПОДЗЕМ'!K23)*СПРАВОЧНИК!$M$5+('ФАКТ ЧИСТ ПОДЗЕМ'!L23)*СПРАВОЧНИК!$N$5)+СПРАВОЧНИК!$F$6*(('ФАКТ ЧИСТ ПОДЗЕМ'!M23)*СПРАВОЧНИК!$L$6+('ФАКТ ЧИСТ ПОДЗЕМ'!N23)*СПРАВОЧНИК!$M$6+('ФАКТ ЧИСТ ПОДЗЕМ'!O23)*СПРАВОЧНИК!$N$6+('ФАКТ ЧИСТ ПОДЗЕМ'!P23)*СПРАВОЧНИК!$O$6)+СПРАВОЧНИК!$F$7*(('ФАКТ ЧИСТ ПОДЗЕМ'!Q23)*СПРАВОЧНИК!$L$7+('ФАКТ ЧИСТ ПОДЗЕМ'!R23)*СПРАВОЧНИК!$M$7+('ФАКТ ЧИСТ ПОДЗЕМ'!S23)*СПРАВОЧНИК!$N$7+('ФАКТ ЧИСТ ПОДЗЕМ'!T23)*СПРАВОЧНИК!$O$7)+СПРАВОЧНИК!$F$8*(('ФАКТ ЧИСТ ПОДЗЕМ'!U23)*СПРАВОЧНИК!$L$8+('ФАКТ ЧИСТ ПОДЗЕМ'!V23)*СПРАВОЧНИК!$M$8+('ФАКТ ЧИСТ ПОДЗЕМ'!W23)*СПРАВОЧНИК!$N$8)</f>
        <v/>
      </c>
      <c r="I32" s="18">
        <f>I31+7</f>
        <v/>
      </c>
      <c r="J32" s="37">
        <f>'ПЛАН ЧЕРН ПОДЗЕМ'!B23*СПРАВОЧНИК!$H$3+'ПЛАН ЧЕРН ПОДЗЕМ'!C23*СПРАВОЧНИК!$I$3+'ПЛАН ЧЕРН ПОДЗЕМ'!D23*СПРАВОЧНИК!$J$3+'ПЛАН ЧЕРН ПОДЗЕМ'!E23*СПРАВОЧНИК!$H$4+'ПЛАН ЧЕРН ПОДЗЕМ'!F23*СПРАВОЧНИК!$I$4+'ПЛАН ЧЕРН ПОДЗЕМ'!G23*СПРАВОЧНИК!$J$4+'ПЛАН ЧЕРН ПОДЗЕМ'!H23*СПРАВОЧНИК!$H$5+'ПЛАН ЧЕРН ПОДЗЕМ'!I23*СПРАВОЧНИК!$I$5+'ПЛАН ЧЕРН ПОДЗЕМ'!J23*СПРАВОЧНИК!$J$5+'ПЛАН ЧЕРН ПОДЗЕМ'!K23*СПРАВОЧНИК!$H$6+'ПЛАН ЧЕРН ПОДЗЕМ'!L23*СПРАВОЧНИК!$I$6+'ПЛАН ЧЕРН ПОДЗЕМ'!M23*СПРАВОЧНИК!$J$6+'ПЛАН ЧЕРН ПОДЗЕМ'!N23*СПРАВОЧНИК!$H$7+'ПЛАН ЧЕРН ПОДЗЕМ'!O23*СПРАВОЧНИК!$I$7+'ПЛАН ЧЕРН ПОДЗЕМ'!P23*СПРАВОЧНИК!$J$7+'ПЛАН ЧЕРН ПОДЗЕМ'!Q23*СПРАВОЧНИК!$H$8+'ПЛАН ЧЕРН ПОДЗЕМ'!R23*СПРАВОЧНИК!$I$8+'ПЛАН ЧЕРН ПОДЗЕМ'!S23*СПРАВОЧНИК!$J$8</f>
        <v/>
      </c>
      <c r="K32" s="40">
        <f>('ФАКТ ЧЕРН ПОДЗЕМ'!B23)*СПРАВОЧНИК!$H$3+('ФАКТ ЧЕРН ПОДЗЕМ'!C23)*СПРАВОЧНИК!$I$3+('ФАКТ ЧЕРН ПОДЗЕМ'!D23)*СПРАВОЧНИК!$J$3+('ФАКТ ЧЕРН ПОДЗЕМ'!E23)*СПРАВОЧНИК!$H$4+('ФАКТ ЧЕРН ПОДЗЕМ'!F23)*СПРАВОЧНИК!$I$4+('ФАКТ ЧЕРН ПОДЗЕМ'!G23)*СПРАВОЧНИК!$J$4+('ФАКТ ЧЕРН ПОДЗЕМ'!H23)*СПРАВОЧНИК!$H$5+('ФАКТ ЧЕРН ПОДЗЕМ'!I23)*СПРАВОЧНИК!$I$5+('ФАКТ ЧЕРН ПОДЗЕМ'!J23)*СПРАВОЧНИК!$J$5+('ФАКТ ЧЕРН ПОДЗЕМ'!K23)*СПРАВОЧНИК!$H$6+('ФАКТ ЧЕРН ПОДЗЕМ'!L23)*СПРАВОЧНИК!$I$6+('ФАКТ ЧЕРН ПОДЗЕМ'!M23)*СПРАВОЧНИК!$J$6+('ФАКТ ЧЕРН ПОДЗЕМ'!N23)*СПРАВОЧНИК!$H$7+('ФАКТ ЧЕРН ПОДЗЕМ'!O23)*СПРАВОЧНИК!$I$7+('ФАКТ ЧЕРН ПОДЗЕМ'!P23)*СПРАВОЧНИК!$J$7+('ФАКТ ЧЕРН ПОДЗЕМ'!Q23)*СПРАВОЧНИК!$H$8+('ФАКТ ЧЕРН ПОДЗЕМ'!R23)*СПРАВОЧНИК!$I$8+('ФАКТ ЧЕРН ПОДЗЕМ'!S23)*СПРАВОЧНИК!$J$8</f>
        <v/>
      </c>
      <c r="O32" s="18">
        <f>O31+7</f>
        <v/>
      </c>
      <c r="P32" s="37">
        <f>'ПЛАН ЧИСТ ПОДЗЕМ'!B23*СПРАВОЧНИК!$L$3+'ПЛАН ЧИСТ ПОДЗЕМ'!C23*СПРАВОЧНИК!$M$3+'ПЛАН ЧИСТ ПОДЗЕМ'!D23*СПРАВОЧНИК!$N$3+'ПЛАН ЧИСТ ПОДЗЕМ'!E23*СПРАВОЧНИК!$O$3+'ПЛАН ЧИСТ ПОДЗЕМ'!F23*СПРАВОЧНИК!$L$4+'ПЛАН ЧИСТ ПОДЗЕМ'!G23*СПРАВОЧНИК!$M$4+'ПЛАН ЧИСТ ПОДЗЕМ'!H23*СПРАВОЧНИК!$N$4+'ПЛАН ЧИСТ ПОДЗЕМ'!I23*СПРАВОЧНИК!$O$4+'ПЛАН ЧИСТ ПОДЗЕМ'!J23*СПРАВОЧНИК!$L$5+'ПЛАН ЧИСТ ПОДЗЕМ'!K23*СПРАВОЧНИК!$M$5+'ПЛАН ЧИСТ ПОДЗЕМ'!L23*СПРАВОЧНИК!$N$5+'ПЛАН ЧИСТ ПОДЗЕМ'!M23*СПРАВОЧНИК!$L$6+'ПЛАН ЧИСТ ПОДЗЕМ'!N23*СПРАВОЧНИК!$M$6+'ПЛАН ЧИСТ ПОДЗЕМ'!O23*СПРАВОЧНИК!$N$6+'ПЛАН ЧИСТ ПОДЗЕМ'!P23*СПРАВОЧНИК!$O$6+'ПЛАН ЧИСТ ПОДЗЕМ'!Q23*СПРАВОЧНИК!$L$7+'ПЛАН ЧИСТ ПОДЗЕМ'!R23*СПРАВОЧНИК!$M$7+'ПЛАН ЧИСТ ПОДЗЕМ'!S23*СПРАВОЧНИК!$N$7+'ПЛАН ЧИСТ ПОДЗЕМ'!T23*СПРАВОЧНИК!$O$7+'ПЛАН ЧИСТ ПОДЗЕМ'!U23*СПРАВОЧНИК!$L$8+'ПЛАН ЧИСТ ПОДЗЕМ'!V23*СПРАВОЧНИК!$M$8+'ПЛАН ЧИСТ ПОДЗЕМ'!W23*СПРАВОЧНИК!$N$8</f>
        <v/>
      </c>
      <c r="Q32" s="40">
        <f>('ФАКТ ЧИСТ ПОДЗЕМ'!B23)*СПРАВОЧНИК!$L$3+('ФАКТ ЧИСТ ПОДЗЕМ'!C23)*СПРАВОЧНИК!$M$3+('ФАКТ ЧИСТ ПОДЗЕМ'!D23)*СПРАВОЧНИК!$N$3+('ФАКТ ЧИСТ ПОДЗЕМ'!E23)*СПРАВОЧНИК!$O$3+('ФАКТ ЧИСТ ПОДЗЕМ'!F23)*СПРАВОЧНИК!$L$4+('ФАКТ ЧИСТ ПОДЗЕМ'!G23)*СПРАВОЧНИК!$M$4+('ФАКТ ЧИСТ ПОДЗЕМ'!H23)*СПРАВОЧНИК!$N$4+('ФАКТ ЧИСТ ПОДЗЕМ'!I23)*СПРАВОЧНИК!$O$4+('ФАКТ ЧИСТ ПОДЗЕМ'!J23)*СПРАВОЧНИК!$L$5+('ФАКТ ЧИСТ ПОДЗЕМ'!K23)*СПРАВОЧНИК!$M$5+('ФАКТ ЧИСТ ПОДЗЕМ'!L23)*СПРАВОЧНИК!$N$5+('ФАКТ ЧИСТ ПОДЗЕМ'!M23)*СПРАВОЧНИК!$L$6+('ФАКТ ЧИСТ ПОДЗЕМ'!N23)*СПРАВОЧНИК!$M$6+('ФАКТ ЧИСТ ПОДЗЕМ'!O23)*СПРАВОЧНИК!$N$6+('ФАКТ ЧИСТ ПОДЗЕМ'!P23)*СПРАВОЧНИК!$O$6+('ФАКТ ЧИСТ ПОДЗЕМ'!Q23)*СПРАВОЧНИК!$L$7+('ФАКТ ЧИСТ ПОДЗЕМ'!R23)*СПРАВОЧНИК!$M$7+('ФАКТ ЧИСТ ПОДЗЕМ'!S23)*СПРАВОЧНИК!$N$7+('ФАКТ ЧИСТ ПОДЗЕМ'!T23)*СПРАВОЧНИК!$O$7+('ФАКТ ЧИСТ ПОДЗЕМ'!U23)*СПРАВОЧНИК!$L$8+('ФАКТ ЧИСТ ПОДЗЕМ'!V23)*СПРАВОЧНИК!$M$8+('ФАКТ ЧИСТ ПОДЗЕМ'!W23)*СПРАВОЧНИК!$N$8</f>
        <v/>
      </c>
      <c r="U32" s="18">
        <f>U31+7</f>
        <v/>
      </c>
      <c r="V32" s="37">
        <f>СПРАВОЧНИК!$E$9*('ПЛАН ЧЕРН К1'!B23*СПРАВОЧНИК!$H$9+'ПЛАН ЧЕРН К1'!C23*СПРАВОЧНИК!$I$9+'ПЛАН ЧЕРН К1'!D23*СПРАВОЧНИК!$J$9)+СПРАВОЧНИК!$E$10*('ПЛАН ЧЕРН К1'!E23*СПРАВОЧНИК!$H$10+'ПЛАН ЧЕРН К1'!F23*СПРАВОЧНИК!$I$10+'ПЛАН ЧЕРН К1'!G23*СПРАВОЧНИК!$J$10)+СПРАВОЧНИК!$E$11*('ПЛАН ЧЕРН К1'!H23*СПРАВОЧНИК!$H$11+'ПЛАН ЧЕРН К1'!I23*СПРАВОЧНИК!$I$11+'ПЛАН ЧЕРН К1'!J23*СПРАВОЧНИК!$J$11)+СПРАВОЧНИК!$E$12*('ПЛАН ЧЕРН К1'!K23*СПРАВОЧНИК!$H$12+'ПЛАН ЧЕРН К1'!L23*СПРАВОЧНИК!$I$12+'ПЛАН ЧЕРН К1'!M23*СПРАВОЧНИК!$J$12)+СПРАВОЧНИК!$E$13*('ПЛАН ЧЕРН К1'!N23*СПРАВОЧНИК!$H$13+'ПЛАН ЧЕРН К1'!O23*СПРАВОЧНИК!$I$13+'ПЛАН ЧЕРН К1'!P23*СПРАВОЧНИК!$J$13)+СПРАВОЧНИК!$E$14*('ПЛАН ЧЕРН К1'!Q23*СПРАВОЧНИК!$H$14+'ПЛАН ЧЕРН К1'!R23*СПРАВОЧНИК!$I$14+'ПЛАН ЧЕРН К1'!S23*СПРАВОЧНИК!$J$14)+СПРАВОЧНИК!$E$15*('ПЛАН ЧЕРН К1'!T23*СПРАВОЧНИК!$H$15+'ПЛАН ЧЕРН К1'!U23*СПРАВОЧНИК!$I$15+'ПЛАН ЧЕРН К1'!V23*СПРАВОЧНИК!$J$15)+СПРАВОЧНИК!$F$9*('ПЛАН ЧИСТ К1'!B23*СПРАВОЧНИК!$L$9+'ПЛАН ЧИСТ К1'!C23*СПРАВОЧНИК!$M$9+'ПЛАН ЧИСТ К1'!D23*СПРАВОЧНИК!$N$9+'ПЛАН ЧИСТ К1'!E23*СПРАВОЧНИК!$O$9)+СПРАВОЧНИК!$F$10*('ПЛАН ЧИСТ К1'!F23*СПРАВОЧНИК!$L$10+'ПЛАН ЧИСТ К1'!G23*СПРАВОЧНИК!$M$10+'ПЛАН ЧИСТ К1'!H23*СПРАВОЧНИК!$N$10+'ПЛАН ЧИСТ К1'!I23*СПРАВОЧНИК!$O$10)+СПРАВОЧНИК!$F$11*('ПЛАН ЧИСТ К1'!J23*СПРАВОЧНИК!$L$11+'ПЛАН ЧИСТ К1'!K23*СПРАВОЧНИК!$M$11+'ПЛАН ЧИСТ К1'!L23*СПРАВОЧНИК!$N$11)+СПРАВОЧНИК!$F$12*('ПЛАН ЧИСТ К1'!M23*СПРАВОЧНИК!$L$12+'ПЛАН ЧИСТ К1'!N23*СПРАВОЧНИК!$M$12+'ПЛАН ЧИСТ К1'!O23*СПРАВОЧНИК!$N$12+'ПЛАН ЧИСТ К1'!P23*СПРАВОЧНИК!$O$12)+СПРАВОЧНИК!$F$13*('ПЛАН ЧИСТ К1'!Q23*СПРАВОЧНИК!$L$13+'ПЛАН ЧИСТ К1'!R23*СПРАВОЧНИК!$M$13+'ПЛАН ЧИСТ К1'!S23*СПРАВОЧНИК!$N$13+'ПЛАН ЧИСТ К1'!T23*СПРАВОЧНИК!$O$13)+СПРАВОЧНИК!$F$14*('ПЛАН ЧИСТ К1'!U23*СПРАВОЧНИК!$L$14+'ПЛАН ЧИСТ К1'!V23*СПРАВОЧНИК!$M$14+'ПЛАН ЧИСТ К1'!W23*СПРАВОЧНИК!$N$14)+СПРАВОЧНИК!$F$15*('ПЛАН ЧИСТ К1'!X23*СПРАВОЧНИК!$L$15+'ПЛАН ЧИСТ К1'!Y23*СПРАВОЧНИК!$M$15+'ПЛАН ЧИСТ К1'!Z23*СПРАВОЧНИК!$N$15)</f>
        <v/>
      </c>
      <c r="W32" s="40">
        <f>СПРАВОЧНИК!$E$9*(('ФАКТ ЧЕРН К1'!B23)*СПРАВОЧНИК!$H$9+('ФАКТ ЧЕРН К1'!C23)*СПРАВОЧНИК!$I$9+('ФАКТ ЧЕРН К1'!D23)*СПРАВОЧНИК!$J$9)+СПРАВОЧНИК!$E$10*(('ФАКТ ЧЕРН К1'!E23)*СПРАВОЧНИК!$H$10+('ФАКТ ЧЕРН К1'!F23)*СПРАВОЧНИК!$I$10+('ФАКТ ЧЕРН К1'!G23)*СПРАВОЧНИК!$J$10)+СПРАВОЧНИК!$E$11*(('ФАКТ ЧЕРН К1'!H23)*СПРАВОЧНИК!$H$11+('ФАКТ ЧЕРН К1'!I23)*СПРАВОЧНИК!$I$11+('ФАКТ ЧЕРН К1'!J23)*СПРАВОЧНИК!$J$11)+СПРАВОЧНИК!$E$12*(('ФАКТ ЧЕРН К1'!K23)*СПРАВОЧНИК!$H$12+('ФАКТ ЧЕРН К1'!L23)*СПРАВОЧНИК!$I$12+('ФАКТ ЧЕРН К1'!M23)*СПРАВОЧНИК!$J$12)+СПРАВОЧНИК!$E$13*(('ФАКТ ЧЕРН К1'!N23)*СПРАВОЧНИК!$H$13+('ФАКТ ЧЕРН К1'!O23)*СПРАВОЧНИК!$I$13+('ФАКТ ЧЕРН К1'!P23)*СПРАВОЧНИК!$J$13)+СПРАВОЧНИК!$E$14*(('ФАКТ ЧЕРН К1'!Q23)*СПРАВОЧНИК!$H$14+('ФАКТ ЧЕРН К1'!R23)*СПРАВОЧНИК!$I$14+('ФАКТ ЧЕРН К1'!S23)*СПРАВОЧНИК!$J$14)+СПРАВОЧНИК!$E$15*(('ФАКТ ЧЕРН К1'!T23)*СПРАВОЧНИК!$H$15+('ФАКТ ЧЕРН К1'!U23)*СПРАВОЧНИК!$I$15+('ФАКТ ЧЕРН К1'!V23)*СПРАВОЧНИК!$J$15)+СПРАВОЧНИК!$F$9*(('ФАКТ ЧИСТ К1'!B23)*СПРАВОЧНИК!$L$9+('ФАКТ ЧИСТ К1'!C23)*СПРАВОЧНИК!$M$9+('ФАКТ ЧИСТ К1'!D23)*СПРАВОЧНИК!$N$9+('ФАКТ ЧИСТ К1'!E23)*СПРАВОЧНИК!$O$9)+СПРАВОЧНИК!$F$10*(('ФАКТ ЧИСТ К1'!F23)*СПРАВОЧНИК!$L$10+('ФАКТ ЧИСТ К1'!G23)*СПРАВОЧНИК!$M$10+('ФАКТ ЧИСТ К1'!H23)*СПРАВОЧНИК!$N$10+('ФАКТ ЧИСТ К1'!I23)*СПРАВОЧНИК!$O$10)+СПРАВОЧНИК!$F$11*(('ФАКТ ЧИСТ К1'!J23)*СПРАВОЧНИК!$L$11+('ФАКТ ЧИСТ К1'!K23)*СПРАВОЧНИК!$M$11+('ФАКТ ЧИСТ К1'!L23)*СПРАВОЧНИК!$N$11)+СПРАВОЧНИК!$F$12*(('ФАКТ ЧИСТ К1'!M23)*СПРАВОЧНИК!$L$12+('ФАКТ ЧИСТ К1'!N23)*СПРАВОЧНИК!$M$12+('ФАКТ ЧИСТ К1'!O23)*СПРАВОЧНИК!$N$12+('ФАКТ ЧИСТ К1'!P23)*СПРАВОЧНИК!$O$12)+СПРАВОЧНИК!$F$13*(('ФАКТ ЧИСТ К1'!Q23)*СПРАВОЧНИК!$L$13+('ФАКТ ЧИСТ К1'!R23)*СПРАВОЧНИК!$M$13+('ФАКТ ЧИСТ К1'!S23)*СПРАВОЧНИК!$N$13+('ФАКТ ЧИСТ К1'!T23)*СПРАВОЧНИК!$O$13)+СПРАВОЧНИК!$F$14*(('ФАКТ ЧИСТ К1'!U23)*СПРАВОЧНИК!$L$14+('ФАКТ ЧИСТ К1'!V23)*СПРАВОЧНИК!$M$14+('ФАКТ ЧИСТ К1'!W23)*СПРАВОЧНИК!$N$14)+СПРАВОЧНИК!$F$15*(('ФАКТ ЧИСТ К1'!X23)*СПРАВОЧНИК!$L$15+('ФАКТ ЧИСТ К1'!Y23)*СПРАВОЧНИК!$M$15+('ФАКТ ЧИСТ К1'!Z23)*СПРАВОЧНИК!$N$15)</f>
        <v/>
      </c>
      <c r="AA32" s="18">
        <f>AA31+7</f>
        <v/>
      </c>
      <c r="AB32" s="37">
        <f>'ПЛАН ЧЕРН К1'!B23*СПРАВОЧНИК!$H$9+'ПЛАН ЧЕРН К1'!C23*СПРАВОЧНИК!$I$9+'ПЛАН ЧЕРН К1'!D23*СПРАВОЧНИК!$J$9+'ПЛАН ЧЕРН К1'!E23*СПРАВОЧНИК!$H$10+'ПЛАН ЧЕРН К1'!F23*СПРАВОЧНИК!$I$10+'ПЛАН ЧЕРН К1'!G23*СПРАВОЧНИК!$J$10+'ПЛАН ЧЕРН К1'!H23*СПРАВОЧНИК!$H$11+'ПЛАН ЧЕРН К1'!I23*СПРАВОЧНИК!$I$11+'ПЛАН ЧЕРН К1'!J23*СПРАВОЧНИК!$J$11+'ПЛАН ЧЕРН К1'!K23*СПРАВОЧНИК!$H$12+'ПЛАН ЧЕРН К1'!L23*СПРАВОЧНИК!$I$12+'ПЛАН ЧЕРН К1'!M23*СПРАВОЧНИК!$J$12+'ПЛАН ЧЕРН К1'!N23*СПРАВОЧНИК!$H$13+'ПЛАН ЧЕРН К1'!O23*СПРАВОЧНИК!$I$13+'ПЛАН ЧЕРН К1'!P23*СПРАВОЧНИК!$J$13+'ПЛАН ЧЕРН К1'!Q23*СПРАВОЧНИК!$H$14+'ПЛАН ЧЕРН К1'!R23*СПРАВОЧНИК!$I$14+'ПЛАН ЧЕРН К1'!S23*СПРАВОЧНИК!$J$14+'ПЛАН ЧЕРН К1'!T23*СПРАВОЧНИК!$H$15+'ПЛАН ЧЕРН К1'!U23*СПРАВОЧНИК!$I$15+'ПЛАН ЧЕРН К1'!V23*СПРАВОЧНИК!$J$15</f>
        <v/>
      </c>
      <c r="AC32" s="40">
        <f>('ФАКТ ЧЕРН К1'!B23)*СПРАВОЧНИК!$H$9+('ФАКТ ЧЕРН К1'!C23)*СПРАВОЧНИК!$I$9+('ФАКТ ЧЕРН К1'!D23)*СПРАВОЧНИК!$J$9+('ФАКТ ЧЕРН К1'!E23)*СПРАВОЧНИК!$H$10+('ФАКТ ЧЕРН К1'!F23)*СПРАВОЧНИК!$I$10+('ФАКТ ЧЕРН К1'!G23)*СПРАВОЧНИК!$J$10+('ФАКТ ЧЕРН К1'!H23)*СПРАВОЧНИК!$H$11+('ФАКТ ЧЕРН К1'!I23)*СПРАВОЧНИК!$I$11+('ФАКТ ЧЕРН К1'!J23)*СПРАВОЧНИК!$J$11+('ФАКТ ЧЕРН К1'!K23)*СПРАВОЧНИК!$H$12+('ФАКТ ЧЕРН К1'!L23)*СПРАВОЧНИК!$I$12+('ФАКТ ЧЕРН К1'!M23)*СПРАВОЧНИК!$J$12+('ФАКТ ЧЕРН К1'!N23)*СПРАВОЧНИК!$H$13+('ФАКТ ЧЕРН К1'!O23)*СПРАВОЧНИК!$I$13+('ФАКТ ЧЕРН К1'!P23)*СПРАВОЧНИК!$J$13+('ФАКТ ЧЕРН К1'!Q23)*СПРАВОЧНИК!$H$14+('ФАКТ ЧЕРН К1'!R23)*СПРАВОЧНИК!$I$14+('ФАКТ ЧЕРН К1'!S23)*СПРАВОЧНИК!$J$14+('ФАКТ ЧЕРН К1'!T23)*СПРАВОЧНИК!$H$15+('ФАКТ ЧЕРН К1'!U23)*СПРАВОЧНИК!$I$15+('ФАКТ ЧЕРН К1'!V23)*СПРАВОЧНИК!$J$15</f>
        <v/>
      </c>
      <c r="AG32" s="18">
        <f>AG31+7</f>
        <v/>
      </c>
      <c r="AH32" s="37">
        <f>'ПЛАН ЧИСТ К1'!B23*СПРАВОЧНИК!$L$9+'ПЛАН ЧИСТ К1'!C23*СПРАВОЧНИК!$M$9+'ПЛАН ЧИСТ К1'!D23*СПРАВОЧНИК!$N$9+'ПЛАН ЧИСТ К1'!E23*СПРАВОЧНИК!$O$9+'ПЛАН ЧИСТ К1'!F23*СПРАВОЧНИК!$L$10+'ПЛАН ЧИСТ К1'!G23*СПРАВОЧНИК!$M$10+'ПЛАН ЧИСТ К1'!H23*СПРАВОЧНИК!$N$10+'ПЛАН ЧИСТ К1'!I23*СПРАВОЧНИК!$O$10+'ПЛАН ЧИСТ К1'!J23*СПРАВОЧНИК!$L$11+'ПЛАН ЧИСТ К1'!K23*СПРАВОЧНИК!$M$11+'ПЛАН ЧИСТ К1'!L23*СПРАВОЧНИК!$N$11+'ПЛАН ЧИСТ К1'!M23*СПРАВОЧНИК!$L$12+'ПЛАН ЧИСТ К1'!N23*СПРАВОЧНИК!$M$12+'ПЛАН ЧИСТ К1'!O23*СПРАВОЧНИК!$N$12+'ПЛАН ЧИСТ К1'!P23*СПРАВОЧНИК!$O$12+'ПЛАН ЧИСТ К1'!Q23*СПРАВОЧНИК!$L$13+'ПЛАН ЧИСТ К1'!R23*СПРАВОЧНИК!$M$13+'ПЛАН ЧИСТ К1'!S23*СПРАВОЧНИК!$N$13+'ПЛАН ЧИСТ К1'!T23*СПРАВОЧНИК!$O$13+'ПЛАН ЧИСТ К1'!U23*СПРАВОЧНИК!$L$14+'ПЛАН ЧИСТ К1'!V23*СПРАВОЧНИК!$M$14+'ПЛАН ЧИСТ К1'!W23*СПРАВОЧНИК!$N$14+'ПЛАН ЧИСТ К1'!X23*СПРАВОЧНИК!$L$15+'ПЛАН ЧИСТ К1'!Y23*СПРАВОЧНИК!$M$15+'ПЛАН ЧИСТ К1'!Z23*СПРАВОЧНИК!$N$15</f>
        <v/>
      </c>
      <c r="AI32" s="40">
        <f>('ФАКТ ЧИСТ К1'!B23)*СПРАВОЧНИК!$L$9+('ФАКТ ЧИСТ К1'!C23)*СПРАВОЧНИК!$M$9+('ФАКТ ЧИСТ К1'!D23)*СПРАВОЧНИК!$N$9+('ФАКТ ЧИСТ К1'!E23)*СПРАВОЧНИК!$O$9+('ФАКТ ЧИСТ К1'!F23)*СПРАВОЧНИК!$L$10+('ФАКТ ЧИСТ К1'!G23)*СПРАВОЧНИК!$M$10+('ФАКТ ЧИСТ К1'!H23)*СПРАВОЧНИК!$N$10+('ФАКТ ЧИСТ К1'!I23)*СПРАВОЧНИК!$O$10+('ФАКТ ЧИСТ К1'!J23)*СПРАВОЧНИК!$L$11+('ФАКТ ЧИСТ К1'!K23)*СПРАВОЧНИК!$M$11+('ФАКТ ЧИСТ К1'!L23)*СПРАВОЧНИК!$N$11+('ФАКТ ЧИСТ К1'!M23)*СПРАВОЧНИК!$L$12+('ФАКТ ЧИСТ К1'!N23)*СПРАВОЧНИК!$M$12+('ФАКТ ЧИСТ К1'!O23)*СПРАВОЧНИК!$N$12+('ФАКТ ЧИСТ К1'!P23)*СПРАВОЧНИК!$O$12+('ФАКТ ЧИСТ К1'!Q23)*СПРАВОЧНИК!$L$13+('ФАКТ ЧИСТ К1'!R23)*СПРАВОЧНИК!$M$13+('ФАКТ ЧИСТ К1'!S23)*СПРАВОЧНИК!$N$13+('ФАКТ ЧИСТ К1'!T23)*СПРАВОЧНИК!$O$13+('ФАКТ ЧИСТ К1'!U23)*СПРАВОЧНИК!$L$14+('ФАКТ ЧИСТ К1'!V23)*СПРАВОЧНИК!$M$14+('ФАКТ ЧИСТ К1'!W23)*СПРАВОЧНИК!$N$14+('ФАКТ ЧИСТ К1'!X23)*СПРАВОЧНИК!$L$15+('ФАКТ ЧИСТ К1'!Y23)*СПРАВОЧНИК!$M$15+('ФАКТ ЧИСТ К1'!Z23)*СПРАВОЧНИК!$N$15</f>
        <v/>
      </c>
      <c r="AM32" s="18">
        <f>AM31+7</f>
        <v/>
      </c>
      <c r="AN32" s="37">
        <f>СПРАВОЧНИК!$E$9*('ПЛАН ЧЕРН К2'!B23*СПРАВОЧНИК!$H$9+'ПЛАН ЧЕРН К2'!C23*СПРАВОЧНИК!$I$9+'ПЛАН ЧЕРН К2'!D23*СПРАВОЧНИК!$J$9)+СПРАВОЧНИК!$E$10*('ПЛАН ЧЕРН К2'!E23*СПРАВОЧНИК!$H$10+'ПЛАН ЧЕРН К2'!F23*СПРАВОЧНИК!$I$10+'ПЛАН ЧЕРН К2'!G23*СПРАВОЧНИК!$J$10)+СПРАВОЧНИК!$E$11*('ПЛАН ЧЕРН К2'!H23*СПРАВОЧНИК!$H$11+'ПЛАН ЧЕРН К2'!I23*СПРАВОЧНИК!$I$11+'ПЛАН ЧЕРН К2'!J23*СПРАВОЧНИК!$J$11)+СПРАВОЧНИК!$E$12*('ПЛАН ЧЕРН К2'!K23*СПРАВОЧНИК!$H$12+'ПЛАН ЧЕРН К2'!L23*СПРАВОЧНИК!$I$12+'ПЛАН ЧЕРН К2'!M23*СПРАВОЧНИК!$J$12)+СПРАВОЧНИК!$E$13*('ПЛАН ЧЕРН К2'!N23*СПРАВОЧНИК!$H$13+'ПЛАН ЧЕРН К2'!O23*СПРАВОЧНИК!$I$13+'ПЛАН ЧЕРН К2'!P23*СПРАВОЧНИК!$J$13)+СПРАВОЧНИК!$E$14*('ПЛАН ЧЕРН К2'!Q23*СПРАВОЧНИК!$H$14+'ПЛАН ЧЕРН К2'!R23*СПРАВОЧНИК!$I$14+'ПЛАН ЧЕРН К2'!S23*СПРАВОЧНИК!$J$14)+СПРАВОЧНИК!$E$15*('ПЛАН ЧЕРН К2'!T23*СПРАВОЧНИК!$H$15+'ПЛАН ЧЕРН К2'!U23*СПРАВОЧНИК!$I$15+'ПЛАН ЧЕРН К2'!V23*СПРАВОЧНИК!$J$15)+СПРАВОЧНИК!$F$9*('ПЛАН ЧИСТ К2'!B23*СПРАВОЧНИК!$L$9+'ПЛАН ЧИСТ К2'!C23*СПРАВОЧНИК!$M$9+'ПЛАН ЧИСТ К2'!D23*СПРАВОЧНИК!$N$9+'ПЛАН ЧИСТ К2'!E23*СПРАВОЧНИК!$O$9)+СПРАВОЧНИК!$F$10*('ПЛАН ЧИСТ К2'!F23*СПРАВОЧНИК!$L$10+'ПЛАН ЧИСТ К2'!G23*СПРАВОЧНИК!$M$10+'ПЛАН ЧИСТ К2'!H23*СПРАВОЧНИК!$N$10+'ПЛАН ЧИСТ К2'!I23*СПРАВОЧНИК!$O$10)+СПРАВОЧНИК!$F$11*('ПЛАН ЧИСТ К2'!J23*СПРАВОЧНИК!$L$11+'ПЛАН ЧИСТ К2'!K23*СПРАВОЧНИК!$M$11+'ПЛАН ЧИСТ К2'!L23*СПРАВОЧНИК!$N$11)+СПРАВОЧНИК!$F$12*('ПЛАН ЧИСТ К2'!M23*СПРАВОЧНИК!$L$12+'ПЛАН ЧИСТ К2'!N23*СПРАВОЧНИК!$M$12+'ПЛАН ЧИСТ К2'!O23*СПРАВОЧНИК!$N$12+'ПЛАН ЧИСТ К2'!P23*СПРАВОЧНИК!$O$12)+СПРАВОЧНИК!$F$13*('ПЛАН ЧИСТ К2'!Q23*СПРАВОЧНИК!$L$13+'ПЛАН ЧИСТ К2'!R23*СПРАВОЧНИК!$M$13+'ПЛАН ЧИСТ К2'!S23*СПРАВОЧНИК!$N$13+'ПЛАН ЧИСТ К2'!T23*СПРАВОЧНИК!$O$13)+СПРАВОЧНИК!$F$14*('ПЛАН ЧИСТ К2'!U23*СПРАВОЧНИК!$L$14+'ПЛАН ЧИСТ К2'!V23*СПРАВОЧНИК!$M$14+'ПЛАН ЧИСТ К2'!W23*СПРАВОЧНИК!$N$14)+СПРАВОЧНИК!$F$15*('ПЛАН ЧИСТ К2'!X23*СПРАВОЧНИК!$L$15+'ПЛАН ЧИСТ К2'!Y23*СПРАВОЧНИК!$M$15+'ПЛАН ЧИСТ К2'!Z23*СПРАВОЧНИК!$N$15)</f>
        <v/>
      </c>
      <c r="AO32" s="40">
        <f>СПРАВОЧНИК!$E$9*(('ФАКТ ЧЕРН К2'!B23)*СПРАВОЧНИК!$H$9+('ФАКТ ЧЕРН К2'!C23)*СПРАВОЧНИК!$I$9+('ФАКТ ЧЕРН К2'!D23)*СПРАВОЧНИК!$J$9)+СПРАВОЧНИК!$E$10*(('ФАКТ ЧЕРН К2'!E23)*СПРАВОЧНИК!$H$10+('ФАКТ ЧЕРН К2'!F23)*СПРАВОЧНИК!$I$10+('ФАКТ ЧЕРН К2'!G23)*СПРАВОЧНИК!$J$10)+СПРАВОЧНИК!$E$11*(('ФАКТ ЧЕРН К2'!H23)*СПРАВОЧНИК!$H$11+('ФАКТ ЧЕРН К2'!I23)*СПРАВОЧНИК!$I$11+('ФАКТ ЧЕРН К2'!J23)*СПРАВОЧНИК!$J$11)+СПРАВОЧНИК!$E$12*(('ФАКТ ЧЕРН К2'!K23)*СПРАВОЧНИК!$H$12+('ФАКТ ЧЕРН К2'!L23)*СПРАВОЧНИК!$I$12+('ФАКТ ЧЕРН К2'!M23)*СПРАВОЧНИК!$J$12)+СПРАВОЧНИК!$E$13*(('ФАКТ ЧЕРН К2'!N23)*СПРАВОЧНИК!$H$13+('ФАКТ ЧЕРН К2'!O23)*СПРАВОЧНИК!$I$13+('ФАКТ ЧЕРН К2'!P23)*СПРАВОЧНИК!$J$13)+СПРАВОЧНИК!$E$14*(('ФАКТ ЧЕРН К2'!Q23)*СПРАВОЧНИК!$H$14+('ФАКТ ЧЕРН К2'!R23)*СПРАВОЧНИК!$I$14+('ФАКТ ЧЕРН К2'!S23)*СПРАВОЧНИК!$J$14)+СПРАВОЧНИК!$E$15*(('ФАКТ ЧЕРН К2'!T23)*СПРАВОЧНИК!$H$15+('ФАКТ ЧЕРН К2'!U23)*СПРАВОЧНИК!$I$15+('ФАКТ ЧЕРН К2'!V23)*СПРАВОЧНИК!$J$15)+СПРАВОЧНИК!$F$9*(('ФАКТ ЧИСТ К2'!B23)*СПРАВОЧНИК!$L$9+('ФАКТ ЧИСТ К2'!C23)*СПРАВОЧНИК!$M$9+('ФАКТ ЧИСТ К2'!D23)*СПРАВОЧНИК!$N$9+('ФАКТ ЧИСТ К2'!E23)*СПРАВОЧНИК!$O$9)+СПРАВОЧНИК!$F$10*(('ФАКТ ЧИСТ К2'!F23)*СПРАВОЧНИК!$L$10+('ФАКТ ЧИСТ К2'!G23)*СПРАВОЧНИК!$M$10+('ФАКТ ЧИСТ К2'!H23)*СПРАВОЧНИК!$N$10+('ФАКТ ЧИСТ К2'!I23)*СПРАВОЧНИК!$O$10)+СПРАВОЧНИК!$F$11*(('ФАКТ ЧИСТ К2'!J23)*СПРАВОЧНИК!$L$11+('ФАКТ ЧИСТ К2'!K23)*СПРАВОЧНИК!$M$11+('ФАКТ ЧИСТ К2'!L23)*СПРАВОЧНИК!$N$11)+СПРАВОЧНИК!$F$12*(('ФАКТ ЧИСТ К2'!M23)*СПРАВОЧНИК!$L$12+('ФАКТ ЧИСТ К2'!N23)*СПРАВОЧНИК!$M$12+('ФАКТ ЧИСТ К2'!O23)*СПРАВОЧНИК!$N$12+('ФАКТ ЧИСТ К2'!P23)*СПРАВОЧНИК!$O$12)+СПРАВОЧНИК!$F$13*(('ФАКТ ЧИСТ К2'!Q23)*СПРАВОЧНИК!$L$13+('ФАКТ ЧИСТ К2'!R23)*СПРАВОЧНИК!$M$13+('ФАКТ ЧИСТ К2'!S23)*СПРАВОЧНИК!$N$13+('ФАКТ ЧИСТ К2'!T23)*СПРАВОЧНИК!$O$13)+СПРАВОЧНИК!$F$14*(('ФАКТ ЧИСТ К2'!U23)*СПРАВОЧНИК!$L$14+('ФАКТ ЧИСТ К2'!V23)*СПРАВОЧНИК!$M$14+('ФАКТ ЧИСТ К2'!W23)*СПРАВОЧНИК!$N$14)+СПРАВОЧНИК!$F$15*(('ФАКТ ЧИСТ К2'!X23)*СПРАВОЧНИК!$L$15+('ФАКТ ЧИСТ К2'!Y23)*СПРАВОЧНИК!$M$15+('ФАКТ ЧИСТ К2'!Z23)*СПРАВОЧНИК!$N$15)</f>
        <v/>
      </c>
      <c r="AS32" s="18">
        <f>AS31+7</f>
        <v/>
      </c>
      <c r="AT32" s="37">
        <f>'ПЛАН ЧЕРН К2'!B23*СПРАВОЧНИК!$H$9+'ПЛАН ЧЕРН К2'!C23*СПРАВОЧНИК!$I$9+'ПЛАН ЧЕРН К2'!D23*СПРАВОЧНИК!$J$9+'ПЛАН ЧЕРН К2'!E23*СПРАВОЧНИК!$H$10+'ПЛАН ЧЕРН К2'!F23*СПРАВОЧНИК!$I$10+'ПЛАН ЧЕРН К2'!G23*СПРАВОЧНИК!$J$10+'ПЛАН ЧЕРН К2'!H23*СПРАВОЧНИК!$H$11+'ПЛАН ЧЕРН К2'!I23*СПРАВОЧНИК!$I$11+'ПЛАН ЧЕРН К2'!J23*СПРАВОЧНИК!$J$11+'ПЛАН ЧЕРН К2'!K23*СПРАВОЧНИК!$H$12+'ПЛАН ЧЕРН К2'!L23*СПРАВОЧНИК!$I$12+'ПЛАН ЧЕРН К2'!M23*СПРАВОЧНИК!$J$12+'ПЛАН ЧЕРН К2'!N23*СПРАВОЧНИК!$H$13+'ПЛАН ЧЕРН К2'!O23*СПРАВОЧНИК!$I$13+'ПЛАН ЧЕРН К2'!P23*СПРАВОЧНИК!$J$13+'ПЛАН ЧЕРН К2'!Q23*СПРАВОЧНИК!$H$14+'ПЛАН ЧЕРН К2'!R23*СПРАВОЧНИК!$I$14+'ПЛАН ЧЕРН К2'!S23*СПРАВОЧНИК!$J$14+'ПЛАН ЧЕРН К2'!T23*СПРАВОЧНИК!$H$15+'ПЛАН ЧЕРН К2'!U23*СПРАВОЧНИК!$I$15+'ПЛАН ЧЕРН К2'!V23*СПРАВОЧНИК!$J$15</f>
        <v/>
      </c>
      <c r="AU32" s="40">
        <f>('ФАКТ ЧЕРН К2'!B23)*СПРАВОЧНИК!$H$9+('ФАКТ ЧЕРН К2'!C23)*СПРАВОЧНИК!$I$9+('ФАКТ ЧЕРН К2'!D23)*СПРАВОЧНИК!$J$9+('ФАКТ ЧЕРН К2'!E23)*СПРАВОЧНИК!$H$10+('ФАКТ ЧЕРН К2'!F23)*СПРАВОЧНИК!$I$10+('ФАКТ ЧЕРН К2'!G23)*СПРАВОЧНИК!$J$10+('ФАКТ ЧЕРН К2'!H23)*СПРАВОЧНИК!$H$11+('ФАКТ ЧЕРН К2'!I23)*СПРАВОЧНИК!$I$11+('ФАКТ ЧЕРН К2'!J23)*СПРАВОЧНИК!$J$11+('ФАКТ ЧЕРН К2'!K23)*СПРАВОЧНИК!$H$12+('ФАКТ ЧЕРН К2'!L23)*СПРАВОЧНИК!$I$12+('ФАКТ ЧЕРН К2'!M23)*СПРАВОЧНИК!$J$12+('ФАКТ ЧЕРН К2'!N23)*СПРАВОЧНИК!$H$13+('ФАКТ ЧЕРН К2'!O23)*СПРАВОЧНИК!$I$13+('ФАКТ ЧЕРН К2'!P23)*СПРАВОЧНИК!$J$13+('ФАКТ ЧЕРН К2'!Q23)*СПРАВОЧНИК!$H$14+('ФАКТ ЧЕРН К2'!R23)*СПРАВОЧНИК!$I$14+('ФАКТ ЧЕРН К2'!S23)*СПРАВОЧНИК!$J$14+('ФАКТ ЧЕРН К2'!T23)*СПРАВОЧНИК!$H$15+('ФАКТ ЧЕРН К2'!U23)*СПРАВОЧНИК!$I$15+('ФАКТ ЧЕРН К2'!V23)*СПРАВОЧНИК!$J$15</f>
        <v/>
      </c>
      <c r="AY32" s="18">
        <f>AY31+7</f>
        <v/>
      </c>
      <c r="AZ32" s="37">
        <f>'ПЛАН ЧИСТ К2'!B23*СПРАВОЧНИК!$L$9+'ПЛАН ЧИСТ К2'!C23*СПРАВОЧНИК!$M$9+'ПЛАН ЧИСТ К2'!D23*СПРАВОЧНИК!$N$9+'ПЛАН ЧИСТ К2'!E23*СПРАВОЧНИК!$O$9+'ПЛАН ЧИСТ К2'!F23*СПРАВОЧНИК!$L$10+'ПЛАН ЧИСТ К2'!G23*СПРАВОЧНИК!$M$10+'ПЛАН ЧИСТ К2'!H23*СПРАВОЧНИК!$N$10+'ПЛАН ЧИСТ К2'!I23*СПРАВОЧНИК!$O$10+'ПЛАН ЧИСТ К2'!J23*СПРАВОЧНИК!$L$11+'ПЛАН ЧИСТ К2'!K23*СПРАВОЧНИК!$M$11+'ПЛАН ЧИСТ К2'!L23*СПРАВОЧНИК!$N$11+'ПЛАН ЧИСТ К2'!M23*СПРАВОЧНИК!$L$12+'ПЛАН ЧИСТ К2'!N23*СПРАВОЧНИК!$M$12+'ПЛАН ЧИСТ К2'!O23*СПРАВОЧНИК!$N$12+'ПЛАН ЧИСТ К2'!P23*СПРАВОЧНИК!$O$12+'ПЛАН ЧИСТ К2'!Q23*СПРАВОЧНИК!$L$13+'ПЛАН ЧИСТ К2'!R23*СПРАВОЧНИК!$M$13+'ПЛАН ЧИСТ К2'!S23*СПРАВОЧНИК!$N$13+'ПЛАН ЧИСТ К2'!T23*СПРАВОЧНИК!$O$13+'ПЛАН ЧИСТ К2'!U23*СПРАВОЧНИК!$L$14+'ПЛАН ЧИСТ К2'!V23*СПРАВОЧНИК!$M$14+'ПЛАН ЧИСТ К2'!W23*СПРАВОЧНИК!$N$14+'ПЛАН ЧИСТ К2'!X23*СПРАВОЧНИК!$L$15+'ПЛАН ЧИСТ К2'!Y23*СПРАВОЧНИК!$M$15+'ПЛАН ЧИСТ К2'!Z23*СПРАВОЧНИК!$N$15</f>
        <v/>
      </c>
      <c r="BA32" s="40">
        <f>('ФАКТ ЧИСТ К2'!B23)*СПРАВОЧНИК!$L$9+('ФАКТ ЧИСТ К2'!C23)*СПРАВОЧНИК!$M$9+('ФАКТ ЧИСТ К2'!D23)*СПРАВОЧНИК!$N$9+('ФАКТ ЧИСТ К2'!E23)*СПРАВОЧНИК!$O$9+('ФАКТ ЧИСТ К2'!F23)*СПРАВОЧНИК!$L$10+('ФАКТ ЧИСТ К2'!G23)*СПРАВОЧНИК!$M$10+('ФАКТ ЧИСТ К2'!H23)*СПРАВОЧНИК!$N$10+('ФАКТ ЧИСТ К2'!I23)*СПРАВОЧНИК!$O$10+('ФАКТ ЧИСТ К2'!J23)*СПРАВОЧНИК!$L$11+('ФАКТ ЧИСТ К2'!K23)*СПРАВОЧНИК!$M$11+('ФАКТ ЧИСТ К2'!L23)*СПРАВОЧНИК!$N$11+('ФАКТ ЧИСТ К2'!M23)*СПРАВОЧНИК!$L$12+('ФАКТ ЧИСТ К2'!N23)*СПРАВОЧНИК!$M$12+('ФАКТ ЧИСТ К2'!O23)*СПРАВОЧНИК!$N$12+('ФАКТ ЧИСТ К2'!P23)*СПРАВОЧНИК!$O$12+('ФАКТ ЧИСТ К2'!Q23)*СПРАВОЧНИК!$L$13+('ФАКТ ЧИСТ К2'!R23)*СПРАВОЧНИК!$M$13+('ФАКТ ЧИСТ К2'!S23)*СПРАВОЧНИК!$N$13+('ФАКТ ЧИСТ К2'!T23)*СПРАВОЧНИК!$O$13+('ФАКТ ЧИСТ К2'!U23)*СПРАВОЧНИК!$L$14+('ФАКТ ЧИСТ К2'!V23)*СПРАВОЧНИК!$M$14+('ФАКТ ЧИСТ К2'!W23)*СПРАВОЧНИК!$N$14+('ФАКТ ЧИСТ К2'!X23)*СПРАВОЧНИК!$L$15+('ФАКТ ЧИСТ К2'!Y23)*СПРАВОЧНИК!$M$15+('ФАКТ ЧИСТ К2'!Z23)*СПРАВОЧНИК!$N$15</f>
        <v/>
      </c>
      <c r="BE32" s="18">
        <f>BE31+7</f>
        <v/>
      </c>
      <c r="BF32" s="37">
        <f>СПРАВОЧНИК!$E$9*('ПЛАН ЧЕРН К3'!B23*СПРАВОЧНИК!$H$9+'ПЛАН ЧЕРН К3'!C23*СПРАВОЧНИК!$I$9+'ПЛАН ЧЕРН К3'!D23*СПРАВОЧНИК!$J$9)+СПРАВОЧНИК!$E$10*('ПЛАН ЧЕРН К3'!E23*СПРАВОЧНИК!$H$10+'ПЛАН ЧЕРН К3'!F23*СПРАВОЧНИК!$I$10+'ПЛАН ЧЕРН К3'!G23*СПРАВОЧНИК!$J$10)+СПРАВОЧНИК!$E$11*('ПЛАН ЧЕРН К3'!H23*СПРАВОЧНИК!$H$11+'ПЛАН ЧЕРН К3'!I23*СПРАВОЧНИК!$I$11+'ПЛАН ЧЕРН К3'!J23*СПРАВОЧНИК!$J$11)+СПРАВОЧНИК!$E$12*('ПЛАН ЧЕРН К3'!K23*СПРАВОЧНИК!$H$12+'ПЛАН ЧЕРН К3'!L23*СПРАВОЧНИК!$I$12+'ПЛАН ЧЕРН К3'!M23*СПРАВОЧНИК!$J$12)+СПРАВОЧНИК!$E$13*('ПЛАН ЧЕРН К3'!N23*СПРАВОЧНИК!$H$13+'ПЛАН ЧЕРН К3'!O23*СПРАВОЧНИК!$I$13+'ПЛАН ЧЕРН К3'!P23*СПРАВОЧНИК!$J$13)+СПРАВОЧНИК!$E$14*('ПЛАН ЧЕРН К3'!Q23*СПРАВОЧНИК!$H$14+'ПЛАН ЧЕРН К3'!R23*СПРАВОЧНИК!$I$14+'ПЛАН ЧЕРН К3'!S23*СПРАВОЧНИК!$J$14)+СПРАВОЧНИК!$E$15*('ПЛАН ЧЕРН К3'!T23*СПРАВОЧНИК!$H$15+'ПЛАН ЧЕРН К3'!U23*СПРАВОЧНИК!$I$15+'ПЛАН ЧЕРН К3'!V23*СПРАВОЧНИК!$J$15)+СПРАВОЧНИК!$F$9*('ПЛАН ЧИСТ К3'!B23*СПРАВОЧНИК!$L$9+'ПЛАН ЧИСТ К3'!C23*СПРАВОЧНИК!$M$9+'ПЛАН ЧИСТ К3'!D23*СПРАВОЧНИК!$N$9+'ПЛАН ЧИСТ К3'!E23*СПРАВОЧНИК!$O$9)+СПРАВОЧНИК!$F$10*('ПЛАН ЧИСТ К3'!F23*СПРАВОЧНИК!$L$10+'ПЛАН ЧИСТ К3'!G23*СПРАВОЧНИК!$M$10+'ПЛАН ЧИСТ К3'!H23*СПРАВОЧНИК!$N$10+'ПЛАН ЧИСТ К3'!I23*СПРАВОЧНИК!$O$10)+СПРАВОЧНИК!$F$11*('ПЛАН ЧИСТ К3'!J23*СПРАВОЧНИК!$L$11+'ПЛАН ЧИСТ К3'!K23*СПРАВОЧНИК!$M$11+'ПЛАН ЧИСТ К3'!L23*СПРАВОЧНИК!$N$11)+СПРАВОЧНИК!$F$12*('ПЛАН ЧИСТ К3'!M23*СПРАВОЧНИК!$L$12+'ПЛАН ЧИСТ К3'!N23*СПРАВОЧНИК!$M$12+'ПЛАН ЧИСТ К3'!O23*СПРАВОЧНИК!$N$12+'ПЛАН ЧИСТ К3'!P23*СПРАВОЧНИК!$O$12)+СПРАВОЧНИК!$F$13*('ПЛАН ЧИСТ К3'!Q23*СПРАВОЧНИК!$L$13+'ПЛАН ЧИСТ К3'!R23*СПРАВОЧНИК!$M$13+'ПЛАН ЧИСТ К3'!S23*СПРАВОЧНИК!$N$13+'ПЛАН ЧИСТ К3'!T23*СПРАВОЧНИК!$O$13)+СПРАВОЧНИК!$F$14*('ПЛАН ЧИСТ К3'!U23*СПРАВОЧНИК!$L$14+'ПЛАН ЧИСТ К3'!V23*СПРАВОЧНИК!$M$14+'ПЛАН ЧИСТ К3'!W23*СПРАВОЧНИК!$N$14)+СПРАВОЧНИК!$F$15*('ПЛАН ЧИСТ К3'!X23*СПРАВОЧНИК!$L$15+'ПЛАН ЧИСТ К3'!Y23*СПРАВОЧНИК!$M$15+'ПЛАН ЧИСТ К3'!Z23*СПРАВОЧНИК!$N$15)</f>
        <v/>
      </c>
      <c r="BG32" s="40">
        <f>СПРАВОЧНИК!$E$9*(('ФАКТ ЧЕРН К3'!B23)*СПРАВОЧНИК!$H$9+('ФАКТ ЧЕРН К3'!C23)*СПРАВОЧНИК!$I$9+('ФАКТ ЧЕРН К3'!D23)*СПРАВОЧНИК!$J$9)+СПРАВОЧНИК!$E$10*(('ФАКТ ЧЕРН К3'!E23)*СПРАВОЧНИК!$H$10+('ФАКТ ЧЕРН К3'!F23)*СПРАВОЧНИК!$I$10+('ФАКТ ЧЕРН К3'!G23)*СПРАВОЧНИК!$J$10)+СПРАВОЧНИК!$E$11*(('ФАКТ ЧЕРН К3'!H23)*СПРАВОЧНИК!$H$11+('ФАКТ ЧЕРН К3'!I23)*СПРАВОЧНИК!$I$11+('ФАКТ ЧЕРН К3'!J23)*СПРАВОЧНИК!$J$11)+СПРАВОЧНИК!$E$12*(('ФАКТ ЧЕРН К3'!K23)*СПРАВОЧНИК!$H$12+('ФАКТ ЧЕРН К3'!L23)*СПРАВОЧНИК!$I$12+('ФАКТ ЧЕРН К3'!M23)*СПРАВОЧНИК!$J$12)+СПРАВОЧНИК!$E$13*(('ФАКТ ЧЕРН К3'!N23)*СПРАВОЧНИК!$H$13+('ФАКТ ЧЕРН К3'!O23)*СПРАВОЧНИК!$I$13+('ФАКТ ЧЕРН К3'!P23)*СПРАВОЧНИК!$J$13)+СПРАВОЧНИК!$E$14*(('ФАКТ ЧЕРН К3'!Q23)*СПРАВОЧНИК!$H$14+('ФАКТ ЧЕРН К3'!R23)*СПРАВОЧНИК!$I$14+('ФАКТ ЧЕРН К3'!S23)*СПРАВОЧНИК!$J$14)+СПРАВОЧНИК!$E$15*(('ФАКТ ЧЕРН К3'!T23)*СПРАВОЧНИК!$H$15+('ФАКТ ЧЕРН К3'!U23)*СПРАВОЧНИК!$I$15+('ФАКТ ЧЕРН К3'!V23)*СПРАВОЧНИК!$J$15)+СПРАВОЧНИК!$F$9*(('ФАКТ ЧИСТ К3'!B23)*СПРАВОЧНИК!$L$9+('ФАКТ ЧИСТ К3'!C23)*СПРАВОЧНИК!$M$9+('ФАКТ ЧИСТ К3'!D23)*СПРАВОЧНИК!$N$9+('ФАКТ ЧИСТ К3'!E23)*СПРАВОЧНИК!$O$9)+СПРАВОЧНИК!$F$10*(('ФАКТ ЧИСТ К3'!F23)*СПРАВОЧНИК!$L$10+('ФАКТ ЧИСТ К3'!G23)*СПРАВОЧНИК!$M$10+('ФАКТ ЧИСТ К3'!H23)*СПРАВОЧНИК!$N$10+('ФАКТ ЧИСТ К3'!I23)*СПРАВОЧНИК!$O$10)+СПРАВОЧНИК!$F$11*(('ФАКТ ЧИСТ К3'!J23)*СПРАВОЧНИК!$L$11+('ФАКТ ЧИСТ К3'!K23)*СПРАВОЧНИК!$M$11+('ФАКТ ЧИСТ К3'!L23)*СПРАВОЧНИК!$N$11)+СПРАВОЧНИК!$F$12*(('ФАКТ ЧИСТ К3'!M23)*СПРАВОЧНИК!$L$12+('ФАКТ ЧИСТ К3'!N23)*СПРАВОЧНИК!$M$12+('ФАКТ ЧИСТ К3'!O23)*СПРАВОЧНИК!$N$12+('ФАКТ ЧИСТ К3'!P23)*СПРАВОЧНИК!$O$12)+СПРАВОЧНИК!$F$13*(('ФАКТ ЧИСТ К3'!Q23)*СПРАВОЧНИК!$L$13+('ФАКТ ЧИСТ К3'!R23)*СПРАВОЧНИК!$M$13+('ФАКТ ЧИСТ К3'!S23)*СПРАВОЧНИК!$N$13+('ФАКТ ЧИСТ К3'!T23)*СПРАВОЧНИК!$O$13)+СПРАВОЧНИК!$F$14*(('ФАКТ ЧИСТ К3'!U23)*СПРАВОЧНИК!$L$14+('ФАКТ ЧИСТ К3'!V23)*СПРАВОЧНИК!$M$14+('ФАКТ ЧИСТ К3'!W23)*СПРАВОЧНИК!$N$14)+СПРАВОЧНИК!$F$15*(('ФАКТ ЧИСТ К3'!X23)*СПРАВОЧНИК!$L$15+('ФАКТ ЧИСТ К3'!Y23)*СПРАВОЧНИК!$M$15+('ФАКТ ЧИСТ К3'!Z23)*СПРАВОЧНИК!$N$15)</f>
        <v/>
      </c>
      <c r="BK32" s="18">
        <f>BK31+7</f>
        <v/>
      </c>
      <c r="BL32" s="37">
        <f>'ПЛАН ЧЕРН К3'!B23*СПРАВОЧНИК!$H$9+'ПЛАН ЧЕРН К3'!C23*СПРАВОЧНИК!$I$9+'ПЛАН ЧЕРН К3'!D23*СПРАВОЧНИК!$J$9+'ПЛАН ЧЕРН К3'!E23*СПРАВОЧНИК!$H$10+'ПЛАН ЧЕРН К3'!F23*СПРАВОЧНИК!$I$10+'ПЛАН ЧЕРН К3'!G23*СПРАВОЧНИК!$J$10+'ПЛАН ЧЕРН К3'!H23*СПРАВОЧНИК!$H$11+'ПЛАН ЧЕРН К3'!I23*СПРАВОЧНИК!$I$11+'ПЛАН ЧЕРН К3'!J23*СПРАВОЧНИК!$J$11+'ПЛАН ЧЕРН К3'!K23*СПРАВОЧНИК!$H$12+'ПЛАН ЧЕРН К3'!L23*СПРАВОЧНИК!$I$12+'ПЛАН ЧЕРН К3'!M23*СПРАВОЧНИК!$J$12+'ПЛАН ЧЕРН К3'!N23*СПРАВОЧНИК!$H$13+'ПЛАН ЧЕРН К3'!O23*СПРАВОЧНИК!$I$13+'ПЛАН ЧЕРН К3'!P23*СПРАВОЧНИК!$J$13+'ПЛАН ЧЕРН К3'!Q23*СПРАВОЧНИК!$H$14+'ПЛАН ЧЕРН К3'!R23*СПРАВОЧНИК!$I$14+'ПЛАН ЧЕРН К3'!S23*СПРАВОЧНИК!$J$14+'ПЛАН ЧЕРН К3'!T23*СПРАВОЧНИК!$H$15+'ПЛАН ЧЕРН К3'!U23*СПРАВОЧНИК!$I$15+'ПЛАН ЧЕРН К3'!V23*СПРАВОЧНИК!$J$15</f>
        <v/>
      </c>
      <c r="BM32" s="40">
        <f>('ФАКТ ЧЕРН К3'!B23)*СПРАВОЧНИК!$H$9+('ФАКТ ЧЕРН К3'!C23)*СПРАВОЧНИК!$I$9+('ФАКТ ЧЕРН К3'!D23)*СПРАВОЧНИК!$J$9+('ФАКТ ЧЕРН К3'!E23)*СПРАВОЧНИК!$H$10+('ФАКТ ЧЕРН К3'!F23)*СПРАВОЧНИК!$I$10+('ФАКТ ЧЕРН К3'!G23)*СПРАВОЧНИК!$J$10+('ФАКТ ЧЕРН К3'!H23)*СПРАВОЧНИК!$H$11+('ФАКТ ЧЕРН К3'!I23)*СПРАВОЧНИК!$I$11+('ФАКТ ЧЕРН К3'!J23)*СПРАВОЧНИК!$J$11+('ФАКТ ЧЕРН К3'!K23)*СПРАВОЧНИК!$H$12+('ФАКТ ЧЕРН К3'!L23)*СПРАВОЧНИК!$I$12+('ФАКТ ЧЕРН К3'!M23)*СПРАВОЧНИК!$J$12+('ФАКТ ЧЕРН К3'!N23)*СПРАВОЧНИК!$H$13+('ФАКТ ЧЕРН К3'!O23)*СПРАВОЧНИК!$I$13+('ФАКТ ЧЕРН К3'!P23)*СПРАВОЧНИК!$J$13+('ФАКТ ЧЕРН К3'!Q23)*СПРАВОЧНИК!$H$14+('ФАКТ ЧЕРН К3'!R23)*СПРАВОЧНИК!$I$14+('ФАКТ ЧЕРН К3'!S23)*СПРАВОЧНИК!$J$14+('ФАКТ ЧЕРН К3'!T23)*СПРАВОЧНИК!$H$15+('ФАКТ ЧЕРН К3'!U23)*СПРАВОЧНИК!$I$15+('ФАКТ ЧЕРН К3'!V23)*СПРАВОЧНИК!$J$15</f>
        <v/>
      </c>
      <c r="BQ32" s="18">
        <f>BQ31+7</f>
        <v/>
      </c>
      <c r="BR32" s="37">
        <f>'ПЛАН ЧИСТ К3'!B23*СПРАВОЧНИК!$L$9+'ПЛАН ЧИСТ К3'!C23*СПРАВОЧНИК!$M$9+'ПЛАН ЧИСТ К3'!D23*СПРАВОЧНИК!$N$9+'ПЛАН ЧИСТ К3'!E23*СПРАВОЧНИК!$O$9+'ПЛАН ЧИСТ К3'!F23*СПРАВОЧНИК!$L$10+'ПЛАН ЧИСТ К3'!G23*СПРАВОЧНИК!$M$10+'ПЛАН ЧИСТ К3'!H23*СПРАВОЧНИК!$N$10+'ПЛАН ЧИСТ К3'!I23*СПРАВОЧНИК!$O$10+'ПЛАН ЧИСТ К3'!J23*СПРАВОЧНИК!$L$11+'ПЛАН ЧИСТ К3'!K23*СПРАВОЧНИК!$M$11+'ПЛАН ЧИСТ К3'!L23*СПРАВОЧНИК!$N$11+'ПЛАН ЧИСТ К3'!M23*СПРАВОЧНИК!$L$12+'ПЛАН ЧИСТ К3'!N23*СПРАВОЧНИК!$M$12+'ПЛАН ЧИСТ К3'!O23*СПРАВОЧНИК!$N$12+'ПЛАН ЧИСТ К3'!P23*СПРАВОЧНИК!$O$12+'ПЛАН ЧИСТ К3'!Q23*СПРАВОЧНИК!$L$13+'ПЛАН ЧИСТ К3'!R23*СПРАВОЧНИК!$M$13+'ПЛАН ЧИСТ К3'!S23*СПРАВОЧНИК!$N$13+'ПЛАН ЧИСТ К3'!T23*СПРАВОЧНИК!$O$13+'ПЛАН ЧИСТ К3'!U23*СПРАВОЧНИК!$L$14+'ПЛАН ЧИСТ К3'!V23*СПРАВОЧНИК!$M$14+'ПЛАН ЧИСТ К3'!W23*СПРАВОЧНИК!$N$14+'ПЛАН ЧИСТ К3'!X23*СПРАВОЧНИК!$L$15+'ПЛАН ЧИСТ К3'!Y23*СПРАВОЧНИК!$M$15+'ПЛАН ЧИСТ К3'!Z23*СПРАВОЧНИК!$N$15</f>
        <v/>
      </c>
      <c r="BS32" s="40">
        <f>('ФАКТ ЧИСТ К3'!B23)*СПРАВОЧНИК!$L$9+('ФАКТ ЧИСТ К3'!C23)*СПРАВОЧНИК!$M$9+('ФАКТ ЧИСТ К3'!D23)*СПРАВОЧНИК!$N$9+('ФАКТ ЧИСТ К3'!E23)*СПРАВОЧНИК!$O$9+('ФАКТ ЧИСТ К3'!F23)*СПРАВОЧНИК!$L$10+('ФАКТ ЧИСТ К3'!G23)*СПРАВОЧНИК!$M$10+('ФАКТ ЧИСТ К3'!H23)*СПРАВОЧНИК!$N$10+('ФАКТ ЧИСТ К3'!I23)*СПРАВОЧНИК!$O$10+('ФАКТ ЧИСТ К3'!J23)*СПРАВОЧНИК!$L$11+('ФАКТ ЧИСТ К3'!K23)*СПРАВОЧНИК!$M$11+('ФАКТ ЧИСТ К3'!L23)*СПРАВОЧНИК!$N$11+('ФАКТ ЧИСТ К3'!M23)*СПРАВОЧНИК!$L$12+('ФАКТ ЧИСТ К3'!N23)*СПРАВОЧНИК!$M$12+('ФАКТ ЧИСТ К3'!O23)*СПРАВОЧНИК!$N$12+('ФАКТ ЧИСТ К3'!P23)*СПРАВОЧНИК!$O$12+('ФАКТ ЧИСТ К3'!Q23)*СПРАВОЧНИК!$L$13+('ФАКТ ЧИСТ К3'!R23)*СПРАВОЧНИК!$M$13+('ФАКТ ЧИСТ К3'!S23)*СПРАВОЧНИК!$N$13+('ФАКТ ЧИСТ К3'!T23)*СПРАВОЧНИК!$O$13+('ФАКТ ЧИСТ К3'!U23)*СПРАВОЧНИК!$L$14+('ФАКТ ЧИСТ К3'!V23)*СПРАВОЧНИК!$M$14+('ФАКТ ЧИСТ К3'!W23)*СПРАВОЧНИК!$N$14+('ФАКТ ЧИСТ К3'!X23)*СПРАВОЧНИК!$L$15+('ФАКТ ЧИСТ К3'!Y23)*СПРАВОЧНИК!$M$15+('ФАКТ ЧИСТ К3'!Z23)*СПРАВОЧНИК!$N$15</f>
        <v/>
      </c>
      <c r="BW32" s="18">
        <f>BW31+7</f>
        <v/>
      </c>
      <c r="BX32" s="37">
        <f>V32+AN32+BF32</f>
        <v/>
      </c>
      <c r="BY32" s="40">
        <f>W32+AO32+BG32</f>
        <v/>
      </c>
      <c r="CC32" s="18">
        <f>CC31+7</f>
        <v/>
      </c>
      <c r="CD32" s="37">
        <f>AB32+AT32+BL32</f>
        <v/>
      </c>
      <c r="CE32" s="40">
        <f>AC32+AU32+BM32</f>
        <v/>
      </c>
      <c r="CI32" s="18">
        <f>CI31+7</f>
        <v/>
      </c>
      <c r="CJ32" s="37">
        <f>AH32+AZ32+BR32</f>
        <v/>
      </c>
      <c r="CK32" s="40">
        <f>AI32+BA32+BS32</f>
        <v/>
      </c>
      <c r="CO32" s="18">
        <f>CO31+7</f>
        <v/>
      </c>
      <c r="CP32" s="37">
        <f>D32+BX32</f>
        <v/>
      </c>
      <c r="CQ32" s="40">
        <f>E32+BY32</f>
        <v/>
      </c>
      <c r="CU32" s="18">
        <f>CU31+7</f>
        <v/>
      </c>
      <c r="CV32" s="37">
        <f>J32+CD32</f>
        <v/>
      </c>
      <c r="CW32" s="40">
        <f>K32+CE32</f>
        <v/>
      </c>
      <c r="DA32" s="18">
        <f>DA31+7</f>
        <v/>
      </c>
      <c r="DB32" s="37">
        <f>P32+CJ32</f>
        <v/>
      </c>
      <c r="DC32" s="40">
        <f>Q32+CK32</f>
        <v/>
      </c>
    </row>
    <row r="33">
      <c r="C33" s="18">
        <f>C32+7</f>
        <v/>
      </c>
      <c r="D33" s="37">
        <f>СПРАВОЧНИК!$E$3*('ПЛАН ЧЕРН ПОДЗЕМ'!B24*СПРАВОЧНИК!$H$3+'ПЛАН ЧЕРН ПОДЗЕМ'!C24*СПРАВОЧНИК!$I$3+'ПЛАН ЧЕРН ПОДЗЕМ'!D24*СПРАВОЧНИК!$J$3)+СПРАВОЧНИК!$E$4*('ПЛАН ЧЕРН ПОДЗЕМ'!E24*СПРАВОЧНИК!$H$4+'ПЛАН ЧЕРН ПОДЗЕМ'!F24*СПРАВОЧНИК!$I$4+'ПЛАН ЧЕРН ПОДЗЕМ'!G24*СПРАВОЧНИК!$J$4)+СПРАВОЧНИК!$E$5*('ПЛАН ЧЕРН ПОДЗЕМ'!H24*СПРАВОЧНИК!$H$5+'ПЛАН ЧЕРН ПОДЗЕМ'!I24*СПРАВОЧНИК!$I$5+'ПЛАН ЧЕРН ПОДЗЕМ'!J24*СПРАВОЧНИК!$J$5)+СПРАВОЧНИК!$E$6*('ПЛАН ЧЕРН ПОДЗЕМ'!K24*СПРАВОЧНИК!$H$6+'ПЛАН ЧЕРН ПОДЗЕМ'!L24*СПРАВОЧНИК!$I$6+'ПЛАН ЧЕРН ПОДЗЕМ'!M24*СПРАВОЧНИК!$J$6)+СПРАВОЧНИК!$E$7*('ПЛАН ЧЕРН ПОДЗЕМ'!N24*СПРАВОЧНИК!$H$7+'ПЛАН ЧЕРН ПОДЗЕМ'!O24*СПРАВОЧНИК!$I$7+'ПЛАН ЧЕРН ПОДЗЕМ'!P24*СПРАВОЧНИК!$J$7)+СПРАВОЧНИК!$E$8*('ПЛАН ЧЕРН ПОДЗЕМ'!Q24*СПРАВОЧНИК!$H$8+'ПЛАН ЧЕРН ПОДЗЕМ'!R24*СПРАВОЧНИК!$I$8+'ПЛАН ЧЕРН ПОДЗЕМ'!S24*СПРАВОЧНИК!$J$8)+СПРАВОЧНИК!$F$3*('ПЛАН ЧИСТ ПОДЗЕМ'!B24*СПРАВОЧНИК!$L$3+'ПЛАН ЧИСТ ПОДЗЕМ'!C24*СПРАВОЧНИК!$M$3+'ПЛАН ЧИСТ ПОДЗЕМ'!D24*СПРАВОЧНИК!$N$3+'ПЛАН ЧИСТ ПОДЗЕМ'!E24*СПРАВОЧНИК!$O$3)+СПРАВОЧНИК!$F$4*('ПЛАН ЧИСТ ПОДЗЕМ'!F24*СПРАВОЧНИК!$L$4+'ПЛАН ЧИСТ ПОДЗЕМ'!G24*СПРАВОЧНИК!$M$4+'ПЛАН ЧИСТ ПОДЗЕМ'!H24*СПРАВОЧНИК!$N$4+'ПЛАН ЧИСТ ПОДЗЕМ'!I24*СПРАВОЧНИК!$O$4)+СПРАВОЧНИК!$F$5*('ПЛАН ЧИСТ ПОДЗЕМ'!J24*СПРАВОЧНИК!$L$5+'ПЛАН ЧИСТ ПОДЗЕМ'!K24*СПРАВОЧНИК!$M$5+'ПЛАН ЧИСТ ПОДЗЕМ'!L24*СПРАВОЧНИК!$N$5)+СПРАВОЧНИК!$F$6*('ПЛАН ЧИСТ ПОДЗЕМ'!M24*СПРАВОЧНИК!$L$6+'ПЛАН ЧИСТ ПОДЗЕМ'!N24*СПРАВОЧНИК!$M$6+'ПЛАН ЧИСТ ПОДЗЕМ'!O24*СПРАВОЧНИК!$N$6+'ПЛАН ЧИСТ ПОДЗЕМ'!P24*СПРАВОЧНИК!$O$6)+СПРАВОЧНИК!$F$7*('ПЛАН ЧИСТ ПОДЗЕМ'!Q24*СПРАВОЧНИК!$L$7+'ПЛАН ЧИСТ ПОДЗЕМ'!R24*СПРАВОЧНИК!$M$7+'ПЛАН ЧИСТ ПОДЗЕМ'!S24*СПРАВОЧНИК!$N$7+'ПЛАН ЧИСТ ПОДЗЕМ'!T24*СПРАВОЧНИК!$O$7)+СПРАВОЧНИК!$F$8*('ПЛАН ЧИСТ ПОДЗЕМ'!U24*СПРАВОЧНИК!$L$8+'ПЛАН ЧИСТ ПОДЗЕМ'!V24*СПРАВОЧНИК!$M$8+'ПЛАН ЧИСТ ПОДЗЕМ'!W24*СПРАВОЧНИК!$N$8)</f>
        <v/>
      </c>
      <c r="E33" s="40">
        <f>СПРАВОЧНИК!$E$3*(('ФАКТ ЧЕРН ПОДЗЕМ'!B24)*СПРАВОЧНИК!$H$3+('ФАКТ ЧЕРН ПОДЗЕМ'!C24)*СПРАВОЧНИК!$I$3+('ФАКТ ЧЕРН ПОДЗЕМ'!D24)*СПРАВОЧНИК!$J$3)+СПРАВОЧНИК!$E$4*(('ФАКТ ЧЕРН ПОДЗЕМ'!E24)*СПРАВОЧНИК!$H$4+('ФАКТ ЧЕРН ПОДЗЕМ'!F24)*СПРАВОЧНИК!$I$4+('ФАКТ ЧЕРН ПОДЗЕМ'!G24)*СПРАВОЧНИК!$J$4)+СПРАВОЧНИК!$E$5*(('ФАКТ ЧЕРН ПОДЗЕМ'!H24)*СПРАВОЧНИК!$H$5+('ФАКТ ЧЕРН ПОДЗЕМ'!I24)*СПРАВОЧНИК!$I$5+('ФАКТ ЧЕРН ПОДЗЕМ'!J24)*СПРАВОЧНИК!$J$5)+СПРАВОЧНИК!$E$6*(('ФАКТ ЧЕРН ПОДЗЕМ'!K24)*СПРАВОЧНИК!$H$6+('ФАКТ ЧЕРН ПОДЗЕМ'!L24)*СПРАВОЧНИК!$I$6+('ФАКТ ЧЕРН ПОДЗЕМ'!M24)*СПРАВОЧНИК!$J$6)+СПРАВОЧНИК!$E$7*(('ФАКТ ЧЕРН ПОДЗЕМ'!N24)*СПРАВОЧНИК!$H$7+('ФАКТ ЧЕРН ПОДЗЕМ'!O24)*СПРАВОЧНИК!$I$7+('ФАКТ ЧЕРН ПОДЗЕМ'!P24)*СПРАВОЧНИК!$J$7)+СПРАВОЧНИК!$E$8*(('ФАКТ ЧЕРН ПОДЗЕМ'!Q24)*СПРАВОЧНИК!$H$8+('ФАКТ ЧЕРН ПОДЗЕМ'!R24)*СПРАВОЧНИК!$I$8+('ФАКТ ЧЕРН ПОДЗЕМ'!S24)*СПРАВОЧНИК!$J$8)+СПРАВОЧНИК!$F$3*(('ФАКТ ЧИСТ ПОДЗЕМ'!B24)*СПРАВОЧНИК!$L$3+('ФАКТ ЧИСТ ПОДЗЕМ'!C24)*СПРАВОЧНИК!$M$3+('ФАКТ ЧИСТ ПОДЗЕМ'!D24)*СПРАВОЧНИК!$N$3+('ФАКТ ЧИСТ ПОДЗЕМ'!E24)*СПРАВОЧНИК!$O$3)+СПРАВОЧНИК!$F$4*(('ФАКТ ЧИСТ ПОДЗЕМ'!F24)*СПРАВОЧНИК!$L$4+('ФАКТ ЧИСТ ПОДЗЕМ'!G24)*СПРАВОЧНИК!$M$4+('ФАКТ ЧИСТ ПОДЗЕМ'!H24)*СПРАВОЧНИК!$N$4+('ФАКТ ЧИСТ ПОДЗЕМ'!I24)*СПРАВОЧНИК!$O$4)+СПРАВОЧНИК!$F$5*(('ФАКТ ЧИСТ ПОДЗЕМ'!J24)*СПРАВОЧНИК!$L$5+('ФАКТ ЧИСТ ПОДЗЕМ'!K24)*СПРАВОЧНИК!$M$5+('ФАКТ ЧИСТ ПОДЗЕМ'!L24)*СПРАВОЧНИК!$N$5)+СПРАВОЧНИК!$F$6*(('ФАКТ ЧИСТ ПОДЗЕМ'!M24)*СПРАВОЧНИК!$L$6+('ФАКТ ЧИСТ ПОДЗЕМ'!N24)*СПРАВОЧНИК!$M$6+('ФАКТ ЧИСТ ПОДЗЕМ'!O24)*СПРАВОЧНИК!$N$6+('ФАКТ ЧИСТ ПОДЗЕМ'!P24)*СПРАВОЧНИК!$O$6)+СПРАВОЧНИК!$F$7*(('ФАКТ ЧИСТ ПОДЗЕМ'!Q24)*СПРАВОЧНИК!$L$7+('ФАКТ ЧИСТ ПОДЗЕМ'!R24)*СПРАВОЧНИК!$M$7+('ФАКТ ЧИСТ ПОДЗЕМ'!S24)*СПРАВОЧНИК!$N$7+('ФАКТ ЧИСТ ПОДЗЕМ'!T24)*СПРАВОЧНИК!$O$7)+СПРАВОЧНИК!$F$8*(('ФАКТ ЧИСТ ПОДЗЕМ'!U24)*СПРАВОЧНИК!$L$8+('ФАКТ ЧИСТ ПОДЗЕМ'!V24)*СПРАВОЧНИК!$M$8+('ФАКТ ЧИСТ ПОДЗЕМ'!W24)*СПРАВОЧНИК!$N$8)</f>
        <v/>
      </c>
      <c r="I33" s="18">
        <f>I32+7</f>
        <v/>
      </c>
      <c r="J33" s="37">
        <f>'ПЛАН ЧЕРН ПОДЗЕМ'!B24*СПРАВОЧНИК!$H$3+'ПЛАН ЧЕРН ПОДЗЕМ'!C24*СПРАВОЧНИК!$I$3+'ПЛАН ЧЕРН ПОДЗЕМ'!D24*СПРАВОЧНИК!$J$3+'ПЛАН ЧЕРН ПОДЗЕМ'!E24*СПРАВОЧНИК!$H$4+'ПЛАН ЧЕРН ПОДЗЕМ'!F24*СПРАВОЧНИК!$I$4+'ПЛАН ЧЕРН ПОДЗЕМ'!G24*СПРАВОЧНИК!$J$4+'ПЛАН ЧЕРН ПОДЗЕМ'!H24*СПРАВОЧНИК!$H$5+'ПЛАН ЧЕРН ПОДЗЕМ'!I24*СПРАВОЧНИК!$I$5+'ПЛАН ЧЕРН ПОДЗЕМ'!J24*СПРАВОЧНИК!$J$5+'ПЛАН ЧЕРН ПОДЗЕМ'!K24*СПРАВОЧНИК!$H$6+'ПЛАН ЧЕРН ПОДЗЕМ'!L24*СПРАВОЧНИК!$I$6+'ПЛАН ЧЕРН ПОДЗЕМ'!M24*СПРАВОЧНИК!$J$6+'ПЛАН ЧЕРН ПОДЗЕМ'!N24*СПРАВОЧНИК!$H$7+'ПЛАН ЧЕРН ПОДЗЕМ'!O24*СПРАВОЧНИК!$I$7+'ПЛАН ЧЕРН ПОДЗЕМ'!P24*СПРАВОЧНИК!$J$7+'ПЛАН ЧЕРН ПОДЗЕМ'!Q24*СПРАВОЧНИК!$H$8+'ПЛАН ЧЕРН ПОДЗЕМ'!R24*СПРАВОЧНИК!$I$8+'ПЛАН ЧЕРН ПОДЗЕМ'!S24*СПРАВОЧНИК!$J$8</f>
        <v/>
      </c>
      <c r="K33" s="40">
        <f>('ФАКТ ЧЕРН ПОДЗЕМ'!B24)*СПРАВОЧНИК!$H$3+('ФАКТ ЧЕРН ПОДЗЕМ'!C24)*СПРАВОЧНИК!$I$3+('ФАКТ ЧЕРН ПОДЗЕМ'!D24)*СПРАВОЧНИК!$J$3+('ФАКТ ЧЕРН ПОДЗЕМ'!E24)*СПРАВОЧНИК!$H$4+('ФАКТ ЧЕРН ПОДЗЕМ'!F24)*СПРАВОЧНИК!$I$4+('ФАКТ ЧЕРН ПОДЗЕМ'!G24)*СПРАВОЧНИК!$J$4+('ФАКТ ЧЕРН ПОДЗЕМ'!H24)*СПРАВОЧНИК!$H$5+('ФАКТ ЧЕРН ПОДЗЕМ'!I24)*СПРАВОЧНИК!$I$5+('ФАКТ ЧЕРН ПОДЗЕМ'!J24)*СПРАВОЧНИК!$J$5+('ФАКТ ЧЕРН ПОДЗЕМ'!K24)*СПРАВОЧНИК!$H$6+('ФАКТ ЧЕРН ПОДЗЕМ'!L24)*СПРАВОЧНИК!$I$6+('ФАКТ ЧЕРН ПОДЗЕМ'!M24)*СПРАВОЧНИК!$J$6+('ФАКТ ЧЕРН ПОДЗЕМ'!N24)*СПРАВОЧНИК!$H$7+('ФАКТ ЧЕРН ПОДЗЕМ'!O24)*СПРАВОЧНИК!$I$7+('ФАКТ ЧЕРН ПОДЗЕМ'!P24)*СПРАВОЧНИК!$J$7+('ФАКТ ЧЕРН ПОДЗЕМ'!Q24)*СПРАВОЧНИК!$H$8+('ФАКТ ЧЕРН ПОДЗЕМ'!R24)*СПРАВОЧНИК!$I$8+('ФАКТ ЧЕРН ПОДЗЕМ'!S24)*СПРАВОЧНИК!$J$8</f>
        <v/>
      </c>
      <c r="O33" s="18">
        <f>O32+7</f>
        <v/>
      </c>
      <c r="P33" s="37">
        <f>'ПЛАН ЧИСТ ПОДЗЕМ'!B24*СПРАВОЧНИК!$L$3+'ПЛАН ЧИСТ ПОДЗЕМ'!C24*СПРАВОЧНИК!$M$3+'ПЛАН ЧИСТ ПОДЗЕМ'!D24*СПРАВОЧНИК!$N$3+'ПЛАН ЧИСТ ПОДЗЕМ'!E24*СПРАВОЧНИК!$O$3+'ПЛАН ЧИСТ ПОДЗЕМ'!F24*СПРАВОЧНИК!$L$4+'ПЛАН ЧИСТ ПОДЗЕМ'!G24*СПРАВОЧНИК!$M$4+'ПЛАН ЧИСТ ПОДЗЕМ'!H24*СПРАВОЧНИК!$N$4+'ПЛАН ЧИСТ ПОДЗЕМ'!I24*СПРАВОЧНИК!$O$4+'ПЛАН ЧИСТ ПОДЗЕМ'!J24*СПРАВОЧНИК!$L$5+'ПЛАН ЧИСТ ПОДЗЕМ'!K24*СПРАВОЧНИК!$M$5+'ПЛАН ЧИСТ ПОДЗЕМ'!L24*СПРАВОЧНИК!$N$5+'ПЛАН ЧИСТ ПОДЗЕМ'!M24*СПРАВОЧНИК!$L$6+'ПЛАН ЧИСТ ПОДЗЕМ'!N24*СПРАВОЧНИК!$M$6+'ПЛАН ЧИСТ ПОДЗЕМ'!O24*СПРАВОЧНИК!$N$6+'ПЛАН ЧИСТ ПОДЗЕМ'!P24*СПРАВОЧНИК!$O$6+'ПЛАН ЧИСТ ПОДЗЕМ'!Q24*СПРАВОЧНИК!$L$7+'ПЛАН ЧИСТ ПОДЗЕМ'!R24*СПРАВОЧНИК!$M$7+'ПЛАН ЧИСТ ПОДЗЕМ'!S24*СПРАВОЧНИК!$N$7+'ПЛАН ЧИСТ ПОДЗЕМ'!T24*СПРАВОЧНИК!$O$7+'ПЛАН ЧИСТ ПОДЗЕМ'!U24*СПРАВОЧНИК!$L$8+'ПЛАН ЧИСТ ПОДЗЕМ'!V24*СПРАВОЧНИК!$M$8+'ПЛАН ЧИСТ ПОДЗЕМ'!W24*СПРАВОЧНИК!$N$8</f>
        <v/>
      </c>
      <c r="Q33" s="40">
        <f>('ФАКТ ЧИСТ ПОДЗЕМ'!B24)*СПРАВОЧНИК!$L$3+('ФАКТ ЧИСТ ПОДЗЕМ'!C24)*СПРАВОЧНИК!$M$3+('ФАКТ ЧИСТ ПОДЗЕМ'!D24)*СПРАВОЧНИК!$N$3+('ФАКТ ЧИСТ ПОДЗЕМ'!E24)*СПРАВОЧНИК!$O$3+('ФАКТ ЧИСТ ПОДЗЕМ'!F24)*СПРАВОЧНИК!$L$4+('ФАКТ ЧИСТ ПОДЗЕМ'!G24)*СПРАВОЧНИК!$M$4+('ФАКТ ЧИСТ ПОДЗЕМ'!H24)*СПРАВОЧНИК!$N$4+('ФАКТ ЧИСТ ПОДЗЕМ'!I24)*СПРАВОЧНИК!$O$4+('ФАКТ ЧИСТ ПОДЗЕМ'!J24)*СПРАВОЧНИК!$L$5+('ФАКТ ЧИСТ ПОДЗЕМ'!K24)*СПРАВОЧНИК!$M$5+('ФАКТ ЧИСТ ПОДЗЕМ'!L24)*СПРАВОЧНИК!$N$5+('ФАКТ ЧИСТ ПОДЗЕМ'!M24)*СПРАВОЧНИК!$L$6+('ФАКТ ЧИСТ ПОДЗЕМ'!N24)*СПРАВОЧНИК!$M$6+('ФАКТ ЧИСТ ПОДЗЕМ'!O24)*СПРАВОЧНИК!$N$6+('ФАКТ ЧИСТ ПОДЗЕМ'!P24)*СПРАВОЧНИК!$O$6+('ФАКТ ЧИСТ ПОДЗЕМ'!Q24)*СПРАВОЧНИК!$L$7+('ФАКТ ЧИСТ ПОДЗЕМ'!R24)*СПРАВОЧНИК!$M$7+('ФАКТ ЧИСТ ПОДЗЕМ'!S24)*СПРАВОЧНИК!$N$7+('ФАКТ ЧИСТ ПОДЗЕМ'!T24)*СПРАВОЧНИК!$O$7+('ФАКТ ЧИСТ ПОДЗЕМ'!U24)*СПРАВОЧНИК!$L$8+('ФАКТ ЧИСТ ПОДЗЕМ'!V24)*СПРАВОЧНИК!$M$8+('ФАКТ ЧИСТ ПОДЗЕМ'!W24)*СПРАВОЧНИК!$N$8</f>
        <v/>
      </c>
      <c r="U33" s="18">
        <f>U32+7</f>
        <v/>
      </c>
      <c r="V33" s="37">
        <f>СПРАВОЧНИК!$E$9*('ПЛАН ЧЕРН К1'!B24*СПРАВОЧНИК!$H$9+'ПЛАН ЧЕРН К1'!C24*СПРАВОЧНИК!$I$9+'ПЛАН ЧЕРН К1'!D24*СПРАВОЧНИК!$J$9)+СПРАВОЧНИК!$E$10*('ПЛАН ЧЕРН К1'!E24*СПРАВОЧНИК!$H$10+'ПЛАН ЧЕРН К1'!F24*СПРАВОЧНИК!$I$10+'ПЛАН ЧЕРН К1'!G24*СПРАВОЧНИК!$J$10)+СПРАВОЧНИК!$E$11*('ПЛАН ЧЕРН К1'!H24*СПРАВОЧНИК!$H$11+'ПЛАН ЧЕРН К1'!I24*СПРАВОЧНИК!$I$11+'ПЛАН ЧЕРН К1'!J24*СПРАВОЧНИК!$J$11)+СПРАВОЧНИК!$E$12*('ПЛАН ЧЕРН К1'!K24*СПРАВОЧНИК!$H$12+'ПЛАН ЧЕРН К1'!L24*СПРАВОЧНИК!$I$12+'ПЛАН ЧЕРН К1'!M24*СПРАВОЧНИК!$J$12)+СПРАВОЧНИК!$E$13*('ПЛАН ЧЕРН К1'!N24*СПРАВОЧНИК!$H$13+'ПЛАН ЧЕРН К1'!O24*СПРАВОЧНИК!$I$13+'ПЛАН ЧЕРН К1'!P24*СПРАВОЧНИК!$J$13)+СПРАВОЧНИК!$E$14*('ПЛАН ЧЕРН К1'!Q24*СПРАВОЧНИК!$H$14+'ПЛАН ЧЕРН К1'!R24*СПРАВОЧНИК!$I$14+'ПЛАН ЧЕРН К1'!S24*СПРАВОЧНИК!$J$14)+СПРАВОЧНИК!$E$15*('ПЛАН ЧЕРН К1'!T24*СПРАВОЧНИК!$H$15+'ПЛАН ЧЕРН К1'!U24*СПРАВОЧНИК!$I$15+'ПЛАН ЧЕРН К1'!V24*СПРАВОЧНИК!$J$15)+СПРАВОЧНИК!$F$9*('ПЛАН ЧИСТ К1'!B24*СПРАВОЧНИК!$L$9+'ПЛАН ЧИСТ К1'!C24*СПРАВОЧНИК!$M$9+'ПЛАН ЧИСТ К1'!D24*СПРАВОЧНИК!$N$9+'ПЛАН ЧИСТ К1'!E24*СПРАВОЧНИК!$O$9)+СПРАВОЧНИК!$F$10*('ПЛАН ЧИСТ К1'!F24*СПРАВОЧНИК!$L$10+'ПЛАН ЧИСТ К1'!G24*СПРАВОЧНИК!$M$10+'ПЛАН ЧИСТ К1'!H24*СПРАВОЧНИК!$N$10+'ПЛАН ЧИСТ К1'!I24*СПРАВОЧНИК!$O$10)+СПРАВОЧНИК!$F$11*('ПЛАН ЧИСТ К1'!J24*СПРАВОЧНИК!$L$11+'ПЛАН ЧИСТ К1'!K24*СПРАВОЧНИК!$M$11+'ПЛАН ЧИСТ К1'!L24*СПРАВОЧНИК!$N$11)+СПРАВОЧНИК!$F$12*('ПЛАН ЧИСТ К1'!M24*СПРАВОЧНИК!$L$12+'ПЛАН ЧИСТ К1'!N24*СПРАВОЧНИК!$M$12+'ПЛАН ЧИСТ К1'!O24*СПРАВОЧНИК!$N$12+'ПЛАН ЧИСТ К1'!P24*СПРАВОЧНИК!$O$12)+СПРАВОЧНИК!$F$13*('ПЛАН ЧИСТ К1'!Q24*СПРАВОЧНИК!$L$13+'ПЛАН ЧИСТ К1'!R24*СПРАВОЧНИК!$M$13+'ПЛАН ЧИСТ К1'!S24*СПРАВОЧНИК!$N$13+'ПЛАН ЧИСТ К1'!T24*СПРАВОЧНИК!$O$13)+СПРАВОЧНИК!$F$14*('ПЛАН ЧИСТ К1'!U24*СПРАВОЧНИК!$L$14+'ПЛАН ЧИСТ К1'!V24*СПРАВОЧНИК!$M$14+'ПЛАН ЧИСТ К1'!W24*СПРАВОЧНИК!$N$14)+СПРАВОЧНИК!$F$15*('ПЛАН ЧИСТ К1'!X24*СПРАВОЧНИК!$L$15+'ПЛАН ЧИСТ К1'!Y24*СПРАВОЧНИК!$M$15+'ПЛАН ЧИСТ К1'!Z24*СПРАВОЧНИК!$N$15)</f>
        <v/>
      </c>
      <c r="W33" s="40">
        <f>СПРАВОЧНИК!$E$9*(('ФАКТ ЧЕРН К1'!B24)*СПРАВОЧНИК!$H$9+('ФАКТ ЧЕРН К1'!C24)*СПРАВОЧНИК!$I$9+('ФАКТ ЧЕРН К1'!D24)*СПРАВОЧНИК!$J$9)+СПРАВОЧНИК!$E$10*(('ФАКТ ЧЕРН К1'!E24)*СПРАВОЧНИК!$H$10+('ФАКТ ЧЕРН К1'!F24)*СПРАВОЧНИК!$I$10+('ФАКТ ЧЕРН К1'!G24)*СПРАВОЧНИК!$J$10)+СПРАВОЧНИК!$E$11*(('ФАКТ ЧЕРН К1'!H24)*СПРАВОЧНИК!$H$11+('ФАКТ ЧЕРН К1'!I24)*СПРАВОЧНИК!$I$11+('ФАКТ ЧЕРН К1'!J24)*СПРАВОЧНИК!$J$11)+СПРАВОЧНИК!$E$12*(('ФАКТ ЧЕРН К1'!K24)*СПРАВОЧНИК!$H$12+('ФАКТ ЧЕРН К1'!L24)*СПРАВОЧНИК!$I$12+('ФАКТ ЧЕРН К1'!M24)*СПРАВОЧНИК!$J$12)+СПРАВОЧНИК!$E$13*(('ФАКТ ЧЕРН К1'!N24)*СПРАВОЧНИК!$H$13+('ФАКТ ЧЕРН К1'!O24)*СПРАВОЧНИК!$I$13+('ФАКТ ЧЕРН К1'!P24)*СПРАВОЧНИК!$J$13)+СПРАВОЧНИК!$E$14*(('ФАКТ ЧЕРН К1'!Q24)*СПРАВОЧНИК!$H$14+('ФАКТ ЧЕРН К1'!R24)*СПРАВОЧНИК!$I$14+('ФАКТ ЧЕРН К1'!S24)*СПРАВОЧНИК!$J$14)+СПРАВОЧНИК!$E$15*(('ФАКТ ЧЕРН К1'!T24)*СПРАВОЧНИК!$H$15+('ФАКТ ЧЕРН К1'!U24)*СПРАВОЧНИК!$I$15+('ФАКТ ЧЕРН К1'!V24)*СПРАВОЧНИК!$J$15)+СПРАВОЧНИК!$F$9*(('ФАКТ ЧИСТ К1'!B24)*СПРАВОЧНИК!$L$9+('ФАКТ ЧИСТ К1'!C24)*СПРАВОЧНИК!$M$9+('ФАКТ ЧИСТ К1'!D24)*СПРАВОЧНИК!$N$9+('ФАКТ ЧИСТ К1'!E24)*СПРАВОЧНИК!$O$9)+СПРАВОЧНИК!$F$10*(('ФАКТ ЧИСТ К1'!F24)*СПРАВОЧНИК!$L$10+('ФАКТ ЧИСТ К1'!G24)*СПРАВОЧНИК!$M$10+('ФАКТ ЧИСТ К1'!H24)*СПРАВОЧНИК!$N$10+('ФАКТ ЧИСТ К1'!I24)*СПРАВОЧНИК!$O$10)+СПРАВОЧНИК!$F$11*(('ФАКТ ЧИСТ К1'!J24)*СПРАВОЧНИК!$L$11+('ФАКТ ЧИСТ К1'!K24)*СПРАВОЧНИК!$M$11+('ФАКТ ЧИСТ К1'!L24)*СПРАВОЧНИК!$N$11)+СПРАВОЧНИК!$F$12*(('ФАКТ ЧИСТ К1'!M24)*СПРАВОЧНИК!$L$12+('ФАКТ ЧИСТ К1'!N24)*СПРАВОЧНИК!$M$12+('ФАКТ ЧИСТ К1'!O24)*СПРАВОЧНИК!$N$12+('ФАКТ ЧИСТ К1'!P24)*СПРАВОЧНИК!$O$12)+СПРАВОЧНИК!$F$13*(('ФАКТ ЧИСТ К1'!Q24)*СПРАВОЧНИК!$L$13+('ФАКТ ЧИСТ К1'!R24)*СПРАВОЧНИК!$M$13+('ФАКТ ЧИСТ К1'!S24)*СПРАВОЧНИК!$N$13+('ФАКТ ЧИСТ К1'!T24)*СПРАВОЧНИК!$O$13)+СПРАВОЧНИК!$F$14*(('ФАКТ ЧИСТ К1'!U24)*СПРАВОЧНИК!$L$14+('ФАКТ ЧИСТ К1'!V24)*СПРАВОЧНИК!$M$14+('ФАКТ ЧИСТ К1'!W24)*СПРАВОЧНИК!$N$14)+СПРАВОЧНИК!$F$15*(('ФАКТ ЧИСТ К1'!X24)*СПРАВОЧНИК!$L$15+('ФАКТ ЧИСТ К1'!Y24)*СПРАВОЧНИК!$M$15+('ФАКТ ЧИСТ К1'!Z24)*СПРАВОЧНИК!$N$15)</f>
        <v/>
      </c>
      <c r="AA33" s="18">
        <f>AA32+7</f>
        <v/>
      </c>
      <c r="AB33" s="37">
        <f>'ПЛАН ЧЕРН К1'!B24*СПРАВОЧНИК!$H$9+'ПЛАН ЧЕРН К1'!C24*СПРАВОЧНИК!$I$9+'ПЛАН ЧЕРН К1'!D24*СПРАВОЧНИК!$J$9+'ПЛАН ЧЕРН К1'!E24*СПРАВОЧНИК!$H$10+'ПЛАН ЧЕРН К1'!F24*СПРАВОЧНИК!$I$10+'ПЛАН ЧЕРН К1'!G24*СПРАВОЧНИК!$J$10+'ПЛАН ЧЕРН К1'!H24*СПРАВОЧНИК!$H$11+'ПЛАН ЧЕРН К1'!I24*СПРАВОЧНИК!$I$11+'ПЛАН ЧЕРН К1'!J24*СПРАВОЧНИК!$J$11+'ПЛАН ЧЕРН К1'!K24*СПРАВОЧНИК!$H$12+'ПЛАН ЧЕРН К1'!L24*СПРАВОЧНИК!$I$12+'ПЛАН ЧЕРН К1'!M24*СПРАВОЧНИК!$J$12+'ПЛАН ЧЕРН К1'!N24*СПРАВОЧНИК!$H$13+'ПЛАН ЧЕРН К1'!O24*СПРАВОЧНИК!$I$13+'ПЛАН ЧЕРН К1'!P24*СПРАВОЧНИК!$J$13+'ПЛАН ЧЕРН К1'!Q24*СПРАВОЧНИК!$H$14+'ПЛАН ЧЕРН К1'!R24*СПРАВОЧНИК!$I$14+'ПЛАН ЧЕРН К1'!S24*СПРАВОЧНИК!$J$14+'ПЛАН ЧЕРН К1'!T24*СПРАВОЧНИК!$H$15+'ПЛАН ЧЕРН К1'!U24*СПРАВОЧНИК!$I$15+'ПЛАН ЧЕРН К1'!V24*СПРАВОЧНИК!$J$15</f>
        <v/>
      </c>
      <c r="AC33" s="40">
        <f>('ФАКТ ЧЕРН К1'!B24)*СПРАВОЧНИК!$H$9+('ФАКТ ЧЕРН К1'!C24)*СПРАВОЧНИК!$I$9+('ФАКТ ЧЕРН К1'!D24)*СПРАВОЧНИК!$J$9+('ФАКТ ЧЕРН К1'!E24)*СПРАВОЧНИК!$H$10+('ФАКТ ЧЕРН К1'!F24)*СПРАВОЧНИК!$I$10+('ФАКТ ЧЕРН К1'!G24)*СПРАВОЧНИК!$J$10+('ФАКТ ЧЕРН К1'!H24)*СПРАВОЧНИК!$H$11+('ФАКТ ЧЕРН К1'!I24)*СПРАВОЧНИК!$I$11+('ФАКТ ЧЕРН К1'!J24)*СПРАВОЧНИК!$J$11+('ФАКТ ЧЕРН К1'!K24)*СПРАВОЧНИК!$H$12+('ФАКТ ЧЕРН К1'!L24)*СПРАВОЧНИК!$I$12+('ФАКТ ЧЕРН К1'!M24)*СПРАВОЧНИК!$J$12+('ФАКТ ЧЕРН К1'!N24)*СПРАВОЧНИК!$H$13+('ФАКТ ЧЕРН К1'!O24)*СПРАВОЧНИК!$I$13+('ФАКТ ЧЕРН К1'!P24)*СПРАВОЧНИК!$J$13+('ФАКТ ЧЕРН К1'!Q24)*СПРАВОЧНИК!$H$14+('ФАКТ ЧЕРН К1'!R24)*СПРАВОЧНИК!$I$14+('ФАКТ ЧЕРН К1'!S24)*СПРАВОЧНИК!$J$14+('ФАКТ ЧЕРН К1'!T24)*СПРАВОЧНИК!$H$15+('ФАКТ ЧЕРН К1'!U24)*СПРАВОЧНИК!$I$15+('ФАКТ ЧЕРН К1'!V24)*СПРАВОЧНИК!$J$15</f>
        <v/>
      </c>
      <c r="AG33" s="18">
        <f>AG32+7</f>
        <v/>
      </c>
      <c r="AH33" s="37">
        <f>'ПЛАН ЧИСТ К1'!B24*СПРАВОЧНИК!$L$9+'ПЛАН ЧИСТ К1'!C24*СПРАВОЧНИК!$M$9+'ПЛАН ЧИСТ К1'!D24*СПРАВОЧНИК!$N$9+'ПЛАН ЧИСТ К1'!E24*СПРАВОЧНИК!$O$9+'ПЛАН ЧИСТ К1'!F24*СПРАВОЧНИК!$L$10+'ПЛАН ЧИСТ К1'!G24*СПРАВОЧНИК!$M$10+'ПЛАН ЧИСТ К1'!H24*СПРАВОЧНИК!$N$10+'ПЛАН ЧИСТ К1'!I24*СПРАВОЧНИК!$O$10+'ПЛАН ЧИСТ К1'!J24*СПРАВОЧНИК!$L$11+'ПЛАН ЧИСТ К1'!K24*СПРАВОЧНИК!$M$11+'ПЛАН ЧИСТ К1'!L24*СПРАВОЧНИК!$N$11+'ПЛАН ЧИСТ К1'!M24*СПРАВОЧНИК!$L$12+'ПЛАН ЧИСТ К1'!N24*СПРАВОЧНИК!$M$12+'ПЛАН ЧИСТ К1'!O24*СПРАВОЧНИК!$N$12+'ПЛАН ЧИСТ К1'!P24*СПРАВОЧНИК!$O$12+'ПЛАН ЧИСТ К1'!Q24*СПРАВОЧНИК!$L$13+'ПЛАН ЧИСТ К1'!R24*СПРАВОЧНИК!$M$13+'ПЛАН ЧИСТ К1'!S24*СПРАВОЧНИК!$N$13+'ПЛАН ЧИСТ К1'!T24*СПРАВОЧНИК!$O$13+'ПЛАН ЧИСТ К1'!U24*СПРАВОЧНИК!$L$14+'ПЛАН ЧИСТ К1'!V24*СПРАВОЧНИК!$M$14+'ПЛАН ЧИСТ К1'!W24*СПРАВОЧНИК!$N$14+'ПЛАН ЧИСТ К1'!X24*СПРАВОЧНИК!$L$15+'ПЛАН ЧИСТ К1'!Y24*СПРАВОЧНИК!$M$15+'ПЛАН ЧИСТ К1'!Z24*СПРАВОЧНИК!$N$15</f>
        <v/>
      </c>
      <c r="AI33" s="40">
        <f>('ФАКТ ЧИСТ К1'!B24)*СПРАВОЧНИК!$L$9+('ФАКТ ЧИСТ К1'!C24)*СПРАВОЧНИК!$M$9+('ФАКТ ЧИСТ К1'!D24)*СПРАВОЧНИК!$N$9+('ФАКТ ЧИСТ К1'!E24)*СПРАВОЧНИК!$O$9+('ФАКТ ЧИСТ К1'!F24)*СПРАВОЧНИК!$L$10+('ФАКТ ЧИСТ К1'!G24)*СПРАВОЧНИК!$M$10+('ФАКТ ЧИСТ К1'!H24)*СПРАВОЧНИК!$N$10+('ФАКТ ЧИСТ К1'!I24)*СПРАВОЧНИК!$O$10+('ФАКТ ЧИСТ К1'!J24)*СПРАВОЧНИК!$L$11+('ФАКТ ЧИСТ К1'!K24)*СПРАВОЧНИК!$M$11+('ФАКТ ЧИСТ К1'!L24)*СПРАВОЧНИК!$N$11+('ФАКТ ЧИСТ К1'!M24)*СПРАВОЧНИК!$L$12+('ФАКТ ЧИСТ К1'!N24)*СПРАВОЧНИК!$M$12+('ФАКТ ЧИСТ К1'!O24)*СПРАВОЧНИК!$N$12+('ФАКТ ЧИСТ К1'!P24)*СПРАВОЧНИК!$O$12+('ФАКТ ЧИСТ К1'!Q24)*СПРАВОЧНИК!$L$13+('ФАКТ ЧИСТ К1'!R24)*СПРАВОЧНИК!$M$13+('ФАКТ ЧИСТ К1'!S24)*СПРАВОЧНИК!$N$13+('ФАКТ ЧИСТ К1'!T24)*СПРАВОЧНИК!$O$13+('ФАКТ ЧИСТ К1'!U24)*СПРАВОЧНИК!$L$14+('ФАКТ ЧИСТ К1'!V24)*СПРАВОЧНИК!$M$14+('ФАКТ ЧИСТ К1'!W24)*СПРАВОЧНИК!$N$14+('ФАКТ ЧИСТ К1'!X24)*СПРАВОЧНИК!$L$15+('ФАКТ ЧИСТ К1'!Y24)*СПРАВОЧНИК!$M$15+('ФАКТ ЧИСТ К1'!Z24)*СПРАВОЧНИК!$N$15</f>
        <v/>
      </c>
      <c r="AM33" s="18">
        <f>AM32+7</f>
        <v/>
      </c>
      <c r="AN33" s="37">
        <f>СПРАВОЧНИК!$E$9*('ПЛАН ЧЕРН К2'!B24*СПРАВОЧНИК!$H$9+'ПЛАН ЧЕРН К2'!C24*СПРАВОЧНИК!$I$9+'ПЛАН ЧЕРН К2'!D24*СПРАВОЧНИК!$J$9)+СПРАВОЧНИК!$E$10*('ПЛАН ЧЕРН К2'!E24*СПРАВОЧНИК!$H$10+'ПЛАН ЧЕРН К2'!F24*СПРАВОЧНИК!$I$10+'ПЛАН ЧЕРН К2'!G24*СПРАВОЧНИК!$J$10)+СПРАВОЧНИК!$E$11*('ПЛАН ЧЕРН К2'!H24*СПРАВОЧНИК!$H$11+'ПЛАН ЧЕРН К2'!I24*СПРАВОЧНИК!$I$11+'ПЛАН ЧЕРН К2'!J24*СПРАВОЧНИК!$J$11)+СПРАВОЧНИК!$E$12*('ПЛАН ЧЕРН К2'!K24*СПРАВОЧНИК!$H$12+'ПЛАН ЧЕРН К2'!L24*СПРАВОЧНИК!$I$12+'ПЛАН ЧЕРН К2'!M24*СПРАВОЧНИК!$J$12)+СПРАВОЧНИК!$E$13*('ПЛАН ЧЕРН К2'!N24*СПРАВОЧНИК!$H$13+'ПЛАН ЧЕРН К2'!O24*СПРАВОЧНИК!$I$13+'ПЛАН ЧЕРН К2'!P24*СПРАВОЧНИК!$J$13)+СПРАВОЧНИК!$E$14*('ПЛАН ЧЕРН К2'!Q24*СПРАВОЧНИК!$H$14+'ПЛАН ЧЕРН К2'!R24*СПРАВОЧНИК!$I$14+'ПЛАН ЧЕРН К2'!S24*СПРАВОЧНИК!$J$14)+СПРАВОЧНИК!$E$15*('ПЛАН ЧЕРН К2'!T24*СПРАВОЧНИК!$H$15+'ПЛАН ЧЕРН К2'!U24*СПРАВОЧНИК!$I$15+'ПЛАН ЧЕРН К2'!V24*СПРАВОЧНИК!$J$15)+СПРАВОЧНИК!$F$9*('ПЛАН ЧИСТ К2'!B24*СПРАВОЧНИК!$L$9+'ПЛАН ЧИСТ К2'!C24*СПРАВОЧНИК!$M$9+'ПЛАН ЧИСТ К2'!D24*СПРАВОЧНИК!$N$9+'ПЛАН ЧИСТ К2'!E24*СПРАВОЧНИК!$O$9)+СПРАВОЧНИК!$F$10*('ПЛАН ЧИСТ К2'!F24*СПРАВОЧНИК!$L$10+'ПЛАН ЧИСТ К2'!G24*СПРАВОЧНИК!$M$10+'ПЛАН ЧИСТ К2'!H24*СПРАВОЧНИК!$N$10+'ПЛАН ЧИСТ К2'!I24*СПРАВОЧНИК!$O$10)+СПРАВОЧНИК!$F$11*('ПЛАН ЧИСТ К2'!J24*СПРАВОЧНИК!$L$11+'ПЛАН ЧИСТ К2'!K24*СПРАВОЧНИК!$M$11+'ПЛАН ЧИСТ К2'!L24*СПРАВОЧНИК!$N$11)+СПРАВОЧНИК!$F$12*('ПЛАН ЧИСТ К2'!M24*СПРАВОЧНИК!$L$12+'ПЛАН ЧИСТ К2'!N24*СПРАВОЧНИК!$M$12+'ПЛАН ЧИСТ К2'!O24*СПРАВОЧНИК!$N$12+'ПЛАН ЧИСТ К2'!P24*СПРАВОЧНИК!$O$12)+СПРАВОЧНИК!$F$13*('ПЛАН ЧИСТ К2'!Q24*СПРАВОЧНИК!$L$13+'ПЛАН ЧИСТ К2'!R24*СПРАВОЧНИК!$M$13+'ПЛАН ЧИСТ К2'!S24*СПРАВОЧНИК!$N$13+'ПЛАН ЧИСТ К2'!T24*СПРАВОЧНИК!$O$13)+СПРАВОЧНИК!$F$14*('ПЛАН ЧИСТ К2'!U24*СПРАВОЧНИК!$L$14+'ПЛАН ЧИСТ К2'!V24*СПРАВОЧНИК!$M$14+'ПЛАН ЧИСТ К2'!W24*СПРАВОЧНИК!$N$14)+СПРАВОЧНИК!$F$15*('ПЛАН ЧИСТ К2'!X24*СПРАВОЧНИК!$L$15+'ПЛАН ЧИСТ К2'!Y24*СПРАВОЧНИК!$M$15+'ПЛАН ЧИСТ К2'!Z24*СПРАВОЧНИК!$N$15)</f>
        <v/>
      </c>
      <c r="AO33" s="40">
        <f>СПРАВОЧНИК!$E$9*(('ФАКТ ЧЕРН К2'!B24)*СПРАВОЧНИК!$H$9+('ФАКТ ЧЕРН К2'!C24)*СПРАВОЧНИК!$I$9+('ФАКТ ЧЕРН К2'!D24)*СПРАВОЧНИК!$J$9)+СПРАВОЧНИК!$E$10*(('ФАКТ ЧЕРН К2'!E24)*СПРАВОЧНИК!$H$10+('ФАКТ ЧЕРН К2'!F24)*СПРАВОЧНИК!$I$10+('ФАКТ ЧЕРН К2'!G24)*СПРАВОЧНИК!$J$10)+СПРАВОЧНИК!$E$11*(('ФАКТ ЧЕРН К2'!H24)*СПРАВОЧНИК!$H$11+('ФАКТ ЧЕРН К2'!I24)*СПРАВОЧНИК!$I$11+('ФАКТ ЧЕРН К2'!J24)*СПРАВОЧНИК!$J$11)+СПРАВОЧНИК!$E$12*(('ФАКТ ЧЕРН К2'!K24)*СПРАВОЧНИК!$H$12+('ФАКТ ЧЕРН К2'!L24)*СПРАВОЧНИК!$I$12+('ФАКТ ЧЕРН К2'!M24)*СПРАВОЧНИК!$J$12)+СПРАВОЧНИК!$E$13*(('ФАКТ ЧЕРН К2'!N24)*СПРАВОЧНИК!$H$13+('ФАКТ ЧЕРН К2'!O24)*СПРАВОЧНИК!$I$13+('ФАКТ ЧЕРН К2'!P24)*СПРАВОЧНИК!$J$13)+СПРАВОЧНИК!$E$14*(('ФАКТ ЧЕРН К2'!Q24)*СПРАВОЧНИК!$H$14+('ФАКТ ЧЕРН К2'!R24)*СПРАВОЧНИК!$I$14+('ФАКТ ЧЕРН К2'!S24)*СПРАВОЧНИК!$J$14)+СПРАВОЧНИК!$E$15*(('ФАКТ ЧЕРН К2'!T24)*СПРАВОЧНИК!$H$15+('ФАКТ ЧЕРН К2'!U24)*СПРАВОЧНИК!$I$15+('ФАКТ ЧЕРН К2'!V24)*СПРАВОЧНИК!$J$15)+СПРАВОЧНИК!$F$9*(('ФАКТ ЧИСТ К2'!B24)*СПРАВОЧНИК!$L$9+('ФАКТ ЧИСТ К2'!C24)*СПРАВОЧНИК!$M$9+('ФАКТ ЧИСТ К2'!D24)*СПРАВОЧНИК!$N$9+('ФАКТ ЧИСТ К2'!E24)*СПРАВОЧНИК!$O$9)+СПРАВОЧНИК!$F$10*(('ФАКТ ЧИСТ К2'!F24)*СПРАВОЧНИК!$L$10+('ФАКТ ЧИСТ К2'!G24)*СПРАВОЧНИК!$M$10+('ФАКТ ЧИСТ К2'!H24)*СПРАВОЧНИК!$N$10+('ФАКТ ЧИСТ К2'!I24)*СПРАВОЧНИК!$O$10)+СПРАВОЧНИК!$F$11*(('ФАКТ ЧИСТ К2'!J24)*СПРАВОЧНИК!$L$11+('ФАКТ ЧИСТ К2'!K24)*СПРАВОЧНИК!$M$11+('ФАКТ ЧИСТ К2'!L24)*СПРАВОЧНИК!$N$11)+СПРАВОЧНИК!$F$12*(('ФАКТ ЧИСТ К2'!M24)*СПРАВОЧНИК!$L$12+('ФАКТ ЧИСТ К2'!N24)*СПРАВОЧНИК!$M$12+('ФАКТ ЧИСТ К2'!O24)*СПРАВОЧНИК!$N$12+('ФАКТ ЧИСТ К2'!P24)*СПРАВОЧНИК!$O$12)+СПРАВОЧНИК!$F$13*(('ФАКТ ЧИСТ К2'!Q24)*СПРАВОЧНИК!$L$13+('ФАКТ ЧИСТ К2'!R24)*СПРАВОЧНИК!$M$13+('ФАКТ ЧИСТ К2'!S24)*СПРАВОЧНИК!$N$13+('ФАКТ ЧИСТ К2'!T24)*СПРАВОЧНИК!$O$13)+СПРАВОЧНИК!$F$14*(('ФАКТ ЧИСТ К2'!U24)*СПРАВОЧНИК!$L$14+('ФАКТ ЧИСТ К2'!V24)*СПРАВОЧНИК!$M$14+('ФАКТ ЧИСТ К2'!W24)*СПРАВОЧНИК!$N$14)+СПРАВОЧНИК!$F$15*(('ФАКТ ЧИСТ К2'!X24)*СПРАВОЧНИК!$L$15+('ФАКТ ЧИСТ К2'!Y24)*СПРАВОЧНИК!$M$15+('ФАКТ ЧИСТ К2'!Z24)*СПРАВОЧНИК!$N$15)</f>
        <v/>
      </c>
      <c r="AS33" s="18">
        <f>AS32+7</f>
        <v/>
      </c>
      <c r="AT33" s="37">
        <f>'ПЛАН ЧЕРН К2'!B24*СПРАВОЧНИК!$H$9+'ПЛАН ЧЕРН К2'!C24*СПРАВОЧНИК!$I$9+'ПЛАН ЧЕРН К2'!D24*СПРАВОЧНИК!$J$9+'ПЛАН ЧЕРН К2'!E24*СПРАВОЧНИК!$H$10+'ПЛАН ЧЕРН К2'!F24*СПРАВОЧНИК!$I$10+'ПЛАН ЧЕРН К2'!G24*СПРАВОЧНИК!$J$10+'ПЛАН ЧЕРН К2'!H24*СПРАВОЧНИК!$H$11+'ПЛАН ЧЕРН К2'!I24*СПРАВОЧНИК!$I$11+'ПЛАН ЧЕРН К2'!J24*СПРАВОЧНИК!$J$11+'ПЛАН ЧЕРН К2'!K24*СПРАВОЧНИК!$H$12+'ПЛАН ЧЕРН К2'!L24*СПРАВОЧНИК!$I$12+'ПЛАН ЧЕРН К2'!M24*СПРАВОЧНИК!$J$12+'ПЛАН ЧЕРН К2'!N24*СПРАВОЧНИК!$H$13+'ПЛАН ЧЕРН К2'!O24*СПРАВОЧНИК!$I$13+'ПЛАН ЧЕРН К2'!P24*СПРАВОЧНИК!$J$13+'ПЛАН ЧЕРН К2'!Q24*СПРАВОЧНИК!$H$14+'ПЛАН ЧЕРН К2'!R24*СПРАВОЧНИК!$I$14+'ПЛАН ЧЕРН К2'!S24*СПРАВОЧНИК!$J$14+'ПЛАН ЧЕРН К2'!T24*СПРАВОЧНИК!$H$15+'ПЛАН ЧЕРН К2'!U24*СПРАВОЧНИК!$I$15+'ПЛАН ЧЕРН К2'!V24*СПРАВОЧНИК!$J$15</f>
        <v/>
      </c>
      <c r="AU33" s="40">
        <f>('ФАКТ ЧЕРН К2'!B24)*СПРАВОЧНИК!$H$9+('ФАКТ ЧЕРН К2'!C24)*СПРАВОЧНИК!$I$9+('ФАКТ ЧЕРН К2'!D24)*СПРАВОЧНИК!$J$9+('ФАКТ ЧЕРН К2'!E24)*СПРАВОЧНИК!$H$10+('ФАКТ ЧЕРН К2'!F24)*СПРАВОЧНИК!$I$10+('ФАКТ ЧЕРН К2'!G24)*СПРАВОЧНИК!$J$10+('ФАКТ ЧЕРН К2'!H24)*СПРАВОЧНИК!$H$11+('ФАКТ ЧЕРН К2'!I24)*СПРАВОЧНИК!$I$11+('ФАКТ ЧЕРН К2'!J24)*СПРАВОЧНИК!$J$11+('ФАКТ ЧЕРН К2'!K24)*СПРАВОЧНИК!$H$12+('ФАКТ ЧЕРН К2'!L24)*СПРАВОЧНИК!$I$12+('ФАКТ ЧЕРН К2'!M24)*СПРАВОЧНИК!$J$12+('ФАКТ ЧЕРН К2'!N24)*СПРАВОЧНИК!$H$13+('ФАКТ ЧЕРН К2'!O24)*СПРАВОЧНИК!$I$13+('ФАКТ ЧЕРН К2'!P24)*СПРАВОЧНИК!$J$13+('ФАКТ ЧЕРН К2'!Q24)*СПРАВОЧНИК!$H$14+('ФАКТ ЧЕРН К2'!R24)*СПРАВОЧНИК!$I$14+('ФАКТ ЧЕРН К2'!S24)*СПРАВОЧНИК!$J$14+('ФАКТ ЧЕРН К2'!T24)*СПРАВОЧНИК!$H$15+('ФАКТ ЧЕРН К2'!U24)*СПРАВОЧНИК!$I$15+('ФАКТ ЧЕРН К2'!V24)*СПРАВОЧНИК!$J$15</f>
        <v/>
      </c>
      <c r="AY33" s="18">
        <f>AY32+7</f>
        <v/>
      </c>
      <c r="AZ33" s="37">
        <f>'ПЛАН ЧИСТ К2'!B24*СПРАВОЧНИК!$L$9+'ПЛАН ЧИСТ К2'!C24*СПРАВОЧНИК!$M$9+'ПЛАН ЧИСТ К2'!D24*СПРАВОЧНИК!$N$9+'ПЛАН ЧИСТ К2'!E24*СПРАВОЧНИК!$O$9+'ПЛАН ЧИСТ К2'!F24*СПРАВОЧНИК!$L$10+'ПЛАН ЧИСТ К2'!G24*СПРАВОЧНИК!$M$10+'ПЛАН ЧИСТ К2'!H24*СПРАВОЧНИК!$N$10+'ПЛАН ЧИСТ К2'!I24*СПРАВОЧНИК!$O$10+'ПЛАН ЧИСТ К2'!J24*СПРАВОЧНИК!$L$11+'ПЛАН ЧИСТ К2'!K24*СПРАВОЧНИК!$M$11+'ПЛАН ЧИСТ К2'!L24*СПРАВОЧНИК!$N$11+'ПЛАН ЧИСТ К2'!M24*СПРАВОЧНИК!$L$12+'ПЛАН ЧИСТ К2'!N24*СПРАВОЧНИК!$M$12+'ПЛАН ЧИСТ К2'!O24*СПРАВОЧНИК!$N$12+'ПЛАН ЧИСТ К2'!P24*СПРАВОЧНИК!$O$12+'ПЛАН ЧИСТ К2'!Q24*СПРАВОЧНИК!$L$13+'ПЛАН ЧИСТ К2'!R24*СПРАВОЧНИК!$M$13+'ПЛАН ЧИСТ К2'!S24*СПРАВОЧНИК!$N$13+'ПЛАН ЧИСТ К2'!T24*СПРАВОЧНИК!$O$13+'ПЛАН ЧИСТ К2'!U24*СПРАВОЧНИК!$L$14+'ПЛАН ЧИСТ К2'!V24*СПРАВОЧНИК!$M$14+'ПЛАН ЧИСТ К2'!W24*СПРАВОЧНИК!$N$14+'ПЛАН ЧИСТ К2'!X24*СПРАВОЧНИК!$L$15+'ПЛАН ЧИСТ К2'!Y24*СПРАВОЧНИК!$M$15+'ПЛАН ЧИСТ К2'!Z24*СПРАВОЧНИК!$N$15</f>
        <v/>
      </c>
      <c r="BA33" s="40">
        <f>('ФАКТ ЧИСТ К2'!B24)*СПРАВОЧНИК!$L$9+('ФАКТ ЧИСТ К2'!C24)*СПРАВОЧНИК!$M$9+('ФАКТ ЧИСТ К2'!D24)*СПРАВОЧНИК!$N$9+('ФАКТ ЧИСТ К2'!E24)*СПРАВОЧНИК!$O$9+('ФАКТ ЧИСТ К2'!F24)*СПРАВОЧНИК!$L$10+('ФАКТ ЧИСТ К2'!G24)*СПРАВОЧНИК!$M$10+('ФАКТ ЧИСТ К2'!H24)*СПРАВОЧНИК!$N$10+('ФАКТ ЧИСТ К2'!I24)*СПРАВОЧНИК!$O$10+('ФАКТ ЧИСТ К2'!J24)*СПРАВОЧНИК!$L$11+('ФАКТ ЧИСТ К2'!K24)*СПРАВОЧНИК!$M$11+('ФАКТ ЧИСТ К2'!L24)*СПРАВОЧНИК!$N$11+('ФАКТ ЧИСТ К2'!M24)*СПРАВОЧНИК!$L$12+('ФАКТ ЧИСТ К2'!N24)*СПРАВОЧНИК!$M$12+('ФАКТ ЧИСТ К2'!O24)*СПРАВОЧНИК!$N$12+('ФАКТ ЧИСТ К2'!P24)*СПРАВОЧНИК!$O$12+('ФАКТ ЧИСТ К2'!Q24)*СПРАВОЧНИК!$L$13+('ФАКТ ЧИСТ К2'!R24)*СПРАВОЧНИК!$M$13+('ФАКТ ЧИСТ К2'!S24)*СПРАВОЧНИК!$N$13+('ФАКТ ЧИСТ К2'!T24)*СПРАВОЧНИК!$O$13+('ФАКТ ЧИСТ К2'!U24)*СПРАВОЧНИК!$L$14+('ФАКТ ЧИСТ К2'!V24)*СПРАВОЧНИК!$M$14+('ФАКТ ЧИСТ К2'!W24)*СПРАВОЧНИК!$N$14+('ФАКТ ЧИСТ К2'!X24)*СПРАВОЧНИК!$L$15+('ФАКТ ЧИСТ К2'!Y24)*СПРАВОЧНИК!$M$15+('ФАКТ ЧИСТ К2'!Z24)*СПРАВОЧНИК!$N$15</f>
        <v/>
      </c>
      <c r="BE33" s="18">
        <f>BE32+7</f>
        <v/>
      </c>
      <c r="BF33" s="37">
        <f>СПРАВОЧНИК!$E$9*('ПЛАН ЧЕРН К3'!B24*СПРАВОЧНИК!$H$9+'ПЛАН ЧЕРН К3'!C24*СПРАВОЧНИК!$I$9+'ПЛАН ЧЕРН К3'!D24*СПРАВОЧНИК!$J$9)+СПРАВОЧНИК!$E$10*('ПЛАН ЧЕРН К3'!E24*СПРАВОЧНИК!$H$10+'ПЛАН ЧЕРН К3'!F24*СПРАВОЧНИК!$I$10+'ПЛАН ЧЕРН К3'!G24*СПРАВОЧНИК!$J$10)+СПРАВОЧНИК!$E$11*('ПЛАН ЧЕРН К3'!H24*СПРАВОЧНИК!$H$11+'ПЛАН ЧЕРН К3'!I24*СПРАВОЧНИК!$I$11+'ПЛАН ЧЕРН К3'!J24*СПРАВОЧНИК!$J$11)+СПРАВОЧНИК!$E$12*('ПЛАН ЧЕРН К3'!K24*СПРАВОЧНИК!$H$12+'ПЛАН ЧЕРН К3'!L24*СПРАВОЧНИК!$I$12+'ПЛАН ЧЕРН К3'!M24*СПРАВОЧНИК!$J$12)+СПРАВОЧНИК!$E$13*('ПЛАН ЧЕРН К3'!N24*СПРАВОЧНИК!$H$13+'ПЛАН ЧЕРН К3'!O24*СПРАВОЧНИК!$I$13+'ПЛАН ЧЕРН К3'!P24*СПРАВОЧНИК!$J$13)+СПРАВОЧНИК!$E$14*('ПЛАН ЧЕРН К3'!Q24*СПРАВОЧНИК!$H$14+'ПЛАН ЧЕРН К3'!R24*СПРАВОЧНИК!$I$14+'ПЛАН ЧЕРН К3'!S24*СПРАВОЧНИК!$J$14)+СПРАВОЧНИК!$E$15*('ПЛАН ЧЕРН К3'!T24*СПРАВОЧНИК!$H$15+'ПЛАН ЧЕРН К3'!U24*СПРАВОЧНИК!$I$15+'ПЛАН ЧЕРН К3'!V24*СПРАВОЧНИК!$J$15)+СПРАВОЧНИК!$F$9*('ПЛАН ЧИСТ К3'!B24*СПРАВОЧНИК!$L$9+'ПЛАН ЧИСТ К3'!C24*СПРАВОЧНИК!$M$9+'ПЛАН ЧИСТ К3'!D24*СПРАВОЧНИК!$N$9+'ПЛАН ЧИСТ К3'!E24*СПРАВОЧНИК!$O$9)+СПРАВОЧНИК!$F$10*('ПЛАН ЧИСТ К3'!F24*СПРАВОЧНИК!$L$10+'ПЛАН ЧИСТ К3'!G24*СПРАВОЧНИК!$M$10+'ПЛАН ЧИСТ К3'!H24*СПРАВОЧНИК!$N$10+'ПЛАН ЧИСТ К3'!I24*СПРАВОЧНИК!$O$10)+СПРАВОЧНИК!$F$11*('ПЛАН ЧИСТ К3'!J24*СПРАВОЧНИК!$L$11+'ПЛАН ЧИСТ К3'!K24*СПРАВОЧНИК!$M$11+'ПЛАН ЧИСТ К3'!L24*СПРАВОЧНИК!$N$11)+СПРАВОЧНИК!$F$12*('ПЛАН ЧИСТ К3'!M24*СПРАВОЧНИК!$L$12+'ПЛАН ЧИСТ К3'!N24*СПРАВОЧНИК!$M$12+'ПЛАН ЧИСТ К3'!O24*СПРАВОЧНИК!$N$12+'ПЛАН ЧИСТ К3'!P24*СПРАВОЧНИК!$O$12)+СПРАВОЧНИК!$F$13*('ПЛАН ЧИСТ К3'!Q24*СПРАВОЧНИК!$L$13+'ПЛАН ЧИСТ К3'!R24*СПРАВОЧНИК!$M$13+'ПЛАН ЧИСТ К3'!S24*СПРАВОЧНИК!$N$13+'ПЛАН ЧИСТ К3'!T24*СПРАВОЧНИК!$O$13)+СПРАВОЧНИК!$F$14*('ПЛАН ЧИСТ К3'!U24*СПРАВОЧНИК!$L$14+'ПЛАН ЧИСТ К3'!V24*СПРАВОЧНИК!$M$14+'ПЛАН ЧИСТ К3'!W24*СПРАВОЧНИК!$N$14)+СПРАВОЧНИК!$F$15*('ПЛАН ЧИСТ К3'!X24*СПРАВОЧНИК!$L$15+'ПЛАН ЧИСТ К3'!Y24*СПРАВОЧНИК!$M$15+'ПЛАН ЧИСТ К3'!Z24*СПРАВОЧНИК!$N$15)</f>
        <v/>
      </c>
      <c r="BG33" s="40">
        <f>СПРАВОЧНИК!$E$9*(('ФАКТ ЧЕРН К3'!B24)*СПРАВОЧНИК!$H$9+('ФАКТ ЧЕРН К3'!C24)*СПРАВОЧНИК!$I$9+('ФАКТ ЧЕРН К3'!D24)*СПРАВОЧНИК!$J$9)+СПРАВОЧНИК!$E$10*(('ФАКТ ЧЕРН К3'!E24)*СПРАВОЧНИК!$H$10+('ФАКТ ЧЕРН К3'!F24)*СПРАВОЧНИК!$I$10+('ФАКТ ЧЕРН К3'!G24)*СПРАВОЧНИК!$J$10)+СПРАВОЧНИК!$E$11*(('ФАКТ ЧЕРН К3'!H24)*СПРАВОЧНИК!$H$11+('ФАКТ ЧЕРН К3'!I24)*СПРАВОЧНИК!$I$11+('ФАКТ ЧЕРН К3'!J24)*СПРАВОЧНИК!$J$11)+СПРАВОЧНИК!$E$12*(('ФАКТ ЧЕРН К3'!K24)*СПРАВОЧНИК!$H$12+('ФАКТ ЧЕРН К3'!L24)*СПРАВОЧНИК!$I$12+('ФАКТ ЧЕРН К3'!M24)*СПРАВОЧНИК!$J$12)+СПРАВОЧНИК!$E$13*(('ФАКТ ЧЕРН К3'!N24)*СПРАВОЧНИК!$H$13+('ФАКТ ЧЕРН К3'!O24)*СПРАВОЧНИК!$I$13+('ФАКТ ЧЕРН К3'!P24)*СПРАВОЧНИК!$J$13)+СПРАВОЧНИК!$E$14*(('ФАКТ ЧЕРН К3'!Q24)*СПРАВОЧНИК!$H$14+('ФАКТ ЧЕРН К3'!R24)*СПРАВОЧНИК!$I$14+('ФАКТ ЧЕРН К3'!S24)*СПРАВОЧНИК!$J$14)+СПРАВОЧНИК!$E$15*(('ФАКТ ЧЕРН К3'!T24)*СПРАВОЧНИК!$H$15+('ФАКТ ЧЕРН К3'!U24)*СПРАВОЧНИК!$I$15+('ФАКТ ЧЕРН К3'!V24)*СПРАВОЧНИК!$J$15)+СПРАВОЧНИК!$F$9*(('ФАКТ ЧИСТ К3'!B24)*СПРАВОЧНИК!$L$9+('ФАКТ ЧИСТ К3'!C24)*СПРАВОЧНИК!$M$9+('ФАКТ ЧИСТ К3'!D24)*СПРАВОЧНИК!$N$9+('ФАКТ ЧИСТ К3'!E24)*СПРАВОЧНИК!$O$9)+СПРАВОЧНИК!$F$10*(('ФАКТ ЧИСТ К3'!F24)*СПРАВОЧНИК!$L$10+('ФАКТ ЧИСТ К3'!G24)*СПРАВОЧНИК!$M$10+('ФАКТ ЧИСТ К3'!H24)*СПРАВОЧНИК!$N$10+('ФАКТ ЧИСТ К3'!I24)*СПРАВОЧНИК!$O$10)+СПРАВОЧНИК!$F$11*(('ФАКТ ЧИСТ К3'!J24)*СПРАВОЧНИК!$L$11+('ФАКТ ЧИСТ К3'!K24)*СПРАВОЧНИК!$M$11+('ФАКТ ЧИСТ К3'!L24)*СПРАВОЧНИК!$N$11)+СПРАВОЧНИК!$F$12*(('ФАКТ ЧИСТ К3'!M24)*СПРАВОЧНИК!$L$12+('ФАКТ ЧИСТ К3'!N24)*СПРАВОЧНИК!$M$12+('ФАКТ ЧИСТ К3'!O24)*СПРАВОЧНИК!$N$12+('ФАКТ ЧИСТ К3'!P24)*СПРАВОЧНИК!$O$12)+СПРАВОЧНИК!$F$13*(('ФАКТ ЧИСТ К3'!Q24)*СПРАВОЧНИК!$L$13+('ФАКТ ЧИСТ К3'!R24)*СПРАВОЧНИК!$M$13+('ФАКТ ЧИСТ К3'!S24)*СПРАВОЧНИК!$N$13+('ФАКТ ЧИСТ К3'!T24)*СПРАВОЧНИК!$O$13)+СПРАВОЧНИК!$F$14*(('ФАКТ ЧИСТ К3'!U24)*СПРАВОЧНИК!$L$14+('ФАКТ ЧИСТ К3'!V24)*СПРАВОЧНИК!$M$14+('ФАКТ ЧИСТ К3'!W24)*СПРАВОЧНИК!$N$14)+СПРАВОЧНИК!$F$15*(('ФАКТ ЧИСТ К3'!X24)*СПРАВОЧНИК!$L$15+('ФАКТ ЧИСТ К3'!Y24)*СПРАВОЧНИК!$M$15+('ФАКТ ЧИСТ К3'!Z24)*СПРАВОЧНИК!$N$15)</f>
        <v/>
      </c>
      <c r="BK33" s="18">
        <f>BK32+7</f>
        <v/>
      </c>
      <c r="BL33" s="37">
        <f>'ПЛАН ЧЕРН К3'!B24*СПРАВОЧНИК!$H$9+'ПЛАН ЧЕРН К3'!C24*СПРАВОЧНИК!$I$9+'ПЛАН ЧЕРН К3'!D24*СПРАВОЧНИК!$J$9+'ПЛАН ЧЕРН К3'!E24*СПРАВОЧНИК!$H$10+'ПЛАН ЧЕРН К3'!F24*СПРАВОЧНИК!$I$10+'ПЛАН ЧЕРН К3'!G24*СПРАВОЧНИК!$J$10+'ПЛАН ЧЕРН К3'!H24*СПРАВОЧНИК!$H$11+'ПЛАН ЧЕРН К3'!I24*СПРАВОЧНИК!$I$11+'ПЛАН ЧЕРН К3'!J24*СПРАВОЧНИК!$J$11+'ПЛАН ЧЕРН К3'!K24*СПРАВОЧНИК!$H$12+'ПЛАН ЧЕРН К3'!L24*СПРАВОЧНИК!$I$12+'ПЛАН ЧЕРН К3'!M24*СПРАВОЧНИК!$J$12+'ПЛАН ЧЕРН К3'!N24*СПРАВОЧНИК!$H$13+'ПЛАН ЧЕРН К3'!O24*СПРАВОЧНИК!$I$13+'ПЛАН ЧЕРН К3'!P24*СПРАВОЧНИК!$J$13+'ПЛАН ЧЕРН К3'!Q24*СПРАВОЧНИК!$H$14+'ПЛАН ЧЕРН К3'!R24*СПРАВОЧНИК!$I$14+'ПЛАН ЧЕРН К3'!S24*СПРАВОЧНИК!$J$14+'ПЛАН ЧЕРН К3'!T24*СПРАВОЧНИК!$H$15+'ПЛАН ЧЕРН К3'!U24*СПРАВОЧНИК!$I$15+'ПЛАН ЧЕРН К3'!V24*СПРАВОЧНИК!$J$15</f>
        <v/>
      </c>
      <c r="BM33" s="40">
        <f>('ФАКТ ЧЕРН К3'!B24)*СПРАВОЧНИК!$H$9+('ФАКТ ЧЕРН К3'!C24)*СПРАВОЧНИК!$I$9+('ФАКТ ЧЕРН К3'!D24)*СПРАВОЧНИК!$J$9+('ФАКТ ЧЕРН К3'!E24)*СПРАВОЧНИК!$H$10+('ФАКТ ЧЕРН К3'!F24)*СПРАВОЧНИК!$I$10+('ФАКТ ЧЕРН К3'!G24)*СПРАВОЧНИК!$J$10+('ФАКТ ЧЕРН К3'!H24)*СПРАВОЧНИК!$H$11+('ФАКТ ЧЕРН К3'!I24)*СПРАВОЧНИК!$I$11+('ФАКТ ЧЕРН К3'!J24)*СПРАВОЧНИК!$J$11+('ФАКТ ЧЕРН К3'!K24)*СПРАВОЧНИК!$H$12+('ФАКТ ЧЕРН К3'!L24)*СПРАВОЧНИК!$I$12+('ФАКТ ЧЕРН К3'!M24)*СПРАВОЧНИК!$J$12+('ФАКТ ЧЕРН К3'!N24)*СПРАВОЧНИК!$H$13+('ФАКТ ЧЕРН К3'!O24)*СПРАВОЧНИК!$I$13+('ФАКТ ЧЕРН К3'!P24)*СПРАВОЧНИК!$J$13+('ФАКТ ЧЕРН К3'!Q24)*СПРАВОЧНИК!$H$14+('ФАКТ ЧЕРН К3'!R24)*СПРАВОЧНИК!$I$14+('ФАКТ ЧЕРН К3'!S24)*СПРАВОЧНИК!$J$14+('ФАКТ ЧЕРН К3'!T24)*СПРАВОЧНИК!$H$15+('ФАКТ ЧЕРН К3'!U24)*СПРАВОЧНИК!$I$15+('ФАКТ ЧЕРН К3'!V24)*СПРАВОЧНИК!$J$15</f>
        <v/>
      </c>
      <c r="BQ33" s="18">
        <f>BQ32+7</f>
        <v/>
      </c>
      <c r="BR33" s="37">
        <f>'ПЛАН ЧИСТ К3'!B24*СПРАВОЧНИК!$L$9+'ПЛАН ЧИСТ К3'!C24*СПРАВОЧНИК!$M$9+'ПЛАН ЧИСТ К3'!D24*СПРАВОЧНИК!$N$9+'ПЛАН ЧИСТ К3'!E24*СПРАВОЧНИК!$O$9+'ПЛАН ЧИСТ К3'!F24*СПРАВОЧНИК!$L$10+'ПЛАН ЧИСТ К3'!G24*СПРАВОЧНИК!$M$10+'ПЛАН ЧИСТ К3'!H24*СПРАВОЧНИК!$N$10+'ПЛАН ЧИСТ К3'!I24*СПРАВОЧНИК!$O$10+'ПЛАН ЧИСТ К3'!J24*СПРАВОЧНИК!$L$11+'ПЛАН ЧИСТ К3'!K24*СПРАВОЧНИК!$M$11+'ПЛАН ЧИСТ К3'!L24*СПРАВОЧНИК!$N$11+'ПЛАН ЧИСТ К3'!M24*СПРАВОЧНИК!$L$12+'ПЛАН ЧИСТ К3'!N24*СПРАВОЧНИК!$M$12+'ПЛАН ЧИСТ К3'!O24*СПРАВОЧНИК!$N$12+'ПЛАН ЧИСТ К3'!P24*СПРАВОЧНИК!$O$12+'ПЛАН ЧИСТ К3'!Q24*СПРАВОЧНИК!$L$13+'ПЛАН ЧИСТ К3'!R24*СПРАВОЧНИК!$M$13+'ПЛАН ЧИСТ К3'!S24*СПРАВОЧНИК!$N$13+'ПЛАН ЧИСТ К3'!T24*СПРАВОЧНИК!$O$13+'ПЛАН ЧИСТ К3'!U24*СПРАВОЧНИК!$L$14+'ПЛАН ЧИСТ К3'!V24*СПРАВОЧНИК!$M$14+'ПЛАН ЧИСТ К3'!W24*СПРАВОЧНИК!$N$14+'ПЛАН ЧИСТ К3'!X24*СПРАВОЧНИК!$L$15+'ПЛАН ЧИСТ К3'!Y24*СПРАВОЧНИК!$M$15+'ПЛАН ЧИСТ К3'!Z24*СПРАВОЧНИК!$N$15</f>
        <v/>
      </c>
      <c r="BS33" s="40">
        <f>('ФАКТ ЧИСТ К3'!B24)*СПРАВОЧНИК!$L$9+('ФАКТ ЧИСТ К3'!C24)*СПРАВОЧНИК!$M$9+('ФАКТ ЧИСТ К3'!D24)*СПРАВОЧНИК!$N$9+('ФАКТ ЧИСТ К3'!E24)*СПРАВОЧНИК!$O$9+('ФАКТ ЧИСТ К3'!F24)*СПРАВОЧНИК!$L$10+('ФАКТ ЧИСТ К3'!G24)*СПРАВОЧНИК!$M$10+('ФАКТ ЧИСТ К3'!H24)*СПРАВОЧНИК!$N$10+('ФАКТ ЧИСТ К3'!I24)*СПРАВОЧНИК!$O$10+('ФАКТ ЧИСТ К3'!J24)*СПРАВОЧНИК!$L$11+('ФАКТ ЧИСТ К3'!K24)*СПРАВОЧНИК!$M$11+('ФАКТ ЧИСТ К3'!L24)*СПРАВОЧНИК!$N$11+('ФАКТ ЧИСТ К3'!M24)*СПРАВОЧНИК!$L$12+('ФАКТ ЧИСТ К3'!N24)*СПРАВОЧНИК!$M$12+('ФАКТ ЧИСТ К3'!O24)*СПРАВОЧНИК!$N$12+('ФАКТ ЧИСТ К3'!P24)*СПРАВОЧНИК!$O$12+('ФАКТ ЧИСТ К3'!Q24)*СПРАВОЧНИК!$L$13+('ФАКТ ЧИСТ К3'!R24)*СПРАВОЧНИК!$M$13+('ФАКТ ЧИСТ К3'!S24)*СПРАВОЧНИК!$N$13+('ФАКТ ЧИСТ К3'!T24)*СПРАВОЧНИК!$O$13+('ФАКТ ЧИСТ К3'!U24)*СПРАВОЧНИК!$L$14+('ФАКТ ЧИСТ К3'!V24)*СПРАВОЧНИК!$M$14+('ФАКТ ЧИСТ К3'!W24)*СПРАВОЧНИК!$N$14+('ФАКТ ЧИСТ К3'!X24)*СПРАВОЧНИК!$L$15+('ФАКТ ЧИСТ К3'!Y24)*СПРАВОЧНИК!$M$15+('ФАКТ ЧИСТ К3'!Z24)*СПРАВОЧНИК!$N$15</f>
        <v/>
      </c>
      <c r="BW33" s="18">
        <f>BW32+7</f>
        <v/>
      </c>
      <c r="BX33" s="37">
        <f>V33+AN33+BF33</f>
        <v/>
      </c>
      <c r="BY33" s="40">
        <f>W33+AO33+BG33</f>
        <v/>
      </c>
      <c r="CC33" s="18">
        <f>CC32+7</f>
        <v/>
      </c>
      <c r="CD33" s="37">
        <f>AB33+AT33+BL33</f>
        <v/>
      </c>
      <c r="CE33" s="40">
        <f>AC33+AU33+BM33</f>
        <v/>
      </c>
      <c r="CI33" s="18">
        <f>CI32+7</f>
        <v/>
      </c>
      <c r="CJ33" s="37">
        <f>AH33+AZ33+BR33</f>
        <v/>
      </c>
      <c r="CK33" s="40">
        <f>AI33+BA33+BS33</f>
        <v/>
      </c>
      <c r="CO33" s="18">
        <f>CO32+7</f>
        <v/>
      </c>
      <c r="CP33" s="37">
        <f>D33+BX33</f>
        <v/>
      </c>
      <c r="CQ33" s="40">
        <f>E33+BY33</f>
        <v/>
      </c>
      <c r="CU33" s="18">
        <f>CU32+7</f>
        <v/>
      </c>
      <c r="CV33" s="37">
        <f>J33+CD33</f>
        <v/>
      </c>
      <c r="CW33" s="40">
        <f>K33+CE33</f>
        <v/>
      </c>
      <c r="DA33" s="18">
        <f>DA32+7</f>
        <v/>
      </c>
      <c r="DB33" s="37">
        <f>P33+CJ33</f>
        <v/>
      </c>
      <c r="DC33" s="40">
        <f>Q33+CK33</f>
        <v/>
      </c>
    </row>
    <row r="34">
      <c r="C34" s="18">
        <f>C33+7</f>
        <v/>
      </c>
      <c r="D34" s="37">
        <f>СПРАВОЧНИК!$E$3*('ПЛАН ЧЕРН ПОДЗЕМ'!B25*СПРАВОЧНИК!$H$3+'ПЛАН ЧЕРН ПОДЗЕМ'!C25*СПРАВОЧНИК!$I$3+'ПЛАН ЧЕРН ПОДЗЕМ'!D25*СПРАВОЧНИК!$J$3)+СПРАВОЧНИК!$E$4*('ПЛАН ЧЕРН ПОДЗЕМ'!E25*СПРАВОЧНИК!$H$4+'ПЛАН ЧЕРН ПОДЗЕМ'!F25*СПРАВОЧНИК!$I$4+'ПЛАН ЧЕРН ПОДЗЕМ'!G25*СПРАВОЧНИК!$J$4)+СПРАВОЧНИК!$E$5*('ПЛАН ЧЕРН ПОДЗЕМ'!H25*СПРАВОЧНИК!$H$5+'ПЛАН ЧЕРН ПОДЗЕМ'!I25*СПРАВОЧНИК!$I$5+'ПЛАН ЧЕРН ПОДЗЕМ'!J25*СПРАВОЧНИК!$J$5)+СПРАВОЧНИК!$E$6*('ПЛАН ЧЕРН ПОДЗЕМ'!K25*СПРАВОЧНИК!$H$6+'ПЛАН ЧЕРН ПОДЗЕМ'!L25*СПРАВОЧНИК!$I$6+'ПЛАН ЧЕРН ПОДЗЕМ'!M25*СПРАВОЧНИК!$J$6)+СПРАВОЧНИК!$E$7*('ПЛАН ЧЕРН ПОДЗЕМ'!N25*СПРАВОЧНИК!$H$7+'ПЛАН ЧЕРН ПОДЗЕМ'!O25*СПРАВОЧНИК!$I$7+'ПЛАН ЧЕРН ПОДЗЕМ'!P25*СПРАВОЧНИК!$J$7)+СПРАВОЧНИК!$E$8*('ПЛАН ЧЕРН ПОДЗЕМ'!Q25*СПРАВОЧНИК!$H$8+'ПЛАН ЧЕРН ПОДЗЕМ'!R25*СПРАВОЧНИК!$I$8+'ПЛАН ЧЕРН ПОДЗЕМ'!S25*СПРАВОЧНИК!$J$8)+СПРАВОЧНИК!$F$3*('ПЛАН ЧИСТ ПОДЗЕМ'!B25*СПРАВОЧНИК!$L$3+'ПЛАН ЧИСТ ПОДЗЕМ'!C25*СПРАВОЧНИК!$M$3+'ПЛАН ЧИСТ ПОДЗЕМ'!D25*СПРАВОЧНИК!$N$3+'ПЛАН ЧИСТ ПОДЗЕМ'!E25*СПРАВОЧНИК!$O$3)+СПРАВОЧНИК!$F$4*('ПЛАН ЧИСТ ПОДЗЕМ'!F25*СПРАВОЧНИК!$L$4+'ПЛАН ЧИСТ ПОДЗЕМ'!G25*СПРАВОЧНИК!$M$4+'ПЛАН ЧИСТ ПОДЗЕМ'!H25*СПРАВОЧНИК!$N$4+'ПЛАН ЧИСТ ПОДЗЕМ'!I25*СПРАВОЧНИК!$O$4)+СПРАВОЧНИК!$F$5*('ПЛАН ЧИСТ ПОДЗЕМ'!J25*СПРАВОЧНИК!$L$5+'ПЛАН ЧИСТ ПОДЗЕМ'!K25*СПРАВОЧНИК!$M$5+'ПЛАН ЧИСТ ПОДЗЕМ'!L25*СПРАВОЧНИК!$N$5)+СПРАВОЧНИК!$F$6*('ПЛАН ЧИСТ ПОДЗЕМ'!M25*СПРАВОЧНИК!$L$6+'ПЛАН ЧИСТ ПОДЗЕМ'!N25*СПРАВОЧНИК!$M$6+'ПЛАН ЧИСТ ПОДЗЕМ'!O25*СПРАВОЧНИК!$N$6+'ПЛАН ЧИСТ ПОДЗЕМ'!P25*СПРАВОЧНИК!$O$6)+СПРАВОЧНИК!$F$7*('ПЛАН ЧИСТ ПОДЗЕМ'!Q25*СПРАВОЧНИК!$L$7+'ПЛАН ЧИСТ ПОДЗЕМ'!R25*СПРАВОЧНИК!$M$7+'ПЛАН ЧИСТ ПОДЗЕМ'!S25*СПРАВОЧНИК!$N$7+'ПЛАН ЧИСТ ПОДЗЕМ'!T25*СПРАВОЧНИК!$O$7)+СПРАВОЧНИК!$F$8*('ПЛАН ЧИСТ ПОДЗЕМ'!U25*СПРАВОЧНИК!$L$8+'ПЛАН ЧИСТ ПОДЗЕМ'!V25*СПРАВОЧНИК!$M$8+'ПЛАН ЧИСТ ПОДЗЕМ'!W25*СПРАВОЧНИК!$N$8)</f>
        <v/>
      </c>
      <c r="E34" s="40">
        <f>СПРАВОЧНИК!$E$3*(('ФАКТ ЧЕРН ПОДЗЕМ'!B25)*СПРАВОЧНИК!$H$3+('ФАКТ ЧЕРН ПОДЗЕМ'!C25)*СПРАВОЧНИК!$I$3+('ФАКТ ЧЕРН ПОДЗЕМ'!D25)*СПРАВОЧНИК!$J$3)+СПРАВОЧНИК!$E$4*(('ФАКТ ЧЕРН ПОДЗЕМ'!E25)*СПРАВОЧНИК!$H$4+('ФАКТ ЧЕРН ПОДЗЕМ'!F25)*СПРАВОЧНИК!$I$4+('ФАКТ ЧЕРН ПОДЗЕМ'!G25)*СПРАВОЧНИК!$J$4)+СПРАВОЧНИК!$E$5*(('ФАКТ ЧЕРН ПОДЗЕМ'!H25)*СПРАВОЧНИК!$H$5+('ФАКТ ЧЕРН ПОДЗЕМ'!I25)*СПРАВОЧНИК!$I$5+('ФАКТ ЧЕРН ПОДЗЕМ'!J25)*СПРАВОЧНИК!$J$5)+СПРАВОЧНИК!$E$6*(('ФАКТ ЧЕРН ПОДЗЕМ'!K25)*СПРАВОЧНИК!$H$6+('ФАКТ ЧЕРН ПОДЗЕМ'!L25)*СПРАВОЧНИК!$I$6+('ФАКТ ЧЕРН ПОДЗЕМ'!M25)*СПРАВОЧНИК!$J$6)+СПРАВОЧНИК!$E$7*(('ФАКТ ЧЕРН ПОДЗЕМ'!N25)*СПРАВОЧНИК!$H$7+('ФАКТ ЧЕРН ПОДЗЕМ'!O25)*СПРАВОЧНИК!$I$7+('ФАКТ ЧЕРН ПОДЗЕМ'!P25)*СПРАВОЧНИК!$J$7)+СПРАВОЧНИК!$E$8*(('ФАКТ ЧЕРН ПОДЗЕМ'!Q25)*СПРАВОЧНИК!$H$8+('ФАКТ ЧЕРН ПОДЗЕМ'!R25)*СПРАВОЧНИК!$I$8+('ФАКТ ЧЕРН ПОДЗЕМ'!S25)*СПРАВОЧНИК!$J$8)+СПРАВОЧНИК!$F$3*(('ФАКТ ЧИСТ ПОДЗЕМ'!B25)*СПРАВОЧНИК!$L$3+('ФАКТ ЧИСТ ПОДЗЕМ'!C25)*СПРАВОЧНИК!$M$3+('ФАКТ ЧИСТ ПОДЗЕМ'!D25)*СПРАВОЧНИК!$N$3+('ФАКТ ЧИСТ ПОДЗЕМ'!E25)*СПРАВОЧНИК!$O$3)+СПРАВОЧНИК!$F$4*(('ФАКТ ЧИСТ ПОДЗЕМ'!F25)*СПРАВОЧНИК!$L$4+('ФАКТ ЧИСТ ПОДЗЕМ'!G25)*СПРАВОЧНИК!$M$4+('ФАКТ ЧИСТ ПОДЗЕМ'!H25)*СПРАВОЧНИК!$N$4+('ФАКТ ЧИСТ ПОДЗЕМ'!I25)*СПРАВОЧНИК!$O$4)+СПРАВОЧНИК!$F$5*(('ФАКТ ЧИСТ ПОДЗЕМ'!J25)*СПРАВОЧНИК!$L$5+('ФАКТ ЧИСТ ПОДЗЕМ'!K25)*СПРАВОЧНИК!$M$5+('ФАКТ ЧИСТ ПОДЗЕМ'!L25)*СПРАВОЧНИК!$N$5)+СПРАВОЧНИК!$F$6*(('ФАКТ ЧИСТ ПОДЗЕМ'!M25)*СПРАВОЧНИК!$L$6+('ФАКТ ЧИСТ ПОДЗЕМ'!N25)*СПРАВОЧНИК!$M$6+('ФАКТ ЧИСТ ПОДЗЕМ'!O25)*СПРАВОЧНИК!$N$6+('ФАКТ ЧИСТ ПОДЗЕМ'!P25)*СПРАВОЧНИК!$O$6)+СПРАВОЧНИК!$F$7*(('ФАКТ ЧИСТ ПОДЗЕМ'!Q25)*СПРАВОЧНИК!$L$7+('ФАКТ ЧИСТ ПОДЗЕМ'!R25)*СПРАВОЧНИК!$M$7+('ФАКТ ЧИСТ ПОДЗЕМ'!S25)*СПРАВОЧНИК!$N$7+('ФАКТ ЧИСТ ПОДЗЕМ'!T25)*СПРАВОЧНИК!$O$7)+СПРАВОЧНИК!$F$8*(('ФАКТ ЧИСТ ПОДЗЕМ'!U25)*СПРАВОЧНИК!$L$8+('ФАКТ ЧИСТ ПОДЗЕМ'!V25)*СПРАВОЧНИК!$M$8+('ФАКТ ЧИСТ ПОДЗЕМ'!W25)*СПРАВОЧНИК!$N$8)</f>
        <v/>
      </c>
      <c r="I34" s="18">
        <f>I33+7</f>
        <v/>
      </c>
      <c r="J34" s="37">
        <f>'ПЛАН ЧЕРН ПОДЗЕМ'!B25*СПРАВОЧНИК!$H$3+'ПЛАН ЧЕРН ПОДЗЕМ'!C25*СПРАВОЧНИК!$I$3+'ПЛАН ЧЕРН ПОДЗЕМ'!D25*СПРАВОЧНИК!$J$3+'ПЛАН ЧЕРН ПОДЗЕМ'!E25*СПРАВОЧНИК!$H$4+'ПЛАН ЧЕРН ПОДЗЕМ'!F25*СПРАВОЧНИК!$I$4+'ПЛАН ЧЕРН ПОДЗЕМ'!G25*СПРАВОЧНИК!$J$4+'ПЛАН ЧЕРН ПОДЗЕМ'!H25*СПРАВОЧНИК!$H$5+'ПЛАН ЧЕРН ПОДЗЕМ'!I25*СПРАВОЧНИК!$I$5+'ПЛАН ЧЕРН ПОДЗЕМ'!J25*СПРАВОЧНИК!$J$5+'ПЛАН ЧЕРН ПОДЗЕМ'!K25*СПРАВОЧНИК!$H$6+'ПЛАН ЧЕРН ПОДЗЕМ'!L25*СПРАВОЧНИК!$I$6+'ПЛАН ЧЕРН ПОДЗЕМ'!M25*СПРАВОЧНИК!$J$6+'ПЛАН ЧЕРН ПОДЗЕМ'!N25*СПРАВОЧНИК!$H$7+'ПЛАН ЧЕРН ПОДЗЕМ'!O25*СПРАВОЧНИК!$I$7+'ПЛАН ЧЕРН ПОДЗЕМ'!P25*СПРАВОЧНИК!$J$7+'ПЛАН ЧЕРН ПОДЗЕМ'!Q25*СПРАВОЧНИК!$H$8+'ПЛАН ЧЕРН ПОДЗЕМ'!R25*СПРАВОЧНИК!$I$8+'ПЛАН ЧЕРН ПОДЗЕМ'!S25*СПРАВОЧНИК!$J$8</f>
        <v/>
      </c>
      <c r="K34" s="40">
        <f>('ФАКТ ЧЕРН ПОДЗЕМ'!B25)*СПРАВОЧНИК!$H$3+('ФАКТ ЧЕРН ПОДЗЕМ'!C25)*СПРАВОЧНИК!$I$3+('ФАКТ ЧЕРН ПОДЗЕМ'!D25)*СПРАВОЧНИК!$J$3+('ФАКТ ЧЕРН ПОДЗЕМ'!E25)*СПРАВОЧНИК!$H$4+('ФАКТ ЧЕРН ПОДЗЕМ'!F25)*СПРАВОЧНИК!$I$4+('ФАКТ ЧЕРН ПОДЗЕМ'!G25)*СПРАВОЧНИК!$J$4+('ФАКТ ЧЕРН ПОДЗЕМ'!H25)*СПРАВОЧНИК!$H$5+('ФАКТ ЧЕРН ПОДЗЕМ'!I25)*СПРАВОЧНИК!$I$5+('ФАКТ ЧЕРН ПОДЗЕМ'!J25)*СПРАВОЧНИК!$J$5+('ФАКТ ЧЕРН ПОДЗЕМ'!K25)*СПРАВОЧНИК!$H$6+('ФАКТ ЧЕРН ПОДЗЕМ'!L25)*СПРАВОЧНИК!$I$6+('ФАКТ ЧЕРН ПОДЗЕМ'!M25)*СПРАВОЧНИК!$J$6+('ФАКТ ЧЕРН ПОДЗЕМ'!N25)*СПРАВОЧНИК!$H$7+('ФАКТ ЧЕРН ПОДЗЕМ'!O25)*СПРАВОЧНИК!$I$7+('ФАКТ ЧЕРН ПОДЗЕМ'!P25)*СПРАВОЧНИК!$J$7+('ФАКТ ЧЕРН ПОДЗЕМ'!Q25)*СПРАВОЧНИК!$H$8+('ФАКТ ЧЕРН ПОДЗЕМ'!R25)*СПРАВОЧНИК!$I$8+('ФАКТ ЧЕРН ПОДЗЕМ'!S25)*СПРАВОЧНИК!$J$8</f>
        <v/>
      </c>
      <c r="O34" s="18">
        <f>O33+7</f>
        <v/>
      </c>
      <c r="P34" s="37">
        <f>'ПЛАН ЧИСТ ПОДЗЕМ'!B25*СПРАВОЧНИК!$L$3+'ПЛАН ЧИСТ ПОДЗЕМ'!C25*СПРАВОЧНИК!$M$3+'ПЛАН ЧИСТ ПОДЗЕМ'!D25*СПРАВОЧНИК!$N$3+'ПЛАН ЧИСТ ПОДЗЕМ'!E25*СПРАВОЧНИК!$O$3+'ПЛАН ЧИСТ ПОДЗЕМ'!F25*СПРАВОЧНИК!$L$4+'ПЛАН ЧИСТ ПОДЗЕМ'!G25*СПРАВОЧНИК!$M$4+'ПЛАН ЧИСТ ПОДЗЕМ'!H25*СПРАВОЧНИК!$N$4+'ПЛАН ЧИСТ ПОДЗЕМ'!I25*СПРАВОЧНИК!$O$4+'ПЛАН ЧИСТ ПОДЗЕМ'!J25*СПРАВОЧНИК!$L$5+'ПЛАН ЧИСТ ПОДЗЕМ'!K25*СПРАВОЧНИК!$M$5+'ПЛАН ЧИСТ ПОДЗЕМ'!L25*СПРАВОЧНИК!$N$5+'ПЛАН ЧИСТ ПОДЗЕМ'!M25*СПРАВОЧНИК!$L$6+'ПЛАН ЧИСТ ПОДЗЕМ'!N25*СПРАВОЧНИК!$M$6+'ПЛАН ЧИСТ ПОДЗЕМ'!O25*СПРАВОЧНИК!$N$6+'ПЛАН ЧИСТ ПОДЗЕМ'!P25*СПРАВОЧНИК!$O$6+'ПЛАН ЧИСТ ПОДЗЕМ'!Q25*СПРАВОЧНИК!$L$7+'ПЛАН ЧИСТ ПОДЗЕМ'!R25*СПРАВОЧНИК!$M$7+'ПЛАН ЧИСТ ПОДЗЕМ'!S25*СПРАВОЧНИК!$N$7+'ПЛАН ЧИСТ ПОДЗЕМ'!T25*СПРАВОЧНИК!$O$7+'ПЛАН ЧИСТ ПОДЗЕМ'!U25*СПРАВОЧНИК!$L$8+'ПЛАН ЧИСТ ПОДЗЕМ'!V25*СПРАВОЧНИК!$M$8+'ПЛАН ЧИСТ ПОДЗЕМ'!W25*СПРАВОЧНИК!$N$8</f>
        <v/>
      </c>
      <c r="Q34" s="40">
        <f>('ФАКТ ЧИСТ ПОДЗЕМ'!B25)*СПРАВОЧНИК!$L$3+('ФАКТ ЧИСТ ПОДЗЕМ'!C25)*СПРАВОЧНИК!$M$3+('ФАКТ ЧИСТ ПОДЗЕМ'!D25)*СПРАВОЧНИК!$N$3+('ФАКТ ЧИСТ ПОДЗЕМ'!E25)*СПРАВОЧНИК!$O$3+('ФАКТ ЧИСТ ПОДЗЕМ'!F25)*СПРАВОЧНИК!$L$4+('ФАКТ ЧИСТ ПОДЗЕМ'!G25)*СПРАВОЧНИК!$M$4+('ФАКТ ЧИСТ ПОДЗЕМ'!H25)*СПРАВОЧНИК!$N$4+('ФАКТ ЧИСТ ПОДЗЕМ'!I25)*СПРАВОЧНИК!$O$4+('ФАКТ ЧИСТ ПОДЗЕМ'!J25)*СПРАВОЧНИК!$L$5+('ФАКТ ЧИСТ ПОДЗЕМ'!K25)*СПРАВОЧНИК!$M$5+('ФАКТ ЧИСТ ПОДЗЕМ'!L25)*СПРАВОЧНИК!$N$5+('ФАКТ ЧИСТ ПОДЗЕМ'!M25)*СПРАВОЧНИК!$L$6+('ФАКТ ЧИСТ ПОДЗЕМ'!N25)*СПРАВОЧНИК!$M$6+('ФАКТ ЧИСТ ПОДЗЕМ'!O25)*СПРАВОЧНИК!$N$6+('ФАКТ ЧИСТ ПОДЗЕМ'!P25)*СПРАВОЧНИК!$O$6+('ФАКТ ЧИСТ ПОДЗЕМ'!Q25)*СПРАВОЧНИК!$L$7+('ФАКТ ЧИСТ ПОДЗЕМ'!R25)*СПРАВОЧНИК!$M$7+('ФАКТ ЧИСТ ПОДЗЕМ'!S25)*СПРАВОЧНИК!$N$7+('ФАКТ ЧИСТ ПОДЗЕМ'!T25)*СПРАВОЧНИК!$O$7+('ФАКТ ЧИСТ ПОДЗЕМ'!U25)*СПРАВОЧНИК!$L$8+('ФАКТ ЧИСТ ПОДЗЕМ'!V25)*СПРАВОЧНИК!$M$8+('ФАКТ ЧИСТ ПОДЗЕМ'!W25)*СПРАВОЧНИК!$N$8</f>
        <v/>
      </c>
      <c r="U34" s="18">
        <f>U33+7</f>
        <v/>
      </c>
      <c r="V34" s="37">
        <f>СПРАВОЧНИК!$E$9*('ПЛАН ЧЕРН К1'!B25*СПРАВОЧНИК!$H$9+'ПЛАН ЧЕРН К1'!C25*СПРАВОЧНИК!$I$9+'ПЛАН ЧЕРН К1'!D25*СПРАВОЧНИК!$J$9)+СПРАВОЧНИК!$E$10*('ПЛАН ЧЕРН К1'!E25*СПРАВОЧНИК!$H$10+'ПЛАН ЧЕРН К1'!F25*СПРАВОЧНИК!$I$10+'ПЛАН ЧЕРН К1'!G25*СПРАВОЧНИК!$J$10)+СПРАВОЧНИК!$E$11*('ПЛАН ЧЕРН К1'!H25*СПРАВОЧНИК!$H$11+'ПЛАН ЧЕРН К1'!I25*СПРАВОЧНИК!$I$11+'ПЛАН ЧЕРН К1'!J25*СПРАВОЧНИК!$J$11)+СПРАВОЧНИК!$E$12*('ПЛАН ЧЕРН К1'!K25*СПРАВОЧНИК!$H$12+'ПЛАН ЧЕРН К1'!L25*СПРАВОЧНИК!$I$12+'ПЛАН ЧЕРН К1'!M25*СПРАВОЧНИК!$J$12)+СПРАВОЧНИК!$E$13*('ПЛАН ЧЕРН К1'!N25*СПРАВОЧНИК!$H$13+'ПЛАН ЧЕРН К1'!O25*СПРАВОЧНИК!$I$13+'ПЛАН ЧЕРН К1'!P25*СПРАВОЧНИК!$J$13)+СПРАВОЧНИК!$E$14*('ПЛАН ЧЕРН К1'!Q25*СПРАВОЧНИК!$H$14+'ПЛАН ЧЕРН К1'!R25*СПРАВОЧНИК!$I$14+'ПЛАН ЧЕРН К1'!S25*СПРАВОЧНИК!$J$14)+СПРАВОЧНИК!$E$15*('ПЛАН ЧЕРН К1'!T25*СПРАВОЧНИК!$H$15+'ПЛАН ЧЕРН К1'!U25*СПРАВОЧНИК!$I$15+'ПЛАН ЧЕРН К1'!V25*СПРАВОЧНИК!$J$15)+СПРАВОЧНИК!$F$9*('ПЛАН ЧИСТ К1'!B25*СПРАВОЧНИК!$L$9+'ПЛАН ЧИСТ К1'!C25*СПРАВОЧНИК!$M$9+'ПЛАН ЧИСТ К1'!D25*СПРАВОЧНИК!$N$9+'ПЛАН ЧИСТ К1'!E25*СПРАВОЧНИК!$O$9)+СПРАВОЧНИК!$F$10*('ПЛАН ЧИСТ К1'!F25*СПРАВОЧНИК!$L$10+'ПЛАН ЧИСТ К1'!G25*СПРАВОЧНИК!$M$10+'ПЛАН ЧИСТ К1'!H25*СПРАВОЧНИК!$N$10+'ПЛАН ЧИСТ К1'!I25*СПРАВОЧНИК!$O$10)+СПРАВОЧНИК!$F$11*('ПЛАН ЧИСТ К1'!J25*СПРАВОЧНИК!$L$11+'ПЛАН ЧИСТ К1'!K25*СПРАВОЧНИК!$M$11+'ПЛАН ЧИСТ К1'!L25*СПРАВОЧНИК!$N$11)+СПРАВОЧНИК!$F$12*('ПЛАН ЧИСТ К1'!M25*СПРАВОЧНИК!$L$12+'ПЛАН ЧИСТ К1'!N25*СПРАВОЧНИК!$M$12+'ПЛАН ЧИСТ К1'!O25*СПРАВОЧНИК!$N$12+'ПЛАН ЧИСТ К1'!P25*СПРАВОЧНИК!$O$12)+СПРАВОЧНИК!$F$13*('ПЛАН ЧИСТ К1'!Q25*СПРАВОЧНИК!$L$13+'ПЛАН ЧИСТ К1'!R25*СПРАВОЧНИК!$M$13+'ПЛАН ЧИСТ К1'!S25*СПРАВОЧНИК!$N$13+'ПЛАН ЧИСТ К1'!T25*СПРАВОЧНИК!$O$13)+СПРАВОЧНИК!$F$14*('ПЛАН ЧИСТ К1'!U25*СПРАВОЧНИК!$L$14+'ПЛАН ЧИСТ К1'!V25*СПРАВОЧНИК!$M$14+'ПЛАН ЧИСТ К1'!W25*СПРАВОЧНИК!$N$14)+СПРАВОЧНИК!$F$15*('ПЛАН ЧИСТ К1'!X25*СПРАВОЧНИК!$L$15+'ПЛАН ЧИСТ К1'!Y25*СПРАВОЧНИК!$M$15+'ПЛАН ЧИСТ К1'!Z25*СПРАВОЧНИК!$N$15)</f>
        <v/>
      </c>
      <c r="W34" s="40">
        <f>СПРАВОЧНИК!$E$9*(('ФАКТ ЧЕРН К1'!B25)*СПРАВОЧНИК!$H$9+('ФАКТ ЧЕРН К1'!C25)*СПРАВОЧНИК!$I$9+('ФАКТ ЧЕРН К1'!D25)*СПРАВОЧНИК!$J$9)+СПРАВОЧНИК!$E$10*(('ФАКТ ЧЕРН К1'!E25)*СПРАВОЧНИК!$H$10+('ФАКТ ЧЕРН К1'!F25)*СПРАВОЧНИК!$I$10+('ФАКТ ЧЕРН К1'!G25)*СПРАВОЧНИК!$J$10)+СПРАВОЧНИК!$E$11*(('ФАКТ ЧЕРН К1'!H25)*СПРАВОЧНИК!$H$11+('ФАКТ ЧЕРН К1'!I25)*СПРАВОЧНИК!$I$11+('ФАКТ ЧЕРН К1'!J25)*СПРАВОЧНИК!$J$11)+СПРАВОЧНИК!$E$12*(('ФАКТ ЧЕРН К1'!K25)*СПРАВОЧНИК!$H$12+('ФАКТ ЧЕРН К1'!L25)*СПРАВОЧНИК!$I$12+('ФАКТ ЧЕРН К1'!M25)*СПРАВОЧНИК!$J$12)+СПРАВОЧНИК!$E$13*(('ФАКТ ЧЕРН К1'!N25)*СПРАВОЧНИК!$H$13+('ФАКТ ЧЕРН К1'!O25)*СПРАВОЧНИК!$I$13+('ФАКТ ЧЕРН К1'!P25)*СПРАВОЧНИК!$J$13)+СПРАВОЧНИК!$E$14*(('ФАКТ ЧЕРН К1'!Q25)*СПРАВОЧНИК!$H$14+('ФАКТ ЧЕРН К1'!R25)*СПРАВОЧНИК!$I$14+('ФАКТ ЧЕРН К1'!S25)*СПРАВОЧНИК!$J$14)+СПРАВОЧНИК!$E$15*(('ФАКТ ЧЕРН К1'!T25)*СПРАВОЧНИК!$H$15+('ФАКТ ЧЕРН К1'!U25)*СПРАВОЧНИК!$I$15+('ФАКТ ЧЕРН К1'!V25)*СПРАВОЧНИК!$J$15)+СПРАВОЧНИК!$F$9*(('ФАКТ ЧИСТ К1'!B25)*СПРАВОЧНИК!$L$9+('ФАКТ ЧИСТ К1'!C25)*СПРАВОЧНИК!$M$9+('ФАКТ ЧИСТ К1'!D25)*СПРАВОЧНИК!$N$9+('ФАКТ ЧИСТ К1'!E25)*СПРАВОЧНИК!$O$9)+СПРАВОЧНИК!$F$10*(('ФАКТ ЧИСТ К1'!F25)*СПРАВОЧНИК!$L$10+('ФАКТ ЧИСТ К1'!G25)*СПРАВОЧНИК!$M$10+('ФАКТ ЧИСТ К1'!H25)*СПРАВОЧНИК!$N$10+('ФАКТ ЧИСТ К1'!I25)*СПРАВОЧНИК!$O$10)+СПРАВОЧНИК!$F$11*(('ФАКТ ЧИСТ К1'!J25)*СПРАВОЧНИК!$L$11+('ФАКТ ЧИСТ К1'!K25)*СПРАВОЧНИК!$M$11+('ФАКТ ЧИСТ К1'!L25)*СПРАВОЧНИК!$N$11)+СПРАВОЧНИК!$F$12*(('ФАКТ ЧИСТ К1'!M25)*СПРАВОЧНИК!$L$12+('ФАКТ ЧИСТ К1'!N25)*СПРАВОЧНИК!$M$12+('ФАКТ ЧИСТ К1'!O25)*СПРАВОЧНИК!$N$12+('ФАКТ ЧИСТ К1'!P25)*СПРАВОЧНИК!$O$12)+СПРАВОЧНИК!$F$13*(('ФАКТ ЧИСТ К1'!Q25)*СПРАВОЧНИК!$L$13+('ФАКТ ЧИСТ К1'!R25)*СПРАВОЧНИК!$M$13+('ФАКТ ЧИСТ К1'!S25)*СПРАВОЧНИК!$N$13+('ФАКТ ЧИСТ К1'!T25)*СПРАВОЧНИК!$O$13)+СПРАВОЧНИК!$F$14*(('ФАКТ ЧИСТ К1'!U25)*СПРАВОЧНИК!$L$14+('ФАКТ ЧИСТ К1'!V25)*СПРАВОЧНИК!$M$14+('ФАКТ ЧИСТ К1'!W25)*СПРАВОЧНИК!$N$14)+СПРАВОЧНИК!$F$15*(('ФАКТ ЧИСТ К1'!X25)*СПРАВОЧНИК!$L$15+('ФАКТ ЧИСТ К1'!Y25)*СПРАВОЧНИК!$M$15+('ФАКТ ЧИСТ К1'!Z25)*СПРАВОЧНИК!$N$15)</f>
        <v/>
      </c>
      <c r="AA34" s="18">
        <f>AA33+7</f>
        <v/>
      </c>
      <c r="AB34" s="37">
        <f>'ПЛАН ЧЕРН К1'!B25*СПРАВОЧНИК!$H$9+'ПЛАН ЧЕРН К1'!C25*СПРАВОЧНИК!$I$9+'ПЛАН ЧЕРН К1'!D25*СПРАВОЧНИК!$J$9+'ПЛАН ЧЕРН К1'!E25*СПРАВОЧНИК!$H$10+'ПЛАН ЧЕРН К1'!F25*СПРАВОЧНИК!$I$10+'ПЛАН ЧЕРН К1'!G25*СПРАВОЧНИК!$J$10+'ПЛАН ЧЕРН К1'!H25*СПРАВОЧНИК!$H$11+'ПЛАН ЧЕРН К1'!I25*СПРАВОЧНИК!$I$11+'ПЛАН ЧЕРН К1'!J25*СПРАВОЧНИК!$J$11+'ПЛАН ЧЕРН К1'!K25*СПРАВОЧНИК!$H$12+'ПЛАН ЧЕРН К1'!L25*СПРАВОЧНИК!$I$12+'ПЛАН ЧЕРН К1'!M25*СПРАВОЧНИК!$J$12+'ПЛАН ЧЕРН К1'!N25*СПРАВОЧНИК!$H$13+'ПЛАН ЧЕРН К1'!O25*СПРАВОЧНИК!$I$13+'ПЛАН ЧЕРН К1'!P25*СПРАВОЧНИК!$J$13+'ПЛАН ЧЕРН К1'!Q25*СПРАВОЧНИК!$H$14+'ПЛАН ЧЕРН К1'!R25*СПРАВОЧНИК!$I$14+'ПЛАН ЧЕРН К1'!S25*СПРАВОЧНИК!$J$14+'ПЛАН ЧЕРН К1'!T25*СПРАВОЧНИК!$H$15+'ПЛАН ЧЕРН К1'!U25*СПРАВОЧНИК!$I$15+'ПЛАН ЧЕРН К1'!V25*СПРАВОЧНИК!$J$15</f>
        <v/>
      </c>
      <c r="AC34" s="40">
        <f>('ФАКТ ЧЕРН К1'!B25)*СПРАВОЧНИК!$H$9+('ФАКТ ЧЕРН К1'!C25)*СПРАВОЧНИК!$I$9+('ФАКТ ЧЕРН К1'!D25)*СПРАВОЧНИК!$J$9+('ФАКТ ЧЕРН К1'!E25)*СПРАВОЧНИК!$H$10+('ФАКТ ЧЕРН К1'!F25)*СПРАВОЧНИК!$I$10+('ФАКТ ЧЕРН К1'!G25)*СПРАВОЧНИК!$J$10+('ФАКТ ЧЕРН К1'!H25)*СПРАВОЧНИК!$H$11+('ФАКТ ЧЕРН К1'!I25)*СПРАВОЧНИК!$I$11+('ФАКТ ЧЕРН К1'!J25)*СПРАВОЧНИК!$J$11+('ФАКТ ЧЕРН К1'!K25)*СПРАВОЧНИК!$H$12+('ФАКТ ЧЕРН К1'!L25)*СПРАВОЧНИК!$I$12+('ФАКТ ЧЕРН К1'!M25)*СПРАВОЧНИК!$J$12+('ФАКТ ЧЕРН К1'!N25)*СПРАВОЧНИК!$H$13+('ФАКТ ЧЕРН К1'!O25)*СПРАВОЧНИК!$I$13+('ФАКТ ЧЕРН К1'!P25)*СПРАВОЧНИК!$J$13+('ФАКТ ЧЕРН К1'!Q25)*СПРАВОЧНИК!$H$14+('ФАКТ ЧЕРН К1'!R25)*СПРАВОЧНИК!$I$14+('ФАКТ ЧЕРН К1'!S25)*СПРАВОЧНИК!$J$14+('ФАКТ ЧЕРН К1'!T25)*СПРАВОЧНИК!$H$15+('ФАКТ ЧЕРН К1'!U25)*СПРАВОЧНИК!$I$15+('ФАКТ ЧЕРН К1'!V25)*СПРАВОЧНИК!$J$15</f>
        <v/>
      </c>
      <c r="AG34" s="18">
        <f>AG33+7</f>
        <v/>
      </c>
      <c r="AH34" s="37">
        <f>'ПЛАН ЧИСТ К1'!B25*СПРАВОЧНИК!$L$9+'ПЛАН ЧИСТ К1'!C25*СПРАВОЧНИК!$M$9+'ПЛАН ЧИСТ К1'!D25*СПРАВОЧНИК!$N$9+'ПЛАН ЧИСТ К1'!E25*СПРАВОЧНИК!$O$9+'ПЛАН ЧИСТ К1'!F25*СПРАВОЧНИК!$L$10+'ПЛАН ЧИСТ К1'!G25*СПРАВОЧНИК!$M$10+'ПЛАН ЧИСТ К1'!H25*СПРАВОЧНИК!$N$10+'ПЛАН ЧИСТ К1'!I25*СПРАВОЧНИК!$O$10+'ПЛАН ЧИСТ К1'!J25*СПРАВОЧНИК!$L$11+'ПЛАН ЧИСТ К1'!K25*СПРАВОЧНИК!$M$11+'ПЛАН ЧИСТ К1'!L25*СПРАВОЧНИК!$N$11+'ПЛАН ЧИСТ К1'!M25*СПРАВОЧНИК!$L$12+'ПЛАН ЧИСТ К1'!N25*СПРАВОЧНИК!$M$12+'ПЛАН ЧИСТ К1'!O25*СПРАВОЧНИК!$N$12+'ПЛАН ЧИСТ К1'!P25*СПРАВОЧНИК!$O$12+'ПЛАН ЧИСТ К1'!Q25*СПРАВОЧНИК!$L$13+'ПЛАН ЧИСТ К1'!R25*СПРАВОЧНИК!$M$13+'ПЛАН ЧИСТ К1'!S25*СПРАВОЧНИК!$N$13+'ПЛАН ЧИСТ К1'!T25*СПРАВОЧНИК!$O$13+'ПЛАН ЧИСТ К1'!U25*СПРАВОЧНИК!$L$14+'ПЛАН ЧИСТ К1'!V25*СПРАВОЧНИК!$M$14+'ПЛАН ЧИСТ К1'!W25*СПРАВОЧНИК!$N$14+'ПЛАН ЧИСТ К1'!X25*СПРАВОЧНИК!$L$15+'ПЛАН ЧИСТ К1'!Y25*СПРАВОЧНИК!$M$15+'ПЛАН ЧИСТ К1'!Z25*СПРАВОЧНИК!$N$15</f>
        <v/>
      </c>
      <c r="AI34" s="40">
        <f>('ФАКТ ЧИСТ К1'!B25)*СПРАВОЧНИК!$L$9+('ФАКТ ЧИСТ К1'!C25)*СПРАВОЧНИК!$M$9+('ФАКТ ЧИСТ К1'!D25)*СПРАВОЧНИК!$N$9+('ФАКТ ЧИСТ К1'!E25)*СПРАВОЧНИК!$O$9+('ФАКТ ЧИСТ К1'!F25)*СПРАВОЧНИК!$L$10+('ФАКТ ЧИСТ К1'!G25)*СПРАВОЧНИК!$M$10+('ФАКТ ЧИСТ К1'!H25)*СПРАВОЧНИК!$N$10+('ФАКТ ЧИСТ К1'!I25)*СПРАВОЧНИК!$O$10+('ФАКТ ЧИСТ К1'!J25)*СПРАВОЧНИК!$L$11+('ФАКТ ЧИСТ К1'!K25)*СПРАВОЧНИК!$M$11+('ФАКТ ЧИСТ К1'!L25)*СПРАВОЧНИК!$N$11+('ФАКТ ЧИСТ К1'!M25)*СПРАВОЧНИК!$L$12+('ФАКТ ЧИСТ К1'!N25)*СПРАВОЧНИК!$M$12+('ФАКТ ЧИСТ К1'!O25)*СПРАВОЧНИК!$N$12+('ФАКТ ЧИСТ К1'!P25)*СПРАВОЧНИК!$O$12+('ФАКТ ЧИСТ К1'!Q25)*СПРАВОЧНИК!$L$13+('ФАКТ ЧИСТ К1'!R25)*СПРАВОЧНИК!$M$13+('ФАКТ ЧИСТ К1'!S25)*СПРАВОЧНИК!$N$13+('ФАКТ ЧИСТ К1'!T25)*СПРАВОЧНИК!$O$13+('ФАКТ ЧИСТ К1'!U25)*СПРАВОЧНИК!$L$14+('ФАКТ ЧИСТ К1'!V25)*СПРАВОЧНИК!$M$14+('ФАКТ ЧИСТ К1'!W25)*СПРАВОЧНИК!$N$14+('ФАКТ ЧИСТ К1'!X25)*СПРАВОЧНИК!$L$15+('ФАКТ ЧИСТ К1'!Y25)*СПРАВОЧНИК!$M$15+('ФАКТ ЧИСТ К1'!Z25)*СПРАВОЧНИК!$N$15</f>
        <v/>
      </c>
      <c r="AM34" s="18">
        <f>AM33+7</f>
        <v/>
      </c>
      <c r="AN34" s="37">
        <f>СПРАВОЧНИК!$E$9*('ПЛАН ЧЕРН К2'!B25*СПРАВОЧНИК!$H$9+'ПЛАН ЧЕРН К2'!C25*СПРАВОЧНИК!$I$9+'ПЛАН ЧЕРН К2'!D25*СПРАВОЧНИК!$J$9)+СПРАВОЧНИК!$E$10*('ПЛАН ЧЕРН К2'!E25*СПРАВОЧНИК!$H$10+'ПЛАН ЧЕРН К2'!F25*СПРАВОЧНИК!$I$10+'ПЛАН ЧЕРН К2'!G25*СПРАВОЧНИК!$J$10)+СПРАВОЧНИК!$E$11*('ПЛАН ЧЕРН К2'!H25*СПРАВОЧНИК!$H$11+'ПЛАН ЧЕРН К2'!I25*СПРАВОЧНИК!$I$11+'ПЛАН ЧЕРН К2'!J25*СПРАВОЧНИК!$J$11)+СПРАВОЧНИК!$E$12*('ПЛАН ЧЕРН К2'!K25*СПРАВОЧНИК!$H$12+'ПЛАН ЧЕРН К2'!L25*СПРАВОЧНИК!$I$12+'ПЛАН ЧЕРН К2'!M25*СПРАВОЧНИК!$J$12)+СПРАВОЧНИК!$E$13*('ПЛАН ЧЕРН К2'!N25*СПРАВОЧНИК!$H$13+'ПЛАН ЧЕРН К2'!O25*СПРАВОЧНИК!$I$13+'ПЛАН ЧЕРН К2'!P25*СПРАВОЧНИК!$J$13)+СПРАВОЧНИК!$E$14*('ПЛАН ЧЕРН К2'!Q25*СПРАВОЧНИК!$H$14+'ПЛАН ЧЕРН К2'!R25*СПРАВОЧНИК!$I$14+'ПЛАН ЧЕРН К2'!S25*СПРАВОЧНИК!$J$14)+СПРАВОЧНИК!$E$15*('ПЛАН ЧЕРН К2'!T25*СПРАВОЧНИК!$H$15+'ПЛАН ЧЕРН К2'!U25*СПРАВОЧНИК!$I$15+'ПЛАН ЧЕРН К2'!V25*СПРАВОЧНИК!$J$15)+СПРАВОЧНИК!$F$9*('ПЛАН ЧИСТ К2'!B25*СПРАВОЧНИК!$L$9+'ПЛАН ЧИСТ К2'!C25*СПРАВОЧНИК!$M$9+'ПЛАН ЧИСТ К2'!D25*СПРАВОЧНИК!$N$9+'ПЛАН ЧИСТ К2'!E25*СПРАВОЧНИК!$O$9)+СПРАВОЧНИК!$F$10*('ПЛАН ЧИСТ К2'!F25*СПРАВОЧНИК!$L$10+'ПЛАН ЧИСТ К2'!G25*СПРАВОЧНИК!$M$10+'ПЛАН ЧИСТ К2'!H25*СПРАВОЧНИК!$N$10+'ПЛАН ЧИСТ К2'!I25*СПРАВОЧНИК!$O$10)+СПРАВОЧНИК!$F$11*('ПЛАН ЧИСТ К2'!J25*СПРАВОЧНИК!$L$11+'ПЛАН ЧИСТ К2'!K25*СПРАВОЧНИК!$M$11+'ПЛАН ЧИСТ К2'!L25*СПРАВОЧНИК!$N$11)+СПРАВОЧНИК!$F$12*('ПЛАН ЧИСТ К2'!M25*СПРАВОЧНИК!$L$12+'ПЛАН ЧИСТ К2'!N25*СПРАВОЧНИК!$M$12+'ПЛАН ЧИСТ К2'!O25*СПРАВОЧНИК!$N$12+'ПЛАН ЧИСТ К2'!P25*СПРАВОЧНИК!$O$12)+СПРАВОЧНИК!$F$13*('ПЛАН ЧИСТ К2'!Q25*СПРАВОЧНИК!$L$13+'ПЛАН ЧИСТ К2'!R25*СПРАВОЧНИК!$M$13+'ПЛАН ЧИСТ К2'!S25*СПРАВОЧНИК!$N$13+'ПЛАН ЧИСТ К2'!T25*СПРАВОЧНИК!$O$13)+СПРАВОЧНИК!$F$14*('ПЛАН ЧИСТ К2'!U25*СПРАВОЧНИК!$L$14+'ПЛАН ЧИСТ К2'!V25*СПРАВОЧНИК!$M$14+'ПЛАН ЧИСТ К2'!W25*СПРАВОЧНИК!$N$14)+СПРАВОЧНИК!$F$15*('ПЛАН ЧИСТ К2'!X25*СПРАВОЧНИК!$L$15+'ПЛАН ЧИСТ К2'!Y25*СПРАВОЧНИК!$M$15+'ПЛАН ЧИСТ К2'!Z25*СПРАВОЧНИК!$N$15)</f>
        <v/>
      </c>
      <c r="AO34" s="40">
        <f>СПРАВОЧНИК!$E$9*(('ФАКТ ЧЕРН К2'!B25)*СПРАВОЧНИК!$H$9+('ФАКТ ЧЕРН К2'!C25)*СПРАВОЧНИК!$I$9+('ФАКТ ЧЕРН К2'!D25)*СПРАВОЧНИК!$J$9)+СПРАВОЧНИК!$E$10*(('ФАКТ ЧЕРН К2'!E25)*СПРАВОЧНИК!$H$10+('ФАКТ ЧЕРН К2'!F25)*СПРАВОЧНИК!$I$10+('ФАКТ ЧЕРН К2'!G25)*СПРАВОЧНИК!$J$10)+СПРАВОЧНИК!$E$11*(('ФАКТ ЧЕРН К2'!H25)*СПРАВОЧНИК!$H$11+('ФАКТ ЧЕРН К2'!I25)*СПРАВОЧНИК!$I$11+('ФАКТ ЧЕРН К2'!J25)*СПРАВОЧНИК!$J$11)+СПРАВОЧНИК!$E$12*(('ФАКТ ЧЕРН К2'!K25)*СПРАВОЧНИК!$H$12+('ФАКТ ЧЕРН К2'!L25)*СПРАВОЧНИК!$I$12+('ФАКТ ЧЕРН К2'!M25)*СПРАВОЧНИК!$J$12)+СПРАВОЧНИК!$E$13*(('ФАКТ ЧЕРН К2'!N25)*СПРАВОЧНИК!$H$13+('ФАКТ ЧЕРН К2'!O25)*СПРАВОЧНИК!$I$13+('ФАКТ ЧЕРН К2'!P25)*СПРАВОЧНИК!$J$13)+СПРАВОЧНИК!$E$14*(('ФАКТ ЧЕРН К2'!Q25)*СПРАВОЧНИК!$H$14+('ФАКТ ЧЕРН К2'!R25)*СПРАВОЧНИК!$I$14+('ФАКТ ЧЕРН К2'!S25)*СПРАВОЧНИК!$J$14)+СПРАВОЧНИК!$E$15*(('ФАКТ ЧЕРН К2'!T25)*СПРАВОЧНИК!$H$15+('ФАКТ ЧЕРН К2'!U25)*СПРАВОЧНИК!$I$15+('ФАКТ ЧЕРН К2'!V25)*СПРАВОЧНИК!$J$15)+СПРАВОЧНИК!$F$9*(('ФАКТ ЧИСТ К2'!B25)*СПРАВОЧНИК!$L$9+('ФАКТ ЧИСТ К2'!C25)*СПРАВОЧНИК!$M$9+('ФАКТ ЧИСТ К2'!D25)*СПРАВОЧНИК!$N$9+('ФАКТ ЧИСТ К2'!E25)*СПРАВОЧНИК!$O$9)+СПРАВОЧНИК!$F$10*(('ФАКТ ЧИСТ К2'!F25)*СПРАВОЧНИК!$L$10+('ФАКТ ЧИСТ К2'!G25)*СПРАВОЧНИК!$M$10+('ФАКТ ЧИСТ К2'!H25)*СПРАВОЧНИК!$N$10+('ФАКТ ЧИСТ К2'!I25)*СПРАВОЧНИК!$O$10)+СПРАВОЧНИК!$F$11*(('ФАКТ ЧИСТ К2'!J25)*СПРАВОЧНИК!$L$11+('ФАКТ ЧИСТ К2'!K25)*СПРАВОЧНИК!$M$11+('ФАКТ ЧИСТ К2'!L25)*СПРАВОЧНИК!$N$11)+СПРАВОЧНИК!$F$12*(('ФАКТ ЧИСТ К2'!M25)*СПРАВОЧНИК!$L$12+('ФАКТ ЧИСТ К2'!N25)*СПРАВОЧНИК!$M$12+('ФАКТ ЧИСТ К2'!O25)*СПРАВОЧНИК!$N$12+('ФАКТ ЧИСТ К2'!P25)*СПРАВОЧНИК!$O$12)+СПРАВОЧНИК!$F$13*(('ФАКТ ЧИСТ К2'!Q25)*СПРАВОЧНИК!$L$13+('ФАКТ ЧИСТ К2'!R25)*СПРАВОЧНИК!$M$13+('ФАКТ ЧИСТ К2'!S25)*СПРАВОЧНИК!$N$13+('ФАКТ ЧИСТ К2'!T25)*СПРАВОЧНИК!$O$13)+СПРАВОЧНИК!$F$14*(('ФАКТ ЧИСТ К2'!U25)*СПРАВОЧНИК!$L$14+('ФАКТ ЧИСТ К2'!V25)*СПРАВОЧНИК!$M$14+('ФАКТ ЧИСТ К2'!W25)*СПРАВОЧНИК!$N$14)+СПРАВОЧНИК!$F$15*(('ФАКТ ЧИСТ К2'!X25)*СПРАВОЧНИК!$L$15+('ФАКТ ЧИСТ К2'!Y25)*СПРАВОЧНИК!$M$15+('ФАКТ ЧИСТ К2'!Z25)*СПРАВОЧНИК!$N$15)</f>
        <v/>
      </c>
      <c r="AS34" s="18">
        <f>AS33+7</f>
        <v/>
      </c>
      <c r="AT34" s="37">
        <f>'ПЛАН ЧЕРН К2'!B25*СПРАВОЧНИК!$H$9+'ПЛАН ЧЕРН К2'!C25*СПРАВОЧНИК!$I$9+'ПЛАН ЧЕРН К2'!D25*СПРАВОЧНИК!$J$9+'ПЛАН ЧЕРН К2'!E25*СПРАВОЧНИК!$H$10+'ПЛАН ЧЕРН К2'!F25*СПРАВОЧНИК!$I$10+'ПЛАН ЧЕРН К2'!G25*СПРАВОЧНИК!$J$10+'ПЛАН ЧЕРН К2'!H25*СПРАВОЧНИК!$H$11+'ПЛАН ЧЕРН К2'!I25*СПРАВОЧНИК!$I$11+'ПЛАН ЧЕРН К2'!J25*СПРАВОЧНИК!$J$11+'ПЛАН ЧЕРН К2'!K25*СПРАВОЧНИК!$H$12+'ПЛАН ЧЕРН К2'!L25*СПРАВОЧНИК!$I$12+'ПЛАН ЧЕРН К2'!M25*СПРАВОЧНИК!$J$12+'ПЛАН ЧЕРН К2'!N25*СПРАВОЧНИК!$H$13+'ПЛАН ЧЕРН К2'!O25*СПРАВОЧНИК!$I$13+'ПЛАН ЧЕРН К2'!P25*СПРАВОЧНИК!$J$13+'ПЛАН ЧЕРН К2'!Q25*СПРАВОЧНИК!$H$14+'ПЛАН ЧЕРН К2'!R25*СПРАВОЧНИК!$I$14+'ПЛАН ЧЕРН К2'!S25*СПРАВОЧНИК!$J$14+'ПЛАН ЧЕРН К2'!T25*СПРАВОЧНИК!$H$15+'ПЛАН ЧЕРН К2'!U25*СПРАВОЧНИК!$I$15+'ПЛАН ЧЕРН К2'!V25*СПРАВОЧНИК!$J$15</f>
        <v/>
      </c>
      <c r="AU34" s="40">
        <f>('ФАКТ ЧЕРН К2'!B25)*СПРАВОЧНИК!$H$9+('ФАКТ ЧЕРН К2'!C25)*СПРАВОЧНИК!$I$9+('ФАКТ ЧЕРН К2'!D25)*СПРАВОЧНИК!$J$9+('ФАКТ ЧЕРН К2'!E25)*СПРАВОЧНИК!$H$10+('ФАКТ ЧЕРН К2'!F25)*СПРАВОЧНИК!$I$10+('ФАКТ ЧЕРН К2'!G25)*СПРАВОЧНИК!$J$10+('ФАКТ ЧЕРН К2'!H25)*СПРАВОЧНИК!$H$11+('ФАКТ ЧЕРН К2'!I25)*СПРАВОЧНИК!$I$11+('ФАКТ ЧЕРН К2'!J25)*СПРАВОЧНИК!$J$11+('ФАКТ ЧЕРН К2'!K25)*СПРАВОЧНИК!$H$12+('ФАКТ ЧЕРН К2'!L25)*СПРАВОЧНИК!$I$12+('ФАКТ ЧЕРН К2'!M25)*СПРАВОЧНИК!$J$12+('ФАКТ ЧЕРН К2'!N25)*СПРАВОЧНИК!$H$13+('ФАКТ ЧЕРН К2'!O25)*СПРАВОЧНИК!$I$13+('ФАКТ ЧЕРН К2'!P25)*СПРАВОЧНИК!$J$13+('ФАКТ ЧЕРН К2'!Q25)*СПРАВОЧНИК!$H$14+('ФАКТ ЧЕРН К2'!R25)*СПРАВОЧНИК!$I$14+('ФАКТ ЧЕРН К2'!S25)*СПРАВОЧНИК!$J$14+('ФАКТ ЧЕРН К2'!T25)*СПРАВОЧНИК!$H$15+('ФАКТ ЧЕРН К2'!U25)*СПРАВОЧНИК!$I$15+('ФАКТ ЧЕРН К2'!V25)*СПРАВОЧНИК!$J$15</f>
        <v/>
      </c>
      <c r="AY34" s="18">
        <f>AY33+7</f>
        <v/>
      </c>
      <c r="AZ34" s="37">
        <f>'ПЛАН ЧИСТ К2'!B25*СПРАВОЧНИК!$L$9+'ПЛАН ЧИСТ К2'!C25*СПРАВОЧНИК!$M$9+'ПЛАН ЧИСТ К2'!D25*СПРАВОЧНИК!$N$9+'ПЛАН ЧИСТ К2'!E25*СПРАВОЧНИК!$O$9+'ПЛАН ЧИСТ К2'!F25*СПРАВОЧНИК!$L$10+'ПЛАН ЧИСТ К2'!G25*СПРАВОЧНИК!$M$10+'ПЛАН ЧИСТ К2'!H25*СПРАВОЧНИК!$N$10+'ПЛАН ЧИСТ К2'!I25*СПРАВОЧНИК!$O$10+'ПЛАН ЧИСТ К2'!J25*СПРАВОЧНИК!$L$11+'ПЛАН ЧИСТ К2'!K25*СПРАВОЧНИК!$M$11+'ПЛАН ЧИСТ К2'!L25*СПРАВОЧНИК!$N$11+'ПЛАН ЧИСТ К2'!M25*СПРАВОЧНИК!$L$12+'ПЛАН ЧИСТ К2'!N25*СПРАВОЧНИК!$M$12+'ПЛАН ЧИСТ К2'!O25*СПРАВОЧНИК!$N$12+'ПЛАН ЧИСТ К2'!P25*СПРАВОЧНИК!$O$12+'ПЛАН ЧИСТ К2'!Q25*СПРАВОЧНИК!$L$13+'ПЛАН ЧИСТ К2'!R25*СПРАВОЧНИК!$M$13+'ПЛАН ЧИСТ К2'!S25*СПРАВОЧНИК!$N$13+'ПЛАН ЧИСТ К2'!T25*СПРАВОЧНИК!$O$13+'ПЛАН ЧИСТ К2'!U25*СПРАВОЧНИК!$L$14+'ПЛАН ЧИСТ К2'!V25*СПРАВОЧНИК!$M$14+'ПЛАН ЧИСТ К2'!W25*СПРАВОЧНИК!$N$14+'ПЛАН ЧИСТ К2'!X25*СПРАВОЧНИК!$L$15+'ПЛАН ЧИСТ К2'!Y25*СПРАВОЧНИК!$M$15+'ПЛАН ЧИСТ К2'!Z25*СПРАВОЧНИК!$N$15</f>
        <v/>
      </c>
      <c r="BA34" s="40">
        <f>('ФАКТ ЧИСТ К2'!B25)*СПРАВОЧНИК!$L$9+('ФАКТ ЧИСТ К2'!C25)*СПРАВОЧНИК!$M$9+('ФАКТ ЧИСТ К2'!D25)*СПРАВОЧНИК!$N$9+('ФАКТ ЧИСТ К2'!E25)*СПРАВОЧНИК!$O$9+('ФАКТ ЧИСТ К2'!F25)*СПРАВОЧНИК!$L$10+('ФАКТ ЧИСТ К2'!G25)*СПРАВОЧНИК!$M$10+('ФАКТ ЧИСТ К2'!H25)*СПРАВОЧНИК!$N$10+('ФАКТ ЧИСТ К2'!I25)*СПРАВОЧНИК!$O$10+('ФАКТ ЧИСТ К2'!J25)*СПРАВОЧНИК!$L$11+('ФАКТ ЧИСТ К2'!K25)*СПРАВОЧНИК!$M$11+('ФАКТ ЧИСТ К2'!L25)*СПРАВОЧНИК!$N$11+('ФАКТ ЧИСТ К2'!M25)*СПРАВОЧНИК!$L$12+('ФАКТ ЧИСТ К2'!N25)*СПРАВОЧНИК!$M$12+('ФАКТ ЧИСТ К2'!O25)*СПРАВОЧНИК!$N$12+('ФАКТ ЧИСТ К2'!P25)*СПРАВОЧНИК!$O$12+('ФАКТ ЧИСТ К2'!Q25)*СПРАВОЧНИК!$L$13+('ФАКТ ЧИСТ К2'!R25)*СПРАВОЧНИК!$M$13+('ФАКТ ЧИСТ К2'!S25)*СПРАВОЧНИК!$N$13+('ФАКТ ЧИСТ К2'!T25)*СПРАВОЧНИК!$O$13+('ФАКТ ЧИСТ К2'!U25)*СПРАВОЧНИК!$L$14+('ФАКТ ЧИСТ К2'!V25)*СПРАВОЧНИК!$M$14+('ФАКТ ЧИСТ К2'!W25)*СПРАВОЧНИК!$N$14+('ФАКТ ЧИСТ К2'!X25)*СПРАВОЧНИК!$L$15+('ФАКТ ЧИСТ К2'!Y25)*СПРАВОЧНИК!$M$15+('ФАКТ ЧИСТ К2'!Z25)*СПРАВОЧНИК!$N$15</f>
        <v/>
      </c>
      <c r="BE34" s="18">
        <f>BE33+7</f>
        <v/>
      </c>
      <c r="BF34" s="37">
        <f>СПРАВОЧНИК!$E$9*('ПЛАН ЧЕРН К3'!B25*СПРАВОЧНИК!$H$9+'ПЛАН ЧЕРН К3'!C25*СПРАВОЧНИК!$I$9+'ПЛАН ЧЕРН К3'!D25*СПРАВОЧНИК!$J$9)+СПРАВОЧНИК!$E$10*('ПЛАН ЧЕРН К3'!E25*СПРАВОЧНИК!$H$10+'ПЛАН ЧЕРН К3'!F25*СПРАВОЧНИК!$I$10+'ПЛАН ЧЕРН К3'!G25*СПРАВОЧНИК!$J$10)+СПРАВОЧНИК!$E$11*('ПЛАН ЧЕРН К3'!H25*СПРАВОЧНИК!$H$11+'ПЛАН ЧЕРН К3'!I25*СПРАВОЧНИК!$I$11+'ПЛАН ЧЕРН К3'!J25*СПРАВОЧНИК!$J$11)+СПРАВОЧНИК!$E$12*('ПЛАН ЧЕРН К3'!K25*СПРАВОЧНИК!$H$12+'ПЛАН ЧЕРН К3'!L25*СПРАВОЧНИК!$I$12+'ПЛАН ЧЕРН К3'!M25*СПРАВОЧНИК!$J$12)+СПРАВОЧНИК!$E$13*('ПЛАН ЧЕРН К3'!N25*СПРАВОЧНИК!$H$13+'ПЛАН ЧЕРН К3'!O25*СПРАВОЧНИК!$I$13+'ПЛАН ЧЕРН К3'!P25*СПРАВОЧНИК!$J$13)+СПРАВОЧНИК!$E$14*('ПЛАН ЧЕРН К3'!Q25*СПРАВОЧНИК!$H$14+'ПЛАН ЧЕРН К3'!R25*СПРАВОЧНИК!$I$14+'ПЛАН ЧЕРН К3'!S25*СПРАВОЧНИК!$J$14)+СПРАВОЧНИК!$E$15*('ПЛАН ЧЕРН К3'!T25*СПРАВОЧНИК!$H$15+'ПЛАН ЧЕРН К3'!U25*СПРАВОЧНИК!$I$15+'ПЛАН ЧЕРН К3'!V25*СПРАВОЧНИК!$J$15)+СПРАВОЧНИК!$F$9*('ПЛАН ЧИСТ К3'!B25*СПРАВОЧНИК!$L$9+'ПЛАН ЧИСТ К3'!C25*СПРАВОЧНИК!$M$9+'ПЛАН ЧИСТ К3'!D25*СПРАВОЧНИК!$N$9+'ПЛАН ЧИСТ К3'!E25*СПРАВОЧНИК!$O$9)+СПРАВОЧНИК!$F$10*('ПЛАН ЧИСТ К3'!F25*СПРАВОЧНИК!$L$10+'ПЛАН ЧИСТ К3'!G25*СПРАВОЧНИК!$M$10+'ПЛАН ЧИСТ К3'!H25*СПРАВОЧНИК!$N$10+'ПЛАН ЧИСТ К3'!I25*СПРАВОЧНИК!$O$10)+СПРАВОЧНИК!$F$11*('ПЛАН ЧИСТ К3'!J25*СПРАВОЧНИК!$L$11+'ПЛАН ЧИСТ К3'!K25*СПРАВОЧНИК!$M$11+'ПЛАН ЧИСТ К3'!L25*СПРАВОЧНИК!$N$11)+СПРАВОЧНИК!$F$12*('ПЛАН ЧИСТ К3'!M25*СПРАВОЧНИК!$L$12+'ПЛАН ЧИСТ К3'!N25*СПРАВОЧНИК!$M$12+'ПЛАН ЧИСТ К3'!O25*СПРАВОЧНИК!$N$12+'ПЛАН ЧИСТ К3'!P25*СПРАВОЧНИК!$O$12)+СПРАВОЧНИК!$F$13*('ПЛАН ЧИСТ К3'!Q25*СПРАВОЧНИК!$L$13+'ПЛАН ЧИСТ К3'!R25*СПРАВОЧНИК!$M$13+'ПЛАН ЧИСТ К3'!S25*СПРАВОЧНИК!$N$13+'ПЛАН ЧИСТ К3'!T25*СПРАВОЧНИК!$O$13)+СПРАВОЧНИК!$F$14*('ПЛАН ЧИСТ К3'!U25*СПРАВОЧНИК!$L$14+'ПЛАН ЧИСТ К3'!V25*СПРАВОЧНИК!$M$14+'ПЛАН ЧИСТ К3'!W25*СПРАВОЧНИК!$N$14)+СПРАВОЧНИК!$F$15*('ПЛАН ЧИСТ К3'!X25*СПРАВОЧНИК!$L$15+'ПЛАН ЧИСТ К3'!Y25*СПРАВОЧНИК!$M$15+'ПЛАН ЧИСТ К3'!Z25*СПРАВОЧНИК!$N$15)</f>
        <v/>
      </c>
      <c r="BG34" s="40">
        <f>СПРАВОЧНИК!$E$9*(('ФАКТ ЧЕРН К3'!B25)*СПРАВОЧНИК!$H$9+('ФАКТ ЧЕРН К3'!C25)*СПРАВОЧНИК!$I$9+('ФАКТ ЧЕРН К3'!D25)*СПРАВОЧНИК!$J$9)+СПРАВОЧНИК!$E$10*(('ФАКТ ЧЕРН К3'!E25)*СПРАВОЧНИК!$H$10+('ФАКТ ЧЕРН К3'!F25)*СПРАВОЧНИК!$I$10+('ФАКТ ЧЕРН К3'!G25)*СПРАВОЧНИК!$J$10)+СПРАВОЧНИК!$E$11*(('ФАКТ ЧЕРН К3'!H25)*СПРАВОЧНИК!$H$11+('ФАКТ ЧЕРН К3'!I25)*СПРАВОЧНИК!$I$11+('ФАКТ ЧЕРН К3'!J25)*СПРАВОЧНИК!$J$11)+СПРАВОЧНИК!$E$12*(('ФАКТ ЧЕРН К3'!K25)*СПРАВОЧНИК!$H$12+('ФАКТ ЧЕРН К3'!L25)*СПРАВОЧНИК!$I$12+('ФАКТ ЧЕРН К3'!M25)*СПРАВОЧНИК!$J$12)+СПРАВОЧНИК!$E$13*(('ФАКТ ЧЕРН К3'!N25)*СПРАВОЧНИК!$H$13+('ФАКТ ЧЕРН К3'!O25)*СПРАВОЧНИК!$I$13+('ФАКТ ЧЕРН К3'!P25)*СПРАВОЧНИК!$J$13)+СПРАВОЧНИК!$E$14*(('ФАКТ ЧЕРН К3'!Q25)*СПРАВОЧНИК!$H$14+('ФАКТ ЧЕРН К3'!R25)*СПРАВОЧНИК!$I$14+('ФАКТ ЧЕРН К3'!S25)*СПРАВОЧНИК!$J$14)+СПРАВОЧНИК!$E$15*(('ФАКТ ЧЕРН К3'!T25)*СПРАВОЧНИК!$H$15+('ФАКТ ЧЕРН К3'!U25)*СПРАВОЧНИК!$I$15+('ФАКТ ЧЕРН К3'!V25)*СПРАВОЧНИК!$J$15)+СПРАВОЧНИК!$F$9*(('ФАКТ ЧИСТ К3'!B25)*СПРАВОЧНИК!$L$9+('ФАКТ ЧИСТ К3'!C25)*СПРАВОЧНИК!$M$9+('ФАКТ ЧИСТ К3'!D25)*СПРАВОЧНИК!$N$9+('ФАКТ ЧИСТ К3'!E25)*СПРАВОЧНИК!$O$9)+СПРАВОЧНИК!$F$10*(('ФАКТ ЧИСТ К3'!F25)*СПРАВОЧНИК!$L$10+('ФАКТ ЧИСТ К3'!G25)*СПРАВОЧНИК!$M$10+('ФАКТ ЧИСТ К3'!H25)*СПРАВОЧНИК!$N$10+('ФАКТ ЧИСТ К3'!I25)*СПРАВОЧНИК!$O$10)+СПРАВОЧНИК!$F$11*(('ФАКТ ЧИСТ К3'!J25)*СПРАВОЧНИК!$L$11+('ФАКТ ЧИСТ К3'!K25)*СПРАВОЧНИК!$M$11+('ФАКТ ЧИСТ К3'!L25)*СПРАВОЧНИК!$N$11)+СПРАВОЧНИК!$F$12*(('ФАКТ ЧИСТ К3'!M25)*СПРАВОЧНИК!$L$12+('ФАКТ ЧИСТ К3'!N25)*СПРАВОЧНИК!$M$12+('ФАКТ ЧИСТ К3'!O25)*СПРАВОЧНИК!$N$12+('ФАКТ ЧИСТ К3'!P25)*СПРАВОЧНИК!$O$12)+СПРАВОЧНИК!$F$13*(('ФАКТ ЧИСТ К3'!Q25)*СПРАВОЧНИК!$L$13+('ФАКТ ЧИСТ К3'!R25)*СПРАВОЧНИК!$M$13+('ФАКТ ЧИСТ К3'!S25)*СПРАВОЧНИК!$N$13+('ФАКТ ЧИСТ К3'!T25)*СПРАВОЧНИК!$O$13)+СПРАВОЧНИК!$F$14*(('ФАКТ ЧИСТ К3'!U25)*СПРАВОЧНИК!$L$14+('ФАКТ ЧИСТ К3'!V25)*СПРАВОЧНИК!$M$14+('ФАКТ ЧИСТ К3'!W25)*СПРАВОЧНИК!$N$14)+СПРАВОЧНИК!$F$15*(('ФАКТ ЧИСТ К3'!X25)*СПРАВОЧНИК!$L$15+('ФАКТ ЧИСТ К3'!Y25)*СПРАВОЧНИК!$M$15+('ФАКТ ЧИСТ К3'!Z25)*СПРАВОЧНИК!$N$15)</f>
        <v/>
      </c>
      <c r="BK34" s="18">
        <f>BK33+7</f>
        <v/>
      </c>
      <c r="BL34" s="37">
        <f>'ПЛАН ЧЕРН К3'!B25*СПРАВОЧНИК!$H$9+'ПЛАН ЧЕРН К3'!C25*СПРАВОЧНИК!$I$9+'ПЛАН ЧЕРН К3'!D25*СПРАВОЧНИК!$J$9+'ПЛАН ЧЕРН К3'!E25*СПРАВОЧНИК!$H$10+'ПЛАН ЧЕРН К3'!F25*СПРАВОЧНИК!$I$10+'ПЛАН ЧЕРН К3'!G25*СПРАВОЧНИК!$J$10+'ПЛАН ЧЕРН К3'!H25*СПРАВОЧНИК!$H$11+'ПЛАН ЧЕРН К3'!I25*СПРАВОЧНИК!$I$11+'ПЛАН ЧЕРН К3'!J25*СПРАВОЧНИК!$J$11+'ПЛАН ЧЕРН К3'!K25*СПРАВОЧНИК!$H$12+'ПЛАН ЧЕРН К3'!L25*СПРАВОЧНИК!$I$12+'ПЛАН ЧЕРН К3'!M25*СПРАВОЧНИК!$J$12+'ПЛАН ЧЕРН К3'!N25*СПРАВОЧНИК!$H$13+'ПЛАН ЧЕРН К3'!O25*СПРАВОЧНИК!$I$13+'ПЛАН ЧЕРН К3'!P25*СПРАВОЧНИК!$J$13+'ПЛАН ЧЕРН К3'!Q25*СПРАВОЧНИК!$H$14+'ПЛАН ЧЕРН К3'!R25*СПРАВОЧНИК!$I$14+'ПЛАН ЧЕРН К3'!S25*СПРАВОЧНИК!$J$14+'ПЛАН ЧЕРН К3'!T25*СПРАВОЧНИК!$H$15+'ПЛАН ЧЕРН К3'!U25*СПРАВОЧНИК!$I$15+'ПЛАН ЧЕРН К3'!V25*СПРАВОЧНИК!$J$15</f>
        <v/>
      </c>
      <c r="BM34" s="40">
        <f>('ФАКТ ЧЕРН К3'!B25)*СПРАВОЧНИК!$H$9+('ФАКТ ЧЕРН К3'!C25)*СПРАВОЧНИК!$I$9+('ФАКТ ЧЕРН К3'!D25)*СПРАВОЧНИК!$J$9+('ФАКТ ЧЕРН К3'!E25)*СПРАВОЧНИК!$H$10+('ФАКТ ЧЕРН К3'!F25)*СПРАВОЧНИК!$I$10+('ФАКТ ЧЕРН К3'!G25)*СПРАВОЧНИК!$J$10+('ФАКТ ЧЕРН К3'!H25)*СПРАВОЧНИК!$H$11+('ФАКТ ЧЕРН К3'!I25)*СПРАВОЧНИК!$I$11+('ФАКТ ЧЕРН К3'!J25)*СПРАВОЧНИК!$J$11+('ФАКТ ЧЕРН К3'!K25)*СПРАВОЧНИК!$H$12+('ФАКТ ЧЕРН К3'!L25)*СПРАВОЧНИК!$I$12+('ФАКТ ЧЕРН К3'!M25)*СПРАВОЧНИК!$J$12+('ФАКТ ЧЕРН К3'!N25)*СПРАВОЧНИК!$H$13+('ФАКТ ЧЕРН К3'!O25)*СПРАВОЧНИК!$I$13+('ФАКТ ЧЕРН К3'!P25)*СПРАВОЧНИК!$J$13+('ФАКТ ЧЕРН К3'!Q25)*СПРАВОЧНИК!$H$14+('ФАКТ ЧЕРН К3'!R25)*СПРАВОЧНИК!$I$14+('ФАКТ ЧЕРН К3'!S25)*СПРАВОЧНИК!$J$14+('ФАКТ ЧЕРН К3'!T25)*СПРАВОЧНИК!$H$15+('ФАКТ ЧЕРН К3'!U25)*СПРАВОЧНИК!$I$15+('ФАКТ ЧЕРН К3'!V25)*СПРАВОЧНИК!$J$15</f>
        <v/>
      </c>
      <c r="BQ34" s="18">
        <f>BQ33+7</f>
        <v/>
      </c>
      <c r="BR34" s="37">
        <f>'ПЛАН ЧИСТ К3'!B25*СПРАВОЧНИК!$L$9+'ПЛАН ЧИСТ К3'!C25*СПРАВОЧНИК!$M$9+'ПЛАН ЧИСТ К3'!D25*СПРАВОЧНИК!$N$9+'ПЛАН ЧИСТ К3'!E25*СПРАВОЧНИК!$O$9+'ПЛАН ЧИСТ К3'!F25*СПРАВОЧНИК!$L$10+'ПЛАН ЧИСТ К3'!G25*СПРАВОЧНИК!$M$10+'ПЛАН ЧИСТ К3'!H25*СПРАВОЧНИК!$N$10+'ПЛАН ЧИСТ К3'!I25*СПРАВОЧНИК!$O$10+'ПЛАН ЧИСТ К3'!J25*СПРАВОЧНИК!$L$11+'ПЛАН ЧИСТ К3'!K25*СПРАВОЧНИК!$M$11+'ПЛАН ЧИСТ К3'!L25*СПРАВОЧНИК!$N$11+'ПЛАН ЧИСТ К3'!M25*СПРАВОЧНИК!$L$12+'ПЛАН ЧИСТ К3'!N25*СПРАВОЧНИК!$M$12+'ПЛАН ЧИСТ К3'!O25*СПРАВОЧНИК!$N$12+'ПЛАН ЧИСТ К3'!P25*СПРАВОЧНИК!$O$12+'ПЛАН ЧИСТ К3'!Q25*СПРАВОЧНИК!$L$13+'ПЛАН ЧИСТ К3'!R25*СПРАВОЧНИК!$M$13+'ПЛАН ЧИСТ К3'!S25*СПРАВОЧНИК!$N$13+'ПЛАН ЧИСТ К3'!T25*СПРАВОЧНИК!$O$13+'ПЛАН ЧИСТ К3'!U25*СПРАВОЧНИК!$L$14+'ПЛАН ЧИСТ К3'!V25*СПРАВОЧНИК!$M$14+'ПЛАН ЧИСТ К3'!W25*СПРАВОЧНИК!$N$14+'ПЛАН ЧИСТ К3'!X25*СПРАВОЧНИК!$L$15+'ПЛАН ЧИСТ К3'!Y25*СПРАВОЧНИК!$M$15+'ПЛАН ЧИСТ К3'!Z25*СПРАВОЧНИК!$N$15</f>
        <v/>
      </c>
      <c r="BS34" s="40">
        <f>('ФАКТ ЧИСТ К3'!B25)*СПРАВОЧНИК!$L$9+('ФАКТ ЧИСТ К3'!C25)*СПРАВОЧНИК!$M$9+('ФАКТ ЧИСТ К3'!D25)*СПРАВОЧНИК!$N$9+('ФАКТ ЧИСТ К3'!E25)*СПРАВОЧНИК!$O$9+('ФАКТ ЧИСТ К3'!F25)*СПРАВОЧНИК!$L$10+('ФАКТ ЧИСТ К3'!G25)*СПРАВОЧНИК!$M$10+('ФАКТ ЧИСТ К3'!H25)*СПРАВОЧНИК!$N$10+('ФАКТ ЧИСТ К3'!I25)*СПРАВОЧНИК!$O$10+('ФАКТ ЧИСТ К3'!J25)*СПРАВОЧНИК!$L$11+('ФАКТ ЧИСТ К3'!K25)*СПРАВОЧНИК!$M$11+('ФАКТ ЧИСТ К3'!L25)*СПРАВОЧНИК!$N$11+('ФАКТ ЧИСТ К3'!M25)*СПРАВОЧНИК!$L$12+('ФАКТ ЧИСТ К3'!N25)*СПРАВОЧНИК!$M$12+('ФАКТ ЧИСТ К3'!O25)*СПРАВОЧНИК!$N$12+('ФАКТ ЧИСТ К3'!P25)*СПРАВОЧНИК!$O$12+('ФАКТ ЧИСТ К3'!Q25)*СПРАВОЧНИК!$L$13+('ФАКТ ЧИСТ К3'!R25)*СПРАВОЧНИК!$M$13+('ФАКТ ЧИСТ К3'!S25)*СПРАВОЧНИК!$N$13+('ФАКТ ЧИСТ К3'!T25)*СПРАВОЧНИК!$O$13+('ФАКТ ЧИСТ К3'!U25)*СПРАВОЧНИК!$L$14+('ФАКТ ЧИСТ К3'!V25)*СПРАВОЧНИК!$M$14+('ФАКТ ЧИСТ К3'!W25)*СПРАВОЧНИК!$N$14+('ФАКТ ЧИСТ К3'!X25)*СПРАВОЧНИК!$L$15+('ФАКТ ЧИСТ К3'!Y25)*СПРАВОЧНИК!$M$15+('ФАКТ ЧИСТ К3'!Z25)*СПРАВОЧНИК!$N$15</f>
        <v/>
      </c>
      <c r="BW34" s="18">
        <f>BW33+7</f>
        <v/>
      </c>
      <c r="BX34" s="37">
        <f>V34+AN34+BF34</f>
        <v/>
      </c>
      <c r="BY34" s="40">
        <f>W34+AO34+BG34</f>
        <v/>
      </c>
      <c r="CC34" s="18">
        <f>CC33+7</f>
        <v/>
      </c>
      <c r="CD34" s="37">
        <f>AB34+AT34+BL34</f>
        <v/>
      </c>
      <c r="CE34" s="40">
        <f>AC34+AU34+BM34</f>
        <v/>
      </c>
      <c r="CI34" s="18">
        <f>CI33+7</f>
        <v/>
      </c>
      <c r="CJ34" s="37">
        <f>AH34+AZ34+BR34</f>
        <v/>
      </c>
      <c r="CK34" s="40">
        <f>AI34+BA34+BS34</f>
        <v/>
      </c>
      <c r="CO34" s="18">
        <f>CO33+7</f>
        <v/>
      </c>
      <c r="CP34" s="37">
        <f>D34+BX34</f>
        <v/>
      </c>
      <c r="CQ34" s="40">
        <f>E34+BY34</f>
        <v/>
      </c>
      <c r="CU34" s="18">
        <f>CU33+7</f>
        <v/>
      </c>
      <c r="CV34" s="37">
        <f>J34+CD34</f>
        <v/>
      </c>
      <c r="CW34" s="40">
        <f>K34+CE34</f>
        <v/>
      </c>
      <c r="DA34" s="18">
        <f>DA33+7</f>
        <v/>
      </c>
      <c r="DB34" s="37">
        <f>P34+CJ34</f>
        <v/>
      </c>
      <c r="DC34" s="40">
        <f>Q34+CK34</f>
        <v/>
      </c>
    </row>
    <row r="35">
      <c r="C35" s="18">
        <f>C34+7</f>
        <v/>
      </c>
      <c r="D35" s="37">
        <f>СПРАВОЧНИК!$E$3*('ПЛАН ЧЕРН ПОДЗЕМ'!B26*СПРАВОЧНИК!$H$3+'ПЛАН ЧЕРН ПОДЗЕМ'!C26*СПРАВОЧНИК!$I$3+'ПЛАН ЧЕРН ПОДЗЕМ'!D26*СПРАВОЧНИК!$J$3)+СПРАВОЧНИК!$E$4*('ПЛАН ЧЕРН ПОДЗЕМ'!E26*СПРАВОЧНИК!$H$4+'ПЛАН ЧЕРН ПОДЗЕМ'!F26*СПРАВОЧНИК!$I$4+'ПЛАН ЧЕРН ПОДЗЕМ'!G26*СПРАВОЧНИК!$J$4)+СПРАВОЧНИК!$E$5*('ПЛАН ЧЕРН ПОДЗЕМ'!H26*СПРАВОЧНИК!$H$5+'ПЛАН ЧЕРН ПОДЗЕМ'!I26*СПРАВОЧНИК!$I$5+'ПЛАН ЧЕРН ПОДЗЕМ'!J26*СПРАВОЧНИК!$J$5)+СПРАВОЧНИК!$E$6*('ПЛАН ЧЕРН ПОДЗЕМ'!K26*СПРАВОЧНИК!$H$6+'ПЛАН ЧЕРН ПОДЗЕМ'!L26*СПРАВОЧНИК!$I$6+'ПЛАН ЧЕРН ПОДЗЕМ'!M26*СПРАВОЧНИК!$J$6)+СПРАВОЧНИК!$E$7*('ПЛАН ЧЕРН ПОДЗЕМ'!N26*СПРАВОЧНИК!$H$7+'ПЛАН ЧЕРН ПОДЗЕМ'!O26*СПРАВОЧНИК!$I$7+'ПЛАН ЧЕРН ПОДЗЕМ'!P26*СПРАВОЧНИК!$J$7)+СПРАВОЧНИК!$E$8*('ПЛАН ЧЕРН ПОДЗЕМ'!Q26*СПРАВОЧНИК!$H$8+'ПЛАН ЧЕРН ПОДЗЕМ'!R26*СПРАВОЧНИК!$I$8+'ПЛАН ЧЕРН ПОДЗЕМ'!S26*СПРАВОЧНИК!$J$8)+СПРАВОЧНИК!$F$3*('ПЛАН ЧИСТ ПОДЗЕМ'!B26*СПРАВОЧНИК!$L$3+'ПЛАН ЧИСТ ПОДЗЕМ'!C26*СПРАВОЧНИК!$M$3+'ПЛАН ЧИСТ ПОДЗЕМ'!D26*СПРАВОЧНИК!$N$3+'ПЛАН ЧИСТ ПОДЗЕМ'!E26*СПРАВОЧНИК!$O$3)+СПРАВОЧНИК!$F$4*('ПЛАН ЧИСТ ПОДЗЕМ'!F26*СПРАВОЧНИК!$L$4+'ПЛАН ЧИСТ ПОДЗЕМ'!G26*СПРАВОЧНИК!$M$4+'ПЛАН ЧИСТ ПОДЗЕМ'!H26*СПРАВОЧНИК!$N$4+'ПЛАН ЧИСТ ПОДЗЕМ'!I26*СПРАВОЧНИК!$O$4)+СПРАВОЧНИК!$F$5*('ПЛАН ЧИСТ ПОДЗЕМ'!J26*СПРАВОЧНИК!$L$5+'ПЛАН ЧИСТ ПОДЗЕМ'!K26*СПРАВОЧНИК!$M$5+'ПЛАН ЧИСТ ПОДЗЕМ'!L26*СПРАВОЧНИК!$N$5)+СПРАВОЧНИК!$F$6*('ПЛАН ЧИСТ ПОДЗЕМ'!M26*СПРАВОЧНИК!$L$6+'ПЛАН ЧИСТ ПОДЗЕМ'!N26*СПРАВОЧНИК!$M$6+'ПЛАН ЧИСТ ПОДЗЕМ'!O26*СПРАВОЧНИК!$N$6+'ПЛАН ЧИСТ ПОДЗЕМ'!P26*СПРАВОЧНИК!$O$6)+СПРАВОЧНИК!$F$7*('ПЛАН ЧИСТ ПОДЗЕМ'!Q26*СПРАВОЧНИК!$L$7+'ПЛАН ЧИСТ ПОДЗЕМ'!R26*СПРАВОЧНИК!$M$7+'ПЛАН ЧИСТ ПОДЗЕМ'!S26*СПРАВОЧНИК!$N$7+'ПЛАН ЧИСТ ПОДЗЕМ'!T26*СПРАВОЧНИК!$O$7)+СПРАВОЧНИК!$F$8*('ПЛАН ЧИСТ ПОДЗЕМ'!U26*СПРАВОЧНИК!$L$8+'ПЛАН ЧИСТ ПОДЗЕМ'!V26*СПРАВОЧНИК!$M$8+'ПЛАН ЧИСТ ПОДЗЕМ'!W26*СПРАВОЧНИК!$N$8)</f>
        <v/>
      </c>
      <c r="E35" s="40">
        <f>СПРАВОЧНИК!$E$3*(('ФАКТ ЧЕРН ПОДЗЕМ'!B26)*СПРАВОЧНИК!$H$3+('ФАКТ ЧЕРН ПОДЗЕМ'!C26)*СПРАВОЧНИК!$I$3+('ФАКТ ЧЕРН ПОДЗЕМ'!D26)*СПРАВОЧНИК!$J$3)+СПРАВОЧНИК!$E$4*(('ФАКТ ЧЕРН ПОДЗЕМ'!E26)*СПРАВОЧНИК!$H$4+('ФАКТ ЧЕРН ПОДЗЕМ'!F26)*СПРАВОЧНИК!$I$4+('ФАКТ ЧЕРН ПОДЗЕМ'!G26)*СПРАВОЧНИК!$J$4)+СПРАВОЧНИК!$E$5*(('ФАКТ ЧЕРН ПОДЗЕМ'!H26)*СПРАВОЧНИК!$H$5+('ФАКТ ЧЕРН ПОДЗЕМ'!I26)*СПРАВОЧНИК!$I$5+('ФАКТ ЧЕРН ПОДЗЕМ'!J26)*СПРАВОЧНИК!$J$5)+СПРАВОЧНИК!$E$6*(('ФАКТ ЧЕРН ПОДЗЕМ'!K26)*СПРАВОЧНИК!$H$6+('ФАКТ ЧЕРН ПОДЗЕМ'!L26)*СПРАВОЧНИК!$I$6+('ФАКТ ЧЕРН ПОДЗЕМ'!M26)*СПРАВОЧНИК!$J$6)+СПРАВОЧНИК!$E$7*(('ФАКТ ЧЕРН ПОДЗЕМ'!N26)*СПРАВОЧНИК!$H$7+('ФАКТ ЧЕРН ПОДЗЕМ'!O26)*СПРАВОЧНИК!$I$7+('ФАКТ ЧЕРН ПОДЗЕМ'!P26)*СПРАВОЧНИК!$J$7)+СПРАВОЧНИК!$E$8*(('ФАКТ ЧЕРН ПОДЗЕМ'!Q26)*СПРАВОЧНИК!$H$8+('ФАКТ ЧЕРН ПОДЗЕМ'!R26)*СПРАВОЧНИК!$I$8+('ФАКТ ЧЕРН ПОДЗЕМ'!S26)*СПРАВОЧНИК!$J$8)+СПРАВОЧНИК!$F$3*(('ФАКТ ЧИСТ ПОДЗЕМ'!B26)*СПРАВОЧНИК!$L$3+('ФАКТ ЧИСТ ПОДЗЕМ'!C26)*СПРАВОЧНИК!$M$3+('ФАКТ ЧИСТ ПОДЗЕМ'!D26)*СПРАВОЧНИК!$N$3+('ФАКТ ЧИСТ ПОДЗЕМ'!E26)*СПРАВОЧНИК!$O$3)+СПРАВОЧНИК!$F$4*(('ФАКТ ЧИСТ ПОДЗЕМ'!F26)*СПРАВОЧНИК!$L$4+('ФАКТ ЧИСТ ПОДЗЕМ'!G26)*СПРАВОЧНИК!$M$4+('ФАКТ ЧИСТ ПОДЗЕМ'!H26)*СПРАВОЧНИК!$N$4+('ФАКТ ЧИСТ ПОДЗЕМ'!I26)*СПРАВОЧНИК!$O$4)+СПРАВОЧНИК!$F$5*(('ФАКТ ЧИСТ ПОДЗЕМ'!J26)*СПРАВОЧНИК!$L$5+('ФАКТ ЧИСТ ПОДЗЕМ'!K26)*СПРАВОЧНИК!$M$5+('ФАКТ ЧИСТ ПОДЗЕМ'!L26)*СПРАВОЧНИК!$N$5)+СПРАВОЧНИК!$F$6*(('ФАКТ ЧИСТ ПОДЗЕМ'!M26)*СПРАВОЧНИК!$L$6+('ФАКТ ЧИСТ ПОДЗЕМ'!N26)*СПРАВОЧНИК!$M$6+('ФАКТ ЧИСТ ПОДЗЕМ'!O26)*СПРАВОЧНИК!$N$6+('ФАКТ ЧИСТ ПОДЗЕМ'!P26)*СПРАВОЧНИК!$O$6)+СПРАВОЧНИК!$F$7*(('ФАКТ ЧИСТ ПОДЗЕМ'!Q26)*СПРАВОЧНИК!$L$7+('ФАКТ ЧИСТ ПОДЗЕМ'!R26)*СПРАВОЧНИК!$M$7+('ФАКТ ЧИСТ ПОДЗЕМ'!S26)*СПРАВОЧНИК!$N$7+('ФАКТ ЧИСТ ПОДЗЕМ'!T26)*СПРАВОЧНИК!$O$7)+СПРАВОЧНИК!$F$8*(('ФАКТ ЧИСТ ПОДЗЕМ'!U26)*СПРАВОЧНИК!$L$8+('ФАКТ ЧИСТ ПОДЗЕМ'!V26)*СПРАВОЧНИК!$M$8+('ФАКТ ЧИСТ ПОДЗЕМ'!W26)*СПРАВОЧНИК!$N$8)</f>
        <v/>
      </c>
      <c r="I35" s="18">
        <f>I34+7</f>
        <v/>
      </c>
      <c r="J35" s="37">
        <f>'ПЛАН ЧЕРН ПОДЗЕМ'!B26*СПРАВОЧНИК!$H$3+'ПЛАН ЧЕРН ПОДЗЕМ'!C26*СПРАВОЧНИК!$I$3+'ПЛАН ЧЕРН ПОДЗЕМ'!D26*СПРАВОЧНИК!$J$3+'ПЛАН ЧЕРН ПОДЗЕМ'!E26*СПРАВОЧНИК!$H$4+'ПЛАН ЧЕРН ПОДЗЕМ'!F26*СПРАВОЧНИК!$I$4+'ПЛАН ЧЕРН ПОДЗЕМ'!G26*СПРАВОЧНИК!$J$4+'ПЛАН ЧЕРН ПОДЗЕМ'!H26*СПРАВОЧНИК!$H$5+'ПЛАН ЧЕРН ПОДЗЕМ'!I26*СПРАВОЧНИК!$I$5+'ПЛАН ЧЕРН ПОДЗЕМ'!J26*СПРАВОЧНИК!$J$5+'ПЛАН ЧЕРН ПОДЗЕМ'!K26*СПРАВОЧНИК!$H$6+'ПЛАН ЧЕРН ПОДЗЕМ'!L26*СПРАВОЧНИК!$I$6+'ПЛАН ЧЕРН ПОДЗЕМ'!M26*СПРАВОЧНИК!$J$6+'ПЛАН ЧЕРН ПОДЗЕМ'!N26*СПРАВОЧНИК!$H$7+'ПЛАН ЧЕРН ПОДЗЕМ'!O26*СПРАВОЧНИК!$I$7+'ПЛАН ЧЕРН ПОДЗЕМ'!P26*СПРАВОЧНИК!$J$7+'ПЛАН ЧЕРН ПОДЗЕМ'!Q26*СПРАВОЧНИК!$H$8+'ПЛАН ЧЕРН ПОДЗЕМ'!R26*СПРАВОЧНИК!$I$8+'ПЛАН ЧЕРН ПОДЗЕМ'!S26*СПРАВОЧНИК!$J$8</f>
        <v/>
      </c>
      <c r="K35" s="40">
        <f>('ФАКТ ЧЕРН ПОДЗЕМ'!B26)*СПРАВОЧНИК!$H$3+('ФАКТ ЧЕРН ПОДЗЕМ'!C26)*СПРАВОЧНИК!$I$3+('ФАКТ ЧЕРН ПОДЗЕМ'!D26)*СПРАВОЧНИК!$J$3+('ФАКТ ЧЕРН ПОДЗЕМ'!E26)*СПРАВОЧНИК!$H$4+('ФАКТ ЧЕРН ПОДЗЕМ'!F26)*СПРАВОЧНИК!$I$4+('ФАКТ ЧЕРН ПОДЗЕМ'!G26)*СПРАВОЧНИК!$J$4+('ФАКТ ЧЕРН ПОДЗЕМ'!H26)*СПРАВОЧНИК!$H$5+('ФАКТ ЧЕРН ПОДЗЕМ'!I26)*СПРАВОЧНИК!$I$5+('ФАКТ ЧЕРН ПОДЗЕМ'!J26)*СПРАВОЧНИК!$J$5+('ФАКТ ЧЕРН ПОДЗЕМ'!K26)*СПРАВОЧНИК!$H$6+('ФАКТ ЧЕРН ПОДЗЕМ'!L26)*СПРАВОЧНИК!$I$6+('ФАКТ ЧЕРН ПОДЗЕМ'!M26)*СПРАВОЧНИК!$J$6+('ФАКТ ЧЕРН ПОДЗЕМ'!N26)*СПРАВОЧНИК!$H$7+('ФАКТ ЧЕРН ПОДЗЕМ'!O26)*СПРАВОЧНИК!$I$7+('ФАКТ ЧЕРН ПОДЗЕМ'!P26)*СПРАВОЧНИК!$J$7+('ФАКТ ЧЕРН ПОДЗЕМ'!Q26)*СПРАВОЧНИК!$H$8+('ФАКТ ЧЕРН ПОДЗЕМ'!R26)*СПРАВОЧНИК!$I$8+('ФАКТ ЧЕРН ПОДЗЕМ'!S26)*СПРАВОЧНИК!$J$8</f>
        <v/>
      </c>
      <c r="O35" s="18">
        <f>O34+7</f>
        <v/>
      </c>
      <c r="P35" s="37">
        <f>'ПЛАН ЧИСТ ПОДЗЕМ'!B26*СПРАВОЧНИК!$L$3+'ПЛАН ЧИСТ ПОДЗЕМ'!C26*СПРАВОЧНИК!$M$3+'ПЛАН ЧИСТ ПОДЗЕМ'!D26*СПРАВОЧНИК!$N$3+'ПЛАН ЧИСТ ПОДЗЕМ'!E26*СПРАВОЧНИК!$O$3+'ПЛАН ЧИСТ ПОДЗЕМ'!F26*СПРАВОЧНИК!$L$4+'ПЛАН ЧИСТ ПОДЗЕМ'!G26*СПРАВОЧНИК!$M$4+'ПЛАН ЧИСТ ПОДЗЕМ'!H26*СПРАВОЧНИК!$N$4+'ПЛАН ЧИСТ ПОДЗЕМ'!I26*СПРАВОЧНИК!$O$4+'ПЛАН ЧИСТ ПОДЗЕМ'!J26*СПРАВОЧНИК!$L$5+'ПЛАН ЧИСТ ПОДЗЕМ'!K26*СПРАВОЧНИК!$M$5+'ПЛАН ЧИСТ ПОДЗЕМ'!L26*СПРАВОЧНИК!$N$5+'ПЛАН ЧИСТ ПОДЗЕМ'!M26*СПРАВОЧНИК!$L$6+'ПЛАН ЧИСТ ПОДЗЕМ'!N26*СПРАВОЧНИК!$M$6+'ПЛАН ЧИСТ ПОДЗЕМ'!O26*СПРАВОЧНИК!$N$6+'ПЛАН ЧИСТ ПОДЗЕМ'!P26*СПРАВОЧНИК!$O$6+'ПЛАН ЧИСТ ПОДЗЕМ'!Q26*СПРАВОЧНИК!$L$7+'ПЛАН ЧИСТ ПОДЗЕМ'!R26*СПРАВОЧНИК!$M$7+'ПЛАН ЧИСТ ПОДЗЕМ'!S26*СПРАВОЧНИК!$N$7+'ПЛАН ЧИСТ ПОДЗЕМ'!T26*СПРАВОЧНИК!$O$7+'ПЛАН ЧИСТ ПОДЗЕМ'!U26*СПРАВОЧНИК!$L$8+'ПЛАН ЧИСТ ПОДЗЕМ'!V26*СПРАВОЧНИК!$M$8+'ПЛАН ЧИСТ ПОДЗЕМ'!W26*СПРАВОЧНИК!$N$8</f>
        <v/>
      </c>
      <c r="Q35" s="40">
        <f>('ФАКТ ЧИСТ ПОДЗЕМ'!B26)*СПРАВОЧНИК!$L$3+('ФАКТ ЧИСТ ПОДЗЕМ'!C26)*СПРАВОЧНИК!$M$3+('ФАКТ ЧИСТ ПОДЗЕМ'!D26)*СПРАВОЧНИК!$N$3+('ФАКТ ЧИСТ ПОДЗЕМ'!E26)*СПРАВОЧНИК!$O$3+('ФАКТ ЧИСТ ПОДЗЕМ'!F26)*СПРАВОЧНИК!$L$4+('ФАКТ ЧИСТ ПОДЗЕМ'!G26)*СПРАВОЧНИК!$M$4+('ФАКТ ЧИСТ ПОДЗЕМ'!H26)*СПРАВОЧНИК!$N$4+('ФАКТ ЧИСТ ПОДЗЕМ'!I26)*СПРАВОЧНИК!$O$4+('ФАКТ ЧИСТ ПОДЗЕМ'!J26)*СПРАВОЧНИК!$L$5+('ФАКТ ЧИСТ ПОДЗЕМ'!K26)*СПРАВОЧНИК!$M$5+('ФАКТ ЧИСТ ПОДЗЕМ'!L26)*СПРАВОЧНИК!$N$5+('ФАКТ ЧИСТ ПОДЗЕМ'!M26)*СПРАВОЧНИК!$L$6+('ФАКТ ЧИСТ ПОДЗЕМ'!N26)*СПРАВОЧНИК!$M$6+('ФАКТ ЧИСТ ПОДЗЕМ'!O26)*СПРАВОЧНИК!$N$6+('ФАКТ ЧИСТ ПОДЗЕМ'!P26)*СПРАВОЧНИК!$O$6+('ФАКТ ЧИСТ ПОДЗЕМ'!Q26)*СПРАВОЧНИК!$L$7+('ФАКТ ЧИСТ ПОДЗЕМ'!R26)*СПРАВОЧНИК!$M$7+('ФАКТ ЧИСТ ПОДЗЕМ'!S26)*СПРАВОЧНИК!$N$7+('ФАКТ ЧИСТ ПОДЗЕМ'!T26)*СПРАВОЧНИК!$O$7+('ФАКТ ЧИСТ ПОДЗЕМ'!U26)*СПРАВОЧНИК!$L$8+('ФАКТ ЧИСТ ПОДЗЕМ'!V26)*СПРАВОЧНИК!$M$8+('ФАКТ ЧИСТ ПОДЗЕМ'!W26)*СПРАВОЧНИК!$N$8</f>
        <v/>
      </c>
      <c r="U35" s="18">
        <f>U34+7</f>
        <v/>
      </c>
      <c r="V35" s="37">
        <f>СПРАВОЧНИК!$E$9*('ПЛАН ЧЕРН К1'!B26*СПРАВОЧНИК!$H$9+'ПЛАН ЧЕРН К1'!C26*СПРАВОЧНИК!$I$9+'ПЛАН ЧЕРН К1'!D26*СПРАВОЧНИК!$J$9)+СПРАВОЧНИК!$E$10*('ПЛАН ЧЕРН К1'!E26*СПРАВОЧНИК!$H$10+'ПЛАН ЧЕРН К1'!F26*СПРАВОЧНИК!$I$10+'ПЛАН ЧЕРН К1'!G26*СПРАВОЧНИК!$J$10)+СПРАВОЧНИК!$E$11*('ПЛАН ЧЕРН К1'!H26*СПРАВОЧНИК!$H$11+'ПЛАН ЧЕРН К1'!I26*СПРАВОЧНИК!$I$11+'ПЛАН ЧЕРН К1'!J26*СПРАВОЧНИК!$J$11)+СПРАВОЧНИК!$E$12*('ПЛАН ЧЕРН К1'!K26*СПРАВОЧНИК!$H$12+'ПЛАН ЧЕРН К1'!L26*СПРАВОЧНИК!$I$12+'ПЛАН ЧЕРН К1'!M26*СПРАВОЧНИК!$J$12)+СПРАВОЧНИК!$E$13*('ПЛАН ЧЕРН К1'!N26*СПРАВОЧНИК!$H$13+'ПЛАН ЧЕРН К1'!O26*СПРАВОЧНИК!$I$13+'ПЛАН ЧЕРН К1'!P26*СПРАВОЧНИК!$J$13)+СПРАВОЧНИК!$E$14*('ПЛАН ЧЕРН К1'!Q26*СПРАВОЧНИК!$H$14+'ПЛАН ЧЕРН К1'!R26*СПРАВОЧНИК!$I$14+'ПЛАН ЧЕРН К1'!S26*СПРАВОЧНИК!$J$14)+СПРАВОЧНИК!$E$15*('ПЛАН ЧЕРН К1'!T26*СПРАВОЧНИК!$H$15+'ПЛАН ЧЕРН К1'!U26*СПРАВОЧНИК!$I$15+'ПЛАН ЧЕРН К1'!V26*СПРАВОЧНИК!$J$15)+СПРАВОЧНИК!$F$9*('ПЛАН ЧИСТ К1'!B26*СПРАВОЧНИК!$L$9+'ПЛАН ЧИСТ К1'!C26*СПРАВОЧНИК!$M$9+'ПЛАН ЧИСТ К1'!D26*СПРАВОЧНИК!$N$9+'ПЛАН ЧИСТ К1'!E26*СПРАВОЧНИК!$O$9)+СПРАВОЧНИК!$F$10*('ПЛАН ЧИСТ К1'!F26*СПРАВОЧНИК!$L$10+'ПЛАН ЧИСТ К1'!G26*СПРАВОЧНИК!$M$10+'ПЛАН ЧИСТ К1'!H26*СПРАВОЧНИК!$N$10+'ПЛАН ЧИСТ К1'!I26*СПРАВОЧНИК!$O$10)+СПРАВОЧНИК!$F$11*('ПЛАН ЧИСТ К1'!J26*СПРАВОЧНИК!$L$11+'ПЛАН ЧИСТ К1'!K26*СПРАВОЧНИК!$M$11+'ПЛАН ЧИСТ К1'!L26*СПРАВОЧНИК!$N$11)+СПРАВОЧНИК!$F$12*('ПЛАН ЧИСТ К1'!M26*СПРАВОЧНИК!$L$12+'ПЛАН ЧИСТ К1'!N26*СПРАВОЧНИК!$M$12+'ПЛАН ЧИСТ К1'!O26*СПРАВОЧНИК!$N$12+'ПЛАН ЧИСТ К1'!P26*СПРАВОЧНИК!$O$12)+СПРАВОЧНИК!$F$13*('ПЛАН ЧИСТ К1'!Q26*СПРАВОЧНИК!$L$13+'ПЛАН ЧИСТ К1'!R26*СПРАВОЧНИК!$M$13+'ПЛАН ЧИСТ К1'!S26*СПРАВОЧНИК!$N$13+'ПЛАН ЧИСТ К1'!T26*СПРАВОЧНИК!$O$13)+СПРАВОЧНИК!$F$14*('ПЛАН ЧИСТ К1'!U26*СПРАВОЧНИК!$L$14+'ПЛАН ЧИСТ К1'!V26*СПРАВОЧНИК!$M$14+'ПЛАН ЧИСТ К1'!W26*СПРАВОЧНИК!$N$14)+СПРАВОЧНИК!$F$15*('ПЛАН ЧИСТ К1'!X26*СПРАВОЧНИК!$L$15+'ПЛАН ЧИСТ К1'!Y26*СПРАВОЧНИК!$M$15+'ПЛАН ЧИСТ К1'!Z26*СПРАВОЧНИК!$N$15)</f>
        <v/>
      </c>
      <c r="W35" s="40">
        <f>СПРАВОЧНИК!$E$9*(('ФАКТ ЧЕРН К1'!B26)*СПРАВОЧНИК!$H$9+('ФАКТ ЧЕРН К1'!C26)*СПРАВОЧНИК!$I$9+('ФАКТ ЧЕРН К1'!D26)*СПРАВОЧНИК!$J$9)+СПРАВОЧНИК!$E$10*(('ФАКТ ЧЕРН К1'!E26)*СПРАВОЧНИК!$H$10+('ФАКТ ЧЕРН К1'!F26)*СПРАВОЧНИК!$I$10+('ФАКТ ЧЕРН К1'!G26)*СПРАВОЧНИК!$J$10)+СПРАВОЧНИК!$E$11*(('ФАКТ ЧЕРН К1'!H26)*СПРАВОЧНИК!$H$11+('ФАКТ ЧЕРН К1'!I26)*СПРАВОЧНИК!$I$11+('ФАКТ ЧЕРН К1'!J26)*СПРАВОЧНИК!$J$11)+СПРАВОЧНИК!$E$12*(('ФАКТ ЧЕРН К1'!K26)*СПРАВОЧНИК!$H$12+('ФАКТ ЧЕРН К1'!L26)*СПРАВОЧНИК!$I$12+('ФАКТ ЧЕРН К1'!M26)*СПРАВОЧНИК!$J$12)+СПРАВОЧНИК!$E$13*(('ФАКТ ЧЕРН К1'!N26)*СПРАВОЧНИК!$H$13+('ФАКТ ЧЕРН К1'!O26)*СПРАВОЧНИК!$I$13+('ФАКТ ЧЕРН К1'!P26)*СПРАВОЧНИК!$J$13)+СПРАВОЧНИК!$E$14*(('ФАКТ ЧЕРН К1'!Q26)*СПРАВОЧНИК!$H$14+('ФАКТ ЧЕРН К1'!R26)*СПРАВОЧНИК!$I$14+('ФАКТ ЧЕРН К1'!S26)*СПРАВОЧНИК!$J$14)+СПРАВОЧНИК!$E$15*(('ФАКТ ЧЕРН К1'!T26)*СПРАВОЧНИК!$H$15+('ФАКТ ЧЕРН К1'!U26)*СПРАВОЧНИК!$I$15+('ФАКТ ЧЕРН К1'!V26)*СПРАВОЧНИК!$J$15)+СПРАВОЧНИК!$F$9*(('ФАКТ ЧИСТ К1'!B26)*СПРАВОЧНИК!$L$9+('ФАКТ ЧИСТ К1'!C26)*СПРАВОЧНИК!$M$9+('ФАКТ ЧИСТ К1'!D26)*СПРАВОЧНИК!$N$9+('ФАКТ ЧИСТ К1'!E26)*СПРАВОЧНИК!$O$9)+СПРАВОЧНИК!$F$10*(('ФАКТ ЧИСТ К1'!F26)*СПРАВОЧНИК!$L$10+('ФАКТ ЧИСТ К1'!G26)*СПРАВОЧНИК!$M$10+('ФАКТ ЧИСТ К1'!H26)*СПРАВОЧНИК!$N$10+('ФАКТ ЧИСТ К1'!I26)*СПРАВОЧНИК!$O$10)+СПРАВОЧНИК!$F$11*(('ФАКТ ЧИСТ К1'!J26)*СПРАВОЧНИК!$L$11+('ФАКТ ЧИСТ К1'!K26)*СПРАВОЧНИК!$M$11+('ФАКТ ЧИСТ К1'!L26)*СПРАВОЧНИК!$N$11)+СПРАВОЧНИК!$F$12*(('ФАКТ ЧИСТ К1'!M26)*СПРАВОЧНИК!$L$12+('ФАКТ ЧИСТ К1'!N26)*СПРАВОЧНИК!$M$12+('ФАКТ ЧИСТ К1'!O26)*СПРАВОЧНИК!$N$12+('ФАКТ ЧИСТ К1'!P26)*СПРАВОЧНИК!$O$12)+СПРАВОЧНИК!$F$13*(('ФАКТ ЧИСТ К1'!Q26)*СПРАВОЧНИК!$L$13+('ФАКТ ЧИСТ К1'!R26)*СПРАВОЧНИК!$M$13+('ФАКТ ЧИСТ К1'!S26)*СПРАВОЧНИК!$N$13+('ФАКТ ЧИСТ К1'!T26)*СПРАВОЧНИК!$O$13)+СПРАВОЧНИК!$F$14*(('ФАКТ ЧИСТ К1'!U26)*СПРАВОЧНИК!$L$14+('ФАКТ ЧИСТ К1'!V26)*СПРАВОЧНИК!$M$14+('ФАКТ ЧИСТ К1'!W26)*СПРАВОЧНИК!$N$14)+СПРАВОЧНИК!$F$15*(('ФАКТ ЧИСТ К1'!X26)*СПРАВОЧНИК!$L$15+('ФАКТ ЧИСТ К1'!Y26)*СПРАВОЧНИК!$M$15+('ФАКТ ЧИСТ К1'!Z26)*СПРАВОЧНИК!$N$15)</f>
        <v/>
      </c>
      <c r="AA35" s="18">
        <f>AA34+7</f>
        <v/>
      </c>
      <c r="AB35" s="37">
        <f>'ПЛАН ЧЕРН К1'!B26*СПРАВОЧНИК!$H$9+'ПЛАН ЧЕРН К1'!C26*СПРАВОЧНИК!$I$9+'ПЛАН ЧЕРН К1'!D26*СПРАВОЧНИК!$J$9+'ПЛАН ЧЕРН К1'!E26*СПРАВОЧНИК!$H$10+'ПЛАН ЧЕРН К1'!F26*СПРАВОЧНИК!$I$10+'ПЛАН ЧЕРН К1'!G26*СПРАВОЧНИК!$J$10+'ПЛАН ЧЕРН К1'!H26*СПРАВОЧНИК!$H$11+'ПЛАН ЧЕРН К1'!I26*СПРАВОЧНИК!$I$11+'ПЛАН ЧЕРН К1'!J26*СПРАВОЧНИК!$J$11+'ПЛАН ЧЕРН К1'!K26*СПРАВОЧНИК!$H$12+'ПЛАН ЧЕРН К1'!L26*СПРАВОЧНИК!$I$12+'ПЛАН ЧЕРН К1'!M26*СПРАВОЧНИК!$J$12+'ПЛАН ЧЕРН К1'!N26*СПРАВОЧНИК!$H$13+'ПЛАН ЧЕРН К1'!O26*СПРАВОЧНИК!$I$13+'ПЛАН ЧЕРН К1'!P26*СПРАВОЧНИК!$J$13+'ПЛАН ЧЕРН К1'!Q26*СПРАВОЧНИК!$H$14+'ПЛАН ЧЕРН К1'!R26*СПРАВОЧНИК!$I$14+'ПЛАН ЧЕРН К1'!S26*СПРАВОЧНИК!$J$14+'ПЛАН ЧЕРН К1'!T26*СПРАВОЧНИК!$H$15+'ПЛАН ЧЕРН К1'!U26*СПРАВОЧНИК!$I$15+'ПЛАН ЧЕРН К1'!V26*СПРАВОЧНИК!$J$15</f>
        <v/>
      </c>
      <c r="AC35" s="40">
        <f>('ФАКТ ЧЕРН К1'!B26)*СПРАВОЧНИК!$H$9+('ФАКТ ЧЕРН К1'!C26)*СПРАВОЧНИК!$I$9+('ФАКТ ЧЕРН К1'!D26)*СПРАВОЧНИК!$J$9+('ФАКТ ЧЕРН К1'!E26)*СПРАВОЧНИК!$H$10+('ФАКТ ЧЕРН К1'!F26)*СПРАВОЧНИК!$I$10+('ФАКТ ЧЕРН К1'!G26)*СПРАВОЧНИК!$J$10+('ФАКТ ЧЕРН К1'!H26)*СПРАВОЧНИК!$H$11+('ФАКТ ЧЕРН К1'!I26)*СПРАВОЧНИК!$I$11+('ФАКТ ЧЕРН К1'!J26)*СПРАВОЧНИК!$J$11+('ФАКТ ЧЕРН К1'!K26)*СПРАВОЧНИК!$H$12+('ФАКТ ЧЕРН К1'!L26)*СПРАВОЧНИК!$I$12+('ФАКТ ЧЕРН К1'!M26)*СПРАВОЧНИК!$J$12+('ФАКТ ЧЕРН К1'!N26)*СПРАВОЧНИК!$H$13+('ФАКТ ЧЕРН К1'!O26)*СПРАВОЧНИК!$I$13+('ФАКТ ЧЕРН К1'!P26)*СПРАВОЧНИК!$J$13+('ФАКТ ЧЕРН К1'!Q26)*СПРАВОЧНИК!$H$14+('ФАКТ ЧЕРН К1'!R26)*СПРАВОЧНИК!$I$14+('ФАКТ ЧЕРН К1'!S26)*СПРАВОЧНИК!$J$14+('ФАКТ ЧЕРН К1'!T26)*СПРАВОЧНИК!$H$15+('ФАКТ ЧЕРН К1'!U26)*СПРАВОЧНИК!$I$15+('ФАКТ ЧЕРН К1'!V26)*СПРАВОЧНИК!$J$15</f>
        <v/>
      </c>
      <c r="AG35" s="18">
        <f>AG34+7</f>
        <v/>
      </c>
      <c r="AH35" s="37">
        <f>'ПЛАН ЧИСТ К1'!B26*СПРАВОЧНИК!$L$9+'ПЛАН ЧИСТ К1'!C26*СПРАВОЧНИК!$M$9+'ПЛАН ЧИСТ К1'!D26*СПРАВОЧНИК!$N$9+'ПЛАН ЧИСТ К1'!E26*СПРАВОЧНИК!$O$9+'ПЛАН ЧИСТ К1'!F26*СПРАВОЧНИК!$L$10+'ПЛАН ЧИСТ К1'!G26*СПРАВОЧНИК!$M$10+'ПЛАН ЧИСТ К1'!H26*СПРАВОЧНИК!$N$10+'ПЛАН ЧИСТ К1'!I26*СПРАВОЧНИК!$O$10+'ПЛАН ЧИСТ К1'!J26*СПРАВОЧНИК!$L$11+'ПЛАН ЧИСТ К1'!K26*СПРАВОЧНИК!$M$11+'ПЛАН ЧИСТ К1'!L26*СПРАВОЧНИК!$N$11+'ПЛАН ЧИСТ К1'!M26*СПРАВОЧНИК!$L$12+'ПЛАН ЧИСТ К1'!N26*СПРАВОЧНИК!$M$12+'ПЛАН ЧИСТ К1'!O26*СПРАВОЧНИК!$N$12+'ПЛАН ЧИСТ К1'!P26*СПРАВОЧНИК!$O$12+'ПЛАН ЧИСТ К1'!Q26*СПРАВОЧНИК!$L$13+'ПЛАН ЧИСТ К1'!R26*СПРАВОЧНИК!$M$13+'ПЛАН ЧИСТ К1'!S26*СПРАВОЧНИК!$N$13+'ПЛАН ЧИСТ К1'!T26*СПРАВОЧНИК!$O$13+'ПЛАН ЧИСТ К1'!U26*СПРАВОЧНИК!$L$14+'ПЛАН ЧИСТ К1'!V26*СПРАВОЧНИК!$M$14+'ПЛАН ЧИСТ К1'!W26*СПРАВОЧНИК!$N$14+'ПЛАН ЧИСТ К1'!X26*СПРАВОЧНИК!$L$15+'ПЛАН ЧИСТ К1'!Y26*СПРАВОЧНИК!$M$15+'ПЛАН ЧИСТ К1'!Z26*СПРАВОЧНИК!$N$15</f>
        <v/>
      </c>
      <c r="AI35" s="40">
        <f>('ФАКТ ЧИСТ К1'!B26)*СПРАВОЧНИК!$L$9+('ФАКТ ЧИСТ К1'!C26)*СПРАВОЧНИК!$M$9+('ФАКТ ЧИСТ К1'!D26)*СПРАВОЧНИК!$N$9+('ФАКТ ЧИСТ К1'!E26)*СПРАВОЧНИК!$O$9+('ФАКТ ЧИСТ К1'!F26)*СПРАВОЧНИК!$L$10+('ФАКТ ЧИСТ К1'!G26)*СПРАВОЧНИК!$M$10+('ФАКТ ЧИСТ К1'!H26)*СПРАВОЧНИК!$N$10+('ФАКТ ЧИСТ К1'!I26)*СПРАВОЧНИК!$O$10+('ФАКТ ЧИСТ К1'!J26)*СПРАВОЧНИК!$L$11+('ФАКТ ЧИСТ К1'!K26)*СПРАВОЧНИК!$M$11+('ФАКТ ЧИСТ К1'!L26)*СПРАВОЧНИК!$N$11+('ФАКТ ЧИСТ К1'!M26)*СПРАВОЧНИК!$L$12+('ФАКТ ЧИСТ К1'!N26)*СПРАВОЧНИК!$M$12+('ФАКТ ЧИСТ К1'!O26)*СПРАВОЧНИК!$N$12+('ФАКТ ЧИСТ К1'!P26)*СПРАВОЧНИК!$O$12+('ФАКТ ЧИСТ К1'!Q26)*СПРАВОЧНИК!$L$13+('ФАКТ ЧИСТ К1'!R26)*СПРАВОЧНИК!$M$13+('ФАКТ ЧИСТ К1'!S26)*СПРАВОЧНИК!$N$13+('ФАКТ ЧИСТ К1'!T26)*СПРАВОЧНИК!$O$13+('ФАКТ ЧИСТ К1'!U26)*СПРАВОЧНИК!$L$14+('ФАКТ ЧИСТ К1'!V26)*СПРАВОЧНИК!$M$14+('ФАКТ ЧИСТ К1'!W26)*СПРАВОЧНИК!$N$14+('ФАКТ ЧИСТ К1'!X26)*СПРАВОЧНИК!$L$15+('ФАКТ ЧИСТ К1'!Y26)*СПРАВОЧНИК!$M$15+('ФАКТ ЧИСТ К1'!Z26)*СПРАВОЧНИК!$N$15</f>
        <v/>
      </c>
      <c r="AM35" s="18">
        <f>AM34+7</f>
        <v/>
      </c>
      <c r="AN35" s="37">
        <f>СПРАВОЧНИК!$E$9*('ПЛАН ЧЕРН К2'!B26*СПРАВОЧНИК!$H$9+'ПЛАН ЧЕРН К2'!C26*СПРАВОЧНИК!$I$9+'ПЛАН ЧЕРН К2'!D26*СПРАВОЧНИК!$J$9)+СПРАВОЧНИК!$E$10*('ПЛАН ЧЕРН К2'!E26*СПРАВОЧНИК!$H$10+'ПЛАН ЧЕРН К2'!F26*СПРАВОЧНИК!$I$10+'ПЛАН ЧЕРН К2'!G26*СПРАВОЧНИК!$J$10)+СПРАВОЧНИК!$E$11*('ПЛАН ЧЕРН К2'!H26*СПРАВОЧНИК!$H$11+'ПЛАН ЧЕРН К2'!I26*СПРАВОЧНИК!$I$11+'ПЛАН ЧЕРН К2'!J26*СПРАВОЧНИК!$J$11)+СПРАВОЧНИК!$E$12*('ПЛАН ЧЕРН К2'!K26*СПРАВОЧНИК!$H$12+'ПЛАН ЧЕРН К2'!L26*СПРАВОЧНИК!$I$12+'ПЛАН ЧЕРН К2'!M26*СПРАВОЧНИК!$J$12)+СПРАВОЧНИК!$E$13*('ПЛАН ЧЕРН К2'!N26*СПРАВОЧНИК!$H$13+'ПЛАН ЧЕРН К2'!O26*СПРАВОЧНИК!$I$13+'ПЛАН ЧЕРН К2'!P26*СПРАВОЧНИК!$J$13)+СПРАВОЧНИК!$E$14*('ПЛАН ЧЕРН К2'!Q26*СПРАВОЧНИК!$H$14+'ПЛАН ЧЕРН К2'!R26*СПРАВОЧНИК!$I$14+'ПЛАН ЧЕРН К2'!S26*СПРАВОЧНИК!$J$14)+СПРАВОЧНИК!$E$15*('ПЛАН ЧЕРН К2'!T26*СПРАВОЧНИК!$H$15+'ПЛАН ЧЕРН К2'!U26*СПРАВОЧНИК!$I$15+'ПЛАН ЧЕРН К2'!V26*СПРАВОЧНИК!$J$15)+СПРАВОЧНИК!$F$9*('ПЛАН ЧИСТ К2'!B26*СПРАВОЧНИК!$L$9+'ПЛАН ЧИСТ К2'!C26*СПРАВОЧНИК!$M$9+'ПЛАН ЧИСТ К2'!D26*СПРАВОЧНИК!$N$9+'ПЛАН ЧИСТ К2'!E26*СПРАВОЧНИК!$O$9)+СПРАВОЧНИК!$F$10*('ПЛАН ЧИСТ К2'!F26*СПРАВОЧНИК!$L$10+'ПЛАН ЧИСТ К2'!G26*СПРАВОЧНИК!$M$10+'ПЛАН ЧИСТ К2'!H26*СПРАВОЧНИК!$N$10+'ПЛАН ЧИСТ К2'!I26*СПРАВОЧНИК!$O$10)+СПРАВОЧНИК!$F$11*('ПЛАН ЧИСТ К2'!J26*СПРАВОЧНИК!$L$11+'ПЛАН ЧИСТ К2'!K26*СПРАВОЧНИК!$M$11+'ПЛАН ЧИСТ К2'!L26*СПРАВОЧНИК!$N$11)+СПРАВОЧНИК!$F$12*('ПЛАН ЧИСТ К2'!M26*СПРАВОЧНИК!$L$12+'ПЛАН ЧИСТ К2'!N26*СПРАВОЧНИК!$M$12+'ПЛАН ЧИСТ К2'!O26*СПРАВОЧНИК!$N$12+'ПЛАН ЧИСТ К2'!P26*СПРАВОЧНИК!$O$12)+СПРАВОЧНИК!$F$13*('ПЛАН ЧИСТ К2'!Q26*СПРАВОЧНИК!$L$13+'ПЛАН ЧИСТ К2'!R26*СПРАВОЧНИК!$M$13+'ПЛАН ЧИСТ К2'!S26*СПРАВОЧНИК!$N$13+'ПЛАН ЧИСТ К2'!T26*СПРАВОЧНИК!$O$13)+СПРАВОЧНИК!$F$14*('ПЛАН ЧИСТ К2'!U26*СПРАВОЧНИК!$L$14+'ПЛАН ЧИСТ К2'!V26*СПРАВОЧНИК!$M$14+'ПЛАН ЧИСТ К2'!W26*СПРАВОЧНИК!$N$14)+СПРАВОЧНИК!$F$15*('ПЛАН ЧИСТ К2'!X26*СПРАВОЧНИК!$L$15+'ПЛАН ЧИСТ К2'!Y26*СПРАВОЧНИК!$M$15+'ПЛАН ЧИСТ К2'!Z26*СПРАВОЧНИК!$N$15)</f>
        <v/>
      </c>
      <c r="AO35" s="40">
        <f>СПРАВОЧНИК!$E$9*(('ФАКТ ЧЕРН К2'!B26)*СПРАВОЧНИК!$H$9+('ФАКТ ЧЕРН К2'!C26)*СПРАВОЧНИК!$I$9+('ФАКТ ЧЕРН К2'!D26)*СПРАВОЧНИК!$J$9)+СПРАВОЧНИК!$E$10*(('ФАКТ ЧЕРН К2'!E26)*СПРАВОЧНИК!$H$10+('ФАКТ ЧЕРН К2'!F26)*СПРАВОЧНИК!$I$10+('ФАКТ ЧЕРН К2'!G26)*СПРАВОЧНИК!$J$10)+СПРАВОЧНИК!$E$11*(('ФАКТ ЧЕРН К2'!H26)*СПРАВОЧНИК!$H$11+('ФАКТ ЧЕРН К2'!I26)*СПРАВОЧНИК!$I$11+('ФАКТ ЧЕРН К2'!J26)*СПРАВОЧНИК!$J$11)+СПРАВОЧНИК!$E$12*(('ФАКТ ЧЕРН К2'!K26)*СПРАВОЧНИК!$H$12+('ФАКТ ЧЕРН К2'!L26)*СПРАВОЧНИК!$I$12+('ФАКТ ЧЕРН К2'!M26)*СПРАВОЧНИК!$J$12)+СПРАВОЧНИК!$E$13*(('ФАКТ ЧЕРН К2'!N26)*СПРАВОЧНИК!$H$13+('ФАКТ ЧЕРН К2'!O26)*СПРАВОЧНИК!$I$13+('ФАКТ ЧЕРН К2'!P26)*СПРАВОЧНИК!$J$13)+СПРАВОЧНИК!$E$14*(('ФАКТ ЧЕРН К2'!Q26)*СПРАВОЧНИК!$H$14+('ФАКТ ЧЕРН К2'!R26)*СПРАВОЧНИК!$I$14+('ФАКТ ЧЕРН К2'!S26)*СПРАВОЧНИК!$J$14)+СПРАВОЧНИК!$E$15*(('ФАКТ ЧЕРН К2'!T26)*СПРАВОЧНИК!$H$15+('ФАКТ ЧЕРН К2'!U26)*СПРАВОЧНИК!$I$15+('ФАКТ ЧЕРН К2'!V26)*СПРАВОЧНИК!$J$15)+СПРАВОЧНИК!$F$9*(('ФАКТ ЧИСТ К2'!B26)*СПРАВОЧНИК!$L$9+('ФАКТ ЧИСТ К2'!C26)*СПРАВОЧНИК!$M$9+('ФАКТ ЧИСТ К2'!D26)*СПРАВОЧНИК!$N$9+('ФАКТ ЧИСТ К2'!E26)*СПРАВОЧНИК!$O$9)+СПРАВОЧНИК!$F$10*(('ФАКТ ЧИСТ К2'!F26)*СПРАВОЧНИК!$L$10+('ФАКТ ЧИСТ К2'!G26)*СПРАВОЧНИК!$M$10+('ФАКТ ЧИСТ К2'!H26)*СПРАВОЧНИК!$N$10+('ФАКТ ЧИСТ К2'!I26)*СПРАВОЧНИК!$O$10)+СПРАВОЧНИК!$F$11*(('ФАКТ ЧИСТ К2'!J26)*СПРАВОЧНИК!$L$11+('ФАКТ ЧИСТ К2'!K26)*СПРАВОЧНИК!$M$11+('ФАКТ ЧИСТ К2'!L26)*СПРАВОЧНИК!$N$11)+СПРАВОЧНИК!$F$12*(('ФАКТ ЧИСТ К2'!M26)*СПРАВОЧНИК!$L$12+('ФАКТ ЧИСТ К2'!N26)*СПРАВОЧНИК!$M$12+('ФАКТ ЧИСТ К2'!O26)*СПРАВОЧНИК!$N$12+('ФАКТ ЧИСТ К2'!P26)*СПРАВОЧНИК!$O$12)+СПРАВОЧНИК!$F$13*(('ФАКТ ЧИСТ К2'!Q26)*СПРАВОЧНИК!$L$13+('ФАКТ ЧИСТ К2'!R26)*СПРАВОЧНИК!$M$13+('ФАКТ ЧИСТ К2'!S26)*СПРАВОЧНИК!$N$13+('ФАКТ ЧИСТ К2'!T26)*СПРАВОЧНИК!$O$13)+СПРАВОЧНИК!$F$14*(('ФАКТ ЧИСТ К2'!U26)*СПРАВОЧНИК!$L$14+('ФАКТ ЧИСТ К2'!V26)*СПРАВОЧНИК!$M$14+('ФАКТ ЧИСТ К2'!W26)*СПРАВОЧНИК!$N$14)+СПРАВОЧНИК!$F$15*(('ФАКТ ЧИСТ К2'!X26)*СПРАВОЧНИК!$L$15+('ФАКТ ЧИСТ К2'!Y26)*СПРАВОЧНИК!$M$15+('ФАКТ ЧИСТ К2'!Z26)*СПРАВОЧНИК!$N$15)</f>
        <v/>
      </c>
      <c r="AS35" s="18">
        <f>AS34+7</f>
        <v/>
      </c>
      <c r="AT35" s="37">
        <f>'ПЛАН ЧЕРН К2'!B26*СПРАВОЧНИК!$H$9+'ПЛАН ЧЕРН К2'!C26*СПРАВОЧНИК!$I$9+'ПЛАН ЧЕРН К2'!D26*СПРАВОЧНИК!$J$9+'ПЛАН ЧЕРН К2'!E26*СПРАВОЧНИК!$H$10+'ПЛАН ЧЕРН К2'!F26*СПРАВОЧНИК!$I$10+'ПЛАН ЧЕРН К2'!G26*СПРАВОЧНИК!$J$10+'ПЛАН ЧЕРН К2'!H26*СПРАВОЧНИК!$H$11+'ПЛАН ЧЕРН К2'!I26*СПРАВОЧНИК!$I$11+'ПЛАН ЧЕРН К2'!J26*СПРАВОЧНИК!$J$11+'ПЛАН ЧЕРН К2'!K26*СПРАВОЧНИК!$H$12+'ПЛАН ЧЕРН К2'!L26*СПРАВОЧНИК!$I$12+'ПЛАН ЧЕРН К2'!M26*СПРАВОЧНИК!$J$12+'ПЛАН ЧЕРН К2'!N26*СПРАВОЧНИК!$H$13+'ПЛАН ЧЕРН К2'!O26*СПРАВОЧНИК!$I$13+'ПЛАН ЧЕРН К2'!P26*СПРАВОЧНИК!$J$13+'ПЛАН ЧЕРН К2'!Q26*СПРАВОЧНИК!$H$14+'ПЛАН ЧЕРН К2'!R26*СПРАВОЧНИК!$I$14+'ПЛАН ЧЕРН К2'!S26*СПРАВОЧНИК!$J$14+'ПЛАН ЧЕРН К2'!T26*СПРАВОЧНИК!$H$15+'ПЛАН ЧЕРН К2'!U26*СПРАВОЧНИК!$I$15+'ПЛАН ЧЕРН К2'!V26*СПРАВОЧНИК!$J$15</f>
        <v/>
      </c>
      <c r="AU35" s="40">
        <f>('ФАКТ ЧЕРН К2'!B26)*СПРАВОЧНИК!$H$9+('ФАКТ ЧЕРН К2'!C26)*СПРАВОЧНИК!$I$9+('ФАКТ ЧЕРН К2'!D26)*СПРАВОЧНИК!$J$9+('ФАКТ ЧЕРН К2'!E26)*СПРАВОЧНИК!$H$10+('ФАКТ ЧЕРН К2'!F26)*СПРАВОЧНИК!$I$10+('ФАКТ ЧЕРН К2'!G26)*СПРАВОЧНИК!$J$10+('ФАКТ ЧЕРН К2'!H26)*СПРАВОЧНИК!$H$11+('ФАКТ ЧЕРН К2'!I26)*СПРАВОЧНИК!$I$11+('ФАКТ ЧЕРН К2'!J26)*СПРАВОЧНИК!$J$11+('ФАКТ ЧЕРН К2'!K26)*СПРАВОЧНИК!$H$12+('ФАКТ ЧЕРН К2'!L26)*СПРАВОЧНИК!$I$12+('ФАКТ ЧЕРН К2'!M26)*СПРАВОЧНИК!$J$12+('ФАКТ ЧЕРН К2'!N26)*СПРАВОЧНИК!$H$13+('ФАКТ ЧЕРН К2'!O26)*СПРАВОЧНИК!$I$13+('ФАКТ ЧЕРН К2'!P26)*СПРАВОЧНИК!$J$13+('ФАКТ ЧЕРН К2'!Q26)*СПРАВОЧНИК!$H$14+('ФАКТ ЧЕРН К2'!R26)*СПРАВОЧНИК!$I$14+('ФАКТ ЧЕРН К2'!S26)*СПРАВОЧНИК!$J$14+('ФАКТ ЧЕРН К2'!T26)*СПРАВОЧНИК!$H$15+('ФАКТ ЧЕРН К2'!U26)*СПРАВОЧНИК!$I$15+('ФАКТ ЧЕРН К2'!V26)*СПРАВОЧНИК!$J$15</f>
        <v/>
      </c>
      <c r="AY35" s="18">
        <f>AY34+7</f>
        <v/>
      </c>
      <c r="AZ35" s="37">
        <f>'ПЛАН ЧИСТ К2'!B26*СПРАВОЧНИК!$L$9+'ПЛАН ЧИСТ К2'!C26*СПРАВОЧНИК!$M$9+'ПЛАН ЧИСТ К2'!D26*СПРАВОЧНИК!$N$9+'ПЛАН ЧИСТ К2'!E26*СПРАВОЧНИК!$O$9+'ПЛАН ЧИСТ К2'!F26*СПРАВОЧНИК!$L$10+'ПЛАН ЧИСТ К2'!G26*СПРАВОЧНИК!$M$10+'ПЛАН ЧИСТ К2'!H26*СПРАВОЧНИК!$N$10+'ПЛАН ЧИСТ К2'!I26*СПРАВОЧНИК!$O$10+'ПЛАН ЧИСТ К2'!J26*СПРАВОЧНИК!$L$11+'ПЛАН ЧИСТ К2'!K26*СПРАВОЧНИК!$M$11+'ПЛАН ЧИСТ К2'!L26*СПРАВОЧНИК!$N$11+'ПЛАН ЧИСТ К2'!M26*СПРАВОЧНИК!$L$12+'ПЛАН ЧИСТ К2'!N26*СПРАВОЧНИК!$M$12+'ПЛАН ЧИСТ К2'!O26*СПРАВОЧНИК!$N$12+'ПЛАН ЧИСТ К2'!P26*СПРАВОЧНИК!$O$12+'ПЛАН ЧИСТ К2'!Q26*СПРАВОЧНИК!$L$13+'ПЛАН ЧИСТ К2'!R26*СПРАВОЧНИК!$M$13+'ПЛАН ЧИСТ К2'!S26*СПРАВОЧНИК!$N$13+'ПЛАН ЧИСТ К2'!T26*СПРАВОЧНИК!$O$13+'ПЛАН ЧИСТ К2'!U26*СПРАВОЧНИК!$L$14+'ПЛАН ЧИСТ К2'!V26*СПРАВОЧНИК!$M$14+'ПЛАН ЧИСТ К2'!W26*СПРАВОЧНИК!$N$14+'ПЛАН ЧИСТ К2'!X26*СПРАВОЧНИК!$L$15+'ПЛАН ЧИСТ К2'!Y26*СПРАВОЧНИК!$M$15+'ПЛАН ЧИСТ К2'!Z26*СПРАВОЧНИК!$N$15</f>
        <v/>
      </c>
      <c r="BA35" s="40">
        <f>('ФАКТ ЧИСТ К2'!B26)*СПРАВОЧНИК!$L$9+('ФАКТ ЧИСТ К2'!C26)*СПРАВОЧНИК!$M$9+('ФАКТ ЧИСТ К2'!D26)*СПРАВОЧНИК!$N$9+('ФАКТ ЧИСТ К2'!E26)*СПРАВОЧНИК!$O$9+('ФАКТ ЧИСТ К2'!F26)*СПРАВОЧНИК!$L$10+('ФАКТ ЧИСТ К2'!G26)*СПРАВОЧНИК!$M$10+('ФАКТ ЧИСТ К2'!H26)*СПРАВОЧНИК!$N$10+('ФАКТ ЧИСТ К2'!I26)*СПРАВОЧНИК!$O$10+('ФАКТ ЧИСТ К2'!J26)*СПРАВОЧНИК!$L$11+('ФАКТ ЧИСТ К2'!K26)*СПРАВОЧНИК!$M$11+('ФАКТ ЧИСТ К2'!L26)*СПРАВОЧНИК!$N$11+('ФАКТ ЧИСТ К2'!M26)*СПРАВОЧНИК!$L$12+('ФАКТ ЧИСТ К2'!N26)*СПРАВОЧНИК!$M$12+('ФАКТ ЧИСТ К2'!O26)*СПРАВОЧНИК!$N$12+('ФАКТ ЧИСТ К2'!P26)*СПРАВОЧНИК!$O$12+('ФАКТ ЧИСТ К2'!Q26)*СПРАВОЧНИК!$L$13+('ФАКТ ЧИСТ К2'!R26)*СПРАВОЧНИК!$M$13+('ФАКТ ЧИСТ К2'!S26)*СПРАВОЧНИК!$N$13+('ФАКТ ЧИСТ К2'!T26)*СПРАВОЧНИК!$O$13+('ФАКТ ЧИСТ К2'!U26)*СПРАВОЧНИК!$L$14+('ФАКТ ЧИСТ К2'!V26)*СПРАВОЧНИК!$M$14+('ФАКТ ЧИСТ К2'!W26)*СПРАВОЧНИК!$N$14+('ФАКТ ЧИСТ К2'!X26)*СПРАВОЧНИК!$L$15+('ФАКТ ЧИСТ К2'!Y26)*СПРАВОЧНИК!$M$15+('ФАКТ ЧИСТ К2'!Z26)*СПРАВОЧНИК!$N$15</f>
        <v/>
      </c>
      <c r="BE35" s="18">
        <f>BE34+7</f>
        <v/>
      </c>
      <c r="BF35" s="37">
        <f>СПРАВОЧНИК!$E$9*('ПЛАН ЧЕРН К3'!B26*СПРАВОЧНИК!$H$9+'ПЛАН ЧЕРН К3'!C26*СПРАВОЧНИК!$I$9+'ПЛАН ЧЕРН К3'!D26*СПРАВОЧНИК!$J$9)+СПРАВОЧНИК!$E$10*('ПЛАН ЧЕРН К3'!E26*СПРАВОЧНИК!$H$10+'ПЛАН ЧЕРН К3'!F26*СПРАВОЧНИК!$I$10+'ПЛАН ЧЕРН К3'!G26*СПРАВОЧНИК!$J$10)+СПРАВОЧНИК!$E$11*('ПЛАН ЧЕРН К3'!H26*СПРАВОЧНИК!$H$11+'ПЛАН ЧЕРН К3'!I26*СПРАВОЧНИК!$I$11+'ПЛАН ЧЕРН К3'!J26*СПРАВОЧНИК!$J$11)+СПРАВОЧНИК!$E$12*('ПЛАН ЧЕРН К3'!K26*СПРАВОЧНИК!$H$12+'ПЛАН ЧЕРН К3'!L26*СПРАВОЧНИК!$I$12+'ПЛАН ЧЕРН К3'!M26*СПРАВОЧНИК!$J$12)+СПРАВОЧНИК!$E$13*('ПЛАН ЧЕРН К3'!N26*СПРАВОЧНИК!$H$13+'ПЛАН ЧЕРН К3'!O26*СПРАВОЧНИК!$I$13+'ПЛАН ЧЕРН К3'!P26*СПРАВОЧНИК!$J$13)+СПРАВОЧНИК!$E$14*('ПЛАН ЧЕРН К3'!Q26*СПРАВОЧНИК!$H$14+'ПЛАН ЧЕРН К3'!R26*СПРАВОЧНИК!$I$14+'ПЛАН ЧЕРН К3'!S26*СПРАВОЧНИК!$J$14)+СПРАВОЧНИК!$E$15*('ПЛАН ЧЕРН К3'!T26*СПРАВОЧНИК!$H$15+'ПЛАН ЧЕРН К3'!U26*СПРАВОЧНИК!$I$15+'ПЛАН ЧЕРН К3'!V26*СПРАВОЧНИК!$J$15)+СПРАВОЧНИК!$F$9*('ПЛАН ЧИСТ К3'!B26*СПРАВОЧНИК!$L$9+'ПЛАН ЧИСТ К3'!C26*СПРАВОЧНИК!$M$9+'ПЛАН ЧИСТ К3'!D26*СПРАВОЧНИК!$N$9+'ПЛАН ЧИСТ К3'!E26*СПРАВОЧНИК!$O$9)+СПРАВОЧНИК!$F$10*('ПЛАН ЧИСТ К3'!F26*СПРАВОЧНИК!$L$10+'ПЛАН ЧИСТ К3'!G26*СПРАВОЧНИК!$M$10+'ПЛАН ЧИСТ К3'!H26*СПРАВОЧНИК!$N$10+'ПЛАН ЧИСТ К3'!I26*СПРАВОЧНИК!$O$10)+СПРАВОЧНИК!$F$11*('ПЛАН ЧИСТ К3'!J26*СПРАВОЧНИК!$L$11+'ПЛАН ЧИСТ К3'!K26*СПРАВОЧНИК!$M$11+'ПЛАН ЧИСТ К3'!L26*СПРАВОЧНИК!$N$11)+СПРАВОЧНИК!$F$12*('ПЛАН ЧИСТ К3'!M26*СПРАВОЧНИК!$L$12+'ПЛАН ЧИСТ К3'!N26*СПРАВОЧНИК!$M$12+'ПЛАН ЧИСТ К3'!O26*СПРАВОЧНИК!$N$12+'ПЛАН ЧИСТ К3'!P26*СПРАВОЧНИК!$O$12)+СПРАВОЧНИК!$F$13*('ПЛАН ЧИСТ К3'!Q26*СПРАВОЧНИК!$L$13+'ПЛАН ЧИСТ К3'!R26*СПРАВОЧНИК!$M$13+'ПЛАН ЧИСТ К3'!S26*СПРАВОЧНИК!$N$13+'ПЛАН ЧИСТ К3'!T26*СПРАВОЧНИК!$O$13)+СПРАВОЧНИК!$F$14*('ПЛАН ЧИСТ К3'!U26*СПРАВОЧНИК!$L$14+'ПЛАН ЧИСТ К3'!V26*СПРАВОЧНИК!$M$14+'ПЛАН ЧИСТ К3'!W26*СПРАВОЧНИК!$N$14)+СПРАВОЧНИК!$F$15*('ПЛАН ЧИСТ К3'!X26*СПРАВОЧНИК!$L$15+'ПЛАН ЧИСТ К3'!Y26*СПРАВОЧНИК!$M$15+'ПЛАН ЧИСТ К3'!Z26*СПРАВОЧНИК!$N$15)</f>
        <v/>
      </c>
      <c r="BG35" s="40">
        <f>СПРАВОЧНИК!$E$9*(('ФАКТ ЧЕРН К3'!B26)*СПРАВОЧНИК!$H$9+('ФАКТ ЧЕРН К3'!C26)*СПРАВОЧНИК!$I$9+('ФАКТ ЧЕРН К3'!D26)*СПРАВОЧНИК!$J$9)+СПРАВОЧНИК!$E$10*(('ФАКТ ЧЕРН К3'!E26)*СПРАВОЧНИК!$H$10+('ФАКТ ЧЕРН К3'!F26)*СПРАВОЧНИК!$I$10+('ФАКТ ЧЕРН К3'!G26)*СПРАВОЧНИК!$J$10)+СПРАВОЧНИК!$E$11*(('ФАКТ ЧЕРН К3'!H26)*СПРАВОЧНИК!$H$11+('ФАКТ ЧЕРН К3'!I26)*СПРАВОЧНИК!$I$11+('ФАКТ ЧЕРН К3'!J26)*СПРАВОЧНИК!$J$11)+СПРАВОЧНИК!$E$12*(('ФАКТ ЧЕРН К3'!K26)*СПРАВОЧНИК!$H$12+('ФАКТ ЧЕРН К3'!L26)*СПРАВОЧНИК!$I$12+('ФАКТ ЧЕРН К3'!M26)*СПРАВОЧНИК!$J$12)+СПРАВОЧНИК!$E$13*(('ФАКТ ЧЕРН К3'!N26)*СПРАВОЧНИК!$H$13+('ФАКТ ЧЕРН К3'!O26)*СПРАВОЧНИК!$I$13+('ФАКТ ЧЕРН К3'!P26)*СПРАВОЧНИК!$J$13)+СПРАВОЧНИК!$E$14*(('ФАКТ ЧЕРН К3'!Q26)*СПРАВОЧНИК!$H$14+('ФАКТ ЧЕРН К3'!R26)*СПРАВОЧНИК!$I$14+('ФАКТ ЧЕРН К3'!S26)*СПРАВОЧНИК!$J$14)+СПРАВОЧНИК!$E$15*(('ФАКТ ЧЕРН К3'!T26)*СПРАВОЧНИК!$H$15+('ФАКТ ЧЕРН К3'!U26)*СПРАВОЧНИК!$I$15+('ФАКТ ЧЕРН К3'!V26)*СПРАВОЧНИК!$J$15)+СПРАВОЧНИК!$F$9*(('ФАКТ ЧИСТ К3'!B26)*СПРАВОЧНИК!$L$9+('ФАКТ ЧИСТ К3'!C26)*СПРАВОЧНИК!$M$9+('ФАКТ ЧИСТ К3'!D26)*СПРАВОЧНИК!$N$9+('ФАКТ ЧИСТ К3'!E26)*СПРАВОЧНИК!$O$9)+СПРАВОЧНИК!$F$10*(('ФАКТ ЧИСТ К3'!F26)*СПРАВОЧНИК!$L$10+('ФАКТ ЧИСТ К3'!G26)*СПРАВОЧНИК!$M$10+('ФАКТ ЧИСТ К3'!H26)*СПРАВОЧНИК!$N$10+('ФАКТ ЧИСТ К3'!I26)*СПРАВОЧНИК!$O$10)+СПРАВОЧНИК!$F$11*(('ФАКТ ЧИСТ К3'!J26)*СПРАВОЧНИК!$L$11+('ФАКТ ЧИСТ К3'!K26)*СПРАВОЧНИК!$M$11+('ФАКТ ЧИСТ К3'!L26)*СПРАВОЧНИК!$N$11)+СПРАВОЧНИК!$F$12*(('ФАКТ ЧИСТ К3'!M26)*СПРАВОЧНИК!$L$12+('ФАКТ ЧИСТ К3'!N26)*СПРАВОЧНИК!$M$12+('ФАКТ ЧИСТ К3'!O26)*СПРАВОЧНИК!$N$12+('ФАКТ ЧИСТ К3'!P26)*СПРАВОЧНИК!$O$12)+СПРАВОЧНИК!$F$13*(('ФАКТ ЧИСТ К3'!Q26)*СПРАВОЧНИК!$L$13+('ФАКТ ЧИСТ К3'!R26)*СПРАВОЧНИК!$M$13+('ФАКТ ЧИСТ К3'!S26)*СПРАВОЧНИК!$N$13+('ФАКТ ЧИСТ К3'!T26)*СПРАВОЧНИК!$O$13)+СПРАВОЧНИК!$F$14*(('ФАКТ ЧИСТ К3'!U26)*СПРАВОЧНИК!$L$14+('ФАКТ ЧИСТ К3'!V26)*СПРАВОЧНИК!$M$14+('ФАКТ ЧИСТ К3'!W26)*СПРАВОЧНИК!$N$14)+СПРАВОЧНИК!$F$15*(('ФАКТ ЧИСТ К3'!X26)*СПРАВОЧНИК!$L$15+('ФАКТ ЧИСТ К3'!Y26)*СПРАВОЧНИК!$M$15+('ФАКТ ЧИСТ К3'!Z26)*СПРАВОЧНИК!$N$15)</f>
        <v/>
      </c>
      <c r="BK35" s="18">
        <f>BK34+7</f>
        <v/>
      </c>
      <c r="BL35" s="37">
        <f>'ПЛАН ЧЕРН К3'!B26*СПРАВОЧНИК!$H$9+'ПЛАН ЧЕРН К3'!C26*СПРАВОЧНИК!$I$9+'ПЛАН ЧЕРН К3'!D26*СПРАВОЧНИК!$J$9+'ПЛАН ЧЕРН К3'!E26*СПРАВОЧНИК!$H$10+'ПЛАН ЧЕРН К3'!F26*СПРАВОЧНИК!$I$10+'ПЛАН ЧЕРН К3'!G26*СПРАВОЧНИК!$J$10+'ПЛАН ЧЕРН К3'!H26*СПРАВОЧНИК!$H$11+'ПЛАН ЧЕРН К3'!I26*СПРАВОЧНИК!$I$11+'ПЛАН ЧЕРН К3'!J26*СПРАВОЧНИК!$J$11+'ПЛАН ЧЕРН К3'!K26*СПРАВОЧНИК!$H$12+'ПЛАН ЧЕРН К3'!L26*СПРАВОЧНИК!$I$12+'ПЛАН ЧЕРН К3'!M26*СПРАВОЧНИК!$J$12+'ПЛАН ЧЕРН К3'!N26*СПРАВОЧНИК!$H$13+'ПЛАН ЧЕРН К3'!O26*СПРАВОЧНИК!$I$13+'ПЛАН ЧЕРН К3'!P26*СПРАВОЧНИК!$J$13+'ПЛАН ЧЕРН К3'!Q26*СПРАВОЧНИК!$H$14+'ПЛАН ЧЕРН К3'!R26*СПРАВОЧНИК!$I$14+'ПЛАН ЧЕРН К3'!S26*СПРАВОЧНИК!$J$14+'ПЛАН ЧЕРН К3'!T26*СПРАВОЧНИК!$H$15+'ПЛАН ЧЕРН К3'!U26*СПРАВОЧНИК!$I$15+'ПЛАН ЧЕРН К3'!V26*СПРАВОЧНИК!$J$15</f>
        <v/>
      </c>
      <c r="BM35" s="40">
        <f>('ФАКТ ЧЕРН К3'!B26)*СПРАВОЧНИК!$H$9+('ФАКТ ЧЕРН К3'!C26)*СПРАВОЧНИК!$I$9+('ФАКТ ЧЕРН К3'!D26)*СПРАВОЧНИК!$J$9+('ФАКТ ЧЕРН К3'!E26)*СПРАВОЧНИК!$H$10+('ФАКТ ЧЕРН К3'!F26)*СПРАВОЧНИК!$I$10+('ФАКТ ЧЕРН К3'!G26)*СПРАВОЧНИК!$J$10+('ФАКТ ЧЕРН К3'!H26)*СПРАВОЧНИК!$H$11+('ФАКТ ЧЕРН К3'!I26)*СПРАВОЧНИК!$I$11+('ФАКТ ЧЕРН К3'!J26)*СПРАВОЧНИК!$J$11+('ФАКТ ЧЕРН К3'!K26)*СПРАВОЧНИК!$H$12+('ФАКТ ЧЕРН К3'!L26)*СПРАВОЧНИК!$I$12+('ФАКТ ЧЕРН К3'!M26)*СПРАВОЧНИК!$J$12+('ФАКТ ЧЕРН К3'!N26)*СПРАВОЧНИК!$H$13+('ФАКТ ЧЕРН К3'!O26)*СПРАВОЧНИК!$I$13+('ФАКТ ЧЕРН К3'!P26)*СПРАВОЧНИК!$J$13+('ФАКТ ЧЕРН К3'!Q26)*СПРАВОЧНИК!$H$14+('ФАКТ ЧЕРН К3'!R26)*СПРАВОЧНИК!$I$14+('ФАКТ ЧЕРН К3'!S26)*СПРАВОЧНИК!$J$14+('ФАКТ ЧЕРН К3'!T26)*СПРАВОЧНИК!$H$15+('ФАКТ ЧЕРН К3'!U26)*СПРАВОЧНИК!$I$15+('ФАКТ ЧЕРН К3'!V26)*СПРАВОЧНИК!$J$15</f>
        <v/>
      </c>
      <c r="BQ35" s="18">
        <f>BQ34+7</f>
        <v/>
      </c>
      <c r="BR35" s="37">
        <f>'ПЛАН ЧИСТ К3'!B26*СПРАВОЧНИК!$L$9+'ПЛАН ЧИСТ К3'!C26*СПРАВОЧНИК!$M$9+'ПЛАН ЧИСТ К3'!D26*СПРАВОЧНИК!$N$9+'ПЛАН ЧИСТ К3'!E26*СПРАВОЧНИК!$O$9+'ПЛАН ЧИСТ К3'!F26*СПРАВОЧНИК!$L$10+'ПЛАН ЧИСТ К3'!G26*СПРАВОЧНИК!$M$10+'ПЛАН ЧИСТ К3'!H26*СПРАВОЧНИК!$N$10+'ПЛАН ЧИСТ К3'!I26*СПРАВОЧНИК!$O$10+'ПЛАН ЧИСТ К3'!J26*СПРАВОЧНИК!$L$11+'ПЛАН ЧИСТ К3'!K26*СПРАВОЧНИК!$M$11+'ПЛАН ЧИСТ К3'!L26*СПРАВОЧНИК!$N$11+'ПЛАН ЧИСТ К3'!M26*СПРАВОЧНИК!$L$12+'ПЛАН ЧИСТ К3'!N26*СПРАВОЧНИК!$M$12+'ПЛАН ЧИСТ К3'!O26*СПРАВОЧНИК!$N$12+'ПЛАН ЧИСТ К3'!P26*СПРАВОЧНИК!$O$12+'ПЛАН ЧИСТ К3'!Q26*СПРАВОЧНИК!$L$13+'ПЛАН ЧИСТ К3'!R26*СПРАВОЧНИК!$M$13+'ПЛАН ЧИСТ К3'!S26*СПРАВОЧНИК!$N$13+'ПЛАН ЧИСТ К3'!T26*СПРАВОЧНИК!$O$13+'ПЛАН ЧИСТ К3'!U26*СПРАВОЧНИК!$L$14+'ПЛАН ЧИСТ К3'!V26*СПРАВОЧНИК!$M$14+'ПЛАН ЧИСТ К3'!W26*СПРАВОЧНИК!$N$14+'ПЛАН ЧИСТ К3'!X26*СПРАВОЧНИК!$L$15+'ПЛАН ЧИСТ К3'!Y26*СПРАВОЧНИК!$M$15+'ПЛАН ЧИСТ К3'!Z26*СПРАВОЧНИК!$N$15</f>
        <v/>
      </c>
      <c r="BS35" s="40">
        <f>('ФАКТ ЧИСТ К3'!B26)*СПРАВОЧНИК!$L$9+('ФАКТ ЧИСТ К3'!C26)*СПРАВОЧНИК!$M$9+('ФАКТ ЧИСТ К3'!D26)*СПРАВОЧНИК!$N$9+('ФАКТ ЧИСТ К3'!E26)*СПРАВОЧНИК!$O$9+('ФАКТ ЧИСТ К3'!F26)*СПРАВОЧНИК!$L$10+('ФАКТ ЧИСТ К3'!G26)*СПРАВОЧНИК!$M$10+('ФАКТ ЧИСТ К3'!H26)*СПРАВОЧНИК!$N$10+('ФАКТ ЧИСТ К3'!I26)*СПРАВОЧНИК!$O$10+('ФАКТ ЧИСТ К3'!J26)*СПРАВОЧНИК!$L$11+('ФАКТ ЧИСТ К3'!K26)*СПРАВОЧНИК!$M$11+('ФАКТ ЧИСТ К3'!L26)*СПРАВОЧНИК!$N$11+('ФАКТ ЧИСТ К3'!M26)*СПРАВОЧНИК!$L$12+('ФАКТ ЧИСТ К3'!N26)*СПРАВОЧНИК!$M$12+('ФАКТ ЧИСТ К3'!O26)*СПРАВОЧНИК!$N$12+('ФАКТ ЧИСТ К3'!P26)*СПРАВОЧНИК!$O$12+('ФАКТ ЧИСТ К3'!Q26)*СПРАВОЧНИК!$L$13+('ФАКТ ЧИСТ К3'!R26)*СПРАВОЧНИК!$M$13+('ФАКТ ЧИСТ К3'!S26)*СПРАВОЧНИК!$N$13+('ФАКТ ЧИСТ К3'!T26)*СПРАВОЧНИК!$O$13+('ФАКТ ЧИСТ К3'!U26)*СПРАВОЧНИК!$L$14+('ФАКТ ЧИСТ К3'!V26)*СПРАВОЧНИК!$M$14+('ФАКТ ЧИСТ К3'!W26)*СПРАВОЧНИК!$N$14+('ФАКТ ЧИСТ К3'!X26)*СПРАВОЧНИК!$L$15+('ФАКТ ЧИСТ К3'!Y26)*СПРАВОЧНИК!$M$15+('ФАКТ ЧИСТ К3'!Z26)*СПРАВОЧНИК!$N$15</f>
        <v/>
      </c>
      <c r="BW35" s="18">
        <f>BW34+7</f>
        <v/>
      </c>
      <c r="BX35" s="37">
        <f>V35+AN35+BF35</f>
        <v/>
      </c>
      <c r="BY35" s="40">
        <f>W35+AO35+BG35</f>
        <v/>
      </c>
      <c r="CC35" s="18">
        <f>CC34+7</f>
        <v/>
      </c>
      <c r="CD35" s="37">
        <f>AB35+AT35+BL35</f>
        <v/>
      </c>
      <c r="CE35" s="40">
        <f>AC35+AU35+BM35</f>
        <v/>
      </c>
      <c r="CI35" s="18">
        <f>CI34+7</f>
        <v/>
      </c>
      <c r="CJ35" s="37">
        <f>AH35+AZ35+BR35</f>
        <v/>
      </c>
      <c r="CK35" s="40">
        <f>AI35+BA35+BS35</f>
        <v/>
      </c>
      <c r="CO35" s="18">
        <f>CO34+7</f>
        <v/>
      </c>
      <c r="CP35" s="37">
        <f>D35+BX35</f>
        <v/>
      </c>
      <c r="CQ35" s="40">
        <f>E35+BY35</f>
        <v/>
      </c>
      <c r="CU35" s="18">
        <f>CU34+7</f>
        <v/>
      </c>
      <c r="CV35" s="37">
        <f>J35+CD35</f>
        <v/>
      </c>
      <c r="CW35" s="40">
        <f>K35+CE35</f>
        <v/>
      </c>
      <c r="DA35" s="18">
        <f>DA34+7</f>
        <v/>
      </c>
      <c r="DB35" s="37">
        <f>P35+CJ35</f>
        <v/>
      </c>
      <c r="DC35" s="40">
        <f>Q35+CK35</f>
        <v/>
      </c>
    </row>
    <row r="36">
      <c r="C36" s="18">
        <f>C35+7</f>
        <v/>
      </c>
      <c r="D36" s="37">
        <f>СПРАВОЧНИК!$E$3*('ПЛАН ЧЕРН ПОДЗЕМ'!B27*СПРАВОЧНИК!$H$3+'ПЛАН ЧЕРН ПОДЗЕМ'!C27*СПРАВОЧНИК!$I$3+'ПЛАН ЧЕРН ПОДЗЕМ'!D27*СПРАВОЧНИК!$J$3)+СПРАВОЧНИК!$E$4*('ПЛАН ЧЕРН ПОДЗЕМ'!E27*СПРАВОЧНИК!$H$4+'ПЛАН ЧЕРН ПОДЗЕМ'!F27*СПРАВОЧНИК!$I$4+'ПЛАН ЧЕРН ПОДЗЕМ'!G27*СПРАВОЧНИК!$J$4)+СПРАВОЧНИК!$E$5*('ПЛАН ЧЕРН ПОДЗЕМ'!H27*СПРАВОЧНИК!$H$5+'ПЛАН ЧЕРН ПОДЗЕМ'!I27*СПРАВОЧНИК!$I$5+'ПЛАН ЧЕРН ПОДЗЕМ'!J27*СПРАВОЧНИК!$J$5)+СПРАВОЧНИК!$E$6*('ПЛАН ЧЕРН ПОДЗЕМ'!K27*СПРАВОЧНИК!$H$6+'ПЛАН ЧЕРН ПОДЗЕМ'!L27*СПРАВОЧНИК!$I$6+'ПЛАН ЧЕРН ПОДЗЕМ'!M27*СПРАВОЧНИК!$J$6)+СПРАВОЧНИК!$E$7*('ПЛАН ЧЕРН ПОДЗЕМ'!N27*СПРАВОЧНИК!$H$7+'ПЛАН ЧЕРН ПОДЗЕМ'!O27*СПРАВОЧНИК!$I$7+'ПЛАН ЧЕРН ПОДЗЕМ'!P27*СПРАВОЧНИК!$J$7)+СПРАВОЧНИК!$E$8*('ПЛАН ЧЕРН ПОДЗЕМ'!Q27*СПРАВОЧНИК!$H$8+'ПЛАН ЧЕРН ПОДЗЕМ'!R27*СПРАВОЧНИК!$I$8+'ПЛАН ЧЕРН ПОДЗЕМ'!S27*СПРАВОЧНИК!$J$8)+СПРАВОЧНИК!$F$3*('ПЛАН ЧИСТ ПОДЗЕМ'!B27*СПРАВОЧНИК!$L$3+'ПЛАН ЧИСТ ПОДЗЕМ'!C27*СПРАВОЧНИК!$M$3+'ПЛАН ЧИСТ ПОДЗЕМ'!D27*СПРАВОЧНИК!$N$3+'ПЛАН ЧИСТ ПОДЗЕМ'!E27*СПРАВОЧНИК!$O$3)+СПРАВОЧНИК!$F$4*('ПЛАН ЧИСТ ПОДЗЕМ'!F27*СПРАВОЧНИК!$L$4+'ПЛАН ЧИСТ ПОДЗЕМ'!G27*СПРАВОЧНИК!$M$4+'ПЛАН ЧИСТ ПОДЗЕМ'!H27*СПРАВОЧНИК!$N$4+'ПЛАН ЧИСТ ПОДЗЕМ'!I27*СПРАВОЧНИК!$O$4)+СПРАВОЧНИК!$F$5*('ПЛАН ЧИСТ ПОДЗЕМ'!J27*СПРАВОЧНИК!$L$5+'ПЛАН ЧИСТ ПОДЗЕМ'!K27*СПРАВОЧНИК!$M$5+'ПЛАН ЧИСТ ПОДЗЕМ'!L27*СПРАВОЧНИК!$N$5)+СПРАВОЧНИК!$F$6*('ПЛАН ЧИСТ ПОДЗЕМ'!M27*СПРАВОЧНИК!$L$6+'ПЛАН ЧИСТ ПОДЗЕМ'!N27*СПРАВОЧНИК!$M$6+'ПЛАН ЧИСТ ПОДЗЕМ'!O27*СПРАВОЧНИК!$N$6+'ПЛАН ЧИСТ ПОДЗЕМ'!P27*СПРАВОЧНИК!$O$6)+СПРАВОЧНИК!$F$7*('ПЛАН ЧИСТ ПОДЗЕМ'!Q27*СПРАВОЧНИК!$L$7+'ПЛАН ЧИСТ ПОДЗЕМ'!R27*СПРАВОЧНИК!$M$7+'ПЛАН ЧИСТ ПОДЗЕМ'!S27*СПРАВОЧНИК!$N$7+'ПЛАН ЧИСТ ПОДЗЕМ'!T27*СПРАВОЧНИК!$O$7)+СПРАВОЧНИК!$F$8*('ПЛАН ЧИСТ ПОДЗЕМ'!U27*СПРАВОЧНИК!$L$8+'ПЛАН ЧИСТ ПОДЗЕМ'!V27*СПРАВОЧНИК!$M$8+'ПЛАН ЧИСТ ПОДЗЕМ'!W27*СПРАВОЧНИК!$N$8)</f>
        <v/>
      </c>
      <c r="E36" s="40">
        <f>СПРАВОЧНИК!$E$3*(('ФАКТ ЧЕРН ПОДЗЕМ'!B27)*СПРАВОЧНИК!$H$3+('ФАКТ ЧЕРН ПОДЗЕМ'!C27)*СПРАВОЧНИК!$I$3+('ФАКТ ЧЕРН ПОДЗЕМ'!D27)*СПРАВОЧНИК!$J$3)+СПРАВОЧНИК!$E$4*(('ФАКТ ЧЕРН ПОДЗЕМ'!E27)*СПРАВОЧНИК!$H$4+('ФАКТ ЧЕРН ПОДЗЕМ'!F27)*СПРАВОЧНИК!$I$4+('ФАКТ ЧЕРН ПОДЗЕМ'!G27)*СПРАВОЧНИК!$J$4)+СПРАВОЧНИК!$E$5*(('ФАКТ ЧЕРН ПОДЗЕМ'!H27)*СПРАВОЧНИК!$H$5+('ФАКТ ЧЕРН ПОДЗЕМ'!I27)*СПРАВОЧНИК!$I$5+('ФАКТ ЧЕРН ПОДЗЕМ'!J27)*СПРАВОЧНИК!$J$5)+СПРАВОЧНИК!$E$6*(('ФАКТ ЧЕРН ПОДЗЕМ'!K27)*СПРАВОЧНИК!$H$6+('ФАКТ ЧЕРН ПОДЗЕМ'!L27)*СПРАВОЧНИК!$I$6+('ФАКТ ЧЕРН ПОДЗЕМ'!M27)*СПРАВОЧНИК!$J$6)+СПРАВОЧНИК!$E$7*(('ФАКТ ЧЕРН ПОДЗЕМ'!N27)*СПРАВОЧНИК!$H$7+('ФАКТ ЧЕРН ПОДЗЕМ'!O27)*СПРАВОЧНИК!$I$7+('ФАКТ ЧЕРН ПОДЗЕМ'!P27)*СПРАВОЧНИК!$J$7)+СПРАВОЧНИК!$E$8*(('ФАКТ ЧЕРН ПОДЗЕМ'!Q27)*СПРАВОЧНИК!$H$8+('ФАКТ ЧЕРН ПОДЗЕМ'!R27)*СПРАВОЧНИК!$I$8+('ФАКТ ЧЕРН ПОДЗЕМ'!S27)*СПРАВОЧНИК!$J$8)+СПРАВОЧНИК!$F$3*(('ФАКТ ЧИСТ ПОДЗЕМ'!B27)*СПРАВОЧНИК!$L$3+('ФАКТ ЧИСТ ПОДЗЕМ'!C27)*СПРАВОЧНИК!$M$3+('ФАКТ ЧИСТ ПОДЗЕМ'!D27)*СПРАВОЧНИК!$N$3+('ФАКТ ЧИСТ ПОДЗЕМ'!E27)*СПРАВОЧНИК!$O$3)+СПРАВОЧНИК!$F$4*(('ФАКТ ЧИСТ ПОДЗЕМ'!F27)*СПРАВОЧНИК!$L$4+('ФАКТ ЧИСТ ПОДЗЕМ'!G27)*СПРАВОЧНИК!$M$4+('ФАКТ ЧИСТ ПОДЗЕМ'!H27)*СПРАВОЧНИК!$N$4+('ФАКТ ЧИСТ ПОДЗЕМ'!I27)*СПРАВОЧНИК!$O$4)+СПРАВОЧНИК!$F$5*(('ФАКТ ЧИСТ ПОДЗЕМ'!J27)*СПРАВОЧНИК!$L$5+('ФАКТ ЧИСТ ПОДЗЕМ'!K27)*СПРАВОЧНИК!$M$5+('ФАКТ ЧИСТ ПОДЗЕМ'!L27)*СПРАВОЧНИК!$N$5)+СПРАВОЧНИК!$F$6*(('ФАКТ ЧИСТ ПОДЗЕМ'!M27)*СПРАВОЧНИК!$L$6+('ФАКТ ЧИСТ ПОДЗЕМ'!N27)*СПРАВОЧНИК!$M$6+('ФАКТ ЧИСТ ПОДЗЕМ'!O27)*СПРАВОЧНИК!$N$6+('ФАКТ ЧИСТ ПОДЗЕМ'!P27)*СПРАВОЧНИК!$O$6)+СПРАВОЧНИК!$F$7*(('ФАКТ ЧИСТ ПОДЗЕМ'!Q27)*СПРАВОЧНИК!$L$7+('ФАКТ ЧИСТ ПОДЗЕМ'!R27)*СПРАВОЧНИК!$M$7+('ФАКТ ЧИСТ ПОДЗЕМ'!S27)*СПРАВОЧНИК!$N$7+('ФАКТ ЧИСТ ПОДЗЕМ'!T27)*СПРАВОЧНИК!$O$7)+СПРАВОЧНИК!$F$8*(('ФАКТ ЧИСТ ПОДЗЕМ'!U27)*СПРАВОЧНИК!$L$8+('ФАКТ ЧИСТ ПОДЗЕМ'!V27)*СПРАВОЧНИК!$M$8+('ФАКТ ЧИСТ ПОДЗЕМ'!W27)*СПРАВОЧНИК!$N$8)</f>
        <v/>
      </c>
      <c r="I36" s="18">
        <f>I35+7</f>
        <v/>
      </c>
      <c r="J36" s="37">
        <f>'ПЛАН ЧЕРН ПОДЗЕМ'!B27*СПРАВОЧНИК!$H$3+'ПЛАН ЧЕРН ПОДЗЕМ'!C27*СПРАВОЧНИК!$I$3+'ПЛАН ЧЕРН ПОДЗЕМ'!D27*СПРАВОЧНИК!$J$3+'ПЛАН ЧЕРН ПОДЗЕМ'!E27*СПРАВОЧНИК!$H$4+'ПЛАН ЧЕРН ПОДЗЕМ'!F27*СПРАВОЧНИК!$I$4+'ПЛАН ЧЕРН ПОДЗЕМ'!G27*СПРАВОЧНИК!$J$4+'ПЛАН ЧЕРН ПОДЗЕМ'!H27*СПРАВОЧНИК!$H$5+'ПЛАН ЧЕРН ПОДЗЕМ'!I27*СПРАВОЧНИК!$I$5+'ПЛАН ЧЕРН ПОДЗЕМ'!J27*СПРАВОЧНИК!$J$5+'ПЛАН ЧЕРН ПОДЗЕМ'!K27*СПРАВОЧНИК!$H$6+'ПЛАН ЧЕРН ПОДЗЕМ'!L27*СПРАВОЧНИК!$I$6+'ПЛАН ЧЕРН ПОДЗЕМ'!M27*СПРАВОЧНИК!$J$6+'ПЛАН ЧЕРН ПОДЗЕМ'!N27*СПРАВОЧНИК!$H$7+'ПЛАН ЧЕРН ПОДЗЕМ'!O27*СПРАВОЧНИК!$I$7+'ПЛАН ЧЕРН ПОДЗЕМ'!P27*СПРАВОЧНИК!$J$7+'ПЛАН ЧЕРН ПОДЗЕМ'!Q27*СПРАВОЧНИК!$H$8+'ПЛАН ЧЕРН ПОДЗЕМ'!R27*СПРАВОЧНИК!$I$8+'ПЛАН ЧЕРН ПОДЗЕМ'!S27*СПРАВОЧНИК!$J$8</f>
        <v/>
      </c>
      <c r="K36" s="40">
        <f>('ФАКТ ЧЕРН ПОДЗЕМ'!B27)*СПРАВОЧНИК!$H$3+('ФАКТ ЧЕРН ПОДЗЕМ'!C27)*СПРАВОЧНИК!$I$3+('ФАКТ ЧЕРН ПОДЗЕМ'!D27)*СПРАВОЧНИК!$J$3+('ФАКТ ЧЕРН ПОДЗЕМ'!E27)*СПРАВОЧНИК!$H$4+('ФАКТ ЧЕРН ПОДЗЕМ'!F27)*СПРАВОЧНИК!$I$4+('ФАКТ ЧЕРН ПОДЗЕМ'!G27)*СПРАВОЧНИК!$J$4+('ФАКТ ЧЕРН ПОДЗЕМ'!H27)*СПРАВОЧНИК!$H$5+('ФАКТ ЧЕРН ПОДЗЕМ'!I27)*СПРАВОЧНИК!$I$5+('ФАКТ ЧЕРН ПОДЗЕМ'!J27)*СПРАВОЧНИК!$J$5+('ФАКТ ЧЕРН ПОДЗЕМ'!K27)*СПРАВОЧНИК!$H$6+('ФАКТ ЧЕРН ПОДЗЕМ'!L27)*СПРАВОЧНИК!$I$6+('ФАКТ ЧЕРН ПОДЗЕМ'!M27)*СПРАВОЧНИК!$J$6+('ФАКТ ЧЕРН ПОДЗЕМ'!N27)*СПРАВОЧНИК!$H$7+('ФАКТ ЧЕРН ПОДЗЕМ'!O27)*СПРАВОЧНИК!$I$7+('ФАКТ ЧЕРН ПОДЗЕМ'!P27)*СПРАВОЧНИК!$J$7+('ФАКТ ЧЕРН ПОДЗЕМ'!Q27)*СПРАВОЧНИК!$H$8+('ФАКТ ЧЕРН ПОДЗЕМ'!R27)*СПРАВОЧНИК!$I$8+('ФАКТ ЧЕРН ПОДЗЕМ'!S27)*СПРАВОЧНИК!$J$8</f>
        <v/>
      </c>
      <c r="O36" s="18">
        <f>O35+7</f>
        <v/>
      </c>
      <c r="P36" s="37">
        <f>'ПЛАН ЧИСТ ПОДЗЕМ'!B27*СПРАВОЧНИК!$L$3+'ПЛАН ЧИСТ ПОДЗЕМ'!C27*СПРАВОЧНИК!$M$3+'ПЛАН ЧИСТ ПОДЗЕМ'!D27*СПРАВОЧНИК!$N$3+'ПЛАН ЧИСТ ПОДЗЕМ'!E27*СПРАВОЧНИК!$O$3+'ПЛАН ЧИСТ ПОДЗЕМ'!F27*СПРАВОЧНИК!$L$4+'ПЛАН ЧИСТ ПОДЗЕМ'!G27*СПРАВОЧНИК!$M$4+'ПЛАН ЧИСТ ПОДЗЕМ'!H27*СПРАВОЧНИК!$N$4+'ПЛАН ЧИСТ ПОДЗЕМ'!I27*СПРАВОЧНИК!$O$4+'ПЛАН ЧИСТ ПОДЗЕМ'!J27*СПРАВОЧНИК!$L$5+'ПЛАН ЧИСТ ПОДЗЕМ'!K27*СПРАВОЧНИК!$M$5+'ПЛАН ЧИСТ ПОДЗЕМ'!L27*СПРАВОЧНИК!$N$5+'ПЛАН ЧИСТ ПОДЗЕМ'!M27*СПРАВОЧНИК!$L$6+'ПЛАН ЧИСТ ПОДЗЕМ'!N27*СПРАВОЧНИК!$M$6+'ПЛАН ЧИСТ ПОДЗЕМ'!O27*СПРАВОЧНИК!$N$6+'ПЛАН ЧИСТ ПОДЗЕМ'!P27*СПРАВОЧНИК!$O$6+'ПЛАН ЧИСТ ПОДЗЕМ'!Q27*СПРАВОЧНИК!$L$7+'ПЛАН ЧИСТ ПОДЗЕМ'!R27*СПРАВОЧНИК!$M$7+'ПЛАН ЧИСТ ПОДЗЕМ'!S27*СПРАВОЧНИК!$N$7+'ПЛАН ЧИСТ ПОДЗЕМ'!T27*СПРАВОЧНИК!$O$7+'ПЛАН ЧИСТ ПОДЗЕМ'!U27*СПРАВОЧНИК!$L$8+'ПЛАН ЧИСТ ПОДЗЕМ'!V27*СПРАВОЧНИК!$M$8+'ПЛАН ЧИСТ ПОДЗЕМ'!W27*СПРАВОЧНИК!$N$8</f>
        <v/>
      </c>
      <c r="Q36" s="40">
        <f>('ФАКТ ЧИСТ ПОДЗЕМ'!B27)*СПРАВОЧНИК!$L$3+('ФАКТ ЧИСТ ПОДЗЕМ'!C27)*СПРАВОЧНИК!$M$3+('ФАКТ ЧИСТ ПОДЗЕМ'!D27)*СПРАВОЧНИК!$N$3+('ФАКТ ЧИСТ ПОДЗЕМ'!E27)*СПРАВОЧНИК!$O$3+('ФАКТ ЧИСТ ПОДЗЕМ'!F27)*СПРАВОЧНИК!$L$4+('ФАКТ ЧИСТ ПОДЗЕМ'!G27)*СПРАВОЧНИК!$M$4+('ФАКТ ЧИСТ ПОДЗЕМ'!H27)*СПРАВОЧНИК!$N$4+('ФАКТ ЧИСТ ПОДЗЕМ'!I27)*СПРАВОЧНИК!$O$4+('ФАКТ ЧИСТ ПОДЗЕМ'!J27)*СПРАВОЧНИК!$L$5+('ФАКТ ЧИСТ ПОДЗЕМ'!K27)*СПРАВОЧНИК!$M$5+('ФАКТ ЧИСТ ПОДЗЕМ'!L27)*СПРАВОЧНИК!$N$5+('ФАКТ ЧИСТ ПОДЗЕМ'!M27)*СПРАВОЧНИК!$L$6+('ФАКТ ЧИСТ ПОДЗЕМ'!N27)*СПРАВОЧНИК!$M$6+('ФАКТ ЧИСТ ПОДЗЕМ'!O27)*СПРАВОЧНИК!$N$6+('ФАКТ ЧИСТ ПОДЗЕМ'!P27)*СПРАВОЧНИК!$O$6+('ФАКТ ЧИСТ ПОДЗЕМ'!Q27)*СПРАВОЧНИК!$L$7+('ФАКТ ЧИСТ ПОДЗЕМ'!R27)*СПРАВОЧНИК!$M$7+('ФАКТ ЧИСТ ПОДЗЕМ'!S27)*СПРАВОЧНИК!$N$7+('ФАКТ ЧИСТ ПОДЗЕМ'!T27)*СПРАВОЧНИК!$O$7+('ФАКТ ЧИСТ ПОДЗЕМ'!U27)*СПРАВОЧНИК!$L$8+('ФАКТ ЧИСТ ПОДЗЕМ'!V27)*СПРАВОЧНИК!$M$8+('ФАКТ ЧИСТ ПОДЗЕМ'!W27)*СПРАВОЧНИК!$N$8</f>
        <v/>
      </c>
      <c r="U36" s="18">
        <f>U35+7</f>
        <v/>
      </c>
      <c r="V36" s="37">
        <f>СПРАВОЧНИК!$E$9*('ПЛАН ЧЕРН К1'!B27*СПРАВОЧНИК!$H$9+'ПЛАН ЧЕРН К1'!C27*СПРАВОЧНИК!$I$9+'ПЛАН ЧЕРН К1'!D27*СПРАВОЧНИК!$J$9)+СПРАВОЧНИК!$E$10*('ПЛАН ЧЕРН К1'!E27*СПРАВОЧНИК!$H$10+'ПЛАН ЧЕРН К1'!F27*СПРАВОЧНИК!$I$10+'ПЛАН ЧЕРН К1'!G27*СПРАВОЧНИК!$J$10)+СПРАВОЧНИК!$E$11*('ПЛАН ЧЕРН К1'!H27*СПРАВОЧНИК!$H$11+'ПЛАН ЧЕРН К1'!I27*СПРАВОЧНИК!$I$11+'ПЛАН ЧЕРН К1'!J27*СПРАВОЧНИК!$J$11)+СПРАВОЧНИК!$E$12*('ПЛАН ЧЕРН К1'!K27*СПРАВОЧНИК!$H$12+'ПЛАН ЧЕРН К1'!L27*СПРАВОЧНИК!$I$12+'ПЛАН ЧЕРН К1'!M27*СПРАВОЧНИК!$J$12)+СПРАВОЧНИК!$E$13*('ПЛАН ЧЕРН К1'!N27*СПРАВОЧНИК!$H$13+'ПЛАН ЧЕРН К1'!O27*СПРАВОЧНИК!$I$13+'ПЛАН ЧЕРН К1'!P27*СПРАВОЧНИК!$J$13)+СПРАВОЧНИК!$E$14*('ПЛАН ЧЕРН К1'!Q27*СПРАВОЧНИК!$H$14+'ПЛАН ЧЕРН К1'!R27*СПРАВОЧНИК!$I$14+'ПЛАН ЧЕРН К1'!S27*СПРАВОЧНИК!$J$14)+СПРАВОЧНИК!$E$15*('ПЛАН ЧЕРН К1'!T27*СПРАВОЧНИК!$H$15+'ПЛАН ЧЕРН К1'!U27*СПРАВОЧНИК!$I$15+'ПЛАН ЧЕРН К1'!V27*СПРАВОЧНИК!$J$15)+СПРАВОЧНИК!$F$9*('ПЛАН ЧИСТ К1'!B27*СПРАВОЧНИК!$L$9+'ПЛАН ЧИСТ К1'!C27*СПРАВОЧНИК!$M$9+'ПЛАН ЧИСТ К1'!D27*СПРАВОЧНИК!$N$9+'ПЛАН ЧИСТ К1'!E27*СПРАВОЧНИК!$O$9)+СПРАВОЧНИК!$F$10*('ПЛАН ЧИСТ К1'!F27*СПРАВОЧНИК!$L$10+'ПЛАН ЧИСТ К1'!G27*СПРАВОЧНИК!$M$10+'ПЛАН ЧИСТ К1'!H27*СПРАВОЧНИК!$N$10+'ПЛАН ЧИСТ К1'!I27*СПРАВОЧНИК!$O$10)+СПРАВОЧНИК!$F$11*('ПЛАН ЧИСТ К1'!J27*СПРАВОЧНИК!$L$11+'ПЛАН ЧИСТ К1'!K27*СПРАВОЧНИК!$M$11+'ПЛАН ЧИСТ К1'!L27*СПРАВОЧНИК!$N$11)+СПРАВОЧНИК!$F$12*('ПЛАН ЧИСТ К1'!M27*СПРАВОЧНИК!$L$12+'ПЛАН ЧИСТ К1'!N27*СПРАВОЧНИК!$M$12+'ПЛАН ЧИСТ К1'!O27*СПРАВОЧНИК!$N$12+'ПЛАН ЧИСТ К1'!P27*СПРАВОЧНИК!$O$12)+СПРАВОЧНИК!$F$13*('ПЛАН ЧИСТ К1'!Q27*СПРАВОЧНИК!$L$13+'ПЛАН ЧИСТ К1'!R27*СПРАВОЧНИК!$M$13+'ПЛАН ЧИСТ К1'!S27*СПРАВОЧНИК!$N$13+'ПЛАН ЧИСТ К1'!T27*СПРАВОЧНИК!$O$13)+СПРАВОЧНИК!$F$14*('ПЛАН ЧИСТ К1'!U27*СПРАВОЧНИК!$L$14+'ПЛАН ЧИСТ К1'!V27*СПРАВОЧНИК!$M$14+'ПЛАН ЧИСТ К1'!W27*СПРАВОЧНИК!$N$14)+СПРАВОЧНИК!$F$15*('ПЛАН ЧИСТ К1'!X27*СПРАВОЧНИК!$L$15+'ПЛАН ЧИСТ К1'!Y27*СПРАВОЧНИК!$M$15+'ПЛАН ЧИСТ К1'!Z27*СПРАВОЧНИК!$N$15)</f>
        <v/>
      </c>
      <c r="W36" s="40">
        <f>СПРАВОЧНИК!$E$9*(('ФАКТ ЧЕРН К1'!B27)*СПРАВОЧНИК!$H$9+('ФАКТ ЧЕРН К1'!C27)*СПРАВОЧНИК!$I$9+('ФАКТ ЧЕРН К1'!D27)*СПРАВОЧНИК!$J$9)+СПРАВОЧНИК!$E$10*(('ФАКТ ЧЕРН К1'!E27)*СПРАВОЧНИК!$H$10+('ФАКТ ЧЕРН К1'!F27)*СПРАВОЧНИК!$I$10+('ФАКТ ЧЕРН К1'!G27)*СПРАВОЧНИК!$J$10)+СПРАВОЧНИК!$E$11*(('ФАКТ ЧЕРН К1'!H27)*СПРАВОЧНИК!$H$11+('ФАКТ ЧЕРН К1'!I27)*СПРАВОЧНИК!$I$11+('ФАКТ ЧЕРН К1'!J27)*СПРАВОЧНИК!$J$11)+СПРАВОЧНИК!$E$12*(('ФАКТ ЧЕРН К1'!K27)*СПРАВОЧНИК!$H$12+('ФАКТ ЧЕРН К1'!L27)*СПРАВОЧНИК!$I$12+('ФАКТ ЧЕРН К1'!M27)*СПРАВОЧНИК!$J$12)+СПРАВОЧНИК!$E$13*(('ФАКТ ЧЕРН К1'!N27)*СПРАВОЧНИК!$H$13+('ФАКТ ЧЕРН К1'!O27)*СПРАВОЧНИК!$I$13+('ФАКТ ЧЕРН К1'!P27)*СПРАВОЧНИК!$J$13)+СПРАВОЧНИК!$E$14*(('ФАКТ ЧЕРН К1'!Q27)*СПРАВОЧНИК!$H$14+('ФАКТ ЧЕРН К1'!R27)*СПРАВОЧНИК!$I$14+('ФАКТ ЧЕРН К1'!S27)*СПРАВОЧНИК!$J$14)+СПРАВОЧНИК!$E$15*(('ФАКТ ЧЕРН К1'!T27)*СПРАВОЧНИК!$H$15+('ФАКТ ЧЕРН К1'!U27)*СПРАВОЧНИК!$I$15+('ФАКТ ЧЕРН К1'!V27)*СПРАВОЧНИК!$J$15)+СПРАВОЧНИК!$F$9*(('ФАКТ ЧИСТ К1'!B27)*СПРАВОЧНИК!$L$9+('ФАКТ ЧИСТ К1'!C27)*СПРАВОЧНИК!$M$9+('ФАКТ ЧИСТ К1'!D27)*СПРАВОЧНИК!$N$9+('ФАКТ ЧИСТ К1'!E27)*СПРАВОЧНИК!$O$9)+СПРАВОЧНИК!$F$10*(('ФАКТ ЧИСТ К1'!F27)*СПРАВОЧНИК!$L$10+('ФАКТ ЧИСТ К1'!G27)*СПРАВОЧНИК!$M$10+('ФАКТ ЧИСТ К1'!H27)*СПРАВОЧНИК!$N$10+('ФАКТ ЧИСТ К1'!I27)*СПРАВОЧНИК!$O$10)+СПРАВОЧНИК!$F$11*(('ФАКТ ЧИСТ К1'!J27)*СПРАВОЧНИК!$L$11+('ФАКТ ЧИСТ К1'!K27)*СПРАВОЧНИК!$M$11+('ФАКТ ЧИСТ К1'!L27)*СПРАВОЧНИК!$N$11)+СПРАВОЧНИК!$F$12*(('ФАКТ ЧИСТ К1'!M27)*СПРАВОЧНИК!$L$12+('ФАКТ ЧИСТ К1'!N27)*СПРАВОЧНИК!$M$12+('ФАКТ ЧИСТ К1'!O27)*СПРАВОЧНИК!$N$12+('ФАКТ ЧИСТ К1'!P27)*СПРАВОЧНИК!$O$12)+СПРАВОЧНИК!$F$13*(('ФАКТ ЧИСТ К1'!Q27)*СПРАВОЧНИК!$L$13+('ФАКТ ЧИСТ К1'!R27)*СПРАВОЧНИК!$M$13+('ФАКТ ЧИСТ К1'!S27)*СПРАВОЧНИК!$N$13+('ФАКТ ЧИСТ К1'!T27)*СПРАВОЧНИК!$O$13)+СПРАВОЧНИК!$F$14*(('ФАКТ ЧИСТ К1'!U27)*СПРАВОЧНИК!$L$14+('ФАКТ ЧИСТ К1'!V27)*СПРАВОЧНИК!$M$14+('ФАКТ ЧИСТ К1'!W27)*СПРАВОЧНИК!$N$14)+СПРАВОЧНИК!$F$15*(('ФАКТ ЧИСТ К1'!X27)*СПРАВОЧНИК!$L$15+('ФАКТ ЧИСТ К1'!Y27)*СПРАВОЧНИК!$M$15+('ФАКТ ЧИСТ К1'!Z27)*СПРАВОЧНИК!$N$15)</f>
        <v/>
      </c>
      <c r="AA36" s="18">
        <f>AA35+7</f>
        <v/>
      </c>
      <c r="AB36" s="37">
        <f>'ПЛАН ЧЕРН К1'!B27*СПРАВОЧНИК!$H$9+'ПЛАН ЧЕРН К1'!C27*СПРАВОЧНИК!$I$9+'ПЛАН ЧЕРН К1'!D27*СПРАВОЧНИК!$J$9+'ПЛАН ЧЕРН К1'!E27*СПРАВОЧНИК!$H$10+'ПЛАН ЧЕРН К1'!F27*СПРАВОЧНИК!$I$10+'ПЛАН ЧЕРН К1'!G27*СПРАВОЧНИК!$J$10+'ПЛАН ЧЕРН К1'!H27*СПРАВОЧНИК!$H$11+'ПЛАН ЧЕРН К1'!I27*СПРАВОЧНИК!$I$11+'ПЛАН ЧЕРН К1'!J27*СПРАВОЧНИК!$J$11+'ПЛАН ЧЕРН К1'!K27*СПРАВОЧНИК!$H$12+'ПЛАН ЧЕРН К1'!L27*СПРАВОЧНИК!$I$12+'ПЛАН ЧЕРН К1'!M27*СПРАВОЧНИК!$J$12+'ПЛАН ЧЕРН К1'!N27*СПРАВОЧНИК!$H$13+'ПЛАН ЧЕРН К1'!O27*СПРАВОЧНИК!$I$13+'ПЛАН ЧЕРН К1'!P27*СПРАВОЧНИК!$J$13+'ПЛАН ЧЕРН К1'!Q27*СПРАВОЧНИК!$H$14+'ПЛАН ЧЕРН К1'!R27*СПРАВОЧНИК!$I$14+'ПЛАН ЧЕРН К1'!S27*СПРАВОЧНИК!$J$14+'ПЛАН ЧЕРН К1'!T27*СПРАВОЧНИК!$H$15+'ПЛАН ЧЕРН К1'!U27*СПРАВОЧНИК!$I$15+'ПЛАН ЧЕРН К1'!V27*СПРАВОЧНИК!$J$15</f>
        <v/>
      </c>
      <c r="AC36" s="40">
        <f>('ФАКТ ЧЕРН К1'!B27)*СПРАВОЧНИК!$H$9+('ФАКТ ЧЕРН К1'!C27)*СПРАВОЧНИК!$I$9+('ФАКТ ЧЕРН К1'!D27)*СПРАВОЧНИК!$J$9+('ФАКТ ЧЕРН К1'!E27)*СПРАВОЧНИК!$H$10+('ФАКТ ЧЕРН К1'!F27)*СПРАВОЧНИК!$I$10+('ФАКТ ЧЕРН К1'!G27)*СПРАВОЧНИК!$J$10+('ФАКТ ЧЕРН К1'!H27)*СПРАВОЧНИК!$H$11+('ФАКТ ЧЕРН К1'!I27)*СПРАВОЧНИК!$I$11+('ФАКТ ЧЕРН К1'!J27)*СПРАВОЧНИК!$J$11+('ФАКТ ЧЕРН К1'!K27)*СПРАВОЧНИК!$H$12+('ФАКТ ЧЕРН К1'!L27)*СПРАВОЧНИК!$I$12+('ФАКТ ЧЕРН К1'!M27)*СПРАВОЧНИК!$J$12+('ФАКТ ЧЕРН К1'!N27)*СПРАВОЧНИК!$H$13+('ФАКТ ЧЕРН К1'!O27)*СПРАВОЧНИК!$I$13+('ФАКТ ЧЕРН К1'!P27)*СПРАВОЧНИК!$J$13+('ФАКТ ЧЕРН К1'!Q27)*СПРАВОЧНИК!$H$14+('ФАКТ ЧЕРН К1'!R27)*СПРАВОЧНИК!$I$14+('ФАКТ ЧЕРН К1'!S27)*СПРАВОЧНИК!$J$14+('ФАКТ ЧЕРН К1'!T27)*СПРАВОЧНИК!$H$15+('ФАКТ ЧЕРН К1'!U27)*СПРАВОЧНИК!$I$15+('ФАКТ ЧЕРН К1'!V27)*СПРАВОЧНИК!$J$15</f>
        <v/>
      </c>
      <c r="AG36" s="18">
        <f>AG35+7</f>
        <v/>
      </c>
      <c r="AH36" s="37">
        <f>'ПЛАН ЧИСТ К1'!B27*СПРАВОЧНИК!$L$9+'ПЛАН ЧИСТ К1'!C27*СПРАВОЧНИК!$M$9+'ПЛАН ЧИСТ К1'!D27*СПРАВОЧНИК!$N$9+'ПЛАН ЧИСТ К1'!E27*СПРАВОЧНИК!$O$9+'ПЛАН ЧИСТ К1'!F27*СПРАВОЧНИК!$L$10+'ПЛАН ЧИСТ К1'!G27*СПРАВОЧНИК!$M$10+'ПЛАН ЧИСТ К1'!H27*СПРАВОЧНИК!$N$10+'ПЛАН ЧИСТ К1'!I27*СПРАВОЧНИК!$O$10+'ПЛАН ЧИСТ К1'!J27*СПРАВОЧНИК!$L$11+'ПЛАН ЧИСТ К1'!K27*СПРАВОЧНИК!$M$11+'ПЛАН ЧИСТ К1'!L27*СПРАВОЧНИК!$N$11+'ПЛАН ЧИСТ К1'!M27*СПРАВОЧНИК!$L$12+'ПЛАН ЧИСТ К1'!N27*СПРАВОЧНИК!$M$12+'ПЛАН ЧИСТ К1'!O27*СПРАВОЧНИК!$N$12+'ПЛАН ЧИСТ К1'!P27*СПРАВОЧНИК!$O$12+'ПЛАН ЧИСТ К1'!Q27*СПРАВОЧНИК!$L$13+'ПЛАН ЧИСТ К1'!R27*СПРАВОЧНИК!$M$13+'ПЛАН ЧИСТ К1'!S27*СПРАВОЧНИК!$N$13+'ПЛАН ЧИСТ К1'!T27*СПРАВОЧНИК!$O$13+'ПЛАН ЧИСТ К1'!U27*СПРАВОЧНИК!$L$14+'ПЛАН ЧИСТ К1'!V27*СПРАВОЧНИК!$M$14+'ПЛАН ЧИСТ К1'!W27*СПРАВОЧНИК!$N$14+'ПЛАН ЧИСТ К1'!X27*СПРАВОЧНИК!$L$15+'ПЛАН ЧИСТ К1'!Y27*СПРАВОЧНИК!$M$15+'ПЛАН ЧИСТ К1'!Z27*СПРАВОЧНИК!$N$15</f>
        <v/>
      </c>
      <c r="AI36" s="40">
        <f>('ФАКТ ЧИСТ К1'!B27)*СПРАВОЧНИК!$L$9+('ФАКТ ЧИСТ К1'!C27)*СПРАВОЧНИК!$M$9+('ФАКТ ЧИСТ К1'!D27)*СПРАВОЧНИК!$N$9+('ФАКТ ЧИСТ К1'!E27)*СПРАВОЧНИК!$O$9+('ФАКТ ЧИСТ К1'!F27)*СПРАВОЧНИК!$L$10+('ФАКТ ЧИСТ К1'!G27)*СПРАВОЧНИК!$M$10+('ФАКТ ЧИСТ К1'!H27)*СПРАВОЧНИК!$N$10+('ФАКТ ЧИСТ К1'!I27)*СПРАВОЧНИК!$O$10+('ФАКТ ЧИСТ К1'!J27)*СПРАВОЧНИК!$L$11+('ФАКТ ЧИСТ К1'!K27)*СПРАВОЧНИК!$M$11+('ФАКТ ЧИСТ К1'!L27)*СПРАВОЧНИК!$N$11+('ФАКТ ЧИСТ К1'!M27)*СПРАВОЧНИК!$L$12+('ФАКТ ЧИСТ К1'!N27)*СПРАВОЧНИК!$M$12+('ФАКТ ЧИСТ К1'!O27)*СПРАВОЧНИК!$N$12+('ФАКТ ЧИСТ К1'!P27)*СПРАВОЧНИК!$O$12+('ФАКТ ЧИСТ К1'!Q27)*СПРАВОЧНИК!$L$13+('ФАКТ ЧИСТ К1'!R27)*СПРАВОЧНИК!$M$13+('ФАКТ ЧИСТ К1'!S27)*СПРАВОЧНИК!$N$13+('ФАКТ ЧИСТ К1'!T27)*СПРАВОЧНИК!$O$13+('ФАКТ ЧИСТ К1'!U27)*СПРАВОЧНИК!$L$14+('ФАКТ ЧИСТ К1'!V27)*СПРАВОЧНИК!$M$14+('ФАКТ ЧИСТ К1'!W27)*СПРАВОЧНИК!$N$14+('ФАКТ ЧИСТ К1'!X27)*СПРАВОЧНИК!$L$15+('ФАКТ ЧИСТ К1'!Y27)*СПРАВОЧНИК!$M$15+('ФАКТ ЧИСТ К1'!Z27)*СПРАВОЧНИК!$N$15</f>
        <v/>
      </c>
      <c r="AM36" s="18">
        <f>AM35+7</f>
        <v/>
      </c>
      <c r="AN36" s="37">
        <f>СПРАВОЧНИК!$E$9*('ПЛАН ЧЕРН К2'!B27*СПРАВОЧНИК!$H$9+'ПЛАН ЧЕРН К2'!C27*СПРАВОЧНИК!$I$9+'ПЛАН ЧЕРН К2'!D27*СПРАВОЧНИК!$J$9)+СПРАВОЧНИК!$E$10*('ПЛАН ЧЕРН К2'!E27*СПРАВОЧНИК!$H$10+'ПЛАН ЧЕРН К2'!F27*СПРАВОЧНИК!$I$10+'ПЛАН ЧЕРН К2'!G27*СПРАВОЧНИК!$J$10)+СПРАВОЧНИК!$E$11*('ПЛАН ЧЕРН К2'!H27*СПРАВОЧНИК!$H$11+'ПЛАН ЧЕРН К2'!I27*СПРАВОЧНИК!$I$11+'ПЛАН ЧЕРН К2'!J27*СПРАВОЧНИК!$J$11)+СПРАВОЧНИК!$E$12*('ПЛАН ЧЕРН К2'!K27*СПРАВОЧНИК!$H$12+'ПЛАН ЧЕРН К2'!L27*СПРАВОЧНИК!$I$12+'ПЛАН ЧЕРН К2'!M27*СПРАВОЧНИК!$J$12)+СПРАВОЧНИК!$E$13*('ПЛАН ЧЕРН К2'!N27*СПРАВОЧНИК!$H$13+'ПЛАН ЧЕРН К2'!O27*СПРАВОЧНИК!$I$13+'ПЛАН ЧЕРН К2'!P27*СПРАВОЧНИК!$J$13)+СПРАВОЧНИК!$E$14*('ПЛАН ЧЕРН К2'!Q27*СПРАВОЧНИК!$H$14+'ПЛАН ЧЕРН К2'!R27*СПРАВОЧНИК!$I$14+'ПЛАН ЧЕРН К2'!S27*СПРАВОЧНИК!$J$14)+СПРАВОЧНИК!$E$15*('ПЛАН ЧЕРН К2'!T27*СПРАВОЧНИК!$H$15+'ПЛАН ЧЕРН К2'!U27*СПРАВОЧНИК!$I$15+'ПЛАН ЧЕРН К2'!V27*СПРАВОЧНИК!$J$15)+СПРАВОЧНИК!$F$9*('ПЛАН ЧИСТ К2'!B27*СПРАВОЧНИК!$L$9+'ПЛАН ЧИСТ К2'!C27*СПРАВОЧНИК!$M$9+'ПЛАН ЧИСТ К2'!D27*СПРАВОЧНИК!$N$9+'ПЛАН ЧИСТ К2'!E27*СПРАВОЧНИК!$O$9)+СПРАВОЧНИК!$F$10*('ПЛАН ЧИСТ К2'!F27*СПРАВОЧНИК!$L$10+'ПЛАН ЧИСТ К2'!G27*СПРАВОЧНИК!$M$10+'ПЛАН ЧИСТ К2'!H27*СПРАВОЧНИК!$N$10+'ПЛАН ЧИСТ К2'!I27*СПРАВОЧНИК!$O$10)+СПРАВОЧНИК!$F$11*('ПЛАН ЧИСТ К2'!J27*СПРАВОЧНИК!$L$11+'ПЛАН ЧИСТ К2'!K27*СПРАВОЧНИК!$M$11+'ПЛАН ЧИСТ К2'!L27*СПРАВОЧНИК!$N$11)+СПРАВОЧНИК!$F$12*('ПЛАН ЧИСТ К2'!M27*СПРАВОЧНИК!$L$12+'ПЛАН ЧИСТ К2'!N27*СПРАВОЧНИК!$M$12+'ПЛАН ЧИСТ К2'!O27*СПРАВОЧНИК!$N$12+'ПЛАН ЧИСТ К2'!P27*СПРАВОЧНИК!$O$12)+СПРАВОЧНИК!$F$13*('ПЛАН ЧИСТ К2'!Q27*СПРАВОЧНИК!$L$13+'ПЛАН ЧИСТ К2'!R27*СПРАВОЧНИК!$M$13+'ПЛАН ЧИСТ К2'!S27*СПРАВОЧНИК!$N$13+'ПЛАН ЧИСТ К2'!T27*СПРАВОЧНИК!$O$13)+СПРАВОЧНИК!$F$14*('ПЛАН ЧИСТ К2'!U27*СПРАВОЧНИК!$L$14+'ПЛАН ЧИСТ К2'!V27*СПРАВОЧНИК!$M$14+'ПЛАН ЧИСТ К2'!W27*СПРАВОЧНИК!$N$14)+СПРАВОЧНИК!$F$15*('ПЛАН ЧИСТ К2'!X27*СПРАВОЧНИК!$L$15+'ПЛАН ЧИСТ К2'!Y27*СПРАВОЧНИК!$M$15+'ПЛАН ЧИСТ К2'!Z27*СПРАВОЧНИК!$N$15)</f>
        <v/>
      </c>
      <c r="AO36" s="40">
        <f>СПРАВОЧНИК!$E$9*(('ФАКТ ЧЕРН К2'!B27)*СПРАВОЧНИК!$H$9+('ФАКТ ЧЕРН К2'!C27)*СПРАВОЧНИК!$I$9+('ФАКТ ЧЕРН К2'!D27)*СПРАВОЧНИК!$J$9)+СПРАВОЧНИК!$E$10*(('ФАКТ ЧЕРН К2'!E27)*СПРАВОЧНИК!$H$10+('ФАКТ ЧЕРН К2'!F27)*СПРАВОЧНИК!$I$10+('ФАКТ ЧЕРН К2'!G27)*СПРАВОЧНИК!$J$10)+СПРАВОЧНИК!$E$11*(('ФАКТ ЧЕРН К2'!H27)*СПРАВОЧНИК!$H$11+('ФАКТ ЧЕРН К2'!I27)*СПРАВОЧНИК!$I$11+('ФАКТ ЧЕРН К2'!J27)*СПРАВОЧНИК!$J$11)+СПРАВОЧНИК!$E$12*(('ФАКТ ЧЕРН К2'!K27)*СПРАВОЧНИК!$H$12+('ФАКТ ЧЕРН К2'!L27)*СПРАВОЧНИК!$I$12+('ФАКТ ЧЕРН К2'!M27)*СПРАВОЧНИК!$J$12)+СПРАВОЧНИК!$E$13*(('ФАКТ ЧЕРН К2'!N27)*СПРАВОЧНИК!$H$13+('ФАКТ ЧЕРН К2'!O27)*СПРАВОЧНИК!$I$13+('ФАКТ ЧЕРН К2'!P27)*СПРАВОЧНИК!$J$13)+СПРАВОЧНИК!$E$14*(('ФАКТ ЧЕРН К2'!Q27)*СПРАВОЧНИК!$H$14+('ФАКТ ЧЕРН К2'!R27)*СПРАВОЧНИК!$I$14+('ФАКТ ЧЕРН К2'!S27)*СПРАВОЧНИК!$J$14)+СПРАВОЧНИК!$E$15*(('ФАКТ ЧЕРН К2'!T27)*СПРАВОЧНИК!$H$15+('ФАКТ ЧЕРН К2'!U27)*СПРАВОЧНИК!$I$15+('ФАКТ ЧЕРН К2'!V27)*СПРАВОЧНИК!$J$15)+СПРАВОЧНИК!$F$9*(('ФАКТ ЧИСТ К2'!B27)*СПРАВОЧНИК!$L$9+('ФАКТ ЧИСТ К2'!C27)*СПРАВОЧНИК!$M$9+('ФАКТ ЧИСТ К2'!D27)*СПРАВОЧНИК!$N$9+('ФАКТ ЧИСТ К2'!E27)*СПРАВОЧНИК!$O$9)+СПРАВОЧНИК!$F$10*(('ФАКТ ЧИСТ К2'!F27)*СПРАВОЧНИК!$L$10+('ФАКТ ЧИСТ К2'!G27)*СПРАВОЧНИК!$M$10+('ФАКТ ЧИСТ К2'!H27)*СПРАВОЧНИК!$N$10+('ФАКТ ЧИСТ К2'!I27)*СПРАВОЧНИК!$O$10)+СПРАВОЧНИК!$F$11*(('ФАКТ ЧИСТ К2'!J27)*СПРАВОЧНИК!$L$11+('ФАКТ ЧИСТ К2'!K27)*СПРАВОЧНИК!$M$11+('ФАКТ ЧИСТ К2'!L27)*СПРАВОЧНИК!$N$11)+СПРАВОЧНИК!$F$12*(('ФАКТ ЧИСТ К2'!M27)*СПРАВОЧНИК!$L$12+('ФАКТ ЧИСТ К2'!N27)*СПРАВОЧНИК!$M$12+('ФАКТ ЧИСТ К2'!O27)*СПРАВОЧНИК!$N$12+('ФАКТ ЧИСТ К2'!P27)*СПРАВОЧНИК!$O$12)+СПРАВОЧНИК!$F$13*(('ФАКТ ЧИСТ К2'!Q27)*СПРАВОЧНИК!$L$13+('ФАКТ ЧИСТ К2'!R27)*СПРАВОЧНИК!$M$13+('ФАКТ ЧИСТ К2'!S27)*СПРАВОЧНИК!$N$13+('ФАКТ ЧИСТ К2'!T27)*СПРАВОЧНИК!$O$13)+СПРАВОЧНИК!$F$14*(('ФАКТ ЧИСТ К2'!U27)*СПРАВОЧНИК!$L$14+('ФАКТ ЧИСТ К2'!V27)*СПРАВОЧНИК!$M$14+('ФАКТ ЧИСТ К2'!W27)*СПРАВОЧНИК!$N$14)+СПРАВОЧНИК!$F$15*(('ФАКТ ЧИСТ К2'!X27)*СПРАВОЧНИК!$L$15+('ФАКТ ЧИСТ К2'!Y27)*СПРАВОЧНИК!$M$15+('ФАКТ ЧИСТ К2'!Z27)*СПРАВОЧНИК!$N$15)</f>
        <v/>
      </c>
      <c r="AS36" s="18">
        <f>AS35+7</f>
        <v/>
      </c>
      <c r="AT36" s="37">
        <f>'ПЛАН ЧЕРН К2'!B27*СПРАВОЧНИК!$H$9+'ПЛАН ЧЕРН К2'!C27*СПРАВОЧНИК!$I$9+'ПЛАН ЧЕРН К2'!D27*СПРАВОЧНИК!$J$9+'ПЛАН ЧЕРН К2'!E27*СПРАВОЧНИК!$H$10+'ПЛАН ЧЕРН К2'!F27*СПРАВОЧНИК!$I$10+'ПЛАН ЧЕРН К2'!G27*СПРАВОЧНИК!$J$10+'ПЛАН ЧЕРН К2'!H27*СПРАВОЧНИК!$H$11+'ПЛАН ЧЕРН К2'!I27*СПРАВОЧНИК!$I$11+'ПЛАН ЧЕРН К2'!J27*СПРАВОЧНИК!$J$11+'ПЛАН ЧЕРН К2'!K27*СПРАВОЧНИК!$H$12+'ПЛАН ЧЕРН К2'!L27*СПРАВОЧНИК!$I$12+'ПЛАН ЧЕРН К2'!M27*СПРАВОЧНИК!$J$12+'ПЛАН ЧЕРН К2'!N27*СПРАВОЧНИК!$H$13+'ПЛАН ЧЕРН К2'!O27*СПРАВОЧНИК!$I$13+'ПЛАН ЧЕРН К2'!P27*СПРАВОЧНИК!$J$13+'ПЛАН ЧЕРН К2'!Q27*СПРАВОЧНИК!$H$14+'ПЛАН ЧЕРН К2'!R27*СПРАВОЧНИК!$I$14+'ПЛАН ЧЕРН К2'!S27*СПРАВОЧНИК!$J$14+'ПЛАН ЧЕРН К2'!T27*СПРАВОЧНИК!$H$15+'ПЛАН ЧЕРН К2'!U27*СПРАВОЧНИК!$I$15+'ПЛАН ЧЕРН К2'!V27*СПРАВОЧНИК!$J$15</f>
        <v/>
      </c>
      <c r="AU36" s="40">
        <f>('ФАКТ ЧЕРН К2'!B27)*СПРАВОЧНИК!$H$9+('ФАКТ ЧЕРН К2'!C27)*СПРАВОЧНИК!$I$9+('ФАКТ ЧЕРН К2'!D27)*СПРАВОЧНИК!$J$9+('ФАКТ ЧЕРН К2'!E27)*СПРАВОЧНИК!$H$10+('ФАКТ ЧЕРН К2'!F27)*СПРАВОЧНИК!$I$10+('ФАКТ ЧЕРН К2'!G27)*СПРАВОЧНИК!$J$10+('ФАКТ ЧЕРН К2'!H27)*СПРАВОЧНИК!$H$11+('ФАКТ ЧЕРН К2'!I27)*СПРАВОЧНИК!$I$11+('ФАКТ ЧЕРН К2'!J27)*СПРАВОЧНИК!$J$11+('ФАКТ ЧЕРН К2'!K27)*СПРАВОЧНИК!$H$12+('ФАКТ ЧЕРН К2'!L27)*СПРАВОЧНИК!$I$12+('ФАКТ ЧЕРН К2'!M27)*СПРАВОЧНИК!$J$12+('ФАКТ ЧЕРН К2'!N27)*СПРАВОЧНИК!$H$13+('ФАКТ ЧЕРН К2'!O27)*СПРАВОЧНИК!$I$13+('ФАКТ ЧЕРН К2'!P27)*СПРАВОЧНИК!$J$13+('ФАКТ ЧЕРН К2'!Q27)*СПРАВОЧНИК!$H$14+('ФАКТ ЧЕРН К2'!R27)*СПРАВОЧНИК!$I$14+('ФАКТ ЧЕРН К2'!S27)*СПРАВОЧНИК!$J$14+('ФАКТ ЧЕРН К2'!T27)*СПРАВОЧНИК!$H$15+('ФАКТ ЧЕРН К2'!U27)*СПРАВОЧНИК!$I$15+('ФАКТ ЧЕРН К2'!V27)*СПРАВОЧНИК!$J$15</f>
        <v/>
      </c>
      <c r="AY36" s="18">
        <f>AY35+7</f>
        <v/>
      </c>
      <c r="AZ36" s="37">
        <f>'ПЛАН ЧИСТ К2'!B27*СПРАВОЧНИК!$L$9+'ПЛАН ЧИСТ К2'!C27*СПРАВОЧНИК!$M$9+'ПЛАН ЧИСТ К2'!D27*СПРАВОЧНИК!$N$9+'ПЛАН ЧИСТ К2'!E27*СПРАВОЧНИК!$O$9+'ПЛАН ЧИСТ К2'!F27*СПРАВОЧНИК!$L$10+'ПЛАН ЧИСТ К2'!G27*СПРАВОЧНИК!$M$10+'ПЛАН ЧИСТ К2'!H27*СПРАВОЧНИК!$N$10+'ПЛАН ЧИСТ К2'!I27*СПРАВОЧНИК!$O$10+'ПЛАН ЧИСТ К2'!J27*СПРАВОЧНИК!$L$11+'ПЛАН ЧИСТ К2'!K27*СПРАВОЧНИК!$M$11+'ПЛАН ЧИСТ К2'!L27*СПРАВОЧНИК!$N$11+'ПЛАН ЧИСТ К2'!M27*СПРАВОЧНИК!$L$12+'ПЛАН ЧИСТ К2'!N27*СПРАВОЧНИК!$M$12+'ПЛАН ЧИСТ К2'!O27*СПРАВОЧНИК!$N$12+'ПЛАН ЧИСТ К2'!P27*СПРАВОЧНИК!$O$12+'ПЛАН ЧИСТ К2'!Q27*СПРАВОЧНИК!$L$13+'ПЛАН ЧИСТ К2'!R27*СПРАВОЧНИК!$M$13+'ПЛАН ЧИСТ К2'!S27*СПРАВОЧНИК!$N$13+'ПЛАН ЧИСТ К2'!T27*СПРАВОЧНИК!$O$13+'ПЛАН ЧИСТ К2'!U27*СПРАВОЧНИК!$L$14+'ПЛАН ЧИСТ К2'!V27*СПРАВОЧНИК!$M$14+'ПЛАН ЧИСТ К2'!W27*СПРАВОЧНИК!$N$14+'ПЛАН ЧИСТ К2'!X27*СПРАВОЧНИК!$L$15+'ПЛАН ЧИСТ К2'!Y27*СПРАВОЧНИК!$M$15+'ПЛАН ЧИСТ К2'!Z27*СПРАВОЧНИК!$N$15</f>
        <v/>
      </c>
      <c r="BA36" s="40">
        <f>('ФАКТ ЧИСТ К2'!B27)*СПРАВОЧНИК!$L$9+('ФАКТ ЧИСТ К2'!C27)*СПРАВОЧНИК!$M$9+('ФАКТ ЧИСТ К2'!D27)*СПРАВОЧНИК!$N$9+('ФАКТ ЧИСТ К2'!E27)*СПРАВОЧНИК!$O$9+('ФАКТ ЧИСТ К2'!F27)*СПРАВОЧНИК!$L$10+('ФАКТ ЧИСТ К2'!G27)*СПРАВОЧНИК!$M$10+('ФАКТ ЧИСТ К2'!H27)*СПРАВОЧНИК!$N$10+('ФАКТ ЧИСТ К2'!I27)*СПРАВОЧНИК!$O$10+('ФАКТ ЧИСТ К2'!J27)*СПРАВОЧНИК!$L$11+('ФАКТ ЧИСТ К2'!K27)*СПРАВОЧНИК!$M$11+('ФАКТ ЧИСТ К2'!L27)*СПРАВОЧНИК!$N$11+('ФАКТ ЧИСТ К2'!M27)*СПРАВОЧНИК!$L$12+('ФАКТ ЧИСТ К2'!N27)*СПРАВОЧНИК!$M$12+('ФАКТ ЧИСТ К2'!O27)*СПРАВОЧНИК!$N$12+('ФАКТ ЧИСТ К2'!P27)*СПРАВОЧНИК!$O$12+('ФАКТ ЧИСТ К2'!Q27)*СПРАВОЧНИК!$L$13+('ФАКТ ЧИСТ К2'!R27)*СПРАВОЧНИК!$M$13+('ФАКТ ЧИСТ К2'!S27)*СПРАВОЧНИК!$N$13+('ФАКТ ЧИСТ К2'!T27)*СПРАВОЧНИК!$O$13+('ФАКТ ЧИСТ К2'!U27)*СПРАВОЧНИК!$L$14+('ФАКТ ЧИСТ К2'!V27)*СПРАВОЧНИК!$M$14+('ФАКТ ЧИСТ К2'!W27)*СПРАВОЧНИК!$N$14+('ФАКТ ЧИСТ К2'!X27)*СПРАВОЧНИК!$L$15+('ФАКТ ЧИСТ К2'!Y27)*СПРАВОЧНИК!$M$15+('ФАКТ ЧИСТ К2'!Z27)*СПРАВОЧНИК!$N$15</f>
        <v/>
      </c>
      <c r="BE36" s="18">
        <f>BE35+7</f>
        <v/>
      </c>
      <c r="BF36" s="37">
        <f>СПРАВОЧНИК!$E$9*('ПЛАН ЧЕРН К3'!B27*СПРАВОЧНИК!$H$9+'ПЛАН ЧЕРН К3'!C27*СПРАВОЧНИК!$I$9+'ПЛАН ЧЕРН К3'!D27*СПРАВОЧНИК!$J$9)+СПРАВОЧНИК!$E$10*('ПЛАН ЧЕРН К3'!E27*СПРАВОЧНИК!$H$10+'ПЛАН ЧЕРН К3'!F27*СПРАВОЧНИК!$I$10+'ПЛАН ЧЕРН К3'!G27*СПРАВОЧНИК!$J$10)+СПРАВОЧНИК!$E$11*('ПЛАН ЧЕРН К3'!H27*СПРАВОЧНИК!$H$11+'ПЛАН ЧЕРН К3'!I27*СПРАВОЧНИК!$I$11+'ПЛАН ЧЕРН К3'!J27*СПРАВОЧНИК!$J$11)+СПРАВОЧНИК!$E$12*('ПЛАН ЧЕРН К3'!K27*СПРАВОЧНИК!$H$12+'ПЛАН ЧЕРН К3'!L27*СПРАВОЧНИК!$I$12+'ПЛАН ЧЕРН К3'!M27*СПРАВОЧНИК!$J$12)+СПРАВОЧНИК!$E$13*('ПЛАН ЧЕРН К3'!N27*СПРАВОЧНИК!$H$13+'ПЛАН ЧЕРН К3'!O27*СПРАВОЧНИК!$I$13+'ПЛАН ЧЕРН К3'!P27*СПРАВОЧНИК!$J$13)+СПРАВОЧНИК!$E$14*('ПЛАН ЧЕРН К3'!Q27*СПРАВОЧНИК!$H$14+'ПЛАН ЧЕРН К3'!R27*СПРАВОЧНИК!$I$14+'ПЛАН ЧЕРН К3'!S27*СПРАВОЧНИК!$J$14)+СПРАВОЧНИК!$E$15*('ПЛАН ЧЕРН К3'!T27*СПРАВОЧНИК!$H$15+'ПЛАН ЧЕРН К3'!U27*СПРАВОЧНИК!$I$15+'ПЛАН ЧЕРН К3'!V27*СПРАВОЧНИК!$J$15)+СПРАВОЧНИК!$F$9*('ПЛАН ЧИСТ К3'!B27*СПРАВОЧНИК!$L$9+'ПЛАН ЧИСТ К3'!C27*СПРАВОЧНИК!$M$9+'ПЛАН ЧИСТ К3'!D27*СПРАВОЧНИК!$N$9+'ПЛАН ЧИСТ К3'!E27*СПРАВОЧНИК!$O$9)+СПРАВОЧНИК!$F$10*('ПЛАН ЧИСТ К3'!F27*СПРАВОЧНИК!$L$10+'ПЛАН ЧИСТ К3'!G27*СПРАВОЧНИК!$M$10+'ПЛАН ЧИСТ К3'!H27*СПРАВОЧНИК!$N$10+'ПЛАН ЧИСТ К3'!I27*СПРАВОЧНИК!$O$10)+СПРАВОЧНИК!$F$11*('ПЛАН ЧИСТ К3'!J27*СПРАВОЧНИК!$L$11+'ПЛАН ЧИСТ К3'!K27*СПРАВОЧНИК!$M$11+'ПЛАН ЧИСТ К3'!L27*СПРАВОЧНИК!$N$11)+СПРАВОЧНИК!$F$12*('ПЛАН ЧИСТ К3'!M27*СПРАВОЧНИК!$L$12+'ПЛАН ЧИСТ К3'!N27*СПРАВОЧНИК!$M$12+'ПЛАН ЧИСТ К3'!O27*СПРАВОЧНИК!$N$12+'ПЛАН ЧИСТ К3'!P27*СПРАВОЧНИК!$O$12)+СПРАВОЧНИК!$F$13*('ПЛАН ЧИСТ К3'!Q27*СПРАВОЧНИК!$L$13+'ПЛАН ЧИСТ К3'!R27*СПРАВОЧНИК!$M$13+'ПЛАН ЧИСТ К3'!S27*СПРАВОЧНИК!$N$13+'ПЛАН ЧИСТ К3'!T27*СПРАВОЧНИК!$O$13)+СПРАВОЧНИК!$F$14*('ПЛАН ЧИСТ К3'!U27*СПРАВОЧНИК!$L$14+'ПЛАН ЧИСТ К3'!V27*СПРАВОЧНИК!$M$14+'ПЛАН ЧИСТ К3'!W27*СПРАВОЧНИК!$N$14)+СПРАВОЧНИК!$F$15*('ПЛАН ЧИСТ К3'!X27*СПРАВОЧНИК!$L$15+'ПЛАН ЧИСТ К3'!Y27*СПРАВОЧНИК!$M$15+'ПЛАН ЧИСТ К3'!Z27*СПРАВОЧНИК!$N$15)</f>
        <v/>
      </c>
      <c r="BG36" s="40">
        <f>СПРАВОЧНИК!$E$9*(('ФАКТ ЧЕРН К3'!B27)*СПРАВОЧНИК!$H$9+('ФАКТ ЧЕРН К3'!C27)*СПРАВОЧНИК!$I$9+('ФАКТ ЧЕРН К3'!D27)*СПРАВОЧНИК!$J$9)+СПРАВОЧНИК!$E$10*(('ФАКТ ЧЕРН К3'!E27)*СПРАВОЧНИК!$H$10+('ФАКТ ЧЕРН К3'!F27)*СПРАВОЧНИК!$I$10+('ФАКТ ЧЕРН К3'!G27)*СПРАВОЧНИК!$J$10)+СПРАВОЧНИК!$E$11*(('ФАКТ ЧЕРН К3'!H27)*СПРАВОЧНИК!$H$11+('ФАКТ ЧЕРН К3'!I27)*СПРАВОЧНИК!$I$11+('ФАКТ ЧЕРН К3'!J27)*СПРАВОЧНИК!$J$11)+СПРАВОЧНИК!$E$12*(('ФАКТ ЧЕРН К3'!K27)*СПРАВОЧНИК!$H$12+('ФАКТ ЧЕРН К3'!L27)*СПРАВОЧНИК!$I$12+('ФАКТ ЧЕРН К3'!M27)*СПРАВОЧНИК!$J$12)+СПРАВОЧНИК!$E$13*(('ФАКТ ЧЕРН К3'!N27)*СПРАВОЧНИК!$H$13+('ФАКТ ЧЕРН К3'!O27)*СПРАВОЧНИК!$I$13+('ФАКТ ЧЕРН К3'!P27)*СПРАВОЧНИК!$J$13)+СПРАВОЧНИК!$E$14*(('ФАКТ ЧЕРН К3'!Q27)*СПРАВОЧНИК!$H$14+('ФАКТ ЧЕРН К3'!R27)*СПРАВОЧНИК!$I$14+('ФАКТ ЧЕРН К3'!S27)*СПРАВОЧНИК!$J$14)+СПРАВОЧНИК!$E$15*(('ФАКТ ЧЕРН К3'!T27)*СПРАВОЧНИК!$H$15+('ФАКТ ЧЕРН К3'!U27)*СПРАВОЧНИК!$I$15+('ФАКТ ЧЕРН К3'!V27)*СПРАВОЧНИК!$J$15)+СПРАВОЧНИК!$F$9*(('ФАКТ ЧИСТ К3'!B27)*СПРАВОЧНИК!$L$9+('ФАКТ ЧИСТ К3'!C27)*СПРАВОЧНИК!$M$9+('ФАКТ ЧИСТ К3'!D27)*СПРАВОЧНИК!$N$9+('ФАКТ ЧИСТ К3'!E27)*СПРАВОЧНИК!$O$9)+СПРАВОЧНИК!$F$10*(('ФАКТ ЧИСТ К3'!F27)*СПРАВОЧНИК!$L$10+('ФАКТ ЧИСТ К3'!G27)*СПРАВОЧНИК!$M$10+('ФАКТ ЧИСТ К3'!H27)*СПРАВОЧНИК!$N$10+('ФАКТ ЧИСТ К3'!I27)*СПРАВОЧНИК!$O$10)+СПРАВОЧНИК!$F$11*(('ФАКТ ЧИСТ К3'!J27)*СПРАВОЧНИК!$L$11+('ФАКТ ЧИСТ К3'!K27)*СПРАВОЧНИК!$M$11+('ФАКТ ЧИСТ К3'!L27)*СПРАВОЧНИК!$N$11)+СПРАВОЧНИК!$F$12*(('ФАКТ ЧИСТ К3'!M27)*СПРАВОЧНИК!$L$12+('ФАКТ ЧИСТ К3'!N27)*СПРАВОЧНИК!$M$12+('ФАКТ ЧИСТ К3'!O27)*СПРАВОЧНИК!$N$12+('ФАКТ ЧИСТ К3'!P27)*СПРАВОЧНИК!$O$12)+СПРАВОЧНИК!$F$13*(('ФАКТ ЧИСТ К3'!Q27)*СПРАВОЧНИК!$L$13+('ФАКТ ЧИСТ К3'!R27)*СПРАВОЧНИК!$M$13+('ФАКТ ЧИСТ К3'!S27)*СПРАВОЧНИК!$N$13+('ФАКТ ЧИСТ К3'!T27)*СПРАВОЧНИК!$O$13)+СПРАВОЧНИК!$F$14*(('ФАКТ ЧИСТ К3'!U27)*СПРАВОЧНИК!$L$14+('ФАКТ ЧИСТ К3'!V27)*СПРАВОЧНИК!$M$14+('ФАКТ ЧИСТ К3'!W27)*СПРАВОЧНИК!$N$14)+СПРАВОЧНИК!$F$15*(('ФАКТ ЧИСТ К3'!X27)*СПРАВОЧНИК!$L$15+('ФАКТ ЧИСТ К3'!Y27)*СПРАВОЧНИК!$M$15+('ФАКТ ЧИСТ К3'!Z27)*СПРАВОЧНИК!$N$15)</f>
        <v/>
      </c>
      <c r="BK36" s="18">
        <f>BK35+7</f>
        <v/>
      </c>
      <c r="BL36" s="37">
        <f>'ПЛАН ЧЕРН К3'!B27*СПРАВОЧНИК!$H$9+'ПЛАН ЧЕРН К3'!C27*СПРАВОЧНИК!$I$9+'ПЛАН ЧЕРН К3'!D27*СПРАВОЧНИК!$J$9+'ПЛАН ЧЕРН К3'!E27*СПРАВОЧНИК!$H$10+'ПЛАН ЧЕРН К3'!F27*СПРАВОЧНИК!$I$10+'ПЛАН ЧЕРН К3'!G27*СПРАВОЧНИК!$J$10+'ПЛАН ЧЕРН К3'!H27*СПРАВОЧНИК!$H$11+'ПЛАН ЧЕРН К3'!I27*СПРАВОЧНИК!$I$11+'ПЛАН ЧЕРН К3'!J27*СПРАВОЧНИК!$J$11+'ПЛАН ЧЕРН К3'!K27*СПРАВОЧНИК!$H$12+'ПЛАН ЧЕРН К3'!L27*СПРАВОЧНИК!$I$12+'ПЛАН ЧЕРН К3'!M27*СПРАВОЧНИК!$J$12+'ПЛАН ЧЕРН К3'!N27*СПРАВОЧНИК!$H$13+'ПЛАН ЧЕРН К3'!O27*СПРАВОЧНИК!$I$13+'ПЛАН ЧЕРН К3'!P27*СПРАВОЧНИК!$J$13+'ПЛАН ЧЕРН К3'!Q27*СПРАВОЧНИК!$H$14+'ПЛАН ЧЕРН К3'!R27*СПРАВОЧНИК!$I$14+'ПЛАН ЧЕРН К3'!S27*СПРАВОЧНИК!$J$14+'ПЛАН ЧЕРН К3'!T27*СПРАВОЧНИК!$H$15+'ПЛАН ЧЕРН К3'!U27*СПРАВОЧНИК!$I$15+'ПЛАН ЧЕРН К3'!V27*СПРАВОЧНИК!$J$15</f>
        <v/>
      </c>
      <c r="BM36" s="40">
        <f>('ФАКТ ЧЕРН К3'!B27)*СПРАВОЧНИК!$H$9+('ФАКТ ЧЕРН К3'!C27)*СПРАВОЧНИК!$I$9+('ФАКТ ЧЕРН К3'!D27)*СПРАВОЧНИК!$J$9+('ФАКТ ЧЕРН К3'!E27)*СПРАВОЧНИК!$H$10+('ФАКТ ЧЕРН К3'!F27)*СПРАВОЧНИК!$I$10+('ФАКТ ЧЕРН К3'!G27)*СПРАВОЧНИК!$J$10+('ФАКТ ЧЕРН К3'!H27)*СПРАВОЧНИК!$H$11+('ФАКТ ЧЕРН К3'!I27)*СПРАВОЧНИК!$I$11+('ФАКТ ЧЕРН К3'!J27)*СПРАВОЧНИК!$J$11+('ФАКТ ЧЕРН К3'!K27)*СПРАВОЧНИК!$H$12+('ФАКТ ЧЕРН К3'!L27)*СПРАВОЧНИК!$I$12+('ФАКТ ЧЕРН К3'!M27)*СПРАВОЧНИК!$J$12+('ФАКТ ЧЕРН К3'!N27)*СПРАВОЧНИК!$H$13+('ФАКТ ЧЕРН К3'!O27)*СПРАВОЧНИК!$I$13+('ФАКТ ЧЕРН К3'!P27)*СПРАВОЧНИК!$J$13+('ФАКТ ЧЕРН К3'!Q27)*СПРАВОЧНИК!$H$14+('ФАКТ ЧЕРН К3'!R27)*СПРАВОЧНИК!$I$14+('ФАКТ ЧЕРН К3'!S27)*СПРАВОЧНИК!$J$14+('ФАКТ ЧЕРН К3'!T27)*СПРАВОЧНИК!$H$15+('ФАКТ ЧЕРН К3'!U27)*СПРАВОЧНИК!$I$15+('ФАКТ ЧЕРН К3'!V27)*СПРАВОЧНИК!$J$15</f>
        <v/>
      </c>
      <c r="BQ36" s="18">
        <f>BQ35+7</f>
        <v/>
      </c>
      <c r="BR36" s="37">
        <f>'ПЛАН ЧИСТ К3'!B27*СПРАВОЧНИК!$L$9+'ПЛАН ЧИСТ К3'!C27*СПРАВОЧНИК!$M$9+'ПЛАН ЧИСТ К3'!D27*СПРАВОЧНИК!$N$9+'ПЛАН ЧИСТ К3'!E27*СПРАВОЧНИК!$O$9+'ПЛАН ЧИСТ К3'!F27*СПРАВОЧНИК!$L$10+'ПЛАН ЧИСТ К3'!G27*СПРАВОЧНИК!$M$10+'ПЛАН ЧИСТ К3'!H27*СПРАВОЧНИК!$N$10+'ПЛАН ЧИСТ К3'!I27*СПРАВОЧНИК!$O$10+'ПЛАН ЧИСТ К3'!J27*СПРАВОЧНИК!$L$11+'ПЛАН ЧИСТ К3'!K27*СПРАВОЧНИК!$M$11+'ПЛАН ЧИСТ К3'!L27*СПРАВОЧНИК!$N$11+'ПЛАН ЧИСТ К3'!M27*СПРАВОЧНИК!$L$12+'ПЛАН ЧИСТ К3'!N27*СПРАВОЧНИК!$M$12+'ПЛАН ЧИСТ К3'!O27*СПРАВОЧНИК!$N$12+'ПЛАН ЧИСТ К3'!P27*СПРАВОЧНИК!$O$12+'ПЛАН ЧИСТ К3'!Q27*СПРАВОЧНИК!$L$13+'ПЛАН ЧИСТ К3'!R27*СПРАВОЧНИК!$M$13+'ПЛАН ЧИСТ К3'!S27*СПРАВОЧНИК!$N$13+'ПЛАН ЧИСТ К3'!T27*СПРАВОЧНИК!$O$13+'ПЛАН ЧИСТ К3'!U27*СПРАВОЧНИК!$L$14+'ПЛАН ЧИСТ К3'!V27*СПРАВОЧНИК!$M$14+'ПЛАН ЧИСТ К3'!W27*СПРАВОЧНИК!$N$14+'ПЛАН ЧИСТ К3'!X27*СПРАВОЧНИК!$L$15+'ПЛАН ЧИСТ К3'!Y27*СПРАВОЧНИК!$M$15+'ПЛАН ЧИСТ К3'!Z27*СПРАВОЧНИК!$N$15</f>
        <v/>
      </c>
      <c r="BS36" s="40">
        <f>('ФАКТ ЧИСТ К3'!B27)*СПРАВОЧНИК!$L$9+('ФАКТ ЧИСТ К3'!C27)*СПРАВОЧНИК!$M$9+('ФАКТ ЧИСТ К3'!D27)*СПРАВОЧНИК!$N$9+('ФАКТ ЧИСТ К3'!E27)*СПРАВОЧНИК!$O$9+('ФАКТ ЧИСТ К3'!F27)*СПРАВОЧНИК!$L$10+('ФАКТ ЧИСТ К3'!G27)*СПРАВОЧНИК!$M$10+('ФАКТ ЧИСТ К3'!H27)*СПРАВОЧНИК!$N$10+('ФАКТ ЧИСТ К3'!I27)*СПРАВОЧНИК!$O$10+('ФАКТ ЧИСТ К3'!J27)*СПРАВОЧНИК!$L$11+('ФАКТ ЧИСТ К3'!K27)*СПРАВОЧНИК!$M$11+('ФАКТ ЧИСТ К3'!L27)*СПРАВОЧНИК!$N$11+('ФАКТ ЧИСТ К3'!M27)*СПРАВОЧНИК!$L$12+('ФАКТ ЧИСТ К3'!N27)*СПРАВОЧНИК!$M$12+('ФАКТ ЧИСТ К3'!O27)*СПРАВОЧНИК!$N$12+('ФАКТ ЧИСТ К3'!P27)*СПРАВОЧНИК!$O$12+('ФАКТ ЧИСТ К3'!Q27)*СПРАВОЧНИК!$L$13+('ФАКТ ЧИСТ К3'!R27)*СПРАВОЧНИК!$M$13+('ФАКТ ЧИСТ К3'!S27)*СПРАВОЧНИК!$N$13+('ФАКТ ЧИСТ К3'!T27)*СПРАВОЧНИК!$O$13+('ФАКТ ЧИСТ К3'!U27)*СПРАВОЧНИК!$L$14+('ФАКТ ЧИСТ К3'!V27)*СПРАВОЧНИК!$M$14+('ФАКТ ЧИСТ К3'!W27)*СПРАВОЧНИК!$N$14+('ФАКТ ЧИСТ К3'!X27)*СПРАВОЧНИК!$L$15+('ФАКТ ЧИСТ К3'!Y27)*СПРАВОЧНИК!$M$15+('ФАКТ ЧИСТ К3'!Z27)*СПРАВОЧНИК!$N$15</f>
        <v/>
      </c>
      <c r="BW36" s="18">
        <f>BW35+7</f>
        <v/>
      </c>
      <c r="BX36" s="37">
        <f>V36+AN36+BF36</f>
        <v/>
      </c>
      <c r="BY36" s="40">
        <f>W36+AO36+BG36</f>
        <v/>
      </c>
      <c r="CC36" s="18">
        <f>CC35+7</f>
        <v/>
      </c>
      <c r="CD36" s="37">
        <f>AB36+AT36+BL36</f>
        <v/>
      </c>
      <c r="CE36" s="40">
        <f>AC36+AU36+BM36</f>
        <v/>
      </c>
      <c r="CI36" s="18">
        <f>CI35+7</f>
        <v/>
      </c>
      <c r="CJ36" s="37">
        <f>AH36+AZ36+BR36</f>
        <v/>
      </c>
      <c r="CK36" s="40">
        <f>AI36+BA36+BS36</f>
        <v/>
      </c>
      <c r="CO36" s="18">
        <f>CO35+7</f>
        <v/>
      </c>
      <c r="CP36" s="37">
        <f>D36+BX36</f>
        <v/>
      </c>
      <c r="CQ36" s="40">
        <f>E36+BY36</f>
        <v/>
      </c>
      <c r="CU36" s="18">
        <f>CU35+7</f>
        <v/>
      </c>
      <c r="CV36" s="37">
        <f>J36+CD36</f>
        <v/>
      </c>
      <c r="CW36" s="40">
        <f>K36+CE36</f>
        <v/>
      </c>
      <c r="DA36" s="18">
        <f>DA35+7</f>
        <v/>
      </c>
      <c r="DB36" s="37">
        <f>P36+CJ36</f>
        <v/>
      </c>
      <c r="DC36" s="40">
        <f>Q36+CK36</f>
        <v/>
      </c>
    </row>
    <row r="37">
      <c r="C37" s="18">
        <f>C36+7</f>
        <v/>
      </c>
      <c r="D37" s="37">
        <f>СПРАВОЧНИК!$E$3*('ПЛАН ЧЕРН ПОДЗЕМ'!B28*СПРАВОЧНИК!$H$3+'ПЛАН ЧЕРН ПОДЗЕМ'!C28*СПРАВОЧНИК!$I$3+'ПЛАН ЧЕРН ПОДЗЕМ'!D28*СПРАВОЧНИК!$J$3)+СПРАВОЧНИК!$E$4*('ПЛАН ЧЕРН ПОДЗЕМ'!E28*СПРАВОЧНИК!$H$4+'ПЛАН ЧЕРН ПОДЗЕМ'!F28*СПРАВОЧНИК!$I$4+'ПЛАН ЧЕРН ПОДЗЕМ'!G28*СПРАВОЧНИК!$J$4)+СПРАВОЧНИК!$E$5*('ПЛАН ЧЕРН ПОДЗЕМ'!H28*СПРАВОЧНИК!$H$5+'ПЛАН ЧЕРН ПОДЗЕМ'!I28*СПРАВОЧНИК!$I$5+'ПЛАН ЧЕРН ПОДЗЕМ'!J28*СПРАВОЧНИК!$J$5)+СПРАВОЧНИК!$E$6*('ПЛАН ЧЕРН ПОДЗЕМ'!K28*СПРАВОЧНИК!$H$6+'ПЛАН ЧЕРН ПОДЗЕМ'!L28*СПРАВОЧНИК!$I$6+'ПЛАН ЧЕРН ПОДЗЕМ'!M28*СПРАВОЧНИК!$J$6)+СПРАВОЧНИК!$E$7*('ПЛАН ЧЕРН ПОДЗЕМ'!N28*СПРАВОЧНИК!$H$7+'ПЛАН ЧЕРН ПОДЗЕМ'!O28*СПРАВОЧНИК!$I$7+'ПЛАН ЧЕРН ПОДЗЕМ'!P28*СПРАВОЧНИК!$J$7)+СПРАВОЧНИК!$E$8*('ПЛАН ЧЕРН ПОДЗЕМ'!Q28*СПРАВОЧНИК!$H$8+'ПЛАН ЧЕРН ПОДЗЕМ'!R28*СПРАВОЧНИК!$I$8+'ПЛАН ЧЕРН ПОДЗЕМ'!S28*СПРАВОЧНИК!$J$8)+СПРАВОЧНИК!$F$3*('ПЛАН ЧИСТ ПОДЗЕМ'!B28*СПРАВОЧНИК!$L$3+'ПЛАН ЧИСТ ПОДЗЕМ'!C28*СПРАВОЧНИК!$M$3+'ПЛАН ЧИСТ ПОДЗЕМ'!D28*СПРАВОЧНИК!$N$3+'ПЛАН ЧИСТ ПОДЗЕМ'!E28*СПРАВОЧНИК!$O$3)+СПРАВОЧНИК!$F$4*('ПЛАН ЧИСТ ПОДЗЕМ'!F28*СПРАВОЧНИК!$L$4+'ПЛАН ЧИСТ ПОДЗЕМ'!G28*СПРАВОЧНИК!$M$4+'ПЛАН ЧИСТ ПОДЗЕМ'!H28*СПРАВОЧНИК!$N$4+'ПЛАН ЧИСТ ПОДЗЕМ'!I28*СПРАВОЧНИК!$O$4)+СПРАВОЧНИК!$F$5*('ПЛАН ЧИСТ ПОДЗЕМ'!J28*СПРАВОЧНИК!$L$5+'ПЛАН ЧИСТ ПОДЗЕМ'!K28*СПРАВОЧНИК!$M$5+'ПЛАН ЧИСТ ПОДЗЕМ'!L28*СПРАВОЧНИК!$N$5)+СПРАВОЧНИК!$F$6*('ПЛАН ЧИСТ ПОДЗЕМ'!M28*СПРАВОЧНИК!$L$6+'ПЛАН ЧИСТ ПОДЗЕМ'!N28*СПРАВОЧНИК!$M$6+'ПЛАН ЧИСТ ПОДЗЕМ'!O28*СПРАВОЧНИК!$N$6+'ПЛАН ЧИСТ ПОДЗЕМ'!P28*СПРАВОЧНИК!$O$6)+СПРАВОЧНИК!$F$7*('ПЛАН ЧИСТ ПОДЗЕМ'!Q28*СПРАВОЧНИК!$L$7+'ПЛАН ЧИСТ ПОДЗЕМ'!R28*СПРАВОЧНИК!$M$7+'ПЛАН ЧИСТ ПОДЗЕМ'!S28*СПРАВОЧНИК!$N$7+'ПЛАН ЧИСТ ПОДЗЕМ'!T28*СПРАВОЧНИК!$O$7)+СПРАВОЧНИК!$F$8*('ПЛАН ЧИСТ ПОДЗЕМ'!U28*СПРАВОЧНИК!$L$8+'ПЛАН ЧИСТ ПОДЗЕМ'!V28*СПРАВОЧНИК!$M$8+'ПЛАН ЧИСТ ПОДЗЕМ'!W28*СПРАВОЧНИК!$N$8)</f>
        <v/>
      </c>
      <c r="E37" s="40">
        <f>СПРАВОЧНИК!$E$3*(('ФАКТ ЧЕРН ПОДЗЕМ'!B28)*СПРАВОЧНИК!$H$3+('ФАКТ ЧЕРН ПОДЗЕМ'!C28)*СПРАВОЧНИК!$I$3+('ФАКТ ЧЕРН ПОДЗЕМ'!D28)*СПРАВОЧНИК!$J$3)+СПРАВОЧНИК!$E$4*(('ФАКТ ЧЕРН ПОДЗЕМ'!E28)*СПРАВОЧНИК!$H$4+('ФАКТ ЧЕРН ПОДЗЕМ'!F28)*СПРАВОЧНИК!$I$4+('ФАКТ ЧЕРН ПОДЗЕМ'!G28)*СПРАВОЧНИК!$J$4)+СПРАВОЧНИК!$E$5*(('ФАКТ ЧЕРН ПОДЗЕМ'!H28)*СПРАВОЧНИК!$H$5+('ФАКТ ЧЕРН ПОДЗЕМ'!I28)*СПРАВОЧНИК!$I$5+('ФАКТ ЧЕРН ПОДЗЕМ'!J28)*СПРАВОЧНИК!$J$5)+СПРАВОЧНИК!$E$6*(('ФАКТ ЧЕРН ПОДЗЕМ'!K28)*СПРАВОЧНИК!$H$6+('ФАКТ ЧЕРН ПОДЗЕМ'!L28)*СПРАВОЧНИК!$I$6+('ФАКТ ЧЕРН ПОДЗЕМ'!M28)*СПРАВОЧНИК!$J$6)+СПРАВОЧНИК!$E$7*(('ФАКТ ЧЕРН ПОДЗЕМ'!N28)*СПРАВОЧНИК!$H$7+('ФАКТ ЧЕРН ПОДЗЕМ'!O28)*СПРАВОЧНИК!$I$7+('ФАКТ ЧЕРН ПОДЗЕМ'!P28)*СПРАВОЧНИК!$J$7)+СПРАВОЧНИК!$E$8*(('ФАКТ ЧЕРН ПОДЗЕМ'!Q28)*СПРАВОЧНИК!$H$8+('ФАКТ ЧЕРН ПОДЗЕМ'!R28)*СПРАВОЧНИК!$I$8+('ФАКТ ЧЕРН ПОДЗЕМ'!S28)*СПРАВОЧНИК!$J$8)+СПРАВОЧНИК!$F$3*(('ФАКТ ЧИСТ ПОДЗЕМ'!B28)*СПРАВОЧНИК!$L$3+('ФАКТ ЧИСТ ПОДЗЕМ'!C28)*СПРАВОЧНИК!$M$3+('ФАКТ ЧИСТ ПОДЗЕМ'!D28)*СПРАВОЧНИК!$N$3+('ФАКТ ЧИСТ ПОДЗЕМ'!E28)*СПРАВОЧНИК!$O$3)+СПРАВОЧНИК!$F$4*(('ФАКТ ЧИСТ ПОДЗЕМ'!F28)*СПРАВОЧНИК!$L$4+('ФАКТ ЧИСТ ПОДЗЕМ'!G28)*СПРАВОЧНИК!$M$4+('ФАКТ ЧИСТ ПОДЗЕМ'!H28)*СПРАВОЧНИК!$N$4+('ФАКТ ЧИСТ ПОДЗЕМ'!I28)*СПРАВОЧНИК!$O$4)+СПРАВОЧНИК!$F$5*(('ФАКТ ЧИСТ ПОДЗЕМ'!J28)*СПРАВОЧНИК!$L$5+('ФАКТ ЧИСТ ПОДЗЕМ'!K28)*СПРАВОЧНИК!$M$5+('ФАКТ ЧИСТ ПОДЗЕМ'!L28)*СПРАВОЧНИК!$N$5)+СПРАВОЧНИК!$F$6*(('ФАКТ ЧИСТ ПОДЗЕМ'!M28)*СПРАВОЧНИК!$L$6+('ФАКТ ЧИСТ ПОДЗЕМ'!N28)*СПРАВОЧНИК!$M$6+('ФАКТ ЧИСТ ПОДЗЕМ'!O28)*СПРАВОЧНИК!$N$6+('ФАКТ ЧИСТ ПОДЗЕМ'!P28)*СПРАВОЧНИК!$O$6)+СПРАВОЧНИК!$F$7*(('ФАКТ ЧИСТ ПОДЗЕМ'!Q28)*СПРАВОЧНИК!$L$7+('ФАКТ ЧИСТ ПОДЗЕМ'!R28)*СПРАВОЧНИК!$M$7+('ФАКТ ЧИСТ ПОДЗЕМ'!S28)*СПРАВОЧНИК!$N$7+('ФАКТ ЧИСТ ПОДЗЕМ'!T28)*СПРАВОЧНИК!$O$7)+СПРАВОЧНИК!$F$8*(('ФАКТ ЧИСТ ПОДЗЕМ'!U28)*СПРАВОЧНИК!$L$8+('ФАКТ ЧИСТ ПОДЗЕМ'!V28)*СПРАВОЧНИК!$M$8+('ФАКТ ЧИСТ ПОДЗЕМ'!W28)*СПРАВОЧНИК!$N$8)</f>
        <v/>
      </c>
      <c r="I37" s="18">
        <f>I36+7</f>
        <v/>
      </c>
      <c r="J37" s="37">
        <f>'ПЛАН ЧЕРН ПОДЗЕМ'!B28*СПРАВОЧНИК!$H$3+'ПЛАН ЧЕРН ПОДЗЕМ'!C28*СПРАВОЧНИК!$I$3+'ПЛАН ЧЕРН ПОДЗЕМ'!D28*СПРАВОЧНИК!$J$3+'ПЛАН ЧЕРН ПОДЗЕМ'!E28*СПРАВОЧНИК!$H$4+'ПЛАН ЧЕРН ПОДЗЕМ'!F28*СПРАВОЧНИК!$I$4+'ПЛАН ЧЕРН ПОДЗЕМ'!G28*СПРАВОЧНИК!$J$4+'ПЛАН ЧЕРН ПОДЗЕМ'!H28*СПРАВОЧНИК!$H$5+'ПЛАН ЧЕРН ПОДЗЕМ'!I28*СПРАВОЧНИК!$I$5+'ПЛАН ЧЕРН ПОДЗЕМ'!J28*СПРАВОЧНИК!$J$5+'ПЛАН ЧЕРН ПОДЗЕМ'!K28*СПРАВОЧНИК!$H$6+'ПЛАН ЧЕРН ПОДЗЕМ'!L28*СПРАВОЧНИК!$I$6+'ПЛАН ЧЕРН ПОДЗЕМ'!M28*СПРАВОЧНИК!$J$6+'ПЛАН ЧЕРН ПОДЗЕМ'!N28*СПРАВОЧНИК!$H$7+'ПЛАН ЧЕРН ПОДЗЕМ'!O28*СПРАВОЧНИК!$I$7+'ПЛАН ЧЕРН ПОДЗЕМ'!P28*СПРАВОЧНИК!$J$7+'ПЛАН ЧЕРН ПОДЗЕМ'!Q28*СПРАВОЧНИК!$H$8+'ПЛАН ЧЕРН ПОДЗЕМ'!R28*СПРАВОЧНИК!$I$8+'ПЛАН ЧЕРН ПОДЗЕМ'!S28*СПРАВОЧНИК!$J$8</f>
        <v/>
      </c>
      <c r="K37" s="40">
        <f>('ФАКТ ЧЕРН ПОДЗЕМ'!B28)*СПРАВОЧНИК!$H$3+('ФАКТ ЧЕРН ПОДЗЕМ'!C28)*СПРАВОЧНИК!$I$3+('ФАКТ ЧЕРН ПОДЗЕМ'!D28)*СПРАВОЧНИК!$J$3+('ФАКТ ЧЕРН ПОДЗЕМ'!E28)*СПРАВОЧНИК!$H$4+('ФАКТ ЧЕРН ПОДЗЕМ'!F28)*СПРАВОЧНИК!$I$4+('ФАКТ ЧЕРН ПОДЗЕМ'!G28)*СПРАВОЧНИК!$J$4+('ФАКТ ЧЕРН ПОДЗЕМ'!H28)*СПРАВОЧНИК!$H$5+('ФАКТ ЧЕРН ПОДЗЕМ'!I28)*СПРАВОЧНИК!$I$5+('ФАКТ ЧЕРН ПОДЗЕМ'!J28)*СПРАВОЧНИК!$J$5+('ФАКТ ЧЕРН ПОДЗЕМ'!K28)*СПРАВОЧНИК!$H$6+('ФАКТ ЧЕРН ПОДЗЕМ'!L28)*СПРАВОЧНИК!$I$6+('ФАКТ ЧЕРН ПОДЗЕМ'!M28)*СПРАВОЧНИК!$J$6+('ФАКТ ЧЕРН ПОДЗЕМ'!N28)*СПРАВОЧНИК!$H$7+('ФАКТ ЧЕРН ПОДЗЕМ'!O28)*СПРАВОЧНИК!$I$7+('ФАКТ ЧЕРН ПОДЗЕМ'!P28)*СПРАВОЧНИК!$J$7+('ФАКТ ЧЕРН ПОДЗЕМ'!Q28)*СПРАВОЧНИК!$H$8+('ФАКТ ЧЕРН ПОДЗЕМ'!R28)*СПРАВОЧНИК!$I$8+('ФАКТ ЧЕРН ПОДЗЕМ'!S28)*СПРАВОЧНИК!$J$8</f>
        <v/>
      </c>
      <c r="O37" s="18">
        <f>O36+7</f>
        <v/>
      </c>
      <c r="P37" s="37">
        <f>'ПЛАН ЧИСТ ПОДЗЕМ'!B28*СПРАВОЧНИК!$L$3+'ПЛАН ЧИСТ ПОДЗЕМ'!C28*СПРАВОЧНИК!$M$3+'ПЛАН ЧИСТ ПОДЗЕМ'!D28*СПРАВОЧНИК!$N$3+'ПЛАН ЧИСТ ПОДЗЕМ'!E28*СПРАВОЧНИК!$O$3+'ПЛАН ЧИСТ ПОДЗЕМ'!F28*СПРАВОЧНИК!$L$4+'ПЛАН ЧИСТ ПОДЗЕМ'!G28*СПРАВОЧНИК!$M$4+'ПЛАН ЧИСТ ПОДЗЕМ'!H28*СПРАВОЧНИК!$N$4+'ПЛАН ЧИСТ ПОДЗЕМ'!I28*СПРАВОЧНИК!$O$4+'ПЛАН ЧИСТ ПОДЗЕМ'!J28*СПРАВОЧНИК!$L$5+'ПЛАН ЧИСТ ПОДЗЕМ'!K28*СПРАВОЧНИК!$M$5+'ПЛАН ЧИСТ ПОДЗЕМ'!L28*СПРАВОЧНИК!$N$5+'ПЛАН ЧИСТ ПОДЗЕМ'!M28*СПРАВОЧНИК!$L$6+'ПЛАН ЧИСТ ПОДЗЕМ'!N28*СПРАВОЧНИК!$M$6+'ПЛАН ЧИСТ ПОДЗЕМ'!O28*СПРАВОЧНИК!$N$6+'ПЛАН ЧИСТ ПОДЗЕМ'!P28*СПРАВОЧНИК!$O$6+'ПЛАН ЧИСТ ПОДЗЕМ'!Q28*СПРАВОЧНИК!$L$7+'ПЛАН ЧИСТ ПОДЗЕМ'!R28*СПРАВОЧНИК!$M$7+'ПЛАН ЧИСТ ПОДЗЕМ'!S28*СПРАВОЧНИК!$N$7+'ПЛАН ЧИСТ ПОДЗЕМ'!T28*СПРАВОЧНИК!$O$7+'ПЛАН ЧИСТ ПОДЗЕМ'!U28*СПРАВОЧНИК!$L$8+'ПЛАН ЧИСТ ПОДЗЕМ'!V28*СПРАВОЧНИК!$M$8+'ПЛАН ЧИСТ ПОДЗЕМ'!W28*СПРАВОЧНИК!$N$8</f>
        <v/>
      </c>
      <c r="Q37" s="40">
        <f>('ФАКТ ЧИСТ ПОДЗЕМ'!B28)*СПРАВОЧНИК!$L$3+('ФАКТ ЧИСТ ПОДЗЕМ'!C28)*СПРАВОЧНИК!$M$3+('ФАКТ ЧИСТ ПОДЗЕМ'!D28)*СПРАВОЧНИК!$N$3+('ФАКТ ЧИСТ ПОДЗЕМ'!E28)*СПРАВОЧНИК!$O$3+('ФАКТ ЧИСТ ПОДЗЕМ'!F28)*СПРАВОЧНИК!$L$4+('ФАКТ ЧИСТ ПОДЗЕМ'!G28)*СПРАВОЧНИК!$M$4+('ФАКТ ЧИСТ ПОДЗЕМ'!H28)*СПРАВОЧНИК!$N$4+('ФАКТ ЧИСТ ПОДЗЕМ'!I28)*СПРАВОЧНИК!$O$4+('ФАКТ ЧИСТ ПОДЗЕМ'!J28)*СПРАВОЧНИК!$L$5+('ФАКТ ЧИСТ ПОДЗЕМ'!K28)*СПРАВОЧНИК!$M$5+('ФАКТ ЧИСТ ПОДЗЕМ'!L28)*СПРАВОЧНИК!$N$5+('ФАКТ ЧИСТ ПОДЗЕМ'!M28)*СПРАВОЧНИК!$L$6+('ФАКТ ЧИСТ ПОДЗЕМ'!N28)*СПРАВОЧНИК!$M$6+('ФАКТ ЧИСТ ПОДЗЕМ'!O28)*СПРАВОЧНИК!$N$6+('ФАКТ ЧИСТ ПОДЗЕМ'!P28)*СПРАВОЧНИК!$O$6+('ФАКТ ЧИСТ ПОДЗЕМ'!Q28)*СПРАВОЧНИК!$L$7+('ФАКТ ЧИСТ ПОДЗЕМ'!R28)*СПРАВОЧНИК!$M$7+('ФАКТ ЧИСТ ПОДЗЕМ'!S28)*СПРАВОЧНИК!$N$7+('ФАКТ ЧИСТ ПОДЗЕМ'!T28)*СПРАВОЧНИК!$O$7+('ФАКТ ЧИСТ ПОДЗЕМ'!U28)*СПРАВОЧНИК!$L$8+('ФАКТ ЧИСТ ПОДЗЕМ'!V28)*СПРАВОЧНИК!$M$8+('ФАКТ ЧИСТ ПОДЗЕМ'!W28)*СПРАВОЧНИК!$N$8</f>
        <v/>
      </c>
      <c r="U37" s="18">
        <f>U36+7</f>
        <v/>
      </c>
      <c r="V37" s="37">
        <f>СПРАВОЧНИК!$E$9*('ПЛАН ЧЕРН К1'!B28*СПРАВОЧНИК!$H$9+'ПЛАН ЧЕРН К1'!C28*СПРАВОЧНИК!$I$9+'ПЛАН ЧЕРН К1'!D28*СПРАВОЧНИК!$J$9)+СПРАВОЧНИК!$E$10*('ПЛАН ЧЕРН К1'!E28*СПРАВОЧНИК!$H$10+'ПЛАН ЧЕРН К1'!F28*СПРАВОЧНИК!$I$10+'ПЛАН ЧЕРН К1'!G28*СПРАВОЧНИК!$J$10)+СПРАВОЧНИК!$E$11*('ПЛАН ЧЕРН К1'!H28*СПРАВОЧНИК!$H$11+'ПЛАН ЧЕРН К1'!I28*СПРАВОЧНИК!$I$11+'ПЛАН ЧЕРН К1'!J28*СПРАВОЧНИК!$J$11)+СПРАВОЧНИК!$E$12*('ПЛАН ЧЕРН К1'!K28*СПРАВОЧНИК!$H$12+'ПЛАН ЧЕРН К1'!L28*СПРАВОЧНИК!$I$12+'ПЛАН ЧЕРН К1'!M28*СПРАВОЧНИК!$J$12)+СПРАВОЧНИК!$E$13*('ПЛАН ЧЕРН К1'!N28*СПРАВОЧНИК!$H$13+'ПЛАН ЧЕРН К1'!O28*СПРАВОЧНИК!$I$13+'ПЛАН ЧЕРН К1'!P28*СПРАВОЧНИК!$J$13)+СПРАВОЧНИК!$E$14*('ПЛАН ЧЕРН К1'!Q28*СПРАВОЧНИК!$H$14+'ПЛАН ЧЕРН К1'!R28*СПРАВОЧНИК!$I$14+'ПЛАН ЧЕРН К1'!S28*СПРАВОЧНИК!$J$14)+СПРАВОЧНИК!$E$15*('ПЛАН ЧЕРН К1'!T28*СПРАВОЧНИК!$H$15+'ПЛАН ЧЕРН К1'!U28*СПРАВОЧНИК!$I$15+'ПЛАН ЧЕРН К1'!V28*СПРАВОЧНИК!$J$15)+СПРАВОЧНИК!$F$9*('ПЛАН ЧИСТ К1'!B28*СПРАВОЧНИК!$L$9+'ПЛАН ЧИСТ К1'!C28*СПРАВОЧНИК!$M$9+'ПЛАН ЧИСТ К1'!D28*СПРАВОЧНИК!$N$9+'ПЛАН ЧИСТ К1'!E28*СПРАВОЧНИК!$O$9)+СПРАВОЧНИК!$F$10*('ПЛАН ЧИСТ К1'!F28*СПРАВОЧНИК!$L$10+'ПЛАН ЧИСТ К1'!G28*СПРАВОЧНИК!$M$10+'ПЛАН ЧИСТ К1'!H28*СПРАВОЧНИК!$N$10+'ПЛАН ЧИСТ К1'!I28*СПРАВОЧНИК!$O$10)+СПРАВОЧНИК!$F$11*('ПЛАН ЧИСТ К1'!J28*СПРАВОЧНИК!$L$11+'ПЛАН ЧИСТ К1'!K28*СПРАВОЧНИК!$M$11+'ПЛАН ЧИСТ К1'!L28*СПРАВОЧНИК!$N$11)+СПРАВОЧНИК!$F$12*('ПЛАН ЧИСТ К1'!M28*СПРАВОЧНИК!$L$12+'ПЛАН ЧИСТ К1'!N28*СПРАВОЧНИК!$M$12+'ПЛАН ЧИСТ К1'!O28*СПРАВОЧНИК!$N$12+'ПЛАН ЧИСТ К1'!P28*СПРАВОЧНИК!$O$12)+СПРАВОЧНИК!$F$13*('ПЛАН ЧИСТ К1'!Q28*СПРАВОЧНИК!$L$13+'ПЛАН ЧИСТ К1'!R28*СПРАВОЧНИК!$M$13+'ПЛАН ЧИСТ К1'!S28*СПРАВОЧНИК!$N$13+'ПЛАН ЧИСТ К1'!T28*СПРАВОЧНИК!$O$13)+СПРАВОЧНИК!$F$14*('ПЛАН ЧИСТ К1'!U28*СПРАВОЧНИК!$L$14+'ПЛАН ЧИСТ К1'!V28*СПРАВОЧНИК!$M$14+'ПЛАН ЧИСТ К1'!W28*СПРАВОЧНИК!$N$14)+СПРАВОЧНИК!$F$15*('ПЛАН ЧИСТ К1'!X28*СПРАВОЧНИК!$L$15+'ПЛАН ЧИСТ К1'!Y28*СПРАВОЧНИК!$M$15+'ПЛАН ЧИСТ К1'!Z28*СПРАВОЧНИК!$N$15)</f>
        <v/>
      </c>
      <c r="W37" s="40">
        <f>СПРАВОЧНИК!$E$9*(('ФАКТ ЧЕРН К1'!B28)*СПРАВОЧНИК!$H$9+('ФАКТ ЧЕРН К1'!C28)*СПРАВОЧНИК!$I$9+('ФАКТ ЧЕРН К1'!D28)*СПРАВОЧНИК!$J$9)+СПРАВОЧНИК!$E$10*(('ФАКТ ЧЕРН К1'!E28)*СПРАВОЧНИК!$H$10+('ФАКТ ЧЕРН К1'!F28)*СПРАВОЧНИК!$I$10+('ФАКТ ЧЕРН К1'!G28)*СПРАВОЧНИК!$J$10)+СПРАВОЧНИК!$E$11*(('ФАКТ ЧЕРН К1'!H28)*СПРАВОЧНИК!$H$11+('ФАКТ ЧЕРН К1'!I28)*СПРАВОЧНИК!$I$11+('ФАКТ ЧЕРН К1'!J28)*СПРАВОЧНИК!$J$11)+СПРАВОЧНИК!$E$12*(('ФАКТ ЧЕРН К1'!K28)*СПРАВОЧНИК!$H$12+('ФАКТ ЧЕРН К1'!L28)*СПРАВОЧНИК!$I$12+('ФАКТ ЧЕРН К1'!M28)*СПРАВОЧНИК!$J$12)+СПРАВОЧНИК!$E$13*(('ФАКТ ЧЕРН К1'!N28)*СПРАВОЧНИК!$H$13+('ФАКТ ЧЕРН К1'!O28)*СПРАВОЧНИК!$I$13+('ФАКТ ЧЕРН К1'!P28)*СПРАВОЧНИК!$J$13)+СПРАВОЧНИК!$E$14*(('ФАКТ ЧЕРН К1'!Q28)*СПРАВОЧНИК!$H$14+('ФАКТ ЧЕРН К1'!R28)*СПРАВОЧНИК!$I$14+('ФАКТ ЧЕРН К1'!S28)*СПРАВОЧНИК!$J$14)+СПРАВОЧНИК!$E$15*(('ФАКТ ЧЕРН К1'!T28)*СПРАВОЧНИК!$H$15+('ФАКТ ЧЕРН К1'!U28)*СПРАВОЧНИК!$I$15+('ФАКТ ЧЕРН К1'!V28)*СПРАВОЧНИК!$J$15)+СПРАВОЧНИК!$F$9*(('ФАКТ ЧИСТ К1'!B28)*СПРАВОЧНИК!$L$9+('ФАКТ ЧИСТ К1'!C28)*СПРАВОЧНИК!$M$9+('ФАКТ ЧИСТ К1'!D28)*СПРАВОЧНИК!$N$9+('ФАКТ ЧИСТ К1'!E28)*СПРАВОЧНИК!$O$9)+СПРАВОЧНИК!$F$10*(('ФАКТ ЧИСТ К1'!F28)*СПРАВОЧНИК!$L$10+('ФАКТ ЧИСТ К1'!G28)*СПРАВОЧНИК!$M$10+('ФАКТ ЧИСТ К1'!H28)*СПРАВОЧНИК!$N$10+('ФАКТ ЧИСТ К1'!I28)*СПРАВОЧНИК!$O$10)+СПРАВОЧНИК!$F$11*(('ФАКТ ЧИСТ К1'!J28)*СПРАВОЧНИК!$L$11+('ФАКТ ЧИСТ К1'!K28)*СПРАВОЧНИК!$M$11+('ФАКТ ЧИСТ К1'!L28)*СПРАВОЧНИК!$N$11)+СПРАВОЧНИК!$F$12*(('ФАКТ ЧИСТ К1'!M28)*СПРАВОЧНИК!$L$12+('ФАКТ ЧИСТ К1'!N28)*СПРАВОЧНИК!$M$12+('ФАКТ ЧИСТ К1'!O28)*СПРАВОЧНИК!$N$12+('ФАКТ ЧИСТ К1'!P28)*СПРАВОЧНИК!$O$12)+СПРАВОЧНИК!$F$13*(('ФАКТ ЧИСТ К1'!Q28)*СПРАВОЧНИК!$L$13+('ФАКТ ЧИСТ К1'!R28)*СПРАВОЧНИК!$M$13+('ФАКТ ЧИСТ К1'!S28)*СПРАВОЧНИК!$N$13+('ФАКТ ЧИСТ К1'!T28)*СПРАВОЧНИК!$O$13)+СПРАВОЧНИК!$F$14*(('ФАКТ ЧИСТ К1'!U28)*СПРАВОЧНИК!$L$14+('ФАКТ ЧИСТ К1'!V28)*СПРАВОЧНИК!$M$14+('ФАКТ ЧИСТ К1'!W28)*СПРАВОЧНИК!$N$14)+СПРАВОЧНИК!$F$15*(('ФАКТ ЧИСТ К1'!X28)*СПРАВОЧНИК!$L$15+('ФАКТ ЧИСТ К1'!Y28)*СПРАВОЧНИК!$M$15+('ФАКТ ЧИСТ К1'!Z28)*СПРАВОЧНИК!$N$15)</f>
        <v/>
      </c>
      <c r="AA37" s="18">
        <f>AA36+7</f>
        <v/>
      </c>
      <c r="AB37" s="37">
        <f>'ПЛАН ЧЕРН К1'!B28*СПРАВОЧНИК!$H$9+'ПЛАН ЧЕРН К1'!C28*СПРАВОЧНИК!$I$9+'ПЛАН ЧЕРН К1'!D28*СПРАВОЧНИК!$J$9+'ПЛАН ЧЕРН К1'!E28*СПРАВОЧНИК!$H$10+'ПЛАН ЧЕРН К1'!F28*СПРАВОЧНИК!$I$10+'ПЛАН ЧЕРН К1'!G28*СПРАВОЧНИК!$J$10+'ПЛАН ЧЕРН К1'!H28*СПРАВОЧНИК!$H$11+'ПЛАН ЧЕРН К1'!I28*СПРАВОЧНИК!$I$11+'ПЛАН ЧЕРН К1'!J28*СПРАВОЧНИК!$J$11+'ПЛАН ЧЕРН К1'!K28*СПРАВОЧНИК!$H$12+'ПЛАН ЧЕРН К1'!L28*СПРАВОЧНИК!$I$12+'ПЛАН ЧЕРН К1'!M28*СПРАВОЧНИК!$J$12+'ПЛАН ЧЕРН К1'!N28*СПРАВОЧНИК!$H$13+'ПЛАН ЧЕРН К1'!O28*СПРАВОЧНИК!$I$13+'ПЛАН ЧЕРН К1'!P28*СПРАВОЧНИК!$J$13+'ПЛАН ЧЕРН К1'!Q28*СПРАВОЧНИК!$H$14+'ПЛАН ЧЕРН К1'!R28*СПРАВОЧНИК!$I$14+'ПЛАН ЧЕРН К1'!S28*СПРАВОЧНИК!$J$14+'ПЛАН ЧЕРН К1'!T28*СПРАВОЧНИК!$H$15+'ПЛАН ЧЕРН К1'!U28*СПРАВОЧНИК!$I$15+'ПЛАН ЧЕРН К1'!V28*СПРАВОЧНИК!$J$15</f>
        <v/>
      </c>
      <c r="AC37" s="40">
        <f>('ФАКТ ЧЕРН К1'!B28)*СПРАВОЧНИК!$H$9+('ФАКТ ЧЕРН К1'!C28)*СПРАВОЧНИК!$I$9+('ФАКТ ЧЕРН К1'!D28)*СПРАВОЧНИК!$J$9+('ФАКТ ЧЕРН К1'!E28)*СПРАВОЧНИК!$H$10+('ФАКТ ЧЕРН К1'!F28)*СПРАВОЧНИК!$I$10+('ФАКТ ЧЕРН К1'!G28)*СПРАВОЧНИК!$J$10+('ФАКТ ЧЕРН К1'!H28)*СПРАВОЧНИК!$H$11+('ФАКТ ЧЕРН К1'!I28)*СПРАВОЧНИК!$I$11+('ФАКТ ЧЕРН К1'!J28)*СПРАВОЧНИК!$J$11+('ФАКТ ЧЕРН К1'!K28)*СПРАВОЧНИК!$H$12+('ФАКТ ЧЕРН К1'!L28)*СПРАВОЧНИК!$I$12+('ФАКТ ЧЕРН К1'!M28)*СПРАВОЧНИК!$J$12+('ФАКТ ЧЕРН К1'!N28)*СПРАВОЧНИК!$H$13+('ФАКТ ЧЕРН К1'!O28)*СПРАВОЧНИК!$I$13+('ФАКТ ЧЕРН К1'!P28)*СПРАВОЧНИК!$J$13+('ФАКТ ЧЕРН К1'!Q28)*СПРАВОЧНИК!$H$14+('ФАКТ ЧЕРН К1'!R28)*СПРАВОЧНИК!$I$14+('ФАКТ ЧЕРН К1'!S28)*СПРАВОЧНИК!$J$14+('ФАКТ ЧЕРН К1'!T28)*СПРАВОЧНИК!$H$15+('ФАКТ ЧЕРН К1'!U28)*СПРАВОЧНИК!$I$15+('ФАКТ ЧЕРН К1'!V28)*СПРАВОЧНИК!$J$15</f>
        <v/>
      </c>
      <c r="AG37" s="18">
        <f>AG36+7</f>
        <v/>
      </c>
      <c r="AH37" s="37">
        <f>'ПЛАН ЧИСТ К1'!B28*СПРАВОЧНИК!$L$9+'ПЛАН ЧИСТ К1'!C28*СПРАВОЧНИК!$M$9+'ПЛАН ЧИСТ К1'!D28*СПРАВОЧНИК!$N$9+'ПЛАН ЧИСТ К1'!E28*СПРАВОЧНИК!$O$9+'ПЛАН ЧИСТ К1'!F28*СПРАВОЧНИК!$L$10+'ПЛАН ЧИСТ К1'!G28*СПРАВОЧНИК!$M$10+'ПЛАН ЧИСТ К1'!H28*СПРАВОЧНИК!$N$10+'ПЛАН ЧИСТ К1'!I28*СПРАВОЧНИК!$O$10+'ПЛАН ЧИСТ К1'!J28*СПРАВОЧНИК!$L$11+'ПЛАН ЧИСТ К1'!K28*СПРАВОЧНИК!$M$11+'ПЛАН ЧИСТ К1'!L28*СПРАВОЧНИК!$N$11+'ПЛАН ЧИСТ К1'!M28*СПРАВОЧНИК!$L$12+'ПЛАН ЧИСТ К1'!N28*СПРАВОЧНИК!$M$12+'ПЛАН ЧИСТ К1'!O28*СПРАВОЧНИК!$N$12+'ПЛАН ЧИСТ К1'!P28*СПРАВОЧНИК!$O$12+'ПЛАН ЧИСТ К1'!Q28*СПРАВОЧНИК!$L$13+'ПЛАН ЧИСТ К1'!R28*СПРАВОЧНИК!$M$13+'ПЛАН ЧИСТ К1'!S28*СПРАВОЧНИК!$N$13+'ПЛАН ЧИСТ К1'!T28*СПРАВОЧНИК!$O$13+'ПЛАН ЧИСТ К1'!U28*СПРАВОЧНИК!$L$14+'ПЛАН ЧИСТ К1'!V28*СПРАВОЧНИК!$M$14+'ПЛАН ЧИСТ К1'!W28*СПРАВОЧНИК!$N$14+'ПЛАН ЧИСТ К1'!X28*СПРАВОЧНИК!$L$15+'ПЛАН ЧИСТ К1'!Y28*СПРАВОЧНИК!$M$15+'ПЛАН ЧИСТ К1'!Z28*СПРАВОЧНИК!$N$15</f>
        <v/>
      </c>
      <c r="AI37" s="40">
        <f>('ФАКТ ЧИСТ К1'!B28)*СПРАВОЧНИК!$L$9+('ФАКТ ЧИСТ К1'!C28)*СПРАВОЧНИК!$M$9+('ФАКТ ЧИСТ К1'!D28)*СПРАВОЧНИК!$N$9+('ФАКТ ЧИСТ К1'!E28)*СПРАВОЧНИК!$O$9+('ФАКТ ЧИСТ К1'!F28)*СПРАВОЧНИК!$L$10+('ФАКТ ЧИСТ К1'!G28)*СПРАВОЧНИК!$M$10+('ФАКТ ЧИСТ К1'!H28)*СПРАВОЧНИК!$N$10+('ФАКТ ЧИСТ К1'!I28)*СПРАВОЧНИК!$O$10+('ФАКТ ЧИСТ К1'!J28)*СПРАВОЧНИК!$L$11+('ФАКТ ЧИСТ К1'!K28)*СПРАВОЧНИК!$M$11+('ФАКТ ЧИСТ К1'!L28)*СПРАВОЧНИК!$N$11+('ФАКТ ЧИСТ К1'!M28)*СПРАВОЧНИК!$L$12+('ФАКТ ЧИСТ К1'!N28)*СПРАВОЧНИК!$M$12+('ФАКТ ЧИСТ К1'!O28)*СПРАВОЧНИК!$N$12+('ФАКТ ЧИСТ К1'!P28)*СПРАВОЧНИК!$O$12+('ФАКТ ЧИСТ К1'!Q28)*СПРАВОЧНИК!$L$13+('ФАКТ ЧИСТ К1'!R28)*СПРАВОЧНИК!$M$13+('ФАКТ ЧИСТ К1'!S28)*СПРАВОЧНИК!$N$13+('ФАКТ ЧИСТ К1'!T28)*СПРАВОЧНИК!$O$13+('ФАКТ ЧИСТ К1'!U28)*СПРАВОЧНИК!$L$14+('ФАКТ ЧИСТ К1'!V28)*СПРАВОЧНИК!$M$14+('ФАКТ ЧИСТ К1'!W28)*СПРАВОЧНИК!$N$14+('ФАКТ ЧИСТ К1'!X28)*СПРАВОЧНИК!$L$15+('ФАКТ ЧИСТ К1'!Y28)*СПРАВОЧНИК!$M$15+('ФАКТ ЧИСТ К1'!Z28)*СПРАВОЧНИК!$N$15</f>
        <v/>
      </c>
      <c r="AM37" s="18">
        <f>AM36+7</f>
        <v/>
      </c>
      <c r="AN37" s="37">
        <f>СПРАВОЧНИК!$E$9*('ПЛАН ЧЕРН К2'!B28*СПРАВОЧНИК!$H$9+'ПЛАН ЧЕРН К2'!C28*СПРАВОЧНИК!$I$9+'ПЛАН ЧЕРН К2'!D28*СПРАВОЧНИК!$J$9)+СПРАВОЧНИК!$E$10*('ПЛАН ЧЕРН К2'!E28*СПРАВОЧНИК!$H$10+'ПЛАН ЧЕРН К2'!F28*СПРАВОЧНИК!$I$10+'ПЛАН ЧЕРН К2'!G28*СПРАВОЧНИК!$J$10)+СПРАВОЧНИК!$E$11*('ПЛАН ЧЕРН К2'!H28*СПРАВОЧНИК!$H$11+'ПЛАН ЧЕРН К2'!I28*СПРАВОЧНИК!$I$11+'ПЛАН ЧЕРН К2'!J28*СПРАВОЧНИК!$J$11)+СПРАВОЧНИК!$E$12*('ПЛАН ЧЕРН К2'!K28*СПРАВОЧНИК!$H$12+'ПЛАН ЧЕРН К2'!L28*СПРАВОЧНИК!$I$12+'ПЛАН ЧЕРН К2'!M28*СПРАВОЧНИК!$J$12)+СПРАВОЧНИК!$E$13*('ПЛАН ЧЕРН К2'!N28*СПРАВОЧНИК!$H$13+'ПЛАН ЧЕРН К2'!O28*СПРАВОЧНИК!$I$13+'ПЛАН ЧЕРН К2'!P28*СПРАВОЧНИК!$J$13)+СПРАВОЧНИК!$E$14*('ПЛАН ЧЕРН К2'!Q28*СПРАВОЧНИК!$H$14+'ПЛАН ЧЕРН К2'!R28*СПРАВОЧНИК!$I$14+'ПЛАН ЧЕРН К2'!S28*СПРАВОЧНИК!$J$14)+СПРАВОЧНИК!$E$15*('ПЛАН ЧЕРН К2'!T28*СПРАВОЧНИК!$H$15+'ПЛАН ЧЕРН К2'!U28*СПРАВОЧНИК!$I$15+'ПЛАН ЧЕРН К2'!V28*СПРАВОЧНИК!$J$15)+СПРАВОЧНИК!$F$9*('ПЛАН ЧИСТ К2'!B28*СПРАВОЧНИК!$L$9+'ПЛАН ЧИСТ К2'!C28*СПРАВОЧНИК!$M$9+'ПЛАН ЧИСТ К2'!D28*СПРАВОЧНИК!$N$9+'ПЛАН ЧИСТ К2'!E28*СПРАВОЧНИК!$O$9)+СПРАВОЧНИК!$F$10*('ПЛАН ЧИСТ К2'!F28*СПРАВОЧНИК!$L$10+'ПЛАН ЧИСТ К2'!G28*СПРАВОЧНИК!$M$10+'ПЛАН ЧИСТ К2'!H28*СПРАВОЧНИК!$N$10+'ПЛАН ЧИСТ К2'!I28*СПРАВОЧНИК!$O$10)+СПРАВОЧНИК!$F$11*('ПЛАН ЧИСТ К2'!J28*СПРАВОЧНИК!$L$11+'ПЛАН ЧИСТ К2'!K28*СПРАВОЧНИК!$M$11+'ПЛАН ЧИСТ К2'!L28*СПРАВОЧНИК!$N$11)+СПРАВОЧНИК!$F$12*('ПЛАН ЧИСТ К2'!M28*СПРАВОЧНИК!$L$12+'ПЛАН ЧИСТ К2'!N28*СПРАВОЧНИК!$M$12+'ПЛАН ЧИСТ К2'!O28*СПРАВОЧНИК!$N$12+'ПЛАН ЧИСТ К2'!P28*СПРАВОЧНИК!$O$12)+СПРАВОЧНИК!$F$13*('ПЛАН ЧИСТ К2'!Q28*СПРАВОЧНИК!$L$13+'ПЛАН ЧИСТ К2'!R28*СПРАВОЧНИК!$M$13+'ПЛАН ЧИСТ К2'!S28*СПРАВОЧНИК!$N$13+'ПЛАН ЧИСТ К2'!T28*СПРАВОЧНИК!$O$13)+СПРАВОЧНИК!$F$14*('ПЛАН ЧИСТ К2'!U28*СПРАВОЧНИК!$L$14+'ПЛАН ЧИСТ К2'!V28*СПРАВОЧНИК!$M$14+'ПЛАН ЧИСТ К2'!W28*СПРАВОЧНИК!$N$14)+СПРАВОЧНИК!$F$15*('ПЛАН ЧИСТ К2'!X28*СПРАВОЧНИК!$L$15+'ПЛАН ЧИСТ К2'!Y28*СПРАВОЧНИК!$M$15+'ПЛАН ЧИСТ К2'!Z28*СПРАВОЧНИК!$N$15)</f>
        <v/>
      </c>
      <c r="AO37" s="40">
        <f>СПРАВОЧНИК!$E$9*(('ФАКТ ЧЕРН К2'!B28)*СПРАВОЧНИК!$H$9+('ФАКТ ЧЕРН К2'!C28)*СПРАВОЧНИК!$I$9+('ФАКТ ЧЕРН К2'!D28)*СПРАВОЧНИК!$J$9)+СПРАВОЧНИК!$E$10*(('ФАКТ ЧЕРН К2'!E28)*СПРАВОЧНИК!$H$10+('ФАКТ ЧЕРН К2'!F28)*СПРАВОЧНИК!$I$10+('ФАКТ ЧЕРН К2'!G28)*СПРАВОЧНИК!$J$10)+СПРАВОЧНИК!$E$11*(('ФАКТ ЧЕРН К2'!H28)*СПРАВОЧНИК!$H$11+('ФАКТ ЧЕРН К2'!I28)*СПРАВОЧНИК!$I$11+('ФАКТ ЧЕРН К2'!J28)*СПРАВОЧНИК!$J$11)+СПРАВОЧНИК!$E$12*(('ФАКТ ЧЕРН К2'!K28)*СПРАВОЧНИК!$H$12+('ФАКТ ЧЕРН К2'!L28)*СПРАВОЧНИК!$I$12+('ФАКТ ЧЕРН К2'!M28)*СПРАВОЧНИК!$J$12)+СПРАВОЧНИК!$E$13*(('ФАКТ ЧЕРН К2'!N28)*СПРАВОЧНИК!$H$13+('ФАКТ ЧЕРН К2'!O28)*СПРАВОЧНИК!$I$13+('ФАКТ ЧЕРН К2'!P28)*СПРАВОЧНИК!$J$13)+СПРАВОЧНИК!$E$14*(('ФАКТ ЧЕРН К2'!Q28)*СПРАВОЧНИК!$H$14+('ФАКТ ЧЕРН К2'!R28)*СПРАВОЧНИК!$I$14+('ФАКТ ЧЕРН К2'!S28)*СПРАВОЧНИК!$J$14)+СПРАВОЧНИК!$E$15*(('ФАКТ ЧЕРН К2'!T28)*СПРАВОЧНИК!$H$15+('ФАКТ ЧЕРН К2'!U28)*СПРАВОЧНИК!$I$15+('ФАКТ ЧЕРН К2'!V28)*СПРАВОЧНИК!$J$15)+СПРАВОЧНИК!$F$9*(('ФАКТ ЧИСТ К2'!B28)*СПРАВОЧНИК!$L$9+('ФАКТ ЧИСТ К2'!C28)*СПРАВОЧНИК!$M$9+('ФАКТ ЧИСТ К2'!D28)*СПРАВОЧНИК!$N$9+('ФАКТ ЧИСТ К2'!E28)*СПРАВОЧНИК!$O$9)+СПРАВОЧНИК!$F$10*(('ФАКТ ЧИСТ К2'!F28)*СПРАВОЧНИК!$L$10+('ФАКТ ЧИСТ К2'!G28)*СПРАВОЧНИК!$M$10+('ФАКТ ЧИСТ К2'!H28)*СПРАВОЧНИК!$N$10+('ФАКТ ЧИСТ К2'!I28)*СПРАВОЧНИК!$O$10)+СПРАВОЧНИК!$F$11*(('ФАКТ ЧИСТ К2'!J28)*СПРАВОЧНИК!$L$11+('ФАКТ ЧИСТ К2'!K28)*СПРАВОЧНИК!$M$11+('ФАКТ ЧИСТ К2'!L28)*СПРАВОЧНИК!$N$11)+СПРАВОЧНИК!$F$12*(('ФАКТ ЧИСТ К2'!M28)*СПРАВОЧНИК!$L$12+('ФАКТ ЧИСТ К2'!N28)*СПРАВОЧНИК!$M$12+('ФАКТ ЧИСТ К2'!O28)*СПРАВОЧНИК!$N$12+('ФАКТ ЧИСТ К2'!P28)*СПРАВОЧНИК!$O$12)+СПРАВОЧНИК!$F$13*(('ФАКТ ЧИСТ К2'!Q28)*СПРАВОЧНИК!$L$13+('ФАКТ ЧИСТ К2'!R28)*СПРАВОЧНИК!$M$13+('ФАКТ ЧИСТ К2'!S28)*СПРАВОЧНИК!$N$13+('ФАКТ ЧИСТ К2'!T28)*СПРАВОЧНИК!$O$13)+СПРАВОЧНИК!$F$14*(('ФАКТ ЧИСТ К2'!U28)*СПРАВОЧНИК!$L$14+('ФАКТ ЧИСТ К2'!V28)*СПРАВОЧНИК!$M$14+('ФАКТ ЧИСТ К2'!W28)*СПРАВОЧНИК!$N$14)+СПРАВОЧНИК!$F$15*(('ФАКТ ЧИСТ К2'!X28)*СПРАВОЧНИК!$L$15+('ФАКТ ЧИСТ К2'!Y28)*СПРАВОЧНИК!$M$15+('ФАКТ ЧИСТ К2'!Z28)*СПРАВОЧНИК!$N$15)</f>
        <v/>
      </c>
      <c r="AS37" s="18">
        <f>AS36+7</f>
        <v/>
      </c>
      <c r="AT37" s="37">
        <f>'ПЛАН ЧЕРН К2'!B28*СПРАВОЧНИК!$H$9+'ПЛАН ЧЕРН К2'!C28*СПРАВОЧНИК!$I$9+'ПЛАН ЧЕРН К2'!D28*СПРАВОЧНИК!$J$9+'ПЛАН ЧЕРН К2'!E28*СПРАВОЧНИК!$H$10+'ПЛАН ЧЕРН К2'!F28*СПРАВОЧНИК!$I$10+'ПЛАН ЧЕРН К2'!G28*СПРАВОЧНИК!$J$10+'ПЛАН ЧЕРН К2'!H28*СПРАВОЧНИК!$H$11+'ПЛАН ЧЕРН К2'!I28*СПРАВОЧНИК!$I$11+'ПЛАН ЧЕРН К2'!J28*СПРАВОЧНИК!$J$11+'ПЛАН ЧЕРН К2'!K28*СПРАВОЧНИК!$H$12+'ПЛАН ЧЕРН К2'!L28*СПРАВОЧНИК!$I$12+'ПЛАН ЧЕРН К2'!M28*СПРАВОЧНИК!$J$12+'ПЛАН ЧЕРН К2'!N28*СПРАВОЧНИК!$H$13+'ПЛАН ЧЕРН К2'!O28*СПРАВОЧНИК!$I$13+'ПЛАН ЧЕРН К2'!P28*СПРАВОЧНИК!$J$13+'ПЛАН ЧЕРН К2'!Q28*СПРАВОЧНИК!$H$14+'ПЛАН ЧЕРН К2'!R28*СПРАВОЧНИК!$I$14+'ПЛАН ЧЕРН К2'!S28*СПРАВОЧНИК!$J$14+'ПЛАН ЧЕРН К2'!T28*СПРАВОЧНИК!$H$15+'ПЛАН ЧЕРН К2'!U28*СПРАВОЧНИК!$I$15+'ПЛАН ЧЕРН К2'!V28*СПРАВОЧНИК!$J$15</f>
        <v/>
      </c>
      <c r="AU37" s="40">
        <f>('ФАКТ ЧЕРН К2'!B28)*СПРАВОЧНИК!$H$9+('ФАКТ ЧЕРН К2'!C28)*СПРАВОЧНИК!$I$9+('ФАКТ ЧЕРН К2'!D28)*СПРАВОЧНИК!$J$9+('ФАКТ ЧЕРН К2'!E28)*СПРАВОЧНИК!$H$10+('ФАКТ ЧЕРН К2'!F28)*СПРАВОЧНИК!$I$10+('ФАКТ ЧЕРН К2'!G28)*СПРАВОЧНИК!$J$10+('ФАКТ ЧЕРН К2'!H28)*СПРАВОЧНИК!$H$11+('ФАКТ ЧЕРН К2'!I28)*СПРАВОЧНИК!$I$11+('ФАКТ ЧЕРН К2'!J28)*СПРАВОЧНИК!$J$11+('ФАКТ ЧЕРН К2'!K28)*СПРАВОЧНИК!$H$12+('ФАКТ ЧЕРН К2'!L28)*СПРАВОЧНИК!$I$12+('ФАКТ ЧЕРН К2'!M28)*СПРАВОЧНИК!$J$12+('ФАКТ ЧЕРН К2'!N28)*СПРАВОЧНИК!$H$13+('ФАКТ ЧЕРН К2'!O28)*СПРАВОЧНИК!$I$13+('ФАКТ ЧЕРН К2'!P28)*СПРАВОЧНИК!$J$13+('ФАКТ ЧЕРН К2'!Q28)*СПРАВОЧНИК!$H$14+('ФАКТ ЧЕРН К2'!R28)*СПРАВОЧНИК!$I$14+('ФАКТ ЧЕРН К2'!S28)*СПРАВОЧНИК!$J$14+('ФАКТ ЧЕРН К2'!T28)*СПРАВОЧНИК!$H$15+('ФАКТ ЧЕРН К2'!U28)*СПРАВОЧНИК!$I$15+('ФАКТ ЧЕРН К2'!V28)*СПРАВОЧНИК!$J$15</f>
        <v/>
      </c>
      <c r="AY37" s="18">
        <f>AY36+7</f>
        <v/>
      </c>
      <c r="AZ37" s="37">
        <f>'ПЛАН ЧИСТ К2'!B28*СПРАВОЧНИК!$L$9+'ПЛАН ЧИСТ К2'!C28*СПРАВОЧНИК!$M$9+'ПЛАН ЧИСТ К2'!D28*СПРАВОЧНИК!$N$9+'ПЛАН ЧИСТ К2'!E28*СПРАВОЧНИК!$O$9+'ПЛАН ЧИСТ К2'!F28*СПРАВОЧНИК!$L$10+'ПЛАН ЧИСТ К2'!G28*СПРАВОЧНИК!$M$10+'ПЛАН ЧИСТ К2'!H28*СПРАВОЧНИК!$N$10+'ПЛАН ЧИСТ К2'!I28*СПРАВОЧНИК!$O$10+'ПЛАН ЧИСТ К2'!J28*СПРАВОЧНИК!$L$11+'ПЛАН ЧИСТ К2'!K28*СПРАВОЧНИК!$M$11+'ПЛАН ЧИСТ К2'!L28*СПРАВОЧНИК!$N$11+'ПЛАН ЧИСТ К2'!M28*СПРАВОЧНИК!$L$12+'ПЛАН ЧИСТ К2'!N28*СПРАВОЧНИК!$M$12+'ПЛАН ЧИСТ К2'!O28*СПРАВОЧНИК!$N$12+'ПЛАН ЧИСТ К2'!P28*СПРАВОЧНИК!$O$12+'ПЛАН ЧИСТ К2'!Q28*СПРАВОЧНИК!$L$13+'ПЛАН ЧИСТ К2'!R28*СПРАВОЧНИК!$M$13+'ПЛАН ЧИСТ К2'!S28*СПРАВОЧНИК!$N$13+'ПЛАН ЧИСТ К2'!T28*СПРАВОЧНИК!$O$13+'ПЛАН ЧИСТ К2'!U28*СПРАВОЧНИК!$L$14+'ПЛАН ЧИСТ К2'!V28*СПРАВОЧНИК!$M$14+'ПЛАН ЧИСТ К2'!W28*СПРАВОЧНИК!$N$14+'ПЛАН ЧИСТ К2'!X28*СПРАВОЧНИК!$L$15+'ПЛАН ЧИСТ К2'!Y28*СПРАВОЧНИК!$M$15+'ПЛАН ЧИСТ К2'!Z28*СПРАВОЧНИК!$N$15</f>
        <v/>
      </c>
      <c r="BA37" s="40">
        <f>('ФАКТ ЧИСТ К2'!B28)*СПРАВОЧНИК!$L$9+('ФАКТ ЧИСТ К2'!C28)*СПРАВОЧНИК!$M$9+('ФАКТ ЧИСТ К2'!D28)*СПРАВОЧНИК!$N$9+('ФАКТ ЧИСТ К2'!E28)*СПРАВОЧНИК!$O$9+('ФАКТ ЧИСТ К2'!F28)*СПРАВОЧНИК!$L$10+('ФАКТ ЧИСТ К2'!G28)*СПРАВОЧНИК!$M$10+('ФАКТ ЧИСТ К2'!H28)*СПРАВОЧНИК!$N$10+('ФАКТ ЧИСТ К2'!I28)*СПРАВОЧНИК!$O$10+('ФАКТ ЧИСТ К2'!J28)*СПРАВОЧНИК!$L$11+('ФАКТ ЧИСТ К2'!K28)*СПРАВОЧНИК!$M$11+('ФАКТ ЧИСТ К2'!L28)*СПРАВОЧНИК!$N$11+('ФАКТ ЧИСТ К2'!M28)*СПРАВОЧНИК!$L$12+('ФАКТ ЧИСТ К2'!N28)*СПРАВОЧНИК!$M$12+('ФАКТ ЧИСТ К2'!O28)*СПРАВОЧНИК!$N$12+('ФАКТ ЧИСТ К2'!P28)*СПРАВОЧНИК!$O$12+('ФАКТ ЧИСТ К2'!Q28)*СПРАВОЧНИК!$L$13+('ФАКТ ЧИСТ К2'!R28)*СПРАВОЧНИК!$M$13+('ФАКТ ЧИСТ К2'!S28)*СПРАВОЧНИК!$N$13+('ФАКТ ЧИСТ К2'!T28)*СПРАВОЧНИК!$O$13+('ФАКТ ЧИСТ К2'!U28)*СПРАВОЧНИК!$L$14+('ФАКТ ЧИСТ К2'!V28)*СПРАВОЧНИК!$M$14+('ФАКТ ЧИСТ К2'!W28)*СПРАВОЧНИК!$N$14+('ФАКТ ЧИСТ К2'!X28)*СПРАВОЧНИК!$L$15+('ФАКТ ЧИСТ К2'!Y28)*СПРАВОЧНИК!$M$15+('ФАКТ ЧИСТ К2'!Z28)*СПРАВОЧНИК!$N$15</f>
        <v/>
      </c>
      <c r="BE37" s="18">
        <f>BE36+7</f>
        <v/>
      </c>
      <c r="BF37" s="37">
        <f>СПРАВОЧНИК!$E$9*('ПЛАН ЧЕРН К3'!B28*СПРАВОЧНИК!$H$9+'ПЛАН ЧЕРН К3'!C28*СПРАВОЧНИК!$I$9+'ПЛАН ЧЕРН К3'!D28*СПРАВОЧНИК!$J$9)+СПРАВОЧНИК!$E$10*('ПЛАН ЧЕРН К3'!E28*СПРАВОЧНИК!$H$10+'ПЛАН ЧЕРН К3'!F28*СПРАВОЧНИК!$I$10+'ПЛАН ЧЕРН К3'!G28*СПРАВОЧНИК!$J$10)+СПРАВОЧНИК!$E$11*('ПЛАН ЧЕРН К3'!H28*СПРАВОЧНИК!$H$11+'ПЛАН ЧЕРН К3'!I28*СПРАВОЧНИК!$I$11+'ПЛАН ЧЕРН К3'!J28*СПРАВОЧНИК!$J$11)+СПРАВОЧНИК!$E$12*('ПЛАН ЧЕРН К3'!K28*СПРАВОЧНИК!$H$12+'ПЛАН ЧЕРН К3'!L28*СПРАВОЧНИК!$I$12+'ПЛАН ЧЕРН К3'!M28*СПРАВОЧНИК!$J$12)+СПРАВОЧНИК!$E$13*('ПЛАН ЧЕРН К3'!N28*СПРАВОЧНИК!$H$13+'ПЛАН ЧЕРН К3'!O28*СПРАВОЧНИК!$I$13+'ПЛАН ЧЕРН К3'!P28*СПРАВОЧНИК!$J$13)+СПРАВОЧНИК!$E$14*('ПЛАН ЧЕРН К3'!Q28*СПРАВОЧНИК!$H$14+'ПЛАН ЧЕРН К3'!R28*СПРАВОЧНИК!$I$14+'ПЛАН ЧЕРН К3'!S28*СПРАВОЧНИК!$J$14)+СПРАВОЧНИК!$E$15*('ПЛАН ЧЕРН К3'!T28*СПРАВОЧНИК!$H$15+'ПЛАН ЧЕРН К3'!U28*СПРАВОЧНИК!$I$15+'ПЛАН ЧЕРН К3'!V28*СПРАВОЧНИК!$J$15)+СПРАВОЧНИК!$F$9*('ПЛАН ЧИСТ К3'!B28*СПРАВОЧНИК!$L$9+'ПЛАН ЧИСТ К3'!C28*СПРАВОЧНИК!$M$9+'ПЛАН ЧИСТ К3'!D28*СПРАВОЧНИК!$N$9+'ПЛАН ЧИСТ К3'!E28*СПРАВОЧНИК!$O$9)+СПРАВОЧНИК!$F$10*('ПЛАН ЧИСТ К3'!F28*СПРАВОЧНИК!$L$10+'ПЛАН ЧИСТ К3'!G28*СПРАВОЧНИК!$M$10+'ПЛАН ЧИСТ К3'!H28*СПРАВОЧНИК!$N$10+'ПЛАН ЧИСТ К3'!I28*СПРАВОЧНИК!$O$10)+СПРАВОЧНИК!$F$11*('ПЛАН ЧИСТ К3'!J28*СПРАВОЧНИК!$L$11+'ПЛАН ЧИСТ К3'!K28*СПРАВОЧНИК!$M$11+'ПЛАН ЧИСТ К3'!L28*СПРАВОЧНИК!$N$11)+СПРАВОЧНИК!$F$12*('ПЛАН ЧИСТ К3'!M28*СПРАВОЧНИК!$L$12+'ПЛАН ЧИСТ К3'!N28*СПРАВОЧНИК!$M$12+'ПЛАН ЧИСТ К3'!O28*СПРАВОЧНИК!$N$12+'ПЛАН ЧИСТ К3'!P28*СПРАВОЧНИК!$O$12)+СПРАВОЧНИК!$F$13*('ПЛАН ЧИСТ К3'!Q28*СПРАВОЧНИК!$L$13+'ПЛАН ЧИСТ К3'!R28*СПРАВОЧНИК!$M$13+'ПЛАН ЧИСТ К3'!S28*СПРАВОЧНИК!$N$13+'ПЛАН ЧИСТ К3'!T28*СПРАВОЧНИК!$O$13)+СПРАВОЧНИК!$F$14*('ПЛАН ЧИСТ К3'!U28*СПРАВОЧНИК!$L$14+'ПЛАН ЧИСТ К3'!V28*СПРАВОЧНИК!$M$14+'ПЛАН ЧИСТ К3'!W28*СПРАВОЧНИК!$N$14)+СПРАВОЧНИК!$F$15*('ПЛАН ЧИСТ К3'!X28*СПРАВОЧНИК!$L$15+'ПЛАН ЧИСТ К3'!Y28*СПРАВОЧНИК!$M$15+'ПЛАН ЧИСТ К3'!Z28*СПРАВОЧНИК!$N$15)</f>
        <v/>
      </c>
      <c r="BG37" s="40">
        <f>СПРАВОЧНИК!$E$9*(('ФАКТ ЧЕРН К3'!B28)*СПРАВОЧНИК!$H$9+('ФАКТ ЧЕРН К3'!C28)*СПРАВОЧНИК!$I$9+('ФАКТ ЧЕРН К3'!D28)*СПРАВОЧНИК!$J$9)+СПРАВОЧНИК!$E$10*(('ФАКТ ЧЕРН К3'!E28)*СПРАВОЧНИК!$H$10+('ФАКТ ЧЕРН К3'!F28)*СПРАВОЧНИК!$I$10+('ФАКТ ЧЕРН К3'!G28)*СПРАВОЧНИК!$J$10)+СПРАВОЧНИК!$E$11*(('ФАКТ ЧЕРН К3'!H28)*СПРАВОЧНИК!$H$11+('ФАКТ ЧЕРН К3'!I28)*СПРАВОЧНИК!$I$11+('ФАКТ ЧЕРН К3'!J28)*СПРАВОЧНИК!$J$11)+СПРАВОЧНИК!$E$12*(('ФАКТ ЧЕРН К3'!K28)*СПРАВОЧНИК!$H$12+('ФАКТ ЧЕРН К3'!L28)*СПРАВОЧНИК!$I$12+('ФАКТ ЧЕРН К3'!M28)*СПРАВОЧНИК!$J$12)+СПРАВОЧНИК!$E$13*(('ФАКТ ЧЕРН К3'!N28)*СПРАВОЧНИК!$H$13+('ФАКТ ЧЕРН К3'!O28)*СПРАВОЧНИК!$I$13+('ФАКТ ЧЕРН К3'!P28)*СПРАВОЧНИК!$J$13)+СПРАВОЧНИК!$E$14*(('ФАКТ ЧЕРН К3'!Q28)*СПРАВОЧНИК!$H$14+('ФАКТ ЧЕРН К3'!R28)*СПРАВОЧНИК!$I$14+('ФАКТ ЧЕРН К3'!S28)*СПРАВОЧНИК!$J$14)+СПРАВОЧНИК!$E$15*(('ФАКТ ЧЕРН К3'!T28)*СПРАВОЧНИК!$H$15+('ФАКТ ЧЕРН К3'!U28)*СПРАВОЧНИК!$I$15+('ФАКТ ЧЕРН К3'!V28)*СПРАВОЧНИК!$J$15)+СПРАВОЧНИК!$F$9*(('ФАКТ ЧИСТ К3'!B28)*СПРАВОЧНИК!$L$9+('ФАКТ ЧИСТ К3'!C28)*СПРАВОЧНИК!$M$9+('ФАКТ ЧИСТ К3'!D28)*СПРАВОЧНИК!$N$9+('ФАКТ ЧИСТ К3'!E28)*СПРАВОЧНИК!$O$9)+СПРАВОЧНИК!$F$10*(('ФАКТ ЧИСТ К3'!F28)*СПРАВОЧНИК!$L$10+('ФАКТ ЧИСТ К3'!G28)*СПРАВОЧНИК!$M$10+('ФАКТ ЧИСТ К3'!H28)*СПРАВОЧНИК!$N$10+('ФАКТ ЧИСТ К3'!I28)*СПРАВОЧНИК!$O$10)+СПРАВОЧНИК!$F$11*(('ФАКТ ЧИСТ К3'!J28)*СПРАВОЧНИК!$L$11+('ФАКТ ЧИСТ К3'!K28)*СПРАВОЧНИК!$M$11+('ФАКТ ЧИСТ К3'!L28)*СПРАВОЧНИК!$N$11)+СПРАВОЧНИК!$F$12*(('ФАКТ ЧИСТ К3'!M28)*СПРАВОЧНИК!$L$12+('ФАКТ ЧИСТ К3'!N28)*СПРАВОЧНИК!$M$12+('ФАКТ ЧИСТ К3'!O28)*СПРАВОЧНИК!$N$12+('ФАКТ ЧИСТ К3'!P28)*СПРАВОЧНИК!$O$12)+СПРАВОЧНИК!$F$13*(('ФАКТ ЧИСТ К3'!Q28)*СПРАВОЧНИК!$L$13+('ФАКТ ЧИСТ К3'!R28)*СПРАВОЧНИК!$M$13+('ФАКТ ЧИСТ К3'!S28)*СПРАВОЧНИК!$N$13+('ФАКТ ЧИСТ К3'!T28)*СПРАВОЧНИК!$O$13)+СПРАВОЧНИК!$F$14*(('ФАКТ ЧИСТ К3'!U28)*СПРАВОЧНИК!$L$14+('ФАКТ ЧИСТ К3'!V28)*СПРАВОЧНИК!$M$14+('ФАКТ ЧИСТ К3'!W28)*СПРАВОЧНИК!$N$14)+СПРАВОЧНИК!$F$15*(('ФАКТ ЧИСТ К3'!X28)*СПРАВОЧНИК!$L$15+('ФАКТ ЧИСТ К3'!Y28)*СПРАВОЧНИК!$M$15+('ФАКТ ЧИСТ К3'!Z28)*СПРАВОЧНИК!$N$15)</f>
        <v/>
      </c>
      <c r="BK37" s="18">
        <f>BK36+7</f>
        <v/>
      </c>
      <c r="BL37" s="37">
        <f>'ПЛАН ЧЕРН К3'!B28*СПРАВОЧНИК!$H$9+'ПЛАН ЧЕРН К3'!C28*СПРАВОЧНИК!$I$9+'ПЛАН ЧЕРН К3'!D28*СПРАВОЧНИК!$J$9+'ПЛАН ЧЕРН К3'!E28*СПРАВОЧНИК!$H$10+'ПЛАН ЧЕРН К3'!F28*СПРАВОЧНИК!$I$10+'ПЛАН ЧЕРН К3'!G28*СПРАВОЧНИК!$J$10+'ПЛАН ЧЕРН К3'!H28*СПРАВОЧНИК!$H$11+'ПЛАН ЧЕРН К3'!I28*СПРАВОЧНИК!$I$11+'ПЛАН ЧЕРН К3'!J28*СПРАВОЧНИК!$J$11+'ПЛАН ЧЕРН К3'!K28*СПРАВОЧНИК!$H$12+'ПЛАН ЧЕРН К3'!L28*СПРАВОЧНИК!$I$12+'ПЛАН ЧЕРН К3'!M28*СПРАВОЧНИК!$J$12+'ПЛАН ЧЕРН К3'!N28*СПРАВОЧНИК!$H$13+'ПЛАН ЧЕРН К3'!O28*СПРАВОЧНИК!$I$13+'ПЛАН ЧЕРН К3'!P28*СПРАВОЧНИК!$J$13+'ПЛАН ЧЕРН К3'!Q28*СПРАВОЧНИК!$H$14+'ПЛАН ЧЕРН К3'!R28*СПРАВОЧНИК!$I$14+'ПЛАН ЧЕРН К3'!S28*СПРАВОЧНИК!$J$14+'ПЛАН ЧЕРН К3'!T28*СПРАВОЧНИК!$H$15+'ПЛАН ЧЕРН К3'!U28*СПРАВОЧНИК!$I$15+'ПЛАН ЧЕРН К3'!V28*СПРАВОЧНИК!$J$15</f>
        <v/>
      </c>
      <c r="BM37" s="40">
        <f>('ФАКТ ЧЕРН К3'!B28)*СПРАВОЧНИК!$H$9+('ФАКТ ЧЕРН К3'!C28)*СПРАВОЧНИК!$I$9+('ФАКТ ЧЕРН К3'!D28)*СПРАВОЧНИК!$J$9+('ФАКТ ЧЕРН К3'!E28)*СПРАВОЧНИК!$H$10+('ФАКТ ЧЕРН К3'!F28)*СПРАВОЧНИК!$I$10+('ФАКТ ЧЕРН К3'!G28)*СПРАВОЧНИК!$J$10+('ФАКТ ЧЕРН К3'!H28)*СПРАВОЧНИК!$H$11+('ФАКТ ЧЕРН К3'!I28)*СПРАВОЧНИК!$I$11+('ФАКТ ЧЕРН К3'!J28)*СПРАВОЧНИК!$J$11+('ФАКТ ЧЕРН К3'!K28)*СПРАВОЧНИК!$H$12+('ФАКТ ЧЕРН К3'!L28)*СПРАВОЧНИК!$I$12+('ФАКТ ЧЕРН К3'!M28)*СПРАВОЧНИК!$J$12+('ФАКТ ЧЕРН К3'!N28)*СПРАВОЧНИК!$H$13+('ФАКТ ЧЕРН К3'!O28)*СПРАВОЧНИК!$I$13+('ФАКТ ЧЕРН К3'!P28)*СПРАВОЧНИК!$J$13+('ФАКТ ЧЕРН К3'!Q28)*СПРАВОЧНИК!$H$14+('ФАКТ ЧЕРН К3'!R28)*СПРАВОЧНИК!$I$14+('ФАКТ ЧЕРН К3'!S28)*СПРАВОЧНИК!$J$14+('ФАКТ ЧЕРН К3'!T28)*СПРАВОЧНИК!$H$15+('ФАКТ ЧЕРН К3'!U28)*СПРАВОЧНИК!$I$15+('ФАКТ ЧЕРН К3'!V28)*СПРАВОЧНИК!$J$15</f>
        <v/>
      </c>
      <c r="BQ37" s="18">
        <f>BQ36+7</f>
        <v/>
      </c>
      <c r="BR37" s="37">
        <f>'ПЛАН ЧИСТ К3'!B28*СПРАВОЧНИК!$L$9+'ПЛАН ЧИСТ К3'!C28*СПРАВОЧНИК!$M$9+'ПЛАН ЧИСТ К3'!D28*СПРАВОЧНИК!$N$9+'ПЛАН ЧИСТ К3'!E28*СПРАВОЧНИК!$O$9+'ПЛАН ЧИСТ К3'!F28*СПРАВОЧНИК!$L$10+'ПЛАН ЧИСТ К3'!G28*СПРАВОЧНИК!$M$10+'ПЛАН ЧИСТ К3'!H28*СПРАВОЧНИК!$N$10+'ПЛАН ЧИСТ К3'!I28*СПРАВОЧНИК!$O$10+'ПЛАН ЧИСТ К3'!J28*СПРАВОЧНИК!$L$11+'ПЛАН ЧИСТ К3'!K28*СПРАВОЧНИК!$M$11+'ПЛАН ЧИСТ К3'!L28*СПРАВОЧНИК!$N$11+'ПЛАН ЧИСТ К3'!M28*СПРАВОЧНИК!$L$12+'ПЛАН ЧИСТ К3'!N28*СПРАВОЧНИК!$M$12+'ПЛАН ЧИСТ К3'!O28*СПРАВОЧНИК!$N$12+'ПЛАН ЧИСТ К3'!P28*СПРАВОЧНИК!$O$12+'ПЛАН ЧИСТ К3'!Q28*СПРАВОЧНИК!$L$13+'ПЛАН ЧИСТ К3'!R28*СПРАВОЧНИК!$M$13+'ПЛАН ЧИСТ К3'!S28*СПРАВОЧНИК!$N$13+'ПЛАН ЧИСТ К3'!T28*СПРАВОЧНИК!$O$13+'ПЛАН ЧИСТ К3'!U28*СПРАВОЧНИК!$L$14+'ПЛАН ЧИСТ К3'!V28*СПРАВОЧНИК!$M$14+'ПЛАН ЧИСТ К3'!W28*СПРАВОЧНИК!$N$14+'ПЛАН ЧИСТ К3'!X28*СПРАВОЧНИК!$L$15+'ПЛАН ЧИСТ К3'!Y28*СПРАВОЧНИК!$M$15+'ПЛАН ЧИСТ К3'!Z28*СПРАВОЧНИК!$N$15</f>
        <v/>
      </c>
      <c r="BS37" s="40">
        <f>('ФАКТ ЧИСТ К3'!B28)*СПРАВОЧНИК!$L$9+('ФАКТ ЧИСТ К3'!C28)*СПРАВОЧНИК!$M$9+('ФАКТ ЧИСТ К3'!D28)*СПРАВОЧНИК!$N$9+('ФАКТ ЧИСТ К3'!E28)*СПРАВОЧНИК!$O$9+('ФАКТ ЧИСТ К3'!F28)*СПРАВОЧНИК!$L$10+('ФАКТ ЧИСТ К3'!G28)*СПРАВОЧНИК!$M$10+('ФАКТ ЧИСТ К3'!H28)*СПРАВОЧНИК!$N$10+('ФАКТ ЧИСТ К3'!I28)*СПРАВОЧНИК!$O$10+('ФАКТ ЧИСТ К3'!J28)*СПРАВОЧНИК!$L$11+('ФАКТ ЧИСТ К3'!K28)*СПРАВОЧНИК!$M$11+('ФАКТ ЧИСТ К3'!L28)*СПРАВОЧНИК!$N$11+('ФАКТ ЧИСТ К3'!M28)*СПРАВОЧНИК!$L$12+('ФАКТ ЧИСТ К3'!N28)*СПРАВОЧНИК!$M$12+('ФАКТ ЧИСТ К3'!O28)*СПРАВОЧНИК!$N$12+('ФАКТ ЧИСТ К3'!P28)*СПРАВОЧНИК!$O$12+('ФАКТ ЧИСТ К3'!Q28)*СПРАВОЧНИК!$L$13+('ФАКТ ЧИСТ К3'!R28)*СПРАВОЧНИК!$M$13+('ФАКТ ЧИСТ К3'!S28)*СПРАВОЧНИК!$N$13+('ФАКТ ЧИСТ К3'!T28)*СПРАВОЧНИК!$O$13+('ФАКТ ЧИСТ К3'!U28)*СПРАВОЧНИК!$L$14+('ФАКТ ЧИСТ К3'!V28)*СПРАВОЧНИК!$M$14+('ФАКТ ЧИСТ К3'!W28)*СПРАВОЧНИК!$N$14+('ФАКТ ЧИСТ К3'!X28)*СПРАВОЧНИК!$L$15+('ФАКТ ЧИСТ К3'!Y28)*СПРАВОЧНИК!$M$15+('ФАКТ ЧИСТ К3'!Z28)*СПРАВОЧНИК!$N$15</f>
        <v/>
      </c>
      <c r="BW37" s="18">
        <f>BW36+7</f>
        <v/>
      </c>
      <c r="BX37" s="37">
        <f>V37+AN37+BF37</f>
        <v/>
      </c>
      <c r="BY37" s="40">
        <f>W37+AO37+BG37</f>
        <v/>
      </c>
      <c r="CC37" s="18">
        <f>CC36+7</f>
        <v/>
      </c>
      <c r="CD37" s="37">
        <f>AB37+AT37+BL37</f>
        <v/>
      </c>
      <c r="CE37" s="40">
        <f>AC37+AU37+BM37</f>
        <v/>
      </c>
      <c r="CI37" s="18">
        <f>CI36+7</f>
        <v/>
      </c>
      <c r="CJ37" s="37">
        <f>AH37+AZ37+BR37</f>
        <v/>
      </c>
      <c r="CK37" s="40">
        <f>AI37+BA37+BS37</f>
        <v/>
      </c>
      <c r="CO37" s="18">
        <f>CO36+7</f>
        <v/>
      </c>
      <c r="CP37" s="37">
        <f>D37+BX37</f>
        <v/>
      </c>
      <c r="CQ37" s="40">
        <f>E37+BY37</f>
        <v/>
      </c>
      <c r="CU37" s="18">
        <f>CU36+7</f>
        <v/>
      </c>
      <c r="CV37" s="37">
        <f>J37+CD37</f>
        <v/>
      </c>
      <c r="CW37" s="40">
        <f>K37+CE37</f>
        <v/>
      </c>
      <c r="DA37" s="18">
        <f>DA36+7</f>
        <v/>
      </c>
      <c r="DB37" s="37">
        <f>P37+CJ37</f>
        <v/>
      </c>
      <c r="DC37" s="40">
        <f>Q37+CK37</f>
        <v/>
      </c>
    </row>
    <row r="38">
      <c r="C38" s="18">
        <f>C37+7</f>
        <v/>
      </c>
      <c r="D38" s="37">
        <f>СПРАВОЧНИК!$E$3*('ПЛАН ЧЕРН ПОДЗЕМ'!B29*СПРАВОЧНИК!$H$3+'ПЛАН ЧЕРН ПОДЗЕМ'!C29*СПРАВОЧНИК!$I$3+'ПЛАН ЧЕРН ПОДЗЕМ'!D29*СПРАВОЧНИК!$J$3)+СПРАВОЧНИК!$E$4*('ПЛАН ЧЕРН ПОДЗЕМ'!E29*СПРАВОЧНИК!$H$4+'ПЛАН ЧЕРН ПОДЗЕМ'!F29*СПРАВОЧНИК!$I$4+'ПЛАН ЧЕРН ПОДЗЕМ'!G29*СПРАВОЧНИК!$J$4)+СПРАВОЧНИК!$E$5*('ПЛАН ЧЕРН ПОДЗЕМ'!H29*СПРАВОЧНИК!$H$5+'ПЛАН ЧЕРН ПОДЗЕМ'!I29*СПРАВОЧНИК!$I$5+'ПЛАН ЧЕРН ПОДЗЕМ'!J29*СПРАВОЧНИК!$J$5)+СПРАВОЧНИК!$E$6*('ПЛАН ЧЕРН ПОДЗЕМ'!K29*СПРАВОЧНИК!$H$6+'ПЛАН ЧЕРН ПОДЗЕМ'!L29*СПРАВОЧНИК!$I$6+'ПЛАН ЧЕРН ПОДЗЕМ'!M29*СПРАВОЧНИК!$J$6)+СПРАВОЧНИК!$E$7*('ПЛАН ЧЕРН ПОДЗЕМ'!N29*СПРАВОЧНИК!$H$7+'ПЛАН ЧЕРН ПОДЗЕМ'!O29*СПРАВОЧНИК!$I$7+'ПЛАН ЧЕРН ПОДЗЕМ'!P29*СПРАВОЧНИК!$J$7)+СПРАВОЧНИК!$E$8*('ПЛАН ЧЕРН ПОДЗЕМ'!Q29*СПРАВОЧНИК!$H$8+'ПЛАН ЧЕРН ПОДЗЕМ'!R29*СПРАВОЧНИК!$I$8+'ПЛАН ЧЕРН ПОДЗЕМ'!S29*СПРАВОЧНИК!$J$8)+СПРАВОЧНИК!$F$3*('ПЛАН ЧИСТ ПОДЗЕМ'!B29*СПРАВОЧНИК!$L$3+'ПЛАН ЧИСТ ПОДЗЕМ'!C29*СПРАВОЧНИК!$M$3+'ПЛАН ЧИСТ ПОДЗЕМ'!D29*СПРАВОЧНИК!$N$3+'ПЛАН ЧИСТ ПОДЗЕМ'!E29*СПРАВОЧНИК!$O$3)+СПРАВОЧНИК!$F$4*('ПЛАН ЧИСТ ПОДЗЕМ'!F29*СПРАВОЧНИК!$L$4+'ПЛАН ЧИСТ ПОДЗЕМ'!G29*СПРАВОЧНИК!$M$4+'ПЛАН ЧИСТ ПОДЗЕМ'!H29*СПРАВОЧНИК!$N$4+'ПЛАН ЧИСТ ПОДЗЕМ'!I29*СПРАВОЧНИК!$O$4)+СПРАВОЧНИК!$F$5*('ПЛАН ЧИСТ ПОДЗЕМ'!J29*СПРАВОЧНИК!$L$5+'ПЛАН ЧИСТ ПОДЗЕМ'!K29*СПРАВОЧНИК!$M$5+'ПЛАН ЧИСТ ПОДЗЕМ'!L29*СПРАВОЧНИК!$N$5)+СПРАВОЧНИК!$F$6*('ПЛАН ЧИСТ ПОДЗЕМ'!M29*СПРАВОЧНИК!$L$6+'ПЛАН ЧИСТ ПОДЗЕМ'!N29*СПРАВОЧНИК!$M$6+'ПЛАН ЧИСТ ПОДЗЕМ'!O29*СПРАВОЧНИК!$N$6+'ПЛАН ЧИСТ ПОДЗЕМ'!P29*СПРАВОЧНИК!$O$6)+СПРАВОЧНИК!$F$7*('ПЛАН ЧИСТ ПОДЗЕМ'!Q29*СПРАВОЧНИК!$L$7+'ПЛАН ЧИСТ ПОДЗЕМ'!R29*СПРАВОЧНИК!$M$7+'ПЛАН ЧИСТ ПОДЗЕМ'!S29*СПРАВОЧНИК!$N$7+'ПЛАН ЧИСТ ПОДЗЕМ'!T29*СПРАВОЧНИК!$O$7)+СПРАВОЧНИК!$F$8*('ПЛАН ЧИСТ ПОДЗЕМ'!U29*СПРАВОЧНИК!$L$8+'ПЛАН ЧИСТ ПОДЗЕМ'!V29*СПРАВОЧНИК!$M$8+'ПЛАН ЧИСТ ПОДЗЕМ'!W29*СПРАВОЧНИК!$N$8)</f>
        <v/>
      </c>
      <c r="E38" s="40">
        <f>СПРАВОЧНИК!$E$3*(('ФАКТ ЧЕРН ПОДЗЕМ'!B29)*СПРАВОЧНИК!$H$3+('ФАКТ ЧЕРН ПОДЗЕМ'!C29)*СПРАВОЧНИК!$I$3+('ФАКТ ЧЕРН ПОДЗЕМ'!D29)*СПРАВОЧНИК!$J$3)+СПРАВОЧНИК!$E$4*(('ФАКТ ЧЕРН ПОДЗЕМ'!E29)*СПРАВОЧНИК!$H$4+('ФАКТ ЧЕРН ПОДЗЕМ'!F29)*СПРАВОЧНИК!$I$4+('ФАКТ ЧЕРН ПОДЗЕМ'!G29)*СПРАВОЧНИК!$J$4)+СПРАВОЧНИК!$E$5*(('ФАКТ ЧЕРН ПОДЗЕМ'!H29)*СПРАВОЧНИК!$H$5+('ФАКТ ЧЕРН ПОДЗЕМ'!I29)*СПРАВОЧНИК!$I$5+('ФАКТ ЧЕРН ПОДЗЕМ'!J29)*СПРАВОЧНИК!$J$5)+СПРАВОЧНИК!$E$6*(('ФАКТ ЧЕРН ПОДЗЕМ'!K29)*СПРАВОЧНИК!$H$6+('ФАКТ ЧЕРН ПОДЗЕМ'!L29)*СПРАВОЧНИК!$I$6+('ФАКТ ЧЕРН ПОДЗЕМ'!M29)*СПРАВОЧНИК!$J$6)+СПРАВОЧНИК!$E$7*(('ФАКТ ЧЕРН ПОДЗЕМ'!N29)*СПРАВОЧНИК!$H$7+('ФАКТ ЧЕРН ПОДЗЕМ'!O29)*СПРАВОЧНИК!$I$7+('ФАКТ ЧЕРН ПОДЗЕМ'!P29)*СПРАВОЧНИК!$J$7)+СПРАВОЧНИК!$E$8*(('ФАКТ ЧЕРН ПОДЗЕМ'!Q29)*СПРАВОЧНИК!$H$8+('ФАКТ ЧЕРН ПОДЗЕМ'!R29)*СПРАВОЧНИК!$I$8+('ФАКТ ЧЕРН ПОДЗЕМ'!S29)*СПРАВОЧНИК!$J$8)+СПРАВОЧНИК!$F$3*(('ФАКТ ЧИСТ ПОДЗЕМ'!B29)*СПРАВОЧНИК!$L$3+('ФАКТ ЧИСТ ПОДЗЕМ'!C29)*СПРАВОЧНИК!$M$3+('ФАКТ ЧИСТ ПОДЗЕМ'!D29)*СПРАВОЧНИК!$N$3+('ФАКТ ЧИСТ ПОДЗЕМ'!E29)*СПРАВОЧНИК!$O$3)+СПРАВОЧНИК!$F$4*(('ФАКТ ЧИСТ ПОДЗЕМ'!F29)*СПРАВОЧНИК!$L$4+('ФАКТ ЧИСТ ПОДЗЕМ'!G29)*СПРАВОЧНИК!$M$4+('ФАКТ ЧИСТ ПОДЗЕМ'!H29)*СПРАВОЧНИК!$N$4+('ФАКТ ЧИСТ ПОДЗЕМ'!I29)*СПРАВОЧНИК!$O$4)+СПРАВОЧНИК!$F$5*(('ФАКТ ЧИСТ ПОДЗЕМ'!J29)*СПРАВОЧНИК!$L$5+('ФАКТ ЧИСТ ПОДЗЕМ'!K29)*СПРАВОЧНИК!$M$5+('ФАКТ ЧИСТ ПОДЗЕМ'!L29)*СПРАВОЧНИК!$N$5)+СПРАВОЧНИК!$F$6*(('ФАКТ ЧИСТ ПОДЗЕМ'!M29)*СПРАВОЧНИК!$L$6+('ФАКТ ЧИСТ ПОДЗЕМ'!N29)*СПРАВОЧНИК!$M$6+('ФАКТ ЧИСТ ПОДЗЕМ'!O29)*СПРАВОЧНИК!$N$6+('ФАКТ ЧИСТ ПОДЗЕМ'!P29)*СПРАВОЧНИК!$O$6)+СПРАВОЧНИК!$F$7*(('ФАКТ ЧИСТ ПОДЗЕМ'!Q29)*СПРАВОЧНИК!$L$7+('ФАКТ ЧИСТ ПОДЗЕМ'!R29)*СПРАВОЧНИК!$M$7+('ФАКТ ЧИСТ ПОДЗЕМ'!S29)*СПРАВОЧНИК!$N$7+('ФАКТ ЧИСТ ПОДЗЕМ'!T29)*СПРАВОЧНИК!$O$7)+СПРАВОЧНИК!$F$8*(('ФАКТ ЧИСТ ПОДЗЕМ'!U29)*СПРАВОЧНИК!$L$8+('ФАКТ ЧИСТ ПОДЗЕМ'!V29)*СПРАВОЧНИК!$M$8+('ФАКТ ЧИСТ ПОДЗЕМ'!W29)*СПРАВОЧНИК!$N$8)</f>
        <v/>
      </c>
      <c r="I38" s="18">
        <f>I37+7</f>
        <v/>
      </c>
      <c r="J38" s="37">
        <f>'ПЛАН ЧЕРН ПОДЗЕМ'!B29*СПРАВОЧНИК!$H$3+'ПЛАН ЧЕРН ПОДЗЕМ'!C29*СПРАВОЧНИК!$I$3+'ПЛАН ЧЕРН ПОДЗЕМ'!D29*СПРАВОЧНИК!$J$3+'ПЛАН ЧЕРН ПОДЗЕМ'!E29*СПРАВОЧНИК!$H$4+'ПЛАН ЧЕРН ПОДЗЕМ'!F29*СПРАВОЧНИК!$I$4+'ПЛАН ЧЕРН ПОДЗЕМ'!G29*СПРАВОЧНИК!$J$4+'ПЛАН ЧЕРН ПОДЗЕМ'!H29*СПРАВОЧНИК!$H$5+'ПЛАН ЧЕРН ПОДЗЕМ'!I29*СПРАВОЧНИК!$I$5+'ПЛАН ЧЕРН ПОДЗЕМ'!J29*СПРАВОЧНИК!$J$5+'ПЛАН ЧЕРН ПОДЗЕМ'!K29*СПРАВОЧНИК!$H$6+'ПЛАН ЧЕРН ПОДЗЕМ'!L29*СПРАВОЧНИК!$I$6+'ПЛАН ЧЕРН ПОДЗЕМ'!M29*СПРАВОЧНИК!$J$6+'ПЛАН ЧЕРН ПОДЗЕМ'!N29*СПРАВОЧНИК!$H$7+'ПЛАН ЧЕРН ПОДЗЕМ'!O29*СПРАВОЧНИК!$I$7+'ПЛАН ЧЕРН ПОДЗЕМ'!P29*СПРАВОЧНИК!$J$7+'ПЛАН ЧЕРН ПОДЗЕМ'!Q29*СПРАВОЧНИК!$H$8+'ПЛАН ЧЕРН ПОДЗЕМ'!R29*СПРАВОЧНИК!$I$8+'ПЛАН ЧЕРН ПОДЗЕМ'!S29*СПРАВОЧНИК!$J$8</f>
        <v/>
      </c>
      <c r="K38" s="40">
        <f>('ФАКТ ЧЕРН ПОДЗЕМ'!B29)*СПРАВОЧНИК!$H$3+('ФАКТ ЧЕРН ПОДЗЕМ'!C29)*СПРАВОЧНИК!$I$3+('ФАКТ ЧЕРН ПОДЗЕМ'!D29)*СПРАВОЧНИК!$J$3+('ФАКТ ЧЕРН ПОДЗЕМ'!E29)*СПРАВОЧНИК!$H$4+('ФАКТ ЧЕРН ПОДЗЕМ'!F29)*СПРАВОЧНИК!$I$4+('ФАКТ ЧЕРН ПОДЗЕМ'!G29)*СПРАВОЧНИК!$J$4+('ФАКТ ЧЕРН ПОДЗЕМ'!H29)*СПРАВОЧНИК!$H$5+('ФАКТ ЧЕРН ПОДЗЕМ'!I29)*СПРАВОЧНИК!$I$5+('ФАКТ ЧЕРН ПОДЗЕМ'!J29)*СПРАВОЧНИК!$J$5+('ФАКТ ЧЕРН ПОДЗЕМ'!K29)*СПРАВОЧНИК!$H$6+('ФАКТ ЧЕРН ПОДЗЕМ'!L29)*СПРАВОЧНИК!$I$6+('ФАКТ ЧЕРН ПОДЗЕМ'!M29)*СПРАВОЧНИК!$J$6+('ФАКТ ЧЕРН ПОДЗЕМ'!N29)*СПРАВОЧНИК!$H$7+('ФАКТ ЧЕРН ПОДЗЕМ'!O29)*СПРАВОЧНИК!$I$7+('ФАКТ ЧЕРН ПОДЗЕМ'!P29)*СПРАВОЧНИК!$J$7+('ФАКТ ЧЕРН ПОДЗЕМ'!Q29)*СПРАВОЧНИК!$H$8+('ФАКТ ЧЕРН ПОДЗЕМ'!R29)*СПРАВОЧНИК!$I$8+('ФАКТ ЧЕРН ПОДЗЕМ'!S29)*СПРАВОЧНИК!$J$8</f>
        <v/>
      </c>
      <c r="O38" s="18">
        <f>O37+7</f>
        <v/>
      </c>
      <c r="P38" s="37">
        <f>'ПЛАН ЧИСТ ПОДЗЕМ'!B29*СПРАВОЧНИК!$L$3+'ПЛАН ЧИСТ ПОДЗЕМ'!C29*СПРАВОЧНИК!$M$3+'ПЛАН ЧИСТ ПОДЗЕМ'!D29*СПРАВОЧНИК!$N$3+'ПЛАН ЧИСТ ПОДЗЕМ'!E29*СПРАВОЧНИК!$O$3+'ПЛАН ЧИСТ ПОДЗЕМ'!F29*СПРАВОЧНИК!$L$4+'ПЛАН ЧИСТ ПОДЗЕМ'!G29*СПРАВОЧНИК!$M$4+'ПЛАН ЧИСТ ПОДЗЕМ'!H29*СПРАВОЧНИК!$N$4+'ПЛАН ЧИСТ ПОДЗЕМ'!I29*СПРАВОЧНИК!$O$4+'ПЛАН ЧИСТ ПОДЗЕМ'!J29*СПРАВОЧНИК!$L$5+'ПЛАН ЧИСТ ПОДЗЕМ'!K29*СПРАВОЧНИК!$M$5+'ПЛАН ЧИСТ ПОДЗЕМ'!L29*СПРАВОЧНИК!$N$5+'ПЛАН ЧИСТ ПОДЗЕМ'!M29*СПРАВОЧНИК!$L$6+'ПЛАН ЧИСТ ПОДЗЕМ'!N29*СПРАВОЧНИК!$M$6+'ПЛАН ЧИСТ ПОДЗЕМ'!O29*СПРАВОЧНИК!$N$6+'ПЛАН ЧИСТ ПОДЗЕМ'!P29*СПРАВОЧНИК!$O$6+'ПЛАН ЧИСТ ПОДЗЕМ'!Q29*СПРАВОЧНИК!$L$7+'ПЛАН ЧИСТ ПОДЗЕМ'!R29*СПРАВОЧНИК!$M$7+'ПЛАН ЧИСТ ПОДЗЕМ'!S29*СПРАВОЧНИК!$N$7+'ПЛАН ЧИСТ ПОДЗЕМ'!T29*СПРАВОЧНИК!$O$7+'ПЛАН ЧИСТ ПОДЗЕМ'!U29*СПРАВОЧНИК!$L$8+'ПЛАН ЧИСТ ПОДЗЕМ'!V29*СПРАВОЧНИК!$M$8+'ПЛАН ЧИСТ ПОДЗЕМ'!W29*СПРАВОЧНИК!$N$8</f>
        <v/>
      </c>
      <c r="Q38" s="40">
        <f>('ФАКТ ЧИСТ ПОДЗЕМ'!B29)*СПРАВОЧНИК!$L$3+('ФАКТ ЧИСТ ПОДЗЕМ'!C29)*СПРАВОЧНИК!$M$3+('ФАКТ ЧИСТ ПОДЗЕМ'!D29)*СПРАВОЧНИК!$N$3+('ФАКТ ЧИСТ ПОДЗЕМ'!E29)*СПРАВОЧНИК!$O$3+('ФАКТ ЧИСТ ПОДЗЕМ'!F29)*СПРАВОЧНИК!$L$4+('ФАКТ ЧИСТ ПОДЗЕМ'!G29)*СПРАВОЧНИК!$M$4+('ФАКТ ЧИСТ ПОДЗЕМ'!H29)*СПРАВОЧНИК!$N$4+('ФАКТ ЧИСТ ПОДЗЕМ'!I29)*СПРАВОЧНИК!$O$4+('ФАКТ ЧИСТ ПОДЗЕМ'!J29)*СПРАВОЧНИК!$L$5+('ФАКТ ЧИСТ ПОДЗЕМ'!K29)*СПРАВОЧНИК!$M$5+('ФАКТ ЧИСТ ПОДЗЕМ'!L29)*СПРАВОЧНИК!$N$5+('ФАКТ ЧИСТ ПОДЗЕМ'!M29)*СПРАВОЧНИК!$L$6+('ФАКТ ЧИСТ ПОДЗЕМ'!N29)*СПРАВОЧНИК!$M$6+('ФАКТ ЧИСТ ПОДЗЕМ'!O29)*СПРАВОЧНИК!$N$6+('ФАКТ ЧИСТ ПОДЗЕМ'!P29)*СПРАВОЧНИК!$O$6+('ФАКТ ЧИСТ ПОДЗЕМ'!Q29)*СПРАВОЧНИК!$L$7+('ФАКТ ЧИСТ ПОДЗЕМ'!R29)*СПРАВОЧНИК!$M$7+('ФАКТ ЧИСТ ПОДЗЕМ'!S29)*СПРАВОЧНИК!$N$7+('ФАКТ ЧИСТ ПОДЗЕМ'!T29)*СПРАВОЧНИК!$O$7+('ФАКТ ЧИСТ ПОДЗЕМ'!U29)*СПРАВОЧНИК!$L$8+('ФАКТ ЧИСТ ПОДЗЕМ'!V29)*СПРАВОЧНИК!$M$8+('ФАКТ ЧИСТ ПОДЗЕМ'!W29)*СПРАВОЧНИК!$N$8</f>
        <v/>
      </c>
      <c r="U38" s="18">
        <f>U37+7</f>
        <v/>
      </c>
      <c r="V38" s="37">
        <f>СПРАВОЧНИК!$E$9*('ПЛАН ЧЕРН К1'!B29*СПРАВОЧНИК!$H$9+'ПЛАН ЧЕРН К1'!C29*СПРАВОЧНИК!$I$9+'ПЛАН ЧЕРН К1'!D29*СПРАВОЧНИК!$J$9)+СПРАВОЧНИК!$E$10*('ПЛАН ЧЕРН К1'!E29*СПРАВОЧНИК!$H$10+'ПЛАН ЧЕРН К1'!F29*СПРАВОЧНИК!$I$10+'ПЛАН ЧЕРН К1'!G29*СПРАВОЧНИК!$J$10)+СПРАВОЧНИК!$E$11*('ПЛАН ЧЕРН К1'!H29*СПРАВОЧНИК!$H$11+'ПЛАН ЧЕРН К1'!I29*СПРАВОЧНИК!$I$11+'ПЛАН ЧЕРН К1'!J29*СПРАВОЧНИК!$J$11)+СПРАВОЧНИК!$E$12*('ПЛАН ЧЕРН К1'!K29*СПРАВОЧНИК!$H$12+'ПЛАН ЧЕРН К1'!L29*СПРАВОЧНИК!$I$12+'ПЛАН ЧЕРН К1'!M29*СПРАВОЧНИК!$J$12)+СПРАВОЧНИК!$E$13*('ПЛАН ЧЕРН К1'!N29*СПРАВОЧНИК!$H$13+'ПЛАН ЧЕРН К1'!O29*СПРАВОЧНИК!$I$13+'ПЛАН ЧЕРН К1'!P29*СПРАВОЧНИК!$J$13)+СПРАВОЧНИК!$E$14*('ПЛАН ЧЕРН К1'!Q29*СПРАВОЧНИК!$H$14+'ПЛАН ЧЕРН К1'!R29*СПРАВОЧНИК!$I$14+'ПЛАН ЧЕРН К1'!S29*СПРАВОЧНИК!$J$14)+СПРАВОЧНИК!$E$15*('ПЛАН ЧЕРН К1'!T29*СПРАВОЧНИК!$H$15+'ПЛАН ЧЕРН К1'!U29*СПРАВОЧНИК!$I$15+'ПЛАН ЧЕРН К1'!V29*СПРАВОЧНИК!$J$15)+СПРАВОЧНИК!$F$9*('ПЛАН ЧИСТ К1'!B29*СПРАВОЧНИК!$L$9+'ПЛАН ЧИСТ К1'!C29*СПРАВОЧНИК!$M$9+'ПЛАН ЧИСТ К1'!D29*СПРАВОЧНИК!$N$9+'ПЛАН ЧИСТ К1'!E29*СПРАВОЧНИК!$O$9)+СПРАВОЧНИК!$F$10*('ПЛАН ЧИСТ К1'!F29*СПРАВОЧНИК!$L$10+'ПЛАН ЧИСТ К1'!G29*СПРАВОЧНИК!$M$10+'ПЛАН ЧИСТ К1'!H29*СПРАВОЧНИК!$N$10+'ПЛАН ЧИСТ К1'!I29*СПРАВОЧНИК!$O$10)+СПРАВОЧНИК!$F$11*('ПЛАН ЧИСТ К1'!J29*СПРАВОЧНИК!$L$11+'ПЛАН ЧИСТ К1'!K29*СПРАВОЧНИК!$M$11+'ПЛАН ЧИСТ К1'!L29*СПРАВОЧНИК!$N$11)+СПРАВОЧНИК!$F$12*('ПЛАН ЧИСТ К1'!M29*СПРАВОЧНИК!$L$12+'ПЛАН ЧИСТ К1'!N29*СПРАВОЧНИК!$M$12+'ПЛАН ЧИСТ К1'!O29*СПРАВОЧНИК!$N$12+'ПЛАН ЧИСТ К1'!P29*СПРАВОЧНИК!$O$12)+СПРАВОЧНИК!$F$13*('ПЛАН ЧИСТ К1'!Q29*СПРАВОЧНИК!$L$13+'ПЛАН ЧИСТ К1'!R29*СПРАВОЧНИК!$M$13+'ПЛАН ЧИСТ К1'!S29*СПРАВОЧНИК!$N$13+'ПЛАН ЧИСТ К1'!T29*СПРАВОЧНИК!$O$13)+СПРАВОЧНИК!$F$14*('ПЛАН ЧИСТ К1'!U29*СПРАВОЧНИК!$L$14+'ПЛАН ЧИСТ К1'!V29*СПРАВОЧНИК!$M$14+'ПЛАН ЧИСТ К1'!W29*СПРАВОЧНИК!$N$14)+СПРАВОЧНИК!$F$15*('ПЛАН ЧИСТ К1'!X29*СПРАВОЧНИК!$L$15+'ПЛАН ЧИСТ К1'!Y29*СПРАВОЧНИК!$M$15+'ПЛАН ЧИСТ К1'!Z29*СПРАВОЧНИК!$N$15)</f>
        <v/>
      </c>
      <c r="W38" s="40">
        <f>СПРАВОЧНИК!$E$9*(('ФАКТ ЧЕРН К1'!B29)*СПРАВОЧНИК!$H$9+('ФАКТ ЧЕРН К1'!C29)*СПРАВОЧНИК!$I$9+('ФАКТ ЧЕРН К1'!D29)*СПРАВОЧНИК!$J$9)+СПРАВОЧНИК!$E$10*(('ФАКТ ЧЕРН К1'!E29)*СПРАВОЧНИК!$H$10+('ФАКТ ЧЕРН К1'!F29)*СПРАВОЧНИК!$I$10+('ФАКТ ЧЕРН К1'!G29)*СПРАВОЧНИК!$J$10)+СПРАВОЧНИК!$E$11*(('ФАКТ ЧЕРН К1'!H29)*СПРАВОЧНИК!$H$11+('ФАКТ ЧЕРН К1'!I29)*СПРАВОЧНИК!$I$11+('ФАКТ ЧЕРН К1'!J29)*СПРАВОЧНИК!$J$11)+СПРАВОЧНИК!$E$12*(('ФАКТ ЧЕРН К1'!K29)*СПРАВОЧНИК!$H$12+('ФАКТ ЧЕРН К1'!L29)*СПРАВОЧНИК!$I$12+('ФАКТ ЧЕРН К1'!M29)*СПРАВОЧНИК!$J$12)+СПРАВОЧНИК!$E$13*(('ФАКТ ЧЕРН К1'!N29)*СПРАВОЧНИК!$H$13+('ФАКТ ЧЕРН К1'!O29)*СПРАВОЧНИК!$I$13+('ФАКТ ЧЕРН К1'!P29)*СПРАВОЧНИК!$J$13)+СПРАВОЧНИК!$E$14*(('ФАКТ ЧЕРН К1'!Q29)*СПРАВОЧНИК!$H$14+('ФАКТ ЧЕРН К1'!R29)*СПРАВОЧНИК!$I$14+('ФАКТ ЧЕРН К1'!S29)*СПРАВОЧНИК!$J$14)+СПРАВОЧНИК!$E$15*(('ФАКТ ЧЕРН К1'!T29)*СПРАВОЧНИК!$H$15+('ФАКТ ЧЕРН К1'!U29)*СПРАВОЧНИК!$I$15+('ФАКТ ЧЕРН К1'!V29)*СПРАВОЧНИК!$J$15)+СПРАВОЧНИК!$F$9*(('ФАКТ ЧИСТ К1'!B29)*СПРАВОЧНИК!$L$9+('ФАКТ ЧИСТ К1'!C29)*СПРАВОЧНИК!$M$9+('ФАКТ ЧИСТ К1'!D29)*СПРАВОЧНИК!$N$9+('ФАКТ ЧИСТ К1'!E29)*СПРАВОЧНИК!$O$9)+СПРАВОЧНИК!$F$10*(('ФАКТ ЧИСТ К1'!F29)*СПРАВОЧНИК!$L$10+('ФАКТ ЧИСТ К1'!G29)*СПРАВОЧНИК!$M$10+('ФАКТ ЧИСТ К1'!H29)*СПРАВОЧНИК!$N$10+('ФАКТ ЧИСТ К1'!I29)*СПРАВОЧНИК!$O$10)+СПРАВОЧНИК!$F$11*(('ФАКТ ЧИСТ К1'!J29)*СПРАВОЧНИК!$L$11+('ФАКТ ЧИСТ К1'!K29)*СПРАВОЧНИК!$M$11+('ФАКТ ЧИСТ К1'!L29)*СПРАВОЧНИК!$N$11)+СПРАВОЧНИК!$F$12*(('ФАКТ ЧИСТ К1'!M29)*СПРАВОЧНИК!$L$12+('ФАКТ ЧИСТ К1'!N29)*СПРАВОЧНИК!$M$12+('ФАКТ ЧИСТ К1'!O29)*СПРАВОЧНИК!$N$12+('ФАКТ ЧИСТ К1'!P29)*СПРАВОЧНИК!$O$12)+СПРАВОЧНИК!$F$13*(('ФАКТ ЧИСТ К1'!Q29)*СПРАВОЧНИК!$L$13+('ФАКТ ЧИСТ К1'!R29)*СПРАВОЧНИК!$M$13+('ФАКТ ЧИСТ К1'!S29)*СПРАВОЧНИК!$N$13+('ФАКТ ЧИСТ К1'!T29)*СПРАВОЧНИК!$O$13)+СПРАВОЧНИК!$F$14*(('ФАКТ ЧИСТ К1'!U29)*СПРАВОЧНИК!$L$14+('ФАКТ ЧИСТ К1'!V29)*СПРАВОЧНИК!$M$14+('ФАКТ ЧИСТ К1'!W29)*СПРАВОЧНИК!$N$14)+СПРАВОЧНИК!$F$15*(('ФАКТ ЧИСТ К1'!X29)*СПРАВОЧНИК!$L$15+('ФАКТ ЧИСТ К1'!Y29)*СПРАВОЧНИК!$M$15+('ФАКТ ЧИСТ К1'!Z29)*СПРАВОЧНИК!$N$15)</f>
        <v/>
      </c>
      <c r="AA38" s="18">
        <f>AA37+7</f>
        <v/>
      </c>
      <c r="AB38" s="37">
        <f>'ПЛАН ЧЕРН К1'!B29*СПРАВОЧНИК!$H$9+'ПЛАН ЧЕРН К1'!C29*СПРАВОЧНИК!$I$9+'ПЛАН ЧЕРН К1'!D29*СПРАВОЧНИК!$J$9+'ПЛАН ЧЕРН К1'!E29*СПРАВОЧНИК!$H$10+'ПЛАН ЧЕРН К1'!F29*СПРАВОЧНИК!$I$10+'ПЛАН ЧЕРН К1'!G29*СПРАВОЧНИК!$J$10+'ПЛАН ЧЕРН К1'!H29*СПРАВОЧНИК!$H$11+'ПЛАН ЧЕРН К1'!I29*СПРАВОЧНИК!$I$11+'ПЛАН ЧЕРН К1'!J29*СПРАВОЧНИК!$J$11+'ПЛАН ЧЕРН К1'!K29*СПРАВОЧНИК!$H$12+'ПЛАН ЧЕРН К1'!L29*СПРАВОЧНИК!$I$12+'ПЛАН ЧЕРН К1'!M29*СПРАВОЧНИК!$J$12+'ПЛАН ЧЕРН К1'!N29*СПРАВОЧНИК!$H$13+'ПЛАН ЧЕРН К1'!O29*СПРАВОЧНИК!$I$13+'ПЛАН ЧЕРН К1'!P29*СПРАВОЧНИК!$J$13+'ПЛАН ЧЕРН К1'!Q29*СПРАВОЧНИК!$H$14+'ПЛАН ЧЕРН К1'!R29*СПРАВОЧНИК!$I$14+'ПЛАН ЧЕРН К1'!S29*СПРАВОЧНИК!$J$14+'ПЛАН ЧЕРН К1'!T29*СПРАВОЧНИК!$H$15+'ПЛАН ЧЕРН К1'!U29*СПРАВОЧНИК!$I$15+'ПЛАН ЧЕРН К1'!V29*СПРАВОЧНИК!$J$15</f>
        <v/>
      </c>
      <c r="AC38" s="40">
        <f>('ФАКТ ЧЕРН К1'!B29)*СПРАВОЧНИК!$H$9+('ФАКТ ЧЕРН К1'!C29)*СПРАВОЧНИК!$I$9+('ФАКТ ЧЕРН К1'!D29)*СПРАВОЧНИК!$J$9+('ФАКТ ЧЕРН К1'!E29)*СПРАВОЧНИК!$H$10+('ФАКТ ЧЕРН К1'!F29)*СПРАВОЧНИК!$I$10+('ФАКТ ЧЕРН К1'!G29)*СПРАВОЧНИК!$J$10+('ФАКТ ЧЕРН К1'!H29)*СПРАВОЧНИК!$H$11+('ФАКТ ЧЕРН К1'!I29)*СПРАВОЧНИК!$I$11+('ФАКТ ЧЕРН К1'!J29)*СПРАВОЧНИК!$J$11+('ФАКТ ЧЕРН К1'!K29)*СПРАВОЧНИК!$H$12+('ФАКТ ЧЕРН К1'!L29)*СПРАВОЧНИК!$I$12+('ФАКТ ЧЕРН К1'!M29)*СПРАВОЧНИК!$J$12+('ФАКТ ЧЕРН К1'!N29)*СПРАВОЧНИК!$H$13+('ФАКТ ЧЕРН К1'!O29)*СПРАВОЧНИК!$I$13+('ФАКТ ЧЕРН К1'!P29)*СПРАВОЧНИК!$J$13+('ФАКТ ЧЕРН К1'!Q29)*СПРАВОЧНИК!$H$14+('ФАКТ ЧЕРН К1'!R29)*СПРАВОЧНИК!$I$14+('ФАКТ ЧЕРН К1'!S29)*СПРАВОЧНИК!$J$14+('ФАКТ ЧЕРН К1'!T29)*СПРАВОЧНИК!$H$15+('ФАКТ ЧЕРН К1'!U29)*СПРАВОЧНИК!$I$15+('ФАКТ ЧЕРН К1'!V29)*СПРАВОЧНИК!$J$15</f>
        <v/>
      </c>
      <c r="AG38" s="18">
        <f>AG37+7</f>
        <v/>
      </c>
      <c r="AH38" s="37">
        <f>'ПЛАН ЧИСТ К1'!B29*СПРАВОЧНИК!$L$9+'ПЛАН ЧИСТ К1'!C29*СПРАВОЧНИК!$M$9+'ПЛАН ЧИСТ К1'!D29*СПРАВОЧНИК!$N$9+'ПЛАН ЧИСТ К1'!E29*СПРАВОЧНИК!$O$9+'ПЛАН ЧИСТ К1'!F29*СПРАВОЧНИК!$L$10+'ПЛАН ЧИСТ К1'!G29*СПРАВОЧНИК!$M$10+'ПЛАН ЧИСТ К1'!H29*СПРАВОЧНИК!$N$10+'ПЛАН ЧИСТ К1'!I29*СПРАВОЧНИК!$O$10+'ПЛАН ЧИСТ К1'!J29*СПРАВОЧНИК!$L$11+'ПЛАН ЧИСТ К1'!K29*СПРАВОЧНИК!$M$11+'ПЛАН ЧИСТ К1'!L29*СПРАВОЧНИК!$N$11+'ПЛАН ЧИСТ К1'!M29*СПРАВОЧНИК!$L$12+'ПЛАН ЧИСТ К1'!N29*СПРАВОЧНИК!$M$12+'ПЛАН ЧИСТ К1'!O29*СПРАВОЧНИК!$N$12+'ПЛАН ЧИСТ К1'!P29*СПРАВОЧНИК!$O$12+'ПЛАН ЧИСТ К1'!Q29*СПРАВОЧНИК!$L$13+'ПЛАН ЧИСТ К1'!R29*СПРАВОЧНИК!$M$13+'ПЛАН ЧИСТ К1'!S29*СПРАВОЧНИК!$N$13+'ПЛАН ЧИСТ К1'!T29*СПРАВОЧНИК!$O$13+'ПЛАН ЧИСТ К1'!U29*СПРАВОЧНИК!$L$14+'ПЛАН ЧИСТ К1'!V29*СПРАВОЧНИК!$M$14+'ПЛАН ЧИСТ К1'!W29*СПРАВОЧНИК!$N$14+'ПЛАН ЧИСТ К1'!X29*СПРАВОЧНИК!$L$15+'ПЛАН ЧИСТ К1'!Y29*СПРАВОЧНИК!$M$15+'ПЛАН ЧИСТ К1'!Z29*СПРАВОЧНИК!$N$15</f>
        <v/>
      </c>
      <c r="AI38" s="40">
        <f>('ФАКТ ЧИСТ К1'!B29)*СПРАВОЧНИК!$L$9+('ФАКТ ЧИСТ К1'!C29)*СПРАВОЧНИК!$M$9+('ФАКТ ЧИСТ К1'!D29)*СПРАВОЧНИК!$N$9+('ФАКТ ЧИСТ К1'!E29)*СПРАВОЧНИК!$O$9+('ФАКТ ЧИСТ К1'!F29)*СПРАВОЧНИК!$L$10+('ФАКТ ЧИСТ К1'!G29)*СПРАВОЧНИК!$M$10+('ФАКТ ЧИСТ К1'!H29)*СПРАВОЧНИК!$N$10+('ФАКТ ЧИСТ К1'!I29)*СПРАВОЧНИК!$O$10+('ФАКТ ЧИСТ К1'!J29)*СПРАВОЧНИК!$L$11+('ФАКТ ЧИСТ К1'!K29)*СПРАВОЧНИК!$M$11+('ФАКТ ЧИСТ К1'!L29)*СПРАВОЧНИК!$N$11+('ФАКТ ЧИСТ К1'!M29)*СПРАВОЧНИК!$L$12+('ФАКТ ЧИСТ К1'!N29)*СПРАВОЧНИК!$M$12+('ФАКТ ЧИСТ К1'!O29)*СПРАВОЧНИК!$N$12+('ФАКТ ЧИСТ К1'!P29)*СПРАВОЧНИК!$O$12+('ФАКТ ЧИСТ К1'!Q29)*СПРАВОЧНИК!$L$13+('ФАКТ ЧИСТ К1'!R29)*СПРАВОЧНИК!$M$13+('ФАКТ ЧИСТ К1'!S29)*СПРАВОЧНИК!$N$13+('ФАКТ ЧИСТ К1'!T29)*СПРАВОЧНИК!$O$13+('ФАКТ ЧИСТ К1'!U29)*СПРАВОЧНИК!$L$14+('ФАКТ ЧИСТ К1'!V29)*СПРАВОЧНИК!$M$14+('ФАКТ ЧИСТ К1'!W29)*СПРАВОЧНИК!$N$14+('ФАКТ ЧИСТ К1'!X29)*СПРАВОЧНИК!$L$15+('ФАКТ ЧИСТ К1'!Y29)*СПРАВОЧНИК!$M$15+('ФАКТ ЧИСТ К1'!Z29)*СПРАВОЧНИК!$N$15</f>
        <v/>
      </c>
      <c r="AM38" s="18">
        <f>AM37+7</f>
        <v/>
      </c>
      <c r="AN38" s="37">
        <f>СПРАВОЧНИК!$E$9*('ПЛАН ЧЕРН К2'!B29*СПРАВОЧНИК!$H$9+'ПЛАН ЧЕРН К2'!C29*СПРАВОЧНИК!$I$9+'ПЛАН ЧЕРН К2'!D29*СПРАВОЧНИК!$J$9)+СПРАВОЧНИК!$E$10*('ПЛАН ЧЕРН К2'!E29*СПРАВОЧНИК!$H$10+'ПЛАН ЧЕРН К2'!F29*СПРАВОЧНИК!$I$10+'ПЛАН ЧЕРН К2'!G29*СПРАВОЧНИК!$J$10)+СПРАВОЧНИК!$E$11*('ПЛАН ЧЕРН К2'!H29*СПРАВОЧНИК!$H$11+'ПЛАН ЧЕРН К2'!I29*СПРАВОЧНИК!$I$11+'ПЛАН ЧЕРН К2'!J29*СПРАВОЧНИК!$J$11)+СПРАВОЧНИК!$E$12*('ПЛАН ЧЕРН К2'!K29*СПРАВОЧНИК!$H$12+'ПЛАН ЧЕРН К2'!L29*СПРАВОЧНИК!$I$12+'ПЛАН ЧЕРН К2'!M29*СПРАВОЧНИК!$J$12)+СПРАВОЧНИК!$E$13*('ПЛАН ЧЕРН К2'!N29*СПРАВОЧНИК!$H$13+'ПЛАН ЧЕРН К2'!O29*СПРАВОЧНИК!$I$13+'ПЛАН ЧЕРН К2'!P29*СПРАВОЧНИК!$J$13)+СПРАВОЧНИК!$E$14*('ПЛАН ЧЕРН К2'!Q29*СПРАВОЧНИК!$H$14+'ПЛАН ЧЕРН К2'!R29*СПРАВОЧНИК!$I$14+'ПЛАН ЧЕРН К2'!S29*СПРАВОЧНИК!$J$14)+СПРАВОЧНИК!$E$15*('ПЛАН ЧЕРН К2'!T29*СПРАВОЧНИК!$H$15+'ПЛАН ЧЕРН К2'!U29*СПРАВОЧНИК!$I$15+'ПЛАН ЧЕРН К2'!V29*СПРАВОЧНИК!$J$15)+СПРАВОЧНИК!$F$9*('ПЛАН ЧИСТ К2'!B29*СПРАВОЧНИК!$L$9+'ПЛАН ЧИСТ К2'!C29*СПРАВОЧНИК!$M$9+'ПЛАН ЧИСТ К2'!D29*СПРАВОЧНИК!$N$9+'ПЛАН ЧИСТ К2'!E29*СПРАВОЧНИК!$O$9)+СПРАВОЧНИК!$F$10*('ПЛАН ЧИСТ К2'!F29*СПРАВОЧНИК!$L$10+'ПЛАН ЧИСТ К2'!G29*СПРАВОЧНИК!$M$10+'ПЛАН ЧИСТ К2'!H29*СПРАВОЧНИК!$N$10+'ПЛАН ЧИСТ К2'!I29*СПРАВОЧНИК!$O$10)+СПРАВОЧНИК!$F$11*('ПЛАН ЧИСТ К2'!J29*СПРАВОЧНИК!$L$11+'ПЛАН ЧИСТ К2'!K29*СПРАВОЧНИК!$M$11+'ПЛАН ЧИСТ К2'!L29*СПРАВОЧНИК!$N$11)+СПРАВОЧНИК!$F$12*('ПЛАН ЧИСТ К2'!M29*СПРАВОЧНИК!$L$12+'ПЛАН ЧИСТ К2'!N29*СПРАВОЧНИК!$M$12+'ПЛАН ЧИСТ К2'!O29*СПРАВОЧНИК!$N$12+'ПЛАН ЧИСТ К2'!P29*СПРАВОЧНИК!$O$12)+СПРАВОЧНИК!$F$13*('ПЛАН ЧИСТ К2'!Q29*СПРАВОЧНИК!$L$13+'ПЛАН ЧИСТ К2'!R29*СПРАВОЧНИК!$M$13+'ПЛАН ЧИСТ К2'!S29*СПРАВОЧНИК!$N$13+'ПЛАН ЧИСТ К2'!T29*СПРАВОЧНИК!$O$13)+СПРАВОЧНИК!$F$14*('ПЛАН ЧИСТ К2'!U29*СПРАВОЧНИК!$L$14+'ПЛАН ЧИСТ К2'!V29*СПРАВОЧНИК!$M$14+'ПЛАН ЧИСТ К2'!W29*СПРАВОЧНИК!$N$14)+СПРАВОЧНИК!$F$15*('ПЛАН ЧИСТ К2'!X29*СПРАВОЧНИК!$L$15+'ПЛАН ЧИСТ К2'!Y29*СПРАВОЧНИК!$M$15+'ПЛАН ЧИСТ К2'!Z29*СПРАВОЧНИК!$N$15)</f>
        <v/>
      </c>
      <c r="AO38" s="40">
        <f>СПРАВОЧНИК!$E$9*(('ФАКТ ЧЕРН К2'!B29)*СПРАВОЧНИК!$H$9+('ФАКТ ЧЕРН К2'!C29)*СПРАВОЧНИК!$I$9+('ФАКТ ЧЕРН К2'!D29)*СПРАВОЧНИК!$J$9)+СПРАВОЧНИК!$E$10*(('ФАКТ ЧЕРН К2'!E29)*СПРАВОЧНИК!$H$10+('ФАКТ ЧЕРН К2'!F29)*СПРАВОЧНИК!$I$10+('ФАКТ ЧЕРН К2'!G29)*СПРАВОЧНИК!$J$10)+СПРАВОЧНИК!$E$11*(('ФАКТ ЧЕРН К2'!H29)*СПРАВОЧНИК!$H$11+('ФАКТ ЧЕРН К2'!I29)*СПРАВОЧНИК!$I$11+('ФАКТ ЧЕРН К2'!J29)*СПРАВОЧНИК!$J$11)+СПРАВОЧНИК!$E$12*(('ФАКТ ЧЕРН К2'!K29)*СПРАВОЧНИК!$H$12+('ФАКТ ЧЕРН К2'!L29)*СПРАВОЧНИК!$I$12+('ФАКТ ЧЕРН К2'!M29)*СПРАВОЧНИК!$J$12)+СПРАВОЧНИК!$E$13*(('ФАКТ ЧЕРН К2'!N29)*СПРАВОЧНИК!$H$13+('ФАКТ ЧЕРН К2'!O29)*СПРАВОЧНИК!$I$13+('ФАКТ ЧЕРН К2'!P29)*СПРАВОЧНИК!$J$13)+СПРАВОЧНИК!$E$14*(('ФАКТ ЧЕРН К2'!Q29)*СПРАВОЧНИК!$H$14+('ФАКТ ЧЕРН К2'!R29)*СПРАВОЧНИК!$I$14+('ФАКТ ЧЕРН К2'!S29)*СПРАВОЧНИК!$J$14)+СПРАВОЧНИК!$E$15*(('ФАКТ ЧЕРН К2'!T29)*СПРАВОЧНИК!$H$15+('ФАКТ ЧЕРН К2'!U29)*СПРАВОЧНИК!$I$15+('ФАКТ ЧЕРН К2'!V29)*СПРАВОЧНИК!$J$15)+СПРАВОЧНИК!$F$9*(('ФАКТ ЧИСТ К2'!B29)*СПРАВОЧНИК!$L$9+('ФАКТ ЧИСТ К2'!C29)*СПРАВОЧНИК!$M$9+('ФАКТ ЧИСТ К2'!D29)*СПРАВОЧНИК!$N$9+('ФАКТ ЧИСТ К2'!E29)*СПРАВОЧНИК!$O$9)+СПРАВОЧНИК!$F$10*(('ФАКТ ЧИСТ К2'!F29)*СПРАВОЧНИК!$L$10+('ФАКТ ЧИСТ К2'!G29)*СПРАВОЧНИК!$M$10+('ФАКТ ЧИСТ К2'!H29)*СПРАВОЧНИК!$N$10+('ФАКТ ЧИСТ К2'!I29)*СПРАВОЧНИК!$O$10)+СПРАВОЧНИК!$F$11*(('ФАКТ ЧИСТ К2'!J29)*СПРАВОЧНИК!$L$11+('ФАКТ ЧИСТ К2'!K29)*СПРАВОЧНИК!$M$11+('ФАКТ ЧИСТ К2'!L29)*СПРАВОЧНИК!$N$11)+СПРАВОЧНИК!$F$12*(('ФАКТ ЧИСТ К2'!M29)*СПРАВОЧНИК!$L$12+('ФАКТ ЧИСТ К2'!N29)*СПРАВОЧНИК!$M$12+('ФАКТ ЧИСТ К2'!O29)*СПРАВОЧНИК!$N$12+('ФАКТ ЧИСТ К2'!P29)*СПРАВОЧНИК!$O$12)+СПРАВОЧНИК!$F$13*(('ФАКТ ЧИСТ К2'!Q29)*СПРАВОЧНИК!$L$13+('ФАКТ ЧИСТ К2'!R29)*СПРАВОЧНИК!$M$13+('ФАКТ ЧИСТ К2'!S29)*СПРАВОЧНИК!$N$13+('ФАКТ ЧИСТ К2'!T29)*СПРАВОЧНИК!$O$13)+СПРАВОЧНИК!$F$14*(('ФАКТ ЧИСТ К2'!U29)*СПРАВОЧНИК!$L$14+('ФАКТ ЧИСТ К2'!V29)*СПРАВОЧНИК!$M$14+('ФАКТ ЧИСТ К2'!W29)*СПРАВОЧНИК!$N$14)+СПРАВОЧНИК!$F$15*(('ФАКТ ЧИСТ К2'!X29)*СПРАВОЧНИК!$L$15+('ФАКТ ЧИСТ К2'!Y29)*СПРАВОЧНИК!$M$15+('ФАКТ ЧИСТ К2'!Z29)*СПРАВОЧНИК!$N$15)</f>
        <v/>
      </c>
      <c r="AS38" s="18">
        <f>AS37+7</f>
        <v/>
      </c>
      <c r="AT38" s="37">
        <f>'ПЛАН ЧЕРН К2'!B29*СПРАВОЧНИК!$H$9+'ПЛАН ЧЕРН К2'!C29*СПРАВОЧНИК!$I$9+'ПЛАН ЧЕРН К2'!D29*СПРАВОЧНИК!$J$9+'ПЛАН ЧЕРН К2'!E29*СПРАВОЧНИК!$H$10+'ПЛАН ЧЕРН К2'!F29*СПРАВОЧНИК!$I$10+'ПЛАН ЧЕРН К2'!G29*СПРАВОЧНИК!$J$10+'ПЛАН ЧЕРН К2'!H29*СПРАВОЧНИК!$H$11+'ПЛАН ЧЕРН К2'!I29*СПРАВОЧНИК!$I$11+'ПЛАН ЧЕРН К2'!J29*СПРАВОЧНИК!$J$11+'ПЛАН ЧЕРН К2'!K29*СПРАВОЧНИК!$H$12+'ПЛАН ЧЕРН К2'!L29*СПРАВОЧНИК!$I$12+'ПЛАН ЧЕРН К2'!M29*СПРАВОЧНИК!$J$12+'ПЛАН ЧЕРН К2'!N29*СПРАВОЧНИК!$H$13+'ПЛАН ЧЕРН К2'!O29*СПРАВОЧНИК!$I$13+'ПЛАН ЧЕРН К2'!P29*СПРАВОЧНИК!$J$13+'ПЛАН ЧЕРН К2'!Q29*СПРАВОЧНИК!$H$14+'ПЛАН ЧЕРН К2'!R29*СПРАВОЧНИК!$I$14+'ПЛАН ЧЕРН К2'!S29*СПРАВОЧНИК!$J$14+'ПЛАН ЧЕРН К2'!T29*СПРАВОЧНИК!$H$15+'ПЛАН ЧЕРН К2'!U29*СПРАВОЧНИК!$I$15+'ПЛАН ЧЕРН К2'!V29*СПРАВОЧНИК!$J$15</f>
        <v/>
      </c>
      <c r="AU38" s="40">
        <f>('ФАКТ ЧЕРН К2'!B29)*СПРАВОЧНИК!$H$9+('ФАКТ ЧЕРН К2'!C29)*СПРАВОЧНИК!$I$9+('ФАКТ ЧЕРН К2'!D29)*СПРАВОЧНИК!$J$9+('ФАКТ ЧЕРН К2'!E29)*СПРАВОЧНИК!$H$10+('ФАКТ ЧЕРН К2'!F29)*СПРАВОЧНИК!$I$10+('ФАКТ ЧЕРН К2'!G29)*СПРАВОЧНИК!$J$10+('ФАКТ ЧЕРН К2'!H29)*СПРАВОЧНИК!$H$11+('ФАКТ ЧЕРН К2'!I29)*СПРАВОЧНИК!$I$11+('ФАКТ ЧЕРН К2'!J29)*СПРАВОЧНИК!$J$11+('ФАКТ ЧЕРН К2'!K29)*СПРАВОЧНИК!$H$12+('ФАКТ ЧЕРН К2'!L29)*СПРАВОЧНИК!$I$12+('ФАКТ ЧЕРН К2'!M29)*СПРАВОЧНИК!$J$12+('ФАКТ ЧЕРН К2'!N29)*СПРАВОЧНИК!$H$13+('ФАКТ ЧЕРН К2'!O29)*СПРАВОЧНИК!$I$13+('ФАКТ ЧЕРН К2'!P29)*СПРАВОЧНИК!$J$13+('ФАКТ ЧЕРН К2'!Q29)*СПРАВОЧНИК!$H$14+('ФАКТ ЧЕРН К2'!R29)*СПРАВОЧНИК!$I$14+('ФАКТ ЧЕРН К2'!S29)*СПРАВОЧНИК!$J$14+('ФАКТ ЧЕРН К2'!T29)*СПРАВОЧНИК!$H$15+('ФАКТ ЧЕРН К2'!U29)*СПРАВОЧНИК!$I$15+('ФАКТ ЧЕРН К2'!V29)*СПРАВОЧНИК!$J$15</f>
        <v/>
      </c>
      <c r="AY38" s="18">
        <f>AY37+7</f>
        <v/>
      </c>
      <c r="AZ38" s="37">
        <f>'ПЛАН ЧИСТ К2'!B29*СПРАВОЧНИК!$L$9+'ПЛАН ЧИСТ К2'!C29*СПРАВОЧНИК!$M$9+'ПЛАН ЧИСТ К2'!D29*СПРАВОЧНИК!$N$9+'ПЛАН ЧИСТ К2'!E29*СПРАВОЧНИК!$O$9+'ПЛАН ЧИСТ К2'!F29*СПРАВОЧНИК!$L$10+'ПЛАН ЧИСТ К2'!G29*СПРАВОЧНИК!$M$10+'ПЛАН ЧИСТ К2'!H29*СПРАВОЧНИК!$N$10+'ПЛАН ЧИСТ К2'!I29*СПРАВОЧНИК!$O$10+'ПЛАН ЧИСТ К2'!J29*СПРАВОЧНИК!$L$11+'ПЛАН ЧИСТ К2'!K29*СПРАВОЧНИК!$M$11+'ПЛАН ЧИСТ К2'!L29*СПРАВОЧНИК!$N$11+'ПЛАН ЧИСТ К2'!M29*СПРАВОЧНИК!$L$12+'ПЛАН ЧИСТ К2'!N29*СПРАВОЧНИК!$M$12+'ПЛАН ЧИСТ К2'!O29*СПРАВОЧНИК!$N$12+'ПЛАН ЧИСТ К2'!P29*СПРАВОЧНИК!$O$12+'ПЛАН ЧИСТ К2'!Q29*СПРАВОЧНИК!$L$13+'ПЛАН ЧИСТ К2'!R29*СПРАВОЧНИК!$M$13+'ПЛАН ЧИСТ К2'!S29*СПРАВОЧНИК!$N$13+'ПЛАН ЧИСТ К2'!T29*СПРАВОЧНИК!$O$13+'ПЛАН ЧИСТ К2'!U29*СПРАВОЧНИК!$L$14+'ПЛАН ЧИСТ К2'!V29*СПРАВОЧНИК!$M$14+'ПЛАН ЧИСТ К2'!W29*СПРАВОЧНИК!$N$14+'ПЛАН ЧИСТ К2'!X29*СПРАВОЧНИК!$L$15+'ПЛАН ЧИСТ К2'!Y29*СПРАВОЧНИК!$M$15+'ПЛАН ЧИСТ К2'!Z29*СПРАВОЧНИК!$N$15</f>
        <v/>
      </c>
      <c r="BA38" s="40">
        <f>('ФАКТ ЧИСТ К2'!B29)*СПРАВОЧНИК!$L$9+('ФАКТ ЧИСТ К2'!C29)*СПРАВОЧНИК!$M$9+('ФАКТ ЧИСТ К2'!D29)*СПРАВОЧНИК!$N$9+('ФАКТ ЧИСТ К2'!E29)*СПРАВОЧНИК!$O$9+('ФАКТ ЧИСТ К2'!F29)*СПРАВОЧНИК!$L$10+('ФАКТ ЧИСТ К2'!G29)*СПРАВОЧНИК!$M$10+('ФАКТ ЧИСТ К2'!H29)*СПРАВОЧНИК!$N$10+('ФАКТ ЧИСТ К2'!I29)*СПРАВОЧНИК!$O$10+('ФАКТ ЧИСТ К2'!J29)*СПРАВОЧНИК!$L$11+('ФАКТ ЧИСТ К2'!K29)*СПРАВОЧНИК!$M$11+('ФАКТ ЧИСТ К2'!L29)*СПРАВОЧНИК!$N$11+('ФАКТ ЧИСТ К2'!M29)*СПРАВОЧНИК!$L$12+('ФАКТ ЧИСТ К2'!N29)*СПРАВОЧНИК!$M$12+('ФАКТ ЧИСТ К2'!O29)*СПРАВОЧНИК!$N$12+('ФАКТ ЧИСТ К2'!P29)*СПРАВОЧНИК!$O$12+('ФАКТ ЧИСТ К2'!Q29)*СПРАВОЧНИК!$L$13+('ФАКТ ЧИСТ К2'!R29)*СПРАВОЧНИК!$M$13+('ФАКТ ЧИСТ К2'!S29)*СПРАВОЧНИК!$N$13+('ФАКТ ЧИСТ К2'!T29)*СПРАВОЧНИК!$O$13+('ФАКТ ЧИСТ К2'!U29)*СПРАВОЧНИК!$L$14+('ФАКТ ЧИСТ К2'!V29)*СПРАВОЧНИК!$M$14+('ФАКТ ЧИСТ К2'!W29)*СПРАВОЧНИК!$N$14+('ФАКТ ЧИСТ К2'!X29)*СПРАВОЧНИК!$L$15+('ФАКТ ЧИСТ К2'!Y29)*СПРАВОЧНИК!$M$15+('ФАКТ ЧИСТ К2'!Z29)*СПРАВОЧНИК!$N$15</f>
        <v/>
      </c>
      <c r="BE38" s="18">
        <f>BE37+7</f>
        <v/>
      </c>
      <c r="BF38" s="37">
        <f>СПРАВОЧНИК!$E$9*('ПЛАН ЧЕРН К3'!B29*СПРАВОЧНИК!$H$9+'ПЛАН ЧЕРН К3'!C29*СПРАВОЧНИК!$I$9+'ПЛАН ЧЕРН К3'!D29*СПРАВОЧНИК!$J$9)+СПРАВОЧНИК!$E$10*('ПЛАН ЧЕРН К3'!E29*СПРАВОЧНИК!$H$10+'ПЛАН ЧЕРН К3'!F29*СПРАВОЧНИК!$I$10+'ПЛАН ЧЕРН К3'!G29*СПРАВОЧНИК!$J$10)+СПРАВОЧНИК!$E$11*('ПЛАН ЧЕРН К3'!H29*СПРАВОЧНИК!$H$11+'ПЛАН ЧЕРН К3'!I29*СПРАВОЧНИК!$I$11+'ПЛАН ЧЕРН К3'!J29*СПРАВОЧНИК!$J$11)+СПРАВОЧНИК!$E$12*('ПЛАН ЧЕРН К3'!K29*СПРАВОЧНИК!$H$12+'ПЛАН ЧЕРН К3'!L29*СПРАВОЧНИК!$I$12+'ПЛАН ЧЕРН К3'!M29*СПРАВОЧНИК!$J$12)+СПРАВОЧНИК!$E$13*('ПЛАН ЧЕРН К3'!N29*СПРАВОЧНИК!$H$13+'ПЛАН ЧЕРН К3'!O29*СПРАВОЧНИК!$I$13+'ПЛАН ЧЕРН К3'!P29*СПРАВОЧНИК!$J$13)+СПРАВОЧНИК!$E$14*('ПЛАН ЧЕРН К3'!Q29*СПРАВОЧНИК!$H$14+'ПЛАН ЧЕРН К3'!R29*СПРАВОЧНИК!$I$14+'ПЛАН ЧЕРН К3'!S29*СПРАВОЧНИК!$J$14)+СПРАВОЧНИК!$E$15*('ПЛАН ЧЕРН К3'!T29*СПРАВОЧНИК!$H$15+'ПЛАН ЧЕРН К3'!U29*СПРАВОЧНИК!$I$15+'ПЛАН ЧЕРН К3'!V29*СПРАВОЧНИК!$J$15)+СПРАВОЧНИК!$F$9*('ПЛАН ЧИСТ К3'!B29*СПРАВОЧНИК!$L$9+'ПЛАН ЧИСТ К3'!C29*СПРАВОЧНИК!$M$9+'ПЛАН ЧИСТ К3'!D29*СПРАВОЧНИК!$N$9+'ПЛАН ЧИСТ К3'!E29*СПРАВОЧНИК!$O$9)+СПРАВОЧНИК!$F$10*('ПЛАН ЧИСТ К3'!F29*СПРАВОЧНИК!$L$10+'ПЛАН ЧИСТ К3'!G29*СПРАВОЧНИК!$M$10+'ПЛАН ЧИСТ К3'!H29*СПРАВОЧНИК!$N$10+'ПЛАН ЧИСТ К3'!I29*СПРАВОЧНИК!$O$10)+СПРАВОЧНИК!$F$11*('ПЛАН ЧИСТ К3'!J29*СПРАВОЧНИК!$L$11+'ПЛАН ЧИСТ К3'!K29*СПРАВОЧНИК!$M$11+'ПЛАН ЧИСТ К3'!L29*СПРАВОЧНИК!$N$11)+СПРАВОЧНИК!$F$12*('ПЛАН ЧИСТ К3'!M29*СПРАВОЧНИК!$L$12+'ПЛАН ЧИСТ К3'!N29*СПРАВОЧНИК!$M$12+'ПЛАН ЧИСТ К3'!O29*СПРАВОЧНИК!$N$12+'ПЛАН ЧИСТ К3'!P29*СПРАВОЧНИК!$O$12)+СПРАВОЧНИК!$F$13*('ПЛАН ЧИСТ К3'!Q29*СПРАВОЧНИК!$L$13+'ПЛАН ЧИСТ К3'!R29*СПРАВОЧНИК!$M$13+'ПЛАН ЧИСТ К3'!S29*СПРАВОЧНИК!$N$13+'ПЛАН ЧИСТ К3'!T29*СПРАВОЧНИК!$O$13)+СПРАВОЧНИК!$F$14*('ПЛАН ЧИСТ К3'!U29*СПРАВОЧНИК!$L$14+'ПЛАН ЧИСТ К3'!V29*СПРАВОЧНИК!$M$14+'ПЛАН ЧИСТ К3'!W29*СПРАВОЧНИК!$N$14)+СПРАВОЧНИК!$F$15*('ПЛАН ЧИСТ К3'!X29*СПРАВОЧНИК!$L$15+'ПЛАН ЧИСТ К3'!Y29*СПРАВОЧНИК!$M$15+'ПЛАН ЧИСТ К3'!Z29*СПРАВОЧНИК!$N$15)</f>
        <v/>
      </c>
      <c r="BG38" s="40">
        <f>СПРАВОЧНИК!$E$9*(('ФАКТ ЧЕРН К3'!B29)*СПРАВОЧНИК!$H$9+('ФАКТ ЧЕРН К3'!C29)*СПРАВОЧНИК!$I$9+('ФАКТ ЧЕРН К3'!D29)*СПРАВОЧНИК!$J$9)+СПРАВОЧНИК!$E$10*(('ФАКТ ЧЕРН К3'!E29)*СПРАВОЧНИК!$H$10+('ФАКТ ЧЕРН К3'!F29)*СПРАВОЧНИК!$I$10+('ФАКТ ЧЕРН К3'!G29)*СПРАВОЧНИК!$J$10)+СПРАВОЧНИК!$E$11*(('ФАКТ ЧЕРН К3'!H29)*СПРАВОЧНИК!$H$11+('ФАКТ ЧЕРН К3'!I29)*СПРАВОЧНИК!$I$11+('ФАКТ ЧЕРН К3'!J29)*СПРАВОЧНИК!$J$11)+СПРАВОЧНИК!$E$12*(('ФАКТ ЧЕРН К3'!K29)*СПРАВОЧНИК!$H$12+('ФАКТ ЧЕРН К3'!L29)*СПРАВОЧНИК!$I$12+('ФАКТ ЧЕРН К3'!M29)*СПРАВОЧНИК!$J$12)+СПРАВОЧНИК!$E$13*(('ФАКТ ЧЕРН К3'!N29)*СПРАВОЧНИК!$H$13+('ФАКТ ЧЕРН К3'!O29)*СПРАВОЧНИК!$I$13+('ФАКТ ЧЕРН К3'!P29)*СПРАВОЧНИК!$J$13)+СПРАВОЧНИК!$E$14*(('ФАКТ ЧЕРН К3'!Q29)*СПРАВОЧНИК!$H$14+('ФАКТ ЧЕРН К3'!R29)*СПРАВОЧНИК!$I$14+('ФАКТ ЧЕРН К3'!S29)*СПРАВОЧНИК!$J$14)+СПРАВОЧНИК!$E$15*(('ФАКТ ЧЕРН К3'!T29)*СПРАВОЧНИК!$H$15+('ФАКТ ЧЕРН К3'!U29)*СПРАВОЧНИК!$I$15+('ФАКТ ЧЕРН К3'!V29)*СПРАВОЧНИК!$J$15)+СПРАВОЧНИК!$F$9*(('ФАКТ ЧИСТ К3'!B29)*СПРАВОЧНИК!$L$9+('ФАКТ ЧИСТ К3'!C29)*СПРАВОЧНИК!$M$9+('ФАКТ ЧИСТ К3'!D29)*СПРАВОЧНИК!$N$9+('ФАКТ ЧИСТ К3'!E29)*СПРАВОЧНИК!$O$9)+СПРАВОЧНИК!$F$10*(('ФАКТ ЧИСТ К3'!F29)*СПРАВОЧНИК!$L$10+('ФАКТ ЧИСТ К3'!G29)*СПРАВОЧНИК!$M$10+('ФАКТ ЧИСТ К3'!H29)*СПРАВОЧНИК!$N$10+('ФАКТ ЧИСТ К3'!I29)*СПРАВОЧНИК!$O$10)+СПРАВОЧНИК!$F$11*(('ФАКТ ЧИСТ К3'!J29)*СПРАВОЧНИК!$L$11+('ФАКТ ЧИСТ К3'!K29)*СПРАВОЧНИК!$M$11+('ФАКТ ЧИСТ К3'!L29)*СПРАВОЧНИК!$N$11)+СПРАВОЧНИК!$F$12*(('ФАКТ ЧИСТ К3'!M29)*СПРАВОЧНИК!$L$12+('ФАКТ ЧИСТ К3'!N29)*СПРАВОЧНИК!$M$12+('ФАКТ ЧИСТ К3'!O29)*СПРАВОЧНИК!$N$12+('ФАКТ ЧИСТ К3'!P29)*СПРАВОЧНИК!$O$12)+СПРАВОЧНИК!$F$13*(('ФАКТ ЧИСТ К3'!Q29)*СПРАВОЧНИК!$L$13+('ФАКТ ЧИСТ К3'!R29)*СПРАВОЧНИК!$M$13+('ФАКТ ЧИСТ К3'!S29)*СПРАВОЧНИК!$N$13+('ФАКТ ЧИСТ К3'!T29)*СПРАВОЧНИК!$O$13)+СПРАВОЧНИК!$F$14*(('ФАКТ ЧИСТ К3'!U29)*СПРАВОЧНИК!$L$14+('ФАКТ ЧИСТ К3'!V29)*СПРАВОЧНИК!$M$14+('ФАКТ ЧИСТ К3'!W29)*СПРАВОЧНИК!$N$14)+СПРАВОЧНИК!$F$15*(('ФАКТ ЧИСТ К3'!X29)*СПРАВОЧНИК!$L$15+('ФАКТ ЧИСТ К3'!Y29)*СПРАВОЧНИК!$M$15+('ФАКТ ЧИСТ К3'!Z29)*СПРАВОЧНИК!$N$15)</f>
        <v/>
      </c>
      <c r="BK38" s="18">
        <f>BK37+7</f>
        <v/>
      </c>
      <c r="BL38" s="37">
        <f>'ПЛАН ЧЕРН К3'!B29*СПРАВОЧНИК!$H$9+'ПЛАН ЧЕРН К3'!C29*СПРАВОЧНИК!$I$9+'ПЛАН ЧЕРН К3'!D29*СПРАВОЧНИК!$J$9+'ПЛАН ЧЕРН К3'!E29*СПРАВОЧНИК!$H$10+'ПЛАН ЧЕРН К3'!F29*СПРАВОЧНИК!$I$10+'ПЛАН ЧЕРН К3'!G29*СПРАВОЧНИК!$J$10+'ПЛАН ЧЕРН К3'!H29*СПРАВОЧНИК!$H$11+'ПЛАН ЧЕРН К3'!I29*СПРАВОЧНИК!$I$11+'ПЛАН ЧЕРН К3'!J29*СПРАВОЧНИК!$J$11+'ПЛАН ЧЕРН К3'!K29*СПРАВОЧНИК!$H$12+'ПЛАН ЧЕРН К3'!L29*СПРАВОЧНИК!$I$12+'ПЛАН ЧЕРН К3'!M29*СПРАВОЧНИК!$J$12+'ПЛАН ЧЕРН К3'!N29*СПРАВОЧНИК!$H$13+'ПЛАН ЧЕРН К3'!O29*СПРАВОЧНИК!$I$13+'ПЛАН ЧЕРН К3'!P29*СПРАВОЧНИК!$J$13+'ПЛАН ЧЕРН К3'!Q29*СПРАВОЧНИК!$H$14+'ПЛАН ЧЕРН К3'!R29*СПРАВОЧНИК!$I$14+'ПЛАН ЧЕРН К3'!S29*СПРАВОЧНИК!$J$14+'ПЛАН ЧЕРН К3'!T29*СПРАВОЧНИК!$H$15+'ПЛАН ЧЕРН К3'!U29*СПРАВОЧНИК!$I$15+'ПЛАН ЧЕРН К3'!V29*СПРАВОЧНИК!$J$15</f>
        <v/>
      </c>
      <c r="BM38" s="40">
        <f>('ФАКТ ЧЕРН К3'!B29)*СПРАВОЧНИК!$H$9+('ФАКТ ЧЕРН К3'!C29)*СПРАВОЧНИК!$I$9+('ФАКТ ЧЕРН К3'!D29)*СПРАВОЧНИК!$J$9+('ФАКТ ЧЕРН К3'!E29)*СПРАВОЧНИК!$H$10+('ФАКТ ЧЕРН К3'!F29)*СПРАВОЧНИК!$I$10+('ФАКТ ЧЕРН К3'!G29)*СПРАВОЧНИК!$J$10+('ФАКТ ЧЕРН К3'!H29)*СПРАВОЧНИК!$H$11+('ФАКТ ЧЕРН К3'!I29)*СПРАВОЧНИК!$I$11+('ФАКТ ЧЕРН К3'!J29)*СПРАВОЧНИК!$J$11+('ФАКТ ЧЕРН К3'!K29)*СПРАВОЧНИК!$H$12+('ФАКТ ЧЕРН К3'!L29)*СПРАВОЧНИК!$I$12+('ФАКТ ЧЕРН К3'!M29)*СПРАВОЧНИК!$J$12+('ФАКТ ЧЕРН К3'!N29)*СПРАВОЧНИК!$H$13+('ФАКТ ЧЕРН К3'!O29)*СПРАВОЧНИК!$I$13+('ФАКТ ЧЕРН К3'!P29)*СПРАВОЧНИК!$J$13+('ФАКТ ЧЕРН К3'!Q29)*СПРАВОЧНИК!$H$14+('ФАКТ ЧЕРН К3'!R29)*СПРАВОЧНИК!$I$14+('ФАКТ ЧЕРН К3'!S29)*СПРАВОЧНИК!$J$14+('ФАКТ ЧЕРН К3'!T29)*СПРАВОЧНИК!$H$15+('ФАКТ ЧЕРН К3'!U29)*СПРАВОЧНИК!$I$15+('ФАКТ ЧЕРН К3'!V29)*СПРАВОЧНИК!$J$15</f>
        <v/>
      </c>
      <c r="BQ38" s="18">
        <f>BQ37+7</f>
        <v/>
      </c>
      <c r="BR38" s="37">
        <f>'ПЛАН ЧИСТ К3'!B29*СПРАВОЧНИК!$L$9+'ПЛАН ЧИСТ К3'!C29*СПРАВОЧНИК!$M$9+'ПЛАН ЧИСТ К3'!D29*СПРАВОЧНИК!$N$9+'ПЛАН ЧИСТ К3'!E29*СПРАВОЧНИК!$O$9+'ПЛАН ЧИСТ К3'!F29*СПРАВОЧНИК!$L$10+'ПЛАН ЧИСТ К3'!G29*СПРАВОЧНИК!$M$10+'ПЛАН ЧИСТ К3'!H29*СПРАВОЧНИК!$N$10+'ПЛАН ЧИСТ К3'!I29*СПРАВОЧНИК!$O$10+'ПЛАН ЧИСТ К3'!J29*СПРАВОЧНИК!$L$11+'ПЛАН ЧИСТ К3'!K29*СПРАВОЧНИК!$M$11+'ПЛАН ЧИСТ К3'!L29*СПРАВОЧНИК!$N$11+'ПЛАН ЧИСТ К3'!M29*СПРАВОЧНИК!$L$12+'ПЛАН ЧИСТ К3'!N29*СПРАВОЧНИК!$M$12+'ПЛАН ЧИСТ К3'!O29*СПРАВОЧНИК!$N$12+'ПЛАН ЧИСТ К3'!P29*СПРАВОЧНИК!$O$12+'ПЛАН ЧИСТ К3'!Q29*СПРАВОЧНИК!$L$13+'ПЛАН ЧИСТ К3'!R29*СПРАВОЧНИК!$M$13+'ПЛАН ЧИСТ К3'!S29*СПРАВОЧНИК!$N$13+'ПЛАН ЧИСТ К3'!T29*СПРАВОЧНИК!$O$13+'ПЛАН ЧИСТ К3'!U29*СПРАВОЧНИК!$L$14+'ПЛАН ЧИСТ К3'!V29*СПРАВОЧНИК!$M$14+'ПЛАН ЧИСТ К3'!W29*СПРАВОЧНИК!$N$14+'ПЛАН ЧИСТ К3'!X29*СПРАВОЧНИК!$L$15+'ПЛАН ЧИСТ К3'!Y29*СПРАВОЧНИК!$M$15+'ПЛАН ЧИСТ К3'!Z29*СПРАВОЧНИК!$N$15</f>
        <v/>
      </c>
      <c r="BS38" s="40">
        <f>('ФАКТ ЧИСТ К3'!B29)*СПРАВОЧНИК!$L$9+('ФАКТ ЧИСТ К3'!C29)*СПРАВОЧНИК!$M$9+('ФАКТ ЧИСТ К3'!D29)*СПРАВОЧНИК!$N$9+('ФАКТ ЧИСТ К3'!E29)*СПРАВОЧНИК!$O$9+('ФАКТ ЧИСТ К3'!F29)*СПРАВОЧНИК!$L$10+('ФАКТ ЧИСТ К3'!G29)*СПРАВОЧНИК!$M$10+('ФАКТ ЧИСТ К3'!H29)*СПРАВОЧНИК!$N$10+('ФАКТ ЧИСТ К3'!I29)*СПРАВОЧНИК!$O$10+('ФАКТ ЧИСТ К3'!J29)*СПРАВОЧНИК!$L$11+('ФАКТ ЧИСТ К3'!K29)*СПРАВОЧНИК!$M$11+('ФАКТ ЧИСТ К3'!L29)*СПРАВОЧНИК!$N$11+('ФАКТ ЧИСТ К3'!M29)*СПРАВОЧНИК!$L$12+('ФАКТ ЧИСТ К3'!N29)*СПРАВОЧНИК!$M$12+('ФАКТ ЧИСТ К3'!O29)*СПРАВОЧНИК!$N$12+('ФАКТ ЧИСТ К3'!P29)*СПРАВОЧНИК!$O$12+('ФАКТ ЧИСТ К3'!Q29)*СПРАВОЧНИК!$L$13+('ФАКТ ЧИСТ К3'!R29)*СПРАВОЧНИК!$M$13+('ФАКТ ЧИСТ К3'!S29)*СПРАВОЧНИК!$N$13+('ФАКТ ЧИСТ К3'!T29)*СПРАВОЧНИК!$O$13+('ФАКТ ЧИСТ К3'!U29)*СПРАВОЧНИК!$L$14+('ФАКТ ЧИСТ К3'!V29)*СПРАВОЧНИК!$M$14+('ФАКТ ЧИСТ К3'!W29)*СПРАВОЧНИК!$N$14+('ФАКТ ЧИСТ К3'!X29)*СПРАВОЧНИК!$L$15+('ФАКТ ЧИСТ К3'!Y29)*СПРАВОЧНИК!$M$15+('ФАКТ ЧИСТ К3'!Z29)*СПРАВОЧНИК!$N$15</f>
        <v/>
      </c>
      <c r="BW38" s="18">
        <f>BW37+7</f>
        <v/>
      </c>
      <c r="BX38" s="37">
        <f>V38+AN38+BF38</f>
        <v/>
      </c>
      <c r="BY38" s="40">
        <f>W38+AO38+BG38</f>
        <v/>
      </c>
      <c r="CC38" s="18">
        <f>CC37+7</f>
        <v/>
      </c>
      <c r="CD38" s="37">
        <f>AB38+AT38+BL38</f>
        <v/>
      </c>
      <c r="CE38" s="40">
        <f>AC38+AU38+BM38</f>
        <v/>
      </c>
      <c r="CI38" s="18">
        <f>CI37+7</f>
        <v/>
      </c>
      <c r="CJ38" s="37">
        <f>AH38+AZ38+BR38</f>
        <v/>
      </c>
      <c r="CK38" s="40">
        <f>AI38+BA38+BS38</f>
        <v/>
      </c>
      <c r="CO38" s="18">
        <f>CO37+7</f>
        <v/>
      </c>
      <c r="CP38" s="37">
        <f>D38+BX38</f>
        <v/>
      </c>
      <c r="CQ38" s="40">
        <f>E38+BY38</f>
        <v/>
      </c>
      <c r="CU38" s="18">
        <f>CU37+7</f>
        <v/>
      </c>
      <c r="CV38" s="37">
        <f>J38+CD38</f>
        <v/>
      </c>
      <c r="CW38" s="40">
        <f>K38+CE38</f>
        <v/>
      </c>
      <c r="DA38" s="18">
        <f>DA37+7</f>
        <v/>
      </c>
      <c r="DB38" s="37">
        <f>P38+CJ38</f>
        <v/>
      </c>
      <c r="DC38" s="40">
        <f>Q38+CK38</f>
        <v/>
      </c>
    </row>
    <row r="39">
      <c r="C39" s="18">
        <f>C38+7</f>
        <v/>
      </c>
      <c r="D39" s="37">
        <f>СПРАВОЧНИК!$E$3*('ПЛАН ЧЕРН ПОДЗЕМ'!B30*СПРАВОЧНИК!$H$3+'ПЛАН ЧЕРН ПОДЗЕМ'!C30*СПРАВОЧНИК!$I$3+'ПЛАН ЧЕРН ПОДЗЕМ'!D30*СПРАВОЧНИК!$J$3)+СПРАВОЧНИК!$E$4*('ПЛАН ЧЕРН ПОДЗЕМ'!E30*СПРАВОЧНИК!$H$4+'ПЛАН ЧЕРН ПОДЗЕМ'!F30*СПРАВОЧНИК!$I$4+'ПЛАН ЧЕРН ПОДЗЕМ'!G30*СПРАВОЧНИК!$J$4)+СПРАВОЧНИК!$E$5*('ПЛАН ЧЕРН ПОДЗЕМ'!H30*СПРАВОЧНИК!$H$5+'ПЛАН ЧЕРН ПОДЗЕМ'!I30*СПРАВОЧНИК!$I$5+'ПЛАН ЧЕРН ПОДЗЕМ'!J30*СПРАВОЧНИК!$J$5)+СПРАВОЧНИК!$E$6*('ПЛАН ЧЕРН ПОДЗЕМ'!K30*СПРАВОЧНИК!$H$6+'ПЛАН ЧЕРН ПОДЗЕМ'!L30*СПРАВОЧНИК!$I$6+'ПЛАН ЧЕРН ПОДЗЕМ'!M30*СПРАВОЧНИК!$J$6)+СПРАВОЧНИК!$E$7*('ПЛАН ЧЕРН ПОДЗЕМ'!N30*СПРАВОЧНИК!$H$7+'ПЛАН ЧЕРН ПОДЗЕМ'!O30*СПРАВОЧНИК!$I$7+'ПЛАН ЧЕРН ПОДЗЕМ'!P30*СПРАВОЧНИК!$J$7)+СПРАВОЧНИК!$E$8*('ПЛАН ЧЕРН ПОДЗЕМ'!Q30*СПРАВОЧНИК!$H$8+'ПЛАН ЧЕРН ПОДЗЕМ'!R30*СПРАВОЧНИК!$I$8+'ПЛАН ЧЕРН ПОДЗЕМ'!S30*СПРАВОЧНИК!$J$8)+СПРАВОЧНИК!$F$3*('ПЛАН ЧИСТ ПОДЗЕМ'!B30*СПРАВОЧНИК!$L$3+'ПЛАН ЧИСТ ПОДЗЕМ'!C30*СПРАВОЧНИК!$M$3+'ПЛАН ЧИСТ ПОДЗЕМ'!D30*СПРАВОЧНИК!$N$3+'ПЛАН ЧИСТ ПОДЗЕМ'!E30*СПРАВОЧНИК!$O$3)+СПРАВОЧНИК!$F$4*('ПЛАН ЧИСТ ПОДЗЕМ'!F30*СПРАВОЧНИК!$L$4+'ПЛАН ЧИСТ ПОДЗЕМ'!G30*СПРАВОЧНИК!$M$4+'ПЛАН ЧИСТ ПОДЗЕМ'!H30*СПРАВОЧНИК!$N$4+'ПЛАН ЧИСТ ПОДЗЕМ'!I30*СПРАВОЧНИК!$O$4)+СПРАВОЧНИК!$F$5*('ПЛАН ЧИСТ ПОДЗЕМ'!J30*СПРАВОЧНИК!$L$5+'ПЛАН ЧИСТ ПОДЗЕМ'!K30*СПРАВОЧНИК!$M$5+'ПЛАН ЧИСТ ПОДЗЕМ'!L30*СПРАВОЧНИК!$N$5)+СПРАВОЧНИК!$F$6*('ПЛАН ЧИСТ ПОДЗЕМ'!M30*СПРАВОЧНИК!$L$6+'ПЛАН ЧИСТ ПОДЗЕМ'!N30*СПРАВОЧНИК!$M$6+'ПЛАН ЧИСТ ПОДЗЕМ'!O30*СПРАВОЧНИК!$N$6+'ПЛАН ЧИСТ ПОДЗЕМ'!P30*СПРАВОЧНИК!$O$6)+СПРАВОЧНИК!$F$7*('ПЛАН ЧИСТ ПОДЗЕМ'!Q30*СПРАВОЧНИК!$L$7+'ПЛАН ЧИСТ ПОДЗЕМ'!R30*СПРАВОЧНИК!$M$7+'ПЛАН ЧИСТ ПОДЗЕМ'!S30*СПРАВОЧНИК!$N$7+'ПЛАН ЧИСТ ПОДЗЕМ'!T30*СПРАВОЧНИК!$O$7)+СПРАВОЧНИК!$F$8*('ПЛАН ЧИСТ ПОДЗЕМ'!U30*СПРАВОЧНИК!$L$8+'ПЛАН ЧИСТ ПОДЗЕМ'!V30*СПРАВОЧНИК!$M$8+'ПЛАН ЧИСТ ПОДЗЕМ'!W30*СПРАВОЧНИК!$N$8)</f>
        <v/>
      </c>
      <c r="E39" s="40">
        <f>СПРАВОЧНИК!$E$3*(('ФАКТ ЧЕРН ПОДЗЕМ'!B30)*СПРАВОЧНИК!$H$3+('ФАКТ ЧЕРН ПОДЗЕМ'!C30)*СПРАВОЧНИК!$I$3+('ФАКТ ЧЕРН ПОДЗЕМ'!D30)*СПРАВОЧНИК!$J$3)+СПРАВОЧНИК!$E$4*(('ФАКТ ЧЕРН ПОДЗЕМ'!E30)*СПРАВОЧНИК!$H$4+('ФАКТ ЧЕРН ПОДЗЕМ'!F30)*СПРАВОЧНИК!$I$4+('ФАКТ ЧЕРН ПОДЗЕМ'!G30)*СПРАВОЧНИК!$J$4)+СПРАВОЧНИК!$E$5*(('ФАКТ ЧЕРН ПОДЗЕМ'!H30)*СПРАВОЧНИК!$H$5+('ФАКТ ЧЕРН ПОДЗЕМ'!I30)*СПРАВОЧНИК!$I$5+('ФАКТ ЧЕРН ПОДЗЕМ'!J30)*СПРАВОЧНИК!$J$5)+СПРАВОЧНИК!$E$6*(('ФАКТ ЧЕРН ПОДЗЕМ'!K30)*СПРАВОЧНИК!$H$6+('ФАКТ ЧЕРН ПОДЗЕМ'!L30)*СПРАВОЧНИК!$I$6+('ФАКТ ЧЕРН ПОДЗЕМ'!M30)*СПРАВОЧНИК!$J$6)+СПРАВОЧНИК!$E$7*(('ФАКТ ЧЕРН ПОДЗЕМ'!N30)*СПРАВОЧНИК!$H$7+('ФАКТ ЧЕРН ПОДЗЕМ'!O30)*СПРАВОЧНИК!$I$7+('ФАКТ ЧЕРН ПОДЗЕМ'!P30)*СПРАВОЧНИК!$J$7)+СПРАВОЧНИК!$E$8*(('ФАКТ ЧЕРН ПОДЗЕМ'!Q30)*СПРАВОЧНИК!$H$8+('ФАКТ ЧЕРН ПОДЗЕМ'!R30)*СПРАВОЧНИК!$I$8+('ФАКТ ЧЕРН ПОДЗЕМ'!S30)*СПРАВОЧНИК!$J$8)+СПРАВОЧНИК!$F$3*(('ФАКТ ЧИСТ ПОДЗЕМ'!B30)*СПРАВОЧНИК!$L$3+('ФАКТ ЧИСТ ПОДЗЕМ'!C30)*СПРАВОЧНИК!$M$3+('ФАКТ ЧИСТ ПОДЗЕМ'!D30)*СПРАВОЧНИК!$N$3+('ФАКТ ЧИСТ ПОДЗЕМ'!E30)*СПРАВОЧНИК!$O$3)+СПРАВОЧНИК!$F$4*(('ФАКТ ЧИСТ ПОДЗЕМ'!F30)*СПРАВОЧНИК!$L$4+('ФАКТ ЧИСТ ПОДЗЕМ'!G30)*СПРАВОЧНИК!$M$4+('ФАКТ ЧИСТ ПОДЗЕМ'!H30)*СПРАВОЧНИК!$N$4+('ФАКТ ЧИСТ ПОДЗЕМ'!I30)*СПРАВОЧНИК!$O$4)+СПРАВОЧНИК!$F$5*(('ФАКТ ЧИСТ ПОДЗЕМ'!J30)*СПРАВОЧНИК!$L$5+('ФАКТ ЧИСТ ПОДЗЕМ'!K30)*СПРАВОЧНИК!$M$5+('ФАКТ ЧИСТ ПОДЗЕМ'!L30)*СПРАВОЧНИК!$N$5)+СПРАВОЧНИК!$F$6*(('ФАКТ ЧИСТ ПОДЗЕМ'!M30)*СПРАВОЧНИК!$L$6+('ФАКТ ЧИСТ ПОДЗЕМ'!N30)*СПРАВОЧНИК!$M$6+('ФАКТ ЧИСТ ПОДЗЕМ'!O30)*СПРАВОЧНИК!$N$6+('ФАКТ ЧИСТ ПОДЗЕМ'!P30)*СПРАВОЧНИК!$O$6)+СПРАВОЧНИК!$F$7*(('ФАКТ ЧИСТ ПОДЗЕМ'!Q30)*СПРАВОЧНИК!$L$7+('ФАКТ ЧИСТ ПОДЗЕМ'!R30)*СПРАВОЧНИК!$M$7+('ФАКТ ЧИСТ ПОДЗЕМ'!S30)*СПРАВОЧНИК!$N$7+('ФАКТ ЧИСТ ПОДЗЕМ'!T30)*СПРАВОЧНИК!$O$7)+СПРАВОЧНИК!$F$8*(('ФАКТ ЧИСТ ПОДЗЕМ'!U30)*СПРАВОЧНИК!$L$8+('ФАКТ ЧИСТ ПОДЗЕМ'!V30)*СПРАВОЧНИК!$M$8+('ФАКТ ЧИСТ ПОДЗЕМ'!W30)*СПРАВОЧНИК!$N$8)</f>
        <v/>
      </c>
      <c r="I39" s="18">
        <f>I38+7</f>
        <v/>
      </c>
      <c r="J39" s="37">
        <f>'ПЛАН ЧЕРН ПОДЗЕМ'!B30*СПРАВОЧНИК!$H$3+'ПЛАН ЧЕРН ПОДЗЕМ'!C30*СПРАВОЧНИК!$I$3+'ПЛАН ЧЕРН ПОДЗЕМ'!D30*СПРАВОЧНИК!$J$3+'ПЛАН ЧЕРН ПОДЗЕМ'!E30*СПРАВОЧНИК!$H$4+'ПЛАН ЧЕРН ПОДЗЕМ'!F30*СПРАВОЧНИК!$I$4+'ПЛАН ЧЕРН ПОДЗЕМ'!G30*СПРАВОЧНИК!$J$4+'ПЛАН ЧЕРН ПОДЗЕМ'!H30*СПРАВОЧНИК!$H$5+'ПЛАН ЧЕРН ПОДЗЕМ'!I30*СПРАВОЧНИК!$I$5+'ПЛАН ЧЕРН ПОДЗЕМ'!J30*СПРАВОЧНИК!$J$5+'ПЛАН ЧЕРН ПОДЗЕМ'!K30*СПРАВОЧНИК!$H$6+'ПЛАН ЧЕРН ПОДЗЕМ'!L30*СПРАВОЧНИК!$I$6+'ПЛАН ЧЕРН ПОДЗЕМ'!M30*СПРАВОЧНИК!$J$6+'ПЛАН ЧЕРН ПОДЗЕМ'!N30*СПРАВОЧНИК!$H$7+'ПЛАН ЧЕРН ПОДЗЕМ'!O30*СПРАВОЧНИК!$I$7+'ПЛАН ЧЕРН ПОДЗЕМ'!P30*СПРАВОЧНИК!$J$7+'ПЛАН ЧЕРН ПОДЗЕМ'!Q30*СПРАВОЧНИК!$H$8+'ПЛАН ЧЕРН ПОДЗЕМ'!R30*СПРАВОЧНИК!$I$8+'ПЛАН ЧЕРН ПОДЗЕМ'!S30*СПРАВОЧНИК!$J$8</f>
        <v/>
      </c>
      <c r="K39" s="40">
        <f>('ФАКТ ЧЕРН ПОДЗЕМ'!B30)*СПРАВОЧНИК!$H$3+('ФАКТ ЧЕРН ПОДЗЕМ'!C30)*СПРАВОЧНИК!$I$3+('ФАКТ ЧЕРН ПОДЗЕМ'!D30)*СПРАВОЧНИК!$J$3+('ФАКТ ЧЕРН ПОДЗЕМ'!E30)*СПРАВОЧНИК!$H$4+('ФАКТ ЧЕРН ПОДЗЕМ'!F30)*СПРАВОЧНИК!$I$4+('ФАКТ ЧЕРН ПОДЗЕМ'!G30)*СПРАВОЧНИК!$J$4+('ФАКТ ЧЕРН ПОДЗЕМ'!H30)*СПРАВОЧНИК!$H$5+('ФАКТ ЧЕРН ПОДЗЕМ'!I30)*СПРАВОЧНИК!$I$5+('ФАКТ ЧЕРН ПОДЗЕМ'!J30)*СПРАВОЧНИК!$J$5+('ФАКТ ЧЕРН ПОДЗЕМ'!K30)*СПРАВОЧНИК!$H$6+('ФАКТ ЧЕРН ПОДЗЕМ'!L30)*СПРАВОЧНИК!$I$6+('ФАКТ ЧЕРН ПОДЗЕМ'!M30)*СПРАВОЧНИК!$J$6+('ФАКТ ЧЕРН ПОДЗЕМ'!N30)*СПРАВОЧНИК!$H$7+('ФАКТ ЧЕРН ПОДЗЕМ'!O30)*СПРАВОЧНИК!$I$7+('ФАКТ ЧЕРН ПОДЗЕМ'!P30)*СПРАВОЧНИК!$J$7+('ФАКТ ЧЕРН ПОДЗЕМ'!Q30)*СПРАВОЧНИК!$H$8+('ФАКТ ЧЕРН ПОДЗЕМ'!R30)*СПРАВОЧНИК!$I$8+('ФАКТ ЧЕРН ПОДЗЕМ'!S30)*СПРАВОЧНИК!$J$8</f>
        <v/>
      </c>
      <c r="O39" s="18">
        <f>O38+7</f>
        <v/>
      </c>
      <c r="P39" s="37">
        <f>'ПЛАН ЧИСТ ПОДЗЕМ'!B30*СПРАВОЧНИК!$L$3+'ПЛАН ЧИСТ ПОДЗЕМ'!C30*СПРАВОЧНИК!$M$3+'ПЛАН ЧИСТ ПОДЗЕМ'!D30*СПРАВОЧНИК!$N$3+'ПЛАН ЧИСТ ПОДЗЕМ'!E30*СПРАВОЧНИК!$O$3+'ПЛАН ЧИСТ ПОДЗЕМ'!F30*СПРАВОЧНИК!$L$4+'ПЛАН ЧИСТ ПОДЗЕМ'!G30*СПРАВОЧНИК!$M$4+'ПЛАН ЧИСТ ПОДЗЕМ'!H30*СПРАВОЧНИК!$N$4+'ПЛАН ЧИСТ ПОДЗЕМ'!I30*СПРАВОЧНИК!$O$4+'ПЛАН ЧИСТ ПОДЗЕМ'!J30*СПРАВОЧНИК!$L$5+'ПЛАН ЧИСТ ПОДЗЕМ'!K30*СПРАВОЧНИК!$M$5+'ПЛАН ЧИСТ ПОДЗЕМ'!L30*СПРАВОЧНИК!$N$5+'ПЛАН ЧИСТ ПОДЗЕМ'!M30*СПРАВОЧНИК!$L$6+'ПЛАН ЧИСТ ПОДЗЕМ'!N30*СПРАВОЧНИК!$M$6+'ПЛАН ЧИСТ ПОДЗЕМ'!O30*СПРАВОЧНИК!$N$6+'ПЛАН ЧИСТ ПОДЗЕМ'!P30*СПРАВОЧНИК!$O$6+'ПЛАН ЧИСТ ПОДЗЕМ'!Q30*СПРАВОЧНИК!$L$7+'ПЛАН ЧИСТ ПОДЗЕМ'!R30*СПРАВОЧНИК!$M$7+'ПЛАН ЧИСТ ПОДЗЕМ'!S30*СПРАВОЧНИК!$N$7+'ПЛАН ЧИСТ ПОДЗЕМ'!T30*СПРАВОЧНИК!$O$7+'ПЛАН ЧИСТ ПОДЗЕМ'!U30*СПРАВОЧНИК!$L$8+'ПЛАН ЧИСТ ПОДЗЕМ'!V30*СПРАВОЧНИК!$M$8+'ПЛАН ЧИСТ ПОДЗЕМ'!W30*СПРАВОЧНИК!$N$8</f>
        <v/>
      </c>
      <c r="Q39" s="40">
        <f>('ФАКТ ЧИСТ ПОДЗЕМ'!B30)*СПРАВОЧНИК!$L$3+('ФАКТ ЧИСТ ПОДЗЕМ'!C30)*СПРАВОЧНИК!$M$3+('ФАКТ ЧИСТ ПОДЗЕМ'!D30)*СПРАВОЧНИК!$N$3+('ФАКТ ЧИСТ ПОДЗЕМ'!E30)*СПРАВОЧНИК!$O$3+('ФАКТ ЧИСТ ПОДЗЕМ'!F30)*СПРАВОЧНИК!$L$4+('ФАКТ ЧИСТ ПОДЗЕМ'!G30)*СПРАВОЧНИК!$M$4+('ФАКТ ЧИСТ ПОДЗЕМ'!H30)*СПРАВОЧНИК!$N$4+('ФАКТ ЧИСТ ПОДЗЕМ'!I30)*СПРАВОЧНИК!$O$4+('ФАКТ ЧИСТ ПОДЗЕМ'!J30)*СПРАВОЧНИК!$L$5+('ФАКТ ЧИСТ ПОДЗЕМ'!K30)*СПРАВОЧНИК!$M$5+('ФАКТ ЧИСТ ПОДЗЕМ'!L30)*СПРАВОЧНИК!$N$5+('ФАКТ ЧИСТ ПОДЗЕМ'!M30)*СПРАВОЧНИК!$L$6+('ФАКТ ЧИСТ ПОДЗЕМ'!N30)*СПРАВОЧНИК!$M$6+('ФАКТ ЧИСТ ПОДЗЕМ'!O30)*СПРАВОЧНИК!$N$6+('ФАКТ ЧИСТ ПОДЗЕМ'!P30)*СПРАВОЧНИК!$O$6+('ФАКТ ЧИСТ ПОДЗЕМ'!Q30)*СПРАВОЧНИК!$L$7+('ФАКТ ЧИСТ ПОДЗЕМ'!R30)*СПРАВОЧНИК!$M$7+('ФАКТ ЧИСТ ПОДЗЕМ'!S30)*СПРАВОЧНИК!$N$7+('ФАКТ ЧИСТ ПОДЗЕМ'!T30)*СПРАВОЧНИК!$O$7+('ФАКТ ЧИСТ ПОДЗЕМ'!U30)*СПРАВОЧНИК!$L$8+('ФАКТ ЧИСТ ПОДЗЕМ'!V30)*СПРАВОЧНИК!$M$8+('ФАКТ ЧИСТ ПОДЗЕМ'!W30)*СПРАВОЧНИК!$N$8</f>
        <v/>
      </c>
      <c r="U39" s="18">
        <f>U38+7</f>
        <v/>
      </c>
      <c r="V39" s="37">
        <f>СПРАВОЧНИК!$E$9*('ПЛАН ЧЕРН К1'!B30*СПРАВОЧНИК!$H$9+'ПЛАН ЧЕРН К1'!C30*СПРАВОЧНИК!$I$9+'ПЛАН ЧЕРН К1'!D30*СПРАВОЧНИК!$J$9)+СПРАВОЧНИК!$E$10*('ПЛАН ЧЕРН К1'!E30*СПРАВОЧНИК!$H$10+'ПЛАН ЧЕРН К1'!F30*СПРАВОЧНИК!$I$10+'ПЛАН ЧЕРН К1'!G30*СПРАВОЧНИК!$J$10)+СПРАВОЧНИК!$E$11*('ПЛАН ЧЕРН К1'!H30*СПРАВОЧНИК!$H$11+'ПЛАН ЧЕРН К1'!I30*СПРАВОЧНИК!$I$11+'ПЛАН ЧЕРН К1'!J30*СПРАВОЧНИК!$J$11)+СПРАВОЧНИК!$E$12*('ПЛАН ЧЕРН К1'!K30*СПРАВОЧНИК!$H$12+'ПЛАН ЧЕРН К1'!L30*СПРАВОЧНИК!$I$12+'ПЛАН ЧЕРН К1'!M30*СПРАВОЧНИК!$J$12)+СПРАВОЧНИК!$E$13*('ПЛАН ЧЕРН К1'!N30*СПРАВОЧНИК!$H$13+'ПЛАН ЧЕРН К1'!O30*СПРАВОЧНИК!$I$13+'ПЛАН ЧЕРН К1'!P30*СПРАВОЧНИК!$J$13)+СПРАВОЧНИК!$E$14*('ПЛАН ЧЕРН К1'!Q30*СПРАВОЧНИК!$H$14+'ПЛАН ЧЕРН К1'!R30*СПРАВОЧНИК!$I$14+'ПЛАН ЧЕРН К1'!S30*СПРАВОЧНИК!$J$14)+СПРАВОЧНИК!$E$15*('ПЛАН ЧЕРН К1'!T30*СПРАВОЧНИК!$H$15+'ПЛАН ЧЕРН К1'!U30*СПРАВОЧНИК!$I$15+'ПЛАН ЧЕРН К1'!V30*СПРАВОЧНИК!$J$15)+СПРАВОЧНИК!$F$9*('ПЛАН ЧИСТ К1'!B30*СПРАВОЧНИК!$L$9+'ПЛАН ЧИСТ К1'!C30*СПРАВОЧНИК!$M$9+'ПЛАН ЧИСТ К1'!D30*СПРАВОЧНИК!$N$9+'ПЛАН ЧИСТ К1'!E30*СПРАВОЧНИК!$O$9)+СПРАВОЧНИК!$F$10*('ПЛАН ЧИСТ К1'!F30*СПРАВОЧНИК!$L$10+'ПЛАН ЧИСТ К1'!G30*СПРАВОЧНИК!$M$10+'ПЛАН ЧИСТ К1'!H30*СПРАВОЧНИК!$N$10+'ПЛАН ЧИСТ К1'!I30*СПРАВОЧНИК!$O$10)+СПРАВОЧНИК!$F$11*('ПЛАН ЧИСТ К1'!J30*СПРАВОЧНИК!$L$11+'ПЛАН ЧИСТ К1'!K30*СПРАВОЧНИК!$M$11+'ПЛАН ЧИСТ К1'!L30*СПРАВОЧНИК!$N$11)+СПРАВОЧНИК!$F$12*('ПЛАН ЧИСТ К1'!M30*СПРАВОЧНИК!$L$12+'ПЛАН ЧИСТ К1'!N30*СПРАВОЧНИК!$M$12+'ПЛАН ЧИСТ К1'!O30*СПРАВОЧНИК!$N$12+'ПЛАН ЧИСТ К1'!P30*СПРАВОЧНИК!$O$12)+СПРАВОЧНИК!$F$13*('ПЛАН ЧИСТ К1'!Q30*СПРАВОЧНИК!$L$13+'ПЛАН ЧИСТ К1'!R30*СПРАВОЧНИК!$M$13+'ПЛАН ЧИСТ К1'!S30*СПРАВОЧНИК!$N$13+'ПЛАН ЧИСТ К1'!T30*СПРАВОЧНИК!$O$13)+СПРАВОЧНИК!$F$14*('ПЛАН ЧИСТ К1'!U30*СПРАВОЧНИК!$L$14+'ПЛАН ЧИСТ К1'!V30*СПРАВОЧНИК!$M$14+'ПЛАН ЧИСТ К1'!W30*СПРАВОЧНИК!$N$14)+СПРАВОЧНИК!$F$15*('ПЛАН ЧИСТ К1'!X30*СПРАВОЧНИК!$L$15+'ПЛАН ЧИСТ К1'!Y30*СПРАВОЧНИК!$M$15+'ПЛАН ЧИСТ К1'!Z30*СПРАВОЧНИК!$N$15)</f>
        <v/>
      </c>
      <c r="W39" s="40">
        <f>СПРАВОЧНИК!$E$9*(('ФАКТ ЧЕРН К1'!B30)*СПРАВОЧНИК!$H$9+('ФАКТ ЧЕРН К1'!C30)*СПРАВОЧНИК!$I$9+('ФАКТ ЧЕРН К1'!D30)*СПРАВОЧНИК!$J$9)+СПРАВОЧНИК!$E$10*(('ФАКТ ЧЕРН К1'!E30)*СПРАВОЧНИК!$H$10+('ФАКТ ЧЕРН К1'!F30)*СПРАВОЧНИК!$I$10+('ФАКТ ЧЕРН К1'!G30)*СПРАВОЧНИК!$J$10)+СПРАВОЧНИК!$E$11*(('ФАКТ ЧЕРН К1'!H30)*СПРАВОЧНИК!$H$11+('ФАКТ ЧЕРН К1'!I30)*СПРАВОЧНИК!$I$11+('ФАКТ ЧЕРН К1'!J30)*СПРАВОЧНИК!$J$11)+СПРАВОЧНИК!$E$12*(('ФАКТ ЧЕРН К1'!K30)*СПРАВОЧНИК!$H$12+('ФАКТ ЧЕРН К1'!L30)*СПРАВОЧНИК!$I$12+('ФАКТ ЧЕРН К1'!M30)*СПРАВОЧНИК!$J$12)+СПРАВОЧНИК!$E$13*(('ФАКТ ЧЕРН К1'!N30)*СПРАВОЧНИК!$H$13+('ФАКТ ЧЕРН К1'!O30)*СПРАВОЧНИК!$I$13+('ФАКТ ЧЕРН К1'!P30)*СПРАВОЧНИК!$J$13)+СПРАВОЧНИК!$E$14*(('ФАКТ ЧЕРН К1'!Q30)*СПРАВОЧНИК!$H$14+('ФАКТ ЧЕРН К1'!R30)*СПРАВОЧНИК!$I$14+('ФАКТ ЧЕРН К1'!S30)*СПРАВОЧНИК!$J$14)+СПРАВОЧНИК!$E$15*(('ФАКТ ЧЕРН К1'!T30)*СПРАВОЧНИК!$H$15+('ФАКТ ЧЕРН К1'!U30)*СПРАВОЧНИК!$I$15+('ФАКТ ЧЕРН К1'!V30)*СПРАВОЧНИК!$J$15)+СПРАВОЧНИК!$F$9*(('ФАКТ ЧИСТ К1'!B30)*СПРАВОЧНИК!$L$9+('ФАКТ ЧИСТ К1'!C30)*СПРАВОЧНИК!$M$9+('ФАКТ ЧИСТ К1'!D30)*СПРАВОЧНИК!$N$9+('ФАКТ ЧИСТ К1'!E30)*СПРАВОЧНИК!$O$9)+СПРАВОЧНИК!$F$10*(('ФАКТ ЧИСТ К1'!F30)*СПРАВОЧНИК!$L$10+('ФАКТ ЧИСТ К1'!G30)*СПРАВОЧНИК!$M$10+('ФАКТ ЧИСТ К1'!H30)*СПРАВОЧНИК!$N$10+('ФАКТ ЧИСТ К1'!I30)*СПРАВОЧНИК!$O$10)+СПРАВОЧНИК!$F$11*(('ФАКТ ЧИСТ К1'!J30)*СПРАВОЧНИК!$L$11+('ФАКТ ЧИСТ К1'!K30)*СПРАВОЧНИК!$M$11+('ФАКТ ЧИСТ К1'!L30)*СПРАВОЧНИК!$N$11)+СПРАВОЧНИК!$F$12*(('ФАКТ ЧИСТ К1'!M30)*СПРАВОЧНИК!$L$12+('ФАКТ ЧИСТ К1'!N30)*СПРАВОЧНИК!$M$12+('ФАКТ ЧИСТ К1'!O30)*СПРАВОЧНИК!$N$12+('ФАКТ ЧИСТ К1'!P30)*СПРАВОЧНИК!$O$12)+СПРАВОЧНИК!$F$13*(('ФАКТ ЧИСТ К1'!Q30)*СПРАВОЧНИК!$L$13+('ФАКТ ЧИСТ К1'!R30)*СПРАВОЧНИК!$M$13+('ФАКТ ЧИСТ К1'!S30)*СПРАВОЧНИК!$N$13+('ФАКТ ЧИСТ К1'!T30)*СПРАВОЧНИК!$O$13)+СПРАВОЧНИК!$F$14*(('ФАКТ ЧИСТ К1'!U30)*СПРАВОЧНИК!$L$14+('ФАКТ ЧИСТ К1'!V30)*СПРАВОЧНИК!$M$14+('ФАКТ ЧИСТ К1'!W30)*СПРАВОЧНИК!$N$14)+СПРАВОЧНИК!$F$15*(('ФАКТ ЧИСТ К1'!X30)*СПРАВОЧНИК!$L$15+('ФАКТ ЧИСТ К1'!Y30)*СПРАВОЧНИК!$M$15+('ФАКТ ЧИСТ К1'!Z30)*СПРАВОЧНИК!$N$15)</f>
        <v/>
      </c>
      <c r="AA39" s="18">
        <f>AA38+7</f>
        <v/>
      </c>
      <c r="AB39" s="37">
        <f>'ПЛАН ЧЕРН К1'!B30*СПРАВОЧНИК!$H$9+'ПЛАН ЧЕРН К1'!C30*СПРАВОЧНИК!$I$9+'ПЛАН ЧЕРН К1'!D30*СПРАВОЧНИК!$J$9+'ПЛАН ЧЕРН К1'!E30*СПРАВОЧНИК!$H$10+'ПЛАН ЧЕРН К1'!F30*СПРАВОЧНИК!$I$10+'ПЛАН ЧЕРН К1'!G30*СПРАВОЧНИК!$J$10+'ПЛАН ЧЕРН К1'!H30*СПРАВОЧНИК!$H$11+'ПЛАН ЧЕРН К1'!I30*СПРАВОЧНИК!$I$11+'ПЛАН ЧЕРН К1'!J30*СПРАВОЧНИК!$J$11+'ПЛАН ЧЕРН К1'!K30*СПРАВОЧНИК!$H$12+'ПЛАН ЧЕРН К1'!L30*СПРАВОЧНИК!$I$12+'ПЛАН ЧЕРН К1'!M30*СПРАВОЧНИК!$J$12+'ПЛАН ЧЕРН К1'!N30*СПРАВОЧНИК!$H$13+'ПЛАН ЧЕРН К1'!O30*СПРАВОЧНИК!$I$13+'ПЛАН ЧЕРН К1'!P30*СПРАВОЧНИК!$J$13+'ПЛАН ЧЕРН К1'!Q30*СПРАВОЧНИК!$H$14+'ПЛАН ЧЕРН К1'!R30*СПРАВОЧНИК!$I$14+'ПЛАН ЧЕРН К1'!S30*СПРАВОЧНИК!$J$14+'ПЛАН ЧЕРН К1'!T30*СПРАВОЧНИК!$H$15+'ПЛАН ЧЕРН К1'!U30*СПРАВОЧНИК!$I$15+'ПЛАН ЧЕРН К1'!V30*СПРАВОЧНИК!$J$15</f>
        <v/>
      </c>
      <c r="AC39" s="40">
        <f>('ФАКТ ЧЕРН К1'!B30)*СПРАВОЧНИК!$H$9+('ФАКТ ЧЕРН К1'!C30)*СПРАВОЧНИК!$I$9+('ФАКТ ЧЕРН К1'!D30)*СПРАВОЧНИК!$J$9+('ФАКТ ЧЕРН К1'!E30)*СПРАВОЧНИК!$H$10+('ФАКТ ЧЕРН К1'!F30)*СПРАВОЧНИК!$I$10+('ФАКТ ЧЕРН К1'!G30)*СПРАВОЧНИК!$J$10+('ФАКТ ЧЕРН К1'!H30)*СПРАВОЧНИК!$H$11+('ФАКТ ЧЕРН К1'!I30)*СПРАВОЧНИК!$I$11+('ФАКТ ЧЕРН К1'!J30)*СПРАВОЧНИК!$J$11+('ФАКТ ЧЕРН К1'!K30)*СПРАВОЧНИК!$H$12+('ФАКТ ЧЕРН К1'!L30)*СПРАВОЧНИК!$I$12+('ФАКТ ЧЕРН К1'!M30)*СПРАВОЧНИК!$J$12+('ФАКТ ЧЕРН К1'!N30)*СПРАВОЧНИК!$H$13+('ФАКТ ЧЕРН К1'!O30)*СПРАВОЧНИК!$I$13+('ФАКТ ЧЕРН К1'!P30)*СПРАВОЧНИК!$J$13+('ФАКТ ЧЕРН К1'!Q30)*СПРАВОЧНИК!$H$14+('ФАКТ ЧЕРН К1'!R30)*СПРАВОЧНИК!$I$14+('ФАКТ ЧЕРН К1'!S30)*СПРАВОЧНИК!$J$14+('ФАКТ ЧЕРН К1'!T30)*СПРАВОЧНИК!$H$15+('ФАКТ ЧЕРН К1'!U30)*СПРАВОЧНИК!$I$15+('ФАКТ ЧЕРН К1'!V30)*СПРАВОЧНИК!$J$15</f>
        <v/>
      </c>
      <c r="AG39" s="18">
        <f>AG38+7</f>
        <v/>
      </c>
      <c r="AH39" s="37">
        <f>'ПЛАН ЧИСТ К1'!B30*СПРАВОЧНИК!$L$9+'ПЛАН ЧИСТ К1'!C30*СПРАВОЧНИК!$M$9+'ПЛАН ЧИСТ К1'!D30*СПРАВОЧНИК!$N$9+'ПЛАН ЧИСТ К1'!E30*СПРАВОЧНИК!$O$9+'ПЛАН ЧИСТ К1'!F30*СПРАВОЧНИК!$L$10+'ПЛАН ЧИСТ К1'!G30*СПРАВОЧНИК!$M$10+'ПЛАН ЧИСТ К1'!H30*СПРАВОЧНИК!$N$10+'ПЛАН ЧИСТ К1'!I30*СПРАВОЧНИК!$O$10+'ПЛАН ЧИСТ К1'!J30*СПРАВОЧНИК!$L$11+'ПЛАН ЧИСТ К1'!K30*СПРАВОЧНИК!$M$11+'ПЛАН ЧИСТ К1'!L30*СПРАВОЧНИК!$N$11+'ПЛАН ЧИСТ К1'!M30*СПРАВОЧНИК!$L$12+'ПЛАН ЧИСТ К1'!N30*СПРАВОЧНИК!$M$12+'ПЛАН ЧИСТ К1'!O30*СПРАВОЧНИК!$N$12+'ПЛАН ЧИСТ К1'!P30*СПРАВОЧНИК!$O$12+'ПЛАН ЧИСТ К1'!Q30*СПРАВОЧНИК!$L$13+'ПЛАН ЧИСТ К1'!R30*СПРАВОЧНИК!$M$13+'ПЛАН ЧИСТ К1'!S30*СПРАВОЧНИК!$N$13+'ПЛАН ЧИСТ К1'!T30*СПРАВОЧНИК!$O$13+'ПЛАН ЧИСТ К1'!U30*СПРАВОЧНИК!$L$14+'ПЛАН ЧИСТ К1'!V30*СПРАВОЧНИК!$M$14+'ПЛАН ЧИСТ К1'!W30*СПРАВОЧНИК!$N$14+'ПЛАН ЧИСТ К1'!X30*СПРАВОЧНИК!$L$15+'ПЛАН ЧИСТ К1'!Y30*СПРАВОЧНИК!$M$15+'ПЛАН ЧИСТ К1'!Z30*СПРАВОЧНИК!$N$15</f>
        <v/>
      </c>
      <c r="AI39" s="40">
        <f>('ФАКТ ЧИСТ К1'!B30)*СПРАВОЧНИК!$L$9+('ФАКТ ЧИСТ К1'!C30)*СПРАВОЧНИК!$M$9+('ФАКТ ЧИСТ К1'!D30)*СПРАВОЧНИК!$N$9+('ФАКТ ЧИСТ К1'!E30)*СПРАВОЧНИК!$O$9+('ФАКТ ЧИСТ К1'!F30)*СПРАВОЧНИК!$L$10+('ФАКТ ЧИСТ К1'!G30)*СПРАВОЧНИК!$M$10+('ФАКТ ЧИСТ К1'!H30)*СПРАВОЧНИК!$N$10+('ФАКТ ЧИСТ К1'!I30)*СПРАВОЧНИК!$O$10+('ФАКТ ЧИСТ К1'!J30)*СПРАВОЧНИК!$L$11+('ФАКТ ЧИСТ К1'!K30)*СПРАВОЧНИК!$M$11+('ФАКТ ЧИСТ К1'!L30)*СПРАВОЧНИК!$N$11+('ФАКТ ЧИСТ К1'!M30)*СПРАВОЧНИК!$L$12+('ФАКТ ЧИСТ К1'!N30)*СПРАВОЧНИК!$M$12+('ФАКТ ЧИСТ К1'!O30)*СПРАВОЧНИК!$N$12+('ФАКТ ЧИСТ К1'!P30)*СПРАВОЧНИК!$O$12+('ФАКТ ЧИСТ К1'!Q30)*СПРАВОЧНИК!$L$13+('ФАКТ ЧИСТ К1'!R30)*СПРАВОЧНИК!$M$13+('ФАКТ ЧИСТ К1'!S30)*СПРАВОЧНИК!$N$13+('ФАКТ ЧИСТ К1'!T30)*СПРАВОЧНИК!$O$13+('ФАКТ ЧИСТ К1'!U30)*СПРАВОЧНИК!$L$14+('ФАКТ ЧИСТ К1'!V30)*СПРАВОЧНИК!$M$14+('ФАКТ ЧИСТ К1'!W30)*СПРАВОЧНИК!$N$14+('ФАКТ ЧИСТ К1'!X30)*СПРАВОЧНИК!$L$15+('ФАКТ ЧИСТ К1'!Y30)*СПРАВОЧНИК!$M$15+('ФАКТ ЧИСТ К1'!Z30)*СПРАВОЧНИК!$N$15</f>
        <v/>
      </c>
      <c r="AM39" s="18">
        <f>AM38+7</f>
        <v/>
      </c>
      <c r="AN39" s="37">
        <f>СПРАВОЧНИК!$E$9*('ПЛАН ЧЕРН К2'!B30*СПРАВОЧНИК!$H$9+'ПЛАН ЧЕРН К2'!C30*СПРАВОЧНИК!$I$9+'ПЛАН ЧЕРН К2'!D30*СПРАВОЧНИК!$J$9)+СПРАВОЧНИК!$E$10*('ПЛАН ЧЕРН К2'!E30*СПРАВОЧНИК!$H$10+'ПЛАН ЧЕРН К2'!F30*СПРАВОЧНИК!$I$10+'ПЛАН ЧЕРН К2'!G30*СПРАВОЧНИК!$J$10)+СПРАВОЧНИК!$E$11*('ПЛАН ЧЕРН К2'!H30*СПРАВОЧНИК!$H$11+'ПЛАН ЧЕРН К2'!I30*СПРАВОЧНИК!$I$11+'ПЛАН ЧЕРН К2'!J30*СПРАВОЧНИК!$J$11)+СПРАВОЧНИК!$E$12*('ПЛАН ЧЕРН К2'!K30*СПРАВОЧНИК!$H$12+'ПЛАН ЧЕРН К2'!L30*СПРАВОЧНИК!$I$12+'ПЛАН ЧЕРН К2'!M30*СПРАВОЧНИК!$J$12)+СПРАВОЧНИК!$E$13*('ПЛАН ЧЕРН К2'!N30*СПРАВОЧНИК!$H$13+'ПЛАН ЧЕРН К2'!O30*СПРАВОЧНИК!$I$13+'ПЛАН ЧЕРН К2'!P30*СПРАВОЧНИК!$J$13)+СПРАВОЧНИК!$E$14*('ПЛАН ЧЕРН К2'!Q30*СПРАВОЧНИК!$H$14+'ПЛАН ЧЕРН К2'!R30*СПРАВОЧНИК!$I$14+'ПЛАН ЧЕРН К2'!S30*СПРАВОЧНИК!$J$14)+СПРАВОЧНИК!$E$15*('ПЛАН ЧЕРН К2'!T30*СПРАВОЧНИК!$H$15+'ПЛАН ЧЕРН К2'!U30*СПРАВОЧНИК!$I$15+'ПЛАН ЧЕРН К2'!V30*СПРАВОЧНИК!$J$15)+СПРАВОЧНИК!$F$9*('ПЛАН ЧИСТ К2'!B30*СПРАВОЧНИК!$L$9+'ПЛАН ЧИСТ К2'!C30*СПРАВОЧНИК!$M$9+'ПЛАН ЧИСТ К2'!D30*СПРАВОЧНИК!$N$9+'ПЛАН ЧИСТ К2'!E30*СПРАВОЧНИК!$O$9)+СПРАВОЧНИК!$F$10*('ПЛАН ЧИСТ К2'!F30*СПРАВОЧНИК!$L$10+'ПЛАН ЧИСТ К2'!G30*СПРАВОЧНИК!$M$10+'ПЛАН ЧИСТ К2'!H30*СПРАВОЧНИК!$N$10+'ПЛАН ЧИСТ К2'!I30*СПРАВОЧНИК!$O$10)+СПРАВОЧНИК!$F$11*('ПЛАН ЧИСТ К2'!J30*СПРАВОЧНИК!$L$11+'ПЛАН ЧИСТ К2'!K30*СПРАВОЧНИК!$M$11+'ПЛАН ЧИСТ К2'!L30*СПРАВОЧНИК!$N$11)+СПРАВОЧНИК!$F$12*('ПЛАН ЧИСТ К2'!M30*СПРАВОЧНИК!$L$12+'ПЛАН ЧИСТ К2'!N30*СПРАВОЧНИК!$M$12+'ПЛАН ЧИСТ К2'!O30*СПРАВОЧНИК!$N$12+'ПЛАН ЧИСТ К2'!P30*СПРАВОЧНИК!$O$12)+СПРАВОЧНИК!$F$13*('ПЛАН ЧИСТ К2'!Q30*СПРАВОЧНИК!$L$13+'ПЛАН ЧИСТ К2'!R30*СПРАВОЧНИК!$M$13+'ПЛАН ЧИСТ К2'!S30*СПРАВОЧНИК!$N$13+'ПЛАН ЧИСТ К2'!T30*СПРАВОЧНИК!$O$13)+СПРАВОЧНИК!$F$14*('ПЛАН ЧИСТ К2'!U30*СПРАВОЧНИК!$L$14+'ПЛАН ЧИСТ К2'!V30*СПРАВОЧНИК!$M$14+'ПЛАН ЧИСТ К2'!W30*СПРАВОЧНИК!$N$14)+СПРАВОЧНИК!$F$15*('ПЛАН ЧИСТ К2'!X30*СПРАВОЧНИК!$L$15+'ПЛАН ЧИСТ К2'!Y30*СПРАВОЧНИК!$M$15+'ПЛАН ЧИСТ К2'!Z30*СПРАВОЧНИК!$N$15)</f>
        <v/>
      </c>
      <c r="AO39" s="40">
        <f>СПРАВОЧНИК!$E$9*(('ФАКТ ЧЕРН К2'!B30)*СПРАВОЧНИК!$H$9+('ФАКТ ЧЕРН К2'!C30)*СПРАВОЧНИК!$I$9+('ФАКТ ЧЕРН К2'!D30)*СПРАВОЧНИК!$J$9)+СПРАВОЧНИК!$E$10*(('ФАКТ ЧЕРН К2'!E30)*СПРАВОЧНИК!$H$10+('ФАКТ ЧЕРН К2'!F30)*СПРАВОЧНИК!$I$10+('ФАКТ ЧЕРН К2'!G30)*СПРАВОЧНИК!$J$10)+СПРАВОЧНИК!$E$11*(('ФАКТ ЧЕРН К2'!H30)*СПРАВОЧНИК!$H$11+('ФАКТ ЧЕРН К2'!I30)*СПРАВОЧНИК!$I$11+('ФАКТ ЧЕРН К2'!J30)*СПРАВОЧНИК!$J$11)+СПРАВОЧНИК!$E$12*(('ФАКТ ЧЕРН К2'!K30)*СПРАВОЧНИК!$H$12+('ФАКТ ЧЕРН К2'!L30)*СПРАВОЧНИК!$I$12+('ФАКТ ЧЕРН К2'!M30)*СПРАВОЧНИК!$J$12)+СПРАВОЧНИК!$E$13*(('ФАКТ ЧЕРН К2'!N30)*СПРАВОЧНИК!$H$13+('ФАКТ ЧЕРН К2'!O30)*СПРАВОЧНИК!$I$13+('ФАКТ ЧЕРН К2'!P30)*СПРАВОЧНИК!$J$13)+СПРАВОЧНИК!$E$14*(('ФАКТ ЧЕРН К2'!Q30)*СПРАВОЧНИК!$H$14+('ФАКТ ЧЕРН К2'!R30)*СПРАВОЧНИК!$I$14+('ФАКТ ЧЕРН К2'!S30)*СПРАВОЧНИК!$J$14)+СПРАВОЧНИК!$E$15*(('ФАКТ ЧЕРН К2'!T30)*СПРАВОЧНИК!$H$15+('ФАКТ ЧЕРН К2'!U30)*СПРАВОЧНИК!$I$15+('ФАКТ ЧЕРН К2'!V30)*СПРАВОЧНИК!$J$15)+СПРАВОЧНИК!$F$9*(('ФАКТ ЧИСТ К2'!B30)*СПРАВОЧНИК!$L$9+('ФАКТ ЧИСТ К2'!C30)*СПРАВОЧНИК!$M$9+('ФАКТ ЧИСТ К2'!D30)*СПРАВОЧНИК!$N$9+('ФАКТ ЧИСТ К2'!E30)*СПРАВОЧНИК!$O$9)+СПРАВОЧНИК!$F$10*(('ФАКТ ЧИСТ К2'!F30)*СПРАВОЧНИК!$L$10+('ФАКТ ЧИСТ К2'!G30)*СПРАВОЧНИК!$M$10+('ФАКТ ЧИСТ К2'!H30)*СПРАВОЧНИК!$N$10+('ФАКТ ЧИСТ К2'!I30)*СПРАВОЧНИК!$O$10)+СПРАВОЧНИК!$F$11*(('ФАКТ ЧИСТ К2'!J30)*СПРАВОЧНИК!$L$11+('ФАКТ ЧИСТ К2'!K30)*СПРАВОЧНИК!$M$11+('ФАКТ ЧИСТ К2'!L30)*СПРАВОЧНИК!$N$11)+СПРАВОЧНИК!$F$12*(('ФАКТ ЧИСТ К2'!M30)*СПРАВОЧНИК!$L$12+('ФАКТ ЧИСТ К2'!N30)*СПРАВОЧНИК!$M$12+('ФАКТ ЧИСТ К2'!O30)*СПРАВОЧНИК!$N$12+('ФАКТ ЧИСТ К2'!P30)*СПРАВОЧНИК!$O$12)+СПРАВОЧНИК!$F$13*(('ФАКТ ЧИСТ К2'!Q30)*СПРАВОЧНИК!$L$13+('ФАКТ ЧИСТ К2'!R30)*СПРАВОЧНИК!$M$13+('ФАКТ ЧИСТ К2'!S30)*СПРАВОЧНИК!$N$13+('ФАКТ ЧИСТ К2'!T30)*СПРАВОЧНИК!$O$13)+СПРАВОЧНИК!$F$14*(('ФАКТ ЧИСТ К2'!U30)*СПРАВОЧНИК!$L$14+('ФАКТ ЧИСТ К2'!V30)*СПРАВОЧНИК!$M$14+('ФАКТ ЧИСТ К2'!W30)*СПРАВОЧНИК!$N$14)+СПРАВОЧНИК!$F$15*(('ФАКТ ЧИСТ К2'!X30)*СПРАВОЧНИК!$L$15+('ФАКТ ЧИСТ К2'!Y30)*СПРАВОЧНИК!$M$15+('ФАКТ ЧИСТ К2'!Z30)*СПРАВОЧНИК!$N$15)</f>
        <v/>
      </c>
      <c r="AS39" s="18">
        <f>AS38+7</f>
        <v/>
      </c>
      <c r="AT39" s="37">
        <f>'ПЛАН ЧЕРН К2'!B30*СПРАВОЧНИК!$H$9+'ПЛАН ЧЕРН К2'!C30*СПРАВОЧНИК!$I$9+'ПЛАН ЧЕРН К2'!D30*СПРАВОЧНИК!$J$9+'ПЛАН ЧЕРН К2'!E30*СПРАВОЧНИК!$H$10+'ПЛАН ЧЕРН К2'!F30*СПРАВОЧНИК!$I$10+'ПЛАН ЧЕРН К2'!G30*СПРАВОЧНИК!$J$10+'ПЛАН ЧЕРН К2'!H30*СПРАВОЧНИК!$H$11+'ПЛАН ЧЕРН К2'!I30*СПРАВОЧНИК!$I$11+'ПЛАН ЧЕРН К2'!J30*СПРАВОЧНИК!$J$11+'ПЛАН ЧЕРН К2'!K30*СПРАВОЧНИК!$H$12+'ПЛАН ЧЕРН К2'!L30*СПРАВОЧНИК!$I$12+'ПЛАН ЧЕРН К2'!M30*СПРАВОЧНИК!$J$12+'ПЛАН ЧЕРН К2'!N30*СПРАВОЧНИК!$H$13+'ПЛАН ЧЕРН К2'!O30*СПРАВОЧНИК!$I$13+'ПЛАН ЧЕРН К2'!P30*СПРАВОЧНИК!$J$13+'ПЛАН ЧЕРН К2'!Q30*СПРАВОЧНИК!$H$14+'ПЛАН ЧЕРН К2'!R30*СПРАВОЧНИК!$I$14+'ПЛАН ЧЕРН К2'!S30*СПРАВОЧНИК!$J$14+'ПЛАН ЧЕРН К2'!T30*СПРАВОЧНИК!$H$15+'ПЛАН ЧЕРН К2'!U30*СПРАВОЧНИК!$I$15+'ПЛАН ЧЕРН К2'!V30*СПРАВОЧНИК!$J$15</f>
        <v/>
      </c>
      <c r="AU39" s="40">
        <f>('ФАКТ ЧЕРН К2'!B30)*СПРАВОЧНИК!$H$9+('ФАКТ ЧЕРН К2'!C30)*СПРАВОЧНИК!$I$9+('ФАКТ ЧЕРН К2'!D30)*СПРАВОЧНИК!$J$9+('ФАКТ ЧЕРН К2'!E30)*СПРАВОЧНИК!$H$10+('ФАКТ ЧЕРН К2'!F30)*СПРАВОЧНИК!$I$10+('ФАКТ ЧЕРН К2'!G30)*СПРАВОЧНИК!$J$10+('ФАКТ ЧЕРН К2'!H30)*СПРАВОЧНИК!$H$11+('ФАКТ ЧЕРН К2'!I30)*СПРАВОЧНИК!$I$11+('ФАКТ ЧЕРН К2'!J30)*СПРАВОЧНИК!$J$11+('ФАКТ ЧЕРН К2'!K30)*СПРАВОЧНИК!$H$12+('ФАКТ ЧЕРН К2'!L30)*СПРАВОЧНИК!$I$12+('ФАКТ ЧЕРН К2'!M30)*СПРАВОЧНИК!$J$12+('ФАКТ ЧЕРН К2'!N30)*СПРАВОЧНИК!$H$13+('ФАКТ ЧЕРН К2'!O30)*СПРАВОЧНИК!$I$13+('ФАКТ ЧЕРН К2'!P30)*СПРАВОЧНИК!$J$13+('ФАКТ ЧЕРН К2'!Q30)*СПРАВОЧНИК!$H$14+('ФАКТ ЧЕРН К2'!R30)*СПРАВОЧНИК!$I$14+('ФАКТ ЧЕРН К2'!S30)*СПРАВОЧНИК!$J$14+('ФАКТ ЧЕРН К2'!T30)*СПРАВОЧНИК!$H$15+('ФАКТ ЧЕРН К2'!U30)*СПРАВОЧНИК!$I$15+('ФАКТ ЧЕРН К2'!V30)*СПРАВОЧНИК!$J$15</f>
        <v/>
      </c>
      <c r="AY39" s="18">
        <f>AY38+7</f>
        <v/>
      </c>
      <c r="AZ39" s="37">
        <f>'ПЛАН ЧИСТ К2'!B30*СПРАВОЧНИК!$L$9+'ПЛАН ЧИСТ К2'!C30*СПРАВОЧНИК!$M$9+'ПЛАН ЧИСТ К2'!D30*СПРАВОЧНИК!$N$9+'ПЛАН ЧИСТ К2'!E30*СПРАВОЧНИК!$O$9+'ПЛАН ЧИСТ К2'!F30*СПРАВОЧНИК!$L$10+'ПЛАН ЧИСТ К2'!G30*СПРАВОЧНИК!$M$10+'ПЛАН ЧИСТ К2'!H30*СПРАВОЧНИК!$N$10+'ПЛАН ЧИСТ К2'!I30*СПРАВОЧНИК!$O$10+'ПЛАН ЧИСТ К2'!J30*СПРАВОЧНИК!$L$11+'ПЛАН ЧИСТ К2'!K30*СПРАВОЧНИК!$M$11+'ПЛАН ЧИСТ К2'!L30*СПРАВОЧНИК!$N$11+'ПЛАН ЧИСТ К2'!M30*СПРАВОЧНИК!$L$12+'ПЛАН ЧИСТ К2'!N30*СПРАВОЧНИК!$M$12+'ПЛАН ЧИСТ К2'!O30*СПРАВОЧНИК!$N$12+'ПЛАН ЧИСТ К2'!P30*СПРАВОЧНИК!$O$12+'ПЛАН ЧИСТ К2'!Q30*СПРАВОЧНИК!$L$13+'ПЛАН ЧИСТ К2'!R30*СПРАВОЧНИК!$M$13+'ПЛАН ЧИСТ К2'!S30*СПРАВОЧНИК!$N$13+'ПЛАН ЧИСТ К2'!T30*СПРАВОЧНИК!$O$13+'ПЛАН ЧИСТ К2'!U30*СПРАВОЧНИК!$L$14+'ПЛАН ЧИСТ К2'!V30*СПРАВОЧНИК!$M$14+'ПЛАН ЧИСТ К2'!W30*СПРАВОЧНИК!$N$14+'ПЛАН ЧИСТ К2'!X30*СПРАВОЧНИК!$L$15+'ПЛАН ЧИСТ К2'!Y30*СПРАВОЧНИК!$M$15+'ПЛАН ЧИСТ К2'!Z30*СПРАВОЧНИК!$N$15</f>
        <v/>
      </c>
      <c r="BA39" s="40">
        <f>('ФАКТ ЧИСТ К2'!B30)*СПРАВОЧНИК!$L$9+('ФАКТ ЧИСТ К2'!C30)*СПРАВОЧНИК!$M$9+('ФАКТ ЧИСТ К2'!D30)*СПРАВОЧНИК!$N$9+('ФАКТ ЧИСТ К2'!E30)*СПРАВОЧНИК!$O$9+('ФАКТ ЧИСТ К2'!F30)*СПРАВОЧНИК!$L$10+('ФАКТ ЧИСТ К2'!G30)*СПРАВОЧНИК!$M$10+('ФАКТ ЧИСТ К2'!H30)*СПРАВОЧНИК!$N$10+('ФАКТ ЧИСТ К2'!I30)*СПРАВОЧНИК!$O$10+('ФАКТ ЧИСТ К2'!J30)*СПРАВОЧНИК!$L$11+('ФАКТ ЧИСТ К2'!K30)*СПРАВОЧНИК!$M$11+('ФАКТ ЧИСТ К2'!L30)*СПРАВОЧНИК!$N$11+('ФАКТ ЧИСТ К2'!M30)*СПРАВОЧНИК!$L$12+('ФАКТ ЧИСТ К2'!N30)*СПРАВОЧНИК!$M$12+('ФАКТ ЧИСТ К2'!O30)*СПРАВОЧНИК!$N$12+('ФАКТ ЧИСТ К2'!P30)*СПРАВОЧНИК!$O$12+('ФАКТ ЧИСТ К2'!Q30)*СПРАВОЧНИК!$L$13+('ФАКТ ЧИСТ К2'!R30)*СПРАВОЧНИК!$M$13+('ФАКТ ЧИСТ К2'!S30)*СПРАВОЧНИК!$N$13+('ФАКТ ЧИСТ К2'!T30)*СПРАВОЧНИК!$O$13+('ФАКТ ЧИСТ К2'!U30)*СПРАВОЧНИК!$L$14+('ФАКТ ЧИСТ К2'!V30)*СПРАВОЧНИК!$M$14+('ФАКТ ЧИСТ К2'!W30)*СПРАВОЧНИК!$N$14+('ФАКТ ЧИСТ К2'!X30)*СПРАВОЧНИК!$L$15+('ФАКТ ЧИСТ К2'!Y30)*СПРАВОЧНИК!$M$15+('ФАКТ ЧИСТ К2'!Z30)*СПРАВОЧНИК!$N$15</f>
        <v/>
      </c>
      <c r="BE39" s="18">
        <f>BE38+7</f>
        <v/>
      </c>
      <c r="BF39" s="37">
        <f>СПРАВОЧНИК!$E$9*('ПЛАН ЧЕРН К3'!B30*СПРАВОЧНИК!$H$9+'ПЛАН ЧЕРН К3'!C30*СПРАВОЧНИК!$I$9+'ПЛАН ЧЕРН К3'!D30*СПРАВОЧНИК!$J$9)+СПРАВОЧНИК!$E$10*('ПЛАН ЧЕРН К3'!E30*СПРАВОЧНИК!$H$10+'ПЛАН ЧЕРН К3'!F30*СПРАВОЧНИК!$I$10+'ПЛАН ЧЕРН К3'!G30*СПРАВОЧНИК!$J$10)+СПРАВОЧНИК!$E$11*('ПЛАН ЧЕРН К3'!H30*СПРАВОЧНИК!$H$11+'ПЛАН ЧЕРН К3'!I30*СПРАВОЧНИК!$I$11+'ПЛАН ЧЕРН К3'!J30*СПРАВОЧНИК!$J$11)+СПРАВОЧНИК!$E$12*('ПЛАН ЧЕРН К3'!K30*СПРАВОЧНИК!$H$12+'ПЛАН ЧЕРН К3'!L30*СПРАВОЧНИК!$I$12+'ПЛАН ЧЕРН К3'!M30*СПРАВОЧНИК!$J$12)+СПРАВОЧНИК!$E$13*('ПЛАН ЧЕРН К3'!N30*СПРАВОЧНИК!$H$13+'ПЛАН ЧЕРН К3'!O30*СПРАВОЧНИК!$I$13+'ПЛАН ЧЕРН К3'!P30*СПРАВОЧНИК!$J$13)+СПРАВОЧНИК!$E$14*('ПЛАН ЧЕРН К3'!Q30*СПРАВОЧНИК!$H$14+'ПЛАН ЧЕРН К3'!R30*СПРАВОЧНИК!$I$14+'ПЛАН ЧЕРН К3'!S30*СПРАВОЧНИК!$J$14)+СПРАВОЧНИК!$E$15*('ПЛАН ЧЕРН К3'!T30*СПРАВОЧНИК!$H$15+'ПЛАН ЧЕРН К3'!U30*СПРАВОЧНИК!$I$15+'ПЛАН ЧЕРН К3'!V30*СПРАВОЧНИК!$J$15)+СПРАВОЧНИК!$F$9*('ПЛАН ЧИСТ К3'!B30*СПРАВОЧНИК!$L$9+'ПЛАН ЧИСТ К3'!C30*СПРАВОЧНИК!$M$9+'ПЛАН ЧИСТ К3'!D30*СПРАВОЧНИК!$N$9+'ПЛАН ЧИСТ К3'!E30*СПРАВОЧНИК!$O$9)+СПРАВОЧНИК!$F$10*('ПЛАН ЧИСТ К3'!F30*СПРАВОЧНИК!$L$10+'ПЛАН ЧИСТ К3'!G30*СПРАВОЧНИК!$M$10+'ПЛАН ЧИСТ К3'!H30*СПРАВОЧНИК!$N$10+'ПЛАН ЧИСТ К3'!I30*СПРАВОЧНИК!$O$10)+СПРАВОЧНИК!$F$11*('ПЛАН ЧИСТ К3'!J30*СПРАВОЧНИК!$L$11+'ПЛАН ЧИСТ К3'!K30*СПРАВОЧНИК!$M$11+'ПЛАН ЧИСТ К3'!L30*СПРАВОЧНИК!$N$11)+СПРАВОЧНИК!$F$12*('ПЛАН ЧИСТ К3'!M30*СПРАВОЧНИК!$L$12+'ПЛАН ЧИСТ К3'!N30*СПРАВОЧНИК!$M$12+'ПЛАН ЧИСТ К3'!O30*СПРАВОЧНИК!$N$12+'ПЛАН ЧИСТ К3'!P30*СПРАВОЧНИК!$O$12)+СПРАВОЧНИК!$F$13*('ПЛАН ЧИСТ К3'!Q30*СПРАВОЧНИК!$L$13+'ПЛАН ЧИСТ К3'!R30*СПРАВОЧНИК!$M$13+'ПЛАН ЧИСТ К3'!S30*СПРАВОЧНИК!$N$13+'ПЛАН ЧИСТ К3'!T30*СПРАВОЧНИК!$O$13)+СПРАВОЧНИК!$F$14*('ПЛАН ЧИСТ К3'!U30*СПРАВОЧНИК!$L$14+'ПЛАН ЧИСТ К3'!V30*СПРАВОЧНИК!$M$14+'ПЛАН ЧИСТ К3'!W30*СПРАВОЧНИК!$N$14)+СПРАВОЧНИК!$F$15*('ПЛАН ЧИСТ К3'!X30*СПРАВОЧНИК!$L$15+'ПЛАН ЧИСТ К3'!Y30*СПРАВОЧНИК!$M$15+'ПЛАН ЧИСТ К3'!Z30*СПРАВОЧНИК!$N$15)</f>
        <v/>
      </c>
      <c r="BG39" s="40">
        <f>СПРАВОЧНИК!$E$9*(('ФАКТ ЧЕРН К3'!B30)*СПРАВОЧНИК!$H$9+('ФАКТ ЧЕРН К3'!C30)*СПРАВОЧНИК!$I$9+('ФАКТ ЧЕРН К3'!D30)*СПРАВОЧНИК!$J$9)+СПРАВОЧНИК!$E$10*(('ФАКТ ЧЕРН К3'!E30)*СПРАВОЧНИК!$H$10+('ФАКТ ЧЕРН К3'!F30)*СПРАВОЧНИК!$I$10+('ФАКТ ЧЕРН К3'!G30)*СПРАВОЧНИК!$J$10)+СПРАВОЧНИК!$E$11*(('ФАКТ ЧЕРН К3'!H30)*СПРАВОЧНИК!$H$11+('ФАКТ ЧЕРН К3'!I30)*СПРАВОЧНИК!$I$11+('ФАКТ ЧЕРН К3'!J30)*СПРАВОЧНИК!$J$11)+СПРАВОЧНИК!$E$12*(('ФАКТ ЧЕРН К3'!K30)*СПРАВОЧНИК!$H$12+('ФАКТ ЧЕРН К3'!L30)*СПРАВОЧНИК!$I$12+('ФАКТ ЧЕРН К3'!M30)*СПРАВОЧНИК!$J$12)+СПРАВОЧНИК!$E$13*(('ФАКТ ЧЕРН К3'!N30)*СПРАВОЧНИК!$H$13+('ФАКТ ЧЕРН К3'!O30)*СПРАВОЧНИК!$I$13+('ФАКТ ЧЕРН К3'!P30)*СПРАВОЧНИК!$J$13)+СПРАВОЧНИК!$E$14*(('ФАКТ ЧЕРН К3'!Q30)*СПРАВОЧНИК!$H$14+('ФАКТ ЧЕРН К3'!R30)*СПРАВОЧНИК!$I$14+('ФАКТ ЧЕРН К3'!S30)*СПРАВОЧНИК!$J$14)+СПРАВОЧНИК!$E$15*(('ФАКТ ЧЕРН К3'!T30)*СПРАВОЧНИК!$H$15+('ФАКТ ЧЕРН К3'!U30)*СПРАВОЧНИК!$I$15+('ФАКТ ЧЕРН К3'!V30)*СПРАВОЧНИК!$J$15)+СПРАВОЧНИК!$F$9*(('ФАКТ ЧИСТ К3'!B30)*СПРАВОЧНИК!$L$9+('ФАКТ ЧИСТ К3'!C30)*СПРАВОЧНИК!$M$9+('ФАКТ ЧИСТ К3'!D30)*СПРАВОЧНИК!$N$9+('ФАКТ ЧИСТ К3'!E30)*СПРАВОЧНИК!$O$9)+СПРАВОЧНИК!$F$10*(('ФАКТ ЧИСТ К3'!F30)*СПРАВОЧНИК!$L$10+('ФАКТ ЧИСТ К3'!G30)*СПРАВОЧНИК!$M$10+('ФАКТ ЧИСТ К3'!H30)*СПРАВОЧНИК!$N$10+('ФАКТ ЧИСТ К3'!I30)*СПРАВОЧНИК!$O$10)+СПРАВОЧНИК!$F$11*(('ФАКТ ЧИСТ К3'!J30)*СПРАВОЧНИК!$L$11+('ФАКТ ЧИСТ К3'!K30)*СПРАВОЧНИК!$M$11+('ФАКТ ЧИСТ К3'!L30)*СПРАВОЧНИК!$N$11)+СПРАВОЧНИК!$F$12*(('ФАКТ ЧИСТ К3'!M30)*СПРАВОЧНИК!$L$12+('ФАКТ ЧИСТ К3'!N30)*СПРАВОЧНИК!$M$12+('ФАКТ ЧИСТ К3'!O30)*СПРАВОЧНИК!$N$12+('ФАКТ ЧИСТ К3'!P30)*СПРАВОЧНИК!$O$12)+СПРАВОЧНИК!$F$13*(('ФАКТ ЧИСТ К3'!Q30)*СПРАВОЧНИК!$L$13+('ФАКТ ЧИСТ К3'!R30)*СПРАВОЧНИК!$M$13+('ФАКТ ЧИСТ К3'!S30)*СПРАВОЧНИК!$N$13+('ФАКТ ЧИСТ К3'!T30)*СПРАВОЧНИК!$O$13)+СПРАВОЧНИК!$F$14*(('ФАКТ ЧИСТ К3'!U30)*СПРАВОЧНИК!$L$14+('ФАКТ ЧИСТ К3'!V30)*СПРАВОЧНИК!$M$14+('ФАКТ ЧИСТ К3'!W30)*СПРАВОЧНИК!$N$14)+СПРАВОЧНИК!$F$15*(('ФАКТ ЧИСТ К3'!X30)*СПРАВОЧНИК!$L$15+('ФАКТ ЧИСТ К3'!Y30)*СПРАВОЧНИК!$M$15+('ФАКТ ЧИСТ К3'!Z30)*СПРАВОЧНИК!$N$15)</f>
        <v/>
      </c>
      <c r="BK39" s="18">
        <f>BK38+7</f>
        <v/>
      </c>
      <c r="BL39" s="37">
        <f>'ПЛАН ЧЕРН К3'!B30*СПРАВОЧНИК!$H$9+'ПЛАН ЧЕРН К3'!C30*СПРАВОЧНИК!$I$9+'ПЛАН ЧЕРН К3'!D30*СПРАВОЧНИК!$J$9+'ПЛАН ЧЕРН К3'!E30*СПРАВОЧНИК!$H$10+'ПЛАН ЧЕРН К3'!F30*СПРАВОЧНИК!$I$10+'ПЛАН ЧЕРН К3'!G30*СПРАВОЧНИК!$J$10+'ПЛАН ЧЕРН К3'!H30*СПРАВОЧНИК!$H$11+'ПЛАН ЧЕРН К3'!I30*СПРАВОЧНИК!$I$11+'ПЛАН ЧЕРН К3'!J30*СПРАВОЧНИК!$J$11+'ПЛАН ЧЕРН К3'!K30*СПРАВОЧНИК!$H$12+'ПЛАН ЧЕРН К3'!L30*СПРАВОЧНИК!$I$12+'ПЛАН ЧЕРН К3'!M30*СПРАВОЧНИК!$J$12+'ПЛАН ЧЕРН К3'!N30*СПРАВОЧНИК!$H$13+'ПЛАН ЧЕРН К3'!O30*СПРАВОЧНИК!$I$13+'ПЛАН ЧЕРН К3'!P30*СПРАВОЧНИК!$J$13+'ПЛАН ЧЕРН К3'!Q30*СПРАВОЧНИК!$H$14+'ПЛАН ЧЕРН К3'!R30*СПРАВОЧНИК!$I$14+'ПЛАН ЧЕРН К3'!S30*СПРАВОЧНИК!$J$14+'ПЛАН ЧЕРН К3'!T30*СПРАВОЧНИК!$H$15+'ПЛАН ЧЕРН К3'!U30*СПРАВОЧНИК!$I$15+'ПЛАН ЧЕРН К3'!V30*СПРАВОЧНИК!$J$15</f>
        <v/>
      </c>
      <c r="BM39" s="40">
        <f>('ФАКТ ЧЕРН К3'!B30)*СПРАВОЧНИК!$H$9+('ФАКТ ЧЕРН К3'!C30)*СПРАВОЧНИК!$I$9+('ФАКТ ЧЕРН К3'!D30)*СПРАВОЧНИК!$J$9+('ФАКТ ЧЕРН К3'!E30)*СПРАВОЧНИК!$H$10+('ФАКТ ЧЕРН К3'!F30)*СПРАВОЧНИК!$I$10+('ФАКТ ЧЕРН К3'!G30)*СПРАВОЧНИК!$J$10+('ФАКТ ЧЕРН К3'!H30)*СПРАВОЧНИК!$H$11+('ФАКТ ЧЕРН К3'!I30)*СПРАВОЧНИК!$I$11+('ФАКТ ЧЕРН К3'!J30)*СПРАВОЧНИК!$J$11+('ФАКТ ЧЕРН К3'!K30)*СПРАВОЧНИК!$H$12+('ФАКТ ЧЕРН К3'!L30)*СПРАВОЧНИК!$I$12+('ФАКТ ЧЕРН К3'!M30)*СПРАВОЧНИК!$J$12+('ФАКТ ЧЕРН К3'!N30)*СПРАВОЧНИК!$H$13+('ФАКТ ЧЕРН К3'!O30)*СПРАВОЧНИК!$I$13+('ФАКТ ЧЕРН К3'!P30)*СПРАВОЧНИК!$J$13+('ФАКТ ЧЕРН К3'!Q30)*СПРАВОЧНИК!$H$14+('ФАКТ ЧЕРН К3'!R30)*СПРАВОЧНИК!$I$14+('ФАКТ ЧЕРН К3'!S30)*СПРАВОЧНИК!$J$14+('ФАКТ ЧЕРН К3'!T30)*СПРАВОЧНИК!$H$15+('ФАКТ ЧЕРН К3'!U30)*СПРАВОЧНИК!$I$15+('ФАКТ ЧЕРН К3'!V30)*СПРАВОЧНИК!$J$15</f>
        <v/>
      </c>
      <c r="BQ39" s="18">
        <f>BQ38+7</f>
        <v/>
      </c>
      <c r="BR39" s="37">
        <f>'ПЛАН ЧИСТ К3'!B30*СПРАВОЧНИК!$L$9+'ПЛАН ЧИСТ К3'!C30*СПРАВОЧНИК!$M$9+'ПЛАН ЧИСТ К3'!D30*СПРАВОЧНИК!$N$9+'ПЛАН ЧИСТ К3'!E30*СПРАВОЧНИК!$O$9+'ПЛАН ЧИСТ К3'!F30*СПРАВОЧНИК!$L$10+'ПЛАН ЧИСТ К3'!G30*СПРАВОЧНИК!$M$10+'ПЛАН ЧИСТ К3'!H30*СПРАВОЧНИК!$N$10+'ПЛАН ЧИСТ К3'!I30*СПРАВОЧНИК!$O$10+'ПЛАН ЧИСТ К3'!J30*СПРАВОЧНИК!$L$11+'ПЛАН ЧИСТ К3'!K30*СПРАВОЧНИК!$M$11+'ПЛАН ЧИСТ К3'!L30*СПРАВОЧНИК!$N$11+'ПЛАН ЧИСТ К3'!M30*СПРАВОЧНИК!$L$12+'ПЛАН ЧИСТ К3'!N30*СПРАВОЧНИК!$M$12+'ПЛАН ЧИСТ К3'!O30*СПРАВОЧНИК!$N$12+'ПЛАН ЧИСТ К3'!P30*СПРАВОЧНИК!$O$12+'ПЛАН ЧИСТ К3'!Q30*СПРАВОЧНИК!$L$13+'ПЛАН ЧИСТ К3'!R30*СПРАВОЧНИК!$M$13+'ПЛАН ЧИСТ К3'!S30*СПРАВОЧНИК!$N$13+'ПЛАН ЧИСТ К3'!T30*СПРАВОЧНИК!$O$13+'ПЛАН ЧИСТ К3'!U30*СПРАВОЧНИК!$L$14+'ПЛАН ЧИСТ К3'!V30*СПРАВОЧНИК!$M$14+'ПЛАН ЧИСТ К3'!W30*СПРАВОЧНИК!$N$14+'ПЛАН ЧИСТ К3'!X30*СПРАВОЧНИК!$L$15+'ПЛАН ЧИСТ К3'!Y30*СПРАВОЧНИК!$M$15+'ПЛАН ЧИСТ К3'!Z30*СПРАВОЧНИК!$N$15</f>
        <v/>
      </c>
      <c r="BS39" s="40">
        <f>('ФАКТ ЧИСТ К3'!B30)*СПРАВОЧНИК!$L$9+('ФАКТ ЧИСТ К3'!C30)*СПРАВОЧНИК!$M$9+('ФАКТ ЧИСТ К3'!D30)*СПРАВОЧНИК!$N$9+('ФАКТ ЧИСТ К3'!E30)*СПРАВОЧНИК!$O$9+('ФАКТ ЧИСТ К3'!F30)*СПРАВОЧНИК!$L$10+('ФАКТ ЧИСТ К3'!G30)*СПРАВОЧНИК!$M$10+('ФАКТ ЧИСТ К3'!H30)*СПРАВОЧНИК!$N$10+('ФАКТ ЧИСТ К3'!I30)*СПРАВОЧНИК!$O$10+('ФАКТ ЧИСТ К3'!J30)*СПРАВОЧНИК!$L$11+('ФАКТ ЧИСТ К3'!K30)*СПРАВОЧНИК!$M$11+('ФАКТ ЧИСТ К3'!L30)*СПРАВОЧНИК!$N$11+('ФАКТ ЧИСТ К3'!M30)*СПРАВОЧНИК!$L$12+('ФАКТ ЧИСТ К3'!N30)*СПРАВОЧНИК!$M$12+('ФАКТ ЧИСТ К3'!O30)*СПРАВОЧНИК!$N$12+('ФАКТ ЧИСТ К3'!P30)*СПРАВОЧНИК!$O$12+('ФАКТ ЧИСТ К3'!Q30)*СПРАВОЧНИК!$L$13+('ФАКТ ЧИСТ К3'!R30)*СПРАВОЧНИК!$M$13+('ФАКТ ЧИСТ К3'!S30)*СПРАВОЧНИК!$N$13+('ФАКТ ЧИСТ К3'!T30)*СПРАВОЧНИК!$O$13+('ФАКТ ЧИСТ К3'!U30)*СПРАВОЧНИК!$L$14+('ФАКТ ЧИСТ К3'!V30)*СПРАВОЧНИК!$M$14+('ФАКТ ЧИСТ К3'!W30)*СПРАВОЧНИК!$N$14+('ФАКТ ЧИСТ К3'!X30)*СПРАВОЧНИК!$L$15+('ФАКТ ЧИСТ К3'!Y30)*СПРАВОЧНИК!$M$15+('ФАКТ ЧИСТ К3'!Z30)*СПРАВОЧНИК!$N$15</f>
        <v/>
      </c>
      <c r="BW39" s="18">
        <f>BW38+7</f>
        <v/>
      </c>
      <c r="BX39" s="37">
        <f>V39+AN39+BF39</f>
        <v/>
      </c>
      <c r="BY39" s="40">
        <f>W39+AO39+BG39</f>
        <v/>
      </c>
      <c r="CC39" s="18">
        <f>CC38+7</f>
        <v/>
      </c>
      <c r="CD39" s="37">
        <f>AB39+AT39+BL39</f>
        <v/>
      </c>
      <c r="CE39" s="40">
        <f>AC39+AU39+BM39</f>
        <v/>
      </c>
      <c r="CI39" s="18">
        <f>CI38+7</f>
        <v/>
      </c>
      <c r="CJ39" s="37">
        <f>AH39+AZ39+BR39</f>
        <v/>
      </c>
      <c r="CK39" s="40">
        <f>AI39+BA39+BS39</f>
        <v/>
      </c>
      <c r="CO39" s="18">
        <f>CO38+7</f>
        <v/>
      </c>
      <c r="CP39" s="37">
        <f>D39+BX39</f>
        <v/>
      </c>
      <c r="CQ39" s="40">
        <f>E39+BY39</f>
        <v/>
      </c>
      <c r="CU39" s="18">
        <f>CU38+7</f>
        <v/>
      </c>
      <c r="CV39" s="37">
        <f>J39+CD39</f>
        <v/>
      </c>
      <c r="CW39" s="40">
        <f>K39+CE39</f>
        <v/>
      </c>
      <c r="DA39" s="18">
        <f>DA38+7</f>
        <v/>
      </c>
      <c r="DB39" s="37">
        <f>P39+CJ39</f>
        <v/>
      </c>
      <c r="DC39" s="40">
        <f>Q39+CK39</f>
        <v/>
      </c>
    </row>
    <row r="40">
      <c r="C40" s="18">
        <f>C39+7</f>
        <v/>
      </c>
      <c r="D40" s="37">
        <f>СПРАВОЧНИК!$E$3*('ПЛАН ЧЕРН ПОДЗЕМ'!B31*СПРАВОЧНИК!$H$3+'ПЛАН ЧЕРН ПОДЗЕМ'!C31*СПРАВОЧНИК!$I$3+'ПЛАН ЧЕРН ПОДЗЕМ'!D31*СПРАВОЧНИК!$J$3)+СПРАВОЧНИК!$E$4*('ПЛАН ЧЕРН ПОДЗЕМ'!E31*СПРАВОЧНИК!$H$4+'ПЛАН ЧЕРН ПОДЗЕМ'!F31*СПРАВОЧНИК!$I$4+'ПЛАН ЧЕРН ПОДЗЕМ'!G31*СПРАВОЧНИК!$J$4)+СПРАВОЧНИК!$E$5*('ПЛАН ЧЕРН ПОДЗЕМ'!H31*СПРАВОЧНИК!$H$5+'ПЛАН ЧЕРН ПОДЗЕМ'!I31*СПРАВОЧНИК!$I$5+'ПЛАН ЧЕРН ПОДЗЕМ'!J31*СПРАВОЧНИК!$J$5)+СПРАВОЧНИК!$E$6*('ПЛАН ЧЕРН ПОДЗЕМ'!K31*СПРАВОЧНИК!$H$6+'ПЛАН ЧЕРН ПОДЗЕМ'!L31*СПРАВОЧНИК!$I$6+'ПЛАН ЧЕРН ПОДЗЕМ'!M31*СПРАВОЧНИК!$J$6)+СПРАВОЧНИК!$E$7*('ПЛАН ЧЕРН ПОДЗЕМ'!N31*СПРАВОЧНИК!$H$7+'ПЛАН ЧЕРН ПОДЗЕМ'!O31*СПРАВОЧНИК!$I$7+'ПЛАН ЧЕРН ПОДЗЕМ'!P31*СПРАВОЧНИК!$J$7)+СПРАВОЧНИК!$E$8*('ПЛАН ЧЕРН ПОДЗЕМ'!Q31*СПРАВОЧНИК!$H$8+'ПЛАН ЧЕРН ПОДЗЕМ'!R31*СПРАВОЧНИК!$I$8+'ПЛАН ЧЕРН ПОДЗЕМ'!S31*СПРАВОЧНИК!$J$8)+СПРАВОЧНИК!$F$3*('ПЛАН ЧИСТ ПОДЗЕМ'!B31*СПРАВОЧНИК!$L$3+'ПЛАН ЧИСТ ПОДЗЕМ'!C31*СПРАВОЧНИК!$M$3+'ПЛАН ЧИСТ ПОДЗЕМ'!D31*СПРАВОЧНИК!$N$3+'ПЛАН ЧИСТ ПОДЗЕМ'!E31*СПРАВОЧНИК!$O$3)+СПРАВОЧНИК!$F$4*('ПЛАН ЧИСТ ПОДЗЕМ'!F31*СПРАВОЧНИК!$L$4+'ПЛАН ЧИСТ ПОДЗЕМ'!G31*СПРАВОЧНИК!$M$4+'ПЛАН ЧИСТ ПОДЗЕМ'!H31*СПРАВОЧНИК!$N$4+'ПЛАН ЧИСТ ПОДЗЕМ'!I31*СПРАВОЧНИК!$O$4)+СПРАВОЧНИК!$F$5*('ПЛАН ЧИСТ ПОДЗЕМ'!J31*СПРАВОЧНИК!$L$5+'ПЛАН ЧИСТ ПОДЗЕМ'!K31*СПРАВОЧНИК!$M$5+'ПЛАН ЧИСТ ПОДЗЕМ'!L31*СПРАВОЧНИК!$N$5)+СПРАВОЧНИК!$F$6*('ПЛАН ЧИСТ ПОДЗЕМ'!M31*СПРАВОЧНИК!$L$6+'ПЛАН ЧИСТ ПОДЗЕМ'!N31*СПРАВОЧНИК!$M$6+'ПЛАН ЧИСТ ПОДЗЕМ'!O31*СПРАВОЧНИК!$N$6+'ПЛАН ЧИСТ ПОДЗЕМ'!P31*СПРАВОЧНИК!$O$6)+СПРАВОЧНИК!$F$7*('ПЛАН ЧИСТ ПОДЗЕМ'!Q31*СПРАВОЧНИК!$L$7+'ПЛАН ЧИСТ ПОДЗЕМ'!R31*СПРАВОЧНИК!$M$7+'ПЛАН ЧИСТ ПОДЗЕМ'!S31*СПРАВОЧНИК!$N$7+'ПЛАН ЧИСТ ПОДЗЕМ'!T31*СПРАВОЧНИК!$O$7)+СПРАВОЧНИК!$F$8*('ПЛАН ЧИСТ ПОДЗЕМ'!U31*СПРАВОЧНИК!$L$8+'ПЛАН ЧИСТ ПОДЗЕМ'!V31*СПРАВОЧНИК!$M$8+'ПЛАН ЧИСТ ПОДЗЕМ'!W31*СПРАВОЧНИК!$N$8)</f>
        <v/>
      </c>
      <c r="E40" s="40">
        <f>СПРАВОЧНИК!$E$3*(('ФАКТ ЧЕРН ПОДЗЕМ'!B31)*СПРАВОЧНИК!$H$3+('ФАКТ ЧЕРН ПОДЗЕМ'!C31)*СПРАВОЧНИК!$I$3+('ФАКТ ЧЕРН ПОДЗЕМ'!D31)*СПРАВОЧНИК!$J$3)+СПРАВОЧНИК!$E$4*(('ФАКТ ЧЕРН ПОДЗЕМ'!E31)*СПРАВОЧНИК!$H$4+('ФАКТ ЧЕРН ПОДЗЕМ'!F31)*СПРАВОЧНИК!$I$4+('ФАКТ ЧЕРН ПОДЗЕМ'!G31)*СПРАВОЧНИК!$J$4)+СПРАВОЧНИК!$E$5*(('ФАКТ ЧЕРН ПОДЗЕМ'!H31)*СПРАВОЧНИК!$H$5+('ФАКТ ЧЕРН ПОДЗЕМ'!I31)*СПРАВОЧНИК!$I$5+('ФАКТ ЧЕРН ПОДЗЕМ'!J31)*СПРАВОЧНИК!$J$5)+СПРАВОЧНИК!$E$6*(('ФАКТ ЧЕРН ПОДЗЕМ'!K31)*СПРАВОЧНИК!$H$6+('ФАКТ ЧЕРН ПОДЗЕМ'!L31)*СПРАВОЧНИК!$I$6+('ФАКТ ЧЕРН ПОДЗЕМ'!M31)*СПРАВОЧНИК!$J$6)+СПРАВОЧНИК!$E$7*(('ФАКТ ЧЕРН ПОДЗЕМ'!N31)*СПРАВОЧНИК!$H$7+('ФАКТ ЧЕРН ПОДЗЕМ'!O31)*СПРАВОЧНИК!$I$7+('ФАКТ ЧЕРН ПОДЗЕМ'!P31)*СПРАВОЧНИК!$J$7)+СПРАВОЧНИК!$E$8*(('ФАКТ ЧЕРН ПОДЗЕМ'!Q31)*СПРАВОЧНИК!$H$8+('ФАКТ ЧЕРН ПОДЗЕМ'!R31)*СПРАВОЧНИК!$I$8+('ФАКТ ЧЕРН ПОДЗЕМ'!S31)*СПРАВОЧНИК!$J$8)+СПРАВОЧНИК!$F$3*(('ФАКТ ЧИСТ ПОДЗЕМ'!B31)*СПРАВОЧНИК!$L$3+('ФАКТ ЧИСТ ПОДЗЕМ'!C31)*СПРАВОЧНИК!$M$3+('ФАКТ ЧИСТ ПОДЗЕМ'!D31)*СПРАВОЧНИК!$N$3+('ФАКТ ЧИСТ ПОДЗЕМ'!E31)*СПРАВОЧНИК!$O$3)+СПРАВОЧНИК!$F$4*(('ФАКТ ЧИСТ ПОДЗЕМ'!F31)*СПРАВОЧНИК!$L$4+('ФАКТ ЧИСТ ПОДЗЕМ'!G31)*СПРАВОЧНИК!$M$4+('ФАКТ ЧИСТ ПОДЗЕМ'!H31)*СПРАВОЧНИК!$N$4+('ФАКТ ЧИСТ ПОДЗЕМ'!I31)*СПРАВОЧНИК!$O$4)+СПРАВОЧНИК!$F$5*(('ФАКТ ЧИСТ ПОДЗЕМ'!J31)*СПРАВОЧНИК!$L$5+('ФАКТ ЧИСТ ПОДЗЕМ'!K31)*СПРАВОЧНИК!$M$5+('ФАКТ ЧИСТ ПОДЗЕМ'!L31)*СПРАВОЧНИК!$N$5)+СПРАВОЧНИК!$F$6*(('ФАКТ ЧИСТ ПОДЗЕМ'!M31)*СПРАВОЧНИК!$L$6+('ФАКТ ЧИСТ ПОДЗЕМ'!N31)*СПРАВОЧНИК!$M$6+('ФАКТ ЧИСТ ПОДЗЕМ'!O31)*СПРАВОЧНИК!$N$6+('ФАКТ ЧИСТ ПОДЗЕМ'!P31)*СПРАВОЧНИК!$O$6)+СПРАВОЧНИК!$F$7*(('ФАКТ ЧИСТ ПОДЗЕМ'!Q31)*СПРАВОЧНИК!$L$7+('ФАКТ ЧИСТ ПОДЗЕМ'!R31)*СПРАВОЧНИК!$M$7+('ФАКТ ЧИСТ ПОДЗЕМ'!S31)*СПРАВОЧНИК!$N$7+('ФАКТ ЧИСТ ПОДЗЕМ'!T31)*СПРАВОЧНИК!$O$7)+СПРАВОЧНИК!$F$8*(('ФАКТ ЧИСТ ПОДЗЕМ'!U31)*СПРАВОЧНИК!$L$8+('ФАКТ ЧИСТ ПОДЗЕМ'!V31)*СПРАВОЧНИК!$M$8+('ФАКТ ЧИСТ ПОДЗЕМ'!W31)*СПРАВОЧНИК!$N$8)</f>
        <v/>
      </c>
      <c r="I40" s="18">
        <f>I39+7</f>
        <v/>
      </c>
      <c r="J40" s="37">
        <f>'ПЛАН ЧЕРН ПОДЗЕМ'!B31*СПРАВОЧНИК!$H$3+'ПЛАН ЧЕРН ПОДЗЕМ'!C31*СПРАВОЧНИК!$I$3+'ПЛАН ЧЕРН ПОДЗЕМ'!D31*СПРАВОЧНИК!$J$3+'ПЛАН ЧЕРН ПОДЗЕМ'!E31*СПРАВОЧНИК!$H$4+'ПЛАН ЧЕРН ПОДЗЕМ'!F31*СПРАВОЧНИК!$I$4+'ПЛАН ЧЕРН ПОДЗЕМ'!G31*СПРАВОЧНИК!$J$4+'ПЛАН ЧЕРН ПОДЗЕМ'!H31*СПРАВОЧНИК!$H$5+'ПЛАН ЧЕРН ПОДЗЕМ'!I31*СПРАВОЧНИК!$I$5+'ПЛАН ЧЕРН ПОДЗЕМ'!J31*СПРАВОЧНИК!$J$5+'ПЛАН ЧЕРН ПОДЗЕМ'!K31*СПРАВОЧНИК!$H$6+'ПЛАН ЧЕРН ПОДЗЕМ'!L31*СПРАВОЧНИК!$I$6+'ПЛАН ЧЕРН ПОДЗЕМ'!M31*СПРАВОЧНИК!$J$6+'ПЛАН ЧЕРН ПОДЗЕМ'!N31*СПРАВОЧНИК!$H$7+'ПЛАН ЧЕРН ПОДЗЕМ'!O31*СПРАВОЧНИК!$I$7+'ПЛАН ЧЕРН ПОДЗЕМ'!P31*СПРАВОЧНИК!$J$7+'ПЛАН ЧЕРН ПОДЗЕМ'!Q31*СПРАВОЧНИК!$H$8+'ПЛАН ЧЕРН ПОДЗЕМ'!R31*СПРАВОЧНИК!$I$8+'ПЛАН ЧЕРН ПОДЗЕМ'!S31*СПРАВОЧНИК!$J$8</f>
        <v/>
      </c>
      <c r="K40" s="40">
        <f>('ФАКТ ЧЕРН ПОДЗЕМ'!B31)*СПРАВОЧНИК!$H$3+('ФАКТ ЧЕРН ПОДЗЕМ'!C31)*СПРАВОЧНИК!$I$3+('ФАКТ ЧЕРН ПОДЗЕМ'!D31)*СПРАВОЧНИК!$J$3+('ФАКТ ЧЕРН ПОДЗЕМ'!E31)*СПРАВОЧНИК!$H$4+('ФАКТ ЧЕРН ПОДЗЕМ'!F31)*СПРАВОЧНИК!$I$4+('ФАКТ ЧЕРН ПОДЗЕМ'!G31)*СПРАВОЧНИК!$J$4+('ФАКТ ЧЕРН ПОДЗЕМ'!H31)*СПРАВОЧНИК!$H$5+('ФАКТ ЧЕРН ПОДЗЕМ'!I31)*СПРАВОЧНИК!$I$5+('ФАКТ ЧЕРН ПОДЗЕМ'!J31)*СПРАВОЧНИК!$J$5+('ФАКТ ЧЕРН ПОДЗЕМ'!K31)*СПРАВОЧНИК!$H$6+('ФАКТ ЧЕРН ПОДЗЕМ'!L31)*СПРАВОЧНИК!$I$6+('ФАКТ ЧЕРН ПОДЗЕМ'!M31)*СПРАВОЧНИК!$J$6+('ФАКТ ЧЕРН ПОДЗЕМ'!N31)*СПРАВОЧНИК!$H$7+('ФАКТ ЧЕРН ПОДЗЕМ'!O31)*СПРАВОЧНИК!$I$7+('ФАКТ ЧЕРН ПОДЗЕМ'!P31)*СПРАВОЧНИК!$J$7+('ФАКТ ЧЕРН ПОДЗЕМ'!Q31)*СПРАВОЧНИК!$H$8+('ФАКТ ЧЕРН ПОДЗЕМ'!R31)*СПРАВОЧНИК!$I$8+('ФАКТ ЧЕРН ПОДЗЕМ'!S31)*СПРАВОЧНИК!$J$8</f>
        <v/>
      </c>
      <c r="O40" s="18">
        <f>O39+7</f>
        <v/>
      </c>
      <c r="P40" s="37">
        <f>'ПЛАН ЧИСТ ПОДЗЕМ'!B31*СПРАВОЧНИК!$L$3+'ПЛАН ЧИСТ ПОДЗЕМ'!C31*СПРАВОЧНИК!$M$3+'ПЛАН ЧИСТ ПОДЗЕМ'!D31*СПРАВОЧНИК!$N$3+'ПЛАН ЧИСТ ПОДЗЕМ'!E31*СПРАВОЧНИК!$O$3+'ПЛАН ЧИСТ ПОДЗЕМ'!F31*СПРАВОЧНИК!$L$4+'ПЛАН ЧИСТ ПОДЗЕМ'!G31*СПРАВОЧНИК!$M$4+'ПЛАН ЧИСТ ПОДЗЕМ'!H31*СПРАВОЧНИК!$N$4+'ПЛАН ЧИСТ ПОДЗЕМ'!I31*СПРАВОЧНИК!$O$4+'ПЛАН ЧИСТ ПОДЗЕМ'!J31*СПРАВОЧНИК!$L$5+'ПЛАН ЧИСТ ПОДЗЕМ'!K31*СПРАВОЧНИК!$M$5+'ПЛАН ЧИСТ ПОДЗЕМ'!L31*СПРАВОЧНИК!$N$5+'ПЛАН ЧИСТ ПОДЗЕМ'!M31*СПРАВОЧНИК!$L$6+'ПЛАН ЧИСТ ПОДЗЕМ'!N31*СПРАВОЧНИК!$M$6+'ПЛАН ЧИСТ ПОДЗЕМ'!O31*СПРАВОЧНИК!$N$6+'ПЛАН ЧИСТ ПОДЗЕМ'!P31*СПРАВОЧНИК!$O$6+'ПЛАН ЧИСТ ПОДЗЕМ'!Q31*СПРАВОЧНИК!$L$7+'ПЛАН ЧИСТ ПОДЗЕМ'!R31*СПРАВОЧНИК!$M$7+'ПЛАН ЧИСТ ПОДЗЕМ'!S31*СПРАВОЧНИК!$N$7+'ПЛАН ЧИСТ ПОДЗЕМ'!T31*СПРАВОЧНИК!$O$7+'ПЛАН ЧИСТ ПОДЗЕМ'!U31*СПРАВОЧНИК!$L$8+'ПЛАН ЧИСТ ПОДЗЕМ'!V31*СПРАВОЧНИК!$M$8+'ПЛАН ЧИСТ ПОДЗЕМ'!W31*СПРАВОЧНИК!$N$8</f>
        <v/>
      </c>
      <c r="Q40" s="40">
        <f>('ФАКТ ЧИСТ ПОДЗЕМ'!B31)*СПРАВОЧНИК!$L$3+('ФАКТ ЧИСТ ПОДЗЕМ'!C31)*СПРАВОЧНИК!$M$3+('ФАКТ ЧИСТ ПОДЗЕМ'!D31)*СПРАВОЧНИК!$N$3+('ФАКТ ЧИСТ ПОДЗЕМ'!E31)*СПРАВОЧНИК!$O$3+('ФАКТ ЧИСТ ПОДЗЕМ'!F31)*СПРАВОЧНИК!$L$4+('ФАКТ ЧИСТ ПОДЗЕМ'!G31)*СПРАВОЧНИК!$M$4+('ФАКТ ЧИСТ ПОДЗЕМ'!H31)*СПРАВОЧНИК!$N$4+('ФАКТ ЧИСТ ПОДЗЕМ'!I31)*СПРАВОЧНИК!$O$4+('ФАКТ ЧИСТ ПОДЗЕМ'!J31)*СПРАВОЧНИК!$L$5+('ФАКТ ЧИСТ ПОДЗЕМ'!K31)*СПРАВОЧНИК!$M$5+('ФАКТ ЧИСТ ПОДЗЕМ'!L31)*СПРАВОЧНИК!$N$5+('ФАКТ ЧИСТ ПОДЗЕМ'!M31)*СПРАВОЧНИК!$L$6+('ФАКТ ЧИСТ ПОДЗЕМ'!N31)*СПРАВОЧНИК!$M$6+('ФАКТ ЧИСТ ПОДЗЕМ'!O31)*СПРАВОЧНИК!$N$6+('ФАКТ ЧИСТ ПОДЗЕМ'!P31)*СПРАВОЧНИК!$O$6+('ФАКТ ЧИСТ ПОДЗЕМ'!Q31)*СПРАВОЧНИК!$L$7+('ФАКТ ЧИСТ ПОДЗЕМ'!R31)*СПРАВОЧНИК!$M$7+('ФАКТ ЧИСТ ПОДЗЕМ'!S31)*СПРАВОЧНИК!$N$7+('ФАКТ ЧИСТ ПОДЗЕМ'!T31)*СПРАВОЧНИК!$O$7+('ФАКТ ЧИСТ ПОДЗЕМ'!U31)*СПРАВОЧНИК!$L$8+('ФАКТ ЧИСТ ПОДЗЕМ'!V31)*СПРАВОЧНИК!$M$8+('ФАКТ ЧИСТ ПОДЗЕМ'!W31)*СПРАВОЧНИК!$N$8</f>
        <v/>
      </c>
      <c r="U40" s="18">
        <f>U39+7</f>
        <v/>
      </c>
      <c r="V40" s="37">
        <f>СПРАВОЧНИК!$E$9*('ПЛАН ЧЕРН К1'!B31*СПРАВОЧНИК!$H$9+'ПЛАН ЧЕРН К1'!C31*СПРАВОЧНИК!$I$9+'ПЛАН ЧЕРН К1'!D31*СПРАВОЧНИК!$J$9)+СПРАВОЧНИК!$E$10*('ПЛАН ЧЕРН К1'!E31*СПРАВОЧНИК!$H$10+'ПЛАН ЧЕРН К1'!F31*СПРАВОЧНИК!$I$10+'ПЛАН ЧЕРН К1'!G31*СПРАВОЧНИК!$J$10)+СПРАВОЧНИК!$E$11*('ПЛАН ЧЕРН К1'!H31*СПРАВОЧНИК!$H$11+'ПЛАН ЧЕРН К1'!I31*СПРАВОЧНИК!$I$11+'ПЛАН ЧЕРН К1'!J31*СПРАВОЧНИК!$J$11)+СПРАВОЧНИК!$E$12*('ПЛАН ЧЕРН К1'!K31*СПРАВОЧНИК!$H$12+'ПЛАН ЧЕРН К1'!L31*СПРАВОЧНИК!$I$12+'ПЛАН ЧЕРН К1'!M31*СПРАВОЧНИК!$J$12)+СПРАВОЧНИК!$E$13*('ПЛАН ЧЕРН К1'!N31*СПРАВОЧНИК!$H$13+'ПЛАН ЧЕРН К1'!O31*СПРАВОЧНИК!$I$13+'ПЛАН ЧЕРН К1'!P31*СПРАВОЧНИК!$J$13)+СПРАВОЧНИК!$E$14*('ПЛАН ЧЕРН К1'!Q31*СПРАВОЧНИК!$H$14+'ПЛАН ЧЕРН К1'!R31*СПРАВОЧНИК!$I$14+'ПЛАН ЧЕРН К1'!S31*СПРАВОЧНИК!$J$14)+СПРАВОЧНИК!$E$15*('ПЛАН ЧЕРН К1'!T31*СПРАВОЧНИК!$H$15+'ПЛАН ЧЕРН К1'!U31*СПРАВОЧНИК!$I$15+'ПЛАН ЧЕРН К1'!V31*СПРАВОЧНИК!$J$15)+СПРАВОЧНИК!$F$9*('ПЛАН ЧИСТ К1'!B31*СПРАВОЧНИК!$L$9+'ПЛАН ЧИСТ К1'!C31*СПРАВОЧНИК!$M$9+'ПЛАН ЧИСТ К1'!D31*СПРАВОЧНИК!$N$9+'ПЛАН ЧИСТ К1'!E31*СПРАВОЧНИК!$O$9)+СПРАВОЧНИК!$F$10*('ПЛАН ЧИСТ К1'!F31*СПРАВОЧНИК!$L$10+'ПЛАН ЧИСТ К1'!G31*СПРАВОЧНИК!$M$10+'ПЛАН ЧИСТ К1'!H31*СПРАВОЧНИК!$N$10+'ПЛАН ЧИСТ К1'!I31*СПРАВОЧНИК!$O$10)+СПРАВОЧНИК!$F$11*('ПЛАН ЧИСТ К1'!J31*СПРАВОЧНИК!$L$11+'ПЛАН ЧИСТ К1'!K31*СПРАВОЧНИК!$M$11+'ПЛАН ЧИСТ К1'!L31*СПРАВОЧНИК!$N$11)+СПРАВОЧНИК!$F$12*('ПЛАН ЧИСТ К1'!M31*СПРАВОЧНИК!$L$12+'ПЛАН ЧИСТ К1'!N31*СПРАВОЧНИК!$M$12+'ПЛАН ЧИСТ К1'!O31*СПРАВОЧНИК!$N$12+'ПЛАН ЧИСТ К1'!P31*СПРАВОЧНИК!$O$12)+СПРАВОЧНИК!$F$13*('ПЛАН ЧИСТ К1'!Q31*СПРАВОЧНИК!$L$13+'ПЛАН ЧИСТ К1'!R31*СПРАВОЧНИК!$M$13+'ПЛАН ЧИСТ К1'!S31*СПРАВОЧНИК!$N$13+'ПЛАН ЧИСТ К1'!T31*СПРАВОЧНИК!$O$13)+СПРАВОЧНИК!$F$14*('ПЛАН ЧИСТ К1'!U31*СПРАВОЧНИК!$L$14+'ПЛАН ЧИСТ К1'!V31*СПРАВОЧНИК!$M$14+'ПЛАН ЧИСТ К1'!W31*СПРАВОЧНИК!$N$14)+СПРАВОЧНИК!$F$15*('ПЛАН ЧИСТ К1'!X31*СПРАВОЧНИК!$L$15+'ПЛАН ЧИСТ К1'!Y31*СПРАВОЧНИК!$M$15+'ПЛАН ЧИСТ К1'!Z31*СПРАВОЧНИК!$N$15)</f>
        <v/>
      </c>
      <c r="W40" s="40">
        <f>СПРАВОЧНИК!$E$9*(('ФАКТ ЧЕРН К1'!B31)*СПРАВОЧНИК!$H$9+('ФАКТ ЧЕРН К1'!C31)*СПРАВОЧНИК!$I$9+('ФАКТ ЧЕРН К1'!D31)*СПРАВОЧНИК!$J$9)+СПРАВОЧНИК!$E$10*(('ФАКТ ЧЕРН К1'!E31)*СПРАВОЧНИК!$H$10+('ФАКТ ЧЕРН К1'!F31)*СПРАВОЧНИК!$I$10+('ФАКТ ЧЕРН К1'!G31)*СПРАВОЧНИК!$J$10)+СПРАВОЧНИК!$E$11*(('ФАКТ ЧЕРН К1'!H31)*СПРАВОЧНИК!$H$11+('ФАКТ ЧЕРН К1'!I31)*СПРАВОЧНИК!$I$11+('ФАКТ ЧЕРН К1'!J31)*СПРАВОЧНИК!$J$11)+СПРАВОЧНИК!$E$12*(('ФАКТ ЧЕРН К1'!K31)*СПРАВОЧНИК!$H$12+('ФАКТ ЧЕРН К1'!L31)*СПРАВОЧНИК!$I$12+('ФАКТ ЧЕРН К1'!M31)*СПРАВОЧНИК!$J$12)+СПРАВОЧНИК!$E$13*(('ФАКТ ЧЕРН К1'!N31)*СПРАВОЧНИК!$H$13+('ФАКТ ЧЕРН К1'!O31)*СПРАВОЧНИК!$I$13+('ФАКТ ЧЕРН К1'!P31)*СПРАВОЧНИК!$J$13)+СПРАВОЧНИК!$E$14*(('ФАКТ ЧЕРН К1'!Q31)*СПРАВОЧНИК!$H$14+('ФАКТ ЧЕРН К1'!R31)*СПРАВОЧНИК!$I$14+('ФАКТ ЧЕРН К1'!S31)*СПРАВОЧНИК!$J$14)+СПРАВОЧНИК!$E$15*(('ФАКТ ЧЕРН К1'!T31)*СПРАВОЧНИК!$H$15+('ФАКТ ЧЕРН К1'!U31)*СПРАВОЧНИК!$I$15+('ФАКТ ЧЕРН К1'!V31)*СПРАВОЧНИК!$J$15)+СПРАВОЧНИК!$F$9*(('ФАКТ ЧИСТ К1'!B31)*СПРАВОЧНИК!$L$9+('ФАКТ ЧИСТ К1'!C31)*СПРАВОЧНИК!$M$9+('ФАКТ ЧИСТ К1'!D31)*СПРАВОЧНИК!$N$9+('ФАКТ ЧИСТ К1'!E31)*СПРАВОЧНИК!$O$9)+СПРАВОЧНИК!$F$10*(('ФАКТ ЧИСТ К1'!F31)*СПРАВОЧНИК!$L$10+('ФАКТ ЧИСТ К1'!G31)*СПРАВОЧНИК!$M$10+('ФАКТ ЧИСТ К1'!H31)*СПРАВОЧНИК!$N$10+('ФАКТ ЧИСТ К1'!I31)*СПРАВОЧНИК!$O$10)+СПРАВОЧНИК!$F$11*(('ФАКТ ЧИСТ К1'!J31)*СПРАВОЧНИК!$L$11+('ФАКТ ЧИСТ К1'!K31)*СПРАВОЧНИК!$M$11+('ФАКТ ЧИСТ К1'!L31)*СПРАВОЧНИК!$N$11)+СПРАВОЧНИК!$F$12*(('ФАКТ ЧИСТ К1'!M31)*СПРАВОЧНИК!$L$12+('ФАКТ ЧИСТ К1'!N31)*СПРАВОЧНИК!$M$12+('ФАКТ ЧИСТ К1'!O31)*СПРАВОЧНИК!$N$12+('ФАКТ ЧИСТ К1'!P31)*СПРАВОЧНИК!$O$12)+СПРАВОЧНИК!$F$13*(('ФАКТ ЧИСТ К1'!Q31)*СПРАВОЧНИК!$L$13+('ФАКТ ЧИСТ К1'!R31)*СПРАВОЧНИК!$M$13+('ФАКТ ЧИСТ К1'!S31)*СПРАВОЧНИК!$N$13+('ФАКТ ЧИСТ К1'!T31)*СПРАВОЧНИК!$O$13)+СПРАВОЧНИК!$F$14*(('ФАКТ ЧИСТ К1'!U31)*СПРАВОЧНИК!$L$14+('ФАКТ ЧИСТ К1'!V31)*СПРАВОЧНИК!$M$14+('ФАКТ ЧИСТ К1'!W31)*СПРАВОЧНИК!$N$14)+СПРАВОЧНИК!$F$15*(('ФАКТ ЧИСТ К1'!X31)*СПРАВОЧНИК!$L$15+('ФАКТ ЧИСТ К1'!Y31)*СПРАВОЧНИК!$M$15+('ФАКТ ЧИСТ К1'!Z31)*СПРАВОЧНИК!$N$15)</f>
        <v/>
      </c>
      <c r="AA40" s="18">
        <f>AA39+7</f>
        <v/>
      </c>
      <c r="AB40" s="37">
        <f>'ПЛАН ЧЕРН К1'!B31*СПРАВОЧНИК!$H$9+'ПЛАН ЧЕРН К1'!C31*СПРАВОЧНИК!$I$9+'ПЛАН ЧЕРН К1'!D31*СПРАВОЧНИК!$J$9+'ПЛАН ЧЕРН К1'!E31*СПРАВОЧНИК!$H$10+'ПЛАН ЧЕРН К1'!F31*СПРАВОЧНИК!$I$10+'ПЛАН ЧЕРН К1'!G31*СПРАВОЧНИК!$J$10+'ПЛАН ЧЕРН К1'!H31*СПРАВОЧНИК!$H$11+'ПЛАН ЧЕРН К1'!I31*СПРАВОЧНИК!$I$11+'ПЛАН ЧЕРН К1'!J31*СПРАВОЧНИК!$J$11+'ПЛАН ЧЕРН К1'!K31*СПРАВОЧНИК!$H$12+'ПЛАН ЧЕРН К1'!L31*СПРАВОЧНИК!$I$12+'ПЛАН ЧЕРН К1'!M31*СПРАВОЧНИК!$J$12+'ПЛАН ЧЕРН К1'!N31*СПРАВОЧНИК!$H$13+'ПЛАН ЧЕРН К1'!O31*СПРАВОЧНИК!$I$13+'ПЛАН ЧЕРН К1'!P31*СПРАВОЧНИК!$J$13+'ПЛАН ЧЕРН К1'!Q31*СПРАВОЧНИК!$H$14+'ПЛАН ЧЕРН К1'!R31*СПРАВОЧНИК!$I$14+'ПЛАН ЧЕРН К1'!S31*СПРАВОЧНИК!$J$14+'ПЛАН ЧЕРН К1'!T31*СПРАВОЧНИК!$H$15+'ПЛАН ЧЕРН К1'!U31*СПРАВОЧНИК!$I$15+'ПЛАН ЧЕРН К1'!V31*СПРАВОЧНИК!$J$15</f>
        <v/>
      </c>
      <c r="AC40" s="40">
        <f>('ФАКТ ЧЕРН К1'!B31)*СПРАВОЧНИК!$H$9+('ФАКТ ЧЕРН К1'!C31)*СПРАВОЧНИК!$I$9+('ФАКТ ЧЕРН К1'!D31)*СПРАВОЧНИК!$J$9+('ФАКТ ЧЕРН К1'!E31)*СПРАВОЧНИК!$H$10+('ФАКТ ЧЕРН К1'!F31)*СПРАВОЧНИК!$I$10+('ФАКТ ЧЕРН К1'!G31)*СПРАВОЧНИК!$J$10+('ФАКТ ЧЕРН К1'!H31)*СПРАВОЧНИК!$H$11+('ФАКТ ЧЕРН К1'!I31)*СПРАВОЧНИК!$I$11+('ФАКТ ЧЕРН К1'!J31)*СПРАВОЧНИК!$J$11+('ФАКТ ЧЕРН К1'!K31)*СПРАВОЧНИК!$H$12+('ФАКТ ЧЕРН К1'!L31)*СПРАВОЧНИК!$I$12+('ФАКТ ЧЕРН К1'!M31)*СПРАВОЧНИК!$J$12+('ФАКТ ЧЕРН К1'!N31)*СПРАВОЧНИК!$H$13+('ФАКТ ЧЕРН К1'!O31)*СПРАВОЧНИК!$I$13+('ФАКТ ЧЕРН К1'!P31)*СПРАВОЧНИК!$J$13+('ФАКТ ЧЕРН К1'!Q31)*СПРАВОЧНИК!$H$14+('ФАКТ ЧЕРН К1'!R31)*СПРАВОЧНИК!$I$14+('ФАКТ ЧЕРН К1'!S31)*СПРАВОЧНИК!$J$14+('ФАКТ ЧЕРН К1'!T31)*СПРАВОЧНИК!$H$15+('ФАКТ ЧЕРН К1'!U31)*СПРАВОЧНИК!$I$15+('ФАКТ ЧЕРН К1'!V31)*СПРАВОЧНИК!$J$15</f>
        <v/>
      </c>
      <c r="AG40" s="18">
        <f>AG39+7</f>
        <v/>
      </c>
      <c r="AH40" s="37">
        <f>'ПЛАН ЧИСТ К1'!B31*СПРАВОЧНИК!$L$9+'ПЛАН ЧИСТ К1'!C31*СПРАВОЧНИК!$M$9+'ПЛАН ЧИСТ К1'!D31*СПРАВОЧНИК!$N$9+'ПЛАН ЧИСТ К1'!E31*СПРАВОЧНИК!$O$9+'ПЛАН ЧИСТ К1'!F31*СПРАВОЧНИК!$L$10+'ПЛАН ЧИСТ К1'!G31*СПРАВОЧНИК!$M$10+'ПЛАН ЧИСТ К1'!H31*СПРАВОЧНИК!$N$10+'ПЛАН ЧИСТ К1'!I31*СПРАВОЧНИК!$O$10+'ПЛАН ЧИСТ К1'!J31*СПРАВОЧНИК!$L$11+'ПЛАН ЧИСТ К1'!K31*СПРАВОЧНИК!$M$11+'ПЛАН ЧИСТ К1'!L31*СПРАВОЧНИК!$N$11+'ПЛАН ЧИСТ К1'!M31*СПРАВОЧНИК!$L$12+'ПЛАН ЧИСТ К1'!N31*СПРАВОЧНИК!$M$12+'ПЛАН ЧИСТ К1'!O31*СПРАВОЧНИК!$N$12+'ПЛАН ЧИСТ К1'!P31*СПРАВОЧНИК!$O$12+'ПЛАН ЧИСТ К1'!Q31*СПРАВОЧНИК!$L$13+'ПЛАН ЧИСТ К1'!R31*СПРАВОЧНИК!$M$13+'ПЛАН ЧИСТ К1'!S31*СПРАВОЧНИК!$N$13+'ПЛАН ЧИСТ К1'!T31*СПРАВОЧНИК!$O$13+'ПЛАН ЧИСТ К1'!U31*СПРАВОЧНИК!$L$14+'ПЛАН ЧИСТ К1'!V31*СПРАВОЧНИК!$M$14+'ПЛАН ЧИСТ К1'!W31*СПРАВОЧНИК!$N$14+'ПЛАН ЧИСТ К1'!X31*СПРАВОЧНИК!$L$15+'ПЛАН ЧИСТ К1'!Y31*СПРАВОЧНИК!$M$15+'ПЛАН ЧИСТ К1'!Z31*СПРАВОЧНИК!$N$15</f>
        <v/>
      </c>
      <c r="AI40" s="40">
        <f>('ФАКТ ЧИСТ К1'!B31)*СПРАВОЧНИК!$L$9+('ФАКТ ЧИСТ К1'!C31)*СПРАВОЧНИК!$M$9+('ФАКТ ЧИСТ К1'!D31)*СПРАВОЧНИК!$N$9+('ФАКТ ЧИСТ К1'!E31)*СПРАВОЧНИК!$O$9+('ФАКТ ЧИСТ К1'!F31)*СПРАВОЧНИК!$L$10+('ФАКТ ЧИСТ К1'!G31)*СПРАВОЧНИК!$M$10+('ФАКТ ЧИСТ К1'!H31)*СПРАВОЧНИК!$N$10+('ФАКТ ЧИСТ К1'!I31)*СПРАВОЧНИК!$O$10+('ФАКТ ЧИСТ К1'!J31)*СПРАВОЧНИК!$L$11+('ФАКТ ЧИСТ К1'!K31)*СПРАВОЧНИК!$M$11+('ФАКТ ЧИСТ К1'!L31)*СПРАВОЧНИК!$N$11+('ФАКТ ЧИСТ К1'!M31)*СПРАВОЧНИК!$L$12+('ФАКТ ЧИСТ К1'!N31)*СПРАВОЧНИК!$M$12+('ФАКТ ЧИСТ К1'!O31)*СПРАВОЧНИК!$N$12+('ФАКТ ЧИСТ К1'!P31)*СПРАВОЧНИК!$O$12+('ФАКТ ЧИСТ К1'!Q31)*СПРАВОЧНИК!$L$13+('ФАКТ ЧИСТ К1'!R31)*СПРАВОЧНИК!$M$13+('ФАКТ ЧИСТ К1'!S31)*СПРАВОЧНИК!$N$13+('ФАКТ ЧИСТ К1'!T31)*СПРАВОЧНИК!$O$13+('ФАКТ ЧИСТ К1'!U31)*СПРАВОЧНИК!$L$14+('ФАКТ ЧИСТ К1'!V31)*СПРАВОЧНИК!$M$14+('ФАКТ ЧИСТ К1'!W31)*СПРАВОЧНИК!$N$14+('ФАКТ ЧИСТ К1'!X31)*СПРАВОЧНИК!$L$15+('ФАКТ ЧИСТ К1'!Y31)*СПРАВОЧНИК!$M$15+('ФАКТ ЧИСТ К1'!Z31)*СПРАВОЧНИК!$N$15</f>
        <v/>
      </c>
      <c r="AM40" s="18">
        <f>AM39+7</f>
        <v/>
      </c>
      <c r="AN40" s="37">
        <f>СПРАВОЧНИК!$E$9*('ПЛАН ЧЕРН К2'!B31*СПРАВОЧНИК!$H$9+'ПЛАН ЧЕРН К2'!C31*СПРАВОЧНИК!$I$9+'ПЛАН ЧЕРН К2'!D31*СПРАВОЧНИК!$J$9)+СПРАВОЧНИК!$E$10*('ПЛАН ЧЕРН К2'!E31*СПРАВОЧНИК!$H$10+'ПЛАН ЧЕРН К2'!F31*СПРАВОЧНИК!$I$10+'ПЛАН ЧЕРН К2'!G31*СПРАВОЧНИК!$J$10)+СПРАВОЧНИК!$E$11*('ПЛАН ЧЕРН К2'!H31*СПРАВОЧНИК!$H$11+'ПЛАН ЧЕРН К2'!I31*СПРАВОЧНИК!$I$11+'ПЛАН ЧЕРН К2'!J31*СПРАВОЧНИК!$J$11)+СПРАВОЧНИК!$E$12*('ПЛАН ЧЕРН К2'!K31*СПРАВОЧНИК!$H$12+'ПЛАН ЧЕРН К2'!L31*СПРАВОЧНИК!$I$12+'ПЛАН ЧЕРН К2'!M31*СПРАВОЧНИК!$J$12)+СПРАВОЧНИК!$E$13*('ПЛАН ЧЕРН К2'!N31*СПРАВОЧНИК!$H$13+'ПЛАН ЧЕРН К2'!O31*СПРАВОЧНИК!$I$13+'ПЛАН ЧЕРН К2'!P31*СПРАВОЧНИК!$J$13)+СПРАВОЧНИК!$E$14*('ПЛАН ЧЕРН К2'!Q31*СПРАВОЧНИК!$H$14+'ПЛАН ЧЕРН К2'!R31*СПРАВОЧНИК!$I$14+'ПЛАН ЧЕРН К2'!S31*СПРАВОЧНИК!$J$14)+СПРАВОЧНИК!$E$15*('ПЛАН ЧЕРН К2'!T31*СПРАВОЧНИК!$H$15+'ПЛАН ЧЕРН К2'!U31*СПРАВОЧНИК!$I$15+'ПЛАН ЧЕРН К2'!V31*СПРАВОЧНИК!$J$15)+СПРАВОЧНИК!$F$9*('ПЛАН ЧИСТ К2'!B31*СПРАВОЧНИК!$L$9+'ПЛАН ЧИСТ К2'!C31*СПРАВОЧНИК!$M$9+'ПЛАН ЧИСТ К2'!D31*СПРАВОЧНИК!$N$9+'ПЛАН ЧИСТ К2'!E31*СПРАВОЧНИК!$O$9)+СПРАВОЧНИК!$F$10*('ПЛАН ЧИСТ К2'!F31*СПРАВОЧНИК!$L$10+'ПЛАН ЧИСТ К2'!G31*СПРАВОЧНИК!$M$10+'ПЛАН ЧИСТ К2'!H31*СПРАВОЧНИК!$N$10+'ПЛАН ЧИСТ К2'!I31*СПРАВОЧНИК!$O$10)+СПРАВОЧНИК!$F$11*('ПЛАН ЧИСТ К2'!J31*СПРАВОЧНИК!$L$11+'ПЛАН ЧИСТ К2'!K31*СПРАВОЧНИК!$M$11+'ПЛАН ЧИСТ К2'!L31*СПРАВОЧНИК!$N$11)+СПРАВОЧНИК!$F$12*('ПЛАН ЧИСТ К2'!M31*СПРАВОЧНИК!$L$12+'ПЛАН ЧИСТ К2'!N31*СПРАВОЧНИК!$M$12+'ПЛАН ЧИСТ К2'!O31*СПРАВОЧНИК!$N$12+'ПЛАН ЧИСТ К2'!P31*СПРАВОЧНИК!$O$12)+СПРАВОЧНИК!$F$13*('ПЛАН ЧИСТ К2'!Q31*СПРАВОЧНИК!$L$13+'ПЛАН ЧИСТ К2'!R31*СПРАВОЧНИК!$M$13+'ПЛАН ЧИСТ К2'!S31*СПРАВОЧНИК!$N$13+'ПЛАН ЧИСТ К2'!T31*СПРАВОЧНИК!$O$13)+СПРАВОЧНИК!$F$14*('ПЛАН ЧИСТ К2'!U31*СПРАВОЧНИК!$L$14+'ПЛАН ЧИСТ К2'!V31*СПРАВОЧНИК!$M$14+'ПЛАН ЧИСТ К2'!W31*СПРАВОЧНИК!$N$14)+СПРАВОЧНИК!$F$15*('ПЛАН ЧИСТ К2'!X31*СПРАВОЧНИК!$L$15+'ПЛАН ЧИСТ К2'!Y31*СПРАВОЧНИК!$M$15+'ПЛАН ЧИСТ К2'!Z31*СПРАВОЧНИК!$N$15)</f>
        <v/>
      </c>
      <c r="AO40" s="40">
        <f>СПРАВОЧНИК!$E$9*(('ФАКТ ЧЕРН К2'!B31)*СПРАВОЧНИК!$H$9+('ФАКТ ЧЕРН К2'!C31)*СПРАВОЧНИК!$I$9+('ФАКТ ЧЕРН К2'!D31)*СПРАВОЧНИК!$J$9)+СПРАВОЧНИК!$E$10*(('ФАКТ ЧЕРН К2'!E31)*СПРАВОЧНИК!$H$10+('ФАКТ ЧЕРН К2'!F31)*СПРАВОЧНИК!$I$10+('ФАКТ ЧЕРН К2'!G31)*СПРАВОЧНИК!$J$10)+СПРАВОЧНИК!$E$11*(('ФАКТ ЧЕРН К2'!H31)*СПРАВОЧНИК!$H$11+('ФАКТ ЧЕРН К2'!I31)*СПРАВОЧНИК!$I$11+('ФАКТ ЧЕРН К2'!J31)*СПРАВОЧНИК!$J$11)+СПРАВОЧНИК!$E$12*(('ФАКТ ЧЕРН К2'!K31)*СПРАВОЧНИК!$H$12+('ФАКТ ЧЕРН К2'!L31)*СПРАВОЧНИК!$I$12+('ФАКТ ЧЕРН К2'!M31)*СПРАВОЧНИК!$J$12)+СПРАВОЧНИК!$E$13*(('ФАКТ ЧЕРН К2'!N31)*СПРАВОЧНИК!$H$13+('ФАКТ ЧЕРН К2'!O31)*СПРАВОЧНИК!$I$13+('ФАКТ ЧЕРН К2'!P31)*СПРАВОЧНИК!$J$13)+СПРАВОЧНИК!$E$14*(('ФАКТ ЧЕРН К2'!Q31)*СПРАВОЧНИК!$H$14+('ФАКТ ЧЕРН К2'!R31)*СПРАВОЧНИК!$I$14+('ФАКТ ЧЕРН К2'!S31)*СПРАВОЧНИК!$J$14)+СПРАВОЧНИК!$E$15*(('ФАКТ ЧЕРН К2'!T31)*СПРАВОЧНИК!$H$15+('ФАКТ ЧЕРН К2'!U31)*СПРАВОЧНИК!$I$15+('ФАКТ ЧЕРН К2'!V31)*СПРАВОЧНИК!$J$15)+СПРАВОЧНИК!$F$9*(('ФАКТ ЧИСТ К2'!B31)*СПРАВОЧНИК!$L$9+('ФАКТ ЧИСТ К2'!C31)*СПРАВОЧНИК!$M$9+('ФАКТ ЧИСТ К2'!D31)*СПРАВОЧНИК!$N$9+('ФАКТ ЧИСТ К2'!E31)*СПРАВОЧНИК!$O$9)+СПРАВОЧНИК!$F$10*(('ФАКТ ЧИСТ К2'!F31)*СПРАВОЧНИК!$L$10+('ФАКТ ЧИСТ К2'!G31)*СПРАВОЧНИК!$M$10+('ФАКТ ЧИСТ К2'!H31)*СПРАВОЧНИК!$N$10+('ФАКТ ЧИСТ К2'!I31)*СПРАВОЧНИК!$O$10)+СПРАВОЧНИК!$F$11*(('ФАКТ ЧИСТ К2'!J31)*СПРАВОЧНИК!$L$11+('ФАКТ ЧИСТ К2'!K31)*СПРАВОЧНИК!$M$11+('ФАКТ ЧИСТ К2'!L31)*СПРАВОЧНИК!$N$11)+СПРАВОЧНИК!$F$12*(('ФАКТ ЧИСТ К2'!M31)*СПРАВОЧНИК!$L$12+('ФАКТ ЧИСТ К2'!N31)*СПРАВОЧНИК!$M$12+('ФАКТ ЧИСТ К2'!O31)*СПРАВОЧНИК!$N$12+('ФАКТ ЧИСТ К2'!P31)*СПРАВОЧНИК!$O$12)+СПРАВОЧНИК!$F$13*(('ФАКТ ЧИСТ К2'!Q31)*СПРАВОЧНИК!$L$13+('ФАКТ ЧИСТ К2'!R31)*СПРАВОЧНИК!$M$13+('ФАКТ ЧИСТ К2'!S31)*СПРАВОЧНИК!$N$13+('ФАКТ ЧИСТ К2'!T31)*СПРАВОЧНИК!$O$13)+СПРАВОЧНИК!$F$14*(('ФАКТ ЧИСТ К2'!U31)*СПРАВОЧНИК!$L$14+('ФАКТ ЧИСТ К2'!V31)*СПРАВОЧНИК!$M$14+('ФАКТ ЧИСТ К2'!W31)*СПРАВОЧНИК!$N$14)+СПРАВОЧНИК!$F$15*(('ФАКТ ЧИСТ К2'!X31)*СПРАВОЧНИК!$L$15+('ФАКТ ЧИСТ К2'!Y31)*СПРАВОЧНИК!$M$15+('ФАКТ ЧИСТ К2'!Z31)*СПРАВОЧНИК!$N$15)</f>
        <v/>
      </c>
      <c r="AS40" s="18">
        <f>AS39+7</f>
        <v/>
      </c>
      <c r="AT40" s="37">
        <f>'ПЛАН ЧЕРН К2'!B31*СПРАВОЧНИК!$H$9+'ПЛАН ЧЕРН К2'!C31*СПРАВОЧНИК!$I$9+'ПЛАН ЧЕРН К2'!D31*СПРАВОЧНИК!$J$9+'ПЛАН ЧЕРН К2'!E31*СПРАВОЧНИК!$H$10+'ПЛАН ЧЕРН К2'!F31*СПРАВОЧНИК!$I$10+'ПЛАН ЧЕРН К2'!G31*СПРАВОЧНИК!$J$10+'ПЛАН ЧЕРН К2'!H31*СПРАВОЧНИК!$H$11+'ПЛАН ЧЕРН К2'!I31*СПРАВОЧНИК!$I$11+'ПЛАН ЧЕРН К2'!J31*СПРАВОЧНИК!$J$11+'ПЛАН ЧЕРН К2'!K31*СПРАВОЧНИК!$H$12+'ПЛАН ЧЕРН К2'!L31*СПРАВОЧНИК!$I$12+'ПЛАН ЧЕРН К2'!M31*СПРАВОЧНИК!$J$12+'ПЛАН ЧЕРН К2'!N31*СПРАВОЧНИК!$H$13+'ПЛАН ЧЕРН К2'!O31*СПРАВОЧНИК!$I$13+'ПЛАН ЧЕРН К2'!P31*СПРАВОЧНИК!$J$13+'ПЛАН ЧЕРН К2'!Q31*СПРАВОЧНИК!$H$14+'ПЛАН ЧЕРН К2'!R31*СПРАВОЧНИК!$I$14+'ПЛАН ЧЕРН К2'!S31*СПРАВОЧНИК!$J$14+'ПЛАН ЧЕРН К2'!T31*СПРАВОЧНИК!$H$15+'ПЛАН ЧЕРН К2'!U31*СПРАВОЧНИК!$I$15+'ПЛАН ЧЕРН К2'!V31*СПРАВОЧНИК!$J$15</f>
        <v/>
      </c>
      <c r="AU40" s="40">
        <f>('ФАКТ ЧЕРН К2'!B31)*СПРАВОЧНИК!$H$9+('ФАКТ ЧЕРН К2'!C31)*СПРАВОЧНИК!$I$9+('ФАКТ ЧЕРН К2'!D31)*СПРАВОЧНИК!$J$9+('ФАКТ ЧЕРН К2'!E31)*СПРАВОЧНИК!$H$10+('ФАКТ ЧЕРН К2'!F31)*СПРАВОЧНИК!$I$10+('ФАКТ ЧЕРН К2'!G31)*СПРАВОЧНИК!$J$10+('ФАКТ ЧЕРН К2'!H31)*СПРАВОЧНИК!$H$11+('ФАКТ ЧЕРН К2'!I31)*СПРАВОЧНИК!$I$11+('ФАКТ ЧЕРН К2'!J31)*СПРАВОЧНИК!$J$11+('ФАКТ ЧЕРН К2'!K31)*СПРАВОЧНИК!$H$12+('ФАКТ ЧЕРН К2'!L31)*СПРАВОЧНИК!$I$12+('ФАКТ ЧЕРН К2'!M31)*СПРАВОЧНИК!$J$12+('ФАКТ ЧЕРН К2'!N31)*СПРАВОЧНИК!$H$13+('ФАКТ ЧЕРН К2'!O31)*СПРАВОЧНИК!$I$13+('ФАКТ ЧЕРН К2'!P31)*СПРАВОЧНИК!$J$13+('ФАКТ ЧЕРН К2'!Q31)*СПРАВОЧНИК!$H$14+('ФАКТ ЧЕРН К2'!R31)*СПРАВОЧНИК!$I$14+('ФАКТ ЧЕРН К2'!S31)*СПРАВОЧНИК!$J$14+('ФАКТ ЧЕРН К2'!T31)*СПРАВОЧНИК!$H$15+('ФАКТ ЧЕРН К2'!U31)*СПРАВОЧНИК!$I$15+('ФАКТ ЧЕРН К2'!V31)*СПРАВОЧНИК!$J$15</f>
        <v/>
      </c>
      <c r="AY40" s="18">
        <f>AY39+7</f>
        <v/>
      </c>
      <c r="AZ40" s="37">
        <f>'ПЛАН ЧИСТ К2'!B31*СПРАВОЧНИК!$L$9+'ПЛАН ЧИСТ К2'!C31*СПРАВОЧНИК!$M$9+'ПЛАН ЧИСТ К2'!D31*СПРАВОЧНИК!$N$9+'ПЛАН ЧИСТ К2'!E31*СПРАВОЧНИК!$O$9+'ПЛАН ЧИСТ К2'!F31*СПРАВОЧНИК!$L$10+'ПЛАН ЧИСТ К2'!G31*СПРАВОЧНИК!$M$10+'ПЛАН ЧИСТ К2'!H31*СПРАВОЧНИК!$N$10+'ПЛАН ЧИСТ К2'!I31*СПРАВОЧНИК!$O$10+'ПЛАН ЧИСТ К2'!J31*СПРАВОЧНИК!$L$11+'ПЛАН ЧИСТ К2'!K31*СПРАВОЧНИК!$M$11+'ПЛАН ЧИСТ К2'!L31*СПРАВОЧНИК!$N$11+'ПЛАН ЧИСТ К2'!M31*СПРАВОЧНИК!$L$12+'ПЛАН ЧИСТ К2'!N31*СПРАВОЧНИК!$M$12+'ПЛАН ЧИСТ К2'!O31*СПРАВОЧНИК!$N$12+'ПЛАН ЧИСТ К2'!P31*СПРАВОЧНИК!$O$12+'ПЛАН ЧИСТ К2'!Q31*СПРАВОЧНИК!$L$13+'ПЛАН ЧИСТ К2'!R31*СПРАВОЧНИК!$M$13+'ПЛАН ЧИСТ К2'!S31*СПРАВОЧНИК!$N$13+'ПЛАН ЧИСТ К2'!T31*СПРАВОЧНИК!$O$13+'ПЛАН ЧИСТ К2'!U31*СПРАВОЧНИК!$L$14+'ПЛАН ЧИСТ К2'!V31*СПРАВОЧНИК!$M$14+'ПЛАН ЧИСТ К2'!W31*СПРАВОЧНИК!$N$14+'ПЛАН ЧИСТ К2'!X31*СПРАВОЧНИК!$L$15+'ПЛАН ЧИСТ К2'!Y31*СПРАВОЧНИК!$M$15+'ПЛАН ЧИСТ К2'!Z31*СПРАВОЧНИК!$N$15</f>
        <v/>
      </c>
      <c r="BA40" s="40">
        <f>('ФАКТ ЧИСТ К2'!B31)*СПРАВОЧНИК!$L$9+('ФАКТ ЧИСТ К2'!C31)*СПРАВОЧНИК!$M$9+('ФАКТ ЧИСТ К2'!D31)*СПРАВОЧНИК!$N$9+('ФАКТ ЧИСТ К2'!E31)*СПРАВОЧНИК!$O$9+('ФАКТ ЧИСТ К2'!F31)*СПРАВОЧНИК!$L$10+('ФАКТ ЧИСТ К2'!G31)*СПРАВОЧНИК!$M$10+('ФАКТ ЧИСТ К2'!H31)*СПРАВОЧНИК!$N$10+('ФАКТ ЧИСТ К2'!I31)*СПРАВОЧНИК!$O$10+('ФАКТ ЧИСТ К2'!J31)*СПРАВОЧНИК!$L$11+('ФАКТ ЧИСТ К2'!K31)*СПРАВОЧНИК!$M$11+('ФАКТ ЧИСТ К2'!L31)*СПРАВОЧНИК!$N$11+('ФАКТ ЧИСТ К2'!M31)*СПРАВОЧНИК!$L$12+('ФАКТ ЧИСТ К2'!N31)*СПРАВОЧНИК!$M$12+('ФАКТ ЧИСТ К2'!O31)*СПРАВОЧНИК!$N$12+('ФАКТ ЧИСТ К2'!P31)*СПРАВОЧНИК!$O$12+('ФАКТ ЧИСТ К2'!Q31)*СПРАВОЧНИК!$L$13+('ФАКТ ЧИСТ К2'!R31)*СПРАВОЧНИК!$M$13+('ФАКТ ЧИСТ К2'!S31)*СПРАВОЧНИК!$N$13+('ФАКТ ЧИСТ К2'!T31)*СПРАВОЧНИК!$O$13+('ФАКТ ЧИСТ К2'!U31)*СПРАВОЧНИК!$L$14+('ФАКТ ЧИСТ К2'!V31)*СПРАВОЧНИК!$M$14+('ФАКТ ЧИСТ К2'!W31)*СПРАВОЧНИК!$N$14+('ФАКТ ЧИСТ К2'!X31)*СПРАВОЧНИК!$L$15+('ФАКТ ЧИСТ К2'!Y31)*СПРАВОЧНИК!$M$15+('ФАКТ ЧИСТ К2'!Z31)*СПРАВОЧНИК!$N$15</f>
        <v/>
      </c>
      <c r="BE40" s="18">
        <f>BE39+7</f>
        <v/>
      </c>
      <c r="BF40" s="37">
        <f>СПРАВОЧНИК!$E$9*('ПЛАН ЧЕРН К3'!B31*СПРАВОЧНИК!$H$9+'ПЛАН ЧЕРН К3'!C31*СПРАВОЧНИК!$I$9+'ПЛАН ЧЕРН К3'!D31*СПРАВОЧНИК!$J$9)+СПРАВОЧНИК!$E$10*('ПЛАН ЧЕРН К3'!E31*СПРАВОЧНИК!$H$10+'ПЛАН ЧЕРН К3'!F31*СПРАВОЧНИК!$I$10+'ПЛАН ЧЕРН К3'!G31*СПРАВОЧНИК!$J$10)+СПРАВОЧНИК!$E$11*('ПЛАН ЧЕРН К3'!H31*СПРАВОЧНИК!$H$11+'ПЛАН ЧЕРН К3'!I31*СПРАВОЧНИК!$I$11+'ПЛАН ЧЕРН К3'!J31*СПРАВОЧНИК!$J$11)+СПРАВОЧНИК!$E$12*('ПЛАН ЧЕРН К3'!K31*СПРАВОЧНИК!$H$12+'ПЛАН ЧЕРН К3'!L31*СПРАВОЧНИК!$I$12+'ПЛАН ЧЕРН К3'!M31*СПРАВОЧНИК!$J$12)+СПРАВОЧНИК!$E$13*('ПЛАН ЧЕРН К3'!N31*СПРАВОЧНИК!$H$13+'ПЛАН ЧЕРН К3'!O31*СПРАВОЧНИК!$I$13+'ПЛАН ЧЕРН К3'!P31*СПРАВОЧНИК!$J$13)+СПРАВОЧНИК!$E$14*('ПЛАН ЧЕРН К3'!Q31*СПРАВОЧНИК!$H$14+'ПЛАН ЧЕРН К3'!R31*СПРАВОЧНИК!$I$14+'ПЛАН ЧЕРН К3'!S31*СПРАВОЧНИК!$J$14)+СПРАВОЧНИК!$E$15*('ПЛАН ЧЕРН К3'!T31*СПРАВОЧНИК!$H$15+'ПЛАН ЧЕРН К3'!U31*СПРАВОЧНИК!$I$15+'ПЛАН ЧЕРН К3'!V31*СПРАВОЧНИК!$J$15)+СПРАВОЧНИК!$F$9*('ПЛАН ЧИСТ К3'!B31*СПРАВОЧНИК!$L$9+'ПЛАН ЧИСТ К3'!C31*СПРАВОЧНИК!$M$9+'ПЛАН ЧИСТ К3'!D31*СПРАВОЧНИК!$N$9+'ПЛАН ЧИСТ К3'!E31*СПРАВОЧНИК!$O$9)+СПРАВОЧНИК!$F$10*('ПЛАН ЧИСТ К3'!F31*СПРАВОЧНИК!$L$10+'ПЛАН ЧИСТ К3'!G31*СПРАВОЧНИК!$M$10+'ПЛАН ЧИСТ К3'!H31*СПРАВОЧНИК!$N$10+'ПЛАН ЧИСТ К3'!I31*СПРАВОЧНИК!$O$10)+СПРАВОЧНИК!$F$11*('ПЛАН ЧИСТ К3'!J31*СПРАВОЧНИК!$L$11+'ПЛАН ЧИСТ К3'!K31*СПРАВОЧНИК!$M$11+'ПЛАН ЧИСТ К3'!L31*СПРАВОЧНИК!$N$11)+СПРАВОЧНИК!$F$12*('ПЛАН ЧИСТ К3'!M31*СПРАВОЧНИК!$L$12+'ПЛАН ЧИСТ К3'!N31*СПРАВОЧНИК!$M$12+'ПЛАН ЧИСТ К3'!O31*СПРАВОЧНИК!$N$12+'ПЛАН ЧИСТ К3'!P31*СПРАВОЧНИК!$O$12)+СПРАВОЧНИК!$F$13*('ПЛАН ЧИСТ К3'!Q31*СПРАВОЧНИК!$L$13+'ПЛАН ЧИСТ К3'!R31*СПРАВОЧНИК!$M$13+'ПЛАН ЧИСТ К3'!S31*СПРАВОЧНИК!$N$13+'ПЛАН ЧИСТ К3'!T31*СПРАВОЧНИК!$O$13)+СПРАВОЧНИК!$F$14*('ПЛАН ЧИСТ К3'!U31*СПРАВОЧНИК!$L$14+'ПЛАН ЧИСТ К3'!V31*СПРАВОЧНИК!$M$14+'ПЛАН ЧИСТ К3'!W31*СПРАВОЧНИК!$N$14)+СПРАВОЧНИК!$F$15*('ПЛАН ЧИСТ К3'!X31*СПРАВОЧНИК!$L$15+'ПЛАН ЧИСТ К3'!Y31*СПРАВОЧНИК!$M$15+'ПЛАН ЧИСТ К3'!Z31*СПРАВОЧНИК!$N$15)</f>
        <v/>
      </c>
      <c r="BG40" s="40">
        <f>СПРАВОЧНИК!$E$9*(('ФАКТ ЧЕРН К3'!B31)*СПРАВОЧНИК!$H$9+('ФАКТ ЧЕРН К3'!C31)*СПРАВОЧНИК!$I$9+('ФАКТ ЧЕРН К3'!D31)*СПРАВОЧНИК!$J$9)+СПРАВОЧНИК!$E$10*(('ФАКТ ЧЕРН К3'!E31)*СПРАВОЧНИК!$H$10+('ФАКТ ЧЕРН К3'!F31)*СПРАВОЧНИК!$I$10+('ФАКТ ЧЕРН К3'!G31)*СПРАВОЧНИК!$J$10)+СПРАВОЧНИК!$E$11*(('ФАКТ ЧЕРН К3'!H31)*СПРАВОЧНИК!$H$11+('ФАКТ ЧЕРН К3'!I31)*СПРАВОЧНИК!$I$11+('ФАКТ ЧЕРН К3'!J31)*СПРАВОЧНИК!$J$11)+СПРАВОЧНИК!$E$12*(('ФАКТ ЧЕРН К3'!K31)*СПРАВОЧНИК!$H$12+('ФАКТ ЧЕРН К3'!L31)*СПРАВОЧНИК!$I$12+('ФАКТ ЧЕРН К3'!M31)*СПРАВОЧНИК!$J$12)+СПРАВОЧНИК!$E$13*(('ФАКТ ЧЕРН К3'!N31)*СПРАВОЧНИК!$H$13+('ФАКТ ЧЕРН К3'!O31)*СПРАВОЧНИК!$I$13+('ФАКТ ЧЕРН К3'!P31)*СПРАВОЧНИК!$J$13)+СПРАВОЧНИК!$E$14*(('ФАКТ ЧЕРН К3'!Q31)*СПРАВОЧНИК!$H$14+('ФАКТ ЧЕРН К3'!R31)*СПРАВОЧНИК!$I$14+('ФАКТ ЧЕРН К3'!S31)*СПРАВОЧНИК!$J$14)+СПРАВОЧНИК!$E$15*(('ФАКТ ЧЕРН К3'!T31)*СПРАВОЧНИК!$H$15+('ФАКТ ЧЕРН К3'!U31)*СПРАВОЧНИК!$I$15+('ФАКТ ЧЕРН К3'!V31)*СПРАВОЧНИК!$J$15)+СПРАВОЧНИК!$F$9*(('ФАКТ ЧИСТ К3'!B31)*СПРАВОЧНИК!$L$9+('ФАКТ ЧИСТ К3'!C31)*СПРАВОЧНИК!$M$9+('ФАКТ ЧИСТ К3'!D31)*СПРАВОЧНИК!$N$9+('ФАКТ ЧИСТ К3'!E31)*СПРАВОЧНИК!$O$9)+СПРАВОЧНИК!$F$10*(('ФАКТ ЧИСТ К3'!F31)*СПРАВОЧНИК!$L$10+('ФАКТ ЧИСТ К3'!G31)*СПРАВОЧНИК!$M$10+('ФАКТ ЧИСТ К3'!H31)*СПРАВОЧНИК!$N$10+('ФАКТ ЧИСТ К3'!I31)*СПРАВОЧНИК!$O$10)+СПРАВОЧНИК!$F$11*(('ФАКТ ЧИСТ К3'!J31)*СПРАВОЧНИК!$L$11+('ФАКТ ЧИСТ К3'!K31)*СПРАВОЧНИК!$M$11+('ФАКТ ЧИСТ К3'!L31)*СПРАВОЧНИК!$N$11)+СПРАВОЧНИК!$F$12*(('ФАКТ ЧИСТ К3'!M31)*СПРАВОЧНИК!$L$12+('ФАКТ ЧИСТ К3'!N31)*СПРАВОЧНИК!$M$12+('ФАКТ ЧИСТ К3'!O31)*СПРАВОЧНИК!$N$12+('ФАКТ ЧИСТ К3'!P31)*СПРАВОЧНИК!$O$12)+СПРАВОЧНИК!$F$13*(('ФАКТ ЧИСТ К3'!Q31)*СПРАВОЧНИК!$L$13+('ФАКТ ЧИСТ К3'!R31)*СПРАВОЧНИК!$M$13+('ФАКТ ЧИСТ К3'!S31)*СПРАВОЧНИК!$N$13+('ФАКТ ЧИСТ К3'!T31)*СПРАВОЧНИК!$O$13)+СПРАВОЧНИК!$F$14*(('ФАКТ ЧИСТ К3'!U31)*СПРАВОЧНИК!$L$14+('ФАКТ ЧИСТ К3'!V31)*СПРАВОЧНИК!$M$14+('ФАКТ ЧИСТ К3'!W31)*СПРАВОЧНИК!$N$14)+СПРАВОЧНИК!$F$15*(('ФАКТ ЧИСТ К3'!X31)*СПРАВОЧНИК!$L$15+('ФАКТ ЧИСТ К3'!Y31)*СПРАВОЧНИК!$M$15+('ФАКТ ЧИСТ К3'!Z31)*СПРАВОЧНИК!$N$15)</f>
        <v/>
      </c>
      <c r="BK40" s="18">
        <f>BK39+7</f>
        <v/>
      </c>
      <c r="BL40" s="37">
        <f>'ПЛАН ЧЕРН К3'!B31*СПРАВОЧНИК!$H$9+'ПЛАН ЧЕРН К3'!C31*СПРАВОЧНИК!$I$9+'ПЛАН ЧЕРН К3'!D31*СПРАВОЧНИК!$J$9+'ПЛАН ЧЕРН К3'!E31*СПРАВОЧНИК!$H$10+'ПЛАН ЧЕРН К3'!F31*СПРАВОЧНИК!$I$10+'ПЛАН ЧЕРН К3'!G31*СПРАВОЧНИК!$J$10+'ПЛАН ЧЕРН К3'!H31*СПРАВОЧНИК!$H$11+'ПЛАН ЧЕРН К3'!I31*СПРАВОЧНИК!$I$11+'ПЛАН ЧЕРН К3'!J31*СПРАВОЧНИК!$J$11+'ПЛАН ЧЕРН К3'!K31*СПРАВОЧНИК!$H$12+'ПЛАН ЧЕРН К3'!L31*СПРАВОЧНИК!$I$12+'ПЛАН ЧЕРН К3'!M31*СПРАВОЧНИК!$J$12+'ПЛАН ЧЕРН К3'!N31*СПРАВОЧНИК!$H$13+'ПЛАН ЧЕРН К3'!O31*СПРАВОЧНИК!$I$13+'ПЛАН ЧЕРН К3'!P31*СПРАВОЧНИК!$J$13+'ПЛАН ЧЕРН К3'!Q31*СПРАВОЧНИК!$H$14+'ПЛАН ЧЕРН К3'!R31*СПРАВОЧНИК!$I$14+'ПЛАН ЧЕРН К3'!S31*СПРАВОЧНИК!$J$14+'ПЛАН ЧЕРН К3'!T31*СПРАВОЧНИК!$H$15+'ПЛАН ЧЕРН К3'!U31*СПРАВОЧНИК!$I$15+'ПЛАН ЧЕРН К3'!V31*СПРАВОЧНИК!$J$15</f>
        <v/>
      </c>
      <c r="BM40" s="40">
        <f>('ФАКТ ЧЕРН К3'!B31)*СПРАВОЧНИК!$H$9+('ФАКТ ЧЕРН К3'!C31)*СПРАВОЧНИК!$I$9+('ФАКТ ЧЕРН К3'!D31)*СПРАВОЧНИК!$J$9+('ФАКТ ЧЕРН К3'!E31)*СПРАВОЧНИК!$H$10+('ФАКТ ЧЕРН К3'!F31)*СПРАВОЧНИК!$I$10+('ФАКТ ЧЕРН К3'!G31)*СПРАВОЧНИК!$J$10+('ФАКТ ЧЕРН К3'!H31)*СПРАВОЧНИК!$H$11+('ФАКТ ЧЕРН К3'!I31)*СПРАВОЧНИК!$I$11+('ФАКТ ЧЕРН К3'!J31)*СПРАВОЧНИК!$J$11+('ФАКТ ЧЕРН К3'!K31)*СПРАВОЧНИК!$H$12+('ФАКТ ЧЕРН К3'!L31)*СПРАВОЧНИК!$I$12+('ФАКТ ЧЕРН К3'!M31)*СПРАВОЧНИК!$J$12+('ФАКТ ЧЕРН К3'!N31)*СПРАВОЧНИК!$H$13+('ФАКТ ЧЕРН К3'!O31)*СПРАВОЧНИК!$I$13+('ФАКТ ЧЕРН К3'!P31)*СПРАВОЧНИК!$J$13+('ФАКТ ЧЕРН К3'!Q31)*СПРАВОЧНИК!$H$14+('ФАКТ ЧЕРН К3'!R31)*СПРАВОЧНИК!$I$14+('ФАКТ ЧЕРН К3'!S31)*СПРАВОЧНИК!$J$14+('ФАКТ ЧЕРН К3'!T31)*СПРАВОЧНИК!$H$15+('ФАКТ ЧЕРН К3'!U31)*СПРАВОЧНИК!$I$15+('ФАКТ ЧЕРН К3'!V31)*СПРАВОЧНИК!$J$15</f>
        <v/>
      </c>
      <c r="BQ40" s="18">
        <f>BQ39+7</f>
        <v/>
      </c>
      <c r="BR40" s="37">
        <f>'ПЛАН ЧИСТ К3'!B31*СПРАВОЧНИК!$L$9+'ПЛАН ЧИСТ К3'!C31*СПРАВОЧНИК!$M$9+'ПЛАН ЧИСТ К3'!D31*СПРАВОЧНИК!$N$9+'ПЛАН ЧИСТ К3'!E31*СПРАВОЧНИК!$O$9+'ПЛАН ЧИСТ К3'!F31*СПРАВОЧНИК!$L$10+'ПЛАН ЧИСТ К3'!G31*СПРАВОЧНИК!$M$10+'ПЛАН ЧИСТ К3'!H31*СПРАВОЧНИК!$N$10+'ПЛАН ЧИСТ К3'!I31*СПРАВОЧНИК!$O$10+'ПЛАН ЧИСТ К3'!J31*СПРАВОЧНИК!$L$11+'ПЛАН ЧИСТ К3'!K31*СПРАВОЧНИК!$M$11+'ПЛАН ЧИСТ К3'!L31*СПРАВОЧНИК!$N$11+'ПЛАН ЧИСТ К3'!M31*СПРАВОЧНИК!$L$12+'ПЛАН ЧИСТ К3'!N31*СПРАВОЧНИК!$M$12+'ПЛАН ЧИСТ К3'!O31*СПРАВОЧНИК!$N$12+'ПЛАН ЧИСТ К3'!P31*СПРАВОЧНИК!$O$12+'ПЛАН ЧИСТ К3'!Q31*СПРАВОЧНИК!$L$13+'ПЛАН ЧИСТ К3'!R31*СПРАВОЧНИК!$M$13+'ПЛАН ЧИСТ К3'!S31*СПРАВОЧНИК!$N$13+'ПЛАН ЧИСТ К3'!T31*СПРАВОЧНИК!$O$13+'ПЛАН ЧИСТ К3'!U31*СПРАВОЧНИК!$L$14+'ПЛАН ЧИСТ К3'!V31*СПРАВОЧНИК!$M$14+'ПЛАН ЧИСТ К3'!W31*СПРАВОЧНИК!$N$14+'ПЛАН ЧИСТ К3'!X31*СПРАВОЧНИК!$L$15+'ПЛАН ЧИСТ К3'!Y31*СПРАВОЧНИК!$M$15+'ПЛАН ЧИСТ К3'!Z31*СПРАВОЧНИК!$N$15</f>
        <v/>
      </c>
      <c r="BS40" s="40">
        <f>('ФАКТ ЧИСТ К3'!B31)*СПРАВОЧНИК!$L$9+('ФАКТ ЧИСТ К3'!C31)*СПРАВОЧНИК!$M$9+('ФАКТ ЧИСТ К3'!D31)*СПРАВОЧНИК!$N$9+('ФАКТ ЧИСТ К3'!E31)*СПРАВОЧНИК!$O$9+('ФАКТ ЧИСТ К3'!F31)*СПРАВОЧНИК!$L$10+('ФАКТ ЧИСТ К3'!G31)*СПРАВОЧНИК!$M$10+('ФАКТ ЧИСТ К3'!H31)*СПРАВОЧНИК!$N$10+('ФАКТ ЧИСТ К3'!I31)*СПРАВОЧНИК!$O$10+('ФАКТ ЧИСТ К3'!J31)*СПРАВОЧНИК!$L$11+('ФАКТ ЧИСТ К3'!K31)*СПРАВОЧНИК!$M$11+('ФАКТ ЧИСТ К3'!L31)*СПРАВОЧНИК!$N$11+('ФАКТ ЧИСТ К3'!M31)*СПРАВОЧНИК!$L$12+('ФАКТ ЧИСТ К3'!N31)*СПРАВОЧНИК!$M$12+('ФАКТ ЧИСТ К3'!O31)*СПРАВОЧНИК!$N$12+('ФАКТ ЧИСТ К3'!P31)*СПРАВОЧНИК!$O$12+('ФАКТ ЧИСТ К3'!Q31)*СПРАВОЧНИК!$L$13+('ФАКТ ЧИСТ К3'!R31)*СПРАВОЧНИК!$M$13+('ФАКТ ЧИСТ К3'!S31)*СПРАВОЧНИК!$N$13+('ФАКТ ЧИСТ К3'!T31)*СПРАВОЧНИК!$O$13+('ФАКТ ЧИСТ К3'!U31)*СПРАВОЧНИК!$L$14+('ФАКТ ЧИСТ К3'!V31)*СПРАВОЧНИК!$M$14+('ФАКТ ЧИСТ К3'!W31)*СПРАВОЧНИК!$N$14+('ФАКТ ЧИСТ К3'!X31)*СПРАВОЧНИК!$L$15+('ФАКТ ЧИСТ К3'!Y31)*СПРАВОЧНИК!$M$15+('ФАКТ ЧИСТ К3'!Z31)*СПРАВОЧНИК!$N$15</f>
        <v/>
      </c>
      <c r="BW40" s="18">
        <f>BW39+7</f>
        <v/>
      </c>
      <c r="BX40" s="37">
        <f>V40+AN40+BF40</f>
        <v/>
      </c>
      <c r="BY40" s="40">
        <f>W40+AO40+BG40</f>
        <v/>
      </c>
      <c r="CC40" s="18">
        <f>CC39+7</f>
        <v/>
      </c>
      <c r="CD40" s="37">
        <f>AB40+AT40+BL40</f>
        <v/>
      </c>
      <c r="CE40" s="40">
        <f>AC40+AU40+BM40</f>
        <v/>
      </c>
      <c r="CI40" s="18">
        <f>CI39+7</f>
        <v/>
      </c>
      <c r="CJ40" s="37">
        <f>AH40+AZ40+BR40</f>
        <v/>
      </c>
      <c r="CK40" s="40">
        <f>AI40+BA40+BS40</f>
        <v/>
      </c>
      <c r="CO40" s="18">
        <f>CO39+7</f>
        <v/>
      </c>
      <c r="CP40" s="37">
        <f>D40+BX40</f>
        <v/>
      </c>
      <c r="CQ40" s="40">
        <f>E40+BY40</f>
        <v/>
      </c>
      <c r="CU40" s="18">
        <f>CU39+7</f>
        <v/>
      </c>
      <c r="CV40" s="37">
        <f>J40+CD40</f>
        <v/>
      </c>
      <c r="CW40" s="40">
        <f>K40+CE40</f>
        <v/>
      </c>
      <c r="DA40" s="18">
        <f>DA39+7</f>
        <v/>
      </c>
      <c r="DB40" s="37">
        <f>P40+CJ40</f>
        <v/>
      </c>
      <c r="DC40" s="40">
        <f>Q40+CK40</f>
        <v/>
      </c>
    </row>
    <row r="41">
      <c r="C41" s="18">
        <f>C40+7</f>
        <v/>
      </c>
      <c r="D41" s="37">
        <f>СПРАВОЧНИК!$E$3*('ПЛАН ЧЕРН ПОДЗЕМ'!B32*СПРАВОЧНИК!$H$3+'ПЛАН ЧЕРН ПОДЗЕМ'!C32*СПРАВОЧНИК!$I$3+'ПЛАН ЧЕРН ПОДЗЕМ'!D32*СПРАВОЧНИК!$J$3)+СПРАВОЧНИК!$E$4*('ПЛАН ЧЕРН ПОДЗЕМ'!E32*СПРАВОЧНИК!$H$4+'ПЛАН ЧЕРН ПОДЗЕМ'!F32*СПРАВОЧНИК!$I$4+'ПЛАН ЧЕРН ПОДЗЕМ'!G32*СПРАВОЧНИК!$J$4)+СПРАВОЧНИК!$E$5*('ПЛАН ЧЕРН ПОДЗЕМ'!H32*СПРАВОЧНИК!$H$5+'ПЛАН ЧЕРН ПОДЗЕМ'!I32*СПРАВОЧНИК!$I$5+'ПЛАН ЧЕРН ПОДЗЕМ'!J32*СПРАВОЧНИК!$J$5)+СПРАВОЧНИК!$E$6*('ПЛАН ЧЕРН ПОДЗЕМ'!K32*СПРАВОЧНИК!$H$6+'ПЛАН ЧЕРН ПОДЗЕМ'!L32*СПРАВОЧНИК!$I$6+'ПЛАН ЧЕРН ПОДЗЕМ'!M32*СПРАВОЧНИК!$J$6)+СПРАВОЧНИК!$E$7*('ПЛАН ЧЕРН ПОДЗЕМ'!N32*СПРАВОЧНИК!$H$7+'ПЛАН ЧЕРН ПОДЗЕМ'!O32*СПРАВОЧНИК!$I$7+'ПЛАН ЧЕРН ПОДЗЕМ'!P32*СПРАВОЧНИК!$J$7)+СПРАВОЧНИК!$E$8*('ПЛАН ЧЕРН ПОДЗЕМ'!Q32*СПРАВОЧНИК!$H$8+'ПЛАН ЧЕРН ПОДЗЕМ'!R32*СПРАВОЧНИК!$I$8+'ПЛАН ЧЕРН ПОДЗЕМ'!S32*СПРАВОЧНИК!$J$8)+СПРАВОЧНИК!$F$3*('ПЛАН ЧИСТ ПОДЗЕМ'!B32*СПРАВОЧНИК!$L$3+'ПЛАН ЧИСТ ПОДЗЕМ'!C32*СПРАВОЧНИК!$M$3+'ПЛАН ЧИСТ ПОДЗЕМ'!D32*СПРАВОЧНИК!$N$3+'ПЛАН ЧИСТ ПОДЗЕМ'!E32*СПРАВОЧНИК!$O$3)+СПРАВОЧНИК!$F$4*('ПЛАН ЧИСТ ПОДЗЕМ'!F32*СПРАВОЧНИК!$L$4+'ПЛАН ЧИСТ ПОДЗЕМ'!G32*СПРАВОЧНИК!$M$4+'ПЛАН ЧИСТ ПОДЗЕМ'!H32*СПРАВОЧНИК!$N$4+'ПЛАН ЧИСТ ПОДЗЕМ'!I32*СПРАВОЧНИК!$O$4)+СПРАВОЧНИК!$F$5*('ПЛАН ЧИСТ ПОДЗЕМ'!J32*СПРАВОЧНИК!$L$5+'ПЛАН ЧИСТ ПОДЗЕМ'!K32*СПРАВОЧНИК!$M$5+'ПЛАН ЧИСТ ПОДЗЕМ'!L32*СПРАВОЧНИК!$N$5)+СПРАВОЧНИК!$F$6*('ПЛАН ЧИСТ ПОДЗЕМ'!M32*СПРАВОЧНИК!$L$6+'ПЛАН ЧИСТ ПОДЗЕМ'!N32*СПРАВОЧНИК!$M$6+'ПЛАН ЧИСТ ПОДЗЕМ'!O32*СПРАВОЧНИК!$N$6+'ПЛАН ЧИСТ ПОДЗЕМ'!P32*СПРАВОЧНИК!$O$6)+СПРАВОЧНИК!$F$7*('ПЛАН ЧИСТ ПОДЗЕМ'!Q32*СПРАВОЧНИК!$L$7+'ПЛАН ЧИСТ ПОДЗЕМ'!R32*СПРАВОЧНИК!$M$7+'ПЛАН ЧИСТ ПОДЗЕМ'!S32*СПРАВОЧНИК!$N$7+'ПЛАН ЧИСТ ПОДЗЕМ'!T32*СПРАВОЧНИК!$O$7)+СПРАВОЧНИК!$F$8*('ПЛАН ЧИСТ ПОДЗЕМ'!U32*СПРАВОЧНИК!$L$8+'ПЛАН ЧИСТ ПОДЗЕМ'!V32*СПРАВОЧНИК!$M$8+'ПЛАН ЧИСТ ПОДЗЕМ'!W32*СПРАВОЧНИК!$N$8)</f>
        <v/>
      </c>
      <c r="E41" s="40">
        <f>СПРАВОЧНИК!$E$3*(('ФАКТ ЧЕРН ПОДЗЕМ'!B32)*СПРАВОЧНИК!$H$3+('ФАКТ ЧЕРН ПОДЗЕМ'!C32)*СПРАВОЧНИК!$I$3+('ФАКТ ЧЕРН ПОДЗЕМ'!D32)*СПРАВОЧНИК!$J$3)+СПРАВОЧНИК!$E$4*(('ФАКТ ЧЕРН ПОДЗЕМ'!E32)*СПРАВОЧНИК!$H$4+('ФАКТ ЧЕРН ПОДЗЕМ'!F32)*СПРАВОЧНИК!$I$4+('ФАКТ ЧЕРН ПОДЗЕМ'!G32)*СПРАВОЧНИК!$J$4)+СПРАВОЧНИК!$E$5*(('ФАКТ ЧЕРН ПОДЗЕМ'!H32)*СПРАВОЧНИК!$H$5+('ФАКТ ЧЕРН ПОДЗЕМ'!I32)*СПРАВОЧНИК!$I$5+('ФАКТ ЧЕРН ПОДЗЕМ'!J32)*СПРАВОЧНИК!$J$5)+СПРАВОЧНИК!$E$6*(('ФАКТ ЧЕРН ПОДЗЕМ'!K32)*СПРАВОЧНИК!$H$6+('ФАКТ ЧЕРН ПОДЗЕМ'!L32)*СПРАВОЧНИК!$I$6+('ФАКТ ЧЕРН ПОДЗЕМ'!M32)*СПРАВОЧНИК!$J$6)+СПРАВОЧНИК!$E$7*(('ФАКТ ЧЕРН ПОДЗЕМ'!N32)*СПРАВОЧНИК!$H$7+('ФАКТ ЧЕРН ПОДЗЕМ'!O32)*СПРАВОЧНИК!$I$7+('ФАКТ ЧЕРН ПОДЗЕМ'!P32)*СПРАВОЧНИК!$J$7)+СПРАВОЧНИК!$E$8*(('ФАКТ ЧЕРН ПОДЗЕМ'!Q32)*СПРАВОЧНИК!$H$8+('ФАКТ ЧЕРН ПОДЗЕМ'!R32)*СПРАВОЧНИК!$I$8+('ФАКТ ЧЕРН ПОДЗЕМ'!S32)*СПРАВОЧНИК!$J$8)+СПРАВОЧНИК!$F$3*(('ФАКТ ЧИСТ ПОДЗЕМ'!B32)*СПРАВОЧНИК!$L$3+('ФАКТ ЧИСТ ПОДЗЕМ'!C32)*СПРАВОЧНИК!$M$3+('ФАКТ ЧИСТ ПОДЗЕМ'!D32)*СПРАВОЧНИК!$N$3+('ФАКТ ЧИСТ ПОДЗЕМ'!E32)*СПРАВОЧНИК!$O$3)+СПРАВОЧНИК!$F$4*(('ФАКТ ЧИСТ ПОДЗЕМ'!F32)*СПРАВОЧНИК!$L$4+('ФАКТ ЧИСТ ПОДЗЕМ'!G32)*СПРАВОЧНИК!$M$4+('ФАКТ ЧИСТ ПОДЗЕМ'!H32)*СПРАВОЧНИК!$N$4+('ФАКТ ЧИСТ ПОДЗЕМ'!I32)*СПРАВОЧНИК!$O$4)+СПРАВОЧНИК!$F$5*(('ФАКТ ЧИСТ ПОДЗЕМ'!J32)*СПРАВОЧНИК!$L$5+('ФАКТ ЧИСТ ПОДЗЕМ'!K32)*СПРАВОЧНИК!$M$5+('ФАКТ ЧИСТ ПОДЗЕМ'!L32)*СПРАВОЧНИК!$N$5)+СПРАВОЧНИК!$F$6*(('ФАКТ ЧИСТ ПОДЗЕМ'!M32)*СПРАВОЧНИК!$L$6+('ФАКТ ЧИСТ ПОДЗЕМ'!N32)*СПРАВОЧНИК!$M$6+('ФАКТ ЧИСТ ПОДЗЕМ'!O32)*СПРАВОЧНИК!$N$6+('ФАКТ ЧИСТ ПОДЗЕМ'!P32)*СПРАВОЧНИК!$O$6)+СПРАВОЧНИК!$F$7*(('ФАКТ ЧИСТ ПОДЗЕМ'!Q32)*СПРАВОЧНИК!$L$7+('ФАКТ ЧИСТ ПОДЗЕМ'!R32)*СПРАВОЧНИК!$M$7+('ФАКТ ЧИСТ ПОДЗЕМ'!S32)*СПРАВОЧНИК!$N$7+('ФАКТ ЧИСТ ПОДЗЕМ'!T32)*СПРАВОЧНИК!$O$7)+СПРАВОЧНИК!$F$8*(('ФАКТ ЧИСТ ПОДЗЕМ'!U32)*СПРАВОЧНИК!$L$8+('ФАКТ ЧИСТ ПОДЗЕМ'!V32)*СПРАВОЧНИК!$M$8+('ФАКТ ЧИСТ ПОДЗЕМ'!W32)*СПРАВОЧНИК!$N$8)</f>
        <v/>
      </c>
      <c r="I41" s="18">
        <f>I40+7</f>
        <v/>
      </c>
      <c r="J41" s="37">
        <f>'ПЛАН ЧЕРН ПОДЗЕМ'!B32*СПРАВОЧНИК!$H$3+'ПЛАН ЧЕРН ПОДЗЕМ'!C32*СПРАВОЧНИК!$I$3+'ПЛАН ЧЕРН ПОДЗЕМ'!D32*СПРАВОЧНИК!$J$3+'ПЛАН ЧЕРН ПОДЗЕМ'!E32*СПРАВОЧНИК!$H$4+'ПЛАН ЧЕРН ПОДЗЕМ'!F32*СПРАВОЧНИК!$I$4+'ПЛАН ЧЕРН ПОДЗЕМ'!G32*СПРАВОЧНИК!$J$4+'ПЛАН ЧЕРН ПОДЗЕМ'!H32*СПРАВОЧНИК!$H$5+'ПЛАН ЧЕРН ПОДЗЕМ'!I32*СПРАВОЧНИК!$I$5+'ПЛАН ЧЕРН ПОДЗЕМ'!J32*СПРАВОЧНИК!$J$5+'ПЛАН ЧЕРН ПОДЗЕМ'!K32*СПРАВОЧНИК!$H$6+'ПЛАН ЧЕРН ПОДЗЕМ'!L32*СПРАВОЧНИК!$I$6+'ПЛАН ЧЕРН ПОДЗЕМ'!M32*СПРАВОЧНИК!$J$6+'ПЛАН ЧЕРН ПОДЗЕМ'!N32*СПРАВОЧНИК!$H$7+'ПЛАН ЧЕРН ПОДЗЕМ'!O32*СПРАВОЧНИК!$I$7+'ПЛАН ЧЕРН ПОДЗЕМ'!P32*СПРАВОЧНИК!$J$7+'ПЛАН ЧЕРН ПОДЗЕМ'!Q32*СПРАВОЧНИК!$H$8+'ПЛАН ЧЕРН ПОДЗЕМ'!R32*СПРАВОЧНИК!$I$8+'ПЛАН ЧЕРН ПОДЗЕМ'!S32*СПРАВОЧНИК!$J$8</f>
        <v/>
      </c>
      <c r="K41" s="40">
        <f>('ФАКТ ЧЕРН ПОДЗЕМ'!B32)*СПРАВОЧНИК!$H$3+('ФАКТ ЧЕРН ПОДЗЕМ'!C32)*СПРАВОЧНИК!$I$3+('ФАКТ ЧЕРН ПОДЗЕМ'!D32)*СПРАВОЧНИК!$J$3+('ФАКТ ЧЕРН ПОДЗЕМ'!E32)*СПРАВОЧНИК!$H$4+('ФАКТ ЧЕРН ПОДЗЕМ'!F32)*СПРАВОЧНИК!$I$4+('ФАКТ ЧЕРН ПОДЗЕМ'!G32)*СПРАВОЧНИК!$J$4+('ФАКТ ЧЕРН ПОДЗЕМ'!H32)*СПРАВОЧНИК!$H$5+('ФАКТ ЧЕРН ПОДЗЕМ'!I32)*СПРАВОЧНИК!$I$5+('ФАКТ ЧЕРН ПОДЗЕМ'!J32)*СПРАВОЧНИК!$J$5+('ФАКТ ЧЕРН ПОДЗЕМ'!K32)*СПРАВОЧНИК!$H$6+('ФАКТ ЧЕРН ПОДЗЕМ'!L32)*СПРАВОЧНИК!$I$6+('ФАКТ ЧЕРН ПОДЗЕМ'!M32)*СПРАВОЧНИК!$J$6+('ФАКТ ЧЕРН ПОДЗЕМ'!N32)*СПРАВОЧНИК!$H$7+('ФАКТ ЧЕРН ПОДЗЕМ'!O32)*СПРАВОЧНИК!$I$7+('ФАКТ ЧЕРН ПОДЗЕМ'!P32)*СПРАВОЧНИК!$J$7+('ФАКТ ЧЕРН ПОДЗЕМ'!Q32)*СПРАВОЧНИК!$H$8+('ФАКТ ЧЕРН ПОДЗЕМ'!R32)*СПРАВОЧНИК!$I$8+('ФАКТ ЧЕРН ПОДЗЕМ'!S32)*СПРАВОЧНИК!$J$8</f>
        <v/>
      </c>
      <c r="O41" s="18">
        <f>O40+7</f>
        <v/>
      </c>
      <c r="P41" s="37">
        <f>'ПЛАН ЧИСТ ПОДЗЕМ'!B32*СПРАВОЧНИК!$L$3+'ПЛАН ЧИСТ ПОДЗЕМ'!C32*СПРАВОЧНИК!$M$3+'ПЛАН ЧИСТ ПОДЗЕМ'!D32*СПРАВОЧНИК!$N$3+'ПЛАН ЧИСТ ПОДЗЕМ'!E32*СПРАВОЧНИК!$O$3+'ПЛАН ЧИСТ ПОДЗЕМ'!F32*СПРАВОЧНИК!$L$4+'ПЛАН ЧИСТ ПОДЗЕМ'!G32*СПРАВОЧНИК!$M$4+'ПЛАН ЧИСТ ПОДЗЕМ'!H32*СПРАВОЧНИК!$N$4+'ПЛАН ЧИСТ ПОДЗЕМ'!I32*СПРАВОЧНИК!$O$4+'ПЛАН ЧИСТ ПОДЗЕМ'!J32*СПРАВОЧНИК!$L$5+'ПЛАН ЧИСТ ПОДЗЕМ'!K32*СПРАВОЧНИК!$M$5+'ПЛАН ЧИСТ ПОДЗЕМ'!L32*СПРАВОЧНИК!$N$5+'ПЛАН ЧИСТ ПОДЗЕМ'!M32*СПРАВОЧНИК!$L$6+'ПЛАН ЧИСТ ПОДЗЕМ'!N32*СПРАВОЧНИК!$M$6+'ПЛАН ЧИСТ ПОДЗЕМ'!O32*СПРАВОЧНИК!$N$6+'ПЛАН ЧИСТ ПОДЗЕМ'!P32*СПРАВОЧНИК!$O$6+'ПЛАН ЧИСТ ПОДЗЕМ'!Q32*СПРАВОЧНИК!$L$7+'ПЛАН ЧИСТ ПОДЗЕМ'!R32*СПРАВОЧНИК!$M$7+'ПЛАН ЧИСТ ПОДЗЕМ'!S32*СПРАВОЧНИК!$N$7+'ПЛАН ЧИСТ ПОДЗЕМ'!T32*СПРАВОЧНИК!$O$7+'ПЛАН ЧИСТ ПОДЗЕМ'!U32*СПРАВОЧНИК!$L$8+'ПЛАН ЧИСТ ПОДЗЕМ'!V32*СПРАВОЧНИК!$M$8+'ПЛАН ЧИСТ ПОДЗЕМ'!W32*СПРАВОЧНИК!$N$8</f>
        <v/>
      </c>
      <c r="Q41" s="40">
        <f>('ФАКТ ЧИСТ ПОДЗЕМ'!B32)*СПРАВОЧНИК!$L$3+('ФАКТ ЧИСТ ПОДЗЕМ'!C32)*СПРАВОЧНИК!$M$3+('ФАКТ ЧИСТ ПОДЗЕМ'!D32)*СПРАВОЧНИК!$N$3+('ФАКТ ЧИСТ ПОДЗЕМ'!E32)*СПРАВОЧНИК!$O$3+('ФАКТ ЧИСТ ПОДЗЕМ'!F32)*СПРАВОЧНИК!$L$4+('ФАКТ ЧИСТ ПОДЗЕМ'!G32)*СПРАВОЧНИК!$M$4+('ФАКТ ЧИСТ ПОДЗЕМ'!H32)*СПРАВОЧНИК!$N$4+('ФАКТ ЧИСТ ПОДЗЕМ'!I32)*СПРАВОЧНИК!$O$4+('ФАКТ ЧИСТ ПОДЗЕМ'!J32)*СПРАВОЧНИК!$L$5+('ФАКТ ЧИСТ ПОДЗЕМ'!K32)*СПРАВОЧНИК!$M$5+('ФАКТ ЧИСТ ПОДЗЕМ'!L32)*СПРАВОЧНИК!$N$5+('ФАКТ ЧИСТ ПОДЗЕМ'!M32)*СПРАВОЧНИК!$L$6+('ФАКТ ЧИСТ ПОДЗЕМ'!N32)*СПРАВОЧНИК!$M$6+('ФАКТ ЧИСТ ПОДЗЕМ'!O32)*СПРАВОЧНИК!$N$6+('ФАКТ ЧИСТ ПОДЗЕМ'!P32)*СПРАВОЧНИК!$O$6+('ФАКТ ЧИСТ ПОДЗЕМ'!Q32)*СПРАВОЧНИК!$L$7+('ФАКТ ЧИСТ ПОДЗЕМ'!R32)*СПРАВОЧНИК!$M$7+('ФАКТ ЧИСТ ПОДЗЕМ'!S32)*СПРАВОЧНИК!$N$7+('ФАКТ ЧИСТ ПОДЗЕМ'!T32)*СПРАВОЧНИК!$O$7+('ФАКТ ЧИСТ ПОДЗЕМ'!U32)*СПРАВОЧНИК!$L$8+('ФАКТ ЧИСТ ПОДЗЕМ'!V32)*СПРАВОЧНИК!$M$8+('ФАКТ ЧИСТ ПОДЗЕМ'!W32)*СПРАВОЧНИК!$N$8</f>
        <v/>
      </c>
      <c r="U41" s="18">
        <f>U40+7</f>
        <v/>
      </c>
      <c r="V41" s="37">
        <f>СПРАВОЧНИК!$E$9*('ПЛАН ЧЕРН К1'!B32*СПРАВОЧНИК!$H$9+'ПЛАН ЧЕРН К1'!C32*СПРАВОЧНИК!$I$9+'ПЛАН ЧЕРН К1'!D32*СПРАВОЧНИК!$J$9)+СПРАВОЧНИК!$E$10*('ПЛАН ЧЕРН К1'!E32*СПРАВОЧНИК!$H$10+'ПЛАН ЧЕРН К1'!F32*СПРАВОЧНИК!$I$10+'ПЛАН ЧЕРН К1'!G32*СПРАВОЧНИК!$J$10)+СПРАВОЧНИК!$E$11*('ПЛАН ЧЕРН К1'!H32*СПРАВОЧНИК!$H$11+'ПЛАН ЧЕРН К1'!I32*СПРАВОЧНИК!$I$11+'ПЛАН ЧЕРН К1'!J32*СПРАВОЧНИК!$J$11)+СПРАВОЧНИК!$E$12*('ПЛАН ЧЕРН К1'!K32*СПРАВОЧНИК!$H$12+'ПЛАН ЧЕРН К1'!L32*СПРАВОЧНИК!$I$12+'ПЛАН ЧЕРН К1'!M32*СПРАВОЧНИК!$J$12)+СПРАВОЧНИК!$E$13*('ПЛАН ЧЕРН К1'!N32*СПРАВОЧНИК!$H$13+'ПЛАН ЧЕРН К1'!O32*СПРАВОЧНИК!$I$13+'ПЛАН ЧЕРН К1'!P32*СПРАВОЧНИК!$J$13)+СПРАВОЧНИК!$E$14*('ПЛАН ЧЕРН К1'!Q32*СПРАВОЧНИК!$H$14+'ПЛАН ЧЕРН К1'!R32*СПРАВОЧНИК!$I$14+'ПЛАН ЧЕРН К1'!S32*СПРАВОЧНИК!$J$14)+СПРАВОЧНИК!$E$15*('ПЛАН ЧЕРН К1'!T32*СПРАВОЧНИК!$H$15+'ПЛАН ЧЕРН К1'!U32*СПРАВОЧНИК!$I$15+'ПЛАН ЧЕРН К1'!V32*СПРАВОЧНИК!$J$15)+СПРАВОЧНИК!$F$9*('ПЛАН ЧИСТ К1'!B32*СПРАВОЧНИК!$L$9+'ПЛАН ЧИСТ К1'!C32*СПРАВОЧНИК!$M$9+'ПЛАН ЧИСТ К1'!D32*СПРАВОЧНИК!$N$9+'ПЛАН ЧИСТ К1'!E32*СПРАВОЧНИК!$O$9)+СПРАВОЧНИК!$F$10*('ПЛАН ЧИСТ К1'!F32*СПРАВОЧНИК!$L$10+'ПЛАН ЧИСТ К1'!G32*СПРАВОЧНИК!$M$10+'ПЛАН ЧИСТ К1'!H32*СПРАВОЧНИК!$N$10+'ПЛАН ЧИСТ К1'!I32*СПРАВОЧНИК!$O$10)+СПРАВОЧНИК!$F$11*('ПЛАН ЧИСТ К1'!J32*СПРАВОЧНИК!$L$11+'ПЛАН ЧИСТ К1'!K32*СПРАВОЧНИК!$M$11+'ПЛАН ЧИСТ К1'!L32*СПРАВОЧНИК!$N$11)+СПРАВОЧНИК!$F$12*('ПЛАН ЧИСТ К1'!M32*СПРАВОЧНИК!$L$12+'ПЛАН ЧИСТ К1'!N32*СПРАВОЧНИК!$M$12+'ПЛАН ЧИСТ К1'!O32*СПРАВОЧНИК!$N$12+'ПЛАН ЧИСТ К1'!P32*СПРАВОЧНИК!$O$12)+СПРАВОЧНИК!$F$13*('ПЛАН ЧИСТ К1'!Q32*СПРАВОЧНИК!$L$13+'ПЛАН ЧИСТ К1'!R32*СПРАВОЧНИК!$M$13+'ПЛАН ЧИСТ К1'!S32*СПРАВОЧНИК!$N$13+'ПЛАН ЧИСТ К1'!T32*СПРАВОЧНИК!$O$13)+СПРАВОЧНИК!$F$14*('ПЛАН ЧИСТ К1'!U32*СПРАВОЧНИК!$L$14+'ПЛАН ЧИСТ К1'!V32*СПРАВОЧНИК!$M$14+'ПЛАН ЧИСТ К1'!W32*СПРАВОЧНИК!$N$14)+СПРАВОЧНИК!$F$15*('ПЛАН ЧИСТ К1'!X32*СПРАВОЧНИК!$L$15+'ПЛАН ЧИСТ К1'!Y32*СПРАВОЧНИК!$M$15+'ПЛАН ЧИСТ К1'!Z32*СПРАВОЧНИК!$N$15)</f>
        <v/>
      </c>
      <c r="W41" s="40">
        <f>СПРАВОЧНИК!$E$9*(('ФАКТ ЧЕРН К1'!B32)*СПРАВОЧНИК!$H$9+('ФАКТ ЧЕРН К1'!C32)*СПРАВОЧНИК!$I$9+('ФАКТ ЧЕРН К1'!D32)*СПРАВОЧНИК!$J$9)+СПРАВОЧНИК!$E$10*(('ФАКТ ЧЕРН К1'!E32)*СПРАВОЧНИК!$H$10+('ФАКТ ЧЕРН К1'!F32)*СПРАВОЧНИК!$I$10+('ФАКТ ЧЕРН К1'!G32)*СПРАВОЧНИК!$J$10)+СПРАВОЧНИК!$E$11*(('ФАКТ ЧЕРН К1'!H32)*СПРАВОЧНИК!$H$11+('ФАКТ ЧЕРН К1'!I32)*СПРАВОЧНИК!$I$11+('ФАКТ ЧЕРН К1'!J32)*СПРАВОЧНИК!$J$11)+СПРАВОЧНИК!$E$12*(('ФАКТ ЧЕРН К1'!K32)*СПРАВОЧНИК!$H$12+('ФАКТ ЧЕРН К1'!L32)*СПРАВОЧНИК!$I$12+('ФАКТ ЧЕРН К1'!M32)*СПРАВОЧНИК!$J$12)+СПРАВОЧНИК!$E$13*(('ФАКТ ЧЕРН К1'!N32)*СПРАВОЧНИК!$H$13+('ФАКТ ЧЕРН К1'!O32)*СПРАВОЧНИК!$I$13+('ФАКТ ЧЕРН К1'!P32)*СПРАВОЧНИК!$J$13)+СПРАВОЧНИК!$E$14*(('ФАКТ ЧЕРН К1'!Q32)*СПРАВОЧНИК!$H$14+('ФАКТ ЧЕРН К1'!R32)*СПРАВОЧНИК!$I$14+('ФАКТ ЧЕРН К1'!S32)*СПРАВОЧНИК!$J$14)+СПРАВОЧНИК!$E$15*(('ФАКТ ЧЕРН К1'!T32)*СПРАВОЧНИК!$H$15+('ФАКТ ЧЕРН К1'!U32)*СПРАВОЧНИК!$I$15+('ФАКТ ЧЕРН К1'!V32)*СПРАВОЧНИК!$J$15)+СПРАВОЧНИК!$F$9*(('ФАКТ ЧИСТ К1'!B32)*СПРАВОЧНИК!$L$9+('ФАКТ ЧИСТ К1'!C32)*СПРАВОЧНИК!$M$9+('ФАКТ ЧИСТ К1'!D32)*СПРАВОЧНИК!$N$9+('ФАКТ ЧИСТ К1'!E32)*СПРАВОЧНИК!$O$9)+СПРАВОЧНИК!$F$10*(('ФАКТ ЧИСТ К1'!F32)*СПРАВОЧНИК!$L$10+('ФАКТ ЧИСТ К1'!G32)*СПРАВОЧНИК!$M$10+('ФАКТ ЧИСТ К1'!H32)*СПРАВОЧНИК!$N$10+('ФАКТ ЧИСТ К1'!I32)*СПРАВОЧНИК!$O$10)+СПРАВОЧНИК!$F$11*(('ФАКТ ЧИСТ К1'!J32)*СПРАВОЧНИК!$L$11+('ФАКТ ЧИСТ К1'!K32)*СПРАВОЧНИК!$M$11+('ФАКТ ЧИСТ К1'!L32)*СПРАВОЧНИК!$N$11)+СПРАВОЧНИК!$F$12*(('ФАКТ ЧИСТ К1'!M32)*СПРАВОЧНИК!$L$12+('ФАКТ ЧИСТ К1'!N32)*СПРАВОЧНИК!$M$12+('ФАКТ ЧИСТ К1'!O32)*СПРАВОЧНИК!$N$12+('ФАКТ ЧИСТ К1'!P32)*СПРАВОЧНИК!$O$12)+СПРАВОЧНИК!$F$13*(('ФАКТ ЧИСТ К1'!Q32)*СПРАВОЧНИК!$L$13+('ФАКТ ЧИСТ К1'!R32)*СПРАВОЧНИК!$M$13+('ФАКТ ЧИСТ К1'!S32)*СПРАВОЧНИК!$N$13+('ФАКТ ЧИСТ К1'!T32)*СПРАВОЧНИК!$O$13)+СПРАВОЧНИК!$F$14*(('ФАКТ ЧИСТ К1'!U32)*СПРАВОЧНИК!$L$14+('ФАКТ ЧИСТ К1'!V32)*СПРАВОЧНИК!$M$14+('ФАКТ ЧИСТ К1'!W32)*СПРАВОЧНИК!$N$14)+СПРАВОЧНИК!$F$15*(('ФАКТ ЧИСТ К1'!X32)*СПРАВОЧНИК!$L$15+('ФАКТ ЧИСТ К1'!Y32)*СПРАВОЧНИК!$M$15+('ФАКТ ЧИСТ К1'!Z32)*СПРАВОЧНИК!$N$15)</f>
        <v/>
      </c>
      <c r="AA41" s="18">
        <f>AA40+7</f>
        <v/>
      </c>
      <c r="AB41" s="37">
        <f>'ПЛАН ЧЕРН К1'!B32*СПРАВОЧНИК!$H$9+'ПЛАН ЧЕРН К1'!C32*СПРАВОЧНИК!$I$9+'ПЛАН ЧЕРН К1'!D32*СПРАВОЧНИК!$J$9+'ПЛАН ЧЕРН К1'!E32*СПРАВОЧНИК!$H$10+'ПЛАН ЧЕРН К1'!F32*СПРАВОЧНИК!$I$10+'ПЛАН ЧЕРН К1'!G32*СПРАВОЧНИК!$J$10+'ПЛАН ЧЕРН К1'!H32*СПРАВОЧНИК!$H$11+'ПЛАН ЧЕРН К1'!I32*СПРАВОЧНИК!$I$11+'ПЛАН ЧЕРН К1'!J32*СПРАВОЧНИК!$J$11+'ПЛАН ЧЕРН К1'!K32*СПРАВОЧНИК!$H$12+'ПЛАН ЧЕРН К1'!L32*СПРАВОЧНИК!$I$12+'ПЛАН ЧЕРН К1'!M32*СПРАВОЧНИК!$J$12+'ПЛАН ЧЕРН К1'!N32*СПРАВОЧНИК!$H$13+'ПЛАН ЧЕРН К1'!O32*СПРАВОЧНИК!$I$13+'ПЛАН ЧЕРН К1'!P32*СПРАВОЧНИК!$J$13+'ПЛАН ЧЕРН К1'!Q32*СПРАВОЧНИК!$H$14+'ПЛАН ЧЕРН К1'!R32*СПРАВОЧНИК!$I$14+'ПЛАН ЧЕРН К1'!S32*СПРАВОЧНИК!$J$14+'ПЛАН ЧЕРН К1'!T32*СПРАВОЧНИК!$H$15+'ПЛАН ЧЕРН К1'!U32*СПРАВОЧНИК!$I$15+'ПЛАН ЧЕРН К1'!V32*СПРАВОЧНИК!$J$15</f>
        <v/>
      </c>
      <c r="AC41" s="40">
        <f>('ФАКТ ЧЕРН К1'!B32)*СПРАВОЧНИК!$H$9+('ФАКТ ЧЕРН К1'!C32)*СПРАВОЧНИК!$I$9+('ФАКТ ЧЕРН К1'!D32)*СПРАВОЧНИК!$J$9+('ФАКТ ЧЕРН К1'!E32)*СПРАВОЧНИК!$H$10+('ФАКТ ЧЕРН К1'!F32)*СПРАВОЧНИК!$I$10+('ФАКТ ЧЕРН К1'!G32)*СПРАВОЧНИК!$J$10+('ФАКТ ЧЕРН К1'!H32)*СПРАВОЧНИК!$H$11+('ФАКТ ЧЕРН К1'!I32)*СПРАВОЧНИК!$I$11+('ФАКТ ЧЕРН К1'!J32)*СПРАВОЧНИК!$J$11+('ФАКТ ЧЕРН К1'!K32)*СПРАВОЧНИК!$H$12+('ФАКТ ЧЕРН К1'!L32)*СПРАВОЧНИК!$I$12+('ФАКТ ЧЕРН К1'!M32)*СПРАВОЧНИК!$J$12+('ФАКТ ЧЕРН К1'!N32)*СПРАВОЧНИК!$H$13+('ФАКТ ЧЕРН К1'!O32)*СПРАВОЧНИК!$I$13+('ФАКТ ЧЕРН К1'!P32)*СПРАВОЧНИК!$J$13+('ФАКТ ЧЕРН К1'!Q32)*СПРАВОЧНИК!$H$14+('ФАКТ ЧЕРН К1'!R32)*СПРАВОЧНИК!$I$14+('ФАКТ ЧЕРН К1'!S32)*СПРАВОЧНИК!$J$14+('ФАКТ ЧЕРН К1'!T32)*СПРАВОЧНИК!$H$15+('ФАКТ ЧЕРН К1'!U32)*СПРАВОЧНИК!$I$15+('ФАКТ ЧЕРН К1'!V32)*СПРАВОЧНИК!$J$15</f>
        <v/>
      </c>
      <c r="AG41" s="18">
        <f>AG40+7</f>
        <v/>
      </c>
      <c r="AH41" s="37">
        <f>'ПЛАН ЧИСТ К1'!B32*СПРАВОЧНИК!$L$9+'ПЛАН ЧИСТ К1'!C32*СПРАВОЧНИК!$M$9+'ПЛАН ЧИСТ К1'!D32*СПРАВОЧНИК!$N$9+'ПЛАН ЧИСТ К1'!E32*СПРАВОЧНИК!$O$9+'ПЛАН ЧИСТ К1'!F32*СПРАВОЧНИК!$L$10+'ПЛАН ЧИСТ К1'!G32*СПРАВОЧНИК!$M$10+'ПЛАН ЧИСТ К1'!H32*СПРАВОЧНИК!$N$10+'ПЛАН ЧИСТ К1'!I32*СПРАВОЧНИК!$O$10+'ПЛАН ЧИСТ К1'!J32*СПРАВОЧНИК!$L$11+'ПЛАН ЧИСТ К1'!K32*СПРАВОЧНИК!$M$11+'ПЛАН ЧИСТ К1'!L32*СПРАВОЧНИК!$N$11+'ПЛАН ЧИСТ К1'!M32*СПРАВОЧНИК!$L$12+'ПЛАН ЧИСТ К1'!N32*СПРАВОЧНИК!$M$12+'ПЛАН ЧИСТ К1'!O32*СПРАВОЧНИК!$N$12+'ПЛАН ЧИСТ К1'!P32*СПРАВОЧНИК!$O$12+'ПЛАН ЧИСТ К1'!Q32*СПРАВОЧНИК!$L$13+'ПЛАН ЧИСТ К1'!R32*СПРАВОЧНИК!$M$13+'ПЛАН ЧИСТ К1'!S32*СПРАВОЧНИК!$N$13+'ПЛАН ЧИСТ К1'!T32*СПРАВОЧНИК!$O$13+'ПЛАН ЧИСТ К1'!U32*СПРАВОЧНИК!$L$14+'ПЛАН ЧИСТ К1'!V32*СПРАВОЧНИК!$M$14+'ПЛАН ЧИСТ К1'!W32*СПРАВОЧНИК!$N$14+'ПЛАН ЧИСТ К1'!X32*СПРАВОЧНИК!$L$15+'ПЛАН ЧИСТ К1'!Y32*СПРАВОЧНИК!$M$15+'ПЛАН ЧИСТ К1'!Z32*СПРАВОЧНИК!$N$15</f>
        <v/>
      </c>
      <c r="AI41" s="40">
        <f>('ФАКТ ЧИСТ К1'!B32)*СПРАВОЧНИК!$L$9+('ФАКТ ЧИСТ К1'!C32)*СПРАВОЧНИК!$M$9+('ФАКТ ЧИСТ К1'!D32)*СПРАВОЧНИК!$N$9+('ФАКТ ЧИСТ К1'!E32)*СПРАВОЧНИК!$O$9+('ФАКТ ЧИСТ К1'!F32)*СПРАВОЧНИК!$L$10+('ФАКТ ЧИСТ К1'!G32)*СПРАВОЧНИК!$M$10+('ФАКТ ЧИСТ К1'!H32)*СПРАВОЧНИК!$N$10+('ФАКТ ЧИСТ К1'!I32)*СПРАВОЧНИК!$O$10+('ФАКТ ЧИСТ К1'!J32)*СПРАВОЧНИК!$L$11+('ФАКТ ЧИСТ К1'!K32)*СПРАВОЧНИК!$M$11+('ФАКТ ЧИСТ К1'!L32)*СПРАВОЧНИК!$N$11+('ФАКТ ЧИСТ К1'!M32)*СПРАВОЧНИК!$L$12+('ФАКТ ЧИСТ К1'!N32)*СПРАВОЧНИК!$M$12+('ФАКТ ЧИСТ К1'!O32)*СПРАВОЧНИК!$N$12+('ФАКТ ЧИСТ К1'!P32)*СПРАВОЧНИК!$O$12+('ФАКТ ЧИСТ К1'!Q32)*СПРАВОЧНИК!$L$13+('ФАКТ ЧИСТ К1'!R32)*СПРАВОЧНИК!$M$13+('ФАКТ ЧИСТ К1'!S32)*СПРАВОЧНИК!$N$13+('ФАКТ ЧИСТ К1'!T32)*СПРАВОЧНИК!$O$13+('ФАКТ ЧИСТ К1'!U32)*СПРАВОЧНИК!$L$14+('ФАКТ ЧИСТ К1'!V32)*СПРАВОЧНИК!$M$14+('ФАКТ ЧИСТ К1'!W32)*СПРАВОЧНИК!$N$14+('ФАКТ ЧИСТ К1'!X32)*СПРАВОЧНИК!$L$15+('ФАКТ ЧИСТ К1'!Y32)*СПРАВОЧНИК!$M$15+('ФАКТ ЧИСТ К1'!Z32)*СПРАВОЧНИК!$N$15</f>
        <v/>
      </c>
      <c r="AM41" s="18">
        <f>AM40+7</f>
        <v/>
      </c>
      <c r="AN41" s="37">
        <f>СПРАВОЧНИК!$E$9*('ПЛАН ЧЕРН К2'!B32*СПРАВОЧНИК!$H$9+'ПЛАН ЧЕРН К2'!C32*СПРАВОЧНИК!$I$9+'ПЛАН ЧЕРН К2'!D32*СПРАВОЧНИК!$J$9)+СПРАВОЧНИК!$E$10*('ПЛАН ЧЕРН К2'!E32*СПРАВОЧНИК!$H$10+'ПЛАН ЧЕРН К2'!F32*СПРАВОЧНИК!$I$10+'ПЛАН ЧЕРН К2'!G32*СПРАВОЧНИК!$J$10)+СПРАВОЧНИК!$E$11*('ПЛАН ЧЕРН К2'!H32*СПРАВОЧНИК!$H$11+'ПЛАН ЧЕРН К2'!I32*СПРАВОЧНИК!$I$11+'ПЛАН ЧЕРН К2'!J32*СПРАВОЧНИК!$J$11)+СПРАВОЧНИК!$E$12*('ПЛАН ЧЕРН К2'!K32*СПРАВОЧНИК!$H$12+'ПЛАН ЧЕРН К2'!L32*СПРАВОЧНИК!$I$12+'ПЛАН ЧЕРН К2'!M32*СПРАВОЧНИК!$J$12)+СПРАВОЧНИК!$E$13*('ПЛАН ЧЕРН К2'!N32*СПРАВОЧНИК!$H$13+'ПЛАН ЧЕРН К2'!O32*СПРАВОЧНИК!$I$13+'ПЛАН ЧЕРН К2'!P32*СПРАВОЧНИК!$J$13)+СПРАВОЧНИК!$E$14*('ПЛАН ЧЕРН К2'!Q32*СПРАВОЧНИК!$H$14+'ПЛАН ЧЕРН К2'!R32*СПРАВОЧНИК!$I$14+'ПЛАН ЧЕРН К2'!S32*СПРАВОЧНИК!$J$14)+СПРАВОЧНИК!$E$15*('ПЛАН ЧЕРН К2'!T32*СПРАВОЧНИК!$H$15+'ПЛАН ЧЕРН К2'!U32*СПРАВОЧНИК!$I$15+'ПЛАН ЧЕРН К2'!V32*СПРАВОЧНИК!$J$15)+СПРАВОЧНИК!$F$9*('ПЛАН ЧИСТ К2'!B32*СПРАВОЧНИК!$L$9+'ПЛАН ЧИСТ К2'!C32*СПРАВОЧНИК!$M$9+'ПЛАН ЧИСТ К2'!D32*СПРАВОЧНИК!$N$9+'ПЛАН ЧИСТ К2'!E32*СПРАВОЧНИК!$O$9)+СПРАВОЧНИК!$F$10*('ПЛАН ЧИСТ К2'!F32*СПРАВОЧНИК!$L$10+'ПЛАН ЧИСТ К2'!G32*СПРАВОЧНИК!$M$10+'ПЛАН ЧИСТ К2'!H32*СПРАВОЧНИК!$N$10+'ПЛАН ЧИСТ К2'!I32*СПРАВОЧНИК!$O$10)+СПРАВОЧНИК!$F$11*('ПЛАН ЧИСТ К2'!J32*СПРАВОЧНИК!$L$11+'ПЛАН ЧИСТ К2'!K32*СПРАВОЧНИК!$M$11+'ПЛАН ЧИСТ К2'!L32*СПРАВОЧНИК!$N$11)+СПРАВОЧНИК!$F$12*('ПЛАН ЧИСТ К2'!M32*СПРАВОЧНИК!$L$12+'ПЛАН ЧИСТ К2'!N32*СПРАВОЧНИК!$M$12+'ПЛАН ЧИСТ К2'!O32*СПРАВОЧНИК!$N$12+'ПЛАН ЧИСТ К2'!P32*СПРАВОЧНИК!$O$12)+СПРАВОЧНИК!$F$13*('ПЛАН ЧИСТ К2'!Q32*СПРАВОЧНИК!$L$13+'ПЛАН ЧИСТ К2'!R32*СПРАВОЧНИК!$M$13+'ПЛАН ЧИСТ К2'!S32*СПРАВОЧНИК!$N$13+'ПЛАН ЧИСТ К2'!T32*СПРАВОЧНИК!$O$13)+СПРАВОЧНИК!$F$14*('ПЛАН ЧИСТ К2'!U32*СПРАВОЧНИК!$L$14+'ПЛАН ЧИСТ К2'!V32*СПРАВОЧНИК!$M$14+'ПЛАН ЧИСТ К2'!W32*СПРАВОЧНИК!$N$14)+СПРАВОЧНИК!$F$15*('ПЛАН ЧИСТ К2'!X32*СПРАВОЧНИК!$L$15+'ПЛАН ЧИСТ К2'!Y32*СПРАВОЧНИК!$M$15+'ПЛАН ЧИСТ К2'!Z32*СПРАВОЧНИК!$N$15)</f>
        <v/>
      </c>
      <c r="AO41" s="40">
        <f>СПРАВОЧНИК!$E$9*(('ФАКТ ЧЕРН К2'!B32)*СПРАВОЧНИК!$H$9+('ФАКТ ЧЕРН К2'!C32)*СПРАВОЧНИК!$I$9+('ФАКТ ЧЕРН К2'!D32)*СПРАВОЧНИК!$J$9)+СПРАВОЧНИК!$E$10*(('ФАКТ ЧЕРН К2'!E32)*СПРАВОЧНИК!$H$10+('ФАКТ ЧЕРН К2'!F32)*СПРАВОЧНИК!$I$10+('ФАКТ ЧЕРН К2'!G32)*СПРАВОЧНИК!$J$10)+СПРАВОЧНИК!$E$11*(('ФАКТ ЧЕРН К2'!H32)*СПРАВОЧНИК!$H$11+('ФАКТ ЧЕРН К2'!I32)*СПРАВОЧНИК!$I$11+('ФАКТ ЧЕРН К2'!J32)*СПРАВОЧНИК!$J$11)+СПРАВОЧНИК!$E$12*(('ФАКТ ЧЕРН К2'!K32)*СПРАВОЧНИК!$H$12+('ФАКТ ЧЕРН К2'!L32)*СПРАВОЧНИК!$I$12+('ФАКТ ЧЕРН К2'!M32)*СПРАВОЧНИК!$J$12)+СПРАВОЧНИК!$E$13*(('ФАКТ ЧЕРН К2'!N32)*СПРАВОЧНИК!$H$13+('ФАКТ ЧЕРН К2'!O32)*СПРАВОЧНИК!$I$13+('ФАКТ ЧЕРН К2'!P32)*СПРАВОЧНИК!$J$13)+СПРАВОЧНИК!$E$14*(('ФАКТ ЧЕРН К2'!Q32)*СПРАВОЧНИК!$H$14+('ФАКТ ЧЕРН К2'!R32)*СПРАВОЧНИК!$I$14+('ФАКТ ЧЕРН К2'!S32)*СПРАВОЧНИК!$J$14)+СПРАВОЧНИК!$E$15*(('ФАКТ ЧЕРН К2'!T32)*СПРАВОЧНИК!$H$15+('ФАКТ ЧЕРН К2'!U32)*СПРАВОЧНИК!$I$15+('ФАКТ ЧЕРН К2'!V32)*СПРАВОЧНИК!$J$15)+СПРАВОЧНИК!$F$9*(('ФАКТ ЧИСТ К2'!B32)*СПРАВОЧНИК!$L$9+('ФАКТ ЧИСТ К2'!C32)*СПРАВОЧНИК!$M$9+('ФАКТ ЧИСТ К2'!D32)*СПРАВОЧНИК!$N$9+('ФАКТ ЧИСТ К2'!E32)*СПРАВОЧНИК!$O$9)+СПРАВОЧНИК!$F$10*(('ФАКТ ЧИСТ К2'!F32)*СПРАВОЧНИК!$L$10+('ФАКТ ЧИСТ К2'!G32)*СПРАВОЧНИК!$M$10+('ФАКТ ЧИСТ К2'!H32)*СПРАВОЧНИК!$N$10+('ФАКТ ЧИСТ К2'!I32)*СПРАВОЧНИК!$O$10)+СПРАВОЧНИК!$F$11*(('ФАКТ ЧИСТ К2'!J32)*СПРАВОЧНИК!$L$11+('ФАКТ ЧИСТ К2'!K32)*СПРАВОЧНИК!$M$11+('ФАКТ ЧИСТ К2'!L32)*СПРАВОЧНИК!$N$11)+СПРАВОЧНИК!$F$12*(('ФАКТ ЧИСТ К2'!M32)*СПРАВОЧНИК!$L$12+('ФАКТ ЧИСТ К2'!N32)*СПРАВОЧНИК!$M$12+('ФАКТ ЧИСТ К2'!O32)*СПРАВОЧНИК!$N$12+('ФАКТ ЧИСТ К2'!P32)*СПРАВОЧНИК!$O$12)+СПРАВОЧНИК!$F$13*(('ФАКТ ЧИСТ К2'!Q32)*СПРАВОЧНИК!$L$13+('ФАКТ ЧИСТ К2'!R32)*СПРАВОЧНИК!$M$13+('ФАКТ ЧИСТ К2'!S32)*СПРАВОЧНИК!$N$13+('ФАКТ ЧИСТ К2'!T32)*СПРАВОЧНИК!$O$13)+СПРАВОЧНИК!$F$14*(('ФАКТ ЧИСТ К2'!U32)*СПРАВОЧНИК!$L$14+('ФАКТ ЧИСТ К2'!V32)*СПРАВОЧНИК!$M$14+('ФАКТ ЧИСТ К2'!W32)*СПРАВОЧНИК!$N$14)+СПРАВОЧНИК!$F$15*(('ФАКТ ЧИСТ К2'!X32)*СПРАВОЧНИК!$L$15+('ФАКТ ЧИСТ К2'!Y32)*СПРАВОЧНИК!$M$15+('ФАКТ ЧИСТ К2'!Z32)*СПРАВОЧНИК!$N$15)</f>
        <v/>
      </c>
      <c r="AS41" s="18">
        <f>AS40+7</f>
        <v/>
      </c>
      <c r="AT41" s="37">
        <f>'ПЛАН ЧЕРН К2'!B32*СПРАВОЧНИК!$H$9+'ПЛАН ЧЕРН К2'!C32*СПРАВОЧНИК!$I$9+'ПЛАН ЧЕРН К2'!D32*СПРАВОЧНИК!$J$9+'ПЛАН ЧЕРН К2'!E32*СПРАВОЧНИК!$H$10+'ПЛАН ЧЕРН К2'!F32*СПРАВОЧНИК!$I$10+'ПЛАН ЧЕРН К2'!G32*СПРАВОЧНИК!$J$10+'ПЛАН ЧЕРН К2'!H32*СПРАВОЧНИК!$H$11+'ПЛАН ЧЕРН К2'!I32*СПРАВОЧНИК!$I$11+'ПЛАН ЧЕРН К2'!J32*СПРАВОЧНИК!$J$11+'ПЛАН ЧЕРН К2'!K32*СПРАВОЧНИК!$H$12+'ПЛАН ЧЕРН К2'!L32*СПРАВОЧНИК!$I$12+'ПЛАН ЧЕРН К2'!M32*СПРАВОЧНИК!$J$12+'ПЛАН ЧЕРН К2'!N32*СПРАВОЧНИК!$H$13+'ПЛАН ЧЕРН К2'!O32*СПРАВОЧНИК!$I$13+'ПЛАН ЧЕРН К2'!P32*СПРАВОЧНИК!$J$13+'ПЛАН ЧЕРН К2'!Q32*СПРАВОЧНИК!$H$14+'ПЛАН ЧЕРН К2'!R32*СПРАВОЧНИК!$I$14+'ПЛАН ЧЕРН К2'!S32*СПРАВОЧНИК!$J$14+'ПЛАН ЧЕРН К2'!T32*СПРАВОЧНИК!$H$15+'ПЛАН ЧЕРН К2'!U32*СПРАВОЧНИК!$I$15+'ПЛАН ЧЕРН К2'!V32*СПРАВОЧНИК!$J$15</f>
        <v/>
      </c>
      <c r="AU41" s="40">
        <f>('ФАКТ ЧЕРН К2'!B32)*СПРАВОЧНИК!$H$9+('ФАКТ ЧЕРН К2'!C32)*СПРАВОЧНИК!$I$9+('ФАКТ ЧЕРН К2'!D32)*СПРАВОЧНИК!$J$9+('ФАКТ ЧЕРН К2'!E32)*СПРАВОЧНИК!$H$10+('ФАКТ ЧЕРН К2'!F32)*СПРАВОЧНИК!$I$10+('ФАКТ ЧЕРН К2'!G32)*СПРАВОЧНИК!$J$10+('ФАКТ ЧЕРН К2'!H32)*СПРАВОЧНИК!$H$11+('ФАКТ ЧЕРН К2'!I32)*СПРАВОЧНИК!$I$11+('ФАКТ ЧЕРН К2'!J32)*СПРАВОЧНИК!$J$11+('ФАКТ ЧЕРН К2'!K32)*СПРАВОЧНИК!$H$12+('ФАКТ ЧЕРН К2'!L32)*СПРАВОЧНИК!$I$12+('ФАКТ ЧЕРН К2'!M32)*СПРАВОЧНИК!$J$12+('ФАКТ ЧЕРН К2'!N32)*СПРАВОЧНИК!$H$13+('ФАКТ ЧЕРН К2'!O32)*СПРАВОЧНИК!$I$13+('ФАКТ ЧЕРН К2'!P32)*СПРАВОЧНИК!$J$13+('ФАКТ ЧЕРН К2'!Q32)*СПРАВОЧНИК!$H$14+('ФАКТ ЧЕРН К2'!R32)*СПРАВОЧНИК!$I$14+('ФАКТ ЧЕРН К2'!S32)*СПРАВОЧНИК!$J$14+('ФАКТ ЧЕРН К2'!T32)*СПРАВОЧНИК!$H$15+('ФАКТ ЧЕРН К2'!U32)*СПРАВОЧНИК!$I$15+('ФАКТ ЧЕРН К2'!V32)*СПРАВОЧНИК!$J$15</f>
        <v/>
      </c>
      <c r="AY41" s="18">
        <f>AY40+7</f>
        <v/>
      </c>
      <c r="AZ41" s="37">
        <f>'ПЛАН ЧИСТ К2'!B32*СПРАВОЧНИК!$L$9+'ПЛАН ЧИСТ К2'!C32*СПРАВОЧНИК!$M$9+'ПЛАН ЧИСТ К2'!D32*СПРАВОЧНИК!$N$9+'ПЛАН ЧИСТ К2'!E32*СПРАВОЧНИК!$O$9+'ПЛАН ЧИСТ К2'!F32*СПРАВОЧНИК!$L$10+'ПЛАН ЧИСТ К2'!G32*СПРАВОЧНИК!$M$10+'ПЛАН ЧИСТ К2'!H32*СПРАВОЧНИК!$N$10+'ПЛАН ЧИСТ К2'!I32*СПРАВОЧНИК!$O$10+'ПЛАН ЧИСТ К2'!J32*СПРАВОЧНИК!$L$11+'ПЛАН ЧИСТ К2'!K32*СПРАВОЧНИК!$M$11+'ПЛАН ЧИСТ К2'!L32*СПРАВОЧНИК!$N$11+'ПЛАН ЧИСТ К2'!M32*СПРАВОЧНИК!$L$12+'ПЛАН ЧИСТ К2'!N32*СПРАВОЧНИК!$M$12+'ПЛАН ЧИСТ К2'!O32*СПРАВОЧНИК!$N$12+'ПЛАН ЧИСТ К2'!P32*СПРАВОЧНИК!$O$12+'ПЛАН ЧИСТ К2'!Q32*СПРАВОЧНИК!$L$13+'ПЛАН ЧИСТ К2'!R32*СПРАВОЧНИК!$M$13+'ПЛАН ЧИСТ К2'!S32*СПРАВОЧНИК!$N$13+'ПЛАН ЧИСТ К2'!T32*СПРАВОЧНИК!$O$13+'ПЛАН ЧИСТ К2'!U32*СПРАВОЧНИК!$L$14+'ПЛАН ЧИСТ К2'!V32*СПРАВОЧНИК!$M$14+'ПЛАН ЧИСТ К2'!W32*СПРАВОЧНИК!$N$14+'ПЛАН ЧИСТ К2'!X32*СПРАВОЧНИК!$L$15+'ПЛАН ЧИСТ К2'!Y32*СПРАВОЧНИК!$M$15+'ПЛАН ЧИСТ К2'!Z32*СПРАВОЧНИК!$N$15</f>
        <v/>
      </c>
      <c r="BA41" s="40">
        <f>('ФАКТ ЧИСТ К2'!B32)*СПРАВОЧНИК!$L$9+('ФАКТ ЧИСТ К2'!C32)*СПРАВОЧНИК!$M$9+('ФАКТ ЧИСТ К2'!D32)*СПРАВОЧНИК!$N$9+('ФАКТ ЧИСТ К2'!E32)*СПРАВОЧНИК!$O$9+('ФАКТ ЧИСТ К2'!F32)*СПРАВОЧНИК!$L$10+('ФАКТ ЧИСТ К2'!G32)*СПРАВОЧНИК!$M$10+('ФАКТ ЧИСТ К2'!H32)*СПРАВОЧНИК!$N$10+('ФАКТ ЧИСТ К2'!I32)*СПРАВОЧНИК!$O$10+('ФАКТ ЧИСТ К2'!J32)*СПРАВОЧНИК!$L$11+('ФАКТ ЧИСТ К2'!K32)*СПРАВОЧНИК!$M$11+('ФАКТ ЧИСТ К2'!L32)*СПРАВОЧНИК!$N$11+('ФАКТ ЧИСТ К2'!M32)*СПРАВОЧНИК!$L$12+('ФАКТ ЧИСТ К2'!N32)*СПРАВОЧНИК!$M$12+('ФАКТ ЧИСТ К2'!O32)*СПРАВОЧНИК!$N$12+('ФАКТ ЧИСТ К2'!P32)*СПРАВОЧНИК!$O$12+('ФАКТ ЧИСТ К2'!Q32)*СПРАВОЧНИК!$L$13+('ФАКТ ЧИСТ К2'!R32)*СПРАВОЧНИК!$M$13+('ФАКТ ЧИСТ К2'!S32)*СПРАВОЧНИК!$N$13+('ФАКТ ЧИСТ К2'!T32)*СПРАВОЧНИК!$O$13+('ФАКТ ЧИСТ К2'!U32)*СПРАВОЧНИК!$L$14+('ФАКТ ЧИСТ К2'!V32)*СПРАВОЧНИК!$M$14+('ФАКТ ЧИСТ К2'!W32)*СПРАВОЧНИК!$N$14+('ФАКТ ЧИСТ К2'!X32)*СПРАВОЧНИК!$L$15+('ФАКТ ЧИСТ К2'!Y32)*СПРАВОЧНИК!$M$15+('ФАКТ ЧИСТ К2'!Z32)*СПРАВОЧНИК!$N$15</f>
        <v/>
      </c>
      <c r="BE41" s="18">
        <f>BE40+7</f>
        <v/>
      </c>
      <c r="BF41" s="37">
        <f>СПРАВОЧНИК!$E$9*('ПЛАН ЧЕРН К3'!B32*СПРАВОЧНИК!$H$9+'ПЛАН ЧЕРН К3'!C32*СПРАВОЧНИК!$I$9+'ПЛАН ЧЕРН К3'!D32*СПРАВОЧНИК!$J$9)+СПРАВОЧНИК!$E$10*('ПЛАН ЧЕРН К3'!E32*СПРАВОЧНИК!$H$10+'ПЛАН ЧЕРН К3'!F32*СПРАВОЧНИК!$I$10+'ПЛАН ЧЕРН К3'!G32*СПРАВОЧНИК!$J$10)+СПРАВОЧНИК!$E$11*('ПЛАН ЧЕРН К3'!H32*СПРАВОЧНИК!$H$11+'ПЛАН ЧЕРН К3'!I32*СПРАВОЧНИК!$I$11+'ПЛАН ЧЕРН К3'!J32*СПРАВОЧНИК!$J$11)+СПРАВОЧНИК!$E$12*('ПЛАН ЧЕРН К3'!K32*СПРАВОЧНИК!$H$12+'ПЛАН ЧЕРН К3'!L32*СПРАВОЧНИК!$I$12+'ПЛАН ЧЕРН К3'!M32*СПРАВОЧНИК!$J$12)+СПРАВОЧНИК!$E$13*('ПЛАН ЧЕРН К3'!N32*СПРАВОЧНИК!$H$13+'ПЛАН ЧЕРН К3'!O32*СПРАВОЧНИК!$I$13+'ПЛАН ЧЕРН К3'!P32*СПРАВОЧНИК!$J$13)+СПРАВОЧНИК!$E$14*('ПЛАН ЧЕРН К3'!Q32*СПРАВОЧНИК!$H$14+'ПЛАН ЧЕРН К3'!R32*СПРАВОЧНИК!$I$14+'ПЛАН ЧЕРН К3'!S32*СПРАВОЧНИК!$J$14)+СПРАВОЧНИК!$E$15*('ПЛАН ЧЕРН К3'!T32*СПРАВОЧНИК!$H$15+'ПЛАН ЧЕРН К3'!U32*СПРАВОЧНИК!$I$15+'ПЛАН ЧЕРН К3'!V32*СПРАВОЧНИК!$J$15)+СПРАВОЧНИК!$F$9*('ПЛАН ЧИСТ К3'!B32*СПРАВОЧНИК!$L$9+'ПЛАН ЧИСТ К3'!C32*СПРАВОЧНИК!$M$9+'ПЛАН ЧИСТ К3'!D32*СПРАВОЧНИК!$N$9+'ПЛАН ЧИСТ К3'!E32*СПРАВОЧНИК!$O$9)+СПРАВОЧНИК!$F$10*('ПЛАН ЧИСТ К3'!F32*СПРАВОЧНИК!$L$10+'ПЛАН ЧИСТ К3'!G32*СПРАВОЧНИК!$M$10+'ПЛАН ЧИСТ К3'!H32*СПРАВОЧНИК!$N$10+'ПЛАН ЧИСТ К3'!I32*СПРАВОЧНИК!$O$10)+СПРАВОЧНИК!$F$11*('ПЛАН ЧИСТ К3'!J32*СПРАВОЧНИК!$L$11+'ПЛАН ЧИСТ К3'!K32*СПРАВОЧНИК!$M$11+'ПЛАН ЧИСТ К3'!L32*СПРАВОЧНИК!$N$11)+СПРАВОЧНИК!$F$12*('ПЛАН ЧИСТ К3'!M32*СПРАВОЧНИК!$L$12+'ПЛАН ЧИСТ К3'!N32*СПРАВОЧНИК!$M$12+'ПЛАН ЧИСТ К3'!O32*СПРАВОЧНИК!$N$12+'ПЛАН ЧИСТ К3'!P32*СПРАВОЧНИК!$O$12)+СПРАВОЧНИК!$F$13*('ПЛАН ЧИСТ К3'!Q32*СПРАВОЧНИК!$L$13+'ПЛАН ЧИСТ К3'!R32*СПРАВОЧНИК!$M$13+'ПЛАН ЧИСТ К3'!S32*СПРАВОЧНИК!$N$13+'ПЛАН ЧИСТ К3'!T32*СПРАВОЧНИК!$O$13)+СПРАВОЧНИК!$F$14*('ПЛАН ЧИСТ К3'!U32*СПРАВОЧНИК!$L$14+'ПЛАН ЧИСТ К3'!V32*СПРАВОЧНИК!$M$14+'ПЛАН ЧИСТ К3'!W32*СПРАВОЧНИК!$N$14)+СПРАВОЧНИК!$F$15*('ПЛАН ЧИСТ К3'!X32*СПРАВОЧНИК!$L$15+'ПЛАН ЧИСТ К3'!Y32*СПРАВОЧНИК!$M$15+'ПЛАН ЧИСТ К3'!Z32*СПРАВОЧНИК!$N$15)</f>
        <v/>
      </c>
      <c r="BG41" s="40">
        <f>СПРАВОЧНИК!$E$9*(('ФАКТ ЧЕРН К3'!B32)*СПРАВОЧНИК!$H$9+('ФАКТ ЧЕРН К3'!C32)*СПРАВОЧНИК!$I$9+('ФАКТ ЧЕРН К3'!D32)*СПРАВОЧНИК!$J$9)+СПРАВОЧНИК!$E$10*(('ФАКТ ЧЕРН К3'!E32)*СПРАВОЧНИК!$H$10+('ФАКТ ЧЕРН К3'!F32)*СПРАВОЧНИК!$I$10+('ФАКТ ЧЕРН К3'!G32)*СПРАВОЧНИК!$J$10)+СПРАВОЧНИК!$E$11*(('ФАКТ ЧЕРН К3'!H32)*СПРАВОЧНИК!$H$11+('ФАКТ ЧЕРН К3'!I32)*СПРАВОЧНИК!$I$11+('ФАКТ ЧЕРН К3'!J32)*СПРАВОЧНИК!$J$11)+СПРАВОЧНИК!$E$12*(('ФАКТ ЧЕРН К3'!K32)*СПРАВОЧНИК!$H$12+('ФАКТ ЧЕРН К3'!L32)*СПРАВОЧНИК!$I$12+('ФАКТ ЧЕРН К3'!M32)*СПРАВОЧНИК!$J$12)+СПРАВОЧНИК!$E$13*(('ФАКТ ЧЕРН К3'!N32)*СПРАВОЧНИК!$H$13+('ФАКТ ЧЕРН К3'!O32)*СПРАВОЧНИК!$I$13+('ФАКТ ЧЕРН К3'!P32)*СПРАВОЧНИК!$J$13)+СПРАВОЧНИК!$E$14*(('ФАКТ ЧЕРН К3'!Q32)*СПРАВОЧНИК!$H$14+('ФАКТ ЧЕРН К3'!R32)*СПРАВОЧНИК!$I$14+('ФАКТ ЧЕРН К3'!S32)*СПРАВОЧНИК!$J$14)+СПРАВОЧНИК!$E$15*(('ФАКТ ЧЕРН К3'!T32)*СПРАВОЧНИК!$H$15+('ФАКТ ЧЕРН К3'!U32)*СПРАВОЧНИК!$I$15+('ФАКТ ЧЕРН К3'!V32)*СПРАВОЧНИК!$J$15)+СПРАВОЧНИК!$F$9*(('ФАКТ ЧИСТ К3'!B32)*СПРАВОЧНИК!$L$9+('ФАКТ ЧИСТ К3'!C32)*СПРАВОЧНИК!$M$9+('ФАКТ ЧИСТ К3'!D32)*СПРАВОЧНИК!$N$9+('ФАКТ ЧИСТ К3'!E32)*СПРАВОЧНИК!$O$9)+СПРАВОЧНИК!$F$10*(('ФАКТ ЧИСТ К3'!F32)*СПРАВОЧНИК!$L$10+('ФАКТ ЧИСТ К3'!G32)*СПРАВОЧНИК!$M$10+('ФАКТ ЧИСТ К3'!H32)*СПРАВОЧНИК!$N$10+('ФАКТ ЧИСТ К3'!I32)*СПРАВОЧНИК!$O$10)+СПРАВОЧНИК!$F$11*(('ФАКТ ЧИСТ К3'!J32)*СПРАВОЧНИК!$L$11+('ФАКТ ЧИСТ К3'!K32)*СПРАВОЧНИК!$M$11+('ФАКТ ЧИСТ К3'!L32)*СПРАВОЧНИК!$N$11)+СПРАВОЧНИК!$F$12*(('ФАКТ ЧИСТ К3'!M32)*СПРАВОЧНИК!$L$12+('ФАКТ ЧИСТ К3'!N32)*СПРАВОЧНИК!$M$12+('ФАКТ ЧИСТ К3'!O32)*СПРАВОЧНИК!$N$12+('ФАКТ ЧИСТ К3'!P32)*СПРАВОЧНИК!$O$12)+СПРАВОЧНИК!$F$13*(('ФАКТ ЧИСТ К3'!Q32)*СПРАВОЧНИК!$L$13+('ФАКТ ЧИСТ К3'!R32)*СПРАВОЧНИК!$M$13+('ФАКТ ЧИСТ К3'!S32)*СПРАВОЧНИК!$N$13+('ФАКТ ЧИСТ К3'!T32)*СПРАВОЧНИК!$O$13)+СПРАВОЧНИК!$F$14*(('ФАКТ ЧИСТ К3'!U32)*СПРАВОЧНИК!$L$14+('ФАКТ ЧИСТ К3'!V32)*СПРАВОЧНИК!$M$14+('ФАКТ ЧИСТ К3'!W32)*СПРАВОЧНИК!$N$14)+СПРАВОЧНИК!$F$15*(('ФАКТ ЧИСТ К3'!X32)*СПРАВОЧНИК!$L$15+('ФАКТ ЧИСТ К3'!Y32)*СПРАВОЧНИК!$M$15+('ФАКТ ЧИСТ К3'!Z32)*СПРАВОЧНИК!$N$15)</f>
        <v/>
      </c>
      <c r="BK41" s="18">
        <f>BK40+7</f>
        <v/>
      </c>
      <c r="BL41" s="37">
        <f>'ПЛАН ЧЕРН К3'!B32*СПРАВОЧНИК!$H$9+'ПЛАН ЧЕРН К3'!C32*СПРАВОЧНИК!$I$9+'ПЛАН ЧЕРН К3'!D32*СПРАВОЧНИК!$J$9+'ПЛАН ЧЕРН К3'!E32*СПРАВОЧНИК!$H$10+'ПЛАН ЧЕРН К3'!F32*СПРАВОЧНИК!$I$10+'ПЛАН ЧЕРН К3'!G32*СПРАВОЧНИК!$J$10+'ПЛАН ЧЕРН К3'!H32*СПРАВОЧНИК!$H$11+'ПЛАН ЧЕРН К3'!I32*СПРАВОЧНИК!$I$11+'ПЛАН ЧЕРН К3'!J32*СПРАВОЧНИК!$J$11+'ПЛАН ЧЕРН К3'!K32*СПРАВОЧНИК!$H$12+'ПЛАН ЧЕРН К3'!L32*СПРАВОЧНИК!$I$12+'ПЛАН ЧЕРН К3'!M32*СПРАВОЧНИК!$J$12+'ПЛАН ЧЕРН К3'!N32*СПРАВОЧНИК!$H$13+'ПЛАН ЧЕРН К3'!O32*СПРАВОЧНИК!$I$13+'ПЛАН ЧЕРН К3'!P32*СПРАВОЧНИК!$J$13+'ПЛАН ЧЕРН К3'!Q32*СПРАВОЧНИК!$H$14+'ПЛАН ЧЕРН К3'!R32*СПРАВОЧНИК!$I$14+'ПЛАН ЧЕРН К3'!S32*СПРАВОЧНИК!$J$14+'ПЛАН ЧЕРН К3'!T32*СПРАВОЧНИК!$H$15+'ПЛАН ЧЕРН К3'!U32*СПРАВОЧНИК!$I$15+'ПЛАН ЧЕРН К3'!V32*СПРАВОЧНИК!$J$15</f>
        <v/>
      </c>
      <c r="BM41" s="40">
        <f>('ФАКТ ЧЕРН К3'!B32)*СПРАВОЧНИК!$H$9+('ФАКТ ЧЕРН К3'!C32)*СПРАВОЧНИК!$I$9+('ФАКТ ЧЕРН К3'!D32)*СПРАВОЧНИК!$J$9+('ФАКТ ЧЕРН К3'!E32)*СПРАВОЧНИК!$H$10+('ФАКТ ЧЕРН К3'!F32)*СПРАВОЧНИК!$I$10+('ФАКТ ЧЕРН К3'!G32)*СПРАВОЧНИК!$J$10+('ФАКТ ЧЕРН К3'!H32)*СПРАВОЧНИК!$H$11+('ФАКТ ЧЕРН К3'!I32)*СПРАВОЧНИК!$I$11+('ФАКТ ЧЕРН К3'!J32)*СПРАВОЧНИК!$J$11+('ФАКТ ЧЕРН К3'!K32)*СПРАВОЧНИК!$H$12+('ФАКТ ЧЕРН К3'!L32)*СПРАВОЧНИК!$I$12+('ФАКТ ЧЕРН К3'!M32)*СПРАВОЧНИК!$J$12+('ФАКТ ЧЕРН К3'!N32)*СПРАВОЧНИК!$H$13+('ФАКТ ЧЕРН К3'!O32)*СПРАВОЧНИК!$I$13+('ФАКТ ЧЕРН К3'!P32)*СПРАВОЧНИК!$J$13+('ФАКТ ЧЕРН К3'!Q32)*СПРАВОЧНИК!$H$14+('ФАКТ ЧЕРН К3'!R32)*СПРАВОЧНИК!$I$14+('ФАКТ ЧЕРН К3'!S32)*СПРАВОЧНИК!$J$14+('ФАКТ ЧЕРН К3'!T32)*СПРАВОЧНИК!$H$15+('ФАКТ ЧЕРН К3'!U32)*СПРАВОЧНИК!$I$15+('ФАКТ ЧЕРН К3'!V32)*СПРАВОЧНИК!$J$15</f>
        <v/>
      </c>
      <c r="BQ41" s="18">
        <f>BQ40+7</f>
        <v/>
      </c>
      <c r="BR41" s="37">
        <f>'ПЛАН ЧИСТ К3'!B32*СПРАВОЧНИК!$L$9+'ПЛАН ЧИСТ К3'!C32*СПРАВОЧНИК!$M$9+'ПЛАН ЧИСТ К3'!D32*СПРАВОЧНИК!$N$9+'ПЛАН ЧИСТ К3'!E32*СПРАВОЧНИК!$O$9+'ПЛАН ЧИСТ К3'!F32*СПРАВОЧНИК!$L$10+'ПЛАН ЧИСТ К3'!G32*СПРАВОЧНИК!$M$10+'ПЛАН ЧИСТ К3'!H32*СПРАВОЧНИК!$N$10+'ПЛАН ЧИСТ К3'!I32*СПРАВОЧНИК!$O$10+'ПЛАН ЧИСТ К3'!J32*СПРАВОЧНИК!$L$11+'ПЛАН ЧИСТ К3'!K32*СПРАВОЧНИК!$M$11+'ПЛАН ЧИСТ К3'!L32*СПРАВОЧНИК!$N$11+'ПЛАН ЧИСТ К3'!M32*СПРАВОЧНИК!$L$12+'ПЛАН ЧИСТ К3'!N32*СПРАВОЧНИК!$M$12+'ПЛАН ЧИСТ К3'!O32*СПРАВОЧНИК!$N$12+'ПЛАН ЧИСТ К3'!P32*СПРАВОЧНИК!$O$12+'ПЛАН ЧИСТ К3'!Q32*СПРАВОЧНИК!$L$13+'ПЛАН ЧИСТ К3'!R32*СПРАВОЧНИК!$M$13+'ПЛАН ЧИСТ К3'!S32*СПРАВОЧНИК!$N$13+'ПЛАН ЧИСТ К3'!T32*СПРАВОЧНИК!$O$13+'ПЛАН ЧИСТ К3'!U32*СПРАВОЧНИК!$L$14+'ПЛАН ЧИСТ К3'!V32*СПРАВОЧНИК!$M$14+'ПЛАН ЧИСТ К3'!W32*СПРАВОЧНИК!$N$14+'ПЛАН ЧИСТ К3'!X32*СПРАВОЧНИК!$L$15+'ПЛАН ЧИСТ К3'!Y32*СПРАВОЧНИК!$M$15+'ПЛАН ЧИСТ К3'!Z32*СПРАВОЧНИК!$N$15</f>
        <v/>
      </c>
      <c r="BS41" s="40">
        <f>('ФАКТ ЧИСТ К3'!B32)*СПРАВОЧНИК!$L$9+('ФАКТ ЧИСТ К3'!C32)*СПРАВОЧНИК!$M$9+('ФАКТ ЧИСТ К3'!D32)*СПРАВОЧНИК!$N$9+('ФАКТ ЧИСТ К3'!E32)*СПРАВОЧНИК!$O$9+('ФАКТ ЧИСТ К3'!F32)*СПРАВОЧНИК!$L$10+('ФАКТ ЧИСТ К3'!G32)*СПРАВОЧНИК!$M$10+('ФАКТ ЧИСТ К3'!H32)*СПРАВОЧНИК!$N$10+('ФАКТ ЧИСТ К3'!I32)*СПРАВОЧНИК!$O$10+('ФАКТ ЧИСТ К3'!J32)*СПРАВОЧНИК!$L$11+('ФАКТ ЧИСТ К3'!K32)*СПРАВОЧНИК!$M$11+('ФАКТ ЧИСТ К3'!L32)*СПРАВОЧНИК!$N$11+('ФАКТ ЧИСТ К3'!M32)*СПРАВОЧНИК!$L$12+('ФАКТ ЧИСТ К3'!N32)*СПРАВОЧНИК!$M$12+('ФАКТ ЧИСТ К3'!O32)*СПРАВОЧНИК!$N$12+('ФАКТ ЧИСТ К3'!P32)*СПРАВОЧНИК!$O$12+('ФАКТ ЧИСТ К3'!Q32)*СПРАВОЧНИК!$L$13+('ФАКТ ЧИСТ К3'!R32)*СПРАВОЧНИК!$M$13+('ФАКТ ЧИСТ К3'!S32)*СПРАВОЧНИК!$N$13+('ФАКТ ЧИСТ К3'!T32)*СПРАВОЧНИК!$O$13+('ФАКТ ЧИСТ К3'!U32)*СПРАВОЧНИК!$L$14+('ФАКТ ЧИСТ К3'!V32)*СПРАВОЧНИК!$M$14+('ФАКТ ЧИСТ К3'!W32)*СПРАВОЧНИК!$N$14+('ФАКТ ЧИСТ К3'!X32)*СПРАВОЧНИК!$L$15+('ФАКТ ЧИСТ К3'!Y32)*СПРАВОЧНИК!$M$15+('ФАКТ ЧИСТ К3'!Z32)*СПРАВОЧНИК!$N$15</f>
        <v/>
      </c>
      <c r="BW41" s="18">
        <f>BW40+7</f>
        <v/>
      </c>
      <c r="BX41" s="37">
        <f>V41+AN41+BF41</f>
        <v/>
      </c>
      <c r="BY41" s="40">
        <f>W41+AO41+BG41</f>
        <v/>
      </c>
      <c r="CC41" s="18">
        <f>CC40+7</f>
        <v/>
      </c>
      <c r="CD41" s="37">
        <f>AB41+AT41+BL41</f>
        <v/>
      </c>
      <c r="CE41" s="40">
        <f>AC41+AU41+BM41</f>
        <v/>
      </c>
      <c r="CI41" s="18">
        <f>CI40+7</f>
        <v/>
      </c>
      <c r="CJ41" s="37">
        <f>AH41+AZ41+BR41</f>
        <v/>
      </c>
      <c r="CK41" s="40">
        <f>AI41+BA41+BS41</f>
        <v/>
      </c>
      <c r="CO41" s="18">
        <f>CO40+7</f>
        <v/>
      </c>
      <c r="CP41" s="37">
        <f>D41+BX41</f>
        <v/>
      </c>
      <c r="CQ41" s="40">
        <f>E41+BY41</f>
        <v/>
      </c>
      <c r="CU41" s="18">
        <f>CU40+7</f>
        <v/>
      </c>
      <c r="CV41" s="37">
        <f>J41+CD41</f>
        <v/>
      </c>
      <c r="CW41" s="40">
        <f>K41+CE41</f>
        <v/>
      </c>
      <c r="DA41" s="18">
        <f>DA40+7</f>
        <v/>
      </c>
      <c r="DB41" s="37">
        <f>P41+CJ41</f>
        <v/>
      </c>
      <c r="DC41" s="40">
        <f>Q41+CK41</f>
        <v/>
      </c>
    </row>
    <row r="42">
      <c r="C42" s="18">
        <f>C41+7</f>
        <v/>
      </c>
      <c r="D42" s="37">
        <f>СПРАВОЧНИК!$E$3*('ПЛАН ЧЕРН ПОДЗЕМ'!B33*СПРАВОЧНИК!$H$3+'ПЛАН ЧЕРН ПОДЗЕМ'!C33*СПРАВОЧНИК!$I$3+'ПЛАН ЧЕРН ПОДЗЕМ'!D33*СПРАВОЧНИК!$J$3)+СПРАВОЧНИК!$E$4*('ПЛАН ЧЕРН ПОДЗЕМ'!E33*СПРАВОЧНИК!$H$4+'ПЛАН ЧЕРН ПОДЗЕМ'!F33*СПРАВОЧНИК!$I$4+'ПЛАН ЧЕРН ПОДЗЕМ'!G33*СПРАВОЧНИК!$J$4)+СПРАВОЧНИК!$E$5*('ПЛАН ЧЕРН ПОДЗЕМ'!H33*СПРАВОЧНИК!$H$5+'ПЛАН ЧЕРН ПОДЗЕМ'!I33*СПРАВОЧНИК!$I$5+'ПЛАН ЧЕРН ПОДЗЕМ'!J33*СПРАВОЧНИК!$J$5)+СПРАВОЧНИК!$E$6*('ПЛАН ЧЕРН ПОДЗЕМ'!K33*СПРАВОЧНИК!$H$6+'ПЛАН ЧЕРН ПОДЗЕМ'!L33*СПРАВОЧНИК!$I$6+'ПЛАН ЧЕРН ПОДЗЕМ'!M33*СПРАВОЧНИК!$J$6)+СПРАВОЧНИК!$E$7*('ПЛАН ЧЕРН ПОДЗЕМ'!N33*СПРАВОЧНИК!$H$7+'ПЛАН ЧЕРН ПОДЗЕМ'!O33*СПРАВОЧНИК!$I$7+'ПЛАН ЧЕРН ПОДЗЕМ'!P33*СПРАВОЧНИК!$J$7)+СПРАВОЧНИК!$E$8*('ПЛАН ЧЕРН ПОДЗЕМ'!Q33*СПРАВОЧНИК!$H$8+'ПЛАН ЧЕРН ПОДЗЕМ'!R33*СПРАВОЧНИК!$I$8+'ПЛАН ЧЕРН ПОДЗЕМ'!S33*СПРАВОЧНИК!$J$8)+СПРАВОЧНИК!$F$3*('ПЛАН ЧИСТ ПОДЗЕМ'!B33*СПРАВОЧНИК!$L$3+'ПЛАН ЧИСТ ПОДЗЕМ'!C33*СПРАВОЧНИК!$M$3+'ПЛАН ЧИСТ ПОДЗЕМ'!D33*СПРАВОЧНИК!$N$3+'ПЛАН ЧИСТ ПОДЗЕМ'!E33*СПРАВОЧНИК!$O$3)+СПРАВОЧНИК!$F$4*('ПЛАН ЧИСТ ПОДЗЕМ'!F33*СПРАВОЧНИК!$L$4+'ПЛАН ЧИСТ ПОДЗЕМ'!G33*СПРАВОЧНИК!$M$4+'ПЛАН ЧИСТ ПОДЗЕМ'!H33*СПРАВОЧНИК!$N$4+'ПЛАН ЧИСТ ПОДЗЕМ'!I33*СПРАВОЧНИК!$O$4)+СПРАВОЧНИК!$F$5*('ПЛАН ЧИСТ ПОДЗЕМ'!J33*СПРАВОЧНИК!$L$5+'ПЛАН ЧИСТ ПОДЗЕМ'!K33*СПРАВОЧНИК!$M$5+'ПЛАН ЧИСТ ПОДЗЕМ'!L33*СПРАВОЧНИК!$N$5)+СПРАВОЧНИК!$F$6*('ПЛАН ЧИСТ ПОДЗЕМ'!M33*СПРАВОЧНИК!$L$6+'ПЛАН ЧИСТ ПОДЗЕМ'!N33*СПРАВОЧНИК!$M$6+'ПЛАН ЧИСТ ПОДЗЕМ'!O33*СПРАВОЧНИК!$N$6+'ПЛАН ЧИСТ ПОДЗЕМ'!P33*СПРАВОЧНИК!$O$6)+СПРАВОЧНИК!$F$7*('ПЛАН ЧИСТ ПОДЗЕМ'!Q33*СПРАВОЧНИК!$L$7+'ПЛАН ЧИСТ ПОДЗЕМ'!R33*СПРАВОЧНИК!$M$7+'ПЛАН ЧИСТ ПОДЗЕМ'!S33*СПРАВОЧНИК!$N$7+'ПЛАН ЧИСТ ПОДЗЕМ'!T33*СПРАВОЧНИК!$O$7)+СПРАВОЧНИК!$F$8*('ПЛАН ЧИСТ ПОДЗЕМ'!U33*СПРАВОЧНИК!$L$8+'ПЛАН ЧИСТ ПОДЗЕМ'!V33*СПРАВОЧНИК!$M$8+'ПЛАН ЧИСТ ПОДЗЕМ'!W33*СПРАВОЧНИК!$N$8)</f>
        <v/>
      </c>
      <c r="E42" s="40">
        <f>СПРАВОЧНИК!$E$3*(('ФАКТ ЧЕРН ПОДЗЕМ'!B33)*СПРАВОЧНИК!$H$3+('ФАКТ ЧЕРН ПОДЗЕМ'!C33)*СПРАВОЧНИК!$I$3+('ФАКТ ЧЕРН ПОДЗЕМ'!D33)*СПРАВОЧНИК!$J$3)+СПРАВОЧНИК!$E$4*(('ФАКТ ЧЕРН ПОДЗЕМ'!E33)*СПРАВОЧНИК!$H$4+('ФАКТ ЧЕРН ПОДЗЕМ'!F33)*СПРАВОЧНИК!$I$4+('ФАКТ ЧЕРН ПОДЗЕМ'!G33)*СПРАВОЧНИК!$J$4)+СПРАВОЧНИК!$E$5*(('ФАКТ ЧЕРН ПОДЗЕМ'!H33)*СПРАВОЧНИК!$H$5+('ФАКТ ЧЕРН ПОДЗЕМ'!I33)*СПРАВОЧНИК!$I$5+('ФАКТ ЧЕРН ПОДЗЕМ'!J33)*СПРАВОЧНИК!$J$5)+СПРАВОЧНИК!$E$6*(('ФАКТ ЧЕРН ПОДЗЕМ'!K33)*СПРАВОЧНИК!$H$6+('ФАКТ ЧЕРН ПОДЗЕМ'!L33)*СПРАВОЧНИК!$I$6+('ФАКТ ЧЕРН ПОДЗЕМ'!M33)*СПРАВОЧНИК!$J$6)+СПРАВОЧНИК!$E$7*(('ФАКТ ЧЕРН ПОДЗЕМ'!N33)*СПРАВОЧНИК!$H$7+('ФАКТ ЧЕРН ПОДЗЕМ'!O33)*СПРАВОЧНИК!$I$7+('ФАКТ ЧЕРН ПОДЗЕМ'!P33)*СПРАВОЧНИК!$J$7)+СПРАВОЧНИК!$E$8*(('ФАКТ ЧЕРН ПОДЗЕМ'!Q33)*СПРАВОЧНИК!$H$8+('ФАКТ ЧЕРН ПОДЗЕМ'!R33)*СПРАВОЧНИК!$I$8+('ФАКТ ЧЕРН ПОДЗЕМ'!S33)*СПРАВОЧНИК!$J$8)+СПРАВОЧНИК!$F$3*(('ФАКТ ЧИСТ ПОДЗЕМ'!B33)*СПРАВОЧНИК!$L$3+('ФАКТ ЧИСТ ПОДЗЕМ'!C33)*СПРАВОЧНИК!$M$3+('ФАКТ ЧИСТ ПОДЗЕМ'!D33)*СПРАВОЧНИК!$N$3+('ФАКТ ЧИСТ ПОДЗЕМ'!E33)*СПРАВОЧНИК!$O$3)+СПРАВОЧНИК!$F$4*(('ФАКТ ЧИСТ ПОДЗЕМ'!F33)*СПРАВОЧНИК!$L$4+('ФАКТ ЧИСТ ПОДЗЕМ'!G33)*СПРАВОЧНИК!$M$4+('ФАКТ ЧИСТ ПОДЗЕМ'!H33)*СПРАВОЧНИК!$N$4+('ФАКТ ЧИСТ ПОДЗЕМ'!I33)*СПРАВОЧНИК!$O$4)+СПРАВОЧНИК!$F$5*(('ФАКТ ЧИСТ ПОДЗЕМ'!J33)*СПРАВОЧНИК!$L$5+('ФАКТ ЧИСТ ПОДЗЕМ'!K33)*СПРАВОЧНИК!$M$5+('ФАКТ ЧИСТ ПОДЗЕМ'!L33)*СПРАВОЧНИК!$N$5)+СПРАВОЧНИК!$F$6*(('ФАКТ ЧИСТ ПОДЗЕМ'!M33)*СПРАВОЧНИК!$L$6+('ФАКТ ЧИСТ ПОДЗЕМ'!N33)*СПРАВОЧНИК!$M$6+('ФАКТ ЧИСТ ПОДЗЕМ'!O33)*СПРАВОЧНИК!$N$6+('ФАКТ ЧИСТ ПОДЗЕМ'!P33)*СПРАВОЧНИК!$O$6)+СПРАВОЧНИК!$F$7*(('ФАКТ ЧИСТ ПОДЗЕМ'!Q33)*СПРАВОЧНИК!$L$7+('ФАКТ ЧИСТ ПОДЗЕМ'!R33)*СПРАВОЧНИК!$M$7+('ФАКТ ЧИСТ ПОДЗЕМ'!S33)*СПРАВОЧНИК!$N$7+('ФАКТ ЧИСТ ПОДЗЕМ'!T33)*СПРАВОЧНИК!$O$7)+СПРАВОЧНИК!$F$8*(('ФАКТ ЧИСТ ПОДЗЕМ'!U33)*СПРАВОЧНИК!$L$8+('ФАКТ ЧИСТ ПОДЗЕМ'!V33)*СПРАВОЧНИК!$M$8+('ФАКТ ЧИСТ ПОДЗЕМ'!W33)*СПРАВОЧНИК!$N$8)</f>
        <v/>
      </c>
      <c r="I42" s="18">
        <f>I41+7</f>
        <v/>
      </c>
      <c r="J42" s="37">
        <f>'ПЛАН ЧЕРН ПОДЗЕМ'!B33*СПРАВОЧНИК!$H$3+'ПЛАН ЧЕРН ПОДЗЕМ'!C33*СПРАВОЧНИК!$I$3+'ПЛАН ЧЕРН ПОДЗЕМ'!D33*СПРАВОЧНИК!$J$3+'ПЛАН ЧЕРН ПОДЗЕМ'!E33*СПРАВОЧНИК!$H$4+'ПЛАН ЧЕРН ПОДЗЕМ'!F33*СПРАВОЧНИК!$I$4+'ПЛАН ЧЕРН ПОДЗЕМ'!G33*СПРАВОЧНИК!$J$4+'ПЛАН ЧЕРН ПОДЗЕМ'!H33*СПРАВОЧНИК!$H$5+'ПЛАН ЧЕРН ПОДЗЕМ'!I33*СПРАВОЧНИК!$I$5+'ПЛАН ЧЕРН ПОДЗЕМ'!J33*СПРАВОЧНИК!$J$5+'ПЛАН ЧЕРН ПОДЗЕМ'!K33*СПРАВОЧНИК!$H$6+'ПЛАН ЧЕРН ПОДЗЕМ'!L33*СПРАВОЧНИК!$I$6+'ПЛАН ЧЕРН ПОДЗЕМ'!M33*СПРАВОЧНИК!$J$6+'ПЛАН ЧЕРН ПОДЗЕМ'!N33*СПРАВОЧНИК!$H$7+'ПЛАН ЧЕРН ПОДЗЕМ'!O33*СПРАВОЧНИК!$I$7+'ПЛАН ЧЕРН ПОДЗЕМ'!P33*СПРАВОЧНИК!$J$7+'ПЛАН ЧЕРН ПОДЗЕМ'!Q33*СПРАВОЧНИК!$H$8+'ПЛАН ЧЕРН ПОДЗЕМ'!R33*СПРАВОЧНИК!$I$8+'ПЛАН ЧЕРН ПОДЗЕМ'!S33*СПРАВОЧНИК!$J$8</f>
        <v/>
      </c>
      <c r="K42" s="40">
        <f>('ФАКТ ЧЕРН ПОДЗЕМ'!B33)*СПРАВОЧНИК!$H$3+('ФАКТ ЧЕРН ПОДЗЕМ'!C33)*СПРАВОЧНИК!$I$3+('ФАКТ ЧЕРН ПОДЗЕМ'!D33)*СПРАВОЧНИК!$J$3+('ФАКТ ЧЕРН ПОДЗЕМ'!E33)*СПРАВОЧНИК!$H$4+('ФАКТ ЧЕРН ПОДЗЕМ'!F33)*СПРАВОЧНИК!$I$4+('ФАКТ ЧЕРН ПОДЗЕМ'!G33)*СПРАВОЧНИК!$J$4+('ФАКТ ЧЕРН ПОДЗЕМ'!H33)*СПРАВОЧНИК!$H$5+('ФАКТ ЧЕРН ПОДЗЕМ'!I33)*СПРАВОЧНИК!$I$5+('ФАКТ ЧЕРН ПОДЗЕМ'!J33)*СПРАВОЧНИК!$J$5+('ФАКТ ЧЕРН ПОДЗЕМ'!K33)*СПРАВОЧНИК!$H$6+('ФАКТ ЧЕРН ПОДЗЕМ'!L33)*СПРАВОЧНИК!$I$6+('ФАКТ ЧЕРН ПОДЗЕМ'!M33)*СПРАВОЧНИК!$J$6+('ФАКТ ЧЕРН ПОДЗЕМ'!N33)*СПРАВОЧНИК!$H$7+('ФАКТ ЧЕРН ПОДЗЕМ'!O33)*СПРАВОЧНИК!$I$7+('ФАКТ ЧЕРН ПОДЗЕМ'!P33)*СПРАВОЧНИК!$J$7+('ФАКТ ЧЕРН ПОДЗЕМ'!Q33)*СПРАВОЧНИК!$H$8+('ФАКТ ЧЕРН ПОДЗЕМ'!R33)*СПРАВОЧНИК!$I$8+('ФАКТ ЧЕРН ПОДЗЕМ'!S33)*СПРАВОЧНИК!$J$8</f>
        <v/>
      </c>
      <c r="O42" s="18">
        <f>O41+7</f>
        <v/>
      </c>
      <c r="P42" s="37">
        <f>'ПЛАН ЧИСТ ПОДЗЕМ'!B33*СПРАВОЧНИК!$L$3+'ПЛАН ЧИСТ ПОДЗЕМ'!C33*СПРАВОЧНИК!$M$3+'ПЛАН ЧИСТ ПОДЗЕМ'!D33*СПРАВОЧНИК!$N$3+'ПЛАН ЧИСТ ПОДЗЕМ'!E33*СПРАВОЧНИК!$O$3+'ПЛАН ЧИСТ ПОДЗЕМ'!F33*СПРАВОЧНИК!$L$4+'ПЛАН ЧИСТ ПОДЗЕМ'!G33*СПРАВОЧНИК!$M$4+'ПЛАН ЧИСТ ПОДЗЕМ'!H33*СПРАВОЧНИК!$N$4+'ПЛАН ЧИСТ ПОДЗЕМ'!I33*СПРАВОЧНИК!$O$4+'ПЛАН ЧИСТ ПОДЗЕМ'!J33*СПРАВОЧНИК!$L$5+'ПЛАН ЧИСТ ПОДЗЕМ'!K33*СПРАВОЧНИК!$M$5+'ПЛАН ЧИСТ ПОДЗЕМ'!L33*СПРАВОЧНИК!$N$5+'ПЛАН ЧИСТ ПОДЗЕМ'!M33*СПРАВОЧНИК!$L$6+'ПЛАН ЧИСТ ПОДЗЕМ'!N33*СПРАВОЧНИК!$M$6+'ПЛАН ЧИСТ ПОДЗЕМ'!O33*СПРАВОЧНИК!$N$6+'ПЛАН ЧИСТ ПОДЗЕМ'!P33*СПРАВОЧНИК!$O$6+'ПЛАН ЧИСТ ПОДЗЕМ'!Q33*СПРАВОЧНИК!$L$7+'ПЛАН ЧИСТ ПОДЗЕМ'!R33*СПРАВОЧНИК!$M$7+'ПЛАН ЧИСТ ПОДЗЕМ'!S33*СПРАВОЧНИК!$N$7+'ПЛАН ЧИСТ ПОДЗЕМ'!T33*СПРАВОЧНИК!$O$7+'ПЛАН ЧИСТ ПОДЗЕМ'!U33*СПРАВОЧНИК!$L$8+'ПЛАН ЧИСТ ПОДЗЕМ'!V33*СПРАВОЧНИК!$M$8+'ПЛАН ЧИСТ ПОДЗЕМ'!W33*СПРАВОЧНИК!$N$8</f>
        <v/>
      </c>
      <c r="Q42" s="40">
        <f>('ФАКТ ЧИСТ ПОДЗЕМ'!B33)*СПРАВОЧНИК!$L$3+('ФАКТ ЧИСТ ПОДЗЕМ'!C33)*СПРАВОЧНИК!$M$3+('ФАКТ ЧИСТ ПОДЗЕМ'!D33)*СПРАВОЧНИК!$N$3+('ФАКТ ЧИСТ ПОДЗЕМ'!E33)*СПРАВОЧНИК!$O$3+('ФАКТ ЧИСТ ПОДЗЕМ'!F33)*СПРАВОЧНИК!$L$4+('ФАКТ ЧИСТ ПОДЗЕМ'!G33)*СПРАВОЧНИК!$M$4+('ФАКТ ЧИСТ ПОДЗЕМ'!H33)*СПРАВОЧНИК!$N$4+('ФАКТ ЧИСТ ПОДЗЕМ'!I33)*СПРАВОЧНИК!$O$4+('ФАКТ ЧИСТ ПОДЗЕМ'!J33)*СПРАВОЧНИК!$L$5+('ФАКТ ЧИСТ ПОДЗЕМ'!K33)*СПРАВОЧНИК!$M$5+('ФАКТ ЧИСТ ПОДЗЕМ'!L33)*СПРАВОЧНИК!$N$5+('ФАКТ ЧИСТ ПОДЗЕМ'!M33)*СПРАВОЧНИК!$L$6+('ФАКТ ЧИСТ ПОДЗЕМ'!N33)*СПРАВОЧНИК!$M$6+('ФАКТ ЧИСТ ПОДЗЕМ'!O33)*СПРАВОЧНИК!$N$6+('ФАКТ ЧИСТ ПОДЗЕМ'!P33)*СПРАВОЧНИК!$O$6+('ФАКТ ЧИСТ ПОДЗЕМ'!Q33)*СПРАВОЧНИК!$L$7+('ФАКТ ЧИСТ ПОДЗЕМ'!R33)*СПРАВОЧНИК!$M$7+('ФАКТ ЧИСТ ПОДЗЕМ'!S33)*СПРАВОЧНИК!$N$7+('ФАКТ ЧИСТ ПОДЗЕМ'!T33)*СПРАВОЧНИК!$O$7+('ФАКТ ЧИСТ ПОДЗЕМ'!U33)*СПРАВОЧНИК!$L$8+('ФАКТ ЧИСТ ПОДЗЕМ'!V33)*СПРАВОЧНИК!$M$8+('ФАКТ ЧИСТ ПОДЗЕМ'!W33)*СПРАВОЧНИК!$N$8</f>
        <v/>
      </c>
      <c r="U42" s="18">
        <f>U41+7</f>
        <v/>
      </c>
      <c r="V42" s="37">
        <f>СПРАВОЧНИК!$E$9*('ПЛАН ЧЕРН К1'!B33*СПРАВОЧНИК!$H$9+'ПЛАН ЧЕРН К1'!C33*СПРАВОЧНИК!$I$9+'ПЛАН ЧЕРН К1'!D33*СПРАВОЧНИК!$J$9)+СПРАВОЧНИК!$E$10*('ПЛАН ЧЕРН К1'!E33*СПРАВОЧНИК!$H$10+'ПЛАН ЧЕРН К1'!F33*СПРАВОЧНИК!$I$10+'ПЛАН ЧЕРН К1'!G33*СПРАВОЧНИК!$J$10)+СПРАВОЧНИК!$E$11*('ПЛАН ЧЕРН К1'!H33*СПРАВОЧНИК!$H$11+'ПЛАН ЧЕРН К1'!I33*СПРАВОЧНИК!$I$11+'ПЛАН ЧЕРН К1'!J33*СПРАВОЧНИК!$J$11)+СПРАВОЧНИК!$E$12*('ПЛАН ЧЕРН К1'!K33*СПРАВОЧНИК!$H$12+'ПЛАН ЧЕРН К1'!L33*СПРАВОЧНИК!$I$12+'ПЛАН ЧЕРН К1'!M33*СПРАВОЧНИК!$J$12)+СПРАВОЧНИК!$E$13*('ПЛАН ЧЕРН К1'!N33*СПРАВОЧНИК!$H$13+'ПЛАН ЧЕРН К1'!O33*СПРАВОЧНИК!$I$13+'ПЛАН ЧЕРН К1'!P33*СПРАВОЧНИК!$J$13)+СПРАВОЧНИК!$E$14*('ПЛАН ЧЕРН К1'!Q33*СПРАВОЧНИК!$H$14+'ПЛАН ЧЕРН К1'!R33*СПРАВОЧНИК!$I$14+'ПЛАН ЧЕРН К1'!S33*СПРАВОЧНИК!$J$14)+СПРАВОЧНИК!$E$15*('ПЛАН ЧЕРН К1'!T33*СПРАВОЧНИК!$H$15+'ПЛАН ЧЕРН К1'!U33*СПРАВОЧНИК!$I$15+'ПЛАН ЧЕРН К1'!V33*СПРАВОЧНИК!$J$15)+СПРАВОЧНИК!$F$9*('ПЛАН ЧИСТ К1'!B33*СПРАВОЧНИК!$L$9+'ПЛАН ЧИСТ К1'!C33*СПРАВОЧНИК!$M$9+'ПЛАН ЧИСТ К1'!D33*СПРАВОЧНИК!$N$9+'ПЛАН ЧИСТ К1'!E33*СПРАВОЧНИК!$O$9)+СПРАВОЧНИК!$F$10*('ПЛАН ЧИСТ К1'!F33*СПРАВОЧНИК!$L$10+'ПЛАН ЧИСТ К1'!G33*СПРАВОЧНИК!$M$10+'ПЛАН ЧИСТ К1'!H33*СПРАВОЧНИК!$N$10+'ПЛАН ЧИСТ К1'!I33*СПРАВОЧНИК!$O$10)+СПРАВОЧНИК!$F$11*('ПЛАН ЧИСТ К1'!J33*СПРАВОЧНИК!$L$11+'ПЛАН ЧИСТ К1'!K33*СПРАВОЧНИК!$M$11+'ПЛАН ЧИСТ К1'!L33*СПРАВОЧНИК!$N$11)+СПРАВОЧНИК!$F$12*('ПЛАН ЧИСТ К1'!M33*СПРАВОЧНИК!$L$12+'ПЛАН ЧИСТ К1'!N33*СПРАВОЧНИК!$M$12+'ПЛАН ЧИСТ К1'!O33*СПРАВОЧНИК!$N$12+'ПЛАН ЧИСТ К1'!P33*СПРАВОЧНИК!$O$12)+СПРАВОЧНИК!$F$13*('ПЛАН ЧИСТ К1'!Q33*СПРАВОЧНИК!$L$13+'ПЛАН ЧИСТ К1'!R33*СПРАВОЧНИК!$M$13+'ПЛАН ЧИСТ К1'!S33*СПРАВОЧНИК!$N$13+'ПЛАН ЧИСТ К1'!T33*СПРАВОЧНИК!$O$13)+СПРАВОЧНИК!$F$14*('ПЛАН ЧИСТ К1'!U33*СПРАВОЧНИК!$L$14+'ПЛАН ЧИСТ К1'!V33*СПРАВОЧНИК!$M$14+'ПЛАН ЧИСТ К1'!W33*СПРАВОЧНИК!$N$14)+СПРАВОЧНИК!$F$15*('ПЛАН ЧИСТ К1'!X33*СПРАВОЧНИК!$L$15+'ПЛАН ЧИСТ К1'!Y33*СПРАВОЧНИК!$M$15+'ПЛАН ЧИСТ К1'!Z33*СПРАВОЧНИК!$N$15)</f>
        <v/>
      </c>
      <c r="W42" s="40">
        <f>СПРАВОЧНИК!$E$9*(('ФАКТ ЧЕРН К1'!B33)*СПРАВОЧНИК!$H$9+('ФАКТ ЧЕРН К1'!C33)*СПРАВОЧНИК!$I$9+('ФАКТ ЧЕРН К1'!D33)*СПРАВОЧНИК!$J$9)+СПРАВОЧНИК!$E$10*(('ФАКТ ЧЕРН К1'!E33)*СПРАВОЧНИК!$H$10+('ФАКТ ЧЕРН К1'!F33)*СПРАВОЧНИК!$I$10+('ФАКТ ЧЕРН К1'!G33)*СПРАВОЧНИК!$J$10)+СПРАВОЧНИК!$E$11*(('ФАКТ ЧЕРН К1'!H33)*СПРАВОЧНИК!$H$11+('ФАКТ ЧЕРН К1'!I33)*СПРАВОЧНИК!$I$11+('ФАКТ ЧЕРН К1'!J33)*СПРАВОЧНИК!$J$11)+СПРАВОЧНИК!$E$12*(('ФАКТ ЧЕРН К1'!K33)*СПРАВОЧНИК!$H$12+('ФАКТ ЧЕРН К1'!L33)*СПРАВОЧНИК!$I$12+('ФАКТ ЧЕРН К1'!M33)*СПРАВОЧНИК!$J$12)+СПРАВОЧНИК!$E$13*(('ФАКТ ЧЕРН К1'!N33)*СПРАВОЧНИК!$H$13+('ФАКТ ЧЕРН К1'!O33)*СПРАВОЧНИК!$I$13+('ФАКТ ЧЕРН К1'!P33)*СПРАВОЧНИК!$J$13)+СПРАВОЧНИК!$E$14*(('ФАКТ ЧЕРН К1'!Q33)*СПРАВОЧНИК!$H$14+('ФАКТ ЧЕРН К1'!R33)*СПРАВОЧНИК!$I$14+('ФАКТ ЧЕРН К1'!S33)*СПРАВОЧНИК!$J$14)+СПРАВОЧНИК!$E$15*(('ФАКТ ЧЕРН К1'!T33)*СПРАВОЧНИК!$H$15+('ФАКТ ЧЕРН К1'!U33)*СПРАВОЧНИК!$I$15+('ФАКТ ЧЕРН К1'!V33)*СПРАВОЧНИК!$J$15)+СПРАВОЧНИК!$F$9*(('ФАКТ ЧИСТ К1'!B33)*СПРАВОЧНИК!$L$9+('ФАКТ ЧИСТ К1'!C33)*СПРАВОЧНИК!$M$9+('ФАКТ ЧИСТ К1'!D33)*СПРАВОЧНИК!$N$9+('ФАКТ ЧИСТ К1'!E33)*СПРАВОЧНИК!$O$9)+СПРАВОЧНИК!$F$10*(('ФАКТ ЧИСТ К1'!F33)*СПРАВОЧНИК!$L$10+('ФАКТ ЧИСТ К1'!G33)*СПРАВОЧНИК!$M$10+('ФАКТ ЧИСТ К1'!H33)*СПРАВОЧНИК!$N$10+('ФАКТ ЧИСТ К1'!I33)*СПРАВОЧНИК!$O$10)+СПРАВОЧНИК!$F$11*(('ФАКТ ЧИСТ К1'!J33)*СПРАВОЧНИК!$L$11+('ФАКТ ЧИСТ К1'!K33)*СПРАВОЧНИК!$M$11+('ФАКТ ЧИСТ К1'!L33)*СПРАВОЧНИК!$N$11)+СПРАВОЧНИК!$F$12*(('ФАКТ ЧИСТ К1'!M33)*СПРАВОЧНИК!$L$12+('ФАКТ ЧИСТ К1'!N33)*СПРАВОЧНИК!$M$12+('ФАКТ ЧИСТ К1'!O33)*СПРАВОЧНИК!$N$12+('ФАКТ ЧИСТ К1'!P33)*СПРАВОЧНИК!$O$12)+СПРАВОЧНИК!$F$13*(('ФАКТ ЧИСТ К1'!Q33)*СПРАВОЧНИК!$L$13+('ФАКТ ЧИСТ К1'!R33)*СПРАВОЧНИК!$M$13+('ФАКТ ЧИСТ К1'!S33)*СПРАВОЧНИК!$N$13+('ФАКТ ЧИСТ К1'!T33)*СПРАВОЧНИК!$O$13)+СПРАВОЧНИК!$F$14*(('ФАКТ ЧИСТ К1'!U33)*СПРАВОЧНИК!$L$14+('ФАКТ ЧИСТ К1'!V33)*СПРАВОЧНИК!$M$14+('ФАКТ ЧИСТ К1'!W33)*СПРАВОЧНИК!$N$14)+СПРАВОЧНИК!$F$15*(('ФАКТ ЧИСТ К1'!X33)*СПРАВОЧНИК!$L$15+('ФАКТ ЧИСТ К1'!Y33)*СПРАВОЧНИК!$M$15+('ФАКТ ЧИСТ К1'!Z33)*СПРАВОЧНИК!$N$15)</f>
        <v/>
      </c>
      <c r="AA42" s="18">
        <f>AA41+7</f>
        <v/>
      </c>
      <c r="AB42" s="37">
        <f>'ПЛАН ЧЕРН К1'!B33*СПРАВОЧНИК!$H$9+'ПЛАН ЧЕРН К1'!C33*СПРАВОЧНИК!$I$9+'ПЛАН ЧЕРН К1'!D33*СПРАВОЧНИК!$J$9+'ПЛАН ЧЕРН К1'!E33*СПРАВОЧНИК!$H$10+'ПЛАН ЧЕРН К1'!F33*СПРАВОЧНИК!$I$10+'ПЛАН ЧЕРН К1'!G33*СПРАВОЧНИК!$J$10+'ПЛАН ЧЕРН К1'!H33*СПРАВОЧНИК!$H$11+'ПЛАН ЧЕРН К1'!I33*СПРАВОЧНИК!$I$11+'ПЛАН ЧЕРН К1'!J33*СПРАВОЧНИК!$J$11+'ПЛАН ЧЕРН К1'!K33*СПРАВОЧНИК!$H$12+'ПЛАН ЧЕРН К1'!L33*СПРАВОЧНИК!$I$12+'ПЛАН ЧЕРН К1'!M33*СПРАВОЧНИК!$J$12+'ПЛАН ЧЕРН К1'!N33*СПРАВОЧНИК!$H$13+'ПЛАН ЧЕРН К1'!O33*СПРАВОЧНИК!$I$13+'ПЛАН ЧЕРН К1'!P33*СПРАВОЧНИК!$J$13+'ПЛАН ЧЕРН К1'!Q33*СПРАВОЧНИК!$H$14+'ПЛАН ЧЕРН К1'!R33*СПРАВОЧНИК!$I$14+'ПЛАН ЧЕРН К1'!S33*СПРАВОЧНИК!$J$14+'ПЛАН ЧЕРН К1'!T33*СПРАВОЧНИК!$H$15+'ПЛАН ЧЕРН К1'!U33*СПРАВОЧНИК!$I$15+'ПЛАН ЧЕРН К1'!V33*СПРАВОЧНИК!$J$15</f>
        <v/>
      </c>
      <c r="AC42" s="40">
        <f>('ФАКТ ЧЕРН К1'!B33)*СПРАВОЧНИК!$H$9+('ФАКТ ЧЕРН К1'!C33)*СПРАВОЧНИК!$I$9+('ФАКТ ЧЕРН К1'!D33)*СПРАВОЧНИК!$J$9+('ФАКТ ЧЕРН К1'!E33)*СПРАВОЧНИК!$H$10+('ФАКТ ЧЕРН К1'!F33)*СПРАВОЧНИК!$I$10+('ФАКТ ЧЕРН К1'!G33)*СПРАВОЧНИК!$J$10+('ФАКТ ЧЕРН К1'!H33)*СПРАВОЧНИК!$H$11+('ФАКТ ЧЕРН К1'!I33)*СПРАВОЧНИК!$I$11+('ФАКТ ЧЕРН К1'!J33)*СПРАВОЧНИК!$J$11+('ФАКТ ЧЕРН К1'!K33)*СПРАВОЧНИК!$H$12+('ФАКТ ЧЕРН К1'!L33)*СПРАВОЧНИК!$I$12+('ФАКТ ЧЕРН К1'!M33)*СПРАВОЧНИК!$J$12+('ФАКТ ЧЕРН К1'!N33)*СПРАВОЧНИК!$H$13+('ФАКТ ЧЕРН К1'!O33)*СПРАВОЧНИК!$I$13+('ФАКТ ЧЕРН К1'!P33)*СПРАВОЧНИК!$J$13+('ФАКТ ЧЕРН К1'!Q33)*СПРАВОЧНИК!$H$14+('ФАКТ ЧЕРН К1'!R33)*СПРАВОЧНИК!$I$14+('ФАКТ ЧЕРН К1'!S33)*СПРАВОЧНИК!$J$14+('ФАКТ ЧЕРН К1'!T33)*СПРАВОЧНИК!$H$15+('ФАКТ ЧЕРН К1'!U33)*СПРАВОЧНИК!$I$15+('ФАКТ ЧЕРН К1'!V33)*СПРАВОЧНИК!$J$15</f>
        <v/>
      </c>
      <c r="AG42" s="18">
        <f>AG41+7</f>
        <v/>
      </c>
      <c r="AH42" s="37">
        <f>'ПЛАН ЧИСТ К1'!B33*СПРАВОЧНИК!$L$9+'ПЛАН ЧИСТ К1'!C33*СПРАВОЧНИК!$M$9+'ПЛАН ЧИСТ К1'!D33*СПРАВОЧНИК!$N$9+'ПЛАН ЧИСТ К1'!E33*СПРАВОЧНИК!$O$9+'ПЛАН ЧИСТ К1'!F33*СПРАВОЧНИК!$L$10+'ПЛАН ЧИСТ К1'!G33*СПРАВОЧНИК!$M$10+'ПЛАН ЧИСТ К1'!H33*СПРАВОЧНИК!$N$10+'ПЛАН ЧИСТ К1'!I33*СПРАВОЧНИК!$O$10+'ПЛАН ЧИСТ К1'!J33*СПРАВОЧНИК!$L$11+'ПЛАН ЧИСТ К1'!K33*СПРАВОЧНИК!$M$11+'ПЛАН ЧИСТ К1'!L33*СПРАВОЧНИК!$N$11+'ПЛАН ЧИСТ К1'!M33*СПРАВОЧНИК!$L$12+'ПЛАН ЧИСТ К1'!N33*СПРАВОЧНИК!$M$12+'ПЛАН ЧИСТ К1'!O33*СПРАВОЧНИК!$N$12+'ПЛАН ЧИСТ К1'!P33*СПРАВОЧНИК!$O$12+'ПЛАН ЧИСТ К1'!Q33*СПРАВОЧНИК!$L$13+'ПЛАН ЧИСТ К1'!R33*СПРАВОЧНИК!$M$13+'ПЛАН ЧИСТ К1'!S33*СПРАВОЧНИК!$N$13+'ПЛАН ЧИСТ К1'!T33*СПРАВОЧНИК!$O$13+'ПЛАН ЧИСТ К1'!U33*СПРАВОЧНИК!$L$14+'ПЛАН ЧИСТ К1'!V33*СПРАВОЧНИК!$M$14+'ПЛАН ЧИСТ К1'!W33*СПРАВОЧНИК!$N$14+'ПЛАН ЧИСТ К1'!X33*СПРАВОЧНИК!$L$15+'ПЛАН ЧИСТ К1'!Y33*СПРАВОЧНИК!$M$15+'ПЛАН ЧИСТ К1'!Z33*СПРАВОЧНИК!$N$15</f>
        <v/>
      </c>
      <c r="AI42" s="40">
        <f>('ФАКТ ЧИСТ К1'!B33)*СПРАВОЧНИК!$L$9+('ФАКТ ЧИСТ К1'!C33)*СПРАВОЧНИК!$M$9+('ФАКТ ЧИСТ К1'!D33)*СПРАВОЧНИК!$N$9+('ФАКТ ЧИСТ К1'!E33)*СПРАВОЧНИК!$O$9+('ФАКТ ЧИСТ К1'!F33)*СПРАВОЧНИК!$L$10+('ФАКТ ЧИСТ К1'!G33)*СПРАВОЧНИК!$M$10+('ФАКТ ЧИСТ К1'!H33)*СПРАВОЧНИК!$N$10+('ФАКТ ЧИСТ К1'!I33)*СПРАВОЧНИК!$O$10+('ФАКТ ЧИСТ К1'!J33)*СПРАВОЧНИК!$L$11+('ФАКТ ЧИСТ К1'!K33)*СПРАВОЧНИК!$M$11+('ФАКТ ЧИСТ К1'!L33)*СПРАВОЧНИК!$N$11+('ФАКТ ЧИСТ К1'!M33)*СПРАВОЧНИК!$L$12+('ФАКТ ЧИСТ К1'!N33)*СПРАВОЧНИК!$M$12+('ФАКТ ЧИСТ К1'!O33)*СПРАВОЧНИК!$N$12+('ФАКТ ЧИСТ К1'!P33)*СПРАВОЧНИК!$O$12+('ФАКТ ЧИСТ К1'!Q33)*СПРАВОЧНИК!$L$13+('ФАКТ ЧИСТ К1'!R33)*СПРАВОЧНИК!$M$13+('ФАКТ ЧИСТ К1'!S33)*СПРАВОЧНИК!$N$13+('ФАКТ ЧИСТ К1'!T33)*СПРАВОЧНИК!$O$13+('ФАКТ ЧИСТ К1'!U33)*СПРАВОЧНИК!$L$14+('ФАКТ ЧИСТ К1'!V33)*СПРАВОЧНИК!$M$14+('ФАКТ ЧИСТ К1'!W33)*СПРАВОЧНИК!$N$14+('ФАКТ ЧИСТ К1'!X33)*СПРАВОЧНИК!$L$15+('ФАКТ ЧИСТ К1'!Y33)*СПРАВОЧНИК!$M$15+('ФАКТ ЧИСТ К1'!Z33)*СПРАВОЧНИК!$N$15</f>
        <v/>
      </c>
      <c r="AM42" s="18">
        <f>AM41+7</f>
        <v/>
      </c>
      <c r="AN42" s="37">
        <f>СПРАВОЧНИК!$E$9*('ПЛАН ЧЕРН К2'!B33*СПРАВОЧНИК!$H$9+'ПЛАН ЧЕРН К2'!C33*СПРАВОЧНИК!$I$9+'ПЛАН ЧЕРН К2'!D33*СПРАВОЧНИК!$J$9)+СПРАВОЧНИК!$E$10*('ПЛАН ЧЕРН К2'!E33*СПРАВОЧНИК!$H$10+'ПЛАН ЧЕРН К2'!F33*СПРАВОЧНИК!$I$10+'ПЛАН ЧЕРН К2'!G33*СПРАВОЧНИК!$J$10)+СПРАВОЧНИК!$E$11*('ПЛАН ЧЕРН К2'!H33*СПРАВОЧНИК!$H$11+'ПЛАН ЧЕРН К2'!I33*СПРАВОЧНИК!$I$11+'ПЛАН ЧЕРН К2'!J33*СПРАВОЧНИК!$J$11)+СПРАВОЧНИК!$E$12*('ПЛАН ЧЕРН К2'!K33*СПРАВОЧНИК!$H$12+'ПЛАН ЧЕРН К2'!L33*СПРАВОЧНИК!$I$12+'ПЛАН ЧЕРН К2'!M33*СПРАВОЧНИК!$J$12)+СПРАВОЧНИК!$E$13*('ПЛАН ЧЕРН К2'!N33*СПРАВОЧНИК!$H$13+'ПЛАН ЧЕРН К2'!O33*СПРАВОЧНИК!$I$13+'ПЛАН ЧЕРН К2'!P33*СПРАВОЧНИК!$J$13)+СПРАВОЧНИК!$E$14*('ПЛАН ЧЕРН К2'!Q33*СПРАВОЧНИК!$H$14+'ПЛАН ЧЕРН К2'!R33*СПРАВОЧНИК!$I$14+'ПЛАН ЧЕРН К2'!S33*СПРАВОЧНИК!$J$14)+СПРАВОЧНИК!$E$15*('ПЛАН ЧЕРН К2'!T33*СПРАВОЧНИК!$H$15+'ПЛАН ЧЕРН К2'!U33*СПРАВОЧНИК!$I$15+'ПЛАН ЧЕРН К2'!V33*СПРАВОЧНИК!$J$15)+СПРАВОЧНИК!$F$9*('ПЛАН ЧИСТ К2'!B33*СПРАВОЧНИК!$L$9+'ПЛАН ЧИСТ К2'!C33*СПРАВОЧНИК!$M$9+'ПЛАН ЧИСТ К2'!D33*СПРАВОЧНИК!$N$9+'ПЛАН ЧИСТ К2'!E33*СПРАВОЧНИК!$O$9)+СПРАВОЧНИК!$F$10*('ПЛАН ЧИСТ К2'!F33*СПРАВОЧНИК!$L$10+'ПЛАН ЧИСТ К2'!G33*СПРАВОЧНИК!$M$10+'ПЛАН ЧИСТ К2'!H33*СПРАВОЧНИК!$N$10+'ПЛАН ЧИСТ К2'!I33*СПРАВОЧНИК!$O$10)+СПРАВОЧНИК!$F$11*('ПЛАН ЧИСТ К2'!J33*СПРАВОЧНИК!$L$11+'ПЛАН ЧИСТ К2'!K33*СПРАВОЧНИК!$M$11+'ПЛАН ЧИСТ К2'!L33*СПРАВОЧНИК!$N$11)+СПРАВОЧНИК!$F$12*('ПЛАН ЧИСТ К2'!M33*СПРАВОЧНИК!$L$12+'ПЛАН ЧИСТ К2'!N33*СПРАВОЧНИК!$M$12+'ПЛАН ЧИСТ К2'!O33*СПРАВОЧНИК!$N$12+'ПЛАН ЧИСТ К2'!P33*СПРАВОЧНИК!$O$12)+СПРАВОЧНИК!$F$13*('ПЛАН ЧИСТ К2'!Q33*СПРАВОЧНИК!$L$13+'ПЛАН ЧИСТ К2'!R33*СПРАВОЧНИК!$M$13+'ПЛАН ЧИСТ К2'!S33*СПРАВОЧНИК!$N$13+'ПЛАН ЧИСТ К2'!T33*СПРАВОЧНИК!$O$13)+СПРАВОЧНИК!$F$14*('ПЛАН ЧИСТ К2'!U33*СПРАВОЧНИК!$L$14+'ПЛАН ЧИСТ К2'!V33*СПРАВОЧНИК!$M$14+'ПЛАН ЧИСТ К2'!W33*СПРАВОЧНИК!$N$14)+СПРАВОЧНИК!$F$15*('ПЛАН ЧИСТ К2'!X33*СПРАВОЧНИК!$L$15+'ПЛАН ЧИСТ К2'!Y33*СПРАВОЧНИК!$M$15+'ПЛАН ЧИСТ К2'!Z33*СПРАВОЧНИК!$N$15)</f>
        <v/>
      </c>
      <c r="AO42" s="40">
        <f>СПРАВОЧНИК!$E$9*(('ФАКТ ЧЕРН К2'!B33)*СПРАВОЧНИК!$H$9+('ФАКТ ЧЕРН К2'!C33)*СПРАВОЧНИК!$I$9+('ФАКТ ЧЕРН К2'!D33)*СПРАВОЧНИК!$J$9)+СПРАВОЧНИК!$E$10*(('ФАКТ ЧЕРН К2'!E33)*СПРАВОЧНИК!$H$10+('ФАКТ ЧЕРН К2'!F33)*СПРАВОЧНИК!$I$10+('ФАКТ ЧЕРН К2'!G33)*СПРАВОЧНИК!$J$10)+СПРАВОЧНИК!$E$11*(('ФАКТ ЧЕРН К2'!H33)*СПРАВОЧНИК!$H$11+('ФАКТ ЧЕРН К2'!I33)*СПРАВОЧНИК!$I$11+('ФАКТ ЧЕРН К2'!J33)*СПРАВОЧНИК!$J$11)+СПРАВОЧНИК!$E$12*(('ФАКТ ЧЕРН К2'!K33)*СПРАВОЧНИК!$H$12+('ФАКТ ЧЕРН К2'!L33)*СПРАВОЧНИК!$I$12+('ФАКТ ЧЕРН К2'!M33)*СПРАВОЧНИК!$J$12)+СПРАВОЧНИК!$E$13*(('ФАКТ ЧЕРН К2'!N33)*СПРАВОЧНИК!$H$13+('ФАКТ ЧЕРН К2'!O33)*СПРАВОЧНИК!$I$13+('ФАКТ ЧЕРН К2'!P33)*СПРАВОЧНИК!$J$13)+СПРАВОЧНИК!$E$14*(('ФАКТ ЧЕРН К2'!Q33)*СПРАВОЧНИК!$H$14+('ФАКТ ЧЕРН К2'!R33)*СПРАВОЧНИК!$I$14+('ФАКТ ЧЕРН К2'!S33)*СПРАВОЧНИК!$J$14)+СПРАВОЧНИК!$E$15*(('ФАКТ ЧЕРН К2'!T33)*СПРАВОЧНИК!$H$15+('ФАКТ ЧЕРН К2'!U33)*СПРАВОЧНИК!$I$15+('ФАКТ ЧЕРН К2'!V33)*СПРАВОЧНИК!$J$15)+СПРАВОЧНИК!$F$9*(('ФАКТ ЧИСТ К2'!B33)*СПРАВОЧНИК!$L$9+('ФАКТ ЧИСТ К2'!C33)*СПРАВОЧНИК!$M$9+('ФАКТ ЧИСТ К2'!D33)*СПРАВОЧНИК!$N$9+('ФАКТ ЧИСТ К2'!E33)*СПРАВОЧНИК!$O$9)+СПРАВОЧНИК!$F$10*(('ФАКТ ЧИСТ К2'!F33)*СПРАВОЧНИК!$L$10+('ФАКТ ЧИСТ К2'!G33)*СПРАВОЧНИК!$M$10+('ФАКТ ЧИСТ К2'!H33)*СПРАВОЧНИК!$N$10+('ФАКТ ЧИСТ К2'!I33)*СПРАВОЧНИК!$O$10)+СПРАВОЧНИК!$F$11*(('ФАКТ ЧИСТ К2'!J33)*СПРАВОЧНИК!$L$11+('ФАКТ ЧИСТ К2'!K33)*СПРАВОЧНИК!$M$11+('ФАКТ ЧИСТ К2'!L33)*СПРАВОЧНИК!$N$11)+СПРАВОЧНИК!$F$12*(('ФАКТ ЧИСТ К2'!M33)*СПРАВОЧНИК!$L$12+('ФАКТ ЧИСТ К2'!N33)*СПРАВОЧНИК!$M$12+('ФАКТ ЧИСТ К2'!O33)*СПРАВОЧНИК!$N$12+('ФАКТ ЧИСТ К2'!P33)*СПРАВОЧНИК!$O$12)+СПРАВОЧНИК!$F$13*(('ФАКТ ЧИСТ К2'!Q33)*СПРАВОЧНИК!$L$13+('ФАКТ ЧИСТ К2'!R33)*СПРАВОЧНИК!$M$13+('ФАКТ ЧИСТ К2'!S33)*СПРАВОЧНИК!$N$13+('ФАКТ ЧИСТ К2'!T33)*СПРАВОЧНИК!$O$13)+СПРАВОЧНИК!$F$14*(('ФАКТ ЧИСТ К2'!U33)*СПРАВОЧНИК!$L$14+('ФАКТ ЧИСТ К2'!V33)*СПРАВОЧНИК!$M$14+('ФАКТ ЧИСТ К2'!W33)*СПРАВОЧНИК!$N$14)+СПРАВОЧНИК!$F$15*(('ФАКТ ЧИСТ К2'!X33)*СПРАВОЧНИК!$L$15+('ФАКТ ЧИСТ К2'!Y33)*СПРАВОЧНИК!$M$15+('ФАКТ ЧИСТ К2'!Z33)*СПРАВОЧНИК!$N$15)</f>
        <v/>
      </c>
      <c r="AS42" s="18">
        <f>AS41+7</f>
        <v/>
      </c>
      <c r="AT42" s="37">
        <f>'ПЛАН ЧЕРН К2'!B33*СПРАВОЧНИК!$H$9+'ПЛАН ЧЕРН К2'!C33*СПРАВОЧНИК!$I$9+'ПЛАН ЧЕРН К2'!D33*СПРАВОЧНИК!$J$9+'ПЛАН ЧЕРН К2'!E33*СПРАВОЧНИК!$H$10+'ПЛАН ЧЕРН К2'!F33*СПРАВОЧНИК!$I$10+'ПЛАН ЧЕРН К2'!G33*СПРАВОЧНИК!$J$10+'ПЛАН ЧЕРН К2'!H33*СПРАВОЧНИК!$H$11+'ПЛАН ЧЕРН К2'!I33*СПРАВОЧНИК!$I$11+'ПЛАН ЧЕРН К2'!J33*СПРАВОЧНИК!$J$11+'ПЛАН ЧЕРН К2'!K33*СПРАВОЧНИК!$H$12+'ПЛАН ЧЕРН К2'!L33*СПРАВОЧНИК!$I$12+'ПЛАН ЧЕРН К2'!M33*СПРАВОЧНИК!$J$12+'ПЛАН ЧЕРН К2'!N33*СПРАВОЧНИК!$H$13+'ПЛАН ЧЕРН К2'!O33*СПРАВОЧНИК!$I$13+'ПЛАН ЧЕРН К2'!P33*СПРАВОЧНИК!$J$13+'ПЛАН ЧЕРН К2'!Q33*СПРАВОЧНИК!$H$14+'ПЛАН ЧЕРН К2'!R33*СПРАВОЧНИК!$I$14+'ПЛАН ЧЕРН К2'!S33*СПРАВОЧНИК!$J$14+'ПЛАН ЧЕРН К2'!T33*СПРАВОЧНИК!$H$15+'ПЛАН ЧЕРН К2'!U33*СПРАВОЧНИК!$I$15+'ПЛАН ЧЕРН К2'!V33*СПРАВОЧНИК!$J$15</f>
        <v/>
      </c>
      <c r="AU42" s="40">
        <f>('ФАКТ ЧЕРН К2'!B33)*СПРАВОЧНИК!$H$9+('ФАКТ ЧЕРН К2'!C33)*СПРАВОЧНИК!$I$9+('ФАКТ ЧЕРН К2'!D33)*СПРАВОЧНИК!$J$9+('ФАКТ ЧЕРН К2'!E33)*СПРАВОЧНИК!$H$10+('ФАКТ ЧЕРН К2'!F33)*СПРАВОЧНИК!$I$10+('ФАКТ ЧЕРН К2'!G33)*СПРАВОЧНИК!$J$10+('ФАКТ ЧЕРН К2'!H33)*СПРАВОЧНИК!$H$11+('ФАКТ ЧЕРН К2'!I33)*СПРАВОЧНИК!$I$11+('ФАКТ ЧЕРН К2'!J33)*СПРАВОЧНИК!$J$11+('ФАКТ ЧЕРН К2'!K33)*СПРАВОЧНИК!$H$12+('ФАКТ ЧЕРН К2'!L33)*СПРАВОЧНИК!$I$12+('ФАКТ ЧЕРН К2'!M33)*СПРАВОЧНИК!$J$12+('ФАКТ ЧЕРН К2'!N33)*СПРАВОЧНИК!$H$13+('ФАКТ ЧЕРН К2'!O33)*СПРАВОЧНИК!$I$13+('ФАКТ ЧЕРН К2'!P33)*СПРАВОЧНИК!$J$13+('ФАКТ ЧЕРН К2'!Q33)*СПРАВОЧНИК!$H$14+('ФАКТ ЧЕРН К2'!R33)*СПРАВОЧНИК!$I$14+('ФАКТ ЧЕРН К2'!S33)*СПРАВОЧНИК!$J$14+('ФАКТ ЧЕРН К2'!T33)*СПРАВОЧНИК!$H$15+('ФАКТ ЧЕРН К2'!U33)*СПРАВОЧНИК!$I$15+('ФАКТ ЧЕРН К2'!V33)*СПРАВОЧНИК!$J$15</f>
        <v/>
      </c>
      <c r="AY42" s="18">
        <f>AY41+7</f>
        <v/>
      </c>
      <c r="AZ42" s="37">
        <f>'ПЛАН ЧИСТ К2'!B33*СПРАВОЧНИК!$L$9+'ПЛАН ЧИСТ К2'!C33*СПРАВОЧНИК!$M$9+'ПЛАН ЧИСТ К2'!D33*СПРАВОЧНИК!$N$9+'ПЛАН ЧИСТ К2'!E33*СПРАВОЧНИК!$O$9+'ПЛАН ЧИСТ К2'!F33*СПРАВОЧНИК!$L$10+'ПЛАН ЧИСТ К2'!G33*СПРАВОЧНИК!$M$10+'ПЛАН ЧИСТ К2'!H33*СПРАВОЧНИК!$N$10+'ПЛАН ЧИСТ К2'!I33*СПРАВОЧНИК!$O$10+'ПЛАН ЧИСТ К2'!J33*СПРАВОЧНИК!$L$11+'ПЛАН ЧИСТ К2'!K33*СПРАВОЧНИК!$M$11+'ПЛАН ЧИСТ К2'!L33*СПРАВОЧНИК!$N$11+'ПЛАН ЧИСТ К2'!M33*СПРАВОЧНИК!$L$12+'ПЛАН ЧИСТ К2'!N33*СПРАВОЧНИК!$M$12+'ПЛАН ЧИСТ К2'!O33*СПРАВОЧНИК!$N$12+'ПЛАН ЧИСТ К2'!P33*СПРАВОЧНИК!$O$12+'ПЛАН ЧИСТ К2'!Q33*СПРАВОЧНИК!$L$13+'ПЛАН ЧИСТ К2'!R33*СПРАВОЧНИК!$M$13+'ПЛАН ЧИСТ К2'!S33*СПРАВОЧНИК!$N$13+'ПЛАН ЧИСТ К2'!T33*СПРАВОЧНИК!$O$13+'ПЛАН ЧИСТ К2'!U33*СПРАВОЧНИК!$L$14+'ПЛАН ЧИСТ К2'!V33*СПРАВОЧНИК!$M$14+'ПЛАН ЧИСТ К2'!W33*СПРАВОЧНИК!$N$14+'ПЛАН ЧИСТ К2'!X33*СПРАВОЧНИК!$L$15+'ПЛАН ЧИСТ К2'!Y33*СПРАВОЧНИК!$M$15+'ПЛАН ЧИСТ К2'!Z33*СПРАВОЧНИК!$N$15</f>
        <v/>
      </c>
      <c r="BA42" s="40">
        <f>('ФАКТ ЧИСТ К2'!B33)*СПРАВОЧНИК!$L$9+('ФАКТ ЧИСТ К2'!C33)*СПРАВОЧНИК!$M$9+('ФАКТ ЧИСТ К2'!D33)*СПРАВОЧНИК!$N$9+('ФАКТ ЧИСТ К2'!E33)*СПРАВОЧНИК!$O$9+('ФАКТ ЧИСТ К2'!F33)*СПРАВОЧНИК!$L$10+('ФАКТ ЧИСТ К2'!G33)*СПРАВОЧНИК!$M$10+('ФАКТ ЧИСТ К2'!H33)*СПРАВОЧНИК!$N$10+('ФАКТ ЧИСТ К2'!I33)*СПРАВОЧНИК!$O$10+('ФАКТ ЧИСТ К2'!J33)*СПРАВОЧНИК!$L$11+('ФАКТ ЧИСТ К2'!K33)*СПРАВОЧНИК!$M$11+('ФАКТ ЧИСТ К2'!L33)*СПРАВОЧНИК!$N$11+('ФАКТ ЧИСТ К2'!M33)*СПРАВОЧНИК!$L$12+('ФАКТ ЧИСТ К2'!N33)*СПРАВОЧНИК!$M$12+('ФАКТ ЧИСТ К2'!O33)*СПРАВОЧНИК!$N$12+('ФАКТ ЧИСТ К2'!P33)*СПРАВОЧНИК!$O$12+('ФАКТ ЧИСТ К2'!Q33)*СПРАВОЧНИК!$L$13+('ФАКТ ЧИСТ К2'!R33)*СПРАВОЧНИК!$M$13+('ФАКТ ЧИСТ К2'!S33)*СПРАВОЧНИК!$N$13+('ФАКТ ЧИСТ К2'!T33)*СПРАВОЧНИК!$O$13+('ФАКТ ЧИСТ К2'!U33)*СПРАВОЧНИК!$L$14+('ФАКТ ЧИСТ К2'!V33)*СПРАВОЧНИК!$M$14+('ФАКТ ЧИСТ К2'!W33)*СПРАВОЧНИК!$N$14+('ФАКТ ЧИСТ К2'!X33)*СПРАВОЧНИК!$L$15+('ФАКТ ЧИСТ К2'!Y33)*СПРАВОЧНИК!$M$15+('ФАКТ ЧИСТ К2'!Z33)*СПРАВОЧНИК!$N$15</f>
        <v/>
      </c>
      <c r="BE42" s="18">
        <f>BE41+7</f>
        <v/>
      </c>
      <c r="BF42" s="37">
        <f>СПРАВОЧНИК!$E$9*('ПЛАН ЧЕРН К3'!B33*СПРАВОЧНИК!$H$9+'ПЛАН ЧЕРН К3'!C33*СПРАВОЧНИК!$I$9+'ПЛАН ЧЕРН К3'!D33*СПРАВОЧНИК!$J$9)+СПРАВОЧНИК!$E$10*('ПЛАН ЧЕРН К3'!E33*СПРАВОЧНИК!$H$10+'ПЛАН ЧЕРН К3'!F33*СПРАВОЧНИК!$I$10+'ПЛАН ЧЕРН К3'!G33*СПРАВОЧНИК!$J$10)+СПРАВОЧНИК!$E$11*('ПЛАН ЧЕРН К3'!H33*СПРАВОЧНИК!$H$11+'ПЛАН ЧЕРН К3'!I33*СПРАВОЧНИК!$I$11+'ПЛАН ЧЕРН К3'!J33*СПРАВОЧНИК!$J$11)+СПРАВОЧНИК!$E$12*('ПЛАН ЧЕРН К3'!K33*СПРАВОЧНИК!$H$12+'ПЛАН ЧЕРН К3'!L33*СПРАВОЧНИК!$I$12+'ПЛАН ЧЕРН К3'!M33*СПРАВОЧНИК!$J$12)+СПРАВОЧНИК!$E$13*('ПЛАН ЧЕРН К3'!N33*СПРАВОЧНИК!$H$13+'ПЛАН ЧЕРН К3'!O33*СПРАВОЧНИК!$I$13+'ПЛАН ЧЕРН К3'!P33*СПРАВОЧНИК!$J$13)+СПРАВОЧНИК!$E$14*('ПЛАН ЧЕРН К3'!Q33*СПРАВОЧНИК!$H$14+'ПЛАН ЧЕРН К3'!R33*СПРАВОЧНИК!$I$14+'ПЛАН ЧЕРН К3'!S33*СПРАВОЧНИК!$J$14)+СПРАВОЧНИК!$E$15*('ПЛАН ЧЕРН К3'!T33*СПРАВОЧНИК!$H$15+'ПЛАН ЧЕРН К3'!U33*СПРАВОЧНИК!$I$15+'ПЛАН ЧЕРН К3'!V33*СПРАВОЧНИК!$J$15)+СПРАВОЧНИК!$F$9*('ПЛАН ЧИСТ К3'!B33*СПРАВОЧНИК!$L$9+'ПЛАН ЧИСТ К3'!C33*СПРАВОЧНИК!$M$9+'ПЛАН ЧИСТ К3'!D33*СПРАВОЧНИК!$N$9+'ПЛАН ЧИСТ К3'!E33*СПРАВОЧНИК!$O$9)+СПРАВОЧНИК!$F$10*('ПЛАН ЧИСТ К3'!F33*СПРАВОЧНИК!$L$10+'ПЛАН ЧИСТ К3'!G33*СПРАВОЧНИК!$M$10+'ПЛАН ЧИСТ К3'!H33*СПРАВОЧНИК!$N$10+'ПЛАН ЧИСТ К3'!I33*СПРАВОЧНИК!$O$10)+СПРАВОЧНИК!$F$11*('ПЛАН ЧИСТ К3'!J33*СПРАВОЧНИК!$L$11+'ПЛАН ЧИСТ К3'!K33*СПРАВОЧНИК!$M$11+'ПЛАН ЧИСТ К3'!L33*СПРАВОЧНИК!$N$11)+СПРАВОЧНИК!$F$12*('ПЛАН ЧИСТ К3'!M33*СПРАВОЧНИК!$L$12+'ПЛАН ЧИСТ К3'!N33*СПРАВОЧНИК!$M$12+'ПЛАН ЧИСТ К3'!O33*СПРАВОЧНИК!$N$12+'ПЛАН ЧИСТ К3'!P33*СПРАВОЧНИК!$O$12)+СПРАВОЧНИК!$F$13*('ПЛАН ЧИСТ К3'!Q33*СПРАВОЧНИК!$L$13+'ПЛАН ЧИСТ К3'!R33*СПРАВОЧНИК!$M$13+'ПЛАН ЧИСТ К3'!S33*СПРАВОЧНИК!$N$13+'ПЛАН ЧИСТ К3'!T33*СПРАВОЧНИК!$O$13)+СПРАВОЧНИК!$F$14*('ПЛАН ЧИСТ К3'!U33*СПРАВОЧНИК!$L$14+'ПЛАН ЧИСТ К3'!V33*СПРАВОЧНИК!$M$14+'ПЛАН ЧИСТ К3'!W33*СПРАВОЧНИК!$N$14)+СПРАВОЧНИК!$F$15*('ПЛАН ЧИСТ К3'!X33*СПРАВОЧНИК!$L$15+'ПЛАН ЧИСТ К3'!Y33*СПРАВОЧНИК!$M$15+'ПЛАН ЧИСТ К3'!Z33*СПРАВОЧНИК!$N$15)</f>
        <v/>
      </c>
      <c r="BG42" s="40">
        <f>СПРАВОЧНИК!$E$9*(('ФАКТ ЧЕРН К3'!B33)*СПРАВОЧНИК!$H$9+('ФАКТ ЧЕРН К3'!C33)*СПРАВОЧНИК!$I$9+('ФАКТ ЧЕРН К3'!D33)*СПРАВОЧНИК!$J$9)+СПРАВОЧНИК!$E$10*(('ФАКТ ЧЕРН К3'!E33)*СПРАВОЧНИК!$H$10+('ФАКТ ЧЕРН К3'!F33)*СПРАВОЧНИК!$I$10+('ФАКТ ЧЕРН К3'!G33)*СПРАВОЧНИК!$J$10)+СПРАВОЧНИК!$E$11*(('ФАКТ ЧЕРН К3'!H33)*СПРАВОЧНИК!$H$11+('ФАКТ ЧЕРН К3'!I33)*СПРАВОЧНИК!$I$11+('ФАКТ ЧЕРН К3'!J33)*СПРАВОЧНИК!$J$11)+СПРАВОЧНИК!$E$12*(('ФАКТ ЧЕРН К3'!K33)*СПРАВОЧНИК!$H$12+('ФАКТ ЧЕРН К3'!L33)*СПРАВОЧНИК!$I$12+('ФАКТ ЧЕРН К3'!M33)*СПРАВОЧНИК!$J$12)+СПРАВОЧНИК!$E$13*(('ФАКТ ЧЕРН К3'!N33)*СПРАВОЧНИК!$H$13+('ФАКТ ЧЕРН К3'!O33)*СПРАВОЧНИК!$I$13+('ФАКТ ЧЕРН К3'!P33)*СПРАВОЧНИК!$J$13)+СПРАВОЧНИК!$E$14*(('ФАКТ ЧЕРН К3'!Q33)*СПРАВОЧНИК!$H$14+('ФАКТ ЧЕРН К3'!R33)*СПРАВОЧНИК!$I$14+('ФАКТ ЧЕРН К3'!S33)*СПРАВОЧНИК!$J$14)+СПРАВОЧНИК!$E$15*(('ФАКТ ЧЕРН К3'!T33)*СПРАВОЧНИК!$H$15+('ФАКТ ЧЕРН К3'!U33)*СПРАВОЧНИК!$I$15+('ФАКТ ЧЕРН К3'!V33)*СПРАВОЧНИК!$J$15)+СПРАВОЧНИК!$F$9*(('ФАКТ ЧИСТ К3'!B33)*СПРАВОЧНИК!$L$9+('ФАКТ ЧИСТ К3'!C33)*СПРАВОЧНИК!$M$9+('ФАКТ ЧИСТ К3'!D33)*СПРАВОЧНИК!$N$9+('ФАКТ ЧИСТ К3'!E33)*СПРАВОЧНИК!$O$9)+СПРАВОЧНИК!$F$10*(('ФАКТ ЧИСТ К3'!F33)*СПРАВОЧНИК!$L$10+('ФАКТ ЧИСТ К3'!G33)*СПРАВОЧНИК!$M$10+('ФАКТ ЧИСТ К3'!H33)*СПРАВОЧНИК!$N$10+('ФАКТ ЧИСТ К3'!I33)*СПРАВОЧНИК!$O$10)+СПРАВОЧНИК!$F$11*(('ФАКТ ЧИСТ К3'!J33)*СПРАВОЧНИК!$L$11+('ФАКТ ЧИСТ К3'!K33)*СПРАВОЧНИК!$M$11+('ФАКТ ЧИСТ К3'!L33)*СПРАВОЧНИК!$N$11)+СПРАВОЧНИК!$F$12*(('ФАКТ ЧИСТ К3'!M33)*СПРАВОЧНИК!$L$12+('ФАКТ ЧИСТ К3'!N33)*СПРАВОЧНИК!$M$12+('ФАКТ ЧИСТ К3'!O33)*СПРАВОЧНИК!$N$12+('ФАКТ ЧИСТ К3'!P33)*СПРАВОЧНИК!$O$12)+СПРАВОЧНИК!$F$13*(('ФАКТ ЧИСТ К3'!Q33)*СПРАВОЧНИК!$L$13+('ФАКТ ЧИСТ К3'!R33)*СПРАВОЧНИК!$M$13+('ФАКТ ЧИСТ К3'!S33)*СПРАВОЧНИК!$N$13+('ФАКТ ЧИСТ К3'!T33)*СПРАВОЧНИК!$O$13)+СПРАВОЧНИК!$F$14*(('ФАКТ ЧИСТ К3'!U33)*СПРАВОЧНИК!$L$14+('ФАКТ ЧИСТ К3'!V33)*СПРАВОЧНИК!$M$14+('ФАКТ ЧИСТ К3'!W33)*СПРАВОЧНИК!$N$14)+СПРАВОЧНИК!$F$15*(('ФАКТ ЧИСТ К3'!X33)*СПРАВОЧНИК!$L$15+('ФАКТ ЧИСТ К3'!Y33)*СПРАВОЧНИК!$M$15+('ФАКТ ЧИСТ К3'!Z33)*СПРАВОЧНИК!$N$15)</f>
        <v/>
      </c>
      <c r="BK42" s="18">
        <f>BK41+7</f>
        <v/>
      </c>
      <c r="BL42" s="37">
        <f>'ПЛАН ЧЕРН К3'!B33*СПРАВОЧНИК!$H$9+'ПЛАН ЧЕРН К3'!C33*СПРАВОЧНИК!$I$9+'ПЛАН ЧЕРН К3'!D33*СПРАВОЧНИК!$J$9+'ПЛАН ЧЕРН К3'!E33*СПРАВОЧНИК!$H$10+'ПЛАН ЧЕРН К3'!F33*СПРАВОЧНИК!$I$10+'ПЛАН ЧЕРН К3'!G33*СПРАВОЧНИК!$J$10+'ПЛАН ЧЕРН К3'!H33*СПРАВОЧНИК!$H$11+'ПЛАН ЧЕРН К3'!I33*СПРАВОЧНИК!$I$11+'ПЛАН ЧЕРН К3'!J33*СПРАВОЧНИК!$J$11+'ПЛАН ЧЕРН К3'!K33*СПРАВОЧНИК!$H$12+'ПЛАН ЧЕРН К3'!L33*СПРАВОЧНИК!$I$12+'ПЛАН ЧЕРН К3'!M33*СПРАВОЧНИК!$J$12+'ПЛАН ЧЕРН К3'!N33*СПРАВОЧНИК!$H$13+'ПЛАН ЧЕРН К3'!O33*СПРАВОЧНИК!$I$13+'ПЛАН ЧЕРН К3'!P33*СПРАВОЧНИК!$J$13+'ПЛАН ЧЕРН К3'!Q33*СПРАВОЧНИК!$H$14+'ПЛАН ЧЕРН К3'!R33*СПРАВОЧНИК!$I$14+'ПЛАН ЧЕРН К3'!S33*СПРАВОЧНИК!$J$14+'ПЛАН ЧЕРН К3'!T33*СПРАВОЧНИК!$H$15+'ПЛАН ЧЕРН К3'!U33*СПРАВОЧНИК!$I$15+'ПЛАН ЧЕРН К3'!V33*СПРАВОЧНИК!$J$15</f>
        <v/>
      </c>
      <c r="BM42" s="40">
        <f>('ФАКТ ЧЕРН К3'!B33)*СПРАВОЧНИК!$H$9+('ФАКТ ЧЕРН К3'!C33)*СПРАВОЧНИК!$I$9+('ФАКТ ЧЕРН К3'!D33)*СПРАВОЧНИК!$J$9+('ФАКТ ЧЕРН К3'!E33)*СПРАВОЧНИК!$H$10+('ФАКТ ЧЕРН К3'!F33)*СПРАВОЧНИК!$I$10+('ФАКТ ЧЕРН К3'!G33)*СПРАВОЧНИК!$J$10+('ФАКТ ЧЕРН К3'!H33)*СПРАВОЧНИК!$H$11+('ФАКТ ЧЕРН К3'!I33)*СПРАВОЧНИК!$I$11+('ФАКТ ЧЕРН К3'!J33)*СПРАВОЧНИК!$J$11+('ФАКТ ЧЕРН К3'!K33)*СПРАВОЧНИК!$H$12+('ФАКТ ЧЕРН К3'!L33)*СПРАВОЧНИК!$I$12+('ФАКТ ЧЕРН К3'!M33)*СПРАВОЧНИК!$J$12+('ФАКТ ЧЕРН К3'!N33)*СПРАВОЧНИК!$H$13+('ФАКТ ЧЕРН К3'!O33)*СПРАВОЧНИК!$I$13+('ФАКТ ЧЕРН К3'!P33)*СПРАВОЧНИК!$J$13+('ФАКТ ЧЕРН К3'!Q33)*СПРАВОЧНИК!$H$14+('ФАКТ ЧЕРН К3'!R33)*СПРАВОЧНИК!$I$14+('ФАКТ ЧЕРН К3'!S33)*СПРАВОЧНИК!$J$14+('ФАКТ ЧЕРН К3'!T33)*СПРАВОЧНИК!$H$15+('ФАКТ ЧЕРН К3'!U33)*СПРАВОЧНИК!$I$15+('ФАКТ ЧЕРН К3'!V33)*СПРАВОЧНИК!$J$15</f>
        <v/>
      </c>
      <c r="BQ42" s="18">
        <f>BQ41+7</f>
        <v/>
      </c>
      <c r="BR42" s="37">
        <f>'ПЛАН ЧИСТ К3'!B33*СПРАВОЧНИК!$L$9+'ПЛАН ЧИСТ К3'!C33*СПРАВОЧНИК!$M$9+'ПЛАН ЧИСТ К3'!D33*СПРАВОЧНИК!$N$9+'ПЛАН ЧИСТ К3'!E33*СПРАВОЧНИК!$O$9+'ПЛАН ЧИСТ К3'!F33*СПРАВОЧНИК!$L$10+'ПЛАН ЧИСТ К3'!G33*СПРАВОЧНИК!$M$10+'ПЛАН ЧИСТ К3'!H33*СПРАВОЧНИК!$N$10+'ПЛАН ЧИСТ К3'!I33*СПРАВОЧНИК!$O$10+'ПЛАН ЧИСТ К3'!J33*СПРАВОЧНИК!$L$11+'ПЛАН ЧИСТ К3'!K33*СПРАВОЧНИК!$M$11+'ПЛАН ЧИСТ К3'!L33*СПРАВОЧНИК!$N$11+'ПЛАН ЧИСТ К3'!M33*СПРАВОЧНИК!$L$12+'ПЛАН ЧИСТ К3'!N33*СПРАВОЧНИК!$M$12+'ПЛАН ЧИСТ К3'!O33*СПРАВОЧНИК!$N$12+'ПЛАН ЧИСТ К3'!P33*СПРАВОЧНИК!$O$12+'ПЛАН ЧИСТ К3'!Q33*СПРАВОЧНИК!$L$13+'ПЛАН ЧИСТ К3'!R33*СПРАВОЧНИК!$M$13+'ПЛАН ЧИСТ К3'!S33*СПРАВОЧНИК!$N$13+'ПЛАН ЧИСТ К3'!T33*СПРАВОЧНИК!$O$13+'ПЛАН ЧИСТ К3'!U33*СПРАВОЧНИК!$L$14+'ПЛАН ЧИСТ К3'!V33*СПРАВОЧНИК!$M$14+'ПЛАН ЧИСТ К3'!W33*СПРАВОЧНИК!$N$14+'ПЛАН ЧИСТ К3'!X33*СПРАВОЧНИК!$L$15+'ПЛАН ЧИСТ К3'!Y33*СПРАВОЧНИК!$M$15+'ПЛАН ЧИСТ К3'!Z33*СПРАВОЧНИК!$N$15</f>
        <v/>
      </c>
      <c r="BS42" s="40">
        <f>('ФАКТ ЧИСТ К3'!B33)*СПРАВОЧНИК!$L$9+('ФАКТ ЧИСТ К3'!C33)*СПРАВОЧНИК!$M$9+('ФАКТ ЧИСТ К3'!D33)*СПРАВОЧНИК!$N$9+('ФАКТ ЧИСТ К3'!E33)*СПРАВОЧНИК!$O$9+('ФАКТ ЧИСТ К3'!F33)*СПРАВОЧНИК!$L$10+('ФАКТ ЧИСТ К3'!G33)*СПРАВОЧНИК!$M$10+('ФАКТ ЧИСТ К3'!H33)*СПРАВОЧНИК!$N$10+('ФАКТ ЧИСТ К3'!I33)*СПРАВОЧНИК!$O$10+('ФАКТ ЧИСТ К3'!J33)*СПРАВОЧНИК!$L$11+('ФАКТ ЧИСТ К3'!K33)*СПРАВОЧНИК!$M$11+('ФАКТ ЧИСТ К3'!L33)*СПРАВОЧНИК!$N$11+('ФАКТ ЧИСТ К3'!M33)*СПРАВОЧНИК!$L$12+('ФАКТ ЧИСТ К3'!N33)*СПРАВОЧНИК!$M$12+('ФАКТ ЧИСТ К3'!O33)*СПРАВОЧНИК!$N$12+('ФАКТ ЧИСТ К3'!P33)*СПРАВОЧНИК!$O$12+('ФАКТ ЧИСТ К3'!Q33)*СПРАВОЧНИК!$L$13+('ФАКТ ЧИСТ К3'!R33)*СПРАВОЧНИК!$M$13+('ФАКТ ЧИСТ К3'!S33)*СПРАВОЧНИК!$N$13+('ФАКТ ЧИСТ К3'!T33)*СПРАВОЧНИК!$O$13+('ФАКТ ЧИСТ К3'!U33)*СПРАВОЧНИК!$L$14+('ФАКТ ЧИСТ К3'!V33)*СПРАВОЧНИК!$M$14+('ФАКТ ЧИСТ К3'!W33)*СПРАВОЧНИК!$N$14+('ФАКТ ЧИСТ К3'!X33)*СПРАВОЧНИК!$L$15+('ФАКТ ЧИСТ К3'!Y33)*СПРАВОЧНИК!$M$15+('ФАКТ ЧИСТ К3'!Z33)*СПРАВОЧНИК!$N$15</f>
        <v/>
      </c>
      <c r="BW42" s="18">
        <f>BW41+7</f>
        <v/>
      </c>
      <c r="BX42" s="37">
        <f>V42+AN42+BF42</f>
        <v/>
      </c>
      <c r="BY42" s="40">
        <f>W42+AO42+BG42</f>
        <v/>
      </c>
      <c r="CC42" s="18">
        <f>CC41+7</f>
        <v/>
      </c>
      <c r="CD42" s="37">
        <f>AB42+AT42+BL42</f>
        <v/>
      </c>
      <c r="CE42" s="40">
        <f>AC42+AU42+BM42</f>
        <v/>
      </c>
      <c r="CI42" s="18">
        <f>CI41+7</f>
        <v/>
      </c>
      <c r="CJ42" s="37">
        <f>AH42+AZ42+BR42</f>
        <v/>
      </c>
      <c r="CK42" s="40">
        <f>AI42+BA42+BS42</f>
        <v/>
      </c>
      <c r="CO42" s="18">
        <f>CO41+7</f>
        <v/>
      </c>
      <c r="CP42" s="37">
        <f>D42+BX42</f>
        <v/>
      </c>
      <c r="CQ42" s="40">
        <f>E42+BY42</f>
        <v/>
      </c>
      <c r="CU42" s="18">
        <f>CU41+7</f>
        <v/>
      </c>
      <c r="CV42" s="37">
        <f>J42+CD42</f>
        <v/>
      </c>
      <c r="CW42" s="40">
        <f>K42+CE42</f>
        <v/>
      </c>
      <c r="DA42" s="18">
        <f>DA41+7</f>
        <v/>
      </c>
      <c r="DB42" s="37">
        <f>P42+CJ42</f>
        <v/>
      </c>
      <c r="DC42" s="40">
        <f>Q42+CK42</f>
        <v/>
      </c>
    </row>
    <row r="43">
      <c r="C43" s="18">
        <f>C42+7</f>
        <v/>
      </c>
      <c r="D43" s="37">
        <f>СПРАВОЧНИК!$E$3*('ПЛАН ЧЕРН ПОДЗЕМ'!B34*СПРАВОЧНИК!$H$3+'ПЛАН ЧЕРН ПОДЗЕМ'!C34*СПРАВОЧНИК!$I$3+'ПЛАН ЧЕРН ПОДЗЕМ'!D34*СПРАВОЧНИК!$J$3)+СПРАВОЧНИК!$E$4*('ПЛАН ЧЕРН ПОДЗЕМ'!E34*СПРАВОЧНИК!$H$4+'ПЛАН ЧЕРН ПОДЗЕМ'!F34*СПРАВОЧНИК!$I$4+'ПЛАН ЧЕРН ПОДЗЕМ'!G34*СПРАВОЧНИК!$J$4)+СПРАВОЧНИК!$E$5*('ПЛАН ЧЕРН ПОДЗЕМ'!H34*СПРАВОЧНИК!$H$5+'ПЛАН ЧЕРН ПОДЗЕМ'!I34*СПРАВОЧНИК!$I$5+'ПЛАН ЧЕРН ПОДЗЕМ'!J34*СПРАВОЧНИК!$J$5)+СПРАВОЧНИК!$E$6*('ПЛАН ЧЕРН ПОДЗЕМ'!K34*СПРАВОЧНИК!$H$6+'ПЛАН ЧЕРН ПОДЗЕМ'!L34*СПРАВОЧНИК!$I$6+'ПЛАН ЧЕРН ПОДЗЕМ'!M34*СПРАВОЧНИК!$J$6)+СПРАВОЧНИК!$E$7*('ПЛАН ЧЕРН ПОДЗЕМ'!N34*СПРАВОЧНИК!$H$7+'ПЛАН ЧЕРН ПОДЗЕМ'!O34*СПРАВОЧНИК!$I$7+'ПЛАН ЧЕРН ПОДЗЕМ'!P34*СПРАВОЧНИК!$J$7)+СПРАВОЧНИК!$E$8*('ПЛАН ЧЕРН ПОДЗЕМ'!Q34*СПРАВОЧНИК!$H$8+'ПЛАН ЧЕРН ПОДЗЕМ'!R34*СПРАВОЧНИК!$I$8+'ПЛАН ЧЕРН ПОДЗЕМ'!S34*СПРАВОЧНИК!$J$8)+СПРАВОЧНИК!$F$3*('ПЛАН ЧИСТ ПОДЗЕМ'!B34*СПРАВОЧНИК!$L$3+'ПЛАН ЧИСТ ПОДЗЕМ'!C34*СПРАВОЧНИК!$M$3+'ПЛАН ЧИСТ ПОДЗЕМ'!D34*СПРАВОЧНИК!$N$3+'ПЛАН ЧИСТ ПОДЗЕМ'!E34*СПРАВОЧНИК!$O$3)+СПРАВОЧНИК!$F$4*('ПЛАН ЧИСТ ПОДЗЕМ'!F34*СПРАВОЧНИК!$L$4+'ПЛАН ЧИСТ ПОДЗЕМ'!G34*СПРАВОЧНИК!$M$4+'ПЛАН ЧИСТ ПОДЗЕМ'!H34*СПРАВОЧНИК!$N$4+'ПЛАН ЧИСТ ПОДЗЕМ'!I34*СПРАВОЧНИК!$O$4)+СПРАВОЧНИК!$F$5*('ПЛАН ЧИСТ ПОДЗЕМ'!J34*СПРАВОЧНИК!$L$5+'ПЛАН ЧИСТ ПОДЗЕМ'!K34*СПРАВОЧНИК!$M$5+'ПЛАН ЧИСТ ПОДЗЕМ'!L34*СПРАВОЧНИК!$N$5)+СПРАВОЧНИК!$F$6*('ПЛАН ЧИСТ ПОДЗЕМ'!M34*СПРАВОЧНИК!$L$6+'ПЛАН ЧИСТ ПОДЗЕМ'!N34*СПРАВОЧНИК!$M$6+'ПЛАН ЧИСТ ПОДЗЕМ'!O34*СПРАВОЧНИК!$N$6+'ПЛАН ЧИСТ ПОДЗЕМ'!P34*СПРАВОЧНИК!$O$6)+СПРАВОЧНИК!$F$7*('ПЛАН ЧИСТ ПОДЗЕМ'!Q34*СПРАВОЧНИК!$L$7+'ПЛАН ЧИСТ ПОДЗЕМ'!R34*СПРАВОЧНИК!$M$7+'ПЛАН ЧИСТ ПОДЗЕМ'!S34*СПРАВОЧНИК!$N$7+'ПЛАН ЧИСТ ПОДЗЕМ'!T34*СПРАВОЧНИК!$O$7)+СПРАВОЧНИК!$F$8*('ПЛАН ЧИСТ ПОДЗЕМ'!U34*СПРАВОЧНИК!$L$8+'ПЛАН ЧИСТ ПОДЗЕМ'!V34*СПРАВОЧНИК!$M$8+'ПЛАН ЧИСТ ПОДЗЕМ'!W34*СПРАВОЧНИК!$N$8)</f>
        <v/>
      </c>
      <c r="E43" s="40">
        <f>СПРАВОЧНИК!$E$3*(('ФАКТ ЧЕРН ПОДЗЕМ'!B34)*СПРАВОЧНИК!$H$3+('ФАКТ ЧЕРН ПОДЗЕМ'!C34)*СПРАВОЧНИК!$I$3+('ФАКТ ЧЕРН ПОДЗЕМ'!D34)*СПРАВОЧНИК!$J$3)+СПРАВОЧНИК!$E$4*(('ФАКТ ЧЕРН ПОДЗЕМ'!E34)*СПРАВОЧНИК!$H$4+('ФАКТ ЧЕРН ПОДЗЕМ'!F34)*СПРАВОЧНИК!$I$4+('ФАКТ ЧЕРН ПОДЗЕМ'!G34)*СПРАВОЧНИК!$J$4)+СПРАВОЧНИК!$E$5*(('ФАКТ ЧЕРН ПОДЗЕМ'!H34)*СПРАВОЧНИК!$H$5+('ФАКТ ЧЕРН ПОДЗЕМ'!I34)*СПРАВОЧНИК!$I$5+('ФАКТ ЧЕРН ПОДЗЕМ'!J34)*СПРАВОЧНИК!$J$5)+СПРАВОЧНИК!$E$6*(('ФАКТ ЧЕРН ПОДЗЕМ'!K34)*СПРАВОЧНИК!$H$6+('ФАКТ ЧЕРН ПОДЗЕМ'!L34)*СПРАВОЧНИК!$I$6+('ФАКТ ЧЕРН ПОДЗЕМ'!M34)*СПРАВОЧНИК!$J$6)+СПРАВОЧНИК!$E$7*(('ФАКТ ЧЕРН ПОДЗЕМ'!N34)*СПРАВОЧНИК!$H$7+('ФАКТ ЧЕРН ПОДЗЕМ'!O34)*СПРАВОЧНИК!$I$7+('ФАКТ ЧЕРН ПОДЗЕМ'!P34)*СПРАВОЧНИК!$J$7)+СПРАВОЧНИК!$E$8*(('ФАКТ ЧЕРН ПОДЗЕМ'!Q34)*СПРАВОЧНИК!$H$8+('ФАКТ ЧЕРН ПОДЗЕМ'!R34)*СПРАВОЧНИК!$I$8+('ФАКТ ЧЕРН ПОДЗЕМ'!S34)*СПРАВОЧНИК!$J$8)+СПРАВОЧНИК!$F$3*(('ФАКТ ЧИСТ ПОДЗЕМ'!B34)*СПРАВОЧНИК!$L$3+('ФАКТ ЧИСТ ПОДЗЕМ'!C34)*СПРАВОЧНИК!$M$3+('ФАКТ ЧИСТ ПОДЗЕМ'!D34)*СПРАВОЧНИК!$N$3+('ФАКТ ЧИСТ ПОДЗЕМ'!E34)*СПРАВОЧНИК!$O$3)+СПРАВОЧНИК!$F$4*(('ФАКТ ЧИСТ ПОДЗЕМ'!F34)*СПРАВОЧНИК!$L$4+('ФАКТ ЧИСТ ПОДЗЕМ'!G34)*СПРАВОЧНИК!$M$4+('ФАКТ ЧИСТ ПОДЗЕМ'!H34)*СПРАВОЧНИК!$N$4+('ФАКТ ЧИСТ ПОДЗЕМ'!I34)*СПРАВОЧНИК!$O$4)+СПРАВОЧНИК!$F$5*(('ФАКТ ЧИСТ ПОДЗЕМ'!J34)*СПРАВОЧНИК!$L$5+('ФАКТ ЧИСТ ПОДЗЕМ'!K34)*СПРАВОЧНИК!$M$5+('ФАКТ ЧИСТ ПОДЗЕМ'!L34)*СПРАВОЧНИК!$N$5)+СПРАВОЧНИК!$F$6*(('ФАКТ ЧИСТ ПОДЗЕМ'!M34)*СПРАВОЧНИК!$L$6+('ФАКТ ЧИСТ ПОДЗЕМ'!N34)*СПРАВОЧНИК!$M$6+('ФАКТ ЧИСТ ПОДЗЕМ'!O34)*СПРАВОЧНИК!$N$6+('ФАКТ ЧИСТ ПОДЗЕМ'!P34)*СПРАВОЧНИК!$O$6)+СПРАВОЧНИК!$F$7*(('ФАКТ ЧИСТ ПОДЗЕМ'!Q34)*СПРАВОЧНИК!$L$7+('ФАКТ ЧИСТ ПОДЗЕМ'!R34)*СПРАВОЧНИК!$M$7+('ФАКТ ЧИСТ ПОДЗЕМ'!S34)*СПРАВОЧНИК!$N$7+('ФАКТ ЧИСТ ПОДЗЕМ'!T34)*СПРАВОЧНИК!$O$7)+СПРАВОЧНИК!$F$8*(('ФАКТ ЧИСТ ПОДЗЕМ'!U34)*СПРАВОЧНИК!$L$8+('ФАКТ ЧИСТ ПОДЗЕМ'!V34)*СПРАВОЧНИК!$M$8+('ФАКТ ЧИСТ ПОДЗЕМ'!W34)*СПРАВОЧНИК!$N$8)</f>
        <v/>
      </c>
      <c r="I43" s="18">
        <f>I42+7</f>
        <v/>
      </c>
      <c r="J43" s="37">
        <f>'ПЛАН ЧЕРН ПОДЗЕМ'!B34*СПРАВОЧНИК!$H$3+'ПЛАН ЧЕРН ПОДЗЕМ'!C34*СПРАВОЧНИК!$I$3+'ПЛАН ЧЕРН ПОДЗЕМ'!D34*СПРАВОЧНИК!$J$3+'ПЛАН ЧЕРН ПОДЗЕМ'!E34*СПРАВОЧНИК!$H$4+'ПЛАН ЧЕРН ПОДЗЕМ'!F34*СПРАВОЧНИК!$I$4+'ПЛАН ЧЕРН ПОДЗЕМ'!G34*СПРАВОЧНИК!$J$4+'ПЛАН ЧЕРН ПОДЗЕМ'!H34*СПРАВОЧНИК!$H$5+'ПЛАН ЧЕРН ПОДЗЕМ'!I34*СПРАВОЧНИК!$I$5+'ПЛАН ЧЕРН ПОДЗЕМ'!J34*СПРАВОЧНИК!$J$5+'ПЛАН ЧЕРН ПОДЗЕМ'!K34*СПРАВОЧНИК!$H$6+'ПЛАН ЧЕРН ПОДЗЕМ'!L34*СПРАВОЧНИК!$I$6+'ПЛАН ЧЕРН ПОДЗЕМ'!M34*СПРАВОЧНИК!$J$6+'ПЛАН ЧЕРН ПОДЗЕМ'!N34*СПРАВОЧНИК!$H$7+'ПЛАН ЧЕРН ПОДЗЕМ'!O34*СПРАВОЧНИК!$I$7+'ПЛАН ЧЕРН ПОДЗЕМ'!P34*СПРАВОЧНИК!$J$7+'ПЛАН ЧЕРН ПОДЗЕМ'!Q34*СПРАВОЧНИК!$H$8+'ПЛАН ЧЕРН ПОДЗЕМ'!R34*СПРАВОЧНИК!$I$8+'ПЛАН ЧЕРН ПОДЗЕМ'!S34*СПРАВОЧНИК!$J$8</f>
        <v/>
      </c>
      <c r="K43" s="40">
        <f>('ФАКТ ЧЕРН ПОДЗЕМ'!B34)*СПРАВОЧНИК!$H$3+('ФАКТ ЧЕРН ПОДЗЕМ'!C34)*СПРАВОЧНИК!$I$3+('ФАКТ ЧЕРН ПОДЗЕМ'!D34)*СПРАВОЧНИК!$J$3+('ФАКТ ЧЕРН ПОДЗЕМ'!E34)*СПРАВОЧНИК!$H$4+('ФАКТ ЧЕРН ПОДЗЕМ'!F34)*СПРАВОЧНИК!$I$4+('ФАКТ ЧЕРН ПОДЗЕМ'!G34)*СПРАВОЧНИК!$J$4+('ФАКТ ЧЕРН ПОДЗЕМ'!H34)*СПРАВОЧНИК!$H$5+('ФАКТ ЧЕРН ПОДЗЕМ'!I34)*СПРАВОЧНИК!$I$5+('ФАКТ ЧЕРН ПОДЗЕМ'!J34)*СПРАВОЧНИК!$J$5+('ФАКТ ЧЕРН ПОДЗЕМ'!K34)*СПРАВОЧНИК!$H$6+('ФАКТ ЧЕРН ПОДЗЕМ'!L34)*СПРАВОЧНИК!$I$6+('ФАКТ ЧЕРН ПОДЗЕМ'!M34)*СПРАВОЧНИК!$J$6+('ФАКТ ЧЕРН ПОДЗЕМ'!N34)*СПРАВОЧНИК!$H$7+('ФАКТ ЧЕРН ПОДЗЕМ'!O34)*СПРАВОЧНИК!$I$7+('ФАКТ ЧЕРН ПОДЗЕМ'!P34)*СПРАВОЧНИК!$J$7+('ФАКТ ЧЕРН ПОДЗЕМ'!Q34)*СПРАВОЧНИК!$H$8+('ФАКТ ЧЕРН ПОДЗЕМ'!R34)*СПРАВОЧНИК!$I$8+('ФАКТ ЧЕРН ПОДЗЕМ'!S34)*СПРАВОЧНИК!$J$8</f>
        <v/>
      </c>
      <c r="O43" s="18">
        <f>O42+7</f>
        <v/>
      </c>
      <c r="P43" s="37">
        <f>'ПЛАН ЧИСТ ПОДЗЕМ'!B34*СПРАВОЧНИК!$L$3+'ПЛАН ЧИСТ ПОДЗЕМ'!C34*СПРАВОЧНИК!$M$3+'ПЛАН ЧИСТ ПОДЗЕМ'!D34*СПРАВОЧНИК!$N$3+'ПЛАН ЧИСТ ПОДЗЕМ'!E34*СПРАВОЧНИК!$O$3+'ПЛАН ЧИСТ ПОДЗЕМ'!F34*СПРАВОЧНИК!$L$4+'ПЛАН ЧИСТ ПОДЗЕМ'!G34*СПРАВОЧНИК!$M$4+'ПЛАН ЧИСТ ПОДЗЕМ'!H34*СПРАВОЧНИК!$N$4+'ПЛАН ЧИСТ ПОДЗЕМ'!I34*СПРАВОЧНИК!$O$4+'ПЛАН ЧИСТ ПОДЗЕМ'!J34*СПРАВОЧНИК!$L$5+'ПЛАН ЧИСТ ПОДЗЕМ'!K34*СПРАВОЧНИК!$M$5+'ПЛАН ЧИСТ ПОДЗЕМ'!L34*СПРАВОЧНИК!$N$5+'ПЛАН ЧИСТ ПОДЗЕМ'!M34*СПРАВОЧНИК!$L$6+'ПЛАН ЧИСТ ПОДЗЕМ'!N34*СПРАВОЧНИК!$M$6+'ПЛАН ЧИСТ ПОДЗЕМ'!O34*СПРАВОЧНИК!$N$6+'ПЛАН ЧИСТ ПОДЗЕМ'!P34*СПРАВОЧНИК!$O$6+'ПЛАН ЧИСТ ПОДЗЕМ'!Q34*СПРАВОЧНИК!$L$7+'ПЛАН ЧИСТ ПОДЗЕМ'!R34*СПРАВОЧНИК!$M$7+'ПЛАН ЧИСТ ПОДЗЕМ'!S34*СПРАВОЧНИК!$N$7+'ПЛАН ЧИСТ ПОДЗЕМ'!T34*СПРАВОЧНИК!$O$7+'ПЛАН ЧИСТ ПОДЗЕМ'!U34*СПРАВОЧНИК!$L$8+'ПЛАН ЧИСТ ПОДЗЕМ'!V34*СПРАВОЧНИК!$M$8+'ПЛАН ЧИСТ ПОДЗЕМ'!W34*СПРАВОЧНИК!$N$8</f>
        <v/>
      </c>
      <c r="Q43" s="40">
        <f>('ФАКТ ЧИСТ ПОДЗЕМ'!B34)*СПРАВОЧНИК!$L$3+('ФАКТ ЧИСТ ПОДЗЕМ'!C34)*СПРАВОЧНИК!$M$3+('ФАКТ ЧИСТ ПОДЗЕМ'!D34)*СПРАВОЧНИК!$N$3+('ФАКТ ЧИСТ ПОДЗЕМ'!E34)*СПРАВОЧНИК!$O$3+('ФАКТ ЧИСТ ПОДЗЕМ'!F34)*СПРАВОЧНИК!$L$4+('ФАКТ ЧИСТ ПОДЗЕМ'!G34)*СПРАВОЧНИК!$M$4+('ФАКТ ЧИСТ ПОДЗЕМ'!H34)*СПРАВОЧНИК!$N$4+('ФАКТ ЧИСТ ПОДЗЕМ'!I34)*СПРАВОЧНИК!$O$4+('ФАКТ ЧИСТ ПОДЗЕМ'!J34)*СПРАВОЧНИК!$L$5+('ФАКТ ЧИСТ ПОДЗЕМ'!K34)*СПРАВОЧНИК!$M$5+('ФАКТ ЧИСТ ПОДЗЕМ'!L34)*СПРАВОЧНИК!$N$5+('ФАКТ ЧИСТ ПОДЗЕМ'!M34)*СПРАВОЧНИК!$L$6+('ФАКТ ЧИСТ ПОДЗЕМ'!N34)*СПРАВОЧНИК!$M$6+('ФАКТ ЧИСТ ПОДЗЕМ'!O34)*СПРАВОЧНИК!$N$6+('ФАКТ ЧИСТ ПОДЗЕМ'!P34)*СПРАВОЧНИК!$O$6+('ФАКТ ЧИСТ ПОДЗЕМ'!Q34)*СПРАВОЧНИК!$L$7+('ФАКТ ЧИСТ ПОДЗЕМ'!R34)*СПРАВОЧНИК!$M$7+('ФАКТ ЧИСТ ПОДЗЕМ'!S34)*СПРАВОЧНИК!$N$7+('ФАКТ ЧИСТ ПОДЗЕМ'!T34)*СПРАВОЧНИК!$O$7+('ФАКТ ЧИСТ ПОДЗЕМ'!U34)*СПРАВОЧНИК!$L$8+('ФАКТ ЧИСТ ПОДЗЕМ'!V34)*СПРАВОЧНИК!$M$8+('ФАКТ ЧИСТ ПОДЗЕМ'!W34)*СПРАВОЧНИК!$N$8</f>
        <v/>
      </c>
      <c r="U43" s="18">
        <f>U42+7</f>
        <v/>
      </c>
      <c r="V43" s="37">
        <f>СПРАВОЧНИК!$E$9*('ПЛАН ЧЕРН К1'!B34*СПРАВОЧНИК!$H$9+'ПЛАН ЧЕРН К1'!C34*СПРАВОЧНИК!$I$9+'ПЛАН ЧЕРН К1'!D34*СПРАВОЧНИК!$J$9)+СПРАВОЧНИК!$E$10*('ПЛАН ЧЕРН К1'!E34*СПРАВОЧНИК!$H$10+'ПЛАН ЧЕРН К1'!F34*СПРАВОЧНИК!$I$10+'ПЛАН ЧЕРН К1'!G34*СПРАВОЧНИК!$J$10)+СПРАВОЧНИК!$E$11*('ПЛАН ЧЕРН К1'!H34*СПРАВОЧНИК!$H$11+'ПЛАН ЧЕРН К1'!I34*СПРАВОЧНИК!$I$11+'ПЛАН ЧЕРН К1'!J34*СПРАВОЧНИК!$J$11)+СПРАВОЧНИК!$E$12*('ПЛАН ЧЕРН К1'!K34*СПРАВОЧНИК!$H$12+'ПЛАН ЧЕРН К1'!L34*СПРАВОЧНИК!$I$12+'ПЛАН ЧЕРН К1'!M34*СПРАВОЧНИК!$J$12)+СПРАВОЧНИК!$E$13*('ПЛАН ЧЕРН К1'!N34*СПРАВОЧНИК!$H$13+'ПЛАН ЧЕРН К1'!O34*СПРАВОЧНИК!$I$13+'ПЛАН ЧЕРН К1'!P34*СПРАВОЧНИК!$J$13)+СПРАВОЧНИК!$E$14*('ПЛАН ЧЕРН К1'!Q34*СПРАВОЧНИК!$H$14+'ПЛАН ЧЕРН К1'!R34*СПРАВОЧНИК!$I$14+'ПЛАН ЧЕРН К1'!S34*СПРАВОЧНИК!$J$14)+СПРАВОЧНИК!$E$15*('ПЛАН ЧЕРН К1'!T34*СПРАВОЧНИК!$H$15+'ПЛАН ЧЕРН К1'!U34*СПРАВОЧНИК!$I$15+'ПЛАН ЧЕРН К1'!V34*СПРАВОЧНИК!$J$15)+СПРАВОЧНИК!$F$9*('ПЛАН ЧИСТ К1'!B34*СПРАВОЧНИК!$L$9+'ПЛАН ЧИСТ К1'!C34*СПРАВОЧНИК!$M$9+'ПЛАН ЧИСТ К1'!D34*СПРАВОЧНИК!$N$9+'ПЛАН ЧИСТ К1'!E34*СПРАВОЧНИК!$O$9)+СПРАВОЧНИК!$F$10*('ПЛАН ЧИСТ К1'!F34*СПРАВОЧНИК!$L$10+'ПЛАН ЧИСТ К1'!G34*СПРАВОЧНИК!$M$10+'ПЛАН ЧИСТ К1'!H34*СПРАВОЧНИК!$N$10+'ПЛАН ЧИСТ К1'!I34*СПРАВОЧНИК!$O$10)+СПРАВОЧНИК!$F$11*('ПЛАН ЧИСТ К1'!J34*СПРАВОЧНИК!$L$11+'ПЛАН ЧИСТ К1'!K34*СПРАВОЧНИК!$M$11+'ПЛАН ЧИСТ К1'!L34*СПРАВОЧНИК!$N$11)+СПРАВОЧНИК!$F$12*('ПЛАН ЧИСТ К1'!M34*СПРАВОЧНИК!$L$12+'ПЛАН ЧИСТ К1'!N34*СПРАВОЧНИК!$M$12+'ПЛАН ЧИСТ К1'!O34*СПРАВОЧНИК!$N$12+'ПЛАН ЧИСТ К1'!P34*СПРАВОЧНИК!$O$12)+СПРАВОЧНИК!$F$13*('ПЛАН ЧИСТ К1'!Q34*СПРАВОЧНИК!$L$13+'ПЛАН ЧИСТ К1'!R34*СПРАВОЧНИК!$M$13+'ПЛАН ЧИСТ К1'!S34*СПРАВОЧНИК!$N$13+'ПЛАН ЧИСТ К1'!T34*СПРАВОЧНИК!$O$13)+СПРАВОЧНИК!$F$14*('ПЛАН ЧИСТ К1'!U34*СПРАВОЧНИК!$L$14+'ПЛАН ЧИСТ К1'!V34*СПРАВОЧНИК!$M$14+'ПЛАН ЧИСТ К1'!W34*СПРАВОЧНИК!$N$14)+СПРАВОЧНИК!$F$15*('ПЛАН ЧИСТ К1'!X34*СПРАВОЧНИК!$L$15+'ПЛАН ЧИСТ К1'!Y34*СПРАВОЧНИК!$M$15+'ПЛАН ЧИСТ К1'!Z34*СПРАВОЧНИК!$N$15)</f>
        <v/>
      </c>
      <c r="W43" s="40">
        <f>СПРАВОЧНИК!$E$9*(('ФАКТ ЧЕРН К1'!B34)*СПРАВОЧНИК!$H$9+('ФАКТ ЧЕРН К1'!C34)*СПРАВОЧНИК!$I$9+('ФАКТ ЧЕРН К1'!D34)*СПРАВОЧНИК!$J$9)+СПРАВОЧНИК!$E$10*(('ФАКТ ЧЕРН К1'!E34)*СПРАВОЧНИК!$H$10+('ФАКТ ЧЕРН К1'!F34)*СПРАВОЧНИК!$I$10+('ФАКТ ЧЕРН К1'!G34)*СПРАВОЧНИК!$J$10)+СПРАВОЧНИК!$E$11*(('ФАКТ ЧЕРН К1'!H34)*СПРАВОЧНИК!$H$11+('ФАКТ ЧЕРН К1'!I34)*СПРАВОЧНИК!$I$11+('ФАКТ ЧЕРН К1'!J34)*СПРАВОЧНИК!$J$11)+СПРАВОЧНИК!$E$12*(('ФАКТ ЧЕРН К1'!K34)*СПРАВОЧНИК!$H$12+('ФАКТ ЧЕРН К1'!L34)*СПРАВОЧНИК!$I$12+('ФАКТ ЧЕРН К1'!M34)*СПРАВОЧНИК!$J$12)+СПРАВОЧНИК!$E$13*(('ФАКТ ЧЕРН К1'!N34)*СПРАВОЧНИК!$H$13+('ФАКТ ЧЕРН К1'!O34)*СПРАВОЧНИК!$I$13+('ФАКТ ЧЕРН К1'!P34)*СПРАВОЧНИК!$J$13)+СПРАВОЧНИК!$E$14*(('ФАКТ ЧЕРН К1'!Q34)*СПРАВОЧНИК!$H$14+('ФАКТ ЧЕРН К1'!R34)*СПРАВОЧНИК!$I$14+('ФАКТ ЧЕРН К1'!S34)*СПРАВОЧНИК!$J$14)+СПРАВОЧНИК!$E$15*(('ФАКТ ЧЕРН К1'!T34)*СПРАВОЧНИК!$H$15+('ФАКТ ЧЕРН К1'!U34)*СПРАВОЧНИК!$I$15+('ФАКТ ЧЕРН К1'!V34)*СПРАВОЧНИК!$J$15)+СПРАВОЧНИК!$F$9*(('ФАКТ ЧИСТ К1'!B34)*СПРАВОЧНИК!$L$9+('ФАКТ ЧИСТ К1'!C34)*СПРАВОЧНИК!$M$9+('ФАКТ ЧИСТ К1'!D34)*СПРАВОЧНИК!$N$9+('ФАКТ ЧИСТ К1'!E34)*СПРАВОЧНИК!$O$9)+СПРАВОЧНИК!$F$10*(('ФАКТ ЧИСТ К1'!F34)*СПРАВОЧНИК!$L$10+('ФАКТ ЧИСТ К1'!G34)*СПРАВОЧНИК!$M$10+('ФАКТ ЧИСТ К1'!H34)*СПРАВОЧНИК!$N$10+('ФАКТ ЧИСТ К1'!I34)*СПРАВОЧНИК!$O$10)+СПРАВОЧНИК!$F$11*(('ФАКТ ЧИСТ К1'!J34)*СПРАВОЧНИК!$L$11+('ФАКТ ЧИСТ К1'!K34)*СПРАВОЧНИК!$M$11+('ФАКТ ЧИСТ К1'!L34)*СПРАВОЧНИК!$N$11)+СПРАВОЧНИК!$F$12*(('ФАКТ ЧИСТ К1'!M34)*СПРАВОЧНИК!$L$12+('ФАКТ ЧИСТ К1'!N34)*СПРАВОЧНИК!$M$12+('ФАКТ ЧИСТ К1'!O34)*СПРАВОЧНИК!$N$12+('ФАКТ ЧИСТ К1'!P34)*СПРАВОЧНИК!$O$12)+СПРАВОЧНИК!$F$13*(('ФАКТ ЧИСТ К1'!Q34)*СПРАВОЧНИК!$L$13+('ФАКТ ЧИСТ К1'!R34)*СПРАВОЧНИК!$M$13+('ФАКТ ЧИСТ К1'!S34)*СПРАВОЧНИК!$N$13+('ФАКТ ЧИСТ К1'!T34)*СПРАВОЧНИК!$O$13)+СПРАВОЧНИК!$F$14*(('ФАКТ ЧИСТ К1'!U34)*СПРАВОЧНИК!$L$14+('ФАКТ ЧИСТ К1'!V34)*СПРАВОЧНИК!$M$14+('ФАКТ ЧИСТ К1'!W34)*СПРАВОЧНИК!$N$14)+СПРАВОЧНИК!$F$15*(('ФАКТ ЧИСТ К1'!X34)*СПРАВОЧНИК!$L$15+('ФАКТ ЧИСТ К1'!Y34)*СПРАВОЧНИК!$M$15+('ФАКТ ЧИСТ К1'!Z34)*СПРАВОЧНИК!$N$15)</f>
        <v/>
      </c>
      <c r="AA43" s="18">
        <f>AA42+7</f>
        <v/>
      </c>
      <c r="AB43" s="37">
        <f>'ПЛАН ЧЕРН К1'!B34*СПРАВОЧНИК!$H$9+'ПЛАН ЧЕРН К1'!C34*СПРАВОЧНИК!$I$9+'ПЛАН ЧЕРН К1'!D34*СПРАВОЧНИК!$J$9+'ПЛАН ЧЕРН К1'!E34*СПРАВОЧНИК!$H$10+'ПЛАН ЧЕРН К1'!F34*СПРАВОЧНИК!$I$10+'ПЛАН ЧЕРН К1'!G34*СПРАВОЧНИК!$J$10+'ПЛАН ЧЕРН К1'!H34*СПРАВОЧНИК!$H$11+'ПЛАН ЧЕРН К1'!I34*СПРАВОЧНИК!$I$11+'ПЛАН ЧЕРН К1'!J34*СПРАВОЧНИК!$J$11+'ПЛАН ЧЕРН К1'!K34*СПРАВОЧНИК!$H$12+'ПЛАН ЧЕРН К1'!L34*СПРАВОЧНИК!$I$12+'ПЛАН ЧЕРН К1'!M34*СПРАВОЧНИК!$J$12+'ПЛАН ЧЕРН К1'!N34*СПРАВОЧНИК!$H$13+'ПЛАН ЧЕРН К1'!O34*СПРАВОЧНИК!$I$13+'ПЛАН ЧЕРН К1'!P34*СПРАВОЧНИК!$J$13+'ПЛАН ЧЕРН К1'!Q34*СПРАВОЧНИК!$H$14+'ПЛАН ЧЕРН К1'!R34*СПРАВОЧНИК!$I$14+'ПЛАН ЧЕРН К1'!S34*СПРАВОЧНИК!$J$14+'ПЛАН ЧЕРН К1'!T34*СПРАВОЧНИК!$H$15+'ПЛАН ЧЕРН К1'!U34*СПРАВОЧНИК!$I$15+'ПЛАН ЧЕРН К1'!V34*СПРАВОЧНИК!$J$15</f>
        <v/>
      </c>
      <c r="AC43" s="40">
        <f>('ФАКТ ЧЕРН К1'!B34)*СПРАВОЧНИК!$H$9+('ФАКТ ЧЕРН К1'!C34)*СПРАВОЧНИК!$I$9+('ФАКТ ЧЕРН К1'!D34)*СПРАВОЧНИК!$J$9+('ФАКТ ЧЕРН К1'!E34)*СПРАВОЧНИК!$H$10+('ФАКТ ЧЕРН К1'!F34)*СПРАВОЧНИК!$I$10+('ФАКТ ЧЕРН К1'!G34)*СПРАВОЧНИК!$J$10+('ФАКТ ЧЕРН К1'!H34)*СПРАВОЧНИК!$H$11+('ФАКТ ЧЕРН К1'!I34)*СПРАВОЧНИК!$I$11+('ФАКТ ЧЕРН К1'!J34)*СПРАВОЧНИК!$J$11+('ФАКТ ЧЕРН К1'!K34)*СПРАВОЧНИК!$H$12+('ФАКТ ЧЕРН К1'!L34)*СПРАВОЧНИК!$I$12+('ФАКТ ЧЕРН К1'!M34)*СПРАВОЧНИК!$J$12+('ФАКТ ЧЕРН К1'!N34)*СПРАВОЧНИК!$H$13+('ФАКТ ЧЕРН К1'!O34)*СПРАВОЧНИК!$I$13+('ФАКТ ЧЕРН К1'!P34)*СПРАВОЧНИК!$J$13+('ФАКТ ЧЕРН К1'!Q34)*СПРАВОЧНИК!$H$14+('ФАКТ ЧЕРН К1'!R34)*СПРАВОЧНИК!$I$14+('ФАКТ ЧЕРН К1'!S34)*СПРАВОЧНИК!$J$14+('ФАКТ ЧЕРН К1'!T34)*СПРАВОЧНИК!$H$15+('ФАКТ ЧЕРН К1'!U34)*СПРАВОЧНИК!$I$15+('ФАКТ ЧЕРН К1'!V34)*СПРАВОЧНИК!$J$15</f>
        <v/>
      </c>
      <c r="AG43" s="18">
        <f>AG42+7</f>
        <v/>
      </c>
      <c r="AH43" s="37">
        <f>'ПЛАН ЧИСТ К1'!B34*СПРАВОЧНИК!$L$9+'ПЛАН ЧИСТ К1'!C34*СПРАВОЧНИК!$M$9+'ПЛАН ЧИСТ К1'!D34*СПРАВОЧНИК!$N$9+'ПЛАН ЧИСТ К1'!E34*СПРАВОЧНИК!$O$9+'ПЛАН ЧИСТ К1'!F34*СПРАВОЧНИК!$L$10+'ПЛАН ЧИСТ К1'!G34*СПРАВОЧНИК!$M$10+'ПЛАН ЧИСТ К1'!H34*СПРАВОЧНИК!$N$10+'ПЛАН ЧИСТ К1'!I34*СПРАВОЧНИК!$O$10+'ПЛАН ЧИСТ К1'!J34*СПРАВОЧНИК!$L$11+'ПЛАН ЧИСТ К1'!K34*СПРАВОЧНИК!$M$11+'ПЛАН ЧИСТ К1'!L34*СПРАВОЧНИК!$N$11+'ПЛАН ЧИСТ К1'!M34*СПРАВОЧНИК!$L$12+'ПЛАН ЧИСТ К1'!N34*СПРАВОЧНИК!$M$12+'ПЛАН ЧИСТ К1'!O34*СПРАВОЧНИК!$N$12+'ПЛАН ЧИСТ К1'!P34*СПРАВОЧНИК!$O$12+'ПЛАН ЧИСТ К1'!Q34*СПРАВОЧНИК!$L$13+'ПЛАН ЧИСТ К1'!R34*СПРАВОЧНИК!$M$13+'ПЛАН ЧИСТ К1'!S34*СПРАВОЧНИК!$N$13+'ПЛАН ЧИСТ К1'!T34*СПРАВОЧНИК!$O$13+'ПЛАН ЧИСТ К1'!U34*СПРАВОЧНИК!$L$14+'ПЛАН ЧИСТ К1'!V34*СПРАВОЧНИК!$M$14+'ПЛАН ЧИСТ К1'!W34*СПРАВОЧНИК!$N$14+'ПЛАН ЧИСТ К1'!X34*СПРАВОЧНИК!$L$15+'ПЛАН ЧИСТ К1'!Y34*СПРАВОЧНИК!$M$15+'ПЛАН ЧИСТ К1'!Z34*СПРАВОЧНИК!$N$15</f>
        <v/>
      </c>
      <c r="AI43" s="40">
        <f>('ФАКТ ЧИСТ К1'!B34)*СПРАВОЧНИК!$L$9+('ФАКТ ЧИСТ К1'!C34)*СПРАВОЧНИК!$M$9+('ФАКТ ЧИСТ К1'!D34)*СПРАВОЧНИК!$N$9+('ФАКТ ЧИСТ К1'!E34)*СПРАВОЧНИК!$O$9+('ФАКТ ЧИСТ К1'!F34)*СПРАВОЧНИК!$L$10+('ФАКТ ЧИСТ К1'!G34)*СПРАВОЧНИК!$M$10+('ФАКТ ЧИСТ К1'!H34)*СПРАВОЧНИК!$N$10+('ФАКТ ЧИСТ К1'!I34)*СПРАВОЧНИК!$O$10+('ФАКТ ЧИСТ К1'!J34)*СПРАВОЧНИК!$L$11+('ФАКТ ЧИСТ К1'!K34)*СПРАВОЧНИК!$M$11+('ФАКТ ЧИСТ К1'!L34)*СПРАВОЧНИК!$N$11+('ФАКТ ЧИСТ К1'!M34)*СПРАВОЧНИК!$L$12+('ФАКТ ЧИСТ К1'!N34)*СПРАВОЧНИК!$M$12+('ФАКТ ЧИСТ К1'!O34)*СПРАВОЧНИК!$N$12+('ФАКТ ЧИСТ К1'!P34)*СПРАВОЧНИК!$O$12+('ФАКТ ЧИСТ К1'!Q34)*СПРАВОЧНИК!$L$13+('ФАКТ ЧИСТ К1'!R34)*СПРАВОЧНИК!$M$13+('ФАКТ ЧИСТ К1'!S34)*СПРАВОЧНИК!$N$13+('ФАКТ ЧИСТ К1'!T34)*СПРАВОЧНИК!$O$13+('ФАКТ ЧИСТ К1'!U34)*СПРАВОЧНИК!$L$14+('ФАКТ ЧИСТ К1'!V34)*СПРАВОЧНИК!$M$14+('ФАКТ ЧИСТ К1'!W34)*СПРАВОЧНИК!$N$14+('ФАКТ ЧИСТ К1'!X34)*СПРАВОЧНИК!$L$15+('ФАКТ ЧИСТ К1'!Y34)*СПРАВОЧНИК!$M$15+('ФАКТ ЧИСТ К1'!Z34)*СПРАВОЧНИК!$N$15</f>
        <v/>
      </c>
      <c r="AM43" s="18">
        <f>AM42+7</f>
        <v/>
      </c>
      <c r="AN43" s="37">
        <f>СПРАВОЧНИК!$E$9*('ПЛАН ЧЕРН К2'!B34*СПРАВОЧНИК!$H$9+'ПЛАН ЧЕРН К2'!C34*СПРАВОЧНИК!$I$9+'ПЛАН ЧЕРН К2'!D34*СПРАВОЧНИК!$J$9)+СПРАВОЧНИК!$E$10*('ПЛАН ЧЕРН К2'!E34*СПРАВОЧНИК!$H$10+'ПЛАН ЧЕРН К2'!F34*СПРАВОЧНИК!$I$10+'ПЛАН ЧЕРН К2'!G34*СПРАВОЧНИК!$J$10)+СПРАВОЧНИК!$E$11*('ПЛАН ЧЕРН К2'!H34*СПРАВОЧНИК!$H$11+'ПЛАН ЧЕРН К2'!I34*СПРАВОЧНИК!$I$11+'ПЛАН ЧЕРН К2'!J34*СПРАВОЧНИК!$J$11)+СПРАВОЧНИК!$E$12*('ПЛАН ЧЕРН К2'!K34*СПРАВОЧНИК!$H$12+'ПЛАН ЧЕРН К2'!L34*СПРАВОЧНИК!$I$12+'ПЛАН ЧЕРН К2'!M34*СПРАВОЧНИК!$J$12)+СПРАВОЧНИК!$E$13*('ПЛАН ЧЕРН К2'!N34*СПРАВОЧНИК!$H$13+'ПЛАН ЧЕРН К2'!O34*СПРАВОЧНИК!$I$13+'ПЛАН ЧЕРН К2'!P34*СПРАВОЧНИК!$J$13)+СПРАВОЧНИК!$E$14*('ПЛАН ЧЕРН К2'!Q34*СПРАВОЧНИК!$H$14+'ПЛАН ЧЕРН К2'!R34*СПРАВОЧНИК!$I$14+'ПЛАН ЧЕРН К2'!S34*СПРАВОЧНИК!$J$14)+СПРАВОЧНИК!$E$15*('ПЛАН ЧЕРН К2'!T34*СПРАВОЧНИК!$H$15+'ПЛАН ЧЕРН К2'!U34*СПРАВОЧНИК!$I$15+'ПЛАН ЧЕРН К2'!V34*СПРАВОЧНИК!$J$15)+СПРАВОЧНИК!$F$9*('ПЛАН ЧИСТ К2'!B34*СПРАВОЧНИК!$L$9+'ПЛАН ЧИСТ К2'!C34*СПРАВОЧНИК!$M$9+'ПЛАН ЧИСТ К2'!D34*СПРАВОЧНИК!$N$9+'ПЛАН ЧИСТ К2'!E34*СПРАВОЧНИК!$O$9)+СПРАВОЧНИК!$F$10*('ПЛАН ЧИСТ К2'!F34*СПРАВОЧНИК!$L$10+'ПЛАН ЧИСТ К2'!G34*СПРАВОЧНИК!$M$10+'ПЛАН ЧИСТ К2'!H34*СПРАВОЧНИК!$N$10+'ПЛАН ЧИСТ К2'!I34*СПРАВОЧНИК!$O$10)+СПРАВОЧНИК!$F$11*('ПЛАН ЧИСТ К2'!J34*СПРАВОЧНИК!$L$11+'ПЛАН ЧИСТ К2'!K34*СПРАВОЧНИК!$M$11+'ПЛАН ЧИСТ К2'!L34*СПРАВОЧНИК!$N$11)+СПРАВОЧНИК!$F$12*('ПЛАН ЧИСТ К2'!M34*СПРАВОЧНИК!$L$12+'ПЛАН ЧИСТ К2'!N34*СПРАВОЧНИК!$M$12+'ПЛАН ЧИСТ К2'!O34*СПРАВОЧНИК!$N$12+'ПЛАН ЧИСТ К2'!P34*СПРАВОЧНИК!$O$12)+СПРАВОЧНИК!$F$13*('ПЛАН ЧИСТ К2'!Q34*СПРАВОЧНИК!$L$13+'ПЛАН ЧИСТ К2'!R34*СПРАВОЧНИК!$M$13+'ПЛАН ЧИСТ К2'!S34*СПРАВОЧНИК!$N$13+'ПЛАН ЧИСТ К2'!T34*СПРАВОЧНИК!$O$13)+СПРАВОЧНИК!$F$14*('ПЛАН ЧИСТ К2'!U34*СПРАВОЧНИК!$L$14+'ПЛАН ЧИСТ К2'!V34*СПРАВОЧНИК!$M$14+'ПЛАН ЧИСТ К2'!W34*СПРАВОЧНИК!$N$14)+СПРАВОЧНИК!$F$15*('ПЛАН ЧИСТ К2'!X34*СПРАВОЧНИК!$L$15+'ПЛАН ЧИСТ К2'!Y34*СПРАВОЧНИК!$M$15+'ПЛАН ЧИСТ К2'!Z34*СПРАВОЧНИК!$N$15)</f>
        <v/>
      </c>
      <c r="AO43" s="40">
        <f>СПРАВОЧНИК!$E$9*(('ФАКТ ЧЕРН К2'!B34)*СПРАВОЧНИК!$H$9+('ФАКТ ЧЕРН К2'!C34)*СПРАВОЧНИК!$I$9+('ФАКТ ЧЕРН К2'!D34)*СПРАВОЧНИК!$J$9)+СПРАВОЧНИК!$E$10*(('ФАКТ ЧЕРН К2'!E34)*СПРАВОЧНИК!$H$10+('ФАКТ ЧЕРН К2'!F34)*СПРАВОЧНИК!$I$10+('ФАКТ ЧЕРН К2'!G34)*СПРАВОЧНИК!$J$10)+СПРАВОЧНИК!$E$11*(('ФАКТ ЧЕРН К2'!H34)*СПРАВОЧНИК!$H$11+('ФАКТ ЧЕРН К2'!I34)*СПРАВОЧНИК!$I$11+('ФАКТ ЧЕРН К2'!J34)*СПРАВОЧНИК!$J$11)+СПРАВОЧНИК!$E$12*(('ФАКТ ЧЕРН К2'!K34)*СПРАВОЧНИК!$H$12+('ФАКТ ЧЕРН К2'!L34)*СПРАВОЧНИК!$I$12+('ФАКТ ЧЕРН К2'!M34)*СПРАВОЧНИК!$J$12)+СПРАВОЧНИК!$E$13*(('ФАКТ ЧЕРН К2'!N34)*СПРАВОЧНИК!$H$13+('ФАКТ ЧЕРН К2'!O34)*СПРАВОЧНИК!$I$13+('ФАКТ ЧЕРН К2'!P34)*СПРАВОЧНИК!$J$13)+СПРАВОЧНИК!$E$14*(('ФАКТ ЧЕРН К2'!Q34)*СПРАВОЧНИК!$H$14+('ФАКТ ЧЕРН К2'!R34)*СПРАВОЧНИК!$I$14+('ФАКТ ЧЕРН К2'!S34)*СПРАВОЧНИК!$J$14)+СПРАВОЧНИК!$E$15*(('ФАКТ ЧЕРН К2'!T34)*СПРАВОЧНИК!$H$15+('ФАКТ ЧЕРН К2'!U34)*СПРАВОЧНИК!$I$15+('ФАКТ ЧЕРН К2'!V34)*СПРАВОЧНИК!$J$15)+СПРАВОЧНИК!$F$9*(('ФАКТ ЧИСТ К2'!B34)*СПРАВОЧНИК!$L$9+('ФАКТ ЧИСТ К2'!C34)*СПРАВОЧНИК!$M$9+('ФАКТ ЧИСТ К2'!D34)*СПРАВОЧНИК!$N$9+('ФАКТ ЧИСТ К2'!E34)*СПРАВОЧНИК!$O$9)+СПРАВОЧНИК!$F$10*(('ФАКТ ЧИСТ К2'!F34)*СПРАВОЧНИК!$L$10+('ФАКТ ЧИСТ К2'!G34)*СПРАВОЧНИК!$M$10+('ФАКТ ЧИСТ К2'!H34)*СПРАВОЧНИК!$N$10+('ФАКТ ЧИСТ К2'!I34)*СПРАВОЧНИК!$O$10)+СПРАВОЧНИК!$F$11*(('ФАКТ ЧИСТ К2'!J34)*СПРАВОЧНИК!$L$11+('ФАКТ ЧИСТ К2'!K34)*СПРАВОЧНИК!$M$11+('ФАКТ ЧИСТ К2'!L34)*СПРАВОЧНИК!$N$11)+СПРАВОЧНИК!$F$12*(('ФАКТ ЧИСТ К2'!M34)*СПРАВОЧНИК!$L$12+('ФАКТ ЧИСТ К2'!N34)*СПРАВОЧНИК!$M$12+('ФАКТ ЧИСТ К2'!O34)*СПРАВОЧНИК!$N$12+('ФАКТ ЧИСТ К2'!P34)*СПРАВОЧНИК!$O$12)+СПРАВОЧНИК!$F$13*(('ФАКТ ЧИСТ К2'!Q34)*СПРАВОЧНИК!$L$13+('ФАКТ ЧИСТ К2'!R34)*СПРАВОЧНИК!$M$13+('ФАКТ ЧИСТ К2'!S34)*СПРАВОЧНИК!$N$13+('ФАКТ ЧИСТ К2'!T34)*СПРАВОЧНИК!$O$13)+СПРАВОЧНИК!$F$14*(('ФАКТ ЧИСТ К2'!U34)*СПРАВОЧНИК!$L$14+('ФАКТ ЧИСТ К2'!V34)*СПРАВОЧНИК!$M$14+('ФАКТ ЧИСТ К2'!W34)*СПРАВОЧНИК!$N$14)+СПРАВОЧНИК!$F$15*(('ФАКТ ЧИСТ К2'!X34)*СПРАВОЧНИК!$L$15+('ФАКТ ЧИСТ К2'!Y34)*СПРАВОЧНИК!$M$15+('ФАКТ ЧИСТ К2'!Z34)*СПРАВОЧНИК!$N$15)</f>
        <v/>
      </c>
      <c r="AS43" s="18">
        <f>AS42+7</f>
        <v/>
      </c>
      <c r="AT43" s="37">
        <f>'ПЛАН ЧЕРН К2'!B34*СПРАВОЧНИК!$H$9+'ПЛАН ЧЕРН К2'!C34*СПРАВОЧНИК!$I$9+'ПЛАН ЧЕРН К2'!D34*СПРАВОЧНИК!$J$9+'ПЛАН ЧЕРН К2'!E34*СПРАВОЧНИК!$H$10+'ПЛАН ЧЕРН К2'!F34*СПРАВОЧНИК!$I$10+'ПЛАН ЧЕРН К2'!G34*СПРАВОЧНИК!$J$10+'ПЛАН ЧЕРН К2'!H34*СПРАВОЧНИК!$H$11+'ПЛАН ЧЕРН К2'!I34*СПРАВОЧНИК!$I$11+'ПЛАН ЧЕРН К2'!J34*СПРАВОЧНИК!$J$11+'ПЛАН ЧЕРН К2'!K34*СПРАВОЧНИК!$H$12+'ПЛАН ЧЕРН К2'!L34*СПРАВОЧНИК!$I$12+'ПЛАН ЧЕРН К2'!M34*СПРАВОЧНИК!$J$12+'ПЛАН ЧЕРН К2'!N34*СПРАВОЧНИК!$H$13+'ПЛАН ЧЕРН К2'!O34*СПРАВОЧНИК!$I$13+'ПЛАН ЧЕРН К2'!P34*СПРАВОЧНИК!$J$13+'ПЛАН ЧЕРН К2'!Q34*СПРАВОЧНИК!$H$14+'ПЛАН ЧЕРН К2'!R34*СПРАВОЧНИК!$I$14+'ПЛАН ЧЕРН К2'!S34*СПРАВОЧНИК!$J$14+'ПЛАН ЧЕРН К2'!T34*СПРАВОЧНИК!$H$15+'ПЛАН ЧЕРН К2'!U34*СПРАВОЧНИК!$I$15+'ПЛАН ЧЕРН К2'!V34*СПРАВОЧНИК!$J$15</f>
        <v/>
      </c>
      <c r="AU43" s="40">
        <f>('ФАКТ ЧЕРН К2'!B34)*СПРАВОЧНИК!$H$9+('ФАКТ ЧЕРН К2'!C34)*СПРАВОЧНИК!$I$9+('ФАКТ ЧЕРН К2'!D34)*СПРАВОЧНИК!$J$9+('ФАКТ ЧЕРН К2'!E34)*СПРАВОЧНИК!$H$10+('ФАКТ ЧЕРН К2'!F34)*СПРАВОЧНИК!$I$10+('ФАКТ ЧЕРН К2'!G34)*СПРАВОЧНИК!$J$10+('ФАКТ ЧЕРН К2'!H34)*СПРАВОЧНИК!$H$11+('ФАКТ ЧЕРН К2'!I34)*СПРАВОЧНИК!$I$11+('ФАКТ ЧЕРН К2'!J34)*СПРАВОЧНИК!$J$11+('ФАКТ ЧЕРН К2'!K34)*СПРАВОЧНИК!$H$12+('ФАКТ ЧЕРН К2'!L34)*СПРАВОЧНИК!$I$12+('ФАКТ ЧЕРН К2'!M34)*СПРАВОЧНИК!$J$12+('ФАКТ ЧЕРН К2'!N34)*СПРАВОЧНИК!$H$13+('ФАКТ ЧЕРН К2'!O34)*СПРАВОЧНИК!$I$13+('ФАКТ ЧЕРН К2'!P34)*СПРАВОЧНИК!$J$13+('ФАКТ ЧЕРН К2'!Q34)*СПРАВОЧНИК!$H$14+('ФАКТ ЧЕРН К2'!R34)*СПРАВОЧНИК!$I$14+('ФАКТ ЧЕРН К2'!S34)*СПРАВОЧНИК!$J$14+('ФАКТ ЧЕРН К2'!T34)*СПРАВОЧНИК!$H$15+('ФАКТ ЧЕРН К2'!U34)*СПРАВОЧНИК!$I$15+('ФАКТ ЧЕРН К2'!V34)*СПРАВОЧНИК!$J$15</f>
        <v/>
      </c>
      <c r="AY43" s="18">
        <f>AY42+7</f>
        <v/>
      </c>
      <c r="AZ43" s="37">
        <f>'ПЛАН ЧИСТ К2'!B34*СПРАВОЧНИК!$L$9+'ПЛАН ЧИСТ К2'!C34*СПРАВОЧНИК!$M$9+'ПЛАН ЧИСТ К2'!D34*СПРАВОЧНИК!$N$9+'ПЛАН ЧИСТ К2'!E34*СПРАВОЧНИК!$O$9+'ПЛАН ЧИСТ К2'!F34*СПРАВОЧНИК!$L$10+'ПЛАН ЧИСТ К2'!G34*СПРАВОЧНИК!$M$10+'ПЛАН ЧИСТ К2'!H34*СПРАВОЧНИК!$N$10+'ПЛАН ЧИСТ К2'!I34*СПРАВОЧНИК!$O$10+'ПЛАН ЧИСТ К2'!J34*СПРАВОЧНИК!$L$11+'ПЛАН ЧИСТ К2'!K34*СПРАВОЧНИК!$M$11+'ПЛАН ЧИСТ К2'!L34*СПРАВОЧНИК!$N$11+'ПЛАН ЧИСТ К2'!M34*СПРАВОЧНИК!$L$12+'ПЛАН ЧИСТ К2'!N34*СПРАВОЧНИК!$M$12+'ПЛАН ЧИСТ К2'!O34*СПРАВОЧНИК!$N$12+'ПЛАН ЧИСТ К2'!P34*СПРАВОЧНИК!$O$12+'ПЛАН ЧИСТ К2'!Q34*СПРАВОЧНИК!$L$13+'ПЛАН ЧИСТ К2'!R34*СПРАВОЧНИК!$M$13+'ПЛАН ЧИСТ К2'!S34*СПРАВОЧНИК!$N$13+'ПЛАН ЧИСТ К2'!T34*СПРАВОЧНИК!$O$13+'ПЛАН ЧИСТ К2'!U34*СПРАВОЧНИК!$L$14+'ПЛАН ЧИСТ К2'!V34*СПРАВОЧНИК!$M$14+'ПЛАН ЧИСТ К2'!W34*СПРАВОЧНИК!$N$14+'ПЛАН ЧИСТ К2'!X34*СПРАВОЧНИК!$L$15+'ПЛАН ЧИСТ К2'!Y34*СПРАВОЧНИК!$M$15+'ПЛАН ЧИСТ К2'!Z34*СПРАВОЧНИК!$N$15</f>
        <v/>
      </c>
      <c r="BA43" s="40">
        <f>('ФАКТ ЧИСТ К2'!B34)*СПРАВОЧНИК!$L$9+('ФАКТ ЧИСТ К2'!C34)*СПРАВОЧНИК!$M$9+('ФАКТ ЧИСТ К2'!D34)*СПРАВОЧНИК!$N$9+('ФАКТ ЧИСТ К2'!E34)*СПРАВОЧНИК!$O$9+('ФАКТ ЧИСТ К2'!F34)*СПРАВОЧНИК!$L$10+('ФАКТ ЧИСТ К2'!G34)*СПРАВОЧНИК!$M$10+('ФАКТ ЧИСТ К2'!H34)*СПРАВОЧНИК!$N$10+('ФАКТ ЧИСТ К2'!I34)*СПРАВОЧНИК!$O$10+('ФАКТ ЧИСТ К2'!J34)*СПРАВОЧНИК!$L$11+('ФАКТ ЧИСТ К2'!K34)*СПРАВОЧНИК!$M$11+('ФАКТ ЧИСТ К2'!L34)*СПРАВОЧНИК!$N$11+('ФАКТ ЧИСТ К2'!M34)*СПРАВОЧНИК!$L$12+('ФАКТ ЧИСТ К2'!N34)*СПРАВОЧНИК!$M$12+('ФАКТ ЧИСТ К2'!O34)*СПРАВОЧНИК!$N$12+('ФАКТ ЧИСТ К2'!P34)*СПРАВОЧНИК!$O$12+('ФАКТ ЧИСТ К2'!Q34)*СПРАВОЧНИК!$L$13+('ФАКТ ЧИСТ К2'!R34)*СПРАВОЧНИК!$M$13+('ФАКТ ЧИСТ К2'!S34)*СПРАВОЧНИК!$N$13+('ФАКТ ЧИСТ К2'!T34)*СПРАВОЧНИК!$O$13+('ФАКТ ЧИСТ К2'!U34)*СПРАВОЧНИК!$L$14+('ФАКТ ЧИСТ К2'!V34)*СПРАВОЧНИК!$M$14+('ФАКТ ЧИСТ К2'!W34)*СПРАВОЧНИК!$N$14+('ФАКТ ЧИСТ К2'!X34)*СПРАВОЧНИК!$L$15+('ФАКТ ЧИСТ К2'!Y34)*СПРАВОЧНИК!$M$15+('ФАКТ ЧИСТ К2'!Z34)*СПРАВОЧНИК!$N$15</f>
        <v/>
      </c>
      <c r="BE43" s="18">
        <f>BE42+7</f>
        <v/>
      </c>
      <c r="BF43" s="37">
        <f>СПРАВОЧНИК!$E$9*('ПЛАН ЧЕРН К3'!B34*СПРАВОЧНИК!$H$9+'ПЛАН ЧЕРН К3'!C34*СПРАВОЧНИК!$I$9+'ПЛАН ЧЕРН К3'!D34*СПРАВОЧНИК!$J$9)+СПРАВОЧНИК!$E$10*('ПЛАН ЧЕРН К3'!E34*СПРАВОЧНИК!$H$10+'ПЛАН ЧЕРН К3'!F34*СПРАВОЧНИК!$I$10+'ПЛАН ЧЕРН К3'!G34*СПРАВОЧНИК!$J$10)+СПРАВОЧНИК!$E$11*('ПЛАН ЧЕРН К3'!H34*СПРАВОЧНИК!$H$11+'ПЛАН ЧЕРН К3'!I34*СПРАВОЧНИК!$I$11+'ПЛАН ЧЕРН К3'!J34*СПРАВОЧНИК!$J$11)+СПРАВОЧНИК!$E$12*('ПЛАН ЧЕРН К3'!K34*СПРАВОЧНИК!$H$12+'ПЛАН ЧЕРН К3'!L34*СПРАВОЧНИК!$I$12+'ПЛАН ЧЕРН К3'!M34*СПРАВОЧНИК!$J$12)+СПРАВОЧНИК!$E$13*('ПЛАН ЧЕРН К3'!N34*СПРАВОЧНИК!$H$13+'ПЛАН ЧЕРН К3'!O34*СПРАВОЧНИК!$I$13+'ПЛАН ЧЕРН К3'!P34*СПРАВОЧНИК!$J$13)+СПРАВОЧНИК!$E$14*('ПЛАН ЧЕРН К3'!Q34*СПРАВОЧНИК!$H$14+'ПЛАН ЧЕРН К3'!R34*СПРАВОЧНИК!$I$14+'ПЛАН ЧЕРН К3'!S34*СПРАВОЧНИК!$J$14)+СПРАВОЧНИК!$E$15*('ПЛАН ЧЕРН К3'!T34*СПРАВОЧНИК!$H$15+'ПЛАН ЧЕРН К3'!U34*СПРАВОЧНИК!$I$15+'ПЛАН ЧЕРН К3'!V34*СПРАВОЧНИК!$J$15)+СПРАВОЧНИК!$F$9*('ПЛАН ЧИСТ К3'!B34*СПРАВОЧНИК!$L$9+'ПЛАН ЧИСТ К3'!C34*СПРАВОЧНИК!$M$9+'ПЛАН ЧИСТ К3'!D34*СПРАВОЧНИК!$N$9+'ПЛАН ЧИСТ К3'!E34*СПРАВОЧНИК!$O$9)+СПРАВОЧНИК!$F$10*('ПЛАН ЧИСТ К3'!F34*СПРАВОЧНИК!$L$10+'ПЛАН ЧИСТ К3'!G34*СПРАВОЧНИК!$M$10+'ПЛАН ЧИСТ К3'!H34*СПРАВОЧНИК!$N$10+'ПЛАН ЧИСТ К3'!I34*СПРАВОЧНИК!$O$10)+СПРАВОЧНИК!$F$11*('ПЛАН ЧИСТ К3'!J34*СПРАВОЧНИК!$L$11+'ПЛАН ЧИСТ К3'!K34*СПРАВОЧНИК!$M$11+'ПЛАН ЧИСТ К3'!L34*СПРАВОЧНИК!$N$11)+СПРАВОЧНИК!$F$12*('ПЛАН ЧИСТ К3'!M34*СПРАВОЧНИК!$L$12+'ПЛАН ЧИСТ К3'!N34*СПРАВОЧНИК!$M$12+'ПЛАН ЧИСТ К3'!O34*СПРАВОЧНИК!$N$12+'ПЛАН ЧИСТ К3'!P34*СПРАВОЧНИК!$O$12)+СПРАВОЧНИК!$F$13*('ПЛАН ЧИСТ К3'!Q34*СПРАВОЧНИК!$L$13+'ПЛАН ЧИСТ К3'!R34*СПРАВОЧНИК!$M$13+'ПЛАН ЧИСТ К3'!S34*СПРАВОЧНИК!$N$13+'ПЛАН ЧИСТ К3'!T34*СПРАВОЧНИК!$O$13)+СПРАВОЧНИК!$F$14*('ПЛАН ЧИСТ К3'!U34*СПРАВОЧНИК!$L$14+'ПЛАН ЧИСТ К3'!V34*СПРАВОЧНИК!$M$14+'ПЛАН ЧИСТ К3'!W34*СПРАВОЧНИК!$N$14)+СПРАВОЧНИК!$F$15*('ПЛАН ЧИСТ К3'!X34*СПРАВОЧНИК!$L$15+'ПЛАН ЧИСТ К3'!Y34*СПРАВОЧНИК!$M$15+'ПЛАН ЧИСТ К3'!Z34*СПРАВОЧНИК!$N$15)</f>
        <v/>
      </c>
      <c r="BG43" s="40">
        <f>СПРАВОЧНИК!$E$9*(('ФАКТ ЧЕРН К3'!B34)*СПРАВОЧНИК!$H$9+('ФАКТ ЧЕРН К3'!C34)*СПРАВОЧНИК!$I$9+('ФАКТ ЧЕРН К3'!D34)*СПРАВОЧНИК!$J$9)+СПРАВОЧНИК!$E$10*(('ФАКТ ЧЕРН К3'!E34)*СПРАВОЧНИК!$H$10+('ФАКТ ЧЕРН К3'!F34)*СПРАВОЧНИК!$I$10+('ФАКТ ЧЕРН К3'!G34)*СПРАВОЧНИК!$J$10)+СПРАВОЧНИК!$E$11*(('ФАКТ ЧЕРН К3'!H34)*СПРАВОЧНИК!$H$11+('ФАКТ ЧЕРН К3'!I34)*СПРАВОЧНИК!$I$11+('ФАКТ ЧЕРН К3'!J34)*СПРАВОЧНИК!$J$11)+СПРАВОЧНИК!$E$12*(('ФАКТ ЧЕРН К3'!K34)*СПРАВОЧНИК!$H$12+('ФАКТ ЧЕРН К3'!L34)*СПРАВОЧНИК!$I$12+('ФАКТ ЧЕРН К3'!M34)*СПРАВОЧНИК!$J$12)+СПРАВОЧНИК!$E$13*(('ФАКТ ЧЕРН К3'!N34)*СПРАВОЧНИК!$H$13+('ФАКТ ЧЕРН К3'!O34)*СПРАВОЧНИК!$I$13+('ФАКТ ЧЕРН К3'!P34)*СПРАВОЧНИК!$J$13)+СПРАВОЧНИК!$E$14*(('ФАКТ ЧЕРН К3'!Q34)*СПРАВОЧНИК!$H$14+('ФАКТ ЧЕРН К3'!R34)*СПРАВОЧНИК!$I$14+('ФАКТ ЧЕРН К3'!S34)*СПРАВОЧНИК!$J$14)+СПРАВОЧНИК!$E$15*(('ФАКТ ЧЕРН К3'!T34)*СПРАВОЧНИК!$H$15+('ФАКТ ЧЕРН К3'!U34)*СПРАВОЧНИК!$I$15+('ФАКТ ЧЕРН К3'!V34)*СПРАВОЧНИК!$J$15)+СПРАВОЧНИК!$F$9*(('ФАКТ ЧИСТ К3'!B34)*СПРАВОЧНИК!$L$9+('ФАКТ ЧИСТ К3'!C34)*СПРАВОЧНИК!$M$9+('ФАКТ ЧИСТ К3'!D34)*СПРАВОЧНИК!$N$9+('ФАКТ ЧИСТ К3'!E34)*СПРАВОЧНИК!$O$9)+СПРАВОЧНИК!$F$10*(('ФАКТ ЧИСТ К3'!F34)*СПРАВОЧНИК!$L$10+('ФАКТ ЧИСТ К3'!G34)*СПРАВОЧНИК!$M$10+('ФАКТ ЧИСТ К3'!H34)*СПРАВОЧНИК!$N$10+('ФАКТ ЧИСТ К3'!I34)*СПРАВОЧНИК!$O$10)+СПРАВОЧНИК!$F$11*(('ФАКТ ЧИСТ К3'!J34)*СПРАВОЧНИК!$L$11+('ФАКТ ЧИСТ К3'!K34)*СПРАВОЧНИК!$M$11+('ФАКТ ЧИСТ К3'!L34)*СПРАВОЧНИК!$N$11)+СПРАВОЧНИК!$F$12*(('ФАКТ ЧИСТ К3'!M34)*СПРАВОЧНИК!$L$12+('ФАКТ ЧИСТ К3'!N34)*СПРАВОЧНИК!$M$12+('ФАКТ ЧИСТ К3'!O34)*СПРАВОЧНИК!$N$12+('ФАКТ ЧИСТ К3'!P34)*СПРАВОЧНИК!$O$12)+СПРАВОЧНИК!$F$13*(('ФАКТ ЧИСТ К3'!Q34)*СПРАВОЧНИК!$L$13+('ФАКТ ЧИСТ К3'!R34)*СПРАВОЧНИК!$M$13+('ФАКТ ЧИСТ К3'!S34)*СПРАВОЧНИК!$N$13+('ФАКТ ЧИСТ К3'!T34)*СПРАВОЧНИК!$O$13)+СПРАВОЧНИК!$F$14*(('ФАКТ ЧИСТ К3'!U34)*СПРАВОЧНИК!$L$14+('ФАКТ ЧИСТ К3'!V34)*СПРАВОЧНИК!$M$14+('ФАКТ ЧИСТ К3'!W34)*СПРАВОЧНИК!$N$14)+СПРАВОЧНИК!$F$15*(('ФАКТ ЧИСТ К3'!X34)*СПРАВОЧНИК!$L$15+('ФАКТ ЧИСТ К3'!Y34)*СПРАВОЧНИК!$M$15+('ФАКТ ЧИСТ К3'!Z34)*СПРАВОЧНИК!$N$15)</f>
        <v/>
      </c>
      <c r="BK43" s="18">
        <f>BK42+7</f>
        <v/>
      </c>
      <c r="BL43" s="37">
        <f>'ПЛАН ЧЕРН К3'!B34*СПРАВОЧНИК!$H$9+'ПЛАН ЧЕРН К3'!C34*СПРАВОЧНИК!$I$9+'ПЛАН ЧЕРН К3'!D34*СПРАВОЧНИК!$J$9+'ПЛАН ЧЕРН К3'!E34*СПРАВОЧНИК!$H$10+'ПЛАН ЧЕРН К3'!F34*СПРАВОЧНИК!$I$10+'ПЛАН ЧЕРН К3'!G34*СПРАВОЧНИК!$J$10+'ПЛАН ЧЕРН К3'!H34*СПРАВОЧНИК!$H$11+'ПЛАН ЧЕРН К3'!I34*СПРАВОЧНИК!$I$11+'ПЛАН ЧЕРН К3'!J34*СПРАВОЧНИК!$J$11+'ПЛАН ЧЕРН К3'!K34*СПРАВОЧНИК!$H$12+'ПЛАН ЧЕРН К3'!L34*СПРАВОЧНИК!$I$12+'ПЛАН ЧЕРН К3'!M34*СПРАВОЧНИК!$J$12+'ПЛАН ЧЕРН К3'!N34*СПРАВОЧНИК!$H$13+'ПЛАН ЧЕРН К3'!O34*СПРАВОЧНИК!$I$13+'ПЛАН ЧЕРН К3'!P34*СПРАВОЧНИК!$J$13+'ПЛАН ЧЕРН К3'!Q34*СПРАВОЧНИК!$H$14+'ПЛАН ЧЕРН К3'!R34*СПРАВОЧНИК!$I$14+'ПЛАН ЧЕРН К3'!S34*СПРАВОЧНИК!$J$14+'ПЛАН ЧЕРН К3'!T34*СПРАВОЧНИК!$H$15+'ПЛАН ЧЕРН К3'!U34*СПРАВОЧНИК!$I$15+'ПЛАН ЧЕРН К3'!V34*СПРАВОЧНИК!$J$15</f>
        <v/>
      </c>
      <c r="BM43" s="40">
        <f>('ФАКТ ЧЕРН К3'!B34)*СПРАВОЧНИК!$H$9+('ФАКТ ЧЕРН К3'!C34)*СПРАВОЧНИК!$I$9+('ФАКТ ЧЕРН К3'!D34)*СПРАВОЧНИК!$J$9+('ФАКТ ЧЕРН К3'!E34)*СПРАВОЧНИК!$H$10+('ФАКТ ЧЕРН К3'!F34)*СПРАВОЧНИК!$I$10+('ФАКТ ЧЕРН К3'!G34)*СПРАВОЧНИК!$J$10+('ФАКТ ЧЕРН К3'!H34)*СПРАВОЧНИК!$H$11+('ФАКТ ЧЕРН К3'!I34)*СПРАВОЧНИК!$I$11+('ФАКТ ЧЕРН К3'!J34)*СПРАВОЧНИК!$J$11+('ФАКТ ЧЕРН К3'!K34)*СПРАВОЧНИК!$H$12+('ФАКТ ЧЕРН К3'!L34)*СПРАВОЧНИК!$I$12+('ФАКТ ЧЕРН К3'!M34)*СПРАВОЧНИК!$J$12+('ФАКТ ЧЕРН К3'!N34)*СПРАВОЧНИК!$H$13+('ФАКТ ЧЕРН К3'!O34)*СПРАВОЧНИК!$I$13+('ФАКТ ЧЕРН К3'!P34)*СПРАВОЧНИК!$J$13+('ФАКТ ЧЕРН К3'!Q34)*СПРАВОЧНИК!$H$14+('ФАКТ ЧЕРН К3'!R34)*СПРАВОЧНИК!$I$14+('ФАКТ ЧЕРН К3'!S34)*СПРАВОЧНИК!$J$14+('ФАКТ ЧЕРН К3'!T34)*СПРАВОЧНИК!$H$15+('ФАКТ ЧЕРН К3'!U34)*СПРАВОЧНИК!$I$15+('ФАКТ ЧЕРН К3'!V34)*СПРАВОЧНИК!$J$15</f>
        <v/>
      </c>
      <c r="BQ43" s="18">
        <f>BQ42+7</f>
        <v/>
      </c>
      <c r="BR43" s="37">
        <f>'ПЛАН ЧИСТ К3'!B34*СПРАВОЧНИК!$L$9+'ПЛАН ЧИСТ К3'!C34*СПРАВОЧНИК!$M$9+'ПЛАН ЧИСТ К3'!D34*СПРАВОЧНИК!$N$9+'ПЛАН ЧИСТ К3'!E34*СПРАВОЧНИК!$O$9+'ПЛАН ЧИСТ К3'!F34*СПРАВОЧНИК!$L$10+'ПЛАН ЧИСТ К3'!G34*СПРАВОЧНИК!$M$10+'ПЛАН ЧИСТ К3'!H34*СПРАВОЧНИК!$N$10+'ПЛАН ЧИСТ К3'!I34*СПРАВОЧНИК!$O$10+'ПЛАН ЧИСТ К3'!J34*СПРАВОЧНИК!$L$11+'ПЛАН ЧИСТ К3'!K34*СПРАВОЧНИК!$M$11+'ПЛАН ЧИСТ К3'!L34*СПРАВОЧНИК!$N$11+'ПЛАН ЧИСТ К3'!M34*СПРАВОЧНИК!$L$12+'ПЛАН ЧИСТ К3'!N34*СПРАВОЧНИК!$M$12+'ПЛАН ЧИСТ К3'!O34*СПРАВОЧНИК!$N$12+'ПЛАН ЧИСТ К3'!P34*СПРАВОЧНИК!$O$12+'ПЛАН ЧИСТ К3'!Q34*СПРАВОЧНИК!$L$13+'ПЛАН ЧИСТ К3'!R34*СПРАВОЧНИК!$M$13+'ПЛАН ЧИСТ К3'!S34*СПРАВОЧНИК!$N$13+'ПЛАН ЧИСТ К3'!T34*СПРАВОЧНИК!$O$13+'ПЛАН ЧИСТ К3'!U34*СПРАВОЧНИК!$L$14+'ПЛАН ЧИСТ К3'!V34*СПРАВОЧНИК!$M$14+'ПЛАН ЧИСТ К3'!W34*СПРАВОЧНИК!$N$14+'ПЛАН ЧИСТ К3'!X34*СПРАВОЧНИК!$L$15+'ПЛАН ЧИСТ К3'!Y34*СПРАВОЧНИК!$M$15+'ПЛАН ЧИСТ К3'!Z34*СПРАВОЧНИК!$N$15</f>
        <v/>
      </c>
      <c r="BS43" s="40">
        <f>('ФАКТ ЧИСТ К3'!B34)*СПРАВОЧНИК!$L$9+('ФАКТ ЧИСТ К3'!C34)*СПРАВОЧНИК!$M$9+('ФАКТ ЧИСТ К3'!D34)*СПРАВОЧНИК!$N$9+('ФАКТ ЧИСТ К3'!E34)*СПРАВОЧНИК!$O$9+('ФАКТ ЧИСТ К3'!F34)*СПРАВОЧНИК!$L$10+('ФАКТ ЧИСТ К3'!G34)*СПРАВОЧНИК!$M$10+('ФАКТ ЧИСТ К3'!H34)*СПРАВОЧНИК!$N$10+('ФАКТ ЧИСТ К3'!I34)*СПРАВОЧНИК!$O$10+('ФАКТ ЧИСТ К3'!J34)*СПРАВОЧНИК!$L$11+('ФАКТ ЧИСТ К3'!K34)*СПРАВОЧНИК!$M$11+('ФАКТ ЧИСТ К3'!L34)*СПРАВОЧНИК!$N$11+('ФАКТ ЧИСТ К3'!M34)*СПРАВОЧНИК!$L$12+('ФАКТ ЧИСТ К3'!N34)*СПРАВОЧНИК!$M$12+('ФАКТ ЧИСТ К3'!O34)*СПРАВОЧНИК!$N$12+('ФАКТ ЧИСТ К3'!P34)*СПРАВОЧНИК!$O$12+('ФАКТ ЧИСТ К3'!Q34)*СПРАВОЧНИК!$L$13+('ФАКТ ЧИСТ К3'!R34)*СПРАВОЧНИК!$M$13+('ФАКТ ЧИСТ К3'!S34)*СПРАВОЧНИК!$N$13+('ФАКТ ЧИСТ К3'!T34)*СПРАВОЧНИК!$O$13+('ФАКТ ЧИСТ К3'!U34)*СПРАВОЧНИК!$L$14+('ФАКТ ЧИСТ К3'!V34)*СПРАВОЧНИК!$M$14+('ФАКТ ЧИСТ К3'!W34)*СПРАВОЧНИК!$N$14+('ФАКТ ЧИСТ К3'!X34)*СПРАВОЧНИК!$L$15+('ФАКТ ЧИСТ К3'!Y34)*СПРАВОЧНИК!$M$15+('ФАКТ ЧИСТ К3'!Z34)*СПРАВОЧНИК!$N$15</f>
        <v/>
      </c>
      <c r="BW43" s="18">
        <f>BW42+7</f>
        <v/>
      </c>
      <c r="BX43" s="37">
        <f>V43+AN43+BF43</f>
        <v/>
      </c>
      <c r="BY43" s="40">
        <f>W43+AO43+BG43</f>
        <v/>
      </c>
      <c r="CC43" s="18">
        <f>CC42+7</f>
        <v/>
      </c>
      <c r="CD43" s="37">
        <f>AB43+AT43+BL43</f>
        <v/>
      </c>
      <c r="CE43" s="40">
        <f>AC43+AU43+BM43</f>
        <v/>
      </c>
      <c r="CI43" s="18">
        <f>CI42+7</f>
        <v/>
      </c>
      <c r="CJ43" s="37">
        <f>AH43+AZ43+BR43</f>
        <v/>
      </c>
      <c r="CK43" s="40">
        <f>AI43+BA43+BS43</f>
        <v/>
      </c>
      <c r="CO43" s="18">
        <f>CO42+7</f>
        <v/>
      </c>
      <c r="CP43" s="37">
        <f>D43+BX43</f>
        <v/>
      </c>
      <c r="CQ43" s="40">
        <f>E43+BY43</f>
        <v/>
      </c>
      <c r="CU43" s="18">
        <f>CU42+7</f>
        <v/>
      </c>
      <c r="CV43" s="37">
        <f>J43+CD43</f>
        <v/>
      </c>
      <c r="CW43" s="40">
        <f>K43+CE43</f>
        <v/>
      </c>
      <c r="DA43" s="18">
        <f>DA42+7</f>
        <v/>
      </c>
      <c r="DB43" s="37">
        <f>P43+CJ43</f>
        <v/>
      </c>
      <c r="DC43" s="40">
        <f>Q43+CK43</f>
        <v/>
      </c>
    </row>
    <row r="44">
      <c r="C44" s="18">
        <f>C43+7</f>
        <v/>
      </c>
      <c r="D44" s="37">
        <f>СПРАВОЧНИК!$E$3*('ПЛАН ЧЕРН ПОДЗЕМ'!B35*СПРАВОЧНИК!$H$3+'ПЛАН ЧЕРН ПОДЗЕМ'!C35*СПРАВОЧНИК!$I$3+'ПЛАН ЧЕРН ПОДЗЕМ'!D35*СПРАВОЧНИК!$J$3)+СПРАВОЧНИК!$E$4*('ПЛАН ЧЕРН ПОДЗЕМ'!E35*СПРАВОЧНИК!$H$4+'ПЛАН ЧЕРН ПОДЗЕМ'!F35*СПРАВОЧНИК!$I$4+'ПЛАН ЧЕРН ПОДЗЕМ'!G35*СПРАВОЧНИК!$J$4)+СПРАВОЧНИК!$E$5*('ПЛАН ЧЕРН ПОДЗЕМ'!H35*СПРАВОЧНИК!$H$5+'ПЛАН ЧЕРН ПОДЗЕМ'!I35*СПРАВОЧНИК!$I$5+'ПЛАН ЧЕРН ПОДЗЕМ'!J35*СПРАВОЧНИК!$J$5)+СПРАВОЧНИК!$E$6*('ПЛАН ЧЕРН ПОДЗЕМ'!K35*СПРАВОЧНИК!$H$6+'ПЛАН ЧЕРН ПОДЗЕМ'!L35*СПРАВОЧНИК!$I$6+'ПЛАН ЧЕРН ПОДЗЕМ'!M35*СПРАВОЧНИК!$J$6)+СПРАВОЧНИК!$E$7*('ПЛАН ЧЕРН ПОДЗЕМ'!N35*СПРАВОЧНИК!$H$7+'ПЛАН ЧЕРН ПОДЗЕМ'!O35*СПРАВОЧНИК!$I$7+'ПЛАН ЧЕРН ПОДЗЕМ'!P35*СПРАВОЧНИК!$J$7)+СПРАВОЧНИК!$E$8*('ПЛАН ЧЕРН ПОДЗЕМ'!Q35*СПРАВОЧНИК!$H$8+'ПЛАН ЧЕРН ПОДЗЕМ'!R35*СПРАВОЧНИК!$I$8+'ПЛАН ЧЕРН ПОДЗЕМ'!S35*СПРАВОЧНИК!$J$8)+СПРАВОЧНИК!$F$3*('ПЛАН ЧИСТ ПОДЗЕМ'!B35*СПРАВОЧНИК!$L$3+'ПЛАН ЧИСТ ПОДЗЕМ'!C35*СПРАВОЧНИК!$M$3+'ПЛАН ЧИСТ ПОДЗЕМ'!D35*СПРАВОЧНИК!$N$3+'ПЛАН ЧИСТ ПОДЗЕМ'!E35*СПРАВОЧНИК!$O$3)+СПРАВОЧНИК!$F$4*('ПЛАН ЧИСТ ПОДЗЕМ'!F35*СПРАВОЧНИК!$L$4+'ПЛАН ЧИСТ ПОДЗЕМ'!G35*СПРАВОЧНИК!$M$4+'ПЛАН ЧИСТ ПОДЗЕМ'!H35*СПРАВОЧНИК!$N$4+'ПЛАН ЧИСТ ПОДЗЕМ'!I35*СПРАВОЧНИК!$O$4)+СПРАВОЧНИК!$F$5*('ПЛАН ЧИСТ ПОДЗЕМ'!J35*СПРАВОЧНИК!$L$5+'ПЛАН ЧИСТ ПОДЗЕМ'!K35*СПРАВОЧНИК!$M$5+'ПЛАН ЧИСТ ПОДЗЕМ'!L35*СПРАВОЧНИК!$N$5)+СПРАВОЧНИК!$F$6*('ПЛАН ЧИСТ ПОДЗЕМ'!M35*СПРАВОЧНИК!$L$6+'ПЛАН ЧИСТ ПОДЗЕМ'!N35*СПРАВОЧНИК!$M$6+'ПЛАН ЧИСТ ПОДЗЕМ'!O35*СПРАВОЧНИК!$N$6+'ПЛАН ЧИСТ ПОДЗЕМ'!P35*СПРАВОЧНИК!$O$6)+СПРАВОЧНИК!$F$7*('ПЛАН ЧИСТ ПОДЗЕМ'!Q35*СПРАВОЧНИК!$L$7+'ПЛАН ЧИСТ ПОДЗЕМ'!R35*СПРАВОЧНИК!$M$7+'ПЛАН ЧИСТ ПОДЗЕМ'!S35*СПРАВОЧНИК!$N$7+'ПЛАН ЧИСТ ПОДЗЕМ'!T35*СПРАВОЧНИК!$O$7)+СПРАВОЧНИК!$F$8*('ПЛАН ЧИСТ ПОДЗЕМ'!U35*СПРАВОЧНИК!$L$8+'ПЛАН ЧИСТ ПОДЗЕМ'!V35*СПРАВОЧНИК!$M$8+'ПЛАН ЧИСТ ПОДЗЕМ'!W35*СПРАВОЧНИК!$N$8)</f>
        <v/>
      </c>
      <c r="E44" s="40">
        <f>СПРАВОЧНИК!$E$3*(('ФАКТ ЧЕРН ПОДЗЕМ'!B35)*СПРАВОЧНИК!$H$3+('ФАКТ ЧЕРН ПОДЗЕМ'!C35)*СПРАВОЧНИК!$I$3+('ФАКТ ЧЕРН ПОДЗЕМ'!D35)*СПРАВОЧНИК!$J$3)+СПРАВОЧНИК!$E$4*(('ФАКТ ЧЕРН ПОДЗЕМ'!E35)*СПРАВОЧНИК!$H$4+('ФАКТ ЧЕРН ПОДЗЕМ'!F35)*СПРАВОЧНИК!$I$4+('ФАКТ ЧЕРН ПОДЗЕМ'!G35)*СПРАВОЧНИК!$J$4)+СПРАВОЧНИК!$E$5*(('ФАКТ ЧЕРН ПОДЗЕМ'!H35)*СПРАВОЧНИК!$H$5+('ФАКТ ЧЕРН ПОДЗЕМ'!I35)*СПРАВОЧНИК!$I$5+('ФАКТ ЧЕРН ПОДЗЕМ'!J35)*СПРАВОЧНИК!$J$5)+СПРАВОЧНИК!$E$6*(('ФАКТ ЧЕРН ПОДЗЕМ'!K35)*СПРАВОЧНИК!$H$6+('ФАКТ ЧЕРН ПОДЗЕМ'!L35)*СПРАВОЧНИК!$I$6+('ФАКТ ЧЕРН ПОДЗЕМ'!M35)*СПРАВОЧНИК!$J$6)+СПРАВОЧНИК!$E$7*(('ФАКТ ЧЕРН ПОДЗЕМ'!N35)*СПРАВОЧНИК!$H$7+('ФАКТ ЧЕРН ПОДЗЕМ'!O35)*СПРАВОЧНИК!$I$7+('ФАКТ ЧЕРН ПОДЗЕМ'!P35)*СПРАВОЧНИК!$J$7)+СПРАВОЧНИК!$E$8*(('ФАКТ ЧЕРН ПОДЗЕМ'!Q35)*СПРАВОЧНИК!$H$8+('ФАКТ ЧЕРН ПОДЗЕМ'!R35)*СПРАВОЧНИК!$I$8+('ФАКТ ЧЕРН ПОДЗЕМ'!S35)*СПРАВОЧНИК!$J$8)+СПРАВОЧНИК!$F$3*(('ФАКТ ЧИСТ ПОДЗЕМ'!B35)*СПРАВОЧНИК!$L$3+('ФАКТ ЧИСТ ПОДЗЕМ'!C35)*СПРАВОЧНИК!$M$3+('ФАКТ ЧИСТ ПОДЗЕМ'!D35)*СПРАВОЧНИК!$N$3+('ФАКТ ЧИСТ ПОДЗЕМ'!E35)*СПРАВОЧНИК!$O$3)+СПРАВОЧНИК!$F$4*(('ФАКТ ЧИСТ ПОДЗЕМ'!F35)*СПРАВОЧНИК!$L$4+('ФАКТ ЧИСТ ПОДЗЕМ'!G35)*СПРАВОЧНИК!$M$4+('ФАКТ ЧИСТ ПОДЗЕМ'!H35)*СПРАВОЧНИК!$N$4+('ФАКТ ЧИСТ ПОДЗЕМ'!I35)*СПРАВОЧНИК!$O$4)+СПРАВОЧНИК!$F$5*(('ФАКТ ЧИСТ ПОДЗЕМ'!J35)*СПРАВОЧНИК!$L$5+('ФАКТ ЧИСТ ПОДЗЕМ'!K35)*СПРАВОЧНИК!$M$5+('ФАКТ ЧИСТ ПОДЗЕМ'!L35)*СПРАВОЧНИК!$N$5)+СПРАВОЧНИК!$F$6*(('ФАКТ ЧИСТ ПОДЗЕМ'!M35)*СПРАВОЧНИК!$L$6+('ФАКТ ЧИСТ ПОДЗЕМ'!N35)*СПРАВОЧНИК!$M$6+('ФАКТ ЧИСТ ПОДЗЕМ'!O35)*СПРАВОЧНИК!$N$6+('ФАКТ ЧИСТ ПОДЗЕМ'!P35)*СПРАВОЧНИК!$O$6)+СПРАВОЧНИК!$F$7*(('ФАКТ ЧИСТ ПОДЗЕМ'!Q35)*СПРАВОЧНИК!$L$7+('ФАКТ ЧИСТ ПОДЗЕМ'!R35)*СПРАВОЧНИК!$M$7+('ФАКТ ЧИСТ ПОДЗЕМ'!S35)*СПРАВОЧНИК!$N$7+('ФАКТ ЧИСТ ПОДЗЕМ'!T35)*СПРАВОЧНИК!$O$7)+СПРАВОЧНИК!$F$8*(('ФАКТ ЧИСТ ПОДЗЕМ'!U35)*СПРАВОЧНИК!$L$8+('ФАКТ ЧИСТ ПОДЗЕМ'!V35)*СПРАВОЧНИК!$M$8+('ФАКТ ЧИСТ ПОДЗЕМ'!W35)*СПРАВОЧНИК!$N$8)</f>
        <v/>
      </c>
      <c r="I44" s="18">
        <f>I43+7</f>
        <v/>
      </c>
      <c r="J44" s="37">
        <f>'ПЛАН ЧЕРН ПОДЗЕМ'!B35*СПРАВОЧНИК!$H$3+'ПЛАН ЧЕРН ПОДЗЕМ'!C35*СПРАВОЧНИК!$I$3+'ПЛАН ЧЕРН ПОДЗЕМ'!D35*СПРАВОЧНИК!$J$3+'ПЛАН ЧЕРН ПОДЗЕМ'!E35*СПРАВОЧНИК!$H$4+'ПЛАН ЧЕРН ПОДЗЕМ'!F35*СПРАВОЧНИК!$I$4+'ПЛАН ЧЕРН ПОДЗЕМ'!G35*СПРАВОЧНИК!$J$4+'ПЛАН ЧЕРН ПОДЗЕМ'!H35*СПРАВОЧНИК!$H$5+'ПЛАН ЧЕРН ПОДЗЕМ'!I35*СПРАВОЧНИК!$I$5+'ПЛАН ЧЕРН ПОДЗЕМ'!J35*СПРАВОЧНИК!$J$5+'ПЛАН ЧЕРН ПОДЗЕМ'!K35*СПРАВОЧНИК!$H$6+'ПЛАН ЧЕРН ПОДЗЕМ'!L35*СПРАВОЧНИК!$I$6+'ПЛАН ЧЕРН ПОДЗЕМ'!M35*СПРАВОЧНИК!$J$6+'ПЛАН ЧЕРН ПОДЗЕМ'!N35*СПРАВОЧНИК!$H$7+'ПЛАН ЧЕРН ПОДЗЕМ'!O35*СПРАВОЧНИК!$I$7+'ПЛАН ЧЕРН ПОДЗЕМ'!P35*СПРАВОЧНИК!$J$7+'ПЛАН ЧЕРН ПОДЗЕМ'!Q35*СПРАВОЧНИК!$H$8+'ПЛАН ЧЕРН ПОДЗЕМ'!R35*СПРАВОЧНИК!$I$8+'ПЛАН ЧЕРН ПОДЗЕМ'!S35*СПРАВОЧНИК!$J$8</f>
        <v/>
      </c>
      <c r="K44" s="40">
        <f>('ФАКТ ЧЕРН ПОДЗЕМ'!B35)*СПРАВОЧНИК!$H$3+('ФАКТ ЧЕРН ПОДЗЕМ'!C35)*СПРАВОЧНИК!$I$3+('ФАКТ ЧЕРН ПОДЗЕМ'!D35)*СПРАВОЧНИК!$J$3+('ФАКТ ЧЕРН ПОДЗЕМ'!E35)*СПРАВОЧНИК!$H$4+('ФАКТ ЧЕРН ПОДЗЕМ'!F35)*СПРАВОЧНИК!$I$4+('ФАКТ ЧЕРН ПОДЗЕМ'!G35)*СПРАВОЧНИК!$J$4+('ФАКТ ЧЕРН ПОДЗЕМ'!H35)*СПРАВОЧНИК!$H$5+('ФАКТ ЧЕРН ПОДЗЕМ'!I35)*СПРАВОЧНИК!$I$5+('ФАКТ ЧЕРН ПОДЗЕМ'!J35)*СПРАВОЧНИК!$J$5+('ФАКТ ЧЕРН ПОДЗЕМ'!K35)*СПРАВОЧНИК!$H$6+('ФАКТ ЧЕРН ПОДЗЕМ'!L35)*СПРАВОЧНИК!$I$6+('ФАКТ ЧЕРН ПОДЗЕМ'!M35)*СПРАВОЧНИК!$J$6+('ФАКТ ЧЕРН ПОДЗЕМ'!N35)*СПРАВОЧНИК!$H$7+('ФАКТ ЧЕРН ПОДЗЕМ'!O35)*СПРАВОЧНИК!$I$7+('ФАКТ ЧЕРН ПОДЗЕМ'!P35)*СПРАВОЧНИК!$J$7+('ФАКТ ЧЕРН ПОДЗЕМ'!Q35)*СПРАВОЧНИК!$H$8+('ФАКТ ЧЕРН ПОДЗЕМ'!R35)*СПРАВОЧНИК!$I$8+('ФАКТ ЧЕРН ПОДЗЕМ'!S35)*СПРАВОЧНИК!$J$8</f>
        <v/>
      </c>
      <c r="O44" s="18">
        <f>O43+7</f>
        <v/>
      </c>
      <c r="P44" s="37">
        <f>'ПЛАН ЧИСТ ПОДЗЕМ'!B35*СПРАВОЧНИК!$L$3+'ПЛАН ЧИСТ ПОДЗЕМ'!C35*СПРАВОЧНИК!$M$3+'ПЛАН ЧИСТ ПОДЗЕМ'!D35*СПРАВОЧНИК!$N$3+'ПЛАН ЧИСТ ПОДЗЕМ'!E35*СПРАВОЧНИК!$O$3+'ПЛАН ЧИСТ ПОДЗЕМ'!F35*СПРАВОЧНИК!$L$4+'ПЛАН ЧИСТ ПОДЗЕМ'!G35*СПРАВОЧНИК!$M$4+'ПЛАН ЧИСТ ПОДЗЕМ'!H35*СПРАВОЧНИК!$N$4+'ПЛАН ЧИСТ ПОДЗЕМ'!I35*СПРАВОЧНИК!$O$4+'ПЛАН ЧИСТ ПОДЗЕМ'!J35*СПРАВОЧНИК!$L$5+'ПЛАН ЧИСТ ПОДЗЕМ'!K35*СПРАВОЧНИК!$M$5+'ПЛАН ЧИСТ ПОДЗЕМ'!L35*СПРАВОЧНИК!$N$5+'ПЛАН ЧИСТ ПОДЗЕМ'!M35*СПРАВОЧНИК!$L$6+'ПЛАН ЧИСТ ПОДЗЕМ'!N35*СПРАВОЧНИК!$M$6+'ПЛАН ЧИСТ ПОДЗЕМ'!O35*СПРАВОЧНИК!$N$6+'ПЛАН ЧИСТ ПОДЗЕМ'!P35*СПРАВОЧНИК!$O$6+'ПЛАН ЧИСТ ПОДЗЕМ'!Q35*СПРАВОЧНИК!$L$7+'ПЛАН ЧИСТ ПОДЗЕМ'!R35*СПРАВОЧНИК!$M$7+'ПЛАН ЧИСТ ПОДЗЕМ'!S35*СПРАВОЧНИК!$N$7+'ПЛАН ЧИСТ ПОДЗЕМ'!T35*СПРАВОЧНИК!$O$7+'ПЛАН ЧИСТ ПОДЗЕМ'!U35*СПРАВОЧНИК!$L$8+'ПЛАН ЧИСТ ПОДЗЕМ'!V35*СПРАВОЧНИК!$M$8+'ПЛАН ЧИСТ ПОДЗЕМ'!W35*СПРАВОЧНИК!$N$8</f>
        <v/>
      </c>
      <c r="Q44" s="40">
        <f>('ФАКТ ЧИСТ ПОДЗЕМ'!B35)*СПРАВОЧНИК!$L$3+('ФАКТ ЧИСТ ПОДЗЕМ'!C35)*СПРАВОЧНИК!$M$3+('ФАКТ ЧИСТ ПОДЗЕМ'!D35)*СПРАВОЧНИК!$N$3+('ФАКТ ЧИСТ ПОДЗЕМ'!E35)*СПРАВОЧНИК!$O$3+('ФАКТ ЧИСТ ПОДЗЕМ'!F35)*СПРАВОЧНИК!$L$4+('ФАКТ ЧИСТ ПОДЗЕМ'!G35)*СПРАВОЧНИК!$M$4+('ФАКТ ЧИСТ ПОДЗЕМ'!H35)*СПРАВОЧНИК!$N$4+('ФАКТ ЧИСТ ПОДЗЕМ'!I35)*СПРАВОЧНИК!$O$4+('ФАКТ ЧИСТ ПОДЗЕМ'!J35)*СПРАВОЧНИК!$L$5+('ФАКТ ЧИСТ ПОДЗЕМ'!K35)*СПРАВОЧНИК!$M$5+('ФАКТ ЧИСТ ПОДЗЕМ'!L35)*СПРАВОЧНИК!$N$5+('ФАКТ ЧИСТ ПОДЗЕМ'!M35)*СПРАВОЧНИК!$L$6+('ФАКТ ЧИСТ ПОДЗЕМ'!N35)*СПРАВОЧНИК!$M$6+('ФАКТ ЧИСТ ПОДЗЕМ'!O35)*СПРАВОЧНИК!$N$6+('ФАКТ ЧИСТ ПОДЗЕМ'!P35)*СПРАВОЧНИК!$O$6+('ФАКТ ЧИСТ ПОДЗЕМ'!Q35)*СПРАВОЧНИК!$L$7+('ФАКТ ЧИСТ ПОДЗЕМ'!R35)*СПРАВОЧНИК!$M$7+('ФАКТ ЧИСТ ПОДЗЕМ'!S35)*СПРАВОЧНИК!$N$7+('ФАКТ ЧИСТ ПОДЗЕМ'!T35)*СПРАВОЧНИК!$O$7+('ФАКТ ЧИСТ ПОДЗЕМ'!U35)*СПРАВОЧНИК!$L$8+('ФАКТ ЧИСТ ПОДЗЕМ'!V35)*СПРАВОЧНИК!$M$8+('ФАКТ ЧИСТ ПОДЗЕМ'!W35)*СПРАВОЧНИК!$N$8</f>
        <v/>
      </c>
      <c r="U44" s="18">
        <f>U43+7</f>
        <v/>
      </c>
      <c r="V44" s="37">
        <f>СПРАВОЧНИК!$E$9*('ПЛАН ЧЕРН К1'!B35*СПРАВОЧНИК!$H$9+'ПЛАН ЧЕРН К1'!C35*СПРАВОЧНИК!$I$9+'ПЛАН ЧЕРН К1'!D35*СПРАВОЧНИК!$J$9)+СПРАВОЧНИК!$E$10*('ПЛАН ЧЕРН К1'!E35*СПРАВОЧНИК!$H$10+'ПЛАН ЧЕРН К1'!F35*СПРАВОЧНИК!$I$10+'ПЛАН ЧЕРН К1'!G35*СПРАВОЧНИК!$J$10)+СПРАВОЧНИК!$E$11*('ПЛАН ЧЕРН К1'!H35*СПРАВОЧНИК!$H$11+'ПЛАН ЧЕРН К1'!I35*СПРАВОЧНИК!$I$11+'ПЛАН ЧЕРН К1'!J35*СПРАВОЧНИК!$J$11)+СПРАВОЧНИК!$E$12*('ПЛАН ЧЕРН К1'!K35*СПРАВОЧНИК!$H$12+'ПЛАН ЧЕРН К1'!L35*СПРАВОЧНИК!$I$12+'ПЛАН ЧЕРН К1'!M35*СПРАВОЧНИК!$J$12)+СПРАВОЧНИК!$E$13*('ПЛАН ЧЕРН К1'!N35*СПРАВОЧНИК!$H$13+'ПЛАН ЧЕРН К1'!O35*СПРАВОЧНИК!$I$13+'ПЛАН ЧЕРН К1'!P35*СПРАВОЧНИК!$J$13)+СПРАВОЧНИК!$E$14*('ПЛАН ЧЕРН К1'!Q35*СПРАВОЧНИК!$H$14+'ПЛАН ЧЕРН К1'!R35*СПРАВОЧНИК!$I$14+'ПЛАН ЧЕРН К1'!S35*СПРАВОЧНИК!$J$14)+СПРАВОЧНИК!$E$15*('ПЛАН ЧЕРН К1'!T35*СПРАВОЧНИК!$H$15+'ПЛАН ЧЕРН К1'!U35*СПРАВОЧНИК!$I$15+'ПЛАН ЧЕРН К1'!V35*СПРАВОЧНИК!$J$15)+СПРАВОЧНИК!$F$9*('ПЛАН ЧИСТ К1'!B35*СПРАВОЧНИК!$L$9+'ПЛАН ЧИСТ К1'!C35*СПРАВОЧНИК!$M$9+'ПЛАН ЧИСТ К1'!D35*СПРАВОЧНИК!$N$9+'ПЛАН ЧИСТ К1'!E35*СПРАВОЧНИК!$O$9)+СПРАВОЧНИК!$F$10*('ПЛАН ЧИСТ К1'!F35*СПРАВОЧНИК!$L$10+'ПЛАН ЧИСТ К1'!G35*СПРАВОЧНИК!$M$10+'ПЛАН ЧИСТ К1'!H35*СПРАВОЧНИК!$N$10+'ПЛАН ЧИСТ К1'!I35*СПРАВОЧНИК!$O$10)+СПРАВОЧНИК!$F$11*('ПЛАН ЧИСТ К1'!J35*СПРАВОЧНИК!$L$11+'ПЛАН ЧИСТ К1'!K35*СПРАВОЧНИК!$M$11+'ПЛАН ЧИСТ К1'!L35*СПРАВОЧНИК!$N$11)+СПРАВОЧНИК!$F$12*('ПЛАН ЧИСТ К1'!M35*СПРАВОЧНИК!$L$12+'ПЛАН ЧИСТ К1'!N35*СПРАВОЧНИК!$M$12+'ПЛАН ЧИСТ К1'!O35*СПРАВОЧНИК!$N$12+'ПЛАН ЧИСТ К1'!P35*СПРАВОЧНИК!$O$12)+СПРАВОЧНИК!$F$13*('ПЛАН ЧИСТ К1'!Q35*СПРАВОЧНИК!$L$13+'ПЛАН ЧИСТ К1'!R35*СПРАВОЧНИК!$M$13+'ПЛАН ЧИСТ К1'!S35*СПРАВОЧНИК!$N$13+'ПЛАН ЧИСТ К1'!T35*СПРАВОЧНИК!$O$13)+СПРАВОЧНИК!$F$14*('ПЛАН ЧИСТ К1'!U35*СПРАВОЧНИК!$L$14+'ПЛАН ЧИСТ К1'!V35*СПРАВОЧНИК!$M$14+'ПЛАН ЧИСТ К1'!W35*СПРАВОЧНИК!$N$14)+СПРАВОЧНИК!$F$15*('ПЛАН ЧИСТ К1'!X35*СПРАВОЧНИК!$L$15+'ПЛАН ЧИСТ К1'!Y35*СПРАВОЧНИК!$M$15+'ПЛАН ЧИСТ К1'!Z35*СПРАВОЧНИК!$N$15)</f>
        <v/>
      </c>
      <c r="W44" s="40">
        <f>СПРАВОЧНИК!$E$9*(('ФАКТ ЧЕРН К1'!B35)*СПРАВОЧНИК!$H$9+('ФАКТ ЧЕРН К1'!C35)*СПРАВОЧНИК!$I$9+('ФАКТ ЧЕРН К1'!D35)*СПРАВОЧНИК!$J$9)+СПРАВОЧНИК!$E$10*(('ФАКТ ЧЕРН К1'!E35)*СПРАВОЧНИК!$H$10+('ФАКТ ЧЕРН К1'!F35)*СПРАВОЧНИК!$I$10+('ФАКТ ЧЕРН К1'!G35)*СПРАВОЧНИК!$J$10)+СПРАВОЧНИК!$E$11*(('ФАКТ ЧЕРН К1'!H35)*СПРАВОЧНИК!$H$11+('ФАКТ ЧЕРН К1'!I35)*СПРАВОЧНИК!$I$11+('ФАКТ ЧЕРН К1'!J35)*СПРАВОЧНИК!$J$11)+СПРАВОЧНИК!$E$12*(('ФАКТ ЧЕРН К1'!K35)*СПРАВОЧНИК!$H$12+('ФАКТ ЧЕРН К1'!L35)*СПРАВОЧНИК!$I$12+('ФАКТ ЧЕРН К1'!M35)*СПРАВОЧНИК!$J$12)+СПРАВОЧНИК!$E$13*(('ФАКТ ЧЕРН К1'!N35)*СПРАВОЧНИК!$H$13+('ФАКТ ЧЕРН К1'!O35)*СПРАВОЧНИК!$I$13+('ФАКТ ЧЕРН К1'!P35)*СПРАВОЧНИК!$J$13)+СПРАВОЧНИК!$E$14*(('ФАКТ ЧЕРН К1'!Q35)*СПРАВОЧНИК!$H$14+('ФАКТ ЧЕРН К1'!R35)*СПРАВОЧНИК!$I$14+('ФАКТ ЧЕРН К1'!S35)*СПРАВОЧНИК!$J$14)+СПРАВОЧНИК!$E$15*(('ФАКТ ЧЕРН К1'!T35)*СПРАВОЧНИК!$H$15+('ФАКТ ЧЕРН К1'!U35)*СПРАВОЧНИК!$I$15+('ФАКТ ЧЕРН К1'!V35)*СПРАВОЧНИК!$J$15)+СПРАВОЧНИК!$F$9*(('ФАКТ ЧИСТ К1'!B35)*СПРАВОЧНИК!$L$9+('ФАКТ ЧИСТ К1'!C35)*СПРАВОЧНИК!$M$9+('ФАКТ ЧИСТ К1'!D35)*СПРАВОЧНИК!$N$9+('ФАКТ ЧИСТ К1'!E35)*СПРАВОЧНИК!$O$9)+СПРАВОЧНИК!$F$10*(('ФАКТ ЧИСТ К1'!F35)*СПРАВОЧНИК!$L$10+('ФАКТ ЧИСТ К1'!G35)*СПРАВОЧНИК!$M$10+('ФАКТ ЧИСТ К1'!H35)*СПРАВОЧНИК!$N$10+('ФАКТ ЧИСТ К1'!I35)*СПРАВОЧНИК!$O$10)+СПРАВОЧНИК!$F$11*(('ФАКТ ЧИСТ К1'!J35)*СПРАВОЧНИК!$L$11+('ФАКТ ЧИСТ К1'!K35)*СПРАВОЧНИК!$M$11+('ФАКТ ЧИСТ К1'!L35)*СПРАВОЧНИК!$N$11)+СПРАВОЧНИК!$F$12*(('ФАКТ ЧИСТ К1'!M35)*СПРАВОЧНИК!$L$12+('ФАКТ ЧИСТ К1'!N35)*СПРАВОЧНИК!$M$12+('ФАКТ ЧИСТ К1'!O35)*СПРАВОЧНИК!$N$12+('ФАКТ ЧИСТ К1'!P35)*СПРАВОЧНИК!$O$12)+СПРАВОЧНИК!$F$13*(('ФАКТ ЧИСТ К1'!Q35)*СПРАВОЧНИК!$L$13+('ФАКТ ЧИСТ К1'!R35)*СПРАВОЧНИК!$M$13+('ФАКТ ЧИСТ К1'!S35)*СПРАВОЧНИК!$N$13+('ФАКТ ЧИСТ К1'!T35)*СПРАВОЧНИК!$O$13)+СПРАВОЧНИК!$F$14*(('ФАКТ ЧИСТ К1'!U35)*СПРАВОЧНИК!$L$14+('ФАКТ ЧИСТ К1'!V35)*СПРАВОЧНИК!$M$14+('ФАКТ ЧИСТ К1'!W35)*СПРАВОЧНИК!$N$14)+СПРАВОЧНИК!$F$15*(('ФАКТ ЧИСТ К1'!X35)*СПРАВОЧНИК!$L$15+('ФАКТ ЧИСТ К1'!Y35)*СПРАВОЧНИК!$M$15+('ФАКТ ЧИСТ К1'!Z35)*СПРАВОЧНИК!$N$15)</f>
        <v/>
      </c>
      <c r="AA44" s="18">
        <f>AA43+7</f>
        <v/>
      </c>
      <c r="AB44" s="37">
        <f>'ПЛАН ЧЕРН К1'!B35*СПРАВОЧНИК!$H$9+'ПЛАН ЧЕРН К1'!C35*СПРАВОЧНИК!$I$9+'ПЛАН ЧЕРН К1'!D35*СПРАВОЧНИК!$J$9+'ПЛАН ЧЕРН К1'!E35*СПРАВОЧНИК!$H$10+'ПЛАН ЧЕРН К1'!F35*СПРАВОЧНИК!$I$10+'ПЛАН ЧЕРН К1'!G35*СПРАВОЧНИК!$J$10+'ПЛАН ЧЕРН К1'!H35*СПРАВОЧНИК!$H$11+'ПЛАН ЧЕРН К1'!I35*СПРАВОЧНИК!$I$11+'ПЛАН ЧЕРН К1'!J35*СПРАВОЧНИК!$J$11+'ПЛАН ЧЕРН К1'!K35*СПРАВОЧНИК!$H$12+'ПЛАН ЧЕРН К1'!L35*СПРАВОЧНИК!$I$12+'ПЛАН ЧЕРН К1'!M35*СПРАВОЧНИК!$J$12+'ПЛАН ЧЕРН К1'!N35*СПРАВОЧНИК!$H$13+'ПЛАН ЧЕРН К1'!O35*СПРАВОЧНИК!$I$13+'ПЛАН ЧЕРН К1'!P35*СПРАВОЧНИК!$J$13+'ПЛАН ЧЕРН К1'!Q35*СПРАВОЧНИК!$H$14+'ПЛАН ЧЕРН К1'!R35*СПРАВОЧНИК!$I$14+'ПЛАН ЧЕРН К1'!S35*СПРАВОЧНИК!$J$14+'ПЛАН ЧЕРН К1'!T35*СПРАВОЧНИК!$H$15+'ПЛАН ЧЕРН К1'!U35*СПРАВОЧНИК!$I$15+'ПЛАН ЧЕРН К1'!V35*СПРАВОЧНИК!$J$15</f>
        <v/>
      </c>
      <c r="AC44" s="40">
        <f>('ФАКТ ЧЕРН К1'!B35)*СПРАВОЧНИК!$H$9+('ФАКТ ЧЕРН К1'!C35)*СПРАВОЧНИК!$I$9+('ФАКТ ЧЕРН К1'!D35)*СПРАВОЧНИК!$J$9+('ФАКТ ЧЕРН К1'!E35)*СПРАВОЧНИК!$H$10+('ФАКТ ЧЕРН К1'!F35)*СПРАВОЧНИК!$I$10+('ФАКТ ЧЕРН К1'!G35)*СПРАВОЧНИК!$J$10+('ФАКТ ЧЕРН К1'!H35)*СПРАВОЧНИК!$H$11+('ФАКТ ЧЕРН К1'!I35)*СПРАВОЧНИК!$I$11+('ФАКТ ЧЕРН К1'!J35)*СПРАВОЧНИК!$J$11+('ФАКТ ЧЕРН К1'!K35)*СПРАВОЧНИК!$H$12+('ФАКТ ЧЕРН К1'!L35)*СПРАВОЧНИК!$I$12+('ФАКТ ЧЕРН К1'!M35)*СПРАВОЧНИК!$J$12+('ФАКТ ЧЕРН К1'!N35)*СПРАВОЧНИК!$H$13+('ФАКТ ЧЕРН К1'!O35)*СПРАВОЧНИК!$I$13+('ФАКТ ЧЕРН К1'!P35)*СПРАВОЧНИК!$J$13+('ФАКТ ЧЕРН К1'!Q35)*СПРАВОЧНИК!$H$14+('ФАКТ ЧЕРН К1'!R35)*СПРАВОЧНИК!$I$14+('ФАКТ ЧЕРН К1'!S35)*СПРАВОЧНИК!$J$14+('ФАКТ ЧЕРН К1'!T35)*СПРАВОЧНИК!$H$15+('ФАКТ ЧЕРН К1'!U35)*СПРАВОЧНИК!$I$15+('ФАКТ ЧЕРН К1'!V35)*СПРАВОЧНИК!$J$15</f>
        <v/>
      </c>
      <c r="AG44" s="18">
        <f>AG43+7</f>
        <v/>
      </c>
      <c r="AH44" s="37">
        <f>'ПЛАН ЧИСТ К1'!B35*СПРАВОЧНИК!$L$9+'ПЛАН ЧИСТ К1'!C35*СПРАВОЧНИК!$M$9+'ПЛАН ЧИСТ К1'!D35*СПРАВОЧНИК!$N$9+'ПЛАН ЧИСТ К1'!E35*СПРАВОЧНИК!$O$9+'ПЛАН ЧИСТ К1'!F35*СПРАВОЧНИК!$L$10+'ПЛАН ЧИСТ К1'!G35*СПРАВОЧНИК!$M$10+'ПЛАН ЧИСТ К1'!H35*СПРАВОЧНИК!$N$10+'ПЛАН ЧИСТ К1'!I35*СПРАВОЧНИК!$O$10+'ПЛАН ЧИСТ К1'!J35*СПРАВОЧНИК!$L$11+'ПЛАН ЧИСТ К1'!K35*СПРАВОЧНИК!$M$11+'ПЛАН ЧИСТ К1'!L35*СПРАВОЧНИК!$N$11+'ПЛАН ЧИСТ К1'!M35*СПРАВОЧНИК!$L$12+'ПЛАН ЧИСТ К1'!N35*СПРАВОЧНИК!$M$12+'ПЛАН ЧИСТ К1'!O35*СПРАВОЧНИК!$N$12+'ПЛАН ЧИСТ К1'!P35*СПРАВОЧНИК!$O$12+'ПЛАН ЧИСТ К1'!Q35*СПРАВОЧНИК!$L$13+'ПЛАН ЧИСТ К1'!R35*СПРАВОЧНИК!$M$13+'ПЛАН ЧИСТ К1'!S35*СПРАВОЧНИК!$N$13+'ПЛАН ЧИСТ К1'!T35*СПРАВОЧНИК!$O$13+'ПЛАН ЧИСТ К1'!U35*СПРАВОЧНИК!$L$14+'ПЛАН ЧИСТ К1'!V35*СПРАВОЧНИК!$M$14+'ПЛАН ЧИСТ К1'!W35*СПРАВОЧНИК!$N$14+'ПЛАН ЧИСТ К1'!X35*СПРАВОЧНИК!$L$15+'ПЛАН ЧИСТ К1'!Y35*СПРАВОЧНИК!$M$15+'ПЛАН ЧИСТ К1'!Z35*СПРАВОЧНИК!$N$15</f>
        <v/>
      </c>
      <c r="AI44" s="40">
        <f>('ФАКТ ЧИСТ К1'!B35)*СПРАВОЧНИК!$L$9+('ФАКТ ЧИСТ К1'!C35)*СПРАВОЧНИК!$M$9+('ФАКТ ЧИСТ К1'!D35)*СПРАВОЧНИК!$N$9+('ФАКТ ЧИСТ К1'!E35)*СПРАВОЧНИК!$O$9+('ФАКТ ЧИСТ К1'!F35)*СПРАВОЧНИК!$L$10+('ФАКТ ЧИСТ К1'!G35)*СПРАВОЧНИК!$M$10+('ФАКТ ЧИСТ К1'!H35)*СПРАВОЧНИК!$N$10+('ФАКТ ЧИСТ К1'!I35)*СПРАВОЧНИК!$O$10+('ФАКТ ЧИСТ К1'!J35)*СПРАВОЧНИК!$L$11+('ФАКТ ЧИСТ К1'!K35)*СПРАВОЧНИК!$M$11+('ФАКТ ЧИСТ К1'!L35)*СПРАВОЧНИК!$N$11+('ФАКТ ЧИСТ К1'!M35)*СПРАВОЧНИК!$L$12+('ФАКТ ЧИСТ К1'!N35)*СПРАВОЧНИК!$M$12+('ФАКТ ЧИСТ К1'!O35)*СПРАВОЧНИК!$N$12+('ФАКТ ЧИСТ К1'!P35)*СПРАВОЧНИК!$O$12+('ФАКТ ЧИСТ К1'!Q35)*СПРАВОЧНИК!$L$13+('ФАКТ ЧИСТ К1'!R35)*СПРАВОЧНИК!$M$13+('ФАКТ ЧИСТ К1'!S35)*СПРАВОЧНИК!$N$13+('ФАКТ ЧИСТ К1'!T35)*СПРАВОЧНИК!$O$13+('ФАКТ ЧИСТ К1'!U35)*СПРАВОЧНИК!$L$14+('ФАКТ ЧИСТ К1'!V35)*СПРАВОЧНИК!$M$14+('ФАКТ ЧИСТ К1'!W35)*СПРАВОЧНИК!$N$14+('ФАКТ ЧИСТ К1'!X35)*СПРАВОЧНИК!$L$15+('ФАКТ ЧИСТ К1'!Y35)*СПРАВОЧНИК!$M$15+('ФАКТ ЧИСТ К1'!Z35)*СПРАВОЧНИК!$N$15</f>
        <v/>
      </c>
      <c r="AM44" s="18">
        <f>AM43+7</f>
        <v/>
      </c>
      <c r="AN44" s="37">
        <f>СПРАВОЧНИК!$E$9*('ПЛАН ЧЕРН К2'!B35*СПРАВОЧНИК!$H$9+'ПЛАН ЧЕРН К2'!C35*СПРАВОЧНИК!$I$9+'ПЛАН ЧЕРН К2'!D35*СПРАВОЧНИК!$J$9)+СПРАВОЧНИК!$E$10*('ПЛАН ЧЕРН К2'!E35*СПРАВОЧНИК!$H$10+'ПЛАН ЧЕРН К2'!F35*СПРАВОЧНИК!$I$10+'ПЛАН ЧЕРН К2'!G35*СПРАВОЧНИК!$J$10)+СПРАВОЧНИК!$E$11*('ПЛАН ЧЕРН К2'!H35*СПРАВОЧНИК!$H$11+'ПЛАН ЧЕРН К2'!I35*СПРАВОЧНИК!$I$11+'ПЛАН ЧЕРН К2'!J35*СПРАВОЧНИК!$J$11)+СПРАВОЧНИК!$E$12*('ПЛАН ЧЕРН К2'!K35*СПРАВОЧНИК!$H$12+'ПЛАН ЧЕРН К2'!L35*СПРАВОЧНИК!$I$12+'ПЛАН ЧЕРН К2'!M35*СПРАВОЧНИК!$J$12)+СПРАВОЧНИК!$E$13*('ПЛАН ЧЕРН К2'!N35*СПРАВОЧНИК!$H$13+'ПЛАН ЧЕРН К2'!O35*СПРАВОЧНИК!$I$13+'ПЛАН ЧЕРН К2'!P35*СПРАВОЧНИК!$J$13)+СПРАВОЧНИК!$E$14*('ПЛАН ЧЕРН К2'!Q35*СПРАВОЧНИК!$H$14+'ПЛАН ЧЕРН К2'!R35*СПРАВОЧНИК!$I$14+'ПЛАН ЧЕРН К2'!S35*СПРАВОЧНИК!$J$14)+СПРАВОЧНИК!$E$15*('ПЛАН ЧЕРН К2'!T35*СПРАВОЧНИК!$H$15+'ПЛАН ЧЕРН К2'!U35*СПРАВОЧНИК!$I$15+'ПЛАН ЧЕРН К2'!V35*СПРАВОЧНИК!$J$15)+СПРАВОЧНИК!$F$9*('ПЛАН ЧИСТ К2'!B35*СПРАВОЧНИК!$L$9+'ПЛАН ЧИСТ К2'!C35*СПРАВОЧНИК!$M$9+'ПЛАН ЧИСТ К2'!D35*СПРАВОЧНИК!$N$9+'ПЛАН ЧИСТ К2'!E35*СПРАВОЧНИК!$O$9)+СПРАВОЧНИК!$F$10*('ПЛАН ЧИСТ К2'!F35*СПРАВОЧНИК!$L$10+'ПЛАН ЧИСТ К2'!G35*СПРАВОЧНИК!$M$10+'ПЛАН ЧИСТ К2'!H35*СПРАВОЧНИК!$N$10+'ПЛАН ЧИСТ К2'!I35*СПРАВОЧНИК!$O$10)+СПРАВОЧНИК!$F$11*('ПЛАН ЧИСТ К2'!J35*СПРАВОЧНИК!$L$11+'ПЛАН ЧИСТ К2'!K35*СПРАВОЧНИК!$M$11+'ПЛАН ЧИСТ К2'!L35*СПРАВОЧНИК!$N$11)+СПРАВОЧНИК!$F$12*('ПЛАН ЧИСТ К2'!M35*СПРАВОЧНИК!$L$12+'ПЛАН ЧИСТ К2'!N35*СПРАВОЧНИК!$M$12+'ПЛАН ЧИСТ К2'!O35*СПРАВОЧНИК!$N$12+'ПЛАН ЧИСТ К2'!P35*СПРАВОЧНИК!$O$12)+СПРАВОЧНИК!$F$13*('ПЛАН ЧИСТ К2'!Q35*СПРАВОЧНИК!$L$13+'ПЛАН ЧИСТ К2'!R35*СПРАВОЧНИК!$M$13+'ПЛАН ЧИСТ К2'!S35*СПРАВОЧНИК!$N$13+'ПЛАН ЧИСТ К2'!T35*СПРАВОЧНИК!$O$13)+СПРАВОЧНИК!$F$14*('ПЛАН ЧИСТ К2'!U35*СПРАВОЧНИК!$L$14+'ПЛАН ЧИСТ К2'!V35*СПРАВОЧНИК!$M$14+'ПЛАН ЧИСТ К2'!W35*СПРАВОЧНИК!$N$14)+СПРАВОЧНИК!$F$15*('ПЛАН ЧИСТ К2'!X35*СПРАВОЧНИК!$L$15+'ПЛАН ЧИСТ К2'!Y35*СПРАВОЧНИК!$M$15+'ПЛАН ЧИСТ К2'!Z35*СПРАВОЧНИК!$N$15)</f>
        <v/>
      </c>
      <c r="AO44" s="40">
        <f>СПРАВОЧНИК!$E$9*(('ФАКТ ЧЕРН К2'!B35)*СПРАВОЧНИК!$H$9+('ФАКТ ЧЕРН К2'!C35)*СПРАВОЧНИК!$I$9+('ФАКТ ЧЕРН К2'!D35)*СПРАВОЧНИК!$J$9)+СПРАВОЧНИК!$E$10*(('ФАКТ ЧЕРН К2'!E35)*СПРАВОЧНИК!$H$10+('ФАКТ ЧЕРН К2'!F35)*СПРАВОЧНИК!$I$10+('ФАКТ ЧЕРН К2'!G35)*СПРАВОЧНИК!$J$10)+СПРАВОЧНИК!$E$11*(('ФАКТ ЧЕРН К2'!H35)*СПРАВОЧНИК!$H$11+('ФАКТ ЧЕРН К2'!I35)*СПРАВОЧНИК!$I$11+('ФАКТ ЧЕРН К2'!J35)*СПРАВОЧНИК!$J$11)+СПРАВОЧНИК!$E$12*(('ФАКТ ЧЕРН К2'!K35)*СПРАВОЧНИК!$H$12+('ФАКТ ЧЕРН К2'!L35)*СПРАВОЧНИК!$I$12+('ФАКТ ЧЕРН К2'!M35)*СПРАВОЧНИК!$J$12)+СПРАВОЧНИК!$E$13*(('ФАКТ ЧЕРН К2'!N35)*СПРАВОЧНИК!$H$13+('ФАКТ ЧЕРН К2'!O35)*СПРАВОЧНИК!$I$13+('ФАКТ ЧЕРН К2'!P35)*СПРАВОЧНИК!$J$13)+СПРАВОЧНИК!$E$14*(('ФАКТ ЧЕРН К2'!Q35)*СПРАВОЧНИК!$H$14+('ФАКТ ЧЕРН К2'!R35)*СПРАВОЧНИК!$I$14+('ФАКТ ЧЕРН К2'!S35)*СПРАВОЧНИК!$J$14)+СПРАВОЧНИК!$E$15*(('ФАКТ ЧЕРН К2'!T35)*СПРАВОЧНИК!$H$15+('ФАКТ ЧЕРН К2'!U35)*СПРАВОЧНИК!$I$15+('ФАКТ ЧЕРН К2'!V35)*СПРАВОЧНИК!$J$15)+СПРАВОЧНИК!$F$9*(('ФАКТ ЧИСТ К2'!B35)*СПРАВОЧНИК!$L$9+('ФАКТ ЧИСТ К2'!C35)*СПРАВОЧНИК!$M$9+('ФАКТ ЧИСТ К2'!D35)*СПРАВОЧНИК!$N$9+('ФАКТ ЧИСТ К2'!E35)*СПРАВОЧНИК!$O$9)+СПРАВОЧНИК!$F$10*(('ФАКТ ЧИСТ К2'!F35)*СПРАВОЧНИК!$L$10+('ФАКТ ЧИСТ К2'!G35)*СПРАВОЧНИК!$M$10+('ФАКТ ЧИСТ К2'!H35)*СПРАВОЧНИК!$N$10+('ФАКТ ЧИСТ К2'!I35)*СПРАВОЧНИК!$O$10)+СПРАВОЧНИК!$F$11*(('ФАКТ ЧИСТ К2'!J35)*СПРАВОЧНИК!$L$11+('ФАКТ ЧИСТ К2'!K35)*СПРАВОЧНИК!$M$11+('ФАКТ ЧИСТ К2'!L35)*СПРАВОЧНИК!$N$11)+СПРАВОЧНИК!$F$12*(('ФАКТ ЧИСТ К2'!M35)*СПРАВОЧНИК!$L$12+('ФАКТ ЧИСТ К2'!N35)*СПРАВОЧНИК!$M$12+('ФАКТ ЧИСТ К2'!O35)*СПРАВОЧНИК!$N$12+('ФАКТ ЧИСТ К2'!P35)*СПРАВОЧНИК!$O$12)+СПРАВОЧНИК!$F$13*(('ФАКТ ЧИСТ К2'!Q35)*СПРАВОЧНИК!$L$13+('ФАКТ ЧИСТ К2'!R35)*СПРАВОЧНИК!$M$13+('ФАКТ ЧИСТ К2'!S35)*СПРАВОЧНИК!$N$13+('ФАКТ ЧИСТ К2'!T35)*СПРАВОЧНИК!$O$13)+СПРАВОЧНИК!$F$14*(('ФАКТ ЧИСТ К2'!U35)*СПРАВОЧНИК!$L$14+('ФАКТ ЧИСТ К2'!V35)*СПРАВОЧНИК!$M$14+('ФАКТ ЧИСТ К2'!W35)*СПРАВОЧНИК!$N$14)+СПРАВОЧНИК!$F$15*(('ФАКТ ЧИСТ К2'!X35)*СПРАВОЧНИК!$L$15+('ФАКТ ЧИСТ К2'!Y35)*СПРАВОЧНИК!$M$15+('ФАКТ ЧИСТ К2'!Z35)*СПРАВОЧНИК!$N$15)</f>
        <v/>
      </c>
      <c r="AS44" s="18">
        <f>AS43+7</f>
        <v/>
      </c>
      <c r="AT44" s="37">
        <f>'ПЛАН ЧЕРН К2'!B35*СПРАВОЧНИК!$H$9+'ПЛАН ЧЕРН К2'!C35*СПРАВОЧНИК!$I$9+'ПЛАН ЧЕРН К2'!D35*СПРАВОЧНИК!$J$9+'ПЛАН ЧЕРН К2'!E35*СПРАВОЧНИК!$H$10+'ПЛАН ЧЕРН К2'!F35*СПРАВОЧНИК!$I$10+'ПЛАН ЧЕРН К2'!G35*СПРАВОЧНИК!$J$10+'ПЛАН ЧЕРН К2'!H35*СПРАВОЧНИК!$H$11+'ПЛАН ЧЕРН К2'!I35*СПРАВОЧНИК!$I$11+'ПЛАН ЧЕРН К2'!J35*СПРАВОЧНИК!$J$11+'ПЛАН ЧЕРН К2'!K35*СПРАВОЧНИК!$H$12+'ПЛАН ЧЕРН К2'!L35*СПРАВОЧНИК!$I$12+'ПЛАН ЧЕРН К2'!M35*СПРАВОЧНИК!$J$12+'ПЛАН ЧЕРН К2'!N35*СПРАВОЧНИК!$H$13+'ПЛАН ЧЕРН К2'!O35*СПРАВОЧНИК!$I$13+'ПЛАН ЧЕРН К2'!P35*СПРАВОЧНИК!$J$13+'ПЛАН ЧЕРН К2'!Q35*СПРАВОЧНИК!$H$14+'ПЛАН ЧЕРН К2'!R35*СПРАВОЧНИК!$I$14+'ПЛАН ЧЕРН К2'!S35*СПРАВОЧНИК!$J$14+'ПЛАН ЧЕРН К2'!T35*СПРАВОЧНИК!$H$15+'ПЛАН ЧЕРН К2'!U35*СПРАВОЧНИК!$I$15+'ПЛАН ЧЕРН К2'!V35*СПРАВОЧНИК!$J$15</f>
        <v/>
      </c>
      <c r="AU44" s="40">
        <f>('ФАКТ ЧЕРН К2'!B35)*СПРАВОЧНИК!$H$9+('ФАКТ ЧЕРН К2'!C35)*СПРАВОЧНИК!$I$9+('ФАКТ ЧЕРН К2'!D35)*СПРАВОЧНИК!$J$9+('ФАКТ ЧЕРН К2'!E35)*СПРАВОЧНИК!$H$10+('ФАКТ ЧЕРН К2'!F35)*СПРАВОЧНИК!$I$10+('ФАКТ ЧЕРН К2'!G35)*СПРАВОЧНИК!$J$10+('ФАКТ ЧЕРН К2'!H35)*СПРАВОЧНИК!$H$11+('ФАКТ ЧЕРН К2'!I35)*СПРАВОЧНИК!$I$11+('ФАКТ ЧЕРН К2'!J35)*СПРАВОЧНИК!$J$11+('ФАКТ ЧЕРН К2'!K35)*СПРАВОЧНИК!$H$12+('ФАКТ ЧЕРН К2'!L35)*СПРАВОЧНИК!$I$12+('ФАКТ ЧЕРН К2'!M35)*СПРАВОЧНИК!$J$12+('ФАКТ ЧЕРН К2'!N35)*СПРАВОЧНИК!$H$13+('ФАКТ ЧЕРН К2'!O35)*СПРАВОЧНИК!$I$13+('ФАКТ ЧЕРН К2'!P35)*СПРАВОЧНИК!$J$13+('ФАКТ ЧЕРН К2'!Q35)*СПРАВОЧНИК!$H$14+('ФАКТ ЧЕРН К2'!R35)*СПРАВОЧНИК!$I$14+('ФАКТ ЧЕРН К2'!S35)*СПРАВОЧНИК!$J$14+('ФАКТ ЧЕРН К2'!T35)*СПРАВОЧНИК!$H$15+('ФАКТ ЧЕРН К2'!U35)*СПРАВОЧНИК!$I$15+('ФАКТ ЧЕРН К2'!V35)*СПРАВОЧНИК!$J$15</f>
        <v/>
      </c>
      <c r="AY44" s="18">
        <f>AY43+7</f>
        <v/>
      </c>
      <c r="AZ44" s="37">
        <f>'ПЛАН ЧИСТ К2'!B35*СПРАВОЧНИК!$L$9+'ПЛАН ЧИСТ К2'!C35*СПРАВОЧНИК!$M$9+'ПЛАН ЧИСТ К2'!D35*СПРАВОЧНИК!$N$9+'ПЛАН ЧИСТ К2'!E35*СПРАВОЧНИК!$O$9+'ПЛАН ЧИСТ К2'!F35*СПРАВОЧНИК!$L$10+'ПЛАН ЧИСТ К2'!G35*СПРАВОЧНИК!$M$10+'ПЛАН ЧИСТ К2'!H35*СПРАВОЧНИК!$N$10+'ПЛАН ЧИСТ К2'!I35*СПРАВОЧНИК!$O$10+'ПЛАН ЧИСТ К2'!J35*СПРАВОЧНИК!$L$11+'ПЛАН ЧИСТ К2'!K35*СПРАВОЧНИК!$M$11+'ПЛАН ЧИСТ К2'!L35*СПРАВОЧНИК!$N$11+'ПЛАН ЧИСТ К2'!M35*СПРАВОЧНИК!$L$12+'ПЛАН ЧИСТ К2'!N35*СПРАВОЧНИК!$M$12+'ПЛАН ЧИСТ К2'!O35*СПРАВОЧНИК!$N$12+'ПЛАН ЧИСТ К2'!P35*СПРАВОЧНИК!$O$12+'ПЛАН ЧИСТ К2'!Q35*СПРАВОЧНИК!$L$13+'ПЛАН ЧИСТ К2'!R35*СПРАВОЧНИК!$M$13+'ПЛАН ЧИСТ К2'!S35*СПРАВОЧНИК!$N$13+'ПЛАН ЧИСТ К2'!T35*СПРАВОЧНИК!$O$13+'ПЛАН ЧИСТ К2'!U35*СПРАВОЧНИК!$L$14+'ПЛАН ЧИСТ К2'!V35*СПРАВОЧНИК!$M$14+'ПЛАН ЧИСТ К2'!W35*СПРАВОЧНИК!$N$14+'ПЛАН ЧИСТ К2'!X35*СПРАВОЧНИК!$L$15+'ПЛАН ЧИСТ К2'!Y35*СПРАВОЧНИК!$M$15+'ПЛАН ЧИСТ К2'!Z35*СПРАВОЧНИК!$N$15</f>
        <v/>
      </c>
      <c r="BA44" s="40">
        <f>('ФАКТ ЧИСТ К2'!B35)*СПРАВОЧНИК!$L$9+('ФАКТ ЧИСТ К2'!C35)*СПРАВОЧНИК!$M$9+('ФАКТ ЧИСТ К2'!D35)*СПРАВОЧНИК!$N$9+('ФАКТ ЧИСТ К2'!E35)*СПРАВОЧНИК!$O$9+('ФАКТ ЧИСТ К2'!F35)*СПРАВОЧНИК!$L$10+('ФАКТ ЧИСТ К2'!G35)*СПРАВОЧНИК!$M$10+('ФАКТ ЧИСТ К2'!H35)*СПРАВОЧНИК!$N$10+('ФАКТ ЧИСТ К2'!I35)*СПРАВОЧНИК!$O$10+('ФАКТ ЧИСТ К2'!J35)*СПРАВОЧНИК!$L$11+('ФАКТ ЧИСТ К2'!K35)*СПРАВОЧНИК!$M$11+('ФАКТ ЧИСТ К2'!L35)*СПРАВОЧНИК!$N$11+('ФАКТ ЧИСТ К2'!M35)*СПРАВОЧНИК!$L$12+('ФАКТ ЧИСТ К2'!N35)*СПРАВОЧНИК!$M$12+('ФАКТ ЧИСТ К2'!O35)*СПРАВОЧНИК!$N$12+('ФАКТ ЧИСТ К2'!P35)*СПРАВОЧНИК!$O$12+('ФАКТ ЧИСТ К2'!Q35)*СПРАВОЧНИК!$L$13+('ФАКТ ЧИСТ К2'!R35)*СПРАВОЧНИК!$M$13+('ФАКТ ЧИСТ К2'!S35)*СПРАВОЧНИК!$N$13+('ФАКТ ЧИСТ К2'!T35)*СПРАВОЧНИК!$O$13+('ФАКТ ЧИСТ К2'!U35)*СПРАВОЧНИК!$L$14+('ФАКТ ЧИСТ К2'!V35)*СПРАВОЧНИК!$M$14+('ФАКТ ЧИСТ К2'!W35)*СПРАВОЧНИК!$N$14+('ФАКТ ЧИСТ К2'!X35)*СПРАВОЧНИК!$L$15+('ФАКТ ЧИСТ К2'!Y35)*СПРАВОЧНИК!$M$15+('ФАКТ ЧИСТ К2'!Z35)*СПРАВОЧНИК!$N$15</f>
        <v/>
      </c>
      <c r="BE44" s="18">
        <f>BE43+7</f>
        <v/>
      </c>
      <c r="BF44" s="37">
        <f>СПРАВОЧНИК!$E$9*('ПЛАН ЧЕРН К3'!B35*СПРАВОЧНИК!$H$9+'ПЛАН ЧЕРН К3'!C35*СПРАВОЧНИК!$I$9+'ПЛАН ЧЕРН К3'!D35*СПРАВОЧНИК!$J$9)+СПРАВОЧНИК!$E$10*('ПЛАН ЧЕРН К3'!E35*СПРАВОЧНИК!$H$10+'ПЛАН ЧЕРН К3'!F35*СПРАВОЧНИК!$I$10+'ПЛАН ЧЕРН К3'!G35*СПРАВОЧНИК!$J$10)+СПРАВОЧНИК!$E$11*('ПЛАН ЧЕРН К3'!H35*СПРАВОЧНИК!$H$11+'ПЛАН ЧЕРН К3'!I35*СПРАВОЧНИК!$I$11+'ПЛАН ЧЕРН К3'!J35*СПРАВОЧНИК!$J$11)+СПРАВОЧНИК!$E$12*('ПЛАН ЧЕРН К3'!K35*СПРАВОЧНИК!$H$12+'ПЛАН ЧЕРН К3'!L35*СПРАВОЧНИК!$I$12+'ПЛАН ЧЕРН К3'!M35*СПРАВОЧНИК!$J$12)+СПРАВОЧНИК!$E$13*('ПЛАН ЧЕРН К3'!N35*СПРАВОЧНИК!$H$13+'ПЛАН ЧЕРН К3'!O35*СПРАВОЧНИК!$I$13+'ПЛАН ЧЕРН К3'!P35*СПРАВОЧНИК!$J$13)+СПРАВОЧНИК!$E$14*('ПЛАН ЧЕРН К3'!Q35*СПРАВОЧНИК!$H$14+'ПЛАН ЧЕРН К3'!R35*СПРАВОЧНИК!$I$14+'ПЛАН ЧЕРН К3'!S35*СПРАВОЧНИК!$J$14)+СПРАВОЧНИК!$E$15*('ПЛАН ЧЕРН К3'!T35*СПРАВОЧНИК!$H$15+'ПЛАН ЧЕРН К3'!U35*СПРАВОЧНИК!$I$15+'ПЛАН ЧЕРН К3'!V35*СПРАВОЧНИК!$J$15)+СПРАВОЧНИК!$F$9*('ПЛАН ЧИСТ К3'!B35*СПРАВОЧНИК!$L$9+'ПЛАН ЧИСТ К3'!C35*СПРАВОЧНИК!$M$9+'ПЛАН ЧИСТ К3'!D35*СПРАВОЧНИК!$N$9+'ПЛАН ЧИСТ К3'!E35*СПРАВОЧНИК!$O$9)+СПРАВОЧНИК!$F$10*('ПЛАН ЧИСТ К3'!F35*СПРАВОЧНИК!$L$10+'ПЛАН ЧИСТ К3'!G35*СПРАВОЧНИК!$M$10+'ПЛАН ЧИСТ К3'!H35*СПРАВОЧНИК!$N$10+'ПЛАН ЧИСТ К3'!I35*СПРАВОЧНИК!$O$10)+СПРАВОЧНИК!$F$11*('ПЛАН ЧИСТ К3'!J35*СПРАВОЧНИК!$L$11+'ПЛАН ЧИСТ К3'!K35*СПРАВОЧНИК!$M$11+'ПЛАН ЧИСТ К3'!L35*СПРАВОЧНИК!$N$11)+СПРАВОЧНИК!$F$12*('ПЛАН ЧИСТ К3'!M35*СПРАВОЧНИК!$L$12+'ПЛАН ЧИСТ К3'!N35*СПРАВОЧНИК!$M$12+'ПЛАН ЧИСТ К3'!O35*СПРАВОЧНИК!$N$12+'ПЛАН ЧИСТ К3'!P35*СПРАВОЧНИК!$O$12)+СПРАВОЧНИК!$F$13*('ПЛАН ЧИСТ К3'!Q35*СПРАВОЧНИК!$L$13+'ПЛАН ЧИСТ К3'!R35*СПРАВОЧНИК!$M$13+'ПЛАН ЧИСТ К3'!S35*СПРАВОЧНИК!$N$13+'ПЛАН ЧИСТ К3'!T35*СПРАВОЧНИК!$O$13)+СПРАВОЧНИК!$F$14*('ПЛАН ЧИСТ К3'!U35*СПРАВОЧНИК!$L$14+'ПЛАН ЧИСТ К3'!V35*СПРАВОЧНИК!$M$14+'ПЛАН ЧИСТ К3'!W35*СПРАВОЧНИК!$N$14)+СПРАВОЧНИК!$F$15*('ПЛАН ЧИСТ К3'!X35*СПРАВОЧНИК!$L$15+'ПЛАН ЧИСТ К3'!Y35*СПРАВОЧНИК!$M$15+'ПЛАН ЧИСТ К3'!Z35*СПРАВОЧНИК!$N$15)</f>
        <v/>
      </c>
      <c r="BG44" s="40">
        <f>СПРАВОЧНИК!$E$9*(('ФАКТ ЧЕРН К3'!B35)*СПРАВОЧНИК!$H$9+('ФАКТ ЧЕРН К3'!C35)*СПРАВОЧНИК!$I$9+('ФАКТ ЧЕРН К3'!D35)*СПРАВОЧНИК!$J$9)+СПРАВОЧНИК!$E$10*(('ФАКТ ЧЕРН К3'!E35)*СПРАВОЧНИК!$H$10+('ФАКТ ЧЕРН К3'!F35)*СПРАВОЧНИК!$I$10+('ФАКТ ЧЕРН К3'!G35)*СПРАВОЧНИК!$J$10)+СПРАВОЧНИК!$E$11*(('ФАКТ ЧЕРН К3'!H35)*СПРАВОЧНИК!$H$11+('ФАКТ ЧЕРН К3'!I35)*СПРАВОЧНИК!$I$11+('ФАКТ ЧЕРН К3'!J35)*СПРАВОЧНИК!$J$11)+СПРАВОЧНИК!$E$12*(('ФАКТ ЧЕРН К3'!K35)*СПРАВОЧНИК!$H$12+('ФАКТ ЧЕРН К3'!L35)*СПРАВОЧНИК!$I$12+('ФАКТ ЧЕРН К3'!M35)*СПРАВОЧНИК!$J$12)+СПРАВОЧНИК!$E$13*(('ФАКТ ЧЕРН К3'!N35)*СПРАВОЧНИК!$H$13+('ФАКТ ЧЕРН К3'!O35)*СПРАВОЧНИК!$I$13+('ФАКТ ЧЕРН К3'!P35)*СПРАВОЧНИК!$J$13)+СПРАВОЧНИК!$E$14*(('ФАКТ ЧЕРН К3'!Q35)*СПРАВОЧНИК!$H$14+('ФАКТ ЧЕРН К3'!R35)*СПРАВОЧНИК!$I$14+('ФАКТ ЧЕРН К3'!S35)*СПРАВОЧНИК!$J$14)+СПРАВОЧНИК!$E$15*(('ФАКТ ЧЕРН К3'!T35)*СПРАВОЧНИК!$H$15+('ФАКТ ЧЕРН К3'!U35)*СПРАВОЧНИК!$I$15+('ФАКТ ЧЕРН К3'!V35)*СПРАВОЧНИК!$J$15)+СПРАВОЧНИК!$F$9*(('ФАКТ ЧИСТ К3'!B35)*СПРАВОЧНИК!$L$9+('ФАКТ ЧИСТ К3'!C35)*СПРАВОЧНИК!$M$9+('ФАКТ ЧИСТ К3'!D35)*СПРАВОЧНИК!$N$9+('ФАКТ ЧИСТ К3'!E35)*СПРАВОЧНИК!$O$9)+СПРАВОЧНИК!$F$10*(('ФАКТ ЧИСТ К3'!F35)*СПРАВОЧНИК!$L$10+('ФАКТ ЧИСТ К3'!G35)*СПРАВОЧНИК!$M$10+('ФАКТ ЧИСТ К3'!H35)*СПРАВОЧНИК!$N$10+('ФАКТ ЧИСТ К3'!I35)*СПРАВОЧНИК!$O$10)+СПРАВОЧНИК!$F$11*(('ФАКТ ЧИСТ К3'!J35)*СПРАВОЧНИК!$L$11+('ФАКТ ЧИСТ К3'!K35)*СПРАВОЧНИК!$M$11+('ФАКТ ЧИСТ К3'!L35)*СПРАВОЧНИК!$N$11)+СПРАВОЧНИК!$F$12*(('ФАКТ ЧИСТ К3'!M35)*СПРАВОЧНИК!$L$12+('ФАКТ ЧИСТ К3'!N35)*СПРАВОЧНИК!$M$12+('ФАКТ ЧИСТ К3'!O35)*СПРАВОЧНИК!$N$12+('ФАКТ ЧИСТ К3'!P35)*СПРАВОЧНИК!$O$12)+СПРАВОЧНИК!$F$13*(('ФАКТ ЧИСТ К3'!Q35)*СПРАВОЧНИК!$L$13+('ФАКТ ЧИСТ К3'!R35)*СПРАВОЧНИК!$M$13+('ФАКТ ЧИСТ К3'!S35)*СПРАВОЧНИК!$N$13+('ФАКТ ЧИСТ К3'!T35)*СПРАВОЧНИК!$O$13)+СПРАВОЧНИК!$F$14*(('ФАКТ ЧИСТ К3'!U35)*СПРАВОЧНИК!$L$14+('ФАКТ ЧИСТ К3'!V35)*СПРАВОЧНИК!$M$14+('ФАКТ ЧИСТ К3'!W35)*СПРАВОЧНИК!$N$14)+СПРАВОЧНИК!$F$15*(('ФАКТ ЧИСТ К3'!X35)*СПРАВОЧНИК!$L$15+('ФАКТ ЧИСТ К3'!Y35)*СПРАВОЧНИК!$M$15+('ФАКТ ЧИСТ К3'!Z35)*СПРАВОЧНИК!$N$15)</f>
        <v/>
      </c>
      <c r="BK44" s="18">
        <f>BK43+7</f>
        <v/>
      </c>
      <c r="BL44" s="37">
        <f>'ПЛАН ЧЕРН К3'!B35*СПРАВОЧНИК!$H$9+'ПЛАН ЧЕРН К3'!C35*СПРАВОЧНИК!$I$9+'ПЛАН ЧЕРН К3'!D35*СПРАВОЧНИК!$J$9+'ПЛАН ЧЕРН К3'!E35*СПРАВОЧНИК!$H$10+'ПЛАН ЧЕРН К3'!F35*СПРАВОЧНИК!$I$10+'ПЛАН ЧЕРН К3'!G35*СПРАВОЧНИК!$J$10+'ПЛАН ЧЕРН К3'!H35*СПРАВОЧНИК!$H$11+'ПЛАН ЧЕРН К3'!I35*СПРАВОЧНИК!$I$11+'ПЛАН ЧЕРН К3'!J35*СПРАВОЧНИК!$J$11+'ПЛАН ЧЕРН К3'!K35*СПРАВОЧНИК!$H$12+'ПЛАН ЧЕРН К3'!L35*СПРАВОЧНИК!$I$12+'ПЛАН ЧЕРН К3'!M35*СПРАВОЧНИК!$J$12+'ПЛАН ЧЕРН К3'!N35*СПРАВОЧНИК!$H$13+'ПЛАН ЧЕРН К3'!O35*СПРАВОЧНИК!$I$13+'ПЛАН ЧЕРН К3'!P35*СПРАВОЧНИК!$J$13+'ПЛАН ЧЕРН К3'!Q35*СПРАВОЧНИК!$H$14+'ПЛАН ЧЕРН К3'!R35*СПРАВОЧНИК!$I$14+'ПЛАН ЧЕРН К3'!S35*СПРАВОЧНИК!$J$14+'ПЛАН ЧЕРН К3'!T35*СПРАВОЧНИК!$H$15+'ПЛАН ЧЕРН К3'!U35*СПРАВОЧНИК!$I$15+'ПЛАН ЧЕРН К3'!V35*СПРАВОЧНИК!$J$15</f>
        <v/>
      </c>
      <c r="BM44" s="40">
        <f>('ФАКТ ЧЕРН К3'!B35)*СПРАВОЧНИК!$H$9+('ФАКТ ЧЕРН К3'!C35)*СПРАВОЧНИК!$I$9+('ФАКТ ЧЕРН К3'!D35)*СПРАВОЧНИК!$J$9+('ФАКТ ЧЕРН К3'!E35)*СПРАВОЧНИК!$H$10+('ФАКТ ЧЕРН К3'!F35)*СПРАВОЧНИК!$I$10+('ФАКТ ЧЕРН К3'!G35)*СПРАВОЧНИК!$J$10+('ФАКТ ЧЕРН К3'!H35)*СПРАВОЧНИК!$H$11+('ФАКТ ЧЕРН К3'!I35)*СПРАВОЧНИК!$I$11+('ФАКТ ЧЕРН К3'!J35)*СПРАВОЧНИК!$J$11+('ФАКТ ЧЕРН К3'!K35)*СПРАВОЧНИК!$H$12+('ФАКТ ЧЕРН К3'!L35)*СПРАВОЧНИК!$I$12+('ФАКТ ЧЕРН К3'!M35)*СПРАВОЧНИК!$J$12+('ФАКТ ЧЕРН К3'!N35)*СПРАВОЧНИК!$H$13+('ФАКТ ЧЕРН К3'!O35)*СПРАВОЧНИК!$I$13+('ФАКТ ЧЕРН К3'!P35)*СПРАВОЧНИК!$J$13+('ФАКТ ЧЕРН К3'!Q35)*СПРАВОЧНИК!$H$14+('ФАКТ ЧЕРН К3'!R35)*СПРАВОЧНИК!$I$14+('ФАКТ ЧЕРН К3'!S35)*СПРАВОЧНИК!$J$14+('ФАКТ ЧЕРН К3'!T35)*СПРАВОЧНИК!$H$15+('ФАКТ ЧЕРН К3'!U35)*СПРАВОЧНИК!$I$15+('ФАКТ ЧЕРН К3'!V35)*СПРАВОЧНИК!$J$15</f>
        <v/>
      </c>
      <c r="BQ44" s="18">
        <f>BQ43+7</f>
        <v/>
      </c>
      <c r="BR44" s="37">
        <f>'ПЛАН ЧИСТ К3'!B35*СПРАВОЧНИК!$L$9+'ПЛАН ЧИСТ К3'!C35*СПРАВОЧНИК!$M$9+'ПЛАН ЧИСТ К3'!D35*СПРАВОЧНИК!$N$9+'ПЛАН ЧИСТ К3'!E35*СПРАВОЧНИК!$O$9+'ПЛАН ЧИСТ К3'!F35*СПРАВОЧНИК!$L$10+'ПЛАН ЧИСТ К3'!G35*СПРАВОЧНИК!$M$10+'ПЛАН ЧИСТ К3'!H35*СПРАВОЧНИК!$N$10+'ПЛАН ЧИСТ К3'!I35*СПРАВОЧНИК!$O$10+'ПЛАН ЧИСТ К3'!J35*СПРАВОЧНИК!$L$11+'ПЛАН ЧИСТ К3'!K35*СПРАВОЧНИК!$M$11+'ПЛАН ЧИСТ К3'!L35*СПРАВОЧНИК!$N$11+'ПЛАН ЧИСТ К3'!M35*СПРАВОЧНИК!$L$12+'ПЛАН ЧИСТ К3'!N35*СПРАВОЧНИК!$M$12+'ПЛАН ЧИСТ К3'!O35*СПРАВОЧНИК!$N$12+'ПЛАН ЧИСТ К3'!P35*СПРАВОЧНИК!$O$12+'ПЛАН ЧИСТ К3'!Q35*СПРАВОЧНИК!$L$13+'ПЛАН ЧИСТ К3'!R35*СПРАВОЧНИК!$M$13+'ПЛАН ЧИСТ К3'!S35*СПРАВОЧНИК!$N$13+'ПЛАН ЧИСТ К3'!T35*СПРАВОЧНИК!$O$13+'ПЛАН ЧИСТ К3'!U35*СПРАВОЧНИК!$L$14+'ПЛАН ЧИСТ К3'!V35*СПРАВОЧНИК!$M$14+'ПЛАН ЧИСТ К3'!W35*СПРАВОЧНИК!$N$14+'ПЛАН ЧИСТ К3'!X35*СПРАВОЧНИК!$L$15+'ПЛАН ЧИСТ К3'!Y35*СПРАВОЧНИК!$M$15+'ПЛАН ЧИСТ К3'!Z35*СПРАВОЧНИК!$N$15</f>
        <v/>
      </c>
      <c r="BS44" s="40">
        <f>('ФАКТ ЧИСТ К3'!B35)*СПРАВОЧНИК!$L$9+('ФАКТ ЧИСТ К3'!C35)*СПРАВОЧНИК!$M$9+('ФАКТ ЧИСТ К3'!D35)*СПРАВОЧНИК!$N$9+('ФАКТ ЧИСТ К3'!E35)*СПРАВОЧНИК!$O$9+('ФАКТ ЧИСТ К3'!F35)*СПРАВОЧНИК!$L$10+('ФАКТ ЧИСТ К3'!G35)*СПРАВОЧНИК!$M$10+('ФАКТ ЧИСТ К3'!H35)*СПРАВОЧНИК!$N$10+('ФАКТ ЧИСТ К3'!I35)*СПРАВОЧНИК!$O$10+('ФАКТ ЧИСТ К3'!J35)*СПРАВОЧНИК!$L$11+('ФАКТ ЧИСТ К3'!K35)*СПРАВОЧНИК!$M$11+('ФАКТ ЧИСТ К3'!L35)*СПРАВОЧНИК!$N$11+('ФАКТ ЧИСТ К3'!M35)*СПРАВОЧНИК!$L$12+('ФАКТ ЧИСТ К3'!N35)*СПРАВОЧНИК!$M$12+('ФАКТ ЧИСТ К3'!O35)*СПРАВОЧНИК!$N$12+('ФАКТ ЧИСТ К3'!P35)*СПРАВОЧНИК!$O$12+('ФАКТ ЧИСТ К3'!Q35)*СПРАВОЧНИК!$L$13+('ФАКТ ЧИСТ К3'!R35)*СПРАВОЧНИК!$M$13+('ФАКТ ЧИСТ К3'!S35)*СПРАВОЧНИК!$N$13+('ФАКТ ЧИСТ К3'!T35)*СПРАВОЧНИК!$O$13+('ФАКТ ЧИСТ К3'!U35)*СПРАВОЧНИК!$L$14+('ФАКТ ЧИСТ К3'!V35)*СПРАВОЧНИК!$M$14+('ФАКТ ЧИСТ К3'!W35)*СПРАВОЧНИК!$N$14+('ФАКТ ЧИСТ К3'!X35)*СПРАВОЧНИК!$L$15+('ФАКТ ЧИСТ К3'!Y35)*СПРАВОЧНИК!$M$15+('ФАКТ ЧИСТ К3'!Z35)*СПРАВОЧНИК!$N$15</f>
        <v/>
      </c>
      <c r="BW44" s="18">
        <f>BW43+7</f>
        <v/>
      </c>
      <c r="BX44" s="37">
        <f>V44+AN44+BF44</f>
        <v/>
      </c>
      <c r="BY44" s="40">
        <f>W44+AO44+BG44</f>
        <v/>
      </c>
      <c r="CC44" s="18">
        <f>CC43+7</f>
        <v/>
      </c>
      <c r="CD44" s="37">
        <f>AB44+AT44+BL44</f>
        <v/>
      </c>
      <c r="CE44" s="40">
        <f>AC44+AU44+BM44</f>
        <v/>
      </c>
      <c r="CI44" s="18">
        <f>CI43+7</f>
        <v/>
      </c>
      <c r="CJ44" s="37">
        <f>AH44+AZ44+BR44</f>
        <v/>
      </c>
      <c r="CK44" s="40">
        <f>AI44+BA44+BS44</f>
        <v/>
      </c>
      <c r="CO44" s="18">
        <f>CO43+7</f>
        <v/>
      </c>
      <c r="CP44" s="37">
        <f>D44+BX44</f>
        <v/>
      </c>
      <c r="CQ44" s="40">
        <f>E44+BY44</f>
        <v/>
      </c>
      <c r="CU44" s="18">
        <f>CU43+7</f>
        <v/>
      </c>
      <c r="CV44" s="37">
        <f>J44+CD44</f>
        <v/>
      </c>
      <c r="CW44" s="40">
        <f>K44+CE44</f>
        <v/>
      </c>
      <c r="DA44" s="18">
        <f>DA43+7</f>
        <v/>
      </c>
      <c r="DB44" s="37">
        <f>P44+CJ44</f>
        <v/>
      </c>
      <c r="DC44" s="40">
        <f>Q44+CK44</f>
        <v/>
      </c>
    </row>
    <row r="45">
      <c r="C45" s="18">
        <f>C44+7</f>
        <v/>
      </c>
      <c r="D45" s="37">
        <f>СПРАВОЧНИК!$E$3*('ПЛАН ЧЕРН ПОДЗЕМ'!B36*СПРАВОЧНИК!$H$3+'ПЛАН ЧЕРН ПОДЗЕМ'!C36*СПРАВОЧНИК!$I$3+'ПЛАН ЧЕРН ПОДЗЕМ'!D36*СПРАВОЧНИК!$J$3)+СПРАВОЧНИК!$E$4*('ПЛАН ЧЕРН ПОДЗЕМ'!E36*СПРАВОЧНИК!$H$4+'ПЛАН ЧЕРН ПОДЗЕМ'!F36*СПРАВОЧНИК!$I$4+'ПЛАН ЧЕРН ПОДЗЕМ'!G36*СПРАВОЧНИК!$J$4)+СПРАВОЧНИК!$E$5*('ПЛАН ЧЕРН ПОДЗЕМ'!H36*СПРАВОЧНИК!$H$5+'ПЛАН ЧЕРН ПОДЗЕМ'!I36*СПРАВОЧНИК!$I$5+'ПЛАН ЧЕРН ПОДЗЕМ'!J36*СПРАВОЧНИК!$J$5)+СПРАВОЧНИК!$E$6*('ПЛАН ЧЕРН ПОДЗЕМ'!K36*СПРАВОЧНИК!$H$6+'ПЛАН ЧЕРН ПОДЗЕМ'!L36*СПРАВОЧНИК!$I$6+'ПЛАН ЧЕРН ПОДЗЕМ'!M36*СПРАВОЧНИК!$J$6)+СПРАВОЧНИК!$E$7*('ПЛАН ЧЕРН ПОДЗЕМ'!N36*СПРАВОЧНИК!$H$7+'ПЛАН ЧЕРН ПОДЗЕМ'!O36*СПРАВОЧНИК!$I$7+'ПЛАН ЧЕРН ПОДЗЕМ'!P36*СПРАВОЧНИК!$J$7)+СПРАВОЧНИК!$E$8*('ПЛАН ЧЕРН ПОДЗЕМ'!Q36*СПРАВОЧНИК!$H$8+'ПЛАН ЧЕРН ПОДЗЕМ'!R36*СПРАВОЧНИК!$I$8+'ПЛАН ЧЕРН ПОДЗЕМ'!S36*СПРАВОЧНИК!$J$8)+СПРАВОЧНИК!$F$3*('ПЛАН ЧИСТ ПОДЗЕМ'!B36*СПРАВОЧНИК!$L$3+'ПЛАН ЧИСТ ПОДЗЕМ'!C36*СПРАВОЧНИК!$M$3+'ПЛАН ЧИСТ ПОДЗЕМ'!D36*СПРАВОЧНИК!$N$3+'ПЛАН ЧИСТ ПОДЗЕМ'!E36*СПРАВОЧНИК!$O$3)+СПРАВОЧНИК!$F$4*('ПЛАН ЧИСТ ПОДЗЕМ'!F36*СПРАВОЧНИК!$L$4+'ПЛАН ЧИСТ ПОДЗЕМ'!G36*СПРАВОЧНИК!$M$4+'ПЛАН ЧИСТ ПОДЗЕМ'!H36*СПРАВОЧНИК!$N$4+'ПЛАН ЧИСТ ПОДЗЕМ'!I36*СПРАВОЧНИК!$O$4)+СПРАВОЧНИК!$F$5*('ПЛАН ЧИСТ ПОДЗЕМ'!J36*СПРАВОЧНИК!$L$5+'ПЛАН ЧИСТ ПОДЗЕМ'!K36*СПРАВОЧНИК!$M$5+'ПЛАН ЧИСТ ПОДЗЕМ'!L36*СПРАВОЧНИК!$N$5)+СПРАВОЧНИК!$F$6*('ПЛАН ЧИСТ ПОДЗЕМ'!M36*СПРАВОЧНИК!$L$6+'ПЛАН ЧИСТ ПОДЗЕМ'!N36*СПРАВОЧНИК!$M$6+'ПЛАН ЧИСТ ПОДЗЕМ'!O36*СПРАВОЧНИК!$N$6+'ПЛАН ЧИСТ ПОДЗЕМ'!P36*СПРАВОЧНИК!$O$6)+СПРАВОЧНИК!$F$7*('ПЛАН ЧИСТ ПОДЗЕМ'!Q36*СПРАВОЧНИК!$L$7+'ПЛАН ЧИСТ ПОДЗЕМ'!R36*СПРАВОЧНИК!$M$7+'ПЛАН ЧИСТ ПОДЗЕМ'!S36*СПРАВОЧНИК!$N$7+'ПЛАН ЧИСТ ПОДЗЕМ'!T36*СПРАВОЧНИК!$O$7)+СПРАВОЧНИК!$F$8*('ПЛАН ЧИСТ ПОДЗЕМ'!U36*СПРАВОЧНИК!$L$8+'ПЛАН ЧИСТ ПОДЗЕМ'!V36*СПРАВОЧНИК!$M$8+'ПЛАН ЧИСТ ПОДЗЕМ'!W36*СПРАВОЧНИК!$N$8)</f>
        <v/>
      </c>
      <c r="E45" s="40">
        <f>СПРАВОЧНИК!$E$3*(('ФАКТ ЧЕРН ПОДЗЕМ'!B36)*СПРАВОЧНИК!$H$3+('ФАКТ ЧЕРН ПОДЗЕМ'!C36)*СПРАВОЧНИК!$I$3+('ФАКТ ЧЕРН ПОДЗЕМ'!D36)*СПРАВОЧНИК!$J$3)+СПРАВОЧНИК!$E$4*(('ФАКТ ЧЕРН ПОДЗЕМ'!E36)*СПРАВОЧНИК!$H$4+('ФАКТ ЧЕРН ПОДЗЕМ'!F36)*СПРАВОЧНИК!$I$4+('ФАКТ ЧЕРН ПОДЗЕМ'!G36)*СПРАВОЧНИК!$J$4)+СПРАВОЧНИК!$E$5*(('ФАКТ ЧЕРН ПОДЗЕМ'!H36)*СПРАВОЧНИК!$H$5+('ФАКТ ЧЕРН ПОДЗЕМ'!I36)*СПРАВОЧНИК!$I$5+('ФАКТ ЧЕРН ПОДЗЕМ'!J36)*СПРАВОЧНИК!$J$5)+СПРАВОЧНИК!$E$6*(('ФАКТ ЧЕРН ПОДЗЕМ'!K36)*СПРАВОЧНИК!$H$6+('ФАКТ ЧЕРН ПОДЗЕМ'!L36)*СПРАВОЧНИК!$I$6+('ФАКТ ЧЕРН ПОДЗЕМ'!M36)*СПРАВОЧНИК!$J$6)+СПРАВОЧНИК!$E$7*(('ФАКТ ЧЕРН ПОДЗЕМ'!N36)*СПРАВОЧНИК!$H$7+('ФАКТ ЧЕРН ПОДЗЕМ'!O36)*СПРАВОЧНИК!$I$7+('ФАКТ ЧЕРН ПОДЗЕМ'!P36)*СПРАВОЧНИК!$J$7)+СПРАВОЧНИК!$E$8*(('ФАКТ ЧЕРН ПОДЗЕМ'!Q36)*СПРАВОЧНИК!$H$8+('ФАКТ ЧЕРН ПОДЗЕМ'!R36)*СПРАВОЧНИК!$I$8+('ФАКТ ЧЕРН ПОДЗЕМ'!S36)*СПРАВОЧНИК!$J$8)+СПРАВОЧНИК!$F$3*(('ФАКТ ЧИСТ ПОДЗЕМ'!B36)*СПРАВОЧНИК!$L$3+('ФАКТ ЧИСТ ПОДЗЕМ'!C36)*СПРАВОЧНИК!$M$3+('ФАКТ ЧИСТ ПОДЗЕМ'!D36)*СПРАВОЧНИК!$N$3+('ФАКТ ЧИСТ ПОДЗЕМ'!E36)*СПРАВОЧНИК!$O$3)+СПРАВОЧНИК!$F$4*(('ФАКТ ЧИСТ ПОДЗЕМ'!F36)*СПРАВОЧНИК!$L$4+('ФАКТ ЧИСТ ПОДЗЕМ'!G36)*СПРАВОЧНИК!$M$4+('ФАКТ ЧИСТ ПОДЗЕМ'!H36)*СПРАВОЧНИК!$N$4+('ФАКТ ЧИСТ ПОДЗЕМ'!I36)*СПРАВОЧНИК!$O$4)+СПРАВОЧНИК!$F$5*(('ФАКТ ЧИСТ ПОДЗЕМ'!J36)*СПРАВОЧНИК!$L$5+('ФАКТ ЧИСТ ПОДЗЕМ'!K36)*СПРАВОЧНИК!$M$5+('ФАКТ ЧИСТ ПОДЗЕМ'!L36)*СПРАВОЧНИК!$N$5)+СПРАВОЧНИК!$F$6*(('ФАКТ ЧИСТ ПОДЗЕМ'!M36)*СПРАВОЧНИК!$L$6+('ФАКТ ЧИСТ ПОДЗЕМ'!N36)*СПРАВОЧНИК!$M$6+('ФАКТ ЧИСТ ПОДЗЕМ'!O36)*СПРАВОЧНИК!$N$6+('ФАКТ ЧИСТ ПОДЗЕМ'!P36)*СПРАВОЧНИК!$O$6)+СПРАВОЧНИК!$F$7*(('ФАКТ ЧИСТ ПОДЗЕМ'!Q36)*СПРАВОЧНИК!$L$7+('ФАКТ ЧИСТ ПОДЗЕМ'!R36)*СПРАВОЧНИК!$M$7+('ФАКТ ЧИСТ ПОДЗЕМ'!S36)*СПРАВОЧНИК!$N$7+('ФАКТ ЧИСТ ПОДЗЕМ'!T36)*СПРАВОЧНИК!$O$7)+СПРАВОЧНИК!$F$8*(('ФАКТ ЧИСТ ПОДЗЕМ'!U36)*СПРАВОЧНИК!$L$8+('ФАКТ ЧИСТ ПОДЗЕМ'!V36)*СПРАВОЧНИК!$M$8+('ФАКТ ЧИСТ ПОДЗЕМ'!W36)*СПРАВОЧНИК!$N$8)</f>
        <v/>
      </c>
      <c r="I45" s="18">
        <f>I44+7</f>
        <v/>
      </c>
      <c r="J45" s="37">
        <f>'ПЛАН ЧЕРН ПОДЗЕМ'!B36*СПРАВОЧНИК!$H$3+'ПЛАН ЧЕРН ПОДЗЕМ'!C36*СПРАВОЧНИК!$I$3+'ПЛАН ЧЕРН ПОДЗЕМ'!D36*СПРАВОЧНИК!$J$3+'ПЛАН ЧЕРН ПОДЗЕМ'!E36*СПРАВОЧНИК!$H$4+'ПЛАН ЧЕРН ПОДЗЕМ'!F36*СПРАВОЧНИК!$I$4+'ПЛАН ЧЕРН ПОДЗЕМ'!G36*СПРАВОЧНИК!$J$4+'ПЛАН ЧЕРН ПОДЗЕМ'!H36*СПРАВОЧНИК!$H$5+'ПЛАН ЧЕРН ПОДЗЕМ'!I36*СПРАВОЧНИК!$I$5+'ПЛАН ЧЕРН ПОДЗЕМ'!J36*СПРАВОЧНИК!$J$5+'ПЛАН ЧЕРН ПОДЗЕМ'!K36*СПРАВОЧНИК!$H$6+'ПЛАН ЧЕРН ПОДЗЕМ'!L36*СПРАВОЧНИК!$I$6+'ПЛАН ЧЕРН ПОДЗЕМ'!M36*СПРАВОЧНИК!$J$6+'ПЛАН ЧЕРН ПОДЗЕМ'!N36*СПРАВОЧНИК!$H$7+'ПЛАН ЧЕРН ПОДЗЕМ'!O36*СПРАВОЧНИК!$I$7+'ПЛАН ЧЕРН ПОДЗЕМ'!P36*СПРАВОЧНИК!$J$7+'ПЛАН ЧЕРН ПОДЗЕМ'!Q36*СПРАВОЧНИК!$H$8+'ПЛАН ЧЕРН ПОДЗЕМ'!R36*СПРАВОЧНИК!$I$8+'ПЛАН ЧЕРН ПОДЗЕМ'!S36*СПРАВОЧНИК!$J$8</f>
        <v/>
      </c>
      <c r="K45" s="40">
        <f>('ФАКТ ЧЕРН ПОДЗЕМ'!B36)*СПРАВОЧНИК!$H$3+('ФАКТ ЧЕРН ПОДЗЕМ'!C36)*СПРАВОЧНИК!$I$3+('ФАКТ ЧЕРН ПОДЗЕМ'!D36)*СПРАВОЧНИК!$J$3+('ФАКТ ЧЕРН ПОДЗЕМ'!E36)*СПРАВОЧНИК!$H$4+('ФАКТ ЧЕРН ПОДЗЕМ'!F36)*СПРАВОЧНИК!$I$4+('ФАКТ ЧЕРН ПОДЗЕМ'!G36)*СПРАВОЧНИК!$J$4+('ФАКТ ЧЕРН ПОДЗЕМ'!H36)*СПРАВОЧНИК!$H$5+('ФАКТ ЧЕРН ПОДЗЕМ'!I36)*СПРАВОЧНИК!$I$5+('ФАКТ ЧЕРН ПОДЗЕМ'!J36)*СПРАВОЧНИК!$J$5+('ФАКТ ЧЕРН ПОДЗЕМ'!K36)*СПРАВОЧНИК!$H$6+('ФАКТ ЧЕРН ПОДЗЕМ'!L36)*СПРАВОЧНИК!$I$6+('ФАКТ ЧЕРН ПОДЗЕМ'!M36)*СПРАВОЧНИК!$J$6+('ФАКТ ЧЕРН ПОДЗЕМ'!N36)*СПРАВОЧНИК!$H$7+('ФАКТ ЧЕРН ПОДЗЕМ'!O36)*СПРАВОЧНИК!$I$7+('ФАКТ ЧЕРН ПОДЗЕМ'!P36)*СПРАВОЧНИК!$J$7+('ФАКТ ЧЕРН ПОДЗЕМ'!Q36)*СПРАВОЧНИК!$H$8+('ФАКТ ЧЕРН ПОДЗЕМ'!R36)*СПРАВОЧНИК!$I$8+('ФАКТ ЧЕРН ПОДЗЕМ'!S36)*СПРАВОЧНИК!$J$8</f>
        <v/>
      </c>
      <c r="O45" s="18">
        <f>O44+7</f>
        <v/>
      </c>
      <c r="P45" s="37">
        <f>'ПЛАН ЧИСТ ПОДЗЕМ'!B36*СПРАВОЧНИК!$L$3+'ПЛАН ЧИСТ ПОДЗЕМ'!C36*СПРАВОЧНИК!$M$3+'ПЛАН ЧИСТ ПОДЗЕМ'!D36*СПРАВОЧНИК!$N$3+'ПЛАН ЧИСТ ПОДЗЕМ'!E36*СПРАВОЧНИК!$O$3+'ПЛАН ЧИСТ ПОДЗЕМ'!F36*СПРАВОЧНИК!$L$4+'ПЛАН ЧИСТ ПОДЗЕМ'!G36*СПРАВОЧНИК!$M$4+'ПЛАН ЧИСТ ПОДЗЕМ'!H36*СПРАВОЧНИК!$N$4+'ПЛАН ЧИСТ ПОДЗЕМ'!I36*СПРАВОЧНИК!$O$4+'ПЛАН ЧИСТ ПОДЗЕМ'!J36*СПРАВОЧНИК!$L$5+'ПЛАН ЧИСТ ПОДЗЕМ'!K36*СПРАВОЧНИК!$M$5+'ПЛАН ЧИСТ ПОДЗЕМ'!L36*СПРАВОЧНИК!$N$5+'ПЛАН ЧИСТ ПОДЗЕМ'!M36*СПРАВОЧНИК!$L$6+'ПЛАН ЧИСТ ПОДЗЕМ'!N36*СПРАВОЧНИК!$M$6+'ПЛАН ЧИСТ ПОДЗЕМ'!O36*СПРАВОЧНИК!$N$6+'ПЛАН ЧИСТ ПОДЗЕМ'!P36*СПРАВОЧНИК!$O$6+'ПЛАН ЧИСТ ПОДЗЕМ'!Q36*СПРАВОЧНИК!$L$7+'ПЛАН ЧИСТ ПОДЗЕМ'!R36*СПРАВОЧНИК!$M$7+'ПЛАН ЧИСТ ПОДЗЕМ'!S36*СПРАВОЧНИК!$N$7+'ПЛАН ЧИСТ ПОДЗЕМ'!T36*СПРАВОЧНИК!$O$7+'ПЛАН ЧИСТ ПОДЗЕМ'!U36*СПРАВОЧНИК!$L$8+'ПЛАН ЧИСТ ПОДЗЕМ'!V36*СПРАВОЧНИК!$M$8+'ПЛАН ЧИСТ ПОДЗЕМ'!W36*СПРАВОЧНИК!$N$8</f>
        <v/>
      </c>
      <c r="Q45" s="40">
        <f>('ФАКТ ЧИСТ ПОДЗЕМ'!B36)*СПРАВОЧНИК!$L$3+('ФАКТ ЧИСТ ПОДЗЕМ'!C36)*СПРАВОЧНИК!$M$3+('ФАКТ ЧИСТ ПОДЗЕМ'!D36)*СПРАВОЧНИК!$N$3+('ФАКТ ЧИСТ ПОДЗЕМ'!E36)*СПРАВОЧНИК!$O$3+('ФАКТ ЧИСТ ПОДЗЕМ'!F36)*СПРАВОЧНИК!$L$4+('ФАКТ ЧИСТ ПОДЗЕМ'!G36)*СПРАВОЧНИК!$M$4+('ФАКТ ЧИСТ ПОДЗЕМ'!H36)*СПРАВОЧНИК!$N$4+('ФАКТ ЧИСТ ПОДЗЕМ'!I36)*СПРАВОЧНИК!$O$4+('ФАКТ ЧИСТ ПОДЗЕМ'!J36)*СПРАВОЧНИК!$L$5+('ФАКТ ЧИСТ ПОДЗЕМ'!K36)*СПРАВОЧНИК!$M$5+('ФАКТ ЧИСТ ПОДЗЕМ'!L36)*СПРАВОЧНИК!$N$5+('ФАКТ ЧИСТ ПОДЗЕМ'!M36)*СПРАВОЧНИК!$L$6+('ФАКТ ЧИСТ ПОДЗЕМ'!N36)*СПРАВОЧНИК!$M$6+('ФАКТ ЧИСТ ПОДЗЕМ'!O36)*СПРАВОЧНИК!$N$6+('ФАКТ ЧИСТ ПОДЗЕМ'!P36)*СПРАВОЧНИК!$O$6+('ФАКТ ЧИСТ ПОДЗЕМ'!Q36)*СПРАВОЧНИК!$L$7+('ФАКТ ЧИСТ ПОДЗЕМ'!R36)*СПРАВОЧНИК!$M$7+('ФАКТ ЧИСТ ПОДЗЕМ'!S36)*СПРАВОЧНИК!$N$7+('ФАКТ ЧИСТ ПОДЗЕМ'!T36)*СПРАВОЧНИК!$O$7+('ФАКТ ЧИСТ ПОДЗЕМ'!U36)*СПРАВОЧНИК!$L$8+('ФАКТ ЧИСТ ПОДЗЕМ'!V36)*СПРАВОЧНИК!$M$8+('ФАКТ ЧИСТ ПОДЗЕМ'!W36)*СПРАВОЧНИК!$N$8</f>
        <v/>
      </c>
      <c r="U45" s="18">
        <f>U44+7</f>
        <v/>
      </c>
      <c r="V45" s="37">
        <f>СПРАВОЧНИК!$E$9*('ПЛАН ЧЕРН К1'!B36*СПРАВОЧНИК!$H$9+'ПЛАН ЧЕРН К1'!C36*СПРАВОЧНИК!$I$9+'ПЛАН ЧЕРН К1'!D36*СПРАВОЧНИК!$J$9)+СПРАВОЧНИК!$E$10*('ПЛАН ЧЕРН К1'!E36*СПРАВОЧНИК!$H$10+'ПЛАН ЧЕРН К1'!F36*СПРАВОЧНИК!$I$10+'ПЛАН ЧЕРН К1'!G36*СПРАВОЧНИК!$J$10)+СПРАВОЧНИК!$E$11*('ПЛАН ЧЕРН К1'!H36*СПРАВОЧНИК!$H$11+'ПЛАН ЧЕРН К1'!I36*СПРАВОЧНИК!$I$11+'ПЛАН ЧЕРН К1'!J36*СПРАВОЧНИК!$J$11)+СПРАВОЧНИК!$E$12*('ПЛАН ЧЕРН К1'!K36*СПРАВОЧНИК!$H$12+'ПЛАН ЧЕРН К1'!L36*СПРАВОЧНИК!$I$12+'ПЛАН ЧЕРН К1'!M36*СПРАВОЧНИК!$J$12)+СПРАВОЧНИК!$E$13*('ПЛАН ЧЕРН К1'!N36*СПРАВОЧНИК!$H$13+'ПЛАН ЧЕРН К1'!O36*СПРАВОЧНИК!$I$13+'ПЛАН ЧЕРН К1'!P36*СПРАВОЧНИК!$J$13)+СПРАВОЧНИК!$E$14*('ПЛАН ЧЕРН К1'!Q36*СПРАВОЧНИК!$H$14+'ПЛАН ЧЕРН К1'!R36*СПРАВОЧНИК!$I$14+'ПЛАН ЧЕРН К1'!S36*СПРАВОЧНИК!$J$14)+СПРАВОЧНИК!$E$15*('ПЛАН ЧЕРН К1'!T36*СПРАВОЧНИК!$H$15+'ПЛАН ЧЕРН К1'!U36*СПРАВОЧНИК!$I$15+'ПЛАН ЧЕРН К1'!V36*СПРАВОЧНИК!$J$15)+СПРАВОЧНИК!$F$9*('ПЛАН ЧИСТ К1'!B36*СПРАВОЧНИК!$L$9+'ПЛАН ЧИСТ К1'!C36*СПРАВОЧНИК!$M$9+'ПЛАН ЧИСТ К1'!D36*СПРАВОЧНИК!$N$9+'ПЛАН ЧИСТ К1'!E36*СПРАВОЧНИК!$O$9)+СПРАВОЧНИК!$F$10*('ПЛАН ЧИСТ К1'!F36*СПРАВОЧНИК!$L$10+'ПЛАН ЧИСТ К1'!G36*СПРАВОЧНИК!$M$10+'ПЛАН ЧИСТ К1'!H36*СПРАВОЧНИК!$N$10+'ПЛАН ЧИСТ К1'!I36*СПРАВОЧНИК!$O$10)+СПРАВОЧНИК!$F$11*('ПЛАН ЧИСТ К1'!J36*СПРАВОЧНИК!$L$11+'ПЛАН ЧИСТ К1'!K36*СПРАВОЧНИК!$M$11+'ПЛАН ЧИСТ К1'!L36*СПРАВОЧНИК!$N$11)+СПРАВОЧНИК!$F$12*('ПЛАН ЧИСТ К1'!M36*СПРАВОЧНИК!$L$12+'ПЛАН ЧИСТ К1'!N36*СПРАВОЧНИК!$M$12+'ПЛАН ЧИСТ К1'!O36*СПРАВОЧНИК!$N$12+'ПЛАН ЧИСТ К1'!P36*СПРАВОЧНИК!$O$12)+СПРАВОЧНИК!$F$13*('ПЛАН ЧИСТ К1'!Q36*СПРАВОЧНИК!$L$13+'ПЛАН ЧИСТ К1'!R36*СПРАВОЧНИК!$M$13+'ПЛАН ЧИСТ К1'!S36*СПРАВОЧНИК!$N$13+'ПЛАН ЧИСТ К1'!T36*СПРАВОЧНИК!$O$13)+СПРАВОЧНИК!$F$14*('ПЛАН ЧИСТ К1'!U36*СПРАВОЧНИК!$L$14+'ПЛАН ЧИСТ К1'!V36*СПРАВОЧНИК!$M$14+'ПЛАН ЧИСТ К1'!W36*СПРАВОЧНИК!$N$14)+СПРАВОЧНИК!$F$15*('ПЛАН ЧИСТ К1'!X36*СПРАВОЧНИК!$L$15+'ПЛАН ЧИСТ К1'!Y36*СПРАВОЧНИК!$M$15+'ПЛАН ЧИСТ К1'!Z36*СПРАВОЧНИК!$N$15)</f>
        <v/>
      </c>
      <c r="W45" s="40">
        <f>СПРАВОЧНИК!$E$9*(('ФАКТ ЧЕРН К1'!B36)*СПРАВОЧНИК!$H$9+('ФАКТ ЧЕРН К1'!C36)*СПРАВОЧНИК!$I$9+('ФАКТ ЧЕРН К1'!D36)*СПРАВОЧНИК!$J$9)+СПРАВОЧНИК!$E$10*(('ФАКТ ЧЕРН К1'!E36)*СПРАВОЧНИК!$H$10+('ФАКТ ЧЕРН К1'!F36)*СПРАВОЧНИК!$I$10+('ФАКТ ЧЕРН К1'!G36)*СПРАВОЧНИК!$J$10)+СПРАВОЧНИК!$E$11*(('ФАКТ ЧЕРН К1'!H36)*СПРАВОЧНИК!$H$11+('ФАКТ ЧЕРН К1'!I36)*СПРАВОЧНИК!$I$11+('ФАКТ ЧЕРН К1'!J36)*СПРАВОЧНИК!$J$11)+СПРАВОЧНИК!$E$12*(('ФАКТ ЧЕРН К1'!K36)*СПРАВОЧНИК!$H$12+('ФАКТ ЧЕРН К1'!L36)*СПРАВОЧНИК!$I$12+('ФАКТ ЧЕРН К1'!M36)*СПРАВОЧНИК!$J$12)+СПРАВОЧНИК!$E$13*(('ФАКТ ЧЕРН К1'!N36)*СПРАВОЧНИК!$H$13+('ФАКТ ЧЕРН К1'!O36)*СПРАВОЧНИК!$I$13+('ФАКТ ЧЕРН К1'!P36)*СПРАВОЧНИК!$J$13)+СПРАВОЧНИК!$E$14*(('ФАКТ ЧЕРН К1'!Q36)*СПРАВОЧНИК!$H$14+('ФАКТ ЧЕРН К1'!R36)*СПРАВОЧНИК!$I$14+('ФАКТ ЧЕРН К1'!S36)*СПРАВОЧНИК!$J$14)+СПРАВОЧНИК!$E$15*(('ФАКТ ЧЕРН К1'!T36)*СПРАВОЧНИК!$H$15+('ФАКТ ЧЕРН К1'!U36)*СПРАВОЧНИК!$I$15+('ФАКТ ЧЕРН К1'!V36)*СПРАВОЧНИК!$J$15)+СПРАВОЧНИК!$F$9*(('ФАКТ ЧИСТ К1'!B36)*СПРАВОЧНИК!$L$9+('ФАКТ ЧИСТ К1'!C36)*СПРАВОЧНИК!$M$9+('ФАКТ ЧИСТ К1'!D36)*СПРАВОЧНИК!$N$9+('ФАКТ ЧИСТ К1'!E36)*СПРАВОЧНИК!$O$9)+СПРАВОЧНИК!$F$10*(('ФАКТ ЧИСТ К1'!F36)*СПРАВОЧНИК!$L$10+('ФАКТ ЧИСТ К1'!G36)*СПРАВОЧНИК!$M$10+('ФАКТ ЧИСТ К1'!H36)*СПРАВОЧНИК!$N$10+('ФАКТ ЧИСТ К1'!I36)*СПРАВОЧНИК!$O$10)+СПРАВОЧНИК!$F$11*(('ФАКТ ЧИСТ К1'!J36)*СПРАВОЧНИК!$L$11+('ФАКТ ЧИСТ К1'!K36)*СПРАВОЧНИК!$M$11+('ФАКТ ЧИСТ К1'!L36)*СПРАВОЧНИК!$N$11)+СПРАВОЧНИК!$F$12*(('ФАКТ ЧИСТ К1'!M36)*СПРАВОЧНИК!$L$12+('ФАКТ ЧИСТ К1'!N36)*СПРАВОЧНИК!$M$12+('ФАКТ ЧИСТ К1'!O36)*СПРАВОЧНИК!$N$12+('ФАКТ ЧИСТ К1'!P36)*СПРАВОЧНИК!$O$12)+СПРАВОЧНИК!$F$13*(('ФАКТ ЧИСТ К1'!Q36)*СПРАВОЧНИК!$L$13+('ФАКТ ЧИСТ К1'!R36)*СПРАВОЧНИК!$M$13+('ФАКТ ЧИСТ К1'!S36)*СПРАВОЧНИК!$N$13+('ФАКТ ЧИСТ К1'!T36)*СПРАВОЧНИК!$O$13)+СПРАВОЧНИК!$F$14*(('ФАКТ ЧИСТ К1'!U36)*СПРАВОЧНИК!$L$14+('ФАКТ ЧИСТ К1'!V36)*СПРАВОЧНИК!$M$14+('ФАКТ ЧИСТ К1'!W36)*СПРАВОЧНИК!$N$14)+СПРАВОЧНИК!$F$15*(('ФАКТ ЧИСТ К1'!X36)*СПРАВОЧНИК!$L$15+('ФАКТ ЧИСТ К1'!Y36)*СПРАВОЧНИК!$M$15+('ФАКТ ЧИСТ К1'!Z36)*СПРАВОЧНИК!$N$15)</f>
        <v/>
      </c>
      <c r="AA45" s="18">
        <f>AA44+7</f>
        <v/>
      </c>
      <c r="AB45" s="37">
        <f>'ПЛАН ЧЕРН К1'!B36*СПРАВОЧНИК!$H$9+'ПЛАН ЧЕРН К1'!C36*СПРАВОЧНИК!$I$9+'ПЛАН ЧЕРН К1'!D36*СПРАВОЧНИК!$J$9+'ПЛАН ЧЕРН К1'!E36*СПРАВОЧНИК!$H$10+'ПЛАН ЧЕРН К1'!F36*СПРАВОЧНИК!$I$10+'ПЛАН ЧЕРН К1'!G36*СПРАВОЧНИК!$J$10+'ПЛАН ЧЕРН К1'!H36*СПРАВОЧНИК!$H$11+'ПЛАН ЧЕРН К1'!I36*СПРАВОЧНИК!$I$11+'ПЛАН ЧЕРН К1'!J36*СПРАВОЧНИК!$J$11+'ПЛАН ЧЕРН К1'!K36*СПРАВОЧНИК!$H$12+'ПЛАН ЧЕРН К1'!L36*СПРАВОЧНИК!$I$12+'ПЛАН ЧЕРН К1'!M36*СПРАВОЧНИК!$J$12+'ПЛАН ЧЕРН К1'!N36*СПРАВОЧНИК!$H$13+'ПЛАН ЧЕРН К1'!O36*СПРАВОЧНИК!$I$13+'ПЛАН ЧЕРН К1'!P36*СПРАВОЧНИК!$J$13+'ПЛАН ЧЕРН К1'!Q36*СПРАВОЧНИК!$H$14+'ПЛАН ЧЕРН К1'!R36*СПРАВОЧНИК!$I$14+'ПЛАН ЧЕРН К1'!S36*СПРАВОЧНИК!$J$14+'ПЛАН ЧЕРН К1'!T36*СПРАВОЧНИК!$H$15+'ПЛАН ЧЕРН К1'!U36*СПРАВОЧНИК!$I$15+'ПЛАН ЧЕРН К1'!V36*СПРАВОЧНИК!$J$15</f>
        <v/>
      </c>
      <c r="AC45" s="40">
        <f>('ФАКТ ЧЕРН К1'!B36)*СПРАВОЧНИК!$H$9+('ФАКТ ЧЕРН К1'!C36)*СПРАВОЧНИК!$I$9+('ФАКТ ЧЕРН К1'!D36)*СПРАВОЧНИК!$J$9+('ФАКТ ЧЕРН К1'!E36)*СПРАВОЧНИК!$H$10+('ФАКТ ЧЕРН К1'!F36)*СПРАВОЧНИК!$I$10+('ФАКТ ЧЕРН К1'!G36)*СПРАВОЧНИК!$J$10+('ФАКТ ЧЕРН К1'!H36)*СПРАВОЧНИК!$H$11+('ФАКТ ЧЕРН К1'!I36)*СПРАВОЧНИК!$I$11+('ФАКТ ЧЕРН К1'!J36)*СПРАВОЧНИК!$J$11+('ФАКТ ЧЕРН К1'!K36)*СПРАВОЧНИК!$H$12+('ФАКТ ЧЕРН К1'!L36)*СПРАВОЧНИК!$I$12+('ФАКТ ЧЕРН К1'!M36)*СПРАВОЧНИК!$J$12+('ФАКТ ЧЕРН К1'!N36)*СПРАВОЧНИК!$H$13+('ФАКТ ЧЕРН К1'!O36)*СПРАВОЧНИК!$I$13+('ФАКТ ЧЕРН К1'!P36)*СПРАВОЧНИК!$J$13+('ФАКТ ЧЕРН К1'!Q36)*СПРАВОЧНИК!$H$14+('ФАКТ ЧЕРН К1'!R36)*СПРАВОЧНИК!$I$14+('ФАКТ ЧЕРН К1'!S36)*СПРАВОЧНИК!$J$14+('ФАКТ ЧЕРН К1'!T36)*СПРАВОЧНИК!$H$15+('ФАКТ ЧЕРН К1'!U36)*СПРАВОЧНИК!$I$15+('ФАКТ ЧЕРН К1'!V36)*СПРАВОЧНИК!$J$15</f>
        <v/>
      </c>
      <c r="AG45" s="18">
        <f>AG44+7</f>
        <v/>
      </c>
      <c r="AH45" s="37">
        <f>'ПЛАН ЧИСТ К1'!B36*СПРАВОЧНИК!$L$9+'ПЛАН ЧИСТ К1'!C36*СПРАВОЧНИК!$M$9+'ПЛАН ЧИСТ К1'!D36*СПРАВОЧНИК!$N$9+'ПЛАН ЧИСТ К1'!E36*СПРАВОЧНИК!$O$9+'ПЛАН ЧИСТ К1'!F36*СПРАВОЧНИК!$L$10+'ПЛАН ЧИСТ К1'!G36*СПРАВОЧНИК!$M$10+'ПЛАН ЧИСТ К1'!H36*СПРАВОЧНИК!$N$10+'ПЛАН ЧИСТ К1'!I36*СПРАВОЧНИК!$O$10+'ПЛАН ЧИСТ К1'!J36*СПРАВОЧНИК!$L$11+'ПЛАН ЧИСТ К1'!K36*СПРАВОЧНИК!$M$11+'ПЛАН ЧИСТ К1'!L36*СПРАВОЧНИК!$N$11+'ПЛАН ЧИСТ К1'!M36*СПРАВОЧНИК!$L$12+'ПЛАН ЧИСТ К1'!N36*СПРАВОЧНИК!$M$12+'ПЛАН ЧИСТ К1'!O36*СПРАВОЧНИК!$N$12+'ПЛАН ЧИСТ К1'!P36*СПРАВОЧНИК!$O$12+'ПЛАН ЧИСТ К1'!Q36*СПРАВОЧНИК!$L$13+'ПЛАН ЧИСТ К1'!R36*СПРАВОЧНИК!$M$13+'ПЛАН ЧИСТ К1'!S36*СПРАВОЧНИК!$N$13+'ПЛАН ЧИСТ К1'!T36*СПРАВОЧНИК!$O$13+'ПЛАН ЧИСТ К1'!U36*СПРАВОЧНИК!$L$14+'ПЛАН ЧИСТ К1'!V36*СПРАВОЧНИК!$M$14+'ПЛАН ЧИСТ К1'!W36*СПРАВОЧНИК!$N$14+'ПЛАН ЧИСТ К1'!X36*СПРАВОЧНИК!$L$15+'ПЛАН ЧИСТ К1'!Y36*СПРАВОЧНИК!$M$15+'ПЛАН ЧИСТ К1'!Z36*СПРАВОЧНИК!$N$15</f>
        <v/>
      </c>
      <c r="AI45" s="40">
        <f>('ФАКТ ЧИСТ К1'!B36)*СПРАВОЧНИК!$L$9+('ФАКТ ЧИСТ К1'!C36)*СПРАВОЧНИК!$M$9+('ФАКТ ЧИСТ К1'!D36)*СПРАВОЧНИК!$N$9+('ФАКТ ЧИСТ К1'!E36)*СПРАВОЧНИК!$O$9+('ФАКТ ЧИСТ К1'!F36)*СПРАВОЧНИК!$L$10+('ФАКТ ЧИСТ К1'!G36)*СПРАВОЧНИК!$M$10+('ФАКТ ЧИСТ К1'!H36)*СПРАВОЧНИК!$N$10+('ФАКТ ЧИСТ К1'!I36)*СПРАВОЧНИК!$O$10+('ФАКТ ЧИСТ К1'!J36)*СПРАВОЧНИК!$L$11+('ФАКТ ЧИСТ К1'!K36)*СПРАВОЧНИК!$M$11+('ФАКТ ЧИСТ К1'!L36)*СПРАВОЧНИК!$N$11+('ФАКТ ЧИСТ К1'!M36)*СПРАВОЧНИК!$L$12+('ФАКТ ЧИСТ К1'!N36)*СПРАВОЧНИК!$M$12+('ФАКТ ЧИСТ К1'!O36)*СПРАВОЧНИК!$N$12+('ФАКТ ЧИСТ К1'!P36)*СПРАВОЧНИК!$O$12+('ФАКТ ЧИСТ К1'!Q36)*СПРАВОЧНИК!$L$13+('ФАКТ ЧИСТ К1'!R36)*СПРАВОЧНИК!$M$13+('ФАКТ ЧИСТ К1'!S36)*СПРАВОЧНИК!$N$13+('ФАКТ ЧИСТ К1'!T36)*СПРАВОЧНИК!$O$13+('ФАКТ ЧИСТ К1'!U36)*СПРАВОЧНИК!$L$14+('ФАКТ ЧИСТ К1'!V36)*СПРАВОЧНИК!$M$14+('ФАКТ ЧИСТ К1'!W36)*СПРАВОЧНИК!$N$14+('ФАКТ ЧИСТ К1'!X36)*СПРАВОЧНИК!$L$15+('ФАКТ ЧИСТ К1'!Y36)*СПРАВОЧНИК!$M$15+('ФАКТ ЧИСТ К1'!Z36)*СПРАВОЧНИК!$N$15</f>
        <v/>
      </c>
      <c r="AM45" s="18">
        <f>AM44+7</f>
        <v/>
      </c>
      <c r="AN45" s="37">
        <f>СПРАВОЧНИК!$E$9*('ПЛАН ЧЕРН К2'!B36*СПРАВОЧНИК!$H$9+'ПЛАН ЧЕРН К2'!C36*СПРАВОЧНИК!$I$9+'ПЛАН ЧЕРН К2'!D36*СПРАВОЧНИК!$J$9)+СПРАВОЧНИК!$E$10*('ПЛАН ЧЕРН К2'!E36*СПРАВОЧНИК!$H$10+'ПЛАН ЧЕРН К2'!F36*СПРАВОЧНИК!$I$10+'ПЛАН ЧЕРН К2'!G36*СПРАВОЧНИК!$J$10)+СПРАВОЧНИК!$E$11*('ПЛАН ЧЕРН К2'!H36*СПРАВОЧНИК!$H$11+'ПЛАН ЧЕРН К2'!I36*СПРАВОЧНИК!$I$11+'ПЛАН ЧЕРН К2'!J36*СПРАВОЧНИК!$J$11)+СПРАВОЧНИК!$E$12*('ПЛАН ЧЕРН К2'!K36*СПРАВОЧНИК!$H$12+'ПЛАН ЧЕРН К2'!L36*СПРАВОЧНИК!$I$12+'ПЛАН ЧЕРН К2'!M36*СПРАВОЧНИК!$J$12)+СПРАВОЧНИК!$E$13*('ПЛАН ЧЕРН К2'!N36*СПРАВОЧНИК!$H$13+'ПЛАН ЧЕРН К2'!O36*СПРАВОЧНИК!$I$13+'ПЛАН ЧЕРН К2'!P36*СПРАВОЧНИК!$J$13)+СПРАВОЧНИК!$E$14*('ПЛАН ЧЕРН К2'!Q36*СПРАВОЧНИК!$H$14+'ПЛАН ЧЕРН К2'!R36*СПРАВОЧНИК!$I$14+'ПЛАН ЧЕРН К2'!S36*СПРАВОЧНИК!$J$14)+СПРАВОЧНИК!$E$15*('ПЛАН ЧЕРН К2'!T36*СПРАВОЧНИК!$H$15+'ПЛАН ЧЕРН К2'!U36*СПРАВОЧНИК!$I$15+'ПЛАН ЧЕРН К2'!V36*СПРАВОЧНИК!$J$15)+СПРАВОЧНИК!$F$9*('ПЛАН ЧИСТ К2'!B36*СПРАВОЧНИК!$L$9+'ПЛАН ЧИСТ К2'!C36*СПРАВОЧНИК!$M$9+'ПЛАН ЧИСТ К2'!D36*СПРАВОЧНИК!$N$9+'ПЛАН ЧИСТ К2'!E36*СПРАВОЧНИК!$O$9)+СПРАВОЧНИК!$F$10*('ПЛАН ЧИСТ К2'!F36*СПРАВОЧНИК!$L$10+'ПЛАН ЧИСТ К2'!G36*СПРАВОЧНИК!$M$10+'ПЛАН ЧИСТ К2'!H36*СПРАВОЧНИК!$N$10+'ПЛАН ЧИСТ К2'!I36*СПРАВОЧНИК!$O$10)+СПРАВОЧНИК!$F$11*('ПЛАН ЧИСТ К2'!J36*СПРАВОЧНИК!$L$11+'ПЛАН ЧИСТ К2'!K36*СПРАВОЧНИК!$M$11+'ПЛАН ЧИСТ К2'!L36*СПРАВОЧНИК!$N$11)+СПРАВОЧНИК!$F$12*('ПЛАН ЧИСТ К2'!M36*СПРАВОЧНИК!$L$12+'ПЛАН ЧИСТ К2'!N36*СПРАВОЧНИК!$M$12+'ПЛАН ЧИСТ К2'!O36*СПРАВОЧНИК!$N$12+'ПЛАН ЧИСТ К2'!P36*СПРАВОЧНИК!$O$12)+СПРАВОЧНИК!$F$13*('ПЛАН ЧИСТ К2'!Q36*СПРАВОЧНИК!$L$13+'ПЛАН ЧИСТ К2'!R36*СПРАВОЧНИК!$M$13+'ПЛАН ЧИСТ К2'!S36*СПРАВОЧНИК!$N$13+'ПЛАН ЧИСТ К2'!T36*СПРАВОЧНИК!$O$13)+СПРАВОЧНИК!$F$14*('ПЛАН ЧИСТ К2'!U36*СПРАВОЧНИК!$L$14+'ПЛАН ЧИСТ К2'!V36*СПРАВОЧНИК!$M$14+'ПЛАН ЧИСТ К2'!W36*СПРАВОЧНИК!$N$14)+СПРАВОЧНИК!$F$15*('ПЛАН ЧИСТ К2'!X36*СПРАВОЧНИК!$L$15+'ПЛАН ЧИСТ К2'!Y36*СПРАВОЧНИК!$M$15+'ПЛАН ЧИСТ К2'!Z36*СПРАВОЧНИК!$N$15)</f>
        <v/>
      </c>
      <c r="AO45" s="40">
        <f>СПРАВОЧНИК!$E$9*(('ФАКТ ЧЕРН К2'!B36)*СПРАВОЧНИК!$H$9+('ФАКТ ЧЕРН К2'!C36)*СПРАВОЧНИК!$I$9+('ФАКТ ЧЕРН К2'!D36)*СПРАВОЧНИК!$J$9)+СПРАВОЧНИК!$E$10*(('ФАКТ ЧЕРН К2'!E36)*СПРАВОЧНИК!$H$10+('ФАКТ ЧЕРН К2'!F36)*СПРАВОЧНИК!$I$10+('ФАКТ ЧЕРН К2'!G36)*СПРАВОЧНИК!$J$10)+СПРАВОЧНИК!$E$11*(('ФАКТ ЧЕРН К2'!H36)*СПРАВОЧНИК!$H$11+('ФАКТ ЧЕРН К2'!I36)*СПРАВОЧНИК!$I$11+('ФАКТ ЧЕРН К2'!J36)*СПРАВОЧНИК!$J$11)+СПРАВОЧНИК!$E$12*(('ФАКТ ЧЕРН К2'!K36)*СПРАВОЧНИК!$H$12+('ФАКТ ЧЕРН К2'!L36)*СПРАВОЧНИК!$I$12+('ФАКТ ЧЕРН К2'!M36)*СПРАВОЧНИК!$J$12)+СПРАВОЧНИК!$E$13*(('ФАКТ ЧЕРН К2'!N36)*СПРАВОЧНИК!$H$13+('ФАКТ ЧЕРН К2'!O36)*СПРАВОЧНИК!$I$13+('ФАКТ ЧЕРН К2'!P36)*СПРАВОЧНИК!$J$13)+СПРАВОЧНИК!$E$14*(('ФАКТ ЧЕРН К2'!Q36)*СПРАВОЧНИК!$H$14+('ФАКТ ЧЕРН К2'!R36)*СПРАВОЧНИК!$I$14+('ФАКТ ЧЕРН К2'!S36)*СПРАВОЧНИК!$J$14)+СПРАВОЧНИК!$E$15*(('ФАКТ ЧЕРН К2'!T36)*СПРАВОЧНИК!$H$15+('ФАКТ ЧЕРН К2'!U36)*СПРАВОЧНИК!$I$15+('ФАКТ ЧЕРН К2'!V36)*СПРАВОЧНИК!$J$15)+СПРАВОЧНИК!$F$9*(('ФАКТ ЧИСТ К2'!B36)*СПРАВОЧНИК!$L$9+('ФАКТ ЧИСТ К2'!C36)*СПРАВОЧНИК!$M$9+('ФАКТ ЧИСТ К2'!D36)*СПРАВОЧНИК!$N$9+('ФАКТ ЧИСТ К2'!E36)*СПРАВОЧНИК!$O$9)+СПРАВОЧНИК!$F$10*(('ФАКТ ЧИСТ К2'!F36)*СПРАВОЧНИК!$L$10+('ФАКТ ЧИСТ К2'!G36)*СПРАВОЧНИК!$M$10+('ФАКТ ЧИСТ К2'!H36)*СПРАВОЧНИК!$N$10+('ФАКТ ЧИСТ К2'!I36)*СПРАВОЧНИК!$O$10)+СПРАВОЧНИК!$F$11*(('ФАКТ ЧИСТ К2'!J36)*СПРАВОЧНИК!$L$11+('ФАКТ ЧИСТ К2'!K36)*СПРАВОЧНИК!$M$11+('ФАКТ ЧИСТ К2'!L36)*СПРАВОЧНИК!$N$11)+СПРАВОЧНИК!$F$12*(('ФАКТ ЧИСТ К2'!M36)*СПРАВОЧНИК!$L$12+('ФАКТ ЧИСТ К2'!N36)*СПРАВОЧНИК!$M$12+('ФАКТ ЧИСТ К2'!O36)*СПРАВОЧНИК!$N$12+('ФАКТ ЧИСТ К2'!P36)*СПРАВОЧНИК!$O$12)+СПРАВОЧНИК!$F$13*(('ФАКТ ЧИСТ К2'!Q36)*СПРАВОЧНИК!$L$13+('ФАКТ ЧИСТ К2'!R36)*СПРАВОЧНИК!$M$13+('ФАКТ ЧИСТ К2'!S36)*СПРАВОЧНИК!$N$13+('ФАКТ ЧИСТ К2'!T36)*СПРАВОЧНИК!$O$13)+СПРАВОЧНИК!$F$14*(('ФАКТ ЧИСТ К2'!U36)*СПРАВОЧНИК!$L$14+('ФАКТ ЧИСТ К2'!V36)*СПРАВОЧНИК!$M$14+('ФАКТ ЧИСТ К2'!W36)*СПРАВОЧНИК!$N$14)+СПРАВОЧНИК!$F$15*(('ФАКТ ЧИСТ К2'!X36)*СПРАВОЧНИК!$L$15+('ФАКТ ЧИСТ К2'!Y36)*СПРАВОЧНИК!$M$15+('ФАКТ ЧИСТ К2'!Z36)*СПРАВОЧНИК!$N$15)</f>
        <v/>
      </c>
      <c r="AS45" s="18">
        <f>AS44+7</f>
        <v/>
      </c>
      <c r="AT45" s="37">
        <f>'ПЛАН ЧЕРН К2'!B36*СПРАВОЧНИК!$H$9+'ПЛАН ЧЕРН К2'!C36*СПРАВОЧНИК!$I$9+'ПЛАН ЧЕРН К2'!D36*СПРАВОЧНИК!$J$9+'ПЛАН ЧЕРН К2'!E36*СПРАВОЧНИК!$H$10+'ПЛАН ЧЕРН К2'!F36*СПРАВОЧНИК!$I$10+'ПЛАН ЧЕРН К2'!G36*СПРАВОЧНИК!$J$10+'ПЛАН ЧЕРН К2'!H36*СПРАВОЧНИК!$H$11+'ПЛАН ЧЕРН К2'!I36*СПРАВОЧНИК!$I$11+'ПЛАН ЧЕРН К2'!J36*СПРАВОЧНИК!$J$11+'ПЛАН ЧЕРН К2'!K36*СПРАВОЧНИК!$H$12+'ПЛАН ЧЕРН К2'!L36*СПРАВОЧНИК!$I$12+'ПЛАН ЧЕРН К2'!M36*СПРАВОЧНИК!$J$12+'ПЛАН ЧЕРН К2'!N36*СПРАВОЧНИК!$H$13+'ПЛАН ЧЕРН К2'!O36*СПРАВОЧНИК!$I$13+'ПЛАН ЧЕРН К2'!P36*СПРАВОЧНИК!$J$13+'ПЛАН ЧЕРН К2'!Q36*СПРАВОЧНИК!$H$14+'ПЛАН ЧЕРН К2'!R36*СПРАВОЧНИК!$I$14+'ПЛАН ЧЕРН К2'!S36*СПРАВОЧНИК!$J$14+'ПЛАН ЧЕРН К2'!T36*СПРАВОЧНИК!$H$15+'ПЛАН ЧЕРН К2'!U36*СПРАВОЧНИК!$I$15+'ПЛАН ЧЕРН К2'!V36*СПРАВОЧНИК!$J$15</f>
        <v/>
      </c>
      <c r="AU45" s="40">
        <f>('ФАКТ ЧЕРН К2'!B36)*СПРАВОЧНИК!$H$9+('ФАКТ ЧЕРН К2'!C36)*СПРАВОЧНИК!$I$9+('ФАКТ ЧЕРН К2'!D36)*СПРАВОЧНИК!$J$9+('ФАКТ ЧЕРН К2'!E36)*СПРАВОЧНИК!$H$10+('ФАКТ ЧЕРН К2'!F36)*СПРАВОЧНИК!$I$10+('ФАКТ ЧЕРН К2'!G36)*СПРАВОЧНИК!$J$10+('ФАКТ ЧЕРН К2'!H36)*СПРАВОЧНИК!$H$11+('ФАКТ ЧЕРН К2'!I36)*СПРАВОЧНИК!$I$11+('ФАКТ ЧЕРН К2'!J36)*СПРАВОЧНИК!$J$11+('ФАКТ ЧЕРН К2'!K36)*СПРАВОЧНИК!$H$12+('ФАКТ ЧЕРН К2'!L36)*СПРАВОЧНИК!$I$12+('ФАКТ ЧЕРН К2'!M36)*СПРАВОЧНИК!$J$12+('ФАКТ ЧЕРН К2'!N36)*СПРАВОЧНИК!$H$13+('ФАКТ ЧЕРН К2'!O36)*СПРАВОЧНИК!$I$13+('ФАКТ ЧЕРН К2'!P36)*СПРАВОЧНИК!$J$13+('ФАКТ ЧЕРН К2'!Q36)*СПРАВОЧНИК!$H$14+('ФАКТ ЧЕРН К2'!R36)*СПРАВОЧНИК!$I$14+('ФАКТ ЧЕРН К2'!S36)*СПРАВОЧНИК!$J$14+('ФАКТ ЧЕРН К2'!T36)*СПРАВОЧНИК!$H$15+('ФАКТ ЧЕРН К2'!U36)*СПРАВОЧНИК!$I$15+('ФАКТ ЧЕРН К2'!V36)*СПРАВОЧНИК!$J$15</f>
        <v/>
      </c>
      <c r="AY45" s="18">
        <f>AY44+7</f>
        <v/>
      </c>
      <c r="AZ45" s="37">
        <f>'ПЛАН ЧИСТ К2'!B36*СПРАВОЧНИК!$L$9+'ПЛАН ЧИСТ К2'!C36*СПРАВОЧНИК!$M$9+'ПЛАН ЧИСТ К2'!D36*СПРАВОЧНИК!$N$9+'ПЛАН ЧИСТ К2'!E36*СПРАВОЧНИК!$O$9+'ПЛАН ЧИСТ К2'!F36*СПРАВОЧНИК!$L$10+'ПЛАН ЧИСТ К2'!G36*СПРАВОЧНИК!$M$10+'ПЛАН ЧИСТ К2'!H36*СПРАВОЧНИК!$N$10+'ПЛАН ЧИСТ К2'!I36*СПРАВОЧНИК!$O$10+'ПЛАН ЧИСТ К2'!J36*СПРАВОЧНИК!$L$11+'ПЛАН ЧИСТ К2'!K36*СПРАВОЧНИК!$M$11+'ПЛАН ЧИСТ К2'!L36*СПРАВОЧНИК!$N$11+'ПЛАН ЧИСТ К2'!M36*СПРАВОЧНИК!$L$12+'ПЛАН ЧИСТ К2'!N36*СПРАВОЧНИК!$M$12+'ПЛАН ЧИСТ К2'!O36*СПРАВОЧНИК!$N$12+'ПЛАН ЧИСТ К2'!P36*СПРАВОЧНИК!$O$12+'ПЛАН ЧИСТ К2'!Q36*СПРАВОЧНИК!$L$13+'ПЛАН ЧИСТ К2'!R36*СПРАВОЧНИК!$M$13+'ПЛАН ЧИСТ К2'!S36*СПРАВОЧНИК!$N$13+'ПЛАН ЧИСТ К2'!T36*СПРАВОЧНИК!$O$13+'ПЛАН ЧИСТ К2'!U36*СПРАВОЧНИК!$L$14+'ПЛАН ЧИСТ К2'!V36*СПРАВОЧНИК!$M$14+'ПЛАН ЧИСТ К2'!W36*СПРАВОЧНИК!$N$14+'ПЛАН ЧИСТ К2'!X36*СПРАВОЧНИК!$L$15+'ПЛАН ЧИСТ К2'!Y36*СПРАВОЧНИК!$M$15+'ПЛАН ЧИСТ К2'!Z36*СПРАВОЧНИК!$N$15</f>
        <v/>
      </c>
      <c r="BA45" s="40">
        <f>('ФАКТ ЧИСТ К2'!B36)*СПРАВОЧНИК!$L$9+('ФАКТ ЧИСТ К2'!C36)*СПРАВОЧНИК!$M$9+('ФАКТ ЧИСТ К2'!D36)*СПРАВОЧНИК!$N$9+('ФАКТ ЧИСТ К2'!E36)*СПРАВОЧНИК!$O$9+('ФАКТ ЧИСТ К2'!F36)*СПРАВОЧНИК!$L$10+('ФАКТ ЧИСТ К2'!G36)*СПРАВОЧНИК!$M$10+('ФАКТ ЧИСТ К2'!H36)*СПРАВОЧНИК!$N$10+('ФАКТ ЧИСТ К2'!I36)*СПРАВОЧНИК!$O$10+('ФАКТ ЧИСТ К2'!J36)*СПРАВОЧНИК!$L$11+('ФАКТ ЧИСТ К2'!K36)*СПРАВОЧНИК!$M$11+('ФАКТ ЧИСТ К2'!L36)*СПРАВОЧНИК!$N$11+('ФАКТ ЧИСТ К2'!M36)*СПРАВОЧНИК!$L$12+('ФАКТ ЧИСТ К2'!N36)*СПРАВОЧНИК!$M$12+('ФАКТ ЧИСТ К2'!O36)*СПРАВОЧНИК!$N$12+('ФАКТ ЧИСТ К2'!P36)*СПРАВОЧНИК!$O$12+('ФАКТ ЧИСТ К2'!Q36)*СПРАВОЧНИК!$L$13+('ФАКТ ЧИСТ К2'!R36)*СПРАВОЧНИК!$M$13+('ФАКТ ЧИСТ К2'!S36)*СПРАВОЧНИК!$N$13+('ФАКТ ЧИСТ К2'!T36)*СПРАВОЧНИК!$O$13+('ФАКТ ЧИСТ К2'!U36)*СПРАВОЧНИК!$L$14+('ФАКТ ЧИСТ К2'!V36)*СПРАВОЧНИК!$M$14+('ФАКТ ЧИСТ К2'!W36)*СПРАВОЧНИК!$N$14+('ФАКТ ЧИСТ К2'!X36)*СПРАВОЧНИК!$L$15+('ФАКТ ЧИСТ К2'!Y36)*СПРАВОЧНИК!$M$15+('ФАКТ ЧИСТ К2'!Z36)*СПРАВОЧНИК!$N$15</f>
        <v/>
      </c>
      <c r="BE45" s="18">
        <f>BE44+7</f>
        <v/>
      </c>
      <c r="BF45" s="37">
        <f>СПРАВОЧНИК!$E$9*('ПЛАН ЧЕРН К3'!B36*СПРАВОЧНИК!$H$9+'ПЛАН ЧЕРН К3'!C36*СПРАВОЧНИК!$I$9+'ПЛАН ЧЕРН К3'!D36*СПРАВОЧНИК!$J$9)+СПРАВОЧНИК!$E$10*('ПЛАН ЧЕРН К3'!E36*СПРАВОЧНИК!$H$10+'ПЛАН ЧЕРН К3'!F36*СПРАВОЧНИК!$I$10+'ПЛАН ЧЕРН К3'!G36*СПРАВОЧНИК!$J$10)+СПРАВОЧНИК!$E$11*('ПЛАН ЧЕРН К3'!H36*СПРАВОЧНИК!$H$11+'ПЛАН ЧЕРН К3'!I36*СПРАВОЧНИК!$I$11+'ПЛАН ЧЕРН К3'!J36*СПРАВОЧНИК!$J$11)+СПРАВОЧНИК!$E$12*('ПЛАН ЧЕРН К3'!K36*СПРАВОЧНИК!$H$12+'ПЛАН ЧЕРН К3'!L36*СПРАВОЧНИК!$I$12+'ПЛАН ЧЕРН К3'!M36*СПРАВОЧНИК!$J$12)+СПРАВОЧНИК!$E$13*('ПЛАН ЧЕРН К3'!N36*СПРАВОЧНИК!$H$13+'ПЛАН ЧЕРН К3'!O36*СПРАВОЧНИК!$I$13+'ПЛАН ЧЕРН К3'!P36*СПРАВОЧНИК!$J$13)+СПРАВОЧНИК!$E$14*('ПЛАН ЧЕРН К3'!Q36*СПРАВОЧНИК!$H$14+'ПЛАН ЧЕРН К3'!R36*СПРАВОЧНИК!$I$14+'ПЛАН ЧЕРН К3'!S36*СПРАВОЧНИК!$J$14)+СПРАВОЧНИК!$E$15*('ПЛАН ЧЕРН К3'!T36*СПРАВОЧНИК!$H$15+'ПЛАН ЧЕРН К3'!U36*СПРАВОЧНИК!$I$15+'ПЛАН ЧЕРН К3'!V36*СПРАВОЧНИК!$J$15)+СПРАВОЧНИК!$F$9*('ПЛАН ЧИСТ К3'!B36*СПРАВОЧНИК!$L$9+'ПЛАН ЧИСТ К3'!C36*СПРАВОЧНИК!$M$9+'ПЛАН ЧИСТ К3'!D36*СПРАВОЧНИК!$N$9+'ПЛАН ЧИСТ К3'!E36*СПРАВОЧНИК!$O$9)+СПРАВОЧНИК!$F$10*('ПЛАН ЧИСТ К3'!F36*СПРАВОЧНИК!$L$10+'ПЛАН ЧИСТ К3'!G36*СПРАВОЧНИК!$M$10+'ПЛАН ЧИСТ К3'!H36*СПРАВОЧНИК!$N$10+'ПЛАН ЧИСТ К3'!I36*СПРАВОЧНИК!$O$10)+СПРАВОЧНИК!$F$11*('ПЛАН ЧИСТ К3'!J36*СПРАВОЧНИК!$L$11+'ПЛАН ЧИСТ К3'!K36*СПРАВОЧНИК!$M$11+'ПЛАН ЧИСТ К3'!L36*СПРАВОЧНИК!$N$11)+СПРАВОЧНИК!$F$12*('ПЛАН ЧИСТ К3'!M36*СПРАВОЧНИК!$L$12+'ПЛАН ЧИСТ К3'!N36*СПРАВОЧНИК!$M$12+'ПЛАН ЧИСТ К3'!O36*СПРАВОЧНИК!$N$12+'ПЛАН ЧИСТ К3'!P36*СПРАВОЧНИК!$O$12)+СПРАВОЧНИК!$F$13*('ПЛАН ЧИСТ К3'!Q36*СПРАВОЧНИК!$L$13+'ПЛАН ЧИСТ К3'!R36*СПРАВОЧНИК!$M$13+'ПЛАН ЧИСТ К3'!S36*СПРАВОЧНИК!$N$13+'ПЛАН ЧИСТ К3'!T36*СПРАВОЧНИК!$O$13)+СПРАВОЧНИК!$F$14*('ПЛАН ЧИСТ К3'!U36*СПРАВОЧНИК!$L$14+'ПЛАН ЧИСТ К3'!V36*СПРАВОЧНИК!$M$14+'ПЛАН ЧИСТ К3'!W36*СПРАВОЧНИК!$N$14)+СПРАВОЧНИК!$F$15*('ПЛАН ЧИСТ К3'!X36*СПРАВОЧНИК!$L$15+'ПЛАН ЧИСТ К3'!Y36*СПРАВОЧНИК!$M$15+'ПЛАН ЧИСТ К3'!Z36*СПРАВОЧНИК!$N$15)</f>
        <v/>
      </c>
      <c r="BG45" s="40">
        <f>СПРАВОЧНИК!$E$9*(('ФАКТ ЧЕРН К3'!B36)*СПРАВОЧНИК!$H$9+('ФАКТ ЧЕРН К3'!C36)*СПРАВОЧНИК!$I$9+('ФАКТ ЧЕРН К3'!D36)*СПРАВОЧНИК!$J$9)+СПРАВОЧНИК!$E$10*(('ФАКТ ЧЕРН К3'!E36)*СПРАВОЧНИК!$H$10+('ФАКТ ЧЕРН К3'!F36)*СПРАВОЧНИК!$I$10+('ФАКТ ЧЕРН К3'!G36)*СПРАВОЧНИК!$J$10)+СПРАВОЧНИК!$E$11*(('ФАКТ ЧЕРН К3'!H36)*СПРАВОЧНИК!$H$11+('ФАКТ ЧЕРН К3'!I36)*СПРАВОЧНИК!$I$11+('ФАКТ ЧЕРН К3'!J36)*СПРАВОЧНИК!$J$11)+СПРАВОЧНИК!$E$12*(('ФАКТ ЧЕРН К3'!K36)*СПРАВОЧНИК!$H$12+('ФАКТ ЧЕРН К3'!L36)*СПРАВОЧНИК!$I$12+('ФАКТ ЧЕРН К3'!M36)*СПРАВОЧНИК!$J$12)+СПРАВОЧНИК!$E$13*(('ФАКТ ЧЕРН К3'!N36)*СПРАВОЧНИК!$H$13+('ФАКТ ЧЕРН К3'!O36)*СПРАВОЧНИК!$I$13+('ФАКТ ЧЕРН К3'!P36)*СПРАВОЧНИК!$J$13)+СПРАВОЧНИК!$E$14*(('ФАКТ ЧЕРН К3'!Q36)*СПРАВОЧНИК!$H$14+('ФАКТ ЧЕРН К3'!R36)*СПРАВОЧНИК!$I$14+('ФАКТ ЧЕРН К3'!S36)*СПРАВОЧНИК!$J$14)+СПРАВОЧНИК!$E$15*(('ФАКТ ЧЕРН К3'!T36)*СПРАВОЧНИК!$H$15+('ФАКТ ЧЕРН К3'!U36)*СПРАВОЧНИК!$I$15+('ФАКТ ЧЕРН К3'!V36)*СПРАВОЧНИК!$J$15)+СПРАВОЧНИК!$F$9*(('ФАКТ ЧИСТ К3'!B36)*СПРАВОЧНИК!$L$9+('ФАКТ ЧИСТ К3'!C36)*СПРАВОЧНИК!$M$9+('ФАКТ ЧИСТ К3'!D36)*СПРАВОЧНИК!$N$9+('ФАКТ ЧИСТ К3'!E36)*СПРАВОЧНИК!$O$9)+СПРАВОЧНИК!$F$10*(('ФАКТ ЧИСТ К3'!F36)*СПРАВОЧНИК!$L$10+('ФАКТ ЧИСТ К3'!G36)*СПРАВОЧНИК!$M$10+('ФАКТ ЧИСТ К3'!H36)*СПРАВОЧНИК!$N$10+('ФАКТ ЧИСТ К3'!I36)*СПРАВОЧНИК!$O$10)+СПРАВОЧНИК!$F$11*(('ФАКТ ЧИСТ К3'!J36)*СПРАВОЧНИК!$L$11+('ФАКТ ЧИСТ К3'!K36)*СПРАВОЧНИК!$M$11+('ФАКТ ЧИСТ К3'!L36)*СПРАВОЧНИК!$N$11)+СПРАВОЧНИК!$F$12*(('ФАКТ ЧИСТ К3'!M36)*СПРАВОЧНИК!$L$12+('ФАКТ ЧИСТ К3'!N36)*СПРАВОЧНИК!$M$12+('ФАКТ ЧИСТ К3'!O36)*СПРАВОЧНИК!$N$12+('ФАКТ ЧИСТ К3'!P36)*СПРАВОЧНИК!$O$12)+СПРАВОЧНИК!$F$13*(('ФАКТ ЧИСТ К3'!Q36)*СПРАВОЧНИК!$L$13+('ФАКТ ЧИСТ К3'!R36)*СПРАВОЧНИК!$M$13+('ФАКТ ЧИСТ К3'!S36)*СПРАВОЧНИК!$N$13+('ФАКТ ЧИСТ К3'!T36)*СПРАВОЧНИК!$O$13)+СПРАВОЧНИК!$F$14*(('ФАКТ ЧИСТ К3'!U36)*СПРАВОЧНИК!$L$14+('ФАКТ ЧИСТ К3'!V36)*СПРАВОЧНИК!$M$14+('ФАКТ ЧИСТ К3'!W36)*СПРАВОЧНИК!$N$14)+СПРАВОЧНИК!$F$15*(('ФАКТ ЧИСТ К3'!X36)*СПРАВОЧНИК!$L$15+('ФАКТ ЧИСТ К3'!Y36)*СПРАВОЧНИК!$M$15+('ФАКТ ЧИСТ К3'!Z36)*СПРАВОЧНИК!$N$15)</f>
        <v/>
      </c>
      <c r="BK45" s="18">
        <f>BK44+7</f>
        <v/>
      </c>
      <c r="BL45" s="37">
        <f>'ПЛАН ЧЕРН К3'!B36*СПРАВОЧНИК!$H$9+'ПЛАН ЧЕРН К3'!C36*СПРАВОЧНИК!$I$9+'ПЛАН ЧЕРН К3'!D36*СПРАВОЧНИК!$J$9+'ПЛАН ЧЕРН К3'!E36*СПРАВОЧНИК!$H$10+'ПЛАН ЧЕРН К3'!F36*СПРАВОЧНИК!$I$10+'ПЛАН ЧЕРН К3'!G36*СПРАВОЧНИК!$J$10+'ПЛАН ЧЕРН К3'!H36*СПРАВОЧНИК!$H$11+'ПЛАН ЧЕРН К3'!I36*СПРАВОЧНИК!$I$11+'ПЛАН ЧЕРН К3'!J36*СПРАВОЧНИК!$J$11+'ПЛАН ЧЕРН К3'!K36*СПРАВОЧНИК!$H$12+'ПЛАН ЧЕРН К3'!L36*СПРАВОЧНИК!$I$12+'ПЛАН ЧЕРН К3'!M36*СПРАВОЧНИК!$J$12+'ПЛАН ЧЕРН К3'!N36*СПРАВОЧНИК!$H$13+'ПЛАН ЧЕРН К3'!O36*СПРАВОЧНИК!$I$13+'ПЛАН ЧЕРН К3'!P36*СПРАВОЧНИК!$J$13+'ПЛАН ЧЕРН К3'!Q36*СПРАВОЧНИК!$H$14+'ПЛАН ЧЕРН К3'!R36*СПРАВОЧНИК!$I$14+'ПЛАН ЧЕРН К3'!S36*СПРАВОЧНИК!$J$14+'ПЛАН ЧЕРН К3'!T36*СПРАВОЧНИК!$H$15+'ПЛАН ЧЕРН К3'!U36*СПРАВОЧНИК!$I$15+'ПЛАН ЧЕРН К3'!V36*СПРАВОЧНИК!$J$15</f>
        <v/>
      </c>
      <c r="BM45" s="40">
        <f>('ФАКТ ЧЕРН К3'!B36)*СПРАВОЧНИК!$H$9+('ФАКТ ЧЕРН К3'!C36)*СПРАВОЧНИК!$I$9+('ФАКТ ЧЕРН К3'!D36)*СПРАВОЧНИК!$J$9+('ФАКТ ЧЕРН К3'!E36)*СПРАВОЧНИК!$H$10+('ФАКТ ЧЕРН К3'!F36)*СПРАВОЧНИК!$I$10+('ФАКТ ЧЕРН К3'!G36)*СПРАВОЧНИК!$J$10+('ФАКТ ЧЕРН К3'!H36)*СПРАВОЧНИК!$H$11+('ФАКТ ЧЕРН К3'!I36)*СПРАВОЧНИК!$I$11+('ФАКТ ЧЕРН К3'!J36)*СПРАВОЧНИК!$J$11+('ФАКТ ЧЕРН К3'!K36)*СПРАВОЧНИК!$H$12+('ФАКТ ЧЕРН К3'!L36)*СПРАВОЧНИК!$I$12+('ФАКТ ЧЕРН К3'!M36)*СПРАВОЧНИК!$J$12+('ФАКТ ЧЕРН К3'!N36)*СПРАВОЧНИК!$H$13+('ФАКТ ЧЕРН К3'!O36)*СПРАВОЧНИК!$I$13+('ФАКТ ЧЕРН К3'!P36)*СПРАВОЧНИК!$J$13+('ФАКТ ЧЕРН К3'!Q36)*СПРАВОЧНИК!$H$14+('ФАКТ ЧЕРН К3'!R36)*СПРАВОЧНИК!$I$14+('ФАКТ ЧЕРН К3'!S36)*СПРАВОЧНИК!$J$14+('ФАКТ ЧЕРН К3'!T36)*СПРАВОЧНИК!$H$15+('ФАКТ ЧЕРН К3'!U36)*СПРАВОЧНИК!$I$15+('ФАКТ ЧЕРН К3'!V36)*СПРАВОЧНИК!$J$15</f>
        <v/>
      </c>
      <c r="BQ45" s="18">
        <f>BQ44+7</f>
        <v/>
      </c>
      <c r="BR45" s="37">
        <f>'ПЛАН ЧИСТ К3'!B36*СПРАВОЧНИК!$L$9+'ПЛАН ЧИСТ К3'!C36*СПРАВОЧНИК!$M$9+'ПЛАН ЧИСТ К3'!D36*СПРАВОЧНИК!$N$9+'ПЛАН ЧИСТ К3'!E36*СПРАВОЧНИК!$O$9+'ПЛАН ЧИСТ К3'!F36*СПРАВОЧНИК!$L$10+'ПЛАН ЧИСТ К3'!G36*СПРАВОЧНИК!$M$10+'ПЛАН ЧИСТ К3'!H36*СПРАВОЧНИК!$N$10+'ПЛАН ЧИСТ К3'!I36*СПРАВОЧНИК!$O$10+'ПЛАН ЧИСТ К3'!J36*СПРАВОЧНИК!$L$11+'ПЛАН ЧИСТ К3'!K36*СПРАВОЧНИК!$M$11+'ПЛАН ЧИСТ К3'!L36*СПРАВОЧНИК!$N$11+'ПЛАН ЧИСТ К3'!M36*СПРАВОЧНИК!$L$12+'ПЛАН ЧИСТ К3'!N36*СПРАВОЧНИК!$M$12+'ПЛАН ЧИСТ К3'!O36*СПРАВОЧНИК!$N$12+'ПЛАН ЧИСТ К3'!P36*СПРАВОЧНИК!$O$12+'ПЛАН ЧИСТ К3'!Q36*СПРАВОЧНИК!$L$13+'ПЛАН ЧИСТ К3'!R36*СПРАВОЧНИК!$M$13+'ПЛАН ЧИСТ К3'!S36*СПРАВОЧНИК!$N$13+'ПЛАН ЧИСТ К3'!T36*СПРАВОЧНИК!$O$13+'ПЛАН ЧИСТ К3'!U36*СПРАВОЧНИК!$L$14+'ПЛАН ЧИСТ К3'!V36*СПРАВОЧНИК!$M$14+'ПЛАН ЧИСТ К3'!W36*СПРАВОЧНИК!$N$14+'ПЛАН ЧИСТ К3'!X36*СПРАВОЧНИК!$L$15+'ПЛАН ЧИСТ К3'!Y36*СПРАВОЧНИК!$M$15+'ПЛАН ЧИСТ К3'!Z36*СПРАВОЧНИК!$N$15</f>
        <v/>
      </c>
      <c r="BS45" s="40">
        <f>('ФАКТ ЧИСТ К3'!B36)*СПРАВОЧНИК!$L$9+('ФАКТ ЧИСТ К3'!C36)*СПРАВОЧНИК!$M$9+('ФАКТ ЧИСТ К3'!D36)*СПРАВОЧНИК!$N$9+('ФАКТ ЧИСТ К3'!E36)*СПРАВОЧНИК!$O$9+('ФАКТ ЧИСТ К3'!F36)*СПРАВОЧНИК!$L$10+('ФАКТ ЧИСТ К3'!G36)*СПРАВОЧНИК!$M$10+('ФАКТ ЧИСТ К3'!H36)*СПРАВОЧНИК!$N$10+('ФАКТ ЧИСТ К3'!I36)*СПРАВОЧНИК!$O$10+('ФАКТ ЧИСТ К3'!J36)*СПРАВОЧНИК!$L$11+('ФАКТ ЧИСТ К3'!K36)*СПРАВОЧНИК!$M$11+('ФАКТ ЧИСТ К3'!L36)*СПРАВОЧНИК!$N$11+('ФАКТ ЧИСТ К3'!M36)*СПРАВОЧНИК!$L$12+('ФАКТ ЧИСТ К3'!N36)*СПРАВОЧНИК!$M$12+('ФАКТ ЧИСТ К3'!O36)*СПРАВОЧНИК!$N$12+('ФАКТ ЧИСТ К3'!P36)*СПРАВОЧНИК!$O$12+('ФАКТ ЧИСТ К3'!Q36)*СПРАВОЧНИК!$L$13+('ФАКТ ЧИСТ К3'!R36)*СПРАВОЧНИК!$M$13+('ФАКТ ЧИСТ К3'!S36)*СПРАВОЧНИК!$N$13+('ФАКТ ЧИСТ К3'!T36)*СПРАВОЧНИК!$O$13+('ФАКТ ЧИСТ К3'!U36)*СПРАВОЧНИК!$L$14+('ФАКТ ЧИСТ К3'!V36)*СПРАВОЧНИК!$M$14+('ФАКТ ЧИСТ К3'!W36)*СПРАВОЧНИК!$N$14+('ФАКТ ЧИСТ К3'!X36)*СПРАВОЧНИК!$L$15+('ФАКТ ЧИСТ К3'!Y36)*СПРАВОЧНИК!$M$15+('ФАКТ ЧИСТ К3'!Z36)*СПРАВОЧНИК!$N$15</f>
        <v/>
      </c>
      <c r="BW45" s="18">
        <f>BW44+7</f>
        <v/>
      </c>
      <c r="BX45" s="37">
        <f>V45+AN45+BF45</f>
        <v/>
      </c>
      <c r="BY45" s="40">
        <f>W45+AO45+BG45</f>
        <v/>
      </c>
      <c r="CC45" s="18">
        <f>CC44+7</f>
        <v/>
      </c>
      <c r="CD45" s="37">
        <f>AB45+AT45+BL45</f>
        <v/>
      </c>
      <c r="CE45" s="40">
        <f>AC45+AU45+BM45</f>
        <v/>
      </c>
      <c r="CI45" s="18">
        <f>CI44+7</f>
        <v/>
      </c>
      <c r="CJ45" s="37">
        <f>AH45+AZ45+BR45</f>
        <v/>
      </c>
      <c r="CK45" s="40">
        <f>AI45+BA45+BS45</f>
        <v/>
      </c>
      <c r="CO45" s="18">
        <f>CO44+7</f>
        <v/>
      </c>
      <c r="CP45" s="37">
        <f>D45+BX45</f>
        <v/>
      </c>
      <c r="CQ45" s="40">
        <f>E45+BY45</f>
        <v/>
      </c>
      <c r="CU45" s="18">
        <f>CU44+7</f>
        <v/>
      </c>
      <c r="CV45" s="37">
        <f>J45+CD45</f>
        <v/>
      </c>
      <c r="CW45" s="40">
        <f>K45+CE45</f>
        <v/>
      </c>
      <c r="DA45" s="18">
        <f>DA44+7</f>
        <v/>
      </c>
      <c r="DB45" s="37">
        <f>P45+CJ45</f>
        <v/>
      </c>
      <c r="DC45" s="40">
        <f>Q45+CK45</f>
        <v/>
      </c>
    </row>
    <row r="46">
      <c r="C46" s="18">
        <f>C45+7</f>
        <v/>
      </c>
      <c r="D46" s="37">
        <f>СПРАВОЧНИК!$E$3*('ПЛАН ЧЕРН ПОДЗЕМ'!B37*СПРАВОЧНИК!$H$3+'ПЛАН ЧЕРН ПОДЗЕМ'!C37*СПРАВОЧНИК!$I$3+'ПЛАН ЧЕРН ПОДЗЕМ'!D37*СПРАВОЧНИК!$J$3)+СПРАВОЧНИК!$E$4*('ПЛАН ЧЕРН ПОДЗЕМ'!E37*СПРАВОЧНИК!$H$4+'ПЛАН ЧЕРН ПОДЗЕМ'!F37*СПРАВОЧНИК!$I$4+'ПЛАН ЧЕРН ПОДЗЕМ'!G37*СПРАВОЧНИК!$J$4)+СПРАВОЧНИК!$E$5*('ПЛАН ЧЕРН ПОДЗЕМ'!H37*СПРАВОЧНИК!$H$5+'ПЛАН ЧЕРН ПОДЗЕМ'!I37*СПРАВОЧНИК!$I$5+'ПЛАН ЧЕРН ПОДЗЕМ'!J37*СПРАВОЧНИК!$J$5)+СПРАВОЧНИК!$E$6*('ПЛАН ЧЕРН ПОДЗЕМ'!K37*СПРАВОЧНИК!$H$6+'ПЛАН ЧЕРН ПОДЗЕМ'!L37*СПРАВОЧНИК!$I$6+'ПЛАН ЧЕРН ПОДЗЕМ'!M37*СПРАВОЧНИК!$J$6)+СПРАВОЧНИК!$E$7*('ПЛАН ЧЕРН ПОДЗЕМ'!N37*СПРАВОЧНИК!$H$7+'ПЛАН ЧЕРН ПОДЗЕМ'!O37*СПРАВОЧНИК!$I$7+'ПЛАН ЧЕРН ПОДЗЕМ'!P37*СПРАВОЧНИК!$J$7)+СПРАВОЧНИК!$E$8*('ПЛАН ЧЕРН ПОДЗЕМ'!Q37*СПРАВОЧНИК!$H$8+'ПЛАН ЧЕРН ПОДЗЕМ'!R37*СПРАВОЧНИК!$I$8+'ПЛАН ЧЕРН ПОДЗЕМ'!S37*СПРАВОЧНИК!$J$8)+СПРАВОЧНИК!$F$3*('ПЛАН ЧИСТ ПОДЗЕМ'!B37*СПРАВОЧНИК!$L$3+'ПЛАН ЧИСТ ПОДЗЕМ'!C37*СПРАВОЧНИК!$M$3+'ПЛАН ЧИСТ ПОДЗЕМ'!D37*СПРАВОЧНИК!$N$3+'ПЛАН ЧИСТ ПОДЗЕМ'!E37*СПРАВОЧНИК!$O$3)+СПРАВОЧНИК!$F$4*('ПЛАН ЧИСТ ПОДЗЕМ'!F37*СПРАВОЧНИК!$L$4+'ПЛАН ЧИСТ ПОДЗЕМ'!G37*СПРАВОЧНИК!$M$4+'ПЛАН ЧИСТ ПОДЗЕМ'!H37*СПРАВОЧНИК!$N$4+'ПЛАН ЧИСТ ПОДЗЕМ'!I37*СПРАВОЧНИК!$O$4)+СПРАВОЧНИК!$F$5*('ПЛАН ЧИСТ ПОДЗЕМ'!J37*СПРАВОЧНИК!$L$5+'ПЛАН ЧИСТ ПОДЗЕМ'!K37*СПРАВОЧНИК!$M$5+'ПЛАН ЧИСТ ПОДЗЕМ'!L37*СПРАВОЧНИК!$N$5)+СПРАВОЧНИК!$F$6*('ПЛАН ЧИСТ ПОДЗЕМ'!M37*СПРАВОЧНИК!$L$6+'ПЛАН ЧИСТ ПОДЗЕМ'!N37*СПРАВОЧНИК!$M$6+'ПЛАН ЧИСТ ПОДЗЕМ'!O37*СПРАВОЧНИК!$N$6+'ПЛАН ЧИСТ ПОДЗЕМ'!P37*СПРАВОЧНИК!$O$6)+СПРАВОЧНИК!$F$7*('ПЛАН ЧИСТ ПОДЗЕМ'!Q37*СПРАВОЧНИК!$L$7+'ПЛАН ЧИСТ ПОДЗЕМ'!R37*СПРАВОЧНИК!$M$7+'ПЛАН ЧИСТ ПОДЗЕМ'!S37*СПРАВОЧНИК!$N$7+'ПЛАН ЧИСТ ПОДЗЕМ'!T37*СПРАВОЧНИК!$O$7)+СПРАВОЧНИК!$F$8*('ПЛАН ЧИСТ ПОДЗЕМ'!U37*СПРАВОЧНИК!$L$8+'ПЛАН ЧИСТ ПОДЗЕМ'!V37*СПРАВОЧНИК!$M$8+'ПЛАН ЧИСТ ПОДЗЕМ'!W37*СПРАВОЧНИК!$N$8)</f>
        <v/>
      </c>
      <c r="E46" s="40">
        <f>СПРАВОЧНИК!$E$3*(('ФАКТ ЧЕРН ПОДЗЕМ'!B37)*СПРАВОЧНИК!$H$3+('ФАКТ ЧЕРН ПОДЗЕМ'!C37)*СПРАВОЧНИК!$I$3+('ФАКТ ЧЕРН ПОДЗЕМ'!D37)*СПРАВОЧНИК!$J$3)+СПРАВОЧНИК!$E$4*(('ФАКТ ЧЕРН ПОДЗЕМ'!E37)*СПРАВОЧНИК!$H$4+('ФАКТ ЧЕРН ПОДЗЕМ'!F37)*СПРАВОЧНИК!$I$4+('ФАКТ ЧЕРН ПОДЗЕМ'!G37)*СПРАВОЧНИК!$J$4)+СПРАВОЧНИК!$E$5*(('ФАКТ ЧЕРН ПОДЗЕМ'!H37)*СПРАВОЧНИК!$H$5+('ФАКТ ЧЕРН ПОДЗЕМ'!I37)*СПРАВОЧНИК!$I$5+('ФАКТ ЧЕРН ПОДЗЕМ'!J37)*СПРАВОЧНИК!$J$5)+СПРАВОЧНИК!$E$6*(('ФАКТ ЧЕРН ПОДЗЕМ'!K37)*СПРАВОЧНИК!$H$6+('ФАКТ ЧЕРН ПОДЗЕМ'!L37)*СПРАВОЧНИК!$I$6+('ФАКТ ЧЕРН ПОДЗЕМ'!M37)*СПРАВОЧНИК!$J$6)+СПРАВОЧНИК!$E$7*(('ФАКТ ЧЕРН ПОДЗЕМ'!N37)*СПРАВОЧНИК!$H$7+('ФАКТ ЧЕРН ПОДЗЕМ'!O37)*СПРАВОЧНИК!$I$7+('ФАКТ ЧЕРН ПОДЗЕМ'!P37)*СПРАВОЧНИК!$J$7)+СПРАВОЧНИК!$E$8*(('ФАКТ ЧЕРН ПОДЗЕМ'!Q37)*СПРАВОЧНИК!$H$8+('ФАКТ ЧЕРН ПОДЗЕМ'!R37)*СПРАВОЧНИК!$I$8+('ФАКТ ЧЕРН ПОДЗЕМ'!S37)*СПРАВОЧНИК!$J$8)+СПРАВОЧНИК!$F$3*(('ФАКТ ЧИСТ ПОДЗЕМ'!B37)*СПРАВОЧНИК!$L$3+('ФАКТ ЧИСТ ПОДЗЕМ'!C37)*СПРАВОЧНИК!$M$3+('ФАКТ ЧИСТ ПОДЗЕМ'!D37)*СПРАВОЧНИК!$N$3+('ФАКТ ЧИСТ ПОДЗЕМ'!E37)*СПРАВОЧНИК!$O$3)+СПРАВОЧНИК!$F$4*(('ФАКТ ЧИСТ ПОДЗЕМ'!F37)*СПРАВОЧНИК!$L$4+('ФАКТ ЧИСТ ПОДЗЕМ'!G37)*СПРАВОЧНИК!$M$4+('ФАКТ ЧИСТ ПОДЗЕМ'!H37)*СПРАВОЧНИК!$N$4+('ФАКТ ЧИСТ ПОДЗЕМ'!I37)*СПРАВОЧНИК!$O$4)+СПРАВОЧНИК!$F$5*(('ФАКТ ЧИСТ ПОДЗЕМ'!J37)*СПРАВОЧНИК!$L$5+('ФАКТ ЧИСТ ПОДЗЕМ'!K37)*СПРАВОЧНИК!$M$5+('ФАКТ ЧИСТ ПОДЗЕМ'!L37)*СПРАВОЧНИК!$N$5)+СПРАВОЧНИК!$F$6*(('ФАКТ ЧИСТ ПОДЗЕМ'!M37)*СПРАВОЧНИК!$L$6+('ФАКТ ЧИСТ ПОДЗЕМ'!N37)*СПРАВОЧНИК!$M$6+('ФАКТ ЧИСТ ПОДЗЕМ'!O37)*СПРАВОЧНИК!$N$6+('ФАКТ ЧИСТ ПОДЗЕМ'!P37)*СПРАВОЧНИК!$O$6)+СПРАВОЧНИК!$F$7*(('ФАКТ ЧИСТ ПОДЗЕМ'!Q37)*СПРАВОЧНИК!$L$7+('ФАКТ ЧИСТ ПОДЗЕМ'!R37)*СПРАВОЧНИК!$M$7+('ФАКТ ЧИСТ ПОДЗЕМ'!S37)*СПРАВОЧНИК!$N$7+('ФАКТ ЧИСТ ПОДЗЕМ'!T37)*СПРАВОЧНИК!$O$7)+СПРАВОЧНИК!$F$8*(('ФАКТ ЧИСТ ПОДЗЕМ'!U37)*СПРАВОЧНИК!$L$8+('ФАКТ ЧИСТ ПОДЗЕМ'!V37)*СПРАВОЧНИК!$M$8+('ФАКТ ЧИСТ ПОДЗЕМ'!W37)*СПРАВОЧНИК!$N$8)</f>
        <v/>
      </c>
      <c r="I46" s="18">
        <f>I45+7</f>
        <v/>
      </c>
      <c r="J46" s="37">
        <f>'ПЛАН ЧЕРН ПОДЗЕМ'!B37*СПРАВОЧНИК!$H$3+'ПЛАН ЧЕРН ПОДЗЕМ'!C37*СПРАВОЧНИК!$I$3+'ПЛАН ЧЕРН ПОДЗЕМ'!D37*СПРАВОЧНИК!$J$3+'ПЛАН ЧЕРН ПОДЗЕМ'!E37*СПРАВОЧНИК!$H$4+'ПЛАН ЧЕРН ПОДЗЕМ'!F37*СПРАВОЧНИК!$I$4+'ПЛАН ЧЕРН ПОДЗЕМ'!G37*СПРАВОЧНИК!$J$4+'ПЛАН ЧЕРН ПОДЗЕМ'!H37*СПРАВОЧНИК!$H$5+'ПЛАН ЧЕРН ПОДЗЕМ'!I37*СПРАВОЧНИК!$I$5+'ПЛАН ЧЕРН ПОДЗЕМ'!J37*СПРАВОЧНИК!$J$5+'ПЛАН ЧЕРН ПОДЗЕМ'!K37*СПРАВОЧНИК!$H$6+'ПЛАН ЧЕРН ПОДЗЕМ'!L37*СПРАВОЧНИК!$I$6+'ПЛАН ЧЕРН ПОДЗЕМ'!M37*СПРАВОЧНИК!$J$6+'ПЛАН ЧЕРН ПОДЗЕМ'!N37*СПРАВОЧНИК!$H$7+'ПЛАН ЧЕРН ПОДЗЕМ'!O37*СПРАВОЧНИК!$I$7+'ПЛАН ЧЕРН ПОДЗЕМ'!P37*СПРАВОЧНИК!$J$7+'ПЛАН ЧЕРН ПОДЗЕМ'!Q37*СПРАВОЧНИК!$H$8+'ПЛАН ЧЕРН ПОДЗЕМ'!R37*СПРАВОЧНИК!$I$8+'ПЛАН ЧЕРН ПОДЗЕМ'!S37*СПРАВОЧНИК!$J$8</f>
        <v/>
      </c>
      <c r="K46" s="40">
        <f>('ФАКТ ЧЕРН ПОДЗЕМ'!B37)*СПРАВОЧНИК!$H$3+('ФАКТ ЧЕРН ПОДЗЕМ'!C37)*СПРАВОЧНИК!$I$3+('ФАКТ ЧЕРН ПОДЗЕМ'!D37)*СПРАВОЧНИК!$J$3+('ФАКТ ЧЕРН ПОДЗЕМ'!E37)*СПРАВОЧНИК!$H$4+('ФАКТ ЧЕРН ПОДЗЕМ'!F37)*СПРАВОЧНИК!$I$4+('ФАКТ ЧЕРН ПОДЗЕМ'!G37)*СПРАВОЧНИК!$J$4+('ФАКТ ЧЕРН ПОДЗЕМ'!H37)*СПРАВОЧНИК!$H$5+('ФАКТ ЧЕРН ПОДЗЕМ'!I37)*СПРАВОЧНИК!$I$5+('ФАКТ ЧЕРН ПОДЗЕМ'!J37)*СПРАВОЧНИК!$J$5+('ФАКТ ЧЕРН ПОДЗЕМ'!K37)*СПРАВОЧНИК!$H$6+('ФАКТ ЧЕРН ПОДЗЕМ'!L37)*СПРАВОЧНИК!$I$6+('ФАКТ ЧЕРН ПОДЗЕМ'!M37)*СПРАВОЧНИК!$J$6+('ФАКТ ЧЕРН ПОДЗЕМ'!N37)*СПРАВОЧНИК!$H$7+('ФАКТ ЧЕРН ПОДЗЕМ'!O37)*СПРАВОЧНИК!$I$7+('ФАКТ ЧЕРН ПОДЗЕМ'!P37)*СПРАВОЧНИК!$J$7+('ФАКТ ЧЕРН ПОДЗЕМ'!Q37)*СПРАВОЧНИК!$H$8+('ФАКТ ЧЕРН ПОДЗЕМ'!R37)*СПРАВОЧНИК!$I$8+('ФАКТ ЧЕРН ПОДЗЕМ'!S37)*СПРАВОЧНИК!$J$8</f>
        <v/>
      </c>
      <c r="O46" s="18">
        <f>O45+7</f>
        <v/>
      </c>
      <c r="P46" s="37">
        <f>'ПЛАН ЧИСТ ПОДЗЕМ'!B37*СПРАВОЧНИК!$L$3+'ПЛАН ЧИСТ ПОДЗЕМ'!C37*СПРАВОЧНИК!$M$3+'ПЛАН ЧИСТ ПОДЗЕМ'!D37*СПРАВОЧНИК!$N$3+'ПЛАН ЧИСТ ПОДЗЕМ'!E37*СПРАВОЧНИК!$O$3+'ПЛАН ЧИСТ ПОДЗЕМ'!F37*СПРАВОЧНИК!$L$4+'ПЛАН ЧИСТ ПОДЗЕМ'!G37*СПРАВОЧНИК!$M$4+'ПЛАН ЧИСТ ПОДЗЕМ'!H37*СПРАВОЧНИК!$N$4+'ПЛАН ЧИСТ ПОДЗЕМ'!I37*СПРАВОЧНИК!$O$4+'ПЛАН ЧИСТ ПОДЗЕМ'!J37*СПРАВОЧНИК!$L$5+'ПЛАН ЧИСТ ПОДЗЕМ'!K37*СПРАВОЧНИК!$M$5+'ПЛАН ЧИСТ ПОДЗЕМ'!L37*СПРАВОЧНИК!$N$5+'ПЛАН ЧИСТ ПОДЗЕМ'!M37*СПРАВОЧНИК!$L$6+'ПЛАН ЧИСТ ПОДЗЕМ'!N37*СПРАВОЧНИК!$M$6+'ПЛАН ЧИСТ ПОДЗЕМ'!O37*СПРАВОЧНИК!$N$6+'ПЛАН ЧИСТ ПОДЗЕМ'!P37*СПРАВОЧНИК!$O$6+'ПЛАН ЧИСТ ПОДЗЕМ'!Q37*СПРАВОЧНИК!$L$7+'ПЛАН ЧИСТ ПОДЗЕМ'!R37*СПРАВОЧНИК!$M$7+'ПЛАН ЧИСТ ПОДЗЕМ'!S37*СПРАВОЧНИК!$N$7+'ПЛАН ЧИСТ ПОДЗЕМ'!T37*СПРАВОЧНИК!$O$7+'ПЛАН ЧИСТ ПОДЗЕМ'!U37*СПРАВОЧНИК!$L$8+'ПЛАН ЧИСТ ПОДЗЕМ'!V37*СПРАВОЧНИК!$M$8+'ПЛАН ЧИСТ ПОДЗЕМ'!W37*СПРАВОЧНИК!$N$8</f>
        <v/>
      </c>
      <c r="Q46" s="40">
        <f>('ФАКТ ЧИСТ ПОДЗЕМ'!B37)*СПРАВОЧНИК!$L$3+('ФАКТ ЧИСТ ПОДЗЕМ'!C37)*СПРАВОЧНИК!$M$3+('ФАКТ ЧИСТ ПОДЗЕМ'!D37)*СПРАВОЧНИК!$N$3+('ФАКТ ЧИСТ ПОДЗЕМ'!E37)*СПРАВОЧНИК!$O$3+('ФАКТ ЧИСТ ПОДЗЕМ'!F37)*СПРАВОЧНИК!$L$4+('ФАКТ ЧИСТ ПОДЗЕМ'!G37)*СПРАВОЧНИК!$M$4+('ФАКТ ЧИСТ ПОДЗЕМ'!H37)*СПРАВОЧНИК!$N$4+('ФАКТ ЧИСТ ПОДЗЕМ'!I37)*СПРАВОЧНИК!$O$4+('ФАКТ ЧИСТ ПОДЗЕМ'!J37)*СПРАВОЧНИК!$L$5+('ФАКТ ЧИСТ ПОДЗЕМ'!K37)*СПРАВОЧНИК!$M$5+('ФАКТ ЧИСТ ПОДЗЕМ'!L37)*СПРАВОЧНИК!$N$5+('ФАКТ ЧИСТ ПОДЗЕМ'!M37)*СПРАВОЧНИК!$L$6+('ФАКТ ЧИСТ ПОДЗЕМ'!N37)*СПРАВОЧНИК!$M$6+('ФАКТ ЧИСТ ПОДЗЕМ'!O37)*СПРАВОЧНИК!$N$6+('ФАКТ ЧИСТ ПОДЗЕМ'!P37)*СПРАВОЧНИК!$O$6+('ФАКТ ЧИСТ ПОДЗЕМ'!Q37)*СПРАВОЧНИК!$L$7+('ФАКТ ЧИСТ ПОДЗЕМ'!R37)*СПРАВОЧНИК!$M$7+('ФАКТ ЧИСТ ПОДЗЕМ'!S37)*СПРАВОЧНИК!$N$7+('ФАКТ ЧИСТ ПОДЗЕМ'!T37)*СПРАВОЧНИК!$O$7+('ФАКТ ЧИСТ ПОДЗЕМ'!U37)*СПРАВОЧНИК!$L$8+('ФАКТ ЧИСТ ПОДЗЕМ'!V37)*СПРАВОЧНИК!$M$8+('ФАКТ ЧИСТ ПОДЗЕМ'!W37)*СПРАВОЧНИК!$N$8</f>
        <v/>
      </c>
      <c r="U46" s="18">
        <f>U45+7</f>
        <v/>
      </c>
      <c r="V46" s="37">
        <f>СПРАВОЧНИК!$E$9*('ПЛАН ЧЕРН К1'!B37*СПРАВОЧНИК!$H$9+'ПЛАН ЧЕРН К1'!C37*СПРАВОЧНИК!$I$9+'ПЛАН ЧЕРН К1'!D37*СПРАВОЧНИК!$J$9)+СПРАВОЧНИК!$E$10*('ПЛАН ЧЕРН К1'!E37*СПРАВОЧНИК!$H$10+'ПЛАН ЧЕРН К1'!F37*СПРАВОЧНИК!$I$10+'ПЛАН ЧЕРН К1'!G37*СПРАВОЧНИК!$J$10)+СПРАВОЧНИК!$E$11*('ПЛАН ЧЕРН К1'!H37*СПРАВОЧНИК!$H$11+'ПЛАН ЧЕРН К1'!I37*СПРАВОЧНИК!$I$11+'ПЛАН ЧЕРН К1'!J37*СПРАВОЧНИК!$J$11)+СПРАВОЧНИК!$E$12*('ПЛАН ЧЕРН К1'!K37*СПРАВОЧНИК!$H$12+'ПЛАН ЧЕРН К1'!L37*СПРАВОЧНИК!$I$12+'ПЛАН ЧЕРН К1'!M37*СПРАВОЧНИК!$J$12)+СПРАВОЧНИК!$E$13*('ПЛАН ЧЕРН К1'!N37*СПРАВОЧНИК!$H$13+'ПЛАН ЧЕРН К1'!O37*СПРАВОЧНИК!$I$13+'ПЛАН ЧЕРН К1'!P37*СПРАВОЧНИК!$J$13)+СПРАВОЧНИК!$E$14*('ПЛАН ЧЕРН К1'!Q37*СПРАВОЧНИК!$H$14+'ПЛАН ЧЕРН К1'!R37*СПРАВОЧНИК!$I$14+'ПЛАН ЧЕРН К1'!S37*СПРАВОЧНИК!$J$14)+СПРАВОЧНИК!$E$15*('ПЛАН ЧЕРН К1'!T37*СПРАВОЧНИК!$H$15+'ПЛАН ЧЕРН К1'!U37*СПРАВОЧНИК!$I$15+'ПЛАН ЧЕРН К1'!V37*СПРАВОЧНИК!$J$15)+СПРАВОЧНИК!$F$9*('ПЛАН ЧИСТ К1'!B37*СПРАВОЧНИК!$L$9+'ПЛАН ЧИСТ К1'!C37*СПРАВОЧНИК!$M$9+'ПЛАН ЧИСТ К1'!D37*СПРАВОЧНИК!$N$9+'ПЛАН ЧИСТ К1'!E37*СПРАВОЧНИК!$O$9)+СПРАВОЧНИК!$F$10*('ПЛАН ЧИСТ К1'!F37*СПРАВОЧНИК!$L$10+'ПЛАН ЧИСТ К1'!G37*СПРАВОЧНИК!$M$10+'ПЛАН ЧИСТ К1'!H37*СПРАВОЧНИК!$N$10+'ПЛАН ЧИСТ К1'!I37*СПРАВОЧНИК!$O$10)+СПРАВОЧНИК!$F$11*('ПЛАН ЧИСТ К1'!J37*СПРАВОЧНИК!$L$11+'ПЛАН ЧИСТ К1'!K37*СПРАВОЧНИК!$M$11+'ПЛАН ЧИСТ К1'!L37*СПРАВОЧНИК!$N$11)+СПРАВОЧНИК!$F$12*('ПЛАН ЧИСТ К1'!M37*СПРАВОЧНИК!$L$12+'ПЛАН ЧИСТ К1'!N37*СПРАВОЧНИК!$M$12+'ПЛАН ЧИСТ К1'!O37*СПРАВОЧНИК!$N$12+'ПЛАН ЧИСТ К1'!P37*СПРАВОЧНИК!$O$12)+СПРАВОЧНИК!$F$13*('ПЛАН ЧИСТ К1'!Q37*СПРАВОЧНИК!$L$13+'ПЛАН ЧИСТ К1'!R37*СПРАВОЧНИК!$M$13+'ПЛАН ЧИСТ К1'!S37*СПРАВОЧНИК!$N$13+'ПЛАН ЧИСТ К1'!T37*СПРАВОЧНИК!$O$13)+СПРАВОЧНИК!$F$14*('ПЛАН ЧИСТ К1'!U37*СПРАВОЧНИК!$L$14+'ПЛАН ЧИСТ К1'!V37*СПРАВОЧНИК!$M$14+'ПЛАН ЧИСТ К1'!W37*СПРАВОЧНИК!$N$14)+СПРАВОЧНИК!$F$15*('ПЛАН ЧИСТ К1'!X37*СПРАВОЧНИК!$L$15+'ПЛАН ЧИСТ К1'!Y37*СПРАВОЧНИК!$M$15+'ПЛАН ЧИСТ К1'!Z37*СПРАВОЧНИК!$N$15)</f>
        <v/>
      </c>
      <c r="W46" s="40">
        <f>СПРАВОЧНИК!$E$9*(('ФАКТ ЧЕРН К1'!B37)*СПРАВОЧНИК!$H$9+('ФАКТ ЧЕРН К1'!C37)*СПРАВОЧНИК!$I$9+('ФАКТ ЧЕРН К1'!D37)*СПРАВОЧНИК!$J$9)+СПРАВОЧНИК!$E$10*(('ФАКТ ЧЕРН К1'!E37)*СПРАВОЧНИК!$H$10+('ФАКТ ЧЕРН К1'!F37)*СПРАВОЧНИК!$I$10+('ФАКТ ЧЕРН К1'!G37)*СПРАВОЧНИК!$J$10)+СПРАВОЧНИК!$E$11*(('ФАКТ ЧЕРН К1'!H37)*СПРАВОЧНИК!$H$11+('ФАКТ ЧЕРН К1'!I37)*СПРАВОЧНИК!$I$11+('ФАКТ ЧЕРН К1'!J37)*СПРАВОЧНИК!$J$11)+СПРАВОЧНИК!$E$12*(('ФАКТ ЧЕРН К1'!K37)*СПРАВОЧНИК!$H$12+('ФАКТ ЧЕРН К1'!L37)*СПРАВОЧНИК!$I$12+('ФАКТ ЧЕРН К1'!M37)*СПРАВОЧНИК!$J$12)+СПРАВОЧНИК!$E$13*(('ФАКТ ЧЕРН К1'!N37)*СПРАВОЧНИК!$H$13+('ФАКТ ЧЕРН К1'!O37)*СПРАВОЧНИК!$I$13+('ФАКТ ЧЕРН К1'!P37)*СПРАВОЧНИК!$J$13)+СПРАВОЧНИК!$E$14*(('ФАКТ ЧЕРН К1'!Q37)*СПРАВОЧНИК!$H$14+('ФАКТ ЧЕРН К1'!R37)*СПРАВОЧНИК!$I$14+('ФАКТ ЧЕРН К1'!S37)*СПРАВОЧНИК!$J$14)+СПРАВОЧНИК!$E$15*(('ФАКТ ЧЕРН К1'!T37)*СПРАВОЧНИК!$H$15+('ФАКТ ЧЕРН К1'!U37)*СПРАВОЧНИК!$I$15+('ФАКТ ЧЕРН К1'!V37)*СПРАВОЧНИК!$J$15)+СПРАВОЧНИК!$F$9*(('ФАКТ ЧИСТ К1'!B37)*СПРАВОЧНИК!$L$9+('ФАКТ ЧИСТ К1'!C37)*СПРАВОЧНИК!$M$9+('ФАКТ ЧИСТ К1'!D37)*СПРАВОЧНИК!$N$9+('ФАКТ ЧИСТ К1'!E37)*СПРАВОЧНИК!$O$9)+СПРАВОЧНИК!$F$10*(('ФАКТ ЧИСТ К1'!F37)*СПРАВОЧНИК!$L$10+('ФАКТ ЧИСТ К1'!G37)*СПРАВОЧНИК!$M$10+('ФАКТ ЧИСТ К1'!H37)*СПРАВОЧНИК!$N$10+('ФАКТ ЧИСТ К1'!I37)*СПРАВОЧНИК!$O$10)+СПРАВОЧНИК!$F$11*(('ФАКТ ЧИСТ К1'!J37)*СПРАВОЧНИК!$L$11+('ФАКТ ЧИСТ К1'!K37)*СПРАВОЧНИК!$M$11+('ФАКТ ЧИСТ К1'!L37)*СПРАВОЧНИК!$N$11)+СПРАВОЧНИК!$F$12*(('ФАКТ ЧИСТ К1'!M37)*СПРАВОЧНИК!$L$12+('ФАКТ ЧИСТ К1'!N37)*СПРАВОЧНИК!$M$12+('ФАКТ ЧИСТ К1'!O37)*СПРАВОЧНИК!$N$12+('ФАКТ ЧИСТ К1'!P37)*СПРАВОЧНИК!$O$12)+СПРАВОЧНИК!$F$13*(('ФАКТ ЧИСТ К1'!Q37)*СПРАВОЧНИК!$L$13+('ФАКТ ЧИСТ К1'!R37)*СПРАВОЧНИК!$M$13+('ФАКТ ЧИСТ К1'!S37)*СПРАВОЧНИК!$N$13+('ФАКТ ЧИСТ К1'!T37)*СПРАВОЧНИК!$O$13)+СПРАВОЧНИК!$F$14*(('ФАКТ ЧИСТ К1'!U37)*СПРАВОЧНИК!$L$14+('ФАКТ ЧИСТ К1'!V37)*СПРАВОЧНИК!$M$14+('ФАКТ ЧИСТ К1'!W37)*СПРАВОЧНИК!$N$14)+СПРАВОЧНИК!$F$15*(('ФАКТ ЧИСТ К1'!X37)*СПРАВОЧНИК!$L$15+('ФАКТ ЧИСТ К1'!Y37)*СПРАВОЧНИК!$M$15+('ФАКТ ЧИСТ К1'!Z37)*СПРАВОЧНИК!$N$15)</f>
        <v/>
      </c>
      <c r="AA46" s="18">
        <f>AA45+7</f>
        <v/>
      </c>
      <c r="AB46" s="37">
        <f>'ПЛАН ЧЕРН К1'!B37*СПРАВОЧНИК!$H$9+'ПЛАН ЧЕРН К1'!C37*СПРАВОЧНИК!$I$9+'ПЛАН ЧЕРН К1'!D37*СПРАВОЧНИК!$J$9+'ПЛАН ЧЕРН К1'!E37*СПРАВОЧНИК!$H$10+'ПЛАН ЧЕРН К1'!F37*СПРАВОЧНИК!$I$10+'ПЛАН ЧЕРН К1'!G37*СПРАВОЧНИК!$J$10+'ПЛАН ЧЕРН К1'!H37*СПРАВОЧНИК!$H$11+'ПЛАН ЧЕРН К1'!I37*СПРАВОЧНИК!$I$11+'ПЛАН ЧЕРН К1'!J37*СПРАВОЧНИК!$J$11+'ПЛАН ЧЕРН К1'!K37*СПРАВОЧНИК!$H$12+'ПЛАН ЧЕРН К1'!L37*СПРАВОЧНИК!$I$12+'ПЛАН ЧЕРН К1'!M37*СПРАВОЧНИК!$J$12+'ПЛАН ЧЕРН К1'!N37*СПРАВОЧНИК!$H$13+'ПЛАН ЧЕРН К1'!O37*СПРАВОЧНИК!$I$13+'ПЛАН ЧЕРН К1'!P37*СПРАВОЧНИК!$J$13+'ПЛАН ЧЕРН К1'!Q37*СПРАВОЧНИК!$H$14+'ПЛАН ЧЕРН К1'!R37*СПРАВОЧНИК!$I$14+'ПЛАН ЧЕРН К1'!S37*СПРАВОЧНИК!$J$14+'ПЛАН ЧЕРН К1'!T37*СПРАВОЧНИК!$H$15+'ПЛАН ЧЕРН К1'!U37*СПРАВОЧНИК!$I$15+'ПЛАН ЧЕРН К1'!V37*СПРАВОЧНИК!$J$15</f>
        <v/>
      </c>
      <c r="AC46" s="40">
        <f>('ФАКТ ЧЕРН К1'!B37)*СПРАВОЧНИК!$H$9+('ФАКТ ЧЕРН К1'!C37)*СПРАВОЧНИК!$I$9+('ФАКТ ЧЕРН К1'!D37)*СПРАВОЧНИК!$J$9+('ФАКТ ЧЕРН К1'!E37)*СПРАВОЧНИК!$H$10+('ФАКТ ЧЕРН К1'!F37)*СПРАВОЧНИК!$I$10+('ФАКТ ЧЕРН К1'!G37)*СПРАВОЧНИК!$J$10+('ФАКТ ЧЕРН К1'!H37)*СПРАВОЧНИК!$H$11+('ФАКТ ЧЕРН К1'!I37)*СПРАВОЧНИК!$I$11+('ФАКТ ЧЕРН К1'!J37)*СПРАВОЧНИК!$J$11+('ФАКТ ЧЕРН К1'!K37)*СПРАВОЧНИК!$H$12+('ФАКТ ЧЕРН К1'!L37)*СПРАВОЧНИК!$I$12+('ФАКТ ЧЕРН К1'!M37)*СПРАВОЧНИК!$J$12+('ФАКТ ЧЕРН К1'!N37)*СПРАВОЧНИК!$H$13+('ФАКТ ЧЕРН К1'!O37)*СПРАВОЧНИК!$I$13+('ФАКТ ЧЕРН К1'!P37)*СПРАВОЧНИК!$J$13+('ФАКТ ЧЕРН К1'!Q37)*СПРАВОЧНИК!$H$14+('ФАКТ ЧЕРН К1'!R37)*СПРАВОЧНИК!$I$14+('ФАКТ ЧЕРН К1'!S37)*СПРАВОЧНИК!$J$14+('ФАКТ ЧЕРН К1'!T37)*СПРАВОЧНИК!$H$15+('ФАКТ ЧЕРН К1'!U37)*СПРАВОЧНИК!$I$15+('ФАКТ ЧЕРН К1'!V37)*СПРАВОЧНИК!$J$15</f>
        <v/>
      </c>
      <c r="AG46" s="18">
        <f>AG45+7</f>
        <v/>
      </c>
      <c r="AH46" s="37">
        <f>'ПЛАН ЧИСТ К1'!B37*СПРАВОЧНИК!$L$9+'ПЛАН ЧИСТ К1'!C37*СПРАВОЧНИК!$M$9+'ПЛАН ЧИСТ К1'!D37*СПРАВОЧНИК!$N$9+'ПЛАН ЧИСТ К1'!E37*СПРАВОЧНИК!$O$9+'ПЛАН ЧИСТ К1'!F37*СПРАВОЧНИК!$L$10+'ПЛАН ЧИСТ К1'!G37*СПРАВОЧНИК!$M$10+'ПЛАН ЧИСТ К1'!H37*СПРАВОЧНИК!$N$10+'ПЛАН ЧИСТ К1'!I37*СПРАВОЧНИК!$O$10+'ПЛАН ЧИСТ К1'!J37*СПРАВОЧНИК!$L$11+'ПЛАН ЧИСТ К1'!K37*СПРАВОЧНИК!$M$11+'ПЛАН ЧИСТ К1'!L37*СПРАВОЧНИК!$N$11+'ПЛАН ЧИСТ К1'!M37*СПРАВОЧНИК!$L$12+'ПЛАН ЧИСТ К1'!N37*СПРАВОЧНИК!$M$12+'ПЛАН ЧИСТ К1'!O37*СПРАВОЧНИК!$N$12+'ПЛАН ЧИСТ К1'!P37*СПРАВОЧНИК!$O$12+'ПЛАН ЧИСТ К1'!Q37*СПРАВОЧНИК!$L$13+'ПЛАН ЧИСТ К1'!R37*СПРАВОЧНИК!$M$13+'ПЛАН ЧИСТ К1'!S37*СПРАВОЧНИК!$N$13+'ПЛАН ЧИСТ К1'!T37*СПРАВОЧНИК!$O$13+'ПЛАН ЧИСТ К1'!U37*СПРАВОЧНИК!$L$14+'ПЛАН ЧИСТ К1'!V37*СПРАВОЧНИК!$M$14+'ПЛАН ЧИСТ К1'!W37*СПРАВОЧНИК!$N$14+'ПЛАН ЧИСТ К1'!X37*СПРАВОЧНИК!$L$15+'ПЛАН ЧИСТ К1'!Y37*СПРАВОЧНИК!$M$15+'ПЛАН ЧИСТ К1'!Z37*СПРАВОЧНИК!$N$15</f>
        <v/>
      </c>
      <c r="AI46" s="40">
        <f>('ФАКТ ЧИСТ К1'!B37)*СПРАВОЧНИК!$L$9+('ФАКТ ЧИСТ К1'!C37)*СПРАВОЧНИК!$M$9+('ФАКТ ЧИСТ К1'!D37)*СПРАВОЧНИК!$N$9+('ФАКТ ЧИСТ К1'!E37)*СПРАВОЧНИК!$O$9+('ФАКТ ЧИСТ К1'!F37)*СПРАВОЧНИК!$L$10+('ФАКТ ЧИСТ К1'!G37)*СПРАВОЧНИК!$M$10+('ФАКТ ЧИСТ К1'!H37)*СПРАВОЧНИК!$N$10+('ФАКТ ЧИСТ К1'!I37)*СПРАВОЧНИК!$O$10+('ФАКТ ЧИСТ К1'!J37)*СПРАВОЧНИК!$L$11+('ФАКТ ЧИСТ К1'!K37)*СПРАВОЧНИК!$M$11+('ФАКТ ЧИСТ К1'!L37)*СПРАВОЧНИК!$N$11+('ФАКТ ЧИСТ К1'!M37)*СПРАВОЧНИК!$L$12+('ФАКТ ЧИСТ К1'!N37)*СПРАВОЧНИК!$M$12+('ФАКТ ЧИСТ К1'!O37)*СПРАВОЧНИК!$N$12+('ФАКТ ЧИСТ К1'!P37)*СПРАВОЧНИК!$O$12+('ФАКТ ЧИСТ К1'!Q37)*СПРАВОЧНИК!$L$13+('ФАКТ ЧИСТ К1'!R37)*СПРАВОЧНИК!$M$13+('ФАКТ ЧИСТ К1'!S37)*СПРАВОЧНИК!$N$13+('ФАКТ ЧИСТ К1'!T37)*СПРАВОЧНИК!$O$13+('ФАКТ ЧИСТ К1'!U37)*СПРАВОЧНИК!$L$14+('ФАКТ ЧИСТ К1'!V37)*СПРАВОЧНИК!$M$14+('ФАКТ ЧИСТ К1'!W37)*СПРАВОЧНИК!$N$14+('ФАКТ ЧИСТ К1'!X37)*СПРАВОЧНИК!$L$15+('ФАКТ ЧИСТ К1'!Y37)*СПРАВОЧНИК!$M$15+('ФАКТ ЧИСТ К1'!Z37)*СПРАВОЧНИК!$N$15</f>
        <v/>
      </c>
      <c r="AM46" s="18">
        <f>AM45+7</f>
        <v/>
      </c>
      <c r="AN46" s="37">
        <f>СПРАВОЧНИК!$E$9*('ПЛАН ЧЕРН К2'!B37*СПРАВОЧНИК!$H$9+'ПЛАН ЧЕРН К2'!C37*СПРАВОЧНИК!$I$9+'ПЛАН ЧЕРН К2'!D37*СПРАВОЧНИК!$J$9)+СПРАВОЧНИК!$E$10*('ПЛАН ЧЕРН К2'!E37*СПРАВОЧНИК!$H$10+'ПЛАН ЧЕРН К2'!F37*СПРАВОЧНИК!$I$10+'ПЛАН ЧЕРН К2'!G37*СПРАВОЧНИК!$J$10)+СПРАВОЧНИК!$E$11*('ПЛАН ЧЕРН К2'!H37*СПРАВОЧНИК!$H$11+'ПЛАН ЧЕРН К2'!I37*СПРАВОЧНИК!$I$11+'ПЛАН ЧЕРН К2'!J37*СПРАВОЧНИК!$J$11)+СПРАВОЧНИК!$E$12*('ПЛАН ЧЕРН К2'!K37*СПРАВОЧНИК!$H$12+'ПЛАН ЧЕРН К2'!L37*СПРАВОЧНИК!$I$12+'ПЛАН ЧЕРН К2'!M37*СПРАВОЧНИК!$J$12)+СПРАВОЧНИК!$E$13*('ПЛАН ЧЕРН К2'!N37*СПРАВОЧНИК!$H$13+'ПЛАН ЧЕРН К2'!O37*СПРАВОЧНИК!$I$13+'ПЛАН ЧЕРН К2'!P37*СПРАВОЧНИК!$J$13)+СПРАВОЧНИК!$E$14*('ПЛАН ЧЕРН К2'!Q37*СПРАВОЧНИК!$H$14+'ПЛАН ЧЕРН К2'!R37*СПРАВОЧНИК!$I$14+'ПЛАН ЧЕРН К2'!S37*СПРАВОЧНИК!$J$14)+СПРАВОЧНИК!$E$15*('ПЛАН ЧЕРН К2'!T37*СПРАВОЧНИК!$H$15+'ПЛАН ЧЕРН К2'!U37*СПРАВОЧНИК!$I$15+'ПЛАН ЧЕРН К2'!V37*СПРАВОЧНИК!$J$15)+СПРАВОЧНИК!$F$9*('ПЛАН ЧИСТ К2'!B37*СПРАВОЧНИК!$L$9+'ПЛАН ЧИСТ К2'!C37*СПРАВОЧНИК!$M$9+'ПЛАН ЧИСТ К2'!D37*СПРАВОЧНИК!$N$9+'ПЛАН ЧИСТ К2'!E37*СПРАВОЧНИК!$O$9)+СПРАВОЧНИК!$F$10*('ПЛАН ЧИСТ К2'!F37*СПРАВОЧНИК!$L$10+'ПЛАН ЧИСТ К2'!G37*СПРАВОЧНИК!$M$10+'ПЛАН ЧИСТ К2'!H37*СПРАВОЧНИК!$N$10+'ПЛАН ЧИСТ К2'!I37*СПРАВОЧНИК!$O$10)+СПРАВОЧНИК!$F$11*('ПЛАН ЧИСТ К2'!J37*СПРАВОЧНИК!$L$11+'ПЛАН ЧИСТ К2'!K37*СПРАВОЧНИК!$M$11+'ПЛАН ЧИСТ К2'!L37*СПРАВОЧНИК!$N$11)+СПРАВОЧНИК!$F$12*('ПЛАН ЧИСТ К2'!M37*СПРАВОЧНИК!$L$12+'ПЛАН ЧИСТ К2'!N37*СПРАВОЧНИК!$M$12+'ПЛАН ЧИСТ К2'!O37*СПРАВОЧНИК!$N$12+'ПЛАН ЧИСТ К2'!P37*СПРАВОЧНИК!$O$12)+СПРАВОЧНИК!$F$13*('ПЛАН ЧИСТ К2'!Q37*СПРАВОЧНИК!$L$13+'ПЛАН ЧИСТ К2'!R37*СПРАВОЧНИК!$M$13+'ПЛАН ЧИСТ К2'!S37*СПРАВОЧНИК!$N$13+'ПЛАН ЧИСТ К2'!T37*СПРАВОЧНИК!$O$13)+СПРАВОЧНИК!$F$14*('ПЛАН ЧИСТ К2'!U37*СПРАВОЧНИК!$L$14+'ПЛАН ЧИСТ К2'!V37*СПРАВОЧНИК!$M$14+'ПЛАН ЧИСТ К2'!W37*СПРАВОЧНИК!$N$14)+СПРАВОЧНИК!$F$15*('ПЛАН ЧИСТ К2'!X37*СПРАВОЧНИК!$L$15+'ПЛАН ЧИСТ К2'!Y37*СПРАВОЧНИК!$M$15+'ПЛАН ЧИСТ К2'!Z37*СПРАВОЧНИК!$N$15)</f>
        <v/>
      </c>
      <c r="AO46" s="40">
        <f>СПРАВОЧНИК!$E$9*(('ФАКТ ЧЕРН К2'!B37)*СПРАВОЧНИК!$H$9+('ФАКТ ЧЕРН К2'!C37)*СПРАВОЧНИК!$I$9+('ФАКТ ЧЕРН К2'!D37)*СПРАВОЧНИК!$J$9)+СПРАВОЧНИК!$E$10*(('ФАКТ ЧЕРН К2'!E37)*СПРАВОЧНИК!$H$10+('ФАКТ ЧЕРН К2'!F37)*СПРАВОЧНИК!$I$10+('ФАКТ ЧЕРН К2'!G37)*СПРАВОЧНИК!$J$10)+СПРАВОЧНИК!$E$11*(('ФАКТ ЧЕРН К2'!H37)*СПРАВОЧНИК!$H$11+('ФАКТ ЧЕРН К2'!I37)*СПРАВОЧНИК!$I$11+('ФАКТ ЧЕРН К2'!J37)*СПРАВОЧНИК!$J$11)+СПРАВОЧНИК!$E$12*(('ФАКТ ЧЕРН К2'!K37)*СПРАВОЧНИК!$H$12+('ФАКТ ЧЕРН К2'!L37)*СПРАВОЧНИК!$I$12+('ФАКТ ЧЕРН К2'!M37)*СПРАВОЧНИК!$J$12)+СПРАВОЧНИК!$E$13*(('ФАКТ ЧЕРН К2'!N37)*СПРАВОЧНИК!$H$13+('ФАКТ ЧЕРН К2'!O37)*СПРАВОЧНИК!$I$13+('ФАКТ ЧЕРН К2'!P37)*СПРАВОЧНИК!$J$13)+СПРАВОЧНИК!$E$14*(('ФАКТ ЧЕРН К2'!Q37)*СПРАВОЧНИК!$H$14+('ФАКТ ЧЕРН К2'!R37)*СПРАВОЧНИК!$I$14+('ФАКТ ЧЕРН К2'!S37)*СПРАВОЧНИК!$J$14)+СПРАВОЧНИК!$E$15*(('ФАКТ ЧЕРН К2'!T37)*СПРАВОЧНИК!$H$15+('ФАКТ ЧЕРН К2'!U37)*СПРАВОЧНИК!$I$15+('ФАКТ ЧЕРН К2'!V37)*СПРАВОЧНИК!$J$15)+СПРАВОЧНИК!$F$9*(('ФАКТ ЧИСТ К2'!B37)*СПРАВОЧНИК!$L$9+('ФАКТ ЧИСТ К2'!C37)*СПРАВОЧНИК!$M$9+('ФАКТ ЧИСТ К2'!D37)*СПРАВОЧНИК!$N$9+('ФАКТ ЧИСТ К2'!E37)*СПРАВОЧНИК!$O$9)+СПРАВОЧНИК!$F$10*(('ФАКТ ЧИСТ К2'!F37)*СПРАВОЧНИК!$L$10+('ФАКТ ЧИСТ К2'!G37)*СПРАВОЧНИК!$M$10+('ФАКТ ЧИСТ К2'!H37)*СПРАВОЧНИК!$N$10+('ФАКТ ЧИСТ К2'!I37)*СПРАВОЧНИК!$O$10)+СПРАВОЧНИК!$F$11*(('ФАКТ ЧИСТ К2'!J37)*СПРАВОЧНИК!$L$11+('ФАКТ ЧИСТ К2'!K37)*СПРАВОЧНИК!$M$11+('ФАКТ ЧИСТ К2'!L37)*СПРАВОЧНИК!$N$11)+СПРАВОЧНИК!$F$12*(('ФАКТ ЧИСТ К2'!M37)*СПРАВОЧНИК!$L$12+('ФАКТ ЧИСТ К2'!N37)*СПРАВОЧНИК!$M$12+('ФАКТ ЧИСТ К2'!O37)*СПРАВОЧНИК!$N$12+('ФАКТ ЧИСТ К2'!P37)*СПРАВОЧНИК!$O$12)+СПРАВОЧНИК!$F$13*(('ФАКТ ЧИСТ К2'!Q37)*СПРАВОЧНИК!$L$13+('ФАКТ ЧИСТ К2'!R37)*СПРАВОЧНИК!$M$13+('ФАКТ ЧИСТ К2'!S37)*СПРАВОЧНИК!$N$13+('ФАКТ ЧИСТ К2'!T37)*СПРАВОЧНИК!$O$13)+СПРАВОЧНИК!$F$14*(('ФАКТ ЧИСТ К2'!U37)*СПРАВОЧНИК!$L$14+('ФАКТ ЧИСТ К2'!V37)*СПРАВОЧНИК!$M$14+('ФАКТ ЧИСТ К2'!W37)*СПРАВОЧНИК!$N$14)+СПРАВОЧНИК!$F$15*(('ФАКТ ЧИСТ К2'!X37)*СПРАВОЧНИК!$L$15+('ФАКТ ЧИСТ К2'!Y37)*СПРАВОЧНИК!$M$15+('ФАКТ ЧИСТ К2'!Z37)*СПРАВОЧНИК!$N$15)</f>
        <v/>
      </c>
      <c r="AS46" s="18">
        <f>AS45+7</f>
        <v/>
      </c>
      <c r="AT46" s="37">
        <f>'ПЛАН ЧЕРН К2'!B37*СПРАВОЧНИК!$H$9+'ПЛАН ЧЕРН К2'!C37*СПРАВОЧНИК!$I$9+'ПЛАН ЧЕРН К2'!D37*СПРАВОЧНИК!$J$9+'ПЛАН ЧЕРН К2'!E37*СПРАВОЧНИК!$H$10+'ПЛАН ЧЕРН К2'!F37*СПРАВОЧНИК!$I$10+'ПЛАН ЧЕРН К2'!G37*СПРАВОЧНИК!$J$10+'ПЛАН ЧЕРН К2'!H37*СПРАВОЧНИК!$H$11+'ПЛАН ЧЕРН К2'!I37*СПРАВОЧНИК!$I$11+'ПЛАН ЧЕРН К2'!J37*СПРАВОЧНИК!$J$11+'ПЛАН ЧЕРН К2'!K37*СПРАВОЧНИК!$H$12+'ПЛАН ЧЕРН К2'!L37*СПРАВОЧНИК!$I$12+'ПЛАН ЧЕРН К2'!M37*СПРАВОЧНИК!$J$12+'ПЛАН ЧЕРН К2'!N37*СПРАВОЧНИК!$H$13+'ПЛАН ЧЕРН К2'!O37*СПРАВОЧНИК!$I$13+'ПЛАН ЧЕРН К2'!P37*СПРАВОЧНИК!$J$13+'ПЛАН ЧЕРН К2'!Q37*СПРАВОЧНИК!$H$14+'ПЛАН ЧЕРН К2'!R37*СПРАВОЧНИК!$I$14+'ПЛАН ЧЕРН К2'!S37*СПРАВОЧНИК!$J$14+'ПЛАН ЧЕРН К2'!T37*СПРАВОЧНИК!$H$15+'ПЛАН ЧЕРН К2'!U37*СПРАВОЧНИК!$I$15+'ПЛАН ЧЕРН К2'!V37*СПРАВОЧНИК!$J$15</f>
        <v/>
      </c>
      <c r="AU46" s="40">
        <f>('ФАКТ ЧЕРН К2'!B37)*СПРАВОЧНИК!$H$9+('ФАКТ ЧЕРН К2'!C37)*СПРАВОЧНИК!$I$9+('ФАКТ ЧЕРН К2'!D37)*СПРАВОЧНИК!$J$9+('ФАКТ ЧЕРН К2'!E37)*СПРАВОЧНИК!$H$10+('ФАКТ ЧЕРН К2'!F37)*СПРАВОЧНИК!$I$10+('ФАКТ ЧЕРН К2'!G37)*СПРАВОЧНИК!$J$10+('ФАКТ ЧЕРН К2'!H37)*СПРАВОЧНИК!$H$11+('ФАКТ ЧЕРН К2'!I37)*СПРАВОЧНИК!$I$11+('ФАКТ ЧЕРН К2'!J37)*СПРАВОЧНИК!$J$11+('ФАКТ ЧЕРН К2'!K37)*СПРАВОЧНИК!$H$12+('ФАКТ ЧЕРН К2'!L37)*СПРАВОЧНИК!$I$12+('ФАКТ ЧЕРН К2'!M37)*СПРАВОЧНИК!$J$12+('ФАКТ ЧЕРН К2'!N37)*СПРАВОЧНИК!$H$13+('ФАКТ ЧЕРН К2'!O37)*СПРАВОЧНИК!$I$13+('ФАКТ ЧЕРН К2'!P37)*СПРАВОЧНИК!$J$13+('ФАКТ ЧЕРН К2'!Q37)*СПРАВОЧНИК!$H$14+('ФАКТ ЧЕРН К2'!R37)*СПРАВОЧНИК!$I$14+('ФАКТ ЧЕРН К2'!S37)*СПРАВОЧНИК!$J$14+('ФАКТ ЧЕРН К2'!T37)*СПРАВОЧНИК!$H$15+('ФАКТ ЧЕРН К2'!U37)*СПРАВОЧНИК!$I$15+('ФАКТ ЧЕРН К2'!V37)*СПРАВОЧНИК!$J$15</f>
        <v/>
      </c>
      <c r="AY46" s="18">
        <f>AY45+7</f>
        <v/>
      </c>
      <c r="AZ46" s="37">
        <f>'ПЛАН ЧИСТ К2'!B37*СПРАВОЧНИК!$L$9+'ПЛАН ЧИСТ К2'!C37*СПРАВОЧНИК!$M$9+'ПЛАН ЧИСТ К2'!D37*СПРАВОЧНИК!$N$9+'ПЛАН ЧИСТ К2'!E37*СПРАВОЧНИК!$O$9+'ПЛАН ЧИСТ К2'!F37*СПРАВОЧНИК!$L$10+'ПЛАН ЧИСТ К2'!G37*СПРАВОЧНИК!$M$10+'ПЛАН ЧИСТ К2'!H37*СПРАВОЧНИК!$N$10+'ПЛАН ЧИСТ К2'!I37*СПРАВОЧНИК!$O$10+'ПЛАН ЧИСТ К2'!J37*СПРАВОЧНИК!$L$11+'ПЛАН ЧИСТ К2'!K37*СПРАВОЧНИК!$M$11+'ПЛАН ЧИСТ К2'!L37*СПРАВОЧНИК!$N$11+'ПЛАН ЧИСТ К2'!M37*СПРАВОЧНИК!$L$12+'ПЛАН ЧИСТ К2'!N37*СПРАВОЧНИК!$M$12+'ПЛАН ЧИСТ К2'!O37*СПРАВОЧНИК!$N$12+'ПЛАН ЧИСТ К2'!P37*СПРАВОЧНИК!$O$12+'ПЛАН ЧИСТ К2'!Q37*СПРАВОЧНИК!$L$13+'ПЛАН ЧИСТ К2'!R37*СПРАВОЧНИК!$M$13+'ПЛАН ЧИСТ К2'!S37*СПРАВОЧНИК!$N$13+'ПЛАН ЧИСТ К2'!T37*СПРАВОЧНИК!$O$13+'ПЛАН ЧИСТ К2'!U37*СПРАВОЧНИК!$L$14+'ПЛАН ЧИСТ К2'!V37*СПРАВОЧНИК!$M$14+'ПЛАН ЧИСТ К2'!W37*СПРАВОЧНИК!$N$14+'ПЛАН ЧИСТ К2'!X37*СПРАВОЧНИК!$L$15+'ПЛАН ЧИСТ К2'!Y37*СПРАВОЧНИК!$M$15+'ПЛАН ЧИСТ К2'!Z37*СПРАВОЧНИК!$N$15</f>
        <v/>
      </c>
      <c r="BA46" s="40">
        <f>('ФАКТ ЧИСТ К2'!B37)*СПРАВОЧНИК!$L$9+('ФАКТ ЧИСТ К2'!C37)*СПРАВОЧНИК!$M$9+('ФАКТ ЧИСТ К2'!D37)*СПРАВОЧНИК!$N$9+('ФАКТ ЧИСТ К2'!E37)*СПРАВОЧНИК!$O$9+('ФАКТ ЧИСТ К2'!F37)*СПРАВОЧНИК!$L$10+('ФАКТ ЧИСТ К2'!G37)*СПРАВОЧНИК!$M$10+('ФАКТ ЧИСТ К2'!H37)*СПРАВОЧНИК!$N$10+('ФАКТ ЧИСТ К2'!I37)*СПРАВОЧНИК!$O$10+('ФАКТ ЧИСТ К2'!J37)*СПРАВОЧНИК!$L$11+('ФАКТ ЧИСТ К2'!K37)*СПРАВОЧНИК!$M$11+('ФАКТ ЧИСТ К2'!L37)*СПРАВОЧНИК!$N$11+('ФАКТ ЧИСТ К2'!M37)*СПРАВОЧНИК!$L$12+('ФАКТ ЧИСТ К2'!N37)*СПРАВОЧНИК!$M$12+('ФАКТ ЧИСТ К2'!O37)*СПРАВОЧНИК!$N$12+('ФАКТ ЧИСТ К2'!P37)*СПРАВОЧНИК!$O$12+('ФАКТ ЧИСТ К2'!Q37)*СПРАВОЧНИК!$L$13+('ФАКТ ЧИСТ К2'!R37)*СПРАВОЧНИК!$M$13+('ФАКТ ЧИСТ К2'!S37)*СПРАВОЧНИК!$N$13+('ФАКТ ЧИСТ К2'!T37)*СПРАВОЧНИК!$O$13+('ФАКТ ЧИСТ К2'!U37)*СПРАВОЧНИК!$L$14+('ФАКТ ЧИСТ К2'!V37)*СПРАВОЧНИК!$M$14+('ФАКТ ЧИСТ К2'!W37)*СПРАВОЧНИК!$N$14+('ФАКТ ЧИСТ К2'!X37)*СПРАВОЧНИК!$L$15+('ФАКТ ЧИСТ К2'!Y37)*СПРАВОЧНИК!$M$15+('ФАКТ ЧИСТ К2'!Z37)*СПРАВОЧНИК!$N$15</f>
        <v/>
      </c>
      <c r="BE46" s="18">
        <f>BE45+7</f>
        <v/>
      </c>
      <c r="BF46" s="37">
        <f>СПРАВОЧНИК!$E$9*('ПЛАН ЧЕРН К3'!B37*СПРАВОЧНИК!$H$9+'ПЛАН ЧЕРН К3'!C37*СПРАВОЧНИК!$I$9+'ПЛАН ЧЕРН К3'!D37*СПРАВОЧНИК!$J$9)+СПРАВОЧНИК!$E$10*('ПЛАН ЧЕРН К3'!E37*СПРАВОЧНИК!$H$10+'ПЛАН ЧЕРН К3'!F37*СПРАВОЧНИК!$I$10+'ПЛАН ЧЕРН К3'!G37*СПРАВОЧНИК!$J$10)+СПРАВОЧНИК!$E$11*('ПЛАН ЧЕРН К3'!H37*СПРАВОЧНИК!$H$11+'ПЛАН ЧЕРН К3'!I37*СПРАВОЧНИК!$I$11+'ПЛАН ЧЕРН К3'!J37*СПРАВОЧНИК!$J$11)+СПРАВОЧНИК!$E$12*('ПЛАН ЧЕРН К3'!K37*СПРАВОЧНИК!$H$12+'ПЛАН ЧЕРН К3'!L37*СПРАВОЧНИК!$I$12+'ПЛАН ЧЕРН К3'!M37*СПРАВОЧНИК!$J$12)+СПРАВОЧНИК!$E$13*('ПЛАН ЧЕРН К3'!N37*СПРАВОЧНИК!$H$13+'ПЛАН ЧЕРН К3'!O37*СПРАВОЧНИК!$I$13+'ПЛАН ЧЕРН К3'!P37*СПРАВОЧНИК!$J$13)+СПРАВОЧНИК!$E$14*('ПЛАН ЧЕРН К3'!Q37*СПРАВОЧНИК!$H$14+'ПЛАН ЧЕРН К3'!R37*СПРАВОЧНИК!$I$14+'ПЛАН ЧЕРН К3'!S37*СПРАВОЧНИК!$J$14)+СПРАВОЧНИК!$E$15*('ПЛАН ЧЕРН К3'!T37*СПРАВОЧНИК!$H$15+'ПЛАН ЧЕРН К3'!U37*СПРАВОЧНИК!$I$15+'ПЛАН ЧЕРН К3'!V37*СПРАВОЧНИК!$J$15)+СПРАВОЧНИК!$F$9*('ПЛАН ЧИСТ К3'!B37*СПРАВОЧНИК!$L$9+'ПЛАН ЧИСТ К3'!C37*СПРАВОЧНИК!$M$9+'ПЛАН ЧИСТ К3'!D37*СПРАВОЧНИК!$N$9+'ПЛАН ЧИСТ К3'!E37*СПРАВОЧНИК!$O$9)+СПРАВОЧНИК!$F$10*('ПЛАН ЧИСТ К3'!F37*СПРАВОЧНИК!$L$10+'ПЛАН ЧИСТ К3'!G37*СПРАВОЧНИК!$M$10+'ПЛАН ЧИСТ К3'!H37*СПРАВОЧНИК!$N$10+'ПЛАН ЧИСТ К3'!I37*СПРАВОЧНИК!$O$10)+СПРАВОЧНИК!$F$11*('ПЛАН ЧИСТ К3'!J37*СПРАВОЧНИК!$L$11+'ПЛАН ЧИСТ К3'!K37*СПРАВОЧНИК!$M$11+'ПЛАН ЧИСТ К3'!L37*СПРАВОЧНИК!$N$11)+СПРАВОЧНИК!$F$12*('ПЛАН ЧИСТ К3'!M37*СПРАВОЧНИК!$L$12+'ПЛАН ЧИСТ К3'!N37*СПРАВОЧНИК!$M$12+'ПЛАН ЧИСТ К3'!O37*СПРАВОЧНИК!$N$12+'ПЛАН ЧИСТ К3'!P37*СПРАВОЧНИК!$O$12)+СПРАВОЧНИК!$F$13*('ПЛАН ЧИСТ К3'!Q37*СПРАВОЧНИК!$L$13+'ПЛАН ЧИСТ К3'!R37*СПРАВОЧНИК!$M$13+'ПЛАН ЧИСТ К3'!S37*СПРАВОЧНИК!$N$13+'ПЛАН ЧИСТ К3'!T37*СПРАВОЧНИК!$O$13)+СПРАВОЧНИК!$F$14*('ПЛАН ЧИСТ К3'!U37*СПРАВОЧНИК!$L$14+'ПЛАН ЧИСТ К3'!V37*СПРАВОЧНИК!$M$14+'ПЛАН ЧИСТ К3'!W37*СПРАВОЧНИК!$N$14)+СПРАВОЧНИК!$F$15*('ПЛАН ЧИСТ К3'!X37*СПРАВОЧНИК!$L$15+'ПЛАН ЧИСТ К3'!Y37*СПРАВОЧНИК!$M$15+'ПЛАН ЧИСТ К3'!Z37*СПРАВОЧНИК!$N$15)</f>
        <v/>
      </c>
      <c r="BG46" s="40">
        <f>СПРАВОЧНИК!$E$9*(('ФАКТ ЧЕРН К3'!B37)*СПРАВОЧНИК!$H$9+('ФАКТ ЧЕРН К3'!C37)*СПРАВОЧНИК!$I$9+('ФАКТ ЧЕРН К3'!D37)*СПРАВОЧНИК!$J$9)+СПРАВОЧНИК!$E$10*(('ФАКТ ЧЕРН К3'!E37)*СПРАВОЧНИК!$H$10+('ФАКТ ЧЕРН К3'!F37)*СПРАВОЧНИК!$I$10+('ФАКТ ЧЕРН К3'!G37)*СПРАВОЧНИК!$J$10)+СПРАВОЧНИК!$E$11*(('ФАКТ ЧЕРН К3'!H37)*СПРАВОЧНИК!$H$11+('ФАКТ ЧЕРН К3'!I37)*СПРАВОЧНИК!$I$11+('ФАКТ ЧЕРН К3'!J37)*СПРАВОЧНИК!$J$11)+СПРАВОЧНИК!$E$12*(('ФАКТ ЧЕРН К3'!K37)*СПРАВОЧНИК!$H$12+('ФАКТ ЧЕРН К3'!L37)*СПРАВОЧНИК!$I$12+('ФАКТ ЧЕРН К3'!M37)*СПРАВОЧНИК!$J$12)+СПРАВОЧНИК!$E$13*(('ФАКТ ЧЕРН К3'!N37)*СПРАВОЧНИК!$H$13+('ФАКТ ЧЕРН К3'!O37)*СПРАВОЧНИК!$I$13+('ФАКТ ЧЕРН К3'!P37)*СПРАВОЧНИК!$J$13)+СПРАВОЧНИК!$E$14*(('ФАКТ ЧЕРН К3'!Q37)*СПРАВОЧНИК!$H$14+('ФАКТ ЧЕРН К3'!R37)*СПРАВОЧНИК!$I$14+('ФАКТ ЧЕРН К3'!S37)*СПРАВОЧНИК!$J$14)+СПРАВОЧНИК!$E$15*(('ФАКТ ЧЕРН К3'!T37)*СПРАВОЧНИК!$H$15+('ФАКТ ЧЕРН К3'!U37)*СПРАВОЧНИК!$I$15+('ФАКТ ЧЕРН К3'!V37)*СПРАВОЧНИК!$J$15)+СПРАВОЧНИК!$F$9*(('ФАКТ ЧИСТ К3'!B37)*СПРАВОЧНИК!$L$9+('ФАКТ ЧИСТ К3'!C37)*СПРАВОЧНИК!$M$9+('ФАКТ ЧИСТ К3'!D37)*СПРАВОЧНИК!$N$9+('ФАКТ ЧИСТ К3'!E37)*СПРАВОЧНИК!$O$9)+СПРАВОЧНИК!$F$10*(('ФАКТ ЧИСТ К3'!F37)*СПРАВОЧНИК!$L$10+('ФАКТ ЧИСТ К3'!G37)*СПРАВОЧНИК!$M$10+('ФАКТ ЧИСТ К3'!H37)*СПРАВОЧНИК!$N$10+('ФАКТ ЧИСТ К3'!I37)*СПРАВОЧНИК!$O$10)+СПРАВОЧНИК!$F$11*(('ФАКТ ЧИСТ К3'!J37)*СПРАВОЧНИК!$L$11+('ФАКТ ЧИСТ К3'!K37)*СПРАВОЧНИК!$M$11+('ФАКТ ЧИСТ К3'!L37)*СПРАВОЧНИК!$N$11)+СПРАВОЧНИК!$F$12*(('ФАКТ ЧИСТ К3'!M37)*СПРАВОЧНИК!$L$12+('ФАКТ ЧИСТ К3'!N37)*СПРАВОЧНИК!$M$12+('ФАКТ ЧИСТ К3'!O37)*СПРАВОЧНИК!$N$12+('ФАКТ ЧИСТ К3'!P37)*СПРАВОЧНИК!$O$12)+СПРАВОЧНИК!$F$13*(('ФАКТ ЧИСТ К3'!Q37)*СПРАВОЧНИК!$L$13+('ФАКТ ЧИСТ К3'!R37)*СПРАВОЧНИК!$M$13+('ФАКТ ЧИСТ К3'!S37)*СПРАВОЧНИК!$N$13+('ФАКТ ЧИСТ К3'!T37)*СПРАВОЧНИК!$O$13)+СПРАВОЧНИК!$F$14*(('ФАКТ ЧИСТ К3'!U37)*СПРАВОЧНИК!$L$14+('ФАКТ ЧИСТ К3'!V37)*СПРАВОЧНИК!$M$14+('ФАКТ ЧИСТ К3'!W37)*СПРАВОЧНИК!$N$14)+СПРАВОЧНИК!$F$15*(('ФАКТ ЧИСТ К3'!X37)*СПРАВОЧНИК!$L$15+('ФАКТ ЧИСТ К3'!Y37)*СПРАВОЧНИК!$M$15+('ФАКТ ЧИСТ К3'!Z37)*СПРАВОЧНИК!$N$15)</f>
        <v/>
      </c>
      <c r="BK46" s="18">
        <f>BK45+7</f>
        <v/>
      </c>
      <c r="BL46" s="37">
        <f>'ПЛАН ЧЕРН К3'!B37*СПРАВОЧНИК!$H$9+'ПЛАН ЧЕРН К3'!C37*СПРАВОЧНИК!$I$9+'ПЛАН ЧЕРН К3'!D37*СПРАВОЧНИК!$J$9+'ПЛАН ЧЕРН К3'!E37*СПРАВОЧНИК!$H$10+'ПЛАН ЧЕРН К3'!F37*СПРАВОЧНИК!$I$10+'ПЛАН ЧЕРН К3'!G37*СПРАВОЧНИК!$J$10+'ПЛАН ЧЕРН К3'!H37*СПРАВОЧНИК!$H$11+'ПЛАН ЧЕРН К3'!I37*СПРАВОЧНИК!$I$11+'ПЛАН ЧЕРН К3'!J37*СПРАВОЧНИК!$J$11+'ПЛАН ЧЕРН К3'!K37*СПРАВОЧНИК!$H$12+'ПЛАН ЧЕРН К3'!L37*СПРАВОЧНИК!$I$12+'ПЛАН ЧЕРН К3'!M37*СПРАВОЧНИК!$J$12+'ПЛАН ЧЕРН К3'!N37*СПРАВОЧНИК!$H$13+'ПЛАН ЧЕРН К3'!O37*СПРАВОЧНИК!$I$13+'ПЛАН ЧЕРН К3'!P37*СПРАВОЧНИК!$J$13+'ПЛАН ЧЕРН К3'!Q37*СПРАВОЧНИК!$H$14+'ПЛАН ЧЕРН К3'!R37*СПРАВОЧНИК!$I$14+'ПЛАН ЧЕРН К3'!S37*СПРАВОЧНИК!$J$14+'ПЛАН ЧЕРН К3'!T37*СПРАВОЧНИК!$H$15+'ПЛАН ЧЕРН К3'!U37*СПРАВОЧНИК!$I$15+'ПЛАН ЧЕРН К3'!V37*СПРАВОЧНИК!$J$15</f>
        <v/>
      </c>
      <c r="BM46" s="40">
        <f>('ФАКТ ЧЕРН К3'!B37)*СПРАВОЧНИК!$H$9+('ФАКТ ЧЕРН К3'!C37)*СПРАВОЧНИК!$I$9+('ФАКТ ЧЕРН К3'!D37)*СПРАВОЧНИК!$J$9+('ФАКТ ЧЕРН К3'!E37)*СПРАВОЧНИК!$H$10+('ФАКТ ЧЕРН К3'!F37)*СПРАВОЧНИК!$I$10+('ФАКТ ЧЕРН К3'!G37)*СПРАВОЧНИК!$J$10+('ФАКТ ЧЕРН К3'!H37)*СПРАВОЧНИК!$H$11+('ФАКТ ЧЕРН К3'!I37)*СПРАВОЧНИК!$I$11+('ФАКТ ЧЕРН К3'!J37)*СПРАВОЧНИК!$J$11+('ФАКТ ЧЕРН К3'!K37)*СПРАВОЧНИК!$H$12+('ФАКТ ЧЕРН К3'!L37)*СПРАВОЧНИК!$I$12+('ФАКТ ЧЕРН К3'!M37)*СПРАВОЧНИК!$J$12+('ФАКТ ЧЕРН К3'!N37)*СПРАВОЧНИК!$H$13+('ФАКТ ЧЕРН К3'!O37)*СПРАВОЧНИК!$I$13+('ФАКТ ЧЕРН К3'!P37)*СПРАВОЧНИК!$J$13+('ФАКТ ЧЕРН К3'!Q37)*СПРАВОЧНИК!$H$14+('ФАКТ ЧЕРН К3'!R37)*СПРАВОЧНИК!$I$14+('ФАКТ ЧЕРН К3'!S37)*СПРАВОЧНИК!$J$14+('ФАКТ ЧЕРН К3'!T37)*СПРАВОЧНИК!$H$15+('ФАКТ ЧЕРН К3'!U37)*СПРАВОЧНИК!$I$15+('ФАКТ ЧЕРН К3'!V37)*СПРАВОЧНИК!$J$15</f>
        <v/>
      </c>
      <c r="BQ46" s="18">
        <f>BQ45+7</f>
        <v/>
      </c>
      <c r="BR46" s="37">
        <f>'ПЛАН ЧИСТ К3'!B37*СПРАВОЧНИК!$L$9+'ПЛАН ЧИСТ К3'!C37*СПРАВОЧНИК!$M$9+'ПЛАН ЧИСТ К3'!D37*СПРАВОЧНИК!$N$9+'ПЛАН ЧИСТ К3'!E37*СПРАВОЧНИК!$O$9+'ПЛАН ЧИСТ К3'!F37*СПРАВОЧНИК!$L$10+'ПЛАН ЧИСТ К3'!G37*СПРАВОЧНИК!$M$10+'ПЛАН ЧИСТ К3'!H37*СПРАВОЧНИК!$N$10+'ПЛАН ЧИСТ К3'!I37*СПРАВОЧНИК!$O$10+'ПЛАН ЧИСТ К3'!J37*СПРАВОЧНИК!$L$11+'ПЛАН ЧИСТ К3'!K37*СПРАВОЧНИК!$M$11+'ПЛАН ЧИСТ К3'!L37*СПРАВОЧНИК!$N$11+'ПЛАН ЧИСТ К3'!M37*СПРАВОЧНИК!$L$12+'ПЛАН ЧИСТ К3'!N37*СПРАВОЧНИК!$M$12+'ПЛАН ЧИСТ К3'!O37*СПРАВОЧНИК!$N$12+'ПЛАН ЧИСТ К3'!P37*СПРАВОЧНИК!$O$12+'ПЛАН ЧИСТ К3'!Q37*СПРАВОЧНИК!$L$13+'ПЛАН ЧИСТ К3'!R37*СПРАВОЧНИК!$M$13+'ПЛАН ЧИСТ К3'!S37*СПРАВОЧНИК!$N$13+'ПЛАН ЧИСТ К3'!T37*СПРАВОЧНИК!$O$13+'ПЛАН ЧИСТ К3'!U37*СПРАВОЧНИК!$L$14+'ПЛАН ЧИСТ К3'!V37*СПРАВОЧНИК!$M$14+'ПЛАН ЧИСТ К3'!W37*СПРАВОЧНИК!$N$14+'ПЛАН ЧИСТ К3'!X37*СПРАВОЧНИК!$L$15+'ПЛАН ЧИСТ К3'!Y37*СПРАВОЧНИК!$M$15+'ПЛАН ЧИСТ К3'!Z37*СПРАВОЧНИК!$N$15</f>
        <v/>
      </c>
      <c r="BS46" s="40">
        <f>('ФАКТ ЧИСТ К3'!B37)*СПРАВОЧНИК!$L$9+('ФАКТ ЧИСТ К3'!C37)*СПРАВОЧНИК!$M$9+('ФАКТ ЧИСТ К3'!D37)*СПРАВОЧНИК!$N$9+('ФАКТ ЧИСТ К3'!E37)*СПРАВОЧНИК!$O$9+('ФАКТ ЧИСТ К3'!F37)*СПРАВОЧНИК!$L$10+('ФАКТ ЧИСТ К3'!G37)*СПРАВОЧНИК!$M$10+('ФАКТ ЧИСТ К3'!H37)*СПРАВОЧНИК!$N$10+('ФАКТ ЧИСТ К3'!I37)*СПРАВОЧНИК!$O$10+('ФАКТ ЧИСТ К3'!J37)*СПРАВОЧНИК!$L$11+('ФАКТ ЧИСТ К3'!K37)*СПРАВОЧНИК!$M$11+('ФАКТ ЧИСТ К3'!L37)*СПРАВОЧНИК!$N$11+('ФАКТ ЧИСТ К3'!M37)*СПРАВОЧНИК!$L$12+('ФАКТ ЧИСТ К3'!N37)*СПРАВОЧНИК!$M$12+('ФАКТ ЧИСТ К3'!O37)*СПРАВОЧНИК!$N$12+('ФАКТ ЧИСТ К3'!P37)*СПРАВОЧНИК!$O$12+('ФАКТ ЧИСТ К3'!Q37)*СПРАВОЧНИК!$L$13+('ФАКТ ЧИСТ К3'!R37)*СПРАВОЧНИК!$M$13+('ФАКТ ЧИСТ К3'!S37)*СПРАВОЧНИК!$N$13+('ФАКТ ЧИСТ К3'!T37)*СПРАВОЧНИК!$O$13+('ФАКТ ЧИСТ К3'!U37)*СПРАВОЧНИК!$L$14+('ФАКТ ЧИСТ К3'!V37)*СПРАВОЧНИК!$M$14+('ФАКТ ЧИСТ К3'!W37)*СПРАВОЧНИК!$N$14+('ФАКТ ЧИСТ К3'!X37)*СПРАВОЧНИК!$L$15+('ФАКТ ЧИСТ К3'!Y37)*СПРАВОЧНИК!$M$15+('ФАКТ ЧИСТ К3'!Z37)*СПРАВОЧНИК!$N$15</f>
        <v/>
      </c>
      <c r="BW46" s="18">
        <f>BW45+7</f>
        <v/>
      </c>
      <c r="BX46" s="37">
        <f>V46+AN46+BF46</f>
        <v/>
      </c>
      <c r="BY46" s="40">
        <f>W46+AO46+BG46</f>
        <v/>
      </c>
      <c r="CC46" s="18">
        <f>CC45+7</f>
        <v/>
      </c>
      <c r="CD46" s="37">
        <f>AB46+AT46+BL46</f>
        <v/>
      </c>
      <c r="CE46" s="40">
        <f>AC46+AU46+BM46</f>
        <v/>
      </c>
      <c r="CI46" s="18">
        <f>CI45+7</f>
        <v/>
      </c>
      <c r="CJ46" s="37">
        <f>AH46+AZ46+BR46</f>
        <v/>
      </c>
      <c r="CK46" s="40">
        <f>AI46+BA46+BS46</f>
        <v/>
      </c>
      <c r="CO46" s="18">
        <f>CO45+7</f>
        <v/>
      </c>
      <c r="CP46" s="37">
        <f>D46+BX46</f>
        <v/>
      </c>
      <c r="CQ46" s="40">
        <f>E46+BY46</f>
        <v/>
      </c>
      <c r="CU46" s="18">
        <f>CU45+7</f>
        <v/>
      </c>
      <c r="CV46" s="37">
        <f>J46+CD46</f>
        <v/>
      </c>
      <c r="CW46" s="40">
        <f>K46+CE46</f>
        <v/>
      </c>
      <c r="DA46" s="18">
        <f>DA45+7</f>
        <v/>
      </c>
      <c r="DB46" s="37">
        <f>P46+CJ46</f>
        <v/>
      </c>
      <c r="DC46" s="40">
        <f>Q46+CK46</f>
        <v/>
      </c>
    </row>
    <row r="47">
      <c r="C47" s="18">
        <f>C46+7</f>
        <v/>
      </c>
      <c r="D47" s="37">
        <f>СПРАВОЧНИК!$E$3*('ПЛАН ЧЕРН ПОДЗЕМ'!B38*СПРАВОЧНИК!$H$3+'ПЛАН ЧЕРН ПОДЗЕМ'!C38*СПРАВОЧНИК!$I$3+'ПЛАН ЧЕРН ПОДЗЕМ'!D38*СПРАВОЧНИК!$J$3)+СПРАВОЧНИК!$E$4*('ПЛАН ЧЕРН ПОДЗЕМ'!E38*СПРАВОЧНИК!$H$4+'ПЛАН ЧЕРН ПОДЗЕМ'!F38*СПРАВОЧНИК!$I$4+'ПЛАН ЧЕРН ПОДЗЕМ'!G38*СПРАВОЧНИК!$J$4)+СПРАВОЧНИК!$E$5*('ПЛАН ЧЕРН ПОДЗЕМ'!H38*СПРАВОЧНИК!$H$5+'ПЛАН ЧЕРН ПОДЗЕМ'!I38*СПРАВОЧНИК!$I$5+'ПЛАН ЧЕРН ПОДЗЕМ'!J38*СПРАВОЧНИК!$J$5)+СПРАВОЧНИК!$E$6*('ПЛАН ЧЕРН ПОДЗЕМ'!K38*СПРАВОЧНИК!$H$6+'ПЛАН ЧЕРН ПОДЗЕМ'!L38*СПРАВОЧНИК!$I$6+'ПЛАН ЧЕРН ПОДЗЕМ'!M38*СПРАВОЧНИК!$J$6)+СПРАВОЧНИК!$E$7*('ПЛАН ЧЕРН ПОДЗЕМ'!N38*СПРАВОЧНИК!$H$7+'ПЛАН ЧЕРН ПОДЗЕМ'!O38*СПРАВОЧНИК!$I$7+'ПЛАН ЧЕРН ПОДЗЕМ'!P38*СПРАВОЧНИК!$J$7)+СПРАВОЧНИК!$E$8*('ПЛАН ЧЕРН ПОДЗЕМ'!Q38*СПРАВОЧНИК!$H$8+'ПЛАН ЧЕРН ПОДЗЕМ'!R38*СПРАВОЧНИК!$I$8+'ПЛАН ЧЕРН ПОДЗЕМ'!S38*СПРАВОЧНИК!$J$8)+СПРАВОЧНИК!$F$3*('ПЛАН ЧИСТ ПОДЗЕМ'!B38*СПРАВОЧНИК!$L$3+'ПЛАН ЧИСТ ПОДЗЕМ'!C38*СПРАВОЧНИК!$M$3+'ПЛАН ЧИСТ ПОДЗЕМ'!D38*СПРАВОЧНИК!$N$3+'ПЛАН ЧИСТ ПОДЗЕМ'!E38*СПРАВОЧНИК!$O$3)+СПРАВОЧНИК!$F$4*('ПЛАН ЧИСТ ПОДЗЕМ'!F38*СПРАВОЧНИК!$L$4+'ПЛАН ЧИСТ ПОДЗЕМ'!G38*СПРАВОЧНИК!$M$4+'ПЛАН ЧИСТ ПОДЗЕМ'!H38*СПРАВОЧНИК!$N$4+'ПЛАН ЧИСТ ПОДЗЕМ'!I38*СПРАВОЧНИК!$O$4)+СПРАВОЧНИК!$F$5*('ПЛАН ЧИСТ ПОДЗЕМ'!J38*СПРАВОЧНИК!$L$5+'ПЛАН ЧИСТ ПОДЗЕМ'!K38*СПРАВОЧНИК!$M$5+'ПЛАН ЧИСТ ПОДЗЕМ'!L38*СПРАВОЧНИК!$N$5)+СПРАВОЧНИК!$F$6*('ПЛАН ЧИСТ ПОДЗЕМ'!M38*СПРАВОЧНИК!$L$6+'ПЛАН ЧИСТ ПОДЗЕМ'!N38*СПРАВОЧНИК!$M$6+'ПЛАН ЧИСТ ПОДЗЕМ'!O38*СПРАВОЧНИК!$N$6+'ПЛАН ЧИСТ ПОДЗЕМ'!P38*СПРАВОЧНИК!$O$6)+СПРАВОЧНИК!$F$7*('ПЛАН ЧИСТ ПОДЗЕМ'!Q38*СПРАВОЧНИК!$L$7+'ПЛАН ЧИСТ ПОДЗЕМ'!R38*СПРАВОЧНИК!$M$7+'ПЛАН ЧИСТ ПОДЗЕМ'!S38*СПРАВОЧНИК!$N$7+'ПЛАН ЧИСТ ПОДЗЕМ'!T38*СПРАВОЧНИК!$O$7)+СПРАВОЧНИК!$F$8*('ПЛАН ЧИСТ ПОДЗЕМ'!U38*СПРАВОЧНИК!$L$8+'ПЛАН ЧИСТ ПОДЗЕМ'!V38*СПРАВОЧНИК!$M$8+'ПЛАН ЧИСТ ПОДЗЕМ'!W38*СПРАВОЧНИК!$N$8)</f>
        <v/>
      </c>
      <c r="E47" s="40">
        <f>СПРАВОЧНИК!$E$3*(('ФАКТ ЧЕРН ПОДЗЕМ'!B38)*СПРАВОЧНИК!$H$3+('ФАКТ ЧЕРН ПОДЗЕМ'!C38)*СПРАВОЧНИК!$I$3+('ФАКТ ЧЕРН ПОДЗЕМ'!D38)*СПРАВОЧНИК!$J$3)+СПРАВОЧНИК!$E$4*(('ФАКТ ЧЕРН ПОДЗЕМ'!E38)*СПРАВОЧНИК!$H$4+('ФАКТ ЧЕРН ПОДЗЕМ'!F38)*СПРАВОЧНИК!$I$4+('ФАКТ ЧЕРН ПОДЗЕМ'!G38)*СПРАВОЧНИК!$J$4)+СПРАВОЧНИК!$E$5*(('ФАКТ ЧЕРН ПОДЗЕМ'!H38)*СПРАВОЧНИК!$H$5+('ФАКТ ЧЕРН ПОДЗЕМ'!I38)*СПРАВОЧНИК!$I$5+('ФАКТ ЧЕРН ПОДЗЕМ'!J38)*СПРАВОЧНИК!$J$5)+СПРАВОЧНИК!$E$6*(('ФАКТ ЧЕРН ПОДЗЕМ'!K38)*СПРАВОЧНИК!$H$6+('ФАКТ ЧЕРН ПОДЗЕМ'!L38)*СПРАВОЧНИК!$I$6+('ФАКТ ЧЕРН ПОДЗЕМ'!M38)*СПРАВОЧНИК!$J$6)+СПРАВОЧНИК!$E$7*(('ФАКТ ЧЕРН ПОДЗЕМ'!N38)*СПРАВОЧНИК!$H$7+('ФАКТ ЧЕРН ПОДЗЕМ'!O38)*СПРАВОЧНИК!$I$7+('ФАКТ ЧЕРН ПОДЗЕМ'!P38)*СПРАВОЧНИК!$J$7)+СПРАВОЧНИК!$E$8*(('ФАКТ ЧЕРН ПОДЗЕМ'!Q38)*СПРАВОЧНИК!$H$8+('ФАКТ ЧЕРН ПОДЗЕМ'!R38)*СПРАВОЧНИК!$I$8+('ФАКТ ЧЕРН ПОДЗЕМ'!S38)*СПРАВОЧНИК!$J$8)+СПРАВОЧНИК!$F$3*(('ФАКТ ЧИСТ ПОДЗЕМ'!B38)*СПРАВОЧНИК!$L$3+('ФАКТ ЧИСТ ПОДЗЕМ'!C38)*СПРАВОЧНИК!$M$3+('ФАКТ ЧИСТ ПОДЗЕМ'!D38)*СПРАВОЧНИК!$N$3+('ФАКТ ЧИСТ ПОДЗЕМ'!E38)*СПРАВОЧНИК!$O$3)+СПРАВОЧНИК!$F$4*(('ФАКТ ЧИСТ ПОДЗЕМ'!F38)*СПРАВОЧНИК!$L$4+('ФАКТ ЧИСТ ПОДЗЕМ'!G38)*СПРАВОЧНИК!$M$4+('ФАКТ ЧИСТ ПОДЗЕМ'!H38)*СПРАВОЧНИК!$N$4+('ФАКТ ЧИСТ ПОДЗЕМ'!I38)*СПРАВОЧНИК!$O$4)+СПРАВОЧНИК!$F$5*(('ФАКТ ЧИСТ ПОДЗЕМ'!J38)*СПРАВОЧНИК!$L$5+('ФАКТ ЧИСТ ПОДЗЕМ'!K38)*СПРАВОЧНИК!$M$5+('ФАКТ ЧИСТ ПОДЗЕМ'!L38)*СПРАВОЧНИК!$N$5)+СПРАВОЧНИК!$F$6*(('ФАКТ ЧИСТ ПОДЗЕМ'!M38)*СПРАВОЧНИК!$L$6+('ФАКТ ЧИСТ ПОДЗЕМ'!N38)*СПРАВОЧНИК!$M$6+('ФАКТ ЧИСТ ПОДЗЕМ'!O38)*СПРАВОЧНИК!$N$6+('ФАКТ ЧИСТ ПОДЗЕМ'!P38)*СПРАВОЧНИК!$O$6)+СПРАВОЧНИК!$F$7*(('ФАКТ ЧИСТ ПОДЗЕМ'!Q38)*СПРАВОЧНИК!$L$7+('ФАКТ ЧИСТ ПОДЗЕМ'!R38)*СПРАВОЧНИК!$M$7+('ФАКТ ЧИСТ ПОДЗЕМ'!S38)*СПРАВОЧНИК!$N$7+('ФАКТ ЧИСТ ПОДЗЕМ'!T38)*СПРАВОЧНИК!$O$7)+СПРАВОЧНИК!$F$8*(('ФАКТ ЧИСТ ПОДЗЕМ'!U38)*СПРАВОЧНИК!$L$8+('ФАКТ ЧИСТ ПОДЗЕМ'!V38)*СПРАВОЧНИК!$M$8+('ФАКТ ЧИСТ ПОДЗЕМ'!W38)*СПРАВОЧНИК!$N$8)</f>
        <v/>
      </c>
      <c r="I47" s="18">
        <f>I46+7</f>
        <v/>
      </c>
      <c r="J47" s="37">
        <f>'ПЛАН ЧЕРН ПОДЗЕМ'!B38*СПРАВОЧНИК!$H$3+'ПЛАН ЧЕРН ПОДЗЕМ'!C38*СПРАВОЧНИК!$I$3+'ПЛАН ЧЕРН ПОДЗЕМ'!D38*СПРАВОЧНИК!$J$3+'ПЛАН ЧЕРН ПОДЗЕМ'!E38*СПРАВОЧНИК!$H$4+'ПЛАН ЧЕРН ПОДЗЕМ'!F38*СПРАВОЧНИК!$I$4+'ПЛАН ЧЕРН ПОДЗЕМ'!G38*СПРАВОЧНИК!$J$4+'ПЛАН ЧЕРН ПОДЗЕМ'!H38*СПРАВОЧНИК!$H$5+'ПЛАН ЧЕРН ПОДЗЕМ'!I38*СПРАВОЧНИК!$I$5+'ПЛАН ЧЕРН ПОДЗЕМ'!J38*СПРАВОЧНИК!$J$5+'ПЛАН ЧЕРН ПОДЗЕМ'!K38*СПРАВОЧНИК!$H$6+'ПЛАН ЧЕРН ПОДЗЕМ'!L38*СПРАВОЧНИК!$I$6+'ПЛАН ЧЕРН ПОДЗЕМ'!M38*СПРАВОЧНИК!$J$6+'ПЛАН ЧЕРН ПОДЗЕМ'!N38*СПРАВОЧНИК!$H$7+'ПЛАН ЧЕРН ПОДЗЕМ'!O38*СПРАВОЧНИК!$I$7+'ПЛАН ЧЕРН ПОДЗЕМ'!P38*СПРАВОЧНИК!$J$7+'ПЛАН ЧЕРН ПОДЗЕМ'!Q38*СПРАВОЧНИК!$H$8+'ПЛАН ЧЕРН ПОДЗЕМ'!R38*СПРАВОЧНИК!$I$8+'ПЛАН ЧЕРН ПОДЗЕМ'!S38*СПРАВОЧНИК!$J$8</f>
        <v/>
      </c>
      <c r="K47" s="40">
        <f>('ФАКТ ЧЕРН ПОДЗЕМ'!B38)*СПРАВОЧНИК!$H$3+('ФАКТ ЧЕРН ПОДЗЕМ'!C38)*СПРАВОЧНИК!$I$3+('ФАКТ ЧЕРН ПОДЗЕМ'!D38)*СПРАВОЧНИК!$J$3+('ФАКТ ЧЕРН ПОДЗЕМ'!E38)*СПРАВОЧНИК!$H$4+('ФАКТ ЧЕРН ПОДЗЕМ'!F38)*СПРАВОЧНИК!$I$4+('ФАКТ ЧЕРН ПОДЗЕМ'!G38)*СПРАВОЧНИК!$J$4+('ФАКТ ЧЕРН ПОДЗЕМ'!H38)*СПРАВОЧНИК!$H$5+('ФАКТ ЧЕРН ПОДЗЕМ'!I38)*СПРАВОЧНИК!$I$5+('ФАКТ ЧЕРН ПОДЗЕМ'!J38)*СПРАВОЧНИК!$J$5+('ФАКТ ЧЕРН ПОДЗЕМ'!K38)*СПРАВОЧНИК!$H$6+('ФАКТ ЧЕРН ПОДЗЕМ'!L38)*СПРАВОЧНИК!$I$6+('ФАКТ ЧЕРН ПОДЗЕМ'!M38)*СПРАВОЧНИК!$J$6+('ФАКТ ЧЕРН ПОДЗЕМ'!N38)*СПРАВОЧНИК!$H$7+('ФАКТ ЧЕРН ПОДЗЕМ'!O38)*СПРАВОЧНИК!$I$7+('ФАКТ ЧЕРН ПОДЗЕМ'!P38)*СПРАВОЧНИК!$J$7+('ФАКТ ЧЕРН ПОДЗЕМ'!Q38)*СПРАВОЧНИК!$H$8+('ФАКТ ЧЕРН ПОДЗЕМ'!R38)*СПРАВОЧНИК!$I$8+('ФАКТ ЧЕРН ПОДЗЕМ'!S38)*СПРАВОЧНИК!$J$8</f>
        <v/>
      </c>
      <c r="O47" s="18">
        <f>O46+7</f>
        <v/>
      </c>
      <c r="P47" s="37">
        <f>'ПЛАН ЧИСТ ПОДЗЕМ'!B38*СПРАВОЧНИК!$L$3+'ПЛАН ЧИСТ ПОДЗЕМ'!C38*СПРАВОЧНИК!$M$3+'ПЛАН ЧИСТ ПОДЗЕМ'!D38*СПРАВОЧНИК!$N$3+'ПЛАН ЧИСТ ПОДЗЕМ'!E38*СПРАВОЧНИК!$O$3+'ПЛАН ЧИСТ ПОДЗЕМ'!F38*СПРАВОЧНИК!$L$4+'ПЛАН ЧИСТ ПОДЗЕМ'!G38*СПРАВОЧНИК!$M$4+'ПЛАН ЧИСТ ПОДЗЕМ'!H38*СПРАВОЧНИК!$N$4+'ПЛАН ЧИСТ ПОДЗЕМ'!I38*СПРАВОЧНИК!$O$4+'ПЛАН ЧИСТ ПОДЗЕМ'!J38*СПРАВОЧНИК!$L$5+'ПЛАН ЧИСТ ПОДЗЕМ'!K38*СПРАВОЧНИК!$M$5+'ПЛАН ЧИСТ ПОДЗЕМ'!L38*СПРАВОЧНИК!$N$5+'ПЛАН ЧИСТ ПОДЗЕМ'!M38*СПРАВОЧНИК!$L$6+'ПЛАН ЧИСТ ПОДЗЕМ'!N38*СПРАВОЧНИК!$M$6+'ПЛАН ЧИСТ ПОДЗЕМ'!O38*СПРАВОЧНИК!$N$6+'ПЛАН ЧИСТ ПОДЗЕМ'!P38*СПРАВОЧНИК!$O$6+'ПЛАН ЧИСТ ПОДЗЕМ'!Q38*СПРАВОЧНИК!$L$7+'ПЛАН ЧИСТ ПОДЗЕМ'!R38*СПРАВОЧНИК!$M$7+'ПЛАН ЧИСТ ПОДЗЕМ'!S38*СПРАВОЧНИК!$N$7+'ПЛАН ЧИСТ ПОДЗЕМ'!T38*СПРАВОЧНИК!$O$7+'ПЛАН ЧИСТ ПОДЗЕМ'!U38*СПРАВОЧНИК!$L$8+'ПЛАН ЧИСТ ПОДЗЕМ'!V38*СПРАВОЧНИК!$M$8+'ПЛАН ЧИСТ ПОДЗЕМ'!W38*СПРАВОЧНИК!$N$8</f>
        <v/>
      </c>
      <c r="Q47" s="40">
        <f>('ФАКТ ЧИСТ ПОДЗЕМ'!B38)*СПРАВОЧНИК!$L$3+('ФАКТ ЧИСТ ПОДЗЕМ'!C38)*СПРАВОЧНИК!$M$3+('ФАКТ ЧИСТ ПОДЗЕМ'!D38)*СПРАВОЧНИК!$N$3+('ФАКТ ЧИСТ ПОДЗЕМ'!E38)*СПРАВОЧНИК!$O$3+('ФАКТ ЧИСТ ПОДЗЕМ'!F38)*СПРАВОЧНИК!$L$4+('ФАКТ ЧИСТ ПОДЗЕМ'!G38)*СПРАВОЧНИК!$M$4+('ФАКТ ЧИСТ ПОДЗЕМ'!H38)*СПРАВОЧНИК!$N$4+('ФАКТ ЧИСТ ПОДЗЕМ'!I38)*СПРАВОЧНИК!$O$4+('ФАКТ ЧИСТ ПОДЗЕМ'!J38)*СПРАВОЧНИК!$L$5+('ФАКТ ЧИСТ ПОДЗЕМ'!K38)*СПРАВОЧНИК!$M$5+('ФАКТ ЧИСТ ПОДЗЕМ'!L38)*СПРАВОЧНИК!$N$5+('ФАКТ ЧИСТ ПОДЗЕМ'!M38)*СПРАВОЧНИК!$L$6+('ФАКТ ЧИСТ ПОДЗЕМ'!N38)*СПРАВОЧНИК!$M$6+('ФАКТ ЧИСТ ПОДЗЕМ'!O38)*СПРАВОЧНИК!$N$6+('ФАКТ ЧИСТ ПОДЗЕМ'!P38)*СПРАВОЧНИК!$O$6+('ФАКТ ЧИСТ ПОДЗЕМ'!Q38)*СПРАВОЧНИК!$L$7+('ФАКТ ЧИСТ ПОДЗЕМ'!R38)*СПРАВОЧНИК!$M$7+('ФАКТ ЧИСТ ПОДЗЕМ'!S38)*СПРАВОЧНИК!$N$7+('ФАКТ ЧИСТ ПОДЗЕМ'!T38)*СПРАВОЧНИК!$O$7+('ФАКТ ЧИСТ ПОДЗЕМ'!U38)*СПРАВОЧНИК!$L$8+('ФАКТ ЧИСТ ПОДЗЕМ'!V38)*СПРАВОЧНИК!$M$8+('ФАКТ ЧИСТ ПОДЗЕМ'!W38)*СПРАВОЧНИК!$N$8</f>
        <v/>
      </c>
      <c r="U47" s="18">
        <f>U46+7</f>
        <v/>
      </c>
      <c r="V47" s="37">
        <f>СПРАВОЧНИК!$E$9*('ПЛАН ЧЕРН К1'!B38*СПРАВОЧНИК!$H$9+'ПЛАН ЧЕРН К1'!C38*СПРАВОЧНИК!$I$9+'ПЛАН ЧЕРН К1'!D38*СПРАВОЧНИК!$J$9)+СПРАВОЧНИК!$E$10*('ПЛАН ЧЕРН К1'!E38*СПРАВОЧНИК!$H$10+'ПЛАН ЧЕРН К1'!F38*СПРАВОЧНИК!$I$10+'ПЛАН ЧЕРН К1'!G38*СПРАВОЧНИК!$J$10)+СПРАВОЧНИК!$E$11*('ПЛАН ЧЕРН К1'!H38*СПРАВОЧНИК!$H$11+'ПЛАН ЧЕРН К1'!I38*СПРАВОЧНИК!$I$11+'ПЛАН ЧЕРН К1'!J38*СПРАВОЧНИК!$J$11)+СПРАВОЧНИК!$E$12*('ПЛАН ЧЕРН К1'!K38*СПРАВОЧНИК!$H$12+'ПЛАН ЧЕРН К1'!L38*СПРАВОЧНИК!$I$12+'ПЛАН ЧЕРН К1'!M38*СПРАВОЧНИК!$J$12)+СПРАВОЧНИК!$E$13*('ПЛАН ЧЕРН К1'!N38*СПРАВОЧНИК!$H$13+'ПЛАН ЧЕРН К1'!O38*СПРАВОЧНИК!$I$13+'ПЛАН ЧЕРН К1'!P38*СПРАВОЧНИК!$J$13)+СПРАВОЧНИК!$E$14*('ПЛАН ЧЕРН К1'!Q38*СПРАВОЧНИК!$H$14+'ПЛАН ЧЕРН К1'!R38*СПРАВОЧНИК!$I$14+'ПЛАН ЧЕРН К1'!S38*СПРАВОЧНИК!$J$14)+СПРАВОЧНИК!$E$15*('ПЛАН ЧЕРН К1'!T38*СПРАВОЧНИК!$H$15+'ПЛАН ЧЕРН К1'!U38*СПРАВОЧНИК!$I$15+'ПЛАН ЧЕРН К1'!V38*СПРАВОЧНИК!$J$15)+СПРАВОЧНИК!$F$9*('ПЛАН ЧИСТ К1'!B38*СПРАВОЧНИК!$L$9+'ПЛАН ЧИСТ К1'!C38*СПРАВОЧНИК!$M$9+'ПЛАН ЧИСТ К1'!D38*СПРАВОЧНИК!$N$9+'ПЛАН ЧИСТ К1'!E38*СПРАВОЧНИК!$O$9)+СПРАВОЧНИК!$F$10*('ПЛАН ЧИСТ К1'!F38*СПРАВОЧНИК!$L$10+'ПЛАН ЧИСТ К1'!G38*СПРАВОЧНИК!$M$10+'ПЛАН ЧИСТ К1'!H38*СПРАВОЧНИК!$N$10+'ПЛАН ЧИСТ К1'!I38*СПРАВОЧНИК!$O$10)+СПРАВОЧНИК!$F$11*('ПЛАН ЧИСТ К1'!J38*СПРАВОЧНИК!$L$11+'ПЛАН ЧИСТ К1'!K38*СПРАВОЧНИК!$M$11+'ПЛАН ЧИСТ К1'!L38*СПРАВОЧНИК!$N$11)+СПРАВОЧНИК!$F$12*('ПЛАН ЧИСТ К1'!M38*СПРАВОЧНИК!$L$12+'ПЛАН ЧИСТ К1'!N38*СПРАВОЧНИК!$M$12+'ПЛАН ЧИСТ К1'!O38*СПРАВОЧНИК!$N$12+'ПЛАН ЧИСТ К1'!P38*СПРАВОЧНИК!$O$12)+СПРАВОЧНИК!$F$13*('ПЛАН ЧИСТ К1'!Q38*СПРАВОЧНИК!$L$13+'ПЛАН ЧИСТ К1'!R38*СПРАВОЧНИК!$M$13+'ПЛАН ЧИСТ К1'!S38*СПРАВОЧНИК!$N$13+'ПЛАН ЧИСТ К1'!T38*СПРАВОЧНИК!$O$13)+СПРАВОЧНИК!$F$14*('ПЛАН ЧИСТ К1'!U38*СПРАВОЧНИК!$L$14+'ПЛАН ЧИСТ К1'!V38*СПРАВОЧНИК!$M$14+'ПЛАН ЧИСТ К1'!W38*СПРАВОЧНИК!$N$14)+СПРАВОЧНИК!$F$15*('ПЛАН ЧИСТ К1'!X38*СПРАВОЧНИК!$L$15+'ПЛАН ЧИСТ К1'!Y38*СПРАВОЧНИК!$M$15+'ПЛАН ЧИСТ К1'!Z38*СПРАВОЧНИК!$N$15)</f>
        <v/>
      </c>
      <c r="W47" s="40">
        <f>СПРАВОЧНИК!$E$9*(('ФАКТ ЧЕРН К1'!B38)*СПРАВОЧНИК!$H$9+('ФАКТ ЧЕРН К1'!C38)*СПРАВОЧНИК!$I$9+('ФАКТ ЧЕРН К1'!D38)*СПРАВОЧНИК!$J$9)+СПРАВОЧНИК!$E$10*(('ФАКТ ЧЕРН К1'!E38)*СПРАВОЧНИК!$H$10+('ФАКТ ЧЕРН К1'!F38)*СПРАВОЧНИК!$I$10+('ФАКТ ЧЕРН К1'!G38)*СПРАВОЧНИК!$J$10)+СПРАВОЧНИК!$E$11*(('ФАКТ ЧЕРН К1'!H38)*СПРАВОЧНИК!$H$11+('ФАКТ ЧЕРН К1'!I38)*СПРАВОЧНИК!$I$11+('ФАКТ ЧЕРН К1'!J38)*СПРАВОЧНИК!$J$11)+СПРАВОЧНИК!$E$12*(('ФАКТ ЧЕРН К1'!K38)*СПРАВОЧНИК!$H$12+('ФАКТ ЧЕРН К1'!L38)*СПРАВОЧНИК!$I$12+('ФАКТ ЧЕРН К1'!M38)*СПРАВОЧНИК!$J$12)+СПРАВОЧНИК!$E$13*(('ФАКТ ЧЕРН К1'!N38)*СПРАВОЧНИК!$H$13+('ФАКТ ЧЕРН К1'!O38)*СПРАВОЧНИК!$I$13+('ФАКТ ЧЕРН К1'!P38)*СПРАВОЧНИК!$J$13)+СПРАВОЧНИК!$E$14*(('ФАКТ ЧЕРН К1'!Q38)*СПРАВОЧНИК!$H$14+('ФАКТ ЧЕРН К1'!R38)*СПРАВОЧНИК!$I$14+('ФАКТ ЧЕРН К1'!S38)*СПРАВОЧНИК!$J$14)+СПРАВОЧНИК!$E$15*(('ФАКТ ЧЕРН К1'!T38)*СПРАВОЧНИК!$H$15+('ФАКТ ЧЕРН К1'!U38)*СПРАВОЧНИК!$I$15+('ФАКТ ЧЕРН К1'!V38)*СПРАВОЧНИК!$J$15)+СПРАВОЧНИК!$F$9*(('ФАКТ ЧИСТ К1'!B38)*СПРАВОЧНИК!$L$9+('ФАКТ ЧИСТ К1'!C38)*СПРАВОЧНИК!$M$9+('ФАКТ ЧИСТ К1'!D38)*СПРАВОЧНИК!$N$9+('ФАКТ ЧИСТ К1'!E38)*СПРАВОЧНИК!$O$9)+СПРАВОЧНИК!$F$10*(('ФАКТ ЧИСТ К1'!F38)*СПРАВОЧНИК!$L$10+('ФАКТ ЧИСТ К1'!G38)*СПРАВОЧНИК!$M$10+('ФАКТ ЧИСТ К1'!H38)*СПРАВОЧНИК!$N$10+('ФАКТ ЧИСТ К1'!I38)*СПРАВОЧНИК!$O$10)+СПРАВОЧНИК!$F$11*(('ФАКТ ЧИСТ К1'!J38)*СПРАВОЧНИК!$L$11+('ФАКТ ЧИСТ К1'!K38)*СПРАВОЧНИК!$M$11+('ФАКТ ЧИСТ К1'!L38)*СПРАВОЧНИК!$N$11)+СПРАВОЧНИК!$F$12*(('ФАКТ ЧИСТ К1'!M38)*СПРАВОЧНИК!$L$12+('ФАКТ ЧИСТ К1'!N38)*СПРАВОЧНИК!$M$12+('ФАКТ ЧИСТ К1'!O38)*СПРАВОЧНИК!$N$12+('ФАКТ ЧИСТ К1'!P38)*СПРАВОЧНИК!$O$12)+СПРАВОЧНИК!$F$13*(('ФАКТ ЧИСТ К1'!Q38)*СПРАВОЧНИК!$L$13+('ФАКТ ЧИСТ К1'!R38)*СПРАВОЧНИК!$M$13+('ФАКТ ЧИСТ К1'!S38)*СПРАВОЧНИК!$N$13+('ФАКТ ЧИСТ К1'!T38)*СПРАВОЧНИК!$O$13)+СПРАВОЧНИК!$F$14*(('ФАКТ ЧИСТ К1'!U38)*СПРАВОЧНИК!$L$14+('ФАКТ ЧИСТ К1'!V38)*СПРАВОЧНИК!$M$14+('ФАКТ ЧИСТ К1'!W38)*СПРАВОЧНИК!$N$14)+СПРАВОЧНИК!$F$15*(('ФАКТ ЧИСТ К1'!X38)*СПРАВОЧНИК!$L$15+('ФАКТ ЧИСТ К1'!Y38)*СПРАВОЧНИК!$M$15+('ФАКТ ЧИСТ К1'!Z38)*СПРАВОЧНИК!$N$15)</f>
        <v/>
      </c>
      <c r="AA47" s="18">
        <f>AA46+7</f>
        <v/>
      </c>
      <c r="AB47" s="37">
        <f>'ПЛАН ЧЕРН К1'!B38*СПРАВОЧНИК!$H$9+'ПЛАН ЧЕРН К1'!C38*СПРАВОЧНИК!$I$9+'ПЛАН ЧЕРН К1'!D38*СПРАВОЧНИК!$J$9+'ПЛАН ЧЕРН К1'!E38*СПРАВОЧНИК!$H$10+'ПЛАН ЧЕРН К1'!F38*СПРАВОЧНИК!$I$10+'ПЛАН ЧЕРН К1'!G38*СПРАВОЧНИК!$J$10+'ПЛАН ЧЕРН К1'!H38*СПРАВОЧНИК!$H$11+'ПЛАН ЧЕРН К1'!I38*СПРАВОЧНИК!$I$11+'ПЛАН ЧЕРН К1'!J38*СПРАВОЧНИК!$J$11+'ПЛАН ЧЕРН К1'!K38*СПРАВОЧНИК!$H$12+'ПЛАН ЧЕРН К1'!L38*СПРАВОЧНИК!$I$12+'ПЛАН ЧЕРН К1'!M38*СПРАВОЧНИК!$J$12+'ПЛАН ЧЕРН К1'!N38*СПРАВОЧНИК!$H$13+'ПЛАН ЧЕРН К1'!O38*СПРАВОЧНИК!$I$13+'ПЛАН ЧЕРН К1'!P38*СПРАВОЧНИК!$J$13+'ПЛАН ЧЕРН К1'!Q38*СПРАВОЧНИК!$H$14+'ПЛАН ЧЕРН К1'!R38*СПРАВОЧНИК!$I$14+'ПЛАН ЧЕРН К1'!S38*СПРАВОЧНИК!$J$14+'ПЛАН ЧЕРН К1'!T38*СПРАВОЧНИК!$H$15+'ПЛАН ЧЕРН К1'!U38*СПРАВОЧНИК!$I$15+'ПЛАН ЧЕРН К1'!V38*СПРАВОЧНИК!$J$15</f>
        <v/>
      </c>
      <c r="AC47" s="40">
        <f>('ФАКТ ЧЕРН К1'!B38)*СПРАВОЧНИК!$H$9+('ФАКТ ЧЕРН К1'!C38)*СПРАВОЧНИК!$I$9+('ФАКТ ЧЕРН К1'!D38)*СПРАВОЧНИК!$J$9+('ФАКТ ЧЕРН К1'!E38)*СПРАВОЧНИК!$H$10+('ФАКТ ЧЕРН К1'!F38)*СПРАВОЧНИК!$I$10+('ФАКТ ЧЕРН К1'!G38)*СПРАВОЧНИК!$J$10+('ФАКТ ЧЕРН К1'!H38)*СПРАВОЧНИК!$H$11+('ФАКТ ЧЕРН К1'!I38)*СПРАВОЧНИК!$I$11+('ФАКТ ЧЕРН К1'!J38)*СПРАВОЧНИК!$J$11+('ФАКТ ЧЕРН К1'!K38)*СПРАВОЧНИК!$H$12+('ФАКТ ЧЕРН К1'!L38)*СПРАВОЧНИК!$I$12+('ФАКТ ЧЕРН К1'!M38)*СПРАВОЧНИК!$J$12+('ФАКТ ЧЕРН К1'!N38)*СПРАВОЧНИК!$H$13+('ФАКТ ЧЕРН К1'!O38)*СПРАВОЧНИК!$I$13+('ФАКТ ЧЕРН К1'!P38)*СПРАВОЧНИК!$J$13+('ФАКТ ЧЕРН К1'!Q38)*СПРАВОЧНИК!$H$14+('ФАКТ ЧЕРН К1'!R38)*СПРАВОЧНИК!$I$14+('ФАКТ ЧЕРН К1'!S38)*СПРАВОЧНИК!$J$14+('ФАКТ ЧЕРН К1'!T38)*СПРАВОЧНИК!$H$15+('ФАКТ ЧЕРН К1'!U38)*СПРАВОЧНИК!$I$15+('ФАКТ ЧЕРН К1'!V38)*СПРАВОЧНИК!$J$15</f>
        <v/>
      </c>
      <c r="AG47" s="18">
        <f>AG46+7</f>
        <v/>
      </c>
      <c r="AH47" s="37">
        <f>'ПЛАН ЧИСТ К1'!B38*СПРАВОЧНИК!$L$9+'ПЛАН ЧИСТ К1'!C38*СПРАВОЧНИК!$M$9+'ПЛАН ЧИСТ К1'!D38*СПРАВОЧНИК!$N$9+'ПЛАН ЧИСТ К1'!E38*СПРАВОЧНИК!$O$9+'ПЛАН ЧИСТ К1'!F38*СПРАВОЧНИК!$L$10+'ПЛАН ЧИСТ К1'!G38*СПРАВОЧНИК!$M$10+'ПЛАН ЧИСТ К1'!H38*СПРАВОЧНИК!$N$10+'ПЛАН ЧИСТ К1'!I38*СПРАВОЧНИК!$O$10+'ПЛАН ЧИСТ К1'!J38*СПРАВОЧНИК!$L$11+'ПЛАН ЧИСТ К1'!K38*СПРАВОЧНИК!$M$11+'ПЛАН ЧИСТ К1'!L38*СПРАВОЧНИК!$N$11+'ПЛАН ЧИСТ К1'!M38*СПРАВОЧНИК!$L$12+'ПЛАН ЧИСТ К1'!N38*СПРАВОЧНИК!$M$12+'ПЛАН ЧИСТ К1'!O38*СПРАВОЧНИК!$N$12+'ПЛАН ЧИСТ К1'!P38*СПРАВОЧНИК!$O$12+'ПЛАН ЧИСТ К1'!Q38*СПРАВОЧНИК!$L$13+'ПЛАН ЧИСТ К1'!R38*СПРАВОЧНИК!$M$13+'ПЛАН ЧИСТ К1'!S38*СПРАВОЧНИК!$N$13+'ПЛАН ЧИСТ К1'!T38*СПРАВОЧНИК!$O$13+'ПЛАН ЧИСТ К1'!U38*СПРАВОЧНИК!$L$14+'ПЛАН ЧИСТ К1'!V38*СПРАВОЧНИК!$M$14+'ПЛАН ЧИСТ К1'!W38*СПРАВОЧНИК!$N$14+'ПЛАН ЧИСТ К1'!X38*СПРАВОЧНИК!$L$15+'ПЛАН ЧИСТ К1'!Y38*СПРАВОЧНИК!$M$15+'ПЛАН ЧИСТ К1'!Z38*СПРАВОЧНИК!$N$15</f>
        <v/>
      </c>
      <c r="AI47" s="40">
        <f>('ФАКТ ЧИСТ К1'!B38)*СПРАВОЧНИК!$L$9+('ФАКТ ЧИСТ К1'!C38)*СПРАВОЧНИК!$M$9+('ФАКТ ЧИСТ К1'!D38)*СПРАВОЧНИК!$N$9+('ФАКТ ЧИСТ К1'!E38)*СПРАВОЧНИК!$O$9+('ФАКТ ЧИСТ К1'!F38)*СПРАВОЧНИК!$L$10+('ФАКТ ЧИСТ К1'!G38)*СПРАВОЧНИК!$M$10+('ФАКТ ЧИСТ К1'!H38)*СПРАВОЧНИК!$N$10+('ФАКТ ЧИСТ К1'!I38)*СПРАВОЧНИК!$O$10+('ФАКТ ЧИСТ К1'!J38)*СПРАВОЧНИК!$L$11+('ФАКТ ЧИСТ К1'!K38)*СПРАВОЧНИК!$M$11+('ФАКТ ЧИСТ К1'!L38)*СПРАВОЧНИК!$N$11+('ФАКТ ЧИСТ К1'!M38)*СПРАВОЧНИК!$L$12+('ФАКТ ЧИСТ К1'!N38)*СПРАВОЧНИК!$M$12+('ФАКТ ЧИСТ К1'!O38)*СПРАВОЧНИК!$N$12+('ФАКТ ЧИСТ К1'!P38)*СПРАВОЧНИК!$O$12+('ФАКТ ЧИСТ К1'!Q38)*СПРАВОЧНИК!$L$13+('ФАКТ ЧИСТ К1'!R38)*СПРАВОЧНИК!$M$13+('ФАКТ ЧИСТ К1'!S38)*СПРАВОЧНИК!$N$13+('ФАКТ ЧИСТ К1'!T38)*СПРАВОЧНИК!$O$13+('ФАКТ ЧИСТ К1'!U38)*СПРАВОЧНИК!$L$14+('ФАКТ ЧИСТ К1'!V38)*СПРАВОЧНИК!$M$14+('ФАКТ ЧИСТ К1'!W38)*СПРАВОЧНИК!$N$14+('ФАКТ ЧИСТ К1'!X38)*СПРАВОЧНИК!$L$15+('ФАКТ ЧИСТ К1'!Y38)*СПРАВОЧНИК!$M$15+('ФАКТ ЧИСТ К1'!Z38)*СПРАВОЧНИК!$N$15</f>
        <v/>
      </c>
      <c r="AM47" s="18">
        <f>AM46+7</f>
        <v/>
      </c>
      <c r="AN47" s="37">
        <f>СПРАВОЧНИК!$E$9*('ПЛАН ЧЕРН К2'!B38*СПРАВОЧНИК!$H$9+'ПЛАН ЧЕРН К2'!C38*СПРАВОЧНИК!$I$9+'ПЛАН ЧЕРН К2'!D38*СПРАВОЧНИК!$J$9)+СПРАВОЧНИК!$E$10*('ПЛАН ЧЕРН К2'!E38*СПРАВОЧНИК!$H$10+'ПЛАН ЧЕРН К2'!F38*СПРАВОЧНИК!$I$10+'ПЛАН ЧЕРН К2'!G38*СПРАВОЧНИК!$J$10)+СПРАВОЧНИК!$E$11*('ПЛАН ЧЕРН К2'!H38*СПРАВОЧНИК!$H$11+'ПЛАН ЧЕРН К2'!I38*СПРАВОЧНИК!$I$11+'ПЛАН ЧЕРН К2'!J38*СПРАВОЧНИК!$J$11)+СПРАВОЧНИК!$E$12*('ПЛАН ЧЕРН К2'!K38*СПРАВОЧНИК!$H$12+'ПЛАН ЧЕРН К2'!L38*СПРАВОЧНИК!$I$12+'ПЛАН ЧЕРН К2'!M38*СПРАВОЧНИК!$J$12)+СПРАВОЧНИК!$E$13*('ПЛАН ЧЕРН К2'!N38*СПРАВОЧНИК!$H$13+'ПЛАН ЧЕРН К2'!O38*СПРАВОЧНИК!$I$13+'ПЛАН ЧЕРН К2'!P38*СПРАВОЧНИК!$J$13)+СПРАВОЧНИК!$E$14*('ПЛАН ЧЕРН К2'!Q38*СПРАВОЧНИК!$H$14+'ПЛАН ЧЕРН К2'!R38*СПРАВОЧНИК!$I$14+'ПЛАН ЧЕРН К2'!S38*СПРАВОЧНИК!$J$14)+СПРАВОЧНИК!$E$15*('ПЛАН ЧЕРН К2'!T38*СПРАВОЧНИК!$H$15+'ПЛАН ЧЕРН К2'!U38*СПРАВОЧНИК!$I$15+'ПЛАН ЧЕРН К2'!V38*СПРАВОЧНИК!$J$15)+СПРАВОЧНИК!$F$9*('ПЛАН ЧИСТ К2'!B38*СПРАВОЧНИК!$L$9+'ПЛАН ЧИСТ К2'!C38*СПРАВОЧНИК!$M$9+'ПЛАН ЧИСТ К2'!D38*СПРАВОЧНИК!$N$9+'ПЛАН ЧИСТ К2'!E38*СПРАВОЧНИК!$O$9)+СПРАВОЧНИК!$F$10*('ПЛАН ЧИСТ К2'!F38*СПРАВОЧНИК!$L$10+'ПЛАН ЧИСТ К2'!G38*СПРАВОЧНИК!$M$10+'ПЛАН ЧИСТ К2'!H38*СПРАВОЧНИК!$N$10+'ПЛАН ЧИСТ К2'!I38*СПРАВОЧНИК!$O$10)+СПРАВОЧНИК!$F$11*('ПЛАН ЧИСТ К2'!J38*СПРАВОЧНИК!$L$11+'ПЛАН ЧИСТ К2'!K38*СПРАВОЧНИК!$M$11+'ПЛАН ЧИСТ К2'!L38*СПРАВОЧНИК!$N$11)+СПРАВОЧНИК!$F$12*('ПЛАН ЧИСТ К2'!M38*СПРАВОЧНИК!$L$12+'ПЛАН ЧИСТ К2'!N38*СПРАВОЧНИК!$M$12+'ПЛАН ЧИСТ К2'!O38*СПРАВОЧНИК!$N$12+'ПЛАН ЧИСТ К2'!P38*СПРАВОЧНИК!$O$12)+СПРАВОЧНИК!$F$13*('ПЛАН ЧИСТ К2'!Q38*СПРАВОЧНИК!$L$13+'ПЛАН ЧИСТ К2'!R38*СПРАВОЧНИК!$M$13+'ПЛАН ЧИСТ К2'!S38*СПРАВОЧНИК!$N$13+'ПЛАН ЧИСТ К2'!T38*СПРАВОЧНИК!$O$13)+СПРАВОЧНИК!$F$14*('ПЛАН ЧИСТ К2'!U38*СПРАВОЧНИК!$L$14+'ПЛАН ЧИСТ К2'!V38*СПРАВОЧНИК!$M$14+'ПЛАН ЧИСТ К2'!W38*СПРАВОЧНИК!$N$14)+СПРАВОЧНИК!$F$15*('ПЛАН ЧИСТ К2'!X38*СПРАВОЧНИК!$L$15+'ПЛАН ЧИСТ К2'!Y38*СПРАВОЧНИК!$M$15+'ПЛАН ЧИСТ К2'!Z38*СПРАВОЧНИК!$N$15)</f>
        <v/>
      </c>
      <c r="AO47" s="40">
        <f>СПРАВОЧНИК!$E$9*(('ФАКТ ЧЕРН К2'!B38)*СПРАВОЧНИК!$H$9+('ФАКТ ЧЕРН К2'!C38)*СПРАВОЧНИК!$I$9+('ФАКТ ЧЕРН К2'!D38)*СПРАВОЧНИК!$J$9)+СПРАВОЧНИК!$E$10*(('ФАКТ ЧЕРН К2'!E38)*СПРАВОЧНИК!$H$10+('ФАКТ ЧЕРН К2'!F38)*СПРАВОЧНИК!$I$10+('ФАКТ ЧЕРН К2'!G38)*СПРАВОЧНИК!$J$10)+СПРАВОЧНИК!$E$11*(('ФАКТ ЧЕРН К2'!H38)*СПРАВОЧНИК!$H$11+('ФАКТ ЧЕРН К2'!I38)*СПРАВОЧНИК!$I$11+('ФАКТ ЧЕРН К2'!J38)*СПРАВОЧНИК!$J$11)+СПРАВОЧНИК!$E$12*(('ФАКТ ЧЕРН К2'!K38)*СПРАВОЧНИК!$H$12+('ФАКТ ЧЕРН К2'!L38)*СПРАВОЧНИК!$I$12+('ФАКТ ЧЕРН К2'!M38)*СПРАВОЧНИК!$J$12)+СПРАВОЧНИК!$E$13*(('ФАКТ ЧЕРН К2'!N38)*СПРАВОЧНИК!$H$13+('ФАКТ ЧЕРН К2'!O38)*СПРАВОЧНИК!$I$13+('ФАКТ ЧЕРН К2'!P38)*СПРАВОЧНИК!$J$13)+СПРАВОЧНИК!$E$14*(('ФАКТ ЧЕРН К2'!Q38)*СПРАВОЧНИК!$H$14+('ФАКТ ЧЕРН К2'!R38)*СПРАВОЧНИК!$I$14+('ФАКТ ЧЕРН К2'!S38)*СПРАВОЧНИК!$J$14)+СПРАВОЧНИК!$E$15*(('ФАКТ ЧЕРН К2'!T38)*СПРАВОЧНИК!$H$15+('ФАКТ ЧЕРН К2'!U38)*СПРАВОЧНИК!$I$15+('ФАКТ ЧЕРН К2'!V38)*СПРАВОЧНИК!$J$15)+СПРАВОЧНИК!$F$9*(('ФАКТ ЧИСТ К2'!B38)*СПРАВОЧНИК!$L$9+('ФАКТ ЧИСТ К2'!C38)*СПРАВОЧНИК!$M$9+('ФАКТ ЧИСТ К2'!D38)*СПРАВОЧНИК!$N$9+('ФАКТ ЧИСТ К2'!E38)*СПРАВОЧНИК!$O$9)+СПРАВОЧНИК!$F$10*(('ФАКТ ЧИСТ К2'!F38)*СПРАВОЧНИК!$L$10+('ФАКТ ЧИСТ К2'!G38)*СПРАВОЧНИК!$M$10+('ФАКТ ЧИСТ К2'!H38)*СПРАВОЧНИК!$N$10+('ФАКТ ЧИСТ К2'!I38)*СПРАВОЧНИК!$O$10)+СПРАВОЧНИК!$F$11*(('ФАКТ ЧИСТ К2'!J38)*СПРАВОЧНИК!$L$11+('ФАКТ ЧИСТ К2'!K38)*СПРАВОЧНИК!$M$11+('ФАКТ ЧИСТ К2'!L38)*СПРАВОЧНИК!$N$11)+СПРАВОЧНИК!$F$12*(('ФАКТ ЧИСТ К2'!M38)*СПРАВОЧНИК!$L$12+('ФАКТ ЧИСТ К2'!N38)*СПРАВОЧНИК!$M$12+('ФАКТ ЧИСТ К2'!O38)*СПРАВОЧНИК!$N$12+('ФАКТ ЧИСТ К2'!P38)*СПРАВОЧНИК!$O$12)+СПРАВОЧНИК!$F$13*(('ФАКТ ЧИСТ К2'!Q38)*СПРАВОЧНИК!$L$13+('ФАКТ ЧИСТ К2'!R38)*СПРАВОЧНИК!$M$13+('ФАКТ ЧИСТ К2'!S38)*СПРАВОЧНИК!$N$13+('ФАКТ ЧИСТ К2'!T38)*СПРАВОЧНИК!$O$13)+СПРАВОЧНИК!$F$14*(('ФАКТ ЧИСТ К2'!U38)*СПРАВОЧНИК!$L$14+('ФАКТ ЧИСТ К2'!V38)*СПРАВОЧНИК!$M$14+('ФАКТ ЧИСТ К2'!W38)*СПРАВОЧНИК!$N$14)+СПРАВОЧНИК!$F$15*(('ФАКТ ЧИСТ К2'!X38)*СПРАВОЧНИК!$L$15+('ФАКТ ЧИСТ К2'!Y38)*СПРАВОЧНИК!$M$15+('ФАКТ ЧИСТ К2'!Z38)*СПРАВОЧНИК!$N$15)</f>
        <v/>
      </c>
      <c r="AS47" s="18">
        <f>AS46+7</f>
        <v/>
      </c>
      <c r="AT47" s="37">
        <f>'ПЛАН ЧЕРН К2'!B38*СПРАВОЧНИК!$H$9+'ПЛАН ЧЕРН К2'!C38*СПРАВОЧНИК!$I$9+'ПЛАН ЧЕРН К2'!D38*СПРАВОЧНИК!$J$9+'ПЛАН ЧЕРН К2'!E38*СПРАВОЧНИК!$H$10+'ПЛАН ЧЕРН К2'!F38*СПРАВОЧНИК!$I$10+'ПЛАН ЧЕРН К2'!G38*СПРАВОЧНИК!$J$10+'ПЛАН ЧЕРН К2'!H38*СПРАВОЧНИК!$H$11+'ПЛАН ЧЕРН К2'!I38*СПРАВОЧНИК!$I$11+'ПЛАН ЧЕРН К2'!J38*СПРАВОЧНИК!$J$11+'ПЛАН ЧЕРН К2'!K38*СПРАВОЧНИК!$H$12+'ПЛАН ЧЕРН К2'!L38*СПРАВОЧНИК!$I$12+'ПЛАН ЧЕРН К2'!M38*СПРАВОЧНИК!$J$12+'ПЛАН ЧЕРН К2'!N38*СПРАВОЧНИК!$H$13+'ПЛАН ЧЕРН К2'!O38*СПРАВОЧНИК!$I$13+'ПЛАН ЧЕРН К2'!P38*СПРАВОЧНИК!$J$13+'ПЛАН ЧЕРН К2'!Q38*СПРАВОЧНИК!$H$14+'ПЛАН ЧЕРН К2'!R38*СПРАВОЧНИК!$I$14+'ПЛАН ЧЕРН К2'!S38*СПРАВОЧНИК!$J$14+'ПЛАН ЧЕРН К2'!T38*СПРАВОЧНИК!$H$15+'ПЛАН ЧЕРН К2'!U38*СПРАВОЧНИК!$I$15+'ПЛАН ЧЕРН К2'!V38*СПРАВОЧНИК!$J$15</f>
        <v/>
      </c>
      <c r="AU47" s="40">
        <f>('ФАКТ ЧЕРН К2'!B38)*СПРАВОЧНИК!$H$9+('ФАКТ ЧЕРН К2'!C38)*СПРАВОЧНИК!$I$9+('ФАКТ ЧЕРН К2'!D38)*СПРАВОЧНИК!$J$9+('ФАКТ ЧЕРН К2'!E38)*СПРАВОЧНИК!$H$10+('ФАКТ ЧЕРН К2'!F38)*СПРАВОЧНИК!$I$10+('ФАКТ ЧЕРН К2'!G38)*СПРАВОЧНИК!$J$10+('ФАКТ ЧЕРН К2'!H38)*СПРАВОЧНИК!$H$11+('ФАКТ ЧЕРН К2'!I38)*СПРАВОЧНИК!$I$11+('ФАКТ ЧЕРН К2'!J38)*СПРАВОЧНИК!$J$11+('ФАКТ ЧЕРН К2'!K38)*СПРАВОЧНИК!$H$12+('ФАКТ ЧЕРН К2'!L38)*СПРАВОЧНИК!$I$12+('ФАКТ ЧЕРН К2'!M38)*СПРАВОЧНИК!$J$12+('ФАКТ ЧЕРН К2'!N38)*СПРАВОЧНИК!$H$13+('ФАКТ ЧЕРН К2'!O38)*СПРАВОЧНИК!$I$13+('ФАКТ ЧЕРН К2'!P38)*СПРАВОЧНИК!$J$13+('ФАКТ ЧЕРН К2'!Q38)*СПРАВОЧНИК!$H$14+('ФАКТ ЧЕРН К2'!R38)*СПРАВОЧНИК!$I$14+('ФАКТ ЧЕРН К2'!S38)*СПРАВОЧНИК!$J$14+('ФАКТ ЧЕРН К2'!T38)*СПРАВОЧНИК!$H$15+('ФАКТ ЧЕРН К2'!U38)*СПРАВОЧНИК!$I$15+('ФАКТ ЧЕРН К2'!V38)*СПРАВОЧНИК!$J$15</f>
        <v/>
      </c>
      <c r="AY47" s="18">
        <f>AY46+7</f>
        <v/>
      </c>
      <c r="AZ47" s="37">
        <f>'ПЛАН ЧИСТ К2'!B38*СПРАВОЧНИК!$L$9+'ПЛАН ЧИСТ К2'!C38*СПРАВОЧНИК!$M$9+'ПЛАН ЧИСТ К2'!D38*СПРАВОЧНИК!$N$9+'ПЛАН ЧИСТ К2'!E38*СПРАВОЧНИК!$O$9+'ПЛАН ЧИСТ К2'!F38*СПРАВОЧНИК!$L$10+'ПЛАН ЧИСТ К2'!G38*СПРАВОЧНИК!$M$10+'ПЛАН ЧИСТ К2'!H38*СПРАВОЧНИК!$N$10+'ПЛАН ЧИСТ К2'!I38*СПРАВОЧНИК!$O$10+'ПЛАН ЧИСТ К2'!J38*СПРАВОЧНИК!$L$11+'ПЛАН ЧИСТ К2'!K38*СПРАВОЧНИК!$M$11+'ПЛАН ЧИСТ К2'!L38*СПРАВОЧНИК!$N$11+'ПЛАН ЧИСТ К2'!M38*СПРАВОЧНИК!$L$12+'ПЛАН ЧИСТ К2'!N38*СПРАВОЧНИК!$M$12+'ПЛАН ЧИСТ К2'!O38*СПРАВОЧНИК!$N$12+'ПЛАН ЧИСТ К2'!P38*СПРАВОЧНИК!$O$12+'ПЛАН ЧИСТ К2'!Q38*СПРАВОЧНИК!$L$13+'ПЛАН ЧИСТ К2'!R38*СПРАВОЧНИК!$M$13+'ПЛАН ЧИСТ К2'!S38*СПРАВОЧНИК!$N$13+'ПЛАН ЧИСТ К2'!T38*СПРАВОЧНИК!$O$13+'ПЛАН ЧИСТ К2'!U38*СПРАВОЧНИК!$L$14+'ПЛАН ЧИСТ К2'!V38*СПРАВОЧНИК!$M$14+'ПЛАН ЧИСТ К2'!W38*СПРАВОЧНИК!$N$14+'ПЛАН ЧИСТ К2'!X38*СПРАВОЧНИК!$L$15+'ПЛАН ЧИСТ К2'!Y38*СПРАВОЧНИК!$M$15+'ПЛАН ЧИСТ К2'!Z38*СПРАВОЧНИК!$N$15</f>
        <v/>
      </c>
      <c r="BA47" s="40">
        <f>('ФАКТ ЧИСТ К2'!B38)*СПРАВОЧНИК!$L$9+('ФАКТ ЧИСТ К2'!C38)*СПРАВОЧНИК!$M$9+('ФАКТ ЧИСТ К2'!D38)*СПРАВОЧНИК!$N$9+('ФАКТ ЧИСТ К2'!E38)*СПРАВОЧНИК!$O$9+('ФАКТ ЧИСТ К2'!F38)*СПРАВОЧНИК!$L$10+('ФАКТ ЧИСТ К2'!G38)*СПРАВОЧНИК!$M$10+('ФАКТ ЧИСТ К2'!H38)*СПРАВОЧНИК!$N$10+('ФАКТ ЧИСТ К2'!I38)*СПРАВОЧНИК!$O$10+('ФАКТ ЧИСТ К2'!J38)*СПРАВОЧНИК!$L$11+('ФАКТ ЧИСТ К2'!K38)*СПРАВОЧНИК!$M$11+('ФАКТ ЧИСТ К2'!L38)*СПРАВОЧНИК!$N$11+('ФАКТ ЧИСТ К2'!M38)*СПРАВОЧНИК!$L$12+('ФАКТ ЧИСТ К2'!N38)*СПРАВОЧНИК!$M$12+('ФАКТ ЧИСТ К2'!O38)*СПРАВОЧНИК!$N$12+('ФАКТ ЧИСТ К2'!P38)*СПРАВОЧНИК!$O$12+('ФАКТ ЧИСТ К2'!Q38)*СПРАВОЧНИК!$L$13+('ФАКТ ЧИСТ К2'!R38)*СПРАВОЧНИК!$M$13+('ФАКТ ЧИСТ К2'!S38)*СПРАВОЧНИК!$N$13+('ФАКТ ЧИСТ К2'!T38)*СПРАВОЧНИК!$O$13+('ФАКТ ЧИСТ К2'!U38)*СПРАВОЧНИК!$L$14+('ФАКТ ЧИСТ К2'!V38)*СПРАВОЧНИК!$M$14+('ФАКТ ЧИСТ К2'!W38)*СПРАВОЧНИК!$N$14+('ФАКТ ЧИСТ К2'!X38)*СПРАВОЧНИК!$L$15+('ФАКТ ЧИСТ К2'!Y38)*СПРАВОЧНИК!$M$15+('ФАКТ ЧИСТ К2'!Z38)*СПРАВОЧНИК!$N$15</f>
        <v/>
      </c>
      <c r="BE47" s="18">
        <f>BE46+7</f>
        <v/>
      </c>
      <c r="BF47" s="37">
        <f>СПРАВОЧНИК!$E$9*('ПЛАН ЧЕРН К3'!B38*СПРАВОЧНИК!$H$9+'ПЛАН ЧЕРН К3'!C38*СПРАВОЧНИК!$I$9+'ПЛАН ЧЕРН К3'!D38*СПРАВОЧНИК!$J$9)+СПРАВОЧНИК!$E$10*('ПЛАН ЧЕРН К3'!E38*СПРАВОЧНИК!$H$10+'ПЛАН ЧЕРН К3'!F38*СПРАВОЧНИК!$I$10+'ПЛАН ЧЕРН К3'!G38*СПРАВОЧНИК!$J$10)+СПРАВОЧНИК!$E$11*('ПЛАН ЧЕРН К3'!H38*СПРАВОЧНИК!$H$11+'ПЛАН ЧЕРН К3'!I38*СПРАВОЧНИК!$I$11+'ПЛАН ЧЕРН К3'!J38*СПРАВОЧНИК!$J$11)+СПРАВОЧНИК!$E$12*('ПЛАН ЧЕРН К3'!K38*СПРАВОЧНИК!$H$12+'ПЛАН ЧЕРН К3'!L38*СПРАВОЧНИК!$I$12+'ПЛАН ЧЕРН К3'!M38*СПРАВОЧНИК!$J$12)+СПРАВОЧНИК!$E$13*('ПЛАН ЧЕРН К3'!N38*СПРАВОЧНИК!$H$13+'ПЛАН ЧЕРН К3'!O38*СПРАВОЧНИК!$I$13+'ПЛАН ЧЕРН К3'!P38*СПРАВОЧНИК!$J$13)+СПРАВОЧНИК!$E$14*('ПЛАН ЧЕРН К3'!Q38*СПРАВОЧНИК!$H$14+'ПЛАН ЧЕРН К3'!R38*СПРАВОЧНИК!$I$14+'ПЛАН ЧЕРН К3'!S38*СПРАВОЧНИК!$J$14)+СПРАВОЧНИК!$E$15*('ПЛАН ЧЕРН К3'!T38*СПРАВОЧНИК!$H$15+'ПЛАН ЧЕРН К3'!U38*СПРАВОЧНИК!$I$15+'ПЛАН ЧЕРН К3'!V38*СПРАВОЧНИК!$J$15)+СПРАВОЧНИК!$F$9*('ПЛАН ЧИСТ К3'!B38*СПРАВОЧНИК!$L$9+'ПЛАН ЧИСТ К3'!C38*СПРАВОЧНИК!$M$9+'ПЛАН ЧИСТ К3'!D38*СПРАВОЧНИК!$N$9+'ПЛАН ЧИСТ К3'!E38*СПРАВОЧНИК!$O$9)+СПРАВОЧНИК!$F$10*('ПЛАН ЧИСТ К3'!F38*СПРАВОЧНИК!$L$10+'ПЛАН ЧИСТ К3'!G38*СПРАВОЧНИК!$M$10+'ПЛАН ЧИСТ К3'!H38*СПРАВОЧНИК!$N$10+'ПЛАН ЧИСТ К3'!I38*СПРАВОЧНИК!$O$10)+СПРАВОЧНИК!$F$11*('ПЛАН ЧИСТ К3'!J38*СПРАВОЧНИК!$L$11+'ПЛАН ЧИСТ К3'!K38*СПРАВОЧНИК!$M$11+'ПЛАН ЧИСТ К3'!L38*СПРАВОЧНИК!$N$11)+СПРАВОЧНИК!$F$12*('ПЛАН ЧИСТ К3'!M38*СПРАВОЧНИК!$L$12+'ПЛАН ЧИСТ К3'!N38*СПРАВОЧНИК!$M$12+'ПЛАН ЧИСТ К3'!O38*СПРАВОЧНИК!$N$12+'ПЛАН ЧИСТ К3'!P38*СПРАВОЧНИК!$O$12)+СПРАВОЧНИК!$F$13*('ПЛАН ЧИСТ К3'!Q38*СПРАВОЧНИК!$L$13+'ПЛАН ЧИСТ К3'!R38*СПРАВОЧНИК!$M$13+'ПЛАН ЧИСТ К3'!S38*СПРАВОЧНИК!$N$13+'ПЛАН ЧИСТ К3'!T38*СПРАВОЧНИК!$O$13)+СПРАВОЧНИК!$F$14*('ПЛАН ЧИСТ К3'!U38*СПРАВОЧНИК!$L$14+'ПЛАН ЧИСТ К3'!V38*СПРАВОЧНИК!$M$14+'ПЛАН ЧИСТ К3'!W38*СПРАВОЧНИК!$N$14)+СПРАВОЧНИК!$F$15*('ПЛАН ЧИСТ К3'!X38*СПРАВОЧНИК!$L$15+'ПЛАН ЧИСТ К3'!Y38*СПРАВОЧНИК!$M$15+'ПЛАН ЧИСТ К3'!Z38*СПРАВОЧНИК!$N$15)</f>
        <v/>
      </c>
      <c r="BG47" s="40">
        <f>СПРАВОЧНИК!$E$9*(('ФАКТ ЧЕРН К3'!B38)*СПРАВОЧНИК!$H$9+('ФАКТ ЧЕРН К3'!C38)*СПРАВОЧНИК!$I$9+('ФАКТ ЧЕРН К3'!D38)*СПРАВОЧНИК!$J$9)+СПРАВОЧНИК!$E$10*(('ФАКТ ЧЕРН К3'!E38)*СПРАВОЧНИК!$H$10+('ФАКТ ЧЕРН К3'!F38)*СПРАВОЧНИК!$I$10+('ФАКТ ЧЕРН К3'!G38)*СПРАВОЧНИК!$J$10)+СПРАВОЧНИК!$E$11*(('ФАКТ ЧЕРН К3'!H38)*СПРАВОЧНИК!$H$11+('ФАКТ ЧЕРН К3'!I38)*СПРАВОЧНИК!$I$11+('ФАКТ ЧЕРН К3'!J38)*СПРАВОЧНИК!$J$11)+СПРАВОЧНИК!$E$12*(('ФАКТ ЧЕРН К3'!K38)*СПРАВОЧНИК!$H$12+('ФАКТ ЧЕРН К3'!L38)*СПРАВОЧНИК!$I$12+('ФАКТ ЧЕРН К3'!M38)*СПРАВОЧНИК!$J$12)+СПРАВОЧНИК!$E$13*(('ФАКТ ЧЕРН К3'!N38)*СПРАВОЧНИК!$H$13+('ФАКТ ЧЕРН К3'!O38)*СПРАВОЧНИК!$I$13+('ФАКТ ЧЕРН К3'!P38)*СПРАВОЧНИК!$J$13)+СПРАВОЧНИК!$E$14*(('ФАКТ ЧЕРН К3'!Q38)*СПРАВОЧНИК!$H$14+('ФАКТ ЧЕРН К3'!R38)*СПРАВОЧНИК!$I$14+('ФАКТ ЧЕРН К3'!S38)*СПРАВОЧНИК!$J$14)+СПРАВОЧНИК!$E$15*(('ФАКТ ЧЕРН К3'!T38)*СПРАВОЧНИК!$H$15+('ФАКТ ЧЕРН К3'!U38)*СПРАВОЧНИК!$I$15+('ФАКТ ЧЕРН К3'!V38)*СПРАВОЧНИК!$J$15)+СПРАВОЧНИК!$F$9*(('ФАКТ ЧИСТ К3'!B38)*СПРАВОЧНИК!$L$9+('ФАКТ ЧИСТ К3'!C38)*СПРАВОЧНИК!$M$9+('ФАКТ ЧИСТ К3'!D38)*СПРАВОЧНИК!$N$9+('ФАКТ ЧИСТ К3'!E38)*СПРАВОЧНИК!$O$9)+СПРАВОЧНИК!$F$10*(('ФАКТ ЧИСТ К3'!F38)*СПРАВОЧНИК!$L$10+('ФАКТ ЧИСТ К3'!G38)*СПРАВОЧНИК!$M$10+('ФАКТ ЧИСТ К3'!H38)*СПРАВОЧНИК!$N$10+('ФАКТ ЧИСТ К3'!I38)*СПРАВОЧНИК!$O$10)+СПРАВОЧНИК!$F$11*(('ФАКТ ЧИСТ К3'!J38)*СПРАВОЧНИК!$L$11+('ФАКТ ЧИСТ К3'!K38)*СПРАВОЧНИК!$M$11+('ФАКТ ЧИСТ К3'!L38)*СПРАВОЧНИК!$N$11)+СПРАВОЧНИК!$F$12*(('ФАКТ ЧИСТ К3'!M38)*СПРАВОЧНИК!$L$12+('ФАКТ ЧИСТ К3'!N38)*СПРАВОЧНИК!$M$12+('ФАКТ ЧИСТ К3'!O38)*СПРАВОЧНИК!$N$12+('ФАКТ ЧИСТ К3'!P38)*СПРАВОЧНИК!$O$12)+СПРАВОЧНИК!$F$13*(('ФАКТ ЧИСТ К3'!Q38)*СПРАВОЧНИК!$L$13+('ФАКТ ЧИСТ К3'!R38)*СПРАВОЧНИК!$M$13+('ФАКТ ЧИСТ К3'!S38)*СПРАВОЧНИК!$N$13+('ФАКТ ЧИСТ К3'!T38)*СПРАВОЧНИК!$O$13)+СПРАВОЧНИК!$F$14*(('ФАКТ ЧИСТ К3'!U38)*СПРАВОЧНИК!$L$14+('ФАКТ ЧИСТ К3'!V38)*СПРАВОЧНИК!$M$14+('ФАКТ ЧИСТ К3'!W38)*СПРАВОЧНИК!$N$14)+СПРАВОЧНИК!$F$15*(('ФАКТ ЧИСТ К3'!X38)*СПРАВОЧНИК!$L$15+('ФАКТ ЧИСТ К3'!Y38)*СПРАВОЧНИК!$M$15+('ФАКТ ЧИСТ К3'!Z38)*СПРАВОЧНИК!$N$15)</f>
        <v/>
      </c>
      <c r="BK47" s="18">
        <f>BK46+7</f>
        <v/>
      </c>
      <c r="BL47" s="37">
        <f>'ПЛАН ЧЕРН К3'!B38*СПРАВОЧНИК!$H$9+'ПЛАН ЧЕРН К3'!C38*СПРАВОЧНИК!$I$9+'ПЛАН ЧЕРН К3'!D38*СПРАВОЧНИК!$J$9+'ПЛАН ЧЕРН К3'!E38*СПРАВОЧНИК!$H$10+'ПЛАН ЧЕРН К3'!F38*СПРАВОЧНИК!$I$10+'ПЛАН ЧЕРН К3'!G38*СПРАВОЧНИК!$J$10+'ПЛАН ЧЕРН К3'!H38*СПРАВОЧНИК!$H$11+'ПЛАН ЧЕРН К3'!I38*СПРАВОЧНИК!$I$11+'ПЛАН ЧЕРН К3'!J38*СПРАВОЧНИК!$J$11+'ПЛАН ЧЕРН К3'!K38*СПРАВОЧНИК!$H$12+'ПЛАН ЧЕРН К3'!L38*СПРАВОЧНИК!$I$12+'ПЛАН ЧЕРН К3'!M38*СПРАВОЧНИК!$J$12+'ПЛАН ЧЕРН К3'!N38*СПРАВОЧНИК!$H$13+'ПЛАН ЧЕРН К3'!O38*СПРАВОЧНИК!$I$13+'ПЛАН ЧЕРН К3'!P38*СПРАВОЧНИК!$J$13+'ПЛАН ЧЕРН К3'!Q38*СПРАВОЧНИК!$H$14+'ПЛАН ЧЕРН К3'!R38*СПРАВОЧНИК!$I$14+'ПЛАН ЧЕРН К3'!S38*СПРАВОЧНИК!$J$14+'ПЛАН ЧЕРН К3'!T38*СПРАВОЧНИК!$H$15+'ПЛАН ЧЕРН К3'!U38*СПРАВОЧНИК!$I$15+'ПЛАН ЧЕРН К3'!V38*СПРАВОЧНИК!$J$15</f>
        <v/>
      </c>
      <c r="BM47" s="40">
        <f>('ФАКТ ЧЕРН К3'!B38)*СПРАВОЧНИК!$H$9+('ФАКТ ЧЕРН К3'!C38)*СПРАВОЧНИК!$I$9+('ФАКТ ЧЕРН К3'!D38)*СПРАВОЧНИК!$J$9+('ФАКТ ЧЕРН К3'!E38)*СПРАВОЧНИК!$H$10+('ФАКТ ЧЕРН К3'!F38)*СПРАВОЧНИК!$I$10+('ФАКТ ЧЕРН К3'!G38)*СПРАВОЧНИК!$J$10+('ФАКТ ЧЕРН К3'!H38)*СПРАВОЧНИК!$H$11+('ФАКТ ЧЕРН К3'!I38)*СПРАВОЧНИК!$I$11+('ФАКТ ЧЕРН К3'!J38)*СПРАВОЧНИК!$J$11+('ФАКТ ЧЕРН К3'!K38)*СПРАВОЧНИК!$H$12+('ФАКТ ЧЕРН К3'!L38)*СПРАВОЧНИК!$I$12+('ФАКТ ЧЕРН К3'!M38)*СПРАВОЧНИК!$J$12+('ФАКТ ЧЕРН К3'!N38)*СПРАВОЧНИК!$H$13+('ФАКТ ЧЕРН К3'!O38)*СПРАВОЧНИК!$I$13+('ФАКТ ЧЕРН К3'!P38)*СПРАВОЧНИК!$J$13+('ФАКТ ЧЕРН К3'!Q38)*СПРАВОЧНИК!$H$14+('ФАКТ ЧЕРН К3'!R38)*СПРАВОЧНИК!$I$14+('ФАКТ ЧЕРН К3'!S38)*СПРАВОЧНИК!$J$14+('ФАКТ ЧЕРН К3'!T38)*СПРАВОЧНИК!$H$15+('ФАКТ ЧЕРН К3'!U38)*СПРАВОЧНИК!$I$15+('ФАКТ ЧЕРН К3'!V38)*СПРАВОЧНИК!$J$15</f>
        <v/>
      </c>
      <c r="BQ47" s="18">
        <f>BQ46+7</f>
        <v/>
      </c>
      <c r="BR47" s="37">
        <f>'ПЛАН ЧИСТ К3'!B38*СПРАВОЧНИК!$L$9+'ПЛАН ЧИСТ К3'!C38*СПРАВОЧНИК!$M$9+'ПЛАН ЧИСТ К3'!D38*СПРАВОЧНИК!$N$9+'ПЛАН ЧИСТ К3'!E38*СПРАВОЧНИК!$O$9+'ПЛАН ЧИСТ К3'!F38*СПРАВОЧНИК!$L$10+'ПЛАН ЧИСТ К3'!G38*СПРАВОЧНИК!$M$10+'ПЛАН ЧИСТ К3'!H38*СПРАВОЧНИК!$N$10+'ПЛАН ЧИСТ К3'!I38*СПРАВОЧНИК!$O$10+'ПЛАН ЧИСТ К3'!J38*СПРАВОЧНИК!$L$11+'ПЛАН ЧИСТ К3'!K38*СПРАВОЧНИК!$M$11+'ПЛАН ЧИСТ К3'!L38*СПРАВОЧНИК!$N$11+'ПЛАН ЧИСТ К3'!M38*СПРАВОЧНИК!$L$12+'ПЛАН ЧИСТ К3'!N38*СПРАВОЧНИК!$M$12+'ПЛАН ЧИСТ К3'!O38*СПРАВОЧНИК!$N$12+'ПЛАН ЧИСТ К3'!P38*СПРАВОЧНИК!$O$12+'ПЛАН ЧИСТ К3'!Q38*СПРАВОЧНИК!$L$13+'ПЛАН ЧИСТ К3'!R38*СПРАВОЧНИК!$M$13+'ПЛАН ЧИСТ К3'!S38*СПРАВОЧНИК!$N$13+'ПЛАН ЧИСТ К3'!T38*СПРАВОЧНИК!$O$13+'ПЛАН ЧИСТ К3'!U38*СПРАВОЧНИК!$L$14+'ПЛАН ЧИСТ К3'!V38*СПРАВОЧНИК!$M$14+'ПЛАН ЧИСТ К3'!W38*СПРАВОЧНИК!$N$14+'ПЛАН ЧИСТ К3'!X38*СПРАВОЧНИК!$L$15+'ПЛАН ЧИСТ К3'!Y38*СПРАВОЧНИК!$M$15+'ПЛАН ЧИСТ К3'!Z38*СПРАВОЧНИК!$N$15</f>
        <v/>
      </c>
      <c r="BS47" s="40">
        <f>('ФАКТ ЧИСТ К3'!B38)*СПРАВОЧНИК!$L$9+('ФАКТ ЧИСТ К3'!C38)*СПРАВОЧНИК!$M$9+('ФАКТ ЧИСТ К3'!D38)*СПРАВОЧНИК!$N$9+('ФАКТ ЧИСТ К3'!E38)*СПРАВОЧНИК!$O$9+('ФАКТ ЧИСТ К3'!F38)*СПРАВОЧНИК!$L$10+('ФАКТ ЧИСТ К3'!G38)*СПРАВОЧНИК!$M$10+('ФАКТ ЧИСТ К3'!H38)*СПРАВОЧНИК!$N$10+('ФАКТ ЧИСТ К3'!I38)*СПРАВОЧНИК!$O$10+('ФАКТ ЧИСТ К3'!J38)*СПРАВОЧНИК!$L$11+('ФАКТ ЧИСТ К3'!K38)*СПРАВОЧНИК!$M$11+('ФАКТ ЧИСТ К3'!L38)*СПРАВОЧНИК!$N$11+('ФАКТ ЧИСТ К3'!M38)*СПРАВОЧНИК!$L$12+('ФАКТ ЧИСТ К3'!N38)*СПРАВОЧНИК!$M$12+('ФАКТ ЧИСТ К3'!O38)*СПРАВОЧНИК!$N$12+('ФАКТ ЧИСТ К3'!P38)*СПРАВОЧНИК!$O$12+('ФАКТ ЧИСТ К3'!Q38)*СПРАВОЧНИК!$L$13+('ФАКТ ЧИСТ К3'!R38)*СПРАВОЧНИК!$M$13+('ФАКТ ЧИСТ К3'!S38)*СПРАВОЧНИК!$N$13+('ФАКТ ЧИСТ К3'!T38)*СПРАВОЧНИК!$O$13+('ФАКТ ЧИСТ К3'!U38)*СПРАВОЧНИК!$L$14+('ФАКТ ЧИСТ К3'!V38)*СПРАВОЧНИК!$M$14+('ФАКТ ЧИСТ К3'!W38)*СПРАВОЧНИК!$N$14+('ФАКТ ЧИСТ К3'!X38)*СПРАВОЧНИК!$L$15+('ФАКТ ЧИСТ К3'!Y38)*СПРАВОЧНИК!$M$15+('ФАКТ ЧИСТ К3'!Z38)*СПРАВОЧНИК!$N$15</f>
        <v/>
      </c>
      <c r="BW47" s="18">
        <f>BW46+7</f>
        <v/>
      </c>
      <c r="BX47" s="37">
        <f>V47+AN47+BF47</f>
        <v/>
      </c>
      <c r="BY47" s="40">
        <f>W47+AO47+BG47</f>
        <v/>
      </c>
      <c r="CC47" s="18">
        <f>CC46+7</f>
        <v/>
      </c>
      <c r="CD47" s="37">
        <f>AB47+AT47+BL47</f>
        <v/>
      </c>
      <c r="CE47" s="40">
        <f>AC47+AU47+BM47</f>
        <v/>
      </c>
      <c r="CI47" s="18">
        <f>CI46+7</f>
        <v/>
      </c>
      <c r="CJ47" s="37">
        <f>AH47+AZ47+BR47</f>
        <v/>
      </c>
      <c r="CK47" s="40">
        <f>AI47+BA47+BS47</f>
        <v/>
      </c>
      <c r="CO47" s="18">
        <f>CO46+7</f>
        <v/>
      </c>
      <c r="CP47" s="37">
        <f>D47+BX47</f>
        <v/>
      </c>
      <c r="CQ47" s="40">
        <f>E47+BY47</f>
        <v/>
      </c>
      <c r="CU47" s="18">
        <f>CU46+7</f>
        <v/>
      </c>
      <c r="CV47" s="37">
        <f>J47+CD47</f>
        <v/>
      </c>
      <c r="CW47" s="40">
        <f>K47+CE47</f>
        <v/>
      </c>
      <c r="DA47" s="18">
        <f>DA46+7</f>
        <v/>
      </c>
      <c r="DB47" s="37">
        <f>P47+CJ47</f>
        <v/>
      </c>
      <c r="DC47" s="40">
        <f>Q47+CK47</f>
        <v/>
      </c>
    </row>
    <row r="48">
      <c r="C48" s="18">
        <f>C47+7</f>
        <v/>
      </c>
      <c r="D48" s="37">
        <f>СПРАВОЧНИК!$E$3*('ПЛАН ЧЕРН ПОДЗЕМ'!B39*СПРАВОЧНИК!$H$3+'ПЛАН ЧЕРН ПОДЗЕМ'!C39*СПРАВОЧНИК!$I$3+'ПЛАН ЧЕРН ПОДЗЕМ'!D39*СПРАВОЧНИК!$J$3)+СПРАВОЧНИК!$E$4*('ПЛАН ЧЕРН ПОДЗЕМ'!E39*СПРАВОЧНИК!$H$4+'ПЛАН ЧЕРН ПОДЗЕМ'!F39*СПРАВОЧНИК!$I$4+'ПЛАН ЧЕРН ПОДЗЕМ'!G39*СПРАВОЧНИК!$J$4)+СПРАВОЧНИК!$E$5*('ПЛАН ЧЕРН ПОДЗЕМ'!H39*СПРАВОЧНИК!$H$5+'ПЛАН ЧЕРН ПОДЗЕМ'!I39*СПРАВОЧНИК!$I$5+'ПЛАН ЧЕРН ПОДЗЕМ'!J39*СПРАВОЧНИК!$J$5)+СПРАВОЧНИК!$E$6*('ПЛАН ЧЕРН ПОДЗЕМ'!K39*СПРАВОЧНИК!$H$6+'ПЛАН ЧЕРН ПОДЗЕМ'!L39*СПРАВОЧНИК!$I$6+'ПЛАН ЧЕРН ПОДЗЕМ'!M39*СПРАВОЧНИК!$J$6)+СПРАВОЧНИК!$E$7*('ПЛАН ЧЕРН ПОДЗЕМ'!N39*СПРАВОЧНИК!$H$7+'ПЛАН ЧЕРН ПОДЗЕМ'!O39*СПРАВОЧНИК!$I$7+'ПЛАН ЧЕРН ПОДЗЕМ'!P39*СПРАВОЧНИК!$J$7)+СПРАВОЧНИК!$E$8*('ПЛАН ЧЕРН ПОДЗЕМ'!Q39*СПРАВОЧНИК!$H$8+'ПЛАН ЧЕРН ПОДЗЕМ'!R39*СПРАВОЧНИК!$I$8+'ПЛАН ЧЕРН ПОДЗЕМ'!S39*СПРАВОЧНИК!$J$8)+СПРАВОЧНИК!$F$3*('ПЛАН ЧИСТ ПОДЗЕМ'!B39*СПРАВОЧНИК!$L$3+'ПЛАН ЧИСТ ПОДЗЕМ'!C39*СПРАВОЧНИК!$M$3+'ПЛАН ЧИСТ ПОДЗЕМ'!D39*СПРАВОЧНИК!$N$3+'ПЛАН ЧИСТ ПОДЗЕМ'!E39*СПРАВОЧНИК!$O$3)+СПРАВОЧНИК!$F$4*('ПЛАН ЧИСТ ПОДЗЕМ'!F39*СПРАВОЧНИК!$L$4+'ПЛАН ЧИСТ ПОДЗЕМ'!G39*СПРАВОЧНИК!$M$4+'ПЛАН ЧИСТ ПОДЗЕМ'!H39*СПРАВОЧНИК!$N$4+'ПЛАН ЧИСТ ПОДЗЕМ'!I39*СПРАВОЧНИК!$O$4)+СПРАВОЧНИК!$F$5*('ПЛАН ЧИСТ ПОДЗЕМ'!J39*СПРАВОЧНИК!$L$5+'ПЛАН ЧИСТ ПОДЗЕМ'!K39*СПРАВОЧНИК!$M$5+'ПЛАН ЧИСТ ПОДЗЕМ'!L39*СПРАВОЧНИК!$N$5)+СПРАВОЧНИК!$F$6*('ПЛАН ЧИСТ ПОДЗЕМ'!M39*СПРАВОЧНИК!$L$6+'ПЛАН ЧИСТ ПОДЗЕМ'!N39*СПРАВОЧНИК!$M$6+'ПЛАН ЧИСТ ПОДЗЕМ'!O39*СПРАВОЧНИК!$N$6+'ПЛАН ЧИСТ ПОДЗЕМ'!P39*СПРАВОЧНИК!$O$6)+СПРАВОЧНИК!$F$7*('ПЛАН ЧИСТ ПОДЗЕМ'!Q39*СПРАВОЧНИК!$L$7+'ПЛАН ЧИСТ ПОДЗЕМ'!R39*СПРАВОЧНИК!$M$7+'ПЛАН ЧИСТ ПОДЗЕМ'!S39*СПРАВОЧНИК!$N$7+'ПЛАН ЧИСТ ПОДЗЕМ'!T39*СПРАВОЧНИК!$O$7)+СПРАВОЧНИК!$F$8*('ПЛАН ЧИСТ ПОДЗЕМ'!U39*СПРАВОЧНИК!$L$8+'ПЛАН ЧИСТ ПОДЗЕМ'!V39*СПРАВОЧНИК!$M$8+'ПЛАН ЧИСТ ПОДЗЕМ'!W39*СПРАВОЧНИК!$N$8)</f>
        <v/>
      </c>
      <c r="E48" s="40">
        <f>СПРАВОЧНИК!$E$3*(('ФАКТ ЧЕРН ПОДЗЕМ'!B39)*СПРАВОЧНИК!$H$3+('ФАКТ ЧЕРН ПОДЗЕМ'!C39)*СПРАВОЧНИК!$I$3+('ФАКТ ЧЕРН ПОДЗЕМ'!D39)*СПРАВОЧНИК!$J$3)+СПРАВОЧНИК!$E$4*(('ФАКТ ЧЕРН ПОДЗЕМ'!E39)*СПРАВОЧНИК!$H$4+('ФАКТ ЧЕРН ПОДЗЕМ'!F39)*СПРАВОЧНИК!$I$4+('ФАКТ ЧЕРН ПОДЗЕМ'!G39)*СПРАВОЧНИК!$J$4)+СПРАВОЧНИК!$E$5*(('ФАКТ ЧЕРН ПОДЗЕМ'!H39)*СПРАВОЧНИК!$H$5+('ФАКТ ЧЕРН ПОДЗЕМ'!I39)*СПРАВОЧНИК!$I$5+('ФАКТ ЧЕРН ПОДЗЕМ'!J39)*СПРАВОЧНИК!$J$5)+СПРАВОЧНИК!$E$6*(('ФАКТ ЧЕРН ПОДЗЕМ'!K39)*СПРАВОЧНИК!$H$6+('ФАКТ ЧЕРН ПОДЗЕМ'!L39)*СПРАВОЧНИК!$I$6+('ФАКТ ЧЕРН ПОДЗЕМ'!M39)*СПРАВОЧНИК!$J$6)+СПРАВОЧНИК!$E$7*(('ФАКТ ЧЕРН ПОДЗЕМ'!N39)*СПРАВОЧНИК!$H$7+('ФАКТ ЧЕРН ПОДЗЕМ'!O39)*СПРАВОЧНИК!$I$7+('ФАКТ ЧЕРН ПОДЗЕМ'!P39)*СПРАВОЧНИК!$J$7)+СПРАВОЧНИК!$E$8*(('ФАКТ ЧЕРН ПОДЗЕМ'!Q39)*СПРАВОЧНИК!$H$8+('ФАКТ ЧЕРН ПОДЗЕМ'!R39)*СПРАВОЧНИК!$I$8+('ФАКТ ЧЕРН ПОДЗЕМ'!S39)*СПРАВОЧНИК!$J$8)+СПРАВОЧНИК!$F$3*(('ФАКТ ЧИСТ ПОДЗЕМ'!B39)*СПРАВОЧНИК!$L$3+('ФАКТ ЧИСТ ПОДЗЕМ'!C39)*СПРАВОЧНИК!$M$3+('ФАКТ ЧИСТ ПОДЗЕМ'!D39)*СПРАВОЧНИК!$N$3+('ФАКТ ЧИСТ ПОДЗЕМ'!E39)*СПРАВОЧНИК!$O$3)+СПРАВОЧНИК!$F$4*(('ФАКТ ЧИСТ ПОДЗЕМ'!F39)*СПРАВОЧНИК!$L$4+('ФАКТ ЧИСТ ПОДЗЕМ'!G39)*СПРАВОЧНИК!$M$4+('ФАКТ ЧИСТ ПОДЗЕМ'!H39)*СПРАВОЧНИК!$N$4+('ФАКТ ЧИСТ ПОДЗЕМ'!I39)*СПРАВОЧНИК!$O$4)+СПРАВОЧНИК!$F$5*(('ФАКТ ЧИСТ ПОДЗЕМ'!J39)*СПРАВОЧНИК!$L$5+('ФАКТ ЧИСТ ПОДЗЕМ'!K39)*СПРАВОЧНИК!$M$5+('ФАКТ ЧИСТ ПОДЗЕМ'!L39)*СПРАВОЧНИК!$N$5)+СПРАВОЧНИК!$F$6*(('ФАКТ ЧИСТ ПОДЗЕМ'!M39)*СПРАВОЧНИК!$L$6+('ФАКТ ЧИСТ ПОДЗЕМ'!N39)*СПРАВОЧНИК!$M$6+('ФАКТ ЧИСТ ПОДЗЕМ'!O39)*СПРАВОЧНИК!$N$6+('ФАКТ ЧИСТ ПОДЗЕМ'!P39)*СПРАВОЧНИК!$O$6)+СПРАВОЧНИК!$F$7*(('ФАКТ ЧИСТ ПОДЗЕМ'!Q39)*СПРАВОЧНИК!$L$7+('ФАКТ ЧИСТ ПОДЗЕМ'!R39)*СПРАВОЧНИК!$M$7+('ФАКТ ЧИСТ ПОДЗЕМ'!S39)*СПРАВОЧНИК!$N$7+('ФАКТ ЧИСТ ПОДЗЕМ'!T39)*СПРАВОЧНИК!$O$7)+СПРАВОЧНИК!$F$8*(('ФАКТ ЧИСТ ПОДЗЕМ'!U39)*СПРАВОЧНИК!$L$8+('ФАКТ ЧИСТ ПОДЗЕМ'!V39)*СПРАВОЧНИК!$M$8+('ФАКТ ЧИСТ ПОДЗЕМ'!W39)*СПРАВОЧНИК!$N$8)</f>
        <v/>
      </c>
      <c r="I48" s="18">
        <f>I47+7</f>
        <v/>
      </c>
      <c r="J48" s="37">
        <f>'ПЛАН ЧЕРН ПОДЗЕМ'!B39*СПРАВОЧНИК!$H$3+'ПЛАН ЧЕРН ПОДЗЕМ'!C39*СПРАВОЧНИК!$I$3+'ПЛАН ЧЕРН ПОДЗЕМ'!D39*СПРАВОЧНИК!$J$3+'ПЛАН ЧЕРН ПОДЗЕМ'!E39*СПРАВОЧНИК!$H$4+'ПЛАН ЧЕРН ПОДЗЕМ'!F39*СПРАВОЧНИК!$I$4+'ПЛАН ЧЕРН ПОДЗЕМ'!G39*СПРАВОЧНИК!$J$4+'ПЛАН ЧЕРН ПОДЗЕМ'!H39*СПРАВОЧНИК!$H$5+'ПЛАН ЧЕРН ПОДЗЕМ'!I39*СПРАВОЧНИК!$I$5+'ПЛАН ЧЕРН ПОДЗЕМ'!J39*СПРАВОЧНИК!$J$5+'ПЛАН ЧЕРН ПОДЗЕМ'!K39*СПРАВОЧНИК!$H$6+'ПЛАН ЧЕРН ПОДЗЕМ'!L39*СПРАВОЧНИК!$I$6+'ПЛАН ЧЕРН ПОДЗЕМ'!M39*СПРАВОЧНИК!$J$6+'ПЛАН ЧЕРН ПОДЗЕМ'!N39*СПРАВОЧНИК!$H$7+'ПЛАН ЧЕРН ПОДЗЕМ'!O39*СПРАВОЧНИК!$I$7+'ПЛАН ЧЕРН ПОДЗЕМ'!P39*СПРАВОЧНИК!$J$7+'ПЛАН ЧЕРН ПОДЗЕМ'!Q39*СПРАВОЧНИК!$H$8+'ПЛАН ЧЕРН ПОДЗЕМ'!R39*СПРАВОЧНИК!$I$8+'ПЛАН ЧЕРН ПОДЗЕМ'!S39*СПРАВОЧНИК!$J$8</f>
        <v/>
      </c>
      <c r="K48" s="40">
        <f>('ФАКТ ЧЕРН ПОДЗЕМ'!B39)*СПРАВОЧНИК!$H$3+('ФАКТ ЧЕРН ПОДЗЕМ'!C39)*СПРАВОЧНИК!$I$3+('ФАКТ ЧЕРН ПОДЗЕМ'!D39)*СПРАВОЧНИК!$J$3+('ФАКТ ЧЕРН ПОДЗЕМ'!E39)*СПРАВОЧНИК!$H$4+('ФАКТ ЧЕРН ПОДЗЕМ'!F39)*СПРАВОЧНИК!$I$4+('ФАКТ ЧЕРН ПОДЗЕМ'!G39)*СПРАВОЧНИК!$J$4+('ФАКТ ЧЕРН ПОДЗЕМ'!H39)*СПРАВОЧНИК!$H$5+('ФАКТ ЧЕРН ПОДЗЕМ'!I39)*СПРАВОЧНИК!$I$5+('ФАКТ ЧЕРН ПОДЗЕМ'!J39)*СПРАВОЧНИК!$J$5+('ФАКТ ЧЕРН ПОДЗЕМ'!K39)*СПРАВОЧНИК!$H$6+('ФАКТ ЧЕРН ПОДЗЕМ'!L39)*СПРАВОЧНИК!$I$6+('ФАКТ ЧЕРН ПОДЗЕМ'!M39)*СПРАВОЧНИК!$J$6+('ФАКТ ЧЕРН ПОДЗЕМ'!N39)*СПРАВОЧНИК!$H$7+('ФАКТ ЧЕРН ПОДЗЕМ'!O39)*СПРАВОЧНИК!$I$7+('ФАКТ ЧЕРН ПОДЗЕМ'!P39)*СПРАВОЧНИК!$J$7+('ФАКТ ЧЕРН ПОДЗЕМ'!Q39)*СПРАВОЧНИК!$H$8+('ФАКТ ЧЕРН ПОДЗЕМ'!R39)*СПРАВОЧНИК!$I$8+('ФАКТ ЧЕРН ПОДЗЕМ'!S39)*СПРАВОЧНИК!$J$8</f>
        <v/>
      </c>
      <c r="O48" s="18">
        <f>O47+7</f>
        <v/>
      </c>
      <c r="P48" s="37">
        <f>'ПЛАН ЧИСТ ПОДЗЕМ'!B39*СПРАВОЧНИК!$L$3+'ПЛАН ЧИСТ ПОДЗЕМ'!C39*СПРАВОЧНИК!$M$3+'ПЛАН ЧИСТ ПОДЗЕМ'!D39*СПРАВОЧНИК!$N$3+'ПЛАН ЧИСТ ПОДЗЕМ'!E39*СПРАВОЧНИК!$O$3+'ПЛАН ЧИСТ ПОДЗЕМ'!F39*СПРАВОЧНИК!$L$4+'ПЛАН ЧИСТ ПОДЗЕМ'!G39*СПРАВОЧНИК!$M$4+'ПЛАН ЧИСТ ПОДЗЕМ'!H39*СПРАВОЧНИК!$N$4+'ПЛАН ЧИСТ ПОДЗЕМ'!I39*СПРАВОЧНИК!$O$4+'ПЛАН ЧИСТ ПОДЗЕМ'!J39*СПРАВОЧНИК!$L$5+'ПЛАН ЧИСТ ПОДЗЕМ'!K39*СПРАВОЧНИК!$M$5+'ПЛАН ЧИСТ ПОДЗЕМ'!L39*СПРАВОЧНИК!$N$5+'ПЛАН ЧИСТ ПОДЗЕМ'!M39*СПРАВОЧНИК!$L$6+'ПЛАН ЧИСТ ПОДЗЕМ'!N39*СПРАВОЧНИК!$M$6+'ПЛАН ЧИСТ ПОДЗЕМ'!O39*СПРАВОЧНИК!$N$6+'ПЛАН ЧИСТ ПОДЗЕМ'!P39*СПРАВОЧНИК!$O$6+'ПЛАН ЧИСТ ПОДЗЕМ'!Q39*СПРАВОЧНИК!$L$7+'ПЛАН ЧИСТ ПОДЗЕМ'!R39*СПРАВОЧНИК!$M$7+'ПЛАН ЧИСТ ПОДЗЕМ'!S39*СПРАВОЧНИК!$N$7+'ПЛАН ЧИСТ ПОДЗЕМ'!T39*СПРАВОЧНИК!$O$7+'ПЛАН ЧИСТ ПОДЗЕМ'!U39*СПРАВОЧНИК!$L$8+'ПЛАН ЧИСТ ПОДЗЕМ'!V39*СПРАВОЧНИК!$M$8+'ПЛАН ЧИСТ ПОДЗЕМ'!W39*СПРАВОЧНИК!$N$8</f>
        <v/>
      </c>
      <c r="Q48" s="40">
        <f>('ФАКТ ЧИСТ ПОДЗЕМ'!B39)*СПРАВОЧНИК!$L$3+('ФАКТ ЧИСТ ПОДЗЕМ'!C39)*СПРАВОЧНИК!$M$3+('ФАКТ ЧИСТ ПОДЗЕМ'!D39)*СПРАВОЧНИК!$N$3+('ФАКТ ЧИСТ ПОДЗЕМ'!E39)*СПРАВОЧНИК!$O$3+('ФАКТ ЧИСТ ПОДЗЕМ'!F39)*СПРАВОЧНИК!$L$4+('ФАКТ ЧИСТ ПОДЗЕМ'!G39)*СПРАВОЧНИК!$M$4+('ФАКТ ЧИСТ ПОДЗЕМ'!H39)*СПРАВОЧНИК!$N$4+('ФАКТ ЧИСТ ПОДЗЕМ'!I39)*СПРАВОЧНИК!$O$4+('ФАКТ ЧИСТ ПОДЗЕМ'!J39)*СПРАВОЧНИК!$L$5+('ФАКТ ЧИСТ ПОДЗЕМ'!K39)*СПРАВОЧНИК!$M$5+('ФАКТ ЧИСТ ПОДЗЕМ'!L39)*СПРАВОЧНИК!$N$5+('ФАКТ ЧИСТ ПОДЗЕМ'!M39)*СПРАВОЧНИК!$L$6+('ФАКТ ЧИСТ ПОДЗЕМ'!N39)*СПРАВОЧНИК!$M$6+('ФАКТ ЧИСТ ПОДЗЕМ'!O39)*СПРАВОЧНИК!$N$6+('ФАКТ ЧИСТ ПОДЗЕМ'!P39)*СПРАВОЧНИК!$O$6+('ФАКТ ЧИСТ ПОДЗЕМ'!Q39)*СПРАВОЧНИК!$L$7+('ФАКТ ЧИСТ ПОДЗЕМ'!R39)*СПРАВОЧНИК!$M$7+('ФАКТ ЧИСТ ПОДЗЕМ'!S39)*СПРАВОЧНИК!$N$7+('ФАКТ ЧИСТ ПОДЗЕМ'!T39)*СПРАВОЧНИК!$O$7+('ФАКТ ЧИСТ ПОДЗЕМ'!U39)*СПРАВОЧНИК!$L$8+('ФАКТ ЧИСТ ПОДЗЕМ'!V39)*СПРАВОЧНИК!$M$8+('ФАКТ ЧИСТ ПОДЗЕМ'!W39)*СПРАВОЧНИК!$N$8</f>
        <v/>
      </c>
      <c r="U48" s="18">
        <f>U47+7</f>
        <v/>
      </c>
      <c r="V48" s="37">
        <f>СПРАВОЧНИК!$E$9*('ПЛАН ЧЕРН К1'!B39*СПРАВОЧНИК!$H$9+'ПЛАН ЧЕРН К1'!C39*СПРАВОЧНИК!$I$9+'ПЛАН ЧЕРН К1'!D39*СПРАВОЧНИК!$J$9)+СПРАВОЧНИК!$E$10*('ПЛАН ЧЕРН К1'!E39*СПРАВОЧНИК!$H$10+'ПЛАН ЧЕРН К1'!F39*СПРАВОЧНИК!$I$10+'ПЛАН ЧЕРН К1'!G39*СПРАВОЧНИК!$J$10)+СПРАВОЧНИК!$E$11*('ПЛАН ЧЕРН К1'!H39*СПРАВОЧНИК!$H$11+'ПЛАН ЧЕРН К1'!I39*СПРАВОЧНИК!$I$11+'ПЛАН ЧЕРН К1'!J39*СПРАВОЧНИК!$J$11)+СПРАВОЧНИК!$E$12*('ПЛАН ЧЕРН К1'!K39*СПРАВОЧНИК!$H$12+'ПЛАН ЧЕРН К1'!L39*СПРАВОЧНИК!$I$12+'ПЛАН ЧЕРН К1'!M39*СПРАВОЧНИК!$J$12)+СПРАВОЧНИК!$E$13*('ПЛАН ЧЕРН К1'!N39*СПРАВОЧНИК!$H$13+'ПЛАН ЧЕРН К1'!O39*СПРАВОЧНИК!$I$13+'ПЛАН ЧЕРН К1'!P39*СПРАВОЧНИК!$J$13)+СПРАВОЧНИК!$E$14*('ПЛАН ЧЕРН К1'!Q39*СПРАВОЧНИК!$H$14+'ПЛАН ЧЕРН К1'!R39*СПРАВОЧНИК!$I$14+'ПЛАН ЧЕРН К1'!S39*СПРАВОЧНИК!$J$14)+СПРАВОЧНИК!$E$15*('ПЛАН ЧЕРН К1'!T39*СПРАВОЧНИК!$H$15+'ПЛАН ЧЕРН К1'!U39*СПРАВОЧНИК!$I$15+'ПЛАН ЧЕРН К1'!V39*СПРАВОЧНИК!$J$15)+СПРАВОЧНИК!$F$9*('ПЛАН ЧИСТ К1'!B39*СПРАВОЧНИК!$L$9+'ПЛАН ЧИСТ К1'!C39*СПРАВОЧНИК!$M$9+'ПЛАН ЧИСТ К1'!D39*СПРАВОЧНИК!$N$9+'ПЛАН ЧИСТ К1'!E39*СПРАВОЧНИК!$O$9)+СПРАВОЧНИК!$F$10*('ПЛАН ЧИСТ К1'!F39*СПРАВОЧНИК!$L$10+'ПЛАН ЧИСТ К1'!G39*СПРАВОЧНИК!$M$10+'ПЛАН ЧИСТ К1'!H39*СПРАВОЧНИК!$N$10+'ПЛАН ЧИСТ К1'!I39*СПРАВОЧНИК!$O$10)+СПРАВОЧНИК!$F$11*('ПЛАН ЧИСТ К1'!J39*СПРАВОЧНИК!$L$11+'ПЛАН ЧИСТ К1'!K39*СПРАВОЧНИК!$M$11+'ПЛАН ЧИСТ К1'!L39*СПРАВОЧНИК!$N$11)+СПРАВОЧНИК!$F$12*('ПЛАН ЧИСТ К1'!M39*СПРАВОЧНИК!$L$12+'ПЛАН ЧИСТ К1'!N39*СПРАВОЧНИК!$M$12+'ПЛАН ЧИСТ К1'!O39*СПРАВОЧНИК!$N$12+'ПЛАН ЧИСТ К1'!P39*СПРАВОЧНИК!$O$12)+СПРАВОЧНИК!$F$13*('ПЛАН ЧИСТ К1'!Q39*СПРАВОЧНИК!$L$13+'ПЛАН ЧИСТ К1'!R39*СПРАВОЧНИК!$M$13+'ПЛАН ЧИСТ К1'!S39*СПРАВОЧНИК!$N$13+'ПЛАН ЧИСТ К1'!T39*СПРАВОЧНИК!$O$13)+СПРАВОЧНИК!$F$14*('ПЛАН ЧИСТ К1'!U39*СПРАВОЧНИК!$L$14+'ПЛАН ЧИСТ К1'!V39*СПРАВОЧНИК!$M$14+'ПЛАН ЧИСТ К1'!W39*СПРАВОЧНИК!$N$14)+СПРАВОЧНИК!$F$15*('ПЛАН ЧИСТ К1'!X39*СПРАВОЧНИК!$L$15+'ПЛАН ЧИСТ К1'!Y39*СПРАВОЧНИК!$M$15+'ПЛАН ЧИСТ К1'!Z39*СПРАВОЧНИК!$N$15)</f>
        <v/>
      </c>
      <c r="W48" s="40">
        <f>СПРАВОЧНИК!$E$9*(('ФАКТ ЧЕРН К1'!B39)*СПРАВОЧНИК!$H$9+('ФАКТ ЧЕРН К1'!C39)*СПРАВОЧНИК!$I$9+('ФАКТ ЧЕРН К1'!D39)*СПРАВОЧНИК!$J$9)+СПРАВОЧНИК!$E$10*(('ФАКТ ЧЕРН К1'!E39)*СПРАВОЧНИК!$H$10+('ФАКТ ЧЕРН К1'!F39)*СПРАВОЧНИК!$I$10+('ФАКТ ЧЕРН К1'!G39)*СПРАВОЧНИК!$J$10)+СПРАВОЧНИК!$E$11*(('ФАКТ ЧЕРН К1'!H39)*СПРАВОЧНИК!$H$11+('ФАКТ ЧЕРН К1'!I39)*СПРАВОЧНИК!$I$11+('ФАКТ ЧЕРН К1'!J39)*СПРАВОЧНИК!$J$11)+СПРАВОЧНИК!$E$12*(('ФАКТ ЧЕРН К1'!K39)*СПРАВОЧНИК!$H$12+('ФАКТ ЧЕРН К1'!L39)*СПРАВОЧНИК!$I$12+('ФАКТ ЧЕРН К1'!M39)*СПРАВОЧНИК!$J$12)+СПРАВОЧНИК!$E$13*(('ФАКТ ЧЕРН К1'!N39)*СПРАВОЧНИК!$H$13+('ФАКТ ЧЕРН К1'!O39)*СПРАВОЧНИК!$I$13+('ФАКТ ЧЕРН К1'!P39)*СПРАВОЧНИК!$J$13)+СПРАВОЧНИК!$E$14*(('ФАКТ ЧЕРН К1'!Q39)*СПРАВОЧНИК!$H$14+('ФАКТ ЧЕРН К1'!R39)*СПРАВОЧНИК!$I$14+('ФАКТ ЧЕРН К1'!S39)*СПРАВОЧНИК!$J$14)+СПРАВОЧНИК!$E$15*(('ФАКТ ЧЕРН К1'!T39)*СПРАВОЧНИК!$H$15+('ФАКТ ЧЕРН К1'!U39)*СПРАВОЧНИК!$I$15+('ФАКТ ЧЕРН К1'!V39)*СПРАВОЧНИК!$J$15)+СПРАВОЧНИК!$F$9*(('ФАКТ ЧИСТ К1'!B39)*СПРАВОЧНИК!$L$9+('ФАКТ ЧИСТ К1'!C39)*СПРАВОЧНИК!$M$9+('ФАКТ ЧИСТ К1'!D39)*СПРАВОЧНИК!$N$9+('ФАКТ ЧИСТ К1'!E39)*СПРАВОЧНИК!$O$9)+СПРАВОЧНИК!$F$10*(('ФАКТ ЧИСТ К1'!F39)*СПРАВОЧНИК!$L$10+('ФАКТ ЧИСТ К1'!G39)*СПРАВОЧНИК!$M$10+('ФАКТ ЧИСТ К1'!H39)*СПРАВОЧНИК!$N$10+('ФАКТ ЧИСТ К1'!I39)*СПРАВОЧНИК!$O$10)+СПРАВОЧНИК!$F$11*(('ФАКТ ЧИСТ К1'!J39)*СПРАВОЧНИК!$L$11+('ФАКТ ЧИСТ К1'!K39)*СПРАВОЧНИК!$M$11+('ФАКТ ЧИСТ К1'!L39)*СПРАВОЧНИК!$N$11)+СПРАВОЧНИК!$F$12*(('ФАКТ ЧИСТ К1'!M39)*СПРАВОЧНИК!$L$12+('ФАКТ ЧИСТ К1'!N39)*СПРАВОЧНИК!$M$12+('ФАКТ ЧИСТ К1'!O39)*СПРАВОЧНИК!$N$12+('ФАКТ ЧИСТ К1'!P39)*СПРАВОЧНИК!$O$12)+СПРАВОЧНИК!$F$13*(('ФАКТ ЧИСТ К1'!Q39)*СПРАВОЧНИК!$L$13+('ФАКТ ЧИСТ К1'!R39)*СПРАВОЧНИК!$M$13+('ФАКТ ЧИСТ К1'!S39)*СПРАВОЧНИК!$N$13+('ФАКТ ЧИСТ К1'!T39)*СПРАВОЧНИК!$O$13)+СПРАВОЧНИК!$F$14*(('ФАКТ ЧИСТ К1'!U39)*СПРАВОЧНИК!$L$14+('ФАКТ ЧИСТ К1'!V39)*СПРАВОЧНИК!$M$14+('ФАКТ ЧИСТ К1'!W39)*СПРАВОЧНИК!$N$14)+СПРАВОЧНИК!$F$15*(('ФАКТ ЧИСТ К1'!X39)*СПРАВОЧНИК!$L$15+('ФАКТ ЧИСТ К1'!Y39)*СПРАВОЧНИК!$M$15+('ФАКТ ЧИСТ К1'!Z39)*СПРАВОЧНИК!$N$15)</f>
        <v/>
      </c>
      <c r="AA48" s="18">
        <f>AA47+7</f>
        <v/>
      </c>
      <c r="AB48" s="37">
        <f>'ПЛАН ЧЕРН К1'!B39*СПРАВОЧНИК!$H$9+'ПЛАН ЧЕРН К1'!C39*СПРАВОЧНИК!$I$9+'ПЛАН ЧЕРН К1'!D39*СПРАВОЧНИК!$J$9+'ПЛАН ЧЕРН К1'!E39*СПРАВОЧНИК!$H$10+'ПЛАН ЧЕРН К1'!F39*СПРАВОЧНИК!$I$10+'ПЛАН ЧЕРН К1'!G39*СПРАВОЧНИК!$J$10+'ПЛАН ЧЕРН К1'!H39*СПРАВОЧНИК!$H$11+'ПЛАН ЧЕРН К1'!I39*СПРАВОЧНИК!$I$11+'ПЛАН ЧЕРН К1'!J39*СПРАВОЧНИК!$J$11+'ПЛАН ЧЕРН К1'!K39*СПРАВОЧНИК!$H$12+'ПЛАН ЧЕРН К1'!L39*СПРАВОЧНИК!$I$12+'ПЛАН ЧЕРН К1'!M39*СПРАВОЧНИК!$J$12+'ПЛАН ЧЕРН К1'!N39*СПРАВОЧНИК!$H$13+'ПЛАН ЧЕРН К1'!O39*СПРАВОЧНИК!$I$13+'ПЛАН ЧЕРН К1'!P39*СПРАВОЧНИК!$J$13+'ПЛАН ЧЕРН К1'!Q39*СПРАВОЧНИК!$H$14+'ПЛАН ЧЕРН К1'!R39*СПРАВОЧНИК!$I$14+'ПЛАН ЧЕРН К1'!S39*СПРАВОЧНИК!$J$14+'ПЛАН ЧЕРН К1'!T39*СПРАВОЧНИК!$H$15+'ПЛАН ЧЕРН К1'!U39*СПРАВОЧНИК!$I$15+'ПЛАН ЧЕРН К1'!V39*СПРАВОЧНИК!$J$15</f>
        <v/>
      </c>
      <c r="AC48" s="40">
        <f>('ФАКТ ЧЕРН К1'!B39)*СПРАВОЧНИК!$H$9+('ФАКТ ЧЕРН К1'!C39)*СПРАВОЧНИК!$I$9+('ФАКТ ЧЕРН К1'!D39)*СПРАВОЧНИК!$J$9+('ФАКТ ЧЕРН К1'!E39)*СПРАВОЧНИК!$H$10+('ФАКТ ЧЕРН К1'!F39)*СПРАВОЧНИК!$I$10+('ФАКТ ЧЕРН К1'!G39)*СПРАВОЧНИК!$J$10+('ФАКТ ЧЕРН К1'!H39)*СПРАВОЧНИК!$H$11+('ФАКТ ЧЕРН К1'!I39)*СПРАВОЧНИК!$I$11+('ФАКТ ЧЕРН К1'!J39)*СПРАВОЧНИК!$J$11+('ФАКТ ЧЕРН К1'!K39)*СПРАВОЧНИК!$H$12+('ФАКТ ЧЕРН К1'!L39)*СПРАВОЧНИК!$I$12+('ФАКТ ЧЕРН К1'!M39)*СПРАВОЧНИК!$J$12+('ФАКТ ЧЕРН К1'!N39)*СПРАВОЧНИК!$H$13+('ФАКТ ЧЕРН К1'!O39)*СПРАВОЧНИК!$I$13+('ФАКТ ЧЕРН К1'!P39)*СПРАВОЧНИК!$J$13+('ФАКТ ЧЕРН К1'!Q39)*СПРАВОЧНИК!$H$14+('ФАКТ ЧЕРН К1'!R39)*СПРАВОЧНИК!$I$14+('ФАКТ ЧЕРН К1'!S39)*СПРАВОЧНИК!$J$14+('ФАКТ ЧЕРН К1'!T39)*СПРАВОЧНИК!$H$15+('ФАКТ ЧЕРН К1'!U39)*СПРАВОЧНИК!$I$15+('ФАКТ ЧЕРН К1'!V39)*СПРАВОЧНИК!$J$15</f>
        <v/>
      </c>
      <c r="AG48" s="18">
        <f>AG47+7</f>
        <v/>
      </c>
      <c r="AH48" s="37">
        <f>'ПЛАН ЧИСТ К1'!B39*СПРАВОЧНИК!$L$9+'ПЛАН ЧИСТ К1'!C39*СПРАВОЧНИК!$M$9+'ПЛАН ЧИСТ К1'!D39*СПРАВОЧНИК!$N$9+'ПЛАН ЧИСТ К1'!E39*СПРАВОЧНИК!$O$9+'ПЛАН ЧИСТ К1'!F39*СПРАВОЧНИК!$L$10+'ПЛАН ЧИСТ К1'!G39*СПРАВОЧНИК!$M$10+'ПЛАН ЧИСТ К1'!H39*СПРАВОЧНИК!$N$10+'ПЛАН ЧИСТ К1'!I39*СПРАВОЧНИК!$O$10+'ПЛАН ЧИСТ К1'!J39*СПРАВОЧНИК!$L$11+'ПЛАН ЧИСТ К1'!K39*СПРАВОЧНИК!$M$11+'ПЛАН ЧИСТ К1'!L39*СПРАВОЧНИК!$N$11+'ПЛАН ЧИСТ К1'!M39*СПРАВОЧНИК!$L$12+'ПЛАН ЧИСТ К1'!N39*СПРАВОЧНИК!$M$12+'ПЛАН ЧИСТ К1'!O39*СПРАВОЧНИК!$N$12+'ПЛАН ЧИСТ К1'!P39*СПРАВОЧНИК!$O$12+'ПЛАН ЧИСТ К1'!Q39*СПРАВОЧНИК!$L$13+'ПЛАН ЧИСТ К1'!R39*СПРАВОЧНИК!$M$13+'ПЛАН ЧИСТ К1'!S39*СПРАВОЧНИК!$N$13+'ПЛАН ЧИСТ К1'!T39*СПРАВОЧНИК!$O$13+'ПЛАН ЧИСТ К1'!U39*СПРАВОЧНИК!$L$14+'ПЛАН ЧИСТ К1'!V39*СПРАВОЧНИК!$M$14+'ПЛАН ЧИСТ К1'!W39*СПРАВОЧНИК!$N$14+'ПЛАН ЧИСТ К1'!X39*СПРАВОЧНИК!$L$15+'ПЛАН ЧИСТ К1'!Y39*СПРАВОЧНИК!$M$15+'ПЛАН ЧИСТ К1'!Z39*СПРАВОЧНИК!$N$15</f>
        <v/>
      </c>
      <c r="AI48" s="40">
        <f>('ФАКТ ЧИСТ К1'!B39)*СПРАВОЧНИК!$L$9+('ФАКТ ЧИСТ К1'!C39)*СПРАВОЧНИК!$M$9+('ФАКТ ЧИСТ К1'!D39)*СПРАВОЧНИК!$N$9+('ФАКТ ЧИСТ К1'!E39)*СПРАВОЧНИК!$O$9+('ФАКТ ЧИСТ К1'!F39)*СПРАВОЧНИК!$L$10+('ФАКТ ЧИСТ К1'!G39)*СПРАВОЧНИК!$M$10+('ФАКТ ЧИСТ К1'!H39)*СПРАВОЧНИК!$N$10+('ФАКТ ЧИСТ К1'!I39)*СПРАВОЧНИК!$O$10+('ФАКТ ЧИСТ К1'!J39)*СПРАВОЧНИК!$L$11+('ФАКТ ЧИСТ К1'!K39)*СПРАВОЧНИК!$M$11+('ФАКТ ЧИСТ К1'!L39)*СПРАВОЧНИК!$N$11+('ФАКТ ЧИСТ К1'!M39)*СПРАВОЧНИК!$L$12+('ФАКТ ЧИСТ К1'!N39)*СПРАВОЧНИК!$M$12+('ФАКТ ЧИСТ К1'!O39)*СПРАВОЧНИК!$N$12+('ФАКТ ЧИСТ К1'!P39)*СПРАВОЧНИК!$O$12+('ФАКТ ЧИСТ К1'!Q39)*СПРАВОЧНИК!$L$13+('ФАКТ ЧИСТ К1'!R39)*СПРАВОЧНИК!$M$13+('ФАКТ ЧИСТ К1'!S39)*СПРАВОЧНИК!$N$13+('ФАКТ ЧИСТ К1'!T39)*СПРАВОЧНИК!$O$13+('ФАКТ ЧИСТ К1'!U39)*СПРАВОЧНИК!$L$14+('ФАКТ ЧИСТ К1'!V39)*СПРАВОЧНИК!$M$14+('ФАКТ ЧИСТ К1'!W39)*СПРАВОЧНИК!$N$14+('ФАКТ ЧИСТ К1'!X39)*СПРАВОЧНИК!$L$15+('ФАКТ ЧИСТ К1'!Y39)*СПРАВОЧНИК!$M$15+('ФАКТ ЧИСТ К1'!Z39)*СПРАВОЧНИК!$N$15</f>
        <v/>
      </c>
      <c r="AM48" s="18">
        <f>AM47+7</f>
        <v/>
      </c>
      <c r="AN48" s="37">
        <f>СПРАВОЧНИК!$E$9*('ПЛАН ЧЕРН К2'!B39*СПРАВОЧНИК!$H$9+'ПЛАН ЧЕРН К2'!C39*СПРАВОЧНИК!$I$9+'ПЛАН ЧЕРН К2'!D39*СПРАВОЧНИК!$J$9)+СПРАВОЧНИК!$E$10*('ПЛАН ЧЕРН К2'!E39*СПРАВОЧНИК!$H$10+'ПЛАН ЧЕРН К2'!F39*СПРАВОЧНИК!$I$10+'ПЛАН ЧЕРН К2'!G39*СПРАВОЧНИК!$J$10)+СПРАВОЧНИК!$E$11*('ПЛАН ЧЕРН К2'!H39*СПРАВОЧНИК!$H$11+'ПЛАН ЧЕРН К2'!I39*СПРАВОЧНИК!$I$11+'ПЛАН ЧЕРН К2'!J39*СПРАВОЧНИК!$J$11)+СПРАВОЧНИК!$E$12*('ПЛАН ЧЕРН К2'!K39*СПРАВОЧНИК!$H$12+'ПЛАН ЧЕРН К2'!L39*СПРАВОЧНИК!$I$12+'ПЛАН ЧЕРН К2'!M39*СПРАВОЧНИК!$J$12)+СПРАВОЧНИК!$E$13*('ПЛАН ЧЕРН К2'!N39*СПРАВОЧНИК!$H$13+'ПЛАН ЧЕРН К2'!O39*СПРАВОЧНИК!$I$13+'ПЛАН ЧЕРН К2'!P39*СПРАВОЧНИК!$J$13)+СПРАВОЧНИК!$E$14*('ПЛАН ЧЕРН К2'!Q39*СПРАВОЧНИК!$H$14+'ПЛАН ЧЕРН К2'!R39*СПРАВОЧНИК!$I$14+'ПЛАН ЧЕРН К2'!S39*СПРАВОЧНИК!$J$14)+СПРАВОЧНИК!$E$15*('ПЛАН ЧЕРН К2'!T39*СПРАВОЧНИК!$H$15+'ПЛАН ЧЕРН К2'!U39*СПРАВОЧНИК!$I$15+'ПЛАН ЧЕРН К2'!V39*СПРАВОЧНИК!$J$15)+СПРАВОЧНИК!$F$9*('ПЛАН ЧИСТ К2'!B39*СПРАВОЧНИК!$L$9+'ПЛАН ЧИСТ К2'!C39*СПРАВОЧНИК!$M$9+'ПЛАН ЧИСТ К2'!D39*СПРАВОЧНИК!$N$9+'ПЛАН ЧИСТ К2'!E39*СПРАВОЧНИК!$O$9)+СПРАВОЧНИК!$F$10*('ПЛАН ЧИСТ К2'!F39*СПРАВОЧНИК!$L$10+'ПЛАН ЧИСТ К2'!G39*СПРАВОЧНИК!$M$10+'ПЛАН ЧИСТ К2'!H39*СПРАВОЧНИК!$N$10+'ПЛАН ЧИСТ К2'!I39*СПРАВОЧНИК!$O$10)+СПРАВОЧНИК!$F$11*('ПЛАН ЧИСТ К2'!J39*СПРАВОЧНИК!$L$11+'ПЛАН ЧИСТ К2'!K39*СПРАВОЧНИК!$M$11+'ПЛАН ЧИСТ К2'!L39*СПРАВОЧНИК!$N$11)+СПРАВОЧНИК!$F$12*('ПЛАН ЧИСТ К2'!M39*СПРАВОЧНИК!$L$12+'ПЛАН ЧИСТ К2'!N39*СПРАВОЧНИК!$M$12+'ПЛАН ЧИСТ К2'!O39*СПРАВОЧНИК!$N$12+'ПЛАН ЧИСТ К2'!P39*СПРАВОЧНИК!$O$12)+СПРАВОЧНИК!$F$13*('ПЛАН ЧИСТ К2'!Q39*СПРАВОЧНИК!$L$13+'ПЛАН ЧИСТ К2'!R39*СПРАВОЧНИК!$M$13+'ПЛАН ЧИСТ К2'!S39*СПРАВОЧНИК!$N$13+'ПЛАН ЧИСТ К2'!T39*СПРАВОЧНИК!$O$13)+СПРАВОЧНИК!$F$14*('ПЛАН ЧИСТ К2'!U39*СПРАВОЧНИК!$L$14+'ПЛАН ЧИСТ К2'!V39*СПРАВОЧНИК!$M$14+'ПЛАН ЧИСТ К2'!W39*СПРАВОЧНИК!$N$14)+СПРАВОЧНИК!$F$15*('ПЛАН ЧИСТ К2'!X39*СПРАВОЧНИК!$L$15+'ПЛАН ЧИСТ К2'!Y39*СПРАВОЧНИК!$M$15+'ПЛАН ЧИСТ К2'!Z39*СПРАВОЧНИК!$N$15)</f>
        <v/>
      </c>
      <c r="AO48" s="40">
        <f>СПРАВОЧНИК!$E$9*(('ФАКТ ЧЕРН К2'!B39)*СПРАВОЧНИК!$H$9+('ФАКТ ЧЕРН К2'!C39)*СПРАВОЧНИК!$I$9+('ФАКТ ЧЕРН К2'!D39)*СПРАВОЧНИК!$J$9)+СПРАВОЧНИК!$E$10*(('ФАКТ ЧЕРН К2'!E39)*СПРАВОЧНИК!$H$10+('ФАКТ ЧЕРН К2'!F39)*СПРАВОЧНИК!$I$10+('ФАКТ ЧЕРН К2'!G39)*СПРАВОЧНИК!$J$10)+СПРАВОЧНИК!$E$11*(('ФАКТ ЧЕРН К2'!H39)*СПРАВОЧНИК!$H$11+('ФАКТ ЧЕРН К2'!I39)*СПРАВОЧНИК!$I$11+('ФАКТ ЧЕРН К2'!J39)*СПРАВОЧНИК!$J$11)+СПРАВОЧНИК!$E$12*(('ФАКТ ЧЕРН К2'!K39)*СПРАВОЧНИК!$H$12+('ФАКТ ЧЕРН К2'!L39)*СПРАВОЧНИК!$I$12+('ФАКТ ЧЕРН К2'!M39)*СПРАВОЧНИК!$J$12)+СПРАВОЧНИК!$E$13*(('ФАКТ ЧЕРН К2'!N39)*СПРАВОЧНИК!$H$13+('ФАКТ ЧЕРН К2'!O39)*СПРАВОЧНИК!$I$13+('ФАКТ ЧЕРН К2'!P39)*СПРАВОЧНИК!$J$13)+СПРАВОЧНИК!$E$14*(('ФАКТ ЧЕРН К2'!Q39)*СПРАВОЧНИК!$H$14+('ФАКТ ЧЕРН К2'!R39)*СПРАВОЧНИК!$I$14+('ФАКТ ЧЕРН К2'!S39)*СПРАВОЧНИК!$J$14)+СПРАВОЧНИК!$E$15*(('ФАКТ ЧЕРН К2'!T39)*СПРАВОЧНИК!$H$15+('ФАКТ ЧЕРН К2'!U39)*СПРАВОЧНИК!$I$15+('ФАКТ ЧЕРН К2'!V39)*СПРАВОЧНИК!$J$15)+СПРАВОЧНИК!$F$9*(('ФАКТ ЧИСТ К2'!B39)*СПРАВОЧНИК!$L$9+('ФАКТ ЧИСТ К2'!C39)*СПРАВОЧНИК!$M$9+('ФАКТ ЧИСТ К2'!D39)*СПРАВОЧНИК!$N$9+('ФАКТ ЧИСТ К2'!E39)*СПРАВОЧНИК!$O$9)+СПРАВОЧНИК!$F$10*(('ФАКТ ЧИСТ К2'!F39)*СПРАВОЧНИК!$L$10+('ФАКТ ЧИСТ К2'!G39)*СПРАВОЧНИК!$M$10+('ФАКТ ЧИСТ К2'!H39)*СПРАВОЧНИК!$N$10+('ФАКТ ЧИСТ К2'!I39)*СПРАВОЧНИК!$O$10)+СПРАВОЧНИК!$F$11*(('ФАКТ ЧИСТ К2'!J39)*СПРАВОЧНИК!$L$11+('ФАКТ ЧИСТ К2'!K39)*СПРАВОЧНИК!$M$11+('ФАКТ ЧИСТ К2'!L39)*СПРАВОЧНИК!$N$11)+СПРАВОЧНИК!$F$12*(('ФАКТ ЧИСТ К2'!M39)*СПРАВОЧНИК!$L$12+('ФАКТ ЧИСТ К2'!N39)*СПРАВОЧНИК!$M$12+('ФАКТ ЧИСТ К2'!O39)*СПРАВОЧНИК!$N$12+('ФАКТ ЧИСТ К2'!P39)*СПРАВОЧНИК!$O$12)+СПРАВОЧНИК!$F$13*(('ФАКТ ЧИСТ К2'!Q39)*СПРАВОЧНИК!$L$13+('ФАКТ ЧИСТ К2'!R39)*СПРАВОЧНИК!$M$13+('ФАКТ ЧИСТ К2'!S39)*СПРАВОЧНИК!$N$13+('ФАКТ ЧИСТ К2'!T39)*СПРАВОЧНИК!$O$13)+СПРАВОЧНИК!$F$14*(('ФАКТ ЧИСТ К2'!U39)*СПРАВОЧНИК!$L$14+('ФАКТ ЧИСТ К2'!V39)*СПРАВОЧНИК!$M$14+('ФАКТ ЧИСТ К2'!W39)*СПРАВОЧНИК!$N$14)+СПРАВОЧНИК!$F$15*(('ФАКТ ЧИСТ К2'!X39)*СПРАВОЧНИК!$L$15+('ФАКТ ЧИСТ К2'!Y39)*СПРАВОЧНИК!$M$15+('ФАКТ ЧИСТ К2'!Z39)*СПРАВОЧНИК!$N$15)</f>
        <v/>
      </c>
      <c r="AS48" s="18">
        <f>AS47+7</f>
        <v/>
      </c>
      <c r="AT48" s="37">
        <f>'ПЛАН ЧЕРН К2'!B39*СПРАВОЧНИК!$H$9+'ПЛАН ЧЕРН К2'!C39*СПРАВОЧНИК!$I$9+'ПЛАН ЧЕРН К2'!D39*СПРАВОЧНИК!$J$9+'ПЛАН ЧЕРН К2'!E39*СПРАВОЧНИК!$H$10+'ПЛАН ЧЕРН К2'!F39*СПРАВОЧНИК!$I$10+'ПЛАН ЧЕРН К2'!G39*СПРАВОЧНИК!$J$10+'ПЛАН ЧЕРН К2'!H39*СПРАВОЧНИК!$H$11+'ПЛАН ЧЕРН К2'!I39*СПРАВОЧНИК!$I$11+'ПЛАН ЧЕРН К2'!J39*СПРАВОЧНИК!$J$11+'ПЛАН ЧЕРН К2'!K39*СПРАВОЧНИК!$H$12+'ПЛАН ЧЕРН К2'!L39*СПРАВОЧНИК!$I$12+'ПЛАН ЧЕРН К2'!M39*СПРАВОЧНИК!$J$12+'ПЛАН ЧЕРН К2'!N39*СПРАВОЧНИК!$H$13+'ПЛАН ЧЕРН К2'!O39*СПРАВОЧНИК!$I$13+'ПЛАН ЧЕРН К2'!P39*СПРАВОЧНИК!$J$13+'ПЛАН ЧЕРН К2'!Q39*СПРАВОЧНИК!$H$14+'ПЛАН ЧЕРН К2'!R39*СПРАВОЧНИК!$I$14+'ПЛАН ЧЕРН К2'!S39*СПРАВОЧНИК!$J$14+'ПЛАН ЧЕРН К2'!T39*СПРАВОЧНИК!$H$15+'ПЛАН ЧЕРН К2'!U39*СПРАВОЧНИК!$I$15+'ПЛАН ЧЕРН К2'!V39*СПРАВОЧНИК!$J$15</f>
        <v/>
      </c>
      <c r="AU48" s="40">
        <f>('ФАКТ ЧЕРН К2'!B39)*СПРАВОЧНИК!$H$9+('ФАКТ ЧЕРН К2'!C39)*СПРАВОЧНИК!$I$9+('ФАКТ ЧЕРН К2'!D39)*СПРАВОЧНИК!$J$9+('ФАКТ ЧЕРН К2'!E39)*СПРАВОЧНИК!$H$10+('ФАКТ ЧЕРН К2'!F39)*СПРАВОЧНИК!$I$10+('ФАКТ ЧЕРН К2'!G39)*СПРАВОЧНИК!$J$10+('ФАКТ ЧЕРН К2'!H39)*СПРАВОЧНИК!$H$11+('ФАКТ ЧЕРН К2'!I39)*СПРАВОЧНИК!$I$11+('ФАКТ ЧЕРН К2'!J39)*СПРАВОЧНИК!$J$11+('ФАКТ ЧЕРН К2'!K39)*СПРАВОЧНИК!$H$12+('ФАКТ ЧЕРН К2'!L39)*СПРАВОЧНИК!$I$12+('ФАКТ ЧЕРН К2'!M39)*СПРАВОЧНИК!$J$12+('ФАКТ ЧЕРН К2'!N39)*СПРАВОЧНИК!$H$13+('ФАКТ ЧЕРН К2'!O39)*СПРАВОЧНИК!$I$13+('ФАКТ ЧЕРН К2'!P39)*СПРАВОЧНИК!$J$13+('ФАКТ ЧЕРН К2'!Q39)*СПРАВОЧНИК!$H$14+('ФАКТ ЧЕРН К2'!R39)*СПРАВОЧНИК!$I$14+('ФАКТ ЧЕРН К2'!S39)*СПРАВОЧНИК!$J$14+('ФАКТ ЧЕРН К2'!T39)*СПРАВОЧНИК!$H$15+('ФАКТ ЧЕРН К2'!U39)*СПРАВОЧНИК!$I$15+('ФАКТ ЧЕРН К2'!V39)*СПРАВОЧНИК!$J$15</f>
        <v/>
      </c>
      <c r="AY48" s="18">
        <f>AY47+7</f>
        <v/>
      </c>
      <c r="AZ48" s="37">
        <f>'ПЛАН ЧИСТ К2'!B39*СПРАВОЧНИК!$L$9+'ПЛАН ЧИСТ К2'!C39*СПРАВОЧНИК!$M$9+'ПЛАН ЧИСТ К2'!D39*СПРАВОЧНИК!$N$9+'ПЛАН ЧИСТ К2'!E39*СПРАВОЧНИК!$O$9+'ПЛАН ЧИСТ К2'!F39*СПРАВОЧНИК!$L$10+'ПЛАН ЧИСТ К2'!G39*СПРАВОЧНИК!$M$10+'ПЛАН ЧИСТ К2'!H39*СПРАВОЧНИК!$N$10+'ПЛАН ЧИСТ К2'!I39*СПРАВОЧНИК!$O$10+'ПЛАН ЧИСТ К2'!J39*СПРАВОЧНИК!$L$11+'ПЛАН ЧИСТ К2'!K39*СПРАВОЧНИК!$M$11+'ПЛАН ЧИСТ К2'!L39*СПРАВОЧНИК!$N$11+'ПЛАН ЧИСТ К2'!M39*СПРАВОЧНИК!$L$12+'ПЛАН ЧИСТ К2'!N39*СПРАВОЧНИК!$M$12+'ПЛАН ЧИСТ К2'!O39*СПРАВОЧНИК!$N$12+'ПЛАН ЧИСТ К2'!P39*СПРАВОЧНИК!$O$12+'ПЛАН ЧИСТ К2'!Q39*СПРАВОЧНИК!$L$13+'ПЛАН ЧИСТ К2'!R39*СПРАВОЧНИК!$M$13+'ПЛАН ЧИСТ К2'!S39*СПРАВОЧНИК!$N$13+'ПЛАН ЧИСТ К2'!T39*СПРАВОЧНИК!$O$13+'ПЛАН ЧИСТ К2'!U39*СПРАВОЧНИК!$L$14+'ПЛАН ЧИСТ К2'!V39*СПРАВОЧНИК!$M$14+'ПЛАН ЧИСТ К2'!W39*СПРАВОЧНИК!$N$14+'ПЛАН ЧИСТ К2'!X39*СПРАВОЧНИК!$L$15+'ПЛАН ЧИСТ К2'!Y39*СПРАВОЧНИК!$M$15+'ПЛАН ЧИСТ К2'!Z39*СПРАВОЧНИК!$N$15</f>
        <v/>
      </c>
      <c r="BA48" s="40">
        <f>('ФАКТ ЧИСТ К2'!B39)*СПРАВОЧНИК!$L$9+('ФАКТ ЧИСТ К2'!C39)*СПРАВОЧНИК!$M$9+('ФАКТ ЧИСТ К2'!D39)*СПРАВОЧНИК!$N$9+('ФАКТ ЧИСТ К2'!E39)*СПРАВОЧНИК!$O$9+('ФАКТ ЧИСТ К2'!F39)*СПРАВОЧНИК!$L$10+('ФАКТ ЧИСТ К2'!G39)*СПРАВОЧНИК!$M$10+('ФАКТ ЧИСТ К2'!H39)*СПРАВОЧНИК!$N$10+('ФАКТ ЧИСТ К2'!I39)*СПРАВОЧНИК!$O$10+('ФАКТ ЧИСТ К2'!J39)*СПРАВОЧНИК!$L$11+('ФАКТ ЧИСТ К2'!K39)*СПРАВОЧНИК!$M$11+('ФАКТ ЧИСТ К2'!L39)*СПРАВОЧНИК!$N$11+('ФАКТ ЧИСТ К2'!M39)*СПРАВОЧНИК!$L$12+('ФАКТ ЧИСТ К2'!N39)*СПРАВОЧНИК!$M$12+('ФАКТ ЧИСТ К2'!O39)*СПРАВОЧНИК!$N$12+('ФАКТ ЧИСТ К2'!P39)*СПРАВОЧНИК!$O$12+('ФАКТ ЧИСТ К2'!Q39)*СПРАВОЧНИК!$L$13+('ФАКТ ЧИСТ К2'!R39)*СПРАВОЧНИК!$M$13+('ФАКТ ЧИСТ К2'!S39)*СПРАВОЧНИК!$N$13+('ФАКТ ЧИСТ К2'!T39)*СПРАВОЧНИК!$O$13+('ФАКТ ЧИСТ К2'!U39)*СПРАВОЧНИК!$L$14+('ФАКТ ЧИСТ К2'!V39)*СПРАВОЧНИК!$M$14+('ФАКТ ЧИСТ К2'!W39)*СПРАВОЧНИК!$N$14+('ФАКТ ЧИСТ К2'!X39)*СПРАВОЧНИК!$L$15+('ФАКТ ЧИСТ К2'!Y39)*СПРАВОЧНИК!$M$15+('ФАКТ ЧИСТ К2'!Z39)*СПРАВОЧНИК!$N$15</f>
        <v/>
      </c>
      <c r="BE48" s="18">
        <f>BE47+7</f>
        <v/>
      </c>
      <c r="BF48" s="37">
        <f>СПРАВОЧНИК!$E$9*('ПЛАН ЧЕРН К3'!B39*СПРАВОЧНИК!$H$9+'ПЛАН ЧЕРН К3'!C39*СПРАВОЧНИК!$I$9+'ПЛАН ЧЕРН К3'!D39*СПРАВОЧНИК!$J$9)+СПРАВОЧНИК!$E$10*('ПЛАН ЧЕРН К3'!E39*СПРАВОЧНИК!$H$10+'ПЛАН ЧЕРН К3'!F39*СПРАВОЧНИК!$I$10+'ПЛАН ЧЕРН К3'!G39*СПРАВОЧНИК!$J$10)+СПРАВОЧНИК!$E$11*('ПЛАН ЧЕРН К3'!H39*СПРАВОЧНИК!$H$11+'ПЛАН ЧЕРН К3'!I39*СПРАВОЧНИК!$I$11+'ПЛАН ЧЕРН К3'!J39*СПРАВОЧНИК!$J$11)+СПРАВОЧНИК!$E$12*('ПЛАН ЧЕРН К3'!K39*СПРАВОЧНИК!$H$12+'ПЛАН ЧЕРН К3'!L39*СПРАВОЧНИК!$I$12+'ПЛАН ЧЕРН К3'!M39*СПРАВОЧНИК!$J$12)+СПРАВОЧНИК!$E$13*('ПЛАН ЧЕРН К3'!N39*СПРАВОЧНИК!$H$13+'ПЛАН ЧЕРН К3'!O39*СПРАВОЧНИК!$I$13+'ПЛАН ЧЕРН К3'!P39*СПРАВОЧНИК!$J$13)+СПРАВОЧНИК!$E$14*('ПЛАН ЧЕРН К3'!Q39*СПРАВОЧНИК!$H$14+'ПЛАН ЧЕРН К3'!R39*СПРАВОЧНИК!$I$14+'ПЛАН ЧЕРН К3'!S39*СПРАВОЧНИК!$J$14)+СПРАВОЧНИК!$E$15*('ПЛАН ЧЕРН К3'!T39*СПРАВОЧНИК!$H$15+'ПЛАН ЧЕРН К3'!U39*СПРАВОЧНИК!$I$15+'ПЛАН ЧЕРН К3'!V39*СПРАВОЧНИК!$J$15)+СПРАВОЧНИК!$F$9*('ПЛАН ЧИСТ К3'!B39*СПРАВОЧНИК!$L$9+'ПЛАН ЧИСТ К3'!C39*СПРАВОЧНИК!$M$9+'ПЛАН ЧИСТ К3'!D39*СПРАВОЧНИК!$N$9+'ПЛАН ЧИСТ К3'!E39*СПРАВОЧНИК!$O$9)+СПРАВОЧНИК!$F$10*('ПЛАН ЧИСТ К3'!F39*СПРАВОЧНИК!$L$10+'ПЛАН ЧИСТ К3'!G39*СПРАВОЧНИК!$M$10+'ПЛАН ЧИСТ К3'!H39*СПРАВОЧНИК!$N$10+'ПЛАН ЧИСТ К3'!I39*СПРАВОЧНИК!$O$10)+СПРАВОЧНИК!$F$11*('ПЛАН ЧИСТ К3'!J39*СПРАВОЧНИК!$L$11+'ПЛАН ЧИСТ К3'!K39*СПРАВОЧНИК!$M$11+'ПЛАН ЧИСТ К3'!L39*СПРАВОЧНИК!$N$11)+СПРАВОЧНИК!$F$12*('ПЛАН ЧИСТ К3'!M39*СПРАВОЧНИК!$L$12+'ПЛАН ЧИСТ К3'!N39*СПРАВОЧНИК!$M$12+'ПЛАН ЧИСТ К3'!O39*СПРАВОЧНИК!$N$12+'ПЛАН ЧИСТ К3'!P39*СПРАВОЧНИК!$O$12)+СПРАВОЧНИК!$F$13*('ПЛАН ЧИСТ К3'!Q39*СПРАВОЧНИК!$L$13+'ПЛАН ЧИСТ К3'!R39*СПРАВОЧНИК!$M$13+'ПЛАН ЧИСТ К3'!S39*СПРАВОЧНИК!$N$13+'ПЛАН ЧИСТ К3'!T39*СПРАВОЧНИК!$O$13)+СПРАВОЧНИК!$F$14*('ПЛАН ЧИСТ К3'!U39*СПРАВОЧНИК!$L$14+'ПЛАН ЧИСТ К3'!V39*СПРАВОЧНИК!$M$14+'ПЛАН ЧИСТ К3'!W39*СПРАВОЧНИК!$N$14)+СПРАВОЧНИК!$F$15*('ПЛАН ЧИСТ К3'!X39*СПРАВОЧНИК!$L$15+'ПЛАН ЧИСТ К3'!Y39*СПРАВОЧНИК!$M$15+'ПЛАН ЧИСТ К3'!Z39*СПРАВОЧНИК!$N$15)</f>
        <v/>
      </c>
      <c r="BG48" s="40">
        <f>СПРАВОЧНИК!$E$9*(('ФАКТ ЧЕРН К3'!B39)*СПРАВОЧНИК!$H$9+('ФАКТ ЧЕРН К3'!C39)*СПРАВОЧНИК!$I$9+('ФАКТ ЧЕРН К3'!D39)*СПРАВОЧНИК!$J$9)+СПРАВОЧНИК!$E$10*(('ФАКТ ЧЕРН К3'!E39)*СПРАВОЧНИК!$H$10+('ФАКТ ЧЕРН К3'!F39)*СПРАВОЧНИК!$I$10+('ФАКТ ЧЕРН К3'!G39)*СПРАВОЧНИК!$J$10)+СПРАВОЧНИК!$E$11*(('ФАКТ ЧЕРН К3'!H39)*СПРАВОЧНИК!$H$11+('ФАКТ ЧЕРН К3'!I39)*СПРАВОЧНИК!$I$11+('ФАКТ ЧЕРН К3'!J39)*СПРАВОЧНИК!$J$11)+СПРАВОЧНИК!$E$12*(('ФАКТ ЧЕРН К3'!K39)*СПРАВОЧНИК!$H$12+('ФАКТ ЧЕРН К3'!L39)*СПРАВОЧНИК!$I$12+('ФАКТ ЧЕРН К3'!M39)*СПРАВОЧНИК!$J$12)+СПРАВОЧНИК!$E$13*(('ФАКТ ЧЕРН К3'!N39)*СПРАВОЧНИК!$H$13+('ФАКТ ЧЕРН К3'!O39)*СПРАВОЧНИК!$I$13+('ФАКТ ЧЕРН К3'!P39)*СПРАВОЧНИК!$J$13)+СПРАВОЧНИК!$E$14*(('ФАКТ ЧЕРН К3'!Q39)*СПРАВОЧНИК!$H$14+('ФАКТ ЧЕРН К3'!R39)*СПРАВОЧНИК!$I$14+('ФАКТ ЧЕРН К3'!S39)*СПРАВОЧНИК!$J$14)+СПРАВОЧНИК!$E$15*(('ФАКТ ЧЕРН К3'!T39)*СПРАВОЧНИК!$H$15+('ФАКТ ЧЕРН К3'!U39)*СПРАВОЧНИК!$I$15+('ФАКТ ЧЕРН К3'!V39)*СПРАВОЧНИК!$J$15)+СПРАВОЧНИК!$F$9*(('ФАКТ ЧИСТ К3'!B39)*СПРАВОЧНИК!$L$9+('ФАКТ ЧИСТ К3'!C39)*СПРАВОЧНИК!$M$9+('ФАКТ ЧИСТ К3'!D39)*СПРАВОЧНИК!$N$9+('ФАКТ ЧИСТ К3'!E39)*СПРАВОЧНИК!$O$9)+СПРАВОЧНИК!$F$10*(('ФАКТ ЧИСТ К3'!F39)*СПРАВОЧНИК!$L$10+('ФАКТ ЧИСТ К3'!G39)*СПРАВОЧНИК!$M$10+('ФАКТ ЧИСТ К3'!H39)*СПРАВОЧНИК!$N$10+('ФАКТ ЧИСТ К3'!I39)*СПРАВОЧНИК!$O$10)+СПРАВОЧНИК!$F$11*(('ФАКТ ЧИСТ К3'!J39)*СПРАВОЧНИК!$L$11+('ФАКТ ЧИСТ К3'!K39)*СПРАВОЧНИК!$M$11+('ФАКТ ЧИСТ К3'!L39)*СПРАВОЧНИК!$N$11)+СПРАВОЧНИК!$F$12*(('ФАКТ ЧИСТ К3'!M39)*СПРАВОЧНИК!$L$12+('ФАКТ ЧИСТ К3'!N39)*СПРАВОЧНИК!$M$12+('ФАКТ ЧИСТ К3'!O39)*СПРАВОЧНИК!$N$12+('ФАКТ ЧИСТ К3'!P39)*СПРАВОЧНИК!$O$12)+СПРАВОЧНИК!$F$13*(('ФАКТ ЧИСТ К3'!Q39)*СПРАВОЧНИК!$L$13+('ФАКТ ЧИСТ К3'!R39)*СПРАВОЧНИК!$M$13+('ФАКТ ЧИСТ К3'!S39)*СПРАВОЧНИК!$N$13+('ФАКТ ЧИСТ К3'!T39)*СПРАВОЧНИК!$O$13)+СПРАВОЧНИК!$F$14*(('ФАКТ ЧИСТ К3'!U39)*СПРАВОЧНИК!$L$14+('ФАКТ ЧИСТ К3'!V39)*СПРАВОЧНИК!$M$14+('ФАКТ ЧИСТ К3'!W39)*СПРАВОЧНИК!$N$14)+СПРАВОЧНИК!$F$15*(('ФАКТ ЧИСТ К3'!X39)*СПРАВОЧНИК!$L$15+('ФАКТ ЧИСТ К3'!Y39)*СПРАВОЧНИК!$M$15+('ФАКТ ЧИСТ К3'!Z39)*СПРАВОЧНИК!$N$15)</f>
        <v/>
      </c>
      <c r="BK48" s="18">
        <f>BK47+7</f>
        <v/>
      </c>
      <c r="BL48" s="37">
        <f>'ПЛАН ЧЕРН К3'!B39*СПРАВОЧНИК!$H$9+'ПЛАН ЧЕРН К3'!C39*СПРАВОЧНИК!$I$9+'ПЛАН ЧЕРН К3'!D39*СПРАВОЧНИК!$J$9+'ПЛАН ЧЕРН К3'!E39*СПРАВОЧНИК!$H$10+'ПЛАН ЧЕРН К3'!F39*СПРАВОЧНИК!$I$10+'ПЛАН ЧЕРН К3'!G39*СПРАВОЧНИК!$J$10+'ПЛАН ЧЕРН К3'!H39*СПРАВОЧНИК!$H$11+'ПЛАН ЧЕРН К3'!I39*СПРАВОЧНИК!$I$11+'ПЛАН ЧЕРН К3'!J39*СПРАВОЧНИК!$J$11+'ПЛАН ЧЕРН К3'!K39*СПРАВОЧНИК!$H$12+'ПЛАН ЧЕРН К3'!L39*СПРАВОЧНИК!$I$12+'ПЛАН ЧЕРН К3'!M39*СПРАВОЧНИК!$J$12+'ПЛАН ЧЕРН К3'!N39*СПРАВОЧНИК!$H$13+'ПЛАН ЧЕРН К3'!O39*СПРАВОЧНИК!$I$13+'ПЛАН ЧЕРН К3'!P39*СПРАВОЧНИК!$J$13+'ПЛАН ЧЕРН К3'!Q39*СПРАВОЧНИК!$H$14+'ПЛАН ЧЕРН К3'!R39*СПРАВОЧНИК!$I$14+'ПЛАН ЧЕРН К3'!S39*СПРАВОЧНИК!$J$14+'ПЛАН ЧЕРН К3'!T39*СПРАВОЧНИК!$H$15+'ПЛАН ЧЕРН К3'!U39*СПРАВОЧНИК!$I$15+'ПЛАН ЧЕРН К3'!V39*СПРАВОЧНИК!$J$15</f>
        <v/>
      </c>
      <c r="BM48" s="40">
        <f>('ФАКТ ЧЕРН К3'!B39)*СПРАВОЧНИК!$H$9+('ФАКТ ЧЕРН К3'!C39)*СПРАВОЧНИК!$I$9+('ФАКТ ЧЕРН К3'!D39)*СПРАВОЧНИК!$J$9+('ФАКТ ЧЕРН К3'!E39)*СПРАВОЧНИК!$H$10+('ФАКТ ЧЕРН К3'!F39)*СПРАВОЧНИК!$I$10+('ФАКТ ЧЕРН К3'!G39)*СПРАВОЧНИК!$J$10+('ФАКТ ЧЕРН К3'!H39)*СПРАВОЧНИК!$H$11+('ФАКТ ЧЕРН К3'!I39)*СПРАВОЧНИК!$I$11+('ФАКТ ЧЕРН К3'!J39)*СПРАВОЧНИК!$J$11+('ФАКТ ЧЕРН К3'!K39)*СПРАВОЧНИК!$H$12+('ФАКТ ЧЕРН К3'!L39)*СПРАВОЧНИК!$I$12+('ФАКТ ЧЕРН К3'!M39)*СПРАВОЧНИК!$J$12+('ФАКТ ЧЕРН К3'!N39)*СПРАВОЧНИК!$H$13+('ФАКТ ЧЕРН К3'!O39)*СПРАВОЧНИК!$I$13+('ФАКТ ЧЕРН К3'!P39)*СПРАВОЧНИК!$J$13+('ФАКТ ЧЕРН К3'!Q39)*СПРАВОЧНИК!$H$14+('ФАКТ ЧЕРН К3'!R39)*СПРАВОЧНИК!$I$14+('ФАКТ ЧЕРН К3'!S39)*СПРАВОЧНИК!$J$14+('ФАКТ ЧЕРН К3'!T39)*СПРАВОЧНИК!$H$15+('ФАКТ ЧЕРН К3'!U39)*СПРАВОЧНИК!$I$15+('ФАКТ ЧЕРН К3'!V39)*СПРАВОЧНИК!$J$15</f>
        <v/>
      </c>
      <c r="BQ48" s="18">
        <f>BQ47+7</f>
        <v/>
      </c>
      <c r="BR48" s="37">
        <f>'ПЛАН ЧИСТ К3'!B39*СПРАВОЧНИК!$L$9+'ПЛАН ЧИСТ К3'!C39*СПРАВОЧНИК!$M$9+'ПЛАН ЧИСТ К3'!D39*СПРАВОЧНИК!$N$9+'ПЛАН ЧИСТ К3'!E39*СПРАВОЧНИК!$O$9+'ПЛАН ЧИСТ К3'!F39*СПРАВОЧНИК!$L$10+'ПЛАН ЧИСТ К3'!G39*СПРАВОЧНИК!$M$10+'ПЛАН ЧИСТ К3'!H39*СПРАВОЧНИК!$N$10+'ПЛАН ЧИСТ К3'!I39*СПРАВОЧНИК!$O$10+'ПЛАН ЧИСТ К3'!J39*СПРАВОЧНИК!$L$11+'ПЛАН ЧИСТ К3'!K39*СПРАВОЧНИК!$M$11+'ПЛАН ЧИСТ К3'!L39*СПРАВОЧНИК!$N$11+'ПЛАН ЧИСТ К3'!M39*СПРАВОЧНИК!$L$12+'ПЛАН ЧИСТ К3'!N39*СПРАВОЧНИК!$M$12+'ПЛАН ЧИСТ К3'!O39*СПРАВОЧНИК!$N$12+'ПЛАН ЧИСТ К3'!P39*СПРАВОЧНИК!$O$12+'ПЛАН ЧИСТ К3'!Q39*СПРАВОЧНИК!$L$13+'ПЛАН ЧИСТ К3'!R39*СПРАВОЧНИК!$M$13+'ПЛАН ЧИСТ К3'!S39*СПРАВОЧНИК!$N$13+'ПЛАН ЧИСТ К3'!T39*СПРАВОЧНИК!$O$13+'ПЛАН ЧИСТ К3'!U39*СПРАВОЧНИК!$L$14+'ПЛАН ЧИСТ К3'!V39*СПРАВОЧНИК!$M$14+'ПЛАН ЧИСТ К3'!W39*СПРАВОЧНИК!$N$14+'ПЛАН ЧИСТ К3'!X39*СПРАВОЧНИК!$L$15+'ПЛАН ЧИСТ К3'!Y39*СПРАВОЧНИК!$M$15+'ПЛАН ЧИСТ К3'!Z39*СПРАВОЧНИК!$N$15</f>
        <v/>
      </c>
      <c r="BS48" s="40">
        <f>('ФАКТ ЧИСТ К3'!B39)*СПРАВОЧНИК!$L$9+('ФАКТ ЧИСТ К3'!C39)*СПРАВОЧНИК!$M$9+('ФАКТ ЧИСТ К3'!D39)*СПРАВОЧНИК!$N$9+('ФАКТ ЧИСТ К3'!E39)*СПРАВОЧНИК!$O$9+('ФАКТ ЧИСТ К3'!F39)*СПРАВОЧНИК!$L$10+('ФАКТ ЧИСТ К3'!G39)*СПРАВОЧНИК!$M$10+('ФАКТ ЧИСТ К3'!H39)*СПРАВОЧНИК!$N$10+('ФАКТ ЧИСТ К3'!I39)*СПРАВОЧНИК!$O$10+('ФАКТ ЧИСТ К3'!J39)*СПРАВОЧНИК!$L$11+('ФАКТ ЧИСТ К3'!K39)*СПРАВОЧНИК!$M$11+('ФАКТ ЧИСТ К3'!L39)*СПРАВОЧНИК!$N$11+('ФАКТ ЧИСТ К3'!M39)*СПРАВОЧНИК!$L$12+('ФАКТ ЧИСТ К3'!N39)*СПРАВОЧНИК!$M$12+('ФАКТ ЧИСТ К3'!O39)*СПРАВОЧНИК!$N$12+('ФАКТ ЧИСТ К3'!P39)*СПРАВОЧНИК!$O$12+('ФАКТ ЧИСТ К3'!Q39)*СПРАВОЧНИК!$L$13+('ФАКТ ЧИСТ К3'!R39)*СПРАВОЧНИК!$M$13+('ФАКТ ЧИСТ К3'!S39)*СПРАВОЧНИК!$N$13+('ФАКТ ЧИСТ К3'!T39)*СПРАВОЧНИК!$O$13+('ФАКТ ЧИСТ К3'!U39)*СПРАВОЧНИК!$L$14+('ФАКТ ЧИСТ К3'!V39)*СПРАВОЧНИК!$M$14+('ФАКТ ЧИСТ К3'!W39)*СПРАВОЧНИК!$N$14+('ФАКТ ЧИСТ К3'!X39)*СПРАВОЧНИК!$L$15+('ФАКТ ЧИСТ К3'!Y39)*СПРАВОЧНИК!$M$15+('ФАКТ ЧИСТ К3'!Z39)*СПРАВОЧНИК!$N$15</f>
        <v/>
      </c>
      <c r="BW48" s="18">
        <f>BW47+7</f>
        <v/>
      </c>
      <c r="BX48" s="37">
        <f>V48+AN48+BF48</f>
        <v/>
      </c>
      <c r="BY48" s="40">
        <f>W48+AO48+BG48</f>
        <v/>
      </c>
      <c r="CC48" s="18">
        <f>CC47+7</f>
        <v/>
      </c>
      <c r="CD48" s="37">
        <f>AB48+AT48+BL48</f>
        <v/>
      </c>
      <c r="CE48" s="40">
        <f>AC48+AU48+BM48</f>
        <v/>
      </c>
      <c r="CI48" s="18">
        <f>CI47+7</f>
        <v/>
      </c>
      <c r="CJ48" s="37">
        <f>AH48+AZ48+BR48</f>
        <v/>
      </c>
      <c r="CK48" s="40">
        <f>AI48+BA48+BS48</f>
        <v/>
      </c>
      <c r="CO48" s="18">
        <f>CO47+7</f>
        <v/>
      </c>
      <c r="CP48" s="37">
        <f>D48+BX48</f>
        <v/>
      </c>
      <c r="CQ48" s="40">
        <f>E48+BY48</f>
        <v/>
      </c>
      <c r="CU48" s="18">
        <f>CU47+7</f>
        <v/>
      </c>
      <c r="CV48" s="37">
        <f>J48+CD48</f>
        <v/>
      </c>
      <c r="CW48" s="40">
        <f>K48+CE48</f>
        <v/>
      </c>
      <c r="DA48" s="18">
        <f>DA47+7</f>
        <v/>
      </c>
      <c r="DB48" s="37">
        <f>P48+CJ48</f>
        <v/>
      </c>
      <c r="DC48" s="40">
        <f>Q48+CK48</f>
        <v/>
      </c>
    </row>
    <row r="49">
      <c r="C49" s="18">
        <f>C48+7</f>
        <v/>
      </c>
      <c r="D49" s="37">
        <f>СПРАВОЧНИК!$E$3*('ПЛАН ЧЕРН ПОДЗЕМ'!B40*СПРАВОЧНИК!$H$3+'ПЛАН ЧЕРН ПОДЗЕМ'!C40*СПРАВОЧНИК!$I$3+'ПЛАН ЧЕРН ПОДЗЕМ'!D40*СПРАВОЧНИК!$J$3)+СПРАВОЧНИК!$E$4*('ПЛАН ЧЕРН ПОДЗЕМ'!E40*СПРАВОЧНИК!$H$4+'ПЛАН ЧЕРН ПОДЗЕМ'!F40*СПРАВОЧНИК!$I$4+'ПЛАН ЧЕРН ПОДЗЕМ'!G40*СПРАВОЧНИК!$J$4)+СПРАВОЧНИК!$E$5*('ПЛАН ЧЕРН ПОДЗЕМ'!H40*СПРАВОЧНИК!$H$5+'ПЛАН ЧЕРН ПОДЗЕМ'!I40*СПРАВОЧНИК!$I$5+'ПЛАН ЧЕРН ПОДЗЕМ'!J40*СПРАВОЧНИК!$J$5)+СПРАВОЧНИК!$E$6*('ПЛАН ЧЕРН ПОДЗЕМ'!K40*СПРАВОЧНИК!$H$6+'ПЛАН ЧЕРН ПОДЗЕМ'!L40*СПРАВОЧНИК!$I$6+'ПЛАН ЧЕРН ПОДЗЕМ'!M40*СПРАВОЧНИК!$J$6)+СПРАВОЧНИК!$E$7*('ПЛАН ЧЕРН ПОДЗЕМ'!N40*СПРАВОЧНИК!$H$7+'ПЛАН ЧЕРН ПОДЗЕМ'!O40*СПРАВОЧНИК!$I$7+'ПЛАН ЧЕРН ПОДЗЕМ'!P40*СПРАВОЧНИК!$J$7)+СПРАВОЧНИК!$E$8*('ПЛАН ЧЕРН ПОДЗЕМ'!Q40*СПРАВОЧНИК!$H$8+'ПЛАН ЧЕРН ПОДЗЕМ'!R40*СПРАВОЧНИК!$I$8+'ПЛАН ЧЕРН ПОДЗЕМ'!S40*СПРАВОЧНИК!$J$8)+СПРАВОЧНИК!$F$3*('ПЛАН ЧИСТ ПОДЗЕМ'!B40*СПРАВОЧНИК!$L$3+'ПЛАН ЧИСТ ПОДЗЕМ'!C40*СПРАВОЧНИК!$M$3+'ПЛАН ЧИСТ ПОДЗЕМ'!D40*СПРАВОЧНИК!$N$3+'ПЛАН ЧИСТ ПОДЗЕМ'!E40*СПРАВОЧНИК!$O$3)+СПРАВОЧНИК!$F$4*('ПЛАН ЧИСТ ПОДЗЕМ'!F40*СПРАВОЧНИК!$L$4+'ПЛАН ЧИСТ ПОДЗЕМ'!G40*СПРАВОЧНИК!$M$4+'ПЛАН ЧИСТ ПОДЗЕМ'!H40*СПРАВОЧНИК!$N$4+'ПЛАН ЧИСТ ПОДЗЕМ'!I40*СПРАВОЧНИК!$O$4)+СПРАВОЧНИК!$F$5*('ПЛАН ЧИСТ ПОДЗЕМ'!J40*СПРАВОЧНИК!$L$5+'ПЛАН ЧИСТ ПОДЗЕМ'!K40*СПРАВОЧНИК!$M$5+'ПЛАН ЧИСТ ПОДЗЕМ'!L40*СПРАВОЧНИК!$N$5)+СПРАВОЧНИК!$F$6*('ПЛАН ЧИСТ ПОДЗЕМ'!M40*СПРАВОЧНИК!$L$6+'ПЛАН ЧИСТ ПОДЗЕМ'!N40*СПРАВОЧНИК!$M$6+'ПЛАН ЧИСТ ПОДЗЕМ'!O40*СПРАВОЧНИК!$N$6+'ПЛАН ЧИСТ ПОДЗЕМ'!P40*СПРАВОЧНИК!$O$6)+СПРАВОЧНИК!$F$7*('ПЛАН ЧИСТ ПОДЗЕМ'!Q40*СПРАВОЧНИК!$L$7+'ПЛАН ЧИСТ ПОДЗЕМ'!R40*СПРАВОЧНИК!$M$7+'ПЛАН ЧИСТ ПОДЗЕМ'!S40*СПРАВОЧНИК!$N$7+'ПЛАН ЧИСТ ПОДЗЕМ'!T40*СПРАВОЧНИК!$O$7)+СПРАВОЧНИК!$F$8*('ПЛАН ЧИСТ ПОДЗЕМ'!U40*СПРАВОЧНИК!$L$8+'ПЛАН ЧИСТ ПОДЗЕМ'!V40*СПРАВОЧНИК!$M$8+'ПЛАН ЧИСТ ПОДЗЕМ'!W40*СПРАВОЧНИК!$N$8)</f>
        <v/>
      </c>
      <c r="E49" s="40">
        <f>СПРАВОЧНИК!$E$3*(('ФАКТ ЧЕРН ПОДЗЕМ'!B40)*СПРАВОЧНИК!$H$3+('ФАКТ ЧЕРН ПОДЗЕМ'!C40)*СПРАВОЧНИК!$I$3+('ФАКТ ЧЕРН ПОДЗЕМ'!D40)*СПРАВОЧНИК!$J$3)+СПРАВОЧНИК!$E$4*(('ФАКТ ЧЕРН ПОДЗЕМ'!E40)*СПРАВОЧНИК!$H$4+('ФАКТ ЧЕРН ПОДЗЕМ'!F40)*СПРАВОЧНИК!$I$4+('ФАКТ ЧЕРН ПОДЗЕМ'!G40)*СПРАВОЧНИК!$J$4)+СПРАВОЧНИК!$E$5*(('ФАКТ ЧЕРН ПОДЗЕМ'!H40)*СПРАВОЧНИК!$H$5+('ФАКТ ЧЕРН ПОДЗЕМ'!I40)*СПРАВОЧНИК!$I$5+('ФАКТ ЧЕРН ПОДЗЕМ'!J40)*СПРАВОЧНИК!$J$5)+СПРАВОЧНИК!$E$6*(('ФАКТ ЧЕРН ПОДЗЕМ'!K40)*СПРАВОЧНИК!$H$6+('ФАКТ ЧЕРН ПОДЗЕМ'!L40)*СПРАВОЧНИК!$I$6+('ФАКТ ЧЕРН ПОДЗЕМ'!M40)*СПРАВОЧНИК!$J$6)+СПРАВОЧНИК!$E$7*(('ФАКТ ЧЕРН ПОДЗЕМ'!N40)*СПРАВОЧНИК!$H$7+('ФАКТ ЧЕРН ПОДЗЕМ'!O40)*СПРАВОЧНИК!$I$7+('ФАКТ ЧЕРН ПОДЗЕМ'!P40)*СПРАВОЧНИК!$J$7)+СПРАВОЧНИК!$E$8*(('ФАКТ ЧЕРН ПОДЗЕМ'!Q40)*СПРАВОЧНИК!$H$8+('ФАКТ ЧЕРН ПОДЗЕМ'!R40)*СПРАВОЧНИК!$I$8+('ФАКТ ЧЕРН ПОДЗЕМ'!S40)*СПРАВОЧНИК!$J$8)+СПРАВОЧНИК!$F$3*(('ФАКТ ЧИСТ ПОДЗЕМ'!B40)*СПРАВОЧНИК!$L$3+('ФАКТ ЧИСТ ПОДЗЕМ'!C40)*СПРАВОЧНИК!$M$3+('ФАКТ ЧИСТ ПОДЗЕМ'!D40)*СПРАВОЧНИК!$N$3+('ФАКТ ЧИСТ ПОДЗЕМ'!E40)*СПРАВОЧНИК!$O$3)+СПРАВОЧНИК!$F$4*(('ФАКТ ЧИСТ ПОДЗЕМ'!F40)*СПРАВОЧНИК!$L$4+('ФАКТ ЧИСТ ПОДЗЕМ'!G40)*СПРАВОЧНИК!$M$4+('ФАКТ ЧИСТ ПОДЗЕМ'!H40)*СПРАВОЧНИК!$N$4+('ФАКТ ЧИСТ ПОДЗЕМ'!I40)*СПРАВОЧНИК!$O$4)+СПРАВОЧНИК!$F$5*(('ФАКТ ЧИСТ ПОДЗЕМ'!J40)*СПРАВОЧНИК!$L$5+('ФАКТ ЧИСТ ПОДЗЕМ'!K40)*СПРАВОЧНИК!$M$5+('ФАКТ ЧИСТ ПОДЗЕМ'!L40)*СПРАВОЧНИК!$N$5)+СПРАВОЧНИК!$F$6*(('ФАКТ ЧИСТ ПОДЗЕМ'!M40)*СПРАВОЧНИК!$L$6+('ФАКТ ЧИСТ ПОДЗЕМ'!N40)*СПРАВОЧНИК!$M$6+('ФАКТ ЧИСТ ПОДЗЕМ'!O40)*СПРАВОЧНИК!$N$6+('ФАКТ ЧИСТ ПОДЗЕМ'!P40)*СПРАВОЧНИК!$O$6)+СПРАВОЧНИК!$F$7*(('ФАКТ ЧИСТ ПОДЗЕМ'!Q40)*СПРАВОЧНИК!$L$7+('ФАКТ ЧИСТ ПОДЗЕМ'!R40)*СПРАВОЧНИК!$M$7+('ФАКТ ЧИСТ ПОДЗЕМ'!S40)*СПРАВОЧНИК!$N$7+('ФАКТ ЧИСТ ПОДЗЕМ'!T40)*СПРАВОЧНИК!$O$7)+СПРАВОЧНИК!$F$8*(('ФАКТ ЧИСТ ПОДЗЕМ'!U40)*СПРАВОЧНИК!$L$8+('ФАКТ ЧИСТ ПОДЗЕМ'!V40)*СПРАВОЧНИК!$M$8+('ФАКТ ЧИСТ ПОДЗЕМ'!W40)*СПРАВОЧНИК!$N$8)</f>
        <v/>
      </c>
      <c r="I49" s="18">
        <f>I48+7</f>
        <v/>
      </c>
      <c r="J49" s="37">
        <f>'ПЛАН ЧЕРН ПОДЗЕМ'!B40*СПРАВОЧНИК!$H$3+'ПЛАН ЧЕРН ПОДЗЕМ'!C40*СПРАВОЧНИК!$I$3+'ПЛАН ЧЕРН ПОДЗЕМ'!D40*СПРАВОЧНИК!$J$3+'ПЛАН ЧЕРН ПОДЗЕМ'!E40*СПРАВОЧНИК!$H$4+'ПЛАН ЧЕРН ПОДЗЕМ'!F40*СПРАВОЧНИК!$I$4+'ПЛАН ЧЕРН ПОДЗЕМ'!G40*СПРАВОЧНИК!$J$4+'ПЛАН ЧЕРН ПОДЗЕМ'!H40*СПРАВОЧНИК!$H$5+'ПЛАН ЧЕРН ПОДЗЕМ'!I40*СПРАВОЧНИК!$I$5+'ПЛАН ЧЕРН ПОДЗЕМ'!J40*СПРАВОЧНИК!$J$5+'ПЛАН ЧЕРН ПОДЗЕМ'!K40*СПРАВОЧНИК!$H$6+'ПЛАН ЧЕРН ПОДЗЕМ'!L40*СПРАВОЧНИК!$I$6+'ПЛАН ЧЕРН ПОДЗЕМ'!M40*СПРАВОЧНИК!$J$6+'ПЛАН ЧЕРН ПОДЗЕМ'!N40*СПРАВОЧНИК!$H$7+'ПЛАН ЧЕРН ПОДЗЕМ'!O40*СПРАВОЧНИК!$I$7+'ПЛАН ЧЕРН ПОДЗЕМ'!P40*СПРАВОЧНИК!$J$7+'ПЛАН ЧЕРН ПОДЗЕМ'!Q40*СПРАВОЧНИК!$H$8+'ПЛАН ЧЕРН ПОДЗЕМ'!R40*СПРАВОЧНИК!$I$8+'ПЛАН ЧЕРН ПОДЗЕМ'!S40*СПРАВОЧНИК!$J$8</f>
        <v/>
      </c>
      <c r="K49" s="40">
        <f>('ФАКТ ЧЕРН ПОДЗЕМ'!B40)*СПРАВОЧНИК!$H$3+('ФАКТ ЧЕРН ПОДЗЕМ'!C40)*СПРАВОЧНИК!$I$3+('ФАКТ ЧЕРН ПОДЗЕМ'!D40)*СПРАВОЧНИК!$J$3+('ФАКТ ЧЕРН ПОДЗЕМ'!E40)*СПРАВОЧНИК!$H$4+('ФАКТ ЧЕРН ПОДЗЕМ'!F40)*СПРАВОЧНИК!$I$4+('ФАКТ ЧЕРН ПОДЗЕМ'!G40)*СПРАВОЧНИК!$J$4+('ФАКТ ЧЕРН ПОДЗЕМ'!H40)*СПРАВОЧНИК!$H$5+('ФАКТ ЧЕРН ПОДЗЕМ'!I40)*СПРАВОЧНИК!$I$5+('ФАКТ ЧЕРН ПОДЗЕМ'!J40)*СПРАВОЧНИК!$J$5+('ФАКТ ЧЕРН ПОДЗЕМ'!K40)*СПРАВОЧНИК!$H$6+('ФАКТ ЧЕРН ПОДЗЕМ'!L40)*СПРАВОЧНИК!$I$6+('ФАКТ ЧЕРН ПОДЗЕМ'!M40)*СПРАВОЧНИК!$J$6+('ФАКТ ЧЕРН ПОДЗЕМ'!N40)*СПРАВОЧНИК!$H$7+('ФАКТ ЧЕРН ПОДЗЕМ'!O40)*СПРАВОЧНИК!$I$7+('ФАКТ ЧЕРН ПОДЗЕМ'!P40)*СПРАВОЧНИК!$J$7+('ФАКТ ЧЕРН ПОДЗЕМ'!Q40)*СПРАВОЧНИК!$H$8+('ФАКТ ЧЕРН ПОДЗЕМ'!R40)*СПРАВОЧНИК!$I$8+('ФАКТ ЧЕРН ПОДЗЕМ'!S40)*СПРАВОЧНИК!$J$8</f>
        <v/>
      </c>
      <c r="O49" s="18">
        <f>O48+7</f>
        <v/>
      </c>
      <c r="P49" s="37">
        <f>'ПЛАН ЧИСТ ПОДЗЕМ'!B40*СПРАВОЧНИК!$L$3+'ПЛАН ЧИСТ ПОДЗЕМ'!C40*СПРАВОЧНИК!$M$3+'ПЛАН ЧИСТ ПОДЗЕМ'!D40*СПРАВОЧНИК!$N$3+'ПЛАН ЧИСТ ПОДЗЕМ'!E40*СПРАВОЧНИК!$O$3+'ПЛАН ЧИСТ ПОДЗЕМ'!F40*СПРАВОЧНИК!$L$4+'ПЛАН ЧИСТ ПОДЗЕМ'!G40*СПРАВОЧНИК!$M$4+'ПЛАН ЧИСТ ПОДЗЕМ'!H40*СПРАВОЧНИК!$N$4+'ПЛАН ЧИСТ ПОДЗЕМ'!I40*СПРАВОЧНИК!$O$4+'ПЛАН ЧИСТ ПОДЗЕМ'!J40*СПРАВОЧНИК!$L$5+'ПЛАН ЧИСТ ПОДЗЕМ'!K40*СПРАВОЧНИК!$M$5+'ПЛАН ЧИСТ ПОДЗЕМ'!L40*СПРАВОЧНИК!$N$5+'ПЛАН ЧИСТ ПОДЗЕМ'!M40*СПРАВОЧНИК!$L$6+'ПЛАН ЧИСТ ПОДЗЕМ'!N40*СПРАВОЧНИК!$M$6+'ПЛАН ЧИСТ ПОДЗЕМ'!O40*СПРАВОЧНИК!$N$6+'ПЛАН ЧИСТ ПОДЗЕМ'!P40*СПРАВОЧНИК!$O$6+'ПЛАН ЧИСТ ПОДЗЕМ'!Q40*СПРАВОЧНИК!$L$7+'ПЛАН ЧИСТ ПОДЗЕМ'!R40*СПРАВОЧНИК!$M$7+'ПЛАН ЧИСТ ПОДЗЕМ'!S40*СПРАВОЧНИК!$N$7+'ПЛАН ЧИСТ ПОДЗЕМ'!T40*СПРАВОЧНИК!$O$7+'ПЛАН ЧИСТ ПОДЗЕМ'!U40*СПРАВОЧНИК!$L$8+'ПЛАН ЧИСТ ПОДЗЕМ'!V40*СПРАВОЧНИК!$M$8+'ПЛАН ЧИСТ ПОДЗЕМ'!W40*СПРАВОЧНИК!$N$8</f>
        <v/>
      </c>
      <c r="Q49" s="40">
        <f>('ФАКТ ЧИСТ ПОДЗЕМ'!B40)*СПРАВОЧНИК!$L$3+('ФАКТ ЧИСТ ПОДЗЕМ'!C40)*СПРАВОЧНИК!$M$3+('ФАКТ ЧИСТ ПОДЗЕМ'!D40)*СПРАВОЧНИК!$N$3+('ФАКТ ЧИСТ ПОДЗЕМ'!E40)*СПРАВОЧНИК!$O$3+('ФАКТ ЧИСТ ПОДЗЕМ'!F40)*СПРАВОЧНИК!$L$4+('ФАКТ ЧИСТ ПОДЗЕМ'!G40)*СПРАВОЧНИК!$M$4+('ФАКТ ЧИСТ ПОДЗЕМ'!H40)*СПРАВОЧНИК!$N$4+('ФАКТ ЧИСТ ПОДЗЕМ'!I40)*СПРАВОЧНИК!$O$4+('ФАКТ ЧИСТ ПОДЗЕМ'!J40)*СПРАВОЧНИК!$L$5+('ФАКТ ЧИСТ ПОДЗЕМ'!K40)*СПРАВОЧНИК!$M$5+('ФАКТ ЧИСТ ПОДЗЕМ'!L40)*СПРАВОЧНИК!$N$5+('ФАКТ ЧИСТ ПОДЗЕМ'!M40)*СПРАВОЧНИК!$L$6+('ФАКТ ЧИСТ ПОДЗЕМ'!N40)*СПРАВОЧНИК!$M$6+('ФАКТ ЧИСТ ПОДЗЕМ'!O40)*СПРАВОЧНИК!$N$6+('ФАКТ ЧИСТ ПОДЗЕМ'!P40)*СПРАВОЧНИК!$O$6+('ФАКТ ЧИСТ ПОДЗЕМ'!Q40)*СПРАВОЧНИК!$L$7+('ФАКТ ЧИСТ ПОДЗЕМ'!R40)*СПРАВОЧНИК!$M$7+('ФАКТ ЧИСТ ПОДЗЕМ'!S40)*СПРАВОЧНИК!$N$7+('ФАКТ ЧИСТ ПОДЗЕМ'!T40)*СПРАВОЧНИК!$O$7+('ФАКТ ЧИСТ ПОДЗЕМ'!U40)*СПРАВОЧНИК!$L$8+('ФАКТ ЧИСТ ПОДЗЕМ'!V40)*СПРАВОЧНИК!$M$8+('ФАКТ ЧИСТ ПОДЗЕМ'!W40)*СПРАВОЧНИК!$N$8</f>
        <v/>
      </c>
      <c r="U49" s="18">
        <f>U48+7</f>
        <v/>
      </c>
      <c r="V49" s="37">
        <f>СПРАВОЧНИК!$E$9*('ПЛАН ЧЕРН К1'!B40*СПРАВОЧНИК!$H$9+'ПЛАН ЧЕРН К1'!C40*СПРАВОЧНИК!$I$9+'ПЛАН ЧЕРН К1'!D40*СПРАВОЧНИК!$J$9)+СПРАВОЧНИК!$E$10*('ПЛАН ЧЕРН К1'!E40*СПРАВОЧНИК!$H$10+'ПЛАН ЧЕРН К1'!F40*СПРАВОЧНИК!$I$10+'ПЛАН ЧЕРН К1'!G40*СПРАВОЧНИК!$J$10)+СПРАВОЧНИК!$E$11*('ПЛАН ЧЕРН К1'!H40*СПРАВОЧНИК!$H$11+'ПЛАН ЧЕРН К1'!I40*СПРАВОЧНИК!$I$11+'ПЛАН ЧЕРН К1'!J40*СПРАВОЧНИК!$J$11)+СПРАВОЧНИК!$E$12*('ПЛАН ЧЕРН К1'!K40*СПРАВОЧНИК!$H$12+'ПЛАН ЧЕРН К1'!L40*СПРАВОЧНИК!$I$12+'ПЛАН ЧЕРН К1'!M40*СПРАВОЧНИК!$J$12)+СПРАВОЧНИК!$E$13*('ПЛАН ЧЕРН К1'!N40*СПРАВОЧНИК!$H$13+'ПЛАН ЧЕРН К1'!O40*СПРАВОЧНИК!$I$13+'ПЛАН ЧЕРН К1'!P40*СПРАВОЧНИК!$J$13)+СПРАВОЧНИК!$E$14*('ПЛАН ЧЕРН К1'!Q40*СПРАВОЧНИК!$H$14+'ПЛАН ЧЕРН К1'!R40*СПРАВОЧНИК!$I$14+'ПЛАН ЧЕРН К1'!S40*СПРАВОЧНИК!$J$14)+СПРАВОЧНИК!$E$15*('ПЛАН ЧЕРН К1'!T40*СПРАВОЧНИК!$H$15+'ПЛАН ЧЕРН К1'!U40*СПРАВОЧНИК!$I$15+'ПЛАН ЧЕРН К1'!V40*СПРАВОЧНИК!$J$15)+СПРАВОЧНИК!$F$9*('ПЛАН ЧИСТ К1'!B40*СПРАВОЧНИК!$L$9+'ПЛАН ЧИСТ К1'!C40*СПРАВОЧНИК!$M$9+'ПЛАН ЧИСТ К1'!D40*СПРАВОЧНИК!$N$9+'ПЛАН ЧИСТ К1'!E40*СПРАВОЧНИК!$O$9)+СПРАВОЧНИК!$F$10*('ПЛАН ЧИСТ К1'!F40*СПРАВОЧНИК!$L$10+'ПЛАН ЧИСТ К1'!G40*СПРАВОЧНИК!$M$10+'ПЛАН ЧИСТ К1'!H40*СПРАВОЧНИК!$N$10+'ПЛАН ЧИСТ К1'!I40*СПРАВОЧНИК!$O$10)+СПРАВОЧНИК!$F$11*('ПЛАН ЧИСТ К1'!J40*СПРАВОЧНИК!$L$11+'ПЛАН ЧИСТ К1'!K40*СПРАВОЧНИК!$M$11+'ПЛАН ЧИСТ К1'!L40*СПРАВОЧНИК!$N$11)+СПРАВОЧНИК!$F$12*('ПЛАН ЧИСТ К1'!M40*СПРАВОЧНИК!$L$12+'ПЛАН ЧИСТ К1'!N40*СПРАВОЧНИК!$M$12+'ПЛАН ЧИСТ К1'!O40*СПРАВОЧНИК!$N$12+'ПЛАН ЧИСТ К1'!P40*СПРАВОЧНИК!$O$12)+СПРАВОЧНИК!$F$13*('ПЛАН ЧИСТ К1'!Q40*СПРАВОЧНИК!$L$13+'ПЛАН ЧИСТ К1'!R40*СПРАВОЧНИК!$M$13+'ПЛАН ЧИСТ К1'!S40*СПРАВОЧНИК!$N$13+'ПЛАН ЧИСТ К1'!T40*СПРАВОЧНИК!$O$13)+СПРАВОЧНИК!$F$14*('ПЛАН ЧИСТ К1'!U40*СПРАВОЧНИК!$L$14+'ПЛАН ЧИСТ К1'!V40*СПРАВОЧНИК!$M$14+'ПЛАН ЧИСТ К1'!W40*СПРАВОЧНИК!$N$14)+СПРАВОЧНИК!$F$15*('ПЛАН ЧИСТ К1'!X40*СПРАВОЧНИК!$L$15+'ПЛАН ЧИСТ К1'!Y40*СПРАВОЧНИК!$M$15+'ПЛАН ЧИСТ К1'!Z40*СПРАВОЧНИК!$N$15)</f>
        <v/>
      </c>
      <c r="W49" s="40">
        <f>СПРАВОЧНИК!$E$9*(('ФАКТ ЧЕРН К1'!B40)*СПРАВОЧНИК!$H$9+('ФАКТ ЧЕРН К1'!C40)*СПРАВОЧНИК!$I$9+('ФАКТ ЧЕРН К1'!D40)*СПРАВОЧНИК!$J$9)+СПРАВОЧНИК!$E$10*(('ФАКТ ЧЕРН К1'!E40)*СПРАВОЧНИК!$H$10+('ФАКТ ЧЕРН К1'!F40)*СПРАВОЧНИК!$I$10+('ФАКТ ЧЕРН К1'!G40)*СПРАВОЧНИК!$J$10)+СПРАВОЧНИК!$E$11*(('ФАКТ ЧЕРН К1'!H40)*СПРАВОЧНИК!$H$11+('ФАКТ ЧЕРН К1'!I40)*СПРАВОЧНИК!$I$11+('ФАКТ ЧЕРН К1'!J40)*СПРАВОЧНИК!$J$11)+СПРАВОЧНИК!$E$12*(('ФАКТ ЧЕРН К1'!K40)*СПРАВОЧНИК!$H$12+('ФАКТ ЧЕРН К1'!L40)*СПРАВОЧНИК!$I$12+('ФАКТ ЧЕРН К1'!M40)*СПРАВОЧНИК!$J$12)+СПРАВОЧНИК!$E$13*(('ФАКТ ЧЕРН К1'!N40)*СПРАВОЧНИК!$H$13+('ФАКТ ЧЕРН К1'!O40)*СПРАВОЧНИК!$I$13+('ФАКТ ЧЕРН К1'!P40)*СПРАВОЧНИК!$J$13)+СПРАВОЧНИК!$E$14*(('ФАКТ ЧЕРН К1'!Q40)*СПРАВОЧНИК!$H$14+('ФАКТ ЧЕРН К1'!R40)*СПРАВОЧНИК!$I$14+('ФАКТ ЧЕРН К1'!S40)*СПРАВОЧНИК!$J$14)+СПРАВОЧНИК!$E$15*(('ФАКТ ЧЕРН К1'!T40)*СПРАВОЧНИК!$H$15+('ФАКТ ЧЕРН К1'!U40)*СПРАВОЧНИК!$I$15+('ФАКТ ЧЕРН К1'!V40)*СПРАВОЧНИК!$J$15)+СПРАВОЧНИК!$F$9*(('ФАКТ ЧИСТ К1'!B40)*СПРАВОЧНИК!$L$9+('ФАКТ ЧИСТ К1'!C40)*СПРАВОЧНИК!$M$9+('ФАКТ ЧИСТ К1'!D40)*СПРАВОЧНИК!$N$9+('ФАКТ ЧИСТ К1'!E40)*СПРАВОЧНИК!$O$9)+СПРАВОЧНИК!$F$10*(('ФАКТ ЧИСТ К1'!F40)*СПРАВОЧНИК!$L$10+('ФАКТ ЧИСТ К1'!G40)*СПРАВОЧНИК!$M$10+('ФАКТ ЧИСТ К1'!H40)*СПРАВОЧНИК!$N$10+('ФАКТ ЧИСТ К1'!I40)*СПРАВОЧНИК!$O$10)+СПРАВОЧНИК!$F$11*(('ФАКТ ЧИСТ К1'!J40)*СПРАВОЧНИК!$L$11+('ФАКТ ЧИСТ К1'!K40)*СПРАВОЧНИК!$M$11+('ФАКТ ЧИСТ К1'!L40)*СПРАВОЧНИК!$N$11)+СПРАВОЧНИК!$F$12*(('ФАКТ ЧИСТ К1'!M40)*СПРАВОЧНИК!$L$12+('ФАКТ ЧИСТ К1'!N40)*СПРАВОЧНИК!$M$12+('ФАКТ ЧИСТ К1'!O40)*СПРАВОЧНИК!$N$12+('ФАКТ ЧИСТ К1'!P40)*СПРАВОЧНИК!$O$12)+СПРАВОЧНИК!$F$13*(('ФАКТ ЧИСТ К1'!Q40)*СПРАВОЧНИК!$L$13+('ФАКТ ЧИСТ К1'!R40)*СПРАВОЧНИК!$M$13+('ФАКТ ЧИСТ К1'!S40)*СПРАВОЧНИК!$N$13+('ФАКТ ЧИСТ К1'!T40)*СПРАВОЧНИК!$O$13)+СПРАВОЧНИК!$F$14*(('ФАКТ ЧИСТ К1'!U40)*СПРАВОЧНИК!$L$14+('ФАКТ ЧИСТ К1'!V40)*СПРАВОЧНИК!$M$14+('ФАКТ ЧИСТ К1'!W40)*СПРАВОЧНИК!$N$14)+СПРАВОЧНИК!$F$15*(('ФАКТ ЧИСТ К1'!X40)*СПРАВОЧНИК!$L$15+('ФАКТ ЧИСТ К1'!Y40)*СПРАВОЧНИК!$M$15+('ФАКТ ЧИСТ К1'!Z40)*СПРАВОЧНИК!$N$15)</f>
        <v/>
      </c>
      <c r="AA49" s="18">
        <f>AA48+7</f>
        <v/>
      </c>
      <c r="AB49" s="37">
        <f>'ПЛАН ЧЕРН К1'!B40*СПРАВОЧНИК!$H$9+'ПЛАН ЧЕРН К1'!C40*СПРАВОЧНИК!$I$9+'ПЛАН ЧЕРН К1'!D40*СПРАВОЧНИК!$J$9+'ПЛАН ЧЕРН К1'!E40*СПРАВОЧНИК!$H$10+'ПЛАН ЧЕРН К1'!F40*СПРАВОЧНИК!$I$10+'ПЛАН ЧЕРН К1'!G40*СПРАВОЧНИК!$J$10+'ПЛАН ЧЕРН К1'!H40*СПРАВОЧНИК!$H$11+'ПЛАН ЧЕРН К1'!I40*СПРАВОЧНИК!$I$11+'ПЛАН ЧЕРН К1'!J40*СПРАВОЧНИК!$J$11+'ПЛАН ЧЕРН К1'!K40*СПРАВОЧНИК!$H$12+'ПЛАН ЧЕРН К1'!L40*СПРАВОЧНИК!$I$12+'ПЛАН ЧЕРН К1'!M40*СПРАВОЧНИК!$J$12+'ПЛАН ЧЕРН К1'!N40*СПРАВОЧНИК!$H$13+'ПЛАН ЧЕРН К1'!O40*СПРАВОЧНИК!$I$13+'ПЛАН ЧЕРН К1'!P40*СПРАВОЧНИК!$J$13+'ПЛАН ЧЕРН К1'!Q40*СПРАВОЧНИК!$H$14+'ПЛАН ЧЕРН К1'!R40*СПРАВОЧНИК!$I$14+'ПЛАН ЧЕРН К1'!S40*СПРАВОЧНИК!$J$14+'ПЛАН ЧЕРН К1'!T40*СПРАВОЧНИК!$H$15+'ПЛАН ЧЕРН К1'!U40*СПРАВОЧНИК!$I$15+'ПЛАН ЧЕРН К1'!V40*СПРАВОЧНИК!$J$15</f>
        <v/>
      </c>
      <c r="AC49" s="40">
        <f>('ФАКТ ЧЕРН К1'!B40)*СПРАВОЧНИК!$H$9+('ФАКТ ЧЕРН К1'!C40)*СПРАВОЧНИК!$I$9+('ФАКТ ЧЕРН К1'!D40)*СПРАВОЧНИК!$J$9+('ФАКТ ЧЕРН К1'!E40)*СПРАВОЧНИК!$H$10+('ФАКТ ЧЕРН К1'!F40)*СПРАВОЧНИК!$I$10+('ФАКТ ЧЕРН К1'!G40)*СПРАВОЧНИК!$J$10+('ФАКТ ЧЕРН К1'!H40)*СПРАВОЧНИК!$H$11+('ФАКТ ЧЕРН К1'!I40)*СПРАВОЧНИК!$I$11+('ФАКТ ЧЕРН К1'!J40)*СПРАВОЧНИК!$J$11+('ФАКТ ЧЕРН К1'!K40)*СПРАВОЧНИК!$H$12+('ФАКТ ЧЕРН К1'!L40)*СПРАВОЧНИК!$I$12+('ФАКТ ЧЕРН К1'!M40)*СПРАВОЧНИК!$J$12+('ФАКТ ЧЕРН К1'!N40)*СПРАВОЧНИК!$H$13+('ФАКТ ЧЕРН К1'!O40)*СПРАВОЧНИК!$I$13+('ФАКТ ЧЕРН К1'!P40)*СПРАВОЧНИК!$J$13+('ФАКТ ЧЕРН К1'!Q40)*СПРАВОЧНИК!$H$14+('ФАКТ ЧЕРН К1'!R40)*СПРАВОЧНИК!$I$14+('ФАКТ ЧЕРН К1'!S40)*СПРАВОЧНИК!$J$14+('ФАКТ ЧЕРН К1'!T40)*СПРАВОЧНИК!$H$15+('ФАКТ ЧЕРН К1'!U40)*СПРАВОЧНИК!$I$15+('ФАКТ ЧЕРН К1'!V40)*СПРАВОЧНИК!$J$15</f>
        <v/>
      </c>
      <c r="AG49" s="18">
        <f>AG48+7</f>
        <v/>
      </c>
      <c r="AH49" s="37">
        <f>'ПЛАН ЧИСТ К1'!B40*СПРАВОЧНИК!$L$9+'ПЛАН ЧИСТ К1'!C40*СПРАВОЧНИК!$M$9+'ПЛАН ЧИСТ К1'!D40*СПРАВОЧНИК!$N$9+'ПЛАН ЧИСТ К1'!E40*СПРАВОЧНИК!$O$9+'ПЛАН ЧИСТ К1'!F40*СПРАВОЧНИК!$L$10+'ПЛАН ЧИСТ К1'!G40*СПРАВОЧНИК!$M$10+'ПЛАН ЧИСТ К1'!H40*СПРАВОЧНИК!$N$10+'ПЛАН ЧИСТ К1'!I40*СПРАВОЧНИК!$O$10+'ПЛАН ЧИСТ К1'!J40*СПРАВОЧНИК!$L$11+'ПЛАН ЧИСТ К1'!K40*СПРАВОЧНИК!$M$11+'ПЛАН ЧИСТ К1'!L40*СПРАВОЧНИК!$N$11+'ПЛАН ЧИСТ К1'!M40*СПРАВОЧНИК!$L$12+'ПЛАН ЧИСТ К1'!N40*СПРАВОЧНИК!$M$12+'ПЛАН ЧИСТ К1'!O40*СПРАВОЧНИК!$N$12+'ПЛАН ЧИСТ К1'!P40*СПРАВОЧНИК!$O$12+'ПЛАН ЧИСТ К1'!Q40*СПРАВОЧНИК!$L$13+'ПЛАН ЧИСТ К1'!R40*СПРАВОЧНИК!$M$13+'ПЛАН ЧИСТ К1'!S40*СПРАВОЧНИК!$N$13+'ПЛАН ЧИСТ К1'!T40*СПРАВОЧНИК!$O$13+'ПЛАН ЧИСТ К1'!U40*СПРАВОЧНИК!$L$14+'ПЛАН ЧИСТ К1'!V40*СПРАВОЧНИК!$M$14+'ПЛАН ЧИСТ К1'!W40*СПРАВОЧНИК!$N$14+'ПЛАН ЧИСТ К1'!X40*СПРАВОЧНИК!$L$15+'ПЛАН ЧИСТ К1'!Y40*СПРАВОЧНИК!$M$15+'ПЛАН ЧИСТ К1'!Z40*СПРАВОЧНИК!$N$15</f>
        <v/>
      </c>
      <c r="AI49" s="40">
        <f>('ФАКТ ЧИСТ К1'!B40)*СПРАВОЧНИК!$L$9+('ФАКТ ЧИСТ К1'!C40)*СПРАВОЧНИК!$M$9+('ФАКТ ЧИСТ К1'!D40)*СПРАВОЧНИК!$N$9+('ФАКТ ЧИСТ К1'!E40)*СПРАВОЧНИК!$O$9+('ФАКТ ЧИСТ К1'!F40)*СПРАВОЧНИК!$L$10+('ФАКТ ЧИСТ К1'!G40)*СПРАВОЧНИК!$M$10+('ФАКТ ЧИСТ К1'!H40)*СПРАВОЧНИК!$N$10+('ФАКТ ЧИСТ К1'!I40)*СПРАВОЧНИК!$O$10+('ФАКТ ЧИСТ К1'!J40)*СПРАВОЧНИК!$L$11+('ФАКТ ЧИСТ К1'!K40)*СПРАВОЧНИК!$M$11+('ФАКТ ЧИСТ К1'!L40)*СПРАВОЧНИК!$N$11+('ФАКТ ЧИСТ К1'!M40)*СПРАВОЧНИК!$L$12+('ФАКТ ЧИСТ К1'!N40)*СПРАВОЧНИК!$M$12+('ФАКТ ЧИСТ К1'!O40)*СПРАВОЧНИК!$N$12+('ФАКТ ЧИСТ К1'!P40)*СПРАВОЧНИК!$O$12+('ФАКТ ЧИСТ К1'!Q40)*СПРАВОЧНИК!$L$13+('ФАКТ ЧИСТ К1'!R40)*СПРАВОЧНИК!$M$13+('ФАКТ ЧИСТ К1'!S40)*СПРАВОЧНИК!$N$13+('ФАКТ ЧИСТ К1'!T40)*СПРАВОЧНИК!$O$13+('ФАКТ ЧИСТ К1'!U40)*СПРАВОЧНИК!$L$14+('ФАКТ ЧИСТ К1'!V40)*СПРАВОЧНИК!$M$14+('ФАКТ ЧИСТ К1'!W40)*СПРАВОЧНИК!$N$14+('ФАКТ ЧИСТ К1'!X40)*СПРАВОЧНИК!$L$15+('ФАКТ ЧИСТ К1'!Y40)*СПРАВОЧНИК!$M$15+('ФАКТ ЧИСТ К1'!Z40)*СПРАВОЧНИК!$N$15</f>
        <v/>
      </c>
      <c r="AM49" s="18">
        <f>AM48+7</f>
        <v/>
      </c>
      <c r="AN49" s="37">
        <f>СПРАВОЧНИК!$E$9*('ПЛАН ЧЕРН К2'!B40*СПРАВОЧНИК!$H$9+'ПЛАН ЧЕРН К2'!C40*СПРАВОЧНИК!$I$9+'ПЛАН ЧЕРН К2'!D40*СПРАВОЧНИК!$J$9)+СПРАВОЧНИК!$E$10*('ПЛАН ЧЕРН К2'!E40*СПРАВОЧНИК!$H$10+'ПЛАН ЧЕРН К2'!F40*СПРАВОЧНИК!$I$10+'ПЛАН ЧЕРН К2'!G40*СПРАВОЧНИК!$J$10)+СПРАВОЧНИК!$E$11*('ПЛАН ЧЕРН К2'!H40*СПРАВОЧНИК!$H$11+'ПЛАН ЧЕРН К2'!I40*СПРАВОЧНИК!$I$11+'ПЛАН ЧЕРН К2'!J40*СПРАВОЧНИК!$J$11)+СПРАВОЧНИК!$E$12*('ПЛАН ЧЕРН К2'!K40*СПРАВОЧНИК!$H$12+'ПЛАН ЧЕРН К2'!L40*СПРАВОЧНИК!$I$12+'ПЛАН ЧЕРН К2'!M40*СПРАВОЧНИК!$J$12)+СПРАВОЧНИК!$E$13*('ПЛАН ЧЕРН К2'!N40*СПРАВОЧНИК!$H$13+'ПЛАН ЧЕРН К2'!O40*СПРАВОЧНИК!$I$13+'ПЛАН ЧЕРН К2'!P40*СПРАВОЧНИК!$J$13)+СПРАВОЧНИК!$E$14*('ПЛАН ЧЕРН К2'!Q40*СПРАВОЧНИК!$H$14+'ПЛАН ЧЕРН К2'!R40*СПРАВОЧНИК!$I$14+'ПЛАН ЧЕРН К2'!S40*СПРАВОЧНИК!$J$14)+СПРАВОЧНИК!$E$15*('ПЛАН ЧЕРН К2'!T40*СПРАВОЧНИК!$H$15+'ПЛАН ЧЕРН К2'!U40*СПРАВОЧНИК!$I$15+'ПЛАН ЧЕРН К2'!V40*СПРАВОЧНИК!$J$15)+СПРАВОЧНИК!$F$9*('ПЛАН ЧИСТ К2'!B40*СПРАВОЧНИК!$L$9+'ПЛАН ЧИСТ К2'!C40*СПРАВОЧНИК!$M$9+'ПЛАН ЧИСТ К2'!D40*СПРАВОЧНИК!$N$9+'ПЛАН ЧИСТ К2'!E40*СПРАВОЧНИК!$O$9)+СПРАВОЧНИК!$F$10*('ПЛАН ЧИСТ К2'!F40*СПРАВОЧНИК!$L$10+'ПЛАН ЧИСТ К2'!G40*СПРАВОЧНИК!$M$10+'ПЛАН ЧИСТ К2'!H40*СПРАВОЧНИК!$N$10+'ПЛАН ЧИСТ К2'!I40*СПРАВОЧНИК!$O$10)+СПРАВОЧНИК!$F$11*('ПЛАН ЧИСТ К2'!J40*СПРАВОЧНИК!$L$11+'ПЛАН ЧИСТ К2'!K40*СПРАВОЧНИК!$M$11+'ПЛАН ЧИСТ К2'!L40*СПРАВОЧНИК!$N$11)+СПРАВОЧНИК!$F$12*('ПЛАН ЧИСТ К2'!M40*СПРАВОЧНИК!$L$12+'ПЛАН ЧИСТ К2'!N40*СПРАВОЧНИК!$M$12+'ПЛАН ЧИСТ К2'!O40*СПРАВОЧНИК!$N$12+'ПЛАН ЧИСТ К2'!P40*СПРАВОЧНИК!$O$12)+СПРАВОЧНИК!$F$13*('ПЛАН ЧИСТ К2'!Q40*СПРАВОЧНИК!$L$13+'ПЛАН ЧИСТ К2'!R40*СПРАВОЧНИК!$M$13+'ПЛАН ЧИСТ К2'!S40*СПРАВОЧНИК!$N$13+'ПЛАН ЧИСТ К2'!T40*СПРАВОЧНИК!$O$13)+СПРАВОЧНИК!$F$14*('ПЛАН ЧИСТ К2'!U40*СПРАВОЧНИК!$L$14+'ПЛАН ЧИСТ К2'!V40*СПРАВОЧНИК!$M$14+'ПЛАН ЧИСТ К2'!W40*СПРАВОЧНИК!$N$14)+СПРАВОЧНИК!$F$15*('ПЛАН ЧИСТ К2'!X40*СПРАВОЧНИК!$L$15+'ПЛАН ЧИСТ К2'!Y40*СПРАВОЧНИК!$M$15+'ПЛАН ЧИСТ К2'!Z40*СПРАВОЧНИК!$N$15)</f>
        <v/>
      </c>
      <c r="AO49" s="40">
        <f>СПРАВОЧНИК!$E$9*(('ФАКТ ЧЕРН К2'!B40)*СПРАВОЧНИК!$H$9+('ФАКТ ЧЕРН К2'!C40)*СПРАВОЧНИК!$I$9+('ФАКТ ЧЕРН К2'!D40)*СПРАВОЧНИК!$J$9)+СПРАВОЧНИК!$E$10*(('ФАКТ ЧЕРН К2'!E40)*СПРАВОЧНИК!$H$10+('ФАКТ ЧЕРН К2'!F40)*СПРАВОЧНИК!$I$10+('ФАКТ ЧЕРН К2'!G40)*СПРАВОЧНИК!$J$10)+СПРАВОЧНИК!$E$11*(('ФАКТ ЧЕРН К2'!H40)*СПРАВОЧНИК!$H$11+('ФАКТ ЧЕРН К2'!I40)*СПРАВОЧНИК!$I$11+('ФАКТ ЧЕРН К2'!J40)*СПРАВОЧНИК!$J$11)+СПРАВОЧНИК!$E$12*(('ФАКТ ЧЕРН К2'!K40)*СПРАВОЧНИК!$H$12+('ФАКТ ЧЕРН К2'!L40)*СПРАВОЧНИК!$I$12+('ФАКТ ЧЕРН К2'!M40)*СПРАВОЧНИК!$J$12)+СПРАВОЧНИК!$E$13*(('ФАКТ ЧЕРН К2'!N40)*СПРАВОЧНИК!$H$13+('ФАКТ ЧЕРН К2'!O40)*СПРАВОЧНИК!$I$13+('ФАКТ ЧЕРН К2'!P40)*СПРАВОЧНИК!$J$13)+СПРАВОЧНИК!$E$14*(('ФАКТ ЧЕРН К2'!Q40)*СПРАВОЧНИК!$H$14+('ФАКТ ЧЕРН К2'!R40)*СПРАВОЧНИК!$I$14+('ФАКТ ЧЕРН К2'!S40)*СПРАВОЧНИК!$J$14)+СПРАВОЧНИК!$E$15*(('ФАКТ ЧЕРН К2'!T40)*СПРАВОЧНИК!$H$15+('ФАКТ ЧЕРН К2'!U40)*СПРАВОЧНИК!$I$15+('ФАКТ ЧЕРН К2'!V40)*СПРАВОЧНИК!$J$15)+СПРАВОЧНИК!$F$9*(('ФАКТ ЧИСТ К2'!B40)*СПРАВОЧНИК!$L$9+('ФАКТ ЧИСТ К2'!C40)*СПРАВОЧНИК!$M$9+('ФАКТ ЧИСТ К2'!D40)*СПРАВОЧНИК!$N$9+('ФАКТ ЧИСТ К2'!E40)*СПРАВОЧНИК!$O$9)+СПРАВОЧНИК!$F$10*(('ФАКТ ЧИСТ К2'!F40)*СПРАВОЧНИК!$L$10+('ФАКТ ЧИСТ К2'!G40)*СПРАВОЧНИК!$M$10+('ФАКТ ЧИСТ К2'!H40)*СПРАВОЧНИК!$N$10+('ФАКТ ЧИСТ К2'!I40)*СПРАВОЧНИК!$O$10)+СПРАВОЧНИК!$F$11*(('ФАКТ ЧИСТ К2'!J40)*СПРАВОЧНИК!$L$11+('ФАКТ ЧИСТ К2'!K40)*СПРАВОЧНИК!$M$11+('ФАКТ ЧИСТ К2'!L40)*СПРАВОЧНИК!$N$11)+СПРАВОЧНИК!$F$12*(('ФАКТ ЧИСТ К2'!M40)*СПРАВОЧНИК!$L$12+('ФАКТ ЧИСТ К2'!N40)*СПРАВОЧНИК!$M$12+('ФАКТ ЧИСТ К2'!O40)*СПРАВОЧНИК!$N$12+('ФАКТ ЧИСТ К2'!P40)*СПРАВОЧНИК!$O$12)+СПРАВОЧНИК!$F$13*(('ФАКТ ЧИСТ К2'!Q40)*СПРАВОЧНИК!$L$13+('ФАКТ ЧИСТ К2'!R40)*СПРАВОЧНИК!$M$13+('ФАКТ ЧИСТ К2'!S40)*СПРАВОЧНИК!$N$13+('ФАКТ ЧИСТ К2'!T40)*СПРАВОЧНИК!$O$13)+СПРАВОЧНИК!$F$14*(('ФАКТ ЧИСТ К2'!U40)*СПРАВОЧНИК!$L$14+('ФАКТ ЧИСТ К2'!V40)*СПРАВОЧНИК!$M$14+('ФАКТ ЧИСТ К2'!W40)*СПРАВОЧНИК!$N$14)+СПРАВОЧНИК!$F$15*(('ФАКТ ЧИСТ К2'!X40)*СПРАВОЧНИК!$L$15+('ФАКТ ЧИСТ К2'!Y40)*СПРАВОЧНИК!$M$15+('ФАКТ ЧИСТ К2'!Z40)*СПРАВОЧНИК!$N$15)</f>
        <v/>
      </c>
      <c r="AS49" s="18">
        <f>AS48+7</f>
        <v/>
      </c>
      <c r="AT49" s="37">
        <f>'ПЛАН ЧЕРН К2'!B40*СПРАВОЧНИК!$H$9+'ПЛАН ЧЕРН К2'!C40*СПРАВОЧНИК!$I$9+'ПЛАН ЧЕРН К2'!D40*СПРАВОЧНИК!$J$9+'ПЛАН ЧЕРН К2'!E40*СПРАВОЧНИК!$H$10+'ПЛАН ЧЕРН К2'!F40*СПРАВОЧНИК!$I$10+'ПЛАН ЧЕРН К2'!G40*СПРАВОЧНИК!$J$10+'ПЛАН ЧЕРН К2'!H40*СПРАВОЧНИК!$H$11+'ПЛАН ЧЕРН К2'!I40*СПРАВОЧНИК!$I$11+'ПЛАН ЧЕРН К2'!J40*СПРАВОЧНИК!$J$11+'ПЛАН ЧЕРН К2'!K40*СПРАВОЧНИК!$H$12+'ПЛАН ЧЕРН К2'!L40*СПРАВОЧНИК!$I$12+'ПЛАН ЧЕРН К2'!M40*СПРАВОЧНИК!$J$12+'ПЛАН ЧЕРН К2'!N40*СПРАВОЧНИК!$H$13+'ПЛАН ЧЕРН К2'!O40*СПРАВОЧНИК!$I$13+'ПЛАН ЧЕРН К2'!P40*СПРАВОЧНИК!$J$13+'ПЛАН ЧЕРН К2'!Q40*СПРАВОЧНИК!$H$14+'ПЛАН ЧЕРН К2'!R40*СПРАВОЧНИК!$I$14+'ПЛАН ЧЕРН К2'!S40*СПРАВОЧНИК!$J$14+'ПЛАН ЧЕРН К2'!T40*СПРАВОЧНИК!$H$15+'ПЛАН ЧЕРН К2'!U40*СПРАВОЧНИК!$I$15+'ПЛАН ЧЕРН К2'!V40*СПРАВОЧНИК!$J$15</f>
        <v/>
      </c>
      <c r="AU49" s="40">
        <f>('ФАКТ ЧЕРН К2'!B40)*СПРАВОЧНИК!$H$9+('ФАКТ ЧЕРН К2'!C40)*СПРАВОЧНИК!$I$9+('ФАКТ ЧЕРН К2'!D40)*СПРАВОЧНИК!$J$9+('ФАКТ ЧЕРН К2'!E40)*СПРАВОЧНИК!$H$10+('ФАКТ ЧЕРН К2'!F40)*СПРАВОЧНИК!$I$10+('ФАКТ ЧЕРН К2'!G40)*СПРАВОЧНИК!$J$10+('ФАКТ ЧЕРН К2'!H40)*СПРАВОЧНИК!$H$11+('ФАКТ ЧЕРН К2'!I40)*СПРАВОЧНИК!$I$11+('ФАКТ ЧЕРН К2'!J40)*СПРАВОЧНИК!$J$11+('ФАКТ ЧЕРН К2'!K40)*СПРАВОЧНИК!$H$12+('ФАКТ ЧЕРН К2'!L40)*СПРАВОЧНИК!$I$12+('ФАКТ ЧЕРН К2'!M40)*СПРАВОЧНИК!$J$12+('ФАКТ ЧЕРН К2'!N40)*СПРАВОЧНИК!$H$13+('ФАКТ ЧЕРН К2'!O40)*СПРАВОЧНИК!$I$13+('ФАКТ ЧЕРН К2'!P40)*СПРАВОЧНИК!$J$13+('ФАКТ ЧЕРН К2'!Q40)*СПРАВОЧНИК!$H$14+('ФАКТ ЧЕРН К2'!R40)*СПРАВОЧНИК!$I$14+('ФАКТ ЧЕРН К2'!S40)*СПРАВОЧНИК!$J$14+('ФАКТ ЧЕРН К2'!T40)*СПРАВОЧНИК!$H$15+('ФАКТ ЧЕРН К2'!U40)*СПРАВОЧНИК!$I$15+('ФАКТ ЧЕРН К2'!V40)*СПРАВОЧНИК!$J$15</f>
        <v/>
      </c>
      <c r="AY49" s="18">
        <f>AY48+7</f>
        <v/>
      </c>
      <c r="AZ49" s="37">
        <f>'ПЛАН ЧИСТ К2'!B40*СПРАВОЧНИК!$L$9+'ПЛАН ЧИСТ К2'!C40*СПРАВОЧНИК!$M$9+'ПЛАН ЧИСТ К2'!D40*СПРАВОЧНИК!$N$9+'ПЛАН ЧИСТ К2'!E40*СПРАВОЧНИК!$O$9+'ПЛАН ЧИСТ К2'!F40*СПРАВОЧНИК!$L$10+'ПЛАН ЧИСТ К2'!G40*СПРАВОЧНИК!$M$10+'ПЛАН ЧИСТ К2'!H40*СПРАВОЧНИК!$N$10+'ПЛАН ЧИСТ К2'!I40*СПРАВОЧНИК!$O$10+'ПЛАН ЧИСТ К2'!J40*СПРАВОЧНИК!$L$11+'ПЛАН ЧИСТ К2'!K40*СПРАВОЧНИК!$M$11+'ПЛАН ЧИСТ К2'!L40*СПРАВОЧНИК!$N$11+'ПЛАН ЧИСТ К2'!M40*СПРАВОЧНИК!$L$12+'ПЛАН ЧИСТ К2'!N40*СПРАВОЧНИК!$M$12+'ПЛАН ЧИСТ К2'!O40*СПРАВОЧНИК!$N$12+'ПЛАН ЧИСТ К2'!P40*СПРАВОЧНИК!$O$12+'ПЛАН ЧИСТ К2'!Q40*СПРАВОЧНИК!$L$13+'ПЛАН ЧИСТ К2'!R40*СПРАВОЧНИК!$M$13+'ПЛАН ЧИСТ К2'!S40*СПРАВОЧНИК!$N$13+'ПЛАН ЧИСТ К2'!T40*СПРАВОЧНИК!$O$13+'ПЛАН ЧИСТ К2'!U40*СПРАВОЧНИК!$L$14+'ПЛАН ЧИСТ К2'!V40*СПРАВОЧНИК!$M$14+'ПЛАН ЧИСТ К2'!W40*СПРАВОЧНИК!$N$14+'ПЛАН ЧИСТ К2'!X40*СПРАВОЧНИК!$L$15+'ПЛАН ЧИСТ К2'!Y40*СПРАВОЧНИК!$M$15+'ПЛАН ЧИСТ К2'!Z40*СПРАВОЧНИК!$N$15</f>
        <v/>
      </c>
      <c r="BA49" s="40">
        <f>('ФАКТ ЧИСТ К2'!B40)*СПРАВОЧНИК!$L$9+('ФАКТ ЧИСТ К2'!C40)*СПРАВОЧНИК!$M$9+('ФАКТ ЧИСТ К2'!D40)*СПРАВОЧНИК!$N$9+('ФАКТ ЧИСТ К2'!E40)*СПРАВОЧНИК!$O$9+('ФАКТ ЧИСТ К2'!F40)*СПРАВОЧНИК!$L$10+('ФАКТ ЧИСТ К2'!G40)*СПРАВОЧНИК!$M$10+('ФАКТ ЧИСТ К2'!H40)*СПРАВОЧНИК!$N$10+('ФАКТ ЧИСТ К2'!I40)*СПРАВОЧНИК!$O$10+('ФАКТ ЧИСТ К2'!J40)*СПРАВОЧНИК!$L$11+('ФАКТ ЧИСТ К2'!K40)*СПРАВОЧНИК!$M$11+('ФАКТ ЧИСТ К2'!L40)*СПРАВОЧНИК!$N$11+('ФАКТ ЧИСТ К2'!M40)*СПРАВОЧНИК!$L$12+('ФАКТ ЧИСТ К2'!N40)*СПРАВОЧНИК!$M$12+('ФАКТ ЧИСТ К2'!O40)*СПРАВОЧНИК!$N$12+('ФАКТ ЧИСТ К2'!P40)*СПРАВОЧНИК!$O$12+('ФАКТ ЧИСТ К2'!Q40)*СПРАВОЧНИК!$L$13+('ФАКТ ЧИСТ К2'!R40)*СПРАВОЧНИК!$M$13+('ФАКТ ЧИСТ К2'!S40)*СПРАВОЧНИК!$N$13+('ФАКТ ЧИСТ К2'!T40)*СПРАВОЧНИК!$O$13+('ФАКТ ЧИСТ К2'!U40)*СПРАВОЧНИК!$L$14+('ФАКТ ЧИСТ К2'!V40)*СПРАВОЧНИК!$M$14+('ФАКТ ЧИСТ К2'!W40)*СПРАВОЧНИК!$N$14+('ФАКТ ЧИСТ К2'!X40)*СПРАВОЧНИК!$L$15+('ФАКТ ЧИСТ К2'!Y40)*СПРАВОЧНИК!$M$15+('ФАКТ ЧИСТ К2'!Z40)*СПРАВОЧНИК!$N$15</f>
        <v/>
      </c>
      <c r="BE49" s="18">
        <f>BE48+7</f>
        <v/>
      </c>
      <c r="BF49" s="37">
        <f>СПРАВОЧНИК!$E$9*('ПЛАН ЧЕРН К3'!B40*СПРАВОЧНИК!$H$9+'ПЛАН ЧЕРН К3'!C40*СПРАВОЧНИК!$I$9+'ПЛАН ЧЕРН К3'!D40*СПРАВОЧНИК!$J$9)+СПРАВОЧНИК!$E$10*('ПЛАН ЧЕРН К3'!E40*СПРАВОЧНИК!$H$10+'ПЛАН ЧЕРН К3'!F40*СПРАВОЧНИК!$I$10+'ПЛАН ЧЕРН К3'!G40*СПРАВОЧНИК!$J$10)+СПРАВОЧНИК!$E$11*('ПЛАН ЧЕРН К3'!H40*СПРАВОЧНИК!$H$11+'ПЛАН ЧЕРН К3'!I40*СПРАВОЧНИК!$I$11+'ПЛАН ЧЕРН К3'!J40*СПРАВОЧНИК!$J$11)+СПРАВОЧНИК!$E$12*('ПЛАН ЧЕРН К3'!K40*СПРАВОЧНИК!$H$12+'ПЛАН ЧЕРН К3'!L40*СПРАВОЧНИК!$I$12+'ПЛАН ЧЕРН К3'!M40*СПРАВОЧНИК!$J$12)+СПРАВОЧНИК!$E$13*('ПЛАН ЧЕРН К3'!N40*СПРАВОЧНИК!$H$13+'ПЛАН ЧЕРН К3'!O40*СПРАВОЧНИК!$I$13+'ПЛАН ЧЕРН К3'!P40*СПРАВОЧНИК!$J$13)+СПРАВОЧНИК!$E$14*('ПЛАН ЧЕРН К3'!Q40*СПРАВОЧНИК!$H$14+'ПЛАН ЧЕРН К3'!R40*СПРАВОЧНИК!$I$14+'ПЛАН ЧЕРН К3'!S40*СПРАВОЧНИК!$J$14)+СПРАВОЧНИК!$E$15*('ПЛАН ЧЕРН К3'!T40*СПРАВОЧНИК!$H$15+'ПЛАН ЧЕРН К3'!U40*СПРАВОЧНИК!$I$15+'ПЛАН ЧЕРН К3'!V40*СПРАВОЧНИК!$J$15)+СПРАВОЧНИК!$F$9*('ПЛАН ЧИСТ К3'!B40*СПРАВОЧНИК!$L$9+'ПЛАН ЧИСТ К3'!C40*СПРАВОЧНИК!$M$9+'ПЛАН ЧИСТ К3'!D40*СПРАВОЧНИК!$N$9+'ПЛАН ЧИСТ К3'!E40*СПРАВОЧНИК!$O$9)+СПРАВОЧНИК!$F$10*('ПЛАН ЧИСТ К3'!F40*СПРАВОЧНИК!$L$10+'ПЛАН ЧИСТ К3'!G40*СПРАВОЧНИК!$M$10+'ПЛАН ЧИСТ К3'!H40*СПРАВОЧНИК!$N$10+'ПЛАН ЧИСТ К3'!I40*СПРАВОЧНИК!$O$10)+СПРАВОЧНИК!$F$11*('ПЛАН ЧИСТ К3'!J40*СПРАВОЧНИК!$L$11+'ПЛАН ЧИСТ К3'!K40*СПРАВОЧНИК!$M$11+'ПЛАН ЧИСТ К3'!L40*СПРАВОЧНИК!$N$11)+СПРАВОЧНИК!$F$12*('ПЛАН ЧИСТ К3'!M40*СПРАВОЧНИК!$L$12+'ПЛАН ЧИСТ К3'!N40*СПРАВОЧНИК!$M$12+'ПЛАН ЧИСТ К3'!O40*СПРАВОЧНИК!$N$12+'ПЛАН ЧИСТ К3'!P40*СПРАВОЧНИК!$O$12)+СПРАВОЧНИК!$F$13*('ПЛАН ЧИСТ К3'!Q40*СПРАВОЧНИК!$L$13+'ПЛАН ЧИСТ К3'!R40*СПРАВОЧНИК!$M$13+'ПЛАН ЧИСТ К3'!S40*СПРАВОЧНИК!$N$13+'ПЛАН ЧИСТ К3'!T40*СПРАВОЧНИК!$O$13)+СПРАВОЧНИК!$F$14*('ПЛАН ЧИСТ К3'!U40*СПРАВОЧНИК!$L$14+'ПЛАН ЧИСТ К3'!V40*СПРАВОЧНИК!$M$14+'ПЛАН ЧИСТ К3'!W40*СПРАВОЧНИК!$N$14)+СПРАВОЧНИК!$F$15*('ПЛАН ЧИСТ К3'!X40*СПРАВОЧНИК!$L$15+'ПЛАН ЧИСТ К3'!Y40*СПРАВОЧНИК!$M$15+'ПЛАН ЧИСТ К3'!Z40*СПРАВОЧНИК!$N$15)</f>
        <v/>
      </c>
      <c r="BG49" s="40">
        <f>СПРАВОЧНИК!$E$9*(('ФАКТ ЧЕРН К3'!B40)*СПРАВОЧНИК!$H$9+('ФАКТ ЧЕРН К3'!C40)*СПРАВОЧНИК!$I$9+('ФАКТ ЧЕРН К3'!D40)*СПРАВОЧНИК!$J$9)+СПРАВОЧНИК!$E$10*(('ФАКТ ЧЕРН К3'!E40)*СПРАВОЧНИК!$H$10+('ФАКТ ЧЕРН К3'!F40)*СПРАВОЧНИК!$I$10+('ФАКТ ЧЕРН К3'!G40)*СПРАВОЧНИК!$J$10)+СПРАВОЧНИК!$E$11*(('ФАКТ ЧЕРН К3'!H40)*СПРАВОЧНИК!$H$11+('ФАКТ ЧЕРН К3'!I40)*СПРАВОЧНИК!$I$11+('ФАКТ ЧЕРН К3'!J40)*СПРАВОЧНИК!$J$11)+СПРАВОЧНИК!$E$12*(('ФАКТ ЧЕРН К3'!K40)*СПРАВОЧНИК!$H$12+('ФАКТ ЧЕРН К3'!L40)*СПРАВОЧНИК!$I$12+('ФАКТ ЧЕРН К3'!M40)*СПРАВОЧНИК!$J$12)+СПРАВОЧНИК!$E$13*(('ФАКТ ЧЕРН К3'!N40)*СПРАВОЧНИК!$H$13+('ФАКТ ЧЕРН К3'!O40)*СПРАВОЧНИК!$I$13+('ФАКТ ЧЕРН К3'!P40)*СПРАВОЧНИК!$J$13)+СПРАВОЧНИК!$E$14*(('ФАКТ ЧЕРН К3'!Q40)*СПРАВОЧНИК!$H$14+('ФАКТ ЧЕРН К3'!R40)*СПРАВОЧНИК!$I$14+('ФАКТ ЧЕРН К3'!S40)*СПРАВОЧНИК!$J$14)+СПРАВОЧНИК!$E$15*(('ФАКТ ЧЕРН К3'!T40)*СПРАВОЧНИК!$H$15+('ФАКТ ЧЕРН К3'!U40)*СПРАВОЧНИК!$I$15+('ФАКТ ЧЕРН К3'!V40)*СПРАВОЧНИК!$J$15)+СПРАВОЧНИК!$F$9*(('ФАКТ ЧИСТ К3'!B40)*СПРАВОЧНИК!$L$9+('ФАКТ ЧИСТ К3'!C40)*СПРАВОЧНИК!$M$9+('ФАКТ ЧИСТ К3'!D40)*СПРАВОЧНИК!$N$9+('ФАКТ ЧИСТ К3'!E40)*СПРАВОЧНИК!$O$9)+СПРАВОЧНИК!$F$10*(('ФАКТ ЧИСТ К3'!F40)*СПРАВОЧНИК!$L$10+('ФАКТ ЧИСТ К3'!G40)*СПРАВОЧНИК!$M$10+('ФАКТ ЧИСТ К3'!H40)*СПРАВОЧНИК!$N$10+('ФАКТ ЧИСТ К3'!I40)*СПРАВОЧНИК!$O$10)+СПРАВОЧНИК!$F$11*(('ФАКТ ЧИСТ К3'!J40)*СПРАВОЧНИК!$L$11+('ФАКТ ЧИСТ К3'!K40)*СПРАВОЧНИК!$M$11+('ФАКТ ЧИСТ К3'!L40)*СПРАВОЧНИК!$N$11)+СПРАВОЧНИК!$F$12*(('ФАКТ ЧИСТ К3'!M40)*СПРАВОЧНИК!$L$12+('ФАКТ ЧИСТ К3'!N40)*СПРАВОЧНИК!$M$12+('ФАКТ ЧИСТ К3'!O40)*СПРАВОЧНИК!$N$12+('ФАКТ ЧИСТ К3'!P40)*СПРАВОЧНИК!$O$12)+СПРАВОЧНИК!$F$13*(('ФАКТ ЧИСТ К3'!Q40)*СПРАВОЧНИК!$L$13+('ФАКТ ЧИСТ К3'!R40)*СПРАВОЧНИК!$M$13+('ФАКТ ЧИСТ К3'!S40)*СПРАВОЧНИК!$N$13+('ФАКТ ЧИСТ К3'!T40)*СПРАВОЧНИК!$O$13)+СПРАВОЧНИК!$F$14*(('ФАКТ ЧИСТ К3'!U40)*СПРАВОЧНИК!$L$14+('ФАКТ ЧИСТ К3'!V40)*СПРАВОЧНИК!$M$14+('ФАКТ ЧИСТ К3'!W40)*СПРАВОЧНИК!$N$14)+СПРАВОЧНИК!$F$15*(('ФАКТ ЧИСТ К3'!X40)*СПРАВОЧНИК!$L$15+('ФАКТ ЧИСТ К3'!Y40)*СПРАВОЧНИК!$M$15+('ФАКТ ЧИСТ К3'!Z40)*СПРАВОЧНИК!$N$15)</f>
        <v/>
      </c>
      <c r="BK49" s="18">
        <f>BK48+7</f>
        <v/>
      </c>
      <c r="BL49" s="37">
        <f>'ПЛАН ЧЕРН К3'!B40*СПРАВОЧНИК!$H$9+'ПЛАН ЧЕРН К3'!C40*СПРАВОЧНИК!$I$9+'ПЛАН ЧЕРН К3'!D40*СПРАВОЧНИК!$J$9+'ПЛАН ЧЕРН К3'!E40*СПРАВОЧНИК!$H$10+'ПЛАН ЧЕРН К3'!F40*СПРАВОЧНИК!$I$10+'ПЛАН ЧЕРН К3'!G40*СПРАВОЧНИК!$J$10+'ПЛАН ЧЕРН К3'!H40*СПРАВОЧНИК!$H$11+'ПЛАН ЧЕРН К3'!I40*СПРАВОЧНИК!$I$11+'ПЛАН ЧЕРН К3'!J40*СПРАВОЧНИК!$J$11+'ПЛАН ЧЕРН К3'!K40*СПРАВОЧНИК!$H$12+'ПЛАН ЧЕРН К3'!L40*СПРАВОЧНИК!$I$12+'ПЛАН ЧЕРН К3'!M40*СПРАВОЧНИК!$J$12+'ПЛАН ЧЕРН К3'!N40*СПРАВОЧНИК!$H$13+'ПЛАН ЧЕРН К3'!O40*СПРАВОЧНИК!$I$13+'ПЛАН ЧЕРН К3'!P40*СПРАВОЧНИК!$J$13+'ПЛАН ЧЕРН К3'!Q40*СПРАВОЧНИК!$H$14+'ПЛАН ЧЕРН К3'!R40*СПРАВОЧНИК!$I$14+'ПЛАН ЧЕРН К3'!S40*СПРАВОЧНИК!$J$14+'ПЛАН ЧЕРН К3'!T40*СПРАВОЧНИК!$H$15+'ПЛАН ЧЕРН К3'!U40*СПРАВОЧНИК!$I$15+'ПЛАН ЧЕРН К3'!V40*СПРАВОЧНИК!$J$15</f>
        <v/>
      </c>
      <c r="BM49" s="40">
        <f>('ФАКТ ЧЕРН К3'!B40)*СПРАВОЧНИК!$H$9+('ФАКТ ЧЕРН К3'!C40)*СПРАВОЧНИК!$I$9+('ФАКТ ЧЕРН К3'!D40)*СПРАВОЧНИК!$J$9+('ФАКТ ЧЕРН К3'!E40)*СПРАВОЧНИК!$H$10+('ФАКТ ЧЕРН К3'!F40)*СПРАВОЧНИК!$I$10+('ФАКТ ЧЕРН К3'!G40)*СПРАВОЧНИК!$J$10+('ФАКТ ЧЕРН К3'!H40)*СПРАВОЧНИК!$H$11+('ФАКТ ЧЕРН К3'!I40)*СПРАВОЧНИК!$I$11+('ФАКТ ЧЕРН К3'!J40)*СПРАВОЧНИК!$J$11+('ФАКТ ЧЕРН К3'!K40)*СПРАВОЧНИК!$H$12+('ФАКТ ЧЕРН К3'!L40)*СПРАВОЧНИК!$I$12+('ФАКТ ЧЕРН К3'!M40)*СПРАВОЧНИК!$J$12+('ФАКТ ЧЕРН К3'!N40)*СПРАВОЧНИК!$H$13+('ФАКТ ЧЕРН К3'!O40)*СПРАВОЧНИК!$I$13+('ФАКТ ЧЕРН К3'!P40)*СПРАВОЧНИК!$J$13+('ФАКТ ЧЕРН К3'!Q40)*СПРАВОЧНИК!$H$14+('ФАКТ ЧЕРН К3'!R40)*СПРАВОЧНИК!$I$14+('ФАКТ ЧЕРН К3'!S40)*СПРАВОЧНИК!$J$14+('ФАКТ ЧЕРН К3'!T40)*СПРАВОЧНИК!$H$15+('ФАКТ ЧЕРН К3'!U40)*СПРАВОЧНИК!$I$15+('ФАКТ ЧЕРН К3'!V40)*СПРАВОЧНИК!$J$15</f>
        <v/>
      </c>
      <c r="BQ49" s="18">
        <f>BQ48+7</f>
        <v/>
      </c>
      <c r="BR49" s="37">
        <f>'ПЛАН ЧИСТ К3'!B40*СПРАВОЧНИК!$L$9+'ПЛАН ЧИСТ К3'!C40*СПРАВОЧНИК!$M$9+'ПЛАН ЧИСТ К3'!D40*СПРАВОЧНИК!$N$9+'ПЛАН ЧИСТ К3'!E40*СПРАВОЧНИК!$O$9+'ПЛАН ЧИСТ К3'!F40*СПРАВОЧНИК!$L$10+'ПЛАН ЧИСТ К3'!G40*СПРАВОЧНИК!$M$10+'ПЛАН ЧИСТ К3'!H40*СПРАВОЧНИК!$N$10+'ПЛАН ЧИСТ К3'!I40*СПРАВОЧНИК!$O$10+'ПЛАН ЧИСТ К3'!J40*СПРАВОЧНИК!$L$11+'ПЛАН ЧИСТ К3'!K40*СПРАВОЧНИК!$M$11+'ПЛАН ЧИСТ К3'!L40*СПРАВОЧНИК!$N$11+'ПЛАН ЧИСТ К3'!M40*СПРАВОЧНИК!$L$12+'ПЛАН ЧИСТ К3'!N40*СПРАВОЧНИК!$M$12+'ПЛАН ЧИСТ К3'!O40*СПРАВОЧНИК!$N$12+'ПЛАН ЧИСТ К3'!P40*СПРАВОЧНИК!$O$12+'ПЛАН ЧИСТ К3'!Q40*СПРАВОЧНИК!$L$13+'ПЛАН ЧИСТ К3'!R40*СПРАВОЧНИК!$M$13+'ПЛАН ЧИСТ К3'!S40*СПРАВОЧНИК!$N$13+'ПЛАН ЧИСТ К3'!T40*СПРАВОЧНИК!$O$13+'ПЛАН ЧИСТ К3'!U40*СПРАВОЧНИК!$L$14+'ПЛАН ЧИСТ К3'!V40*СПРАВОЧНИК!$M$14+'ПЛАН ЧИСТ К3'!W40*СПРАВОЧНИК!$N$14+'ПЛАН ЧИСТ К3'!X40*СПРАВОЧНИК!$L$15+'ПЛАН ЧИСТ К3'!Y40*СПРАВОЧНИК!$M$15+'ПЛАН ЧИСТ К3'!Z40*СПРАВОЧНИК!$N$15</f>
        <v/>
      </c>
      <c r="BS49" s="40">
        <f>('ФАКТ ЧИСТ К3'!B40)*СПРАВОЧНИК!$L$9+('ФАКТ ЧИСТ К3'!C40)*СПРАВОЧНИК!$M$9+('ФАКТ ЧИСТ К3'!D40)*СПРАВОЧНИК!$N$9+('ФАКТ ЧИСТ К3'!E40)*СПРАВОЧНИК!$O$9+('ФАКТ ЧИСТ К3'!F40)*СПРАВОЧНИК!$L$10+('ФАКТ ЧИСТ К3'!G40)*СПРАВОЧНИК!$M$10+('ФАКТ ЧИСТ К3'!H40)*СПРАВОЧНИК!$N$10+('ФАКТ ЧИСТ К3'!I40)*СПРАВОЧНИК!$O$10+('ФАКТ ЧИСТ К3'!J40)*СПРАВОЧНИК!$L$11+('ФАКТ ЧИСТ К3'!K40)*СПРАВОЧНИК!$M$11+('ФАКТ ЧИСТ К3'!L40)*СПРАВОЧНИК!$N$11+('ФАКТ ЧИСТ К3'!M40)*СПРАВОЧНИК!$L$12+('ФАКТ ЧИСТ К3'!N40)*СПРАВОЧНИК!$M$12+('ФАКТ ЧИСТ К3'!O40)*СПРАВОЧНИК!$N$12+('ФАКТ ЧИСТ К3'!P40)*СПРАВОЧНИК!$O$12+('ФАКТ ЧИСТ К3'!Q40)*СПРАВОЧНИК!$L$13+('ФАКТ ЧИСТ К3'!R40)*СПРАВОЧНИК!$M$13+('ФАКТ ЧИСТ К3'!S40)*СПРАВОЧНИК!$N$13+('ФАКТ ЧИСТ К3'!T40)*СПРАВОЧНИК!$O$13+('ФАКТ ЧИСТ К3'!U40)*СПРАВОЧНИК!$L$14+('ФАКТ ЧИСТ К3'!V40)*СПРАВОЧНИК!$M$14+('ФАКТ ЧИСТ К3'!W40)*СПРАВОЧНИК!$N$14+('ФАКТ ЧИСТ К3'!X40)*СПРАВОЧНИК!$L$15+('ФАКТ ЧИСТ К3'!Y40)*СПРАВОЧНИК!$M$15+('ФАКТ ЧИСТ К3'!Z40)*СПРАВОЧНИК!$N$15</f>
        <v/>
      </c>
      <c r="BW49" s="18">
        <f>BW48+7</f>
        <v/>
      </c>
      <c r="BX49" s="37">
        <f>V49+AN49+BF49</f>
        <v/>
      </c>
      <c r="BY49" s="40">
        <f>W49+AO49+BG49</f>
        <v/>
      </c>
      <c r="CC49" s="18">
        <f>CC48+7</f>
        <v/>
      </c>
      <c r="CD49" s="37">
        <f>AB49+AT49+BL49</f>
        <v/>
      </c>
      <c r="CE49" s="40">
        <f>AC49+AU49+BM49</f>
        <v/>
      </c>
      <c r="CI49" s="18">
        <f>CI48+7</f>
        <v/>
      </c>
      <c r="CJ49" s="37">
        <f>AH49+AZ49+BR49</f>
        <v/>
      </c>
      <c r="CK49" s="40">
        <f>AI49+BA49+BS49</f>
        <v/>
      </c>
      <c r="CO49" s="18">
        <f>CO48+7</f>
        <v/>
      </c>
      <c r="CP49" s="37">
        <f>D49+BX49</f>
        <v/>
      </c>
      <c r="CQ49" s="40">
        <f>E49+BY49</f>
        <v/>
      </c>
      <c r="CU49" s="18">
        <f>CU48+7</f>
        <v/>
      </c>
      <c r="CV49" s="37">
        <f>J49+CD49</f>
        <v/>
      </c>
      <c r="CW49" s="40">
        <f>K49+CE49</f>
        <v/>
      </c>
      <c r="DA49" s="18">
        <f>DA48+7</f>
        <v/>
      </c>
      <c r="DB49" s="37">
        <f>P49+CJ49</f>
        <v/>
      </c>
      <c r="DC49" s="40">
        <f>Q49+CK49</f>
        <v/>
      </c>
    </row>
    <row r="50">
      <c r="C50" s="18">
        <f>C49+7</f>
        <v/>
      </c>
      <c r="D50" s="37">
        <f>СПРАВОЧНИК!$E$3*('ПЛАН ЧЕРН ПОДЗЕМ'!B41*СПРАВОЧНИК!$H$3+'ПЛАН ЧЕРН ПОДЗЕМ'!C41*СПРАВОЧНИК!$I$3+'ПЛАН ЧЕРН ПОДЗЕМ'!D41*СПРАВОЧНИК!$J$3)+СПРАВОЧНИК!$E$4*('ПЛАН ЧЕРН ПОДЗЕМ'!E41*СПРАВОЧНИК!$H$4+'ПЛАН ЧЕРН ПОДЗЕМ'!F41*СПРАВОЧНИК!$I$4+'ПЛАН ЧЕРН ПОДЗЕМ'!G41*СПРАВОЧНИК!$J$4)+СПРАВОЧНИК!$E$5*('ПЛАН ЧЕРН ПОДЗЕМ'!H41*СПРАВОЧНИК!$H$5+'ПЛАН ЧЕРН ПОДЗЕМ'!I41*СПРАВОЧНИК!$I$5+'ПЛАН ЧЕРН ПОДЗЕМ'!J41*СПРАВОЧНИК!$J$5)+СПРАВОЧНИК!$E$6*('ПЛАН ЧЕРН ПОДЗЕМ'!K41*СПРАВОЧНИК!$H$6+'ПЛАН ЧЕРН ПОДЗЕМ'!L41*СПРАВОЧНИК!$I$6+'ПЛАН ЧЕРН ПОДЗЕМ'!M41*СПРАВОЧНИК!$J$6)+СПРАВОЧНИК!$E$7*('ПЛАН ЧЕРН ПОДЗЕМ'!N41*СПРАВОЧНИК!$H$7+'ПЛАН ЧЕРН ПОДЗЕМ'!O41*СПРАВОЧНИК!$I$7+'ПЛАН ЧЕРН ПОДЗЕМ'!P41*СПРАВОЧНИК!$J$7)+СПРАВОЧНИК!$E$8*('ПЛАН ЧЕРН ПОДЗЕМ'!Q41*СПРАВОЧНИК!$H$8+'ПЛАН ЧЕРН ПОДЗЕМ'!R41*СПРАВОЧНИК!$I$8+'ПЛАН ЧЕРН ПОДЗЕМ'!S41*СПРАВОЧНИК!$J$8)+СПРАВОЧНИК!$F$3*('ПЛАН ЧИСТ ПОДЗЕМ'!B41*СПРАВОЧНИК!$L$3+'ПЛАН ЧИСТ ПОДЗЕМ'!C41*СПРАВОЧНИК!$M$3+'ПЛАН ЧИСТ ПОДЗЕМ'!D41*СПРАВОЧНИК!$N$3+'ПЛАН ЧИСТ ПОДЗЕМ'!E41*СПРАВОЧНИК!$O$3)+СПРАВОЧНИК!$F$4*('ПЛАН ЧИСТ ПОДЗЕМ'!F41*СПРАВОЧНИК!$L$4+'ПЛАН ЧИСТ ПОДЗЕМ'!G41*СПРАВОЧНИК!$M$4+'ПЛАН ЧИСТ ПОДЗЕМ'!H41*СПРАВОЧНИК!$N$4+'ПЛАН ЧИСТ ПОДЗЕМ'!I41*СПРАВОЧНИК!$O$4)+СПРАВОЧНИК!$F$5*('ПЛАН ЧИСТ ПОДЗЕМ'!J41*СПРАВОЧНИК!$L$5+'ПЛАН ЧИСТ ПОДЗЕМ'!K41*СПРАВОЧНИК!$M$5+'ПЛАН ЧИСТ ПОДЗЕМ'!L41*СПРАВОЧНИК!$N$5)+СПРАВОЧНИК!$F$6*('ПЛАН ЧИСТ ПОДЗЕМ'!M41*СПРАВОЧНИК!$L$6+'ПЛАН ЧИСТ ПОДЗЕМ'!N41*СПРАВОЧНИК!$M$6+'ПЛАН ЧИСТ ПОДЗЕМ'!O41*СПРАВОЧНИК!$N$6+'ПЛАН ЧИСТ ПОДЗЕМ'!P41*СПРАВОЧНИК!$O$6)+СПРАВОЧНИК!$F$7*('ПЛАН ЧИСТ ПОДЗЕМ'!Q41*СПРАВОЧНИК!$L$7+'ПЛАН ЧИСТ ПОДЗЕМ'!R41*СПРАВОЧНИК!$M$7+'ПЛАН ЧИСТ ПОДЗЕМ'!S41*СПРАВОЧНИК!$N$7+'ПЛАН ЧИСТ ПОДЗЕМ'!T41*СПРАВОЧНИК!$O$7)+СПРАВОЧНИК!$F$8*('ПЛАН ЧИСТ ПОДЗЕМ'!U41*СПРАВОЧНИК!$L$8+'ПЛАН ЧИСТ ПОДЗЕМ'!V41*СПРАВОЧНИК!$M$8+'ПЛАН ЧИСТ ПОДЗЕМ'!W41*СПРАВОЧНИК!$N$8)</f>
        <v/>
      </c>
      <c r="E50" s="40">
        <f>СПРАВОЧНИК!$E$3*(('ФАКТ ЧЕРН ПОДЗЕМ'!B41)*СПРАВОЧНИК!$H$3+('ФАКТ ЧЕРН ПОДЗЕМ'!C41)*СПРАВОЧНИК!$I$3+('ФАКТ ЧЕРН ПОДЗЕМ'!D41)*СПРАВОЧНИК!$J$3)+СПРАВОЧНИК!$E$4*(('ФАКТ ЧЕРН ПОДЗЕМ'!E41)*СПРАВОЧНИК!$H$4+('ФАКТ ЧЕРН ПОДЗЕМ'!F41)*СПРАВОЧНИК!$I$4+('ФАКТ ЧЕРН ПОДЗЕМ'!G41)*СПРАВОЧНИК!$J$4)+СПРАВОЧНИК!$E$5*(('ФАКТ ЧЕРН ПОДЗЕМ'!H41)*СПРАВОЧНИК!$H$5+('ФАКТ ЧЕРН ПОДЗЕМ'!I41)*СПРАВОЧНИК!$I$5+('ФАКТ ЧЕРН ПОДЗЕМ'!J41)*СПРАВОЧНИК!$J$5)+СПРАВОЧНИК!$E$6*(('ФАКТ ЧЕРН ПОДЗЕМ'!K41)*СПРАВОЧНИК!$H$6+('ФАКТ ЧЕРН ПОДЗЕМ'!L41)*СПРАВОЧНИК!$I$6+('ФАКТ ЧЕРН ПОДЗЕМ'!M41)*СПРАВОЧНИК!$J$6)+СПРАВОЧНИК!$E$7*(('ФАКТ ЧЕРН ПОДЗЕМ'!N41)*СПРАВОЧНИК!$H$7+('ФАКТ ЧЕРН ПОДЗЕМ'!O41)*СПРАВОЧНИК!$I$7+('ФАКТ ЧЕРН ПОДЗЕМ'!P41)*СПРАВОЧНИК!$J$7)+СПРАВОЧНИК!$E$8*(('ФАКТ ЧЕРН ПОДЗЕМ'!Q41)*СПРАВОЧНИК!$H$8+('ФАКТ ЧЕРН ПОДЗЕМ'!R41)*СПРАВОЧНИК!$I$8+('ФАКТ ЧЕРН ПОДЗЕМ'!S41)*СПРАВОЧНИК!$J$8)+СПРАВОЧНИК!$F$3*(('ФАКТ ЧИСТ ПОДЗЕМ'!B41)*СПРАВОЧНИК!$L$3+('ФАКТ ЧИСТ ПОДЗЕМ'!C41)*СПРАВОЧНИК!$M$3+('ФАКТ ЧИСТ ПОДЗЕМ'!D41)*СПРАВОЧНИК!$N$3+('ФАКТ ЧИСТ ПОДЗЕМ'!E41)*СПРАВОЧНИК!$O$3)+СПРАВОЧНИК!$F$4*(('ФАКТ ЧИСТ ПОДЗЕМ'!F41)*СПРАВОЧНИК!$L$4+('ФАКТ ЧИСТ ПОДЗЕМ'!G41)*СПРАВОЧНИК!$M$4+('ФАКТ ЧИСТ ПОДЗЕМ'!H41)*СПРАВОЧНИК!$N$4+('ФАКТ ЧИСТ ПОДЗЕМ'!I41)*СПРАВОЧНИК!$O$4)+СПРАВОЧНИК!$F$5*(('ФАКТ ЧИСТ ПОДЗЕМ'!J41)*СПРАВОЧНИК!$L$5+('ФАКТ ЧИСТ ПОДЗЕМ'!K41)*СПРАВОЧНИК!$M$5+('ФАКТ ЧИСТ ПОДЗЕМ'!L41)*СПРАВОЧНИК!$N$5)+СПРАВОЧНИК!$F$6*(('ФАКТ ЧИСТ ПОДЗЕМ'!M41)*СПРАВОЧНИК!$L$6+('ФАКТ ЧИСТ ПОДЗЕМ'!N41)*СПРАВОЧНИК!$M$6+('ФАКТ ЧИСТ ПОДЗЕМ'!O41)*СПРАВОЧНИК!$N$6+('ФАКТ ЧИСТ ПОДЗЕМ'!P41)*СПРАВОЧНИК!$O$6)+СПРАВОЧНИК!$F$7*(('ФАКТ ЧИСТ ПОДЗЕМ'!Q41)*СПРАВОЧНИК!$L$7+('ФАКТ ЧИСТ ПОДЗЕМ'!R41)*СПРАВОЧНИК!$M$7+('ФАКТ ЧИСТ ПОДЗЕМ'!S41)*СПРАВОЧНИК!$N$7+('ФАКТ ЧИСТ ПОДЗЕМ'!T41)*СПРАВОЧНИК!$O$7)+СПРАВОЧНИК!$F$8*(('ФАКТ ЧИСТ ПОДЗЕМ'!U41)*СПРАВОЧНИК!$L$8+('ФАКТ ЧИСТ ПОДЗЕМ'!V41)*СПРАВОЧНИК!$M$8+('ФАКТ ЧИСТ ПОДЗЕМ'!W41)*СПРАВОЧНИК!$N$8)</f>
        <v/>
      </c>
      <c r="I50" s="18">
        <f>I49+7</f>
        <v/>
      </c>
      <c r="J50" s="37">
        <f>'ПЛАН ЧЕРН ПОДЗЕМ'!B41*СПРАВОЧНИК!$H$3+'ПЛАН ЧЕРН ПОДЗЕМ'!C41*СПРАВОЧНИК!$I$3+'ПЛАН ЧЕРН ПОДЗЕМ'!D41*СПРАВОЧНИК!$J$3+'ПЛАН ЧЕРН ПОДЗЕМ'!E41*СПРАВОЧНИК!$H$4+'ПЛАН ЧЕРН ПОДЗЕМ'!F41*СПРАВОЧНИК!$I$4+'ПЛАН ЧЕРН ПОДЗЕМ'!G41*СПРАВОЧНИК!$J$4+'ПЛАН ЧЕРН ПОДЗЕМ'!H41*СПРАВОЧНИК!$H$5+'ПЛАН ЧЕРН ПОДЗЕМ'!I41*СПРАВОЧНИК!$I$5+'ПЛАН ЧЕРН ПОДЗЕМ'!J41*СПРАВОЧНИК!$J$5+'ПЛАН ЧЕРН ПОДЗЕМ'!K41*СПРАВОЧНИК!$H$6+'ПЛАН ЧЕРН ПОДЗЕМ'!L41*СПРАВОЧНИК!$I$6+'ПЛАН ЧЕРН ПОДЗЕМ'!M41*СПРАВОЧНИК!$J$6+'ПЛАН ЧЕРН ПОДЗЕМ'!N41*СПРАВОЧНИК!$H$7+'ПЛАН ЧЕРН ПОДЗЕМ'!O41*СПРАВОЧНИК!$I$7+'ПЛАН ЧЕРН ПОДЗЕМ'!P41*СПРАВОЧНИК!$J$7+'ПЛАН ЧЕРН ПОДЗЕМ'!Q41*СПРАВОЧНИК!$H$8+'ПЛАН ЧЕРН ПОДЗЕМ'!R41*СПРАВОЧНИК!$I$8+'ПЛАН ЧЕРН ПОДЗЕМ'!S41*СПРАВОЧНИК!$J$8</f>
        <v/>
      </c>
      <c r="K50" s="40">
        <f>('ФАКТ ЧЕРН ПОДЗЕМ'!B41)*СПРАВОЧНИК!$H$3+('ФАКТ ЧЕРН ПОДЗЕМ'!C41)*СПРАВОЧНИК!$I$3+('ФАКТ ЧЕРН ПОДЗЕМ'!D41)*СПРАВОЧНИК!$J$3+('ФАКТ ЧЕРН ПОДЗЕМ'!E41)*СПРАВОЧНИК!$H$4+('ФАКТ ЧЕРН ПОДЗЕМ'!F41)*СПРАВОЧНИК!$I$4+('ФАКТ ЧЕРН ПОДЗЕМ'!G41)*СПРАВОЧНИК!$J$4+('ФАКТ ЧЕРН ПОДЗЕМ'!H41)*СПРАВОЧНИК!$H$5+('ФАКТ ЧЕРН ПОДЗЕМ'!I41)*СПРАВОЧНИК!$I$5+('ФАКТ ЧЕРН ПОДЗЕМ'!J41)*СПРАВОЧНИК!$J$5+('ФАКТ ЧЕРН ПОДЗЕМ'!K41)*СПРАВОЧНИК!$H$6+('ФАКТ ЧЕРН ПОДЗЕМ'!L41)*СПРАВОЧНИК!$I$6+('ФАКТ ЧЕРН ПОДЗЕМ'!M41)*СПРАВОЧНИК!$J$6+('ФАКТ ЧЕРН ПОДЗЕМ'!N41)*СПРАВОЧНИК!$H$7+('ФАКТ ЧЕРН ПОДЗЕМ'!O41)*СПРАВОЧНИК!$I$7+('ФАКТ ЧЕРН ПОДЗЕМ'!P41)*СПРАВОЧНИК!$J$7+('ФАКТ ЧЕРН ПОДЗЕМ'!Q41)*СПРАВОЧНИК!$H$8+('ФАКТ ЧЕРН ПОДЗЕМ'!R41)*СПРАВОЧНИК!$I$8+('ФАКТ ЧЕРН ПОДЗЕМ'!S41)*СПРАВОЧНИК!$J$8</f>
        <v/>
      </c>
      <c r="O50" s="18">
        <f>O49+7</f>
        <v/>
      </c>
      <c r="P50" s="37">
        <f>'ПЛАН ЧИСТ ПОДЗЕМ'!B41*СПРАВОЧНИК!$L$3+'ПЛАН ЧИСТ ПОДЗЕМ'!C41*СПРАВОЧНИК!$M$3+'ПЛАН ЧИСТ ПОДЗЕМ'!D41*СПРАВОЧНИК!$N$3+'ПЛАН ЧИСТ ПОДЗЕМ'!E41*СПРАВОЧНИК!$O$3+'ПЛАН ЧИСТ ПОДЗЕМ'!F41*СПРАВОЧНИК!$L$4+'ПЛАН ЧИСТ ПОДЗЕМ'!G41*СПРАВОЧНИК!$M$4+'ПЛАН ЧИСТ ПОДЗЕМ'!H41*СПРАВОЧНИК!$N$4+'ПЛАН ЧИСТ ПОДЗЕМ'!I41*СПРАВОЧНИК!$O$4+'ПЛАН ЧИСТ ПОДЗЕМ'!J41*СПРАВОЧНИК!$L$5+'ПЛАН ЧИСТ ПОДЗЕМ'!K41*СПРАВОЧНИК!$M$5+'ПЛАН ЧИСТ ПОДЗЕМ'!L41*СПРАВОЧНИК!$N$5+'ПЛАН ЧИСТ ПОДЗЕМ'!M41*СПРАВОЧНИК!$L$6+'ПЛАН ЧИСТ ПОДЗЕМ'!N41*СПРАВОЧНИК!$M$6+'ПЛАН ЧИСТ ПОДЗЕМ'!O41*СПРАВОЧНИК!$N$6+'ПЛАН ЧИСТ ПОДЗЕМ'!P41*СПРАВОЧНИК!$O$6+'ПЛАН ЧИСТ ПОДЗЕМ'!Q41*СПРАВОЧНИК!$L$7+'ПЛАН ЧИСТ ПОДЗЕМ'!R41*СПРАВОЧНИК!$M$7+'ПЛАН ЧИСТ ПОДЗЕМ'!S41*СПРАВОЧНИК!$N$7+'ПЛАН ЧИСТ ПОДЗЕМ'!T41*СПРАВОЧНИК!$O$7+'ПЛАН ЧИСТ ПОДЗЕМ'!U41*СПРАВОЧНИК!$L$8+'ПЛАН ЧИСТ ПОДЗЕМ'!V41*СПРАВОЧНИК!$M$8+'ПЛАН ЧИСТ ПОДЗЕМ'!W41*СПРАВОЧНИК!$N$8</f>
        <v/>
      </c>
      <c r="Q50" s="40">
        <f>('ФАКТ ЧИСТ ПОДЗЕМ'!B41)*СПРАВОЧНИК!$L$3+('ФАКТ ЧИСТ ПОДЗЕМ'!C41)*СПРАВОЧНИК!$M$3+('ФАКТ ЧИСТ ПОДЗЕМ'!D41)*СПРАВОЧНИК!$N$3+('ФАКТ ЧИСТ ПОДЗЕМ'!E41)*СПРАВОЧНИК!$O$3+('ФАКТ ЧИСТ ПОДЗЕМ'!F41)*СПРАВОЧНИК!$L$4+('ФАКТ ЧИСТ ПОДЗЕМ'!G41)*СПРАВОЧНИК!$M$4+('ФАКТ ЧИСТ ПОДЗЕМ'!H41)*СПРАВОЧНИК!$N$4+('ФАКТ ЧИСТ ПОДЗЕМ'!I41)*СПРАВОЧНИК!$O$4+('ФАКТ ЧИСТ ПОДЗЕМ'!J41)*СПРАВОЧНИК!$L$5+('ФАКТ ЧИСТ ПОДЗЕМ'!K41)*СПРАВОЧНИК!$M$5+('ФАКТ ЧИСТ ПОДЗЕМ'!L41)*СПРАВОЧНИК!$N$5+('ФАКТ ЧИСТ ПОДЗЕМ'!M41)*СПРАВОЧНИК!$L$6+('ФАКТ ЧИСТ ПОДЗЕМ'!N41)*СПРАВОЧНИК!$M$6+('ФАКТ ЧИСТ ПОДЗЕМ'!O41)*СПРАВОЧНИК!$N$6+('ФАКТ ЧИСТ ПОДЗЕМ'!P41)*СПРАВОЧНИК!$O$6+('ФАКТ ЧИСТ ПОДЗЕМ'!Q41)*СПРАВОЧНИК!$L$7+('ФАКТ ЧИСТ ПОДЗЕМ'!R41)*СПРАВОЧНИК!$M$7+('ФАКТ ЧИСТ ПОДЗЕМ'!S41)*СПРАВОЧНИК!$N$7+('ФАКТ ЧИСТ ПОДЗЕМ'!T41)*СПРАВОЧНИК!$O$7+('ФАКТ ЧИСТ ПОДЗЕМ'!U41)*СПРАВОЧНИК!$L$8+('ФАКТ ЧИСТ ПОДЗЕМ'!V41)*СПРАВОЧНИК!$M$8+('ФАКТ ЧИСТ ПОДЗЕМ'!W41)*СПРАВОЧНИК!$N$8</f>
        <v/>
      </c>
      <c r="U50" s="18">
        <f>U49+7</f>
        <v/>
      </c>
      <c r="V50" s="37">
        <f>СПРАВОЧНИК!$E$9*('ПЛАН ЧЕРН К1'!B41*СПРАВОЧНИК!$H$9+'ПЛАН ЧЕРН К1'!C41*СПРАВОЧНИК!$I$9+'ПЛАН ЧЕРН К1'!D41*СПРАВОЧНИК!$J$9)+СПРАВОЧНИК!$E$10*('ПЛАН ЧЕРН К1'!E41*СПРАВОЧНИК!$H$10+'ПЛАН ЧЕРН К1'!F41*СПРАВОЧНИК!$I$10+'ПЛАН ЧЕРН К1'!G41*СПРАВОЧНИК!$J$10)+СПРАВОЧНИК!$E$11*('ПЛАН ЧЕРН К1'!H41*СПРАВОЧНИК!$H$11+'ПЛАН ЧЕРН К1'!I41*СПРАВОЧНИК!$I$11+'ПЛАН ЧЕРН К1'!J41*СПРАВОЧНИК!$J$11)+СПРАВОЧНИК!$E$12*('ПЛАН ЧЕРН К1'!K41*СПРАВОЧНИК!$H$12+'ПЛАН ЧЕРН К1'!L41*СПРАВОЧНИК!$I$12+'ПЛАН ЧЕРН К1'!M41*СПРАВОЧНИК!$J$12)+СПРАВОЧНИК!$E$13*('ПЛАН ЧЕРН К1'!N41*СПРАВОЧНИК!$H$13+'ПЛАН ЧЕРН К1'!O41*СПРАВОЧНИК!$I$13+'ПЛАН ЧЕРН К1'!P41*СПРАВОЧНИК!$J$13)+СПРАВОЧНИК!$E$14*('ПЛАН ЧЕРН К1'!Q41*СПРАВОЧНИК!$H$14+'ПЛАН ЧЕРН К1'!R41*СПРАВОЧНИК!$I$14+'ПЛАН ЧЕРН К1'!S41*СПРАВОЧНИК!$J$14)+СПРАВОЧНИК!$E$15*('ПЛАН ЧЕРН К1'!T41*СПРАВОЧНИК!$H$15+'ПЛАН ЧЕРН К1'!U41*СПРАВОЧНИК!$I$15+'ПЛАН ЧЕРН К1'!V41*СПРАВОЧНИК!$J$15)+СПРАВОЧНИК!$F$9*('ПЛАН ЧИСТ К1'!B41*СПРАВОЧНИК!$L$9+'ПЛАН ЧИСТ К1'!C41*СПРАВОЧНИК!$M$9+'ПЛАН ЧИСТ К1'!D41*СПРАВОЧНИК!$N$9+'ПЛАН ЧИСТ К1'!E41*СПРАВОЧНИК!$O$9)+СПРАВОЧНИК!$F$10*('ПЛАН ЧИСТ К1'!F41*СПРАВОЧНИК!$L$10+'ПЛАН ЧИСТ К1'!G41*СПРАВОЧНИК!$M$10+'ПЛАН ЧИСТ К1'!H41*СПРАВОЧНИК!$N$10+'ПЛАН ЧИСТ К1'!I41*СПРАВОЧНИК!$O$10)+СПРАВОЧНИК!$F$11*('ПЛАН ЧИСТ К1'!J41*СПРАВОЧНИК!$L$11+'ПЛАН ЧИСТ К1'!K41*СПРАВОЧНИК!$M$11+'ПЛАН ЧИСТ К1'!L41*СПРАВОЧНИК!$N$11)+СПРАВОЧНИК!$F$12*('ПЛАН ЧИСТ К1'!M41*СПРАВОЧНИК!$L$12+'ПЛАН ЧИСТ К1'!N41*СПРАВОЧНИК!$M$12+'ПЛАН ЧИСТ К1'!O41*СПРАВОЧНИК!$N$12+'ПЛАН ЧИСТ К1'!P41*СПРАВОЧНИК!$O$12)+СПРАВОЧНИК!$F$13*('ПЛАН ЧИСТ К1'!Q41*СПРАВОЧНИК!$L$13+'ПЛАН ЧИСТ К1'!R41*СПРАВОЧНИК!$M$13+'ПЛАН ЧИСТ К1'!S41*СПРАВОЧНИК!$N$13+'ПЛАН ЧИСТ К1'!T41*СПРАВОЧНИК!$O$13)+СПРАВОЧНИК!$F$14*('ПЛАН ЧИСТ К1'!U41*СПРАВОЧНИК!$L$14+'ПЛАН ЧИСТ К1'!V41*СПРАВОЧНИК!$M$14+'ПЛАН ЧИСТ К1'!W41*СПРАВОЧНИК!$N$14)+СПРАВОЧНИК!$F$15*('ПЛАН ЧИСТ К1'!X41*СПРАВОЧНИК!$L$15+'ПЛАН ЧИСТ К1'!Y41*СПРАВОЧНИК!$M$15+'ПЛАН ЧИСТ К1'!Z41*СПРАВОЧНИК!$N$15)</f>
        <v/>
      </c>
      <c r="W50" s="40">
        <f>СПРАВОЧНИК!$E$9*(('ФАКТ ЧЕРН К1'!B41)*СПРАВОЧНИК!$H$9+('ФАКТ ЧЕРН К1'!C41)*СПРАВОЧНИК!$I$9+('ФАКТ ЧЕРН К1'!D41)*СПРАВОЧНИК!$J$9)+СПРАВОЧНИК!$E$10*(('ФАКТ ЧЕРН К1'!E41)*СПРАВОЧНИК!$H$10+('ФАКТ ЧЕРН К1'!F41)*СПРАВОЧНИК!$I$10+('ФАКТ ЧЕРН К1'!G41)*СПРАВОЧНИК!$J$10)+СПРАВОЧНИК!$E$11*(('ФАКТ ЧЕРН К1'!H41)*СПРАВОЧНИК!$H$11+('ФАКТ ЧЕРН К1'!I41)*СПРАВОЧНИК!$I$11+('ФАКТ ЧЕРН К1'!J41)*СПРАВОЧНИК!$J$11)+СПРАВОЧНИК!$E$12*(('ФАКТ ЧЕРН К1'!K41)*СПРАВОЧНИК!$H$12+('ФАКТ ЧЕРН К1'!L41)*СПРАВОЧНИК!$I$12+('ФАКТ ЧЕРН К1'!M41)*СПРАВОЧНИК!$J$12)+СПРАВОЧНИК!$E$13*(('ФАКТ ЧЕРН К1'!N41)*СПРАВОЧНИК!$H$13+('ФАКТ ЧЕРН К1'!O41)*СПРАВОЧНИК!$I$13+('ФАКТ ЧЕРН К1'!P41)*СПРАВОЧНИК!$J$13)+СПРАВОЧНИК!$E$14*(('ФАКТ ЧЕРН К1'!Q41)*СПРАВОЧНИК!$H$14+('ФАКТ ЧЕРН К1'!R41)*СПРАВОЧНИК!$I$14+('ФАКТ ЧЕРН К1'!S41)*СПРАВОЧНИК!$J$14)+СПРАВОЧНИК!$E$15*(('ФАКТ ЧЕРН К1'!T41)*СПРАВОЧНИК!$H$15+('ФАКТ ЧЕРН К1'!U41)*СПРАВОЧНИК!$I$15+('ФАКТ ЧЕРН К1'!V41)*СПРАВОЧНИК!$J$15)+СПРАВОЧНИК!$F$9*(('ФАКТ ЧИСТ К1'!B41)*СПРАВОЧНИК!$L$9+('ФАКТ ЧИСТ К1'!C41)*СПРАВОЧНИК!$M$9+('ФАКТ ЧИСТ К1'!D41)*СПРАВОЧНИК!$N$9+('ФАКТ ЧИСТ К1'!E41)*СПРАВОЧНИК!$O$9)+СПРАВОЧНИК!$F$10*(('ФАКТ ЧИСТ К1'!F41)*СПРАВОЧНИК!$L$10+('ФАКТ ЧИСТ К1'!G41)*СПРАВОЧНИК!$M$10+('ФАКТ ЧИСТ К1'!H41)*СПРАВОЧНИК!$N$10+('ФАКТ ЧИСТ К1'!I41)*СПРАВОЧНИК!$O$10)+СПРАВОЧНИК!$F$11*(('ФАКТ ЧИСТ К1'!J41)*СПРАВОЧНИК!$L$11+('ФАКТ ЧИСТ К1'!K41)*СПРАВОЧНИК!$M$11+('ФАКТ ЧИСТ К1'!L41)*СПРАВОЧНИК!$N$11)+СПРАВОЧНИК!$F$12*(('ФАКТ ЧИСТ К1'!M41)*СПРАВОЧНИК!$L$12+('ФАКТ ЧИСТ К1'!N41)*СПРАВОЧНИК!$M$12+('ФАКТ ЧИСТ К1'!O41)*СПРАВОЧНИК!$N$12+('ФАКТ ЧИСТ К1'!P41)*СПРАВОЧНИК!$O$12)+СПРАВОЧНИК!$F$13*(('ФАКТ ЧИСТ К1'!Q41)*СПРАВОЧНИК!$L$13+('ФАКТ ЧИСТ К1'!R41)*СПРАВОЧНИК!$M$13+('ФАКТ ЧИСТ К1'!S41)*СПРАВОЧНИК!$N$13+('ФАКТ ЧИСТ К1'!T41)*СПРАВОЧНИК!$O$13)+СПРАВОЧНИК!$F$14*(('ФАКТ ЧИСТ К1'!U41)*СПРАВОЧНИК!$L$14+('ФАКТ ЧИСТ К1'!V41)*СПРАВОЧНИК!$M$14+('ФАКТ ЧИСТ К1'!W41)*СПРАВОЧНИК!$N$14)+СПРАВОЧНИК!$F$15*(('ФАКТ ЧИСТ К1'!X41)*СПРАВОЧНИК!$L$15+('ФАКТ ЧИСТ К1'!Y41)*СПРАВОЧНИК!$M$15+('ФАКТ ЧИСТ К1'!Z41)*СПРАВОЧНИК!$N$15)</f>
        <v/>
      </c>
      <c r="AA50" s="18">
        <f>AA49+7</f>
        <v/>
      </c>
      <c r="AB50" s="37">
        <f>'ПЛАН ЧЕРН К1'!B41*СПРАВОЧНИК!$H$9+'ПЛАН ЧЕРН К1'!C41*СПРАВОЧНИК!$I$9+'ПЛАН ЧЕРН К1'!D41*СПРАВОЧНИК!$J$9+'ПЛАН ЧЕРН К1'!E41*СПРАВОЧНИК!$H$10+'ПЛАН ЧЕРН К1'!F41*СПРАВОЧНИК!$I$10+'ПЛАН ЧЕРН К1'!G41*СПРАВОЧНИК!$J$10+'ПЛАН ЧЕРН К1'!H41*СПРАВОЧНИК!$H$11+'ПЛАН ЧЕРН К1'!I41*СПРАВОЧНИК!$I$11+'ПЛАН ЧЕРН К1'!J41*СПРАВОЧНИК!$J$11+'ПЛАН ЧЕРН К1'!K41*СПРАВОЧНИК!$H$12+'ПЛАН ЧЕРН К1'!L41*СПРАВОЧНИК!$I$12+'ПЛАН ЧЕРН К1'!M41*СПРАВОЧНИК!$J$12+'ПЛАН ЧЕРН К1'!N41*СПРАВОЧНИК!$H$13+'ПЛАН ЧЕРН К1'!O41*СПРАВОЧНИК!$I$13+'ПЛАН ЧЕРН К1'!P41*СПРАВОЧНИК!$J$13+'ПЛАН ЧЕРН К1'!Q41*СПРАВОЧНИК!$H$14+'ПЛАН ЧЕРН К1'!R41*СПРАВОЧНИК!$I$14+'ПЛАН ЧЕРН К1'!S41*СПРАВОЧНИК!$J$14+'ПЛАН ЧЕРН К1'!T41*СПРАВОЧНИК!$H$15+'ПЛАН ЧЕРН К1'!U41*СПРАВОЧНИК!$I$15+'ПЛАН ЧЕРН К1'!V41*СПРАВОЧНИК!$J$15</f>
        <v/>
      </c>
      <c r="AC50" s="40">
        <f>('ФАКТ ЧЕРН К1'!B41)*СПРАВОЧНИК!$H$9+('ФАКТ ЧЕРН К1'!C41)*СПРАВОЧНИК!$I$9+('ФАКТ ЧЕРН К1'!D41)*СПРАВОЧНИК!$J$9+('ФАКТ ЧЕРН К1'!E41)*СПРАВОЧНИК!$H$10+('ФАКТ ЧЕРН К1'!F41)*СПРАВОЧНИК!$I$10+('ФАКТ ЧЕРН К1'!G41)*СПРАВОЧНИК!$J$10+('ФАКТ ЧЕРН К1'!H41)*СПРАВОЧНИК!$H$11+('ФАКТ ЧЕРН К1'!I41)*СПРАВОЧНИК!$I$11+('ФАКТ ЧЕРН К1'!J41)*СПРАВОЧНИК!$J$11+('ФАКТ ЧЕРН К1'!K41)*СПРАВОЧНИК!$H$12+('ФАКТ ЧЕРН К1'!L41)*СПРАВОЧНИК!$I$12+('ФАКТ ЧЕРН К1'!M41)*СПРАВОЧНИК!$J$12+('ФАКТ ЧЕРН К1'!N41)*СПРАВОЧНИК!$H$13+('ФАКТ ЧЕРН К1'!O41)*СПРАВОЧНИК!$I$13+('ФАКТ ЧЕРН К1'!P41)*СПРАВОЧНИК!$J$13+('ФАКТ ЧЕРН К1'!Q41)*СПРАВОЧНИК!$H$14+('ФАКТ ЧЕРН К1'!R41)*СПРАВОЧНИК!$I$14+('ФАКТ ЧЕРН К1'!S41)*СПРАВОЧНИК!$J$14+('ФАКТ ЧЕРН К1'!T41)*СПРАВОЧНИК!$H$15+('ФАКТ ЧЕРН К1'!U41)*СПРАВОЧНИК!$I$15+('ФАКТ ЧЕРН К1'!V41)*СПРАВОЧНИК!$J$15</f>
        <v/>
      </c>
      <c r="AG50" s="18">
        <f>AG49+7</f>
        <v/>
      </c>
      <c r="AH50" s="37">
        <f>'ПЛАН ЧИСТ К1'!B41*СПРАВОЧНИК!$L$9+'ПЛАН ЧИСТ К1'!C41*СПРАВОЧНИК!$M$9+'ПЛАН ЧИСТ К1'!D41*СПРАВОЧНИК!$N$9+'ПЛАН ЧИСТ К1'!E41*СПРАВОЧНИК!$O$9+'ПЛАН ЧИСТ К1'!F41*СПРАВОЧНИК!$L$10+'ПЛАН ЧИСТ К1'!G41*СПРАВОЧНИК!$M$10+'ПЛАН ЧИСТ К1'!H41*СПРАВОЧНИК!$N$10+'ПЛАН ЧИСТ К1'!I41*СПРАВОЧНИК!$O$10+'ПЛАН ЧИСТ К1'!J41*СПРАВОЧНИК!$L$11+'ПЛАН ЧИСТ К1'!K41*СПРАВОЧНИК!$M$11+'ПЛАН ЧИСТ К1'!L41*СПРАВОЧНИК!$N$11+'ПЛАН ЧИСТ К1'!M41*СПРАВОЧНИК!$L$12+'ПЛАН ЧИСТ К1'!N41*СПРАВОЧНИК!$M$12+'ПЛАН ЧИСТ К1'!O41*СПРАВОЧНИК!$N$12+'ПЛАН ЧИСТ К1'!P41*СПРАВОЧНИК!$O$12+'ПЛАН ЧИСТ К1'!Q41*СПРАВОЧНИК!$L$13+'ПЛАН ЧИСТ К1'!R41*СПРАВОЧНИК!$M$13+'ПЛАН ЧИСТ К1'!S41*СПРАВОЧНИК!$N$13+'ПЛАН ЧИСТ К1'!T41*СПРАВОЧНИК!$O$13+'ПЛАН ЧИСТ К1'!U41*СПРАВОЧНИК!$L$14+'ПЛАН ЧИСТ К1'!V41*СПРАВОЧНИК!$M$14+'ПЛАН ЧИСТ К1'!W41*СПРАВОЧНИК!$N$14+'ПЛАН ЧИСТ К1'!X41*СПРАВОЧНИК!$L$15+'ПЛАН ЧИСТ К1'!Y41*СПРАВОЧНИК!$M$15+'ПЛАН ЧИСТ К1'!Z41*СПРАВОЧНИК!$N$15</f>
        <v/>
      </c>
      <c r="AI50" s="40">
        <f>('ФАКТ ЧИСТ К1'!B41)*СПРАВОЧНИК!$L$9+('ФАКТ ЧИСТ К1'!C41)*СПРАВОЧНИК!$M$9+('ФАКТ ЧИСТ К1'!D41)*СПРАВОЧНИК!$N$9+('ФАКТ ЧИСТ К1'!E41)*СПРАВОЧНИК!$O$9+('ФАКТ ЧИСТ К1'!F41)*СПРАВОЧНИК!$L$10+('ФАКТ ЧИСТ К1'!G41)*СПРАВОЧНИК!$M$10+('ФАКТ ЧИСТ К1'!H41)*СПРАВОЧНИК!$N$10+('ФАКТ ЧИСТ К1'!I41)*СПРАВОЧНИК!$O$10+('ФАКТ ЧИСТ К1'!J41)*СПРАВОЧНИК!$L$11+('ФАКТ ЧИСТ К1'!K41)*СПРАВОЧНИК!$M$11+('ФАКТ ЧИСТ К1'!L41)*СПРАВОЧНИК!$N$11+('ФАКТ ЧИСТ К1'!M41)*СПРАВОЧНИК!$L$12+('ФАКТ ЧИСТ К1'!N41)*СПРАВОЧНИК!$M$12+('ФАКТ ЧИСТ К1'!O41)*СПРАВОЧНИК!$N$12+('ФАКТ ЧИСТ К1'!P41)*СПРАВОЧНИК!$O$12+('ФАКТ ЧИСТ К1'!Q41)*СПРАВОЧНИК!$L$13+('ФАКТ ЧИСТ К1'!R41)*СПРАВОЧНИК!$M$13+('ФАКТ ЧИСТ К1'!S41)*СПРАВОЧНИК!$N$13+('ФАКТ ЧИСТ К1'!T41)*СПРАВОЧНИК!$O$13+('ФАКТ ЧИСТ К1'!U41)*СПРАВОЧНИК!$L$14+('ФАКТ ЧИСТ К1'!V41)*СПРАВОЧНИК!$M$14+('ФАКТ ЧИСТ К1'!W41)*СПРАВОЧНИК!$N$14+('ФАКТ ЧИСТ К1'!X41)*СПРАВОЧНИК!$L$15+('ФАКТ ЧИСТ К1'!Y41)*СПРАВОЧНИК!$M$15+('ФАКТ ЧИСТ К1'!Z41)*СПРАВОЧНИК!$N$15</f>
        <v/>
      </c>
      <c r="AM50" s="18">
        <f>AM49+7</f>
        <v/>
      </c>
      <c r="AN50" s="37">
        <f>СПРАВОЧНИК!$E$9*('ПЛАН ЧЕРН К2'!B41*СПРАВОЧНИК!$H$9+'ПЛАН ЧЕРН К2'!C41*СПРАВОЧНИК!$I$9+'ПЛАН ЧЕРН К2'!D41*СПРАВОЧНИК!$J$9)+СПРАВОЧНИК!$E$10*('ПЛАН ЧЕРН К2'!E41*СПРАВОЧНИК!$H$10+'ПЛАН ЧЕРН К2'!F41*СПРАВОЧНИК!$I$10+'ПЛАН ЧЕРН К2'!G41*СПРАВОЧНИК!$J$10)+СПРАВОЧНИК!$E$11*('ПЛАН ЧЕРН К2'!H41*СПРАВОЧНИК!$H$11+'ПЛАН ЧЕРН К2'!I41*СПРАВОЧНИК!$I$11+'ПЛАН ЧЕРН К2'!J41*СПРАВОЧНИК!$J$11)+СПРАВОЧНИК!$E$12*('ПЛАН ЧЕРН К2'!K41*СПРАВОЧНИК!$H$12+'ПЛАН ЧЕРН К2'!L41*СПРАВОЧНИК!$I$12+'ПЛАН ЧЕРН К2'!M41*СПРАВОЧНИК!$J$12)+СПРАВОЧНИК!$E$13*('ПЛАН ЧЕРН К2'!N41*СПРАВОЧНИК!$H$13+'ПЛАН ЧЕРН К2'!O41*СПРАВОЧНИК!$I$13+'ПЛАН ЧЕРН К2'!P41*СПРАВОЧНИК!$J$13)+СПРАВОЧНИК!$E$14*('ПЛАН ЧЕРН К2'!Q41*СПРАВОЧНИК!$H$14+'ПЛАН ЧЕРН К2'!R41*СПРАВОЧНИК!$I$14+'ПЛАН ЧЕРН К2'!S41*СПРАВОЧНИК!$J$14)+СПРАВОЧНИК!$E$15*('ПЛАН ЧЕРН К2'!T41*СПРАВОЧНИК!$H$15+'ПЛАН ЧЕРН К2'!U41*СПРАВОЧНИК!$I$15+'ПЛАН ЧЕРН К2'!V41*СПРАВОЧНИК!$J$15)+СПРАВОЧНИК!$F$9*('ПЛАН ЧИСТ К2'!B41*СПРАВОЧНИК!$L$9+'ПЛАН ЧИСТ К2'!C41*СПРАВОЧНИК!$M$9+'ПЛАН ЧИСТ К2'!D41*СПРАВОЧНИК!$N$9+'ПЛАН ЧИСТ К2'!E41*СПРАВОЧНИК!$O$9)+СПРАВОЧНИК!$F$10*('ПЛАН ЧИСТ К2'!F41*СПРАВОЧНИК!$L$10+'ПЛАН ЧИСТ К2'!G41*СПРАВОЧНИК!$M$10+'ПЛАН ЧИСТ К2'!H41*СПРАВОЧНИК!$N$10+'ПЛАН ЧИСТ К2'!I41*СПРАВОЧНИК!$O$10)+СПРАВОЧНИК!$F$11*('ПЛАН ЧИСТ К2'!J41*СПРАВОЧНИК!$L$11+'ПЛАН ЧИСТ К2'!K41*СПРАВОЧНИК!$M$11+'ПЛАН ЧИСТ К2'!L41*СПРАВОЧНИК!$N$11)+СПРАВОЧНИК!$F$12*('ПЛАН ЧИСТ К2'!M41*СПРАВОЧНИК!$L$12+'ПЛАН ЧИСТ К2'!N41*СПРАВОЧНИК!$M$12+'ПЛАН ЧИСТ К2'!O41*СПРАВОЧНИК!$N$12+'ПЛАН ЧИСТ К2'!P41*СПРАВОЧНИК!$O$12)+СПРАВОЧНИК!$F$13*('ПЛАН ЧИСТ К2'!Q41*СПРАВОЧНИК!$L$13+'ПЛАН ЧИСТ К2'!R41*СПРАВОЧНИК!$M$13+'ПЛАН ЧИСТ К2'!S41*СПРАВОЧНИК!$N$13+'ПЛАН ЧИСТ К2'!T41*СПРАВОЧНИК!$O$13)+СПРАВОЧНИК!$F$14*('ПЛАН ЧИСТ К2'!U41*СПРАВОЧНИК!$L$14+'ПЛАН ЧИСТ К2'!V41*СПРАВОЧНИК!$M$14+'ПЛАН ЧИСТ К2'!W41*СПРАВОЧНИК!$N$14)+СПРАВОЧНИК!$F$15*('ПЛАН ЧИСТ К2'!X41*СПРАВОЧНИК!$L$15+'ПЛАН ЧИСТ К2'!Y41*СПРАВОЧНИК!$M$15+'ПЛАН ЧИСТ К2'!Z41*СПРАВОЧНИК!$N$15)</f>
        <v/>
      </c>
      <c r="AO50" s="40">
        <f>СПРАВОЧНИК!$E$9*(('ФАКТ ЧЕРН К2'!B41)*СПРАВОЧНИК!$H$9+('ФАКТ ЧЕРН К2'!C41)*СПРАВОЧНИК!$I$9+('ФАКТ ЧЕРН К2'!D41)*СПРАВОЧНИК!$J$9)+СПРАВОЧНИК!$E$10*(('ФАКТ ЧЕРН К2'!E41)*СПРАВОЧНИК!$H$10+('ФАКТ ЧЕРН К2'!F41)*СПРАВОЧНИК!$I$10+('ФАКТ ЧЕРН К2'!G41)*СПРАВОЧНИК!$J$10)+СПРАВОЧНИК!$E$11*(('ФАКТ ЧЕРН К2'!H41)*СПРАВОЧНИК!$H$11+('ФАКТ ЧЕРН К2'!I41)*СПРАВОЧНИК!$I$11+('ФАКТ ЧЕРН К2'!J41)*СПРАВОЧНИК!$J$11)+СПРАВОЧНИК!$E$12*(('ФАКТ ЧЕРН К2'!K41)*СПРАВОЧНИК!$H$12+('ФАКТ ЧЕРН К2'!L41)*СПРАВОЧНИК!$I$12+('ФАКТ ЧЕРН К2'!M41)*СПРАВОЧНИК!$J$12)+СПРАВОЧНИК!$E$13*(('ФАКТ ЧЕРН К2'!N41)*СПРАВОЧНИК!$H$13+('ФАКТ ЧЕРН К2'!O41)*СПРАВОЧНИК!$I$13+('ФАКТ ЧЕРН К2'!P41)*СПРАВОЧНИК!$J$13)+СПРАВОЧНИК!$E$14*(('ФАКТ ЧЕРН К2'!Q41)*СПРАВОЧНИК!$H$14+('ФАКТ ЧЕРН К2'!R41)*СПРАВОЧНИК!$I$14+('ФАКТ ЧЕРН К2'!S41)*СПРАВОЧНИК!$J$14)+СПРАВОЧНИК!$E$15*(('ФАКТ ЧЕРН К2'!T41)*СПРАВОЧНИК!$H$15+('ФАКТ ЧЕРН К2'!U41)*СПРАВОЧНИК!$I$15+('ФАКТ ЧЕРН К2'!V41)*СПРАВОЧНИК!$J$15)+СПРАВОЧНИК!$F$9*(('ФАКТ ЧИСТ К2'!B41)*СПРАВОЧНИК!$L$9+('ФАКТ ЧИСТ К2'!C41)*СПРАВОЧНИК!$M$9+('ФАКТ ЧИСТ К2'!D41)*СПРАВОЧНИК!$N$9+('ФАКТ ЧИСТ К2'!E41)*СПРАВОЧНИК!$O$9)+СПРАВОЧНИК!$F$10*(('ФАКТ ЧИСТ К2'!F41)*СПРАВОЧНИК!$L$10+('ФАКТ ЧИСТ К2'!G41)*СПРАВОЧНИК!$M$10+('ФАКТ ЧИСТ К2'!H41)*СПРАВОЧНИК!$N$10+('ФАКТ ЧИСТ К2'!I41)*СПРАВОЧНИК!$O$10)+СПРАВОЧНИК!$F$11*(('ФАКТ ЧИСТ К2'!J41)*СПРАВОЧНИК!$L$11+('ФАКТ ЧИСТ К2'!K41)*СПРАВОЧНИК!$M$11+('ФАКТ ЧИСТ К2'!L41)*СПРАВОЧНИК!$N$11)+СПРАВОЧНИК!$F$12*(('ФАКТ ЧИСТ К2'!M41)*СПРАВОЧНИК!$L$12+('ФАКТ ЧИСТ К2'!N41)*СПРАВОЧНИК!$M$12+('ФАКТ ЧИСТ К2'!O41)*СПРАВОЧНИК!$N$12+('ФАКТ ЧИСТ К2'!P41)*СПРАВОЧНИК!$O$12)+СПРАВОЧНИК!$F$13*(('ФАКТ ЧИСТ К2'!Q41)*СПРАВОЧНИК!$L$13+('ФАКТ ЧИСТ К2'!R41)*СПРАВОЧНИК!$M$13+('ФАКТ ЧИСТ К2'!S41)*СПРАВОЧНИК!$N$13+('ФАКТ ЧИСТ К2'!T41)*СПРАВОЧНИК!$O$13)+СПРАВОЧНИК!$F$14*(('ФАКТ ЧИСТ К2'!U41)*СПРАВОЧНИК!$L$14+('ФАКТ ЧИСТ К2'!V41)*СПРАВОЧНИК!$M$14+('ФАКТ ЧИСТ К2'!W41)*СПРАВОЧНИК!$N$14)+СПРАВОЧНИК!$F$15*(('ФАКТ ЧИСТ К2'!X41)*СПРАВОЧНИК!$L$15+('ФАКТ ЧИСТ К2'!Y41)*СПРАВОЧНИК!$M$15+('ФАКТ ЧИСТ К2'!Z41)*СПРАВОЧНИК!$N$15)</f>
        <v/>
      </c>
      <c r="AS50" s="18">
        <f>AS49+7</f>
        <v/>
      </c>
      <c r="AT50" s="37">
        <f>'ПЛАН ЧЕРН К2'!B41*СПРАВОЧНИК!$H$9+'ПЛАН ЧЕРН К2'!C41*СПРАВОЧНИК!$I$9+'ПЛАН ЧЕРН К2'!D41*СПРАВОЧНИК!$J$9+'ПЛАН ЧЕРН К2'!E41*СПРАВОЧНИК!$H$10+'ПЛАН ЧЕРН К2'!F41*СПРАВОЧНИК!$I$10+'ПЛАН ЧЕРН К2'!G41*СПРАВОЧНИК!$J$10+'ПЛАН ЧЕРН К2'!H41*СПРАВОЧНИК!$H$11+'ПЛАН ЧЕРН К2'!I41*СПРАВОЧНИК!$I$11+'ПЛАН ЧЕРН К2'!J41*СПРАВОЧНИК!$J$11+'ПЛАН ЧЕРН К2'!K41*СПРАВОЧНИК!$H$12+'ПЛАН ЧЕРН К2'!L41*СПРАВОЧНИК!$I$12+'ПЛАН ЧЕРН К2'!M41*СПРАВОЧНИК!$J$12+'ПЛАН ЧЕРН К2'!N41*СПРАВОЧНИК!$H$13+'ПЛАН ЧЕРН К2'!O41*СПРАВОЧНИК!$I$13+'ПЛАН ЧЕРН К2'!P41*СПРАВОЧНИК!$J$13+'ПЛАН ЧЕРН К2'!Q41*СПРАВОЧНИК!$H$14+'ПЛАН ЧЕРН К2'!R41*СПРАВОЧНИК!$I$14+'ПЛАН ЧЕРН К2'!S41*СПРАВОЧНИК!$J$14+'ПЛАН ЧЕРН К2'!T41*СПРАВОЧНИК!$H$15+'ПЛАН ЧЕРН К2'!U41*СПРАВОЧНИК!$I$15+'ПЛАН ЧЕРН К2'!V41*СПРАВОЧНИК!$J$15</f>
        <v/>
      </c>
      <c r="AU50" s="40">
        <f>('ФАКТ ЧЕРН К2'!B41)*СПРАВОЧНИК!$H$9+('ФАКТ ЧЕРН К2'!C41)*СПРАВОЧНИК!$I$9+('ФАКТ ЧЕРН К2'!D41)*СПРАВОЧНИК!$J$9+('ФАКТ ЧЕРН К2'!E41)*СПРАВОЧНИК!$H$10+('ФАКТ ЧЕРН К2'!F41)*СПРАВОЧНИК!$I$10+('ФАКТ ЧЕРН К2'!G41)*СПРАВОЧНИК!$J$10+('ФАКТ ЧЕРН К2'!H41)*СПРАВОЧНИК!$H$11+('ФАКТ ЧЕРН К2'!I41)*СПРАВОЧНИК!$I$11+('ФАКТ ЧЕРН К2'!J41)*СПРАВОЧНИК!$J$11+('ФАКТ ЧЕРН К2'!K41)*СПРАВОЧНИК!$H$12+('ФАКТ ЧЕРН К2'!L41)*СПРАВОЧНИК!$I$12+('ФАКТ ЧЕРН К2'!M41)*СПРАВОЧНИК!$J$12+('ФАКТ ЧЕРН К2'!N41)*СПРАВОЧНИК!$H$13+('ФАКТ ЧЕРН К2'!O41)*СПРАВОЧНИК!$I$13+('ФАКТ ЧЕРН К2'!P41)*СПРАВОЧНИК!$J$13+('ФАКТ ЧЕРН К2'!Q41)*СПРАВОЧНИК!$H$14+('ФАКТ ЧЕРН К2'!R41)*СПРАВОЧНИК!$I$14+('ФАКТ ЧЕРН К2'!S41)*СПРАВОЧНИК!$J$14+('ФАКТ ЧЕРН К2'!T41)*СПРАВОЧНИК!$H$15+('ФАКТ ЧЕРН К2'!U41)*СПРАВОЧНИК!$I$15+('ФАКТ ЧЕРН К2'!V41)*СПРАВОЧНИК!$J$15</f>
        <v/>
      </c>
      <c r="AY50" s="18">
        <f>AY49+7</f>
        <v/>
      </c>
      <c r="AZ50" s="37">
        <f>'ПЛАН ЧИСТ К2'!B41*СПРАВОЧНИК!$L$9+'ПЛАН ЧИСТ К2'!C41*СПРАВОЧНИК!$M$9+'ПЛАН ЧИСТ К2'!D41*СПРАВОЧНИК!$N$9+'ПЛАН ЧИСТ К2'!E41*СПРАВОЧНИК!$O$9+'ПЛАН ЧИСТ К2'!F41*СПРАВОЧНИК!$L$10+'ПЛАН ЧИСТ К2'!G41*СПРАВОЧНИК!$M$10+'ПЛАН ЧИСТ К2'!H41*СПРАВОЧНИК!$N$10+'ПЛАН ЧИСТ К2'!I41*СПРАВОЧНИК!$O$10+'ПЛАН ЧИСТ К2'!J41*СПРАВОЧНИК!$L$11+'ПЛАН ЧИСТ К2'!K41*СПРАВОЧНИК!$M$11+'ПЛАН ЧИСТ К2'!L41*СПРАВОЧНИК!$N$11+'ПЛАН ЧИСТ К2'!M41*СПРАВОЧНИК!$L$12+'ПЛАН ЧИСТ К2'!N41*СПРАВОЧНИК!$M$12+'ПЛАН ЧИСТ К2'!O41*СПРАВОЧНИК!$N$12+'ПЛАН ЧИСТ К2'!P41*СПРАВОЧНИК!$O$12+'ПЛАН ЧИСТ К2'!Q41*СПРАВОЧНИК!$L$13+'ПЛАН ЧИСТ К2'!R41*СПРАВОЧНИК!$M$13+'ПЛАН ЧИСТ К2'!S41*СПРАВОЧНИК!$N$13+'ПЛАН ЧИСТ К2'!T41*СПРАВОЧНИК!$O$13+'ПЛАН ЧИСТ К2'!U41*СПРАВОЧНИК!$L$14+'ПЛАН ЧИСТ К2'!V41*СПРАВОЧНИК!$M$14+'ПЛАН ЧИСТ К2'!W41*СПРАВОЧНИК!$N$14+'ПЛАН ЧИСТ К2'!X41*СПРАВОЧНИК!$L$15+'ПЛАН ЧИСТ К2'!Y41*СПРАВОЧНИК!$M$15+'ПЛАН ЧИСТ К2'!Z41*СПРАВОЧНИК!$N$15</f>
        <v/>
      </c>
      <c r="BA50" s="40">
        <f>('ФАКТ ЧИСТ К2'!B41)*СПРАВОЧНИК!$L$9+('ФАКТ ЧИСТ К2'!C41)*СПРАВОЧНИК!$M$9+('ФАКТ ЧИСТ К2'!D41)*СПРАВОЧНИК!$N$9+('ФАКТ ЧИСТ К2'!E41)*СПРАВОЧНИК!$O$9+('ФАКТ ЧИСТ К2'!F41)*СПРАВОЧНИК!$L$10+('ФАКТ ЧИСТ К2'!G41)*СПРАВОЧНИК!$M$10+('ФАКТ ЧИСТ К2'!H41)*СПРАВОЧНИК!$N$10+('ФАКТ ЧИСТ К2'!I41)*СПРАВОЧНИК!$O$10+('ФАКТ ЧИСТ К2'!J41)*СПРАВОЧНИК!$L$11+('ФАКТ ЧИСТ К2'!K41)*СПРАВОЧНИК!$M$11+('ФАКТ ЧИСТ К2'!L41)*СПРАВОЧНИК!$N$11+('ФАКТ ЧИСТ К2'!M41)*СПРАВОЧНИК!$L$12+('ФАКТ ЧИСТ К2'!N41)*СПРАВОЧНИК!$M$12+('ФАКТ ЧИСТ К2'!O41)*СПРАВОЧНИК!$N$12+('ФАКТ ЧИСТ К2'!P41)*СПРАВОЧНИК!$O$12+('ФАКТ ЧИСТ К2'!Q41)*СПРАВОЧНИК!$L$13+('ФАКТ ЧИСТ К2'!R41)*СПРАВОЧНИК!$M$13+('ФАКТ ЧИСТ К2'!S41)*СПРАВОЧНИК!$N$13+('ФАКТ ЧИСТ К2'!T41)*СПРАВОЧНИК!$O$13+('ФАКТ ЧИСТ К2'!U41)*СПРАВОЧНИК!$L$14+('ФАКТ ЧИСТ К2'!V41)*СПРАВОЧНИК!$M$14+('ФАКТ ЧИСТ К2'!W41)*СПРАВОЧНИК!$N$14+('ФАКТ ЧИСТ К2'!X41)*СПРАВОЧНИК!$L$15+('ФАКТ ЧИСТ К2'!Y41)*СПРАВОЧНИК!$M$15+('ФАКТ ЧИСТ К2'!Z41)*СПРАВОЧНИК!$N$15</f>
        <v/>
      </c>
      <c r="BE50" s="18">
        <f>BE49+7</f>
        <v/>
      </c>
      <c r="BF50" s="37">
        <f>СПРАВОЧНИК!$E$9*('ПЛАН ЧЕРН К3'!B41*СПРАВОЧНИК!$H$9+'ПЛАН ЧЕРН К3'!C41*СПРАВОЧНИК!$I$9+'ПЛАН ЧЕРН К3'!D41*СПРАВОЧНИК!$J$9)+СПРАВОЧНИК!$E$10*('ПЛАН ЧЕРН К3'!E41*СПРАВОЧНИК!$H$10+'ПЛАН ЧЕРН К3'!F41*СПРАВОЧНИК!$I$10+'ПЛАН ЧЕРН К3'!G41*СПРАВОЧНИК!$J$10)+СПРАВОЧНИК!$E$11*('ПЛАН ЧЕРН К3'!H41*СПРАВОЧНИК!$H$11+'ПЛАН ЧЕРН К3'!I41*СПРАВОЧНИК!$I$11+'ПЛАН ЧЕРН К3'!J41*СПРАВОЧНИК!$J$11)+СПРАВОЧНИК!$E$12*('ПЛАН ЧЕРН К3'!K41*СПРАВОЧНИК!$H$12+'ПЛАН ЧЕРН К3'!L41*СПРАВОЧНИК!$I$12+'ПЛАН ЧЕРН К3'!M41*СПРАВОЧНИК!$J$12)+СПРАВОЧНИК!$E$13*('ПЛАН ЧЕРН К3'!N41*СПРАВОЧНИК!$H$13+'ПЛАН ЧЕРН К3'!O41*СПРАВОЧНИК!$I$13+'ПЛАН ЧЕРН К3'!P41*СПРАВОЧНИК!$J$13)+СПРАВОЧНИК!$E$14*('ПЛАН ЧЕРН К3'!Q41*СПРАВОЧНИК!$H$14+'ПЛАН ЧЕРН К3'!R41*СПРАВОЧНИК!$I$14+'ПЛАН ЧЕРН К3'!S41*СПРАВОЧНИК!$J$14)+СПРАВОЧНИК!$E$15*('ПЛАН ЧЕРН К3'!T41*СПРАВОЧНИК!$H$15+'ПЛАН ЧЕРН К3'!U41*СПРАВОЧНИК!$I$15+'ПЛАН ЧЕРН К3'!V41*СПРАВОЧНИК!$J$15)+СПРАВОЧНИК!$F$9*('ПЛАН ЧИСТ К3'!B41*СПРАВОЧНИК!$L$9+'ПЛАН ЧИСТ К3'!C41*СПРАВОЧНИК!$M$9+'ПЛАН ЧИСТ К3'!D41*СПРАВОЧНИК!$N$9+'ПЛАН ЧИСТ К3'!E41*СПРАВОЧНИК!$O$9)+СПРАВОЧНИК!$F$10*('ПЛАН ЧИСТ К3'!F41*СПРАВОЧНИК!$L$10+'ПЛАН ЧИСТ К3'!G41*СПРАВОЧНИК!$M$10+'ПЛАН ЧИСТ К3'!H41*СПРАВОЧНИК!$N$10+'ПЛАН ЧИСТ К3'!I41*СПРАВОЧНИК!$O$10)+СПРАВОЧНИК!$F$11*('ПЛАН ЧИСТ К3'!J41*СПРАВОЧНИК!$L$11+'ПЛАН ЧИСТ К3'!K41*СПРАВОЧНИК!$M$11+'ПЛАН ЧИСТ К3'!L41*СПРАВОЧНИК!$N$11)+СПРАВОЧНИК!$F$12*('ПЛАН ЧИСТ К3'!M41*СПРАВОЧНИК!$L$12+'ПЛАН ЧИСТ К3'!N41*СПРАВОЧНИК!$M$12+'ПЛАН ЧИСТ К3'!O41*СПРАВОЧНИК!$N$12+'ПЛАН ЧИСТ К3'!P41*СПРАВОЧНИК!$O$12)+СПРАВОЧНИК!$F$13*('ПЛАН ЧИСТ К3'!Q41*СПРАВОЧНИК!$L$13+'ПЛАН ЧИСТ К3'!R41*СПРАВОЧНИК!$M$13+'ПЛАН ЧИСТ К3'!S41*СПРАВОЧНИК!$N$13+'ПЛАН ЧИСТ К3'!T41*СПРАВОЧНИК!$O$13)+СПРАВОЧНИК!$F$14*('ПЛАН ЧИСТ К3'!U41*СПРАВОЧНИК!$L$14+'ПЛАН ЧИСТ К3'!V41*СПРАВОЧНИК!$M$14+'ПЛАН ЧИСТ К3'!W41*СПРАВОЧНИК!$N$14)+СПРАВОЧНИК!$F$15*('ПЛАН ЧИСТ К3'!X41*СПРАВОЧНИК!$L$15+'ПЛАН ЧИСТ К3'!Y41*СПРАВОЧНИК!$M$15+'ПЛАН ЧИСТ К3'!Z41*СПРАВОЧНИК!$N$15)</f>
        <v/>
      </c>
      <c r="BG50" s="40">
        <f>СПРАВОЧНИК!$E$9*(('ФАКТ ЧЕРН К3'!B41)*СПРАВОЧНИК!$H$9+('ФАКТ ЧЕРН К3'!C41)*СПРАВОЧНИК!$I$9+('ФАКТ ЧЕРН К3'!D41)*СПРАВОЧНИК!$J$9)+СПРАВОЧНИК!$E$10*(('ФАКТ ЧЕРН К3'!E41)*СПРАВОЧНИК!$H$10+('ФАКТ ЧЕРН К3'!F41)*СПРАВОЧНИК!$I$10+('ФАКТ ЧЕРН К3'!G41)*СПРАВОЧНИК!$J$10)+СПРАВОЧНИК!$E$11*(('ФАКТ ЧЕРН К3'!H41)*СПРАВОЧНИК!$H$11+('ФАКТ ЧЕРН К3'!I41)*СПРАВОЧНИК!$I$11+('ФАКТ ЧЕРН К3'!J41)*СПРАВОЧНИК!$J$11)+СПРАВОЧНИК!$E$12*(('ФАКТ ЧЕРН К3'!K41)*СПРАВОЧНИК!$H$12+('ФАКТ ЧЕРН К3'!L41)*СПРАВОЧНИК!$I$12+('ФАКТ ЧЕРН К3'!M41)*СПРАВОЧНИК!$J$12)+СПРАВОЧНИК!$E$13*(('ФАКТ ЧЕРН К3'!N41)*СПРАВОЧНИК!$H$13+('ФАКТ ЧЕРН К3'!O41)*СПРАВОЧНИК!$I$13+('ФАКТ ЧЕРН К3'!P41)*СПРАВОЧНИК!$J$13)+СПРАВОЧНИК!$E$14*(('ФАКТ ЧЕРН К3'!Q41)*СПРАВОЧНИК!$H$14+('ФАКТ ЧЕРН К3'!R41)*СПРАВОЧНИК!$I$14+('ФАКТ ЧЕРН К3'!S41)*СПРАВОЧНИК!$J$14)+СПРАВОЧНИК!$E$15*(('ФАКТ ЧЕРН К3'!T41)*СПРАВОЧНИК!$H$15+('ФАКТ ЧЕРН К3'!U41)*СПРАВОЧНИК!$I$15+('ФАКТ ЧЕРН К3'!V41)*СПРАВОЧНИК!$J$15)+СПРАВОЧНИК!$F$9*(('ФАКТ ЧИСТ К3'!B41)*СПРАВОЧНИК!$L$9+('ФАКТ ЧИСТ К3'!C41)*СПРАВОЧНИК!$M$9+('ФАКТ ЧИСТ К3'!D41)*СПРАВОЧНИК!$N$9+('ФАКТ ЧИСТ К3'!E41)*СПРАВОЧНИК!$O$9)+СПРАВОЧНИК!$F$10*(('ФАКТ ЧИСТ К3'!F41)*СПРАВОЧНИК!$L$10+('ФАКТ ЧИСТ К3'!G41)*СПРАВОЧНИК!$M$10+('ФАКТ ЧИСТ К3'!H41)*СПРАВОЧНИК!$N$10+('ФАКТ ЧИСТ К3'!I41)*СПРАВОЧНИК!$O$10)+СПРАВОЧНИК!$F$11*(('ФАКТ ЧИСТ К3'!J41)*СПРАВОЧНИК!$L$11+('ФАКТ ЧИСТ К3'!K41)*СПРАВОЧНИК!$M$11+('ФАКТ ЧИСТ К3'!L41)*СПРАВОЧНИК!$N$11)+СПРАВОЧНИК!$F$12*(('ФАКТ ЧИСТ К3'!M41)*СПРАВОЧНИК!$L$12+('ФАКТ ЧИСТ К3'!N41)*СПРАВОЧНИК!$M$12+('ФАКТ ЧИСТ К3'!O41)*СПРАВОЧНИК!$N$12+('ФАКТ ЧИСТ К3'!P41)*СПРАВОЧНИК!$O$12)+СПРАВОЧНИК!$F$13*(('ФАКТ ЧИСТ К3'!Q41)*СПРАВОЧНИК!$L$13+('ФАКТ ЧИСТ К3'!R41)*СПРАВОЧНИК!$M$13+('ФАКТ ЧИСТ К3'!S41)*СПРАВОЧНИК!$N$13+('ФАКТ ЧИСТ К3'!T41)*СПРАВОЧНИК!$O$13)+СПРАВОЧНИК!$F$14*(('ФАКТ ЧИСТ К3'!U41)*СПРАВОЧНИК!$L$14+('ФАКТ ЧИСТ К3'!V41)*СПРАВОЧНИК!$M$14+('ФАКТ ЧИСТ К3'!W41)*СПРАВОЧНИК!$N$14)+СПРАВОЧНИК!$F$15*(('ФАКТ ЧИСТ К3'!X41)*СПРАВОЧНИК!$L$15+('ФАКТ ЧИСТ К3'!Y41)*СПРАВОЧНИК!$M$15+('ФАКТ ЧИСТ К3'!Z41)*СПРАВОЧНИК!$N$15)</f>
        <v/>
      </c>
      <c r="BK50" s="18">
        <f>BK49+7</f>
        <v/>
      </c>
      <c r="BL50" s="37">
        <f>'ПЛАН ЧЕРН К3'!B41*СПРАВОЧНИК!$H$9+'ПЛАН ЧЕРН К3'!C41*СПРАВОЧНИК!$I$9+'ПЛАН ЧЕРН К3'!D41*СПРАВОЧНИК!$J$9+'ПЛАН ЧЕРН К3'!E41*СПРАВОЧНИК!$H$10+'ПЛАН ЧЕРН К3'!F41*СПРАВОЧНИК!$I$10+'ПЛАН ЧЕРН К3'!G41*СПРАВОЧНИК!$J$10+'ПЛАН ЧЕРН К3'!H41*СПРАВОЧНИК!$H$11+'ПЛАН ЧЕРН К3'!I41*СПРАВОЧНИК!$I$11+'ПЛАН ЧЕРН К3'!J41*СПРАВОЧНИК!$J$11+'ПЛАН ЧЕРН К3'!K41*СПРАВОЧНИК!$H$12+'ПЛАН ЧЕРН К3'!L41*СПРАВОЧНИК!$I$12+'ПЛАН ЧЕРН К3'!M41*СПРАВОЧНИК!$J$12+'ПЛАН ЧЕРН К3'!N41*СПРАВОЧНИК!$H$13+'ПЛАН ЧЕРН К3'!O41*СПРАВОЧНИК!$I$13+'ПЛАН ЧЕРН К3'!P41*СПРАВОЧНИК!$J$13+'ПЛАН ЧЕРН К3'!Q41*СПРАВОЧНИК!$H$14+'ПЛАН ЧЕРН К3'!R41*СПРАВОЧНИК!$I$14+'ПЛАН ЧЕРН К3'!S41*СПРАВОЧНИК!$J$14+'ПЛАН ЧЕРН К3'!T41*СПРАВОЧНИК!$H$15+'ПЛАН ЧЕРН К3'!U41*СПРАВОЧНИК!$I$15+'ПЛАН ЧЕРН К3'!V41*СПРАВОЧНИК!$J$15</f>
        <v/>
      </c>
      <c r="BM50" s="40">
        <f>('ФАКТ ЧЕРН К3'!B41)*СПРАВОЧНИК!$H$9+('ФАКТ ЧЕРН К3'!C41)*СПРАВОЧНИК!$I$9+('ФАКТ ЧЕРН К3'!D41)*СПРАВОЧНИК!$J$9+('ФАКТ ЧЕРН К3'!E41)*СПРАВОЧНИК!$H$10+('ФАКТ ЧЕРН К3'!F41)*СПРАВОЧНИК!$I$10+('ФАКТ ЧЕРН К3'!G41)*СПРАВОЧНИК!$J$10+('ФАКТ ЧЕРН К3'!H41)*СПРАВОЧНИК!$H$11+('ФАКТ ЧЕРН К3'!I41)*СПРАВОЧНИК!$I$11+('ФАКТ ЧЕРН К3'!J41)*СПРАВОЧНИК!$J$11+('ФАКТ ЧЕРН К3'!K41)*СПРАВОЧНИК!$H$12+('ФАКТ ЧЕРН К3'!L41)*СПРАВОЧНИК!$I$12+('ФАКТ ЧЕРН К3'!M41)*СПРАВОЧНИК!$J$12+('ФАКТ ЧЕРН К3'!N41)*СПРАВОЧНИК!$H$13+('ФАКТ ЧЕРН К3'!O41)*СПРАВОЧНИК!$I$13+('ФАКТ ЧЕРН К3'!P41)*СПРАВОЧНИК!$J$13+('ФАКТ ЧЕРН К3'!Q41)*СПРАВОЧНИК!$H$14+('ФАКТ ЧЕРН К3'!R41)*СПРАВОЧНИК!$I$14+('ФАКТ ЧЕРН К3'!S41)*СПРАВОЧНИК!$J$14+('ФАКТ ЧЕРН К3'!T41)*СПРАВОЧНИК!$H$15+('ФАКТ ЧЕРН К3'!U41)*СПРАВОЧНИК!$I$15+('ФАКТ ЧЕРН К3'!V41)*СПРАВОЧНИК!$J$15</f>
        <v/>
      </c>
      <c r="BQ50" s="18">
        <f>BQ49+7</f>
        <v/>
      </c>
      <c r="BR50" s="37">
        <f>'ПЛАН ЧИСТ К3'!B41*СПРАВОЧНИК!$L$9+'ПЛАН ЧИСТ К3'!C41*СПРАВОЧНИК!$M$9+'ПЛАН ЧИСТ К3'!D41*СПРАВОЧНИК!$N$9+'ПЛАН ЧИСТ К3'!E41*СПРАВОЧНИК!$O$9+'ПЛАН ЧИСТ К3'!F41*СПРАВОЧНИК!$L$10+'ПЛАН ЧИСТ К3'!G41*СПРАВОЧНИК!$M$10+'ПЛАН ЧИСТ К3'!H41*СПРАВОЧНИК!$N$10+'ПЛАН ЧИСТ К3'!I41*СПРАВОЧНИК!$O$10+'ПЛАН ЧИСТ К3'!J41*СПРАВОЧНИК!$L$11+'ПЛАН ЧИСТ К3'!K41*СПРАВОЧНИК!$M$11+'ПЛАН ЧИСТ К3'!L41*СПРАВОЧНИК!$N$11+'ПЛАН ЧИСТ К3'!M41*СПРАВОЧНИК!$L$12+'ПЛАН ЧИСТ К3'!N41*СПРАВОЧНИК!$M$12+'ПЛАН ЧИСТ К3'!O41*СПРАВОЧНИК!$N$12+'ПЛАН ЧИСТ К3'!P41*СПРАВОЧНИК!$O$12+'ПЛАН ЧИСТ К3'!Q41*СПРАВОЧНИК!$L$13+'ПЛАН ЧИСТ К3'!R41*СПРАВОЧНИК!$M$13+'ПЛАН ЧИСТ К3'!S41*СПРАВОЧНИК!$N$13+'ПЛАН ЧИСТ К3'!T41*СПРАВОЧНИК!$O$13+'ПЛАН ЧИСТ К3'!U41*СПРАВОЧНИК!$L$14+'ПЛАН ЧИСТ К3'!V41*СПРАВОЧНИК!$M$14+'ПЛАН ЧИСТ К3'!W41*СПРАВОЧНИК!$N$14+'ПЛАН ЧИСТ К3'!X41*СПРАВОЧНИК!$L$15+'ПЛАН ЧИСТ К3'!Y41*СПРАВОЧНИК!$M$15+'ПЛАН ЧИСТ К3'!Z41*СПРАВОЧНИК!$N$15</f>
        <v/>
      </c>
      <c r="BS50" s="40">
        <f>('ФАКТ ЧИСТ К3'!B41)*СПРАВОЧНИК!$L$9+('ФАКТ ЧИСТ К3'!C41)*СПРАВОЧНИК!$M$9+('ФАКТ ЧИСТ К3'!D41)*СПРАВОЧНИК!$N$9+('ФАКТ ЧИСТ К3'!E41)*СПРАВОЧНИК!$O$9+('ФАКТ ЧИСТ К3'!F41)*СПРАВОЧНИК!$L$10+('ФАКТ ЧИСТ К3'!G41)*СПРАВОЧНИК!$M$10+('ФАКТ ЧИСТ К3'!H41)*СПРАВОЧНИК!$N$10+('ФАКТ ЧИСТ К3'!I41)*СПРАВОЧНИК!$O$10+('ФАКТ ЧИСТ К3'!J41)*СПРАВОЧНИК!$L$11+('ФАКТ ЧИСТ К3'!K41)*СПРАВОЧНИК!$M$11+('ФАКТ ЧИСТ К3'!L41)*СПРАВОЧНИК!$N$11+('ФАКТ ЧИСТ К3'!M41)*СПРАВОЧНИК!$L$12+('ФАКТ ЧИСТ К3'!N41)*СПРАВОЧНИК!$M$12+('ФАКТ ЧИСТ К3'!O41)*СПРАВОЧНИК!$N$12+('ФАКТ ЧИСТ К3'!P41)*СПРАВОЧНИК!$O$12+('ФАКТ ЧИСТ К3'!Q41)*СПРАВОЧНИК!$L$13+('ФАКТ ЧИСТ К3'!R41)*СПРАВОЧНИК!$M$13+('ФАКТ ЧИСТ К3'!S41)*СПРАВОЧНИК!$N$13+('ФАКТ ЧИСТ К3'!T41)*СПРАВОЧНИК!$O$13+('ФАКТ ЧИСТ К3'!U41)*СПРАВОЧНИК!$L$14+('ФАКТ ЧИСТ К3'!V41)*СПРАВОЧНИК!$M$14+('ФАКТ ЧИСТ К3'!W41)*СПРАВОЧНИК!$N$14+('ФАКТ ЧИСТ К3'!X41)*СПРАВОЧНИК!$L$15+('ФАКТ ЧИСТ К3'!Y41)*СПРАВОЧНИК!$M$15+('ФАКТ ЧИСТ К3'!Z41)*СПРАВОЧНИК!$N$15</f>
        <v/>
      </c>
      <c r="BW50" s="18">
        <f>BW49+7</f>
        <v/>
      </c>
      <c r="BX50" s="37">
        <f>V50+AN50+BF50</f>
        <v/>
      </c>
      <c r="BY50" s="40">
        <f>W50+AO50+BG50</f>
        <v/>
      </c>
      <c r="CC50" s="18">
        <f>CC49+7</f>
        <v/>
      </c>
      <c r="CD50" s="37">
        <f>AB50+AT50+BL50</f>
        <v/>
      </c>
      <c r="CE50" s="40">
        <f>AC50+AU50+BM50</f>
        <v/>
      </c>
      <c r="CI50" s="18">
        <f>CI49+7</f>
        <v/>
      </c>
      <c r="CJ50" s="37">
        <f>AH50+AZ50+BR50</f>
        <v/>
      </c>
      <c r="CK50" s="40">
        <f>AI50+BA50+BS50</f>
        <v/>
      </c>
      <c r="CO50" s="18">
        <f>CO49+7</f>
        <v/>
      </c>
      <c r="CP50" s="37">
        <f>D50+BX50</f>
        <v/>
      </c>
      <c r="CQ50" s="40">
        <f>E50+BY50</f>
        <v/>
      </c>
      <c r="CU50" s="18">
        <f>CU49+7</f>
        <v/>
      </c>
      <c r="CV50" s="37">
        <f>J50+CD50</f>
        <v/>
      </c>
      <c r="CW50" s="40">
        <f>K50+CE50</f>
        <v/>
      </c>
      <c r="DA50" s="18">
        <f>DA49+7</f>
        <v/>
      </c>
      <c r="DB50" s="37">
        <f>P50+CJ50</f>
        <v/>
      </c>
      <c r="DC50" s="40">
        <f>Q50+CK50</f>
        <v/>
      </c>
    </row>
    <row r="51">
      <c r="C51" s="18">
        <f>C50+7</f>
        <v/>
      </c>
      <c r="D51" s="37">
        <f>СПРАВОЧНИК!$E$3*('ПЛАН ЧЕРН ПОДЗЕМ'!B42*СПРАВОЧНИК!$H$3+'ПЛАН ЧЕРН ПОДЗЕМ'!C42*СПРАВОЧНИК!$I$3+'ПЛАН ЧЕРН ПОДЗЕМ'!D42*СПРАВОЧНИК!$J$3)+СПРАВОЧНИК!$E$4*('ПЛАН ЧЕРН ПОДЗЕМ'!E42*СПРАВОЧНИК!$H$4+'ПЛАН ЧЕРН ПОДЗЕМ'!F42*СПРАВОЧНИК!$I$4+'ПЛАН ЧЕРН ПОДЗЕМ'!G42*СПРАВОЧНИК!$J$4)+СПРАВОЧНИК!$E$5*('ПЛАН ЧЕРН ПОДЗЕМ'!H42*СПРАВОЧНИК!$H$5+'ПЛАН ЧЕРН ПОДЗЕМ'!I42*СПРАВОЧНИК!$I$5+'ПЛАН ЧЕРН ПОДЗЕМ'!J42*СПРАВОЧНИК!$J$5)+СПРАВОЧНИК!$E$6*('ПЛАН ЧЕРН ПОДЗЕМ'!K42*СПРАВОЧНИК!$H$6+'ПЛАН ЧЕРН ПОДЗЕМ'!L42*СПРАВОЧНИК!$I$6+'ПЛАН ЧЕРН ПОДЗЕМ'!M42*СПРАВОЧНИК!$J$6)+СПРАВОЧНИК!$E$7*('ПЛАН ЧЕРН ПОДЗЕМ'!N42*СПРАВОЧНИК!$H$7+'ПЛАН ЧЕРН ПОДЗЕМ'!O42*СПРАВОЧНИК!$I$7+'ПЛАН ЧЕРН ПОДЗЕМ'!P42*СПРАВОЧНИК!$J$7)+СПРАВОЧНИК!$E$8*('ПЛАН ЧЕРН ПОДЗЕМ'!Q42*СПРАВОЧНИК!$H$8+'ПЛАН ЧЕРН ПОДЗЕМ'!R42*СПРАВОЧНИК!$I$8+'ПЛАН ЧЕРН ПОДЗЕМ'!S42*СПРАВОЧНИК!$J$8)+СПРАВОЧНИК!$F$3*('ПЛАН ЧИСТ ПОДЗЕМ'!B42*СПРАВОЧНИК!$L$3+'ПЛАН ЧИСТ ПОДЗЕМ'!C42*СПРАВОЧНИК!$M$3+'ПЛАН ЧИСТ ПОДЗЕМ'!D42*СПРАВОЧНИК!$N$3+'ПЛАН ЧИСТ ПОДЗЕМ'!E42*СПРАВОЧНИК!$O$3)+СПРАВОЧНИК!$F$4*('ПЛАН ЧИСТ ПОДЗЕМ'!F42*СПРАВОЧНИК!$L$4+'ПЛАН ЧИСТ ПОДЗЕМ'!G42*СПРАВОЧНИК!$M$4+'ПЛАН ЧИСТ ПОДЗЕМ'!H42*СПРАВОЧНИК!$N$4+'ПЛАН ЧИСТ ПОДЗЕМ'!I42*СПРАВОЧНИК!$O$4)+СПРАВОЧНИК!$F$5*('ПЛАН ЧИСТ ПОДЗЕМ'!J42*СПРАВОЧНИК!$L$5+'ПЛАН ЧИСТ ПОДЗЕМ'!K42*СПРАВОЧНИК!$M$5+'ПЛАН ЧИСТ ПОДЗЕМ'!L42*СПРАВОЧНИК!$N$5)+СПРАВОЧНИК!$F$6*('ПЛАН ЧИСТ ПОДЗЕМ'!M42*СПРАВОЧНИК!$L$6+'ПЛАН ЧИСТ ПОДЗЕМ'!N42*СПРАВОЧНИК!$M$6+'ПЛАН ЧИСТ ПОДЗЕМ'!O42*СПРАВОЧНИК!$N$6+'ПЛАН ЧИСТ ПОДЗЕМ'!P42*СПРАВОЧНИК!$O$6)+СПРАВОЧНИК!$F$7*('ПЛАН ЧИСТ ПОДЗЕМ'!Q42*СПРАВОЧНИК!$L$7+'ПЛАН ЧИСТ ПОДЗЕМ'!R42*СПРАВОЧНИК!$M$7+'ПЛАН ЧИСТ ПОДЗЕМ'!S42*СПРАВОЧНИК!$N$7+'ПЛАН ЧИСТ ПОДЗЕМ'!T42*СПРАВОЧНИК!$O$7)+СПРАВОЧНИК!$F$8*('ПЛАН ЧИСТ ПОДЗЕМ'!U42*СПРАВОЧНИК!$L$8+'ПЛАН ЧИСТ ПОДЗЕМ'!V42*СПРАВОЧНИК!$M$8+'ПЛАН ЧИСТ ПОДЗЕМ'!W42*СПРАВОЧНИК!$N$8)</f>
        <v/>
      </c>
      <c r="E51" s="40">
        <f>СПРАВОЧНИК!$E$3*(('ФАКТ ЧЕРН ПОДЗЕМ'!B42)*СПРАВОЧНИК!$H$3+('ФАКТ ЧЕРН ПОДЗЕМ'!C42)*СПРАВОЧНИК!$I$3+('ФАКТ ЧЕРН ПОДЗЕМ'!D42)*СПРАВОЧНИК!$J$3)+СПРАВОЧНИК!$E$4*(('ФАКТ ЧЕРН ПОДЗЕМ'!E42)*СПРАВОЧНИК!$H$4+('ФАКТ ЧЕРН ПОДЗЕМ'!F42)*СПРАВОЧНИК!$I$4+('ФАКТ ЧЕРН ПОДЗЕМ'!G42)*СПРАВОЧНИК!$J$4)+СПРАВОЧНИК!$E$5*(('ФАКТ ЧЕРН ПОДЗЕМ'!H42)*СПРАВОЧНИК!$H$5+('ФАКТ ЧЕРН ПОДЗЕМ'!I42)*СПРАВОЧНИК!$I$5+('ФАКТ ЧЕРН ПОДЗЕМ'!J42)*СПРАВОЧНИК!$J$5)+СПРАВОЧНИК!$E$6*(('ФАКТ ЧЕРН ПОДЗЕМ'!K42)*СПРАВОЧНИК!$H$6+('ФАКТ ЧЕРН ПОДЗЕМ'!L42)*СПРАВОЧНИК!$I$6+('ФАКТ ЧЕРН ПОДЗЕМ'!M42)*СПРАВОЧНИК!$J$6)+СПРАВОЧНИК!$E$7*(('ФАКТ ЧЕРН ПОДЗЕМ'!N42)*СПРАВОЧНИК!$H$7+('ФАКТ ЧЕРН ПОДЗЕМ'!O42)*СПРАВОЧНИК!$I$7+('ФАКТ ЧЕРН ПОДЗЕМ'!P42)*СПРАВОЧНИК!$J$7)+СПРАВОЧНИК!$E$8*(('ФАКТ ЧЕРН ПОДЗЕМ'!Q42)*СПРАВОЧНИК!$H$8+('ФАКТ ЧЕРН ПОДЗЕМ'!R42)*СПРАВОЧНИК!$I$8+('ФАКТ ЧЕРН ПОДЗЕМ'!S42)*СПРАВОЧНИК!$J$8)+СПРАВОЧНИК!$F$3*(('ФАКТ ЧИСТ ПОДЗЕМ'!B42)*СПРАВОЧНИК!$L$3+('ФАКТ ЧИСТ ПОДЗЕМ'!C42)*СПРАВОЧНИК!$M$3+('ФАКТ ЧИСТ ПОДЗЕМ'!D42)*СПРАВОЧНИК!$N$3+('ФАКТ ЧИСТ ПОДЗЕМ'!E42)*СПРАВОЧНИК!$O$3)+СПРАВОЧНИК!$F$4*(('ФАКТ ЧИСТ ПОДЗЕМ'!F42)*СПРАВОЧНИК!$L$4+('ФАКТ ЧИСТ ПОДЗЕМ'!G42)*СПРАВОЧНИК!$M$4+('ФАКТ ЧИСТ ПОДЗЕМ'!H42)*СПРАВОЧНИК!$N$4+('ФАКТ ЧИСТ ПОДЗЕМ'!I42)*СПРАВОЧНИК!$O$4)+СПРАВОЧНИК!$F$5*(('ФАКТ ЧИСТ ПОДЗЕМ'!J42)*СПРАВОЧНИК!$L$5+('ФАКТ ЧИСТ ПОДЗЕМ'!K42)*СПРАВОЧНИК!$M$5+('ФАКТ ЧИСТ ПОДЗЕМ'!L42)*СПРАВОЧНИК!$N$5)+СПРАВОЧНИК!$F$6*(('ФАКТ ЧИСТ ПОДЗЕМ'!M42)*СПРАВОЧНИК!$L$6+('ФАКТ ЧИСТ ПОДЗЕМ'!N42)*СПРАВОЧНИК!$M$6+('ФАКТ ЧИСТ ПОДЗЕМ'!O42)*СПРАВОЧНИК!$N$6+('ФАКТ ЧИСТ ПОДЗЕМ'!P42)*СПРАВОЧНИК!$O$6)+СПРАВОЧНИК!$F$7*(('ФАКТ ЧИСТ ПОДЗЕМ'!Q42)*СПРАВОЧНИК!$L$7+('ФАКТ ЧИСТ ПОДЗЕМ'!R42)*СПРАВОЧНИК!$M$7+('ФАКТ ЧИСТ ПОДЗЕМ'!S42)*СПРАВОЧНИК!$N$7+('ФАКТ ЧИСТ ПОДЗЕМ'!T42)*СПРАВОЧНИК!$O$7)+СПРАВОЧНИК!$F$8*(('ФАКТ ЧИСТ ПОДЗЕМ'!U42)*СПРАВОЧНИК!$L$8+('ФАКТ ЧИСТ ПОДЗЕМ'!V42)*СПРАВОЧНИК!$M$8+('ФАКТ ЧИСТ ПОДЗЕМ'!W42)*СПРАВОЧНИК!$N$8)</f>
        <v/>
      </c>
      <c r="I51" s="18">
        <f>I50+7</f>
        <v/>
      </c>
      <c r="J51" s="37">
        <f>'ПЛАН ЧЕРН ПОДЗЕМ'!B42*СПРАВОЧНИК!$H$3+'ПЛАН ЧЕРН ПОДЗЕМ'!C42*СПРАВОЧНИК!$I$3+'ПЛАН ЧЕРН ПОДЗЕМ'!D42*СПРАВОЧНИК!$J$3+'ПЛАН ЧЕРН ПОДЗЕМ'!E42*СПРАВОЧНИК!$H$4+'ПЛАН ЧЕРН ПОДЗЕМ'!F42*СПРАВОЧНИК!$I$4+'ПЛАН ЧЕРН ПОДЗЕМ'!G42*СПРАВОЧНИК!$J$4+'ПЛАН ЧЕРН ПОДЗЕМ'!H42*СПРАВОЧНИК!$H$5+'ПЛАН ЧЕРН ПОДЗЕМ'!I42*СПРАВОЧНИК!$I$5+'ПЛАН ЧЕРН ПОДЗЕМ'!J42*СПРАВОЧНИК!$J$5+'ПЛАН ЧЕРН ПОДЗЕМ'!K42*СПРАВОЧНИК!$H$6+'ПЛАН ЧЕРН ПОДЗЕМ'!L42*СПРАВОЧНИК!$I$6+'ПЛАН ЧЕРН ПОДЗЕМ'!M42*СПРАВОЧНИК!$J$6+'ПЛАН ЧЕРН ПОДЗЕМ'!N42*СПРАВОЧНИК!$H$7+'ПЛАН ЧЕРН ПОДЗЕМ'!O42*СПРАВОЧНИК!$I$7+'ПЛАН ЧЕРН ПОДЗЕМ'!P42*СПРАВОЧНИК!$J$7+'ПЛАН ЧЕРН ПОДЗЕМ'!Q42*СПРАВОЧНИК!$H$8+'ПЛАН ЧЕРН ПОДЗЕМ'!R42*СПРАВОЧНИК!$I$8+'ПЛАН ЧЕРН ПОДЗЕМ'!S42*СПРАВОЧНИК!$J$8</f>
        <v/>
      </c>
      <c r="K51" s="40">
        <f>('ФАКТ ЧЕРН ПОДЗЕМ'!B42)*СПРАВОЧНИК!$H$3+('ФАКТ ЧЕРН ПОДЗЕМ'!C42)*СПРАВОЧНИК!$I$3+('ФАКТ ЧЕРН ПОДЗЕМ'!D42)*СПРАВОЧНИК!$J$3+('ФАКТ ЧЕРН ПОДЗЕМ'!E42)*СПРАВОЧНИК!$H$4+('ФАКТ ЧЕРН ПОДЗЕМ'!F42)*СПРАВОЧНИК!$I$4+('ФАКТ ЧЕРН ПОДЗЕМ'!G42)*СПРАВОЧНИК!$J$4+('ФАКТ ЧЕРН ПОДЗЕМ'!H42)*СПРАВОЧНИК!$H$5+('ФАКТ ЧЕРН ПОДЗЕМ'!I42)*СПРАВОЧНИК!$I$5+('ФАКТ ЧЕРН ПОДЗЕМ'!J42)*СПРАВОЧНИК!$J$5+('ФАКТ ЧЕРН ПОДЗЕМ'!K42)*СПРАВОЧНИК!$H$6+('ФАКТ ЧЕРН ПОДЗЕМ'!L42)*СПРАВОЧНИК!$I$6+('ФАКТ ЧЕРН ПОДЗЕМ'!M42)*СПРАВОЧНИК!$J$6+('ФАКТ ЧЕРН ПОДЗЕМ'!N42)*СПРАВОЧНИК!$H$7+('ФАКТ ЧЕРН ПОДЗЕМ'!O42)*СПРАВОЧНИК!$I$7+('ФАКТ ЧЕРН ПОДЗЕМ'!P42)*СПРАВОЧНИК!$J$7+('ФАКТ ЧЕРН ПОДЗЕМ'!Q42)*СПРАВОЧНИК!$H$8+('ФАКТ ЧЕРН ПОДЗЕМ'!R42)*СПРАВОЧНИК!$I$8+('ФАКТ ЧЕРН ПОДЗЕМ'!S42)*СПРАВОЧНИК!$J$8</f>
        <v/>
      </c>
      <c r="O51" s="18">
        <f>O50+7</f>
        <v/>
      </c>
      <c r="P51" s="37">
        <f>'ПЛАН ЧИСТ ПОДЗЕМ'!B42*СПРАВОЧНИК!$L$3+'ПЛАН ЧИСТ ПОДЗЕМ'!C42*СПРАВОЧНИК!$M$3+'ПЛАН ЧИСТ ПОДЗЕМ'!D42*СПРАВОЧНИК!$N$3+'ПЛАН ЧИСТ ПОДЗЕМ'!E42*СПРАВОЧНИК!$O$3+'ПЛАН ЧИСТ ПОДЗЕМ'!F42*СПРАВОЧНИК!$L$4+'ПЛАН ЧИСТ ПОДЗЕМ'!G42*СПРАВОЧНИК!$M$4+'ПЛАН ЧИСТ ПОДЗЕМ'!H42*СПРАВОЧНИК!$N$4+'ПЛАН ЧИСТ ПОДЗЕМ'!I42*СПРАВОЧНИК!$O$4+'ПЛАН ЧИСТ ПОДЗЕМ'!J42*СПРАВОЧНИК!$L$5+'ПЛАН ЧИСТ ПОДЗЕМ'!K42*СПРАВОЧНИК!$M$5+'ПЛАН ЧИСТ ПОДЗЕМ'!L42*СПРАВОЧНИК!$N$5+'ПЛАН ЧИСТ ПОДЗЕМ'!M42*СПРАВОЧНИК!$L$6+'ПЛАН ЧИСТ ПОДЗЕМ'!N42*СПРАВОЧНИК!$M$6+'ПЛАН ЧИСТ ПОДЗЕМ'!O42*СПРАВОЧНИК!$N$6+'ПЛАН ЧИСТ ПОДЗЕМ'!P42*СПРАВОЧНИК!$O$6+'ПЛАН ЧИСТ ПОДЗЕМ'!Q42*СПРАВОЧНИК!$L$7+'ПЛАН ЧИСТ ПОДЗЕМ'!R42*СПРАВОЧНИК!$M$7+'ПЛАН ЧИСТ ПОДЗЕМ'!S42*СПРАВОЧНИК!$N$7+'ПЛАН ЧИСТ ПОДЗЕМ'!T42*СПРАВОЧНИК!$O$7+'ПЛАН ЧИСТ ПОДЗЕМ'!U42*СПРАВОЧНИК!$L$8+'ПЛАН ЧИСТ ПОДЗЕМ'!V42*СПРАВОЧНИК!$M$8+'ПЛАН ЧИСТ ПОДЗЕМ'!W42*СПРАВОЧНИК!$N$8</f>
        <v/>
      </c>
      <c r="Q51" s="40">
        <f>('ФАКТ ЧИСТ ПОДЗЕМ'!B42)*СПРАВОЧНИК!$L$3+('ФАКТ ЧИСТ ПОДЗЕМ'!C42)*СПРАВОЧНИК!$M$3+('ФАКТ ЧИСТ ПОДЗЕМ'!D42)*СПРАВОЧНИК!$N$3+('ФАКТ ЧИСТ ПОДЗЕМ'!E42)*СПРАВОЧНИК!$O$3+('ФАКТ ЧИСТ ПОДЗЕМ'!F42)*СПРАВОЧНИК!$L$4+('ФАКТ ЧИСТ ПОДЗЕМ'!G42)*СПРАВОЧНИК!$M$4+('ФАКТ ЧИСТ ПОДЗЕМ'!H42)*СПРАВОЧНИК!$N$4+('ФАКТ ЧИСТ ПОДЗЕМ'!I42)*СПРАВОЧНИК!$O$4+('ФАКТ ЧИСТ ПОДЗЕМ'!J42)*СПРАВОЧНИК!$L$5+('ФАКТ ЧИСТ ПОДЗЕМ'!K42)*СПРАВОЧНИК!$M$5+('ФАКТ ЧИСТ ПОДЗЕМ'!L42)*СПРАВОЧНИК!$N$5+('ФАКТ ЧИСТ ПОДЗЕМ'!M42)*СПРАВОЧНИК!$L$6+('ФАКТ ЧИСТ ПОДЗЕМ'!N42)*СПРАВОЧНИК!$M$6+('ФАКТ ЧИСТ ПОДЗЕМ'!O42)*СПРАВОЧНИК!$N$6+('ФАКТ ЧИСТ ПОДЗЕМ'!P42)*СПРАВОЧНИК!$O$6+('ФАКТ ЧИСТ ПОДЗЕМ'!Q42)*СПРАВОЧНИК!$L$7+('ФАКТ ЧИСТ ПОДЗЕМ'!R42)*СПРАВОЧНИК!$M$7+('ФАКТ ЧИСТ ПОДЗЕМ'!S42)*СПРАВОЧНИК!$N$7+('ФАКТ ЧИСТ ПОДЗЕМ'!T42)*СПРАВОЧНИК!$O$7+('ФАКТ ЧИСТ ПОДЗЕМ'!U42)*СПРАВОЧНИК!$L$8+('ФАКТ ЧИСТ ПОДЗЕМ'!V42)*СПРАВОЧНИК!$M$8+('ФАКТ ЧИСТ ПОДЗЕМ'!W42)*СПРАВОЧНИК!$N$8</f>
        <v/>
      </c>
      <c r="U51" s="18">
        <f>U50+7</f>
        <v/>
      </c>
      <c r="V51" s="37">
        <f>СПРАВОЧНИК!$E$9*('ПЛАН ЧЕРН К1'!B42*СПРАВОЧНИК!$H$9+'ПЛАН ЧЕРН К1'!C42*СПРАВОЧНИК!$I$9+'ПЛАН ЧЕРН К1'!D42*СПРАВОЧНИК!$J$9)+СПРАВОЧНИК!$E$10*('ПЛАН ЧЕРН К1'!E42*СПРАВОЧНИК!$H$10+'ПЛАН ЧЕРН К1'!F42*СПРАВОЧНИК!$I$10+'ПЛАН ЧЕРН К1'!G42*СПРАВОЧНИК!$J$10)+СПРАВОЧНИК!$E$11*('ПЛАН ЧЕРН К1'!H42*СПРАВОЧНИК!$H$11+'ПЛАН ЧЕРН К1'!I42*СПРАВОЧНИК!$I$11+'ПЛАН ЧЕРН К1'!J42*СПРАВОЧНИК!$J$11)+СПРАВОЧНИК!$E$12*('ПЛАН ЧЕРН К1'!K42*СПРАВОЧНИК!$H$12+'ПЛАН ЧЕРН К1'!L42*СПРАВОЧНИК!$I$12+'ПЛАН ЧЕРН К1'!M42*СПРАВОЧНИК!$J$12)+СПРАВОЧНИК!$E$13*('ПЛАН ЧЕРН К1'!N42*СПРАВОЧНИК!$H$13+'ПЛАН ЧЕРН К1'!O42*СПРАВОЧНИК!$I$13+'ПЛАН ЧЕРН К1'!P42*СПРАВОЧНИК!$J$13)+СПРАВОЧНИК!$E$14*('ПЛАН ЧЕРН К1'!Q42*СПРАВОЧНИК!$H$14+'ПЛАН ЧЕРН К1'!R42*СПРАВОЧНИК!$I$14+'ПЛАН ЧЕРН К1'!S42*СПРАВОЧНИК!$J$14)+СПРАВОЧНИК!$E$15*('ПЛАН ЧЕРН К1'!T42*СПРАВОЧНИК!$H$15+'ПЛАН ЧЕРН К1'!U42*СПРАВОЧНИК!$I$15+'ПЛАН ЧЕРН К1'!V42*СПРАВОЧНИК!$J$15)+СПРАВОЧНИК!$F$9*('ПЛАН ЧИСТ К1'!B42*СПРАВОЧНИК!$L$9+'ПЛАН ЧИСТ К1'!C42*СПРАВОЧНИК!$M$9+'ПЛАН ЧИСТ К1'!D42*СПРАВОЧНИК!$N$9+'ПЛАН ЧИСТ К1'!E42*СПРАВОЧНИК!$O$9)+СПРАВОЧНИК!$F$10*('ПЛАН ЧИСТ К1'!F42*СПРАВОЧНИК!$L$10+'ПЛАН ЧИСТ К1'!G42*СПРАВОЧНИК!$M$10+'ПЛАН ЧИСТ К1'!H42*СПРАВОЧНИК!$N$10+'ПЛАН ЧИСТ К1'!I42*СПРАВОЧНИК!$O$10)+СПРАВОЧНИК!$F$11*('ПЛАН ЧИСТ К1'!J42*СПРАВОЧНИК!$L$11+'ПЛАН ЧИСТ К1'!K42*СПРАВОЧНИК!$M$11+'ПЛАН ЧИСТ К1'!L42*СПРАВОЧНИК!$N$11)+СПРАВОЧНИК!$F$12*('ПЛАН ЧИСТ К1'!M42*СПРАВОЧНИК!$L$12+'ПЛАН ЧИСТ К1'!N42*СПРАВОЧНИК!$M$12+'ПЛАН ЧИСТ К1'!O42*СПРАВОЧНИК!$N$12+'ПЛАН ЧИСТ К1'!P42*СПРАВОЧНИК!$O$12)+СПРАВОЧНИК!$F$13*('ПЛАН ЧИСТ К1'!Q42*СПРАВОЧНИК!$L$13+'ПЛАН ЧИСТ К1'!R42*СПРАВОЧНИК!$M$13+'ПЛАН ЧИСТ К1'!S42*СПРАВОЧНИК!$N$13+'ПЛАН ЧИСТ К1'!T42*СПРАВОЧНИК!$O$13)+СПРАВОЧНИК!$F$14*('ПЛАН ЧИСТ К1'!U42*СПРАВОЧНИК!$L$14+'ПЛАН ЧИСТ К1'!V42*СПРАВОЧНИК!$M$14+'ПЛАН ЧИСТ К1'!W42*СПРАВОЧНИК!$N$14)+СПРАВОЧНИК!$F$15*('ПЛАН ЧИСТ К1'!X42*СПРАВОЧНИК!$L$15+'ПЛАН ЧИСТ К1'!Y42*СПРАВОЧНИК!$M$15+'ПЛАН ЧИСТ К1'!Z42*СПРАВОЧНИК!$N$15)</f>
        <v/>
      </c>
      <c r="W51" s="40">
        <f>СПРАВОЧНИК!$E$9*(('ФАКТ ЧЕРН К1'!B42)*СПРАВОЧНИК!$H$9+('ФАКТ ЧЕРН К1'!C42)*СПРАВОЧНИК!$I$9+('ФАКТ ЧЕРН К1'!D42)*СПРАВОЧНИК!$J$9)+СПРАВОЧНИК!$E$10*(('ФАКТ ЧЕРН К1'!E42)*СПРАВОЧНИК!$H$10+('ФАКТ ЧЕРН К1'!F42)*СПРАВОЧНИК!$I$10+('ФАКТ ЧЕРН К1'!G42)*СПРАВОЧНИК!$J$10)+СПРАВОЧНИК!$E$11*(('ФАКТ ЧЕРН К1'!H42)*СПРАВОЧНИК!$H$11+('ФАКТ ЧЕРН К1'!I42)*СПРАВОЧНИК!$I$11+('ФАКТ ЧЕРН К1'!J42)*СПРАВОЧНИК!$J$11)+СПРАВОЧНИК!$E$12*(('ФАКТ ЧЕРН К1'!K42)*СПРАВОЧНИК!$H$12+('ФАКТ ЧЕРН К1'!L42)*СПРАВОЧНИК!$I$12+('ФАКТ ЧЕРН К1'!M42)*СПРАВОЧНИК!$J$12)+СПРАВОЧНИК!$E$13*(('ФАКТ ЧЕРН К1'!N42)*СПРАВОЧНИК!$H$13+('ФАКТ ЧЕРН К1'!O42)*СПРАВОЧНИК!$I$13+('ФАКТ ЧЕРН К1'!P42)*СПРАВОЧНИК!$J$13)+СПРАВОЧНИК!$E$14*(('ФАКТ ЧЕРН К1'!Q42)*СПРАВОЧНИК!$H$14+('ФАКТ ЧЕРН К1'!R42)*СПРАВОЧНИК!$I$14+('ФАКТ ЧЕРН К1'!S42)*СПРАВОЧНИК!$J$14)+СПРАВОЧНИК!$E$15*(('ФАКТ ЧЕРН К1'!T42)*СПРАВОЧНИК!$H$15+('ФАКТ ЧЕРН К1'!U42)*СПРАВОЧНИК!$I$15+('ФАКТ ЧЕРН К1'!V42)*СПРАВОЧНИК!$J$15)+СПРАВОЧНИК!$F$9*(('ФАКТ ЧИСТ К1'!B42)*СПРАВОЧНИК!$L$9+('ФАКТ ЧИСТ К1'!C42)*СПРАВОЧНИК!$M$9+('ФАКТ ЧИСТ К1'!D42)*СПРАВОЧНИК!$N$9+('ФАКТ ЧИСТ К1'!E42)*СПРАВОЧНИК!$O$9)+СПРАВОЧНИК!$F$10*(('ФАКТ ЧИСТ К1'!F42)*СПРАВОЧНИК!$L$10+('ФАКТ ЧИСТ К1'!G42)*СПРАВОЧНИК!$M$10+('ФАКТ ЧИСТ К1'!H42)*СПРАВОЧНИК!$N$10+('ФАКТ ЧИСТ К1'!I42)*СПРАВОЧНИК!$O$10)+СПРАВОЧНИК!$F$11*(('ФАКТ ЧИСТ К1'!J42)*СПРАВОЧНИК!$L$11+('ФАКТ ЧИСТ К1'!K42)*СПРАВОЧНИК!$M$11+('ФАКТ ЧИСТ К1'!L42)*СПРАВОЧНИК!$N$11)+СПРАВОЧНИК!$F$12*(('ФАКТ ЧИСТ К1'!M42)*СПРАВОЧНИК!$L$12+('ФАКТ ЧИСТ К1'!N42)*СПРАВОЧНИК!$M$12+('ФАКТ ЧИСТ К1'!O42)*СПРАВОЧНИК!$N$12+('ФАКТ ЧИСТ К1'!P42)*СПРАВОЧНИК!$O$12)+СПРАВОЧНИК!$F$13*(('ФАКТ ЧИСТ К1'!Q42)*СПРАВОЧНИК!$L$13+('ФАКТ ЧИСТ К1'!R42)*СПРАВОЧНИК!$M$13+('ФАКТ ЧИСТ К1'!S42)*СПРАВОЧНИК!$N$13+('ФАКТ ЧИСТ К1'!T42)*СПРАВОЧНИК!$O$13)+СПРАВОЧНИК!$F$14*(('ФАКТ ЧИСТ К1'!U42)*СПРАВОЧНИК!$L$14+('ФАКТ ЧИСТ К1'!V42)*СПРАВОЧНИК!$M$14+('ФАКТ ЧИСТ К1'!W42)*СПРАВОЧНИК!$N$14)+СПРАВОЧНИК!$F$15*(('ФАКТ ЧИСТ К1'!X42)*СПРАВОЧНИК!$L$15+('ФАКТ ЧИСТ К1'!Y42)*СПРАВОЧНИК!$M$15+('ФАКТ ЧИСТ К1'!Z42)*СПРАВОЧНИК!$N$15)</f>
        <v/>
      </c>
      <c r="AA51" s="18">
        <f>AA50+7</f>
        <v/>
      </c>
      <c r="AB51" s="37">
        <f>'ПЛАН ЧЕРН К1'!B42*СПРАВОЧНИК!$H$9+'ПЛАН ЧЕРН К1'!C42*СПРАВОЧНИК!$I$9+'ПЛАН ЧЕРН К1'!D42*СПРАВОЧНИК!$J$9+'ПЛАН ЧЕРН К1'!E42*СПРАВОЧНИК!$H$10+'ПЛАН ЧЕРН К1'!F42*СПРАВОЧНИК!$I$10+'ПЛАН ЧЕРН К1'!G42*СПРАВОЧНИК!$J$10+'ПЛАН ЧЕРН К1'!H42*СПРАВОЧНИК!$H$11+'ПЛАН ЧЕРН К1'!I42*СПРАВОЧНИК!$I$11+'ПЛАН ЧЕРН К1'!J42*СПРАВОЧНИК!$J$11+'ПЛАН ЧЕРН К1'!K42*СПРАВОЧНИК!$H$12+'ПЛАН ЧЕРН К1'!L42*СПРАВОЧНИК!$I$12+'ПЛАН ЧЕРН К1'!M42*СПРАВОЧНИК!$J$12+'ПЛАН ЧЕРН К1'!N42*СПРАВОЧНИК!$H$13+'ПЛАН ЧЕРН К1'!O42*СПРАВОЧНИК!$I$13+'ПЛАН ЧЕРН К1'!P42*СПРАВОЧНИК!$J$13+'ПЛАН ЧЕРН К1'!Q42*СПРАВОЧНИК!$H$14+'ПЛАН ЧЕРН К1'!R42*СПРАВОЧНИК!$I$14+'ПЛАН ЧЕРН К1'!S42*СПРАВОЧНИК!$J$14+'ПЛАН ЧЕРН К1'!T42*СПРАВОЧНИК!$H$15+'ПЛАН ЧЕРН К1'!U42*СПРАВОЧНИК!$I$15+'ПЛАН ЧЕРН К1'!V42*СПРАВОЧНИК!$J$15</f>
        <v/>
      </c>
      <c r="AC51" s="40">
        <f>('ФАКТ ЧЕРН К1'!B42)*СПРАВОЧНИК!$H$9+('ФАКТ ЧЕРН К1'!C42)*СПРАВОЧНИК!$I$9+('ФАКТ ЧЕРН К1'!D42)*СПРАВОЧНИК!$J$9+('ФАКТ ЧЕРН К1'!E42)*СПРАВОЧНИК!$H$10+('ФАКТ ЧЕРН К1'!F42)*СПРАВОЧНИК!$I$10+('ФАКТ ЧЕРН К1'!G42)*СПРАВОЧНИК!$J$10+('ФАКТ ЧЕРН К1'!H42)*СПРАВОЧНИК!$H$11+('ФАКТ ЧЕРН К1'!I42)*СПРАВОЧНИК!$I$11+('ФАКТ ЧЕРН К1'!J42)*СПРАВОЧНИК!$J$11+('ФАКТ ЧЕРН К1'!K42)*СПРАВОЧНИК!$H$12+('ФАКТ ЧЕРН К1'!L42)*СПРАВОЧНИК!$I$12+('ФАКТ ЧЕРН К1'!M42)*СПРАВОЧНИК!$J$12+('ФАКТ ЧЕРН К1'!N42)*СПРАВОЧНИК!$H$13+('ФАКТ ЧЕРН К1'!O42)*СПРАВОЧНИК!$I$13+('ФАКТ ЧЕРН К1'!P42)*СПРАВОЧНИК!$J$13+('ФАКТ ЧЕРН К1'!Q42)*СПРАВОЧНИК!$H$14+('ФАКТ ЧЕРН К1'!R42)*СПРАВОЧНИК!$I$14+('ФАКТ ЧЕРН К1'!S42)*СПРАВОЧНИК!$J$14+('ФАКТ ЧЕРН К1'!T42)*СПРАВОЧНИК!$H$15+('ФАКТ ЧЕРН К1'!U42)*СПРАВОЧНИК!$I$15+('ФАКТ ЧЕРН К1'!V42)*СПРАВОЧНИК!$J$15</f>
        <v/>
      </c>
      <c r="AG51" s="18">
        <f>AG50+7</f>
        <v/>
      </c>
      <c r="AH51" s="37">
        <f>'ПЛАН ЧИСТ К1'!B42*СПРАВОЧНИК!$L$9+'ПЛАН ЧИСТ К1'!C42*СПРАВОЧНИК!$M$9+'ПЛАН ЧИСТ К1'!D42*СПРАВОЧНИК!$N$9+'ПЛАН ЧИСТ К1'!E42*СПРАВОЧНИК!$O$9+'ПЛАН ЧИСТ К1'!F42*СПРАВОЧНИК!$L$10+'ПЛАН ЧИСТ К1'!G42*СПРАВОЧНИК!$M$10+'ПЛАН ЧИСТ К1'!H42*СПРАВОЧНИК!$N$10+'ПЛАН ЧИСТ К1'!I42*СПРАВОЧНИК!$O$10+'ПЛАН ЧИСТ К1'!J42*СПРАВОЧНИК!$L$11+'ПЛАН ЧИСТ К1'!K42*СПРАВОЧНИК!$M$11+'ПЛАН ЧИСТ К1'!L42*СПРАВОЧНИК!$N$11+'ПЛАН ЧИСТ К1'!M42*СПРАВОЧНИК!$L$12+'ПЛАН ЧИСТ К1'!N42*СПРАВОЧНИК!$M$12+'ПЛАН ЧИСТ К1'!O42*СПРАВОЧНИК!$N$12+'ПЛАН ЧИСТ К1'!P42*СПРАВОЧНИК!$O$12+'ПЛАН ЧИСТ К1'!Q42*СПРАВОЧНИК!$L$13+'ПЛАН ЧИСТ К1'!R42*СПРАВОЧНИК!$M$13+'ПЛАН ЧИСТ К1'!S42*СПРАВОЧНИК!$N$13+'ПЛАН ЧИСТ К1'!T42*СПРАВОЧНИК!$O$13+'ПЛАН ЧИСТ К1'!U42*СПРАВОЧНИК!$L$14+'ПЛАН ЧИСТ К1'!V42*СПРАВОЧНИК!$M$14+'ПЛАН ЧИСТ К1'!W42*СПРАВОЧНИК!$N$14+'ПЛАН ЧИСТ К1'!X42*СПРАВОЧНИК!$L$15+'ПЛАН ЧИСТ К1'!Y42*СПРАВОЧНИК!$M$15+'ПЛАН ЧИСТ К1'!Z42*СПРАВОЧНИК!$N$15</f>
        <v/>
      </c>
      <c r="AI51" s="40">
        <f>('ФАКТ ЧИСТ К1'!B42)*СПРАВОЧНИК!$L$9+('ФАКТ ЧИСТ К1'!C42)*СПРАВОЧНИК!$M$9+('ФАКТ ЧИСТ К1'!D42)*СПРАВОЧНИК!$N$9+('ФАКТ ЧИСТ К1'!E42)*СПРАВОЧНИК!$O$9+('ФАКТ ЧИСТ К1'!F42)*СПРАВОЧНИК!$L$10+('ФАКТ ЧИСТ К1'!G42)*СПРАВОЧНИК!$M$10+('ФАКТ ЧИСТ К1'!H42)*СПРАВОЧНИК!$N$10+('ФАКТ ЧИСТ К1'!I42)*СПРАВОЧНИК!$O$10+('ФАКТ ЧИСТ К1'!J42)*СПРАВОЧНИК!$L$11+('ФАКТ ЧИСТ К1'!K42)*СПРАВОЧНИК!$M$11+('ФАКТ ЧИСТ К1'!L42)*СПРАВОЧНИК!$N$11+('ФАКТ ЧИСТ К1'!M42)*СПРАВОЧНИК!$L$12+('ФАКТ ЧИСТ К1'!N42)*СПРАВОЧНИК!$M$12+('ФАКТ ЧИСТ К1'!O42)*СПРАВОЧНИК!$N$12+('ФАКТ ЧИСТ К1'!P42)*СПРАВОЧНИК!$O$12+('ФАКТ ЧИСТ К1'!Q42)*СПРАВОЧНИК!$L$13+('ФАКТ ЧИСТ К1'!R42)*СПРАВОЧНИК!$M$13+('ФАКТ ЧИСТ К1'!S42)*СПРАВОЧНИК!$N$13+('ФАКТ ЧИСТ К1'!T42)*СПРАВОЧНИК!$O$13+('ФАКТ ЧИСТ К1'!U42)*СПРАВОЧНИК!$L$14+('ФАКТ ЧИСТ К1'!V42)*СПРАВОЧНИК!$M$14+('ФАКТ ЧИСТ К1'!W42)*СПРАВОЧНИК!$N$14+('ФАКТ ЧИСТ К1'!X42)*СПРАВОЧНИК!$L$15+('ФАКТ ЧИСТ К1'!Y42)*СПРАВОЧНИК!$M$15+('ФАКТ ЧИСТ К1'!Z42)*СПРАВОЧНИК!$N$15</f>
        <v/>
      </c>
      <c r="AM51" s="18">
        <f>AM50+7</f>
        <v/>
      </c>
      <c r="AN51" s="37">
        <f>СПРАВОЧНИК!$E$9*('ПЛАН ЧЕРН К2'!B42*СПРАВОЧНИК!$H$9+'ПЛАН ЧЕРН К2'!C42*СПРАВОЧНИК!$I$9+'ПЛАН ЧЕРН К2'!D42*СПРАВОЧНИК!$J$9)+СПРАВОЧНИК!$E$10*('ПЛАН ЧЕРН К2'!E42*СПРАВОЧНИК!$H$10+'ПЛАН ЧЕРН К2'!F42*СПРАВОЧНИК!$I$10+'ПЛАН ЧЕРН К2'!G42*СПРАВОЧНИК!$J$10)+СПРАВОЧНИК!$E$11*('ПЛАН ЧЕРН К2'!H42*СПРАВОЧНИК!$H$11+'ПЛАН ЧЕРН К2'!I42*СПРАВОЧНИК!$I$11+'ПЛАН ЧЕРН К2'!J42*СПРАВОЧНИК!$J$11)+СПРАВОЧНИК!$E$12*('ПЛАН ЧЕРН К2'!K42*СПРАВОЧНИК!$H$12+'ПЛАН ЧЕРН К2'!L42*СПРАВОЧНИК!$I$12+'ПЛАН ЧЕРН К2'!M42*СПРАВОЧНИК!$J$12)+СПРАВОЧНИК!$E$13*('ПЛАН ЧЕРН К2'!N42*СПРАВОЧНИК!$H$13+'ПЛАН ЧЕРН К2'!O42*СПРАВОЧНИК!$I$13+'ПЛАН ЧЕРН К2'!P42*СПРАВОЧНИК!$J$13)+СПРАВОЧНИК!$E$14*('ПЛАН ЧЕРН К2'!Q42*СПРАВОЧНИК!$H$14+'ПЛАН ЧЕРН К2'!R42*СПРАВОЧНИК!$I$14+'ПЛАН ЧЕРН К2'!S42*СПРАВОЧНИК!$J$14)+СПРАВОЧНИК!$E$15*('ПЛАН ЧЕРН К2'!T42*СПРАВОЧНИК!$H$15+'ПЛАН ЧЕРН К2'!U42*СПРАВОЧНИК!$I$15+'ПЛАН ЧЕРН К2'!V42*СПРАВОЧНИК!$J$15)+СПРАВОЧНИК!$F$9*('ПЛАН ЧИСТ К2'!B42*СПРАВОЧНИК!$L$9+'ПЛАН ЧИСТ К2'!C42*СПРАВОЧНИК!$M$9+'ПЛАН ЧИСТ К2'!D42*СПРАВОЧНИК!$N$9+'ПЛАН ЧИСТ К2'!E42*СПРАВОЧНИК!$O$9)+СПРАВОЧНИК!$F$10*('ПЛАН ЧИСТ К2'!F42*СПРАВОЧНИК!$L$10+'ПЛАН ЧИСТ К2'!G42*СПРАВОЧНИК!$M$10+'ПЛАН ЧИСТ К2'!H42*СПРАВОЧНИК!$N$10+'ПЛАН ЧИСТ К2'!I42*СПРАВОЧНИК!$O$10)+СПРАВОЧНИК!$F$11*('ПЛАН ЧИСТ К2'!J42*СПРАВОЧНИК!$L$11+'ПЛАН ЧИСТ К2'!K42*СПРАВОЧНИК!$M$11+'ПЛАН ЧИСТ К2'!L42*СПРАВОЧНИК!$N$11)+СПРАВОЧНИК!$F$12*('ПЛАН ЧИСТ К2'!M42*СПРАВОЧНИК!$L$12+'ПЛАН ЧИСТ К2'!N42*СПРАВОЧНИК!$M$12+'ПЛАН ЧИСТ К2'!O42*СПРАВОЧНИК!$N$12+'ПЛАН ЧИСТ К2'!P42*СПРАВОЧНИК!$O$12)+СПРАВОЧНИК!$F$13*('ПЛАН ЧИСТ К2'!Q42*СПРАВОЧНИК!$L$13+'ПЛАН ЧИСТ К2'!R42*СПРАВОЧНИК!$M$13+'ПЛАН ЧИСТ К2'!S42*СПРАВОЧНИК!$N$13+'ПЛАН ЧИСТ К2'!T42*СПРАВОЧНИК!$O$13)+СПРАВОЧНИК!$F$14*('ПЛАН ЧИСТ К2'!U42*СПРАВОЧНИК!$L$14+'ПЛАН ЧИСТ К2'!V42*СПРАВОЧНИК!$M$14+'ПЛАН ЧИСТ К2'!W42*СПРАВОЧНИК!$N$14)+СПРАВОЧНИК!$F$15*('ПЛАН ЧИСТ К2'!X42*СПРАВОЧНИК!$L$15+'ПЛАН ЧИСТ К2'!Y42*СПРАВОЧНИК!$M$15+'ПЛАН ЧИСТ К2'!Z42*СПРАВОЧНИК!$N$15)</f>
        <v/>
      </c>
      <c r="AO51" s="40">
        <f>СПРАВОЧНИК!$E$9*(('ФАКТ ЧЕРН К2'!B42)*СПРАВОЧНИК!$H$9+('ФАКТ ЧЕРН К2'!C42)*СПРАВОЧНИК!$I$9+('ФАКТ ЧЕРН К2'!D42)*СПРАВОЧНИК!$J$9)+СПРАВОЧНИК!$E$10*(('ФАКТ ЧЕРН К2'!E42)*СПРАВОЧНИК!$H$10+('ФАКТ ЧЕРН К2'!F42)*СПРАВОЧНИК!$I$10+('ФАКТ ЧЕРН К2'!G42)*СПРАВОЧНИК!$J$10)+СПРАВОЧНИК!$E$11*(('ФАКТ ЧЕРН К2'!H42)*СПРАВОЧНИК!$H$11+('ФАКТ ЧЕРН К2'!I42)*СПРАВОЧНИК!$I$11+('ФАКТ ЧЕРН К2'!J42)*СПРАВОЧНИК!$J$11)+СПРАВОЧНИК!$E$12*(('ФАКТ ЧЕРН К2'!K42)*СПРАВОЧНИК!$H$12+('ФАКТ ЧЕРН К2'!L42)*СПРАВОЧНИК!$I$12+('ФАКТ ЧЕРН К2'!M42)*СПРАВОЧНИК!$J$12)+СПРАВОЧНИК!$E$13*(('ФАКТ ЧЕРН К2'!N42)*СПРАВОЧНИК!$H$13+('ФАКТ ЧЕРН К2'!O42)*СПРАВОЧНИК!$I$13+('ФАКТ ЧЕРН К2'!P42)*СПРАВОЧНИК!$J$13)+СПРАВОЧНИК!$E$14*(('ФАКТ ЧЕРН К2'!Q42)*СПРАВОЧНИК!$H$14+('ФАКТ ЧЕРН К2'!R42)*СПРАВОЧНИК!$I$14+('ФАКТ ЧЕРН К2'!S42)*СПРАВОЧНИК!$J$14)+СПРАВОЧНИК!$E$15*(('ФАКТ ЧЕРН К2'!T42)*СПРАВОЧНИК!$H$15+('ФАКТ ЧЕРН К2'!U42)*СПРАВОЧНИК!$I$15+('ФАКТ ЧЕРН К2'!V42)*СПРАВОЧНИК!$J$15)+СПРАВОЧНИК!$F$9*(('ФАКТ ЧИСТ К2'!B42)*СПРАВОЧНИК!$L$9+('ФАКТ ЧИСТ К2'!C42)*СПРАВОЧНИК!$M$9+('ФАКТ ЧИСТ К2'!D42)*СПРАВОЧНИК!$N$9+('ФАКТ ЧИСТ К2'!E42)*СПРАВОЧНИК!$O$9)+СПРАВОЧНИК!$F$10*(('ФАКТ ЧИСТ К2'!F42)*СПРАВОЧНИК!$L$10+('ФАКТ ЧИСТ К2'!G42)*СПРАВОЧНИК!$M$10+('ФАКТ ЧИСТ К2'!H42)*СПРАВОЧНИК!$N$10+('ФАКТ ЧИСТ К2'!I42)*СПРАВОЧНИК!$O$10)+СПРАВОЧНИК!$F$11*(('ФАКТ ЧИСТ К2'!J42)*СПРАВОЧНИК!$L$11+('ФАКТ ЧИСТ К2'!K42)*СПРАВОЧНИК!$M$11+('ФАКТ ЧИСТ К2'!L42)*СПРАВОЧНИК!$N$11)+СПРАВОЧНИК!$F$12*(('ФАКТ ЧИСТ К2'!M42)*СПРАВОЧНИК!$L$12+('ФАКТ ЧИСТ К2'!N42)*СПРАВОЧНИК!$M$12+('ФАКТ ЧИСТ К2'!O42)*СПРАВОЧНИК!$N$12+('ФАКТ ЧИСТ К2'!P42)*СПРАВОЧНИК!$O$12)+СПРАВОЧНИК!$F$13*(('ФАКТ ЧИСТ К2'!Q42)*СПРАВОЧНИК!$L$13+('ФАКТ ЧИСТ К2'!R42)*СПРАВОЧНИК!$M$13+('ФАКТ ЧИСТ К2'!S42)*СПРАВОЧНИК!$N$13+('ФАКТ ЧИСТ К2'!T42)*СПРАВОЧНИК!$O$13)+СПРАВОЧНИК!$F$14*(('ФАКТ ЧИСТ К2'!U42)*СПРАВОЧНИК!$L$14+('ФАКТ ЧИСТ К2'!V42)*СПРАВОЧНИК!$M$14+('ФАКТ ЧИСТ К2'!W42)*СПРАВОЧНИК!$N$14)+СПРАВОЧНИК!$F$15*(('ФАКТ ЧИСТ К2'!X42)*СПРАВОЧНИК!$L$15+('ФАКТ ЧИСТ К2'!Y42)*СПРАВОЧНИК!$M$15+('ФАКТ ЧИСТ К2'!Z42)*СПРАВОЧНИК!$N$15)</f>
        <v/>
      </c>
      <c r="AS51" s="18">
        <f>AS50+7</f>
        <v/>
      </c>
      <c r="AT51" s="37">
        <f>'ПЛАН ЧЕРН К2'!B42*СПРАВОЧНИК!$H$9+'ПЛАН ЧЕРН К2'!C42*СПРАВОЧНИК!$I$9+'ПЛАН ЧЕРН К2'!D42*СПРАВОЧНИК!$J$9+'ПЛАН ЧЕРН К2'!E42*СПРАВОЧНИК!$H$10+'ПЛАН ЧЕРН К2'!F42*СПРАВОЧНИК!$I$10+'ПЛАН ЧЕРН К2'!G42*СПРАВОЧНИК!$J$10+'ПЛАН ЧЕРН К2'!H42*СПРАВОЧНИК!$H$11+'ПЛАН ЧЕРН К2'!I42*СПРАВОЧНИК!$I$11+'ПЛАН ЧЕРН К2'!J42*СПРАВОЧНИК!$J$11+'ПЛАН ЧЕРН К2'!K42*СПРАВОЧНИК!$H$12+'ПЛАН ЧЕРН К2'!L42*СПРАВОЧНИК!$I$12+'ПЛАН ЧЕРН К2'!M42*СПРАВОЧНИК!$J$12+'ПЛАН ЧЕРН К2'!N42*СПРАВОЧНИК!$H$13+'ПЛАН ЧЕРН К2'!O42*СПРАВОЧНИК!$I$13+'ПЛАН ЧЕРН К2'!P42*СПРАВОЧНИК!$J$13+'ПЛАН ЧЕРН К2'!Q42*СПРАВОЧНИК!$H$14+'ПЛАН ЧЕРН К2'!R42*СПРАВОЧНИК!$I$14+'ПЛАН ЧЕРН К2'!S42*СПРАВОЧНИК!$J$14+'ПЛАН ЧЕРН К2'!T42*СПРАВОЧНИК!$H$15+'ПЛАН ЧЕРН К2'!U42*СПРАВОЧНИК!$I$15+'ПЛАН ЧЕРН К2'!V42*СПРАВОЧНИК!$J$15</f>
        <v/>
      </c>
      <c r="AU51" s="40">
        <f>('ФАКТ ЧЕРН К2'!B42)*СПРАВОЧНИК!$H$9+('ФАКТ ЧЕРН К2'!C42)*СПРАВОЧНИК!$I$9+('ФАКТ ЧЕРН К2'!D42)*СПРАВОЧНИК!$J$9+('ФАКТ ЧЕРН К2'!E42)*СПРАВОЧНИК!$H$10+('ФАКТ ЧЕРН К2'!F42)*СПРАВОЧНИК!$I$10+('ФАКТ ЧЕРН К2'!G42)*СПРАВОЧНИК!$J$10+('ФАКТ ЧЕРН К2'!H42)*СПРАВОЧНИК!$H$11+('ФАКТ ЧЕРН К2'!I42)*СПРАВОЧНИК!$I$11+('ФАКТ ЧЕРН К2'!J42)*СПРАВОЧНИК!$J$11+('ФАКТ ЧЕРН К2'!K42)*СПРАВОЧНИК!$H$12+('ФАКТ ЧЕРН К2'!L42)*СПРАВОЧНИК!$I$12+('ФАКТ ЧЕРН К2'!M42)*СПРАВОЧНИК!$J$12+('ФАКТ ЧЕРН К2'!N42)*СПРАВОЧНИК!$H$13+('ФАКТ ЧЕРН К2'!O42)*СПРАВОЧНИК!$I$13+('ФАКТ ЧЕРН К2'!P42)*СПРАВОЧНИК!$J$13+('ФАКТ ЧЕРН К2'!Q42)*СПРАВОЧНИК!$H$14+('ФАКТ ЧЕРН К2'!R42)*СПРАВОЧНИК!$I$14+('ФАКТ ЧЕРН К2'!S42)*СПРАВОЧНИК!$J$14+('ФАКТ ЧЕРН К2'!T42)*СПРАВОЧНИК!$H$15+('ФАКТ ЧЕРН К2'!U42)*СПРАВОЧНИК!$I$15+('ФАКТ ЧЕРН К2'!V42)*СПРАВОЧНИК!$J$15</f>
        <v/>
      </c>
      <c r="AY51" s="18">
        <f>AY50+7</f>
        <v/>
      </c>
      <c r="AZ51" s="37">
        <f>'ПЛАН ЧИСТ К2'!B42*СПРАВОЧНИК!$L$9+'ПЛАН ЧИСТ К2'!C42*СПРАВОЧНИК!$M$9+'ПЛАН ЧИСТ К2'!D42*СПРАВОЧНИК!$N$9+'ПЛАН ЧИСТ К2'!E42*СПРАВОЧНИК!$O$9+'ПЛАН ЧИСТ К2'!F42*СПРАВОЧНИК!$L$10+'ПЛАН ЧИСТ К2'!G42*СПРАВОЧНИК!$M$10+'ПЛАН ЧИСТ К2'!H42*СПРАВОЧНИК!$N$10+'ПЛАН ЧИСТ К2'!I42*СПРАВОЧНИК!$O$10+'ПЛАН ЧИСТ К2'!J42*СПРАВОЧНИК!$L$11+'ПЛАН ЧИСТ К2'!K42*СПРАВОЧНИК!$M$11+'ПЛАН ЧИСТ К2'!L42*СПРАВОЧНИК!$N$11+'ПЛАН ЧИСТ К2'!M42*СПРАВОЧНИК!$L$12+'ПЛАН ЧИСТ К2'!N42*СПРАВОЧНИК!$M$12+'ПЛАН ЧИСТ К2'!O42*СПРАВОЧНИК!$N$12+'ПЛАН ЧИСТ К2'!P42*СПРАВОЧНИК!$O$12+'ПЛАН ЧИСТ К2'!Q42*СПРАВОЧНИК!$L$13+'ПЛАН ЧИСТ К2'!R42*СПРАВОЧНИК!$M$13+'ПЛАН ЧИСТ К2'!S42*СПРАВОЧНИК!$N$13+'ПЛАН ЧИСТ К2'!T42*СПРАВОЧНИК!$O$13+'ПЛАН ЧИСТ К2'!U42*СПРАВОЧНИК!$L$14+'ПЛАН ЧИСТ К2'!V42*СПРАВОЧНИК!$M$14+'ПЛАН ЧИСТ К2'!W42*СПРАВОЧНИК!$N$14+'ПЛАН ЧИСТ К2'!X42*СПРАВОЧНИК!$L$15+'ПЛАН ЧИСТ К2'!Y42*СПРАВОЧНИК!$M$15+'ПЛАН ЧИСТ К2'!Z42*СПРАВОЧНИК!$N$15</f>
        <v/>
      </c>
      <c r="BA51" s="40">
        <f>('ФАКТ ЧИСТ К2'!B42)*СПРАВОЧНИК!$L$9+('ФАКТ ЧИСТ К2'!C42)*СПРАВОЧНИК!$M$9+('ФАКТ ЧИСТ К2'!D42)*СПРАВОЧНИК!$N$9+('ФАКТ ЧИСТ К2'!E42)*СПРАВОЧНИК!$O$9+('ФАКТ ЧИСТ К2'!F42)*СПРАВОЧНИК!$L$10+('ФАКТ ЧИСТ К2'!G42)*СПРАВОЧНИК!$M$10+('ФАКТ ЧИСТ К2'!H42)*СПРАВОЧНИК!$N$10+('ФАКТ ЧИСТ К2'!I42)*СПРАВОЧНИК!$O$10+('ФАКТ ЧИСТ К2'!J42)*СПРАВОЧНИК!$L$11+('ФАКТ ЧИСТ К2'!K42)*СПРАВОЧНИК!$M$11+('ФАКТ ЧИСТ К2'!L42)*СПРАВОЧНИК!$N$11+('ФАКТ ЧИСТ К2'!M42)*СПРАВОЧНИК!$L$12+('ФАКТ ЧИСТ К2'!N42)*СПРАВОЧНИК!$M$12+('ФАКТ ЧИСТ К2'!O42)*СПРАВОЧНИК!$N$12+('ФАКТ ЧИСТ К2'!P42)*СПРАВОЧНИК!$O$12+('ФАКТ ЧИСТ К2'!Q42)*СПРАВОЧНИК!$L$13+('ФАКТ ЧИСТ К2'!R42)*СПРАВОЧНИК!$M$13+('ФАКТ ЧИСТ К2'!S42)*СПРАВОЧНИК!$N$13+('ФАКТ ЧИСТ К2'!T42)*СПРАВОЧНИК!$O$13+('ФАКТ ЧИСТ К2'!U42)*СПРАВОЧНИК!$L$14+('ФАКТ ЧИСТ К2'!V42)*СПРАВОЧНИК!$M$14+('ФАКТ ЧИСТ К2'!W42)*СПРАВОЧНИК!$N$14+('ФАКТ ЧИСТ К2'!X42)*СПРАВОЧНИК!$L$15+('ФАКТ ЧИСТ К2'!Y42)*СПРАВОЧНИК!$M$15+('ФАКТ ЧИСТ К2'!Z42)*СПРАВОЧНИК!$N$15</f>
        <v/>
      </c>
      <c r="BE51" s="18">
        <f>BE50+7</f>
        <v/>
      </c>
      <c r="BF51" s="37">
        <f>СПРАВОЧНИК!$E$9*('ПЛАН ЧЕРН К3'!B42*СПРАВОЧНИК!$H$9+'ПЛАН ЧЕРН К3'!C42*СПРАВОЧНИК!$I$9+'ПЛАН ЧЕРН К3'!D42*СПРАВОЧНИК!$J$9)+СПРАВОЧНИК!$E$10*('ПЛАН ЧЕРН К3'!E42*СПРАВОЧНИК!$H$10+'ПЛАН ЧЕРН К3'!F42*СПРАВОЧНИК!$I$10+'ПЛАН ЧЕРН К3'!G42*СПРАВОЧНИК!$J$10)+СПРАВОЧНИК!$E$11*('ПЛАН ЧЕРН К3'!H42*СПРАВОЧНИК!$H$11+'ПЛАН ЧЕРН К3'!I42*СПРАВОЧНИК!$I$11+'ПЛАН ЧЕРН К3'!J42*СПРАВОЧНИК!$J$11)+СПРАВОЧНИК!$E$12*('ПЛАН ЧЕРН К3'!K42*СПРАВОЧНИК!$H$12+'ПЛАН ЧЕРН К3'!L42*СПРАВОЧНИК!$I$12+'ПЛАН ЧЕРН К3'!M42*СПРАВОЧНИК!$J$12)+СПРАВОЧНИК!$E$13*('ПЛАН ЧЕРН К3'!N42*СПРАВОЧНИК!$H$13+'ПЛАН ЧЕРН К3'!O42*СПРАВОЧНИК!$I$13+'ПЛАН ЧЕРН К3'!P42*СПРАВОЧНИК!$J$13)+СПРАВОЧНИК!$E$14*('ПЛАН ЧЕРН К3'!Q42*СПРАВОЧНИК!$H$14+'ПЛАН ЧЕРН К3'!R42*СПРАВОЧНИК!$I$14+'ПЛАН ЧЕРН К3'!S42*СПРАВОЧНИК!$J$14)+СПРАВОЧНИК!$E$15*('ПЛАН ЧЕРН К3'!T42*СПРАВОЧНИК!$H$15+'ПЛАН ЧЕРН К3'!U42*СПРАВОЧНИК!$I$15+'ПЛАН ЧЕРН К3'!V42*СПРАВОЧНИК!$J$15)+СПРАВОЧНИК!$F$9*('ПЛАН ЧИСТ К3'!B42*СПРАВОЧНИК!$L$9+'ПЛАН ЧИСТ К3'!C42*СПРАВОЧНИК!$M$9+'ПЛАН ЧИСТ К3'!D42*СПРАВОЧНИК!$N$9+'ПЛАН ЧИСТ К3'!E42*СПРАВОЧНИК!$O$9)+СПРАВОЧНИК!$F$10*('ПЛАН ЧИСТ К3'!F42*СПРАВОЧНИК!$L$10+'ПЛАН ЧИСТ К3'!G42*СПРАВОЧНИК!$M$10+'ПЛАН ЧИСТ К3'!H42*СПРАВОЧНИК!$N$10+'ПЛАН ЧИСТ К3'!I42*СПРАВОЧНИК!$O$10)+СПРАВОЧНИК!$F$11*('ПЛАН ЧИСТ К3'!J42*СПРАВОЧНИК!$L$11+'ПЛАН ЧИСТ К3'!K42*СПРАВОЧНИК!$M$11+'ПЛАН ЧИСТ К3'!L42*СПРАВОЧНИК!$N$11)+СПРАВОЧНИК!$F$12*('ПЛАН ЧИСТ К3'!M42*СПРАВОЧНИК!$L$12+'ПЛАН ЧИСТ К3'!N42*СПРАВОЧНИК!$M$12+'ПЛАН ЧИСТ К3'!O42*СПРАВОЧНИК!$N$12+'ПЛАН ЧИСТ К3'!P42*СПРАВОЧНИК!$O$12)+СПРАВОЧНИК!$F$13*('ПЛАН ЧИСТ К3'!Q42*СПРАВОЧНИК!$L$13+'ПЛАН ЧИСТ К3'!R42*СПРАВОЧНИК!$M$13+'ПЛАН ЧИСТ К3'!S42*СПРАВОЧНИК!$N$13+'ПЛАН ЧИСТ К3'!T42*СПРАВОЧНИК!$O$13)+СПРАВОЧНИК!$F$14*('ПЛАН ЧИСТ К3'!U42*СПРАВОЧНИК!$L$14+'ПЛАН ЧИСТ К3'!V42*СПРАВОЧНИК!$M$14+'ПЛАН ЧИСТ К3'!W42*СПРАВОЧНИК!$N$14)+СПРАВОЧНИК!$F$15*('ПЛАН ЧИСТ К3'!X42*СПРАВОЧНИК!$L$15+'ПЛАН ЧИСТ К3'!Y42*СПРАВОЧНИК!$M$15+'ПЛАН ЧИСТ К3'!Z42*СПРАВОЧНИК!$N$15)</f>
        <v/>
      </c>
      <c r="BG51" s="40">
        <f>СПРАВОЧНИК!$E$9*(('ФАКТ ЧЕРН К3'!B42)*СПРАВОЧНИК!$H$9+('ФАКТ ЧЕРН К3'!C42)*СПРАВОЧНИК!$I$9+('ФАКТ ЧЕРН К3'!D42)*СПРАВОЧНИК!$J$9)+СПРАВОЧНИК!$E$10*(('ФАКТ ЧЕРН К3'!E42)*СПРАВОЧНИК!$H$10+('ФАКТ ЧЕРН К3'!F42)*СПРАВОЧНИК!$I$10+('ФАКТ ЧЕРН К3'!G42)*СПРАВОЧНИК!$J$10)+СПРАВОЧНИК!$E$11*(('ФАКТ ЧЕРН К3'!H42)*СПРАВОЧНИК!$H$11+('ФАКТ ЧЕРН К3'!I42)*СПРАВОЧНИК!$I$11+('ФАКТ ЧЕРН К3'!J42)*СПРАВОЧНИК!$J$11)+СПРАВОЧНИК!$E$12*(('ФАКТ ЧЕРН К3'!K42)*СПРАВОЧНИК!$H$12+('ФАКТ ЧЕРН К3'!L42)*СПРАВОЧНИК!$I$12+('ФАКТ ЧЕРН К3'!M42)*СПРАВОЧНИК!$J$12)+СПРАВОЧНИК!$E$13*(('ФАКТ ЧЕРН К3'!N42)*СПРАВОЧНИК!$H$13+('ФАКТ ЧЕРН К3'!O42)*СПРАВОЧНИК!$I$13+('ФАКТ ЧЕРН К3'!P42)*СПРАВОЧНИК!$J$13)+СПРАВОЧНИК!$E$14*(('ФАКТ ЧЕРН К3'!Q42)*СПРАВОЧНИК!$H$14+('ФАКТ ЧЕРН К3'!R42)*СПРАВОЧНИК!$I$14+('ФАКТ ЧЕРН К3'!S42)*СПРАВОЧНИК!$J$14)+СПРАВОЧНИК!$E$15*(('ФАКТ ЧЕРН К3'!T42)*СПРАВОЧНИК!$H$15+('ФАКТ ЧЕРН К3'!U42)*СПРАВОЧНИК!$I$15+('ФАКТ ЧЕРН К3'!V42)*СПРАВОЧНИК!$J$15)+СПРАВОЧНИК!$F$9*(('ФАКТ ЧИСТ К3'!B42)*СПРАВОЧНИК!$L$9+('ФАКТ ЧИСТ К3'!C42)*СПРАВОЧНИК!$M$9+('ФАКТ ЧИСТ К3'!D42)*СПРАВОЧНИК!$N$9+('ФАКТ ЧИСТ К3'!E42)*СПРАВОЧНИК!$O$9)+СПРАВОЧНИК!$F$10*(('ФАКТ ЧИСТ К3'!F42)*СПРАВОЧНИК!$L$10+('ФАКТ ЧИСТ К3'!G42)*СПРАВОЧНИК!$M$10+('ФАКТ ЧИСТ К3'!H42)*СПРАВОЧНИК!$N$10+('ФАКТ ЧИСТ К3'!I42)*СПРАВОЧНИК!$O$10)+СПРАВОЧНИК!$F$11*(('ФАКТ ЧИСТ К3'!J42)*СПРАВОЧНИК!$L$11+('ФАКТ ЧИСТ К3'!K42)*СПРАВОЧНИК!$M$11+('ФАКТ ЧИСТ К3'!L42)*СПРАВОЧНИК!$N$11)+СПРАВОЧНИК!$F$12*(('ФАКТ ЧИСТ К3'!M42)*СПРАВОЧНИК!$L$12+('ФАКТ ЧИСТ К3'!N42)*СПРАВОЧНИК!$M$12+('ФАКТ ЧИСТ К3'!O42)*СПРАВОЧНИК!$N$12+('ФАКТ ЧИСТ К3'!P42)*СПРАВОЧНИК!$O$12)+СПРАВОЧНИК!$F$13*(('ФАКТ ЧИСТ К3'!Q42)*СПРАВОЧНИК!$L$13+('ФАКТ ЧИСТ К3'!R42)*СПРАВОЧНИК!$M$13+('ФАКТ ЧИСТ К3'!S42)*СПРАВОЧНИК!$N$13+('ФАКТ ЧИСТ К3'!T42)*СПРАВОЧНИК!$O$13)+СПРАВОЧНИК!$F$14*(('ФАКТ ЧИСТ К3'!U42)*СПРАВОЧНИК!$L$14+('ФАКТ ЧИСТ К3'!V42)*СПРАВОЧНИК!$M$14+('ФАКТ ЧИСТ К3'!W42)*СПРАВОЧНИК!$N$14)+СПРАВОЧНИК!$F$15*(('ФАКТ ЧИСТ К3'!X42)*СПРАВОЧНИК!$L$15+('ФАКТ ЧИСТ К3'!Y42)*СПРАВОЧНИК!$M$15+('ФАКТ ЧИСТ К3'!Z42)*СПРАВОЧНИК!$N$15)</f>
        <v/>
      </c>
      <c r="BK51" s="18">
        <f>BK50+7</f>
        <v/>
      </c>
      <c r="BL51" s="37">
        <f>'ПЛАН ЧЕРН К3'!B42*СПРАВОЧНИК!$H$9+'ПЛАН ЧЕРН К3'!C42*СПРАВОЧНИК!$I$9+'ПЛАН ЧЕРН К3'!D42*СПРАВОЧНИК!$J$9+'ПЛАН ЧЕРН К3'!E42*СПРАВОЧНИК!$H$10+'ПЛАН ЧЕРН К3'!F42*СПРАВОЧНИК!$I$10+'ПЛАН ЧЕРН К3'!G42*СПРАВОЧНИК!$J$10+'ПЛАН ЧЕРН К3'!H42*СПРАВОЧНИК!$H$11+'ПЛАН ЧЕРН К3'!I42*СПРАВОЧНИК!$I$11+'ПЛАН ЧЕРН К3'!J42*СПРАВОЧНИК!$J$11+'ПЛАН ЧЕРН К3'!K42*СПРАВОЧНИК!$H$12+'ПЛАН ЧЕРН К3'!L42*СПРАВОЧНИК!$I$12+'ПЛАН ЧЕРН К3'!M42*СПРАВОЧНИК!$J$12+'ПЛАН ЧЕРН К3'!N42*СПРАВОЧНИК!$H$13+'ПЛАН ЧЕРН К3'!O42*СПРАВОЧНИК!$I$13+'ПЛАН ЧЕРН К3'!P42*СПРАВОЧНИК!$J$13+'ПЛАН ЧЕРН К3'!Q42*СПРАВОЧНИК!$H$14+'ПЛАН ЧЕРН К3'!R42*СПРАВОЧНИК!$I$14+'ПЛАН ЧЕРН К3'!S42*СПРАВОЧНИК!$J$14+'ПЛАН ЧЕРН К3'!T42*СПРАВОЧНИК!$H$15+'ПЛАН ЧЕРН К3'!U42*СПРАВОЧНИК!$I$15+'ПЛАН ЧЕРН К3'!V42*СПРАВОЧНИК!$J$15</f>
        <v/>
      </c>
      <c r="BM51" s="40">
        <f>('ФАКТ ЧЕРН К3'!B42)*СПРАВОЧНИК!$H$9+('ФАКТ ЧЕРН К3'!C42)*СПРАВОЧНИК!$I$9+('ФАКТ ЧЕРН К3'!D42)*СПРАВОЧНИК!$J$9+('ФАКТ ЧЕРН К3'!E42)*СПРАВОЧНИК!$H$10+('ФАКТ ЧЕРН К3'!F42)*СПРАВОЧНИК!$I$10+('ФАКТ ЧЕРН К3'!G42)*СПРАВОЧНИК!$J$10+('ФАКТ ЧЕРН К3'!H42)*СПРАВОЧНИК!$H$11+('ФАКТ ЧЕРН К3'!I42)*СПРАВОЧНИК!$I$11+('ФАКТ ЧЕРН К3'!J42)*СПРАВОЧНИК!$J$11+('ФАКТ ЧЕРН К3'!K42)*СПРАВОЧНИК!$H$12+('ФАКТ ЧЕРН К3'!L42)*СПРАВОЧНИК!$I$12+('ФАКТ ЧЕРН К3'!M42)*СПРАВОЧНИК!$J$12+('ФАКТ ЧЕРН К3'!N42)*СПРАВОЧНИК!$H$13+('ФАКТ ЧЕРН К3'!O42)*СПРАВОЧНИК!$I$13+('ФАКТ ЧЕРН К3'!P42)*СПРАВОЧНИК!$J$13+('ФАКТ ЧЕРН К3'!Q42)*СПРАВОЧНИК!$H$14+('ФАКТ ЧЕРН К3'!R42)*СПРАВОЧНИК!$I$14+('ФАКТ ЧЕРН К3'!S42)*СПРАВОЧНИК!$J$14+('ФАКТ ЧЕРН К3'!T42)*СПРАВОЧНИК!$H$15+('ФАКТ ЧЕРН К3'!U42)*СПРАВОЧНИК!$I$15+('ФАКТ ЧЕРН К3'!V42)*СПРАВОЧНИК!$J$15</f>
        <v/>
      </c>
      <c r="BQ51" s="18">
        <f>BQ50+7</f>
        <v/>
      </c>
      <c r="BR51" s="37">
        <f>'ПЛАН ЧИСТ К3'!B42*СПРАВОЧНИК!$L$9+'ПЛАН ЧИСТ К3'!C42*СПРАВОЧНИК!$M$9+'ПЛАН ЧИСТ К3'!D42*СПРАВОЧНИК!$N$9+'ПЛАН ЧИСТ К3'!E42*СПРАВОЧНИК!$O$9+'ПЛАН ЧИСТ К3'!F42*СПРАВОЧНИК!$L$10+'ПЛАН ЧИСТ К3'!G42*СПРАВОЧНИК!$M$10+'ПЛАН ЧИСТ К3'!H42*СПРАВОЧНИК!$N$10+'ПЛАН ЧИСТ К3'!I42*СПРАВОЧНИК!$O$10+'ПЛАН ЧИСТ К3'!J42*СПРАВОЧНИК!$L$11+'ПЛАН ЧИСТ К3'!K42*СПРАВОЧНИК!$M$11+'ПЛАН ЧИСТ К3'!L42*СПРАВОЧНИК!$N$11+'ПЛАН ЧИСТ К3'!M42*СПРАВОЧНИК!$L$12+'ПЛАН ЧИСТ К3'!N42*СПРАВОЧНИК!$M$12+'ПЛАН ЧИСТ К3'!O42*СПРАВОЧНИК!$N$12+'ПЛАН ЧИСТ К3'!P42*СПРАВОЧНИК!$O$12+'ПЛАН ЧИСТ К3'!Q42*СПРАВОЧНИК!$L$13+'ПЛАН ЧИСТ К3'!R42*СПРАВОЧНИК!$M$13+'ПЛАН ЧИСТ К3'!S42*СПРАВОЧНИК!$N$13+'ПЛАН ЧИСТ К3'!T42*СПРАВОЧНИК!$O$13+'ПЛАН ЧИСТ К3'!U42*СПРАВОЧНИК!$L$14+'ПЛАН ЧИСТ К3'!V42*СПРАВОЧНИК!$M$14+'ПЛАН ЧИСТ К3'!W42*СПРАВОЧНИК!$N$14+'ПЛАН ЧИСТ К3'!X42*СПРАВОЧНИК!$L$15+'ПЛАН ЧИСТ К3'!Y42*СПРАВОЧНИК!$M$15+'ПЛАН ЧИСТ К3'!Z42*СПРАВОЧНИК!$N$15</f>
        <v/>
      </c>
      <c r="BS51" s="40">
        <f>('ФАКТ ЧИСТ К3'!B42)*СПРАВОЧНИК!$L$9+('ФАКТ ЧИСТ К3'!C42)*СПРАВОЧНИК!$M$9+('ФАКТ ЧИСТ К3'!D42)*СПРАВОЧНИК!$N$9+('ФАКТ ЧИСТ К3'!E42)*СПРАВОЧНИК!$O$9+('ФАКТ ЧИСТ К3'!F42)*СПРАВОЧНИК!$L$10+('ФАКТ ЧИСТ К3'!G42)*СПРАВОЧНИК!$M$10+('ФАКТ ЧИСТ К3'!H42)*СПРАВОЧНИК!$N$10+('ФАКТ ЧИСТ К3'!I42)*СПРАВОЧНИК!$O$10+('ФАКТ ЧИСТ К3'!J42)*СПРАВОЧНИК!$L$11+('ФАКТ ЧИСТ К3'!K42)*СПРАВОЧНИК!$M$11+('ФАКТ ЧИСТ К3'!L42)*СПРАВОЧНИК!$N$11+('ФАКТ ЧИСТ К3'!M42)*СПРАВОЧНИК!$L$12+('ФАКТ ЧИСТ К3'!N42)*СПРАВОЧНИК!$M$12+('ФАКТ ЧИСТ К3'!O42)*СПРАВОЧНИК!$N$12+('ФАКТ ЧИСТ К3'!P42)*СПРАВОЧНИК!$O$12+('ФАКТ ЧИСТ К3'!Q42)*СПРАВОЧНИК!$L$13+('ФАКТ ЧИСТ К3'!R42)*СПРАВОЧНИК!$M$13+('ФАКТ ЧИСТ К3'!S42)*СПРАВОЧНИК!$N$13+('ФАКТ ЧИСТ К3'!T42)*СПРАВОЧНИК!$O$13+('ФАКТ ЧИСТ К3'!U42)*СПРАВОЧНИК!$L$14+('ФАКТ ЧИСТ К3'!V42)*СПРАВОЧНИК!$M$14+('ФАКТ ЧИСТ К3'!W42)*СПРАВОЧНИК!$N$14+('ФАКТ ЧИСТ К3'!X42)*СПРАВОЧНИК!$L$15+('ФАКТ ЧИСТ К3'!Y42)*СПРАВОЧНИК!$M$15+('ФАКТ ЧИСТ К3'!Z42)*СПРАВОЧНИК!$N$15</f>
        <v/>
      </c>
      <c r="BW51" s="18">
        <f>BW50+7</f>
        <v/>
      </c>
      <c r="BX51" s="37">
        <f>V51+AN51+BF51</f>
        <v/>
      </c>
      <c r="BY51" s="40">
        <f>W51+AO51+BG51</f>
        <v/>
      </c>
      <c r="CC51" s="18">
        <f>CC50+7</f>
        <v/>
      </c>
      <c r="CD51" s="37">
        <f>AB51+AT51+BL51</f>
        <v/>
      </c>
      <c r="CE51" s="40">
        <f>AC51+AU51+BM51</f>
        <v/>
      </c>
      <c r="CI51" s="18">
        <f>CI50+7</f>
        <v/>
      </c>
      <c r="CJ51" s="37">
        <f>AH51+AZ51+BR51</f>
        <v/>
      </c>
      <c r="CK51" s="40">
        <f>AI51+BA51+BS51</f>
        <v/>
      </c>
      <c r="CO51" s="18">
        <f>CO50+7</f>
        <v/>
      </c>
      <c r="CP51" s="37">
        <f>D51+BX51</f>
        <v/>
      </c>
      <c r="CQ51" s="40">
        <f>E51+BY51</f>
        <v/>
      </c>
      <c r="CU51" s="18">
        <f>CU50+7</f>
        <v/>
      </c>
      <c r="CV51" s="37">
        <f>J51+CD51</f>
        <v/>
      </c>
      <c r="CW51" s="40">
        <f>K51+CE51</f>
        <v/>
      </c>
      <c r="DA51" s="18">
        <f>DA50+7</f>
        <v/>
      </c>
      <c r="DB51" s="37">
        <f>P51+CJ51</f>
        <v/>
      </c>
      <c r="DC51" s="40">
        <f>Q51+CK51</f>
        <v/>
      </c>
    </row>
    <row r="52">
      <c r="C52" s="18">
        <f>C51+7</f>
        <v/>
      </c>
      <c r="D52" s="37">
        <f>СПРАВОЧНИК!$E$3*('ПЛАН ЧЕРН ПОДЗЕМ'!B43*СПРАВОЧНИК!$H$3+'ПЛАН ЧЕРН ПОДЗЕМ'!C43*СПРАВОЧНИК!$I$3+'ПЛАН ЧЕРН ПОДЗЕМ'!D43*СПРАВОЧНИК!$J$3)+СПРАВОЧНИК!$E$4*('ПЛАН ЧЕРН ПОДЗЕМ'!E43*СПРАВОЧНИК!$H$4+'ПЛАН ЧЕРН ПОДЗЕМ'!F43*СПРАВОЧНИК!$I$4+'ПЛАН ЧЕРН ПОДЗЕМ'!G43*СПРАВОЧНИК!$J$4)+СПРАВОЧНИК!$E$5*('ПЛАН ЧЕРН ПОДЗЕМ'!H43*СПРАВОЧНИК!$H$5+'ПЛАН ЧЕРН ПОДЗЕМ'!I43*СПРАВОЧНИК!$I$5+'ПЛАН ЧЕРН ПОДЗЕМ'!J43*СПРАВОЧНИК!$J$5)+СПРАВОЧНИК!$E$6*('ПЛАН ЧЕРН ПОДЗЕМ'!K43*СПРАВОЧНИК!$H$6+'ПЛАН ЧЕРН ПОДЗЕМ'!L43*СПРАВОЧНИК!$I$6+'ПЛАН ЧЕРН ПОДЗЕМ'!M43*СПРАВОЧНИК!$J$6)+СПРАВОЧНИК!$E$7*('ПЛАН ЧЕРН ПОДЗЕМ'!N43*СПРАВОЧНИК!$H$7+'ПЛАН ЧЕРН ПОДЗЕМ'!O43*СПРАВОЧНИК!$I$7+'ПЛАН ЧЕРН ПОДЗЕМ'!P43*СПРАВОЧНИК!$J$7)+СПРАВОЧНИК!$E$8*('ПЛАН ЧЕРН ПОДЗЕМ'!Q43*СПРАВОЧНИК!$H$8+'ПЛАН ЧЕРН ПОДЗЕМ'!R43*СПРАВОЧНИК!$I$8+'ПЛАН ЧЕРН ПОДЗЕМ'!S43*СПРАВОЧНИК!$J$8)+СПРАВОЧНИК!$F$3*('ПЛАН ЧИСТ ПОДЗЕМ'!B43*СПРАВОЧНИК!$L$3+'ПЛАН ЧИСТ ПОДЗЕМ'!C43*СПРАВОЧНИК!$M$3+'ПЛАН ЧИСТ ПОДЗЕМ'!D43*СПРАВОЧНИК!$N$3+'ПЛАН ЧИСТ ПОДЗЕМ'!E43*СПРАВОЧНИК!$O$3)+СПРАВОЧНИК!$F$4*('ПЛАН ЧИСТ ПОДЗЕМ'!F43*СПРАВОЧНИК!$L$4+'ПЛАН ЧИСТ ПОДЗЕМ'!G43*СПРАВОЧНИК!$M$4+'ПЛАН ЧИСТ ПОДЗЕМ'!H43*СПРАВОЧНИК!$N$4+'ПЛАН ЧИСТ ПОДЗЕМ'!I43*СПРАВОЧНИК!$O$4)+СПРАВОЧНИК!$F$5*('ПЛАН ЧИСТ ПОДЗЕМ'!J43*СПРАВОЧНИК!$L$5+'ПЛАН ЧИСТ ПОДЗЕМ'!K43*СПРАВОЧНИК!$M$5+'ПЛАН ЧИСТ ПОДЗЕМ'!L43*СПРАВОЧНИК!$N$5)+СПРАВОЧНИК!$F$6*('ПЛАН ЧИСТ ПОДЗЕМ'!M43*СПРАВОЧНИК!$L$6+'ПЛАН ЧИСТ ПОДЗЕМ'!N43*СПРАВОЧНИК!$M$6+'ПЛАН ЧИСТ ПОДЗЕМ'!O43*СПРАВОЧНИК!$N$6+'ПЛАН ЧИСТ ПОДЗЕМ'!P43*СПРАВОЧНИК!$O$6)+СПРАВОЧНИК!$F$7*('ПЛАН ЧИСТ ПОДЗЕМ'!Q43*СПРАВОЧНИК!$L$7+'ПЛАН ЧИСТ ПОДЗЕМ'!R43*СПРАВОЧНИК!$M$7+'ПЛАН ЧИСТ ПОДЗЕМ'!S43*СПРАВОЧНИК!$N$7+'ПЛАН ЧИСТ ПОДЗЕМ'!T43*СПРАВОЧНИК!$O$7)+СПРАВОЧНИК!$F$8*('ПЛАН ЧИСТ ПОДЗЕМ'!U43*СПРАВОЧНИК!$L$8+'ПЛАН ЧИСТ ПОДЗЕМ'!V43*СПРАВОЧНИК!$M$8+'ПЛАН ЧИСТ ПОДЗЕМ'!W43*СПРАВОЧНИК!$N$8)</f>
        <v/>
      </c>
      <c r="E52" s="40">
        <f>СПРАВОЧНИК!$E$3*(('ФАКТ ЧЕРН ПОДЗЕМ'!B43)*СПРАВОЧНИК!$H$3+('ФАКТ ЧЕРН ПОДЗЕМ'!C43)*СПРАВОЧНИК!$I$3+('ФАКТ ЧЕРН ПОДЗЕМ'!D43)*СПРАВОЧНИК!$J$3)+СПРАВОЧНИК!$E$4*(('ФАКТ ЧЕРН ПОДЗЕМ'!E43)*СПРАВОЧНИК!$H$4+('ФАКТ ЧЕРН ПОДЗЕМ'!F43)*СПРАВОЧНИК!$I$4+('ФАКТ ЧЕРН ПОДЗЕМ'!G43)*СПРАВОЧНИК!$J$4)+СПРАВОЧНИК!$E$5*(('ФАКТ ЧЕРН ПОДЗЕМ'!H43)*СПРАВОЧНИК!$H$5+('ФАКТ ЧЕРН ПОДЗЕМ'!I43)*СПРАВОЧНИК!$I$5+('ФАКТ ЧЕРН ПОДЗЕМ'!J43)*СПРАВОЧНИК!$J$5)+СПРАВОЧНИК!$E$6*(('ФАКТ ЧЕРН ПОДЗЕМ'!K43)*СПРАВОЧНИК!$H$6+('ФАКТ ЧЕРН ПОДЗЕМ'!L43)*СПРАВОЧНИК!$I$6+('ФАКТ ЧЕРН ПОДЗЕМ'!M43)*СПРАВОЧНИК!$J$6)+СПРАВОЧНИК!$E$7*(('ФАКТ ЧЕРН ПОДЗЕМ'!N43)*СПРАВОЧНИК!$H$7+('ФАКТ ЧЕРН ПОДЗЕМ'!O43)*СПРАВОЧНИК!$I$7+('ФАКТ ЧЕРН ПОДЗЕМ'!P43)*СПРАВОЧНИК!$J$7)+СПРАВОЧНИК!$E$8*(('ФАКТ ЧЕРН ПОДЗЕМ'!Q43)*СПРАВОЧНИК!$H$8+('ФАКТ ЧЕРН ПОДЗЕМ'!R43)*СПРАВОЧНИК!$I$8+('ФАКТ ЧЕРН ПОДЗЕМ'!S43)*СПРАВОЧНИК!$J$8)+СПРАВОЧНИК!$F$3*(('ФАКТ ЧИСТ ПОДЗЕМ'!B43)*СПРАВОЧНИК!$L$3+('ФАКТ ЧИСТ ПОДЗЕМ'!C43)*СПРАВОЧНИК!$M$3+('ФАКТ ЧИСТ ПОДЗЕМ'!D43)*СПРАВОЧНИК!$N$3+('ФАКТ ЧИСТ ПОДЗЕМ'!E43)*СПРАВОЧНИК!$O$3)+СПРАВОЧНИК!$F$4*(('ФАКТ ЧИСТ ПОДЗЕМ'!F43)*СПРАВОЧНИК!$L$4+('ФАКТ ЧИСТ ПОДЗЕМ'!G43)*СПРАВОЧНИК!$M$4+('ФАКТ ЧИСТ ПОДЗЕМ'!H43)*СПРАВОЧНИК!$N$4+('ФАКТ ЧИСТ ПОДЗЕМ'!I43)*СПРАВОЧНИК!$O$4)+СПРАВОЧНИК!$F$5*(('ФАКТ ЧИСТ ПОДЗЕМ'!J43)*СПРАВОЧНИК!$L$5+('ФАКТ ЧИСТ ПОДЗЕМ'!K43)*СПРАВОЧНИК!$M$5+('ФАКТ ЧИСТ ПОДЗЕМ'!L43)*СПРАВОЧНИК!$N$5)+СПРАВОЧНИК!$F$6*(('ФАКТ ЧИСТ ПОДЗЕМ'!M43)*СПРАВОЧНИК!$L$6+('ФАКТ ЧИСТ ПОДЗЕМ'!N43)*СПРАВОЧНИК!$M$6+('ФАКТ ЧИСТ ПОДЗЕМ'!O43)*СПРАВОЧНИК!$N$6+('ФАКТ ЧИСТ ПОДЗЕМ'!P43)*СПРАВОЧНИК!$O$6)+СПРАВОЧНИК!$F$7*(('ФАКТ ЧИСТ ПОДЗЕМ'!Q43)*СПРАВОЧНИК!$L$7+('ФАКТ ЧИСТ ПОДЗЕМ'!R43)*СПРАВОЧНИК!$M$7+('ФАКТ ЧИСТ ПОДЗЕМ'!S43)*СПРАВОЧНИК!$N$7+('ФАКТ ЧИСТ ПОДЗЕМ'!T43)*СПРАВОЧНИК!$O$7)+СПРАВОЧНИК!$F$8*(('ФАКТ ЧИСТ ПОДЗЕМ'!U43)*СПРАВОЧНИК!$L$8+('ФАКТ ЧИСТ ПОДЗЕМ'!V43)*СПРАВОЧНИК!$M$8+('ФАКТ ЧИСТ ПОДЗЕМ'!W43)*СПРАВОЧНИК!$N$8)</f>
        <v/>
      </c>
      <c r="I52" s="18">
        <f>I51+7</f>
        <v/>
      </c>
      <c r="J52" s="37">
        <f>'ПЛАН ЧЕРН ПОДЗЕМ'!B43*СПРАВОЧНИК!$H$3+'ПЛАН ЧЕРН ПОДЗЕМ'!C43*СПРАВОЧНИК!$I$3+'ПЛАН ЧЕРН ПОДЗЕМ'!D43*СПРАВОЧНИК!$J$3+'ПЛАН ЧЕРН ПОДЗЕМ'!E43*СПРАВОЧНИК!$H$4+'ПЛАН ЧЕРН ПОДЗЕМ'!F43*СПРАВОЧНИК!$I$4+'ПЛАН ЧЕРН ПОДЗЕМ'!G43*СПРАВОЧНИК!$J$4+'ПЛАН ЧЕРН ПОДЗЕМ'!H43*СПРАВОЧНИК!$H$5+'ПЛАН ЧЕРН ПОДЗЕМ'!I43*СПРАВОЧНИК!$I$5+'ПЛАН ЧЕРН ПОДЗЕМ'!J43*СПРАВОЧНИК!$J$5+'ПЛАН ЧЕРН ПОДЗЕМ'!K43*СПРАВОЧНИК!$H$6+'ПЛАН ЧЕРН ПОДЗЕМ'!L43*СПРАВОЧНИК!$I$6+'ПЛАН ЧЕРН ПОДЗЕМ'!M43*СПРАВОЧНИК!$J$6+'ПЛАН ЧЕРН ПОДЗЕМ'!N43*СПРАВОЧНИК!$H$7+'ПЛАН ЧЕРН ПОДЗЕМ'!O43*СПРАВОЧНИК!$I$7+'ПЛАН ЧЕРН ПОДЗЕМ'!P43*СПРАВОЧНИК!$J$7+'ПЛАН ЧЕРН ПОДЗЕМ'!Q43*СПРАВОЧНИК!$H$8+'ПЛАН ЧЕРН ПОДЗЕМ'!R43*СПРАВОЧНИК!$I$8+'ПЛАН ЧЕРН ПОДЗЕМ'!S43*СПРАВОЧНИК!$J$8</f>
        <v/>
      </c>
      <c r="K52" s="40">
        <f>('ФАКТ ЧЕРН ПОДЗЕМ'!B43)*СПРАВОЧНИК!$H$3+('ФАКТ ЧЕРН ПОДЗЕМ'!C43)*СПРАВОЧНИК!$I$3+('ФАКТ ЧЕРН ПОДЗЕМ'!D43)*СПРАВОЧНИК!$J$3+('ФАКТ ЧЕРН ПОДЗЕМ'!E43)*СПРАВОЧНИК!$H$4+('ФАКТ ЧЕРН ПОДЗЕМ'!F43)*СПРАВОЧНИК!$I$4+('ФАКТ ЧЕРН ПОДЗЕМ'!G43)*СПРАВОЧНИК!$J$4+('ФАКТ ЧЕРН ПОДЗЕМ'!H43)*СПРАВОЧНИК!$H$5+('ФАКТ ЧЕРН ПОДЗЕМ'!I43)*СПРАВОЧНИК!$I$5+('ФАКТ ЧЕРН ПОДЗЕМ'!J43)*СПРАВОЧНИК!$J$5+('ФАКТ ЧЕРН ПОДЗЕМ'!K43)*СПРАВОЧНИК!$H$6+('ФАКТ ЧЕРН ПОДЗЕМ'!L43)*СПРАВОЧНИК!$I$6+('ФАКТ ЧЕРН ПОДЗЕМ'!M43)*СПРАВОЧНИК!$J$6+('ФАКТ ЧЕРН ПОДЗЕМ'!N43)*СПРАВОЧНИК!$H$7+('ФАКТ ЧЕРН ПОДЗЕМ'!O43)*СПРАВОЧНИК!$I$7+('ФАКТ ЧЕРН ПОДЗЕМ'!P43)*СПРАВОЧНИК!$J$7+('ФАКТ ЧЕРН ПОДЗЕМ'!Q43)*СПРАВОЧНИК!$H$8+('ФАКТ ЧЕРН ПОДЗЕМ'!R43)*СПРАВОЧНИК!$I$8+('ФАКТ ЧЕРН ПОДЗЕМ'!S43)*СПРАВОЧНИК!$J$8</f>
        <v/>
      </c>
      <c r="O52" s="18">
        <f>O51+7</f>
        <v/>
      </c>
      <c r="P52" s="37">
        <f>'ПЛАН ЧИСТ ПОДЗЕМ'!B43*СПРАВОЧНИК!$L$3+'ПЛАН ЧИСТ ПОДЗЕМ'!C43*СПРАВОЧНИК!$M$3+'ПЛАН ЧИСТ ПОДЗЕМ'!D43*СПРАВОЧНИК!$N$3+'ПЛАН ЧИСТ ПОДЗЕМ'!E43*СПРАВОЧНИК!$O$3+'ПЛАН ЧИСТ ПОДЗЕМ'!F43*СПРАВОЧНИК!$L$4+'ПЛАН ЧИСТ ПОДЗЕМ'!G43*СПРАВОЧНИК!$M$4+'ПЛАН ЧИСТ ПОДЗЕМ'!H43*СПРАВОЧНИК!$N$4+'ПЛАН ЧИСТ ПОДЗЕМ'!I43*СПРАВОЧНИК!$O$4+'ПЛАН ЧИСТ ПОДЗЕМ'!J43*СПРАВОЧНИК!$L$5+'ПЛАН ЧИСТ ПОДЗЕМ'!K43*СПРАВОЧНИК!$M$5+'ПЛАН ЧИСТ ПОДЗЕМ'!L43*СПРАВОЧНИК!$N$5+'ПЛАН ЧИСТ ПОДЗЕМ'!M43*СПРАВОЧНИК!$L$6+'ПЛАН ЧИСТ ПОДЗЕМ'!N43*СПРАВОЧНИК!$M$6+'ПЛАН ЧИСТ ПОДЗЕМ'!O43*СПРАВОЧНИК!$N$6+'ПЛАН ЧИСТ ПОДЗЕМ'!P43*СПРАВОЧНИК!$O$6+'ПЛАН ЧИСТ ПОДЗЕМ'!Q43*СПРАВОЧНИК!$L$7+'ПЛАН ЧИСТ ПОДЗЕМ'!R43*СПРАВОЧНИК!$M$7+'ПЛАН ЧИСТ ПОДЗЕМ'!S43*СПРАВОЧНИК!$N$7+'ПЛАН ЧИСТ ПОДЗЕМ'!T43*СПРАВОЧНИК!$O$7+'ПЛАН ЧИСТ ПОДЗЕМ'!U43*СПРАВОЧНИК!$L$8+'ПЛАН ЧИСТ ПОДЗЕМ'!V43*СПРАВОЧНИК!$M$8+'ПЛАН ЧИСТ ПОДЗЕМ'!W43*СПРАВОЧНИК!$N$8</f>
        <v/>
      </c>
      <c r="Q52" s="40">
        <f>('ФАКТ ЧИСТ ПОДЗЕМ'!B43)*СПРАВОЧНИК!$L$3+('ФАКТ ЧИСТ ПОДЗЕМ'!C43)*СПРАВОЧНИК!$M$3+('ФАКТ ЧИСТ ПОДЗЕМ'!D43)*СПРАВОЧНИК!$N$3+('ФАКТ ЧИСТ ПОДЗЕМ'!E43)*СПРАВОЧНИК!$O$3+('ФАКТ ЧИСТ ПОДЗЕМ'!F43)*СПРАВОЧНИК!$L$4+('ФАКТ ЧИСТ ПОДЗЕМ'!G43)*СПРАВОЧНИК!$M$4+('ФАКТ ЧИСТ ПОДЗЕМ'!H43)*СПРАВОЧНИК!$N$4+('ФАКТ ЧИСТ ПОДЗЕМ'!I43)*СПРАВОЧНИК!$O$4+('ФАКТ ЧИСТ ПОДЗЕМ'!J43)*СПРАВОЧНИК!$L$5+('ФАКТ ЧИСТ ПОДЗЕМ'!K43)*СПРАВОЧНИК!$M$5+('ФАКТ ЧИСТ ПОДЗЕМ'!L43)*СПРАВОЧНИК!$N$5+('ФАКТ ЧИСТ ПОДЗЕМ'!M43)*СПРАВОЧНИК!$L$6+('ФАКТ ЧИСТ ПОДЗЕМ'!N43)*СПРАВОЧНИК!$M$6+('ФАКТ ЧИСТ ПОДЗЕМ'!O43)*СПРАВОЧНИК!$N$6+('ФАКТ ЧИСТ ПОДЗЕМ'!P43)*СПРАВОЧНИК!$O$6+('ФАКТ ЧИСТ ПОДЗЕМ'!Q43)*СПРАВОЧНИК!$L$7+('ФАКТ ЧИСТ ПОДЗЕМ'!R43)*СПРАВОЧНИК!$M$7+('ФАКТ ЧИСТ ПОДЗЕМ'!S43)*СПРАВОЧНИК!$N$7+('ФАКТ ЧИСТ ПОДЗЕМ'!T43)*СПРАВОЧНИК!$O$7+('ФАКТ ЧИСТ ПОДЗЕМ'!U43)*СПРАВОЧНИК!$L$8+('ФАКТ ЧИСТ ПОДЗЕМ'!V43)*СПРАВОЧНИК!$M$8+('ФАКТ ЧИСТ ПОДЗЕМ'!W43)*СПРАВОЧНИК!$N$8</f>
        <v/>
      </c>
      <c r="U52" s="18">
        <f>U51+7</f>
        <v/>
      </c>
      <c r="V52" s="37">
        <f>СПРАВОЧНИК!$E$9*('ПЛАН ЧЕРН К1'!B43*СПРАВОЧНИК!$H$9+'ПЛАН ЧЕРН К1'!C43*СПРАВОЧНИК!$I$9+'ПЛАН ЧЕРН К1'!D43*СПРАВОЧНИК!$J$9)+СПРАВОЧНИК!$E$10*('ПЛАН ЧЕРН К1'!E43*СПРАВОЧНИК!$H$10+'ПЛАН ЧЕРН К1'!F43*СПРАВОЧНИК!$I$10+'ПЛАН ЧЕРН К1'!G43*СПРАВОЧНИК!$J$10)+СПРАВОЧНИК!$E$11*('ПЛАН ЧЕРН К1'!H43*СПРАВОЧНИК!$H$11+'ПЛАН ЧЕРН К1'!I43*СПРАВОЧНИК!$I$11+'ПЛАН ЧЕРН К1'!J43*СПРАВОЧНИК!$J$11)+СПРАВОЧНИК!$E$12*('ПЛАН ЧЕРН К1'!K43*СПРАВОЧНИК!$H$12+'ПЛАН ЧЕРН К1'!L43*СПРАВОЧНИК!$I$12+'ПЛАН ЧЕРН К1'!M43*СПРАВОЧНИК!$J$12)+СПРАВОЧНИК!$E$13*('ПЛАН ЧЕРН К1'!N43*СПРАВОЧНИК!$H$13+'ПЛАН ЧЕРН К1'!O43*СПРАВОЧНИК!$I$13+'ПЛАН ЧЕРН К1'!P43*СПРАВОЧНИК!$J$13)+СПРАВОЧНИК!$E$14*('ПЛАН ЧЕРН К1'!Q43*СПРАВОЧНИК!$H$14+'ПЛАН ЧЕРН К1'!R43*СПРАВОЧНИК!$I$14+'ПЛАН ЧЕРН К1'!S43*СПРАВОЧНИК!$J$14)+СПРАВОЧНИК!$E$15*('ПЛАН ЧЕРН К1'!T43*СПРАВОЧНИК!$H$15+'ПЛАН ЧЕРН К1'!U43*СПРАВОЧНИК!$I$15+'ПЛАН ЧЕРН К1'!V43*СПРАВОЧНИК!$J$15)+СПРАВОЧНИК!$F$9*('ПЛАН ЧИСТ К1'!B43*СПРАВОЧНИК!$L$9+'ПЛАН ЧИСТ К1'!C43*СПРАВОЧНИК!$M$9+'ПЛАН ЧИСТ К1'!D43*СПРАВОЧНИК!$N$9+'ПЛАН ЧИСТ К1'!E43*СПРАВОЧНИК!$O$9)+СПРАВОЧНИК!$F$10*('ПЛАН ЧИСТ К1'!F43*СПРАВОЧНИК!$L$10+'ПЛАН ЧИСТ К1'!G43*СПРАВОЧНИК!$M$10+'ПЛАН ЧИСТ К1'!H43*СПРАВОЧНИК!$N$10+'ПЛАН ЧИСТ К1'!I43*СПРАВОЧНИК!$O$10)+СПРАВОЧНИК!$F$11*('ПЛАН ЧИСТ К1'!J43*СПРАВОЧНИК!$L$11+'ПЛАН ЧИСТ К1'!K43*СПРАВОЧНИК!$M$11+'ПЛАН ЧИСТ К1'!L43*СПРАВОЧНИК!$N$11)+СПРАВОЧНИК!$F$12*('ПЛАН ЧИСТ К1'!M43*СПРАВОЧНИК!$L$12+'ПЛАН ЧИСТ К1'!N43*СПРАВОЧНИК!$M$12+'ПЛАН ЧИСТ К1'!O43*СПРАВОЧНИК!$N$12+'ПЛАН ЧИСТ К1'!P43*СПРАВОЧНИК!$O$12)+СПРАВОЧНИК!$F$13*('ПЛАН ЧИСТ К1'!Q43*СПРАВОЧНИК!$L$13+'ПЛАН ЧИСТ К1'!R43*СПРАВОЧНИК!$M$13+'ПЛАН ЧИСТ К1'!S43*СПРАВОЧНИК!$N$13+'ПЛАН ЧИСТ К1'!T43*СПРАВОЧНИК!$O$13)+СПРАВОЧНИК!$F$14*('ПЛАН ЧИСТ К1'!U43*СПРАВОЧНИК!$L$14+'ПЛАН ЧИСТ К1'!V43*СПРАВОЧНИК!$M$14+'ПЛАН ЧИСТ К1'!W43*СПРАВОЧНИК!$N$14)+СПРАВОЧНИК!$F$15*('ПЛАН ЧИСТ К1'!X43*СПРАВОЧНИК!$L$15+'ПЛАН ЧИСТ К1'!Y43*СПРАВОЧНИК!$M$15+'ПЛАН ЧИСТ К1'!Z43*СПРАВОЧНИК!$N$15)</f>
        <v/>
      </c>
      <c r="W52" s="40">
        <f>СПРАВОЧНИК!$E$9*(('ФАКТ ЧЕРН К1'!B43)*СПРАВОЧНИК!$H$9+('ФАКТ ЧЕРН К1'!C43)*СПРАВОЧНИК!$I$9+('ФАКТ ЧЕРН К1'!D43)*СПРАВОЧНИК!$J$9)+СПРАВОЧНИК!$E$10*(('ФАКТ ЧЕРН К1'!E43)*СПРАВОЧНИК!$H$10+('ФАКТ ЧЕРН К1'!F43)*СПРАВОЧНИК!$I$10+('ФАКТ ЧЕРН К1'!G43)*СПРАВОЧНИК!$J$10)+СПРАВОЧНИК!$E$11*(('ФАКТ ЧЕРН К1'!H43)*СПРАВОЧНИК!$H$11+('ФАКТ ЧЕРН К1'!I43)*СПРАВОЧНИК!$I$11+('ФАКТ ЧЕРН К1'!J43)*СПРАВОЧНИК!$J$11)+СПРАВОЧНИК!$E$12*(('ФАКТ ЧЕРН К1'!K43)*СПРАВОЧНИК!$H$12+('ФАКТ ЧЕРН К1'!L43)*СПРАВОЧНИК!$I$12+('ФАКТ ЧЕРН К1'!M43)*СПРАВОЧНИК!$J$12)+СПРАВОЧНИК!$E$13*(('ФАКТ ЧЕРН К1'!N43)*СПРАВОЧНИК!$H$13+('ФАКТ ЧЕРН К1'!O43)*СПРАВОЧНИК!$I$13+('ФАКТ ЧЕРН К1'!P43)*СПРАВОЧНИК!$J$13)+СПРАВОЧНИК!$E$14*(('ФАКТ ЧЕРН К1'!Q43)*СПРАВОЧНИК!$H$14+('ФАКТ ЧЕРН К1'!R43)*СПРАВОЧНИК!$I$14+('ФАКТ ЧЕРН К1'!S43)*СПРАВОЧНИК!$J$14)+СПРАВОЧНИК!$E$15*(('ФАКТ ЧЕРН К1'!T43)*СПРАВОЧНИК!$H$15+('ФАКТ ЧЕРН К1'!U43)*СПРАВОЧНИК!$I$15+('ФАКТ ЧЕРН К1'!V43)*СПРАВОЧНИК!$J$15)+СПРАВОЧНИК!$F$9*(('ФАКТ ЧИСТ К1'!B43)*СПРАВОЧНИК!$L$9+('ФАКТ ЧИСТ К1'!C43)*СПРАВОЧНИК!$M$9+('ФАКТ ЧИСТ К1'!D43)*СПРАВОЧНИК!$N$9+('ФАКТ ЧИСТ К1'!E43)*СПРАВОЧНИК!$O$9)+СПРАВОЧНИК!$F$10*(('ФАКТ ЧИСТ К1'!F43)*СПРАВОЧНИК!$L$10+('ФАКТ ЧИСТ К1'!G43)*СПРАВОЧНИК!$M$10+('ФАКТ ЧИСТ К1'!H43)*СПРАВОЧНИК!$N$10+('ФАКТ ЧИСТ К1'!I43)*СПРАВОЧНИК!$O$10)+СПРАВОЧНИК!$F$11*(('ФАКТ ЧИСТ К1'!J43)*СПРАВОЧНИК!$L$11+('ФАКТ ЧИСТ К1'!K43)*СПРАВОЧНИК!$M$11+('ФАКТ ЧИСТ К1'!L43)*СПРАВОЧНИК!$N$11)+СПРАВОЧНИК!$F$12*(('ФАКТ ЧИСТ К1'!M43)*СПРАВОЧНИК!$L$12+('ФАКТ ЧИСТ К1'!N43)*СПРАВОЧНИК!$M$12+('ФАКТ ЧИСТ К1'!O43)*СПРАВОЧНИК!$N$12+('ФАКТ ЧИСТ К1'!P43)*СПРАВОЧНИК!$O$12)+СПРАВОЧНИК!$F$13*(('ФАКТ ЧИСТ К1'!Q43)*СПРАВОЧНИК!$L$13+('ФАКТ ЧИСТ К1'!R43)*СПРАВОЧНИК!$M$13+('ФАКТ ЧИСТ К1'!S43)*СПРАВОЧНИК!$N$13+('ФАКТ ЧИСТ К1'!T43)*СПРАВОЧНИК!$O$13)+СПРАВОЧНИК!$F$14*(('ФАКТ ЧИСТ К1'!U43)*СПРАВОЧНИК!$L$14+('ФАКТ ЧИСТ К1'!V43)*СПРАВОЧНИК!$M$14+('ФАКТ ЧИСТ К1'!W43)*СПРАВОЧНИК!$N$14)+СПРАВОЧНИК!$F$15*(('ФАКТ ЧИСТ К1'!X43)*СПРАВОЧНИК!$L$15+('ФАКТ ЧИСТ К1'!Y43)*СПРАВОЧНИК!$M$15+('ФАКТ ЧИСТ К1'!Z43)*СПРАВОЧНИК!$N$15)</f>
        <v/>
      </c>
      <c r="AA52" s="18">
        <f>AA51+7</f>
        <v/>
      </c>
      <c r="AB52" s="37">
        <f>'ПЛАН ЧЕРН К1'!B43*СПРАВОЧНИК!$H$9+'ПЛАН ЧЕРН К1'!C43*СПРАВОЧНИК!$I$9+'ПЛАН ЧЕРН К1'!D43*СПРАВОЧНИК!$J$9+'ПЛАН ЧЕРН К1'!E43*СПРАВОЧНИК!$H$10+'ПЛАН ЧЕРН К1'!F43*СПРАВОЧНИК!$I$10+'ПЛАН ЧЕРН К1'!G43*СПРАВОЧНИК!$J$10+'ПЛАН ЧЕРН К1'!H43*СПРАВОЧНИК!$H$11+'ПЛАН ЧЕРН К1'!I43*СПРАВОЧНИК!$I$11+'ПЛАН ЧЕРН К1'!J43*СПРАВОЧНИК!$J$11+'ПЛАН ЧЕРН К1'!K43*СПРАВОЧНИК!$H$12+'ПЛАН ЧЕРН К1'!L43*СПРАВОЧНИК!$I$12+'ПЛАН ЧЕРН К1'!M43*СПРАВОЧНИК!$J$12+'ПЛАН ЧЕРН К1'!N43*СПРАВОЧНИК!$H$13+'ПЛАН ЧЕРН К1'!O43*СПРАВОЧНИК!$I$13+'ПЛАН ЧЕРН К1'!P43*СПРАВОЧНИК!$J$13+'ПЛАН ЧЕРН К1'!Q43*СПРАВОЧНИК!$H$14+'ПЛАН ЧЕРН К1'!R43*СПРАВОЧНИК!$I$14+'ПЛАН ЧЕРН К1'!S43*СПРАВОЧНИК!$J$14+'ПЛАН ЧЕРН К1'!T43*СПРАВОЧНИК!$H$15+'ПЛАН ЧЕРН К1'!U43*СПРАВОЧНИК!$I$15+'ПЛАН ЧЕРН К1'!V43*СПРАВОЧНИК!$J$15</f>
        <v/>
      </c>
      <c r="AC52" s="40">
        <f>('ФАКТ ЧЕРН К1'!B43)*СПРАВОЧНИК!$H$9+('ФАКТ ЧЕРН К1'!C43)*СПРАВОЧНИК!$I$9+('ФАКТ ЧЕРН К1'!D43)*СПРАВОЧНИК!$J$9+('ФАКТ ЧЕРН К1'!E43)*СПРАВОЧНИК!$H$10+('ФАКТ ЧЕРН К1'!F43)*СПРАВОЧНИК!$I$10+('ФАКТ ЧЕРН К1'!G43)*СПРАВОЧНИК!$J$10+('ФАКТ ЧЕРН К1'!H43)*СПРАВОЧНИК!$H$11+('ФАКТ ЧЕРН К1'!I43)*СПРАВОЧНИК!$I$11+('ФАКТ ЧЕРН К1'!J43)*СПРАВОЧНИК!$J$11+('ФАКТ ЧЕРН К1'!K43)*СПРАВОЧНИК!$H$12+('ФАКТ ЧЕРН К1'!L43)*СПРАВОЧНИК!$I$12+('ФАКТ ЧЕРН К1'!M43)*СПРАВОЧНИК!$J$12+('ФАКТ ЧЕРН К1'!N43)*СПРАВОЧНИК!$H$13+('ФАКТ ЧЕРН К1'!O43)*СПРАВОЧНИК!$I$13+('ФАКТ ЧЕРН К1'!P43)*СПРАВОЧНИК!$J$13+('ФАКТ ЧЕРН К1'!Q43)*СПРАВОЧНИК!$H$14+('ФАКТ ЧЕРН К1'!R43)*СПРАВОЧНИК!$I$14+('ФАКТ ЧЕРН К1'!S43)*СПРАВОЧНИК!$J$14+('ФАКТ ЧЕРН К1'!T43)*СПРАВОЧНИК!$H$15+('ФАКТ ЧЕРН К1'!U43)*СПРАВОЧНИК!$I$15+('ФАКТ ЧЕРН К1'!V43)*СПРАВОЧНИК!$J$15</f>
        <v/>
      </c>
      <c r="AG52" s="18">
        <f>AG51+7</f>
        <v/>
      </c>
      <c r="AH52" s="37">
        <f>'ПЛАН ЧИСТ К1'!B43*СПРАВОЧНИК!$L$9+'ПЛАН ЧИСТ К1'!C43*СПРАВОЧНИК!$M$9+'ПЛАН ЧИСТ К1'!D43*СПРАВОЧНИК!$N$9+'ПЛАН ЧИСТ К1'!E43*СПРАВОЧНИК!$O$9+'ПЛАН ЧИСТ К1'!F43*СПРАВОЧНИК!$L$10+'ПЛАН ЧИСТ К1'!G43*СПРАВОЧНИК!$M$10+'ПЛАН ЧИСТ К1'!H43*СПРАВОЧНИК!$N$10+'ПЛАН ЧИСТ К1'!I43*СПРАВОЧНИК!$O$10+'ПЛАН ЧИСТ К1'!J43*СПРАВОЧНИК!$L$11+'ПЛАН ЧИСТ К1'!K43*СПРАВОЧНИК!$M$11+'ПЛАН ЧИСТ К1'!L43*СПРАВОЧНИК!$N$11+'ПЛАН ЧИСТ К1'!M43*СПРАВОЧНИК!$L$12+'ПЛАН ЧИСТ К1'!N43*СПРАВОЧНИК!$M$12+'ПЛАН ЧИСТ К1'!O43*СПРАВОЧНИК!$N$12+'ПЛАН ЧИСТ К1'!P43*СПРАВОЧНИК!$O$12+'ПЛАН ЧИСТ К1'!Q43*СПРАВОЧНИК!$L$13+'ПЛАН ЧИСТ К1'!R43*СПРАВОЧНИК!$M$13+'ПЛАН ЧИСТ К1'!S43*СПРАВОЧНИК!$N$13+'ПЛАН ЧИСТ К1'!T43*СПРАВОЧНИК!$O$13+'ПЛАН ЧИСТ К1'!U43*СПРАВОЧНИК!$L$14+'ПЛАН ЧИСТ К1'!V43*СПРАВОЧНИК!$M$14+'ПЛАН ЧИСТ К1'!W43*СПРАВОЧНИК!$N$14+'ПЛАН ЧИСТ К1'!X43*СПРАВОЧНИК!$L$15+'ПЛАН ЧИСТ К1'!Y43*СПРАВОЧНИК!$M$15+'ПЛАН ЧИСТ К1'!Z43*СПРАВОЧНИК!$N$15</f>
        <v/>
      </c>
      <c r="AI52" s="40">
        <f>('ФАКТ ЧИСТ К1'!B43)*СПРАВОЧНИК!$L$9+('ФАКТ ЧИСТ К1'!C43)*СПРАВОЧНИК!$M$9+('ФАКТ ЧИСТ К1'!D43)*СПРАВОЧНИК!$N$9+('ФАКТ ЧИСТ К1'!E43)*СПРАВОЧНИК!$O$9+('ФАКТ ЧИСТ К1'!F43)*СПРАВОЧНИК!$L$10+('ФАКТ ЧИСТ К1'!G43)*СПРАВОЧНИК!$M$10+('ФАКТ ЧИСТ К1'!H43)*СПРАВОЧНИК!$N$10+('ФАКТ ЧИСТ К1'!I43)*СПРАВОЧНИК!$O$10+('ФАКТ ЧИСТ К1'!J43)*СПРАВОЧНИК!$L$11+('ФАКТ ЧИСТ К1'!K43)*СПРАВОЧНИК!$M$11+('ФАКТ ЧИСТ К1'!L43)*СПРАВОЧНИК!$N$11+('ФАКТ ЧИСТ К1'!M43)*СПРАВОЧНИК!$L$12+('ФАКТ ЧИСТ К1'!N43)*СПРАВОЧНИК!$M$12+('ФАКТ ЧИСТ К1'!O43)*СПРАВОЧНИК!$N$12+('ФАКТ ЧИСТ К1'!P43)*СПРАВОЧНИК!$O$12+('ФАКТ ЧИСТ К1'!Q43)*СПРАВОЧНИК!$L$13+('ФАКТ ЧИСТ К1'!R43)*СПРАВОЧНИК!$M$13+('ФАКТ ЧИСТ К1'!S43)*СПРАВОЧНИК!$N$13+('ФАКТ ЧИСТ К1'!T43)*СПРАВОЧНИК!$O$13+('ФАКТ ЧИСТ К1'!U43)*СПРАВОЧНИК!$L$14+('ФАКТ ЧИСТ К1'!V43)*СПРАВОЧНИК!$M$14+('ФАКТ ЧИСТ К1'!W43)*СПРАВОЧНИК!$N$14+('ФАКТ ЧИСТ К1'!X43)*СПРАВОЧНИК!$L$15+('ФАКТ ЧИСТ К1'!Y43)*СПРАВОЧНИК!$M$15+('ФАКТ ЧИСТ К1'!Z43)*СПРАВОЧНИК!$N$15</f>
        <v/>
      </c>
      <c r="AM52" s="18">
        <f>AM51+7</f>
        <v/>
      </c>
      <c r="AN52" s="37">
        <f>СПРАВОЧНИК!$E$9*('ПЛАН ЧЕРН К2'!B43*СПРАВОЧНИК!$H$9+'ПЛАН ЧЕРН К2'!C43*СПРАВОЧНИК!$I$9+'ПЛАН ЧЕРН К2'!D43*СПРАВОЧНИК!$J$9)+СПРАВОЧНИК!$E$10*('ПЛАН ЧЕРН К2'!E43*СПРАВОЧНИК!$H$10+'ПЛАН ЧЕРН К2'!F43*СПРАВОЧНИК!$I$10+'ПЛАН ЧЕРН К2'!G43*СПРАВОЧНИК!$J$10)+СПРАВОЧНИК!$E$11*('ПЛАН ЧЕРН К2'!H43*СПРАВОЧНИК!$H$11+'ПЛАН ЧЕРН К2'!I43*СПРАВОЧНИК!$I$11+'ПЛАН ЧЕРН К2'!J43*СПРАВОЧНИК!$J$11)+СПРАВОЧНИК!$E$12*('ПЛАН ЧЕРН К2'!K43*СПРАВОЧНИК!$H$12+'ПЛАН ЧЕРН К2'!L43*СПРАВОЧНИК!$I$12+'ПЛАН ЧЕРН К2'!M43*СПРАВОЧНИК!$J$12)+СПРАВОЧНИК!$E$13*('ПЛАН ЧЕРН К2'!N43*СПРАВОЧНИК!$H$13+'ПЛАН ЧЕРН К2'!O43*СПРАВОЧНИК!$I$13+'ПЛАН ЧЕРН К2'!P43*СПРАВОЧНИК!$J$13)+СПРАВОЧНИК!$E$14*('ПЛАН ЧЕРН К2'!Q43*СПРАВОЧНИК!$H$14+'ПЛАН ЧЕРН К2'!R43*СПРАВОЧНИК!$I$14+'ПЛАН ЧЕРН К2'!S43*СПРАВОЧНИК!$J$14)+СПРАВОЧНИК!$E$15*('ПЛАН ЧЕРН К2'!T43*СПРАВОЧНИК!$H$15+'ПЛАН ЧЕРН К2'!U43*СПРАВОЧНИК!$I$15+'ПЛАН ЧЕРН К2'!V43*СПРАВОЧНИК!$J$15)+СПРАВОЧНИК!$F$9*('ПЛАН ЧИСТ К2'!B43*СПРАВОЧНИК!$L$9+'ПЛАН ЧИСТ К2'!C43*СПРАВОЧНИК!$M$9+'ПЛАН ЧИСТ К2'!D43*СПРАВОЧНИК!$N$9+'ПЛАН ЧИСТ К2'!E43*СПРАВОЧНИК!$O$9)+СПРАВОЧНИК!$F$10*('ПЛАН ЧИСТ К2'!F43*СПРАВОЧНИК!$L$10+'ПЛАН ЧИСТ К2'!G43*СПРАВОЧНИК!$M$10+'ПЛАН ЧИСТ К2'!H43*СПРАВОЧНИК!$N$10+'ПЛАН ЧИСТ К2'!I43*СПРАВОЧНИК!$O$10)+СПРАВОЧНИК!$F$11*('ПЛАН ЧИСТ К2'!J43*СПРАВОЧНИК!$L$11+'ПЛАН ЧИСТ К2'!K43*СПРАВОЧНИК!$M$11+'ПЛАН ЧИСТ К2'!L43*СПРАВОЧНИК!$N$11)+СПРАВОЧНИК!$F$12*('ПЛАН ЧИСТ К2'!M43*СПРАВОЧНИК!$L$12+'ПЛАН ЧИСТ К2'!N43*СПРАВОЧНИК!$M$12+'ПЛАН ЧИСТ К2'!O43*СПРАВОЧНИК!$N$12+'ПЛАН ЧИСТ К2'!P43*СПРАВОЧНИК!$O$12)+СПРАВОЧНИК!$F$13*('ПЛАН ЧИСТ К2'!Q43*СПРАВОЧНИК!$L$13+'ПЛАН ЧИСТ К2'!R43*СПРАВОЧНИК!$M$13+'ПЛАН ЧИСТ К2'!S43*СПРАВОЧНИК!$N$13+'ПЛАН ЧИСТ К2'!T43*СПРАВОЧНИК!$O$13)+СПРАВОЧНИК!$F$14*('ПЛАН ЧИСТ К2'!U43*СПРАВОЧНИК!$L$14+'ПЛАН ЧИСТ К2'!V43*СПРАВОЧНИК!$M$14+'ПЛАН ЧИСТ К2'!W43*СПРАВОЧНИК!$N$14)+СПРАВОЧНИК!$F$15*('ПЛАН ЧИСТ К2'!X43*СПРАВОЧНИК!$L$15+'ПЛАН ЧИСТ К2'!Y43*СПРАВОЧНИК!$M$15+'ПЛАН ЧИСТ К2'!Z43*СПРАВОЧНИК!$N$15)</f>
        <v/>
      </c>
      <c r="AO52" s="40">
        <f>СПРАВОЧНИК!$E$9*(('ФАКТ ЧЕРН К2'!B43)*СПРАВОЧНИК!$H$9+('ФАКТ ЧЕРН К2'!C43)*СПРАВОЧНИК!$I$9+('ФАКТ ЧЕРН К2'!D43)*СПРАВОЧНИК!$J$9)+СПРАВОЧНИК!$E$10*(('ФАКТ ЧЕРН К2'!E43)*СПРАВОЧНИК!$H$10+('ФАКТ ЧЕРН К2'!F43)*СПРАВОЧНИК!$I$10+('ФАКТ ЧЕРН К2'!G43)*СПРАВОЧНИК!$J$10)+СПРАВОЧНИК!$E$11*(('ФАКТ ЧЕРН К2'!H43)*СПРАВОЧНИК!$H$11+('ФАКТ ЧЕРН К2'!I43)*СПРАВОЧНИК!$I$11+('ФАКТ ЧЕРН К2'!J43)*СПРАВОЧНИК!$J$11)+СПРАВОЧНИК!$E$12*(('ФАКТ ЧЕРН К2'!K43)*СПРАВОЧНИК!$H$12+('ФАКТ ЧЕРН К2'!L43)*СПРАВОЧНИК!$I$12+('ФАКТ ЧЕРН К2'!M43)*СПРАВОЧНИК!$J$12)+СПРАВОЧНИК!$E$13*(('ФАКТ ЧЕРН К2'!N43)*СПРАВОЧНИК!$H$13+('ФАКТ ЧЕРН К2'!O43)*СПРАВОЧНИК!$I$13+('ФАКТ ЧЕРН К2'!P43)*СПРАВОЧНИК!$J$13)+СПРАВОЧНИК!$E$14*(('ФАКТ ЧЕРН К2'!Q43)*СПРАВОЧНИК!$H$14+('ФАКТ ЧЕРН К2'!R43)*СПРАВОЧНИК!$I$14+('ФАКТ ЧЕРН К2'!S43)*СПРАВОЧНИК!$J$14)+СПРАВОЧНИК!$E$15*(('ФАКТ ЧЕРН К2'!T43)*СПРАВОЧНИК!$H$15+('ФАКТ ЧЕРН К2'!U43)*СПРАВОЧНИК!$I$15+('ФАКТ ЧЕРН К2'!V43)*СПРАВОЧНИК!$J$15)+СПРАВОЧНИК!$F$9*(('ФАКТ ЧИСТ К2'!B43)*СПРАВОЧНИК!$L$9+('ФАКТ ЧИСТ К2'!C43)*СПРАВОЧНИК!$M$9+('ФАКТ ЧИСТ К2'!D43)*СПРАВОЧНИК!$N$9+('ФАКТ ЧИСТ К2'!E43)*СПРАВОЧНИК!$O$9)+СПРАВОЧНИК!$F$10*(('ФАКТ ЧИСТ К2'!F43)*СПРАВОЧНИК!$L$10+('ФАКТ ЧИСТ К2'!G43)*СПРАВОЧНИК!$M$10+('ФАКТ ЧИСТ К2'!H43)*СПРАВОЧНИК!$N$10+('ФАКТ ЧИСТ К2'!I43)*СПРАВОЧНИК!$O$10)+СПРАВОЧНИК!$F$11*(('ФАКТ ЧИСТ К2'!J43)*СПРАВОЧНИК!$L$11+('ФАКТ ЧИСТ К2'!K43)*СПРАВОЧНИК!$M$11+('ФАКТ ЧИСТ К2'!L43)*СПРАВОЧНИК!$N$11)+СПРАВОЧНИК!$F$12*(('ФАКТ ЧИСТ К2'!M43)*СПРАВОЧНИК!$L$12+('ФАКТ ЧИСТ К2'!N43)*СПРАВОЧНИК!$M$12+('ФАКТ ЧИСТ К2'!O43)*СПРАВОЧНИК!$N$12+('ФАКТ ЧИСТ К2'!P43)*СПРАВОЧНИК!$O$12)+СПРАВОЧНИК!$F$13*(('ФАКТ ЧИСТ К2'!Q43)*СПРАВОЧНИК!$L$13+('ФАКТ ЧИСТ К2'!R43)*СПРАВОЧНИК!$M$13+('ФАКТ ЧИСТ К2'!S43)*СПРАВОЧНИК!$N$13+('ФАКТ ЧИСТ К2'!T43)*СПРАВОЧНИК!$O$13)+СПРАВОЧНИК!$F$14*(('ФАКТ ЧИСТ К2'!U43)*СПРАВОЧНИК!$L$14+('ФАКТ ЧИСТ К2'!V43)*СПРАВОЧНИК!$M$14+('ФАКТ ЧИСТ К2'!W43)*СПРАВОЧНИК!$N$14)+СПРАВОЧНИК!$F$15*(('ФАКТ ЧИСТ К2'!X43)*СПРАВОЧНИК!$L$15+('ФАКТ ЧИСТ К2'!Y43)*СПРАВОЧНИК!$M$15+('ФАКТ ЧИСТ К2'!Z43)*СПРАВОЧНИК!$N$15)</f>
        <v/>
      </c>
      <c r="AS52" s="18">
        <f>AS51+7</f>
        <v/>
      </c>
      <c r="AT52" s="37">
        <f>'ПЛАН ЧЕРН К2'!B43*СПРАВОЧНИК!$H$9+'ПЛАН ЧЕРН К2'!C43*СПРАВОЧНИК!$I$9+'ПЛАН ЧЕРН К2'!D43*СПРАВОЧНИК!$J$9+'ПЛАН ЧЕРН К2'!E43*СПРАВОЧНИК!$H$10+'ПЛАН ЧЕРН К2'!F43*СПРАВОЧНИК!$I$10+'ПЛАН ЧЕРН К2'!G43*СПРАВОЧНИК!$J$10+'ПЛАН ЧЕРН К2'!H43*СПРАВОЧНИК!$H$11+'ПЛАН ЧЕРН К2'!I43*СПРАВОЧНИК!$I$11+'ПЛАН ЧЕРН К2'!J43*СПРАВОЧНИК!$J$11+'ПЛАН ЧЕРН К2'!K43*СПРАВОЧНИК!$H$12+'ПЛАН ЧЕРН К2'!L43*СПРАВОЧНИК!$I$12+'ПЛАН ЧЕРН К2'!M43*СПРАВОЧНИК!$J$12+'ПЛАН ЧЕРН К2'!N43*СПРАВОЧНИК!$H$13+'ПЛАН ЧЕРН К2'!O43*СПРАВОЧНИК!$I$13+'ПЛАН ЧЕРН К2'!P43*СПРАВОЧНИК!$J$13+'ПЛАН ЧЕРН К2'!Q43*СПРАВОЧНИК!$H$14+'ПЛАН ЧЕРН К2'!R43*СПРАВОЧНИК!$I$14+'ПЛАН ЧЕРН К2'!S43*СПРАВОЧНИК!$J$14+'ПЛАН ЧЕРН К2'!T43*СПРАВОЧНИК!$H$15+'ПЛАН ЧЕРН К2'!U43*СПРАВОЧНИК!$I$15+'ПЛАН ЧЕРН К2'!V43*СПРАВОЧНИК!$J$15</f>
        <v/>
      </c>
      <c r="AU52" s="40">
        <f>('ФАКТ ЧЕРН К2'!B43)*СПРАВОЧНИК!$H$9+('ФАКТ ЧЕРН К2'!C43)*СПРАВОЧНИК!$I$9+('ФАКТ ЧЕРН К2'!D43)*СПРАВОЧНИК!$J$9+('ФАКТ ЧЕРН К2'!E43)*СПРАВОЧНИК!$H$10+('ФАКТ ЧЕРН К2'!F43)*СПРАВОЧНИК!$I$10+('ФАКТ ЧЕРН К2'!G43)*СПРАВОЧНИК!$J$10+('ФАКТ ЧЕРН К2'!H43)*СПРАВОЧНИК!$H$11+('ФАКТ ЧЕРН К2'!I43)*СПРАВОЧНИК!$I$11+('ФАКТ ЧЕРН К2'!J43)*СПРАВОЧНИК!$J$11+('ФАКТ ЧЕРН К2'!K43)*СПРАВОЧНИК!$H$12+('ФАКТ ЧЕРН К2'!L43)*СПРАВОЧНИК!$I$12+('ФАКТ ЧЕРН К2'!M43)*СПРАВОЧНИК!$J$12+('ФАКТ ЧЕРН К2'!N43)*СПРАВОЧНИК!$H$13+('ФАКТ ЧЕРН К2'!O43)*СПРАВОЧНИК!$I$13+('ФАКТ ЧЕРН К2'!P43)*СПРАВОЧНИК!$J$13+('ФАКТ ЧЕРН К2'!Q43)*СПРАВОЧНИК!$H$14+('ФАКТ ЧЕРН К2'!R43)*СПРАВОЧНИК!$I$14+('ФАКТ ЧЕРН К2'!S43)*СПРАВОЧНИК!$J$14+('ФАКТ ЧЕРН К2'!T43)*СПРАВОЧНИК!$H$15+('ФАКТ ЧЕРН К2'!U43)*СПРАВОЧНИК!$I$15+('ФАКТ ЧЕРН К2'!V43)*СПРАВОЧНИК!$J$15</f>
        <v/>
      </c>
      <c r="AY52" s="18">
        <f>AY51+7</f>
        <v/>
      </c>
      <c r="AZ52" s="37">
        <f>'ПЛАН ЧИСТ К2'!B43*СПРАВОЧНИК!$L$9+'ПЛАН ЧИСТ К2'!C43*СПРАВОЧНИК!$M$9+'ПЛАН ЧИСТ К2'!D43*СПРАВОЧНИК!$N$9+'ПЛАН ЧИСТ К2'!E43*СПРАВОЧНИК!$O$9+'ПЛАН ЧИСТ К2'!F43*СПРАВОЧНИК!$L$10+'ПЛАН ЧИСТ К2'!G43*СПРАВОЧНИК!$M$10+'ПЛАН ЧИСТ К2'!H43*СПРАВОЧНИК!$N$10+'ПЛАН ЧИСТ К2'!I43*СПРАВОЧНИК!$O$10+'ПЛАН ЧИСТ К2'!J43*СПРАВОЧНИК!$L$11+'ПЛАН ЧИСТ К2'!K43*СПРАВОЧНИК!$M$11+'ПЛАН ЧИСТ К2'!L43*СПРАВОЧНИК!$N$11+'ПЛАН ЧИСТ К2'!M43*СПРАВОЧНИК!$L$12+'ПЛАН ЧИСТ К2'!N43*СПРАВОЧНИК!$M$12+'ПЛАН ЧИСТ К2'!O43*СПРАВОЧНИК!$N$12+'ПЛАН ЧИСТ К2'!P43*СПРАВОЧНИК!$O$12+'ПЛАН ЧИСТ К2'!Q43*СПРАВОЧНИК!$L$13+'ПЛАН ЧИСТ К2'!R43*СПРАВОЧНИК!$M$13+'ПЛАН ЧИСТ К2'!S43*СПРАВОЧНИК!$N$13+'ПЛАН ЧИСТ К2'!T43*СПРАВОЧНИК!$O$13+'ПЛАН ЧИСТ К2'!U43*СПРАВОЧНИК!$L$14+'ПЛАН ЧИСТ К2'!V43*СПРАВОЧНИК!$M$14+'ПЛАН ЧИСТ К2'!W43*СПРАВОЧНИК!$N$14+'ПЛАН ЧИСТ К2'!X43*СПРАВОЧНИК!$L$15+'ПЛАН ЧИСТ К2'!Y43*СПРАВОЧНИК!$M$15+'ПЛАН ЧИСТ К2'!Z43*СПРАВОЧНИК!$N$15</f>
        <v/>
      </c>
      <c r="BA52" s="40">
        <f>('ФАКТ ЧИСТ К2'!B43)*СПРАВОЧНИК!$L$9+('ФАКТ ЧИСТ К2'!C43)*СПРАВОЧНИК!$M$9+('ФАКТ ЧИСТ К2'!D43)*СПРАВОЧНИК!$N$9+('ФАКТ ЧИСТ К2'!E43)*СПРАВОЧНИК!$O$9+('ФАКТ ЧИСТ К2'!F43)*СПРАВОЧНИК!$L$10+('ФАКТ ЧИСТ К2'!G43)*СПРАВОЧНИК!$M$10+('ФАКТ ЧИСТ К2'!H43)*СПРАВОЧНИК!$N$10+('ФАКТ ЧИСТ К2'!I43)*СПРАВОЧНИК!$O$10+('ФАКТ ЧИСТ К2'!J43)*СПРАВОЧНИК!$L$11+('ФАКТ ЧИСТ К2'!K43)*СПРАВОЧНИК!$M$11+('ФАКТ ЧИСТ К2'!L43)*СПРАВОЧНИК!$N$11+('ФАКТ ЧИСТ К2'!M43)*СПРАВОЧНИК!$L$12+('ФАКТ ЧИСТ К2'!N43)*СПРАВОЧНИК!$M$12+('ФАКТ ЧИСТ К2'!O43)*СПРАВОЧНИК!$N$12+('ФАКТ ЧИСТ К2'!P43)*СПРАВОЧНИК!$O$12+('ФАКТ ЧИСТ К2'!Q43)*СПРАВОЧНИК!$L$13+('ФАКТ ЧИСТ К2'!R43)*СПРАВОЧНИК!$M$13+('ФАКТ ЧИСТ К2'!S43)*СПРАВОЧНИК!$N$13+('ФАКТ ЧИСТ К2'!T43)*СПРАВОЧНИК!$O$13+('ФАКТ ЧИСТ К2'!U43)*СПРАВОЧНИК!$L$14+('ФАКТ ЧИСТ К2'!V43)*СПРАВОЧНИК!$M$14+('ФАКТ ЧИСТ К2'!W43)*СПРАВОЧНИК!$N$14+('ФАКТ ЧИСТ К2'!X43)*СПРАВОЧНИК!$L$15+('ФАКТ ЧИСТ К2'!Y43)*СПРАВОЧНИК!$M$15+('ФАКТ ЧИСТ К2'!Z43)*СПРАВОЧНИК!$N$15</f>
        <v/>
      </c>
      <c r="BE52" s="18">
        <f>BE51+7</f>
        <v/>
      </c>
      <c r="BF52" s="37">
        <f>СПРАВОЧНИК!$E$9*('ПЛАН ЧЕРН К3'!B43*СПРАВОЧНИК!$H$9+'ПЛАН ЧЕРН К3'!C43*СПРАВОЧНИК!$I$9+'ПЛАН ЧЕРН К3'!D43*СПРАВОЧНИК!$J$9)+СПРАВОЧНИК!$E$10*('ПЛАН ЧЕРН К3'!E43*СПРАВОЧНИК!$H$10+'ПЛАН ЧЕРН К3'!F43*СПРАВОЧНИК!$I$10+'ПЛАН ЧЕРН К3'!G43*СПРАВОЧНИК!$J$10)+СПРАВОЧНИК!$E$11*('ПЛАН ЧЕРН К3'!H43*СПРАВОЧНИК!$H$11+'ПЛАН ЧЕРН К3'!I43*СПРАВОЧНИК!$I$11+'ПЛАН ЧЕРН К3'!J43*СПРАВОЧНИК!$J$11)+СПРАВОЧНИК!$E$12*('ПЛАН ЧЕРН К3'!K43*СПРАВОЧНИК!$H$12+'ПЛАН ЧЕРН К3'!L43*СПРАВОЧНИК!$I$12+'ПЛАН ЧЕРН К3'!M43*СПРАВОЧНИК!$J$12)+СПРАВОЧНИК!$E$13*('ПЛАН ЧЕРН К3'!N43*СПРАВОЧНИК!$H$13+'ПЛАН ЧЕРН К3'!O43*СПРАВОЧНИК!$I$13+'ПЛАН ЧЕРН К3'!P43*СПРАВОЧНИК!$J$13)+СПРАВОЧНИК!$E$14*('ПЛАН ЧЕРН К3'!Q43*СПРАВОЧНИК!$H$14+'ПЛАН ЧЕРН К3'!R43*СПРАВОЧНИК!$I$14+'ПЛАН ЧЕРН К3'!S43*СПРАВОЧНИК!$J$14)+СПРАВОЧНИК!$E$15*('ПЛАН ЧЕРН К3'!T43*СПРАВОЧНИК!$H$15+'ПЛАН ЧЕРН К3'!U43*СПРАВОЧНИК!$I$15+'ПЛАН ЧЕРН К3'!V43*СПРАВОЧНИК!$J$15)+СПРАВОЧНИК!$F$9*('ПЛАН ЧИСТ К3'!B43*СПРАВОЧНИК!$L$9+'ПЛАН ЧИСТ К3'!C43*СПРАВОЧНИК!$M$9+'ПЛАН ЧИСТ К3'!D43*СПРАВОЧНИК!$N$9+'ПЛАН ЧИСТ К3'!E43*СПРАВОЧНИК!$O$9)+СПРАВОЧНИК!$F$10*('ПЛАН ЧИСТ К3'!F43*СПРАВОЧНИК!$L$10+'ПЛАН ЧИСТ К3'!G43*СПРАВОЧНИК!$M$10+'ПЛАН ЧИСТ К3'!H43*СПРАВОЧНИК!$N$10+'ПЛАН ЧИСТ К3'!I43*СПРАВОЧНИК!$O$10)+СПРАВОЧНИК!$F$11*('ПЛАН ЧИСТ К3'!J43*СПРАВОЧНИК!$L$11+'ПЛАН ЧИСТ К3'!K43*СПРАВОЧНИК!$M$11+'ПЛАН ЧИСТ К3'!L43*СПРАВОЧНИК!$N$11)+СПРАВОЧНИК!$F$12*('ПЛАН ЧИСТ К3'!M43*СПРАВОЧНИК!$L$12+'ПЛАН ЧИСТ К3'!N43*СПРАВОЧНИК!$M$12+'ПЛАН ЧИСТ К3'!O43*СПРАВОЧНИК!$N$12+'ПЛАН ЧИСТ К3'!P43*СПРАВОЧНИК!$O$12)+СПРАВОЧНИК!$F$13*('ПЛАН ЧИСТ К3'!Q43*СПРАВОЧНИК!$L$13+'ПЛАН ЧИСТ К3'!R43*СПРАВОЧНИК!$M$13+'ПЛАН ЧИСТ К3'!S43*СПРАВОЧНИК!$N$13+'ПЛАН ЧИСТ К3'!T43*СПРАВОЧНИК!$O$13)+СПРАВОЧНИК!$F$14*('ПЛАН ЧИСТ К3'!U43*СПРАВОЧНИК!$L$14+'ПЛАН ЧИСТ К3'!V43*СПРАВОЧНИК!$M$14+'ПЛАН ЧИСТ К3'!W43*СПРАВОЧНИК!$N$14)+СПРАВОЧНИК!$F$15*('ПЛАН ЧИСТ К3'!X43*СПРАВОЧНИК!$L$15+'ПЛАН ЧИСТ К3'!Y43*СПРАВОЧНИК!$M$15+'ПЛАН ЧИСТ К3'!Z43*СПРАВОЧНИК!$N$15)</f>
        <v/>
      </c>
      <c r="BG52" s="40">
        <f>СПРАВОЧНИК!$E$9*(('ФАКТ ЧЕРН К3'!B43)*СПРАВОЧНИК!$H$9+('ФАКТ ЧЕРН К3'!C43)*СПРАВОЧНИК!$I$9+('ФАКТ ЧЕРН К3'!D43)*СПРАВОЧНИК!$J$9)+СПРАВОЧНИК!$E$10*(('ФАКТ ЧЕРН К3'!E43)*СПРАВОЧНИК!$H$10+('ФАКТ ЧЕРН К3'!F43)*СПРАВОЧНИК!$I$10+('ФАКТ ЧЕРН К3'!G43)*СПРАВОЧНИК!$J$10)+СПРАВОЧНИК!$E$11*(('ФАКТ ЧЕРН К3'!H43)*СПРАВОЧНИК!$H$11+('ФАКТ ЧЕРН К3'!I43)*СПРАВОЧНИК!$I$11+('ФАКТ ЧЕРН К3'!J43)*СПРАВОЧНИК!$J$11)+СПРАВОЧНИК!$E$12*(('ФАКТ ЧЕРН К3'!K43)*СПРАВОЧНИК!$H$12+('ФАКТ ЧЕРН К3'!L43)*СПРАВОЧНИК!$I$12+('ФАКТ ЧЕРН К3'!M43)*СПРАВОЧНИК!$J$12)+СПРАВОЧНИК!$E$13*(('ФАКТ ЧЕРН К3'!N43)*СПРАВОЧНИК!$H$13+('ФАКТ ЧЕРН К3'!O43)*СПРАВОЧНИК!$I$13+('ФАКТ ЧЕРН К3'!P43)*СПРАВОЧНИК!$J$13)+СПРАВОЧНИК!$E$14*(('ФАКТ ЧЕРН К3'!Q43)*СПРАВОЧНИК!$H$14+('ФАКТ ЧЕРН К3'!R43)*СПРАВОЧНИК!$I$14+('ФАКТ ЧЕРН К3'!S43)*СПРАВОЧНИК!$J$14)+СПРАВОЧНИК!$E$15*(('ФАКТ ЧЕРН К3'!T43)*СПРАВОЧНИК!$H$15+('ФАКТ ЧЕРН К3'!U43)*СПРАВОЧНИК!$I$15+('ФАКТ ЧЕРН К3'!V43)*СПРАВОЧНИК!$J$15)+СПРАВОЧНИК!$F$9*(('ФАКТ ЧИСТ К3'!B43)*СПРАВОЧНИК!$L$9+('ФАКТ ЧИСТ К3'!C43)*СПРАВОЧНИК!$M$9+('ФАКТ ЧИСТ К3'!D43)*СПРАВОЧНИК!$N$9+('ФАКТ ЧИСТ К3'!E43)*СПРАВОЧНИК!$O$9)+СПРАВОЧНИК!$F$10*(('ФАКТ ЧИСТ К3'!F43)*СПРАВОЧНИК!$L$10+('ФАКТ ЧИСТ К3'!G43)*СПРАВОЧНИК!$M$10+('ФАКТ ЧИСТ К3'!H43)*СПРАВОЧНИК!$N$10+('ФАКТ ЧИСТ К3'!I43)*СПРАВОЧНИК!$O$10)+СПРАВОЧНИК!$F$11*(('ФАКТ ЧИСТ К3'!J43)*СПРАВОЧНИК!$L$11+('ФАКТ ЧИСТ К3'!K43)*СПРАВОЧНИК!$M$11+('ФАКТ ЧИСТ К3'!L43)*СПРАВОЧНИК!$N$11)+СПРАВОЧНИК!$F$12*(('ФАКТ ЧИСТ К3'!M43)*СПРАВОЧНИК!$L$12+('ФАКТ ЧИСТ К3'!N43)*СПРАВОЧНИК!$M$12+('ФАКТ ЧИСТ К3'!O43)*СПРАВОЧНИК!$N$12+('ФАКТ ЧИСТ К3'!P43)*СПРАВОЧНИК!$O$12)+СПРАВОЧНИК!$F$13*(('ФАКТ ЧИСТ К3'!Q43)*СПРАВОЧНИК!$L$13+('ФАКТ ЧИСТ К3'!R43)*СПРАВОЧНИК!$M$13+('ФАКТ ЧИСТ К3'!S43)*СПРАВОЧНИК!$N$13+('ФАКТ ЧИСТ К3'!T43)*СПРАВОЧНИК!$O$13)+СПРАВОЧНИК!$F$14*(('ФАКТ ЧИСТ К3'!U43)*СПРАВОЧНИК!$L$14+('ФАКТ ЧИСТ К3'!V43)*СПРАВОЧНИК!$M$14+('ФАКТ ЧИСТ К3'!W43)*СПРАВОЧНИК!$N$14)+СПРАВОЧНИК!$F$15*(('ФАКТ ЧИСТ К3'!X43)*СПРАВОЧНИК!$L$15+('ФАКТ ЧИСТ К3'!Y43)*СПРАВОЧНИК!$M$15+('ФАКТ ЧИСТ К3'!Z43)*СПРАВОЧНИК!$N$15)</f>
        <v/>
      </c>
      <c r="BK52" s="18">
        <f>BK51+7</f>
        <v/>
      </c>
      <c r="BL52" s="37">
        <f>'ПЛАН ЧЕРН К3'!B43*СПРАВОЧНИК!$H$9+'ПЛАН ЧЕРН К3'!C43*СПРАВОЧНИК!$I$9+'ПЛАН ЧЕРН К3'!D43*СПРАВОЧНИК!$J$9+'ПЛАН ЧЕРН К3'!E43*СПРАВОЧНИК!$H$10+'ПЛАН ЧЕРН К3'!F43*СПРАВОЧНИК!$I$10+'ПЛАН ЧЕРН К3'!G43*СПРАВОЧНИК!$J$10+'ПЛАН ЧЕРН К3'!H43*СПРАВОЧНИК!$H$11+'ПЛАН ЧЕРН К3'!I43*СПРАВОЧНИК!$I$11+'ПЛАН ЧЕРН К3'!J43*СПРАВОЧНИК!$J$11+'ПЛАН ЧЕРН К3'!K43*СПРАВОЧНИК!$H$12+'ПЛАН ЧЕРН К3'!L43*СПРАВОЧНИК!$I$12+'ПЛАН ЧЕРН К3'!M43*СПРАВОЧНИК!$J$12+'ПЛАН ЧЕРН К3'!N43*СПРАВОЧНИК!$H$13+'ПЛАН ЧЕРН К3'!O43*СПРАВОЧНИК!$I$13+'ПЛАН ЧЕРН К3'!P43*СПРАВОЧНИК!$J$13+'ПЛАН ЧЕРН К3'!Q43*СПРАВОЧНИК!$H$14+'ПЛАН ЧЕРН К3'!R43*СПРАВОЧНИК!$I$14+'ПЛАН ЧЕРН К3'!S43*СПРАВОЧНИК!$J$14+'ПЛАН ЧЕРН К3'!T43*СПРАВОЧНИК!$H$15+'ПЛАН ЧЕРН К3'!U43*СПРАВОЧНИК!$I$15+'ПЛАН ЧЕРН К3'!V43*СПРАВОЧНИК!$J$15</f>
        <v/>
      </c>
      <c r="BM52" s="40">
        <f>('ФАКТ ЧЕРН К3'!B43)*СПРАВОЧНИК!$H$9+('ФАКТ ЧЕРН К3'!C43)*СПРАВОЧНИК!$I$9+('ФАКТ ЧЕРН К3'!D43)*СПРАВОЧНИК!$J$9+('ФАКТ ЧЕРН К3'!E43)*СПРАВОЧНИК!$H$10+('ФАКТ ЧЕРН К3'!F43)*СПРАВОЧНИК!$I$10+('ФАКТ ЧЕРН К3'!G43)*СПРАВОЧНИК!$J$10+('ФАКТ ЧЕРН К3'!H43)*СПРАВОЧНИК!$H$11+('ФАКТ ЧЕРН К3'!I43)*СПРАВОЧНИК!$I$11+('ФАКТ ЧЕРН К3'!J43)*СПРАВОЧНИК!$J$11+('ФАКТ ЧЕРН К3'!K43)*СПРАВОЧНИК!$H$12+('ФАКТ ЧЕРН К3'!L43)*СПРАВОЧНИК!$I$12+('ФАКТ ЧЕРН К3'!M43)*СПРАВОЧНИК!$J$12+('ФАКТ ЧЕРН К3'!N43)*СПРАВОЧНИК!$H$13+('ФАКТ ЧЕРН К3'!O43)*СПРАВОЧНИК!$I$13+('ФАКТ ЧЕРН К3'!P43)*СПРАВОЧНИК!$J$13+('ФАКТ ЧЕРН К3'!Q43)*СПРАВОЧНИК!$H$14+('ФАКТ ЧЕРН К3'!R43)*СПРАВОЧНИК!$I$14+('ФАКТ ЧЕРН К3'!S43)*СПРАВОЧНИК!$J$14+('ФАКТ ЧЕРН К3'!T43)*СПРАВОЧНИК!$H$15+('ФАКТ ЧЕРН К3'!U43)*СПРАВОЧНИК!$I$15+('ФАКТ ЧЕРН К3'!V43)*СПРАВОЧНИК!$J$15</f>
        <v/>
      </c>
      <c r="BQ52" s="18">
        <f>BQ51+7</f>
        <v/>
      </c>
      <c r="BR52" s="37">
        <f>'ПЛАН ЧИСТ К3'!B43*СПРАВОЧНИК!$L$9+'ПЛАН ЧИСТ К3'!C43*СПРАВОЧНИК!$M$9+'ПЛАН ЧИСТ К3'!D43*СПРАВОЧНИК!$N$9+'ПЛАН ЧИСТ К3'!E43*СПРАВОЧНИК!$O$9+'ПЛАН ЧИСТ К3'!F43*СПРАВОЧНИК!$L$10+'ПЛАН ЧИСТ К3'!G43*СПРАВОЧНИК!$M$10+'ПЛАН ЧИСТ К3'!H43*СПРАВОЧНИК!$N$10+'ПЛАН ЧИСТ К3'!I43*СПРАВОЧНИК!$O$10+'ПЛАН ЧИСТ К3'!J43*СПРАВОЧНИК!$L$11+'ПЛАН ЧИСТ К3'!K43*СПРАВОЧНИК!$M$11+'ПЛАН ЧИСТ К3'!L43*СПРАВОЧНИК!$N$11+'ПЛАН ЧИСТ К3'!M43*СПРАВОЧНИК!$L$12+'ПЛАН ЧИСТ К3'!N43*СПРАВОЧНИК!$M$12+'ПЛАН ЧИСТ К3'!O43*СПРАВОЧНИК!$N$12+'ПЛАН ЧИСТ К3'!P43*СПРАВОЧНИК!$O$12+'ПЛАН ЧИСТ К3'!Q43*СПРАВОЧНИК!$L$13+'ПЛАН ЧИСТ К3'!R43*СПРАВОЧНИК!$M$13+'ПЛАН ЧИСТ К3'!S43*СПРАВОЧНИК!$N$13+'ПЛАН ЧИСТ К3'!T43*СПРАВОЧНИК!$O$13+'ПЛАН ЧИСТ К3'!U43*СПРАВОЧНИК!$L$14+'ПЛАН ЧИСТ К3'!V43*СПРАВОЧНИК!$M$14+'ПЛАН ЧИСТ К3'!W43*СПРАВОЧНИК!$N$14+'ПЛАН ЧИСТ К3'!X43*СПРАВОЧНИК!$L$15+'ПЛАН ЧИСТ К3'!Y43*СПРАВОЧНИК!$M$15+'ПЛАН ЧИСТ К3'!Z43*СПРАВОЧНИК!$N$15</f>
        <v/>
      </c>
      <c r="BS52" s="40">
        <f>('ФАКТ ЧИСТ К3'!B43)*СПРАВОЧНИК!$L$9+('ФАКТ ЧИСТ К3'!C43)*СПРАВОЧНИК!$M$9+('ФАКТ ЧИСТ К3'!D43)*СПРАВОЧНИК!$N$9+('ФАКТ ЧИСТ К3'!E43)*СПРАВОЧНИК!$O$9+('ФАКТ ЧИСТ К3'!F43)*СПРАВОЧНИК!$L$10+('ФАКТ ЧИСТ К3'!G43)*СПРАВОЧНИК!$M$10+('ФАКТ ЧИСТ К3'!H43)*СПРАВОЧНИК!$N$10+('ФАКТ ЧИСТ К3'!I43)*СПРАВОЧНИК!$O$10+('ФАКТ ЧИСТ К3'!J43)*СПРАВОЧНИК!$L$11+('ФАКТ ЧИСТ К3'!K43)*СПРАВОЧНИК!$M$11+('ФАКТ ЧИСТ К3'!L43)*СПРАВОЧНИК!$N$11+('ФАКТ ЧИСТ К3'!M43)*СПРАВОЧНИК!$L$12+('ФАКТ ЧИСТ К3'!N43)*СПРАВОЧНИК!$M$12+('ФАКТ ЧИСТ К3'!O43)*СПРАВОЧНИК!$N$12+('ФАКТ ЧИСТ К3'!P43)*СПРАВОЧНИК!$O$12+('ФАКТ ЧИСТ К3'!Q43)*СПРАВОЧНИК!$L$13+('ФАКТ ЧИСТ К3'!R43)*СПРАВОЧНИК!$M$13+('ФАКТ ЧИСТ К3'!S43)*СПРАВОЧНИК!$N$13+('ФАКТ ЧИСТ К3'!T43)*СПРАВОЧНИК!$O$13+('ФАКТ ЧИСТ К3'!U43)*СПРАВОЧНИК!$L$14+('ФАКТ ЧИСТ К3'!V43)*СПРАВОЧНИК!$M$14+('ФАКТ ЧИСТ К3'!W43)*СПРАВОЧНИК!$N$14+('ФАКТ ЧИСТ К3'!X43)*СПРАВОЧНИК!$L$15+('ФАКТ ЧИСТ К3'!Y43)*СПРАВОЧНИК!$M$15+('ФАКТ ЧИСТ К3'!Z43)*СПРАВОЧНИК!$N$15</f>
        <v/>
      </c>
      <c r="BW52" s="18">
        <f>BW51+7</f>
        <v/>
      </c>
      <c r="BX52" s="37">
        <f>V52+AN52+BF52</f>
        <v/>
      </c>
      <c r="BY52" s="40">
        <f>W52+AO52+BG52</f>
        <v/>
      </c>
      <c r="CC52" s="18">
        <f>CC51+7</f>
        <v/>
      </c>
      <c r="CD52" s="37">
        <f>AB52+AT52+BL52</f>
        <v/>
      </c>
      <c r="CE52" s="40">
        <f>AC52+AU52+BM52</f>
        <v/>
      </c>
      <c r="CI52" s="18">
        <f>CI51+7</f>
        <v/>
      </c>
      <c r="CJ52" s="37">
        <f>AH52+AZ52+BR52</f>
        <v/>
      </c>
      <c r="CK52" s="40">
        <f>AI52+BA52+BS52</f>
        <v/>
      </c>
      <c r="CO52" s="18">
        <f>CO51+7</f>
        <v/>
      </c>
      <c r="CP52" s="37">
        <f>D52+BX52</f>
        <v/>
      </c>
      <c r="CQ52" s="40">
        <f>E52+BY52</f>
        <v/>
      </c>
      <c r="CU52" s="18">
        <f>CU51+7</f>
        <v/>
      </c>
      <c r="CV52" s="37">
        <f>J52+CD52</f>
        <v/>
      </c>
      <c r="CW52" s="40">
        <f>K52+CE52</f>
        <v/>
      </c>
      <c r="DA52" s="18">
        <f>DA51+7</f>
        <v/>
      </c>
      <c r="DB52" s="37">
        <f>P52+CJ52</f>
        <v/>
      </c>
      <c r="DC52" s="40">
        <f>Q52+CK52</f>
        <v/>
      </c>
    </row>
    <row r="53">
      <c r="C53" s="18">
        <f>C52+7</f>
        <v/>
      </c>
      <c r="D53" s="37">
        <f>СПРАВОЧНИК!$E$3*('ПЛАН ЧЕРН ПОДЗЕМ'!B44*СПРАВОЧНИК!$H$3+'ПЛАН ЧЕРН ПОДЗЕМ'!C44*СПРАВОЧНИК!$I$3+'ПЛАН ЧЕРН ПОДЗЕМ'!D44*СПРАВОЧНИК!$J$3)+СПРАВОЧНИК!$E$4*('ПЛАН ЧЕРН ПОДЗЕМ'!E44*СПРАВОЧНИК!$H$4+'ПЛАН ЧЕРН ПОДЗЕМ'!F44*СПРАВОЧНИК!$I$4+'ПЛАН ЧЕРН ПОДЗЕМ'!G44*СПРАВОЧНИК!$J$4)+СПРАВОЧНИК!$E$5*('ПЛАН ЧЕРН ПОДЗЕМ'!H44*СПРАВОЧНИК!$H$5+'ПЛАН ЧЕРН ПОДЗЕМ'!I44*СПРАВОЧНИК!$I$5+'ПЛАН ЧЕРН ПОДЗЕМ'!J44*СПРАВОЧНИК!$J$5)+СПРАВОЧНИК!$E$6*('ПЛАН ЧЕРН ПОДЗЕМ'!K44*СПРАВОЧНИК!$H$6+'ПЛАН ЧЕРН ПОДЗЕМ'!L44*СПРАВОЧНИК!$I$6+'ПЛАН ЧЕРН ПОДЗЕМ'!M44*СПРАВОЧНИК!$J$6)+СПРАВОЧНИК!$E$7*('ПЛАН ЧЕРН ПОДЗЕМ'!N44*СПРАВОЧНИК!$H$7+'ПЛАН ЧЕРН ПОДЗЕМ'!O44*СПРАВОЧНИК!$I$7+'ПЛАН ЧЕРН ПОДЗЕМ'!P44*СПРАВОЧНИК!$J$7)+СПРАВОЧНИК!$E$8*('ПЛАН ЧЕРН ПОДЗЕМ'!Q44*СПРАВОЧНИК!$H$8+'ПЛАН ЧЕРН ПОДЗЕМ'!R44*СПРАВОЧНИК!$I$8+'ПЛАН ЧЕРН ПОДЗЕМ'!S44*СПРАВОЧНИК!$J$8)+СПРАВОЧНИК!$F$3*('ПЛАН ЧИСТ ПОДЗЕМ'!B44*СПРАВОЧНИК!$L$3+'ПЛАН ЧИСТ ПОДЗЕМ'!C44*СПРАВОЧНИК!$M$3+'ПЛАН ЧИСТ ПОДЗЕМ'!D44*СПРАВОЧНИК!$N$3+'ПЛАН ЧИСТ ПОДЗЕМ'!E44*СПРАВОЧНИК!$O$3)+СПРАВОЧНИК!$F$4*('ПЛАН ЧИСТ ПОДЗЕМ'!F44*СПРАВОЧНИК!$L$4+'ПЛАН ЧИСТ ПОДЗЕМ'!G44*СПРАВОЧНИК!$M$4+'ПЛАН ЧИСТ ПОДЗЕМ'!H44*СПРАВОЧНИК!$N$4+'ПЛАН ЧИСТ ПОДЗЕМ'!I44*СПРАВОЧНИК!$O$4)+СПРАВОЧНИК!$F$5*('ПЛАН ЧИСТ ПОДЗЕМ'!J44*СПРАВОЧНИК!$L$5+'ПЛАН ЧИСТ ПОДЗЕМ'!K44*СПРАВОЧНИК!$M$5+'ПЛАН ЧИСТ ПОДЗЕМ'!L44*СПРАВОЧНИК!$N$5)+СПРАВОЧНИК!$F$6*('ПЛАН ЧИСТ ПОДЗЕМ'!M44*СПРАВОЧНИК!$L$6+'ПЛАН ЧИСТ ПОДЗЕМ'!N44*СПРАВОЧНИК!$M$6+'ПЛАН ЧИСТ ПОДЗЕМ'!O44*СПРАВОЧНИК!$N$6+'ПЛАН ЧИСТ ПОДЗЕМ'!P44*СПРАВОЧНИК!$O$6)+СПРАВОЧНИК!$F$7*('ПЛАН ЧИСТ ПОДЗЕМ'!Q44*СПРАВОЧНИК!$L$7+'ПЛАН ЧИСТ ПОДЗЕМ'!R44*СПРАВОЧНИК!$M$7+'ПЛАН ЧИСТ ПОДЗЕМ'!S44*СПРАВОЧНИК!$N$7+'ПЛАН ЧИСТ ПОДЗЕМ'!T44*СПРАВОЧНИК!$O$7)+СПРАВОЧНИК!$F$8*('ПЛАН ЧИСТ ПОДЗЕМ'!U44*СПРАВОЧНИК!$L$8+'ПЛАН ЧИСТ ПОДЗЕМ'!V44*СПРАВОЧНИК!$M$8+'ПЛАН ЧИСТ ПОДЗЕМ'!W44*СПРАВОЧНИК!$N$8)</f>
        <v/>
      </c>
      <c r="E53" s="40">
        <f>СПРАВОЧНИК!$E$3*(('ФАКТ ЧЕРН ПОДЗЕМ'!B44)*СПРАВОЧНИК!$H$3+('ФАКТ ЧЕРН ПОДЗЕМ'!C44)*СПРАВОЧНИК!$I$3+('ФАКТ ЧЕРН ПОДЗЕМ'!D44)*СПРАВОЧНИК!$J$3)+СПРАВОЧНИК!$E$4*(('ФАКТ ЧЕРН ПОДЗЕМ'!E44)*СПРАВОЧНИК!$H$4+('ФАКТ ЧЕРН ПОДЗЕМ'!F44)*СПРАВОЧНИК!$I$4+('ФАКТ ЧЕРН ПОДЗЕМ'!G44)*СПРАВОЧНИК!$J$4)+СПРАВОЧНИК!$E$5*(('ФАКТ ЧЕРН ПОДЗЕМ'!H44)*СПРАВОЧНИК!$H$5+('ФАКТ ЧЕРН ПОДЗЕМ'!I44)*СПРАВОЧНИК!$I$5+('ФАКТ ЧЕРН ПОДЗЕМ'!J44)*СПРАВОЧНИК!$J$5)+СПРАВОЧНИК!$E$6*(('ФАКТ ЧЕРН ПОДЗЕМ'!K44)*СПРАВОЧНИК!$H$6+('ФАКТ ЧЕРН ПОДЗЕМ'!L44)*СПРАВОЧНИК!$I$6+('ФАКТ ЧЕРН ПОДЗЕМ'!M44)*СПРАВОЧНИК!$J$6)+СПРАВОЧНИК!$E$7*(('ФАКТ ЧЕРН ПОДЗЕМ'!N44)*СПРАВОЧНИК!$H$7+('ФАКТ ЧЕРН ПОДЗЕМ'!O44)*СПРАВОЧНИК!$I$7+('ФАКТ ЧЕРН ПОДЗЕМ'!P44)*СПРАВОЧНИК!$J$7)+СПРАВОЧНИК!$E$8*(('ФАКТ ЧЕРН ПОДЗЕМ'!Q44)*СПРАВОЧНИК!$H$8+('ФАКТ ЧЕРН ПОДЗЕМ'!R44)*СПРАВОЧНИК!$I$8+('ФАКТ ЧЕРН ПОДЗЕМ'!S44)*СПРАВОЧНИК!$J$8)+СПРАВОЧНИК!$F$3*(('ФАКТ ЧИСТ ПОДЗЕМ'!B44)*СПРАВОЧНИК!$L$3+('ФАКТ ЧИСТ ПОДЗЕМ'!C44)*СПРАВОЧНИК!$M$3+('ФАКТ ЧИСТ ПОДЗЕМ'!D44)*СПРАВОЧНИК!$N$3+('ФАКТ ЧИСТ ПОДЗЕМ'!E44)*СПРАВОЧНИК!$O$3)+СПРАВОЧНИК!$F$4*(('ФАКТ ЧИСТ ПОДЗЕМ'!F44)*СПРАВОЧНИК!$L$4+('ФАКТ ЧИСТ ПОДЗЕМ'!G44)*СПРАВОЧНИК!$M$4+('ФАКТ ЧИСТ ПОДЗЕМ'!H44)*СПРАВОЧНИК!$N$4+('ФАКТ ЧИСТ ПОДЗЕМ'!I44)*СПРАВОЧНИК!$O$4)+СПРАВОЧНИК!$F$5*(('ФАКТ ЧИСТ ПОДЗЕМ'!J44)*СПРАВОЧНИК!$L$5+('ФАКТ ЧИСТ ПОДЗЕМ'!K44)*СПРАВОЧНИК!$M$5+('ФАКТ ЧИСТ ПОДЗЕМ'!L44)*СПРАВОЧНИК!$N$5)+СПРАВОЧНИК!$F$6*(('ФАКТ ЧИСТ ПОДЗЕМ'!M44)*СПРАВОЧНИК!$L$6+('ФАКТ ЧИСТ ПОДЗЕМ'!N44)*СПРАВОЧНИК!$M$6+('ФАКТ ЧИСТ ПОДЗЕМ'!O44)*СПРАВОЧНИК!$N$6+('ФАКТ ЧИСТ ПОДЗЕМ'!P44)*СПРАВОЧНИК!$O$6)+СПРАВОЧНИК!$F$7*(('ФАКТ ЧИСТ ПОДЗЕМ'!Q44)*СПРАВОЧНИК!$L$7+('ФАКТ ЧИСТ ПОДЗЕМ'!R44)*СПРАВОЧНИК!$M$7+('ФАКТ ЧИСТ ПОДЗЕМ'!S44)*СПРАВОЧНИК!$N$7+('ФАКТ ЧИСТ ПОДЗЕМ'!T44)*СПРАВОЧНИК!$O$7)+СПРАВОЧНИК!$F$8*(('ФАКТ ЧИСТ ПОДЗЕМ'!U44)*СПРАВОЧНИК!$L$8+('ФАКТ ЧИСТ ПОДЗЕМ'!V44)*СПРАВОЧНИК!$M$8+('ФАКТ ЧИСТ ПОДЗЕМ'!W44)*СПРАВОЧНИК!$N$8)</f>
        <v/>
      </c>
      <c r="I53" s="18">
        <f>I52+7</f>
        <v/>
      </c>
      <c r="J53" s="37">
        <f>'ПЛАН ЧЕРН ПОДЗЕМ'!B44*СПРАВОЧНИК!$H$3+'ПЛАН ЧЕРН ПОДЗЕМ'!C44*СПРАВОЧНИК!$I$3+'ПЛАН ЧЕРН ПОДЗЕМ'!D44*СПРАВОЧНИК!$J$3+'ПЛАН ЧЕРН ПОДЗЕМ'!E44*СПРАВОЧНИК!$H$4+'ПЛАН ЧЕРН ПОДЗЕМ'!F44*СПРАВОЧНИК!$I$4+'ПЛАН ЧЕРН ПОДЗЕМ'!G44*СПРАВОЧНИК!$J$4+'ПЛАН ЧЕРН ПОДЗЕМ'!H44*СПРАВОЧНИК!$H$5+'ПЛАН ЧЕРН ПОДЗЕМ'!I44*СПРАВОЧНИК!$I$5+'ПЛАН ЧЕРН ПОДЗЕМ'!J44*СПРАВОЧНИК!$J$5+'ПЛАН ЧЕРН ПОДЗЕМ'!K44*СПРАВОЧНИК!$H$6+'ПЛАН ЧЕРН ПОДЗЕМ'!L44*СПРАВОЧНИК!$I$6+'ПЛАН ЧЕРН ПОДЗЕМ'!M44*СПРАВОЧНИК!$J$6+'ПЛАН ЧЕРН ПОДЗЕМ'!N44*СПРАВОЧНИК!$H$7+'ПЛАН ЧЕРН ПОДЗЕМ'!O44*СПРАВОЧНИК!$I$7+'ПЛАН ЧЕРН ПОДЗЕМ'!P44*СПРАВОЧНИК!$J$7+'ПЛАН ЧЕРН ПОДЗЕМ'!Q44*СПРАВОЧНИК!$H$8+'ПЛАН ЧЕРН ПОДЗЕМ'!R44*СПРАВОЧНИК!$I$8+'ПЛАН ЧЕРН ПОДЗЕМ'!S44*СПРАВОЧНИК!$J$8</f>
        <v/>
      </c>
      <c r="K53" s="40">
        <f>('ФАКТ ЧЕРН ПОДЗЕМ'!B44)*СПРАВОЧНИК!$H$3+('ФАКТ ЧЕРН ПОДЗЕМ'!C44)*СПРАВОЧНИК!$I$3+('ФАКТ ЧЕРН ПОДЗЕМ'!D44)*СПРАВОЧНИК!$J$3+('ФАКТ ЧЕРН ПОДЗЕМ'!E44)*СПРАВОЧНИК!$H$4+('ФАКТ ЧЕРН ПОДЗЕМ'!F44)*СПРАВОЧНИК!$I$4+('ФАКТ ЧЕРН ПОДЗЕМ'!G44)*СПРАВОЧНИК!$J$4+('ФАКТ ЧЕРН ПОДЗЕМ'!H44)*СПРАВОЧНИК!$H$5+('ФАКТ ЧЕРН ПОДЗЕМ'!I44)*СПРАВОЧНИК!$I$5+('ФАКТ ЧЕРН ПОДЗЕМ'!J44)*СПРАВОЧНИК!$J$5+('ФАКТ ЧЕРН ПОДЗЕМ'!K44)*СПРАВОЧНИК!$H$6+('ФАКТ ЧЕРН ПОДЗЕМ'!L44)*СПРАВОЧНИК!$I$6+('ФАКТ ЧЕРН ПОДЗЕМ'!M44)*СПРАВОЧНИК!$J$6+('ФАКТ ЧЕРН ПОДЗЕМ'!N44)*СПРАВОЧНИК!$H$7+('ФАКТ ЧЕРН ПОДЗЕМ'!O44)*СПРАВОЧНИК!$I$7+('ФАКТ ЧЕРН ПОДЗЕМ'!P44)*СПРАВОЧНИК!$J$7+('ФАКТ ЧЕРН ПОДЗЕМ'!Q44)*СПРАВОЧНИК!$H$8+('ФАКТ ЧЕРН ПОДЗЕМ'!R44)*СПРАВОЧНИК!$I$8+('ФАКТ ЧЕРН ПОДЗЕМ'!S44)*СПРАВОЧНИК!$J$8</f>
        <v/>
      </c>
      <c r="O53" s="18">
        <f>O52+7</f>
        <v/>
      </c>
      <c r="P53" s="37">
        <f>'ПЛАН ЧИСТ ПОДЗЕМ'!B44*СПРАВОЧНИК!$L$3+'ПЛАН ЧИСТ ПОДЗЕМ'!C44*СПРАВОЧНИК!$M$3+'ПЛАН ЧИСТ ПОДЗЕМ'!D44*СПРАВОЧНИК!$N$3+'ПЛАН ЧИСТ ПОДЗЕМ'!E44*СПРАВОЧНИК!$O$3+'ПЛАН ЧИСТ ПОДЗЕМ'!F44*СПРАВОЧНИК!$L$4+'ПЛАН ЧИСТ ПОДЗЕМ'!G44*СПРАВОЧНИК!$M$4+'ПЛАН ЧИСТ ПОДЗЕМ'!H44*СПРАВОЧНИК!$N$4+'ПЛАН ЧИСТ ПОДЗЕМ'!I44*СПРАВОЧНИК!$O$4+'ПЛАН ЧИСТ ПОДЗЕМ'!J44*СПРАВОЧНИК!$L$5+'ПЛАН ЧИСТ ПОДЗЕМ'!K44*СПРАВОЧНИК!$M$5+'ПЛАН ЧИСТ ПОДЗЕМ'!L44*СПРАВОЧНИК!$N$5+'ПЛАН ЧИСТ ПОДЗЕМ'!M44*СПРАВОЧНИК!$L$6+'ПЛАН ЧИСТ ПОДЗЕМ'!N44*СПРАВОЧНИК!$M$6+'ПЛАН ЧИСТ ПОДЗЕМ'!O44*СПРАВОЧНИК!$N$6+'ПЛАН ЧИСТ ПОДЗЕМ'!P44*СПРАВОЧНИК!$O$6+'ПЛАН ЧИСТ ПОДЗЕМ'!Q44*СПРАВОЧНИК!$L$7+'ПЛАН ЧИСТ ПОДЗЕМ'!R44*СПРАВОЧНИК!$M$7+'ПЛАН ЧИСТ ПОДЗЕМ'!S44*СПРАВОЧНИК!$N$7+'ПЛАН ЧИСТ ПОДЗЕМ'!T44*СПРАВОЧНИК!$O$7+'ПЛАН ЧИСТ ПОДЗЕМ'!U44*СПРАВОЧНИК!$L$8+'ПЛАН ЧИСТ ПОДЗЕМ'!V44*СПРАВОЧНИК!$M$8+'ПЛАН ЧИСТ ПОДЗЕМ'!W44*СПРАВОЧНИК!$N$8</f>
        <v/>
      </c>
      <c r="Q53" s="40">
        <f>('ФАКТ ЧИСТ ПОДЗЕМ'!B44)*СПРАВОЧНИК!$L$3+('ФАКТ ЧИСТ ПОДЗЕМ'!C44)*СПРАВОЧНИК!$M$3+('ФАКТ ЧИСТ ПОДЗЕМ'!D44)*СПРАВОЧНИК!$N$3+('ФАКТ ЧИСТ ПОДЗЕМ'!E44)*СПРАВОЧНИК!$O$3+('ФАКТ ЧИСТ ПОДЗЕМ'!F44)*СПРАВОЧНИК!$L$4+('ФАКТ ЧИСТ ПОДЗЕМ'!G44)*СПРАВОЧНИК!$M$4+('ФАКТ ЧИСТ ПОДЗЕМ'!H44)*СПРАВОЧНИК!$N$4+('ФАКТ ЧИСТ ПОДЗЕМ'!I44)*СПРАВОЧНИК!$O$4+('ФАКТ ЧИСТ ПОДЗЕМ'!J44)*СПРАВОЧНИК!$L$5+('ФАКТ ЧИСТ ПОДЗЕМ'!K44)*СПРАВОЧНИК!$M$5+('ФАКТ ЧИСТ ПОДЗЕМ'!L44)*СПРАВОЧНИК!$N$5+('ФАКТ ЧИСТ ПОДЗЕМ'!M44)*СПРАВОЧНИК!$L$6+('ФАКТ ЧИСТ ПОДЗЕМ'!N44)*СПРАВОЧНИК!$M$6+('ФАКТ ЧИСТ ПОДЗЕМ'!O44)*СПРАВОЧНИК!$N$6+('ФАКТ ЧИСТ ПОДЗЕМ'!P44)*СПРАВОЧНИК!$O$6+('ФАКТ ЧИСТ ПОДЗЕМ'!Q44)*СПРАВОЧНИК!$L$7+('ФАКТ ЧИСТ ПОДЗЕМ'!R44)*СПРАВОЧНИК!$M$7+('ФАКТ ЧИСТ ПОДЗЕМ'!S44)*СПРАВОЧНИК!$N$7+('ФАКТ ЧИСТ ПОДЗЕМ'!T44)*СПРАВОЧНИК!$O$7+('ФАКТ ЧИСТ ПОДЗЕМ'!U44)*СПРАВОЧНИК!$L$8+('ФАКТ ЧИСТ ПОДЗЕМ'!V44)*СПРАВОЧНИК!$M$8+('ФАКТ ЧИСТ ПОДЗЕМ'!W44)*СПРАВОЧНИК!$N$8</f>
        <v/>
      </c>
      <c r="U53" s="18">
        <f>U52+7</f>
        <v/>
      </c>
      <c r="V53" s="37">
        <f>СПРАВОЧНИК!$E$9*('ПЛАН ЧЕРН К1'!B44*СПРАВОЧНИК!$H$9+'ПЛАН ЧЕРН К1'!C44*СПРАВОЧНИК!$I$9+'ПЛАН ЧЕРН К1'!D44*СПРАВОЧНИК!$J$9)+СПРАВОЧНИК!$E$10*('ПЛАН ЧЕРН К1'!E44*СПРАВОЧНИК!$H$10+'ПЛАН ЧЕРН К1'!F44*СПРАВОЧНИК!$I$10+'ПЛАН ЧЕРН К1'!G44*СПРАВОЧНИК!$J$10)+СПРАВОЧНИК!$E$11*('ПЛАН ЧЕРН К1'!H44*СПРАВОЧНИК!$H$11+'ПЛАН ЧЕРН К1'!I44*СПРАВОЧНИК!$I$11+'ПЛАН ЧЕРН К1'!J44*СПРАВОЧНИК!$J$11)+СПРАВОЧНИК!$E$12*('ПЛАН ЧЕРН К1'!K44*СПРАВОЧНИК!$H$12+'ПЛАН ЧЕРН К1'!L44*СПРАВОЧНИК!$I$12+'ПЛАН ЧЕРН К1'!M44*СПРАВОЧНИК!$J$12)+СПРАВОЧНИК!$E$13*('ПЛАН ЧЕРН К1'!N44*СПРАВОЧНИК!$H$13+'ПЛАН ЧЕРН К1'!O44*СПРАВОЧНИК!$I$13+'ПЛАН ЧЕРН К1'!P44*СПРАВОЧНИК!$J$13)+СПРАВОЧНИК!$E$14*('ПЛАН ЧЕРН К1'!Q44*СПРАВОЧНИК!$H$14+'ПЛАН ЧЕРН К1'!R44*СПРАВОЧНИК!$I$14+'ПЛАН ЧЕРН К1'!S44*СПРАВОЧНИК!$J$14)+СПРАВОЧНИК!$E$15*('ПЛАН ЧЕРН К1'!T44*СПРАВОЧНИК!$H$15+'ПЛАН ЧЕРН К1'!U44*СПРАВОЧНИК!$I$15+'ПЛАН ЧЕРН К1'!V44*СПРАВОЧНИК!$J$15)+СПРАВОЧНИК!$F$9*('ПЛАН ЧИСТ К1'!B44*СПРАВОЧНИК!$L$9+'ПЛАН ЧИСТ К1'!C44*СПРАВОЧНИК!$M$9+'ПЛАН ЧИСТ К1'!D44*СПРАВОЧНИК!$N$9+'ПЛАН ЧИСТ К1'!E44*СПРАВОЧНИК!$O$9)+СПРАВОЧНИК!$F$10*('ПЛАН ЧИСТ К1'!F44*СПРАВОЧНИК!$L$10+'ПЛАН ЧИСТ К1'!G44*СПРАВОЧНИК!$M$10+'ПЛАН ЧИСТ К1'!H44*СПРАВОЧНИК!$N$10+'ПЛАН ЧИСТ К1'!I44*СПРАВОЧНИК!$O$10)+СПРАВОЧНИК!$F$11*('ПЛАН ЧИСТ К1'!J44*СПРАВОЧНИК!$L$11+'ПЛАН ЧИСТ К1'!K44*СПРАВОЧНИК!$M$11+'ПЛАН ЧИСТ К1'!L44*СПРАВОЧНИК!$N$11)+СПРАВОЧНИК!$F$12*('ПЛАН ЧИСТ К1'!M44*СПРАВОЧНИК!$L$12+'ПЛАН ЧИСТ К1'!N44*СПРАВОЧНИК!$M$12+'ПЛАН ЧИСТ К1'!O44*СПРАВОЧНИК!$N$12+'ПЛАН ЧИСТ К1'!P44*СПРАВОЧНИК!$O$12)+СПРАВОЧНИК!$F$13*('ПЛАН ЧИСТ К1'!Q44*СПРАВОЧНИК!$L$13+'ПЛАН ЧИСТ К1'!R44*СПРАВОЧНИК!$M$13+'ПЛАН ЧИСТ К1'!S44*СПРАВОЧНИК!$N$13+'ПЛАН ЧИСТ К1'!T44*СПРАВОЧНИК!$O$13)+СПРАВОЧНИК!$F$14*('ПЛАН ЧИСТ К1'!U44*СПРАВОЧНИК!$L$14+'ПЛАН ЧИСТ К1'!V44*СПРАВОЧНИК!$M$14+'ПЛАН ЧИСТ К1'!W44*СПРАВОЧНИК!$N$14)+СПРАВОЧНИК!$F$15*('ПЛАН ЧИСТ К1'!X44*СПРАВОЧНИК!$L$15+'ПЛАН ЧИСТ К1'!Y44*СПРАВОЧНИК!$M$15+'ПЛАН ЧИСТ К1'!Z44*СПРАВОЧНИК!$N$15)</f>
        <v/>
      </c>
      <c r="W53" s="40">
        <f>СПРАВОЧНИК!$E$9*(('ФАКТ ЧЕРН К1'!B44)*СПРАВОЧНИК!$H$9+('ФАКТ ЧЕРН К1'!C44)*СПРАВОЧНИК!$I$9+('ФАКТ ЧЕРН К1'!D44)*СПРАВОЧНИК!$J$9)+СПРАВОЧНИК!$E$10*(('ФАКТ ЧЕРН К1'!E44)*СПРАВОЧНИК!$H$10+('ФАКТ ЧЕРН К1'!F44)*СПРАВОЧНИК!$I$10+('ФАКТ ЧЕРН К1'!G44)*СПРАВОЧНИК!$J$10)+СПРАВОЧНИК!$E$11*(('ФАКТ ЧЕРН К1'!H44)*СПРАВОЧНИК!$H$11+('ФАКТ ЧЕРН К1'!I44)*СПРАВОЧНИК!$I$11+('ФАКТ ЧЕРН К1'!J44)*СПРАВОЧНИК!$J$11)+СПРАВОЧНИК!$E$12*(('ФАКТ ЧЕРН К1'!K44)*СПРАВОЧНИК!$H$12+('ФАКТ ЧЕРН К1'!L44)*СПРАВОЧНИК!$I$12+('ФАКТ ЧЕРН К1'!M44)*СПРАВОЧНИК!$J$12)+СПРАВОЧНИК!$E$13*(('ФАКТ ЧЕРН К1'!N44)*СПРАВОЧНИК!$H$13+('ФАКТ ЧЕРН К1'!O44)*СПРАВОЧНИК!$I$13+('ФАКТ ЧЕРН К1'!P44)*СПРАВОЧНИК!$J$13)+СПРАВОЧНИК!$E$14*(('ФАКТ ЧЕРН К1'!Q44)*СПРАВОЧНИК!$H$14+('ФАКТ ЧЕРН К1'!R44)*СПРАВОЧНИК!$I$14+('ФАКТ ЧЕРН К1'!S44)*СПРАВОЧНИК!$J$14)+СПРАВОЧНИК!$E$15*(('ФАКТ ЧЕРН К1'!T44)*СПРАВОЧНИК!$H$15+('ФАКТ ЧЕРН К1'!U44)*СПРАВОЧНИК!$I$15+('ФАКТ ЧЕРН К1'!V44)*СПРАВОЧНИК!$J$15)+СПРАВОЧНИК!$F$9*(('ФАКТ ЧИСТ К1'!B44)*СПРАВОЧНИК!$L$9+('ФАКТ ЧИСТ К1'!C44)*СПРАВОЧНИК!$M$9+('ФАКТ ЧИСТ К1'!D44)*СПРАВОЧНИК!$N$9+('ФАКТ ЧИСТ К1'!E44)*СПРАВОЧНИК!$O$9)+СПРАВОЧНИК!$F$10*(('ФАКТ ЧИСТ К1'!F44)*СПРАВОЧНИК!$L$10+('ФАКТ ЧИСТ К1'!G44)*СПРАВОЧНИК!$M$10+('ФАКТ ЧИСТ К1'!H44)*СПРАВОЧНИК!$N$10+('ФАКТ ЧИСТ К1'!I44)*СПРАВОЧНИК!$O$10)+СПРАВОЧНИК!$F$11*(('ФАКТ ЧИСТ К1'!J44)*СПРАВОЧНИК!$L$11+('ФАКТ ЧИСТ К1'!K44)*СПРАВОЧНИК!$M$11+('ФАКТ ЧИСТ К1'!L44)*СПРАВОЧНИК!$N$11)+СПРАВОЧНИК!$F$12*(('ФАКТ ЧИСТ К1'!M44)*СПРАВОЧНИК!$L$12+('ФАКТ ЧИСТ К1'!N44)*СПРАВОЧНИК!$M$12+('ФАКТ ЧИСТ К1'!O44)*СПРАВОЧНИК!$N$12+('ФАКТ ЧИСТ К1'!P44)*СПРАВОЧНИК!$O$12)+СПРАВОЧНИК!$F$13*(('ФАКТ ЧИСТ К1'!Q44)*СПРАВОЧНИК!$L$13+('ФАКТ ЧИСТ К1'!R44)*СПРАВОЧНИК!$M$13+('ФАКТ ЧИСТ К1'!S44)*СПРАВОЧНИК!$N$13+('ФАКТ ЧИСТ К1'!T44)*СПРАВОЧНИК!$O$13)+СПРАВОЧНИК!$F$14*(('ФАКТ ЧИСТ К1'!U44)*СПРАВОЧНИК!$L$14+('ФАКТ ЧИСТ К1'!V44)*СПРАВОЧНИК!$M$14+('ФАКТ ЧИСТ К1'!W44)*СПРАВОЧНИК!$N$14)+СПРАВОЧНИК!$F$15*(('ФАКТ ЧИСТ К1'!X44)*СПРАВОЧНИК!$L$15+('ФАКТ ЧИСТ К1'!Y44)*СПРАВОЧНИК!$M$15+('ФАКТ ЧИСТ К1'!Z44)*СПРАВОЧНИК!$N$15)</f>
        <v/>
      </c>
      <c r="AA53" s="18">
        <f>AA52+7</f>
        <v/>
      </c>
      <c r="AB53" s="37">
        <f>'ПЛАН ЧЕРН К1'!B44*СПРАВОЧНИК!$H$9+'ПЛАН ЧЕРН К1'!C44*СПРАВОЧНИК!$I$9+'ПЛАН ЧЕРН К1'!D44*СПРАВОЧНИК!$J$9+'ПЛАН ЧЕРН К1'!E44*СПРАВОЧНИК!$H$10+'ПЛАН ЧЕРН К1'!F44*СПРАВОЧНИК!$I$10+'ПЛАН ЧЕРН К1'!G44*СПРАВОЧНИК!$J$10+'ПЛАН ЧЕРН К1'!H44*СПРАВОЧНИК!$H$11+'ПЛАН ЧЕРН К1'!I44*СПРАВОЧНИК!$I$11+'ПЛАН ЧЕРН К1'!J44*СПРАВОЧНИК!$J$11+'ПЛАН ЧЕРН К1'!K44*СПРАВОЧНИК!$H$12+'ПЛАН ЧЕРН К1'!L44*СПРАВОЧНИК!$I$12+'ПЛАН ЧЕРН К1'!M44*СПРАВОЧНИК!$J$12+'ПЛАН ЧЕРН К1'!N44*СПРАВОЧНИК!$H$13+'ПЛАН ЧЕРН К1'!O44*СПРАВОЧНИК!$I$13+'ПЛАН ЧЕРН К1'!P44*СПРАВОЧНИК!$J$13+'ПЛАН ЧЕРН К1'!Q44*СПРАВОЧНИК!$H$14+'ПЛАН ЧЕРН К1'!R44*СПРАВОЧНИК!$I$14+'ПЛАН ЧЕРН К1'!S44*СПРАВОЧНИК!$J$14+'ПЛАН ЧЕРН К1'!T44*СПРАВОЧНИК!$H$15+'ПЛАН ЧЕРН К1'!U44*СПРАВОЧНИК!$I$15+'ПЛАН ЧЕРН К1'!V44*СПРАВОЧНИК!$J$15</f>
        <v/>
      </c>
      <c r="AC53" s="40">
        <f>('ФАКТ ЧЕРН К1'!B44)*СПРАВОЧНИК!$H$9+('ФАКТ ЧЕРН К1'!C44)*СПРАВОЧНИК!$I$9+('ФАКТ ЧЕРН К1'!D44)*СПРАВОЧНИК!$J$9+('ФАКТ ЧЕРН К1'!E44)*СПРАВОЧНИК!$H$10+('ФАКТ ЧЕРН К1'!F44)*СПРАВОЧНИК!$I$10+('ФАКТ ЧЕРН К1'!G44)*СПРАВОЧНИК!$J$10+('ФАКТ ЧЕРН К1'!H44)*СПРАВОЧНИК!$H$11+('ФАКТ ЧЕРН К1'!I44)*СПРАВОЧНИК!$I$11+('ФАКТ ЧЕРН К1'!J44)*СПРАВОЧНИК!$J$11+('ФАКТ ЧЕРН К1'!K44)*СПРАВОЧНИК!$H$12+('ФАКТ ЧЕРН К1'!L44)*СПРАВОЧНИК!$I$12+('ФАКТ ЧЕРН К1'!M44)*СПРАВОЧНИК!$J$12+('ФАКТ ЧЕРН К1'!N44)*СПРАВОЧНИК!$H$13+('ФАКТ ЧЕРН К1'!O44)*СПРАВОЧНИК!$I$13+('ФАКТ ЧЕРН К1'!P44)*СПРАВОЧНИК!$J$13+('ФАКТ ЧЕРН К1'!Q44)*СПРАВОЧНИК!$H$14+('ФАКТ ЧЕРН К1'!R44)*СПРАВОЧНИК!$I$14+('ФАКТ ЧЕРН К1'!S44)*СПРАВОЧНИК!$J$14+('ФАКТ ЧЕРН К1'!T44)*СПРАВОЧНИК!$H$15+('ФАКТ ЧЕРН К1'!U44)*СПРАВОЧНИК!$I$15+('ФАКТ ЧЕРН К1'!V44)*СПРАВОЧНИК!$J$15</f>
        <v/>
      </c>
      <c r="AG53" s="18">
        <f>AG52+7</f>
        <v/>
      </c>
      <c r="AH53" s="37">
        <f>'ПЛАН ЧИСТ К1'!B44*СПРАВОЧНИК!$L$9+'ПЛАН ЧИСТ К1'!C44*СПРАВОЧНИК!$M$9+'ПЛАН ЧИСТ К1'!D44*СПРАВОЧНИК!$N$9+'ПЛАН ЧИСТ К1'!E44*СПРАВОЧНИК!$O$9+'ПЛАН ЧИСТ К1'!F44*СПРАВОЧНИК!$L$10+'ПЛАН ЧИСТ К1'!G44*СПРАВОЧНИК!$M$10+'ПЛАН ЧИСТ К1'!H44*СПРАВОЧНИК!$N$10+'ПЛАН ЧИСТ К1'!I44*СПРАВОЧНИК!$O$10+'ПЛАН ЧИСТ К1'!J44*СПРАВОЧНИК!$L$11+'ПЛАН ЧИСТ К1'!K44*СПРАВОЧНИК!$M$11+'ПЛАН ЧИСТ К1'!L44*СПРАВОЧНИК!$N$11+'ПЛАН ЧИСТ К1'!M44*СПРАВОЧНИК!$L$12+'ПЛАН ЧИСТ К1'!N44*СПРАВОЧНИК!$M$12+'ПЛАН ЧИСТ К1'!O44*СПРАВОЧНИК!$N$12+'ПЛАН ЧИСТ К1'!P44*СПРАВОЧНИК!$O$12+'ПЛАН ЧИСТ К1'!Q44*СПРАВОЧНИК!$L$13+'ПЛАН ЧИСТ К1'!R44*СПРАВОЧНИК!$M$13+'ПЛАН ЧИСТ К1'!S44*СПРАВОЧНИК!$N$13+'ПЛАН ЧИСТ К1'!T44*СПРАВОЧНИК!$O$13+'ПЛАН ЧИСТ К1'!U44*СПРАВОЧНИК!$L$14+'ПЛАН ЧИСТ К1'!V44*СПРАВОЧНИК!$M$14+'ПЛАН ЧИСТ К1'!W44*СПРАВОЧНИК!$N$14+'ПЛАН ЧИСТ К1'!X44*СПРАВОЧНИК!$L$15+'ПЛАН ЧИСТ К1'!Y44*СПРАВОЧНИК!$M$15+'ПЛАН ЧИСТ К1'!Z44*СПРАВОЧНИК!$N$15</f>
        <v/>
      </c>
      <c r="AI53" s="40">
        <f>('ФАКТ ЧИСТ К1'!B44)*СПРАВОЧНИК!$L$9+('ФАКТ ЧИСТ К1'!C44)*СПРАВОЧНИК!$M$9+('ФАКТ ЧИСТ К1'!D44)*СПРАВОЧНИК!$N$9+('ФАКТ ЧИСТ К1'!E44)*СПРАВОЧНИК!$O$9+('ФАКТ ЧИСТ К1'!F44)*СПРАВОЧНИК!$L$10+('ФАКТ ЧИСТ К1'!G44)*СПРАВОЧНИК!$M$10+('ФАКТ ЧИСТ К1'!H44)*СПРАВОЧНИК!$N$10+('ФАКТ ЧИСТ К1'!I44)*СПРАВОЧНИК!$O$10+('ФАКТ ЧИСТ К1'!J44)*СПРАВОЧНИК!$L$11+('ФАКТ ЧИСТ К1'!K44)*СПРАВОЧНИК!$M$11+('ФАКТ ЧИСТ К1'!L44)*СПРАВОЧНИК!$N$11+('ФАКТ ЧИСТ К1'!M44)*СПРАВОЧНИК!$L$12+('ФАКТ ЧИСТ К1'!N44)*СПРАВОЧНИК!$M$12+('ФАКТ ЧИСТ К1'!O44)*СПРАВОЧНИК!$N$12+('ФАКТ ЧИСТ К1'!P44)*СПРАВОЧНИК!$O$12+('ФАКТ ЧИСТ К1'!Q44)*СПРАВОЧНИК!$L$13+('ФАКТ ЧИСТ К1'!R44)*СПРАВОЧНИК!$M$13+('ФАКТ ЧИСТ К1'!S44)*СПРАВОЧНИК!$N$13+('ФАКТ ЧИСТ К1'!T44)*СПРАВОЧНИК!$O$13+('ФАКТ ЧИСТ К1'!U44)*СПРАВОЧНИК!$L$14+('ФАКТ ЧИСТ К1'!V44)*СПРАВОЧНИК!$M$14+('ФАКТ ЧИСТ К1'!W44)*СПРАВОЧНИК!$N$14+('ФАКТ ЧИСТ К1'!X44)*СПРАВОЧНИК!$L$15+('ФАКТ ЧИСТ К1'!Y44)*СПРАВОЧНИК!$M$15+('ФАКТ ЧИСТ К1'!Z44)*СПРАВОЧНИК!$N$15</f>
        <v/>
      </c>
      <c r="AM53" s="18">
        <f>AM52+7</f>
        <v/>
      </c>
      <c r="AN53" s="37">
        <f>СПРАВОЧНИК!$E$9*('ПЛАН ЧЕРН К2'!B44*СПРАВОЧНИК!$H$9+'ПЛАН ЧЕРН К2'!C44*СПРАВОЧНИК!$I$9+'ПЛАН ЧЕРН К2'!D44*СПРАВОЧНИК!$J$9)+СПРАВОЧНИК!$E$10*('ПЛАН ЧЕРН К2'!E44*СПРАВОЧНИК!$H$10+'ПЛАН ЧЕРН К2'!F44*СПРАВОЧНИК!$I$10+'ПЛАН ЧЕРН К2'!G44*СПРАВОЧНИК!$J$10)+СПРАВОЧНИК!$E$11*('ПЛАН ЧЕРН К2'!H44*СПРАВОЧНИК!$H$11+'ПЛАН ЧЕРН К2'!I44*СПРАВОЧНИК!$I$11+'ПЛАН ЧЕРН К2'!J44*СПРАВОЧНИК!$J$11)+СПРАВОЧНИК!$E$12*('ПЛАН ЧЕРН К2'!K44*СПРАВОЧНИК!$H$12+'ПЛАН ЧЕРН К2'!L44*СПРАВОЧНИК!$I$12+'ПЛАН ЧЕРН К2'!M44*СПРАВОЧНИК!$J$12)+СПРАВОЧНИК!$E$13*('ПЛАН ЧЕРН К2'!N44*СПРАВОЧНИК!$H$13+'ПЛАН ЧЕРН К2'!O44*СПРАВОЧНИК!$I$13+'ПЛАН ЧЕРН К2'!P44*СПРАВОЧНИК!$J$13)+СПРАВОЧНИК!$E$14*('ПЛАН ЧЕРН К2'!Q44*СПРАВОЧНИК!$H$14+'ПЛАН ЧЕРН К2'!R44*СПРАВОЧНИК!$I$14+'ПЛАН ЧЕРН К2'!S44*СПРАВОЧНИК!$J$14)+СПРАВОЧНИК!$E$15*('ПЛАН ЧЕРН К2'!T44*СПРАВОЧНИК!$H$15+'ПЛАН ЧЕРН К2'!U44*СПРАВОЧНИК!$I$15+'ПЛАН ЧЕРН К2'!V44*СПРАВОЧНИК!$J$15)+СПРАВОЧНИК!$F$9*('ПЛАН ЧИСТ К2'!B44*СПРАВОЧНИК!$L$9+'ПЛАН ЧИСТ К2'!C44*СПРАВОЧНИК!$M$9+'ПЛАН ЧИСТ К2'!D44*СПРАВОЧНИК!$N$9+'ПЛАН ЧИСТ К2'!E44*СПРАВОЧНИК!$O$9)+СПРАВОЧНИК!$F$10*('ПЛАН ЧИСТ К2'!F44*СПРАВОЧНИК!$L$10+'ПЛАН ЧИСТ К2'!G44*СПРАВОЧНИК!$M$10+'ПЛАН ЧИСТ К2'!H44*СПРАВОЧНИК!$N$10+'ПЛАН ЧИСТ К2'!I44*СПРАВОЧНИК!$O$10)+СПРАВОЧНИК!$F$11*('ПЛАН ЧИСТ К2'!J44*СПРАВОЧНИК!$L$11+'ПЛАН ЧИСТ К2'!K44*СПРАВОЧНИК!$M$11+'ПЛАН ЧИСТ К2'!L44*СПРАВОЧНИК!$N$11)+СПРАВОЧНИК!$F$12*('ПЛАН ЧИСТ К2'!M44*СПРАВОЧНИК!$L$12+'ПЛАН ЧИСТ К2'!N44*СПРАВОЧНИК!$M$12+'ПЛАН ЧИСТ К2'!O44*СПРАВОЧНИК!$N$12+'ПЛАН ЧИСТ К2'!P44*СПРАВОЧНИК!$O$12)+СПРАВОЧНИК!$F$13*('ПЛАН ЧИСТ К2'!Q44*СПРАВОЧНИК!$L$13+'ПЛАН ЧИСТ К2'!R44*СПРАВОЧНИК!$M$13+'ПЛАН ЧИСТ К2'!S44*СПРАВОЧНИК!$N$13+'ПЛАН ЧИСТ К2'!T44*СПРАВОЧНИК!$O$13)+СПРАВОЧНИК!$F$14*('ПЛАН ЧИСТ К2'!U44*СПРАВОЧНИК!$L$14+'ПЛАН ЧИСТ К2'!V44*СПРАВОЧНИК!$M$14+'ПЛАН ЧИСТ К2'!W44*СПРАВОЧНИК!$N$14)+СПРАВОЧНИК!$F$15*('ПЛАН ЧИСТ К2'!X44*СПРАВОЧНИК!$L$15+'ПЛАН ЧИСТ К2'!Y44*СПРАВОЧНИК!$M$15+'ПЛАН ЧИСТ К2'!Z44*СПРАВОЧНИК!$N$15)</f>
        <v/>
      </c>
      <c r="AO53" s="40">
        <f>СПРАВОЧНИК!$E$9*(('ФАКТ ЧЕРН К2'!B44)*СПРАВОЧНИК!$H$9+('ФАКТ ЧЕРН К2'!C44)*СПРАВОЧНИК!$I$9+('ФАКТ ЧЕРН К2'!D44)*СПРАВОЧНИК!$J$9)+СПРАВОЧНИК!$E$10*(('ФАКТ ЧЕРН К2'!E44)*СПРАВОЧНИК!$H$10+('ФАКТ ЧЕРН К2'!F44)*СПРАВОЧНИК!$I$10+('ФАКТ ЧЕРН К2'!G44)*СПРАВОЧНИК!$J$10)+СПРАВОЧНИК!$E$11*(('ФАКТ ЧЕРН К2'!H44)*СПРАВОЧНИК!$H$11+('ФАКТ ЧЕРН К2'!I44)*СПРАВОЧНИК!$I$11+('ФАКТ ЧЕРН К2'!J44)*СПРАВОЧНИК!$J$11)+СПРАВОЧНИК!$E$12*(('ФАКТ ЧЕРН К2'!K44)*СПРАВОЧНИК!$H$12+('ФАКТ ЧЕРН К2'!L44)*СПРАВОЧНИК!$I$12+('ФАКТ ЧЕРН К2'!M44)*СПРАВОЧНИК!$J$12)+СПРАВОЧНИК!$E$13*(('ФАКТ ЧЕРН К2'!N44)*СПРАВОЧНИК!$H$13+('ФАКТ ЧЕРН К2'!O44)*СПРАВОЧНИК!$I$13+('ФАКТ ЧЕРН К2'!P44)*СПРАВОЧНИК!$J$13)+СПРАВОЧНИК!$E$14*(('ФАКТ ЧЕРН К2'!Q44)*СПРАВОЧНИК!$H$14+('ФАКТ ЧЕРН К2'!R44)*СПРАВОЧНИК!$I$14+('ФАКТ ЧЕРН К2'!S44)*СПРАВОЧНИК!$J$14)+СПРАВОЧНИК!$E$15*(('ФАКТ ЧЕРН К2'!T44)*СПРАВОЧНИК!$H$15+('ФАКТ ЧЕРН К2'!U44)*СПРАВОЧНИК!$I$15+('ФАКТ ЧЕРН К2'!V44)*СПРАВОЧНИК!$J$15)+СПРАВОЧНИК!$F$9*(('ФАКТ ЧИСТ К2'!B44)*СПРАВОЧНИК!$L$9+('ФАКТ ЧИСТ К2'!C44)*СПРАВОЧНИК!$M$9+('ФАКТ ЧИСТ К2'!D44)*СПРАВОЧНИК!$N$9+('ФАКТ ЧИСТ К2'!E44)*СПРАВОЧНИК!$O$9)+СПРАВОЧНИК!$F$10*(('ФАКТ ЧИСТ К2'!F44)*СПРАВОЧНИК!$L$10+('ФАКТ ЧИСТ К2'!G44)*СПРАВОЧНИК!$M$10+('ФАКТ ЧИСТ К2'!H44)*СПРАВОЧНИК!$N$10+('ФАКТ ЧИСТ К2'!I44)*СПРАВОЧНИК!$O$10)+СПРАВОЧНИК!$F$11*(('ФАКТ ЧИСТ К2'!J44)*СПРАВОЧНИК!$L$11+('ФАКТ ЧИСТ К2'!K44)*СПРАВОЧНИК!$M$11+('ФАКТ ЧИСТ К2'!L44)*СПРАВОЧНИК!$N$11)+СПРАВОЧНИК!$F$12*(('ФАКТ ЧИСТ К2'!M44)*СПРАВОЧНИК!$L$12+('ФАКТ ЧИСТ К2'!N44)*СПРАВОЧНИК!$M$12+('ФАКТ ЧИСТ К2'!O44)*СПРАВОЧНИК!$N$12+('ФАКТ ЧИСТ К2'!P44)*СПРАВОЧНИК!$O$12)+СПРАВОЧНИК!$F$13*(('ФАКТ ЧИСТ К2'!Q44)*СПРАВОЧНИК!$L$13+('ФАКТ ЧИСТ К2'!R44)*СПРАВОЧНИК!$M$13+('ФАКТ ЧИСТ К2'!S44)*СПРАВОЧНИК!$N$13+('ФАКТ ЧИСТ К2'!T44)*СПРАВОЧНИК!$O$13)+СПРАВОЧНИК!$F$14*(('ФАКТ ЧИСТ К2'!U44)*СПРАВОЧНИК!$L$14+('ФАКТ ЧИСТ К2'!V44)*СПРАВОЧНИК!$M$14+('ФАКТ ЧИСТ К2'!W44)*СПРАВОЧНИК!$N$14)+СПРАВОЧНИК!$F$15*(('ФАКТ ЧИСТ К2'!X44)*СПРАВОЧНИК!$L$15+('ФАКТ ЧИСТ К2'!Y44)*СПРАВОЧНИК!$M$15+('ФАКТ ЧИСТ К2'!Z44)*СПРАВОЧНИК!$N$15)</f>
        <v/>
      </c>
      <c r="AS53" s="18">
        <f>AS52+7</f>
        <v/>
      </c>
      <c r="AT53" s="37">
        <f>'ПЛАН ЧЕРН К2'!B44*СПРАВОЧНИК!$H$9+'ПЛАН ЧЕРН К2'!C44*СПРАВОЧНИК!$I$9+'ПЛАН ЧЕРН К2'!D44*СПРАВОЧНИК!$J$9+'ПЛАН ЧЕРН К2'!E44*СПРАВОЧНИК!$H$10+'ПЛАН ЧЕРН К2'!F44*СПРАВОЧНИК!$I$10+'ПЛАН ЧЕРН К2'!G44*СПРАВОЧНИК!$J$10+'ПЛАН ЧЕРН К2'!H44*СПРАВОЧНИК!$H$11+'ПЛАН ЧЕРН К2'!I44*СПРАВОЧНИК!$I$11+'ПЛАН ЧЕРН К2'!J44*СПРАВОЧНИК!$J$11+'ПЛАН ЧЕРН К2'!K44*СПРАВОЧНИК!$H$12+'ПЛАН ЧЕРН К2'!L44*СПРАВОЧНИК!$I$12+'ПЛАН ЧЕРН К2'!M44*СПРАВОЧНИК!$J$12+'ПЛАН ЧЕРН К2'!N44*СПРАВОЧНИК!$H$13+'ПЛАН ЧЕРН К2'!O44*СПРАВОЧНИК!$I$13+'ПЛАН ЧЕРН К2'!P44*СПРАВОЧНИК!$J$13+'ПЛАН ЧЕРН К2'!Q44*СПРАВОЧНИК!$H$14+'ПЛАН ЧЕРН К2'!R44*СПРАВОЧНИК!$I$14+'ПЛАН ЧЕРН К2'!S44*СПРАВОЧНИК!$J$14+'ПЛАН ЧЕРН К2'!T44*СПРАВОЧНИК!$H$15+'ПЛАН ЧЕРН К2'!U44*СПРАВОЧНИК!$I$15+'ПЛАН ЧЕРН К2'!V44*СПРАВОЧНИК!$J$15</f>
        <v/>
      </c>
      <c r="AU53" s="40">
        <f>('ФАКТ ЧЕРН К2'!B44)*СПРАВОЧНИК!$H$9+('ФАКТ ЧЕРН К2'!C44)*СПРАВОЧНИК!$I$9+('ФАКТ ЧЕРН К2'!D44)*СПРАВОЧНИК!$J$9+('ФАКТ ЧЕРН К2'!E44)*СПРАВОЧНИК!$H$10+('ФАКТ ЧЕРН К2'!F44)*СПРАВОЧНИК!$I$10+('ФАКТ ЧЕРН К2'!G44)*СПРАВОЧНИК!$J$10+('ФАКТ ЧЕРН К2'!H44)*СПРАВОЧНИК!$H$11+('ФАКТ ЧЕРН К2'!I44)*СПРАВОЧНИК!$I$11+('ФАКТ ЧЕРН К2'!J44)*СПРАВОЧНИК!$J$11+('ФАКТ ЧЕРН К2'!K44)*СПРАВОЧНИК!$H$12+('ФАКТ ЧЕРН К2'!L44)*СПРАВОЧНИК!$I$12+('ФАКТ ЧЕРН К2'!M44)*СПРАВОЧНИК!$J$12+('ФАКТ ЧЕРН К2'!N44)*СПРАВОЧНИК!$H$13+('ФАКТ ЧЕРН К2'!O44)*СПРАВОЧНИК!$I$13+('ФАКТ ЧЕРН К2'!P44)*СПРАВОЧНИК!$J$13+('ФАКТ ЧЕРН К2'!Q44)*СПРАВОЧНИК!$H$14+('ФАКТ ЧЕРН К2'!R44)*СПРАВОЧНИК!$I$14+('ФАКТ ЧЕРН К2'!S44)*СПРАВОЧНИК!$J$14+('ФАКТ ЧЕРН К2'!T44)*СПРАВОЧНИК!$H$15+('ФАКТ ЧЕРН К2'!U44)*СПРАВОЧНИК!$I$15+('ФАКТ ЧЕРН К2'!V44)*СПРАВОЧНИК!$J$15</f>
        <v/>
      </c>
      <c r="AY53" s="18">
        <f>AY52+7</f>
        <v/>
      </c>
      <c r="AZ53" s="37">
        <f>'ПЛАН ЧИСТ К2'!B44*СПРАВОЧНИК!$L$9+'ПЛАН ЧИСТ К2'!C44*СПРАВОЧНИК!$M$9+'ПЛАН ЧИСТ К2'!D44*СПРАВОЧНИК!$N$9+'ПЛАН ЧИСТ К2'!E44*СПРАВОЧНИК!$O$9+'ПЛАН ЧИСТ К2'!F44*СПРАВОЧНИК!$L$10+'ПЛАН ЧИСТ К2'!G44*СПРАВОЧНИК!$M$10+'ПЛАН ЧИСТ К2'!H44*СПРАВОЧНИК!$N$10+'ПЛАН ЧИСТ К2'!I44*СПРАВОЧНИК!$O$10+'ПЛАН ЧИСТ К2'!J44*СПРАВОЧНИК!$L$11+'ПЛАН ЧИСТ К2'!K44*СПРАВОЧНИК!$M$11+'ПЛАН ЧИСТ К2'!L44*СПРАВОЧНИК!$N$11+'ПЛАН ЧИСТ К2'!M44*СПРАВОЧНИК!$L$12+'ПЛАН ЧИСТ К2'!N44*СПРАВОЧНИК!$M$12+'ПЛАН ЧИСТ К2'!O44*СПРАВОЧНИК!$N$12+'ПЛАН ЧИСТ К2'!P44*СПРАВОЧНИК!$O$12+'ПЛАН ЧИСТ К2'!Q44*СПРАВОЧНИК!$L$13+'ПЛАН ЧИСТ К2'!R44*СПРАВОЧНИК!$M$13+'ПЛАН ЧИСТ К2'!S44*СПРАВОЧНИК!$N$13+'ПЛАН ЧИСТ К2'!T44*СПРАВОЧНИК!$O$13+'ПЛАН ЧИСТ К2'!U44*СПРАВОЧНИК!$L$14+'ПЛАН ЧИСТ К2'!V44*СПРАВОЧНИК!$M$14+'ПЛАН ЧИСТ К2'!W44*СПРАВОЧНИК!$N$14+'ПЛАН ЧИСТ К2'!X44*СПРАВОЧНИК!$L$15+'ПЛАН ЧИСТ К2'!Y44*СПРАВОЧНИК!$M$15+'ПЛАН ЧИСТ К2'!Z44*СПРАВОЧНИК!$N$15</f>
        <v/>
      </c>
      <c r="BA53" s="40">
        <f>('ФАКТ ЧИСТ К2'!B44)*СПРАВОЧНИК!$L$9+('ФАКТ ЧИСТ К2'!C44)*СПРАВОЧНИК!$M$9+('ФАКТ ЧИСТ К2'!D44)*СПРАВОЧНИК!$N$9+('ФАКТ ЧИСТ К2'!E44)*СПРАВОЧНИК!$O$9+('ФАКТ ЧИСТ К2'!F44)*СПРАВОЧНИК!$L$10+('ФАКТ ЧИСТ К2'!G44)*СПРАВОЧНИК!$M$10+('ФАКТ ЧИСТ К2'!H44)*СПРАВОЧНИК!$N$10+('ФАКТ ЧИСТ К2'!I44)*СПРАВОЧНИК!$O$10+('ФАКТ ЧИСТ К2'!J44)*СПРАВОЧНИК!$L$11+('ФАКТ ЧИСТ К2'!K44)*СПРАВОЧНИК!$M$11+('ФАКТ ЧИСТ К2'!L44)*СПРАВОЧНИК!$N$11+('ФАКТ ЧИСТ К2'!M44)*СПРАВОЧНИК!$L$12+('ФАКТ ЧИСТ К2'!N44)*СПРАВОЧНИК!$M$12+('ФАКТ ЧИСТ К2'!O44)*СПРАВОЧНИК!$N$12+('ФАКТ ЧИСТ К2'!P44)*СПРАВОЧНИК!$O$12+('ФАКТ ЧИСТ К2'!Q44)*СПРАВОЧНИК!$L$13+('ФАКТ ЧИСТ К2'!R44)*СПРАВОЧНИК!$M$13+('ФАКТ ЧИСТ К2'!S44)*СПРАВОЧНИК!$N$13+('ФАКТ ЧИСТ К2'!T44)*СПРАВОЧНИК!$O$13+('ФАКТ ЧИСТ К2'!U44)*СПРАВОЧНИК!$L$14+('ФАКТ ЧИСТ К2'!V44)*СПРАВОЧНИК!$M$14+('ФАКТ ЧИСТ К2'!W44)*СПРАВОЧНИК!$N$14+('ФАКТ ЧИСТ К2'!X44)*СПРАВОЧНИК!$L$15+('ФАКТ ЧИСТ К2'!Y44)*СПРАВОЧНИК!$M$15+('ФАКТ ЧИСТ К2'!Z44)*СПРАВОЧНИК!$N$15</f>
        <v/>
      </c>
      <c r="BE53" s="18">
        <f>BE52+7</f>
        <v/>
      </c>
      <c r="BF53" s="37">
        <f>СПРАВОЧНИК!$E$9*('ПЛАН ЧЕРН К3'!B44*СПРАВОЧНИК!$H$9+'ПЛАН ЧЕРН К3'!C44*СПРАВОЧНИК!$I$9+'ПЛАН ЧЕРН К3'!D44*СПРАВОЧНИК!$J$9)+СПРАВОЧНИК!$E$10*('ПЛАН ЧЕРН К3'!E44*СПРАВОЧНИК!$H$10+'ПЛАН ЧЕРН К3'!F44*СПРАВОЧНИК!$I$10+'ПЛАН ЧЕРН К3'!G44*СПРАВОЧНИК!$J$10)+СПРАВОЧНИК!$E$11*('ПЛАН ЧЕРН К3'!H44*СПРАВОЧНИК!$H$11+'ПЛАН ЧЕРН К3'!I44*СПРАВОЧНИК!$I$11+'ПЛАН ЧЕРН К3'!J44*СПРАВОЧНИК!$J$11)+СПРАВОЧНИК!$E$12*('ПЛАН ЧЕРН К3'!K44*СПРАВОЧНИК!$H$12+'ПЛАН ЧЕРН К3'!L44*СПРАВОЧНИК!$I$12+'ПЛАН ЧЕРН К3'!M44*СПРАВОЧНИК!$J$12)+СПРАВОЧНИК!$E$13*('ПЛАН ЧЕРН К3'!N44*СПРАВОЧНИК!$H$13+'ПЛАН ЧЕРН К3'!O44*СПРАВОЧНИК!$I$13+'ПЛАН ЧЕРН К3'!P44*СПРАВОЧНИК!$J$13)+СПРАВОЧНИК!$E$14*('ПЛАН ЧЕРН К3'!Q44*СПРАВОЧНИК!$H$14+'ПЛАН ЧЕРН К3'!R44*СПРАВОЧНИК!$I$14+'ПЛАН ЧЕРН К3'!S44*СПРАВОЧНИК!$J$14)+СПРАВОЧНИК!$E$15*('ПЛАН ЧЕРН К3'!T44*СПРАВОЧНИК!$H$15+'ПЛАН ЧЕРН К3'!U44*СПРАВОЧНИК!$I$15+'ПЛАН ЧЕРН К3'!V44*СПРАВОЧНИК!$J$15)+СПРАВОЧНИК!$F$9*('ПЛАН ЧИСТ К3'!B44*СПРАВОЧНИК!$L$9+'ПЛАН ЧИСТ К3'!C44*СПРАВОЧНИК!$M$9+'ПЛАН ЧИСТ К3'!D44*СПРАВОЧНИК!$N$9+'ПЛАН ЧИСТ К3'!E44*СПРАВОЧНИК!$O$9)+СПРАВОЧНИК!$F$10*('ПЛАН ЧИСТ К3'!F44*СПРАВОЧНИК!$L$10+'ПЛАН ЧИСТ К3'!G44*СПРАВОЧНИК!$M$10+'ПЛАН ЧИСТ К3'!H44*СПРАВОЧНИК!$N$10+'ПЛАН ЧИСТ К3'!I44*СПРАВОЧНИК!$O$10)+СПРАВОЧНИК!$F$11*('ПЛАН ЧИСТ К3'!J44*СПРАВОЧНИК!$L$11+'ПЛАН ЧИСТ К3'!K44*СПРАВОЧНИК!$M$11+'ПЛАН ЧИСТ К3'!L44*СПРАВОЧНИК!$N$11)+СПРАВОЧНИК!$F$12*('ПЛАН ЧИСТ К3'!M44*СПРАВОЧНИК!$L$12+'ПЛАН ЧИСТ К3'!N44*СПРАВОЧНИК!$M$12+'ПЛАН ЧИСТ К3'!O44*СПРАВОЧНИК!$N$12+'ПЛАН ЧИСТ К3'!P44*СПРАВОЧНИК!$O$12)+СПРАВОЧНИК!$F$13*('ПЛАН ЧИСТ К3'!Q44*СПРАВОЧНИК!$L$13+'ПЛАН ЧИСТ К3'!R44*СПРАВОЧНИК!$M$13+'ПЛАН ЧИСТ К3'!S44*СПРАВОЧНИК!$N$13+'ПЛАН ЧИСТ К3'!T44*СПРАВОЧНИК!$O$13)+СПРАВОЧНИК!$F$14*('ПЛАН ЧИСТ К3'!U44*СПРАВОЧНИК!$L$14+'ПЛАН ЧИСТ К3'!V44*СПРАВОЧНИК!$M$14+'ПЛАН ЧИСТ К3'!W44*СПРАВОЧНИК!$N$14)+СПРАВОЧНИК!$F$15*('ПЛАН ЧИСТ К3'!X44*СПРАВОЧНИК!$L$15+'ПЛАН ЧИСТ К3'!Y44*СПРАВОЧНИК!$M$15+'ПЛАН ЧИСТ К3'!Z44*СПРАВОЧНИК!$N$15)</f>
        <v/>
      </c>
      <c r="BG53" s="40">
        <f>СПРАВОЧНИК!$E$9*(('ФАКТ ЧЕРН К3'!B44)*СПРАВОЧНИК!$H$9+('ФАКТ ЧЕРН К3'!C44)*СПРАВОЧНИК!$I$9+('ФАКТ ЧЕРН К3'!D44)*СПРАВОЧНИК!$J$9)+СПРАВОЧНИК!$E$10*(('ФАКТ ЧЕРН К3'!E44)*СПРАВОЧНИК!$H$10+('ФАКТ ЧЕРН К3'!F44)*СПРАВОЧНИК!$I$10+('ФАКТ ЧЕРН К3'!G44)*СПРАВОЧНИК!$J$10)+СПРАВОЧНИК!$E$11*(('ФАКТ ЧЕРН К3'!H44)*СПРАВОЧНИК!$H$11+('ФАКТ ЧЕРН К3'!I44)*СПРАВОЧНИК!$I$11+('ФАКТ ЧЕРН К3'!J44)*СПРАВОЧНИК!$J$11)+СПРАВОЧНИК!$E$12*(('ФАКТ ЧЕРН К3'!K44)*СПРАВОЧНИК!$H$12+('ФАКТ ЧЕРН К3'!L44)*СПРАВОЧНИК!$I$12+('ФАКТ ЧЕРН К3'!M44)*СПРАВОЧНИК!$J$12)+СПРАВОЧНИК!$E$13*(('ФАКТ ЧЕРН К3'!N44)*СПРАВОЧНИК!$H$13+('ФАКТ ЧЕРН К3'!O44)*СПРАВОЧНИК!$I$13+('ФАКТ ЧЕРН К3'!P44)*СПРАВОЧНИК!$J$13)+СПРАВОЧНИК!$E$14*(('ФАКТ ЧЕРН К3'!Q44)*СПРАВОЧНИК!$H$14+('ФАКТ ЧЕРН К3'!R44)*СПРАВОЧНИК!$I$14+('ФАКТ ЧЕРН К3'!S44)*СПРАВОЧНИК!$J$14)+СПРАВОЧНИК!$E$15*(('ФАКТ ЧЕРН К3'!T44)*СПРАВОЧНИК!$H$15+('ФАКТ ЧЕРН К3'!U44)*СПРАВОЧНИК!$I$15+('ФАКТ ЧЕРН К3'!V44)*СПРАВОЧНИК!$J$15)+СПРАВОЧНИК!$F$9*(('ФАКТ ЧИСТ К3'!B44)*СПРАВОЧНИК!$L$9+('ФАКТ ЧИСТ К3'!C44)*СПРАВОЧНИК!$M$9+('ФАКТ ЧИСТ К3'!D44)*СПРАВОЧНИК!$N$9+('ФАКТ ЧИСТ К3'!E44)*СПРАВОЧНИК!$O$9)+СПРАВОЧНИК!$F$10*(('ФАКТ ЧИСТ К3'!F44)*СПРАВОЧНИК!$L$10+('ФАКТ ЧИСТ К3'!G44)*СПРАВОЧНИК!$M$10+('ФАКТ ЧИСТ К3'!H44)*СПРАВОЧНИК!$N$10+('ФАКТ ЧИСТ К3'!I44)*СПРАВОЧНИК!$O$10)+СПРАВОЧНИК!$F$11*(('ФАКТ ЧИСТ К3'!J44)*СПРАВОЧНИК!$L$11+('ФАКТ ЧИСТ К3'!K44)*СПРАВОЧНИК!$M$11+('ФАКТ ЧИСТ К3'!L44)*СПРАВОЧНИК!$N$11)+СПРАВОЧНИК!$F$12*(('ФАКТ ЧИСТ К3'!M44)*СПРАВОЧНИК!$L$12+('ФАКТ ЧИСТ К3'!N44)*СПРАВОЧНИК!$M$12+('ФАКТ ЧИСТ К3'!O44)*СПРАВОЧНИК!$N$12+('ФАКТ ЧИСТ К3'!P44)*СПРАВОЧНИК!$O$12)+СПРАВОЧНИК!$F$13*(('ФАКТ ЧИСТ К3'!Q44)*СПРАВОЧНИК!$L$13+('ФАКТ ЧИСТ К3'!R44)*СПРАВОЧНИК!$M$13+('ФАКТ ЧИСТ К3'!S44)*СПРАВОЧНИК!$N$13+('ФАКТ ЧИСТ К3'!T44)*СПРАВОЧНИК!$O$13)+СПРАВОЧНИК!$F$14*(('ФАКТ ЧИСТ К3'!U44)*СПРАВОЧНИК!$L$14+('ФАКТ ЧИСТ К3'!V44)*СПРАВОЧНИК!$M$14+('ФАКТ ЧИСТ К3'!W44)*СПРАВОЧНИК!$N$14)+СПРАВОЧНИК!$F$15*(('ФАКТ ЧИСТ К3'!X44)*СПРАВОЧНИК!$L$15+('ФАКТ ЧИСТ К3'!Y44)*СПРАВОЧНИК!$M$15+('ФАКТ ЧИСТ К3'!Z44)*СПРАВОЧНИК!$N$15)</f>
        <v/>
      </c>
      <c r="BK53" s="18">
        <f>BK52+7</f>
        <v/>
      </c>
      <c r="BL53" s="37">
        <f>'ПЛАН ЧЕРН К3'!B44*СПРАВОЧНИК!$H$9+'ПЛАН ЧЕРН К3'!C44*СПРАВОЧНИК!$I$9+'ПЛАН ЧЕРН К3'!D44*СПРАВОЧНИК!$J$9+'ПЛАН ЧЕРН К3'!E44*СПРАВОЧНИК!$H$10+'ПЛАН ЧЕРН К3'!F44*СПРАВОЧНИК!$I$10+'ПЛАН ЧЕРН К3'!G44*СПРАВОЧНИК!$J$10+'ПЛАН ЧЕРН К3'!H44*СПРАВОЧНИК!$H$11+'ПЛАН ЧЕРН К3'!I44*СПРАВОЧНИК!$I$11+'ПЛАН ЧЕРН К3'!J44*СПРАВОЧНИК!$J$11+'ПЛАН ЧЕРН К3'!K44*СПРАВОЧНИК!$H$12+'ПЛАН ЧЕРН К3'!L44*СПРАВОЧНИК!$I$12+'ПЛАН ЧЕРН К3'!M44*СПРАВОЧНИК!$J$12+'ПЛАН ЧЕРН К3'!N44*СПРАВОЧНИК!$H$13+'ПЛАН ЧЕРН К3'!O44*СПРАВОЧНИК!$I$13+'ПЛАН ЧЕРН К3'!P44*СПРАВОЧНИК!$J$13+'ПЛАН ЧЕРН К3'!Q44*СПРАВОЧНИК!$H$14+'ПЛАН ЧЕРН К3'!R44*СПРАВОЧНИК!$I$14+'ПЛАН ЧЕРН К3'!S44*СПРАВОЧНИК!$J$14+'ПЛАН ЧЕРН К3'!T44*СПРАВОЧНИК!$H$15+'ПЛАН ЧЕРН К3'!U44*СПРАВОЧНИК!$I$15+'ПЛАН ЧЕРН К3'!V44*СПРАВОЧНИК!$J$15</f>
        <v/>
      </c>
      <c r="BM53" s="40">
        <f>('ФАКТ ЧЕРН К3'!B44)*СПРАВОЧНИК!$H$9+('ФАКТ ЧЕРН К3'!C44)*СПРАВОЧНИК!$I$9+('ФАКТ ЧЕРН К3'!D44)*СПРАВОЧНИК!$J$9+('ФАКТ ЧЕРН К3'!E44)*СПРАВОЧНИК!$H$10+('ФАКТ ЧЕРН К3'!F44)*СПРАВОЧНИК!$I$10+('ФАКТ ЧЕРН К3'!G44)*СПРАВОЧНИК!$J$10+('ФАКТ ЧЕРН К3'!H44)*СПРАВОЧНИК!$H$11+('ФАКТ ЧЕРН К3'!I44)*СПРАВОЧНИК!$I$11+('ФАКТ ЧЕРН К3'!J44)*СПРАВОЧНИК!$J$11+('ФАКТ ЧЕРН К3'!K44)*СПРАВОЧНИК!$H$12+('ФАКТ ЧЕРН К3'!L44)*СПРАВОЧНИК!$I$12+('ФАКТ ЧЕРН К3'!M44)*СПРАВОЧНИК!$J$12+('ФАКТ ЧЕРН К3'!N44)*СПРАВОЧНИК!$H$13+('ФАКТ ЧЕРН К3'!O44)*СПРАВОЧНИК!$I$13+('ФАКТ ЧЕРН К3'!P44)*СПРАВОЧНИК!$J$13+('ФАКТ ЧЕРН К3'!Q44)*СПРАВОЧНИК!$H$14+('ФАКТ ЧЕРН К3'!R44)*СПРАВОЧНИК!$I$14+('ФАКТ ЧЕРН К3'!S44)*СПРАВОЧНИК!$J$14+('ФАКТ ЧЕРН К3'!T44)*СПРАВОЧНИК!$H$15+('ФАКТ ЧЕРН К3'!U44)*СПРАВОЧНИК!$I$15+('ФАКТ ЧЕРН К3'!V44)*СПРАВОЧНИК!$J$15</f>
        <v/>
      </c>
      <c r="BQ53" s="18">
        <f>BQ52+7</f>
        <v/>
      </c>
      <c r="BR53" s="37">
        <f>'ПЛАН ЧИСТ К3'!B44*СПРАВОЧНИК!$L$9+'ПЛАН ЧИСТ К3'!C44*СПРАВОЧНИК!$M$9+'ПЛАН ЧИСТ К3'!D44*СПРАВОЧНИК!$N$9+'ПЛАН ЧИСТ К3'!E44*СПРАВОЧНИК!$O$9+'ПЛАН ЧИСТ К3'!F44*СПРАВОЧНИК!$L$10+'ПЛАН ЧИСТ К3'!G44*СПРАВОЧНИК!$M$10+'ПЛАН ЧИСТ К3'!H44*СПРАВОЧНИК!$N$10+'ПЛАН ЧИСТ К3'!I44*СПРАВОЧНИК!$O$10+'ПЛАН ЧИСТ К3'!J44*СПРАВОЧНИК!$L$11+'ПЛАН ЧИСТ К3'!K44*СПРАВОЧНИК!$M$11+'ПЛАН ЧИСТ К3'!L44*СПРАВОЧНИК!$N$11+'ПЛАН ЧИСТ К3'!M44*СПРАВОЧНИК!$L$12+'ПЛАН ЧИСТ К3'!N44*СПРАВОЧНИК!$M$12+'ПЛАН ЧИСТ К3'!O44*СПРАВОЧНИК!$N$12+'ПЛАН ЧИСТ К3'!P44*СПРАВОЧНИК!$O$12+'ПЛАН ЧИСТ К3'!Q44*СПРАВОЧНИК!$L$13+'ПЛАН ЧИСТ К3'!R44*СПРАВОЧНИК!$M$13+'ПЛАН ЧИСТ К3'!S44*СПРАВОЧНИК!$N$13+'ПЛАН ЧИСТ К3'!T44*СПРАВОЧНИК!$O$13+'ПЛАН ЧИСТ К3'!U44*СПРАВОЧНИК!$L$14+'ПЛАН ЧИСТ К3'!V44*СПРАВОЧНИК!$M$14+'ПЛАН ЧИСТ К3'!W44*СПРАВОЧНИК!$N$14+'ПЛАН ЧИСТ К3'!X44*СПРАВОЧНИК!$L$15+'ПЛАН ЧИСТ К3'!Y44*СПРАВОЧНИК!$M$15+'ПЛАН ЧИСТ К3'!Z44*СПРАВОЧНИК!$N$15</f>
        <v/>
      </c>
      <c r="BS53" s="40">
        <f>('ФАКТ ЧИСТ К3'!B44)*СПРАВОЧНИК!$L$9+('ФАКТ ЧИСТ К3'!C44)*СПРАВОЧНИК!$M$9+('ФАКТ ЧИСТ К3'!D44)*СПРАВОЧНИК!$N$9+('ФАКТ ЧИСТ К3'!E44)*СПРАВОЧНИК!$O$9+('ФАКТ ЧИСТ К3'!F44)*СПРАВОЧНИК!$L$10+('ФАКТ ЧИСТ К3'!G44)*СПРАВОЧНИК!$M$10+('ФАКТ ЧИСТ К3'!H44)*СПРАВОЧНИК!$N$10+('ФАКТ ЧИСТ К3'!I44)*СПРАВОЧНИК!$O$10+('ФАКТ ЧИСТ К3'!J44)*СПРАВОЧНИК!$L$11+('ФАКТ ЧИСТ К3'!K44)*СПРАВОЧНИК!$M$11+('ФАКТ ЧИСТ К3'!L44)*СПРАВОЧНИК!$N$11+('ФАКТ ЧИСТ К3'!M44)*СПРАВОЧНИК!$L$12+('ФАКТ ЧИСТ К3'!N44)*СПРАВОЧНИК!$M$12+('ФАКТ ЧИСТ К3'!O44)*СПРАВОЧНИК!$N$12+('ФАКТ ЧИСТ К3'!P44)*СПРАВОЧНИК!$O$12+('ФАКТ ЧИСТ К3'!Q44)*СПРАВОЧНИК!$L$13+('ФАКТ ЧИСТ К3'!R44)*СПРАВОЧНИК!$M$13+('ФАКТ ЧИСТ К3'!S44)*СПРАВОЧНИК!$N$13+('ФАКТ ЧИСТ К3'!T44)*СПРАВОЧНИК!$O$13+('ФАКТ ЧИСТ К3'!U44)*СПРАВОЧНИК!$L$14+('ФАКТ ЧИСТ К3'!V44)*СПРАВОЧНИК!$M$14+('ФАКТ ЧИСТ К3'!W44)*СПРАВОЧНИК!$N$14+('ФАКТ ЧИСТ К3'!X44)*СПРАВОЧНИК!$L$15+('ФАКТ ЧИСТ К3'!Y44)*СПРАВОЧНИК!$M$15+('ФАКТ ЧИСТ К3'!Z44)*СПРАВОЧНИК!$N$15</f>
        <v/>
      </c>
      <c r="BW53" s="18">
        <f>BW52+7</f>
        <v/>
      </c>
      <c r="BX53" s="37">
        <f>V53+AN53+BF53</f>
        <v/>
      </c>
      <c r="BY53" s="40">
        <f>W53+AO53+BG53</f>
        <v/>
      </c>
      <c r="CC53" s="18">
        <f>CC52+7</f>
        <v/>
      </c>
      <c r="CD53" s="37">
        <f>AB53+AT53+BL53</f>
        <v/>
      </c>
      <c r="CE53" s="40">
        <f>AC53+AU53+BM53</f>
        <v/>
      </c>
      <c r="CI53" s="18">
        <f>CI52+7</f>
        <v/>
      </c>
      <c r="CJ53" s="37">
        <f>AH53+AZ53+BR53</f>
        <v/>
      </c>
      <c r="CK53" s="40">
        <f>AI53+BA53+BS53</f>
        <v/>
      </c>
      <c r="CO53" s="18">
        <f>CO52+7</f>
        <v/>
      </c>
      <c r="CP53" s="37">
        <f>D53+BX53</f>
        <v/>
      </c>
      <c r="CQ53" s="40">
        <f>E53+BY53</f>
        <v/>
      </c>
      <c r="CU53" s="18">
        <f>CU52+7</f>
        <v/>
      </c>
      <c r="CV53" s="37">
        <f>J53+CD53</f>
        <v/>
      </c>
      <c r="CW53" s="40">
        <f>K53+CE53</f>
        <v/>
      </c>
      <c r="DA53" s="18">
        <f>DA52+7</f>
        <v/>
      </c>
      <c r="DB53" s="37">
        <f>P53+CJ53</f>
        <v/>
      </c>
      <c r="DC53" s="40">
        <f>Q53+CK53</f>
        <v/>
      </c>
    </row>
    <row r="54">
      <c r="C54" s="18">
        <f>C53+7</f>
        <v/>
      </c>
      <c r="D54" s="37">
        <f>СПРАВОЧНИК!$E$3*('ПЛАН ЧЕРН ПОДЗЕМ'!B45*СПРАВОЧНИК!$H$3+'ПЛАН ЧЕРН ПОДЗЕМ'!C45*СПРАВОЧНИК!$I$3+'ПЛАН ЧЕРН ПОДЗЕМ'!D45*СПРАВОЧНИК!$J$3)+СПРАВОЧНИК!$E$4*('ПЛАН ЧЕРН ПОДЗЕМ'!E45*СПРАВОЧНИК!$H$4+'ПЛАН ЧЕРН ПОДЗЕМ'!F45*СПРАВОЧНИК!$I$4+'ПЛАН ЧЕРН ПОДЗЕМ'!G45*СПРАВОЧНИК!$J$4)+СПРАВОЧНИК!$E$5*('ПЛАН ЧЕРН ПОДЗЕМ'!H45*СПРАВОЧНИК!$H$5+'ПЛАН ЧЕРН ПОДЗЕМ'!I45*СПРАВОЧНИК!$I$5+'ПЛАН ЧЕРН ПОДЗЕМ'!J45*СПРАВОЧНИК!$J$5)+СПРАВОЧНИК!$E$6*('ПЛАН ЧЕРН ПОДЗЕМ'!K45*СПРАВОЧНИК!$H$6+'ПЛАН ЧЕРН ПОДЗЕМ'!L45*СПРАВОЧНИК!$I$6+'ПЛАН ЧЕРН ПОДЗЕМ'!M45*СПРАВОЧНИК!$J$6)+СПРАВОЧНИК!$E$7*('ПЛАН ЧЕРН ПОДЗЕМ'!N45*СПРАВОЧНИК!$H$7+'ПЛАН ЧЕРН ПОДЗЕМ'!O45*СПРАВОЧНИК!$I$7+'ПЛАН ЧЕРН ПОДЗЕМ'!P45*СПРАВОЧНИК!$J$7)+СПРАВОЧНИК!$E$8*('ПЛАН ЧЕРН ПОДЗЕМ'!Q45*СПРАВОЧНИК!$H$8+'ПЛАН ЧЕРН ПОДЗЕМ'!R45*СПРАВОЧНИК!$I$8+'ПЛАН ЧЕРН ПОДЗЕМ'!S45*СПРАВОЧНИК!$J$8)+СПРАВОЧНИК!$F$3*('ПЛАН ЧИСТ ПОДЗЕМ'!B45*СПРАВОЧНИК!$L$3+'ПЛАН ЧИСТ ПОДЗЕМ'!C45*СПРАВОЧНИК!$M$3+'ПЛАН ЧИСТ ПОДЗЕМ'!D45*СПРАВОЧНИК!$N$3+'ПЛАН ЧИСТ ПОДЗЕМ'!E45*СПРАВОЧНИК!$O$3)+СПРАВОЧНИК!$F$4*('ПЛАН ЧИСТ ПОДЗЕМ'!F45*СПРАВОЧНИК!$L$4+'ПЛАН ЧИСТ ПОДЗЕМ'!G45*СПРАВОЧНИК!$M$4+'ПЛАН ЧИСТ ПОДЗЕМ'!H45*СПРАВОЧНИК!$N$4+'ПЛАН ЧИСТ ПОДЗЕМ'!I45*СПРАВОЧНИК!$O$4)+СПРАВОЧНИК!$F$5*('ПЛАН ЧИСТ ПОДЗЕМ'!J45*СПРАВОЧНИК!$L$5+'ПЛАН ЧИСТ ПОДЗЕМ'!K45*СПРАВОЧНИК!$M$5+'ПЛАН ЧИСТ ПОДЗЕМ'!L45*СПРАВОЧНИК!$N$5)+СПРАВОЧНИК!$F$6*('ПЛАН ЧИСТ ПОДЗЕМ'!M45*СПРАВОЧНИК!$L$6+'ПЛАН ЧИСТ ПОДЗЕМ'!N45*СПРАВОЧНИК!$M$6+'ПЛАН ЧИСТ ПОДЗЕМ'!O45*СПРАВОЧНИК!$N$6+'ПЛАН ЧИСТ ПОДЗЕМ'!P45*СПРАВОЧНИК!$O$6)+СПРАВОЧНИК!$F$7*('ПЛАН ЧИСТ ПОДЗЕМ'!Q45*СПРАВОЧНИК!$L$7+'ПЛАН ЧИСТ ПОДЗЕМ'!R45*СПРАВОЧНИК!$M$7+'ПЛАН ЧИСТ ПОДЗЕМ'!S45*СПРАВОЧНИК!$N$7+'ПЛАН ЧИСТ ПОДЗЕМ'!T45*СПРАВОЧНИК!$O$7)+СПРАВОЧНИК!$F$8*('ПЛАН ЧИСТ ПОДЗЕМ'!U45*СПРАВОЧНИК!$L$8+'ПЛАН ЧИСТ ПОДЗЕМ'!V45*СПРАВОЧНИК!$M$8+'ПЛАН ЧИСТ ПОДЗЕМ'!W45*СПРАВОЧНИК!$N$8)</f>
        <v/>
      </c>
      <c r="E54" s="40">
        <f>СПРАВОЧНИК!$E$3*(('ФАКТ ЧЕРН ПОДЗЕМ'!B45)*СПРАВОЧНИК!$H$3+('ФАКТ ЧЕРН ПОДЗЕМ'!C45)*СПРАВОЧНИК!$I$3+('ФАКТ ЧЕРН ПОДЗЕМ'!D45)*СПРАВОЧНИК!$J$3)+СПРАВОЧНИК!$E$4*(('ФАКТ ЧЕРН ПОДЗЕМ'!E45)*СПРАВОЧНИК!$H$4+('ФАКТ ЧЕРН ПОДЗЕМ'!F45)*СПРАВОЧНИК!$I$4+('ФАКТ ЧЕРН ПОДЗЕМ'!G45)*СПРАВОЧНИК!$J$4)+СПРАВОЧНИК!$E$5*(('ФАКТ ЧЕРН ПОДЗЕМ'!H45)*СПРАВОЧНИК!$H$5+('ФАКТ ЧЕРН ПОДЗЕМ'!I45)*СПРАВОЧНИК!$I$5+('ФАКТ ЧЕРН ПОДЗЕМ'!J45)*СПРАВОЧНИК!$J$5)+СПРАВОЧНИК!$E$6*(('ФАКТ ЧЕРН ПОДЗЕМ'!K45)*СПРАВОЧНИК!$H$6+('ФАКТ ЧЕРН ПОДЗЕМ'!L45)*СПРАВОЧНИК!$I$6+('ФАКТ ЧЕРН ПОДЗЕМ'!M45)*СПРАВОЧНИК!$J$6)+СПРАВОЧНИК!$E$7*(('ФАКТ ЧЕРН ПОДЗЕМ'!N45)*СПРАВОЧНИК!$H$7+('ФАКТ ЧЕРН ПОДЗЕМ'!O45)*СПРАВОЧНИК!$I$7+('ФАКТ ЧЕРН ПОДЗЕМ'!P45)*СПРАВОЧНИК!$J$7)+СПРАВОЧНИК!$E$8*(('ФАКТ ЧЕРН ПОДЗЕМ'!Q45)*СПРАВОЧНИК!$H$8+('ФАКТ ЧЕРН ПОДЗЕМ'!R45)*СПРАВОЧНИК!$I$8+('ФАКТ ЧЕРН ПОДЗЕМ'!S45)*СПРАВОЧНИК!$J$8)+СПРАВОЧНИК!$F$3*(('ФАКТ ЧИСТ ПОДЗЕМ'!B45)*СПРАВОЧНИК!$L$3+('ФАКТ ЧИСТ ПОДЗЕМ'!C45)*СПРАВОЧНИК!$M$3+('ФАКТ ЧИСТ ПОДЗЕМ'!D45)*СПРАВОЧНИК!$N$3+('ФАКТ ЧИСТ ПОДЗЕМ'!E45)*СПРАВОЧНИК!$O$3)+СПРАВОЧНИК!$F$4*(('ФАКТ ЧИСТ ПОДЗЕМ'!F45)*СПРАВОЧНИК!$L$4+('ФАКТ ЧИСТ ПОДЗЕМ'!G45)*СПРАВОЧНИК!$M$4+('ФАКТ ЧИСТ ПОДЗЕМ'!H45)*СПРАВОЧНИК!$N$4+('ФАКТ ЧИСТ ПОДЗЕМ'!I45)*СПРАВОЧНИК!$O$4)+СПРАВОЧНИК!$F$5*(('ФАКТ ЧИСТ ПОДЗЕМ'!J45)*СПРАВОЧНИК!$L$5+('ФАКТ ЧИСТ ПОДЗЕМ'!K45)*СПРАВОЧНИК!$M$5+('ФАКТ ЧИСТ ПОДЗЕМ'!L45)*СПРАВОЧНИК!$N$5)+СПРАВОЧНИК!$F$6*(('ФАКТ ЧИСТ ПОДЗЕМ'!M45)*СПРАВОЧНИК!$L$6+('ФАКТ ЧИСТ ПОДЗЕМ'!N45)*СПРАВОЧНИК!$M$6+('ФАКТ ЧИСТ ПОДЗЕМ'!O45)*СПРАВОЧНИК!$N$6+('ФАКТ ЧИСТ ПОДЗЕМ'!P45)*СПРАВОЧНИК!$O$6)+СПРАВОЧНИК!$F$7*(('ФАКТ ЧИСТ ПОДЗЕМ'!Q45)*СПРАВОЧНИК!$L$7+('ФАКТ ЧИСТ ПОДЗЕМ'!R45)*СПРАВОЧНИК!$M$7+('ФАКТ ЧИСТ ПОДЗЕМ'!S45)*СПРАВОЧНИК!$N$7+('ФАКТ ЧИСТ ПОДЗЕМ'!T45)*СПРАВОЧНИК!$O$7)+СПРАВОЧНИК!$F$8*(('ФАКТ ЧИСТ ПОДЗЕМ'!U45)*СПРАВОЧНИК!$L$8+('ФАКТ ЧИСТ ПОДЗЕМ'!V45)*СПРАВОЧНИК!$M$8+('ФАКТ ЧИСТ ПОДЗЕМ'!W45)*СПРАВОЧНИК!$N$8)</f>
        <v/>
      </c>
      <c r="I54" s="18">
        <f>I53+7</f>
        <v/>
      </c>
      <c r="J54" s="37">
        <f>'ПЛАН ЧЕРН ПОДЗЕМ'!B45*СПРАВОЧНИК!$H$3+'ПЛАН ЧЕРН ПОДЗЕМ'!C45*СПРАВОЧНИК!$I$3+'ПЛАН ЧЕРН ПОДЗЕМ'!D45*СПРАВОЧНИК!$J$3+'ПЛАН ЧЕРН ПОДЗЕМ'!E45*СПРАВОЧНИК!$H$4+'ПЛАН ЧЕРН ПОДЗЕМ'!F45*СПРАВОЧНИК!$I$4+'ПЛАН ЧЕРН ПОДЗЕМ'!G45*СПРАВОЧНИК!$J$4+'ПЛАН ЧЕРН ПОДЗЕМ'!H45*СПРАВОЧНИК!$H$5+'ПЛАН ЧЕРН ПОДЗЕМ'!I45*СПРАВОЧНИК!$I$5+'ПЛАН ЧЕРН ПОДЗЕМ'!J45*СПРАВОЧНИК!$J$5+'ПЛАН ЧЕРН ПОДЗЕМ'!K45*СПРАВОЧНИК!$H$6+'ПЛАН ЧЕРН ПОДЗЕМ'!L45*СПРАВОЧНИК!$I$6+'ПЛАН ЧЕРН ПОДЗЕМ'!M45*СПРАВОЧНИК!$J$6+'ПЛАН ЧЕРН ПОДЗЕМ'!N45*СПРАВОЧНИК!$H$7+'ПЛАН ЧЕРН ПОДЗЕМ'!O45*СПРАВОЧНИК!$I$7+'ПЛАН ЧЕРН ПОДЗЕМ'!P45*СПРАВОЧНИК!$J$7+'ПЛАН ЧЕРН ПОДЗЕМ'!Q45*СПРАВОЧНИК!$H$8+'ПЛАН ЧЕРН ПОДЗЕМ'!R45*СПРАВОЧНИК!$I$8+'ПЛАН ЧЕРН ПОДЗЕМ'!S45*СПРАВОЧНИК!$J$8</f>
        <v/>
      </c>
      <c r="K54" s="40">
        <f>('ФАКТ ЧЕРН ПОДЗЕМ'!B45)*СПРАВОЧНИК!$H$3+('ФАКТ ЧЕРН ПОДЗЕМ'!C45)*СПРАВОЧНИК!$I$3+('ФАКТ ЧЕРН ПОДЗЕМ'!D45)*СПРАВОЧНИК!$J$3+('ФАКТ ЧЕРН ПОДЗЕМ'!E45)*СПРАВОЧНИК!$H$4+('ФАКТ ЧЕРН ПОДЗЕМ'!F45)*СПРАВОЧНИК!$I$4+('ФАКТ ЧЕРН ПОДЗЕМ'!G45)*СПРАВОЧНИК!$J$4+('ФАКТ ЧЕРН ПОДЗЕМ'!H45)*СПРАВОЧНИК!$H$5+('ФАКТ ЧЕРН ПОДЗЕМ'!I45)*СПРАВОЧНИК!$I$5+('ФАКТ ЧЕРН ПОДЗЕМ'!J45)*СПРАВОЧНИК!$J$5+('ФАКТ ЧЕРН ПОДЗЕМ'!K45)*СПРАВОЧНИК!$H$6+('ФАКТ ЧЕРН ПОДЗЕМ'!L45)*СПРАВОЧНИК!$I$6+('ФАКТ ЧЕРН ПОДЗЕМ'!M45)*СПРАВОЧНИК!$J$6+('ФАКТ ЧЕРН ПОДЗЕМ'!N45)*СПРАВОЧНИК!$H$7+('ФАКТ ЧЕРН ПОДЗЕМ'!O45)*СПРАВОЧНИК!$I$7+('ФАКТ ЧЕРН ПОДЗЕМ'!P45)*СПРАВОЧНИК!$J$7+('ФАКТ ЧЕРН ПОДЗЕМ'!Q45)*СПРАВОЧНИК!$H$8+('ФАКТ ЧЕРН ПОДЗЕМ'!R45)*СПРАВОЧНИК!$I$8+('ФАКТ ЧЕРН ПОДЗЕМ'!S45)*СПРАВОЧНИК!$J$8</f>
        <v/>
      </c>
      <c r="O54" s="18">
        <f>O53+7</f>
        <v/>
      </c>
      <c r="P54" s="37">
        <f>'ПЛАН ЧИСТ ПОДЗЕМ'!B45*СПРАВОЧНИК!$L$3+'ПЛАН ЧИСТ ПОДЗЕМ'!C45*СПРАВОЧНИК!$M$3+'ПЛАН ЧИСТ ПОДЗЕМ'!D45*СПРАВОЧНИК!$N$3+'ПЛАН ЧИСТ ПОДЗЕМ'!E45*СПРАВОЧНИК!$O$3+'ПЛАН ЧИСТ ПОДЗЕМ'!F45*СПРАВОЧНИК!$L$4+'ПЛАН ЧИСТ ПОДЗЕМ'!G45*СПРАВОЧНИК!$M$4+'ПЛАН ЧИСТ ПОДЗЕМ'!H45*СПРАВОЧНИК!$N$4+'ПЛАН ЧИСТ ПОДЗЕМ'!I45*СПРАВОЧНИК!$O$4+'ПЛАН ЧИСТ ПОДЗЕМ'!J45*СПРАВОЧНИК!$L$5+'ПЛАН ЧИСТ ПОДЗЕМ'!K45*СПРАВОЧНИК!$M$5+'ПЛАН ЧИСТ ПОДЗЕМ'!L45*СПРАВОЧНИК!$N$5+'ПЛАН ЧИСТ ПОДЗЕМ'!M45*СПРАВОЧНИК!$L$6+'ПЛАН ЧИСТ ПОДЗЕМ'!N45*СПРАВОЧНИК!$M$6+'ПЛАН ЧИСТ ПОДЗЕМ'!O45*СПРАВОЧНИК!$N$6+'ПЛАН ЧИСТ ПОДЗЕМ'!P45*СПРАВОЧНИК!$O$6+'ПЛАН ЧИСТ ПОДЗЕМ'!Q45*СПРАВОЧНИК!$L$7+'ПЛАН ЧИСТ ПОДЗЕМ'!R45*СПРАВОЧНИК!$M$7+'ПЛАН ЧИСТ ПОДЗЕМ'!S45*СПРАВОЧНИК!$N$7+'ПЛАН ЧИСТ ПОДЗЕМ'!T45*СПРАВОЧНИК!$O$7+'ПЛАН ЧИСТ ПОДЗЕМ'!U45*СПРАВОЧНИК!$L$8+'ПЛАН ЧИСТ ПОДЗЕМ'!V45*СПРАВОЧНИК!$M$8+'ПЛАН ЧИСТ ПОДЗЕМ'!W45*СПРАВОЧНИК!$N$8</f>
        <v/>
      </c>
      <c r="Q54" s="40">
        <f>('ФАКТ ЧИСТ ПОДЗЕМ'!B45)*СПРАВОЧНИК!$L$3+('ФАКТ ЧИСТ ПОДЗЕМ'!C45)*СПРАВОЧНИК!$M$3+('ФАКТ ЧИСТ ПОДЗЕМ'!D45)*СПРАВОЧНИК!$N$3+('ФАКТ ЧИСТ ПОДЗЕМ'!E45)*СПРАВОЧНИК!$O$3+('ФАКТ ЧИСТ ПОДЗЕМ'!F45)*СПРАВОЧНИК!$L$4+('ФАКТ ЧИСТ ПОДЗЕМ'!G45)*СПРАВОЧНИК!$M$4+('ФАКТ ЧИСТ ПОДЗЕМ'!H45)*СПРАВОЧНИК!$N$4+('ФАКТ ЧИСТ ПОДЗЕМ'!I45)*СПРАВОЧНИК!$O$4+('ФАКТ ЧИСТ ПОДЗЕМ'!J45)*СПРАВОЧНИК!$L$5+('ФАКТ ЧИСТ ПОДЗЕМ'!K45)*СПРАВОЧНИК!$M$5+('ФАКТ ЧИСТ ПОДЗЕМ'!L45)*СПРАВОЧНИК!$N$5+('ФАКТ ЧИСТ ПОДЗЕМ'!M45)*СПРАВОЧНИК!$L$6+('ФАКТ ЧИСТ ПОДЗЕМ'!N45)*СПРАВОЧНИК!$M$6+('ФАКТ ЧИСТ ПОДЗЕМ'!O45)*СПРАВОЧНИК!$N$6+('ФАКТ ЧИСТ ПОДЗЕМ'!P45)*СПРАВОЧНИК!$O$6+('ФАКТ ЧИСТ ПОДЗЕМ'!Q45)*СПРАВОЧНИК!$L$7+('ФАКТ ЧИСТ ПОДЗЕМ'!R45)*СПРАВОЧНИК!$M$7+('ФАКТ ЧИСТ ПОДЗЕМ'!S45)*СПРАВОЧНИК!$N$7+('ФАКТ ЧИСТ ПОДЗЕМ'!T45)*СПРАВОЧНИК!$O$7+('ФАКТ ЧИСТ ПОДЗЕМ'!U45)*СПРАВОЧНИК!$L$8+('ФАКТ ЧИСТ ПОДЗЕМ'!V45)*СПРАВОЧНИК!$M$8+('ФАКТ ЧИСТ ПОДЗЕМ'!W45)*СПРАВОЧНИК!$N$8</f>
        <v/>
      </c>
      <c r="U54" s="18">
        <f>U53+7</f>
        <v/>
      </c>
      <c r="V54" s="37">
        <f>СПРАВОЧНИК!$E$9*('ПЛАН ЧЕРН К1'!B45*СПРАВОЧНИК!$H$9+'ПЛАН ЧЕРН К1'!C45*СПРАВОЧНИК!$I$9+'ПЛАН ЧЕРН К1'!D45*СПРАВОЧНИК!$J$9)+СПРАВОЧНИК!$E$10*('ПЛАН ЧЕРН К1'!E45*СПРАВОЧНИК!$H$10+'ПЛАН ЧЕРН К1'!F45*СПРАВОЧНИК!$I$10+'ПЛАН ЧЕРН К1'!G45*СПРАВОЧНИК!$J$10)+СПРАВОЧНИК!$E$11*('ПЛАН ЧЕРН К1'!H45*СПРАВОЧНИК!$H$11+'ПЛАН ЧЕРН К1'!I45*СПРАВОЧНИК!$I$11+'ПЛАН ЧЕРН К1'!J45*СПРАВОЧНИК!$J$11)+СПРАВОЧНИК!$E$12*('ПЛАН ЧЕРН К1'!K45*СПРАВОЧНИК!$H$12+'ПЛАН ЧЕРН К1'!L45*СПРАВОЧНИК!$I$12+'ПЛАН ЧЕРН К1'!M45*СПРАВОЧНИК!$J$12)+СПРАВОЧНИК!$E$13*('ПЛАН ЧЕРН К1'!N45*СПРАВОЧНИК!$H$13+'ПЛАН ЧЕРН К1'!O45*СПРАВОЧНИК!$I$13+'ПЛАН ЧЕРН К1'!P45*СПРАВОЧНИК!$J$13)+СПРАВОЧНИК!$E$14*('ПЛАН ЧЕРН К1'!Q45*СПРАВОЧНИК!$H$14+'ПЛАН ЧЕРН К1'!R45*СПРАВОЧНИК!$I$14+'ПЛАН ЧЕРН К1'!S45*СПРАВОЧНИК!$J$14)+СПРАВОЧНИК!$E$15*('ПЛАН ЧЕРН К1'!T45*СПРАВОЧНИК!$H$15+'ПЛАН ЧЕРН К1'!U45*СПРАВОЧНИК!$I$15+'ПЛАН ЧЕРН К1'!V45*СПРАВОЧНИК!$J$15)+СПРАВОЧНИК!$F$9*('ПЛАН ЧИСТ К1'!B45*СПРАВОЧНИК!$L$9+'ПЛАН ЧИСТ К1'!C45*СПРАВОЧНИК!$M$9+'ПЛАН ЧИСТ К1'!D45*СПРАВОЧНИК!$N$9+'ПЛАН ЧИСТ К1'!E45*СПРАВОЧНИК!$O$9)+СПРАВОЧНИК!$F$10*('ПЛАН ЧИСТ К1'!F45*СПРАВОЧНИК!$L$10+'ПЛАН ЧИСТ К1'!G45*СПРАВОЧНИК!$M$10+'ПЛАН ЧИСТ К1'!H45*СПРАВОЧНИК!$N$10+'ПЛАН ЧИСТ К1'!I45*СПРАВОЧНИК!$O$10)+СПРАВОЧНИК!$F$11*('ПЛАН ЧИСТ К1'!J45*СПРАВОЧНИК!$L$11+'ПЛАН ЧИСТ К1'!K45*СПРАВОЧНИК!$M$11+'ПЛАН ЧИСТ К1'!L45*СПРАВОЧНИК!$N$11)+СПРАВОЧНИК!$F$12*('ПЛАН ЧИСТ К1'!M45*СПРАВОЧНИК!$L$12+'ПЛАН ЧИСТ К1'!N45*СПРАВОЧНИК!$M$12+'ПЛАН ЧИСТ К1'!O45*СПРАВОЧНИК!$N$12+'ПЛАН ЧИСТ К1'!P45*СПРАВОЧНИК!$O$12)+СПРАВОЧНИК!$F$13*('ПЛАН ЧИСТ К1'!Q45*СПРАВОЧНИК!$L$13+'ПЛАН ЧИСТ К1'!R45*СПРАВОЧНИК!$M$13+'ПЛАН ЧИСТ К1'!S45*СПРАВОЧНИК!$N$13+'ПЛАН ЧИСТ К1'!T45*СПРАВОЧНИК!$O$13)+СПРАВОЧНИК!$F$14*('ПЛАН ЧИСТ К1'!U45*СПРАВОЧНИК!$L$14+'ПЛАН ЧИСТ К1'!V45*СПРАВОЧНИК!$M$14+'ПЛАН ЧИСТ К1'!W45*СПРАВОЧНИК!$N$14)+СПРАВОЧНИК!$F$15*('ПЛАН ЧИСТ К1'!X45*СПРАВОЧНИК!$L$15+'ПЛАН ЧИСТ К1'!Y45*СПРАВОЧНИК!$M$15+'ПЛАН ЧИСТ К1'!Z45*СПРАВОЧНИК!$N$15)</f>
        <v/>
      </c>
      <c r="W54" s="40">
        <f>СПРАВОЧНИК!$E$9*(('ФАКТ ЧЕРН К1'!B45)*СПРАВОЧНИК!$H$9+('ФАКТ ЧЕРН К1'!C45)*СПРАВОЧНИК!$I$9+('ФАКТ ЧЕРН К1'!D45)*СПРАВОЧНИК!$J$9)+СПРАВОЧНИК!$E$10*(('ФАКТ ЧЕРН К1'!E45)*СПРАВОЧНИК!$H$10+('ФАКТ ЧЕРН К1'!F45)*СПРАВОЧНИК!$I$10+('ФАКТ ЧЕРН К1'!G45)*СПРАВОЧНИК!$J$10)+СПРАВОЧНИК!$E$11*(('ФАКТ ЧЕРН К1'!H45)*СПРАВОЧНИК!$H$11+('ФАКТ ЧЕРН К1'!I45)*СПРАВОЧНИК!$I$11+('ФАКТ ЧЕРН К1'!J45)*СПРАВОЧНИК!$J$11)+СПРАВОЧНИК!$E$12*(('ФАКТ ЧЕРН К1'!K45)*СПРАВОЧНИК!$H$12+('ФАКТ ЧЕРН К1'!L45)*СПРАВОЧНИК!$I$12+('ФАКТ ЧЕРН К1'!M45)*СПРАВОЧНИК!$J$12)+СПРАВОЧНИК!$E$13*(('ФАКТ ЧЕРН К1'!N45)*СПРАВОЧНИК!$H$13+('ФАКТ ЧЕРН К1'!O45)*СПРАВОЧНИК!$I$13+('ФАКТ ЧЕРН К1'!P45)*СПРАВОЧНИК!$J$13)+СПРАВОЧНИК!$E$14*(('ФАКТ ЧЕРН К1'!Q45)*СПРАВОЧНИК!$H$14+('ФАКТ ЧЕРН К1'!R45)*СПРАВОЧНИК!$I$14+('ФАКТ ЧЕРН К1'!S45)*СПРАВОЧНИК!$J$14)+СПРАВОЧНИК!$E$15*(('ФАКТ ЧЕРН К1'!T45)*СПРАВОЧНИК!$H$15+('ФАКТ ЧЕРН К1'!U45)*СПРАВОЧНИК!$I$15+('ФАКТ ЧЕРН К1'!V45)*СПРАВОЧНИК!$J$15)+СПРАВОЧНИК!$F$9*(('ФАКТ ЧИСТ К1'!B45)*СПРАВОЧНИК!$L$9+('ФАКТ ЧИСТ К1'!C45)*СПРАВОЧНИК!$M$9+('ФАКТ ЧИСТ К1'!D45)*СПРАВОЧНИК!$N$9+('ФАКТ ЧИСТ К1'!E45)*СПРАВОЧНИК!$O$9)+СПРАВОЧНИК!$F$10*(('ФАКТ ЧИСТ К1'!F45)*СПРАВОЧНИК!$L$10+('ФАКТ ЧИСТ К1'!G45)*СПРАВОЧНИК!$M$10+('ФАКТ ЧИСТ К1'!H45)*СПРАВОЧНИК!$N$10+('ФАКТ ЧИСТ К1'!I45)*СПРАВОЧНИК!$O$10)+СПРАВОЧНИК!$F$11*(('ФАКТ ЧИСТ К1'!J45)*СПРАВОЧНИК!$L$11+('ФАКТ ЧИСТ К1'!K45)*СПРАВОЧНИК!$M$11+('ФАКТ ЧИСТ К1'!L45)*СПРАВОЧНИК!$N$11)+СПРАВОЧНИК!$F$12*(('ФАКТ ЧИСТ К1'!M45)*СПРАВОЧНИК!$L$12+('ФАКТ ЧИСТ К1'!N45)*СПРАВОЧНИК!$M$12+('ФАКТ ЧИСТ К1'!O45)*СПРАВОЧНИК!$N$12+('ФАКТ ЧИСТ К1'!P45)*СПРАВОЧНИК!$O$12)+СПРАВОЧНИК!$F$13*(('ФАКТ ЧИСТ К1'!Q45)*СПРАВОЧНИК!$L$13+('ФАКТ ЧИСТ К1'!R45)*СПРАВОЧНИК!$M$13+('ФАКТ ЧИСТ К1'!S45)*СПРАВОЧНИК!$N$13+('ФАКТ ЧИСТ К1'!T45)*СПРАВОЧНИК!$O$13)+СПРАВОЧНИК!$F$14*(('ФАКТ ЧИСТ К1'!U45)*СПРАВОЧНИК!$L$14+('ФАКТ ЧИСТ К1'!V45)*СПРАВОЧНИК!$M$14+('ФАКТ ЧИСТ К1'!W45)*СПРАВОЧНИК!$N$14)+СПРАВОЧНИК!$F$15*(('ФАКТ ЧИСТ К1'!X45)*СПРАВОЧНИК!$L$15+('ФАКТ ЧИСТ К1'!Y45)*СПРАВОЧНИК!$M$15+('ФАКТ ЧИСТ К1'!Z45)*СПРАВОЧНИК!$N$15)</f>
        <v/>
      </c>
      <c r="AA54" s="18">
        <f>AA53+7</f>
        <v/>
      </c>
      <c r="AB54" s="37">
        <f>'ПЛАН ЧЕРН К1'!B45*СПРАВОЧНИК!$H$9+'ПЛАН ЧЕРН К1'!C45*СПРАВОЧНИК!$I$9+'ПЛАН ЧЕРН К1'!D45*СПРАВОЧНИК!$J$9+'ПЛАН ЧЕРН К1'!E45*СПРАВОЧНИК!$H$10+'ПЛАН ЧЕРН К1'!F45*СПРАВОЧНИК!$I$10+'ПЛАН ЧЕРН К1'!G45*СПРАВОЧНИК!$J$10+'ПЛАН ЧЕРН К1'!H45*СПРАВОЧНИК!$H$11+'ПЛАН ЧЕРН К1'!I45*СПРАВОЧНИК!$I$11+'ПЛАН ЧЕРН К1'!J45*СПРАВОЧНИК!$J$11+'ПЛАН ЧЕРН К1'!K45*СПРАВОЧНИК!$H$12+'ПЛАН ЧЕРН К1'!L45*СПРАВОЧНИК!$I$12+'ПЛАН ЧЕРН К1'!M45*СПРАВОЧНИК!$J$12+'ПЛАН ЧЕРН К1'!N45*СПРАВОЧНИК!$H$13+'ПЛАН ЧЕРН К1'!O45*СПРАВОЧНИК!$I$13+'ПЛАН ЧЕРН К1'!P45*СПРАВОЧНИК!$J$13+'ПЛАН ЧЕРН К1'!Q45*СПРАВОЧНИК!$H$14+'ПЛАН ЧЕРН К1'!R45*СПРАВОЧНИК!$I$14+'ПЛАН ЧЕРН К1'!S45*СПРАВОЧНИК!$J$14+'ПЛАН ЧЕРН К1'!T45*СПРАВОЧНИК!$H$15+'ПЛАН ЧЕРН К1'!U45*СПРАВОЧНИК!$I$15+'ПЛАН ЧЕРН К1'!V45*СПРАВОЧНИК!$J$15</f>
        <v/>
      </c>
      <c r="AC54" s="40">
        <f>('ФАКТ ЧЕРН К1'!B45)*СПРАВОЧНИК!$H$9+('ФАКТ ЧЕРН К1'!C45)*СПРАВОЧНИК!$I$9+('ФАКТ ЧЕРН К1'!D45)*СПРАВОЧНИК!$J$9+('ФАКТ ЧЕРН К1'!E45)*СПРАВОЧНИК!$H$10+('ФАКТ ЧЕРН К1'!F45)*СПРАВОЧНИК!$I$10+('ФАКТ ЧЕРН К1'!G45)*СПРАВОЧНИК!$J$10+('ФАКТ ЧЕРН К1'!H45)*СПРАВОЧНИК!$H$11+('ФАКТ ЧЕРН К1'!I45)*СПРАВОЧНИК!$I$11+('ФАКТ ЧЕРН К1'!J45)*СПРАВОЧНИК!$J$11+('ФАКТ ЧЕРН К1'!K45)*СПРАВОЧНИК!$H$12+('ФАКТ ЧЕРН К1'!L45)*СПРАВОЧНИК!$I$12+('ФАКТ ЧЕРН К1'!M45)*СПРАВОЧНИК!$J$12+('ФАКТ ЧЕРН К1'!N45)*СПРАВОЧНИК!$H$13+('ФАКТ ЧЕРН К1'!O45)*СПРАВОЧНИК!$I$13+('ФАКТ ЧЕРН К1'!P45)*СПРАВОЧНИК!$J$13+('ФАКТ ЧЕРН К1'!Q45)*СПРАВОЧНИК!$H$14+('ФАКТ ЧЕРН К1'!R45)*СПРАВОЧНИК!$I$14+('ФАКТ ЧЕРН К1'!S45)*СПРАВОЧНИК!$J$14+('ФАКТ ЧЕРН К1'!T45)*СПРАВОЧНИК!$H$15+('ФАКТ ЧЕРН К1'!U45)*СПРАВОЧНИК!$I$15+('ФАКТ ЧЕРН К1'!V45)*СПРАВОЧНИК!$J$15</f>
        <v/>
      </c>
      <c r="AG54" s="18">
        <f>AG53+7</f>
        <v/>
      </c>
      <c r="AH54" s="37">
        <f>'ПЛАН ЧИСТ К1'!B45*СПРАВОЧНИК!$L$9+'ПЛАН ЧИСТ К1'!C45*СПРАВОЧНИК!$M$9+'ПЛАН ЧИСТ К1'!D45*СПРАВОЧНИК!$N$9+'ПЛАН ЧИСТ К1'!E45*СПРАВОЧНИК!$O$9+'ПЛАН ЧИСТ К1'!F45*СПРАВОЧНИК!$L$10+'ПЛАН ЧИСТ К1'!G45*СПРАВОЧНИК!$M$10+'ПЛАН ЧИСТ К1'!H45*СПРАВОЧНИК!$N$10+'ПЛАН ЧИСТ К1'!I45*СПРАВОЧНИК!$O$10+'ПЛАН ЧИСТ К1'!J45*СПРАВОЧНИК!$L$11+'ПЛАН ЧИСТ К1'!K45*СПРАВОЧНИК!$M$11+'ПЛАН ЧИСТ К1'!L45*СПРАВОЧНИК!$N$11+'ПЛАН ЧИСТ К1'!M45*СПРАВОЧНИК!$L$12+'ПЛАН ЧИСТ К1'!N45*СПРАВОЧНИК!$M$12+'ПЛАН ЧИСТ К1'!O45*СПРАВОЧНИК!$N$12+'ПЛАН ЧИСТ К1'!P45*СПРАВОЧНИК!$O$12+'ПЛАН ЧИСТ К1'!Q45*СПРАВОЧНИК!$L$13+'ПЛАН ЧИСТ К1'!R45*СПРАВОЧНИК!$M$13+'ПЛАН ЧИСТ К1'!S45*СПРАВОЧНИК!$N$13+'ПЛАН ЧИСТ К1'!T45*СПРАВОЧНИК!$O$13+'ПЛАН ЧИСТ К1'!U45*СПРАВОЧНИК!$L$14+'ПЛАН ЧИСТ К1'!V45*СПРАВОЧНИК!$M$14+'ПЛАН ЧИСТ К1'!W45*СПРАВОЧНИК!$N$14+'ПЛАН ЧИСТ К1'!X45*СПРАВОЧНИК!$L$15+'ПЛАН ЧИСТ К1'!Y45*СПРАВОЧНИК!$M$15+'ПЛАН ЧИСТ К1'!Z45*СПРАВОЧНИК!$N$15</f>
        <v/>
      </c>
      <c r="AI54" s="40">
        <f>('ФАКТ ЧИСТ К1'!B45)*СПРАВОЧНИК!$L$9+('ФАКТ ЧИСТ К1'!C45)*СПРАВОЧНИК!$M$9+('ФАКТ ЧИСТ К1'!D45)*СПРАВОЧНИК!$N$9+('ФАКТ ЧИСТ К1'!E45)*СПРАВОЧНИК!$O$9+('ФАКТ ЧИСТ К1'!F45)*СПРАВОЧНИК!$L$10+('ФАКТ ЧИСТ К1'!G45)*СПРАВОЧНИК!$M$10+('ФАКТ ЧИСТ К1'!H45)*СПРАВОЧНИК!$N$10+('ФАКТ ЧИСТ К1'!I45)*СПРАВОЧНИК!$O$10+('ФАКТ ЧИСТ К1'!J45)*СПРАВОЧНИК!$L$11+('ФАКТ ЧИСТ К1'!K45)*СПРАВОЧНИК!$M$11+('ФАКТ ЧИСТ К1'!L45)*СПРАВОЧНИК!$N$11+('ФАКТ ЧИСТ К1'!M45)*СПРАВОЧНИК!$L$12+('ФАКТ ЧИСТ К1'!N45)*СПРАВОЧНИК!$M$12+('ФАКТ ЧИСТ К1'!O45)*СПРАВОЧНИК!$N$12+('ФАКТ ЧИСТ К1'!P45)*СПРАВОЧНИК!$O$12+('ФАКТ ЧИСТ К1'!Q45)*СПРАВОЧНИК!$L$13+('ФАКТ ЧИСТ К1'!R45)*СПРАВОЧНИК!$M$13+('ФАКТ ЧИСТ К1'!S45)*СПРАВОЧНИК!$N$13+('ФАКТ ЧИСТ К1'!T45)*СПРАВОЧНИК!$O$13+('ФАКТ ЧИСТ К1'!U45)*СПРАВОЧНИК!$L$14+('ФАКТ ЧИСТ К1'!V45)*СПРАВОЧНИК!$M$14+('ФАКТ ЧИСТ К1'!W45)*СПРАВОЧНИК!$N$14+('ФАКТ ЧИСТ К1'!X45)*СПРАВОЧНИК!$L$15+('ФАКТ ЧИСТ К1'!Y45)*СПРАВОЧНИК!$M$15+('ФАКТ ЧИСТ К1'!Z45)*СПРАВОЧНИК!$N$15</f>
        <v/>
      </c>
      <c r="AM54" s="18">
        <f>AM53+7</f>
        <v/>
      </c>
      <c r="AN54" s="37">
        <f>СПРАВОЧНИК!$E$9*('ПЛАН ЧЕРН К2'!B45*СПРАВОЧНИК!$H$9+'ПЛАН ЧЕРН К2'!C45*СПРАВОЧНИК!$I$9+'ПЛАН ЧЕРН К2'!D45*СПРАВОЧНИК!$J$9)+СПРАВОЧНИК!$E$10*('ПЛАН ЧЕРН К2'!E45*СПРАВОЧНИК!$H$10+'ПЛАН ЧЕРН К2'!F45*СПРАВОЧНИК!$I$10+'ПЛАН ЧЕРН К2'!G45*СПРАВОЧНИК!$J$10)+СПРАВОЧНИК!$E$11*('ПЛАН ЧЕРН К2'!H45*СПРАВОЧНИК!$H$11+'ПЛАН ЧЕРН К2'!I45*СПРАВОЧНИК!$I$11+'ПЛАН ЧЕРН К2'!J45*СПРАВОЧНИК!$J$11)+СПРАВОЧНИК!$E$12*('ПЛАН ЧЕРН К2'!K45*СПРАВОЧНИК!$H$12+'ПЛАН ЧЕРН К2'!L45*СПРАВОЧНИК!$I$12+'ПЛАН ЧЕРН К2'!M45*СПРАВОЧНИК!$J$12)+СПРАВОЧНИК!$E$13*('ПЛАН ЧЕРН К2'!N45*СПРАВОЧНИК!$H$13+'ПЛАН ЧЕРН К2'!O45*СПРАВОЧНИК!$I$13+'ПЛАН ЧЕРН К2'!P45*СПРАВОЧНИК!$J$13)+СПРАВОЧНИК!$E$14*('ПЛАН ЧЕРН К2'!Q45*СПРАВОЧНИК!$H$14+'ПЛАН ЧЕРН К2'!R45*СПРАВОЧНИК!$I$14+'ПЛАН ЧЕРН К2'!S45*СПРАВОЧНИК!$J$14)+СПРАВОЧНИК!$E$15*('ПЛАН ЧЕРН К2'!T45*СПРАВОЧНИК!$H$15+'ПЛАН ЧЕРН К2'!U45*СПРАВОЧНИК!$I$15+'ПЛАН ЧЕРН К2'!V45*СПРАВОЧНИК!$J$15)+СПРАВОЧНИК!$F$9*('ПЛАН ЧИСТ К2'!B45*СПРАВОЧНИК!$L$9+'ПЛАН ЧИСТ К2'!C45*СПРАВОЧНИК!$M$9+'ПЛАН ЧИСТ К2'!D45*СПРАВОЧНИК!$N$9+'ПЛАН ЧИСТ К2'!E45*СПРАВОЧНИК!$O$9)+СПРАВОЧНИК!$F$10*('ПЛАН ЧИСТ К2'!F45*СПРАВОЧНИК!$L$10+'ПЛАН ЧИСТ К2'!G45*СПРАВОЧНИК!$M$10+'ПЛАН ЧИСТ К2'!H45*СПРАВОЧНИК!$N$10+'ПЛАН ЧИСТ К2'!I45*СПРАВОЧНИК!$O$10)+СПРАВОЧНИК!$F$11*('ПЛАН ЧИСТ К2'!J45*СПРАВОЧНИК!$L$11+'ПЛАН ЧИСТ К2'!K45*СПРАВОЧНИК!$M$11+'ПЛАН ЧИСТ К2'!L45*СПРАВОЧНИК!$N$11)+СПРАВОЧНИК!$F$12*('ПЛАН ЧИСТ К2'!M45*СПРАВОЧНИК!$L$12+'ПЛАН ЧИСТ К2'!N45*СПРАВОЧНИК!$M$12+'ПЛАН ЧИСТ К2'!O45*СПРАВОЧНИК!$N$12+'ПЛАН ЧИСТ К2'!P45*СПРАВОЧНИК!$O$12)+СПРАВОЧНИК!$F$13*('ПЛАН ЧИСТ К2'!Q45*СПРАВОЧНИК!$L$13+'ПЛАН ЧИСТ К2'!R45*СПРАВОЧНИК!$M$13+'ПЛАН ЧИСТ К2'!S45*СПРАВОЧНИК!$N$13+'ПЛАН ЧИСТ К2'!T45*СПРАВОЧНИК!$O$13)+СПРАВОЧНИК!$F$14*('ПЛАН ЧИСТ К2'!U45*СПРАВОЧНИК!$L$14+'ПЛАН ЧИСТ К2'!V45*СПРАВОЧНИК!$M$14+'ПЛАН ЧИСТ К2'!W45*СПРАВОЧНИК!$N$14)+СПРАВОЧНИК!$F$15*('ПЛАН ЧИСТ К2'!X45*СПРАВОЧНИК!$L$15+'ПЛАН ЧИСТ К2'!Y45*СПРАВОЧНИК!$M$15+'ПЛАН ЧИСТ К2'!Z45*СПРАВОЧНИК!$N$15)</f>
        <v/>
      </c>
      <c r="AO54" s="40">
        <f>СПРАВОЧНИК!$E$9*(('ФАКТ ЧЕРН К2'!B45)*СПРАВОЧНИК!$H$9+('ФАКТ ЧЕРН К2'!C45)*СПРАВОЧНИК!$I$9+('ФАКТ ЧЕРН К2'!D45)*СПРАВОЧНИК!$J$9)+СПРАВОЧНИК!$E$10*(('ФАКТ ЧЕРН К2'!E45)*СПРАВОЧНИК!$H$10+('ФАКТ ЧЕРН К2'!F45)*СПРАВОЧНИК!$I$10+('ФАКТ ЧЕРН К2'!G45)*СПРАВОЧНИК!$J$10)+СПРАВОЧНИК!$E$11*(('ФАКТ ЧЕРН К2'!H45)*СПРАВОЧНИК!$H$11+('ФАКТ ЧЕРН К2'!I45)*СПРАВОЧНИК!$I$11+('ФАКТ ЧЕРН К2'!J45)*СПРАВОЧНИК!$J$11)+СПРАВОЧНИК!$E$12*(('ФАКТ ЧЕРН К2'!K45)*СПРАВОЧНИК!$H$12+('ФАКТ ЧЕРН К2'!L45)*СПРАВОЧНИК!$I$12+('ФАКТ ЧЕРН К2'!M45)*СПРАВОЧНИК!$J$12)+СПРАВОЧНИК!$E$13*(('ФАКТ ЧЕРН К2'!N45)*СПРАВОЧНИК!$H$13+('ФАКТ ЧЕРН К2'!O45)*СПРАВОЧНИК!$I$13+('ФАКТ ЧЕРН К2'!P45)*СПРАВОЧНИК!$J$13)+СПРАВОЧНИК!$E$14*(('ФАКТ ЧЕРН К2'!Q45)*СПРАВОЧНИК!$H$14+('ФАКТ ЧЕРН К2'!R45)*СПРАВОЧНИК!$I$14+('ФАКТ ЧЕРН К2'!S45)*СПРАВОЧНИК!$J$14)+СПРАВОЧНИК!$E$15*(('ФАКТ ЧЕРН К2'!T45)*СПРАВОЧНИК!$H$15+('ФАКТ ЧЕРН К2'!U45)*СПРАВОЧНИК!$I$15+('ФАКТ ЧЕРН К2'!V45)*СПРАВОЧНИК!$J$15)+СПРАВОЧНИК!$F$9*(('ФАКТ ЧИСТ К2'!B45)*СПРАВОЧНИК!$L$9+('ФАКТ ЧИСТ К2'!C45)*СПРАВОЧНИК!$M$9+('ФАКТ ЧИСТ К2'!D45)*СПРАВОЧНИК!$N$9+('ФАКТ ЧИСТ К2'!E45)*СПРАВОЧНИК!$O$9)+СПРАВОЧНИК!$F$10*(('ФАКТ ЧИСТ К2'!F45)*СПРАВОЧНИК!$L$10+('ФАКТ ЧИСТ К2'!G45)*СПРАВОЧНИК!$M$10+('ФАКТ ЧИСТ К2'!H45)*СПРАВОЧНИК!$N$10+('ФАКТ ЧИСТ К2'!I45)*СПРАВОЧНИК!$O$10)+СПРАВОЧНИК!$F$11*(('ФАКТ ЧИСТ К2'!J45)*СПРАВОЧНИК!$L$11+('ФАКТ ЧИСТ К2'!K45)*СПРАВОЧНИК!$M$11+('ФАКТ ЧИСТ К2'!L45)*СПРАВОЧНИК!$N$11)+СПРАВОЧНИК!$F$12*(('ФАКТ ЧИСТ К2'!M45)*СПРАВОЧНИК!$L$12+('ФАКТ ЧИСТ К2'!N45)*СПРАВОЧНИК!$M$12+('ФАКТ ЧИСТ К2'!O45)*СПРАВОЧНИК!$N$12+('ФАКТ ЧИСТ К2'!P45)*СПРАВОЧНИК!$O$12)+СПРАВОЧНИК!$F$13*(('ФАКТ ЧИСТ К2'!Q45)*СПРАВОЧНИК!$L$13+('ФАКТ ЧИСТ К2'!R45)*СПРАВОЧНИК!$M$13+('ФАКТ ЧИСТ К2'!S45)*СПРАВОЧНИК!$N$13+('ФАКТ ЧИСТ К2'!T45)*СПРАВОЧНИК!$O$13)+СПРАВОЧНИК!$F$14*(('ФАКТ ЧИСТ К2'!U45)*СПРАВОЧНИК!$L$14+('ФАКТ ЧИСТ К2'!V45)*СПРАВОЧНИК!$M$14+('ФАКТ ЧИСТ К2'!W45)*СПРАВОЧНИК!$N$14)+СПРАВОЧНИК!$F$15*(('ФАКТ ЧИСТ К2'!X45)*СПРАВОЧНИК!$L$15+('ФАКТ ЧИСТ К2'!Y45)*СПРАВОЧНИК!$M$15+('ФАКТ ЧИСТ К2'!Z45)*СПРАВОЧНИК!$N$15)</f>
        <v/>
      </c>
      <c r="AS54" s="18">
        <f>AS53+7</f>
        <v/>
      </c>
      <c r="AT54" s="37">
        <f>'ПЛАН ЧЕРН К2'!B45*СПРАВОЧНИК!$H$9+'ПЛАН ЧЕРН К2'!C45*СПРАВОЧНИК!$I$9+'ПЛАН ЧЕРН К2'!D45*СПРАВОЧНИК!$J$9+'ПЛАН ЧЕРН К2'!E45*СПРАВОЧНИК!$H$10+'ПЛАН ЧЕРН К2'!F45*СПРАВОЧНИК!$I$10+'ПЛАН ЧЕРН К2'!G45*СПРАВОЧНИК!$J$10+'ПЛАН ЧЕРН К2'!H45*СПРАВОЧНИК!$H$11+'ПЛАН ЧЕРН К2'!I45*СПРАВОЧНИК!$I$11+'ПЛАН ЧЕРН К2'!J45*СПРАВОЧНИК!$J$11+'ПЛАН ЧЕРН К2'!K45*СПРАВОЧНИК!$H$12+'ПЛАН ЧЕРН К2'!L45*СПРАВОЧНИК!$I$12+'ПЛАН ЧЕРН К2'!M45*СПРАВОЧНИК!$J$12+'ПЛАН ЧЕРН К2'!N45*СПРАВОЧНИК!$H$13+'ПЛАН ЧЕРН К2'!O45*СПРАВОЧНИК!$I$13+'ПЛАН ЧЕРН К2'!P45*СПРАВОЧНИК!$J$13+'ПЛАН ЧЕРН К2'!Q45*СПРАВОЧНИК!$H$14+'ПЛАН ЧЕРН К2'!R45*СПРАВОЧНИК!$I$14+'ПЛАН ЧЕРН К2'!S45*СПРАВОЧНИК!$J$14+'ПЛАН ЧЕРН К2'!T45*СПРАВОЧНИК!$H$15+'ПЛАН ЧЕРН К2'!U45*СПРАВОЧНИК!$I$15+'ПЛАН ЧЕРН К2'!V45*СПРАВОЧНИК!$J$15</f>
        <v/>
      </c>
      <c r="AU54" s="40">
        <f>('ФАКТ ЧЕРН К2'!B45)*СПРАВОЧНИК!$H$9+('ФАКТ ЧЕРН К2'!C45)*СПРАВОЧНИК!$I$9+('ФАКТ ЧЕРН К2'!D45)*СПРАВОЧНИК!$J$9+('ФАКТ ЧЕРН К2'!E45)*СПРАВОЧНИК!$H$10+('ФАКТ ЧЕРН К2'!F45)*СПРАВОЧНИК!$I$10+('ФАКТ ЧЕРН К2'!G45)*СПРАВОЧНИК!$J$10+('ФАКТ ЧЕРН К2'!H45)*СПРАВОЧНИК!$H$11+('ФАКТ ЧЕРН К2'!I45)*СПРАВОЧНИК!$I$11+('ФАКТ ЧЕРН К2'!J45)*СПРАВОЧНИК!$J$11+('ФАКТ ЧЕРН К2'!K45)*СПРАВОЧНИК!$H$12+('ФАКТ ЧЕРН К2'!L45)*СПРАВОЧНИК!$I$12+('ФАКТ ЧЕРН К2'!M45)*СПРАВОЧНИК!$J$12+('ФАКТ ЧЕРН К2'!N45)*СПРАВОЧНИК!$H$13+('ФАКТ ЧЕРН К2'!O45)*СПРАВОЧНИК!$I$13+('ФАКТ ЧЕРН К2'!P45)*СПРАВОЧНИК!$J$13+('ФАКТ ЧЕРН К2'!Q45)*СПРАВОЧНИК!$H$14+('ФАКТ ЧЕРН К2'!R45)*СПРАВОЧНИК!$I$14+('ФАКТ ЧЕРН К2'!S45)*СПРАВОЧНИК!$J$14+('ФАКТ ЧЕРН К2'!T45)*СПРАВОЧНИК!$H$15+('ФАКТ ЧЕРН К2'!U45)*СПРАВОЧНИК!$I$15+('ФАКТ ЧЕРН К2'!V45)*СПРАВОЧНИК!$J$15</f>
        <v/>
      </c>
      <c r="AY54" s="18">
        <f>AY53+7</f>
        <v/>
      </c>
      <c r="AZ54" s="37">
        <f>'ПЛАН ЧИСТ К2'!B45*СПРАВОЧНИК!$L$9+'ПЛАН ЧИСТ К2'!C45*СПРАВОЧНИК!$M$9+'ПЛАН ЧИСТ К2'!D45*СПРАВОЧНИК!$N$9+'ПЛАН ЧИСТ К2'!E45*СПРАВОЧНИК!$O$9+'ПЛАН ЧИСТ К2'!F45*СПРАВОЧНИК!$L$10+'ПЛАН ЧИСТ К2'!G45*СПРАВОЧНИК!$M$10+'ПЛАН ЧИСТ К2'!H45*СПРАВОЧНИК!$N$10+'ПЛАН ЧИСТ К2'!I45*СПРАВОЧНИК!$O$10+'ПЛАН ЧИСТ К2'!J45*СПРАВОЧНИК!$L$11+'ПЛАН ЧИСТ К2'!K45*СПРАВОЧНИК!$M$11+'ПЛАН ЧИСТ К2'!L45*СПРАВОЧНИК!$N$11+'ПЛАН ЧИСТ К2'!M45*СПРАВОЧНИК!$L$12+'ПЛАН ЧИСТ К2'!N45*СПРАВОЧНИК!$M$12+'ПЛАН ЧИСТ К2'!O45*СПРАВОЧНИК!$N$12+'ПЛАН ЧИСТ К2'!P45*СПРАВОЧНИК!$O$12+'ПЛАН ЧИСТ К2'!Q45*СПРАВОЧНИК!$L$13+'ПЛАН ЧИСТ К2'!R45*СПРАВОЧНИК!$M$13+'ПЛАН ЧИСТ К2'!S45*СПРАВОЧНИК!$N$13+'ПЛАН ЧИСТ К2'!T45*СПРАВОЧНИК!$O$13+'ПЛАН ЧИСТ К2'!U45*СПРАВОЧНИК!$L$14+'ПЛАН ЧИСТ К2'!V45*СПРАВОЧНИК!$M$14+'ПЛАН ЧИСТ К2'!W45*СПРАВОЧНИК!$N$14+'ПЛАН ЧИСТ К2'!X45*СПРАВОЧНИК!$L$15+'ПЛАН ЧИСТ К2'!Y45*СПРАВОЧНИК!$M$15+'ПЛАН ЧИСТ К2'!Z45*СПРАВОЧНИК!$N$15</f>
        <v/>
      </c>
      <c r="BA54" s="40">
        <f>('ФАКТ ЧИСТ К2'!B45)*СПРАВОЧНИК!$L$9+('ФАКТ ЧИСТ К2'!C45)*СПРАВОЧНИК!$M$9+('ФАКТ ЧИСТ К2'!D45)*СПРАВОЧНИК!$N$9+('ФАКТ ЧИСТ К2'!E45)*СПРАВОЧНИК!$O$9+('ФАКТ ЧИСТ К2'!F45)*СПРАВОЧНИК!$L$10+('ФАКТ ЧИСТ К2'!G45)*СПРАВОЧНИК!$M$10+('ФАКТ ЧИСТ К2'!H45)*СПРАВОЧНИК!$N$10+('ФАКТ ЧИСТ К2'!I45)*СПРАВОЧНИК!$O$10+('ФАКТ ЧИСТ К2'!J45)*СПРАВОЧНИК!$L$11+('ФАКТ ЧИСТ К2'!K45)*СПРАВОЧНИК!$M$11+('ФАКТ ЧИСТ К2'!L45)*СПРАВОЧНИК!$N$11+('ФАКТ ЧИСТ К2'!M45)*СПРАВОЧНИК!$L$12+('ФАКТ ЧИСТ К2'!N45)*СПРАВОЧНИК!$M$12+('ФАКТ ЧИСТ К2'!O45)*СПРАВОЧНИК!$N$12+('ФАКТ ЧИСТ К2'!P45)*СПРАВОЧНИК!$O$12+('ФАКТ ЧИСТ К2'!Q45)*СПРАВОЧНИК!$L$13+('ФАКТ ЧИСТ К2'!R45)*СПРАВОЧНИК!$M$13+('ФАКТ ЧИСТ К2'!S45)*СПРАВОЧНИК!$N$13+('ФАКТ ЧИСТ К2'!T45)*СПРАВОЧНИК!$O$13+('ФАКТ ЧИСТ К2'!U45)*СПРАВОЧНИК!$L$14+('ФАКТ ЧИСТ К2'!V45)*СПРАВОЧНИК!$M$14+('ФАКТ ЧИСТ К2'!W45)*СПРАВОЧНИК!$N$14+('ФАКТ ЧИСТ К2'!X45)*СПРАВОЧНИК!$L$15+('ФАКТ ЧИСТ К2'!Y45)*СПРАВОЧНИК!$M$15+('ФАКТ ЧИСТ К2'!Z45)*СПРАВОЧНИК!$N$15</f>
        <v/>
      </c>
      <c r="BE54" s="18">
        <f>BE53+7</f>
        <v/>
      </c>
      <c r="BF54" s="37">
        <f>СПРАВОЧНИК!$E$9*('ПЛАН ЧЕРН К3'!B45*СПРАВОЧНИК!$H$9+'ПЛАН ЧЕРН К3'!C45*СПРАВОЧНИК!$I$9+'ПЛАН ЧЕРН К3'!D45*СПРАВОЧНИК!$J$9)+СПРАВОЧНИК!$E$10*('ПЛАН ЧЕРН К3'!E45*СПРАВОЧНИК!$H$10+'ПЛАН ЧЕРН К3'!F45*СПРАВОЧНИК!$I$10+'ПЛАН ЧЕРН К3'!G45*СПРАВОЧНИК!$J$10)+СПРАВОЧНИК!$E$11*('ПЛАН ЧЕРН К3'!H45*СПРАВОЧНИК!$H$11+'ПЛАН ЧЕРН К3'!I45*СПРАВОЧНИК!$I$11+'ПЛАН ЧЕРН К3'!J45*СПРАВОЧНИК!$J$11)+СПРАВОЧНИК!$E$12*('ПЛАН ЧЕРН К3'!K45*СПРАВОЧНИК!$H$12+'ПЛАН ЧЕРН К3'!L45*СПРАВОЧНИК!$I$12+'ПЛАН ЧЕРН К3'!M45*СПРАВОЧНИК!$J$12)+СПРАВОЧНИК!$E$13*('ПЛАН ЧЕРН К3'!N45*СПРАВОЧНИК!$H$13+'ПЛАН ЧЕРН К3'!O45*СПРАВОЧНИК!$I$13+'ПЛАН ЧЕРН К3'!P45*СПРАВОЧНИК!$J$13)+СПРАВОЧНИК!$E$14*('ПЛАН ЧЕРН К3'!Q45*СПРАВОЧНИК!$H$14+'ПЛАН ЧЕРН К3'!R45*СПРАВОЧНИК!$I$14+'ПЛАН ЧЕРН К3'!S45*СПРАВОЧНИК!$J$14)+СПРАВОЧНИК!$E$15*('ПЛАН ЧЕРН К3'!T45*СПРАВОЧНИК!$H$15+'ПЛАН ЧЕРН К3'!U45*СПРАВОЧНИК!$I$15+'ПЛАН ЧЕРН К3'!V45*СПРАВОЧНИК!$J$15)+СПРАВОЧНИК!$F$9*('ПЛАН ЧИСТ К3'!B45*СПРАВОЧНИК!$L$9+'ПЛАН ЧИСТ К3'!C45*СПРАВОЧНИК!$M$9+'ПЛАН ЧИСТ К3'!D45*СПРАВОЧНИК!$N$9+'ПЛАН ЧИСТ К3'!E45*СПРАВОЧНИК!$O$9)+СПРАВОЧНИК!$F$10*('ПЛАН ЧИСТ К3'!F45*СПРАВОЧНИК!$L$10+'ПЛАН ЧИСТ К3'!G45*СПРАВОЧНИК!$M$10+'ПЛАН ЧИСТ К3'!H45*СПРАВОЧНИК!$N$10+'ПЛАН ЧИСТ К3'!I45*СПРАВОЧНИК!$O$10)+СПРАВОЧНИК!$F$11*('ПЛАН ЧИСТ К3'!J45*СПРАВОЧНИК!$L$11+'ПЛАН ЧИСТ К3'!K45*СПРАВОЧНИК!$M$11+'ПЛАН ЧИСТ К3'!L45*СПРАВОЧНИК!$N$11)+СПРАВОЧНИК!$F$12*('ПЛАН ЧИСТ К3'!M45*СПРАВОЧНИК!$L$12+'ПЛАН ЧИСТ К3'!N45*СПРАВОЧНИК!$M$12+'ПЛАН ЧИСТ К3'!O45*СПРАВОЧНИК!$N$12+'ПЛАН ЧИСТ К3'!P45*СПРАВОЧНИК!$O$12)+СПРАВОЧНИК!$F$13*('ПЛАН ЧИСТ К3'!Q45*СПРАВОЧНИК!$L$13+'ПЛАН ЧИСТ К3'!R45*СПРАВОЧНИК!$M$13+'ПЛАН ЧИСТ К3'!S45*СПРАВОЧНИК!$N$13+'ПЛАН ЧИСТ К3'!T45*СПРАВОЧНИК!$O$13)+СПРАВОЧНИК!$F$14*('ПЛАН ЧИСТ К3'!U45*СПРАВОЧНИК!$L$14+'ПЛАН ЧИСТ К3'!V45*СПРАВОЧНИК!$M$14+'ПЛАН ЧИСТ К3'!W45*СПРАВОЧНИК!$N$14)+СПРАВОЧНИК!$F$15*('ПЛАН ЧИСТ К3'!X45*СПРАВОЧНИК!$L$15+'ПЛАН ЧИСТ К3'!Y45*СПРАВОЧНИК!$M$15+'ПЛАН ЧИСТ К3'!Z45*СПРАВОЧНИК!$N$15)</f>
        <v/>
      </c>
      <c r="BG54" s="40">
        <f>СПРАВОЧНИК!$E$9*(('ФАКТ ЧЕРН К3'!B45)*СПРАВОЧНИК!$H$9+('ФАКТ ЧЕРН К3'!C45)*СПРАВОЧНИК!$I$9+('ФАКТ ЧЕРН К3'!D45)*СПРАВОЧНИК!$J$9)+СПРАВОЧНИК!$E$10*(('ФАКТ ЧЕРН К3'!E45)*СПРАВОЧНИК!$H$10+('ФАКТ ЧЕРН К3'!F45)*СПРАВОЧНИК!$I$10+('ФАКТ ЧЕРН К3'!G45)*СПРАВОЧНИК!$J$10)+СПРАВОЧНИК!$E$11*(('ФАКТ ЧЕРН К3'!H45)*СПРАВОЧНИК!$H$11+('ФАКТ ЧЕРН К3'!I45)*СПРАВОЧНИК!$I$11+('ФАКТ ЧЕРН К3'!J45)*СПРАВОЧНИК!$J$11)+СПРАВОЧНИК!$E$12*(('ФАКТ ЧЕРН К3'!K45)*СПРАВОЧНИК!$H$12+('ФАКТ ЧЕРН К3'!L45)*СПРАВОЧНИК!$I$12+('ФАКТ ЧЕРН К3'!M45)*СПРАВОЧНИК!$J$12)+СПРАВОЧНИК!$E$13*(('ФАКТ ЧЕРН К3'!N45)*СПРАВОЧНИК!$H$13+('ФАКТ ЧЕРН К3'!O45)*СПРАВОЧНИК!$I$13+('ФАКТ ЧЕРН К3'!P45)*СПРАВОЧНИК!$J$13)+СПРАВОЧНИК!$E$14*(('ФАКТ ЧЕРН К3'!Q45)*СПРАВОЧНИК!$H$14+('ФАКТ ЧЕРН К3'!R45)*СПРАВОЧНИК!$I$14+('ФАКТ ЧЕРН К3'!S45)*СПРАВОЧНИК!$J$14)+СПРАВОЧНИК!$E$15*(('ФАКТ ЧЕРН К3'!T45)*СПРАВОЧНИК!$H$15+('ФАКТ ЧЕРН К3'!U45)*СПРАВОЧНИК!$I$15+('ФАКТ ЧЕРН К3'!V45)*СПРАВОЧНИК!$J$15)+СПРАВОЧНИК!$F$9*(('ФАКТ ЧИСТ К3'!B45)*СПРАВОЧНИК!$L$9+('ФАКТ ЧИСТ К3'!C45)*СПРАВОЧНИК!$M$9+('ФАКТ ЧИСТ К3'!D45)*СПРАВОЧНИК!$N$9+('ФАКТ ЧИСТ К3'!E45)*СПРАВОЧНИК!$O$9)+СПРАВОЧНИК!$F$10*(('ФАКТ ЧИСТ К3'!F45)*СПРАВОЧНИК!$L$10+('ФАКТ ЧИСТ К3'!G45)*СПРАВОЧНИК!$M$10+('ФАКТ ЧИСТ К3'!H45)*СПРАВОЧНИК!$N$10+('ФАКТ ЧИСТ К3'!I45)*СПРАВОЧНИК!$O$10)+СПРАВОЧНИК!$F$11*(('ФАКТ ЧИСТ К3'!J45)*СПРАВОЧНИК!$L$11+('ФАКТ ЧИСТ К3'!K45)*СПРАВОЧНИК!$M$11+('ФАКТ ЧИСТ К3'!L45)*СПРАВОЧНИК!$N$11)+СПРАВОЧНИК!$F$12*(('ФАКТ ЧИСТ К3'!M45)*СПРАВОЧНИК!$L$12+('ФАКТ ЧИСТ К3'!N45)*СПРАВОЧНИК!$M$12+('ФАКТ ЧИСТ К3'!O45)*СПРАВОЧНИК!$N$12+('ФАКТ ЧИСТ К3'!P45)*СПРАВОЧНИК!$O$12)+СПРАВОЧНИК!$F$13*(('ФАКТ ЧИСТ К3'!Q45)*СПРАВОЧНИК!$L$13+('ФАКТ ЧИСТ К3'!R45)*СПРАВОЧНИК!$M$13+('ФАКТ ЧИСТ К3'!S45)*СПРАВОЧНИК!$N$13+('ФАКТ ЧИСТ К3'!T45)*СПРАВОЧНИК!$O$13)+СПРАВОЧНИК!$F$14*(('ФАКТ ЧИСТ К3'!U45)*СПРАВОЧНИК!$L$14+('ФАКТ ЧИСТ К3'!V45)*СПРАВОЧНИК!$M$14+('ФАКТ ЧИСТ К3'!W45)*СПРАВОЧНИК!$N$14)+СПРАВОЧНИК!$F$15*(('ФАКТ ЧИСТ К3'!X45)*СПРАВОЧНИК!$L$15+('ФАКТ ЧИСТ К3'!Y45)*СПРАВОЧНИК!$M$15+('ФАКТ ЧИСТ К3'!Z45)*СПРАВОЧНИК!$N$15)</f>
        <v/>
      </c>
      <c r="BK54" s="18">
        <f>BK53+7</f>
        <v/>
      </c>
      <c r="BL54" s="37">
        <f>'ПЛАН ЧЕРН К3'!B45*СПРАВОЧНИК!$H$9+'ПЛАН ЧЕРН К3'!C45*СПРАВОЧНИК!$I$9+'ПЛАН ЧЕРН К3'!D45*СПРАВОЧНИК!$J$9+'ПЛАН ЧЕРН К3'!E45*СПРАВОЧНИК!$H$10+'ПЛАН ЧЕРН К3'!F45*СПРАВОЧНИК!$I$10+'ПЛАН ЧЕРН К3'!G45*СПРАВОЧНИК!$J$10+'ПЛАН ЧЕРН К3'!H45*СПРАВОЧНИК!$H$11+'ПЛАН ЧЕРН К3'!I45*СПРАВОЧНИК!$I$11+'ПЛАН ЧЕРН К3'!J45*СПРАВОЧНИК!$J$11+'ПЛАН ЧЕРН К3'!K45*СПРАВОЧНИК!$H$12+'ПЛАН ЧЕРН К3'!L45*СПРАВОЧНИК!$I$12+'ПЛАН ЧЕРН К3'!M45*СПРАВОЧНИК!$J$12+'ПЛАН ЧЕРН К3'!N45*СПРАВОЧНИК!$H$13+'ПЛАН ЧЕРН К3'!O45*СПРАВОЧНИК!$I$13+'ПЛАН ЧЕРН К3'!P45*СПРАВОЧНИК!$J$13+'ПЛАН ЧЕРН К3'!Q45*СПРАВОЧНИК!$H$14+'ПЛАН ЧЕРН К3'!R45*СПРАВОЧНИК!$I$14+'ПЛАН ЧЕРН К3'!S45*СПРАВОЧНИК!$J$14+'ПЛАН ЧЕРН К3'!T45*СПРАВОЧНИК!$H$15+'ПЛАН ЧЕРН К3'!U45*СПРАВОЧНИК!$I$15+'ПЛАН ЧЕРН К3'!V45*СПРАВОЧНИК!$J$15</f>
        <v/>
      </c>
      <c r="BM54" s="40">
        <f>('ФАКТ ЧЕРН К3'!B45)*СПРАВОЧНИК!$H$9+('ФАКТ ЧЕРН К3'!C45)*СПРАВОЧНИК!$I$9+('ФАКТ ЧЕРН К3'!D45)*СПРАВОЧНИК!$J$9+('ФАКТ ЧЕРН К3'!E45)*СПРАВОЧНИК!$H$10+('ФАКТ ЧЕРН К3'!F45)*СПРАВОЧНИК!$I$10+('ФАКТ ЧЕРН К3'!G45)*СПРАВОЧНИК!$J$10+('ФАКТ ЧЕРН К3'!H45)*СПРАВОЧНИК!$H$11+('ФАКТ ЧЕРН К3'!I45)*СПРАВОЧНИК!$I$11+('ФАКТ ЧЕРН К3'!J45)*СПРАВОЧНИК!$J$11+('ФАКТ ЧЕРН К3'!K45)*СПРАВОЧНИК!$H$12+('ФАКТ ЧЕРН К3'!L45)*СПРАВОЧНИК!$I$12+('ФАКТ ЧЕРН К3'!M45)*СПРАВОЧНИК!$J$12+('ФАКТ ЧЕРН К3'!N45)*СПРАВОЧНИК!$H$13+('ФАКТ ЧЕРН К3'!O45)*СПРАВОЧНИК!$I$13+('ФАКТ ЧЕРН К3'!P45)*СПРАВОЧНИК!$J$13+('ФАКТ ЧЕРН К3'!Q45)*СПРАВОЧНИК!$H$14+('ФАКТ ЧЕРН К3'!R45)*СПРАВОЧНИК!$I$14+('ФАКТ ЧЕРН К3'!S45)*СПРАВОЧНИК!$J$14+('ФАКТ ЧЕРН К3'!T45)*СПРАВОЧНИК!$H$15+('ФАКТ ЧЕРН К3'!U45)*СПРАВОЧНИК!$I$15+('ФАКТ ЧЕРН К3'!V45)*СПРАВОЧНИК!$J$15</f>
        <v/>
      </c>
      <c r="BQ54" s="18">
        <f>BQ53+7</f>
        <v/>
      </c>
      <c r="BR54" s="37">
        <f>'ПЛАН ЧИСТ К3'!B45*СПРАВОЧНИК!$L$9+'ПЛАН ЧИСТ К3'!C45*СПРАВОЧНИК!$M$9+'ПЛАН ЧИСТ К3'!D45*СПРАВОЧНИК!$N$9+'ПЛАН ЧИСТ К3'!E45*СПРАВОЧНИК!$O$9+'ПЛАН ЧИСТ К3'!F45*СПРАВОЧНИК!$L$10+'ПЛАН ЧИСТ К3'!G45*СПРАВОЧНИК!$M$10+'ПЛАН ЧИСТ К3'!H45*СПРАВОЧНИК!$N$10+'ПЛАН ЧИСТ К3'!I45*СПРАВОЧНИК!$O$10+'ПЛАН ЧИСТ К3'!J45*СПРАВОЧНИК!$L$11+'ПЛАН ЧИСТ К3'!K45*СПРАВОЧНИК!$M$11+'ПЛАН ЧИСТ К3'!L45*СПРАВОЧНИК!$N$11+'ПЛАН ЧИСТ К3'!M45*СПРАВОЧНИК!$L$12+'ПЛАН ЧИСТ К3'!N45*СПРАВОЧНИК!$M$12+'ПЛАН ЧИСТ К3'!O45*СПРАВОЧНИК!$N$12+'ПЛАН ЧИСТ К3'!P45*СПРАВОЧНИК!$O$12+'ПЛАН ЧИСТ К3'!Q45*СПРАВОЧНИК!$L$13+'ПЛАН ЧИСТ К3'!R45*СПРАВОЧНИК!$M$13+'ПЛАН ЧИСТ К3'!S45*СПРАВОЧНИК!$N$13+'ПЛАН ЧИСТ К3'!T45*СПРАВОЧНИК!$O$13+'ПЛАН ЧИСТ К3'!U45*СПРАВОЧНИК!$L$14+'ПЛАН ЧИСТ К3'!V45*СПРАВОЧНИК!$M$14+'ПЛАН ЧИСТ К3'!W45*СПРАВОЧНИК!$N$14+'ПЛАН ЧИСТ К3'!X45*СПРАВОЧНИК!$L$15+'ПЛАН ЧИСТ К3'!Y45*СПРАВОЧНИК!$M$15+'ПЛАН ЧИСТ К3'!Z45*СПРАВОЧНИК!$N$15</f>
        <v/>
      </c>
      <c r="BS54" s="40">
        <f>('ФАКТ ЧИСТ К3'!B45)*СПРАВОЧНИК!$L$9+('ФАКТ ЧИСТ К3'!C45)*СПРАВОЧНИК!$M$9+('ФАКТ ЧИСТ К3'!D45)*СПРАВОЧНИК!$N$9+('ФАКТ ЧИСТ К3'!E45)*СПРАВОЧНИК!$O$9+('ФАКТ ЧИСТ К3'!F45)*СПРАВОЧНИК!$L$10+('ФАКТ ЧИСТ К3'!G45)*СПРАВОЧНИК!$M$10+('ФАКТ ЧИСТ К3'!H45)*СПРАВОЧНИК!$N$10+('ФАКТ ЧИСТ К3'!I45)*СПРАВОЧНИК!$O$10+('ФАКТ ЧИСТ К3'!J45)*СПРАВОЧНИК!$L$11+('ФАКТ ЧИСТ К3'!K45)*СПРАВОЧНИК!$M$11+('ФАКТ ЧИСТ К3'!L45)*СПРАВОЧНИК!$N$11+('ФАКТ ЧИСТ К3'!M45)*СПРАВОЧНИК!$L$12+('ФАКТ ЧИСТ К3'!N45)*СПРАВОЧНИК!$M$12+('ФАКТ ЧИСТ К3'!O45)*СПРАВОЧНИК!$N$12+('ФАКТ ЧИСТ К3'!P45)*СПРАВОЧНИК!$O$12+('ФАКТ ЧИСТ К3'!Q45)*СПРАВОЧНИК!$L$13+('ФАКТ ЧИСТ К3'!R45)*СПРАВОЧНИК!$M$13+('ФАКТ ЧИСТ К3'!S45)*СПРАВОЧНИК!$N$13+('ФАКТ ЧИСТ К3'!T45)*СПРАВОЧНИК!$O$13+('ФАКТ ЧИСТ К3'!U45)*СПРАВОЧНИК!$L$14+('ФАКТ ЧИСТ К3'!V45)*СПРАВОЧНИК!$M$14+('ФАКТ ЧИСТ К3'!W45)*СПРАВОЧНИК!$N$14+('ФАКТ ЧИСТ К3'!X45)*СПРАВОЧНИК!$L$15+('ФАКТ ЧИСТ К3'!Y45)*СПРАВОЧНИК!$M$15+('ФАКТ ЧИСТ К3'!Z45)*СПРАВОЧНИК!$N$15</f>
        <v/>
      </c>
      <c r="BW54" s="18">
        <f>BW53+7</f>
        <v/>
      </c>
      <c r="BX54" s="37">
        <f>V54+AN54+BF54</f>
        <v/>
      </c>
      <c r="BY54" s="40">
        <f>W54+AO54+BG54</f>
        <v/>
      </c>
      <c r="CC54" s="18">
        <f>CC53+7</f>
        <v/>
      </c>
      <c r="CD54" s="37">
        <f>AB54+AT54+BL54</f>
        <v/>
      </c>
      <c r="CE54" s="40">
        <f>AC54+AU54+BM54</f>
        <v/>
      </c>
      <c r="CI54" s="18">
        <f>CI53+7</f>
        <v/>
      </c>
      <c r="CJ54" s="37">
        <f>AH54+AZ54+BR54</f>
        <v/>
      </c>
      <c r="CK54" s="40">
        <f>AI54+BA54+BS54</f>
        <v/>
      </c>
      <c r="CO54" s="18">
        <f>CO53+7</f>
        <v/>
      </c>
      <c r="CP54" s="37">
        <f>D54+BX54</f>
        <v/>
      </c>
      <c r="CQ54" s="40">
        <f>E54+BY54</f>
        <v/>
      </c>
      <c r="CU54" s="18">
        <f>CU53+7</f>
        <v/>
      </c>
      <c r="CV54" s="37">
        <f>J54+CD54</f>
        <v/>
      </c>
      <c r="CW54" s="40">
        <f>K54+CE54</f>
        <v/>
      </c>
      <c r="DA54" s="18">
        <f>DA53+7</f>
        <v/>
      </c>
      <c r="DB54" s="37">
        <f>P54+CJ54</f>
        <v/>
      </c>
      <c r="DC54" s="40">
        <f>Q54+CK54</f>
        <v/>
      </c>
    </row>
    <row r="55">
      <c r="C55" s="18">
        <f>C54+7</f>
        <v/>
      </c>
      <c r="D55" s="37">
        <f>СПРАВОЧНИК!$E$3*('ПЛАН ЧЕРН ПОДЗЕМ'!B46*СПРАВОЧНИК!$H$3+'ПЛАН ЧЕРН ПОДЗЕМ'!C46*СПРАВОЧНИК!$I$3+'ПЛАН ЧЕРН ПОДЗЕМ'!D46*СПРАВОЧНИК!$J$3)+СПРАВОЧНИК!$E$4*('ПЛАН ЧЕРН ПОДЗЕМ'!E46*СПРАВОЧНИК!$H$4+'ПЛАН ЧЕРН ПОДЗЕМ'!F46*СПРАВОЧНИК!$I$4+'ПЛАН ЧЕРН ПОДЗЕМ'!G46*СПРАВОЧНИК!$J$4)+СПРАВОЧНИК!$E$5*('ПЛАН ЧЕРН ПОДЗЕМ'!H46*СПРАВОЧНИК!$H$5+'ПЛАН ЧЕРН ПОДЗЕМ'!I46*СПРАВОЧНИК!$I$5+'ПЛАН ЧЕРН ПОДЗЕМ'!J46*СПРАВОЧНИК!$J$5)+СПРАВОЧНИК!$E$6*('ПЛАН ЧЕРН ПОДЗЕМ'!K46*СПРАВОЧНИК!$H$6+'ПЛАН ЧЕРН ПОДЗЕМ'!L46*СПРАВОЧНИК!$I$6+'ПЛАН ЧЕРН ПОДЗЕМ'!M46*СПРАВОЧНИК!$J$6)+СПРАВОЧНИК!$E$7*('ПЛАН ЧЕРН ПОДЗЕМ'!N46*СПРАВОЧНИК!$H$7+'ПЛАН ЧЕРН ПОДЗЕМ'!O46*СПРАВОЧНИК!$I$7+'ПЛАН ЧЕРН ПОДЗЕМ'!P46*СПРАВОЧНИК!$J$7)+СПРАВОЧНИК!$E$8*('ПЛАН ЧЕРН ПОДЗЕМ'!Q46*СПРАВОЧНИК!$H$8+'ПЛАН ЧЕРН ПОДЗЕМ'!R46*СПРАВОЧНИК!$I$8+'ПЛАН ЧЕРН ПОДЗЕМ'!S46*СПРАВОЧНИК!$J$8)+СПРАВОЧНИК!$F$3*('ПЛАН ЧИСТ ПОДЗЕМ'!B46*СПРАВОЧНИК!$L$3+'ПЛАН ЧИСТ ПОДЗЕМ'!C46*СПРАВОЧНИК!$M$3+'ПЛАН ЧИСТ ПОДЗЕМ'!D46*СПРАВОЧНИК!$N$3+'ПЛАН ЧИСТ ПОДЗЕМ'!E46*СПРАВОЧНИК!$O$3)+СПРАВОЧНИК!$F$4*('ПЛАН ЧИСТ ПОДЗЕМ'!F46*СПРАВОЧНИК!$L$4+'ПЛАН ЧИСТ ПОДЗЕМ'!G46*СПРАВОЧНИК!$M$4+'ПЛАН ЧИСТ ПОДЗЕМ'!H46*СПРАВОЧНИК!$N$4+'ПЛАН ЧИСТ ПОДЗЕМ'!I46*СПРАВОЧНИК!$O$4)+СПРАВОЧНИК!$F$5*('ПЛАН ЧИСТ ПОДЗЕМ'!J46*СПРАВОЧНИК!$L$5+'ПЛАН ЧИСТ ПОДЗЕМ'!K46*СПРАВОЧНИК!$M$5+'ПЛАН ЧИСТ ПОДЗЕМ'!L46*СПРАВОЧНИК!$N$5)+СПРАВОЧНИК!$F$6*('ПЛАН ЧИСТ ПОДЗЕМ'!M46*СПРАВОЧНИК!$L$6+'ПЛАН ЧИСТ ПОДЗЕМ'!N46*СПРАВОЧНИК!$M$6+'ПЛАН ЧИСТ ПОДЗЕМ'!O46*СПРАВОЧНИК!$N$6+'ПЛАН ЧИСТ ПОДЗЕМ'!P46*СПРАВОЧНИК!$O$6)+СПРАВОЧНИК!$F$7*('ПЛАН ЧИСТ ПОДЗЕМ'!Q46*СПРАВОЧНИК!$L$7+'ПЛАН ЧИСТ ПОДЗЕМ'!R46*СПРАВОЧНИК!$M$7+'ПЛАН ЧИСТ ПОДЗЕМ'!S46*СПРАВОЧНИК!$N$7+'ПЛАН ЧИСТ ПОДЗЕМ'!T46*СПРАВОЧНИК!$O$7)+СПРАВОЧНИК!$F$8*('ПЛАН ЧИСТ ПОДЗЕМ'!U46*СПРАВОЧНИК!$L$8+'ПЛАН ЧИСТ ПОДЗЕМ'!V46*СПРАВОЧНИК!$M$8+'ПЛАН ЧИСТ ПОДЗЕМ'!W46*СПРАВОЧНИК!$N$8)</f>
        <v/>
      </c>
      <c r="E55" s="40">
        <f>СПРАВОЧНИК!$E$3*(('ФАКТ ЧЕРН ПОДЗЕМ'!B46)*СПРАВОЧНИК!$H$3+('ФАКТ ЧЕРН ПОДЗЕМ'!C46)*СПРАВОЧНИК!$I$3+('ФАКТ ЧЕРН ПОДЗЕМ'!D46)*СПРАВОЧНИК!$J$3)+СПРАВОЧНИК!$E$4*(('ФАКТ ЧЕРН ПОДЗЕМ'!E46)*СПРАВОЧНИК!$H$4+('ФАКТ ЧЕРН ПОДЗЕМ'!F46)*СПРАВОЧНИК!$I$4+('ФАКТ ЧЕРН ПОДЗЕМ'!G46)*СПРАВОЧНИК!$J$4)+СПРАВОЧНИК!$E$5*(('ФАКТ ЧЕРН ПОДЗЕМ'!H46)*СПРАВОЧНИК!$H$5+('ФАКТ ЧЕРН ПОДЗЕМ'!I46)*СПРАВОЧНИК!$I$5+('ФАКТ ЧЕРН ПОДЗЕМ'!J46)*СПРАВОЧНИК!$J$5)+СПРАВОЧНИК!$E$6*(('ФАКТ ЧЕРН ПОДЗЕМ'!K46)*СПРАВОЧНИК!$H$6+('ФАКТ ЧЕРН ПОДЗЕМ'!L46)*СПРАВОЧНИК!$I$6+('ФАКТ ЧЕРН ПОДЗЕМ'!M46)*СПРАВОЧНИК!$J$6)+СПРАВОЧНИК!$E$7*(('ФАКТ ЧЕРН ПОДЗЕМ'!N46)*СПРАВОЧНИК!$H$7+('ФАКТ ЧЕРН ПОДЗЕМ'!O46)*СПРАВОЧНИК!$I$7+('ФАКТ ЧЕРН ПОДЗЕМ'!P46)*СПРАВОЧНИК!$J$7)+СПРАВОЧНИК!$E$8*(('ФАКТ ЧЕРН ПОДЗЕМ'!Q46)*СПРАВОЧНИК!$H$8+('ФАКТ ЧЕРН ПОДЗЕМ'!R46)*СПРАВОЧНИК!$I$8+('ФАКТ ЧЕРН ПОДЗЕМ'!S46)*СПРАВОЧНИК!$J$8)+СПРАВОЧНИК!$F$3*(('ФАКТ ЧИСТ ПОДЗЕМ'!B46)*СПРАВОЧНИК!$L$3+('ФАКТ ЧИСТ ПОДЗЕМ'!C46)*СПРАВОЧНИК!$M$3+('ФАКТ ЧИСТ ПОДЗЕМ'!D46)*СПРАВОЧНИК!$N$3+('ФАКТ ЧИСТ ПОДЗЕМ'!E46)*СПРАВОЧНИК!$O$3)+СПРАВОЧНИК!$F$4*(('ФАКТ ЧИСТ ПОДЗЕМ'!F46)*СПРАВОЧНИК!$L$4+('ФАКТ ЧИСТ ПОДЗЕМ'!G46)*СПРАВОЧНИК!$M$4+('ФАКТ ЧИСТ ПОДЗЕМ'!H46)*СПРАВОЧНИК!$N$4+('ФАКТ ЧИСТ ПОДЗЕМ'!I46)*СПРАВОЧНИК!$O$4)+СПРАВОЧНИК!$F$5*(('ФАКТ ЧИСТ ПОДЗЕМ'!J46)*СПРАВОЧНИК!$L$5+('ФАКТ ЧИСТ ПОДЗЕМ'!K46)*СПРАВОЧНИК!$M$5+('ФАКТ ЧИСТ ПОДЗЕМ'!L46)*СПРАВОЧНИК!$N$5)+СПРАВОЧНИК!$F$6*(('ФАКТ ЧИСТ ПОДЗЕМ'!M46)*СПРАВОЧНИК!$L$6+('ФАКТ ЧИСТ ПОДЗЕМ'!N46)*СПРАВОЧНИК!$M$6+('ФАКТ ЧИСТ ПОДЗЕМ'!O46)*СПРАВОЧНИК!$N$6+('ФАКТ ЧИСТ ПОДЗЕМ'!P46)*СПРАВОЧНИК!$O$6)+СПРАВОЧНИК!$F$7*(('ФАКТ ЧИСТ ПОДЗЕМ'!Q46)*СПРАВОЧНИК!$L$7+('ФАКТ ЧИСТ ПОДЗЕМ'!R46)*СПРАВОЧНИК!$M$7+('ФАКТ ЧИСТ ПОДЗЕМ'!S46)*СПРАВОЧНИК!$N$7+('ФАКТ ЧИСТ ПОДЗЕМ'!T46)*СПРАВОЧНИК!$O$7)+СПРАВОЧНИК!$F$8*(('ФАКТ ЧИСТ ПОДЗЕМ'!U46)*СПРАВОЧНИК!$L$8+('ФАКТ ЧИСТ ПОДЗЕМ'!V46)*СПРАВОЧНИК!$M$8+('ФАКТ ЧИСТ ПОДЗЕМ'!W46)*СПРАВОЧНИК!$N$8)</f>
        <v/>
      </c>
      <c r="I55" s="18">
        <f>I54+7</f>
        <v/>
      </c>
      <c r="J55" s="37">
        <f>'ПЛАН ЧЕРН ПОДЗЕМ'!B46*СПРАВОЧНИК!$H$3+'ПЛАН ЧЕРН ПОДЗЕМ'!C46*СПРАВОЧНИК!$I$3+'ПЛАН ЧЕРН ПОДЗЕМ'!D46*СПРАВОЧНИК!$J$3+'ПЛАН ЧЕРН ПОДЗЕМ'!E46*СПРАВОЧНИК!$H$4+'ПЛАН ЧЕРН ПОДЗЕМ'!F46*СПРАВОЧНИК!$I$4+'ПЛАН ЧЕРН ПОДЗЕМ'!G46*СПРАВОЧНИК!$J$4+'ПЛАН ЧЕРН ПОДЗЕМ'!H46*СПРАВОЧНИК!$H$5+'ПЛАН ЧЕРН ПОДЗЕМ'!I46*СПРАВОЧНИК!$I$5+'ПЛАН ЧЕРН ПОДЗЕМ'!J46*СПРАВОЧНИК!$J$5+'ПЛАН ЧЕРН ПОДЗЕМ'!K46*СПРАВОЧНИК!$H$6+'ПЛАН ЧЕРН ПОДЗЕМ'!L46*СПРАВОЧНИК!$I$6+'ПЛАН ЧЕРН ПОДЗЕМ'!M46*СПРАВОЧНИК!$J$6+'ПЛАН ЧЕРН ПОДЗЕМ'!N46*СПРАВОЧНИК!$H$7+'ПЛАН ЧЕРН ПОДЗЕМ'!O46*СПРАВОЧНИК!$I$7+'ПЛАН ЧЕРН ПОДЗЕМ'!P46*СПРАВОЧНИК!$J$7+'ПЛАН ЧЕРН ПОДЗЕМ'!Q46*СПРАВОЧНИК!$H$8+'ПЛАН ЧЕРН ПОДЗЕМ'!R46*СПРАВОЧНИК!$I$8+'ПЛАН ЧЕРН ПОДЗЕМ'!S46*СПРАВОЧНИК!$J$8</f>
        <v/>
      </c>
      <c r="K55" s="40">
        <f>('ФАКТ ЧЕРН ПОДЗЕМ'!B46)*СПРАВОЧНИК!$H$3+('ФАКТ ЧЕРН ПОДЗЕМ'!C46)*СПРАВОЧНИК!$I$3+('ФАКТ ЧЕРН ПОДЗЕМ'!D46)*СПРАВОЧНИК!$J$3+('ФАКТ ЧЕРН ПОДЗЕМ'!E46)*СПРАВОЧНИК!$H$4+('ФАКТ ЧЕРН ПОДЗЕМ'!F46)*СПРАВОЧНИК!$I$4+('ФАКТ ЧЕРН ПОДЗЕМ'!G46)*СПРАВОЧНИК!$J$4+('ФАКТ ЧЕРН ПОДЗЕМ'!H46)*СПРАВОЧНИК!$H$5+('ФАКТ ЧЕРН ПОДЗЕМ'!I46)*СПРАВОЧНИК!$I$5+('ФАКТ ЧЕРН ПОДЗЕМ'!J46)*СПРАВОЧНИК!$J$5+('ФАКТ ЧЕРН ПОДЗЕМ'!K46)*СПРАВОЧНИК!$H$6+('ФАКТ ЧЕРН ПОДЗЕМ'!L46)*СПРАВОЧНИК!$I$6+('ФАКТ ЧЕРН ПОДЗЕМ'!M46)*СПРАВОЧНИК!$J$6+('ФАКТ ЧЕРН ПОДЗЕМ'!N46)*СПРАВОЧНИК!$H$7+('ФАКТ ЧЕРН ПОДЗЕМ'!O46)*СПРАВОЧНИК!$I$7+('ФАКТ ЧЕРН ПОДЗЕМ'!P46)*СПРАВОЧНИК!$J$7+('ФАКТ ЧЕРН ПОДЗЕМ'!Q46)*СПРАВОЧНИК!$H$8+('ФАКТ ЧЕРН ПОДЗЕМ'!R46)*СПРАВОЧНИК!$I$8+('ФАКТ ЧЕРН ПОДЗЕМ'!S46)*СПРАВОЧНИК!$J$8</f>
        <v/>
      </c>
      <c r="O55" s="18">
        <f>O54+7</f>
        <v/>
      </c>
      <c r="P55" s="37">
        <f>'ПЛАН ЧИСТ ПОДЗЕМ'!B46*СПРАВОЧНИК!$L$3+'ПЛАН ЧИСТ ПОДЗЕМ'!C46*СПРАВОЧНИК!$M$3+'ПЛАН ЧИСТ ПОДЗЕМ'!D46*СПРАВОЧНИК!$N$3+'ПЛАН ЧИСТ ПОДЗЕМ'!E46*СПРАВОЧНИК!$O$3+'ПЛАН ЧИСТ ПОДЗЕМ'!F46*СПРАВОЧНИК!$L$4+'ПЛАН ЧИСТ ПОДЗЕМ'!G46*СПРАВОЧНИК!$M$4+'ПЛАН ЧИСТ ПОДЗЕМ'!H46*СПРАВОЧНИК!$N$4+'ПЛАН ЧИСТ ПОДЗЕМ'!I46*СПРАВОЧНИК!$O$4+'ПЛАН ЧИСТ ПОДЗЕМ'!J46*СПРАВОЧНИК!$L$5+'ПЛАН ЧИСТ ПОДЗЕМ'!K46*СПРАВОЧНИК!$M$5+'ПЛАН ЧИСТ ПОДЗЕМ'!L46*СПРАВОЧНИК!$N$5+'ПЛАН ЧИСТ ПОДЗЕМ'!M46*СПРАВОЧНИК!$L$6+'ПЛАН ЧИСТ ПОДЗЕМ'!N46*СПРАВОЧНИК!$M$6+'ПЛАН ЧИСТ ПОДЗЕМ'!O46*СПРАВОЧНИК!$N$6+'ПЛАН ЧИСТ ПОДЗЕМ'!P46*СПРАВОЧНИК!$O$6+'ПЛАН ЧИСТ ПОДЗЕМ'!Q46*СПРАВОЧНИК!$L$7+'ПЛАН ЧИСТ ПОДЗЕМ'!R46*СПРАВОЧНИК!$M$7+'ПЛАН ЧИСТ ПОДЗЕМ'!S46*СПРАВОЧНИК!$N$7+'ПЛАН ЧИСТ ПОДЗЕМ'!T46*СПРАВОЧНИК!$O$7+'ПЛАН ЧИСТ ПОДЗЕМ'!U46*СПРАВОЧНИК!$L$8+'ПЛАН ЧИСТ ПОДЗЕМ'!V46*СПРАВОЧНИК!$M$8+'ПЛАН ЧИСТ ПОДЗЕМ'!W46*СПРАВОЧНИК!$N$8</f>
        <v/>
      </c>
      <c r="Q55" s="40">
        <f>('ФАКТ ЧИСТ ПОДЗЕМ'!B46)*СПРАВОЧНИК!$L$3+('ФАКТ ЧИСТ ПОДЗЕМ'!C46)*СПРАВОЧНИК!$M$3+('ФАКТ ЧИСТ ПОДЗЕМ'!D46)*СПРАВОЧНИК!$N$3+('ФАКТ ЧИСТ ПОДЗЕМ'!E46)*СПРАВОЧНИК!$O$3+('ФАКТ ЧИСТ ПОДЗЕМ'!F46)*СПРАВОЧНИК!$L$4+('ФАКТ ЧИСТ ПОДЗЕМ'!G46)*СПРАВОЧНИК!$M$4+('ФАКТ ЧИСТ ПОДЗЕМ'!H46)*СПРАВОЧНИК!$N$4+('ФАКТ ЧИСТ ПОДЗЕМ'!I46)*СПРАВОЧНИК!$O$4+('ФАКТ ЧИСТ ПОДЗЕМ'!J46)*СПРАВОЧНИК!$L$5+('ФАКТ ЧИСТ ПОДЗЕМ'!K46)*СПРАВОЧНИК!$M$5+('ФАКТ ЧИСТ ПОДЗЕМ'!L46)*СПРАВОЧНИК!$N$5+('ФАКТ ЧИСТ ПОДЗЕМ'!M46)*СПРАВОЧНИК!$L$6+('ФАКТ ЧИСТ ПОДЗЕМ'!N46)*СПРАВОЧНИК!$M$6+('ФАКТ ЧИСТ ПОДЗЕМ'!O46)*СПРАВОЧНИК!$N$6+('ФАКТ ЧИСТ ПОДЗЕМ'!P46)*СПРАВОЧНИК!$O$6+('ФАКТ ЧИСТ ПОДЗЕМ'!Q46)*СПРАВОЧНИК!$L$7+('ФАКТ ЧИСТ ПОДЗЕМ'!R46)*СПРАВОЧНИК!$M$7+('ФАКТ ЧИСТ ПОДЗЕМ'!S46)*СПРАВОЧНИК!$N$7+('ФАКТ ЧИСТ ПОДЗЕМ'!T46)*СПРАВОЧНИК!$O$7+('ФАКТ ЧИСТ ПОДЗЕМ'!U46)*СПРАВОЧНИК!$L$8+('ФАКТ ЧИСТ ПОДЗЕМ'!V46)*СПРАВОЧНИК!$M$8+('ФАКТ ЧИСТ ПОДЗЕМ'!W46)*СПРАВОЧНИК!$N$8</f>
        <v/>
      </c>
      <c r="U55" s="18">
        <f>U54+7</f>
        <v/>
      </c>
      <c r="V55" s="37">
        <f>СПРАВОЧНИК!$E$9*('ПЛАН ЧЕРН К1'!B46*СПРАВОЧНИК!$H$9+'ПЛАН ЧЕРН К1'!C46*СПРАВОЧНИК!$I$9+'ПЛАН ЧЕРН К1'!D46*СПРАВОЧНИК!$J$9)+СПРАВОЧНИК!$E$10*('ПЛАН ЧЕРН К1'!E46*СПРАВОЧНИК!$H$10+'ПЛАН ЧЕРН К1'!F46*СПРАВОЧНИК!$I$10+'ПЛАН ЧЕРН К1'!G46*СПРАВОЧНИК!$J$10)+СПРАВОЧНИК!$E$11*('ПЛАН ЧЕРН К1'!H46*СПРАВОЧНИК!$H$11+'ПЛАН ЧЕРН К1'!I46*СПРАВОЧНИК!$I$11+'ПЛАН ЧЕРН К1'!J46*СПРАВОЧНИК!$J$11)+СПРАВОЧНИК!$E$12*('ПЛАН ЧЕРН К1'!K46*СПРАВОЧНИК!$H$12+'ПЛАН ЧЕРН К1'!L46*СПРАВОЧНИК!$I$12+'ПЛАН ЧЕРН К1'!M46*СПРАВОЧНИК!$J$12)+СПРАВОЧНИК!$E$13*('ПЛАН ЧЕРН К1'!N46*СПРАВОЧНИК!$H$13+'ПЛАН ЧЕРН К1'!O46*СПРАВОЧНИК!$I$13+'ПЛАН ЧЕРН К1'!P46*СПРАВОЧНИК!$J$13)+СПРАВОЧНИК!$E$14*('ПЛАН ЧЕРН К1'!Q46*СПРАВОЧНИК!$H$14+'ПЛАН ЧЕРН К1'!R46*СПРАВОЧНИК!$I$14+'ПЛАН ЧЕРН К1'!S46*СПРАВОЧНИК!$J$14)+СПРАВОЧНИК!$E$15*('ПЛАН ЧЕРН К1'!T46*СПРАВОЧНИК!$H$15+'ПЛАН ЧЕРН К1'!U46*СПРАВОЧНИК!$I$15+'ПЛАН ЧЕРН К1'!V46*СПРАВОЧНИК!$J$15)+СПРАВОЧНИК!$F$9*('ПЛАН ЧИСТ К1'!B46*СПРАВОЧНИК!$L$9+'ПЛАН ЧИСТ К1'!C46*СПРАВОЧНИК!$M$9+'ПЛАН ЧИСТ К1'!D46*СПРАВОЧНИК!$N$9+'ПЛАН ЧИСТ К1'!E46*СПРАВОЧНИК!$O$9)+СПРАВОЧНИК!$F$10*('ПЛАН ЧИСТ К1'!F46*СПРАВОЧНИК!$L$10+'ПЛАН ЧИСТ К1'!G46*СПРАВОЧНИК!$M$10+'ПЛАН ЧИСТ К1'!H46*СПРАВОЧНИК!$N$10+'ПЛАН ЧИСТ К1'!I46*СПРАВОЧНИК!$O$10)+СПРАВОЧНИК!$F$11*('ПЛАН ЧИСТ К1'!J46*СПРАВОЧНИК!$L$11+'ПЛАН ЧИСТ К1'!K46*СПРАВОЧНИК!$M$11+'ПЛАН ЧИСТ К1'!L46*СПРАВОЧНИК!$N$11)+СПРАВОЧНИК!$F$12*('ПЛАН ЧИСТ К1'!M46*СПРАВОЧНИК!$L$12+'ПЛАН ЧИСТ К1'!N46*СПРАВОЧНИК!$M$12+'ПЛАН ЧИСТ К1'!O46*СПРАВОЧНИК!$N$12+'ПЛАН ЧИСТ К1'!P46*СПРАВОЧНИК!$O$12)+СПРАВОЧНИК!$F$13*('ПЛАН ЧИСТ К1'!Q46*СПРАВОЧНИК!$L$13+'ПЛАН ЧИСТ К1'!R46*СПРАВОЧНИК!$M$13+'ПЛАН ЧИСТ К1'!S46*СПРАВОЧНИК!$N$13+'ПЛАН ЧИСТ К1'!T46*СПРАВОЧНИК!$O$13)+СПРАВОЧНИК!$F$14*('ПЛАН ЧИСТ К1'!U46*СПРАВОЧНИК!$L$14+'ПЛАН ЧИСТ К1'!V46*СПРАВОЧНИК!$M$14+'ПЛАН ЧИСТ К1'!W46*СПРАВОЧНИК!$N$14)+СПРАВОЧНИК!$F$15*('ПЛАН ЧИСТ К1'!X46*СПРАВОЧНИК!$L$15+'ПЛАН ЧИСТ К1'!Y46*СПРАВОЧНИК!$M$15+'ПЛАН ЧИСТ К1'!Z46*СПРАВОЧНИК!$N$15)</f>
        <v/>
      </c>
      <c r="W55" s="40">
        <f>СПРАВОЧНИК!$E$9*(('ФАКТ ЧЕРН К1'!B46)*СПРАВОЧНИК!$H$9+('ФАКТ ЧЕРН К1'!C46)*СПРАВОЧНИК!$I$9+('ФАКТ ЧЕРН К1'!D46)*СПРАВОЧНИК!$J$9)+СПРАВОЧНИК!$E$10*(('ФАКТ ЧЕРН К1'!E46)*СПРАВОЧНИК!$H$10+('ФАКТ ЧЕРН К1'!F46)*СПРАВОЧНИК!$I$10+('ФАКТ ЧЕРН К1'!G46)*СПРАВОЧНИК!$J$10)+СПРАВОЧНИК!$E$11*(('ФАКТ ЧЕРН К1'!H46)*СПРАВОЧНИК!$H$11+('ФАКТ ЧЕРН К1'!I46)*СПРАВОЧНИК!$I$11+('ФАКТ ЧЕРН К1'!J46)*СПРАВОЧНИК!$J$11)+СПРАВОЧНИК!$E$12*(('ФАКТ ЧЕРН К1'!K46)*СПРАВОЧНИК!$H$12+('ФАКТ ЧЕРН К1'!L46)*СПРАВОЧНИК!$I$12+('ФАКТ ЧЕРН К1'!M46)*СПРАВОЧНИК!$J$12)+СПРАВОЧНИК!$E$13*(('ФАКТ ЧЕРН К1'!N46)*СПРАВОЧНИК!$H$13+('ФАКТ ЧЕРН К1'!O46)*СПРАВОЧНИК!$I$13+('ФАКТ ЧЕРН К1'!P46)*СПРАВОЧНИК!$J$13)+СПРАВОЧНИК!$E$14*(('ФАКТ ЧЕРН К1'!Q46)*СПРАВОЧНИК!$H$14+('ФАКТ ЧЕРН К1'!R46)*СПРАВОЧНИК!$I$14+('ФАКТ ЧЕРН К1'!S46)*СПРАВОЧНИК!$J$14)+СПРАВОЧНИК!$E$15*(('ФАКТ ЧЕРН К1'!T46)*СПРАВОЧНИК!$H$15+('ФАКТ ЧЕРН К1'!U46)*СПРАВОЧНИК!$I$15+('ФАКТ ЧЕРН К1'!V46)*СПРАВОЧНИК!$J$15)+СПРАВОЧНИК!$F$9*(('ФАКТ ЧИСТ К1'!B46)*СПРАВОЧНИК!$L$9+('ФАКТ ЧИСТ К1'!C46)*СПРАВОЧНИК!$M$9+('ФАКТ ЧИСТ К1'!D46)*СПРАВОЧНИК!$N$9+('ФАКТ ЧИСТ К1'!E46)*СПРАВОЧНИК!$O$9)+СПРАВОЧНИК!$F$10*(('ФАКТ ЧИСТ К1'!F46)*СПРАВОЧНИК!$L$10+('ФАКТ ЧИСТ К1'!G46)*СПРАВОЧНИК!$M$10+('ФАКТ ЧИСТ К1'!H46)*СПРАВОЧНИК!$N$10+('ФАКТ ЧИСТ К1'!I46)*СПРАВОЧНИК!$O$10)+СПРАВОЧНИК!$F$11*(('ФАКТ ЧИСТ К1'!J46)*СПРАВОЧНИК!$L$11+('ФАКТ ЧИСТ К1'!K46)*СПРАВОЧНИК!$M$11+('ФАКТ ЧИСТ К1'!L46)*СПРАВОЧНИК!$N$11)+СПРАВОЧНИК!$F$12*(('ФАКТ ЧИСТ К1'!M46)*СПРАВОЧНИК!$L$12+('ФАКТ ЧИСТ К1'!N46)*СПРАВОЧНИК!$M$12+('ФАКТ ЧИСТ К1'!O46)*СПРАВОЧНИК!$N$12+('ФАКТ ЧИСТ К1'!P46)*СПРАВОЧНИК!$O$12)+СПРАВОЧНИК!$F$13*(('ФАКТ ЧИСТ К1'!Q46)*СПРАВОЧНИК!$L$13+('ФАКТ ЧИСТ К1'!R46)*СПРАВОЧНИК!$M$13+('ФАКТ ЧИСТ К1'!S46)*СПРАВОЧНИК!$N$13+('ФАКТ ЧИСТ К1'!T46)*СПРАВОЧНИК!$O$13)+СПРАВОЧНИК!$F$14*(('ФАКТ ЧИСТ К1'!U46)*СПРАВОЧНИК!$L$14+('ФАКТ ЧИСТ К1'!V46)*СПРАВОЧНИК!$M$14+('ФАКТ ЧИСТ К1'!W46)*СПРАВОЧНИК!$N$14)+СПРАВОЧНИК!$F$15*(('ФАКТ ЧИСТ К1'!X46)*СПРАВОЧНИК!$L$15+('ФАКТ ЧИСТ К1'!Y46)*СПРАВОЧНИК!$M$15+('ФАКТ ЧИСТ К1'!Z46)*СПРАВОЧНИК!$N$15)</f>
        <v/>
      </c>
      <c r="AA55" s="18">
        <f>AA54+7</f>
        <v/>
      </c>
      <c r="AB55" s="37">
        <f>'ПЛАН ЧЕРН К1'!B46*СПРАВОЧНИК!$H$9+'ПЛАН ЧЕРН К1'!C46*СПРАВОЧНИК!$I$9+'ПЛАН ЧЕРН К1'!D46*СПРАВОЧНИК!$J$9+'ПЛАН ЧЕРН К1'!E46*СПРАВОЧНИК!$H$10+'ПЛАН ЧЕРН К1'!F46*СПРАВОЧНИК!$I$10+'ПЛАН ЧЕРН К1'!G46*СПРАВОЧНИК!$J$10+'ПЛАН ЧЕРН К1'!H46*СПРАВОЧНИК!$H$11+'ПЛАН ЧЕРН К1'!I46*СПРАВОЧНИК!$I$11+'ПЛАН ЧЕРН К1'!J46*СПРАВОЧНИК!$J$11+'ПЛАН ЧЕРН К1'!K46*СПРАВОЧНИК!$H$12+'ПЛАН ЧЕРН К1'!L46*СПРАВОЧНИК!$I$12+'ПЛАН ЧЕРН К1'!M46*СПРАВОЧНИК!$J$12+'ПЛАН ЧЕРН К1'!N46*СПРАВОЧНИК!$H$13+'ПЛАН ЧЕРН К1'!O46*СПРАВОЧНИК!$I$13+'ПЛАН ЧЕРН К1'!P46*СПРАВОЧНИК!$J$13+'ПЛАН ЧЕРН К1'!Q46*СПРАВОЧНИК!$H$14+'ПЛАН ЧЕРН К1'!R46*СПРАВОЧНИК!$I$14+'ПЛАН ЧЕРН К1'!S46*СПРАВОЧНИК!$J$14+'ПЛАН ЧЕРН К1'!T46*СПРАВОЧНИК!$H$15+'ПЛАН ЧЕРН К1'!U46*СПРАВОЧНИК!$I$15+'ПЛАН ЧЕРН К1'!V46*СПРАВОЧНИК!$J$15</f>
        <v/>
      </c>
      <c r="AC55" s="40">
        <f>('ФАКТ ЧЕРН К1'!B46)*СПРАВОЧНИК!$H$9+('ФАКТ ЧЕРН К1'!C46)*СПРАВОЧНИК!$I$9+('ФАКТ ЧЕРН К1'!D46)*СПРАВОЧНИК!$J$9+('ФАКТ ЧЕРН К1'!E46)*СПРАВОЧНИК!$H$10+('ФАКТ ЧЕРН К1'!F46)*СПРАВОЧНИК!$I$10+('ФАКТ ЧЕРН К1'!G46)*СПРАВОЧНИК!$J$10+('ФАКТ ЧЕРН К1'!H46)*СПРАВОЧНИК!$H$11+('ФАКТ ЧЕРН К1'!I46)*СПРАВОЧНИК!$I$11+('ФАКТ ЧЕРН К1'!J46)*СПРАВОЧНИК!$J$11+('ФАКТ ЧЕРН К1'!K46)*СПРАВОЧНИК!$H$12+('ФАКТ ЧЕРН К1'!L46)*СПРАВОЧНИК!$I$12+('ФАКТ ЧЕРН К1'!M46)*СПРАВОЧНИК!$J$12+('ФАКТ ЧЕРН К1'!N46)*СПРАВОЧНИК!$H$13+('ФАКТ ЧЕРН К1'!O46)*СПРАВОЧНИК!$I$13+('ФАКТ ЧЕРН К1'!P46)*СПРАВОЧНИК!$J$13+('ФАКТ ЧЕРН К1'!Q46)*СПРАВОЧНИК!$H$14+('ФАКТ ЧЕРН К1'!R46)*СПРАВОЧНИК!$I$14+('ФАКТ ЧЕРН К1'!S46)*СПРАВОЧНИК!$J$14+('ФАКТ ЧЕРН К1'!T46)*СПРАВОЧНИК!$H$15+('ФАКТ ЧЕРН К1'!U46)*СПРАВОЧНИК!$I$15+('ФАКТ ЧЕРН К1'!V46)*СПРАВОЧНИК!$J$15</f>
        <v/>
      </c>
      <c r="AG55" s="18">
        <f>AG54+7</f>
        <v/>
      </c>
      <c r="AH55" s="37">
        <f>'ПЛАН ЧИСТ К1'!B46*СПРАВОЧНИК!$L$9+'ПЛАН ЧИСТ К1'!C46*СПРАВОЧНИК!$M$9+'ПЛАН ЧИСТ К1'!D46*СПРАВОЧНИК!$N$9+'ПЛАН ЧИСТ К1'!E46*СПРАВОЧНИК!$O$9+'ПЛАН ЧИСТ К1'!F46*СПРАВОЧНИК!$L$10+'ПЛАН ЧИСТ К1'!G46*СПРАВОЧНИК!$M$10+'ПЛАН ЧИСТ К1'!H46*СПРАВОЧНИК!$N$10+'ПЛАН ЧИСТ К1'!I46*СПРАВОЧНИК!$O$10+'ПЛАН ЧИСТ К1'!J46*СПРАВОЧНИК!$L$11+'ПЛАН ЧИСТ К1'!K46*СПРАВОЧНИК!$M$11+'ПЛАН ЧИСТ К1'!L46*СПРАВОЧНИК!$N$11+'ПЛАН ЧИСТ К1'!M46*СПРАВОЧНИК!$L$12+'ПЛАН ЧИСТ К1'!N46*СПРАВОЧНИК!$M$12+'ПЛАН ЧИСТ К1'!O46*СПРАВОЧНИК!$N$12+'ПЛАН ЧИСТ К1'!P46*СПРАВОЧНИК!$O$12+'ПЛАН ЧИСТ К1'!Q46*СПРАВОЧНИК!$L$13+'ПЛАН ЧИСТ К1'!R46*СПРАВОЧНИК!$M$13+'ПЛАН ЧИСТ К1'!S46*СПРАВОЧНИК!$N$13+'ПЛАН ЧИСТ К1'!T46*СПРАВОЧНИК!$O$13+'ПЛАН ЧИСТ К1'!U46*СПРАВОЧНИК!$L$14+'ПЛАН ЧИСТ К1'!V46*СПРАВОЧНИК!$M$14+'ПЛАН ЧИСТ К1'!W46*СПРАВОЧНИК!$N$14+'ПЛАН ЧИСТ К1'!X46*СПРАВОЧНИК!$L$15+'ПЛАН ЧИСТ К1'!Y46*СПРАВОЧНИК!$M$15+'ПЛАН ЧИСТ К1'!Z46*СПРАВОЧНИК!$N$15</f>
        <v/>
      </c>
      <c r="AI55" s="40">
        <f>('ФАКТ ЧИСТ К1'!B46)*СПРАВОЧНИК!$L$9+('ФАКТ ЧИСТ К1'!C46)*СПРАВОЧНИК!$M$9+('ФАКТ ЧИСТ К1'!D46)*СПРАВОЧНИК!$N$9+('ФАКТ ЧИСТ К1'!E46)*СПРАВОЧНИК!$O$9+('ФАКТ ЧИСТ К1'!F46)*СПРАВОЧНИК!$L$10+('ФАКТ ЧИСТ К1'!G46)*СПРАВОЧНИК!$M$10+('ФАКТ ЧИСТ К1'!H46)*СПРАВОЧНИК!$N$10+('ФАКТ ЧИСТ К1'!I46)*СПРАВОЧНИК!$O$10+('ФАКТ ЧИСТ К1'!J46)*СПРАВОЧНИК!$L$11+('ФАКТ ЧИСТ К1'!K46)*СПРАВОЧНИК!$M$11+('ФАКТ ЧИСТ К1'!L46)*СПРАВОЧНИК!$N$11+('ФАКТ ЧИСТ К1'!M46)*СПРАВОЧНИК!$L$12+('ФАКТ ЧИСТ К1'!N46)*СПРАВОЧНИК!$M$12+('ФАКТ ЧИСТ К1'!O46)*СПРАВОЧНИК!$N$12+('ФАКТ ЧИСТ К1'!P46)*СПРАВОЧНИК!$O$12+('ФАКТ ЧИСТ К1'!Q46)*СПРАВОЧНИК!$L$13+('ФАКТ ЧИСТ К1'!R46)*СПРАВОЧНИК!$M$13+('ФАКТ ЧИСТ К1'!S46)*СПРАВОЧНИК!$N$13+('ФАКТ ЧИСТ К1'!T46)*СПРАВОЧНИК!$O$13+('ФАКТ ЧИСТ К1'!U46)*СПРАВОЧНИК!$L$14+('ФАКТ ЧИСТ К1'!V46)*СПРАВОЧНИК!$M$14+('ФАКТ ЧИСТ К1'!W46)*СПРАВОЧНИК!$N$14+('ФАКТ ЧИСТ К1'!X46)*СПРАВОЧНИК!$L$15+('ФАКТ ЧИСТ К1'!Y46)*СПРАВОЧНИК!$M$15+('ФАКТ ЧИСТ К1'!Z46)*СПРАВОЧНИК!$N$15</f>
        <v/>
      </c>
      <c r="AM55" s="18">
        <f>AM54+7</f>
        <v/>
      </c>
      <c r="AN55" s="37">
        <f>СПРАВОЧНИК!$E$9*('ПЛАН ЧЕРН К2'!B46*СПРАВОЧНИК!$H$9+'ПЛАН ЧЕРН К2'!C46*СПРАВОЧНИК!$I$9+'ПЛАН ЧЕРН К2'!D46*СПРАВОЧНИК!$J$9)+СПРАВОЧНИК!$E$10*('ПЛАН ЧЕРН К2'!E46*СПРАВОЧНИК!$H$10+'ПЛАН ЧЕРН К2'!F46*СПРАВОЧНИК!$I$10+'ПЛАН ЧЕРН К2'!G46*СПРАВОЧНИК!$J$10)+СПРАВОЧНИК!$E$11*('ПЛАН ЧЕРН К2'!H46*СПРАВОЧНИК!$H$11+'ПЛАН ЧЕРН К2'!I46*СПРАВОЧНИК!$I$11+'ПЛАН ЧЕРН К2'!J46*СПРАВОЧНИК!$J$11)+СПРАВОЧНИК!$E$12*('ПЛАН ЧЕРН К2'!K46*СПРАВОЧНИК!$H$12+'ПЛАН ЧЕРН К2'!L46*СПРАВОЧНИК!$I$12+'ПЛАН ЧЕРН К2'!M46*СПРАВОЧНИК!$J$12)+СПРАВОЧНИК!$E$13*('ПЛАН ЧЕРН К2'!N46*СПРАВОЧНИК!$H$13+'ПЛАН ЧЕРН К2'!O46*СПРАВОЧНИК!$I$13+'ПЛАН ЧЕРН К2'!P46*СПРАВОЧНИК!$J$13)+СПРАВОЧНИК!$E$14*('ПЛАН ЧЕРН К2'!Q46*СПРАВОЧНИК!$H$14+'ПЛАН ЧЕРН К2'!R46*СПРАВОЧНИК!$I$14+'ПЛАН ЧЕРН К2'!S46*СПРАВОЧНИК!$J$14)+СПРАВОЧНИК!$E$15*('ПЛАН ЧЕРН К2'!T46*СПРАВОЧНИК!$H$15+'ПЛАН ЧЕРН К2'!U46*СПРАВОЧНИК!$I$15+'ПЛАН ЧЕРН К2'!V46*СПРАВОЧНИК!$J$15)+СПРАВОЧНИК!$F$9*('ПЛАН ЧИСТ К2'!B46*СПРАВОЧНИК!$L$9+'ПЛАН ЧИСТ К2'!C46*СПРАВОЧНИК!$M$9+'ПЛАН ЧИСТ К2'!D46*СПРАВОЧНИК!$N$9+'ПЛАН ЧИСТ К2'!E46*СПРАВОЧНИК!$O$9)+СПРАВОЧНИК!$F$10*('ПЛАН ЧИСТ К2'!F46*СПРАВОЧНИК!$L$10+'ПЛАН ЧИСТ К2'!G46*СПРАВОЧНИК!$M$10+'ПЛАН ЧИСТ К2'!H46*СПРАВОЧНИК!$N$10+'ПЛАН ЧИСТ К2'!I46*СПРАВОЧНИК!$O$10)+СПРАВОЧНИК!$F$11*('ПЛАН ЧИСТ К2'!J46*СПРАВОЧНИК!$L$11+'ПЛАН ЧИСТ К2'!K46*СПРАВОЧНИК!$M$11+'ПЛАН ЧИСТ К2'!L46*СПРАВОЧНИК!$N$11)+СПРАВОЧНИК!$F$12*('ПЛАН ЧИСТ К2'!M46*СПРАВОЧНИК!$L$12+'ПЛАН ЧИСТ К2'!N46*СПРАВОЧНИК!$M$12+'ПЛАН ЧИСТ К2'!O46*СПРАВОЧНИК!$N$12+'ПЛАН ЧИСТ К2'!P46*СПРАВОЧНИК!$O$12)+СПРАВОЧНИК!$F$13*('ПЛАН ЧИСТ К2'!Q46*СПРАВОЧНИК!$L$13+'ПЛАН ЧИСТ К2'!R46*СПРАВОЧНИК!$M$13+'ПЛАН ЧИСТ К2'!S46*СПРАВОЧНИК!$N$13+'ПЛАН ЧИСТ К2'!T46*СПРАВОЧНИК!$O$13)+СПРАВОЧНИК!$F$14*('ПЛАН ЧИСТ К2'!U46*СПРАВОЧНИК!$L$14+'ПЛАН ЧИСТ К2'!V46*СПРАВОЧНИК!$M$14+'ПЛАН ЧИСТ К2'!W46*СПРАВОЧНИК!$N$14)+СПРАВОЧНИК!$F$15*('ПЛАН ЧИСТ К2'!X46*СПРАВОЧНИК!$L$15+'ПЛАН ЧИСТ К2'!Y46*СПРАВОЧНИК!$M$15+'ПЛАН ЧИСТ К2'!Z46*СПРАВОЧНИК!$N$15)</f>
        <v/>
      </c>
      <c r="AO55" s="40">
        <f>СПРАВОЧНИК!$E$9*(('ФАКТ ЧЕРН К2'!B46)*СПРАВОЧНИК!$H$9+('ФАКТ ЧЕРН К2'!C46)*СПРАВОЧНИК!$I$9+('ФАКТ ЧЕРН К2'!D46)*СПРАВОЧНИК!$J$9)+СПРАВОЧНИК!$E$10*(('ФАКТ ЧЕРН К2'!E46)*СПРАВОЧНИК!$H$10+('ФАКТ ЧЕРН К2'!F46)*СПРАВОЧНИК!$I$10+('ФАКТ ЧЕРН К2'!G46)*СПРАВОЧНИК!$J$10)+СПРАВОЧНИК!$E$11*(('ФАКТ ЧЕРН К2'!H46)*СПРАВОЧНИК!$H$11+('ФАКТ ЧЕРН К2'!I46)*СПРАВОЧНИК!$I$11+('ФАКТ ЧЕРН К2'!J46)*СПРАВОЧНИК!$J$11)+СПРАВОЧНИК!$E$12*(('ФАКТ ЧЕРН К2'!K46)*СПРАВОЧНИК!$H$12+('ФАКТ ЧЕРН К2'!L46)*СПРАВОЧНИК!$I$12+('ФАКТ ЧЕРН К2'!M46)*СПРАВОЧНИК!$J$12)+СПРАВОЧНИК!$E$13*(('ФАКТ ЧЕРН К2'!N46)*СПРАВОЧНИК!$H$13+('ФАКТ ЧЕРН К2'!O46)*СПРАВОЧНИК!$I$13+('ФАКТ ЧЕРН К2'!P46)*СПРАВОЧНИК!$J$13)+СПРАВОЧНИК!$E$14*(('ФАКТ ЧЕРН К2'!Q46)*СПРАВОЧНИК!$H$14+('ФАКТ ЧЕРН К2'!R46)*СПРАВОЧНИК!$I$14+('ФАКТ ЧЕРН К2'!S46)*СПРАВОЧНИК!$J$14)+СПРАВОЧНИК!$E$15*(('ФАКТ ЧЕРН К2'!T46)*СПРАВОЧНИК!$H$15+('ФАКТ ЧЕРН К2'!U46)*СПРАВОЧНИК!$I$15+('ФАКТ ЧЕРН К2'!V46)*СПРАВОЧНИК!$J$15)+СПРАВОЧНИК!$F$9*(('ФАКТ ЧИСТ К2'!B46)*СПРАВОЧНИК!$L$9+('ФАКТ ЧИСТ К2'!C46)*СПРАВОЧНИК!$M$9+('ФАКТ ЧИСТ К2'!D46)*СПРАВОЧНИК!$N$9+('ФАКТ ЧИСТ К2'!E46)*СПРАВОЧНИК!$O$9)+СПРАВОЧНИК!$F$10*(('ФАКТ ЧИСТ К2'!F46)*СПРАВОЧНИК!$L$10+('ФАКТ ЧИСТ К2'!G46)*СПРАВОЧНИК!$M$10+('ФАКТ ЧИСТ К2'!H46)*СПРАВОЧНИК!$N$10+('ФАКТ ЧИСТ К2'!I46)*СПРАВОЧНИК!$O$10)+СПРАВОЧНИК!$F$11*(('ФАКТ ЧИСТ К2'!J46)*СПРАВОЧНИК!$L$11+('ФАКТ ЧИСТ К2'!K46)*СПРАВОЧНИК!$M$11+('ФАКТ ЧИСТ К2'!L46)*СПРАВОЧНИК!$N$11)+СПРАВОЧНИК!$F$12*(('ФАКТ ЧИСТ К2'!M46)*СПРАВОЧНИК!$L$12+('ФАКТ ЧИСТ К2'!N46)*СПРАВОЧНИК!$M$12+('ФАКТ ЧИСТ К2'!O46)*СПРАВОЧНИК!$N$12+('ФАКТ ЧИСТ К2'!P46)*СПРАВОЧНИК!$O$12)+СПРАВОЧНИК!$F$13*(('ФАКТ ЧИСТ К2'!Q46)*СПРАВОЧНИК!$L$13+('ФАКТ ЧИСТ К2'!R46)*СПРАВОЧНИК!$M$13+('ФАКТ ЧИСТ К2'!S46)*СПРАВОЧНИК!$N$13+('ФАКТ ЧИСТ К2'!T46)*СПРАВОЧНИК!$O$13)+СПРАВОЧНИК!$F$14*(('ФАКТ ЧИСТ К2'!U46)*СПРАВОЧНИК!$L$14+('ФАКТ ЧИСТ К2'!V46)*СПРАВОЧНИК!$M$14+('ФАКТ ЧИСТ К2'!W46)*СПРАВОЧНИК!$N$14)+СПРАВОЧНИК!$F$15*(('ФАКТ ЧИСТ К2'!X46)*СПРАВОЧНИК!$L$15+('ФАКТ ЧИСТ К2'!Y46)*СПРАВОЧНИК!$M$15+('ФАКТ ЧИСТ К2'!Z46)*СПРАВОЧНИК!$N$15)</f>
        <v/>
      </c>
      <c r="AS55" s="18">
        <f>AS54+7</f>
        <v/>
      </c>
      <c r="AT55" s="37">
        <f>'ПЛАН ЧЕРН К2'!B46*СПРАВОЧНИК!$H$9+'ПЛАН ЧЕРН К2'!C46*СПРАВОЧНИК!$I$9+'ПЛАН ЧЕРН К2'!D46*СПРАВОЧНИК!$J$9+'ПЛАН ЧЕРН К2'!E46*СПРАВОЧНИК!$H$10+'ПЛАН ЧЕРН К2'!F46*СПРАВОЧНИК!$I$10+'ПЛАН ЧЕРН К2'!G46*СПРАВОЧНИК!$J$10+'ПЛАН ЧЕРН К2'!H46*СПРАВОЧНИК!$H$11+'ПЛАН ЧЕРН К2'!I46*СПРАВОЧНИК!$I$11+'ПЛАН ЧЕРН К2'!J46*СПРАВОЧНИК!$J$11+'ПЛАН ЧЕРН К2'!K46*СПРАВОЧНИК!$H$12+'ПЛАН ЧЕРН К2'!L46*СПРАВОЧНИК!$I$12+'ПЛАН ЧЕРН К2'!M46*СПРАВОЧНИК!$J$12+'ПЛАН ЧЕРН К2'!N46*СПРАВОЧНИК!$H$13+'ПЛАН ЧЕРН К2'!O46*СПРАВОЧНИК!$I$13+'ПЛАН ЧЕРН К2'!P46*СПРАВОЧНИК!$J$13+'ПЛАН ЧЕРН К2'!Q46*СПРАВОЧНИК!$H$14+'ПЛАН ЧЕРН К2'!R46*СПРАВОЧНИК!$I$14+'ПЛАН ЧЕРН К2'!S46*СПРАВОЧНИК!$J$14+'ПЛАН ЧЕРН К2'!T46*СПРАВОЧНИК!$H$15+'ПЛАН ЧЕРН К2'!U46*СПРАВОЧНИК!$I$15+'ПЛАН ЧЕРН К2'!V46*СПРАВОЧНИК!$J$15</f>
        <v/>
      </c>
      <c r="AU55" s="40">
        <f>('ФАКТ ЧЕРН К2'!B46)*СПРАВОЧНИК!$H$9+('ФАКТ ЧЕРН К2'!C46)*СПРАВОЧНИК!$I$9+('ФАКТ ЧЕРН К2'!D46)*СПРАВОЧНИК!$J$9+('ФАКТ ЧЕРН К2'!E46)*СПРАВОЧНИК!$H$10+('ФАКТ ЧЕРН К2'!F46)*СПРАВОЧНИК!$I$10+('ФАКТ ЧЕРН К2'!G46)*СПРАВОЧНИК!$J$10+('ФАКТ ЧЕРН К2'!H46)*СПРАВОЧНИК!$H$11+('ФАКТ ЧЕРН К2'!I46)*СПРАВОЧНИК!$I$11+('ФАКТ ЧЕРН К2'!J46)*СПРАВОЧНИК!$J$11+('ФАКТ ЧЕРН К2'!K46)*СПРАВОЧНИК!$H$12+('ФАКТ ЧЕРН К2'!L46)*СПРАВОЧНИК!$I$12+('ФАКТ ЧЕРН К2'!M46)*СПРАВОЧНИК!$J$12+('ФАКТ ЧЕРН К2'!N46)*СПРАВОЧНИК!$H$13+('ФАКТ ЧЕРН К2'!O46)*СПРАВОЧНИК!$I$13+('ФАКТ ЧЕРН К2'!P46)*СПРАВОЧНИК!$J$13+('ФАКТ ЧЕРН К2'!Q46)*СПРАВОЧНИК!$H$14+('ФАКТ ЧЕРН К2'!R46)*СПРАВОЧНИК!$I$14+('ФАКТ ЧЕРН К2'!S46)*СПРАВОЧНИК!$J$14+('ФАКТ ЧЕРН К2'!T46)*СПРАВОЧНИК!$H$15+('ФАКТ ЧЕРН К2'!U46)*СПРАВОЧНИК!$I$15+('ФАКТ ЧЕРН К2'!V46)*СПРАВОЧНИК!$J$15</f>
        <v/>
      </c>
      <c r="AY55" s="18">
        <f>AY54+7</f>
        <v/>
      </c>
      <c r="AZ55" s="37">
        <f>'ПЛАН ЧИСТ К2'!B46*СПРАВОЧНИК!$L$9+'ПЛАН ЧИСТ К2'!C46*СПРАВОЧНИК!$M$9+'ПЛАН ЧИСТ К2'!D46*СПРАВОЧНИК!$N$9+'ПЛАН ЧИСТ К2'!E46*СПРАВОЧНИК!$O$9+'ПЛАН ЧИСТ К2'!F46*СПРАВОЧНИК!$L$10+'ПЛАН ЧИСТ К2'!G46*СПРАВОЧНИК!$M$10+'ПЛАН ЧИСТ К2'!H46*СПРАВОЧНИК!$N$10+'ПЛАН ЧИСТ К2'!I46*СПРАВОЧНИК!$O$10+'ПЛАН ЧИСТ К2'!J46*СПРАВОЧНИК!$L$11+'ПЛАН ЧИСТ К2'!K46*СПРАВОЧНИК!$M$11+'ПЛАН ЧИСТ К2'!L46*СПРАВОЧНИК!$N$11+'ПЛАН ЧИСТ К2'!M46*СПРАВОЧНИК!$L$12+'ПЛАН ЧИСТ К2'!N46*СПРАВОЧНИК!$M$12+'ПЛАН ЧИСТ К2'!O46*СПРАВОЧНИК!$N$12+'ПЛАН ЧИСТ К2'!P46*СПРАВОЧНИК!$O$12+'ПЛАН ЧИСТ К2'!Q46*СПРАВОЧНИК!$L$13+'ПЛАН ЧИСТ К2'!R46*СПРАВОЧНИК!$M$13+'ПЛАН ЧИСТ К2'!S46*СПРАВОЧНИК!$N$13+'ПЛАН ЧИСТ К2'!T46*СПРАВОЧНИК!$O$13+'ПЛАН ЧИСТ К2'!U46*СПРАВОЧНИК!$L$14+'ПЛАН ЧИСТ К2'!V46*СПРАВОЧНИК!$M$14+'ПЛАН ЧИСТ К2'!W46*СПРАВОЧНИК!$N$14+'ПЛАН ЧИСТ К2'!X46*СПРАВОЧНИК!$L$15+'ПЛАН ЧИСТ К2'!Y46*СПРАВОЧНИК!$M$15+'ПЛАН ЧИСТ К2'!Z46*СПРАВОЧНИК!$N$15</f>
        <v/>
      </c>
      <c r="BA55" s="40">
        <f>('ФАКТ ЧИСТ К2'!B46)*СПРАВОЧНИК!$L$9+('ФАКТ ЧИСТ К2'!C46)*СПРАВОЧНИК!$M$9+('ФАКТ ЧИСТ К2'!D46)*СПРАВОЧНИК!$N$9+('ФАКТ ЧИСТ К2'!E46)*СПРАВОЧНИК!$O$9+('ФАКТ ЧИСТ К2'!F46)*СПРАВОЧНИК!$L$10+('ФАКТ ЧИСТ К2'!G46)*СПРАВОЧНИК!$M$10+('ФАКТ ЧИСТ К2'!H46)*СПРАВОЧНИК!$N$10+('ФАКТ ЧИСТ К2'!I46)*СПРАВОЧНИК!$O$10+('ФАКТ ЧИСТ К2'!J46)*СПРАВОЧНИК!$L$11+('ФАКТ ЧИСТ К2'!K46)*СПРАВОЧНИК!$M$11+('ФАКТ ЧИСТ К2'!L46)*СПРАВОЧНИК!$N$11+('ФАКТ ЧИСТ К2'!M46)*СПРАВОЧНИК!$L$12+('ФАКТ ЧИСТ К2'!N46)*СПРАВОЧНИК!$M$12+('ФАКТ ЧИСТ К2'!O46)*СПРАВОЧНИК!$N$12+('ФАКТ ЧИСТ К2'!P46)*СПРАВОЧНИК!$O$12+('ФАКТ ЧИСТ К2'!Q46)*СПРАВОЧНИК!$L$13+('ФАКТ ЧИСТ К2'!R46)*СПРАВОЧНИК!$M$13+('ФАКТ ЧИСТ К2'!S46)*СПРАВОЧНИК!$N$13+('ФАКТ ЧИСТ К2'!T46)*СПРАВОЧНИК!$O$13+('ФАКТ ЧИСТ К2'!U46)*СПРАВОЧНИК!$L$14+('ФАКТ ЧИСТ К2'!V46)*СПРАВОЧНИК!$M$14+('ФАКТ ЧИСТ К2'!W46)*СПРАВОЧНИК!$N$14+('ФАКТ ЧИСТ К2'!X46)*СПРАВОЧНИК!$L$15+('ФАКТ ЧИСТ К2'!Y46)*СПРАВОЧНИК!$M$15+('ФАКТ ЧИСТ К2'!Z46)*СПРАВОЧНИК!$N$15</f>
        <v/>
      </c>
      <c r="BE55" s="18">
        <f>BE54+7</f>
        <v/>
      </c>
      <c r="BF55" s="37">
        <f>СПРАВОЧНИК!$E$9*('ПЛАН ЧЕРН К3'!B46*СПРАВОЧНИК!$H$9+'ПЛАН ЧЕРН К3'!C46*СПРАВОЧНИК!$I$9+'ПЛАН ЧЕРН К3'!D46*СПРАВОЧНИК!$J$9)+СПРАВОЧНИК!$E$10*('ПЛАН ЧЕРН К3'!E46*СПРАВОЧНИК!$H$10+'ПЛАН ЧЕРН К3'!F46*СПРАВОЧНИК!$I$10+'ПЛАН ЧЕРН К3'!G46*СПРАВОЧНИК!$J$10)+СПРАВОЧНИК!$E$11*('ПЛАН ЧЕРН К3'!H46*СПРАВОЧНИК!$H$11+'ПЛАН ЧЕРН К3'!I46*СПРАВОЧНИК!$I$11+'ПЛАН ЧЕРН К3'!J46*СПРАВОЧНИК!$J$11)+СПРАВОЧНИК!$E$12*('ПЛАН ЧЕРН К3'!K46*СПРАВОЧНИК!$H$12+'ПЛАН ЧЕРН К3'!L46*СПРАВОЧНИК!$I$12+'ПЛАН ЧЕРН К3'!M46*СПРАВОЧНИК!$J$12)+СПРАВОЧНИК!$E$13*('ПЛАН ЧЕРН К3'!N46*СПРАВОЧНИК!$H$13+'ПЛАН ЧЕРН К3'!O46*СПРАВОЧНИК!$I$13+'ПЛАН ЧЕРН К3'!P46*СПРАВОЧНИК!$J$13)+СПРАВОЧНИК!$E$14*('ПЛАН ЧЕРН К3'!Q46*СПРАВОЧНИК!$H$14+'ПЛАН ЧЕРН К3'!R46*СПРАВОЧНИК!$I$14+'ПЛАН ЧЕРН К3'!S46*СПРАВОЧНИК!$J$14)+СПРАВОЧНИК!$E$15*('ПЛАН ЧЕРН К3'!T46*СПРАВОЧНИК!$H$15+'ПЛАН ЧЕРН К3'!U46*СПРАВОЧНИК!$I$15+'ПЛАН ЧЕРН К3'!V46*СПРАВОЧНИК!$J$15)+СПРАВОЧНИК!$F$9*('ПЛАН ЧИСТ К3'!B46*СПРАВОЧНИК!$L$9+'ПЛАН ЧИСТ К3'!C46*СПРАВОЧНИК!$M$9+'ПЛАН ЧИСТ К3'!D46*СПРАВОЧНИК!$N$9+'ПЛАН ЧИСТ К3'!E46*СПРАВОЧНИК!$O$9)+СПРАВОЧНИК!$F$10*('ПЛАН ЧИСТ К3'!F46*СПРАВОЧНИК!$L$10+'ПЛАН ЧИСТ К3'!G46*СПРАВОЧНИК!$M$10+'ПЛАН ЧИСТ К3'!H46*СПРАВОЧНИК!$N$10+'ПЛАН ЧИСТ К3'!I46*СПРАВОЧНИК!$O$10)+СПРАВОЧНИК!$F$11*('ПЛАН ЧИСТ К3'!J46*СПРАВОЧНИК!$L$11+'ПЛАН ЧИСТ К3'!K46*СПРАВОЧНИК!$M$11+'ПЛАН ЧИСТ К3'!L46*СПРАВОЧНИК!$N$11)+СПРАВОЧНИК!$F$12*('ПЛАН ЧИСТ К3'!M46*СПРАВОЧНИК!$L$12+'ПЛАН ЧИСТ К3'!N46*СПРАВОЧНИК!$M$12+'ПЛАН ЧИСТ К3'!O46*СПРАВОЧНИК!$N$12+'ПЛАН ЧИСТ К3'!P46*СПРАВОЧНИК!$O$12)+СПРАВОЧНИК!$F$13*('ПЛАН ЧИСТ К3'!Q46*СПРАВОЧНИК!$L$13+'ПЛАН ЧИСТ К3'!R46*СПРАВОЧНИК!$M$13+'ПЛАН ЧИСТ К3'!S46*СПРАВОЧНИК!$N$13+'ПЛАН ЧИСТ К3'!T46*СПРАВОЧНИК!$O$13)+СПРАВОЧНИК!$F$14*('ПЛАН ЧИСТ К3'!U46*СПРАВОЧНИК!$L$14+'ПЛАН ЧИСТ К3'!V46*СПРАВОЧНИК!$M$14+'ПЛАН ЧИСТ К3'!W46*СПРАВОЧНИК!$N$14)+СПРАВОЧНИК!$F$15*('ПЛАН ЧИСТ К3'!X46*СПРАВОЧНИК!$L$15+'ПЛАН ЧИСТ К3'!Y46*СПРАВОЧНИК!$M$15+'ПЛАН ЧИСТ К3'!Z46*СПРАВОЧНИК!$N$15)</f>
        <v/>
      </c>
      <c r="BG55" s="40">
        <f>СПРАВОЧНИК!$E$9*(('ФАКТ ЧЕРН К3'!B46)*СПРАВОЧНИК!$H$9+('ФАКТ ЧЕРН К3'!C46)*СПРАВОЧНИК!$I$9+('ФАКТ ЧЕРН К3'!D46)*СПРАВОЧНИК!$J$9)+СПРАВОЧНИК!$E$10*(('ФАКТ ЧЕРН К3'!E46)*СПРАВОЧНИК!$H$10+('ФАКТ ЧЕРН К3'!F46)*СПРАВОЧНИК!$I$10+('ФАКТ ЧЕРН К3'!G46)*СПРАВОЧНИК!$J$10)+СПРАВОЧНИК!$E$11*(('ФАКТ ЧЕРН К3'!H46)*СПРАВОЧНИК!$H$11+('ФАКТ ЧЕРН К3'!I46)*СПРАВОЧНИК!$I$11+('ФАКТ ЧЕРН К3'!J46)*СПРАВОЧНИК!$J$11)+СПРАВОЧНИК!$E$12*(('ФАКТ ЧЕРН К3'!K46)*СПРАВОЧНИК!$H$12+('ФАКТ ЧЕРН К3'!L46)*СПРАВОЧНИК!$I$12+('ФАКТ ЧЕРН К3'!M46)*СПРАВОЧНИК!$J$12)+СПРАВОЧНИК!$E$13*(('ФАКТ ЧЕРН К3'!N46)*СПРАВОЧНИК!$H$13+('ФАКТ ЧЕРН К3'!O46)*СПРАВОЧНИК!$I$13+('ФАКТ ЧЕРН К3'!P46)*СПРАВОЧНИК!$J$13)+СПРАВОЧНИК!$E$14*(('ФАКТ ЧЕРН К3'!Q46)*СПРАВОЧНИК!$H$14+('ФАКТ ЧЕРН К3'!R46)*СПРАВОЧНИК!$I$14+('ФАКТ ЧЕРН К3'!S46)*СПРАВОЧНИК!$J$14)+СПРАВОЧНИК!$E$15*(('ФАКТ ЧЕРН К3'!T46)*СПРАВОЧНИК!$H$15+('ФАКТ ЧЕРН К3'!U46)*СПРАВОЧНИК!$I$15+('ФАКТ ЧЕРН К3'!V46)*СПРАВОЧНИК!$J$15)+СПРАВОЧНИК!$F$9*(('ФАКТ ЧИСТ К3'!B46)*СПРАВОЧНИК!$L$9+('ФАКТ ЧИСТ К3'!C46)*СПРАВОЧНИК!$M$9+('ФАКТ ЧИСТ К3'!D46)*СПРАВОЧНИК!$N$9+('ФАКТ ЧИСТ К3'!E46)*СПРАВОЧНИК!$O$9)+СПРАВОЧНИК!$F$10*(('ФАКТ ЧИСТ К3'!F46)*СПРАВОЧНИК!$L$10+('ФАКТ ЧИСТ К3'!G46)*СПРАВОЧНИК!$M$10+('ФАКТ ЧИСТ К3'!H46)*СПРАВОЧНИК!$N$10+('ФАКТ ЧИСТ К3'!I46)*СПРАВОЧНИК!$O$10)+СПРАВОЧНИК!$F$11*(('ФАКТ ЧИСТ К3'!J46)*СПРАВОЧНИК!$L$11+('ФАКТ ЧИСТ К3'!K46)*СПРАВОЧНИК!$M$11+('ФАКТ ЧИСТ К3'!L46)*СПРАВОЧНИК!$N$11)+СПРАВОЧНИК!$F$12*(('ФАКТ ЧИСТ К3'!M46)*СПРАВОЧНИК!$L$12+('ФАКТ ЧИСТ К3'!N46)*СПРАВОЧНИК!$M$12+('ФАКТ ЧИСТ К3'!O46)*СПРАВОЧНИК!$N$12+('ФАКТ ЧИСТ К3'!P46)*СПРАВОЧНИК!$O$12)+СПРАВОЧНИК!$F$13*(('ФАКТ ЧИСТ К3'!Q46)*СПРАВОЧНИК!$L$13+('ФАКТ ЧИСТ К3'!R46)*СПРАВОЧНИК!$M$13+('ФАКТ ЧИСТ К3'!S46)*СПРАВОЧНИК!$N$13+('ФАКТ ЧИСТ К3'!T46)*СПРАВОЧНИК!$O$13)+СПРАВОЧНИК!$F$14*(('ФАКТ ЧИСТ К3'!U46)*СПРАВОЧНИК!$L$14+('ФАКТ ЧИСТ К3'!V46)*СПРАВОЧНИК!$M$14+('ФАКТ ЧИСТ К3'!W46)*СПРАВОЧНИК!$N$14)+СПРАВОЧНИК!$F$15*(('ФАКТ ЧИСТ К3'!X46)*СПРАВОЧНИК!$L$15+('ФАКТ ЧИСТ К3'!Y46)*СПРАВОЧНИК!$M$15+('ФАКТ ЧИСТ К3'!Z46)*СПРАВОЧНИК!$N$15)</f>
        <v/>
      </c>
      <c r="BK55" s="18">
        <f>BK54+7</f>
        <v/>
      </c>
      <c r="BL55" s="37">
        <f>'ПЛАН ЧЕРН К3'!B46*СПРАВОЧНИК!$H$9+'ПЛАН ЧЕРН К3'!C46*СПРАВОЧНИК!$I$9+'ПЛАН ЧЕРН К3'!D46*СПРАВОЧНИК!$J$9+'ПЛАН ЧЕРН К3'!E46*СПРАВОЧНИК!$H$10+'ПЛАН ЧЕРН К3'!F46*СПРАВОЧНИК!$I$10+'ПЛАН ЧЕРН К3'!G46*СПРАВОЧНИК!$J$10+'ПЛАН ЧЕРН К3'!H46*СПРАВОЧНИК!$H$11+'ПЛАН ЧЕРН К3'!I46*СПРАВОЧНИК!$I$11+'ПЛАН ЧЕРН К3'!J46*СПРАВОЧНИК!$J$11+'ПЛАН ЧЕРН К3'!K46*СПРАВОЧНИК!$H$12+'ПЛАН ЧЕРН К3'!L46*СПРАВОЧНИК!$I$12+'ПЛАН ЧЕРН К3'!M46*СПРАВОЧНИК!$J$12+'ПЛАН ЧЕРН К3'!N46*СПРАВОЧНИК!$H$13+'ПЛАН ЧЕРН К3'!O46*СПРАВОЧНИК!$I$13+'ПЛАН ЧЕРН К3'!P46*СПРАВОЧНИК!$J$13+'ПЛАН ЧЕРН К3'!Q46*СПРАВОЧНИК!$H$14+'ПЛАН ЧЕРН К3'!R46*СПРАВОЧНИК!$I$14+'ПЛАН ЧЕРН К3'!S46*СПРАВОЧНИК!$J$14+'ПЛАН ЧЕРН К3'!T46*СПРАВОЧНИК!$H$15+'ПЛАН ЧЕРН К3'!U46*СПРАВОЧНИК!$I$15+'ПЛАН ЧЕРН К3'!V46*СПРАВОЧНИК!$J$15</f>
        <v/>
      </c>
      <c r="BM55" s="40">
        <f>('ФАКТ ЧЕРН К3'!B46)*СПРАВОЧНИК!$H$9+('ФАКТ ЧЕРН К3'!C46)*СПРАВОЧНИК!$I$9+('ФАКТ ЧЕРН К3'!D46)*СПРАВОЧНИК!$J$9+('ФАКТ ЧЕРН К3'!E46)*СПРАВОЧНИК!$H$10+('ФАКТ ЧЕРН К3'!F46)*СПРАВОЧНИК!$I$10+('ФАКТ ЧЕРН К3'!G46)*СПРАВОЧНИК!$J$10+('ФАКТ ЧЕРН К3'!H46)*СПРАВОЧНИК!$H$11+('ФАКТ ЧЕРН К3'!I46)*СПРАВОЧНИК!$I$11+('ФАКТ ЧЕРН К3'!J46)*СПРАВОЧНИК!$J$11+('ФАКТ ЧЕРН К3'!K46)*СПРАВОЧНИК!$H$12+('ФАКТ ЧЕРН К3'!L46)*СПРАВОЧНИК!$I$12+('ФАКТ ЧЕРН К3'!M46)*СПРАВОЧНИК!$J$12+('ФАКТ ЧЕРН К3'!N46)*СПРАВОЧНИК!$H$13+('ФАКТ ЧЕРН К3'!O46)*СПРАВОЧНИК!$I$13+('ФАКТ ЧЕРН К3'!P46)*СПРАВОЧНИК!$J$13+('ФАКТ ЧЕРН К3'!Q46)*СПРАВОЧНИК!$H$14+('ФАКТ ЧЕРН К3'!R46)*СПРАВОЧНИК!$I$14+('ФАКТ ЧЕРН К3'!S46)*СПРАВОЧНИК!$J$14+('ФАКТ ЧЕРН К3'!T46)*СПРАВОЧНИК!$H$15+('ФАКТ ЧЕРН К3'!U46)*СПРАВОЧНИК!$I$15+('ФАКТ ЧЕРН К3'!V46)*СПРАВОЧНИК!$J$15</f>
        <v/>
      </c>
      <c r="BQ55" s="18">
        <f>BQ54+7</f>
        <v/>
      </c>
      <c r="BR55" s="37">
        <f>'ПЛАН ЧИСТ К3'!B46*СПРАВОЧНИК!$L$9+'ПЛАН ЧИСТ К3'!C46*СПРАВОЧНИК!$M$9+'ПЛАН ЧИСТ К3'!D46*СПРАВОЧНИК!$N$9+'ПЛАН ЧИСТ К3'!E46*СПРАВОЧНИК!$O$9+'ПЛАН ЧИСТ К3'!F46*СПРАВОЧНИК!$L$10+'ПЛАН ЧИСТ К3'!G46*СПРАВОЧНИК!$M$10+'ПЛАН ЧИСТ К3'!H46*СПРАВОЧНИК!$N$10+'ПЛАН ЧИСТ К3'!I46*СПРАВОЧНИК!$O$10+'ПЛАН ЧИСТ К3'!J46*СПРАВОЧНИК!$L$11+'ПЛАН ЧИСТ К3'!K46*СПРАВОЧНИК!$M$11+'ПЛАН ЧИСТ К3'!L46*СПРАВОЧНИК!$N$11+'ПЛАН ЧИСТ К3'!M46*СПРАВОЧНИК!$L$12+'ПЛАН ЧИСТ К3'!N46*СПРАВОЧНИК!$M$12+'ПЛАН ЧИСТ К3'!O46*СПРАВОЧНИК!$N$12+'ПЛАН ЧИСТ К3'!P46*СПРАВОЧНИК!$O$12+'ПЛАН ЧИСТ К3'!Q46*СПРАВОЧНИК!$L$13+'ПЛАН ЧИСТ К3'!R46*СПРАВОЧНИК!$M$13+'ПЛАН ЧИСТ К3'!S46*СПРАВОЧНИК!$N$13+'ПЛАН ЧИСТ К3'!T46*СПРАВОЧНИК!$O$13+'ПЛАН ЧИСТ К3'!U46*СПРАВОЧНИК!$L$14+'ПЛАН ЧИСТ К3'!V46*СПРАВОЧНИК!$M$14+'ПЛАН ЧИСТ К3'!W46*СПРАВОЧНИК!$N$14+'ПЛАН ЧИСТ К3'!X46*СПРАВОЧНИК!$L$15+'ПЛАН ЧИСТ К3'!Y46*СПРАВОЧНИК!$M$15+'ПЛАН ЧИСТ К3'!Z46*СПРАВОЧНИК!$N$15</f>
        <v/>
      </c>
      <c r="BS55" s="40">
        <f>('ФАКТ ЧИСТ К3'!B46)*СПРАВОЧНИК!$L$9+('ФАКТ ЧИСТ К3'!C46)*СПРАВОЧНИК!$M$9+('ФАКТ ЧИСТ К3'!D46)*СПРАВОЧНИК!$N$9+('ФАКТ ЧИСТ К3'!E46)*СПРАВОЧНИК!$O$9+('ФАКТ ЧИСТ К3'!F46)*СПРАВОЧНИК!$L$10+('ФАКТ ЧИСТ К3'!G46)*СПРАВОЧНИК!$M$10+('ФАКТ ЧИСТ К3'!H46)*СПРАВОЧНИК!$N$10+('ФАКТ ЧИСТ К3'!I46)*СПРАВОЧНИК!$O$10+('ФАКТ ЧИСТ К3'!J46)*СПРАВОЧНИК!$L$11+('ФАКТ ЧИСТ К3'!K46)*СПРАВОЧНИК!$M$11+('ФАКТ ЧИСТ К3'!L46)*СПРАВОЧНИК!$N$11+('ФАКТ ЧИСТ К3'!M46)*СПРАВОЧНИК!$L$12+('ФАКТ ЧИСТ К3'!N46)*СПРАВОЧНИК!$M$12+('ФАКТ ЧИСТ К3'!O46)*СПРАВОЧНИК!$N$12+('ФАКТ ЧИСТ К3'!P46)*СПРАВОЧНИК!$O$12+('ФАКТ ЧИСТ К3'!Q46)*СПРАВОЧНИК!$L$13+('ФАКТ ЧИСТ К3'!R46)*СПРАВОЧНИК!$M$13+('ФАКТ ЧИСТ К3'!S46)*СПРАВОЧНИК!$N$13+('ФАКТ ЧИСТ К3'!T46)*СПРАВОЧНИК!$O$13+('ФАКТ ЧИСТ К3'!U46)*СПРАВОЧНИК!$L$14+('ФАКТ ЧИСТ К3'!V46)*СПРАВОЧНИК!$M$14+('ФАКТ ЧИСТ К3'!W46)*СПРАВОЧНИК!$N$14+('ФАКТ ЧИСТ К3'!X46)*СПРАВОЧНИК!$L$15+('ФАКТ ЧИСТ К3'!Y46)*СПРАВОЧНИК!$M$15+('ФАКТ ЧИСТ К3'!Z46)*СПРАВОЧНИК!$N$15</f>
        <v/>
      </c>
      <c r="BW55" s="18">
        <f>BW54+7</f>
        <v/>
      </c>
      <c r="BX55" s="37">
        <f>V55+AN55+BF55</f>
        <v/>
      </c>
      <c r="BY55" s="40">
        <f>W55+AO55+BG55</f>
        <v/>
      </c>
      <c r="CC55" s="18">
        <f>CC54+7</f>
        <v/>
      </c>
      <c r="CD55" s="37">
        <f>AB55+AT55+BL55</f>
        <v/>
      </c>
      <c r="CE55" s="40">
        <f>AC55+AU55+BM55</f>
        <v/>
      </c>
      <c r="CI55" s="18">
        <f>CI54+7</f>
        <v/>
      </c>
      <c r="CJ55" s="37">
        <f>AH55+AZ55+BR55</f>
        <v/>
      </c>
      <c r="CK55" s="40">
        <f>AI55+BA55+BS55</f>
        <v/>
      </c>
      <c r="CO55" s="18">
        <f>CO54+7</f>
        <v/>
      </c>
      <c r="CP55" s="37">
        <f>D55+BX55</f>
        <v/>
      </c>
      <c r="CQ55" s="40">
        <f>E55+BY55</f>
        <v/>
      </c>
      <c r="CU55" s="18">
        <f>CU54+7</f>
        <v/>
      </c>
      <c r="CV55" s="37">
        <f>J55+CD55</f>
        <v/>
      </c>
      <c r="CW55" s="40">
        <f>K55+CE55</f>
        <v/>
      </c>
      <c r="DA55" s="18">
        <f>DA54+7</f>
        <v/>
      </c>
      <c r="DB55" s="37">
        <f>P55+CJ55</f>
        <v/>
      </c>
      <c r="DC55" s="40">
        <f>Q55+CK55</f>
        <v/>
      </c>
    </row>
    <row r="56">
      <c r="C56" s="18">
        <f>C55+7</f>
        <v/>
      </c>
      <c r="D56" s="37">
        <f>СПРАВОЧНИК!$E$3*('ПЛАН ЧЕРН ПОДЗЕМ'!B47*СПРАВОЧНИК!$H$3+'ПЛАН ЧЕРН ПОДЗЕМ'!C47*СПРАВОЧНИК!$I$3+'ПЛАН ЧЕРН ПОДЗЕМ'!D47*СПРАВОЧНИК!$J$3)+СПРАВОЧНИК!$E$4*('ПЛАН ЧЕРН ПОДЗЕМ'!E47*СПРАВОЧНИК!$H$4+'ПЛАН ЧЕРН ПОДЗЕМ'!F47*СПРАВОЧНИК!$I$4+'ПЛАН ЧЕРН ПОДЗЕМ'!G47*СПРАВОЧНИК!$J$4)+СПРАВОЧНИК!$E$5*('ПЛАН ЧЕРН ПОДЗЕМ'!H47*СПРАВОЧНИК!$H$5+'ПЛАН ЧЕРН ПОДЗЕМ'!I47*СПРАВОЧНИК!$I$5+'ПЛАН ЧЕРН ПОДЗЕМ'!J47*СПРАВОЧНИК!$J$5)+СПРАВОЧНИК!$E$6*('ПЛАН ЧЕРН ПОДЗЕМ'!K47*СПРАВОЧНИК!$H$6+'ПЛАН ЧЕРН ПОДЗЕМ'!L47*СПРАВОЧНИК!$I$6+'ПЛАН ЧЕРН ПОДЗЕМ'!M47*СПРАВОЧНИК!$J$6)+СПРАВОЧНИК!$E$7*('ПЛАН ЧЕРН ПОДЗЕМ'!N47*СПРАВОЧНИК!$H$7+'ПЛАН ЧЕРН ПОДЗЕМ'!O47*СПРАВОЧНИК!$I$7+'ПЛАН ЧЕРН ПОДЗЕМ'!P47*СПРАВОЧНИК!$J$7)+СПРАВОЧНИК!$E$8*('ПЛАН ЧЕРН ПОДЗЕМ'!Q47*СПРАВОЧНИК!$H$8+'ПЛАН ЧЕРН ПОДЗЕМ'!R47*СПРАВОЧНИК!$I$8+'ПЛАН ЧЕРН ПОДЗЕМ'!S47*СПРАВОЧНИК!$J$8)+СПРАВОЧНИК!$F$3*('ПЛАН ЧИСТ ПОДЗЕМ'!B47*СПРАВОЧНИК!$L$3+'ПЛАН ЧИСТ ПОДЗЕМ'!C47*СПРАВОЧНИК!$M$3+'ПЛАН ЧИСТ ПОДЗЕМ'!D47*СПРАВОЧНИК!$N$3+'ПЛАН ЧИСТ ПОДЗЕМ'!E47*СПРАВОЧНИК!$O$3)+СПРАВОЧНИК!$F$4*('ПЛАН ЧИСТ ПОДЗЕМ'!F47*СПРАВОЧНИК!$L$4+'ПЛАН ЧИСТ ПОДЗЕМ'!G47*СПРАВОЧНИК!$M$4+'ПЛАН ЧИСТ ПОДЗЕМ'!H47*СПРАВОЧНИК!$N$4+'ПЛАН ЧИСТ ПОДЗЕМ'!I47*СПРАВОЧНИК!$O$4)+СПРАВОЧНИК!$F$5*('ПЛАН ЧИСТ ПОДЗЕМ'!J47*СПРАВОЧНИК!$L$5+'ПЛАН ЧИСТ ПОДЗЕМ'!K47*СПРАВОЧНИК!$M$5+'ПЛАН ЧИСТ ПОДЗЕМ'!L47*СПРАВОЧНИК!$N$5)+СПРАВОЧНИК!$F$6*('ПЛАН ЧИСТ ПОДЗЕМ'!M47*СПРАВОЧНИК!$L$6+'ПЛАН ЧИСТ ПОДЗЕМ'!N47*СПРАВОЧНИК!$M$6+'ПЛАН ЧИСТ ПОДЗЕМ'!O47*СПРАВОЧНИК!$N$6+'ПЛАН ЧИСТ ПОДЗЕМ'!P47*СПРАВОЧНИК!$O$6)+СПРАВОЧНИК!$F$7*('ПЛАН ЧИСТ ПОДЗЕМ'!Q47*СПРАВОЧНИК!$L$7+'ПЛАН ЧИСТ ПОДЗЕМ'!R47*СПРАВОЧНИК!$M$7+'ПЛАН ЧИСТ ПОДЗЕМ'!S47*СПРАВОЧНИК!$N$7+'ПЛАН ЧИСТ ПОДЗЕМ'!T47*СПРАВОЧНИК!$O$7)+СПРАВОЧНИК!$F$8*('ПЛАН ЧИСТ ПОДЗЕМ'!U47*СПРАВОЧНИК!$L$8+'ПЛАН ЧИСТ ПОДЗЕМ'!V47*СПРАВОЧНИК!$M$8+'ПЛАН ЧИСТ ПОДЗЕМ'!W47*СПРАВОЧНИК!$N$8)</f>
        <v/>
      </c>
      <c r="E56" s="40">
        <f>СПРАВОЧНИК!$E$3*(('ФАКТ ЧЕРН ПОДЗЕМ'!B47)*СПРАВОЧНИК!$H$3+('ФАКТ ЧЕРН ПОДЗЕМ'!C47)*СПРАВОЧНИК!$I$3+('ФАКТ ЧЕРН ПОДЗЕМ'!D47)*СПРАВОЧНИК!$J$3)+СПРАВОЧНИК!$E$4*(('ФАКТ ЧЕРН ПОДЗЕМ'!E47)*СПРАВОЧНИК!$H$4+('ФАКТ ЧЕРН ПОДЗЕМ'!F47)*СПРАВОЧНИК!$I$4+('ФАКТ ЧЕРН ПОДЗЕМ'!G47)*СПРАВОЧНИК!$J$4)+СПРАВОЧНИК!$E$5*(('ФАКТ ЧЕРН ПОДЗЕМ'!H47)*СПРАВОЧНИК!$H$5+('ФАКТ ЧЕРН ПОДЗЕМ'!I47)*СПРАВОЧНИК!$I$5+('ФАКТ ЧЕРН ПОДЗЕМ'!J47)*СПРАВОЧНИК!$J$5)+СПРАВОЧНИК!$E$6*(('ФАКТ ЧЕРН ПОДЗЕМ'!K47)*СПРАВОЧНИК!$H$6+('ФАКТ ЧЕРН ПОДЗЕМ'!L47)*СПРАВОЧНИК!$I$6+('ФАКТ ЧЕРН ПОДЗЕМ'!M47)*СПРАВОЧНИК!$J$6)+СПРАВОЧНИК!$E$7*(('ФАКТ ЧЕРН ПОДЗЕМ'!N47)*СПРАВОЧНИК!$H$7+('ФАКТ ЧЕРН ПОДЗЕМ'!O47)*СПРАВОЧНИК!$I$7+('ФАКТ ЧЕРН ПОДЗЕМ'!P47)*СПРАВОЧНИК!$J$7)+СПРАВОЧНИК!$E$8*(('ФАКТ ЧЕРН ПОДЗЕМ'!Q47)*СПРАВОЧНИК!$H$8+('ФАКТ ЧЕРН ПОДЗЕМ'!R47)*СПРАВОЧНИК!$I$8+('ФАКТ ЧЕРН ПОДЗЕМ'!S47)*СПРАВОЧНИК!$J$8)+СПРАВОЧНИК!$F$3*(('ФАКТ ЧИСТ ПОДЗЕМ'!B47)*СПРАВОЧНИК!$L$3+('ФАКТ ЧИСТ ПОДЗЕМ'!C47)*СПРАВОЧНИК!$M$3+('ФАКТ ЧИСТ ПОДЗЕМ'!D47)*СПРАВОЧНИК!$N$3+('ФАКТ ЧИСТ ПОДЗЕМ'!E47)*СПРАВОЧНИК!$O$3)+СПРАВОЧНИК!$F$4*(('ФАКТ ЧИСТ ПОДЗЕМ'!F47)*СПРАВОЧНИК!$L$4+('ФАКТ ЧИСТ ПОДЗЕМ'!G47)*СПРАВОЧНИК!$M$4+('ФАКТ ЧИСТ ПОДЗЕМ'!H47)*СПРАВОЧНИК!$N$4+('ФАКТ ЧИСТ ПОДЗЕМ'!I47)*СПРАВОЧНИК!$O$4)+СПРАВОЧНИК!$F$5*(('ФАКТ ЧИСТ ПОДЗЕМ'!J47)*СПРАВОЧНИК!$L$5+('ФАКТ ЧИСТ ПОДЗЕМ'!K47)*СПРАВОЧНИК!$M$5+('ФАКТ ЧИСТ ПОДЗЕМ'!L47)*СПРАВОЧНИК!$N$5)+СПРАВОЧНИК!$F$6*(('ФАКТ ЧИСТ ПОДЗЕМ'!M47)*СПРАВОЧНИК!$L$6+('ФАКТ ЧИСТ ПОДЗЕМ'!N47)*СПРАВОЧНИК!$M$6+('ФАКТ ЧИСТ ПОДЗЕМ'!O47)*СПРАВОЧНИК!$N$6+('ФАКТ ЧИСТ ПОДЗЕМ'!P47)*СПРАВОЧНИК!$O$6)+СПРАВОЧНИК!$F$7*(('ФАКТ ЧИСТ ПОДЗЕМ'!Q47)*СПРАВОЧНИК!$L$7+('ФАКТ ЧИСТ ПОДЗЕМ'!R47)*СПРАВОЧНИК!$M$7+('ФАКТ ЧИСТ ПОДЗЕМ'!S47)*СПРАВОЧНИК!$N$7+('ФАКТ ЧИСТ ПОДЗЕМ'!T47)*СПРАВОЧНИК!$O$7)+СПРАВОЧНИК!$F$8*(('ФАКТ ЧИСТ ПОДЗЕМ'!U47)*СПРАВОЧНИК!$L$8+('ФАКТ ЧИСТ ПОДЗЕМ'!V47)*СПРАВОЧНИК!$M$8+('ФАКТ ЧИСТ ПОДЗЕМ'!W47)*СПРАВОЧНИК!$N$8)</f>
        <v/>
      </c>
      <c r="I56" s="18">
        <f>I55+7</f>
        <v/>
      </c>
      <c r="J56" s="37">
        <f>'ПЛАН ЧЕРН ПОДЗЕМ'!B47*СПРАВОЧНИК!$H$3+'ПЛАН ЧЕРН ПОДЗЕМ'!C47*СПРАВОЧНИК!$I$3+'ПЛАН ЧЕРН ПОДЗЕМ'!D47*СПРАВОЧНИК!$J$3+'ПЛАН ЧЕРН ПОДЗЕМ'!E47*СПРАВОЧНИК!$H$4+'ПЛАН ЧЕРН ПОДЗЕМ'!F47*СПРАВОЧНИК!$I$4+'ПЛАН ЧЕРН ПОДЗЕМ'!G47*СПРАВОЧНИК!$J$4+'ПЛАН ЧЕРН ПОДЗЕМ'!H47*СПРАВОЧНИК!$H$5+'ПЛАН ЧЕРН ПОДЗЕМ'!I47*СПРАВОЧНИК!$I$5+'ПЛАН ЧЕРН ПОДЗЕМ'!J47*СПРАВОЧНИК!$J$5+'ПЛАН ЧЕРН ПОДЗЕМ'!K47*СПРАВОЧНИК!$H$6+'ПЛАН ЧЕРН ПОДЗЕМ'!L47*СПРАВОЧНИК!$I$6+'ПЛАН ЧЕРН ПОДЗЕМ'!M47*СПРАВОЧНИК!$J$6+'ПЛАН ЧЕРН ПОДЗЕМ'!N47*СПРАВОЧНИК!$H$7+'ПЛАН ЧЕРН ПОДЗЕМ'!O47*СПРАВОЧНИК!$I$7+'ПЛАН ЧЕРН ПОДЗЕМ'!P47*СПРАВОЧНИК!$J$7+'ПЛАН ЧЕРН ПОДЗЕМ'!Q47*СПРАВОЧНИК!$H$8+'ПЛАН ЧЕРН ПОДЗЕМ'!R47*СПРАВОЧНИК!$I$8+'ПЛАН ЧЕРН ПОДЗЕМ'!S47*СПРАВОЧНИК!$J$8</f>
        <v/>
      </c>
      <c r="K56" s="40">
        <f>('ФАКТ ЧЕРН ПОДЗЕМ'!B47)*СПРАВОЧНИК!$H$3+('ФАКТ ЧЕРН ПОДЗЕМ'!C47)*СПРАВОЧНИК!$I$3+('ФАКТ ЧЕРН ПОДЗЕМ'!D47)*СПРАВОЧНИК!$J$3+('ФАКТ ЧЕРН ПОДЗЕМ'!E47)*СПРАВОЧНИК!$H$4+('ФАКТ ЧЕРН ПОДЗЕМ'!F47)*СПРАВОЧНИК!$I$4+('ФАКТ ЧЕРН ПОДЗЕМ'!G47)*СПРАВОЧНИК!$J$4+('ФАКТ ЧЕРН ПОДЗЕМ'!H47)*СПРАВОЧНИК!$H$5+('ФАКТ ЧЕРН ПОДЗЕМ'!I47)*СПРАВОЧНИК!$I$5+('ФАКТ ЧЕРН ПОДЗЕМ'!J47)*СПРАВОЧНИК!$J$5+('ФАКТ ЧЕРН ПОДЗЕМ'!K47)*СПРАВОЧНИК!$H$6+('ФАКТ ЧЕРН ПОДЗЕМ'!L47)*СПРАВОЧНИК!$I$6+('ФАКТ ЧЕРН ПОДЗЕМ'!M47)*СПРАВОЧНИК!$J$6+('ФАКТ ЧЕРН ПОДЗЕМ'!N47)*СПРАВОЧНИК!$H$7+('ФАКТ ЧЕРН ПОДЗЕМ'!O47)*СПРАВОЧНИК!$I$7+('ФАКТ ЧЕРН ПОДЗЕМ'!P47)*СПРАВОЧНИК!$J$7+('ФАКТ ЧЕРН ПОДЗЕМ'!Q47)*СПРАВОЧНИК!$H$8+('ФАКТ ЧЕРН ПОДЗЕМ'!R47)*СПРАВОЧНИК!$I$8+('ФАКТ ЧЕРН ПОДЗЕМ'!S47)*СПРАВОЧНИК!$J$8</f>
        <v/>
      </c>
      <c r="O56" s="18">
        <f>O55+7</f>
        <v/>
      </c>
      <c r="P56" s="37">
        <f>'ПЛАН ЧИСТ ПОДЗЕМ'!B47*СПРАВОЧНИК!$L$3+'ПЛАН ЧИСТ ПОДЗЕМ'!C47*СПРАВОЧНИК!$M$3+'ПЛАН ЧИСТ ПОДЗЕМ'!D47*СПРАВОЧНИК!$N$3+'ПЛАН ЧИСТ ПОДЗЕМ'!E47*СПРАВОЧНИК!$O$3+'ПЛАН ЧИСТ ПОДЗЕМ'!F47*СПРАВОЧНИК!$L$4+'ПЛАН ЧИСТ ПОДЗЕМ'!G47*СПРАВОЧНИК!$M$4+'ПЛАН ЧИСТ ПОДЗЕМ'!H47*СПРАВОЧНИК!$N$4+'ПЛАН ЧИСТ ПОДЗЕМ'!I47*СПРАВОЧНИК!$O$4+'ПЛАН ЧИСТ ПОДЗЕМ'!J47*СПРАВОЧНИК!$L$5+'ПЛАН ЧИСТ ПОДЗЕМ'!K47*СПРАВОЧНИК!$M$5+'ПЛАН ЧИСТ ПОДЗЕМ'!L47*СПРАВОЧНИК!$N$5+'ПЛАН ЧИСТ ПОДЗЕМ'!M47*СПРАВОЧНИК!$L$6+'ПЛАН ЧИСТ ПОДЗЕМ'!N47*СПРАВОЧНИК!$M$6+'ПЛАН ЧИСТ ПОДЗЕМ'!O47*СПРАВОЧНИК!$N$6+'ПЛАН ЧИСТ ПОДЗЕМ'!P47*СПРАВОЧНИК!$O$6+'ПЛАН ЧИСТ ПОДЗЕМ'!Q47*СПРАВОЧНИК!$L$7+'ПЛАН ЧИСТ ПОДЗЕМ'!R47*СПРАВОЧНИК!$M$7+'ПЛАН ЧИСТ ПОДЗЕМ'!S47*СПРАВОЧНИК!$N$7+'ПЛАН ЧИСТ ПОДЗЕМ'!T47*СПРАВОЧНИК!$O$7+'ПЛАН ЧИСТ ПОДЗЕМ'!U47*СПРАВОЧНИК!$L$8+'ПЛАН ЧИСТ ПОДЗЕМ'!V47*СПРАВОЧНИК!$M$8+'ПЛАН ЧИСТ ПОДЗЕМ'!W47*СПРАВОЧНИК!$N$8</f>
        <v/>
      </c>
      <c r="Q56" s="40">
        <f>('ФАКТ ЧИСТ ПОДЗЕМ'!B47)*СПРАВОЧНИК!$L$3+('ФАКТ ЧИСТ ПОДЗЕМ'!C47)*СПРАВОЧНИК!$M$3+('ФАКТ ЧИСТ ПОДЗЕМ'!D47)*СПРАВОЧНИК!$N$3+('ФАКТ ЧИСТ ПОДЗЕМ'!E47)*СПРАВОЧНИК!$O$3+('ФАКТ ЧИСТ ПОДЗЕМ'!F47)*СПРАВОЧНИК!$L$4+('ФАКТ ЧИСТ ПОДЗЕМ'!G47)*СПРАВОЧНИК!$M$4+('ФАКТ ЧИСТ ПОДЗЕМ'!H47)*СПРАВОЧНИК!$N$4+('ФАКТ ЧИСТ ПОДЗЕМ'!I47)*СПРАВОЧНИК!$O$4+('ФАКТ ЧИСТ ПОДЗЕМ'!J47)*СПРАВОЧНИК!$L$5+('ФАКТ ЧИСТ ПОДЗЕМ'!K47)*СПРАВОЧНИК!$M$5+('ФАКТ ЧИСТ ПОДЗЕМ'!L47)*СПРАВОЧНИК!$N$5+('ФАКТ ЧИСТ ПОДЗЕМ'!M47)*СПРАВОЧНИК!$L$6+('ФАКТ ЧИСТ ПОДЗЕМ'!N47)*СПРАВОЧНИК!$M$6+('ФАКТ ЧИСТ ПОДЗЕМ'!O47)*СПРАВОЧНИК!$N$6+('ФАКТ ЧИСТ ПОДЗЕМ'!P47)*СПРАВОЧНИК!$O$6+('ФАКТ ЧИСТ ПОДЗЕМ'!Q47)*СПРАВОЧНИК!$L$7+('ФАКТ ЧИСТ ПОДЗЕМ'!R47)*СПРАВОЧНИК!$M$7+('ФАКТ ЧИСТ ПОДЗЕМ'!S47)*СПРАВОЧНИК!$N$7+('ФАКТ ЧИСТ ПОДЗЕМ'!T47)*СПРАВОЧНИК!$O$7+('ФАКТ ЧИСТ ПОДЗЕМ'!U47)*СПРАВОЧНИК!$L$8+('ФАКТ ЧИСТ ПОДЗЕМ'!V47)*СПРАВОЧНИК!$M$8+('ФАКТ ЧИСТ ПОДЗЕМ'!W47)*СПРАВОЧНИК!$N$8</f>
        <v/>
      </c>
      <c r="U56" s="18">
        <f>U55+7</f>
        <v/>
      </c>
      <c r="V56" s="37">
        <f>СПРАВОЧНИК!$E$9*('ПЛАН ЧЕРН К1'!B47*СПРАВОЧНИК!$H$9+'ПЛАН ЧЕРН К1'!C47*СПРАВОЧНИК!$I$9+'ПЛАН ЧЕРН К1'!D47*СПРАВОЧНИК!$J$9)+СПРАВОЧНИК!$E$10*('ПЛАН ЧЕРН К1'!E47*СПРАВОЧНИК!$H$10+'ПЛАН ЧЕРН К1'!F47*СПРАВОЧНИК!$I$10+'ПЛАН ЧЕРН К1'!G47*СПРАВОЧНИК!$J$10)+СПРАВОЧНИК!$E$11*('ПЛАН ЧЕРН К1'!H47*СПРАВОЧНИК!$H$11+'ПЛАН ЧЕРН К1'!I47*СПРАВОЧНИК!$I$11+'ПЛАН ЧЕРН К1'!J47*СПРАВОЧНИК!$J$11)+СПРАВОЧНИК!$E$12*('ПЛАН ЧЕРН К1'!K47*СПРАВОЧНИК!$H$12+'ПЛАН ЧЕРН К1'!L47*СПРАВОЧНИК!$I$12+'ПЛАН ЧЕРН К1'!M47*СПРАВОЧНИК!$J$12)+СПРАВОЧНИК!$E$13*('ПЛАН ЧЕРН К1'!N47*СПРАВОЧНИК!$H$13+'ПЛАН ЧЕРН К1'!O47*СПРАВОЧНИК!$I$13+'ПЛАН ЧЕРН К1'!P47*СПРАВОЧНИК!$J$13)+СПРАВОЧНИК!$E$14*('ПЛАН ЧЕРН К1'!Q47*СПРАВОЧНИК!$H$14+'ПЛАН ЧЕРН К1'!R47*СПРАВОЧНИК!$I$14+'ПЛАН ЧЕРН К1'!S47*СПРАВОЧНИК!$J$14)+СПРАВОЧНИК!$E$15*('ПЛАН ЧЕРН К1'!T47*СПРАВОЧНИК!$H$15+'ПЛАН ЧЕРН К1'!U47*СПРАВОЧНИК!$I$15+'ПЛАН ЧЕРН К1'!V47*СПРАВОЧНИК!$J$15)+СПРАВОЧНИК!$F$9*('ПЛАН ЧИСТ К1'!B47*СПРАВОЧНИК!$L$9+'ПЛАН ЧИСТ К1'!C47*СПРАВОЧНИК!$M$9+'ПЛАН ЧИСТ К1'!D47*СПРАВОЧНИК!$N$9+'ПЛАН ЧИСТ К1'!E47*СПРАВОЧНИК!$O$9)+СПРАВОЧНИК!$F$10*('ПЛАН ЧИСТ К1'!F47*СПРАВОЧНИК!$L$10+'ПЛАН ЧИСТ К1'!G47*СПРАВОЧНИК!$M$10+'ПЛАН ЧИСТ К1'!H47*СПРАВОЧНИК!$N$10+'ПЛАН ЧИСТ К1'!I47*СПРАВОЧНИК!$O$10)+СПРАВОЧНИК!$F$11*('ПЛАН ЧИСТ К1'!J47*СПРАВОЧНИК!$L$11+'ПЛАН ЧИСТ К1'!K47*СПРАВОЧНИК!$M$11+'ПЛАН ЧИСТ К1'!L47*СПРАВОЧНИК!$N$11)+СПРАВОЧНИК!$F$12*('ПЛАН ЧИСТ К1'!M47*СПРАВОЧНИК!$L$12+'ПЛАН ЧИСТ К1'!N47*СПРАВОЧНИК!$M$12+'ПЛАН ЧИСТ К1'!O47*СПРАВОЧНИК!$N$12+'ПЛАН ЧИСТ К1'!P47*СПРАВОЧНИК!$O$12)+СПРАВОЧНИК!$F$13*('ПЛАН ЧИСТ К1'!Q47*СПРАВОЧНИК!$L$13+'ПЛАН ЧИСТ К1'!R47*СПРАВОЧНИК!$M$13+'ПЛАН ЧИСТ К1'!S47*СПРАВОЧНИК!$N$13+'ПЛАН ЧИСТ К1'!T47*СПРАВОЧНИК!$O$13)+СПРАВОЧНИК!$F$14*('ПЛАН ЧИСТ К1'!U47*СПРАВОЧНИК!$L$14+'ПЛАН ЧИСТ К1'!V47*СПРАВОЧНИК!$M$14+'ПЛАН ЧИСТ К1'!W47*СПРАВОЧНИК!$N$14)+СПРАВОЧНИК!$F$15*('ПЛАН ЧИСТ К1'!X47*СПРАВОЧНИК!$L$15+'ПЛАН ЧИСТ К1'!Y47*СПРАВОЧНИК!$M$15+'ПЛАН ЧИСТ К1'!Z47*СПРАВОЧНИК!$N$15)</f>
        <v/>
      </c>
      <c r="W56" s="40">
        <f>СПРАВОЧНИК!$E$9*(('ФАКТ ЧЕРН К1'!B47)*СПРАВОЧНИК!$H$9+('ФАКТ ЧЕРН К1'!C47)*СПРАВОЧНИК!$I$9+('ФАКТ ЧЕРН К1'!D47)*СПРАВОЧНИК!$J$9)+СПРАВОЧНИК!$E$10*(('ФАКТ ЧЕРН К1'!E47)*СПРАВОЧНИК!$H$10+('ФАКТ ЧЕРН К1'!F47)*СПРАВОЧНИК!$I$10+('ФАКТ ЧЕРН К1'!G47)*СПРАВОЧНИК!$J$10)+СПРАВОЧНИК!$E$11*(('ФАКТ ЧЕРН К1'!H47)*СПРАВОЧНИК!$H$11+('ФАКТ ЧЕРН К1'!I47)*СПРАВОЧНИК!$I$11+('ФАКТ ЧЕРН К1'!J47)*СПРАВОЧНИК!$J$11)+СПРАВОЧНИК!$E$12*(('ФАКТ ЧЕРН К1'!K47)*СПРАВОЧНИК!$H$12+('ФАКТ ЧЕРН К1'!L47)*СПРАВОЧНИК!$I$12+('ФАКТ ЧЕРН К1'!M47)*СПРАВОЧНИК!$J$12)+СПРАВОЧНИК!$E$13*(('ФАКТ ЧЕРН К1'!N47)*СПРАВОЧНИК!$H$13+('ФАКТ ЧЕРН К1'!O47)*СПРАВОЧНИК!$I$13+('ФАКТ ЧЕРН К1'!P47)*СПРАВОЧНИК!$J$13)+СПРАВОЧНИК!$E$14*(('ФАКТ ЧЕРН К1'!Q47)*СПРАВОЧНИК!$H$14+('ФАКТ ЧЕРН К1'!R47)*СПРАВОЧНИК!$I$14+('ФАКТ ЧЕРН К1'!S47)*СПРАВОЧНИК!$J$14)+СПРАВОЧНИК!$E$15*(('ФАКТ ЧЕРН К1'!T47)*СПРАВОЧНИК!$H$15+('ФАКТ ЧЕРН К1'!U47)*СПРАВОЧНИК!$I$15+('ФАКТ ЧЕРН К1'!V47)*СПРАВОЧНИК!$J$15)+СПРАВОЧНИК!$F$9*(('ФАКТ ЧИСТ К1'!B47)*СПРАВОЧНИК!$L$9+('ФАКТ ЧИСТ К1'!C47)*СПРАВОЧНИК!$M$9+('ФАКТ ЧИСТ К1'!D47)*СПРАВОЧНИК!$N$9+('ФАКТ ЧИСТ К1'!E47)*СПРАВОЧНИК!$O$9)+СПРАВОЧНИК!$F$10*(('ФАКТ ЧИСТ К1'!F47)*СПРАВОЧНИК!$L$10+('ФАКТ ЧИСТ К1'!G47)*СПРАВОЧНИК!$M$10+('ФАКТ ЧИСТ К1'!H47)*СПРАВОЧНИК!$N$10+('ФАКТ ЧИСТ К1'!I47)*СПРАВОЧНИК!$O$10)+СПРАВОЧНИК!$F$11*(('ФАКТ ЧИСТ К1'!J47)*СПРАВОЧНИК!$L$11+('ФАКТ ЧИСТ К1'!K47)*СПРАВОЧНИК!$M$11+('ФАКТ ЧИСТ К1'!L47)*СПРАВОЧНИК!$N$11)+СПРАВОЧНИК!$F$12*(('ФАКТ ЧИСТ К1'!M47)*СПРАВОЧНИК!$L$12+('ФАКТ ЧИСТ К1'!N47)*СПРАВОЧНИК!$M$12+('ФАКТ ЧИСТ К1'!O47)*СПРАВОЧНИК!$N$12+('ФАКТ ЧИСТ К1'!P47)*СПРАВОЧНИК!$O$12)+СПРАВОЧНИК!$F$13*(('ФАКТ ЧИСТ К1'!Q47)*СПРАВОЧНИК!$L$13+('ФАКТ ЧИСТ К1'!R47)*СПРАВОЧНИК!$M$13+('ФАКТ ЧИСТ К1'!S47)*СПРАВОЧНИК!$N$13+('ФАКТ ЧИСТ К1'!T47)*СПРАВОЧНИК!$O$13)+СПРАВОЧНИК!$F$14*(('ФАКТ ЧИСТ К1'!U47)*СПРАВОЧНИК!$L$14+('ФАКТ ЧИСТ К1'!V47)*СПРАВОЧНИК!$M$14+('ФАКТ ЧИСТ К1'!W47)*СПРАВОЧНИК!$N$14)+СПРАВОЧНИК!$F$15*(('ФАКТ ЧИСТ К1'!X47)*СПРАВОЧНИК!$L$15+('ФАКТ ЧИСТ К1'!Y47)*СПРАВОЧНИК!$M$15+('ФАКТ ЧИСТ К1'!Z47)*СПРАВОЧНИК!$N$15)</f>
        <v/>
      </c>
      <c r="AA56" s="18">
        <f>AA55+7</f>
        <v/>
      </c>
      <c r="AB56" s="37">
        <f>'ПЛАН ЧЕРН К1'!B47*СПРАВОЧНИК!$H$9+'ПЛАН ЧЕРН К1'!C47*СПРАВОЧНИК!$I$9+'ПЛАН ЧЕРН К1'!D47*СПРАВОЧНИК!$J$9+'ПЛАН ЧЕРН К1'!E47*СПРАВОЧНИК!$H$10+'ПЛАН ЧЕРН К1'!F47*СПРАВОЧНИК!$I$10+'ПЛАН ЧЕРН К1'!G47*СПРАВОЧНИК!$J$10+'ПЛАН ЧЕРН К1'!H47*СПРАВОЧНИК!$H$11+'ПЛАН ЧЕРН К1'!I47*СПРАВОЧНИК!$I$11+'ПЛАН ЧЕРН К1'!J47*СПРАВОЧНИК!$J$11+'ПЛАН ЧЕРН К1'!K47*СПРАВОЧНИК!$H$12+'ПЛАН ЧЕРН К1'!L47*СПРАВОЧНИК!$I$12+'ПЛАН ЧЕРН К1'!M47*СПРАВОЧНИК!$J$12+'ПЛАН ЧЕРН К1'!N47*СПРАВОЧНИК!$H$13+'ПЛАН ЧЕРН К1'!O47*СПРАВОЧНИК!$I$13+'ПЛАН ЧЕРН К1'!P47*СПРАВОЧНИК!$J$13+'ПЛАН ЧЕРН К1'!Q47*СПРАВОЧНИК!$H$14+'ПЛАН ЧЕРН К1'!R47*СПРАВОЧНИК!$I$14+'ПЛАН ЧЕРН К1'!S47*СПРАВОЧНИК!$J$14+'ПЛАН ЧЕРН К1'!T47*СПРАВОЧНИК!$H$15+'ПЛАН ЧЕРН К1'!U47*СПРАВОЧНИК!$I$15+'ПЛАН ЧЕРН К1'!V47*СПРАВОЧНИК!$J$15</f>
        <v/>
      </c>
      <c r="AC56" s="40">
        <f>('ФАКТ ЧЕРН К1'!B47)*СПРАВОЧНИК!$H$9+('ФАКТ ЧЕРН К1'!C47)*СПРАВОЧНИК!$I$9+('ФАКТ ЧЕРН К1'!D47)*СПРАВОЧНИК!$J$9+('ФАКТ ЧЕРН К1'!E47)*СПРАВОЧНИК!$H$10+('ФАКТ ЧЕРН К1'!F47)*СПРАВОЧНИК!$I$10+('ФАКТ ЧЕРН К1'!G47)*СПРАВОЧНИК!$J$10+('ФАКТ ЧЕРН К1'!H47)*СПРАВОЧНИК!$H$11+('ФАКТ ЧЕРН К1'!I47)*СПРАВОЧНИК!$I$11+('ФАКТ ЧЕРН К1'!J47)*СПРАВОЧНИК!$J$11+('ФАКТ ЧЕРН К1'!K47)*СПРАВОЧНИК!$H$12+('ФАКТ ЧЕРН К1'!L47)*СПРАВОЧНИК!$I$12+('ФАКТ ЧЕРН К1'!M47)*СПРАВОЧНИК!$J$12+('ФАКТ ЧЕРН К1'!N47)*СПРАВОЧНИК!$H$13+('ФАКТ ЧЕРН К1'!O47)*СПРАВОЧНИК!$I$13+('ФАКТ ЧЕРН К1'!P47)*СПРАВОЧНИК!$J$13+('ФАКТ ЧЕРН К1'!Q47)*СПРАВОЧНИК!$H$14+('ФАКТ ЧЕРН К1'!R47)*СПРАВОЧНИК!$I$14+('ФАКТ ЧЕРН К1'!S47)*СПРАВОЧНИК!$J$14+('ФАКТ ЧЕРН К1'!T47)*СПРАВОЧНИК!$H$15+('ФАКТ ЧЕРН К1'!U47)*СПРАВОЧНИК!$I$15+('ФАКТ ЧЕРН К1'!V47)*СПРАВОЧНИК!$J$15</f>
        <v/>
      </c>
      <c r="AG56" s="18">
        <f>AG55+7</f>
        <v/>
      </c>
      <c r="AH56" s="37">
        <f>'ПЛАН ЧИСТ К1'!B47*СПРАВОЧНИК!$L$9+'ПЛАН ЧИСТ К1'!C47*СПРАВОЧНИК!$M$9+'ПЛАН ЧИСТ К1'!D47*СПРАВОЧНИК!$N$9+'ПЛАН ЧИСТ К1'!E47*СПРАВОЧНИК!$O$9+'ПЛАН ЧИСТ К1'!F47*СПРАВОЧНИК!$L$10+'ПЛАН ЧИСТ К1'!G47*СПРАВОЧНИК!$M$10+'ПЛАН ЧИСТ К1'!H47*СПРАВОЧНИК!$N$10+'ПЛАН ЧИСТ К1'!I47*СПРАВОЧНИК!$O$10+'ПЛАН ЧИСТ К1'!J47*СПРАВОЧНИК!$L$11+'ПЛАН ЧИСТ К1'!K47*СПРАВОЧНИК!$M$11+'ПЛАН ЧИСТ К1'!L47*СПРАВОЧНИК!$N$11+'ПЛАН ЧИСТ К1'!M47*СПРАВОЧНИК!$L$12+'ПЛАН ЧИСТ К1'!N47*СПРАВОЧНИК!$M$12+'ПЛАН ЧИСТ К1'!O47*СПРАВОЧНИК!$N$12+'ПЛАН ЧИСТ К1'!P47*СПРАВОЧНИК!$O$12+'ПЛАН ЧИСТ К1'!Q47*СПРАВОЧНИК!$L$13+'ПЛАН ЧИСТ К1'!R47*СПРАВОЧНИК!$M$13+'ПЛАН ЧИСТ К1'!S47*СПРАВОЧНИК!$N$13+'ПЛАН ЧИСТ К1'!T47*СПРАВОЧНИК!$O$13+'ПЛАН ЧИСТ К1'!U47*СПРАВОЧНИК!$L$14+'ПЛАН ЧИСТ К1'!V47*СПРАВОЧНИК!$M$14+'ПЛАН ЧИСТ К1'!W47*СПРАВОЧНИК!$N$14+'ПЛАН ЧИСТ К1'!X47*СПРАВОЧНИК!$L$15+'ПЛАН ЧИСТ К1'!Y47*СПРАВОЧНИК!$M$15+'ПЛАН ЧИСТ К1'!Z47*СПРАВОЧНИК!$N$15</f>
        <v/>
      </c>
      <c r="AI56" s="40">
        <f>('ФАКТ ЧИСТ К1'!B47)*СПРАВОЧНИК!$L$9+('ФАКТ ЧИСТ К1'!C47)*СПРАВОЧНИК!$M$9+('ФАКТ ЧИСТ К1'!D47)*СПРАВОЧНИК!$N$9+('ФАКТ ЧИСТ К1'!E47)*СПРАВОЧНИК!$O$9+('ФАКТ ЧИСТ К1'!F47)*СПРАВОЧНИК!$L$10+('ФАКТ ЧИСТ К1'!G47)*СПРАВОЧНИК!$M$10+('ФАКТ ЧИСТ К1'!H47)*СПРАВОЧНИК!$N$10+('ФАКТ ЧИСТ К1'!I47)*СПРАВОЧНИК!$O$10+('ФАКТ ЧИСТ К1'!J47)*СПРАВОЧНИК!$L$11+('ФАКТ ЧИСТ К1'!K47)*СПРАВОЧНИК!$M$11+('ФАКТ ЧИСТ К1'!L47)*СПРАВОЧНИК!$N$11+('ФАКТ ЧИСТ К1'!M47)*СПРАВОЧНИК!$L$12+('ФАКТ ЧИСТ К1'!N47)*СПРАВОЧНИК!$M$12+('ФАКТ ЧИСТ К1'!O47)*СПРАВОЧНИК!$N$12+('ФАКТ ЧИСТ К1'!P47)*СПРАВОЧНИК!$O$12+('ФАКТ ЧИСТ К1'!Q47)*СПРАВОЧНИК!$L$13+('ФАКТ ЧИСТ К1'!R47)*СПРАВОЧНИК!$M$13+('ФАКТ ЧИСТ К1'!S47)*СПРАВОЧНИК!$N$13+('ФАКТ ЧИСТ К1'!T47)*СПРАВОЧНИК!$O$13+('ФАКТ ЧИСТ К1'!U47)*СПРАВОЧНИК!$L$14+('ФАКТ ЧИСТ К1'!V47)*СПРАВОЧНИК!$M$14+('ФАКТ ЧИСТ К1'!W47)*СПРАВОЧНИК!$N$14+('ФАКТ ЧИСТ К1'!X47)*СПРАВОЧНИК!$L$15+('ФАКТ ЧИСТ К1'!Y47)*СПРАВОЧНИК!$M$15+('ФАКТ ЧИСТ К1'!Z47)*СПРАВОЧНИК!$N$15</f>
        <v/>
      </c>
      <c r="AM56" s="18">
        <f>AM55+7</f>
        <v/>
      </c>
      <c r="AN56" s="37">
        <f>СПРАВОЧНИК!$E$9*('ПЛАН ЧЕРН К2'!B47*СПРАВОЧНИК!$H$9+'ПЛАН ЧЕРН К2'!C47*СПРАВОЧНИК!$I$9+'ПЛАН ЧЕРН К2'!D47*СПРАВОЧНИК!$J$9)+СПРАВОЧНИК!$E$10*('ПЛАН ЧЕРН К2'!E47*СПРАВОЧНИК!$H$10+'ПЛАН ЧЕРН К2'!F47*СПРАВОЧНИК!$I$10+'ПЛАН ЧЕРН К2'!G47*СПРАВОЧНИК!$J$10)+СПРАВОЧНИК!$E$11*('ПЛАН ЧЕРН К2'!H47*СПРАВОЧНИК!$H$11+'ПЛАН ЧЕРН К2'!I47*СПРАВОЧНИК!$I$11+'ПЛАН ЧЕРН К2'!J47*СПРАВОЧНИК!$J$11)+СПРАВОЧНИК!$E$12*('ПЛАН ЧЕРН К2'!K47*СПРАВОЧНИК!$H$12+'ПЛАН ЧЕРН К2'!L47*СПРАВОЧНИК!$I$12+'ПЛАН ЧЕРН К2'!M47*СПРАВОЧНИК!$J$12)+СПРАВОЧНИК!$E$13*('ПЛАН ЧЕРН К2'!N47*СПРАВОЧНИК!$H$13+'ПЛАН ЧЕРН К2'!O47*СПРАВОЧНИК!$I$13+'ПЛАН ЧЕРН К2'!P47*СПРАВОЧНИК!$J$13)+СПРАВОЧНИК!$E$14*('ПЛАН ЧЕРН К2'!Q47*СПРАВОЧНИК!$H$14+'ПЛАН ЧЕРН К2'!R47*СПРАВОЧНИК!$I$14+'ПЛАН ЧЕРН К2'!S47*СПРАВОЧНИК!$J$14)+СПРАВОЧНИК!$E$15*('ПЛАН ЧЕРН К2'!T47*СПРАВОЧНИК!$H$15+'ПЛАН ЧЕРН К2'!U47*СПРАВОЧНИК!$I$15+'ПЛАН ЧЕРН К2'!V47*СПРАВОЧНИК!$J$15)+СПРАВОЧНИК!$F$9*('ПЛАН ЧИСТ К2'!B47*СПРАВОЧНИК!$L$9+'ПЛАН ЧИСТ К2'!C47*СПРАВОЧНИК!$M$9+'ПЛАН ЧИСТ К2'!D47*СПРАВОЧНИК!$N$9+'ПЛАН ЧИСТ К2'!E47*СПРАВОЧНИК!$O$9)+СПРАВОЧНИК!$F$10*('ПЛАН ЧИСТ К2'!F47*СПРАВОЧНИК!$L$10+'ПЛАН ЧИСТ К2'!G47*СПРАВОЧНИК!$M$10+'ПЛАН ЧИСТ К2'!H47*СПРАВОЧНИК!$N$10+'ПЛАН ЧИСТ К2'!I47*СПРАВОЧНИК!$O$10)+СПРАВОЧНИК!$F$11*('ПЛАН ЧИСТ К2'!J47*СПРАВОЧНИК!$L$11+'ПЛАН ЧИСТ К2'!K47*СПРАВОЧНИК!$M$11+'ПЛАН ЧИСТ К2'!L47*СПРАВОЧНИК!$N$11)+СПРАВОЧНИК!$F$12*('ПЛАН ЧИСТ К2'!M47*СПРАВОЧНИК!$L$12+'ПЛАН ЧИСТ К2'!N47*СПРАВОЧНИК!$M$12+'ПЛАН ЧИСТ К2'!O47*СПРАВОЧНИК!$N$12+'ПЛАН ЧИСТ К2'!P47*СПРАВОЧНИК!$O$12)+СПРАВОЧНИК!$F$13*('ПЛАН ЧИСТ К2'!Q47*СПРАВОЧНИК!$L$13+'ПЛАН ЧИСТ К2'!R47*СПРАВОЧНИК!$M$13+'ПЛАН ЧИСТ К2'!S47*СПРАВОЧНИК!$N$13+'ПЛАН ЧИСТ К2'!T47*СПРАВОЧНИК!$O$13)+СПРАВОЧНИК!$F$14*('ПЛАН ЧИСТ К2'!U47*СПРАВОЧНИК!$L$14+'ПЛАН ЧИСТ К2'!V47*СПРАВОЧНИК!$M$14+'ПЛАН ЧИСТ К2'!W47*СПРАВОЧНИК!$N$14)+СПРАВОЧНИК!$F$15*('ПЛАН ЧИСТ К2'!X47*СПРАВОЧНИК!$L$15+'ПЛАН ЧИСТ К2'!Y47*СПРАВОЧНИК!$M$15+'ПЛАН ЧИСТ К2'!Z47*СПРАВОЧНИК!$N$15)</f>
        <v/>
      </c>
      <c r="AO56" s="40">
        <f>СПРАВОЧНИК!$E$9*(('ФАКТ ЧЕРН К2'!B47)*СПРАВОЧНИК!$H$9+('ФАКТ ЧЕРН К2'!C47)*СПРАВОЧНИК!$I$9+('ФАКТ ЧЕРН К2'!D47)*СПРАВОЧНИК!$J$9)+СПРАВОЧНИК!$E$10*(('ФАКТ ЧЕРН К2'!E47)*СПРАВОЧНИК!$H$10+('ФАКТ ЧЕРН К2'!F47)*СПРАВОЧНИК!$I$10+('ФАКТ ЧЕРН К2'!G47)*СПРАВОЧНИК!$J$10)+СПРАВОЧНИК!$E$11*(('ФАКТ ЧЕРН К2'!H47)*СПРАВОЧНИК!$H$11+('ФАКТ ЧЕРН К2'!I47)*СПРАВОЧНИК!$I$11+('ФАКТ ЧЕРН К2'!J47)*СПРАВОЧНИК!$J$11)+СПРАВОЧНИК!$E$12*(('ФАКТ ЧЕРН К2'!K47)*СПРАВОЧНИК!$H$12+('ФАКТ ЧЕРН К2'!L47)*СПРАВОЧНИК!$I$12+('ФАКТ ЧЕРН К2'!M47)*СПРАВОЧНИК!$J$12)+СПРАВОЧНИК!$E$13*(('ФАКТ ЧЕРН К2'!N47)*СПРАВОЧНИК!$H$13+('ФАКТ ЧЕРН К2'!O47)*СПРАВОЧНИК!$I$13+('ФАКТ ЧЕРН К2'!P47)*СПРАВОЧНИК!$J$13)+СПРАВОЧНИК!$E$14*(('ФАКТ ЧЕРН К2'!Q47)*СПРАВОЧНИК!$H$14+('ФАКТ ЧЕРН К2'!R47)*СПРАВОЧНИК!$I$14+('ФАКТ ЧЕРН К2'!S47)*СПРАВОЧНИК!$J$14)+СПРАВОЧНИК!$E$15*(('ФАКТ ЧЕРН К2'!T47)*СПРАВОЧНИК!$H$15+('ФАКТ ЧЕРН К2'!U47)*СПРАВОЧНИК!$I$15+('ФАКТ ЧЕРН К2'!V47)*СПРАВОЧНИК!$J$15)+СПРАВОЧНИК!$F$9*(('ФАКТ ЧИСТ К2'!B47)*СПРАВОЧНИК!$L$9+('ФАКТ ЧИСТ К2'!C47)*СПРАВОЧНИК!$M$9+('ФАКТ ЧИСТ К2'!D47)*СПРАВОЧНИК!$N$9+('ФАКТ ЧИСТ К2'!E47)*СПРАВОЧНИК!$O$9)+СПРАВОЧНИК!$F$10*(('ФАКТ ЧИСТ К2'!F47)*СПРАВОЧНИК!$L$10+('ФАКТ ЧИСТ К2'!G47)*СПРАВОЧНИК!$M$10+('ФАКТ ЧИСТ К2'!H47)*СПРАВОЧНИК!$N$10+('ФАКТ ЧИСТ К2'!I47)*СПРАВОЧНИК!$O$10)+СПРАВОЧНИК!$F$11*(('ФАКТ ЧИСТ К2'!J47)*СПРАВОЧНИК!$L$11+('ФАКТ ЧИСТ К2'!K47)*СПРАВОЧНИК!$M$11+('ФАКТ ЧИСТ К2'!L47)*СПРАВОЧНИК!$N$11)+СПРАВОЧНИК!$F$12*(('ФАКТ ЧИСТ К2'!M47)*СПРАВОЧНИК!$L$12+('ФАКТ ЧИСТ К2'!N47)*СПРАВОЧНИК!$M$12+('ФАКТ ЧИСТ К2'!O47)*СПРАВОЧНИК!$N$12+('ФАКТ ЧИСТ К2'!P47)*СПРАВОЧНИК!$O$12)+СПРАВОЧНИК!$F$13*(('ФАКТ ЧИСТ К2'!Q47)*СПРАВОЧНИК!$L$13+('ФАКТ ЧИСТ К2'!R47)*СПРАВОЧНИК!$M$13+('ФАКТ ЧИСТ К2'!S47)*СПРАВОЧНИК!$N$13+('ФАКТ ЧИСТ К2'!T47)*СПРАВОЧНИК!$O$13)+СПРАВОЧНИК!$F$14*(('ФАКТ ЧИСТ К2'!U47)*СПРАВОЧНИК!$L$14+('ФАКТ ЧИСТ К2'!V47)*СПРАВОЧНИК!$M$14+('ФАКТ ЧИСТ К2'!W47)*СПРАВОЧНИК!$N$14)+СПРАВОЧНИК!$F$15*(('ФАКТ ЧИСТ К2'!X47)*СПРАВОЧНИК!$L$15+('ФАКТ ЧИСТ К2'!Y47)*СПРАВОЧНИК!$M$15+('ФАКТ ЧИСТ К2'!Z47)*СПРАВОЧНИК!$N$15)</f>
        <v/>
      </c>
      <c r="AS56" s="18">
        <f>AS55+7</f>
        <v/>
      </c>
      <c r="AT56" s="37">
        <f>'ПЛАН ЧЕРН К2'!B47*СПРАВОЧНИК!$H$9+'ПЛАН ЧЕРН К2'!C47*СПРАВОЧНИК!$I$9+'ПЛАН ЧЕРН К2'!D47*СПРАВОЧНИК!$J$9+'ПЛАН ЧЕРН К2'!E47*СПРАВОЧНИК!$H$10+'ПЛАН ЧЕРН К2'!F47*СПРАВОЧНИК!$I$10+'ПЛАН ЧЕРН К2'!G47*СПРАВОЧНИК!$J$10+'ПЛАН ЧЕРН К2'!H47*СПРАВОЧНИК!$H$11+'ПЛАН ЧЕРН К2'!I47*СПРАВОЧНИК!$I$11+'ПЛАН ЧЕРН К2'!J47*СПРАВОЧНИК!$J$11+'ПЛАН ЧЕРН К2'!K47*СПРАВОЧНИК!$H$12+'ПЛАН ЧЕРН К2'!L47*СПРАВОЧНИК!$I$12+'ПЛАН ЧЕРН К2'!M47*СПРАВОЧНИК!$J$12+'ПЛАН ЧЕРН К2'!N47*СПРАВОЧНИК!$H$13+'ПЛАН ЧЕРН К2'!O47*СПРАВОЧНИК!$I$13+'ПЛАН ЧЕРН К2'!P47*СПРАВОЧНИК!$J$13+'ПЛАН ЧЕРН К2'!Q47*СПРАВОЧНИК!$H$14+'ПЛАН ЧЕРН К2'!R47*СПРАВОЧНИК!$I$14+'ПЛАН ЧЕРН К2'!S47*СПРАВОЧНИК!$J$14+'ПЛАН ЧЕРН К2'!T47*СПРАВОЧНИК!$H$15+'ПЛАН ЧЕРН К2'!U47*СПРАВОЧНИК!$I$15+'ПЛАН ЧЕРН К2'!V47*СПРАВОЧНИК!$J$15</f>
        <v/>
      </c>
      <c r="AU56" s="40">
        <f>('ФАКТ ЧЕРН К2'!B47)*СПРАВОЧНИК!$H$9+('ФАКТ ЧЕРН К2'!C47)*СПРАВОЧНИК!$I$9+('ФАКТ ЧЕРН К2'!D47)*СПРАВОЧНИК!$J$9+('ФАКТ ЧЕРН К2'!E47)*СПРАВОЧНИК!$H$10+('ФАКТ ЧЕРН К2'!F47)*СПРАВОЧНИК!$I$10+('ФАКТ ЧЕРН К2'!G47)*СПРАВОЧНИК!$J$10+('ФАКТ ЧЕРН К2'!H47)*СПРАВОЧНИК!$H$11+('ФАКТ ЧЕРН К2'!I47)*СПРАВОЧНИК!$I$11+('ФАКТ ЧЕРН К2'!J47)*СПРАВОЧНИК!$J$11+('ФАКТ ЧЕРН К2'!K47)*СПРАВОЧНИК!$H$12+('ФАКТ ЧЕРН К2'!L47)*СПРАВОЧНИК!$I$12+('ФАКТ ЧЕРН К2'!M47)*СПРАВОЧНИК!$J$12+('ФАКТ ЧЕРН К2'!N47)*СПРАВОЧНИК!$H$13+('ФАКТ ЧЕРН К2'!O47)*СПРАВОЧНИК!$I$13+('ФАКТ ЧЕРН К2'!P47)*СПРАВОЧНИК!$J$13+('ФАКТ ЧЕРН К2'!Q47)*СПРАВОЧНИК!$H$14+('ФАКТ ЧЕРН К2'!R47)*СПРАВОЧНИК!$I$14+('ФАКТ ЧЕРН К2'!S47)*СПРАВОЧНИК!$J$14+('ФАКТ ЧЕРН К2'!T47)*СПРАВОЧНИК!$H$15+('ФАКТ ЧЕРН К2'!U47)*СПРАВОЧНИК!$I$15+('ФАКТ ЧЕРН К2'!V47)*СПРАВОЧНИК!$J$15</f>
        <v/>
      </c>
      <c r="AY56" s="18">
        <f>AY55+7</f>
        <v/>
      </c>
      <c r="AZ56" s="37">
        <f>'ПЛАН ЧИСТ К2'!B47*СПРАВОЧНИК!$L$9+'ПЛАН ЧИСТ К2'!C47*СПРАВОЧНИК!$M$9+'ПЛАН ЧИСТ К2'!D47*СПРАВОЧНИК!$N$9+'ПЛАН ЧИСТ К2'!E47*СПРАВОЧНИК!$O$9+'ПЛАН ЧИСТ К2'!F47*СПРАВОЧНИК!$L$10+'ПЛАН ЧИСТ К2'!G47*СПРАВОЧНИК!$M$10+'ПЛАН ЧИСТ К2'!H47*СПРАВОЧНИК!$N$10+'ПЛАН ЧИСТ К2'!I47*СПРАВОЧНИК!$O$10+'ПЛАН ЧИСТ К2'!J47*СПРАВОЧНИК!$L$11+'ПЛАН ЧИСТ К2'!K47*СПРАВОЧНИК!$M$11+'ПЛАН ЧИСТ К2'!L47*СПРАВОЧНИК!$N$11+'ПЛАН ЧИСТ К2'!M47*СПРАВОЧНИК!$L$12+'ПЛАН ЧИСТ К2'!N47*СПРАВОЧНИК!$M$12+'ПЛАН ЧИСТ К2'!O47*СПРАВОЧНИК!$N$12+'ПЛАН ЧИСТ К2'!P47*СПРАВОЧНИК!$O$12+'ПЛАН ЧИСТ К2'!Q47*СПРАВОЧНИК!$L$13+'ПЛАН ЧИСТ К2'!R47*СПРАВОЧНИК!$M$13+'ПЛАН ЧИСТ К2'!S47*СПРАВОЧНИК!$N$13+'ПЛАН ЧИСТ К2'!T47*СПРАВОЧНИК!$O$13+'ПЛАН ЧИСТ К2'!U47*СПРАВОЧНИК!$L$14+'ПЛАН ЧИСТ К2'!V47*СПРАВОЧНИК!$M$14+'ПЛАН ЧИСТ К2'!W47*СПРАВОЧНИК!$N$14+'ПЛАН ЧИСТ К2'!X47*СПРАВОЧНИК!$L$15+'ПЛАН ЧИСТ К2'!Y47*СПРАВОЧНИК!$M$15+'ПЛАН ЧИСТ К2'!Z47*СПРАВОЧНИК!$N$15</f>
        <v/>
      </c>
      <c r="BA56" s="40">
        <f>('ФАКТ ЧИСТ К2'!B47)*СПРАВОЧНИК!$L$9+('ФАКТ ЧИСТ К2'!C47)*СПРАВОЧНИК!$M$9+('ФАКТ ЧИСТ К2'!D47)*СПРАВОЧНИК!$N$9+('ФАКТ ЧИСТ К2'!E47)*СПРАВОЧНИК!$O$9+('ФАКТ ЧИСТ К2'!F47)*СПРАВОЧНИК!$L$10+('ФАКТ ЧИСТ К2'!G47)*СПРАВОЧНИК!$M$10+('ФАКТ ЧИСТ К2'!H47)*СПРАВОЧНИК!$N$10+('ФАКТ ЧИСТ К2'!I47)*СПРАВОЧНИК!$O$10+('ФАКТ ЧИСТ К2'!J47)*СПРАВОЧНИК!$L$11+('ФАКТ ЧИСТ К2'!K47)*СПРАВОЧНИК!$M$11+('ФАКТ ЧИСТ К2'!L47)*СПРАВОЧНИК!$N$11+('ФАКТ ЧИСТ К2'!M47)*СПРАВОЧНИК!$L$12+('ФАКТ ЧИСТ К2'!N47)*СПРАВОЧНИК!$M$12+('ФАКТ ЧИСТ К2'!O47)*СПРАВОЧНИК!$N$12+('ФАКТ ЧИСТ К2'!P47)*СПРАВОЧНИК!$O$12+('ФАКТ ЧИСТ К2'!Q47)*СПРАВОЧНИК!$L$13+('ФАКТ ЧИСТ К2'!R47)*СПРАВОЧНИК!$M$13+('ФАКТ ЧИСТ К2'!S47)*СПРАВОЧНИК!$N$13+('ФАКТ ЧИСТ К2'!T47)*СПРАВОЧНИК!$O$13+('ФАКТ ЧИСТ К2'!U47)*СПРАВОЧНИК!$L$14+('ФАКТ ЧИСТ К2'!V47)*СПРАВОЧНИК!$M$14+('ФАКТ ЧИСТ К2'!W47)*СПРАВОЧНИК!$N$14+('ФАКТ ЧИСТ К2'!X47)*СПРАВОЧНИК!$L$15+('ФАКТ ЧИСТ К2'!Y47)*СПРАВОЧНИК!$M$15+('ФАКТ ЧИСТ К2'!Z47)*СПРАВОЧНИК!$N$15</f>
        <v/>
      </c>
      <c r="BE56" s="18">
        <f>BE55+7</f>
        <v/>
      </c>
      <c r="BF56" s="37">
        <f>СПРАВОЧНИК!$E$9*('ПЛАН ЧЕРН К3'!B47*СПРАВОЧНИК!$H$9+'ПЛАН ЧЕРН К3'!C47*СПРАВОЧНИК!$I$9+'ПЛАН ЧЕРН К3'!D47*СПРАВОЧНИК!$J$9)+СПРАВОЧНИК!$E$10*('ПЛАН ЧЕРН К3'!E47*СПРАВОЧНИК!$H$10+'ПЛАН ЧЕРН К3'!F47*СПРАВОЧНИК!$I$10+'ПЛАН ЧЕРН К3'!G47*СПРАВОЧНИК!$J$10)+СПРАВОЧНИК!$E$11*('ПЛАН ЧЕРН К3'!H47*СПРАВОЧНИК!$H$11+'ПЛАН ЧЕРН К3'!I47*СПРАВОЧНИК!$I$11+'ПЛАН ЧЕРН К3'!J47*СПРАВОЧНИК!$J$11)+СПРАВОЧНИК!$E$12*('ПЛАН ЧЕРН К3'!K47*СПРАВОЧНИК!$H$12+'ПЛАН ЧЕРН К3'!L47*СПРАВОЧНИК!$I$12+'ПЛАН ЧЕРН К3'!M47*СПРАВОЧНИК!$J$12)+СПРАВОЧНИК!$E$13*('ПЛАН ЧЕРН К3'!N47*СПРАВОЧНИК!$H$13+'ПЛАН ЧЕРН К3'!O47*СПРАВОЧНИК!$I$13+'ПЛАН ЧЕРН К3'!P47*СПРАВОЧНИК!$J$13)+СПРАВОЧНИК!$E$14*('ПЛАН ЧЕРН К3'!Q47*СПРАВОЧНИК!$H$14+'ПЛАН ЧЕРН К3'!R47*СПРАВОЧНИК!$I$14+'ПЛАН ЧЕРН К3'!S47*СПРАВОЧНИК!$J$14)+СПРАВОЧНИК!$E$15*('ПЛАН ЧЕРН К3'!T47*СПРАВОЧНИК!$H$15+'ПЛАН ЧЕРН К3'!U47*СПРАВОЧНИК!$I$15+'ПЛАН ЧЕРН К3'!V47*СПРАВОЧНИК!$J$15)+СПРАВОЧНИК!$F$9*('ПЛАН ЧИСТ К3'!B47*СПРАВОЧНИК!$L$9+'ПЛАН ЧИСТ К3'!C47*СПРАВОЧНИК!$M$9+'ПЛАН ЧИСТ К3'!D47*СПРАВОЧНИК!$N$9+'ПЛАН ЧИСТ К3'!E47*СПРАВОЧНИК!$O$9)+СПРАВОЧНИК!$F$10*('ПЛАН ЧИСТ К3'!F47*СПРАВОЧНИК!$L$10+'ПЛАН ЧИСТ К3'!G47*СПРАВОЧНИК!$M$10+'ПЛАН ЧИСТ К3'!H47*СПРАВОЧНИК!$N$10+'ПЛАН ЧИСТ К3'!I47*СПРАВОЧНИК!$O$10)+СПРАВОЧНИК!$F$11*('ПЛАН ЧИСТ К3'!J47*СПРАВОЧНИК!$L$11+'ПЛАН ЧИСТ К3'!K47*СПРАВОЧНИК!$M$11+'ПЛАН ЧИСТ К3'!L47*СПРАВОЧНИК!$N$11)+СПРАВОЧНИК!$F$12*('ПЛАН ЧИСТ К3'!M47*СПРАВОЧНИК!$L$12+'ПЛАН ЧИСТ К3'!N47*СПРАВОЧНИК!$M$12+'ПЛАН ЧИСТ К3'!O47*СПРАВОЧНИК!$N$12+'ПЛАН ЧИСТ К3'!P47*СПРАВОЧНИК!$O$12)+СПРАВОЧНИК!$F$13*('ПЛАН ЧИСТ К3'!Q47*СПРАВОЧНИК!$L$13+'ПЛАН ЧИСТ К3'!R47*СПРАВОЧНИК!$M$13+'ПЛАН ЧИСТ К3'!S47*СПРАВОЧНИК!$N$13+'ПЛАН ЧИСТ К3'!T47*СПРАВОЧНИК!$O$13)+СПРАВОЧНИК!$F$14*('ПЛАН ЧИСТ К3'!U47*СПРАВОЧНИК!$L$14+'ПЛАН ЧИСТ К3'!V47*СПРАВОЧНИК!$M$14+'ПЛАН ЧИСТ К3'!W47*СПРАВОЧНИК!$N$14)+СПРАВОЧНИК!$F$15*('ПЛАН ЧИСТ К3'!X47*СПРАВОЧНИК!$L$15+'ПЛАН ЧИСТ К3'!Y47*СПРАВОЧНИК!$M$15+'ПЛАН ЧИСТ К3'!Z47*СПРАВОЧНИК!$N$15)</f>
        <v/>
      </c>
      <c r="BG56" s="40">
        <f>СПРАВОЧНИК!$E$9*(('ФАКТ ЧЕРН К3'!B47)*СПРАВОЧНИК!$H$9+('ФАКТ ЧЕРН К3'!C47)*СПРАВОЧНИК!$I$9+('ФАКТ ЧЕРН К3'!D47)*СПРАВОЧНИК!$J$9)+СПРАВОЧНИК!$E$10*(('ФАКТ ЧЕРН К3'!E47)*СПРАВОЧНИК!$H$10+('ФАКТ ЧЕРН К3'!F47)*СПРАВОЧНИК!$I$10+('ФАКТ ЧЕРН К3'!G47)*СПРАВОЧНИК!$J$10)+СПРАВОЧНИК!$E$11*(('ФАКТ ЧЕРН К3'!H47)*СПРАВОЧНИК!$H$11+('ФАКТ ЧЕРН К3'!I47)*СПРАВОЧНИК!$I$11+('ФАКТ ЧЕРН К3'!J47)*СПРАВОЧНИК!$J$11)+СПРАВОЧНИК!$E$12*(('ФАКТ ЧЕРН К3'!K47)*СПРАВОЧНИК!$H$12+('ФАКТ ЧЕРН К3'!L47)*СПРАВОЧНИК!$I$12+('ФАКТ ЧЕРН К3'!M47)*СПРАВОЧНИК!$J$12)+СПРАВОЧНИК!$E$13*(('ФАКТ ЧЕРН К3'!N47)*СПРАВОЧНИК!$H$13+('ФАКТ ЧЕРН К3'!O47)*СПРАВОЧНИК!$I$13+('ФАКТ ЧЕРН К3'!P47)*СПРАВОЧНИК!$J$13)+СПРАВОЧНИК!$E$14*(('ФАКТ ЧЕРН К3'!Q47)*СПРАВОЧНИК!$H$14+('ФАКТ ЧЕРН К3'!R47)*СПРАВОЧНИК!$I$14+('ФАКТ ЧЕРН К3'!S47)*СПРАВОЧНИК!$J$14)+СПРАВОЧНИК!$E$15*(('ФАКТ ЧЕРН К3'!T47)*СПРАВОЧНИК!$H$15+('ФАКТ ЧЕРН К3'!U47)*СПРАВОЧНИК!$I$15+('ФАКТ ЧЕРН К3'!V47)*СПРАВОЧНИК!$J$15)+СПРАВОЧНИК!$F$9*(('ФАКТ ЧИСТ К3'!B47)*СПРАВОЧНИК!$L$9+('ФАКТ ЧИСТ К3'!C47)*СПРАВОЧНИК!$M$9+('ФАКТ ЧИСТ К3'!D47)*СПРАВОЧНИК!$N$9+('ФАКТ ЧИСТ К3'!E47)*СПРАВОЧНИК!$O$9)+СПРАВОЧНИК!$F$10*(('ФАКТ ЧИСТ К3'!F47)*СПРАВОЧНИК!$L$10+('ФАКТ ЧИСТ К3'!G47)*СПРАВОЧНИК!$M$10+('ФАКТ ЧИСТ К3'!H47)*СПРАВОЧНИК!$N$10+('ФАКТ ЧИСТ К3'!I47)*СПРАВОЧНИК!$O$10)+СПРАВОЧНИК!$F$11*(('ФАКТ ЧИСТ К3'!J47)*СПРАВОЧНИК!$L$11+('ФАКТ ЧИСТ К3'!K47)*СПРАВОЧНИК!$M$11+('ФАКТ ЧИСТ К3'!L47)*СПРАВОЧНИК!$N$11)+СПРАВОЧНИК!$F$12*(('ФАКТ ЧИСТ К3'!M47)*СПРАВОЧНИК!$L$12+('ФАКТ ЧИСТ К3'!N47)*СПРАВОЧНИК!$M$12+('ФАКТ ЧИСТ К3'!O47)*СПРАВОЧНИК!$N$12+('ФАКТ ЧИСТ К3'!P47)*СПРАВОЧНИК!$O$12)+СПРАВОЧНИК!$F$13*(('ФАКТ ЧИСТ К3'!Q47)*СПРАВОЧНИК!$L$13+('ФАКТ ЧИСТ К3'!R47)*СПРАВОЧНИК!$M$13+('ФАКТ ЧИСТ К3'!S47)*СПРАВОЧНИК!$N$13+('ФАКТ ЧИСТ К3'!T47)*СПРАВОЧНИК!$O$13)+СПРАВОЧНИК!$F$14*(('ФАКТ ЧИСТ К3'!U47)*СПРАВОЧНИК!$L$14+('ФАКТ ЧИСТ К3'!V47)*СПРАВОЧНИК!$M$14+('ФАКТ ЧИСТ К3'!W47)*СПРАВОЧНИК!$N$14)+СПРАВОЧНИК!$F$15*(('ФАКТ ЧИСТ К3'!X47)*СПРАВОЧНИК!$L$15+('ФАКТ ЧИСТ К3'!Y47)*СПРАВОЧНИК!$M$15+('ФАКТ ЧИСТ К3'!Z47)*СПРАВОЧНИК!$N$15)</f>
        <v/>
      </c>
      <c r="BK56" s="18">
        <f>BK55+7</f>
        <v/>
      </c>
      <c r="BL56" s="37">
        <f>'ПЛАН ЧЕРН К3'!B47*СПРАВОЧНИК!$H$9+'ПЛАН ЧЕРН К3'!C47*СПРАВОЧНИК!$I$9+'ПЛАН ЧЕРН К3'!D47*СПРАВОЧНИК!$J$9+'ПЛАН ЧЕРН К3'!E47*СПРАВОЧНИК!$H$10+'ПЛАН ЧЕРН К3'!F47*СПРАВОЧНИК!$I$10+'ПЛАН ЧЕРН К3'!G47*СПРАВОЧНИК!$J$10+'ПЛАН ЧЕРН К3'!H47*СПРАВОЧНИК!$H$11+'ПЛАН ЧЕРН К3'!I47*СПРАВОЧНИК!$I$11+'ПЛАН ЧЕРН К3'!J47*СПРАВОЧНИК!$J$11+'ПЛАН ЧЕРН К3'!K47*СПРАВОЧНИК!$H$12+'ПЛАН ЧЕРН К3'!L47*СПРАВОЧНИК!$I$12+'ПЛАН ЧЕРН К3'!M47*СПРАВОЧНИК!$J$12+'ПЛАН ЧЕРН К3'!N47*СПРАВОЧНИК!$H$13+'ПЛАН ЧЕРН К3'!O47*СПРАВОЧНИК!$I$13+'ПЛАН ЧЕРН К3'!P47*СПРАВОЧНИК!$J$13+'ПЛАН ЧЕРН К3'!Q47*СПРАВОЧНИК!$H$14+'ПЛАН ЧЕРН К3'!R47*СПРАВОЧНИК!$I$14+'ПЛАН ЧЕРН К3'!S47*СПРАВОЧНИК!$J$14+'ПЛАН ЧЕРН К3'!T47*СПРАВОЧНИК!$H$15+'ПЛАН ЧЕРН К3'!U47*СПРАВОЧНИК!$I$15+'ПЛАН ЧЕРН К3'!V47*СПРАВОЧНИК!$J$15</f>
        <v/>
      </c>
      <c r="BM56" s="40">
        <f>('ФАКТ ЧЕРН К3'!B47)*СПРАВОЧНИК!$H$9+('ФАКТ ЧЕРН К3'!C47)*СПРАВОЧНИК!$I$9+('ФАКТ ЧЕРН К3'!D47)*СПРАВОЧНИК!$J$9+('ФАКТ ЧЕРН К3'!E47)*СПРАВОЧНИК!$H$10+('ФАКТ ЧЕРН К3'!F47)*СПРАВОЧНИК!$I$10+('ФАКТ ЧЕРН К3'!G47)*СПРАВОЧНИК!$J$10+('ФАКТ ЧЕРН К3'!H47)*СПРАВОЧНИК!$H$11+('ФАКТ ЧЕРН К3'!I47)*СПРАВОЧНИК!$I$11+('ФАКТ ЧЕРН К3'!J47)*СПРАВОЧНИК!$J$11+('ФАКТ ЧЕРН К3'!K47)*СПРАВОЧНИК!$H$12+('ФАКТ ЧЕРН К3'!L47)*СПРАВОЧНИК!$I$12+('ФАКТ ЧЕРН К3'!M47)*СПРАВОЧНИК!$J$12+('ФАКТ ЧЕРН К3'!N47)*СПРАВОЧНИК!$H$13+('ФАКТ ЧЕРН К3'!O47)*СПРАВОЧНИК!$I$13+('ФАКТ ЧЕРН К3'!P47)*СПРАВОЧНИК!$J$13+('ФАКТ ЧЕРН К3'!Q47)*СПРАВОЧНИК!$H$14+('ФАКТ ЧЕРН К3'!R47)*СПРАВОЧНИК!$I$14+('ФАКТ ЧЕРН К3'!S47)*СПРАВОЧНИК!$J$14+('ФАКТ ЧЕРН К3'!T47)*СПРАВОЧНИК!$H$15+('ФАКТ ЧЕРН К3'!U47)*СПРАВОЧНИК!$I$15+('ФАКТ ЧЕРН К3'!V47)*СПРАВОЧНИК!$J$15</f>
        <v/>
      </c>
      <c r="BQ56" s="18">
        <f>BQ55+7</f>
        <v/>
      </c>
      <c r="BR56" s="37">
        <f>'ПЛАН ЧИСТ К3'!B47*СПРАВОЧНИК!$L$9+'ПЛАН ЧИСТ К3'!C47*СПРАВОЧНИК!$M$9+'ПЛАН ЧИСТ К3'!D47*СПРАВОЧНИК!$N$9+'ПЛАН ЧИСТ К3'!E47*СПРАВОЧНИК!$O$9+'ПЛАН ЧИСТ К3'!F47*СПРАВОЧНИК!$L$10+'ПЛАН ЧИСТ К3'!G47*СПРАВОЧНИК!$M$10+'ПЛАН ЧИСТ К3'!H47*СПРАВОЧНИК!$N$10+'ПЛАН ЧИСТ К3'!I47*СПРАВОЧНИК!$O$10+'ПЛАН ЧИСТ К3'!J47*СПРАВОЧНИК!$L$11+'ПЛАН ЧИСТ К3'!K47*СПРАВОЧНИК!$M$11+'ПЛАН ЧИСТ К3'!L47*СПРАВОЧНИК!$N$11+'ПЛАН ЧИСТ К3'!M47*СПРАВОЧНИК!$L$12+'ПЛАН ЧИСТ К3'!N47*СПРАВОЧНИК!$M$12+'ПЛАН ЧИСТ К3'!O47*СПРАВОЧНИК!$N$12+'ПЛАН ЧИСТ К3'!P47*СПРАВОЧНИК!$O$12+'ПЛАН ЧИСТ К3'!Q47*СПРАВОЧНИК!$L$13+'ПЛАН ЧИСТ К3'!R47*СПРАВОЧНИК!$M$13+'ПЛАН ЧИСТ К3'!S47*СПРАВОЧНИК!$N$13+'ПЛАН ЧИСТ К3'!T47*СПРАВОЧНИК!$O$13+'ПЛАН ЧИСТ К3'!U47*СПРАВОЧНИК!$L$14+'ПЛАН ЧИСТ К3'!V47*СПРАВОЧНИК!$M$14+'ПЛАН ЧИСТ К3'!W47*СПРАВОЧНИК!$N$14+'ПЛАН ЧИСТ К3'!X47*СПРАВОЧНИК!$L$15+'ПЛАН ЧИСТ К3'!Y47*СПРАВОЧНИК!$M$15+'ПЛАН ЧИСТ К3'!Z47*СПРАВОЧНИК!$N$15</f>
        <v/>
      </c>
      <c r="BS56" s="40">
        <f>('ФАКТ ЧИСТ К3'!B47)*СПРАВОЧНИК!$L$9+('ФАКТ ЧИСТ К3'!C47)*СПРАВОЧНИК!$M$9+('ФАКТ ЧИСТ К3'!D47)*СПРАВОЧНИК!$N$9+('ФАКТ ЧИСТ К3'!E47)*СПРАВОЧНИК!$O$9+('ФАКТ ЧИСТ К3'!F47)*СПРАВОЧНИК!$L$10+('ФАКТ ЧИСТ К3'!G47)*СПРАВОЧНИК!$M$10+('ФАКТ ЧИСТ К3'!H47)*СПРАВОЧНИК!$N$10+('ФАКТ ЧИСТ К3'!I47)*СПРАВОЧНИК!$O$10+('ФАКТ ЧИСТ К3'!J47)*СПРАВОЧНИК!$L$11+('ФАКТ ЧИСТ К3'!K47)*СПРАВОЧНИК!$M$11+('ФАКТ ЧИСТ К3'!L47)*СПРАВОЧНИК!$N$11+('ФАКТ ЧИСТ К3'!M47)*СПРАВОЧНИК!$L$12+('ФАКТ ЧИСТ К3'!N47)*СПРАВОЧНИК!$M$12+('ФАКТ ЧИСТ К3'!O47)*СПРАВОЧНИК!$N$12+('ФАКТ ЧИСТ К3'!P47)*СПРАВОЧНИК!$O$12+('ФАКТ ЧИСТ К3'!Q47)*СПРАВОЧНИК!$L$13+('ФАКТ ЧИСТ К3'!R47)*СПРАВОЧНИК!$M$13+('ФАКТ ЧИСТ К3'!S47)*СПРАВОЧНИК!$N$13+('ФАКТ ЧИСТ К3'!T47)*СПРАВОЧНИК!$O$13+('ФАКТ ЧИСТ К3'!U47)*СПРАВОЧНИК!$L$14+('ФАКТ ЧИСТ К3'!V47)*СПРАВОЧНИК!$M$14+('ФАКТ ЧИСТ К3'!W47)*СПРАВОЧНИК!$N$14+('ФАКТ ЧИСТ К3'!X47)*СПРАВОЧНИК!$L$15+('ФАКТ ЧИСТ К3'!Y47)*СПРАВОЧНИК!$M$15+('ФАКТ ЧИСТ К3'!Z47)*СПРАВОЧНИК!$N$15</f>
        <v/>
      </c>
      <c r="BW56" s="18">
        <f>BW55+7</f>
        <v/>
      </c>
      <c r="BX56" s="37">
        <f>V56+AN56+BF56</f>
        <v/>
      </c>
      <c r="BY56" s="40">
        <f>W56+AO56+BG56</f>
        <v/>
      </c>
      <c r="CC56" s="18">
        <f>CC55+7</f>
        <v/>
      </c>
      <c r="CD56" s="37">
        <f>AB56+AT56+BL56</f>
        <v/>
      </c>
      <c r="CE56" s="40">
        <f>AC56+AU56+BM56</f>
        <v/>
      </c>
      <c r="CI56" s="18">
        <f>CI55+7</f>
        <v/>
      </c>
      <c r="CJ56" s="37">
        <f>AH56+AZ56+BR56</f>
        <v/>
      </c>
      <c r="CK56" s="40">
        <f>AI56+BA56+BS56</f>
        <v/>
      </c>
      <c r="CO56" s="18">
        <f>CO55+7</f>
        <v/>
      </c>
      <c r="CP56" s="37">
        <f>D56+BX56</f>
        <v/>
      </c>
      <c r="CQ56" s="40">
        <f>E56+BY56</f>
        <v/>
      </c>
      <c r="CU56" s="18">
        <f>CU55+7</f>
        <v/>
      </c>
      <c r="CV56" s="37">
        <f>J56+CD56</f>
        <v/>
      </c>
      <c r="CW56" s="40">
        <f>K56+CE56</f>
        <v/>
      </c>
      <c r="DA56" s="18">
        <f>DA55+7</f>
        <v/>
      </c>
      <c r="DB56" s="37">
        <f>P56+CJ56</f>
        <v/>
      </c>
      <c r="DC56" s="40">
        <f>Q56+CK56</f>
        <v/>
      </c>
    </row>
    <row r="57">
      <c r="C57" s="18">
        <f>C56+7</f>
        <v/>
      </c>
      <c r="D57" s="37">
        <f>СПРАВОЧНИК!$E$3*('ПЛАН ЧЕРН ПОДЗЕМ'!B48*СПРАВОЧНИК!$H$3+'ПЛАН ЧЕРН ПОДЗЕМ'!C48*СПРАВОЧНИК!$I$3+'ПЛАН ЧЕРН ПОДЗЕМ'!D48*СПРАВОЧНИК!$J$3)+СПРАВОЧНИК!$E$4*('ПЛАН ЧЕРН ПОДЗЕМ'!E48*СПРАВОЧНИК!$H$4+'ПЛАН ЧЕРН ПОДЗЕМ'!F48*СПРАВОЧНИК!$I$4+'ПЛАН ЧЕРН ПОДЗЕМ'!G48*СПРАВОЧНИК!$J$4)+СПРАВОЧНИК!$E$5*('ПЛАН ЧЕРН ПОДЗЕМ'!H48*СПРАВОЧНИК!$H$5+'ПЛАН ЧЕРН ПОДЗЕМ'!I48*СПРАВОЧНИК!$I$5+'ПЛАН ЧЕРН ПОДЗЕМ'!J48*СПРАВОЧНИК!$J$5)+СПРАВОЧНИК!$E$6*('ПЛАН ЧЕРН ПОДЗЕМ'!K48*СПРАВОЧНИК!$H$6+'ПЛАН ЧЕРН ПОДЗЕМ'!L48*СПРАВОЧНИК!$I$6+'ПЛАН ЧЕРН ПОДЗЕМ'!M48*СПРАВОЧНИК!$J$6)+СПРАВОЧНИК!$E$7*('ПЛАН ЧЕРН ПОДЗЕМ'!N48*СПРАВОЧНИК!$H$7+'ПЛАН ЧЕРН ПОДЗЕМ'!O48*СПРАВОЧНИК!$I$7+'ПЛАН ЧЕРН ПОДЗЕМ'!P48*СПРАВОЧНИК!$J$7)+СПРАВОЧНИК!$E$8*('ПЛАН ЧЕРН ПОДЗЕМ'!Q48*СПРАВОЧНИК!$H$8+'ПЛАН ЧЕРН ПОДЗЕМ'!R48*СПРАВОЧНИК!$I$8+'ПЛАН ЧЕРН ПОДЗЕМ'!S48*СПРАВОЧНИК!$J$8)+СПРАВОЧНИК!$F$3*('ПЛАН ЧИСТ ПОДЗЕМ'!B48*СПРАВОЧНИК!$L$3+'ПЛАН ЧИСТ ПОДЗЕМ'!C48*СПРАВОЧНИК!$M$3+'ПЛАН ЧИСТ ПОДЗЕМ'!D48*СПРАВОЧНИК!$N$3+'ПЛАН ЧИСТ ПОДЗЕМ'!E48*СПРАВОЧНИК!$O$3)+СПРАВОЧНИК!$F$4*('ПЛАН ЧИСТ ПОДЗЕМ'!F48*СПРАВОЧНИК!$L$4+'ПЛАН ЧИСТ ПОДЗЕМ'!G48*СПРАВОЧНИК!$M$4+'ПЛАН ЧИСТ ПОДЗЕМ'!H48*СПРАВОЧНИК!$N$4+'ПЛАН ЧИСТ ПОДЗЕМ'!I48*СПРАВОЧНИК!$O$4)+СПРАВОЧНИК!$F$5*('ПЛАН ЧИСТ ПОДЗЕМ'!J48*СПРАВОЧНИК!$L$5+'ПЛАН ЧИСТ ПОДЗЕМ'!K48*СПРАВОЧНИК!$M$5+'ПЛАН ЧИСТ ПОДЗЕМ'!L48*СПРАВОЧНИК!$N$5)+СПРАВОЧНИК!$F$6*('ПЛАН ЧИСТ ПОДЗЕМ'!M48*СПРАВОЧНИК!$L$6+'ПЛАН ЧИСТ ПОДЗЕМ'!N48*СПРАВОЧНИК!$M$6+'ПЛАН ЧИСТ ПОДЗЕМ'!O48*СПРАВОЧНИК!$N$6+'ПЛАН ЧИСТ ПОДЗЕМ'!P48*СПРАВОЧНИК!$O$6)+СПРАВОЧНИК!$F$7*('ПЛАН ЧИСТ ПОДЗЕМ'!Q48*СПРАВОЧНИК!$L$7+'ПЛАН ЧИСТ ПОДЗЕМ'!R48*СПРАВОЧНИК!$M$7+'ПЛАН ЧИСТ ПОДЗЕМ'!S48*СПРАВОЧНИК!$N$7+'ПЛАН ЧИСТ ПОДЗЕМ'!T48*СПРАВОЧНИК!$O$7)+СПРАВОЧНИК!$F$8*('ПЛАН ЧИСТ ПОДЗЕМ'!U48*СПРАВОЧНИК!$L$8+'ПЛАН ЧИСТ ПОДЗЕМ'!V48*СПРАВОЧНИК!$M$8+'ПЛАН ЧИСТ ПОДЗЕМ'!W48*СПРАВОЧНИК!$N$8)</f>
        <v/>
      </c>
      <c r="E57" s="40">
        <f>СПРАВОЧНИК!$E$3*(('ФАКТ ЧЕРН ПОДЗЕМ'!B48)*СПРАВОЧНИК!$H$3+('ФАКТ ЧЕРН ПОДЗЕМ'!C48)*СПРАВОЧНИК!$I$3+('ФАКТ ЧЕРН ПОДЗЕМ'!D48)*СПРАВОЧНИК!$J$3)+СПРАВОЧНИК!$E$4*(('ФАКТ ЧЕРН ПОДЗЕМ'!E48)*СПРАВОЧНИК!$H$4+('ФАКТ ЧЕРН ПОДЗЕМ'!F48)*СПРАВОЧНИК!$I$4+('ФАКТ ЧЕРН ПОДЗЕМ'!G48)*СПРАВОЧНИК!$J$4)+СПРАВОЧНИК!$E$5*(('ФАКТ ЧЕРН ПОДЗЕМ'!H48)*СПРАВОЧНИК!$H$5+('ФАКТ ЧЕРН ПОДЗЕМ'!I48)*СПРАВОЧНИК!$I$5+('ФАКТ ЧЕРН ПОДЗЕМ'!J48)*СПРАВОЧНИК!$J$5)+СПРАВОЧНИК!$E$6*(('ФАКТ ЧЕРН ПОДЗЕМ'!K48)*СПРАВОЧНИК!$H$6+('ФАКТ ЧЕРН ПОДЗЕМ'!L48)*СПРАВОЧНИК!$I$6+('ФАКТ ЧЕРН ПОДЗЕМ'!M48)*СПРАВОЧНИК!$J$6)+СПРАВОЧНИК!$E$7*(('ФАКТ ЧЕРН ПОДЗЕМ'!N48)*СПРАВОЧНИК!$H$7+('ФАКТ ЧЕРН ПОДЗЕМ'!O48)*СПРАВОЧНИК!$I$7+('ФАКТ ЧЕРН ПОДЗЕМ'!P48)*СПРАВОЧНИК!$J$7)+СПРАВОЧНИК!$E$8*(('ФАКТ ЧЕРН ПОДЗЕМ'!Q48)*СПРАВОЧНИК!$H$8+('ФАКТ ЧЕРН ПОДЗЕМ'!R48)*СПРАВОЧНИК!$I$8+('ФАКТ ЧЕРН ПОДЗЕМ'!S48)*СПРАВОЧНИК!$J$8)+СПРАВОЧНИК!$F$3*(('ФАКТ ЧИСТ ПОДЗЕМ'!B48)*СПРАВОЧНИК!$L$3+('ФАКТ ЧИСТ ПОДЗЕМ'!C48)*СПРАВОЧНИК!$M$3+('ФАКТ ЧИСТ ПОДЗЕМ'!D48)*СПРАВОЧНИК!$N$3+('ФАКТ ЧИСТ ПОДЗЕМ'!E48)*СПРАВОЧНИК!$O$3)+СПРАВОЧНИК!$F$4*(('ФАКТ ЧИСТ ПОДЗЕМ'!F48)*СПРАВОЧНИК!$L$4+('ФАКТ ЧИСТ ПОДЗЕМ'!G48)*СПРАВОЧНИК!$M$4+('ФАКТ ЧИСТ ПОДЗЕМ'!H48)*СПРАВОЧНИК!$N$4+('ФАКТ ЧИСТ ПОДЗЕМ'!I48)*СПРАВОЧНИК!$O$4)+СПРАВОЧНИК!$F$5*(('ФАКТ ЧИСТ ПОДЗЕМ'!J48)*СПРАВОЧНИК!$L$5+('ФАКТ ЧИСТ ПОДЗЕМ'!K48)*СПРАВОЧНИК!$M$5+('ФАКТ ЧИСТ ПОДЗЕМ'!L48)*СПРАВОЧНИК!$N$5)+СПРАВОЧНИК!$F$6*(('ФАКТ ЧИСТ ПОДЗЕМ'!M48)*СПРАВОЧНИК!$L$6+('ФАКТ ЧИСТ ПОДЗЕМ'!N48)*СПРАВОЧНИК!$M$6+('ФАКТ ЧИСТ ПОДЗЕМ'!O48)*СПРАВОЧНИК!$N$6+('ФАКТ ЧИСТ ПОДЗЕМ'!P48)*СПРАВОЧНИК!$O$6)+СПРАВОЧНИК!$F$7*(('ФАКТ ЧИСТ ПОДЗЕМ'!Q48)*СПРАВОЧНИК!$L$7+('ФАКТ ЧИСТ ПОДЗЕМ'!R48)*СПРАВОЧНИК!$M$7+('ФАКТ ЧИСТ ПОДЗЕМ'!S48)*СПРАВОЧНИК!$N$7+('ФАКТ ЧИСТ ПОДЗЕМ'!T48)*СПРАВОЧНИК!$O$7)+СПРАВОЧНИК!$F$8*(('ФАКТ ЧИСТ ПОДЗЕМ'!U48)*СПРАВОЧНИК!$L$8+('ФАКТ ЧИСТ ПОДЗЕМ'!V48)*СПРАВОЧНИК!$M$8+('ФАКТ ЧИСТ ПОДЗЕМ'!W48)*СПРАВОЧНИК!$N$8)</f>
        <v/>
      </c>
      <c r="I57" s="18">
        <f>I56+7</f>
        <v/>
      </c>
      <c r="J57" s="37">
        <f>'ПЛАН ЧЕРН ПОДЗЕМ'!B48*СПРАВОЧНИК!$H$3+'ПЛАН ЧЕРН ПОДЗЕМ'!C48*СПРАВОЧНИК!$I$3+'ПЛАН ЧЕРН ПОДЗЕМ'!D48*СПРАВОЧНИК!$J$3+'ПЛАН ЧЕРН ПОДЗЕМ'!E48*СПРАВОЧНИК!$H$4+'ПЛАН ЧЕРН ПОДЗЕМ'!F48*СПРАВОЧНИК!$I$4+'ПЛАН ЧЕРН ПОДЗЕМ'!G48*СПРАВОЧНИК!$J$4+'ПЛАН ЧЕРН ПОДЗЕМ'!H48*СПРАВОЧНИК!$H$5+'ПЛАН ЧЕРН ПОДЗЕМ'!I48*СПРАВОЧНИК!$I$5+'ПЛАН ЧЕРН ПОДЗЕМ'!J48*СПРАВОЧНИК!$J$5+'ПЛАН ЧЕРН ПОДЗЕМ'!K48*СПРАВОЧНИК!$H$6+'ПЛАН ЧЕРН ПОДЗЕМ'!L48*СПРАВОЧНИК!$I$6+'ПЛАН ЧЕРН ПОДЗЕМ'!M48*СПРАВОЧНИК!$J$6+'ПЛАН ЧЕРН ПОДЗЕМ'!N48*СПРАВОЧНИК!$H$7+'ПЛАН ЧЕРН ПОДЗЕМ'!O48*СПРАВОЧНИК!$I$7+'ПЛАН ЧЕРН ПОДЗЕМ'!P48*СПРАВОЧНИК!$J$7+'ПЛАН ЧЕРН ПОДЗЕМ'!Q48*СПРАВОЧНИК!$H$8+'ПЛАН ЧЕРН ПОДЗЕМ'!R48*СПРАВОЧНИК!$I$8+'ПЛАН ЧЕРН ПОДЗЕМ'!S48*СПРАВОЧНИК!$J$8</f>
        <v/>
      </c>
      <c r="K57" s="40">
        <f>('ФАКТ ЧЕРН ПОДЗЕМ'!B48)*СПРАВОЧНИК!$H$3+('ФАКТ ЧЕРН ПОДЗЕМ'!C48)*СПРАВОЧНИК!$I$3+('ФАКТ ЧЕРН ПОДЗЕМ'!D48)*СПРАВОЧНИК!$J$3+('ФАКТ ЧЕРН ПОДЗЕМ'!E48)*СПРАВОЧНИК!$H$4+('ФАКТ ЧЕРН ПОДЗЕМ'!F48)*СПРАВОЧНИК!$I$4+('ФАКТ ЧЕРН ПОДЗЕМ'!G48)*СПРАВОЧНИК!$J$4+('ФАКТ ЧЕРН ПОДЗЕМ'!H48)*СПРАВОЧНИК!$H$5+('ФАКТ ЧЕРН ПОДЗЕМ'!I48)*СПРАВОЧНИК!$I$5+('ФАКТ ЧЕРН ПОДЗЕМ'!J48)*СПРАВОЧНИК!$J$5+('ФАКТ ЧЕРН ПОДЗЕМ'!K48)*СПРАВОЧНИК!$H$6+('ФАКТ ЧЕРН ПОДЗЕМ'!L48)*СПРАВОЧНИК!$I$6+('ФАКТ ЧЕРН ПОДЗЕМ'!M48)*СПРАВОЧНИК!$J$6+('ФАКТ ЧЕРН ПОДЗЕМ'!N48)*СПРАВОЧНИК!$H$7+('ФАКТ ЧЕРН ПОДЗЕМ'!O48)*СПРАВОЧНИК!$I$7+('ФАКТ ЧЕРН ПОДЗЕМ'!P48)*СПРАВОЧНИК!$J$7+('ФАКТ ЧЕРН ПОДЗЕМ'!Q48)*СПРАВОЧНИК!$H$8+('ФАКТ ЧЕРН ПОДЗЕМ'!R48)*СПРАВОЧНИК!$I$8+('ФАКТ ЧЕРН ПОДЗЕМ'!S48)*СПРАВОЧНИК!$J$8</f>
        <v/>
      </c>
      <c r="O57" s="18">
        <f>O56+7</f>
        <v/>
      </c>
      <c r="P57" s="37">
        <f>'ПЛАН ЧИСТ ПОДЗЕМ'!B48*СПРАВОЧНИК!$L$3+'ПЛАН ЧИСТ ПОДЗЕМ'!C48*СПРАВОЧНИК!$M$3+'ПЛАН ЧИСТ ПОДЗЕМ'!D48*СПРАВОЧНИК!$N$3+'ПЛАН ЧИСТ ПОДЗЕМ'!E48*СПРАВОЧНИК!$O$3+'ПЛАН ЧИСТ ПОДЗЕМ'!F48*СПРАВОЧНИК!$L$4+'ПЛАН ЧИСТ ПОДЗЕМ'!G48*СПРАВОЧНИК!$M$4+'ПЛАН ЧИСТ ПОДЗЕМ'!H48*СПРАВОЧНИК!$N$4+'ПЛАН ЧИСТ ПОДЗЕМ'!I48*СПРАВОЧНИК!$O$4+'ПЛАН ЧИСТ ПОДЗЕМ'!J48*СПРАВОЧНИК!$L$5+'ПЛАН ЧИСТ ПОДЗЕМ'!K48*СПРАВОЧНИК!$M$5+'ПЛАН ЧИСТ ПОДЗЕМ'!L48*СПРАВОЧНИК!$N$5+'ПЛАН ЧИСТ ПОДЗЕМ'!M48*СПРАВОЧНИК!$L$6+'ПЛАН ЧИСТ ПОДЗЕМ'!N48*СПРАВОЧНИК!$M$6+'ПЛАН ЧИСТ ПОДЗЕМ'!O48*СПРАВОЧНИК!$N$6+'ПЛАН ЧИСТ ПОДЗЕМ'!P48*СПРАВОЧНИК!$O$6+'ПЛАН ЧИСТ ПОДЗЕМ'!Q48*СПРАВОЧНИК!$L$7+'ПЛАН ЧИСТ ПОДЗЕМ'!R48*СПРАВОЧНИК!$M$7+'ПЛАН ЧИСТ ПОДЗЕМ'!S48*СПРАВОЧНИК!$N$7+'ПЛАН ЧИСТ ПОДЗЕМ'!T48*СПРАВОЧНИК!$O$7+'ПЛАН ЧИСТ ПОДЗЕМ'!U48*СПРАВОЧНИК!$L$8+'ПЛАН ЧИСТ ПОДЗЕМ'!V48*СПРАВОЧНИК!$M$8+'ПЛАН ЧИСТ ПОДЗЕМ'!W48*СПРАВОЧНИК!$N$8</f>
        <v/>
      </c>
      <c r="Q57" s="40">
        <f>('ФАКТ ЧИСТ ПОДЗЕМ'!B48)*СПРАВОЧНИК!$L$3+('ФАКТ ЧИСТ ПОДЗЕМ'!C48)*СПРАВОЧНИК!$M$3+('ФАКТ ЧИСТ ПОДЗЕМ'!D48)*СПРАВОЧНИК!$N$3+('ФАКТ ЧИСТ ПОДЗЕМ'!E48)*СПРАВОЧНИК!$O$3+('ФАКТ ЧИСТ ПОДЗЕМ'!F48)*СПРАВОЧНИК!$L$4+('ФАКТ ЧИСТ ПОДЗЕМ'!G48)*СПРАВОЧНИК!$M$4+('ФАКТ ЧИСТ ПОДЗЕМ'!H48)*СПРАВОЧНИК!$N$4+('ФАКТ ЧИСТ ПОДЗЕМ'!I48)*СПРАВОЧНИК!$O$4+('ФАКТ ЧИСТ ПОДЗЕМ'!J48)*СПРАВОЧНИК!$L$5+('ФАКТ ЧИСТ ПОДЗЕМ'!K48)*СПРАВОЧНИК!$M$5+('ФАКТ ЧИСТ ПОДЗЕМ'!L48)*СПРАВОЧНИК!$N$5+('ФАКТ ЧИСТ ПОДЗЕМ'!M48)*СПРАВОЧНИК!$L$6+('ФАКТ ЧИСТ ПОДЗЕМ'!N48)*СПРАВОЧНИК!$M$6+('ФАКТ ЧИСТ ПОДЗЕМ'!O48)*СПРАВОЧНИК!$N$6+('ФАКТ ЧИСТ ПОДЗЕМ'!P48)*СПРАВОЧНИК!$O$6+('ФАКТ ЧИСТ ПОДЗЕМ'!Q48)*СПРАВОЧНИК!$L$7+('ФАКТ ЧИСТ ПОДЗЕМ'!R48)*СПРАВОЧНИК!$M$7+('ФАКТ ЧИСТ ПОДЗЕМ'!S48)*СПРАВОЧНИК!$N$7+('ФАКТ ЧИСТ ПОДЗЕМ'!T48)*СПРАВОЧНИК!$O$7+('ФАКТ ЧИСТ ПОДЗЕМ'!U48)*СПРАВОЧНИК!$L$8+('ФАКТ ЧИСТ ПОДЗЕМ'!V48)*СПРАВОЧНИК!$M$8+('ФАКТ ЧИСТ ПОДЗЕМ'!W48)*СПРАВОЧНИК!$N$8</f>
        <v/>
      </c>
      <c r="U57" s="18">
        <f>U56+7</f>
        <v/>
      </c>
      <c r="V57" s="37">
        <f>СПРАВОЧНИК!$E$9*('ПЛАН ЧЕРН К1'!B48*СПРАВОЧНИК!$H$9+'ПЛАН ЧЕРН К1'!C48*СПРАВОЧНИК!$I$9+'ПЛАН ЧЕРН К1'!D48*СПРАВОЧНИК!$J$9)+СПРАВОЧНИК!$E$10*('ПЛАН ЧЕРН К1'!E48*СПРАВОЧНИК!$H$10+'ПЛАН ЧЕРН К1'!F48*СПРАВОЧНИК!$I$10+'ПЛАН ЧЕРН К1'!G48*СПРАВОЧНИК!$J$10)+СПРАВОЧНИК!$E$11*('ПЛАН ЧЕРН К1'!H48*СПРАВОЧНИК!$H$11+'ПЛАН ЧЕРН К1'!I48*СПРАВОЧНИК!$I$11+'ПЛАН ЧЕРН К1'!J48*СПРАВОЧНИК!$J$11)+СПРАВОЧНИК!$E$12*('ПЛАН ЧЕРН К1'!K48*СПРАВОЧНИК!$H$12+'ПЛАН ЧЕРН К1'!L48*СПРАВОЧНИК!$I$12+'ПЛАН ЧЕРН К1'!M48*СПРАВОЧНИК!$J$12)+СПРАВОЧНИК!$E$13*('ПЛАН ЧЕРН К1'!N48*СПРАВОЧНИК!$H$13+'ПЛАН ЧЕРН К1'!O48*СПРАВОЧНИК!$I$13+'ПЛАН ЧЕРН К1'!P48*СПРАВОЧНИК!$J$13)+СПРАВОЧНИК!$E$14*('ПЛАН ЧЕРН К1'!Q48*СПРАВОЧНИК!$H$14+'ПЛАН ЧЕРН К1'!R48*СПРАВОЧНИК!$I$14+'ПЛАН ЧЕРН К1'!S48*СПРАВОЧНИК!$J$14)+СПРАВОЧНИК!$E$15*('ПЛАН ЧЕРН К1'!T48*СПРАВОЧНИК!$H$15+'ПЛАН ЧЕРН К1'!U48*СПРАВОЧНИК!$I$15+'ПЛАН ЧЕРН К1'!V48*СПРАВОЧНИК!$J$15)+СПРАВОЧНИК!$F$9*('ПЛАН ЧИСТ К1'!B48*СПРАВОЧНИК!$L$9+'ПЛАН ЧИСТ К1'!C48*СПРАВОЧНИК!$M$9+'ПЛАН ЧИСТ К1'!D48*СПРАВОЧНИК!$N$9+'ПЛАН ЧИСТ К1'!E48*СПРАВОЧНИК!$O$9)+СПРАВОЧНИК!$F$10*('ПЛАН ЧИСТ К1'!F48*СПРАВОЧНИК!$L$10+'ПЛАН ЧИСТ К1'!G48*СПРАВОЧНИК!$M$10+'ПЛАН ЧИСТ К1'!H48*СПРАВОЧНИК!$N$10+'ПЛАН ЧИСТ К1'!I48*СПРАВОЧНИК!$O$10)+СПРАВОЧНИК!$F$11*('ПЛАН ЧИСТ К1'!J48*СПРАВОЧНИК!$L$11+'ПЛАН ЧИСТ К1'!K48*СПРАВОЧНИК!$M$11+'ПЛАН ЧИСТ К1'!L48*СПРАВОЧНИК!$N$11)+СПРАВОЧНИК!$F$12*('ПЛАН ЧИСТ К1'!M48*СПРАВОЧНИК!$L$12+'ПЛАН ЧИСТ К1'!N48*СПРАВОЧНИК!$M$12+'ПЛАН ЧИСТ К1'!O48*СПРАВОЧНИК!$N$12+'ПЛАН ЧИСТ К1'!P48*СПРАВОЧНИК!$O$12)+СПРАВОЧНИК!$F$13*('ПЛАН ЧИСТ К1'!Q48*СПРАВОЧНИК!$L$13+'ПЛАН ЧИСТ К1'!R48*СПРАВОЧНИК!$M$13+'ПЛАН ЧИСТ К1'!S48*СПРАВОЧНИК!$N$13+'ПЛАН ЧИСТ К1'!T48*СПРАВОЧНИК!$O$13)+СПРАВОЧНИК!$F$14*('ПЛАН ЧИСТ К1'!U48*СПРАВОЧНИК!$L$14+'ПЛАН ЧИСТ К1'!V48*СПРАВОЧНИК!$M$14+'ПЛАН ЧИСТ К1'!W48*СПРАВОЧНИК!$N$14)+СПРАВОЧНИК!$F$15*('ПЛАН ЧИСТ К1'!X48*СПРАВОЧНИК!$L$15+'ПЛАН ЧИСТ К1'!Y48*СПРАВОЧНИК!$M$15+'ПЛАН ЧИСТ К1'!Z48*СПРАВОЧНИК!$N$15)</f>
        <v/>
      </c>
      <c r="W57" s="40">
        <f>СПРАВОЧНИК!$E$9*(('ФАКТ ЧЕРН К1'!B48)*СПРАВОЧНИК!$H$9+('ФАКТ ЧЕРН К1'!C48)*СПРАВОЧНИК!$I$9+('ФАКТ ЧЕРН К1'!D48)*СПРАВОЧНИК!$J$9)+СПРАВОЧНИК!$E$10*(('ФАКТ ЧЕРН К1'!E48)*СПРАВОЧНИК!$H$10+('ФАКТ ЧЕРН К1'!F48)*СПРАВОЧНИК!$I$10+('ФАКТ ЧЕРН К1'!G48)*СПРАВОЧНИК!$J$10)+СПРАВОЧНИК!$E$11*(('ФАКТ ЧЕРН К1'!H48)*СПРАВОЧНИК!$H$11+('ФАКТ ЧЕРН К1'!I48)*СПРАВОЧНИК!$I$11+('ФАКТ ЧЕРН К1'!J48)*СПРАВОЧНИК!$J$11)+СПРАВОЧНИК!$E$12*(('ФАКТ ЧЕРН К1'!K48)*СПРАВОЧНИК!$H$12+('ФАКТ ЧЕРН К1'!L48)*СПРАВОЧНИК!$I$12+('ФАКТ ЧЕРН К1'!M48)*СПРАВОЧНИК!$J$12)+СПРАВОЧНИК!$E$13*(('ФАКТ ЧЕРН К1'!N48)*СПРАВОЧНИК!$H$13+('ФАКТ ЧЕРН К1'!O48)*СПРАВОЧНИК!$I$13+('ФАКТ ЧЕРН К1'!P48)*СПРАВОЧНИК!$J$13)+СПРАВОЧНИК!$E$14*(('ФАКТ ЧЕРН К1'!Q48)*СПРАВОЧНИК!$H$14+('ФАКТ ЧЕРН К1'!R48)*СПРАВОЧНИК!$I$14+('ФАКТ ЧЕРН К1'!S48)*СПРАВОЧНИК!$J$14)+СПРАВОЧНИК!$E$15*(('ФАКТ ЧЕРН К1'!T48)*СПРАВОЧНИК!$H$15+('ФАКТ ЧЕРН К1'!U48)*СПРАВОЧНИК!$I$15+('ФАКТ ЧЕРН К1'!V48)*СПРАВОЧНИК!$J$15)+СПРАВОЧНИК!$F$9*(('ФАКТ ЧИСТ К1'!B48)*СПРАВОЧНИК!$L$9+('ФАКТ ЧИСТ К1'!C48)*СПРАВОЧНИК!$M$9+('ФАКТ ЧИСТ К1'!D48)*СПРАВОЧНИК!$N$9+('ФАКТ ЧИСТ К1'!E48)*СПРАВОЧНИК!$O$9)+СПРАВОЧНИК!$F$10*(('ФАКТ ЧИСТ К1'!F48)*СПРАВОЧНИК!$L$10+('ФАКТ ЧИСТ К1'!G48)*СПРАВОЧНИК!$M$10+('ФАКТ ЧИСТ К1'!H48)*СПРАВОЧНИК!$N$10+('ФАКТ ЧИСТ К1'!I48)*СПРАВОЧНИК!$O$10)+СПРАВОЧНИК!$F$11*(('ФАКТ ЧИСТ К1'!J48)*СПРАВОЧНИК!$L$11+('ФАКТ ЧИСТ К1'!K48)*СПРАВОЧНИК!$M$11+('ФАКТ ЧИСТ К1'!L48)*СПРАВОЧНИК!$N$11)+СПРАВОЧНИК!$F$12*(('ФАКТ ЧИСТ К1'!M48)*СПРАВОЧНИК!$L$12+('ФАКТ ЧИСТ К1'!N48)*СПРАВОЧНИК!$M$12+('ФАКТ ЧИСТ К1'!O48)*СПРАВОЧНИК!$N$12+('ФАКТ ЧИСТ К1'!P48)*СПРАВОЧНИК!$O$12)+СПРАВОЧНИК!$F$13*(('ФАКТ ЧИСТ К1'!Q48)*СПРАВОЧНИК!$L$13+('ФАКТ ЧИСТ К1'!R48)*СПРАВОЧНИК!$M$13+('ФАКТ ЧИСТ К1'!S48)*СПРАВОЧНИК!$N$13+('ФАКТ ЧИСТ К1'!T48)*СПРАВОЧНИК!$O$13)+СПРАВОЧНИК!$F$14*(('ФАКТ ЧИСТ К1'!U48)*СПРАВОЧНИК!$L$14+('ФАКТ ЧИСТ К1'!V48)*СПРАВОЧНИК!$M$14+('ФАКТ ЧИСТ К1'!W48)*СПРАВОЧНИК!$N$14)+СПРАВОЧНИК!$F$15*(('ФАКТ ЧИСТ К1'!X48)*СПРАВОЧНИК!$L$15+('ФАКТ ЧИСТ К1'!Y48)*СПРАВОЧНИК!$M$15+('ФАКТ ЧИСТ К1'!Z48)*СПРАВОЧНИК!$N$15)</f>
        <v/>
      </c>
      <c r="AA57" s="18">
        <f>AA56+7</f>
        <v/>
      </c>
      <c r="AB57" s="37">
        <f>'ПЛАН ЧЕРН К1'!B48*СПРАВОЧНИК!$H$9+'ПЛАН ЧЕРН К1'!C48*СПРАВОЧНИК!$I$9+'ПЛАН ЧЕРН К1'!D48*СПРАВОЧНИК!$J$9+'ПЛАН ЧЕРН К1'!E48*СПРАВОЧНИК!$H$10+'ПЛАН ЧЕРН К1'!F48*СПРАВОЧНИК!$I$10+'ПЛАН ЧЕРН К1'!G48*СПРАВОЧНИК!$J$10+'ПЛАН ЧЕРН К1'!H48*СПРАВОЧНИК!$H$11+'ПЛАН ЧЕРН К1'!I48*СПРАВОЧНИК!$I$11+'ПЛАН ЧЕРН К1'!J48*СПРАВОЧНИК!$J$11+'ПЛАН ЧЕРН К1'!K48*СПРАВОЧНИК!$H$12+'ПЛАН ЧЕРН К1'!L48*СПРАВОЧНИК!$I$12+'ПЛАН ЧЕРН К1'!M48*СПРАВОЧНИК!$J$12+'ПЛАН ЧЕРН К1'!N48*СПРАВОЧНИК!$H$13+'ПЛАН ЧЕРН К1'!O48*СПРАВОЧНИК!$I$13+'ПЛАН ЧЕРН К1'!P48*СПРАВОЧНИК!$J$13+'ПЛАН ЧЕРН К1'!Q48*СПРАВОЧНИК!$H$14+'ПЛАН ЧЕРН К1'!R48*СПРАВОЧНИК!$I$14+'ПЛАН ЧЕРН К1'!S48*СПРАВОЧНИК!$J$14+'ПЛАН ЧЕРН К1'!T48*СПРАВОЧНИК!$H$15+'ПЛАН ЧЕРН К1'!U48*СПРАВОЧНИК!$I$15+'ПЛАН ЧЕРН К1'!V48*СПРАВОЧНИК!$J$15</f>
        <v/>
      </c>
      <c r="AC57" s="40">
        <f>('ФАКТ ЧЕРН К1'!B48)*СПРАВОЧНИК!$H$9+('ФАКТ ЧЕРН К1'!C48)*СПРАВОЧНИК!$I$9+('ФАКТ ЧЕРН К1'!D48)*СПРАВОЧНИК!$J$9+('ФАКТ ЧЕРН К1'!E48)*СПРАВОЧНИК!$H$10+('ФАКТ ЧЕРН К1'!F48)*СПРАВОЧНИК!$I$10+('ФАКТ ЧЕРН К1'!G48)*СПРАВОЧНИК!$J$10+('ФАКТ ЧЕРН К1'!H48)*СПРАВОЧНИК!$H$11+('ФАКТ ЧЕРН К1'!I48)*СПРАВОЧНИК!$I$11+('ФАКТ ЧЕРН К1'!J48)*СПРАВОЧНИК!$J$11+('ФАКТ ЧЕРН К1'!K48)*СПРАВОЧНИК!$H$12+('ФАКТ ЧЕРН К1'!L48)*СПРАВОЧНИК!$I$12+('ФАКТ ЧЕРН К1'!M48)*СПРАВОЧНИК!$J$12+('ФАКТ ЧЕРН К1'!N48)*СПРАВОЧНИК!$H$13+('ФАКТ ЧЕРН К1'!O48)*СПРАВОЧНИК!$I$13+('ФАКТ ЧЕРН К1'!P48)*СПРАВОЧНИК!$J$13+('ФАКТ ЧЕРН К1'!Q48)*СПРАВОЧНИК!$H$14+('ФАКТ ЧЕРН К1'!R48)*СПРАВОЧНИК!$I$14+('ФАКТ ЧЕРН К1'!S48)*СПРАВОЧНИК!$J$14+('ФАКТ ЧЕРН К1'!T48)*СПРАВОЧНИК!$H$15+('ФАКТ ЧЕРН К1'!U48)*СПРАВОЧНИК!$I$15+('ФАКТ ЧЕРН К1'!V48)*СПРАВОЧНИК!$J$15</f>
        <v/>
      </c>
      <c r="AG57" s="18">
        <f>AG56+7</f>
        <v/>
      </c>
      <c r="AH57" s="37">
        <f>'ПЛАН ЧИСТ К1'!B48*СПРАВОЧНИК!$L$9+'ПЛАН ЧИСТ К1'!C48*СПРАВОЧНИК!$M$9+'ПЛАН ЧИСТ К1'!D48*СПРАВОЧНИК!$N$9+'ПЛАН ЧИСТ К1'!E48*СПРАВОЧНИК!$O$9+'ПЛАН ЧИСТ К1'!F48*СПРАВОЧНИК!$L$10+'ПЛАН ЧИСТ К1'!G48*СПРАВОЧНИК!$M$10+'ПЛАН ЧИСТ К1'!H48*СПРАВОЧНИК!$N$10+'ПЛАН ЧИСТ К1'!I48*СПРАВОЧНИК!$O$10+'ПЛАН ЧИСТ К1'!J48*СПРАВОЧНИК!$L$11+'ПЛАН ЧИСТ К1'!K48*СПРАВОЧНИК!$M$11+'ПЛАН ЧИСТ К1'!L48*СПРАВОЧНИК!$N$11+'ПЛАН ЧИСТ К1'!M48*СПРАВОЧНИК!$L$12+'ПЛАН ЧИСТ К1'!N48*СПРАВОЧНИК!$M$12+'ПЛАН ЧИСТ К1'!O48*СПРАВОЧНИК!$N$12+'ПЛАН ЧИСТ К1'!P48*СПРАВОЧНИК!$O$12+'ПЛАН ЧИСТ К1'!Q48*СПРАВОЧНИК!$L$13+'ПЛАН ЧИСТ К1'!R48*СПРАВОЧНИК!$M$13+'ПЛАН ЧИСТ К1'!S48*СПРАВОЧНИК!$N$13+'ПЛАН ЧИСТ К1'!T48*СПРАВОЧНИК!$O$13+'ПЛАН ЧИСТ К1'!U48*СПРАВОЧНИК!$L$14+'ПЛАН ЧИСТ К1'!V48*СПРАВОЧНИК!$M$14+'ПЛАН ЧИСТ К1'!W48*СПРАВОЧНИК!$N$14+'ПЛАН ЧИСТ К1'!X48*СПРАВОЧНИК!$L$15+'ПЛАН ЧИСТ К1'!Y48*СПРАВОЧНИК!$M$15+'ПЛАН ЧИСТ К1'!Z48*СПРАВОЧНИК!$N$15</f>
        <v/>
      </c>
      <c r="AI57" s="40">
        <f>('ФАКТ ЧИСТ К1'!B48)*СПРАВОЧНИК!$L$9+('ФАКТ ЧИСТ К1'!C48)*СПРАВОЧНИК!$M$9+('ФАКТ ЧИСТ К1'!D48)*СПРАВОЧНИК!$N$9+('ФАКТ ЧИСТ К1'!E48)*СПРАВОЧНИК!$O$9+('ФАКТ ЧИСТ К1'!F48)*СПРАВОЧНИК!$L$10+('ФАКТ ЧИСТ К1'!G48)*СПРАВОЧНИК!$M$10+('ФАКТ ЧИСТ К1'!H48)*СПРАВОЧНИК!$N$10+('ФАКТ ЧИСТ К1'!I48)*СПРАВОЧНИК!$O$10+('ФАКТ ЧИСТ К1'!J48)*СПРАВОЧНИК!$L$11+('ФАКТ ЧИСТ К1'!K48)*СПРАВОЧНИК!$M$11+('ФАКТ ЧИСТ К1'!L48)*СПРАВОЧНИК!$N$11+('ФАКТ ЧИСТ К1'!M48)*СПРАВОЧНИК!$L$12+('ФАКТ ЧИСТ К1'!N48)*СПРАВОЧНИК!$M$12+('ФАКТ ЧИСТ К1'!O48)*СПРАВОЧНИК!$N$12+('ФАКТ ЧИСТ К1'!P48)*СПРАВОЧНИК!$O$12+('ФАКТ ЧИСТ К1'!Q48)*СПРАВОЧНИК!$L$13+('ФАКТ ЧИСТ К1'!R48)*СПРАВОЧНИК!$M$13+('ФАКТ ЧИСТ К1'!S48)*СПРАВОЧНИК!$N$13+('ФАКТ ЧИСТ К1'!T48)*СПРАВОЧНИК!$O$13+('ФАКТ ЧИСТ К1'!U48)*СПРАВОЧНИК!$L$14+('ФАКТ ЧИСТ К1'!V48)*СПРАВОЧНИК!$M$14+('ФАКТ ЧИСТ К1'!W48)*СПРАВОЧНИК!$N$14+('ФАКТ ЧИСТ К1'!X48)*СПРАВОЧНИК!$L$15+('ФАКТ ЧИСТ К1'!Y48)*СПРАВОЧНИК!$M$15+('ФАКТ ЧИСТ К1'!Z48)*СПРАВОЧНИК!$N$15</f>
        <v/>
      </c>
      <c r="AM57" s="18">
        <f>AM56+7</f>
        <v/>
      </c>
      <c r="AN57" s="37">
        <f>СПРАВОЧНИК!$E$9*('ПЛАН ЧЕРН К2'!B48*СПРАВОЧНИК!$H$9+'ПЛАН ЧЕРН К2'!C48*СПРАВОЧНИК!$I$9+'ПЛАН ЧЕРН К2'!D48*СПРАВОЧНИК!$J$9)+СПРАВОЧНИК!$E$10*('ПЛАН ЧЕРН К2'!E48*СПРАВОЧНИК!$H$10+'ПЛАН ЧЕРН К2'!F48*СПРАВОЧНИК!$I$10+'ПЛАН ЧЕРН К2'!G48*СПРАВОЧНИК!$J$10)+СПРАВОЧНИК!$E$11*('ПЛАН ЧЕРН К2'!H48*СПРАВОЧНИК!$H$11+'ПЛАН ЧЕРН К2'!I48*СПРАВОЧНИК!$I$11+'ПЛАН ЧЕРН К2'!J48*СПРАВОЧНИК!$J$11)+СПРАВОЧНИК!$E$12*('ПЛАН ЧЕРН К2'!K48*СПРАВОЧНИК!$H$12+'ПЛАН ЧЕРН К2'!L48*СПРАВОЧНИК!$I$12+'ПЛАН ЧЕРН К2'!M48*СПРАВОЧНИК!$J$12)+СПРАВОЧНИК!$E$13*('ПЛАН ЧЕРН К2'!N48*СПРАВОЧНИК!$H$13+'ПЛАН ЧЕРН К2'!O48*СПРАВОЧНИК!$I$13+'ПЛАН ЧЕРН К2'!P48*СПРАВОЧНИК!$J$13)+СПРАВОЧНИК!$E$14*('ПЛАН ЧЕРН К2'!Q48*СПРАВОЧНИК!$H$14+'ПЛАН ЧЕРН К2'!R48*СПРАВОЧНИК!$I$14+'ПЛАН ЧЕРН К2'!S48*СПРАВОЧНИК!$J$14)+СПРАВОЧНИК!$E$15*('ПЛАН ЧЕРН К2'!T48*СПРАВОЧНИК!$H$15+'ПЛАН ЧЕРН К2'!U48*СПРАВОЧНИК!$I$15+'ПЛАН ЧЕРН К2'!V48*СПРАВОЧНИК!$J$15)+СПРАВОЧНИК!$F$9*('ПЛАН ЧИСТ К2'!B48*СПРАВОЧНИК!$L$9+'ПЛАН ЧИСТ К2'!C48*СПРАВОЧНИК!$M$9+'ПЛАН ЧИСТ К2'!D48*СПРАВОЧНИК!$N$9+'ПЛАН ЧИСТ К2'!E48*СПРАВОЧНИК!$O$9)+СПРАВОЧНИК!$F$10*('ПЛАН ЧИСТ К2'!F48*СПРАВОЧНИК!$L$10+'ПЛАН ЧИСТ К2'!G48*СПРАВОЧНИК!$M$10+'ПЛАН ЧИСТ К2'!H48*СПРАВОЧНИК!$N$10+'ПЛАН ЧИСТ К2'!I48*СПРАВОЧНИК!$O$10)+СПРАВОЧНИК!$F$11*('ПЛАН ЧИСТ К2'!J48*СПРАВОЧНИК!$L$11+'ПЛАН ЧИСТ К2'!K48*СПРАВОЧНИК!$M$11+'ПЛАН ЧИСТ К2'!L48*СПРАВОЧНИК!$N$11)+СПРАВОЧНИК!$F$12*('ПЛАН ЧИСТ К2'!M48*СПРАВОЧНИК!$L$12+'ПЛАН ЧИСТ К2'!N48*СПРАВОЧНИК!$M$12+'ПЛАН ЧИСТ К2'!O48*СПРАВОЧНИК!$N$12+'ПЛАН ЧИСТ К2'!P48*СПРАВОЧНИК!$O$12)+СПРАВОЧНИК!$F$13*('ПЛАН ЧИСТ К2'!Q48*СПРАВОЧНИК!$L$13+'ПЛАН ЧИСТ К2'!R48*СПРАВОЧНИК!$M$13+'ПЛАН ЧИСТ К2'!S48*СПРАВОЧНИК!$N$13+'ПЛАН ЧИСТ К2'!T48*СПРАВОЧНИК!$O$13)+СПРАВОЧНИК!$F$14*('ПЛАН ЧИСТ К2'!U48*СПРАВОЧНИК!$L$14+'ПЛАН ЧИСТ К2'!V48*СПРАВОЧНИК!$M$14+'ПЛАН ЧИСТ К2'!W48*СПРАВОЧНИК!$N$14)+СПРАВОЧНИК!$F$15*('ПЛАН ЧИСТ К2'!X48*СПРАВОЧНИК!$L$15+'ПЛАН ЧИСТ К2'!Y48*СПРАВОЧНИК!$M$15+'ПЛАН ЧИСТ К2'!Z48*СПРАВОЧНИК!$N$15)</f>
        <v/>
      </c>
      <c r="AO57" s="40">
        <f>СПРАВОЧНИК!$E$9*(('ФАКТ ЧЕРН К2'!B48)*СПРАВОЧНИК!$H$9+('ФАКТ ЧЕРН К2'!C48)*СПРАВОЧНИК!$I$9+('ФАКТ ЧЕРН К2'!D48)*СПРАВОЧНИК!$J$9)+СПРАВОЧНИК!$E$10*(('ФАКТ ЧЕРН К2'!E48)*СПРАВОЧНИК!$H$10+('ФАКТ ЧЕРН К2'!F48)*СПРАВОЧНИК!$I$10+('ФАКТ ЧЕРН К2'!G48)*СПРАВОЧНИК!$J$10)+СПРАВОЧНИК!$E$11*(('ФАКТ ЧЕРН К2'!H48)*СПРАВОЧНИК!$H$11+('ФАКТ ЧЕРН К2'!I48)*СПРАВОЧНИК!$I$11+('ФАКТ ЧЕРН К2'!J48)*СПРАВОЧНИК!$J$11)+СПРАВОЧНИК!$E$12*(('ФАКТ ЧЕРН К2'!K48)*СПРАВОЧНИК!$H$12+('ФАКТ ЧЕРН К2'!L48)*СПРАВОЧНИК!$I$12+('ФАКТ ЧЕРН К2'!M48)*СПРАВОЧНИК!$J$12)+СПРАВОЧНИК!$E$13*(('ФАКТ ЧЕРН К2'!N48)*СПРАВОЧНИК!$H$13+('ФАКТ ЧЕРН К2'!O48)*СПРАВОЧНИК!$I$13+('ФАКТ ЧЕРН К2'!P48)*СПРАВОЧНИК!$J$13)+СПРАВОЧНИК!$E$14*(('ФАКТ ЧЕРН К2'!Q48)*СПРАВОЧНИК!$H$14+('ФАКТ ЧЕРН К2'!R48)*СПРАВОЧНИК!$I$14+('ФАКТ ЧЕРН К2'!S48)*СПРАВОЧНИК!$J$14)+СПРАВОЧНИК!$E$15*(('ФАКТ ЧЕРН К2'!T48)*СПРАВОЧНИК!$H$15+('ФАКТ ЧЕРН К2'!U48)*СПРАВОЧНИК!$I$15+('ФАКТ ЧЕРН К2'!V48)*СПРАВОЧНИК!$J$15)+СПРАВОЧНИК!$F$9*(('ФАКТ ЧИСТ К2'!B48)*СПРАВОЧНИК!$L$9+('ФАКТ ЧИСТ К2'!C48)*СПРАВОЧНИК!$M$9+('ФАКТ ЧИСТ К2'!D48)*СПРАВОЧНИК!$N$9+('ФАКТ ЧИСТ К2'!E48)*СПРАВОЧНИК!$O$9)+СПРАВОЧНИК!$F$10*(('ФАКТ ЧИСТ К2'!F48)*СПРАВОЧНИК!$L$10+('ФАКТ ЧИСТ К2'!G48)*СПРАВОЧНИК!$M$10+('ФАКТ ЧИСТ К2'!H48)*СПРАВОЧНИК!$N$10+('ФАКТ ЧИСТ К2'!I48)*СПРАВОЧНИК!$O$10)+СПРАВОЧНИК!$F$11*(('ФАКТ ЧИСТ К2'!J48)*СПРАВОЧНИК!$L$11+('ФАКТ ЧИСТ К2'!K48)*СПРАВОЧНИК!$M$11+('ФАКТ ЧИСТ К2'!L48)*СПРАВОЧНИК!$N$11)+СПРАВОЧНИК!$F$12*(('ФАКТ ЧИСТ К2'!M48)*СПРАВОЧНИК!$L$12+('ФАКТ ЧИСТ К2'!N48)*СПРАВОЧНИК!$M$12+('ФАКТ ЧИСТ К2'!O48)*СПРАВОЧНИК!$N$12+('ФАКТ ЧИСТ К2'!P48)*СПРАВОЧНИК!$O$12)+СПРАВОЧНИК!$F$13*(('ФАКТ ЧИСТ К2'!Q48)*СПРАВОЧНИК!$L$13+('ФАКТ ЧИСТ К2'!R48)*СПРАВОЧНИК!$M$13+('ФАКТ ЧИСТ К2'!S48)*СПРАВОЧНИК!$N$13+('ФАКТ ЧИСТ К2'!T48)*СПРАВОЧНИК!$O$13)+СПРАВОЧНИК!$F$14*(('ФАКТ ЧИСТ К2'!U48)*СПРАВОЧНИК!$L$14+('ФАКТ ЧИСТ К2'!V48)*СПРАВОЧНИК!$M$14+('ФАКТ ЧИСТ К2'!W48)*СПРАВОЧНИК!$N$14)+СПРАВОЧНИК!$F$15*(('ФАКТ ЧИСТ К2'!X48)*СПРАВОЧНИК!$L$15+('ФАКТ ЧИСТ К2'!Y48)*СПРАВОЧНИК!$M$15+('ФАКТ ЧИСТ К2'!Z48)*СПРАВОЧНИК!$N$15)</f>
        <v/>
      </c>
      <c r="AS57" s="18">
        <f>AS56+7</f>
        <v/>
      </c>
      <c r="AT57" s="37">
        <f>'ПЛАН ЧЕРН К2'!B48*СПРАВОЧНИК!$H$9+'ПЛАН ЧЕРН К2'!C48*СПРАВОЧНИК!$I$9+'ПЛАН ЧЕРН К2'!D48*СПРАВОЧНИК!$J$9+'ПЛАН ЧЕРН К2'!E48*СПРАВОЧНИК!$H$10+'ПЛАН ЧЕРН К2'!F48*СПРАВОЧНИК!$I$10+'ПЛАН ЧЕРН К2'!G48*СПРАВОЧНИК!$J$10+'ПЛАН ЧЕРН К2'!H48*СПРАВОЧНИК!$H$11+'ПЛАН ЧЕРН К2'!I48*СПРАВОЧНИК!$I$11+'ПЛАН ЧЕРН К2'!J48*СПРАВОЧНИК!$J$11+'ПЛАН ЧЕРН К2'!K48*СПРАВОЧНИК!$H$12+'ПЛАН ЧЕРН К2'!L48*СПРАВОЧНИК!$I$12+'ПЛАН ЧЕРН К2'!M48*СПРАВОЧНИК!$J$12+'ПЛАН ЧЕРН К2'!N48*СПРАВОЧНИК!$H$13+'ПЛАН ЧЕРН К2'!O48*СПРАВОЧНИК!$I$13+'ПЛАН ЧЕРН К2'!P48*СПРАВОЧНИК!$J$13+'ПЛАН ЧЕРН К2'!Q48*СПРАВОЧНИК!$H$14+'ПЛАН ЧЕРН К2'!R48*СПРАВОЧНИК!$I$14+'ПЛАН ЧЕРН К2'!S48*СПРАВОЧНИК!$J$14+'ПЛАН ЧЕРН К2'!T48*СПРАВОЧНИК!$H$15+'ПЛАН ЧЕРН К2'!U48*СПРАВОЧНИК!$I$15+'ПЛАН ЧЕРН К2'!V48*СПРАВОЧНИК!$J$15</f>
        <v/>
      </c>
      <c r="AU57" s="40">
        <f>('ФАКТ ЧЕРН К2'!B48)*СПРАВОЧНИК!$H$9+('ФАКТ ЧЕРН К2'!C48)*СПРАВОЧНИК!$I$9+('ФАКТ ЧЕРН К2'!D48)*СПРАВОЧНИК!$J$9+('ФАКТ ЧЕРН К2'!E48)*СПРАВОЧНИК!$H$10+('ФАКТ ЧЕРН К2'!F48)*СПРАВОЧНИК!$I$10+('ФАКТ ЧЕРН К2'!G48)*СПРАВОЧНИК!$J$10+('ФАКТ ЧЕРН К2'!H48)*СПРАВОЧНИК!$H$11+('ФАКТ ЧЕРН К2'!I48)*СПРАВОЧНИК!$I$11+('ФАКТ ЧЕРН К2'!J48)*СПРАВОЧНИК!$J$11+('ФАКТ ЧЕРН К2'!K48)*СПРАВОЧНИК!$H$12+('ФАКТ ЧЕРН К2'!L48)*СПРАВОЧНИК!$I$12+('ФАКТ ЧЕРН К2'!M48)*СПРАВОЧНИК!$J$12+('ФАКТ ЧЕРН К2'!N48)*СПРАВОЧНИК!$H$13+('ФАКТ ЧЕРН К2'!O48)*СПРАВОЧНИК!$I$13+('ФАКТ ЧЕРН К2'!P48)*СПРАВОЧНИК!$J$13+('ФАКТ ЧЕРН К2'!Q48)*СПРАВОЧНИК!$H$14+('ФАКТ ЧЕРН К2'!R48)*СПРАВОЧНИК!$I$14+('ФАКТ ЧЕРН К2'!S48)*СПРАВОЧНИК!$J$14+('ФАКТ ЧЕРН К2'!T48)*СПРАВОЧНИК!$H$15+('ФАКТ ЧЕРН К2'!U48)*СПРАВОЧНИК!$I$15+('ФАКТ ЧЕРН К2'!V48)*СПРАВОЧНИК!$J$15</f>
        <v/>
      </c>
      <c r="AY57" s="18">
        <f>AY56+7</f>
        <v/>
      </c>
      <c r="AZ57" s="37">
        <f>'ПЛАН ЧИСТ К2'!B48*СПРАВОЧНИК!$L$9+'ПЛАН ЧИСТ К2'!C48*СПРАВОЧНИК!$M$9+'ПЛАН ЧИСТ К2'!D48*СПРАВОЧНИК!$N$9+'ПЛАН ЧИСТ К2'!E48*СПРАВОЧНИК!$O$9+'ПЛАН ЧИСТ К2'!F48*СПРАВОЧНИК!$L$10+'ПЛАН ЧИСТ К2'!G48*СПРАВОЧНИК!$M$10+'ПЛАН ЧИСТ К2'!H48*СПРАВОЧНИК!$N$10+'ПЛАН ЧИСТ К2'!I48*СПРАВОЧНИК!$O$10+'ПЛАН ЧИСТ К2'!J48*СПРАВОЧНИК!$L$11+'ПЛАН ЧИСТ К2'!K48*СПРАВОЧНИК!$M$11+'ПЛАН ЧИСТ К2'!L48*СПРАВОЧНИК!$N$11+'ПЛАН ЧИСТ К2'!M48*СПРАВОЧНИК!$L$12+'ПЛАН ЧИСТ К2'!N48*СПРАВОЧНИК!$M$12+'ПЛАН ЧИСТ К2'!O48*СПРАВОЧНИК!$N$12+'ПЛАН ЧИСТ К2'!P48*СПРАВОЧНИК!$O$12+'ПЛАН ЧИСТ К2'!Q48*СПРАВОЧНИК!$L$13+'ПЛАН ЧИСТ К2'!R48*СПРАВОЧНИК!$M$13+'ПЛАН ЧИСТ К2'!S48*СПРАВОЧНИК!$N$13+'ПЛАН ЧИСТ К2'!T48*СПРАВОЧНИК!$O$13+'ПЛАН ЧИСТ К2'!U48*СПРАВОЧНИК!$L$14+'ПЛАН ЧИСТ К2'!V48*СПРАВОЧНИК!$M$14+'ПЛАН ЧИСТ К2'!W48*СПРАВОЧНИК!$N$14+'ПЛАН ЧИСТ К2'!X48*СПРАВОЧНИК!$L$15+'ПЛАН ЧИСТ К2'!Y48*СПРАВОЧНИК!$M$15+'ПЛАН ЧИСТ К2'!Z48*СПРАВОЧНИК!$N$15</f>
        <v/>
      </c>
      <c r="BA57" s="40">
        <f>('ФАКТ ЧИСТ К2'!B48)*СПРАВОЧНИК!$L$9+('ФАКТ ЧИСТ К2'!C48)*СПРАВОЧНИК!$M$9+('ФАКТ ЧИСТ К2'!D48)*СПРАВОЧНИК!$N$9+('ФАКТ ЧИСТ К2'!E48)*СПРАВОЧНИК!$O$9+('ФАКТ ЧИСТ К2'!F48)*СПРАВОЧНИК!$L$10+('ФАКТ ЧИСТ К2'!G48)*СПРАВОЧНИК!$M$10+('ФАКТ ЧИСТ К2'!H48)*СПРАВОЧНИК!$N$10+('ФАКТ ЧИСТ К2'!I48)*СПРАВОЧНИК!$O$10+('ФАКТ ЧИСТ К2'!J48)*СПРАВОЧНИК!$L$11+('ФАКТ ЧИСТ К2'!K48)*СПРАВОЧНИК!$M$11+('ФАКТ ЧИСТ К2'!L48)*СПРАВОЧНИК!$N$11+('ФАКТ ЧИСТ К2'!M48)*СПРАВОЧНИК!$L$12+('ФАКТ ЧИСТ К2'!N48)*СПРАВОЧНИК!$M$12+('ФАКТ ЧИСТ К2'!O48)*СПРАВОЧНИК!$N$12+('ФАКТ ЧИСТ К2'!P48)*СПРАВОЧНИК!$O$12+('ФАКТ ЧИСТ К2'!Q48)*СПРАВОЧНИК!$L$13+('ФАКТ ЧИСТ К2'!R48)*СПРАВОЧНИК!$M$13+('ФАКТ ЧИСТ К2'!S48)*СПРАВОЧНИК!$N$13+('ФАКТ ЧИСТ К2'!T48)*СПРАВОЧНИК!$O$13+('ФАКТ ЧИСТ К2'!U48)*СПРАВОЧНИК!$L$14+('ФАКТ ЧИСТ К2'!V48)*СПРАВОЧНИК!$M$14+('ФАКТ ЧИСТ К2'!W48)*СПРАВОЧНИК!$N$14+('ФАКТ ЧИСТ К2'!X48)*СПРАВОЧНИК!$L$15+('ФАКТ ЧИСТ К2'!Y48)*СПРАВОЧНИК!$M$15+('ФАКТ ЧИСТ К2'!Z48)*СПРАВОЧНИК!$N$15</f>
        <v/>
      </c>
      <c r="BE57" s="18">
        <f>BE56+7</f>
        <v/>
      </c>
      <c r="BF57" s="37">
        <f>СПРАВОЧНИК!$E$9*('ПЛАН ЧЕРН К3'!B48*СПРАВОЧНИК!$H$9+'ПЛАН ЧЕРН К3'!C48*СПРАВОЧНИК!$I$9+'ПЛАН ЧЕРН К3'!D48*СПРАВОЧНИК!$J$9)+СПРАВОЧНИК!$E$10*('ПЛАН ЧЕРН К3'!E48*СПРАВОЧНИК!$H$10+'ПЛАН ЧЕРН К3'!F48*СПРАВОЧНИК!$I$10+'ПЛАН ЧЕРН К3'!G48*СПРАВОЧНИК!$J$10)+СПРАВОЧНИК!$E$11*('ПЛАН ЧЕРН К3'!H48*СПРАВОЧНИК!$H$11+'ПЛАН ЧЕРН К3'!I48*СПРАВОЧНИК!$I$11+'ПЛАН ЧЕРН К3'!J48*СПРАВОЧНИК!$J$11)+СПРАВОЧНИК!$E$12*('ПЛАН ЧЕРН К3'!K48*СПРАВОЧНИК!$H$12+'ПЛАН ЧЕРН К3'!L48*СПРАВОЧНИК!$I$12+'ПЛАН ЧЕРН К3'!M48*СПРАВОЧНИК!$J$12)+СПРАВОЧНИК!$E$13*('ПЛАН ЧЕРН К3'!N48*СПРАВОЧНИК!$H$13+'ПЛАН ЧЕРН К3'!O48*СПРАВОЧНИК!$I$13+'ПЛАН ЧЕРН К3'!P48*СПРАВОЧНИК!$J$13)+СПРАВОЧНИК!$E$14*('ПЛАН ЧЕРН К3'!Q48*СПРАВОЧНИК!$H$14+'ПЛАН ЧЕРН К3'!R48*СПРАВОЧНИК!$I$14+'ПЛАН ЧЕРН К3'!S48*СПРАВОЧНИК!$J$14)+СПРАВОЧНИК!$E$15*('ПЛАН ЧЕРН К3'!T48*СПРАВОЧНИК!$H$15+'ПЛАН ЧЕРН К3'!U48*СПРАВОЧНИК!$I$15+'ПЛАН ЧЕРН К3'!V48*СПРАВОЧНИК!$J$15)+СПРАВОЧНИК!$F$9*('ПЛАН ЧИСТ К3'!B48*СПРАВОЧНИК!$L$9+'ПЛАН ЧИСТ К3'!C48*СПРАВОЧНИК!$M$9+'ПЛАН ЧИСТ К3'!D48*СПРАВОЧНИК!$N$9+'ПЛАН ЧИСТ К3'!E48*СПРАВОЧНИК!$O$9)+СПРАВОЧНИК!$F$10*('ПЛАН ЧИСТ К3'!F48*СПРАВОЧНИК!$L$10+'ПЛАН ЧИСТ К3'!G48*СПРАВОЧНИК!$M$10+'ПЛАН ЧИСТ К3'!H48*СПРАВОЧНИК!$N$10+'ПЛАН ЧИСТ К3'!I48*СПРАВОЧНИК!$O$10)+СПРАВОЧНИК!$F$11*('ПЛАН ЧИСТ К3'!J48*СПРАВОЧНИК!$L$11+'ПЛАН ЧИСТ К3'!K48*СПРАВОЧНИК!$M$11+'ПЛАН ЧИСТ К3'!L48*СПРАВОЧНИК!$N$11)+СПРАВОЧНИК!$F$12*('ПЛАН ЧИСТ К3'!M48*СПРАВОЧНИК!$L$12+'ПЛАН ЧИСТ К3'!N48*СПРАВОЧНИК!$M$12+'ПЛАН ЧИСТ К3'!O48*СПРАВОЧНИК!$N$12+'ПЛАН ЧИСТ К3'!P48*СПРАВОЧНИК!$O$12)+СПРАВОЧНИК!$F$13*('ПЛАН ЧИСТ К3'!Q48*СПРАВОЧНИК!$L$13+'ПЛАН ЧИСТ К3'!R48*СПРАВОЧНИК!$M$13+'ПЛАН ЧИСТ К3'!S48*СПРАВОЧНИК!$N$13+'ПЛАН ЧИСТ К3'!T48*СПРАВОЧНИК!$O$13)+СПРАВОЧНИК!$F$14*('ПЛАН ЧИСТ К3'!U48*СПРАВОЧНИК!$L$14+'ПЛАН ЧИСТ К3'!V48*СПРАВОЧНИК!$M$14+'ПЛАН ЧИСТ К3'!W48*СПРАВОЧНИК!$N$14)+СПРАВОЧНИК!$F$15*('ПЛАН ЧИСТ К3'!X48*СПРАВОЧНИК!$L$15+'ПЛАН ЧИСТ К3'!Y48*СПРАВОЧНИК!$M$15+'ПЛАН ЧИСТ К3'!Z48*СПРАВОЧНИК!$N$15)</f>
        <v/>
      </c>
      <c r="BG57" s="40">
        <f>СПРАВОЧНИК!$E$9*(('ФАКТ ЧЕРН К3'!B48)*СПРАВОЧНИК!$H$9+('ФАКТ ЧЕРН К3'!C48)*СПРАВОЧНИК!$I$9+('ФАКТ ЧЕРН К3'!D48)*СПРАВОЧНИК!$J$9)+СПРАВОЧНИК!$E$10*(('ФАКТ ЧЕРН К3'!E48)*СПРАВОЧНИК!$H$10+('ФАКТ ЧЕРН К3'!F48)*СПРАВОЧНИК!$I$10+('ФАКТ ЧЕРН К3'!G48)*СПРАВОЧНИК!$J$10)+СПРАВОЧНИК!$E$11*(('ФАКТ ЧЕРН К3'!H48)*СПРАВОЧНИК!$H$11+('ФАКТ ЧЕРН К3'!I48)*СПРАВОЧНИК!$I$11+('ФАКТ ЧЕРН К3'!J48)*СПРАВОЧНИК!$J$11)+СПРАВОЧНИК!$E$12*(('ФАКТ ЧЕРН К3'!K48)*СПРАВОЧНИК!$H$12+('ФАКТ ЧЕРН К3'!L48)*СПРАВОЧНИК!$I$12+('ФАКТ ЧЕРН К3'!M48)*СПРАВОЧНИК!$J$12)+СПРАВОЧНИК!$E$13*(('ФАКТ ЧЕРН К3'!N48)*СПРАВОЧНИК!$H$13+('ФАКТ ЧЕРН К3'!O48)*СПРАВОЧНИК!$I$13+('ФАКТ ЧЕРН К3'!P48)*СПРАВОЧНИК!$J$13)+СПРАВОЧНИК!$E$14*(('ФАКТ ЧЕРН К3'!Q48)*СПРАВОЧНИК!$H$14+('ФАКТ ЧЕРН К3'!R48)*СПРАВОЧНИК!$I$14+('ФАКТ ЧЕРН К3'!S48)*СПРАВОЧНИК!$J$14)+СПРАВОЧНИК!$E$15*(('ФАКТ ЧЕРН К3'!T48)*СПРАВОЧНИК!$H$15+('ФАКТ ЧЕРН К3'!U48)*СПРАВОЧНИК!$I$15+('ФАКТ ЧЕРН К3'!V48)*СПРАВОЧНИК!$J$15)+СПРАВОЧНИК!$F$9*(('ФАКТ ЧИСТ К3'!B48)*СПРАВОЧНИК!$L$9+('ФАКТ ЧИСТ К3'!C48)*СПРАВОЧНИК!$M$9+('ФАКТ ЧИСТ К3'!D48)*СПРАВОЧНИК!$N$9+('ФАКТ ЧИСТ К3'!E48)*СПРАВОЧНИК!$O$9)+СПРАВОЧНИК!$F$10*(('ФАКТ ЧИСТ К3'!F48)*СПРАВОЧНИК!$L$10+('ФАКТ ЧИСТ К3'!G48)*СПРАВОЧНИК!$M$10+('ФАКТ ЧИСТ К3'!H48)*СПРАВОЧНИК!$N$10+('ФАКТ ЧИСТ К3'!I48)*СПРАВОЧНИК!$O$10)+СПРАВОЧНИК!$F$11*(('ФАКТ ЧИСТ К3'!J48)*СПРАВОЧНИК!$L$11+('ФАКТ ЧИСТ К3'!K48)*СПРАВОЧНИК!$M$11+('ФАКТ ЧИСТ К3'!L48)*СПРАВОЧНИК!$N$11)+СПРАВОЧНИК!$F$12*(('ФАКТ ЧИСТ К3'!M48)*СПРАВОЧНИК!$L$12+('ФАКТ ЧИСТ К3'!N48)*СПРАВОЧНИК!$M$12+('ФАКТ ЧИСТ К3'!O48)*СПРАВОЧНИК!$N$12+('ФАКТ ЧИСТ К3'!P48)*СПРАВОЧНИК!$O$12)+СПРАВОЧНИК!$F$13*(('ФАКТ ЧИСТ К3'!Q48)*СПРАВОЧНИК!$L$13+('ФАКТ ЧИСТ К3'!R48)*СПРАВОЧНИК!$M$13+('ФАКТ ЧИСТ К3'!S48)*СПРАВОЧНИК!$N$13+('ФАКТ ЧИСТ К3'!T48)*СПРАВОЧНИК!$O$13)+СПРАВОЧНИК!$F$14*(('ФАКТ ЧИСТ К3'!U48)*СПРАВОЧНИК!$L$14+('ФАКТ ЧИСТ К3'!V48)*СПРАВОЧНИК!$M$14+('ФАКТ ЧИСТ К3'!W48)*СПРАВОЧНИК!$N$14)+СПРАВОЧНИК!$F$15*(('ФАКТ ЧИСТ К3'!X48)*СПРАВОЧНИК!$L$15+('ФАКТ ЧИСТ К3'!Y48)*СПРАВОЧНИК!$M$15+('ФАКТ ЧИСТ К3'!Z48)*СПРАВОЧНИК!$N$15)</f>
        <v/>
      </c>
      <c r="BK57" s="18">
        <f>BK56+7</f>
        <v/>
      </c>
      <c r="BL57" s="37">
        <f>'ПЛАН ЧЕРН К3'!B48*СПРАВОЧНИК!$H$9+'ПЛАН ЧЕРН К3'!C48*СПРАВОЧНИК!$I$9+'ПЛАН ЧЕРН К3'!D48*СПРАВОЧНИК!$J$9+'ПЛАН ЧЕРН К3'!E48*СПРАВОЧНИК!$H$10+'ПЛАН ЧЕРН К3'!F48*СПРАВОЧНИК!$I$10+'ПЛАН ЧЕРН К3'!G48*СПРАВОЧНИК!$J$10+'ПЛАН ЧЕРН К3'!H48*СПРАВОЧНИК!$H$11+'ПЛАН ЧЕРН К3'!I48*СПРАВОЧНИК!$I$11+'ПЛАН ЧЕРН К3'!J48*СПРАВОЧНИК!$J$11+'ПЛАН ЧЕРН К3'!K48*СПРАВОЧНИК!$H$12+'ПЛАН ЧЕРН К3'!L48*СПРАВОЧНИК!$I$12+'ПЛАН ЧЕРН К3'!M48*СПРАВОЧНИК!$J$12+'ПЛАН ЧЕРН К3'!N48*СПРАВОЧНИК!$H$13+'ПЛАН ЧЕРН К3'!O48*СПРАВОЧНИК!$I$13+'ПЛАН ЧЕРН К3'!P48*СПРАВОЧНИК!$J$13+'ПЛАН ЧЕРН К3'!Q48*СПРАВОЧНИК!$H$14+'ПЛАН ЧЕРН К3'!R48*СПРАВОЧНИК!$I$14+'ПЛАН ЧЕРН К3'!S48*СПРАВОЧНИК!$J$14+'ПЛАН ЧЕРН К3'!T48*СПРАВОЧНИК!$H$15+'ПЛАН ЧЕРН К3'!U48*СПРАВОЧНИК!$I$15+'ПЛАН ЧЕРН К3'!V48*СПРАВОЧНИК!$J$15</f>
        <v/>
      </c>
      <c r="BM57" s="40">
        <f>('ФАКТ ЧЕРН К3'!B48)*СПРАВОЧНИК!$H$9+('ФАКТ ЧЕРН К3'!C48)*СПРАВОЧНИК!$I$9+('ФАКТ ЧЕРН К3'!D48)*СПРАВОЧНИК!$J$9+('ФАКТ ЧЕРН К3'!E48)*СПРАВОЧНИК!$H$10+('ФАКТ ЧЕРН К3'!F48)*СПРАВОЧНИК!$I$10+('ФАКТ ЧЕРН К3'!G48)*СПРАВОЧНИК!$J$10+('ФАКТ ЧЕРН К3'!H48)*СПРАВОЧНИК!$H$11+('ФАКТ ЧЕРН К3'!I48)*СПРАВОЧНИК!$I$11+('ФАКТ ЧЕРН К3'!J48)*СПРАВОЧНИК!$J$11+('ФАКТ ЧЕРН К3'!K48)*СПРАВОЧНИК!$H$12+('ФАКТ ЧЕРН К3'!L48)*СПРАВОЧНИК!$I$12+('ФАКТ ЧЕРН К3'!M48)*СПРАВОЧНИК!$J$12+('ФАКТ ЧЕРН К3'!N48)*СПРАВОЧНИК!$H$13+('ФАКТ ЧЕРН К3'!O48)*СПРАВОЧНИК!$I$13+('ФАКТ ЧЕРН К3'!P48)*СПРАВОЧНИК!$J$13+('ФАКТ ЧЕРН К3'!Q48)*СПРАВОЧНИК!$H$14+('ФАКТ ЧЕРН К3'!R48)*СПРАВОЧНИК!$I$14+('ФАКТ ЧЕРН К3'!S48)*СПРАВОЧНИК!$J$14+('ФАКТ ЧЕРН К3'!T48)*СПРАВОЧНИК!$H$15+('ФАКТ ЧЕРН К3'!U48)*СПРАВОЧНИК!$I$15+('ФАКТ ЧЕРН К3'!V48)*СПРАВОЧНИК!$J$15</f>
        <v/>
      </c>
      <c r="BQ57" s="18">
        <f>BQ56+7</f>
        <v/>
      </c>
      <c r="BR57" s="37">
        <f>'ПЛАН ЧИСТ К3'!B48*СПРАВОЧНИК!$L$9+'ПЛАН ЧИСТ К3'!C48*СПРАВОЧНИК!$M$9+'ПЛАН ЧИСТ К3'!D48*СПРАВОЧНИК!$N$9+'ПЛАН ЧИСТ К3'!E48*СПРАВОЧНИК!$O$9+'ПЛАН ЧИСТ К3'!F48*СПРАВОЧНИК!$L$10+'ПЛАН ЧИСТ К3'!G48*СПРАВОЧНИК!$M$10+'ПЛАН ЧИСТ К3'!H48*СПРАВОЧНИК!$N$10+'ПЛАН ЧИСТ К3'!I48*СПРАВОЧНИК!$O$10+'ПЛАН ЧИСТ К3'!J48*СПРАВОЧНИК!$L$11+'ПЛАН ЧИСТ К3'!K48*СПРАВОЧНИК!$M$11+'ПЛАН ЧИСТ К3'!L48*СПРАВОЧНИК!$N$11+'ПЛАН ЧИСТ К3'!M48*СПРАВОЧНИК!$L$12+'ПЛАН ЧИСТ К3'!N48*СПРАВОЧНИК!$M$12+'ПЛАН ЧИСТ К3'!O48*СПРАВОЧНИК!$N$12+'ПЛАН ЧИСТ К3'!P48*СПРАВОЧНИК!$O$12+'ПЛАН ЧИСТ К3'!Q48*СПРАВОЧНИК!$L$13+'ПЛАН ЧИСТ К3'!R48*СПРАВОЧНИК!$M$13+'ПЛАН ЧИСТ К3'!S48*СПРАВОЧНИК!$N$13+'ПЛАН ЧИСТ К3'!T48*СПРАВОЧНИК!$O$13+'ПЛАН ЧИСТ К3'!U48*СПРАВОЧНИК!$L$14+'ПЛАН ЧИСТ К3'!V48*СПРАВОЧНИК!$M$14+'ПЛАН ЧИСТ К3'!W48*СПРАВОЧНИК!$N$14+'ПЛАН ЧИСТ К3'!X48*СПРАВОЧНИК!$L$15+'ПЛАН ЧИСТ К3'!Y48*СПРАВОЧНИК!$M$15+'ПЛАН ЧИСТ К3'!Z48*СПРАВОЧНИК!$N$15</f>
        <v/>
      </c>
      <c r="BS57" s="40">
        <f>('ФАКТ ЧИСТ К3'!B48)*СПРАВОЧНИК!$L$9+('ФАКТ ЧИСТ К3'!C48)*СПРАВОЧНИК!$M$9+('ФАКТ ЧИСТ К3'!D48)*СПРАВОЧНИК!$N$9+('ФАКТ ЧИСТ К3'!E48)*СПРАВОЧНИК!$O$9+('ФАКТ ЧИСТ К3'!F48)*СПРАВОЧНИК!$L$10+('ФАКТ ЧИСТ К3'!G48)*СПРАВОЧНИК!$M$10+('ФАКТ ЧИСТ К3'!H48)*СПРАВОЧНИК!$N$10+('ФАКТ ЧИСТ К3'!I48)*СПРАВОЧНИК!$O$10+('ФАКТ ЧИСТ К3'!J48)*СПРАВОЧНИК!$L$11+('ФАКТ ЧИСТ К3'!K48)*СПРАВОЧНИК!$M$11+('ФАКТ ЧИСТ К3'!L48)*СПРАВОЧНИК!$N$11+('ФАКТ ЧИСТ К3'!M48)*СПРАВОЧНИК!$L$12+('ФАКТ ЧИСТ К3'!N48)*СПРАВОЧНИК!$M$12+('ФАКТ ЧИСТ К3'!O48)*СПРАВОЧНИК!$N$12+('ФАКТ ЧИСТ К3'!P48)*СПРАВОЧНИК!$O$12+('ФАКТ ЧИСТ К3'!Q48)*СПРАВОЧНИК!$L$13+('ФАКТ ЧИСТ К3'!R48)*СПРАВОЧНИК!$M$13+('ФАКТ ЧИСТ К3'!S48)*СПРАВОЧНИК!$N$13+('ФАКТ ЧИСТ К3'!T48)*СПРАВОЧНИК!$O$13+('ФАКТ ЧИСТ К3'!U48)*СПРАВОЧНИК!$L$14+('ФАКТ ЧИСТ К3'!V48)*СПРАВОЧНИК!$M$14+('ФАКТ ЧИСТ К3'!W48)*СПРАВОЧНИК!$N$14+('ФАКТ ЧИСТ К3'!X48)*СПРАВОЧНИК!$L$15+('ФАКТ ЧИСТ К3'!Y48)*СПРАВОЧНИК!$M$15+('ФАКТ ЧИСТ К3'!Z48)*СПРАВОЧНИК!$N$15</f>
        <v/>
      </c>
      <c r="BW57" s="18">
        <f>BW56+7</f>
        <v/>
      </c>
      <c r="BX57" s="37">
        <f>V57+AN57+BF57</f>
        <v/>
      </c>
      <c r="BY57" s="40">
        <f>W57+AO57+BG57</f>
        <v/>
      </c>
      <c r="CC57" s="18">
        <f>CC56+7</f>
        <v/>
      </c>
      <c r="CD57" s="37">
        <f>AB57+AT57+BL57</f>
        <v/>
      </c>
      <c r="CE57" s="40">
        <f>AC57+AU57+BM57</f>
        <v/>
      </c>
      <c r="CI57" s="18">
        <f>CI56+7</f>
        <v/>
      </c>
      <c r="CJ57" s="37">
        <f>AH57+AZ57+BR57</f>
        <v/>
      </c>
      <c r="CK57" s="40">
        <f>AI57+BA57+BS57</f>
        <v/>
      </c>
      <c r="CO57" s="18">
        <f>CO56+7</f>
        <v/>
      </c>
      <c r="CP57" s="37">
        <f>D57+BX57</f>
        <v/>
      </c>
      <c r="CQ57" s="40">
        <f>E57+BY57</f>
        <v/>
      </c>
      <c r="CU57" s="18">
        <f>CU56+7</f>
        <v/>
      </c>
      <c r="CV57" s="37">
        <f>J57+CD57</f>
        <v/>
      </c>
      <c r="CW57" s="40">
        <f>K57+CE57</f>
        <v/>
      </c>
      <c r="DA57" s="18">
        <f>DA56+7</f>
        <v/>
      </c>
      <c r="DB57" s="37">
        <f>P57+CJ57</f>
        <v/>
      </c>
      <c r="DC57" s="40">
        <f>Q57+CK57</f>
        <v/>
      </c>
    </row>
    <row r="58">
      <c r="C58" s="18">
        <f>C57+7</f>
        <v/>
      </c>
      <c r="D58" s="37">
        <f>СПРАВОЧНИК!$E$3*('ПЛАН ЧЕРН ПОДЗЕМ'!B49*СПРАВОЧНИК!$H$3+'ПЛАН ЧЕРН ПОДЗЕМ'!C49*СПРАВОЧНИК!$I$3+'ПЛАН ЧЕРН ПОДЗЕМ'!D49*СПРАВОЧНИК!$J$3)+СПРАВОЧНИК!$E$4*('ПЛАН ЧЕРН ПОДЗЕМ'!E49*СПРАВОЧНИК!$H$4+'ПЛАН ЧЕРН ПОДЗЕМ'!F49*СПРАВОЧНИК!$I$4+'ПЛАН ЧЕРН ПОДЗЕМ'!G49*СПРАВОЧНИК!$J$4)+СПРАВОЧНИК!$E$5*('ПЛАН ЧЕРН ПОДЗЕМ'!H49*СПРАВОЧНИК!$H$5+'ПЛАН ЧЕРН ПОДЗЕМ'!I49*СПРАВОЧНИК!$I$5+'ПЛАН ЧЕРН ПОДЗЕМ'!J49*СПРАВОЧНИК!$J$5)+СПРАВОЧНИК!$E$6*('ПЛАН ЧЕРН ПОДЗЕМ'!K49*СПРАВОЧНИК!$H$6+'ПЛАН ЧЕРН ПОДЗЕМ'!L49*СПРАВОЧНИК!$I$6+'ПЛАН ЧЕРН ПОДЗЕМ'!M49*СПРАВОЧНИК!$J$6)+СПРАВОЧНИК!$E$7*('ПЛАН ЧЕРН ПОДЗЕМ'!N49*СПРАВОЧНИК!$H$7+'ПЛАН ЧЕРН ПОДЗЕМ'!O49*СПРАВОЧНИК!$I$7+'ПЛАН ЧЕРН ПОДЗЕМ'!P49*СПРАВОЧНИК!$J$7)+СПРАВОЧНИК!$E$8*('ПЛАН ЧЕРН ПОДЗЕМ'!Q49*СПРАВОЧНИК!$H$8+'ПЛАН ЧЕРН ПОДЗЕМ'!R49*СПРАВОЧНИК!$I$8+'ПЛАН ЧЕРН ПОДЗЕМ'!S49*СПРАВОЧНИК!$J$8)+СПРАВОЧНИК!$F$3*('ПЛАН ЧИСТ ПОДЗЕМ'!B49*СПРАВОЧНИК!$L$3+'ПЛАН ЧИСТ ПОДЗЕМ'!C49*СПРАВОЧНИК!$M$3+'ПЛАН ЧИСТ ПОДЗЕМ'!D49*СПРАВОЧНИК!$N$3+'ПЛАН ЧИСТ ПОДЗЕМ'!E49*СПРАВОЧНИК!$O$3)+СПРАВОЧНИК!$F$4*('ПЛАН ЧИСТ ПОДЗЕМ'!F49*СПРАВОЧНИК!$L$4+'ПЛАН ЧИСТ ПОДЗЕМ'!G49*СПРАВОЧНИК!$M$4+'ПЛАН ЧИСТ ПОДЗЕМ'!H49*СПРАВОЧНИК!$N$4+'ПЛАН ЧИСТ ПОДЗЕМ'!I49*СПРАВОЧНИК!$O$4)+СПРАВОЧНИК!$F$5*('ПЛАН ЧИСТ ПОДЗЕМ'!J49*СПРАВОЧНИК!$L$5+'ПЛАН ЧИСТ ПОДЗЕМ'!K49*СПРАВОЧНИК!$M$5+'ПЛАН ЧИСТ ПОДЗЕМ'!L49*СПРАВОЧНИК!$N$5)+СПРАВОЧНИК!$F$6*('ПЛАН ЧИСТ ПОДЗЕМ'!M49*СПРАВОЧНИК!$L$6+'ПЛАН ЧИСТ ПОДЗЕМ'!N49*СПРАВОЧНИК!$M$6+'ПЛАН ЧИСТ ПОДЗЕМ'!O49*СПРАВОЧНИК!$N$6+'ПЛАН ЧИСТ ПОДЗЕМ'!P49*СПРАВОЧНИК!$O$6)+СПРАВОЧНИК!$F$7*('ПЛАН ЧИСТ ПОДЗЕМ'!Q49*СПРАВОЧНИК!$L$7+'ПЛАН ЧИСТ ПОДЗЕМ'!R49*СПРАВОЧНИК!$M$7+'ПЛАН ЧИСТ ПОДЗЕМ'!S49*СПРАВОЧНИК!$N$7+'ПЛАН ЧИСТ ПОДЗЕМ'!T49*СПРАВОЧНИК!$O$7)+СПРАВОЧНИК!$F$8*('ПЛАН ЧИСТ ПОДЗЕМ'!U49*СПРАВОЧНИК!$L$8+'ПЛАН ЧИСТ ПОДЗЕМ'!V49*СПРАВОЧНИК!$M$8+'ПЛАН ЧИСТ ПОДЗЕМ'!W49*СПРАВОЧНИК!$N$8)</f>
        <v/>
      </c>
      <c r="E58" s="40">
        <f>СПРАВОЧНИК!$E$3*(('ФАКТ ЧЕРН ПОДЗЕМ'!B49)*СПРАВОЧНИК!$H$3+('ФАКТ ЧЕРН ПОДЗЕМ'!C49)*СПРАВОЧНИК!$I$3+('ФАКТ ЧЕРН ПОДЗЕМ'!D49)*СПРАВОЧНИК!$J$3)+СПРАВОЧНИК!$E$4*(('ФАКТ ЧЕРН ПОДЗЕМ'!E49)*СПРАВОЧНИК!$H$4+('ФАКТ ЧЕРН ПОДЗЕМ'!F49)*СПРАВОЧНИК!$I$4+('ФАКТ ЧЕРН ПОДЗЕМ'!G49)*СПРАВОЧНИК!$J$4)+СПРАВОЧНИК!$E$5*(('ФАКТ ЧЕРН ПОДЗЕМ'!H49)*СПРАВОЧНИК!$H$5+('ФАКТ ЧЕРН ПОДЗЕМ'!I49)*СПРАВОЧНИК!$I$5+('ФАКТ ЧЕРН ПОДЗЕМ'!J49)*СПРАВОЧНИК!$J$5)+СПРАВОЧНИК!$E$6*(('ФАКТ ЧЕРН ПОДЗЕМ'!K49)*СПРАВОЧНИК!$H$6+('ФАКТ ЧЕРН ПОДЗЕМ'!L49)*СПРАВОЧНИК!$I$6+('ФАКТ ЧЕРН ПОДЗЕМ'!M49)*СПРАВОЧНИК!$J$6)+СПРАВОЧНИК!$E$7*(('ФАКТ ЧЕРН ПОДЗЕМ'!N49)*СПРАВОЧНИК!$H$7+('ФАКТ ЧЕРН ПОДЗЕМ'!O49)*СПРАВОЧНИК!$I$7+('ФАКТ ЧЕРН ПОДЗЕМ'!P49)*СПРАВОЧНИК!$J$7)+СПРАВОЧНИК!$E$8*(('ФАКТ ЧЕРН ПОДЗЕМ'!Q49)*СПРАВОЧНИК!$H$8+('ФАКТ ЧЕРН ПОДЗЕМ'!R49)*СПРАВОЧНИК!$I$8+('ФАКТ ЧЕРН ПОДЗЕМ'!S49)*СПРАВОЧНИК!$J$8)+СПРАВОЧНИК!$F$3*(('ФАКТ ЧИСТ ПОДЗЕМ'!B49)*СПРАВОЧНИК!$L$3+('ФАКТ ЧИСТ ПОДЗЕМ'!C49)*СПРАВОЧНИК!$M$3+('ФАКТ ЧИСТ ПОДЗЕМ'!D49)*СПРАВОЧНИК!$N$3+('ФАКТ ЧИСТ ПОДЗЕМ'!E49)*СПРАВОЧНИК!$O$3)+СПРАВОЧНИК!$F$4*(('ФАКТ ЧИСТ ПОДЗЕМ'!F49)*СПРАВОЧНИК!$L$4+('ФАКТ ЧИСТ ПОДЗЕМ'!G49)*СПРАВОЧНИК!$M$4+('ФАКТ ЧИСТ ПОДЗЕМ'!H49)*СПРАВОЧНИК!$N$4+('ФАКТ ЧИСТ ПОДЗЕМ'!I49)*СПРАВОЧНИК!$O$4)+СПРАВОЧНИК!$F$5*(('ФАКТ ЧИСТ ПОДЗЕМ'!J49)*СПРАВОЧНИК!$L$5+('ФАКТ ЧИСТ ПОДЗЕМ'!K49)*СПРАВОЧНИК!$M$5+('ФАКТ ЧИСТ ПОДЗЕМ'!L49)*СПРАВОЧНИК!$N$5)+СПРАВОЧНИК!$F$6*(('ФАКТ ЧИСТ ПОДЗЕМ'!M49)*СПРАВОЧНИК!$L$6+('ФАКТ ЧИСТ ПОДЗЕМ'!N49)*СПРАВОЧНИК!$M$6+('ФАКТ ЧИСТ ПОДЗЕМ'!O49)*СПРАВОЧНИК!$N$6+('ФАКТ ЧИСТ ПОДЗЕМ'!P49)*СПРАВОЧНИК!$O$6)+СПРАВОЧНИК!$F$7*(('ФАКТ ЧИСТ ПОДЗЕМ'!Q49)*СПРАВОЧНИК!$L$7+('ФАКТ ЧИСТ ПОДЗЕМ'!R49)*СПРАВОЧНИК!$M$7+('ФАКТ ЧИСТ ПОДЗЕМ'!S49)*СПРАВОЧНИК!$N$7+('ФАКТ ЧИСТ ПОДЗЕМ'!T49)*СПРАВОЧНИК!$O$7)+СПРАВОЧНИК!$F$8*(('ФАКТ ЧИСТ ПОДЗЕМ'!U49)*СПРАВОЧНИК!$L$8+('ФАКТ ЧИСТ ПОДЗЕМ'!V49)*СПРАВОЧНИК!$M$8+('ФАКТ ЧИСТ ПОДЗЕМ'!W49)*СПРАВОЧНИК!$N$8)</f>
        <v/>
      </c>
      <c r="I58" s="18">
        <f>I57+7</f>
        <v/>
      </c>
      <c r="J58" s="37">
        <f>'ПЛАН ЧЕРН ПОДЗЕМ'!B49*СПРАВОЧНИК!$H$3+'ПЛАН ЧЕРН ПОДЗЕМ'!C49*СПРАВОЧНИК!$I$3+'ПЛАН ЧЕРН ПОДЗЕМ'!D49*СПРАВОЧНИК!$J$3+'ПЛАН ЧЕРН ПОДЗЕМ'!E49*СПРАВОЧНИК!$H$4+'ПЛАН ЧЕРН ПОДЗЕМ'!F49*СПРАВОЧНИК!$I$4+'ПЛАН ЧЕРН ПОДЗЕМ'!G49*СПРАВОЧНИК!$J$4+'ПЛАН ЧЕРН ПОДЗЕМ'!H49*СПРАВОЧНИК!$H$5+'ПЛАН ЧЕРН ПОДЗЕМ'!I49*СПРАВОЧНИК!$I$5+'ПЛАН ЧЕРН ПОДЗЕМ'!J49*СПРАВОЧНИК!$J$5+'ПЛАН ЧЕРН ПОДЗЕМ'!K49*СПРАВОЧНИК!$H$6+'ПЛАН ЧЕРН ПОДЗЕМ'!L49*СПРАВОЧНИК!$I$6+'ПЛАН ЧЕРН ПОДЗЕМ'!M49*СПРАВОЧНИК!$J$6+'ПЛАН ЧЕРН ПОДЗЕМ'!N49*СПРАВОЧНИК!$H$7+'ПЛАН ЧЕРН ПОДЗЕМ'!O49*СПРАВОЧНИК!$I$7+'ПЛАН ЧЕРН ПОДЗЕМ'!P49*СПРАВОЧНИК!$J$7+'ПЛАН ЧЕРН ПОДЗЕМ'!Q49*СПРАВОЧНИК!$H$8+'ПЛАН ЧЕРН ПОДЗЕМ'!R49*СПРАВОЧНИК!$I$8+'ПЛАН ЧЕРН ПОДЗЕМ'!S49*СПРАВОЧНИК!$J$8</f>
        <v/>
      </c>
      <c r="K58" s="40">
        <f>('ФАКТ ЧЕРН ПОДЗЕМ'!B49)*СПРАВОЧНИК!$H$3+('ФАКТ ЧЕРН ПОДЗЕМ'!C49)*СПРАВОЧНИК!$I$3+('ФАКТ ЧЕРН ПОДЗЕМ'!D49)*СПРАВОЧНИК!$J$3+('ФАКТ ЧЕРН ПОДЗЕМ'!E49)*СПРАВОЧНИК!$H$4+('ФАКТ ЧЕРН ПОДЗЕМ'!F49)*СПРАВОЧНИК!$I$4+('ФАКТ ЧЕРН ПОДЗЕМ'!G49)*СПРАВОЧНИК!$J$4+('ФАКТ ЧЕРН ПОДЗЕМ'!H49)*СПРАВОЧНИК!$H$5+('ФАКТ ЧЕРН ПОДЗЕМ'!I49)*СПРАВОЧНИК!$I$5+('ФАКТ ЧЕРН ПОДЗЕМ'!J49)*СПРАВОЧНИК!$J$5+('ФАКТ ЧЕРН ПОДЗЕМ'!K49)*СПРАВОЧНИК!$H$6+('ФАКТ ЧЕРН ПОДЗЕМ'!L49)*СПРАВОЧНИК!$I$6+('ФАКТ ЧЕРН ПОДЗЕМ'!M49)*СПРАВОЧНИК!$J$6+('ФАКТ ЧЕРН ПОДЗЕМ'!N49)*СПРАВОЧНИК!$H$7+('ФАКТ ЧЕРН ПОДЗЕМ'!O49)*СПРАВОЧНИК!$I$7+('ФАКТ ЧЕРН ПОДЗЕМ'!P49)*СПРАВОЧНИК!$J$7+('ФАКТ ЧЕРН ПОДЗЕМ'!Q49)*СПРАВОЧНИК!$H$8+('ФАКТ ЧЕРН ПОДЗЕМ'!R49)*СПРАВОЧНИК!$I$8+('ФАКТ ЧЕРН ПОДЗЕМ'!S49)*СПРАВОЧНИК!$J$8</f>
        <v/>
      </c>
      <c r="O58" s="18">
        <f>O57+7</f>
        <v/>
      </c>
      <c r="P58" s="37">
        <f>'ПЛАН ЧИСТ ПОДЗЕМ'!B49*СПРАВОЧНИК!$L$3+'ПЛАН ЧИСТ ПОДЗЕМ'!C49*СПРАВОЧНИК!$M$3+'ПЛАН ЧИСТ ПОДЗЕМ'!D49*СПРАВОЧНИК!$N$3+'ПЛАН ЧИСТ ПОДЗЕМ'!E49*СПРАВОЧНИК!$O$3+'ПЛАН ЧИСТ ПОДЗЕМ'!F49*СПРАВОЧНИК!$L$4+'ПЛАН ЧИСТ ПОДЗЕМ'!G49*СПРАВОЧНИК!$M$4+'ПЛАН ЧИСТ ПОДЗЕМ'!H49*СПРАВОЧНИК!$N$4+'ПЛАН ЧИСТ ПОДЗЕМ'!I49*СПРАВОЧНИК!$O$4+'ПЛАН ЧИСТ ПОДЗЕМ'!J49*СПРАВОЧНИК!$L$5+'ПЛАН ЧИСТ ПОДЗЕМ'!K49*СПРАВОЧНИК!$M$5+'ПЛАН ЧИСТ ПОДЗЕМ'!L49*СПРАВОЧНИК!$N$5+'ПЛАН ЧИСТ ПОДЗЕМ'!M49*СПРАВОЧНИК!$L$6+'ПЛАН ЧИСТ ПОДЗЕМ'!N49*СПРАВОЧНИК!$M$6+'ПЛАН ЧИСТ ПОДЗЕМ'!O49*СПРАВОЧНИК!$N$6+'ПЛАН ЧИСТ ПОДЗЕМ'!P49*СПРАВОЧНИК!$O$6+'ПЛАН ЧИСТ ПОДЗЕМ'!Q49*СПРАВОЧНИК!$L$7+'ПЛАН ЧИСТ ПОДЗЕМ'!R49*СПРАВОЧНИК!$M$7+'ПЛАН ЧИСТ ПОДЗЕМ'!S49*СПРАВОЧНИК!$N$7+'ПЛАН ЧИСТ ПОДЗЕМ'!T49*СПРАВОЧНИК!$O$7+'ПЛАН ЧИСТ ПОДЗЕМ'!U49*СПРАВОЧНИК!$L$8+'ПЛАН ЧИСТ ПОДЗЕМ'!V49*СПРАВОЧНИК!$M$8+'ПЛАН ЧИСТ ПОДЗЕМ'!W49*СПРАВОЧНИК!$N$8</f>
        <v/>
      </c>
      <c r="Q58" s="40">
        <f>('ФАКТ ЧИСТ ПОДЗЕМ'!B49)*СПРАВОЧНИК!$L$3+('ФАКТ ЧИСТ ПОДЗЕМ'!C49)*СПРАВОЧНИК!$M$3+('ФАКТ ЧИСТ ПОДЗЕМ'!D49)*СПРАВОЧНИК!$N$3+('ФАКТ ЧИСТ ПОДЗЕМ'!E49)*СПРАВОЧНИК!$O$3+('ФАКТ ЧИСТ ПОДЗЕМ'!F49)*СПРАВОЧНИК!$L$4+('ФАКТ ЧИСТ ПОДЗЕМ'!G49)*СПРАВОЧНИК!$M$4+('ФАКТ ЧИСТ ПОДЗЕМ'!H49)*СПРАВОЧНИК!$N$4+('ФАКТ ЧИСТ ПОДЗЕМ'!I49)*СПРАВОЧНИК!$O$4+('ФАКТ ЧИСТ ПОДЗЕМ'!J49)*СПРАВОЧНИК!$L$5+('ФАКТ ЧИСТ ПОДЗЕМ'!K49)*СПРАВОЧНИК!$M$5+('ФАКТ ЧИСТ ПОДЗЕМ'!L49)*СПРАВОЧНИК!$N$5+('ФАКТ ЧИСТ ПОДЗЕМ'!M49)*СПРАВОЧНИК!$L$6+('ФАКТ ЧИСТ ПОДЗЕМ'!N49)*СПРАВОЧНИК!$M$6+('ФАКТ ЧИСТ ПОДЗЕМ'!O49)*СПРАВОЧНИК!$N$6+('ФАКТ ЧИСТ ПОДЗЕМ'!P49)*СПРАВОЧНИК!$O$6+('ФАКТ ЧИСТ ПОДЗЕМ'!Q49)*СПРАВОЧНИК!$L$7+('ФАКТ ЧИСТ ПОДЗЕМ'!R49)*СПРАВОЧНИК!$M$7+('ФАКТ ЧИСТ ПОДЗЕМ'!S49)*СПРАВОЧНИК!$N$7+('ФАКТ ЧИСТ ПОДЗЕМ'!T49)*СПРАВОЧНИК!$O$7+('ФАКТ ЧИСТ ПОДЗЕМ'!U49)*СПРАВОЧНИК!$L$8+('ФАКТ ЧИСТ ПОДЗЕМ'!V49)*СПРАВОЧНИК!$M$8+('ФАКТ ЧИСТ ПОДЗЕМ'!W49)*СПРАВОЧНИК!$N$8</f>
        <v/>
      </c>
      <c r="U58" s="18">
        <f>U57+7</f>
        <v/>
      </c>
      <c r="V58" s="37">
        <f>СПРАВОЧНИК!$E$9*('ПЛАН ЧЕРН К1'!B49*СПРАВОЧНИК!$H$9+'ПЛАН ЧЕРН К1'!C49*СПРАВОЧНИК!$I$9+'ПЛАН ЧЕРН К1'!D49*СПРАВОЧНИК!$J$9)+СПРАВОЧНИК!$E$10*('ПЛАН ЧЕРН К1'!E49*СПРАВОЧНИК!$H$10+'ПЛАН ЧЕРН К1'!F49*СПРАВОЧНИК!$I$10+'ПЛАН ЧЕРН К1'!G49*СПРАВОЧНИК!$J$10)+СПРАВОЧНИК!$E$11*('ПЛАН ЧЕРН К1'!H49*СПРАВОЧНИК!$H$11+'ПЛАН ЧЕРН К1'!I49*СПРАВОЧНИК!$I$11+'ПЛАН ЧЕРН К1'!J49*СПРАВОЧНИК!$J$11)+СПРАВОЧНИК!$E$12*('ПЛАН ЧЕРН К1'!K49*СПРАВОЧНИК!$H$12+'ПЛАН ЧЕРН К1'!L49*СПРАВОЧНИК!$I$12+'ПЛАН ЧЕРН К1'!M49*СПРАВОЧНИК!$J$12)+СПРАВОЧНИК!$E$13*('ПЛАН ЧЕРН К1'!N49*СПРАВОЧНИК!$H$13+'ПЛАН ЧЕРН К1'!O49*СПРАВОЧНИК!$I$13+'ПЛАН ЧЕРН К1'!P49*СПРАВОЧНИК!$J$13)+СПРАВОЧНИК!$E$14*('ПЛАН ЧЕРН К1'!Q49*СПРАВОЧНИК!$H$14+'ПЛАН ЧЕРН К1'!R49*СПРАВОЧНИК!$I$14+'ПЛАН ЧЕРН К1'!S49*СПРАВОЧНИК!$J$14)+СПРАВОЧНИК!$E$15*('ПЛАН ЧЕРН К1'!T49*СПРАВОЧНИК!$H$15+'ПЛАН ЧЕРН К1'!U49*СПРАВОЧНИК!$I$15+'ПЛАН ЧЕРН К1'!V49*СПРАВОЧНИК!$J$15)+СПРАВОЧНИК!$F$9*('ПЛАН ЧИСТ К1'!B49*СПРАВОЧНИК!$L$9+'ПЛАН ЧИСТ К1'!C49*СПРАВОЧНИК!$M$9+'ПЛАН ЧИСТ К1'!D49*СПРАВОЧНИК!$N$9+'ПЛАН ЧИСТ К1'!E49*СПРАВОЧНИК!$O$9)+СПРАВОЧНИК!$F$10*('ПЛАН ЧИСТ К1'!F49*СПРАВОЧНИК!$L$10+'ПЛАН ЧИСТ К1'!G49*СПРАВОЧНИК!$M$10+'ПЛАН ЧИСТ К1'!H49*СПРАВОЧНИК!$N$10+'ПЛАН ЧИСТ К1'!I49*СПРАВОЧНИК!$O$10)+СПРАВОЧНИК!$F$11*('ПЛАН ЧИСТ К1'!J49*СПРАВОЧНИК!$L$11+'ПЛАН ЧИСТ К1'!K49*СПРАВОЧНИК!$M$11+'ПЛАН ЧИСТ К1'!L49*СПРАВОЧНИК!$N$11)+СПРАВОЧНИК!$F$12*('ПЛАН ЧИСТ К1'!M49*СПРАВОЧНИК!$L$12+'ПЛАН ЧИСТ К1'!N49*СПРАВОЧНИК!$M$12+'ПЛАН ЧИСТ К1'!O49*СПРАВОЧНИК!$N$12+'ПЛАН ЧИСТ К1'!P49*СПРАВОЧНИК!$O$12)+СПРАВОЧНИК!$F$13*('ПЛАН ЧИСТ К1'!Q49*СПРАВОЧНИК!$L$13+'ПЛАН ЧИСТ К1'!R49*СПРАВОЧНИК!$M$13+'ПЛАН ЧИСТ К1'!S49*СПРАВОЧНИК!$N$13+'ПЛАН ЧИСТ К1'!T49*СПРАВОЧНИК!$O$13)+СПРАВОЧНИК!$F$14*('ПЛАН ЧИСТ К1'!U49*СПРАВОЧНИК!$L$14+'ПЛАН ЧИСТ К1'!V49*СПРАВОЧНИК!$M$14+'ПЛАН ЧИСТ К1'!W49*СПРАВОЧНИК!$N$14)+СПРАВОЧНИК!$F$15*('ПЛАН ЧИСТ К1'!X49*СПРАВОЧНИК!$L$15+'ПЛАН ЧИСТ К1'!Y49*СПРАВОЧНИК!$M$15+'ПЛАН ЧИСТ К1'!Z49*СПРАВОЧНИК!$N$15)</f>
        <v/>
      </c>
      <c r="W58" s="40">
        <f>СПРАВОЧНИК!$E$9*(('ФАКТ ЧЕРН К1'!B49)*СПРАВОЧНИК!$H$9+('ФАКТ ЧЕРН К1'!C49)*СПРАВОЧНИК!$I$9+('ФАКТ ЧЕРН К1'!D49)*СПРАВОЧНИК!$J$9)+СПРАВОЧНИК!$E$10*(('ФАКТ ЧЕРН К1'!E49)*СПРАВОЧНИК!$H$10+('ФАКТ ЧЕРН К1'!F49)*СПРАВОЧНИК!$I$10+('ФАКТ ЧЕРН К1'!G49)*СПРАВОЧНИК!$J$10)+СПРАВОЧНИК!$E$11*(('ФАКТ ЧЕРН К1'!H49)*СПРАВОЧНИК!$H$11+('ФАКТ ЧЕРН К1'!I49)*СПРАВОЧНИК!$I$11+('ФАКТ ЧЕРН К1'!J49)*СПРАВОЧНИК!$J$11)+СПРАВОЧНИК!$E$12*(('ФАКТ ЧЕРН К1'!K49)*СПРАВОЧНИК!$H$12+('ФАКТ ЧЕРН К1'!L49)*СПРАВОЧНИК!$I$12+('ФАКТ ЧЕРН К1'!M49)*СПРАВОЧНИК!$J$12)+СПРАВОЧНИК!$E$13*(('ФАКТ ЧЕРН К1'!N49)*СПРАВОЧНИК!$H$13+('ФАКТ ЧЕРН К1'!O49)*СПРАВОЧНИК!$I$13+('ФАКТ ЧЕРН К1'!P49)*СПРАВОЧНИК!$J$13)+СПРАВОЧНИК!$E$14*(('ФАКТ ЧЕРН К1'!Q49)*СПРАВОЧНИК!$H$14+('ФАКТ ЧЕРН К1'!R49)*СПРАВОЧНИК!$I$14+('ФАКТ ЧЕРН К1'!S49)*СПРАВОЧНИК!$J$14)+СПРАВОЧНИК!$E$15*(('ФАКТ ЧЕРН К1'!T49)*СПРАВОЧНИК!$H$15+('ФАКТ ЧЕРН К1'!U49)*СПРАВОЧНИК!$I$15+('ФАКТ ЧЕРН К1'!V49)*СПРАВОЧНИК!$J$15)+СПРАВОЧНИК!$F$9*(('ФАКТ ЧИСТ К1'!B49)*СПРАВОЧНИК!$L$9+('ФАКТ ЧИСТ К1'!C49)*СПРАВОЧНИК!$M$9+('ФАКТ ЧИСТ К1'!D49)*СПРАВОЧНИК!$N$9+('ФАКТ ЧИСТ К1'!E49)*СПРАВОЧНИК!$O$9)+СПРАВОЧНИК!$F$10*(('ФАКТ ЧИСТ К1'!F49)*СПРАВОЧНИК!$L$10+('ФАКТ ЧИСТ К1'!G49)*СПРАВОЧНИК!$M$10+('ФАКТ ЧИСТ К1'!H49)*СПРАВОЧНИК!$N$10+('ФАКТ ЧИСТ К1'!I49)*СПРАВОЧНИК!$O$10)+СПРАВОЧНИК!$F$11*(('ФАКТ ЧИСТ К1'!J49)*СПРАВОЧНИК!$L$11+('ФАКТ ЧИСТ К1'!K49)*СПРАВОЧНИК!$M$11+('ФАКТ ЧИСТ К1'!L49)*СПРАВОЧНИК!$N$11)+СПРАВОЧНИК!$F$12*(('ФАКТ ЧИСТ К1'!M49)*СПРАВОЧНИК!$L$12+('ФАКТ ЧИСТ К1'!N49)*СПРАВОЧНИК!$M$12+('ФАКТ ЧИСТ К1'!O49)*СПРАВОЧНИК!$N$12+('ФАКТ ЧИСТ К1'!P49)*СПРАВОЧНИК!$O$12)+СПРАВОЧНИК!$F$13*(('ФАКТ ЧИСТ К1'!Q49)*СПРАВОЧНИК!$L$13+('ФАКТ ЧИСТ К1'!R49)*СПРАВОЧНИК!$M$13+('ФАКТ ЧИСТ К1'!S49)*СПРАВОЧНИК!$N$13+('ФАКТ ЧИСТ К1'!T49)*СПРАВОЧНИК!$O$13)+СПРАВОЧНИК!$F$14*(('ФАКТ ЧИСТ К1'!U49)*СПРАВОЧНИК!$L$14+('ФАКТ ЧИСТ К1'!V49)*СПРАВОЧНИК!$M$14+('ФАКТ ЧИСТ К1'!W49)*СПРАВОЧНИК!$N$14)+СПРАВОЧНИК!$F$15*(('ФАКТ ЧИСТ К1'!X49)*СПРАВОЧНИК!$L$15+('ФАКТ ЧИСТ К1'!Y49)*СПРАВОЧНИК!$M$15+('ФАКТ ЧИСТ К1'!Z49)*СПРАВОЧНИК!$N$15)</f>
        <v/>
      </c>
      <c r="AA58" s="18">
        <f>AA57+7</f>
        <v/>
      </c>
      <c r="AB58" s="37">
        <f>'ПЛАН ЧЕРН К1'!B49*СПРАВОЧНИК!$H$9+'ПЛАН ЧЕРН К1'!C49*СПРАВОЧНИК!$I$9+'ПЛАН ЧЕРН К1'!D49*СПРАВОЧНИК!$J$9+'ПЛАН ЧЕРН К1'!E49*СПРАВОЧНИК!$H$10+'ПЛАН ЧЕРН К1'!F49*СПРАВОЧНИК!$I$10+'ПЛАН ЧЕРН К1'!G49*СПРАВОЧНИК!$J$10+'ПЛАН ЧЕРН К1'!H49*СПРАВОЧНИК!$H$11+'ПЛАН ЧЕРН К1'!I49*СПРАВОЧНИК!$I$11+'ПЛАН ЧЕРН К1'!J49*СПРАВОЧНИК!$J$11+'ПЛАН ЧЕРН К1'!K49*СПРАВОЧНИК!$H$12+'ПЛАН ЧЕРН К1'!L49*СПРАВОЧНИК!$I$12+'ПЛАН ЧЕРН К1'!M49*СПРАВОЧНИК!$J$12+'ПЛАН ЧЕРН К1'!N49*СПРАВОЧНИК!$H$13+'ПЛАН ЧЕРН К1'!O49*СПРАВОЧНИК!$I$13+'ПЛАН ЧЕРН К1'!P49*СПРАВОЧНИК!$J$13+'ПЛАН ЧЕРН К1'!Q49*СПРАВОЧНИК!$H$14+'ПЛАН ЧЕРН К1'!R49*СПРАВОЧНИК!$I$14+'ПЛАН ЧЕРН К1'!S49*СПРАВОЧНИК!$J$14+'ПЛАН ЧЕРН К1'!T49*СПРАВОЧНИК!$H$15+'ПЛАН ЧЕРН К1'!U49*СПРАВОЧНИК!$I$15+'ПЛАН ЧЕРН К1'!V49*СПРАВОЧНИК!$J$15</f>
        <v/>
      </c>
      <c r="AC58" s="40">
        <f>('ФАКТ ЧЕРН К1'!B49)*СПРАВОЧНИК!$H$9+('ФАКТ ЧЕРН К1'!C49)*СПРАВОЧНИК!$I$9+('ФАКТ ЧЕРН К1'!D49)*СПРАВОЧНИК!$J$9+('ФАКТ ЧЕРН К1'!E49)*СПРАВОЧНИК!$H$10+('ФАКТ ЧЕРН К1'!F49)*СПРАВОЧНИК!$I$10+('ФАКТ ЧЕРН К1'!G49)*СПРАВОЧНИК!$J$10+('ФАКТ ЧЕРН К1'!H49)*СПРАВОЧНИК!$H$11+('ФАКТ ЧЕРН К1'!I49)*СПРАВОЧНИК!$I$11+('ФАКТ ЧЕРН К1'!J49)*СПРАВОЧНИК!$J$11+('ФАКТ ЧЕРН К1'!K49)*СПРАВОЧНИК!$H$12+('ФАКТ ЧЕРН К1'!L49)*СПРАВОЧНИК!$I$12+('ФАКТ ЧЕРН К1'!M49)*СПРАВОЧНИК!$J$12+('ФАКТ ЧЕРН К1'!N49)*СПРАВОЧНИК!$H$13+('ФАКТ ЧЕРН К1'!O49)*СПРАВОЧНИК!$I$13+('ФАКТ ЧЕРН К1'!P49)*СПРАВОЧНИК!$J$13+('ФАКТ ЧЕРН К1'!Q49)*СПРАВОЧНИК!$H$14+('ФАКТ ЧЕРН К1'!R49)*СПРАВОЧНИК!$I$14+('ФАКТ ЧЕРН К1'!S49)*СПРАВОЧНИК!$J$14+('ФАКТ ЧЕРН К1'!T49)*СПРАВОЧНИК!$H$15+('ФАКТ ЧЕРН К1'!U49)*СПРАВОЧНИК!$I$15+('ФАКТ ЧЕРН К1'!V49)*СПРАВОЧНИК!$J$15</f>
        <v/>
      </c>
      <c r="AG58" s="18">
        <f>AG57+7</f>
        <v/>
      </c>
      <c r="AH58" s="37">
        <f>'ПЛАН ЧИСТ К1'!B49*СПРАВОЧНИК!$L$9+'ПЛАН ЧИСТ К1'!C49*СПРАВОЧНИК!$M$9+'ПЛАН ЧИСТ К1'!D49*СПРАВОЧНИК!$N$9+'ПЛАН ЧИСТ К1'!E49*СПРАВОЧНИК!$O$9+'ПЛАН ЧИСТ К1'!F49*СПРАВОЧНИК!$L$10+'ПЛАН ЧИСТ К1'!G49*СПРАВОЧНИК!$M$10+'ПЛАН ЧИСТ К1'!H49*СПРАВОЧНИК!$N$10+'ПЛАН ЧИСТ К1'!I49*СПРАВОЧНИК!$O$10+'ПЛАН ЧИСТ К1'!J49*СПРАВОЧНИК!$L$11+'ПЛАН ЧИСТ К1'!K49*СПРАВОЧНИК!$M$11+'ПЛАН ЧИСТ К1'!L49*СПРАВОЧНИК!$N$11+'ПЛАН ЧИСТ К1'!M49*СПРАВОЧНИК!$L$12+'ПЛАН ЧИСТ К1'!N49*СПРАВОЧНИК!$M$12+'ПЛАН ЧИСТ К1'!O49*СПРАВОЧНИК!$N$12+'ПЛАН ЧИСТ К1'!P49*СПРАВОЧНИК!$O$12+'ПЛАН ЧИСТ К1'!Q49*СПРАВОЧНИК!$L$13+'ПЛАН ЧИСТ К1'!R49*СПРАВОЧНИК!$M$13+'ПЛАН ЧИСТ К1'!S49*СПРАВОЧНИК!$N$13+'ПЛАН ЧИСТ К1'!T49*СПРАВОЧНИК!$O$13+'ПЛАН ЧИСТ К1'!U49*СПРАВОЧНИК!$L$14+'ПЛАН ЧИСТ К1'!V49*СПРАВОЧНИК!$M$14+'ПЛАН ЧИСТ К1'!W49*СПРАВОЧНИК!$N$14+'ПЛАН ЧИСТ К1'!X49*СПРАВОЧНИК!$L$15+'ПЛАН ЧИСТ К1'!Y49*СПРАВОЧНИК!$M$15+'ПЛАН ЧИСТ К1'!Z49*СПРАВОЧНИК!$N$15</f>
        <v/>
      </c>
      <c r="AI58" s="40">
        <f>('ФАКТ ЧИСТ К1'!B49)*СПРАВОЧНИК!$L$9+('ФАКТ ЧИСТ К1'!C49)*СПРАВОЧНИК!$M$9+('ФАКТ ЧИСТ К1'!D49)*СПРАВОЧНИК!$N$9+('ФАКТ ЧИСТ К1'!E49)*СПРАВОЧНИК!$O$9+('ФАКТ ЧИСТ К1'!F49)*СПРАВОЧНИК!$L$10+('ФАКТ ЧИСТ К1'!G49)*СПРАВОЧНИК!$M$10+('ФАКТ ЧИСТ К1'!H49)*СПРАВОЧНИК!$N$10+('ФАКТ ЧИСТ К1'!I49)*СПРАВОЧНИК!$O$10+('ФАКТ ЧИСТ К1'!J49)*СПРАВОЧНИК!$L$11+('ФАКТ ЧИСТ К1'!K49)*СПРАВОЧНИК!$M$11+('ФАКТ ЧИСТ К1'!L49)*СПРАВОЧНИК!$N$11+('ФАКТ ЧИСТ К1'!M49)*СПРАВОЧНИК!$L$12+('ФАКТ ЧИСТ К1'!N49)*СПРАВОЧНИК!$M$12+('ФАКТ ЧИСТ К1'!O49)*СПРАВОЧНИК!$N$12+('ФАКТ ЧИСТ К1'!P49)*СПРАВОЧНИК!$O$12+('ФАКТ ЧИСТ К1'!Q49)*СПРАВОЧНИК!$L$13+('ФАКТ ЧИСТ К1'!R49)*СПРАВОЧНИК!$M$13+('ФАКТ ЧИСТ К1'!S49)*СПРАВОЧНИК!$N$13+('ФАКТ ЧИСТ К1'!T49)*СПРАВОЧНИК!$O$13+('ФАКТ ЧИСТ К1'!U49)*СПРАВОЧНИК!$L$14+('ФАКТ ЧИСТ К1'!V49)*СПРАВОЧНИК!$M$14+('ФАКТ ЧИСТ К1'!W49)*СПРАВОЧНИК!$N$14+('ФАКТ ЧИСТ К1'!X49)*СПРАВОЧНИК!$L$15+('ФАКТ ЧИСТ К1'!Y49)*СПРАВОЧНИК!$M$15+('ФАКТ ЧИСТ К1'!Z49)*СПРАВОЧНИК!$N$15</f>
        <v/>
      </c>
      <c r="AM58" s="18">
        <f>AM57+7</f>
        <v/>
      </c>
      <c r="AN58" s="37">
        <f>СПРАВОЧНИК!$E$9*('ПЛАН ЧЕРН К2'!B49*СПРАВОЧНИК!$H$9+'ПЛАН ЧЕРН К2'!C49*СПРАВОЧНИК!$I$9+'ПЛАН ЧЕРН К2'!D49*СПРАВОЧНИК!$J$9)+СПРАВОЧНИК!$E$10*('ПЛАН ЧЕРН К2'!E49*СПРАВОЧНИК!$H$10+'ПЛАН ЧЕРН К2'!F49*СПРАВОЧНИК!$I$10+'ПЛАН ЧЕРН К2'!G49*СПРАВОЧНИК!$J$10)+СПРАВОЧНИК!$E$11*('ПЛАН ЧЕРН К2'!H49*СПРАВОЧНИК!$H$11+'ПЛАН ЧЕРН К2'!I49*СПРАВОЧНИК!$I$11+'ПЛАН ЧЕРН К2'!J49*СПРАВОЧНИК!$J$11)+СПРАВОЧНИК!$E$12*('ПЛАН ЧЕРН К2'!K49*СПРАВОЧНИК!$H$12+'ПЛАН ЧЕРН К2'!L49*СПРАВОЧНИК!$I$12+'ПЛАН ЧЕРН К2'!M49*СПРАВОЧНИК!$J$12)+СПРАВОЧНИК!$E$13*('ПЛАН ЧЕРН К2'!N49*СПРАВОЧНИК!$H$13+'ПЛАН ЧЕРН К2'!O49*СПРАВОЧНИК!$I$13+'ПЛАН ЧЕРН К2'!P49*СПРАВОЧНИК!$J$13)+СПРАВОЧНИК!$E$14*('ПЛАН ЧЕРН К2'!Q49*СПРАВОЧНИК!$H$14+'ПЛАН ЧЕРН К2'!R49*СПРАВОЧНИК!$I$14+'ПЛАН ЧЕРН К2'!S49*СПРАВОЧНИК!$J$14)+СПРАВОЧНИК!$E$15*('ПЛАН ЧЕРН К2'!T49*СПРАВОЧНИК!$H$15+'ПЛАН ЧЕРН К2'!U49*СПРАВОЧНИК!$I$15+'ПЛАН ЧЕРН К2'!V49*СПРАВОЧНИК!$J$15)+СПРАВОЧНИК!$F$9*('ПЛАН ЧИСТ К2'!B49*СПРАВОЧНИК!$L$9+'ПЛАН ЧИСТ К2'!C49*СПРАВОЧНИК!$M$9+'ПЛАН ЧИСТ К2'!D49*СПРАВОЧНИК!$N$9+'ПЛАН ЧИСТ К2'!E49*СПРАВОЧНИК!$O$9)+СПРАВОЧНИК!$F$10*('ПЛАН ЧИСТ К2'!F49*СПРАВОЧНИК!$L$10+'ПЛАН ЧИСТ К2'!G49*СПРАВОЧНИК!$M$10+'ПЛАН ЧИСТ К2'!H49*СПРАВОЧНИК!$N$10+'ПЛАН ЧИСТ К2'!I49*СПРАВОЧНИК!$O$10)+СПРАВОЧНИК!$F$11*('ПЛАН ЧИСТ К2'!J49*СПРАВОЧНИК!$L$11+'ПЛАН ЧИСТ К2'!K49*СПРАВОЧНИК!$M$11+'ПЛАН ЧИСТ К2'!L49*СПРАВОЧНИК!$N$11)+СПРАВОЧНИК!$F$12*('ПЛАН ЧИСТ К2'!M49*СПРАВОЧНИК!$L$12+'ПЛАН ЧИСТ К2'!N49*СПРАВОЧНИК!$M$12+'ПЛАН ЧИСТ К2'!O49*СПРАВОЧНИК!$N$12+'ПЛАН ЧИСТ К2'!P49*СПРАВОЧНИК!$O$12)+СПРАВОЧНИК!$F$13*('ПЛАН ЧИСТ К2'!Q49*СПРАВОЧНИК!$L$13+'ПЛАН ЧИСТ К2'!R49*СПРАВОЧНИК!$M$13+'ПЛАН ЧИСТ К2'!S49*СПРАВОЧНИК!$N$13+'ПЛАН ЧИСТ К2'!T49*СПРАВОЧНИК!$O$13)+СПРАВОЧНИК!$F$14*('ПЛАН ЧИСТ К2'!U49*СПРАВОЧНИК!$L$14+'ПЛАН ЧИСТ К2'!V49*СПРАВОЧНИК!$M$14+'ПЛАН ЧИСТ К2'!W49*СПРАВОЧНИК!$N$14)+СПРАВОЧНИК!$F$15*('ПЛАН ЧИСТ К2'!X49*СПРАВОЧНИК!$L$15+'ПЛАН ЧИСТ К2'!Y49*СПРАВОЧНИК!$M$15+'ПЛАН ЧИСТ К2'!Z49*СПРАВОЧНИК!$N$15)</f>
        <v/>
      </c>
      <c r="AO58" s="40">
        <f>СПРАВОЧНИК!$E$9*(('ФАКТ ЧЕРН К2'!B49)*СПРАВОЧНИК!$H$9+('ФАКТ ЧЕРН К2'!C49)*СПРАВОЧНИК!$I$9+('ФАКТ ЧЕРН К2'!D49)*СПРАВОЧНИК!$J$9)+СПРАВОЧНИК!$E$10*(('ФАКТ ЧЕРН К2'!E49)*СПРАВОЧНИК!$H$10+('ФАКТ ЧЕРН К2'!F49)*СПРАВОЧНИК!$I$10+('ФАКТ ЧЕРН К2'!G49)*СПРАВОЧНИК!$J$10)+СПРАВОЧНИК!$E$11*(('ФАКТ ЧЕРН К2'!H49)*СПРАВОЧНИК!$H$11+('ФАКТ ЧЕРН К2'!I49)*СПРАВОЧНИК!$I$11+('ФАКТ ЧЕРН К2'!J49)*СПРАВОЧНИК!$J$11)+СПРАВОЧНИК!$E$12*(('ФАКТ ЧЕРН К2'!K49)*СПРАВОЧНИК!$H$12+('ФАКТ ЧЕРН К2'!L49)*СПРАВОЧНИК!$I$12+('ФАКТ ЧЕРН К2'!M49)*СПРАВОЧНИК!$J$12)+СПРАВОЧНИК!$E$13*(('ФАКТ ЧЕРН К2'!N49)*СПРАВОЧНИК!$H$13+('ФАКТ ЧЕРН К2'!O49)*СПРАВОЧНИК!$I$13+('ФАКТ ЧЕРН К2'!P49)*СПРАВОЧНИК!$J$13)+СПРАВОЧНИК!$E$14*(('ФАКТ ЧЕРН К2'!Q49)*СПРАВОЧНИК!$H$14+('ФАКТ ЧЕРН К2'!R49)*СПРАВОЧНИК!$I$14+('ФАКТ ЧЕРН К2'!S49)*СПРАВОЧНИК!$J$14)+СПРАВОЧНИК!$E$15*(('ФАКТ ЧЕРН К2'!T49)*СПРАВОЧНИК!$H$15+('ФАКТ ЧЕРН К2'!U49)*СПРАВОЧНИК!$I$15+('ФАКТ ЧЕРН К2'!V49)*СПРАВОЧНИК!$J$15)+СПРАВОЧНИК!$F$9*(('ФАКТ ЧИСТ К2'!B49)*СПРАВОЧНИК!$L$9+('ФАКТ ЧИСТ К2'!C49)*СПРАВОЧНИК!$M$9+('ФАКТ ЧИСТ К2'!D49)*СПРАВОЧНИК!$N$9+('ФАКТ ЧИСТ К2'!E49)*СПРАВОЧНИК!$O$9)+СПРАВОЧНИК!$F$10*(('ФАКТ ЧИСТ К2'!F49)*СПРАВОЧНИК!$L$10+('ФАКТ ЧИСТ К2'!G49)*СПРАВОЧНИК!$M$10+('ФАКТ ЧИСТ К2'!H49)*СПРАВОЧНИК!$N$10+('ФАКТ ЧИСТ К2'!I49)*СПРАВОЧНИК!$O$10)+СПРАВОЧНИК!$F$11*(('ФАКТ ЧИСТ К2'!J49)*СПРАВОЧНИК!$L$11+('ФАКТ ЧИСТ К2'!K49)*СПРАВОЧНИК!$M$11+('ФАКТ ЧИСТ К2'!L49)*СПРАВОЧНИК!$N$11)+СПРАВОЧНИК!$F$12*(('ФАКТ ЧИСТ К2'!M49)*СПРАВОЧНИК!$L$12+('ФАКТ ЧИСТ К2'!N49)*СПРАВОЧНИК!$M$12+('ФАКТ ЧИСТ К2'!O49)*СПРАВОЧНИК!$N$12+('ФАКТ ЧИСТ К2'!P49)*СПРАВОЧНИК!$O$12)+СПРАВОЧНИК!$F$13*(('ФАКТ ЧИСТ К2'!Q49)*СПРАВОЧНИК!$L$13+('ФАКТ ЧИСТ К2'!R49)*СПРАВОЧНИК!$M$13+('ФАКТ ЧИСТ К2'!S49)*СПРАВОЧНИК!$N$13+('ФАКТ ЧИСТ К2'!T49)*СПРАВОЧНИК!$O$13)+СПРАВОЧНИК!$F$14*(('ФАКТ ЧИСТ К2'!U49)*СПРАВОЧНИК!$L$14+('ФАКТ ЧИСТ К2'!V49)*СПРАВОЧНИК!$M$14+('ФАКТ ЧИСТ К2'!W49)*СПРАВОЧНИК!$N$14)+СПРАВОЧНИК!$F$15*(('ФАКТ ЧИСТ К2'!X49)*СПРАВОЧНИК!$L$15+('ФАКТ ЧИСТ К2'!Y49)*СПРАВОЧНИК!$M$15+('ФАКТ ЧИСТ К2'!Z49)*СПРАВОЧНИК!$N$15)</f>
        <v/>
      </c>
      <c r="AS58" s="18">
        <f>AS57+7</f>
        <v/>
      </c>
      <c r="AT58" s="37">
        <f>'ПЛАН ЧЕРН К2'!B49*СПРАВОЧНИК!$H$9+'ПЛАН ЧЕРН К2'!C49*СПРАВОЧНИК!$I$9+'ПЛАН ЧЕРН К2'!D49*СПРАВОЧНИК!$J$9+'ПЛАН ЧЕРН К2'!E49*СПРАВОЧНИК!$H$10+'ПЛАН ЧЕРН К2'!F49*СПРАВОЧНИК!$I$10+'ПЛАН ЧЕРН К2'!G49*СПРАВОЧНИК!$J$10+'ПЛАН ЧЕРН К2'!H49*СПРАВОЧНИК!$H$11+'ПЛАН ЧЕРН К2'!I49*СПРАВОЧНИК!$I$11+'ПЛАН ЧЕРН К2'!J49*СПРАВОЧНИК!$J$11+'ПЛАН ЧЕРН К2'!K49*СПРАВОЧНИК!$H$12+'ПЛАН ЧЕРН К2'!L49*СПРАВОЧНИК!$I$12+'ПЛАН ЧЕРН К2'!M49*СПРАВОЧНИК!$J$12+'ПЛАН ЧЕРН К2'!N49*СПРАВОЧНИК!$H$13+'ПЛАН ЧЕРН К2'!O49*СПРАВОЧНИК!$I$13+'ПЛАН ЧЕРН К2'!P49*СПРАВОЧНИК!$J$13+'ПЛАН ЧЕРН К2'!Q49*СПРАВОЧНИК!$H$14+'ПЛАН ЧЕРН К2'!R49*СПРАВОЧНИК!$I$14+'ПЛАН ЧЕРН К2'!S49*СПРАВОЧНИК!$J$14+'ПЛАН ЧЕРН К2'!T49*СПРАВОЧНИК!$H$15+'ПЛАН ЧЕРН К2'!U49*СПРАВОЧНИК!$I$15+'ПЛАН ЧЕРН К2'!V49*СПРАВОЧНИК!$J$15</f>
        <v/>
      </c>
      <c r="AU58" s="40">
        <f>('ФАКТ ЧЕРН К2'!B49)*СПРАВОЧНИК!$H$9+('ФАКТ ЧЕРН К2'!C49)*СПРАВОЧНИК!$I$9+('ФАКТ ЧЕРН К2'!D49)*СПРАВОЧНИК!$J$9+('ФАКТ ЧЕРН К2'!E49)*СПРАВОЧНИК!$H$10+('ФАКТ ЧЕРН К2'!F49)*СПРАВОЧНИК!$I$10+('ФАКТ ЧЕРН К2'!G49)*СПРАВОЧНИК!$J$10+('ФАКТ ЧЕРН К2'!H49)*СПРАВОЧНИК!$H$11+('ФАКТ ЧЕРН К2'!I49)*СПРАВОЧНИК!$I$11+('ФАКТ ЧЕРН К2'!J49)*СПРАВОЧНИК!$J$11+('ФАКТ ЧЕРН К2'!K49)*СПРАВОЧНИК!$H$12+('ФАКТ ЧЕРН К2'!L49)*СПРАВОЧНИК!$I$12+('ФАКТ ЧЕРН К2'!M49)*СПРАВОЧНИК!$J$12+('ФАКТ ЧЕРН К2'!N49)*СПРАВОЧНИК!$H$13+('ФАКТ ЧЕРН К2'!O49)*СПРАВОЧНИК!$I$13+('ФАКТ ЧЕРН К2'!P49)*СПРАВОЧНИК!$J$13+('ФАКТ ЧЕРН К2'!Q49)*СПРАВОЧНИК!$H$14+('ФАКТ ЧЕРН К2'!R49)*СПРАВОЧНИК!$I$14+('ФАКТ ЧЕРН К2'!S49)*СПРАВОЧНИК!$J$14+('ФАКТ ЧЕРН К2'!T49)*СПРАВОЧНИК!$H$15+('ФАКТ ЧЕРН К2'!U49)*СПРАВОЧНИК!$I$15+('ФАКТ ЧЕРН К2'!V49)*СПРАВОЧНИК!$J$15</f>
        <v/>
      </c>
      <c r="AY58" s="18">
        <f>AY57+7</f>
        <v/>
      </c>
      <c r="AZ58" s="37">
        <f>'ПЛАН ЧИСТ К2'!B49*СПРАВОЧНИК!$L$9+'ПЛАН ЧИСТ К2'!C49*СПРАВОЧНИК!$M$9+'ПЛАН ЧИСТ К2'!D49*СПРАВОЧНИК!$N$9+'ПЛАН ЧИСТ К2'!E49*СПРАВОЧНИК!$O$9+'ПЛАН ЧИСТ К2'!F49*СПРАВОЧНИК!$L$10+'ПЛАН ЧИСТ К2'!G49*СПРАВОЧНИК!$M$10+'ПЛАН ЧИСТ К2'!H49*СПРАВОЧНИК!$N$10+'ПЛАН ЧИСТ К2'!I49*СПРАВОЧНИК!$O$10+'ПЛАН ЧИСТ К2'!J49*СПРАВОЧНИК!$L$11+'ПЛАН ЧИСТ К2'!K49*СПРАВОЧНИК!$M$11+'ПЛАН ЧИСТ К2'!L49*СПРАВОЧНИК!$N$11+'ПЛАН ЧИСТ К2'!M49*СПРАВОЧНИК!$L$12+'ПЛАН ЧИСТ К2'!N49*СПРАВОЧНИК!$M$12+'ПЛАН ЧИСТ К2'!O49*СПРАВОЧНИК!$N$12+'ПЛАН ЧИСТ К2'!P49*СПРАВОЧНИК!$O$12+'ПЛАН ЧИСТ К2'!Q49*СПРАВОЧНИК!$L$13+'ПЛАН ЧИСТ К2'!R49*СПРАВОЧНИК!$M$13+'ПЛАН ЧИСТ К2'!S49*СПРАВОЧНИК!$N$13+'ПЛАН ЧИСТ К2'!T49*СПРАВОЧНИК!$O$13+'ПЛАН ЧИСТ К2'!U49*СПРАВОЧНИК!$L$14+'ПЛАН ЧИСТ К2'!V49*СПРАВОЧНИК!$M$14+'ПЛАН ЧИСТ К2'!W49*СПРАВОЧНИК!$N$14+'ПЛАН ЧИСТ К2'!X49*СПРАВОЧНИК!$L$15+'ПЛАН ЧИСТ К2'!Y49*СПРАВОЧНИК!$M$15+'ПЛАН ЧИСТ К2'!Z49*СПРАВОЧНИК!$N$15</f>
        <v/>
      </c>
      <c r="BA58" s="40">
        <f>('ФАКТ ЧИСТ К2'!B49)*СПРАВОЧНИК!$L$9+('ФАКТ ЧИСТ К2'!C49)*СПРАВОЧНИК!$M$9+('ФАКТ ЧИСТ К2'!D49)*СПРАВОЧНИК!$N$9+('ФАКТ ЧИСТ К2'!E49)*СПРАВОЧНИК!$O$9+('ФАКТ ЧИСТ К2'!F49)*СПРАВОЧНИК!$L$10+('ФАКТ ЧИСТ К2'!G49)*СПРАВОЧНИК!$M$10+('ФАКТ ЧИСТ К2'!H49)*СПРАВОЧНИК!$N$10+('ФАКТ ЧИСТ К2'!I49)*СПРАВОЧНИК!$O$10+('ФАКТ ЧИСТ К2'!J49)*СПРАВОЧНИК!$L$11+('ФАКТ ЧИСТ К2'!K49)*СПРАВОЧНИК!$M$11+('ФАКТ ЧИСТ К2'!L49)*СПРАВОЧНИК!$N$11+('ФАКТ ЧИСТ К2'!M49)*СПРАВОЧНИК!$L$12+('ФАКТ ЧИСТ К2'!N49)*СПРАВОЧНИК!$M$12+('ФАКТ ЧИСТ К2'!O49)*СПРАВОЧНИК!$N$12+('ФАКТ ЧИСТ К2'!P49)*СПРАВОЧНИК!$O$12+('ФАКТ ЧИСТ К2'!Q49)*СПРАВОЧНИК!$L$13+('ФАКТ ЧИСТ К2'!R49)*СПРАВОЧНИК!$M$13+('ФАКТ ЧИСТ К2'!S49)*СПРАВОЧНИК!$N$13+('ФАКТ ЧИСТ К2'!T49)*СПРАВОЧНИК!$O$13+('ФАКТ ЧИСТ К2'!U49)*СПРАВОЧНИК!$L$14+('ФАКТ ЧИСТ К2'!V49)*СПРАВОЧНИК!$M$14+('ФАКТ ЧИСТ К2'!W49)*СПРАВОЧНИК!$N$14+('ФАКТ ЧИСТ К2'!X49)*СПРАВОЧНИК!$L$15+('ФАКТ ЧИСТ К2'!Y49)*СПРАВОЧНИК!$M$15+('ФАКТ ЧИСТ К2'!Z49)*СПРАВОЧНИК!$N$15</f>
        <v/>
      </c>
      <c r="BE58" s="18">
        <f>BE57+7</f>
        <v/>
      </c>
      <c r="BF58" s="37">
        <f>СПРАВОЧНИК!$E$9*('ПЛАН ЧЕРН К3'!B49*СПРАВОЧНИК!$H$9+'ПЛАН ЧЕРН К3'!C49*СПРАВОЧНИК!$I$9+'ПЛАН ЧЕРН К3'!D49*СПРАВОЧНИК!$J$9)+СПРАВОЧНИК!$E$10*('ПЛАН ЧЕРН К3'!E49*СПРАВОЧНИК!$H$10+'ПЛАН ЧЕРН К3'!F49*СПРАВОЧНИК!$I$10+'ПЛАН ЧЕРН К3'!G49*СПРАВОЧНИК!$J$10)+СПРАВОЧНИК!$E$11*('ПЛАН ЧЕРН К3'!H49*СПРАВОЧНИК!$H$11+'ПЛАН ЧЕРН К3'!I49*СПРАВОЧНИК!$I$11+'ПЛАН ЧЕРН К3'!J49*СПРАВОЧНИК!$J$11)+СПРАВОЧНИК!$E$12*('ПЛАН ЧЕРН К3'!K49*СПРАВОЧНИК!$H$12+'ПЛАН ЧЕРН К3'!L49*СПРАВОЧНИК!$I$12+'ПЛАН ЧЕРН К3'!M49*СПРАВОЧНИК!$J$12)+СПРАВОЧНИК!$E$13*('ПЛАН ЧЕРН К3'!N49*СПРАВОЧНИК!$H$13+'ПЛАН ЧЕРН К3'!O49*СПРАВОЧНИК!$I$13+'ПЛАН ЧЕРН К3'!P49*СПРАВОЧНИК!$J$13)+СПРАВОЧНИК!$E$14*('ПЛАН ЧЕРН К3'!Q49*СПРАВОЧНИК!$H$14+'ПЛАН ЧЕРН К3'!R49*СПРАВОЧНИК!$I$14+'ПЛАН ЧЕРН К3'!S49*СПРАВОЧНИК!$J$14)+СПРАВОЧНИК!$E$15*('ПЛАН ЧЕРН К3'!T49*СПРАВОЧНИК!$H$15+'ПЛАН ЧЕРН К3'!U49*СПРАВОЧНИК!$I$15+'ПЛАН ЧЕРН К3'!V49*СПРАВОЧНИК!$J$15)+СПРАВОЧНИК!$F$9*('ПЛАН ЧИСТ К3'!B49*СПРАВОЧНИК!$L$9+'ПЛАН ЧИСТ К3'!C49*СПРАВОЧНИК!$M$9+'ПЛАН ЧИСТ К3'!D49*СПРАВОЧНИК!$N$9+'ПЛАН ЧИСТ К3'!E49*СПРАВОЧНИК!$O$9)+СПРАВОЧНИК!$F$10*('ПЛАН ЧИСТ К3'!F49*СПРАВОЧНИК!$L$10+'ПЛАН ЧИСТ К3'!G49*СПРАВОЧНИК!$M$10+'ПЛАН ЧИСТ К3'!H49*СПРАВОЧНИК!$N$10+'ПЛАН ЧИСТ К3'!I49*СПРАВОЧНИК!$O$10)+СПРАВОЧНИК!$F$11*('ПЛАН ЧИСТ К3'!J49*СПРАВОЧНИК!$L$11+'ПЛАН ЧИСТ К3'!K49*СПРАВОЧНИК!$M$11+'ПЛАН ЧИСТ К3'!L49*СПРАВОЧНИК!$N$11)+СПРАВОЧНИК!$F$12*('ПЛАН ЧИСТ К3'!M49*СПРАВОЧНИК!$L$12+'ПЛАН ЧИСТ К3'!N49*СПРАВОЧНИК!$M$12+'ПЛАН ЧИСТ К3'!O49*СПРАВОЧНИК!$N$12+'ПЛАН ЧИСТ К3'!P49*СПРАВОЧНИК!$O$12)+СПРАВОЧНИК!$F$13*('ПЛАН ЧИСТ К3'!Q49*СПРАВОЧНИК!$L$13+'ПЛАН ЧИСТ К3'!R49*СПРАВОЧНИК!$M$13+'ПЛАН ЧИСТ К3'!S49*СПРАВОЧНИК!$N$13+'ПЛАН ЧИСТ К3'!T49*СПРАВОЧНИК!$O$13)+СПРАВОЧНИК!$F$14*('ПЛАН ЧИСТ К3'!U49*СПРАВОЧНИК!$L$14+'ПЛАН ЧИСТ К3'!V49*СПРАВОЧНИК!$M$14+'ПЛАН ЧИСТ К3'!W49*СПРАВОЧНИК!$N$14)+СПРАВОЧНИК!$F$15*('ПЛАН ЧИСТ К3'!X49*СПРАВОЧНИК!$L$15+'ПЛАН ЧИСТ К3'!Y49*СПРАВОЧНИК!$M$15+'ПЛАН ЧИСТ К3'!Z49*СПРАВОЧНИК!$N$15)</f>
        <v/>
      </c>
      <c r="BG58" s="40">
        <f>СПРАВОЧНИК!$E$9*(('ФАКТ ЧЕРН К3'!B49)*СПРАВОЧНИК!$H$9+('ФАКТ ЧЕРН К3'!C49)*СПРАВОЧНИК!$I$9+('ФАКТ ЧЕРН К3'!D49)*СПРАВОЧНИК!$J$9)+СПРАВОЧНИК!$E$10*(('ФАКТ ЧЕРН К3'!E49)*СПРАВОЧНИК!$H$10+('ФАКТ ЧЕРН К3'!F49)*СПРАВОЧНИК!$I$10+('ФАКТ ЧЕРН К3'!G49)*СПРАВОЧНИК!$J$10)+СПРАВОЧНИК!$E$11*(('ФАКТ ЧЕРН К3'!H49)*СПРАВОЧНИК!$H$11+('ФАКТ ЧЕРН К3'!I49)*СПРАВОЧНИК!$I$11+('ФАКТ ЧЕРН К3'!J49)*СПРАВОЧНИК!$J$11)+СПРАВОЧНИК!$E$12*(('ФАКТ ЧЕРН К3'!K49)*СПРАВОЧНИК!$H$12+('ФАКТ ЧЕРН К3'!L49)*СПРАВОЧНИК!$I$12+('ФАКТ ЧЕРН К3'!M49)*СПРАВОЧНИК!$J$12)+СПРАВОЧНИК!$E$13*(('ФАКТ ЧЕРН К3'!N49)*СПРАВОЧНИК!$H$13+('ФАКТ ЧЕРН К3'!O49)*СПРАВОЧНИК!$I$13+('ФАКТ ЧЕРН К3'!P49)*СПРАВОЧНИК!$J$13)+СПРАВОЧНИК!$E$14*(('ФАКТ ЧЕРН К3'!Q49)*СПРАВОЧНИК!$H$14+('ФАКТ ЧЕРН К3'!R49)*СПРАВОЧНИК!$I$14+('ФАКТ ЧЕРН К3'!S49)*СПРАВОЧНИК!$J$14)+СПРАВОЧНИК!$E$15*(('ФАКТ ЧЕРН К3'!T49)*СПРАВОЧНИК!$H$15+('ФАКТ ЧЕРН К3'!U49)*СПРАВОЧНИК!$I$15+('ФАКТ ЧЕРН К3'!V49)*СПРАВОЧНИК!$J$15)+СПРАВОЧНИК!$F$9*(('ФАКТ ЧИСТ К3'!B49)*СПРАВОЧНИК!$L$9+('ФАКТ ЧИСТ К3'!C49)*СПРАВОЧНИК!$M$9+('ФАКТ ЧИСТ К3'!D49)*СПРАВОЧНИК!$N$9+('ФАКТ ЧИСТ К3'!E49)*СПРАВОЧНИК!$O$9)+СПРАВОЧНИК!$F$10*(('ФАКТ ЧИСТ К3'!F49)*СПРАВОЧНИК!$L$10+('ФАКТ ЧИСТ К3'!G49)*СПРАВОЧНИК!$M$10+('ФАКТ ЧИСТ К3'!H49)*СПРАВОЧНИК!$N$10+('ФАКТ ЧИСТ К3'!I49)*СПРАВОЧНИК!$O$10)+СПРАВОЧНИК!$F$11*(('ФАКТ ЧИСТ К3'!J49)*СПРАВОЧНИК!$L$11+('ФАКТ ЧИСТ К3'!K49)*СПРАВОЧНИК!$M$11+('ФАКТ ЧИСТ К3'!L49)*СПРАВОЧНИК!$N$11)+СПРАВОЧНИК!$F$12*(('ФАКТ ЧИСТ К3'!M49)*СПРАВОЧНИК!$L$12+('ФАКТ ЧИСТ К3'!N49)*СПРАВОЧНИК!$M$12+('ФАКТ ЧИСТ К3'!O49)*СПРАВОЧНИК!$N$12+('ФАКТ ЧИСТ К3'!P49)*СПРАВОЧНИК!$O$12)+СПРАВОЧНИК!$F$13*(('ФАКТ ЧИСТ К3'!Q49)*СПРАВОЧНИК!$L$13+('ФАКТ ЧИСТ К3'!R49)*СПРАВОЧНИК!$M$13+('ФАКТ ЧИСТ К3'!S49)*СПРАВОЧНИК!$N$13+('ФАКТ ЧИСТ К3'!T49)*СПРАВОЧНИК!$O$13)+СПРАВОЧНИК!$F$14*(('ФАКТ ЧИСТ К3'!U49)*СПРАВОЧНИК!$L$14+('ФАКТ ЧИСТ К3'!V49)*СПРАВОЧНИК!$M$14+('ФАКТ ЧИСТ К3'!W49)*СПРАВОЧНИК!$N$14)+СПРАВОЧНИК!$F$15*(('ФАКТ ЧИСТ К3'!X49)*СПРАВОЧНИК!$L$15+('ФАКТ ЧИСТ К3'!Y49)*СПРАВОЧНИК!$M$15+('ФАКТ ЧИСТ К3'!Z49)*СПРАВОЧНИК!$N$15)</f>
        <v/>
      </c>
      <c r="BK58" s="18">
        <f>BK57+7</f>
        <v/>
      </c>
      <c r="BL58" s="37">
        <f>'ПЛАН ЧЕРН К3'!B49*СПРАВОЧНИК!$H$9+'ПЛАН ЧЕРН К3'!C49*СПРАВОЧНИК!$I$9+'ПЛАН ЧЕРН К3'!D49*СПРАВОЧНИК!$J$9+'ПЛАН ЧЕРН К3'!E49*СПРАВОЧНИК!$H$10+'ПЛАН ЧЕРН К3'!F49*СПРАВОЧНИК!$I$10+'ПЛАН ЧЕРН К3'!G49*СПРАВОЧНИК!$J$10+'ПЛАН ЧЕРН К3'!H49*СПРАВОЧНИК!$H$11+'ПЛАН ЧЕРН К3'!I49*СПРАВОЧНИК!$I$11+'ПЛАН ЧЕРН К3'!J49*СПРАВОЧНИК!$J$11+'ПЛАН ЧЕРН К3'!K49*СПРАВОЧНИК!$H$12+'ПЛАН ЧЕРН К3'!L49*СПРАВОЧНИК!$I$12+'ПЛАН ЧЕРН К3'!M49*СПРАВОЧНИК!$J$12+'ПЛАН ЧЕРН К3'!N49*СПРАВОЧНИК!$H$13+'ПЛАН ЧЕРН К3'!O49*СПРАВОЧНИК!$I$13+'ПЛАН ЧЕРН К3'!P49*СПРАВОЧНИК!$J$13+'ПЛАН ЧЕРН К3'!Q49*СПРАВОЧНИК!$H$14+'ПЛАН ЧЕРН К3'!R49*СПРАВОЧНИК!$I$14+'ПЛАН ЧЕРН К3'!S49*СПРАВОЧНИК!$J$14+'ПЛАН ЧЕРН К3'!T49*СПРАВОЧНИК!$H$15+'ПЛАН ЧЕРН К3'!U49*СПРАВОЧНИК!$I$15+'ПЛАН ЧЕРН К3'!V49*СПРАВОЧНИК!$J$15</f>
        <v/>
      </c>
      <c r="BM58" s="40">
        <f>('ФАКТ ЧЕРН К3'!B49)*СПРАВОЧНИК!$H$9+('ФАКТ ЧЕРН К3'!C49)*СПРАВОЧНИК!$I$9+('ФАКТ ЧЕРН К3'!D49)*СПРАВОЧНИК!$J$9+('ФАКТ ЧЕРН К3'!E49)*СПРАВОЧНИК!$H$10+('ФАКТ ЧЕРН К3'!F49)*СПРАВОЧНИК!$I$10+('ФАКТ ЧЕРН К3'!G49)*СПРАВОЧНИК!$J$10+('ФАКТ ЧЕРН К3'!H49)*СПРАВОЧНИК!$H$11+('ФАКТ ЧЕРН К3'!I49)*СПРАВОЧНИК!$I$11+('ФАКТ ЧЕРН К3'!J49)*СПРАВОЧНИК!$J$11+('ФАКТ ЧЕРН К3'!K49)*СПРАВОЧНИК!$H$12+('ФАКТ ЧЕРН К3'!L49)*СПРАВОЧНИК!$I$12+('ФАКТ ЧЕРН К3'!M49)*СПРАВОЧНИК!$J$12+('ФАКТ ЧЕРН К3'!N49)*СПРАВОЧНИК!$H$13+('ФАКТ ЧЕРН К3'!O49)*СПРАВОЧНИК!$I$13+('ФАКТ ЧЕРН К3'!P49)*СПРАВОЧНИК!$J$13+('ФАКТ ЧЕРН К3'!Q49)*СПРАВОЧНИК!$H$14+('ФАКТ ЧЕРН К3'!R49)*СПРАВОЧНИК!$I$14+('ФАКТ ЧЕРН К3'!S49)*СПРАВОЧНИК!$J$14+('ФАКТ ЧЕРН К3'!T49)*СПРАВОЧНИК!$H$15+('ФАКТ ЧЕРН К3'!U49)*СПРАВОЧНИК!$I$15+('ФАКТ ЧЕРН К3'!V49)*СПРАВОЧНИК!$J$15</f>
        <v/>
      </c>
      <c r="BQ58" s="18">
        <f>BQ57+7</f>
        <v/>
      </c>
      <c r="BR58" s="37">
        <f>'ПЛАН ЧИСТ К3'!B49*СПРАВОЧНИК!$L$9+'ПЛАН ЧИСТ К3'!C49*СПРАВОЧНИК!$M$9+'ПЛАН ЧИСТ К3'!D49*СПРАВОЧНИК!$N$9+'ПЛАН ЧИСТ К3'!E49*СПРАВОЧНИК!$O$9+'ПЛАН ЧИСТ К3'!F49*СПРАВОЧНИК!$L$10+'ПЛАН ЧИСТ К3'!G49*СПРАВОЧНИК!$M$10+'ПЛАН ЧИСТ К3'!H49*СПРАВОЧНИК!$N$10+'ПЛАН ЧИСТ К3'!I49*СПРАВОЧНИК!$O$10+'ПЛАН ЧИСТ К3'!J49*СПРАВОЧНИК!$L$11+'ПЛАН ЧИСТ К3'!K49*СПРАВОЧНИК!$M$11+'ПЛАН ЧИСТ К3'!L49*СПРАВОЧНИК!$N$11+'ПЛАН ЧИСТ К3'!M49*СПРАВОЧНИК!$L$12+'ПЛАН ЧИСТ К3'!N49*СПРАВОЧНИК!$M$12+'ПЛАН ЧИСТ К3'!O49*СПРАВОЧНИК!$N$12+'ПЛАН ЧИСТ К3'!P49*СПРАВОЧНИК!$O$12+'ПЛАН ЧИСТ К3'!Q49*СПРАВОЧНИК!$L$13+'ПЛАН ЧИСТ К3'!R49*СПРАВОЧНИК!$M$13+'ПЛАН ЧИСТ К3'!S49*СПРАВОЧНИК!$N$13+'ПЛАН ЧИСТ К3'!T49*СПРАВОЧНИК!$O$13+'ПЛАН ЧИСТ К3'!U49*СПРАВОЧНИК!$L$14+'ПЛАН ЧИСТ К3'!V49*СПРАВОЧНИК!$M$14+'ПЛАН ЧИСТ К3'!W49*СПРАВОЧНИК!$N$14+'ПЛАН ЧИСТ К3'!X49*СПРАВОЧНИК!$L$15+'ПЛАН ЧИСТ К3'!Y49*СПРАВОЧНИК!$M$15+'ПЛАН ЧИСТ К3'!Z49*СПРАВОЧНИК!$N$15</f>
        <v/>
      </c>
      <c r="BS58" s="40">
        <f>('ФАКТ ЧИСТ К3'!B49)*СПРАВОЧНИК!$L$9+('ФАКТ ЧИСТ К3'!C49)*СПРАВОЧНИК!$M$9+('ФАКТ ЧИСТ К3'!D49)*СПРАВОЧНИК!$N$9+('ФАКТ ЧИСТ К3'!E49)*СПРАВОЧНИК!$O$9+('ФАКТ ЧИСТ К3'!F49)*СПРАВОЧНИК!$L$10+('ФАКТ ЧИСТ К3'!G49)*СПРАВОЧНИК!$M$10+('ФАКТ ЧИСТ К3'!H49)*СПРАВОЧНИК!$N$10+('ФАКТ ЧИСТ К3'!I49)*СПРАВОЧНИК!$O$10+('ФАКТ ЧИСТ К3'!J49)*СПРАВОЧНИК!$L$11+('ФАКТ ЧИСТ К3'!K49)*СПРАВОЧНИК!$M$11+('ФАКТ ЧИСТ К3'!L49)*СПРАВОЧНИК!$N$11+('ФАКТ ЧИСТ К3'!M49)*СПРАВОЧНИК!$L$12+('ФАКТ ЧИСТ К3'!N49)*СПРАВОЧНИК!$M$12+('ФАКТ ЧИСТ К3'!O49)*СПРАВОЧНИК!$N$12+('ФАКТ ЧИСТ К3'!P49)*СПРАВОЧНИК!$O$12+('ФАКТ ЧИСТ К3'!Q49)*СПРАВОЧНИК!$L$13+('ФАКТ ЧИСТ К3'!R49)*СПРАВОЧНИК!$M$13+('ФАКТ ЧИСТ К3'!S49)*СПРАВОЧНИК!$N$13+('ФАКТ ЧИСТ К3'!T49)*СПРАВОЧНИК!$O$13+('ФАКТ ЧИСТ К3'!U49)*СПРАВОЧНИК!$L$14+('ФАКТ ЧИСТ К3'!V49)*СПРАВОЧНИК!$M$14+('ФАКТ ЧИСТ К3'!W49)*СПРАВОЧНИК!$N$14+('ФАКТ ЧИСТ К3'!X49)*СПРАВОЧНИК!$L$15+('ФАКТ ЧИСТ К3'!Y49)*СПРАВОЧНИК!$M$15+('ФАКТ ЧИСТ К3'!Z49)*СПРАВОЧНИК!$N$15</f>
        <v/>
      </c>
      <c r="BW58" s="18">
        <f>BW57+7</f>
        <v/>
      </c>
      <c r="BX58" s="37">
        <f>V58+AN58+BF58</f>
        <v/>
      </c>
      <c r="BY58" s="40">
        <f>W58+AO58+BG58</f>
        <v/>
      </c>
      <c r="CC58" s="18">
        <f>CC57+7</f>
        <v/>
      </c>
      <c r="CD58" s="37">
        <f>AB58+AT58+BL58</f>
        <v/>
      </c>
      <c r="CE58" s="40">
        <f>AC58+AU58+BM58</f>
        <v/>
      </c>
      <c r="CI58" s="18">
        <f>CI57+7</f>
        <v/>
      </c>
      <c r="CJ58" s="37">
        <f>AH58+AZ58+BR58</f>
        <v/>
      </c>
      <c r="CK58" s="40">
        <f>AI58+BA58+BS58</f>
        <v/>
      </c>
      <c r="CO58" s="18">
        <f>CO57+7</f>
        <v/>
      </c>
      <c r="CP58" s="37">
        <f>D58+BX58</f>
        <v/>
      </c>
      <c r="CQ58" s="40">
        <f>E58+BY58</f>
        <v/>
      </c>
      <c r="CU58" s="18">
        <f>CU57+7</f>
        <v/>
      </c>
      <c r="CV58" s="37">
        <f>J58+CD58</f>
        <v/>
      </c>
      <c r="CW58" s="40">
        <f>K58+CE58</f>
        <v/>
      </c>
      <c r="DA58" s="18">
        <f>DA57+7</f>
        <v/>
      </c>
      <c r="DB58" s="37">
        <f>P58+CJ58</f>
        <v/>
      </c>
      <c r="DC58" s="40">
        <f>Q58+CK58</f>
        <v/>
      </c>
    </row>
    <row r="59">
      <c r="C59" s="18">
        <f>C58+7</f>
        <v/>
      </c>
      <c r="D59" s="37">
        <f>СПРАВОЧНИК!$E$3*('ПЛАН ЧЕРН ПОДЗЕМ'!B50*СПРАВОЧНИК!$H$3+'ПЛАН ЧЕРН ПОДЗЕМ'!C50*СПРАВОЧНИК!$I$3+'ПЛАН ЧЕРН ПОДЗЕМ'!D50*СПРАВОЧНИК!$J$3)+СПРАВОЧНИК!$E$4*('ПЛАН ЧЕРН ПОДЗЕМ'!E50*СПРАВОЧНИК!$H$4+'ПЛАН ЧЕРН ПОДЗЕМ'!F50*СПРАВОЧНИК!$I$4+'ПЛАН ЧЕРН ПОДЗЕМ'!G50*СПРАВОЧНИК!$J$4)+СПРАВОЧНИК!$E$5*('ПЛАН ЧЕРН ПОДЗЕМ'!H50*СПРАВОЧНИК!$H$5+'ПЛАН ЧЕРН ПОДЗЕМ'!I50*СПРАВОЧНИК!$I$5+'ПЛАН ЧЕРН ПОДЗЕМ'!J50*СПРАВОЧНИК!$J$5)+СПРАВОЧНИК!$E$6*('ПЛАН ЧЕРН ПОДЗЕМ'!K50*СПРАВОЧНИК!$H$6+'ПЛАН ЧЕРН ПОДЗЕМ'!L50*СПРАВОЧНИК!$I$6+'ПЛАН ЧЕРН ПОДЗЕМ'!M50*СПРАВОЧНИК!$J$6)+СПРАВОЧНИК!$E$7*('ПЛАН ЧЕРН ПОДЗЕМ'!N50*СПРАВОЧНИК!$H$7+'ПЛАН ЧЕРН ПОДЗЕМ'!O50*СПРАВОЧНИК!$I$7+'ПЛАН ЧЕРН ПОДЗЕМ'!P50*СПРАВОЧНИК!$J$7)+СПРАВОЧНИК!$E$8*('ПЛАН ЧЕРН ПОДЗЕМ'!Q50*СПРАВОЧНИК!$H$8+'ПЛАН ЧЕРН ПОДЗЕМ'!R50*СПРАВОЧНИК!$I$8+'ПЛАН ЧЕРН ПОДЗЕМ'!S50*СПРАВОЧНИК!$J$8)+СПРАВОЧНИК!$F$3*('ПЛАН ЧИСТ ПОДЗЕМ'!B50*СПРАВОЧНИК!$L$3+'ПЛАН ЧИСТ ПОДЗЕМ'!C50*СПРАВОЧНИК!$M$3+'ПЛАН ЧИСТ ПОДЗЕМ'!D50*СПРАВОЧНИК!$N$3+'ПЛАН ЧИСТ ПОДЗЕМ'!E50*СПРАВОЧНИК!$O$3)+СПРАВОЧНИК!$F$4*('ПЛАН ЧИСТ ПОДЗЕМ'!F50*СПРАВОЧНИК!$L$4+'ПЛАН ЧИСТ ПОДЗЕМ'!G50*СПРАВОЧНИК!$M$4+'ПЛАН ЧИСТ ПОДЗЕМ'!H50*СПРАВОЧНИК!$N$4+'ПЛАН ЧИСТ ПОДЗЕМ'!I50*СПРАВОЧНИК!$O$4)+СПРАВОЧНИК!$F$5*('ПЛАН ЧИСТ ПОДЗЕМ'!J50*СПРАВОЧНИК!$L$5+'ПЛАН ЧИСТ ПОДЗЕМ'!K50*СПРАВОЧНИК!$M$5+'ПЛАН ЧИСТ ПОДЗЕМ'!L50*СПРАВОЧНИК!$N$5)+СПРАВОЧНИК!$F$6*('ПЛАН ЧИСТ ПОДЗЕМ'!M50*СПРАВОЧНИК!$L$6+'ПЛАН ЧИСТ ПОДЗЕМ'!N50*СПРАВОЧНИК!$M$6+'ПЛАН ЧИСТ ПОДЗЕМ'!O50*СПРАВОЧНИК!$N$6+'ПЛАН ЧИСТ ПОДЗЕМ'!P50*СПРАВОЧНИК!$O$6)+СПРАВОЧНИК!$F$7*('ПЛАН ЧИСТ ПОДЗЕМ'!Q50*СПРАВОЧНИК!$L$7+'ПЛАН ЧИСТ ПОДЗЕМ'!R50*СПРАВОЧНИК!$M$7+'ПЛАН ЧИСТ ПОДЗЕМ'!S50*СПРАВОЧНИК!$N$7+'ПЛАН ЧИСТ ПОДЗЕМ'!T50*СПРАВОЧНИК!$O$7)+СПРАВОЧНИК!$F$8*('ПЛАН ЧИСТ ПОДЗЕМ'!U50*СПРАВОЧНИК!$L$8+'ПЛАН ЧИСТ ПОДЗЕМ'!V50*СПРАВОЧНИК!$M$8+'ПЛАН ЧИСТ ПОДЗЕМ'!W50*СПРАВОЧНИК!$N$8)</f>
        <v/>
      </c>
      <c r="E59" s="40">
        <f>СПРАВОЧНИК!$E$3*(('ФАКТ ЧЕРН ПОДЗЕМ'!B50)*СПРАВОЧНИК!$H$3+('ФАКТ ЧЕРН ПОДЗЕМ'!C50)*СПРАВОЧНИК!$I$3+('ФАКТ ЧЕРН ПОДЗЕМ'!D50)*СПРАВОЧНИК!$J$3)+СПРАВОЧНИК!$E$4*(('ФАКТ ЧЕРН ПОДЗЕМ'!E50)*СПРАВОЧНИК!$H$4+('ФАКТ ЧЕРН ПОДЗЕМ'!F50)*СПРАВОЧНИК!$I$4+('ФАКТ ЧЕРН ПОДЗЕМ'!G50)*СПРАВОЧНИК!$J$4)+СПРАВОЧНИК!$E$5*(('ФАКТ ЧЕРН ПОДЗЕМ'!H50)*СПРАВОЧНИК!$H$5+('ФАКТ ЧЕРН ПОДЗЕМ'!I50)*СПРАВОЧНИК!$I$5+('ФАКТ ЧЕРН ПОДЗЕМ'!J50)*СПРАВОЧНИК!$J$5)+СПРАВОЧНИК!$E$6*(('ФАКТ ЧЕРН ПОДЗЕМ'!K50)*СПРАВОЧНИК!$H$6+('ФАКТ ЧЕРН ПОДЗЕМ'!L50)*СПРАВОЧНИК!$I$6+('ФАКТ ЧЕРН ПОДЗЕМ'!M50)*СПРАВОЧНИК!$J$6)+СПРАВОЧНИК!$E$7*(('ФАКТ ЧЕРН ПОДЗЕМ'!N50)*СПРАВОЧНИК!$H$7+('ФАКТ ЧЕРН ПОДЗЕМ'!O50)*СПРАВОЧНИК!$I$7+('ФАКТ ЧЕРН ПОДЗЕМ'!P50)*СПРАВОЧНИК!$J$7)+СПРАВОЧНИК!$E$8*(('ФАКТ ЧЕРН ПОДЗЕМ'!Q50)*СПРАВОЧНИК!$H$8+('ФАКТ ЧЕРН ПОДЗЕМ'!R50)*СПРАВОЧНИК!$I$8+('ФАКТ ЧЕРН ПОДЗЕМ'!S50)*СПРАВОЧНИК!$J$8)+СПРАВОЧНИК!$F$3*(('ФАКТ ЧИСТ ПОДЗЕМ'!B50)*СПРАВОЧНИК!$L$3+('ФАКТ ЧИСТ ПОДЗЕМ'!C50)*СПРАВОЧНИК!$M$3+('ФАКТ ЧИСТ ПОДЗЕМ'!D50)*СПРАВОЧНИК!$N$3+('ФАКТ ЧИСТ ПОДЗЕМ'!E50)*СПРАВОЧНИК!$O$3)+СПРАВОЧНИК!$F$4*(('ФАКТ ЧИСТ ПОДЗЕМ'!F50)*СПРАВОЧНИК!$L$4+('ФАКТ ЧИСТ ПОДЗЕМ'!G50)*СПРАВОЧНИК!$M$4+('ФАКТ ЧИСТ ПОДЗЕМ'!H50)*СПРАВОЧНИК!$N$4+('ФАКТ ЧИСТ ПОДЗЕМ'!I50)*СПРАВОЧНИК!$O$4)+СПРАВОЧНИК!$F$5*(('ФАКТ ЧИСТ ПОДЗЕМ'!J50)*СПРАВОЧНИК!$L$5+('ФАКТ ЧИСТ ПОДЗЕМ'!K50)*СПРАВОЧНИК!$M$5+('ФАКТ ЧИСТ ПОДЗЕМ'!L50)*СПРАВОЧНИК!$N$5)+СПРАВОЧНИК!$F$6*(('ФАКТ ЧИСТ ПОДЗЕМ'!M50)*СПРАВОЧНИК!$L$6+('ФАКТ ЧИСТ ПОДЗЕМ'!N50)*СПРАВОЧНИК!$M$6+('ФАКТ ЧИСТ ПОДЗЕМ'!O50)*СПРАВОЧНИК!$N$6+('ФАКТ ЧИСТ ПОДЗЕМ'!P50)*СПРАВОЧНИК!$O$6)+СПРАВОЧНИК!$F$7*(('ФАКТ ЧИСТ ПОДЗЕМ'!Q50)*СПРАВОЧНИК!$L$7+('ФАКТ ЧИСТ ПОДЗЕМ'!R50)*СПРАВОЧНИК!$M$7+('ФАКТ ЧИСТ ПОДЗЕМ'!S50)*СПРАВОЧНИК!$N$7+('ФАКТ ЧИСТ ПОДЗЕМ'!T50)*СПРАВОЧНИК!$O$7)+СПРАВОЧНИК!$F$8*(('ФАКТ ЧИСТ ПОДЗЕМ'!U50)*СПРАВОЧНИК!$L$8+('ФАКТ ЧИСТ ПОДЗЕМ'!V50)*СПРАВОЧНИК!$M$8+('ФАКТ ЧИСТ ПОДЗЕМ'!W50)*СПРАВОЧНИК!$N$8)</f>
        <v/>
      </c>
      <c r="I59" s="18">
        <f>I58+7</f>
        <v/>
      </c>
      <c r="J59" s="37">
        <f>'ПЛАН ЧЕРН ПОДЗЕМ'!B50*СПРАВОЧНИК!$H$3+'ПЛАН ЧЕРН ПОДЗЕМ'!C50*СПРАВОЧНИК!$I$3+'ПЛАН ЧЕРН ПОДЗЕМ'!D50*СПРАВОЧНИК!$J$3+'ПЛАН ЧЕРН ПОДЗЕМ'!E50*СПРАВОЧНИК!$H$4+'ПЛАН ЧЕРН ПОДЗЕМ'!F50*СПРАВОЧНИК!$I$4+'ПЛАН ЧЕРН ПОДЗЕМ'!G50*СПРАВОЧНИК!$J$4+'ПЛАН ЧЕРН ПОДЗЕМ'!H50*СПРАВОЧНИК!$H$5+'ПЛАН ЧЕРН ПОДЗЕМ'!I50*СПРАВОЧНИК!$I$5+'ПЛАН ЧЕРН ПОДЗЕМ'!J50*СПРАВОЧНИК!$J$5+'ПЛАН ЧЕРН ПОДЗЕМ'!K50*СПРАВОЧНИК!$H$6+'ПЛАН ЧЕРН ПОДЗЕМ'!L50*СПРАВОЧНИК!$I$6+'ПЛАН ЧЕРН ПОДЗЕМ'!M50*СПРАВОЧНИК!$J$6+'ПЛАН ЧЕРН ПОДЗЕМ'!N50*СПРАВОЧНИК!$H$7+'ПЛАН ЧЕРН ПОДЗЕМ'!O50*СПРАВОЧНИК!$I$7+'ПЛАН ЧЕРН ПОДЗЕМ'!P50*СПРАВОЧНИК!$J$7+'ПЛАН ЧЕРН ПОДЗЕМ'!Q50*СПРАВОЧНИК!$H$8+'ПЛАН ЧЕРН ПОДЗЕМ'!R50*СПРАВОЧНИК!$I$8+'ПЛАН ЧЕРН ПОДЗЕМ'!S50*СПРАВОЧНИК!$J$8</f>
        <v/>
      </c>
      <c r="K59" s="40">
        <f>('ФАКТ ЧЕРН ПОДЗЕМ'!B50)*СПРАВОЧНИК!$H$3+('ФАКТ ЧЕРН ПОДЗЕМ'!C50)*СПРАВОЧНИК!$I$3+('ФАКТ ЧЕРН ПОДЗЕМ'!D50)*СПРАВОЧНИК!$J$3+('ФАКТ ЧЕРН ПОДЗЕМ'!E50)*СПРАВОЧНИК!$H$4+('ФАКТ ЧЕРН ПОДЗЕМ'!F50)*СПРАВОЧНИК!$I$4+('ФАКТ ЧЕРН ПОДЗЕМ'!G50)*СПРАВОЧНИК!$J$4+('ФАКТ ЧЕРН ПОДЗЕМ'!H50)*СПРАВОЧНИК!$H$5+('ФАКТ ЧЕРН ПОДЗЕМ'!I50)*СПРАВОЧНИК!$I$5+('ФАКТ ЧЕРН ПОДЗЕМ'!J50)*СПРАВОЧНИК!$J$5+('ФАКТ ЧЕРН ПОДЗЕМ'!K50)*СПРАВОЧНИК!$H$6+('ФАКТ ЧЕРН ПОДЗЕМ'!L50)*СПРАВОЧНИК!$I$6+('ФАКТ ЧЕРН ПОДЗЕМ'!M50)*СПРАВОЧНИК!$J$6+('ФАКТ ЧЕРН ПОДЗЕМ'!N50)*СПРАВОЧНИК!$H$7+('ФАКТ ЧЕРН ПОДЗЕМ'!O50)*СПРАВОЧНИК!$I$7+('ФАКТ ЧЕРН ПОДЗЕМ'!P50)*СПРАВОЧНИК!$J$7+('ФАКТ ЧЕРН ПОДЗЕМ'!Q50)*СПРАВОЧНИК!$H$8+('ФАКТ ЧЕРН ПОДЗЕМ'!R50)*СПРАВОЧНИК!$I$8+('ФАКТ ЧЕРН ПОДЗЕМ'!S50)*СПРАВОЧНИК!$J$8</f>
        <v/>
      </c>
      <c r="O59" s="18">
        <f>O58+7</f>
        <v/>
      </c>
      <c r="P59" s="37">
        <f>'ПЛАН ЧИСТ ПОДЗЕМ'!B50*СПРАВОЧНИК!$L$3+'ПЛАН ЧИСТ ПОДЗЕМ'!C50*СПРАВОЧНИК!$M$3+'ПЛАН ЧИСТ ПОДЗЕМ'!D50*СПРАВОЧНИК!$N$3+'ПЛАН ЧИСТ ПОДЗЕМ'!E50*СПРАВОЧНИК!$O$3+'ПЛАН ЧИСТ ПОДЗЕМ'!F50*СПРАВОЧНИК!$L$4+'ПЛАН ЧИСТ ПОДЗЕМ'!G50*СПРАВОЧНИК!$M$4+'ПЛАН ЧИСТ ПОДЗЕМ'!H50*СПРАВОЧНИК!$N$4+'ПЛАН ЧИСТ ПОДЗЕМ'!I50*СПРАВОЧНИК!$O$4+'ПЛАН ЧИСТ ПОДЗЕМ'!J50*СПРАВОЧНИК!$L$5+'ПЛАН ЧИСТ ПОДЗЕМ'!K50*СПРАВОЧНИК!$M$5+'ПЛАН ЧИСТ ПОДЗЕМ'!L50*СПРАВОЧНИК!$N$5+'ПЛАН ЧИСТ ПОДЗЕМ'!M50*СПРАВОЧНИК!$L$6+'ПЛАН ЧИСТ ПОДЗЕМ'!N50*СПРАВОЧНИК!$M$6+'ПЛАН ЧИСТ ПОДЗЕМ'!O50*СПРАВОЧНИК!$N$6+'ПЛАН ЧИСТ ПОДЗЕМ'!P50*СПРАВОЧНИК!$O$6+'ПЛАН ЧИСТ ПОДЗЕМ'!Q50*СПРАВОЧНИК!$L$7+'ПЛАН ЧИСТ ПОДЗЕМ'!R50*СПРАВОЧНИК!$M$7+'ПЛАН ЧИСТ ПОДЗЕМ'!S50*СПРАВОЧНИК!$N$7+'ПЛАН ЧИСТ ПОДЗЕМ'!T50*СПРАВОЧНИК!$O$7+'ПЛАН ЧИСТ ПОДЗЕМ'!U50*СПРАВОЧНИК!$L$8+'ПЛАН ЧИСТ ПОДЗЕМ'!V50*СПРАВОЧНИК!$M$8+'ПЛАН ЧИСТ ПОДЗЕМ'!W50*СПРАВОЧНИК!$N$8</f>
        <v/>
      </c>
      <c r="Q59" s="40">
        <f>('ФАКТ ЧИСТ ПОДЗЕМ'!B50)*СПРАВОЧНИК!$L$3+('ФАКТ ЧИСТ ПОДЗЕМ'!C50)*СПРАВОЧНИК!$M$3+('ФАКТ ЧИСТ ПОДЗЕМ'!D50)*СПРАВОЧНИК!$N$3+('ФАКТ ЧИСТ ПОДЗЕМ'!E50)*СПРАВОЧНИК!$O$3+('ФАКТ ЧИСТ ПОДЗЕМ'!F50)*СПРАВОЧНИК!$L$4+('ФАКТ ЧИСТ ПОДЗЕМ'!G50)*СПРАВОЧНИК!$M$4+('ФАКТ ЧИСТ ПОДЗЕМ'!H50)*СПРАВОЧНИК!$N$4+('ФАКТ ЧИСТ ПОДЗЕМ'!I50)*СПРАВОЧНИК!$O$4+('ФАКТ ЧИСТ ПОДЗЕМ'!J50)*СПРАВОЧНИК!$L$5+('ФАКТ ЧИСТ ПОДЗЕМ'!K50)*СПРАВОЧНИК!$M$5+('ФАКТ ЧИСТ ПОДЗЕМ'!L50)*СПРАВОЧНИК!$N$5+('ФАКТ ЧИСТ ПОДЗЕМ'!M50)*СПРАВОЧНИК!$L$6+('ФАКТ ЧИСТ ПОДЗЕМ'!N50)*СПРАВОЧНИК!$M$6+('ФАКТ ЧИСТ ПОДЗЕМ'!O50)*СПРАВОЧНИК!$N$6+('ФАКТ ЧИСТ ПОДЗЕМ'!P50)*СПРАВОЧНИК!$O$6+('ФАКТ ЧИСТ ПОДЗЕМ'!Q50)*СПРАВОЧНИК!$L$7+('ФАКТ ЧИСТ ПОДЗЕМ'!R50)*СПРАВОЧНИК!$M$7+('ФАКТ ЧИСТ ПОДЗЕМ'!S50)*СПРАВОЧНИК!$N$7+('ФАКТ ЧИСТ ПОДЗЕМ'!T50)*СПРАВОЧНИК!$O$7+('ФАКТ ЧИСТ ПОДЗЕМ'!U50)*СПРАВОЧНИК!$L$8+('ФАКТ ЧИСТ ПОДЗЕМ'!V50)*СПРАВОЧНИК!$M$8+('ФАКТ ЧИСТ ПОДЗЕМ'!W50)*СПРАВОЧНИК!$N$8</f>
        <v/>
      </c>
      <c r="U59" s="18">
        <f>U58+7</f>
        <v/>
      </c>
      <c r="V59" s="37">
        <f>СПРАВОЧНИК!$E$9*('ПЛАН ЧЕРН К1'!B50*СПРАВОЧНИК!$H$9+'ПЛАН ЧЕРН К1'!C50*СПРАВОЧНИК!$I$9+'ПЛАН ЧЕРН К1'!D50*СПРАВОЧНИК!$J$9)+СПРАВОЧНИК!$E$10*('ПЛАН ЧЕРН К1'!E50*СПРАВОЧНИК!$H$10+'ПЛАН ЧЕРН К1'!F50*СПРАВОЧНИК!$I$10+'ПЛАН ЧЕРН К1'!G50*СПРАВОЧНИК!$J$10)+СПРАВОЧНИК!$E$11*('ПЛАН ЧЕРН К1'!H50*СПРАВОЧНИК!$H$11+'ПЛАН ЧЕРН К1'!I50*СПРАВОЧНИК!$I$11+'ПЛАН ЧЕРН К1'!J50*СПРАВОЧНИК!$J$11)+СПРАВОЧНИК!$E$12*('ПЛАН ЧЕРН К1'!K50*СПРАВОЧНИК!$H$12+'ПЛАН ЧЕРН К1'!L50*СПРАВОЧНИК!$I$12+'ПЛАН ЧЕРН К1'!M50*СПРАВОЧНИК!$J$12)+СПРАВОЧНИК!$E$13*('ПЛАН ЧЕРН К1'!N50*СПРАВОЧНИК!$H$13+'ПЛАН ЧЕРН К1'!O50*СПРАВОЧНИК!$I$13+'ПЛАН ЧЕРН К1'!P50*СПРАВОЧНИК!$J$13)+СПРАВОЧНИК!$E$14*('ПЛАН ЧЕРН К1'!Q50*СПРАВОЧНИК!$H$14+'ПЛАН ЧЕРН К1'!R50*СПРАВОЧНИК!$I$14+'ПЛАН ЧЕРН К1'!S50*СПРАВОЧНИК!$J$14)+СПРАВОЧНИК!$E$15*('ПЛАН ЧЕРН К1'!T50*СПРАВОЧНИК!$H$15+'ПЛАН ЧЕРН К1'!U50*СПРАВОЧНИК!$I$15+'ПЛАН ЧЕРН К1'!V50*СПРАВОЧНИК!$J$15)+СПРАВОЧНИК!$F$9*('ПЛАН ЧИСТ К1'!B50*СПРАВОЧНИК!$L$9+'ПЛАН ЧИСТ К1'!C50*СПРАВОЧНИК!$M$9+'ПЛАН ЧИСТ К1'!D50*СПРАВОЧНИК!$N$9+'ПЛАН ЧИСТ К1'!E50*СПРАВОЧНИК!$O$9)+СПРАВОЧНИК!$F$10*('ПЛАН ЧИСТ К1'!F50*СПРАВОЧНИК!$L$10+'ПЛАН ЧИСТ К1'!G50*СПРАВОЧНИК!$M$10+'ПЛАН ЧИСТ К1'!H50*СПРАВОЧНИК!$N$10+'ПЛАН ЧИСТ К1'!I50*СПРАВОЧНИК!$O$10)+СПРАВОЧНИК!$F$11*('ПЛАН ЧИСТ К1'!J50*СПРАВОЧНИК!$L$11+'ПЛАН ЧИСТ К1'!K50*СПРАВОЧНИК!$M$11+'ПЛАН ЧИСТ К1'!L50*СПРАВОЧНИК!$N$11)+СПРАВОЧНИК!$F$12*('ПЛАН ЧИСТ К1'!M50*СПРАВОЧНИК!$L$12+'ПЛАН ЧИСТ К1'!N50*СПРАВОЧНИК!$M$12+'ПЛАН ЧИСТ К1'!O50*СПРАВОЧНИК!$N$12+'ПЛАН ЧИСТ К1'!P50*СПРАВОЧНИК!$O$12)+СПРАВОЧНИК!$F$13*('ПЛАН ЧИСТ К1'!Q50*СПРАВОЧНИК!$L$13+'ПЛАН ЧИСТ К1'!R50*СПРАВОЧНИК!$M$13+'ПЛАН ЧИСТ К1'!S50*СПРАВОЧНИК!$N$13+'ПЛАН ЧИСТ К1'!T50*СПРАВОЧНИК!$O$13)+СПРАВОЧНИК!$F$14*('ПЛАН ЧИСТ К1'!U50*СПРАВОЧНИК!$L$14+'ПЛАН ЧИСТ К1'!V50*СПРАВОЧНИК!$M$14+'ПЛАН ЧИСТ К1'!W50*СПРАВОЧНИК!$N$14)+СПРАВОЧНИК!$F$15*('ПЛАН ЧИСТ К1'!X50*СПРАВОЧНИК!$L$15+'ПЛАН ЧИСТ К1'!Y50*СПРАВОЧНИК!$M$15+'ПЛАН ЧИСТ К1'!Z50*СПРАВОЧНИК!$N$15)</f>
        <v/>
      </c>
      <c r="W59" s="40">
        <f>СПРАВОЧНИК!$E$9*(('ФАКТ ЧЕРН К1'!B50)*СПРАВОЧНИК!$H$9+('ФАКТ ЧЕРН К1'!C50)*СПРАВОЧНИК!$I$9+('ФАКТ ЧЕРН К1'!D50)*СПРАВОЧНИК!$J$9)+СПРАВОЧНИК!$E$10*(('ФАКТ ЧЕРН К1'!E50)*СПРАВОЧНИК!$H$10+('ФАКТ ЧЕРН К1'!F50)*СПРАВОЧНИК!$I$10+('ФАКТ ЧЕРН К1'!G50)*СПРАВОЧНИК!$J$10)+СПРАВОЧНИК!$E$11*(('ФАКТ ЧЕРН К1'!H50)*СПРАВОЧНИК!$H$11+('ФАКТ ЧЕРН К1'!I50)*СПРАВОЧНИК!$I$11+('ФАКТ ЧЕРН К1'!J50)*СПРАВОЧНИК!$J$11)+СПРАВОЧНИК!$E$12*(('ФАКТ ЧЕРН К1'!K50)*СПРАВОЧНИК!$H$12+('ФАКТ ЧЕРН К1'!L50)*СПРАВОЧНИК!$I$12+('ФАКТ ЧЕРН К1'!M50)*СПРАВОЧНИК!$J$12)+СПРАВОЧНИК!$E$13*(('ФАКТ ЧЕРН К1'!N50)*СПРАВОЧНИК!$H$13+('ФАКТ ЧЕРН К1'!O50)*СПРАВОЧНИК!$I$13+('ФАКТ ЧЕРН К1'!P50)*СПРАВОЧНИК!$J$13)+СПРАВОЧНИК!$E$14*(('ФАКТ ЧЕРН К1'!Q50)*СПРАВОЧНИК!$H$14+('ФАКТ ЧЕРН К1'!R50)*СПРАВОЧНИК!$I$14+('ФАКТ ЧЕРН К1'!S50)*СПРАВОЧНИК!$J$14)+СПРАВОЧНИК!$E$15*(('ФАКТ ЧЕРН К1'!T50)*СПРАВОЧНИК!$H$15+('ФАКТ ЧЕРН К1'!U50)*СПРАВОЧНИК!$I$15+('ФАКТ ЧЕРН К1'!V50)*СПРАВОЧНИК!$J$15)+СПРАВОЧНИК!$F$9*(('ФАКТ ЧИСТ К1'!B50)*СПРАВОЧНИК!$L$9+('ФАКТ ЧИСТ К1'!C50)*СПРАВОЧНИК!$M$9+('ФАКТ ЧИСТ К1'!D50)*СПРАВОЧНИК!$N$9+('ФАКТ ЧИСТ К1'!E50)*СПРАВОЧНИК!$O$9)+СПРАВОЧНИК!$F$10*(('ФАКТ ЧИСТ К1'!F50)*СПРАВОЧНИК!$L$10+('ФАКТ ЧИСТ К1'!G50)*СПРАВОЧНИК!$M$10+('ФАКТ ЧИСТ К1'!H50)*СПРАВОЧНИК!$N$10+('ФАКТ ЧИСТ К1'!I50)*СПРАВОЧНИК!$O$10)+СПРАВОЧНИК!$F$11*(('ФАКТ ЧИСТ К1'!J50)*СПРАВОЧНИК!$L$11+('ФАКТ ЧИСТ К1'!K50)*СПРАВОЧНИК!$M$11+('ФАКТ ЧИСТ К1'!L50)*СПРАВОЧНИК!$N$11)+СПРАВОЧНИК!$F$12*(('ФАКТ ЧИСТ К1'!M50)*СПРАВОЧНИК!$L$12+('ФАКТ ЧИСТ К1'!N50)*СПРАВОЧНИК!$M$12+('ФАКТ ЧИСТ К1'!O50)*СПРАВОЧНИК!$N$12+('ФАКТ ЧИСТ К1'!P50)*СПРАВОЧНИК!$O$12)+СПРАВОЧНИК!$F$13*(('ФАКТ ЧИСТ К1'!Q50)*СПРАВОЧНИК!$L$13+('ФАКТ ЧИСТ К1'!R50)*СПРАВОЧНИК!$M$13+('ФАКТ ЧИСТ К1'!S50)*СПРАВОЧНИК!$N$13+('ФАКТ ЧИСТ К1'!T50)*СПРАВОЧНИК!$O$13)+СПРАВОЧНИК!$F$14*(('ФАКТ ЧИСТ К1'!U50)*СПРАВОЧНИК!$L$14+('ФАКТ ЧИСТ К1'!V50)*СПРАВОЧНИК!$M$14+('ФАКТ ЧИСТ К1'!W50)*СПРАВОЧНИК!$N$14)+СПРАВОЧНИК!$F$15*(('ФАКТ ЧИСТ К1'!X50)*СПРАВОЧНИК!$L$15+('ФАКТ ЧИСТ К1'!Y50)*СПРАВОЧНИК!$M$15+('ФАКТ ЧИСТ К1'!Z50)*СПРАВОЧНИК!$N$15)</f>
        <v/>
      </c>
      <c r="AA59" s="18">
        <f>AA58+7</f>
        <v/>
      </c>
      <c r="AB59" s="37">
        <f>'ПЛАН ЧЕРН К1'!B50*СПРАВОЧНИК!$H$9+'ПЛАН ЧЕРН К1'!C50*СПРАВОЧНИК!$I$9+'ПЛАН ЧЕРН К1'!D50*СПРАВОЧНИК!$J$9+'ПЛАН ЧЕРН К1'!E50*СПРАВОЧНИК!$H$10+'ПЛАН ЧЕРН К1'!F50*СПРАВОЧНИК!$I$10+'ПЛАН ЧЕРН К1'!G50*СПРАВОЧНИК!$J$10+'ПЛАН ЧЕРН К1'!H50*СПРАВОЧНИК!$H$11+'ПЛАН ЧЕРН К1'!I50*СПРАВОЧНИК!$I$11+'ПЛАН ЧЕРН К1'!J50*СПРАВОЧНИК!$J$11+'ПЛАН ЧЕРН К1'!K50*СПРАВОЧНИК!$H$12+'ПЛАН ЧЕРН К1'!L50*СПРАВОЧНИК!$I$12+'ПЛАН ЧЕРН К1'!M50*СПРАВОЧНИК!$J$12+'ПЛАН ЧЕРН К1'!N50*СПРАВОЧНИК!$H$13+'ПЛАН ЧЕРН К1'!O50*СПРАВОЧНИК!$I$13+'ПЛАН ЧЕРН К1'!P50*СПРАВОЧНИК!$J$13+'ПЛАН ЧЕРН К1'!Q50*СПРАВОЧНИК!$H$14+'ПЛАН ЧЕРН К1'!R50*СПРАВОЧНИК!$I$14+'ПЛАН ЧЕРН К1'!S50*СПРАВОЧНИК!$J$14+'ПЛАН ЧЕРН К1'!T50*СПРАВОЧНИК!$H$15+'ПЛАН ЧЕРН К1'!U50*СПРАВОЧНИК!$I$15+'ПЛАН ЧЕРН К1'!V50*СПРАВОЧНИК!$J$15</f>
        <v/>
      </c>
      <c r="AC59" s="40">
        <f>('ФАКТ ЧЕРН К1'!B50)*СПРАВОЧНИК!$H$9+('ФАКТ ЧЕРН К1'!C50)*СПРАВОЧНИК!$I$9+('ФАКТ ЧЕРН К1'!D50)*СПРАВОЧНИК!$J$9+('ФАКТ ЧЕРН К1'!E50)*СПРАВОЧНИК!$H$10+('ФАКТ ЧЕРН К1'!F50)*СПРАВОЧНИК!$I$10+('ФАКТ ЧЕРН К1'!G50)*СПРАВОЧНИК!$J$10+('ФАКТ ЧЕРН К1'!H50)*СПРАВОЧНИК!$H$11+('ФАКТ ЧЕРН К1'!I50)*СПРАВОЧНИК!$I$11+('ФАКТ ЧЕРН К1'!J50)*СПРАВОЧНИК!$J$11+('ФАКТ ЧЕРН К1'!K50)*СПРАВОЧНИК!$H$12+('ФАКТ ЧЕРН К1'!L50)*СПРАВОЧНИК!$I$12+('ФАКТ ЧЕРН К1'!M50)*СПРАВОЧНИК!$J$12+('ФАКТ ЧЕРН К1'!N50)*СПРАВОЧНИК!$H$13+('ФАКТ ЧЕРН К1'!O50)*СПРАВОЧНИК!$I$13+('ФАКТ ЧЕРН К1'!P50)*СПРАВОЧНИК!$J$13+('ФАКТ ЧЕРН К1'!Q50)*СПРАВОЧНИК!$H$14+('ФАКТ ЧЕРН К1'!R50)*СПРАВОЧНИК!$I$14+('ФАКТ ЧЕРН К1'!S50)*СПРАВОЧНИК!$J$14+('ФАКТ ЧЕРН К1'!T50)*СПРАВОЧНИК!$H$15+('ФАКТ ЧЕРН К1'!U50)*СПРАВОЧНИК!$I$15+('ФАКТ ЧЕРН К1'!V50)*СПРАВОЧНИК!$J$15</f>
        <v/>
      </c>
      <c r="AG59" s="18">
        <f>AG58+7</f>
        <v/>
      </c>
      <c r="AH59" s="37">
        <f>'ПЛАН ЧИСТ К1'!B50*СПРАВОЧНИК!$L$9+'ПЛАН ЧИСТ К1'!C50*СПРАВОЧНИК!$M$9+'ПЛАН ЧИСТ К1'!D50*СПРАВОЧНИК!$N$9+'ПЛАН ЧИСТ К1'!E50*СПРАВОЧНИК!$O$9+'ПЛАН ЧИСТ К1'!F50*СПРАВОЧНИК!$L$10+'ПЛАН ЧИСТ К1'!G50*СПРАВОЧНИК!$M$10+'ПЛАН ЧИСТ К1'!H50*СПРАВОЧНИК!$N$10+'ПЛАН ЧИСТ К1'!I50*СПРАВОЧНИК!$O$10+'ПЛАН ЧИСТ К1'!J50*СПРАВОЧНИК!$L$11+'ПЛАН ЧИСТ К1'!K50*СПРАВОЧНИК!$M$11+'ПЛАН ЧИСТ К1'!L50*СПРАВОЧНИК!$N$11+'ПЛАН ЧИСТ К1'!M50*СПРАВОЧНИК!$L$12+'ПЛАН ЧИСТ К1'!N50*СПРАВОЧНИК!$M$12+'ПЛАН ЧИСТ К1'!O50*СПРАВОЧНИК!$N$12+'ПЛАН ЧИСТ К1'!P50*СПРАВОЧНИК!$O$12+'ПЛАН ЧИСТ К1'!Q50*СПРАВОЧНИК!$L$13+'ПЛАН ЧИСТ К1'!R50*СПРАВОЧНИК!$M$13+'ПЛАН ЧИСТ К1'!S50*СПРАВОЧНИК!$N$13+'ПЛАН ЧИСТ К1'!T50*СПРАВОЧНИК!$O$13+'ПЛАН ЧИСТ К1'!U50*СПРАВОЧНИК!$L$14+'ПЛАН ЧИСТ К1'!V50*СПРАВОЧНИК!$M$14+'ПЛАН ЧИСТ К1'!W50*СПРАВОЧНИК!$N$14+'ПЛАН ЧИСТ К1'!X50*СПРАВОЧНИК!$L$15+'ПЛАН ЧИСТ К1'!Y50*СПРАВОЧНИК!$M$15+'ПЛАН ЧИСТ К1'!Z50*СПРАВОЧНИК!$N$15</f>
        <v/>
      </c>
      <c r="AI59" s="40">
        <f>('ФАКТ ЧИСТ К1'!B50)*СПРАВОЧНИК!$L$9+('ФАКТ ЧИСТ К1'!C50)*СПРАВОЧНИК!$M$9+('ФАКТ ЧИСТ К1'!D50)*СПРАВОЧНИК!$N$9+('ФАКТ ЧИСТ К1'!E50)*СПРАВОЧНИК!$O$9+('ФАКТ ЧИСТ К1'!F50)*СПРАВОЧНИК!$L$10+('ФАКТ ЧИСТ К1'!G50)*СПРАВОЧНИК!$M$10+('ФАКТ ЧИСТ К1'!H50)*СПРАВОЧНИК!$N$10+('ФАКТ ЧИСТ К1'!I50)*СПРАВОЧНИК!$O$10+('ФАКТ ЧИСТ К1'!J50)*СПРАВОЧНИК!$L$11+('ФАКТ ЧИСТ К1'!K50)*СПРАВОЧНИК!$M$11+('ФАКТ ЧИСТ К1'!L50)*СПРАВОЧНИК!$N$11+('ФАКТ ЧИСТ К1'!M50)*СПРАВОЧНИК!$L$12+('ФАКТ ЧИСТ К1'!N50)*СПРАВОЧНИК!$M$12+('ФАКТ ЧИСТ К1'!O50)*СПРАВОЧНИК!$N$12+('ФАКТ ЧИСТ К1'!P50)*СПРАВОЧНИК!$O$12+('ФАКТ ЧИСТ К1'!Q50)*СПРАВОЧНИК!$L$13+('ФАКТ ЧИСТ К1'!R50)*СПРАВОЧНИК!$M$13+('ФАКТ ЧИСТ К1'!S50)*СПРАВОЧНИК!$N$13+('ФАКТ ЧИСТ К1'!T50)*СПРАВОЧНИК!$O$13+('ФАКТ ЧИСТ К1'!U50)*СПРАВОЧНИК!$L$14+('ФАКТ ЧИСТ К1'!V50)*СПРАВОЧНИК!$M$14+('ФАКТ ЧИСТ К1'!W50)*СПРАВОЧНИК!$N$14+('ФАКТ ЧИСТ К1'!X50)*СПРАВОЧНИК!$L$15+('ФАКТ ЧИСТ К1'!Y50)*СПРАВОЧНИК!$M$15+('ФАКТ ЧИСТ К1'!Z50)*СПРАВОЧНИК!$N$15</f>
        <v/>
      </c>
      <c r="AM59" s="18">
        <f>AM58+7</f>
        <v/>
      </c>
      <c r="AN59" s="37">
        <f>СПРАВОЧНИК!$E$9*('ПЛАН ЧЕРН К2'!B50*СПРАВОЧНИК!$H$9+'ПЛАН ЧЕРН К2'!C50*СПРАВОЧНИК!$I$9+'ПЛАН ЧЕРН К2'!D50*СПРАВОЧНИК!$J$9)+СПРАВОЧНИК!$E$10*('ПЛАН ЧЕРН К2'!E50*СПРАВОЧНИК!$H$10+'ПЛАН ЧЕРН К2'!F50*СПРАВОЧНИК!$I$10+'ПЛАН ЧЕРН К2'!G50*СПРАВОЧНИК!$J$10)+СПРАВОЧНИК!$E$11*('ПЛАН ЧЕРН К2'!H50*СПРАВОЧНИК!$H$11+'ПЛАН ЧЕРН К2'!I50*СПРАВОЧНИК!$I$11+'ПЛАН ЧЕРН К2'!J50*СПРАВОЧНИК!$J$11)+СПРАВОЧНИК!$E$12*('ПЛАН ЧЕРН К2'!K50*СПРАВОЧНИК!$H$12+'ПЛАН ЧЕРН К2'!L50*СПРАВОЧНИК!$I$12+'ПЛАН ЧЕРН К2'!M50*СПРАВОЧНИК!$J$12)+СПРАВОЧНИК!$E$13*('ПЛАН ЧЕРН К2'!N50*СПРАВОЧНИК!$H$13+'ПЛАН ЧЕРН К2'!O50*СПРАВОЧНИК!$I$13+'ПЛАН ЧЕРН К2'!P50*СПРАВОЧНИК!$J$13)+СПРАВОЧНИК!$E$14*('ПЛАН ЧЕРН К2'!Q50*СПРАВОЧНИК!$H$14+'ПЛАН ЧЕРН К2'!R50*СПРАВОЧНИК!$I$14+'ПЛАН ЧЕРН К2'!S50*СПРАВОЧНИК!$J$14)+СПРАВОЧНИК!$E$15*('ПЛАН ЧЕРН К2'!T50*СПРАВОЧНИК!$H$15+'ПЛАН ЧЕРН К2'!U50*СПРАВОЧНИК!$I$15+'ПЛАН ЧЕРН К2'!V50*СПРАВОЧНИК!$J$15)+СПРАВОЧНИК!$F$9*('ПЛАН ЧИСТ К2'!B50*СПРАВОЧНИК!$L$9+'ПЛАН ЧИСТ К2'!C50*СПРАВОЧНИК!$M$9+'ПЛАН ЧИСТ К2'!D50*СПРАВОЧНИК!$N$9+'ПЛАН ЧИСТ К2'!E50*СПРАВОЧНИК!$O$9)+СПРАВОЧНИК!$F$10*('ПЛАН ЧИСТ К2'!F50*СПРАВОЧНИК!$L$10+'ПЛАН ЧИСТ К2'!G50*СПРАВОЧНИК!$M$10+'ПЛАН ЧИСТ К2'!H50*СПРАВОЧНИК!$N$10+'ПЛАН ЧИСТ К2'!I50*СПРАВОЧНИК!$O$10)+СПРАВОЧНИК!$F$11*('ПЛАН ЧИСТ К2'!J50*СПРАВОЧНИК!$L$11+'ПЛАН ЧИСТ К2'!K50*СПРАВОЧНИК!$M$11+'ПЛАН ЧИСТ К2'!L50*СПРАВОЧНИК!$N$11)+СПРАВОЧНИК!$F$12*('ПЛАН ЧИСТ К2'!M50*СПРАВОЧНИК!$L$12+'ПЛАН ЧИСТ К2'!N50*СПРАВОЧНИК!$M$12+'ПЛАН ЧИСТ К2'!O50*СПРАВОЧНИК!$N$12+'ПЛАН ЧИСТ К2'!P50*СПРАВОЧНИК!$O$12)+СПРАВОЧНИК!$F$13*('ПЛАН ЧИСТ К2'!Q50*СПРАВОЧНИК!$L$13+'ПЛАН ЧИСТ К2'!R50*СПРАВОЧНИК!$M$13+'ПЛАН ЧИСТ К2'!S50*СПРАВОЧНИК!$N$13+'ПЛАН ЧИСТ К2'!T50*СПРАВОЧНИК!$O$13)+СПРАВОЧНИК!$F$14*('ПЛАН ЧИСТ К2'!U50*СПРАВОЧНИК!$L$14+'ПЛАН ЧИСТ К2'!V50*СПРАВОЧНИК!$M$14+'ПЛАН ЧИСТ К2'!W50*СПРАВОЧНИК!$N$14)+СПРАВОЧНИК!$F$15*('ПЛАН ЧИСТ К2'!X50*СПРАВОЧНИК!$L$15+'ПЛАН ЧИСТ К2'!Y50*СПРАВОЧНИК!$M$15+'ПЛАН ЧИСТ К2'!Z50*СПРАВОЧНИК!$N$15)</f>
        <v/>
      </c>
      <c r="AO59" s="40">
        <f>СПРАВОЧНИК!$E$9*(('ФАКТ ЧЕРН К2'!B50)*СПРАВОЧНИК!$H$9+('ФАКТ ЧЕРН К2'!C50)*СПРАВОЧНИК!$I$9+('ФАКТ ЧЕРН К2'!D50)*СПРАВОЧНИК!$J$9)+СПРАВОЧНИК!$E$10*(('ФАКТ ЧЕРН К2'!E50)*СПРАВОЧНИК!$H$10+('ФАКТ ЧЕРН К2'!F50)*СПРАВОЧНИК!$I$10+('ФАКТ ЧЕРН К2'!G50)*СПРАВОЧНИК!$J$10)+СПРАВОЧНИК!$E$11*(('ФАКТ ЧЕРН К2'!H50)*СПРАВОЧНИК!$H$11+('ФАКТ ЧЕРН К2'!I50)*СПРАВОЧНИК!$I$11+('ФАКТ ЧЕРН К2'!J50)*СПРАВОЧНИК!$J$11)+СПРАВОЧНИК!$E$12*(('ФАКТ ЧЕРН К2'!K50)*СПРАВОЧНИК!$H$12+('ФАКТ ЧЕРН К2'!L50)*СПРАВОЧНИК!$I$12+('ФАКТ ЧЕРН К2'!M50)*СПРАВОЧНИК!$J$12)+СПРАВОЧНИК!$E$13*(('ФАКТ ЧЕРН К2'!N50)*СПРАВОЧНИК!$H$13+('ФАКТ ЧЕРН К2'!O50)*СПРАВОЧНИК!$I$13+('ФАКТ ЧЕРН К2'!P50)*СПРАВОЧНИК!$J$13)+СПРАВОЧНИК!$E$14*(('ФАКТ ЧЕРН К2'!Q50)*СПРАВОЧНИК!$H$14+('ФАКТ ЧЕРН К2'!R50)*СПРАВОЧНИК!$I$14+('ФАКТ ЧЕРН К2'!S50)*СПРАВОЧНИК!$J$14)+СПРАВОЧНИК!$E$15*(('ФАКТ ЧЕРН К2'!T50)*СПРАВОЧНИК!$H$15+('ФАКТ ЧЕРН К2'!U50)*СПРАВОЧНИК!$I$15+('ФАКТ ЧЕРН К2'!V50)*СПРАВОЧНИК!$J$15)+СПРАВОЧНИК!$F$9*(('ФАКТ ЧИСТ К2'!B50)*СПРАВОЧНИК!$L$9+('ФАКТ ЧИСТ К2'!C50)*СПРАВОЧНИК!$M$9+('ФАКТ ЧИСТ К2'!D50)*СПРАВОЧНИК!$N$9+('ФАКТ ЧИСТ К2'!E50)*СПРАВОЧНИК!$O$9)+СПРАВОЧНИК!$F$10*(('ФАКТ ЧИСТ К2'!F50)*СПРАВОЧНИК!$L$10+('ФАКТ ЧИСТ К2'!G50)*СПРАВОЧНИК!$M$10+('ФАКТ ЧИСТ К2'!H50)*СПРАВОЧНИК!$N$10+('ФАКТ ЧИСТ К2'!I50)*СПРАВОЧНИК!$O$10)+СПРАВОЧНИК!$F$11*(('ФАКТ ЧИСТ К2'!J50)*СПРАВОЧНИК!$L$11+('ФАКТ ЧИСТ К2'!K50)*СПРАВОЧНИК!$M$11+('ФАКТ ЧИСТ К2'!L50)*СПРАВОЧНИК!$N$11)+СПРАВОЧНИК!$F$12*(('ФАКТ ЧИСТ К2'!M50)*СПРАВОЧНИК!$L$12+('ФАКТ ЧИСТ К2'!N50)*СПРАВОЧНИК!$M$12+('ФАКТ ЧИСТ К2'!O50)*СПРАВОЧНИК!$N$12+('ФАКТ ЧИСТ К2'!P50)*СПРАВОЧНИК!$O$12)+СПРАВОЧНИК!$F$13*(('ФАКТ ЧИСТ К2'!Q50)*СПРАВОЧНИК!$L$13+('ФАКТ ЧИСТ К2'!R50)*СПРАВОЧНИК!$M$13+('ФАКТ ЧИСТ К2'!S50)*СПРАВОЧНИК!$N$13+('ФАКТ ЧИСТ К2'!T50)*СПРАВОЧНИК!$O$13)+СПРАВОЧНИК!$F$14*(('ФАКТ ЧИСТ К2'!U50)*СПРАВОЧНИК!$L$14+('ФАКТ ЧИСТ К2'!V50)*СПРАВОЧНИК!$M$14+('ФАКТ ЧИСТ К2'!W50)*СПРАВОЧНИК!$N$14)+СПРАВОЧНИК!$F$15*(('ФАКТ ЧИСТ К2'!X50)*СПРАВОЧНИК!$L$15+('ФАКТ ЧИСТ К2'!Y50)*СПРАВОЧНИК!$M$15+('ФАКТ ЧИСТ К2'!Z50)*СПРАВОЧНИК!$N$15)</f>
        <v/>
      </c>
      <c r="AS59" s="18">
        <f>AS58+7</f>
        <v/>
      </c>
      <c r="AT59" s="37">
        <f>'ПЛАН ЧЕРН К2'!B50*СПРАВОЧНИК!$H$9+'ПЛАН ЧЕРН К2'!C50*СПРАВОЧНИК!$I$9+'ПЛАН ЧЕРН К2'!D50*СПРАВОЧНИК!$J$9+'ПЛАН ЧЕРН К2'!E50*СПРАВОЧНИК!$H$10+'ПЛАН ЧЕРН К2'!F50*СПРАВОЧНИК!$I$10+'ПЛАН ЧЕРН К2'!G50*СПРАВОЧНИК!$J$10+'ПЛАН ЧЕРН К2'!H50*СПРАВОЧНИК!$H$11+'ПЛАН ЧЕРН К2'!I50*СПРАВОЧНИК!$I$11+'ПЛАН ЧЕРН К2'!J50*СПРАВОЧНИК!$J$11+'ПЛАН ЧЕРН К2'!K50*СПРАВОЧНИК!$H$12+'ПЛАН ЧЕРН К2'!L50*СПРАВОЧНИК!$I$12+'ПЛАН ЧЕРН К2'!M50*СПРАВОЧНИК!$J$12+'ПЛАН ЧЕРН К2'!N50*СПРАВОЧНИК!$H$13+'ПЛАН ЧЕРН К2'!O50*СПРАВОЧНИК!$I$13+'ПЛАН ЧЕРН К2'!P50*СПРАВОЧНИК!$J$13+'ПЛАН ЧЕРН К2'!Q50*СПРАВОЧНИК!$H$14+'ПЛАН ЧЕРН К2'!R50*СПРАВОЧНИК!$I$14+'ПЛАН ЧЕРН К2'!S50*СПРАВОЧНИК!$J$14+'ПЛАН ЧЕРН К2'!T50*СПРАВОЧНИК!$H$15+'ПЛАН ЧЕРН К2'!U50*СПРАВОЧНИК!$I$15+'ПЛАН ЧЕРН К2'!V50*СПРАВОЧНИК!$J$15</f>
        <v/>
      </c>
      <c r="AU59" s="40">
        <f>('ФАКТ ЧЕРН К2'!B50)*СПРАВОЧНИК!$H$9+('ФАКТ ЧЕРН К2'!C50)*СПРАВОЧНИК!$I$9+('ФАКТ ЧЕРН К2'!D50)*СПРАВОЧНИК!$J$9+('ФАКТ ЧЕРН К2'!E50)*СПРАВОЧНИК!$H$10+('ФАКТ ЧЕРН К2'!F50)*СПРАВОЧНИК!$I$10+('ФАКТ ЧЕРН К2'!G50)*СПРАВОЧНИК!$J$10+('ФАКТ ЧЕРН К2'!H50)*СПРАВОЧНИК!$H$11+('ФАКТ ЧЕРН К2'!I50)*СПРАВОЧНИК!$I$11+('ФАКТ ЧЕРН К2'!J50)*СПРАВОЧНИК!$J$11+('ФАКТ ЧЕРН К2'!K50)*СПРАВОЧНИК!$H$12+('ФАКТ ЧЕРН К2'!L50)*СПРАВОЧНИК!$I$12+('ФАКТ ЧЕРН К2'!M50)*СПРАВОЧНИК!$J$12+('ФАКТ ЧЕРН К2'!N50)*СПРАВОЧНИК!$H$13+('ФАКТ ЧЕРН К2'!O50)*СПРАВОЧНИК!$I$13+('ФАКТ ЧЕРН К2'!P50)*СПРАВОЧНИК!$J$13+('ФАКТ ЧЕРН К2'!Q50)*СПРАВОЧНИК!$H$14+('ФАКТ ЧЕРН К2'!R50)*СПРАВОЧНИК!$I$14+('ФАКТ ЧЕРН К2'!S50)*СПРАВОЧНИК!$J$14+('ФАКТ ЧЕРН К2'!T50)*СПРАВОЧНИК!$H$15+('ФАКТ ЧЕРН К2'!U50)*СПРАВОЧНИК!$I$15+('ФАКТ ЧЕРН К2'!V50)*СПРАВОЧНИК!$J$15</f>
        <v/>
      </c>
      <c r="AY59" s="18">
        <f>AY58+7</f>
        <v/>
      </c>
      <c r="AZ59" s="37">
        <f>'ПЛАН ЧИСТ К2'!B50*СПРАВОЧНИК!$L$9+'ПЛАН ЧИСТ К2'!C50*СПРАВОЧНИК!$M$9+'ПЛАН ЧИСТ К2'!D50*СПРАВОЧНИК!$N$9+'ПЛАН ЧИСТ К2'!E50*СПРАВОЧНИК!$O$9+'ПЛАН ЧИСТ К2'!F50*СПРАВОЧНИК!$L$10+'ПЛАН ЧИСТ К2'!G50*СПРАВОЧНИК!$M$10+'ПЛАН ЧИСТ К2'!H50*СПРАВОЧНИК!$N$10+'ПЛАН ЧИСТ К2'!I50*СПРАВОЧНИК!$O$10+'ПЛАН ЧИСТ К2'!J50*СПРАВОЧНИК!$L$11+'ПЛАН ЧИСТ К2'!K50*СПРАВОЧНИК!$M$11+'ПЛАН ЧИСТ К2'!L50*СПРАВОЧНИК!$N$11+'ПЛАН ЧИСТ К2'!M50*СПРАВОЧНИК!$L$12+'ПЛАН ЧИСТ К2'!N50*СПРАВОЧНИК!$M$12+'ПЛАН ЧИСТ К2'!O50*СПРАВОЧНИК!$N$12+'ПЛАН ЧИСТ К2'!P50*СПРАВОЧНИК!$O$12+'ПЛАН ЧИСТ К2'!Q50*СПРАВОЧНИК!$L$13+'ПЛАН ЧИСТ К2'!R50*СПРАВОЧНИК!$M$13+'ПЛАН ЧИСТ К2'!S50*СПРАВОЧНИК!$N$13+'ПЛАН ЧИСТ К2'!T50*СПРАВОЧНИК!$O$13+'ПЛАН ЧИСТ К2'!U50*СПРАВОЧНИК!$L$14+'ПЛАН ЧИСТ К2'!V50*СПРАВОЧНИК!$M$14+'ПЛАН ЧИСТ К2'!W50*СПРАВОЧНИК!$N$14+'ПЛАН ЧИСТ К2'!X50*СПРАВОЧНИК!$L$15+'ПЛАН ЧИСТ К2'!Y50*СПРАВОЧНИК!$M$15+'ПЛАН ЧИСТ К2'!Z50*СПРАВОЧНИК!$N$15</f>
        <v/>
      </c>
      <c r="BA59" s="40">
        <f>('ФАКТ ЧИСТ К2'!B50)*СПРАВОЧНИК!$L$9+('ФАКТ ЧИСТ К2'!C50)*СПРАВОЧНИК!$M$9+('ФАКТ ЧИСТ К2'!D50)*СПРАВОЧНИК!$N$9+('ФАКТ ЧИСТ К2'!E50)*СПРАВОЧНИК!$O$9+('ФАКТ ЧИСТ К2'!F50)*СПРАВОЧНИК!$L$10+('ФАКТ ЧИСТ К2'!G50)*СПРАВОЧНИК!$M$10+('ФАКТ ЧИСТ К2'!H50)*СПРАВОЧНИК!$N$10+('ФАКТ ЧИСТ К2'!I50)*СПРАВОЧНИК!$O$10+('ФАКТ ЧИСТ К2'!J50)*СПРАВОЧНИК!$L$11+('ФАКТ ЧИСТ К2'!K50)*СПРАВОЧНИК!$M$11+('ФАКТ ЧИСТ К2'!L50)*СПРАВОЧНИК!$N$11+('ФАКТ ЧИСТ К2'!M50)*СПРАВОЧНИК!$L$12+('ФАКТ ЧИСТ К2'!N50)*СПРАВОЧНИК!$M$12+('ФАКТ ЧИСТ К2'!O50)*СПРАВОЧНИК!$N$12+('ФАКТ ЧИСТ К2'!P50)*СПРАВОЧНИК!$O$12+('ФАКТ ЧИСТ К2'!Q50)*СПРАВОЧНИК!$L$13+('ФАКТ ЧИСТ К2'!R50)*СПРАВОЧНИК!$M$13+('ФАКТ ЧИСТ К2'!S50)*СПРАВОЧНИК!$N$13+('ФАКТ ЧИСТ К2'!T50)*СПРАВОЧНИК!$O$13+('ФАКТ ЧИСТ К2'!U50)*СПРАВОЧНИК!$L$14+('ФАКТ ЧИСТ К2'!V50)*СПРАВОЧНИК!$M$14+('ФАКТ ЧИСТ К2'!W50)*СПРАВОЧНИК!$N$14+('ФАКТ ЧИСТ К2'!X50)*СПРАВОЧНИК!$L$15+('ФАКТ ЧИСТ К2'!Y50)*СПРАВОЧНИК!$M$15+('ФАКТ ЧИСТ К2'!Z50)*СПРАВОЧНИК!$N$15</f>
        <v/>
      </c>
      <c r="BE59" s="18">
        <f>BE58+7</f>
        <v/>
      </c>
      <c r="BF59" s="37">
        <f>СПРАВОЧНИК!$E$9*('ПЛАН ЧЕРН К3'!B50*СПРАВОЧНИК!$H$9+'ПЛАН ЧЕРН К3'!C50*СПРАВОЧНИК!$I$9+'ПЛАН ЧЕРН К3'!D50*СПРАВОЧНИК!$J$9)+СПРАВОЧНИК!$E$10*('ПЛАН ЧЕРН К3'!E50*СПРАВОЧНИК!$H$10+'ПЛАН ЧЕРН К3'!F50*СПРАВОЧНИК!$I$10+'ПЛАН ЧЕРН К3'!G50*СПРАВОЧНИК!$J$10)+СПРАВОЧНИК!$E$11*('ПЛАН ЧЕРН К3'!H50*СПРАВОЧНИК!$H$11+'ПЛАН ЧЕРН К3'!I50*СПРАВОЧНИК!$I$11+'ПЛАН ЧЕРН К3'!J50*СПРАВОЧНИК!$J$11)+СПРАВОЧНИК!$E$12*('ПЛАН ЧЕРН К3'!K50*СПРАВОЧНИК!$H$12+'ПЛАН ЧЕРН К3'!L50*СПРАВОЧНИК!$I$12+'ПЛАН ЧЕРН К3'!M50*СПРАВОЧНИК!$J$12)+СПРАВОЧНИК!$E$13*('ПЛАН ЧЕРН К3'!N50*СПРАВОЧНИК!$H$13+'ПЛАН ЧЕРН К3'!O50*СПРАВОЧНИК!$I$13+'ПЛАН ЧЕРН К3'!P50*СПРАВОЧНИК!$J$13)+СПРАВОЧНИК!$E$14*('ПЛАН ЧЕРН К3'!Q50*СПРАВОЧНИК!$H$14+'ПЛАН ЧЕРН К3'!R50*СПРАВОЧНИК!$I$14+'ПЛАН ЧЕРН К3'!S50*СПРАВОЧНИК!$J$14)+СПРАВОЧНИК!$E$15*('ПЛАН ЧЕРН К3'!T50*СПРАВОЧНИК!$H$15+'ПЛАН ЧЕРН К3'!U50*СПРАВОЧНИК!$I$15+'ПЛАН ЧЕРН К3'!V50*СПРАВОЧНИК!$J$15)+СПРАВОЧНИК!$F$9*('ПЛАН ЧИСТ К3'!B50*СПРАВОЧНИК!$L$9+'ПЛАН ЧИСТ К3'!C50*СПРАВОЧНИК!$M$9+'ПЛАН ЧИСТ К3'!D50*СПРАВОЧНИК!$N$9+'ПЛАН ЧИСТ К3'!E50*СПРАВОЧНИК!$O$9)+СПРАВОЧНИК!$F$10*('ПЛАН ЧИСТ К3'!F50*СПРАВОЧНИК!$L$10+'ПЛАН ЧИСТ К3'!G50*СПРАВОЧНИК!$M$10+'ПЛАН ЧИСТ К3'!H50*СПРАВОЧНИК!$N$10+'ПЛАН ЧИСТ К3'!I50*СПРАВОЧНИК!$O$10)+СПРАВОЧНИК!$F$11*('ПЛАН ЧИСТ К3'!J50*СПРАВОЧНИК!$L$11+'ПЛАН ЧИСТ К3'!K50*СПРАВОЧНИК!$M$11+'ПЛАН ЧИСТ К3'!L50*СПРАВОЧНИК!$N$11)+СПРАВОЧНИК!$F$12*('ПЛАН ЧИСТ К3'!M50*СПРАВОЧНИК!$L$12+'ПЛАН ЧИСТ К3'!N50*СПРАВОЧНИК!$M$12+'ПЛАН ЧИСТ К3'!O50*СПРАВОЧНИК!$N$12+'ПЛАН ЧИСТ К3'!P50*СПРАВОЧНИК!$O$12)+СПРАВОЧНИК!$F$13*('ПЛАН ЧИСТ К3'!Q50*СПРАВОЧНИК!$L$13+'ПЛАН ЧИСТ К3'!R50*СПРАВОЧНИК!$M$13+'ПЛАН ЧИСТ К3'!S50*СПРАВОЧНИК!$N$13+'ПЛАН ЧИСТ К3'!T50*СПРАВОЧНИК!$O$13)+СПРАВОЧНИК!$F$14*('ПЛАН ЧИСТ К3'!U50*СПРАВОЧНИК!$L$14+'ПЛАН ЧИСТ К3'!V50*СПРАВОЧНИК!$M$14+'ПЛАН ЧИСТ К3'!W50*СПРАВОЧНИК!$N$14)+СПРАВОЧНИК!$F$15*('ПЛАН ЧИСТ К3'!X50*СПРАВОЧНИК!$L$15+'ПЛАН ЧИСТ К3'!Y50*СПРАВОЧНИК!$M$15+'ПЛАН ЧИСТ К3'!Z50*СПРАВОЧНИК!$N$15)</f>
        <v/>
      </c>
      <c r="BG59" s="40">
        <f>СПРАВОЧНИК!$E$9*(('ФАКТ ЧЕРН К3'!B50)*СПРАВОЧНИК!$H$9+('ФАКТ ЧЕРН К3'!C50)*СПРАВОЧНИК!$I$9+('ФАКТ ЧЕРН К3'!D50)*СПРАВОЧНИК!$J$9)+СПРАВОЧНИК!$E$10*(('ФАКТ ЧЕРН К3'!E50)*СПРАВОЧНИК!$H$10+('ФАКТ ЧЕРН К3'!F50)*СПРАВОЧНИК!$I$10+('ФАКТ ЧЕРН К3'!G50)*СПРАВОЧНИК!$J$10)+СПРАВОЧНИК!$E$11*(('ФАКТ ЧЕРН К3'!H50)*СПРАВОЧНИК!$H$11+('ФАКТ ЧЕРН К3'!I50)*СПРАВОЧНИК!$I$11+('ФАКТ ЧЕРН К3'!J50)*СПРАВОЧНИК!$J$11)+СПРАВОЧНИК!$E$12*(('ФАКТ ЧЕРН К3'!K50)*СПРАВОЧНИК!$H$12+('ФАКТ ЧЕРН К3'!L50)*СПРАВОЧНИК!$I$12+('ФАКТ ЧЕРН К3'!M50)*СПРАВОЧНИК!$J$12)+СПРАВОЧНИК!$E$13*(('ФАКТ ЧЕРН К3'!N50)*СПРАВОЧНИК!$H$13+('ФАКТ ЧЕРН К3'!O50)*СПРАВОЧНИК!$I$13+('ФАКТ ЧЕРН К3'!P50)*СПРАВОЧНИК!$J$13)+СПРАВОЧНИК!$E$14*(('ФАКТ ЧЕРН К3'!Q50)*СПРАВОЧНИК!$H$14+('ФАКТ ЧЕРН К3'!R50)*СПРАВОЧНИК!$I$14+('ФАКТ ЧЕРН К3'!S50)*СПРАВОЧНИК!$J$14)+СПРАВОЧНИК!$E$15*(('ФАКТ ЧЕРН К3'!T50)*СПРАВОЧНИК!$H$15+('ФАКТ ЧЕРН К3'!U50)*СПРАВОЧНИК!$I$15+('ФАКТ ЧЕРН К3'!V50)*СПРАВОЧНИК!$J$15)+СПРАВОЧНИК!$F$9*(('ФАКТ ЧИСТ К3'!B50)*СПРАВОЧНИК!$L$9+('ФАКТ ЧИСТ К3'!C50)*СПРАВОЧНИК!$M$9+('ФАКТ ЧИСТ К3'!D50)*СПРАВОЧНИК!$N$9+('ФАКТ ЧИСТ К3'!E50)*СПРАВОЧНИК!$O$9)+СПРАВОЧНИК!$F$10*(('ФАКТ ЧИСТ К3'!F50)*СПРАВОЧНИК!$L$10+('ФАКТ ЧИСТ К3'!G50)*СПРАВОЧНИК!$M$10+('ФАКТ ЧИСТ К3'!H50)*СПРАВОЧНИК!$N$10+('ФАКТ ЧИСТ К3'!I50)*СПРАВОЧНИК!$O$10)+СПРАВОЧНИК!$F$11*(('ФАКТ ЧИСТ К3'!J50)*СПРАВОЧНИК!$L$11+('ФАКТ ЧИСТ К3'!K50)*СПРАВОЧНИК!$M$11+('ФАКТ ЧИСТ К3'!L50)*СПРАВОЧНИК!$N$11)+СПРАВОЧНИК!$F$12*(('ФАКТ ЧИСТ К3'!M50)*СПРАВОЧНИК!$L$12+('ФАКТ ЧИСТ К3'!N50)*СПРАВОЧНИК!$M$12+('ФАКТ ЧИСТ К3'!O50)*СПРАВОЧНИК!$N$12+('ФАКТ ЧИСТ К3'!P50)*СПРАВОЧНИК!$O$12)+СПРАВОЧНИК!$F$13*(('ФАКТ ЧИСТ К3'!Q50)*СПРАВОЧНИК!$L$13+('ФАКТ ЧИСТ К3'!R50)*СПРАВОЧНИК!$M$13+('ФАКТ ЧИСТ К3'!S50)*СПРАВОЧНИК!$N$13+('ФАКТ ЧИСТ К3'!T50)*СПРАВОЧНИК!$O$13)+СПРАВОЧНИК!$F$14*(('ФАКТ ЧИСТ К3'!U50)*СПРАВОЧНИК!$L$14+('ФАКТ ЧИСТ К3'!V50)*СПРАВОЧНИК!$M$14+('ФАКТ ЧИСТ К3'!W50)*СПРАВОЧНИК!$N$14)+СПРАВОЧНИК!$F$15*(('ФАКТ ЧИСТ К3'!X50)*СПРАВОЧНИК!$L$15+('ФАКТ ЧИСТ К3'!Y50)*СПРАВОЧНИК!$M$15+('ФАКТ ЧИСТ К3'!Z50)*СПРАВОЧНИК!$N$15)</f>
        <v/>
      </c>
      <c r="BK59" s="18">
        <f>BK58+7</f>
        <v/>
      </c>
      <c r="BL59" s="37">
        <f>'ПЛАН ЧЕРН К3'!B50*СПРАВОЧНИК!$H$9+'ПЛАН ЧЕРН К3'!C50*СПРАВОЧНИК!$I$9+'ПЛАН ЧЕРН К3'!D50*СПРАВОЧНИК!$J$9+'ПЛАН ЧЕРН К3'!E50*СПРАВОЧНИК!$H$10+'ПЛАН ЧЕРН К3'!F50*СПРАВОЧНИК!$I$10+'ПЛАН ЧЕРН К3'!G50*СПРАВОЧНИК!$J$10+'ПЛАН ЧЕРН К3'!H50*СПРАВОЧНИК!$H$11+'ПЛАН ЧЕРН К3'!I50*СПРАВОЧНИК!$I$11+'ПЛАН ЧЕРН К3'!J50*СПРАВОЧНИК!$J$11+'ПЛАН ЧЕРН К3'!K50*СПРАВОЧНИК!$H$12+'ПЛАН ЧЕРН К3'!L50*СПРАВОЧНИК!$I$12+'ПЛАН ЧЕРН К3'!M50*СПРАВОЧНИК!$J$12+'ПЛАН ЧЕРН К3'!N50*СПРАВОЧНИК!$H$13+'ПЛАН ЧЕРН К3'!O50*СПРАВОЧНИК!$I$13+'ПЛАН ЧЕРН К3'!P50*СПРАВОЧНИК!$J$13+'ПЛАН ЧЕРН К3'!Q50*СПРАВОЧНИК!$H$14+'ПЛАН ЧЕРН К3'!R50*СПРАВОЧНИК!$I$14+'ПЛАН ЧЕРН К3'!S50*СПРАВОЧНИК!$J$14+'ПЛАН ЧЕРН К3'!T50*СПРАВОЧНИК!$H$15+'ПЛАН ЧЕРН К3'!U50*СПРАВОЧНИК!$I$15+'ПЛАН ЧЕРН К3'!V50*СПРАВОЧНИК!$J$15</f>
        <v/>
      </c>
      <c r="BM59" s="40">
        <f>('ФАКТ ЧЕРН К3'!B50)*СПРАВОЧНИК!$H$9+('ФАКТ ЧЕРН К3'!C50)*СПРАВОЧНИК!$I$9+('ФАКТ ЧЕРН К3'!D50)*СПРАВОЧНИК!$J$9+('ФАКТ ЧЕРН К3'!E50)*СПРАВОЧНИК!$H$10+('ФАКТ ЧЕРН К3'!F50)*СПРАВОЧНИК!$I$10+('ФАКТ ЧЕРН К3'!G50)*СПРАВОЧНИК!$J$10+('ФАКТ ЧЕРН К3'!H50)*СПРАВОЧНИК!$H$11+('ФАКТ ЧЕРН К3'!I50)*СПРАВОЧНИК!$I$11+('ФАКТ ЧЕРН К3'!J50)*СПРАВОЧНИК!$J$11+('ФАКТ ЧЕРН К3'!K50)*СПРАВОЧНИК!$H$12+('ФАКТ ЧЕРН К3'!L50)*СПРАВОЧНИК!$I$12+('ФАКТ ЧЕРН К3'!M50)*СПРАВОЧНИК!$J$12+('ФАКТ ЧЕРН К3'!N50)*СПРАВОЧНИК!$H$13+('ФАКТ ЧЕРН К3'!O50)*СПРАВОЧНИК!$I$13+('ФАКТ ЧЕРН К3'!P50)*СПРАВОЧНИК!$J$13+('ФАКТ ЧЕРН К3'!Q50)*СПРАВОЧНИК!$H$14+('ФАКТ ЧЕРН К3'!R50)*СПРАВОЧНИК!$I$14+('ФАКТ ЧЕРН К3'!S50)*СПРАВОЧНИК!$J$14+('ФАКТ ЧЕРН К3'!T50)*СПРАВОЧНИК!$H$15+('ФАКТ ЧЕРН К3'!U50)*СПРАВОЧНИК!$I$15+('ФАКТ ЧЕРН К3'!V50)*СПРАВОЧНИК!$J$15</f>
        <v/>
      </c>
      <c r="BQ59" s="18">
        <f>BQ58+7</f>
        <v/>
      </c>
      <c r="BR59" s="37">
        <f>'ПЛАН ЧИСТ К3'!B50*СПРАВОЧНИК!$L$9+'ПЛАН ЧИСТ К3'!C50*СПРАВОЧНИК!$M$9+'ПЛАН ЧИСТ К3'!D50*СПРАВОЧНИК!$N$9+'ПЛАН ЧИСТ К3'!E50*СПРАВОЧНИК!$O$9+'ПЛАН ЧИСТ К3'!F50*СПРАВОЧНИК!$L$10+'ПЛАН ЧИСТ К3'!G50*СПРАВОЧНИК!$M$10+'ПЛАН ЧИСТ К3'!H50*СПРАВОЧНИК!$N$10+'ПЛАН ЧИСТ К3'!I50*СПРАВОЧНИК!$O$10+'ПЛАН ЧИСТ К3'!J50*СПРАВОЧНИК!$L$11+'ПЛАН ЧИСТ К3'!K50*СПРАВОЧНИК!$M$11+'ПЛАН ЧИСТ К3'!L50*СПРАВОЧНИК!$N$11+'ПЛАН ЧИСТ К3'!M50*СПРАВОЧНИК!$L$12+'ПЛАН ЧИСТ К3'!N50*СПРАВОЧНИК!$M$12+'ПЛАН ЧИСТ К3'!O50*СПРАВОЧНИК!$N$12+'ПЛАН ЧИСТ К3'!P50*СПРАВОЧНИК!$O$12+'ПЛАН ЧИСТ К3'!Q50*СПРАВОЧНИК!$L$13+'ПЛАН ЧИСТ К3'!R50*СПРАВОЧНИК!$M$13+'ПЛАН ЧИСТ К3'!S50*СПРАВОЧНИК!$N$13+'ПЛАН ЧИСТ К3'!T50*СПРАВОЧНИК!$O$13+'ПЛАН ЧИСТ К3'!U50*СПРАВОЧНИК!$L$14+'ПЛАН ЧИСТ К3'!V50*СПРАВОЧНИК!$M$14+'ПЛАН ЧИСТ К3'!W50*СПРАВОЧНИК!$N$14+'ПЛАН ЧИСТ К3'!X50*СПРАВОЧНИК!$L$15+'ПЛАН ЧИСТ К3'!Y50*СПРАВОЧНИК!$M$15+'ПЛАН ЧИСТ К3'!Z50*СПРАВОЧНИК!$N$15</f>
        <v/>
      </c>
      <c r="BS59" s="40">
        <f>('ФАКТ ЧИСТ К3'!B50)*СПРАВОЧНИК!$L$9+('ФАКТ ЧИСТ К3'!C50)*СПРАВОЧНИК!$M$9+('ФАКТ ЧИСТ К3'!D50)*СПРАВОЧНИК!$N$9+('ФАКТ ЧИСТ К3'!E50)*СПРАВОЧНИК!$O$9+('ФАКТ ЧИСТ К3'!F50)*СПРАВОЧНИК!$L$10+('ФАКТ ЧИСТ К3'!G50)*СПРАВОЧНИК!$M$10+('ФАКТ ЧИСТ К3'!H50)*СПРАВОЧНИК!$N$10+('ФАКТ ЧИСТ К3'!I50)*СПРАВОЧНИК!$O$10+('ФАКТ ЧИСТ К3'!J50)*СПРАВОЧНИК!$L$11+('ФАКТ ЧИСТ К3'!K50)*СПРАВОЧНИК!$M$11+('ФАКТ ЧИСТ К3'!L50)*СПРАВОЧНИК!$N$11+('ФАКТ ЧИСТ К3'!M50)*СПРАВОЧНИК!$L$12+('ФАКТ ЧИСТ К3'!N50)*СПРАВОЧНИК!$M$12+('ФАКТ ЧИСТ К3'!O50)*СПРАВОЧНИК!$N$12+('ФАКТ ЧИСТ К3'!P50)*СПРАВОЧНИК!$O$12+('ФАКТ ЧИСТ К3'!Q50)*СПРАВОЧНИК!$L$13+('ФАКТ ЧИСТ К3'!R50)*СПРАВОЧНИК!$M$13+('ФАКТ ЧИСТ К3'!S50)*СПРАВОЧНИК!$N$13+('ФАКТ ЧИСТ К3'!T50)*СПРАВОЧНИК!$O$13+('ФАКТ ЧИСТ К3'!U50)*СПРАВОЧНИК!$L$14+('ФАКТ ЧИСТ К3'!V50)*СПРАВОЧНИК!$M$14+('ФАКТ ЧИСТ К3'!W50)*СПРАВОЧНИК!$N$14+('ФАКТ ЧИСТ К3'!X50)*СПРАВОЧНИК!$L$15+('ФАКТ ЧИСТ К3'!Y50)*СПРАВОЧНИК!$M$15+('ФАКТ ЧИСТ К3'!Z50)*СПРАВОЧНИК!$N$15</f>
        <v/>
      </c>
      <c r="BW59" s="18">
        <f>BW58+7</f>
        <v/>
      </c>
      <c r="BX59" s="37">
        <f>V59+AN59+BF59</f>
        <v/>
      </c>
      <c r="BY59" s="40">
        <f>W59+AO59+BG59</f>
        <v/>
      </c>
      <c r="CC59" s="18">
        <f>CC58+7</f>
        <v/>
      </c>
      <c r="CD59" s="37">
        <f>AB59+AT59+BL59</f>
        <v/>
      </c>
      <c r="CE59" s="40">
        <f>AC59+AU59+BM59</f>
        <v/>
      </c>
      <c r="CI59" s="18">
        <f>CI58+7</f>
        <v/>
      </c>
      <c r="CJ59" s="37">
        <f>AH59+AZ59+BR59</f>
        <v/>
      </c>
      <c r="CK59" s="40">
        <f>AI59+BA59+BS59</f>
        <v/>
      </c>
      <c r="CO59" s="18">
        <f>CO58+7</f>
        <v/>
      </c>
      <c r="CP59" s="37">
        <f>D59+BX59</f>
        <v/>
      </c>
      <c r="CQ59" s="40">
        <f>E59+BY59</f>
        <v/>
      </c>
      <c r="CU59" s="18">
        <f>CU58+7</f>
        <v/>
      </c>
      <c r="CV59" s="37">
        <f>J59+CD59</f>
        <v/>
      </c>
      <c r="CW59" s="40">
        <f>K59+CE59</f>
        <v/>
      </c>
      <c r="DA59" s="18">
        <f>DA58+7</f>
        <v/>
      </c>
      <c r="DB59" s="37">
        <f>P59+CJ59</f>
        <v/>
      </c>
      <c r="DC59" s="40">
        <f>Q59+CK59</f>
        <v/>
      </c>
    </row>
    <row r="60">
      <c r="C60" s="18">
        <f>C59+7</f>
        <v/>
      </c>
      <c r="D60" s="37">
        <f>СПРАВОЧНИК!$E$3*('ПЛАН ЧЕРН ПОДЗЕМ'!B51*СПРАВОЧНИК!$H$3+'ПЛАН ЧЕРН ПОДЗЕМ'!C51*СПРАВОЧНИК!$I$3+'ПЛАН ЧЕРН ПОДЗЕМ'!D51*СПРАВОЧНИК!$J$3)+СПРАВОЧНИК!$E$4*('ПЛАН ЧЕРН ПОДЗЕМ'!E51*СПРАВОЧНИК!$H$4+'ПЛАН ЧЕРН ПОДЗЕМ'!F51*СПРАВОЧНИК!$I$4+'ПЛАН ЧЕРН ПОДЗЕМ'!G51*СПРАВОЧНИК!$J$4)+СПРАВОЧНИК!$E$5*('ПЛАН ЧЕРН ПОДЗЕМ'!H51*СПРАВОЧНИК!$H$5+'ПЛАН ЧЕРН ПОДЗЕМ'!I51*СПРАВОЧНИК!$I$5+'ПЛАН ЧЕРН ПОДЗЕМ'!J51*СПРАВОЧНИК!$J$5)+СПРАВОЧНИК!$E$6*('ПЛАН ЧЕРН ПОДЗЕМ'!K51*СПРАВОЧНИК!$H$6+'ПЛАН ЧЕРН ПОДЗЕМ'!L51*СПРАВОЧНИК!$I$6+'ПЛАН ЧЕРН ПОДЗЕМ'!M51*СПРАВОЧНИК!$J$6)+СПРАВОЧНИК!$E$7*('ПЛАН ЧЕРН ПОДЗЕМ'!N51*СПРАВОЧНИК!$H$7+'ПЛАН ЧЕРН ПОДЗЕМ'!O51*СПРАВОЧНИК!$I$7+'ПЛАН ЧЕРН ПОДЗЕМ'!P51*СПРАВОЧНИК!$J$7)+СПРАВОЧНИК!$E$8*('ПЛАН ЧЕРН ПОДЗЕМ'!Q51*СПРАВОЧНИК!$H$8+'ПЛАН ЧЕРН ПОДЗЕМ'!R51*СПРАВОЧНИК!$I$8+'ПЛАН ЧЕРН ПОДЗЕМ'!S51*СПРАВОЧНИК!$J$8)+СПРАВОЧНИК!$F$3*('ПЛАН ЧИСТ ПОДЗЕМ'!B51*СПРАВОЧНИК!$L$3+'ПЛАН ЧИСТ ПОДЗЕМ'!C51*СПРАВОЧНИК!$M$3+'ПЛАН ЧИСТ ПОДЗЕМ'!D51*СПРАВОЧНИК!$N$3+'ПЛАН ЧИСТ ПОДЗЕМ'!E51*СПРАВОЧНИК!$O$3)+СПРАВОЧНИК!$F$4*('ПЛАН ЧИСТ ПОДЗЕМ'!F51*СПРАВОЧНИК!$L$4+'ПЛАН ЧИСТ ПОДЗЕМ'!G51*СПРАВОЧНИК!$M$4+'ПЛАН ЧИСТ ПОДЗЕМ'!H51*СПРАВОЧНИК!$N$4+'ПЛАН ЧИСТ ПОДЗЕМ'!I51*СПРАВОЧНИК!$O$4)+СПРАВОЧНИК!$F$5*('ПЛАН ЧИСТ ПОДЗЕМ'!J51*СПРАВОЧНИК!$L$5+'ПЛАН ЧИСТ ПОДЗЕМ'!K51*СПРАВОЧНИК!$M$5+'ПЛАН ЧИСТ ПОДЗЕМ'!L51*СПРАВОЧНИК!$N$5)+СПРАВОЧНИК!$F$6*('ПЛАН ЧИСТ ПОДЗЕМ'!M51*СПРАВОЧНИК!$L$6+'ПЛАН ЧИСТ ПОДЗЕМ'!N51*СПРАВОЧНИК!$M$6+'ПЛАН ЧИСТ ПОДЗЕМ'!O51*СПРАВОЧНИК!$N$6+'ПЛАН ЧИСТ ПОДЗЕМ'!P51*СПРАВОЧНИК!$O$6)+СПРАВОЧНИК!$F$7*('ПЛАН ЧИСТ ПОДЗЕМ'!Q51*СПРАВОЧНИК!$L$7+'ПЛАН ЧИСТ ПОДЗЕМ'!R51*СПРАВОЧНИК!$M$7+'ПЛАН ЧИСТ ПОДЗЕМ'!S51*СПРАВОЧНИК!$N$7+'ПЛАН ЧИСТ ПОДЗЕМ'!T51*СПРАВОЧНИК!$O$7)+СПРАВОЧНИК!$F$8*('ПЛАН ЧИСТ ПОДЗЕМ'!U51*СПРАВОЧНИК!$L$8+'ПЛАН ЧИСТ ПОДЗЕМ'!V51*СПРАВОЧНИК!$M$8+'ПЛАН ЧИСТ ПОДЗЕМ'!W51*СПРАВОЧНИК!$N$8)</f>
        <v/>
      </c>
      <c r="E60" s="40">
        <f>СПРАВОЧНИК!$E$3*(('ФАКТ ЧЕРН ПОДЗЕМ'!B51)*СПРАВОЧНИК!$H$3+('ФАКТ ЧЕРН ПОДЗЕМ'!C51)*СПРАВОЧНИК!$I$3+('ФАКТ ЧЕРН ПОДЗЕМ'!D51)*СПРАВОЧНИК!$J$3)+СПРАВОЧНИК!$E$4*(('ФАКТ ЧЕРН ПОДЗЕМ'!E51)*СПРАВОЧНИК!$H$4+('ФАКТ ЧЕРН ПОДЗЕМ'!F51)*СПРАВОЧНИК!$I$4+('ФАКТ ЧЕРН ПОДЗЕМ'!G51)*СПРАВОЧНИК!$J$4)+СПРАВОЧНИК!$E$5*(('ФАКТ ЧЕРН ПОДЗЕМ'!H51)*СПРАВОЧНИК!$H$5+('ФАКТ ЧЕРН ПОДЗЕМ'!I51)*СПРАВОЧНИК!$I$5+('ФАКТ ЧЕРН ПОДЗЕМ'!J51)*СПРАВОЧНИК!$J$5)+СПРАВОЧНИК!$E$6*(('ФАКТ ЧЕРН ПОДЗЕМ'!K51)*СПРАВОЧНИК!$H$6+('ФАКТ ЧЕРН ПОДЗЕМ'!L51)*СПРАВОЧНИК!$I$6+('ФАКТ ЧЕРН ПОДЗЕМ'!M51)*СПРАВОЧНИК!$J$6)+СПРАВОЧНИК!$E$7*(('ФАКТ ЧЕРН ПОДЗЕМ'!N51)*СПРАВОЧНИК!$H$7+('ФАКТ ЧЕРН ПОДЗЕМ'!O51)*СПРАВОЧНИК!$I$7+('ФАКТ ЧЕРН ПОДЗЕМ'!P51)*СПРАВОЧНИК!$J$7)+СПРАВОЧНИК!$E$8*(('ФАКТ ЧЕРН ПОДЗЕМ'!Q51)*СПРАВОЧНИК!$H$8+('ФАКТ ЧЕРН ПОДЗЕМ'!R51)*СПРАВОЧНИК!$I$8+('ФАКТ ЧЕРН ПОДЗЕМ'!S51)*СПРАВОЧНИК!$J$8)+СПРАВОЧНИК!$F$3*(('ФАКТ ЧИСТ ПОДЗЕМ'!B51)*СПРАВОЧНИК!$L$3+('ФАКТ ЧИСТ ПОДЗЕМ'!C51)*СПРАВОЧНИК!$M$3+('ФАКТ ЧИСТ ПОДЗЕМ'!D51)*СПРАВОЧНИК!$N$3+('ФАКТ ЧИСТ ПОДЗЕМ'!E51)*СПРАВОЧНИК!$O$3)+СПРАВОЧНИК!$F$4*(('ФАКТ ЧИСТ ПОДЗЕМ'!F51)*СПРАВОЧНИК!$L$4+('ФАКТ ЧИСТ ПОДЗЕМ'!G51)*СПРАВОЧНИК!$M$4+('ФАКТ ЧИСТ ПОДЗЕМ'!H51)*СПРАВОЧНИК!$N$4+('ФАКТ ЧИСТ ПОДЗЕМ'!I51)*СПРАВОЧНИК!$O$4)+СПРАВОЧНИК!$F$5*(('ФАКТ ЧИСТ ПОДЗЕМ'!J51)*СПРАВОЧНИК!$L$5+('ФАКТ ЧИСТ ПОДЗЕМ'!K51)*СПРАВОЧНИК!$M$5+('ФАКТ ЧИСТ ПОДЗЕМ'!L51)*СПРАВОЧНИК!$N$5)+СПРАВОЧНИК!$F$6*(('ФАКТ ЧИСТ ПОДЗЕМ'!M51)*СПРАВОЧНИК!$L$6+('ФАКТ ЧИСТ ПОДЗЕМ'!N51)*СПРАВОЧНИК!$M$6+('ФАКТ ЧИСТ ПОДЗЕМ'!O51)*СПРАВОЧНИК!$N$6+('ФАКТ ЧИСТ ПОДЗЕМ'!P51)*СПРАВОЧНИК!$O$6)+СПРАВОЧНИК!$F$7*(('ФАКТ ЧИСТ ПОДЗЕМ'!Q51)*СПРАВОЧНИК!$L$7+('ФАКТ ЧИСТ ПОДЗЕМ'!R51)*СПРАВОЧНИК!$M$7+('ФАКТ ЧИСТ ПОДЗЕМ'!S51)*СПРАВОЧНИК!$N$7+('ФАКТ ЧИСТ ПОДЗЕМ'!T51)*СПРАВОЧНИК!$O$7)+СПРАВОЧНИК!$F$8*(('ФАКТ ЧИСТ ПОДЗЕМ'!U51)*СПРАВОЧНИК!$L$8+('ФАКТ ЧИСТ ПОДЗЕМ'!V51)*СПРАВОЧНИК!$M$8+('ФАКТ ЧИСТ ПОДЗЕМ'!W51)*СПРАВОЧНИК!$N$8)</f>
        <v/>
      </c>
      <c r="I60" s="18">
        <f>I59+7</f>
        <v/>
      </c>
      <c r="J60" s="37">
        <f>'ПЛАН ЧЕРН ПОДЗЕМ'!B51*СПРАВОЧНИК!$H$3+'ПЛАН ЧЕРН ПОДЗЕМ'!C51*СПРАВОЧНИК!$I$3+'ПЛАН ЧЕРН ПОДЗЕМ'!D51*СПРАВОЧНИК!$J$3+'ПЛАН ЧЕРН ПОДЗЕМ'!E51*СПРАВОЧНИК!$H$4+'ПЛАН ЧЕРН ПОДЗЕМ'!F51*СПРАВОЧНИК!$I$4+'ПЛАН ЧЕРН ПОДЗЕМ'!G51*СПРАВОЧНИК!$J$4+'ПЛАН ЧЕРН ПОДЗЕМ'!H51*СПРАВОЧНИК!$H$5+'ПЛАН ЧЕРН ПОДЗЕМ'!I51*СПРАВОЧНИК!$I$5+'ПЛАН ЧЕРН ПОДЗЕМ'!J51*СПРАВОЧНИК!$J$5+'ПЛАН ЧЕРН ПОДЗЕМ'!K51*СПРАВОЧНИК!$H$6+'ПЛАН ЧЕРН ПОДЗЕМ'!L51*СПРАВОЧНИК!$I$6+'ПЛАН ЧЕРН ПОДЗЕМ'!M51*СПРАВОЧНИК!$J$6+'ПЛАН ЧЕРН ПОДЗЕМ'!N51*СПРАВОЧНИК!$H$7+'ПЛАН ЧЕРН ПОДЗЕМ'!O51*СПРАВОЧНИК!$I$7+'ПЛАН ЧЕРН ПОДЗЕМ'!P51*СПРАВОЧНИК!$J$7+'ПЛАН ЧЕРН ПОДЗЕМ'!Q51*СПРАВОЧНИК!$H$8+'ПЛАН ЧЕРН ПОДЗЕМ'!R51*СПРАВОЧНИК!$I$8+'ПЛАН ЧЕРН ПОДЗЕМ'!S51*СПРАВОЧНИК!$J$8</f>
        <v/>
      </c>
      <c r="K60" s="40">
        <f>('ФАКТ ЧЕРН ПОДЗЕМ'!B51)*СПРАВОЧНИК!$H$3+('ФАКТ ЧЕРН ПОДЗЕМ'!C51)*СПРАВОЧНИК!$I$3+('ФАКТ ЧЕРН ПОДЗЕМ'!D51)*СПРАВОЧНИК!$J$3+('ФАКТ ЧЕРН ПОДЗЕМ'!E51)*СПРАВОЧНИК!$H$4+('ФАКТ ЧЕРН ПОДЗЕМ'!F51)*СПРАВОЧНИК!$I$4+('ФАКТ ЧЕРН ПОДЗЕМ'!G51)*СПРАВОЧНИК!$J$4+('ФАКТ ЧЕРН ПОДЗЕМ'!H51)*СПРАВОЧНИК!$H$5+('ФАКТ ЧЕРН ПОДЗЕМ'!I51)*СПРАВОЧНИК!$I$5+('ФАКТ ЧЕРН ПОДЗЕМ'!J51)*СПРАВОЧНИК!$J$5+('ФАКТ ЧЕРН ПОДЗЕМ'!K51)*СПРАВОЧНИК!$H$6+('ФАКТ ЧЕРН ПОДЗЕМ'!L51)*СПРАВОЧНИК!$I$6+('ФАКТ ЧЕРН ПОДЗЕМ'!M51)*СПРАВОЧНИК!$J$6+('ФАКТ ЧЕРН ПОДЗЕМ'!N51)*СПРАВОЧНИК!$H$7+('ФАКТ ЧЕРН ПОДЗЕМ'!O51)*СПРАВОЧНИК!$I$7+('ФАКТ ЧЕРН ПОДЗЕМ'!P51)*СПРАВОЧНИК!$J$7+('ФАКТ ЧЕРН ПОДЗЕМ'!Q51)*СПРАВОЧНИК!$H$8+('ФАКТ ЧЕРН ПОДЗЕМ'!R51)*СПРАВОЧНИК!$I$8+('ФАКТ ЧЕРН ПОДЗЕМ'!S51)*СПРАВОЧНИК!$J$8</f>
        <v/>
      </c>
      <c r="O60" s="18">
        <f>O59+7</f>
        <v/>
      </c>
      <c r="P60" s="37">
        <f>'ПЛАН ЧИСТ ПОДЗЕМ'!B51*СПРАВОЧНИК!$L$3+'ПЛАН ЧИСТ ПОДЗЕМ'!C51*СПРАВОЧНИК!$M$3+'ПЛАН ЧИСТ ПОДЗЕМ'!D51*СПРАВОЧНИК!$N$3+'ПЛАН ЧИСТ ПОДЗЕМ'!E51*СПРАВОЧНИК!$O$3+'ПЛАН ЧИСТ ПОДЗЕМ'!F51*СПРАВОЧНИК!$L$4+'ПЛАН ЧИСТ ПОДЗЕМ'!G51*СПРАВОЧНИК!$M$4+'ПЛАН ЧИСТ ПОДЗЕМ'!H51*СПРАВОЧНИК!$N$4+'ПЛАН ЧИСТ ПОДЗЕМ'!I51*СПРАВОЧНИК!$O$4+'ПЛАН ЧИСТ ПОДЗЕМ'!J51*СПРАВОЧНИК!$L$5+'ПЛАН ЧИСТ ПОДЗЕМ'!K51*СПРАВОЧНИК!$M$5+'ПЛАН ЧИСТ ПОДЗЕМ'!L51*СПРАВОЧНИК!$N$5+'ПЛАН ЧИСТ ПОДЗЕМ'!M51*СПРАВОЧНИК!$L$6+'ПЛАН ЧИСТ ПОДЗЕМ'!N51*СПРАВОЧНИК!$M$6+'ПЛАН ЧИСТ ПОДЗЕМ'!O51*СПРАВОЧНИК!$N$6+'ПЛАН ЧИСТ ПОДЗЕМ'!P51*СПРАВОЧНИК!$O$6+'ПЛАН ЧИСТ ПОДЗЕМ'!Q51*СПРАВОЧНИК!$L$7+'ПЛАН ЧИСТ ПОДЗЕМ'!R51*СПРАВОЧНИК!$M$7+'ПЛАН ЧИСТ ПОДЗЕМ'!S51*СПРАВОЧНИК!$N$7+'ПЛАН ЧИСТ ПОДЗЕМ'!T51*СПРАВОЧНИК!$O$7+'ПЛАН ЧИСТ ПОДЗЕМ'!U51*СПРАВОЧНИК!$L$8+'ПЛАН ЧИСТ ПОДЗЕМ'!V51*СПРАВОЧНИК!$M$8+'ПЛАН ЧИСТ ПОДЗЕМ'!W51*СПРАВОЧНИК!$N$8</f>
        <v/>
      </c>
      <c r="Q60" s="40">
        <f>('ФАКТ ЧИСТ ПОДЗЕМ'!B51)*СПРАВОЧНИК!$L$3+('ФАКТ ЧИСТ ПОДЗЕМ'!C51)*СПРАВОЧНИК!$M$3+('ФАКТ ЧИСТ ПОДЗЕМ'!D51)*СПРАВОЧНИК!$N$3+('ФАКТ ЧИСТ ПОДЗЕМ'!E51)*СПРАВОЧНИК!$O$3+('ФАКТ ЧИСТ ПОДЗЕМ'!F51)*СПРАВОЧНИК!$L$4+('ФАКТ ЧИСТ ПОДЗЕМ'!G51)*СПРАВОЧНИК!$M$4+('ФАКТ ЧИСТ ПОДЗЕМ'!H51)*СПРАВОЧНИК!$N$4+('ФАКТ ЧИСТ ПОДЗЕМ'!I51)*СПРАВОЧНИК!$O$4+('ФАКТ ЧИСТ ПОДЗЕМ'!J51)*СПРАВОЧНИК!$L$5+('ФАКТ ЧИСТ ПОДЗЕМ'!K51)*СПРАВОЧНИК!$M$5+('ФАКТ ЧИСТ ПОДЗЕМ'!L51)*СПРАВОЧНИК!$N$5+('ФАКТ ЧИСТ ПОДЗЕМ'!M51)*СПРАВОЧНИК!$L$6+('ФАКТ ЧИСТ ПОДЗЕМ'!N51)*СПРАВОЧНИК!$M$6+('ФАКТ ЧИСТ ПОДЗЕМ'!O51)*СПРАВОЧНИК!$N$6+('ФАКТ ЧИСТ ПОДЗЕМ'!P51)*СПРАВОЧНИК!$O$6+('ФАКТ ЧИСТ ПОДЗЕМ'!Q51)*СПРАВОЧНИК!$L$7+('ФАКТ ЧИСТ ПОДЗЕМ'!R51)*СПРАВОЧНИК!$M$7+('ФАКТ ЧИСТ ПОДЗЕМ'!S51)*СПРАВОЧНИК!$N$7+('ФАКТ ЧИСТ ПОДЗЕМ'!T51)*СПРАВОЧНИК!$O$7+('ФАКТ ЧИСТ ПОДЗЕМ'!U51)*СПРАВОЧНИК!$L$8+('ФАКТ ЧИСТ ПОДЗЕМ'!V51)*СПРАВОЧНИК!$M$8+('ФАКТ ЧИСТ ПОДЗЕМ'!W51)*СПРАВОЧНИК!$N$8</f>
        <v/>
      </c>
      <c r="U60" s="18">
        <f>U59+7</f>
        <v/>
      </c>
      <c r="V60" s="37">
        <f>СПРАВОЧНИК!$E$9*('ПЛАН ЧЕРН К1'!B51*СПРАВОЧНИК!$H$9+'ПЛАН ЧЕРН К1'!C51*СПРАВОЧНИК!$I$9+'ПЛАН ЧЕРН К1'!D51*СПРАВОЧНИК!$J$9)+СПРАВОЧНИК!$E$10*('ПЛАН ЧЕРН К1'!E51*СПРАВОЧНИК!$H$10+'ПЛАН ЧЕРН К1'!F51*СПРАВОЧНИК!$I$10+'ПЛАН ЧЕРН К1'!G51*СПРАВОЧНИК!$J$10)+СПРАВОЧНИК!$E$11*('ПЛАН ЧЕРН К1'!H51*СПРАВОЧНИК!$H$11+'ПЛАН ЧЕРН К1'!I51*СПРАВОЧНИК!$I$11+'ПЛАН ЧЕРН К1'!J51*СПРАВОЧНИК!$J$11)+СПРАВОЧНИК!$E$12*('ПЛАН ЧЕРН К1'!K51*СПРАВОЧНИК!$H$12+'ПЛАН ЧЕРН К1'!L51*СПРАВОЧНИК!$I$12+'ПЛАН ЧЕРН К1'!M51*СПРАВОЧНИК!$J$12)+СПРАВОЧНИК!$E$13*('ПЛАН ЧЕРН К1'!N51*СПРАВОЧНИК!$H$13+'ПЛАН ЧЕРН К1'!O51*СПРАВОЧНИК!$I$13+'ПЛАН ЧЕРН К1'!P51*СПРАВОЧНИК!$J$13)+СПРАВОЧНИК!$E$14*('ПЛАН ЧЕРН К1'!Q51*СПРАВОЧНИК!$H$14+'ПЛАН ЧЕРН К1'!R51*СПРАВОЧНИК!$I$14+'ПЛАН ЧЕРН К1'!S51*СПРАВОЧНИК!$J$14)+СПРАВОЧНИК!$E$15*('ПЛАН ЧЕРН К1'!T51*СПРАВОЧНИК!$H$15+'ПЛАН ЧЕРН К1'!U51*СПРАВОЧНИК!$I$15+'ПЛАН ЧЕРН К1'!V51*СПРАВОЧНИК!$J$15)+СПРАВОЧНИК!$F$9*('ПЛАН ЧИСТ К1'!B51*СПРАВОЧНИК!$L$9+'ПЛАН ЧИСТ К1'!C51*СПРАВОЧНИК!$M$9+'ПЛАН ЧИСТ К1'!D51*СПРАВОЧНИК!$N$9+'ПЛАН ЧИСТ К1'!E51*СПРАВОЧНИК!$O$9)+СПРАВОЧНИК!$F$10*('ПЛАН ЧИСТ К1'!F51*СПРАВОЧНИК!$L$10+'ПЛАН ЧИСТ К1'!G51*СПРАВОЧНИК!$M$10+'ПЛАН ЧИСТ К1'!H51*СПРАВОЧНИК!$N$10+'ПЛАН ЧИСТ К1'!I51*СПРАВОЧНИК!$O$10)+СПРАВОЧНИК!$F$11*('ПЛАН ЧИСТ К1'!J51*СПРАВОЧНИК!$L$11+'ПЛАН ЧИСТ К1'!K51*СПРАВОЧНИК!$M$11+'ПЛАН ЧИСТ К1'!L51*СПРАВОЧНИК!$N$11)+СПРАВОЧНИК!$F$12*('ПЛАН ЧИСТ К1'!M51*СПРАВОЧНИК!$L$12+'ПЛАН ЧИСТ К1'!N51*СПРАВОЧНИК!$M$12+'ПЛАН ЧИСТ К1'!O51*СПРАВОЧНИК!$N$12+'ПЛАН ЧИСТ К1'!P51*СПРАВОЧНИК!$O$12)+СПРАВОЧНИК!$F$13*('ПЛАН ЧИСТ К1'!Q51*СПРАВОЧНИК!$L$13+'ПЛАН ЧИСТ К1'!R51*СПРАВОЧНИК!$M$13+'ПЛАН ЧИСТ К1'!S51*СПРАВОЧНИК!$N$13+'ПЛАН ЧИСТ К1'!T51*СПРАВОЧНИК!$O$13)+СПРАВОЧНИК!$F$14*('ПЛАН ЧИСТ К1'!U51*СПРАВОЧНИК!$L$14+'ПЛАН ЧИСТ К1'!V51*СПРАВОЧНИК!$M$14+'ПЛАН ЧИСТ К1'!W51*СПРАВОЧНИК!$N$14)+СПРАВОЧНИК!$F$15*('ПЛАН ЧИСТ К1'!X51*СПРАВОЧНИК!$L$15+'ПЛАН ЧИСТ К1'!Y51*СПРАВОЧНИК!$M$15+'ПЛАН ЧИСТ К1'!Z51*СПРАВОЧНИК!$N$15)</f>
        <v/>
      </c>
      <c r="W60" s="40">
        <f>СПРАВОЧНИК!$E$9*(('ФАКТ ЧЕРН К1'!B51)*СПРАВОЧНИК!$H$9+('ФАКТ ЧЕРН К1'!C51)*СПРАВОЧНИК!$I$9+('ФАКТ ЧЕРН К1'!D51)*СПРАВОЧНИК!$J$9)+СПРАВОЧНИК!$E$10*(('ФАКТ ЧЕРН К1'!E51)*СПРАВОЧНИК!$H$10+('ФАКТ ЧЕРН К1'!F51)*СПРАВОЧНИК!$I$10+('ФАКТ ЧЕРН К1'!G51)*СПРАВОЧНИК!$J$10)+СПРАВОЧНИК!$E$11*(('ФАКТ ЧЕРН К1'!H51)*СПРАВОЧНИК!$H$11+('ФАКТ ЧЕРН К1'!I51)*СПРАВОЧНИК!$I$11+('ФАКТ ЧЕРН К1'!J51)*СПРАВОЧНИК!$J$11)+СПРАВОЧНИК!$E$12*(('ФАКТ ЧЕРН К1'!K51)*СПРАВОЧНИК!$H$12+('ФАКТ ЧЕРН К1'!L51)*СПРАВОЧНИК!$I$12+('ФАКТ ЧЕРН К1'!M51)*СПРАВОЧНИК!$J$12)+СПРАВОЧНИК!$E$13*(('ФАКТ ЧЕРН К1'!N51)*СПРАВОЧНИК!$H$13+('ФАКТ ЧЕРН К1'!O51)*СПРАВОЧНИК!$I$13+('ФАКТ ЧЕРН К1'!P51)*СПРАВОЧНИК!$J$13)+СПРАВОЧНИК!$E$14*(('ФАКТ ЧЕРН К1'!Q51)*СПРАВОЧНИК!$H$14+('ФАКТ ЧЕРН К1'!R51)*СПРАВОЧНИК!$I$14+('ФАКТ ЧЕРН К1'!S51)*СПРАВОЧНИК!$J$14)+СПРАВОЧНИК!$E$15*(('ФАКТ ЧЕРН К1'!T51)*СПРАВОЧНИК!$H$15+('ФАКТ ЧЕРН К1'!U51)*СПРАВОЧНИК!$I$15+('ФАКТ ЧЕРН К1'!V51)*СПРАВОЧНИК!$J$15)+СПРАВОЧНИК!$F$9*(('ФАКТ ЧИСТ К1'!B51)*СПРАВОЧНИК!$L$9+('ФАКТ ЧИСТ К1'!C51)*СПРАВОЧНИК!$M$9+('ФАКТ ЧИСТ К1'!D51)*СПРАВОЧНИК!$N$9+('ФАКТ ЧИСТ К1'!E51)*СПРАВОЧНИК!$O$9)+СПРАВОЧНИК!$F$10*(('ФАКТ ЧИСТ К1'!F51)*СПРАВОЧНИК!$L$10+('ФАКТ ЧИСТ К1'!G51)*СПРАВОЧНИК!$M$10+('ФАКТ ЧИСТ К1'!H51)*СПРАВОЧНИК!$N$10+('ФАКТ ЧИСТ К1'!I51)*СПРАВОЧНИК!$O$10)+СПРАВОЧНИК!$F$11*(('ФАКТ ЧИСТ К1'!J51)*СПРАВОЧНИК!$L$11+('ФАКТ ЧИСТ К1'!K51)*СПРАВОЧНИК!$M$11+('ФАКТ ЧИСТ К1'!L51)*СПРАВОЧНИК!$N$11)+СПРАВОЧНИК!$F$12*(('ФАКТ ЧИСТ К1'!M51)*СПРАВОЧНИК!$L$12+('ФАКТ ЧИСТ К1'!N51)*СПРАВОЧНИК!$M$12+('ФАКТ ЧИСТ К1'!O51)*СПРАВОЧНИК!$N$12+('ФАКТ ЧИСТ К1'!P51)*СПРАВОЧНИК!$O$12)+СПРАВОЧНИК!$F$13*(('ФАКТ ЧИСТ К1'!Q51)*СПРАВОЧНИК!$L$13+('ФАКТ ЧИСТ К1'!R51)*СПРАВОЧНИК!$M$13+('ФАКТ ЧИСТ К1'!S51)*СПРАВОЧНИК!$N$13+('ФАКТ ЧИСТ К1'!T51)*СПРАВОЧНИК!$O$13)+СПРАВОЧНИК!$F$14*(('ФАКТ ЧИСТ К1'!U51)*СПРАВОЧНИК!$L$14+('ФАКТ ЧИСТ К1'!V51)*СПРАВОЧНИК!$M$14+('ФАКТ ЧИСТ К1'!W51)*СПРАВОЧНИК!$N$14)+СПРАВОЧНИК!$F$15*(('ФАКТ ЧИСТ К1'!X51)*СПРАВОЧНИК!$L$15+('ФАКТ ЧИСТ К1'!Y51)*СПРАВОЧНИК!$M$15+('ФАКТ ЧИСТ К1'!Z51)*СПРАВОЧНИК!$N$15)</f>
        <v/>
      </c>
      <c r="AA60" s="18">
        <f>AA59+7</f>
        <v/>
      </c>
      <c r="AB60" s="37">
        <f>'ПЛАН ЧЕРН К1'!B51*СПРАВОЧНИК!$H$9+'ПЛАН ЧЕРН К1'!C51*СПРАВОЧНИК!$I$9+'ПЛАН ЧЕРН К1'!D51*СПРАВОЧНИК!$J$9+'ПЛАН ЧЕРН К1'!E51*СПРАВОЧНИК!$H$10+'ПЛАН ЧЕРН К1'!F51*СПРАВОЧНИК!$I$10+'ПЛАН ЧЕРН К1'!G51*СПРАВОЧНИК!$J$10+'ПЛАН ЧЕРН К1'!H51*СПРАВОЧНИК!$H$11+'ПЛАН ЧЕРН К1'!I51*СПРАВОЧНИК!$I$11+'ПЛАН ЧЕРН К1'!J51*СПРАВОЧНИК!$J$11+'ПЛАН ЧЕРН К1'!K51*СПРАВОЧНИК!$H$12+'ПЛАН ЧЕРН К1'!L51*СПРАВОЧНИК!$I$12+'ПЛАН ЧЕРН К1'!M51*СПРАВОЧНИК!$J$12+'ПЛАН ЧЕРН К1'!N51*СПРАВОЧНИК!$H$13+'ПЛАН ЧЕРН К1'!O51*СПРАВОЧНИК!$I$13+'ПЛАН ЧЕРН К1'!P51*СПРАВОЧНИК!$J$13+'ПЛАН ЧЕРН К1'!Q51*СПРАВОЧНИК!$H$14+'ПЛАН ЧЕРН К1'!R51*СПРАВОЧНИК!$I$14+'ПЛАН ЧЕРН К1'!S51*СПРАВОЧНИК!$J$14+'ПЛАН ЧЕРН К1'!T51*СПРАВОЧНИК!$H$15+'ПЛАН ЧЕРН К1'!U51*СПРАВОЧНИК!$I$15+'ПЛАН ЧЕРН К1'!V51*СПРАВОЧНИК!$J$15</f>
        <v/>
      </c>
      <c r="AC60" s="40">
        <f>('ФАКТ ЧЕРН К1'!B51)*СПРАВОЧНИК!$H$9+('ФАКТ ЧЕРН К1'!C51)*СПРАВОЧНИК!$I$9+('ФАКТ ЧЕРН К1'!D51)*СПРАВОЧНИК!$J$9+('ФАКТ ЧЕРН К1'!E51)*СПРАВОЧНИК!$H$10+('ФАКТ ЧЕРН К1'!F51)*СПРАВОЧНИК!$I$10+('ФАКТ ЧЕРН К1'!G51)*СПРАВОЧНИК!$J$10+('ФАКТ ЧЕРН К1'!H51)*СПРАВОЧНИК!$H$11+('ФАКТ ЧЕРН К1'!I51)*СПРАВОЧНИК!$I$11+('ФАКТ ЧЕРН К1'!J51)*СПРАВОЧНИК!$J$11+('ФАКТ ЧЕРН К1'!K51)*СПРАВОЧНИК!$H$12+('ФАКТ ЧЕРН К1'!L51)*СПРАВОЧНИК!$I$12+('ФАКТ ЧЕРН К1'!M51)*СПРАВОЧНИК!$J$12+('ФАКТ ЧЕРН К1'!N51)*СПРАВОЧНИК!$H$13+('ФАКТ ЧЕРН К1'!O51)*СПРАВОЧНИК!$I$13+('ФАКТ ЧЕРН К1'!P51)*СПРАВОЧНИК!$J$13+('ФАКТ ЧЕРН К1'!Q51)*СПРАВОЧНИК!$H$14+('ФАКТ ЧЕРН К1'!R51)*СПРАВОЧНИК!$I$14+('ФАКТ ЧЕРН К1'!S51)*СПРАВОЧНИК!$J$14+('ФАКТ ЧЕРН К1'!T51)*СПРАВОЧНИК!$H$15+('ФАКТ ЧЕРН К1'!U51)*СПРАВОЧНИК!$I$15+('ФАКТ ЧЕРН К1'!V51)*СПРАВОЧНИК!$J$15</f>
        <v/>
      </c>
      <c r="AG60" s="18">
        <f>AG59+7</f>
        <v/>
      </c>
      <c r="AH60" s="37">
        <f>'ПЛАН ЧИСТ К1'!B51*СПРАВОЧНИК!$L$9+'ПЛАН ЧИСТ К1'!C51*СПРАВОЧНИК!$M$9+'ПЛАН ЧИСТ К1'!D51*СПРАВОЧНИК!$N$9+'ПЛАН ЧИСТ К1'!E51*СПРАВОЧНИК!$O$9+'ПЛАН ЧИСТ К1'!F51*СПРАВОЧНИК!$L$10+'ПЛАН ЧИСТ К1'!G51*СПРАВОЧНИК!$M$10+'ПЛАН ЧИСТ К1'!H51*СПРАВОЧНИК!$N$10+'ПЛАН ЧИСТ К1'!I51*СПРАВОЧНИК!$O$10+'ПЛАН ЧИСТ К1'!J51*СПРАВОЧНИК!$L$11+'ПЛАН ЧИСТ К1'!K51*СПРАВОЧНИК!$M$11+'ПЛАН ЧИСТ К1'!L51*СПРАВОЧНИК!$N$11+'ПЛАН ЧИСТ К1'!M51*СПРАВОЧНИК!$L$12+'ПЛАН ЧИСТ К1'!N51*СПРАВОЧНИК!$M$12+'ПЛАН ЧИСТ К1'!O51*СПРАВОЧНИК!$N$12+'ПЛАН ЧИСТ К1'!P51*СПРАВОЧНИК!$O$12+'ПЛАН ЧИСТ К1'!Q51*СПРАВОЧНИК!$L$13+'ПЛАН ЧИСТ К1'!R51*СПРАВОЧНИК!$M$13+'ПЛАН ЧИСТ К1'!S51*СПРАВОЧНИК!$N$13+'ПЛАН ЧИСТ К1'!T51*СПРАВОЧНИК!$O$13+'ПЛАН ЧИСТ К1'!U51*СПРАВОЧНИК!$L$14+'ПЛАН ЧИСТ К1'!V51*СПРАВОЧНИК!$M$14+'ПЛАН ЧИСТ К1'!W51*СПРАВОЧНИК!$N$14+'ПЛАН ЧИСТ К1'!X51*СПРАВОЧНИК!$L$15+'ПЛАН ЧИСТ К1'!Y51*СПРАВОЧНИК!$M$15+'ПЛАН ЧИСТ К1'!Z51*СПРАВОЧНИК!$N$15</f>
        <v/>
      </c>
      <c r="AI60" s="40">
        <f>('ФАКТ ЧИСТ К1'!B51)*СПРАВОЧНИК!$L$9+('ФАКТ ЧИСТ К1'!C51)*СПРАВОЧНИК!$M$9+('ФАКТ ЧИСТ К1'!D51)*СПРАВОЧНИК!$N$9+('ФАКТ ЧИСТ К1'!E51)*СПРАВОЧНИК!$O$9+('ФАКТ ЧИСТ К1'!F51)*СПРАВОЧНИК!$L$10+('ФАКТ ЧИСТ К1'!G51)*СПРАВОЧНИК!$M$10+('ФАКТ ЧИСТ К1'!H51)*СПРАВОЧНИК!$N$10+('ФАКТ ЧИСТ К1'!I51)*СПРАВОЧНИК!$O$10+('ФАКТ ЧИСТ К1'!J51)*СПРАВОЧНИК!$L$11+('ФАКТ ЧИСТ К1'!K51)*СПРАВОЧНИК!$M$11+('ФАКТ ЧИСТ К1'!L51)*СПРАВОЧНИК!$N$11+('ФАКТ ЧИСТ К1'!M51)*СПРАВОЧНИК!$L$12+('ФАКТ ЧИСТ К1'!N51)*СПРАВОЧНИК!$M$12+('ФАКТ ЧИСТ К1'!O51)*СПРАВОЧНИК!$N$12+('ФАКТ ЧИСТ К1'!P51)*СПРАВОЧНИК!$O$12+('ФАКТ ЧИСТ К1'!Q51)*СПРАВОЧНИК!$L$13+('ФАКТ ЧИСТ К1'!R51)*СПРАВОЧНИК!$M$13+('ФАКТ ЧИСТ К1'!S51)*СПРАВОЧНИК!$N$13+('ФАКТ ЧИСТ К1'!T51)*СПРАВОЧНИК!$O$13+('ФАКТ ЧИСТ К1'!U51)*СПРАВОЧНИК!$L$14+('ФАКТ ЧИСТ К1'!V51)*СПРАВОЧНИК!$M$14+('ФАКТ ЧИСТ К1'!W51)*СПРАВОЧНИК!$N$14+('ФАКТ ЧИСТ К1'!X51)*СПРАВОЧНИК!$L$15+('ФАКТ ЧИСТ К1'!Y51)*СПРАВОЧНИК!$M$15+('ФАКТ ЧИСТ К1'!Z51)*СПРАВОЧНИК!$N$15</f>
        <v/>
      </c>
      <c r="AM60" s="18">
        <f>AM59+7</f>
        <v/>
      </c>
      <c r="AN60" s="37">
        <f>СПРАВОЧНИК!$E$9*('ПЛАН ЧЕРН К2'!B51*СПРАВОЧНИК!$H$9+'ПЛАН ЧЕРН К2'!C51*СПРАВОЧНИК!$I$9+'ПЛАН ЧЕРН К2'!D51*СПРАВОЧНИК!$J$9)+СПРАВОЧНИК!$E$10*('ПЛАН ЧЕРН К2'!E51*СПРАВОЧНИК!$H$10+'ПЛАН ЧЕРН К2'!F51*СПРАВОЧНИК!$I$10+'ПЛАН ЧЕРН К2'!G51*СПРАВОЧНИК!$J$10)+СПРАВОЧНИК!$E$11*('ПЛАН ЧЕРН К2'!H51*СПРАВОЧНИК!$H$11+'ПЛАН ЧЕРН К2'!I51*СПРАВОЧНИК!$I$11+'ПЛАН ЧЕРН К2'!J51*СПРАВОЧНИК!$J$11)+СПРАВОЧНИК!$E$12*('ПЛАН ЧЕРН К2'!K51*СПРАВОЧНИК!$H$12+'ПЛАН ЧЕРН К2'!L51*СПРАВОЧНИК!$I$12+'ПЛАН ЧЕРН К2'!M51*СПРАВОЧНИК!$J$12)+СПРАВОЧНИК!$E$13*('ПЛАН ЧЕРН К2'!N51*СПРАВОЧНИК!$H$13+'ПЛАН ЧЕРН К2'!O51*СПРАВОЧНИК!$I$13+'ПЛАН ЧЕРН К2'!P51*СПРАВОЧНИК!$J$13)+СПРАВОЧНИК!$E$14*('ПЛАН ЧЕРН К2'!Q51*СПРАВОЧНИК!$H$14+'ПЛАН ЧЕРН К2'!R51*СПРАВОЧНИК!$I$14+'ПЛАН ЧЕРН К2'!S51*СПРАВОЧНИК!$J$14)+СПРАВОЧНИК!$E$15*('ПЛАН ЧЕРН К2'!T51*СПРАВОЧНИК!$H$15+'ПЛАН ЧЕРН К2'!U51*СПРАВОЧНИК!$I$15+'ПЛАН ЧЕРН К2'!V51*СПРАВОЧНИК!$J$15)+СПРАВОЧНИК!$F$9*('ПЛАН ЧИСТ К2'!B51*СПРАВОЧНИК!$L$9+'ПЛАН ЧИСТ К2'!C51*СПРАВОЧНИК!$M$9+'ПЛАН ЧИСТ К2'!D51*СПРАВОЧНИК!$N$9+'ПЛАН ЧИСТ К2'!E51*СПРАВОЧНИК!$O$9)+СПРАВОЧНИК!$F$10*('ПЛАН ЧИСТ К2'!F51*СПРАВОЧНИК!$L$10+'ПЛАН ЧИСТ К2'!G51*СПРАВОЧНИК!$M$10+'ПЛАН ЧИСТ К2'!H51*СПРАВОЧНИК!$N$10+'ПЛАН ЧИСТ К2'!I51*СПРАВОЧНИК!$O$10)+СПРАВОЧНИК!$F$11*('ПЛАН ЧИСТ К2'!J51*СПРАВОЧНИК!$L$11+'ПЛАН ЧИСТ К2'!K51*СПРАВОЧНИК!$M$11+'ПЛАН ЧИСТ К2'!L51*СПРАВОЧНИК!$N$11)+СПРАВОЧНИК!$F$12*('ПЛАН ЧИСТ К2'!M51*СПРАВОЧНИК!$L$12+'ПЛАН ЧИСТ К2'!N51*СПРАВОЧНИК!$M$12+'ПЛАН ЧИСТ К2'!O51*СПРАВОЧНИК!$N$12+'ПЛАН ЧИСТ К2'!P51*СПРАВОЧНИК!$O$12)+СПРАВОЧНИК!$F$13*('ПЛАН ЧИСТ К2'!Q51*СПРАВОЧНИК!$L$13+'ПЛАН ЧИСТ К2'!R51*СПРАВОЧНИК!$M$13+'ПЛАН ЧИСТ К2'!S51*СПРАВОЧНИК!$N$13+'ПЛАН ЧИСТ К2'!T51*СПРАВОЧНИК!$O$13)+СПРАВОЧНИК!$F$14*('ПЛАН ЧИСТ К2'!U51*СПРАВОЧНИК!$L$14+'ПЛАН ЧИСТ К2'!V51*СПРАВОЧНИК!$M$14+'ПЛАН ЧИСТ К2'!W51*СПРАВОЧНИК!$N$14)+СПРАВОЧНИК!$F$15*('ПЛАН ЧИСТ К2'!X51*СПРАВОЧНИК!$L$15+'ПЛАН ЧИСТ К2'!Y51*СПРАВОЧНИК!$M$15+'ПЛАН ЧИСТ К2'!Z51*СПРАВОЧНИК!$N$15)</f>
        <v/>
      </c>
      <c r="AO60" s="40">
        <f>СПРАВОЧНИК!$E$9*(('ФАКТ ЧЕРН К2'!B51)*СПРАВОЧНИК!$H$9+('ФАКТ ЧЕРН К2'!C51)*СПРАВОЧНИК!$I$9+('ФАКТ ЧЕРН К2'!D51)*СПРАВОЧНИК!$J$9)+СПРАВОЧНИК!$E$10*(('ФАКТ ЧЕРН К2'!E51)*СПРАВОЧНИК!$H$10+('ФАКТ ЧЕРН К2'!F51)*СПРАВОЧНИК!$I$10+('ФАКТ ЧЕРН К2'!G51)*СПРАВОЧНИК!$J$10)+СПРАВОЧНИК!$E$11*(('ФАКТ ЧЕРН К2'!H51)*СПРАВОЧНИК!$H$11+('ФАКТ ЧЕРН К2'!I51)*СПРАВОЧНИК!$I$11+('ФАКТ ЧЕРН К2'!J51)*СПРАВОЧНИК!$J$11)+СПРАВОЧНИК!$E$12*(('ФАКТ ЧЕРН К2'!K51)*СПРАВОЧНИК!$H$12+('ФАКТ ЧЕРН К2'!L51)*СПРАВОЧНИК!$I$12+('ФАКТ ЧЕРН К2'!M51)*СПРАВОЧНИК!$J$12)+СПРАВОЧНИК!$E$13*(('ФАКТ ЧЕРН К2'!N51)*СПРАВОЧНИК!$H$13+('ФАКТ ЧЕРН К2'!O51)*СПРАВОЧНИК!$I$13+('ФАКТ ЧЕРН К2'!P51)*СПРАВОЧНИК!$J$13)+СПРАВОЧНИК!$E$14*(('ФАКТ ЧЕРН К2'!Q51)*СПРАВОЧНИК!$H$14+('ФАКТ ЧЕРН К2'!R51)*СПРАВОЧНИК!$I$14+('ФАКТ ЧЕРН К2'!S51)*СПРАВОЧНИК!$J$14)+СПРАВОЧНИК!$E$15*(('ФАКТ ЧЕРН К2'!T51)*СПРАВОЧНИК!$H$15+('ФАКТ ЧЕРН К2'!U51)*СПРАВОЧНИК!$I$15+('ФАКТ ЧЕРН К2'!V51)*СПРАВОЧНИК!$J$15)+СПРАВОЧНИК!$F$9*(('ФАКТ ЧИСТ К2'!B51)*СПРАВОЧНИК!$L$9+('ФАКТ ЧИСТ К2'!C51)*СПРАВОЧНИК!$M$9+('ФАКТ ЧИСТ К2'!D51)*СПРАВОЧНИК!$N$9+('ФАКТ ЧИСТ К2'!E51)*СПРАВОЧНИК!$O$9)+СПРАВОЧНИК!$F$10*(('ФАКТ ЧИСТ К2'!F51)*СПРАВОЧНИК!$L$10+('ФАКТ ЧИСТ К2'!G51)*СПРАВОЧНИК!$M$10+('ФАКТ ЧИСТ К2'!H51)*СПРАВОЧНИК!$N$10+('ФАКТ ЧИСТ К2'!I51)*СПРАВОЧНИК!$O$10)+СПРАВОЧНИК!$F$11*(('ФАКТ ЧИСТ К2'!J51)*СПРАВОЧНИК!$L$11+('ФАКТ ЧИСТ К2'!K51)*СПРАВОЧНИК!$M$11+('ФАКТ ЧИСТ К2'!L51)*СПРАВОЧНИК!$N$11)+СПРАВОЧНИК!$F$12*(('ФАКТ ЧИСТ К2'!M51)*СПРАВОЧНИК!$L$12+('ФАКТ ЧИСТ К2'!N51)*СПРАВОЧНИК!$M$12+('ФАКТ ЧИСТ К2'!O51)*СПРАВОЧНИК!$N$12+('ФАКТ ЧИСТ К2'!P51)*СПРАВОЧНИК!$O$12)+СПРАВОЧНИК!$F$13*(('ФАКТ ЧИСТ К2'!Q51)*СПРАВОЧНИК!$L$13+('ФАКТ ЧИСТ К2'!R51)*СПРАВОЧНИК!$M$13+('ФАКТ ЧИСТ К2'!S51)*СПРАВОЧНИК!$N$13+('ФАКТ ЧИСТ К2'!T51)*СПРАВОЧНИК!$O$13)+СПРАВОЧНИК!$F$14*(('ФАКТ ЧИСТ К2'!U51)*СПРАВОЧНИК!$L$14+('ФАКТ ЧИСТ К2'!V51)*СПРАВОЧНИК!$M$14+('ФАКТ ЧИСТ К2'!W51)*СПРАВОЧНИК!$N$14)+СПРАВОЧНИК!$F$15*(('ФАКТ ЧИСТ К2'!X51)*СПРАВОЧНИК!$L$15+('ФАКТ ЧИСТ К2'!Y51)*СПРАВОЧНИК!$M$15+('ФАКТ ЧИСТ К2'!Z51)*СПРАВОЧНИК!$N$15)</f>
        <v/>
      </c>
      <c r="AS60" s="18">
        <f>AS59+7</f>
        <v/>
      </c>
      <c r="AT60" s="37">
        <f>'ПЛАН ЧЕРН К2'!B51*СПРАВОЧНИК!$H$9+'ПЛАН ЧЕРН К2'!C51*СПРАВОЧНИК!$I$9+'ПЛАН ЧЕРН К2'!D51*СПРАВОЧНИК!$J$9+'ПЛАН ЧЕРН К2'!E51*СПРАВОЧНИК!$H$10+'ПЛАН ЧЕРН К2'!F51*СПРАВОЧНИК!$I$10+'ПЛАН ЧЕРН К2'!G51*СПРАВОЧНИК!$J$10+'ПЛАН ЧЕРН К2'!H51*СПРАВОЧНИК!$H$11+'ПЛАН ЧЕРН К2'!I51*СПРАВОЧНИК!$I$11+'ПЛАН ЧЕРН К2'!J51*СПРАВОЧНИК!$J$11+'ПЛАН ЧЕРН К2'!K51*СПРАВОЧНИК!$H$12+'ПЛАН ЧЕРН К2'!L51*СПРАВОЧНИК!$I$12+'ПЛАН ЧЕРН К2'!M51*СПРАВОЧНИК!$J$12+'ПЛАН ЧЕРН К2'!N51*СПРАВОЧНИК!$H$13+'ПЛАН ЧЕРН К2'!O51*СПРАВОЧНИК!$I$13+'ПЛАН ЧЕРН К2'!P51*СПРАВОЧНИК!$J$13+'ПЛАН ЧЕРН К2'!Q51*СПРАВОЧНИК!$H$14+'ПЛАН ЧЕРН К2'!R51*СПРАВОЧНИК!$I$14+'ПЛАН ЧЕРН К2'!S51*СПРАВОЧНИК!$J$14+'ПЛАН ЧЕРН К2'!T51*СПРАВОЧНИК!$H$15+'ПЛАН ЧЕРН К2'!U51*СПРАВОЧНИК!$I$15+'ПЛАН ЧЕРН К2'!V51*СПРАВОЧНИК!$J$15</f>
        <v/>
      </c>
      <c r="AU60" s="40">
        <f>('ФАКТ ЧЕРН К2'!B51)*СПРАВОЧНИК!$H$9+('ФАКТ ЧЕРН К2'!C51)*СПРАВОЧНИК!$I$9+('ФАКТ ЧЕРН К2'!D51)*СПРАВОЧНИК!$J$9+('ФАКТ ЧЕРН К2'!E51)*СПРАВОЧНИК!$H$10+('ФАКТ ЧЕРН К2'!F51)*СПРАВОЧНИК!$I$10+('ФАКТ ЧЕРН К2'!G51)*СПРАВОЧНИК!$J$10+('ФАКТ ЧЕРН К2'!H51)*СПРАВОЧНИК!$H$11+('ФАКТ ЧЕРН К2'!I51)*СПРАВОЧНИК!$I$11+('ФАКТ ЧЕРН К2'!J51)*СПРАВОЧНИК!$J$11+('ФАКТ ЧЕРН К2'!K51)*СПРАВОЧНИК!$H$12+('ФАКТ ЧЕРН К2'!L51)*СПРАВОЧНИК!$I$12+('ФАКТ ЧЕРН К2'!M51)*СПРАВОЧНИК!$J$12+('ФАКТ ЧЕРН К2'!N51)*СПРАВОЧНИК!$H$13+('ФАКТ ЧЕРН К2'!O51)*СПРАВОЧНИК!$I$13+('ФАКТ ЧЕРН К2'!P51)*СПРАВОЧНИК!$J$13+('ФАКТ ЧЕРН К2'!Q51)*СПРАВОЧНИК!$H$14+('ФАКТ ЧЕРН К2'!R51)*СПРАВОЧНИК!$I$14+('ФАКТ ЧЕРН К2'!S51)*СПРАВОЧНИК!$J$14+('ФАКТ ЧЕРН К2'!T51)*СПРАВОЧНИК!$H$15+('ФАКТ ЧЕРН К2'!U51)*СПРАВОЧНИК!$I$15+('ФАКТ ЧЕРН К2'!V51)*СПРАВОЧНИК!$J$15</f>
        <v/>
      </c>
      <c r="AY60" s="18">
        <f>AY59+7</f>
        <v/>
      </c>
      <c r="AZ60" s="37">
        <f>'ПЛАН ЧИСТ К2'!B51*СПРАВОЧНИК!$L$9+'ПЛАН ЧИСТ К2'!C51*СПРАВОЧНИК!$M$9+'ПЛАН ЧИСТ К2'!D51*СПРАВОЧНИК!$N$9+'ПЛАН ЧИСТ К2'!E51*СПРАВОЧНИК!$O$9+'ПЛАН ЧИСТ К2'!F51*СПРАВОЧНИК!$L$10+'ПЛАН ЧИСТ К2'!G51*СПРАВОЧНИК!$M$10+'ПЛАН ЧИСТ К2'!H51*СПРАВОЧНИК!$N$10+'ПЛАН ЧИСТ К2'!I51*СПРАВОЧНИК!$O$10+'ПЛАН ЧИСТ К2'!J51*СПРАВОЧНИК!$L$11+'ПЛАН ЧИСТ К2'!K51*СПРАВОЧНИК!$M$11+'ПЛАН ЧИСТ К2'!L51*СПРАВОЧНИК!$N$11+'ПЛАН ЧИСТ К2'!M51*СПРАВОЧНИК!$L$12+'ПЛАН ЧИСТ К2'!N51*СПРАВОЧНИК!$M$12+'ПЛАН ЧИСТ К2'!O51*СПРАВОЧНИК!$N$12+'ПЛАН ЧИСТ К2'!P51*СПРАВОЧНИК!$O$12+'ПЛАН ЧИСТ К2'!Q51*СПРАВОЧНИК!$L$13+'ПЛАН ЧИСТ К2'!R51*СПРАВОЧНИК!$M$13+'ПЛАН ЧИСТ К2'!S51*СПРАВОЧНИК!$N$13+'ПЛАН ЧИСТ К2'!T51*СПРАВОЧНИК!$O$13+'ПЛАН ЧИСТ К2'!U51*СПРАВОЧНИК!$L$14+'ПЛАН ЧИСТ К2'!V51*СПРАВОЧНИК!$M$14+'ПЛАН ЧИСТ К2'!W51*СПРАВОЧНИК!$N$14+'ПЛАН ЧИСТ К2'!X51*СПРАВОЧНИК!$L$15+'ПЛАН ЧИСТ К2'!Y51*СПРАВОЧНИК!$M$15+'ПЛАН ЧИСТ К2'!Z51*СПРАВОЧНИК!$N$15</f>
        <v/>
      </c>
      <c r="BA60" s="40">
        <f>('ФАКТ ЧИСТ К2'!B51)*СПРАВОЧНИК!$L$9+('ФАКТ ЧИСТ К2'!C51)*СПРАВОЧНИК!$M$9+('ФАКТ ЧИСТ К2'!D51)*СПРАВОЧНИК!$N$9+('ФАКТ ЧИСТ К2'!E51)*СПРАВОЧНИК!$O$9+('ФАКТ ЧИСТ К2'!F51)*СПРАВОЧНИК!$L$10+('ФАКТ ЧИСТ К2'!G51)*СПРАВОЧНИК!$M$10+('ФАКТ ЧИСТ К2'!H51)*СПРАВОЧНИК!$N$10+('ФАКТ ЧИСТ К2'!I51)*СПРАВОЧНИК!$O$10+('ФАКТ ЧИСТ К2'!J51)*СПРАВОЧНИК!$L$11+('ФАКТ ЧИСТ К2'!K51)*СПРАВОЧНИК!$M$11+('ФАКТ ЧИСТ К2'!L51)*СПРАВОЧНИК!$N$11+('ФАКТ ЧИСТ К2'!M51)*СПРАВОЧНИК!$L$12+('ФАКТ ЧИСТ К2'!N51)*СПРАВОЧНИК!$M$12+('ФАКТ ЧИСТ К2'!O51)*СПРАВОЧНИК!$N$12+('ФАКТ ЧИСТ К2'!P51)*СПРАВОЧНИК!$O$12+('ФАКТ ЧИСТ К2'!Q51)*СПРАВОЧНИК!$L$13+('ФАКТ ЧИСТ К2'!R51)*СПРАВОЧНИК!$M$13+('ФАКТ ЧИСТ К2'!S51)*СПРАВОЧНИК!$N$13+('ФАКТ ЧИСТ К2'!T51)*СПРАВОЧНИК!$O$13+('ФАКТ ЧИСТ К2'!U51)*СПРАВОЧНИК!$L$14+('ФАКТ ЧИСТ К2'!V51)*СПРАВОЧНИК!$M$14+('ФАКТ ЧИСТ К2'!W51)*СПРАВОЧНИК!$N$14+('ФАКТ ЧИСТ К2'!X51)*СПРАВОЧНИК!$L$15+('ФАКТ ЧИСТ К2'!Y51)*СПРАВОЧНИК!$M$15+('ФАКТ ЧИСТ К2'!Z51)*СПРАВОЧНИК!$N$15</f>
        <v/>
      </c>
      <c r="BE60" s="18">
        <f>BE59+7</f>
        <v/>
      </c>
      <c r="BF60" s="37">
        <f>СПРАВОЧНИК!$E$9*('ПЛАН ЧЕРН К3'!B51*СПРАВОЧНИК!$H$9+'ПЛАН ЧЕРН К3'!C51*СПРАВОЧНИК!$I$9+'ПЛАН ЧЕРН К3'!D51*СПРАВОЧНИК!$J$9)+СПРАВОЧНИК!$E$10*('ПЛАН ЧЕРН К3'!E51*СПРАВОЧНИК!$H$10+'ПЛАН ЧЕРН К3'!F51*СПРАВОЧНИК!$I$10+'ПЛАН ЧЕРН К3'!G51*СПРАВОЧНИК!$J$10)+СПРАВОЧНИК!$E$11*('ПЛАН ЧЕРН К3'!H51*СПРАВОЧНИК!$H$11+'ПЛАН ЧЕРН К3'!I51*СПРАВОЧНИК!$I$11+'ПЛАН ЧЕРН К3'!J51*СПРАВОЧНИК!$J$11)+СПРАВОЧНИК!$E$12*('ПЛАН ЧЕРН К3'!K51*СПРАВОЧНИК!$H$12+'ПЛАН ЧЕРН К3'!L51*СПРАВОЧНИК!$I$12+'ПЛАН ЧЕРН К3'!M51*СПРАВОЧНИК!$J$12)+СПРАВОЧНИК!$E$13*('ПЛАН ЧЕРН К3'!N51*СПРАВОЧНИК!$H$13+'ПЛАН ЧЕРН К3'!O51*СПРАВОЧНИК!$I$13+'ПЛАН ЧЕРН К3'!P51*СПРАВОЧНИК!$J$13)+СПРАВОЧНИК!$E$14*('ПЛАН ЧЕРН К3'!Q51*СПРАВОЧНИК!$H$14+'ПЛАН ЧЕРН К3'!R51*СПРАВОЧНИК!$I$14+'ПЛАН ЧЕРН К3'!S51*СПРАВОЧНИК!$J$14)+СПРАВОЧНИК!$E$15*('ПЛАН ЧЕРН К3'!T51*СПРАВОЧНИК!$H$15+'ПЛАН ЧЕРН К3'!U51*СПРАВОЧНИК!$I$15+'ПЛАН ЧЕРН К3'!V51*СПРАВОЧНИК!$J$15)+СПРАВОЧНИК!$F$9*('ПЛАН ЧИСТ К3'!B51*СПРАВОЧНИК!$L$9+'ПЛАН ЧИСТ К3'!C51*СПРАВОЧНИК!$M$9+'ПЛАН ЧИСТ К3'!D51*СПРАВОЧНИК!$N$9+'ПЛАН ЧИСТ К3'!E51*СПРАВОЧНИК!$O$9)+СПРАВОЧНИК!$F$10*('ПЛАН ЧИСТ К3'!F51*СПРАВОЧНИК!$L$10+'ПЛАН ЧИСТ К3'!G51*СПРАВОЧНИК!$M$10+'ПЛАН ЧИСТ К3'!H51*СПРАВОЧНИК!$N$10+'ПЛАН ЧИСТ К3'!I51*СПРАВОЧНИК!$O$10)+СПРАВОЧНИК!$F$11*('ПЛАН ЧИСТ К3'!J51*СПРАВОЧНИК!$L$11+'ПЛАН ЧИСТ К3'!K51*СПРАВОЧНИК!$M$11+'ПЛАН ЧИСТ К3'!L51*СПРАВОЧНИК!$N$11)+СПРАВОЧНИК!$F$12*('ПЛАН ЧИСТ К3'!M51*СПРАВОЧНИК!$L$12+'ПЛАН ЧИСТ К3'!N51*СПРАВОЧНИК!$M$12+'ПЛАН ЧИСТ К3'!O51*СПРАВОЧНИК!$N$12+'ПЛАН ЧИСТ К3'!P51*СПРАВОЧНИК!$O$12)+СПРАВОЧНИК!$F$13*('ПЛАН ЧИСТ К3'!Q51*СПРАВОЧНИК!$L$13+'ПЛАН ЧИСТ К3'!R51*СПРАВОЧНИК!$M$13+'ПЛАН ЧИСТ К3'!S51*СПРАВОЧНИК!$N$13+'ПЛАН ЧИСТ К3'!T51*СПРАВОЧНИК!$O$13)+СПРАВОЧНИК!$F$14*('ПЛАН ЧИСТ К3'!U51*СПРАВОЧНИК!$L$14+'ПЛАН ЧИСТ К3'!V51*СПРАВОЧНИК!$M$14+'ПЛАН ЧИСТ К3'!W51*СПРАВОЧНИК!$N$14)+СПРАВОЧНИК!$F$15*('ПЛАН ЧИСТ К3'!X51*СПРАВОЧНИК!$L$15+'ПЛАН ЧИСТ К3'!Y51*СПРАВОЧНИК!$M$15+'ПЛАН ЧИСТ К3'!Z51*СПРАВОЧНИК!$N$15)</f>
        <v/>
      </c>
      <c r="BG60" s="40">
        <f>СПРАВОЧНИК!$E$9*(('ФАКТ ЧЕРН К3'!B51)*СПРАВОЧНИК!$H$9+('ФАКТ ЧЕРН К3'!C51)*СПРАВОЧНИК!$I$9+('ФАКТ ЧЕРН К3'!D51)*СПРАВОЧНИК!$J$9)+СПРАВОЧНИК!$E$10*(('ФАКТ ЧЕРН К3'!E51)*СПРАВОЧНИК!$H$10+('ФАКТ ЧЕРН К3'!F51)*СПРАВОЧНИК!$I$10+('ФАКТ ЧЕРН К3'!G51)*СПРАВОЧНИК!$J$10)+СПРАВОЧНИК!$E$11*(('ФАКТ ЧЕРН К3'!H51)*СПРАВОЧНИК!$H$11+('ФАКТ ЧЕРН К3'!I51)*СПРАВОЧНИК!$I$11+('ФАКТ ЧЕРН К3'!J51)*СПРАВОЧНИК!$J$11)+СПРАВОЧНИК!$E$12*(('ФАКТ ЧЕРН К3'!K51)*СПРАВОЧНИК!$H$12+('ФАКТ ЧЕРН К3'!L51)*СПРАВОЧНИК!$I$12+('ФАКТ ЧЕРН К3'!M51)*СПРАВОЧНИК!$J$12)+СПРАВОЧНИК!$E$13*(('ФАКТ ЧЕРН К3'!N51)*СПРАВОЧНИК!$H$13+('ФАКТ ЧЕРН К3'!O51)*СПРАВОЧНИК!$I$13+('ФАКТ ЧЕРН К3'!P51)*СПРАВОЧНИК!$J$13)+СПРАВОЧНИК!$E$14*(('ФАКТ ЧЕРН К3'!Q51)*СПРАВОЧНИК!$H$14+('ФАКТ ЧЕРН К3'!R51)*СПРАВОЧНИК!$I$14+('ФАКТ ЧЕРН К3'!S51)*СПРАВОЧНИК!$J$14)+СПРАВОЧНИК!$E$15*(('ФАКТ ЧЕРН К3'!T51)*СПРАВОЧНИК!$H$15+('ФАКТ ЧЕРН К3'!U51)*СПРАВОЧНИК!$I$15+('ФАКТ ЧЕРН К3'!V51)*СПРАВОЧНИК!$J$15)+СПРАВОЧНИК!$F$9*(('ФАКТ ЧИСТ К3'!B51)*СПРАВОЧНИК!$L$9+('ФАКТ ЧИСТ К3'!C51)*СПРАВОЧНИК!$M$9+('ФАКТ ЧИСТ К3'!D51)*СПРАВОЧНИК!$N$9+('ФАКТ ЧИСТ К3'!E51)*СПРАВОЧНИК!$O$9)+СПРАВОЧНИК!$F$10*(('ФАКТ ЧИСТ К3'!F51)*СПРАВОЧНИК!$L$10+('ФАКТ ЧИСТ К3'!G51)*СПРАВОЧНИК!$M$10+('ФАКТ ЧИСТ К3'!H51)*СПРАВОЧНИК!$N$10+('ФАКТ ЧИСТ К3'!I51)*СПРАВОЧНИК!$O$10)+СПРАВОЧНИК!$F$11*(('ФАКТ ЧИСТ К3'!J51)*СПРАВОЧНИК!$L$11+('ФАКТ ЧИСТ К3'!K51)*СПРАВОЧНИК!$M$11+('ФАКТ ЧИСТ К3'!L51)*СПРАВОЧНИК!$N$11)+СПРАВОЧНИК!$F$12*(('ФАКТ ЧИСТ К3'!M51)*СПРАВОЧНИК!$L$12+('ФАКТ ЧИСТ К3'!N51)*СПРАВОЧНИК!$M$12+('ФАКТ ЧИСТ К3'!O51)*СПРАВОЧНИК!$N$12+('ФАКТ ЧИСТ К3'!P51)*СПРАВОЧНИК!$O$12)+СПРАВОЧНИК!$F$13*(('ФАКТ ЧИСТ К3'!Q51)*СПРАВОЧНИК!$L$13+('ФАКТ ЧИСТ К3'!R51)*СПРАВОЧНИК!$M$13+('ФАКТ ЧИСТ К3'!S51)*СПРАВОЧНИК!$N$13+('ФАКТ ЧИСТ К3'!T51)*СПРАВОЧНИК!$O$13)+СПРАВОЧНИК!$F$14*(('ФАКТ ЧИСТ К3'!U51)*СПРАВОЧНИК!$L$14+('ФАКТ ЧИСТ К3'!V51)*СПРАВОЧНИК!$M$14+('ФАКТ ЧИСТ К3'!W51)*СПРАВОЧНИК!$N$14)+СПРАВОЧНИК!$F$15*(('ФАКТ ЧИСТ К3'!X51)*СПРАВОЧНИК!$L$15+('ФАКТ ЧИСТ К3'!Y51)*СПРАВОЧНИК!$M$15+('ФАКТ ЧИСТ К3'!Z51)*СПРАВОЧНИК!$N$15)</f>
        <v/>
      </c>
      <c r="BK60" s="18">
        <f>BK59+7</f>
        <v/>
      </c>
      <c r="BL60" s="37">
        <f>'ПЛАН ЧЕРН К3'!B51*СПРАВОЧНИК!$H$9+'ПЛАН ЧЕРН К3'!C51*СПРАВОЧНИК!$I$9+'ПЛАН ЧЕРН К3'!D51*СПРАВОЧНИК!$J$9+'ПЛАН ЧЕРН К3'!E51*СПРАВОЧНИК!$H$10+'ПЛАН ЧЕРН К3'!F51*СПРАВОЧНИК!$I$10+'ПЛАН ЧЕРН К3'!G51*СПРАВОЧНИК!$J$10+'ПЛАН ЧЕРН К3'!H51*СПРАВОЧНИК!$H$11+'ПЛАН ЧЕРН К3'!I51*СПРАВОЧНИК!$I$11+'ПЛАН ЧЕРН К3'!J51*СПРАВОЧНИК!$J$11+'ПЛАН ЧЕРН К3'!K51*СПРАВОЧНИК!$H$12+'ПЛАН ЧЕРН К3'!L51*СПРАВОЧНИК!$I$12+'ПЛАН ЧЕРН К3'!M51*СПРАВОЧНИК!$J$12+'ПЛАН ЧЕРН К3'!N51*СПРАВОЧНИК!$H$13+'ПЛАН ЧЕРН К3'!O51*СПРАВОЧНИК!$I$13+'ПЛАН ЧЕРН К3'!P51*СПРАВОЧНИК!$J$13+'ПЛАН ЧЕРН К3'!Q51*СПРАВОЧНИК!$H$14+'ПЛАН ЧЕРН К3'!R51*СПРАВОЧНИК!$I$14+'ПЛАН ЧЕРН К3'!S51*СПРАВОЧНИК!$J$14+'ПЛАН ЧЕРН К3'!T51*СПРАВОЧНИК!$H$15+'ПЛАН ЧЕРН К3'!U51*СПРАВОЧНИК!$I$15+'ПЛАН ЧЕРН К3'!V51*СПРАВОЧНИК!$J$15</f>
        <v/>
      </c>
      <c r="BM60" s="40">
        <f>('ФАКТ ЧЕРН К3'!B51)*СПРАВОЧНИК!$H$9+('ФАКТ ЧЕРН К3'!C51)*СПРАВОЧНИК!$I$9+('ФАКТ ЧЕРН К3'!D51)*СПРАВОЧНИК!$J$9+('ФАКТ ЧЕРН К3'!E51)*СПРАВОЧНИК!$H$10+('ФАКТ ЧЕРН К3'!F51)*СПРАВОЧНИК!$I$10+('ФАКТ ЧЕРН К3'!G51)*СПРАВОЧНИК!$J$10+('ФАКТ ЧЕРН К3'!H51)*СПРАВОЧНИК!$H$11+('ФАКТ ЧЕРН К3'!I51)*СПРАВОЧНИК!$I$11+('ФАКТ ЧЕРН К3'!J51)*СПРАВОЧНИК!$J$11+('ФАКТ ЧЕРН К3'!K51)*СПРАВОЧНИК!$H$12+('ФАКТ ЧЕРН К3'!L51)*СПРАВОЧНИК!$I$12+('ФАКТ ЧЕРН К3'!M51)*СПРАВОЧНИК!$J$12+('ФАКТ ЧЕРН К3'!N51)*СПРАВОЧНИК!$H$13+('ФАКТ ЧЕРН К3'!O51)*СПРАВОЧНИК!$I$13+('ФАКТ ЧЕРН К3'!P51)*СПРАВОЧНИК!$J$13+('ФАКТ ЧЕРН К3'!Q51)*СПРАВОЧНИК!$H$14+('ФАКТ ЧЕРН К3'!R51)*СПРАВОЧНИК!$I$14+('ФАКТ ЧЕРН К3'!S51)*СПРАВОЧНИК!$J$14+('ФАКТ ЧЕРН К3'!T51)*СПРАВОЧНИК!$H$15+('ФАКТ ЧЕРН К3'!U51)*СПРАВОЧНИК!$I$15+('ФАКТ ЧЕРН К3'!V51)*СПРАВОЧНИК!$J$15</f>
        <v/>
      </c>
      <c r="BQ60" s="18">
        <f>BQ59+7</f>
        <v/>
      </c>
      <c r="BR60" s="37">
        <f>'ПЛАН ЧИСТ К3'!B51*СПРАВОЧНИК!$L$9+'ПЛАН ЧИСТ К3'!C51*СПРАВОЧНИК!$M$9+'ПЛАН ЧИСТ К3'!D51*СПРАВОЧНИК!$N$9+'ПЛАН ЧИСТ К3'!E51*СПРАВОЧНИК!$O$9+'ПЛАН ЧИСТ К3'!F51*СПРАВОЧНИК!$L$10+'ПЛАН ЧИСТ К3'!G51*СПРАВОЧНИК!$M$10+'ПЛАН ЧИСТ К3'!H51*СПРАВОЧНИК!$N$10+'ПЛАН ЧИСТ К3'!I51*СПРАВОЧНИК!$O$10+'ПЛАН ЧИСТ К3'!J51*СПРАВОЧНИК!$L$11+'ПЛАН ЧИСТ К3'!K51*СПРАВОЧНИК!$M$11+'ПЛАН ЧИСТ К3'!L51*СПРАВОЧНИК!$N$11+'ПЛАН ЧИСТ К3'!M51*СПРАВОЧНИК!$L$12+'ПЛАН ЧИСТ К3'!N51*СПРАВОЧНИК!$M$12+'ПЛАН ЧИСТ К3'!O51*СПРАВОЧНИК!$N$12+'ПЛАН ЧИСТ К3'!P51*СПРАВОЧНИК!$O$12+'ПЛАН ЧИСТ К3'!Q51*СПРАВОЧНИК!$L$13+'ПЛАН ЧИСТ К3'!R51*СПРАВОЧНИК!$M$13+'ПЛАН ЧИСТ К3'!S51*СПРАВОЧНИК!$N$13+'ПЛАН ЧИСТ К3'!T51*СПРАВОЧНИК!$O$13+'ПЛАН ЧИСТ К3'!U51*СПРАВОЧНИК!$L$14+'ПЛАН ЧИСТ К3'!V51*СПРАВОЧНИК!$M$14+'ПЛАН ЧИСТ К3'!W51*СПРАВОЧНИК!$N$14+'ПЛАН ЧИСТ К3'!X51*СПРАВОЧНИК!$L$15+'ПЛАН ЧИСТ К3'!Y51*СПРАВОЧНИК!$M$15+'ПЛАН ЧИСТ К3'!Z51*СПРАВОЧНИК!$N$15</f>
        <v/>
      </c>
      <c r="BS60" s="40">
        <f>('ФАКТ ЧИСТ К3'!B51)*СПРАВОЧНИК!$L$9+('ФАКТ ЧИСТ К3'!C51)*СПРАВОЧНИК!$M$9+('ФАКТ ЧИСТ К3'!D51)*СПРАВОЧНИК!$N$9+('ФАКТ ЧИСТ К3'!E51)*СПРАВОЧНИК!$O$9+('ФАКТ ЧИСТ К3'!F51)*СПРАВОЧНИК!$L$10+('ФАКТ ЧИСТ К3'!G51)*СПРАВОЧНИК!$M$10+('ФАКТ ЧИСТ К3'!H51)*СПРАВОЧНИК!$N$10+('ФАКТ ЧИСТ К3'!I51)*СПРАВОЧНИК!$O$10+('ФАКТ ЧИСТ К3'!J51)*СПРАВОЧНИК!$L$11+('ФАКТ ЧИСТ К3'!K51)*СПРАВОЧНИК!$M$11+('ФАКТ ЧИСТ К3'!L51)*СПРАВОЧНИК!$N$11+('ФАКТ ЧИСТ К3'!M51)*СПРАВОЧНИК!$L$12+('ФАКТ ЧИСТ К3'!N51)*СПРАВОЧНИК!$M$12+('ФАКТ ЧИСТ К3'!O51)*СПРАВОЧНИК!$N$12+('ФАКТ ЧИСТ К3'!P51)*СПРАВОЧНИК!$O$12+('ФАКТ ЧИСТ К3'!Q51)*СПРАВОЧНИК!$L$13+('ФАКТ ЧИСТ К3'!R51)*СПРАВОЧНИК!$M$13+('ФАКТ ЧИСТ К3'!S51)*СПРАВОЧНИК!$N$13+('ФАКТ ЧИСТ К3'!T51)*СПРАВОЧНИК!$O$13+('ФАКТ ЧИСТ К3'!U51)*СПРАВОЧНИК!$L$14+('ФАКТ ЧИСТ К3'!V51)*СПРАВОЧНИК!$M$14+('ФАКТ ЧИСТ К3'!W51)*СПРАВОЧНИК!$N$14+('ФАКТ ЧИСТ К3'!X51)*СПРАВОЧНИК!$L$15+('ФАКТ ЧИСТ К3'!Y51)*СПРАВОЧНИК!$M$15+('ФАКТ ЧИСТ К3'!Z51)*СПРАВОЧНИК!$N$15</f>
        <v/>
      </c>
      <c r="BW60" s="18">
        <f>BW59+7</f>
        <v/>
      </c>
      <c r="BX60" s="37">
        <f>V60+AN60+BF60</f>
        <v/>
      </c>
      <c r="BY60" s="40">
        <f>W60+AO60+BG60</f>
        <v/>
      </c>
      <c r="CC60" s="18">
        <f>CC59+7</f>
        <v/>
      </c>
      <c r="CD60" s="37">
        <f>AB60+AT60+BL60</f>
        <v/>
      </c>
      <c r="CE60" s="40">
        <f>AC60+AU60+BM60</f>
        <v/>
      </c>
      <c r="CI60" s="18">
        <f>CI59+7</f>
        <v/>
      </c>
      <c r="CJ60" s="37">
        <f>AH60+AZ60+BR60</f>
        <v/>
      </c>
      <c r="CK60" s="40">
        <f>AI60+BA60+BS60</f>
        <v/>
      </c>
      <c r="CO60" s="18">
        <f>CO59+7</f>
        <v/>
      </c>
      <c r="CP60" s="37">
        <f>D60+BX60</f>
        <v/>
      </c>
      <c r="CQ60" s="40">
        <f>E60+BY60</f>
        <v/>
      </c>
      <c r="CU60" s="18">
        <f>CU59+7</f>
        <v/>
      </c>
      <c r="CV60" s="37">
        <f>J60+CD60</f>
        <v/>
      </c>
      <c r="CW60" s="40">
        <f>K60+CE60</f>
        <v/>
      </c>
      <c r="DA60" s="18">
        <f>DA59+7</f>
        <v/>
      </c>
      <c r="DB60" s="37">
        <f>P60+CJ60</f>
        <v/>
      </c>
      <c r="DC60" s="40">
        <f>Q60+CK60</f>
        <v/>
      </c>
    </row>
    <row r="61">
      <c r="C61" s="18">
        <f>C60+7</f>
        <v/>
      </c>
      <c r="D61" s="37">
        <f>СПРАВОЧНИК!$E$3*('ПЛАН ЧЕРН ПОДЗЕМ'!B52*СПРАВОЧНИК!$H$3+'ПЛАН ЧЕРН ПОДЗЕМ'!C52*СПРАВОЧНИК!$I$3+'ПЛАН ЧЕРН ПОДЗЕМ'!D52*СПРАВОЧНИК!$J$3)+СПРАВОЧНИК!$E$4*('ПЛАН ЧЕРН ПОДЗЕМ'!E52*СПРАВОЧНИК!$H$4+'ПЛАН ЧЕРН ПОДЗЕМ'!F52*СПРАВОЧНИК!$I$4+'ПЛАН ЧЕРН ПОДЗЕМ'!G52*СПРАВОЧНИК!$J$4)+СПРАВОЧНИК!$E$5*('ПЛАН ЧЕРН ПОДЗЕМ'!H52*СПРАВОЧНИК!$H$5+'ПЛАН ЧЕРН ПОДЗЕМ'!I52*СПРАВОЧНИК!$I$5+'ПЛАН ЧЕРН ПОДЗЕМ'!J52*СПРАВОЧНИК!$J$5)+СПРАВОЧНИК!$E$6*('ПЛАН ЧЕРН ПОДЗЕМ'!K52*СПРАВОЧНИК!$H$6+'ПЛАН ЧЕРН ПОДЗЕМ'!L52*СПРАВОЧНИК!$I$6+'ПЛАН ЧЕРН ПОДЗЕМ'!M52*СПРАВОЧНИК!$J$6)+СПРАВОЧНИК!$E$7*('ПЛАН ЧЕРН ПОДЗЕМ'!N52*СПРАВОЧНИК!$H$7+'ПЛАН ЧЕРН ПОДЗЕМ'!O52*СПРАВОЧНИК!$I$7+'ПЛАН ЧЕРН ПОДЗЕМ'!P52*СПРАВОЧНИК!$J$7)+СПРАВОЧНИК!$E$8*('ПЛАН ЧЕРН ПОДЗЕМ'!Q52*СПРАВОЧНИК!$H$8+'ПЛАН ЧЕРН ПОДЗЕМ'!R52*СПРАВОЧНИК!$I$8+'ПЛАН ЧЕРН ПОДЗЕМ'!S52*СПРАВОЧНИК!$J$8)+СПРАВОЧНИК!$F$3*('ПЛАН ЧИСТ ПОДЗЕМ'!B52*СПРАВОЧНИК!$L$3+'ПЛАН ЧИСТ ПОДЗЕМ'!C52*СПРАВОЧНИК!$M$3+'ПЛАН ЧИСТ ПОДЗЕМ'!D52*СПРАВОЧНИК!$N$3+'ПЛАН ЧИСТ ПОДЗЕМ'!E52*СПРАВОЧНИК!$O$3)+СПРАВОЧНИК!$F$4*('ПЛАН ЧИСТ ПОДЗЕМ'!F52*СПРАВОЧНИК!$L$4+'ПЛАН ЧИСТ ПОДЗЕМ'!G52*СПРАВОЧНИК!$M$4+'ПЛАН ЧИСТ ПОДЗЕМ'!H52*СПРАВОЧНИК!$N$4+'ПЛАН ЧИСТ ПОДЗЕМ'!I52*СПРАВОЧНИК!$O$4)+СПРАВОЧНИК!$F$5*('ПЛАН ЧИСТ ПОДЗЕМ'!J52*СПРАВОЧНИК!$L$5+'ПЛАН ЧИСТ ПОДЗЕМ'!K52*СПРАВОЧНИК!$M$5+'ПЛАН ЧИСТ ПОДЗЕМ'!L52*СПРАВОЧНИК!$N$5)+СПРАВОЧНИК!$F$6*('ПЛАН ЧИСТ ПОДЗЕМ'!M52*СПРАВОЧНИК!$L$6+'ПЛАН ЧИСТ ПОДЗЕМ'!N52*СПРАВОЧНИК!$M$6+'ПЛАН ЧИСТ ПОДЗЕМ'!O52*СПРАВОЧНИК!$N$6+'ПЛАН ЧИСТ ПОДЗЕМ'!P52*СПРАВОЧНИК!$O$6)+СПРАВОЧНИК!$F$7*('ПЛАН ЧИСТ ПОДЗЕМ'!Q52*СПРАВОЧНИК!$L$7+'ПЛАН ЧИСТ ПОДЗЕМ'!R52*СПРАВОЧНИК!$M$7+'ПЛАН ЧИСТ ПОДЗЕМ'!S52*СПРАВОЧНИК!$N$7+'ПЛАН ЧИСТ ПОДЗЕМ'!T52*СПРАВОЧНИК!$O$7)+СПРАВОЧНИК!$F$8*('ПЛАН ЧИСТ ПОДЗЕМ'!U52*СПРАВОЧНИК!$L$8+'ПЛАН ЧИСТ ПОДЗЕМ'!V52*СПРАВОЧНИК!$M$8+'ПЛАН ЧИСТ ПОДЗЕМ'!W52*СПРАВОЧНИК!$N$8)</f>
        <v/>
      </c>
      <c r="E61" s="40">
        <f>СПРАВОЧНИК!$E$3*(('ФАКТ ЧЕРН ПОДЗЕМ'!B52)*СПРАВОЧНИК!$H$3+('ФАКТ ЧЕРН ПОДЗЕМ'!C52)*СПРАВОЧНИК!$I$3+('ФАКТ ЧЕРН ПОДЗЕМ'!D52)*СПРАВОЧНИК!$J$3)+СПРАВОЧНИК!$E$4*(('ФАКТ ЧЕРН ПОДЗЕМ'!E52)*СПРАВОЧНИК!$H$4+('ФАКТ ЧЕРН ПОДЗЕМ'!F52)*СПРАВОЧНИК!$I$4+('ФАКТ ЧЕРН ПОДЗЕМ'!G52)*СПРАВОЧНИК!$J$4)+СПРАВОЧНИК!$E$5*(('ФАКТ ЧЕРН ПОДЗЕМ'!H52)*СПРАВОЧНИК!$H$5+('ФАКТ ЧЕРН ПОДЗЕМ'!I52)*СПРАВОЧНИК!$I$5+('ФАКТ ЧЕРН ПОДЗЕМ'!J52)*СПРАВОЧНИК!$J$5)+СПРАВОЧНИК!$E$6*(('ФАКТ ЧЕРН ПОДЗЕМ'!K52)*СПРАВОЧНИК!$H$6+('ФАКТ ЧЕРН ПОДЗЕМ'!L52)*СПРАВОЧНИК!$I$6+('ФАКТ ЧЕРН ПОДЗЕМ'!M52)*СПРАВОЧНИК!$J$6)+СПРАВОЧНИК!$E$7*(('ФАКТ ЧЕРН ПОДЗЕМ'!N52)*СПРАВОЧНИК!$H$7+('ФАКТ ЧЕРН ПОДЗЕМ'!O52)*СПРАВОЧНИК!$I$7+('ФАКТ ЧЕРН ПОДЗЕМ'!P52)*СПРАВОЧНИК!$J$7)+СПРАВОЧНИК!$E$8*(('ФАКТ ЧЕРН ПОДЗЕМ'!Q52)*СПРАВОЧНИК!$H$8+('ФАКТ ЧЕРН ПОДЗЕМ'!R52)*СПРАВОЧНИК!$I$8+('ФАКТ ЧЕРН ПОДЗЕМ'!S52)*СПРАВОЧНИК!$J$8)+СПРАВОЧНИК!$F$3*(('ФАКТ ЧИСТ ПОДЗЕМ'!B52)*СПРАВОЧНИК!$L$3+('ФАКТ ЧИСТ ПОДЗЕМ'!C52)*СПРАВОЧНИК!$M$3+('ФАКТ ЧИСТ ПОДЗЕМ'!D52)*СПРАВОЧНИК!$N$3+('ФАКТ ЧИСТ ПОДЗЕМ'!E52)*СПРАВОЧНИК!$O$3)+СПРАВОЧНИК!$F$4*(('ФАКТ ЧИСТ ПОДЗЕМ'!F52)*СПРАВОЧНИК!$L$4+('ФАКТ ЧИСТ ПОДЗЕМ'!G52)*СПРАВОЧНИК!$M$4+('ФАКТ ЧИСТ ПОДЗЕМ'!H52)*СПРАВОЧНИК!$N$4+('ФАКТ ЧИСТ ПОДЗЕМ'!I52)*СПРАВОЧНИК!$O$4)+СПРАВОЧНИК!$F$5*(('ФАКТ ЧИСТ ПОДЗЕМ'!J52)*СПРАВОЧНИК!$L$5+('ФАКТ ЧИСТ ПОДЗЕМ'!K52)*СПРАВОЧНИК!$M$5+('ФАКТ ЧИСТ ПОДЗЕМ'!L52)*СПРАВОЧНИК!$N$5)+СПРАВОЧНИК!$F$6*(('ФАКТ ЧИСТ ПОДЗЕМ'!M52)*СПРАВОЧНИК!$L$6+('ФАКТ ЧИСТ ПОДЗЕМ'!N52)*СПРАВОЧНИК!$M$6+('ФАКТ ЧИСТ ПОДЗЕМ'!O52)*СПРАВОЧНИК!$N$6+('ФАКТ ЧИСТ ПОДЗЕМ'!P52)*СПРАВОЧНИК!$O$6)+СПРАВОЧНИК!$F$7*(('ФАКТ ЧИСТ ПОДЗЕМ'!Q52)*СПРАВОЧНИК!$L$7+('ФАКТ ЧИСТ ПОДЗЕМ'!R52)*СПРАВОЧНИК!$M$7+('ФАКТ ЧИСТ ПОДЗЕМ'!S52)*СПРАВОЧНИК!$N$7+('ФАКТ ЧИСТ ПОДЗЕМ'!T52)*СПРАВОЧНИК!$O$7)+СПРАВОЧНИК!$F$8*(('ФАКТ ЧИСТ ПОДЗЕМ'!U52)*СПРАВОЧНИК!$L$8+('ФАКТ ЧИСТ ПОДЗЕМ'!V52)*СПРАВОЧНИК!$M$8+('ФАКТ ЧИСТ ПОДЗЕМ'!W52)*СПРАВОЧНИК!$N$8)</f>
        <v/>
      </c>
      <c r="I61" s="18">
        <f>I60+7</f>
        <v/>
      </c>
      <c r="J61" s="37">
        <f>'ПЛАН ЧЕРН ПОДЗЕМ'!B52*СПРАВОЧНИК!$H$3+'ПЛАН ЧЕРН ПОДЗЕМ'!C52*СПРАВОЧНИК!$I$3+'ПЛАН ЧЕРН ПОДЗЕМ'!D52*СПРАВОЧНИК!$J$3+'ПЛАН ЧЕРН ПОДЗЕМ'!E52*СПРАВОЧНИК!$H$4+'ПЛАН ЧЕРН ПОДЗЕМ'!F52*СПРАВОЧНИК!$I$4+'ПЛАН ЧЕРН ПОДЗЕМ'!G52*СПРАВОЧНИК!$J$4+'ПЛАН ЧЕРН ПОДЗЕМ'!H52*СПРАВОЧНИК!$H$5+'ПЛАН ЧЕРН ПОДЗЕМ'!I52*СПРАВОЧНИК!$I$5+'ПЛАН ЧЕРН ПОДЗЕМ'!J52*СПРАВОЧНИК!$J$5+'ПЛАН ЧЕРН ПОДЗЕМ'!K52*СПРАВОЧНИК!$H$6+'ПЛАН ЧЕРН ПОДЗЕМ'!L52*СПРАВОЧНИК!$I$6+'ПЛАН ЧЕРН ПОДЗЕМ'!M52*СПРАВОЧНИК!$J$6+'ПЛАН ЧЕРН ПОДЗЕМ'!N52*СПРАВОЧНИК!$H$7+'ПЛАН ЧЕРН ПОДЗЕМ'!O52*СПРАВОЧНИК!$I$7+'ПЛАН ЧЕРН ПОДЗЕМ'!P52*СПРАВОЧНИК!$J$7+'ПЛАН ЧЕРН ПОДЗЕМ'!Q52*СПРАВОЧНИК!$H$8+'ПЛАН ЧЕРН ПОДЗЕМ'!R52*СПРАВОЧНИК!$I$8+'ПЛАН ЧЕРН ПОДЗЕМ'!S52*СПРАВОЧНИК!$J$8</f>
        <v/>
      </c>
      <c r="K61" s="40">
        <f>('ФАКТ ЧЕРН ПОДЗЕМ'!B52)*СПРАВОЧНИК!$H$3+('ФАКТ ЧЕРН ПОДЗЕМ'!C52)*СПРАВОЧНИК!$I$3+('ФАКТ ЧЕРН ПОДЗЕМ'!D52)*СПРАВОЧНИК!$J$3+('ФАКТ ЧЕРН ПОДЗЕМ'!E52)*СПРАВОЧНИК!$H$4+('ФАКТ ЧЕРН ПОДЗЕМ'!F52)*СПРАВОЧНИК!$I$4+('ФАКТ ЧЕРН ПОДЗЕМ'!G52)*СПРАВОЧНИК!$J$4+('ФАКТ ЧЕРН ПОДЗЕМ'!H52)*СПРАВОЧНИК!$H$5+('ФАКТ ЧЕРН ПОДЗЕМ'!I52)*СПРАВОЧНИК!$I$5+('ФАКТ ЧЕРН ПОДЗЕМ'!J52)*СПРАВОЧНИК!$J$5+('ФАКТ ЧЕРН ПОДЗЕМ'!K52)*СПРАВОЧНИК!$H$6+('ФАКТ ЧЕРН ПОДЗЕМ'!L52)*СПРАВОЧНИК!$I$6+('ФАКТ ЧЕРН ПОДЗЕМ'!M52)*СПРАВОЧНИК!$J$6+('ФАКТ ЧЕРН ПОДЗЕМ'!N52)*СПРАВОЧНИК!$H$7+('ФАКТ ЧЕРН ПОДЗЕМ'!O52)*СПРАВОЧНИК!$I$7+('ФАКТ ЧЕРН ПОДЗЕМ'!P52)*СПРАВОЧНИК!$J$7+('ФАКТ ЧЕРН ПОДЗЕМ'!Q52)*СПРАВОЧНИК!$H$8+('ФАКТ ЧЕРН ПОДЗЕМ'!R52)*СПРАВОЧНИК!$I$8+('ФАКТ ЧЕРН ПОДЗЕМ'!S52)*СПРАВОЧНИК!$J$8</f>
        <v/>
      </c>
      <c r="O61" s="18">
        <f>O60+7</f>
        <v/>
      </c>
      <c r="P61" s="37">
        <f>'ПЛАН ЧИСТ ПОДЗЕМ'!B52*СПРАВОЧНИК!$L$3+'ПЛАН ЧИСТ ПОДЗЕМ'!C52*СПРАВОЧНИК!$M$3+'ПЛАН ЧИСТ ПОДЗЕМ'!D52*СПРАВОЧНИК!$N$3+'ПЛАН ЧИСТ ПОДЗЕМ'!E52*СПРАВОЧНИК!$O$3+'ПЛАН ЧИСТ ПОДЗЕМ'!F52*СПРАВОЧНИК!$L$4+'ПЛАН ЧИСТ ПОДЗЕМ'!G52*СПРАВОЧНИК!$M$4+'ПЛАН ЧИСТ ПОДЗЕМ'!H52*СПРАВОЧНИК!$N$4+'ПЛАН ЧИСТ ПОДЗЕМ'!I52*СПРАВОЧНИК!$O$4+'ПЛАН ЧИСТ ПОДЗЕМ'!J52*СПРАВОЧНИК!$L$5+'ПЛАН ЧИСТ ПОДЗЕМ'!K52*СПРАВОЧНИК!$M$5+'ПЛАН ЧИСТ ПОДЗЕМ'!L52*СПРАВОЧНИК!$N$5+'ПЛАН ЧИСТ ПОДЗЕМ'!M52*СПРАВОЧНИК!$L$6+'ПЛАН ЧИСТ ПОДЗЕМ'!N52*СПРАВОЧНИК!$M$6+'ПЛАН ЧИСТ ПОДЗЕМ'!O52*СПРАВОЧНИК!$N$6+'ПЛАН ЧИСТ ПОДЗЕМ'!P52*СПРАВОЧНИК!$O$6+'ПЛАН ЧИСТ ПОДЗЕМ'!Q52*СПРАВОЧНИК!$L$7+'ПЛАН ЧИСТ ПОДЗЕМ'!R52*СПРАВОЧНИК!$M$7+'ПЛАН ЧИСТ ПОДЗЕМ'!S52*СПРАВОЧНИК!$N$7+'ПЛАН ЧИСТ ПОДЗЕМ'!T52*СПРАВОЧНИК!$O$7+'ПЛАН ЧИСТ ПОДЗЕМ'!U52*СПРАВОЧНИК!$L$8+'ПЛАН ЧИСТ ПОДЗЕМ'!V52*СПРАВОЧНИК!$M$8+'ПЛАН ЧИСТ ПОДЗЕМ'!W52*СПРАВОЧНИК!$N$8</f>
        <v/>
      </c>
      <c r="Q61" s="40">
        <f>('ФАКТ ЧИСТ ПОДЗЕМ'!B52)*СПРАВОЧНИК!$L$3+('ФАКТ ЧИСТ ПОДЗЕМ'!C52)*СПРАВОЧНИК!$M$3+('ФАКТ ЧИСТ ПОДЗЕМ'!D52)*СПРАВОЧНИК!$N$3+('ФАКТ ЧИСТ ПОДЗЕМ'!E52)*СПРАВОЧНИК!$O$3+('ФАКТ ЧИСТ ПОДЗЕМ'!F52)*СПРАВОЧНИК!$L$4+('ФАКТ ЧИСТ ПОДЗЕМ'!G52)*СПРАВОЧНИК!$M$4+('ФАКТ ЧИСТ ПОДЗЕМ'!H52)*СПРАВОЧНИК!$N$4+('ФАКТ ЧИСТ ПОДЗЕМ'!I52)*СПРАВОЧНИК!$O$4+('ФАКТ ЧИСТ ПОДЗЕМ'!J52)*СПРАВОЧНИК!$L$5+('ФАКТ ЧИСТ ПОДЗЕМ'!K52)*СПРАВОЧНИК!$M$5+('ФАКТ ЧИСТ ПОДЗЕМ'!L52)*СПРАВОЧНИК!$N$5+('ФАКТ ЧИСТ ПОДЗЕМ'!M52)*СПРАВОЧНИК!$L$6+('ФАКТ ЧИСТ ПОДЗЕМ'!N52)*СПРАВОЧНИК!$M$6+('ФАКТ ЧИСТ ПОДЗЕМ'!O52)*СПРАВОЧНИК!$N$6+('ФАКТ ЧИСТ ПОДЗЕМ'!P52)*СПРАВОЧНИК!$O$6+('ФАКТ ЧИСТ ПОДЗЕМ'!Q52)*СПРАВОЧНИК!$L$7+('ФАКТ ЧИСТ ПОДЗЕМ'!R52)*СПРАВОЧНИК!$M$7+('ФАКТ ЧИСТ ПОДЗЕМ'!S52)*СПРАВОЧНИК!$N$7+('ФАКТ ЧИСТ ПОДЗЕМ'!T52)*СПРАВОЧНИК!$O$7+('ФАКТ ЧИСТ ПОДЗЕМ'!U52)*СПРАВОЧНИК!$L$8+('ФАКТ ЧИСТ ПОДЗЕМ'!V52)*СПРАВОЧНИК!$M$8+('ФАКТ ЧИСТ ПОДЗЕМ'!W52)*СПРАВОЧНИК!$N$8</f>
        <v/>
      </c>
      <c r="U61" s="18">
        <f>U60+7</f>
        <v/>
      </c>
      <c r="V61" s="37">
        <f>СПРАВОЧНИК!$E$9*('ПЛАН ЧЕРН К1'!B52*СПРАВОЧНИК!$H$9+'ПЛАН ЧЕРН К1'!C52*СПРАВОЧНИК!$I$9+'ПЛАН ЧЕРН К1'!D52*СПРАВОЧНИК!$J$9)+СПРАВОЧНИК!$E$10*('ПЛАН ЧЕРН К1'!E52*СПРАВОЧНИК!$H$10+'ПЛАН ЧЕРН К1'!F52*СПРАВОЧНИК!$I$10+'ПЛАН ЧЕРН К1'!G52*СПРАВОЧНИК!$J$10)+СПРАВОЧНИК!$E$11*('ПЛАН ЧЕРН К1'!H52*СПРАВОЧНИК!$H$11+'ПЛАН ЧЕРН К1'!I52*СПРАВОЧНИК!$I$11+'ПЛАН ЧЕРН К1'!J52*СПРАВОЧНИК!$J$11)+СПРАВОЧНИК!$E$12*('ПЛАН ЧЕРН К1'!K52*СПРАВОЧНИК!$H$12+'ПЛАН ЧЕРН К1'!L52*СПРАВОЧНИК!$I$12+'ПЛАН ЧЕРН К1'!M52*СПРАВОЧНИК!$J$12)+СПРАВОЧНИК!$E$13*('ПЛАН ЧЕРН К1'!N52*СПРАВОЧНИК!$H$13+'ПЛАН ЧЕРН К1'!O52*СПРАВОЧНИК!$I$13+'ПЛАН ЧЕРН К1'!P52*СПРАВОЧНИК!$J$13)+СПРАВОЧНИК!$E$14*('ПЛАН ЧЕРН К1'!Q52*СПРАВОЧНИК!$H$14+'ПЛАН ЧЕРН К1'!R52*СПРАВОЧНИК!$I$14+'ПЛАН ЧЕРН К1'!S52*СПРАВОЧНИК!$J$14)+СПРАВОЧНИК!$E$15*('ПЛАН ЧЕРН К1'!T52*СПРАВОЧНИК!$H$15+'ПЛАН ЧЕРН К1'!U52*СПРАВОЧНИК!$I$15+'ПЛАН ЧЕРН К1'!V52*СПРАВОЧНИК!$J$15)+СПРАВОЧНИК!$F$9*('ПЛАН ЧИСТ К1'!B52*СПРАВОЧНИК!$L$9+'ПЛАН ЧИСТ К1'!C52*СПРАВОЧНИК!$M$9+'ПЛАН ЧИСТ К1'!D52*СПРАВОЧНИК!$N$9+'ПЛАН ЧИСТ К1'!E52*СПРАВОЧНИК!$O$9)+СПРАВОЧНИК!$F$10*('ПЛАН ЧИСТ К1'!F52*СПРАВОЧНИК!$L$10+'ПЛАН ЧИСТ К1'!G52*СПРАВОЧНИК!$M$10+'ПЛАН ЧИСТ К1'!H52*СПРАВОЧНИК!$N$10+'ПЛАН ЧИСТ К1'!I52*СПРАВОЧНИК!$O$10)+СПРАВОЧНИК!$F$11*('ПЛАН ЧИСТ К1'!J52*СПРАВОЧНИК!$L$11+'ПЛАН ЧИСТ К1'!K52*СПРАВОЧНИК!$M$11+'ПЛАН ЧИСТ К1'!L52*СПРАВОЧНИК!$N$11)+СПРАВОЧНИК!$F$12*('ПЛАН ЧИСТ К1'!M52*СПРАВОЧНИК!$L$12+'ПЛАН ЧИСТ К1'!N52*СПРАВОЧНИК!$M$12+'ПЛАН ЧИСТ К1'!O52*СПРАВОЧНИК!$N$12+'ПЛАН ЧИСТ К1'!P52*СПРАВОЧНИК!$O$12)+СПРАВОЧНИК!$F$13*('ПЛАН ЧИСТ К1'!Q52*СПРАВОЧНИК!$L$13+'ПЛАН ЧИСТ К1'!R52*СПРАВОЧНИК!$M$13+'ПЛАН ЧИСТ К1'!S52*СПРАВОЧНИК!$N$13+'ПЛАН ЧИСТ К1'!T52*СПРАВОЧНИК!$O$13)+СПРАВОЧНИК!$F$14*('ПЛАН ЧИСТ К1'!U52*СПРАВОЧНИК!$L$14+'ПЛАН ЧИСТ К1'!V52*СПРАВОЧНИК!$M$14+'ПЛАН ЧИСТ К1'!W52*СПРАВОЧНИК!$N$14)+СПРАВОЧНИК!$F$15*('ПЛАН ЧИСТ К1'!X52*СПРАВОЧНИК!$L$15+'ПЛАН ЧИСТ К1'!Y52*СПРАВОЧНИК!$M$15+'ПЛАН ЧИСТ К1'!Z52*СПРАВОЧНИК!$N$15)</f>
        <v/>
      </c>
      <c r="W61" s="40">
        <f>СПРАВОЧНИК!$E$9*(('ФАКТ ЧЕРН К1'!B52)*СПРАВОЧНИК!$H$9+('ФАКТ ЧЕРН К1'!C52)*СПРАВОЧНИК!$I$9+('ФАКТ ЧЕРН К1'!D52)*СПРАВОЧНИК!$J$9)+СПРАВОЧНИК!$E$10*(('ФАКТ ЧЕРН К1'!E52)*СПРАВОЧНИК!$H$10+('ФАКТ ЧЕРН К1'!F52)*СПРАВОЧНИК!$I$10+('ФАКТ ЧЕРН К1'!G52)*СПРАВОЧНИК!$J$10)+СПРАВОЧНИК!$E$11*(('ФАКТ ЧЕРН К1'!H52)*СПРАВОЧНИК!$H$11+('ФАКТ ЧЕРН К1'!I52)*СПРАВОЧНИК!$I$11+('ФАКТ ЧЕРН К1'!J52)*СПРАВОЧНИК!$J$11)+СПРАВОЧНИК!$E$12*(('ФАКТ ЧЕРН К1'!K52)*СПРАВОЧНИК!$H$12+('ФАКТ ЧЕРН К1'!L52)*СПРАВОЧНИК!$I$12+('ФАКТ ЧЕРН К1'!M52)*СПРАВОЧНИК!$J$12)+СПРАВОЧНИК!$E$13*(('ФАКТ ЧЕРН К1'!N52)*СПРАВОЧНИК!$H$13+('ФАКТ ЧЕРН К1'!O52)*СПРАВОЧНИК!$I$13+('ФАКТ ЧЕРН К1'!P52)*СПРАВОЧНИК!$J$13)+СПРАВОЧНИК!$E$14*(('ФАКТ ЧЕРН К1'!Q52)*СПРАВОЧНИК!$H$14+('ФАКТ ЧЕРН К1'!R52)*СПРАВОЧНИК!$I$14+('ФАКТ ЧЕРН К1'!S52)*СПРАВОЧНИК!$J$14)+СПРАВОЧНИК!$E$15*(('ФАКТ ЧЕРН К1'!T52)*СПРАВОЧНИК!$H$15+('ФАКТ ЧЕРН К1'!U52)*СПРАВОЧНИК!$I$15+('ФАКТ ЧЕРН К1'!V52)*СПРАВОЧНИК!$J$15)+СПРАВОЧНИК!$F$9*(('ФАКТ ЧИСТ К1'!B52)*СПРАВОЧНИК!$L$9+('ФАКТ ЧИСТ К1'!C52)*СПРАВОЧНИК!$M$9+('ФАКТ ЧИСТ К1'!D52)*СПРАВОЧНИК!$N$9+('ФАКТ ЧИСТ К1'!E52)*СПРАВОЧНИК!$O$9)+СПРАВОЧНИК!$F$10*(('ФАКТ ЧИСТ К1'!F52)*СПРАВОЧНИК!$L$10+('ФАКТ ЧИСТ К1'!G52)*СПРАВОЧНИК!$M$10+('ФАКТ ЧИСТ К1'!H52)*СПРАВОЧНИК!$N$10+('ФАКТ ЧИСТ К1'!I52)*СПРАВОЧНИК!$O$10)+СПРАВОЧНИК!$F$11*(('ФАКТ ЧИСТ К1'!J52)*СПРАВОЧНИК!$L$11+('ФАКТ ЧИСТ К1'!K52)*СПРАВОЧНИК!$M$11+('ФАКТ ЧИСТ К1'!L52)*СПРАВОЧНИК!$N$11)+СПРАВОЧНИК!$F$12*(('ФАКТ ЧИСТ К1'!M52)*СПРАВОЧНИК!$L$12+('ФАКТ ЧИСТ К1'!N52)*СПРАВОЧНИК!$M$12+('ФАКТ ЧИСТ К1'!O52)*СПРАВОЧНИК!$N$12+('ФАКТ ЧИСТ К1'!P52)*СПРАВОЧНИК!$O$12)+СПРАВОЧНИК!$F$13*(('ФАКТ ЧИСТ К1'!Q52)*СПРАВОЧНИК!$L$13+('ФАКТ ЧИСТ К1'!R52)*СПРАВОЧНИК!$M$13+('ФАКТ ЧИСТ К1'!S52)*СПРАВОЧНИК!$N$13+('ФАКТ ЧИСТ К1'!T52)*СПРАВОЧНИК!$O$13)+СПРАВОЧНИК!$F$14*(('ФАКТ ЧИСТ К1'!U52)*СПРАВОЧНИК!$L$14+('ФАКТ ЧИСТ К1'!V52)*СПРАВОЧНИК!$M$14+('ФАКТ ЧИСТ К1'!W52)*СПРАВОЧНИК!$N$14)+СПРАВОЧНИК!$F$15*(('ФАКТ ЧИСТ К1'!X52)*СПРАВОЧНИК!$L$15+('ФАКТ ЧИСТ К1'!Y52)*СПРАВОЧНИК!$M$15+('ФАКТ ЧИСТ К1'!Z52)*СПРАВОЧНИК!$N$15)</f>
        <v/>
      </c>
      <c r="AA61" s="18">
        <f>AA60+7</f>
        <v/>
      </c>
      <c r="AB61" s="37">
        <f>'ПЛАН ЧЕРН К1'!B52*СПРАВОЧНИК!$H$9+'ПЛАН ЧЕРН К1'!C52*СПРАВОЧНИК!$I$9+'ПЛАН ЧЕРН К1'!D52*СПРАВОЧНИК!$J$9+'ПЛАН ЧЕРН К1'!E52*СПРАВОЧНИК!$H$10+'ПЛАН ЧЕРН К1'!F52*СПРАВОЧНИК!$I$10+'ПЛАН ЧЕРН К1'!G52*СПРАВОЧНИК!$J$10+'ПЛАН ЧЕРН К1'!H52*СПРАВОЧНИК!$H$11+'ПЛАН ЧЕРН К1'!I52*СПРАВОЧНИК!$I$11+'ПЛАН ЧЕРН К1'!J52*СПРАВОЧНИК!$J$11+'ПЛАН ЧЕРН К1'!K52*СПРАВОЧНИК!$H$12+'ПЛАН ЧЕРН К1'!L52*СПРАВОЧНИК!$I$12+'ПЛАН ЧЕРН К1'!M52*СПРАВОЧНИК!$J$12+'ПЛАН ЧЕРН К1'!N52*СПРАВОЧНИК!$H$13+'ПЛАН ЧЕРН К1'!O52*СПРАВОЧНИК!$I$13+'ПЛАН ЧЕРН К1'!P52*СПРАВОЧНИК!$J$13+'ПЛАН ЧЕРН К1'!Q52*СПРАВОЧНИК!$H$14+'ПЛАН ЧЕРН К1'!R52*СПРАВОЧНИК!$I$14+'ПЛАН ЧЕРН К1'!S52*СПРАВОЧНИК!$J$14+'ПЛАН ЧЕРН К1'!T52*СПРАВОЧНИК!$H$15+'ПЛАН ЧЕРН К1'!U52*СПРАВОЧНИК!$I$15+'ПЛАН ЧЕРН К1'!V52*СПРАВОЧНИК!$J$15</f>
        <v/>
      </c>
      <c r="AC61" s="40">
        <f>('ФАКТ ЧЕРН К1'!B52)*СПРАВОЧНИК!$H$9+('ФАКТ ЧЕРН К1'!C52)*СПРАВОЧНИК!$I$9+('ФАКТ ЧЕРН К1'!D52)*СПРАВОЧНИК!$J$9+('ФАКТ ЧЕРН К1'!E52)*СПРАВОЧНИК!$H$10+('ФАКТ ЧЕРН К1'!F52)*СПРАВОЧНИК!$I$10+('ФАКТ ЧЕРН К1'!G52)*СПРАВОЧНИК!$J$10+('ФАКТ ЧЕРН К1'!H52)*СПРАВОЧНИК!$H$11+('ФАКТ ЧЕРН К1'!I52)*СПРАВОЧНИК!$I$11+('ФАКТ ЧЕРН К1'!J52)*СПРАВОЧНИК!$J$11+('ФАКТ ЧЕРН К1'!K52)*СПРАВОЧНИК!$H$12+('ФАКТ ЧЕРН К1'!L52)*СПРАВОЧНИК!$I$12+('ФАКТ ЧЕРН К1'!M52)*СПРАВОЧНИК!$J$12+('ФАКТ ЧЕРН К1'!N52)*СПРАВОЧНИК!$H$13+('ФАКТ ЧЕРН К1'!O52)*СПРАВОЧНИК!$I$13+('ФАКТ ЧЕРН К1'!P52)*СПРАВОЧНИК!$J$13+('ФАКТ ЧЕРН К1'!Q52)*СПРАВОЧНИК!$H$14+('ФАКТ ЧЕРН К1'!R52)*СПРАВОЧНИК!$I$14+('ФАКТ ЧЕРН К1'!S52)*СПРАВОЧНИК!$J$14+('ФАКТ ЧЕРН К1'!T52)*СПРАВОЧНИК!$H$15+('ФАКТ ЧЕРН К1'!U52)*СПРАВОЧНИК!$I$15+('ФАКТ ЧЕРН К1'!V52)*СПРАВОЧНИК!$J$15</f>
        <v/>
      </c>
      <c r="AG61" s="18">
        <f>AG60+7</f>
        <v/>
      </c>
      <c r="AH61" s="37">
        <f>'ПЛАН ЧИСТ К1'!B52*СПРАВОЧНИК!$L$9+'ПЛАН ЧИСТ К1'!C52*СПРАВОЧНИК!$M$9+'ПЛАН ЧИСТ К1'!D52*СПРАВОЧНИК!$N$9+'ПЛАН ЧИСТ К1'!E52*СПРАВОЧНИК!$O$9+'ПЛАН ЧИСТ К1'!F52*СПРАВОЧНИК!$L$10+'ПЛАН ЧИСТ К1'!G52*СПРАВОЧНИК!$M$10+'ПЛАН ЧИСТ К1'!H52*СПРАВОЧНИК!$N$10+'ПЛАН ЧИСТ К1'!I52*СПРАВОЧНИК!$O$10+'ПЛАН ЧИСТ К1'!J52*СПРАВОЧНИК!$L$11+'ПЛАН ЧИСТ К1'!K52*СПРАВОЧНИК!$M$11+'ПЛАН ЧИСТ К1'!L52*СПРАВОЧНИК!$N$11+'ПЛАН ЧИСТ К1'!M52*СПРАВОЧНИК!$L$12+'ПЛАН ЧИСТ К1'!N52*СПРАВОЧНИК!$M$12+'ПЛАН ЧИСТ К1'!O52*СПРАВОЧНИК!$N$12+'ПЛАН ЧИСТ К1'!P52*СПРАВОЧНИК!$O$12+'ПЛАН ЧИСТ К1'!Q52*СПРАВОЧНИК!$L$13+'ПЛАН ЧИСТ К1'!R52*СПРАВОЧНИК!$M$13+'ПЛАН ЧИСТ К1'!S52*СПРАВОЧНИК!$N$13+'ПЛАН ЧИСТ К1'!T52*СПРАВОЧНИК!$O$13+'ПЛАН ЧИСТ К1'!U52*СПРАВОЧНИК!$L$14+'ПЛАН ЧИСТ К1'!V52*СПРАВОЧНИК!$M$14+'ПЛАН ЧИСТ К1'!W52*СПРАВОЧНИК!$N$14+'ПЛАН ЧИСТ К1'!X52*СПРАВОЧНИК!$L$15+'ПЛАН ЧИСТ К1'!Y52*СПРАВОЧНИК!$M$15+'ПЛАН ЧИСТ К1'!Z52*СПРАВОЧНИК!$N$15</f>
        <v/>
      </c>
      <c r="AI61" s="40">
        <f>('ФАКТ ЧИСТ К1'!B52)*СПРАВОЧНИК!$L$9+('ФАКТ ЧИСТ К1'!C52)*СПРАВОЧНИК!$M$9+('ФАКТ ЧИСТ К1'!D52)*СПРАВОЧНИК!$N$9+('ФАКТ ЧИСТ К1'!E52)*СПРАВОЧНИК!$O$9+('ФАКТ ЧИСТ К1'!F52)*СПРАВОЧНИК!$L$10+('ФАКТ ЧИСТ К1'!G52)*СПРАВОЧНИК!$M$10+('ФАКТ ЧИСТ К1'!H52)*СПРАВОЧНИК!$N$10+('ФАКТ ЧИСТ К1'!I52)*СПРАВОЧНИК!$O$10+('ФАКТ ЧИСТ К1'!J52)*СПРАВОЧНИК!$L$11+('ФАКТ ЧИСТ К1'!K52)*СПРАВОЧНИК!$M$11+('ФАКТ ЧИСТ К1'!L52)*СПРАВОЧНИК!$N$11+('ФАКТ ЧИСТ К1'!M52)*СПРАВОЧНИК!$L$12+('ФАКТ ЧИСТ К1'!N52)*СПРАВОЧНИК!$M$12+('ФАКТ ЧИСТ К1'!O52)*СПРАВОЧНИК!$N$12+('ФАКТ ЧИСТ К1'!P52)*СПРАВОЧНИК!$O$12+('ФАКТ ЧИСТ К1'!Q52)*СПРАВОЧНИК!$L$13+('ФАКТ ЧИСТ К1'!R52)*СПРАВОЧНИК!$M$13+('ФАКТ ЧИСТ К1'!S52)*СПРАВОЧНИК!$N$13+('ФАКТ ЧИСТ К1'!T52)*СПРАВОЧНИК!$O$13+('ФАКТ ЧИСТ К1'!U52)*СПРАВОЧНИК!$L$14+('ФАКТ ЧИСТ К1'!V52)*СПРАВОЧНИК!$M$14+('ФАКТ ЧИСТ К1'!W52)*СПРАВОЧНИК!$N$14+('ФАКТ ЧИСТ К1'!X52)*СПРАВОЧНИК!$L$15+('ФАКТ ЧИСТ К1'!Y52)*СПРАВОЧНИК!$M$15+('ФАКТ ЧИСТ К1'!Z52)*СПРАВОЧНИК!$N$15</f>
        <v/>
      </c>
      <c r="AM61" s="18">
        <f>AM60+7</f>
        <v/>
      </c>
      <c r="AN61" s="37">
        <f>СПРАВОЧНИК!$E$9*('ПЛАН ЧЕРН К2'!B52*СПРАВОЧНИК!$H$9+'ПЛАН ЧЕРН К2'!C52*СПРАВОЧНИК!$I$9+'ПЛАН ЧЕРН К2'!D52*СПРАВОЧНИК!$J$9)+СПРАВОЧНИК!$E$10*('ПЛАН ЧЕРН К2'!E52*СПРАВОЧНИК!$H$10+'ПЛАН ЧЕРН К2'!F52*СПРАВОЧНИК!$I$10+'ПЛАН ЧЕРН К2'!G52*СПРАВОЧНИК!$J$10)+СПРАВОЧНИК!$E$11*('ПЛАН ЧЕРН К2'!H52*СПРАВОЧНИК!$H$11+'ПЛАН ЧЕРН К2'!I52*СПРАВОЧНИК!$I$11+'ПЛАН ЧЕРН К2'!J52*СПРАВОЧНИК!$J$11)+СПРАВОЧНИК!$E$12*('ПЛАН ЧЕРН К2'!K52*СПРАВОЧНИК!$H$12+'ПЛАН ЧЕРН К2'!L52*СПРАВОЧНИК!$I$12+'ПЛАН ЧЕРН К2'!M52*СПРАВОЧНИК!$J$12)+СПРАВОЧНИК!$E$13*('ПЛАН ЧЕРН К2'!N52*СПРАВОЧНИК!$H$13+'ПЛАН ЧЕРН К2'!O52*СПРАВОЧНИК!$I$13+'ПЛАН ЧЕРН К2'!P52*СПРАВОЧНИК!$J$13)+СПРАВОЧНИК!$E$14*('ПЛАН ЧЕРН К2'!Q52*СПРАВОЧНИК!$H$14+'ПЛАН ЧЕРН К2'!R52*СПРАВОЧНИК!$I$14+'ПЛАН ЧЕРН К2'!S52*СПРАВОЧНИК!$J$14)+СПРАВОЧНИК!$E$15*('ПЛАН ЧЕРН К2'!T52*СПРАВОЧНИК!$H$15+'ПЛАН ЧЕРН К2'!U52*СПРАВОЧНИК!$I$15+'ПЛАН ЧЕРН К2'!V52*СПРАВОЧНИК!$J$15)+СПРАВОЧНИК!$F$9*('ПЛАН ЧИСТ К2'!B52*СПРАВОЧНИК!$L$9+'ПЛАН ЧИСТ К2'!C52*СПРАВОЧНИК!$M$9+'ПЛАН ЧИСТ К2'!D52*СПРАВОЧНИК!$N$9+'ПЛАН ЧИСТ К2'!E52*СПРАВОЧНИК!$O$9)+СПРАВОЧНИК!$F$10*('ПЛАН ЧИСТ К2'!F52*СПРАВОЧНИК!$L$10+'ПЛАН ЧИСТ К2'!G52*СПРАВОЧНИК!$M$10+'ПЛАН ЧИСТ К2'!H52*СПРАВОЧНИК!$N$10+'ПЛАН ЧИСТ К2'!I52*СПРАВОЧНИК!$O$10)+СПРАВОЧНИК!$F$11*('ПЛАН ЧИСТ К2'!J52*СПРАВОЧНИК!$L$11+'ПЛАН ЧИСТ К2'!K52*СПРАВОЧНИК!$M$11+'ПЛАН ЧИСТ К2'!L52*СПРАВОЧНИК!$N$11)+СПРАВОЧНИК!$F$12*('ПЛАН ЧИСТ К2'!M52*СПРАВОЧНИК!$L$12+'ПЛАН ЧИСТ К2'!N52*СПРАВОЧНИК!$M$12+'ПЛАН ЧИСТ К2'!O52*СПРАВОЧНИК!$N$12+'ПЛАН ЧИСТ К2'!P52*СПРАВОЧНИК!$O$12)+СПРАВОЧНИК!$F$13*('ПЛАН ЧИСТ К2'!Q52*СПРАВОЧНИК!$L$13+'ПЛАН ЧИСТ К2'!R52*СПРАВОЧНИК!$M$13+'ПЛАН ЧИСТ К2'!S52*СПРАВОЧНИК!$N$13+'ПЛАН ЧИСТ К2'!T52*СПРАВОЧНИК!$O$13)+СПРАВОЧНИК!$F$14*('ПЛАН ЧИСТ К2'!U52*СПРАВОЧНИК!$L$14+'ПЛАН ЧИСТ К2'!V52*СПРАВОЧНИК!$M$14+'ПЛАН ЧИСТ К2'!W52*СПРАВОЧНИК!$N$14)+СПРАВОЧНИК!$F$15*('ПЛАН ЧИСТ К2'!X52*СПРАВОЧНИК!$L$15+'ПЛАН ЧИСТ К2'!Y52*СПРАВОЧНИК!$M$15+'ПЛАН ЧИСТ К2'!Z52*СПРАВОЧНИК!$N$15)</f>
        <v/>
      </c>
      <c r="AO61" s="40">
        <f>СПРАВОЧНИК!$E$9*(('ФАКТ ЧЕРН К2'!B52)*СПРАВОЧНИК!$H$9+('ФАКТ ЧЕРН К2'!C52)*СПРАВОЧНИК!$I$9+('ФАКТ ЧЕРН К2'!D52)*СПРАВОЧНИК!$J$9)+СПРАВОЧНИК!$E$10*(('ФАКТ ЧЕРН К2'!E52)*СПРАВОЧНИК!$H$10+('ФАКТ ЧЕРН К2'!F52)*СПРАВОЧНИК!$I$10+('ФАКТ ЧЕРН К2'!G52)*СПРАВОЧНИК!$J$10)+СПРАВОЧНИК!$E$11*(('ФАКТ ЧЕРН К2'!H52)*СПРАВОЧНИК!$H$11+('ФАКТ ЧЕРН К2'!I52)*СПРАВОЧНИК!$I$11+('ФАКТ ЧЕРН К2'!J52)*СПРАВОЧНИК!$J$11)+СПРАВОЧНИК!$E$12*(('ФАКТ ЧЕРН К2'!K52)*СПРАВОЧНИК!$H$12+('ФАКТ ЧЕРН К2'!L52)*СПРАВОЧНИК!$I$12+('ФАКТ ЧЕРН К2'!M52)*СПРАВОЧНИК!$J$12)+СПРАВОЧНИК!$E$13*(('ФАКТ ЧЕРН К2'!N52)*СПРАВОЧНИК!$H$13+('ФАКТ ЧЕРН К2'!O52)*СПРАВОЧНИК!$I$13+('ФАКТ ЧЕРН К2'!P52)*СПРАВОЧНИК!$J$13)+СПРАВОЧНИК!$E$14*(('ФАКТ ЧЕРН К2'!Q52)*СПРАВОЧНИК!$H$14+('ФАКТ ЧЕРН К2'!R52)*СПРАВОЧНИК!$I$14+('ФАКТ ЧЕРН К2'!S52)*СПРАВОЧНИК!$J$14)+СПРАВОЧНИК!$E$15*(('ФАКТ ЧЕРН К2'!T52)*СПРАВОЧНИК!$H$15+('ФАКТ ЧЕРН К2'!U52)*СПРАВОЧНИК!$I$15+('ФАКТ ЧЕРН К2'!V52)*СПРАВОЧНИК!$J$15)+СПРАВОЧНИК!$F$9*(('ФАКТ ЧИСТ К2'!B52)*СПРАВОЧНИК!$L$9+('ФАКТ ЧИСТ К2'!C52)*СПРАВОЧНИК!$M$9+('ФАКТ ЧИСТ К2'!D52)*СПРАВОЧНИК!$N$9+('ФАКТ ЧИСТ К2'!E52)*СПРАВОЧНИК!$O$9)+СПРАВОЧНИК!$F$10*(('ФАКТ ЧИСТ К2'!F52)*СПРАВОЧНИК!$L$10+('ФАКТ ЧИСТ К2'!G52)*СПРАВОЧНИК!$M$10+('ФАКТ ЧИСТ К2'!H52)*СПРАВОЧНИК!$N$10+('ФАКТ ЧИСТ К2'!I52)*СПРАВОЧНИК!$O$10)+СПРАВОЧНИК!$F$11*(('ФАКТ ЧИСТ К2'!J52)*СПРАВОЧНИК!$L$11+('ФАКТ ЧИСТ К2'!K52)*СПРАВОЧНИК!$M$11+('ФАКТ ЧИСТ К2'!L52)*СПРАВОЧНИК!$N$11)+СПРАВОЧНИК!$F$12*(('ФАКТ ЧИСТ К2'!M52)*СПРАВОЧНИК!$L$12+('ФАКТ ЧИСТ К2'!N52)*СПРАВОЧНИК!$M$12+('ФАКТ ЧИСТ К2'!O52)*СПРАВОЧНИК!$N$12+('ФАКТ ЧИСТ К2'!P52)*СПРАВОЧНИК!$O$12)+СПРАВОЧНИК!$F$13*(('ФАКТ ЧИСТ К2'!Q52)*СПРАВОЧНИК!$L$13+('ФАКТ ЧИСТ К2'!R52)*СПРАВОЧНИК!$M$13+('ФАКТ ЧИСТ К2'!S52)*СПРАВОЧНИК!$N$13+('ФАКТ ЧИСТ К2'!T52)*СПРАВОЧНИК!$O$13)+СПРАВОЧНИК!$F$14*(('ФАКТ ЧИСТ К2'!U52)*СПРАВОЧНИК!$L$14+('ФАКТ ЧИСТ К2'!V52)*СПРАВОЧНИК!$M$14+('ФАКТ ЧИСТ К2'!W52)*СПРАВОЧНИК!$N$14)+СПРАВОЧНИК!$F$15*(('ФАКТ ЧИСТ К2'!X52)*СПРАВОЧНИК!$L$15+('ФАКТ ЧИСТ К2'!Y52)*СПРАВОЧНИК!$M$15+('ФАКТ ЧИСТ К2'!Z52)*СПРАВОЧНИК!$N$15)</f>
        <v/>
      </c>
      <c r="AS61" s="18">
        <f>AS60+7</f>
        <v/>
      </c>
      <c r="AT61" s="37">
        <f>'ПЛАН ЧЕРН К2'!B52*СПРАВОЧНИК!$H$9+'ПЛАН ЧЕРН К2'!C52*СПРАВОЧНИК!$I$9+'ПЛАН ЧЕРН К2'!D52*СПРАВОЧНИК!$J$9+'ПЛАН ЧЕРН К2'!E52*СПРАВОЧНИК!$H$10+'ПЛАН ЧЕРН К2'!F52*СПРАВОЧНИК!$I$10+'ПЛАН ЧЕРН К2'!G52*СПРАВОЧНИК!$J$10+'ПЛАН ЧЕРН К2'!H52*СПРАВОЧНИК!$H$11+'ПЛАН ЧЕРН К2'!I52*СПРАВОЧНИК!$I$11+'ПЛАН ЧЕРН К2'!J52*СПРАВОЧНИК!$J$11+'ПЛАН ЧЕРН К2'!K52*СПРАВОЧНИК!$H$12+'ПЛАН ЧЕРН К2'!L52*СПРАВОЧНИК!$I$12+'ПЛАН ЧЕРН К2'!M52*СПРАВОЧНИК!$J$12+'ПЛАН ЧЕРН К2'!N52*СПРАВОЧНИК!$H$13+'ПЛАН ЧЕРН К2'!O52*СПРАВОЧНИК!$I$13+'ПЛАН ЧЕРН К2'!P52*СПРАВОЧНИК!$J$13+'ПЛАН ЧЕРН К2'!Q52*СПРАВОЧНИК!$H$14+'ПЛАН ЧЕРН К2'!R52*СПРАВОЧНИК!$I$14+'ПЛАН ЧЕРН К2'!S52*СПРАВОЧНИК!$J$14+'ПЛАН ЧЕРН К2'!T52*СПРАВОЧНИК!$H$15+'ПЛАН ЧЕРН К2'!U52*СПРАВОЧНИК!$I$15+'ПЛАН ЧЕРН К2'!V52*СПРАВОЧНИК!$J$15</f>
        <v/>
      </c>
      <c r="AU61" s="40">
        <f>('ФАКТ ЧЕРН К2'!B52)*СПРАВОЧНИК!$H$9+('ФАКТ ЧЕРН К2'!C52)*СПРАВОЧНИК!$I$9+('ФАКТ ЧЕРН К2'!D52)*СПРАВОЧНИК!$J$9+('ФАКТ ЧЕРН К2'!E52)*СПРАВОЧНИК!$H$10+('ФАКТ ЧЕРН К2'!F52)*СПРАВОЧНИК!$I$10+('ФАКТ ЧЕРН К2'!G52)*СПРАВОЧНИК!$J$10+('ФАКТ ЧЕРН К2'!H52)*СПРАВОЧНИК!$H$11+('ФАКТ ЧЕРН К2'!I52)*СПРАВОЧНИК!$I$11+('ФАКТ ЧЕРН К2'!J52)*СПРАВОЧНИК!$J$11+('ФАКТ ЧЕРН К2'!K52)*СПРАВОЧНИК!$H$12+('ФАКТ ЧЕРН К2'!L52)*СПРАВОЧНИК!$I$12+('ФАКТ ЧЕРН К2'!M52)*СПРАВОЧНИК!$J$12+('ФАКТ ЧЕРН К2'!N52)*СПРАВОЧНИК!$H$13+('ФАКТ ЧЕРН К2'!O52)*СПРАВОЧНИК!$I$13+('ФАКТ ЧЕРН К2'!P52)*СПРАВОЧНИК!$J$13+('ФАКТ ЧЕРН К2'!Q52)*СПРАВОЧНИК!$H$14+('ФАКТ ЧЕРН К2'!R52)*СПРАВОЧНИК!$I$14+('ФАКТ ЧЕРН К2'!S52)*СПРАВОЧНИК!$J$14+('ФАКТ ЧЕРН К2'!T52)*СПРАВОЧНИК!$H$15+('ФАКТ ЧЕРН К2'!U52)*СПРАВОЧНИК!$I$15+('ФАКТ ЧЕРН К2'!V52)*СПРАВОЧНИК!$J$15</f>
        <v/>
      </c>
      <c r="AY61" s="18">
        <f>AY60+7</f>
        <v/>
      </c>
      <c r="AZ61" s="37">
        <f>'ПЛАН ЧИСТ К2'!B52*СПРАВОЧНИК!$L$9+'ПЛАН ЧИСТ К2'!C52*СПРАВОЧНИК!$M$9+'ПЛАН ЧИСТ К2'!D52*СПРАВОЧНИК!$N$9+'ПЛАН ЧИСТ К2'!E52*СПРАВОЧНИК!$O$9+'ПЛАН ЧИСТ К2'!F52*СПРАВОЧНИК!$L$10+'ПЛАН ЧИСТ К2'!G52*СПРАВОЧНИК!$M$10+'ПЛАН ЧИСТ К2'!H52*СПРАВОЧНИК!$N$10+'ПЛАН ЧИСТ К2'!I52*СПРАВОЧНИК!$O$10+'ПЛАН ЧИСТ К2'!J52*СПРАВОЧНИК!$L$11+'ПЛАН ЧИСТ К2'!K52*СПРАВОЧНИК!$M$11+'ПЛАН ЧИСТ К2'!L52*СПРАВОЧНИК!$N$11+'ПЛАН ЧИСТ К2'!M52*СПРАВОЧНИК!$L$12+'ПЛАН ЧИСТ К2'!N52*СПРАВОЧНИК!$M$12+'ПЛАН ЧИСТ К2'!O52*СПРАВОЧНИК!$N$12+'ПЛАН ЧИСТ К2'!P52*СПРАВОЧНИК!$O$12+'ПЛАН ЧИСТ К2'!Q52*СПРАВОЧНИК!$L$13+'ПЛАН ЧИСТ К2'!R52*СПРАВОЧНИК!$M$13+'ПЛАН ЧИСТ К2'!S52*СПРАВОЧНИК!$N$13+'ПЛАН ЧИСТ К2'!T52*СПРАВОЧНИК!$O$13+'ПЛАН ЧИСТ К2'!U52*СПРАВОЧНИК!$L$14+'ПЛАН ЧИСТ К2'!V52*СПРАВОЧНИК!$M$14+'ПЛАН ЧИСТ К2'!W52*СПРАВОЧНИК!$N$14+'ПЛАН ЧИСТ К2'!X52*СПРАВОЧНИК!$L$15+'ПЛАН ЧИСТ К2'!Y52*СПРАВОЧНИК!$M$15+'ПЛАН ЧИСТ К2'!Z52*СПРАВОЧНИК!$N$15</f>
        <v/>
      </c>
      <c r="BA61" s="40">
        <f>('ФАКТ ЧИСТ К2'!B52)*СПРАВОЧНИК!$L$9+('ФАКТ ЧИСТ К2'!C52)*СПРАВОЧНИК!$M$9+('ФАКТ ЧИСТ К2'!D52)*СПРАВОЧНИК!$N$9+('ФАКТ ЧИСТ К2'!E52)*СПРАВОЧНИК!$O$9+('ФАКТ ЧИСТ К2'!F52)*СПРАВОЧНИК!$L$10+('ФАКТ ЧИСТ К2'!G52)*СПРАВОЧНИК!$M$10+('ФАКТ ЧИСТ К2'!H52)*СПРАВОЧНИК!$N$10+('ФАКТ ЧИСТ К2'!I52)*СПРАВОЧНИК!$O$10+('ФАКТ ЧИСТ К2'!J52)*СПРАВОЧНИК!$L$11+('ФАКТ ЧИСТ К2'!K52)*СПРАВОЧНИК!$M$11+('ФАКТ ЧИСТ К2'!L52)*СПРАВОЧНИК!$N$11+('ФАКТ ЧИСТ К2'!M52)*СПРАВОЧНИК!$L$12+('ФАКТ ЧИСТ К2'!N52)*СПРАВОЧНИК!$M$12+('ФАКТ ЧИСТ К2'!O52)*СПРАВОЧНИК!$N$12+('ФАКТ ЧИСТ К2'!P52)*СПРАВОЧНИК!$O$12+('ФАКТ ЧИСТ К2'!Q52)*СПРАВОЧНИК!$L$13+('ФАКТ ЧИСТ К2'!R52)*СПРАВОЧНИК!$M$13+('ФАКТ ЧИСТ К2'!S52)*СПРАВОЧНИК!$N$13+('ФАКТ ЧИСТ К2'!T52)*СПРАВОЧНИК!$O$13+('ФАКТ ЧИСТ К2'!U52)*СПРАВОЧНИК!$L$14+('ФАКТ ЧИСТ К2'!V52)*СПРАВОЧНИК!$M$14+('ФАКТ ЧИСТ К2'!W52)*СПРАВОЧНИК!$N$14+('ФАКТ ЧИСТ К2'!X52)*СПРАВОЧНИК!$L$15+('ФАКТ ЧИСТ К2'!Y52)*СПРАВОЧНИК!$M$15+('ФАКТ ЧИСТ К2'!Z52)*СПРАВОЧНИК!$N$15</f>
        <v/>
      </c>
      <c r="BE61" s="18">
        <f>BE60+7</f>
        <v/>
      </c>
      <c r="BF61" s="37">
        <f>СПРАВОЧНИК!$E$9*('ПЛАН ЧЕРН К3'!B52*СПРАВОЧНИК!$H$9+'ПЛАН ЧЕРН К3'!C52*СПРАВОЧНИК!$I$9+'ПЛАН ЧЕРН К3'!D52*СПРАВОЧНИК!$J$9)+СПРАВОЧНИК!$E$10*('ПЛАН ЧЕРН К3'!E52*СПРАВОЧНИК!$H$10+'ПЛАН ЧЕРН К3'!F52*СПРАВОЧНИК!$I$10+'ПЛАН ЧЕРН К3'!G52*СПРАВОЧНИК!$J$10)+СПРАВОЧНИК!$E$11*('ПЛАН ЧЕРН К3'!H52*СПРАВОЧНИК!$H$11+'ПЛАН ЧЕРН К3'!I52*СПРАВОЧНИК!$I$11+'ПЛАН ЧЕРН К3'!J52*СПРАВОЧНИК!$J$11)+СПРАВОЧНИК!$E$12*('ПЛАН ЧЕРН К3'!K52*СПРАВОЧНИК!$H$12+'ПЛАН ЧЕРН К3'!L52*СПРАВОЧНИК!$I$12+'ПЛАН ЧЕРН К3'!M52*СПРАВОЧНИК!$J$12)+СПРАВОЧНИК!$E$13*('ПЛАН ЧЕРН К3'!N52*СПРАВОЧНИК!$H$13+'ПЛАН ЧЕРН К3'!O52*СПРАВОЧНИК!$I$13+'ПЛАН ЧЕРН К3'!P52*СПРАВОЧНИК!$J$13)+СПРАВОЧНИК!$E$14*('ПЛАН ЧЕРН К3'!Q52*СПРАВОЧНИК!$H$14+'ПЛАН ЧЕРН К3'!R52*СПРАВОЧНИК!$I$14+'ПЛАН ЧЕРН К3'!S52*СПРАВОЧНИК!$J$14)+СПРАВОЧНИК!$E$15*('ПЛАН ЧЕРН К3'!T52*СПРАВОЧНИК!$H$15+'ПЛАН ЧЕРН К3'!U52*СПРАВОЧНИК!$I$15+'ПЛАН ЧЕРН К3'!V52*СПРАВОЧНИК!$J$15)+СПРАВОЧНИК!$F$9*('ПЛАН ЧИСТ К3'!B52*СПРАВОЧНИК!$L$9+'ПЛАН ЧИСТ К3'!C52*СПРАВОЧНИК!$M$9+'ПЛАН ЧИСТ К3'!D52*СПРАВОЧНИК!$N$9+'ПЛАН ЧИСТ К3'!E52*СПРАВОЧНИК!$O$9)+СПРАВОЧНИК!$F$10*('ПЛАН ЧИСТ К3'!F52*СПРАВОЧНИК!$L$10+'ПЛАН ЧИСТ К3'!G52*СПРАВОЧНИК!$M$10+'ПЛАН ЧИСТ К3'!H52*СПРАВОЧНИК!$N$10+'ПЛАН ЧИСТ К3'!I52*СПРАВОЧНИК!$O$10)+СПРАВОЧНИК!$F$11*('ПЛАН ЧИСТ К3'!J52*СПРАВОЧНИК!$L$11+'ПЛАН ЧИСТ К3'!K52*СПРАВОЧНИК!$M$11+'ПЛАН ЧИСТ К3'!L52*СПРАВОЧНИК!$N$11)+СПРАВОЧНИК!$F$12*('ПЛАН ЧИСТ К3'!M52*СПРАВОЧНИК!$L$12+'ПЛАН ЧИСТ К3'!N52*СПРАВОЧНИК!$M$12+'ПЛАН ЧИСТ К3'!O52*СПРАВОЧНИК!$N$12+'ПЛАН ЧИСТ К3'!P52*СПРАВОЧНИК!$O$12)+СПРАВОЧНИК!$F$13*('ПЛАН ЧИСТ К3'!Q52*СПРАВОЧНИК!$L$13+'ПЛАН ЧИСТ К3'!R52*СПРАВОЧНИК!$M$13+'ПЛАН ЧИСТ К3'!S52*СПРАВОЧНИК!$N$13+'ПЛАН ЧИСТ К3'!T52*СПРАВОЧНИК!$O$13)+СПРАВОЧНИК!$F$14*('ПЛАН ЧИСТ К3'!U52*СПРАВОЧНИК!$L$14+'ПЛАН ЧИСТ К3'!V52*СПРАВОЧНИК!$M$14+'ПЛАН ЧИСТ К3'!W52*СПРАВОЧНИК!$N$14)+СПРАВОЧНИК!$F$15*('ПЛАН ЧИСТ К3'!X52*СПРАВОЧНИК!$L$15+'ПЛАН ЧИСТ К3'!Y52*СПРАВОЧНИК!$M$15+'ПЛАН ЧИСТ К3'!Z52*СПРАВОЧНИК!$N$15)</f>
        <v/>
      </c>
      <c r="BG61" s="40">
        <f>СПРАВОЧНИК!$E$9*(('ФАКТ ЧЕРН К3'!B52)*СПРАВОЧНИК!$H$9+('ФАКТ ЧЕРН К3'!C52)*СПРАВОЧНИК!$I$9+('ФАКТ ЧЕРН К3'!D52)*СПРАВОЧНИК!$J$9)+СПРАВОЧНИК!$E$10*(('ФАКТ ЧЕРН К3'!E52)*СПРАВОЧНИК!$H$10+('ФАКТ ЧЕРН К3'!F52)*СПРАВОЧНИК!$I$10+('ФАКТ ЧЕРН К3'!G52)*СПРАВОЧНИК!$J$10)+СПРАВОЧНИК!$E$11*(('ФАКТ ЧЕРН К3'!H52)*СПРАВОЧНИК!$H$11+('ФАКТ ЧЕРН К3'!I52)*СПРАВОЧНИК!$I$11+('ФАКТ ЧЕРН К3'!J52)*СПРАВОЧНИК!$J$11)+СПРАВОЧНИК!$E$12*(('ФАКТ ЧЕРН К3'!K52)*СПРАВОЧНИК!$H$12+('ФАКТ ЧЕРН К3'!L52)*СПРАВОЧНИК!$I$12+('ФАКТ ЧЕРН К3'!M52)*СПРАВОЧНИК!$J$12)+СПРАВОЧНИК!$E$13*(('ФАКТ ЧЕРН К3'!N52)*СПРАВОЧНИК!$H$13+('ФАКТ ЧЕРН К3'!O52)*СПРАВОЧНИК!$I$13+('ФАКТ ЧЕРН К3'!P52)*СПРАВОЧНИК!$J$13)+СПРАВОЧНИК!$E$14*(('ФАКТ ЧЕРН К3'!Q52)*СПРАВОЧНИК!$H$14+('ФАКТ ЧЕРН К3'!R52)*СПРАВОЧНИК!$I$14+('ФАКТ ЧЕРН К3'!S52)*СПРАВОЧНИК!$J$14)+СПРАВОЧНИК!$E$15*(('ФАКТ ЧЕРН К3'!T52)*СПРАВОЧНИК!$H$15+('ФАКТ ЧЕРН К3'!U52)*СПРАВОЧНИК!$I$15+('ФАКТ ЧЕРН К3'!V52)*СПРАВОЧНИК!$J$15)+СПРАВОЧНИК!$F$9*(('ФАКТ ЧИСТ К3'!B52)*СПРАВОЧНИК!$L$9+('ФАКТ ЧИСТ К3'!C52)*СПРАВОЧНИК!$M$9+('ФАКТ ЧИСТ К3'!D52)*СПРАВОЧНИК!$N$9+('ФАКТ ЧИСТ К3'!E52)*СПРАВОЧНИК!$O$9)+СПРАВОЧНИК!$F$10*(('ФАКТ ЧИСТ К3'!F52)*СПРАВОЧНИК!$L$10+('ФАКТ ЧИСТ К3'!G52)*СПРАВОЧНИК!$M$10+('ФАКТ ЧИСТ К3'!H52)*СПРАВОЧНИК!$N$10+('ФАКТ ЧИСТ К3'!I52)*СПРАВОЧНИК!$O$10)+СПРАВОЧНИК!$F$11*(('ФАКТ ЧИСТ К3'!J52)*СПРАВОЧНИК!$L$11+('ФАКТ ЧИСТ К3'!K52)*СПРАВОЧНИК!$M$11+('ФАКТ ЧИСТ К3'!L52)*СПРАВОЧНИК!$N$11)+СПРАВОЧНИК!$F$12*(('ФАКТ ЧИСТ К3'!M52)*СПРАВОЧНИК!$L$12+('ФАКТ ЧИСТ К3'!N52)*СПРАВОЧНИК!$M$12+('ФАКТ ЧИСТ К3'!O52)*СПРАВОЧНИК!$N$12+('ФАКТ ЧИСТ К3'!P52)*СПРАВОЧНИК!$O$12)+СПРАВОЧНИК!$F$13*(('ФАКТ ЧИСТ К3'!Q52)*СПРАВОЧНИК!$L$13+('ФАКТ ЧИСТ К3'!R52)*СПРАВОЧНИК!$M$13+('ФАКТ ЧИСТ К3'!S52)*СПРАВОЧНИК!$N$13+('ФАКТ ЧИСТ К3'!T52)*СПРАВОЧНИК!$O$13)+СПРАВОЧНИК!$F$14*(('ФАКТ ЧИСТ К3'!U52)*СПРАВОЧНИК!$L$14+('ФАКТ ЧИСТ К3'!V52)*СПРАВОЧНИК!$M$14+('ФАКТ ЧИСТ К3'!W52)*СПРАВОЧНИК!$N$14)+СПРАВОЧНИК!$F$15*(('ФАКТ ЧИСТ К3'!X52)*СПРАВОЧНИК!$L$15+('ФАКТ ЧИСТ К3'!Y52)*СПРАВОЧНИК!$M$15+('ФАКТ ЧИСТ К3'!Z52)*СПРАВОЧНИК!$N$15)</f>
        <v/>
      </c>
      <c r="BK61" s="18">
        <f>BK60+7</f>
        <v/>
      </c>
      <c r="BL61" s="37">
        <f>'ПЛАН ЧЕРН К3'!B52*СПРАВОЧНИК!$H$9+'ПЛАН ЧЕРН К3'!C52*СПРАВОЧНИК!$I$9+'ПЛАН ЧЕРН К3'!D52*СПРАВОЧНИК!$J$9+'ПЛАН ЧЕРН К3'!E52*СПРАВОЧНИК!$H$10+'ПЛАН ЧЕРН К3'!F52*СПРАВОЧНИК!$I$10+'ПЛАН ЧЕРН К3'!G52*СПРАВОЧНИК!$J$10+'ПЛАН ЧЕРН К3'!H52*СПРАВОЧНИК!$H$11+'ПЛАН ЧЕРН К3'!I52*СПРАВОЧНИК!$I$11+'ПЛАН ЧЕРН К3'!J52*СПРАВОЧНИК!$J$11+'ПЛАН ЧЕРН К3'!K52*СПРАВОЧНИК!$H$12+'ПЛАН ЧЕРН К3'!L52*СПРАВОЧНИК!$I$12+'ПЛАН ЧЕРН К3'!M52*СПРАВОЧНИК!$J$12+'ПЛАН ЧЕРН К3'!N52*СПРАВОЧНИК!$H$13+'ПЛАН ЧЕРН К3'!O52*СПРАВОЧНИК!$I$13+'ПЛАН ЧЕРН К3'!P52*СПРАВОЧНИК!$J$13+'ПЛАН ЧЕРН К3'!Q52*СПРАВОЧНИК!$H$14+'ПЛАН ЧЕРН К3'!R52*СПРАВОЧНИК!$I$14+'ПЛАН ЧЕРН К3'!S52*СПРАВОЧНИК!$J$14+'ПЛАН ЧЕРН К3'!T52*СПРАВОЧНИК!$H$15+'ПЛАН ЧЕРН К3'!U52*СПРАВОЧНИК!$I$15+'ПЛАН ЧЕРН К3'!V52*СПРАВОЧНИК!$J$15</f>
        <v/>
      </c>
      <c r="BM61" s="40">
        <f>('ФАКТ ЧЕРН К3'!B52)*СПРАВОЧНИК!$H$9+('ФАКТ ЧЕРН К3'!C52)*СПРАВОЧНИК!$I$9+('ФАКТ ЧЕРН К3'!D52)*СПРАВОЧНИК!$J$9+('ФАКТ ЧЕРН К3'!E52)*СПРАВОЧНИК!$H$10+('ФАКТ ЧЕРН К3'!F52)*СПРАВОЧНИК!$I$10+('ФАКТ ЧЕРН К3'!G52)*СПРАВОЧНИК!$J$10+('ФАКТ ЧЕРН К3'!H52)*СПРАВОЧНИК!$H$11+('ФАКТ ЧЕРН К3'!I52)*СПРАВОЧНИК!$I$11+('ФАКТ ЧЕРН К3'!J52)*СПРАВОЧНИК!$J$11+('ФАКТ ЧЕРН К3'!K52)*СПРАВОЧНИК!$H$12+('ФАКТ ЧЕРН К3'!L52)*СПРАВОЧНИК!$I$12+('ФАКТ ЧЕРН К3'!M52)*СПРАВОЧНИК!$J$12+('ФАКТ ЧЕРН К3'!N52)*СПРАВОЧНИК!$H$13+('ФАКТ ЧЕРН К3'!O52)*СПРАВОЧНИК!$I$13+('ФАКТ ЧЕРН К3'!P52)*СПРАВОЧНИК!$J$13+('ФАКТ ЧЕРН К3'!Q52)*СПРАВОЧНИК!$H$14+('ФАКТ ЧЕРН К3'!R52)*СПРАВОЧНИК!$I$14+('ФАКТ ЧЕРН К3'!S52)*СПРАВОЧНИК!$J$14+('ФАКТ ЧЕРН К3'!T52)*СПРАВОЧНИК!$H$15+('ФАКТ ЧЕРН К3'!U52)*СПРАВОЧНИК!$I$15+('ФАКТ ЧЕРН К3'!V52)*СПРАВОЧНИК!$J$15</f>
        <v/>
      </c>
      <c r="BQ61" s="18">
        <f>BQ60+7</f>
        <v/>
      </c>
      <c r="BR61" s="37">
        <f>'ПЛАН ЧИСТ К3'!B52*СПРАВОЧНИК!$L$9+'ПЛАН ЧИСТ К3'!C52*СПРАВОЧНИК!$M$9+'ПЛАН ЧИСТ К3'!D52*СПРАВОЧНИК!$N$9+'ПЛАН ЧИСТ К3'!E52*СПРАВОЧНИК!$O$9+'ПЛАН ЧИСТ К3'!F52*СПРАВОЧНИК!$L$10+'ПЛАН ЧИСТ К3'!G52*СПРАВОЧНИК!$M$10+'ПЛАН ЧИСТ К3'!H52*СПРАВОЧНИК!$N$10+'ПЛАН ЧИСТ К3'!I52*СПРАВОЧНИК!$O$10+'ПЛАН ЧИСТ К3'!J52*СПРАВОЧНИК!$L$11+'ПЛАН ЧИСТ К3'!K52*СПРАВОЧНИК!$M$11+'ПЛАН ЧИСТ К3'!L52*СПРАВОЧНИК!$N$11+'ПЛАН ЧИСТ К3'!M52*СПРАВОЧНИК!$L$12+'ПЛАН ЧИСТ К3'!N52*СПРАВОЧНИК!$M$12+'ПЛАН ЧИСТ К3'!O52*СПРАВОЧНИК!$N$12+'ПЛАН ЧИСТ К3'!P52*СПРАВОЧНИК!$O$12+'ПЛАН ЧИСТ К3'!Q52*СПРАВОЧНИК!$L$13+'ПЛАН ЧИСТ К3'!R52*СПРАВОЧНИК!$M$13+'ПЛАН ЧИСТ К3'!S52*СПРАВОЧНИК!$N$13+'ПЛАН ЧИСТ К3'!T52*СПРАВОЧНИК!$O$13+'ПЛАН ЧИСТ К3'!U52*СПРАВОЧНИК!$L$14+'ПЛАН ЧИСТ К3'!V52*СПРАВОЧНИК!$M$14+'ПЛАН ЧИСТ К3'!W52*СПРАВОЧНИК!$N$14+'ПЛАН ЧИСТ К3'!X52*СПРАВОЧНИК!$L$15+'ПЛАН ЧИСТ К3'!Y52*СПРАВОЧНИК!$M$15+'ПЛАН ЧИСТ К3'!Z52*СПРАВОЧНИК!$N$15</f>
        <v/>
      </c>
      <c r="BS61" s="40">
        <f>('ФАКТ ЧИСТ К3'!B52)*СПРАВОЧНИК!$L$9+('ФАКТ ЧИСТ К3'!C52)*СПРАВОЧНИК!$M$9+('ФАКТ ЧИСТ К3'!D52)*СПРАВОЧНИК!$N$9+('ФАКТ ЧИСТ К3'!E52)*СПРАВОЧНИК!$O$9+('ФАКТ ЧИСТ К3'!F52)*СПРАВОЧНИК!$L$10+('ФАКТ ЧИСТ К3'!G52)*СПРАВОЧНИК!$M$10+('ФАКТ ЧИСТ К3'!H52)*СПРАВОЧНИК!$N$10+('ФАКТ ЧИСТ К3'!I52)*СПРАВОЧНИК!$O$10+('ФАКТ ЧИСТ К3'!J52)*СПРАВОЧНИК!$L$11+('ФАКТ ЧИСТ К3'!K52)*СПРАВОЧНИК!$M$11+('ФАКТ ЧИСТ К3'!L52)*СПРАВОЧНИК!$N$11+('ФАКТ ЧИСТ К3'!M52)*СПРАВОЧНИК!$L$12+('ФАКТ ЧИСТ К3'!N52)*СПРАВОЧНИК!$M$12+('ФАКТ ЧИСТ К3'!O52)*СПРАВОЧНИК!$N$12+('ФАКТ ЧИСТ К3'!P52)*СПРАВОЧНИК!$O$12+('ФАКТ ЧИСТ К3'!Q52)*СПРАВОЧНИК!$L$13+('ФАКТ ЧИСТ К3'!R52)*СПРАВОЧНИК!$M$13+('ФАКТ ЧИСТ К3'!S52)*СПРАВОЧНИК!$N$13+('ФАКТ ЧИСТ К3'!T52)*СПРАВОЧНИК!$O$13+('ФАКТ ЧИСТ К3'!U52)*СПРАВОЧНИК!$L$14+('ФАКТ ЧИСТ К3'!V52)*СПРАВОЧНИК!$M$14+('ФАКТ ЧИСТ К3'!W52)*СПРАВОЧНИК!$N$14+('ФАКТ ЧИСТ К3'!X52)*СПРАВОЧНИК!$L$15+('ФАКТ ЧИСТ К3'!Y52)*СПРАВОЧНИК!$M$15+('ФАКТ ЧИСТ К3'!Z52)*СПРАВОЧНИК!$N$15</f>
        <v/>
      </c>
      <c r="BW61" s="18">
        <f>BW60+7</f>
        <v/>
      </c>
      <c r="BX61" s="37">
        <f>V61+AN61+BF61</f>
        <v/>
      </c>
      <c r="BY61" s="40">
        <f>W61+AO61+BG61</f>
        <v/>
      </c>
      <c r="CC61" s="18">
        <f>CC60+7</f>
        <v/>
      </c>
      <c r="CD61" s="37">
        <f>AB61+AT61+BL61</f>
        <v/>
      </c>
      <c r="CE61" s="40">
        <f>AC61+AU61+BM61</f>
        <v/>
      </c>
      <c r="CI61" s="18">
        <f>CI60+7</f>
        <v/>
      </c>
      <c r="CJ61" s="37">
        <f>AH61+AZ61+BR61</f>
        <v/>
      </c>
      <c r="CK61" s="40">
        <f>AI61+BA61+BS61</f>
        <v/>
      </c>
      <c r="CO61" s="18">
        <f>CO60+7</f>
        <v/>
      </c>
      <c r="CP61" s="37">
        <f>D61+BX61</f>
        <v/>
      </c>
      <c r="CQ61" s="40">
        <f>E61+BY61</f>
        <v/>
      </c>
      <c r="CU61" s="18">
        <f>CU60+7</f>
        <v/>
      </c>
      <c r="CV61" s="37">
        <f>J61+CD61</f>
        <v/>
      </c>
      <c r="CW61" s="40">
        <f>K61+CE61</f>
        <v/>
      </c>
      <c r="DA61" s="18">
        <f>DA60+7</f>
        <v/>
      </c>
      <c r="DB61" s="37">
        <f>P61+CJ61</f>
        <v/>
      </c>
      <c r="DC61" s="40">
        <f>Q61+CK61</f>
        <v/>
      </c>
    </row>
  </sheetData>
  <conditionalFormatting sqref="C14:C61">
    <cfRule type="expression" priority="1" dxfId="0">
      <formula>AND(C14&lt;=TODAY(),C14+6&gt;=TODAY())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2026-08-10T15:39:40Z</dcterms:created>
  <dcterms:modified xmlns:dcterms="http://purl.org/dc/terms/" xmlns:xsi="http://www.w3.org/2001/XMLSchema-instance" xsi:type="dcterms:W3CDTF">2026-08-17T12:08:21Z</dcterms:modified>
  <cp:lastModifiedBy>Игнатов Игорь Сергеевич</cp:lastModifiedBy>
</cp:coreProperties>
</file>