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mr.ru\Service\Personal\ignatov_i\Documents\CloudCode\Отделка SIGNAL\"/>
    </mc:Choice>
  </mc:AlternateContent>
  <xr:revisionPtr revIDLastSave="0" documentId="13_ncr:1_{A678C267-C0EF-4C3E-A179-9653165A1D98}" xr6:coauthVersionLast="47" xr6:coauthVersionMax="47" xr10:uidLastSave="{00000000-0000-0000-0000-000000000000}"/>
  <bookViews>
    <workbookView xWindow="-25245" yWindow="-21720" windowWidth="38640" windowHeight="21240" tabRatio="909" xr2:uid="{00000000-000D-0000-FFFF-FFFF00000000}"/>
  </bookViews>
  <sheets>
    <sheet name="СПРАВОЧНИК" sheetId="1" r:id="rId1"/>
    <sheet name="ВВОД ПОДЗЕМ" sheetId="2" r:id="rId2"/>
    <sheet name="ВВОД К1" sheetId="3" r:id="rId3"/>
    <sheet name="ВВОД К2" sheetId="4" r:id="rId4"/>
    <sheet name="ВВОД К3" sheetId="5" r:id="rId5"/>
    <sheet name="ПЛАН ЧЕРН ПОДЗЕМ" sheetId="6" r:id="rId6"/>
    <sheet name="ПЛАН ЧИСТ ПОДЗЕМ" sheetId="7" r:id="rId7"/>
    <sheet name="ПЛАН ЧЕРН К1" sheetId="8" r:id="rId8"/>
    <sheet name="ПЛАН ЧИСТ К1" sheetId="9" r:id="rId9"/>
    <sheet name="ПЛАН ЧЕРН К2" sheetId="10" r:id="rId10"/>
    <sheet name="ПЛАН ЧИСТ К2" sheetId="11" r:id="rId11"/>
    <sheet name="ПЛАН ЧЕРН К3" sheetId="12" r:id="rId12"/>
    <sheet name="ПЛАН ЧИСТ К3" sheetId="13" r:id="rId13"/>
    <sheet name="ФАКТ ЧЕРН ПОДЗЕМ" sheetId="14" r:id="rId14"/>
    <sheet name="ФАКТ ЧИСТ ПОДЗЕМ" sheetId="15" r:id="rId15"/>
    <sheet name="ФАКТ ЧЕРН К1" sheetId="16" r:id="rId16"/>
    <sheet name="ФАКТ ЧИСТ К1" sheetId="17" r:id="rId17"/>
    <sheet name="ФАКТ ЧЕРН К2" sheetId="18" r:id="rId18"/>
    <sheet name="ФАКТ ЧИСТ К2" sheetId="19" r:id="rId19"/>
    <sheet name="ФАКТ ЧЕРН К3" sheetId="20" r:id="rId20"/>
    <sheet name="ФАКТ ЧИСТ К3" sheetId="21" r:id="rId21"/>
    <sheet name="ОТЧЕТ" sheetId="22" r:id="rId22"/>
    <sheet name="Лист2" sheetId="23" r:id="rId23"/>
    <sheet name="SIGNAL" sheetId="24" r:id="rId24"/>
  </sheets>
  <definedNames>
    <definedName name="К1_Общий_8_2">SIGNAL!$T:$W</definedName>
    <definedName name="К1_Черновая_8_2">SIGNAL!$Z:$AC</definedName>
    <definedName name="К1_Чистовая_8_2">SIGNAL!$AF:$AI</definedName>
    <definedName name="К2_Общий_8_2">SIGNAL!$AL:$AO</definedName>
    <definedName name="К2_Черновая_8_2">SIGNAL!$AR:$AU</definedName>
    <definedName name="К2_Чистовая_8_2">SIGNAL!$AX:$BA</definedName>
    <definedName name="К3_Общий_8_2">SIGNAL!$BD:$BG</definedName>
    <definedName name="К3_Черновая_8_2">SIGNAL!$BJ:$BM</definedName>
    <definedName name="К3_Чистовая_8_2">SIGNAL!$BP:$BS</definedName>
    <definedName name="Общая">SIGNAL!$CN:$CQ</definedName>
    <definedName name="Общий_8_1">SIGNAL!$B:$E</definedName>
    <definedName name="Общий_8_2">SIGNAL!$BV:$BY</definedName>
    <definedName name="Черновая">SIGNAL!$CT:$CW</definedName>
    <definedName name="Черновая_8_1">SIGNAL!$H:$K</definedName>
    <definedName name="Черновая_8_2">SIGNAL!$CB:$CE</definedName>
    <definedName name="Чистовая">SIGNAL!$CZ:$DC</definedName>
    <definedName name="Чистовая_8_1">SIGNAL!$N:$Q</definedName>
    <definedName name="Чистовая_8_2">SIGNAL!$CH:$CK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D11" i="1"/>
  <c r="D12" i="1"/>
  <c r="D13" i="1"/>
  <c r="D14" i="1"/>
  <c r="CE61" i="24" l="1"/>
  <c r="BS61" i="24"/>
  <c r="BR61" i="24"/>
  <c r="BM61" i="24"/>
  <c r="BL61" i="24"/>
  <c r="BG61" i="24"/>
  <c r="BY61" i="24" s="1"/>
  <c r="BF61" i="24"/>
  <c r="BA61" i="24"/>
  <c r="CK61" i="24" s="1"/>
  <c r="AZ61" i="24"/>
  <c r="CJ61" i="24" s="1"/>
  <c r="AU61" i="24"/>
  <c r="AT61" i="24"/>
  <c r="CD61" i="24" s="1"/>
  <c r="CV61" i="24" s="1"/>
  <c r="AO61" i="24"/>
  <c r="AN61" i="24"/>
  <c r="BX61" i="24" s="1"/>
  <c r="AI61" i="24"/>
  <c r="AH61" i="24"/>
  <c r="AC61" i="24"/>
  <c r="AB61" i="24"/>
  <c r="W61" i="24"/>
  <c r="V61" i="24"/>
  <c r="Q61" i="24"/>
  <c r="P61" i="24"/>
  <c r="K61" i="24"/>
  <c r="CW61" i="24" s="1"/>
  <c r="J61" i="24"/>
  <c r="E61" i="24"/>
  <c r="D61" i="24"/>
  <c r="CP61" i="24" s="1"/>
  <c r="CJ60" i="24"/>
  <c r="DB60" i="24" s="1"/>
  <c r="BS60" i="24"/>
  <c r="BR60" i="24"/>
  <c r="BM60" i="24"/>
  <c r="BL60" i="24"/>
  <c r="BG60" i="24"/>
  <c r="BF60" i="24"/>
  <c r="BA60" i="24"/>
  <c r="AZ60" i="24"/>
  <c r="AU60" i="24"/>
  <c r="CE60" i="24" s="1"/>
  <c r="CW60" i="24" s="1"/>
  <c r="AT60" i="24"/>
  <c r="AO60" i="24"/>
  <c r="BY60" i="24" s="1"/>
  <c r="AN60" i="24"/>
  <c r="BX60" i="24" s="1"/>
  <c r="AI60" i="24"/>
  <c r="CK60" i="24" s="1"/>
  <c r="DC60" i="24" s="1"/>
  <c r="AH60" i="24"/>
  <c r="AC60" i="24"/>
  <c r="AB60" i="24"/>
  <c r="CD60" i="24" s="1"/>
  <c r="CV60" i="24" s="1"/>
  <c r="W60" i="24"/>
  <c r="V60" i="24"/>
  <c r="Q60" i="24"/>
  <c r="P60" i="24"/>
  <c r="K60" i="24"/>
  <c r="J60" i="24"/>
  <c r="E60" i="24"/>
  <c r="CQ60" i="24" s="1"/>
  <c r="D60" i="24"/>
  <c r="CP60" i="24" s="1"/>
  <c r="BX59" i="24"/>
  <c r="CP59" i="24" s="1"/>
  <c r="BS59" i="24"/>
  <c r="BR59" i="24"/>
  <c r="BM59" i="24"/>
  <c r="BL59" i="24"/>
  <c r="BG59" i="24"/>
  <c r="BF59" i="24"/>
  <c r="BA59" i="24"/>
  <c r="AZ59" i="24"/>
  <c r="AU59" i="24"/>
  <c r="AT59" i="24"/>
  <c r="AO59" i="24"/>
  <c r="AN59" i="24"/>
  <c r="AI59" i="24"/>
  <c r="CK59" i="24" s="1"/>
  <c r="AH59" i="24"/>
  <c r="CJ59" i="24" s="1"/>
  <c r="AC59" i="24"/>
  <c r="CE59" i="24" s="1"/>
  <c r="CW59" i="24" s="1"/>
  <c r="AB59" i="24"/>
  <c r="CD59" i="24" s="1"/>
  <c r="CV59" i="24" s="1"/>
  <c r="W59" i="24"/>
  <c r="BY59" i="24" s="1"/>
  <c r="CQ59" i="24" s="1"/>
  <c r="V59" i="24"/>
  <c r="Q59" i="24"/>
  <c r="DC59" i="24" s="1"/>
  <c r="P59" i="24"/>
  <c r="DB59" i="24" s="1"/>
  <c r="K59" i="24"/>
  <c r="J59" i="24"/>
  <c r="E59" i="24"/>
  <c r="D59" i="24"/>
  <c r="CK58" i="24"/>
  <c r="CJ58" i="24"/>
  <c r="BS58" i="24"/>
  <c r="BR58" i="24"/>
  <c r="BM58" i="24"/>
  <c r="BL58" i="24"/>
  <c r="CD58" i="24" s="1"/>
  <c r="BG58" i="24"/>
  <c r="BF58" i="24"/>
  <c r="BA58" i="24"/>
  <c r="AZ58" i="24"/>
  <c r="AU58" i="24"/>
  <c r="CE58" i="24" s="1"/>
  <c r="CW58" i="24" s="1"/>
  <c r="AT58" i="24"/>
  <c r="AO58" i="24"/>
  <c r="AN58" i="24"/>
  <c r="AI58" i="24"/>
  <c r="AH58" i="24"/>
  <c r="AC58" i="24"/>
  <c r="AB58" i="24"/>
  <c r="W58" i="24"/>
  <c r="BY58" i="24" s="1"/>
  <c r="V58" i="24"/>
  <c r="BX58" i="24" s="1"/>
  <c r="Q58" i="24"/>
  <c r="P58" i="24"/>
  <c r="DB58" i="24" s="1"/>
  <c r="K58" i="24"/>
  <c r="J58" i="24"/>
  <c r="CV58" i="24" s="1"/>
  <c r="E58" i="24"/>
  <c r="CQ58" i="24" s="1"/>
  <c r="D58" i="24"/>
  <c r="BY57" i="24"/>
  <c r="BX57" i="24"/>
  <c r="BS57" i="24"/>
  <c r="BR57" i="24"/>
  <c r="BM57" i="24"/>
  <c r="BL57" i="24"/>
  <c r="BG57" i="24"/>
  <c r="BF57" i="24"/>
  <c r="BA57" i="24"/>
  <c r="AZ57" i="24"/>
  <c r="CJ57" i="24" s="1"/>
  <c r="DB57" i="24" s="1"/>
  <c r="AU57" i="24"/>
  <c r="AT57" i="24"/>
  <c r="CD57" i="24" s="1"/>
  <c r="AO57" i="24"/>
  <c r="AN57" i="24"/>
  <c r="AI57" i="24"/>
  <c r="CK57" i="24" s="1"/>
  <c r="DC57" i="24" s="1"/>
  <c r="AH57" i="24"/>
  <c r="AC57" i="24"/>
  <c r="CE57" i="24" s="1"/>
  <c r="AB57" i="24"/>
  <c r="W57" i="24"/>
  <c r="V57" i="24"/>
  <c r="Q57" i="24"/>
  <c r="P57" i="24"/>
  <c r="K57" i="24"/>
  <c r="J57" i="24"/>
  <c r="CV57" i="24" s="1"/>
  <c r="E57" i="24"/>
  <c r="CQ57" i="24" s="1"/>
  <c r="D57" i="24"/>
  <c r="CP57" i="24" s="1"/>
  <c r="DB56" i="24"/>
  <c r="BS56" i="24"/>
  <c r="BR56" i="24"/>
  <c r="BM56" i="24"/>
  <c r="BL56" i="24"/>
  <c r="BG56" i="24"/>
  <c r="BF56" i="24"/>
  <c r="BA56" i="24"/>
  <c r="AZ56" i="24"/>
  <c r="AU56" i="24"/>
  <c r="AT56" i="24"/>
  <c r="AO56" i="24"/>
  <c r="AN56" i="24"/>
  <c r="BX56" i="24" s="1"/>
  <c r="CP56" i="24" s="1"/>
  <c r="AI56" i="24"/>
  <c r="CK56" i="24" s="1"/>
  <c r="AH56" i="24"/>
  <c r="CJ56" i="24" s="1"/>
  <c r="AC56" i="24"/>
  <c r="CE56" i="24" s="1"/>
  <c r="CW56" i="24" s="1"/>
  <c r="AB56" i="24"/>
  <c r="CD56" i="24" s="1"/>
  <c r="CV56" i="24" s="1"/>
  <c r="W56" i="24"/>
  <c r="BY56" i="24" s="1"/>
  <c r="CQ56" i="24" s="1"/>
  <c r="V56" i="24"/>
  <c r="Q56" i="24"/>
  <c r="DC56" i="24" s="1"/>
  <c r="P56" i="24"/>
  <c r="K56" i="24"/>
  <c r="J56" i="24"/>
  <c r="E56" i="24"/>
  <c r="D56" i="24"/>
  <c r="BS55" i="24"/>
  <c r="BR55" i="24"/>
  <c r="BM55" i="24"/>
  <c r="BL55" i="24"/>
  <c r="BG55" i="24"/>
  <c r="BF55" i="24"/>
  <c r="BA55" i="24"/>
  <c r="CK55" i="24" s="1"/>
  <c r="DC55" i="24" s="1"/>
  <c r="AZ55" i="24"/>
  <c r="CJ55" i="24" s="1"/>
  <c r="DB55" i="24" s="1"/>
  <c r="AU55" i="24"/>
  <c r="CE55" i="24" s="1"/>
  <c r="AT55" i="24"/>
  <c r="AO55" i="24"/>
  <c r="AN55" i="24"/>
  <c r="AI55" i="24"/>
  <c r="AH55" i="24"/>
  <c r="AC55" i="24"/>
  <c r="AB55" i="24"/>
  <c r="CD55" i="24" s="1"/>
  <c r="W55" i="24"/>
  <c r="BY55" i="24" s="1"/>
  <c r="V55" i="24"/>
  <c r="BX55" i="24" s="1"/>
  <c r="CP55" i="24" s="1"/>
  <c r="Q55" i="24"/>
  <c r="P55" i="24"/>
  <c r="K55" i="24"/>
  <c r="J55" i="24"/>
  <c r="CV55" i="24" s="1"/>
  <c r="E55" i="24"/>
  <c r="CQ55" i="24" s="1"/>
  <c r="D55" i="24"/>
  <c r="CD54" i="24"/>
  <c r="BS54" i="24"/>
  <c r="BR54" i="24"/>
  <c r="BM54" i="24"/>
  <c r="BL54" i="24"/>
  <c r="BG54" i="24"/>
  <c r="BF54" i="24"/>
  <c r="BA54" i="24"/>
  <c r="AZ54" i="24"/>
  <c r="AU54" i="24"/>
  <c r="CE54" i="24" s="1"/>
  <c r="AT54" i="24"/>
  <c r="AO54" i="24"/>
  <c r="BY54" i="24" s="1"/>
  <c r="CQ54" i="24" s="1"/>
  <c r="AN54" i="24"/>
  <c r="BX54" i="24" s="1"/>
  <c r="CP54" i="24" s="1"/>
  <c r="AI54" i="24"/>
  <c r="CK54" i="24" s="1"/>
  <c r="DC54" i="24" s="1"/>
  <c r="AH54" i="24"/>
  <c r="CJ54" i="24" s="1"/>
  <c r="AC54" i="24"/>
  <c r="AB54" i="24"/>
  <c r="W54" i="24"/>
  <c r="V54" i="24"/>
  <c r="Q54" i="24"/>
  <c r="P54" i="24"/>
  <c r="DB54" i="24" s="1"/>
  <c r="K54" i="24"/>
  <c r="CW54" i="24" s="1"/>
  <c r="J54" i="24"/>
  <c r="CV54" i="24" s="1"/>
  <c r="E54" i="24"/>
  <c r="D54" i="24"/>
  <c r="CE53" i="24"/>
  <c r="CW53" i="24" s="1"/>
  <c r="BS53" i="24"/>
  <c r="BR53" i="24"/>
  <c r="BM53" i="24"/>
  <c r="BL53" i="24"/>
  <c r="BG53" i="24"/>
  <c r="BF53" i="24"/>
  <c r="BA53" i="24"/>
  <c r="AZ53" i="24"/>
  <c r="AU53" i="24"/>
  <c r="AT53" i="24"/>
  <c r="AO53" i="24"/>
  <c r="AN53" i="24"/>
  <c r="AI53" i="24"/>
  <c r="CK53" i="24" s="1"/>
  <c r="DC53" i="24" s="1"/>
  <c r="AH53" i="24"/>
  <c r="AC53" i="24"/>
  <c r="AB53" i="24"/>
  <c r="CD53" i="24" s="1"/>
  <c r="CV53" i="24" s="1"/>
  <c r="W53" i="24"/>
  <c r="BY53" i="24" s="1"/>
  <c r="V53" i="24"/>
  <c r="BX53" i="24" s="1"/>
  <c r="Q53" i="24"/>
  <c r="P53" i="24"/>
  <c r="K53" i="24"/>
  <c r="J53" i="24"/>
  <c r="E53" i="24"/>
  <c r="CQ53" i="24" s="1"/>
  <c r="D53" i="24"/>
  <c r="CP53" i="24" s="1"/>
  <c r="CQ52" i="24"/>
  <c r="BS52" i="24"/>
  <c r="CK52" i="24" s="1"/>
  <c r="BR52" i="24"/>
  <c r="BM52" i="24"/>
  <c r="BL52" i="24"/>
  <c r="BG52" i="24"/>
  <c r="BF52" i="24"/>
  <c r="BA52" i="24"/>
  <c r="AZ52" i="24"/>
  <c r="CJ52" i="24" s="1"/>
  <c r="AU52" i="24"/>
  <c r="AT52" i="24"/>
  <c r="AO52" i="24"/>
  <c r="AN52" i="24"/>
  <c r="AI52" i="24"/>
  <c r="AH52" i="24"/>
  <c r="AC52" i="24"/>
  <c r="CE52" i="24" s="1"/>
  <c r="AB52" i="24"/>
  <c r="CD52" i="24" s="1"/>
  <c r="W52" i="24"/>
  <c r="BY52" i="24" s="1"/>
  <c r="V52" i="24"/>
  <c r="Q52" i="24"/>
  <c r="DC52" i="24" s="1"/>
  <c r="P52" i="24"/>
  <c r="DB52" i="24" s="1"/>
  <c r="K52" i="24"/>
  <c r="CW52" i="24" s="1"/>
  <c r="J52" i="24"/>
  <c r="CV52" i="24" s="1"/>
  <c r="E52" i="24"/>
  <c r="D52" i="24"/>
  <c r="CV51" i="24"/>
  <c r="CE51" i="24"/>
  <c r="BS51" i="24"/>
  <c r="BR51" i="24"/>
  <c r="BM51" i="24"/>
  <c r="BL51" i="24"/>
  <c r="BG51" i="24"/>
  <c r="BY51" i="24" s="1"/>
  <c r="BF51" i="24"/>
  <c r="BA51" i="24"/>
  <c r="CK51" i="24" s="1"/>
  <c r="AZ51" i="24"/>
  <c r="CJ51" i="24" s="1"/>
  <c r="AU51" i="24"/>
  <c r="AT51" i="24"/>
  <c r="CD51" i="24" s="1"/>
  <c r="AO51" i="24"/>
  <c r="AN51" i="24"/>
  <c r="BX51" i="24" s="1"/>
  <c r="AI51" i="24"/>
  <c r="AH51" i="24"/>
  <c r="AC51" i="24"/>
  <c r="AB51" i="24"/>
  <c r="W51" i="24"/>
  <c r="V51" i="24"/>
  <c r="Q51" i="24"/>
  <c r="P51" i="24"/>
  <c r="K51" i="24"/>
  <c r="CW51" i="24" s="1"/>
  <c r="J51" i="24"/>
  <c r="E51" i="24"/>
  <c r="CQ51" i="24" s="1"/>
  <c r="D51" i="24"/>
  <c r="CP51" i="24" s="1"/>
  <c r="CJ50" i="24"/>
  <c r="DB50" i="24" s="1"/>
  <c r="BS50" i="24"/>
  <c r="BR50" i="24"/>
  <c r="BM50" i="24"/>
  <c r="BL50" i="24"/>
  <c r="BG50" i="24"/>
  <c r="BF50" i="24"/>
  <c r="BA50" i="24"/>
  <c r="AZ50" i="24"/>
  <c r="AU50" i="24"/>
  <c r="CE50" i="24" s="1"/>
  <c r="CW50" i="24" s="1"/>
  <c r="AT50" i="24"/>
  <c r="AO50" i="24"/>
  <c r="BY50" i="24" s="1"/>
  <c r="AN50" i="24"/>
  <c r="BX50" i="24" s="1"/>
  <c r="AI50" i="24"/>
  <c r="AH50" i="24"/>
  <c r="AC50" i="24"/>
  <c r="AB50" i="24"/>
  <c r="CD50" i="24" s="1"/>
  <c r="W50" i="24"/>
  <c r="V50" i="24"/>
  <c r="Q50" i="24"/>
  <c r="P50" i="24"/>
  <c r="K50" i="24"/>
  <c r="J50" i="24"/>
  <c r="E50" i="24"/>
  <c r="CQ50" i="24" s="1"/>
  <c r="D50" i="24"/>
  <c r="CP50" i="24" s="1"/>
  <c r="CW49" i="24"/>
  <c r="CV49" i="24"/>
  <c r="BS49" i="24"/>
  <c r="BR49" i="24"/>
  <c r="BM49" i="24"/>
  <c r="BL49" i="24"/>
  <c r="BG49" i="24"/>
  <c r="BF49" i="24"/>
  <c r="BA49" i="24"/>
  <c r="AZ49" i="24"/>
  <c r="AU49" i="24"/>
  <c r="AT49" i="24"/>
  <c r="AO49" i="24"/>
  <c r="AN49" i="24"/>
  <c r="AI49" i="24"/>
  <c r="CK49" i="24" s="1"/>
  <c r="AH49" i="24"/>
  <c r="CJ49" i="24" s="1"/>
  <c r="AC49" i="24"/>
  <c r="CE49" i="24" s="1"/>
  <c r="AB49" i="24"/>
  <c r="CD49" i="24" s="1"/>
  <c r="W49" i="24"/>
  <c r="V49" i="24"/>
  <c r="BX49" i="24" s="1"/>
  <c r="CP49" i="24" s="1"/>
  <c r="Q49" i="24"/>
  <c r="P49" i="24"/>
  <c r="K49" i="24"/>
  <c r="J49" i="24"/>
  <c r="E49" i="24"/>
  <c r="D49" i="24"/>
  <c r="CW48" i="24"/>
  <c r="CK48" i="24"/>
  <c r="CJ48" i="24"/>
  <c r="CE48" i="24"/>
  <c r="BS48" i="24"/>
  <c r="BR48" i="24"/>
  <c r="BM48" i="24"/>
  <c r="BL48" i="24"/>
  <c r="CD48" i="24" s="1"/>
  <c r="BG48" i="24"/>
  <c r="BF48" i="24"/>
  <c r="BA48" i="24"/>
  <c r="AZ48" i="24"/>
  <c r="AU48" i="24"/>
  <c r="AT48" i="24"/>
  <c r="AO48" i="24"/>
  <c r="AN48" i="24"/>
  <c r="AI48" i="24"/>
  <c r="AH48" i="24"/>
  <c r="AC48" i="24"/>
  <c r="AB48" i="24"/>
  <c r="W48" i="24"/>
  <c r="BY48" i="24" s="1"/>
  <c r="V48" i="24"/>
  <c r="BX48" i="24" s="1"/>
  <c r="Q48" i="24"/>
  <c r="DC48" i="24" s="1"/>
  <c r="P48" i="24"/>
  <c r="DB48" i="24" s="1"/>
  <c r="K48" i="24"/>
  <c r="J48" i="24"/>
  <c r="CV48" i="24" s="1"/>
  <c r="E48" i="24"/>
  <c r="D48" i="24"/>
  <c r="CP48" i="24" s="1"/>
  <c r="BY47" i="24"/>
  <c r="BX47" i="24"/>
  <c r="BS47" i="24"/>
  <c r="BR47" i="24"/>
  <c r="BM47" i="24"/>
  <c r="BL47" i="24"/>
  <c r="BG47" i="24"/>
  <c r="BF47" i="24"/>
  <c r="BA47" i="24"/>
  <c r="AZ47" i="24"/>
  <c r="CJ47" i="24" s="1"/>
  <c r="DB47" i="24" s="1"/>
  <c r="AU47" i="24"/>
  <c r="AT47" i="24"/>
  <c r="AO47" i="24"/>
  <c r="AN47" i="24"/>
  <c r="AI47" i="24"/>
  <c r="AH47" i="24"/>
  <c r="AC47" i="24"/>
  <c r="CE47" i="24" s="1"/>
  <c r="AB47" i="24"/>
  <c r="CD47" i="24" s="1"/>
  <c r="W47" i="24"/>
  <c r="V47" i="24"/>
  <c r="Q47" i="24"/>
  <c r="P47" i="24"/>
  <c r="K47" i="24"/>
  <c r="CW47" i="24" s="1"/>
  <c r="J47" i="24"/>
  <c r="CV47" i="24" s="1"/>
  <c r="E47" i="24"/>
  <c r="CQ47" i="24" s="1"/>
  <c r="D47" i="24"/>
  <c r="CP47" i="24" s="1"/>
  <c r="BY46" i="24"/>
  <c r="BS46" i="24"/>
  <c r="BR46" i="24"/>
  <c r="BM46" i="24"/>
  <c r="BL46" i="24"/>
  <c r="BG46" i="24"/>
  <c r="BF46" i="24"/>
  <c r="BA46" i="24"/>
  <c r="AZ46" i="24"/>
  <c r="AU46" i="24"/>
  <c r="AT46" i="24"/>
  <c r="AO46" i="24"/>
  <c r="AN46" i="24"/>
  <c r="BX46" i="24" s="1"/>
  <c r="CP46" i="24" s="1"/>
  <c r="AI46" i="24"/>
  <c r="CK46" i="24" s="1"/>
  <c r="AH46" i="24"/>
  <c r="CJ46" i="24" s="1"/>
  <c r="DB46" i="24" s="1"/>
  <c r="AC46" i="24"/>
  <c r="CE46" i="24" s="1"/>
  <c r="CW46" i="24" s="1"/>
  <c r="AB46" i="24"/>
  <c r="W46" i="24"/>
  <c r="V46" i="24"/>
  <c r="Q46" i="24"/>
  <c r="P46" i="24"/>
  <c r="K46" i="24"/>
  <c r="J46" i="24"/>
  <c r="E46" i="24"/>
  <c r="D46" i="24"/>
  <c r="DB45" i="24"/>
  <c r="CJ45" i="24"/>
  <c r="BS45" i="24"/>
  <c r="BR45" i="24"/>
  <c r="BM45" i="24"/>
  <c r="BL45" i="24"/>
  <c r="BG45" i="24"/>
  <c r="BF45" i="24"/>
  <c r="BA45" i="24"/>
  <c r="CK45" i="24" s="1"/>
  <c r="DC45" i="24" s="1"/>
  <c r="AZ45" i="24"/>
  <c r="AU45" i="24"/>
  <c r="AT45" i="24"/>
  <c r="AO45" i="24"/>
  <c r="AN45" i="24"/>
  <c r="AI45" i="24"/>
  <c r="AH45" i="24"/>
  <c r="AC45" i="24"/>
  <c r="AB45" i="24"/>
  <c r="CD45" i="24" s="1"/>
  <c r="W45" i="24"/>
  <c r="BY45" i="24" s="1"/>
  <c r="V45" i="24"/>
  <c r="BX45" i="24" s="1"/>
  <c r="CP45" i="24" s="1"/>
  <c r="Q45" i="24"/>
  <c r="P45" i="24"/>
  <c r="K45" i="24"/>
  <c r="J45" i="24"/>
  <c r="CV45" i="24" s="1"/>
  <c r="E45" i="24"/>
  <c r="CQ45" i="24" s="1"/>
  <c r="D45" i="24"/>
  <c r="CD44" i="24"/>
  <c r="BS44" i="24"/>
  <c r="BR44" i="24"/>
  <c r="BM44" i="24"/>
  <c r="BL44" i="24"/>
  <c r="BG44" i="24"/>
  <c r="BF44" i="24"/>
  <c r="BA44" i="24"/>
  <c r="AZ44" i="24"/>
  <c r="AU44" i="24"/>
  <c r="CE44" i="24" s="1"/>
  <c r="AT44" i="24"/>
  <c r="AO44" i="24"/>
  <c r="BY44" i="24" s="1"/>
  <c r="CQ44" i="24" s="1"/>
  <c r="AN44" i="24"/>
  <c r="BX44" i="24" s="1"/>
  <c r="CP44" i="24" s="1"/>
  <c r="AI44" i="24"/>
  <c r="AH44" i="24"/>
  <c r="AC44" i="24"/>
  <c r="AB44" i="24"/>
  <c r="W44" i="24"/>
  <c r="V44" i="24"/>
  <c r="Q44" i="24"/>
  <c r="P44" i="24"/>
  <c r="O44" i="24"/>
  <c r="O45" i="24" s="1"/>
  <c r="O46" i="24" s="1"/>
  <c r="O47" i="24" s="1"/>
  <c r="O48" i="24" s="1"/>
  <c r="O49" i="24" s="1"/>
  <c r="O50" i="24" s="1"/>
  <c r="O51" i="24" s="1"/>
  <c r="O52" i="24" s="1"/>
  <c r="O53" i="24" s="1"/>
  <c r="O54" i="24" s="1"/>
  <c r="O55" i="24" s="1"/>
  <c r="O56" i="24" s="1"/>
  <c r="O57" i="24" s="1"/>
  <c r="O58" i="24" s="1"/>
  <c r="O59" i="24" s="1"/>
  <c r="O60" i="24" s="1"/>
  <c r="O61" i="24" s="1"/>
  <c r="K44" i="24"/>
  <c r="CW44" i="24" s="1"/>
  <c r="J44" i="24"/>
  <c r="E44" i="24"/>
  <c r="D44" i="24"/>
  <c r="DC43" i="24"/>
  <c r="CD43" i="24"/>
  <c r="BS43" i="24"/>
  <c r="BR43" i="24"/>
  <c r="BM43" i="24"/>
  <c r="BL43" i="24"/>
  <c r="BG43" i="24"/>
  <c r="BF43" i="24"/>
  <c r="BA43" i="24"/>
  <c r="AZ43" i="24"/>
  <c r="AU43" i="24"/>
  <c r="AT43" i="24"/>
  <c r="AO43" i="24"/>
  <c r="AN43" i="24"/>
  <c r="AI43" i="24"/>
  <c r="CK43" i="24" s="1"/>
  <c r="AH43" i="24"/>
  <c r="AC43" i="24"/>
  <c r="CE43" i="24" s="1"/>
  <c r="CW43" i="24" s="1"/>
  <c r="AB43" i="24"/>
  <c r="W43" i="24"/>
  <c r="BY43" i="24" s="1"/>
  <c r="V43" i="24"/>
  <c r="BX43" i="24" s="1"/>
  <c r="Q43" i="24"/>
  <c r="P43" i="24"/>
  <c r="K43" i="24"/>
  <c r="J43" i="24"/>
  <c r="E43" i="24"/>
  <c r="D43" i="24"/>
  <c r="BS42" i="24"/>
  <c r="CK42" i="24" s="1"/>
  <c r="BR42" i="24"/>
  <c r="BM42" i="24"/>
  <c r="BL42" i="24"/>
  <c r="BG42" i="24"/>
  <c r="BF42" i="24"/>
  <c r="BE42" i="24"/>
  <c r="BE43" i="24" s="1"/>
  <c r="BE44" i="24" s="1"/>
  <c r="BE45" i="24" s="1"/>
  <c r="BE46" i="24" s="1"/>
  <c r="BE47" i="24" s="1"/>
  <c r="BE48" i="24" s="1"/>
  <c r="BE49" i="24" s="1"/>
  <c r="BE50" i="24" s="1"/>
  <c r="BE51" i="24" s="1"/>
  <c r="BE52" i="24" s="1"/>
  <c r="BE53" i="24" s="1"/>
  <c r="BE54" i="24" s="1"/>
  <c r="BE55" i="24" s="1"/>
  <c r="BE56" i="24" s="1"/>
  <c r="BE57" i="24" s="1"/>
  <c r="BE58" i="24" s="1"/>
  <c r="BE59" i="24" s="1"/>
  <c r="BE60" i="24" s="1"/>
  <c r="BE61" i="24" s="1"/>
  <c r="BA42" i="24"/>
  <c r="AZ42" i="24"/>
  <c r="CJ42" i="24" s="1"/>
  <c r="AU42" i="24"/>
  <c r="AT42" i="24"/>
  <c r="AO42" i="24"/>
  <c r="AN42" i="24"/>
  <c r="AI42" i="24"/>
  <c r="AH42" i="24"/>
  <c r="AC42" i="24"/>
  <c r="CE42" i="24" s="1"/>
  <c r="AB42" i="24"/>
  <c r="CD42" i="24" s="1"/>
  <c r="W42" i="24"/>
  <c r="BY42" i="24" s="1"/>
  <c r="CQ42" i="24" s="1"/>
  <c r="V42" i="24"/>
  <c r="Q42" i="24"/>
  <c r="DC42" i="24" s="1"/>
  <c r="P42" i="24"/>
  <c r="K42" i="24"/>
  <c r="J42" i="24"/>
  <c r="CV42" i="24" s="1"/>
  <c r="E42" i="24"/>
  <c r="D42" i="24"/>
  <c r="CV41" i="24"/>
  <c r="CU41" i="24"/>
  <c r="CU42" i="24" s="1"/>
  <c r="CU43" i="24" s="1"/>
  <c r="CU44" i="24" s="1"/>
  <c r="CU45" i="24" s="1"/>
  <c r="CU46" i="24" s="1"/>
  <c r="CU47" i="24" s="1"/>
  <c r="CU48" i="24" s="1"/>
  <c r="CU49" i="24" s="1"/>
  <c r="CU50" i="24" s="1"/>
  <c r="CU51" i="24" s="1"/>
  <c r="CU52" i="24" s="1"/>
  <c r="CU53" i="24" s="1"/>
  <c r="CU54" i="24" s="1"/>
  <c r="CU55" i="24" s="1"/>
  <c r="CU56" i="24" s="1"/>
  <c r="CU57" i="24" s="1"/>
  <c r="CU58" i="24" s="1"/>
  <c r="CU59" i="24" s="1"/>
  <c r="CU60" i="24" s="1"/>
  <c r="CU61" i="24" s="1"/>
  <c r="CQ41" i="24"/>
  <c r="CE41" i="24"/>
  <c r="BS41" i="24"/>
  <c r="BR41" i="24"/>
  <c r="BM41" i="24"/>
  <c r="BL41" i="24"/>
  <c r="BG41" i="24"/>
  <c r="BY41" i="24" s="1"/>
  <c r="BF41" i="24"/>
  <c r="BA41" i="24"/>
  <c r="CK41" i="24" s="1"/>
  <c r="AZ41" i="24"/>
  <c r="CJ41" i="24" s="1"/>
  <c r="AU41" i="24"/>
  <c r="AT41" i="24"/>
  <c r="CD41" i="24" s="1"/>
  <c r="AO41" i="24"/>
  <c r="AN41" i="24"/>
  <c r="AI41" i="24"/>
  <c r="AH41" i="24"/>
  <c r="AC41" i="24"/>
  <c r="AB41" i="24"/>
  <c r="W41" i="24"/>
  <c r="V41" i="24"/>
  <c r="Q41" i="24"/>
  <c r="DC41" i="24" s="1"/>
  <c r="P41" i="24"/>
  <c r="K41" i="24"/>
  <c r="CW41" i="24" s="1"/>
  <c r="J41" i="24"/>
  <c r="E41" i="24"/>
  <c r="D41" i="24"/>
  <c r="CJ40" i="24"/>
  <c r="DB40" i="24" s="1"/>
  <c r="CE40" i="24"/>
  <c r="CW40" i="24" s="1"/>
  <c r="BS40" i="24"/>
  <c r="BR40" i="24"/>
  <c r="BM40" i="24"/>
  <c r="BL40" i="24"/>
  <c r="BG40" i="24"/>
  <c r="BF40" i="24"/>
  <c r="BA40" i="24"/>
  <c r="AZ40" i="24"/>
  <c r="AU40" i="24"/>
  <c r="AT40" i="24"/>
  <c r="AO40" i="24"/>
  <c r="AN40" i="24"/>
  <c r="BX40" i="24" s="1"/>
  <c r="AI40" i="24"/>
  <c r="CK40" i="24" s="1"/>
  <c r="DC40" i="24" s="1"/>
  <c r="AH40" i="24"/>
  <c r="AC40" i="24"/>
  <c r="AB40" i="24"/>
  <c r="CD40" i="24" s="1"/>
  <c r="W40" i="24"/>
  <c r="BY40" i="24" s="1"/>
  <c r="V40" i="24"/>
  <c r="Q40" i="24"/>
  <c r="P40" i="24"/>
  <c r="K40" i="24"/>
  <c r="J40" i="24"/>
  <c r="CV40" i="24" s="1"/>
  <c r="E40" i="24"/>
  <c r="D40" i="24"/>
  <c r="CW39" i="24"/>
  <c r="CV39" i="24"/>
  <c r="BS39" i="24"/>
  <c r="BR39" i="24"/>
  <c r="BM39" i="24"/>
  <c r="BL39" i="24"/>
  <c r="BG39" i="24"/>
  <c r="BF39" i="24"/>
  <c r="BA39" i="24"/>
  <c r="AZ39" i="24"/>
  <c r="AU39" i="24"/>
  <c r="AT39" i="24"/>
  <c r="AO39" i="24"/>
  <c r="AN39" i="24"/>
  <c r="AI39" i="24"/>
  <c r="AH39" i="24"/>
  <c r="CJ39" i="24" s="1"/>
  <c r="AC39" i="24"/>
  <c r="CE39" i="24" s="1"/>
  <c r="AB39" i="24"/>
  <c r="CD39" i="24" s="1"/>
  <c r="W39" i="24"/>
  <c r="BY39" i="24" s="1"/>
  <c r="CQ39" i="24" s="1"/>
  <c r="V39" i="24"/>
  <c r="BX39" i="24" s="1"/>
  <c r="CP39" i="24" s="1"/>
  <c r="Q39" i="24"/>
  <c r="P39" i="24"/>
  <c r="DB39" i="24" s="1"/>
  <c r="K39" i="24"/>
  <c r="J39" i="24"/>
  <c r="E39" i="24"/>
  <c r="D39" i="24"/>
  <c r="CW38" i="24"/>
  <c r="CV38" i="24"/>
  <c r="CK38" i="24"/>
  <c r="CJ38" i="24"/>
  <c r="BS38" i="24"/>
  <c r="BR38" i="24"/>
  <c r="BM38" i="24"/>
  <c r="BL38" i="24"/>
  <c r="CD38" i="24" s="1"/>
  <c r="BG38" i="24"/>
  <c r="BF38" i="24"/>
  <c r="BA38" i="24"/>
  <c r="AZ38" i="24"/>
  <c r="AU38" i="24"/>
  <c r="CE38" i="24" s="1"/>
  <c r="AT38" i="24"/>
  <c r="AO38" i="24"/>
  <c r="AN38" i="24"/>
  <c r="AI38" i="24"/>
  <c r="AH38" i="24"/>
  <c r="AC38" i="24"/>
  <c r="AB38" i="24"/>
  <c r="W38" i="24"/>
  <c r="V38" i="24"/>
  <c r="BX38" i="24" s="1"/>
  <c r="Q38" i="24"/>
  <c r="P38" i="24"/>
  <c r="K38" i="24"/>
  <c r="J38" i="24"/>
  <c r="E38" i="24"/>
  <c r="D38" i="24"/>
  <c r="CJ37" i="24"/>
  <c r="DB37" i="24" s="1"/>
  <c r="BY37" i="24"/>
  <c r="BX37" i="24"/>
  <c r="BS37" i="24"/>
  <c r="CK37" i="24" s="1"/>
  <c r="DC37" i="24" s="1"/>
  <c r="BR37" i="24"/>
  <c r="BM37" i="24"/>
  <c r="BL37" i="24"/>
  <c r="BG37" i="24"/>
  <c r="BF37" i="24"/>
  <c r="BA37" i="24"/>
  <c r="AZ37" i="24"/>
  <c r="AU37" i="24"/>
  <c r="AT37" i="24"/>
  <c r="AO37" i="24"/>
  <c r="AN37" i="24"/>
  <c r="AI37" i="24"/>
  <c r="AH37" i="24"/>
  <c r="AC37" i="24"/>
  <c r="CE37" i="24" s="1"/>
  <c r="AB37" i="24"/>
  <c r="CD37" i="24" s="1"/>
  <c r="W37" i="24"/>
  <c r="V37" i="24"/>
  <c r="Q37" i="24"/>
  <c r="P37" i="24"/>
  <c r="K37" i="24"/>
  <c r="CW37" i="24" s="1"/>
  <c r="J37" i="24"/>
  <c r="E37" i="24"/>
  <c r="D37" i="24"/>
  <c r="BY36" i="24"/>
  <c r="BX36" i="24"/>
  <c r="CP36" i="24" s="1"/>
  <c r="BS36" i="24"/>
  <c r="BR36" i="24"/>
  <c r="BM36" i="24"/>
  <c r="BL36" i="24"/>
  <c r="BG36" i="24"/>
  <c r="BF36" i="24"/>
  <c r="BA36" i="24"/>
  <c r="AZ36" i="24"/>
  <c r="AU36" i="24"/>
  <c r="AT36" i="24"/>
  <c r="AO36" i="24"/>
  <c r="AN36" i="24"/>
  <c r="AI36" i="24"/>
  <c r="CK36" i="24" s="1"/>
  <c r="AH36" i="24"/>
  <c r="CJ36" i="24" s="1"/>
  <c r="DB36" i="24" s="1"/>
  <c r="AC36" i="24"/>
  <c r="AB36" i="24"/>
  <c r="W36" i="24"/>
  <c r="V36" i="24"/>
  <c r="Q36" i="24"/>
  <c r="DC36" i="24" s="1"/>
  <c r="P36" i="24"/>
  <c r="K36" i="24"/>
  <c r="J36" i="24"/>
  <c r="E36" i="24"/>
  <c r="D36" i="24"/>
  <c r="DC35" i="24"/>
  <c r="DB35" i="24"/>
  <c r="CP35" i="24"/>
  <c r="BS35" i="24"/>
  <c r="BR35" i="24"/>
  <c r="BM35" i="24"/>
  <c r="BL35" i="24"/>
  <c r="BG35" i="24"/>
  <c r="BF35" i="24"/>
  <c r="BA35" i="24"/>
  <c r="CK35" i="24" s="1"/>
  <c r="AZ35" i="24"/>
  <c r="CJ35" i="24" s="1"/>
  <c r="AU35" i="24"/>
  <c r="CE35" i="24" s="1"/>
  <c r="AT35" i="24"/>
  <c r="AO35" i="24"/>
  <c r="AN35" i="24"/>
  <c r="AI35" i="24"/>
  <c r="AH35" i="24"/>
  <c r="AC35" i="24"/>
  <c r="AB35" i="24"/>
  <c r="CD35" i="24" s="1"/>
  <c r="W35" i="24"/>
  <c r="BY35" i="24" s="1"/>
  <c r="V35" i="24"/>
  <c r="BX35" i="24" s="1"/>
  <c r="Q35" i="24"/>
  <c r="P35" i="24"/>
  <c r="K35" i="24"/>
  <c r="J35" i="24"/>
  <c r="E35" i="24"/>
  <c r="CQ35" i="24" s="1"/>
  <c r="D35" i="24"/>
  <c r="CD34" i="24"/>
  <c r="BS34" i="24"/>
  <c r="BR34" i="24"/>
  <c r="BM34" i="24"/>
  <c r="BL34" i="24"/>
  <c r="BG34" i="24"/>
  <c r="BF34" i="24"/>
  <c r="BA34" i="24"/>
  <c r="AZ34" i="24"/>
  <c r="AU34" i="24"/>
  <c r="CE34" i="24" s="1"/>
  <c r="AT34" i="24"/>
  <c r="AO34" i="24"/>
  <c r="BY34" i="24" s="1"/>
  <c r="CQ34" i="24" s="1"/>
  <c r="AN34" i="24"/>
  <c r="BX34" i="24" s="1"/>
  <c r="CP34" i="24" s="1"/>
  <c r="AI34" i="24"/>
  <c r="CK34" i="24" s="1"/>
  <c r="DC34" i="24" s="1"/>
  <c r="AH34" i="24"/>
  <c r="CJ34" i="24" s="1"/>
  <c r="AC34" i="24"/>
  <c r="AB34" i="24"/>
  <c r="W34" i="24"/>
  <c r="V34" i="24"/>
  <c r="Q34" i="24"/>
  <c r="P34" i="24"/>
  <c r="DB34" i="24" s="1"/>
  <c r="K34" i="24"/>
  <c r="CW34" i="24" s="1"/>
  <c r="J34" i="24"/>
  <c r="E34" i="24"/>
  <c r="D34" i="24"/>
  <c r="CD33" i="24"/>
  <c r="BS33" i="24"/>
  <c r="BR33" i="24"/>
  <c r="BM33" i="24"/>
  <c r="BL33" i="24"/>
  <c r="BG33" i="24"/>
  <c r="BF33" i="24"/>
  <c r="BA33" i="24"/>
  <c r="AZ33" i="24"/>
  <c r="AU33" i="24"/>
  <c r="AT33" i="24"/>
  <c r="AO33" i="24"/>
  <c r="AN33" i="24"/>
  <c r="AI33" i="24"/>
  <c r="CK33" i="24" s="1"/>
  <c r="DC33" i="24" s="1"/>
  <c r="AH33" i="24"/>
  <c r="AC33" i="24"/>
  <c r="CE33" i="24" s="1"/>
  <c r="CW33" i="24" s="1"/>
  <c r="AB33" i="24"/>
  <c r="W33" i="24"/>
  <c r="BY33" i="24" s="1"/>
  <c r="V33" i="24"/>
  <c r="BX33" i="24" s="1"/>
  <c r="Q33" i="24"/>
  <c r="P33" i="24"/>
  <c r="K33" i="24"/>
  <c r="J33" i="24"/>
  <c r="E33" i="24"/>
  <c r="D33" i="24"/>
  <c r="CO32" i="24"/>
  <c r="CO33" i="24" s="1"/>
  <c r="CO34" i="24" s="1"/>
  <c r="CO35" i="24" s="1"/>
  <c r="CO36" i="24" s="1"/>
  <c r="CO37" i="24" s="1"/>
  <c r="CO38" i="24" s="1"/>
  <c r="CO39" i="24" s="1"/>
  <c r="CO40" i="24" s="1"/>
  <c r="CO41" i="24" s="1"/>
  <c r="CO42" i="24" s="1"/>
  <c r="CO43" i="24" s="1"/>
  <c r="CO44" i="24" s="1"/>
  <c r="CO45" i="24" s="1"/>
  <c r="CO46" i="24" s="1"/>
  <c r="CO47" i="24" s="1"/>
  <c r="CO48" i="24" s="1"/>
  <c r="CO49" i="24" s="1"/>
  <c r="CO50" i="24" s="1"/>
  <c r="CO51" i="24" s="1"/>
  <c r="CO52" i="24" s="1"/>
  <c r="CO53" i="24" s="1"/>
  <c r="CO54" i="24" s="1"/>
  <c r="CO55" i="24" s="1"/>
  <c r="CO56" i="24" s="1"/>
  <c r="CO57" i="24" s="1"/>
  <c r="CO58" i="24" s="1"/>
  <c r="CO59" i="24" s="1"/>
  <c r="CO60" i="24" s="1"/>
  <c r="CO61" i="24" s="1"/>
  <c r="BS32" i="24"/>
  <c r="CK32" i="24" s="1"/>
  <c r="DC32" i="24" s="1"/>
  <c r="BR32" i="24"/>
  <c r="BM32" i="24"/>
  <c r="BL32" i="24"/>
  <c r="BG32" i="24"/>
  <c r="BF32" i="24"/>
  <c r="BA32" i="24"/>
  <c r="AZ32" i="24"/>
  <c r="CJ32" i="24" s="1"/>
  <c r="AU32" i="24"/>
  <c r="AT32" i="24"/>
  <c r="AO32" i="24"/>
  <c r="AN32" i="24"/>
  <c r="AI32" i="24"/>
  <c r="AH32" i="24"/>
  <c r="AC32" i="24"/>
  <c r="CE32" i="24" s="1"/>
  <c r="AB32" i="24"/>
  <c r="CD32" i="24" s="1"/>
  <c r="W32" i="24"/>
  <c r="BY32" i="24" s="1"/>
  <c r="CQ32" i="24" s="1"/>
  <c r="V32" i="24"/>
  <c r="BX32" i="24" s="1"/>
  <c r="CP32" i="24" s="1"/>
  <c r="Q32" i="24"/>
  <c r="P32" i="24"/>
  <c r="K32" i="24"/>
  <c r="J32" i="24"/>
  <c r="E32" i="24"/>
  <c r="D32" i="24"/>
  <c r="CV31" i="24"/>
  <c r="CQ31" i="24"/>
  <c r="CE31" i="24"/>
  <c r="BS31" i="24"/>
  <c r="BR31" i="24"/>
  <c r="BM31" i="24"/>
  <c r="BL31" i="24"/>
  <c r="BG31" i="24"/>
  <c r="BY31" i="24" s="1"/>
  <c r="BF31" i="24"/>
  <c r="BA31" i="24"/>
  <c r="AZ31" i="24"/>
  <c r="AU31" i="24"/>
  <c r="AT31" i="24"/>
  <c r="CD31" i="24" s="1"/>
  <c r="AO31" i="24"/>
  <c r="AN31" i="24"/>
  <c r="AI31" i="24"/>
  <c r="CK31" i="24" s="1"/>
  <c r="AH31" i="24"/>
  <c r="CJ31" i="24" s="1"/>
  <c r="AC31" i="24"/>
  <c r="AB31" i="24"/>
  <c r="W31" i="24"/>
  <c r="V31" i="24"/>
  <c r="Q31" i="24"/>
  <c r="DC31" i="24" s="1"/>
  <c r="P31" i="24"/>
  <c r="K31" i="24"/>
  <c r="J31" i="24"/>
  <c r="E31" i="24"/>
  <c r="D31" i="24"/>
  <c r="DC30" i="24"/>
  <c r="BS30" i="24"/>
  <c r="BR30" i="24"/>
  <c r="BM30" i="24"/>
  <c r="BL30" i="24"/>
  <c r="BG30" i="24"/>
  <c r="BF30" i="24"/>
  <c r="BA30" i="24"/>
  <c r="AZ30" i="24"/>
  <c r="AU30" i="24"/>
  <c r="CE30" i="24" s="1"/>
  <c r="CW30" i="24" s="1"/>
  <c r="AT30" i="24"/>
  <c r="AO30" i="24"/>
  <c r="AN30" i="24"/>
  <c r="AI30" i="24"/>
  <c r="CK30" i="24" s="1"/>
  <c r="AH30" i="24"/>
  <c r="CJ30" i="24" s="1"/>
  <c r="DB30" i="24" s="1"/>
  <c r="AC30" i="24"/>
  <c r="AB30" i="24"/>
  <c r="CD30" i="24" s="1"/>
  <c r="W30" i="24"/>
  <c r="BY30" i="24" s="1"/>
  <c r="V30" i="24"/>
  <c r="BX30" i="24" s="1"/>
  <c r="Q30" i="24"/>
  <c r="P30" i="24"/>
  <c r="K30" i="24"/>
  <c r="J30" i="24"/>
  <c r="CV30" i="24" s="1"/>
  <c r="E30" i="24"/>
  <c r="CQ30" i="24" s="1"/>
  <c r="D30" i="24"/>
  <c r="CP30" i="24" s="1"/>
  <c r="CW29" i="24"/>
  <c r="CV29" i="24"/>
  <c r="BS29" i="24"/>
  <c r="BR29" i="24"/>
  <c r="BM29" i="24"/>
  <c r="BL29" i="24"/>
  <c r="BG29" i="24"/>
  <c r="BF29" i="24"/>
  <c r="BA29" i="24"/>
  <c r="AZ29" i="24"/>
  <c r="AU29" i="24"/>
  <c r="AT29" i="24"/>
  <c r="AO29" i="24"/>
  <c r="AN29" i="24"/>
  <c r="AI29" i="24"/>
  <c r="AH29" i="24"/>
  <c r="CJ29" i="24" s="1"/>
  <c r="AC29" i="24"/>
  <c r="CE29" i="24" s="1"/>
  <c r="AB29" i="24"/>
  <c r="CD29" i="24" s="1"/>
  <c r="W29" i="24"/>
  <c r="BY29" i="24" s="1"/>
  <c r="CQ29" i="24" s="1"/>
  <c r="V29" i="24"/>
  <c r="BX29" i="24" s="1"/>
  <c r="CP29" i="24" s="1"/>
  <c r="Q29" i="24"/>
  <c r="P29" i="24"/>
  <c r="K29" i="24"/>
  <c r="J29" i="24"/>
  <c r="E29" i="24"/>
  <c r="D29" i="24"/>
  <c r="CW28" i="24"/>
  <c r="CV28" i="24"/>
  <c r="CK28" i="24"/>
  <c r="CJ28" i="24"/>
  <c r="CE28" i="24"/>
  <c r="BS28" i="24"/>
  <c r="BR28" i="24"/>
  <c r="BM28" i="24"/>
  <c r="BL28" i="24"/>
  <c r="CD28" i="24" s="1"/>
  <c r="BG28" i="24"/>
  <c r="BF28" i="24"/>
  <c r="BA28" i="24"/>
  <c r="AZ28" i="24"/>
  <c r="AU28" i="24"/>
  <c r="AT28" i="24"/>
  <c r="AO28" i="24"/>
  <c r="AN28" i="24"/>
  <c r="AI28" i="24"/>
  <c r="AH28" i="24"/>
  <c r="AC28" i="24"/>
  <c r="AB28" i="24"/>
  <c r="W28" i="24"/>
  <c r="V28" i="24"/>
  <c r="BX28" i="24" s="1"/>
  <c r="Q28" i="24"/>
  <c r="P28" i="24"/>
  <c r="DB28" i="24" s="1"/>
  <c r="K28" i="24"/>
  <c r="J28" i="24"/>
  <c r="E28" i="24"/>
  <c r="D28" i="24"/>
  <c r="CP28" i="24" s="1"/>
  <c r="BY27" i="24"/>
  <c r="BX27" i="24"/>
  <c r="BS27" i="24"/>
  <c r="BR27" i="24"/>
  <c r="BM27" i="24"/>
  <c r="BL27" i="24"/>
  <c r="BG27" i="24"/>
  <c r="BF27" i="24"/>
  <c r="BA27" i="24"/>
  <c r="AZ27" i="24"/>
  <c r="CJ27" i="24" s="1"/>
  <c r="DB27" i="24" s="1"/>
  <c r="AU27" i="24"/>
  <c r="AT27" i="24"/>
  <c r="AO27" i="24"/>
  <c r="AN27" i="24"/>
  <c r="AI27" i="24"/>
  <c r="CK27" i="24" s="1"/>
  <c r="DC27" i="24" s="1"/>
  <c r="AH27" i="24"/>
  <c r="AC27" i="24"/>
  <c r="CE27" i="24" s="1"/>
  <c r="AB27" i="24"/>
  <c r="CD27" i="24" s="1"/>
  <c r="W27" i="24"/>
  <c r="V27" i="24"/>
  <c r="Q27" i="24"/>
  <c r="P27" i="24"/>
  <c r="K27" i="24"/>
  <c r="CW27" i="24" s="1"/>
  <c r="J27" i="24"/>
  <c r="CV27" i="24" s="1"/>
  <c r="E27" i="24"/>
  <c r="CQ27" i="24" s="1"/>
  <c r="D27" i="24"/>
  <c r="CP27" i="24" s="1"/>
  <c r="DB26" i="24"/>
  <c r="CJ26" i="24"/>
  <c r="BY26" i="24"/>
  <c r="BX26" i="24"/>
  <c r="CP26" i="24" s="1"/>
  <c r="BS26" i="24"/>
  <c r="BR26" i="24"/>
  <c r="BM26" i="24"/>
  <c r="BL26" i="24"/>
  <c r="BG26" i="24"/>
  <c r="BF26" i="24"/>
  <c r="BA26" i="24"/>
  <c r="AZ26" i="24"/>
  <c r="AU26" i="24"/>
  <c r="AT26" i="24"/>
  <c r="AO26" i="24"/>
  <c r="AN26" i="24"/>
  <c r="AI26" i="24"/>
  <c r="CK26" i="24" s="1"/>
  <c r="AH26" i="24"/>
  <c r="AC26" i="24"/>
  <c r="AB26" i="24"/>
  <c r="CD26" i="24" s="1"/>
  <c r="CV26" i="24" s="1"/>
  <c r="W26" i="24"/>
  <c r="V26" i="24"/>
  <c r="Q26" i="24"/>
  <c r="P26" i="24"/>
  <c r="K26" i="24"/>
  <c r="J26" i="24"/>
  <c r="E26" i="24"/>
  <c r="D26" i="24"/>
  <c r="DB25" i="24"/>
  <c r="CP25" i="24"/>
  <c r="CJ25" i="24"/>
  <c r="BX25" i="24"/>
  <c r="BS25" i="24"/>
  <c r="BR25" i="24"/>
  <c r="BM25" i="24"/>
  <c r="BL25" i="24"/>
  <c r="BG25" i="24"/>
  <c r="BF25" i="24"/>
  <c r="BA25" i="24"/>
  <c r="AZ25" i="24"/>
  <c r="AU25" i="24"/>
  <c r="AT25" i="24"/>
  <c r="AO25" i="24"/>
  <c r="AN25" i="24"/>
  <c r="AI25" i="24"/>
  <c r="CK25" i="24" s="1"/>
  <c r="DC25" i="24" s="1"/>
  <c r="AH25" i="24"/>
  <c r="AC25" i="24"/>
  <c r="AB25" i="24"/>
  <c r="W25" i="24"/>
  <c r="BY25" i="24" s="1"/>
  <c r="V25" i="24"/>
  <c r="Q25" i="24"/>
  <c r="P25" i="24"/>
  <c r="K25" i="24"/>
  <c r="J25" i="24"/>
  <c r="E25" i="24"/>
  <c r="D25" i="24"/>
  <c r="CD24" i="24"/>
  <c r="BX24" i="24"/>
  <c r="CP24" i="24" s="1"/>
  <c r="BS24" i="24"/>
  <c r="BR24" i="24"/>
  <c r="BM24" i="24"/>
  <c r="BL24" i="24"/>
  <c r="BG24" i="24"/>
  <c r="BF24" i="24"/>
  <c r="BA24" i="24"/>
  <c r="AZ24" i="24"/>
  <c r="AU24" i="24"/>
  <c r="AT24" i="24"/>
  <c r="AO24" i="24"/>
  <c r="AN24" i="24"/>
  <c r="AI24" i="24"/>
  <c r="CK24" i="24" s="1"/>
  <c r="DC24" i="24" s="1"/>
  <c r="AH24" i="24"/>
  <c r="AC24" i="24"/>
  <c r="CE24" i="24" s="1"/>
  <c r="AB24" i="24"/>
  <c r="W24" i="24"/>
  <c r="V24" i="24"/>
  <c r="Q24" i="24"/>
  <c r="P24" i="24"/>
  <c r="K24" i="24"/>
  <c r="CW24" i="24" s="1"/>
  <c r="J24" i="24"/>
  <c r="CV24" i="24" s="1"/>
  <c r="E24" i="24"/>
  <c r="D24" i="24"/>
  <c r="DC23" i="24"/>
  <c r="BS23" i="24"/>
  <c r="BR23" i="24"/>
  <c r="BM23" i="24"/>
  <c r="BL23" i="24"/>
  <c r="BG23" i="24"/>
  <c r="BF23" i="24"/>
  <c r="BA23" i="24"/>
  <c r="CK23" i="24" s="1"/>
  <c r="AZ23" i="24"/>
  <c r="AU23" i="24"/>
  <c r="AT23" i="24"/>
  <c r="AO23" i="24"/>
  <c r="AN23" i="24"/>
  <c r="AI23" i="24"/>
  <c r="AH23" i="24"/>
  <c r="CJ23" i="24" s="1"/>
  <c r="AC23" i="24"/>
  <c r="CE23" i="24" s="1"/>
  <c r="CW23" i="24" s="1"/>
  <c r="AB23" i="24"/>
  <c r="CD23" i="24" s="1"/>
  <c r="W23" i="24"/>
  <c r="BY23" i="24" s="1"/>
  <c r="V23" i="24"/>
  <c r="BX23" i="24" s="1"/>
  <c r="Q23" i="24"/>
  <c r="P23" i="24"/>
  <c r="K23" i="24"/>
  <c r="J23" i="24"/>
  <c r="E23" i="24"/>
  <c r="CQ23" i="24" s="1"/>
  <c r="D23" i="24"/>
  <c r="CP23" i="24" s="1"/>
  <c r="C23" i="24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C35" i="24" s="1"/>
  <c r="C36" i="24" s="1"/>
  <c r="C37" i="24" s="1"/>
  <c r="C38" i="24" s="1"/>
  <c r="C39" i="24" s="1"/>
  <c r="C40" i="24" s="1"/>
  <c r="C41" i="24" s="1"/>
  <c r="C42" i="24" s="1"/>
  <c r="C43" i="24" s="1"/>
  <c r="C44" i="24" s="1"/>
  <c r="C45" i="24" s="1"/>
  <c r="C46" i="24" s="1"/>
  <c r="C47" i="24" s="1"/>
  <c r="C48" i="24" s="1"/>
  <c r="C49" i="24" s="1"/>
  <c r="C50" i="24" s="1"/>
  <c r="C51" i="24" s="1"/>
  <c r="C52" i="24" s="1"/>
  <c r="C53" i="24" s="1"/>
  <c r="C54" i="24" s="1"/>
  <c r="C55" i="24" s="1"/>
  <c r="C56" i="24" s="1"/>
  <c r="C57" i="24" s="1"/>
  <c r="C58" i="24" s="1"/>
  <c r="C59" i="24" s="1"/>
  <c r="C60" i="24" s="1"/>
  <c r="C61" i="24" s="1"/>
  <c r="CK22" i="24"/>
  <c r="BS22" i="24"/>
  <c r="BR22" i="24"/>
  <c r="BM22" i="24"/>
  <c r="BL22" i="24"/>
  <c r="BG22" i="24"/>
  <c r="BF22" i="24"/>
  <c r="BA22" i="24"/>
  <c r="AZ22" i="24"/>
  <c r="AU22" i="24"/>
  <c r="AT22" i="24"/>
  <c r="AO22" i="24"/>
  <c r="BY22" i="24" s="1"/>
  <c r="CQ22" i="24" s="1"/>
  <c r="AN22" i="24"/>
  <c r="AI22" i="24"/>
  <c r="AH22" i="24"/>
  <c r="AC22" i="24"/>
  <c r="CE22" i="24" s="1"/>
  <c r="AB22" i="24"/>
  <c r="CD22" i="24" s="1"/>
  <c r="W22" i="24"/>
  <c r="V22" i="24"/>
  <c r="Q22" i="24"/>
  <c r="DC22" i="24" s="1"/>
  <c r="P22" i="24"/>
  <c r="K22" i="24"/>
  <c r="CW22" i="24" s="1"/>
  <c r="J22" i="24"/>
  <c r="CV22" i="24" s="1"/>
  <c r="E22" i="24"/>
  <c r="D22" i="24"/>
  <c r="CE21" i="24"/>
  <c r="BS21" i="24"/>
  <c r="BR21" i="24"/>
  <c r="BM21" i="24"/>
  <c r="BL21" i="24"/>
  <c r="BG21" i="24"/>
  <c r="BY21" i="24" s="1"/>
  <c r="BF21" i="24"/>
  <c r="BA21" i="24"/>
  <c r="AZ21" i="24"/>
  <c r="AU21" i="24"/>
  <c r="AT21" i="24"/>
  <c r="AO21" i="24"/>
  <c r="AN21" i="24"/>
  <c r="BX21" i="24" s="1"/>
  <c r="AI21" i="24"/>
  <c r="CK21" i="24" s="1"/>
  <c r="AH21" i="24"/>
  <c r="CJ21" i="24" s="1"/>
  <c r="AC21" i="24"/>
  <c r="AB21" i="24"/>
  <c r="CD21" i="24" s="1"/>
  <c r="CV21" i="24" s="1"/>
  <c r="W21" i="24"/>
  <c r="V21" i="24"/>
  <c r="Q21" i="24"/>
  <c r="DC21" i="24" s="1"/>
  <c r="P21" i="24"/>
  <c r="DB21" i="24" s="1"/>
  <c r="K21" i="24"/>
  <c r="CW21" i="24" s="1"/>
  <c r="J21" i="24"/>
  <c r="E21" i="24"/>
  <c r="D21" i="24"/>
  <c r="CP21" i="24" s="1"/>
  <c r="DC20" i="24"/>
  <c r="CJ20" i="24"/>
  <c r="DB20" i="24" s="1"/>
  <c r="BS20" i="24"/>
  <c r="BR20" i="24"/>
  <c r="BM20" i="24"/>
  <c r="BL20" i="24"/>
  <c r="BG20" i="24"/>
  <c r="BF20" i="24"/>
  <c r="BA20" i="24"/>
  <c r="AZ20" i="24"/>
  <c r="AU20" i="24"/>
  <c r="CE20" i="24" s="1"/>
  <c r="CW20" i="24" s="1"/>
  <c r="AT20" i="24"/>
  <c r="AO20" i="24"/>
  <c r="AN20" i="24"/>
  <c r="AI20" i="24"/>
  <c r="CK20" i="24" s="1"/>
  <c r="AH20" i="24"/>
  <c r="AG20" i="24"/>
  <c r="AG21" i="24" s="1"/>
  <c r="AG22" i="24" s="1"/>
  <c r="AG23" i="24" s="1"/>
  <c r="AG24" i="24" s="1"/>
  <c r="AG25" i="24" s="1"/>
  <c r="AG26" i="24" s="1"/>
  <c r="AG27" i="24" s="1"/>
  <c r="AG28" i="24" s="1"/>
  <c r="AG29" i="24" s="1"/>
  <c r="AG30" i="24" s="1"/>
  <c r="AG31" i="24" s="1"/>
  <c r="AG32" i="24" s="1"/>
  <c r="AG33" i="24" s="1"/>
  <c r="AG34" i="24" s="1"/>
  <c r="AG35" i="24" s="1"/>
  <c r="AG36" i="24" s="1"/>
  <c r="AG37" i="24" s="1"/>
  <c r="AG38" i="24" s="1"/>
  <c r="AG39" i="24" s="1"/>
  <c r="AG40" i="24" s="1"/>
  <c r="AG41" i="24" s="1"/>
  <c r="AG42" i="24" s="1"/>
  <c r="AG43" i="24" s="1"/>
  <c r="AG44" i="24" s="1"/>
  <c r="AG45" i="24" s="1"/>
  <c r="AG46" i="24" s="1"/>
  <c r="AG47" i="24" s="1"/>
  <c r="AG48" i="24" s="1"/>
  <c r="AG49" i="24" s="1"/>
  <c r="AG50" i="24" s="1"/>
  <c r="AG51" i="24" s="1"/>
  <c r="AG52" i="24" s="1"/>
  <c r="AG53" i="24" s="1"/>
  <c r="AG54" i="24" s="1"/>
  <c r="AG55" i="24" s="1"/>
  <c r="AG56" i="24" s="1"/>
  <c r="AG57" i="24" s="1"/>
  <c r="AG58" i="24" s="1"/>
  <c r="AG59" i="24" s="1"/>
  <c r="AG60" i="24" s="1"/>
  <c r="AG61" i="24" s="1"/>
  <c r="AC20" i="24"/>
  <c r="AB20" i="24"/>
  <c r="W20" i="24"/>
  <c r="BY20" i="24" s="1"/>
  <c r="V20" i="24"/>
  <c r="BX20" i="24" s="1"/>
  <c r="Q20" i="24"/>
  <c r="P20" i="24"/>
  <c r="K20" i="24"/>
  <c r="J20" i="24"/>
  <c r="E20" i="24"/>
  <c r="CQ20" i="24" s="1"/>
  <c r="D20" i="24"/>
  <c r="CP20" i="24" s="1"/>
  <c r="CW19" i="24"/>
  <c r="CE19" i="24"/>
  <c r="BW19" i="24"/>
  <c r="BW20" i="24" s="1"/>
  <c r="BW21" i="24" s="1"/>
  <c r="BW22" i="24" s="1"/>
  <c r="BW23" i="24" s="1"/>
  <c r="BW24" i="24" s="1"/>
  <c r="BW25" i="24" s="1"/>
  <c r="BW26" i="24" s="1"/>
  <c r="BW27" i="24" s="1"/>
  <c r="BW28" i="24" s="1"/>
  <c r="BW29" i="24" s="1"/>
  <c r="BW30" i="24" s="1"/>
  <c r="BW31" i="24" s="1"/>
  <c r="BW32" i="24" s="1"/>
  <c r="BW33" i="24" s="1"/>
  <c r="BW34" i="24" s="1"/>
  <c r="BW35" i="24" s="1"/>
  <c r="BW36" i="24" s="1"/>
  <c r="BW37" i="24" s="1"/>
  <c r="BW38" i="24" s="1"/>
  <c r="BW39" i="24" s="1"/>
  <c r="BW40" i="24" s="1"/>
  <c r="BW41" i="24" s="1"/>
  <c r="BW42" i="24" s="1"/>
  <c r="BW43" i="24" s="1"/>
  <c r="BW44" i="24" s="1"/>
  <c r="BW45" i="24" s="1"/>
  <c r="BW46" i="24" s="1"/>
  <c r="BW47" i="24" s="1"/>
  <c r="BW48" i="24" s="1"/>
  <c r="BW49" i="24" s="1"/>
  <c r="BW50" i="24" s="1"/>
  <c r="BW51" i="24" s="1"/>
  <c r="BW52" i="24" s="1"/>
  <c r="BW53" i="24" s="1"/>
  <c r="BW54" i="24" s="1"/>
  <c r="BW55" i="24" s="1"/>
  <c r="BW56" i="24" s="1"/>
  <c r="BW57" i="24" s="1"/>
  <c r="BW58" i="24" s="1"/>
  <c r="BW59" i="24" s="1"/>
  <c r="BW60" i="24" s="1"/>
  <c r="BW61" i="24" s="1"/>
  <c r="BS19" i="24"/>
  <c r="BR19" i="24"/>
  <c r="BM19" i="24"/>
  <c r="BL19" i="24"/>
  <c r="BG19" i="24"/>
  <c r="BF19" i="24"/>
  <c r="BE19" i="24"/>
  <c r="BE20" i="24" s="1"/>
  <c r="BE21" i="24" s="1"/>
  <c r="BE22" i="24" s="1"/>
  <c r="BE23" i="24" s="1"/>
  <c r="BE24" i="24" s="1"/>
  <c r="BE25" i="24" s="1"/>
  <c r="BE26" i="24" s="1"/>
  <c r="BE27" i="24" s="1"/>
  <c r="BE28" i="24" s="1"/>
  <c r="BE29" i="24" s="1"/>
  <c r="BE30" i="24" s="1"/>
  <c r="BE31" i="24" s="1"/>
  <c r="BE32" i="24" s="1"/>
  <c r="BE33" i="24" s="1"/>
  <c r="BE34" i="24" s="1"/>
  <c r="BE35" i="24" s="1"/>
  <c r="BE36" i="24" s="1"/>
  <c r="BE37" i="24" s="1"/>
  <c r="BE38" i="24" s="1"/>
  <c r="BE39" i="24" s="1"/>
  <c r="BE40" i="24" s="1"/>
  <c r="BE41" i="24" s="1"/>
  <c r="BA19" i="24"/>
  <c r="AZ19" i="24"/>
  <c r="AU19" i="24"/>
  <c r="AT19" i="24"/>
  <c r="AO19" i="24"/>
  <c r="AN19" i="24"/>
  <c r="AI19" i="24"/>
  <c r="CK19" i="24" s="1"/>
  <c r="AH19" i="24"/>
  <c r="CJ19" i="24" s="1"/>
  <c r="AC19" i="24"/>
  <c r="AB19" i="24"/>
  <c r="CD19" i="24" s="1"/>
  <c r="CV19" i="24" s="1"/>
  <c r="W19" i="24"/>
  <c r="BY19" i="24" s="1"/>
  <c r="CQ19" i="24" s="1"/>
  <c r="V19" i="24"/>
  <c r="BX19" i="24" s="1"/>
  <c r="CP19" i="24" s="1"/>
  <c r="Q19" i="24"/>
  <c r="P19" i="24"/>
  <c r="DB19" i="24" s="1"/>
  <c r="K19" i="24"/>
  <c r="J19" i="24"/>
  <c r="E19" i="24"/>
  <c r="D19" i="24"/>
  <c r="CK18" i="24"/>
  <c r="CJ18" i="24"/>
  <c r="CE18" i="24"/>
  <c r="CW18" i="24" s="1"/>
  <c r="BS18" i="24"/>
  <c r="BR18" i="24"/>
  <c r="BM18" i="24"/>
  <c r="BL18" i="24"/>
  <c r="CD18" i="24" s="1"/>
  <c r="CV18" i="24" s="1"/>
  <c r="BK18" i="24"/>
  <c r="BK19" i="24" s="1"/>
  <c r="BK20" i="24" s="1"/>
  <c r="BK21" i="24" s="1"/>
  <c r="BK22" i="24" s="1"/>
  <c r="BK23" i="24" s="1"/>
  <c r="BK24" i="24" s="1"/>
  <c r="BK25" i="24" s="1"/>
  <c r="BK26" i="24" s="1"/>
  <c r="BK27" i="24" s="1"/>
  <c r="BK28" i="24" s="1"/>
  <c r="BK29" i="24" s="1"/>
  <c r="BK30" i="24" s="1"/>
  <c r="BK31" i="24" s="1"/>
  <c r="BK32" i="24" s="1"/>
  <c r="BK33" i="24" s="1"/>
  <c r="BK34" i="24" s="1"/>
  <c r="BK35" i="24" s="1"/>
  <c r="BK36" i="24" s="1"/>
  <c r="BK37" i="24" s="1"/>
  <c r="BK38" i="24" s="1"/>
  <c r="BK39" i="24" s="1"/>
  <c r="BK40" i="24" s="1"/>
  <c r="BK41" i="24" s="1"/>
  <c r="BK42" i="24" s="1"/>
  <c r="BK43" i="24" s="1"/>
  <c r="BK44" i="24" s="1"/>
  <c r="BK45" i="24" s="1"/>
  <c r="BK46" i="24" s="1"/>
  <c r="BK47" i="24" s="1"/>
  <c r="BK48" i="24" s="1"/>
  <c r="BK49" i="24" s="1"/>
  <c r="BK50" i="24" s="1"/>
  <c r="BK51" i="24" s="1"/>
  <c r="BK52" i="24" s="1"/>
  <c r="BK53" i="24" s="1"/>
  <c r="BK54" i="24" s="1"/>
  <c r="BK55" i="24" s="1"/>
  <c r="BK56" i="24" s="1"/>
  <c r="BK57" i="24" s="1"/>
  <c r="BK58" i="24" s="1"/>
  <c r="BK59" i="24" s="1"/>
  <c r="BK60" i="24" s="1"/>
  <c r="BK61" i="24" s="1"/>
  <c r="BG18" i="24"/>
  <c r="BF18" i="24"/>
  <c r="BA18" i="24"/>
  <c r="AZ18" i="24"/>
  <c r="AU18" i="24"/>
  <c r="AT18" i="24"/>
  <c r="AS18" i="24"/>
  <c r="AS19" i="24" s="1"/>
  <c r="AS20" i="24" s="1"/>
  <c r="AS21" i="24" s="1"/>
  <c r="AS22" i="24" s="1"/>
  <c r="AS23" i="24" s="1"/>
  <c r="AS24" i="24" s="1"/>
  <c r="AS25" i="24" s="1"/>
  <c r="AS26" i="24" s="1"/>
  <c r="AS27" i="24" s="1"/>
  <c r="AS28" i="24" s="1"/>
  <c r="AS29" i="24" s="1"/>
  <c r="AS30" i="24" s="1"/>
  <c r="AS31" i="24" s="1"/>
  <c r="AS32" i="24" s="1"/>
  <c r="AS33" i="24" s="1"/>
  <c r="AS34" i="24" s="1"/>
  <c r="AS35" i="24" s="1"/>
  <c r="AS36" i="24" s="1"/>
  <c r="AS37" i="24" s="1"/>
  <c r="AS38" i="24" s="1"/>
  <c r="AS39" i="24" s="1"/>
  <c r="AS40" i="24" s="1"/>
  <c r="AS41" i="24" s="1"/>
  <c r="AS42" i="24" s="1"/>
  <c r="AS43" i="24" s="1"/>
  <c r="AS44" i="24" s="1"/>
  <c r="AS45" i="24" s="1"/>
  <c r="AS46" i="24" s="1"/>
  <c r="AS47" i="24" s="1"/>
  <c r="AS48" i="24" s="1"/>
  <c r="AS49" i="24" s="1"/>
  <c r="AS50" i="24" s="1"/>
  <c r="AS51" i="24" s="1"/>
  <c r="AS52" i="24" s="1"/>
  <c r="AS53" i="24" s="1"/>
  <c r="AS54" i="24" s="1"/>
  <c r="AS55" i="24" s="1"/>
  <c r="AS56" i="24" s="1"/>
  <c r="AS57" i="24" s="1"/>
  <c r="AS58" i="24" s="1"/>
  <c r="AS59" i="24" s="1"/>
  <c r="AS60" i="24" s="1"/>
  <c r="AS61" i="24" s="1"/>
  <c r="AO18" i="24"/>
  <c r="AN18" i="24"/>
  <c r="AI18" i="24"/>
  <c r="AH18" i="24"/>
  <c r="AC18" i="24"/>
  <c r="AB18" i="24"/>
  <c r="W18" i="24"/>
  <c r="V18" i="24"/>
  <c r="BX18" i="24" s="1"/>
  <c r="U18" i="24"/>
  <c r="U19" i="24" s="1"/>
  <c r="U20" i="24" s="1"/>
  <c r="U21" i="24" s="1"/>
  <c r="U22" i="24" s="1"/>
  <c r="U23" i="24" s="1"/>
  <c r="U24" i="24" s="1"/>
  <c r="U25" i="24" s="1"/>
  <c r="U26" i="24" s="1"/>
  <c r="U27" i="24" s="1"/>
  <c r="U28" i="24" s="1"/>
  <c r="U29" i="24" s="1"/>
  <c r="U30" i="24" s="1"/>
  <c r="U31" i="24" s="1"/>
  <c r="U32" i="24" s="1"/>
  <c r="U33" i="24" s="1"/>
  <c r="U34" i="24" s="1"/>
  <c r="U35" i="24" s="1"/>
  <c r="U36" i="24" s="1"/>
  <c r="U37" i="24" s="1"/>
  <c r="U38" i="24" s="1"/>
  <c r="U39" i="24" s="1"/>
  <c r="U40" i="24" s="1"/>
  <c r="U41" i="24" s="1"/>
  <c r="U42" i="24" s="1"/>
  <c r="U43" i="24" s="1"/>
  <c r="U44" i="24" s="1"/>
  <c r="U45" i="24" s="1"/>
  <c r="U46" i="24" s="1"/>
  <c r="U47" i="24" s="1"/>
  <c r="U48" i="24" s="1"/>
  <c r="U49" i="24" s="1"/>
  <c r="U50" i="24" s="1"/>
  <c r="U51" i="24" s="1"/>
  <c r="U52" i="24" s="1"/>
  <c r="U53" i="24" s="1"/>
  <c r="U54" i="24" s="1"/>
  <c r="U55" i="24" s="1"/>
  <c r="U56" i="24" s="1"/>
  <c r="U57" i="24" s="1"/>
  <c r="U58" i="24" s="1"/>
  <c r="U59" i="24" s="1"/>
  <c r="U60" i="24" s="1"/>
  <c r="U61" i="24" s="1"/>
  <c r="Q18" i="24"/>
  <c r="DC18" i="24" s="1"/>
  <c r="P18" i="24"/>
  <c r="DB18" i="24" s="1"/>
  <c r="K18" i="24"/>
  <c r="J18" i="24"/>
  <c r="E18" i="24"/>
  <c r="D18" i="24"/>
  <c r="CO17" i="24"/>
  <c r="CO18" i="24" s="1"/>
  <c r="CO19" i="24" s="1"/>
  <c r="CO20" i="24" s="1"/>
  <c r="CO21" i="24" s="1"/>
  <c r="CO22" i="24" s="1"/>
  <c r="CO23" i="24" s="1"/>
  <c r="CO24" i="24" s="1"/>
  <c r="CO25" i="24" s="1"/>
  <c r="CO26" i="24" s="1"/>
  <c r="CO27" i="24" s="1"/>
  <c r="CO28" i="24" s="1"/>
  <c r="CO29" i="24" s="1"/>
  <c r="CO30" i="24" s="1"/>
  <c r="CO31" i="24" s="1"/>
  <c r="CK17" i="24"/>
  <c r="DC17" i="24" s="1"/>
  <c r="BS17" i="24"/>
  <c r="BR17" i="24"/>
  <c r="BM17" i="24"/>
  <c r="BL17" i="24"/>
  <c r="BK17" i="24"/>
  <c r="BG17" i="24"/>
  <c r="BY17" i="24" s="1"/>
  <c r="BF17" i="24"/>
  <c r="BA17" i="24"/>
  <c r="AZ17" i="24"/>
  <c r="AU17" i="24"/>
  <c r="AT17" i="24"/>
  <c r="AO17" i="24"/>
  <c r="AN17" i="24"/>
  <c r="AI17" i="24"/>
  <c r="AH17" i="24"/>
  <c r="AC17" i="24"/>
  <c r="CE17" i="24" s="1"/>
  <c r="AB17" i="24"/>
  <c r="CD17" i="24" s="1"/>
  <c r="W17" i="24"/>
  <c r="V17" i="24"/>
  <c r="BX17" i="24" s="1"/>
  <c r="Q17" i="24"/>
  <c r="P17" i="24"/>
  <c r="K17" i="24"/>
  <c r="CW17" i="24" s="1"/>
  <c r="J17" i="24"/>
  <c r="CV17" i="24" s="1"/>
  <c r="E17" i="24"/>
  <c r="D17" i="24"/>
  <c r="CK16" i="24"/>
  <c r="CJ16" i="24"/>
  <c r="DB16" i="24" s="1"/>
  <c r="CC16" i="24"/>
  <c r="CC17" i="24" s="1"/>
  <c r="CC18" i="24" s="1"/>
  <c r="CC19" i="24" s="1"/>
  <c r="CC20" i="24" s="1"/>
  <c r="CC21" i="24" s="1"/>
  <c r="CC22" i="24" s="1"/>
  <c r="CC23" i="24" s="1"/>
  <c r="CC24" i="24" s="1"/>
  <c r="CC25" i="24" s="1"/>
  <c r="CC26" i="24" s="1"/>
  <c r="CC27" i="24" s="1"/>
  <c r="CC28" i="24" s="1"/>
  <c r="CC29" i="24" s="1"/>
  <c r="CC30" i="24" s="1"/>
  <c r="CC31" i="24" s="1"/>
  <c r="CC32" i="24" s="1"/>
  <c r="CC33" i="24" s="1"/>
  <c r="CC34" i="24" s="1"/>
  <c r="CC35" i="24" s="1"/>
  <c r="CC36" i="24" s="1"/>
  <c r="CC37" i="24" s="1"/>
  <c r="CC38" i="24" s="1"/>
  <c r="CC39" i="24" s="1"/>
  <c r="CC40" i="24" s="1"/>
  <c r="CC41" i="24" s="1"/>
  <c r="CC42" i="24" s="1"/>
  <c r="CC43" i="24" s="1"/>
  <c r="CC44" i="24" s="1"/>
  <c r="CC45" i="24" s="1"/>
  <c r="CC46" i="24" s="1"/>
  <c r="CC47" i="24" s="1"/>
  <c r="CC48" i="24" s="1"/>
  <c r="CC49" i="24" s="1"/>
  <c r="CC50" i="24" s="1"/>
  <c r="CC51" i="24" s="1"/>
  <c r="CC52" i="24" s="1"/>
  <c r="CC53" i="24" s="1"/>
  <c r="CC54" i="24" s="1"/>
  <c r="CC55" i="24" s="1"/>
  <c r="CC56" i="24" s="1"/>
  <c r="CC57" i="24" s="1"/>
  <c r="CC58" i="24" s="1"/>
  <c r="CC59" i="24" s="1"/>
  <c r="CC60" i="24" s="1"/>
  <c r="CC61" i="24" s="1"/>
  <c r="BS16" i="24"/>
  <c r="BR16" i="24"/>
  <c r="BM16" i="24"/>
  <c r="BL16" i="24"/>
  <c r="BG16" i="24"/>
  <c r="BF16" i="24"/>
  <c r="BX16" i="24" s="1"/>
  <c r="CP16" i="24" s="1"/>
  <c r="BA16" i="24"/>
  <c r="AZ16" i="24"/>
  <c r="AU16" i="24"/>
  <c r="AT16" i="24"/>
  <c r="AO16" i="24"/>
  <c r="AN16" i="24"/>
  <c r="AI16" i="24"/>
  <c r="AH16" i="24"/>
  <c r="AC16" i="24"/>
  <c r="AB16" i="24"/>
  <c r="CD16" i="24" s="1"/>
  <c r="W16" i="24"/>
  <c r="BY16" i="24" s="1"/>
  <c r="V16" i="24"/>
  <c r="U16" i="24"/>
  <c r="U17" i="24" s="1"/>
  <c r="Q16" i="24"/>
  <c r="DC16" i="24" s="1"/>
  <c r="P16" i="24"/>
  <c r="K16" i="24"/>
  <c r="J16" i="24"/>
  <c r="CV16" i="24" s="1"/>
  <c r="E16" i="24"/>
  <c r="D16" i="24"/>
  <c r="DA15" i="24"/>
  <c r="DA16" i="24" s="1"/>
  <c r="DA17" i="24" s="1"/>
  <c r="DA18" i="24" s="1"/>
  <c r="DA19" i="24" s="1"/>
  <c r="DA20" i="24" s="1"/>
  <c r="DA21" i="24" s="1"/>
  <c r="DA22" i="24" s="1"/>
  <c r="DA23" i="24" s="1"/>
  <c r="DA24" i="24" s="1"/>
  <c r="DA25" i="24" s="1"/>
  <c r="DA26" i="24" s="1"/>
  <c r="DA27" i="24" s="1"/>
  <c r="DA28" i="24" s="1"/>
  <c r="DA29" i="24" s="1"/>
  <c r="DA30" i="24" s="1"/>
  <c r="DA31" i="24" s="1"/>
  <c r="DA32" i="24" s="1"/>
  <c r="DA33" i="24" s="1"/>
  <c r="DA34" i="24" s="1"/>
  <c r="DA35" i="24" s="1"/>
  <c r="DA36" i="24" s="1"/>
  <c r="DA37" i="24" s="1"/>
  <c r="DA38" i="24" s="1"/>
  <c r="DA39" i="24" s="1"/>
  <c r="DA40" i="24" s="1"/>
  <c r="DA41" i="24" s="1"/>
  <c r="DA42" i="24" s="1"/>
  <c r="DA43" i="24" s="1"/>
  <c r="DA44" i="24" s="1"/>
  <c r="DA45" i="24" s="1"/>
  <c r="DA46" i="24" s="1"/>
  <c r="DA47" i="24" s="1"/>
  <c r="DA48" i="24" s="1"/>
  <c r="DA49" i="24" s="1"/>
  <c r="DA50" i="24" s="1"/>
  <c r="DA51" i="24" s="1"/>
  <c r="DA52" i="24" s="1"/>
  <c r="DA53" i="24" s="1"/>
  <c r="DA54" i="24" s="1"/>
  <c r="DA55" i="24" s="1"/>
  <c r="DA56" i="24" s="1"/>
  <c r="DA57" i="24" s="1"/>
  <c r="DA58" i="24" s="1"/>
  <c r="DA59" i="24" s="1"/>
  <c r="DA60" i="24" s="1"/>
  <c r="DA61" i="24" s="1"/>
  <c r="CO15" i="24"/>
  <c r="CO16" i="24" s="1"/>
  <c r="CI15" i="24"/>
  <c r="CI16" i="24" s="1"/>
  <c r="CI17" i="24" s="1"/>
  <c r="CI18" i="24" s="1"/>
  <c r="CI19" i="24" s="1"/>
  <c r="CI20" i="24" s="1"/>
  <c r="CI21" i="24" s="1"/>
  <c r="CI22" i="24" s="1"/>
  <c r="CI23" i="24" s="1"/>
  <c r="CI24" i="24" s="1"/>
  <c r="CI25" i="24" s="1"/>
  <c r="CI26" i="24" s="1"/>
  <c r="CI27" i="24" s="1"/>
  <c r="CI28" i="24" s="1"/>
  <c r="CI29" i="24" s="1"/>
  <c r="CI30" i="24" s="1"/>
  <c r="CI31" i="24" s="1"/>
  <c r="CI32" i="24" s="1"/>
  <c r="CI33" i="24" s="1"/>
  <c r="CI34" i="24" s="1"/>
  <c r="CI35" i="24" s="1"/>
  <c r="CI36" i="24" s="1"/>
  <c r="CI37" i="24" s="1"/>
  <c r="CI38" i="24" s="1"/>
  <c r="CI39" i="24" s="1"/>
  <c r="CI40" i="24" s="1"/>
  <c r="CI41" i="24" s="1"/>
  <c r="CI42" i="24" s="1"/>
  <c r="CI43" i="24" s="1"/>
  <c r="CI44" i="24" s="1"/>
  <c r="CI45" i="24" s="1"/>
  <c r="CI46" i="24" s="1"/>
  <c r="CI47" i="24" s="1"/>
  <c r="CI48" i="24" s="1"/>
  <c r="CI49" i="24" s="1"/>
  <c r="CI50" i="24" s="1"/>
  <c r="CI51" i="24" s="1"/>
  <c r="CI52" i="24" s="1"/>
  <c r="CI53" i="24" s="1"/>
  <c r="CI54" i="24" s="1"/>
  <c r="CI55" i="24" s="1"/>
  <c r="CI56" i="24" s="1"/>
  <c r="CI57" i="24" s="1"/>
  <c r="CI58" i="24" s="1"/>
  <c r="CI59" i="24" s="1"/>
  <c r="CI60" i="24" s="1"/>
  <c r="CI61" i="24" s="1"/>
  <c r="CE15" i="24"/>
  <c r="BY15" i="24"/>
  <c r="BX15" i="24"/>
  <c r="BS15" i="24"/>
  <c r="BR15" i="24"/>
  <c r="BM15" i="24"/>
  <c r="BL15" i="24"/>
  <c r="BG15" i="24"/>
  <c r="BF15" i="24"/>
  <c r="BA15" i="24"/>
  <c r="AZ15" i="24"/>
  <c r="AU15" i="24"/>
  <c r="AT15" i="24"/>
  <c r="AS15" i="24"/>
  <c r="AS16" i="24" s="1"/>
  <c r="AS17" i="24" s="1"/>
  <c r="AO15" i="24"/>
  <c r="AN15" i="24"/>
  <c r="AI15" i="24"/>
  <c r="AH15" i="24"/>
  <c r="AC15" i="24"/>
  <c r="AB15" i="24"/>
  <c r="W15" i="24"/>
  <c r="V15" i="24"/>
  <c r="U15" i="24"/>
  <c r="Q15" i="24"/>
  <c r="P15" i="24"/>
  <c r="O15" i="24"/>
  <c r="O16" i="24" s="1"/>
  <c r="O17" i="24" s="1"/>
  <c r="O18" i="24" s="1"/>
  <c r="O19" i="24" s="1"/>
  <c r="O20" i="24" s="1"/>
  <c r="O21" i="24" s="1"/>
  <c r="O22" i="24" s="1"/>
  <c r="O23" i="24" s="1"/>
  <c r="O24" i="24" s="1"/>
  <c r="O25" i="24" s="1"/>
  <c r="O26" i="24" s="1"/>
  <c r="O27" i="24" s="1"/>
  <c r="O28" i="24" s="1"/>
  <c r="O29" i="24" s="1"/>
  <c r="O30" i="24" s="1"/>
  <c r="O31" i="24" s="1"/>
  <c r="O32" i="24" s="1"/>
  <c r="O33" i="24" s="1"/>
  <c r="O34" i="24" s="1"/>
  <c r="O35" i="24" s="1"/>
  <c r="O36" i="24" s="1"/>
  <c r="O37" i="24" s="1"/>
  <c r="O38" i="24" s="1"/>
  <c r="O39" i="24" s="1"/>
  <c r="O40" i="24" s="1"/>
  <c r="O41" i="24" s="1"/>
  <c r="O42" i="24" s="1"/>
  <c r="O43" i="24" s="1"/>
  <c r="K15" i="24"/>
  <c r="CW15" i="24" s="1"/>
  <c r="J15" i="24"/>
  <c r="I15" i="24"/>
  <c r="I16" i="24" s="1"/>
  <c r="I17" i="24" s="1"/>
  <c r="I18" i="24" s="1"/>
  <c r="I19" i="24" s="1"/>
  <c r="I20" i="24" s="1"/>
  <c r="I21" i="24" s="1"/>
  <c r="I22" i="24" s="1"/>
  <c r="I23" i="24" s="1"/>
  <c r="I24" i="24" s="1"/>
  <c r="I25" i="24" s="1"/>
  <c r="I26" i="24" s="1"/>
  <c r="I27" i="24" s="1"/>
  <c r="I28" i="24" s="1"/>
  <c r="I29" i="24" s="1"/>
  <c r="I30" i="24" s="1"/>
  <c r="I31" i="24" s="1"/>
  <c r="I32" i="24" s="1"/>
  <c r="I33" i="24" s="1"/>
  <c r="I34" i="24" s="1"/>
  <c r="I35" i="24" s="1"/>
  <c r="I36" i="24" s="1"/>
  <c r="I37" i="24" s="1"/>
  <c r="I38" i="24" s="1"/>
  <c r="I39" i="24" s="1"/>
  <c r="I40" i="24" s="1"/>
  <c r="I41" i="24" s="1"/>
  <c r="I42" i="24" s="1"/>
  <c r="I43" i="24" s="1"/>
  <c r="I44" i="24" s="1"/>
  <c r="I45" i="24" s="1"/>
  <c r="I46" i="24" s="1"/>
  <c r="I47" i="24" s="1"/>
  <c r="I48" i="24" s="1"/>
  <c r="I49" i="24" s="1"/>
  <c r="I50" i="24" s="1"/>
  <c r="I51" i="24" s="1"/>
  <c r="I52" i="24" s="1"/>
  <c r="I53" i="24" s="1"/>
  <c r="I54" i="24" s="1"/>
  <c r="I55" i="24" s="1"/>
  <c r="I56" i="24" s="1"/>
  <c r="I57" i="24" s="1"/>
  <c r="I58" i="24" s="1"/>
  <c r="I59" i="24" s="1"/>
  <c r="I60" i="24" s="1"/>
  <c r="I61" i="24" s="1"/>
  <c r="E15" i="24"/>
  <c r="D15" i="24"/>
  <c r="CP15" i="24" s="1"/>
  <c r="DA14" i="24"/>
  <c r="CU14" i="24"/>
  <c r="CU15" i="24" s="1"/>
  <c r="CU16" i="24" s="1"/>
  <c r="CU17" i="24" s="1"/>
  <c r="CU18" i="24" s="1"/>
  <c r="CU19" i="24" s="1"/>
  <c r="CU20" i="24" s="1"/>
  <c r="CU21" i="24" s="1"/>
  <c r="CU22" i="24" s="1"/>
  <c r="CU23" i="24" s="1"/>
  <c r="CU24" i="24" s="1"/>
  <c r="CU25" i="24" s="1"/>
  <c r="CU26" i="24" s="1"/>
  <c r="CU27" i="24" s="1"/>
  <c r="CU28" i="24" s="1"/>
  <c r="CU29" i="24" s="1"/>
  <c r="CU30" i="24" s="1"/>
  <c r="CU31" i="24" s="1"/>
  <c r="CU32" i="24" s="1"/>
  <c r="CU33" i="24" s="1"/>
  <c r="CU34" i="24" s="1"/>
  <c r="CU35" i="24" s="1"/>
  <c r="CU36" i="24" s="1"/>
  <c r="CU37" i="24" s="1"/>
  <c r="CU38" i="24" s="1"/>
  <c r="CU39" i="24" s="1"/>
  <c r="CU40" i="24" s="1"/>
  <c r="CQ14" i="24"/>
  <c r="CO14" i="24"/>
  <c r="CI14" i="24"/>
  <c r="CC14" i="24"/>
  <c r="CC15" i="24" s="1"/>
  <c r="BW14" i="24"/>
  <c r="BW15" i="24" s="1"/>
  <c r="BW16" i="24" s="1"/>
  <c r="BW17" i="24" s="1"/>
  <c r="BW18" i="24" s="1"/>
  <c r="BS14" i="24"/>
  <c r="BR14" i="24"/>
  <c r="BQ14" i="24"/>
  <c r="BQ15" i="24" s="1"/>
  <c r="BQ16" i="24" s="1"/>
  <c r="BQ17" i="24" s="1"/>
  <c r="BQ18" i="24" s="1"/>
  <c r="BQ19" i="24" s="1"/>
  <c r="BQ20" i="24" s="1"/>
  <c r="BQ21" i="24" s="1"/>
  <c r="BQ22" i="24" s="1"/>
  <c r="BQ23" i="24" s="1"/>
  <c r="BQ24" i="24" s="1"/>
  <c r="BQ25" i="24" s="1"/>
  <c r="BQ26" i="24" s="1"/>
  <c r="BQ27" i="24" s="1"/>
  <c r="BQ28" i="24" s="1"/>
  <c r="BQ29" i="24" s="1"/>
  <c r="BQ30" i="24" s="1"/>
  <c r="BQ31" i="24" s="1"/>
  <c r="BQ32" i="24" s="1"/>
  <c r="BQ33" i="24" s="1"/>
  <c r="BQ34" i="24" s="1"/>
  <c r="BQ35" i="24" s="1"/>
  <c r="BQ36" i="24" s="1"/>
  <c r="BQ37" i="24" s="1"/>
  <c r="BQ38" i="24" s="1"/>
  <c r="BQ39" i="24" s="1"/>
  <c r="BQ40" i="24" s="1"/>
  <c r="BQ41" i="24" s="1"/>
  <c r="BQ42" i="24" s="1"/>
  <c r="BQ43" i="24" s="1"/>
  <c r="BQ44" i="24" s="1"/>
  <c r="BQ45" i="24" s="1"/>
  <c r="BQ46" i="24" s="1"/>
  <c r="BQ47" i="24" s="1"/>
  <c r="BQ48" i="24" s="1"/>
  <c r="BQ49" i="24" s="1"/>
  <c r="BQ50" i="24" s="1"/>
  <c r="BQ51" i="24" s="1"/>
  <c r="BQ52" i="24" s="1"/>
  <c r="BQ53" i="24" s="1"/>
  <c r="BQ54" i="24" s="1"/>
  <c r="BQ55" i="24" s="1"/>
  <c r="BQ56" i="24" s="1"/>
  <c r="BQ57" i="24" s="1"/>
  <c r="BQ58" i="24" s="1"/>
  <c r="BQ59" i="24" s="1"/>
  <c r="BQ60" i="24" s="1"/>
  <c r="BQ61" i="24" s="1"/>
  <c r="BM14" i="24"/>
  <c r="BL14" i="24"/>
  <c r="BK14" i="24"/>
  <c r="BK15" i="24" s="1"/>
  <c r="BK16" i="24" s="1"/>
  <c r="BG14" i="24"/>
  <c r="BF14" i="24"/>
  <c r="BE14" i="24"/>
  <c r="BE15" i="24" s="1"/>
  <c r="BE16" i="24" s="1"/>
  <c r="BE17" i="24" s="1"/>
  <c r="BE18" i="24" s="1"/>
  <c r="BA14" i="24"/>
  <c r="CK14" i="24" s="1"/>
  <c r="DC14" i="24" s="1"/>
  <c r="AZ14" i="24"/>
  <c r="AY14" i="24"/>
  <c r="AY15" i="24" s="1"/>
  <c r="AY16" i="24" s="1"/>
  <c r="AY17" i="24" s="1"/>
  <c r="AY18" i="24" s="1"/>
  <c r="AY19" i="24" s="1"/>
  <c r="AY20" i="24" s="1"/>
  <c r="AY21" i="24" s="1"/>
  <c r="AY22" i="24" s="1"/>
  <c r="AY23" i="24" s="1"/>
  <c r="AY24" i="24" s="1"/>
  <c r="AY25" i="24" s="1"/>
  <c r="AY26" i="24" s="1"/>
  <c r="AY27" i="24" s="1"/>
  <c r="AY28" i="24" s="1"/>
  <c r="AY29" i="24" s="1"/>
  <c r="AY30" i="24" s="1"/>
  <c r="AY31" i="24" s="1"/>
  <c r="AY32" i="24" s="1"/>
  <c r="AY33" i="24" s="1"/>
  <c r="AY34" i="24" s="1"/>
  <c r="AY35" i="24" s="1"/>
  <c r="AY36" i="24" s="1"/>
  <c r="AY37" i="24" s="1"/>
  <c r="AY38" i="24" s="1"/>
  <c r="AY39" i="24" s="1"/>
  <c r="AY40" i="24" s="1"/>
  <c r="AY41" i="24" s="1"/>
  <c r="AY42" i="24" s="1"/>
  <c r="AY43" i="24" s="1"/>
  <c r="AY44" i="24" s="1"/>
  <c r="AY45" i="24" s="1"/>
  <c r="AY46" i="24" s="1"/>
  <c r="AY47" i="24" s="1"/>
  <c r="AY48" i="24" s="1"/>
  <c r="AY49" i="24" s="1"/>
  <c r="AY50" i="24" s="1"/>
  <c r="AY51" i="24" s="1"/>
  <c r="AY52" i="24" s="1"/>
  <c r="AY53" i="24" s="1"/>
  <c r="AY54" i="24" s="1"/>
  <c r="AY55" i="24" s="1"/>
  <c r="AY56" i="24" s="1"/>
  <c r="AY57" i="24" s="1"/>
  <c r="AY58" i="24" s="1"/>
  <c r="AY59" i="24" s="1"/>
  <c r="AY60" i="24" s="1"/>
  <c r="AY61" i="24" s="1"/>
  <c r="AU14" i="24"/>
  <c r="AT14" i="24"/>
  <c r="AS14" i="24"/>
  <c r="AO14" i="24"/>
  <c r="AN14" i="24"/>
  <c r="AM14" i="24"/>
  <c r="AM15" i="24" s="1"/>
  <c r="AM16" i="24" s="1"/>
  <c r="AM17" i="24" s="1"/>
  <c r="AM18" i="24" s="1"/>
  <c r="AM19" i="24" s="1"/>
  <c r="AM20" i="24" s="1"/>
  <c r="AM21" i="24" s="1"/>
  <c r="AM22" i="24" s="1"/>
  <c r="AM23" i="24" s="1"/>
  <c r="AM24" i="24" s="1"/>
  <c r="AM25" i="24" s="1"/>
  <c r="AM26" i="24" s="1"/>
  <c r="AM27" i="24" s="1"/>
  <c r="AM28" i="24" s="1"/>
  <c r="AM29" i="24" s="1"/>
  <c r="AM30" i="24" s="1"/>
  <c r="AM31" i="24" s="1"/>
  <c r="AM32" i="24" s="1"/>
  <c r="AM33" i="24" s="1"/>
  <c r="AM34" i="24" s="1"/>
  <c r="AM35" i="24" s="1"/>
  <c r="AM36" i="24" s="1"/>
  <c r="AM37" i="24" s="1"/>
  <c r="AM38" i="24" s="1"/>
  <c r="AM39" i="24" s="1"/>
  <c r="AM40" i="24" s="1"/>
  <c r="AM41" i="24" s="1"/>
  <c r="AM42" i="24" s="1"/>
  <c r="AM43" i="24" s="1"/>
  <c r="AM44" i="24" s="1"/>
  <c r="AM45" i="24" s="1"/>
  <c r="AM46" i="24" s="1"/>
  <c r="AM47" i="24" s="1"/>
  <c r="AM48" i="24" s="1"/>
  <c r="AM49" i="24" s="1"/>
  <c r="AM50" i="24" s="1"/>
  <c r="AM51" i="24" s="1"/>
  <c r="AM52" i="24" s="1"/>
  <c r="AM53" i="24" s="1"/>
  <c r="AM54" i="24" s="1"/>
  <c r="AM55" i="24" s="1"/>
  <c r="AM56" i="24" s="1"/>
  <c r="AM57" i="24" s="1"/>
  <c r="AM58" i="24" s="1"/>
  <c r="AM59" i="24" s="1"/>
  <c r="AM60" i="24" s="1"/>
  <c r="AM61" i="24" s="1"/>
  <c r="AI14" i="24"/>
  <c r="AH14" i="24"/>
  <c r="CJ14" i="24" s="1"/>
  <c r="AG14" i="24"/>
  <c r="AG15" i="24" s="1"/>
  <c r="AG16" i="24" s="1"/>
  <c r="AG17" i="24" s="1"/>
  <c r="AG18" i="24" s="1"/>
  <c r="AG19" i="24" s="1"/>
  <c r="AC14" i="24"/>
  <c r="CE14" i="24" s="1"/>
  <c r="AB14" i="24"/>
  <c r="CD14" i="24" s="1"/>
  <c r="AA14" i="24"/>
  <c r="AA15" i="24" s="1"/>
  <c r="AA16" i="24" s="1"/>
  <c r="AA17" i="24" s="1"/>
  <c r="AA18" i="24" s="1"/>
  <c r="AA19" i="24" s="1"/>
  <c r="AA20" i="24" s="1"/>
  <c r="AA21" i="24" s="1"/>
  <c r="AA22" i="24" s="1"/>
  <c r="AA23" i="24" s="1"/>
  <c r="AA24" i="24" s="1"/>
  <c r="AA25" i="24" s="1"/>
  <c r="AA26" i="24" s="1"/>
  <c r="AA27" i="24" s="1"/>
  <c r="AA28" i="24" s="1"/>
  <c r="AA29" i="24" s="1"/>
  <c r="AA30" i="24" s="1"/>
  <c r="AA31" i="24" s="1"/>
  <c r="AA32" i="24" s="1"/>
  <c r="AA33" i="24" s="1"/>
  <c r="AA34" i="24" s="1"/>
  <c r="AA35" i="24" s="1"/>
  <c r="AA36" i="24" s="1"/>
  <c r="AA37" i="24" s="1"/>
  <c r="AA38" i="24" s="1"/>
  <c r="AA39" i="24" s="1"/>
  <c r="AA40" i="24" s="1"/>
  <c r="AA41" i="24" s="1"/>
  <c r="AA42" i="24" s="1"/>
  <c r="AA43" i="24" s="1"/>
  <c r="AA44" i="24" s="1"/>
  <c r="AA45" i="24" s="1"/>
  <c r="AA46" i="24" s="1"/>
  <c r="AA47" i="24" s="1"/>
  <c r="AA48" i="24" s="1"/>
  <c r="AA49" i="24" s="1"/>
  <c r="AA50" i="24" s="1"/>
  <c r="AA51" i="24" s="1"/>
  <c r="AA52" i="24" s="1"/>
  <c r="AA53" i="24" s="1"/>
  <c r="AA54" i="24" s="1"/>
  <c r="AA55" i="24" s="1"/>
  <c r="AA56" i="24" s="1"/>
  <c r="AA57" i="24" s="1"/>
  <c r="AA58" i="24" s="1"/>
  <c r="AA59" i="24" s="1"/>
  <c r="AA60" i="24" s="1"/>
  <c r="AA61" i="24" s="1"/>
  <c r="W14" i="24"/>
  <c r="BY14" i="24" s="1"/>
  <c r="V14" i="24"/>
  <c r="U14" i="24"/>
  <c r="Q14" i="24"/>
  <c r="P14" i="24"/>
  <c r="O14" i="24"/>
  <c r="K14" i="24"/>
  <c r="J14" i="24"/>
  <c r="I14" i="24"/>
  <c r="E14" i="24"/>
  <c r="D14" i="24"/>
  <c r="C14" i="24"/>
  <c r="C15" i="24" s="1"/>
  <c r="C16" i="24" s="1"/>
  <c r="C17" i="24" s="1"/>
  <c r="C18" i="24" s="1"/>
  <c r="C19" i="24" s="1"/>
  <c r="C20" i="24" s="1"/>
  <c r="C21" i="24" s="1"/>
  <c r="C22" i="24" s="1"/>
  <c r="BQ9" i="24"/>
  <c r="BK9" i="24"/>
  <c r="BE9" i="24"/>
  <c r="AY9" i="24"/>
  <c r="AS9" i="24"/>
  <c r="AM9" i="24"/>
  <c r="AG9" i="24"/>
  <c r="AA9" i="24"/>
  <c r="U9" i="24"/>
  <c r="DA6" i="24"/>
  <c r="CU6" i="24"/>
  <c r="CO6" i="24"/>
  <c r="CI6" i="24"/>
  <c r="CC6" i="24"/>
  <c r="BW6" i="24"/>
  <c r="BQ6" i="24"/>
  <c r="BK6" i="24"/>
  <c r="BE6" i="24"/>
  <c r="AY6" i="24"/>
  <c r="AS6" i="24"/>
  <c r="AM6" i="24"/>
  <c r="AG6" i="24"/>
  <c r="AA6" i="24"/>
  <c r="U6" i="24"/>
  <c r="O6" i="24"/>
  <c r="I6" i="24"/>
  <c r="C6" i="24"/>
  <c r="D310" i="22"/>
  <c r="G309" i="22"/>
  <c r="E309" i="22"/>
  <c r="G308" i="22"/>
  <c r="E308" i="22"/>
  <c r="G307" i="22"/>
  <c r="G306" i="22" s="1"/>
  <c r="E307" i="22"/>
  <c r="D306" i="22"/>
  <c r="G305" i="22"/>
  <c r="F305" i="22"/>
  <c r="H305" i="22" s="1"/>
  <c r="I305" i="22" s="1"/>
  <c r="E305" i="22"/>
  <c r="G304" i="22"/>
  <c r="F304" i="22"/>
  <c r="H304" i="22" s="1"/>
  <c r="I304" i="22" s="1"/>
  <c r="E304" i="22"/>
  <c r="G303" i="22"/>
  <c r="F303" i="22"/>
  <c r="H303" i="22" s="1"/>
  <c r="I303" i="22" s="1"/>
  <c r="E303" i="22"/>
  <c r="D302" i="22"/>
  <c r="F301" i="22"/>
  <c r="F307" i="22" s="1"/>
  <c r="H307" i="22" s="1"/>
  <c r="I307" i="22" s="1"/>
  <c r="B301" i="22"/>
  <c r="D299" i="22"/>
  <c r="G298" i="22"/>
  <c r="E298" i="22"/>
  <c r="G297" i="22"/>
  <c r="E297" i="22"/>
  <c r="G296" i="22"/>
  <c r="G295" i="22" s="1"/>
  <c r="E296" i="22"/>
  <c r="F295" i="22"/>
  <c r="H295" i="22" s="1"/>
  <c r="I295" i="22" s="1"/>
  <c r="D295" i="22"/>
  <c r="G294" i="22"/>
  <c r="E294" i="22"/>
  <c r="G293" i="22"/>
  <c r="F293" i="22"/>
  <c r="E293" i="22"/>
  <c r="G292" i="22"/>
  <c r="G291" i="22" s="1"/>
  <c r="E292" i="22"/>
  <c r="F291" i="22"/>
  <c r="D291" i="22"/>
  <c r="F290" i="22"/>
  <c r="F298" i="22" s="1"/>
  <c r="H298" i="22" s="1"/>
  <c r="I298" i="22" s="1"/>
  <c r="B290" i="22"/>
  <c r="G287" i="22"/>
  <c r="E287" i="22"/>
  <c r="G286" i="22"/>
  <c r="E286" i="22"/>
  <c r="G285" i="22"/>
  <c r="E285" i="22"/>
  <c r="D284" i="22"/>
  <c r="G283" i="22"/>
  <c r="E283" i="22"/>
  <c r="G282" i="22"/>
  <c r="E282" i="22"/>
  <c r="G281" i="22"/>
  <c r="E281" i="22"/>
  <c r="D280" i="22"/>
  <c r="F279" i="22"/>
  <c r="F287" i="22" s="1"/>
  <c r="B279" i="22"/>
  <c r="G276" i="22"/>
  <c r="E276" i="22"/>
  <c r="G275" i="22"/>
  <c r="E275" i="22"/>
  <c r="G274" i="22"/>
  <c r="E274" i="22"/>
  <c r="D273" i="22"/>
  <c r="G272" i="22"/>
  <c r="E272" i="22"/>
  <c r="G271" i="22"/>
  <c r="E271" i="22"/>
  <c r="G270" i="22"/>
  <c r="E270" i="22"/>
  <c r="D269" i="22"/>
  <c r="D277" i="22" s="1"/>
  <c r="F268" i="22"/>
  <c r="F275" i="22" s="1"/>
  <c r="H275" i="22" s="1"/>
  <c r="I275" i="22" s="1"/>
  <c r="B268" i="22"/>
  <c r="G265" i="22"/>
  <c r="F265" i="22"/>
  <c r="H265" i="22" s="1"/>
  <c r="I265" i="22" s="1"/>
  <c r="E265" i="22"/>
  <c r="G264" i="22"/>
  <c r="F264" i="22"/>
  <c r="E264" i="22"/>
  <c r="G263" i="22"/>
  <c r="F263" i="22"/>
  <c r="H263" i="22" s="1"/>
  <c r="I263" i="22" s="1"/>
  <c r="E263" i="22"/>
  <c r="F262" i="22"/>
  <c r="D262" i="22"/>
  <c r="G261" i="22"/>
  <c r="F261" i="22"/>
  <c r="H261" i="22" s="1"/>
  <c r="E261" i="22"/>
  <c r="G260" i="22"/>
  <c r="G258" i="22" s="1"/>
  <c r="F260" i="22"/>
  <c r="E260" i="22"/>
  <c r="G259" i="22"/>
  <c r="E259" i="22"/>
  <c r="D258" i="22"/>
  <c r="D266" i="22" s="1"/>
  <c r="F257" i="22"/>
  <c r="F259" i="22" s="1"/>
  <c r="H259" i="22" s="1"/>
  <c r="I259" i="22" s="1"/>
  <c r="B257" i="22"/>
  <c r="G254" i="22"/>
  <c r="E254" i="22"/>
  <c r="G253" i="22"/>
  <c r="E253" i="22"/>
  <c r="G252" i="22"/>
  <c r="G251" i="22" s="1"/>
  <c r="E252" i="22"/>
  <c r="D251" i="22"/>
  <c r="G250" i="22"/>
  <c r="E250" i="22"/>
  <c r="G249" i="22"/>
  <c r="E249" i="22"/>
  <c r="G248" i="22"/>
  <c r="G247" i="22" s="1"/>
  <c r="E248" i="22"/>
  <c r="D247" i="22"/>
  <c r="D255" i="22" s="1"/>
  <c r="G246" i="22"/>
  <c r="F246" i="22"/>
  <c r="B246" i="22"/>
  <c r="G243" i="22"/>
  <c r="E243" i="22"/>
  <c r="G242" i="22"/>
  <c r="E242" i="22"/>
  <c r="G241" i="22"/>
  <c r="E241" i="22"/>
  <c r="G240" i="22"/>
  <c r="G239" i="22" s="1"/>
  <c r="E240" i="22"/>
  <c r="F239" i="22"/>
  <c r="H239" i="22" s="1"/>
  <c r="I239" i="22" s="1"/>
  <c r="D239" i="22"/>
  <c r="G238" i="22"/>
  <c r="F238" i="22"/>
  <c r="H238" i="22" s="1"/>
  <c r="I238" i="22" s="1"/>
  <c r="E238" i="22"/>
  <c r="G237" i="22"/>
  <c r="E237" i="22"/>
  <c r="G236" i="22"/>
  <c r="E236" i="22"/>
  <c r="G235" i="22"/>
  <c r="F235" i="22"/>
  <c r="D235" i="22"/>
  <c r="D244" i="22" s="1"/>
  <c r="F234" i="22"/>
  <c r="F243" i="22" s="1"/>
  <c r="B234" i="22"/>
  <c r="D230" i="22"/>
  <c r="G229" i="22"/>
  <c r="E229" i="22"/>
  <c r="G228" i="22"/>
  <c r="E228" i="22"/>
  <c r="G227" i="22"/>
  <c r="G226" i="22" s="1"/>
  <c r="E227" i="22"/>
  <c r="F226" i="22"/>
  <c r="D226" i="22"/>
  <c r="G225" i="22"/>
  <c r="E225" i="22"/>
  <c r="G224" i="22"/>
  <c r="F224" i="22"/>
  <c r="H224" i="22" s="1"/>
  <c r="I224" i="22" s="1"/>
  <c r="E224" i="22"/>
  <c r="G223" i="22"/>
  <c r="G222" i="22" s="1"/>
  <c r="G221" i="22" s="1"/>
  <c r="F223" i="22"/>
  <c r="H223" i="22" s="1"/>
  <c r="I223" i="22" s="1"/>
  <c r="E223" i="22"/>
  <c r="F222" i="22"/>
  <c r="D222" i="22"/>
  <c r="F221" i="22"/>
  <c r="H221" i="22" s="1"/>
  <c r="B221" i="22"/>
  <c r="G218" i="22"/>
  <c r="E218" i="22"/>
  <c r="G217" i="22"/>
  <c r="E217" i="22"/>
  <c r="G216" i="22"/>
  <c r="G215" i="22" s="1"/>
  <c r="F216" i="22"/>
  <c r="H216" i="22" s="1"/>
  <c r="I216" i="22" s="1"/>
  <c r="E216" i="22"/>
  <c r="D215" i="22"/>
  <c r="G214" i="22"/>
  <c r="E214" i="22"/>
  <c r="G213" i="22"/>
  <c r="E213" i="22"/>
  <c r="G212" i="22"/>
  <c r="F212" i="22"/>
  <c r="H212" i="22" s="1"/>
  <c r="I212" i="22" s="1"/>
  <c r="E212" i="22"/>
  <c r="D211" i="22"/>
  <c r="D219" i="22" s="1"/>
  <c r="F210" i="22"/>
  <c r="F214" i="22" s="1"/>
  <c r="B210" i="22"/>
  <c r="G207" i="22"/>
  <c r="E207" i="22"/>
  <c r="G206" i="22"/>
  <c r="G204" i="22" s="1"/>
  <c r="F206" i="22"/>
  <c r="E206" i="22"/>
  <c r="G205" i="22"/>
  <c r="F205" i="22"/>
  <c r="H205" i="22" s="1"/>
  <c r="I205" i="22" s="1"/>
  <c r="E205" i="22"/>
  <c r="F204" i="22"/>
  <c r="H204" i="22" s="1"/>
  <c r="I204" i="22" s="1"/>
  <c r="D204" i="22"/>
  <c r="D208" i="22" s="1"/>
  <c r="G203" i="22"/>
  <c r="E203" i="22"/>
  <c r="G202" i="22"/>
  <c r="E202" i="22"/>
  <c r="G201" i="22"/>
  <c r="F201" i="22"/>
  <c r="H201" i="22" s="1"/>
  <c r="I201" i="22" s="1"/>
  <c r="E201" i="22"/>
  <c r="G200" i="22"/>
  <c r="F200" i="22"/>
  <c r="D200" i="22"/>
  <c r="F199" i="22"/>
  <c r="F207" i="22" s="1"/>
  <c r="H207" i="22" s="1"/>
  <c r="I207" i="22" s="1"/>
  <c r="B199" i="22"/>
  <c r="G196" i="22"/>
  <c r="E196" i="22"/>
  <c r="G195" i="22"/>
  <c r="F195" i="22"/>
  <c r="E195" i="22"/>
  <c r="H194" i="22"/>
  <c r="I194" i="22" s="1"/>
  <c r="G194" i="22"/>
  <c r="F194" i="22"/>
  <c r="E194" i="22"/>
  <c r="F193" i="22"/>
  <c r="D193" i="22"/>
  <c r="G192" i="22"/>
  <c r="E192" i="22"/>
  <c r="G191" i="22"/>
  <c r="F191" i="22"/>
  <c r="E191" i="22"/>
  <c r="G190" i="22"/>
  <c r="F190" i="22"/>
  <c r="H190" i="22" s="1"/>
  <c r="I190" i="22" s="1"/>
  <c r="E190" i="22"/>
  <c r="F189" i="22"/>
  <c r="D189" i="22"/>
  <c r="D197" i="22" s="1"/>
  <c r="F188" i="22"/>
  <c r="F196" i="22" s="1"/>
  <c r="H196" i="22" s="1"/>
  <c r="I196" i="22" s="1"/>
  <c r="B188" i="22"/>
  <c r="G185" i="22"/>
  <c r="E185" i="22"/>
  <c r="G184" i="22"/>
  <c r="H184" i="22" s="1"/>
  <c r="I184" i="22" s="1"/>
  <c r="E184" i="22"/>
  <c r="G183" i="22"/>
  <c r="E183" i="22"/>
  <c r="F182" i="22"/>
  <c r="D182" i="22"/>
  <c r="G181" i="22"/>
  <c r="E181" i="22"/>
  <c r="G180" i="22"/>
  <c r="E180" i="22"/>
  <c r="G179" i="22"/>
  <c r="E179" i="22"/>
  <c r="F178" i="22"/>
  <c r="D178" i="22"/>
  <c r="D186" i="22" s="1"/>
  <c r="F177" i="22"/>
  <c r="F184" i="22" s="1"/>
  <c r="B177" i="22"/>
  <c r="G174" i="22"/>
  <c r="E174" i="22"/>
  <c r="G173" i="22"/>
  <c r="E173" i="22"/>
  <c r="G172" i="22"/>
  <c r="E172" i="22"/>
  <c r="F171" i="22"/>
  <c r="D171" i="22"/>
  <c r="G170" i="22"/>
  <c r="E170" i="22"/>
  <c r="G169" i="22"/>
  <c r="E169" i="22"/>
  <c r="G168" i="22"/>
  <c r="E168" i="22"/>
  <c r="F167" i="22"/>
  <c r="D167" i="22"/>
  <c r="D175" i="22" s="1"/>
  <c r="F166" i="22"/>
  <c r="F170" i="22" s="1"/>
  <c r="H170" i="22" s="1"/>
  <c r="I170" i="22" s="1"/>
  <c r="B166" i="22"/>
  <c r="G163" i="22"/>
  <c r="E163" i="22"/>
  <c r="G162" i="22"/>
  <c r="E162" i="22"/>
  <c r="G161" i="22"/>
  <c r="E161" i="22"/>
  <c r="G160" i="22"/>
  <c r="E160" i="22"/>
  <c r="D159" i="22"/>
  <c r="G158" i="22"/>
  <c r="E158" i="22"/>
  <c r="G157" i="22"/>
  <c r="F157" i="22"/>
  <c r="H157" i="22" s="1"/>
  <c r="I157" i="22" s="1"/>
  <c r="E157" i="22"/>
  <c r="G156" i="22"/>
  <c r="E156" i="22"/>
  <c r="G155" i="22"/>
  <c r="D155" i="22"/>
  <c r="F154" i="22"/>
  <c r="F159" i="22" s="1"/>
  <c r="B154" i="22"/>
  <c r="G149" i="22"/>
  <c r="G146" i="22" s="1"/>
  <c r="E149" i="22"/>
  <c r="G148" i="22"/>
  <c r="E148" i="22"/>
  <c r="G147" i="22"/>
  <c r="E147" i="22"/>
  <c r="D146" i="22"/>
  <c r="G145" i="22"/>
  <c r="G142" i="22" s="1"/>
  <c r="G141" i="22" s="1"/>
  <c r="E145" i="22"/>
  <c r="G144" i="22"/>
  <c r="E144" i="22"/>
  <c r="G143" i="22"/>
  <c r="E143" i="22"/>
  <c r="D142" i="22"/>
  <c r="D150" i="22" s="1"/>
  <c r="F141" i="22"/>
  <c r="B141" i="22"/>
  <c r="G138" i="22"/>
  <c r="E138" i="22"/>
  <c r="G137" i="22"/>
  <c r="E137" i="22"/>
  <c r="G136" i="22"/>
  <c r="F136" i="22"/>
  <c r="E136" i="22"/>
  <c r="G135" i="22"/>
  <c r="F135" i="22"/>
  <c r="D135" i="22"/>
  <c r="G134" i="22"/>
  <c r="E134" i="22"/>
  <c r="G133" i="22"/>
  <c r="E133" i="22"/>
  <c r="G132" i="22"/>
  <c r="F132" i="22"/>
  <c r="H132" i="22" s="1"/>
  <c r="I132" i="22" s="1"/>
  <c r="E132" i="22"/>
  <c r="G131" i="22"/>
  <c r="F131" i="22"/>
  <c r="D131" i="22"/>
  <c r="D139" i="22" s="1"/>
  <c r="F130" i="22"/>
  <c r="F138" i="22" s="1"/>
  <c r="H138" i="22" s="1"/>
  <c r="I138" i="22" s="1"/>
  <c r="B130" i="22"/>
  <c r="G127" i="22"/>
  <c r="E127" i="22"/>
  <c r="G126" i="22"/>
  <c r="E126" i="22"/>
  <c r="H125" i="22"/>
  <c r="I125" i="22" s="1"/>
  <c r="G125" i="22"/>
  <c r="E125" i="22"/>
  <c r="D124" i="22"/>
  <c r="D128" i="22" s="1"/>
  <c r="G123" i="22"/>
  <c r="E123" i="22"/>
  <c r="G122" i="22"/>
  <c r="E122" i="22"/>
  <c r="G121" i="22"/>
  <c r="G120" i="22" s="1"/>
  <c r="E121" i="22"/>
  <c r="D120" i="22"/>
  <c r="F119" i="22"/>
  <c r="F125" i="22" s="1"/>
  <c r="B119" i="22"/>
  <c r="G116" i="22"/>
  <c r="E116" i="22"/>
  <c r="G115" i="22"/>
  <c r="F115" i="22"/>
  <c r="H115" i="22" s="1"/>
  <c r="I115" i="22" s="1"/>
  <c r="E115" i="22"/>
  <c r="G114" i="22"/>
  <c r="E114" i="22"/>
  <c r="G113" i="22" s="1"/>
  <c r="D113" i="22"/>
  <c r="G112" i="22"/>
  <c r="F112" i="22"/>
  <c r="H112" i="22" s="1"/>
  <c r="I112" i="22" s="1"/>
  <c r="E112" i="22"/>
  <c r="G111" i="22"/>
  <c r="E111" i="22"/>
  <c r="G110" i="22"/>
  <c r="E110" i="22"/>
  <c r="G109" i="22" s="1"/>
  <c r="G108" i="22" s="1"/>
  <c r="D109" i="22"/>
  <c r="D117" i="22" s="1"/>
  <c r="F108" i="22"/>
  <c r="F114" i="22" s="1"/>
  <c r="H114" i="22" s="1"/>
  <c r="I114" i="22" s="1"/>
  <c r="B108" i="22"/>
  <c r="G105" i="22"/>
  <c r="E105" i="22"/>
  <c r="G104" i="22"/>
  <c r="F104" i="22"/>
  <c r="H104" i="22" s="1"/>
  <c r="I104" i="22" s="1"/>
  <c r="E104" i="22"/>
  <c r="G103" i="22"/>
  <c r="F103" i="22"/>
  <c r="H103" i="22" s="1"/>
  <c r="E103" i="22"/>
  <c r="G102" i="22" s="1"/>
  <c r="D102" i="22"/>
  <c r="G101" i="22"/>
  <c r="E101" i="22"/>
  <c r="G100" i="22"/>
  <c r="E100" i="22"/>
  <c r="G99" i="22"/>
  <c r="E99" i="22"/>
  <c r="G98" i="22" s="1"/>
  <c r="F98" i="22"/>
  <c r="D98" i="22"/>
  <c r="D106" i="22" s="1"/>
  <c r="F97" i="22"/>
  <c r="F105" i="22" s="1"/>
  <c r="H105" i="22" s="1"/>
  <c r="I105" i="22" s="1"/>
  <c r="B97" i="22"/>
  <c r="G94" i="22"/>
  <c r="E94" i="22"/>
  <c r="G93" i="22"/>
  <c r="F93" i="22"/>
  <c r="H93" i="22" s="1"/>
  <c r="I93" i="22" s="1"/>
  <c r="E93" i="22"/>
  <c r="G92" i="22"/>
  <c r="E92" i="22"/>
  <c r="D91" i="22"/>
  <c r="G90" i="22"/>
  <c r="E90" i="22"/>
  <c r="G89" i="22"/>
  <c r="E89" i="22"/>
  <c r="G88" i="22"/>
  <c r="G87" i="22" s="1"/>
  <c r="E88" i="22"/>
  <c r="D87" i="22"/>
  <c r="D95" i="22" s="1"/>
  <c r="F86" i="22"/>
  <c r="F90" i="22" s="1"/>
  <c r="H90" i="22" s="1"/>
  <c r="I90" i="22" s="1"/>
  <c r="B86" i="22"/>
  <c r="D84" i="22"/>
  <c r="G83" i="22"/>
  <c r="E83" i="22"/>
  <c r="G82" i="22"/>
  <c r="E82" i="22"/>
  <c r="G81" i="22"/>
  <c r="E81" i="22"/>
  <c r="G80" i="22"/>
  <c r="E80" i="22"/>
  <c r="D79" i="22"/>
  <c r="G78" i="22"/>
  <c r="E78" i="22"/>
  <c r="G77" i="22"/>
  <c r="E77" i="22"/>
  <c r="G76" i="22"/>
  <c r="E76" i="22"/>
  <c r="G75" i="22"/>
  <c r="D75" i="22"/>
  <c r="F74" i="22"/>
  <c r="F82" i="22" s="1"/>
  <c r="H82" i="22" s="1"/>
  <c r="I82" i="22" s="1"/>
  <c r="B74" i="22"/>
  <c r="G69" i="22"/>
  <c r="E69" i="22"/>
  <c r="G68" i="22"/>
  <c r="E68" i="22"/>
  <c r="G67" i="22"/>
  <c r="F67" i="22"/>
  <c r="H67" i="22" s="1"/>
  <c r="E67" i="22"/>
  <c r="G66" i="22" s="1"/>
  <c r="D66" i="22"/>
  <c r="D70" i="22" s="1"/>
  <c r="G65" i="22"/>
  <c r="E65" i="22"/>
  <c r="G62" i="22" s="1"/>
  <c r="G64" i="22"/>
  <c r="F64" i="22"/>
  <c r="H64" i="22" s="1"/>
  <c r="I64" i="22" s="1"/>
  <c r="E64" i="22"/>
  <c r="G63" i="22"/>
  <c r="E63" i="22"/>
  <c r="D62" i="22"/>
  <c r="F61" i="22"/>
  <c r="F63" i="22" s="1"/>
  <c r="H63" i="22" s="1"/>
  <c r="I63" i="22" s="1"/>
  <c r="B61" i="22"/>
  <c r="G58" i="22"/>
  <c r="E58" i="22"/>
  <c r="G57" i="22"/>
  <c r="F57" i="22"/>
  <c r="H57" i="22" s="1"/>
  <c r="I57" i="22" s="1"/>
  <c r="E57" i="22"/>
  <c r="H56" i="22"/>
  <c r="I56" i="22" s="1"/>
  <c r="G56" i="22"/>
  <c r="G55" i="22" s="1"/>
  <c r="F56" i="22"/>
  <c r="E56" i="22"/>
  <c r="F55" i="22"/>
  <c r="D55" i="22"/>
  <c r="D59" i="22" s="1"/>
  <c r="G54" i="22"/>
  <c r="E54" i="22"/>
  <c r="G53" i="22"/>
  <c r="E53" i="22"/>
  <c r="G52" i="22"/>
  <c r="F52" i="22"/>
  <c r="H52" i="22" s="1"/>
  <c r="I52" i="22" s="1"/>
  <c r="E52" i="22"/>
  <c r="D51" i="22"/>
  <c r="F50" i="22"/>
  <c r="F53" i="22" s="1"/>
  <c r="H53" i="22" s="1"/>
  <c r="I53" i="22" s="1"/>
  <c r="B50" i="22"/>
  <c r="G47" i="22"/>
  <c r="E47" i="22"/>
  <c r="G46" i="22"/>
  <c r="E46" i="22"/>
  <c r="G45" i="22"/>
  <c r="G44" i="22" s="1"/>
  <c r="E45" i="22"/>
  <c r="D44" i="22"/>
  <c r="G43" i="22"/>
  <c r="E43" i="22"/>
  <c r="G42" i="22"/>
  <c r="E42" i="22"/>
  <c r="G41" i="22"/>
  <c r="E41" i="22"/>
  <c r="D40" i="22"/>
  <c r="D48" i="22" s="1"/>
  <c r="F39" i="22"/>
  <c r="F45" i="22" s="1"/>
  <c r="H45" i="22" s="1"/>
  <c r="I45" i="22" s="1"/>
  <c r="B39" i="22"/>
  <c r="H36" i="22"/>
  <c r="I36" i="22" s="1"/>
  <c r="G36" i="22"/>
  <c r="E36" i="22"/>
  <c r="G35" i="22"/>
  <c r="F35" i="22"/>
  <c r="H35" i="22" s="1"/>
  <c r="I35" i="22" s="1"/>
  <c r="E35" i="22"/>
  <c r="G34" i="22"/>
  <c r="F34" i="22"/>
  <c r="E34" i="22"/>
  <c r="G33" i="22"/>
  <c r="D33" i="22"/>
  <c r="G32" i="22"/>
  <c r="E32" i="22"/>
  <c r="G31" i="22"/>
  <c r="F31" i="22"/>
  <c r="H31" i="22" s="1"/>
  <c r="I31" i="22" s="1"/>
  <c r="E31" i="22"/>
  <c r="G30" i="22"/>
  <c r="G29" i="22" s="1"/>
  <c r="F30" i="22"/>
  <c r="E30" i="22"/>
  <c r="D29" i="22"/>
  <c r="D37" i="22" s="1"/>
  <c r="F28" i="22"/>
  <c r="F36" i="22" s="1"/>
  <c r="B28" i="22"/>
  <c r="G25" i="22"/>
  <c r="E25" i="22"/>
  <c r="G24" i="22"/>
  <c r="E24" i="22"/>
  <c r="G23" i="22"/>
  <c r="F23" i="22"/>
  <c r="H23" i="22" s="1"/>
  <c r="I23" i="22" s="1"/>
  <c r="E23" i="22"/>
  <c r="D22" i="22"/>
  <c r="G21" i="22"/>
  <c r="E21" i="22"/>
  <c r="G20" i="22"/>
  <c r="E20" i="22"/>
  <c r="G19" i="22"/>
  <c r="G18" i="22" s="1"/>
  <c r="F19" i="22"/>
  <c r="H19" i="22" s="1"/>
  <c r="I19" i="22" s="1"/>
  <c r="E19" i="22"/>
  <c r="F18" i="22"/>
  <c r="H18" i="22" s="1"/>
  <c r="I18" i="22" s="1"/>
  <c r="D18" i="22"/>
  <c r="D26" i="22" s="1"/>
  <c r="F17" i="22"/>
  <c r="F25" i="22" s="1"/>
  <c r="H25" i="22" s="1"/>
  <c r="I25" i="22" s="1"/>
  <c r="B17" i="22"/>
  <c r="G14" i="22"/>
  <c r="E14" i="22"/>
  <c r="G13" i="22"/>
  <c r="E13" i="22"/>
  <c r="G12" i="22"/>
  <c r="G11" i="22" s="1"/>
  <c r="H11" i="22" s="1"/>
  <c r="I11" i="22" s="1"/>
  <c r="E12" i="22"/>
  <c r="F11" i="22"/>
  <c r="D11" i="22"/>
  <c r="G10" i="22"/>
  <c r="E10" i="22"/>
  <c r="G9" i="22"/>
  <c r="F9" i="22"/>
  <c r="E9" i="22"/>
  <c r="G8" i="22"/>
  <c r="E8" i="22"/>
  <c r="F7" i="22"/>
  <c r="D7" i="22"/>
  <c r="D15" i="22" s="1"/>
  <c r="F6" i="22"/>
  <c r="F13" i="22" s="1"/>
  <c r="H13" i="22" s="1"/>
  <c r="B6" i="22"/>
  <c r="AA52" i="21"/>
  <c r="Z52" i="21"/>
  <c r="Y52" i="21"/>
  <c r="AA51" i="21"/>
  <c r="Z51" i="21"/>
  <c r="Y51" i="21"/>
  <c r="AA50" i="21"/>
  <c r="Z50" i="21"/>
  <c r="Y50" i="21"/>
  <c r="AA49" i="21"/>
  <c r="Z49" i="21"/>
  <c r="Y49" i="21"/>
  <c r="AA48" i="21"/>
  <c r="Z48" i="21"/>
  <c r="Y48" i="21"/>
  <c r="AA47" i="21"/>
  <c r="Z47" i="21"/>
  <c r="Y47" i="21"/>
  <c r="AA46" i="21"/>
  <c r="Z46" i="21"/>
  <c r="Y46" i="21"/>
  <c r="AA45" i="21"/>
  <c r="Z45" i="21"/>
  <c r="Y45" i="21"/>
  <c r="AA44" i="21"/>
  <c r="Z44" i="21"/>
  <c r="Y44" i="21"/>
  <c r="AA43" i="21"/>
  <c r="Z43" i="21"/>
  <c r="Y43" i="21"/>
  <c r="AA42" i="21"/>
  <c r="Z42" i="21"/>
  <c r="Y42" i="21"/>
  <c r="AA41" i="21"/>
  <c r="Z41" i="21"/>
  <c r="Y41" i="21"/>
  <c r="AA40" i="21"/>
  <c r="Z40" i="21"/>
  <c r="Y40" i="21"/>
  <c r="AA39" i="21"/>
  <c r="Z39" i="21"/>
  <c r="Y39" i="21"/>
  <c r="AA38" i="21"/>
  <c r="Z38" i="21"/>
  <c r="Y38" i="21"/>
  <c r="AA37" i="21"/>
  <c r="Z37" i="21"/>
  <c r="Y37" i="21"/>
  <c r="AA36" i="21"/>
  <c r="Z36" i="21"/>
  <c r="Y36" i="21"/>
  <c r="AA35" i="21"/>
  <c r="Z35" i="21"/>
  <c r="Y35" i="21"/>
  <c r="AA34" i="21"/>
  <c r="Z34" i="21"/>
  <c r="Y34" i="21"/>
  <c r="AA33" i="21"/>
  <c r="Z33" i="21"/>
  <c r="Y33" i="21"/>
  <c r="AA32" i="21"/>
  <c r="Z32" i="21"/>
  <c r="Y32" i="21"/>
  <c r="AA31" i="21"/>
  <c r="Z31" i="21"/>
  <c r="Y31" i="21"/>
  <c r="AA30" i="21"/>
  <c r="Z30" i="21"/>
  <c r="Y30" i="21"/>
  <c r="A30" i="2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A29" i="21"/>
  <c r="Z29" i="21"/>
  <c r="Y29" i="21"/>
  <c r="AA28" i="21"/>
  <c r="Z28" i="21"/>
  <c r="Y28" i="21"/>
  <c r="AA27" i="21"/>
  <c r="Z27" i="21"/>
  <c r="Y27" i="21"/>
  <c r="AA26" i="21"/>
  <c r="Z26" i="21"/>
  <c r="Y26" i="21"/>
  <c r="AA25" i="21"/>
  <c r="Z25" i="21"/>
  <c r="Y25" i="21"/>
  <c r="AA24" i="21"/>
  <c r="Z24" i="21"/>
  <c r="Y24" i="21"/>
  <c r="AA23" i="21"/>
  <c r="Z23" i="21"/>
  <c r="Y23" i="21"/>
  <c r="AA22" i="21"/>
  <c r="Z22" i="21"/>
  <c r="Y22" i="21"/>
  <c r="AA21" i="21"/>
  <c r="Z21" i="21"/>
  <c r="Y21" i="21"/>
  <c r="AA20" i="21"/>
  <c r="Z20" i="21"/>
  <c r="Y20" i="21"/>
  <c r="AA19" i="21"/>
  <c r="Z19" i="21"/>
  <c r="Y19" i="21"/>
  <c r="AA18" i="21"/>
  <c r="Z18" i="21"/>
  <c r="Y18" i="21"/>
  <c r="AA17" i="21"/>
  <c r="Z17" i="21"/>
  <c r="Y17" i="21"/>
  <c r="AA16" i="21"/>
  <c r="Z16" i="21"/>
  <c r="Y16" i="21"/>
  <c r="AA15" i="21"/>
  <c r="Z15" i="21"/>
  <c r="Y15" i="21"/>
  <c r="AA14" i="21"/>
  <c r="Z14" i="21"/>
  <c r="Y14" i="21"/>
  <c r="A14" i="2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A13" i="21"/>
  <c r="Z13" i="21"/>
  <c r="Y13" i="21"/>
  <c r="AA12" i="21"/>
  <c r="Z12" i="21"/>
  <c r="Y12" i="21"/>
  <c r="AA11" i="21"/>
  <c r="Z11" i="21"/>
  <c r="Y11" i="21"/>
  <c r="AA10" i="21"/>
  <c r="Z10" i="21"/>
  <c r="Y10" i="21"/>
  <c r="AA9" i="21"/>
  <c r="Z9" i="21"/>
  <c r="Y9" i="21"/>
  <c r="AA8" i="21"/>
  <c r="Z8" i="21"/>
  <c r="Y8" i="21"/>
  <c r="A8" i="21"/>
  <c r="A9" i="21" s="1"/>
  <c r="A10" i="21" s="1"/>
  <c r="A11" i="21" s="1"/>
  <c r="A12" i="21" s="1"/>
  <c r="A13" i="21" s="1"/>
  <c r="AA7" i="21"/>
  <c r="Z7" i="21"/>
  <c r="Y7" i="21"/>
  <c r="AA6" i="21"/>
  <c r="Z6" i="21"/>
  <c r="Y6" i="21"/>
  <c r="AA5" i="21"/>
  <c r="Z5" i="21"/>
  <c r="Y5" i="21"/>
  <c r="A5" i="21"/>
  <c r="A6" i="21" s="1"/>
  <c r="A7" i="21" s="1"/>
  <c r="Z52" i="20"/>
  <c r="Y52" i="20"/>
  <c r="X52" i="20"/>
  <c r="Z51" i="20"/>
  <c r="Y51" i="20"/>
  <c r="X51" i="20"/>
  <c r="Z50" i="20"/>
  <c r="Y50" i="20"/>
  <c r="X50" i="20"/>
  <c r="Z49" i="20"/>
  <c r="Y49" i="20"/>
  <c r="X49" i="20"/>
  <c r="Z48" i="20"/>
  <c r="Y48" i="20"/>
  <c r="X48" i="20"/>
  <c r="Z47" i="20"/>
  <c r="Y47" i="20"/>
  <c r="X47" i="20"/>
  <c r="Z46" i="20"/>
  <c r="Y46" i="20"/>
  <c r="X46" i="20"/>
  <c r="Z45" i="20"/>
  <c r="Y45" i="20"/>
  <c r="X45" i="20"/>
  <c r="Z44" i="20"/>
  <c r="Y44" i="20"/>
  <c r="X44" i="20"/>
  <c r="Z43" i="20"/>
  <c r="Y43" i="20"/>
  <c r="X43" i="20"/>
  <c r="Z42" i="20"/>
  <c r="Y42" i="20"/>
  <c r="X42" i="20"/>
  <c r="Z41" i="20"/>
  <c r="Y41" i="20"/>
  <c r="X41" i="20"/>
  <c r="Z40" i="20"/>
  <c r="Y40" i="20"/>
  <c r="X40" i="20"/>
  <c r="Z39" i="20"/>
  <c r="Y39" i="20"/>
  <c r="X39" i="20"/>
  <c r="Z38" i="20"/>
  <c r="Y38" i="20"/>
  <c r="X38" i="20"/>
  <c r="Z37" i="20"/>
  <c r="Y37" i="20"/>
  <c r="X37" i="20"/>
  <c r="Z36" i="20"/>
  <c r="Y36" i="20"/>
  <c r="X36" i="20"/>
  <c r="Z35" i="20"/>
  <c r="Y35" i="20"/>
  <c r="X35" i="20"/>
  <c r="Z34" i="20"/>
  <c r="Y34" i="20"/>
  <c r="X34" i="20"/>
  <c r="Z33" i="20"/>
  <c r="Y33" i="20"/>
  <c r="X33" i="20"/>
  <c r="Z32" i="20"/>
  <c r="Y32" i="20"/>
  <c r="X32" i="20"/>
  <c r="Z31" i="20"/>
  <c r="Y31" i="20"/>
  <c r="X31" i="20"/>
  <c r="Z30" i="20"/>
  <c r="Y30" i="20"/>
  <c r="X30" i="20"/>
  <c r="Z29" i="20"/>
  <c r="Y29" i="20"/>
  <c r="X29" i="20"/>
  <c r="Z28" i="20"/>
  <c r="Y28" i="20"/>
  <c r="X28" i="20"/>
  <c r="Z27" i="20"/>
  <c r="Y27" i="20"/>
  <c r="X27" i="20"/>
  <c r="Z26" i="20"/>
  <c r="Y26" i="20"/>
  <c r="X26" i="20"/>
  <c r="Z25" i="20"/>
  <c r="Y25" i="20"/>
  <c r="X25" i="20"/>
  <c r="Z24" i="20"/>
  <c r="Y24" i="20"/>
  <c r="X24" i="20"/>
  <c r="Z23" i="20"/>
  <c r="Y23" i="20"/>
  <c r="X23" i="20"/>
  <c r="Z22" i="20"/>
  <c r="Y22" i="20"/>
  <c r="X22" i="20"/>
  <c r="Z21" i="20"/>
  <c r="Y21" i="20"/>
  <c r="X21" i="20"/>
  <c r="Z20" i="20"/>
  <c r="Y20" i="20"/>
  <c r="X20" i="20"/>
  <c r="Z19" i="20"/>
  <c r="Y19" i="20"/>
  <c r="X19" i="20"/>
  <c r="Z18" i="20"/>
  <c r="Y18" i="20"/>
  <c r="X18" i="20"/>
  <c r="Z17" i="20"/>
  <c r="Y17" i="20"/>
  <c r="X17" i="20"/>
  <c r="Z16" i="20"/>
  <c r="Y16" i="20"/>
  <c r="X16" i="20"/>
  <c r="Z15" i="20"/>
  <c r="Y15" i="20"/>
  <c r="X15" i="20"/>
  <c r="Z14" i="20"/>
  <c r="Y14" i="20"/>
  <c r="X14" i="20"/>
  <c r="Z13" i="20"/>
  <c r="Y13" i="20"/>
  <c r="X13" i="20"/>
  <c r="Z12" i="20"/>
  <c r="Y12" i="20"/>
  <c r="X12" i="20"/>
  <c r="Z11" i="20"/>
  <c r="Y11" i="20"/>
  <c r="X11" i="20"/>
  <c r="Z10" i="20"/>
  <c r="Y10" i="20"/>
  <c r="X10" i="20"/>
  <c r="Z9" i="20"/>
  <c r="Y9" i="20"/>
  <c r="X9" i="20"/>
  <c r="Z8" i="20"/>
  <c r="Y8" i="20"/>
  <c r="X8" i="20"/>
  <c r="Z7" i="20"/>
  <c r="Y7" i="20"/>
  <c r="X7" i="20"/>
  <c r="Z6" i="20"/>
  <c r="Y6" i="20"/>
  <c r="X6" i="20"/>
  <c r="A6" i="20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Z5" i="20"/>
  <c r="Y5" i="20"/>
  <c r="X5" i="20"/>
  <c r="A5" i="20"/>
  <c r="AA52" i="19"/>
  <c r="Z52" i="19"/>
  <c r="Y52" i="19"/>
  <c r="AA51" i="19"/>
  <c r="Z51" i="19"/>
  <c r="Y51" i="19"/>
  <c r="AA50" i="19"/>
  <c r="Z50" i="19"/>
  <c r="Y50" i="19"/>
  <c r="AA49" i="19"/>
  <c r="Z49" i="19"/>
  <c r="Y49" i="19"/>
  <c r="AA48" i="19"/>
  <c r="Z48" i="19"/>
  <c r="Y48" i="19"/>
  <c r="AA47" i="19"/>
  <c r="Z47" i="19"/>
  <c r="Y47" i="19"/>
  <c r="AA46" i="19"/>
  <c r="Z46" i="19"/>
  <c r="Y46" i="19"/>
  <c r="AA45" i="19"/>
  <c r="Z45" i="19"/>
  <c r="Y45" i="19"/>
  <c r="AA44" i="19"/>
  <c r="Z44" i="19"/>
  <c r="Y44" i="19"/>
  <c r="AA43" i="19"/>
  <c r="Z43" i="19"/>
  <c r="Y43" i="19"/>
  <c r="AA42" i="19"/>
  <c r="Z42" i="19"/>
  <c r="Y42" i="19"/>
  <c r="AA41" i="19"/>
  <c r="Z41" i="19"/>
  <c r="Y41" i="19"/>
  <c r="AA40" i="19"/>
  <c r="Z40" i="19"/>
  <c r="Y40" i="19"/>
  <c r="AA39" i="19"/>
  <c r="Z39" i="19"/>
  <c r="Y39" i="19"/>
  <c r="AA38" i="19"/>
  <c r="Z38" i="19"/>
  <c r="Y38" i="19"/>
  <c r="AA37" i="19"/>
  <c r="Z37" i="19"/>
  <c r="Y37" i="19"/>
  <c r="AA36" i="19"/>
  <c r="Z36" i="19"/>
  <c r="Y36" i="19"/>
  <c r="AA35" i="19"/>
  <c r="Z35" i="19"/>
  <c r="Y35" i="19"/>
  <c r="AA34" i="19"/>
  <c r="Z34" i="19"/>
  <c r="Y34" i="19"/>
  <c r="AA33" i="19"/>
  <c r="Z33" i="19"/>
  <c r="Y33" i="19"/>
  <c r="AA32" i="19"/>
  <c r="Z32" i="19"/>
  <c r="Y32" i="19"/>
  <c r="AA31" i="19"/>
  <c r="Z31" i="19"/>
  <c r="Y31" i="19"/>
  <c r="AA30" i="19"/>
  <c r="Z30" i="19"/>
  <c r="Y30" i="19"/>
  <c r="AA29" i="19"/>
  <c r="Z29" i="19"/>
  <c r="Y29" i="19"/>
  <c r="AA28" i="19"/>
  <c r="Z28" i="19"/>
  <c r="Y28" i="19"/>
  <c r="AA27" i="19"/>
  <c r="Z27" i="19"/>
  <c r="Y27" i="19"/>
  <c r="AA26" i="19"/>
  <c r="Z26" i="19"/>
  <c r="Y26" i="19"/>
  <c r="AA25" i="19"/>
  <c r="Z25" i="19"/>
  <c r="Y25" i="19"/>
  <c r="AA24" i="19"/>
  <c r="Z24" i="19"/>
  <c r="Y24" i="19"/>
  <c r="AA23" i="19"/>
  <c r="Z23" i="19"/>
  <c r="Y23" i="19"/>
  <c r="AA22" i="19"/>
  <c r="Z22" i="19"/>
  <c r="Y22" i="19"/>
  <c r="AA21" i="19"/>
  <c r="Z21" i="19"/>
  <c r="Y21" i="19"/>
  <c r="AA20" i="19"/>
  <c r="Z20" i="19"/>
  <c r="Y20" i="19"/>
  <c r="AA19" i="19"/>
  <c r="Z19" i="19"/>
  <c r="Y19" i="19"/>
  <c r="AA18" i="19"/>
  <c r="Z18" i="19"/>
  <c r="Y18" i="19"/>
  <c r="AA17" i="19"/>
  <c r="Z17" i="19"/>
  <c r="Y17" i="19"/>
  <c r="AA16" i="19"/>
  <c r="Z16" i="19"/>
  <c r="Y16" i="19"/>
  <c r="AA15" i="19"/>
  <c r="Z15" i="19"/>
  <c r="Y15" i="19"/>
  <c r="AA14" i="19"/>
  <c r="Z14" i="19"/>
  <c r="Y14" i="19"/>
  <c r="AA13" i="19"/>
  <c r="Z13" i="19"/>
  <c r="Y13" i="19"/>
  <c r="AA12" i="19"/>
  <c r="Z12" i="19"/>
  <c r="Y12" i="19"/>
  <c r="AA11" i="19"/>
  <c r="Z11" i="19"/>
  <c r="Y11" i="19"/>
  <c r="AA10" i="19"/>
  <c r="Z10" i="19"/>
  <c r="Y10" i="19"/>
  <c r="AA9" i="19"/>
  <c r="Z9" i="19"/>
  <c r="Y9" i="19"/>
  <c r="AA8" i="19"/>
  <c r="Z8" i="19"/>
  <c r="Y8" i="19"/>
  <c r="AA7" i="19"/>
  <c r="Z7" i="19"/>
  <c r="Y7" i="19"/>
  <c r="AA6" i="19"/>
  <c r="Z6" i="19"/>
  <c r="Y6" i="19"/>
  <c r="AA5" i="19"/>
  <c r="Z5" i="19"/>
  <c r="Y5" i="19"/>
  <c r="A5" i="19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Z52" i="18"/>
  <c r="Y52" i="18"/>
  <c r="X52" i="18"/>
  <c r="Z51" i="18"/>
  <c r="Y51" i="18"/>
  <c r="X51" i="18"/>
  <c r="Z50" i="18"/>
  <c r="Y50" i="18"/>
  <c r="X50" i="18"/>
  <c r="Z49" i="18"/>
  <c r="Y49" i="18"/>
  <c r="X49" i="18"/>
  <c r="Z48" i="18"/>
  <c r="Y48" i="18"/>
  <c r="X48" i="18"/>
  <c r="Z47" i="18"/>
  <c r="Y47" i="18"/>
  <c r="X47" i="18"/>
  <c r="Z46" i="18"/>
  <c r="Y46" i="18"/>
  <c r="X46" i="18"/>
  <c r="Z45" i="18"/>
  <c r="Y45" i="18"/>
  <c r="X45" i="18"/>
  <c r="Z44" i="18"/>
  <c r="Y44" i="18"/>
  <c r="X44" i="18"/>
  <c r="Z43" i="18"/>
  <c r="Y43" i="18"/>
  <c r="X43" i="18"/>
  <c r="Z42" i="18"/>
  <c r="Y42" i="18"/>
  <c r="X42" i="18"/>
  <c r="Z41" i="18"/>
  <c r="Y41" i="18"/>
  <c r="X41" i="18"/>
  <c r="Z40" i="18"/>
  <c r="Y40" i="18"/>
  <c r="X40" i="18"/>
  <c r="Z39" i="18"/>
  <c r="Y39" i="18"/>
  <c r="X39" i="18"/>
  <c r="Z38" i="18"/>
  <c r="Y38" i="18"/>
  <c r="X38" i="18"/>
  <c r="Z37" i="18"/>
  <c r="Y37" i="18"/>
  <c r="X37" i="18"/>
  <c r="Z36" i="18"/>
  <c r="Y36" i="18"/>
  <c r="X36" i="18"/>
  <c r="Z35" i="18"/>
  <c r="Y35" i="18"/>
  <c r="X35" i="18"/>
  <c r="Z34" i="18"/>
  <c r="Y34" i="18"/>
  <c r="X34" i="18"/>
  <c r="Z33" i="18"/>
  <c r="Y33" i="18"/>
  <c r="X33" i="18"/>
  <c r="Z32" i="18"/>
  <c r="Y32" i="18"/>
  <c r="X32" i="18"/>
  <c r="Z31" i="18"/>
  <c r="Y31" i="18"/>
  <c r="X31" i="18"/>
  <c r="Z30" i="18"/>
  <c r="Y30" i="18"/>
  <c r="X30" i="18"/>
  <c r="Z29" i="18"/>
  <c r="Y29" i="18"/>
  <c r="X29" i="18"/>
  <c r="Z28" i="18"/>
  <c r="Y28" i="18"/>
  <c r="X28" i="18"/>
  <c r="Z27" i="18"/>
  <c r="Y27" i="18"/>
  <c r="X27" i="18"/>
  <c r="Z26" i="18"/>
  <c r="Y26" i="18"/>
  <c r="X26" i="18"/>
  <c r="Z25" i="18"/>
  <c r="Y25" i="18"/>
  <c r="X25" i="18"/>
  <c r="Z24" i="18"/>
  <c r="Y24" i="18"/>
  <c r="X24" i="18"/>
  <c r="Z23" i="18"/>
  <c r="Y23" i="18"/>
  <c r="X23" i="18"/>
  <c r="Z22" i="18"/>
  <c r="Y22" i="18"/>
  <c r="X22" i="18"/>
  <c r="Z21" i="18"/>
  <c r="Y21" i="18"/>
  <c r="X21" i="18"/>
  <c r="Z20" i="18"/>
  <c r="Y20" i="18"/>
  <c r="X20" i="18"/>
  <c r="Z19" i="18"/>
  <c r="Y19" i="18"/>
  <c r="X19" i="18"/>
  <c r="Z18" i="18"/>
  <c r="Y18" i="18"/>
  <c r="X18" i="18"/>
  <c r="Z17" i="18"/>
  <c r="Y17" i="18"/>
  <c r="X17" i="18"/>
  <c r="Z16" i="18"/>
  <c r="Y16" i="18"/>
  <c r="X16" i="18"/>
  <c r="Z15" i="18"/>
  <c r="Y15" i="18"/>
  <c r="X15" i="18"/>
  <c r="Z14" i="18"/>
  <c r="Y14" i="18"/>
  <c r="X14" i="18"/>
  <c r="Z13" i="18"/>
  <c r="Y13" i="18"/>
  <c r="X13" i="18"/>
  <c r="Z12" i="18"/>
  <c r="Y12" i="18"/>
  <c r="X12" i="18"/>
  <c r="Z11" i="18"/>
  <c r="Y11" i="18"/>
  <c r="X11" i="18"/>
  <c r="Z10" i="18"/>
  <c r="Y10" i="18"/>
  <c r="X10" i="18"/>
  <c r="A10" i="18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Z9" i="18"/>
  <c r="Y9" i="18"/>
  <c r="X9" i="18"/>
  <c r="Z8" i="18"/>
  <c r="Y8" i="18"/>
  <c r="X8" i="18"/>
  <c r="A8" i="18"/>
  <c r="A9" i="18" s="1"/>
  <c r="Z7" i="18"/>
  <c r="Y7" i="18"/>
  <c r="X7" i="18"/>
  <c r="Z6" i="18"/>
  <c r="Y6" i="18"/>
  <c r="X6" i="18"/>
  <c r="Z5" i="18"/>
  <c r="Y5" i="18"/>
  <c r="X5" i="18"/>
  <c r="A5" i="18"/>
  <c r="A6" i="18" s="1"/>
  <c r="A7" i="18" s="1"/>
  <c r="AA52" i="17"/>
  <c r="Z52" i="17"/>
  <c r="Y52" i="17"/>
  <c r="AA51" i="17"/>
  <c r="Z51" i="17"/>
  <c r="Y51" i="17"/>
  <c r="AA50" i="17"/>
  <c r="Z50" i="17"/>
  <c r="Y50" i="17"/>
  <c r="AA49" i="17"/>
  <c r="Z49" i="17"/>
  <c r="Y49" i="17"/>
  <c r="AA48" i="17"/>
  <c r="Z48" i="17"/>
  <c r="Y48" i="17"/>
  <c r="AA47" i="17"/>
  <c r="Z47" i="17"/>
  <c r="Y47" i="17"/>
  <c r="AA46" i="17"/>
  <c r="Z46" i="17"/>
  <c r="Y46" i="17"/>
  <c r="AA45" i="17"/>
  <c r="Z45" i="17"/>
  <c r="Y45" i="17"/>
  <c r="AA44" i="17"/>
  <c r="Z44" i="17"/>
  <c r="Y44" i="17"/>
  <c r="AA43" i="17"/>
  <c r="Z43" i="17"/>
  <c r="Y43" i="17"/>
  <c r="AA42" i="17"/>
  <c r="Z42" i="17"/>
  <c r="Y42" i="17"/>
  <c r="AA41" i="17"/>
  <c r="Z41" i="17"/>
  <c r="Y41" i="17"/>
  <c r="AA40" i="17"/>
  <c r="Z40" i="17"/>
  <c r="Y40" i="17"/>
  <c r="AA39" i="17"/>
  <c r="Z39" i="17"/>
  <c r="Y39" i="17"/>
  <c r="AA38" i="17"/>
  <c r="Z38" i="17"/>
  <c r="Y38" i="17"/>
  <c r="AA37" i="17"/>
  <c r="Z37" i="17"/>
  <c r="Y37" i="17"/>
  <c r="AA36" i="17"/>
  <c r="Z36" i="17"/>
  <c r="Y36" i="17"/>
  <c r="AA35" i="17"/>
  <c r="Z35" i="17"/>
  <c r="Y35" i="17"/>
  <c r="AA34" i="17"/>
  <c r="Z34" i="17"/>
  <c r="Y34" i="17"/>
  <c r="AA33" i="17"/>
  <c r="Z33" i="17"/>
  <c r="Y33" i="17"/>
  <c r="AA32" i="17"/>
  <c r="Z32" i="17"/>
  <c r="Y32" i="17"/>
  <c r="AA31" i="17"/>
  <c r="Z31" i="17"/>
  <c r="Y31" i="17"/>
  <c r="AA30" i="17"/>
  <c r="Z30" i="17"/>
  <c r="Y30" i="17"/>
  <c r="AA29" i="17"/>
  <c r="Z29" i="17"/>
  <c r="Y29" i="17"/>
  <c r="AA28" i="17"/>
  <c r="Z28" i="17"/>
  <c r="Y28" i="17"/>
  <c r="AA27" i="17"/>
  <c r="Z27" i="17"/>
  <c r="Y27" i="17"/>
  <c r="AA26" i="17"/>
  <c r="Z26" i="17"/>
  <c r="Y26" i="17"/>
  <c r="AA25" i="17"/>
  <c r="Z25" i="17"/>
  <c r="Y25" i="17"/>
  <c r="AA24" i="17"/>
  <c r="Z24" i="17"/>
  <c r="Y24" i="17"/>
  <c r="AA23" i="17"/>
  <c r="Z23" i="17"/>
  <c r="Y23" i="17"/>
  <c r="AA22" i="17"/>
  <c r="Z22" i="17"/>
  <c r="Y22" i="17"/>
  <c r="AA21" i="17"/>
  <c r="Z21" i="17"/>
  <c r="Y21" i="17"/>
  <c r="AA20" i="17"/>
  <c r="Z20" i="17"/>
  <c r="Y20" i="17"/>
  <c r="AA19" i="17"/>
  <c r="Z19" i="17"/>
  <c r="Y19" i="17"/>
  <c r="AA18" i="17"/>
  <c r="Z18" i="17"/>
  <c r="Y18" i="17"/>
  <c r="AA17" i="17"/>
  <c r="Z17" i="17"/>
  <c r="Y17" i="17"/>
  <c r="AA16" i="17"/>
  <c r="Z16" i="17"/>
  <c r="Y16" i="17"/>
  <c r="AA15" i="17"/>
  <c r="Z15" i="17"/>
  <c r="Y15" i="17"/>
  <c r="AA14" i="17"/>
  <c r="Z14" i="17"/>
  <c r="Y14" i="17"/>
  <c r="AA13" i="17"/>
  <c r="Z13" i="17"/>
  <c r="Y13" i="17"/>
  <c r="AA12" i="17"/>
  <c r="Z12" i="17"/>
  <c r="Y12" i="17"/>
  <c r="AA11" i="17"/>
  <c r="Z11" i="17"/>
  <c r="Y11" i="17"/>
  <c r="AA10" i="17"/>
  <c r="Z10" i="17"/>
  <c r="Y10" i="17"/>
  <c r="AA9" i="17"/>
  <c r="Z9" i="17"/>
  <c r="Y9" i="17"/>
  <c r="AA8" i="17"/>
  <c r="Z8" i="17"/>
  <c r="Y8" i="17"/>
  <c r="AA7" i="17"/>
  <c r="Z7" i="17"/>
  <c r="Y7" i="17"/>
  <c r="AA6" i="17"/>
  <c r="Z6" i="17"/>
  <c r="Y6" i="17"/>
  <c r="AA5" i="17"/>
  <c r="Z5" i="17"/>
  <c r="Y5" i="17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Z52" i="16"/>
  <c r="Y52" i="16"/>
  <c r="X52" i="16"/>
  <c r="Z51" i="16"/>
  <c r="Y51" i="16"/>
  <c r="X51" i="16"/>
  <c r="Z50" i="16"/>
  <c r="Y50" i="16"/>
  <c r="X50" i="16"/>
  <c r="Z49" i="16"/>
  <c r="Y49" i="16"/>
  <c r="X49" i="16"/>
  <c r="Z48" i="16"/>
  <c r="Y48" i="16"/>
  <c r="X48" i="16"/>
  <c r="Z47" i="16"/>
  <c r="Y47" i="16"/>
  <c r="X47" i="16"/>
  <c r="Z46" i="16"/>
  <c r="Y46" i="16"/>
  <c r="X46" i="16"/>
  <c r="Z45" i="16"/>
  <c r="Y45" i="16"/>
  <c r="X45" i="16"/>
  <c r="Z44" i="16"/>
  <c r="Y44" i="16"/>
  <c r="X44" i="16"/>
  <c r="Z43" i="16"/>
  <c r="Y43" i="16"/>
  <c r="X43" i="16"/>
  <c r="Z42" i="16"/>
  <c r="Y42" i="16"/>
  <c r="X42" i="16"/>
  <c r="Z41" i="16"/>
  <c r="Y41" i="16"/>
  <c r="X41" i="16"/>
  <c r="Z40" i="16"/>
  <c r="Y40" i="16"/>
  <c r="X40" i="16"/>
  <c r="Z39" i="16"/>
  <c r="Y39" i="16"/>
  <c r="X39" i="16"/>
  <c r="Z38" i="16"/>
  <c r="Y38" i="16"/>
  <c r="X38" i="16"/>
  <c r="Z37" i="16"/>
  <c r="Y37" i="16"/>
  <c r="X37" i="16"/>
  <c r="Z36" i="16"/>
  <c r="Y36" i="16"/>
  <c r="X36" i="16"/>
  <c r="Z35" i="16"/>
  <c r="Y35" i="16"/>
  <c r="X35" i="16"/>
  <c r="Z34" i="16"/>
  <c r="Y34" i="16"/>
  <c r="X34" i="16"/>
  <c r="Z33" i="16"/>
  <c r="Y33" i="16"/>
  <c r="X33" i="16"/>
  <c r="Z32" i="16"/>
  <c r="Y32" i="16"/>
  <c r="X32" i="16"/>
  <c r="Z31" i="16"/>
  <c r="Y31" i="16"/>
  <c r="X31" i="16"/>
  <c r="Z30" i="16"/>
  <c r="Y30" i="16"/>
  <c r="X30" i="16"/>
  <c r="Z29" i="16"/>
  <c r="Y29" i="16"/>
  <c r="X29" i="16"/>
  <c r="Z28" i="16"/>
  <c r="Y28" i="16"/>
  <c r="X28" i="16"/>
  <c r="Z27" i="16"/>
  <c r="Y27" i="16"/>
  <c r="X27" i="16"/>
  <c r="Z26" i="16"/>
  <c r="Y26" i="16"/>
  <c r="X26" i="16"/>
  <c r="Z25" i="16"/>
  <c r="Y25" i="16"/>
  <c r="X25" i="16"/>
  <c r="Z24" i="16"/>
  <c r="Y24" i="16"/>
  <c r="X24" i="16"/>
  <c r="Z23" i="16"/>
  <c r="Y23" i="16"/>
  <c r="X23" i="16"/>
  <c r="Z22" i="16"/>
  <c r="Y22" i="16"/>
  <c r="X22" i="16"/>
  <c r="Z21" i="16"/>
  <c r="Y21" i="16"/>
  <c r="X21" i="16"/>
  <c r="Z20" i="16"/>
  <c r="Y20" i="16"/>
  <c r="X20" i="16"/>
  <c r="Z19" i="16"/>
  <c r="Y19" i="16"/>
  <c r="X19" i="16"/>
  <c r="Z18" i="16"/>
  <c r="Y18" i="16"/>
  <c r="X18" i="16"/>
  <c r="Z17" i="16"/>
  <c r="Y17" i="16"/>
  <c r="X17" i="16"/>
  <c r="Z16" i="16"/>
  <c r="Y16" i="16"/>
  <c r="X16" i="16"/>
  <c r="Z15" i="16"/>
  <c r="Y15" i="16"/>
  <c r="X15" i="16"/>
  <c r="Z14" i="16"/>
  <c r="Y14" i="16"/>
  <c r="X14" i="16"/>
  <c r="Z13" i="16"/>
  <c r="Y13" i="16"/>
  <c r="X13" i="16"/>
  <c r="Z12" i="16"/>
  <c r="Y12" i="16"/>
  <c r="X12" i="16"/>
  <c r="Z11" i="16"/>
  <c r="Y11" i="16"/>
  <c r="X11" i="16"/>
  <c r="Z10" i="16"/>
  <c r="Y10" i="16"/>
  <c r="X10" i="16"/>
  <c r="Z9" i="16"/>
  <c r="Y9" i="16"/>
  <c r="X9" i="16"/>
  <c r="Z8" i="16"/>
  <c r="Y8" i="16"/>
  <c r="X8" i="16"/>
  <c r="Z7" i="16"/>
  <c r="Y7" i="16"/>
  <c r="X7" i="16"/>
  <c r="Z6" i="16"/>
  <c r="Y6" i="16"/>
  <c r="X6" i="16"/>
  <c r="Z5" i="16"/>
  <c r="Y5" i="16"/>
  <c r="X5" i="16"/>
  <c r="A5" i="16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W52" i="15"/>
  <c r="V52" i="15"/>
  <c r="U52" i="15"/>
  <c r="W51" i="15"/>
  <c r="V51" i="15"/>
  <c r="U51" i="15"/>
  <c r="W50" i="15"/>
  <c r="V50" i="15"/>
  <c r="U50" i="15"/>
  <c r="W49" i="15"/>
  <c r="V49" i="15"/>
  <c r="U49" i="15"/>
  <c r="W48" i="15"/>
  <c r="V48" i="15"/>
  <c r="U48" i="15"/>
  <c r="W47" i="15"/>
  <c r="V47" i="15"/>
  <c r="U47" i="15"/>
  <c r="W46" i="15"/>
  <c r="V46" i="15"/>
  <c r="U46" i="15"/>
  <c r="W45" i="15"/>
  <c r="V45" i="15"/>
  <c r="U45" i="15"/>
  <c r="W44" i="15"/>
  <c r="V44" i="15"/>
  <c r="U44" i="15"/>
  <c r="W43" i="15"/>
  <c r="V43" i="15"/>
  <c r="U43" i="15"/>
  <c r="W42" i="15"/>
  <c r="V42" i="15"/>
  <c r="U42" i="15"/>
  <c r="W41" i="15"/>
  <c r="V41" i="15"/>
  <c r="U41" i="15"/>
  <c r="W40" i="15"/>
  <c r="V40" i="15"/>
  <c r="U40" i="15"/>
  <c r="W39" i="15"/>
  <c r="V39" i="15"/>
  <c r="U39" i="15"/>
  <c r="W38" i="15"/>
  <c r="V38" i="15"/>
  <c r="U38" i="15"/>
  <c r="W37" i="15"/>
  <c r="V37" i="15"/>
  <c r="U37" i="15"/>
  <c r="W36" i="15"/>
  <c r="V36" i="15"/>
  <c r="U36" i="15"/>
  <c r="W35" i="15"/>
  <c r="V35" i="15"/>
  <c r="U35" i="15"/>
  <c r="W34" i="15"/>
  <c r="V34" i="15"/>
  <c r="U34" i="15"/>
  <c r="W33" i="15"/>
  <c r="V33" i="15"/>
  <c r="U33" i="15"/>
  <c r="W32" i="15"/>
  <c r="V32" i="15"/>
  <c r="U32" i="15"/>
  <c r="W31" i="15"/>
  <c r="V31" i="15"/>
  <c r="U31" i="15"/>
  <c r="W30" i="15"/>
  <c r="V30" i="15"/>
  <c r="U30" i="15"/>
  <c r="W29" i="15"/>
  <c r="V29" i="15"/>
  <c r="U29" i="15"/>
  <c r="W28" i="15"/>
  <c r="V28" i="15"/>
  <c r="U28" i="15"/>
  <c r="W27" i="15"/>
  <c r="V27" i="15"/>
  <c r="U27" i="15"/>
  <c r="W26" i="15"/>
  <c r="V26" i="15"/>
  <c r="U26" i="15"/>
  <c r="W25" i="15"/>
  <c r="V25" i="15"/>
  <c r="U25" i="15"/>
  <c r="W24" i="15"/>
  <c r="V24" i="15"/>
  <c r="U24" i="15"/>
  <c r="W23" i="15"/>
  <c r="V23" i="15"/>
  <c r="U23" i="15"/>
  <c r="W22" i="15"/>
  <c r="V22" i="15"/>
  <c r="U22" i="15"/>
  <c r="W21" i="15"/>
  <c r="V21" i="15"/>
  <c r="U21" i="15"/>
  <c r="W20" i="15"/>
  <c r="V20" i="15"/>
  <c r="U20" i="15"/>
  <c r="W19" i="15"/>
  <c r="V19" i="15"/>
  <c r="U19" i="15"/>
  <c r="W18" i="15"/>
  <c r="V18" i="15"/>
  <c r="U18" i="15"/>
  <c r="W17" i="15"/>
  <c r="V17" i="15"/>
  <c r="U17" i="15"/>
  <c r="W16" i="15"/>
  <c r="V16" i="15"/>
  <c r="U16" i="15"/>
  <c r="W15" i="15"/>
  <c r="V15" i="15"/>
  <c r="U15" i="15"/>
  <c r="W14" i="15"/>
  <c r="V14" i="15"/>
  <c r="U14" i="15"/>
  <c r="W13" i="15"/>
  <c r="V13" i="15"/>
  <c r="U13" i="15"/>
  <c r="W12" i="15"/>
  <c r="V12" i="15"/>
  <c r="U12" i="15"/>
  <c r="W11" i="15"/>
  <c r="V11" i="15"/>
  <c r="U11" i="15"/>
  <c r="W10" i="15"/>
  <c r="V10" i="15"/>
  <c r="U10" i="15"/>
  <c r="W9" i="15"/>
  <c r="V9" i="15"/>
  <c r="U9" i="15"/>
  <c r="A9" i="15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W8" i="15"/>
  <c r="V8" i="15"/>
  <c r="U8" i="15"/>
  <c r="W7" i="15"/>
  <c r="V7" i="15"/>
  <c r="U7" i="15"/>
  <c r="A7" i="15"/>
  <c r="A8" i="15" s="1"/>
  <c r="W6" i="15"/>
  <c r="V6" i="15"/>
  <c r="U6" i="15"/>
  <c r="A6" i="15"/>
  <c r="W5" i="15"/>
  <c r="V5" i="15"/>
  <c r="U5" i="15"/>
  <c r="A5" i="15"/>
  <c r="W52" i="14"/>
  <c r="V52" i="14"/>
  <c r="U52" i="14"/>
  <c r="W51" i="14"/>
  <c r="V51" i="14"/>
  <c r="U51" i="14"/>
  <c r="W50" i="14"/>
  <c r="V50" i="14"/>
  <c r="U50" i="14"/>
  <c r="W49" i="14"/>
  <c r="V49" i="14"/>
  <c r="U49" i="14"/>
  <c r="W48" i="14"/>
  <c r="V48" i="14"/>
  <c r="U48" i="14"/>
  <c r="W47" i="14"/>
  <c r="V47" i="14"/>
  <c r="U47" i="14"/>
  <c r="W46" i="14"/>
  <c r="V46" i="14"/>
  <c r="U46" i="14"/>
  <c r="W45" i="14"/>
  <c r="V45" i="14"/>
  <c r="U45" i="14"/>
  <c r="W44" i="14"/>
  <c r="V44" i="14"/>
  <c r="U44" i="14"/>
  <c r="W43" i="14"/>
  <c r="V43" i="14"/>
  <c r="U43" i="14"/>
  <c r="W42" i="14"/>
  <c r="V42" i="14"/>
  <c r="U42" i="14"/>
  <c r="W41" i="14"/>
  <c r="V41" i="14"/>
  <c r="U41" i="14"/>
  <c r="W40" i="14"/>
  <c r="V40" i="14"/>
  <c r="U40" i="14"/>
  <c r="W39" i="14"/>
  <c r="V39" i="14"/>
  <c r="U39" i="14"/>
  <c r="W38" i="14"/>
  <c r="V38" i="14"/>
  <c r="U38" i="14"/>
  <c r="W37" i="14"/>
  <c r="V37" i="14"/>
  <c r="U37" i="14"/>
  <c r="W36" i="14"/>
  <c r="V36" i="14"/>
  <c r="U36" i="14"/>
  <c r="W35" i="14"/>
  <c r="V35" i="14"/>
  <c r="U35" i="14"/>
  <c r="W34" i="14"/>
  <c r="V34" i="14"/>
  <c r="U34" i="14"/>
  <c r="W33" i="14"/>
  <c r="V33" i="14"/>
  <c r="U33" i="14"/>
  <c r="W32" i="14"/>
  <c r="V32" i="14"/>
  <c r="U32" i="14"/>
  <c r="W31" i="14"/>
  <c r="V31" i="14"/>
  <c r="U31" i="14"/>
  <c r="W30" i="14"/>
  <c r="V30" i="14"/>
  <c r="U30" i="14"/>
  <c r="W29" i="14"/>
  <c r="V29" i="14"/>
  <c r="U29" i="14"/>
  <c r="W28" i="14"/>
  <c r="V28" i="14"/>
  <c r="U28" i="14"/>
  <c r="W27" i="14"/>
  <c r="V27" i="14"/>
  <c r="U27" i="14"/>
  <c r="W26" i="14"/>
  <c r="V26" i="14"/>
  <c r="U26" i="14"/>
  <c r="W25" i="14"/>
  <c r="V25" i="14"/>
  <c r="U25" i="14"/>
  <c r="W24" i="14"/>
  <c r="V24" i="14"/>
  <c r="U24" i="14"/>
  <c r="W23" i="14"/>
  <c r="V23" i="14"/>
  <c r="U23" i="14"/>
  <c r="W22" i="14"/>
  <c r="V22" i="14"/>
  <c r="U22" i="14"/>
  <c r="W21" i="14"/>
  <c r="V21" i="14"/>
  <c r="U21" i="14"/>
  <c r="W20" i="14"/>
  <c r="V20" i="14"/>
  <c r="U20" i="14"/>
  <c r="W19" i="14"/>
  <c r="V19" i="14"/>
  <c r="U19" i="14"/>
  <c r="W18" i="14"/>
  <c r="V18" i="14"/>
  <c r="U18" i="14"/>
  <c r="W17" i="14"/>
  <c r="V17" i="14"/>
  <c r="U17" i="14"/>
  <c r="W16" i="14"/>
  <c r="V16" i="14"/>
  <c r="U16" i="14"/>
  <c r="W15" i="14"/>
  <c r="V15" i="14"/>
  <c r="U15" i="14"/>
  <c r="W14" i="14"/>
  <c r="V14" i="14"/>
  <c r="U14" i="14"/>
  <c r="W13" i="14"/>
  <c r="V13" i="14"/>
  <c r="U13" i="14"/>
  <c r="W12" i="14"/>
  <c r="V12" i="14"/>
  <c r="U12" i="14"/>
  <c r="W11" i="14"/>
  <c r="V11" i="14"/>
  <c r="U11" i="14"/>
  <c r="W10" i="14"/>
  <c r="V10" i="14"/>
  <c r="U10" i="14"/>
  <c r="W9" i="14"/>
  <c r="V9" i="14"/>
  <c r="U9" i="14"/>
  <c r="W8" i="14"/>
  <c r="V8" i="14"/>
  <c r="U8" i="14"/>
  <c r="W7" i="14"/>
  <c r="V7" i="14"/>
  <c r="U7" i="14"/>
  <c r="W6" i="14"/>
  <c r="V6" i="14"/>
  <c r="U6" i="14"/>
  <c r="W5" i="14"/>
  <c r="V5" i="14"/>
  <c r="U5" i="14"/>
  <c r="A5" i="14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A52" i="13"/>
  <c r="Z52" i="13"/>
  <c r="Y52" i="13"/>
  <c r="AA51" i="13"/>
  <c r="Z51" i="13"/>
  <c r="Y51" i="13"/>
  <c r="AA50" i="13"/>
  <c r="Z50" i="13"/>
  <c r="Y50" i="13"/>
  <c r="AA49" i="13"/>
  <c r="Z49" i="13"/>
  <c r="Y49" i="13"/>
  <c r="AA48" i="13"/>
  <c r="Z48" i="13"/>
  <c r="Y48" i="13"/>
  <c r="AA47" i="13"/>
  <c r="Z47" i="13"/>
  <c r="Y47" i="13"/>
  <c r="AA46" i="13"/>
  <c r="Z46" i="13"/>
  <c r="Y46" i="13"/>
  <c r="AA45" i="13"/>
  <c r="Z45" i="13"/>
  <c r="Y45" i="13"/>
  <c r="AA44" i="13"/>
  <c r="Z44" i="13"/>
  <c r="Y44" i="13"/>
  <c r="AA43" i="13"/>
  <c r="Z43" i="13"/>
  <c r="Y43" i="13"/>
  <c r="AA42" i="13"/>
  <c r="Z42" i="13"/>
  <c r="Y42" i="13"/>
  <c r="AA41" i="13"/>
  <c r="Z41" i="13"/>
  <c r="Y41" i="13"/>
  <c r="AA40" i="13"/>
  <c r="Z40" i="13"/>
  <c r="Y40" i="13"/>
  <c r="AA39" i="13"/>
  <c r="Z39" i="13"/>
  <c r="Y39" i="13"/>
  <c r="AA38" i="13"/>
  <c r="Z38" i="13"/>
  <c r="Y38" i="13"/>
  <c r="AA37" i="13"/>
  <c r="Z37" i="13"/>
  <c r="Y37" i="13"/>
  <c r="AA36" i="13"/>
  <c r="Z36" i="13"/>
  <c r="Y36" i="13"/>
  <c r="AA35" i="13"/>
  <c r="Z35" i="13"/>
  <c r="Y35" i="13"/>
  <c r="AA34" i="13"/>
  <c r="Z34" i="13"/>
  <c r="Y34" i="13"/>
  <c r="AA33" i="13"/>
  <c r="Z33" i="13"/>
  <c r="Y33" i="13"/>
  <c r="AA32" i="13"/>
  <c r="Z32" i="13"/>
  <c r="Y32" i="13"/>
  <c r="AA31" i="13"/>
  <c r="Z31" i="13"/>
  <c r="Y31" i="13"/>
  <c r="AA30" i="13"/>
  <c r="Z30" i="13"/>
  <c r="Y30" i="13"/>
  <c r="AA29" i="13"/>
  <c r="Z29" i="13"/>
  <c r="Y29" i="13"/>
  <c r="AA28" i="13"/>
  <c r="Z28" i="13"/>
  <c r="Y28" i="13"/>
  <c r="AA27" i="13"/>
  <c r="Z27" i="13"/>
  <c r="Y27" i="13"/>
  <c r="AA26" i="13"/>
  <c r="Z26" i="13"/>
  <c r="Y26" i="13"/>
  <c r="AA25" i="13"/>
  <c r="Z25" i="13"/>
  <c r="Y25" i="13"/>
  <c r="AA24" i="13"/>
  <c r="Z24" i="13"/>
  <c r="Y24" i="13"/>
  <c r="AA23" i="13"/>
  <c r="Z23" i="13"/>
  <c r="Y23" i="13"/>
  <c r="AA22" i="13"/>
  <c r="Z22" i="13"/>
  <c r="Y22" i="13"/>
  <c r="AA21" i="13"/>
  <c r="Z21" i="13"/>
  <c r="Y21" i="13"/>
  <c r="AA20" i="13"/>
  <c r="Z20" i="13"/>
  <c r="Y20" i="13"/>
  <c r="AA19" i="13"/>
  <c r="Z19" i="13"/>
  <c r="Y19" i="13"/>
  <c r="AA18" i="13"/>
  <c r="Z18" i="13"/>
  <c r="Y18" i="13"/>
  <c r="AA17" i="13"/>
  <c r="Z17" i="13"/>
  <c r="Y17" i="13"/>
  <c r="A17" i="13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A16" i="13"/>
  <c r="Z16" i="13"/>
  <c r="Y16" i="13"/>
  <c r="AA15" i="13"/>
  <c r="Z15" i="13"/>
  <c r="Y15" i="13"/>
  <c r="AA14" i="13"/>
  <c r="Z14" i="13"/>
  <c r="Y14" i="13"/>
  <c r="AA13" i="13"/>
  <c r="Z13" i="13"/>
  <c r="Y13" i="13"/>
  <c r="AA12" i="13"/>
  <c r="Z12" i="13"/>
  <c r="Y12" i="13"/>
  <c r="AA11" i="13"/>
  <c r="Z11" i="13"/>
  <c r="Y11" i="13"/>
  <c r="A11" i="13"/>
  <c r="A12" i="13" s="1"/>
  <c r="A13" i="13" s="1"/>
  <c r="A14" i="13" s="1"/>
  <c r="A15" i="13" s="1"/>
  <c r="A16" i="13" s="1"/>
  <c r="AA10" i="13"/>
  <c r="Z10" i="13"/>
  <c r="Y10" i="13"/>
  <c r="AA9" i="13"/>
  <c r="Z9" i="13"/>
  <c r="Y9" i="13"/>
  <c r="AA8" i="13"/>
  <c r="Z8" i="13"/>
  <c r="Y8" i="13"/>
  <c r="AA7" i="13"/>
  <c r="Z7" i="13"/>
  <c r="Y7" i="13"/>
  <c r="A7" i="13"/>
  <c r="A8" i="13" s="1"/>
  <c r="A9" i="13" s="1"/>
  <c r="A10" i="13" s="1"/>
  <c r="AA6" i="13"/>
  <c r="Z6" i="13"/>
  <c r="Y6" i="13"/>
  <c r="A6" i="13"/>
  <c r="AA5" i="13"/>
  <c r="Z5" i="13"/>
  <c r="Y5" i="13"/>
  <c r="A5" i="13"/>
  <c r="Z52" i="12"/>
  <c r="Y52" i="12"/>
  <c r="X52" i="12"/>
  <c r="Z51" i="12"/>
  <c r="Y51" i="12"/>
  <c r="X51" i="12"/>
  <c r="Z50" i="12"/>
  <c r="Y50" i="12"/>
  <c r="X50" i="12"/>
  <c r="Z49" i="12"/>
  <c r="Y49" i="12"/>
  <c r="X49" i="12"/>
  <c r="Z48" i="12"/>
  <c r="Y48" i="12"/>
  <c r="X48" i="12"/>
  <c r="Z47" i="12"/>
  <c r="Y47" i="12"/>
  <c r="X47" i="12"/>
  <c r="Z46" i="12"/>
  <c r="Y46" i="12"/>
  <c r="X46" i="12"/>
  <c r="Z45" i="12"/>
  <c r="Y45" i="12"/>
  <c r="X45" i="12"/>
  <c r="Z44" i="12"/>
  <c r="Y44" i="12"/>
  <c r="X44" i="12"/>
  <c r="Z43" i="12"/>
  <c r="Y43" i="12"/>
  <c r="X43" i="12"/>
  <c r="Z42" i="12"/>
  <c r="Y42" i="12"/>
  <c r="X42" i="12"/>
  <c r="Z41" i="12"/>
  <c r="Y41" i="12"/>
  <c r="X41" i="12"/>
  <c r="Z40" i="12"/>
  <c r="Y40" i="12"/>
  <c r="X40" i="12"/>
  <c r="Z39" i="12"/>
  <c r="Y39" i="12"/>
  <c r="X39" i="12"/>
  <c r="Z38" i="12"/>
  <c r="Y38" i="12"/>
  <c r="X38" i="12"/>
  <c r="Z37" i="12"/>
  <c r="Y37" i="12"/>
  <c r="X37" i="12"/>
  <c r="Z36" i="12"/>
  <c r="Y36" i="12"/>
  <c r="X36" i="12"/>
  <c r="Z35" i="12"/>
  <c r="Y35" i="12"/>
  <c r="X35" i="12"/>
  <c r="Z34" i="12"/>
  <c r="Y34" i="12"/>
  <c r="X34" i="12"/>
  <c r="Z33" i="12"/>
  <c r="Y33" i="12"/>
  <c r="X33" i="12"/>
  <c r="Z32" i="12"/>
  <c r="Y32" i="12"/>
  <c r="X32" i="12"/>
  <c r="Z31" i="12"/>
  <c r="Y31" i="12"/>
  <c r="X31" i="12"/>
  <c r="Z30" i="12"/>
  <c r="Y30" i="12"/>
  <c r="X30" i="12"/>
  <c r="Z29" i="12"/>
  <c r="Y29" i="12"/>
  <c r="X29" i="12"/>
  <c r="Z28" i="12"/>
  <c r="Y28" i="12"/>
  <c r="X28" i="12"/>
  <c r="Z27" i="12"/>
  <c r="Y27" i="12"/>
  <c r="X27" i="12"/>
  <c r="Z26" i="12"/>
  <c r="Y26" i="12"/>
  <c r="X26" i="12"/>
  <c r="Z25" i="12"/>
  <c r="Y25" i="12"/>
  <c r="X25" i="12"/>
  <c r="Z24" i="12"/>
  <c r="Y24" i="12"/>
  <c r="X24" i="12"/>
  <c r="Z23" i="12"/>
  <c r="Y23" i="12"/>
  <c r="X23" i="12"/>
  <c r="Z22" i="12"/>
  <c r="Y22" i="12"/>
  <c r="X22" i="12"/>
  <c r="Z21" i="12"/>
  <c r="Y21" i="12"/>
  <c r="X21" i="12"/>
  <c r="Z20" i="12"/>
  <c r="Y20" i="12"/>
  <c r="X20" i="12"/>
  <c r="Z19" i="12"/>
  <c r="Y19" i="12"/>
  <c r="X19" i="12"/>
  <c r="Z18" i="12"/>
  <c r="Y18" i="12"/>
  <c r="X18" i="12"/>
  <c r="Z17" i="12"/>
  <c r="Y17" i="12"/>
  <c r="X17" i="12"/>
  <c r="Z16" i="12"/>
  <c r="Y16" i="12"/>
  <c r="X16" i="12"/>
  <c r="Z15" i="12"/>
  <c r="Y15" i="12"/>
  <c r="X15" i="12"/>
  <c r="Z14" i="12"/>
  <c r="Y14" i="12"/>
  <c r="X14" i="12"/>
  <c r="Z13" i="12"/>
  <c r="Y13" i="12"/>
  <c r="X13" i="12"/>
  <c r="Z12" i="12"/>
  <c r="Y12" i="12"/>
  <c r="X12" i="12"/>
  <c r="Z11" i="12"/>
  <c r="Y11" i="12"/>
  <c r="X11" i="12"/>
  <c r="A11" i="12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Z10" i="12"/>
  <c r="Y10" i="12"/>
  <c r="X10" i="12"/>
  <c r="Z9" i="12"/>
  <c r="Y9" i="12"/>
  <c r="X9" i="12"/>
  <c r="Z8" i="12"/>
  <c r="Y8" i="12"/>
  <c r="X8" i="12"/>
  <c r="Z7" i="12"/>
  <c r="Y7" i="12"/>
  <c r="X7" i="12"/>
  <c r="A7" i="12"/>
  <c r="A8" i="12" s="1"/>
  <c r="A9" i="12" s="1"/>
  <c r="A10" i="12" s="1"/>
  <c r="Z6" i="12"/>
  <c r="Y6" i="12"/>
  <c r="X6" i="12"/>
  <c r="A6" i="12"/>
  <c r="Z5" i="12"/>
  <c r="Y5" i="12"/>
  <c r="X5" i="12"/>
  <c r="A5" i="12"/>
  <c r="AA52" i="11"/>
  <c r="Z52" i="11"/>
  <c r="Y52" i="11"/>
  <c r="AA51" i="11"/>
  <c r="Z51" i="11"/>
  <c r="Y51" i="11"/>
  <c r="AA50" i="11"/>
  <c r="Z50" i="11"/>
  <c r="Y50" i="11"/>
  <c r="AA49" i="11"/>
  <c r="Z49" i="11"/>
  <c r="Y49" i="11"/>
  <c r="AA48" i="11"/>
  <c r="Z48" i="11"/>
  <c r="Y48" i="11"/>
  <c r="AA47" i="11"/>
  <c r="Z47" i="11"/>
  <c r="Y47" i="11"/>
  <c r="AA46" i="11"/>
  <c r="Z46" i="11"/>
  <c r="Y46" i="11"/>
  <c r="AA45" i="11"/>
  <c r="Z45" i="11"/>
  <c r="Y45" i="11"/>
  <c r="AA44" i="11"/>
  <c r="Z44" i="11"/>
  <c r="Y44" i="11"/>
  <c r="AA43" i="11"/>
  <c r="Z43" i="11"/>
  <c r="Y43" i="11"/>
  <c r="AA42" i="11"/>
  <c r="Z42" i="11"/>
  <c r="Y42" i="11"/>
  <c r="AA41" i="11"/>
  <c r="Z41" i="11"/>
  <c r="Y41" i="11"/>
  <c r="AA40" i="11"/>
  <c r="Z40" i="11"/>
  <c r="Y40" i="11"/>
  <c r="AA39" i="11"/>
  <c r="Z39" i="11"/>
  <c r="Y39" i="11"/>
  <c r="AA38" i="11"/>
  <c r="Z38" i="11"/>
  <c r="Y38" i="11"/>
  <c r="AA37" i="11"/>
  <c r="Z37" i="11"/>
  <c r="Y37" i="11"/>
  <c r="AA36" i="11"/>
  <c r="Z36" i="11"/>
  <c r="Y36" i="11"/>
  <c r="AA35" i="11"/>
  <c r="Z35" i="11"/>
  <c r="Y35" i="11"/>
  <c r="AA34" i="11"/>
  <c r="Z34" i="11"/>
  <c r="Y34" i="11"/>
  <c r="AA33" i="11"/>
  <c r="Z33" i="11"/>
  <c r="Y33" i="11"/>
  <c r="AA32" i="11"/>
  <c r="Z32" i="11"/>
  <c r="Y32" i="11"/>
  <c r="AA31" i="11"/>
  <c r="Z31" i="11"/>
  <c r="Y31" i="11"/>
  <c r="AA30" i="11"/>
  <c r="Z30" i="11"/>
  <c r="Y30" i="11"/>
  <c r="AA29" i="11"/>
  <c r="Z29" i="11"/>
  <c r="Y29" i="11"/>
  <c r="AA28" i="11"/>
  <c r="Z28" i="11"/>
  <c r="Y28" i="11"/>
  <c r="AA27" i="11"/>
  <c r="Z27" i="11"/>
  <c r="Y27" i="11"/>
  <c r="AA26" i="11"/>
  <c r="Z26" i="11"/>
  <c r="Y26" i="11"/>
  <c r="AA25" i="11"/>
  <c r="Z25" i="11"/>
  <c r="Y25" i="11"/>
  <c r="AA24" i="11"/>
  <c r="Z24" i="11"/>
  <c r="Y24" i="11"/>
  <c r="AA23" i="11"/>
  <c r="Z23" i="11"/>
  <c r="Y23" i="11"/>
  <c r="AA22" i="11"/>
  <c r="Z22" i="11"/>
  <c r="Y22" i="11"/>
  <c r="AA21" i="11"/>
  <c r="Z21" i="11"/>
  <c r="Y21" i="11"/>
  <c r="AA20" i="11"/>
  <c r="Z20" i="11"/>
  <c r="Y20" i="11"/>
  <c r="AA19" i="11"/>
  <c r="Z19" i="11"/>
  <c r="Y19" i="11"/>
  <c r="AA18" i="11"/>
  <c r="Z18" i="11"/>
  <c r="Y18" i="11"/>
  <c r="AA17" i="11"/>
  <c r="Z17" i="11"/>
  <c r="Y17" i="11"/>
  <c r="A17" i="1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A16" i="11"/>
  <c r="Z16" i="11"/>
  <c r="Y16" i="11"/>
  <c r="AA15" i="11"/>
  <c r="Z15" i="11"/>
  <c r="Y15" i="11"/>
  <c r="AA14" i="11"/>
  <c r="Z14" i="11"/>
  <c r="Y14" i="11"/>
  <c r="AA13" i="11"/>
  <c r="Z13" i="11"/>
  <c r="Y13" i="11"/>
  <c r="AA12" i="11"/>
  <c r="Z12" i="11"/>
  <c r="Y12" i="11"/>
  <c r="AA11" i="11"/>
  <c r="Z11" i="11"/>
  <c r="Y11" i="11"/>
  <c r="AA10" i="11"/>
  <c r="Z10" i="11"/>
  <c r="Y10" i="11"/>
  <c r="AA9" i="11"/>
  <c r="Z9" i="11"/>
  <c r="Y9" i="11"/>
  <c r="A9" i="11"/>
  <c r="A10" i="11" s="1"/>
  <c r="A11" i="11" s="1"/>
  <c r="A12" i="11" s="1"/>
  <c r="A13" i="11" s="1"/>
  <c r="A14" i="11" s="1"/>
  <c r="A15" i="11" s="1"/>
  <c r="A16" i="11" s="1"/>
  <c r="AA8" i="11"/>
  <c r="Z8" i="11"/>
  <c r="Y8" i="11"/>
  <c r="AA7" i="11"/>
  <c r="Z7" i="11"/>
  <c r="Y7" i="11"/>
  <c r="A7" i="11"/>
  <c r="A8" i="11" s="1"/>
  <c r="AA6" i="11"/>
  <c r="Z6" i="11"/>
  <c r="Y6" i="11"/>
  <c r="AA5" i="11"/>
  <c r="Z5" i="11"/>
  <c r="Y5" i="11"/>
  <c r="A5" i="11"/>
  <c r="A6" i="11" s="1"/>
  <c r="Z52" i="10"/>
  <c r="Y52" i="10"/>
  <c r="X52" i="10"/>
  <c r="Z51" i="10"/>
  <c r="Y51" i="10"/>
  <c r="X51" i="10"/>
  <c r="Z50" i="10"/>
  <c r="Y50" i="10"/>
  <c r="X50" i="10"/>
  <c r="Z49" i="10"/>
  <c r="Y49" i="10"/>
  <c r="X49" i="10"/>
  <c r="Z48" i="10"/>
  <c r="Y48" i="10"/>
  <c r="X48" i="10"/>
  <c r="Z47" i="10"/>
  <c r="Y47" i="10"/>
  <c r="X47" i="10"/>
  <c r="Z46" i="10"/>
  <c r="Y46" i="10"/>
  <c r="X46" i="10"/>
  <c r="Z45" i="10"/>
  <c r="Y45" i="10"/>
  <c r="X45" i="10"/>
  <c r="Z44" i="10"/>
  <c r="Y44" i="10"/>
  <c r="X44" i="10"/>
  <c r="Z43" i="10"/>
  <c r="Y43" i="10"/>
  <c r="X43" i="10"/>
  <c r="Z42" i="10"/>
  <c r="Y42" i="10"/>
  <c r="X42" i="10"/>
  <c r="Z41" i="10"/>
  <c r="Y41" i="10"/>
  <c r="X41" i="10"/>
  <c r="Z40" i="10"/>
  <c r="Y40" i="10"/>
  <c r="X40" i="10"/>
  <c r="Z39" i="10"/>
  <c r="Y39" i="10"/>
  <c r="X39" i="10"/>
  <c r="Z38" i="10"/>
  <c r="Y38" i="10"/>
  <c r="X38" i="10"/>
  <c r="Z37" i="10"/>
  <c r="Y37" i="10"/>
  <c r="X37" i="10"/>
  <c r="Z36" i="10"/>
  <c r="Y36" i="10"/>
  <c r="X36" i="10"/>
  <c r="Z35" i="10"/>
  <c r="Y35" i="10"/>
  <c r="X35" i="10"/>
  <c r="Z34" i="10"/>
  <c r="Y34" i="10"/>
  <c r="X34" i="10"/>
  <c r="Z33" i="10"/>
  <c r="Y33" i="10"/>
  <c r="X33" i="10"/>
  <c r="Z32" i="10"/>
  <c r="Y32" i="10"/>
  <c r="X32" i="10"/>
  <c r="Z31" i="10"/>
  <c r="Y31" i="10"/>
  <c r="X31" i="10"/>
  <c r="Z30" i="10"/>
  <c r="Y30" i="10"/>
  <c r="X30" i="10"/>
  <c r="Z29" i="10"/>
  <c r="Y29" i="10"/>
  <c r="X29" i="10"/>
  <c r="Z28" i="10"/>
  <c r="Y28" i="10"/>
  <c r="X28" i="10"/>
  <c r="Z27" i="10"/>
  <c r="Y27" i="10"/>
  <c r="X27" i="10"/>
  <c r="Z26" i="10"/>
  <c r="Y26" i="10"/>
  <c r="X26" i="10"/>
  <c r="Z25" i="10"/>
  <c r="Y25" i="10"/>
  <c r="X25" i="10"/>
  <c r="Z24" i="10"/>
  <c r="Y24" i="10"/>
  <c r="X24" i="10"/>
  <c r="Z23" i="10"/>
  <c r="Y23" i="10"/>
  <c r="X23" i="10"/>
  <c r="Z22" i="10"/>
  <c r="Y22" i="10"/>
  <c r="X22" i="10"/>
  <c r="Z21" i="10"/>
  <c r="Y21" i="10"/>
  <c r="X21" i="10"/>
  <c r="Z20" i="10"/>
  <c r="Y20" i="10"/>
  <c r="X20" i="10"/>
  <c r="Z19" i="10"/>
  <c r="Y19" i="10"/>
  <c r="X19" i="10"/>
  <c r="Z18" i="10"/>
  <c r="Y18" i="10"/>
  <c r="X18" i="10"/>
  <c r="Z17" i="10"/>
  <c r="Y17" i="10"/>
  <c r="X17" i="10"/>
  <c r="Z16" i="10"/>
  <c r="Y16" i="10"/>
  <c r="X16" i="10"/>
  <c r="Z15" i="10"/>
  <c r="Y15" i="10"/>
  <c r="X15" i="10"/>
  <c r="Z14" i="10"/>
  <c r="Y14" i="10"/>
  <c r="X14" i="10"/>
  <c r="Z13" i="10"/>
  <c r="Y13" i="10"/>
  <c r="X13" i="10"/>
  <c r="Z12" i="10"/>
  <c r="Y12" i="10"/>
  <c r="X12" i="10"/>
  <c r="Z11" i="10"/>
  <c r="Y11" i="10"/>
  <c r="X11" i="10"/>
  <c r="Z10" i="10"/>
  <c r="Y10" i="10"/>
  <c r="X10" i="10"/>
  <c r="Z9" i="10"/>
  <c r="Y9" i="10"/>
  <c r="X9" i="10"/>
  <c r="Z8" i="10"/>
  <c r="Y8" i="10"/>
  <c r="X8" i="10"/>
  <c r="Z7" i="10"/>
  <c r="Y7" i="10"/>
  <c r="X7" i="10"/>
  <c r="Z6" i="10"/>
  <c r="Y6" i="10"/>
  <c r="X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Z5" i="10"/>
  <c r="Y5" i="10"/>
  <c r="X5" i="10"/>
  <c r="A5" i="10"/>
  <c r="AA52" i="9"/>
  <c r="Z52" i="9"/>
  <c r="Y52" i="9"/>
  <c r="AA51" i="9"/>
  <c r="Z51" i="9"/>
  <c r="Y51" i="9"/>
  <c r="AA50" i="9"/>
  <c r="Z50" i="9"/>
  <c r="Y50" i="9"/>
  <c r="AA49" i="9"/>
  <c r="Z49" i="9"/>
  <c r="Y49" i="9"/>
  <c r="AA48" i="9"/>
  <c r="Z48" i="9"/>
  <c r="Y48" i="9"/>
  <c r="AA47" i="9"/>
  <c r="Z47" i="9"/>
  <c r="Y47" i="9"/>
  <c r="AA46" i="9"/>
  <c r="Z46" i="9"/>
  <c r="Y46" i="9"/>
  <c r="AA45" i="9"/>
  <c r="Z45" i="9"/>
  <c r="Y45" i="9"/>
  <c r="AA44" i="9"/>
  <c r="Z44" i="9"/>
  <c r="Y44" i="9"/>
  <c r="AA43" i="9"/>
  <c r="Z43" i="9"/>
  <c r="Y43" i="9"/>
  <c r="AA42" i="9"/>
  <c r="Z42" i="9"/>
  <c r="Y42" i="9"/>
  <c r="AA41" i="9"/>
  <c r="Z41" i="9"/>
  <c r="Y41" i="9"/>
  <c r="AA40" i="9"/>
  <c r="Z40" i="9"/>
  <c r="Y40" i="9"/>
  <c r="AA39" i="9"/>
  <c r="Z39" i="9"/>
  <c r="Y39" i="9"/>
  <c r="AA38" i="9"/>
  <c r="Z38" i="9"/>
  <c r="Y38" i="9"/>
  <c r="AA37" i="9"/>
  <c r="Z37" i="9"/>
  <c r="Y37" i="9"/>
  <c r="AA36" i="9"/>
  <c r="Z36" i="9"/>
  <c r="Y36" i="9"/>
  <c r="AA35" i="9"/>
  <c r="Z35" i="9"/>
  <c r="Y35" i="9"/>
  <c r="AA34" i="9"/>
  <c r="Z34" i="9"/>
  <c r="Y34" i="9"/>
  <c r="AA33" i="9"/>
  <c r="Z33" i="9"/>
  <c r="Y33" i="9"/>
  <c r="AA32" i="9"/>
  <c r="Z32" i="9"/>
  <c r="Y32" i="9"/>
  <c r="AA31" i="9"/>
  <c r="Z31" i="9"/>
  <c r="Y31" i="9"/>
  <c r="AA30" i="9"/>
  <c r="Z30" i="9"/>
  <c r="Y30" i="9"/>
  <c r="AA29" i="9"/>
  <c r="Z29" i="9"/>
  <c r="Y29" i="9"/>
  <c r="AA28" i="9"/>
  <c r="Z28" i="9"/>
  <c r="Y28" i="9"/>
  <c r="AA27" i="9"/>
  <c r="Z27" i="9"/>
  <c r="Y27" i="9"/>
  <c r="AA26" i="9"/>
  <c r="Z26" i="9"/>
  <c r="Y26" i="9"/>
  <c r="AA25" i="9"/>
  <c r="Z25" i="9"/>
  <c r="Y25" i="9"/>
  <c r="AA24" i="9"/>
  <c r="Z24" i="9"/>
  <c r="Y24" i="9"/>
  <c r="AA23" i="9"/>
  <c r="Z23" i="9"/>
  <c r="Y23" i="9"/>
  <c r="AA22" i="9"/>
  <c r="Z22" i="9"/>
  <c r="Y22" i="9"/>
  <c r="AA21" i="9"/>
  <c r="Z21" i="9"/>
  <c r="Y21" i="9"/>
  <c r="AA20" i="9"/>
  <c r="Z20" i="9"/>
  <c r="Y20" i="9"/>
  <c r="AA19" i="9"/>
  <c r="Z19" i="9"/>
  <c r="Y19" i="9"/>
  <c r="AA18" i="9"/>
  <c r="Z18" i="9"/>
  <c r="Y18" i="9"/>
  <c r="AA17" i="9"/>
  <c r="Z17" i="9"/>
  <c r="Y17" i="9"/>
  <c r="AA16" i="9"/>
  <c r="Z16" i="9"/>
  <c r="Y16" i="9"/>
  <c r="AA15" i="9"/>
  <c r="Z15" i="9"/>
  <c r="Y15" i="9"/>
  <c r="AA14" i="9"/>
  <c r="Z14" i="9"/>
  <c r="Y14" i="9"/>
  <c r="AA13" i="9"/>
  <c r="Z13" i="9"/>
  <c r="Y13" i="9"/>
  <c r="AA12" i="9"/>
  <c r="Z12" i="9"/>
  <c r="Y12" i="9"/>
  <c r="AA11" i="9"/>
  <c r="Z11" i="9"/>
  <c r="Y11" i="9"/>
  <c r="AA10" i="9"/>
  <c r="Z10" i="9"/>
  <c r="Y10" i="9"/>
  <c r="AA9" i="9"/>
  <c r="Z9" i="9"/>
  <c r="Y9" i="9"/>
  <c r="AA8" i="9"/>
  <c r="Z8" i="9"/>
  <c r="Y8" i="9"/>
  <c r="AA7" i="9"/>
  <c r="Z7" i="9"/>
  <c r="Y7" i="9"/>
  <c r="AA6" i="9"/>
  <c r="Z6" i="9"/>
  <c r="Y6" i="9"/>
  <c r="AA5" i="9"/>
  <c r="Z5" i="9"/>
  <c r="Y5" i="9"/>
  <c r="A5" i="9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Z52" i="8"/>
  <c r="Y52" i="8"/>
  <c r="X52" i="8"/>
  <c r="Z51" i="8"/>
  <c r="Y51" i="8"/>
  <c r="X51" i="8"/>
  <c r="Z50" i="8"/>
  <c r="Y50" i="8"/>
  <c r="X50" i="8"/>
  <c r="Z49" i="8"/>
  <c r="Y49" i="8"/>
  <c r="X49" i="8"/>
  <c r="Z48" i="8"/>
  <c r="Y48" i="8"/>
  <c r="X48" i="8"/>
  <c r="Z47" i="8"/>
  <c r="Y47" i="8"/>
  <c r="X47" i="8"/>
  <c r="Z46" i="8"/>
  <c r="Y46" i="8"/>
  <c r="X46" i="8"/>
  <c r="Z45" i="8"/>
  <c r="Y45" i="8"/>
  <c r="X45" i="8"/>
  <c r="Z44" i="8"/>
  <c r="Y44" i="8"/>
  <c r="X44" i="8"/>
  <c r="Z43" i="8"/>
  <c r="Y43" i="8"/>
  <c r="X43" i="8"/>
  <c r="Z42" i="8"/>
  <c r="Y42" i="8"/>
  <c r="X42" i="8"/>
  <c r="Z41" i="8"/>
  <c r="Y41" i="8"/>
  <c r="X41" i="8"/>
  <c r="Z40" i="8"/>
  <c r="Y40" i="8"/>
  <c r="X40" i="8"/>
  <c r="Z39" i="8"/>
  <c r="Y39" i="8"/>
  <c r="X39" i="8"/>
  <c r="Z38" i="8"/>
  <c r="Y38" i="8"/>
  <c r="X38" i="8"/>
  <c r="Z37" i="8"/>
  <c r="Y37" i="8"/>
  <c r="X37" i="8"/>
  <c r="Z36" i="8"/>
  <c r="Y36" i="8"/>
  <c r="X36" i="8"/>
  <c r="Z35" i="8"/>
  <c r="Y35" i="8"/>
  <c r="X35" i="8"/>
  <c r="Z34" i="8"/>
  <c r="Y34" i="8"/>
  <c r="X34" i="8"/>
  <c r="Z33" i="8"/>
  <c r="Y33" i="8"/>
  <c r="X33" i="8"/>
  <c r="Z32" i="8"/>
  <c r="Y32" i="8"/>
  <c r="X32" i="8"/>
  <c r="Z31" i="8"/>
  <c r="Y31" i="8"/>
  <c r="X31" i="8"/>
  <c r="Z30" i="8"/>
  <c r="Y30" i="8"/>
  <c r="X30" i="8"/>
  <c r="Z29" i="8"/>
  <c r="Y29" i="8"/>
  <c r="X29" i="8"/>
  <c r="Z28" i="8"/>
  <c r="Y28" i="8"/>
  <c r="X28" i="8"/>
  <c r="Z27" i="8"/>
  <c r="Y27" i="8"/>
  <c r="X27" i="8"/>
  <c r="Z26" i="8"/>
  <c r="Y26" i="8"/>
  <c r="X26" i="8"/>
  <c r="Z25" i="8"/>
  <c r="Y25" i="8"/>
  <c r="X25" i="8"/>
  <c r="Z24" i="8"/>
  <c r="Y24" i="8"/>
  <c r="X24" i="8"/>
  <c r="Z23" i="8"/>
  <c r="Y23" i="8"/>
  <c r="X23" i="8"/>
  <c r="Z22" i="8"/>
  <c r="Y22" i="8"/>
  <c r="X22" i="8"/>
  <c r="Z21" i="8"/>
  <c r="Y21" i="8"/>
  <c r="X21" i="8"/>
  <c r="Z20" i="8"/>
  <c r="Y20" i="8"/>
  <c r="X20" i="8"/>
  <c r="Z19" i="8"/>
  <c r="Y19" i="8"/>
  <c r="X19" i="8"/>
  <c r="Z18" i="8"/>
  <c r="Y18" i="8"/>
  <c r="X18" i="8"/>
  <c r="Z17" i="8"/>
  <c r="Y17" i="8"/>
  <c r="X17" i="8"/>
  <c r="Z16" i="8"/>
  <c r="Y16" i="8"/>
  <c r="X16" i="8"/>
  <c r="Z15" i="8"/>
  <c r="Y15" i="8"/>
  <c r="X15" i="8"/>
  <c r="Z14" i="8"/>
  <c r="Y14" i="8"/>
  <c r="X14" i="8"/>
  <c r="Z13" i="8"/>
  <c r="Y13" i="8"/>
  <c r="X13" i="8"/>
  <c r="Z12" i="8"/>
  <c r="Y12" i="8"/>
  <c r="X12" i="8"/>
  <c r="Z11" i="8"/>
  <c r="Y11" i="8"/>
  <c r="X11" i="8"/>
  <c r="Z10" i="8"/>
  <c r="Y10" i="8"/>
  <c r="X10" i="8"/>
  <c r="Z9" i="8"/>
  <c r="Y9" i="8"/>
  <c r="X9" i="8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Z8" i="8"/>
  <c r="Y8" i="8"/>
  <c r="X8" i="8"/>
  <c r="Z7" i="8"/>
  <c r="Y7" i="8"/>
  <c r="X7" i="8"/>
  <c r="Z6" i="8"/>
  <c r="Y6" i="8"/>
  <c r="X6" i="8"/>
  <c r="A6" i="8"/>
  <c r="A7" i="8" s="1"/>
  <c r="A8" i="8" s="1"/>
  <c r="Z5" i="8"/>
  <c r="Y5" i="8"/>
  <c r="X5" i="8"/>
  <c r="A5" i="8"/>
  <c r="W52" i="7"/>
  <c r="V52" i="7"/>
  <c r="U52" i="7"/>
  <c r="W51" i="7"/>
  <c r="V51" i="7"/>
  <c r="U51" i="7"/>
  <c r="W50" i="7"/>
  <c r="V50" i="7"/>
  <c r="U50" i="7"/>
  <c r="W49" i="7"/>
  <c r="V49" i="7"/>
  <c r="U49" i="7"/>
  <c r="W48" i="7"/>
  <c r="V48" i="7"/>
  <c r="U48" i="7"/>
  <c r="W47" i="7"/>
  <c r="V47" i="7"/>
  <c r="U47" i="7"/>
  <c r="W46" i="7"/>
  <c r="V46" i="7"/>
  <c r="U46" i="7"/>
  <c r="W45" i="7"/>
  <c r="V45" i="7"/>
  <c r="U45" i="7"/>
  <c r="W44" i="7"/>
  <c r="V44" i="7"/>
  <c r="U44" i="7"/>
  <c r="W43" i="7"/>
  <c r="V43" i="7"/>
  <c r="U43" i="7"/>
  <c r="W42" i="7"/>
  <c r="V42" i="7"/>
  <c r="U42" i="7"/>
  <c r="W41" i="7"/>
  <c r="V41" i="7"/>
  <c r="U41" i="7"/>
  <c r="W40" i="7"/>
  <c r="V40" i="7"/>
  <c r="U40" i="7"/>
  <c r="W39" i="7"/>
  <c r="V39" i="7"/>
  <c r="U39" i="7"/>
  <c r="W38" i="7"/>
  <c r="V38" i="7"/>
  <c r="U38" i="7"/>
  <c r="W37" i="7"/>
  <c r="V37" i="7"/>
  <c r="U37" i="7"/>
  <c r="W36" i="7"/>
  <c r="V36" i="7"/>
  <c r="U36" i="7"/>
  <c r="W35" i="7"/>
  <c r="V35" i="7"/>
  <c r="U35" i="7"/>
  <c r="W34" i="7"/>
  <c r="V34" i="7"/>
  <c r="U34" i="7"/>
  <c r="W33" i="7"/>
  <c r="V33" i="7"/>
  <c r="U33" i="7"/>
  <c r="W32" i="7"/>
  <c r="V32" i="7"/>
  <c r="U32" i="7"/>
  <c r="W31" i="7"/>
  <c r="V31" i="7"/>
  <c r="U31" i="7"/>
  <c r="W30" i="7"/>
  <c r="V30" i="7"/>
  <c r="U30" i="7"/>
  <c r="W29" i="7"/>
  <c r="V29" i="7"/>
  <c r="U29" i="7"/>
  <c r="W28" i="7"/>
  <c r="V28" i="7"/>
  <c r="U28" i="7"/>
  <c r="W27" i="7"/>
  <c r="V27" i="7"/>
  <c r="U27" i="7"/>
  <c r="W26" i="7"/>
  <c r="V26" i="7"/>
  <c r="U26" i="7"/>
  <c r="W25" i="7"/>
  <c r="V25" i="7"/>
  <c r="U25" i="7"/>
  <c r="W24" i="7"/>
  <c r="V24" i="7"/>
  <c r="U24" i="7"/>
  <c r="W23" i="7"/>
  <c r="V23" i="7"/>
  <c r="U23" i="7"/>
  <c r="W22" i="7"/>
  <c r="V22" i="7"/>
  <c r="U22" i="7"/>
  <c r="A22" i="7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W21" i="7"/>
  <c r="V21" i="7"/>
  <c r="U21" i="7"/>
  <c r="W20" i="7"/>
  <c r="V20" i="7"/>
  <c r="U20" i="7"/>
  <c r="W19" i="7"/>
  <c r="V19" i="7"/>
  <c r="U19" i="7"/>
  <c r="W18" i="7"/>
  <c r="V18" i="7"/>
  <c r="U18" i="7"/>
  <c r="W17" i="7"/>
  <c r="V17" i="7"/>
  <c r="U17" i="7"/>
  <c r="W16" i="7"/>
  <c r="V16" i="7"/>
  <c r="U16" i="7"/>
  <c r="W15" i="7"/>
  <c r="V15" i="7"/>
  <c r="U15" i="7"/>
  <c r="W14" i="7"/>
  <c r="V14" i="7"/>
  <c r="U14" i="7"/>
  <c r="W13" i="7"/>
  <c r="V13" i="7"/>
  <c r="U13" i="7"/>
  <c r="W12" i="7"/>
  <c r="V12" i="7"/>
  <c r="U12" i="7"/>
  <c r="W11" i="7"/>
  <c r="V11" i="7"/>
  <c r="U11" i="7"/>
  <c r="W10" i="7"/>
  <c r="V10" i="7"/>
  <c r="U10" i="7"/>
  <c r="W9" i="7"/>
  <c r="V9" i="7"/>
  <c r="U9" i="7"/>
  <c r="W8" i="7"/>
  <c r="V8" i="7"/>
  <c r="U8" i="7"/>
  <c r="W7" i="7"/>
  <c r="V7" i="7"/>
  <c r="U7" i="7"/>
  <c r="W6" i="7"/>
  <c r="V6" i="7"/>
  <c r="U6" i="7"/>
  <c r="W5" i="7"/>
  <c r="V5" i="7"/>
  <c r="U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W52" i="6"/>
  <c r="V52" i="6"/>
  <c r="U52" i="6"/>
  <c r="W51" i="6"/>
  <c r="V51" i="6"/>
  <c r="U51" i="6"/>
  <c r="W50" i="6"/>
  <c r="V50" i="6"/>
  <c r="U50" i="6"/>
  <c r="W49" i="6"/>
  <c r="V49" i="6"/>
  <c r="U49" i="6"/>
  <c r="W48" i="6"/>
  <c r="V48" i="6"/>
  <c r="U48" i="6"/>
  <c r="W47" i="6"/>
  <c r="V47" i="6"/>
  <c r="U47" i="6"/>
  <c r="W46" i="6"/>
  <c r="V46" i="6"/>
  <c r="U46" i="6"/>
  <c r="W45" i="6"/>
  <c r="V45" i="6"/>
  <c r="U45" i="6"/>
  <c r="W44" i="6"/>
  <c r="V44" i="6"/>
  <c r="U44" i="6"/>
  <c r="W43" i="6"/>
  <c r="V43" i="6"/>
  <c r="U43" i="6"/>
  <c r="W42" i="6"/>
  <c r="V42" i="6"/>
  <c r="U42" i="6"/>
  <c r="W41" i="6"/>
  <c r="V41" i="6"/>
  <c r="U41" i="6"/>
  <c r="W40" i="6"/>
  <c r="V40" i="6"/>
  <c r="U40" i="6"/>
  <c r="W39" i="6"/>
  <c r="V39" i="6"/>
  <c r="U39" i="6"/>
  <c r="W38" i="6"/>
  <c r="V38" i="6"/>
  <c r="U38" i="6"/>
  <c r="W37" i="6"/>
  <c r="V37" i="6"/>
  <c r="U37" i="6"/>
  <c r="W36" i="6"/>
  <c r="V36" i="6"/>
  <c r="U36" i="6"/>
  <c r="W35" i="6"/>
  <c r="V35" i="6"/>
  <c r="U35" i="6"/>
  <c r="W34" i="6"/>
  <c r="V34" i="6"/>
  <c r="U34" i="6"/>
  <c r="W33" i="6"/>
  <c r="V33" i="6"/>
  <c r="U33" i="6"/>
  <c r="W32" i="6"/>
  <c r="V32" i="6"/>
  <c r="U32" i="6"/>
  <c r="W31" i="6"/>
  <c r="V31" i="6"/>
  <c r="U31" i="6"/>
  <c r="W30" i="6"/>
  <c r="V30" i="6"/>
  <c r="U30" i="6"/>
  <c r="W29" i="6"/>
  <c r="V29" i="6"/>
  <c r="U29" i="6"/>
  <c r="W28" i="6"/>
  <c r="V28" i="6"/>
  <c r="U28" i="6"/>
  <c r="W27" i="6"/>
  <c r="V27" i="6"/>
  <c r="U27" i="6"/>
  <c r="W26" i="6"/>
  <c r="V26" i="6"/>
  <c r="U26" i="6"/>
  <c r="W25" i="6"/>
  <c r="V25" i="6"/>
  <c r="U25" i="6"/>
  <c r="W24" i="6"/>
  <c r="V24" i="6"/>
  <c r="U24" i="6"/>
  <c r="W23" i="6"/>
  <c r="V23" i="6"/>
  <c r="U23" i="6"/>
  <c r="W22" i="6"/>
  <c r="V22" i="6"/>
  <c r="U22" i="6"/>
  <c r="W21" i="6"/>
  <c r="V21" i="6"/>
  <c r="U21" i="6"/>
  <c r="W20" i="6"/>
  <c r="V20" i="6"/>
  <c r="U20" i="6"/>
  <c r="W19" i="6"/>
  <c r="V19" i="6"/>
  <c r="U19" i="6"/>
  <c r="W18" i="6"/>
  <c r="V18" i="6"/>
  <c r="U18" i="6"/>
  <c r="W17" i="6"/>
  <c r="V17" i="6"/>
  <c r="U17" i="6"/>
  <c r="W16" i="6"/>
  <c r="V16" i="6"/>
  <c r="U16" i="6"/>
  <c r="W15" i="6"/>
  <c r="V15" i="6"/>
  <c r="U15" i="6"/>
  <c r="W14" i="6"/>
  <c r="V14" i="6"/>
  <c r="U14" i="6"/>
  <c r="W13" i="6"/>
  <c r="V13" i="6"/>
  <c r="U13" i="6"/>
  <c r="W12" i="6"/>
  <c r="V12" i="6"/>
  <c r="U12" i="6"/>
  <c r="W11" i="6"/>
  <c r="V11" i="6"/>
  <c r="U11" i="6"/>
  <c r="W10" i="6"/>
  <c r="V10" i="6"/>
  <c r="U10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W9" i="6"/>
  <c r="V9" i="6"/>
  <c r="U9" i="6"/>
  <c r="W8" i="6"/>
  <c r="V8" i="6"/>
  <c r="U8" i="6"/>
  <c r="W7" i="6"/>
  <c r="V7" i="6"/>
  <c r="U7" i="6"/>
  <c r="W6" i="6"/>
  <c r="V6" i="6"/>
  <c r="U6" i="6"/>
  <c r="W5" i="6"/>
  <c r="V5" i="6"/>
  <c r="U5" i="6"/>
  <c r="A5" i="6"/>
  <c r="A6" i="6" s="1"/>
  <c r="A7" i="6" s="1"/>
  <c r="A8" i="6" s="1"/>
  <c r="A9" i="6" s="1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A43" i="5"/>
  <c r="I42" i="5"/>
  <c r="I41" i="5"/>
  <c r="I40" i="5"/>
  <c r="I39" i="5"/>
  <c r="I38" i="5"/>
  <c r="I37" i="5"/>
  <c r="I36" i="5"/>
  <c r="A36" i="5"/>
  <c r="I35" i="5"/>
  <c r="I34" i="5"/>
  <c r="I33" i="5"/>
  <c r="I32" i="5"/>
  <c r="A32" i="5"/>
  <c r="A42" i="5" s="1"/>
  <c r="I31" i="5"/>
  <c r="A31" i="5"/>
  <c r="I30" i="5"/>
  <c r="A30" i="5"/>
  <c r="I29" i="5"/>
  <c r="I28" i="5"/>
  <c r="I27" i="5"/>
  <c r="A27" i="5"/>
  <c r="I26" i="5"/>
  <c r="I25" i="5"/>
  <c r="A25" i="5"/>
  <c r="I24" i="5"/>
  <c r="I23" i="5"/>
  <c r="A23" i="5"/>
  <c r="I22" i="5"/>
  <c r="A22" i="5"/>
  <c r="I21" i="5"/>
  <c r="A21" i="5"/>
  <c r="I20" i="5"/>
  <c r="A20" i="5"/>
  <c r="I19" i="5"/>
  <c r="A19" i="5"/>
  <c r="I18" i="5"/>
  <c r="A18" i="5"/>
  <c r="A24" i="5" s="1"/>
  <c r="I17" i="5"/>
  <c r="A17" i="5"/>
  <c r="I16" i="5"/>
  <c r="A16" i="5"/>
  <c r="I15" i="5"/>
  <c r="A15" i="5"/>
  <c r="I14" i="5"/>
  <c r="I13" i="5"/>
  <c r="A13" i="5"/>
  <c r="I12" i="5"/>
  <c r="A12" i="5"/>
  <c r="I11" i="5"/>
  <c r="A11" i="5"/>
  <c r="I10" i="5"/>
  <c r="A10" i="5"/>
  <c r="I9" i="5"/>
  <c r="A9" i="5"/>
  <c r="I8" i="5"/>
  <c r="A8" i="5"/>
  <c r="I7" i="5"/>
  <c r="A7" i="5"/>
  <c r="I6" i="5"/>
  <c r="A6" i="5"/>
  <c r="I5" i="5"/>
  <c r="A5" i="5"/>
  <c r="I4" i="5"/>
  <c r="A4" i="5"/>
  <c r="A14" i="5" s="1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A29" i="4"/>
  <c r="I28" i="4"/>
  <c r="I27" i="4"/>
  <c r="I26" i="4"/>
  <c r="I25" i="4"/>
  <c r="I24" i="4"/>
  <c r="I23" i="4"/>
  <c r="A23" i="4"/>
  <c r="I22" i="4"/>
  <c r="I21" i="4"/>
  <c r="I20" i="4"/>
  <c r="I19" i="4"/>
  <c r="I18" i="4"/>
  <c r="A18" i="4"/>
  <c r="A30" i="4" s="1"/>
  <c r="I17" i="4"/>
  <c r="A17" i="4"/>
  <c r="I16" i="4"/>
  <c r="A16" i="4"/>
  <c r="I15" i="4"/>
  <c r="A15" i="4"/>
  <c r="I14" i="4"/>
  <c r="I13" i="4"/>
  <c r="A13" i="4"/>
  <c r="I12" i="4"/>
  <c r="A12" i="4"/>
  <c r="I11" i="4"/>
  <c r="A11" i="4"/>
  <c r="I10" i="4"/>
  <c r="A10" i="4"/>
  <c r="I9" i="4"/>
  <c r="A9" i="4"/>
  <c r="I8" i="4"/>
  <c r="A8" i="4"/>
  <c r="I7" i="4"/>
  <c r="A7" i="4"/>
  <c r="I6" i="4"/>
  <c r="A6" i="4"/>
  <c r="I5" i="4"/>
  <c r="A5" i="4"/>
  <c r="I4" i="4"/>
  <c r="A4" i="4"/>
  <c r="A14" i="4" s="1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A17" i="3"/>
  <c r="I16" i="3"/>
  <c r="I15" i="3"/>
  <c r="A15" i="3"/>
  <c r="I14" i="3"/>
  <c r="I13" i="3"/>
  <c r="I12" i="3"/>
  <c r="A12" i="3"/>
  <c r="I11" i="3"/>
  <c r="I10" i="3"/>
  <c r="I9" i="3"/>
  <c r="I8" i="3"/>
  <c r="I7" i="3"/>
  <c r="I6" i="3"/>
  <c r="I5" i="3"/>
  <c r="A5" i="3"/>
  <c r="I4" i="3"/>
  <c r="A4" i="3"/>
  <c r="A14" i="3" s="1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A14" i="2"/>
  <c r="I13" i="2"/>
  <c r="I12" i="2"/>
  <c r="I11" i="2"/>
  <c r="A11" i="2"/>
  <c r="I10" i="2"/>
  <c r="I9" i="2"/>
  <c r="I8" i="2"/>
  <c r="A8" i="2"/>
  <c r="I7" i="2"/>
  <c r="A7" i="2"/>
  <c r="I6" i="2"/>
  <c r="I5" i="2"/>
  <c r="A5" i="2"/>
  <c r="I4" i="2"/>
  <c r="A4" i="2"/>
  <c r="A15" i="2" s="1"/>
  <c r="I30" i="1"/>
  <c r="I29" i="1"/>
  <c r="J28" i="1" s="1"/>
  <c r="K28" i="1" s="1"/>
  <c r="I28" i="1"/>
  <c r="R19" i="1"/>
  <c r="Q19" i="1"/>
  <c r="S19" i="1" s="1"/>
  <c r="R18" i="1"/>
  <c r="S18" i="1" s="1"/>
  <c r="Q18" i="1"/>
  <c r="D18" i="1"/>
  <c r="S15" i="1"/>
  <c r="P15" i="1"/>
  <c r="K15" i="1"/>
  <c r="G15" i="1"/>
  <c r="D15" i="1"/>
  <c r="T15" i="1" s="1"/>
  <c r="T14" i="1"/>
  <c r="S14" i="1"/>
  <c r="P14" i="1"/>
  <c r="K14" i="1"/>
  <c r="G14" i="1"/>
  <c r="T13" i="1"/>
  <c r="S13" i="1"/>
  <c r="P13" i="1"/>
  <c r="K13" i="1"/>
  <c r="G13" i="1"/>
  <c r="T12" i="1"/>
  <c r="S12" i="1"/>
  <c r="P12" i="1"/>
  <c r="K12" i="1"/>
  <c r="G12" i="1"/>
  <c r="S11" i="1"/>
  <c r="T11" i="1" s="1"/>
  <c r="P11" i="1"/>
  <c r="K11" i="1"/>
  <c r="G11" i="1"/>
  <c r="S10" i="1"/>
  <c r="T10" i="1" s="1"/>
  <c r="P10" i="1"/>
  <c r="K10" i="1"/>
  <c r="G10" i="1"/>
  <c r="T9" i="1"/>
  <c r="S9" i="1"/>
  <c r="P9" i="1"/>
  <c r="K9" i="1"/>
  <c r="G9" i="1"/>
  <c r="T8" i="1"/>
  <c r="S8" i="1"/>
  <c r="P8" i="1"/>
  <c r="K8" i="1"/>
  <c r="G8" i="1"/>
  <c r="T7" i="1"/>
  <c r="S7" i="1"/>
  <c r="P7" i="1"/>
  <c r="K7" i="1"/>
  <c r="G7" i="1"/>
  <c r="T6" i="1"/>
  <c r="S6" i="1"/>
  <c r="P6" i="1"/>
  <c r="K6" i="1"/>
  <c r="G6" i="1"/>
  <c r="S5" i="1"/>
  <c r="T5" i="1" s="1"/>
  <c r="P5" i="1"/>
  <c r="K5" i="1"/>
  <c r="G5" i="1"/>
  <c r="T4" i="1"/>
  <c r="S4" i="1"/>
  <c r="P4" i="1"/>
  <c r="K4" i="1"/>
  <c r="G4" i="1"/>
  <c r="T3" i="1"/>
  <c r="S3" i="1"/>
  <c r="P3" i="1"/>
  <c r="K3" i="1"/>
  <c r="G3" i="1"/>
  <c r="F102" i="22" l="1"/>
  <c r="H102" i="22" s="1"/>
  <c r="I102" i="22" s="1"/>
  <c r="F280" i="22"/>
  <c r="F297" i="22"/>
  <c r="H297" i="22" s="1"/>
  <c r="I297" i="22" s="1"/>
  <c r="F269" i="22"/>
  <c r="H287" i="22"/>
  <c r="I287" i="22" s="1"/>
  <c r="F281" i="22"/>
  <c r="H281" i="22" s="1"/>
  <c r="I281" i="22" s="1"/>
  <c r="H135" i="22"/>
  <c r="I135" i="22" s="1"/>
  <c r="F173" i="22"/>
  <c r="H173" i="22" s="1"/>
  <c r="I173" i="22" s="1"/>
  <c r="H136" i="22"/>
  <c r="I136" i="22" s="1"/>
  <c r="F227" i="22"/>
  <c r="H227" i="22" s="1"/>
  <c r="I227" i="22" s="1"/>
  <c r="F282" i="22"/>
  <c r="H282" i="22" s="1"/>
  <c r="I282" i="22" s="1"/>
  <c r="F292" i="22"/>
  <c r="H292" i="22" s="1"/>
  <c r="I292" i="22" s="1"/>
  <c r="F116" i="22"/>
  <c r="H116" i="22" s="1"/>
  <c r="I116" i="22" s="1"/>
  <c r="F228" i="22"/>
  <c r="H228" i="22" s="1"/>
  <c r="I228" i="22" s="1"/>
  <c r="F284" i="22"/>
  <c r="H293" i="22"/>
  <c r="I293" i="22" s="1"/>
  <c r="F271" i="22"/>
  <c r="H271" i="22" s="1"/>
  <c r="I271" i="22" s="1"/>
  <c r="F99" i="22"/>
  <c r="H99" i="22" s="1"/>
  <c r="I99" i="22" s="1"/>
  <c r="F285" i="22"/>
  <c r="H285" i="22" s="1"/>
  <c r="I285" i="22" s="1"/>
  <c r="F169" i="22"/>
  <c r="H169" i="22" s="1"/>
  <c r="I169" i="22" s="1"/>
  <c r="H191" i="22"/>
  <c r="I191" i="22" s="1"/>
  <c r="H264" i="22"/>
  <c r="I264" i="22" s="1"/>
  <c r="F100" i="22"/>
  <c r="H100" i="22" s="1"/>
  <c r="I100" i="22" s="1"/>
  <c r="F276" i="22"/>
  <c r="H276" i="22" s="1"/>
  <c r="H195" i="22"/>
  <c r="I195" i="22" s="1"/>
  <c r="F111" i="22"/>
  <c r="H111" i="22" s="1"/>
  <c r="I111" i="22" s="1"/>
  <c r="F202" i="22"/>
  <c r="H202" i="22" s="1"/>
  <c r="I202" i="22" s="1"/>
  <c r="F286" i="22"/>
  <c r="H286" i="22" s="1"/>
  <c r="I286" i="22" s="1"/>
  <c r="F296" i="22"/>
  <c r="F162" i="22"/>
  <c r="H162" i="22" s="1"/>
  <c r="I162" i="22" s="1"/>
  <c r="F158" i="22"/>
  <c r="H158" i="22" s="1"/>
  <c r="I158" i="22" s="1"/>
  <c r="F240" i="22"/>
  <c r="H240" i="22" s="1"/>
  <c r="I240" i="22" s="1"/>
  <c r="F242" i="22"/>
  <c r="H242" i="22" s="1"/>
  <c r="F236" i="22"/>
  <c r="H236" i="22" s="1"/>
  <c r="I236" i="22" s="1"/>
  <c r="H243" i="22"/>
  <c r="I243" i="22" s="1"/>
  <c r="F78" i="22"/>
  <c r="H78" i="22" s="1"/>
  <c r="I78" i="22" s="1"/>
  <c r="J30" i="1"/>
  <c r="K30" i="1" s="1"/>
  <c r="D318" i="22" s="1"/>
  <c r="U15" i="1"/>
  <c r="V15" i="1" s="1"/>
  <c r="U11" i="1"/>
  <c r="V11" i="1" s="1"/>
  <c r="U12" i="1"/>
  <c r="V12" i="1" s="1"/>
  <c r="F66" i="22"/>
  <c r="H66" i="22"/>
  <c r="F68" i="22"/>
  <c r="H68" i="22" s="1"/>
  <c r="I68" i="22" s="1"/>
  <c r="F62" i="22"/>
  <c r="F51" i="22"/>
  <c r="F47" i="22"/>
  <c r="H47" i="22" s="1"/>
  <c r="I47" i="22" s="1"/>
  <c r="U8" i="1"/>
  <c r="V8" i="1" s="1"/>
  <c r="F43" i="22"/>
  <c r="H43" i="22" s="1"/>
  <c r="F29" i="22"/>
  <c r="H29" i="22" s="1"/>
  <c r="I29" i="22" s="1"/>
  <c r="F33" i="22"/>
  <c r="H33" i="22"/>
  <c r="I33" i="22" s="1"/>
  <c r="F20" i="22"/>
  <c r="H20" i="22" s="1"/>
  <c r="I20" i="22" s="1"/>
  <c r="F22" i="22"/>
  <c r="T18" i="1"/>
  <c r="U7" i="1"/>
  <c r="V7" i="1" s="1"/>
  <c r="F24" i="22"/>
  <c r="H24" i="22" s="1"/>
  <c r="I24" i="22" s="1"/>
  <c r="H9" i="22"/>
  <c r="I9" i="22" s="1"/>
  <c r="U4" i="1"/>
  <c r="V4" i="1" s="1"/>
  <c r="U6" i="1"/>
  <c r="V6" i="1" s="1"/>
  <c r="U5" i="1"/>
  <c r="V5" i="1" s="1"/>
  <c r="T19" i="1"/>
  <c r="D316" i="22"/>
  <c r="U9" i="1"/>
  <c r="V9" i="1" s="1"/>
  <c r="U13" i="1"/>
  <c r="V13" i="1" s="1"/>
  <c r="U10" i="1"/>
  <c r="V10" i="1" s="1"/>
  <c r="U3" i="1"/>
  <c r="V3" i="1" s="1"/>
  <c r="D19" i="1"/>
  <c r="J29" i="1"/>
  <c r="K29" i="1" s="1"/>
  <c r="D317" i="22" s="1"/>
  <c r="A13" i="2"/>
  <c r="A12" i="2"/>
  <c r="A10" i="2"/>
  <c r="A9" i="2"/>
  <c r="A16" i="2"/>
  <c r="U14" i="1"/>
  <c r="V14" i="1" s="1"/>
  <c r="A6" i="2"/>
  <c r="I9" i="24"/>
  <c r="C9" i="24"/>
  <c r="O9" i="24"/>
  <c r="A13" i="3"/>
  <c r="A25" i="4"/>
  <c r="A16" i="3"/>
  <c r="A6" i="3"/>
  <c r="A26" i="4"/>
  <c r="A7" i="3"/>
  <c r="A18" i="3"/>
  <c r="A8" i="3"/>
  <c r="A24" i="4"/>
  <c r="A27" i="4"/>
  <c r="A28" i="4"/>
  <c r="A22" i="4"/>
  <c r="A32" i="4"/>
  <c r="A21" i="4"/>
  <c r="A31" i="4"/>
  <c r="A20" i="4"/>
  <c r="A9" i="3"/>
  <c r="A19" i="4"/>
  <c r="A10" i="3"/>
  <c r="A11" i="3"/>
  <c r="A38" i="5"/>
  <c r="A41" i="5"/>
  <c r="F148" i="22"/>
  <c r="H148" i="22" s="1"/>
  <c r="I148" i="22" s="1"/>
  <c r="F144" i="22"/>
  <c r="H144" i="22" s="1"/>
  <c r="I144" i="22" s="1"/>
  <c r="F149" i="22"/>
  <c r="H149" i="22" s="1"/>
  <c r="I149" i="22" s="1"/>
  <c r="F143" i="22"/>
  <c r="H143" i="22" s="1"/>
  <c r="I143" i="22" s="1"/>
  <c r="F142" i="22"/>
  <c r="H142" i="22" s="1"/>
  <c r="I142" i="22" s="1"/>
  <c r="H141" i="22"/>
  <c r="F147" i="22"/>
  <c r="H147" i="22" s="1"/>
  <c r="I147" i="22" s="1"/>
  <c r="F146" i="22"/>
  <c r="H146" i="22" s="1"/>
  <c r="I146" i="22" s="1"/>
  <c r="F145" i="22"/>
  <c r="H145" i="22" s="1"/>
  <c r="I145" i="22" s="1"/>
  <c r="G61" i="22"/>
  <c r="H62" i="22"/>
  <c r="I62" i="22" s="1"/>
  <c r="A44" i="5"/>
  <c r="A34" i="5"/>
  <c r="A37" i="5"/>
  <c r="A40" i="5"/>
  <c r="A39" i="5"/>
  <c r="A45" i="5"/>
  <c r="A33" i="5"/>
  <c r="A46" i="5"/>
  <c r="A35" i="5"/>
  <c r="I276" i="22"/>
  <c r="A28" i="5"/>
  <c r="A29" i="5"/>
  <c r="F249" i="22"/>
  <c r="H249" i="22" s="1"/>
  <c r="I249" i="22" s="1"/>
  <c r="F253" i="22"/>
  <c r="H253" i="22" s="1"/>
  <c r="I253" i="22" s="1"/>
  <c r="F247" i="22"/>
  <c r="H247" i="22" s="1"/>
  <c r="I247" i="22" s="1"/>
  <c r="I246" i="22" s="1"/>
  <c r="F318" i="22"/>
  <c r="H246" i="22"/>
  <c r="F251" i="22"/>
  <c r="H251" i="22" s="1"/>
  <c r="I251" i="22" s="1"/>
  <c r="F250" i="22"/>
  <c r="H250" i="22" s="1"/>
  <c r="I250" i="22" s="1"/>
  <c r="F254" i="22"/>
  <c r="H254" i="22" s="1"/>
  <c r="I254" i="22" s="1"/>
  <c r="F252" i="22"/>
  <c r="H252" i="22" s="1"/>
  <c r="I252" i="22" s="1"/>
  <c r="F248" i="22"/>
  <c r="H248" i="22" s="1"/>
  <c r="I248" i="22" s="1"/>
  <c r="I28" i="22"/>
  <c r="G199" i="22"/>
  <c r="H199" i="22" s="1"/>
  <c r="H200" i="22"/>
  <c r="I200" i="22" s="1"/>
  <c r="I199" i="22" s="1"/>
  <c r="A26" i="5"/>
  <c r="I43" i="22"/>
  <c r="G97" i="22"/>
  <c r="H97" i="22" s="1"/>
  <c r="G86" i="22"/>
  <c r="F46" i="22"/>
  <c r="H46" i="22" s="1"/>
  <c r="I46" i="22" s="1"/>
  <c r="F42" i="22"/>
  <c r="H42" i="22" s="1"/>
  <c r="I42" i="22" s="1"/>
  <c r="F41" i="22"/>
  <c r="H41" i="22" s="1"/>
  <c r="I41" i="22" s="1"/>
  <c r="F40" i="22"/>
  <c r="F44" i="22"/>
  <c r="H44" i="22" s="1"/>
  <c r="I44" i="22" s="1"/>
  <c r="I66" i="22"/>
  <c r="H214" i="22"/>
  <c r="I214" i="22" s="1"/>
  <c r="G40" i="22"/>
  <c r="G39" i="22" s="1"/>
  <c r="H39" i="22" s="1"/>
  <c r="F315" i="22"/>
  <c r="I13" i="22"/>
  <c r="G28" i="22"/>
  <c r="H28" i="22" s="1"/>
  <c r="G211" i="22"/>
  <c r="G210" i="22" s="1"/>
  <c r="H210" i="22" s="1"/>
  <c r="G79" i="22"/>
  <c r="G74" i="22" s="1"/>
  <c r="H74" i="22" s="1"/>
  <c r="H260" i="22"/>
  <c r="I260" i="22" s="1"/>
  <c r="H50" i="22"/>
  <c r="H167" i="22"/>
  <c r="I167" i="22" s="1"/>
  <c r="G22" i="22"/>
  <c r="G91" i="22"/>
  <c r="I261" i="22"/>
  <c r="F91" i="22"/>
  <c r="H91" i="22" s="1"/>
  <c r="I91" i="22" s="1"/>
  <c r="F87" i="22"/>
  <c r="H87" i="22" s="1"/>
  <c r="I87" i="22" s="1"/>
  <c r="F92" i="22"/>
  <c r="H92" i="22" s="1"/>
  <c r="I92" i="22" s="1"/>
  <c r="F89" i="22"/>
  <c r="H89" i="22" s="1"/>
  <c r="I89" i="22" s="1"/>
  <c r="F94" i="22"/>
  <c r="H94" i="22" s="1"/>
  <c r="I94" i="22" s="1"/>
  <c r="H291" i="22"/>
  <c r="I291" i="22" s="1"/>
  <c r="I290" i="22" s="1"/>
  <c r="G290" i="22"/>
  <c r="H290" i="22" s="1"/>
  <c r="G17" i="22"/>
  <c r="H17" i="22" s="1"/>
  <c r="H86" i="22"/>
  <c r="DC28" i="24"/>
  <c r="G130" i="22"/>
  <c r="H130" i="22" s="1"/>
  <c r="G159" i="22"/>
  <c r="H159" i="22" s="1"/>
  <c r="I159" i="22" s="1"/>
  <c r="I67" i="22"/>
  <c r="H131" i="22"/>
  <c r="I131" i="22" s="1"/>
  <c r="G189" i="22"/>
  <c r="F88" i="22"/>
  <c r="H88" i="22" s="1"/>
  <c r="I88" i="22" s="1"/>
  <c r="H206" i="22"/>
  <c r="I206" i="22" s="1"/>
  <c r="H55" i="22"/>
  <c r="I55" i="22" s="1"/>
  <c r="I103" i="22"/>
  <c r="G124" i="22"/>
  <c r="G119" i="22" s="1"/>
  <c r="H119" i="22" s="1"/>
  <c r="F317" i="22"/>
  <c r="F160" i="22"/>
  <c r="H160" i="22" s="1"/>
  <c r="I160" i="22" s="1"/>
  <c r="F156" i="22"/>
  <c r="H156" i="22" s="1"/>
  <c r="I156" i="22" s="1"/>
  <c r="F161" i="22"/>
  <c r="H161" i="22" s="1"/>
  <c r="I161" i="22" s="1"/>
  <c r="H222" i="22"/>
  <c r="I222" i="22" s="1"/>
  <c r="CV34" i="24"/>
  <c r="D164" i="22"/>
  <c r="G7" i="22"/>
  <c r="F155" i="22"/>
  <c r="H155" i="22" s="1"/>
  <c r="I155" i="22" s="1"/>
  <c r="G182" i="22"/>
  <c r="H182" i="22" s="1"/>
  <c r="I182" i="22" s="1"/>
  <c r="CJ15" i="24"/>
  <c r="DB15" i="24" s="1"/>
  <c r="DB22" i="24"/>
  <c r="CV37" i="24"/>
  <c r="CJ43" i="24"/>
  <c r="DB43" i="24" s="1"/>
  <c r="H98" i="22"/>
  <c r="I98" i="22" s="1"/>
  <c r="I97" i="22" s="1"/>
  <c r="G302" i="22"/>
  <c r="G301" i="22" s="1"/>
  <c r="H301" i="22" s="1"/>
  <c r="CQ16" i="24"/>
  <c r="H34" i="22"/>
  <c r="I34" i="22" s="1"/>
  <c r="F163" i="22"/>
  <c r="H163" i="22" s="1"/>
  <c r="I163" i="22" s="1"/>
  <c r="G262" i="22"/>
  <c r="H262" i="22" s="1"/>
  <c r="I262" i="22" s="1"/>
  <c r="D288" i="22"/>
  <c r="H22" i="22"/>
  <c r="I22" i="22" s="1"/>
  <c r="I17" i="22" s="1"/>
  <c r="G51" i="22"/>
  <c r="G50" i="22" s="1"/>
  <c r="F172" i="22"/>
  <c r="H172" i="22" s="1"/>
  <c r="I172" i="22" s="1"/>
  <c r="F168" i="22"/>
  <c r="H168" i="22" s="1"/>
  <c r="I168" i="22" s="1"/>
  <c r="G178" i="22"/>
  <c r="CV14" i="24"/>
  <c r="CQ38" i="24"/>
  <c r="F113" i="22"/>
  <c r="H113" i="22" s="1"/>
  <c r="I113" i="22" s="1"/>
  <c r="F109" i="22"/>
  <c r="H109" i="22" s="1"/>
  <c r="I109" i="22" s="1"/>
  <c r="I108" i="22" s="1"/>
  <c r="H108" i="22"/>
  <c r="G171" i="22"/>
  <c r="H171" i="22" s="1"/>
  <c r="I171" i="22" s="1"/>
  <c r="CW14" i="24"/>
  <c r="CJ17" i="24"/>
  <c r="DB17" i="24" s="1"/>
  <c r="CP33" i="24"/>
  <c r="CK44" i="24"/>
  <c r="DC44" i="24" s="1"/>
  <c r="H30" i="22"/>
  <c r="I30" i="22" s="1"/>
  <c r="F316" i="22"/>
  <c r="F81" i="22"/>
  <c r="H81" i="22" s="1"/>
  <c r="I81" i="22" s="1"/>
  <c r="F77" i="22"/>
  <c r="H77" i="22" s="1"/>
  <c r="I77" i="22" s="1"/>
  <c r="F80" i="22"/>
  <c r="H80" i="22" s="1"/>
  <c r="I80" i="22" s="1"/>
  <c r="F76" i="22"/>
  <c r="H76" i="22" s="1"/>
  <c r="I76" i="22" s="1"/>
  <c r="F83" i="22"/>
  <c r="H83" i="22" s="1"/>
  <c r="I83" i="22" s="1"/>
  <c r="F79" i="22"/>
  <c r="H79" i="22" s="1"/>
  <c r="I79" i="22" s="1"/>
  <c r="F75" i="22"/>
  <c r="H75" i="22" s="1"/>
  <c r="I75" i="22" s="1"/>
  <c r="I74" i="22" s="1"/>
  <c r="G234" i="22"/>
  <c r="H296" i="22"/>
  <c r="I296" i="22" s="1"/>
  <c r="DB14" i="24"/>
  <c r="CQ21" i="24"/>
  <c r="G193" i="22"/>
  <c r="H193" i="22" s="1"/>
  <c r="I193" i="22" s="1"/>
  <c r="F217" i="22"/>
  <c r="H217" i="22" s="1"/>
  <c r="I217" i="22" s="1"/>
  <c r="F213" i="22"/>
  <c r="H213" i="22" s="1"/>
  <c r="I213" i="22" s="1"/>
  <c r="F215" i="22"/>
  <c r="H215" i="22" s="1"/>
  <c r="I215" i="22" s="1"/>
  <c r="F211" i="22"/>
  <c r="F218" i="22"/>
  <c r="H218" i="22" s="1"/>
  <c r="I218" i="22" s="1"/>
  <c r="H235" i="22"/>
  <c r="I235" i="22" s="1"/>
  <c r="I234" i="22" s="1"/>
  <c r="CK47" i="24"/>
  <c r="DC47" i="24" s="1"/>
  <c r="H226" i="22"/>
  <c r="I226" i="22" s="1"/>
  <c r="H61" i="22"/>
  <c r="F110" i="22"/>
  <c r="H110" i="22" s="1"/>
  <c r="I110" i="22" s="1"/>
  <c r="BX14" i="24"/>
  <c r="CP14" i="24" s="1"/>
  <c r="CE16" i="24"/>
  <c r="CW16" i="24" s="1"/>
  <c r="CP31" i="24"/>
  <c r="G167" i="22"/>
  <c r="F174" i="22"/>
  <c r="H174" i="22" s="1"/>
  <c r="I174" i="22" s="1"/>
  <c r="I242" i="22"/>
  <c r="F10" i="22"/>
  <c r="H10" i="22" s="1"/>
  <c r="I10" i="22" s="1"/>
  <c r="F14" i="22"/>
  <c r="H14" i="22" s="1"/>
  <c r="I14" i="22" s="1"/>
  <c r="F122" i="22"/>
  <c r="H122" i="22" s="1"/>
  <c r="I122" i="22" s="1"/>
  <c r="F126" i="22"/>
  <c r="H126" i="22" s="1"/>
  <c r="I126" i="22" s="1"/>
  <c r="F181" i="22"/>
  <c r="H181" i="22" s="1"/>
  <c r="I181" i="22" s="1"/>
  <c r="F185" i="22"/>
  <c r="H185" i="22" s="1"/>
  <c r="I185" i="22" s="1"/>
  <c r="F308" i="22"/>
  <c r="H308" i="22" s="1"/>
  <c r="I308" i="22" s="1"/>
  <c r="BY18" i="24"/>
  <c r="BX22" i="24"/>
  <c r="CE26" i="24"/>
  <c r="CW26" i="24" s="1"/>
  <c r="CW31" i="24"/>
  <c r="BX41" i="24"/>
  <c r="CP41" i="24" s="1"/>
  <c r="CD46" i="24"/>
  <c r="CV46" i="24" s="1"/>
  <c r="F272" i="22"/>
  <c r="H272" i="22" s="1"/>
  <c r="I272" i="22" s="1"/>
  <c r="DB31" i="24"/>
  <c r="CQ36" i="24"/>
  <c r="CV50" i="24"/>
  <c r="CW57" i="24"/>
  <c r="CQ33" i="24"/>
  <c r="CW42" i="24"/>
  <c r="BX52" i="24"/>
  <c r="CP52" i="24" s="1"/>
  <c r="F54" i="22"/>
  <c r="H54" i="22" s="1"/>
  <c r="I54" i="22" s="1"/>
  <c r="F58" i="22"/>
  <c r="H58" i="22" s="1"/>
  <c r="I58" i="22" s="1"/>
  <c r="F225" i="22"/>
  <c r="H225" i="22" s="1"/>
  <c r="I225" i="22" s="1"/>
  <c r="F229" i="22"/>
  <c r="H229" i="22" s="1"/>
  <c r="I229" i="22" s="1"/>
  <c r="CK29" i="24"/>
  <c r="DC29" i="24" s="1"/>
  <c r="CV33" i="24"/>
  <c r="DB42" i="24"/>
  <c r="F123" i="22"/>
  <c r="H123" i="22" s="1"/>
  <c r="I123" i="22" s="1"/>
  <c r="F127" i="22"/>
  <c r="H127" i="22" s="1"/>
  <c r="I127" i="22" s="1"/>
  <c r="F309" i="22"/>
  <c r="H309" i="22" s="1"/>
  <c r="I309" i="22" s="1"/>
  <c r="CD25" i="24"/>
  <c r="CV25" i="24" s="1"/>
  <c r="BY28" i="24"/>
  <c r="CQ28" i="24" s="1"/>
  <c r="CW55" i="24"/>
  <c r="F21" i="22"/>
  <c r="H21" i="22" s="1"/>
  <c r="I21" i="22" s="1"/>
  <c r="F133" i="22"/>
  <c r="H133" i="22" s="1"/>
  <c r="I133" i="22" s="1"/>
  <c r="F137" i="22"/>
  <c r="H137" i="22" s="1"/>
  <c r="I137" i="22" s="1"/>
  <c r="F192" i="22"/>
  <c r="H192" i="22" s="1"/>
  <c r="I192" i="22" s="1"/>
  <c r="F258" i="22"/>
  <c r="H258" i="22" s="1"/>
  <c r="I258" i="22" s="1"/>
  <c r="F273" i="22"/>
  <c r="H273" i="22" s="1"/>
  <c r="I273" i="22" s="1"/>
  <c r="CD15" i="24"/>
  <c r="CV15" i="24" s="1"/>
  <c r="CP38" i="24"/>
  <c r="BX42" i="24"/>
  <c r="CP42" i="24" s="1"/>
  <c r="CV44" i="24"/>
  <c r="CP58" i="24"/>
  <c r="CK15" i="24"/>
  <c r="DC15" i="24" s="1"/>
  <c r="CV35" i="24"/>
  <c r="CQ61" i="24"/>
  <c r="F8" i="22"/>
  <c r="H8" i="22" s="1"/>
  <c r="I8" i="22" s="1"/>
  <c r="F12" i="22"/>
  <c r="H12" i="22" s="1"/>
  <c r="I12" i="22" s="1"/>
  <c r="F65" i="22"/>
  <c r="H65" i="22" s="1"/>
  <c r="I65" i="22" s="1"/>
  <c r="F69" i="22"/>
  <c r="H69" i="22" s="1"/>
  <c r="I69" i="22" s="1"/>
  <c r="F120" i="22"/>
  <c r="H120" i="22" s="1"/>
  <c r="I120" i="22" s="1"/>
  <c r="I119" i="22" s="1"/>
  <c r="F124" i="22"/>
  <c r="H124" i="22" s="1"/>
  <c r="I124" i="22" s="1"/>
  <c r="F179" i="22"/>
  <c r="H179" i="22" s="1"/>
  <c r="I179" i="22" s="1"/>
  <c r="F183" i="22"/>
  <c r="H183" i="22" s="1"/>
  <c r="I183" i="22" s="1"/>
  <c r="F241" i="22"/>
  <c r="H241" i="22" s="1"/>
  <c r="I241" i="22" s="1"/>
  <c r="F237" i="22"/>
  <c r="H237" i="22" s="1"/>
  <c r="I237" i="22" s="1"/>
  <c r="F274" i="22"/>
  <c r="H274" i="22" s="1"/>
  <c r="I274" i="22" s="1"/>
  <c r="CV23" i="24"/>
  <c r="BY24" i="24"/>
  <c r="CQ24" i="24" s="1"/>
  <c r="CQ26" i="24"/>
  <c r="BX31" i="24"/>
  <c r="CW35" i="24"/>
  <c r="CD36" i="24"/>
  <c r="CV36" i="24" s="1"/>
  <c r="DB49" i="24"/>
  <c r="F134" i="22"/>
  <c r="H134" i="22" s="1"/>
  <c r="I134" i="22" s="1"/>
  <c r="G273" i="22"/>
  <c r="CP18" i="24"/>
  <c r="CE36" i="24"/>
  <c r="CW36" i="24" s="1"/>
  <c r="DB38" i="24"/>
  <c r="DB41" i="24"/>
  <c r="CQ46" i="24"/>
  <c r="DC49" i="24"/>
  <c r="CK50" i="24"/>
  <c r="DC50" i="24" s="1"/>
  <c r="DC58" i="24"/>
  <c r="F32" i="22"/>
  <c r="H32" i="22" s="1"/>
  <c r="I32" i="22" s="1"/>
  <c r="F203" i="22"/>
  <c r="H203" i="22" s="1"/>
  <c r="I203" i="22" s="1"/>
  <c r="H234" i="22"/>
  <c r="F270" i="22"/>
  <c r="H270" i="22" s="1"/>
  <c r="I270" i="22" s="1"/>
  <c r="F306" i="22"/>
  <c r="H306" i="22" s="1"/>
  <c r="I306" i="22" s="1"/>
  <c r="CQ18" i="24"/>
  <c r="CJ22" i="24"/>
  <c r="DB23" i="24"/>
  <c r="CE25" i="24"/>
  <c r="CW25" i="24" s="1"/>
  <c r="CV32" i="24"/>
  <c r="CJ33" i="24"/>
  <c r="DB33" i="24" s="1"/>
  <c r="DC38" i="24"/>
  <c r="CP43" i="24"/>
  <c r="DB51" i="24"/>
  <c r="DB61" i="24"/>
  <c r="F101" i="22"/>
  <c r="H101" i="22" s="1"/>
  <c r="I101" i="22" s="1"/>
  <c r="G269" i="22"/>
  <c r="G268" i="22" s="1"/>
  <c r="H268" i="22" s="1"/>
  <c r="G284" i="22"/>
  <c r="H284" i="22" s="1"/>
  <c r="I284" i="22" s="1"/>
  <c r="CJ24" i="24"/>
  <c r="DB24" i="24" s="1"/>
  <c r="CW32" i="24"/>
  <c r="CP37" i="24"/>
  <c r="CQ43" i="24"/>
  <c r="DC51" i="24"/>
  <c r="DC61" i="24"/>
  <c r="F302" i="22"/>
  <c r="CP17" i="24"/>
  <c r="DC19" i="24"/>
  <c r="CD20" i="24"/>
  <c r="CV20" i="24" s="1"/>
  <c r="CP22" i="24"/>
  <c r="DC26" i="24"/>
  <c r="DB32" i="24"/>
  <c r="CQ37" i="24"/>
  <c r="CK39" i="24"/>
  <c r="DC39" i="24" s="1"/>
  <c r="CP40" i="24"/>
  <c r="CV43" i="24"/>
  <c r="CE45" i="24"/>
  <c r="CW45" i="24" s="1"/>
  <c r="CQ48" i="24"/>
  <c r="BY49" i="24"/>
  <c r="CQ49" i="24" s="1"/>
  <c r="F121" i="22"/>
  <c r="H121" i="22" s="1"/>
  <c r="I121" i="22" s="1"/>
  <c r="F180" i="22"/>
  <c r="H180" i="22" s="1"/>
  <c r="I180" i="22" s="1"/>
  <c r="G280" i="22"/>
  <c r="H280" i="22" s="1"/>
  <c r="I280" i="22" s="1"/>
  <c r="CQ15" i="24"/>
  <c r="CQ17" i="24"/>
  <c r="CQ25" i="24"/>
  <c r="DB29" i="24"/>
  <c r="BY38" i="24"/>
  <c r="CQ40" i="24"/>
  <c r="CJ44" i="24"/>
  <c r="DB44" i="24" s="1"/>
  <c r="DC46" i="24"/>
  <c r="CJ53" i="24"/>
  <c r="DB53" i="24" s="1"/>
  <c r="F283" i="22"/>
  <c r="H283" i="22" s="1"/>
  <c r="I283" i="22" s="1"/>
  <c r="F294" i="22"/>
  <c r="H294" i="22" s="1"/>
  <c r="I294" i="22" s="1"/>
  <c r="I130" i="22" l="1"/>
  <c r="I141" i="22"/>
  <c r="F319" i="22"/>
  <c r="U19" i="1"/>
  <c r="V19" i="1" s="1"/>
  <c r="W15" i="1" s="1"/>
  <c r="W10" i="1"/>
  <c r="W14" i="1"/>
  <c r="I279" i="22"/>
  <c r="I166" i="22"/>
  <c r="I154" i="22"/>
  <c r="V21" i="1"/>
  <c r="A26" i="3"/>
  <c r="A22" i="3"/>
  <c r="A32" i="3"/>
  <c r="A31" i="3"/>
  <c r="A20" i="3"/>
  <c r="A30" i="3"/>
  <c r="A29" i="3"/>
  <c r="A28" i="3"/>
  <c r="A27" i="3"/>
  <c r="A25" i="3"/>
  <c r="A24" i="3"/>
  <c r="A19" i="3"/>
  <c r="A23" i="3"/>
  <c r="A21" i="3"/>
  <c r="G6" i="22"/>
  <c r="H6" i="22" s="1"/>
  <c r="H315" i="22" s="1"/>
  <c r="H7" i="22"/>
  <c r="I7" i="22" s="1"/>
  <c r="I6" i="22" s="1"/>
  <c r="G177" i="22"/>
  <c r="H177" i="22" s="1"/>
  <c r="H178" i="22"/>
  <c r="I178" i="22" s="1"/>
  <c r="I177" i="22" s="1"/>
  <c r="CC9" i="24"/>
  <c r="BW9" i="24"/>
  <c r="CI9" i="24"/>
  <c r="G257" i="22"/>
  <c r="H257" i="22" s="1"/>
  <c r="G154" i="22"/>
  <c r="H154" i="22" s="1"/>
  <c r="A54" i="5"/>
  <c r="A57" i="5"/>
  <c r="A47" i="5"/>
  <c r="A59" i="5"/>
  <c r="A48" i="5"/>
  <c r="A51" i="5"/>
  <c r="A50" i="5"/>
  <c r="A60" i="5"/>
  <c r="A58" i="5"/>
  <c r="A55" i="5"/>
  <c r="A53" i="5"/>
  <c r="A56" i="5"/>
  <c r="A52" i="5"/>
  <c r="A49" i="5"/>
  <c r="I221" i="22"/>
  <c r="DA9" i="24"/>
  <c r="H316" i="22"/>
  <c r="I316" i="22" s="1"/>
  <c r="V22" i="1"/>
  <c r="W9" i="1"/>
  <c r="H302" i="22"/>
  <c r="I302" i="22" s="1"/>
  <c r="I301" i="22" s="1"/>
  <c r="CO9" i="24"/>
  <c r="K32" i="1"/>
  <c r="H51" i="22"/>
  <c r="I51" i="22" s="1"/>
  <c r="I50" i="22" s="1"/>
  <c r="F323" i="22"/>
  <c r="H269" i="22"/>
  <c r="I269" i="22" s="1"/>
  <c r="I268" i="22" s="1"/>
  <c r="CU9" i="24"/>
  <c r="D321" i="22"/>
  <c r="H211" i="22"/>
  <c r="I211" i="22" s="1"/>
  <c r="I210" i="22" s="1"/>
  <c r="I86" i="22"/>
  <c r="U18" i="1"/>
  <c r="V18" i="1" s="1"/>
  <c r="W6" i="1" s="1"/>
  <c r="G279" i="22"/>
  <c r="H279" i="22" s="1"/>
  <c r="I257" i="22"/>
  <c r="I61" i="22"/>
  <c r="A44" i="4"/>
  <c r="A34" i="4"/>
  <c r="A37" i="4"/>
  <c r="A39" i="4"/>
  <c r="A46" i="4"/>
  <c r="A45" i="4"/>
  <c r="A33" i="4"/>
  <c r="A43" i="4"/>
  <c r="A42" i="4"/>
  <c r="A36" i="4"/>
  <c r="A35" i="4"/>
  <c r="A41" i="4"/>
  <c r="A40" i="4"/>
  <c r="A38" i="4"/>
  <c r="A23" i="2"/>
  <c r="A22" i="2"/>
  <c r="A20" i="2"/>
  <c r="A19" i="2"/>
  <c r="A18" i="2"/>
  <c r="A17" i="2"/>
  <c r="A28" i="2"/>
  <c r="A27" i="2"/>
  <c r="A26" i="2"/>
  <c r="A25" i="2"/>
  <c r="A24" i="2"/>
  <c r="A21" i="2"/>
  <c r="H40" i="22"/>
  <c r="I40" i="22" s="1"/>
  <c r="I39" i="22" s="1"/>
  <c r="W12" i="1"/>
  <c r="G166" i="22"/>
  <c r="H166" i="22" s="1"/>
  <c r="H189" i="22"/>
  <c r="I189" i="22" s="1"/>
  <c r="I188" i="22" s="1"/>
  <c r="G188" i="22"/>
  <c r="H188" i="22" s="1"/>
  <c r="W11" i="1"/>
  <c r="H317" i="22" l="1"/>
  <c r="D319" i="22"/>
  <c r="H318" i="22"/>
  <c r="I318" i="22" s="1"/>
  <c r="W19" i="1"/>
  <c r="W13" i="1"/>
  <c r="W4" i="1"/>
  <c r="W5" i="1"/>
  <c r="I317" i="22"/>
  <c r="H319" i="22"/>
  <c r="I319" i="22" s="1"/>
  <c r="A74" i="5"/>
  <c r="A64" i="5"/>
  <c r="A67" i="5"/>
  <c r="A70" i="5"/>
  <c r="A73" i="5"/>
  <c r="A62" i="5"/>
  <c r="A72" i="5"/>
  <c r="A61" i="5"/>
  <c r="A71" i="5"/>
  <c r="A68" i="5"/>
  <c r="A66" i="5"/>
  <c r="A69" i="5"/>
  <c r="A65" i="5"/>
  <c r="A63" i="5"/>
  <c r="A33" i="2"/>
  <c r="A32" i="2"/>
  <c r="A40" i="2"/>
  <c r="A30" i="2"/>
  <c r="A39" i="2"/>
  <c r="A29" i="2"/>
  <c r="A31" i="2"/>
  <c r="A38" i="2"/>
  <c r="A36" i="2"/>
  <c r="A37" i="2"/>
  <c r="A35" i="2"/>
  <c r="A34" i="2"/>
  <c r="A46" i="3"/>
  <c r="A36" i="3"/>
  <c r="A43" i="3"/>
  <c r="A41" i="3"/>
  <c r="A39" i="3"/>
  <c r="A35" i="3"/>
  <c r="A45" i="3"/>
  <c r="A34" i="3"/>
  <c r="A33" i="3"/>
  <c r="A44" i="3"/>
  <c r="A42" i="3"/>
  <c r="A40" i="3"/>
  <c r="A37" i="3"/>
  <c r="A38" i="3"/>
  <c r="W3" i="1"/>
  <c r="D315" i="22"/>
  <c r="D320" i="22" s="1"/>
  <c r="W18" i="1"/>
  <c r="V23" i="1"/>
  <c r="W8" i="1"/>
  <c r="W7" i="1"/>
  <c r="A54" i="4"/>
  <c r="A57" i="4"/>
  <c r="A47" i="4"/>
  <c r="A50" i="4"/>
  <c r="A56" i="4"/>
  <c r="A53" i="4"/>
  <c r="A49" i="4"/>
  <c r="A48" i="4"/>
  <c r="A60" i="4"/>
  <c r="A59" i="4"/>
  <c r="A58" i="4"/>
  <c r="A52" i="4"/>
  <c r="A55" i="4"/>
  <c r="A51" i="4"/>
  <c r="W24" i="1" l="1"/>
  <c r="A56" i="3"/>
  <c r="A53" i="3"/>
  <c r="A52" i="3"/>
  <c r="A51" i="3"/>
  <c r="A50" i="3"/>
  <c r="A60" i="3"/>
  <c r="A49" i="3"/>
  <c r="A48" i="3"/>
  <c r="A57" i="3"/>
  <c r="A55" i="3"/>
  <c r="A47" i="3"/>
  <c r="A59" i="3"/>
  <c r="A58" i="3"/>
  <c r="A54" i="3"/>
  <c r="A43" i="2"/>
  <c r="A52" i="2"/>
  <c r="A42" i="2"/>
  <c r="A50" i="2"/>
  <c r="A49" i="2"/>
  <c r="A44" i="2"/>
  <c r="A41" i="2"/>
  <c r="A51" i="2"/>
  <c r="A45" i="2"/>
  <c r="A48" i="2"/>
  <c r="A47" i="2"/>
  <c r="A46" i="2"/>
  <c r="A74" i="4"/>
  <c r="A64" i="4"/>
  <c r="A67" i="4"/>
  <c r="A72" i="4"/>
  <c r="A61" i="4"/>
  <c r="A63" i="4"/>
  <c r="A62" i="4"/>
  <c r="A73" i="4"/>
  <c r="A71" i="4"/>
  <c r="A70" i="4"/>
  <c r="A68" i="4"/>
  <c r="A66" i="4"/>
  <c r="A65" i="4"/>
  <c r="A69" i="4"/>
  <c r="I315" i="22"/>
  <c r="H323" i="22" s="1"/>
  <c r="A84" i="5"/>
  <c r="A87" i="5"/>
  <c r="A77" i="5"/>
  <c r="A81" i="5"/>
  <c r="A86" i="5"/>
  <c r="A75" i="5"/>
  <c r="A83" i="5"/>
  <c r="A88" i="5"/>
  <c r="A85" i="5"/>
  <c r="A82" i="5"/>
  <c r="A80" i="5"/>
  <c r="A79" i="5"/>
  <c r="A78" i="5"/>
  <c r="A76" i="5"/>
  <c r="A63" i="2" l="1"/>
  <c r="A53" i="2"/>
  <c r="A62" i="2"/>
  <c r="A60" i="2"/>
  <c r="A59" i="2"/>
  <c r="A56" i="2"/>
  <c r="A55" i="2"/>
  <c r="A54" i="2"/>
  <c r="A64" i="2"/>
  <c r="A61" i="2"/>
  <c r="A58" i="2"/>
  <c r="A57" i="2"/>
  <c r="A94" i="5"/>
  <c r="A97" i="5"/>
  <c r="A92" i="5"/>
  <c r="A95" i="5"/>
  <c r="A100" i="5"/>
  <c r="A99" i="5"/>
  <c r="A98" i="5"/>
  <c r="A93" i="5"/>
  <c r="A102" i="5"/>
  <c r="A90" i="5"/>
  <c r="A91" i="5"/>
  <c r="A89" i="5"/>
  <c r="A101" i="5"/>
  <c r="A96" i="5"/>
  <c r="A84" i="4"/>
  <c r="A87" i="4"/>
  <c r="A77" i="4"/>
  <c r="A83" i="4"/>
  <c r="A78" i="4"/>
  <c r="A88" i="4"/>
  <c r="A85" i="4"/>
  <c r="A75" i="4"/>
  <c r="A86" i="4"/>
  <c r="A82" i="4"/>
  <c r="A80" i="4"/>
  <c r="A79" i="4"/>
  <c r="A76" i="4"/>
  <c r="A81" i="4"/>
  <c r="A66" i="3"/>
  <c r="A64" i="3"/>
  <c r="A74" i="3"/>
  <c r="A63" i="3"/>
  <c r="A73" i="3"/>
  <c r="A62" i="3"/>
  <c r="A72" i="3"/>
  <c r="A71" i="3"/>
  <c r="A70" i="3"/>
  <c r="A69" i="3"/>
  <c r="A67" i="3"/>
  <c r="A65" i="3"/>
  <c r="A61" i="3"/>
  <c r="A68" i="3"/>
  <c r="A73" i="2" l="1"/>
  <c r="A72" i="2"/>
  <c r="A70" i="2"/>
  <c r="A69" i="2"/>
  <c r="A68" i="2"/>
  <c r="A76" i="2"/>
  <c r="A67" i="2"/>
  <c r="A66" i="2"/>
  <c r="A65" i="2"/>
  <c r="A75" i="2"/>
  <c r="A74" i="2"/>
  <c r="A71" i="2"/>
  <c r="A94" i="4"/>
  <c r="A97" i="4"/>
  <c r="A100" i="4"/>
  <c r="A89" i="4"/>
  <c r="A99" i="4"/>
  <c r="A98" i="4"/>
  <c r="A96" i="4"/>
  <c r="A102" i="4"/>
  <c r="A101" i="4"/>
  <c r="A95" i="4"/>
  <c r="A93" i="4"/>
  <c r="A92" i="4"/>
  <c r="A91" i="4"/>
  <c r="A90" i="4"/>
  <c r="A86" i="3"/>
  <c r="A76" i="3"/>
  <c r="A85" i="3"/>
  <c r="A84" i="3"/>
  <c r="A83" i="3"/>
  <c r="A81" i="3"/>
  <c r="A79" i="3"/>
  <c r="A78" i="3"/>
  <c r="A88" i="3"/>
  <c r="A77" i="3"/>
  <c r="A87" i="3"/>
  <c r="A80" i="3"/>
  <c r="A75" i="3"/>
  <c r="A82" i="3"/>
  <c r="A114" i="5"/>
  <c r="A104" i="5"/>
  <c r="A107" i="5"/>
  <c r="A103" i="5"/>
  <c r="A106" i="5"/>
  <c r="A116" i="5"/>
  <c r="A105" i="5"/>
  <c r="A113" i="5"/>
  <c r="A112" i="5"/>
  <c r="A111" i="5"/>
  <c r="A110" i="5"/>
  <c r="A108" i="5"/>
  <c r="A115" i="5"/>
  <c r="A109" i="5"/>
  <c r="A114" i="4" l="1"/>
  <c r="A104" i="4"/>
  <c r="A107" i="4"/>
  <c r="A111" i="4"/>
  <c r="A110" i="4"/>
  <c r="A109" i="4"/>
  <c r="A115" i="4"/>
  <c r="A113" i="4"/>
  <c r="A112" i="4"/>
  <c r="A105" i="4"/>
  <c r="A108" i="4"/>
  <c r="A106" i="4"/>
  <c r="A103" i="4"/>
  <c r="A116" i="4"/>
  <c r="A83" i="2"/>
  <c r="A82" i="2"/>
  <c r="A80" i="2"/>
  <c r="A79" i="2"/>
  <c r="A81" i="2"/>
  <c r="A78" i="2"/>
  <c r="A88" i="2"/>
  <c r="A77" i="2"/>
  <c r="A87" i="2"/>
  <c r="A86" i="2"/>
  <c r="A85" i="2"/>
  <c r="A84" i="2"/>
  <c r="A96" i="3"/>
  <c r="A101" i="3"/>
  <c r="A91" i="3"/>
  <c r="A95" i="3"/>
  <c r="A94" i="3"/>
  <c r="A92" i="3"/>
  <c r="A90" i="3"/>
  <c r="A99" i="3"/>
  <c r="A98" i="3"/>
  <c r="A97" i="3"/>
  <c r="A93" i="3"/>
  <c r="A89" i="3"/>
  <c r="A102" i="3"/>
  <c r="A100" i="3"/>
  <c r="A124" i="5"/>
  <c r="A127" i="5"/>
  <c r="A117" i="5"/>
  <c r="A129" i="5"/>
  <c r="A118" i="5"/>
  <c r="A128" i="5"/>
  <c r="A125" i="5"/>
  <c r="A123" i="5"/>
  <c r="A122" i="5"/>
  <c r="A120" i="5"/>
  <c r="A119" i="5"/>
  <c r="A130" i="5"/>
  <c r="A126" i="5"/>
  <c r="A121" i="5"/>
  <c r="A144" i="5" l="1"/>
  <c r="A134" i="5"/>
  <c r="A137" i="5"/>
  <c r="A140" i="5"/>
  <c r="A139" i="5"/>
  <c r="A138" i="5"/>
  <c r="A136" i="5"/>
  <c r="A135" i="5"/>
  <c r="A132" i="5"/>
  <c r="A143" i="5"/>
  <c r="A131" i="5"/>
  <c r="A142" i="5"/>
  <c r="A141" i="5"/>
  <c r="A133" i="5"/>
  <c r="A116" i="3"/>
  <c r="A106" i="3"/>
  <c r="A111" i="3"/>
  <c r="A109" i="3"/>
  <c r="A107" i="3"/>
  <c r="A105" i="3"/>
  <c r="A115" i="3"/>
  <c r="A103" i="3"/>
  <c r="A114" i="3"/>
  <c r="A113" i="3"/>
  <c r="A110" i="3"/>
  <c r="A112" i="3"/>
  <c r="A108" i="3"/>
  <c r="A104" i="3"/>
  <c r="A124" i="4"/>
  <c r="A127" i="4"/>
  <c r="A117" i="4"/>
  <c r="A128" i="4"/>
  <c r="A122" i="4"/>
  <c r="A121" i="4"/>
  <c r="A120" i="4"/>
  <c r="A126" i="4"/>
  <c r="A125" i="4"/>
  <c r="A123" i="4"/>
  <c r="A118" i="4"/>
  <c r="A130" i="4"/>
  <c r="A129" i="4"/>
  <c r="A119" i="4"/>
  <c r="A93" i="2"/>
  <c r="A92" i="2"/>
  <c r="A100" i="2"/>
  <c r="A90" i="2"/>
  <c r="A99" i="2"/>
  <c r="A89" i="2"/>
  <c r="A94" i="2"/>
  <c r="A91" i="2"/>
  <c r="A98" i="2"/>
  <c r="A95" i="2"/>
  <c r="A97" i="2"/>
  <c r="A96" i="2"/>
  <c r="A144" i="4" l="1"/>
  <c r="A134" i="4"/>
  <c r="A137" i="4"/>
  <c r="A139" i="4"/>
  <c r="A135" i="4"/>
  <c r="A133" i="4"/>
  <c r="A143" i="4"/>
  <c r="A132" i="4"/>
  <c r="A142" i="4"/>
  <c r="A131" i="4"/>
  <c r="A141" i="4"/>
  <c r="A140" i="4"/>
  <c r="A138" i="4"/>
  <c r="A136" i="4"/>
  <c r="A126" i="3"/>
  <c r="A121" i="3"/>
  <c r="A129" i="3"/>
  <c r="A119" i="3"/>
  <c r="A130" i="3"/>
  <c r="A118" i="3"/>
  <c r="A117" i="3"/>
  <c r="A128" i="3"/>
  <c r="A127" i="3"/>
  <c r="A124" i="3"/>
  <c r="A123" i="3"/>
  <c r="A122" i="3"/>
  <c r="A125" i="3"/>
  <c r="A120" i="3"/>
  <c r="A103" i="2"/>
  <c r="A112" i="2"/>
  <c r="A102" i="2"/>
  <c r="A110" i="2"/>
  <c r="A109" i="2"/>
  <c r="A106" i="2"/>
  <c r="A105" i="2"/>
  <c r="A104" i="2"/>
  <c r="A101" i="2"/>
  <c r="A111" i="2"/>
  <c r="A108" i="2"/>
  <c r="A107" i="2"/>
  <c r="A154" i="5"/>
  <c r="A157" i="5"/>
  <c r="A147" i="5"/>
  <c r="A148" i="5"/>
  <c r="A151" i="5"/>
  <c r="A150" i="5"/>
  <c r="A149" i="5"/>
  <c r="A146" i="5"/>
  <c r="A158" i="5"/>
  <c r="A145" i="5"/>
  <c r="A156" i="5"/>
  <c r="A155" i="5"/>
  <c r="A153" i="5"/>
  <c r="A152" i="5"/>
  <c r="A123" i="2" l="1"/>
  <c r="A113" i="2"/>
  <c r="A122" i="2"/>
  <c r="A120" i="2"/>
  <c r="A119" i="2"/>
  <c r="A118" i="2"/>
  <c r="A117" i="2"/>
  <c r="A116" i="2"/>
  <c r="A115" i="2"/>
  <c r="A114" i="2"/>
  <c r="A124" i="2"/>
  <c r="A121" i="2"/>
  <c r="A164" i="5"/>
  <c r="A167" i="5"/>
  <c r="A170" i="5"/>
  <c r="A159" i="5"/>
  <c r="A162" i="5"/>
  <c r="A172" i="5"/>
  <c r="A161" i="5"/>
  <c r="A163" i="5"/>
  <c r="A160" i="5"/>
  <c r="A171" i="5"/>
  <c r="A169" i="5"/>
  <c r="A168" i="5"/>
  <c r="A166" i="5"/>
  <c r="A165" i="5"/>
  <c r="A136" i="3"/>
  <c r="A141" i="3"/>
  <c r="A131" i="3"/>
  <c r="A139" i="3"/>
  <c r="A143" i="3"/>
  <c r="A142" i="3"/>
  <c r="A140" i="3"/>
  <c r="A138" i="3"/>
  <c r="A134" i="3"/>
  <c r="A133" i="3"/>
  <c r="A144" i="3"/>
  <c r="A137" i="3"/>
  <c r="A135" i="3"/>
  <c r="A132" i="3"/>
  <c r="A154" i="4"/>
  <c r="A157" i="4"/>
  <c r="A147" i="4"/>
  <c r="A150" i="4"/>
  <c r="A146" i="4"/>
  <c r="A156" i="4"/>
  <c r="A145" i="4"/>
  <c r="A153" i="4"/>
  <c r="A155" i="4"/>
  <c r="A152" i="4"/>
  <c r="A151" i="4"/>
  <c r="A149" i="4"/>
  <c r="A148" i="4"/>
  <c r="A158" i="4"/>
  <c r="A133" i="2" l="1"/>
  <c r="A132" i="2"/>
  <c r="A130" i="2"/>
  <c r="A129" i="2"/>
  <c r="A131" i="2"/>
  <c r="A128" i="2"/>
  <c r="A127" i="2"/>
  <c r="A126" i="2"/>
  <c r="A136" i="2"/>
  <c r="A125" i="2"/>
  <c r="A135" i="2"/>
  <c r="A134" i="2"/>
  <c r="A184" i="5"/>
  <c r="A174" i="5"/>
  <c r="A177" i="5"/>
  <c r="A181" i="5"/>
  <c r="A186" i="5"/>
  <c r="A175" i="5"/>
  <c r="A173" i="5"/>
  <c r="A183" i="5"/>
  <c r="A178" i="5"/>
  <c r="A176" i="5"/>
  <c r="A185" i="5"/>
  <c r="A182" i="5"/>
  <c r="A180" i="5"/>
  <c r="A179" i="5"/>
  <c r="A156" i="3"/>
  <c r="A146" i="3"/>
  <c r="A151" i="3"/>
  <c r="A149" i="3"/>
  <c r="A154" i="3"/>
  <c r="A153" i="3"/>
  <c r="A152" i="3"/>
  <c r="A150" i="3"/>
  <c r="A148" i="3"/>
  <c r="A158" i="3"/>
  <c r="A157" i="3"/>
  <c r="A145" i="3"/>
  <c r="A155" i="3"/>
  <c r="A147" i="3"/>
  <c r="A164" i="4"/>
  <c r="A167" i="4"/>
  <c r="A172" i="4"/>
  <c r="A161" i="4"/>
  <c r="A169" i="4"/>
  <c r="A168" i="4"/>
  <c r="A166" i="4"/>
  <c r="A165" i="4"/>
  <c r="A162" i="4"/>
  <c r="A160" i="4"/>
  <c r="A171" i="4"/>
  <c r="A159" i="4"/>
  <c r="A163" i="4"/>
  <c r="A170" i="4"/>
  <c r="A166" i="3" l="1"/>
  <c r="A171" i="3"/>
  <c r="A161" i="3"/>
  <c r="A169" i="3"/>
  <c r="A159" i="3"/>
  <c r="A165" i="3"/>
  <c r="A164" i="3"/>
  <c r="A163" i="3"/>
  <c r="A162" i="3"/>
  <c r="A172" i="3"/>
  <c r="A160" i="3"/>
  <c r="A170" i="3"/>
  <c r="A168" i="3"/>
  <c r="A167" i="3"/>
  <c r="A194" i="5"/>
  <c r="A197" i="5"/>
  <c r="A187" i="5"/>
  <c r="A192" i="5"/>
  <c r="A195" i="5"/>
  <c r="A190" i="5"/>
  <c r="A189" i="5"/>
  <c r="A200" i="5"/>
  <c r="A188" i="5"/>
  <c r="A199" i="5"/>
  <c r="A198" i="5"/>
  <c r="A196" i="5"/>
  <c r="A193" i="5"/>
  <c r="A191" i="5"/>
  <c r="A143" i="2"/>
  <c r="A142" i="2"/>
  <c r="A140" i="2"/>
  <c r="A139" i="2"/>
  <c r="A144" i="2"/>
  <c r="A141" i="2"/>
  <c r="A138" i="2"/>
  <c r="A145" i="2"/>
  <c r="A137" i="2"/>
  <c r="A148" i="2"/>
  <c r="A147" i="2"/>
  <c r="A146" i="2"/>
  <c r="A184" i="4"/>
  <c r="A174" i="4"/>
  <c r="A177" i="4"/>
  <c r="A183" i="4"/>
  <c r="A178" i="4"/>
  <c r="A185" i="4"/>
  <c r="A181" i="4"/>
  <c r="A180" i="4"/>
  <c r="A179" i="4"/>
  <c r="A176" i="4"/>
  <c r="A182" i="4"/>
  <c r="A175" i="4"/>
  <c r="A173" i="4"/>
  <c r="A186" i="4"/>
  <c r="A153" i="2" l="1"/>
  <c r="A152" i="2"/>
  <c r="A160" i="2"/>
  <c r="A150" i="2"/>
  <c r="A159" i="2"/>
  <c r="A149" i="2"/>
  <c r="A156" i="2"/>
  <c r="A155" i="2"/>
  <c r="A154" i="2"/>
  <c r="A151" i="2"/>
  <c r="A157" i="2"/>
  <c r="A158" i="2"/>
  <c r="A186" i="3"/>
  <c r="A176" i="3"/>
  <c r="A181" i="3"/>
  <c r="A179" i="3"/>
  <c r="A178" i="3"/>
  <c r="A177" i="3"/>
  <c r="A175" i="3"/>
  <c r="A174" i="3"/>
  <c r="A185" i="3"/>
  <c r="A173" i="3"/>
  <c r="A183" i="3"/>
  <c r="A182" i="3"/>
  <c r="A180" i="3"/>
  <c r="A184" i="3"/>
  <c r="A194" i="4"/>
  <c r="A197" i="4"/>
  <c r="A187" i="4"/>
  <c r="A200" i="4"/>
  <c r="A189" i="4"/>
  <c r="A199" i="4"/>
  <c r="A188" i="4"/>
  <c r="A198" i="4"/>
  <c r="A196" i="4"/>
  <c r="A193" i="4"/>
  <c r="A192" i="4"/>
  <c r="A191" i="4"/>
  <c r="A190" i="4"/>
  <c r="A195" i="4"/>
  <c r="A214" i="5"/>
  <c r="A204" i="5"/>
  <c r="A207" i="5"/>
  <c r="A203" i="5"/>
  <c r="A206" i="5"/>
  <c r="A205" i="5"/>
  <c r="A202" i="5"/>
  <c r="A201" i="5"/>
  <c r="A213" i="5"/>
  <c r="A212" i="5"/>
  <c r="A210" i="5"/>
  <c r="A209" i="5"/>
  <c r="A208" i="5"/>
  <c r="A211" i="5"/>
  <c r="A196" i="3" l="1"/>
  <c r="A191" i="3"/>
  <c r="A199" i="3"/>
  <c r="A189" i="3"/>
  <c r="A190" i="3"/>
  <c r="A200" i="3"/>
  <c r="A188" i="3"/>
  <c r="A187" i="3"/>
  <c r="A198" i="3"/>
  <c r="A197" i="3"/>
  <c r="A195" i="3"/>
  <c r="A193" i="3"/>
  <c r="A192" i="3"/>
  <c r="A194" i="3"/>
  <c r="A214" i="4"/>
  <c r="A204" i="4"/>
  <c r="A207" i="4"/>
  <c r="A205" i="4"/>
  <c r="A211" i="4"/>
  <c r="A210" i="4"/>
  <c r="A209" i="4"/>
  <c r="A208" i="4"/>
  <c r="A206" i="4"/>
  <c r="A203" i="4"/>
  <c r="A201" i="4"/>
  <c r="A213" i="4"/>
  <c r="A212" i="4"/>
  <c r="A202" i="4"/>
  <c r="A163" i="2"/>
  <c r="A172" i="2"/>
  <c r="A162" i="2"/>
  <c r="A170" i="2"/>
  <c r="A169" i="2"/>
  <c r="A168" i="2"/>
  <c r="A167" i="2"/>
  <c r="A166" i="2"/>
  <c r="A164" i="2"/>
  <c r="A165" i="2"/>
  <c r="A161" i="2"/>
  <c r="A171" i="2"/>
  <c r="A224" i="5"/>
  <c r="A227" i="5"/>
  <c r="A217" i="5"/>
  <c r="A218" i="5"/>
  <c r="A228" i="5"/>
  <c r="A216" i="5"/>
  <c r="A215" i="5"/>
  <c r="A226" i="5"/>
  <c r="A225" i="5"/>
  <c r="A222" i="5"/>
  <c r="A221" i="5"/>
  <c r="A220" i="5"/>
  <c r="A219" i="5"/>
  <c r="A223" i="5"/>
  <c r="A224" i="4" l="1"/>
  <c r="A227" i="4"/>
  <c r="A217" i="4"/>
  <c r="A228" i="4"/>
  <c r="A216" i="4"/>
  <c r="A222" i="4"/>
  <c r="A221" i="4"/>
  <c r="A220" i="4"/>
  <c r="A223" i="4"/>
  <c r="A219" i="4"/>
  <c r="A218" i="4"/>
  <c r="A215" i="4"/>
  <c r="A226" i="4"/>
  <c r="A225" i="4"/>
  <c r="A183" i="2"/>
  <c r="A173" i="2"/>
  <c r="A182" i="2"/>
  <c r="A180" i="2"/>
  <c r="A179" i="2"/>
  <c r="A181" i="2"/>
  <c r="A178" i="2"/>
  <c r="A177" i="2"/>
  <c r="A176" i="2"/>
  <c r="A175" i="2"/>
  <c r="A174" i="2"/>
  <c r="A184" i="2"/>
  <c r="A206" i="3"/>
  <c r="A211" i="3"/>
  <c r="A201" i="3"/>
  <c r="A209" i="3"/>
  <c r="A202" i="3"/>
  <c r="A213" i="3"/>
  <c r="A212" i="3"/>
  <c r="A210" i="3"/>
  <c r="A208" i="3"/>
  <c r="A207" i="3"/>
  <c r="A205" i="3"/>
  <c r="A204" i="3"/>
  <c r="A214" i="3"/>
  <c r="A203" i="3"/>
  <c r="A234" i="5"/>
  <c r="A237" i="5"/>
  <c r="A240" i="5"/>
  <c r="A229" i="5"/>
  <c r="A239" i="5"/>
  <c r="A241" i="5"/>
  <c r="A238" i="5"/>
  <c r="A236" i="5"/>
  <c r="A235" i="5"/>
  <c r="A233" i="5"/>
  <c r="A232" i="5"/>
  <c r="A231" i="5"/>
  <c r="A242" i="5"/>
  <c r="A230" i="5"/>
  <c r="A254" i="5" l="1"/>
  <c r="A244" i="5"/>
  <c r="A247" i="5"/>
  <c r="A248" i="5"/>
  <c r="A251" i="5"/>
  <c r="A250" i="5"/>
  <c r="A253" i="5"/>
  <c r="A252" i="5"/>
  <c r="A249" i="5"/>
  <c r="A246" i="5"/>
  <c r="A245" i="5"/>
  <c r="A256" i="5"/>
  <c r="A243" i="5"/>
  <c r="A255" i="5"/>
  <c r="A226" i="3"/>
  <c r="A216" i="3"/>
  <c r="A221" i="3"/>
  <c r="A219" i="3"/>
  <c r="A225" i="3"/>
  <c r="A224" i="3"/>
  <c r="A223" i="3"/>
  <c r="A222" i="3"/>
  <c r="A220" i="3"/>
  <c r="A218" i="3"/>
  <c r="A217" i="3"/>
  <c r="A228" i="3"/>
  <c r="A227" i="3"/>
  <c r="A215" i="3"/>
  <c r="A192" i="2"/>
  <c r="A190" i="2"/>
  <c r="A189" i="2"/>
  <c r="A193" i="2"/>
  <c r="A191" i="2"/>
  <c r="A188" i="2"/>
  <c r="A186" i="2"/>
  <c r="A187" i="2"/>
  <c r="A185" i="2"/>
  <c r="A196" i="2"/>
  <c r="A195" i="2"/>
  <c r="A194" i="2"/>
  <c r="A234" i="4"/>
  <c r="A237" i="4"/>
  <c r="A239" i="4"/>
  <c r="A235" i="4"/>
  <c r="A233" i="4"/>
  <c r="A232" i="4"/>
  <c r="A242" i="4"/>
  <c r="A231" i="4"/>
  <c r="A236" i="4"/>
  <c r="A230" i="4"/>
  <c r="A229" i="4"/>
  <c r="A241" i="4"/>
  <c r="A240" i="4"/>
  <c r="A238" i="4"/>
  <c r="A264" i="5" l="1"/>
  <c r="A267" i="5"/>
  <c r="A257" i="5"/>
  <c r="A270" i="5"/>
  <c r="A259" i="5"/>
  <c r="A262" i="5"/>
  <c r="A261" i="5"/>
  <c r="A266" i="5"/>
  <c r="A265" i="5"/>
  <c r="A263" i="5"/>
  <c r="A260" i="5"/>
  <c r="A258" i="5"/>
  <c r="A269" i="5"/>
  <c r="A268" i="5"/>
  <c r="A202" i="2"/>
  <c r="A198" i="2"/>
  <c r="A204" i="2"/>
  <c r="A203" i="2"/>
  <c r="A200" i="2"/>
  <c r="A206" i="2"/>
  <c r="A197" i="2"/>
  <c r="A205" i="2"/>
  <c r="A201" i="2"/>
  <c r="A207" i="2"/>
  <c r="A199" i="2"/>
  <c r="A208" i="2"/>
  <c r="A236" i="3"/>
  <c r="A241" i="3"/>
  <c r="A231" i="3"/>
  <c r="A239" i="3"/>
  <c r="A229" i="3"/>
  <c r="A237" i="3"/>
  <c r="A235" i="3"/>
  <c r="A234" i="3"/>
  <c r="A233" i="3"/>
  <c r="A232" i="3"/>
  <c r="A242" i="3"/>
  <c r="A230" i="3"/>
  <c r="A240" i="3"/>
  <c r="A238" i="3"/>
  <c r="A254" i="4"/>
  <c r="A244" i="4"/>
  <c r="A247" i="4"/>
  <c r="A250" i="4"/>
  <c r="A246" i="4"/>
  <c r="A256" i="4"/>
  <c r="A245" i="4"/>
  <c r="A243" i="4"/>
  <c r="A253" i="4"/>
  <c r="A251" i="4"/>
  <c r="A249" i="4"/>
  <c r="A248" i="4"/>
  <c r="A255" i="4"/>
  <c r="A252" i="4"/>
  <c r="A256" i="3" l="1"/>
  <c r="A246" i="3"/>
  <c r="A251" i="3"/>
  <c r="A249" i="3"/>
  <c r="A248" i="3"/>
  <c r="A247" i="3"/>
  <c r="A245" i="3"/>
  <c r="A244" i="3"/>
  <c r="A255" i="3"/>
  <c r="A254" i="3"/>
  <c r="A252" i="3"/>
  <c r="A253" i="3"/>
  <c r="A250" i="3"/>
  <c r="A243" i="3"/>
  <c r="A264" i="4"/>
  <c r="A267" i="4"/>
  <c r="A257" i="4"/>
  <c r="A261" i="4"/>
  <c r="A263" i="4"/>
  <c r="A262" i="4"/>
  <c r="A260" i="4"/>
  <c r="A259" i="4"/>
  <c r="A258" i="4"/>
  <c r="A269" i="4"/>
  <c r="A268" i="4"/>
  <c r="A266" i="4"/>
  <c r="A270" i="4"/>
  <c r="A265" i="4"/>
  <c r="A212" i="2"/>
  <c r="A219" i="2"/>
  <c r="A211" i="2"/>
  <c r="A210" i="2"/>
  <c r="A217" i="2"/>
  <c r="A216" i="2"/>
  <c r="A215" i="2"/>
  <c r="A214" i="2"/>
  <c r="A213" i="2"/>
  <c r="A209" i="2"/>
  <c r="A220" i="2"/>
  <c r="A218" i="2"/>
  <c r="A284" i="5"/>
  <c r="A274" i="5"/>
  <c r="A277" i="5"/>
  <c r="A281" i="5"/>
  <c r="A275" i="5"/>
  <c r="A273" i="5"/>
  <c r="A283" i="5"/>
  <c r="A272" i="5"/>
  <c r="A280" i="5"/>
  <c r="A279" i="5"/>
  <c r="A278" i="5"/>
  <c r="A276" i="5"/>
  <c r="A271" i="5"/>
  <c r="A282" i="5"/>
  <c r="A232" i="2" l="1"/>
  <c r="A222" i="2"/>
  <c r="A225" i="2"/>
  <c r="A224" i="2"/>
  <c r="A221" i="2"/>
  <c r="A231" i="2"/>
  <c r="A230" i="2"/>
  <c r="A229" i="2"/>
  <c r="A228" i="2"/>
  <c r="A227" i="2"/>
  <c r="A226" i="2"/>
  <c r="A223" i="2"/>
  <c r="A284" i="4"/>
  <c r="A274" i="4"/>
  <c r="A277" i="4"/>
  <c r="A276" i="4"/>
  <c r="A272" i="4"/>
  <c r="A283" i="4"/>
  <c r="A280" i="4"/>
  <c r="A279" i="4"/>
  <c r="A275" i="4"/>
  <c r="A273" i="4"/>
  <c r="A271" i="4"/>
  <c r="A282" i="4"/>
  <c r="A281" i="4"/>
  <c r="A278" i="4"/>
  <c r="A294" i="5"/>
  <c r="A297" i="5"/>
  <c r="A287" i="5"/>
  <c r="A292" i="5"/>
  <c r="A286" i="5"/>
  <c r="A295" i="5"/>
  <c r="A293" i="5"/>
  <c r="A291" i="5"/>
  <c r="A290" i="5"/>
  <c r="A289" i="5"/>
  <c r="A288" i="5"/>
  <c r="A298" i="5"/>
  <c r="A285" i="5"/>
  <c r="A296" i="5"/>
  <c r="A266" i="3"/>
  <c r="A261" i="3"/>
  <c r="A269" i="3"/>
  <c r="A259" i="3"/>
  <c r="A260" i="3"/>
  <c r="A270" i="3"/>
  <c r="A258" i="3"/>
  <c r="A257" i="3"/>
  <c r="A268" i="3"/>
  <c r="A267" i="3"/>
  <c r="A265" i="3"/>
  <c r="A264" i="3"/>
  <c r="A263" i="3"/>
  <c r="A262" i="3"/>
  <c r="A294" i="4" l="1"/>
  <c r="A297" i="4"/>
  <c r="A287" i="4"/>
  <c r="A296" i="4"/>
  <c r="A286" i="4"/>
  <c r="A295" i="4"/>
  <c r="A290" i="4"/>
  <c r="A289" i="4"/>
  <c r="A288" i="4"/>
  <c r="A298" i="4"/>
  <c r="A291" i="4"/>
  <c r="A285" i="4"/>
  <c r="A293" i="4"/>
  <c r="A292" i="4"/>
  <c r="A276" i="3"/>
  <c r="A281" i="3"/>
  <c r="A271" i="3"/>
  <c r="A279" i="3"/>
  <c r="A284" i="3"/>
  <c r="A272" i="3"/>
  <c r="A283" i="3"/>
  <c r="A282" i="3"/>
  <c r="A280" i="3"/>
  <c r="A277" i="3"/>
  <c r="A275" i="3"/>
  <c r="A274" i="3"/>
  <c r="A273" i="3"/>
  <c r="A278" i="3"/>
  <c r="A304" i="5"/>
  <c r="A307" i="5"/>
  <c r="A303" i="5"/>
  <c r="A306" i="5"/>
  <c r="A305" i="5"/>
  <c r="A302" i="5"/>
  <c r="A301" i="5"/>
  <c r="A300" i="5"/>
  <c r="A312" i="5"/>
  <c r="A299" i="5"/>
  <c r="A311" i="5"/>
  <c r="A310" i="5"/>
  <c r="A309" i="5"/>
  <c r="A308" i="5"/>
  <c r="A242" i="2"/>
  <c r="A240" i="2"/>
  <c r="A243" i="2"/>
  <c r="A241" i="2"/>
  <c r="A239" i="2"/>
  <c r="A238" i="2"/>
  <c r="A237" i="2"/>
  <c r="A236" i="2"/>
  <c r="A235" i="2"/>
  <c r="A234" i="2"/>
  <c r="A233" i="2"/>
  <c r="A244" i="2"/>
  <c r="A304" i="4" l="1"/>
  <c r="A307" i="4"/>
  <c r="A306" i="4"/>
  <c r="A308" i="4"/>
  <c r="A303" i="4"/>
  <c r="A302" i="4"/>
  <c r="A312" i="4"/>
  <c r="A311" i="4"/>
  <c r="A310" i="4"/>
  <c r="A305" i="4"/>
  <c r="A301" i="4"/>
  <c r="A300" i="4"/>
  <c r="A309" i="4"/>
  <c r="A299" i="4"/>
  <c r="A324" i="5"/>
  <c r="A314" i="5"/>
  <c r="A317" i="5"/>
  <c r="A318" i="5"/>
  <c r="A316" i="5"/>
  <c r="A319" i="5"/>
  <c r="A315" i="5"/>
  <c r="A326" i="5"/>
  <c r="A325" i="5"/>
  <c r="A323" i="5"/>
  <c r="A322" i="5"/>
  <c r="A321" i="5"/>
  <c r="A313" i="5"/>
  <c r="A320" i="5"/>
  <c r="A296" i="3"/>
  <c r="A286" i="3"/>
  <c r="A291" i="3"/>
  <c r="A289" i="3"/>
  <c r="A295" i="3"/>
  <c r="A294" i="3"/>
  <c r="A293" i="3"/>
  <c r="A292" i="3"/>
  <c r="A287" i="3"/>
  <c r="A298" i="3"/>
  <c r="A290" i="3"/>
  <c r="A288" i="3"/>
  <c r="A285" i="3"/>
  <c r="A297" i="3"/>
  <c r="A252" i="2"/>
  <c r="A246" i="2"/>
  <c r="A245" i="2"/>
  <c r="A253" i="2"/>
  <c r="A254" i="2"/>
  <c r="A247" i="2"/>
  <c r="A251" i="2"/>
  <c r="A250" i="2"/>
  <c r="A249" i="2"/>
  <c r="A248" i="2"/>
  <c r="A256" i="2"/>
  <c r="A255" i="2"/>
  <c r="A262" i="2" l="1"/>
  <c r="A261" i="2"/>
  <c r="A267" i="2"/>
  <c r="A266" i="2"/>
  <c r="A264" i="2"/>
  <c r="A263" i="2"/>
  <c r="A265" i="2"/>
  <c r="A260" i="2"/>
  <c r="A259" i="2"/>
  <c r="A258" i="2"/>
  <c r="A257" i="2"/>
  <c r="A268" i="2"/>
  <c r="A324" i="4"/>
  <c r="A314" i="4"/>
  <c r="A317" i="4"/>
  <c r="A326" i="4"/>
  <c r="A316" i="4"/>
  <c r="A319" i="4"/>
  <c r="A315" i="4"/>
  <c r="A325" i="4"/>
  <c r="A313" i="4"/>
  <c r="A321" i="4"/>
  <c r="A322" i="4"/>
  <c r="A320" i="4"/>
  <c r="A318" i="4"/>
  <c r="A323" i="4"/>
  <c r="A306" i="3"/>
  <c r="A311" i="3"/>
  <c r="A301" i="3"/>
  <c r="A309" i="3"/>
  <c r="A299" i="3"/>
  <c r="A307" i="3"/>
  <c r="A305" i="3"/>
  <c r="A304" i="3"/>
  <c r="A303" i="3"/>
  <c r="A310" i="3"/>
  <c r="A302" i="3"/>
  <c r="A300" i="3"/>
  <c r="A312" i="3"/>
  <c r="A308" i="3"/>
  <c r="A334" i="5"/>
  <c r="A337" i="5"/>
  <c r="A327" i="5"/>
  <c r="A340" i="5"/>
  <c r="A329" i="5"/>
  <c r="A339" i="5"/>
  <c r="A328" i="5"/>
  <c r="A331" i="5"/>
  <c r="A330" i="5"/>
  <c r="A336" i="5"/>
  <c r="A335" i="5"/>
  <c r="A333" i="5"/>
  <c r="A332" i="5"/>
  <c r="A338" i="5"/>
  <c r="A326" i="3" l="1"/>
  <c r="A316" i="3"/>
  <c r="A321" i="3"/>
  <c r="A319" i="3"/>
  <c r="A318" i="3"/>
  <c r="A317" i="3"/>
  <c r="A315" i="3"/>
  <c r="A314" i="3"/>
  <c r="A313" i="3"/>
  <c r="A324" i="3"/>
  <c r="A323" i="3"/>
  <c r="A322" i="3"/>
  <c r="A320" i="3"/>
  <c r="A325" i="3"/>
  <c r="A334" i="4"/>
  <c r="A337" i="4"/>
  <c r="A327" i="4"/>
  <c r="A336" i="4"/>
  <c r="A331" i="4"/>
  <c r="A330" i="4"/>
  <c r="A339" i="4"/>
  <c r="A338" i="4"/>
  <c r="A333" i="4"/>
  <c r="A335" i="4"/>
  <c r="A332" i="4"/>
  <c r="A328" i="4"/>
  <c r="A340" i="4"/>
  <c r="A329" i="4"/>
  <c r="A272" i="2"/>
  <c r="A274" i="2"/>
  <c r="A278" i="2"/>
  <c r="A277" i="2"/>
  <c r="A276" i="2"/>
  <c r="A275" i="2"/>
  <c r="A271" i="2"/>
  <c r="A273" i="2"/>
  <c r="A270" i="2"/>
  <c r="A280" i="2"/>
  <c r="A269" i="2"/>
  <c r="A279" i="2"/>
  <c r="A354" i="5"/>
  <c r="A344" i="5"/>
  <c r="A347" i="5"/>
  <c r="A348" i="5"/>
  <c r="A351" i="5"/>
  <c r="A350" i="5"/>
  <c r="A343" i="5"/>
  <c r="A342" i="5"/>
  <c r="A341" i="5"/>
  <c r="A353" i="5"/>
  <c r="A352" i="5"/>
  <c r="A349" i="5"/>
  <c r="A345" i="5"/>
  <c r="A346" i="5"/>
  <c r="A292" i="2" l="1"/>
  <c r="A282" i="2"/>
  <c r="A288" i="2"/>
  <c r="A287" i="2"/>
  <c r="A285" i="2"/>
  <c r="A284" i="2"/>
  <c r="A291" i="2"/>
  <c r="A290" i="2"/>
  <c r="A289" i="2"/>
  <c r="A286" i="2"/>
  <c r="A283" i="2"/>
  <c r="A281" i="2"/>
  <c r="A354" i="4"/>
  <c r="A344" i="4"/>
  <c r="A347" i="4"/>
  <c r="A346" i="4"/>
  <c r="A342" i="4"/>
  <c r="A353" i="4"/>
  <c r="A349" i="4"/>
  <c r="A348" i="4"/>
  <c r="A345" i="4"/>
  <c r="A351" i="4"/>
  <c r="A350" i="4"/>
  <c r="A343" i="4"/>
  <c r="A341" i="4"/>
  <c r="A352" i="4"/>
  <c r="A364" i="5"/>
  <c r="A367" i="5"/>
  <c r="A357" i="5"/>
  <c r="A359" i="5"/>
  <c r="A362" i="5"/>
  <c r="A361" i="5"/>
  <c r="A356" i="5"/>
  <c r="A368" i="5"/>
  <c r="A355" i="5"/>
  <c r="A366" i="5"/>
  <c r="A365" i="5"/>
  <c r="A363" i="5"/>
  <c r="A360" i="5"/>
  <c r="A358" i="5"/>
  <c r="A336" i="3"/>
  <c r="A331" i="3"/>
  <c r="A329" i="3"/>
  <c r="A330" i="3"/>
  <c r="A340" i="3"/>
  <c r="A328" i="3"/>
  <c r="A339" i="3"/>
  <c r="A327" i="3"/>
  <c r="A338" i="3"/>
  <c r="A334" i="3"/>
  <c r="A333" i="3"/>
  <c r="A337" i="3"/>
  <c r="A335" i="3"/>
  <c r="A332" i="3"/>
  <c r="A346" i="3" l="1"/>
  <c r="A347" i="3"/>
  <c r="A342" i="3"/>
  <c r="A352" i="3"/>
  <c r="A350" i="3"/>
  <c r="A354" i="3"/>
  <c r="A341" i="3"/>
  <c r="A353" i="3"/>
  <c r="A351" i="3"/>
  <c r="A349" i="3"/>
  <c r="A348" i="3"/>
  <c r="A345" i="3"/>
  <c r="A344" i="3"/>
  <c r="A343" i="3"/>
  <c r="A364" i="4"/>
  <c r="A367" i="4"/>
  <c r="A357" i="4"/>
  <c r="A366" i="4"/>
  <c r="A356" i="4"/>
  <c r="A365" i="4"/>
  <c r="A362" i="4"/>
  <c r="A361" i="4"/>
  <c r="A363" i="4"/>
  <c r="A360" i="4"/>
  <c r="A359" i="4"/>
  <c r="A358" i="4"/>
  <c r="A355" i="4"/>
  <c r="A368" i="4"/>
  <c r="A374" i="5"/>
  <c r="A377" i="5"/>
  <c r="A381" i="5"/>
  <c r="A370" i="5"/>
  <c r="A375" i="5"/>
  <c r="A373" i="5"/>
  <c r="A372" i="5"/>
  <c r="A369" i="5"/>
  <c r="A382" i="5"/>
  <c r="A380" i="5"/>
  <c r="A379" i="5"/>
  <c r="A376" i="5"/>
  <c r="A371" i="5"/>
  <c r="A378" i="5"/>
  <c r="A302" i="2"/>
  <c r="A293" i="2"/>
  <c r="A295" i="2"/>
  <c r="A303" i="2"/>
  <c r="A301" i="2"/>
  <c r="A300" i="2"/>
  <c r="A299" i="2"/>
  <c r="A298" i="2"/>
  <c r="A296" i="2"/>
  <c r="A297" i="2"/>
  <c r="A294" i="2"/>
  <c r="A304" i="2"/>
  <c r="A394" i="5" l="1"/>
  <c r="A384" i="5"/>
  <c r="A387" i="5"/>
  <c r="A392" i="5"/>
  <c r="A386" i="5"/>
  <c r="A395" i="5"/>
  <c r="A383" i="5"/>
  <c r="A396" i="5"/>
  <c r="A393" i="5"/>
  <c r="A391" i="5"/>
  <c r="A390" i="5"/>
  <c r="A389" i="5"/>
  <c r="A388" i="5"/>
  <c r="A385" i="5"/>
  <c r="A366" i="3"/>
  <c r="A356" i="3"/>
  <c r="A368" i="3"/>
  <c r="A363" i="3"/>
  <c r="A365" i="3"/>
  <c r="A364" i="3"/>
  <c r="A362" i="3"/>
  <c r="A361" i="3"/>
  <c r="A359" i="3"/>
  <c r="A358" i="3"/>
  <c r="A357" i="3"/>
  <c r="A355" i="3"/>
  <c r="A367" i="3"/>
  <c r="A360" i="3"/>
  <c r="A374" i="4"/>
  <c r="A377" i="4"/>
  <c r="A376" i="4"/>
  <c r="A378" i="4"/>
  <c r="A372" i="4"/>
  <c r="A371" i="4"/>
  <c r="A370" i="4"/>
  <c r="A369" i="4"/>
  <c r="A380" i="4"/>
  <c r="A381" i="4"/>
  <c r="A379" i="4"/>
  <c r="A375" i="4"/>
  <c r="A373" i="4"/>
  <c r="A382" i="4"/>
  <c r="A312" i="2"/>
  <c r="A314" i="2"/>
  <c r="A309" i="2"/>
  <c r="A308" i="2"/>
  <c r="A306" i="2"/>
  <c r="A316" i="2"/>
  <c r="A305" i="2"/>
  <c r="A315" i="2"/>
  <c r="A313" i="2"/>
  <c r="A311" i="2"/>
  <c r="A310" i="2"/>
  <c r="A307" i="2"/>
  <c r="A376" i="3" l="1"/>
  <c r="A373" i="3"/>
  <c r="A371" i="3"/>
  <c r="A378" i="3"/>
  <c r="A377" i="3"/>
  <c r="A375" i="3"/>
  <c r="A374" i="3"/>
  <c r="A382" i="3"/>
  <c r="A381" i="3"/>
  <c r="A369" i="3"/>
  <c r="A380" i="3"/>
  <c r="A372" i="3"/>
  <c r="A370" i="3"/>
  <c r="A379" i="3"/>
  <c r="A404" i="5"/>
  <c r="A407" i="5"/>
  <c r="A397" i="5"/>
  <c r="A403" i="5"/>
  <c r="A406" i="5"/>
  <c r="A405" i="5"/>
  <c r="A409" i="5"/>
  <c r="A408" i="5"/>
  <c r="A402" i="5"/>
  <c r="A401" i="5"/>
  <c r="A400" i="5"/>
  <c r="A398" i="5"/>
  <c r="A410" i="5"/>
  <c r="A399" i="5"/>
  <c r="A322" i="2"/>
  <c r="A324" i="2"/>
  <c r="A327" i="2"/>
  <c r="A326" i="2"/>
  <c r="A328" i="2"/>
  <c r="A325" i="2"/>
  <c r="A323" i="2"/>
  <c r="A321" i="2"/>
  <c r="A320" i="2"/>
  <c r="A319" i="2"/>
  <c r="A318" i="2"/>
  <c r="A317" i="2"/>
  <c r="A394" i="4"/>
  <c r="A384" i="4"/>
  <c r="A387" i="4"/>
  <c r="A396" i="4"/>
  <c r="A386" i="4"/>
  <c r="A390" i="4"/>
  <c r="A389" i="4"/>
  <c r="A393" i="4"/>
  <c r="A392" i="4"/>
  <c r="A395" i="4"/>
  <c r="A391" i="4"/>
  <c r="A388" i="4"/>
  <c r="A383" i="4"/>
  <c r="A385" i="4"/>
  <c r="A424" i="5" l="1"/>
  <c r="A414" i="5"/>
  <c r="A417" i="5"/>
  <c r="A418" i="5"/>
  <c r="A416" i="5"/>
  <c r="A421" i="5"/>
  <c r="A420" i="5"/>
  <c r="A419" i="5"/>
  <c r="A415" i="5"/>
  <c r="A413" i="5"/>
  <c r="A412" i="5"/>
  <c r="A423" i="5"/>
  <c r="A411" i="5"/>
  <c r="A422" i="5"/>
  <c r="A332" i="2"/>
  <c r="A335" i="2"/>
  <c r="A330" i="2"/>
  <c r="A329" i="2"/>
  <c r="A337" i="2"/>
  <c r="A340" i="2"/>
  <c r="A339" i="2"/>
  <c r="A338" i="2"/>
  <c r="A336" i="2"/>
  <c r="A334" i="2"/>
  <c r="A333" i="2"/>
  <c r="A331" i="2"/>
  <c r="A396" i="3"/>
  <c r="A386" i="3"/>
  <c r="A389" i="3"/>
  <c r="A384" i="3"/>
  <c r="A394" i="3"/>
  <c r="A392" i="3"/>
  <c r="A388" i="3"/>
  <c r="A387" i="3"/>
  <c r="A385" i="3"/>
  <c r="A395" i="3"/>
  <c r="A393" i="3"/>
  <c r="A391" i="3"/>
  <c r="A390" i="3"/>
  <c r="A383" i="3"/>
  <c r="A404" i="4"/>
  <c r="A407" i="4"/>
  <c r="A397" i="4"/>
  <c r="A406" i="4"/>
  <c r="A401" i="4"/>
  <c r="A398" i="4"/>
  <c r="A408" i="4"/>
  <c r="A405" i="4"/>
  <c r="A403" i="4"/>
  <c r="A410" i="4"/>
  <c r="A409" i="4"/>
  <c r="A402" i="4"/>
  <c r="A399" i="4"/>
  <c r="A400" i="4"/>
  <c r="A406" i="3" l="1"/>
  <c r="A410" i="3"/>
  <c r="A405" i="3"/>
  <c r="A401" i="3"/>
  <c r="A400" i="3"/>
  <c r="A399" i="3"/>
  <c r="A409" i="3"/>
  <c r="A398" i="3"/>
  <c r="A408" i="3"/>
  <c r="A397" i="3"/>
  <c r="A404" i="3"/>
  <c r="A403" i="3"/>
  <c r="A407" i="3"/>
  <c r="A402" i="3"/>
  <c r="A352" i="2"/>
  <c r="A342" i="2"/>
  <c r="A345" i="2"/>
  <c r="A351" i="2"/>
  <c r="A350" i="2"/>
  <c r="A348" i="2"/>
  <c r="A347" i="2"/>
  <c r="A341" i="2"/>
  <c r="A349" i="2"/>
  <c r="A346" i="2"/>
  <c r="A344" i="2"/>
  <c r="A343" i="2"/>
  <c r="A424" i="4"/>
  <c r="A414" i="4"/>
  <c r="A417" i="4"/>
  <c r="A416" i="4"/>
  <c r="A413" i="4"/>
  <c r="A412" i="4"/>
  <c r="A421" i="4"/>
  <c r="A420" i="4"/>
  <c r="A415" i="4"/>
  <c r="A423" i="4"/>
  <c r="A422" i="4"/>
  <c r="A419" i="4"/>
  <c r="A418" i="4"/>
  <c r="A411" i="4"/>
  <c r="A434" i="5"/>
  <c r="A437" i="5"/>
  <c r="A427" i="5"/>
  <c r="A429" i="5"/>
  <c r="A428" i="5"/>
  <c r="A433" i="5"/>
  <c r="A432" i="5"/>
  <c r="A431" i="5"/>
  <c r="A430" i="5"/>
  <c r="A426" i="5"/>
  <c r="A438" i="5"/>
  <c r="A425" i="5"/>
  <c r="A435" i="5"/>
  <c r="A436" i="5"/>
  <c r="A362" i="2" l="1"/>
  <c r="A356" i="2"/>
  <c r="A358" i="2"/>
  <c r="A354" i="2"/>
  <c r="A353" i="2"/>
  <c r="A364" i="2"/>
  <c r="A363" i="2"/>
  <c r="A361" i="2"/>
  <c r="A359" i="2"/>
  <c r="A360" i="2"/>
  <c r="A357" i="2"/>
  <c r="A355" i="2"/>
  <c r="A444" i="5"/>
  <c r="A447" i="5"/>
  <c r="A448" i="5"/>
  <c r="A451" i="5"/>
  <c r="A440" i="5"/>
  <c r="A450" i="5"/>
  <c r="A439" i="5"/>
  <c r="A445" i="5"/>
  <c r="A443" i="5"/>
  <c r="A442" i="5"/>
  <c r="A452" i="5"/>
  <c r="A446" i="5"/>
  <c r="A441" i="5"/>
  <c r="A449" i="5"/>
  <c r="A434" i="4"/>
  <c r="A437" i="4"/>
  <c r="A427" i="4"/>
  <c r="A436" i="4"/>
  <c r="A426" i="4"/>
  <c r="A425" i="4"/>
  <c r="A431" i="4"/>
  <c r="A430" i="4"/>
  <c r="A429" i="4"/>
  <c r="A428" i="4"/>
  <c r="A438" i="4"/>
  <c r="A435" i="4"/>
  <c r="A433" i="4"/>
  <c r="A432" i="4"/>
  <c r="A416" i="3"/>
  <c r="A415" i="3"/>
  <c r="A413" i="3"/>
  <c r="A424" i="3"/>
  <c r="A412" i="3"/>
  <c r="A423" i="3"/>
  <c r="A411" i="3"/>
  <c r="A422" i="3"/>
  <c r="A421" i="3"/>
  <c r="A420" i="3"/>
  <c r="A418" i="3"/>
  <c r="A417" i="3"/>
  <c r="A419" i="3"/>
  <c r="A414" i="3"/>
  <c r="A444" i="4" l="1"/>
  <c r="A447" i="4"/>
  <c r="A446" i="4"/>
  <c r="A449" i="4"/>
  <c r="A448" i="4"/>
  <c r="A443" i="4"/>
  <c r="A452" i="4"/>
  <c r="A451" i="4"/>
  <c r="A439" i="4"/>
  <c r="A440" i="4"/>
  <c r="A450" i="4"/>
  <c r="A445" i="4"/>
  <c r="A442" i="4"/>
  <c r="A441" i="4"/>
  <c r="A372" i="2"/>
  <c r="A366" i="2"/>
  <c r="A371" i="2"/>
  <c r="A369" i="2"/>
  <c r="A368" i="2"/>
  <c r="A365" i="2"/>
  <c r="A376" i="2"/>
  <c r="A375" i="2"/>
  <c r="A374" i="2"/>
  <c r="A373" i="2"/>
  <c r="A370" i="2"/>
  <c r="A367" i="2"/>
  <c r="A436" i="3"/>
  <c r="A426" i="3"/>
  <c r="A431" i="3"/>
  <c r="A437" i="3"/>
  <c r="A434" i="3"/>
  <c r="A435" i="3"/>
  <c r="A433" i="3"/>
  <c r="A432" i="3"/>
  <c r="A430" i="3"/>
  <c r="A429" i="3"/>
  <c r="A427" i="3"/>
  <c r="A438" i="3"/>
  <c r="A425" i="3"/>
  <c r="A428" i="3"/>
  <c r="A464" i="5"/>
  <c r="A454" i="5"/>
  <c r="A457" i="5"/>
  <c r="A459" i="5"/>
  <c r="A462" i="5"/>
  <c r="A461" i="5"/>
  <c r="A458" i="5"/>
  <c r="A456" i="5"/>
  <c r="A455" i="5"/>
  <c r="A466" i="5"/>
  <c r="A453" i="5"/>
  <c r="A465" i="5"/>
  <c r="A463" i="5"/>
  <c r="A460" i="5"/>
  <c r="A474" i="5" l="1"/>
  <c r="A477" i="5"/>
  <c r="A467" i="5"/>
  <c r="A470" i="5"/>
  <c r="A475" i="5"/>
  <c r="A473" i="5"/>
  <c r="A472" i="5"/>
  <c r="A471" i="5"/>
  <c r="A469" i="5"/>
  <c r="A468" i="5"/>
  <c r="A479" i="5"/>
  <c r="A478" i="5"/>
  <c r="A480" i="5"/>
  <c r="A476" i="5"/>
  <c r="A446" i="3"/>
  <c r="A452" i="3"/>
  <c r="A447" i="3"/>
  <c r="A445" i="3"/>
  <c r="A444" i="3"/>
  <c r="A443" i="3"/>
  <c r="A442" i="3"/>
  <c r="A441" i="3"/>
  <c r="A450" i="3"/>
  <c r="A439" i="3"/>
  <c r="A449" i="3"/>
  <c r="A440" i="3"/>
  <c r="A451" i="3"/>
  <c r="A448" i="3"/>
  <c r="A464" i="4"/>
  <c r="A454" i="4"/>
  <c r="A457" i="4"/>
  <c r="A466" i="4"/>
  <c r="A456" i="4"/>
  <c r="A460" i="4"/>
  <c r="A455" i="4"/>
  <c r="A465" i="4"/>
  <c r="A453" i="4"/>
  <c r="A462" i="4"/>
  <c r="A463" i="4"/>
  <c r="A461" i="4"/>
  <c r="A459" i="4"/>
  <c r="A458" i="4"/>
  <c r="A382" i="2"/>
  <c r="A377" i="2"/>
  <c r="A387" i="2"/>
  <c r="A383" i="2"/>
  <c r="A379" i="2"/>
  <c r="A378" i="2"/>
  <c r="A388" i="2"/>
  <c r="A386" i="2"/>
  <c r="A385" i="2"/>
  <c r="A384" i="2"/>
  <c r="A381" i="2"/>
  <c r="A380" i="2"/>
  <c r="A466" i="3" l="1"/>
  <c r="A456" i="3"/>
  <c r="A458" i="3"/>
  <c r="A455" i="3"/>
  <c r="A459" i="3"/>
  <c r="A457" i="3"/>
  <c r="A454" i="3"/>
  <c r="A465" i="3"/>
  <c r="A464" i="3"/>
  <c r="A462" i="3"/>
  <c r="A461" i="3"/>
  <c r="A460" i="3"/>
  <c r="A453" i="3"/>
  <c r="A463" i="3"/>
  <c r="A494" i="5"/>
  <c r="A484" i="5"/>
  <c r="A487" i="5"/>
  <c r="A492" i="5"/>
  <c r="A481" i="5"/>
  <c r="A486" i="5"/>
  <c r="A483" i="5"/>
  <c r="A485" i="5"/>
  <c r="A482" i="5"/>
  <c r="A491" i="5"/>
  <c r="A490" i="5"/>
  <c r="A488" i="5"/>
  <c r="A493" i="5"/>
  <c r="A489" i="5"/>
  <c r="A474" i="4"/>
  <c r="A477" i="4"/>
  <c r="A467" i="4"/>
  <c r="A476" i="4"/>
  <c r="A472" i="4"/>
  <c r="A471" i="4"/>
  <c r="A480" i="4"/>
  <c r="A479" i="4"/>
  <c r="A469" i="4"/>
  <c r="A468" i="4"/>
  <c r="A478" i="4"/>
  <c r="A475" i="4"/>
  <c r="A473" i="4"/>
  <c r="A470" i="4"/>
  <c r="A392" i="2"/>
  <c r="A398" i="2"/>
  <c r="A390" i="2"/>
  <c r="A400" i="2"/>
  <c r="A389" i="2"/>
  <c r="A391" i="2"/>
  <c r="A399" i="2"/>
  <c r="A396" i="2"/>
  <c r="A397" i="2"/>
  <c r="A395" i="2"/>
  <c r="A394" i="2"/>
  <c r="A393" i="2"/>
  <c r="A504" i="5" l="1"/>
  <c r="A507" i="5"/>
  <c r="A497" i="5"/>
  <c r="A503" i="5"/>
  <c r="A508" i="5"/>
  <c r="A506" i="5"/>
  <c r="A495" i="5"/>
  <c r="A505" i="5"/>
  <c r="A498" i="5"/>
  <c r="A496" i="5"/>
  <c r="A502" i="5"/>
  <c r="A500" i="5"/>
  <c r="A499" i="5"/>
  <c r="A501" i="5"/>
  <c r="A494" i="4"/>
  <c r="A484" i="4"/>
  <c r="A487" i="4"/>
  <c r="A486" i="4"/>
  <c r="A483" i="4"/>
  <c r="A490" i="4"/>
  <c r="A489" i="4"/>
  <c r="A488" i="4"/>
  <c r="A482" i="4"/>
  <c r="A481" i="4"/>
  <c r="A493" i="4"/>
  <c r="A492" i="4"/>
  <c r="A491" i="4"/>
  <c r="A485" i="4"/>
  <c r="A412" i="2"/>
  <c r="A402" i="2"/>
  <c r="A408" i="2"/>
  <c r="A404" i="2"/>
  <c r="A403" i="2"/>
  <c r="A411" i="2"/>
  <c r="A410" i="2"/>
  <c r="A405" i="2"/>
  <c r="A401" i="2"/>
  <c r="A409" i="2"/>
  <c r="A407" i="2"/>
  <c r="A406" i="2"/>
  <c r="A476" i="3"/>
  <c r="A473" i="3"/>
  <c r="A479" i="3"/>
  <c r="A468" i="3"/>
  <c r="A470" i="3"/>
  <c r="A469" i="3"/>
  <c r="A480" i="3"/>
  <c r="A467" i="3"/>
  <c r="A478" i="3"/>
  <c r="A477" i="3"/>
  <c r="A475" i="3"/>
  <c r="A474" i="3"/>
  <c r="A472" i="3"/>
  <c r="A471" i="3"/>
  <c r="A504" i="4" l="1"/>
  <c r="A507" i="4"/>
  <c r="A497" i="4"/>
  <c r="A506" i="4"/>
  <c r="A496" i="4"/>
  <c r="A508" i="4"/>
  <c r="A495" i="4"/>
  <c r="A503" i="4"/>
  <c r="A502" i="4"/>
  <c r="A501" i="4"/>
  <c r="A498" i="4"/>
  <c r="A499" i="4"/>
  <c r="A505" i="4"/>
  <c r="A500" i="4"/>
  <c r="A422" i="2"/>
  <c r="A419" i="2"/>
  <c r="A424" i="2"/>
  <c r="A421" i="2"/>
  <c r="A417" i="2"/>
  <c r="A416" i="2"/>
  <c r="A415" i="2"/>
  <c r="A413" i="2"/>
  <c r="A414" i="2"/>
  <c r="A423" i="2"/>
  <c r="A420" i="2"/>
  <c r="A418" i="2"/>
  <c r="A486" i="3"/>
  <c r="A494" i="3"/>
  <c r="A489" i="3"/>
  <c r="A487" i="3"/>
  <c r="A482" i="3"/>
  <c r="A493" i="3"/>
  <c r="A481" i="3"/>
  <c r="A492" i="3"/>
  <c r="A491" i="3"/>
  <c r="A490" i="3"/>
  <c r="A485" i="3"/>
  <c r="A484" i="3"/>
  <c r="A488" i="3"/>
  <c r="A483" i="3"/>
  <c r="A514" i="5"/>
  <c r="A517" i="5"/>
  <c r="A519" i="5"/>
  <c r="A518" i="5"/>
  <c r="A516" i="5"/>
  <c r="A511" i="5"/>
  <c r="A510" i="5"/>
  <c r="A522" i="5"/>
  <c r="A509" i="5"/>
  <c r="A521" i="5"/>
  <c r="A515" i="5"/>
  <c r="A513" i="5"/>
  <c r="A512" i="5"/>
  <c r="A520" i="5"/>
  <c r="A534" i="5" l="1"/>
  <c r="A524" i="5"/>
  <c r="A527" i="5"/>
  <c r="A530" i="5"/>
  <c r="A529" i="5"/>
  <c r="A528" i="5"/>
  <c r="A536" i="5"/>
  <c r="A523" i="5"/>
  <c r="A535" i="5"/>
  <c r="A533" i="5"/>
  <c r="A532" i="5"/>
  <c r="A531" i="5"/>
  <c r="A526" i="5"/>
  <c r="A525" i="5"/>
  <c r="A432" i="2"/>
  <c r="A429" i="2"/>
  <c r="A428" i="2"/>
  <c r="A425" i="2"/>
  <c r="A431" i="2"/>
  <c r="A430" i="2"/>
  <c r="A427" i="2"/>
  <c r="A426" i="2"/>
  <c r="A435" i="2"/>
  <c r="A436" i="2"/>
  <c r="A434" i="2"/>
  <c r="A433" i="2"/>
  <c r="A506" i="3"/>
  <c r="A496" i="3"/>
  <c r="A500" i="3"/>
  <c r="A508" i="3"/>
  <c r="A505" i="3"/>
  <c r="A504" i="3"/>
  <c r="A503" i="3"/>
  <c r="A502" i="3"/>
  <c r="A501" i="3"/>
  <c r="A499" i="3"/>
  <c r="A497" i="3"/>
  <c r="A507" i="3"/>
  <c r="A495" i="3"/>
  <c r="A498" i="3"/>
  <c r="A514" i="4"/>
  <c r="A517" i="4"/>
  <c r="A516" i="4"/>
  <c r="A519" i="4"/>
  <c r="A515" i="4"/>
  <c r="A513" i="4"/>
  <c r="A512" i="4"/>
  <c r="A511" i="4"/>
  <c r="A510" i="4"/>
  <c r="A521" i="4"/>
  <c r="A509" i="4"/>
  <c r="A522" i="4"/>
  <c r="A520" i="4"/>
  <c r="A518" i="4"/>
  <c r="A516" i="3" l="1"/>
  <c r="A515" i="3"/>
  <c r="A521" i="3"/>
  <c r="A510" i="3"/>
  <c r="A517" i="3"/>
  <c r="A514" i="3"/>
  <c r="A513" i="3"/>
  <c r="A512" i="3"/>
  <c r="A511" i="3"/>
  <c r="A522" i="3"/>
  <c r="A509" i="3"/>
  <c r="A520" i="3"/>
  <c r="A519" i="3"/>
  <c r="A518" i="3"/>
  <c r="A534" i="4"/>
  <c r="A524" i="4"/>
  <c r="A527" i="4"/>
  <c r="A536" i="4"/>
  <c r="A526" i="4"/>
  <c r="A531" i="4"/>
  <c r="A530" i="4"/>
  <c r="A525" i="4"/>
  <c r="A533" i="4"/>
  <c r="A529" i="4"/>
  <c r="A528" i="4"/>
  <c r="A523" i="4"/>
  <c r="A532" i="4"/>
  <c r="A535" i="4"/>
  <c r="A544" i="5"/>
  <c r="A547" i="5"/>
  <c r="A537" i="5"/>
  <c r="A548" i="5"/>
  <c r="A541" i="5"/>
  <c r="A540" i="5"/>
  <c r="A550" i="5"/>
  <c r="A539" i="5"/>
  <c r="A549" i="5"/>
  <c r="A546" i="5"/>
  <c r="A545" i="5"/>
  <c r="A543" i="5"/>
  <c r="A542" i="5"/>
  <c r="A538" i="5"/>
  <c r="A442" i="2"/>
  <c r="A440" i="2"/>
  <c r="A446" i="2"/>
  <c r="A445" i="2"/>
  <c r="A443" i="2"/>
  <c r="A441" i="2"/>
  <c r="A439" i="2"/>
  <c r="A438" i="2"/>
  <c r="A437" i="2"/>
  <c r="A448" i="2"/>
  <c r="A447" i="2"/>
  <c r="A444" i="2"/>
  <c r="A544" i="4" l="1"/>
  <c r="A547" i="4"/>
  <c r="A537" i="4"/>
  <c r="A546" i="4"/>
  <c r="A542" i="4"/>
  <c r="A540" i="4"/>
  <c r="A539" i="4"/>
  <c r="A538" i="4"/>
  <c r="A549" i="4"/>
  <c r="A548" i="4"/>
  <c r="A545" i="4"/>
  <c r="A543" i="4"/>
  <c r="A541" i="4"/>
  <c r="A550" i="4"/>
  <c r="A536" i="3"/>
  <c r="A526" i="3"/>
  <c r="A531" i="3"/>
  <c r="A529" i="3"/>
  <c r="A528" i="3"/>
  <c r="A527" i="3"/>
  <c r="A525" i="3"/>
  <c r="A524" i="3"/>
  <c r="A535" i="3"/>
  <c r="A534" i="3"/>
  <c r="A532" i="3"/>
  <c r="A530" i="3"/>
  <c r="A523" i="3"/>
  <c r="A533" i="3"/>
  <c r="A452" i="2"/>
  <c r="A450" i="2"/>
  <c r="A449" i="2"/>
  <c r="A453" i="2"/>
  <c r="A456" i="2"/>
  <c r="A455" i="2"/>
  <c r="A454" i="2"/>
  <c r="A451" i="2"/>
  <c r="A460" i="2"/>
  <c r="A459" i="2"/>
  <c r="A458" i="2"/>
  <c r="A457" i="2"/>
  <c r="A564" i="5"/>
  <c r="A554" i="5"/>
  <c r="A557" i="5"/>
  <c r="A559" i="5"/>
  <c r="A563" i="5"/>
  <c r="A552" i="5"/>
  <c r="A562" i="5"/>
  <c r="A551" i="5"/>
  <c r="A561" i="5"/>
  <c r="A560" i="5"/>
  <c r="A558" i="5"/>
  <c r="A556" i="5"/>
  <c r="A553" i="5"/>
  <c r="A555" i="5"/>
  <c r="A564" i="4" l="1"/>
  <c r="A554" i="4"/>
  <c r="A557" i="4"/>
  <c r="A556" i="4"/>
  <c r="A553" i="4"/>
  <c r="A552" i="4"/>
  <c r="A563" i="4"/>
  <c r="A551" i="4"/>
  <c r="A562" i="4"/>
  <c r="A561" i="4"/>
  <c r="A560" i="4"/>
  <c r="A559" i="4"/>
  <c r="A558" i="4"/>
  <c r="A555" i="4"/>
  <c r="A546" i="3"/>
  <c r="A547" i="3"/>
  <c r="A542" i="3"/>
  <c r="A550" i="3"/>
  <c r="A540" i="3"/>
  <c r="A539" i="3"/>
  <c r="A538" i="3"/>
  <c r="A549" i="3"/>
  <c r="A537" i="3"/>
  <c r="A548" i="3"/>
  <c r="A545" i="3"/>
  <c r="A543" i="3"/>
  <c r="A544" i="3"/>
  <c r="A541" i="3"/>
  <c r="A472" i="2"/>
  <c r="A462" i="2"/>
  <c r="A461" i="2"/>
  <c r="A471" i="2"/>
  <c r="A470" i="2"/>
  <c r="A467" i="2"/>
  <c r="A466" i="2"/>
  <c r="A464" i="2"/>
  <c r="A463" i="2"/>
  <c r="A469" i="2"/>
  <c r="A468" i="2"/>
  <c r="A465" i="2"/>
  <c r="A574" i="5"/>
  <c r="A577" i="5"/>
  <c r="A567" i="5"/>
  <c r="A570" i="5"/>
  <c r="A569" i="5"/>
  <c r="A575" i="5"/>
  <c r="A573" i="5"/>
  <c r="A572" i="5"/>
  <c r="A565" i="5"/>
  <c r="A578" i="5"/>
  <c r="A576" i="5"/>
  <c r="A571" i="5"/>
  <c r="A568" i="5"/>
  <c r="A566" i="5"/>
  <c r="A556" i="3" l="1"/>
  <c r="A563" i="3"/>
  <c r="A552" i="3"/>
  <c r="A562" i="3"/>
  <c r="A551" i="3"/>
  <c r="A561" i="3"/>
  <c r="A560" i="3"/>
  <c r="A559" i="3"/>
  <c r="A557" i="3"/>
  <c r="A555" i="3"/>
  <c r="A554" i="3"/>
  <c r="A564" i="3"/>
  <c r="A558" i="3"/>
  <c r="A553" i="3"/>
  <c r="A584" i="5"/>
  <c r="A587" i="5"/>
  <c r="A592" i="5"/>
  <c r="A581" i="5"/>
  <c r="A591" i="5"/>
  <c r="A580" i="5"/>
  <c r="A586" i="5"/>
  <c r="A583" i="5"/>
  <c r="A579" i="5"/>
  <c r="A590" i="5"/>
  <c r="A589" i="5"/>
  <c r="A588" i="5"/>
  <c r="A585" i="5"/>
  <c r="A582" i="5"/>
  <c r="A482" i="2"/>
  <c r="A474" i="2"/>
  <c r="A484" i="2"/>
  <c r="A481" i="2"/>
  <c r="A480" i="2"/>
  <c r="A479" i="2"/>
  <c r="A478" i="2"/>
  <c r="A477" i="2"/>
  <c r="A476" i="2"/>
  <c r="A475" i="2"/>
  <c r="A473" i="2"/>
  <c r="A483" i="2"/>
  <c r="A574" i="4"/>
  <c r="A577" i="4"/>
  <c r="A567" i="4"/>
  <c r="A576" i="4"/>
  <c r="A566" i="4"/>
  <c r="A578" i="4"/>
  <c r="A565" i="4"/>
  <c r="A575" i="4"/>
  <c r="A572" i="4"/>
  <c r="A571" i="4"/>
  <c r="A570" i="4"/>
  <c r="A569" i="4"/>
  <c r="A573" i="4"/>
  <c r="A568" i="4"/>
  <c r="A604" i="5" l="1"/>
  <c r="A594" i="5"/>
  <c r="A597" i="5"/>
  <c r="A603" i="5"/>
  <c r="A602" i="5"/>
  <c r="A606" i="5"/>
  <c r="A595" i="5"/>
  <c r="A605" i="5"/>
  <c r="A593" i="5"/>
  <c r="A600" i="5"/>
  <c r="A599" i="5"/>
  <c r="A598" i="5"/>
  <c r="A596" i="5"/>
  <c r="A601" i="5"/>
  <c r="A492" i="2"/>
  <c r="A493" i="2"/>
  <c r="A491" i="2"/>
  <c r="A488" i="2"/>
  <c r="A487" i="2"/>
  <c r="A485" i="2"/>
  <c r="A495" i="2"/>
  <c r="A494" i="2"/>
  <c r="A490" i="2"/>
  <c r="A489" i="2"/>
  <c r="A486" i="2"/>
  <c r="A496" i="2"/>
  <c r="A576" i="3"/>
  <c r="A566" i="3"/>
  <c r="A569" i="3"/>
  <c r="A568" i="3"/>
  <c r="A574" i="3"/>
  <c r="A575" i="3"/>
  <c r="A573" i="3"/>
  <c r="A572" i="3"/>
  <c r="A571" i="3"/>
  <c r="A567" i="3"/>
  <c r="A578" i="3"/>
  <c r="A565" i="3"/>
  <c r="A577" i="3"/>
  <c r="A570" i="3"/>
  <c r="A584" i="4"/>
  <c r="A587" i="4"/>
  <c r="A586" i="4"/>
  <c r="A590" i="4"/>
  <c r="A589" i="4"/>
  <c r="A588" i="4"/>
  <c r="A583" i="4"/>
  <c r="A592" i="4"/>
  <c r="A580" i="4"/>
  <c r="A579" i="4"/>
  <c r="A591" i="4"/>
  <c r="A585" i="4"/>
  <c r="A582" i="4"/>
  <c r="A581" i="4"/>
  <c r="A586" i="3" l="1"/>
  <c r="A589" i="3"/>
  <c r="A579" i="3"/>
  <c r="A585" i="3"/>
  <c r="A587" i="3"/>
  <c r="A584" i="3"/>
  <c r="A583" i="3"/>
  <c r="A582" i="3"/>
  <c r="A581" i="3"/>
  <c r="A592" i="3"/>
  <c r="A591" i="3"/>
  <c r="A590" i="3"/>
  <c r="A580" i="3"/>
  <c r="A588" i="3"/>
  <c r="A604" i="4"/>
  <c r="A594" i="4"/>
  <c r="A597" i="4"/>
  <c r="A606" i="4"/>
  <c r="A596" i="4"/>
  <c r="A601" i="4"/>
  <c r="A600" i="4"/>
  <c r="A599" i="4"/>
  <c r="A598" i="4"/>
  <c r="A595" i="4"/>
  <c r="A605" i="4"/>
  <c r="A593" i="4"/>
  <c r="A603" i="4"/>
  <c r="A602" i="4"/>
  <c r="A502" i="2"/>
  <c r="A503" i="2"/>
  <c r="A499" i="2"/>
  <c r="A508" i="2"/>
  <c r="A506" i="2"/>
  <c r="A505" i="2"/>
  <c r="A507" i="2"/>
  <c r="A504" i="2"/>
  <c r="A500" i="2"/>
  <c r="A501" i="2"/>
  <c r="A498" i="2"/>
  <c r="A497" i="2"/>
  <c r="A614" i="5"/>
  <c r="A617" i="5"/>
  <c r="A607" i="5"/>
  <c r="A613" i="5"/>
  <c r="A619" i="5"/>
  <c r="A608" i="5"/>
  <c r="A618" i="5"/>
  <c r="A616" i="5"/>
  <c r="A620" i="5"/>
  <c r="A615" i="5"/>
  <c r="A612" i="5"/>
  <c r="A610" i="5"/>
  <c r="A609" i="5"/>
  <c r="A611" i="5"/>
  <c r="A616" i="4" l="1"/>
  <c r="A614" i="4"/>
  <c r="A619" i="4"/>
  <c r="A607" i="4"/>
  <c r="A617" i="4"/>
  <c r="A613" i="4"/>
  <c r="A612" i="4"/>
  <c r="A611" i="4"/>
  <c r="A610" i="4"/>
  <c r="A620" i="4"/>
  <c r="A608" i="4"/>
  <c r="A618" i="4"/>
  <c r="A615" i="4"/>
  <c r="A609" i="4"/>
  <c r="A512" i="2"/>
  <c r="A514" i="2"/>
  <c r="A520" i="2"/>
  <c r="A509" i="2"/>
  <c r="A516" i="2"/>
  <c r="A519" i="2"/>
  <c r="A518" i="2"/>
  <c r="A517" i="2"/>
  <c r="A513" i="2"/>
  <c r="A515" i="2"/>
  <c r="A510" i="2"/>
  <c r="A511" i="2"/>
  <c r="A634" i="5"/>
  <c r="A624" i="5"/>
  <c r="A627" i="5"/>
  <c r="A630" i="5"/>
  <c r="A629" i="5"/>
  <c r="A628" i="5"/>
  <c r="A621" i="5"/>
  <c r="A633" i="5"/>
  <c r="A632" i="5"/>
  <c r="A631" i="5"/>
  <c r="A626" i="5"/>
  <c r="A625" i="5"/>
  <c r="A623" i="5"/>
  <c r="A622" i="5"/>
  <c r="A606" i="3"/>
  <c r="A596" i="3"/>
  <c r="A599" i="3"/>
  <c r="A598" i="3"/>
  <c r="A597" i="3"/>
  <c r="A595" i="3"/>
  <c r="A605" i="3"/>
  <c r="A594" i="3"/>
  <c r="A603" i="3"/>
  <c r="A602" i="3"/>
  <c r="A601" i="3"/>
  <c r="A593" i="3"/>
  <c r="A604" i="3"/>
  <c r="A600" i="3"/>
  <c r="A644" i="5" l="1"/>
  <c r="A647" i="5"/>
  <c r="A637" i="5"/>
  <c r="A648" i="5"/>
  <c r="A646" i="5"/>
  <c r="A635" i="5"/>
  <c r="A641" i="5"/>
  <c r="A640" i="5"/>
  <c r="A639" i="5"/>
  <c r="A645" i="5"/>
  <c r="A642" i="5"/>
  <c r="A643" i="5"/>
  <c r="A638" i="5"/>
  <c r="A636" i="5"/>
  <c r="A532" i="2"/>
  <c r="A522" i="2"/>
  <c r="A524" i="2"/>
  <c r="A523" i="2"/>
  <c r="A531" i="2"/>
  <c r="A530" i="2"/>
  <c r="A529" i="2"/>
  <c r="A527" i="2"/>
  <c r="A526" i="2"/>
  <c r="A521" i="2"/>
  <c r="A528" i="2"/>
  <c r="A525" i="2"/>
  <c r="A626" i="4"/>
  <c r="A628" i="4"/>
  <c r="A627" i="4"/>
  <c r="A625" i="4"/>
  <c r="A624" i="4"/>
  <c r="A623" i="4"/>
  <c r="A634" i="4"/>
  <c r="A622" i="4"/>
  <c r="A633" i="4"/>
  <c r="A632" i="4"/>
  <c r="A631" i="4"/>
  <c r="A630" i="4"/>
  <c r="A629" i="4"/>
  <c r="A621" i="4"/>
  <c r="A616" i="3"/>
  <c r="A619" i="3"/>
  <c r="A609" i="3"/>
  <c r="A618" i="3"/>
  <c r="A607" i="3"/>
  <c r="A617" i="3"/>
  <c r="A610" i="3"/>
  <c r="A608" i="3"/>
  <c r="A620" i="3"/>
  <c r="A615" i="3"/>
  <c r="A613" i="3"/>
  <c r="A612" i="3"/>
  <c r="A614" i="3"/>
  <c r="A611" i="3"/>
  <c r="A542" i="2" l="1"/>
  <c r="A535" i="2"/>
  <c r="A544" i="2"/>
  <c r="A533" i="2"/>
  <c r="A543" i="2"/>
  <c r="A541" i="2"/>
  <c r="A537" i="2"/>
  <c r="A536" i="2"/>
  <c r="A534" i="2"/>
  <c r="A540" i="2"/>
  <c r="A538" i="2"/>
  <c r="A539" i="2"/>
  <c r="A626" i="3"/>
  <c r="A629" i="3"/>
  <c r="A630" i="3"/>
  <c r="A628" i="3"/>
  <c r="A627" i="3"/>
  <c r="A622" i="3"/>
  <c r="A634" i="3"/>
  <c r="A621" i="3"/>
  <c r="A633" i="3"/>
  <c r="A632" i="3"/>
  <c r="A631" i="3"/>
  <c r="A625" i="3"/>
  <c r="A624" i="3"/>
  <c r="A623" i="3"/>
  <c r="A646" i="4"/>
  <c r="A636" i="4"/>
  <c r="A635" i="4"/>
  <c r="A640" i="4"/>
  <c r="A638" i="4"/>
  <c r="A648" i="4"/>
  <c r="A637" i="4"/>
  <c r="A647" i="4"/>
  <c r="A644" i="4"/>
  <c r="A643" i="4"/>
  <c r="A642" i="4"/>
  <c r="A641" i="4"/>
  <c r="A645" i="4"/>
  <c r="A639" i="4"/>
  <c r="A654" i="5"/>
  <c r="A657" i="5"/>
  <c r="A659" i="5"/>
  <c r="A658" i="5"/>
  <c r="A652" i="5"/>
  <c r="A662" i="5"/>
  <c r="A651" i="5"/>
  <c r="A661" i="5"/>
  <c r="A650" i="5"/>
  <c r="A649" i="5"/>
  <c r="A660" i="5"/>
  <c r="A656" i="5"/>
  <c r="A655" i="5"/>
  <c r="A653" i="5"/>
  <c r="A646" i="3" l="1"/>
  <c r="A636" i="3"/>
  <c r="A639" i="3"/>
  <c r="A641" i="3"/>
  <c r="A638" i="3"/>
  <c r="A635" i="3"/>
  <c r="A647" i="3"/>
  <c r="A645" i="3"/>
  <c r="A644" i="3"/>
  <c r="A643" i="3"/>
  <c r="A637" i="3"/>
  <c r="A648" i="3"/>
  <c r="A642" i="3"/>
  <c r="A640" i="3"/>
  <c r="A674" i="5"/>
  <c r="A664" i="5"/>
  <c r="A667" i="5"/>
  <c r="A670" i="5"/>
  <c r="A669" i="5"/>
  <c r="A668" i="5"/>
  <c r="A675" i="5"/>
  <c r="A663" i="5"/>
  <c r="A673" i="5"/>
  <c r="A672" i="5"/>
  <c r="A671" i="5"/>
  <c r="A666" i="5"/>
  <c r="A665" i="5"/>
  <c r="A656" i="4"/>
  <c r="A661" i="4"/>
  <c r="A649" i="4"/>
  <c r="A659" i="4"/>
  <c r="A658" i="4"/>
  <c r="A662" i="4"/>
  <c r="A650" i="4"/>
  <c r="A660" i="4"/>
  <c r="A655" i="4"/>
  <c r="A654" i="4"/>
  <c r="A652" i="4"/>
  <c r="A657" i="4"/>
  <c r="A653" i="4"/>
  <c r="A651" i="4"/>
  <c r="A552" i="2"/>
  <c r="A556" i="2"/>
  <c r="A545" i="2"/>
  <c r="A554" i="2"/>
  <c r="A551" i="2"/>
  <c r="A550" i="2"/>
  <c r="A548" i="2"/>
  <c r="A547" i="2"/>
  <c r="A549" i="2"/>
  <c r="A546" i="2"/>
  <c r="A555" i="2"/>
  <c r="A553" i="2"/>
  <c r="A656" i="3" l="1"/>
  <c r="A659" i="3"/>
  <c r="A649" i="3"/>
  <c r="A657" i="3"/>
  <c r="A652" i="3"/>
  <c r="A660" i="3"/>
  <c r="A658" i="3"/>
  <c r="A655" i="3"/>
  <c r="A654" i="3"/>
  <c r="A653" i="3"/>
  <c r="A651" i="3"/>
  <c r="A662" i="3"/>
  <c r="A650" i="3"/>
  <c r="A661" i="3"/>
  <c r="A666" i="4"/>
  <c r="A667" i="4"/>
  <c r="A670" i="4"/>
  <c r="A669" i="4"/>
  <c r="A674" i="4"/>
  <c r="A673" i="4"/>
  <c r="A672" i="4"/>
  <c r="A671" i="4"/>
  <c r="A668" i="4"/>
  <c r="A664" i="4"/>
  <c r="A663" i="4"/>
  <c r="A675" i="4"/>
  <c r="A665" i="4"/>
  <c r="A562" i="2"/>
  <c r="A566" i="2"/>
  <c r="A565" i="2"/>
  <c r="A564" i="2"/>
  <c r="A563" i="2"/>
  <c r="A558" i="2"/>
  <c r="A568" i="2"/>
  <c r="A561" i="2"/>
  <c r="A560" i="2"/>
  <c r="A559" i="2"/>
  <c r="A557" i="2"/>
  <c r="A567" i="2"/>
  <c r="A572" i="2" l="1"/>
  <c r="A577" i="2"/>
  <c r="A575" i="2"/>
  <c r="A573" i="2"/>
  <c r="A571" i="2"/>
  <c r="A569" i="2"/>
  <c r="A579" i="2"/>
  <c r="A578" i="2"/>
  <c r="A576" i="2"/>
  <c r="A574" i="2"/>
  <c r="A570" i="2"/>
  <c r="A666" i="3"/>
  <c r="A669" i="3"/>
  <c r="A668" i="3"/>
  <c r="A674" i="3"/>
  <c r="A663" i="3"/>
  <c r="A672" i="3"/>
  <c r="A671" i="3"/>
  <c r="A670" i="3"/>
  <c r="A667" i="3"/>
  <c r="A665" i="3"/>
  <c r="A675" i="3"/>
  <c r="A664" i="3"/>
  <c r="A67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Шаблон</author>
  </authors>
  <commentList>
    <comment ref="O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Только для 8.2.1 лобби</t>
        </r>
      </text>
    </comment>
    <comment ref="Q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Введите дату начала работ</t>
        </r>
      </text>
    </comment>
    <comment ref="R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Введите дату окончания работ</t>
        </r>
      </text>
    </comment>
    <comment ref="V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По умолчанию = авто.
Можно перезаписать вручную.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Шаблон</author>
    <author>SIGNAL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Замените на =TODAY()</t>
        </r>
      </text>
    </comment>
    <comment ref="B2" authorId="1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ИСТИНА = карточка активна.
ЛОЖЬ = скрыта.</t>
        </r>
      </text>
    </comment>
    <comment ref="B7" authorId="1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ИСТИНА = гистограмма.
ЛОЖЬ = линейный график.</t>
        </r>
      </text>
    </comment>
    <comment ref="B8" authorId="1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ИСТИНА = по месяцам.
ЛОЖЬ = понедельно.</t>
        </r>
      </text>
    </comment>
    <comment ref="B12" authorId="1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ИСТИНА = фильтр по дате.
ЛОЖЬ = все данные.</t>
        </r>
      </text>
    </comment>
  </commentList>
</comments>
</file>

<file path=xl/sharedStrings.xml><?xml version="1.0" encoding="utf-8"?>
<sst xmlns="http://schemas.openxmlformats.org/spreadsheetml/2006/main" count="9347" uniqueCount="178">
  <si>
    <t>СПРАВОЧНИК КАТЕГОРИЙ ОТДЕЛКИ</t>
  </si>
  <si>
    <t>Код</t>
  </si>
  <si>
    <t>Часть</t>
  </si>
  <si>
    <t>Название</t>
  </si>
  <si>
    <t>План м²</t>
  </si>
  <si>
    <t>Вес черн.</t>
  </si>
  <si>
    <t>Вес чист.</t>
  </si>
  <si>
    <t>∑ весов</t>
  </si>
  <si>
    <t>Черн:Пол</t>
  </si>
  <si>
    <t>Черн:Стены</t>
  </si>
  <si>
    <t>Черн:Потолок</t>
  </si>
  <si>
    <t>∑ черн.</t>
  </si>
  <si>
    <t>Чист:Пол</t>
  </si>
  <si>
    <t>Чист:Стены</t>
  </si>
  <si>
    <t>Чист:Потолок</t>
  </si>
  <si>
    <t>Чист:Мебл.</t>
  </si>
  <si>
    <t>∑ чист.</t>
  </si>
  <si>
    <t>Начало</t>
  </si>
  <si>
    <t>Окончание</t>
  </si>
  <si>
    <t>Длит.(дни)</t>
  </si>
  <si>
    <t>Труд-proxy</t>
  </si>
  <si>
    <t>Вес ур.3 (авто)</t>
  </si>
  <si>
    <t>Вес ур.3</t>
  </si>
  <si>
    <t>Глоб. вес</t>
  </si>
  <si>
    <t>8.1.1</t>
  </si>
  <si>
    <t>Подзем.</t>
  </si>
  <si>
    <t>Отделка паркинг и рампы</t>
  </si>
  <si>
    <t>8.1.2</t>
  </si>
  <si>
    <t>Отделка эвакуац. лестн. клетки подзем.</t>
  </si>
  <si>
    <t>8.1.3</t>
  </si>
  <si>
    <t>Лифт. холлы, тамбур-шлюзы подзем.</t>
  </si>
  <si>
    <t>8.1.4</t>
  </si>
  <si>
    <t>Технич. помещения подзем.</t>
  </si>
  <si>
    <t>8.1.5</t>
  </si>
  <si>
    <t>Прочие помещения подзем.</t>
  </si>
  <si>
    <t>8.1.6</t>
  </si>
  <si>
    <t>Коммерч. помещения подзем.</t>
  </si>
  <si>
    <t>8.2.1</t>
  </si>
  <si>
    <t>Надзем.</t>
  </si>
  <si>
    <t>Отделка лобби/гранд-лобби</t>
  </si>
  <si>
    <t>8.2.2</t>
  </si>
  <si>
    <t>Отделка эвакуац. лестн. клетки надзем.</t>
  </si>
  <si>
    <t>8.2.3</t>
  </si>
  <si>
    <t>Лифт. холлы, тамбур-шлюзы надзем.</t>
  </si>
  <si>
    <t>8.2.4</t>
  </si>
  <si>
    <t>Технич. помещения надзем.</t>
  </si>
  <si>
    <t>8.2.5</t>
  </si>
  <si>
    <t>Прочие помещения надзем.</t>
  </si>
  <si>
    <t>8.2.6</t>
  </si>
  <si>
    <t>Коммерч. помещения надзем.</t>
  </si>
  <si>
    <t>8.2.7</t>
  </si>
  <si>
    <t>Паркинг и рампы надзем.</t>
  </si>
  <si>
    <t>АГРЕГАЦИЯ ПО УРОВНЯМ (ур.3 → ур.2 → ур.1)</t>
  </si>
  <si>
    <t>8.1</t>
  </si>
  <si>
    <t>Подземная часть</t>
  </si>
  <si>
    <t>8.2</t>
  </si>
  <si>
    <t>Надземная часть</t>
  </si>
  <si>
    <t>✓ ∑ вес ур.3 подзем.</t>
  </si>
  <si>
    <t>✓ ∑ вес ур.3 надзем.</t>
  </si>
  <si>
    <t>✓ ∑ вес ур.2</t>
  </si>
  <si>
    <t>✓ ∑ глоб. вес</t>
  </si>
  <si>
    <t>РАСПРЕДЕЛЕНИЕ НАДЗЕМНОЙ ЧАСТИ ПО КОРПУСАМ</t>
  </si>
  <si>
    <t>Корпус</t>
  </si>
  <si>
    <t>Σ план</t>
  </si>
  <si>
    <t>Вес корп.(авто)</t>
  </si>
  <si>
    <t>Вес корп.</t>
  </si>
  <si>
    <t>К1</t>
  </si>
  <si>
    <t>К2</t>
  </si>
  <si>
    <t>К3</t>
  </si>
  <si>
    <t>✓ ∑ вес корп.</t>
  </si>
  <si>
    <t>Дата начала проекта</t>
  </si>
  <si>
    <t>ВВОД ДАННЫХ — ВВОД ПОДЗЕМ</t>
  </si>
  <si>
    <t>Вводите м². Серые столбцы A-D не редактируйте.</t>
  </si>
  <si>
    <t>Дата</t>
  </si>
  <si>
    <t>Тип</t>
  </si>
  <si>
    <t>Категория</t>
  </si>
  <si>
    <t>Пол</t>
  </si>
  <si>
    <t>Стены</t>
  </si>
  <si>
    <t>Потолок</t>
  </si>
  <si>
    <t>Мебл.</t>
  </si>
  <si>
    <t>✓</t>
  </si>
  <si>
    <t>Черновая</t>
  </si>
  <si>
    <t>Чистовая</t>
  </si>
  <si>
    <t>ВВОД ДАННЫХ — ВВОД К1</t>
  </si>
  <si>
    <t>ВВОД ДАННЫХ — ВВОД К2</t>
  </si>
  <si>
    <t>ВВОД ДАННЫХ — ВВОД К3</t>
  </si>
  <si>
    <t>ПЛАН ЧЕРН ПОДЗЕМ</t>
  </si>
  <si>
    <t>Итого подзем.</t>
  </si>
  <si>
    <t>8.1.1 Отделка паркинг и рампы</t>
  </si>
  <si>
    <t>8.1.2 Отделка эвакуац. лестн. клетки подзем.</t>
  </si>
  <si>
    <t>8.1.3 Лифт. холлы, тамбур-шлюзы подзем.</t>
  </si>
  <si>
    <t>8.1.4 Технич. помещения подзем.</t>
  </si>
  <si>
    <t>8.1.5 Прочие помещения подзем.</t>
  </si>
  <si>
    <t>8.1.6 Коммерч. помещения подзем.</t>
  </si>
  <si>
    <t>ПЛАН ЧИСТ ПОДЗЕМ</t>
  </si>
  <si>
    <t>ПЛАН ЧЕРН К1</t>
  </si>
  <si>
    <t>Итого К1</t>
  </si>
  <si>
    <t>8.2.1 Отделка лобби/гранд-лобби</t>
  </si>
  <si>
    <t>8.2.2 Отделка эвакуац. лестн. клетки надзем.</t>
  </si>
  <si>
    <t>8.2.3 Лифт. холлы, тамбур-шлюзы надзем.</t>
  </si>
  <si>
    <t>8.2.4 Технич. помещения надзем.</t>
  </si>
  <si>
    <t>8.2.5 Прочие помещения надзем.</t>
  </si>
  <si>
    <t>8.2.6 Коммерч. помещения надзем.</t>
  </si>
  <si>
    <t>8.2.7 Паркинг и рампы надзем.</t>
  </si>
  <si>
    <t>ПЛАН ЧИСТ К1</t>
  </si>
  <si>
    <t>ПЛАН ЧЕРН К2</t>
  </si>
  <si>
    <t>Итого К2</t>
  </si>
  <si>
    <t>ПЛАН ЧИСТ К2</t>
  </si>
  <si>
    <t>ПЛАН ЧЕРН К3</t>
  </si>
  <si>
    <t>Итого К3</t>
  </si>
  <si>
    <t>ПЛАН ЧИСТ К3</t>
  </si>
  <si>
    <t>ФАКТ ЧЕРН ПОДЗЕМ</t>
  </si>
  <si>
    <t>ФАКТ ЧИСТ ПОДЗЕМ</t>
  </si>
  <si>
    <t>ФАКТ ЧЕРН К1</t>
  </si>
  <si>
    <t>ФАКТ ЧИСТ К1</t>
  </si>
  <si>
    <t>ФАКТ ЧЕРН К2</t>
  </si>
  <si>
    <t>ФАКТ ЧИСТ К2</t>
  </si>
  <si>
    <t>ФАКТ ЧЕРН К3</t>
  </si>
  <si>
    <t>ФАКТ ЧИСТ К3</t>
  </si>
  <si>
    <t>ОТЧЁТ ПО ОТДЕЛОЧНЫМ РАБОТАМ</t>
  </si>
  <si>
    <t>⚠ Автоматический. Не вносите данные напрямую.</t>
  </si>
  <si>
    <t>ПОДЗЕМНАЯ ЧАСТЬ</t>
  </si>
  <si>
    <t>Вес ур.4</t>
  </si>
  <si>
    <t>Вес ур.5</t>
  </si>
  <si>
    <t>Факт м²</t>
  </si>
  <si>
    <t>Факт %</t>
  </si>
  <si>
    <t>Взвеш. %</t>
  </si>
  <si>
    <t>Главная</t>
  </si>
  <si>
    <t xml:space="preserve">   Пол</t>
  </si>
  <si>
    <t>Вид</t>
  </si>
  <si>
    <t xml:space="preserve">   Стены</t>
  </si>
  <si>
    <t xml:space="preserve">   Потолок</t>
  </si>
  <si>
    <t>✓ Сумма весов ур.4</t>
  </si>
  <si>
    <t>НАДЗЕМНАЯ ЧАСТЬ — К1</t>
  </si>
  <si>
    <t xml:space="preserve">   Мебл.</t>
  </si>
  <si>
    <t>НАДЗЕМНАЯ ЧАСТЬ — К2</t>
  </si>
  <si>
    <t>НАДЗЕМНАЯ ЧАСТЬ — К3</t>
  </si>
  <si>
    <t>АГРЕГАЦИЯ: УРОВЕНЬ 3 → УРОВЕНЬ 2 → УРОВЕНЬ 1</t>
  </si>
  <si>
    <t>Вес</t>
  </si>
  <si>
    <t>Надземная К1</t>
  </si>
  <si>
    <t>Надземная К2</t>
  </si>
  <si>
    <t>Надземная К3</t>
  </si>
  <si>
    <t>Надземная часть (все корпуса)</t>
  </si>
  <si>
    <t>8</t>
  </si>
  <si>
    <t>ОТДЕЛКА — ОБЩИЙ %</t>
  </si>
  <si>
    <t>Дата отчета</t>
  </si>
  <si>
    <t>Заголовок</t>
  </si>
  <si>
    <t>План-факт по объемам</t>
  </si>
  <si>
    <t>Статус</t>
  </si>
  <si>
    <t>true</t>
  </si>
  <si>
    <t>Url изображения</t>
  </si>
  <si>
    <t>planFact2</t>
  </si>
  <si>
    <t>Гистограмма</t>
  </si>
  <si>
    <t>false</t>
  </si>
  <si>
    <t>По месяцам</t>
  </si>
  <si>
    <t>Всего</t>
  </si>
  <si>
    <t>8.1 Подземная часть: Общий</t>
  </si>
  <si>
    <t>8.1 Подземная часть: Черновая</t>
  </si>
  <si>
    <t>8.1 Подземная часть: Чистовая</t>
  </si>
  <si>
    <t>8.2 Надземная К1: Общий</t>
  </si>
  <si>
    <t>8.2 Надземная К1: Черновая</t>
  </si>
  <si>
    <t>8.2 Надземная К1: Чистовая</t>
  </si>
  <si>
    <t>8.2 Надземная К2: Общий</t>
  </si>
  <si>
    <t>8.2 Надземная К2: Черновая</t>
  </si>
  <si>
    <t>8.2 Надземная К2: Чистовая</t>
  </si>
  <si>
    <t>8.2 Надземная К3: Общий</t>
  </si>
  <si>
    <t>8.2 Надземная К3: Черновая</t>
  </si>
  <si>
    <t>8.2 Надземная К3: Чистовая</t>
  </si>
  <si>
    <t>8.2 Надзем. (все): Общий</t>
  </si>
  <si>
    <t>8.2 Надзем. (все): Черновая</t>
  </si>
  <si>
    <t>8.2 Надзем. (все): Чистовая</t>
  </si>
  <si>
    <t>8. Отделка общий: Общий</t>
  </si>
  <si>
    <t>8. Отделка общий: Черновая</t>
  </si>
  <si>
    <t>8. Отделка общий: Чистовая</t>
  </si>
  <si>
    <t>Ед. изм.</t>
  </si>
  <si>
    <t>м2</t>
  </si>
  <si>
    <t>Учитывать дату карточки</t>
  </si>
  <si>
    <t>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</si>
</sst>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000"/>
    <numFmt numFmtId="166" formatCode="yyyy\-mm\-dd\ h:mm:ss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204"/>
    </font>
    <font>
      <b/>
      <sz val="11"/>
      <name val="Calibri"/>
      <family val="2"/>
      <charset val="204"/>
    </font>
    <font>
      <b/>
      <sz val="12"/>
      <color rgb="FFFFFFFF"/>
      <name val="Calibri"/>
      <family val="2"/>
      <charset val="204"/>
    </font>
    <font>
      <b/>
      <sz val="11"/>
      <name val="Calibri"/>
      <family val="2"/>
      <charset val="204"/>
    </font>
    <font>
      <b/>
      <i/>
      <sz val="9"/>
      <name val="Calibri"/>
      <family val="2"/>
      <charset val="204"/>
    </font>
    <font>
      <i/>
      <sz val="11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i/>
      <sz val="11"/>
      <color rgb="FFFF0000"/>
      <name val="Calibri"/>
      <family val="2"/>
      <charset val="204"/>
    </font>
    <font>
      <b/>
      <sz val="12"/>
      <name val="Calibri"/>
      <family val="2"/>
      <charset val="204"/>
    </font>
    <font>
      <b/>
      <sz val="14"/>
      <name val="Calibri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B4C6E7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C5E0B4"/>
      </patternFill>
    </fill>
    <fill>
      <patternFill patternType="solid">
        <fgColor rgb="FFDAEEF3"/>
      </patternFill>
    </fill>
    <fill>
      <patternFill patternType="solid">
        <fgColor rgb="FFE8E8E8"/>
      </patternFill>
    </fill>
    <fill>
      <patternFill patternType="solid">
        <fgColor rgb="FFFFF2CC"/>
      </patternFill>
    </fill>
    <fill>
      <patternFill patternType="solid">
        <fgColor rgb="FFEAF0FB"/>
      </patternFill>
    </fill>
    <fill>
      <patternFill patternType="solid">
        <fgColor rgb="FFFFC7CE"/>
      </patternFill>
    </fill>
    <fill>
      <patternFill patternType="solid">
        <fgColor rgb="FFD9D2E9"/>
      </patternFill>
    </fill>
    <fill>
      <patternFill patternType="solid">
        <fgColor rgb="FFB4A7D6"/>
      </patternFill>
    </fill>
    <fill>
      <patternFill patternType="solid">
        <fgColor rgb="FFD6DCE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2" fontId="0" fillId="4" borderId="1" xfId="0" applyNumberFormat="1" applyFill="1" applyBorder="1"/>
    <xf numFmtId="164" fontId="0" fillId="5" borderId="1" xfId="0" applyNumberFormat="1" applyFill="1" applyBorder="1"/>
    <xf numFmtId="3" fontId="0" fillId="6" borderId="1" xfId="0" applyNumberFormat="1" applyFill="1" applyBorder="1"/>
    <xf numFmtId="165" fontId="0" fillId="6" borderId="1" xfId="0" applyNumberFormat="1" applyFill="1" applyBorder="1"/>
    <xf numFmtId="165" fontId="0" fillId="5" borderId="1" xfId="0" applyNumberFormat="1" applyFill="1" applyBorder="1"/>
    <xf numFmtId="10" fontId="0" fillId="6" borderId="1" xfId="0" applyNumberFormat="1" applyFill="1" applyBorder="1"/>
    <xf numFmtId="2" fontId="0" fillId="7" borderId="1" xfId="0" applyNumberFormat="1" applyFill="1" applyBorder="1"/>
    <xf numFmtId="0" fontId="4" fillId="0" borderId="1" xfId="0" applyFont="1" applyBorder="1"/>
    <xf numFmtId="0" fontId="0" fillId="0" borderId="1" xfId="0" applyBorder="1"/>
    <xf numFmtId="0" fontId="4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2" fillId="0" borderId="1" xfId="0" applyNumberFormat="1" applyFont="1" applyBorder="1"/>
    <xf numFmtId="164" fontId="0" fillId="0" borderId="1" xfId="0" applyNumberFormat="1" applyBorder="1"/>
    <xf numFmtId="3" fontId="0" fillId="0" borderId="1" xfId="0" applyNumberFormat="1" applyBorder="1"/>
    <xf numFmtId="165" fontId="2" fillId="0" borderId="1" xfId="0" applyNumberFormat="1" applyFont="1" applyBorder="1"/>
    <xf numFmtId="165" fontId="2" fillId="5" borderId="1" xfId="0" applyNumberFormat="1" applyFont="1" applyFill="1" applyBorder="1"/>
    <xf numFmtId="10" fontId="2" fillId="0" borderId="1" xfId="0" applyNumberFormat="1" applyFont="1" applyBorder="1"/>
    <xf numFmtId="0" fontId="5" fillId="0" borderId="0" xfId="0" applyFont="1" applyAlignment="1">
      <alignment horizontal="left" vertical="center" wrapText="1"/>
    </xf>
    <xf numFmtId="165" fontId="0" fillId="0" borderId="0" xfId="0" applyNumberFormat="1"/>
    <xf numFmtId="10" fontId="0" fillId="0" borderId="0" xfId="0" applyNumberFormat="1"/>
    <xf numFmtId="0" fontId="4" fillId="8" borderId="1" xfId="0" applyFont="1" applyFill="1" applyBorder="1" applyAlignment="1">
      <alignment horizontal="center" vertical="center" wrapText="1"/>
    </xf>
    <xf numFmtId="3" fontId="0" fillId="5" borderId="1" xfId="0" applyNumberFormat="1" applyFill="1" applyBorder="1"/>
    <xf numFmtId="3" fontId="2" fillId="6" borderId="1" xfId="0" applyNumberFormat="1" applyFont="1" applyFill="1" applyBorder="1"/>
    <xf numFmtId="165" fontId="2" fillId="6" borderId="1" xfId="0" applyNumberFormat="1" applyFont="1" applyFill="1" applyBorder="1"/>
    <xf numFmtId="164" fontId="0" fillId="10" borderId="1" xfId="0" applyNumberForma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left" vertical="center" wrapText="1"/>
    </xf>
    <xf numFmtId="4" fontId="0" fillId="5" borderId="1" xfId="0" applyNumberFormat="1" applyFill="1" applyBorder="1"/>
    <xf numFmtId="0" fontId="0" fillId="6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4" fontId="0" fillId="12" borderId="1" xfId="0" applyNumberFormat="1" applyFill="1" applyBorder="1"/>
    <xf numFmtId="4" fontId="0" fillId="11" borderId="1" xfId="0" applyNumberFormat="1" applyFill="1" applyBorder="1"/>
    <xf numFmtId="4" fontId="0" fillId="0" borderId="1" xfId="0" applyNumberFormat="1" applyBorder="1"/>
    <xf numFmtId="4" fontId="0" fillId="6" borderId="1" xfId="0" applyNumberFormat="1" applyFill="1" applyBorder="1"/>
    <xf numFmtId="0" fontId="2" fillId="0" borderId="1" xfId="0" applyFont="1" applyBorder="1" applyAlignment="1">
      <alignment horizontal="left" vertical="center" wrapText="1"/>
    </xf>
    <xf numFmtId="2" fontId="0" fillId="6" borderId="1" xfId="0" applyNumberFormat="1" applyFill="1" applyBorder="1"/>
    <xf numFmtId="0" fontId="0" fillId="0" borderId="1" xfId="0" applyBorder="1" applyAlignment="1">
      <alignment horizontal="left" vertical="center" wrapText="1"/>
    </xf>
    <xf numFmtId="2" fontId="0" fillId="0" borderId="0" xfId="0" applyNumberFormat="1"/>
    <xf numFmtId="0" fontId="0" fillId="3" borderId="1" xfId="0" applyFill="1" applyBorder="1"/>
    <xf numFmtId="0" fontId="4" fillId="14" borderId="1" xfId="0" applyFont="1" applyFill="1" applyBorder="1"/>
    <xf numFmtId="0" fontId="4" fillId="14" borderId="1" xfId="0" applyFont="1" applyFill="1" applyBorder="1" applyAlignment="1">
      <alignment horizontal="left" vertical="center" wrapText="1"/>
    </xf>
    <xf numFmtId="0" fontId="0" fillId="14" borderId="1" xfId="0" applyFill="1" applyBorder="1"/>
    <xf numFmtId="165" fontId="2" fillId="14" borderId="1" xfId="0" applyNumberFormat="1" applyFont="1" applyFill="1" applyBorder="1"/>
    <xf numFmtId="3" fontId="0" fillId="14" borderId="1" xfId="0" applyNumberFormat="1" applyFill="1" applyBorder="1"/>
    <xf numFmtId="10" fontId="2" fillId="14" borderId="1" xfId="0" applyNumberFormat="1" applyFont="1" applyFill="1" applyBorder="1"/>
    <xf numFmtId="0" fontId="4" fillId="8" borderId="1" xfId="0" applyFont="1" applyFill="1" applyBorder="1"/>
    <xf numFmtId="0" fontId="4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165" fontId="2" fillId="8" borderId="1" xfId="0" applyNumberFormat="1" applyFont="1" applyFill="1" applyBorder="1"/>
    <xf numFmtId="3" fontId="0" fillId="8" borderId="1" xfId="0" applyNumberFormat="1" applyFill="1" applyBorder="1"/>
    <xf numFmtId="10" fontId="2" fillId="8" borderId="1" xfId="0" applyNumberFormat="1" applyFont="1" applyFill="1" applyBorder="1"/>
    <xf numFmtId="0" fontId="4" fillId="15" borderId="1" xfId="0" applyFont="1" applyFill="1" applyBorder="1"/>
    <xf numFmtId="0" fontId="9" fillId="15" borderId="1" xfId="0" applyFont="1" applyFill="1" applyBorder="1" applyAlignment="1">
      <alignment horizontal="left" vertical="center" wrapText="1"/>
    </xf>
    <xf numFmtId="0" fontId="0" fillId="15" borderId="1" xfId="0" applyFill="1" applyBorder="1"/>
    <xf numFmtId="3" fontId="9" fillId="15" borderId="1" xfId="0" applyNumberFormat="1" applyFont="1" applyFill="1" applyBorder="1"/>
    <xf numFmtId="10" fontId="10" fillId="15" borderId="1" xfId="0" applyNumberFormat="1" applyFont="1" applyFill="1" applyBorder="1"/>
    <xf numFmtId="0" fontId="2" fillId="9" borderId="1" xfId="0" applyFont="1" applyFill="1" applyBorder="1" applyAlignment="1">
      <alignment horizontal="left" vertical="center" wrapText="1"/>
    </xf>
    <xf numFmtId="164" fontId="2" fillId="9" borderId="1" xfId="0" applyNumberFormat="1" applyFont="1" applyFill="1" applyBorder="1"/>
    <xf numFmtId="0" fontId="2" fillId="16" borderId="1" xfId="0" applyFont="1" applyFill="1" applyBorder="1" applyAlignment="1">
      <alignment horizontal="left" vertical="center" wrapText="1"/>
    </xf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166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2" fillId="7" borderId="1" xfId="0" applyFont="1" applyFill="1" applyBorder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0" fillId="17" borderId="1" xfId="0" applyFill="1" applyBorder="1"/>
  </cellXfs>
  <cellStyles count="1">
    <cellStyle name="Обычный" xfId="0" builtinId="0"/>
  </cellStyles>
  <dxfs count="91">
    <dxf>
      <fill>
        <patternFill patternType="solid">
          <fgColor rgb="FFFFFF99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W35"/>
  <sheetViews>
    <sheetView tabSelected="1" workbookViewId="0">
      <pane ySplit="2" topLeftCell="A3" activePane="bottomLeft" state="frozen"/>
      <selection pane="bottomLeft" activeCell="N26" sqref="N26"/>
    </sheetView>
  </sheetViews>
  <sheetFormatPr defaultRowHeight="15" x14ac:dyDescent="0.25"/>
  <cols>
    <col min="1" max="1" width="8" style="66" customWidth="1"/>
    <col min="2" max="2" width="16.140625" style="66" customWidth="1"/>
    <col min="3" max="3" width="48" style="66" customWidth="1"/>
    <col min="4" max="4" width="14" style="66" customWidth="1"/>
    <col min="5" max="16" width="13" style="66" customWidth="1"/>
    <col min="17" max="18" width="14" style="66" customWidth="1"/>
    <col min="19" max="19" width="12" style="66" customWidth="1"/>
    <col min="20" max="20" width="14" style="66" customWidth="1"/>
    <col min="21" max="21" width="16" style="66" customWidth="1"/>
    <col min="22" max="22" width="13" style="66" customWidth="1"/>
    <col min="23" max="23" width="12" style="66" customWidth="1"/>
  </cols>
  <sheetData>
    <row r="1" spans="1:23" x14ac:dyDescent="0.25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</row>
    <row r="2" spans="1:23" ht="29.1" customHeight="1" x14ac:dyDescent="0.25">
      <c r="A2" s="69" t="s">
        <v>1</v>
      </c>
      <c r="B2" s="69" t="s">
        <v>2</v>
      </c>
      <c r="C2" s="69" t="s">
        <v>3</v>
      </c>
      <c r="D2" s="69" t="s">
        <v>4</v>
      </c>
      <c r="E2" s="69" t="s">
        <v>5</v>
      </c>
      <c r="F2" s="69" t="s">
        <v>6</v>
      </c>
      <c r="G2" s="69" t="s">
        <v>7</v>
      </c>
      <c r="H2" s="69" t="s">
        <v>8</v>
      </c>
      <c r="I2" s="69" t="s">
        <v>9</v>
      </c>
      <c r="J2" s="69" t="s">
        <v>10</v>
      </c>
      <c r="K2" s="69" t="s">
        <v>11</v>
      </c>
      <c r="L2" s="69" t="s">
        <v>12</v>
      </c>
      <c r="M2" s="69" t="s">
        <v>13</v>
      </c>
      <c r="N2" s="69" t="s">
        <v>14</v>
      </c>
      <c r="O2" s="69" t="s">
        <v>15</v>
      </c>
      <c r="P2" s="69" t="s">
        <v>16</v>
      </c>
      <c r="Q2" s="69" t="s">
        <v>17</v>
      </c>
      <c r="R2" s="69" t="s">
        <v>18</v>
      </c>
      <c r="S2" s="69" t="s">
        <v>19</v>
      </c>
      <c r="T2" s="69" t="s">
        <v>20</v>
      </c>
      <c r="U2" s="69" t="s">
        <v>21</v>
      </c>
      <c r="V2" s="69" t="s">
        <v>22</v>
      </c>
      <c r="W2" s="69" t="s">
        <v>23</v>
      </c>
    </row>
    <row r="3" spans="1:23" x14ac:dyDescent="0.25">
      <c r="A3" s="68" t="s">
        <v>24</v>
      </c>
      <c r="B3" s="68" t="s">
        <v>25</v>
      </c>
      <c r="C3" s="68" t="s">
        <v>26</v>
      </c>
      <c r="D3" s="68">
        <v>0</v>
      </c>
      <c r="E3" s="68">
        <v>0.45</v>
      </c>
      <c r="F3" s="68">
        <v>0.55000000000000004</v>
      </c>
      <c r="G3" s="1">
        <f t="shared" ref="G3:G15" si="0">E3+F3</f>
        <v>1</v>
      </c>
      <c r="H3" s="68">
        <v>0.38</v>
      </c>
      <c r="I3" s="68">
        <v>0.41</v>
      </c>
      <c r="J3" s="68">
        <v>0.21</v>
      </c>
      <c r="K3" s="1">
        <f t="shared" ref="K3:K15" si="1">SUM(H3:J3)</f>
        <v>1</v>
      </c>
      <c r="L3" s="85">
        <v>0.52</v>
      </c>
      <c r="M3" s="85">
        <v>0.34</v>
      </c>
      <c r="N3" s="85">
        <v>0.14000000000000001</v>
      </c>
      <c r="O3" s="68">
        <v>0</v>
      </c>
      <c r="P3" s="1">
        <f t="shared" ref="P3:P15" si="2">SUM(L3:O3)</f>
        <v>1</v>
      </c>
      <c r="Q3" s="2"/>
      <c r="R3" s="2"/>
      <c r="S3" s="3">
        <f t="shared" ref="S3:S15" si="3">IF(OR(Q3="",R3=""),0,R3-Q3)</f>
        <v>0</v>
      </c>
      <c r="T3" s="3">
        <f t="shared" ref="T3:T15" si="4">S3*D3</f>
        <v>0</v>
      </c>
      <c r="U3" s="4">
        <f t="shared" ref="U3:U15" si="5">IFERROR(T3/SUMIF($B$3:$B$15,$B3,$T$3:$T$15),0)</f>
        <v>0</v>
      </c>
      <c r="V3" s="5">
        <f t="shared" ref="V3:V15" si="6">U3</f>
        <v>0</v>
      </c>
      <c r="W3" s="6">
        <f t="shared" ref="W3:W15" si="7">V3*IF($B3="Подзем.",$V$18,$V$19)</f>
        <v>0</v>
      </c>
    </row>
    <row r="4" spans="1:23" x14ac:dyDescent="0.25">
      <c r="A4" s="68" t="s">
        <v>27</v>
      </c>
      <c r="B4" s="68" t="s">
        <v>25</v>
      </c>
      <c r="C4" s="68" t="s">
        <v>28</v>
      </c>
      <c r="D4" s="68">
        <v>0</v>
      </c>
      <c r="E4" s="68">
        <v>0.33</v>
      </c>
      <c r="F4" s="68">
        <v>0.67</v>
      </c>
      <c r="G4" s="1">
        <f t="shared" si="0"/>
        <v>1</v>
      </c>
      <c r="H4" s="68">
        <v>0.2</v>
      </c>
      <c r="I4" s="68">
        <v>0.61</v>
      </c>
      <c r="J4" s="68">
        <v>0.19</v>
      </c>
      <c r="K4" s="1">
        <f t="shared" si="1"/>
        <v>1</v>
      </c>
      <c r="L4" s="85">
        <v>0.38</v>
      </c>
      <c r="M4" s="85">
        <v>0.35</v>
      </c>
      <c r="N4" s="85">
        <v>0.27</v>
      </c>
      <c r="O4" s="68">
        <v>0</v>
      </c>
      <c r="P4" s="1">
        <f t="shared" si="2"/>
        <v>1</v>
      </c>
      <c r="Q4" s="2"/>
      <c r="R4" s="2"/>
      <c r="S4" s="3">
        <f t="shared" si="3"/>
        <v>0</v>
      </c>
      <c r="T4" s="3">
        <f t="shared" si="4"/>
        <v>0</v>
      </c>
      <c r="U4" s="4">
        <f t="shared" si="5"/>
        <v>0</v>
      </c>
      <c r="V4" s="5">
        <f t="shared" si="6"/>
        <v>0</v>
      </c>
      <c r="W4" s="6">
        <f t="shared" si="7"/>
        <v>0</v>
      </c>
    </row>
    <row r="5" spans="1:23" x14ac:dyDescent="0.25">
      <c r="A5" s="68" t="s">
        <v>29</v>
      </c>
      <c r="B5" s="68" t="s">
        <v>25</v>
      </c>
      <c r="C5" s="68" t="s">
        <v>30</v>
      </c>
      <c r="D5" s="68">
        <v>0</v>
      </c>
      <c r="E5" s="68">
        <v>0.4</v>
      </c>
      <c r="F5" s="68">
        <v>0.6</v>
      </c>
      <c r="G5" s="1">
        <f t="shared" si="0"/>
        <v>1</v>
      </c>
      <c r="H5" s="68">
        <v>0.4</v>
      </c>
      <c r="I5" s="68">
        <v>0.3</v>
      </c>
      <c r="J5" s="68">
        <v>0.3</v>
      </c>
      <c r="K5" s="1">
        <f t="shared" si="1"/>
        <v>1</v>
      </c>
      <c r="L5" s="68">
        <v>0.2</v>
      </c>
      <c r="M5" s="68">
        <v>0.6</v>
      </c>
      <c r="N5" s="68">
        <v>0.2</v>
      </c>
      <c r="O5" s="68">
        <v>0</v>
      </c>
      <c r="P5" s="1">
        <f t="shared" si="2"/>
        <v>1</v>
      </c>
      <c r="Q5" s="2"/>
      <c r="R5" s="2"/>
      <c r="S5" s="3">
        <f t="shared" si="3"/>
        <v>0</v>
      </c>
      <c r="T5" s="3">
        <f t="shared" si="4"/>
        <v>0</v>
      </c>
      <c r="U5" s="4">
        <f t="shared" si="5"/>
        <v>0</v>
      </c>
      <c r="V5" s="5">
        <f t="shared" si="6"/>
        <v>0</v>
      </c>
      <c r="W5" s="6">
        <f t="shared" si="7"/>
        <v>0</v>
      </c>
    </row>
    <row r="6" spans="1:23" x14ac:dyDescent="0.25">
      <c r="A6" s="68" t="s">
        <v>31</v>
      </c>
      <c r="B6" s="68" t="s">
        <v>25</v>
      </c>
      <c r="C6" s="68" t="s">
        <v>32</v>
      </c>
      <c r="D6" s="68">
        <v>0</v>
      </c>
      <c r="E6" s="68">
        <v>0.32</v>
      </c>
      <c r="F6" s="68">
        <v>0.68</v>
      </c>
      <c r="G6" s="1">
        <f t="shared" si="0"/>
        <v>1</v>
      </c>
      <c r="H6" s="68">
        <v>0.3</v>
      </c>
      <c r="I6" s="68">
        <v>0.52</v>
      </c>
      <c r="J6" s="68">
        <v>0.18</v>
      </c>
      <c r="K6" s="1">
        <f t="shared" si="1"/>
        <v>1</v>
      </c>
      <c r="L6" s="85">
        <v>0.39</v>
      </c>
      <c r="M6" s="85">
        <v>0.45</v>
      </c>
      <c r="N6" s="85">
        <v>0.16</v>
      </c>
      <c r="O6" s="68">
        <v>0</v>
      </c>
      <c r="P6" s="1">
        <f t="shared" si="2"/>
        <v>1</v>
      </c>
      <c r="Q6" s="2"/>
      <c r="R6" s="2"/>
      <c r="S6" s="3">
        <f t="shared" si="3"/>
        <v>0</v>
      </c>
      <c r="T6" s="3">
        <f t="shared" si="4"/>
        <v>0</v>
      </c>
      <c r="U6" s="4">
        <f t="shared" si="5"/>
        <v>0</v>
      </c>
      <c r="V6" s="5">
        <f t="shared" si="6"/>
        <v>0</v>
      </c>
      <c r="W6" s="6">
        <f t="shared" si="7"/>
        <v>0</v>
      </c>
    </row>
    <row r="7" spans="1:23" x14ac:dyDescent="0.25">
      <c r="A7" s="68" t="s">
        <v>33</v>
      </c>
      <c r="B7" s="68" t="s">
        <v>25</v>
      </c>
      <c r="C7" s="68" t="s">
        <v>34</v>
      </c>
      <c r="D7" s="68">
        <v>0</v>
      </c>
      <c r="E7" s="68">
        <v>0.4</v>
      </c>
      <c r="F7" s="68">
        <v>0.6</v>
      </c>
      <c r="G7" s="1">
        <f t="shared" si="0"/>
        <v>1</v>
      </c>
      <c r="H7" s="68">
        <v>0.31</v>
      </c>
      <c r="I7" s="68">
        <v>0.49</v>
      </c>
      <c r="J7" s="68">
        <v>0.2</v>
      </c>
      <c r="K7" s="1">
        <f t="shared" si="1"/>
        <v>1</v>
      </c>
      <c r="L7" s="85">
        <v>0.4</v>
      </c>
      <c r="M7" s="85">
        <v>0.48</v>
      </c>
      <c r="N7" s="85">
        <v>0.12</v>
      </c>
      <c r="O7" s="68">
        <v>0</v>
      </c>
      <c r="P7" s="1">
        <f t="shared" si="2"/>
        <v>1</v>
      </c>
      <c r="Q7" s="2"/>
      <c r="R7" s="2"/>
      <c r="S7" s="3">
        <f t="shared" si="3"/>
        <v>0</v>
      </c>
      <c r="T7" s="3">
        <f t="shared" si="4"/>
        <v>0</v>
      </c>
      <c r="U7" s="4">
        <f t="shared" si="5"/>
        <v>0</v>
      </c>
      <c r="V7" s="5">
        <f t="shared" si="6"/>
        <v>0</v>
      </c>
      <c r="W7" s="6">
        <f t="shared" si="7"/>
        <v>0</v>
      </c>
    </row>
    <row r="8" spans="1:23" x14ac:dyDescent="0.25">
      <c r="A8" s="68" t="s">
        <v>35</v>
      </c>
      <c r="B8" s="68" t="s">
        <v>25</v>
      </c>
      <c r="C8" s="68" t="s">
        <v>36</v>
      </c>
      <c r="D8" s="68">
        <v>0</v>
      </c>
      <c r="E8" s="68">
        <v>0.5</v>
      </c>
      <c r="F8" s="68">
        <v>0.5</v>
      </c>
      <c r="G8" s="1">
        <f t="shared" si="0"/>
        <v>1</v>
      </c>
      <c r="H8" s="68">
        <v>0.3</v>
      </c>
      <c r="I8" s="68">
        <v>0.69</v>
      </c>
      <c r="J8" s="68">
        <v>0.01</v>
      </c>
      <c r="K8" s="1">
        <f t="shared" si="1"/>
        <v>1</v>
      </c>
      <c r="L8" s="68">
        <v>0.2</v>
      </c>
      <c r="M8" s="68">
        <v>0.6</v>
      </c>
      <c r="N8" s="68">
        <v>0.2</v>
      </c>
      <c r="O8" s="68">
        <v>0</v>
      </c>
      <c r="P8" s="1">
        <f t="shared" si="2"/>
        <v>1</v>
      </c>
      <c r="Q8" s="2"/>
      <c r="R8" s="2"/>
      <c r="S8" s="3">
        <f t="shared" si="3"/>
        <v>0</v>
      </c>
      <c r="T8" s="3">
        <f t="shared" si="4"/>
        <v>0</v>
      </c>
      <c r="U8" s="4">
        <f t="shared" si="5"/>
        <v>0</v>
      </c>
      <c r="V8" s="5">
        <f t="shared" si="6"/>
        <v>0</v>
      </c>
      <c r="W8" s="6">
        <f t="shared" si="7"/>
        <v>0</v>
      </c>
    </row>
    <row r="9" spans="1:23" x14ac:dyDescent="0.25">
      <c r="A9" s="71" t="s">
        <v>37</v>
      </c>
      <c r="B9" s="71" t="s">
        <v>38</v>
      </c>
      <c r="C9" s="71" t="s">
        <v>39</v>
      </c>
      <c r="D9" s="71">
        <f>B28+B29+B30</f>
        <v>0</v>
      </c>
      <c r="E9" s="71">
        <v>0.4</v>
      </c>
      <c r="F9" s="71">
        <v>0.6</v>
      </c>
      <c r="G9" s="7">
        <f t="shared" si="0"/>
        <v>1</v>
      </c>
      <c r="H9" s="71">
        <v>0.2</v>
      </c>
      <c r="I9" s="71">
        <v>0.63</v>
      </c>
      <c r="J9" s="71">
        <v>0.17</v>
      </c>
      <c r="K9" s="7">
        <f t="shared" si="1"/>
        <v>1</v>
      </c>
      <c r="L9" s="71">
        <v>0.14000000000000001</v>
      </c>
      <c r="M9" s="71">
        <v>0.41</v>
      </c>
      <c r="N9" s="71">
        <v>0.36</v>
      </c>
      <c r="O9" s="71">
        <v>0.09</v>
      </c>
      <c r="P9" s="7">
        <f t="shared" si="2"/>
        <v>1</v>
      </c>
      <c r="Q9" s="2"/>
      <c r="R9" s="2"/>
      <c r="S9" s="3">
        <f t="shared" si="3"/>
        <v>0</v>
      </c>
      <c r="T9" s="3">
        <f t="shared" si="4"/>
        <v>0</v>
      </c>
      <c r="U9" s="4">
        <f t="shared" si="5"/>
        <v>0</v>
      </c>
      <c r="V9" s="5">
        <f t="shared" si="6"/>
        <v>0</v>
      </c>
      <c r="W9" s="6">
        <f t="shared" si="7"/>
        <v>0</v>
      </c>
    </row>
    <row r="10" spans="1:23" x14ac:dyDescent="0.25">
      <c r="A10" s="71" t="s">
        <v>40</v>
      </c>
      <c r="B10" s="71" t="s">
        <v>38</v>
      </c>
      <c r="C10" s="71" t="s">
        <v>41</v>
      </c>
      <c r="D10" s="71">
        <f>C28+C29+C30</f>
        <v>0</v>
      </c>
      <c r="E10" s="71">
        <v>0.33</v>
      </c>
      <c r="F10" s="71">
        <v>0.67</v>
      </c>
      <c r="G10" s="7">
        <f t="shared" si="0"/>
        <v>1</v>
      </c>
      <c r="H10" s="71">
        <v>0.2</v>
      </c>
      <c r="I10" s="71">
        <v>0.61</v>
      </c>
      <c r="J10" s="71">
        <v>0.19</v>
      </c>
      <c r="K10" s="7">
        <f t="shared" si="1"/>
        <v>1</v>
      </c>
      <c r="L10" s="85">
        <v>0.38</v>
      </c>
      <c r="M10" s="85">
        <v>0.35</v>
      </c>
      <c r="N10" s="85">
        <v>0.27</v>
      </c>
      <c r="O10" s="71">
        <v>0</v>
      </c>
      <c r="P10" s="7">
        <f t="shared" si="2"/>
        <v>1</v>
      </c>
      <c r="Q10" s="2"/>
      <c r="R10" s="2"/>
      <c r="S10" s="3">
        <f t="shared" si="3"/>
        <v>0</v>
      </c>
      <c r="T10" s="3">
        <f t="shared" si="4"/>
        <v>0</v>
      </c>
      <c r="U10" s="4">
        <f t="shared" si="5"/>
        <v>0</v>
      </c>
      <c r="V10" s="5">
        <f t="shared" si="6"/>
        <v>0</v>
      </c>
      <c r="W10" s="6">
        <f t="shared" si="7"/>
        <v>0</v>
      </c>
    </row>
    <row r="11" spans="1:23" x14ac:dyDescent="0.25">
      <c r="A11" s="71" t="s">
        <v>42</v>
      </c>
      <c r="B11" s="71" t="s">
        <v>38</v>
      </c>
      <c r="C11" s="71" t="s">
        <v>43</v>
      </c>
      <c r="D11" s="71">
        <f>D28+D29+D30</f>
        <v>0</v>
      </c>
      <c r="E11" s="71">
        <v>0.4</v>
      </c>
      <c r="F11" s="71">
        <v>0.6</v>
      </c>
      <c r="G11" s="7">
        <f t="shared" si="0"/>
        <v>1</v>
      </c>
      <c r="H11" s="71">
        <v>0.4</v>
      </c>
      <c r="I11" s="71">
        <v>0.3</v>
      </c>
      <c r="J11" s="71">
        <v>0.3</v>
      </c>
      <c r="K11" s="7">
        <f t="shared" si="1"/>
        <v>1</v>
      </c>
      <c r="L11" s="71">
        <v>0.2</v>
      </c>
      <c r="M11" s="71">
        <v>0.6</v>
      </c>
      <c r="N11" s="71">
        <v>0.2</v>
      </c>
      <c r="O11" s="71">
        <v>0</v>
      </c>
      <c r="P11" s="7">
        <f t="shared" si="2"/>
        <v>1</v>
      </c>
      <c r="Q11" s="2"/>
      <c r="R11" s="2"/>
      <c r="S11" s="3">
        <f t="shared" si="3"/>
        <v>0</v>
      </c>
      <c r="T11" s="3">
        <f t="shared" si="4"/>
        <v>0</v>
      </c>
      <c r="U11" s="4">
        <f t="shared" si="5"/>
        <v>0</v>
      </c>
      <c r="V11" s="5">
        <f t="shared" si="6"/>
        <v>0</v>
      </c>
      <c r="W11" s="6">
        <f t="shared" si="7"/>
        <v>0</v>
      </c>
    </row>
    <row r="12" spans="1:23" x14ac:dyDescent="0.25">
      <c r="A12" s="71" t="s">
        <v>44</v>
      </c>
      <c r="B12" s="71" t="s">
        <v>38</v>
      </c>
      <c r="C12" s="71" t="s">
        <v>45</v>
      </c>
      <c r="D12" s="71">
        <f>E28+E29+E30</f>
        <v>0</v>
      </c>
      <c r="E12" s="71">
        <v>0.32</v>
      </c>
      <c r="F12" s="71">
        <v>0.68</v>
      </c>
      <c r="G12" s="7">
        <f t="shared" si="0"/>
        <v>1</v>
      </c>
      <c r="H12" s="71">
        <v>0.3</v>
      </c>
      <c r="I12" s="71">
        <v>0.52</v>
      </c>
      <c r="J12" s="71">
        <v>0.18</v>
      </c>
      <c r="K12" s="7">
        <f t="shared" si="1"/>
        <v>1</v>
      </c>
      <c r="L12" s="85">
        <v>0.39</v>
      </c>
      <c r="M12" s="85">
        <v>0.45</v>
      </c>
      <c r="N12" s="85">
        <v>0.16</v>
      </c>
      <c r="O12" s="71">
        <v>0</v>
      </c>
      <c r="P12" s="7">
        <f t="shared" si="2"/>
        <v>1</v>
      </c>
      <c r="Q12" s="2"/>
      <c r="R12" s="2"/>
      <c r="S12" s="3">
        <f t="shared" si="3"/>
        <v>0</v>
      </c>
      <c r="T12" s="3">
        <f t="shared" si="4"/>
        <v>0</v>
      </c>
      <c r="U12" s="4">
        <f t="shared" si="5"/>
        <v>0</v>
      </c>
      <c r="V12" s="5">
        <f t="shared" si="6"/>
        <v>0</v>
      </c>
      <c r="W12" s="6">
        <f t="shared" si="7"/>
        <v>0</v>
      </c>
    </row>
    <row r="13" spans="1:23" x14ac:dyDescent="0.25">
      <c r="A13" s="71" t="s">
        <v>46</v>
      </c>
      <c r="B13" s="71" t="s">
        <v>38</v>
      </c>
      <c r="C13" s="71" t="s">
        <v>47</v>
      </c>
      <c r="D13" s="71">
        <f>F28+F29+F30</f>
        <v>0</v>
      </c>
      <c r="E13" s="71">
        <v>0.4</v>
      </c>
      <c r="F13" s="71">
        <v>0.6</v>
      </c>
      <c r="G13" s="7">
        <f t="shared" si="0"/>
        <v>1</v>
      </c>
      <c r="H13" s="71">
        <v>0.31</v>
      </c>
      <c r="I13" s="71">
        <v>0.49</v>
      </c>
      <c r="J13" s="71">
        <v>0.2</v>
      </c>
      <c r="K13" s="7">
        <f t="shared" si="1"/>
        <v>1</v>
      </c>
      <c r="L13" s="85">
        <v>0.4</v>
      </c>
      <c r="M13" s="85">
        <v>0.48</v>
      </c>
      <c r="N13" s="85">
        <v>0.12</v>
      </c>
      <c r="O13" s="71">
        <v>0</v>
      </c>
      <c r="P13" s="7">
        <f t="shared" si="2"/>
        <v>1</v>
      </c>
      <c r="Q13" s="2"/>
      <c r="R13" s="2"/>
      <c r="S13" s="3">
        <f t="shared" si="3"/>
        <v>0</v>
      </c>
      <c r="T13" s="3">
        <f t="shared" si="4"/>
        <v>0</v>
      </c>
      <c r="U13" s="4">
        <f t="shared" si="5"/>
        <v>0</v>
      </c>
      <c r="V13" s="5">
        <f t="shared" si="6"/>
        <v>0</v>
      </c>
      <c r="W13" s="6">
        <f t="shared" si="7"/>
        <v>0</v>
      </c>
    </row>
    <row r="14" spans="1:23" x14ac:dyDescent="0.25">
      <c r="A14" s="71" t="s">
        <v>48</v>
      </c>
      <c r="B14" s="71" t="s">
        <v>38</v>
      </c>
      <c r="C14" s="71" t="s">
        <v>49</v>
      </c>
      <c r="D14" s="71">
        <f>G28+G29+G30</f>
        <v>0</v>
      </c>
      <c r="E14" s="71">
        <v>0.5</v>
      </c>
      <c r="F14" s="71">
        <v>0.5</v>
      </c>
      <c r="G14" s="7">
        <f t="shared" si="0"/>
        <v>1</v>
      </c>
      <c r="H14" s="71">
        <v>0.3</v>
      </c>
      <c r="I14" s="71">
        <v>0.69</v>
      </c>
      <c r="J14" s="71">
        <v>0.01</v>
      </c>
      <c r="K14" s="7">
        <f t="shared" si="1"/>
        <v>1</v>
      </c>
      <c r="L14" s="71">
        <v>0.2</v>
      </c>
      <c r="M14" s="71">
        <v>0.6</v>
      </c>
      <c r="N14" s="71">
        <v>0.2</v>
      </c>
      <c r="O14" s="71">
        <v>0</v>
      </c>
      <c r="P14" s="7">
        <f t="shared" si="2"/>
        <v>1</v>
      </c>
      <c r="Q14" s="2"/>
      <c r="R14" s="2"/>
      <c r="S14" s="3">
        <f t="shared" si="3"/>
        <v>0</v>
      </c>
      <c r="T14" s="3">
        <f t="shared" si="4"/>
        <v>0</v>
      </c>
      <c r="U14" s="4">
        <f t="shared" si="5"/>
        <v>0</v>
      </c>
      <c r="V14" s="5">
        <f t="shared" si="6"/>
        <v>0</v>
      </c>
      <c r="W14" s="6">
        <f t="shared" si="7"/>
        <v>0</v>
      </c>
    </row>
    <row r="15" spans="1:23" x14ac:dyDescent="0.25">
      <c r="A15" s="71" t="s">
        <v>50</v>
      </c>
      <c r="B15" s="71" t="s">
        <v>38</v>
      </c>
      <c r="C15" s="71" t="s">
        <v>51</v>
      </c>
      <c r="D15" s="71">
        <f>H28+H29+H30</f>
        <v>0</v>
      </c>
      <c r="E15" s="71">
        <v>0.5</v>
      </c>
      <c r="F15" s="71">
        <v>0.5</v>
      </c>
      <c r="G15" s="7">
        <f t="shared" si="0"/>
        <v>1</v>
      </c>
      <c r="H15" s="71">
        <v>0.3</v>
      </c>
      <c r="I15" s="71">
        <v>0.69</v>
      </c>
      <c r="J15" s="71">
        <v>0.01</v>
      </c>
      <c r="K15" s="7">
        <f t="shared" si="1"/>
        <v>1</v>
      </c>
      <c r="L15" s="71">
        <v>0.2</v>
      </c>
      <c r="M15" s="71">
        <v>0.6</v>
      </c>
      <c r="N15" s="71">
        <v>0.2</v>
      </c>
      <c r="O15" s="71">
        <v>0</v>
      </c>
      <c r="P15" s="7">
        <f t="shared" si="2"/>
        <v>1</v>
      </c>
      <c r="Q15" s="2"/>
      <c r="R15" s="2"/>
      <c r="S15" s="3">
        <f t="shared" si="3"/>
        <v>0</v>
      </c>
      <c r="T15" s="3">
        <f t="shared" si="4"/>
        <v>0</v>
      </c>
      <c r="U15" s="4">
        <f t="shared" si="5"/>
        <v>0</v>
      </c>
      <c r="V15" s="5">
        <f t="shared" si="6"/>
        <v>0</v>
      </c>
      <c r="W15" s="6">
        <f t="shared" si="7"/>
        <v>0</v>
      </c>
    </row>
    <row r="17" spans="1:23" x14ac:dyDescent="0.25">
      <c r="A17" s="75" t="s">
        <v>52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</row>
    <row r="18" spans="1:23" x14ac:dyDescent="0.25">
      <c r="A18" s="8" t="s">
        <v>53</v>
      </c>
      <c r="B18" s="9"/>
      <c r="C18" s="10" t="s">
        <v>54</v>
      </c>
      <c r="D18" s="11">
        <f>SUM(D3:D8)</f>
        <v>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2">
        <f>MIN(Q3:Q8)</f>
        <v>0</v>
      </c>
      <c r="R18" s="12">
        <f>MAX(R3:R8)</f>
        <v>0</v>
      </c>
      <c r="S18" s="11">
        <f>IF(OR(Q18=0,R18=0),0,R18-Q18)</f>
        <v>0</v>
      </c>
      <c r="T18" s="11">
        <f>SUM(T3:T8)</f>
        <v>0</v>
      </c>
      <c r="U18" s="13">
        <f>IFERROR(T18/(T18+T19),0)</f>
        <v>0</v>
      </c>
      <c r="V18" s="14">
        <f>U18</f>
        <v>0</v>
      </c>
      <c r="W18" s="15">
        <f>V18</f>
        <v>0</v>
      </c>
    </row>
    <row r="19" spans="1:23" x14ac:dyDescent="0.25">
      <c r="A19" s="8" t="s">
        <v>55</v>
      </c>
      <c r="B19" s="9"/>
      <c r="C19" s="16" t="s">
        <v>56</v>
      </c>
      <c r="D19" s="17">
        <f>SUM(D9:D15)</f>
        <v>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8">
        <f>MIN(Q9:Q15)</f>
        <v>0</v>
      </c>
      <c r="R19" s="18">
        <f>MAX(R9:R15)</f>
        <v>0</v>
      </c>
      <c r="S19" s="19">
        <f>IF(OR(Q19=0,R19=0),0,R19-Q19)</f>
        <v>0</v>
      </c>
      <c r="T19" s="17">
        <f>SUM(T9:T15)</f>
        <v>0</v>
      </c>
      <c r="U19" s="20">
        <f>IFERROR(T19/(T18+T19),0)</f>
        <v>0</v>
      </c>
      <c r="V19" s="21">
        <f>U19</f>
        <v>0</v>
      </c>
      <c r="W19" s="22">
        <f>V19</f>
        <v>0</v>
      </c>
    </row>
    <row r="21" spans="1:23" x14ac:dyDescent="0.25">
      <c r="C21" s="23" t="s">
        <v>57</v>
      </c>
      <c r="V21" s="24">
        <f>SUM(V3:V8)</f>
        <v>0</v>
      </c>
    </row>
    <row r="22" spans="1:23" x14ac:dyDescent="0.25">
      <c r="C22" s="23" t="s">
        <v>58</v>
      </c>
      <c r="V22" s="24">
        <f>SUM(V9:V15)</f>
        <v>0</v>
      </c>
    </row>
    <row r="23" spans="1:23" x14ac:dyDescent="0.25">
      <c r="C23" s="23" t="s">
        <v>59</v>
      </c>
      <c r="V23" s="24">
        <f>V18+V19</f>
        <v>0</v>
      </c>
    </row>
    <row r="24" spans="1:23" x14ac:dyDescent="0.25">
      <c r="C24" s="23" t="s">
        <v>60</v>
      </c>
      <c r="W24" s="25">
        <f>SUM(W3:W15)</f>
        <v>0</v>
      </c>
    </row>
    <row r="26" spans="1:23" x14ac:dyDescent="0.25">
      <c r="A26" s="75" t="s">
        <v>61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</row>
    <row r="27" spans="1:23" ht="29.1" customHeight="1" x14ac:dyDescent="0.25">
      <c r="A27" s="69" t="s">
        <v>62</v>
      </c>
      <c r="B27" s="69" t="s">
        <v>37</v>
      </c>
      <c r="C27" s="69" t="s">
        <v>40</v>
      </c>
      <c r="D27" s="69" t="s">
        <v>42</v>
      </c>
      <c r="E27" s="69" t="s">
        <v>44</v>
      </c>
      <c r="F27" s="69" t="s">
        <v>46</v>
      </c>
      <c r="G27" s="69" t="s">
        <v>48</v>
      </c>
      <c r="H27" s="69" t="s">
        <v>50</v>
      </c>
      <c r="I27" s="69" t="s">
        <v>63</v>
      </c>
      <c r="J27" s="69" t="s">
        <v>64</v>
      </c>
      <c r="K27" s="69" t="s">
        <v>65</v>
      </c>
    </row>
    <row r="28" spans="1:23" x14ac:dyDescent="0.25">
      <c r="A28" s="26" t="s">
        <v>66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8">
        <f>SUM(B28:H28)</f>
        <v>0</v>
      </c>
      <c r="J28" s="29">
        <f>IFERROR(I28/(I28+I29+I30),0)</f>
        <v>0</v>
      </c>
      <c r="K28" s="21">
        <f>J28</f>
        <v>0</v>
      </c>
    </row>
    <row r="29" spans="1:23" x14ac:dyDescent="0.25">
      <c r="A29" s="26" t="s">
        <v>67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8">
        <f>SUM(B29:H29)</f>
        <v>0</v>
      </c>
      <c r="J29" s="29">
        <f>IFERROR(I29/(I28+I29+I30),0)</f>
        <v>0</v>
      </c>
      <c r="K29" s="21">
        <f>J29</f>
        <v>0</v>
      </c>
    </row>
    <row r="30" spans="1:23" x14ac:dyDescent="0.25">
      <c r="A30" s="26" t="s">
        <v>68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8">
        <f>SUM(B30:H30)</f>
        <v>0</v>
      </c>
      <c r="J30" s="29">
        <f>IFERROR(I30/(I28+I29+I30),0)</f>
        <v>0</v>
      </c>
      <c r="K30" s="21">
        <f>J30</f>
        <v>0</v>
      </c>
    </row>
    <row r="32" spans="1:23" ht="24" customHeight="1" x14ac:dyDescent="0.25">
      <c r="A32" s="23" t="s">
        <v>69</v>
      </c>
      <c r="K32" s="24">
        <f>K28+K29+K30</f>
        <v>0</v>
      </c>
    </row>
    <row r="35" spans="1:2" x14ac:dyDescent="0.25">
      <c r="A35" t="s">
        <v>70</v>
      </c>
      <c r="B35" s="72">
        <v>46174</v>
      </c>
    </row>
  </sheetData>
  <mergeCells count="3">
    <mergeCell ref="A1:W1"/>
    <mergeCell ref="A17:W17"/>
    <mergeCell ref="A26:K26"/>
  </mergeCells>
  <conditionalFormatting sqref="G3:G15">
    <cfRule type="cellIs" dxfId="90" priority="1" operator="notEqual">
      <formula>1</formula>
    </cfRule>
    <cfRule type="cellIs" dxfId="89" priority="2" operator="equal">
      <formula>1</formula>
    </cfRule>
  </conditionalFormatting>
  <conditionalFormatting sqref="K3:K15">
    <cfRule type="cellIs" dxfId="88" priority="3" operator="notEqual">
      <formula>1</formula>
    </cfRule>
    <cfRule type="cellIs" dxfId="87" priority="4" operator="equal">
      <formula>1</formula>
    </cfRule>
  </conditionalFormatting>
  <conditionalFormatting sqref="K32">
    <cfRule type="cellIs" dxfId="86" priority="15" operator="notEqual">
      <formula>1</formula>
    </cfRule>
    <cfRule type="cellIs" dxfId="85" priority="16" operator="equal">
      <formula>1</formula>
    </cfRule>
  </conditionalFormatting>
  <conditionalFormatting sqref="P3:P15">
    <cfRule type="cellIs" dxfId="84" priority="5" operator="notEqual">
      <formula>1</formula>
    </cfRule>
    <cfRule type="cellIs" dxfId="83" priority="6" operator="equal">
      <formula>1</formula>
    </cfRule>
  </conditionalFormatting>
  <conditionalFormatting sqref="V21:V23">
    <cfRule type="cellIs" dxfId="82" priority="7" operator="notEqual">
      <formula>1</formula>
    </cfRule>
    <cfRule type="cellIs" dxfId="81" priority="8" operator="equal">
      <formula>1</formula>
    </cfRule>
  </conditionalFormatting>
  <conditionalFormatting sqref="W24">
    <cfRule type="cellIs" dxfId="80" priority="13" operator="notEqual">
      <formula>1</formula>
    </cfRule>
    <cfRule type="cellIs" dxfId="79" priority="14" operator="equal">
      <formula>1</formula>
    </cfRule>
  </conditionalFormatting>
  <dataValidations count="2">
    <dataValidation type="decimal" sqref="E3:F15 H3:J15 L3:O15 V3:V15" xr:uid="{00000000-0002-0000-0000-000000000000}">
      <formula1>0</formula1>
      <formula2>1</formula2>
    </dataValidation>
    <dataValidation type="decimal" operator="greaterThanOrEqual" sqref="D3:D15" xr:uid="{00000000-0002-0000-0000-000001000000}">
      <formula1>0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I579"/>
  <sheetViews>
    <sheetView workbookViewId="0">
      <pane xSplit="4" ySplit="3" topLeftCell="E4" activePane="bottomRight" state="frozen"/>
      <selection pane="topRight"/>
      <selection pane="bottomLeft"/>
      <selection pane="bottomRight" activeCell="D20" sqref="D20"/>
    </sheetView>
  </sheetViews>
  <sheetFormatPr defaultRowHeight="15" x14ac:dyDescent="0.25"/>
  <cols>
    <col min="1" max="2" width="12" style="66" customWidth="1"/>
    <col min="3" max="3" width="8" style="66" customWidth="1"/>
    <col min="4" max="4" width="38" style="66" customWidth="1"/>
    <col min="5" max="8" width="12" style="66" customWidth="1"/>
    <col min="9" max="9" width="8" style="66" customWidth="1"/>
  </cols>
  <sheetData>
    <row r="1" spans="1:9" x14ac:dyDescent="0.25">
      <c r="A1" s="73" t="s">
        <v>71</v>
      </c>
      <c r="B1" s="74"/>
      <c r="C1" s="74"/>
      <c r="D1" s="74"/>
      <c r="E1" s="74"/>
      <c r="F1" s="74"/>
      <c r="G1" s="74"/>
      <c r="H1" s="74"/>
      <c r="I1" s="74"/>
    </row>
    <row r="2" spans="1:9" x14ac:dyDescent="0.25">
      <c r="A2" s="76" t="s">
        <v>72</v>
      </c>
      <c r="B2" s="74"/>
      <c r="C2" s="74"/>
      <c r="D2" s="74"/>
      <c r="E2" s="74"/>
      <c r="F2" s="74"/>
      <c r="G2" s="74"/>
      <c r="H2" s="74"/>
      <c r="I2" s="74"/>
    </row>
    <row r="3" spans="1:9" x14ac:dyDescent="0.25">
      <c r="A3" s="69" t="s">
        <v>73</v>
      </c>
      <c r="B3" s="69" t="s">
        <v>74</v>
      </c>
      <c r="C3" s="69" t="s">
        <v>1</v>
      </c>
      <c r="D3" s="69" t="s">
        <v>75</v>
      </c>
      <c r="E3" s="69" t="s">
        <v>76</v>
      </c>
      <c r="F3" s="69" t="s">
        <v>77</v>
      </c>
      <c r="G3" s="69" t="s">
        <v>78</v>
      </c>
      <c r="H3" s="69" t="s">
        <v>79</v>
      </c>
      <c r="I3" s="69" t="s">
        <v>80</v>
      </c>
    </row>
    <row r="4" spans="1:9" x14ac:dyDescent="0.25">
      <c r="A4" s="30">
        <f>СПРАВОЧНИК!$B$35</f>
        <v>46174</v>
      </c>
      <c r="B4" s="31" t="s">
        <v>81</v>
      </c>
      <c r="C4" s="31" t="s">
        <v>24</v>
      </c>
      <c r="D4" s="32" t="s">
        <v>26</v>
      </c>
      <c r="E4" s="33"/>
      <c r="F4" s="33"/>
      <c r="G4" s="33"/>
      <c r="H4" s="33"/>
      <c r="I4" s="34" t="str">
        <f t="shared" ref="I4:I67" si="0">COUNTA(E4:G4)&amp;"/3"</f>
        <v>0/3</v>
      </c>
    </row>
    <row r="5" spans="1:9" ht="30" x14ac:dyDescent="0.25">
      <c r="A5" s="30">
        <f>A4</f>
        <v>46174</v>
      </c>
      <c r="B5" s="31" t="s">
        <v>81</v>
      </c>
      <c r="C5" s="31" t="s">
        <v>27</v>
      </c>
      <c r="D5" s="32" t="s">
        <v>28</v>
      </c>
      <c r="E5" s="33"/>
      <c r="F5" s="33"/>
      <c r="G5" s="33"/>
      <c r="H5" s="33"/>
      <c r="I5" s="34" t="str">
        <f t="shared" si="0"/>
        <v>0/3</v>
      </c>
    </row>
    <row r="6" spans="1:9" x14ac:dyDescent="0.25">
      <c r="A6" s="30">
        <f>A4</f>
        <v>46174</v>
      </c>
      <c r="B6" s="31" t="s">
        <v>81</v>
      </c>
      <c r="C6" s="31" t="s">
        <v>29</v>
      </c>
      <c r="D6" s="32" t="s">
        <v>30</v>
      </c>
      <c r="E6" s="33"/>
      <c r="F6" s="33"/>
      <c r="G6" s="33"/>
      <c r="H6" s="33"/>
      <c r="I6" s="34" t="str">
        <f t="shared" si="0"/>
        <v>0/3</v>
      </c>
    </row>
    <row r="7" spans="1:9" x14ac:dyDescent="0.25">
      <c r="A7" s="30">
        <f>A4</f>
        <v>46174</v>
      </c>
      <c r="B7" s="31" t="s">
        <v>81</v>
      </c>
      <c r="C7" s="31" t="s">
        <v>31</v>
      </c>
      <c r="D7" s="32" t="s">
        <v>32</v>
      </c>
      <c r="E7" s="33"/>
      <c r="F7" s="33"/>
      <c r="G7" s="33"/>
      <c r="H7" s="33"/>
      <c r="I7" s="34" t="str">
        <f t="shared" si="0"/>
        <v>0/3</v>
      </c>
    </row>
    <row r="8" spans="1:9" x14ac:dyDescent="0.25">
      <c r="A8" s="30">
        <f>A4</f>
        <v>46174</v>
      </c>
      <c r="B8" s="31" t="s">
        <v>81</v>
      </c>
      <c r="C8" s="31" t="s">
        <v>33</v>
      </c>
      <c r="D8" s="32" t="s">
        <v>34</v>
      </c>
      <c r="E8" s="33"/>
      <c r="F8" s="33"/>
      <c r="G8" s="33"/>
      <c r="H8" s="33"/>
      <c r="I8" s="34" t="str">
        <f t="shared" si="0"/>
        <v>0/3</v>
      </c>
    </row>
    <row r="9" spans="1:9" x14ac:dyDescent="0.25">
      <c r="A9" s="30">
        <f>A4</f>
        <v>46174</v>
      </c>
      <c r="B9" s="31" t="s">
        <v>81</v>
      </c>
      <c r="C9" s="31" t="s">
        <v>35</v>
      </c>
      <c r="D9" s="32" t="s">
        <v>36</v>
      </c>
      <c r="E9" s="33"/>
      <c r="F9" s="33"/>
      <c r="G9" s="33"/>
      <c r="H9" s="33"/>
      <c r="I9" s="34" t="str">
        <f t="shared" si="0"/>
        <v>0/3</v>
      </c>
    </row>
    <row r="10" spans="1:9" x14ac:dyDescent="0.25">
      <c r="A10" s="30">
        <f>A4</f>
        <v>46174</v>
      </c>
      <c r="B10" s="31" t="s">
        <v>82</v>
      </c>
      <c r="C10" s="31" t="s">
        <v>24</v>
      </c>
      <c r="D10" s="32" t="s">
        <v>26</v>
      </c>
      <c r="E10" s="33"/>
      <c r="F10" s="33"/>
      <c r="G10" s="33"/>
      <c r="H10" s="33"/>
      <c r="I10" s="34" t="str">
        <f t="shared" si="0"/>
        <v>0/3</v>
      </c>
    </row>
    <row r="11" spans="1:9" ht="30" x14ac:dyDescent="0.25">
      <c r="A11" s="30">
        <f>A4</f>
        <v>46174</v>
      </c>
      <c r="B11" s="31" t="s">
        <v>82</v>
      </c>
      <c r="C11" s="31" t="s">
        <v>27</v>
      </c>
      <c r="D11" s="32" t="s">
        <v>28</v>
      </c>
      <c r="E11" s="33"/>
      <c r="F11" s="33"/>
      <c r="G11" s="33"/>
      <c r="H11" s="33"/>
      <c r="I11" s="34" t="str">
        <f t="shared" si="0"/>
        <v>0/3</v>
      </c>
    </row>
    <row r="12" spans="1:9" x14ac:dyDescent="0.25">
      <c r="A12" s="30">
        <f>A4</f>
        <v>46174</v>
      </c>
      <c r="B12" s="31" t="s">
        <v>82</v>
      </c>
      <c r="C12" s="31" t="s">
        <v>29</v>
      </c>
      <c r="D12" s="32" t="s">
        <v>30</v>
      </c>
      <c r="E12" s="33"/>
      <c r="F12" s="33"/>
      <c r="G12" s="33"/>
      <c r="H12" s="33"/>
      <c r="I12" s="34" t="str">
        <f t="shared" si="0"/>
        <v>0/3</v>
      </c>
    </row>
    <row r="13" spans="1:9" x14ac:dyDescent="0.25">
      <c r="A13" s="30">
        <f>A4</f>
        <v>46174</v>
      </c>
      <c r="B13" s="31" t="s">
        <v>82</v>
      </c>
      <c r="C13" s="31" t="s">
        <v>31</v>
      </c>
      <c r="D13" s="32" t="s">
        <v>32</v>
      </c>
      <c r="E13" s="33"/>
      <c r="F13" s="33"/>
      <c r="G13" s="33"/>
      <c r="H13" s="33"/>
      <c r="I13" s="34" t="str">
        <f t="shared" si="0"/>
        <v>0/3</v>
      </c>
    </row>
    <row r="14" spans="1:9" x14ac:dyDescent="0.25">
      <c r="A14" s="30">
        <f>A4</f>
        <v>46174</v>
      </c>
      <c r="B14" s="31" t="s">
        <v>82</v>
      </c>
      <c r="C14" s="31" t="s">
        <v>33</v>
      </c>
      <c r="D14" s="32" t="s">
        <v>34</v>
      </c>
      <c r="E14" s="33"/>
      <c r="F14" s="33"/>
      <c r="G14" s="33"/>
      <c r="H14" s="33"/>
      <c r="I14" s="34" t="str">
        <f t="shared" si="0"/>
        <v>0/3</v>
      </c>
    </row>
    <row r="15" spans="1:9" x14ac:dyDescent="0.25">
      <c r="A15" s="30">
        <f>A4</f>
        <v>46174</v>
      </c>
      <c r="B15" s="31" t="s">
        <v>82</v>
      </c>
      <c r="C15" s="31" t="s">
        <v>35</v>
      </c>
      <c r="D15" s="32" t="s">
        <v>36</v>
      </c>
      <c r="E15" s="33"/>
      <c r="F15" s="33"/>
      <c r="G15" s="33"/>
      <c r="H15" s="33"/>
      <c r="I15" s="34" t="str">
        <f t="shared" si="0"/>
        <v>0/3</v>
      </c>
    </row>
    <row r="16" spans="1:9" x14ac:dyDescent="0.25">
      <c r="A16" s="30">
        <f>A4+7</f>
        <v>46181</v>
      </c>
      <c r="B16" s="31" t="s">
        <v>81</v>
      </c>
      <c r="C16" s="31" t="s">
        <v>24</v>
      </c>
      <c r="D16" s="32" t="s">
        <v>26</v>
      </c>
      <c r="E16" s="33"/>
      <c r="F16" s="33"/>
      <c r="G16" s="33"/>
      <c r="H16" s="33"/>
      <c r="I16" s="34" t="str">
        <f t="shared" si="0"/>
        <v>0/3</v>
      </c>
    </row>
    <row r="17" spans="1:9" ht="30" x14ac:dyDescent="0.25">
      <c r="A17" s="30">
        <f>A16</f>
        <v>46181</v>
      </c>
      <c r="B17" s="31" t="s">
        <v>81</v>
      </c>
      <c r="C17" s="31" t="s">
        <v>27</v>
      </c>
      <c r="D17" s="32" t="s">
        <v>28</v>
      </c>
      <c r="E17" s="33"/>
      <c r="F17" s="33"/>
      <c r="G17" s="33"/>
      <c r="H17" s="33"/>
      <c r="I17" s="34" t="str">
        <f t="shared" si="0"/>
        <v>0/3</v>
      </c>
    </row>
    <row r="18" spans="1:9" x14ac:dyDescent="0.25">
      <c r="A18" s="30">
        <f>A16</f>
        <v>46181</v>
      </c>
      <c r="B18" s="31" t="s">
        <v>81</v>
      </c>
      <c r="C18" s="31" t="s">
        <v>29</v>
      </c>
      <c r="D18" s="32" t="s">
        <v>30</v>
      </c>
      <c r="E18" s="33"/>
      <c r="F18" s="33"/>
      <c r="G18" s="33"/>
      <c r="H18" s="33"/>
      <c r="I18" s="34" t="str">
        <f t="shared" si="0"/>
        <v>0/3</v>
      </c>
    </row>
    <row r="19" spans="1:9" x14ac:dyDescent="0.25">
      <c r="A19" s="30">
        <f>A16</f>
        <v>46181</v>
      </c>
      <c r="B19" s="31" t="s">
        <v>81</v>
      </c>
      <c r="C19" s="31" t="s">
        <v>31</v>
      </c>
      <c r="D19" s="32" t="s">
        <v>32</v>
      </c>
      <c r="E19" s="33"/>
      <c r="F19" s="33"/>
      <c r="G19" s="33"/>
      <c r="H19" s="33"/>
      <c r="I19" s="34" t="str">
        <f t="shared" si="0"/>
        <v>0/3</v>
      </c>
    </row>
    <row r="20" spans="1:9" x14ac:dyDescent="0.25">
      <c r="A20" s="30">
        <f>A16</f>
        <v>46181</v>
      </c>
      <c r="B20" s="31" t="s">
        <v>81</v>
      </c>
      <c r="C20" s="31" t="s">
        <v>33</v>
      </c>
      <c r="D20" s="32" t="s">
        <v>34</v>
      </c>
      <c r="E20" s="33"/>
      <c r="F20" s="33"/>
      <c r="G20" s="33"/>
      <c r="H20" s="33"/>
      <c r="I20" s="34" t="str">
        <f t="shared" si="0"/>
        <v>0/3</v>
      </c>
    </row>
    <row r="21" spans="1:9" x14ac:dyDescent="0.25">
      <c r="A21" s="30">
        <f>A16</f>
        <v>46181</v>
      </c>
      <c r="B21" s="31" t="s">
        <v>81</v>
      </c>
      <c r="C21" s="31" t="s">
        <v>35</v>
      </c>
      <c r="D21" s="32" t="s">
        <v>36</v>
      </c>
      <c r="E21" s="33"/>
      <c r="F21" s="33"/>
      <c r="G21" s="33"/>
      <c r="H21" s="33"/>
      <c r="I21" s="34" t="str">
        <f t="shared" si="0"/>
        <v>0/3</v>
      </c>
    </row>
    <row r="22" spans="1:9" x14ac:dyDescent="0.25">
      <c r="A22" s="30">
        <f>A16</f>
        <v>46181</v>
      </c>
      <c r="B22" s="31" t="s">
        <v>82</v>
      </c>
      <c r="C22" s="31" t="s">
        <v>24</v>
      </c>
      <c r="D22" s="32" t="s">
        <v>26</v>
      </c>
      <c r="E22" s="33"/>
      <c r="F22" s="33"/>
      <c r="G22" s="33"/>
      <c r="H22" s="33"/>
      <c r="I22" s="34" t="str">
        <f t="shared" si="0"/>
        <v>0/3</v>
      </c>
    </row>
    <row r="23" spans="1:9" ht="30" x14ac:dyDescent="0.25">
      <c r="A23" s="30">
        <f>A16</f>
        <v>46181</v>
      </c>
      <c r="B23" s="31" t="s">
        <v>82</v>
      </c>
      <c r="C23" s="31" t="s">
        <v>27</v>
      </c>
      <c r="D23" s="32" t="s">
        <v>28</v>
      </c>
      <c r="E23" s="33"/>
      <c r="F23" s="33"/>
      <c r="G23" s="33"/>
      <c r="H23" s="33"/>
      <c r="I23" s="34" t="str">
        <f t="shared" si="0"/>
        <v>0/3</v>
      </c>
    </row>
    <row r="24" spans="1:9" x14ac:dyDescent="0.25">
      <c r="A24" s="30">
        <f>A16</f>
        <v>46181</v>
      </c>
      <c r="B24" s="31" t="s">
        <v>82</v>
      </c>
      <c r="C24" s="31" t="s">
        <v>29</v>
      </c>
      <c r="D24" s="32" t="s">
        <v>30</v>
      </c>
      <c r="E24" s="33"/>
      <c r="F24" s="33"/>
      <c r="G24" s="33"/>
      <c r="H24" s="33"/>
      <c r="I24" s="34" t="str">
        <f t="shared" si="0"/>
        <v>0/3</v>
      </c>
    </row>
    <row r="25" spans="1:9" x14ac:dyDescent="0.25">
      <c r="A25" s="30">
        <f>A16</f>
        <v>46181</v>
      </c>
      <c r="B25" s="31" t="s">
        <v>82</v>
      </c>
      <c r="C25" s="31" t="s">
        <v>31</v>
      </c>
      <c r="D25" s="32" t="s">
        <v>32</v>
      </c>
      <c r="E25" s="33"/>
      <c r="F25" s="33"/>
      <c r="G25" s="33"/>
      <c r="H25" s="33"/>
      <c r="I25" s="34" t="str">
        <f t="shared" si="0"/>
        <v>0/3</v>
      </c>
    </row>
    <row r="26" spans="1:9" x14ac:dyDescent="0.25">
      <c r="A26" s="30">
        <f>A16</f>
        <v>46181</v>
      </c>
      <c r="B26" s="31" t="s">
        <v>82</v>
      </c>
      <c r="C26" s="31" t="s">
        <v>33</v>
      </c>
      <c r="D26" s="32" t="s">
        <v>34</v>
      </c>
      <c r="E26" s="33"/>
      <c r="F26" s="33"/>
      <c r="G26" s="33"/>
      <c r="H26" s="33"/>
      <c r="I26" s="34" t="str">
        <f t="shared" si="0"/>
        <v>0/3</v>
      </c>
    </row>
    <row r="27" spans="1:9" x14ac:dyDescent="0.25">
      <c r="A27" s="30">
        <f>A16</f>
        <v>46181</v>
      </c>
      <c r="B27" s="31" t="s">
        <v>82</v>
      </c>
      <c r="C27" s="31" t="s">
        <v>35</v>
      </c>
      <c r="D27" s="32" t="s">
        <v>36</v>
      </c>
      <c r="E27" s="33"/>
      <c r="F27" s="33"/>
      <c r="G27" s="33"/>
      <c r="H27" s="33"/>
      <c r="I27" s="34" t="str">
        <f t="shared" si="0"/>
        <v>0/3</v>
      </c>
    </row>
    <row r="28" spans="1:9" x14ac:dyDescent="0.25">
      <c r="A28" s="30">
        <f>A16+7</f>
        <v>46188</v>
      </c>
      <c r="B28" s="31" t="s">
        <v>81</v>
      </c>
      <c r="C28" s="31" t="s">
        <v>24</v>
      </c>
      <c r="D28" s="32" t="s">
        <v>26</v>
      </c>
      <c r="E28" s="33"/>
      <c r="F28" s="33"/>
      <c r="G28" s="33"/>
      <c r="H28" s="33"/>
      <c r="I28" s="34" t="str">
        <f t="shared" si="0"/>
        <v>0/3</v>
      </c>
    </row>
    <row r="29" spans="1:9" ht="30" x14ac:dyDescent="0.25">
      <c r="A29" s="30">
        <f>A28</f>
        <v>46188</v>
      </c>
      <c r="B29" s="31" t="s">
        <v>81</v>
      </c>
      <c r="C29" s="31" t="s">
        <v>27</v>
      </c>
      <c r="D29" s="32" t="s">
        <v>28</v>
      </c>
      <c r="E29" s="33"/>
      <c r="F29" s="33"/>
      <c r="G29" s="33"/>
      <c r="H29" s="33"/>
      <c r="I29" s="34" t="str">
        <f t="shared" si="0"/>
        <v>0/3</v>
      </c>
    </row>
    <row r="30" spans="1:9" x14ac:dyDescent="0.25">
      <c r="A30" s="30">
        <f>A28</f>
        <v>46188</v>
      </c>
      <c r="B30" s="31" t="s">
        <v>81</v>
      </c>
      <c r="C30" s="31" t="s">
        <v>29</v>
      </c>
      <c r="D30" s="32" t="s">
        <v>30</v>
      </c>
      <c r="E30" s="33"/>
      <c r="F30" s="33"/>
      <c r="G30" s="33"/>
      <c r="H30" s="33"/>
      <c r="I30" s="34" t="str">
        <f t="shared" si="0"/>
        <v>0/3</v>
      </c>
    </row>
    <row r="31" spans="1:9" x14ac:dyDescent="0.25">
      <c r="A31" s="30">
        <f>A28</f>
        <v>46188</v>
      </c>
      <c r="B31" s="31" t="s">
        <v>81</v>
      </c>
      <c r="C31" s="31" t="s">
        <v>31</v>
      </c>
      <c r="D31" s="32" t="s">
        <v>32</v>
      </c>
      <c r="E31" s="33"/>
      <c r="F31" s="33"/>
      <c r="G31" s="33"/>
      <c r="H31" s="33"/>
      <c r="I31" s="34" t="str">
        <f t="shared" si="0"/>
        <v>0/3</v>
      </c>
    </row>
    <row r="32" spans="1:9" x14ac:dyDescent="0.25">
      <c r="A32" s="30">
        <f>A28</f>
        <v>46188</v>
      </c>
      <c r="B32" s="31" t="s">
        <v>81</v>
      </c>
      <c r="C32" s="31" t="s">
        <v>33</v>
      </c>
      <c r="D32" s="32" t="s">
        <v>34</v>
      </c>
      <c r="E32" s="33"/>
      <c r="F32" s="33"/>
      <c r="G32" s="33"/>
      <c r="H32" s="33"/>
      <c r="I32" s="34" t="str">
        <f t="shared" si="0"/>
        <v>0/3</v>
      </c>
    </row>
    <row r="33" spans="1:9" x14ac:dyDescent="0.25">
      <c r="A33" s="30">
        <f>A28</f>
        <v>46188</v>
      </c>
      <c r="B33" s="31" t="s">
        <v>81</v>
      </c>
      <c r="C33" s="31" t="s">
        <v>35</v>
      </c>
      <c r="D33" s="32" t="s">
        <v>36</v>
      </c>
      <c r="E33" s="33"/>
      <c r="F33" s="33"/>
      <c r="G33" s="33"/>
      <c r="H33" s="33"/>
      <c r="I33" s="34" t="str">
        <f t="shared" si="0"/>
        <v>0/3</v>
      </c>
    </row>
    <row r="34" spans="1:9" x14ac:dyDescent="0.25">
      <c r="A34" s="30">
        <f>A28</f>
        <v>46188</v>
      </c>
      <c r="B34" s="31" t="s">
        <v>82</v>
      </c>
      <c r="C34" s="31" t="s">
        <v>24</v>
      </c>
      <c r="D34" s="32" t="s">
        <v>26</v>
      </c>
      <c r="E34" s="33"/>
      <c r="F34" s="33"/>
      <c r="G34" s="33"/>
      <c r="H34" s="33"/>
      <c r="I34" s="34" t="str">
        <f t="shared" si="0"/>
        <v>0/3</v>
      </c>
    </row>
    <row r="35" spans="1:9" ht="30" x14ac:dyDescent="0.25">
      <c r="A35" s="30">
        <f>A28</f>
        <v>46188</v>
      </c>
      <c r="B35" s="31" t="s">
        <v>82</v>
      </c>
      <c r="C35" s="31" t="s">
        <v>27</v>
      </c>
      <c r="D35" s="32" t="s">
        <v>28</v>
      </c>
      <c r="E35" s="33"/>
      <c r="F35" s="33"/>
      <c r="G35" s="33"/>
      <c r="H35" s="33"/>
      <c r="I35" s="34" t="str">
        <f t="shared" si="0"/>
        <v>0/3</v>
      </c>
    </row>
    <row r="36" spans="1:9" x14ac:dyDescent="0.25">
      <c r="A36" s="30">
        <f>A28</f>
        <v>46188</v>
      </c>
      <c r="B36" s="31" t="s">
        <v>82</v>
      </c>
      <c r="C36" s="31" t="s">
        <v>29</v>
      </c>
      <c r="D36" s="32" t="s">
        <v>30</v>
      </c>
      <c r="E36" s="33"/>
      <c r="F36" s="33"/>
      <c r="G36" s="33"/>
      <c r="H36" s="33"/>
      <c r="I36" s="34" t="str">
        <f t="shared" si="0"/>
        <v>0/3</v>
      </c>
    </row>
    <row r="37" spans="1:9" x14ac:dyDescent="0.25">
      <c r="A37" s="30">
        <f>A28</f>
        <v>46188</v>
      </c>
      <c r="B37" s="31" t="s">
        <v>82</v>
      </c>
      <c r="C37" s="31" t="s">
        <v>31</v>
      </c>
      <c r="D37" s="32" t="s">
        <v>32</v>
      </c>
      <c r="E37" s="33"/>
      <c r="F37" s="33"/>
      <c r="G37" s="33"/>
      <c r="H37" s="33"/>
      <c r="I37" s="34" t="str">
        <f t="shared" si="0"/>
        <v>0/3</v>
      </c>
    </row>
    <row r="38" spans="1:9" x14ac:dyDescent="0.25">
      <c r="A38" s="30">
        <f>A28</f>
        <v>46188</v>
      </c>
      <c r="B38" s="31" t="s">
        <v>82</v>
      </c>
      <c r="C38" s="31" t="s">
        <v>33</v>
      </c>
      <c r="D38" s="32" t="s">
        <v>34</v>
      </c>
      <c r="E38" s="33"/>
      <c r="F38" s="33"/>
      <c r="G38" s="33"/>
      <c r="H38" s="33"/>
      <c r="I38" s="34" t="str">
        <f t="shared" si="0"/>
        <v>0/3</v>
      </c>
    </row>
    <row r="39" spans="1:9" x14ac:dyDescent="0.25">
      <c r="A39" s="30">
        <f>A28</f>
        <v>46188</v>
      </c>
      <c r="B39" s="31" t="s">
        <v>82</v>
      </c>
      <c r="C39" s="31" t="s">
        <v>35</v>
      </c>
      <c r="D39" s="32" t="s">
        <v>36</v>
      </c>
      <c r="E39" s="33"/>
      <c r="F39" s="33"/>
      <c r="G39" s="33"/>
      <c r="H39" s="33"/>
      <c r="I39" s="34" t="str">
        <f t="shared" si="0"/>
        <v>0/3</v>
      </c>
    </row>
    <row r="40" spans="1:9" x14ac:dyDescent="0.25">
      <c r="A40" s="30">
        <f>A28+7</f>
        <v>46195</v>
      </c>
      <c r="B40" s="31" t="s">
        <v>81</v>
      </c>
      <c r="C40" s="31" t="s">
        <v>24</v>
      </c>
      <c r="D40" s="32" t="s">
        <v>26</v>
      </c>
      <c r="E40" s="33"/>
      <c r="F40" s="33"/>
      <c r="G40" s="33"/>
      <c r="H40" s="33"/>
      <c r="I40" s="34" t="str">
        <f t="shared" si="0"/>
        <v>0/3</v>
      </c>
    </row>
    <row r="41" spans="1:9" ht="30" x14ac:dyDescent="0.25">
      <c r="A41" s="30">
        <f>A40</f>
        <v>46195</v>
      </c>
      <c r="B41" s="31" t="s">
        <v>81</v>
      </c>
      <c r="C41" s="31" t="s">
        <v>27</v>
      </c>
      <c r="D41" s="32" t="s">
        <v>28</v>
      </c>
      <c r="E41" s="33"/>
      <c r="F41" s="33"/>
      <c r="G41" s="33"/>
      <c r="H41" s="33"/>
      <c r="I41" s="34" t="str">
        <f t="shared" si="0"/>
        <v>0/3</v>
      </c>
    </row>
    <row r="42" spans="1:9" x14ac:dyDescent="0.25">
      <c r="A42" s="30">
        <f>A40</f>
        <v>46195</v>
      </c>
      <c r="B42" s="31" t="s">
        <v>81</v>
      </c>
      <c r="C42" s="31" t="s">
        <v>29</v>
      </c>
      <c r="D42" s="32" t="s">
        <v>30</v>
      </c>
      <c r="E42" s="33"/>
      <c r="F42" s="33"/>
      <c r="G42" s="33"/>
      <c r="H42" s="33"/>
      <c r="I42" s="34" t="str">
        <f t="shared" si="0"/>
        <v>0/3</v>
      </c>
    </row>
    <row r="43" spans="1:9" x14ac:dyDescent="0.25">
      <c r="A43" s="30">
        <f>A40</f>
        <v>46195</v>
      </c>
      <c r="B43" s="31" t="s">
        <v>81</v>
      </c>
      <c r="C43" s="31" t="s">
        <v>31</v>
      </c>
      <c r="D43" s="32" t="s">
        <v>32</v>
      </c>
      <c r="E43" s="33"/>
      <c r="F43" s="33"/>
      <c r="G43" s="33"/>
      <c r="H43" s="33"/>
      <c r="I43" s="34" t="str">
        <f t="shared" si="0"/>
        <v>0/3</v>
      </c>
    </row>
    <row r="44" spans="1:9" x14ac:dyDescent="0.25">
      <c r="A44" s="30">
        <f>A40</f>
        <v>46195</v>
      </c>
      <c r="B44" s="31" t="s">
        <v>81</v>
      </c>
      <c r="C44" s="31" t="s">
        <v>33</v>
      </c>
      <c r="D44" s="32" t="s">
        <v>34</v>
      </c>
      <c r="E44" s="33"/>
      <c r="F44" s="33"/>
      <c r="G44" s="33"/>
      <c r="H44" s="33"/>
      <c r="I44" s="34" t="str">
        <f t="shared" si="0"/>
        <v>0/3</v>
      </c>
    </row>
    <row r="45" spans="1:9" x14ac:dyDescent="0.25">
      <c r="A45" s="30">
        <f>A40</f>
        <v>46195</v>
      </c>
      <c r="B45" s="31" t="s">
        <v>81</v>
      </c>
      <c r="C45" s="31" t="s">
        <v>35</v>
      </c>
      <c r="D45" s="32" t="s">
        <v>36</v>
      </c>
      <c r="E45" s="33"/>
      <c r="F45" s="33"/>
      <c r="G45" s="33"/>
      <c r="H45" s="33"/>
      <c r="I45" s="34" t="str">
        <f t="shared" si="0"/>
        <v>0/3</v>
      </c>
    </row>
    <row r="46" spans="1:9" x14ac:dyDescent="0.25">
      <c r="A46" s="30">
        <f>A40</f>
        <v>46195</v>
      </c>
      <c r="B46" s="31" t="s">
        <v>82</v>
      </c>
      <c r="C46" s="31" t="s">
        <v>24</v>
      </c>
      <c r="D46" s="32" t="s">
        <v>26</v>
      </c>
      <c r="E46" s="33"/>
      <c r="F46" s="33"/>
      <c r="G46" s="33"/>
      <c r="H46" s="33"/>
      <c r="I46" s="34" t="str">
        <f t="shared" si="0"/>
        <v>0/3</v>
      </c>
    </row>
    <row r="47" spans="1:9" ht="30" x14ac:dyDescent="0.25">
      <c r="A47" s="30">
        <f>A40</f>
        <v>46195</v>
      </c>
      <c r="B47" s="31" t="s">
        <v>82</v>
      </c>
      <c r="C47" s="31" t="s">
        <v>27</v>
      </c>
      <c r="D47" s="32" t="s">
        <v>28</v>
      </c>
      <c r="E47" s="33"/>
      <c r="F47" s="33"/>
      <c r="G47" s="33"/>
      <c r="H47" s="33"/>
      <c r="I47" s="34" t="str">
        <f t="shared" si="0"/>
        <v>0/3</v>
      </c>
    </row>
    <row r="48" spans="1:9" x14ac:dyDescent="0.25">
      <c r="A48" s="30">
        <f>A40</f>
        <v>46195</v>
      </c>
      <c r="B48" s="31" t="s">
        <v>82</v>
      </c>
      <c r="C48" s="31" t="s">
        <v>29</v>
      </c>
      <c r="D48" s="32" t="s">
        <v>30</v>
      </c>
      <c r="E48" s="33"/>
      <c r="F48" s="33"/>
      <c r="G48" s="33"/>
      <c r="H48" s="33"/>
      <c r="I48" s="34" t="str">
        <f t="shared" si="0"/>
        <v>0/3</v>
      </c>
    </row>
    <row r="49" spans="1:9" x14ac:dyDescent="0.25">
      <c r="A49" s="30">
        <f>A40</f>
        <v>46195</v>
      </c>
      <c r="B49" s="31" t="s">
        <v>82</v>
      </c>
      <c r="C49" s="31" t="s">
        <v>31</v>
      </c>
      <c r="D49" s="32" t="s">
        <v>32</v>
      </c>
      <c r="E49" s="33"/>
      <c r="F49" s="33"/>
      <c r="G49" s="33"/>
      <c r="H49" s="33"/>
      <c r="I49" s="34" t="str">
        <f t="shared" si="0"/>
        <v>0/3</v>
      </c>
    </row>
    <row r="50" spans="1:9" x14ac:dyDescent="0.25">
      <c r="A50" s="30">
        <f>A40</f>
        <v>46195</v>
      </c>
      <c r="B50" s="31" t="s">
        <v>82</v>
      </c>
      <c r="C50" s="31" t="s">
        <v>33</v>
      </c>
      <c r="D50" s="32" t="s">
        <v>34</v>
      </c>
      <c r="E50" s="33"/>
      <c r="F50" s="33"/>
      <c r="G50" s="33"/>
      <c r="H50" s="33"/>
      <c r="I50" s="34" t="str">
        <f t="shared" si="0"/>
        <v>0/3</v>
      </c>
    </row>
    <row r="51" spans="1:9" x14ac:dyDescent="0.25">
      <c r="A51" s="30">
        <f>A40</f>
        <v>46195</v>
      </c>
      <c r="B51" s="31" t="s">
        <v>82</v>
      </c>
      <c r="C51" s="31" t="s">
        <v>35</v>
      </c>
      <c r="D51" s="32" t="s">
        <v>36</v>
      </c>
      <c r="E51" s="33"/>
      <c r="F51" s="33"/>
      <c r="G51" s="33"/>
      <c r="H51" s="33"/>
      <c r="I51" s="34" t="str">
        <f t="shared" si="0"/>
        <v>0/3</v>
      </c>
    </row>
    <row r="52" spans="1:9" x14ac:dyDescent="0.25">
      <c r="A52" s="30">
        <f>A40+7</f>
        <v>46202</v>
      </c>
      <c r="B52" s="31" t="s">
        <v>81</v>
      </c>
      <c r="C52" s="31" t="s">
        <v>24</v>
      </c>
      <c r="D52" s="32" t="s">
        <v>26</v>
      </c>
      <c r="E52" s="33"/>
      <c r="F52" s="33"/>
      <c r="G52" s="33"/>
      <c r="H52" s="33"/>
      <c r="I52" s="34" t="str">
        <f t="shared" si="0"/>
        <v>0/3</v>
      </c>
    </row>
    <row r="53" spans="1:9" ht="30" x14ac:dyDescent="0.25">
      <c r="A53" s="30">
        <f>A52</f>
        <v>46202</v>
      </c>
      <c r="B53" s="31" t="s">
        <v>81</v>
      </c>
      <c r="C53" s="31" t="s">
        <v>27</v>
      </c>
      <c r="D53" s="32" t="s">
        <v>28</v>
      </c>
      <c r="E53" s="33"/>
      <c r="F53" s="33"/>
      <c r="G53" s="33"/>
      <c r="H53" s="33"/>
      <c r="I53" s="34" t="str">
        <f t="shared" si="0"/>
        <v>0/3</v>
      </c>
    </row>
    <row r="54" spans="1:9" x14ac:dyDescent="0.25">
      <c r="A54" s="30">
        <f>A52</f>
        <v>46202</v>
      </c>
      <c r="B54" s="31" t="s">
        <v>81</v>
      </c>
      <c r="C54" s="31" t="s">
        <v>29</v>
      </c>
      <c r="D54" s="32" t="s">
        <v>30</v>
      </c>
      <c r="E54" s="33"/>
      <c r="F54" s="33"/>
      <c r="G54" s="33"/>
      <c r="H54" s="33"/>
      <c r="I54" s="34" t="str">
        <f t="shared" si="0"/>
        <v>0/3</v>
      </c>
    </row>
    <row r="55" spans="1:9" x14ac:dyDescent="0.25">
      <c r="A55" s="30">
        <f>A52</f>
        <v>46202</v>
      </c>
      <c r="B55" s="31" t="s">
        <v>81</v>
      </c>
      <c r="C55" s="31" t="s">
        <v>31</v>
      </c>
      <c r="D55" s="32" t="s">
        <v>32</v>
      </c>
      <c r="E55" s="33"/>
      <c r="F55" s="33"/>
      <c r="G55" s="33"/>
      <c r="H55" s="33"/>
      <c r="I55" s="34" t="str">
        <f t="shared" si="0"/>
        <v>0/3</v>
      </c>
    </row>
    <row r="56" spans="1:9" x14ac:dyDescent="0.25">
      <c r="A56" s="30">
        <f>A52</f>
        <v>46202</v>
      </c>
      <c r="B56" s="31" t="s">
        <v>81</v>
      </c>
      <c r="C56" s="31" t="s">
        <v>33</v>
      </c>
      <c r="D56" s="32" t="s">
        <v>34</v>
      </c>
      <c r="E56" s="33"/>
      <c r="F56" s="33"/>
      <c r="G56" s="33"/>
      <c r="H56" s="33"/>
      <c r="I56" s="34" t="str">
        <f t="shared" si="0"/>
        <v>0/3</v>
      </c>
    </row>
    <row r="57" spans="1:9" x14ac:dyDescent="0.25">
      <c r="A57" s="30">
        <f>A52</f>
        <v>46202</v>
      </c>
      <c r="B57" s="31" t="s">
        <v>81</v>
      </c>
      <c r="C57" s="31" t="s">
        <v>35</v>
      </c>
      <c r="D57" s="32" t="s">
        <v>36</v>
      </c>
      <c r="E57" s="33"/>
      <c r="F57" s="33"/>
      <c r="G57" s="33"/>
      <c r="H57" s="33"/>
      <c r="I57" s="34" t="str">
        <f t="shared" si="0"/>
        <v>0/3</v>
      </c>
    </row>
    <row r="58" spans="1:9" x14ac:dyDescent="0.25">
      <c r="A58" s="30">
        <f>A52</f>
        <v>46202</v>
      </c>
      <c r="B58" s="31" t="s">
        <v>82</v>
      </c>
      <c r="C58" s="31" t="s">
        <v>24</v>
      </c>
      <c r="D58" s="32" t="s">
        <v>26</v>
      </c>
      <c r="E58" s="33"/>
      <c r="F58" s="33"/>
      <c r="G58" s="33"/>
      <c r="H58" s="33"/>
      <c r="I58" s="34" t="str">
        <f t="shared" si="0"/>
        <v>0/3</v>
      </c>
    </row>
    <row r="59" spans="1:9" ht="30" x14ac:dyDescent="0.25">
      <c r="A59" s="30">
        <f>A52</f>
        <v>46202</v>
      </c>
      <c r="B59" s="31" t="s">
        <v>82</v>
      </c>
      <c r="C59" s="31" t="s">
        <v>27</v>
      </c>
      <c r="D59" s="32" t="s">
        <v>28</v>
      </c>
      <c r="E59" s="33"/>
      <c r="F59" s="33"/>
      <c r="G59" s="33"/>
      <c r="H59" s="33"/>
      <c r="I59" s="34" t="str">
        <f t="shared" si="0"/>
        <v>0/3</v>
      </c>
    </row>
    <row r="60" spans="1:9" x14ac:dyDescent="0.25">
      <c r="A60" s="30">
        <f>A52</f>
        <v>46202</v>
      </c>
      <c r="B60" s="31" t="s">
        <v>82</v>
      </c>
      <c r="C60" s="31" t="s">
        <v>29</v>
      </c>
      <c r="D60" s="32" t="s">
        <v>30</v>
      </c>
      <c r="E60" s="33"/>
      <c r="F60" s="33"/>
      <c r="G60" s="33"/>
      <c r="H60" s="33"/>
      <c r="I60" s="34" t="str">
        <f t="shared" si="0"/>
        <v>0/3</v>
      </c>
    </row>
    <row r="61" spans="1:9" x14ac:dyDescent="0.25">
      <c r="A61" s="30">
        <f>A52</f>
        <v>46202</v>
      </c>
      <c r="B61" s="31" t="s">
        <v>82</v>
      </c>
      <c r="C61" s="31" t="s">
        <v>31</v>
      </c>
      <c r="D61" s="32" t="s">
        <v>32</v>
      </c>
      <c r="E61" s="33"/>
      <c r="F61" s="33"/>
      <c r="G61" s="33"/>
      <c r="H61" s="33"/>
      <c r="I61" s="34" t="str">
        <f t="shared" si="0"/>
        <v>0/3</v>
      </c>
    </row>
    <row r="62" spans="1:9" x14ac:dyDescent="0.25">
      <c r="A62" s="30">
        <f>A52</f>
        <v>46202</v>
      </c>
      <c r="B62" s="31" t="s">
        <v>82</v>
      </c>
      <c r="C62" s="31" t="s">
        <v>33</v>
      </c>
      <c r="D62" s="32" t="s">
        <v>34</v>
      </c>
      <c r="E62" s="33"/>
      <c r="F62" s="33"/>
      <c r="G62" s="33"/>
      <c r="H62" s="33"/>
      <c r="I62" s="34" t="str">
        <f t="shared" si="0"/>
        <v>0/3</v>
      </c>
    </row>
    <row r="63" spans="1:9" x14ac:dyDescent="0.25">
      <c r="A63" s="30">
        <f>A52</f>
        <v>46202</v>
      </c>
      <c r="B63" s="31" t="s">
        <v>82</v>
      </c>
      <c r="C63" s="31" t="s">
        <v>35</v>
      </c>
      <c r="D63" s="32" t="s">
        <v>36</v>
      </c>
      <c r="E63" s="33"/>
      <c r="F63" s="33"/>
      <c r="G63" s="33"/>
      <c r="H63" s="33"/>
      <c r="I63" s="34" t="str">
        <f t="shared" si="0"/>
        <v>0/3</v>
      </c>
    </row>
    <row r="64" spans="1:9" x14ac:dyDescent="0.25">
      <c r="A64" s="30">
        <f>A52+7</f>
        <v>46209</v>
      </c>
      <c r="B64" s="31" t="s">
        <v>81</v>
      </c>
      <c r="C64" s="31" t="s">
        <v>24</v>
      </c>
      <c r="D64" s="32" t="s">
        <v>26</v>
      </c>
      <c r="E64" s="33"/>
      <c r="F64" s="33"/>
      <c r="G64" s="33"/>
      <c r="H64" s="33"/>
      <c r="I64" s="34" t="str">
        <f t="shared" si="0"/>
        <v>0/3</v>
      </c>
    </row>
    <row r="65" spans="1:9" ht="30" x14ac:dyDescent="0.25">
      <c r="A65" s="30">
        <f>A64</f>
        <v>46209</v>
      </c>
      <c r="B65" s="31" t="s">
        <v>81</v>
      </c>
      <c r="C65" s="31" t="s">
        <v>27</v>
      </c>
      <c r="D65" s="32" t="s">
        <v>28</v>
      </c>
      <c r="E65" s="33"/>
      <c r="F65" s="33"/>
      <c r="G65" s="33"/>
      <c r="H65" s="33"/>
      <c r="I65" s="34" t="str">
        <f t="shared" si="0"/>
        <v>0/3</v>
      </c>
    </row>
    <row r="66" spans="1:9" x14ac:dyDescent="0.25">
      <c r="A66" s="30">
        <f>A64</f>
        <v>46209</v>
      </c>
      <c r="B66" s="31" t="s">
        <v>81</v>
      </c>
      <c r="C66" s="31" t="s">
        <v>29</v>
      </c>
      <c r="D66" s="32" t="s">
        <v>30</v>
      </c>
      <c r="E66" s="33"/>
      <c r="F66" s="33"/>
      <c r="G66" s="33"/>
      <c r="H66" s="33"/>
      <c r="I66" s="34" t="str">
        <f t="shared" si="0"/>
        <v>0/3</v>
      </c>
    </row>
    <row r="67" spans="1:9" x14ac:dyDescent="0.25">
      <c r="A67" s="30">
        <f>A64</f>
        <v>46209</v>
      </c>
      <c r="B67" s="31" t="s">
        <v>81</v>
      </c>
      <c r="C67" s="31" t="s">
        <v>31</v>
      </c>
      <c r="D67" s="32" t="s">
        <v>32</v>
      </c>
      <c r="E67" s="33"/>
      <c r="F67" s="33"/>
      <c r="G67" s="33"/>
      <c r="H67" s="33"/>
      <c r="I67" s="34" t="str">
        <f t="shared" si="0"/>
        <v>0/3</v>
      </c>
    </row>
    <row r="68" spans="1:9" x14ac:dyDescent="0.25">
      <c r="A68" s="30">
        <f>A64</f>
        <v>46209</v>
      </c>
      <c r="B68" s="31" t="s">
        <v>81</v>
      </c>
      <c r="C68" s="31" t="s">
        <v>33</v>
      </c>
      <c r="D68" s="32" t="s">
        <v>34</v>
      </c>
      <c r="E68" s="33"/>
      <c r="F68" s="33"/>
      <c r="G68" s="33"/>
      <c r="H68" s="33"/>
      <c r="I68" s="34" t="str">
        <f t="shared" ref="I68:I131" si="1">COUNTA(E68:G68)&amp;"/3"</f>
        <v>0/3</v>
      </c>
    </row>
    <row r="69" spans="1:9" x14ac:dyDescent="0.25">
      <c r="A69" s="30">
        <f>A64</f>
        <v>46209</v>
      </c>
      <c r="B69" s="31" t="s">
        <v>81</v>
      </c>
      <c r="C69" s="31" t="s">
        <v>35</v>
      </c>
      <c r="D69" s="32" t="s">
        <v>36</v>
      </c>
      <c r="E69" s="33"/>
      <c r="F69" s="33"/>
      <c r="G69" s="33"/>
      <c r="H69" s="33"/>
      <c r="I69" s="34" t="str">
        <f t="shared" si="1"/>
        <v>0/3</v>
      </c>
    </row>
    <row r="70" spans="1:9" x14ac:dyDescent="0.25">
      <c r="A70" s="30">
        <f>A64</f>
        <v>46209</v>
      </c>
      <c r="B70" s="31" t="s">
        <v>82</v>
      </c>
      <c r="C70" s="31" t="s">
        <v>24</v>
      </c>
      <c r="D70" s="32" t="s">
        <v>26</v>
      </c>
      <c r="E70" s="33"/>
      <c r="F70" s="33"/>
      <c r="G70" s="33"/>
      <c r="H70" s="33"/>
      <c r="I70" s="34" t="str">
        <f t="shared" si="1"/>
        <v>0/3</v>
      </c>
    </row>
    <row r="71" spans="1:9" ht="30" x14ac:dyDescent="0.25">
      <c r="A71" s="30">
        <f>A64</f>
        <v>46209</v>
      </c>
      <c r="B71" s="31" t="s">
        <v>82</v>
      </c>
      <c r="C71" s="31" t="s">
        <v>27</v>
      </c>
      <c r="D71" s="32" t="s">
        <v>28</v>
      </c>
      <c r="E71" s="33"/>
      <c r="F71" s="33"/>
      <c r="G71" s="33"/>
      <c r="H71" s="33"/>
      <c r="I71" s="34" t="str">
        <f t="shared" si="1"/>
        <v>0/3</v>
      </c>
    </row>
    <row r="72" spans="1:9" x14ac:dyDescent="0.25">
      <c r="A72" s="30">
        <f>A64</f>
        <v>46209</v>
      </c>
      <c r="B72" s="31" t="s">
        <v>82</v>
      </c>
      <c r="C72" s="31" t="s">
        <v>29</v>
      </c>
      <c r="D72" s="32" t="s">
        <v>30</v>
      </c>
      <c r="E72" s="33"/>
      <c r="F72" s="33"/>
      <c r="G72" s="33"/>
      <c r="H72" s="33"/>
      <c r="I72" s="34" t="str">
        <f t="shared" si="1"/>
        <v>0/3</v>
      </c>
    </row>
    <row r="73" spans="1:9" x14ac:dyDescent="0.25">
      <c r="A73" s="30">
        <f>A64</f>
        <v>46209</v>
      </c>
      <c r="B73" s="31" t="s">
        <v>82</v>
      </c>
      <c r="C73" s="31" t="s">
        <v>31</v>
      </c>
      <c r="D73" s="32" t="s">
        <v>32</v>
      </c>
      <c r="E73" s="33"/>
      <c r="F73" s="33"/>
      <c r="G73" s="33"/>
      <c r="H73" s="33"/>
      <c r="I73" s="34" t="str">
        <f t="shared" si="1"/>
        <v>0/3</v>
      </c>
    </row>
    <row r="74" spans="1:9" x14ac:dyDescent="0.25">
      <c r="A74" s="30">
        <f>A64</f>
        <v>46209</v>
      </c>
      <c r="B74" s="31" t="s">
        <v>82</v>
      </c>
      <c r="C74" s="31" t="s">
        <v>33</v>
      </c>
      <c r="D74" s="32" t="s">
        <v>34</v>
      </c>
      <c r="E74" s="33"/>
      <c r="F74" s="33"/>
      <c r="G74" s="33"/>
      <c r="H74" s="33"/>
      <c r="I74" s="34" t="str">
        <f t="shared" si="1"/>
        <v>0/3</v>
      </c>
    </row>
    <row r="75" spans="1:9" x14ac:dyDescent="0.25">
      <c r="A75" s="30">
        <f>A64</f>
        <v>46209</v>
      </c>
      <c r="B75" s="31" t="s">
        <v>82</v>
      </c>
      <c r="C75" s="31" t="s">
        <v>35</v>
      </c>
      <c r="D75" s="32" t="s">
        <v>36</v>
      </c>
      <c r="E75" s="33"/>
      <c r="F75" s="33"/>
      <c r="G75" s="33"/>
      <c r="H75" s="33"/>
      <c r="I75" s="34" t="str">
        <f t="shared" si="1"/>
        <v>0/3</v>
      </c>
    </row>
    <row r="76" spans="1:9" x14ac:dyDescent="0.25">
      <c r="A76" s="30">
        <f>A64+7</f>
        <v>46216</v>
      </c>
      <c r="B76" s="31" t="s">
        <v>81</v>
      </c>
      <c r="C76" s="31" t="s">
        <v>24</v>
      </c>
      <c r="D76" s="32" t="s">
        <v>26</v>
      </c>
      <c r="E76" s="33"/>
      <c r="F76" s="33"/>
      <c r="G76" s="33"/>
      <c r="H76" s="33"/>
      <c r="I76" s="34" t="str">
        <f t="shared" si="1"/>
        <v>0/3</v>
      </c>
    </row>
    <row r="77" spans="1:9" ht="30" x14ac:dyDescent="0.25">
      <c r="A77" s="30">
        <f>A76</f>
        <v>46216</v>
      </c>
      <c r="B77" s="31" t="s">
        <v>81</v>
      </c>
      <c r="C77" s="31" t="s">
        <v>27</v>
      </c>
      <c r="D77" s="32" t="s">
        <v>28</v>
      </c>
      <c r="E77" s="33"/>
      <c r="F77" s="33"/>
      <c r="G77" s="33"/>
      <c r="H77" s="33"/>
      <c r="I77" s="34" t="str">
        <f t="shared" si="1"/>
        <v>0/3</v>
      </c>
    </row>
    <row r="78" spans="1:9" x14ac:dyDescent="0.25">
      <c r="A78" s="30">
        <f>A76</f>
        <v>46216</v>
      </c>
      <c r="B78" s="31" t="s">
        <v>81</v>
      </c>
      <c r="C78" s="31" t="s">
        <v>29</v>
      </c>
      <c r="D78" s="32" t="s">
        <v>30</v>
      </c>
      <c r="E78" s="33"/>
      <c r="F78" s="33"/>
      <c r="G78" s="33"/>
      <c r="H78" s="33"/>
      <c r="I78" s="34" t="str">
        <f t="shared" si="1"/>
        <v>0/3</v>
      </c>
    </row>
    <row r="79" spans="1:9" x14ac:dyDescent="0.25">
      <c r="A79" s="30">
        <f>A76</f>
        <v>46216</v>
      </c>
      <c r="B79" s="31" t="s">
        <v>81</v>
      </c>
      <c r="C79" s="31" t="s">
        <v>31</v>
      </c>
      <c r="D79" s="32" t="s">
        <v>32</v>
      </c>
      <c r="E79" s="33"/>
      <c r="F79" s="33"/>
      <c r="G79" s="33"/>
      <c r="H79" s="33"/>
      <c r="I79" s="34" t="str">
        <f t="shared" si="1"/>
        <v>0/3</v>
      </c>
    </row>
    <row r="80" spans="1:9" x14ac:dyDescent="0.25">
      <c r="A80" s="30">
        <f>A76</f>
        <v>46216</v>
      </c>
      <c r="B80" s="31" t="s">
        <v>81</v>
      </c>
      <c r="C80" s="31" t="s">
        <v>33</v>
      </c>
      <c r="D80" s="32" t="s">
        <v>34</v>
      </c>
      <c r="E80" s="33"/>
      <c r="F80" s="33"/>
      <c r="G80" s="33"/>
      <c r="H80" s="33"/>
      <c r="I80" s="34" t="str">
        <f t="shared" si="1"/>
        <v>0/3</v>
      </c>
    </row>
    <row r="81" spans="1:9" x14ac:dyDescent="0.25">
      <c r="A81" s="30">
        <f>A76</f>
        <v>46216</v>
      </c>
      <c r="B81" s="31" t="s">
        <v>81</v>
      </c>
      <c r="C81" s="31" t="s">
        <v>35</v>
      </c>
      <c r="D81" s="32" t="s">
        <v>36</v>
      </c>
      <c r="E81" s="33"/>
      <c r="F81" s="33"/>
      <c r="G81" s="33"/>
      <c r="H81" s="33"/>
      <c r="I81" s="34" t="str">
        <f t="shared" si="1"/>
        <v>0/3</v>
      </c>
    </row>
    <row r="82" spans="1:9" x14ac:dyDescent="0.25">
      <c r="A82" s="30">
        <f>A76</f>
        <v>46216</v>
      </c>
      <c r="B82" s="31" t="s">
        <v>82</v>
      </c>
      <c r="C82" s="31" t="s">
        <v>24</v>
      </c>
      <c r="D82" s="32" t="s">
        <v>26</v>
      </c>
      <c r="E82" s="33"/>
      <c r="F82" s="33"/>
      <c r="G82" s="33"/>
      <c r="H82" s="33"/>
      <c r="I82" s="34" t="str">
        <f t="shared" si="1"/>
        <v>0/3</v>
      </c>
    </row>
    <row r="83" spans="1:9" ht="30" x14ac:dyDescent="0.25">
      <c r="A83" s="30">
        <f>A76</f>
        <v>46216</v>
      </c>
      <c r="B83" s="31" t="s">
        <v>82</v>
      </c>
      <c r="C83" s="31" t="s">
        <v>27</v>
      </c>
      <c r="D83" s="32" t="s">
        <v>28</v>
      </c>
      <c r="E83" s="33"/>
      <c r="F83" s="33"/>
      <c r="G83" s="33"/>
      <c r="H83" s="33"/>
      <c r="I83" s="34" t="str">
        <f t="shared" si="1"/>
        <v>0/3</v>
      </c>
    </row>
    <row r="84" spans="1:9" x14ac:dyDescent="0.25">
      <c r="A84" s="30">
        <f>A76</f>
        <v>46216</v>
      </c>
      <c r="B84" s="31" t="s">
        <v>82</v>
      </c>
      <c r="C84" s="31" t="s">
        <v>29</v>
      </c>
      <c r="D84" s="32" t="s">
        <v>30</v>
      </c>
      <c r="E84" s="33"/>
      <c r="F84" s="33"/>
      <c r="G84" s="33"/>
      <c r="H84" s="33"/>
      <c r="I84" s="34" t="str">
        <f t="shared" si="1"/>
        <v>0/3</v>
      </c>
    </row>
    <row r="85" spans="1:9" x14ac:dyDescent="0.25">
      <c r="A85" s="30">
        <f>A76</f>
        <v>46216</v>
      </c>
      <c r="B85" s="31" t="s">
        <v>82</v>
      </c>
      <c r="C85" s="31" t="s">
        <v>31</v>
      </c>
      <c r="D85" s="32" t="s">
        <v>32</v>
      </c>
      <c r="E85" s="33"/>
      <c r="F85" s="33"/>
      <c r="G85" s="33"/>
      <c r="H85" s="33"/>
      <c r="I85" s="34" t="str">
        <f t="shared" si="1"/>
        <v>0/3</v>
      </c>
    </row>
    <row r="86" spans="1:9" x14ac:dyDescent="0.25">
      <c r="A86" s="30">
        <f>A76</f>
        <v>46216</v>
      </c>
      <c r="B86" s="31" t="s">
        <v>82</v>
      </c>
      <c r="C86" s="31" t="s">
        <v>33</v>
      </c>
      <c r="D86" s="32" t="s">
        <v>34</v>
      </c>
      <c r="E86" s="33"/>
      <c r="F86" s="33"/>
      <c r="G86" s="33"/>
      <c r="H86" s="33"/>
      <c r="I86" s="34" t="str">
        <f t="shared" si="1"/>
        <v>0/3</v>
      </c>
    </row>
    <row r="87" spans="1:9" x14ac:dyDescent="0.25">
      <c r="A87" s="30">
        <f>A76</f>
        <v>46216</v>
      </c>
      <c r="B87" s="31" t="s">
        <v>82</v>
      </c>
      <c r="C87" s="31" t="s">
        <v>35</v>
      </c>
      <c r="D87" s="32" t="s">
        <v>36</v>
      </c>
      <c r="E87" s="33"/>
      <c r="F87" s="33"/>
      <c r="G87" s="33"/>
      <c r="H87" s="33"/>
      <c r="I87" s="34" t="str">
        <f t="shared" si="1"/>
        <v>0/3</v>
      </c>
    </row>
    <row r="88" spans="1:9" x14ac:dyDescent="0.25">
      <c r="A88" s="30">
        <f>A76+7</f>
        <v>46223</v>
      </c>
      <c r="B88" s="31" t="s">
        <v>81</v>
      </c>
      <c r="C88" s="31" t="s">
        <v>24</v>
      </c>
      <c r="D88" s="32" t="s">
        <v>26</v>
      </c>
      <c r="E88" s="33"/>
      <c r="F88" s="33"/>
      <c r="G88" s="33"/>
      <c r="H88" s="33"/>
      <c r="I88" s="34" t="str">
        <f t="shared" si="1"/>
        <v>0/3</v>
      </c>
    </row>
    <row r="89" spans="1:9" ht="30" x14ac:dyDescent="0.25">
      <c r="A89" s="30">
        <f>A88</f>
        <v>46223</v>
      </c>
      <c r="B89" s="31" t="s">
        <v>81</v>
      </c>
      <c r="C89" s="31" t="s">
        <v>27</v>
      </c>
      <c r="D89" s="32" t="s">
        <v>28</v>
      </c>
      <c r="E89" s="33"/>
      <c r="F89" s="33"/>
      <c r="G89" s="33"/>
      <c r="H89" s="33"/>
      <c r="I89" s="34" t="str">
        <f t="shared" si="1"/>
        <v>0/3</v>
      </c>
    </row>
    <row r="90" spans="1:9" x14ac:dyDescent="0.25">
      <c r="A90" s="30">
        <f>A88</f>
        <v>46223</v>
      </c>
      <c r="B90" s="31" t="s">
        <v>81</v>
      </c>
      <c r="C90" s="31" t="s">
        <v>29</v>
      </c>
      <c r="D90" s="32" t="s">
        <v>30</v>
      </c>
      <c r="E90" s="33"/>
      <c r="F90" s="33"/>
      <c r="G90" s="33"/>
      <c r="H90" s="33"/>
      <c r="I90" s="34" t="str">
        <f t="shared" si="1"/>
        <v>0/3</v>
      </c>
    </row>
    <row r="91" spans="1:9" x14ac:dyDescent="0.25">
      <c r="A91" s="30">
        <f>A88</f>
        <v>46223</v>
      </c>
      <c r="B91" s="31" t="s">
        <v>81</v>
      </c>
      <c r="C91" s="31" t="s">
        <v>31</v>
      </c>
      <c r="D91" s="32" t="s">
        <v>32</v>
      </c>
      <c r="E91" s="33"/>
      <c r="F91" s="33"/>
      <c r="G91" s="33"/>
      <c r="H91" s="33"/>
      <c r="I91" s="34" t="str">
        <f t="shared" si="1"/>
        <v>0/3</v>
      </c>
    </row>
    <row r="92" spans="1:9" x14ac:dyDescent="0.25">
      <c r="A92" s="30">
        <f>A88</f>
        <v>46223</v>
      </c>
      <c r="B92" s="31" t="s">
        <v>81</v>
      </c>
      <c r="C92" s="31" t="s">
        <v>33</v>
      </c>
      <c r="D92" s="32" t="s">
        <v>34</v>
      </c>
      <c r="E92" s="33"/>
      <c r="F92" s="33"/>
      <c r="G92" s="33"/>
      <c r="H92" s="33"/>
      <c r="I92" s="34" t="str">
        <f t="shared" si="1"/>
        <v>0/3</v>
      </c>
    </row>
    <row r="93" spans="1:9" x14ac:dyDescent="0.25">
      <c r="A93" s="30">
        <f>A88</f>
        <v>46223</v>
      </c>
      <c r="B93" s="31" t="s">
        <v>81</v>
      </c>
      <c r="C93" s="31" t="s">
        <v>35</v>
      </c>
      <c r="D93" s="32" t="s">
        <v>36</v>
      </c>
      <c r="E93" s="33"/>
      <c r="F93" s="33"/>
      <c r="G93" s="33"/>
      <c r="H93" s="33"/>
      <c r="I93" s="34" t="str">
        <f t="shared" si="1"/>
        <v>0/3</v>
      </c>
    </row>
    <row r="94" spans="1:9" x14ac:dyDescent="0.25">
      <c r="A94" s="30">
        <f>A88</f>
        <v>46223</v>
      </c>
      <c r="B94" s="31" t="s">
        <v>82</v>
      </c>
      <c r="C94" s="31" t="s">
        <v>24</v>
      </c>
      <c r="D94" s="32" t="s">
        <v>26</v>
      </c>
      <c r="E94" s="33"/>
      <c r="F94" s="33"/>
      <c r="G94" s="33"/>
      <c r="H94" s="33"/>
      <c r="I94" s="34" t="str">
        <f t="shared" si="1"/>
        <v>0/3</v>
      </c>
    </row>
    <row r="95" spans="1:9" ht="30" x14ac:dyDescent="0.25">
      <c r="A95" s="30">
        <f>A88</f>
        <v>46223</v>
      </c>
      <c r="B95" s="31" t="s">
        <v>82</v>
      </c>
      <c r="C95" s="31" t="s">
        <v>27</v>
      </c>
      <c r="D95" s="32" t="s">
        <v>28</v>
      </c>
      <c r="E95" s="33"/>
      <c r="F95" s="33"/>
      <c r="G95" s="33"/>
      <c r="H95" s="33"/>
      <c r="I95" s="34" t="str">
        <f t="shared" si="1"/>
        <v>0/3</v>
      </c>
    </row>
    <row r="96" spans="1:9" x14ac:dyDescent="0.25">
      <c r="A96" s="30">
        <f>A88</f>
        <v>46223</v>
      </c>
      <c r="B96" s="31" t="s">
        <v>82</v>
      </c>
      <c r="C96" s="31" t="s">
        <v>29</v>
      </c>
      <c r="D96" s="32" t="s">
        <v>30</v>
      </c>
      <c r="E96" s="33"/>
      <c r="F96" s="33"/>
      <c r="G96" s="33"/>
      <c r="H96" s="33"/>
      <c r="I96" s="34" t="str">
        <f t="shared" si="1"/>
        <v>0/3</v>
      </c>
    </row>
    <row r="97" spans="1:9" x14ac:dyDescent="0.25">
      <c r="A97" s="30">
        <f>A88</f>
        <v>46223</v>
      </c>
      <c r="B97" s="31" t="s">
        <v>82</v>
      </c>
      <c r="C97" s="31" t="s">
        <v>31</v>
      </c>
      <c r="D97" s="32" t="s">
        <v>32</v>
      </c>
      <c r="E97" s="33"/>
      <c r="F97" s="33"/>
      <c r="G97" s="33"/>
      <c r="H97" s="33"/>
      <c r="I97" s="34" t="str">
        <f t="shared" si="1"/>
        <v>0/3</v>
      </c>
    </row>
    <row r="98" spans="1:9" x14ac:dyDescent="0.25">
      <c r="A98" s="30">
        <f>A88</f>
        <v>46223</v>
      </c>
      <c r="B98" s="31" t="s">
        <v>82</v>
      </c>
      <c r="C98" s="31" t="s">
        <v>33</v>
      </c>
      <c r="D98" s="32" t="s">
        <v>34</v>
      </c>
      <c r="E98" s="33"/>
      <c r="F98" s="33"/>
      <c r="G98" s="33"/>
      <c r="H98" s="33"/>
      <c r="I98" s="34" t="str">
        <f t="shared" si="1"/>
        <v>0/3</v>
      </c>
    </row>
    <row r="99" spans="1:9" x14ac:dyDescent="0.25">
      <c r="A99" s="30">
        <f>A88</f>
        <v>46223</v>
      </c>
      <c r="B99" s="31" t="s">
        <v>82</v>
      </c>
      <c r="C99" s="31" t="s">
        <v>35</v>
      </c>
      <c r="D99" s="32" t="s">
        <v>36</v>
      </c>
      <c r="E99" s="33"/>
      <c r="F99" s="33"/>
      <c r="G99" s="33"/>
      <c r="H99" s="33"/>
      <c r="I99" s="34" t="str">
        <f t="shared" si="1"/>
        <v>0/3</v>
      </c>
    </row>
    <row r="100" spans="1:9" x14ac:dyDescent="0.25">
      <c r="A100" s="30">
        <f>A88+7</f>
        <v>46230</v>
      </c>
      <c r="B100" s="31" t="s">
        <v>81</v>
      </c>
      <c r="C100" s="31" t="s">
        <v>24</v>
      </c>
      <c r="D100" s="32" t="s">
        <v>26</v>
      </c>
      <c r="E100" s="33"/>
      <c r="F100" s="33"/>
      <c r="G100" s="33"/>
      <c r="H100" s="33"/>
      <c r="I100" s="34" t="str">
        <f t="shared" si="1"/>
        <v>0/3</v>
      </c>
    </row>
    <row r="101" spans="1:9" ht="30" x14ac:dyDescent="0.25">
      <c r="A101" s="30">
        <f>A100</f>
        <v>46230</v>
      </c>
      <c r="B101" s="31" t="s">
        <v>81</v>
      </c>
      <c r="C101" s="31" t="s">
        <v>27</v>
      </c>
      <c r="D101" s="32" t="s">
        <v>28</v>
      </c>
      <c r="E101" s="33"/>
      <c r="F101" s="33"/>
      <c r="G101" s="33"/>
      <c r="H101" s="33"/>
      <c r="I101" s="34" t="str">
        <f t="shared" si="1"/>
        <v>0/3</v>
      </c>
    </row>
    <row r="102" spans="1:9" x14ac:dyDescent="0.25">
      <c r="A102" s="30">
        <f>A100</f>
        <v>46230</v>
      </c>
      <c r="B102" s="31" t="s">
        <v>81</v>
      </c>
      <c r="C102" s="31" t="s">
        <v>29</v>
      </c>
      <c r="D102" s="32" t="s">
        <v>30</v>
      </c>
      <c r="E102" s="33"/>
      <c r="F102" s="33"/>
      <c r="G102" s="33"/>
      <c r="H102" s="33"/>
      <c r="I102" s="34" t="str">
        <f t="shared" si="1"/>
        <v>0/3</v>
      </c>
    </row>
    <row r="103" spans="1:9" x14ac:dyDescent="0.25">
      <c r="A103" s="30">
        <f>A100</f>
        <v>46230</v>
      </c>
      <c r="B103" s="31" t="s">
        <v>81</v>
      </c>
      <c r="C103" s="31" t="s">
        <v>31</v>
      </c>
      <c r="D103" s="32" t="s">
        <v>32</v>
      </c>
      <c r="E103" s="33"/>
      <c r="F103" s="33"/>
      <c r="G103" s="33"/>
      <c r="H103" s="33"/>
      <c r="I103" s="34" t="str">
        <f t="shared" si="1"/>
        <v>0/3</v>
      </c>
    </row>
    <row r="104" spans="1:9" x14ac:dyDescent="0.25">
      <c r="A104" s="30">
        <f>A100</f>
        <v>46230</v>
      </c>
      <c r="B104" s="31" t="s">
        <v>81</v>
      </c>
      <c r="C104" s="31" t="s">
        <v>33</v>
      </c>
      <c r="D104" s="32" t="s">
        <v>34</v>
      </c>
      <c r="E104" s="33"/>
      <c r="F104" s="33"/>
      <c r="G104" s="33"/>
      <c r="H104" s="33"/>
      <c r="I104" s="34" t="str">
        <f t="shared" si="1"/>
        <v>0/3</v>
      </c>
    </row>
    <row r="105" spans="1:9" x14ac:dyDescent="0.25">
      <c r="A105" s="30">
        <f>A100</f>
        <v>46230</v>
      </c>
      <c r="B105" s="31" t="s">
        <v>81</v>
      </c>
      <c r="C105" s="31" t="s">
        <v>35</v>
      </c>
      <c r="D105" s="32" t="s">
        <v>36</v>
      </c>
      <c r="E105" s="33"/>
      <c r="F105" s="33"/>
      <c r="G105" s="33"/>
      <c r="H105" s="33"/>
      <c r="I105" s="34" t="str">
        <f t="shared" si="1"/>
        <v>0/3</v>
      </c>
    </row>
    <row r="106" spans="1:9" x14ac:dyDescent="0.25">
      <c r="A106" s="30">
        <f>A100</f>
        <v>46230</v>
      </c>
      <c r="B106" s="31" t="s">
        <v>82</v>
      </c>
      <c r="C106" s="31" t="s">
        <v>24</v>
      </c>
      <c r="D106" s="32" t="s">
        <v>26</v>
      </c>
      <c r="E106" s="33"/>
      <c r="F106" s="33"/>
      <c r="G106" s="33"/>
      <c r="H106" s="33"/>
      <c r="I106" s="34" t="str">
        <f t="shared" si="1"/>
        <v>0/3</v>
      </c>
    </row>
    <row r="107" spans="1:9" ht="30" x14ac:dyDescent="0.25">
      <c r="A107" s="30">
        <f>A100</f>
        <v>46230</v>
      </c>
      <c r="B107" s="31" t="s">
        <v>82</v>
      </c>
      <c r="C107" s="31" t="s">
        <v>27</v>
      </c>
      <c r="D107" s="32" t="s">
        <v>28</v>
      </c>
      <c r="E107" s="33"/>
      <c r="F107" s="33"/>
      <c r="G107" s="33"/>
      <c r="H107" s="33"/>
      <c r="I107" s="34" t="str">
        <f t="shared" si="1"/>
        <v>0/3</v>
      </c>
    </row>
    <row r="108" spans="1:9" x14ac:dyDescent="0.25">
      <c r="A108" s="30">
        <f>A100</f>
        <v>46230</v>
      </c>
      <c r="B108" s="31" t="s">
        <v>82</v>
      </c>
      <c r="C108" s="31" t="s">
        <v>29</v>
      </c>
      <c r="D108" s="32" t="s">
        <v>30</v>
      </c>
      <c r="E108" s="33"/>
      <c r="F108" s="33"/>
      <c r="G108" s="33"/>
      <c r="H108" s="33"/>
      <c r="I108" s="34" t="str">
        <f t="shared" si="1"/>
        <v>0/3</v>
      </c>
    </row>
    <row r="109" spans="1:9" x14ac:dyDescent="0.25">
      <c r="A109" s="30">
        <f>A100</f>
        <v>46230</v>
      </c>
      <c r="B109" s="31" t="s">
        <v>82</v>
      </c>
      <c r="C109" s="31" t="s">
        <v>31</v>
      </c>
      <c r="D109" s="32" t="s">
        <v>32</v>
      </c>
      <c r="E109" s="33"/>
      <c r="F109" s="33"/>
      <c r="G109" s="33"/>
      <c r="H109" s="33"/>
      <c r="I109" s="34" t="str">
        <f t="shared" si="1"/>
        <v>0/3</v>
      </c>
    </row>
    <row r="110" spans="1:9" x14ac:dyDescent="0.25">
      <c r="A110" s="30">
        <f>A100</f>
        <v>46230</v>
      </c>
      <c r="B110" s="31" t="s">
        <v>82</v>
      </c>
      <c r="C110" s="31" t="s">
        <v>33</v>
      </c>
      <c r="D110" s="32" t="s">
        <v>34</v>
      </c>
      <c r="E110" s="33"/>
      <c r="F110" s="33"/>
      <c r="G110" s="33"/>
      <c r="H110" s="33"/>
      <c r="I110" s="34" t="str">
        <f t="shared" si="1"/>
        <v>0/3</v>
      </c>
    </row>
    <row r="111" spans="1:9" x14ac:dyDescent="0.25">
      <c r="A111" s="30">
        <f>A100</f>
        <v>46230</v>
      </c>
      <c r="B111" s="31" t="s">
        <v>82</v>
      </c>
      <c r="C111" s="31" t="s">
        <v>35</v>
      </c>
      <c r="D111" s="32" t="s">
        <v>36</v>
      </c>
      <c r="E111" s="33"/>
      <c r="F111" s="33"/>
      <c r="G111" s="33"/>
      <c r="H111" s="33"/>
      <c r="I111" s="34" t="str">
        <f t="shared" si="1"/>
        <v>0/3</v>
      </c>
    </row>
    <row r="112" spans="1:9" x14ac:dyDescent="0.25">
      <c r="A112" s="30">
        <f>A100+7</f>
        <v>46237</v>
      </c>
      <c r="B112" s="31" t="s">
        <v>81</v>
      </c>
      <c r="C112" s="31" t="s">
        <v>24</v>
      </c>
      <c r="D112" s="32" t="s">
        <v>26</v>
      </c>
      <c r="E112" s="33"/>
      <c r="F112" s="33"/>
      <c r="G112" s="33"/>
      <c r="H112" s="33"/>
      <c r="I112" s="34" t="str">
        <f t="shared" si="1"/>
        <v>0/3</v>
      </c>
    </row>
    <row r="113" spans="1:9" ht="30" x14ac:dyDescent="0.25">
      <c r="A113" s="30">
        <f>A112</f>
        <v>46237</v>
      </c>
      <c r="B113" s="31" t="s">
        <v>81</v>
      </c>
      <c r="C113" s="31" t="s">
        <v>27</v>
      </c>
      <c r="D113" s="32" t="s">
        <v>28</v>
      </c>
      <c r="E113" s="33"/>
      <c r="F113" s="33"/>
      <c r="G113" s="33"/>
      <c r="H113" s="33"/>
      <c r="I113" s="34" t="str">
        <f t="shared" si="1"/>
        <v>0/3</v>
      </c>
    </row>
    <row r="114" spans="1:9" x14ac:dyDescent="0.25">
      <c r="A114" s="30">
        <f>A112</f>
        <v>46237</v>
      </c>
      <c r="B114" s="31" t="s">
        <v>81</v>
      </c>
      <c r="C114" s="31" t="s">
        <v>29</v>
      </c>
      <c r="D114" s="32" t="s">
        <v>30</v>
      </c>
      <c r="E114" s="33"/>
      <c r="F114" s="33"/>
      <c r="G114" s="33"/>
      <c r="H114" s="33"/>
      <c r="I114" s="34" t="str">
        <f t="shared" si="1"/>
        <v>0/3</v>
      </c>
    </row>
    <row r="115" spans="1:9" x14ac:dyDescent="0.25">
      <c r="A115" s="30">
        <f>A112</f>
        <v>46237</v>
      </c>
      <c r="B115" s="31" t="s">
        <v>81</v>
      </c>
      <c r="C115" s="31" t="s">
        <v>31</v>
      </c>
      <c r="D115" s="32" t="s">
        <v>32</v>
      </c>
      <c r="E115" s="33"/>
      <c r="F115" s="33"/>
      <c r="G115" s="33"/>
      <c r="H115" s="33"/>
      <c r="I115" s="34" t="str">
        <f t="shared" si="1"/>
        <v>0/3</v>
      </c>
    </row>
    <row r="116" spans="1:9" x14ac:dyDescent="0.25">
      <c r="A116" s="30">
        <f>A112</f>
        <v>46237</v>
      </c>
      <c r="B116" s="31" t="s">
        <v>81</v>
      </c>
      <c r="C116" s="31" t="s">
        <v>33</v>
      </c>
      <c r="D116" s="32" t="s">
        <v>34</v>
      </c>
      <c r="E116" s="33"/>
      <c r="F116" s="33"/>
      <c r="G116" s="33"/>
      <c r="H116" s="33"/>
      <c r="I116" s="34" t="str">
        <f t="shared" si="1"/>
        <v>0/3</v>
      </c>
    </row>
    <row r="117" spans="1:9" x14ac:dyDescent="0.25">
      <c r="A117" s="30">
        <f>A112</f>
        <v>46237</v>
      </c>
      <c r="B117" s="31" t="s">
        <v>81</v>
      </c>
      <c r="C117" s="31" t="s">
        <v>35</v>
      </c>
      <c r="D117" s="32" t="s">
        <v>36</v>
      </c>
      <c r="E117" s="33"/>
      <c r="F117" s="33"/>
      <c r="G117" s="33"/>
      <c r="H117" s="33"/>
      <c r="I117" s="34" t="str">
        <f t="shared" si="1"/>
        <v>0/3</v>
      </c>
    </row>
    <row r="118" spans="1:9" x14ac:dyDescent="0.25">
      <c r="A118" s="30">
        <f>A112</f>
        <v>46237</v>
      </c>
      <c r="B118" s="31" t="s">
        <v>82</v>
      </c>
      <c r="C118" s="31" t="s">
        <v>24</v>
      </c>
      <c r="D118" s="32" t="s">
        <v>26</v>
      </c>
      <c r="E118" s="33"/>
      <c r="F118" s="33"/>
      <c r="G118" s="33"/>
      <c r="H118" s="33"/>
      <c r="I118" s="34" t="str">
        <f t="shared" si="1"/>
        <v>0/3</v>
      </c>
    </row>
    <row r="119" spans="1:9" ht="30" x14ac:dyDescent="0.25">
      <c r="A119" s="30">
        <f>A112</f>
        <v>46237</v>
      </c>
      <c r="B119" s="31" t="s">
        <v>82</v>
      </c>
      <c r="C119" s="31" t="s">
        <v>27</v>
      </c>
      <c r="D119" s="32" t="s">
        <v>28</v>
      </c>
      <c r="E119" s="33"/>
      <c r="F119" s="33"/>
      <c r="G119" s="33"/>
      <c r="H119" s="33"/>
      <c r="I119" s="34" t="str">
        <f t="shared" si="1"/>
        <v>0/3</v>
      </c>
    </row>
    <row r="120" spans="1:9" x14ac:dyDescent="0.25">
      <c r="A120" s="30">
        <f>A112</f>
        <v>46237</v>
      </c>
      <c r="B120" s="31" t="s">
        <v>82</v>
      </c>
      <c r="C120" s="31" t="s">
        <v>29</v>
      </c>
      <c r="D120" s="32" t="s">
        <v>30</v>
      </c>
      <c r="E120" s="33"/>
      <c r="F120" s="33"/>
      <c r="G120" s="33"/>
      <c r="H120" s="33"/>
      <c r="I120" s="34" t="str">
        <f t="shared" si="1"/>
        <v>0/3</v>
      </c>
    </row>
    <row r="121" spans="1:9" x14ac:dyDescent="0.25">
      <c r="A121" s="30">
        <f>A112</f>
        <v>46237</v>
      </c>
      <c r="B121" s="31" t="s">
        <v>82</v>
      </c>
      <c r="C121" s="31" t="s">
        <v>31</v>
      </c>
      <c r="D121" s="32" t="s">
        <v>32</v>
      </c>
      <c r="E121" s="33"/>
      <c r="F121" s="33"/>
      <c r="G121" s="33"/>
      <c r="H121" s="33"/>
      <c r="I121" s="34" t="str">
        <f t="shared" si="1"/>
        <v>0/3</v>
      </c>
    </row>
    <row r="122" spans="1:9" x14ac:dyDescent="0.25">
      <c r="A122" s="30">
        <f>A112</f>
        <v>46237</v>
      </c>
      <c r="B122" s="31" t="s">
        <v>82</v>
      </c>
      <c r="C122" s="31" t="s">
        <v>33</v>
      </c>
      <c r="D122" s="32" t="s">
        <v>34</v>
      </c>
      <c r="E122" s="33"/>
      <c r="F122" s="33"/>
      <c r="G122" s="33"/>
      <c r="H122" s="33"/>
      <c r="I122" s="34" t="str">
        <f t="shared" si="1"/>
        <v>0/3</v>
      </c>
    </row>
    <row r="123" spans="1:9" x14ac:dyDescent="0.25">
      <c r="A123" s="30">
        <f>A112</f>
        <v>46237</v>
      </c>
      <c r="B123" s="31" t="s">
        <v>82</v>
      </c>
      <c r="C123" s="31" t="s">
        <v>35</v>
      </c>
      <c r="D123" s="32" t="s">
        <v>36</v>
      </c>
      <c r="E123" s="33"/>
      <c r="F123" s="33"/>
      <c r="G123" s="33"/>
      <c r="H123" s="33"/>
      <c r="I123" s="34" t="str">
        <f t="shared" si="1"/>
        <v>0/3</v>
      </c>
    </row>
    <row r="124" spans="1:9" x14ac:dyDescent="0.25">
      <c r="A124" s="30">
        <f>A112+7</f>
        <v>46244</v>
      </c>
      <c r="B124" s="31" t="s">
        <v>81</v>
      </c>
      <c r="C124" s="31" t="s">
        <v>24</v>
      </c>
      <c r="D124" s="32" t="s">
        <v>26</v>
      </c>
      <c r="E124" s="33"/>
      <c r="F124" s="33"/>
      <c r="G124" s="33"/>
      <c r="H124" s="33"/>
      <c r="I124" s="34" t="str">
        <f t="shared" si="1"/>
        <v>0/3</v>
      </c>
    </row>
    <row r="125" spans="1:9" ht="30" x14ac:dyDescent="0.25">
      <c r="A125" s="30">
        <f>A124</f>
        <v>46244</v>
      </c>
      <c r="B125" s="31" t="s">
        <v>81</v>
      </c>
      <c r="C125" s="31" t="s">
        <v>27</v>
      </c>
      <c r="D125" s="32" t="s">
        <v>28</v>
      </c>
      <c r="E125" s="33"/>
      <c r="F125" s="33"/>
      <c r="G125" s="33"/>
      <c r="H125" s="33"/>
      <c r="I125" s="34" t="str">
        <f t="shared" si="1"/>
        <v>0/3</v>
      </c>
    </row>
    <row r="126" spans="1:9" x14ac:dyDescent="0.25">
      <c r="A126" s="30">
        <f>A124</f>
        <v>46244</v>
      </c>
      <c r="B126" s="31" t="s">
        <v>81</v>
      </c>
      <c r="C126" s="31" t="s">
        <v>29</v>
      </c>
      <c r="D126" s="32" t="s">
        <v>30</v>
      </c>
      <c r="E126" s="33"/>
      <c r="F126" s="33"/>
      <c r="G126" s="33"/>
      <c r="H126" s="33"/>
      <c r="I126" s="34" t="str">
        <f t="shared" si="1"/>
        <v>0/3</v>
      </c>
    </row>
    <row r="127" spans="1:9" x14ac:dyDescent="0.25">
      <c r="A127" s="30">
        <f>A124</f>
        <v>46244</v>
      </c>
      <c r="B127" s="31" t="s">
        <v>81</v>
      </c>
      <c r="C127" s="31" t="s">
        <v>31</v>
      </c>
      <c r="D127" s="32" t="s">
        <v>32</v>
      </c>
      <c r="E127" s="33"/>
      <c r="F127" s="33"/>
      <c r="G127" s="33"/>
      <c r="H127" s="33"/>
      <c r="I127" s="34" t="str">
        <f t="shared" si="1"/>
        <v>0/3</v>
      </c>
    </row>
    <row r="128" spans="1:9" x14ac:dyDescent="0.25">
      <c r="A128" s="30">
        <f>A124</f>
        <v>46244</v>
      </c>
      <c r="B128" s="31" t="s">
        <v>81</v>
      </c>
      <c r="C128" s="31" t="s">
        <v>33</v>
      </c>
      <c r="D128" s="32" t="s">
        <v>34</v>
      </c>
      <c r="E128" s="33"/>
      <c r="F128" s="33"/>
      <c r="G128" s="33"/>
      <c r="H128" s="33"/>
      <c r="I128" s="34" t="str">
        <f t="shared" si="1"/>
        <v>0/3</v>
      </c>
    </row>
    <row r="129" spans="1:9" x14ac:dyDescent="0.25">
      <c r="A129" s="30">
        <f>A124</f>
        <v>46244</v>
      </c>
      <c r="B129" s="31" t="s">
        <v>81</v>
      </c>
      <c r="C129" s="31" t="s">
        <v>35</v>
      </c>
      <c r="D129" s="32" t="s">
        <v>36</v>
      </c>
      <c r="E129" s="33"/>
      <c r="F129" s="33"/>
      <c r="G129" s="33"/>
      <c r="H129" s="33"/>
      <c r="I129" s="34" t="str">
        <f t="shared" si="1"/>
        <v>0/3</v>
      </c>
    </row>
    <row r="130" spans="1:9" x14ac:dyDescent="0.25">
      <c r="A130" s="30">
        <f>A124</f>
        <v>46244</v>
      </c>
      <c r="B130" s="31" t="s">
        <v>82</v>
      </c>
      <c r="C130" s="31" t="s">
        <v>24</v>
      </c>
      <c r="D130" s="32" t="s">
        <v>26</v>
      </c>
      <c r="E130" s="33"/>
      <c r="F130" s="33"/>
      <c r="G130" s="33"/>
      <c r="H130" s="33"/>
      <c r="I130" s="34" t="str">
        <f t="shared" si="1"/>
        <v>0/3</v>
      </c>
    </row>
    <row r="131" spans="1:9" ht="30" x14ac:dyDescent="0.25">
      <c r="A131" s="30">
        <f>A124</f>
        <v>46244</v>
      </c>
      <c r="B131" s="31" t="s">
        <v>82</v>
      </c>
      <c r="C131" s="31" t="s">
        <v>27</v>
      </c>
      <c r="D131" s="32" t="s">
        <v>28</v>
      </c>
      <c r="E131" s="33"/>
      <c r="F131" s="33"/>
      <c r="G131" s="33"/>
      <c r="H131" s="33"/>
      <c r="I131" s="34" t="str">
        <f t="shared" si="1"/>
        <v>0/3</v>
      </c>
    </row>
    <row r="132" spans="1:9" x14ac:dyDescent="0.25">
      <c r="A132" s="30">
        <f>A124</f>
        <v>46244</v>
      </c>
      <c r="B132" s="31" t="s">
        <v>82</v>
      </c>
      <c r="C132" s="31" t="s">
        <v>29</v>
      </c>
      <c r="D132" s="32" t="s">
        <v>30</v>
      </c>
      <c r="E132" s="33"/>
      <c r="F132" s="33"/>
      <c r="G132" s="33"/>
      <c r="H132" s="33"/>
      <c r="I132" s="34" t="str">
        <f t="shared" ref="I132:I195" si="2">COUNTA(E132:G132)&amp;"/3"</f>
        <v>0/3</v>
      </c>
    </row>
    <row r="133" spans="1:9" x14ac:dyDescent="0.25">
      <c r="A133" s="30">
        <f>A124</f>
        <v>46244</v>
      </c>
      <c r="B133" s="31" t="s">
        <v>82</v>
      </c>
      <c r="C133" s="31" t="s">
        <v>31</v>
      </c>
      <c r="D133" s="32" t="s">
        <v>32</v>
      </c>
      <c r="E133" s="33"/>
      <c r="F133" s="33"/>
      <c r="G133" s="33"/>
      <c r="H133" s="33"/>
      <c r="I133" s="34" t="str">
        <f t="shared" si="2"/>
        <v>0/3</v>
      </c>
    </row>
    <row r="134" spans="1:9" x14ac:dyDescent="0.25">
      <c r="A134" s="30">
        <f>A124</f>
        <v>46244</v>
      </c>
      <c r="B134" s="31" t="s">
        <v>82</v>
      </c>
      <c r="C134" s="31" t="s">
        <v>33</v>
      </c>
      <c r="D134" s="32" t="s">
        <v>34</v>
      </c>
      <c r="E134" s="33"/>
      <c r="F134" s="33"/>
      <c r="G134" s="33"/>
      <c r="H134" s="33"/>
      <c r="I134" s="34" t="str">
        <f t="shared" si="2"/>
        <v>0/3</v>
      </c>
    </row>
    <row r="135" spans="1:9" x14ac:dyDescent="0.25">
      <c r="A135" s="30">
        <f>A124</f>
        <v>46244</v>
      </c>
      <c r="B135" s="31" t="s">
        <v>82</v>
      </c>
      <c r="C135" s="31" t="s">
        <v>35</v>
      </c>
      <c r="D135" s="32" t="s">
        <v>36</v>
      </c>
      <c r="E135" s="33"/>
      <c r="F135" s="33"/>
      <c r="G135" s="33"/>
      <c r="H135" s="33"/>
      <c r="I135" s="34" t="str">
        <f t="shared" si="2"/>
        <v>0/3</v>
      </c>
    </row>
    <row r="136" spans="1:9" x14ac:dyDescent="0.25">
      <c r="A136" s="30">
        <f>A124+7</f>
        <v>46251</v>
      </c>
      <c r="B136" s="31" t="s">
        <v>81</v>
      </c>
      <c r="C136" s="31" t="s">
        <v>24</v>
      </c>
      <c r="D136" s="32" t="s">
        <v>26</v>
      </c>
      <c r="E136" s="33"/>
      <c r="F136" s="33"/>
      <c r="G136" s="33"/>
      <c r="H136" s="33"/>
      <c r="I136" s="34" t="str">
        <f t="shared" si="2"/>
        <v>0/3</v>
      </c>
    </row>
    <row r="137" spans="1:9" ht="30" x14ac:dyDescent="0.25">
      <c r="A137" s="30">
        <f>A136</f>
        <v>46251</v>
      </c>
      <c r="B137" s="31" t="s">
        <v>81</v>
      </c>
      <c r="C137" s="31" t="s">
        <v>27</v>
      </c>
      <c r="D137" s="32" t="s">
        <v>28</v>
      </c>
      <c r="E137" s="33"/>
      <c r="F137" s="33"/>
      <c r="G137" s="33"/>
      <c r="H137" s="33"/>
      <c r="I137" s="34" t="str">
        <f t="shared" si="2"/>
        <v>0/3</v>
      </c>
    </row>
    <row r="138" spans="1:9" x14ac:dyDescent="0.25">
      <c r="A138" s="30">
        <f>A136</f>
        <v>46251</v>
      </c>
      <c r="B138" s="31" t="s">
        <v>81</v>
      </c>
      <c r="C138" s="31" t="s">
        <v>29</v>
      </c>
      <c r="D138" s="32" t="s">
        <v>30</v>
      </c>
      <c r="E138" s="33"/>
      <c r="F138" s="33"/>
      <c r="G138" s="33"/>
      <c r="H138" s="33"/>
      <c r="I138" s="34" t="str">
        <f t="shared" si="2"/>
        <v>0/3</v>
      </c>
    </row>
    <row r="139" spans="1:9" x14ac:dyDescent="0.25">
      <c r="A139" s="30">
        <f>A136</f>
        <v>46251</v>
      </c>
      <c r="B139" s="31" t="s">
        <v>81</v>
      </c>
      <c r="C139" s="31" t="s">
        <v>31</v>
      </c>
      <c r="D139" s="32" t="s">
        <v>32</v>
      </c>
      <c r="E139" s="33"/>
      <c r="F139" s="33"/>
      <c r="G139" s="33"/>
      <c r="H139" s="33"/>
      <c r="I139" s="34" t="str">
        <f t="shared" si="2"/>
        <v>0/3</v>
      </c>
    </row>
    <row r="140" spans="1:9" x14ac:dyDescent="0.25">
      <c r="A140" s="30">
        <f>A136</f>
        <v>46251</v>
      </c>
      <c r="B140" s="31" t="s">
        <v>81</v>
      </c>
      <c r="C140" s="31" t="s">
        <v>33</v>
      </c>
      <c r="D140" s="32" t="s">
        <v>34</v>
      </c>
      <c r="E140" s="33"/>
      <c r="F140" s="33"/>
      <c r="G140" s="33"/>
      <c r="H140" s="33"/>
      <c r="I140" s="34" t="str">
        <f t="shared" si="2"/>
        <v>0/3</v>
      </c>
    </row>
    <row r="141" spans="1:9" x14ac:dyDescent="0.25">
      <c r="A141" s="30">
        <f>A136</f>
        <v>46251</v>
      </c>
      <c r="B141" s="31" t="s">
        <v>81</v>
      </c>
      <c r="C141" s="31" t="s">
        <v>35</v>
      </c>
      <c r="D141" s="32" t="s">
        <v>36</v>
      </c>
      <c r="E141" s="33"/>
      <c r="F141" s="33"/>
      <c r="G141" s="33"/>
      <c r="H141" s="33"/>
      <c r="I141" s="34" t="str">
        <f t="shared" si="2"/>
        <v>0/3</v>
      </c>
    </row>
    <row r="142" spans="1:9" x14ac:dyDescent="0.25">
      <c r="A142" s="30">
        <f>A136</f>
        <v>46251</v>
      </c>
      <c r="B142" s="31" t="s">
        <v>82</v>
      </c>
      <c r="C142" s="31" t="s">
        <v>24</v>
      </c>
      <c r="D142" s="32" t="s">
        <v>26</v>
      </c>
      <c r="E142" s="33"/>
      <c r="F142" s="33"/>
      <c r="G142" s="33"/>
      <c r="H142" s="33"/>
      <c r="I142" s="34" t="str">
        <f t="shared" si="2"/>
        <v>0/3</v>
      </c>
    </row>
    <row r="143" spans="1:9" ht="30" x14ac:dyDescent="0.25">
      <c r="A143" s="30">
        <f>A136</f>
        <v>46251</v>
      </c>
      <c r="B143" s="31" t="s">
        <v>82</v>
      </c>
      <c r="C143" s="31" t="s">
        <v>27</v>
      </c>
      <c r="D143" s="32" t="s">
        <v>28</v>
      </c>
      <c r="E143" s="33"/>
      <c r="F143" s="33"/>
      <c r="G143" s="33"/>
      <c r="H143" s="33"/>
      <c r="I143" s="34" t="str">
        <f t="shared" si="2"/>
        <v>0/3</v>
      </c>
    </row>
    <row r="144" spans="1:9" x14ac:dyDescent="0.25">
      <c r="A144" s="30">
        <f>A136</f>
        <v>46251</v>
      </c>
      <c r="B144" s="31" t="s">
        <v>82</v>
      </c>
      <c r="C144" s="31" t="s">
        <v>29</v>
      </c>
      <c r="D144" s="32" t="s">
        <v>30</v>
      </c>
      <c r="E144" s="33"/>
      <c r="F144" s="33"/>
      <c r="G144" s="33"/>
      <c r="H144" s="33"/>
      <c r="I144" s="34" t="str">
        <f t="shared" si="2"/>
        <v>0/3</v>
      </c>
    </row>
    <row r="145" spans="1:9" x14ac:dyDescent="0.25">
      <c r="A145" s="30">
        <f>A136</f>
        <v>46251</v>
      </c>
      <c r="B145" s="31" t="s">
        <v>82</v>
      </c>
      <c r="C145" s="31" t="s">
        <v>31</v>
      </c>
      <c r="D145" s="32" t="s">
        <v>32</v>
      </c>
      <c r="E145" s="33"/>
      <c r="F145" s="33"/>
      <c r="G145" s="33"/>
      <c r="H145" s="33"/>
      <c r="I145" s="34" t="str">
        <f t="shared" si="2"/>
        <v>0/3</v>
      </c>
    </row>
    <row r="146" spans="1:9" x14ac:dyDescent="0.25">
      <c r="A146" s="30">
        <f>A136</f>
        <v>46251</v>
      </c>
      <c r="B146" s="31" t="s">
        <v>82</v>
      </c>
      <c r="C146" s="31" t="s">
        <v>33</v>
      </c>
      <c r="D146" s="32" t="s">
        <v>34</v>
      </c>
      <c r="E146" s="33"/>
      <c r="F146" s="33"/>
      <c r="G146" s="33"/>
      <c r="H146" s="33"/>
      <c r="I146" s="34" t="str">
        <f t="shared" si="2"/>
        <v>0/3</v>
      </c>
    </row>
    <row r="147" spans="1:9" x14ac:dyDescent="0.25">
      <c r="A147" s="30">
        <f>A136</f>
        <v>46251</v>
      </c>
      <c r="B147" s="31" t="s">
        <v>82</v>
      </c>
      <c r="C147" s="31" t="s">
        <v>35</v>
      </c>
      <c r="D147" s="32" t="s">
        <v>36</v>
      </c>
      <c r="E147" s="33"/>
      <c r="F147" s="33"/>
      <c r="G147" s="33"/>
      <c r="H147" s="33"/>
      <c r="I147" s="34" t="str">
        <f t="shared" si="2"/>
        <v>0/3</v>
      </c>
    </row>
    <row r="148" spans="1:9" x14ac:dyDescent="0.25">
      <c r="A148" s="30">
        <f>A136+7</f>
        <v>46258</v>
      </c>
      <c r="B148" s="31" t="s">
        <v>81</v>
      </c>
      <c r="C148" s="31" t="s">
        <v>24</v>
      </c>
      <c r="D148" s="32" t="s">
        <v>26</v>
      </c>
      <c r="E148" s="33"/>
      <c r="F148" s="33"/>
      <c r="G148" s="33"/>
      <c r="H148" s="33"/>
      <c r="I148" s="34" t="str">
        <f t="shared" si="2"/>
        <v>0/3</v>
      </c>
    </row>
    <row r="149" spans="1:9" ht="30" x14ac:dyDescent="0.25">
      <c r="A149" s="30">
        <f>A148</f>
        <v>46258</v>
      </c>
      <c r="B149" s="31" t="s">
        <v>81</v>
      </c>
      <c r="C149" s="31" t="s">
        <v>27</v>
      </c>
      <c r="D149" s="32" t="s">
        <v>28</v>
      </c>
      <c r="E149" s="33"/>
      <c r="F149" s="33"/>
      <c r="G149" s="33"/>
      <c r="H149" s="33"/>
      <c r="I149" s="34" t="str">
        <f t="shared" si="2"/>
        <v>0/3</v>
      </c>
    </row>
    <row r="150" spans="1:9" x14ac:dyDescent="0.25">
      <c r="A150" s="30">
        <f>A148</f>
        <v>46258</v>
      </c>
      <c r="B150" s="31" t="s">
        <v>81</v>
      </c>
      <c r="C150" s="31" t="s">
        <v>29</v>
      </c>
      <c r="D150" s="32" t="s">
        <v>30</v>
      </c>
      <c r="E150" s="33"/>
      <c r="F150" s="33"/>
      <c r="G150" s="33"/>
      <c r="H150" s="33"/>
      <c r="I150" s="34" t="str">
        <f t="shared" si="2"/>
        <v>0/3</v>
      </c>
    </row>
    <row r="151" spans="1:9" x14ac:dyDescent="0.25">
      <c r="A151" s="30">
        <f>A148</f>
        <v>46258</v>
      </c>
      <c r="B151" s="31" t="s">
        <v>81</v>
      </c>
      <c r="C151" s="31" t="s">
        <v>31</v>
      </c>
      <c r="D151" s="32" t="s">
        <v>32</v>
      </c>
      <c r="E151" s="33"/>
      <c r="F151" s="33"/>
      <c r="G151" s="33"/>
      <c r="H151" s="33"/>
      <c r="I151" s="34" t="str">
        <f t="shared" si="2"/>
        <v>0/3</v>
      </c>
    </row>
    <row r="152" spans="1:9" x14ac:dyDescent="0.25">
      <c r="A152" s="30">
        <f>A148</f>
        <v>46258</v>
      </c>
      <c r="B152" s="31" t="s">
        <v>81</v>
      </c>
      <c r="C152" s="31" t="s">
        <v>33</v>
      </c>
      <c r="D152" s="32" t="s">
        <v>34</v>
      </c>
      <c r="E152" s="33"/>
      <c r="F152" s="33"/>
      <c r="G152" s="33"/>
      <c r="H152" s="33"/>
      <c r="I152" s="34" t="str">
        <f t="shared" si="2"/>
        <v>0/3</v>
      </c>
    </row>
    <row r="153" spans="1:9" x14ac:dyDescent="0.25">
      <c r="A153" s="30">
        <f>A148</f>
        <v>46258</v>
      </c>
      <c r="B153" s="31" t="s">
        <v>81</v>
      </c>
      <c r="C153" s="31" t="s">
        <v>35</v>
      </c>
      <c r="D153" s="32" t="s">
        <v>36</v>
      </c>
      <c r="E153" s="33"/>
      <c r="F153" s="33"/>
      <c r="G153" s="33"/>
      <c r="H153" s="33"/>
      <c r="I153" s="34" t="str">
        <f t="shared" si="2"/>
        <v>0/3</v>
      </c>
    </row>
    <row r="154" spans="1:9" x14ac:dyDescent="0.25">
      <c r="A154" s="30">
        <f>A148</f>
        <v>46258</v>
      </c>
      <c r="B154" s="31" t="s">
        <v>82</v>
      </c>
      <c r="C154" s="31" t="s">
        <v>24</v>
      </c>
      <c r="D154" s="32" t="s">
        <v>26</v>
      </c>
      <c r="E154" s="33"/>
      <c r="F154" s="33"/>
      <c r="G154" s="33"/>
      <c r="H154" s="33"/>
      <c r="I154" s="34" t="str">
        <f t="shared" si="2"/>
        <v>0/3</v>
      </c>
    </row>
    <row r="155" spans="1:9" ht="30" x14ac:dyDescent="0.25">
      <c r="A155" s="30">
        <f>A148</f>
        <v>46258</v>
      </c>
      <c r="B155" s="31" t="s">
        <v>82</v>
      </c>
      <c r="C155" s="31" t="s">
        <v>27</v>
      </c>
      <c r="D155" s="32" t="s">
        <v>28</v>
      </c>
      <c r="E155" s="33"/>
      <c r="F155" s="33"/>
      <c r="G155" s="33"/>
      <c r="H155" s="33"/>
      <c r="I155" s="34" t="str">
        <f t="shared" si="2"/>
        <v>0/3</v>
      </c>
    </row>
    <row r="156" spans="1:9" x14ac:dyDescent="0.25">
      <c r="A156" s="30">
        <f>A148</f>
        <v>46258</v>
      </c>
      <c r="B156" s="31" t="s">
        <v>82</v>
      </c>
      <c r="C156" s="31" t="s">
        <v>29</v>
      </c>
      <c r="D156" s="32" t="s">
        <v>30</v>
      </c>
      <c r="E156" s="33"/>
      <c r="F156" s="33"/>
      <c r="G156" s="33"/>
      <c r="H156" s="33"/>
      <c r="I156" s="34" t="str">
        <f t="shared" si="2"/>
        <v>0/3</v>
      </c>
    </row>
    <row r="157" spans="1:9" x14ac:dyDescent="0.25">
      <c r="A157" s="30">
        <f>A148</f>
        <v>46258</v>
      </c>
      <c r="B157" s="31" t="s">
        <v>82</v>
      </c>
      <c r="C157" s="31" t="s">
        <v>31</v>
      </c>
      <c r="D157" s="32" t="s">
        <v>32</v>
      </c>
      <c r="E157" s="33"/>
      <c r="F157" s="33"/>
      <c r="G157" s="33"/>
      <c r="H157" s="33"/>
      <c r="I157" s="34" t="str">
        <f t="shared" si="2"/>
        <v>0/3</v>
      </c>
    </row>
    <row r="158" spans="1:9" x14ac:dyDescent="0.25">
      <c r="A158" s="30">
        <f>A148</f>
        <v>46258</v>
      </c>
      <c r="B158" s="31" t="s">
        <v>82</v>
      </c>
      <c r="C158" s="31" t="s">
        <v>33</v>
      </c>
      <c r="D158" s="32" t="s">
        <v>34</v>
      </c>
      <c r="E158" s="33"/>
      <c r="F158" s="33"/>
      <c r="G158" s="33"/>
      <c r="H158" s="33"/>
      <c r="I158" s="34" t="str">
        <f t="shared" si="2"/>
        <v>0/3</v>
      </c>
    </row>
    <row r="159" spans="1:9" x14ac:dyDescent="0.25">
      <c r="A159" s="30">
        <f>A148</f>
        <v>46258</v>
      </c>
      <c r="B159" s="31" t="s">
        <v>82</v>
      </c>
      <c r="C159" s="31" t="s">
        <v>35</v>
      </c>
      <c r="D159" s="32" t="s">
        <v>36</v>
      </c>
      <c r="E159" s="33"/>
      <c r="F159" s="33"/>
      <c r="G159" s="33"/>
      <c r="H159" s="33"/>
      <c r="I159" s="34" t="str">
        <f t="shared" si="2"/>
        <v>0/3</v>
      </c>
    </row>
    <row r="160" spans="1:9" x14ac:dyDescent="0.25">
      <c r="A160" s="30">
        <f>A148+7</f>
        <v>46265</v>
      </c>
      <c r="B160" s="31" t="s">
        <v>81</v>
      </c>
      <c r="C160" s="31" t="s">
        <v>24</v>
      </c>
      <c r="D160" s="32" t="s">
        <v>26</v>
      </c>
      <c r="E160" s="33"/>
      <c r="F160" s="33"/>
      <c r="G160" s="33"/>
      <c r="H160" s="33"/>
      <c r="I160" s="34" t="str">
        <f t="shared" si="2"/>
        <v>0/3</v>
      </c>
    </row>
    <row r="161" spans="1:9" ht="30" x14ac:dyDescent="0.25">
      <c r="A161" s="30">
        <f>A160</f>
        <v>46265</v>
      </c>
      <c r="B161" s="31" t="s">
        <v>81</v>
      </c>
      <c r="C161" s="31" t="s">
        <v>27</v>
      </c>
      <c r="D161" s="32" t="s">
        <v>28</v>
      </c>
      <c r="E161" s="33"/>
      <c r="F161" s="33"/>
      <c r="G161" s="33"/>
      <c r="H161" s="33"/>
      <c r="I161" s="34" t="str">
        <f t="shared" si="2"/>
        <v>0/3</v>
      </c>
    </row>
    <row r="162" spans="1:9" x14ac:dyDescent="0.25">
      <c r="A162" s="30">
        <f>A160</f>
        <v>46265</v>
      </c>
      <c r="B162" s="31" t="s">
        <v>81</v>
      </c>
      <c r="C162" s="31" t="s">
        <v>29</v>
      </c>
      <c r="D162" s="32" t="s">
        <v>30</v>
      </c>
      <c r="E162" s="33"/>
      <c r="F162" s="33"/>
      <c r="G162" s="33"/>
      <c r="H162" s="33"/>
      <c r="I162" s="34" t="str">
        <f t="shared" si="2"/>
        <v>0/3</v>
      </c>
    </row>
    <row r="163" spans="1:9" x14ac:dyDescent="0.25">
      <c r="A163" s="30">
        <f>A160</f>
        <v>46265</v>
      </c>
      <c r="B163" s="31" t="s">
        <v>81</v>
      </c>
      <c r="C163" s="31" t="s">
        <v>31</v>
      </c>
      <c r="D163" s="32" t="s">
        <v>32</v>
      </c>
      <c r="E163" s="33"/>
      <c r="F163" s="33"/>
      <c r="G163" s="33"/>
      <c r="H163" s="33"/>
      <c r="I163" s="34" t="str">
        <f t="shared" si="2"/>
        <v>0/3</v>
      </c>
    </row>
    <row r="164" spans="1:9" x14ac:dyDescent="0.25">
      <c r="A164" s="30">
        <f>A160</f>
        <v>46265</v>
      </c>
      <c r="B164" s="31" t="s">
        <v>81</v>
      </c>
      <c r="C164" s="31" t="s">
        <v>33</v>
      </c>
      <c r="D164" s="32" t="s">
        <v>34</v>
      </c>
      <c r="E164" s="33"/>
      <c r="F164" s="33"/>
      <c r="G164" s="33"/>
      <c r="H164" s="33"/>
      <c r="I164" s="34" t="str">
        <f t="shared" si="2"/>
        <v>0/3</v>
      </c>
    </row>
    <row r="165" spans="1:9" x14ac:dyDescent="0.25">
      <c r="A165" s="30">
        <f>A160</f>
        <v>46265</v>
      </c>
      <c r="B165" s="31" t="s">
        <v>81</v>
      </c>
      <c r="C165" s="31" t="s">
        <v>35</v>
      </c>
      <c r="D165" s="32" t="s">
        <v>36</v>
      </c>
      <c r="E165" s="33"/>
      <c r="F165" s="33"/>
      <c r="G165" s="33"/>
      <c r="H165" s="33"/>
      <c r="I165" s="34" t="str">
        <f t="shared" si="2"/>
        <v>0/3</v>
      </c>
    </row>
    <row r="166" spans="1:9" x14ac:dyDescent="0.25">
      <c r="A166" s="30">
        <f>A160</f>
        <v>46265</v>
      </c>
      <c r="B166" s="31" t="s">
        <v>82</v>
      </c>
      <c r="C166" s="31" t="s">
        <v>24</v>
      </c>
      <c r="D166" s="32" t="s">
        <v>26</v>
      </c>
      <c r="E166" s="33"/>
      <c r="F166" s="33"/>
      <c r="G166" s="33"/>
      <c r="H166" s="33"/>
      <c r="I166" s="34" t="str">
        <f t="shared" si="2"/>
        <v>0/3</v>
      </c>
    </row>
    <row r="167" spans="1:9" ht="30" x14ac:dyDescent="0.25">
      <c r="A167" s="30">
        <f>A160</f>
        <v>46265</v>
      </c>
      <c r="B167" s="31" t="s">
        <v>82</v>
      </c>
      <c r="C167" s="31" t="s">
        <v>27</v>
      </c>
      <c r="D167" s="32" t="s">
        <v>28</v>
      </c>
      <c r="E167" s="33"/>
      <c r="F167" s="33"/>
      <c r="G167" s="33"/>
      <c r="H167" s="33"/>
      <c r="I167" s="34" t="str">
        <f t="shared" si="2"/>
        <v>0/3</v>
      </c>
    </row>
    <row r="168" spans="1:9" x14ac:dyDescent="0.25">
      <c r="A168" s="30">
        <f>A160</f>
        <v>46265</v>
      </c>
      <c r="B168" s="31" t="s">
        <v>82</v>
      </c>
      <c r="C168" s="31" t="s">
        <v>29</v>
      </c>
      <c r="D168" s="32" t="s">
        <v>30</v>
      </c>
      <c r="E168" s="33"/>
      <c r="F168" s="33"/>
      <c r="G168" s="33"/>
      <c r="H168" s="33"/>
      <c r="I168" s="34" t="str">
        <f t="shared" si="2"/>
        <v>0/3</v>
      </c>
    </row>
    <row r="169" spans="1:9" x14ac:dyDescent="0.25">
      <c r="A169" s="30">
        <f>A160</f>
        <v>46265</v>
      </c>
      <c r="B169" s="31" t="s">
        <v>82</v>
      </c>
      <c r="C169" s="31" t="s">
        <v>31</v>
      </c>
      <c r="D169" s="32" t="s">
        <v>32</v>
      </c>
      <c r="E169" s="33"/>
      <c r="F169" s="33"/>
      <c r="G169" s="33"/>
      <c r="H169" s="33"/>
      <c r="I169" s="34" t="str">
        <f t="shared" si="2"/>
        <v>0/3</v>
      </c>
    </row>
    <row r="170" spans="1:9" x14ac:dyDescent="0.25">
      <c r="A170" s="30">
        <f>A160</f>
        <v>46265</v>
      </c>
      <c r="B170" s="31" t="s">
        <v>82</v>
      </c>
      <c r="C170" s="31" t="s">
        <v>33</v>
      </c>
      <c r="D170" s="32" t="s">
        <v>34</v>
      </c>
      <c r="E170" s="33"/>
      <c r="F170" s="33"/>
      <c r="G170" s="33"/>
      <c r="H170" s="33"/>
      <c r="I170" s="34" t="str">
        <f t="shared" si="2"/>
        <v>0/3</v>
      </c>
    </row>
    <row r="171" spans="1:9" x14ac:dyDescent="0.25">
      <c r="A171" s="30">
        <f>A160</f>
        <v>46265</v>
      </c>
      <c r="B171" s="31" t="s">
        <v>82</v>
      </c>
      <c r="C171" s="31" t="s">
        <v>35</v>
      </c>
      <c r="D171" s="32" t="s">
        <v>36</v>
      </c>
      <c r="E171" s="33"/>
      <c r="F171" s="33"/>
      <c r="G171" s="33"/>
      <c r="H171" s="33"/>
      <c r="I171" s="34" t="str">
        <f t="shared" si="2"/>
        <v>0/3</v>
      </c>
    </row>
    <row r="172" spans="1:9" x14ac:dyDescent="0.25">
      <c r="A172" s="30">
        <f>A160+7</f>
        <v>46272</v>
      </c>
      <c r="B172" s="31" t="s">
        <v>81</v>
      </c>
      <c r="C172" s="31" t="s">
        <v>24</v>
      </c>
      <c r="D172" s="32" t="s">
        <v>26</v>
      </c>
      <c r="E172" s="33"/>
      <c r="F172" s="33"/>
      <c r="G172" s="33"/>
      <c r="H172" s="33"/>
      <c r="I172" s="34" t="str">
        <f t="shared" si="2"/>
        <v>0/3</v>
      </c>
    </row>
    <row r="173" spans="1:9" ht="30" x14ac:dyDescent="0.25">
      <c r="A173" s="30">
        <f>A172</f>
        <v>46272</v>
      </c>
      <c r="B173" s="31" t="s">
        <v>81</v>
      </c>
      <c r="C173" s="31" t="s">
        <v>27</v>
      </c>
      <c r="D173" s="32" t="s">
        <v>28</v>
      </c>
      <c r="E173" s="33"/>
      <c r="F173" s="33"/>
      <c r="G173" s="33"/>
      <c r="H173" s="33"/>
      <c r="I173" s="34" t="str">
        <f t="shared" si="2"/>
        <v>0/3</v>
      </c>
    </row>
    <row r="174" spans="1:9" x14ac:dyDescent="0.25">
      <c r="A174" s="30">
        <f>A172</f>
        <v>46272</v>
      </c>
      <c r="B174" s="31" t="s">
        <v>81</v>
      </c>
      <c r="C174" s="31" t="s">
        <v>29</v>
      </c>
      <c r="D174" s="32" t="s">
        <v>30</v>
      </c>
      <c r="E174" s="33"/>
      <c r="F174" s="33"/>
      <c r="G174" s="33"/>
      <c r="H174" s="33"/>
      <c r="I174" s="34" t="str">
        <f t="shared" si="2"/>
        <v>0/3</v>
      </c>
    </row>
    <row r="175" spans="1:9" x14ac:dyDescent="0.25">
      <c r="A175" s="30">
        <f>A172</f>
        <v>46272</v>
      </c>
      <c r="B175" s="31" t="s">
        <v>81</v>
      </c>
      <c r="C175" s="31" t="s">
        <v>31</v>
      </c>
      <c r="D175" s="32" t="s">
        <v>32</v>
      </c>
      <c r="E175" s="33"/>
      <c r="F175" s="33"/>
      <c r="G175" s="33"/>
      <c r="H175" s="33"/>
      <c r="I175" s="34" t="str">
        <f t="shared" si="2"/>
        <v>0/3</v>
      </c>
    </row>
    <row r="176" spans="1:9" x14ac:dyDescent="0.25">
      <c r="A176" s="30">
        <f>A172</f>
        <v>46272</v>
      </c>
      <c r="B176" s="31" t="s">
        <v>81</v>
      </c>
      <c r="C176" s="31" t="s">
        <v>33</v>
      </c>
      <c r="D176" s="32" t="s">
        <v>34</v>
      </c>
      <c r="E176" s="33"/>
      <c r="F176" s="33"/>
      <c r="G176" s="33"/>
      <c r="H176" s="33"/>
      <c r="I176" s="34" t="str">
        <f t="shared" si="2"/>
        <v>0/3</v>
      </c>
    </row>
    <row r="177" spans="1:9" x14ac:dyDescent="0.25">
      <c r="A177" s="30">
        <f>A172</f>
        <v>46272</v>
      </c>
      <c r="B177" s="31" t="s">
        <v>81</v>
      </c>
      <c r="C177" s="31" t="s">
        <v>35</v>
      </c>
      <c r="D177" s="32" t="s">
        <v>36</v>
      </c>
      <c r="E177" s="33"/>
      <c r="F177" s="33"/>
      <c r="G177" s="33"/>
      <c r="H177" s="33"/>
      <c r="I177" s="34" t="str">
        <f t="shared" si="2"/>
        <v>0/3</v>
      </c>
    </row>
    <row r="178" spans="1:9" x14ac:dyDescent="0.25">
      <c r="A178" s="30">
        <f>A172</f>
        <v>46272</v>
      </c>
      <c r="B178" s="31" t="s">
        <v>82</v>
      </c>
      <c r="C178" s="31" t="s">
        <v>24</v>
      </c>
      <c r="D178" s="32" t="s">
        <v>26</v>
      </c>
      <c r="E178" s="33"/>
      <c r="F178" s="33"/>
      <c r="G178" s="33"/>
      <c r="H178" s="33"/>
      <c r="I178" s="34" t="str">
        <f t="shared" si="2"/>
        <v>0/3</v>
      </c>
    </row>
    <row r="179" spans="1:9" ht="30" x14ac:dyDescent="0.25">
      <c r="A179" s="30">
        <f>A172</f>
        <v>46272</v>
      </c>
      <c r="B179" s="31" t="s">
        <v>82</v>
      </c>
      <c r="C179" s="31" t="s">
        <v>27</v>
      </c>
      <c r="D179" s="32" t="s">
        <v>28</v>
      </c>
      <c r="E179" s="33"/>
      <c r="F179" s="33"/>
      <c r="G179" s="33"/>
      <c r="H179" s="33"/>
      <c r="I179" s="34" t="str">
        <f t="shared" si="2"/>
        <v>0/3</v>
      </c>
    </row>
    <row r="180" spans="1:9" x14ac:dyDescent="0.25">
      <c r="A180" s="30">
        <f>A172</f>
        <v>46272</v>
      </c>
      <c r="B180" s="31" t="s">
        <v>82</v>
      </c>
      <c r="C180" s="31" t="s">
        <v>29</v>
      </c>
      <c r="D180" s="32" t="s">
        <v>30</v>
      </c>
      <c r="E180" s="33"/>
      <c r="F180" s="33"/>
      <c r="G180" s="33"/>
      <c r="H180" s="33"/>
      <c r="I180" s="34" t="str">
        <f t="shared" si="2"/>
        <v>0/3</v>
      </c>
    </row>
    <row r="181" spans="1:9" x14ac:dyDescent="0.25">
      <c r="A181" s="30">
        <f>A172</f>
        <v>46272</v>
      </c>
      <c r="B181" s="31" t="s">
        <v>82</v>
      </c>
      <c r="C181" s="31" t="s">
        <v>31</v>
      </c>
      <c r="D181" s="32" t="s">
        <v>32</v>
      </c>
      <c r="E181" s="33"/>
      <c r="F181" s="33"/>
      <c r="G181" s="33"/>
      <c r="H181" s="33"/>
      <c r="I181" s="34" t="str">
        <f t="shared" si="2"/>
        <v>0/3</v>
      </c>
    </row>
    <row r="182" spans="1:9" x14ac:dyDescent="0.25">
      <c r="A182" s="30">
        <f>A172</f>
        <v>46272</v>
      </c>
      <c r="B182" s="31" t="s">
        <v>82</v>
      </c>
      <c r="C182" s="31" t="s">
        <v>33</v>
      </c>
      <c r="D182" s="32" t="s">
        <v>34</v>
      </c>
      <c r="E182" s="33"/>
      <c r="F182" s="33"/>
      <c r="G182" s="33"/>
      <c r="H182" s="33"/>
      <c r="I182" s="34" t="str">
        <f t="shared" si="2"/>
        <v>0/3</v>
      </c>
    </row>
    <row r="183" spans="1:9" x14ac:dyDescent="0.25">
      <c r="A183" s="30">
        <f>A172</f>
        <v>46272</v>
      </c>
      <c r="B183" s="31" t="s">
        <v>82</v>
      </c>
      <c r="C183" s="31" t="s">
        <v>35</v>
      </c>
      <c r="D183" s="32" t="s">
        <v>36</v>
      </c>
      <c r="E183" s="33"/>
      <c r="F183" s="33"/>
      <c r="G183" s="33"/>
      <c r="H183" s="33"/>
      <c r="I183" s="34" t="str">
        <f t="shared" si="2"/>
        <v>0/3</v>
      </c>
    </row>
    <row r="184" spans="1:9" x14ac:dyDescent="0.25">
      <c r="A184" s="30">
        <f>A172+7</f>
        <v>46279</v>
      </c>
      <c r="B184" s="31" t="s">
        <v>81</v>
      </c>
      <c r="C184" s="31" t="s">
        <v>24</v>
      </c>
      <c r="D184" s="32" t="s">
        <v>26</v>
      </c>
      <c r="E184" s="33"/>
      <c r="F184" s="33"/>
      <c r="G184" s="33"/>
      <c r="H184" s="33"/>
      <c r="I184" s="34" t="str">
        <f t="shared" si="2"/>
        <v>0/3</v>
      </c>
    </row>
    <row r="185" spans="1:9" ht="30" x14ac:dyDescent="0.25">
      <c r="A185" s="30">
        <f>A184</f>
        <v>46279</v>
      </c>
      <c r="B185" s="31" t="s">
        <v>81</v>
      </c>
      <c r="C185" s="31" t="s">
        <v>27</v>
      </c>
      <c r="D185" s="32" t="s">
        <v>28</v>
      </c>
      <c r="E185" s="33"/>
      <c r="F185" s="33"/>
      <c r="G185" s="33"/>
      <c r="H185" s="33"/>
      <c r="I185" s="34" t="str">
        <f t="shared" si="2"/>
        <v>0/3</v>
      </c>
    </row>
    <row r="186" spans="1:9" x14ac:dyDescent="0.25">
      <c r="A186" s="30">
        <f>A184</f>
        <v>46279</v>
      </c>
      <c r="B186" s="31" t="s">
        <v>81</v>
      </c>
      <c r="C186" s="31" t="s">
        <v>29</v>
      </c>
      <c r="D186" s="32" t="s">
        <v>30</v>
      </c>
      <c r="E186" s="33"/>
      <c r="F186" s="33"/>
      <c r="G186" s="33"/>
      <c r="H186" s="33"/>
      <c r="I186" s="34" t="str">
        <f t="shared" si="2"/>
        <v>0/3</v>
      </c>
    </row>
    <row r="187" spans="1:9" x14ac:dyDescent="0.25">
      <c r="A187" s="30">
        <f>A184</f>
        <v>46279</v>
      </c>
      <c r="B187" s="31" t="s">
        <v>81</v>
      </c>
      <c r="C187" s="31" t="s">
        <v>31</v>
      </c>
      <c r="D187" s="32" t="s">
        <v>32</v>
      </c>
      <c r="E187" s="33"/>
      <c r="F187" s="33"/>
      <c r="G187" s="33"/>
      <c r="H187" s="33"/>
      <c r="I187" s="34" t="str">
        <f t="shared" si="2"/>
        <v>0/3</v>
      </c>
    </row>
    <row r="188" spans="1:9" x14ac:dyDescent="0.25">
      <c r="A188" s="30">
        <f>A184</f>
        <v>46279</v>
      </c>
      <c r="B188" s="31" t="s">
        <v>81</v>
      </c>
      <c r="C188" s="31" t="s">
        <v>33</v>
      </c>
      <c r="D188" s="32" t="s">
        <v>34</v>
      </c>
      <c r="E188" s="33"/>
      <c r="F188" s="33"/>
      <c r="G188" s="33"/>
      <c r="H188" s="33"/>
      <c r="I188" s="34" t="str">
        <f t="shared" si="2"/>
        <v>0/3</v>
      </c>
    </row>
    <row r="189" spans="1:9" x14ac:dyDescent="0.25">
      <c r="A189" s="30">
        <f>A184</f>
        <v>46279</v>
      </c>
      <c r="B189" s="31" t="s">
        <v>81</v>
      </c>
      <c r="C189" s="31" t="s">
        <v>35</v>
      </c>
      <c r="D189" s="32" t="s">
        <v>36</v>
      </c>
      <c r="E189" s="33"/>
      <c r="F189" s="33"/>
      <c r="G189" s="33"/>
      <c r="H189" s="33"/>
      <c r="I189" s="34" t="str">
        <f t="shared" si="2"/>
        <v>0/3</v>
      </c>
    </row>
    <row r="190" spans="1:9" x14ac:dyDescent="0.25">
      <c r="A190" s="30">
        <f>A184</f>
        <v>46279</v>
      </c>
      <c r="B190" s="31" t="s">
        <v>82</v>
      </c>
      <c r="C190" s="31" t="s">
        <v>24</v>
      </c>
      <c r="D190" s="32" t="s">
        <v>26</v>
      </c>
      <c r="E190" s="33"/>
      <c r="F190" s="33"/>
      <c r="G190" s="33"/>
      <c r="H190" s="33"/>
      <c r="I190" s="34" t="str">
        <f t="shared" si="2"/>
        <v>0/3</v>
      </c>
    </row>
    <row r="191" spans="1:9" ht="30" x14ac:dyDescent="0.25">
      <c r="A191" s="30">
        <f>A184</f>
        <v>46279</v>
      </c>
      <c r="B191" s="31" t="s">
        <v>82</v>
      </c>
      <c r="C191" s="31" t="s">
        <v>27</v>
      </c>
      <c r="D191" s="32" t="s">
        <v>28</v>
      </c>
      <c r="E191" s="33"/>
      <c r="F191" s="33"/>
      <c r="G191" s="33"/>
      <c r="H191" s="33"/>
      <c r="I191" s="34" t="str">
        <f t="shared" si="2"/>
        <v>0/3</v>
      </c>
    </row>
    <row r="192" spans="1:9" x14ac:dyDescent="0.25">
      <c r="A192" s="30">
        <f>A184</f>
        <v>46279</v>
      </c>
      <c r="B192" s="31" t="s">
        <v>82</v>
      </c>
      <c r="C192" s="31" t="s">
        <v>29</v>
      </c>
      <c r="D192" s="32" t="s">
        <v>30</v>
      </c>
      <c r="E192" s="33"/>
      <c r="F192" s="33"/>
      <c r="G192" s="33"/>
      <c r="H192" s="33"/>
      <c r="I192" s="34" t="str">
        <f t="shared" si="2"/>
        <v>0/3</v>
      </c>
    </row>
    <row r="193" spans="1:9" x14ac:dyDescent="0.25">
      <c r="A193" s="30">
        <f>A184</f>
        <v>46279</v>
      </c>
      <c r="B193" s="31" t="s">
        <v>82</v>
      </c>
      <c r="C193" s="31" t="s">
        <v>31</v>
      </c>
      <c r="D193" s="32" t="s">
        <v>32</v>
      </c>
      <c r="E193" s="33"/>
      <c r="F193" s="33"/>
      <c r="G193" s="33"/>
      <c r="H193" s="33"/>
      <c r="I193" s="34" t="str">
        <f t="shared" si="2"/>
        <v>0/3</v>
      </c>
    </row>
    <row r="194" spans="1:9" x14ac:dyDescent="0.25">
      <c r="A194" s="30">
        <f>A184</f>
        <v>46279</v>
      </c>
      <c r="B194" s="31" t="s">
        <v>82</v>
      </c>
      <c r="C194" s="31" t="s">
        <v>33</v>
      </c>
      <c r="D194" s="32" t="s">
        <v>34</v>
      </c>
      <c r="E194" s="33"/>
      <c r="F194" s="33"/>
      <c r="G194" s="33"/>
      <c r="H194" s="33"/>
      <c r="I194" s="34" t="str">
        <f t="shared" si="2"/>
        <v>0/3</v>
      </c>
    </row>
    <row r="195" spans="1:9" x14ac:dyDescent="0.25">
      <c r="A195" s="30">
        <f>A184</f>
        <v>46279</v>
      </c>
      <c r="B195" s="31" t="s">
        <v>82</v>
      </c>
      <c r="C195" s="31" t="s">
        <v>35</v>
      </c>
      <c r="D195" s="32" t="s">
        <v>36</v>
      </c>
      <c r="E195" s="33"/>
      <c r="F195" s="33"/>
      <c r="G195" s="33"/>
      <c r="H195" s="33"/>
      <c r="I195" s="34" t="str">
        <f t="shared" si="2"/>
        <v>0/3</v>
      </c>
    </row>
    <row r="196" spans="1:9" x14ac:dyDescent="0.25">
      <c r="A196" s="30">
        <f>A184+7</f>
        <v>46286</v>
      </c>
      <c r="B196" s="31" t="s">
        <v>81</v>
      </c>
      <c r="C196" s="31" t="s">
        <v>24</v>
      </c>
      <c r="D196" s="32" t="s">
        <v>26</v>
      </c>
      <c r="E196" s="33"/>
      <c r="F196" s="33"/>
      <c r="G196" s="33"/>
      <c r="H196" s="33"/>
      <c r="I196" s="34" t="str">
        <f t="shared" ref="I196:I259" si="3">COUNTA(E196:G196)&amp;"/3"</f>
        <v>0/3</v>
      </c>
    </row>
    <row r="197" spans="1:9" ht="30" x14ac:dyDescent="0.25">
      <c r="A197" s="30">
        <f>A196</f>
        <v>46286</v>
      </c>
      <c r="B197" s="31" t="s">
        <v>81</v>
      </c>
      <c r="C197" s="31" t="s">
        <v>27</v>
      </c>
      <c r="D197" s="32" t="s">
        <v>28</v>
      </c>
      <c r="E197" s="33"/>
      <c r="F197" s="33"/>
      <c r="G197" s="33"/>
      <c r="H197" s="33"/>
      <c r="I197" s="34" t="str">
        <f t="shared" si="3"/>
        <v>0/3</v>
      </c>
    </row>
    <row r="198" spans="1:9" x14ac:dyDescent="0.25">
      <c r="A198" s="30">
        <f>A196</f>
        <v>46286</v>
      </c>
      <c r="B198" s="31" t="s">
        <v>81</v>
      </c>
      <c r="C198" s="31" t="s">
        <v>29</v>
      </c>
      <c r="D198" s="32" t="s">
        <v>30</v>
      </c>
      <c r="E198" s="33"/>
      <c r="F198" s="33"/>
      <c r="G198" s="33"/>
      <c r="H198" s="33"/>
      <c r="I198" s="34" t="str">
        <f t="shared" si="3"/>
        <v>0/3</v>
      </c>
    </row>
    <row r="199" spans="1:9" x14ac:dyDescent="0.25">
      <c r="A199" s="30">
        <f>A196</f>
        <v>46286</v>
      </c>
      <c r="B199" s="31" t="s">
        <v>81</v>
      </c>
      <c r="C199" s="31" t="s">
        <v>31</v>
      </c>
      <c r="D199" s="32" t="s">
        <v>32</v>
      </c>
      <c r="E199" s="33"/>
      <c r="F199" s="33"/>
      <c r="G199" s="33"/>
      <c r="H199" s="33"/>
      <c r="I199" s="34" t="str">
        <f t="shared" si="3"/>
        <v>0/3</v>
      </c>
    </row>
    <row r="200" spans="1:9" x14ac:dyDescent="0.25">
      <c r="A200" s="30">
        <f>A196</f>
        <v>46286</v>
      </c>
      <c r="B200" s="31" t="s">
        <v>81</v>
      </c>
      <c r="C200" s="31" t="s">
        <v>33</v>
      </c>
      <c r="D200" s="32" t="s">
        <v>34</v>
      </c>
      <c r="E200" s="33"/>
      <c r="F200" s="33"/>
      <c r="G200" s="33"/>
      <c r="H200" s="33"/>
      <c r="I200" s="34" t="str">
        <f t="shared" si="3"/>
        <v>0/3</v>
      </c>
    </row>
    <row r="201" spans="1:9" x14ac:dyDescent="0.25">
      <c r="A201" s="30">
        <f>A196</f>
        <v>46286</v>
      </c>
      <c r="B201" s="31" t="s">
        <v>81</v>
      </c>
      <c r="C201" s="31" t="s">
        <v>35</v>
      </c>
      <c r="D201" s="32" t="s">
        <v>36</v>
      </c>
      <c r="E201" s="33"/>
      <c r="F201" s="33"/>
      <c r="G201" s="33"/>
      <c r="H201" s="33"/>
      <c r="I201" s="34" t="str">
        <f t="shared" si="3"/>
        <v>0/3</v>
      </c>
    </row>
    <row r="202" spans="1:9" x14ac:dyDescent="0.25">
      <c r="A202" s="30">
        <f>A196</f>
        <v>46286</v>
      </c>
      <c r="B202" s="31" t="s">
        <v>82</v>
      </c>
      <c r="C202" s="31" t="s">
        <v>24</v>
      </c>
      <c r="D202" s="32" t="s">
        <v>26</v>
      </c>
      <c r="E202" s="33"/>
      <c r="F202" s="33"/>
      <c r="G202" s="33"/>
      <c r="H202" s="33"/>
      <c r="I202" s="34" t="str">
        <f t="shared" si="3"/>
        <v>0/3</v>
      </c>
    </row>
    <row r="203" spans="1:9" ht="30" x14ac:dyDescent="0.25">
      <c r="A203" s="30">
        <f>A196</f>
        <v>46286</v>
      </c>
      <c r="B203" s="31" t="s">
        <v>82</v>
      </c>
      <c r="C203" s="31" t="s">
        <v>27</v>
      </c>
      <c r="D203" s="32" t="s">
        <v>28</v>
      </c>
      <c r="E203" s="33"/>
      <c r="F203" s="33"/>
      <c r="G203" s="33"/>
      <c r="H203" s="33"/>
      <c r="I203" s="34" t="str">
        <f t="shared" si="3"/>
        <v>0/3</v>
      </c>
    </row>
    <row r="204" spans="1:9" x14ac:dyDescent="0.25">
      <c r="A204" s="30">
        <f>A196</f>
        <v>46286</v>
      </c>
      <c r="B204" s="31" t="s">
        <v>82</v>
      </c>
      <c r="C204" s="31" t="s">
        <v>29</v>
      </c>
      <c r="D204" s="32" t="s">
        <v>30</v>
      </c>
      <c r="E204" s="33"/>
      <c r="F204" s="33"/>
      <c r="G204" s="33"/>
      <c r="H204" s="33"/>
      <c r="I204" s="34" t="str">
        <f t="shared" si="3"/>
        <v>0/3</v>
      </c>
    </row>
    <row r="205" spans="1:9" x14ac:dyDescent="0.25">
      <c r="A205" s="30">
        <f>A196</f>
        <v>46286</v>
      </c>
      <c r="B205" s="31" t="s">
        <v>82</v>
      </c>
      <c r="C205" s="31" t="s">
        <v>31</v>
      </c>
      <c r="D205" s="32" t="s">
        <v>32</v>
      </c>
      <c r="E205" s="33"/>
      <c r="F205" s="33"/>
      <c r="G205" s="33"/>
      <c r="H205" s="33"/>
      <c r="I205" s="34" t="str">
        <f t="shared" si="3"/>
        <v>0/3</v>
      </c>
    </row>
    <row r="206" spans="1:9" x14ac:dyDescent="0.25">
      <c r="A206" s="30">
        <f>A196</f>
        <v>46286</v>
      </c>
      <c r="B206" s="31" t="s">
        <v>82</v>
      </c>
      <c r="C206" s="31" t="s">
        <v>33</v>
      </c>
      <c r="D206" s="32" t="s">
        <v>34</v>
      </c>
      <c r="E206" s="33"/>
      <c r="F206" s="33"/>
      <c r="G206" s="33"/>
      <c r="H206" s="33"/>
      <c r="I206" s="34" t="str">
        <f t="shared" si="3"/>
        <v>0/3</v>
      </c>
    </row>
    <row r="207" spans="1:9" x14ac:dyDescent="0.25">
      <c r="A207" s="30">
        <f>A196</f>
        <v>46286</v>
      </c>
      <c r="B207" s="31" t="s">
        <v>82</v>
      </c>
      <c r="C207" s="31" t="s">
        <v>35</v>
      </c>
      <c r="D207" s="32" t="s">
        <v>36</v>
      </c>
      <c r="E207" s="33"/>
      <c r="F207" s="33"/>
      <c r="G207" s="33"/>
      <c r="H207" s="33"/>
      <c r="I207" s="34" t="str">
        <f t="shared" si="3"/>
        <v>0/3</v>
      </c>
    </row>
    <row r="208" spans="1:9" x14ac:dyDescent="0.25">
      <c r="A208" s="30">
        <f>A196+7</f>
        <v>46293</v>
      </c>
      <c r="B208" s="31" t="s">
        <v>81</v>
      </c>
      <c r="C208" s="31" t="s">
        <v>24</v>
      </c>
      <c r="D208" s="32" t="s">
        <v>26</v>
      </c>
      <c r="E208" s="33"/>
      <c r="F208" s="33"/>
      <c r="G208" s="33"/>
      <c r="H208" s="33"/>
      <c r="I208" s="34" t="str">
        <f t="shared" si="3"/>
        <v>0/3</v>
      </c>
    </row>
    <row r="209" spans="1:9" ht="30" x14ac:dyDescent="0.25">
      <c r="A209" s="30">
        <f>A208</f>
        <v>46293</v>
      </c>
      <c r="B209" s="31" t="s">
        <v>81</v>
      </c>
      <c r="C209" s="31" t="s">
        <v>27</v>
      </c>
      <c r="D209" s="32" t="s">
        <v>28</v>
      </c>
      <c r="E209" s="33"/>
      <c r="F209" s="33"/>
      <c r="G209" s="33"/>
      <c r="H209" s="33"/>
      <c r="I209" s="34" t="str">
        <f t="shared" si="3"/>
        <v>0/3</v>
      </c>
    </row>
    <row r="210" spans="1:9" x14ac:dyDescent="0.25">
      <c r="A210" s="30">
        <f>A208</f>
        <v>46293</v>
      </c>
      <c r="B210" s="31" t="s">
        <v>81</v>
      </c>
      <c r="C210" s="31" t="s">
        <v>29</v>
      </c>
      <c r="D210" s="32" t="s">
        <v>30</v>
      </c>
      <c r="E210" s="33"/>
      <c r="F210" s="33"/>
      <c r="G210" s="33"/>
      <c r="H210" s="33"/>
      <c r="I210" s="34" t="str">
        <f t="shared" si="3"/>
        <v>0/3</v>
      </c>
    </row>
    <row r="211" spans="1:9" x14ac:dyDescent="0.25">
      <c r="A211" s="30">
        <f>A208</f>
        <v>46293</v>
      </c>
      <c r="B211" s="31" t="s">
        <v>81</v>
      </c>
      <c r="C211" s="31" t="s">
        <v>31</v>
      </c>
      <c r="D211" s="32" t="s">
        <v>32</v>
      </c>
      <c r="E211" s="33"/>
      <c r="F211" s="33"/>
      <c r="G211" s="33"/>
      <c r="H211" s="33"/>
      <c r="I211" s="34" t="str">
        <f t="shared" si="3"/>
        <v>0/3</v>
      </c>
    </row>
    <row r="212" spans="1:9" x14ac:dyDescent="0.25">
      <c r="A212" s="30">
        <f>A208</f>
        <v>46293</v>
      </c>
      <c r="B212" s="31" t="s">
        <v>81</v>
      </c>
      <c r="C212" s="31" t="s">
        <v>33</v>
      </c>
      <c r="D212" s="32" t="s">
        <v>34</v>
      </c>
      <c r="E212" s="33"/>
      <c r="F212" s="33"/>
      <c r="G212" s="33"/>
      <c r="H212" s="33"/>
      <c r="I212" s="34" t="str">
        <f t="shared" si="3"/>
        <v>0/3</v>
      </c>
    </row>
    <row r="213" spans="1:9" x14ac:dyDescent="0.25">
      <c r="A213" s="30">
        <f>A208</f>
        <v>46293</v>
      </c>
      <c r="B213" s="31" t="s">
        <v>81</v>
      </c>
      <c r="C213" s="31" t="s">
        <v>35</v>
      </c>
      <c r="D213" s="32" t="s">
        <v>36</v>
      </c>
      <c r="E213" s="33"/>
      <c r="F213" s="33"/>
      <c r="G213" s="33"/>
      <c r="H213" s="33"/>
      <c r="I213" s="34" t="str">
        <f t="shared" si="3"/>
        <v>0/3</v>
      </c>
    </row>
    <row r="214" spans="1:9" x14ac:dyDescent="0.25">
      <c r="A214" s="30">
        <f>A208</f>
        <v>46293</v>
      </c>
      <c r="B214" s="31" t="s">
        <v>82</v>
      </c>
      <c r="C214" s="31" t="s">
        <v>24</v>
      </c>
      <c r="D214" s="32" t="s">
        <v>26</v>
      </c>
      <c r="E214" s="33"/>
      <c r="F214" s="33"/>
      <c r="G214" s="33"/>
      <c r="H214" s="33"/>
      <c r="I214" s="34" t="str">
        <f t="shared" si="3"/>
        <v>0/3</v>
      </c>
    </row>
    <row r="215" spans="1:9" ht="30" x14ac:dyDescent="0.25">
      <c r="A215" s="30">
        <f>A208</f>
        <v>46293</v>
      </c>
      <c r="B215" s="31" t="s">
        <v>82</v>
      </c>
      <c r="C215" s="31" t="s">
        <v>27</v>
      </c>
      <c r="D215" s="32" t="s">
        <v>28</v>
      </c>
      <c r="E215" s="33"/>
      <c r="F215" s="33"/>
      <c r="G215" s="33"/>
      <c r="H215" s="33"/>
      <c r="I215" s="34" t="str">
        <f t="shared" si="3"/>
        <v>0/3</v>
      </c>
    </row>
    <row r="216" spans="1:9" x14ac:dyDescent="0.25">
      <c r="A216" s="30">
        <f>A208</f>
        <v>46293</v>
      </c>
      <c r="B216" s="31" t="s">
        <v>82</v>
      </c>
      <c r="C216" s="31" t="s">
        <v>29</v>
      </c>
      <c r="D216" s="32" t="s">
        <v>30</v>
      </c>
      <c r="E216" s="33"/>
      <c r="F216" s="33"/>
      <c r="G216" s="33"/>
      <c r="H216" s="33"/>
      <c r="I216" s="34" t="str">
        <f t="shared" si="3"/>
        <v>0/3</v>
      </c>
    </row>
    <row r="217" spans="1:9" x14ac:dyDescent="0.25">
      <c r="A217" s="30">
        <f>A208</f>
        <v>46293</v>
      </c>
      <c r="B217" s="31" t="s">
        <v>82</v>
      </c>
      <c r="C217" s="31" t="s">
        <v>31</v>
      </c>
      <c r="D217" s="32" t="s">
        <v>32</v>
      </c>
      <c r="E217" s="33"/>
      <c r="F217" s="33"/>
      <c r="G217" s="33"/>
      <c r="H217" s="33"/>
      <c r="I217" s="34" t="str">
        <f t="shared" si="3"/>
        <v>0/3</v>
      </c>
    </row>
    <row r="218" spans="1:9" x14ac:dyDescent="0.25">
      <c r="A218" s="30">
        <f>A208</f>
        <v>46293</v>
      </c>
      <c r="B218" s="31" t="s">
        <v>82</v>
      </c>
      <c r="C218" s="31" t="s">
        <v>33</v>
      </c>
      <c r="D218" s="32" t="s">
        <v>34</v>
      </c>
      <c r="E218" s="33"/>
      <c r="F218" s="33"/>
      <c r="G218" s="33"/>
      <c r="H218" s="33"/>
      <c r="I218" s="34" t="str">
        <f t="shared" si="3"/>
        <v>0/3</v>
      </c>
    </row>
    <row r="219" spans="1:9" x14ac:dyDescent="0.25">
      <c r="A219" s="30">
        <f>A208</f>
        <v>46293</v>
      </c>
      <c r="B219" s="31" t="s">
        <v>82</v>
      </c>
      <c r="C219" s="31" t="s">
        <v>35</v>
      </c>
      <c r="D219" s="32" t="s">
        <v>36</v>
      </c>
      <c r="E219" s="33"/>
      <c r="F219" s="33"/>
      <c r="G219" s="33"/>
      <c r="H219" s="33"/>
      <c r="I219" s="34" t="str">
        <f t="shared" si="3"/>
        <v>0/3</v>
      </c>
    </row>
    <row r="220" spans="1:9" x14ac:dyDescent="0.25">
      <c r="A220" s="30">
        <f>A208+7</f>
        <v>46300</v>
      </c>
      <c r="B220" s="31" t="s">
        <v>81</v>
      </c>
      <c r="C220" s="31" t="s">
        <v>24</v>
      </c>
      <c r="D220" s="32" t="s">
        <v>26</v>
      </c>
      <c r="E220" s="33"/>
      <c r="F220" s="33"/>
      <c r="G220" s="33"/>
      <c r="H220" s="33"/>
      <c r="I220" s="34" t="str">
        <f t="shared" si="3"/>
        <v>0/3</v>
      </c>
    </row>
    <row r="221" spans="1:9" ht="30" x14ac:dyDescent="0.25">
      <c r="A221" s="30">
        <f>A220</f>
        <v>46300</v>
      </c>
      <c r="B221" s="31" t="s">
        <v>81</v>
      </c>
      <c r="C221" s="31" t="s">
        <v>27</v>
      </c>
      <c r="D221" s="32" t="s">
        <v>28</v>
      </c>
      <c r="E221" s="33"/>
      <c r="F221" s="33"/>
      <c r="G221" s="33"/>
      <c r="H221" s="33"/>
      <c r="I221" s="34" t="str">
        <f t="shared" si="3"/>
        <v>0/3</v>
      </c>
    </row>
    <row r="222" spans="1:9" x14ac:dyDescent="0.25">
      <c r="A222" s="30">
        <f>A220</f>
        <v>46300</v>
      </c>
      <c r="B222" s="31" t="s">
        <v>81</v>
      </c>
      <c r="C222" s="31" t="s">
        <v>29</v>
      </c>
      <c r="D222" s="32" t="s">
        <v>30</v>
      </c>
      <c r="E222" s="33"/>
      <c r="F222" s="33"/>
      <c r="G222" s="33"/>
      <c r="H222" s="33"/>
      <c r="I222" s="34" t="str">
        <f t="shared" si="3"/>
        <v>0/3</v>
      </c>
    </row>
    <row r="223" spans="1:9" x14ac:dyDescent="0.25">
      <c r="A223" s="30">
        <f>A220</f>
        <v>46300</v>
      </c>
      <c r="B223" s="31" t="s">
        <v>81</v>
      </c>
      <c r="C223" s="31" t="s">
        <v>31</v>
      </c>
      <c r="D223" s="32" t="s">
        <v>32</v>
      </c>
      <c r="E223" s="33"/>
      <c r="F223" s="33"/>
      <c r="G223" s="33"/>
      <c r="H223" s="33"/>
      <c r="I223" s="34" t="str">
        <f t="shared" si="3"/>
        <v>0/3</v>
      </c>
    </row>
    <row r="224" spans="1:9" x14ac:dyDescent="0.25">
      <c r="A224" s="30">
        <f>A220</f>
        <v>46300</v>
      </c>
      <c r="B224" s="31" t="s">
        <v>81</v>
      </c>
      <c r="C224" s="31" t="s">
        <v>33</v>
      </c>
      <c r="D224" s="32" t="s">
        <v>34</v>
      </c>
      <c r="E224" s="33"/>
      <c r="F224" s="33"/>
      <c r="G224" s="33"/>
      <c r="H224" s="33"/>
      <c r="I224" s="34" t="str">
        <f t="shared" si="3"/>
        <v>0/3</v>
      </c>
    </row>
    <row r="225" spans="1:9" x14ac:dyDescent="0.25">
      <c r="A225" s="30">
        <f>A220</f>
        <v>46300</v>
      </c>
      <c r="B225" s="31" t="s">
        <v>81</v>
      </c>
      <c r="C225" s="31" t="s">
        <v>35</v>
      </c>
      <c r="D225" s="32" t="s">
        <v>36</v>
      </c>
      <c r="E225" s="33"/>
      <c r="F225" s="33"/>
      <c r="G225" s="33"/>
      <c r="H225" s="33"/>
      <c r="I225" s="34" t="str">
        <f t="shared" si="3"/>
        <v>0/3</v>
      </c>
    </row>
    <row r="226" spans="1:9" x14ac:dyDescent="0.25">
      <c r="A226" s="30">
        <f>A220</f>
        <v>46300</v>
      </c>
      <c r="B226" s="31" t="s">
        <v>82</v>
      </c>
      <c r="C226" s="31" t="s">
        <v>24</v>
      </c>
      <c r="D226" s="32" t="s">
        <v>26</v>
      </c>
      <c r="E226" s="33"/>
      <c r="F226" s="33"/>
      <c r="G226" s="33"/>
      <c r="H226" s="33"/>
      <c r="I226" s="34" t="str">
        <f t="shared" si="3"/>
        <v>0/3</v>
      </c>
    </row>
    <row r="227" spans="1:9" ht="30" x14ac:dyDescent="0.25">
      <c r="A227" s="30">
        <f>A220</f>
        <v>46300</v>
      </c>
      <c r="B227" s="31" t="s">
        <v>82</v>
      </c>
      <c r="C227" s="31" t="s">
        <v>27</v>
      </c>
      <c r="D227" s="32" t="s">
        <v>28</v>
      </c>
      <c r="E227" s="33"/>
      <c r="F227" s="33"/>
      <c r="G227" s="33"/>
      <c r="H227" s="33"/>
      <c r="I227" s="34" t="str">
        <f t="shared" si="3"/>
        <v>0/3</v>
      </c>
    </row>
    <row r="228" spans="1:9" x14ac:dyDescent="0.25">
      <c r="A228" s="30">
        <f>A220</f>
        <v>46300</v>
      </c>
      <c r="B228" s="31" t="s">
        <v>82</v>
      </c>
      <c r="C228" s="31" t="s">
        <v>29</v>
      </c>
      <c r="D228" s="32" t="s">
        <v>30</v>
      </c>
      <c r="E228" s="33"/>
      <c r="F228" s="33"/>
      <c r="G228" s="33"/>
      <c r="H228" s="33"/>
      <c r="I228" s="34" t="str">
        <f t="shared" si="3"/>
        <v>0/3</v>
      </c>
    </row>
    <row r="229" spans="1:9" x14ac:dyDescent="0.25">
      <c r="A229" s="30">
        <f>A220</f>
        <v>46300</v>
      </c>
      <c r="B229" s="31" t="s">
        <v>82</v>
      </c>
      <c r="C229" s="31" t="s">
        <v>31</v>
      </c>
      <c r="D229" s="32" t="s">
        <v>32</v>
      </c>
      <c r="E229" s="33"/>
      <c r="F229" s="33"/>
      <c r="G229" s="33"/>
      <c r="H229" s="33"/>
      <c r="I229" s="34" t="str">
        <f t="shared" si="3"/>
        <v>0/3</v>
      </c>
    </row>
    <row r="230" spans="1:9" x14ac:dyDescent="0.25">
      <c r="A230" s="30">
        <f>A220</f>
        <v>46300</v>
      </c>
      <c r="B230" s="31" t="s">
        <v>82</v>
      </c>
      <c r="C230" s="31" t="s">
        <v>33</v>
      </c>
      <c r="D230" s="32" t="s">
        <v>34</v>
      </c>
      <c r="E230" s="33"/>
      <c r="F230" s="33"/>
      <c r="G230" s="33"/>
      <c r="H230" s="33"/>
      <c r="I230" s="34" t="str">
        <f t="shared" si="3"/>
        <v>0/3</v>
      </c>
    </row>
    <row r="231" spans="1:9" x14ac:dyDescent="0.25">
      <c r="A231" s="30">
        <f>A220</f>
        <v>46300</v>
      </c>
      <c r="B231" s="31" t="s">
        <v>82</v>
      </c>
      <c r="C231" s="31" t="s">
        <v>35</v>
      </c>
      <c r="D231" s="32" t="s">
        <v>36</v>
      </c>
      <c r="E231" s="33"/>
      <c r="F231" s="33"/>
      <c r="G231" s="33"/>
      <c r="H231" s="33"/>
      <c r="I231" s="34" t="str">
        <f t="shared" si="3"/>
        <v>0/3</v>
      </c>
    </row>
    <row r="232" spans="1:9" x14ac:dyDescent="0.25">
      <c r="A232" s="30">
        <f>A220+7</f>
        <v>46307</v>
      </c>
      <c r="B232" s="31" t="s">
        <v>81</v>
      </c>
      <c r="C232" s="31" t="s">
        <v>24</v>
      </c>
      <c r="D232" s="32" t="s">
        <v>26</v>
      </c>
      <c r="E232" s="33"/>
      <c r="F232" s="33"/>
      <c r="G232" s="33"/>
      <c r="H232" s="33"/>
      <c r="I232" s="34" t="str">
        <f t="shared" si="3"/>
        <v>0/3</v>
      </c>
    </row>
    <row r="233" spans="1:9" ht="30" x14ac:dyDescent="0.25">
      <c r="A233" s="30">
        <f>A232</f>
        <v>46307</v>
      </c>
      <c r="B233" s="31" t="s">
        <v>81</v>
      </c>
      <c r="C233" s="31" t="s">
        <v>27</v>
      </c>
      <c r="D233" s="32" t="s">
        <v>28</v>
      </c>
      <c r="E233" s="33"/>
      <c r="F233" s="33"/>
      <c r="G233" s="33"/>
      <c r="H233" s="33"/>
      <c r="I233" s="34" t="str">
        <f t="shared" si="3"/>
        <v>0/3</v>
      </c>
    </row>
    <row r="234" spans="1:9" x14ac:dyDescent="0.25">
      <c r="A234" s="30">
        <f>A232</f>
        <v>46307</v>
      </c>
      <c r="B234" s="31" t="s">
        <v>81</v>
      </c>
      <c r="C234" s="31" t="s">
        <v>29</v>
      </c>
      <c r="D234" s="32" t="s">
        <v>30</v>
      </c>
      <c r="E234" s="33"/>
      <c r="F234" s="33"/>
      <c r="G234" s="33"/>
      <c r="H234" s="33"/>
      <c r="I234" s="34" t="str">
        <f t="shared" si="3"/>
        <v>0/3</v>
      </c>
    </row>
    <row r="235" spans="1:9" x14ac:dyDescent="0.25">
      <c r="A235" s="30">
        <f>A232</f>
        <v>46307</v>
      </c>
      <c r="B235" s="31" t="s">
        <v>81</v>
      </c>
      <c r="C235" s="31" t="s">
        <v>31</v>
      </c>
      <c r="D235" s="32" t="s">
        <v>32</v>
      </c>
      <c r="E235" s="33"/>
      <c r="F235" s="33"/>
      <c r="G235" s="33"/>
      <c r="H235" s="33"/>
      <c r="I235" s="34" t="str">
        <f t="shared" si="3"/>
        <v>0/3</v>
      </c>
    </row>
    <row r="236" spans="1:9" x14ac:dyDescent="0.25">
      <c r="A236" s="30">
        <f>A232</f>
        <v>46307</v>
      </c>
      <c r="B236" s="31" t="s">
        <v>81</v>
      </c>
      <c r="C236" s="31" t="s">
        <v>33</v>
      </c>
      <c r="D236" s="32" t="s">
        <v>34</v>
      </c>
      <c r="E236" s="33"/>
      <c r="F236" s="33"/>
      <c r="G236" s="33"/>
      <c r="H236" s="33"/>
      <c r="I236" s="34" t="str">
        <f t="shared" si="3"/>
        <v>0/3</v>
      </c>
    </row>
    <row r="237" spans="1:9" x14ac:dyDescent="0.25">
      <c r="A237" s="30">
        <f>A232</f>
        <v>46307</v>
      </c>
      <c r="B237" s="31" t="s">
        <v>81</v>
      </c>
      <c r="C237" s="31" t="s">
        <v>35</v>
      </c>
      <c r="D237" s="32" t="s">
        <v>36</v>
      </c>
      <c r="E237" s="33"/>
      <c r="F237" s="33"/>
      <c r="G237" s="33"/>
      <c r="H237" s="33"/>
      <c r="I237" s="34" t="str">
        <f t="shared" si="3"/>
        <v>0/3</v>
      </c>
    </row>
    <row r="238" spans="1:9" x14ac:dyDescent="0.25">
      <c r="A238" s="30">
        <f>A232</f>
        <v>46307</v>
      </c>
      <c r="B238" s="31" t="s">
        <v>82</v>
      </c>
      <c r="C238" s="31" t="s">
        <v>24</v>
      </c>
      <c r="D238" s="32" t="s">
        <v>26</v>
      </c>
      <c r="E238" s="33"/>
      <c r="F238" s="33"/>
      <c r="G238" s="33"/>
      <c r="H238" s="33"/>
      <c r="I238" s="34" t="str">
        <f t="shared" si="3"/>
        <v>0/3</v>
      </c>
    </row>
    <row r="239" spans="1:9" ht="30" x14ac:dyDescent="0.25">
      <c r="A239" s="30">
        <f>A232</f>
        <v>46307</v>
      </c>
      <c r="B239" s="31" t="s">
        <v>82</v>
      </c>
      <c r="C239" s="31" t="s">
        <v>27</v>
      </c>
      <c r="D239" s="32" t="s">
        <v>28</v>
      </c>
      <c r="E239" s="33"/>
      <c r="F239" s="33"/>
      <c r="G239" s="33"/>
      <c r="H239" s="33"/>
      <c r="I239" s="34" t="str">
        <f t="shared" si="3"/>
        <v>0/3</v>
      </c>
    </row>
    <row r="240" spans="1:9" x14ac:dyDescent="0.25">
      <c r="A240" s="30">
        <f>A232</f>
        <v>46307</v>
      </c>
      <c r="B240" s="31" t="s">
        <v>82</v>
      </c>
      <c r="C240" s="31" t="s">
        <v>29</v>
      </c>
      <c r="D240" s="32" t="s">
        <v>30</v>
      </c>
      <c r="E240" s="33"/>
      <c r="F240" s="33"/>
      <c r="G240" s="33"/>
      <c r="H240" s="33"/>
      <c r="I240" s="34" t="str">
        <f t="shared" si="3"/>
        <v>0/3</v>
      </c>
    </row>
    <row r="241" spans="1:9" x14ac:dyDescent="0.25">
      <c r="A241" s="30">
        <f>A232</f>
        <v>46307</v>
      </c>
      <c r="B241" s="31" t="s">
        <v>82</v>
      </c>
      <c r="C241" s="31" t="s">
        <v>31</v>
      </c>
      <c r="D241" s="32" t="s">
        <v>32</v>
      </c>
      <c r="E241" s="33"/>
      <c r="F241" s="33"/>
      <c r="G241" s="33"/>
      <c r="H241" s="33"/>
      <c r="I241" s="34" t="str">
        <f t="shared" si="3"/>
        <v>0/3</v>
      </c>
    </row>
    <row r="242" spans="1:9" x14ac:dyDescent="0.25">
      <c r="A242" s="30">
        <f>A232</f>
        <v>46307</v>
      </c>
      <c r="B242" s="31" t="s">
        <v>82</v>
      </c>
      <c r="C242" s="31" t="s">
        <v>33</v>
      </c>
      <c r="D242" s="32" t="s">
        <v>34</v>
      </c>
      <c r="E242" s="33"/>
      <c r="F242" s="33"/>
      <c r="G242" s="33"/>
      <c r="H242" s="33"/>
      <c r="I242" s="34" t="str">
        <f t="shared" si="3"/>
        <v>0/3</v>
      </c>
    </row>
    <row r="243" spans="1:9" x14ac:dyDescent="0.25">
      <c r="A243" s="30">
        <f>A232</f>
        <v>46307</v>
      </c>
      <c r="B243" s="31" t="s">
        <v>82</v>
      </c>
      <c r="C243" s="31" t="s">
        <v>35</v>
      </c>
      <c r="D243" s="32" t="s">
        <v>36</v>
      </c>
      <c r="E243" s="33"/>
      <c r="F243" s="33"/>
      <c r="G243" s="33"/>
      <c r="H243" s="33"/>
      <c r="I243" s="34" t="str">
        <f t="shared" si="3"/>
        <v>0/3</v>
      </c>
    </row>
    <row r="244" spans="1:9" x14ac:dyDescent="0.25">
      <c r="A244" s="30">
        <f>A232+7</f>
        <v>46314</v>
      </c>
      <c r="B244" s="31" t="s">
        <v>81</v>
      </c>
      <c r="C244" s="31" t="s">
        <v>24</v>
      </c>
      <c r="D244" s="32" t="s">
        <v>26</v>
      </c>
      <c r="E244" s="33"/>
      <c r="F244" s="33"/>
      <c r="G244" s="33"/>
      <c r="H244" s="33"/>
      <c r="I244" s="34" t="str">
        <f t="shared" si="3"/>
        <v>0/3</v>
      </c>
    </row>
    <row r="245" spans="1:9" ht="30" x14ac:dyDescent="0.25">
      <c r="A245" s="30">
        <f>A244</f>
        <v>46314</v>
      </c>
      <c r="B245" s="31" t="s">
        <v>81</v>
      </c>
      <c r="C245" s="31" t="s">
        <v>27</v>
      </c>
      <c r="D245" s="32" t="s">
        <v>28</v>
      </c>
      <c r="E245" s="33"/>
      <c r="F245" s="33"/>
      <c r="G245" s="33"/>
      <c r="H245" s="33"/>
      <c r="I245" s="34" t="str">
        <f t="shared" si="3"/>
        <v>0/3</v>
      </c>
    </row>
    <row r="246" spans="1:9" x14ac:dyDescent="0.25">
      <c r="A246" s="30">
        <f>A244</f>
        <v>46314</v>
      </c>
      <c r="B246" s="31" t="s">
        <v>81</v>
      </c>
      <c r="C246" s="31" t="s">
        <v>29</v>
      </c>
      <c r="D246" s="32" t="s">
        <v>30</v>
      </c>
      <c r="E246" s="33"/>
      <c r="F246" s="33"/>
      <c r="G246" s="33"/>
      <c r="H246" s="33"/>
      <c r="I246" s="34" t="str">
        <f t="shared" si="3"/>
        <v>0/3</v>
      </c>
    </row>
    <row r="247" spans="1:9" x14ac:dyDescent="0.25">
      <c r="A247" s="30">
        <f>A244</f>
        <v>46314</v>
      </c>
      <c r="B247" s="31" t="s">
        <v>81</v>
      </c>
      <c r="C247" s="31" t="s">
        <v>31</v>
      </c>
      <c r="D247" s="32" t="s">
        <v>32</v>
      </c>
      <c r="E247" s="33"/>
      <c r="F247" s="33"/>
      <c r="G247" s="33"/>
      <c r="H247" s="33"/>
      <c r="I247" s="34" t="str">
        <f t="shared" si="3"/>
        <v>0/3</v>
      </c>
    </row>
    <row r="248" spans="1:9" x14ac:dyDescent="0.25">
      <c r="A248" s="30">
        <f>A244</f>
        <v>46314</v>
      </c>
      <c r="B248" s="31" t="s">
        <v>81</v>
      </c>
      <c r="C248" s="31" t="s">
        <v>33</v>
      </c>
      <c r="D248" s="32" t="s">
        <v>34</v>
      </c>
      <c r="E248" s="33"/>
      <c r="F248" s="33"/>
      <c r="G248" s="33"/>
      <c r="H248" s="33"/>
      <c r="I248" s="34" t="str">
        <f t="shared" si="3"/>
        <v>0/3</v>
      </c>
    </row>
    <row r="249" spans="1:9" x14ac:dyDescent="0.25">
      <c r="A249" s="30">
        <f>A244</f>
        <v>46314</v>
      </c>
      <c r="B249" s="31" t="s">
        <v>81</v>
      </c>
      <c r="C249" s="31" t="s">
        <v>35</v>
      </c>
      <c r="D249" s="32" t="s">
        <v>36</v>
      </c>
      <c r="E249" s="33"/>
      <c r="F249" s="33"/>
      <c r="G249" s="33"/>
      <c r="H249" s="33"/>
      <c r="I249" s="34" t="str">
        <f t="shared" si="3"/>
        <v>0/3</v>
      </c>
    </row>
    <row r="250" spans="1:9" x14ac:dyDescent="0.25">
      <c r="A250" s="30">
        <f>A244</f>
        <v>46314</v>
      </c>
      <c r="B250" s="31" t="s">
        <v>82</v>
      </c>
      <c r="C250" s="31" t="s">
        <v>24</v>
      </c>
      <c r="D250" s="32" t="s">
        <v>26</v>
      </c>
      <c r="E250" s="33"/>
      <c r="F250" s="33"/>
      <c r="G250" s="33"/>
      <c r="H250" s="33"/>
      <c r="I250" s="34" t="str">
        <f t="shared" si="3"/>
        <v>0/3</v>
      </c>
    </row>
    <row r="251" spans="1:9" ht="30" x14ac:dyDescent="0.25">
      <c r="A251" s="30">
        <f>A244</f>
        <v>46314</v>
      </c>
      <c r="B251" s="31" t="s">
        <v>82</v>
      </c>
      <c r="C251" s="31" t="s">
        <v>27</v>
      </c>
      <c r="D251" s="32" t="s">
        <v>28</v>
      </c>
      <c r="E251" s="33"/>
      <c r="F251" s="33"/>
      <c r="G251" s="33"/>
      <c r="H251" s="33"/>
      <c r="I251" s="34" t="str">
        <f t="shared" si="3"/>
        <v>0/3</v>
      </c>
    </row>
    <row r="252" spans="1:9" x14ac:dyDescent="0.25">
      <c r="A252" s="30">
        <f>A244</f>
        <v>46314</v>
      </c>
      <c r="B252" s="31" t="s">
        <v>82</v>
      </c>
      <c r="C252" s="31" t="s">
        <v>29</v>
      </c>
      <c r="D252" s="32" t="s">
        <v>30</v>
      </c>
      <c r="E252" s="33"/>
      <c r="F252" s="33"/>
      <c r="G252" s="33"/>
      <c r="H252" s="33"/>
      <c r="I252" s="34" t="str">
        <f t="shared" si="3"/>
        <v>0/3</v>
      </c>
    </row>
    <row r="253" spans="1:9" x14ac:dyDescent="0.25">
      <c r="A253" s="30">
        <f>A244</f>
        <v>46314</v>
      </c>
      <c r="B253" s="31" t="s">
        <v>82</v>
      </c>
      <c r="C253" s="31" t="s">
        <v>31</v>
      </c>
      <c r="D253" s="32" t="s">
        <v>32</v>
      </c>
      <c r="E253" s="33"/>
      <c r="F253" s="33"/>
      <c r="G253" s="33"/>
      <c r="H253" s="33"/>
      <c r="I253" s="34" t="str">
        <f t="shared" si="3"/>
        <v>0/3</v>
      </c>
    </row>
    <row r="254" spans="1:9" x14ac:dyDescent="0.25">
      <c r="A254" s="30">
        <f>A244</f>
        <v>46314</v>
      </c>
      <c r="B254" s="31" t="s">
        <v>82</v>
      </c>
      <c r="C254" s="31" t="s">
        <v>33</v>
      </c>
      <c r="D254" s="32" t="s">
        <v>34</v>
      </c>
      <c r="E254" s="33"/>
      <c r="F254" s="33"/>
      <c r="G254" s="33"/>
      <c r="H254" s="33"/>
      <c r="I254" s="34" t="str">
        <f t="shared" si="3"/>
        <v>0/3</v>
      </c>
    </row>
    <row r="255" spans="1:9" x14ac:dyDescent="0.25">
      <c r="A255" s="30">
        <f>A244</f>
        <v>46314</v>
      </c>
      <c r="B255" s="31" t="s">
        <v>82</v>
      </c>
      <c r="C255" s="31" t="s">
        <v>35</v>
      </c>
      <c r="D255" s="32" t="s">
        <v>36</v>
      </c>
      <c r="E255" s="33"/>
      <c r="F255" s="33"/>
      <c r="G255" s="33"/>
      <c r="H255" s="33"/>
      <c r="I255" s="34" t="str">
        <f t="shared" si="3"/>
        <v>0/3</v>
      </c>
    </row>
    <row r="256" spans="1:9" x14ac:dyDescent="0.25">
      <c r="A256" s="30">
        <f>A244+7</f>
        <v>46321</v>
      </c>
      <c r="B256" s="31" t="s">
        <v>81</v>
      </c>
      <c r="C256" s="31" t="s">
        <v>24</v>
      </c>
      <c r="D256" s="32" t="s">
        <v>26</v>
      </c>
      <c r="E256" s="33"/>
      <c r="F256" s="33"/>
      <c r="G256" s="33"/>
      <c r="H256" s="33"/>
      <c r="I256" s="34" t="str">
        <f t="shared" si="3"/>
        <v>0/3</v>
      </c>
    </row>
    <row r="257" spans="1:9" ht="30" x14ac:dyDescent="0.25">
      <c r="A257" s="30">
        <f>A256</f>
        <v>46321</v>
      </c>
      <c r="B257" s="31" t="s">
        <v>81</v>
      </c>
      <c r="C257" s="31" t="s">
        <v>27</v>
      </c>
      <c r="D257" s="32" t="s">
        <v>28</v>
      </c>
      <c r="E257" s="33"/>
      <c r="F257" s="33"/>
      <c r="G257" s="33"/>
      <c r="H257" s="33"/>
      <c r="I257" s="34" t="str">
        <f t="shared" si="3"/>
        <v>0/3</v>
      </c>
    </row>
    <row r="258" spans="1:9" x14ac:dyDescent="0.25">
      <c r="A258" s="30">
        <f>A256</f>
        <v>46321</v>
      </c>
      <c r="B258" s="31" t="s">
        <v>81</v>
      </c>
      <c r="C258" s="31" t="s">
        <v>29</v>
      </c>
      <c r="D258" s="32" t="s">
        <v>30</v>
      </c>
      <c r="E258" s="33"/>
      <c r="F258" s="33"/>
      <c r="G258" s="33"/>
      <c r="H258" s="33"/>
      <c r="I258" s="34" t="str">
        <f t="shared" si="3"/>
        <v>0/3</v>
      </c>
    </row>
    <row r="259" spans="1:9" x14ac:dyDescent="0.25">
      <c r="A259" s="30">
        <f>A256</f>
        <v>46321</v>
      </c>
      <c r="B259" s="31" t="s">
        <v>81</v>
      </c>
      <c r="C259" s="31" t="s">
        <v>31</v>
      </c>
      <c r="D259" s="32" t="s">
        <v>32</v>
      </c>
      <c r="E259" s="33"/>
      <c r="F259" s="33"/>
      <c r="G259" s="33"/>
      <c r="H259" s="33"/>
      <c r="I259" s="34" t="str">
        <f t="shared" si="3"/>
        <v>0/3</v>
      </c>
    </row>
    <row r="260" spans="1:9" x14ac:dyDescent="0.25">
      <c r="A260" s="30">
        <f>A256</f>
        <v>46321</v>
      </c>
      <c r="B260" s="31" t="s">
        <v>81</v>
      </c>
      <c r="C260" s="31" t="s">
        <v>33</v>
      </c>
      <c r="D260" s="32" t="s">
        <v>34</v>
      </c>
      <c r="E260" s="33"/>
      <c r="F260" s="33"/>
      <c r="G260" s="33"/>
      <c r="H260" s="33"/>
      <c r="I260" s="34" t="str">
        <f t="shared" ref="I260:I323" si="4">COUNTA(E260:G260)&amp;"/3"</f>
        <v>0/3</v>
      </c>
    </row>
    <row r="261" spans="1:9" x14ac:dyDescent="0.25">
      <c r="A261" s="30">
        <f>A256</f>
        <v>46321</v>
      </c>
      <c r="B261" s="31" t="s">
        <v>81</v>
      </c>
      <c r="C261" s="31" t="s">
        <v>35</v>
      </c>
      <c r="D261" s="32" t="s">
        <v>36</v>
      </c>
      <c r="E261" s="33"/>
      <c r="F261" s="33"/>
      <c r="G261" s="33"/>
      <c r="H261" s="33"/>
      <c r="I261" s="34" t="str">
        <f t="shared" si="4"/>
        <v>0/3</v>
      </c>
    </row>
    <row r="262" spans="1:9" x14ac:dyDescent="0.25">
      <c r="A262" s="30">
        <f>A256</f>
        <v>46321</v>
      </c>
      <c r="B262" s="31" t="s">
        <v>82</v>
      </c>
      <c r="C262" s="31" t="s">
        <v>24</v>
      </c>
      <c r="D262" s="32" t="s">
        <v>26</v>
      </c>
      <c r="E262" s="33"/>
      <c r="F262" s="33"/>
      <c r="G262" s="33"/>
      <c r="H262" s="33"/>
      <c r="I262" s="34" t="str">
        <f t="shared" si="4"/>
        <v>0/3</v>
      </c>
    </row>
    <row r="263" spans="1:9" ht="30" x14ac:dyDescent="0.25">
      <c r="A263" s="30">
        <f>A256</f>
        <v>46321</v>
      </c>
      <c r="B263" s="31" t="s">
        <v>82</v>
      </c>
      <c r="C263" s="31" t="s">
        <v>27</v>
      </c>
      <c r="D263" s="32" t="s">
        <v>28</v>
      </c>
      <c r="E263" s="33"/>
      <c r="F263" s="33"/>
      <c r="G263" s="33"/>
      <c r="H263" s="33"/>
      <c r="I263" s="34" t="str">
        <f t="shared" si="4"/>
        <v>0/3</v>
      </c>
    </row>
    <row r="264" spans="1:9" x14ac:dyDescent="0.25">
      <c r="A264" s="30">
        <f>A256</f>
        <v>46321</v>
      </c>
      <c r="B264" s="31" t="s">
        <v>82</v>
      </c>
      <c r="C264" s="31" t="s">
        <v>29</v>
      </c>
      <c r="D264" s="32" t="s">
        <v>30</v>
      </c>
      <c r="E264" s="33"/>
      <c r="F264" s="33"/>
      <c r="G264" s="33"/>
      <c r="H264" s="33"/>
      <c r="I264" s="34" t="str">
        <f t="shared" si="4"/>
        <v>0/3</v>
      </c>
    </row>
    <row r="265" spans="1:9" x14ac:dyDescent="0.25">
      <c r="A265" s="30">
        <f>A256</f>
        <v>46321</v>
      </c>
      <c r="B265" s="31" t="s">
        <v>82</v>
      </c>
      <c r="C265" s="31" t="s">
        <v>31</v>
      </c>
      <c r="D265" s="32" t="s">
        <v>32</v>
      </c>
      <c r="E265" s="33"/>
      <c r="F265" s="33"/>
      <c r="G265" s="33"/>
      <c r="H265" s="33"/>
      <c r="I265" s="34" t="str">
        <f t="shared" si="4"/>
        <v>0/3</v>
      </c>
    </row>
    <row r="266" spans="1:9" x14ac:dyDescent="0.25">
      <c r="A266" s="30">
        <f>A256</f>
        <v>46321</v>
      </c>
      <c r="B266" s="31" t="s">
        <v>82</v>
      </c>
      <c r="C266" s="31" t="s">
        <v>33</v>
      </c>
      <c r="D266" s="32" t="s">
        <v>34</v>
      </c>
      <c r="E266" s="33"/>
      <c r="F266" s="33"/>
      <c r="G266" s="33"/>
      <c r="H266" s="33"/>
      <c r="I266" s="34" t="str">
        <f t="shared" si="4"/>
        <v>0/3</v>
      </c>
    </row>
    <row r="267" spans="1:9" x14ac:dyDescent="0.25">
      <c r="A267" s="30">
        <f>A256</f>
        <v>46321</v>
      </c>
      <c r="B267" s="31" t="s">
        <v>82</v>
      </c>
      <c r="C267" s="31" t="s">
        <v>35</v>
      </c>
      <c r="D267" s="32" t="s">
        <v>36</v>
      </c>
      <c r="E267" s="33"/>
      <c r="F267" s="33"/>
      <c r="G267" s="33"/>
      <c r="H267" s="33"/>
      <c r="I267" s="34" t="str">
        <f t="shared" si="4"/>
        <v>0/3</v>
      </c>
    </row>
    <row r="268" spans="1:9" x14ac:dyDescent="0.25">
      <c r="A268" s="30">
        <f>A256+7</f>
        <v>46328</v>
      </c>
      <c r="B268" s="31" t="s">
        <v>81</v>
      </c>
      <c r="C268" s="31" t="s">
        <v>24</v>
      </c>
      <c r="D268" s="32" t="s">
        <v>26</v>
      </c>
      <c r="E268" s="33"/>
      <c r="F268" s="33"/>
      <c r="G268" s="33"/>
      <c r="H268" s="33"/>
      <c r="I268" s="34" t="str">
        <f t="shared" si="4"/>
        <v>0/3</v>
      </c>
    </row>
    <row r="269" spans="1:9" ht="30" x14ac:dyDescent="0.25">
      <c r="A269" s="30">
        <f>A268</f>
        <v>46328</v>
      </c>
      <c r="B269" s="31" t="s">
        <v>81</v>
      </c>
      <c r="C269" s="31" t="s">
        <v>27</v>
      </c>
      <c r="D269" s="32" t="s">
        <v>28</v>
      </c>
      <c r="E269" s="33"/>
      <c r="F269" s="33"/>
      <c r="G269" s="33"/>
      <c r="H269" s="33"/>
      <c r="I269" s="34" t="str">
        <f t="shared" si="4"/>
        <v>0/3</v>
      </c>
    </row>
    <row r="270" spans="1:9" x14ac:dyDescent="0.25">
      <c r="A270" s="30">
        <f>A268</f>
        <v>46328</v>
      </c>
      <c r="B270" s="31" t="s">
        <v>81</v>
      </c>
      <c r="C270" s="31" t="s">
        <v>29</v>
      </c>
      <c r="D270" s="32" t="s">
        <v>30</v>
      </c>
      <c r="E270" s="33"/>
      <c r="F270" s="33"/>
      <c r="G270" s="33"/>
      <c r="H270" s="33"/>
      <c r="I270" s="34" t="str">
        <f t="shared" si="4"/>
        <v>0/3</v>
      </c>
    </row>
    <row r="271" spans="1:9" x14ac:dyDescent="0.25">
      <c r="A271" s="30">
        <f>A268</f>
        <v>46328</v>
      </c>
      <c r="B271" s="31" t="s">
        <v>81</v>
      </c>
      <c r="C271" s="31" t="s">
        <v>31</v>
      </c>
      <c r="D271" s="32" t="s">
        <v>32</v>
      </c>
      <c r="E271" s="33"/>
      <c r="F271" s="33"/>
      <c r="G271" s="33"/>
      <c r="H271" s="33"/>
      <c r="I271" s="34" t="str">
        <f t="shared" si="4"/>
        <v>0/3</v>
      </c>
    </row>
    <row r="272" spans="1:9" x14ac:dyDescent="0.25">
      <c r="A272" s="30">
        <f>A268</f>
        <v>46328</v>
      </c>
      <c r="B272" s="31" t="s">
        <v>81</v>
      </c>
      <c r="C272" s="31" t="s">
        <v>33</v>
      </c>
      <c r="D272" s="32" t="s">
        <v>34</v>
      </c>
      <c r="E272" s="33"/>
      <c r="F272" s="33"/>
      <c r="G272" s="33"/>
      <c r="H272" s="33"/>
      <c r="I272" s="34" t="str">
        <f t="shared" si="4"/>
        <v>0/3</v>
      </c>
    </row>
    <row r="273" spans="1:9" x14ac:dyDescent="0.25">
      <c r="A273" s="30">
        <f>A268</f>
        <v>46328</v>
      </c>
      <c r="B273" s="31" t="s">
        <v>81</v>
      </c>
      <c r="C273" s="31" t="s">
        <v>35</v>
      </c>
      <c r="D273" s="32" t="s">
        <v>36</v>
      </c>
      <c r="E273" s="33"/>
      <c r="F273" s="33"/>
      <c r="G273" s="33"/>
      <c r="H273" s="33"/>
      <c r="I273" s="34" t="str">
        <f t="shared" si="4"/>
        <v>0/3</v>
      </c>
    </row>
    <row r="274" spans="1:9" x14ac:dyDescent="0.25">
      <c r="A274" s="30">
        <f>A268</f>
        <v>46328</v>
      </c>
      <c r="B274" s="31" t="s">
        <v>82</v>
      </c>
      <c r="C274" s="31" t="s">
        <v>24</v>
      </c>
      <c r="D274" s="32" t="s">
        <v>26</v>
      </c>
      <c r="E274" s="33"/>
      <c r="F274" s="33"/>
      <c r="G274" s="33"/>
      <c r="H274" s="33"/>
      <c r="I274" s="34" t="str">
        <f t="shared" si="4"/>
        <v>0/3</v>
      </c>
    </row>
    <row r="275" spans="1:9" ht="30" x14ac:dyDescent="0.25">
      <c r="A275" s="30">
        <f>A268</f>
        <v>46328</v>
      </c>
      <c r="B275" s="31" t="s">
        <v>82</v>
      </c>
      <c r="C275" s="31" t="s">
        <v>27</v>
      </c>
      <c r="D275" s="32" t="s">
        <v>28</v>
      </c>
      <c r="E275" s="33"/>
      <c r="F275" s="33"/>
      <c r="G275" s="33"/>
      <c r="H275" s="33"/>
      <c r="I275" s="34" t="str">
        <f t="shared" si="4"/>
        <v>0/3</v>
      </c>
    </row>
    <row r="276" spans="1:9" x14ac:dyDescent="0.25">
      <c r="A276" s="30">
        <f>A268</f>
        <v>46328</v>
      </c>
      <c r="B276" s="31" t="s">
        <v>82</v>
      </c>
      <c r="C276" s="31" t="s">
        <v>29</v>
      </c>
      <c r="D276" s="32" t="s">
        <v>30</v>
      </c>
      <c r="E276" s="33"/>
      <c r="F276" s="33"/>
      <c r="G276" s="33"/>
      <c r="H276" s="33"/>
      <c r="I276" s="34" t="str">
        <f t="shared" si="4"/>
        <v>0/3</v>
      </c>
    </row>
    <row r="277" spans="1:9" x14ac:dyDescent="0.25">
      <c r="A277" s="30">
        <f>A268</f>
        <v>46328</v>
      </c>
      <c r="B277" s="31" t="s">
        <v>82</v>
      </c>
      <c r="C277" s="31" t="s">
        <v>31</v>
      </c>
      <c r="D277" s="32" t="s">
        <v>32</v>
      </c>
      <c r="E277" s="33"/>
      <c r="F277" s="33"/>
      <c r="G277" s="33"/>
      <c r="H277" s="33"/>
      <c r="I277" s="34" t="str">
        <f t="shared" si="4"/>
        <v>0/3</v>
      </c>
    </row>
    <row r="278" spans="1:9" x14ac:dyDescent="0.25">
      <c r="A278" s="30">
        <f>A268</f>
        <v>46328</v>
      </c>
      <c r="B278" s="31" t="s">
        <v>82</v>
      </c>
      <c r="C278" s="31" t="s">
        <v>33</v>
      </c>
      <c r="D278" s="32" t="s">
        <v>34</v>
      </c>
      <c r="E278" s="33"/>
      <c r="F278" s="33"/>
      <c r="G278" s="33"/>
      <c r="H278" s="33"/>
      <c r="I278" s="34" t="str">
        <f t="shared" si="4"/>
        <v>0/3</v>
      </c>
    </row>
    <row r="279" spans="1:9" x14ac:dyDescent="0.25">
      <c r="A279" s="30">
        <f>A268</f>
        <v>46328</v>
      </c>
      <c r="B279" s="31" t="s">
        <v>82</v>
      </c>
      <c r="C279" s="31" t="s">
        <v>35</v>
      </c>
      <c r="D279" s="32" t="s">
        <v>36</v>
      </c>
      <c r="E279" s="33"/>
      <c r="F279" s="33"/>
      <c r="G279" s="33"/>
      <c r="H279" s="33"/>
      <c r="I279" s="34" t="str">
        <f t="shared" si="4"/>
        <v>0/3</v>
      </c>
    </row>
    <row r="280" spans="1:9" x14ac:dyDescent="0.25">
      <c r="A280" s="30">
        <f>A268+7</f>
        <v>46335</v>
      </c>
      <c r="B280" s="31" t="s">
        <v>81</v>
      </c>
      <c r="C280" s="31" t="s">
        <v>24</v>
      </c>
      <c r="D280" s="32" t="s">
        <v>26</v>
      </c>
      <c r="E280" s="33"/>
      <c r="F280" s="33"/>
      <c r="G280" s="33"/>
      <c r="H280" s="33"/>
      <c r="I280" s="34" t="str">
        <f t="shared" si="4"/>
        <v>0/3</v>
      </c>
    </row>
    <row r="281" spans="1:9" ht="30" x14ac:dyDescent="0.25">
      <c r="A281" s="30">
        <f>A280</f>
        <v>46335</v>
      </c>
      <c r="B281" s="31" t="s">
        <v>81</v>
      </c>
      <c r="C281" s="31" t="s">
        <v>27</v>
      </c>
      <c r="D281" s="32" t="s">
        <v>28</v>
      </c>
      <c r="E281" s="33"/>
      <c r="F281" s="33"/>
      <c r="G281" s="33"/>
      <c r="H281" s="33"/>
      <c r="I281" s="34" t="str">
        <f t="shared" si="4"/>
        <v>0/3</v>
      </c>
    </row>
    <row r="282" spans="1:9" x14ac:dyDescent="0.25">
      <c r="A282" s="30">
        <f>A280</f>
        <v>46335</v>
      </c>
      <c r="B282" s="31" t="s">
        <v>81</v>
      </c>
      <c r="C282" s="31" t="s">
        <v>29</v>
      </c>
      <c r="D282" s="32" t="s">
        <v>30</v>
      </c>
      <c r="E282" s="33"/>
      <c r="F282" s="33"/>
      <c r="G282" s="33"/>
      <c r="H282" s="33"/>
      <c r="I282" s="34" t="str">
        <f t="shared" si="4"/>
        <v>0/3</v>
      </c>
    </row>
    <row r="283" spans="1:9" x14ac:dyDescent="0.25">
      <c r="A283" s="30">
        <f>A280</f>
        <v>46335</v>
      </c>
      <c r="B283" s="31" t="s">
        <v>81</v>
      </c>
      <c r="C283" s="31" t="s">
        <v>31</v>
      </c>
      <c r="D283" s="32" t="s">
        <v>32</v>
      </c>
      <c r="E283" s="33"/>
      <c r="F283" s="33"/>
      <c r="G283" s="33"/>
      <c r="H283" s="33"/>
      <c r="I283" s="34" t="str">
        <f t="shared" si="4"/>
        <v>0/3</v>
      </c>
    </row>
    <row r="284" spans="1:9" x14ac:dyDescent="0.25">
      <c r="A284" s="30">
        <f>A280</f>
        <v>46335</v>
      </c>
      <c r="B284" s="31" t="s">
        <v>81</v>
      </c>
      <c r="C284" s="31" t="s">
        <v>33</v>
      </c>
      <c r="D284" s="32" t="s">
        <v>34</v>
      </c>
      <c r="E284" s="33"/>
      <c r="F284" s="33"/>
      <c r="G284" s="33"/>
      <c r="H284" s="33"/>
      <c r="I284" s="34" t="str">
        <f t="shared" si="4"/>
        <v>0/3</v>
      </c>
    </row>
    <row r="285" spans="1:9" x14ac:dyDescent="0.25">
      <c r="A285" s="30">
        <f>A280</f>
        <v>46335</v>
      </c>
      <c r="B285" s="31" t="s">
        <v>81</v>
      </c>
      <c r="C285" s="31" t="s">
        <v>35</v>
      </c>
      <c r="D285" s="32" t="s">
        <v>36</v>
      </c>
      <c r="E285" s="33"/>
      <c r="F285" s="33"/>
      <c r="G285" s="33"/>
      <c r="H285" s="33"/>
      <c r="I285" s="34" t="str">
        <f t="shared" si="4"/>
        <v>0/3</v>
      </c>
    </row>
    <row r="286" spans="1:9" x14ac:dyDescent="0.25">
      <c r="A286" s="30">
        <f>A280</f>
        <v>46335</v>
      </c>
      <c r="B286" s="31" t="s">
        <v>82</v>
      </c>
      <c r="C286" s="31" t="s">
        <v>24</v>
      </c>
      <c r="D286" s="32" t="s">
        <v>26</v>
      </c>
      <c r="E286" s="33"/>
      <c r="F286" s="33"/>
      <c r="G286" s="33"/>
      <c r="H286" s="33"/>
      <c r="I286" s="34" t="str">
        <f t="shared" si="4"/>
        <v>0/3</v>
      </c>
    </row>
    <row r="287" spans="1:9" ht="30" x14ac:dyDescent="0.25">
      <c r="A287" s="30">
        <f>A280</f>
        <v>46335</v>
      </c>
      <c r="B287" s="31" t="s">
        <v>82</v>
      </c>
      <c r="C287" s="31" t="s">
        <v>27</v>
      </c>
      <c r="D287" s="32" t="s">
        <v>28</v>
      </c>
      <c r="E287" s="33"/>
      <c r="F287" s="33"/>
      <c r="G287" s="33"/>
      <c r="H287" s="33"/>
      <c r="I287" s="34" t="str">
        <f t="shared" si="4"/>
        <v>0/3</v>
      </c>
    </row>
    <row r="288" spans="1:9" x14ac:dyDescent="0.25">
      <c r="A288" s="30">
        <f>A280</f>
        <v>46335</v>
      </c>
      <c r="B288" s="31" t="s">
        <v>82</v>
      </c>
      <c r="C288" s="31" t="s">
        <v>29</v>
      </c>
      <c r="D288" s="32" t="s">
        <v>30</v>
      </c>
      <c r="E288" s="33"/>
      <c r="F288" s="33"/>
      <c r="G288" s="33"/>
      <c r="H288" s="33"/>
      <c r="I288" s="34" t="str">
        <f t="shared" si="4"/>
        <v>0/3</v>
      </c>
    </row>
    <row r="289" spans="1:9" x14ac:dyDescent="0.25">
      <c r="A289" s="30">
        <f>A280</f>
        <v>46335</v>
      </c>
      <c r="B289" s="31" t="s">
        <v>82</v>
      </c>
      <c r="C289" s="31" t="s">
        <v>31</v>
      </c>
      <c r="D289" s="32" t="s">
        <v>32</v>
      </c>
      <c r="E289" s="33"/>
      <c r="F289" s="33"/>
      <c r="G289" s="33"/>
      <c r="H289" s="33"/>
      <c r="I289" s="34" t="str">
        <f t="shared" si="4"/>
        <v>0/3</v>
      </c>
    </row>
    <row r="290" spans="1:9" x14ac:dyDescent="0.25">
      <c r="A290" s="30">
        <f>A280</f>
        <v>46335</v>
      </c>
      <c r="B290" s="31" t="s">
        <v>82</v>
      </c>
      <c r="C290" s="31" t="s">
        <v>33</v>
      </c>
      <c r="D290" s="32" t="s">
        <v>34</v>
      </c>
      <c r="E290" s="33"/>
      <c r="F290" s="33"/>
      <c r="G290" s="33"/>
      <c r="H290" s="33"/>
      <c r="I290" s="34" t="str">
        <f t="shared" si="4"/>
        <v>0/3</v>
      </c>
    </row>
    <row r="291" spans="1:9" x14ac:dyDescent="0.25">
      <c r="A291" s="30">
        <f>A280</f>
        <v>46335</v>
      </c>
      <c r="B291" s="31" t="s">
        <v>82</v>
      </c>
      <c r="C291" s="31" t="s">
        <v>35</v>
      </c>
      <c r="D291" s="32" t="s">
        <v>36</v>
      </c>
      <c r="E291" s="33"/>
      <c r="F291" s="33"/>
      <c r="G291" s="33"/>
      <c r="H291" s="33"/>
      <c r="I291" s="34" t="str">
        <f t="shared" si="4"/>
        <v>0/3</v>
      </c>
    </row>
    <row r="292" spans="1:9" x14ac:dyDescent="0.25">
      <c r="A292" s="30">
        <f>A280+7</f>
        <v>46342</v>
      </c>
      <c r="B292" s="31" t="s">
        <v>81</v>
      </c>
      <c r="C292" s="31" t="s">
        <v>24</v>
      </c>
      <c r="D292" s="32" t="s">
        <v>26</v>
      </c>
      <c r="E292" s="33"/>
      <c r="F292" s="33"/>
      <c r="G292" s="33"/>
      <c r="H292" s="33"/>
      <c r="I292" s="34" t="str">
        <f t="shared" si="4"/>
        <v>0/3</v>
      </c>
    </row>
    <row r="293" spans="1:9" ht="30" x14ac:dyDescent="0.25">
      <c r="A293" s="30">
        <f>A292</f>
        <v>46342</v>
      </c>
      <c r="B293" s="31" t="s">
        <v>81</v>
      </c>
      <c r="C293" s="31" t="s">
        <v>27</v>
      </c>
      <c r="D293" s="32" t="s">
        <v>28</v>
      </c>
      <c r="E293" s="33"/>
      <c r="F293" s="33"/>
      <c r="G293" s="33"/>
      <c r="H293" s="33"/>
      <c r="I293" s="34" t="str">
        <f t="shared" si="4"/>
        <v>0/3</v>
      </c>
    </row>
    <row r="294" spans="1:9" x14ac:dyDescent="0.25">
      <c r="A294" s="30">
        <f>A292</f>
        <v>46342</v>
      </c>
      <c r="B294" s="31" t="s">
        <v>81</v>
      </c>
      <c r="C294" s="31" t="s">
        <v>29</v>
      </c>
      <c r="D294" s="32" t="s">
        <v>30</v>
      </c>
      <c r="E294" s="33"/>
      <c r="F294" s="33"/>
      <c r="G294" s="33"/>
      <c r="H294" s="33"/>
      <c r="I294" s="34" t="str">
        <f t="shared" si="4"/>
        <v>0/3</v>
      </c>
    </row>
    <row r="295" spans="1:9" x14ac:dyDescent="0.25">
      <c r="A295" s="30">
        <f>A292</f>
        <v>46342</v>
      </c>
      <c r="B295" s="31" t="s">
        <v>81</v>
      </c>
      <c r="C295" s="31" t="s">
        <v>31</v>
      </c>
      <c r="D295" s="32" t="s">
        <v>32</v>
      </c>
      <c r="E295" s="33"/>
      <c r="F295" s="33"/>
      <c r="G295" s="33"/>
      <c r="H295" s="33"/>
      <c r="I295" s="34" t="str">
        <f t="shared" si="4"/>
        <v>0/3</v>
      </c>
    </row>
    <row r="296" spans="1:9" x14ac:dyDescent="0.25">
      <c r="A296" s="30">
        <f>A292</f>
        <v>46342</v>
      </c>
      <c r="B296" s="31" t="s">
        <v>81</v>
      </c>
      <c r="C296" s="31" t="s">
        <v>33</v>
      </c>
      <c r="D296" s="32" t="s">
        <v>34</v>
      </c>
      <c r="E296" s="33"/>
      <c r="F296" s="33"/>
      <c r="G296" s="33"/>
      <c r="H296" s="33"/>
      <c r="I296" s="34" t="str">
        <f t="shared" si="4"/>
        <v>0/3</v>
      </c>
    </row>
    <row r="297" spans="1:9" x14ac:dyDescent="0.25">
      <c r="A297" s="30">
        <f>A292</f>
        <v>46342</v>
      </c>
      <c r="B297" s="31" t="s">
        <v>81</v>
      </c>
      <c r="C297" s="31" t="s">
        <v>35</v>
      </c>
      <c r="D297" s="32" t="s">
        <v>36</v>
      </c>
      <c r="E297" s="33"/>
      <c r="F297" s="33"/>
      <c r="G297" s="33"/>
      <c r="H297" s="33"/>
      <c r="I297" s="34" t="str">
        <f t="shared" si="4"/>
        <v>0/3</v>
      </c>
    </row>
    <row r="298" spans="1:9" x14ac:dyDescent="0.25">
      <c r="A298" s="30">
        <f>A292</f>
        <v>46342</v>
      </c>
      <c r="B298" s="31" t="s">
        <v>82</v>
      </c>
      <c r="C298" s="31" t="s">
        <v>24</v>
      </c>
      <c r="D298" s="32" t="s">
        <v>26</v>
      </c>
      <c r="E298" s="33"/>
      <c r="F298" s="33"/>
      <c r="G298" s="33"/>
      <c r="H298" s="33"/>
      <c r="I298" s="34" t="str">
        <f t="shared" si="4"/>
        <v>0/3</v>
      </c>
    </row>
    <row r="299" spans="1:9" ht="30" x14ac:dyDescent="0.25">
      <c r="A299" s="30">
        <f>A292</f>
        <v>46342</v>
      </c>
      <c r="B299" s="31" t="s">
        <v>82</v>
      </c>
      <c r="C299" s="31" t="s">
        <v>27</v>
      </c>
      <c r="D299" s="32" t="s">
        <v>28</v>
      </c>
      <c r="E299" s="33"/>
      <c r="F299" s="33"/>
      <c r="G299" s="33"/>
      <c r="H299" s="33"/>
      <c r="I299" s="34" t="str">
        <f t="shared" si="4"/>
        <v>0/3</v>
      </c>
    </row>
    <row r="300" spans="1:9" x14ac:dyDescent="0.25">
      <c r="A300" s="30">
        <f>A292</f>
        <v>46342</v>
      </c>
      <c r="B300" s="31" t="s">
        <v>82</v>
      </c>
      <c r="C300" s="31" t="s">
        <v>29</v>
      </c>
      <c r="D300" s="32" t="s">
        <v>30</v>
      </c>
      <c r="E300" s="33"/>
      <c r="F300" s="33"/>
      <c r="G300" s="33"/>
      <c r="H300" s="33"/>
      <c r="I300" s="34" t="str">
        <f t="shared" si="4"/>
        <v>0/3</v>
      </c>
    </row>
    <row r="301" spans="1:9" x14ac:dyDescent="0.25">
      <c r="A301" s="30">
        <f>A292</f>
        <v>46342</v>
      </c>
      <c r="B301" s="31" t="s">
        <v>82</v>
      </c>
      <c r="C301" s="31" t="s">
        <v>31</v>
      </c>
      <c r="D301" s="32" t="s">
        <v>32</v>
      </c>
      <c r="E301" s="33"/>
      <c r="F301" s="33"/>
      <c r="G301" s="33"/>
      <c r="H301" s="33"/>
      <c r="I301" s="34" t="str">
        <f t="shared" si="4"/>
        <v>0/3</v>
      </c>
    </row>
    <row r="302" spans="1:9" x14ac:dyDescent="0.25">
      <c r="A302" s="30">
        <f>A292</f>
        <v>46342</v>
      </c>
      <c r="B302" s="31" t="s">
        <v>82</v>
      </c>
      <c r="C302" s="31" t="s">
        <v>33</v>
      </c>
      <c r="D302" s="32" t="s">
        <v>34</v>
      </c>
      <c r="E302" s="33"/>
      <c r="F302" s="33"/>
      <c r="G302" s="33"/>
      <c r="H302" s="33"/>
      <c r="I302" s="34" t="str">
        <f t="shared" si="4"/>
        <v>0/3</v>
      </c>
    </row>
    <row r="303" spans="1:9" x14ac:dyDescent="0.25">
      <c r="A303" s="30">
        <f>A292</f>
        <v>46342</v>
      </c>
      <c r="B303" s="31" t="s">
        <v>82</v>
      </c>
      <c r="C303" s="31" t="s">
        <v>35</v>
      </c>
      <c r="D303" s="32" t="s">
        <v>36</v>
      </c>
      <c r="E303" s="33"/>
      <c r="F303" s="33"/>
      <c r="G303" s="33"/>
      <c r="H303" s="33"/>
      <c r="I303" s="34" t="str">
        <f t="shared" si="4"/>
        <v>0/3</v>
      </c>
    </row>
    <row r="304" spans="1:9" x14ac:dyDescent="0.25">
      <c r="A304" s="30">
        <f>A292+7</f>
        <v>46349</v>
      </c>
      <c r="B304" s="31" t="s">
        <v>81</v>
      </c>
      <c r="C304" s="31" t="s">
        <v>24</v>
      </c>
      <c r="D304" s="32" t="s">
        <v>26</v>
      </c>
      <c r="E304" s="33"/>
      <c r="F304" s="33"/>
      <c r="G304" s="33"/>
      <c r="H304" s="33"/>
      <c r="I304" s="34" t="str">
        <f t="shared" si="4"/>
        <v>0/3</v>
      </c>
    </row>
    <row r="305" spans="1:9" ht="30" x14ac:dyDescent="0.25">
      <c r="A305" s="30">
        <f>A304</f>
        <v>46349</v>
      </c>
      <c r="B305" s="31" t="s">
        <v>81</v>
      </c>
      <c r="C305" s="31" t="s">
        <v>27</v>
      </c>
      <c r="D305" s="32" t="s">
        <v>28</v>
      </c>
      <c r="E305" s="33"/>
      <c r="F305" s="33"/>
      <c r="G305" s="33"/>
      <c r="H305" s="33"/>
      <c r="I305" s="34" t="str">
        <f t="shared" si="4"/>
        <v>0/3</v>
      </c>
    </row>
    <row r="306" spans="1:9" x14ac:dyDescent="0.25">
      <c r="A306" s="30">
        <f>A304</f>
        <v>46349</v>
      </c>
      <c r="B306" s="31" t="s">
        <v>81</v>
      </c>
      <c r="C306" s="31" t="s">
        <v>29</v>
      </c>
      <c r="D306" s="32" t="s">
        <v>30</v>
      </c>
      <c r="E306" s="33"/>
      <c r="F306" s="33"/>
      <c r="G306" s="33"/>
      <c r="H306" s="33"/>
      <c r="I306" s="34" t="str">
        <f t="shared" si="4"/>
        <v>0/3</v>
      </c>
    </row>
    <row r="307" spans="1:9" x14ac:dyDescent="0.25">
      <c r="A307" s="30">
        <f>A304</f>
        <v>46349</v>
      </c>
      <c r="B307" s="31" t="s">
        <v>81</v>
      </c>
      <c r="C307" s="31" t="s">
        <v>31</v>
      </c>
      <c r="D307" s="32" t="s">
        <v>32</v>
      </c>
      <c r="E307" s="33"/>
      <c r="F307" s="33"/>
      <c r="G307" s="33"/>
      <c r="H307" s="33"/>
      <c r="I307" s="34" t="str">
        <f t="shared" si="4"/>
        <v>0/3</v>
      </c>
    </row>
    <row r="308" spans="1:9" x14ac:dyDescent="0.25">
      <c r="A308" s="30">
        <f>A304</f>
        <v>46349</v>
      </c>
      <c r="B308" s="31" t="s">
        <v>81</v>
      </c>
      <c r="C308" s="31" t="s">
        <v>33</v>
      </c>
      <c r="D308" s="32" t="s">
        <v>34</v>
      </c>
      <c r="E308" s="33"/>
      <c r="F308" s="33"/>
      <c r="G308" s="33"/>
      <c r="H308" s="33"/>
      <c r="I308" s="34" t="str">
        <f t="shared" si="4"/>
        <v>0/3</v>
      </c>
    </row>
    <row r="309" spans="1:9" x14ac:dyDescent="0.25">
      <c r="A309" s="30">
        <f>A304</f>
        <v>46349</v>
      </c>
      <c r="B309" s="31" t="s">
        <v>81</v>
      </c>
      <c r="C309" s="31" t="s">
        <v>35</v>
      </c>
      <c r="D309" s="32" t="s">
        <v>36</v>
      </c>
      <c r="E309" s="33"/>
      <c r="F309" s="33"/>
      <c r="G309" s="33"/>
      <c r="H309" s="33"/>
      <c r="I309" s="34" t="str">
        <f t="shared" si="4"/>
        <v>0/3</v>
      </c>
    </row>
    <row r="310" spans="1:9" x14ac:dyDescent="0.25">
      <c r="A310" s="30">
        <f>A304</f>
        <v>46349</v>
      </c>
      <c r="B310" s="31" t="s">
        <v>82</v>
      </c>
      <c r="C310" s="31" t="s">
        <v>24</v>
      </c>
      <c r="D310" s="32" t="s">
        <v>26</v>
      </c>
      <c r="E310" s="33"/>
      <c r="F310" s="33"/>
      <c r="G310" s="33"/>
      <c r="H310" s="33"/>
      <c r="I310" s="34" t="str">
        <f t="shared" si="4"/>
        <v>0/3</v>
      </c>
    </row>
    <row r="311" spans="1:9" ht="30" x14ac:dyDescent="0.25">
      <c r="A311" s="30">
        <f>A304</f>
        <v>46349</v>
      </c>
      <c r="B311" s="31" t="s">
        <v>82</v>
      </c>
      <c r="C311" s="31" t="s">
        <v>27</v>
      </c>
      <c r="D311" s="32" t="s">
        <v>28</v>
      </c>
      <c r="E311" s="33"/>
      <c r="F311" s="33"/>
      <c r="G311" s="33"/>
      <c r="H311" s="33"/>
      <c r="I311" s="34" t="str">
        <f t="shared" si="4"/>
        <v>0/3</v>
      </c>
    </row>
    <row r="312" spans="1:9" x14ac:dyDescent="0.25">
      <c r="A312" s="30">
        <f>A304</f>
        <v>46349</v>
      </c>
      <c r="B312" s="31" t="s">
        <v>82</v>
      </c>
      <c r="C312" s="31" t="s">
        <v>29</v>
      </c>
      <c r="D312" s="32" t="s">
        <v>30</v>
      </c>
      <c r="E312" s="33"/>
      <c r="F312" s="33"/>
      <c r="G312" s="33"/>
      <c r="H312" s="33"/>
      <c r="I312" s="34" t="str">
        <f t="shared" si="4"/>
        <v>0/3</v>
      </c>
    </row>
    <row r="313" spans="1:9" x14ac:dyDescent="0.25">
      <c r="A313" s="30">
        <f>A304</f>
        <v>46349</v>
      </c>
      <c r="B313" s="31" t="s">
        <v>82</v>
      </c>
      <c r="C313" s="31" t="s">
        <v>31</v>
      </c>
      <c r="D313" s="32" t="s">
        <v>32</v>
      </c>
      <c r="E313" s="33"/>
      <c r="F313" s="33"/>
      <c r="G313" s="33"/>
      <c r="H313" s="33"/>
      <c r="I313" s="34" t="str">
        <f t="shared" si="4"/>
        <v>0/3</v>
      </c>
    </row>
    <row r="314" spans="1:9" x14ac:dyDescent="0.25">
      <c r="A314" s="30">
        <f>A304</f>
        <v>46349</v>
      </c>
      <c r="B314" s="31" t="s">
        <v>82</v>
      </c>
      <c r="C314" s="31" t="s">
        <v>33</v>
      </c>
      <c r="D314" s="32" t="s">
        <v>34</v>
      </c>
      <c r="E314" s="33"/>
      <c r="F314" s="33"/>
      <c r="G314" s="33"/>
      <c r="H314" s="33"/>
      <c r="I314" s="34" t="str">
        <f t="shared" si="4"/>
        <v>0/3</v>
      </c>
    </row>
    <row r="315" spans="1:9" x14ac:dyDescent="0.25">
      <c r="A315" s="30">
        <f>A304</f>
        <v>46349</v>
      </c>
      <c r="B315" s="31" t="s">
        <v>82</v>
      </c>
      <c r="C315" s="31" t="s">
        <v>35</v>
      </c>
      <c r="D315" s="32" t="s">
        <v>36</v>
      </c>
      <c r="E315" s="33"/>
      <c r="F315" s="33"/>
      <c r="G315" s="33"/>
      <c r="H315" s="33"/>
      <c r="I315" s="34" t="str">
        <f t="shared" si="4"/>
        <v>0/3</v>
      </c>
    </row>
    <row r="316" spans="1:9" x14ac:dyDescent="0.25">
      <c r="A316" s="30">
        <f>A304+7</f>
        <v>46356</v>
      </c>
      <c r="B316" s="31" t="s">
        <v>81</v>
      </c>
      <c r="C316" s="31" t="s">
        <v>24</v>
      </c>
      <c r="D316" s="32" t="s">
        <v>26</v>
      </c>
      <c r="E316" s="33"/>
      <c r="F316" s="33"/>
      <c r="G316" s="33"/>
      <c r="H316" s="33"/>
      <c r="I316" s="34" t="str">
        <f t="shared" si="4"/>
        <v>0/3</v>
      </c>
    </row>
    <row r="317" spans="1:9" ht="30" x14ac:dyDescent="0.25">
      <c r="A317" s="30">
        <f>A316</f>
        <v>46356</v>
      </c>
      <c r="B317" s="31" t="s">
        <v>81</v>
      </c>
      <c r="C317" s="31" t="s">
        <v>27</v>
      </c>
      <c r="D317" s="32" t="s">
        <v>28</v>
      </c>
      <c r="E317" s="33"/>
      <c r="F317" s="33"/>
      <c r="G317" s="33"/>
      <c r="H317" s="33"/>
      <c r="I317" s="34" t="str">
        <f t="shared" si="4"/>
        <v>0/3</v>
      </c>
    </row>
    <row r="318" spans="1:9" x14ac:dyDescent="0.25">
      <c r="A318" s="30">
        <f>A316</f>
        <v>46356</v>
      </c>
      <c r="B318" s="31" t="s">
        <v>81</v>
      </c>
      <c r="C318" s="31" t="s">
        <v>29</v>
      </c>
      <c r="D318" s="32" t="s">
        <v>30</v>
      </c>
      <c r="E318" s="33"/>
      <c r="F318" s="33"/>
      <c r="G318" s="33"/>
      <c r="H318" s="33"/>
      <c r="I318" s="34" t="str">
        <f t="shared" si="4"/>
        <v>0/3</v>
      </c>
    </row>
    <row r="319" spans="1:9" x14ac:dyDescent="0.25">
      <c r="A319" s="30">
        <f>A316</f>
        <v>46356</v>
      </c>
      <c r="B319" s="31" t="s">
        <v>81</v>
      </c>
      <c r="C319" s="31" t="s">
        <v>31</v>
      </c>
      <c r="D319" s="32" t="s">
        <v>32</v>
      </c>
      <c r="E319" s="33"/>
      <c r="F319" s="33"/>
      <c r="G319" s="33"/>
      <c r="H319" s="33"/>
      <c r="I319" s="34" t="str">
        <f t="shared" si="4"/>
        <v>0/3</v>
      </c>
    </row>
    <row r="320" spans="1:9" x14ac:dyDescent="0.25">
      <c r="A320" s="30">
        <f>A316</f>
        <v>46356</v>
      </c>
      <c r="B320" s="31" t="s">
        <v>81</v>
      </c>
      <c r="C320" s="31" t="s">
        <v>33</v>
      </c>
      <c r="D320" s="32" t="s">
        <v>34</v>
      </c>
      <c r="E320" s="33"/>
      <c r="F320" s="33"/>
      <c r="G320" s="33"/>
      <c r="H320" s="33"/>
      <c r="I320" s="34" t="str">
        <f t="shared" si="4"/>
        <v>0/3</v>
      </c>
    </row>
    <row r="321" spans="1:9" x14ac:dyDescent="0.25">
      <c r="A321" s="30">
        <f>A316</f>
        <v>46356</v>
      </c>
      <c r="B321" s="31" t="s">
        <v>81</v>
      </c>
      <c r="C321" s="31" t="s">
        <v>35</v>
      </c>
      <c r="D321" s="32" t="s">
        <v>36</v>
      </c>
      <c r="E321" s="33"/>
      <c r="F321" s="33"/>
      <c r="G321" s="33"/>
      <c r="H321" s="33"/>
      <c r="I321" s="34" t="str">
        <f t="shared" si="4"/>
        <v>0/3</v>
      </c>
    </row>
    <row r="322" spans="1:9" x14ac:dyDescent="0.25">
      <c r="A322" s="30">
        <f>A316</f>
        <v>46356</v>
      </c>
      <c r="B322" s="31" t="s">
        <v>82</v>
      </c>
      <c r="C322" s="31" t="s">
        <v>24</v>
      </c>
      <c r="D322" s="32" t="s">
        <v>26</v>
      </c>
      <c r="E322" s="33"/>
      <c r="F322" s="33"/>
      <c r="G322" s="33"/>
      <c r="H322" s="33"/>
      <c r="I322" s="34" t="str">
        <f t="shared" si="4"/>
        <v>0/3</v>
      </c>
    </row>
    <row r="323" spans="1:9" ht="30" x14ac:dyDescent="0.25">
      <c r="A323" s="30">
        <f>A316</f>
        <v>46356</v>
      </c>
      <c r="B323" s="31" t="s">
        <v>82</v>
      </c>
      <c r="C323" s="31" t="s">
        <v>27</v>
      </c>
      <c r="D323" s="32" t="s">
        <v>28</v>
      </c>
      <c r="E323" s="33"/>
      <c r="F323" s="33"/>
      <c r="G323" s="33"/>
      <c r="H323" s="33"/>
      <c r="I323" s="34" t="str">
        <f t="shared" si="4"/>
        <v>0/3</v>
      </c>
    </row>
    <row r="324" spans="1:9" x14ac:dyDescent="0.25">
      <c r="A324" s="30">
        <f>A316</f>
        <v>46356</v>
      </c>
      <c r="B324" s="31" t="s">
        <v>82</v>
      </c>
      <c r="C324" s="31" t="s">
        <v>29</v>
      </c>
      <c r="D324" s="32" t="s">
        <v>30</v>
      </c>
      <c r="E324" s="33"/>
      <c r="F324" s="33"/>
      <c r="G324" s="33"/>
      <c r="H324" s="33"/>
      <c r="I324" s="34" t="str">
        <f t="shared" ref="I324:I387" si="5">COUNTA(E324:G324)&amp;"/3"</f>
        <v>0/3</v>
      </c>
    </row>
    <row r="325" spans="1:9" x14ac:dyDescent="0.25">
      <c r="A325" s="30">
        <f>A316</f>
        <v>46356</v>
      </c>
      <c r="B325" s="31" t="s">
        <v>82</v>
      </c>
      <c r="C325" s="31" t="s">
        <v>31</v>
      </c>
      <c r="D325" s="32" t="s">
        <v>32</v>
      </c>
      <c r="E325" s="33"/>
      <c r="F325" s="33"/>
      <c r="G325" s="33"/>
      <c r="H325" s="33"/>
      <c r="I325" s="34" t="str">
        <f t="shared" si="5"/>
        <v>0/3</v>
      </c>
    </row>
    <row r="326" spans="1:9" x14ac:dyDescent="0.25">
      <c r="A326" s="30">
        <f>A316</f>
        <v>46356</v>
      </c>
      <c r="B326" s="31" t="s">
        <v>82</v>
      </c>
      <c r="C326" s="31" t="s">
        <v>33</v>
      </c>
      <c r="D326" s="32" t="s">
        <v>34</v>
      </c>
      <c r="E326" s="33"/>
      <c r="F326" s="33"/>
      <c r="G326" s="33"/>
      <c r="H326" s="33"/>
      <c r="I326" s="34" t="str">
        <f t="shared" si="5"/>
        <v>0/3</v>
      </c>
    </row>
    <row r="327" spans="1:9" x14ac:dyDescent="0.25">
      <c r="A327" s="30">
        <f>A316</f>
        <v>46356</v>
      </c>
      <c r="B327" s="31" t="s">
        <v>82</v>
      </c>
      <c r="C327" s="31" t="s">
        <v>35</v>
      </c>
      <c r="D327" s="32" t="s">
        <v>36</v>
      </c>
      <c r="E327" s="33"/>
      <c r="F327" s="33"/>
      <c r="G327" s="33"/>
      <c r="H327" s="33"/>
      <c r="I327" s="34" t="str">
        <f t="shared" si="5"/>
        <v>0/3</v>
      </c>
    </row>
    <row r="328" spans="1:9" x14ac:dyDescent="0.25">
      <c r="A328" s="30">
        <f>A316+7</f>
        <v>46363</v>
      </c>
      <c r="B328" s="31" t="s">
        <v>81</v>
      </c>
      <c r="C328" s="31" t="s">
        <v>24</v>
      </c>
      <c r="D328" s="32" t="s">
        <v>26</v>
      </c>
      <c r="E328" s="33"/>
      <c r="F328" s="33"/>
      <c r="G328" s="33"/>
      <c r="H328" s="33"/>
      <c r="I328" s="34" t="str">
        <f t="shared" si="5"/>
        <v>0/3</v>
      </c>
    </row>
    <row r="329" spans="1:9" ht="30" x14ac:dyDescent="0.25">
      <c r="A329" s="30">
        <f>A328</f>
        <v>46363</v>
      </c>
      <c r="B329" s="31" t="s">
        <v>81</v>
      </c>
      <c r="C329" s="31" t="s">
        <v>27</v>
      </c>
      <c r="D329" s="32" t="s">
        <v>28</v>
      </c>
      <c r="E329" s="33"/>
      <c r="F329" s="33"/>
      <c r="G329" s="33"/>
      <c r="H329" s="33"/>
      <c r="I329" s="34" t="str">
        <f t="shared" si="5"/>
        <v>0/3</v>
      </c>
    </row>
    <row r="330" spans="1:9" x14ac:dyDescent="0.25">
      <c r="A330" s="30">
        <f>A328</f>
        <v>46363</v>
      </c>
      <c r="B330" s="31" t="s">
        <v>81</v>
      </c>
      <c r="C330" s="31" t="s">
        <v>29</v>
      </c>
      <c r="D330" s="32" t="s">
        <v>30</v>
      </c>
      <c r="E330" s="33"/>
      <c r="F330" s="33"/>
      <c r="G330" s="33"/>
      <c r="H330" s="33"/>
      <c r="I330" s="34" t="str">
        <f t="shared" si="5"/>
        <v>0/3</v>
      </c>
    </row>
    <row r="331" spans="1:9" x14ac:dyDescent="0.25">
      <c r="A331" s="30">
        <f>A328</f>
        <v>46363</v>
      </c>
      <c r="B331" s="31" t="s">
        <v>81</v>
      </c>
      <c r="C331" s="31" t="s">
        <v>31</v>
      </c>
      <c r="D331" s="32" t="s">
        <v>32</v>
      </c>
      <c r="E331" s="33"/>
      <c r="F331" s="33"/>
      <c r="G331" s="33"/>
      <c r="H331" s="33"/>
      <c r="I331" s="34" t="str">
        <f t="shared" si="5"/>
        <v>0/3</v>
      </c>
    </row>
    <row r="332" spans="1:9" x14ac:dyDescent="0.25">
      <c r="A332" s="30">
        <f>A328</f>
        <v>46363</v>
      </c>
      <c r="B332" s="31" t="s">
        <v>81</v>
      </c>
      <c r="C332" s="31" t="s">
        <v>33</v>
      </c>
      <c r="D332" s="32" t="s">
        <v>34</v>
      </c>
      <c r="E332" s="33"/>
      <c r="F332" s="33"/>
      <c r="G332" s="33"/>
      <c r="H332" s="33"/>
      <c r="I332" s="34" t="str">
        <f t="shared" si="5"/>
        <v>0/3</v>
      </c>
    </row>
    <row r="333" spans="1:9" x14ac:dyDescent="0.25">
      <c r="A333" s="30">
        <f>A328</f>
        <v>46363</v>
      </c>
      <c r="B333" s="31" t="s">
        <v>81</v>
      </c>
      <c r="C333" s="31" t="s">
        <v>35</v>
      </c>
      <c r="D333" s="32" t="s">
        <v>36</v>
      </c>
      <c r="E333" s="33"/>
      <c r="F333" s="33"/>
      <c r="G333" s="33"/>
      <c r="H333" s="33"/>
      <c r="I333" s="34" t="str">
        <f t="shared" si="5"/>
        <v>0/3</v>
      </c>
    </row>
    <row r="334" spans="1:9" x14ac:dyDescent="0.25">
      <c r="A334" s="30">
        <f>A328</f>
        <v>46363</v>
      </c>
      <c r="B334" s="31" t="s">
        <v>82</v>
      </c>
      <c r="C334" s="31" t="s">
        <v>24</v>
      </c>
      <c r="D334" s="32" t="s">
        <v>26</v>
      </c>
      <c r="E334" s="33"/>
      <c r="F334" s="33"/>
      <c r="G334" s="33"/>
      <c r="H334" s="33"/>
      <c r="I334" s="34" t="str">
        <f t="shared" si="5"/>
        <v>0/3</v>
      </c>
    </row>
    <row r="335" spans="1:9" ht="30" x14ac:dyDescent="0.25">
      <c r="A335" s="30">
        <f>A328</f>
        <v>46363</v>
      </c>
      <c r="B335" s="31" t="s">
        <v>82</v>
      </c>
      <c r="C335" s="31" t="s">
        <v>27</v>
      </c>
      <c r="D335" s="32" t="s">
        <v>28</v>
      </c>
      <c r="E335" s="33"/>
      <c r="F335" s="33"/>
      <c r="G335" s="33"/>
      <c r="H335" s="33"/>
      <c r="I335" s="34" t="str">
        <f t="shared" si="5"/>
        <v>0/3</v>
      </c>
    </row>
    <row r="336" spans="1:9" x14ac:dyDescent="0.25">
      <c r="A336" s="30">
        <f>A328</f>
        <v>46363</v>
      </c>
      <c r="B336" s="31" t="s">
        <v>82</v>
      </c>
      <c r="C336" s="31" t="s">
        <v>29</v>
      </c>
      <c r="D336" s="32" t="s">
        <v>30</v>
      </c>
      <c r="E336" s="33"/>
      <c r="F336" s="33"/>
      <c r="G336" s="33"/>
      <c r="H336" s="33"/>
      <c r="I336" s="34" t="str">
        <f t="shared" si="5"/>
        <v>0/3</v>
      </c>
    </row>
    <row r="337" spans="1:9" x14ac:dyDescent="0.25">
      <c r="A337" s="30">
        <f>A328</f>
        <v>46363</v>
      </c>
      <c r="B337" s="31" t="s">
        <v>82</v>
      </c>
      <c r="C337" s="31" t="s">
        <v>31</v>
      </c>
      <c r="D337" s="32" t="s">
        <v>32</v>
      </c>
      <c r="E337" s="33"/>
      <c r="F337" s="33"/>
      <c r="G337" s="33"/>
      <c r="H337" s="33"/>
      <c r="I337" s="34" t="str">
        <f t="shared" si="5"/>
        <v>0/3</v>
      </c>
    </row>
    <row r="338" spans="1:9" x14ac:dyDescent="0.25">
      <c r="A338" s="30">
        <f>A328</f>
        <v>46363</v>
      </c>
      <c r="B338" s="31" t="s">
        <v>82</v>
      </c>
      <c r="C338" s="31" t="s">
        <v>33</v>
      </c>
      <c r="D338" s="32" t="s">
        <v>34</v>
      </c>
      <c r="E338" s="33"/>
      <c r="F338" s="33"/>
      <c r="G338" s="33"/>
      <c r="H338" s="33"/>
      <c r="I338" s="34" t="str">
        <f t="shared" si="5"/>
        <v>0/3</v>
      </c>
    </row>
    <row r="339" spans="1:9" x14ac:dyDescent="0.25">
      <c r="A339" s="30">
        <f>A328</f>
        <v>46363</v>
      </c>
      <c r="B339" s="31" t="s">
        <v>82</v>
      </c>
      <c r="C339" s="31" t="s">
        <v>35</v>
      </c>
      <c r="D339" s="32" t="s">
        <v>36</v>
      </c>
      <c r="E339" s="33"/>
      <c r="F339" s="33"/>
      <c r="G339" s="33"/>
      <c r="H339" s="33"/>
      <c r="I339" s="34" t="str">
        <f t="shared" si="5"/>
        <v>0/3</v>
      </c>
    </row>
    <row r="340" spans="1:9" x14ac:dyDescent="0.25">
      <c r="A340" s="30">
        <f>A328+7</f>
        <v>46370</v>
      </c>
      <c r="B340" s="31" t="s">
        <v>81</v>
      </c>
      <c r="C340" s="31" t="s">
        <v>24</v>
      </c>
      <c r="D340" s="32" t="s">
        <v>26</v>
      </c>
      <c r="E340" s="33"/>
      <c r="F340" s="33"/>
      <c r="G340" s="33"/>
      <c r="H340" s="33"/>
      <c r="I340" s="34" t="str">
        <f t="shared" si="5"/>
        <v>0/3</v>
      </c>
    </row>
    <row r="341" spans="1:9" ht="30" x14ac:dyDescent="0.25">
      <c r="A341" s="30">
        <f>A340</f>
        <v>46370</v>
      </c>
      <c r="B341" s="31" t="s">
        <v>81</v>
      </c>
      <c r="C341" s="31" t="s">
        <v>27</v>
      </c>
      <c r="D341" s="32" t="s">
        <v>28</v>
      </c>
      <c r="E341" s="33"/>
      <c r="F341" s="33"/>
      <c r="G341" s="33"/>
      <c r="H341" s="33"/>
      <c r="I341" s="34" t="str">
        <f t="shared" si="5"/>
        <v>0/3</v>
      </c>
    </row>
    <row r="342" spans="1:9" x14ac:dyDescent="0.25">
      <c r="A342" s="30">
        <f>A340</f>
        <v>46370</v>
      </c>
      <c r="B342" s="31" t="s">
        <v>81</v>
      </c>
      <c r="C342" s="31" t="s">
        <v>29</v>
      </c>
      <c r="D342" s="32" t="s">
        <v>30</v>
      </c>
      <c r="E342" s="33"/>
      <c r="F342" s="33"/>
      <c r="G342" s="33"/>
      <c r="H342" s="33"/>
      <c r="I342" s="34" t="str">
        <f t="shared" si="5"/>
        <v>0/3</v>
      </c>
    </row>
    <row r="343" spans="1:9" x14ac:dyDescent="0.25">
      <c r="A343" s="30">
        <f>A340</f>
        <v>46370</v>
      </c>
      <c r="B343" s="31" t="s">
        <v>81</v>
      </c>
      <c r="C343" s="31" t="s">
        <v>31</v>
      </c>
      <c r="D343" s="32" t="s">
        <v>32</v>
      </c>
      <c r="E343" s="33"/>
      <c r="F343" s="33"/>
      <c r="G343" s="33"/>
      <c r="H343" s="33"/>
      <c r="I343" s="34" t="str">
        <f t="shared" si="5"/>
        <v>0/3</v>
      </c>
    </row>
    <row r="344" spans="1:9" x14ac:dyDescent="0.25">
      <c r="A344" s="30">
        <f>A340</f>
        <v>46370</v>
      </c>
      <c r="B344" s="31" t="s">
        <v>81</v>
      </c>
      <c r="C344" s="31" t="s">
        <v>33</v>
      </c>
      <c r="D344" s="32" t="s">
        <v>34</v>
      </c>
      <c r="E344" s="33"/>
      <c r="F344" s="33"/>
      <c r="G344" s="33"/>
      <c r="H344" s="33"/>
      <c r="I344" s="34" t="str">
        <f t="shared" si="5"/>
        <v>0/3</v>
      </c>
    </row>
    <row r="345" spans="1:9" x14ac:dyDescent="0.25">
      <c r="A345" s="30">
        <f>A340</f>
        <v>46370</v>
      </c>
      <c r="B345" s="31" t="s">
        <v>81</v>
      </c>
      <c r="C345" s="31" t="s">
        <v>35</v>
      </c>
      <c r="D345" s="32" t="s">
        <v>36</v>
      </c>
      <c r="E345" s="33"/>
      <c r="F345" s="33"/>
      <c r="G345" s="33"/>
      <c r="H345" s="33"/>
      <c r="I345" s="34" t="str">
        <f t="shared" si="5"/>
        <v>0/3</v>
      </c>
    </row>
    <row r="346" spans="1:9" x14ac:dyDescent="0.25">
      <c r="A346" s="30">
        <f>A340</f>
        <v>46370</v>
      </c>
      <c r="B346" s="31" t="s">
        <v>82</v>
      </c>
      <c r="C346" s="31" t="s">
        <v>24</v>
      </c>
      <c r="D346" s="32" t="s">
        <v>26</v>
      </c>
      <c r="E346" s="33"/>
      <c r="F346" s="33"/>
      <c r="G346" s="33"/>
      <c r="H346" s="33"/>
      <c r="I346" s="34" t="str">
        <f t="shared" si="5"/>
        <v>0/3</v>
      </c>
    </row>
    <row r="347" spans="1:9" ht="30" x14ac:dyDescent="0.25">
      <c r="A347" s="30">
        <f>A340</f>
        <v>46370</v>
      </c>
      <c r="B347" s="31" t="s">
        <v>82</v>
      </c>
      <c r="C347" s="31" t="s">
        <v>27</v>
      </c>
      <c r="D347" s="32" t="s">
        <v>28</v>
      </c>
      <c r="E347" s="33"/>
      <c r="F347" s="33"/>
      <c r="G347" s="33"/>
      <c r="H347" s="33"/>
      <c r="I347" s="34" t="str">
        <f t="shared" si="5"/>
        <v>0/3</v>
      </c>
    </row>
    <row r="348" spans="1:9" x14ac:dyDescent="0.25">
      <c r="A348" s="30">
        <f>A340</f>
        <v>46370</v>
      </c>
      <c r="B348" s="31" t="s">
        <v>82</v>
      </c>
      <c r="C348" s="31" t="s">
        <v>29</v>
      </c>
      <c r="D348" s="32" t="s">
        <v>30</v>
      </c>
      <c r="E348" s="33"/>
      <c r="F348" s="33"/>
      <c r="G348" s="33"/>
      <c r="H348" s="33"/>
      <c r="I348" s="34" t="str">
        <f t="shared" si="5"/>
        <v>0/3</v>
      </c>
    </row>
    <row r="349" spans="1:9" x14ac:dyDescent="0.25">
      <c r="A349" s="30">
        <f>A340</f>
        <v>46370</v>
      </c>
      <c r="B349" s="31" t="s">
        <v>82</v>
      </c>
      <c r="C349" s="31" t="s">
        <v>31</v>
      </c>
      <c r="D349" s="32" t="s">
        <v>32</v>
      </c>
      <c r="E349" s="33"/>
      <c r="F349" s="33"/>
      <c r="G349" s="33"/>
      <c r="H349" s="33"/>
      <c r="I349" s="34" t="str">
        <f t="shared" si="5"/>
        <v>0/3</v>
      </c>
    </row>
    <row r="350" spans="1:9" x14ac:dyDescent="0.25">
      <c r="A350" s="30">
        <f>A340</f>
        <v>46370</v>
      </c>
      <c r="B350" s="31" t="s">
        <v>82</v>
      </c>
      <c r="C350" s="31" t="s">
        <v>33</v>
      </c>
      <c r="D350" s="32" t="s">
        <v>34</v>
      </c>
      <c r="E350" s="33"/>
      <c r="F350" s="33"/>
      <c r="G350" s="33"/>
      <c r="H350" s="33"/>
      <c r="I350" s="34" t="str">
        <f t="shared" si="5"/>
        <v>0/3</v>
      </c>
    </row>
    <row r="351" spans="1:9" x14ac:dyDescent="0.25">
      <c r="A351" s="30">
        <f>A340</f>
        <v>46370</v>
      </c>
      <c r="B351" s="31" t="s">
        <v>82</v>
      </c>
      <c r="C351" s="31" t="s">
        <v>35</v>
      </c>
      <c r="D351" s="32" t="s">
        <v>36</v>
      </c>
      <c r="E351" s="33"/>
      <c r="F351" s="33"/>
      <c r="G351" s="33"/>
      <c r="H351" s="33"/>
      <c r="I351" s="34" t="str">
        <f t="shared" si="5"/>
        <v>0/3</v>
      </c>
    </row>
    <row r="352" spans="1:9" x14ac:dyDescent="0.25">
      <c r="A352" s="30">
        <f>A340+7</f>
        <v>46377</v>
      </c>
      <c r="B352" s="31" t="s">
        <v>81</v>
      </c>
      <c r="C352" s="31" t="s">
        <v>24</v>
      </c>
      <c r="D352" s="32" t="s">
        <v>26</v>
      </c>
      <c r="E352" s="33"/>
      <c r="F352" s="33"/>
      <c r="G352" s="33"/>
      <c r="H352" s="33"/>
      <c r="I352" s="34" t="str">
        <f t="shared" si="5"/>
        <v>0/3</v>
      </c>
    </row>
    <row r="353" spans="1:9" ht="30" x14ac:dyDescent="0.25">
      <c r="A353" s="30">
        <f>A352</f>
        <v>46377</v>
      </c>
      <c r="B353" s="31" t="s">
        <v>81</v>
      </c>
      <c r="C353" s="31" t="s">
        <v>27</v>
      </c>
      <c r="D353" s="32" t="s">
        <v>28</v>
      </c>
      <c r="E353" s="33"/>
      <c r="F353" s="33"/>
      <c r="G353" s="33"/>
      <c r="H353" s="33"/>
      <c r="I353" s="34" t="str">
        <f t="shared" si="5"/>
        <v>0/3</v>
      </c>
    </row>
    <row r="354" spans="1:9" x14ac:dyDescent="0.25">
      <c r="A354" s="30">
        <f>A352</f>
        <v>46377</v>
      </c>
      <c r="B354" s="31" t="s">
        <v>81</v>
      </c>
      <c r="C354" s="31" t="s">
        <v>29</v>
      </c>
      <c r="D354" s="32" t="s">
        <v>30</v>
      </c>
      <c r="E354" s="33"/>
      <c r="F354" s="33"/>
      <c r="G354" s="33"/>
      <c r="H354" s="33"/>
      <c r="I354" s="34" t="str">
        <f t="shared" si="5"/>
        <v>0/3</v>
      </c>
    </row>
    <row r="355" spans="1:9" x14ac:dyDescent="0.25">
      <c r="A355" s="30">
        <f>A352</f>
        <v>46377</v>
      </c>
      <c r="B355" s="31" t="s">
        <v>81</v>
      </c>
      <c r="C355" s="31" t="s">
        <v>31</v>
      </c>
      <c r="D355" s="32" t="s">
        <v>32</v>
      </c>
      <c r="E355" s="33"/>
      <c r="F355" s="33"/>
      <c r="G355" s="33"/>
      <c r="H355" s="33"/>
      <c r="I355" s="34" t="str">
        <f t="shared" si="5"/>
        <v>0/3</v>
      </c>
    </row>
    <row r="356" spans="1:9" x14ac:dyDescent="0.25">
      <c r="A356" s="30">
        <f>A352</f>
        <v>46377</v>
      </c>
      <c r="B356" s="31" t="s">
        <v>81</v>
      </c>
      <c r="C356" s="31" t="s">
        <v>33</v>
      </c>
      <c r="D356" s="32" t="s">
        <v>34</v>
      </c>
      <c r="E356" s="33"/>
      <c r="F356" s="33"/>
      <c r="G356" s="33"/>
      <c r="H356" s="33"/>
      <c r="I356" s="34" t="str">
        <f t="shared" si="5"/>
        <v>0/3</v>
      </c>
    </row>
    <row r="357" spans="1:9" x14ac:dyDescent="0.25">
      <c r="A357" s="30">
        <f>A352</f>
        <v>46377</v>
      </c>
      <c r="B357" s="31" t="s">
        <v>81</v>
      </c>
      <c r="C357" s="31" t="s">
        <v>35</v>
      </c>
      <c r="D357" s="32" t="s">
        <v>36</v>
      </c>
      <c r="E357" s="33"/>
      <c r="F357" s="33"/>
      <c r="G357" s="33"/>
      <c r="H357" s="33"/>
      <c r="I357" s="34" t="str">
        <f t="shared" si="5"/>
        <v>0/3</v>
      </c>
    </row>
    <row r="358" spans="1:9" x14ac:dyDescent="0.25">
      <c r="A358" s="30">
        <f>A352</f>
        <v>46377</v>
      </c>
      <c r="B358" s="31" t="s">
        <v>82</v>
      </c>
      <c r="C358" s="31" t="s">
        <v>24</v>
      </c>
      <c r="D358" s="32" t="s">
        <v>26</v>
      </c>
      <c r="E358" s="33"/>
      <c r="F358" s="33"/>
      <c r="G358" s="33"/>
      <c r="H358" s="33"/>
      <c r="I358" s="34" t="str">
        <f t="shared" si="5"/>
        <v>0/3</v>
      </c>
    </row>
    <row r="359" spans="1:9" ht="30" x14ac:dyDescent="0.25">
      <c r="A359" s="30">
        <f>A352</f>
        <v>46377</v>
      </c>
      <c r="B359" s="31" t="s">
        <v>82</v>
      </c>
      <c r="C359" s="31" t="s">
        <v>27</v>
      </c>
      <c r="D359" s="32" t="s">
        <v>28</v>
      </c>
      <c r="E359" s="33"/>
      <c r="F359" s="33"/>
      <c r="G359" s="33"/>
      <c r="H359" s="33"/>
      <c r="I359" s="34" t="str">
        <f t="shared" si="5"/>
        <v>0/3</v>
      </c>
    </row>
    <row r="360" spans="1:9" x14ac:dyDescent="0.25">
      <c r="A360" s="30">
        <f>A352</f>
        <v>46377</v>
      </c>
      <c r="B360" s="31" t="s">
        <v>82</v>
      </c>
      <c r="C360" s="31" t="s">
        <v>29</v>
      </c>
      <c r="D360" s="32" t="s">
        <v>30</v>
      </c>
      <c r="E360" s="33"/>
      <c r="F360" s="33"/>
      <c r="G360" s="33"/>
      <c r="H360" s="33"/>
      <c r="I360" s="34" t="str">
        <f t="shared" si="5"/>
        <v>0/3</v>
      </c>
    </row>
    <row r="361" spans="1:9" x14ac:dyDescent="0.25">
      <c r="A361" s="30">
        <f>A352</f>
        <v>46377</v>
      </c>
      <c r="B361" s="31" t="s">
        <v>82</v>
      </c>
      <c r="C361" s="31" t="s">
        <v>31</v>
      </c>
      <c r="D361" s="32" t="s">
        <v>32</v>
      </c>
      <c r="E361" s="33"/>
      <c r="F361" s="33"/>
      <c r="G361" s="33"/>
      <c r="H361" s="33"/>
      <c r="I361" s="34" t="str">
        <f t="shared" si="5"/>
        <v>0/3</v>
      </c>
    </row>
    <row r="362" spans="1:9" x14ac:dyDescent="0.25">
      <c r="A362" s="30">
        <f>A352</f>
        <v>46377</v>
      </c>
      <c r="B362" s="31" t="s">
        <v>82</v>
      </c>
      <c r="C362" s="31" t="s">
        <v>33</v>
      </c>
      <c r="D362" s="32" t="s">
        <v>34</v>
      </c>
      <c r="E362" s="33"/>
      <c r="F362" s="33"/>
      <c r="G362" s="33"/>
      <c r="H362" s="33"/>
      <c r="I362" s="34" t="str">
        <f t="shared" si="5"/>
        <v>0/3</v>
      </c>
    </row>
    <row r="363" spans="1:9" x14ac:dyDescent="0.25">
      <c r="A363" s="30">
        <f>A352</f>
        <v>46377</v>
      </c>
      <c r="B363" s="31" t="s">
        <v>82</v>
      </c>
      <c r="C363" s="31" t="s">
        <v>35</v>
      </c>
      <c r="D363" s="32" t="s">
        <v>36</v>
      </c>
      <c r="E363" s="33"/>
      <c r="F363" s="33"/>
      <c r="G363" s="33"/>
      <c r="H363" s="33"/>
      <c r="I363" s="34" t="str">
        <f t="shared" si="5"/>
        <v>0/3</v>
      </c>
    </row>
    <row r="364" spans="1:9" x14ac:dyDescent="0.25">
      <c r="A364" s="30">
        <f>A352+7</f>
        <v>46384</v>
      </c>
      <c r="B364" s="31" t="s">
        <v>81</v>
      </c>
      <c r="C364" s="31" t="s">
        <v>24</v>
      </c>
      <c r="D364" s="32" t="s">
        <v>26</v>
      </c>
      <c r="E364" s="33"/>
      <c r="F364" s="33"/>
      <c r="G364" s="33"/>
      <c r="H364" s="33"/>
      <c r="I364" s="34" t="str">
        <f t="shared" si="5"/>
        <v>0/3</v>
      </c>
    </row>
    <row r="365" spans="1:9" ht="30" x14ac:dyDescent="0.25">
      <c r="A365" s="30">
        <f>A364</f>
        <v>46384</v>
      </c>
      <c r="B365" s="31" t="s">
        <v>81</v>
      </c>
      <c r="C365" s="31" t="s">
        <v>27</v>
      </c>
      <c r="D365" s="32" t="s">
        <v>28</v>
      </c>
      <c r="E365" s="33"/>
      <c r="F365" s="33"/>
      <c r="G365" s="33"/>
      <c r="H365" s="33"/>
      <c r="I365" s="34" t="str">
        <f t="shared" si="5"/>
        <v>0/3</v>
      </c>
    </row>
    <row r="366" spans="1:9" x14ac:dyDescent="0.25">
      <c r="A366" s="30">
        <f>A364</f>
        <v>46384</v>
      </c>
      <c r="B366" s="31" t="s">
        <v>81</v>
      </c>
      <c r="C366" s="31" t="s">
        <v>29</v>
      </c>
      <c r="D366" s="32" t="s">
        <v>30</v>
      </c>
      <c r="E366" s="33"/>
      <c r="F366" s="33"/>
      <c r="G366" s="33"/>
      <c r="H366" s="33"/>
      <c r="I366" s="34" t="str">
        <f t="shared" si="5"/>
        <v>0/3</v>
      </c>
    </row>
    <row r="367" spans="1:9" x14ac:dyDescent="0.25">
      <c r="A367" s="30">
        <f>A364</f>
        <v>46384</v>
      </c>
      <c r="B367" s="31" t="s">
        <v>81</v>
      </c>
      <c r="C367" s="31" t="s">
        <v>31</v>
      </c>
      <c r="D367" s="32" t="s">
        <v>32</v>
      </c>
      <c r="E367" s="33"/>
      <c r="F367" s="33"/>
      <c r="G367" s="33"/>
      <c r="H367" s="33"/>
      <c r="I367" s="34" t="str">
        <f t="shared" si="5"/>
        <v>0/3</v>
      </c>
    </row>
    <row r="368" spans="1:9" x14ac:dyDescent="0.25">
      <c r="A368" s="30">
        <f>A364</f>
        <v>46384</v>
      </c>
      <c r="B368" s="31" t="s">
        <v>81</v>
      </c>
      <c r="C368" s="31" t="s">
        <v>33</v>
      </c>
      <c r="D368" s="32" t="s">
        <v>34</v>
      </c>
      <c r="E368" s="33"/>
      <c r="F368" s="33"/>
      <c r="G368" s="33"/>
      <c r="H368" s="33"/>
      <c r="I368" s="34" t="str">
        <f t="shared" si="5"/>
        <v>0/3</v>
      </c>
    </row>
    <row r="369" spans="1:9" x14ac:dyDescent="0.25">
      <c r="A369" s="30">
        <f>A364</f>
        <v>46384</v>
      </c>
      <c r="B369" s="31" t="s">
        <v>81</v>
      </c>
      <c r="C369" s="31" t="s">
        <v>35</v>
      </c>
      <c r="D369" s="32" t="s">
        <v>36</v>
      </c>
      <c r="E369" s="33"/>
      <c r="F369" s="33"/>
      <c r="G369" s="33"/>
      <c r="H369" s="33"/>
      <c r="I369" s="34" t="str">
        <f t="shared" si="5"/>
        <v>0/3</v>
      </c>
    </row>
    <row r="370" spans="1:9" x14ac:dyDescent="0.25">
      <c r="A370" s="30">
        <f>A364</f>
        <v>46384</v>
      </c>
      <c r="B370" s="31" t="s">
        <v>82</v>
      </c>
      <c r="C370" s="31" t="s">
        <v>24</v>
      </c>
      <c r="D370" s="32" t="s">
        <v>26</v>
      </c>
      <c r="E370" s="33"/>
      <c r="F370" s="33"/>
      <c r="G370" s="33"/>
      <c r="H370" s="33"/>
      <c r="I370" s="34" t="str">
        <f t="shared" si="5"/>
        <v>0/3</v>
      </c>
    </row>
    <row r="371" spans="1:9" ht="30" x14ac:dyDescent="0.25">
      <c r="A371" s="30">
        <f>A364</f>
        <v>46384</v>
      </c>
      <c r="B371" s="31" t="s">
        <v>82</v>
      </c>
      <c r="C371" s="31" t="s">
        <v>27</v>
      </c>
      <c r="D371" s="32" t="s">
        <v>28</v>
      </c>
      <c r="E371" s="33"/>
      <c r="F371" s="33"/>
      <c r="G371" s="33"/>
      <c r="H371" s="33"/>
      <c r="I371" s="34" t="str">
        <f t="shared" si="5"/>
        <v>0/3</v>
      </c>
    </row>
    <row r="372" spans="1:9" x14ac:dyDescent="0.25">
      <c r="A372" s="30">
        <f>A364</f>
        <v>46384</v>
      </c>
      <c r="B372" s="31" t="s">
        <v>82</v>
      </c>
      <c r="C372" s="31" t="s">
        <v>29</v>
      </c>
      <c r="D372" s="32" t="s">
        <v>30</v>
      </c>
      <c r="E372" s="33"/>
      <c r="F372" s="33"/>
      <c r="G372" s="33"/>
      <c r="H372" s="33"/>
      <c r="I372" s="34" t="str">
        <f t="shared" si="5"/>
        <v>0/3</v>
      </c>
    </row>
    <row r="373" spans="1:9" x14ac:dyDescent="0.25">
      <c r="A373" s="30">
        <f>A364</f>
        <v>46384</v>
      </c>
      <c r="B373" s="31" t="s">
        <v>82</v>
      </c>
      <c r="C373" s="31" t="s">
        <v>31</v>
      </c>
      <c r="D373" s="32" t="s">
        <v>32</v>
      </c>
      <c r="E373" s="33"/>
      <c r="F373" s="33"/>
      <c r="G373" s="33"/>
      <c r="H373" s="33"/>
      <c r="I373" s="34" t="str">
        <f t="shared" si="5"/>
        <v>0/3</v>
      </c>
    </row>
    <row r="374" spans="1:9" x14ac:dyDescent="0.25">
      <c r="A374" s="30">
        <f>A364</f>
        <v>46384</v>
      </c>
      <c r="B374" s="31" t="s">
        <v>82</v>
      </c>
      <c r="C374" s="31" t="s">
        <v>33</v>
      </c>
      <c r="D374" s="32" t="s">
        <v>34</v>
      </c>
      <c r="E374" s="33"/>
      <c r="F374" s="33"/>
      <c r="G374" s="33"/>
      <c r="H374" s="33"/>
      <c r="I374" s="34" t="str">
        <f t="shared" si="5"/>
        <v>0/3</v>
      </c>
    </row>
    <row r="375" spans="1:9" x14ac:dyDescent="0.25">
      <c r="A375" s="30">
        <f>A364</f>
        <v>46384</v>
      </c>
      <c r="B375" s="31" t="s">
        <v>82</v>
      </c>
      <c r="C375" s="31" t="s">
        <v>35</v>
      </c>
      <c r="D375" s="32" t="s">
        <v>36</v>
      </c>
      <c r="E375" s="33"/>
      <c r="F375" s="33"/>
      <c r="G375" s="33"/>
      <c r="H375" s="33"/>
      <c r="I375" s="34" t="str">
        <f t="shared" si="5"/>
        <v>0/3</v>
      </c>
    </row>
    <row r="376" spans="1:9" x14ac:dyDescent="0.25">
      <c r="A376" s="30">
        <f>A364+7</f>
        <v>46391</v>
      </c>
      <c r="B376" s="31" t="s">
        <v>81</v>
      </c>
      <c r="C376" s="31" t="s">
        <v>24</v>
      </c>
      <c r="D376" s="32" t="s">
        <v>26</v>
      </c>
      <c r="E376" s="33"/>
      <c r="F376" s="33"/>
      <c r="G376" s="33"/>
      <c r="H376" s="33"/>
      <c r="I376" s="34" t="str">
        <f t="shared" si="5"/>
        <v>0/3</v>
      </c>
    </row>
    <row r="377" spans="1:9" ht="30" x14ac:dyDescent="0.25">
      <c r="A377" s="30">
        <f>A376</f>
        <v>46391</v>
      </c>
      <c r="B377" s="31" t="s">
        <v>81</v>
      </c>
      <c r="C377" s="31" t="s">
        <v>27</v>
      </c>
      <c r="D377" s="32" t="s">
        <v>28</v>
      </c>
      <c r="E377" s="33"/>
      <c r="F377" s="33"/>
      <c r="G377" s="33"/>
      <c r="H377" s="33"/>
      <c r="I377" s="34" t="str">
        <f t="shared" si="5"/>
        <v>0/3</v>
      </c>
    </row>
    <row r="378" spans="1:9" x14ac:dyDescent="0.25">
      <c r="A378" s="30">
        <f>A376</f>
        <v>46391</v>
      </c>
      <c r="B378" s="31" t="s">
        <v>81</v>
      </c>
      <c r="C378" s="31" t="s">
        <v>29</v>
      </c>
      <c r="D378" s="32" t="s">
        <v>30</v>
      </c>
      <c r="E378" s="33"/>
      <c r="F378" s="33"/>
      <c r="G378" s="33"/>
      <c r="H378" s="33"/>
      <c r="I378" s="34" t="str">
        <f t="shared" si="5"/>
        <v>0/3</v>
      </c>
    </row>
    <row r="379" spans="1:9" x14ac:dyDescent="0.25">
      <c r="A379" s="30">
        <f>A376</f>
        <v>46391</v>
      </c>
      <c r="B379" s="31" t="s">
        <v>81</v>
      </c>
      <c r="C379" s="31" t="s">
        <v>31</v>
      </c>
      <c r="D379" s="32" t="s">
        <v>32</v>
      </c>
      <c r="E379" s="33"/>
      <c r="F379" s="33"/>
      <c r="G379" s="33"/>
      <c r="H379" s="33"/>
      <c r="I379" s="34" t="str">
        <f t="shared" si="5"/>
        <v>0/3</v>
      </c>
    </row>
    <row r="380" spans="1:9" x14ac:dyDescent="0.25">
      <c r="A380" s="30">
        <f>A376</f>
        <v>46391</v>
      </c>
      <c r="B380" s="31" t="s">
        <v>81</v>
      </c>
      <c r="C380" s="31" t="s">
        <v>33</v>
      </c>
      <c r="D380" s="32" t="s">
        <v>34</v>
      </c>
      <c r="E380" s="33"/>
      <c r="F380" s="33"/>
      <c r="G380" s="33"/>
      <c r="H380" s="33"/>
      <c r="I380" s="34" t="str">
        <f t="shared" si="5"/>
        <v>0/3</v>
      </c>
    </row>
    <row r="381" spans="1:9" x14ac:dyDescent="0.25">
      <c r="A381" s="30">
        <f>A376</f>
        <v>46391</v>
      </c>
      <c r="B381" s="31" t="s">
        <v>81</v>
      </c>
      <c r="C381" s="31" t="s">
        <v>35</v>
      </c>
      <c r="D381" s="32" t="s">
        <v>36</v>
      </c>
      <c r="E381" s="33"/>
      <c r="F381" s="33"/>
      <c r="G381" s="33"/>
      <c r="H381" s="33"/>
      <c r="I381" s="34" t="str">
        <f t="shared" si="5"/>
        <v>0/3</v>
      </c>
    </row>
    <row r="382" spans="1:9" x14ac:dyDescent="0.25">
      <c r="A382" s="30">
        <f>A376</f>
        <v>46391</v>
      </c>
      <c r="B382" s="31" t="s">
        <v>82</v>
      </c>
      <c r="C382" s="31" t="s">
        <v>24</v>
      </c>
      <c r="D382" s="32" t="s">
        <v>26</v>
      </c>
      <c r="E382" s="33"/>
      <c r="F382" s="33"/>
      <c r="G382" s="33"/>
      <c r="H382" s="33"/>
      <c r="I382" s="34" t="str">
        <f t="shared" si="5"/>
        <v>0/3</v>
      </c>
    </row>
    <row r="383" spans="1:9" ht="30" x14ac:dyDescent="0.25">
      <c r="A383" s="30">
        <f>A376</f>
        <v>46391</v>
      </c>
      <c r="B383" s="31" t="s">
        <v>82</v>
      </c>
      <c r="C383" s="31" t="s">
        <v>27</v>
      </c>
      <c r="D383" s="32" t="s">
        <v>28</v>
      </c>
      <c r="E383" s="33"/>
      <c r="F383" s="33"/>
      <c r="G383" s="33"/>
      <c r="H383" s="33"/>
      <c r="I383" s="34" t="str">
        <f t="shared" si="5"/>
        <v>0/3</v>
      </c>
    </row>
    <row r="384" spans="1:9" x14ac:dyDescent="0.25">
      <c r="A384" s="30">
        <f>A376</f>
        <v>46391</v>
      </c>
      <c r="B384" s="31" t="s">
        <v>82</v>
      </c>
      <c r="C384" s="31" t="s">
        <v>29</v>
      </c>
      <c r="D384" s="32" t="s">
        <v>30</v>
      </c>
      <c r="E384" s="33"/>
      <c r="F384" s="33"/>
      <c r="G384" s="33"/>
      <c r="H384" s="33"/>
      <c r="I384" s="34" t="str">
        <f t="shared" si="5"/>
        <v>0/3</v>
      </c>
    </row>
    <row r="385" spans="1:9" x14ac:dyDescent="0.25">
      <c r="A385" s="30">
        <f>A376</f>
        <v>46391</v>
      </c>
      <c r="B385" s="31" t="s">
        <v>82</v>
      </c>
      <c r="C385" s="31" t="s">
        <v>31</v>
      </c>
      <c r="D385" s="32" t="s">
        <v>32</v>
      </c>
      <c r="E385" s="33"/>
      <c r="F385" s="33"/>
      <c r="G385" s="33"/>
      <c r="H385" s="33"/>
      <c r="I385" s="34" t="str">
        <f t="shared" si="5"/>
        <v>0/3</v>
      </c>
    </row>
    <row r="386" spans="1:9" x14ac:dyDescent="0.25">
      <c r="A386" s="30">
        <f>A376</f>
        <v>46391</v>
      </c>
      <c r="B386" s="31" t="s">
        <v>82</v>
      </c>
      <c r="C386" s="31" t="s">
        <v>33</v>
      </c>
      <c r="D386" s="32" t="s">
        <v>34</v>
      </c>
      <c r="E386" s="33"/>
      <c r="F386" s="33"/>
      <c r="G386" s="33"/>
      <c r="H386" s="33"/>
      <c r="I386" s="34" t="str">
        <f t="shared" si="5"/>
        <v>0/3</v>
      </c>
    </row>
    <row r="387" spans="1:9" x14ac:dyDescent="0.25">
      <c r="A387" s="30">
        <f>A376</f>
        <v>46391</v>
      </c>
      <c r="B387" s="31" t="s">
        <v>82</v>
      </c>
      <c r="C387" s="31" t="s">
        <v>35</v>
      </c>
      <c r="D387" s="32" t="s">
        <v>36</v>
      </c>
      <c r="E387" s="33"/>
      <c r="F387" s="33"/>
      <c r="G387" s="33"/>
      <c r="H387" s="33"/>
      <c r="I387" s="34" t="str">
        <f t="shared" si="5"/>
        <v>0/3</v>
      </c>
    </row>
    <row r="388" spans="1:9" x14ac:dyDescent="0.25">
      <c r="A388" s="30">
        <f>A376+7</f>
        <v>46398</v>
      </c>
      <c r="B388" s="31" t="s">
        <v>81</v>
      </c>
      <c r="C388" s="31" t="s">
        <v>24</v>
      </c>
      <c r="D388" s="32" t="s">
        <v>26</v>
      </c>
      <c r="E388" s="33"/>
      <c r="F388" s="33"/>
      <c r="G388" s="33"/>
      <c r="H388" s="33"/>
      <c r="I388" s="34" t="str">
        <f t="shared" ref="I388:I451" si="6">COUNTA(E388:G388)&amp;"/3"</f>
        <v>0/3</v>
      </c>
    </row>
    <row r="389" spans="1:9" ht="30" x14ac:dyDescent="0.25">
      <c r="A389" s="30">
        <f>A388</f>
        <v>46398</v>
      </c>
      <c r="B389" s="31" t="s">
        <v>81</v>
      </c>
      <c r="C389" s="31" t="s">
        <v>27</v>
      </c>
      <c r="D389" s="32" t="s">
        <v>28</v>
      </c>
      <c r="E389" s="33"/>
      <c r="F389" s="33"/>
      <c r="G389" s="33"/>
      <c r="H389" s="33"/>
      <c r="I389" s="34" t="str">
        <f t="shared" si="6"/>
        <v>0/3</v>
      </c>
    </row>
    <row r="390" spans="1:9" x14ac:dyDescent="0.25">
      <c r="A390" s="30">
        <f>A388</f>
        <v>46398</v>
      </c>
      <c r="B390" s="31" t="s">
        <v>81</v>
      </c>
      <c r="C390" s="31" t="s">
        <v>29</v>
      </c>
      <c r="D390" s="32" t="s">
        <v>30</v>
      </c>
      <c r="E390" s="33"/>
      <c r="F390" s="33"/>
      <c r="G390" s="33"/>
      <c r="H390" s="33"/>
      <c r="I390" s="34" t="str">
        <f t="shared" si="6"/>
        <v>0/3</v>
      </c>
    </row>
    <row r="391" spans="1:9" x14ac:dyDescent="0.25">
      <c r="A391" s="30">
        <f>A388</f>
        <v>46398</v>
      </c>
      <c r="B391" s="31" t="s">
        <v>81</v>
      </c>
      <c r="C391" s="31" t="s">
        <v>31</v>
      </c>
      <c r="D391" s="32" t="s">
        <v>32</v>
      </c>
      <c r="E391" s="33"/>
      <c r="F391" s="33"/>
      <c r="G391" s="33"/>
      <c r="H391" s="33"/>
      <c r="I391" s="34" t="str">
        <f t="shared" si="6"/>
        <v>0/3</v>
      </c>
    </row>
    <row r="392" spans="1:9" x14ac:dyDescent="0.25">
      <c r="A392" s="30">
        <f>A388</f>
        <v>46398</v>
      </c>
      <c r="B392" s="31" t="s">
        <v>81</v>
      </c>
      <c r="C392" s="31" t="s">
        <v>33</v>
      </c>
      <c r="D392" s="32" t="s">
        <v>34</v>
      </c>
      <c r="E392" s="33"/>
      <c r="F392" s="33"/>
      <c r="G392" s="33"/>
      <c r="H392" s="33"/>
      <c r="I392" s="34" t="str">
        <f t="shared" si="6"/>
        <v>0/3</v>
      </c>
    </row>
    <row r="393" spans="1:9" x14ac:dyDescent="0.25">
      <c r="A393" s="30">
        <f>A388</f>
        <v>46398</v>
      </c>
      <c r="B393" s="31" t="s">
        <v>81</v>
      </c>
      <c r="C393" s="31" t="s">
        <v>35</v>
      </c>
      <c r="D393" s="32" t="s">
        <v>36</v>
      </c>
      <c r="E393" s="33"/>
      <c r="F393" s="33"/>
      <c r="G393" s="33"/>
      <c r="H393" s="33"/>
      <c r="I393" s="34" t="str">
        <f t="shared" si="6"/>
        <v>0/3</v>
      </c>
    </row>
    <row r="394" spans="1:9" x14ac:dyDescent="0.25">
      <c r="A394" s="30">
        <f>A388</f>
        <v>46398</v>
      </c>
      <c r="B394" s="31" t="s">
        <v>82</v>
      </c>
      <c r="C394" s="31" t="s">
        <v>24</v>
      </c>
      <c r="D394" s="32" t="s">
        <v>26</v>
      </c>
      <c r="E394" s="33"/>
      <c r="F394" s="33"/>
      <c r="G394" s="33"/>
      <c r="H394" s="33"/>
      <c r="I394" s="34" t="str">
        <f t="shared" si="6"/>
        <v>0/3</v>
      </c>
    </row>
    <row r="395" spans="1:9" ht="30" x14ac:dyDescent="0.25">
      <c r="A395" s="30">
        <f>A388</f>
        <v>46398</v>
      </c>
      <c r="B395" s="31" t="s">
        <v>82</v>
      </c>
      <c r="C395" s="31" t="s">
        <v>27</v>
      </c>
      <c r="D395" s="32" t="s">
        <v>28</v>
      </c>
      <c r="E395" s="33"/>
      <c r="F395" s="33"/>
      <c r="G395" s="33"/>
      <c r="H395" s="33"/>
      <c r="I395" s="34" t="str">
        <f t="shared" si="6"/>
        <v>0/3</v>
      </c>
    </row>
    <row r="396" spans="1:9" x14ac:dyDescent="0.25">
      <c r="A396" s="30">
        <f>A388</f>
        <v>46398</v>
      </c>
      <c r="B396" s="31" t="s">
        <v>82</v>
      </c>
      <c r="C396" s="31" t="s">
        <v>29</v>
      </c>
      <c r="D396" s="32" t="s">
        <v>30</v>
      </c>
      <c r="E396" s="33"/>
      <c r="F396" s="33"/>
      <c r="G396" s="33"/>
      <c r="H396" s="33"/>
      <c r="I396" s="34" t="str">
        <f t="shared" si="6"/>
        <v>0/3</v>
      </c>
    </row>
    <row r="397" spans="1:9" x14ac:dyDescent="0.25">
      <c r="A397" s="30">
        <f>A388</f>
        <v>46398</v>
      </c>
      <c r="B397" s="31" t="s">
        <v>82</v>
      </c>
      <c r="C397" s="31" t="s">
        <v>31</v>
      </c>
      <c r="D397" s="32" t="s">
        <v>32</v>
      </c>
      <c r="E397" s="33"/>
      <c r="F397" s="33"/>
      <c r="G397" s="33"/>
      <c r="H397" s="33"/>
      <c r="I397" s="34" t="str">
        <f t="shared" si="6"/>
        <v>0/3</v>
      </c>
    </row>
    <row r="398" spans="1:9" x14ac:dyDescent="0.25">
      <c r="A398" s="30">
        <f>A388</f>
        <v>46398</v>
      </c>
      <c r="B398" s="31" t="s">
        <v>82</v>
      </c>
      <c r="C398" s="31" t="s">
        <v>33</v>
      </c>
      <c r="D398" s="32" t="s">
        <v>34</v>
      </c>
      <c r="E398" s="33"/>
      <c r="F398" s="33"/>
      <c r="G398" s="33"/>
      <c r="H398" s="33"/>
      <c r="I398" s="34" t="str">
        <f t="shared" si="6"/>
        <v>0/3</v>
      </c>
    </row>
    <row r="399" spans="1:9" x14ac:dyDescent="0.25">
      <c r="A399" s="30">
        <f>A388</f>
        <v>46398</v>
      </c>
      <c r="B399" s="31" t="s">
        <v>82</v>
      </c>
      <c r="C399" s="31" t="s">
        <v>35</v>
      </c>
      <c r="D399" s="32" t="s">
        <v>36</v>
      </c>
      <c r="E399" s="33"/>
      <c r="F399" s="33"/>
      <c r="G399" s="33"/>
      <c r="H399" s="33"/>
      <c r="I399" s="34" t="str">
        <f t="shared" si="6"/>
        <v>0/3</v>
      </c>
    </row>
    <row r="400" spans="1:9" x14ac:dyDescent="0.25">
      <c r="A400" s="30">
        <f>A388+7</f>
        <v>46405</v>
      </c>
      <c r="B400" s="31" t="s">
        <v>81</v>
      </c>
      <c r="C400" s="31" t="s">
        <v>24</v>
      </c>
      <c r="D400" s="32" t="s">
        <v>26</v>
      </c>
      <c r="E400" s="33"/>
      <c r="F400" s="33"/>
      <c r="G400" s="33"/>
      <c r="H400" s="33"/>
      <c r="I400" s="34" t="str">
        <f t="shared" si="6"/>
        <v>0/3</v>
      </c>
    </row>
    <row r="401" spans="1:9" ht="30" x14ac:dyDescent="0.25">
      <c r="A401" s="30">
        <f>A400</f>
        <v>46405</v>
      </c>
      <c r="B401" s="31" t="s">
        <v>81</v>
      </c>
      <c r="C401" s="31" t="s">
        <v>27</v>
      </c>
      <c r="D401" s="32" t="s">
        <v>28</v>
      </c>
      <c r="E401" s="33"/>
      <c r="F401" s="33"/>
      <c r="G401" s="33"/>
      <c r="H401" s="33"/>
      <c r="I401" s="34" t="str">
        <f t="shared" si="6"/>
        <v>0/3</v>
      </c>
    </row>
    <row r="402" spans="1:9" x14ac:dyDescent="0.25">
      <c r="A402" s="30">
        <f>A400</f>
        <v>46405</v>
      </c>
      <c r="B402" s="31" t="s">
        <v>81</v>
      </c>
      <c r="C402" s="31" t="s">
        <v>29</v>
      </c>
      <c r="D402" s="32" t="s">
        <v>30</v>
      </c>
      <c r="E402" s="33"/>
      <c r="F402" s="33"/>
      <c r="G402" s="33"/>
      <c r="H402" s="33"/>
      <c r="I402" s="34" t="str">
        <f t="shared" si="6"/>
        <v>0/3</v>
      </c>
    </row>
    <row r="403" spans="1:9" x14ac:dyDescent="0.25">
      <c r="A403" s="30">
        <f>A400</f>
        <v>46405</v>
      </c>
      <c r="B403" s="31" t="s">
        <v>81</v>
      </c>
      <c r="C403" s="31" t="s">
        <v>31</v>
      </c>
      <c r="D403" s="32" t="s">
        <v>32</v>
      </c>
      <c r="E403" s="33"/>
      <c r="F403" s="33"/>
      <c r="G403" s="33"/>
      <c r="H403" s="33"/>
      <c r="I403" s="34" t="str">
        <f t="shared" si="6"/>
        <v>0/3</v>
      </c>
    </row>
    <row r="404" spans="1:9" x14ac:dyDescent="0.25">
      <c r="A404" s="30">
        <f>A400</f>
        <v>46405</v>
      </c>
      <c r="B404" s="31" t="s">
        <v>81</v>
      </c>
      <c r="C404" s="31" t="s">
        <v>33</v>
      </c>
      <c r="D404" s="32" t="s">
        <v>34</v>
      </c>
      <c r="E404" s="33"/>
      <c r="F404" s="33"/>
      <c r="G404" s="33"/>
      <c r="H404" s="33"/>
      <c r="I404" s="34" t="str">
        <f t="shared" si="6"/>
        <v>0/3</v>
      </c>
    </row>
    <row r="405" spans="1:9" x14ac:dyDescent="0.25">
      <c r="A405" s="30">
        <f>A400</f>
        <v>46405</v>
      </c>
      <c r="B405" s="31" t="s">
        <v>81</v>
      </c>
      <c r="C405" s="31" t="s">
        <v>35</v>
      </c>
      <c r="D405" s="32" t="s">
        <v>36</v>
      </c>
      <c r="E405" s="33"/>
      <c r="F405" s="33"/>
      <c r="G405" s="33"/>
      <c r="H405" s="33"/>
      <c r="I405" s="34" t="str">
        <f t="shared" si="6"/>
        <v>0/3</v>
      </c>
    </row>
    <row r="406" spans="1:9" x14ac:dyDescent="0.25">
      <c r="A406" s="30">
        <f>A400</f>
        <v>46405</v>
      </c>
      <c r="B406" s="31" t="s">
        <v>82</v>
      </c>
      <c r="C406" s="31" t="s">
        <v>24</v>
      </c>
      <c r="D406" s="32" t="s">
        <v>26</v>
      </c>
      <c r="E406" s="33"/>
      <c r="F406" s="33"/>
      <c r="G406" s="33"/>
      <c r="H406" s="33"/>
      <c r="I406" s="34" t="str">
        <f t="shared" si="6"/>
        <v>0/3</v>
      </c>
    </row>
    <row r="407" spans="1:9" ht="30" x14ac:dyDescent="0.25">
      <c r="A407" s="30">
        <f>A400</f>
        <v>46405</v>
      </c>
      <c r="B407" s="31" t="s">
        <v>82</v>
      </c>
      <c r="C407" s="31" t="s">
        <v>27</v>
      </c>
      <c r="D407" s="32" t="s">
        <v>28</v>
      </c>
      <c r="E407" s="33"/>
      <c r="F407" s="33"/>
      <c r="G407" s="33"/>
      <c r="H407" s="33"/>
      <c r="I407" s="34" t="str">
        <f t="shared" si="6"/>
        <v>0/3</v>
      </c>
    </row>
    <row r="408" spans="1:9" x14ac:dyDescent="0.25">
      <c r="A408" s="30">
        <f>A400</f>
        <v>46405</v>
      </c>
      <c r="B408" s="31" t="s">
        <v>82</v>
      </c>
      <c r="C408" s="31" t="s">
        <v>29</v>
      </c>
      <c r="D408" s="32" t="s">
        <v>30</v>
      </c>
      <c r="E408" s="33"/>
      <c r="F408" s="33"/>
      <c r="G408" s="33"/>
      <c r="H408" s="33"/>
      <c r="I408" s="34" t="str">
        <f t="shared" si="6"/>
        <v>0/3</v>
      </c>
    </row>
    <row r="409" spans="1:9" x14ac:dyDescent="0.25">
      <c r="A409" s="30">
        <f>A400</f>
        <v>46405</v>
      </c>
      <c r="B409" s="31" t="s">
        <v>82</v>
      </c>
      <c r="C409" s="31" t="s">
        <v>31</v>
      </c>
      <c r="D409" s="32" t="s">
        <v>32</v>
      </c>
      <c r="E409" s="33"/>
      <c r="F409" s="33"/>
      <c r="G409" s="33"/>
      <c r="H409" s="33"/>
      <c r="I409" s="34" t="str">
        <f t="shared" si="6"/>
        <v>0/3</v>
      </c>
    </row>
    <row r="410" spans="1:9" x14ac:dyDescent="0.25">
      <c r="A410" s="30">
        <f>A400</f>
        <v>46405</v>
      </c>
      <c r="B410" s="31" t="s">
        <v>82</v>
      </c>
      <c r="C410" s="31" t="s">
        <v>33</v>
      </c>
      <c r="D410" s="32" t="s">
        <v>34</v>
      </c>
      <c r="E410" s="33"/>
      <c r="F410" s="33"/>
      <c r="G410" s="33"/>
      <c r="H410" s="33"/>
      <c r="I410" s="34" t="str">
        <f t="shared" si="6"/>
        <v>0/3</v>
      </c>
    </row>
    <row r="411" spans="1:9" x14ac:dyDescent="0.25">
      <c r="A411" s="30">
        <f>A400</f>
        <v>46405</v>
      </c>
      <c r="B411" s="31" t="s">
        <v>82</v>
      </c>
      <c r="C411" s="31" t="s">
        <v>35</v>
      </c>
      <c r="D411" s="32" t="s">
        <v>36</v>
      </c>
      <c r="E411" s="33"/>
      <c r="F411" s="33"/>
      <c r="G411" s="33"/>
      <c r="H411" s="33"/>
      <c r="I411" s="34" t="str">
        <f t="shared" si="6"/>
        <v>0/3</v>
      </c>
    </row>
    <row r="412" spans="1:9" x14ac:dyDescent="0.25">
      <c r="A412" s="30">
        <f>A400+7</f>
        <v>46412</v>
      </c>
      <c r="B412" s="31" t="s">
        <v>81</v>
      </c>
      <c r="C412" s="31" t="s">
        <v>24</v>
      </c>
      <c r="D412" s="32" t="s">
        <v>26</v>
      </c>
      <c r="E412" s="33"/>
      <c r="F412" s="33"/>
      <c r="G412" s="33"/>
      <c r="H412" s="33"/>
      <c r="I412" s="34" t="str">
        <f t="shared" si="6"/>
        <v>0/3</v>
      </c>
    </row>
    <row r="413" spans="1:9" ht="30" x14ac:dyDescent="0.25">
      <c r="A413" s="30">
        <f>A412</f>
        <v>46412</v>
      </c>
      <c r="B413" s="31" t="s">
        <v>81</v>
      </c>
      <c r="C413" s="31" t="s">
        <v>27</v>
      </c>
      <c r="D413" s="32" t="s">
        <v>28</v>
      </c>
      <c r="E413" s="33"/>
      <c r="F413" s="33"/>
      <c r="G413" s="33"/>
      <c r="H413" s="33"/>
      <c r="I413" s="34" t="str">
        <f t="shared" si="6"/>
        <v>0/3</v>
      </c>
    </row>
    <row r="414" spans="1:9" x14ac:dyDescent="0.25">
      <c r="A414" s="30">
        <f>A412</f>
        <v>46412</v>
      </c>
      <c r="B414" s="31" t="s">
        <v>81</v>
      </c>
      <c r="C414" s="31" t="s">
        <v>29</v>
      </c>
      <c r="D414" s="32" t="s">
        <v>30</v>
      </c>
      <c r="E414" s="33"/>
      <c r="F414" s="33"/>
      <c r="G414" s="33"/>
      <c r="H414" s="33"/>
      <c r="I414" s="34" t="str">
        <f t="shared" si="6"/>
        <v>0/3</v>
      </c>
    </row>
    <row r="415" spans="1:9" x14ac:dyDescent="0.25">
      <c r="A415" s="30">
        <f>A412</f>
        <v>46412</v>
      </c>
      <c r="B415" s="31" t="s">
        <v>81</v>
      </c>
      <c r="C415" s="31" t="s">
        <v>31</v>
      </c>
      <c r="D415" s="32" t="s">
        <v>32</v>
      </c>
      <c r="E415" s="33"/>
      <c r="F415" s="33"/>
      <c r="G415" s="33"/>
      <c r="H415" s="33"/>
      <c r="I415" s="34" t="str">
        <f t="shared" si="6"/>
        <v>0/3</v>
      </c>
    </row>
    <row r="416" spans="1:9" x14ac:dyDescent="0.25">
      <c r="A416" s="30">
        <f>A412</f>
        <v>46412</v>
      </c>
      <c r="B416" s="31" t="s">
        <v>81</v>
      </c>
      <c r="C416" s="31" t="s">
        <v>33</v>
      </c>
      <c r="D416" s="32" t="s">
        <v>34</v>
      </c>
      <c r="E416" s="33"/>
      <c r="F416" s="33"/>
      <c r="G416" s="33"/>
      <c r="H416" s="33"/>
      <c r="I416" s="34" t="str">
        <f t="shared" si="6"/>
        <v>0/3</v>
      </c>
    </row>
    <row r="417" spans="1:9" x14ac:dyDescent="0.25">
      <c r="A417" s="30">
        <f>A412</f>
        <v>46412</v>
      </c>
      <c r="B417" s="31" t="s">
        <v>81</v>
      </c>
      <c r="C417" s="31" t="s">
        <v>35</v>
      </c>
      <c r="D417" s="32" t="s">
        <v>36</v>
      </c>
      <c r="E417" s="33"/>
      <c r="F417" s="33"/>
      <c r="G417" s="33"/>
      <c r="H417" s="33"/>
      <c r="I417" s="34" t="str">
        <f t="shared" si="6"/>
        <v>0/3</v>
      </c>
    </row>
    <row r="418" spans="1:9" x14ac:dyDescent="0.25">
      <c r="A418" s="30">
        <f>A412</f>
        <v>46412</v>
      </c>
      <c r="B418" s="31" t="s">
        <v>82</v>
      </c>
      <c r="C418" s="31" t="s">
        <v>24</v>
      </c>
      <c r="D418" s="32" t="s">
        <v>26</v>
      </c>
      <c r="E418" s="33"/>
      <c r="F418" s="33"/>
      <c r="G418" s="33"/>
      <c r="H418" s="33"/>
      <c r="I418" s="34" t="str">
        <f t="shared" si="6"/>
        <v>0/3</v>
      </c>
    </row>
    <row r="419" spans="1:9" ht="30" x14ac:dyDescent="0.25">
      <c r="A419" s="30">
        <f>A412</f>
        <v>46412</v>
      </c>
      <c r="B419" s="31" t="s">
        <v>82</v>
      </c>
      <c r="C419" s="31" t="s">
        <v>27</v>
      </c>
      <c r="D419" s="32" t="s">
        <v>28</v>
      </c>
      <c r="E419" s="33"/>
      <c r="F419" s="33"/>
      <c r="G419" s="33"/>
      <c r="H419" s="33"/>
      <c r="I419" s="34" t="str">
        <f t="shared" si="6"/>
        <v>0/3</v>
      </c>
    </row>
    <row r="420" spans="1:9" x14ac:dyDescent="0.25">
      <c r="A420" s="30">
        <f>A412</f>
        <v>46412</v>
      </c>
      <c r="B420" s="31" t="s">
        <v>82</v>
      </c>
      <c r="C420" s="31" t="s">
        <v>29</v>
      </c>
      <c r="D420" s="32" t="s">
        <v>30</v>
      </c>
      <c r="E420" s="33"/>
      <c r="F420" s="33"/>
      <c r="G420" s="33"/>
      <c r="H420" s="33"/>
      <c r="I420" s="34" t="str">
        <f t="shared" si="6"/>
        <v>0/3</v>
      </c>
    </row>
    <row r="421" spans="1:9" x14ac:dyDescent="0.25">
      <c r="A421" s="30">
        <f>A412</f>
        <v>46412</v>
      </c>
      <c r="B421" s="31" t="s">
        <v>82</v>
      </c>
      <c r="C421" s="31" t="s">
        <v>31</v>
      </c>
      <c r="D421" s="32" t="s">
        <v>32</v>
      </c>
      <c r="E421" s="33"/>
      <c r="F421" s="33"/>
      <c r="G421" s="33"/>
      <c r="H421" s="33"/>
      <c r="I421" s="34" t="str">
        <f t="shared" si="6"/>
        <v>0/3</v>
      </c>
    </row>
    <row r="422" spans="1:9" x14ac:dyDescent="0.25">
      <c r="A422" s="30">
        <f>A412</f>
        <v>46412</v>
      </c>
      <c r="B422" s="31" t="s">
        <v>82</v>
      </c>
      <c r="C422" s="31" t="s">
        <v>33</v>
      </c>
      <c r="D422" s="32" t="s">
        <v>34</v>
      </c>
      <c r="E422" s="33"/>
      <c r="F422" s="33"/>
      <c r="G422" s="33"/>
      <c r="H422" s="33"/>
      <c r="I422" s="34" t="str">
        <f t="shared" si="6"/>
        <v>0/3</v>
      </c>
    </row>
    <row r="423" spans="1:9" x14ac:dyDescent="0.25">
      <c r="A423" s="30">
        <f>A412</f>
        <v>46412</v>
      </c>
      <c r="B423" s="31" t="s">
        <v>82</v>
      </c>
      <c r="C423" s="31" t="s">
        <v>35</v>
      </c>
      <c r="D423" s="32" t="s">
        <v>36</v>
      </c>
      <c r="E423" s="33"/>
      <c r="F423" s="33"/>
      <c r="G423" s="33"/>
      <c r="H423" s="33"/>
      <c r="I423" s="34" t="str">
        <f t="shared" si="6"/>
        <v>0/3</v>
      </c>
    </row>
    <row r="424" spans="1:9" x14ac:dyDescent="0.25">
      <c r="A424" s="30">
        <f>A412+7</f>
        <v>46419</v>
      </c>
      <c r="B424" s="31" t="s">
        <v>81</v>
      </c>
      <c r="C424" s="31" t="s">
        <v>24</v>
      </c>
      <c r="D424" s="32" t="s">
        <v>26</v>
      </c>
      <c r="E424" s="33"/>
      <c r="F424" s="33"/>
      <c r="G424" s="33"/>
      <c r="H424" s="33"/>
      <c r="I424" s="34" t="str">
        <f t="shared" si="6"/>
        <v>0/3</v>
      </c>
    </row>
    <row r="425" spans="1:9" ht="30" x14ac:dyDescent="0.25">
      <c r="A425" s="30">
        <f>A424</f>
        <v>46419</v>
      </c>
      <c r="B425" s="31" t="s">
        <v>81</v>
      </c>
      <c r="C425" s="31" t="s">
        <v>27</v>
      </c>
      <c r="D425" s="32" t="s">
        <v>28</v>
      </c>
      <c r="E425" s="33"/>
      <c r="F425" s="33"/>
      <c r="G425" s="33"/>
      <c r="H425" s="33"/>
      <c r="I425" s="34" t="str">
        <f t="shared" si="6"/>
        <v>0/3</v>
      </c>
    </row>
    <row r="426" spans="1:9" x14ac:dyDescent="0.25">
      <c r="A426" s="30">
        <f>A424</f>
        <v>46419</v>
      </c>
      <c r="B426" s="31" t="s">
        <v>81</v>
      </c>
      <c r="C426" s="31" t="s">
        <v>29</v>
      </c>
      <c r="D426" s="32" t="s">
        <v>30</v>
      </c>
      <c r="E426" s="33"/>
      <c r="F426" s="33"/>
      <c r="G426" s="33"/>
      <c r="H426" s="33"/>
      <c r="I426" s="34" t="str">
        <f t="shared" si="6"/>
        <v>0/3</v>
      </c>
    </row>
    <row r="427" spans="1:9" x14ac:dyDescent="0.25">
      <c r="A427" s="30">
        <f>A424</f>
        <v>46419</v>
      </c>
      <c r="B427" s="31" t="s">
        <v>81</v>
      </c>
      <c r="C427" s="31" t="s">
        <v>31</v>
      </c>
      <c r="D427" s="32" t="s">
        <v>32</v>
      </c>
      <c r="E427" s="33"/>
      <c r="F427" s="33"/>
      <c r="G427" s="33"/>
      <c r="H427" s="33"/>
      <c r="I427" s="34" t="str">
        <f t="shared" si="6"/>
        <v>0/3</v>
      </c>
    </row>
    <row r="428" spans="1:9" x14ac:dyDescent="0.25">
      <c r="A428" s="30">
        <f>A424</f>
        <v>46419</v>
      </c>
      <c r="B428" s="31" t="s">
        <v>81</v>
      </c>
      <c r="C428" s="31" t="s">
        <v>33</v>
      </c>
      <c r="D428" s="32" t="s">
        <v>34</v>
      </c>
      <c r="E428" s="33"/>
      <c r="F428" s="33"/>
      <c r="G428" s="33"/>
      <c r="H428" s="33"/>
      <c r="I428" s="34" t="str">
        <f t="shared" si="6"/>
        <v>0/3</v>
      </c>
    </row>
    <row r="429" spans="1:9" x14ac:dyDescent="0.25">
      <c r="A429" s="30">
        <f>A424</f>
        <v>46419</v>
      </c>
      <c r="B429" s="31" t="s">
        <v>81</v>
      </c>
      <c r="C429" s="31" t="s">
        <v>35</v>
      </c>
      <c r="D429" s="32" t="s">
        <v>36</v>
      </c>
      <c r="E429" s="33"/>
      <c r="F429" s="33"/>
      <c r="G429" s="33"/>
      <c r="H429" s="33"/>
      <c r="I429" s="34" t="str">
        <f t="shared" si="6"/>
        <v>0/3</v>
      </c>
    </row>
    <row r="430" spans="1:9" x14ac:dyDescent="0.25">
      <c r="A430" s="30">
        <f>A424</f>
        <v>46419</v>
      </c>
      <c r="B430" s="31" t="s">
        <v>82</v>
      </c>
      <c r="C430" s="31" t="s">
        <v>24</v>
      </c>
      <c r="D430" s="32" t="s">
        <v>26</v>
      </c>
      <c r="E430" s="33"/>
      <c r="F430" s="33"/>
      <c r="G430" s="33"/>
      <c r="H430" s="33"/>
      <c r="I430" s="34" t="str">
        <f t="shared" si="6"/>
        <v>0/3</v>
      </c>
    </row>
    <row r="431" spans="1:9" ht="30" x14ac:dyDescent="0.25">
      <c r="A431" s="30">
        <f>A424</f>
        <v>46419</v>
      </c>
      <c r="B431" s="31" t="s">
        <v>82</v>
      </c>
      <c r="C431" s="31" t="s">
        <v>27</v>
      </c>
      <c r="D431" s="32" t="s">
        <v>28</v>
      </c>
      <c r="E431" s="33"/>
      <c r="F431" s="33"/>
      <c r="G431" s="33"/>
      <c r="H431" s="33"/>
      <c r="I431" s="34" t="str">
        <f t="shared" si="6"/>
        <v>0/3</v>
      </c>
    </row>
    <row r="432" spans="1:9" x14ac:dyDescent="0.25">
      <c r="A432" s="30">
        <f>A424</f>
        <v>46419</v>
      </c>
      <c r="B432" s="31" t="s">
        <v>82</v>
      </c>
      <c r="C432" s="31" t="s">
        <v>29</v>
      </c>
      <c r="D432" s="32" t="s">
        <v>30</v>
      </c>
      <c r="E432" s="33"/>
      <c r="F432" s="33"/>
      <c r="G432" s="33"/>
      <c r="H432" s="33"/>
      <c r="I432" s="34" t="str">
        <f t="shared" si="6"/>
        <v>0/3</v>
      </c>
    </row>
    <row r="433" spans="1:9" x14ac:dyDescent="0.25">
      <c r="A433" s="30">
        <f>A424</f>
        <v>46419</v>
      </c>
      <c r="B433" s="31" t="s">
        <v>82</v>
      </c>
      <c r="C433" s="31" t="s">
        <v>31</v>
      </c>
      <c r="D433" s="32" t="s">
        <v>32</v>
      </c>
      <c r="E433" s="33"/>
      <c r="F433" s="33"/>
      <c r="G433" s="33"/>
      <c r="H433" s="33"/>
      <c r="I433" s="34" t="str">
        <f t="shared" si="6"/>
        <v>0/3</v>
      </c>
    </row>
    <row r="434" spans="1:9" x14ac:dyDescent="0.25">
      <c r="A434" s="30">
        <f>A424</f>
        <v>46419</v>
      </c>
      <c r="B434" s="31" t="s">
        <v>82</v>
      </c>
      <c r="C434" s="31" t="s">
        <v>33</v>
      </c>
      <c r="D434" s="32" t="s">
        <v>34</v>
      </c>
      <c r="E434" s="33"/>
      <c r="F434" s="33"/>
      <c r="G434" s="33"/>
      <c r="H434" s="33"/>
      <c r="I434" s="34" t="str">
        <f t="shared" si="6"/>
        <v>0/3</v>
      </c>
    </row>
    <row r="435" spans="1:9" x14ac:dyDescent="0.25">
      <c r="A435" s="30">
        <f>A424</f>
        <v>46419</v>
      </c>
      <c r="B435" s="31" t="s">
        <v>82</v>
      </c>
      <c r="C435" s="31" t="s">
        <v>35</v>
      </c>
      <c r="D435" s="32" t="s">
        <v>36</v>
      </c>
      <c r="E435" s="33"/>
      <c r="F435" s="33"/>
      <c r="G435" s="33"/>
      <c r="H435" s="33"/>
      <c r="I435" s="34" t="str">
        <f t="shared" si="6"/>
        <v>0/3</v>
      </c>
    </row>
    <row r="436" spans="1:9" x14ac:dyDescent="0.25">
      <c r="A436" s="30">
        <f>A424+7</f>
        <v>46426</v>
      </c>
      <c r="B436" s="31" t="s">
        <v>81</v>
      </c>
      <c r="C436" s="31" t="s">
        <v>24</v>
      </c>
      <c r="D436" s="32" t="s">
        <v>26</v>
      </c>
      <c r="E436" s="33"/>
      <c r="F436" s="33"/>
      <c r="G436" s="33"/>
      <c r="H436" s="33"/>
      <c r="I436" s="34" t="str">
        <f t="shared" si="6"/>
        <v>0/3</v>
      </c>
    </row>
    <row r="437" spans="1:9" ht="30" x14ac:dyDescent="0.25">
      <c r="A437" s="30">
        <f>A436</f>
        <v>46426</v>
      </c>
      <c r="B437" s="31" t="s">
        <v>81</v>
      </c>
      <c r="C437" s="31" t="s">
        <v>27</v>
      </c>
      <c r="D437" s="32" t="s">
        <v>28</v>
      </c>
      <c r="E437" s="33"/>
      <c r="F437" s="33"/>
      <c r="G437" s="33"/>
      <c r="H437" s="33"/>
      <c r="I437" s="34" t="str">
        <f t="shared" si="6"/>
        <v>0/3</v>
      </c>
    </row>
    <row r="438" spans="1:9" x14ac:dyDescent="0.25">
      <c r="A438" s="30">
        <f>A436</f>
        <v>46426</v>
      </c>
      <c r="B438" s="31" t="s">
        <v>81</v>
      </c>
      <c r="C438" s="31" t="s">
        <v>29</v>
      </c>
      <c r="D438" s="32" t="s">
        <v>30</v>
      </c>
      <c r="E438" s="33"/>
      <c r="F438" s="33"/>
      <c r="G438" s="33"/>
      <c r="H438" s="33"/>
      <c r="I438" s="34" t="str">
        <f t="shared" si="6"/>
        <v>0/3</v>
      </c>
    </row>
    <row r="439" spans="1:9" x14ac:dyDescent="0.25">
      <c r="A439" s="30">
        <f>A436</f>
        <v>46426</v>
      </c>
      <c r="B439" s="31" t="s">
        <v>81</v>
      </c>
      <c r="C439" s="31" t="s">
        <v>31</v>
      </c>
      <c r="D439" s="32" t="s">
        <v>32</v>
      </c>
      <c r="E439" s="33"/>
      <c r="F439" s="33"/>
      <c r="G439" s="33"/>
      <c r="H439" s="33"/>
      <c r="I439" s="34" t="str">
        <f t="shared" si="6"/>
        <v>0/3</v>
      </c>
    </row>
    <row r="440" spans="1:9" x14ac:dyDescent="0.25">
      <c r="A440" s="30">
        <f>A436</f>
        <v>46426</v>
      </c>
      <c r="B440" s="31" t="s">
        <v>81</v>
      </c>
      <c r="C440" s="31" t="s">
        <v>33</v>
      </c>
      <c r="D440" s="32" t="s">
        <v>34</v>
      </c>
      <c r="E440" s="33"/>
      <c r="F440" s="33"/>
      <c r="G440" s="33"/>
      <c r="H440" s="33"/>
      <c r="I440" s="34" t="str">
        <f t="shared" si="6"/>
        <v>0/3</v>
      </c>
    </row>
    <row r="441" spans="1:9" x14ac:dyDescent="0.25">
      <c r="A441" s="30">
        <f>A436</f>
        <v>46426</v>
      </c>
      <c r="B441" s="31" t="s">
        <v>81</v>
      </c>
      <c r="C441" s="31" t="s">
        <v>35</v>
      </c>
      <c r="D441" s="32" t="s">
        <v>36</v>
      </c>
      <c r="E441" s="33"/>
      <c r="F441" s="33"/>
      <c r="G441" s="33"/>
      <c r="H441" s="33"/>
      <c r="I441" s="34" t="str">
        <f t="shared" si="6"/>
        <v>0/3</v>
      </c>
    </row>
    <row r="442" spans="1:9" x14ac:dyDescent="0.25">
      <c r="A442" s="30">
        <f>A436</f>
        <v>46426</v>
      </c>
      <c r="B442" s="31" t="s">
        <v>82</v>
      </c>
      <c r="C442" s="31" t="s">
        <v>24</v>
      </c>
      <c r="D442" s="32" t="s">
        <v>26</v>
      </c>
      <c r="E442" s="33"/>
      <c r="F442" s="33"/>
      <c r="G442" s="33"/>
      <c r="H442" s="33"/>
      <c r="I442" s="34" t="str">
        <f t="shared" si="6"/>
        <v>0/3</v>
      </c>
    </row>
    <row r="443" spans="1:9" ht="30" x14ac:dyDescent="0.25">
      <c r="A443" s="30">
        <f>A436</f>
        <v>46426</v>
      </c>
      <c r="B443" s="31" t="s">
        <v>82</v>
      </c>
      <c r="C443" s="31" t="s">
        <v>27</v>
      </c>
      <c r="D443" s="32" t="s">
        <v>28</v>
      </c>
      <c r="E443" s="33"/>
      <c r="F443" s="33"/>
      <c r="G443" s="33"/>
      <c r="H443" s="33"/>
      <c r="I443" s="34" t="str">
        <f t="shared" si="6"/>
        <v>0/3</v>
      </c>
    </row>
    <row r="444" spans="1:9" x14ac:dyDescent="0.25">
      <c r="A444" s="30">
        <f>A436</f>
        <v>46426</v>
      </c>
      <c r="B444" s="31" t="s">
        <v>82</v>
      </c>
      <c r="C444" s="31" t="s">
        <v>29</v>
      </c>
      <c r="D444" s="32" t="s">
        <v>30</v>
      </c>
      <c r="E444" s="33"/>
      <c r="F444" s="33"/>
      <c r="G444" s="33"/>
      <c r="H444" s="33"/>
      <c r="I444" s="34" t="str">
        <f t="shared" si="6"/>
        <v>0/3</v>
      </c>
    </row>
    <row r="445" spans="1:9" x14ac:dyDescent="0.25">
      <c r="A445" s="30">
        <f>A436</f>
        <v>46426</v>
      </c>
      <c r="B445" s="31" t="s">
        <v>82</v>
      </c>
      <c r="C445" s="31" t="s">
        <v>31</v>
      </c>
      <c r="D445" s="32" t="s">
        <v>32</v>
      </c>
      <c r="E445" s="33"/>
      <c r="F445" s="33"/>
      <c r="G445" s="33"/>
      <c r="H445" s="33"/>
      <c r="I445" s="34" t="str">
        <f t="shared" si="6"/>
        <v>0/3</v>
      </c>
    </row>
    <row r="446" spans="1:9" x14ac:dyDescent="0.25">
      <c r="A446" s="30">
        <f>A436</f>
        <v>46426</v>
      </c>
      <c r="B446" s="31" t="s">
        <v>82</v>
      </c>
      <c r="C446" s="31" t="s">
        <v>33</v>
      </c>
      <c r="D446" s="32" t="s">
        <v>34</v>
      </c>
      <c r="E446" s="33"/>
      <c r="F446" s="33"/>
      <c r="G446" s="33"/>
      <c r="H446" s="33"/>
      <c r="I446" s="34" t="str">
        <f t="shared" si="6"/>
        <v>0/3</v>
      </c>
    </row>
    <row r="447" spans="1:9" x14ac:dyDescent="0.25">
      <c r="A447" s="30">
        <f>A436</f>
        <v>46426</v>
      </c>
      <c r="B447" s="31" t="s">
        <v>82</v>
      </c>
      <c r="C447" s="31" t="s">
        <v>35</v>
      </c>
      <c r="D447" s="32" t="s">
        <v>36</v>
      </c>
      <c r="E447" s="33"/>
      <c r="F447" s="33"/>
      <c r="G447" s="33"/>
      <c r="H447" s="33"/>
      <c r="I447" s="34" t="str">
        <f t="shared" si="6"/>
        <v>0/3</v>
      </c>
    </row>
    <row r="448" spans="1:9" x14ac:dyDescent="0.25">
      <c r="A448" s="30">
        <f>A436+7</f>
        <v>46433</v>
      </c>
      <c r="B448" s="31" t="s">
        <v>81</v>
      </c>
      <c r="C448" s="31" t="s">
        <v>24</v>
      </c>
      <c r="D448" s="32" t="s">
        <v>26</v>
      </c>
      <c r="E448" s="33"/>
      <c r="F448" s="33"/>
      <c r="G448" s="33"/>
      <c r="H448" s="33"/>
      <c r="I448" s="34" t="str">
        <f t="shared" si="6"/>
        <v>0/3</v>
      </c>
    </row>
    <row r="449" spans="1:9" ht="30" x14ac:dyDescent="0.25">
      <c r="A449" s="30">
        <f>A448</f>
        <v>46433</v>
      </c>
      <c r="B449" s="31" t="s">
        <v>81</v>
      </c>
      <c r="C449" s="31" t="s">
        <v>27</v>
      </c>
      <c r="D449" s="32" t="s">
        <v>28</v>
      </c>
      <c r="E449" s="33"/>
      <c r="F449" s="33"/>
      <c r="G449" s="33"/>
      <c r="H449" s="33"/>
      <c r="I449" s="34" t="str">
        <f t="shared" si="6"/>
        <v>0/3</v>
      </c>
    </row>
    <row r="450" spans="1:9" x14ac:dyDescent="0.25">
      <c r="A450" s="30">
        <f>A448</f>
        <v>46433</v>
      </c>
      <c r="B450" s="31" t="s">
        <v>81</v>
      </c>
      <c r="C450" s="31" t="s">
        <v>29</v>
      </c>
      <c r="D450" s="32" t="s">
        <v>30</v>
      </c>
      <c r="E450" s="33"/>
      <c r="F450" s="33"/>
      <c r="G450" s="33"/>
      <c r="H450" s="33"/>
      <c r="I450" s="34" t="str">
        <f t="shared" si="6"/>
        <v>0/3</v>
      </c>
    </row>
    <row r="451" spans="1:9" x14ac:dyDescent="0.25">
      <c r="A451" s="30">
        <f>A448</f>
        <v>46433</v>
      </c>
      <c r="B451" s="31" t="s">
        <v>81</v>
      </c>
      <c r="C451" s="31" t="s">
        <v>31</v>
      </c>
      <c r="D451" s="32" t="s">
        <v>32</v>
      </c>
      <c r="E451" s="33"/>
      <c r="F451" s="33"/>
      <c r="G451" s="33"/>
      <c r="H451" s="33"/>
      <c r="I451" s="34" t="str">
        <f t="shared" si="6"/>
        <v>0/3</v>
      </c>
    </row>
    <row r="452" spans="1:9" x14ac:dyDescent="0.25">
      <c r="A452" s="30">
        <f>A448</f>
        <v>46433</v>
      </c>
      <c r="B452" s="31" t="s">
        <v>81</v>
      </c>
      <c r="C452" s="31" t="s">
        <v>33</v>
      </c>
      <c r="D452" s="32" t="s">
        <v>34</v>
      </c>
      <c r="E452" s="33"/>
      <c r="F452" s="33"/>
      <c r="G452" s="33"/>
      <c r="H452" s="33"/>
      <c r="I452" s="34" t="str">
        <f t="shared" ref="I452:I515" si="7">COUNTA(E452:G452)&amp;"/3"</f>
        <v>0/3</v>
      </c>
    </row>
    <row r="453" spans="1:9" x14ac:dyDescent="0.25">
      <c r="A453" s="30">
        <f>A448</f>
        <v>46433</v>
      </c>
      <c r="B453" s="31" t="s">
        <v>81</v>
      </c>
      <c r="C453" s="31" t="s">
        <v>35</v>
      </c>
      <c r="D453" s="32" t="s">
        <v>36</v>
      </c>
      <c r="E453" s="33"/>
      <c r="F453" s="33"/>
      <c r="G453" s="33"/>
      <c r="H453" s="33"/>
      <c r="I453" s="34" t="str">
        <f t="shared" si="7"/>
        <v>0/3</v>
      </c>
    </row>
    <row r="454" spans="1:9" x14ac:dyDescent="0.25">
      <c r="A454" s="30">
        <f>A448</f>
        <v>46433</v>
      </c>
      <c r="B454" s="31" t="s">
        <v>82</v>
      </c>
      <c r="C454" s="31" t="s">
        <v>24</v>
      </c>
      <c r="D454" s="32" t="s">
        <v>26</v>
      </c>
      <c r="E454" s="33"/>
      <c r="F454" s="33"/>
      <c r="G454" s="33"/>
      <c r="H454" s="33"/>
      <c r="I454" s="34" t="str">
        <f t="shared" si="7"/>
        <v>0/3</v>
      </c>
    </row>
    <row r="455" spans="1:9" ht="30" x14ac:dyDescent="0.25">
      <c r="A455" s="30">
        <f>A448</f>
        <v>46433</v>
      </c>
      <c r="B455" s="31" t="s">
        <v>82</v>
      </c>
      <c r="C455" s="31" t="s">
        <v>27</v>
      </c>
      <c r="D455" s="32" t="s">
        <v>28</v>
      </c>
      <c r="E455" s="33"/>
      <c r="F455" s="33"/>
      <c r="G455" s="33"/>
      <c r="H455" s="33"/>
      <c r="I455" s="34" t="str">
        <f t="shared" si="7"/>
        <v>0/3</v>
      </c>
    </row>
    <row r="456" spans="1:9" x14ac:dyDescent="0.25">
      <c r="A456" s="30">
        <f>A448</f>
        <v>46433</v>
      </c>
      <c r="B456" s="31" t="s">
        <v>82</v>
      </c>
      <c r="C456" s="31" t="s">
        <v>29</v>
      </c>
      <c r="D456" s="32" t="s">
        <v>30</v>
      </c>
      <c r="E456" s="33"/>
      <c r="F456" s="33"/>
      <c r="G456" s="33"/>
      <c r="H456" s="33"/>
      <c r="I456" s="34" t="str">
        <f t="shared" si="7"/>
        <v>0/3</v>
      </c>
    </row>
    <row r="457" spans="1:9" x14ac:dyDescent="0.25">
      <c r="A457" s="30">
        <f>A448</f>
        <v>46433</v>
      </c>
      <c r="B457" s="31" t="s">
        <v>82</v>
      </c>
      <c r="C457" s="31" t="s">
        <v>31</v>
      </c>
      <c r="D457" s="32" t="s">
        <v>32</v>
      </c>
      <c r="E457" s="33"/>
      <c r="F457" s="33"/>
      <c r="G457" s="33"/>
      <c r="H457" s="33"/>
      <c r="I457" s="34" t="str">
        <f t="shared" si="7"/>
        <v>0/3</v>
      </c>
    </row>
    <row r="458" spans="1:9" x14ac:dyDescent="0.25">
      <c r="A458" s="30">
        <f>A448</f>
        <v>46433</v>
      </c>
      <c r="B458" s="31" t="s">
        <v>82</v>
      </c>
      <c r="C458" s="31" t="s">
        <v>33</v>
      </c>
      <c r="D458" s="32" t="s">
        <v>34</v>
      </c>
      <c r="E458" s="33"/>
      <c r="F458" s="33"/>
      <c r="G458" s="33"/>
      <c r="H458" s="33"/>
      <c r="I458" s="34" t="str">
        <f t="shared" si="7"/>
        <v>0/3</v>
      </c>
    </row>
    <row r="459" spans="1:9" x14ac:dyDescent="0.25">
      <c r="A459" s="30">
        <f>A448</f>
        <v>46433</v>
      </c>
      <c r="B459" s="31" t="s">
        <v>82</v>
      </c>
      <c r="C459" s="31" t="s">
        <v>35</v>
      </c>
      <c r="D459" s="32" t="s">
        <v>36</v>
      </c>
      <c r="E459" s="33"/>
      <c r="F459" s="33"/>
      <c r="G459" s="33"/>
      <c r="H459" s="33"/>
      <c r="I459" s="34" t="str">
        <f t="shared" si="7"/>
        <v>0/3</v>
      </c>
    </row>
    <row r="460" spans="1:9" x14ac:dyDescent="0.25">
      <c r="A460" s="30">
        <f>A448+7</f>
        <v>46440</v>
      </c>
      <c r="B460" s="31" t="s">
        <v>81</v>
      </c>
      <c r="C460" s="31" t="s">
        <v>24</v>
      </c>
      <c r="D460" s="32" t="s">
        <v>26</v>
      </c>
      <c r="E460" s="33"/>
      <c r="F460" s="33"/>
      <c r="G460" s="33"/>
      <c r="H460" s="33"/>
      <c r="I460" s="34" t="str">
        <f t="shared" si="7"/>
        <v>0/3</v>
      </c>
    </row>
    <row r="461" spans="1:9" ht="30" x14ac:dyDescent="0.25">
      <c r="A461" s="30">
        <f>A460</f>
        <v>46440</v>
      </c>
      <c r="B461" s="31" t="s">
        <v>81</v>
      </c>
      <c r="C461" s="31" t="s">
        <v>27</v>
      </c>
      <c r="D461" s="32" t="s">
        <v>28</v>
      </c>
      <c r="E461" s="33"/>
      <c r="F461" s="33"/>
      <c r="G461" s="33"/>
      <c r="H461" s="33"/>
      <c r="I461" s="34" t="str">
        <f t="shared" si="7"/>
        <v>0/3</v>
      </c>
    </row>
    <row r="462" spans="1:9" x14ac:dyDescent="0.25">
      <c r="A462" s="30">
        <f>A460</f>
        <v>46440</v>
      </c>
      <c r="B462" s="31" t="s">
        <v>81</v>
      </c>
      <c r="C462" s="31" t="s">
        <v>29</v>
      </c>
      <c r="D462" s="32" t="s">
        <v>30</v>
      </c>
      <c r="E462" s="33"/>
      <c r="F462" s="33"/>
      <c r="G462" s="33"/>
      <c r="H462" s="33"/>
      <c r="I462" s="34" t="str">
        <f t="shared" si="7"/>
        <v>0/3</v>
      </c>
    </row>
    <row r="463" spans="1:9" x14ac:dyDescent="0.25">
      <c r="A463" s="30">
        <f>A460</f>
        <v>46440</v>
      </c>
      <c r="B463" s="31" t="s">
        <v>81</v>
      </c>
      <c r="C463" s="31" t="s">
        <v>31</v>
      </c>
      <c r="D463" s="32" t="s">
        <v>32</v>
      </c>
      <c r="E463" s="33"/>
      <c r="F463" s="33"/>
      <c r="G463" s="33"/>
      <c r="H463" s="33"/>
      <c r="I463" s="34" t="str">
        <f t="shared" si="7"/>
        <v>0/3</v>
      </c>
    </row>
    <row r="464" spans="1:9" x14ac:dyDescent="0.25">
      <c r="A464" s="30">
        <f>A460</f>
        <v>46440</v>
      </c>
      <c r="B464" s="31" t="s">
        <v>81</v>
      </c>
      <c r="C464" s="31" t="s">
        <v>33</v>
      </c>
      <c r="D464" s="32" t="s">
        <v>34</v>
      </c>
      <c r="E464" s="33"/>
      <c r="F464" s="33"/>
      <c r="G464" s="33"/>
      <c r="H464" s="33"/>
      <c r="I464" s="34" t="str">
        <f t="shared" si="7"/>
        <v>0/3</v>
      </c>
    </row>
    <row r="465" spans="1:9" x14ac:dyDescent="0.25">
      <c r="A465" s="30">
        <f>A460</f>
        <v>46440</v>
      </c>
      <c r="B465" s="31" t="s">
        <v>81</v>
      </c>
      <c r="C465" s="31" t="s">
        <v>35</v>
      </c>
      <c r="D465" s="32" t="s">
        <v>36</v>
      </c>
      <c r="E465" s="33"/>
      <c r="F465" s="33"/>
      <c r="G465" s="33"/>
      <c r="H465" s="33"/>
      <c r="I465" s="34" t="str">
        <f t="shared" si="7"/>
        <v>0/3</v>
      </c>
    </row>
    <row r="466" spans="1:9" x14ac:dyDescent="0.25">
      <c r="A466" s="30">
        <f>A460</f>
        <v>46440</v>
      </c>
      <c r="B466" s="31" t="s">
        <v>82</v>
      </c>
      <c r="C466" s="31" t="s">
        <v>24</v>
      </c>
      <c r="D466" s="32" t="s">
        <v>26</v>
      </c>
      <c r="E466" s="33"/>
      <c r="F466" s="33"/>
      <c r="G466" s="33"/>
      <c r="H466" s="33"/>
      <c r="I466" s="34" t="str">
        <f t="shared" si="7"/>
        <v>0/3</v>
      </c>
    </row>
    <row r="467" spans="1:9" ht="30" x14ac:dyDescent="0.25">
      <c r="A467" s="30">
        <f>A460</f>
        <v>46440</v>
      </c>
      <c r="B467" s="31" t="s">
        <v>82</v>
      </c>
      <c r="C467" s="31" t="s">
        <v>27</v>
      </c>
      <c r="D467" s="32" t="s">
        <v>28</v>
      </c>
      <c r="E467" s="33"/>
      <c r="F467" s="33"/>
      <c r="G467" s="33"/>
      <c r="H467" s="33"/>
      <c r="I467" s="34" t="str">
        <f t="shared" si="7"/>
        <v>0/3</v>
      </c>
    </row>
    <row r="468" spans="1:9" x14ac:dyDescent="0.25">
      <c r="A468" s="30">
        <f>A460</f>
        <v>46440</v>
      </c>
      <c r="B468" s="31" t="s">
        <v>82</v>
      </c>
      <c r="C468" s="31" t="s">
        <v>29</v>
      </c>
      <c r="D468" s="32" t="s">
        <v>30</v>
      </c>
      <c r="E468" s="33"/>
      <c r="F468" s="33"/>
      <c r="G468" s="33"/>
      <c r="H468" s="33"/>
      <c r="I468" s="34" t="str">
        <f t="shared" si="7"/>
        <v>0/3</v>
      </c>
    </row>
    <row r="469" spans="1:9" x14ac:dyDescent="0.25">
      <c r="A469" s="30">
        <f>A460</f>
        <v>46440</v>
      </c>
      <c r="B469" s="31" t="s">
        <v>82</v>
      </c>
      <c r="C469" s="31" t="s">
        <v>31</v>
      </c>
      <c r="D469" s="32" t="s">
        <v>32</v>
      </c>
      <c r="E469" s="33"/>
      <c r="F469" s="33"/>
      <c r="G469" s="33"/>
      <c r="H469" s="33"/>
      <c r="I469" s="34" t="str">
        <f t="shared" si="7"/>
        <v>0/3</v>
      </c>
    </row>
    <row r="470" spans="1:9" x14ac:dyDescent="0.25">
      <c r="A470" s="30">
        <f>A460</f>
        <v>46440</v>
      </c>
      <c r="B470" s="31" t="s">
        <v>82</v>
      </c>
      <c r="C470" s="31" t="s">
        <v>33</v>
      </c>
      <c r="D470" s="32" t="s">
        <v>34</v>
      </c>
      <c r="E470" s="33"/>
      <c r="F470" s="33"/>
      <c r="G470" s="33"/>
      <c r="H470" s="33"/>
      <c r="I470" s="34" t="str">
        <f t="shared" si="7"/>
        <v>0/3</v>
      </c>
    </row>
    <row r="471" spans="1:9" x14ac:dyDescent="0.25">
      <c r="A471" s="30">
        <f>A460</f>
        <v>46440</v>
      </c>
      <c r="B471" s="31" t="s">
        <v>82</v>
      </c>
      <c r="C471" s="31" t="s">
        <v>35</v>
      </c>
      <c r="D471" s="32" t="s">
        <v>36</v>
      </c>
      <c r="E471" s="33"/>
      <c r="F471" s="33"/>
      <c r="G471" s="33"/>
      <c r="H471" s="33"/>
      <c r="I471" s="34" t="str">
        <f t="shared" si="7"/>
        <v>0/3</v>
      </c>
    </row>
    <row r="472" spans="1:9" x14ac:dyDescent="0.25">
      <c r="A472" s="30">
        <f>A460+7</f>
        <v>46447</v>
      </c>
      <c r="B472" s="31" t="s">
        <v>81</v>
      </c>
      <c r="C472" s="31" t="s">
        <v>24</v>
      </c>
      <c r="D472" s="32" t="s">
        <v>26</v>
      </c>
      <c r="E472" s="33"/>
      <c r="F472" s="33"/>
      <c r="G472" s="33"/>
      <c r="H472" s="33"/>
      <c r="I472" s="34" t="str">
        <f t="shared" si="7"/>
        <v>0/3</v>
      </c>
    </row>
    <row r="473" spans="1:9" ht="30" x14ac:dyDescent="0.25">
      <c r="A473" s="30">
        <f>A472</f>
        <v>46447</v>
      </c>
      <c r="B473" s="31" t="s">
        <v>81</v>
      </c>
      <c r="C473" s="31" t="s">
        <v>27</v>
      </c>
      <c r="D473" s="32" t="s">
        <v>28</v>
      </c>
      <c r="E473" s="33"/>
      <c r="F473" s="33"/>
      <c r="G473" s="33"/>
      <c r="H473" s="33"/>
      <c r="I473" s="34" t="str">
        <f t="shared" si="7"/>
        <v>0/3</v>
      </c>
    </row>
    <row r="474" spans="1:9" x14ac:dyDescent="0.25">
      <c r="A474" s="30">
        <f>A472</f>
        <v>46447</v>
      </c>
      <c r="B474" s="31" t="s">
        <v>81</v>
      </c>
      <c r="C474" s="31" t="s">
        <v>29</v>
      </c>
      <c r="D474" s="32" t="s">
        <v>30</v>
      </c>
      <c r="E474" s="33"/>
      <c r="F474" s="33"/>
      <c r="G474" s="33"/>
      <c r="H474" s="33"/>
      <c r="I474" s="34" t="str">
        <f t="shared" si="7"/>
        <v>0/3</v>
      </c>
    </row>
    <row r="475" spans="1:9" x14ac:dyDescent="0.25">
      <c r="A475" s="30">
        <f>A472</f>
        <v>46447</v>
      </c>
      <c r="B475" s="31" t="s">
        <v>81</v>
      </c>
      <c r="C475" s="31" t="s">
        <v>31</v>
      </c>
      <c r="D475" s="32" t="s">
        <v>32</v>
      </c>
      <c r="E475" s="33"/>
      <c r="F475" s="33"/>
      <c r="G475" s="33"/>
      <c r="H475" s="33"/>
      <c r="I475" s="34" t="str">
        <f t="shared" si="7"/>
        <v>0/3</v>
      </c>
    </row>
    <row r="476" spans="1:9" x14ac:dyDescent="0.25">
      <c r="A476" s="30">
        <f>A472</f>
        <v>46447</v>
      </c>
      <c r="B476" s="31" t="s">
        <v>81</v>
      </c>
      <c r="C476" s="31" t="s">
        <v>33</v>
      </c>
      <c r="D476" s="32" t="s">
        <v>34</v>
      </c>
      <c r="E476" s="33"/>
      <c r="F476" s="33"/>
      <c r="G476" s="33"/>
      <c r="H476" s="33"/>
      <c r="I476" s="34" t="str">
        <f t="shared" si="7"/>
        <v>0/3</v>
      </c>
    </row>
    <row r="477" spans="1:9" x14ac:dyDescent="0.25">
      <c r="A477" s="30">
        <f>A472</f>
        <v>46447</v>
      </c>
      <c r="B477" s="31" t="s">
        <v>81</v>
      </c>
      <c r="C477" s="31" t="s">
        <v>35</v>
      </c>
      <c r="D477" s="32" t="s">
        <v>36</v>
      </c>
      <c r="E477" s="33"/>
      <c r="F477" s="33"/>
      <c r="G477" s="33"/>
      <c r="H477" s="33"/>
      <c r="I477" s="34" t="str">
        <f t="shared" si="7"/>
        <v>0/3</v>
      </c>
    </row>
    <row r="478" spans="1:9" x14ac:dyDescent="0.25">
      <c r="A478" s="30">
        <f>A472</f>
        <v>46447</v>
      </c>
      <c r="B478" s="31" t="s">
        <v>82</v>
      </c>
      <c r="C478" s="31" t="s">
        <v>24</v>
      </c>
      <c r="D478" s="32" t="s">
        <v>26</v>
      </c>
      <c r="E478" s="33"/>
      <c r="F478" s="33"/>
      <c r="G478" s="33"/>
      <c r="H478" s="33"/>
      <c r="I478" s="34" t="str">
        <f t="shared" si="7"/>
        <v>0/3</v>
      </c>
    </row>
    <row r="479" spans="1:9" ht="30" x14ac:dyDescent="0.25">
      <c r="A479" s="30">
        <f>A472</f>
        <v>46447</v>
      </c>
      <c r="B479" s="31" t="s">
        <v>82</v>
      </c>
      <c r="C479" s="31" t="s">
        <v>27</v>
      </c>
      <c r="D479" s="32" t="s">
        <v>28</v>
      </c>
      <c r="E479" s="33"/>
      <c r="F479" s="33"/>
      <c r="G479" s="33"/>
      <c r="H479" s="33"/>
      <c r="I479" s="34" t="str">
        <f t="shared" si="7"/>
        <v>0/3</v>
      </c>
    </row>
    <row r="480" spans="1:9" x14ac:dyDescent="0.25">
      <c r="A480" s="30">
        <f>A472</f>
        <v>46447</v>
      </c>
      <c r="B480" s="31" t="s">
        <v>82</v>
      </c>
      <c r="C480" s="31" t="s">
        <v>29</v>
      </c>
      <c r="D480" s="32" t="s">
        <v>30</v>
      </c>
      <c r="E480" s="33"/>
      <c r="F480" s="33"/>
      <c r="G480" s="33"/>
      <c r="H480" s="33"/>
      <c r="I480" s="34" t="str">
        <f t="shared" si="7"/>
        <v>0/3</v>
      </c>
    </row>
    <row r="481" spans="1:9" x14ac:dyDescent="0.25">
      <c r="A481" s="30">
        <f>A472</f>
        <v>46447</v>
      </c>
      <c r="B481" s="31" t="s">
        <v>82</v>
      </c>
      <c r="C481" s="31" t="s">
        <v>31</v>
      </c>
      <c r="D481" s="32" t="s">
        <v>32</v>
      </c>
      <c r="E481" s="33"/>
      <c r="F481" s="33"/>
      <c r="G481" s="33"/>
      <c r="H481" s="33"/>
      <c r="I481" s="34" t="str">
        <f t="shared" si="7"/>
        <v>0/3</v>
      </c>
    </row>
    <row r="482" spans="1:9" x14ac:dyDescent="0.25">
      <c r="A482" s="30">
        <f>A472</f>
        <v>46447</v>
      </c>
      <c r="B482" s="31" t="s">
        <v>82</v>
      </c>
      <c r="C482" s="31" t="s">
        <v>33</v>
      </c>
      <c r="D482" s="32" t="s">
        <v>34</v>
      </c>
      <c r="E482" s="33"/>
      <c r="F482" s="33"/>
      <c r="G482" s="33"/>
      <c r="H482" s="33"/>
      <c r="I482" s="34" t="str">
        <f t="shared" si="7"/>
        <v>0/3</v>
      </c>
    </row>
    <row r="483" spans="1:9" x14ac:dyDescent="0.25">
      <c r="A483" s="30">
        <f>A472</f>
        <v>46447</v>
      </c>
      <c r="B483" s="31" t="s">
        <v>82</v>
      </c>
      <c r="C483" s="31" t="s">
        <v>35</v>
      </c>
      <c r="D483" s="32" t="s">
        <v>36</v>
      </c>
      <c r="E483" s="33"/>
      <c r="F483" s="33"/>
      <c r="G483" s="33"/>
      <c r="H483" s="33"/>
      <c r="I483" s="34" t="str">
        <f t="shared" si="7"/>
        <v>0/3</v>
      </c>
    </row>
    <row r="484" spans="1:9" x14ac:dyDescent="0.25">
      <c r="A484" s="30">
        <f>A472+7</f>
        <v>46454</v>
      </c>
      <c r="B484" s="31" t="s">
        <v>81</v>
      </c>
      <c r="C484" s="31" t="s">
        <v>24</v>
      </c>
      <c r="D484" s="32" t="s">
        <v>26</v>
      </c>
      <c r="E484" s="33"/>
      <c r="F484" s="33"/>
      <c r="G484" s="33"/>
      <c r="H484" s="33"/>
      <c r="I484" s="34" t="str">
        <f t="shared" si="7"/>
        <v>0/3</v>
      </c>
    </row>
    <row r="485" spans="1:9" ht="30" x14ac:dyDescent="0.25">
      <c r="A485" s="30">
        <f>A484</f>
        <v>46454</v>
      </c>
      <c r="B485" s="31" t="s">
        <v>81</v>
      </c>
      <c r="C485" s="31" t="s">
        <v>27</v>
      </c>
      <c r="D485" s="32" t="s">
        <v>28</v>
      </c>
      <c r="E485" s="33"/>
      <c r="F485" s="33"/>
      <c r="G485" s="33"/>
      <c r="H485" s="33"/>
      <c r="I485" s="34" t="str">
        <f t="shared" si="7"/>
        <v>0/3</v>
      </c>
    </row>
    <row r="486" spans="1:9" x14ac:dyDescent="0.25">
      <c r="A486" s="30">
        <f>A484</f>
        <v>46454</v>
      </c>
      <c r="B486" s="31" t="s">
        <v>81</v>
      </c>
      <c r="C486" s="31" t="s">
        <v>29</v>
      </c>
      <c r="D486" s="32" t="s">
        <v>30</v>
      </c>
      <c r="E486" s="33"/>
      <c r="F486" s="33"/>
      <c r="G486" s="33"/>
      <c r="H486" s="33"/>
      <c r="I486" s="34" t="str">
        <f t="shared" si="7"/>
        <v>0/3</v>
      </c>
    </row>
    <row r="487" spans="1:9" x14ac:dyDescent="0.25">
      <c r="A487" s="30">
        <f>A484</f>
        <v>46454</v>
      </c>
      <c r="B487" s="31" t="s">
        <v>81</v>
      </c>
      <c r="C487" s="31" t="s">
        <v>31</v>
      </c>
      <c r="D487" s="32" t="s">
        <v>32</v>
      </c>
      <c r="E487" s="33"/>
      <c r="F487" s="33"/>
      <c r="G487" s="33"/>
      <c r="H487" s="33"/>
      <c r="I487" s="34" t="str">
        <f t="shared" si="7"/>
        <v>0/3</v>
      </c>
    </row>
    <row r="488" spans="1:9" x14ac:dyDescent="0.25">
      <c r="A488" s="30">
        <f>A484</f>
        <v>46454</v>
      </c>
      <c r="B488" s="31" t="s">
        <v>81</v>
      </c>
      <c r="C488" s="31" t="s">
        <v>33</v>
      </c>
      <c r="D488" s="32" t="s">
        <v>34</v>
      </c>
      <c r="E488" s="33"/>
      <c r="F488" s="33"/>
      <c r="G488" s="33"/>
      <c r="H488" s="33"/>
      <c r="I488" s="34" t="str">
        <f t="shared" si="7"/>
        <v>0/3</v>
      </c>
    </row>
    <row r="489" spans="1:9" x14ac:dyDescent="0.25">
      <c r="A489" s="30">
        <f>A484</f>
        <v>46454</v>
      </c>
      <c r="B489" s="31" t="s">
        <v>81</v>
      </c>
      <c r="C489" s="31" t="s">
        <v>35</v>
      </c>
      <c r="D489" s="32" t="s">
        <v>36</v>
      </c>
      <c r="E489" s="33"/>
      <c r="F489" s="33"/>
      <c r="G489" s="33"/>
      <c r="H489" s="33"/>
      <c r="I489" s="34" t="str">
        <f t="shared" si="7"/>
        <v>0/3</v>
      </c>
    </row>
    <row r="490" spans="1:9" x14ac:dyDescent="0.25">
      <c r="A490" s="30">
        <f>A484</f>
        <v>46454</v>
      </c>
      <c r="B490" s="31" t="s">
        <v>82</v>
      </c>
      <c r="C490" s="31" t="s">
        <v>24</v>
      </c>
      <c r="D490" s="32" t="s">
        <v>26</v>
      </c>
      <c r="E490" s="33"/>
      <c r="F490" s="33"/>
      <c r="G490" s="33"/>
      <c r="H490" s="33"/>
      <c r="I490" s="34" t="str">
        <f t="shared" si="7"/>
        <v>0/3</v>
      </c>
    </row>
    <row r="491" spans="1:9" ht="30" x14ac:dyDescent="0.25">
      <c r="A491" s="30">
        <f>A484</f>
        <v>46454</v>
      </c>
      <c r="B491" s="31" t="s">
        <v>82</v>
      </c>
      <c r="C491" s="31" t="s">
        <v>27</v>
      </c>
      <c r="D491" s="32" t="s">
        <v>28</v>
      </c>
      <c r="E491" s="33"/>
      <c r="F491" s="33"/>
      <c r="G491" s="33"/>
      <c r="H491" s="33"/>
      <c r="I491" s="34" t="str">
        <f t="shared" si="7"/>
        <v>0/3</v>
      </c>
    </row>
    <row r="492" spans="1:9" x14ac:dyDescent="0.25">
      <c r="A492" s="30">
        <f>A484</f>
        <v>46454</v>
      </c>
      <c r="B492" s="31" t="s">
        <v>82</v>
      </c>
      <c r="C492" s="31" t="s">
        <v>29</v>
      </c>
      <c r="D492" s="32" t="s">
        <v>30</v>
      </c>
      <c r="E492" s="33"/>
      <c r="F492" s="33"/>
      <c r="G492" s="33"/>
      <c r="H492" s="33"/>
      <c r="I492" s="34" t="str">
        <f t="shared" si="7"/>
        <v>0/3</v>
      </c>
    </row>
    <row r="493" spans="1:9" x14ac:dyDescent="0.25">
      <c r="A493" s="30">
        <f>A484</f>
        <v>46454</v>
      </c>
      <c r="B493" s="31" t="s">
        <v>82</v>
      </c>
      <c r="C493" s="31" t="s">
        <v>31</v>
      </c>
      <c r="D493" s="32" t="s">
        <v>32</v>
      </c>
      <c r="E493" s="33"/>
      <c r="F493" s="33"/>
      <c r="G493" s="33"/>
      <c r="H493" s="33"/>
      <c r="I493" s="34" t="str">
        <f t="shared" si="7"/>
        <v>0/3</v>
      </c>
    </row>
    <row r="494" spans="1:9" x14ac:dyDescent="0.25">
      <c r="A494" s="30">
        <f>A484</f>
        <v>46454</v>
      </c>
      <c r="B494" s="31" t="s">
        <v>82</v>
      </c>
      <c r="C494" s="31" t="s">
        <v>33</v>
      </c>
      <c r="D494" s="32" t="s">
        <v>34</v>
      </c>
      <c r="E494" s="33"/>
      <c r="F494" s="33"/>
      <c r="G494" s="33"/>
      <c r="H494" s="33"/>
      <c r="I494" s="34" t="str">
        <f t="shared" si="7"/>
        <v>0/3</v>
      </c>
    </row>
    <row r="495" spans="1:9" x14ac:dyDescent="0.25">
      <c r="A495" s="30">
        <f>A484</f>
        <v>46454</v>
      </c>
      <c r="B495" s="31" t="s">
        <v>82</v>
      </c>
      <c r="C495" s="31" t="s">
        <v>35</v>
      </c>
      <c r="D495" s="32" t="s">
        <v>36</v>
      </c>
      <c r="E495" s="33"/>
      <c r="F495" s="33"/>
      <c r="G495" s="33"/>
      <c r="H495" s="33"/>
      <c r="I495" s="34" t="str">
        <f t="shared" si="7"/>
        <v>0/3</v>
      </c>
    </row>
    <row r="496" spans="1:9" x14ac:dyDescent="0.25">
      <c r="A496" s="30">
        <f>A484+7</f>
        <v>46461</v>
      </c>
      <c r="B496" s="31" t="s">
        <v>81</v>
      </c>
      <c r="C496" s="31" t="s">
        <v>24</v>
      </c>
      <c r="D496" s="32" t="s">
        <v>26</v>
      </c>
      <c r="E496" s="33"/>
      <c r="F496" s="33"/>
      <c r="G496" s="33"/>
      <c r="H496" s="33"/>
      <c r="I496" s="34" t="str">
        <f t="shared" si="7"/>
        <v>0/3</v>
      </c>
    </row>
    <row r="497" spans="1:9" ht="30" x14ac:dyDescent="0.25">
      <c r="A497" s="30">
        <f>A496</f>
        <v>46461</v>
      </c>
      <c r="B497" s="31" t="s">
        <v>81</v>
      </c>
      <c r="C497" s="31" t="s">
        <v>27</v>
      </c>
      <c r="D497" s="32" t="s">
        <v>28</v>
      </c>
      <c r="E497" s="33"/>
      <c r="F497" s="33"/>
      <c r="G497" s="33"/>
      <c r="H497" s="33"/>
      <c r="I497" s="34" t="str">
        <f t="shared" si="7"/>
        <v>0/3</v>
      </c>
    </row>
    <row r="498" spans="1:9" x14ac:dyDescent="0.25">
      <c r="A498" s="30">
        <f>A496</f>
        <v>46461</v>
      </c>
      <c r="B498" s="31" t="s">
        <v>81</v>
      </c>
      <c r="C498" s="31" t="s">
        <v>29</v>
      </c>
      <c r="D498" s="32" t="s">
        <v>30</v>
      </c>
      <c r="E498" s="33"/>
      <c r="F498" s="33"/>
      <c r="G498" s="33"/>
      <c r="H498" s="33"/>
      <c r="I498" s="34" t="str">
        <f t="shared" si="7"/>
        <v>0/3</v>
      </c>
    </row>
    <row r="499" spans="1:9" x14ac:dyDescent="0.25">
      <c r="A499" s="30">
        <f>A496</f>
        <v>46461</v>
      </c>
      <c r="B499" s="31" t="s">
        <v>81</v>
      </c>
      <c r="C499" s="31" t="s">
        <v>31</v>
      </c>
      <c r="D499" s="32" t="s">
        <v>32</v>
      </c>
      <c r="E499" s="33"/>
      <c r="F499" s="33"/>
      <c r="G499" s="33"/>
      <c r="H499" s="33"/>
      <c r="I499" s="34" t="str">
        <f t="shared" si="7"/>
        <v>0/3</v>
      </c>
    </row>
    <row r="500" spans="1:9" x14ac:dyDescent="0.25">
      <c r="A500" s="30">
        <f>A496</f>
        <v>46461</v>
      </c>
      <c r="B500" s="31" t="s">
        <v>81</v>
      </c>
      <c r="C500" s="31" t="s">
        <v>33</v>
      </c>
      <c r="D500" s="32" t="s">
        <v>34</v>
      </c>
      <c r="E500" s="33"/>
      <c r="F500" s="33"/>
      <c r="G500" s="33"/>
      <c r="H500" s="33"/>
      <c r="I500" s="34" t="str">
        <f t="shared" si="7"/>
        <v>0/3</v>
      </c>
    </row>
    <row r="501" spans="1:9" x14ac:dyDescent="0.25">
      <c r="A501" s="30">
        <f>A496</f>
        <v>46461</v>
      </c>
      <c r="B501" s="31" t="s">
        <v>81</v>
      </c>
      <c r="C501" s="31" t="s">
        <v>35</v>
      </c>
      <c r="D501" s="32" t="s">
        <v>36</v>
      </c>
      <c r="E501" s="33"/>
      <c r="F501" s="33"/>
      <c r="G501" s="33"/>
      <c r="H501" s="33"/>
      <c r="I501" s="34" t="str">
        <f t="shared" si="7"/>
        <v>0/3</v>
      </c>
    </row>
    <row r="502" spans="1:9" x14ac:dyDescent="0.25">
      <c r="A502" s="30">
        <f>A496</f>
        <v>46461</v>
      </c>
      <c r="B502" s="31" t="s">
        <v>82</v>
      </c>
      <c r="C502" s="31" t="s">
        <v>24</v>
      </c>
      <c r="D502" s="32" t="s">
        <v>26</v>
      </c>
      <c r="E502" s="33"/>
      <c r="F502" s="33"/>
      <c r="G502" s="33"/>
      <c r="H502" s="33"/>
      <c r="I502" s="34" t="str">
        <f t="shared" si="7"/>
        <v>0/3</v>
      </c>
    </row>
    <row r="503" spans="1:9" ht="30" x14ac:dyDescent="0.25">
      <c r="A503" s="30">
        <f>A496</f>
        <v>46461</v>
      </c>
      <c r="B503" s="31" t="s">
        <v>82</v>
      </c>
      <c r="C503" s="31" t="s">
        <v>27</v>
      </c>
      <c r="D503" s="32" t="s">
        <v>28</v>
      </c>
      <c r="E503" s="33"/>
      <c r="F503" s="33"/>
      <c r="G503" s="33"/>
      <c r="H503" s="33"/>
      <c r="I503" s="34" t="str">
        <f t="shared" si="7"/>
        <v>0/3</v>
      </c>
    </row>
    <row r="504" spans="1:9" x14ac:dyDescent="0.25">
      <c r="A504" s="30">
        <f>A496</f>
        <v>46461</v>
      </c>
      <c r="B504" s="31" t="s">
        <v>82</v>
      </c>
      <c r="C504" s="31" t="s">
        <v>29</v>
      </c>
      <c r="D504" s="32" t="s">
        <v>30</v>
      </c>
      <c r="E504" s="33"/>
      <c r="F504" s="33"/>
      <c r="G504" s="33"/>
      <c r="H504" s="33"/>
      <c r="I504" s="34" t="str">
        <f t="shared" si="7"/>
        <v>0/3</v>
      </c>
    </row>
    <row r="505" spans="1:9" x14ac:dyDescent="0.25">
      <c r="A505" s="30">
        <f>A496</f>
        <v>46461</v>
      </c>
      <c r="B505" s="31" t="s">
        <v>82</v>
      </c>
      <c r="C505" s="31" t="s">
        <v>31</v>
      </c>
      <c r="D505" s="32" t="s">
        <v>32</v>
      </c>
      <c r="E505" s="33"/>
      <c r="F505" s="33"/>
      <c r="G505" s="33"/>
      <c r="H505" s="33"/>
      <c r="I505" s="34" t="str">
        <f t="shared" si="7"/>
        <v>0/3</v>
      </c>
    </row>
    <row r="506" spans="1:9" x14ac:dyDescent="0.25">
      <c r="A506" s="30">
        <f>A496</f>
        <v>46461</v>
      </c>
      <c r="B506" s="31" t="s">
        <v>82</v>
      </c>
      <c r="C506" s="31" t="s">
        <v>33</v>
      </c>
      <c r="D506" s="32" t="s">
        <v>34</v>
      </c>
      <c r="E506" s="33"/>
      <c r="F506" s="33"/>
      <c r="G506" s="33"/>
      <c r="H506" s="33"/>
      <c r="I506" s="34" t="str">
        <f t="shared" si="7"/>
        <v>0/3</v>
      </c>
    </row>
    <row r="507" spans="1:9" x14ac:dyDescent="0.25">
      <c r="A507" s="30">
        <f>A496</f>
        <v>46461</v>
      </c>
      <c r="B507" s="31" t="s">
        <v>82</v>
      </c>
      <c r="C507" s="31" t="s">
        <v>35</v>
      </c>
      <c r="D507" s="32" t="s">
        <v>36</v>
      </c>
      <c r="E507" s="33"/>
      <c r="F507" s="33"/>
      <c r="G507" s="33"/>
      <c r="H507" s="33"/>
      <c r="I507" s="34" t="str">
        <f t="shared" si="7"/>
        <v>0/3</v>
      </c>
    </row>
    <row r="508" spans="1:9" x14ac:dyDescent="0.25">
      <c r="A508" s="30">
        <f>A496+7</f>
        <v>46468</v>
      </c>
      <c r="B508" s="31" t="s">
        <v>81</v>
      </c>
      <c r="C508" s="31" t="s">
        <v>24</v>
      </c>
      <c r="D508" s="32" t="s">
        <v>26</v>
      </c>
      <c r="E508" s="33"/>
      <c r="F508" s="33"/>
      <c r="G508" s="33"/>
      <c r="H508" s="33"/>
      <c r="I508" s="34" t="str">
        <f t="shared" si="7"/>
        <v>0/3</v>
      </c>
    </row>
    <row r="509" spans="1:9" ht="30" x14ac:dyDescent="0.25">
      <c r="A509" s="30">
        <f>A508</f>
        <v>46468</v>
      </c>
      <c r="B509" s="31" t="s">
        <v>81</v>
      </c>
      <c r="C509" s="31" t="s">
        <v>27</v>
      </c>
      <c r="D509" s="32" t="s">
        <v>28</v>
      </c>
      <c r="E509" s="33"/>
      <c r="F509" s="33"/>
      <c r="G509" s="33"/>
      <c r="H509" s="33"/>
      <c r="I509" s="34" t="str">
        <f t="shared" si="7"/>
        <v>0/3</v>
      </c>
    </row>
    <row r="510" spans="1:9" x14ac:dyDescent="0.25">
      <c r="A510" s="30">
        <f>A508</f>
        <v>46468</v>
      </c>
      <c r="B510" s="31" t="s">
        <v>81</v>
      </c>
      <c r="C510" s="31" t="s">
        <v>29</v>
      </c>
      <c r="D510" s="32" t="s">
        <v>30</v>
      </c>
      <c r="E510" s="33"/>
      <c r="F510" s="33"/>
      <c r="G510" s="33"/>
      <c r="H510" s="33"/>
      <c r="I510" s="34" t="str">
        <f t="shared" si="7"/>
        <v>0/3</v>
      </c>
    </row>
    <row r="511" spans="1:9" x14ac:dyDescent="0.25">
      <c r="A511" s="30">
        <f>A508</f>
        <v>46468</v>
      </c>
      <c r="B511" s="31" t="s">
        <v>81</v>
      </c>
      <c r="C511" s="31" t="s">
        <v>31</v>
      </c>
      <c r="D511" s="32" t="s">
        <v>32</v>
      </c>
      <c r="E511" s="33"/>
      <c r="F511" s="33"/>
      <c r="G511" s="33"/>
      <c r="H511" s="33"/>
      <c r="I511" s="34" t="str">
        <f t="shared" si="7"/>
        <v>0/3</v>
      </c>
    </row>
    <row r="512" spans="1:9" x14ac:dyDescent="0.25">
      <c r="A512" s="30">
        <f>A508</f>
        <v>46468</v>
      </c>
      <c r="B512" s="31" t="s">
        <v>81</v>
      </c>
      <c r="C512" s="31" t="s">
        <v>33</v>
      </c>
      <c r="D512" s="32" t="s">
        <v>34</v>
      </c>
      <c r="E512" s="33"/>
      <c r="F512" s="33"/>
      <c r="G512" s="33"/>
      <c r="H512" s="33"/>
      <c r="I512" s="34" t="str">
        <f t="shared" si="7"/>
        <v>0/3</v>
      </c>
    </row>
    <row r="513" spans="1:9" x14ac:dyDescent="0.25">
      <c r="A513" s="30">
        <f>A508</f>
        <v>46468</v>
      </c>
      <c r="B513" s="31" t="s">
        <v>81</v>
      </c>
      <c r="C513" s="31" t="s">
        <v>35</v>
      </c>
      <c r="D513" s="32" t="s">
        <v>36</v>
      </c>
      <c r="E513" s="33"/>
      <c r="F513" s="33"/>
      <c r="G513" s="33"/>
      <c r="H513" s="33"/>
      <c r="I513" s="34" t="str">
        <f t="shared" si="7"/>
        <v>0/3</v>
      </c>
    </row>
    <row r="514" spans="1:9" x14ac:dyDescent="0.25">
      <c r="A514" s="30">
        <f>A508</f>
        <v>46468</v>
      </c>
      <c r="B514" s="31" t="s">
        <v>82</v>
      </c>
      <c r="C514" s="31" t="s">
        <v>24</v>
      </c>
      <c r="D514" s="32" t="s">
        <v>26</v>
      </c>
      <c r="E514" s="33"/>
      <c r="F514" s="33"/>
      <c r="G514" s="33"/>
      <c r="H514" s="33"/>
      <c r="I514" s="34" t="str">
        <f t="shared" si="7"/>
        <v>0/3</v>
      </c>
    </row>
    <row r="515" spans="1:9" ht="30" x14ac:dyDescent="0.25">
      <c r="A515" s="30">
        <f>A508</f>
        <v>46468</v>
      </c>
      <c r="B515" s="31" t="s">
        <v>82</v>
      </c>
      <c r="C515" s="31" t="s">
        <v>27</v>
      </c>
      <c r="D515" s="32" t="s">
        <v>28</v>
      </c>
      <c r="E515" s="33"/>
      <c r="F515" s="33"/>
      <c r="G515" s="33"/>
      <c r="H515" s="33"/>
      <c r="I515" s="34" t="str">
        <f t="shared" si="7"/>
        <v>0/3</v>
      </c>
    </row>
    <row r="516" spans="1:9" x14ac:dyDescent="0.25">
      <c r="A516" s="30">
        <f>A508</f>
        <v>46468</v>
      </c>
      <c r="B516" s="31" t="s">
        <v>82</v>
      </c>
      <c r="C516" s="31" t="s">
        <v>29</v>
      </c>
      <c r="D516" s="32" t="s">
        <v>30</v>
      </c>
      <c r="E516" s="33"/>
      <c r="F516" s="33"/>
      <c r="G516" s="33"/>
      <c r="H516" s="33"/>
      <c r="I516" s="34" t="str">
        <f t="shared" ref="I516:I579" si="8">COUNTA(E516:G516)&amp;"/3"</f>
        <v>0/3</v>
      </c>
    </row>
    <row r="517" spans="1:9" x14ac:dyDescent="0.25">
      <c r="A517" s="30">
        <f>A508</f>
        <v>46468</v>
      </c>
      <c r="B517" s="31" t="s">
        <v>82</v>
      </c>
      <c r="C517" s="31" t="s">
        <v>31</v>
      </c>
      <c r="D517" s="32" t="s">
        <v>32</v>
      </c>
      <c r="E517" s="33"/>
      <c r="F517" s="33"/>
      <c r="G517" s="33"/>
      <c r="H517" s="33"/>
      <c r="I517" s="34" t="str">
        <f t="shared" si="8"/>
        <v>0/3</v>
      </c>
    </row>
    <row r="518" spans="1:9" x14ac:dyDescent="0.25">
      <c r="A518" s="30">
        <f>A508</f>
        <v>46468</v>
      </c>
      <c r="B518" s="31" t="s">
        <v>82</v>
      </c>
      <c r="C518" s="31" t="s">
        <v>33</v>
      </c>
      <c r="D518" s="32" t="s">
        <v>34</v>
      </c>
      <c r="E518" s="33"/>
      <c r="F518" s="33"/>
      <c r="G518" s="33"/>
      <c r="H518" s="33"/>
      <c r="I518" s="34" t="str">
        <f t="shared" si="8"/>
        <v>0/3</v>
      </c>
    </row>
    <row r="519" spans="1:9" x14ac:dyDescent="0.25">
      <c r="A519" s="30">
        <f>A508</f>
        <v>46468</v>
      </c>
      <c r="B519" s="31" t="s">
        <v>82</v>
      </c>
      <c r="C519" s="31" t="s">
        <v>35</v>
      </c>
      <c r="D519" s="32" t="s">
        <v>36</v>
      </c>
      <c r="E519" s="33"/>
      <c r="F519" s="33"/>
      <c r="G519" s="33"/>
      <c r="H519" s="33"/>
      <c r="I519" s="34" t="str">
        <f t="shared" si="8"/>
        <v>0/3</v>
      </c>
    </row>
    <row r="520" spans="1:9" x14ac:dyDescent="0.25">
      <c r="A520" s="30">
        <f>A508+7</f>
        <v>46475</v>
      </c>
      <c r="B520" s="31" t="s">
        <v>81</v>
      </c>
      <c r="C520" s="31" t="s">
        <v>24</v>
      </c>
      <c r="D520" s="32" t="s">
        <v>26</v>
      </c>
      <c r="E520" s="33"/>
      <c r="F520" s="33"/>
      <c r="G520" s="33"/>
      <c r="H520" s="33"/>
      <c r="I520" s="34" t="str">
        <f t="shared" si="8"/>
        <v>0/3</v>
      </c>
    </row>
    <row r="521" spans="1:9" ht="30" x14ac:dyDescent="0.25">
      <c r="A521" s="30">
        <f>A520</f>
        <v>46475</v>
      </c>
      <c r="B521" s="31" t="s">
        <v>81</v>
      </c>
      <c r="C521" s="31" t="s">
        <v>27</v>
      </c>
      <c r="D521" s="32" t="s">
        <v>28</v>
      </c>
      <c r="E521" s="33"/>
      <c r="F521" s="33"/>
      <c r="G521" s="33"/>
      <c r="H521" s="33"/>
      <c r="I521" s="34" t="str">
        <f t="shared" si="8"/>
        <v>0/3</v>
      </c>
    </row>
    <row r="522" spans="1:9" x14ac:dyDescent="0.25">
      <c r="A522" s="30">
        <f>A520</f>
        <v>46475</v>
      </c>
      <c r="B522" s="31" t="s">
        <v>81</v>
      </c>
      <c r="C522" s="31" t="s">
        <v>29</v>
      </c>
      <c r="D522" s="32" t="s">
        <v>30</v>
      </c>
      <c r="E522" s="33"/>
      <c r="F522" s="33"/>
      <c r="G522" s="33"/>
      <c r="H522" s="33"/>
      <c r="I522" s="34" t="str">
        <f t="shared" si="8"/>
        <v>0/3</v>
      </c>
    </row>
    <row r="523" spans="1:9" x14ac:dyDescent="0.25">
      <c r="A523" s="30">
        <f>A520</f>
        <v>46475</v>
      </c>
      <c r="B523" s="31" t="s">
        <v>81</v>
      </c>
      <c r="C523" s="31" t="s">
        <v>31</v>
      </c>
      <c r="D523" s="32" t="s">
        <v>32</v>
      </c>
      <c r="E523" s="33"/>
      <c r="F523" s="33"/>
      <c r="G523" s="33"/>
      <c r="H523" s="33"/>
      <c r="I523" s="34" t="str">
        <f t="shared" si="8"/>
        <v>0/3</v>
      </c>
    </row>
    <row r="524" spans="1:9" x14ac:dyDescent="0.25">
      <c r="A524" s="30">
        <f>A520</f>
        <v>46475</v>
      </c>
      <c r="B524" s="31" t="s">
        <v>81</v>
      </c>
      <c r="C524" s="31" t="s">
        <v>33</v>
      </c>
      <c r="D524" s="32" t="s">
        <v>34</v>
      </c>
      <c r="E524" s="33"/>
      <c r="F524" s="33"/>
      <c r="G524" s="33"/>
      <c r="H524" s="33"/>
      <c r="I524" s="34" t="str">
        <f t="shared" si="8"/>
        <v>0/3</v>
      </c>
    </row>
    <row r="525" spans="1:9" x14ac:dyDescent="0.25">
      <c r="A525" s="30">
        <f>A520</f>
        <v>46475</v>
      </c>
      <c r="B525" s="31" t="s">
        <v>81</v>
      </c>
      <c r="C525" s="31" t="s">
        <v>35</v>
      </c>
      <c r="D525" s="32" t="s">
        <v>36</v>
      </c>
      <c r="E525" s="33"/>
      <c r="F525" s="33"/>
      <c r="G525" s="33"/>
      <c r="H525" s="33"/>
      <c r="I525" s="34" t="str">
        <f t="shared" si="8"/>
        <v>0/3</v>
      </c>
    </row>
    <row r="526" spans="1:9" x14ac:dyDescent="0.25">
      <c r="A526" s="30">
        <f>A520</f>
        <v>46475</v>
      </c>
      <c r="B526" s="31" t="s">
        <v>82</v>
      </c>
      <c r="C526" s="31" t="s">
        <v>24</v>
      </c>
      <c r="D526" s="32" t="s">
        <v>26</v>
      </c>
      <c r="E526" s="33"/>
      <c r="F526" s="33"/>
      <c r="G526" s="33"/>
      <c r="H526" s="33"/>
      <c r="I526" s="34" t="str">
        <f t="shared" si="8"/>
        <v>0/3</v>
      </c>
    </row>
    <row r="527" spans="1:9" ht="30" x14ac:dyDescent="0.25">
      <c r="A527" s="30">
        <f>A520</f>
        <v>46475</v>
      </c>
      <c r="B527" s="31" t="s">
        <v>82</v>
      </c>
      <c r="C527" s="31" t="s">
        <v>27</v>
      </c>
      <c r="D527" s="32" t="s">
        <v>28</v>
      </c>
      <c r="E527" s="33"/>
      <c r="F527" s="33"/>
      <c r="G527" s="33"/>
      <c r="H527" s="33"/>
      <c r="I527" s="34" t="str">
        <f t="shared" si="8"/>
        <v>0/3</v>
      </c>
    </row>
    <row r="528" spans="1:9" x14ac:dyDescent="0.25">
      <c r="A528" s="30">
        <f>A520</f>
        <v>46475</v>
      </c>
      <c r="B528" s="31" t="s">
        <v>82</v>
      </c>
      <c r="C528" s="31" t="s">
        <v>29</v>
      </c>
      <c r="D528" s="32" t="s">
        <v>30</v>
      </c>
      <c r="E528" s="33"/>
      <c r="F528" s="33"/>
      <c r="G528" s="33"/>
      <c r="H528" s="33"/>
      <c r="I528" s="34" t="str">
        <f t="shared" si="8"/>
        <v>0/3</v>
      </c>
    </row>
    <row r="529" spans="1:9" x14ac:dyDescent="0.25">
      <c r="A529" s="30">
        <f>A520</f>
        <v>46475</v>
      </c>
      <c r="B529" s="31" t="s">
        <v>82</v>
      </c>
      <c r="C529" s="31" t="s">
        <v>31</v>
      </c>
      <c r="D529" s="32" t="s">
        <v>32</v>
      </c>
      <c r="E529" s="33"/>
      <c r="F529" s="33"/>
      <c r="G529" s="33"/>
      <c r="H529" s="33"/>
      <c r="I529" s="34" t="str">
        <f t="shared" si="8"/>
        <v>0/3</v>
      </c>
    </row>
    <row r="530" spans="1:9" x14ac:dyDescent="0.25">
      <c r="A530" s="30">
        <f>A520</f>
        <v>46475</v>
      </c>
      <c r="B530" s="31" t="s">
        <v>82</v>
      </c>
      <c r="C530" s="31" t="s">
        <v>33</v>
      </c>
      <c r="D530" s="32" t="s">
        <v>34</v>
      </c>
      <c r="E530" s="33"/>
      <c r="F530" s="33"/>
      <c r="G530" s="33"/>
      <c r="H530" s="33"/>
      <c r="I530" s="34" t="str">
        <f t="shared" si="8"/>
        <v>0/3</v>
      </c>
    </row>
    <row r="531" spans="1:9" x14ac:dyDescent="0.25">
      <c r="A531" s="30">
        <f>A520</f>
        <v>46475</v>
      </c>
      <c r="B531" s="31" t="s">
        <v>82</v>
      </c>
      <c r="C531" s="31" t="s">
        <v>35</v>
      </c>
      <c r="D531" s="32" t="s">
        <v>36</v>
      </c>
      <c r="E531" s="33"/>
      <c r="F531" s="33"/>
      <c r="G531" s="33"/>
      <c r="H531" s="33"/>
      <c r="I531" s="34" t="str">
        <f t="shared" si="8"/>
        <v>0/3</v>
      </c>
    </row>
    <row r="532" spans="1:9" x14ac:dyDescent="0.25">
      <c r="A532" s="30">
        <f>A520+7</f>
        <v>46482</v>
      </c>
      <c r="B532" s="31" t="s">
        <v>81</v>
      </c>
      <c r="C532" s="31" t="s">
        <v>24</v>
      </c>
      <c r="D532" s="32" t="s">
        <v>26</v>
      </c>
      <c r="E532" s="33"/>
      <c r="F532" s="33"/>
      <c r="G532" s="33"/>
      <c r="H532" s="33"/>
      <c r="I532" s="34" t="str">
        <f t="shared" si="8"/>
        <v>0/3</v>
      </c>
    </row>
    <row r="533" spans="1:9" ht="30" x14ac:dyDescent="0.25">
      <c r="A533" s="30">
        <f>A532</f>
        <v>46482</v>
      </c>
      <c r="B533" s="31" t="s">
        <v>81</v>
      </c>
      <c r="C533" s="31" t="s">
        <v>27</v>
      </c>
      <c r="D533" s="32" t="s">
        <v>28</v>
      </c>
      <c r="E533" s="33"/>
      <c r="F533" s="33"/>
      <c r="G533" s="33"/>
      <c r="H533" s="33"/>
      <c r="I533" s="34" t="str">
        <f t="shared" si="8"/>
        <v>0/3</v>
      </c>
    </row>
    <row r="534" spans="1:9" x14ac:dyDescent="0.25">
      <c r="A534" s="30">
        <f>A532</f>
        <v>46482</v>
      </c>
      <c r="B534" s="31" t="s">
        <v>81</v>
      </c>
      <c r="C534" s="31" t="s">
        <v>29</v>
      </c>
      <c r="D534" s="32" t="s">
        <v>30</v>
      </c>
      <c r="E534" s="33"/>
      <c r="F534" s="33"/>
      <c r="G534" s="33"/>
      <c r="H534" s="33"/>
      <c r="I534" s="34" t="str">
        <f t="shared" si="8"/>
        <v>0/3</v>
      </c>
    </row>
    <row r="535" spans="1:9" x14ac:dyDescent="0.25">
      <c r="A535" s="30">
        <f>A532</f>
        <v>46482</v>
      </c>
      <c r="B535" s="31" t="s">
        <v>81</v>
      </c>
      <c r="C535" s="31" t="s">
        <v>31</v>
      </c>
      <c r="D535" s="32" t="s">
        <v>32</v>
      </c>
      <c r="E535" s="33"/>
      <c r="F535" s="33"/>
      <c r="G535" s="33"/>
      <c r="H535" s="33"/>
      <c r="I535" s="34" t="str">
        <f t="shared" si="8"/>
        <v>0/3</v>
      </c>
    </row>
    <row r="536" spans="1:9" x14ac:dyDescent="0.25">
      <c r="A536" s="30">
        <f>A532</f>
        <v>46482</v>
      </c>
      <c r="B536" s="31" t="s">
        <v>81</v>
      </c>
      <c r="C536" s="31" t="s">
        <v>33</v>
      </c>
      <c r="D536" s="32" t="s">
        <v>34</v>
      </c>
      <c r="E536" s="33"/>
      <c r="F536" s="33"/>
      <c r="G536" s="33"/>
      <c r="H536" s="33"/>
      <c r="I536" s="34" t="str">
        <f t="shared" si="8"/>
        <v>0/3</v>
      </c>
    </row>
    <row r="537" spans="1:9" x14ac:dyDescent="0.25">
      <c r="A537" s="30">
        <f>A532</f>
        <v>46482</v>
      </c>
      <c r="B537" s="31" t="s">
        <v>81</v>
      </c>
      <c r="C537" s="31" t="s">
        <v>35</v>
      </c>
      <c r="D537" s="32" t="s">
        <v>36</v>
      </c>
      <c r="E537" s="33"/>
      <c r="F537" s="33"/>
      <c r="G537" s="33"/>
      <c r="H537" s="33"/>
      <c r="I537" s="34" t="str">
        <f t="shared" si="8"/>
        <v>0/3</v>
      </c>
    </row>
    <row r="538" spans="1:9" x14ac:dyDescent="0.25">
      <c r="A538" s="30">
        <f>A532</f>
        <v>46482</v>
      </c>
      <c r="B538" s="31" t="s">
        <v>82</v>
      </c>
      <c r="C538" s="31" t="s">
        <v>24</v>
      </c>
      <c r="D538" s="32" t="s">
        <v>26</v>
      </c>
      <c r="E538" s="33"/>
      <c r="F538" s="33"/>
      <c r="G538" s="33"/>
      <c r="H538" s="33"/>
      <c r="I538" s="34" t="str">
        <f t="shared" si="8"/>
        <v>0/3</v>
      </c>
    </row>
    <row r="539" spans="1:9" ht="30" x14ac:dyDescent="0.25">
      <c r="A539" s="30">
        <f>A532</f>
        <v>46482</v>
      </c>
      <c r="B539" s="31" t="s">
        <v>82</v>
      </c>
      <c r="C539" s="31" t="s">
        <v>27</v>
      </c>
      <c r="D539" s="32" t="s">
        <v>28</v>
      </c>
      <c r="E539" s="33"/>
      <c r="F539" s="33"/>
      <c r="G539" s="33"/>
      <c r="H539" s="33"/>
      <c r="I539" s="34" t="str">
        <f t="shared" si="8"/>
        <v>0/3</v>
      </c>
    </row>
    <row r="540" spans="1:9" x14ac:dyDescent="0.25">
      <c r="A540" s="30">
        <f>A532</f>
        <v>46482</v>
      </c>
      <c r="B540" s="31" t="s">
        <v>82</v>
      </c>
      <c r="C540" s="31" t="s">
        <v>29</v>
      </c>
      <c r="D540" s="32" t="s">
        <v>30</v>
      </c>
      <c r="E540" s="33"/>
      <c r="F540" s="33"/>
      <c r="G540" s="33"/>
      <c r="H540" s="33"/>
      <c r="I540" s="34" t="str">
        <f t="shared" si="8"/>
        <v>0/3</v>
      </c>
    </row>
    <row r="541" spans="1:9" x14ac:dyDescent="0.25">
      <c r="A541" s="30">
        <f>A532</f>
        <v>46482</v>
      </c>
      <c r="B541" s="31" t="s">
        <v>82</v>
      </c>
      <c r="C541" s="31" t="s">
        <v>31</v>
      </c>
      <c r="D541" s="32" t="s">
        <v>32</v>
      </c>
      <c r="E541" s="33"/>
      <c r="F541" s="33"/>
      <c r="G541" s="33"/>
      <c r="H541" s="33"/>
      <c r="I541" s="34" t="str">
        <f t="shared" si="8"/>
        <v>0/3</v>
      </c>
    </row>
    <row r="542" spans="1:9" x14ac:dyDescent="0.25">
      <c r="A542" s="30">
        <f>A532</f>
        <v>46482</v>
      </c>
      <c r="B542" s="31" t="s">
        <v>82</v>
      </c>
      <c r="C542" s="31" t="s">
        <v>33</v>
      </c>
      <c r="D542" s="32" t="s">
        <v>34</v>
      </c>
      <c r="E542" s="33"/>
      <c r="F542" s="33"/>
      <c r="G542" s="33"/>
      <c r="H542" s="33"/>
      <c r="I542" s="34" t="str">
        <f t="shared" si="8"/>
        <v>0/3</v>
      </c>
    </row>
    <row r="543" spans="1:9" x14ac:dyDescent="0.25">
      <c r="A543" s="30">
        <f>A532</f>
        <v>46482</v>
      </c>
      <c r="B543" s="31" t="s">
        <v>82</v>
      </c>
      <c r="C543" s="31" t="s">
        <v>35</v>
      </c>
      <c r="D543" s="32" t="s">
        <v>36</v>
      </c>
      <c r="E543" s="33"/>
      <c r="F543" s="33"/>
      <c r="G543" s="33"/>
      <c r="H543" s="33"/>
      <c r="I543" s="34" t="str">
        <f t="shared" si="8"/>
        <v>0/3</v>
      </c>
    </row>
    <row r="544" spans="1:9" x14ac:dyDescent="0.25">
      <c r="A544" s="30">
        <f>A532+7</f>
        <v>46489</v>
      </c>
      <c r="B544" s="31" t="s">
        <v>81</v>
      </c>
      <c r="C544" s="31" t="s">
        <v>24</v>
      </c>
      <c r="D544" s="32" t="s">
        <v>26</v>
      </c>
      <c r="E544" s="33"/>
      <c r="F544" s="33"/>
      <c r="G544" s="33"/>
      <c r="H544" s="33"/>
      <c r="I544" s="34" t="str">
        <f t="shared" si="8"/>
        <v>0/3</v>
      </c>
    </row>
    <row r="545" spans="1:9" ht="30" x14ac:dyDescent="0.25">
      <c r="A545" s="30">
        <f>A544</f>
        <v>46489</v>
      </c>
      <c r="B545" s="31" t="s">
        <v>81</v>
      </c>
      <c r="C545" s="31" t="s">
        <v>27</v>
      </c>
      <c r="D545" s="32" t="s">
        <v>28</v>
      </c>
      <c r="E545" s="33"/>
      <c r="F545" s="33"/>
      <c r="G545" s="33"/>
      <c r="H545" s="33"/>
      <c r="I545" s="34" t="str">
        <f t="shared" si="8"/>
        <v>0/3</v>
      </c>
    </row>
    <row r="546" spans="1:9" x14ac:dyDescent="0.25">
      <c r="A546" s="30">
        <f>A544</f>
        <v>46489</v>
      </c>
      <c r="B546" s="31" t="s">
        <v>81</v>
      </c>
      <c r="C546" s="31" t="s">
        <v>29</v>
      </c>
      <c r="D546" s="32" t="s">
        <v>30</v>
      </c>
      <c r="E546" s="33"/>
      <c r="F546" s="33"/>
      <c r="G546" s="33"/>
      <c r="H546" s="33"/>
      <c r="I546" s="34" t="str">
        <f t="shared" si="8"/>
        <v>0/3</v>
      </c>
    </row>
    <row r="547" spans="1:9" x14ac:dyDescent="0.25">
      <c r="A547" s="30">
        <f>A544</f>
        <v>46489</v>
      </c>
      <c r="B547" s="31" t="s">
        <v>81</v>
      </c>
      <c r="C547" s="31" t="s">
        <v>31</v>
      </c>
      <c r="D547" s="32" t="s">
        <v>32</v>
      </c>
      <c r="E547" s="33"/>
      <c r="F547" s="33"/>
      <c r="G547" s="33"/>
      <c r="H547" s="33"/>
      <c r="I547" s="34" t="str">
        <f t="shared" si="8"/>
        <v>0/3</v>
      </c>
    </row>
    <row r="548" spans="1:9" x14ac:dyDescent="0.25">
      <c r="A548" s="30">
        <f>A544</f>
        <v>46489</v>
      </c>
      <c r="B548" s="31" t="s">
        <v>81</v>
      </c>
      <c r="C548" s="31" t="s">
        <v>33</v>
      </c>
      <c r="D548" s="32" t="s">
        <v>34</v>
      </c>
      <c r="E548" s="33"/>
      <c r="F548" s="33"/>
      <c r="G548" s="33"/>
      <c r="H548" s="33"/>
      <c r="I548" s="34" t="str">
        <f t="shared" si="8"/>
        <v>0/3</v>
      </c>
    </row>
    <row r="549" spans="1:9" x14ac:dyDescent="0.25">
      <c r="A549" s="30">
        <f>A544</f>
        <v>46489</v>
      </c>
      <c r="B549" s="31" t="s">
        <v>81</v>
      </c>
      <c r="C549" s="31" t="s">
        <v>35</v>
      </c>
      <c r="D549" s="32" t="s">
        <v>36</v>
      </c>
      <c r="E549" s="33"/>
      <c r="F549" s="33"/>
      <c r="G549" s="33"/>
      <c r="H549" s="33"/>
      <c r="I549" s="34" t="str">
        <f t="shared" si="8"/>
        <v>0/3</v>
      </c>
    </row>
    <row r="550" spans="1:9" x14ac:dyDescent="0.25">
      <c r="A550" s="30">
        <f>A544</f>
        <v>46489</v>
      </c>
      <c r="B550" s="31" t="s">
        <v>82</v>
      </c>
      <c r="C550" s="31" t="s">
        <v>24</v>
      </c>
      <c r="D550" s="32" t="s">
        <v>26</v>
      </c>
      <c r="E550" s="33"/>
      <c r="F550" s="33"/>
      <c r="G550" s="33"/>
      <c r="H550" s="33"/>
      <c r="I550" s="34" t="str">
        <f t="shared" si="8"/>
        <v>0/3</v>
      </c>
    </row>
    <row r="551" spans="1:9" ht="30" x14ac:dyDescent="0.25">
      <c r="A551" s="30">
        <f>A544</f>
        <v>46489</v>
      </c>
      <c r="B551" s="31" t="s">
        <v>82</v>
      </c>
      <c r="C551" s="31" t="s">
        <v>27</v>
      </c>
      <c r="D551" s="32" t="s">
        <v>28</v>
      </c>
      <c r="E551" s="33"/>
      <c r="F551" s="33"/>
      <c r="G551" s="33"/>
      <c r="H551" s="33"/>
      <c r="I551" s="34" t="str">
        <f t="shared" si="8"/>
        <v>0/3</v>
      </c>
    </row>
    <row r="552" spans="1:9" x14ac:dyDescent="0.25">
      <c r="A552" s="30">
        <f>A544</f>
        <v>46489</v>
      </c>
      <c r="B552" s="31" t="s">
        <v>82</v>
      </c>
      <c r="C552" s="31" t="s">
        <v>29</v>
      </c>
      <c r="D552" s="32" t="s">
        <v>30</v>
      </c>
      <c r="E552" s="33"/>
      <c r="F552" s="33"/>
      <c r="G552" s="33"/>
      <c r="H552" s="33"/>
      <c r="I552" s="34" t="str">
        <f t="shared" si="8"/>
        <v>0/3</v>
      </c>
    </row>
    <row r="553" spans="1:9" x14ac:dyDescent="0.25">
      <c r="A553" s="30">
        <f>A544</f>
        <v>46489</v>
      </c>
      <c r="B553" s="31" t="s">
        <v>82</v>
      </c>
      <c r="C553" s="31" t="s">
        <v>31</v>
      </c>
      <c r="D553" s="32" t="s">
        <v>32</v>
      </c>
      <c r="E553" s="33"/>
      <c r="F553" s="33"/>
      <c r="G553" s="33"/>
      <c r="H553" s="33"/>
      <c r="I553" s="34" t="str">
        <f t="shared" si="8"/>
        <v>0/3</v>
      </c>
    </row>
    <row r="554" spans="1:9" x14ac:dyDescent="0.25">
      <c r="A554" s="30">
        <f>A544</f>
        <v>46489</v>
      </c>
      <c r="B554" s="31" t="s">
        <v>82</v>
      </c>
      <c r="C554" s="31" t="s">
        <v>33</v>
      </c>
      <c r="D554" s="32" t="s">
        <v>34</v>
      </c>
      <c r="E554" s="33"/>
      <c r="F554" s="33"/>
      <c r="G554" s="33"/>
      <c r="H554" s="33"/>
      <c r="I554" s="34" t="str">
        <f t="shared" si="8"/>
        <v>0/3</v>
      </c>
    </row>
    <row r="555" spans="1:9" x14ac:dyDescent="0.25">
      <c r="A555" s="30">
        <f>A544</f>
        <v>46489</v>
      </c>
      <c r="B555" s="31" t="s">
        <v>82</v>
      </c>
      <c r="C555" s="31" t="s">
        <v>35</v>
      </c>
      <c r="D555" s="32" t="s">
        <v>36</v>
      </c>
      <c r="E555" s="33"/>
      <c r="F555" s="33"/>
      <c r="G555" s="33"/>
      <c r="H555" s="33"/>
      <c r="I555" s="34" t="str">
        <f t="shared" si="8"/>
        <v>0/3</v>
      </c>
    </row>
    <row r="556" spans="1:9" x14ac:dyDescent="0.25">
      <c r="A556" s="30">
        <f>A544+7</f>
        <v>46496</v>
      </c>
      <c r="B556" s="31" t="s">
        <v>81</v>
      </c>
      <c r="C556" s="31" t="s">
        <v>24</v>
      </c>
      <c r="D556" s="32" t="s">
        <v>26</v>
      </c>
      <c r="E556" s="33"/>
      <c r="F556" s="33"/>
      <c r="G556" s="33"/>
      <c r="H556" s="33"/>
      <c r="I556" s="34" t="str">
        <f t="shared" si="8"/>
        <v>0/3</v>
      </c>
    </row>
    <row r="557" spans="1:9" ht="30" x14ac:dyDescent="0.25">
      <c r="A557" s="30">
        <f>A556</f>
        <v>46496</v>
      </c>
      <c r="B557" s="31" t="s">
        <v>81</v>
      </c>
      <c r="C557" s="31" t="s">
        <v>27</v>
      </c>
      <c r="D557" s="32" t="s">
        <v>28</v>
      </c>
      <c r="E557" s="33"/>
      <c r="F557" s="33"/>
      <c r="G557" s="33"/>
      <c r="H557" s="33"/>
      <c r="I557" s="34" t="str">
        <f t="shared" si="8"/>
        <v>0/3</v>
      </c>
    </row>
    <row r="558" spans="1:9" x14ac:dyDescent="0.25">
      <c r="A558" s="30">
        <f>A556</f>
        <v>46496</v>
      </c>
      <c r="B558" s="31" t="s">
        <v>81</v>
      </c>
      <c r="C558" s="31" t="s">
        <v>29</v>
      </c>
      <c r="D558" s="32" t="s">
        <v>30</v>
      </c>
      <c r="E558" s="33"/>
      <c r="F558" s="33"/>
      <c r="G558" s="33"/>
      <c r="H558" s="33"/>
      <c r="I558" s="34" t="str">
        <f t="shared" si="8"/>
        <v>0/3</v>
      </c>
    </row>
    <row r="559" spans="1:9" x14ac:dyDescent="0.25">
      <c r="A559" s="30">
        <f>A556</f>
        <v>46496</v>
      </c>
      <c r="B559" s="31" t="s">
        <v>81</v>
      </c>
      <c r="C559" s="31" t="s">
        <v>31</v>
      </c>
      <c r="D559" s="32" t="s">
        <v>32</v>
      </c>
      <c r="E559" s="33"/>
      <c r="F559" s="33"/>
      <c r="G559" s="33"/>
      <c r="H559" s="33"/>
      <c r="I559" s="34" t="str">
        <f t="shared" si="8"/>
        <v>0/3</v>
      </c>
    </row>
    <row r="560" spans="1:9" x14ac:dyDescent="0.25">
      <c r="A560" s="30">
        <f>A556</f>
        <v>46496</v>
      </c>
      <c r="B560" s="31" t="s">
        <v>81</v>
      </c>
      <c r="C560" s="31" t="s">
        <v>33</v>
      </c>
      <c r="D560" s="32" t="s">
        <v>34</v>
      </c>
      <c r="E560" s="33"/>
      <c r="F560" s="33"/>
      <c r="G560" s="33"/>
      <c r="H560" s="33"/>
      <c r="I560" s="34" t="str">
        <f t="shared" si="8"/>
        <v>0/3</v>
      </c>
    </row>
    <row r="561" spans="1:9" x14ac:dyDescent="0.25">
      <c r="A561" s="30">
        <f>A556</f>
        <v>46496</v>
      </c>
      <c r="B561" s="31" t="s">
        <v>81</v>
      </c>
      <c r="C561" s="31" t="s">
        <v>35</v>
      </c>
      <c r="D561" s="32" t="s">
        <v>36</v>
      </c>
      <c r="E561" s="33"/>
      <c r="F561" s="33"/>
      <c r="G561" s="33"/>
      <c r="H561" s="33"/>
      <c r="I561" s="34" t="str">
        <f t="shared" si="8"/>
        <v>0/3</v>
      </c>
    </row>
    <row r="562" spans="1:9" x14ac:dyDescent="0.25">
      <c r="A562" s="30">
        <f>A556</f>
        <v>46496</v>
      </c>
      <c r="B562" s="31" t="s">
        <v>82</v>
      </c>
      <c r="C562" s="31" t="s">
        <v>24</v>
      </c>
      <c r="D562" s="32" t="s">
        <v>26</v>
      </c>
      <c r="E562" s="33"/>
      <c r="F562" s="33"/>
      <c r="G562" s="33"/>
      <c r="H562" s="33"/>
      <c r="I562" s="34" t="str">
        <f t="shared" si="8"/>
        <v>0/3</v>
      </c>
    </row>
    <row r="563" spans="1:9" ht="30" x14ac:dyDescent="0.25">
      <c r="A563" s="30">
        <f>A556</f>
        <v>46496</v>
      </c>
      <c r="B563" s="31" t="s">
        <v>82</v>
      </c>
      <c r="C563" s="31" t="s">
        <v>27</v>
      </c>
      <c r="D563" s="32" t="s">
        <v>28</v>
      </c>
      <c r="E563" s="33"/>
      <c r="F563" s="33"/>
      <c r="G563" s="33"/>
      <c r="H563" s="33"/>
      <c r="I563" s="34" t="str">
        <f t="shared" si="8"/>
        <v>0/3</v>
      </c>
    </row>
    <row r="564" spans="1:9" x14ac:dyDescent="0.25">
      <c r="A564" s="30">
        <f>A556</f>
        <v>46496</v>
      </c>
      <c r="B564" s="31" t="s">
        <v>82</v>
      </c>
      <c r="C564" s="31" t="s">
        <v>29</v>
      </c>
      <c r="D564" s="32" t="s">
        <v>30</v>
      </c>
      <c r="E564" s="33"/>
      <c r="F564" s="33"/>
      <c r="G564" s="33"/>
      <c r="H564" s="33"/>
      <c r="I564" s="34" t="str">
        <f t="shared" si="8"/>
        <v>0/3</v>
      </c>
    </row>
    <row r="565" spans="1:9" x14ac:dyDescent="0.25">
      <c r="A565" s="30">
        <f>A556</f>
        <v>46496</v>
      </c>
      <c r="B565" s="31" t="s">
        <v>82</v>
      </c>
      <c r="C565" s="31" t="s">
        <v>31</v>
      </c>
      <c r="D565" s="32" t="s">
        <v>32</v>
      </c>
      <c r="E565" s="33"/>
      <c r="F565" s="33"/>
      <c r="G565" s="33"/>
      <c r="H565" s="33"/>
      <c r="I565" s="34" t="str">
        <f t="shared" si="8"/>
        <v>0/3</v>
      </c>
    </row>
    <row r="566" spans="1:9" x14ac:dyDescent="0.25">
      <c r="A566" s="30">
        <f>A556</f>
        <v>46496</v>
      </c>
      <c r="B566" s="31" t="s">
        <v>82</v>
      </c>
      <c r="C566" s="31" t="s">
        <v>33</v>
      </c>
      <c r="D566" s="32" t="s">
        <v>34</v>
      </c>
      <c r="E566" s="33"/>
      <c r="F566" s="33"/>
      <c r="G566" s="33"/>
      <c r="H566" s="33"/>
      <c r="I566" s="34" t="str">
        <f t="shared" si="8"/>
        <v>0/3</v>
      </c>
    </row>
    <row r="567" spans="1:9" x14ac:dyDescent="0.25">
      <c r="A567" s="30">
        <f>A556</f>
        <v>46496</v>
      </c>
      <c r="B567" s="31" t="s">
        <v>82</v>
      </c>
      <c r="C567" s="31" t="s">
        <v>35</v>
      </c>
      <c r="D567" s="32" t="s">
        <v>36</v>
      </c>
      <c r="E567" s="33"/>
      <c r="F567" s="33"/>
      <c r="G567" s="33"/>
      <c r="H567" s="33"/>
      <c r="I567" s="34" t="str">
        <f t="shared" si="8"/>
        <v>0/3</v>
      </c>
    </row>
    <row r="568" spans="1:9" x14ac:dyDescent="0.25">
      <c r="A568" s="30">
        <f>A556+7</f>
        <v>46503</v>
      </c>
      <c r="B568" s="31" t="s">
        <v>81</v>
      </c>
      <c r="C568" s="31" t="s">
        <v>24</v>
      </c>
      <c r="D568" s="32" t="s">
        <v>26</v>
      </c>
      <c r="E568" s="33"/>
      <c r="F568" s="33"/>
      <c r="G568" s="33"/>
      <c r="H568" s="33"/>
      <c r="I568" s="34" t="str">
        <f t="shared" si="8"/>
        <v>0/3</v>
      </c>
    </row>
    <row r="569" spans="1:9" ht="30" x14ac:dyDescent="0.25">
      <c r="A569" s="30">
        <f>A568</f>
        <v>46503</v>
      </c>
      <c r="B569" s="31" t="s">
        <v>81</v>
      </c>
      <c r="C569" s="31" t="s">
        <v>27</v>
      </c>
      <c r="D569" s="32" t="s">
        <v>28</v>
      </c>
      <c r="E569" s="33"/>
      <c r="F569" s="33"/>
      <c r="G569" s="33"/>
      <c r="H569" s="33"/>
      <c r="I569" s="34" t="str">
        <f t="shared" si="8"/>
        <v>0/3</v>
      </c>
    </row>
    <row r="570" spans="1:9" x14ac:dyDescent="0.25">
      <c r="A570" s="30">
        <f>A568</f>
        <v>46503</v>
      </c>
      <c r="B570" s="31" t="s">
        <v>81</v>
      </c>
      <c r="C570" s="31" t="s">
        <v>29</v>
      </c>
      <c r="D570" s="32" t="s">
        <v>30</v>
      </c>
      <c r="E570" s="33"/>
      <c r="F570" s="33"/>
      <c r="G570" s="33"/>
      <c r="H570" s="33"/>
      <c r="I570" s="34" t="str">
        <f t="shared" si="8"/>
        <v>0/3</v>
      </c>
    </row>
    <row r="571" spans="1:9" x14ac:dyDescent="0.25">
      <c r="A571" s="30">
        <f>A568</f>
        <v>46503</v>
      </c>
      <c r="B571" s="31" t="s">
        <v>81</v>
      </c>
      <c r="C571" s="31" t="s">
        <v>31</v>
      </c>
      <c r="D571" s="32" t="s">
        <v>32</v>
      </c>
      <c r="E571" s="33"/>
      <c r="F571" s="33"/>
      <c r="G571" s="33"/>
      <c r="H571" s="33"/>
      <c r="I571" s="34" t="str">
        <f t="shared" si="8"/>
        <v>0/3</v>
      </c>
    </row>
    <row r="572" spans="1:9" x14ac:dyDescent="0.25">
      <c r="A572" s="30">
        <f>A568</f>
        <v>46503</v>
      </c>
      <c r="B572" s="31" t="s">
        <v>81</v>
      </c>
      <c r="C572" s="31" t="s">
        <v>33</v>
      </c>
      <c r="D572" s="32" t="s">
        <v>34</v>
      </c>
      <c r="E572" s="33"/>
      <c r="F572" s="33"/>
      <c r="G572" s="33"/>
      <c r="H572" s="33"/>
      <c r="I572" s="34" t="str">
        <f t="shared" si="8"/>
        <v>0/3</v>
      </c>
    </row>
    <row r="573" spans="1:9" x14ac:dyDescent="0.25">
      <c r="A573" s="30">
        <f>A568</f>
        <v>46503</v>
      </c>
      <c r="B573" s="31" t="s">
        <v>81</v>
      </c>
      <c r="C573" s="31" t="s">
        <v>35</v>
      </c>
      <c r="D573" s="32" t="s">
        <v>36</v>
      </c>
      <c r="E573" s="33"/>
      <c r="F573" s="33"/>
      <c r="G573" s="33"/>
      <c r="H573" s="33"/>
      <c r="I573" s="34" t="str">
        <f t="shared" si="8"/>
        <v>0/3</v>
      </c>
    </row>
    <row r="574" spans="1:9" x14ac:dyDescent="0.25">
      <c r="A574" s="30">
        <f>A568</f>
        <v>46503</v>
      </c>
      <c r="B574" s="31" t="s">
        <v>82</v>
      </c>
      <c r="C574" s="31" t="s">
        <v>24</v>
      </c>
      <c r="D574" s="32" t="s">
        <v>26</v>
      </c>
      <c r="E574" s="33"/>
      <c r="F574" s="33"/>
      <c r="G574" s="33"/>
      <c r="H574" s="33"/>
      <c r="I574" s="34" t="str">
        <f t="shared" si="8"/>
        <v>0/3</v>
      </c>
    </row>
    <row r="575" spans="1:9" ht="30" x14ac:dyDescent="0.25">
      <c r="A575" s="30">
        <f>A568</f>
        <v>46503</v>
      </c>
      <c r="B575" s="31" t="s">
        <v>82</v>
      </c>
      <c r="C575" s="31" t="s">
        <v>27</v>
      </c>
      <c r="D575" s="32" t="s">
        <v>28</v>
      </c>
      <c r="E575" s="33"/>
      <c r="F575" s="33"/>
      <c r="G575" s="33"/>
      <c r="H575" s="33"/>
      <c r="I575" s="34" t="str">
        <f t="shared" si="8"/>
        <v>0/3</v>
      </c>
    </row>
    <row r="576" spans="1:9" x14ac:dyDescent="0.25">
      <c r="A576" s="30">
        <f>A568</f>
        <v>46503</v>
      </c>
      <c r="B576" s="31" t="s">
        <v>82</v>
      </c>
      <c r="C576" s="31" t="s">
        <v>29</v>
      </c>
      <c r="D576" s="32" t="s">
        <v>30</v>
      </c>
      <c r="E576" s="33"/>
      <c r="F576" s="33"/>
      <c r="G576" s="33"/>
      <c r="H576" s="33"/>
      <c r="I576" s="34" t="str">
        <f t="shared" si="8"/>
        <v>0/3</v>
      </c>
    </row>
    <row r="577" spans="1:9" x14ac:dyDescent="0.25">
      <c r="A577" s="30">
        <f>A568</f>
        <v>46503</v>
      </c>
      <c r="B577" s="31" t="s">
        <v>82</v>
      </c>
      <c r="C577" s="31" t="s">
        <v>31</v>
      </c>
      <c r="D577" s="32" t="s">
        <v>32</v>
      </c>
      <c r="E577" s="33"/>
      <c r="F577" s="33"/>
      <c r="G577" s="33"/>
      <c r="H577" s="33"/>
      <c r="I577" s="34" t="str">
        <f t="shared" si="8"/>
        <v>0/3</v>
      </c>
    </row>
    <row r="578" spans="1:9" x14ac:dyDescent="0.25">
      <c r="A578" s="30">
        <f>A568</f>
        <v>46503</v>
      </c>
      <c r="B578" s="31" t="s">
        <v>82</v>
      </c>
      <c r="C578" s="31" t="s">
        <v>33</v>
      </c>
      <c r="D578" s="32" t="s">
        <v>34</v>
      </c>
      <c r="E578" s="33"/>
      <c r="F578" s="33"/>
      <c r="G578" s="33"/>
      <c r="H578" s="33"/>
      <c r="I578" s="34" t="str">
        <f t="shared" si="8"/>
        <v>0/3</v>
      </c>
    </row>
    <row r="579" spans="1:9" x14ac:dyDescent="0.25">
      <c r="A579" s="30">
        <f>A568</f>
        <v>46503</v>
      </c>
      <c r="B579" s="31" t="s">
        <v>82</v>
      </c>
      <c r="C579" s="31" t="s">
        <v>35</v>
      </c>
      <c r="D579" s="32" t="s">
        <v>36</v>
      </c>
      <c r="E579" s="33"/>
      <c r="F579" s="33"/>
      <c r="G579" s="33"/>
      <c r="H579" s="33"/>
      <c r="I579" s="34" t="str">
        <f t="shared" si="8"/>
        <v>0/3</v>
      </c>
    </row>
  </sheetData>
  <mergeCells count="2">
    <mergeCell ref="A1:I1"/>
    <mergeCell ref="A2:I2"/>
  </mergeCells>
  <conditionalFormatting sqref="A4:I579">
    <cfRule type="expression" dxfId="78" priority="1">
      <formula>AND($A4&lt;=TODAY(),$A4+6&gt;=TODAY())</formula>
    </cfRule>
  </conditionalFormatting>
  <dataValidations count="1">
    <dataValidation type="decimal" operator="greaterThanOrEqual" sqref="E4:H579" xr:uid="{00000000-0002-0000-0100-000000000000}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675"/>
  <sheetViews>
    <sheetView zoomScale="85" zoomScaleNormal="85" workbookViewId="0">
      <pane xSplit="4" ySplit="3" topLeftCell="E181" activePane="bottomRight" state="frozen"/>
      <selection pane="topRight"/>
      <selection pane="bottomLeft"/>
      <selection pane="bottomRight" activeCell="E3" sqref="E1:J1048576"/>
    </sheetView>
  </sheetViews>
  <sheetFormatPr defaultRowHeight="15" x14ac:dyDescent="0.25"/>
  <cols>
    <col min="1" max="2" width="12" style="66" customWidth="1"/>
    <col min="3" max="3" width="8" style="66" customWidth="1"/>
    <col min="4" max="4" width="38" style="66" customWidth="1"/>
    <col min="5" max="8" width="12" style="66" customWidth="1"/>
    <col min="9" max="9" width="8" style="66" customWidth="1"/>
  </cols>
  <sheetData>
    <row r="1" spans="1:9" x14ac:dyDescent="0.25">
      <c r="A1" s="73" t="s">
        <v>83</v>
      </c>
      <c r="B1" s="74"/>
      <c r="C1" s="74"/>
      <c r="D1" s="74"/>
      <c r="E1" s="74"/>
      <c r="F1" s="74"/>
      <c r="G1" s="74"/>
      <c r="H1" s="74"/>
      <c r="I1" s="74"/>
    </row>
    <row r="2" spans="1:9" x14ac:dyDescent="0.25">
      <c r="A2" s="76" t="s">
        <v>72</v>
      </c>
      <c r="B2" s="74"/>
      <c r="C2" s="74"/>
      <c r="D2" s="74"/>
      <c r="E2" s="74"/>
      <c r="F2" s="74"/>
      <c r="G2" s="74"/>
      <c r="H2" s="74"/>
      <c r="I2" s="74"/>
    </row>
    <row r="3" spans="1:9" x14ac:dyDescent="0.25">
      <c r="A3" s="69" t="s">
        <v>73</v>
      </c>
      <c r="B3" s="69" t="s">
        <v>74</v>
      </c>
      <c r="C3" s="69" t="s">
        <v>1</v>
      </c>
      <c r="D3" s="69" t="s">
        <v>75</v>
      </c>
      <c r="E3" s="69" t="s">
        <v>76</v>
      </c>
      <c r="F3" s="69" t="s">
        <v>77</v>
      </c>
      <c r="G3" s="69" t="s">
        <v>78</v>
      </c>
      <c r="H3" s="69" t="s">
        <v>79</v>
      </c>
      <c r="I3" s="69" t="s">
        <v>80</v>
      </c>
    </row>
    <row r="4" spans="1:9" x14ac:dyDescent="0.25">
      <c r="A4" s="30">
        <f>СПРАВОЧНИК!$B$35</f>
        <v>46174</v>
      </c>
      <c r="B4" s="31" t="s">
        <v>81</v>
      </c>
      <c r="C4" s="31" t="s">
        <v>37</v>
      </c>
      <c r="D4" s="32" t="s">
        <v>39</v>
      </c>
      <c r="E4" s="33"/>
      <c r="F4" s="33"/>
      <c r="G4" s="33"/>
      <c r="H4" s="33"/>
      <c r="I4" s="34" t="str">
        <f t="shared" ref="I4:I10" si="0">COUNTA(E4:G4)&amp;"/3"</f>
        <v>0/3</v>
      </c>
    </row>
    <row r="5" spans="1:9" ht="30" x14ac:dyDescent="0.25">
      <c r="A5" s="30">
        <f>A4</f>
        <v>46174</v>
      </c>
      <c r="B5" s="31" t="s">
        <v>81</v>
      </c>
      <c r="C5" s="31" t="s">
        <v>40</v>
      </c>
      <c r="D5" s="32" t="s">
        <v>41</v>
      </c>
      <c r="E5" s="33"/>
      <c r="F5" s="33"/>
      <c r="G5" s="33"/>
      <c r="H5" s="33"/>
      <c r="I5" s="34" t="str">
        <f t="shared" si="0"/>
        <v>0/3</v>
      </c>
    </row>
    <row r="6" spans="1:9" x14ac:dyDescent="0.25">
      <c r="A6" s="30">
        <f>A4</f>
        <v>46174</v>
      </c>
      <c r="B6" s="31" t="s">
        <v>81</v>
      </c>
      <c r="C6" s="31" t="s">
        <v>42</v>
      </c>
      <c r="D6" s="32" t="s">
        <v>43</v>
      </c>
      <c r="E6" s="33"/>
      <c r="F6" s="33"/>
      <c r="G6" s="33"/>
      <c r="H6" s="33"/>
      <c r="I6" s="34" t="str">
        <f t="shared" si="0"/>
        <v>0/3</v>
      </c>
    </row>
    <row r="7" spans="1:9" x14ac:dyDescent="0.25">
      <c r="A7" s="30">
        <f>A4</f>
        <v>46174</v>
      </c>
      <c r="B7" s="31" t="s">
        <v>81</v>
      </c>
      <c r="C7" s="31" t="s">
        <v>44</v>
      </c>
      <c r="D7" s="32" t="s">
        <v>45</v>
      </c>
      <c r="E7" s="33"/>
      <c r="F7" s="33"/>
      <c r="G7" s="33"/>
      <c r="H7" s="33"/>
      <c r="I7" s="34" t="str">
        <f t="shared" si="0"/>
        <v>0/3</v>
      </c>
    </row>
    <row r="8" spans="1:9" x14ac:dyDescent="0.25">
      <c r="A8" s="30">
        <f>A4</f>
        <v>46174</v>
      </c>
      <c r="B8" s="31" t="s">
        <v>81</v>
      </c>
      <c r="C8" s="31" t="s">
        <v>46</v>
      </c>
      <c r="D8" s="32" t="s">
        <v>47</v>
      </c>
      <c r="E8" s="33"/>
      <c r="F8" s="33"/>
      <c r="G8" s="33"/>
      <c r="H8" s="33"/>
      <c r="I8" s="34" t="str">
        <f t="shared" si="0"/>
        <v>0/3</v>
      </c>
    </row>
    <row r="9" spans="1:9" x14ac:dyDescent="0.25">
      <c r="A9" s="30">
        <f>A4</f>
        <v>46174</v>
      </c>
      <c r="B9" s="31" t="s">
        <v>81</v>
      </c>
      <c r="C9" s="31" t="s">
        <v>48</v>
      </c>
      <c r="D9" s="32" t="s">
        <v>49</v>
      </c>
      <c r="E9" s="33"/>
      <c r="F9" s="33"/>
      <c r="G9" s="33"/>
      <c r="H9" s="33"/>
      <c r="I9" s="34" t="str">
        <f t="shared" si="0"/>
        <v>0/3</v>
      </c>
    </row>
    <row r="10" spans="1:9" x14ac:dyDescent="0.25">
      <c r="A10" s="30">
        <f>A4</f>
        <v>46174</v>
      </c>
      <c r="B10" s="31" t="s">
        <v>81</v>
      </c>
      <c r="C10" s="31" t="s">
        <v>50</v>
      </c>
      <c r="D10" s="32" t="s">
        <v>51</v>
      </c>
      <c r="E10" s="33"/>
      <c r="F10" s="33"/>
      <c r="G10" s="33"/>
      <c r="H10" s="33"/>
      <c r="I10" s="34" t="str">
        <f t="shared" si="0"/>
        <v>0/3</v>
      </c>
    </row>
    <row r="11" spans="1:9" x14ac:dyDescent="0.25">
      <c r="A11" s="30">
        <f>A4</f>
        <v>46174</v>
      </c>
      <c r="B11" s="31" t="s">
        <v>82</v>
      </c>
      <c r="C11" s="31" t="s">
        <v>37</v>
      </c>
      <c r="D11" s="32" t="s">
        <v>39</v>
      </c>
      <c r="E11" s="33"/>
      <c r="F11" s="33"/>
      <c r="G11" s="33"/>
      <c r="H11" s="33"/>
      <c r="I11" s="34" t="str">
        <f>COUNTA(E11:H11)&amp;"/4"</f>
        <v>0/4</v>
      </c>
    </row>
    <row r="12" spans="1:9" ht="30" x14ac:dyDescent="0.25">
      <c r="A12" s="30">
        <f>A4</f>
        <v>46174</v>
      </c>
      <c r="B12" s="31" t="s">
        <v>82</v>
      </c>
      <c r="C12" s="31" t="s">
        <v>40</v>
      </c>
      <c r="D12" s="32" t="s">
        <v>41</v>
      </c>
      <c r="E12" s="33"/>
      <c r="F12" s="33"/>
      <c r="G12" s="33"/>
      <c r="H12" s="33"/>
      <c r="I12" s="34" t="str">
        <f t="shared" ref="I12:I24" si="1">COUNTA(E12:G12)&amp;"/3"</f>
        <v>0/3</v>
      </c>
    </row>
    <row r="13" spans="1:9" x14ac:dyDescent="0.25">
      <c r="A13" s="30">
        <f>A4</f>
        <v>46174</v>
      </c>
      <c r="B13" s="31" t="s">
        <v>82</v>
      </c>
      <c r="C13" s="31" t="s">
        <v>42</v>
      </c>
      <c r="D13" s="32" t="s">
        <v>43</v>
      </c>
      <c r="E13" s="33"/>
      <c r="F13" s="33"/>
      <c r="G13" s="33"/>
      <c r="H13" s="33"/>
      <c r="I13" s="34" t="str">
        <f t="shared" si="1"/>
        <v>0/3</v>
      </c>
    </row>
    <row r="14" spans="1:9" x14ac:dyDescent="0.25">
      <c r="A14" s="30">
        <f>A4</f>
        <v>46174</v>
      </c>
      <c r="B14" s="31" t="s">
        <v>82</v>
      </c>
      <c r="C14" s="31" t="s">
        <v>44</v>
      </c>
      <c r="D14" s="32" t="s">
        <v>45</v>
      </c>
      <c r="E14" s="33"/>
      <c r="F14" s="33"/>
      <c r="G14" s="33"/>
      <c r="H14" s="33"/>
      <c r="I14" s="34" t="str">
        <f t="shared" si="1"/>
        <v>0/3</v>
      </c>
    </row>
    <row r="15" spans="1:9" x14ac:dyDescent="0.25">
      <c r="A15" s="30">
        <f>A4</f>
        <v>46174</v>
      </c>
      <c r="B15" s="31" t="s">
        <v>82</v>
      </c>
      <c r="C15" s="31" t="s">
        <v>46</v>
      </c>
      <c r="D15" s="32" t="s">
        <v>47</v>
      </c>
      <c r="E15" s="33"/>
      <c r="F15" s="33"/>
      <c r="G15" s="33"/>
      <c r="H15" s="33"/>
      <c r="I15" s="34" t="str">
        <f t="shared" si="1"/>
        <v>0/3</v>
      </c>
    </row>
    <row r="16" spans="1:9" x14ac:dyDescent="0.25">
      <c r="A16" s="30">
        <f>A4</f>
        <v>46174</v>
      </c>
      <c r="B16" s="31" t="s">
        <v>82</v>
      </c>
      <c r="C16" s="31" t="s">
        <v>48</v>
      </c>
      <c r="D16" s="32" t="s">
        <v>49</v>
      </c>
      <c r="E16" s="33"/>
      <c r="F16" s="33"/>
      <c r="G16" s="33"/>
      <c r="H16" s="33"/>
      <c r="I16" s="34" t="str">
        <f t="shared" si="1"/>
        <v>0/3</v>
      </c>
    </row>
    <row r="17" spans="1:9" x14ac:dyDescent="0.25">
      <c r="A17" s="30">
        <f>A4</f>
        <v>46174</v>
      </c>
      <c r="B17" s="31" t="s">
        <v>82</v>
      </c>
      <c r="C17" s="31" t="s">
        <v>50</v>
      </c>
      <c r="D17" s="32" t="s">
        <v>51</v>
      </c>
      <c r="E17" s="33"/>
      <c r="F17" s="33"/>
      <c r="G17" s="33"/>
      <c r="H17" s="33"/>
      <c r="I17" s="34" t="str">
        <f t="shared" si="1"/>
        <v>0/3</v>
      </c>
    </row>
    <row r="18" spans="1:9" x14ac:dyDescent="0.25">
      <c r="A18" s="30">
        <f>A4+7</f>
        <v>46181</v>
      </c>
      <c r="B18" s="31" t="s">
        <v>81</v>
      </c>
      <c r="C18" s="31" t="s">
        <v>37</v>
      </c>
      <c r="D18" s="32" t="s">
        <v>39</v>
      </c>
      <c r="E18" s="33"/>
      <c r="F18" s="33"/>
      <c r="G18" s="33"/>
      <c r="H18" s="33"/>
      <c r="I18" s="34" t="str">
        <f t="shared" si="1"/>
        <v>0/3</v>
      </c>
    </row>
    <row r="19" spans="1:9" ht="30" x14ac:dyDescent="0.25">
      <c r="A19" s="30">
        <f>A18</f>
        <v>46181</v>
      </c>
      <c r="B19" s="31" t="s">
        <v>81</v>
      </c>
      <c r="C19" s="31" t="s">
        <v>40</v>
      </c>
      <c r="D19" s="32" t="s">
        <v>41</v>
      </c>
      <c r="E19" s="33"/>
      <c r="F19" s="33"/>
      <c r="G19" s="33"/>
      <c r="H19" s="33"/>
      <c r="I19" s="34" t="str">
        <f t="shared" si="1"/>
        <v>0/3</v>
      </c>
    </row>
    <row r="20" spans="1:9" x14ac:dyDescent="0.25">
      <c r="A20" s="30">
        <f>A18</f>
        <v>46181</v>
      </c>
      <c r="B20" s="31" t="s">
        <v>81</v>
      </c>
      <c r="C20" s="31" t="s">
        <v>42</v>
      </c>
      <c r="D20" s="32" t="s">
        <v>43</v>
      </c>
      <c r="E20" s="33"/>
      <c r="F20" s="33"/>
      <c r="G20" s="33"/>
      <c r="H20" s="33"/>
      <c r="I20" s="34" t="str">
        <f t="shared" si="1"/>
        <v>0/3</v>
      </c>
    </row>
    <row r="21" spans="1:9" x14ac:dyDescent="0.25">
      <c r="A21" s="30">
        <f>A18</f>
        <v>46181</v>
      </c>
      <c r="B21" s="31" t="s">
        <v>81</v>
      </c>
      <c r="C21" s="31" t="s">
        <v>44</v>
      </c>
      <c r="D21" s="32" t="s">
        <v>45</v>
      </c>
      <c r="E21" s="33"/>
      <c r="F21" s="33"/>
      <c r="G21" s="33"/>
      <c r="H21" s="33"/>
      <c r="I21" s="34" t="str">
        <f t="shared" si="1"/>
        <v>0/3</v>
      </c>
    </row>
    <row r="22" spans="1:9" x14ac:dyDescent="0.25">
      <c r="A22" s="30">
        <f>A18</f>
        <v>46181</v>
      </c>
      <c r="B22" s="31" t="s">
        <v>81</v>
      </c>
      <c r="C22" s="31" t="s">
        <v>46</v>
      </c>
      <c r="D22" s="32" t="s">
        <v>47</v>
      </c>
      <c r="E22" s="33"/>
      <c r="F22" s="33"/>
      <c r="G22" s="33"/>
      <c r="H22" s="33"/>
      <c r="I22" s="34" t="str">
        <f t="shared" si="1"/>
        <v>0/3</v>
      </c>
    </row>
    <row r="23" spans="1:9" x14ac:dyDescent="0.25">
      <c r="A23" s="30">
        <f>A18</f>
        <v>46181</v>
      </c>
      <c r="B23" s="31" t="s">
        <v>81</v>
      </c>
      <c r="C23" s="31" t="s">
        <v>48</v>
      </c>
      <c r="D23" s="32" t="s">
        <v>49</v>
      </c>
      <c r="E23" s="33"/>
      <c r="F23" s="33"/>
      <c r="G23" s="33"/>
      <c r="H23" s="33"/>
      <c r="I23" s="34" t="str">
        <f t="shared" si="1"/>
        <v>0/3</v>
      </c>
    </row>
    <row r="24" spans="1:9" x14ac:dyDescent="0.25">
      <c r="A24" s="30">
        <f>A18</f>
        <v>46181</v>
      </c>
      <c r="B24" s="31" t="s">
        <v>81</v>
      </c>
      <c r="C24" s="31" t="s">
        <v>50</v>
      </c>
      <c r="D24" s="32" t="s">
        <v>51</v>
      </c>
      <c r="E24" s="33"/>
      <c r="F24" s="33"/>
      <c r="G24" s="33"/>
      <c r="H24" s="33"/>
      <c r="I24" s="34" t="str">
        <f t="shared" si="1"/>
        <v>0/3</v>
      </c>
    </row>
    <row r="25" spans="1:9" x14ac:dyDescent="0.25">
      <c r="A25" s="30">
        <f>A18</f>
        <v>46181</v>
      </c>
      <c r="B25" s="31" t="s">
        <v>82</v>
      </c>
      <c r="C25" s="31" t="s">
        <v>37</v>
      </c>
      <c r="D25" s="32" t="s">
        <v>39</v>
      </c>
      <c r="E25" s="33"/>
      <c r="F25" s="33"/>
      <c r="G25" s="33"/>
      <c r="H25" s="33"/>
      <c r="I25" s="34" t="str">
        <f>COUNTA(E25:H25)&amp;"/4"</f>
        <v>0/4</v>
      </c>
    </row>
    <row r="26" spans="1:9" ht="30" x14ac:dyDescent="0.25">
      <c r="A26" s="30">
        <f>A18</f>
        <v>46181</v>
      </c>
      <c r="B26" s="31" t="s">
        <v>82</v>
      </c>
      <c r="C26" s="31" t="s">
        <v>40</v>
      </c>
      <c r="D26" s="32" t="s">
        <v>41</v>
      </c>
      <c r="E26" s="33"/>
      <c r="F26" s="33"/>
      <c r="G26" s="33"/>
      <c r="H26" s="33"/>
      <c r="I26" s="34" t="str">
        <f t="shared" ref="I26:I38" si="2">COUNTA(E26:G26)&amp;"/3"</f>
        <v>0/3</v>
      </c>
    </row>
    <row r="27" spans="1:9" x14ac:dyDescent="0.25">
      <c r="A27" s="30">
        <f>A18</f>
        <v>46181</v>
      </c>
      <c r="B27" s="31" t="s">
        <v>82</v>
      </c>
      <c r="C27" s="31" t="s">
        <v>42</v>
      </c>
      <c r="D27" s="32" t="s">
        <v>43</v>
      </c>
      <c r="E27" s="33"/>
      <c r="F27" s="33"/>
      <c r="G27" s="33"/>
      <c r="H27" s="33"/>
      <c r="I27" s="34" t="str">
        <f t="shared" si="2"/>
        <v>0/3</v>
      </c>
    </row>
    <row r="28" spans="1:9" x14ac:dyDescent="0.25">
      <c r="A28" s="30">
        <f>A18</f>
        <v>46181</v>
      </c>
      <c r="B28" s="31" t="s">
        <v>82</v>
      </c>
      <c r="C28" s="31" t="s">
        <v>44</v>
      </c>
      <c r="D28" s="32" t="s">
        <v>45</v>
      </c>
      <c r="E28" s="33"/>
      <c r="F28" s="33"/>
      <c r="G28" s="33"/>
      <c r="H28" s="33"/>
      <c r="I28" s="34" t="str">
        <f t="shared" si="2"/>
        <v>0/3</v>
      </c>
    </row>
    <row r="29" spans="1:9" x14ac:dyDescent="0.25">
      <c r="A29" s="30">
        <f>A18</f>
        <v>46181</v>
      </c>
      <c r="B29" s="31" t="s">
        <v>82</v>
      </c>
      <c r="C29" s="31" t="s">
        <v>46</v>
      </c>
      <c r="D29" s="32" t="s">
        <v>47</v>
      </c>
      <c r="E29" s="33"/>
      <c r="F29" s="33"/>
      <c r="G29" s="33"/>
      <c r="H29" s="33"/>
      <c r="I29" s="34" t="str">
        <f t="shared" si="2"/>
        <v>0/3</v>
      </c>
    </row>
    <row r="30" spans="1:9" x14ac:dyDescent="0.25">
      <c r="A30" s="30">
        <f>A18</f>
        <v>46181</v>
      </c>
      <c r="B30" s="31" t="s">
        <v>82</v>
      </c>
      <c r="C30" s="31" t="s">
        <v>48</v>
      </c>
      <c r="D30" s="32" t="s">
        <v>49</v>
      </c>
      <c r="E30" s="33"/>
      <c r="F30" s="33"/>
      <c r="G30" s="33"/>
      <c r="H30" s="33"/>
      <c r="I30" s="34" t="str">
        <f t="shared" si="2"/>
        <v>0/3</v>
      </c>
    </row>
    <row r="31" spans="1:9" x14ac:dyDescent="0.25">
      <c r="A31" s="30">
        <f>A18</f>
        <v>46181</v>
      </c>
      <c r="B31" s="31" t="s">
        <v>82</v>
      </c>
      <c r="C31" s="31" t="s">
        <v>50</v>
      </c>
      <c r="D31" s="32" t="s">
        <v>51</v>
      </c>
      <c r="E31" s="33"/>
      <c r="F31" s="33"/>
      <c r="G31" s="33"/>
      <c r="H31" s="33"/>
      <c r="I31" s="34" t="str">
        <f t="shared" si="2"/>
        <v>0/3</v>
      </c>
    </row>
    <row r="32" spans="1:9" x14ac:dyDescent="0.25">
      <c r="A32" s="30">
        <f>A18+7</f>
        <v>46188</v>
      </c>
      <c r="B32" s="31" t="s">
        <v>81</v>
      </c>
      <c r="C32" s="31" t="s">
        <v>37</v>
      </c>
      <c r="D32" s="32" t="s">
        <v>39</v>
      </c>
      <c r="E32" s="33"/>
      <c r="F32" s="33"/>
      <c r="G32" s="33"/>
      <c r="H32" s="33"/>
      <c r="I32" s="34" t="str">
        <f t="shared" si="2"/>
        <v>0/3</v>
      </c>
    </row>
    <row r="33" spans="1:9" ht="30" x14ac:dyDescent="0.25">
      <c r="A33" s="30">
        <f>A32</f>
        <v>46188</v>
      </c>
      <c r="B33" s="31" t="s">
        <v>81</v>
      </c>
      <c r="C33" s="31" t="s">
        <v>40</v>
      </c>
      <c r="D33" s="32" t="s">
        <v>41</v>
      </c>
      <c r="E33" s="33"/>
      <c r="F33" s="33"/>
      <c r="G33" s="33"/>
      <c r="H33" s="33"/>
      <c r="I33" s="34" t="str">
        <f t="shared" si="2"/>
        <v>0/3</v>
      </c>
    </row>
    <row r="34" spans="1:9" x14ac:dyDescent="0.25">
      <c r="A34" s="30">
        <f>A32</f>
        <v>46188</v>
      </c>
      <c r="B34" s="31" t="s">
        <v>81</v>
      </c>
      <c r="C34" s="31" t="s">
        <v>42</v>
      </c>
      <c r="D34" s="32" t="s">
        <v>43</v>
      </c>
      <c r="E34" s="33"/>
      <c r="F34" s="33"/>
      <c r="G34" s="33"/>
      <c r="H34" s="33"/>
      <c r="I34" s="34" t="str">
        <f t="shared" si="2"/>
        <v>0/3</v>
      </c>
    </row>
    <row r="35" spans="1:9" x14ac:dyDescent="0.25">
      <c r="A35" s="30">
        <f>A32</f>
        <v>46188</v>
      </c>
      <c r="B35" s="31" t="s">
        <v>81</v>
      </c>
      <c r="C35" s="31" t="s">
        <v>44</v>
      </c>
      <c r="D35" s="32" t="s">
        <v>45</v>
      </c>
      <c r="E35" s="33"/>
      <c r="F35" s="33"/>
      <c r="G35" s="33"/>
      <c r="H35" s="33"/>
      <c r="I35" s="34" t="str">
        <f t="shared" si="2"/>
        <v>0/3</v>
      </c>
    </row>
    <row r="36" spans="1:9" x14ac:dyDescent="0.25">
      <c r="A36" s="30">
        <f>A32</f>
        <v>46188</v>
      </c>
      <c r="B36" s="31" t="s">
        <v>81</v>
      </c>
      <c r="C36" s="31" t="s">
        <v>46</v>
      </c>
      <c r="D36" s="32" t="s">
        <v>47</v>
      </c>
      <c r="E36" s="33"/>
      <c r="F36" s="33"/>
      <c r="G36" s="33"/>
      <c r="H36" s="33"/>
      <c r="I36" s="34" t="str">
        <f t="shared" si="2"/>
        <v>0/3</v>
      </c>
    </row>
    <row r="37" spans="1:9" x14ac:dyDescent="0.25">
      <c r="A37" s="30">
        <f>A32</f>
        <v>46188</v>
      </c>
      <c r="B37" s="31" t="s">
        <v>81</v>
      </c>
      <c r="C37" s="31" t="s">
        <v>48</v>
      </c>
      <c r="D37" s="32" t="s">
        <v>49</v>
      </c>
      <c r="E37" s="33"/>
      <c r="F37" s="33"/>
      <c r="G37" s="33"/>
      <c r="H37" s="33"/>
      <c r="I37" s="34" t="str">
        <f t="shared" si="2"/>
        <v>0/3</v>
      </c>
    </row>
    <row r="38" spans="1:9" x14ac:dyDescent="0.25">
      <c r="A38" s="30">
        <f>A32</f>
        <v>46188</v>
      </c>
      <c r="B38" s="31" t="s">
        <v>81</v>
      </c>
      <c r="C38" s="31" t="s">
        <v>50</v>
      </c>
      <c r="D38" s="32" t="s">
        <v>51</v>
      </c>
      <c r="E38" s="33"/>
      <c r="F38" s="33"/>
      <c r="G38" s="33"/>
      <c r="H38" s="33"/>
      <c r="I38" s="34" t="str">
        <f t="shared" si="2"/>
        <v>0/3</v>
      </c>
    </row>
    <row r="39" spans="1:9" x14ac:dyDescent="0.25">
      <c r="A39" s="30">
        <f>A32</f>
        <v>46188</v>
      </c>
      <c r="B39" s="31" t="s">
        <v>82</v>
      </c>
      <c r="C39" s="31" t="s">
        <v>37</v>
      </c>
      <c r="D39" s="32" t="s">
        <v>39</v>
      </c>
      <c r="E39" s="33"/>
      <c r="F39" s="33"/>
      <c r="G39" s="33"/>
      <c r="H39" s="33"/>
      <c r="I39" s="34" t="str">
        <f>COUNTA(E39:H39)&amp;"/4"</f>
        <v>0/4</v>
      </c>
    </row>
    <row r="40" spans="1:9" ht="30" x14ac:dyDescent="0.25">
      <c r="A40" s="30">
        <f>A32</f>
        <v>46188</v>
      </c>
      <c r="B40" s="31" t="s">
        <v>82</v>
      </c>
      <c r="C40" s="31" t="s">
        <v>40</v>
      </c>
      <c r="D40" s="32" t="s">
        <v>41</v>
      </c>
      <c r="E40" s="33"/>
      <c r="F40" s="33"/>
      <c r="G40" s="33"/>
      <c r="H40" s="33"/>
      <c r="I40" s="34" t="str">
        <f t="shared" ref="I40:I52" si="3">COUNTA(E40:G40)&amp;"/3"</f>
        <v>0/3</v>
      </c>
    </row>
    <row r="41" spans="1:9" x14ac:dyDescent="0.25">
      <c r="A41" s="30">
        <f>A32</f>
        <v>46188</v>
      </c>
      <c r="B41" s="31" t="s">
        <v>82</v>
      </c>
      <c r="C41" s="31" t="s">
        <v>42</v>
      </c>
      <c r="D41" s="32" t="s">
        <v>43</v>
      </c>
      <c r="E41" s="33"/>
      <c r="F41" s="33"/>
      <c r="G41" s="33"/>
      <c r="H41" s="33"/>
      <c r="I41" s="34" t="str">
        <f t="shared" si="3"/>
        <v>0/3</v>
      </c>
    </row>
    <row r="42" spans="1:9" x14ac:dyDescent="0.25">
      <c r="A42" s="30">
        <f>A32</f>
        <v>46188</v>
      </c>
      <c r="B42" s="31" t="s">
        <v>82</v>
      </c>
      <c r="C42" s="31" t="s">
        <v>44</v>
      </c>
      <c r="D42" s="32" t="s">
        <v>45</v>
      </c>
      <c r="E42" s="33"/>
      <c r="F42" s="33"/>
      <c r="G42" s="33"/>
      <c r="H42" s="33"/>
      <c r="I42" s="34" t="str">
        <f t="shared" si="3"/>
        <v>0/3</v>
      </c>
    </row>
    <row r="43" spans="1:9" x14ac:dyDescent="0.25">
      <c r="A43" s="30">
        <f>A32</f>
        <v>46188</v>
      </c>
      <c r="B43" s="31" t="s">
        <v>82</v>
      </c>
      <c r="C43" s="31" t="s">
        <v>46</v>
      </c>
      <c r="D43" s="32" t="s">
        <v>47</v>
      </c>
      <c r="E43" s="33"/>
      <c r="F43" s="33"/>
      <c r="G43" s="33"/>
      <c r="H43" s="33"/>
      <c r="I43" s="34" t="str">
        <f t="shared" si="3"/>
        <v>0/3</v>
      </c>
    </row>
    <row r="44" spans="1:9" x14ac:dyDescent="0.25">
      <c r="A44" s="30">
        <f>A32</f>
        <v>46188</v>
      </c>
      <c r="B44" s="31" t="s">
        <v>82</v>
      </c>
      <c r="C44" s="31" t="s">
        <v>48</v>
      </c>
      <c r="D44" s="32" t="s">
        <v>49</v>
      </c>
      <c r="E44" s="33"/>
      <c r="F44" s="33"/>
      <c r="G44" s="33"/>
      <c r="H44" s="33"/>
      <c r="I44" s="34" t="str">
        <f t="shared" si="3"/>
        <v>0/3</v>
      </c>
    </row>
    <row r="45" spans="1:9" x14ac:dyDescent="0.25">
      <c r="A45" s="30">
        <f>A32</f>
        <v>46188</v>
      </c>
      <c r="B45" s="31" t="s">
        <v>82</v>
      </c>
      <c r="C45" s="31" t="s">
        <v>50</v>
      </c>
      <c r="D45" s="32" t="s">
        <v>51</v>
      </c>
      <c r="E45" s="33"/>
      <c r="F45" s="33"/>
      <c r="G45" s="33"/>
      <c r="H45" s="33"/>
      <c r="I45" s="34" t="str">
        <f t="shared" si="3"/>
        <v>0/3</v>
      </c>
    </row>
    <row r="46" spans="1:9" x14ac:dyDescent="0.25">
      <c r="A46" s="30">
        <f>A32+7</f>
        <v>46195</v>
      </c>
      <c r="B46" s="31" t="s">
        <v>81</v>
      </c>
      <c r="C46" s="31" t="s">
        <v>37</v>
      </c>
      <c r="D46" s="32" t="s">
        <v>39</v>
      </c>
      <c r="E46" s="33"/>
      <c r="F46" s="33"/>
      <c r="G46" s="33"/>
      <c r="H46" s="33"/>
      <c r="I46" s="34" t="str">
        <f t="shared" si="3"/>
        <v>0/3</v>
      </c>
    </row>
    <row r="47" spans="1:9" ht="30" x14ac:dyDescent="0.25">
      <c r="A47" s="30">
        <f>A46</f>
        <v>46195</v>
      </c>
      <c r="B47" s="31" t="s">
        <v>81</v>
      </c>
      <c r="C47" s="31" t="s">
        <v>40</v>
      </c>
      <c r="D47" s="32" t="s">
        <v>41</v>
      </c>
      <c r="E47" s="33"/>
      <c r="F47" s="33"/>
      <c r="G47" s="33"/>
      <c r="H47" s="33"/>
      <c r="I47" s="34" t="str">
        <f t="shared" si="3"/>
        <v>0/3</v>
      </c>
    </row>
    <row r="48" spans="1:9" x14ac:dyDescent="0.25">
      <c r="A48" s="30">
        <f>A46</f>
        <v>46195</v>
      </c>
      <c r="B48" s="31" t="s">
        <v>81</v>
      </c>
      <c r="C48" s="31" t="s">
        <v>42</v>
      </c>
      <c r="D48" s="32" t="s">
        <v>43</v>
      </c>
      <c r="E48" s="33"/>
      <c r="F48" s="33"/>
      <c r="G48" s="33"/>
      <c r="H48" s="33"/>
      <c r="I48" s="34" t="str">
        <f t="shared" si="3"/>
        <v>0/3</v>
      </c>
    </row>
    <row r="49" spans="1:9" x14ac:dyDescent="0.25">
      <c r="A49" s="30">
        <f>A46</f>
        <v>46195</v>
      </c>
      <c r="B49" s="31" t="s">
        <v>81</v>
      </c>
      <c r="C49" s="31" t="s">
        <v>44</v>
      </c>
      <c r="D49" s="32" t="s">
        <v>45</v>
      </c>
      <c r="E49" s="33"/>
      <c r="F49" s="33"/>
      <c r="G49" s="33"/>
      <c r="H49" s="33"/>
      <c r="I49" s="34" t="str">
        <f t="shared" si="3"/>
        <v>0/3</v>
      </c>
    </row>
    <row r="50" spans="1:9" x14ac:dyDescent="0.25">
      <c r="A50" s="30">
        <f>A46</f>
        <v>46195</v>
      </c>
      <c r="B50" s="31" t="s">
        <v>81</v>
      </c>
      <c r="C50" s="31" t="s">
        <v>46</v>
      </c>
      <c r="D50" s="32" t="s">
        <v>47</v>
      </c>
      <c r="E50" s="33"/>
      <c r="F50" s="33"/>
      <c r="G50" s="33"/>
      <c r="H50" s="33"/>
      <c r="I50" s="34" t="str">
        <f t="shared" si="3"/>
        <v>0/3</v>
      </c>
    </row>
    <row r="51" spans="1:9" x14ac:dyDescent="0.25">
      <c r="A51" s="30">
        <f>A46</f>
        <v>46195</v>
      </c>
      <c r="B51" s="31" t="s">
        <v>81</v>
      </c>
      <c r="C51" s="31" t="s">
        <v>48</v>
      </c>
      <c r="D51" s="32" t="s">
        <v>49</v>
      </c>
      <c r="E51" s="33"/>
      <c r="F51" s="33"/>
      <c r="G51" s="33"/>
      <c r="H51" s="33"/>
      <c r="I51" s="34" t="str">
        <f t="shared" si="3"/>
        <v>0/3</v>
      </c>
    </row>
    <row r="52" spans="1:9" x14ac:dyDescent="0.25">
      <c r="A52" s="30">
        <f>A46</f>
        <v>46195</v>
      </c>
      <c r="B52" s="31" t="s">
        <v>81</v>
      </c>
      <c r="C52" s="31" t="s">
        <v>50</v>
      </c>
      <c r="D52" s="32" t="s">
        <v>51</v>
      </c>
      <c r="E52" s="33"/>
      <c r="F52" s="33"/>
      <c r="G52" s="33"/>
      <c r="H52" s="33"/>
      <c r="I52" s="34" t="str">
        <f t="shared" si="3"/>
        <v>0/3</v>
      </c>
    </row>
    <row r="53" spans="1:9" x14ac:dyDescent="0.25">
      <c r="A53" s="30">
        <f>A46</f>
        <v>46195</v>
      </c>
      <c r="B53" s="31" t="s">
        <v>82</v>
      </c>
      <c r="C53" s="31" t="s">
        <v>37</v>
      </c>
      <c r="D53" s="32" t="s">
        <v>39</v>
      </c>
      <c r="E53" s="33"/>
      <c r="F53" s="33"/>
      <c r="G53" s="33"/>
      <c r="H53" s="33"/>
      <c r="I53" s="34" t="str">
        <f>COUNTA(E53:H53)&amp;"/4"</f>
        <v>0/4</v>
      </c>
    </row>
    <row r="54" spans="1:9" ht="30" x14ac:dyDescent="0.25">
      <c r="A54" s="30">
        <f>A46</f>
        <v>46195</v>
      </c>
      <c r="B54" s="31" t="s">
        <v>82</v>
      </c>
      <c r="C54" s="31" t="s">
        <v>40</v>
      </c>
      <c r="D54" s="32" t="s">
        <v>41</v>
      </c>
      <c r="E54" s="33"/>
      <c r="F54" s="33"/>
      <c r="G54" s="33"/>
      <c r="H54" s="33"/>
      <c r="I54" s="34" t="str">
        <f t="shared" ref="I54:I66" si="4">COUNTA(E54:G54)&amp;"/3"</f>
        <v>0/3</v>
      </c>
    </row>
    <row r="55" spans="1:9" x14ac:dyDescent="0.25">
      <c r="A55" s="30">
        <f>A46</f>
        <v>46195</v>
      </c>
      <c r="B55" s="31" t="s">
        <v>82</v>
      </c>
      <c r="C55" s="31" t="s">
        <v>42</v>
      </c>
      <c r="D55" s="32" t="s">
        <v>43</v>
      </c>
      <c r="E55" s="33"/>
      <c r="F55" s="33"/>
      <c r="G55" s="33"/>
      <c r="H55" s="33"/>
      <c r="I55" s="34" t="str">
        <f t="shared" si="4"/>
        <v>0/3</v>
      </c>
    </row>
    <row r="56" spans="1:9" x14ac:dyDescent="0.25">
      <c r="A56" s="30">
        <f>A46</f>
        <v>46195</v>
      </c>
      <c r="B56" s="31" t="s">
        <v>82</v>
      </c>
      <c r="C56" s="31" t="s">
        <v>44</v>
      </c>
      <c r="D56" s="32" t="s">
        <v>45</v>
      </c>
      <c r="E56" s="33"/>
      <c r="F56" s="33"/>
      <c r="G56" s="33"/>
      <c r="H56" s="33"/>
      <c r="I56" s="34" t="str">
        <f t="shared" si="4"/>
        <v>0/3</v>
      </c>
    </row>
    <row r="57" spans="1:9" x14ac:dyDescent="0.25">
      <c r="A57" s="30">
        <f>A46</f>
        <v>46195</v>
      </c>
      <c r="B57" s="31" t="s">
        <v>82</v>
      </c>
      <c r="C57" s="31" t="s">
        <v>46</v>
      </c>
      <c r="D57" s="32" t="s">
        <v>47</v>
      </c>
      <c r="E57" s="33"/>
      <c r="F57" s="33"/>
      <c r="G57" s="33"/>
      <c r="H57" s="33"/>
      <c r="I57" s="34" t="str">
        <f t="shared" si="4"/>
        <v>0/3</v>
      </c>
    </row>
    <row r="58" spans="1:9" x14ac:dyDescent="0.25">
      <c r="A58" s="30">
        <f>A46</f>
        <v>46195</v>
      </c>
      <c r="B58" s="31" t="s">
        <v>82</v>
      </c>
      <c r="C58" s="31" t="s">
        <v>48</v>
      </c>
      <c r="D58" s="32" t="s">
        <v>49</v>
      </c>
      <c r="E58" s="33"/>
      <c r="F58" s="33"/>
      <c r="G58" s="33"/>
      <c r="H58" s="33"/>
      <c r="I58" s="34" t="str">
        <f t="shared" si="4"/>
        <v>0/3</v>
      </c>
    </row>
    <row r="59" spans="1:9" x14ac:dyDescent="0.25">
      <c r="A59" s="30">
        <f>A46</f>
        <v>46195</v>
      </c>
      <c r="B59" s="31" t="s">
        <v>82</v>
      </c>
      <c r="C59" s="31" t="s">
        <v>50</v>
      </c>
      <c r="D59" s="32" t="s">
        <v>51</v>
      </c>
      <c r="E59" s="33"/>
      <c r="F59" s="33"/>
      <c r="G59" s="33"/>
      <c r="H59" s="33"/>
      <c r="I59" s="34" t="str">
        <f t="shared" si="4"/>
        <v>0/3</v>
      </c>
    </row>
    <row r="60" spans="1:9" x14ac:dyDescent="0.25">
      <c r="A60" s="30">
        <f>A46+7</f>
        <v>46202</v>
      </c>
      <c r="B60" s="31" t="s">
        <v>81</v>
      </c>
      <c r="C60" s="31" t="s">
        <v>37</v>
      </c>
      <c r="D60" s="32" t="s">
        <v>39</v>
      </c>
      <c r="E60" s="33"/>
      <c r="F60" s="33"/>
      <c r="G60" s="33"/>
      <c r="H60" s="33"/>
      <c r="I60" s="34" t="str">
        <f t="shared" si="4"/>
        <v>0/3</v>
      </c>
    </row>
    <row r="61" spans="1:9" ht="30" x14ac:dyDescent="0.25">
      <c r="A61" s="30">
        <f>A60</f>
        <v>46202</v>
      </c>
      <c r="B61" s="31" t="s">
        <v>81</v>
      </c>
      <c r="C61" s="31" t="s">
        <v>40</v>
      </c>
      <c r="D61" s="32" t="s">
        <v>41</v>
      </c>
      <c r="E61" s="33"/>
      <c r="F61" s="33"/>
      <c r="G61" s="33"/>
      <c r="H61" s="33"/>
      <c r="I61" s="34" t="str">
        <f t="shared" si="4"/>
        <v>0/3</v>
      </c>
    </row>
    <row r="62" spans="1:9" x14ac:dyDescent="0.25">
      <c r="A62" s="30">
        <f>A60</f>
        <v>46202</v>
      </c>
      <c r="B62" s="31" t="s">
        <v>81</v>
      </c>
      <c r="C62" s="31" t="s">
        <v>42</v>
      </c>
      <c r="D62" s="32" t="s">
        <v>43</v>
      </c>
      <c r="E62" s="33"/>
      <c r="F62" s="33"/>
      <c r="G62" s="33"/>
      <c r="H62" s="33"/>
      <c r="I62" s="34" t="str">
        <f t="shared" si="4"/>
        <v>0/3</v>
      </c>
    </row>
    <row r="63" spans="1:9" x14ac:dyDescent="0.25">
      <c r="A63" s="30">
        <f>A60</f>
        <v>46202</v>
      </c>
      <c r="B63" s="31" t="s">
        <v>81</v>
      </c>
      <c r="C63" s="31" t="s">
        <v>44</v>
      </c>
      <c r="D63" s="32" t="s">
        <v>45</v>
      </c>
      <c r="E63" s="33"/>
      <c r="F63" s="33"/>
      <c r="G63" s="33"/>
      <c r="H63" s="33"/>
      <c r="I63" s="34" t="str">
        <f t="shared" si="4"/>
        <v>0/3</v>
      </c>
    </row>
    <row r="64" spans="1:9" x14ac:dyDescent="0.25">
      <c r="A64" s="30">
        <f>A60</f>
        <v>46202</v>
      </c>
      <c r="B64" s="31" t="s">
        <v>81</v>
      </c>
      <c r="C64" s="31" t="s">
        <v>46</v>
      </c>
      <c r="D64" s="32" t="s">
        <v>47</v>
      </c>
      <c r="E64" s="33"/>
      <c r="F64" s="33"/>
      <c r="G64" s="33"/>
      <c r="H64" s="33"/>
      <c r="I64" s="34" t="str">
        <f t="shared" si="4"/>
        <v>0/3</v>
      </c>
    </row>
    <row r="65" spans="1:9" x14ac:dyDescent="0.25">
      <c r="A65" s="30">
        <f>A60</f>
        <v>46202</v>
      </c>
      <c r="B65" s="31" t="s">
        <v>81</v>
      </c>
      <c r="C65" s="31" t="s">
        <v>48</v>
      </c>
      <c r="D65" s="32" t="s">
        <v>49</v>
      </c>
      <c r="E65" s="33"/>
      <c r="F65" s="33"/>
      <c r="G65" s="33"/>
      <c r="H65" s="33"/>
      <c r="I65" s="34" t="str">
        <f t="shared" si="4"/>
        <v>0/3</v>
      </c>
    </row>
    <row r="66" spans="1:9" x14ac:dyDescent="0.25">
      <c r="A66" s="30">
        <f>A60</f>
        <v>46202</v>
      </c>
      <c r="B66" s="31" t="s">
        <v>81</v>
      </c>
      <c r="C66" s="31" t="s">
        <v>50</v>
      </c>
      <c r="D66" s="32" t="s">
        <v>51</v>
      </c>
      <c r="E66" s="33"/>
      <c r="F66" s="33"/>
      <c r="G66" s="33"/>
      <c r="H66" s="33"/>
      <c r="I66" s="34" t="str">
        <f t="shared" si="4"/>
        <v>0/3</v>
      </c>
    </row>
    <row r="67" spans="1:9" x14ac:dyDescent="0.25">
      <c r="A67" s="30">
        <f>A60</f>
        <v>46202</v>
      </c>
      <c r="B67" s="31" t="s">
        <v>82</v>
      </c>
      <c r="C67" s="31" t="s">
        <v>37</v>
      </c>
      <c r="D67" s="32" t="s">
        <v>39</v>
      </c>
      <c r="E67" s="33"/>
      <c r="F67" s="33"/>
      <c r="G67" s="33"/>
      <c r="H67" s="33"/>
      <c r="I67" s="34" t="str">
        <f>COUNTA(E67:H67)&amp;"/4"</f>
        <v>0/4</v>
      </c>
    </row>
    <row r="68" spans="1:9" ht="30" x14ac:dyDescent="0.25">
      <c r="A68" s="30">
        <f>A60</f>
        <v>46202</v>
      </c>
      <c r="B68" s="31" t="s">
        <v>82</v>
      </c>
      <c r="C68" s="31" t="s">
        <v>40</v>
      </c>
      <c r="D68" s="32" t="s">
        <v>41</v>
      </c>
      <c r="E68" s="33"/>
      <c r="F68" s="33"/>
      <c r="G68" s="33"/>
      <c r="H68" s="33"/>
      <c r="I68" s="34" t="str">
        <f t="shared" ref="I68:I80" si="5">COUNTA(E68:G68)&amp;"/3"</f>
        <v>0/3</v>
      </c>
    </row>
    <row r="69" spans="1:9" x14ac:dyDescent="0.25">
      <c r="A69" s="30">
        <f>A60</f>
        <v>46202</v>
      </c>
      <c r="B69" s="31" t="s">
        <v>82</v>
      </c>
      <c r="C69" s="31" t="s">
        <v>42</v>
      </c>
      <c r="D69" s="32" t="s">
        <v>43</v>
      </c>
      <c r="E69" s="33"/>
      <c r="F69" s="33"/>
      <c r="G69" s="33"/>
      <c r="H69" s="33"/>
      <c r="I69" s="34" t="str">
        <f t="shared" si="5"/>
        <v>0/3</v>
      </c>
    </row>
    <row r="70" spans="1:9" x14ac:dyDescent="0.25">
      <c r="A70" s="30">
        <f>A60</f>
        <v>46202</v>
      </c>
      <c r="B70" s="31" t="s">
        <v>82</v>
      </c>
      <c r="C70" s="31" t="s">
        <v>44</v>
      </c>
      <c r="D70" s="32" t="s">
        <v>45</v>
      </c>
      <c r="E70" s="33"/>
      <c r="F70" s="33"/>
      <c r="G70" s="33"/>
      <c r="H70" s="33"/>
      <c r="I70" s="34" t="str">
        <f t="shared" si="5"/>
        <v>0/3</v>
      </c>
    </row>
    <row r="71" spans="1:9" x14ac:dyDescent="0.25">
      <c r="A71" s="30">
        <f>A60</f>
        <v>46202</v>
      </c>
      <c r="B71" s="31" t="s">
        <v>82</v>
      </c>
      <c r="C71" s="31" t="s">
        <v>46</v>
      </c>
      <c r="D71" s="32" t="s">
        <v>47</v>
      </c>
      <c r="E71" s="33"/>
      <c r="F71" s="33"/>
      <c r="G71" s="33"/>
      <c r="H71" s="33"/>
      <c r="I71" s="34" t="str">
        <f t="shared" si="5"/>
        <v>0/3</v>
      </c>
    </row>
    <row r="72" spans="1:9" x14ac:dyDescent="0.25">
      <c r="A72" s="30">
        <f>A60</f>
        <v>46202</v>
      </c>
      <c r="B72" s="31" t="s">
        <v>82</v>
      </c>
      <c r="C72" s="31" t="s">
        <v>48</v>
      </c>
      <c r="D72" s="32" t="s">
        <v>49</v>
      </c>
      <c r="E72" s="33"/>
      <c r="F72" s="33"/>
      <c r="G72" s="33"/>
      <c r="H72" s="33"/>
      <c r="I72" s="34" t="str">
        <f t="shared" si="5"/>
        <v>0/3</v>
      </c>
    </row>
    <row r="73" spans="1:9" x14ac:dyDescent="0.25">
      <c r="A73" s="30">
        <f>A60</f>
        <v>46202</v>
      </c>
      <c r="B73" s="31" t="s">
        <v>82</v>
      </c>
      <c r="C73" s="31" t="s">
        <v>50</v>
      </c>
      <c r="D73" s="32" t="s">
        <v>51</v>
      </c>
      <c r="E73" s="33"/>
      <c r="F73" s="33"/>
      <c r="G73" s="33"/>
      <c r="H73" s="33"/>
      <c r="I73" s="34" t="str">
        <f t="shared" si="5"/>
        <v>0/3</v>
      </c>
    </row>
    <row r="74" spans="1:9" x14ac:dyDescent="0.25">
      <c r="A74" s="30">
        <f>A60+7</f>
        <v>46209</v>
      </c>
      <c r="B74" s="31" t="s">
        <v>81</v>
      </c>
      <c r="C74" s="31" t="s">
        <v>37</v>
      </c>
      <c r="D74" s="32" t="s">
        <v>39</v>
      </c>
      <c r="E74" s="33"/>
      <c r="F74" s="33"/>
      <c r="G74" s="33"/>
      <c r="H74" s="33"/>
      <c r="I74" s="34" t="str">
        <f t="shared" si="5"/>
        <v>0/3</v>
      </c>
    </row>
    <row r="75" spans="1:9" ht="30" x14ac:dyDescent="0.25">
      <c r="A75" s="30">
        <f>A74</f>
        <v>46209</v>
      </c>
      <c r="B75" s="31" t="s">
        <v>81</v>
      </c>
      <c r="C75" s="31" t="s">
        <v>40</v>
      </c>
      <c r="D75" s="32" t="s">
        <v>41</v>
      </c>
      <c r="E75" s="33"/>
      <c r="F75" s="33"/>
      <c r="G75" s="33"/>
      <c r="H75" s="33"/>
      <c r="I75" s="34" t="str">
        <f t="shared" si="5"/>
        <v>0/3</v>
      </c>
    </row>
    <row r="76" spans="1:9" x14ac:dyDescent="0.25">
      <c r="A76" s="30">
        <f>A74</f>
        <v>46209</v>
      </c>
      <c r="B76" s="31" t="s">
        <v>81</v>
      </c>
      <c r="C76" s="31" t="s">
        <v>42</v>
      </c>
      <c r="D76" s="32" t="s">
        <v>43</v>
      </c>
      <c r="E76" s="33"/>
      <c r="F76" s="33"/>
      <c r="G76" s="33"/>
      <c r="H76" s="33"/>
      <c r="I76" s="34" t="str">
        <f t="shared" si="5"/>
        <v>0/3</v>
      </c>
    </row>
    <row r="77" spans="1:9" x14ac:dyDescent="0.25">
      <c r="A77" s="30">
        <f>A74</f>
        <v>46209</v>
      </c>
      <c r="B77" s="31" t="s">
        <v>81</v>
      </c>
      <c r="C77" s="31" t="s">
        <v>44</v>
      </c>
      <c r="D77" s="32" t="s">
        <v>45</v>
      </c>
      <c r="E77" s="33"/>
      <c r="F77" s="33"/>
      <c r="G77" s="33"/>
      <c r="H77" s="33"/>
      <c r="I77" s="34" t="str">
        <f t="shared" si="5"/>
        <v>0/3</v>
      </c>
    </row>
    <row r="78" spans="1:9" x14ac:dyDescent="0.25">
      <c r="A78" s="30">
        <f>A74</f>
        <v>46209</v>
      </c>
      <c r="B78" s="31" t="s">
        <v>81</v>
      </c>
      <c r="C78" s="31" t="s">
        <v>46</v>
      </c>
      <c r="D78" s="32" t="s">
        <v>47</v>
      </c>
      <c r="E78" s="33"/>
      <c r="F78" s="33"/>
      <c r="G78" s="33"/>
      <c r="H78" s="33"/>
      <c r="I78" s="34" t="str">
        <f t="shared" si="5"/>
        <v>0/3</v>
      </c>
    </row>
    <row r="79" spans="1:9" x14ac:dyDescent="0.25">
      <c r="A79" s="30">
        <f>A74</f>
        <v>46209</v>
      </c>
      <c r="B79" s="31" t="s">
        <v>81</v>
      </c>
      <c r="C79" s="31" t="s">
        <v>48</v>
      </c>
      <c r="D79" s="32" t="s">
        <v>49</v>
      </c>
      <c r="E79" s="33"/>
      <c r="F79" s="33"/>
      <c r="G79" s="33"/>
      <c r="H79" s="33"/>
      <c r="I79" s="34" t="str">
        <f t="shared" si="5"/>
        <v>0/3</v>
      </c>
    </row>
    <row r="80" spans="1:9" x14ac:dyDescent="0.25">
      <c r="A80" s="30">
        <f>A74</f>
        <v>46209</v>
      </c>
      <c r="B80" s="31" t="s">
        <v>81</v>
      </c>
      <c r="C80" s="31" t="s">
        <v>50</v>
      </c>
      <c r="D80" s="32" t="s">
        <v>51</v>
      </c>
      <c r="E80" s="33"/>
      <c r="F80" s="33"/>
      <c r="G80" s="33"/>
      <c r="H80" s="33"/>
      <c r="I80" s="34" t="str">
        <f t="shared" si="5"/>
        <v>0/3</v>
      </c>
    </row>
    <row r="81" spans="1:9" x14ac:dyDescent="0.25">
      <c r="A81" s="30">
        <f>A74</f>
        <v>46209</v>
      </c>
      <c r="B81" s="31" t="s">
        <v>82</v>
      </c>
      <c r="C81" s="31" t="s">
        <v>37</v>
      </c>
      <c r="D81" s="32" t="s">
        <v>39</v>
      </c>
      <c r="E81" s="33"/>
      <c r="F81" s="33"/>
      <c r="G81" s="33"/>
      <c r="H81" s="33"/>
      <c r="I81" s="34" t="str">
        <f>COUNTA(E81:H81)&amp;"/4"</f>
        <v>0/4</v>
      </c>
    </row>
    <row r="82" spans="1:9" ht="30" x14ac:dyDescent="0.25">
      <c r="A82" s="30">
        <f>A74</f>
        <v>46209</v>
      </c>
      <c r="B82" s="31" t="s">
        <v>82</v>
      </c>
      <c r="C82" s="31" t="s">
        <v>40</v>
      </c>
      <c r="D82" s="32" t="s">
        <v>41</v>
      </c>
      <c r="E82" s="33"/>
      <c r="F82" s="33"/>
      <c r="G82" s="33"/>
      <c r="H82" s="33"/>
      <c r="I82" s="34" t="str">
        <f t="shared" ref="I82:I94" si="6">COUNTA(E82:G82)&amp;"/3"</f>
        <v>0/3</v>
      </c>
    </row>
    <row r="83" spans="1:9" x14ac:dyDescent="0.25">
      <c r="A83" s="30">
        <f>A74</f>
        <v>46209</v>
      </c>
      <c r="B83" s="31" t="s">
        <v>82</v>
      </c>
      <c r="C83" s="31" t="s">
        <v>42</v>
      </c>
      <c r="D83" s="32" t="s">
        <v>43</v>
      </c>
      <c r="E83" s="33"/>
      <c r="F83" s="33"/>
      <c r="G83" s="33"/>
      <c r="H83" s="33"/>
      <c r="I83" s="34" t="str">
        <f t="shared" si="6"/>
        <v>0/3</v>
      </c>
    </row>
    <row r="84" spans="1:9" x14ac:dyDescent="0.25">
      <c r="A84" s="30">
        <f>A74</f>
        <v>46209</v>
      </c>
      <c r="B84" s="31" t="s">
        <v>82</v>
      </c>
      <c r="C84" s="31" t="s">
        <v>44</v>
      </c>
      <c r="D84" s="32" t="s">
        <v>45</v>
      </c>
      <c r="E84" s="33"/>
      <c r="F84" s="33"/>
      <c r="G84" s="33"/>
      <c r="H84" s="33"/>
      <c r="I84" s="34" t="str">
        <f t="shared" si="6"/>
        <v>0/3</v>
      </c>
    </row>
    <row r="85" spans="1:9" x14ac:dyDescent="0.25">
      <c r="A85" s="30">
        <f>A74</f>
        <v>46209</v>
      </c>
      <c r="B85" s="31" t="s">
        <v>82</v>
      </c>
      <c r="C85" s="31" t="s">
        <v>46</v>
      </c>
      <c r="D85" s="32" t="s">
        <v>47</v>
      </c>
      <c r="E85" s="33"/>
      <c r="F85" s="33"/>
      <c r="G85" s="33"/>
      <c r="H85" s="33"/>
      <c r="I85" s="34" t="str">
        <f t="shared" si="6"/>
        <v>0/3</v>
      </c>
    </row>
    <row r="86" spans="1:9" x14ac:dyDescent="0.25">
      <c r="A86" s="30">
        <f>A74</f>
        <v>46209</v>
      </c>
      <c r="B86" s="31" t="s">
        <v>82</v>
      </c>
      <c r="C86" s="31" t="s">
        <v>48</v>
      </c>
      <c r="D86" s="32" t="s">
        <v>49</v>
      </c>
      <c r="E86" s="33"/>
      <c r="F86" s="33"/>
      <c r="G86" s="33"/>
      <c r="H86" s="33"/>
      <c r="I86" s="34" t="str">
        <f t="shared" si="6"/>
        <v>0/3</v>
      </c>
    </row>
    <row r="87" spans="1:9" x14ac:dyDescent="0.25">
      <c r="A87" s="30">
        <f>A74</f>
        <v>46209</v>
      </c>
      <c r="B87" s="31" t="s">
        <v>82</v>
      </c>
      <c r="C87" s="31" t="s">
        <v>50</v>
      </c>
      <c r="D87" s="32" t="s">
        <v>51</v>
      </c>
      <c r="E87" s="33"/>
      <c r="F87" s="33"/>
      <c r="G87" s="33"/>
      <c r="H87" s="33"/>
      <c r="I87" s="34" t="str">
        <f t="shared" si="6"/>
        <v>0/3</v>
      </c>
    </row>
    <row r="88" spans="1:9" x14ac:dyDescent="0.25">
      <c r="A88" s="30">
        <f>A74+7</f>
        <v>46216</v>
      </c>
      <c r="B88" s="31" t="s">
        <v>81</v>
      </c>
      <c r="C88" s="31" t="s">
        <v>37</v>
      </c>
      <c r="D88" s="32" t="s">
        <v>39</v>
      </c>
      <c r="E88" s="33"/>
      <c r="F88" s="33"/>
      <c r="G88" s="33"/>
      <c r="H88" s="33"/>
      <c r="I88" s="34" t="str">
        <f t="shared" si="6"/>
        <v>0/3</v>
      </c>
    </row>
    <row r="89" spans="1:9" ht="30" x14ac:dyDescent="0.25">
      <c r="A89" s="30">
        <f>A88</f>
        <v>46216</v>
      </c>
      <c r="B89" s="31" t="s">
        <v>81</v>
      </c>
      <c r="C89" s="31" t="s">
        <v>40</v>
      </c>
      <c r="D89" s="32" t="s">
        <v>41</v>
      </c>
      <c r="E89" s="33"/>
      <c r="F89" s="33"/>
      <c r="G89" s="33"/>
      <c r="H89" s="33"/>
      <c r="I89" s="34" t="str">
        <f t="shared" si="6"/>
        <v>0/3</v>
      </c>
    </row>
    <row r="90" spans="1:9" x14ac:dyDescent="0.25">
      <c r="A90" s="30">
        <f>A88</f>
        <v>46216</v>
      </c>
      <c r="B90" s="31" t="s">
        <v>81</v>
      </c>
      <c r="C90" s="31" t="s">
        <v>42</v>
      </c>
      <c r="D90" s="32" t="s">
        <v>43</v>
      </c>
      <c r="E90" s="33"/>
      <c r="F90" s="33"/>
      <c r="G90" s="33"/>
      <c r="H90" s="33"/>
      <c r="I90" s="34" t="str">
        <f t="shared" si="6"/>
        <v>0/3</v>
      </c>
    </row>
    <row r="91" spans="1:9" x14ac:dyDescent="0.25">
      <c r="A91" s="30">
        <f>A88</f>
        <v>46216</v>
      </c>
      <c r="B91" s="31" t="s">
        <v>81</v>
      </c>
      <c r="C91" s="31" t="s">
        <v>44</v>
      </c>
      <c r="D91" s="32" t="s">
        <v>45</v>
      </c>
      <c r="E91" s="33"/>
      <c r="F91" s="33"/>
      <c r="G91" s="33"/>
      <c r="H91" s="33"/>
      <c r="I91" s="34" t="str">
        <f t="shared" si="6"/>
        <v>0/3</v>
      </c>
    </row>
    <row r="92" spans="1:9" x14ac:dyDescent="0.25">
      <c r="A92" s="30">
        <f>A88</f>
        <v>46216</v>
      </c>
      <c r="B92" s="31" t="s">
        <v>81</v>
      </c>
      <c r="C92" s="31" t="s">
        <v>46</v>
      </c>
      <c r="D92" s="32" t="s">
        <v>47</v>
      </c>
      <c r="E92" s="33"/>
      <c r="F92" s="33"/>
      <c r="G92" s="33"/>
      <c r="H92" s="33"/>
      <c r="I92" s="34" t="str">
        <f t="shared" si="6"/>
        <v>0/3</v>
      </c>
    </row>
    <row r="93" spans="1:9" x14ac:dyDescent="0.25">
      <c r="A93" s="30">
        <f>A88</f>
        <v>46216</v>
      </c>
      <c r="B93" s="31" t="s">
        <v>81</v>
      </c>
      <c r="C93" s="31" t="s">
        <v>48</v>
      </c>
      <c r="D93" s="32" t="s">
        <v>49</v>
      </c>
      <c r="E93" s="33"/>
      <c r="F93" s="33"/>
      <c r="G93" s="33"/>
      <c r="H93" s="33"/>
      <c r="I93" s="34" t="str">
        <f t="shared" si="6"/>
        <v>0/3</v>
      </c>
    </row>
    <row r="94" spans="1:9" x14ac:dyDescent="0.25">
      <c r="A94" s="30">
        <f>A88</f>
        <v>46216</v>
      </c>
      <c r="B94" s="31" t="s">
        <v>81</v>
      </c>
      <c r="C94" s="31" t="s">
        <v>50</v>
      </c>
      <c r="D94" s="32" t="s">
        <v>51</v>
      </c>
      <c r="E94" s="33"/>
      <c r="F94" s="33"/>
      <c r="G94" s="33"/>
      <c r="H94" s="33"/>
      <c r="I94" s="34" t="str">
        <f t="shared" si="6"/>
        <v>0/3</v>
      </c>
    </row>
    <row r="95" spans="1:9" x14ac:dyDescent="0.25">
      <c r="A95" s="30">
        <f>A88</f>
        <v>46216</v>
      </c>
      <c r="B95" s="31" t="s">
        <v>82</v>
      </c>
      <c r="C95" s="31" t="s">
        <v>37</v>
      </c>
      <c r="D95" s="32" t="s">
        <v>39</v>
      </c>
      <c r="E95" s="33"/>
      <c r="F95" s="33"/>
      <c r="G95" s="33"/>
      <c r="H95" s="33"/>
      <c r="I95" s="34" t="str">
        <f>COUNTA(E95:H95)&amp;"/4"</f>
        <v>0/4</v>
      </c>
    </row>
    <row r="96" spans="1:9" ht="30" x14ac:dyDescent="0.25">
      <c r="A96" s="30">
        <f>A88</f>
        <v>46216</v>
      </c>
      <c r="B96" s="31" t="s">
        <v>82</v>
      </c>
      <c r="C96" s="31" t="s">
        <v>40</v>
      </c>
      <c r="D96" s="32" t="s">
        <v>41</v>
      </c>
      <c r="E96" s="33"/>
      <c r="F96" s="33"/>
      <c r="G96" s="33"/>
      <c r="H96" s="33"/>
      <c r="I96" s="34" t="str">
        <f t="shared" ref="I96:I108" si="7">COUNTA(E96:G96)&amp;"/3"</f>
        <v>0/3</v>
      </c>
    </row>
    <row r="97" spans="1:9" x14ac:dyDescent="0.25">
      <c r="A97" s="30">
        <f>A88</f>
        <v>46216</v>
      </c>
      <c r="B97" s="31" t="s">
        <v>82</v>
      </c>
      <c r="C97" s="31" t="s">
        <v>42</v>
      </c>
      <c r="D97" s="32" t="s">
        <v>43</v>
      </c>
      <c r="E97" s="33"/>
      <c r="F97" s="33"/>
      <c r="G97" s="33"/>
      <c r="H97" s="33"/>
      <c r="I97" s="34" t="str">
        <f t="shared" si="7"/>
        <v>0/3</v>
      </c>
    </row>
    <row r="98" spans="1:9" x14ac:dyDescent="0.25">
      <c r="A98" s="30">
        <f>A88</f>
        <v>46216</v>
      </c>
      <c r="B98" s="31" t="s">
        <v>82</v>
      </c>
      <c r="C98" s="31" t="s">
        <v>44</v>
      </c>
      <c r="D98" s="32" t="s">
        <v>45</v>
      </c>
      <c r="E98" s="33"/>
      <c r="F98" s="33"/>
      <c r="G98" s="33"/>
      <c r="H98" s="33"/>
      <c r="I98" s="34" t="str">
        <f t="shared" si="7"/>
        <v>0/3</v>
      </c>
    </row>
    <row r="99" spans="1:9" x14ac:dyDescent="0.25">
      <c r="A99" s="30">
        <f>A88</f>
        <v>46216</v>
      </c>
      <c r="B99" s="31" t="s">
        <v>82</v>
      </c>
      <c r="C99" s="31" t="s">
        <v>46</v>
      </c>
      <c r="D99" s="32" t="s">
        <v>47</v>
      </c>
      <c r="E99" s="33"/>
      <c r="F99" s="33"/>
      <c r="G99" s="33"/>
      <c r="H99" s="33"/>
      <c r="I99" s="34" t="str">
        <f t="shared" si="7"/>
        <v>0/3</v>
      </c>
    </row>
    <row r="100" spans="1:9" x14ac:dyDescent="0.25">
      <c r="A100" s="30">
        <f>A88</f>
        <v>46216</v>
      </c>
      <c r="B100" s="31" t="s">
        <v>82</v>
      </c>
      <c r="C100" s="31" t="s">
        <v>48</v>
      </c>
      <c r="D100" s="32" t="s">
        <v>49</v>
      </c>
      <c r="E100" s="33"/>
      <c r="F100" s="33"/>
      <c r="G100" s="33"/>
      <c r="H100" s="33"/>
      <c r="I100" s="34" t="str">
        <f t="shared" si="7"/>
        <v>0/3</v>
      </c>
    </row>
    <row r="101" spans="1:9" x14ac:dyDescent="0.25">
      <c r="A101" s="30">
        <f>A88</f>
        <v>46216</v>
      </c>
      <c r="B101" s="31" t="s">
        <v>82</v>
      </c>
      <c r="C101" s="31" t="s">
        <v>50</v>
      </c>
      <c r="D101" s="32" t="s">
        <v>51</v>
      </c>
      <c r="E101" s="33"/>
      <c r="F101" s="33"/>
      <c r="G101" s="33"/>
      <c r="H101" s="33"/>
      <c r="I101" s="34" t="str">
        <f t="shared" si="7"/>
        <v>0/3</v>
      </c>
    </row>
    <row r="102" spans="1:9" x14ac:dyDescent="0.25">
      <c r="A102" s="30">
        <f>A88+7</f>
        <v>46223</v>
      </c>
      <c r="B102" s="31" t="s">
        <v>81</v>
      </c>
      <c r="C102" s="31" t="s">
        <v>37</v>
      </c>
      <c r="D102" s="32" t="s">
        <v>39</v>
      </c>
      <c r="E102" s="33"/>
      <c r="F102" s="33"/>
      <c r="G102" s="33"/>
      <c r="H102" s="33"/>
      <c r="I102" s="34" t="str">
        <f t="shared" si="7"/>
        <v>0/3</v>
      </c>
    </row>
    <row r="103" spans="1:9" ht="30" x14ac:dyDescent="0.25">
      <c r="A103" s="30">
        <f>A102</f>
        <v>46223</v>
      </c>
      <c r="B103" s="31" t="s">
        <v>81</v>
      </c>
      <c r="C103" s="31" t="s">
        <v>40</v>
      </c>
      <c r="D103" s="32" t="s">
        <v>41</v>
      </c>
      <c r="E103" s="33"/>
      <c r="F103" s="33"/>
      <c r="G103" s="33"/>
      <c r="H103" s="33"/>
      <c r="I103" s="34" t="str">
        <f t="shared" si="7"/>
        <v>0/3</v>
      </c>
    </row>
    <row r="104" spans="1:9" x14ac:dyDescent="0.25">
      <c r="A104" s="30">
        <f>A102</f>
        <v>46223</v>
      </c>
      <c r="B104" s="31" t="s">
        <v>81</v>
      </c>
      <c r="C104" s="31" t="s">
        <v>42</v>
      </c>
      <c r="D104" s="32" t="s">
        <v>43</v>
      </c>
      <c r="E104" s="33"/>
      <c r="F104" s="33"/>
      <c r="G104" s="33"/>
      <c r="H104" s="33"/>
      <c r="I104" s="34" t="str">
        <f t="shared" si="7"/>
        <v>0/3</v>
      </c>
    </row>
    <row r="105" spans="1:9" x14ac:dyDescent="0.25">
      <c r="A105" s="30">
        <f>A102</f>
        <v>46223</v>
      </c>
      <c r="B105" s="31" t="s">
        <v>81</v>
      </c>
      <c r="C105" s="31" t="s">
        <v>44</v>
      </c>
      <c r="D105" s="32" t="s">
        <v>45</v>
      </c>
      <c r="E105" s="33"/>
      <c r="F105" s="33"/>
      <c r="G105" s="33"/>
      <c r="H105" s="33"/>
      <c r="I105" s="34" t="str">
        <f t="shared" si="7"/>
        <v>0/3</v>
      </c>
    </row>
    <row r="106" spans="1:9" x14ac:dyDescent="0.25">
      <c r="A106" s="30">
        <f>A102</f>
        <v>46223</v>
      </c>
      <c r="B106" s="31" t="s">
        <v>81</v>
      </c>
      <c r="C106" s="31" t="s">
        <v>46</v>
      </c>
      <c r="D106" s="32" t="s">
        <v>47</v>
      </c>
      <c r="E106" s="33"/>
      <c r="F106" s="33"/>
      <c r="G106" s="33"/>
      <c r="H106" s="33"/>
      <c r="I106" s="34" t="str">
        <f t="shared" si="7"/>
        <v>0/3</v>
      </c>
    </row>
    <row r="107" spans="1:9" x14ac:dyDescent="0.25">
      <c r="A107" s="30">
        <f>A102</f>
        <v>46223</v>
      </c>
      <c r="B107" s="31" t="s">
        <v>81</v>
      </c>
      <c r="C107" s="31" t="s">
        <v>48</v>
      </c>
      <c r="D107" s="32" t="s">
        <v>49</v>
      </c>
      <c r="E107" s="33"/>
      <c r="F107" s="33"/>
      <c r="G107" s="33"/>
      <c r="H107" s="33"/>
      <c r="I107" s="34" t="str">
        <f t="shared" si="7"/>
        <v>0/3</v>
      </c>
    </row>
    <row r="108" spans="1:9" x14ac:dyDescent="0.25">
      <c r="A108" s="30">
        <f>A102</f>
        <v>46223</v>
      </c>
      <c r="B108" s="31" t="s">
        <v>81</v>
      </c>
      <c r="C108" s="31" t="s">
        <v>50</v>
      </c>
      <c r="D108" s="32" t="s">
        <v>51</v>
      </c>
      <c r="E108" s="33"/>
      <c r="F108" s="33"/>
      <c r="G108" s="33"/>
      <c r="H108" s="33"/>
      <c r="I108" s="34" t="str">
        <f t="shared" si="7"/>
        <v>0/3</v>
      </c>
    </row>
    <row r="109" spans="1:9" x14ac:dyDescent="0.25">
      <c r="A109" s="30">
        <f>A102</f>
        <v>46223</v>
      </c>
      <c r="B109" s="31" t="s">
        <v>82</v>
      </c>
      <c r="C109" s="31" t="s">
        <v>37</v>
      </c>
      <c r="D109" s="32" t="s">
        <v>39</v>
      </c>
      <c r="E109" s="33"/>
      <c r="F109" s="33"/>
      <c r="G109" s="33"/>
      <c r="H109" s="33"/>
      <c r="I109" s="34" t="str">
        <f>COUNTA(E109:H109)&amp;"/4"</f>
        <v>0/4</v>
      </c>
    </row>
    <row r="110" spans="1:9" ht="30" x14ac:dyDescent="0.25">
      <c r="A110" s="30">
        <f>A102</f>
        <v>46223</v>
      </c>
      <c r="B110" s="31" t="s">
        <v>82</v>
      </c>
      <c r="C110" s="31" t="s">
        <v>40</v>
      </c>
      <c r="D110" s="32" t="s">
        <v>41</v>
      </c>
      <c r="E110" s="33"/>
      <c r="F110" s="33"/>
      <c r="G110" s="33"/>
      <c r="H110" s="33"/>
      <c r="I110" s="34" t="str">
        <f t="shared" ref="I110:I122" si="8">COUNTA(E110:G110)&amp;"/3"</f>
        <v>0/3</v>
      </c>
    </row>
    <row r="111" spans="1:9" x14ac:dyDescent="0.25">
      <c r="A111" s="30">
        <f>A102</f>
        <v>46223</v>
      </c>
      <c r="B111" s="31" t="s">
        <v>82</v>
      </c>
      <c r="C111" s="31" t="s">
        <v>42</v>
      </c>
      <c r="D111" s="32" t="s">
        <v>43</v>
      </c>
      <c r="E111" s="33"/>
      <c r="F111" s="33"/>
      <c r="G111" s="33"/>
      <c r="H111" s="33"/>
      <c r="I111" s="34" t="str">
        <f t="shared" si="8"/>
        <v>0/3</v>
      </c>
    </row>
    <row r="112" spans="1:9" x14ac:dyDescent="0.25">
      <c r="A112" s="30">
        <f>A102</f>
        <v>46223</v>
      </c>
      <c r="B112" s="31" t="s">
        <v>82</v>
      </c>
      <c r="C112" s="31" t="s">
        <v>44</v>
      </c>
      <c r="D112" s="32" t="s">
        <v>45</v>
      </c>
      <c r="E112" s="33"/>
      <c r="F112" s="33"/>
      <c r="G112" s="33"/>
      <c r="H112" s="33"/>
      <c r="I112" s="34" t="str">
        <f t="shared" si="8"/>
        <v>0/3</v>
      </c>
    </row>
    <row r="113" spans="1:9" x14ac:dyDescent="0.25">
      <c r="A113" s="30">
        <f>A102</f>
        <v>46223</v>
      </c>
      <c r="B113" s="31" t="s">
        <v>82</v>
      </c>
      <c r="C113" s="31" t="s">
        <v>46</v>
      </c>
      <c r="D113" s="32" t="s">
        <v>47</v>
      </c>
      <c r="E113" s="33"/>
      <c r="F113" s="33"/>
      <c r="G113" s="33"/>
      <c r="H113" s="33"/>
      <c r="I113" s="34" t="str">
        <f t="shared" si="8"/>
        <v>0/3</v>
      </c>
    </row>
    <row r="114" spans="1:9" x14ac:dyDescent="0.25">
      <c r="A114" s="30">
        <f>A102</f>
        <v>46223</v>
      </c>
      <c r="B114" s="31" t="s">
        <v>82</v>
      </c>
      <c r="C114" s="31" t="s">
        <v>48</v>
      </c>
      <c r="D114" s="32" t="s">
        <v>49</v>
      </c>
      <c r="E114" s="33"/>
      <c r="F114" s="33"/>
      <c r="G114" s="33"/>
      <c r="H114" s="33"/>
      <c r="I114" s="34" t="str">
        <f t="shared" si="8"/>
        <v>0/3</v>
      </c>
    </row>
    <row r="115" spans="1:9" x14ac:dyDescent="0.25">
      <c r="A115" s="30">
        <f>A102</f>
        <v>46223</v>
      </c>
      <c r="B115" s="31" t="s">
        <v>82</v>
      </c>
      <c r="C115" s="31" t="s">
        <v>50</v>
      </c>
      <c r="D115" s="32" t="s">
        <v>51</v>
      </c>
      <c r="E115" s="33"/>
      <c r="F115" s="33"/>
      <c r="G115" s="33"/>
      <c r="H115" s="33"/>
      <c r="I115" s="34" t="str">
        <f t="shared" si="8"/>
        <v>0/3</v>
      </c>
    </row>
    <row r="116" spans="1:9" x14ac:dyDescent="0.25">
      <c r="A116" s="30">
        <f>A102+7</f>
        <v>46230</v>
      </c>
      <c r="B116" s="31" t="s">
        <v>81</v>
      </c>
      <c r="C116" s="31" t="s">
        <v>37</v>
      </c>
      <c r="D116" s="32" t="s">
        <v>39</v>
      </c>
      <c r="E116" s="33"/>
      <c r="F116" s="33"/>
      <c r="G116" s="33"/>
      <c r="H116" s="33"/>
      <c r="I116" s="34" t="str">
        <f t="shared" si="8"/>
        <v>0/3</v>
      </c>
    </row>
    <row r="117" spans="1:9" ht="30" x14ac:dyDescent="0.25">
      <c r="A117" s="30">
        <f>A116</f>
        <v>46230</v>
      </c>
      <c r="B117" s="31" t="s">
        <v>81</v>
      </c>
      <c r="C117" s="31" t="s">
        <v>40</v>
      </c>
      <c r="D117" s="32" t="s">
        <v>41</v>
      </c>
      <c r="E117" s="33"/>
      <c r="F117" s="33"/>
      <c r="G117" s="33"/>
      <c r="H117" s="33"/>
      <c r="I117" s="34" t="str">
        <f t="shared" si="8"/>
        <v>0/3</v>
      </c>
    </row>
    <row r="118" spans="1:9" x14ac:dyDescent="0.25">
      <c r="A118" s="30">
        <f>A116</f>
        <v>46230</v>
      </c>
      <c r="B118" s="31" t="s">
        <v>81</v>
      </c>
      <c r="C118" s="31" t="s">
        <v>42</v>
      </c>
      <c r="D118" s="32" t="s">
        <v>43</v>
      </c>
      <c r="E118" s="33"/>
      <c r="F118" s="33"/>
      <c r="G118" s="33"/>
      <c r="H118" s="33"/>
      <c r="I118" s="34" t="str">
        <f t="shared" si="8"/>
        <v>0/3</v>
      </c>
    </row>
    <row r="119" spans="1:9" x14ac:dyDescent="0.25">
      <c r="A119" s="30">
        <f>A116</f>
        <v>46230</v>
      </c>
      <c r="B119" s="31" t="s">
        <v>81</v>
      </c>
      <c r="C119" s="31" t="s">
        <v>44</v>
      </c>
      <c r="D119" s="32" t="s">
        <v>45</v>
      </c>
      <c r="E119" s="33"/>
      <c r="F119" s="33"/>
      <c r="G119" s="33"/>
      <c r="H119" s="33"/>
      <c r="I119" s="34" t="str">
        <f t="shared" si="8"/>
        <v>0/3</v>
      </c>
    </row>
    <row r="120" spans="1:9" x14ac:dyDescent="0.25">
      <c r="A120" s="30">
        <f>A116</f>
        <v>46230</v>
      </c>
      <c r="B120" s="31" t="s">
        <v>81</v>
      </c>
      <c r="C120" s="31" t="s">
        <v>46</v>
      </c>
      <c r="D120" s="32" t="s">
        <v>47</v>
      </c>
      <c r="E120" s="33"/>
      <c r="F120" s="33"/>
      <c r="G120" s="33"/>
      <c r="H120" s="33"/>
      <c r="I120" s="34" t="str">
        <f t="shared" si="8"/>
        <v>0/3</v>
      </c>
    </row>
    <row r="121" spans="1:9" x14ac:dyDescent="0.25">
      <c r="A121" s="30">
        <f>A116</f>
        <v>46230</v>
      </c>
      <c r="B121" s="31" t="s">
        <v>81</v>
      </c>
      <c r="C121" s="31" t="s">
        <v>48</v>
      </c>
      <c r="D121" s="32" t="s">
        <v>49</v>
      </c>
      <c r="E121" s="33"/>
      <c r="F121" s="33"/>
      <c r="G121" s="33"/>
      <c r="H121" s="33"/>
      <c r="I121" s="34" t="str">
        <f t="shared" si="8"/>
        <v>0/3</v>
      </c>
    </row>
    <row r="122" spans="1:9" x14ac:dyDescent="0.25">
      <c r="A122" s="30">
        <f>A116</f>
        <v>46230</v>
      </c>
      <c r="B122" s="31" t="s">
        <v>81</v>
      </c>
      <c r="C122" s="31" t="s">
        <v>50</v>
      </c>
      <c r="D122" s="32" t="s">
        <v>51</v>
      </c>
      <c r="E122" s="33"/>
      <c r="F122" s="33"/>
      <c r="G122" s="33"/>
      <c r="H122" s="33"/>
      <c r="I122" s="34" t="str">
        <f t="shared" si="8"/>
        <v>0/3</v>
      </c>
    </row>
    <row r="123" spans="1:9" x14ac:dyDescent="0.25">
      <c r="A123" s="30">
        <f>A116</f>
        <v>46230</v>
      </c>
      <c r="B123" s="31" t="s">
        <v>82</v>
      </c>
      <c r="C123" s="31" t="s">
        <v>37</v>
      </c>
      <c r="D123" s="32" t="s">
        <v>39</v>
      </c>
      <c r="E123" s="33"/>
      <c r="F123" s="33"/>
      <c r="G123" s="33"/>
      <c r="H123" s="33"/>
      <c r="I123" s="34" t="str">
        <f>COUNTA(E123:H123)&amp;"/4"</f>
        <v>0/4</v>
      </c>
    </row>
    <row r="124" spans="1:9" ht="30" x14ac:dyDescent="0.25">
      <c r="A124" s="30">
        <f>A116</f>
        <v>46230</v>
      </c>
      <c r="B124" s="31" t="s">
        <v>82</v>
      </c>
      <c r="C124" s="31" t="s">
        <v>40</v>
      </c>
      <c r="D124" s="32" t="s">
        <v>41</v>
      </c>
      <c r="E124" s="33"/>
      <c r="F124" s="33"/>
      <c r="G124" s="33"/>
      <c r="H124" s="33"/>
      <c r="I124" s="34" t="str">
        <f t="shared" ref="I124:I136" si="9">COUNTA(E124:G124)&amp;"/3"</f>
        <v>0/3</v>
      </c>
    </row>
    <row r="125" spans="1:9" x14ac:dyDescent="0.25">
      <c r="A125" s="30">
        <f>A116</f>
        <v>46230</v>
      </c>
      <c r="B125" s="31" t="s">
        <v>82</v>
      </c>
      <c r="C125" s="31" t="s">
        <v>42</v>
      </c>
      <c r="D125" s="32" t="s">
        <v>43</v>
      </c>
      <c r="E125" s="33"/>
      <c r="F125" s="33"/>
      <c r="G125" s="33"/>
      <c r="H125" s="33"/>
      <c r="I125" s="34" t="str">
        <f t="shared" si="9"/>
        <v>0/3</v>
      </c>
    </row>
    <row r="126" spans="1:9" x14ac:dyDescent="0.25">
      <c r="A126" s="30">
        <f>A116</f>
        <v>46230</v>
      </c>
      <c r="B126" s="31" t="s">
        <v>82</v>
      </c>
      <c r="C126" s="31" t="s">
        <v>44</v>
      </c>
      <c r="D126" s="32" t="s">
        <v>45</v>
      </c>
      <c r="E126" s="33"/>
      <c r="F126" s="33"/>
      <c r="G126" s="33"/>
      <c r="H126" s="33"/>
      <c r="I126" s="34" t="str">
        <f t="shared" si="9"/>
        <v>0/3</v>
      </c>
    </row>
    <row r="127" spans="1:9" x14ac:dyDescent="0.25">
      <c r="A127" s="30">
        <f>A116</f>
        <v>46230</v>
      </c>
      <c r="B127" s="31" t="s">
        <v>82</v>
      </c>
      <c r="C127" s="31" t="s">
        <v>46</v>
      </c>
      <c r="D127" s="32" t="s">
        <v>47</v>
      </c>
      <c r="E127" s="33"/>
      <c r="F127" s="33"/>
      <c r="G127" s="33"/>
      <c r="H127" s="33"/>
      <c r="I127" s="34" t="str">
        <f t="shared" si="9"/>
        <v>0/3</v>
      </c>
    </row>
    <row r="128" spans="1:9" x14ac:dyDescent="0.25">
      <c r="A128" s="30">
        <f>A116</f>
        <v>46230</v>
      </c>
      <c r="B128" s="31" t="s">
        <v>82</v>
      </c>
      <c r="C128" s="31" t="s">
        <v>48</v>
      </c>
      <c r="D128" s="32" t="s">
        <v>49</v>
      </c>
      <c r="E128" s="33"/>
      <c r="F128" s="33"/>
      <c r="G128" s="33"/>
      <c r="H128" s="33"/>
      <c r="I128" s="34" t="str">
        <f t="shared" si="9"/>
        <v>0/3</v>
      </c>
    </row>
    <row r="129" spans="1:9" x14ac:dyDescent="0.25">
      <c r="A129" s="30">
        <f>A116</f>
        <v>46230</v>
      </c>
      <c r="B129" s="31" t="s">
        <v>82</v>
      </c>
      <c r="C129" s="31" t="s">
        <v>50</v>
      </c>
      <c r="D129" s="32" t="s">
        <v>51</v>
      </c>
      <c r="E129" s="33"/>
      <c r="F129" s="33"/>
      <c r="G129" s="33"/>
      <c r="H129" s="33"/>
      <c r="I129" s="34" t="str">
        <f t="shared" si="9"/>
        <v>0/3</v>
      </c>
    </row>
    <row r="130" spans="1:9" x14ac:dyDescent="0.25">
      <c r="A130" s="30">
        <f>A116+7</f>
        <v>46237</v>
      </c>
      <c r="B130" s="31" t="s">
        <v>81</v>
      </c>
      <c r="C130" s="31" t="s">
        <v>37</v>
      </c>
      <c r="D130" s="32" t="s">
        <v>39</v>
      </c>
      <c r="E130" s="33"/>
      <c r="F130" s="33"/>
      <c r="G130" s="33"/>
      <c r="H130" s="33"/>
      <c r="I130" s="34" t="str">
        <f t="shared" si="9"/>
        <v>0/3</v>
      </c>
    </row>
    <row r="131" spans="1:9" ht="30" x14ac:dyDescent="0.25">
      <c r="A131" s="30">
        <f>A130</f>
        <v>46237</v>
      </c>
      <c r="B131" s="31" t="s">
        <v>81</v>
      </c>
      <c r="C131" s="31" t="s">
        <v>40</v>
      </c>
      <c r="D131" s="32" t="s">
        <v>41</v>
      </c>
      <c r="E131" s="33"/>
      <c r="F131" s="33"/>
      <c r="G131" s="33"/>
      <c r="H131" s="33"/>
      <c r="I131" s="34" t="str">
        <f t="shared" si="9"/>
        <v>0/3</v>
      </c>
    </row>
    <row r="132" spans="1:9" x14ac:dyDescent="0.25">
      <c r="A132" s="30">
        <f>A130</f>
        <v>46237</v>
      </c>
      <c r="B132" s="31" t="s">
        <v>81</v>
      </c>
      <c r="C132" s="31" t="s">
        <v>42</v>
      </c>
      <c r="D132" s="32" t="s">
        <v>43</v>
      </c>
      <c r="E132" s="33"/>
      <c r="F132" s="33"/>
      <c r="G132" s="33"/>
      <c r="H132" s="33"/>
      <c r="I132" s="34" t="str">
        <f t="shared" si="9"/>
        <v>0/3</v>
      </c>
    </row>
    <row r="133" spans="1:9" x14ac:dyDescent="0.25">
      <c r="A133" s="30">
        <f>A130</f>
        <v>46237</v>
      </c>
      <c r="B133" s="31" t="s">
        <v>81</v>
      </c>
      <c r="C133" s="31" t="s">
        <v>44</v>
      </c>
      <c r="D133" s="32" t="s">
        <v>45</v>
      </c>
      <c r="E133" s="33"/>
      <c r="F133" s="33"/>
      <c r="G133" s="33"/>
      <c r="H133" s="33"/>
      <c r="I133" s="34" t="str">
        <f t="shared" si="9"/>
        <v>0/3</v>
      </c>
    </row>
    <row r="134" spans="1:9" x14ac:dyDescent="0.25">
      <c r="A134" s="30">
        <f>A130</f>
        <v>46237</v>
      </c>
      <c r="B134" s="31" t="s">
        <v>81</v>
      </c>
      <c r="C134" s="31" t="s">
        <v>46</v>
      </c>
      <c r="D134" s="32" t="s">
        <v>47</v>
      </c>
      <c r="E134" s="33"/>
      <c r="F134" s="33"/>
      <c r="G134" s="33"/>
      <c r="H134" s="33"/>
      <c r="I134" s="34" t="str">
        <f t="shared" si="9"/>
        <v>0/3</v>
      </c>
    </row>
    <row r="135" spans="1:9" x14ac:dyDescent="0.25">
      <c r="A135" s="30">
        <f>A130</f>
        <v>46237</v>
      </c>
      <c r="B135" s="31" t="s">
        <v>81</v>
      </c>
      <c r="C135" s="31" t="s">
        <v>48</v>
      </c>
      <c r="D135" s="32" t="s">
        <v>49</v>
      </c>
      <c r="E135" s="33"/>
      <c r="F135" s="33"/>
      <c r="G135" s="33"/>
      <c r="H135" s="33"/>
      <c r="I135" s="34" t="str">
        <f t="shared" si="9"/>
        <v>0/3</v>
      </c>
    </row>
    <row r="136" spans="1:9" x14ac:dyDescent="0.25">
      <c r="A136" s="30">
        <f>A130</f>
        <v>46237</v>
      </c>
      <c r="B136" s="31" t="s">
        <v>81</v>
      </c>
      <c r="C136" s="31" t="s">
        <v>50</v>
      </c>
      <c r="D136" s="32" t="s">
        <v>51</v>
      </c>
      <c r="E136" s="33"/>
      <c r="F136" s="33"/>
      <c r="G136" s="33"/>
      <c r="H136" s="33"/>
      <c r="I136" s="34" t="str">
        <f t="shared" si="9"/>
        <v>0/3</v>
      </c>
    </row>
    <row r="137" spans="1:9" x14ac:dyDescent="0.25">
      <c r="A137" s="30">
        <f>A130</f>
        <v>46237</v>
      </c>
      <c r="B137" s="31" t="s">
        <v>82</v>
      </c>
      <c r="C137" s="31" t="s">
        <v>37</v>
      </c>
      <c r="D137" s="32" t="s">
        <v>39</v>
      </c>
      <c r="E137" s="33"/>
      <c r="F137" s="33"/>
      <c r="G137" s="33"/>
      <c r="H137" s="33"/>
      <c r="I137" s="34" t="str">
        <f>COUNTA(E137:H137)&amp;"/4"</f>
        <v>0/4</v>
      </c>
    </row>
    <row r="138" spans="1:9" ht="30" x14ac:dyDescent="0.25">
      <c r="A138" s="30">
        <f>A130</f>
        <v>46237</v>
      </c>
      <c r="B138" s="31" t="s">
        <v>82</v>
      </c>
      <c r="C138" s="31" t="s">
        <v>40</v>
      </c>
      <c r="D138" s="32" t="s">
        <v>41</v>
      </c>
      <c r="E138" s="33"/>
      <c r="F138" s="33"/>
      <c r="G138" s="33"/>
      <c r="H138" s="33"/>
      <c r="I138" s="34" t="str">
        <f t="shared" ref="I138:I150" si="10">COUNTA(E138:G138)&amp;"/3"</f>
        <v>0/3</v>
      </c>
    </row>
    <row r="139" spans="1:9" x14ac:dyDescent="0.25">
      <c r="A139" s="30">
        <f>A130</f>
        <v>46237</v>
      </c>
      <c r="B139" s="31" t="s">
        <v>82</v>
      </c>
      <c r="C139" s="31" t="s">
        <v>42</v>
      </c>
      <c r="D139" s="32" t="s">
        <v>43</v>
      </c>
      <c r="E139" s="33"/>
      <c r="F139" s="33"/>
      <c r="G139" s="33"/>
      <c r="H139" s="33"/>
      <c r="I139" s="34" t="str">
        <f t="shared" si="10"/>
        <v>0/3</v>
      </c>
    </row>
    <row r="140" spans="1:9" x14ac:dyDescent="0.25">
      <c r="A140" s="30">
        <f>A130</f>
        <v>46237</v>
      </c>
      <c r="B140" s="31" t="s">
        <v>82</v>
      </c>
      <c r="C140" s="31" t="s">
        <v>44</v>
      </c>
      <c r="D140" s="32" t="s">
        <v>45</v>
      </c>
      <c r="E140" s="33"/>
      <c r="F140" s="33"/>
      <c r="G140" s="33"/>
      <c r="H140" s="33"/>
      <c r="I140" s="34" t="str">
        <f t="shared" si="10"/>
        <v>0/3</v>
      </c>
    </row>
    <row r="141" spans="1:9" x14ac:dyDescent="0.25">
      <c r="A141" s="30">
        <f>A130</f>
        <v>46237</v>
      </c>
      <c r="B141" s="31" t="s">
        <v>82</v>
      </c>
      <c r="C141" s="31" t="s">
        <v>46</v>
      </c>
      <c r="D141" s="32" t="s">
        <v>47</v>
      </c>
      <c r="E141" s="33"/>
      <c r="F141" s="33"/>
      <c r="G141" s="33"/>
      <c r="H141" s="33"/>
      <c r="I141" s="34" t="str">
        <f t="shared" si="10"/>
        <v>0/3</v>
      </c>
    </row>
    <row r="142" spans="1:9" x14ac:dyDescent="0.25">
      <c r="A142" s="30">
        <f>A130</f>
        <v>46237</v>
      </c>
      <c r="B142" s="31" t="s">
        <v>82</v>
      </c>
      <c r="C142" s="31" t="s">
        <v>48</v>
      </c>
      <c r="D142" s="32" t="s">
        <v>49</v>
      </c>
      <c r="E142" s="33"/>
      <c r="F142" s="33"/>
      <c r="G142" s="33"/>
      <c r="H142" s="33"/>
      <c r="I142" s="34" t="str">
        <f t="shared" si="10"/>
        <v>0/3</v>
      </c>
    </row>
    <row r="143" spans="1:9" x14ac:dyDescent="0.25">
      <c r="A143" s="30">
        <f>A130</f>
        <v>46237</v>
      </c>
      <c r="B143" s="31" t="s">
        <v>82</v>
      </c>
      <c r="C143" s="31" t="s">
        <v>50</v>
      </c>
      <c r="D143" s="32" t="s">
        <v>51</v>
      </c>
      <c r="E143" s="33"/>
      <c r="F143" s="33"/>
      <c r="G143" s="33"/>
      <c r="H143" s="33"/>
      <c r="I143" s="34" t="str">
        <f t="shared" si="10"/>
        <v>0/3</v>
      </c>
    </row>
    <row r="144" spans="1:9" x14ac:dyDescent="0.25">
      <c r="A144" s="30">
        <f>A130+7</f>
        <v>46244</v>
      </c>
      <c r="B144" s="31" t="s">
        <v>81</v>
      </c>
      <c r="C144" s="31" t="s">
        <v>37</v>
      </c>
      <c r="D144" s="32" t="s">
        <v>39</v>
      </c>
      <c r="E144" s="33"/>
      <c r="F144" s="33"/>
      <c r="G144" s="33"/>
      <c r="H144" s="33"/>
      <c r="I144" s="34" t="str">
        <f t="shared" si="10"/>
        <v>0/3</v>
      </c>
    </row>
    <row r="145" spans="1:9" ht="30" x14ac:dyDescent="0.25">
      <c r="A145" s="30">
        <f>A144</f>
        <v>46244</v>
      </c>
      <c r="B145" s="31" t="s">
        <v>81</v>
      </c>
      <c r="C145" s="31" t="s">
        <v>40</v>
      </c>
      <c r="D145" s="32" t="s">
        <v>41</v>
      </c>
      <c r="E145" s="33"/>
      <c r="F145" s="33"/>
      <c r="G145" s="33"/>
      <c r="H145" s="33"/>
      <c r="I145" s="34" t="str">
        <f t="shared" si="10"/>
        <v>0/3</v>
      </c>
    </row>
    <row r="146" spans="1:9" x14ac:dyDescent="0.25">
      <c r="A146" s="30">
        <f>A144</f>
        <v>46244</v>
      </c>
      <c r="B146" s="31" t="s">
        <v>81</v>
      </c>
      <c r="C146" s="31" t="s">
        <v>42</v>
      </c>
      <c r="D146" s="32" t="s">
        <v>43</v>
      </c>
      <c r="E146" s="33"/>
      <c r="F146" s="33"/>
      <c r="G146" s="33"/>
      <c r="H146" s="33"/>
      <c r="I146" s="34" t="str">
        <f t="shared" si="10"/>
        <v>0/3</v>
      </c>
    </row>
    <row r="147" spans="1:9" x14ac:dyDescent="0.25">
      <c r="A147" s="30">
        <f>A144</f>
        <v>46244</v>
      </c>
      <c r="B147" s="31" t="s">
        <v>81</v>
      </c>
      <c r="C147" s="31" t="s">
        <v>44</v>
      </c>
      <c r="D147" s="32" t="s">
        <v>45</v>
      </c>
      <c r="E147" s="33"/>
      <c r="F147" s="33"/>
      <c r="G147" s="33"/>
      <c r="H147" s="33"/>
      <c r="I147" s="34" t="str">
        <f t="shared" si="10"/>
        <v>0/3</v>
      </c>
    </row>
    <row r="148" spans="1:9" x14ac:dyDescent="0.25">
      <c r="A148" s="30">
        <f>A144</f>
        <v>46244</v>
      </c>
      <c r="B148" s="31" t="s">
        <v>81</v>
      </c>
      <c r="C148" s="31" t="s">
        <v>46</v>
      </c>
      <c r="D148" s="32" t="s">
        <v>47</v>
      </c>
      <c r="E148" s="33"/>
      <c r="F148" s="33"/>
      <c r="G148" s="33"/>
      <c r="H148" s="33"/>
      <c r="I148" s="34" t="str">
        <f t="shared" si="10"/>
        <v>0/3</v>
      </c>
    </row>
    <row r="149" spans="1:9" x14ac:dyDescent="0.25">
      <c r="A149" s="30">
        <f>A144</f>
        <v>46244</v>
      </c>
      <c r="B149" s="31" t="s">
        <v>81</v>
      </c>
      <c r="C149" s="31" t="s">
        <v>48</v>
      </c>
      <c r="D149" s="32" t="s">
        <v>49</v>
      </c>
      <c r="E149" s="33"/>
      <c r="F149" s="33"/>
      <c r="G149" s="33"/>
      <c r="H149" s="33"/>
      <c r="I149" s="34" t="str">
        <f t="shared" si="10"/>
        <v>0/3</v>
      </c>
    </row>
    <row r="150" spans="1:9" x14ac:dyDescent="0.25">
      <c r="A150" s="30">
        <f>A144</f>
        <v>46244</v>
      </c>
      <c r="B150" s="31" t="s">
        <v>81</v>
      </c>
      <c r="C150" s="31" t="s">
        <v>50</v>
      </c>
      <c r="D150" s="32" t="s">
        <v>51</v>
      </c>
      <c r="E150" s="33"/>
      <c r="F150" s="33"/>
      <c r="G150" s="33"/>
      <c r="H150" s="33"/>
      <c r="I150" s="34" t="str">
        <f t="shared" si="10"/>
        <v>0/3</v>
      </c>
    </row>
    <row r="151" spans="1:9" x14ac:dyDescent="0.25">
      <c r="A151" s="30">
        <f>A144</f>
        <v>46244</v>
      </c>
      <c r="B151" s="31" t="s">
        <v>82</v>
      </c>
      <c r="C151" s="31" t="s">
        <v>37</v>
      </c>
      <c r="D151" s="32" t="s">
        <v>39</v>
      </c>
      <c r="E151" s="33"/>
      <c r="F151" s="33"/>
      <c r="G151" s="33"/>
      <c r="H151" s="33"/>
      <c r="I151" s="34" t="str">
        <f>COUNTA(E151:H151)&amp;"/4"</f>
        <v>0/4</v>
      </c>
    </row>
    <row r="152" spans="1:9" ht="30" x14ac:dyDescent="0.25">
      <c r="A152" s="30">
        <f>A144</f>
        <v>46244</v>
      </c>
      <c r="B152" s="31" t="s">
        <v>82</v>
      </c>
      <c r="C152" s="31" t="s">
        <v>40</v>
      </c>
      <c r="D152" s="32" t="s">
        <v>41</v>
      </c>
      <c r="E152" s="33"/>
      <c r="F152" s="33"/>
      <c r="G152" s="33"/>
      <c r="H152" s="33"/>
      <c r="I152" s="34" t="str">
        <f t="shared" ref="I152:I164" si="11">COUNTA(E152:G152)&amp;"/3"</f>
        <v>0/3</v>
      </c>
    </row>
    <row r="153" spans="1:9" x14ac:dyDescent="0.25">
      <c r="A153" s="30">
        <f>A144</f>
        <v>46244</v>
      </c>
      <c r="B153" s="31" t="s">
        <v>82</v>
      </c>
      <c r="C153" s="31" t="s">
        <v>42</v>
      </c>
      <c r="D153" s="32" t="s">
        <v>43</v>
      </c>
      <c r="E153" s="33"/>
      <c r="F153" s="33"/>
      <c r="G153" s="33"/>
      <c r="H153" s="33"/>
      <c r="I153" s="34" t="str">
        <f t="shared" si="11"/>
        <v>0/3</v>
      </c>
    </row>
    <row r="154" spans="1:9" x14ac:dyDescent="0.25">
      <c r="A154" s="30">
        <f>A144</f>
        <v>46244</v>
      </c>
      <c r="B154" s="31" t="s">
        <v>82</v>
      </c>
      <c r="C154" s="31" t="s">
        <v>44</v>
      </c>
      <c r="D154" s="32" t="s">
        <v>45</v>
      </c>
      <c r="E154" s="33"/>
      <c r="F154" s="33"/>
      <c r="G154" s="33"/>
      <c r="H154" s="33"/>
      <c r="I154" s="34" t="str">
        <f t="shared" si="11"/>
        <v>0/3</v>
      </c>
    </row>
    <row r="155" spans="1:9" x14ac:dyDescent="0.25">
      <c r="A155" s="30">
        <f>A144</f>
        <v>46244</v>
      </c>
      <c r="B155" s="31" t="s">
        <v>82</v>
      </c>
      <c r="C155" s="31" t="s">
        <v>46</v>
      </c>
      <c r="D155" s="32" t="s">
        <v>47</v>
      </c>
      <c r="E155" s="33"/>
      <c r="F155" s="33"/>
      <c r="G155" s="33"/>
      <c r="H155" s="33"/>
      <c r="I155" s="34" t="str">
        <f t="shared" si="11"/>
        <v>0/3</v>
      </c>
    </row>
    <row r="156" spans="1:9" x14ac:dyDescent="0.25">
      <c r="A156" s="30">
        <f>A144</f>
        <v>46244</v>
      </c>
      <c r="B156" s="31" t="s">
        <v>82</v>
      </c>
      <c r="C156" s="31" t="s">
        <v>48</v>
      </c>
      <c r="D156" s="32" t="s">
        <v>49</v>
      </c>
      <c r="E156" s="33"/>
      <c r="F156" s="33"/>
      <c r="G156" s="33"/>
      <c r="H156" s="33"/>
      <c r="I156" s="34" t="str">
        <f t="shared" si="11"/>
        <v>0/3</v>
      </c>
    </row>
    <row r="157" spans="1:9" x14ac:dyDescent="0.25">
      <c r="A157" s="30">
        <f>A144</f>
        <v>46244</v>
      </c>
      <c r="B157" s="31" t="s">
        <v>82</v>
      </c>
      <c r="C157" s="31" t="s">
        <v>50</v>
      </c>
      <c r="D157" s="32" t="s">
        <v>51</v>
      </c>
      <c r="E157" s="33"/>
      <c r="F157" s="33"/>
      <c r="G157" s="33"/>
      <c r="H157" s="33"/>
      <c r="I157" s="34" t="str">
        <f t="shared" si="11"/>
        <v>0/3</v>
      </c>
    </row>
    <row r="158" spans="1:9" x14ac:dyDescent="0.25">
      <c r="A158" s="30">
        <f>A144+7</f>
        <v>46251</v>
      </c>
      <c r="B158" s="31" t="s">
        <v>81</v>
      </c>
      <c r="C158" s="31" t="s">
        <v>37</v>
      </c>
      <c r="D158" s="32" t="s">
        <v>39</v>
      </c>
      <c r="E158" s="33"/>
      <c r="F158" s="33"/>
      <c r="G158" s="33"/>
      <c r="H158" s="33"/>
      <c r="I158" s="34" t="str">
        <f t="shared" si="11"/>
        <v>0/3</v>
      </c>
    </row>
    <row r="159" spans="1:9" ht="30" x14ac:dyDescent="0.25">
      <c r="A159" s="30">
        <f>A158</f>
        <v>46251</v>
      </c>
      <c r="B159" s="31" t="s">
        <v>81</v>
      </c>
      <c r="C159" s="31" t="s">
        <v>40</v>
      </c>
      <c r="D159" s="32" t="s">
        <v>41</v>
      </c>
      <c r="E159" s="33"/>
      <c r="F159" s="33"/>
      <c r="G159" s="33"/>
      <c r="H159" s="33"/>
      <c r="I159" s="34" t="str">
        <f t="shared" si="11"/>
        <v>0/3</v>
      </c>
    </row>
    <row r="160" spans="1:9" x14ac:dyDescent="0.25">
      <c r="A160" s="30">
        <f>A158</f>
        <v>46251</v>
      </c>
      <c r="B160" s="31" t="s">
        <v>81</v>
      </c>
      <c r="C160" s="31" t="s">
        <v>42</v>
      </c>
      <c r="D160" s="32" t="s">
        <v>43</v>
      </c>
      <c r="E160" s="33"/>
      <c r="F160" s="33"/>
      <c r="G160" s="33"/>
      <c r="H160" s="33"/>
      <c r="I160" s="34" t="str">
        <f t="shared" si="11"/>
        <v>0/3</v>
      </c>
    </row>
    <row r="161" spans="1:9" x14ac:dyDescent="0.25">
      <c r="A161" s="30">
        <f>A158</f>
        <v>46251</v>
      </c>
      <c r="B161" s="31" t="s">
        <v>81</v>
      </c>
      <c r="C161" s="31" t="s">
        <v>44</v>
      </c>
      <c r="D161" s="32" t="s">
        <v>45</v>
      </c>
      <c r="E161" s="33"/>
      <c r="F161" s="33"/>
      <c r="G161" s="33"/>
      <c r="H161" s="33"/>
      <c r="I161" s="34" t="str">
        <f t="shared" si="11"/>
        <v>0/3</v>
      </c>
    </row>
    <row r="162" spans="1:9" x14ac:dyDescent="0.25">
      <c r="A162" s="30">
        <f>A158</f>
        <v>46251</v>
      </c>
      <c r="B162" s="31" t="s">
        <v>81</v>
      </c>
      <c r="C162" s="31" t="s">
        <v>46</v>
      </c>
      <c r="D162" s="32" t="s">
        <v>47</v>
      </c>
      <c r="E162" s="33"/>
      <c r="F162" s="33"/>
      <c r="G162" s="33"/>
      <c r="H162" s="33"/>
      <c r="I162" s="34" t="str">
        <f t="shared" si="11"/>
        <v>0/3</v>
      </c>
    </row>
    <row r="163" spans="1:9" x14ac:dyDescent="0.25">
      <c r="A163" s="30">
        <f>A158</f>
        <v>46251</v>
      </c>
      <c r="B163" s="31" t="s">
        <v>81</v>
      </c>
      <c r="C163" s="31" t="s">
        <v>48</v>
      </c>
      <c r="D163" s="32" t="s">
        <v>49</v>
      </c>
      <c r="E163" s="33"/>
      <c r="F163" s="33"/>
      <c r="G163" s="33"/>
      <c r="H163" s="33"/>
      <c r="I163" s="34" t="str">
        <f t="shared" si="11"/>
        <v>0/3</v>
      </c>
    </row>
    <row r="164" spans="1:9" x14ac:dyDescent="0.25">
      <c r="A164" s="30">
        <f>A158</f>
        <v>46251</v>
      </c>
      <c r="B164" s="31" t="s">
        <v>81</v>
      </c>
      <c r="C164" s="31" t="s">
        <v>50</v>
      </c>
      <c r="D164" s="32" t="s">
        <v>51</v>
      </c>
      <c r="E164" s="33"/>
      <c r="F164" s="33"/>
      <c r="G164" s="33"/>
      <c r="H164" s="33"/>
      <c r="I164" s="34" t="str">
        <f t="shared" si="11"/>
        <v>0/3</v>
      </c>
    </row>
    <row r="165" spans="1:9" x14ac:dyDescent="0.25">
      <c r="A165" s="30">
        <f>A158</f>
        <v>46251</v>
      </c>
      <c r="B165" s="31" t="s">
        <v>82</v>
      </c>
      <c r="C165" s="31" t="s">
        <v>37</v>
      </c>
      <c r="D165" s="32" t="s">
        <v>39</v>
      </c>
      <c r="E165" s="33"/>
      <c r="F165" s="33"/>
      <c r="G165" s="33"/>
      <c r="H165" s="33"/>
      <c r="I165" s="34" t="str">
        <f>COUNTA(E165:H165)&amp;"/4"</f>
        <v>0/4</v>
      </c>
    </row>
    <row r="166" spans="1:9" ht="30" x14ac:dyDescent="0.25">
      <c r="A166" s="30">
        <f>A158</f>
        <v>46251</v>
      </c>
      <c r="B166" s="31" t="s">
        <v>82</v>
      </c>
      <c r="C166" s="31" t="s">
        <v>40</v>
      </c>
      <c r="D166" s="32" t="s">
        <v>41</v>
      </c>
      <c r="E166" s="33"/>
      <c r="F166" s="33"/>
      <c r="G166" s="33"/>
      <c r="H166" s="33"/>
      <c r="I166" s="34" t="str">
        <f t="shared" ref="I166:I178" si="12">COUNTA(E166:G166)&amp;"/3"</f>
        <v>0/3</v>
      </c>
    </row>
    <row r="167" spans="1:9" x14ac:dyDescent="0.25">
      <c r="A167" s="30">
        <f>A158</f>
        <v>46251</v>
      </c>
      <c r="B167" s="31" t="s">
        <v>82</v>
      </c>
      <c r="C167" s="31" t="s">
        <v>42</v>
      </c>
      <c r="D167" s="32" t="s">
        <v>43</v>
      </c>
      <c r="E167" s="33"/>
      <c r="F167" s="33"/>
      <c r="G167" s="33"/>
      <c r="H167" s="33"/>
      <c r="I167" s="34" t="str">
        <f t="shared" si="12"/>
        <v>0/3</v>
      </c>
    </row>
    <row r="168" spans="1:9" x14ac:dyDescent="0.25">
      <c r="A168" s="30">
        <f>A158</f>
        <v>46251</v>
      </c>
      <c r="B168" s="31" t="s">
        <v>82</v>
      </c>
      <c r="C168" s="31" t="s">
        <v>44</v>
      </c>
      <c r="D168" s="32" t="s">
        <v>45</v>
      </c>
      <c r="E168" s="33"/>
      <c r="F168" s="33"/>
      <c r="G168" s="33"/>
      <c r="H168" s="33"/>
      <c r="I168" s="34" t="str">
        <f t="shared" si="12"/>
        <v>0/3</v>
      </c>
    </row>
    <row r="169" spans="1:9" x14ac:dyDescent="0.25">
      <c r="A169" s="30">
        <f>A158</f>
        <v>46251</v>
      </c>
      <c r="B169" s="31" t="s">
        <v>82</v>
      </c>
      <c r="C169" s="31" t="s">
        <v>46</v>
      </c>
      <c r="D169" s="32" t="s">
        <v>47</v>
      </c>
      <c r="E169" s="33"/>
      <c r="F169" s="33"/>
      <c r="G169" s="33"/>
      <c r="H169" s="33"/>
      <c r="I169" s="34" t="str">
        <f t="shared" si="12"/>
        <v>0/3</v>
      </c>
    </row>
    <row r="170" spans="1:9" x14ac:dyDescent="0.25">
      <c r="A170" s="30">
        <f>A158</f>
        <v>46251</v>
      </c>
      <c r="B170" s="31" t="s">
        <v>82</v>
      </c>
      <c r="C170" s="31" t="s">
        <v>48</v>
      </c>
      <c r="D170" s="32" t="s">
        <v>49</v>
      </c>
      <c r="E170" s="33"/>
      <c r="F170" s="33"/>
      <c r="G170" s="33"/>
      <c r="H170" s="33"/>
      <c r="I170" s="34" t="str">
        <f t="shared" si="12"/>
        <v>0/3</v>
      </c>
    </row>
    <row r="171" spans="1:9" x14ac:dyDescent="0.25">
      <c r="A171" s="30">
        <f>A158</f>
        <v>46251</v>
      </c>
      <c r="B171" s="31" t="s">
        <v>82</v>
      </c>
      <c r="C171" s="31" t="s">
        <v>50</v>
      </c>
      <c r="D171" s="32" t="s">
        <v>51</v>
      </c>
      <c r="E171" s="33"/>
      <c r="F171" s="33"/>
      <c r="G171" s="33"/>
      <c r="H171" s="33"/>
      <c r="I171" s="34" t="str">
        <f t="shared" si="12"/>
        <v>0/3</v>
      </c>
    </row>
    <row r="172" spans="1:9" x14ac:dyDescent="0.25">
      <c r="A172" s="30">
        <f>A158+7</f>
        <v>46258</v>
      </c>
      <c r="B172" s="31" t="s">
        <v>81</v>
      </c>
      <c r="C172" s="31" t="s">
        <v>37</v>
      </c>
      <c r="D172" s="32" t="s">
        <v>39</v>
      </c>
      <c r="E172" s="33"/>
      <c r="F172" s="33"/>
      <c r="G172" s="33"/>
      <c r="H172" s="33"/>
      <c r="I172" s="34" t="str">
        <f t="shared" si="12"/>
        <v>0/3</v>
      </c>
    </row>
    <row r="173" spans="1:9" ht="30" x14ac:dyDescent="0.25">
      <c r="A173" s="30">
        <f>A172</f>
        <v>46258</v>
      </c>
      <c r="B173" s="31" t="s">
        <v>81</v>
      </c>
      <c r="C173" s="31" t="s">
        <v>40</v>
      </c>
      <c r="D173" s="32" t="s">
        <v>41</v>
      </c>
      <c r="E173" s="33"/>
      <c r="F173" s="33"/>
      <c r="G173" s="33"/>
      <c r="H173" s="33"/>
      <c r="I173" s="34" t="str">
        <f t="shared" si="12"/>
        <v>0/3</v>
      </c>
    </row>
    <row r="174" spans="1:9" x14ac:dyDescent="0.25">
      <c r="A174" s="30">
        <f>A172</f>
        <v>46258</v>
      </c>
      <c r="B174" s="31" t="s">
        <v>81</v>
      </c>
      <c r="C174" s="31" t="s">
        <v>42</v>
      </c>
      <c r="D174" s="32" t="s">
        <v>43</v>
      </c>
      <c r="E174" s="33"/>
      <c r="F174" s="33"/>
      <c r="G174" s="33"/>
      <c r="H174" s="33"/>
      <c r="I174" s="34" t="str">
        <f t="shared" si="12"/>
        <v>0/3</v>
      </c>
    </row>
    <row r="175" spans="1:9" x14ac:dyDescent="0.25">
      <c r="A175" s="30">
        <f>A172</f>
        <v>46258</v>
      </c>
      <c r="B175" s="31" t="s">
        <v>81</v>
      </c>
      <c r="C175" s="31" t="s">
        <v>44</v>
      </c>
      <c r="D175" s="32" t="s">
        <v>45</v>
      </c>
      <c r="E175" s="33"/>
      <c r="F175" s="33"/>
      <c r="G175" s="33"/>
      <c r="H175" s="33"/>
      <c r="I175" s="34" t="str">
        <f t="shared" si="12"/>
        <v>0/3</v>
      </c>
    </row>
    <row r="176" spans="1:9" x14ac:dyDescent="0.25">
      <c r="A176" s="30">
        <f>A172</f>
        <v>46258</v>
      </c>
      <c r="B176" s="31" t="s">
        <v>81</v>
      </c>
      <c r="C176" s="31" t="s">
        <v>46</v>
      </c>
      <c r="D176" s="32" t="s">
        <v>47</v>
      </c>
      <c r="E176" s="33"/>
      <c r="F176" s="33"/>
      <c r="G176" s="33"/>
      <c r="H176" s="33"/>
      <c r="I176" s="34" t="str">
        <f t="shared" si="12"/>
        <v>0/3</v>
      </c>
    </row>
    <row r="177" spans="1:9" x14ac:dyDescent="0.25">
      <c r="A177" s="30">
        <f>A172</f>
        <v>46258</v>
      </c>
      <c r="B177" s="31" t="s">
        <v>81</v>
      </c>
      <c r="C177" s="31" t="s">
        <v>48</v>
      </c>
      <c r="D177" s="32" t="s">
        <v>49</v>
      </c>
      <c r="E177" s="33"/>
      <c r="F177" s="33"/>
      <c r="G177" s="33"/>
      <c r="H177" s="33"/>
      <c r="I177" s="34" t="str">
        <f t="shared" si="12"/>
        <v>0/3</v>
      </c>
    </row>
    <row r="178" spans="1:9" x14ac:dyDescent="0.25">
      <c r="A178" s="30">
        <f>A172</f>
        <v>46258</v>
      </c>
      <c r="B178" s="31" t="s">
        <v>81</v>
      </c>
      <c r="C178" s="31" t="s">
        <v>50</v>
      </c>
      <c r="D178" s="32" t="s">
        <v>51</v>
      </c>
      <c r="E178" s="33"/>
      <c r="F178" s="33"/>
      <c r="G178" s="33"/>
      <c r="H178" s="33"/>
      <c r="I178" s="34" t="str">
        <f t="shared" si="12"/>
        <v>0/3</v>
      </c>
    </row>
    <row r="179" spans="1:9" x14ac:dyDescent="0.25">
      <c r="A179" s="30">
        <f>A172</f>
        <v>46258</v>
      </c>
      <c r="B179" s="31" t="s">
        <v>82</v>
      </c>
      <c r="C179" s="31" t="s">
        <v>37</v>
      </c>
      <c r="D179" s="32" t="s">
        <v>39</v>
      </c>
      <c r="E179" s="33"/>
      <c r="F179" s="33"/>
      <c r="G179" s="33"/>
      <c r="H179" s="33"/>
      <c r="I179" s="34" t="str">
        <f>COUNTA(E179:H179)&amp;"/4"</f>
        <v>0/4</v>
      </c>
    </row>
    <row r="180" spans="1:9" ht="30" x14ac:dyDescent="0.25">
      <c r="A180" s="30">
        <f>A172</f>
        <v>46258</v>
      </c>
      <c r="B180" s="31" t="s">
        <v>82</v>
      </c>
      <c r="C180" s="31" t="s">
        <v>40</v>
      </c>
      <c r="D180" s="32" t="s">
        <v>41</v>
      </c>
      <c r="E180" s="33"/>
      <c r="F180" s="33"/>
      <c r="G180" s="33"/>
      <c r="H180" s="33"/>
      <c r="I180" s="34" t="str">
        <f t="shared" ref="I180:I192" si="13">COUNTA(E180:G180)&amp;"/3"</f>
        <v>0/3</v>
      </c>
    </row>
    <row r="181" spans="1:9" x14ac:dyDescent="0.25">
      <c r="A181" s="30">
        <f>A172</f>
        <v>46258</v>
      </c>
      <c r="B181" s="31" t="s">
        <v>82</v>
      </c>
      <c r="C181" s="31" t="s">
        <v>42</v>
      </c>
      <c r="D181" s="32" t="s">
        <v>43</v>
      </c>
      <c r="E181" s="33"/>
      <c r="F181" s="33"/>
      <c r="G181" s="33"/>
      <c r="H181" s="33"/>
      <c r="I181" s="34" t="str">
        <f t="shared" si="13"/>
        <v>0/3</v>
      </c>
    </row>
    <row r="182" spans="1:9" x14ac:dyDescent="0.25">
      <c r="A182" s="30">
        <f>A172</f>
        <v>46258</v>
      </c>
      <c r="B182" s="31" t="s">
        <v>82</v>
      </c>
      <c r="C182" s="31" t="s">
        <v>44</v>
      </c>
      <c r="D182" s="32" t="s">
        <v>45</v>
      </c>
      <c r="E182" s="33"/>
      <c r="F182" s="33"/>
      <c r="G182" s="33"/>
      <c r="H182" s="33"/>
      <c r="I182" s="34" t="str">
        <f t="shared" si="13"/>
        <v>0/3</v>
      </c>
    </row>
    <row r="183" spans="1:9" x14ac:dyDescent="0.25">
      <c r="A183" s="30">
        <f>A172</f>
        <v>46258</v>
      </c>
      <c r="B183" s="31" t="s">
        <v>82</v>
      </c>
      <c r="C183" s="31" t="s">
        <v>46</v>
      </c>
      <c r="D183" s="32" t="s">
        <v>47</v>
      </c>
      <c r="E183" s="33"/>
      <c r="F183" s="33"/>
      <c r="G183" s="33"/>
      <c r="H183" s="33"/>
      <c r="I183" s="34" t="str">
        <f t="shared" si="13"/>
        <v>0/3</v>
      </c>
    </row>
    <row r="184" spans="1:9" x14ac:dyDescent="0.25">
      <c r="A184" s="30">
        <f>A172</f>
        <v>46258</v>
      </c>
      <c r="B184" s="31" t="s">
        <v>82</v>
      </c>
      <c r="C184" s="31" t="s">
        <v>48</v>
      </c>
      <c r="D184" s="32" t="s">
        <v>49</v>
      </c>
      <c r="E184" s="33"/>
      <c r="F184" s="33"/>
      <c r="G184" s="33"/>
      <c r="H184" s="33"/>
      <c r="I184" s="34" t="str">
        <f t="shared" si="13"/>
        <v>0/3</v>
      </c>
    </row>
    <row r="185" spans="1:9" x14ac:dyDescent="0.25">
      <c r="A185" s="30">
        <f>A172</f>
        <v>46258</v>
      </c>
      <c r="B185" s="31" t="s">
        <v>82</v>
      </c>
      <c r="C185" s="31" t="s">
        <v>50</v>
      </c>
      <c r="D185" s="32" t="s">
        <v>51</v>
      </c>
      <c r="E185" s="33"/>
      <c r="F185" s="33"/>
      <c r="G185" s="33"/>
      <c r="H185" s="33"/>
      <c r="I185" s="34" t="str">
        <f t="shared" si="13"/>
        <v>0/3</v>
      </c>
    </row>
    <row r="186" spans="1:9" x14ac:dyDescent="0.25">
      <c r="A186" s="30">
        <f>A172+7</f>
        <v>46265</v>
      </c>
      <c r="B186" s="31" t="s">
        <v>81</v>
      </c>
      <c r="C186" s="31" t="s">
        <v>37</v>
      </c>
      <c r="D186" s="32" t="s">
        <v>39</v>
      </c>
      <c r="E186" s="33"/>
      <c r="F186" s="33"/>
      <c r="G186" s="33"/>
      <c r="H186" s="33"/>
      <c r="I186" s="34" t="str">
        <f t="shared" si="13"/>
        <v>0/3</v>
      </c>
    </row>
    <row r="187" spans="1:9" ht="30" x14ac:dyDescent="0.25">
      <c r="A187" s="30">
        <f>A186</f>
        <v>46265</v>
      </c>
      <c r="B187" s="31" t="s">
        <v>81</v>
      </c>
      <c r="C187" s="31" t="s">
        <v>40</v>
      </c>
      <c r="D187" s="32" t="s">
        <v>41</v>
      </c>
      <c r="E187" s="33"/>
      <c r="F187" s="33"/>
      <c r="G187" s="33"/>
      <c r="H187" s="33"/>
      <c r="I187" s="34" t="str">
        <f t="shared" si="13"/>
        <v>0/3</v>
      </c>
    </row>
    <row r="188" spans="1:9" x14ac:dyDescent="0.25">
      <c r="A188" s="30">
        <f>A186</f>
        <v>46265</v>
      </c>
      <c r="B188" s="31" t="s">
        <v>81</v>
      </c>
      <c r="C188" s="31" t="s">
        <v>42</v>
      </c>
      <c r="D188" s="32" t="s">
        <v>43</v>
      </c>
      <c r="E188" s="33"/>
      <c r="F188" s="33"/>
      <c r="G188" s="33"/>
      <c r="H188" s="33"/>
      <c r="I188" s="34" t="str">
        <f t="shared" si="13"/>
        <v>0/3</v>
      </c>
    </row>
    <row r="189" spans="1:9" x14ac:dyDescent="0.25">
      <c r="A189" s="30">
        <f>A186</f>
        <v>46265</v>
      </c>
      <c r="B189" s="31" t="s">
        <v>81</v>
      </c>
      <c r="C189" s="31" t="s">
        <v>44</v>
      </c>
      <c r="D189" s="32" t="s">
        <v>45</v>
      </c>
      <c r="E189" s="33"/>
      <c r="F189" s="33"/>
      <c r="G189" s="33"/>
      <c r="H189" s="33"/>
      <c r="I189" s="34" t="str">
        <f t="shared" si="13"/>
        <v>0/3</v>
      </c>
    </row>
    <row r="190" spans="1:9" x14ac:dyDescent="0.25">
      <c r="A190" s="30">
        <f>A186</f>
        <v>46265</v>
      </c>
      <c r="B190" s="31" t="s">
        <v>81</v>
      </c>
      <c r="C190" s="31" t="s">
        <v>46</v>
      </c>
      <c r="D190" s="32" t="s">
        <v>47</v>
      </c>
      <c r="E190" s="33"/>
      <c r="F190" s="33"/>
      <c r="G190" s="33"/>
      <c r="H190" s="33"/>
      <c r="I190" s="34" t="str">
        <f t="shared" si="13"/>
        <v>0/3</v>
      </c>
    </row>
    <row r="191" spans="1:9" x14ac:dyDescent="0.25">
      <c r="A191" s="30">
        <f>A186</f>
        <v>46265</v>
      </c>
      <c r="B191" s="31" t="s">
        <v>81</v>
      </c>
      <c r="C191" s="31" t="s">
        <v>48</v>
      </c>
      <c r="D191" s="32" t="s">
        <v>49</v>
      </c>
      <c r="E191" s="33"/>
      <c r="F191" s="33"/>
      <c r="G191" s="33"/>
      <c r="H191" s="33"/>
      <c r="I191" s="34" t="str">
        <f t="shared" si="13"/>
        <v>0/3</v>
      </c>
    </row>
    <row r="192" spans="1:9" x14ac:dyDescent="0.25">
      <c r="A192" s="30">
        <f>A186</f>
        <v>46265</v>
      </c>
      <c r="B192" s="31" t="s">
        <v>81</v>
      </c>
      <c r="C192" s="31" t="s">
        <v>50</v>
      </c>
      <c r="D192" s="32" t="s">
        <v>51</v>
      </c>
      <c r="E192" s="33"/>
      <c r="F192" s="33"/>
      <c r="G192" s="33"/>
      <c r="H192" s="33"/>
      <c r="I192" s="34" t="str">
        <f t="shared" si="13"/>
        <v>0/3</v>
      </c>
    </row>
    <row r="193" spans="1:9" x14ac:dyDescent="0.25">
      <c r="A193" s="30">
        <f>A186</f>
        <v>46265</v>
      </c>
      <c r="B193" s="31" t="s">
        <v>82</v>
      </c>
      <c r="C193" s="31" t="s">
        <v>37</v>
      </c>
      <c r="D193" s="32" t="s">
        <v>39</v>
      </c>
      <c r="E193" s="33"/>
      <c r="F193" s="33"/>
      <c r="G193" s="33"/>
      <c r="H193" s="33"/>
      <c r="I193" s="34" t="str">
        <f>COUNTA(E193:H193)&amp;"/4"</f>
        <v>0/4</v>
      </c>
    </row>
    <row r="194" spans="1:9" ht="30" x14ac:dyDescent="0.25">
      <c r="A194" s="30">
        <f>A186</f>
        <v>46265</v>
      </c>
      <c r="B194" s="31" t="s">
        <v>82</v>
      </c>
      <c r="C194" s="31" t="s">
        <v>40</v>
      </c>
      <c r="D194" s="32" t="s">
        <v>41</v>
      </c>
      <c r="E194" s="33"/>
      <c r="F194" s="33"/>
      <c r="G194" s="33"/>
      <c r="H194" s="33"/>
      <c r="I194" s="34" t="str">
        <f t="shared" ref="I194:I206" si="14">COUNTA(E194:G194)&amp;"/3"</f>
        <v>0/3</v>
      </c>
    </row>
    <row r="195" spans="1:9" x14ac:dyDescent="0.25">
      <c r="A195" s="30">
        <f>A186</f>
        <v>46265</v>
      </c>
      <c r="B195" s="31" t="s">
        <v>82</v>
      </c>
      <c r="C195" s="31" t="s">
        <v>42</v>
      </c>
      <c r="D195" s="32" t="s">
        <v>43</v>
      </c>
      <c r="E195" s="33"/>
      <c r="F195" s="33"/>
      <c r="G195" s="33"/>
      <c r="H195" s="33"/>
      <c r="I195" s="34" t="str">
        <f t="shared" si="14"/>
        <v>0/3</v>
      </c>
    </row>
    <row r="196" spans="1:9" x14ac:dyDescent="0.25">
      <c r="A196" s="30">
        <f>A186</f>
        <v>46265</v>
      </c>
      <c r="B196" s="31" t="s">
        <v>82</v>
      </c>
      <c r="C196" s="31" t="s">
        <v>44</v>
      </c>
      <c r="D196" s="32" t="s">
        <v>45</v>
      </c>
      <c r="E196" s="33"/>
      <c r="F196" s="33"/>
      <c r="G196" s="33"/>
      <c r="H196" s="33"/>
      <c r="I196" s="34" t="str">
        <f t="shared" si="14"/>
        <v>0/3</v>
      </c>
    </row>
    <row r="197" spans="1:9" x14ac:dyDescent="0.25">
      <c r="A197" s="30">
        <f>A186</f>
        <v>46265</v>
      </c>
      <c r="B197" s="31" t="s">
        <v>82</v>
      </c>
      <c r="C197" s="31" t="s">
        <v>46</v>
      </c>
      <c r="D197" s="32" t="s">
        <v>47</v>
      </c>
      <c r="E197" s="33"/>
      <c r="F197" s="33"/>
      <c r="G197" s="33"/>
      <c r="H197" s="33"/>
      <c r="I197" s="34" t="str">
        <f t="shared" si="14"/>
        <v>0/3</v>
      </c>
    </row>
    <row r="198" spans="1:9" x14ac:dyDescent="0.25">
      <c r="A198" s="30">
        <f>A186</f>
        <v>46265</v>
      </c>
      <c r="B198" s="31" t="s">
        <v>82</v>
      </c>
      <c r="C198" s="31" t="s">
        <v>48</v>
      </c>
      <c r="D198" s="32" t="s">
        <v>49</v>
      </c>
      <c r="E198" s="33"/>
      <c r="F198" s="33"/>
      <c r="G198" s="33"/>
      <c r="H198" s="33"/>
      <c r="I198" s="34" t="str">
        <f t="shared" si="14"/>
        <v>0/3</v>
      </c>
    </row>
    <row r="199" spans="1:9" x14ac:dyDescent="0.25">
      <c r="A199" s="30">
        <f>A186</f>
        <v>46265</v>
      </c>
      <c r="B199" s="31" t="s">
        <v>82</v>
      </c>
      <c r="C199" s="31" t="s">
        <v>50</v>
      </c>
      <c r="D199" s="32" t="s">
        <v>51</v>
      </c>
      <c r="E199" s="33"/>
      <c r="F199" s="33"/>
      <c r="G199" s="33"/>
      <c r="H199" s="33"/>
      <c r="I199" s="34" t="str">
        <f t="shared" si="14"/>
        <v>0/3</v>
      </c>
    </row>
    <row r="200" spans="1:9" x14ac:dyDescent="0.25">
      <c r="A200" s="30">
        <f>A186+7</f>
        <v>46272</v>
      </c>
      <c r="B200" s="31" t="s">
        <v>81</v>
      </c>
      <c r="C200" s="31" t="s">
        <v>37</v>
      </c>
      <c r="D200" s="32" t="s">
        <v>39</v>
      </c>
      <c r="E200" s="33"/>
      <c r="F200" s="33"/>
      <c r="G200" s="33"/>
      <c r="H200" s="33"/>
      <c r="I200" s="34" t="str">
        <f t="shared" si="14"/>
        <v>0/3</v>
      </c>
    </row>
    <row r="201" spans="1:9" ht="30" x14ac:dyDescent="0.25">
      <c r="A201" s="30">
        <f>A200</f>
        <v>46272</v>
      </c>
      <c r="B201" s="31" t="s">
        <v>81</v>
      </c>
      <c r="C201" s="31" t="s">
        <v>40</v>
      </c>
      <c r="D201" s="32" t="s">
        <v>41</v>
      </c>
      <c r="E201" s="33"/>
      <c r="F201" s="33"/>
      <c r="G201" s="33"/>
      <c r="H201" s="33"/>
      <c r="I201" s="34" t="str">
        <f t="shared" si="14"/>
        <v>0/3</v>
      </c>
    </row>
    <row r="202" spans="1:9" x14ac:dyDescent="0.25">
      <c r="A202" s="30">
        <f>A200</f>
        <v>46272</v>
      </c>
      <c r="B202" s="31" t="s">
        <v>81</v>
      </c>
      <c r="C202" s="31" t="s">
        <v>42</v>
      </c>
      <c r="D202" s="32" t="s">
        <v>43</v>
      </c>
      <c r="E202" s="33"/>
      <c r="F202" s="33"/>
      <c r="G202" s="33"/>
      <c r="H202" s="33"/>
      <c r="I202" s="34" t="str">
        <f t="shared" si="14"/>
        <v>0/3</v>
      </c>
    </row>
    <row r="203" spans="1:9" x14ac:dyDescent="0.25">
      <c r="A203" s="30">
        <f>A200</f>
        <v>46272</v>
      </c>
      <c r="B203" s="31" t="s">
        <v>81</v>
      </c>
      <c r="C203" s="31" t="s">
        <v>44</v>
      </c>
      <c r="D203" s="32" t="s">
        <v>45</v>
      </c>
      <c r="E203" s="33"/>
      <c r="F203" s="33"/>
      <c r="G203" s="33"/>
      <c r="H203" s="33"/>
      <c r="I203" s="34" t="str">
        <f t="shared" si="14"/>
        <v>0/3</v>
      </c>
    </row>
    <row r="204" spans="1:9" x14ac:dyDescent="0.25">
      <c r="A204" s="30">
        <f>A200</f>
        <v>46272</v>
      </c>
      <c r="B204" s="31" t="s">
        <v>81</v>
      </c>
      <c r="C204" s="31" t="s">
        <v>46</v>
      </c>
      <c r="D204" s="32" t="s">
        <v>47</v>
      </c>
      <c r="E204" s="33"/>
      <c r="F204" s="33"/>
      <c r="G204" s="33"/>
      <c r="H204" s="33"/>
      <c r="I204" s="34" t="str">
        <f t="shared" si="14"/>
        <v>0/3</v>
      </c>
    </row>
    <row r="205" spans="1:9" x14ac:dyDescent="0.25">
      <c r="A205" s="30">
        <f>A200</f>
        <v>46272</v>
      </c>
      <c r="B205" s="31" t="s">
        <v>81</v>
      </c>
      <c r="C205" s="31" t="s">
        <v>48</v>
      </c>
      <c r="D205" s="32" t="s">
        <v>49</v>
      </c>
      <c r="E205" s="33"/>
      <c r="F205" s="33"/>
      <c r="G205" s="33"/>
      <c r="H205" s="33"/>
      <c r="I205" s="34" t="str">
        <f t="shared" si="14"/>
        <v>0/3</v>
      </c>
    </row>
    <row r="206" spans="1:9" x14ac:dyDescent="0.25">
      <c r="A206" s="30">
        <f>A200</f>
        <v>46272</v>
      </c>
      <c r="B206" s="31" t="s">
        <v>81</v>
      </c>
      <c r="C206" s="31" t="s">
        <v>50</v>
      </c>
      <c r="D206" s="32" t="s">
        <v>51</v>
      </c>
      <c r="E206" s="33"/>
      <c r="F206" s="33"/>
      <c r="G206" s="33"/>
      <c r="H206" s="33"/>
      <c r="I206" s="34" t="str">
        <f t="shared" si="14"/>
        <v>0/3</v>
      </c>
    </row>
    <row r="207" spans="1:9" x14ac:dyDescent="0.25">
      <c r="A207" s="30">
        <f>A200</f>
        <v>46272</v>
      </c>
      <c r="B207" s="31" t="s">
        <v>82</v>
      </c>
      <c r="C207" s="31" t="s">
        <v>37</v>
      </c>
      <c r="D207" s="32" t="s">
        <v>39</v>
      </c>
      <c r="E207" s="33"/>
      <c r="F207" s="33"/>
      <c r="G207" s="33"/>
      <c r="H207" s="33"/>
      <c r="I207" s="34" t="str">
        <f>COUNTA(E207:H207)&amp;"/4"</f>
        <v>0/4</v>
      </c>
    </row>
    <row r="208" spans="1:9" ht="30" x14ac:dyDescent="0.25">
      <c r="A208" s="30">
        <f>A200</f>
        <v>46272</v>
      </c>
      <c r="B208" s="31" t="s">
        <v>82</v>
      </c>
      <c r="C208" s="31" t="s">
        <v>40</v>
      </c>
      <c r="D208" s="32" t="s">
        <v>41</v>
      </c>
      <c r="E208" s="33"/>
      <c r="F208" s="33"/>
      <c r="G208" s="33"/>
      <c r="H208" s="33"/>
      <c r="I208" s="34" t="str">
        <f t="shared" ref="I208:I220" si="15">COUNTA(E208:G208)&amp;"/3"</f>
        <v>0/3</v>
      </c>
    </row>
    <row r="209" spans="1:9" x14ac:dyDescent="0.25">
      <c r="A209" s="30">
        <f>A200</f>
        <v>46272</v>
      </c>
      <c r="B209" s="31" t="s">
        <v>82</v>
      </c>
      <c r="C209" s="31" t="s">
        <v>42</v>
      </c>
      <c r="D209" s="32" t="s">
        <v>43</v>
      </c>
      <c r="E209" s="33"/>
      <c r="F209" s="33"/>
      <c r="G209" s="33"/>
      <c r="H209" s="33"/>
      <c r="I209" s="34" t="str">
        <f t="shared" si="15"/>
        <v>0/3</v>
      </c>
    </row>
    <row r="210" spans="1:9" x14ac:dyDescent="0.25">
      <c r="A210" s="30">
        <f>A200</f>
        <v>46272</v>
      </c>
      <c r="B210" s="31" t="s">
        <v>82</v>
      </c>
      <c r="C210" s="31" t="s">
        <v>44</v>
      </c>
      <c r="D210" s="32" t="s">
        <v>45</v>
      </c>
      <c r="E210" s="33"/>
      <c r="F210" s="33"/>
      <c r="G210" s="33"/>
      <c r="H210" s="33"/>
      <c r="I210" s="34" t="str">
        <f t="shared" si="15"/>
        <v>0/3</v>
      </c>
    </row>
    <row r="211" spans="1:9" x14ac:dyDescent="0.25">
      <c r="A211" s="30">
        <f>A200</f>
        <v>46272</v>
      </c>
      <c r="B211" s="31" t="s">
        <v>82</v>
      </c>
      <c r="C211" s="31" t="s">
        <v>46</v>
      </c>
      <c r="D211" s="32" t="s">
        <v>47</v>
      </c>
      <c r="E211" s="33"/>
      <c r="F211" s="33"/>
      <c r="G211" s="33"/>
      <c r="H211" s="33"/>
      <c r="I211" s="34" t="str">
        <f t="shared" si="15"/>
        <v>0/3</v>
      </c>
    </row>
    <row r="212" spans="1:9" x14ac:dyDescent="0.25">
      <c r="A212" s="30">
        <f>A200</f>
        <v>46272</v>
      </c>
      <c r="B212" s="31" t="s">
        <v>82</v>
      </c>
      <c r="C212" s="31" t="s">
        <v>48</v>
      </c>
      <c r="D212" s="32" t="s">
        <v>49</v>
      </c>
      <c r="E212" s="33"/>
      <c r="F212" s="33"/>
      <c r="G212" s="33"/>
      <c r="H212" s="33"/>
      <c r="I212" s="34" t="str">
        <f t="shared" si="15"/>
        <v>0/3</v>
      </c>
    </row>
    <row r="213" spans="1:9" x14ac:dyDescent="0.25">
      <c r="A213" s="30">
        <f>A200</f>
        <v>46272</v>
      </c>
      <c r="B213" s="31" t="s">
        <v>82</v>
      </c>
      <c r="C213" s="31" t="s">
        <v>50</v>
      </c>
      <c r="D213" s="32" t="s">
        <v>51</v>
      </c>
      <c r="E213" s="33"/>
      <c r="F213" s="33"/>
      <c r="G213" s="33"/>
      <c r="H213" s="33"/>
      <c r="I213" s="34" t="str">
        <f t="shared" si="15"/>
        <v>0/3</v>
      </c>
    </row>
    <row r="214" spans="1:9" x14ac:dyDescent="0.25">
      <c r="A214" s="30">
        <f>A200+7</f>
        <v>46279</v>
      </c>
      <c r="B214" s="31" t="s">
        <v>81</v>
      </c>
      <c r="C214" s="31" t="s">
        <v>37</v>
      </c>
      <c r="D214" s="32" t="s">
        <v>39</v>
      </c>
      <c r="E214" s="33"/>
      <c r="F214" s="33"/>
      <c r="G214" s="33"/>
      <c r="H214" s="33"/>
      <c r="I214" s="34" t="str">
        <f t="shared" si="15"/>
        <v>0/3</v>
      </c>
    </row>
    <row r="215" spans="1:9" ht="30" x14ac:dyDescent="0.25">
      <c r="A215" s="30">
        <f>A214</f>
        <v>46279</v>
      </c>
      <c r="B215" s="31" t="s">
        <v>81</v>
      </c>
      <c r="C215" s="31" t="s">
        <v>40</v>
      </c>
      <c r="D215" s="32" t="s">
        <v>41</v>
      </c>
      <c r="E215" s="33"/>
      <c r="F215" s="33"/>
      <c r="G215" s="33"/>
      <c r="H215" s="33"/>
      <c r="I215" s="34" t="str">
        <f t="shared" si="15"/>
        <v>0/3</v>
      </c>
    </row>
    <row r="216" spans="1:9" x14ac:dyDescent="0.25">
      <c r="A216" s="30">
        <f>A214</f>
        <v>46279</v>
      </c>
      <c r="B216" s="31" t="s">
        <v>81</v>
      </c>
      <c r="C216" s="31" t="s">
        <v>42</v>
      </c>
      <c r="D216" s="32" t="s">
        <v>43</v>
      </c>
      <c r="E216" s="33"/>
      <c r="F216" s="33"/>
      <c r="G216" s="33"/>
      <c r="H216" s="33"/>
      <c r="I216" s="34" t="str">
        <f t="shared" si="15"/>
        <v>0/3</v>
      </c>
    </row>
    <row r="217" spans="1:9" x14ac:dyDescent="0.25">
      <c r="A217" s="30">
        <f>A214</f>
        <v>46279</v>
      </c>
      <c r="B217" s="31" t="s">
        <v>81</v>
      </c>
      <c r="C217" s="31" t="s">
        <v>44</v>
      </c>
      <c r="D217" s="32" t="s">
        <v>45</v>
      </c>
      <c r="E217" s="33"/>
      <c r="F217" s="33"/>
      <c r="G217" s="33"/>
      <c r="H217" s="33"/>
      <c r="I217" s="34" t="str">
        <f t="shared" si="15"/>
        <v>0/3</v>
      </c>
    </row>
    <row r="218" spans="1:9" x14ac:dyDescent="0.25">
      <c r="A218" s="30">
        <f>A214</f>
        <v>46279</v>
      </c>
      <c r="B218" s="31" t="s">
        <v>81</v>
      </c>
      <c r="C218" s="31" t="s">
        <v>46</v>
      </c>
      <c r="D218" s="32" t="s">
        <v>47</v>
      </c>
      <c r="E218" s="33"/>
      <c r="F218" s="33"/>
      <c r="G218" s="33"/>
      <c r="H218" s="33"/>
      <c r="I218" s="34" t="str">
        <f t="shared" si="15"/>
        <v>0/3</v>
      </c>
    </row>
    <row r="219" spans="1:9" x14ac:dyDescent="0.25">
      <c r="A219" s="30">
        <f>A214</f>
        <v>46279</v>
      </c>
      <c r="B219" s="31" t="s">
        <v>81</v>
      </c>
      <c r="C219" s="31" t="s">
        <v>48</v>
      </c>
      <c r="D219" s="32" t="s">
        <v>49</v>
      </c>
      <c r="E219" s="33"/>
      <c r="F219" s="33"/>
      <c r="G219" s="33"/>
      <c r="H219" s="33"/>
      <c r="I219" s="34" t="str">
        <f t="shared" si="15"/>
        <v>0/3</v>
      </c>
    </row>
    <row r="220" spans="1:9" x14ac:dyDescent="0.25">
      <c r="A220" s="30">
        <f>A214</f>
        <v>46279</v>
      </c>
      <c r="B220" s="31" t="s">
        <v>81</v>
      </c>
      <c r="C220" s="31" t="s">
        <v>50</v>
      </c>
      <c r="D220" s="32" t="s">
        <v>51</v>
      </c>
      <c r="E220" s="33"/>
      <c r="F220" s="33"/>
      <c r="G220" s="33"/>
      <c r="H220" s="33"/>
      <c r="I220" s="34" t="str">
        <f t="shared" si="15"/>
        <v>0/3</v>
      </c>
    </row>
    <row r="221" spans="1:9" x14ac:dyDescent="0.25">
      <c r="A221" s="30">
        <f>A214</f>
        <v>46279</v>
      </c>
      <c r="B221" s="31" t="s">
        <v>82</v>
      </c>
      <c r="C221" s="31" t="s">
        <v>37</v>
      </c>
      <c r="D221" s="32" t="s">
        <v>39</v>
      </c>
      <c r="E221" s="33"/>
      <c r="F221" s="33"/>
      <c r="G221" s="33"/>
      <c r="H221" s="33"/>
      <c r="I221" s="34" t="str">
        <f>COUNTA(E221:H221)&amp;"/4"</f>
        <v>0/4</v>
      </c>
    </row>
    <row r="222" spans="1:9" ht="30" x14ac:dyDescent="0.25">
      <c r="A222" s="30">
        <f>A214</f>
        <v>46279</v>
      </c>
      <c r="B222" s="31" t="s">
        <v>82</v>
      </c>
      <c r="C222" s="31" t="s">
        <v>40</v>
      </c>
      <c r="D222" s="32" t="s">
        <v>41</v>
      </c>
      <c r="E222" s="33"/>
      <c r="F222" s="33"/>
      <c r="G222" s="33"/>
      <c r="H222" s="33"/>
      <c r="I222" s="34" t="str">
        <f t="shared" ref="I222:I234" si="16">COUNTA(E222:G222)&amp;"/3"</f>
        <v>0/3</v>
      </c>
    </row>
    <row r="223" spans="1:9" x14ac:dyDescent="0.25">
      <c r="A223" s="30">
        <f>A214</f>
        <v>46279</v>
      </c>
      <c r="B223" s="31" t="s">
        <v>82</v>
      </c>
      <c r="C223" s="31" t="s">
        <v>42</v>
      </c>
      <c r="D223" s="32" t="s">
        <v>43</v>
      </c>
      <c r="E223" s="33"/>
      <c r="F223" s="33"/>
      <c r="G223" s="33"/>
      <c r="H223" s="33"/>
      <c r="I223" s="34" t="str">
        <f t="shared" si="16"/>
        <v>0/3</v>
      </c>
    </row>
    <row r="224" spans="1:9" x14ac:dyDescent="0.25">
      <c r="A224" s="30">
        <f>A214</f>
        <v>46279</v>
      </c>
      <c r="B224" s="31" t="s">
        <v>82</v>
      </c>
      <c r="C224" s="31" t="s">
        <v>44</v>
      </c>
      <c r="D224" s="32" t="s">
        <v>45</v>
      </c>
      <c r="E224" s="33"/>
      <c r="F224" s="33"/>
      <c r="G224" s="33"/>
      <c r="H224" s="33"/>
      <c r="I224" s="34" t="str">
        <f t="shared" si="16"/>
        <v>0/3</v>
      </c>
    </row>
    <row r="225" spans="1:9" x14ac:dyDescent="0.25">
      <c r="A225" s="30">
        <f>A214</f>
        <v>46279</v>
      </c>
      <c r="B225" s="31" t="s">
        <v>82</v>
      </c>
      <c r="C225" s="31" t="s">
        <v>46</v>
      </c>
      <c r="D225" s="32" t="s">
        <v>47</v>
      </c>
      <c r="E225" s="33"/>
      <c r="F225" s="33"/>
      <c r="G225" s="33"/>
      <c r="H225" s="33"/>
      <c r="I225" s="34" t="str">
        <f t="shared" si="16"/>
        <v>0/3</v>
      </c>
    </row>
    <row r="226" spans="1:9" x14ac:dyDescent="0.25">
      <c r="A226" s="30">
        <f>A214</f>
        <v>46279</v>
      </c>
      <c r="B226" s="31" t="s">
        <v>82</v>
      </c>
      <c r="C226" s="31" t="s">
        <v>48</v>
      </c>
      <c r="D226" s="32" t="s">
        <v>49</v>
      </c>
      <c r="E226" s="33"/>
      <c r="F226" s="33"/>
      <c r="G226" s="33"/>
      <c r="H226" s="33"/>
      <c r="I226" s="34" t="str">
        <f t="shared" si="16"/>
        <v>0/3</v>
      </c>
    </row>
    <row r="227" spans="1:9" x14ac:dyDescent="0.25">
      <c r="A227" s="30">
        <f>A214</f>
        <v>46279</v>
      </c>
      <c r="B227" s="31" t="s">
        <v>82</v>
      </c>
      <c r="C227" s="31" t="s">
        <v>50</v>
      </c>
      <c r="D227" s="32" t="s">
        <v>51</v>
      </c>
      <c r="E227" s="33"/>
      <c r="F227" s="33"/>
      <c r="G227" s="33"/>
      <c r="H227" s="33"/>
      <c r="I227" s="34" t="str">
        <f t="shared" si="16"/>
        <v>0/3</v>
      </c>
    </row>
    <row r="228" spans="1:9" x14ac:dyDescent="0.25">
      <c r="A228" s="30">
        <f>A214+7</f>
        <v>46286</v>
      </c>
      <c r="B228" s="31" t="s">
        <v>81</v>
      </c>
      <c r="C228" s="31" t="s">
        <v>37</v>
      </c>
      <c r="D228" s="32" t="s">
        <v>39</v>
      </c>
      <c r="E228" s="33"/>
      <c r="F228" s="33"/>
      <c r="G228" s="33"/>
      <c r="H228" s="33"/>
      <c r="I228" s="34" t="str">
        <f t="shared" si="16"/>
        <v>0/3</v>
      </c>
    </row>
    <row r="229" spans="1:9" ht="30" x14ac:dyDescent="0.25">
      <c r="A229" s="30">
        <f>A228</f>
        <v>46286</v>
      </c>
      <c r="B229" s="31" t="s">
        <v>81</v>
      </c>
      <c r="C229" s="31" t="s">
        <v>40</v>
      </c>
      <c r="D229" s="32" t="s">
        <v>41</v>
      </c>
      <c r="E229" s="33"/>
      <c r="F229" s="33"/>
      <c r="G229" s="33"/>
      <c r="H229" s="33"/>
      <c r="I229" s="34" t="str">
        <f t="shared" si="16"/>
        <v>0/3</v>
      </c>
    </row>
    <row r="230" spans="1:9" x14ac:dyDescent="0.25">
      <c r="A230" s="30">
        <f>A228</f>
        <v>46286</v>
      </c>
      <c r="B230" s="31" t="s">
        <v>81</v>
      </c>
      <c r="C230" s="31" t="s">
        <v>42</v>
      </c>
      <c r="D230" s="32" t="s">
        <v>43</v>
      </c>
      <c r="E230" s="33"/>
      <c r="F230" s="33"/>
      <c r="G230" s="33"/>
      <c r="H230" s="33"/>
      <c r="I230" s="34" t="str">
        <f t="shared" si="16"/>
        <v>0/3</v>
      </c>
    </row>
    <row r="231" spans="1:9" x14ac:dyDescent="0.25">
      <c r="A231" s="30">
        <f>A228</f>
        <v>46286</v>
      </c>
      <c r="B231" s="31" t="s">
        <v>81</v>
      </c>
      <c r="C231" s="31" t="s">
        <v>44</v>
      </c>
      <c r="D231" s="32" t="s">
        <v>45</v>
      </c>
      <c r="E231" s="33"/>
      <c r="F231" s="33"/>
      <c r="G231" s="33"/>
      <c r="H231" s="33"/>
      <c r="I231" s="34" t="str">
        <f t="shared" si="16"/>
        <v>0/3</v>
      </c>
    </row>
    <row r="232" spans="1:9" x14ac:dyDescent="0.25">
      <c r="A232" s="30">
        <f>A228</f>
        <v>46286</v>
      </c>
      <c r="B232" s="31" t="s">
        <v>81</v>
      </c>
      <c r="C232" s="31" t="s">
        <v>46</v>
      </c>
      <c r="D232" s="32" t="s">
        <v>47</v>
      </c>
      <c r="E232" s="33"/>
      <c r="F232" s="33"/>
      <c r="G232" s="33"/>
      <c r="H232" s="33"/>
      <c r="I232" s="34" t="str">
        <f t="shared" si="16"/>
        <v>0/3</v>
      </c>
    </row>
    <row r="233" spans="1:9" x14ac:dyDescent="0.25">
      <c r="A233" s="30">
        <f>A228</f>
        <v>46286</v>
      </c>
      <c r="B233" s="31" t="s">
        <v>81</v>
      </c>
      <c r="C233" s="31" t="s">
        <v>48</v>
      </c>
      <c r="D233" s="32" t="s">
        <v>49</v>
      </c>
      <c r="E233" s="33"/>
      <c r="F233" s="33"/>
      <c r="G233" s="33"/>
      <c r="H233" s="33"/>
      <c r="I233" s="34" t="str">
        <f t="shared" si="16"/>
        <v>0/3</v>
      </c>
    </row>
    <row r="234" spans="1:9" x14ac:dyDescent="0.25">
      <c r="A234" s="30">
        <f>A228</f>
        <v>46286</v>
      </c>
      <c r="B234" s="31" t="s">
        <v>81</v>
      </c>
      <c r="C234" s="31" t="s">
        <v>50</v>
      </c>
      <c r="D234" s="32" t="s">
        <v>51</v>
      </c>
      <c r="E234" s="33"/>
      <c r="F234" s="33"/>
      <c r="G234" s="33"/>
      <c r="H234" s="33"/>
      <c r="I234" s="34" t="str">
        <f t="shared" si="16"/>
        <v>0/3</v>
      </c>
    </row>
    <row r="235" spans="1:9" x14ac:dyDescent="0.25">
      <c r="A235" s="30">
        <f>A228</f>
        <v>46286</v>
      </c>
      <c r="B235" s="31" t="s">
        <v>82</v>
      </c>
      <c r="C235" s="31" t="s">
        <v>37</v>
      </c>
      <c r="D235" s="32" t="s">
        <v>39</v>
      </c>
      <c r="E235" s="33"/>
      <c r="F235" s="33"/>
      <c r="G235" s="33"/>
      <c r="H235" s="33"/>
      <c r="I235" s="34" t="str">
        <f>COUNTA(E235:H235)&amp;"/4"</f>
        <v>0/4</v>
      </c>
    </row>
    <row r="236" spans="1:9" ht="30" x14ac:dyDescent="0.25">
      <c r="A236" s="30">
        <f>A228</f>
        <v>46286</v>
      </c>
      <c r="B236" s="31" t="s">
        <v>82</v>
      </c>
      <c r="C236" s="31" t="s">
        <v>40</v>
      </c>
      <c r="D236" s="32" t="s">
        <v>41</v>
      </c>
      <c r="E236" s="33"/>
      <c r="F236" s="33"/>
      <c r="G236" s="33"/>
      <c r="H236" s="33"/>
      <c r="I236" s="34" t="str">
        <f t="shared" ref="I236:I248" si="17">COUNTA(E236:G236)&amp;"/3"</f>
        <v>0/3</v>
      </c>
    </row>
    <row r="237" spans="1:9" x14ac:dyDescent="0.25">
      <c r="A237" s="30">
        <f>A228</f>
        <v>46286</v>
      </c>
      <c r="B237" s="31" t="s">
        <v>82</v>
      </c>
      <c r="C237" s="31" t="s">
        <v>42</v>
      </c>
      <c r="D237" s="32" t="s">
        <v>43</v>
      </c>
      <c r="E237" s="33"/>
      <c r="F237" s="33"/>
      <c r="G237" s="33"/>
      <c r="H237" s="33"/>
      <c r="I237" s="34" t="str">
        <f t="shared" si="17"/>
        <v>0/3</v>
      </c>
    </row>
    <row r="238" spans="1:9" x14ac:dyDescent="0.25">
      <c r="A238" s="30">
        <f>A228</f>
        <v>46286</v>
      </c>
      <c r="B238" s="31" t="s">
        <v>82</v>
      </c>
      <c r="C238" s="31" t="s">
        <v>44</v>
      </c>
      <c r="D238" s="32" t="s">
        <v>45</v>
      </c>
      <c r="E238" s="33"/>
      <c r="F238" s="33"/>
      <c r="G238" s="33"/>
      <c r="H238" s="33"/>
      <c r="I238" s="34" t="str">
        <f t="shared" si="17"/>
        <v>0/3</v>
      </c>
    </row>
    <row r="239" spans="1:9" x14ac:dyDescent="0.25">
      <c r="A239" s="30">
        <f>A228</f>
        <v>46286</v>
      </c>
      <c r="B239" s="31" t="s">
        <v>82</v>
      </c>
      <c r="C239" s="31" t="s">
        <v>46</v>
      </c>
      <c r="D239" s="32" t="s">
        <v>47</v>
      </c>
      <c r="E239" s="33"/>
      <c r="F239" s="33"/>
      <c r="G239" s="33"/>
      <c r="H239" s="33"/>
      <c r="I239" s="34" t="str">
        <f t="shared" si="17"/>
        <v>0/3</v>
      </c>
    </row>
    <row r="240" spans="1:9" x14ac:dyDescent="0.25">
      <c r="A240" s="30">
        <f>A228</f>
        <v>46286</v>
      </c>
      <c r="B240" s="31" t="s">
        <v>82</v>
      </c>
      <c r="C240" s="31" t="s">
        <v>48</v>
      </c>
      <c r="D240" s="32" t="s">
        <v>49</v>
      </c>
      <c r="E240" s="33"/>
      <c r="F240" s="33"/>
      <c r="G240" s="33"/>
      <c r="H240" s="33"/>
      <c r="I240" s="34" t="str">
        <f t="shared" si="17"/>
        <v>0/3</v>
      </c>
    </row>
    <row r="241" spans="1:9" x14ac:dyDescent="0.25">
      <c r="A241" s="30">
        <f>A228</f>
        <v>46286</v>
      </c>
      <c r="B241" s="31" t="s">
        <v>82</v>
      </c>
      <c r="C241" s="31" t="s">
        <v>50</v>
      </c>
      <c r="D241" s="32" t="s">
        <v>51</v>
      </c>
      <c r="E241" s="33"/>
      <c r="F241" s="33"/>
      <c r="G241" s="33"/>
      <c r="H241" s="33"/>
      <c r="I241" s="34" t="str">
        <f t="shared" si="17"/>
        <v>0/3</v>
      </c>
    </row>
    <row r="242" spans="1:9" x14ac:dyDescent="0.25">
      <c r="A242" s="30">
        <f>A228+7</f>
        <v>46293</v>
      </c>
      <c r="B242" s="31" t="s">
        <v>81</v>
      </c>
      <c r="C242" s="31" t="s">
        <v>37</v>
      </c>
      <c r="D242" s="32" t="s">
        <v>39</v>
      </c>
      <c r="E242" s="33"/>
      <c r="F242" s="33"/>
      <c r="G242" s="33"/>
      <c r="H242" s="33"/>
      <c r="I242" s="34" t="str">
        <f t="shared" si="17"/>
        <v>0/3</v>
      </c>
    </row>
    <row r="243" spans="1:9" ht="30" x14ac:dyDescent="0.25">
      <c r="A243" s="30">
        <f>A242</f>
        <v>46293</v>
      </c>
      <c r="B243" s="31" t="s">
        <v>81</v>
      </c>
      <c r="C243" s="31" t="s">
        <v>40</v>
      </c>
      <c r="D243" s="32" t="s">
        <v>41</v>
      </c>
      <c r="E243" s="33"/>
      <c r="F243" s="33"/>
      <c r="G243" s="33"/>
      <c r="H243" s="33"/>
      <c r="I243" s="34" t="str">
        <f t="shared" si="17"/>
        <v>0/3</v>
      </c>
    </row>
    <row r="244" spans="1:9" x14ac:dyDescent="0.25">
      <c r="A244" s="30">
        <f>A242</f>
        <v>46293</v>
      </c>
      <c r="B244" s="31" t="s">
        <v>81</v>
      </c>
      <c r="C244" s="31" t="s">
        <v>42</v>
      </c>
      <c r="D244" s="32" t="s">
        <v>43</v>
      </c>
      <c r="E244" s="33"/>
      <c r="F244" s="33"/>
      <c r="G244" s="33"/>
      <c r="H244" s="33"/>
      <c r="I244" s="34" t="str">
        <f t="shared" si="17"/>
        <v>0/3</v>
      </c>
    </row>
    <row r="245" spans="1:9" x14ac:dyDescent="0.25">
      <c r="A245" s="30">
        <f>A242</f>
        <v>46293</v>
      </c>
      <c r="B245" s="31" t="s">
        <v>81</v>
      </c>
      <c r="C245" s="31" t="s">
        <v>44</v>
      </c>
      <c r="D245" s="32" t="s">
        <v>45</v>
      </c>
      <c r="E245" s="33"/>
      <c r="F245" s="33"/>
      <c r="G245" s="33"/>
      <c r="H245" s="33"/>
      <c r="I245" s="34" t="str">
        <f t="shared" si="17"/>
        <v>0/3</v>
      </c>
    </row>
    <row r="246" spans="1:9" x14ac:dyDescent="0.25">
      <c r="A246" s="30">
        <f>A242</f>
        <v>46293</v>
      </c>
      <c r="B246" s="31" t="s">
        <v>81</v>
      </c>
      <c r="C246" s="31" t="s">
        <v>46</v>
      </c>
      <c r="D246" s="32" t="s">
        <v>47</v>
      </c>
      <c r="E246" s="33"/>
      <c r="F246" s="33"/>
      <c r="G246" s="33"/>
      <c r="H246" s="33"/>
      <c r="I246" s="34" t="str">
        <f t="shared" si="17"/>
        <v>0/3</v>
      </c>
    </row>
    <row r="247" spans="1:9" x14ac:dyDescent="0.25">
      <c r="A247" s="30">
        <f>A242</f>
        <v>46293</v>
      </c>
      <c r="B247" s="31" t="s">
        <v>81</v>
      </c>
      <c r="C247" s="31" t="s">
        <v>48</v>
      </c>
      <c r="D247" s="32" t="s">
        <v>49</v>
      </c>
      <c r="E247" s="33"/>
      <c r="F247" s="33"/>
      <c r="G247" s="33"/>
      <c r="H247" s="33"/>
      <c r="I247" s="34" t="str">
        <f t="shared" si="17"/>
        <v>0/3</v>
      </c>
    </row>
    <row r="248" spans="1:9" x14ac:dyDescent="0.25">
      <c r="A248" s="30">
        <f>A242</f>
        <v>46293</v>
      </c>
      <c r="B248" s="31" t="s">
        <v>81</v>
      </c>
      <c r="C248" s="31" t="s">
        <v>50</v>
      </c>
      <c r="D248" s="32" t="s">
        <v>51</v>
      </c>
      <c r="E248" s="33"/>
      <c r="F248" s="33"/>
      <c r="G248" s="33"/>
      <c r="H248" s="33"/>
      <c r="I248" s="34" t="str">
        <f t="shared" si="17"/>
        <v>0/3</v>
      </c>
    </row>
    <row r="249" spans="1:9" x14ac:dyDescent="0.25">
      <c r="A249" s="30">
        <f>A242</f>
        <v>46293</v>
      </c>
      <c r="B249" s="31" t="s">
        <v>82</v>
      </c>
      <c r="C249" s="31" t="s">
        <v>37</v>
      </c>
      <c r="D249" s="32" t="s">
        <v>39</v>
      </c>
      <c r="E249" s="33"/>
      <c r="F249" s="33"/>
      <c r="G249" s="33"/>
      <c r="H249" s="33"/>
      <c r="I249" s="34" t="str">
        <f>COUNTA(E249:H249)&amp;"/4"</f>
        <v>0/4</v>
      </c>
    </row>
    <row r="250" spans="1:9" ht="30" x14ac:dyDescent="0.25">
      <c r="A250" s="30">
        <f>A242</f>
        <v>46293</v>
      </c>
      <c r="B250" s="31" t="s">
        <v>82</v>
      </c>
      <c r="C250" s="31" t="s">
        <v>40</v>
      </c>
      <c r="D250" s="32" t="s">
        <v>41</v>
      </c>
      <c r="E250" s="33"/>
      <c r="F250" s="33"/>
      <c r="G250" s="33"/>
      <c r="H250" s="33"/>
      <c r="I250" s="34" t="str">
        <f t="shared" ref="I250:I262" si="18">COUNTA(E250:G250)&amp;"/3"</f>
        <v>0/3</v>
      </c>
    </row>
    <row r="251" spans="1:9" x14ac:dyDescent="0.25">
      <c r="A251" s="30">
        <f>A242</f>
        <v>46293</v>
      </c>
      <c r="B251" s="31" t="s">
        <v>82</v>
      </c>
      <c r="C251" s="31" t="s">
        <v>42</v>
      </c>
      <c r="D251" s="32" t="s">
        <v>43</v>
      </c>
      <c r="E251" s="33"/>
      <c r="F251" s="33"/>
      <c r="G251" s="33"/>
      <c r="H251" s="33"/>
      <c r="I251" s="34" t="str">
        <f t="shared" si="18"/>
        <v>0/3</v>
      </c>
    </row>
    <row r="252" spans="1:9" x14ac:dyDescent="0.25">
      <c r="A252" s="30">
        <f>A242</f>
        <v>46293</v>
      </c>
      <c r="B252" s="31" t="s">
        <v>82</v>
      </c>
      <c r="C252" s="31" t="s">
        <v>44</v>
      </c>
      <c r="D252" s="32" t="s">
        <v>45</v>
      </c>
      <c r="E252" s="33"/>
      <c r="F252" s="33"/>
      <c r="G252" s="33"/>
      <c r="H252" s="33"/>
      <c r="I252" s="34" t="str">
        <f t="shared" si="18"/>
        <v>0/3</v>
      </c>
    </row>
    <row r="253" spans="1:9" x14ac:dyDescent="0.25">
      <c r="A253" s="30">
        <f>A242</f>
        <v>46293</v>
      </c>
      <c r="B253" s="31" t="s">
        <v>82</v>
      </c>
      <c r="C253" s="31" t="s">
        <v>46</v>
      </c>
      <c r="D253" s="32" t="s">
        <v>47</v>
      </c>
      <c r="E253" s="33"/>
      <c r="F253" s="33"/>
      <c r="G253" s="33"/>
      <c r="H253" s="33"/>
      <c r="I253" s="34" t="str">
        <f t="shared" si="18"/>
        <v>0/3</v>
      </c>
    </row>
    <row r="254" spans="1:9" x14ac:dyDescent="0.25">
      <c r="A254" s="30">
        <f>A242</f>
        <v>46293</v>
      </c>
      <c r="B254" s="31" t="s">
        <v>82</v>
      </c>
      <c r="C254" s="31" t="s">
        <v>48</v>
      </c>
      <c r="D254" s="32" t="s">
        <v>49</v>
      </c>
      <c r="E254" s="33"/>
      <c r="F254" s="33"/>
      <c r="G254" s="33"/>
      <c r="H254" s="33"/>
      <c r="I254" s="34" t="str">
        <f t="shared" si="18"/>
        <v>0/3</v>
      </c>
    </row>
    <row r="255" spans="1:9" x14ac:dyDescent="0.25">
      <c r="A255" s="30">
        <f>A242</f>
        <v>46293</v>
      </c>
      <c r="B255" s="31" t="s">
        <v>82</v>
      </c>
      <c r="C255" s="31" t="s">
        <v>50</v>
      </c>
      <c r="D255" s="32" t="s">
        <v>51</v>
      </c>
      <c r="E255" s="33"/>
      <c r="F255" s="33"/>
      <c r="G255" s="33"/>
      <c r="H255" s="33"/>
      <c r="I255" s="34" t="str">
        <f t="shared" si="18"/>
        <v>0/3</v>
      </c>
    </row>
    <row r="256" spans="1:9" x14ac:dyDescent="0.25">
      <c r="A256" s="30">
        <f>A242+7</f>
        <v>46300</v>
      </c>
      <c r="B256" s="31" t="s">
        <v>81</v>
      </c>
      <c r="C256" s="31" t="s">
        <v>37</v>
      </c>
      <c r="D256" s="32" t="s">
        <v>39</v>
      </c>
      <c r="E256" s="33"/>
      <c r="F256" s="33"/>
      <c r="G256" s="33"/>
      <c r="H256" s="33"/>
      <c r="I256" s="34" t="str">
        <f t="shared" si="18"/>
        <v>0/3</v>
      </c>
    </row>
    <row r="257" spans="1:9" ht="30" x14ac:dyDescent="0.25">
      <c r="A257" s="30">
        <f>A256</f>
        <v>46300</v>
      </c>
      <c r="B257" s="31" t="s">
        <v>81</v>
      </c>
      <c r="C257" s="31" t="s">
        <v>40</v>
      </c>
      <c r="D257" s="32" t="s">
        <v>41</v>
      </c>
      <c r="E257" s="33"/>
      <c r="F257" s="33"/>
      <c r="G257" s="33"/>
      <c r="H257" s="33"/>
      <c r="I257" s="34" t="str">
        <f t="shared" si="18"/>
        <v>0/3</v>
      </c>
    </row>
    <row r="258" spans="1:9" x14ac:dyDescent="0.25">
      <c r="A258" s="30">
        <f>A256</f>
        <v>46300</v>
      </c>
      <c r="B258" s="31" t="s">
        <v>81</v>
      </c>
      <c r="C258" s="31" t="s">
        <v>42</v>
      </c>
      <c r="D258" s="32" t="s">
        <v>43</v>
      </c>
      <c r="E258" s="33"/>
      <c r="F258" s="33"/>
      <c r="G258" s="33"/>
      <c r="H258" s="33"/>
      <c r="I258" s="34" t="str">
        <f t="shared" si="18"/>
        <v>0/3</v>
      </c>
    </row>
    <row r="259" spans="1:9" x14ac:dyDescent="0.25">
      <c r="A259" s="30">
        <f>A256</f>
        <v>46300</v>
      </c>
      <c r="B259" s="31" t="s">
        <v>81</v>
      </c>
      <c r="C259" s="31" t="s">
        <v>44</v>
      </c>
      <c r="D259" s="32" t="s">
        <v>45</v>
      </c>
      <c r="E259" s="33"/>
      <c r="F259" s="33"/>
      <c r="G259" s="33"/>
      <c r="H259" s="33"/>
      <c r="I259" s="34" t="str">
        <f t="shared" si="18"/>
        <v>0/3</v>
      </c>
    </row>
    <row r="260" spans="1:9" x14ac:dyDescent="0.25">
      <c r="A260" s="30">
        <f>A256</f>
        <v>46300</v>
      </c>
      <c r="B260" s="31" t="s">
        <v>81</v>
      </c>
      <c r="C260" s="31" t="s">
        <v>46</v>
      </c>
      <c r="D260" s="32" t="s">
        <v>47</v>
      </c>
      <c r="E260" s="33"/>
      <c r="F260" s="33"/>
      <c r="G260" s="33"/>
      <c r="H260" s="33"/>
      <c r="I260" s="34" t="str">
        <f t="shared" si="18"/>
        <v>0/3</v>
      </c>
    </row>
    <row r="261" spans="1:9" x14ac:dyDescent="0.25">
      <c r="A261" s="30">
        <f>A256</f>
        <v>46300</v>
      </c>
      <c r="B261" s="31" t="s">
        <v>81</v>
      </c>
      <c r="C261" s="31" t="s">
        <v>48</v>
      </c>
      <c r="D261" s="32" t="s">
        <v>49</v>
      </c>
      <c r="E261" s="33"/>
      <c r="F261" s="33"/>
      <c r="G261" s="33"/>
      <c r="H261" s="33"/>
      <c r="I261" s="34" t="str">
        <f t="shared" si="18"/>
        <v>0/3</v>
      </c>
    </row>
    <row r="262" spans="1:9" x14ac:dyDescent="0.25">
      <c r="A262" s="30">
        <f>A256</f>
        <v>46300</v>
      </c>
      <c r="B262" s="31" t="s">
        <v>81</v>
      </c>
      <c r="C262" s="31" t="s">
        <v>50</v>
      </c>
      <c r="D262" s="32" t="s">
        <v>51</v>
      </c>
      <c r="E262" s="33"/>
      <c r="F262" s="33"/>
      <c r="G262" s="33"/>
      <c r="H262" s="33"/>
      <c r="I262" s="34" t="str">
        <f t="shared" si="18"/>
        <v>0/3</v>
      </c>
    </row>
    <row r="263" spans="1:9" x14ac:dyDescent="0.25">
      <c r="A263" s="30">
        <f>A256</f>
        <v>46300</v>
      </c>
      <c r="B263" s="31" t="s">
        <v>82</v>
      </c>
      <c r="C263" s="31" t="s">
        <v>37</v>
      </c>
      <c r="D263" s="32" t="s">
        <v>39</v>
      </c>
      <c r="E263" s="33"/>
      <c r="F263" s="33"/>
      <c r="G263" s="33"/>
      <c r="H263" s="33"/>
      <c r="I263" s="34" t="str">
        <f>COUNTA(E263:H263)&amp;"/4"</f>
        <v>0/4</v>
      </c>
    </row>
    <row r="264" spans="1:9" ht="30" x14ac:dyDescent="0.25">
      <c r="A264" s="30">
        <f>A256</f>
        <v>46300</v>
      </c>
      <c r="B264" s="31" t="s">
        <v>82</v>
      </c>
      <c r="C264" s="31" t="s">
        <v>40</v>
      </c>
      <c r="D264" s="32" t="s">
        <v>41</v>
      </c>
      <c r="E264" s="33"/>
      <c r="F264" s="33"/>
      <c r="G264" s="33"/>
      <c r="H264" s="33"/>
      <c r="I264" s="34" t="str">
        <f t="shared" ref="I264:I276" si="19">COUNTA(E264:G264)&amp;"/3"</f>
        <v>0/3</v>
      </c>
    </row>
    <row r="265" spans="1:9" x14ac:dyDescent="0.25">
      <c r="A265" s="30">
        <f>A256</f>
        <v>46300</v>
      </c>
      <c r="B265" s="31" t="s">
        <v>82</v>
      </c>
      <c r="C265" s="31" t="s">
        <v>42</v>
      </c>
      <c r="D265" s="32" t="s">
        <v>43</v>
      </c>
      <c r="E265" s="33"/>
      <c r="F265" s="33"/>
      <c r="G265" s="33"/>
      <c r="H265" s="33"/>
      <c r="I265" s="34" t="str">
        <f t="shared" si="19"/>
        <v>0/3</v>
      </c>
    </row>
    <row r="266" spans="1:9" x14ac:dyDescent="0.25">
      <c r="A266" s="30">
        <f>A256</f>
        <v>46300</v>
      </c>
      <c r="B266" s="31" t="s">
        <v>82</v>
      </c>
      <c r="C266" s="31" t="s">
        <v>44</v>
      </c>
      <c r="D266" s="32" t="s">
        <v>45</v>
      </c>
      <c r="E266" s="33"/>
      <c r="F266" s="33"/>
      <c r="G266" s="33"/>
      <c r="H266" s="33"/>
      <c r="I266" s="34" t="str">
        <f t="shared" si="19"/>
        <v>0/3</v>
      </c>
    </row>
    <row r="267" spans="1:9" x14ac:dyDescent="0.25">
      <c r="A267" s="30">
        <f>A256</f>
        <v>46300</v>
      </c>
      <c r="B267" s="31" t="s">
        <v>82</v>
      </c>
      <c r="C267" s="31" t="s">
        <v>46</v>
      </c>
      <c r="D267" s="32" t="s">
        <v>47</v>
      </c>
      <c r="E267" s="33"/>
      <c r="F267" s="33"/>
      <c r="G267" s="33"/>
      <c r="H267" s="33"/>
      <c r="I267" s="34" t="str">
        <f t="shared" si="19"/>
        <v>0/3</v>
      </c>
    </row>
    <row r="268" spans="1:9" x14ac:dyDescent="0.25">
      <c r="A268" s="30">
        <f>A256</f>
        <v>46300</v>
      </c>
      <c r="B268" s="31" t="s">
        <v>82</v>
      </c>
      <c r="C268" s="31" t="s">
        <v>48</v>
      </c>
      <c r="D268" s="32" t="s">
        <v>49</v>
      </c>
      <c r="E268" s="33"/>
      <c r="F268" s="33"/>
      <c r="G268" s="33"/>
      <c r="H268" s="33"/>
      <c r="I268" s="34" t="str">
        <f t="shared" si="19"/>
        <v>0/3</v>
      </c>
    </row>
    <row r="269" spans="1:9" x14ac:dyDescent="0.25">
      <c r="A269" s="30">
        <f>A256</f>
        <v>46300</v>
      </c>
      <c r="B269" s="31" t="s">
        <v>82</v>
      </c>
      <c r="C269" s="31" t="s">
        <v>50</v>
      </c>
      <c r="D269" s="32" t="s">
        <v>51</v>
      </c>
      <c r="E269" s="33"/>
      <c r="F269" s="33"/>
      <c r="G269" s="33"/>
      <c r="H269" s="33"/>
      <c r="I269" s="34" t="str">
        <f t="shared" si="19"/>
        <v>0/3</v>
      </c>
    </row>
    <row r="270" spans="1:9" x14ac:dyDescent="0.25">
      <c r="A270" s="30">
        <f>A256+7</f>
        <v>46307</v>
      </c>
      <c r="B270" s="31" t="s">
        <v>81</v>
      </c>
      <c r="C270" s="31" t="s">
        <v>37</v>
      </c>
      <c r="D270" s="32" t="s">
        <v>39</v>
      </c>
      <c r="E270" s="33"/>
      <c r="F270" s="33"/>
      <c r="G270" s="33"/>
      <c r="H270" s="33"/>
      <c r="I270" s="34" t="str">
        <f t="shared" si="19"/>
        <v>0/3</v>
      </c>
    </row>
    <row r="271" spans="1:9" ht="30" x14ac:dyDescent="0.25">
      <c r="A271" s="30">
        <f>A270</f>
        <v>46307</v>
      </c>
      <c r="B271" s="31" t="s">
        <v>81</v>
      </c>
      <c r="C271" s="31" t="s">
        <v>40</v>
      </c>
      <c r="D271" s="32" t="s">
        <v>41</v>
      </c>
      <c r="E271" s="33"/>
      <c r="F271" s="33"/>
      <c r="G271" s="33"/>
      <c r="H271" s="33"/>
      <c r="I271" s="34" t="str">
        <f t="shared" si="19"/>
        <v>0/3</v>
      </c>
    </row>
    <row r="272" spans="1:9" x14ac:dyDescent="0.25">
      <c r="A272" s="30">
        <f>A270</f>
        <v>46307</v>
      </c>
      <c r="B272" s="31" t="s">
        <v>81</v>
      </c>
      <c r="C272" s="31" t="s">
        <v>42</v>
      </c>
      <c r="D272" s="32" t="s">
        <v>43</v>
      </c>
      <c r="E272" s="33"/>
      <c r="F272" s="33"/>
      <c r="G272" s="33"/>
      <c r="H272" s="33"/>
      <c r="I272" s="34" t="str">
        <f t="shared" si="19"/>
        <v>0/3</v>
      </c>
    </row>
    <row r="273" spans="1:9" x14ac:dyDescent="0.25">
      <c r="A273" s="30">
        <f>A270</f>
        <v>46307</v>
      </c>
      <c r="B273" s="31" t="s">
        <v>81</v>
      </c>
      <c r="C273" s="31" t="s">
        <v>44</v>
      </c>
      <c r="D273" s="32" t="s">
        <v>45</v>
      </c>
      <c r="E273" s="33"/>
      <c r="F273" s="33"/>
      <c r="G273" s="33"/>
      <c r="H273" s="33"/>
      <c r="I273" s="34" t="str">
        <f t="shared" si="19"/>
        <v>0/3</v>
      </c>
    </row>
    <row r="274" spans="1:9" x14ac:dyDescent="0.25">
      <c r="A274" s="30">
        <f>A270</f>
        <v>46307</v>
      </c>
      <c r="B274" s="31" t="s">
        <v>81</v>
      </c>
      <c r="C274" s="31" t="s">
        <v>46</v>
      </c>
      <c r="D274" s="32" t="s">
        <v>47</v>
      </c>
      <c r="E274" s="33"/>
      <c r="F274" s="33"/>
      <c r="G274" s="33"/>
      <c r="H274" s="33"/>
      <c r="I274" s="34" t="str">
        <f t="shared" si="19"/>
        <v>0/3</v>
      </c>
    </row>
    <row r="275" spans="1:9" x14ac:dyDescent="0.25">
      <c r="A275" s="30">
        <f>A270</f>
        <v>46307</v>
      </c>
      <c r="B275" s="31" t="s">
        <v>81</v>
      </c>
      <c r="C275" s="31" t="s">
        <v>48</v>
      </c>
      <c r="D275" s="32" t="s">
        <v>49</v>
      </c>
      <c r="E275" s="33"/>
      <c r="F275" s="33"/>
      <c r="G275" s="33"/>
      <c r="H275" s="33"/>
      <c r="I275" s="34" t="str">
        <f t="shared" si="19"/>
        <v>0/3</v>
      </c>
    </row>
    <row r="276" spans="1:9" x14ac:dyDescent="0.25">
      <c r="A276" s="30">
        <f>A270</f>
        <v>46307</v>
      </c>
      <c r="B276" s="31" t="s">
        <v>81</v>
      </c>
      <c r="C276" s="31" t="s">
        <v>50</v>
      </c>
      <c r="D276" s="32" t="s">
        <v>51</v>
      </c>
      <c r="E276" s="33"/>
      <c r="F276" s="33"/>
      <c r="G276" s="33"/>
      <c r="H276" s="33"/>
      <c r="I276" s="34" t="str">
        <f t="shared" si="19"/>
        <v>0/3</v>
      </c>
    </row>
    <row r="277" spans="1:9" x14ac:dyDescent="0.25">
      <c r="A277" s="30">
        <f>A270</f>
        <v>46307</v>
      </c>
      <c r="B277" s="31" t="s">
        <v>82</v>
      </c>
      <c r="C277" s="31" t="s">
        <v>37</v>
      </c>
      <c r="D277" s="32" t="s">
        <v>39</v>
      </c>
      <c r="E277" s="33"/>
      <c r="F277" s="33"/>
      <c r="G277" s="33"/>
      <c r="H277" s="33"/>
      <c r="I277" s="34" t="str">
        <f>COUNTA(E277:H277)&amp;"/4"</f>
        <v>0/4</v>
      </c>
    </row>
    <row r="278" spans="1:9" ht="30" x14ac:dyDescent="0.25">
      <c r="A278" s="30">
        <f>A270</f>
        <v>46307</v>
      </c>
      <c r="B278" s="31" t="s">
        <v>82</v>
      </c>
      <c r="C278" s="31" t="s">
        <v>40</v>
      </c>
      <c r="D278" s="32" t="s">
        <v>41</v>
      </c>
      <c r="E278" s="33"/>
      <c r="F278" s="33"/>
      <c r="G278" s="33"/>
      <c r="H278" s="33"/>
      <c r="I278" s="34" t="str">
        <f t="shared" ref="I278:I290" si="20">COUNTA(E278:G278)&amp;"/3"</f>
        <v>0/3</v>
      </c>
    </row>
    <row r="279" spans="1:9" x14ac:dyDescent="0.25">
      <c r="A279" s="30">
        <f>A270</f>
        <v>46307</v>
      </c>
      <c r="B279" s="31" t="s">
        <v>82</v>
      </c>
      <c r="C279" s="31" t="s">
        <v>42</v>
      </c>
      <c r="D279" s="32" t="s">
        <v>43</v>
      </c>
      <c r="E279" s="33"/>
      <c r="F279" s="33"/>
      <c r="G279" s="33"/>
      <c r="H279" s="33"/>
      <c r="I279" s="34" t="str">
        <f t="shared" si="20"/>
        <v>0/3</v>
      </c>
    </row>
    <row r="280" spans="1:9" x14ac:dyDescent="0.25">
      <c r="A280" s="30">
        <f>A270</f>
        <v>46307</v>
      </c>
      <c r="B280" s="31" t="s">
        <v>82</v>
      </c>
      <c r="C280" s="31" t="s">
        <v>44</v>
      </c>
      <c r="D280" s="32" t="s">
        <v>45</v>
      </c>
      <c r="E280" s="33"/>
      <c r="F280" s="33"/>
      <c r="G280" s="33"/>
      <c r="H280" s="33"/>
      <c r="I280" s="34" t="str">
        <f t="shared" si="20"/>
        <v>0/3</v>
      </c>
    </row>
    <row r="281" spans="1:9" x14ac:dyDescent="0.25">
      <c r="A281" s="30">
        <f>A270</f>
        <v>46307</v>
      </c>
      <c r="B281" s="31" t="s">
        <v>82</v>
      </c>
      <c r="C281" s="31" t="s">
        <v>46</v>
      </c>
      <c r="D281" s="32" t="s">
        <v>47</v>
      </c>
      <c r="E281" s="33"/>
      <c r="F281" s="33"/>
      <c r="G281" s="33"/>
      <c r="H281" s="33"/>
      <c r="I281" s="34" t="str">
        <f t="shared" si="20"/>
        <v>0/3</v>
      </c>
    </row>
    <row r="282" spans="1:9" x14ac:dyDescent="0.25">
      <c r="A282" s="30">
        <f>A270</f>
        <v>46307</v>
      </c>
      <c r="B282" s="31" t="s">
        <v>82</v>
      </c>
      <c r="C282" s="31" t="s">
        <v>48</v>
      </c>
      <c r="D282" s="32" t="s">
        <v>49</v>
      </c>
      <c r="E282" s="33"/>
      <c r="F282" s="33"/>
      <c r="G282" s="33"/>
      <c r="H282" s="33"/>
      <c r="I282" s="34" t="str">
        <f t="shared" si="20"/>
        <v>0/3</v>
      </c>
    </row>
    <row r="283" spans="1:9" x14ac:dyDescent="0.25">
      <c r="A283" s="30">
        <f>A270</f>
        <v>46307</v>
      </c>
      <c r="B283" s="31" t="s">
        <v>82</v>
      </c>
      <c r="C283" s="31" t="s">
        <v>50</v>
      </c>
      <c r="D283" s="32" t="s">
        <v>51</v>
      </c>
      <c r="E283" s="33"/>
      <c r="F283" s="33"/>
      <c r="G283" s="33"/>
      <c r="H283" s="33"/>
      <c r="I283" s="34" t="str">
        <f t="shared" si="20"/>
        <v>0/3</v>
      </c>
    </row>
    <row r="284" spans="1:9" x14ac:dyDescent="0.25">
      <c r="A284" s="30">
        <f>A270+7</f>
        <v>46314</v>
      </c>
      <c r="B284" s="31" t="s">
        <v>81</v>
      </c>
      <c r="C284" s="31" t="s">
        <v>37</v>
      </c>
      <c r="D284" s="32" t="s">
        <v>39</v>
      </c>
      <c r="E284" s="33"/>
      <c r="F284" s="33"/>
      <c r="G284" s="33"/>
      <c r="H284" s="33"/>
      <c r="I284" s="34" t="str">
        <f t="shared" si="20"/>
        <v>0/3</v>
      </c>
    </row>
    <row r="285" spans="1:9" ht="30" x14ac:dyDescent="0.25">
      <c r="A285" s="30">
        <f>A284</f>
        <v>46314</v>
      </c>
      <c r="B285" s="31" t="s">
        <v>81</v>
      </c>
      <c r="C285" s="31" t="s">
        <v>40</v>
      </c>
      <c r="D285" s="32" t="s">
        <v>41</v>
      </c>
      <c r="E285" s="33"/>
      <c r="F285" s="33"/>
      <c r="G285" s="33"/>
      <c r="H285" s="33"/>
      <c r="I285" s="34" t="str">
        <f t="shared" si="20"/>
        <v>0/3</v>
      </c>
    </row>
    <row r="286" spans="1:9" x14ac:dyDescent="0.25">
      <c r="A286" s="30">
        <f>A284</f>
        <v>46314</v>
      </c>
      <c r="B286" s="31" t="s">
        <v>81</v>
      </c>
      <c r="C286" s="31" t="s">
        <v>42</v>
      </c>
      <c r="D286" s="32" t="s">
        <v>43</v>
      </c>
      <c r="E286" s="33"/>
      <c r="F286" s="33"/>
      <c r="G286" s="33"/>
      <c r="H286" s="33"/>
      <c r="I286" s="34" t="str">
        <f t="shared" si="20"/>
        <v>0/3</v>
      </c>
    </row>
    <row r="287" spans="1:9" x14ac:dyDescent="0.25">
      <c r="A287" s="30">
        <f>A284</f>
        <v>46314</v>
      </c>
      <c r="B287" s="31" t="s">
        <v>81</v>
      </c>
      <c r="C287" s="31" t="s">
        <v>44</v>
      </c>
      <c r="D287" s="32" t="s">
        <v>45</v>
      </c>
      <c r="E287" s="33"/>
      <c r="F287" s="33"/>
      <c r="G287" s="33"/>
      <c r="H287" s="33"/>
      <c r="I287" s="34" t="str">
        <f t="shared" si="20"/>
        <v>0/3</v>
      </c>
    </row>
    <row r="288" spans="1:9" x14ac:dyDescent="0.25">
      <c r="A288" s="30">
        <f>A284</f>
        <v>46314</v>
      </c>
      <c r="B288" s="31" t="s">
        <v>81</v>
      </c>
      <c r="C288" s="31" t="s">
        <v>46</v>
      </c>
      <c r="D288" s="32" t="s">
        <v>47</v>
      </c>
      <c r="E288" s="33"/>
      <c r="F288" s="33"/>
      <c r="G288" s="33"/>
      <c r="H288" s="33"/>
      <c r="I288" s="34" t="str">
        <f t="shared" si="20"/>
        <v>0/3</v>
      </c>
    </row>
    <row r="289" spans="1:9" x14ac:dyDescent="0.25">
      <c r="A289" s="30">
        <f>A284</f>
        <v>46314</v>
      </c>
      <c r="B289" s="31" t="s">
        <v>81</v>
      </c>
      <c r="C289" s="31" t="s">
        <v>48</v>
      </c>
      <c r="D289" s="32" t="s">
        <v>49</v>
      </c>
      <c r="E289" s="33"/>
      <c r="F289" s="33"/>
      <c r="G289" s="33"/>
      <c r="H289" s="33"/>
      <c r="I289" s="34" t="str">
        <f t="shared" si="20"/>
        <v>0/3</v>
      </c>
    </row>
    <row r="290" spans="1:9" x14ac:dyDescent="0.25">
      <c r="A290" s="30">
        <f>A284</f>
        <v>46314</v>
      </c>
      <c r="B290" s="31" t="s">
        <v>81</v>
      </c>
      <c r="C290" s="31" t="s">
        <v>50</v>
      </c>
      <c r="D290" s="32" t="s">
        <v>51</v>
      </c>
      <c r="E290" s="33"/>
      <c r="F290" s="33"/>
      <c r="G290" s="33"/>
      <c r="H290" s="33"/>
      <c r="I290" s="34" t="str">
        <f t="shared" si="20"/>
        <v>0/3</v>
      </c>
    </row>
    <row r="291" spans="1:9" x14ac:dyDescent="0.25">
      <c r="A291" s="30">
        <f>A284</f>
        <v>46314</v>
      </c>
      <c r="B291" s="31" t="s">
        <v>82</v>
      </c>
      <c r="C291" s="31" t="s">
        <v>37</v>
      </c>
      <c r="D291" s="32" t="s">
        <v>39</v>
      </c>
      <c r="E291" s="33"/>
      <c r="F291" s="33"/>
      <c r="G291" s="33"/>
      <c r="H291" s="33"/>
      <c r="I291" s="34" t="str">
        <f>COUNTA(E291:H291)&amp;"/4"</f>
        <v>0/4</v>
      </c>
    </row>
    <row r="292" spans="1:9" ht="30" x14ac:dyDescent="0.25">
      <c r="A292" s="30">
        <f>A284</f>
        <v>46314</v>
      </c>
      <c r="B292" s="31" t="s">
        <v>82</v>
      </c>
      <c r="C292" s="31" t="s">
        <v>40</v>
      </c>
      <c r="D292" s="32" t="s">
        <v>41</v>
      </c>
      <c r="E292" s="33"/>
      <c r="F292" s="33"/>
      <c r="G292" s="33"/>
      <c r="H292" s="33"/>
      <c r="I292" s="34" t="str">
        <f t="shared" ref="I292:I304" si="21">COUNTA(E292:G292)&amp;"/3"</f>
        <v>0/3</v>
      </c>
    </row>
    <row r="293" spans="1:9" x14ac:dyDescent="0.25">
      <c r="A293" s="30">
        <f>A284</f>
        <v>46314</v>
      </c>
      <c r="B293" s="31" t="s">
        <v>82</v>
      </c>
      <c r="C293" s="31" t="s">
        <v>42</v>
      </c>
      <c r="D293" s="32" t="s">
        <v>43</v>
      </c>
      <c r="E293" s="33"/>
      <c r="F293" s="33"/>
      <c r="G293" s="33"/>
      <c r="H293" s="33"/>
      <c r="I293" s="34" t="str">
        <f t="shared" si="21"/>
        <v>0/3</v>
      </c>
    </row>
    <row r="294" spans="1:9" x14ac:dyDescent="0.25">
      <c r="A294" s="30">
        <f>A284</f>
        <v>46314</v>
      </c>
      <c r="B294" s="31" t="s">
        <v>82</v>
      </c>
      <c r="C294" s="31" t="s">
        <v>44</v>
      </c>
      <c r="D294" s="32" t="s">
        <v>45</v>
      </c>
      <c r="E294" s="33"/>
      <c r="F294" s="33"/>
      <c r="G294" s="33"/>
      <c r="H294" s="33"/>
      <c r="I294" s="34" t="str">
        <f t="shared" si="21"/>
        <v>0/3</v>
      </c>
    </row>
    <row r="295" spans="1:9" x14ac:dyDescent="0.25">
      <c r="A295" s="30">
        <f>A284</f>
        <v>46314</v>
      </c>
      <c r="B295" s="31" t="s">
        <v>82</v>
      </c>
      <c r="C295" s="31" t="s">
        <v>46</v>
      </c>
      <c r="D295" s="32" t="s">
        <v>47</v>
      </c>
      <c r="E295" s="33"/>
      <c r="F295" s="33"/>
      <c r="G295" s="33"/>
      <c r="H295" s="33"/>
      <c r="I295" s="34" t="str">
        <f t="shared" si="21"/>
        <v>0/3</v>
      </c>
    </row>
    <row r="296" spans="1:9" x14ac:dyDescent="0.25">
      <c r="A296" s="30">
        <f>A284</f>
        <v>46314</v>
      </c>
      <c r="B296" s="31" t="s">
        <v>82</v>
      </c>
      <c r="C296" s="31" t="s">
        <v>48</v>
      </c>
      <c r="D296" s="32" t="s">
        <v>49</v>
      </c>
      <c r="E296" s="33"/>
      <c r="F296" s="33"/>
      <c r="G296" s="33"/>
      <c r="H296" s="33"/>
      <c r="I296" s="34" t="str">
        <f t="shared" si="21"/>
        <v>0/3</v>
      </c>
    </row>
    <row r="297" spans="1:9" x14ac:dyDescent="0.25">
      <c r="A297" s="30">
        <f>A284</f>
        <v>46314</v>
      </c>
      <c r="B297" s="31" t="s">
        <v>82</v>
      </c>
      <c r="C297" s="31" t="s">
        <v>50</v>
      </c>
      <c r="D297" s="32" t="s">
        <v>51</v>
      </c>
      <c r="E297" s="33"/>
      <c r="F297" s="33"/>
      <c r="G297" s="33"/>
      <c r="H297" s="33"/>
      <c r="I297" s="34" t="str">
        <f t="shared" si="21"/>
        <v>0/3</v>
      </c>
    </row>
    <row r="298" spans="1:9" x14ac:dyDescent="0.25">
      <c r="A298" s="30">
        <f>A284+7</f>
        <v>46321</v>
      </c>
      <c r="B298" s="31" t="s">
        <v>81</v>
      </c>
      <c r="C298" s="31" t="s">
        <v>37</v>
      </c>
      <c r="D298" s="32" t="s">
        <v>39</v>
      </c>
      <c r="E298" s="33"/>
      <c r="F298" s="33"/>
      <c r="G298" s="33"/>
      <c r="H298" s="33"/>
      <c r="I298" s="34" t="str">
        <f t="shared" si="21"/>
        <v>0/3</v>
      </c>
    </row>
    <row r="299" spans="1:9" ht="30" x14ac:dyDescent="0.25">
      <c r="A299" s="30">
        <f>A298</f>
        <v>46321</v>
      </c>
      <c r="B299" s="31" t="s">
        <v>81</v>
      </c>
      <c r="C299" s="31" t="s">
        <v>40</v>
      </c>
      <c r="D299" s="32" t="s">
        <v>41</v>
      </c>
      <c r="E299" s="33"/>
      <c r="F299" s="33"/>
      <c r="G299" s="33"/>
      <c r="H299" s="33"/>
      <c r="I299" s="34" t="str">
        <f t="shared" si="21"/>
        <v>0/3</v>
      </c>
    </row>
    <row r="300" spans="1:9" x14ac:dyDescent="0.25">
      <c r="A300" s="30">
        <f>A298</f>
        <v>46321</v>
      </c>
      <c r="B300" s="31" t="s">
        <v>81</v>
      </c>
      <c r="C300" s="31" t="s">
        <v>42</v>
      </c>
      <c r="D300" s="32" t="s">
        <v>43</v>
      </c>
      <c r="E300" s="33"/>
      <c r="F300" s="33"/>
      <c r="G300" s="33"/>
      <c r="H300" s="33"/>
      <c r="I300" s="34" t="str">
        <f t="shared" si="21"/>
        <v>0/3</v>
      </c>
    </row>
    <row r="301" spans="1:9" x14ac:dyDescent="0.25">
      <c r="A301" s="30">
        <f>A298</f>
        <v>46321</v>
      </c>
      <c r="B301" s="31" t="s">
        <v>81</v>
      </c>
      <c r="C301" s="31" t="s">
        <v>44</v>
      </c>
      <c r="D301" s="32" t="s">
        <v>45</v>
      </c>
      <c r="E301" s="33"/>
      <c r="F301" s="33"/>
      <c r="G301" s="33"/>
      <c r="H301" s="33"/>
      <c r="I301" s="34" t="str">
        <f t="shared" si="21"/>
        <v>0/3</v>
      </c>
    </row>
    <row r="302" spans="1:9" x14ac:dyDescent="0.25">
      <c r="A302" s="30">
        <f>A298</f>
        <v>46321</v>
      </c>
      <c r="B302" s="31" t="s">
        <v>81</v>
      </c>
      <c r="C302" s="31" t="s">
        <v>46</v>
      </c>
      <c r="D302" s="32" t="s">
        <v>47</v>
      </c>
      <c r="E302" s="33"/>
      <c r="F302" s="33"/>
      <c r="G302" s="33"/>
      <c r="H302" s="33"/>
      <c r="I302" s="34" t="str">
        <f t="shared" si="21"/>
        <v>0/3</v>
      </c>
    </row>
    <row r="303" spans="1:9" x14ac:dyDescent="0.25">
      <c r="A303" s="30">
        <f>A298</f>
        <v>46321</v>
      </c>
      <c r="B303" s="31" t="s">
        <v>81</v>
      </c>
      <c r="C303" s="31" t="s">
        <v>48</v>
      </c>
      <c r="D303" s="32" t="s">
        <v>49</v>
      </c>
      <c r="E303" s="33"/>
      <c r="F303" s="33"/>
      <c r="G303" s="33"/>
      <c r="H303" s="33"/>
      <c r="I303" s="34" t="str">
        <f t="shared" si="21"/>
        <v>0/3</v>
      </c>
    </row>
    <row r="304" spans="1:9" x14ac:dyDescent="0.25">
      <c r="A304" s="30">
        <f>A298</f>
        <v>46321</v>
      </c>
      <c r="B304" s="31" t="s">
        <v>81</v>
      </c>
      <c r="C304" s="31" t="s">
        <v>50</v>
      </c>
      <c r="D304" s="32" t="s">
        <v>51</v>
      </c>
      <c r="E304" s="33"/>
      <c r="F304" s="33"/>
      <c r="G304" s="33"/>
      <c r="H304" s="33"/>
      <c r="I304" s="34" t="str">
        <f t="shared" si="21"/>
        <v>0/3</v>
      </c>
    </row>
    <row r="305" spans="1:9" x14ac:dyDescent="0.25">
      <c r="A305" s="30">
        <f>A298</f>
        <v>46321</v>
      </c>
      <c r="B305" s="31" t="s">
        <v>82</v>
      </c>
      <c r="C305" s="31" t="s">
        <v>37</v>
      </c>
      <c r="D305" s="32" t="s">
        <v>39</v>
      </c>
      <c r="E305" s="33"/>
      <c r="F305" s="33"/>
      <c r="G305" s="33"/>
      <c r="H305" s="33"/>
      <c r="I305" s="34" t="str">
        <f>COUNTA(E305:H305)&amp;"/4"</f>
        <v>0/4</v>
      </c>
    </row>
    <row r="306" spans="1:9" ht="30" x14ac:dyDescent="0.25">
      <c r="A306" s="30">
        <f>A298</f>
        <v>46321</v>
      </c>
      <c r="B306" s="31" t="s">
        <v>82</v>
      </c>
      <c r="C306" s="31" t="s">
        <v>40</v>
      </c>
      <c r="D306" s="32" t="s">
        <v>41</v>
      </c>
      <c r="E306" s="33"/>
      <c r="F306" s="33"/>
      <c r="G306" s="33"/>
      <c r="H306" s="33"/>
      <c r="I306" s="34" t="str">
        <f t="shared" ref="I306:I318" si="22">COUNTA(E306:G306)&amp;"/3"</f>
        <v>0/3</v>
      </c>
    </row>
    <row r="307" spans="1:9" x14ac:dyDescent="0.25">
      <c r="A307" s="30">
        <f>A298</f>
        <v>46321</v>
      </c>
      <c r="B307" s="31" t="s">
        <v>82</v>
      </c>
      <c r="C307" s="31" t="s">
        <v>42</v>
      </c>
      <c r="D307" s="32" t="s">
        <v>43</v>
      </c>
      <c r="E307" s="33"/>
      <c r="F307" s="33"/>
      <c r="G307" s="33"/>
      <c r="H307" s="33"/>
      <c r="I307" s="34" t="str">
        <f t="shared" si="22"/>
        <v>0/3</v>
      </c>
    </row>
    <row r="308" spans="1:9" x14ac:dyDescent="0.25">
      <c r="A308" s="30">
        <f>A298</f>
        <v>46321</v>
      </c>
      <c r="B308" s="31" t="s">
        <v>82</v>
      </c>
      <c r="C308" s="31" t="s">
        <v>44</v>
      </c>
      <c r="D308" s="32" t="s">
        <v>45</v>
      </c>
      <c r="E308" s="33"/>
      <c r="F308" s="33"/>
      <c r="G308" s="33"/>
      <c r="H308" s="33"/>
      <c r="I308" s="34" t="str">
        <f t="shared" si="22"/>
        <v>0/3</v>
      </c>
    </row>
    <row r="309" spans="1:9" x14ac:dyDescent="0.25">
      <c r="A309" s="30">
        <f>A298</f>
        <v>46321</v>
      </c>
      <c r="B309" s="31" t="s">
        <v>82</v>
      </c>
      <c r="C309" s="31" t="s">
        <v>46</v>
      </c>
      <c r="D309" s="32" t="s">
        <v>47</v>
      </c>
      <c r="E309" s="33"/>
      <c r="F309" s="33"/>
      <c r="G309" s="33"/>
      <c r="H309" s="33"/>
      <c r="I309" s="34" t="str">
        <f t="shared" si="22"/>
        <v>0/3</v>
      </c>
    </row>
    <row r="310" spans="1:9" x14ac:dyDescent="0.25">
      <c r="A310" s="30">
        <f>A298</f>
        <v>46321</v>
      </c>
      <c r="B310" s="31" t="s">
        <v>82</v>
      </c>
      <c r="C310" s="31" t="s">
        <v>48</v>
      </c>
      <c r="D310" s="32" t="s">
        <v>49</v>
      </c>
      <c r="E310" s="33"/>
      <c r="F310" s="33"/>
      <c r="G310" s="33"/>
      <c r="H310" s="33"/>
      <c r="I310" s="34" t="str">
        <f t="shared" si="22"/>
        <v>0/3</v>
      </c>
    </row>
    <row r="311" spans="1:9" x14ac:dyDescent="0.25">
      <c r="A311" s="30">
        <f>A298</f>
        <v>46321</v>
      </c>
      <c r="B311" s="31" t="s">
        <v>82</v>
      </c>
      <c r="C311" s="31" t="s">
        <v>50</v>
      </c>
      <c r="D311" s="32" t="s">
        <v>51</v>
      </c>
      <c r="E311" s="33"/>
      <c r="F311" s="33"/>
      <c r="G311" s="33"/>
      <c r="H311" s="33"/>
      <c r="I311" s="34" t="str">
        <f t="shared" si="22"/>
        <v>0/3</v>
      </c>
    </row>
    <row r="312" spans="1:9" x14ac:dyDescent="0.25">
      <c r="A312" s="30">
        <f>A298+7</f>
        <v>46328</v>
      </c>
      <c r="B312" s="31" t="s">
        <v>81</v>
      </c>
      <c r="C312" s="31" t="s">
        <v>37</v>
      </c>
      <c r="D312" s="32" t="s">
        <v>39</v>
      </c>
      <c r="E312" s="33"/>
      <c r="F312" s="33"/>
      <c r="G312" s="33"/>
      <c r="H312" s="33"/>
      <c r="I312" s="34" t="str">
        <f t="shared" si="22"/>
        <v>0/3</v>
      </c>
    </row>
    <row r="313" spans="1:9" ht="30" x14ac:dyDescent="0.25">
      <c r="A313" s="30">
        <f>A312</f>
        <v>46328</v>
      </c>
      <c r="B313" s="31" t="s">
        <v>81</v>
      </c>
      <c r="C313" s="31" t="s">
        <v>40</v>
      </c>
      <c r="D313" s="32" t="s">
        <v>41</v>
      </c>
      <c r="E313" s="33"/>
      <c r="F313" s="33"/>
      <c r="G313" s="33"/>
      <c r="H313" s="33"/>
      <c r="I313" s="34" t="str">
        <f t="shared" si="22"/>
        <v>0/3</v>
      </c>
    </row>
    <row r="314" spans="1:9" x14ac:dyDescent="0.25">
      <c r="A314" s="30">
        <f>A312</f>
        <v>46328</v>
      </c>
      <c r="B314" s="31" t="s">
        <v>81</v>
      </c>
      <c r="C314" s="31" t="s">
        <v>42</v>
      </c>
      <c r="D314" s="32" t="s">
        <v>43</v>
      </c>
      <c r="E314" s="33"/>
      <c r="F314" s="33"/>
      <c r="G314" s="33"/>
      <c r="H314" s="33"/>
      <c r="I314" s="34" t="str">
        <f t="shared" si="22"/>
        <v>0/3</v>
      </c>
    </row>
    <row r="315" spans="1:9" x14ac:dyDescent="0.25">
      <c r="A315" s="30">
        <f>A312</f>
        <v>46328</v>
      </c>
      <c r="B315" s="31" t="s">
        <v>81</v>
      </c>
      <c r="C315" s="31" t="s">
        <v>44</v>
      </c>
      <c r="D315" s="32" t="s">
        <v>45</v>
      </c>
      <c r="E315" s="33"/>
      <c r="F315" s="33"/>
      <c r="G315" s="33"/>
      <c r="H315" s="33"/>
      <c r="I315" s="34" t="str">
        <f t="shared" si="22"/>
        <v>0/3</v>
      </c>
    </row>
    <row r="316" spans="1:9" x14ac:dyDescent="0.25">
      <c r="A316" s="30">
        <f>A312</f>
        <v>46328</v>
      </c>
      <c r="B316" s="31" t="s">
        <v>81</v>
      </c>
      <c r="C316" s="31" t="s">
        <v>46</v>
      </c>
      <c r="D316" s="32" t="s">
        <v>47</v>
      </c>
      <c r="E316" s="33"/>
      <c r="F316" s="33"/>
      <c r="G316" s="33"/>
      <c r="H316" s="33"/>
      <c r="I316" s="34" t="str">
        <f t="shared" si="22"/>
        <v>0/3</v>
      </c>
    </row>
    <row r="317" spans="1:9" x14ac:dyDescent="0.25">
      <c r="A317" s="30">
        <f>A312</f>
        <v>46328</v>
      </c>
      <c r="B317" s="31" t="s">
        <v>81</v>
      </c>
      <c r="C317" s="31" t="s">
        <v>48</v>
      </c>
      <c r="D317" s="32" t="s">
        <v>49</v>
      </c>
      <c r="E317" s="33"/>
      <c r="F317" s="33"/>
      <c r="G317" s="33"/>
      <c r="H317" s="33"/>
      <c r="I317" s="34" t="str">
        <f t="shared" si="22"/>
        <v>0/3</v>
      </c>
    </row>
    <row r="318" spans="1:9" x14ac:dyDescent="0.25">
      <c r="A318" s="30">
        <f>A312</f>
        <v>46328</v>
      </c>
      <c r="B318" s="31" t="s">
        <v>81</v>
      </c>
      <c r="C318" s="31" t="s">
        <v>50</v>
      </c>
      <c r="D318" s="32" t="s">
        <v>51</v>
      </c>
      <c r="E318" s="33"/>
      <c r="F318" s="33"/>
      <c r="G318" s="33"/>
      <c r="H318" s="33"/>
      <c r="I318" s="34" t="str">
        <f t="shared" si="22"/>
        <v>0/3</v>
      </c>
    </row>
    <row r="319" spans="1:9" x14ac:dyDescent="0.25">
      <c r="A319" s="30">
        <f>A312</f>
        <v>46328</v>
      </c>
      <c r="B319" s="31" t="s">
        <v>82</v>
      </c>
      <c r="C319" s="31" t="s">
        <v>37</v>
      </c>
      <c r="D319" s="32" t="s">
        <v>39</v>
      </c>
      <c r="E319" s="33"/>
      <c r="F319" s="33"/>
      <c r="G319" s="33"/>
      <c r="H319" s="33"/>
      <c r="I319" s="34" t="str">
        <f>COUNTA(E319:H319)&amp;"/4"</f>
        <v>0/4</v>
      </c>
    </row>
    <row r="320" spans="1:9" ht="30" x14ac:dyDescent="0.25">
      <c r="A320" s="30">
        <f>A312</f>
        <v>46328</v>
      </c>
      <c r="B320" s="31" t="s">
        <v>82</v>
      </c>
      <c r="C320" s="31" t="s">
        <v>40</v>
      </c>
      <c r="D320" s="32" t="s">
        <v>41</v>
      </c>
      <c r="E320" s="33"/>
      <c r="F320" s="33"/>
      <c r="G320" s="33"/>
      <c r="H320" s="33"/>
      <c r="I320" s="34" t="str">
        <f t="shared" ref="I320:I332" si="23">COUNTA(E320:G320)&amp;"/3"</f>
        <v>0/3</v>
      </c>
    </row>
    <row r="321" spans="1:9" x14ac:dyDescent="0.25">
      <c r="A321" s="30">
        <f>A312</f>
        <v>46328</v>
      </c>
      <c r="B321" s="31" t="s">
        <v>82</v>
      </c>
      <c r="C321" s="31" t="s">
        <v>42</v>
      </c>
      <c r="D321" s="32" t="s">
        <v>43</v>
      </c>
      <c r="E321" s="33"/>
      <c r="F321" s="33"/>
      <c r="G321" s="33"/>
      <c r="H321" s="33"/>
      <c r="I321" s="34" t="str">
        <f t="shared" si="23"/>
        <v>0/3</v>
      </c>
    </row>
    <row r="322" spans="1:9" x14ac:dyDescent="0.25">
      <c r="A322" s="30">
        <f>A312</f>
        <v>46328</v>
      </c>
      <c r="B322" s="31" t="s">
        <v>82</v>
      </c>
      <c r="C322" s="31" t="s">
        <v>44</v>
      </c>
      <c r="D322" s="32" t="s">
        <v>45</v>
      </c>
      <c r="E322" s="33"/>
      <c r="F322" s="33"/>
      <c r="G322" s="33"/>
      <c r="H322" s="33"/>
      <c r="I322" s="34" t="str">
        <f t="shared" si="23"/>
        <v>0/3</v>
      </c>
    </row>
    <row r="323" spans="1:9" x14ac:dyDescent="0.25">
      <c r="A323" s="30">
        <f>A312</f>
        <v>46328</v>
      </c>
      <c r="B323" s="31" t="s">
        <v>82</v>
      </c>
      <c r="C323" s="31" t="s">
        <v>46</v>
      </c>
      <c r="D323" s="32" t="s">
        <v>47</v>
      </c>
      <c r="E323" s="33"/>
      <c r="F323" s="33"/>
      <c r="G323" s="33"/>
      <c r="H323" s="33"/>
      <c r="I323" s="34" t="str">
        <f t="shared" si="23"/>
        <v>0/3</v>
      </c>
    </row>
    <row r="324" spans="1:9" x14ac:dyDescent="0.25">
      <c r="A324" s="30">
        <f>A312</f>
        <v>46328</v>
      </c>
      <c r="B324" s="31" t="s">
        <v>82</v>
      </c>
      <c r="C324" s="31" t="s">
        <v>48</v>
      </c>
      <c r="D324" s="32" t="s">
        <v>49</v>
      </c>
      <c r="E324" s="33"/>
      <c r="F324" s="33"/>
      <c r="G324" s="33"/>
      <c r="H324" s="33"/>
      <c r="I324" s="34" t="str">
        <f t="shared" si="23"/>
        <v>0/3</v>
      </c>
    </row>
    <row r="325" spans="1:9" x14ac:dyDescent="0.25">
      <c r="A325" s="30">
        <f>A312</f>
        <v>46328</v>
      </c>
      <c r="B325" s="31" t="s">
        <v>82</v>
      </c>
      <c r="C325" s="31" t="s">
        <v>50</v>
      </c>
      <c r="D325" s="32" t="s">
        <v>51</v>
      </c>
      <c r="E325" s="33"/>
      <c r="F325" s="33"/>
      <c r="G325" s="33"/>
      <c r="H325" s="33"/>
      <c r="I325" s="34" t="str">
        <f t="shared" si="23"/>
        <v>0/3</v>
      </c>
    </row>
    <row r="326" spans="1:9" x14ac:dyDescent="0.25">
      <c r="A326" s="30">
        <f>A312+7</f>
        <v>46335</v>
      </c>
      <c r="B326" s="31" t="s">
        <v>81</v>
      </c>
      <c r="C326" s="31" t="s">
        <v>37</v>
      </c>
      <c r="D326" s="32" t="s">
        <v>39</v>
      </c>
      <c r="E326" s="33"/>
      <c r="F326" s="33"/>
      <c r="G326" s="33"/>
      <c r="H326" s="33"/>
      <c r="I326" s="34" t="str">
        <f t="shared" si="23"/>
        <v>0/3</v>
      </c>
    </row>
    <row r="327" spans="1:9" ht="30" x14ac:dyDescent="0.25">
      <c r="A327" s="30">
        <f>A326</f>
        <v>46335</v>
      </c>
      <c r="B327" s="31" t="s">
        <v>81</v>
      </c>
      <c r="C327" s="31" t="s">
        <v>40</v>
      </c>
      <c r="D327" s="32" t="s">
        <v>41</v>
      </c>
      <c r="E327" s="33"/>
      <c r="F327" s="33"/>
      <c r="G327" s="33"/>
      <c r="H327" s="33"/>
      <c r="I327" s="34" t="str">
        <f t="shared" si="23"/>
        <v>0/3</v>
      </c>
    </row>
    <row r="328" spans="1:9" x14ac:dyDescent="0.25">
      <c r="A328" s="30">
        <f>A326</f>
        <v>46335</v>
      </c>
      <c r="B328" s="31" t="s">
        <v>81</v>
      </c>
      <c r="C328" s="31" t="s">
        <v>42</v>
      </c>
      <c r="D328" s="32" t="s">
        <v>43</v>
      </c>
      <c r="E328" s="33"/>
      <c r="F328" s="33"/>
      <c r="G328" s="33"/>
      <c r="H328" s="33"/>
      <c r="I328" s="34" t="str">
        <f t="shared" si="23"/>
        <v>0/3</v>
      </c>
    </row>
    <row r="329" spans="1:9" x14ac:dyDescent="0.25">
      <c r="A329" s="30">
        <f>A326</f>
        <v>46335</v>
      </c>
      <c r="B329" s="31" t="s">
        <v>81</v>
      </c>
      <c r="C329" s="31" t="s">
        <v>44</v>
      </c>
      <c r="D329" s="32" t="s">
        <v>45</v>
      </c>
      <c r="E329" s="33"/>
      <c r="F329" s="33"/>
      <c r="G329" s="33"/>
      <c r="H329" s="33"/>
      <c r="I329" s="34" t="str">
        <f t="shared" si="23"/>
        <v>0/3</v>
      </c>
    </row>
    <row r="330" spans="1:9" x14ac:dyDescent="0.25">
      <c r="A330" s="30">
        <f>A326</f>
        <v>46335</v>
      </c>
      <c r="B330" s="31" t="s">
        <v>81</v>
      </c>
      <c r="C330" s="31" t="s">
        <v>46</v>
      </c>
      <c r="D330" s="32" t="s">
        <v>47</v>
      </c>
      <c r="E330" s="33"/>
      <c r="F330" s="33"/>
      <c r="G330" s="33"/>
      <c r="H330" s="33"/>
      <c r="I330" s="34" t="str">
        <f t="shared" si="23"/>
        <v>0/3</v>
      </c>
    </row>
    <row r="331" spans="1:9" x14ac:dyDescent="0.25">
      <c r="A331" s="30">
        <f>A326</f>
        <v>46335</v>
      </c>
      <c r="B331" s="31" t="s">
        <v>81</v>
      </c>
      <c r="C331" s="31" t="s">
        <v>48</v>
      </c>
      <c r="D331" s="32" t="s">
        <v>49</v>
      </c>
      <c r="E331" s="33"/>
      <c r="F331" s="33"/>
      <c r="G331" s="33"/>
      <c r="H331" s="33"/>
      <c r="I331" s="34" t="str">
        <f t="shared" si="23"/>
        <v>0/3</v>
      </c>
    </row>
    <row r="332" spans="1:9" x14ac:dyDescent="0.25">
      <c r="A332" s="30">
        <f>A326</f>
        <v>46335</v>
      </c>
      <c r="B332" s="31" t="s">
        <v>81</v>
      </c>
      <c r="C332" s="31" t="s">
        <v>50</v>
      </c>
      <c r="D332" s="32" t="s">
        <v>51</v>
      </c>
      <c r="E332" s="33"/>
      <c r="F332" s="33"/>
      <c r="G332" s="33"/>
      <c r="H332" s="33"/>
      <c r="I332" s="34" t="str">
        <f t="shared" si="23"/>
        <v>0/3</v>
      </c>
    </row>
    <row r="333" spans="1:9" x14ac:dyDescent="0.25">
      <c r="A333" s="30">
        <f>A326</f>
        <v>46335</v>
      </c>
      <c r="B333" s="31" t="s">
        <v>82</v>
      </c>
      <c r="C333" s="31" t="s">
        <v>37</v>
      </c>
      <c r="D333" s="32" t="s">
        <v>39</v>
      </c>
      <c r="E333" s="33"/>
      <c r="F333" s="33"/>
      <c r="G333" s="33"/>
      <c r="H333" s="33"/>
      <c r="I333" s="34" t="str">
        <f>COUNTA(E333:H333)&amp;"/4"</f>
        <v>0/4</v>
      </c>
    </row>
    <row r="334" spans="1:9" ht="30" x14ac:dyDescent="0.25">
      <c r="A334" s="30">
        <f>A326</f>
        <v>46335</v>
      </c>
      <c r="B334" s="31" t="s">
        <v>82</v>
      </c>
      <c r="C334" s="31" t="s">
        <v>40</v>
      </c>
      <c r="D334" s="32" t="s">
        <v>41</v>
      </c>
      <c r="E334" s="33"/>
      <c r="F334" s="33"/>
      <c r="G334" s="33"/>
      <c r="H334" s="33"/>
      <c r="I334" s="34" t="str">
        <f t="shared" ref="I334:I346" si="24">COUNTA(E334:G334)&amp;"/3"</f>
        <v>0/3</v>
      </c>
    </row>
    <row r="335" spans="1:9" x14ac:dyDescent="0.25">
      <c r="A335" s="30">
        <f>A326</f>
        <v>46335</v>
      </c>
      <c r="B335" s="31" t="s">
        <v>82</v>
      </c>
      <c r="C335" s="31" t="s">
        <v>42</v>
      </c>
      <c r="D335" s="32" t="s">
        <v>43</v>
      </c>
      <c r="E335" s="33"/>
      <c r="F335" s="33"/>
      <c r="G335" s="33"/>
      <c r="H335" s="33"/>
      <c r="I335" s="34" t="str">
        <f t="shared" si="24"/>
        <v>0/3</v>
      </c>
    </row>
    <row r="336" spans="1:9" x14ac:dyDescent="0.25">
      <c r="A336" s="30">
        <f>A326</f>
        <v>46335</v>
      </c>
      <c r="B336" s="31" t="s">
        <v>82</v>
      </c>
      <c r="C336" s="31" t="s">
        <v>44</v>
      </c>
      <c r="D336" s="32" t="s">
        <v>45</v>
      </c>
      <c r="E336" s="33"/>
      <c r="F336" s="33"/>
      <c r="G336" s="33"/>
      <c r="H336" s="33"/>
      <c r="I336" s="34" t="str">
        <f t="shared" si="24"/>
        <v>0/3</v>
      </c>
    </row>
    <row r="337" spans="1:9" x14ac:dyDescent="0.25">
      <c r="A337" s="30">
        <f>A326</f>
        <v>46335</v>
      </c>
      <c r="B337" s="31" t="s">
        <v>82</v>
      </c>
      <c r="C337" s="31" t="s">
        <v>46</v>
      </c>
      <c r="D337" s="32" t="s">
        <v>47</v>
      </c>
      <c r="E337" s="33"/>
      <c r="F337" s="33"/>
      <c r="G337" s="33"/>
      <c r="H337" s="33"/>
      <c r="I337" s="34" t="str">
        <f t="shared" si="24"/>
        <v>0/3</v>
      </c>
    </row>
    <row r="338" spans="1:9" x14ac:dyDescent="0.25">
      <c r="A338" s="30">
        <f>A326</f>
        <v>46335</v>
      </c>
      <c r="B338" s="31" t="s">
        <v>82</v>
      </c>
      <c r="C338" s="31" t="s">
        <v>48</v>
      </c>
      <c r="D338" s="32" t="s">
        <v>49</v>
      </c>
      <c r="E338" s="33"/>
      <c r="F338" s="33"/>
      <c r="G338" s="33"/>
      <c r="H338" s="33"/>
      <c r="I338" s="34" t="str">
        <f t="shared" si="24"/>
        <v>0/3</v>
      </c>
    </row>
    <row r="339" spans="1:9" x14ac:dyDescent="0.25">
      <c r="A339" s="30">
        <f>A326</f>
        <v>46335</v>
      </c>
      <c r="B339" s="31" t="s">
        <v>82</v>
      </c>
      <c r="C339" s="31" t="s">
        <v>50</v>
      </c>
      <c r="D339" s="32" t="s">
        <v>51</v>
      </c>
      <c r="E339" s="33"/>
      <c r="F339" s="33"/>
      <c r="G339" s="33"/>
      <c r="H339" s="33"/>
      <c r="I339" s="34" t="str">
        <f t="shared" si="24"/>
        <v>0/3</v>
      </c>
    </row>
    <row r="340" spans="1:9" x14ac:dyDescent="0.25">
      <c r="A340" s="30">
        <f>A326+7</f>
        <v>46342</v>
      </c>
      <c r="B340" s="31" t="s">
        <v>81</v>
      </c>
      <c r="C340" s="31" t="s">
        <v>37</v>
      </c>
      <c r="D340" s="32" t="s">
        <v>39</v>
      </c>
      <c r="E340" s="33"/>
      <c r="F340" s="33"/>
      <c r="G340" s="33"/>
      <c r="H340" s="33"/>
      <c r="I340" s="34" t="str">
        <f t="shared" si="24"/>
        <v>0/3</v>
      </c>
    </row>
    <row r="341" spans="1:9" ht="30" x14ac:dyDescent="0.25">
      <c r="A341" s="30">
        <f>A340</f>
        <v>46342</v>
      </c>
      <c r="B341" s="31" t="s">
        <v>81</v>
      </c>
      <c r="C341" s="31" t="s">
        <v>40</v>
      </c>
      <c r="D341" s="32" t="s">
        <v>41</v>
      </c>
      <c r="E341" s="33"/>
      <c r="F341" s="33"/>
      <c r="G341" s="33"/>
      <c r="H341" s="33"/>
      <c r="I341" s="34" t="str">
        <f t="shared" si="24"/>
        <v>0/3</v>
      </c>
    </row>
    <row r="342" spans="1:9" x14ac:dyDescent="0.25">
      <c r="A342" s="30">
        <f>A340</f>
        <v>46342</v>
      </c>
      <c r="B342" s="31" t="s">
        <v>81</v>
      </c>
      <c r="C342" s="31" t="s">
        <v>42</v>
      </c>
      <c r="D342" s="32" t="s">
        <v>43</v>
      </c>
      <c r="E342" s="33"/>
      <c r="F342" s="33"/>
      <c r="G342" s="33"/>
      <c r="H342" s="33"/>
      <c r="I342" s="34" t="str">
        <f t="shared" si="24"/>
        <v>0/3</v>
      </c>
    </row>
    <row r="343" spans="1:9" x14ac:dyDescent="0.25">
      <c r="A343" s="30">
        <f>A340</f>
        <v>46342</v>
      </c>
      <c r="B343" s="31" t="s">
        <v>81</v>
      </c>
      <c r="C343" s="31" t="s">
        <v>44</v>
      </c>
      <c r="D343" s="32" t="s">
        <v>45</v>
      </c>
      <c r="E343" s="33"/>
      <c r="F343" s="33"/>
      <c r="G343" s="33"/>
      <c r="H343" s="33"/>
      <c r="I343" s="34" t="str">
        <f t="shared" si="24"/>
        <v>0/3</v>
      </c>
    </row>
    <row r="344" spans="1:9" x14ac:dyDescent="0.25">
      <c r="A344" s="30">
        <f>A340</f>
        <v>46342</v>
      </c>
      <c r="B344" s="31" t="s">
        <v>81</v>
      </c>
      <c r="C344" s="31" t="s">
        <v>46</v>
      </c>
      <c r="D344" s="32" t="s">
        <v>47</v>
      </c>
      <c r="E344" s="33"/>
      <c r="F344" s="33"/>
      <c r="G344" s="33"/>
      <c r="H344" s="33"/>
      <c r="I344" s="34" t="str">
        <f t="shared" si="24"/>
        <v>0/3</v>
      </c>
    </row>
    <row r="345" spans="1:9" x14ac:dyDescent="0.25">
      <c r="A345" s="30">
        <f>A340</f>
        <v>46342</v>
      </c>
      <c r="B345" s="31" t="s">
        <v>81</v>
      </c>
      <c r="C345" s="31" t="s">
        <v>48</v>
      </c>
      <c r="D345" s="32" t="s">
        <v>49</v>
      </c>
      <c r="E345" s="33"/>
      <c r="F345" s="33"/>
      <c r="G345" s="33"/>
      <c r="H345" s="33"/>
      <c r="I345" s="34" t="str">
        <f t="shared" si="24"/>
        <v>0/3</v>
      </c>
    </row>
    <row r="346" spans="1:9" x14ac:dyDescent="0.25">
      <c r="A346" s="30">
        <f>A340</f>
        <v>46342</v>
      </c>
      <c r="B346" s="31" t="s">
        <v>81</v>
      </c>
      <c r="C346" s="31" t="s">
        <v>50</v>
      </c>
      <c r="D346" s="32" t="s">
        <v>51</v>
      </c>
      <c r="E346" s="33"/>
      <c r="F346" s="33"/>
      <c r="G346" s="33"/>
      <c r="H346" s="33"/>
      <c r="I346" s="34" t="str">
        <f t="shared" si="24"/>
        <v>0/3</v>
      </c>
    </row>
    <row r="347" spans="1:9" x14ac:dyDescent="0.25">
      <c r="A347" s="30">
        <f>A340</f>
        <v>46342</v>
      </c>
      <c r="B347" s="31" t="s">
        <v>82</v>
      </c>
      <c r="C347" s="31" t="s">
        <v>37</v>
      </c>
      <c r="D347" s="32" t="s">
        <v>39</v>
      </c>
      <c r="E347" s="33"/>
      <c r="F347" s="33"/>
      <c r="G347" s="33"/>
      <c r="H347" s="33"/>
      <c r="I347" s="34" t="str">
        <f>COUNTA(E347:H347)&amp;"/4"</f>
        <v>0/4</v>
      </c>
    </row>
    <row r="348" spans="1:9" ht="30" x14ac:dyDescent="0.25">
      <c r="A348" s="30">
        <f>A340</f>
        <v>46342</v>
      </c>
      <c r="B348" s="31" t="s">
        <v>82</v>
      </c>
      <c r="C348" s="31" t="s">
        <v>40</v>
      </c>
      <c r="D348" s="32" t="s">
        <v>41</v>
      </c>
      <c r="E348" s="33"/>
      <c r="F348" s="33"/>
      <c r="G348" s="33"/>
      <c r="H348" s="33"/>
      <c r="I348" s="34" t="str">
        <f t="shared" ref="I348:I360" si="25">COUNTA(E348:G348)&amp;"/3"</f>
        <v>0/3</v>
      </c>
    </row>
    <row r="349" spans="1:9" x14ac:dyDescent="0.25">
      <c r="A349" s="30">
        <f>A340</f>
        <v>46342</v>
      </c>
      <c r="B349" s="31" t="s">
        <v>82</v>
      </c>
      <c r="C349" s="31" t="s">
        <v>42</v>
      </c>
      <c r="D349" s="32" t="s">
        <v>43</v>
      </c>
      <c r="E349" s="33"/>
      <c r="F349" s="33"/>
      <c r="G349" s="33"/>
      <c r="H349" s="33"/>
      <c r="I349" s="34" t="str">
        <f t="shared" si="25"/>
        <v>0/3</v>
      </c>
    </row>
    <row r="350" spans="1:9" x14ac:dyDescent="0.25">
      <c r="A350" s="30">
        <f>A340</f>
        <v>46342</v>
      </c>
      <c r="B350" s="31" t="s">
        <v>82</v>
      </c>
      <c r="C350" s="31" t="s">
        <v>44</v>
      </c>
      <c r="D350" s="32" t="s">
        <v>45</v>
      </c>
      <c r="E350" s="33"/>
      <c r="F350" s="33"/>
      <c r="G350" s="33"/>
      <c r="H350" s="33"/>
      <c r="I350" s="34" t="str">
        <f t="shared" si="25"/>
        <v>0/3</v>
      </c>
    </row>
    <row r="351" spans="1:9" x14ac:dyDescent="0.25">
      <c r="A351" s="30">
        <f>A340</f>
        <v>46342</v>
      </c>
      <c r="B351" s="31" t="s">
        <v>82</v>
      </c>
      <c r="C351" s="31" t="s">
        <v>46</v>
      </c>
      <c r="D351" s="32" t="s">
        <v>47</v>
      </c>
      <c r="E351" s="33"/>
      <c r="F351" s="33"/>
      <c r="G351" s="33"/>
      <c r="H351" s="33"/>
      <c r="I351" s="34" t="str">
        <f t="shared" si="25"/>
        <v>0/3</v>
      </c>
    </row>
    <row r="352" spans="1:9" x14ac:dyDescent="0.25">
      <c r="A352" s="30">
        <f>A340</f>
        <v>46342</v>
      </c>
      <c r="B352" s="31" t="s">
        <v>82</v>
      </c>
      <c r="C352" s="31" t="s">
        <v>48</v>
      </c>
      <c r="D352" s="32" t="s">
        <v>49</v>
      </c>
      <c r="E352" s="33"/>
      <c r="F352" s="33"/>
      <c r="G352" s="33"/>
      <c r="H352" s="33"/>
      <c r="I352" s="34" t="str">
        <f t="shared" si="25"/>
        <v>0/3</v>
      </c>
    </row>
    <row r="353" spans="1:9" x14ac:dyDescent="0.25">
      <c r="A353" s="30">
        <f>A340</f>
        <v>46342</v>
      </c>
      <c r="B353" s="31" t="s">
        <v>82</v>
      </c>
      <c r="C353" s="31" t="s">
        <v>50</v>
      </c>
      <c r="D353" s="32" t="s">
        <v>51</v>
      </c>
      <c r="E353" s="33"/>
      <c r="F353" s="33"/>
      <c r="G353" s="33"/>
      <c r="H353" s="33"/>
      <c r="I353" s="34" t="str">
        <f t="shared" si="25"/>
        <v>0/3</v>
      </c>
    </row>
    <row r="354" spans="1:9" x14ac:dyDescent="0.25">
      <c r="A354" s="30">
        <f>A340+7</f>
        <v>46349</v>
      </c>
      <c r="B354" s="31" t="s">
        <v>81</v>
      </c>
      <c r="C354" s="31" t="s">
        <v>37</v>
      </c>
      <c r="D354" s="32" t="s">
        <v>39</v>
      </c>
      <c r="E354" s="33"/>
      <c r="F354" s="33"/>
      <c r="G354" s="33"/>
      <c r="H354" s="33"/>
      <c r="I354" s="34" t="str">
        <f t="shared" si="25"/>
        <v>0/3</v>
      </c>
    </row>
    <row r="355" spans="1:9" ht="30" x14ac:dyDescent="0.25">
      <c r="A355" s="30">
        <f>A354</f>
        <v>46349</v>
      </c>
      <c r="B355" s="31" t="s">
        <v>81</v>
      </c>
      <c r="C355" s="31" t="s">
        <v>40</v>
      </c>
      <c r="D355" s="32" t="s">
        <v>41</v>
      </c>
      <c r="E355" s="33"/>
      <c r="F355" s="33"/>
      <c r="G355" s="33"/>
      <c r="H355" s="33"/>
      <c r="I355" s="34" t="str">
        <f t="shared" si="25"/>
        <v>0/3</v>
      </c>
    </row>
    <row r="356" spans="1:9" x14ac:dyDescent="0.25">
      <c r="A356" s="30">
        <f>A354</f>
        <v>46349</v>
      </c>
      <c r="B356" s="31" t="s">
        <v>81</v>
      </c>
      <c r="C356" s="31" t="s">
        <v>42</v>
      </c>
      <c r="D356" s="32" t="s">
        <v>43</v>
      </c>
      <c r="E356" s="33"/>
      <c r="F356" s="33"/>
      <c r="G356" s="33"/>
      <c r="H356" s="33"/>
      <c r="I356" s="34" t="str">
        <f t="shared" si="25"/>
        <v>0/3</v>
      </c>
    </row>
    <row r="357" spans="1:9" x14ac:dyDescent="0.25">
      <c r="A357" s="30">
        <f>A354</f>
        <v>46349</v>
      </c>
      <c r="B357" s="31" t="s">
        <v>81</v>
      </c>
      <c r="C357" s="31" t="s">
        <v>44</v>
      </c>
      <c r="D357" s="32" t="s">
        <v>45</v>
      </c>
      <c r="E357" s="33"/>
      <c r="F357" s="33"/>
      <c r="G357" s="33"/>
      <c r="H357" s="33"/>
      <c r="I357" s="34" t="str">
        <f t="shared" si="25"/>
        <v>0/3</v>
      </c>
    </row>
    <row r="358" spans="1:9" x14ac:dyDescent="0.25">
      <c r="A358" s="30">
        <f>A354</f>
        <v>46349</v>
      </c>
      <c r="B358" s="31" t="s">
        <v>81</v>
      </c>
      <c r="C358" s="31" t="s">
        <v>46</v>
      </c>
      <c r="D358" s="32" t="s">
        <v>47</v>
      </c>
      <c r="E358" s="33"/>
      <c r="F358" s="33"/>
      <c r="G358" s="33"/>
      <c r="H358" s="33"/>
      <c r="I358" s="34" t="str">
        <f t="shared" si="25"/>
        <v>0/3</v>
      </c>
    </row>
    <row r="359" spans="1:9" x14ac:dyDescent="0.25">
      <c r="A359" s="30">
        <f>A354</f>
        <v>46349</v>
      </c>
      <c r="B359" s="31" t="s">
        <v>81</v>
      </c>
      <c r="C359" s="31" t="s">
        <v>48</v>
      </c>
      <c r="D359" s="32" t="s">
        <v>49</v>
      </c>
      <c r="E359" s="33"/>
      <c r="F359" s="33"/>
      <c r="G359" s="33"/>
      <c r="H359" s="33"/>
      <c r="I359" s="34" t="str">
        <f t="shared" si="25"/>
        <v>0/3</v>
      </c>
    </row>
    <row r="360" spans="1:9" x14ac:dyDescent="0.25">
      <c r="A360" s="30">
        <f>A354</f>
        <v>46349</v>
      </c>
      <c r="B360" s="31" t="s">
        <v>81</v>
      </c>
      <c r="C360" s="31" t="s">
        <v>50</v>
      </c>
      <c r="D360" s="32" t="s">
        <v>51</v>
      </c>
      <c r="E360" s="33"/>
      <c r="F360" s="33"/>
      <c r="G360" s="33"/>
      <c r="H360" s="33"/>
      <c r="I360" s="34" t="str">
        <f t="shared" si="25"/>
        <v>0/3</v>
      </c>
    </row>
    <row r="361" spans="1:9" x14ac:dyDescent="0.25">
      <c r="A361" s="30">
        <f>A354</f>
        <v>46349</v>
      </c>
      <c r="B361" s="31" t="s">
        <v>82</v>
      </c>
      <c r="C361" s="31" t="s">
        <v>37</v>
      </c>
      <c r="D361" s="32" t="s">
        <v>39</v>
      </c>
      <c r="E361" s="33"/>
      <c r="F361" s="33"/>
      <c r="G361" s="33"/>
      <c r="H361" s="33"/>
      <c r="I361" s="34" t="str">
        <f>COUNTA(E361:H361)&amp;"/4"</f>
        <v>0/4</v>
      </c>
    </row>
    <row r="362" spans="1:9" ht="30" x14ac:dyDescent="0.25">
      <c r="A362" s="30">
        <f>A354</f>
        <v>46349</v>
      </c>
      <c r="B362" s="31" t="s">
        <v>82</v>
      </c>
      <c r="C362" s="31" t="s">
        <v>40</v>
      </c>
      <c r="D362" s="32" t="s">
        <v>41</v>
      </c>
      <c r="E362" s="33"/>
      <c r="F362" s="33"/>
      <c r="G362" s="33"/>
      <c r="H362" s="33"/>
      <c r="I362" s="34" t="str">
        <f t="shared" ref="I362:I374" si="26">COUNTA(E362:G362)&amp;"/3"</f>
        <v>0/3</v>
      </c>
    </row>
    <row r="363" spans="1:9" x14ac:dyDescent="0.25">
      <c r="A363" s="30">
        <f>A354</f>
        <v>46349</v>
      </c>
      <c r="B363" s="31" t="s">
        <v>82</v>
      </c>
      <c r="C363" s="31" t="s">
        <v>42</v>
      </c>
      <c r="D363" s="32" t="s">
        <v>43</v>
      </c>
      <c r="E363" s="33"/>
      <c r="F363" s="33"/>
      <c r="G363" s="33"/>
      <c r="H363" s="33"/>
      <c r="I363" s="34" t="str">
        <f t="shared" si="26"/>
        <v>0/3</v>
      </c>
    </row>
    <row r="364" spans="1:9" x14ac:dyDescent="0.25">
      <c r="A364" s="30">
        <f>A354</f>
        <v>46349</v>
      </c>
      <c r="B364" s="31" t="s">
        <v>82</v>
      </c>
      <c r="C364" s="31" t="s">
        <v>44</v>
      </c>
      <c r="D364" s="32" t="s">
        <v>45</v>
      </c>
      <c r="E364" s="33"/>
      <c r="F364" s="33"/>
      <c r="G364" s="33"/>
      <c r="H364" s="33"/>
      <c r="I364" s="34" t="str">
        <f t="shared" si="26"/>
        <v>0/3</v>
      </c>
    </row>
    <row r="365" spans="1:9" x14ac:dyDescent="0.25">
      <c r="A365" s="30">
        <f>A354</f>
        <v>46349</v>
      </c>
      <c r="B365" s="31" t="s">
        <v>82</v>
      </c>
      <c r="C365" s="31" t="s">
        <v>46</v>
      </c>
      <c r="D365" s="32" t="s">
        <v>47</v>
      </c>
      <c r="E365" s="33"/>
      <c r="F365" s="33"/>
      <c r="G365" s="33"/>
      <c r="H365" s="33"/>
      <c r="I365" s="34" t="str">
        <f t="shared" si="26"/>
        <v>0/3</v>
      </c>
    </row>
    <row r="366" spans="1:9" x14ac:dyDescent="0.25">
      <c r="A366" s="30">
        <f>A354</f>
        <v>46349</v>
      </c>
      <c r="B366" s="31" t="s">
        <v>82</v>
      </c>
      <c r="C366" s="31" t="s">
        <v>48</v>
      </c>
      <c r="D366" s="32" t="s">
        <v>49</v>
      </c>
      <c r="E366" s="33"/>
      <c r="F366" s="33"/>
      <c r="G366" s="33"/>
      <c r="H366" s="33"/>
      <c r="I366" s="34" t="str">
        <f t="shared" si="26"/>
        <v>0/3</v>
      </c>
    </row>
    <row r="367" spans="1:9" x14ac:dyDescent="0.25">
      <c r="A367" s="30">
        <f>A354</f>
        <v>46349</v>
      </c>
      <c r="B367" s="31" t="s">
        <v>82</v>
      </c>
      <c r="C367" s="31" t="s">
        <v>50</v>
      </c>
      <c r="D367" s="32" t="s">
        <v>51</v>
      </c>
      <c r="E367" s="33"/>
      <c r="F367" s="33"/>
      <c r="G367" s="33"/>
      <c r="H367" s="33"/>
      <c r="I367" s="34" t="str">
        <f t="shared" si="26"/>
        <v>0/3</v>
      </c>
    </row>
    <row r="368" spans="1:9" x14ac:dyDescent="0.25">
      <c r="A368" s="30">
        <f>A354+7</f>
        <v>46356</v>
      </c>
      <c r="B368" s="31" t="s">
        <v>81</v>
      </c>
      <c r="C368" s="31" t="s">
        <v>37</v>
      </c>
      <c r="D368" s="32" t="s">
        <v>39</v>
      </c>
      <c r="E368" s="33"/>
      <c r="F368" s="33"/>
      <c r="G368" s="33"/>
      <c r="H368" s="33"/>
      <c r="I368" s="34" t="str">
        <f t="shared" si="26"/>
        <v>0/3</v>
      </c>
    </row>
    <row r="369" spans="1:9" ht="30" x14ac:dyDescent="0.25">
      <c r="A369" s="30">
        <f>A368</f>
        <v>46356</v>
      </c>
      <c r="B369" s="31" t="s">
        <v>81</v>
      </c>
      <c r="C369" s="31" t="s">
        <v>40</v>
      </c>
      <c r="D369" s="32" t="s">
        <v>41</v>
      </c>
      <c r="E369" s="33"/>
      <c r="F369" s="33"/>
      <c r="G369" s="33"/>
      <c r="H369" s="33"/>
      <c r="I369" s="34" t="str">
        <f t="shared" si="26"/>
        <v>0/3</v>
      </c>
    </row>
    <row r="370" spans="1:9" x14ac:dyDescent="0.25">
      <c r="A370" s="30">
        <f>A368</f>
        <v>46356</v>
      </c>
      <c r="B370" s="31" t="s">
        <v>81</v>
      </c>
      <c r="C370" s="31" t="s">
        <v>42</v>
      </c>
      <c r="D370" s="32" t="s">
        <v>43</v>
      </c>
      <c r="E370" s="33"/>
      <c r="F370" s="33"/>
      <c r="G370" s="33"/>
      <c r="H370" s="33"/>
      <c r="I370" s="34" t="str">
        <f t="shared" si="26"/>
        <v>0/3</v>
      </c>
    </row>
    <row r="371" spans="1:9" x14ac:dyDescent="0.25">
      <c r="A371" s="30">
        <f>A368</f>
        <v>46356</v>
      </c>
      <c r="B371" s="31" t="s">
        <v>81</v>
      </c>
      <c r="C371" s="31" t="s">
        <v>44</v>
      </c>
      <c r="D371" s="32" t="s">
        <v>45</v>
      </c>
      <c r="E371" s="33"/>
      <c r="F371" s="33"/>
      <c r="G371" s="33"/>
      <c r="H371" s="33"/>
      <c r="I371" s="34" t="str">
        <f t="shared" si="26"/>
        <v>0/3</v>
      </c>
    </row>
    <row r="372" spans="1:9" x14ac:dyDescent="0.25">
      <c r="A372" s="30">
        <f>A368</f>
        <v>46356</v>
      </c>
      <c r="B372" s="31" t="s">
        <v>81</v>
      </c>
      <c r="C372" s="31" t="s">
        <v>46</v>
      </c>
      <c r="D372" s="32" t="s">
        <v>47</v>
      </c>
      <c r="E372" s="33"/>
      <c r="F372" s="33"/>
      <c r="G372" s="33"/>
      <c r="H372" s="33"/>
      <c r="I372" s="34" t="str">
        <f t="shared" si="26"/>
        <v>0/3</v>
      </c>
    </row>
    <row r="373" spans="1:9" x14ac:dyDescent="0.25">
      <c r="A373" s="30">
        <f>A368</f>
        <v>46356</v>
      </c>
      <c r="B373" s="31" t="s">
        <v>81</v>
      </c>
      <c r="C373" s="31" t="s">
        <v>48</v>
      </c>
      <c r="D373" s="32" t="s">
        <v>49</v>
      </c>
      <c r="E373" s="33"/>
      <c r="F373" s="33"/>
      <c r="G373" s="33"/>
      <c r="H373" s="33"/>
      <c r="I373" s="34" t="str">
        <f t="shared" si="26"/>
        <v>0/3</v>
      </c>
    </row>
    <row r="374" spans="1:9" x14ac:dyDescent="0.25">
      <c r="A374" s="30">
        <f>A368</f>
        <v>46356</v>
      </c>
      <c r="B374" s="31" t="s">
        <v>81</v>
      </c>
      <c r="C374" s="31" t="s">
        <v>50</v>
      </c>
      <c r="D374" s="32" t="s">
        <v>51</v>
      </c>
      <c r="E374" s="33"/>
      <c r="F374" s="33"/>
      <c r="G374" s="33"/>
      <c r="H374" s="33"/>
      <c r="I374" s="34" t="str">
        <f t="shared" si="26"/>
        <v>0/3</v>
      </c>
    </row>
    <row r="375" spans="1:9" x14ac:dyDescent="0.25">
      <c r="A375" s="30">
        <f>A368</f>
        <v>46356</v>
      </c>
      <c r="B375" s="31" t="s">
        <v>82</v>
      </c>
      <c r="C375" s="31" t="s">
        <v>37</v>
      </c>
      <c r="D375" s="32" t="s">
        <v>39</v>
      </c>
      <c r="E375" s="33"/>
      <c r="F375" s="33"/>
      <c r="G375" s="33"/>
      <c r="H375" s="33"/>
      <c r="I375" s="34" t="str">
        <f>COUNTA(E375:H375)&amp;"/4"</f>
        <v>0/4</v>
      </c>
    </row>
    <row r="376" spans="1:9" ht="30" x14ac:dyDescent="0.25">
      <c r="A376" s="30">
        <f>A368</f>
        <v>46356</v>
      </c>
      <c r="B376" s="31" t="s">
        <v>82</v>
      </c>
      <c r="C376" s="31" t="s">
        <v>40</v>
      </c>
      <c r="D376" s="32" t="s">
        <v>41</v>
      </c>
      <c r="E376" s="33"/>
      <c r="F376" s="33"/>
      <c r="G376" s="33"/>
      <c r="H376" s="33"/>
      <c r="I376" s="34" t="str">
        <f t="shared" ref="I376:I388" si="27">COUNTA(E376:G376)&amp;"/3"</f>
        <v>0/3</v>
      </c>
    </row>
    <row r="377" spans="1:9" x14ac:dyDescent="0.25">
      <c r="A377" s="30">
        <f>A368</f>
        <v>46356</v>
      </c>
      <c r="B377" s="31" t="s">
        <v>82</v>
      </c>
      <c r="C377" s="31" t="s">
        <v>42</v>
      </c>
      <c r="D377" s="32" t="s">
        <v>43</v>
      </c>
      <c r="E377" s="33"/>
      <c r="F377" s="33"/>
      <c r="G377" s="33"/>
      <c r="H377" s="33"/>
      <c r="I377" s="34" t="str">
        <f t="shared" si="27"/>
        <v>0/3</v>
      </c>
    </row>
    <row r="378" spans="1:9" x14ac:dyDescent="0.25">
      <c r="A378" s="30">
        <f>A368</f>
        <v>46356</v>
      </c>
      <c r="B378" s="31" t="s">
        <v>82</v>
      </c>
      <c r="C378" s="31" t="s">
        <v>44</v>
      </c>
      <c r="D378" s="32" t="s">
        <v>45</v>
      </c>
      <c r="E378" s="33"/>
      <c r="F378" s="33"/>
      <c r="G378" s="33"/>
      <c r="H378" s="33"/>
      <c r="I378" s="34" t="str">
        <f t="shared" si="27"/>
        <v>0/3</v>
      </c>
    </row>
    <row r="379" spans="1:9" x14ac:dyDescent="0.25">
      <c r="A379" s="30">
        <f>A368</f>
        <v>46356</v>
      </c>
      <c r="B379" s="31" t="s">
        <v>82</v>
      </c>
      <c r="C379" s="31" t="s">
        <v>46</v>
      </c>
      <c r="D379" s="32" t="s">
        <v>47</v>
      </c>
      <c r="E379" s="33"/>
      <c r="F379" s="33"/>
      <c r="G379" s="33"/>
      <c r="H379" s="33"/>
      <c r="I379" s="34" t="str">
        <f t="shared" si="27"/>
        <v>0/3</v>
      </c>
    </row>
    <row r="380" spans="1:9" x14ac:dyDescent="0.25">
      <c r="A380" s="30">
        <f>A368</f>
        <v>46356</v>
      </c>
      <c r="B380" s="31" t="s">
        <v>82</v>
      </c>
      <c r="C380" s="31" t="s">
        <v>48</v>
      </c>
      <c r="D380" s="32" t="s">
        <v>49</v>
      </c>
      <c r="E380" s="33"/>
      <c r="F380" s="33"/>
      <c r="G380" s="33"/>
      <c r="H380" s="33"/>
      <c r="I380" s="34" t="str">
        <f t="shared" si="27"/>
        <v>0/3</v>
      </c>
    </row>
    <row r="381" spans="1:9" x14ac:dyDescent="0.25">
      <c r="A381" s="30">
        <f>A368</f>
        <v>46356</v>
      </c>
      <c r="B381" s="31" t="s">
        <v>82</v>
      </c>
      <c r="C381" s="31" t="s">
        <v>50</v>
      </c>
      <c r="D381" s="32" t="s">
        <v>51</v>
      </c>
      <c r="E381" s="33"/>
      <c r="F381" s="33"/>
      <c r="G381" s="33"/>
      <c r="H381" s="33"/>
      <c r="I381" s="34" t="str">
        <f t="shared" si="27"/>
        <v>0/3</v>
      </c>
    </row>
    <row r="382" spans="1:9" x14ac:dyDescent="0.25">
      <c r="A382" s="30">
        <f>A368+7</f>
        <v>46363</v>
      </c>
      <c r="B382" s="31" t="s">
        <v>81</v>
      </c>
      <c r="C382" s="31" t="s">
        <v>37</v>
      </c>
      <c r="D382" s="32" t="s">
        <v>39</v>
      </c>
      <c r="E382" s="33"/>
      <c r="F382" s="33"/>
      <c r="G382" s="33"/>
      <c r="H382" s="33"/>
      <c r="I382" s="34" t="str">
        <f t="shared" si="27"/>
        <v>0/3</v>
      </c>
    </row>
    <row r="383" spans="1:9" ht="30" x14ac:dyDescent="0.25">
      <c r="A383" s="30">
        <f>A382</f>
        <v>46363</v>
      </c>
      <c r="B383" s="31" t="s">
        <v>81</v>
      </c>
      <c r="C383" s="31" t="s">
        <v>40</v>
      </c>
      <c r="D383" s="32" t="s">
        <v>41</v>
      </c>
      <c r="E383" s="33"/>
      <c r="F383" s="33"/>
      <c r="G383" s="33"/>
      <c r="H383" s="33"/>
      <c r="I383" s="34" t="str">
        <f t="shared" si="27"/>
        <v>0/3</v>
      </c>
    </row>
    <row r="384" spans="1:9" x14ac:dyDescent="0.25">
      <c r="A384" s="30">
        <f>A382</f>
        <v>46363</v>
      </c>
      <c r="B384" s="31" t="s">
        <v>81</v>
      </c>
      <c r="C384" s="31" t="s">
        <v>42</v>
      </c>
      <c r="D384" s="32" t="s">
        <v>43</v>
      </c>
      <c r="E384" s="33"/>
      <c r="F384" s="33"/>
      <c r="G384" s="33"/>
      <c r="H384" s="33"/>
      <c r="I384" s="34" t="str">
        <f t="shared" si="27"/>
        <v>0/3</v>
      </c>
    </row>
    <row r="385" spans="1:9" x14ac:dyDescent="0.25">
      <c r="A385" s="30">
        <f>A382</f>
        <v>46363</v>
      </c>
      <c r="B385" s="31" t="s">
        <v>81</v>
      </c>
      <c r="C385" s="31" t="s">
        <v>44</v>
      </c>
      <c r="D385" s="32" t="s">
        <v>45</v>
      </c>
      <c r="E385" s="33"/>
      <c r="F385" s="33"/>
      <c r="G385" s="33"/>
      <c r="H385" s="33"/>
      <c r="I385" s="34" t="str">
        <f t="shared" si="27"/>
        <v>0/3</v>
      </c>
    </row>
    <row r="386" spans="1:9" x14ac:dyDescent="0.25">
      <c r="A386" s="30">
        <f>A382</f>
        <v>46363</v>
      </c>
      <c r="B386" s="31" t="s">
        <v>81</v>
      </c>
      <c r="C386" s="31" t="s">
        <v>46</v>
      </c>
      <c r="D386" s="32" t="s">
        <v>47</v>
      </c>
      <c r="E386" s="33"/>
      <c r="F386" s="33"/>
      <c r="G386" s="33"/>
      <c r="H386" s="33"/>
      <c r="I386" s="34" t="str">
        <f t="shared" si="27"/>
        <v>0/3</v>
      </c>
    </row>
    <row r="387" spans="1:9" x14ac:dyDescent="0.25">
      <c r="A387" s="30">
        <f>A382</f>
        <v>46363</v>
      </c>
      <c r="B387" s="31" t="s">
        <v>81</v>
      </c>
      <c r="C387" s="31" t="s">
        <v>48</v>
      </c>
      <c r="D387" s="32" t="s">
        <v>49</v>
      </c>
      <c r="E387" s="33"/>
      <c r="F387" s="33"/>
      <c r="G387" s="33"/>
      <c r="H387" s="33"/>
      <c r="I387" s="34" t="str">
        <f t="shared" si="27"/>
        <v>0/3</v>
      </c>
    </row>
    <row r="388" spans="1:9" x14ac:dyDescent="0.25">
      <c r="A388" s="30">
        <f>A382</f>
        <v>46363</v>
      </c>
      <c r="B388" s="31" t="s">
        <v>81</v>
      </c>
      <c r="C388" s="31" t="s">
        <v>50</v>
      </c>
      <c r="D388" s="32" t="s">
        <v>51</v>
      </c>
      <c r="E388" s="33"/>
      <c r="F388" s="33"/>
      <c r="G388" s="33"/>
      <c r="H388" s="33"/>
      <c r="I388" s="34" t="str">
        <f t="shared" si="27"/>
        <v>0/3</v>
      </c>
    </row>
    <row r="389" spans="1:9" x14ac:dyDescent="0.25">
      <c r="A389" s="30">
        <f>A382</f>
        <v>46363</v>
      </c>
      <c r="B389" s="31" t="s">
        <v>82</v>
      </c>
      <c r="C389" s="31" t="s">
        <v>37</v>
      </c>
      <c r="D389" s="32" t="s">
        <v>39</v>
      </c>
      <c r="E389" s="33"/>
      <c r="F389" s="33"/>
      <c r="G389" s="33"/>
      <c r="H389" s="33"/>
      <c r="I389" s="34" t="str">
        <f>COUNTA(E389:H389)&amp;"/4"</f>
        <v>0/4</v>
      </c>
    </row>
    <row r="390" spans="1:9" ht="30" x14ac:dyDescent="0.25">
      <c r="A390" s="30">
        <f>A382</f>
        <v>46363</v>
      </c>
      <c r="B390" s="31" t="s">
        <v>82</v>
      </c>
      <c r="C390" s="31" t="s">
        <v>40</v>
      </c>
      <c r="D390" s="32" t="s">
        <v>41</v>
      </c>
      <c r="E390" s="33"/>
      <c r="F390" s="33"/>
      <c r="G390" s="33"/>
      <c r="H390" s="33"/>
      <c r="I390" s="34" t="str">
        <f t="shared" ref="I390:I402" si="28">COUNTA(E390:G390)&amp;"/3"</f>
        <v>0/3</v>
      </c>
    </row>
    <row r="391" spans="1:9" x14ac:dyDescent="0.25">
      <c r="A391" s="30">
        <f>A382</f>
        <v>46363</v>
      </c>
      <c r="B391" s="31" t="s">
        <v>82</v>
      </c>
      <c r="C391" s="31" t="s">
        <v>42</v>
      </c>
      <c r="D391" s="32" t="s">
        <v>43</v>
      </c>
      <c r="E391" s="33"/>
      <c r="F391" s="33"/>
      <c r="G391" s="33"/>
      <c r="H391" s="33"/>
      <c r="I391" s="34" t="str">
        <f t="shared" si="28"/>
        <v>0/3</v>
      </c>
    </row>
    <row r="392" spans="1:9" x14ac:dyDescent="0.25">
      <c r="A392" s="30">
        <f>A382</f>
        <v>46363</v>
      </c>
      <c r="B392" s="31" t="s">
        <v>82</v>
      </c>
      <c r="C392" s="31" t="s">
        <v>44</v>
      </c>
      <c r="D392" s="32" t="s">
        <v>45</v>
      </c>
      <c r="E392" s="33"/>
      <c r="F392" s="33"/>
      <c r="G392" s="33"/>
      <c r="H392" s="33"/>
      <c r="I392" s="34" t="str">
        <f t="shared" si="28"/>
        <v>0/3</v>
      </c>
    </row>
    <row r="393" spans="1:9" x14ac:dyDescent="0.25">
      <c r="A393" s="30">
        <f>A382</f>
        <v>46363</v>
      </c>
      <c r="B393" s="31" t="s">
        <v>82</v>
      </c>
      <c r="C393" s="31" t="s">
        <v>46</v>
      </c>
      <c r="D393" s="32" t="s">
        <v>47</v>
      </c>
      <c r="E393" s="33"/>
      <c r="F393" s="33"/>
      <c r="G393" s="33"/>
      <c r="H393" s="33"/>
      <c r="I393" s="34" t="str">
        <f t="shared" si="28"/>
        <v>0/3</v>
      </c>
    </row>
    <row r="394" spans="1:9" x14ac:dyDescent="0.25">
      <c r="A394" s="30">
        <f>A382</f>
        <v>46363</v>
      </c>
      <c r="B394" s="31" t="s">
        <v>82</v>
      </c>
      <c r="C394" s="31" t="s">
        <v>48</v>
      </c>
      <c r="D394" s="32" t="s">
        <v>49</v>
      </c>
      <c r="E394" s="33"/>
      <c r="F394" s="33"/>
      <c r="G394" s="33"/>
      <c r="H394" s="33"/>
      <c r="I394" s="34" t="str">
        <f t="shared" si="28"/>
        <v>0/3</v>
      </c>
    </row>
    <row r="395" spans="1:9" x14ac:dyDescent="0.25">
      <c r="A395" s="30">
        <f>A382</f>
        <v>46363</v>
      </c>
      <c r="B395" s="31" t="s">
        <v>82</v>
      </c>
      <c r="C395" s="31" t="s">
        <v>50</v>
      </c>
      <c r="D395" s="32" t="s">
        <v>51</v>
      </c>
      <c r="E395" s="33"/>
      <c r="F395" s="33"/>
      <c r="G395" s="33"/>
      <c r="H395" s="33"/>
      <c r="I395" s="34" t="str">
        <f t="shared" si="28"/>
        <v>0/3</v>
      </c>
    </row>
    <row r="396" spans="1:9" x14ac:dyDescent="0.25">
      <c r="A396" s="30">
        <f>A382+7</f>
        <v>46370</v>
      </c>
      <c r="B396" s="31" t="s">
        <v>81</v>
      </c>
      <c r="C396" s="31" t="s">
        <v>37</v>
      </c>
      <c r="D396" s="32" t="s">
        <v>39</v>
      </c>
      <c r="E396" s="33"/>
      <c r="F396" s="33"/>
      <c r="G396" s="33"/>
      <c r="H396" s="33"/>
      <c r="I396" s="34" t="str">
        <f t="shared" si="28"/>
        <v>0/3</v>
      </c>
    </row>
    <row r="397" spans="1:9" ht="30" x14ac:dyDescent="0.25">
      <c r="A397" s="30">
        <f>A396</f>
        <v>46370</v>
      </c>
      <c r="B397" s="31" t="s">
        <v>81</v>
      </c>
      <c r="C397" s="31" t="s">
        <v>40</v>
      </c>
      <c r="D397" s="32" t="s">
        <v>41</v>
      </c>
      <c r="E397" s="33"/>
      <c r="F397" s="33"/>
      <c r="G397" s="33"/>
      <c r="H397" s="33"/>
      <c r="I397" s="34" t="str">
        <f t="shared" si="28"/>
        <v>0/3</v>
      </c>
    </row>
    <row r="398" spans="1:9" x14ac:dyDescent="0.25">
      <c r="A398" s="30">
        <f>A396</f>
        <v>46370</v>
      </c>
      <c r="B398" s="31" t="s">
        <v>81</v>
      </c>
      <c r="C398" s="31" t="s">
        <v>42</v>
      </c>
      <c r="D398" s="32" t="s">
        <v>43</v>
      </c>
      <c r="E398" s="33"/>
      <c r="F398" s="33"/>
      <c r="G398" s="33"/>
      <c r="H398" s="33"/>
      <c r="I398" s="34" t="str">
        <f t="shared" si="28"/>
        <v>0/3</v>
      </c>
    </row>
    <row r="399" spans="1:9" x14ac:dyDescent="0.25">
      <c r="A399" s="30">
        <f>A396</f>
        <v>46370</v>
      </c>
      <c r="B399" s="31" t="s">
        <v>81</v>
      </c>
      <c r="C399" s="31" t="s">
        <v>44</v>
      </c>
      <c r="D399" s="32" t="s">
        <v>45</v>
      </c>
      <c r="E399" s="33"/>
      <c r="F399" s="33"/>
      <c r="G399" s="33"/>
      <c r="H399" s="33"/>
      <c r="I399" s="34" t="str">
        <f t="shared" si="28"/>
        <v>0/3</v>
      </c>
    </row>
    <row r="400" spans="1:9" x14ac:dyDescent="0.25">
      <c r="A400" s="30">
        <f>A396</f>
        <v>46370</v>
      </c>
      <c r="B400" s="31" t="s">
        <v>81</v>
      </c>
      <c r="C400" s="31" t="s">
        <v>46</v>
      </c>
      <c r="D400" s="32" t="s">
        <v>47</v>
      </c>
      <c r="E400" s="33"/>
      <c r="F400" s="33"/>
      <c r="G400" s="33"/>
      <c r="H400" s="33"/>
      <c r="I400" s="34" t="str">
        <f t="shared" si="28"/>
        <v>0/3</v>
      </c>
    </row>
    <row r="401" spans="1:9" x14ac:dyDescent="0.25">
      <c r="A401" s="30">
        <f>A396</f>
        <v>46370</v>
      </c>
      <c r="B401" s="31" t="s">
        <v>81</v>
      </c>
      <c r="C401" s="31" t="s">
        <v>48</v>
      </c>
      <c r="D401" s="32" t="s">
        <v>49</v>
      </c>
      <c r="E401" s="33"/>
      <c r="F401" s="33"/>
      <c r="G401" s="33"/>
      <c r="H401" s="33"/>
      <c r="I401" s="34" t="str">
        <f t="shared" si="28"/>
        <v>0/3</v>
      </c>
    </row>
    <row r="402" spans="1:9" x14ac:dyDescent="0.25">
      <c r="A402" s="30">
        <f>A396</f>
        <v>46370</v>
      </c>
      <c r="B402" s="31" t="s">
        <v>81</v>
      </c>
      <c r="C402" s="31" t="s">
        <v>50</v>
      </c>
      <c r="D402" s="32" t="s">
        <v>51</v>
      </c>
      <c r="E402" s="33"/>
      <c r="F402" s="33"/>
      <c r="G402" s="33"/>
      <c r="H402" s="33"/>
      <c r="I402" s="34" t="str">
        <f t="shared" si="28"/>
        <v>0/3</v>
      </c>
    </row>
    <row r="403" spans="1:9" x14ac:dyDescent="0.25">
      <c r="A403" s="30">
        <f>A396</f>
        <v>46370</v>
      </c>
      <c r="B403" s="31" t="s">
        <v>82</v>
      </c>
      <c r="C403" s="31" t="s">
        <v>37</v>
      </c>
      <c r="D403" s="32" t="s">
        <v>39</v>
      </c>
      <c r="E403" s="33"/>
      <c r="F403" s="33"/>
      <c r="G403" s="33"/>
      <c r="H403" s="33"/>
      <c r="I403" s="34" t="str">
        <f>COUNTA(E403:H403)&amp;"/4"</f>
        <v>0/4</v>
      </c>
    </row>
    <row r="404" spans="1:9" ht="30" x14ac:dyDescent="0.25">
      <c r="A404" s="30">
        <f>A396</f>
        <v>46370</v>
      </c>
      <c r="B404" s="31" t="s">
        <v>82</v>
      </c>
      <c r="C404" s="31" t="s">
        <v>40</v>
      </c>
      <c r="D404" s="32" t="s">
        <v>41</v>
      </c>
      <c r="E404" s="33"/>
      <c r="F404" s="33"/>
      <c r="G404" s="33"/>
      <c r="H404" s="33"/>
      <c r="I404" s="34" t="str">
        <f t="shared" ref="I404:I416" si="29">COUNTA(E404:G404)&amp;"/3"</f>
        <v>0/3</v>
      </c>
    </row>
    <row r="405" spans="1:9" x14ac:dyDescent="0.25">
      <c r="A405" s="30">
        <f>A396</f>
        <v>46370</v>
      </c>
      <c r="B405" s="31" t="s">
        <v>82</v>
      </c>
      <c r="C405" s="31" t="s">
        <v>42</v>
      </c>
      <c r="D405" s="32" t="s">
        <v>43</v>
      </c>
      <c r="E405" s="33"/>
      <c r="F405" s="33"/>
      <c r="G405" s="33"/>
      <c r="H405" s="33"/>
      <c r="I405" s="34" t="str">
        <f t="shared" si="29"/>
        <v>0/3</v>
      </c>
    </row>
    <row r="406" spans="1:9" x14ac:dyDescent="0.25">
      <c r="A406" s="30">
        <f>A396</f>
        <v>46370</v>
      </c>
      <c r="B406" s="31" t="s">
        <v>82</v>
      </c>
      <c r="C406" s="31" t="s">
        <v>44</v>
      </c>
      <c r="D406" s="32" t="s">
        <v>45</v>
      </c>
      <c r="E406" s="33"/>
      <c r="F406" s="33"/>
      <c r="G406" s="33"/>
      <c r="H406" s="33"/>
      <c r="I406" s="34" t="str">
        <f t="shared" si="29"/>
        <v>0/3</v>
      </c>
    </row>
    <row r="407" spans="1:9" x14ac:dyDescent="0.25">
      <c r="A407" s="30">
        <f>A396</f>
        <v>46370</v>
      </c>
      <c r="B407" s="31" t="s">
        <v>82</v>
      </c>
      <c r="C407" s="31" t="s">
        <v>46</v>
      </c>
      <c r="D407" s="32" t="s">
        <v>47</v>
      </c>
      <c r="E407" s="33"/>
      <c r="F407" s="33"/>
      <c r="G407" s="33"/>
      <c r="H407" s="33"/>
      <c r="I407" s="34" t="str">
        <f t="shared" si="29"/>
        <v>0/3</v>
      </c>
    </row>
    <row r="408" spans="1:9" x14ac:dyDescent="0.25">
      <c r="A408" s="30">
        <f>A396</f>
        <v>46370</v>
      </c>
      <c r="B408" s="31" t="s">
        <v>82</v>
      </c>
      <c r="C408" s="31" t="s">
        <v>48</v>
      </c>
      <c r="D408" s="32" t="s">
        <v>49</v>
      </c>
      <c r="E408" s="33"/>
      <c r="F408" s="33"/>
      <c r="G408" s="33"/>
      <c r="H408" s="33"/>
      <c r="I408" s="34" t="str">
        <f t="shared" si="29"/>
        <v>0/3</v>
      </c>
    </row>
    <row r="409" spans="1:9" x14ac:dyDescent="0.25">
      <c r="A409" s="30">
        <f>A396</f>
        <v>46370</v>
      </c>
      <c r="B409" s="31" t="s">
        <v>82</v>
      </c>
      <c r="C409" s="31" t="s">
        <v>50</v>
      </c>
      <c r="D409" s="32" t="s">
        <v>51</v>
      </c>
      <c r="E409" s="33"/>
      <c r="F409" s="33"/>
      <c r="G409" s="33"/>
      <c r="H409" s="33"/>
      <c r="I409" s="34" t="str">
        <f t="shared" si="29"/>
        <v>0/3</v>
      </c>
    </row>
    <row r="410" spans="1:9" x14ac:dyDescent="0.25">
      <c r="A410" s="30">
        <f>A396+7</f>
        <v>46377</v>
      </c>
      <c r="B410" s="31" t="s">
        <v>81</v>
      </c>
      <c r="C410" s="31" t="s">
        <v>37</v>
      </c>
      <c r="D410" s="32" t="s">
        <v>39</v>
      </c>
      <c r="E410" s="33"/>
      <c r="F410" s="33"/>
      <c r="G410" s="33"/>
      <c r="H410" s="33"/>
      <c r="I410" s="34" t="str">
        <f t="shared" si="29"/>
        <v>0/3</v>
      </c>
    </row>
    <row r="411" spans="1:9" ht="30" x14ac:dyDescent="0.25">
      <c r="A411" s="30">
        <f>A410</f>
        <v>46377</v>
      </c>
      <c r="B411" s="31" t="s">
        <v>81</v>
      </c>
      <c r="C411" s="31" t="s">
        <v>40</v>
      </c>
      <c r="D411" s="32" t="s">
        <v>41</v>
      </c>
      <c r="E411" s="33"/>
      <c r="F411" s="33"/>
      <c r="G411" s="33"/>
      <c r="H411" s="33"/>
      <c r="I411" s="34" t="str">
        <f t="shared" si="29"/>
        <v>0/3</v>
      </c>
    </row>
    <row r="412" spans="1:9" x14ac:dyDescent="0.25">
      <c r="A412" s="30">
        <f>A410</f>
        <v>46377</v>
      </c>
      <c r="B412" s="31" t="s">
        <v>81</v>
      </c>
      <c r="C412" s="31" t="s">
        <v>42</v>
      </c>
      <c r="D412" s="32" t="s">
        <v>43</v>
      </c>
      <c r="E412" s="33"/>
      <c r="F412" s="33"/>
      <c r="G412" s="33"/>
      <c r="H412" s="33"/>
      <c r="I412" s="34" t="str">
        <f t="shared" si="29"/>
        <v>0/3</v>
      </c>
    </row>
    <row r="413" spans="1:9" x14ac:dyDescent="0.25">
      <c r="A413" s="30">
        <f>A410</f>
        <v>46377</v>
      </c>
      <c r="B413" s="31" t="s">
        <v>81</v>
      </c>
      <c r="C413" s="31" t="s">
        <v>44</v>
      </c>
      <c r="D413" s="32" t="s">
        <v>45</v>
      </c>
      <c r="E413" s="33"/>
      <c r="F413" s="33"/>
      <c r="G413" s="33"/>
      <c r="H413" s="33"/>
      <c r="I413" s="34" t="str">
        <f t="shared" si="29"/>
        <v>0/3</v>
      </c>
    </row>
    <row r="414" spans="1:9" x14ac:dyDescent="0.25">
      <c r="A414" s="30">
        <f>A410</f>
        <v>46377</v>
      </c>
      <c r="B414" s="31" t="s">
        <v>81</v>
      </c>
      <c r="C414" s="31" t="s">
        <v>46</v>
      </c>
      <c r="D414" s="32" t="s">
        <v>47</v>
      </c>
      <c r="E414" s="33"/>
      <c r="F414" s="33"/>
      <c r="G414" s="33"/>
      <c r="H414" s="33"/>
      <c r="I414" s="34" t="str">
        <f t="shared" si="29"/>
        <v>0/3</v>
      </c>
    </row>
    <row r="415" spans="1:9" x14ac:dyDescent="0.25">
      <c r="A415" s="30">
        <f>A410</f>
        <v>46377</v>
      </c>
      <c r="B415" s="31" t="s">
        <v>81</v>
      </c>
      <c r="C415" s="31" t="s">
        <v>48</v>
      </c>
      <c r="D415" s="32" t="s">
        <v>49</v>
      </c>
      <c r="E415" s="33"/>
      <c r="F415" s="33"/>
      <c r="G415" s="33"/>
      <c r="H415" s="33"/>
      <c r="I415" s="34" t="str">
        <f t="shared" si="29"/>
        <v>0/3</v>
      </c>
    </row>
    <row r="416" spans="1:9" x14ac:dyDescent="0.25">
      <c r="A416" s="30">
        <f>A410</f>
        <v>46377</v>
      </c>
      <c r="B416" s="31" t="s">
        <v>81</v>
      </c>
      <c r="C416" s="31" t="s">
        <v>50</v>
      </c>
      <c r="D416" s="32" t="s">
        <v>51</v>
      </c>
      <c r="E416" s="33"/>
      <c r="F416" s="33"/>
      <c r="G416" s="33"/>
      <c r="H416" s="33"/>
      <c r="I416" s="34" t="str">
        <f t="shared" si="29"/>
        <v>0/3</v>
      </c>
    </row>
    <row r="417" spans="1:9" x14ac:dyDescent="0.25">
      <c r="A417" s="30">
        <f>A410</f>
        <v>46377</v>
      </c>
      <c r="B417" s="31" t="s">
        <v>82</v>
      </c>
      <c r="C417" s="31" t="s">
        <v>37</v>
      </c>
      <c r="D417" s="32" t="s">
        <v>39</v>
      </c>
      <c r="E417" s="33"/>
      <c r="F417" s="33"/>
      <c r="G417" s="33"/>
      <c r="H417" s="33"/>
      <c r="I417" s="34" t="str">
        <f>COUNTA(E417:H417)&amp;"/4"</f>
        <v>0/4</v>
      </c>
    </row>
    <row r="418" spans="1:9" ht="30" x14ac:dyDescent="0.25">
      <c r="A418" s="30">
        <f>A410</f>
        <v>46377</v>
      </c>
      <c r="B418" s="31" t="s">
        <v>82</v>
      </c>
      <c r="C418" s="31" t="s">
        <v>40</v>
      </c>
      <c r="D418" s="32" t="s">
        <v>41</v>
      </c>
      <c r="E418" s="33"/>
      <c r="F418" s="33"/>
      <c r="G418" s="33"/>
      <c r="H418" s="33"/>
      <c r="I418" s="34" t="str">
        <f t="shared" ref="I418:I430" si="30">COUNTA(E418:G418)&amp;"/3"</f>
        <v>0/3</v>
      </c>
    </row>
    <row r="419" spans="1:9" x14ac:dyDescent="0.25">
      <c r="A419" s="30">
        <f>A410</f>
        <v>46377</v>
      </c>
      <c r="B419" s="31" t="s">
        <v>82</v>
      </c>
      <c r="C419" s="31" t="s">
        <v>42</v>
      </c>
      <c r="D419" s="32" t="s">
        <v>43</v>
      </c>
      <c r="E419" s="33"/>
      <c r="F419" s="33"/>
      <c r="G419" s="33"/>
      <c r="H419" s="33"/>
      <c r="I419" s="34" t="str">
        <f t="shared" si="30"/>
        <v>0/3</v>
      </c>
    </row>
    <row r="420" spans="1:9" x14ac:dyDescent="0.25">
      <c r="A420" s="30">
        <f>A410</f>
        <v>46377</v>
      </c>
      <c r="B420" s="31" t="s">
        <v>82</v>
      </c>
      <c r="C420" s="31" t="s">
        <v>44</v>
      </c>
      <c r="D420" s="32" t="s">
        <v>45</v>
      </c>
      <c r="E420" s="33"/>
      <c r="F420" s="33"/>
      <c r="G420" s="33"/>
      <c r="H420" s="33"/>
      <c r="I420" s="34" t="str">
        <f t="shared" si="30"/>
        <v>0/3</v>
      </c>
    </row>
    <row r="421" spans="1:9" x14ac:dyDescent="0.25">
      <c r="A421" s="30">
        <f>A410</f>
        <v>46377</v>
      </c>
      <c r="B421" s="31" t="s">
        <v>82</v>
      </c>
      <c r="C421" s="31" t="s">
        <v>46</v>
      </c>
      <c r="D421" s="32" t="s">
        <v>47</v>
      </c>
      <c r="E421" s="33"/>
      <c r="F421" s="33"/>
      <c r="G421" s="33"/>
      <c r="H421" s="33"/>
      <c r="I421" s="34" t="str">
        <f t="shared" si="30"/>
        <v>0/3</v>
      </c>
    </row>
    <row r="422" spans="1:9" x14ac:dyDescent="0.25">
      <c r="A422" s="30">
        <f>A410</f>
        <v>46377</v>
      </c>
      <c r="B422" s="31" t="s">
        <v>82</v>
      </c>
      <c r="C422" s="31" t="s">
        <v>48</v>
      </c>
      <c r="D422" s="32" t="s">
        <v>49</v>
      </c>
      <c r="E422" s="33"/>
      <c r="F422" s="33"/>
      <c r="G422" s="33"/>
      <c r="H422" s="33"/>
      <c r="I422" s="34" t="str">
        <f t="shared" si="30"/>
        <v>0/3</v>
      </c>
    </row>
    <row r="423" spans="1:9" x14ac:dyDescent="0.25">
      <c r="A423" s="30">
        <f>A410</f>
        <v>46377</v>
      </c>
      <c r="B423" s="31" t="s">
        <v>82</v>
      </c>
      <c r="C423" s="31" t="s">
        <v>50</v>
      </c>
      <c r="D423" s="32" t="s">
        <v>51</v>
      </c>
      <c r="E423" s="33"/>
      <c r="F423" s="33"/>
      <c r="G423" s="33"/>
      <c r="H423" s="33"/>
      <c r="I423" s="34" t="str">
        <f t="shared" si="30"/>
        <v>0/3</v>
      </c>
    </row>
    <row r="424" spans="1:9" x14ac:dyDescent="0.25">
      <c r="A424" s="30">
        <f>A410+7</f>
        <v>46384</v>
      </c>
      <c r="B424" s="31" t="s">
        <v>81</v>
      </c>
      <c r="C424" s="31" t="s">
        <v>37</v>
      </c>
      <c r="D424" s="32" t="s">
        <v>39</v>
      </c>
      <c r="E424" s="33"/>
      <c r="F424" s="33"/>
      <c r="G424" s="33"/>
      <c r="H424" s="33"/>
      <c r="I424" s="34" t="str">
        <f t="shared" si="30"/>
        <v>0/3</v>
      </c>
    </row>
    <row r="425" spans="1:9" ht="30" x14ac:dyDescent="0.25">
      <c r="A425" s="30">
        <f>A424</f>
        <v>46384</v>
      </c>
      <c r="B425" s="31" t="s">
        <v>81</v>
      </c>
      <c r="C425" s="31" t="s">
        <v>40</v>
      </c>
      <c r="D425" s="32" t="s">
        <v>41</v>
      </c>
      <c r="E425" s="33"/>
      <c r="F425" s="33"/>
      <c r="G425" s="33"/>
      <c r="H425" s="33"/>
      <c r="I425" s="34" t="str">
        <f t="shared" si="30"/>
        <v>0/3</v>
      </c>
    </row>
    <row r="426" spans="1:9" x14ac:dyDescent="0.25">
      <c r="A426" s="30">
        <f>A424</f>
        <v>46384</v>
      </c>
      <c r="B426" s="31" t="s">
        <v>81</v>
      </c>
      <c r="C426" s="31" t="s">
        <v>42</v>
      </c>
      <c r="D426" s="32" t="s">
        <v>43</v>
      </c>
      <c r="E426" s="33"/>
      <c r="F426" s="33"/>
      <c r="G426" s="33"/>
      <c r="H426" s="33"/>
      <c r="I426" s="34" t="str">
        <f t="shared" si="30"/>
        <v>0/3</v>
      </c>
    </row>
    <row r="427" spans="1:9" x14ac:dyDescent="0.25">
      <c r="A427" s="30">
        <f>A424</f>
        <v>46384</v>
      </c>
      <c r="B427" s="31" t="s">
        <v>81</v>
      </c>
      <c r="C427" s="31" t="s">
        <v>44</v>
      </c>
      <c r="D427" s="32" t="s">
        <v>45</v>
      </c>
      <c r="E427" s="33"/>
      <c r="F427" s="33"/>
      <c r="G427" s="33"/>
      <c r="H427" s="33"/>
      <c r="I427" s="34" t="str">
        <f t="shared" si="30"/>
        <v>0/3</v>
      </c>
    </row>
    <row r="428" spans="1:9" x14ac:dyDescent="0.25">
      <c r="A428" s="30">
        <f>A424</f>
        <v>46384</v>
      </c>
      <c r="B428" s="31" t="s">
        <v>81</v>
      </c>
      <c r="C428" s="31" t="s">
        <v>46</v>
      </c>
      <c r="D428" s="32" t="s">
        <v>47</v>
      </c>
      <c r="E428" s="33"/>
      <c r="F428" s="33"/>
      <c r="G428" s="33"/>
      <c r="H428" s="33"/>
      <c r="I428" s="34" t="str">
        <f t="shared" si="30"/>
        <v>0/3</v>
      </c>
    </row>
    <row r="429" spans="1:9" x14ac:dyDescent="0.25">
      <c r="A429" s="30">
        <f>A424</f>
        <v>46384</v>
      </c>
      <c r="B429" s="31" t="s">
        <v>81</v>
      </c>
      <c r="C429" s="31" t="s">
        <v>48</v>
      </c>
      <c r="D429" s="32" t="s">
        <v>49</v>
      </c>
      <c r="E429" s="33"/>
      <c r="F429" s="33"/>
      <c r="G429" s="33"/>
      <c r="H429" s="33"/>
      <c r="I429" s="34" t="str">
        <f t="shared" si="30"/>
        <v>0/3</v>
      </c>
    </row>
    <row r="430" spans="1:9" x14ac:dyDescent="0.25">
      <c r="A430" s="30">
        <f>A424</f>
        <v>46384</v>
      </c>
      <c r="B430" s="31" t="s">
        <v>81</v>
      </c>
      <c r="C430" s="31" t="s">
        <v>50</v>
      </c>
      <c r="D430" s="32" t="s">
        <v>51</v>
      </c>
      <c r="E430" s="33"/>
      <c r="F430" s="33"/>
      <c r="G430" s="33"/>
      <c r="H430" s="33"/>
      <c r="I430" s="34" t="str">
        <f t="shared" si="30"/>
        <v>0/3</v>
      </c>
    </row>
    <row r="431" spans="1:9" x14ac:dyDescent="0.25">
      <c r="A431" s="30">
        <f>A424</f>
        <v>46384</v>
      </c>
      <c r="B431" s="31" t="s">
        <v>82</v>
      </c>
      <c r="C431" s="31" t="s">
        <v>37</v>
      </c>
      <c r="D431" s="32" t="s">
        <v>39</v>
      </c>
      <c r="E431" s="33"/>
      <c r="F431" s="33"/>
      <c r="G431" s="33"/>
      <c r="H431" s="33"/>
      <c r="I431" s="34" t="str">
        <f>COUNTA(E431:H431)&amp;"/4"</f>
        <v>0/4</v>
      </c>
    </row>
    <row r="432" spans="1:9" ht="30" x14ac:dyDescent="0.25">
      <c r="A432" s="30">
        <f>A424</f>
        <v>46384</v>
      </c>
      <c r="B432" s="31" t="s">
        <v>82</v>
      </c>
      <c r="C432" s="31" t="s">
        <v>40</v>
      </c>
      <c r="D432" s="32" t="s">
        <v>41</v>
      </c>
      <c r="E432" s="33"/>
      <c r="F432" s="33"/>
      <c r="G432" s="33"/>
      <c r="H432" s="33"/>
      <c r="I432" s="34" t="str">
        <f t="shared" ref="I432:I444" si="31">COUNTA(E432:G432)&amp;"/3"</f>
        <v>0/3</v>
      </c>
    </row>
    <row r="433" spans="1:9" x14ac:dyDescent="0.25">
      <c r="A433" s="30">
        <f>A424</f>
        <v>46384</v>
      </c>
      <c r="B433" s="31" t="s">
        <v>82</v>
      </c>
      <c r="C433" s="31" t="s">
        <v>42</v>
      </c>
      <c r="D433" s="32" t="s">
        <v>43</v>
      </c>
      <c r="E433" s="33"/>
      <c r="F433" s="33"/>
      <c r="G433" s="33"/>
      <c r="H433" s="33"/>
      <c r="I433" s="34" t="str">
        <f t="shared" si="31"/>
        <v>0/3</v>
      </c>
    </row>
    <row r="434" spans="1:9" x14ac:dyDescent="0.25">
      <c r="A434" s="30">
        <f>A424</f>
        <v>46384</v>
      </c>
      <c r="B434" s="31" t="s">
        <v>82</v>
      </c>
      <c r="C434" s="31" t="s">
        <v>44</v>
      </c>
      <c r="D434" s="32" t="s">
        <v>45</v>
      </c>
      <c r="E434" s="33"/>
      <c r="F434" s="33"/>
      <c r="G434" s="33"/>
      <c r="H434" s="33"/>
      <c r="I434" s="34" t="str">
        <f t="shared" si="31"/>
        <v>0/3</v>
      </c>
    </row>
    <row r="435" spans="1:9" x14ac:dyDescent="0.25">
      <c r="A435" s="30">
        <f>A424</f>
        <v>46384</v>
      </c>
      <c r="B435" s="31" t="s">
        <v>82</v>
      </c>
      <c r="C435" s="31" t="s">
        <v>46</v>
      </c>
      <c r="D435" s="32" t="s">
        <v>47</v>
      </c>
      <c r="E435" s="33"/>
      <c r="F435" s="33"/>
      <c r="G435" s="33"/>
      <c r="H435" s="33"/>
      <c r="I435" s="34" t="str">
        <f t="shared" si="31"/>
        <v>0/3</v>
      </c>
    </row>
    <row r="436" spans="1:9" x14ac:dyDescent="0.25">
      <c r="A436" s="30">
        <f>A424</f>
        <v>46384</v>
      </c>
      <c r="B436" s="31" t="s">
        <v>82</v>
      </c>
      <c r="C436" s="31" t="s">
        <v>48</v>
      </c>
      <c r="D436" s="32" t="s">
        <v>49</v>
      </c>
      <c r="E436" s="33"/>
      <c r="F436" s="33"/>
      <c r="G436" s="33"/>
      <c r="H436" s="33"/>
      <c r="I436" s="34" t="str">
        <f t="shared" si="31"/>
        <v>0/3</v>
      </c>
    </row>
    <row r="437" spans="1:9" x14ac:dyDescent="0.25">
      <c r="A437" s="30">
        <f>A424</f>
        <v>46384</v>
      </c>
      <c r="B437" s="31" t="s">
        <v>82</v>
      </c>
      <c r="C437" s="31" t="s">
        <v>50</v>
      </c>
      <c r="D437" s="32" t="s">
        <v>51</v>
      </c>
      <c r="E437" s="33"/>
      <c r="F437" s="33"/>
      <c r="G437" s="33"/>
      <c r="H437" s="33"/>
      <c r="I437" s="34" t="str">
        <f t="shared" si="31"/>
        <v>0/3</v>
      </c>
    </row>
    <row r="438" spans="1:9" x14ac:dyDescent="0.25">
      <c r="A438" s="30">
        <f>A424+7</f>
        <v>46391</v>
      </c>
      <c r="B438" s="31" t="s">
        <v>81</v>
      </c>
      <c r="C438" s="31" t="s">
        <v>37</v>
      </c>
      <c r="D438" s="32" t="s">
        <v>39</v>
      </c>
      <c r="E438" s="33"/>
      <c r="F438" s="33"/>
      <c r="G438" s="33"/>
      <c r="H438" s="33"/>
      <c r="I438" s="34" t="str">
        <f t="shared" si="31"/>
        <v>0/3</v>
      </c>
    </row>
    <row r="439" spans="1:9" ht="30" x14ac:dyDescent="0.25">
      <c r="A439" s="30">
        <f>A438</f>
        <v>46391</v>
      </c>
      <c r="B439" s="31" t="s">
        <v>81</v>
      </c>
      <c r="C439" s="31" t="s">
        <v>40</v>
      </c>
      <c r="D439" s="32" t="s">
        <v>41</v>
      </c>
      <c r="E439" s="33"/>
      <c r="F439" s="33"/>
      <c r="G439" s="33"/>
      <c r="H439" s="33"/>
      <c r="I439" s="34" t="str">
        <f t="shared" si="31"/>
        <v>0/3</v>
      </c>
    </row>
    <row r="440" spans="1:9" x14ac:dyDescent="0.25">
      <c r="A440" s="30">
        <f>A438</f>
        <v>46391</v>
      </c>
      <c r="B440" s="31" t="s">
        <v>81</v>
      </c>
      <c r="C440" s="31" t="s">
        <v>42</v>
      </c>
      <c r="D440" s="32" t="s">
        <v>43</v>
      </c>
      <c r="E440" s="33"/>
      <c r="F440" s="33"/>
      <c r="G440" s="33"/>
      <c r="H440" s="33"/>
      <c r="I440" s="34" t="str">
        <f t="shared" si="31"/>
        <v>0/3</v>
      </c>
    </row>
    <row r="441" spans="1:9" x14ac:dyDescent="0.25">
      <c r="A441" s="30">
        <f>A438</f>
        <v>46391</v>
      </c>
      <c r="B441" s="31" t="s">
        <v>81</v>
      </c>
      <c r="C441" s="31" t="s">
        <v>44</v>
      </c>
      <c r="D441" s="32" t="s">
        <v>45</v>
      </c>
      <c r="E441" s="33"/>
      <c r="F441" s="33"/>
      <c r="G441" s="33"/>
      <c r="H441" s="33"/>
      <c r="I441" s="34" t="str">
        <f t="shared" si="31"/>
        <v>0/3</v>
      </c>
    </row>
    <row r="442" spans="1:9" x14ac:dyDescent="0.25">
      <c r="A442" s="30">
        <f>A438</f>
        <v>46391</v>
      </c>
      <c r="B442" s="31" t="s">
        <v>81</v>
      </c>
      <c r="C442" s="31" t="s">
        <v>46</v>
      </c>
      <c r="D442" s="32" t="s">
        <v>47</v>
      </c>
      <c r="E442" s="33"/>
      <c r="F442" s="33"/>
      <c r="G442" s="33"/>
      <c r="H442" s="33"/>
      <c r="I442" s="34" t="str">
        <f t="shared" si="31"/>
        <v>0/3</v>
      </c>
    </row>
    <row r="443" spans="1:9" x14ac:dyDescent="0.25">
      <c r="A443" s="30">
        <f>A438</f>
        <v>46391</v>
      </c>
      <c r="B443" s="31" t="s">
        <v>81</v>
      </c>
      <c r="C443" s="31" t="s">
        <v>48</v>
      </c>
      <c r="D443" s="32" t="s">
        <v>49</v>
      </c>
      <c r="E443" s="33"/>
      <c r="F443" s="33"/>
      <c r="G443" s="33"/>
      <c r="H443" s="33"/>
      <c r="I443" s="34" t="str">
        <f t="shared" si="31"/>
        <v>0/3</v>
      </c>
    </row>
    <row r="444" spans="1:9" x14ac:dyDescent="0.25">
      <c r="A444" s="30">
        <f>A438</f>
        <v>46391</v>
      </c>
      <c r="B444" s="31" t="s">
        <v>81</v>
      </c>
      <c r="C444" s="31" t="s">
        <v>50</v>
      </c>
      <c r="D444" s="32" t="s">
        <v>51</v>
      </c>
      <c r="E444" s="33"/>
      <c r="F444" s="33"/>
      <c r="G444" s="33"/>
      <c r="H444" s="33"/>
      <c r="I444" s="34" t="str">
        <f t="shared" si="31"/>
        <v>0/3</v>
      </c>
    </row>
    <row r="445" spans="1:9" x14ac:dyDescent="0.25">
      <c r="A445" s="30">
        <f>A438</f>
        <v>46391</v>
      </c>
      <c r="B445" s="31" t="s">
        <v>82</v>
      </c>
      <c r="C445" s="31" t="s">
        <v>37</v>
      </c>
      <c r="D445" s="32" t="s">
        <v>39</v>
      </c>
      <c r="E445" s="33"/>
      <c r="F445" s="33"/>
      <c r="G445" s="33"/>
      <c r="H445" s="33"/>
      <c r="I445" s="34" t="str">
        <f>COUNTA(E445:H445)&amp;"/4"</f>
        <v>0/4</v>
      </c>
    </row>
    <row r="446" spans="1:9" ht="30" x14ac:dyDescent="0.25">
      <c r="A446" s="30">
        <f>A438</f>
        <v>46391</v>
      </c>
      <c r="B446" s="31" t="s">
        <v>82</v>
      </c>
      <c r="C446" s="31" t="s">
        <v>40</v>
      </c>
      <c r="D446" s="32" t="s">
        <v>41</v>
      </c>
      <c r="E446" s="33"/>
      <c r="F446" s="33"/>
      <c r="G446" s="33"/>
      <c r="H446" s="33"/>
      <c r="I446" s="34" t="str">
        <f t="shared" ref="I446:I458" si="32">COUNTA(E446:G446)&amp;"/3"</f>
        <v>0/3</v>
      </c>
    </row>
    <row r="447" spans="1:9" x14ac:dyDescent="0.25">
      <c r="A447" s="30">
        <f>A438</f>
        <v>46391</v>
      </c>
      <c r="B447" s="31" t="s">
        <v>82</v>
      </c>
      <c r="C447" s="31" t="s">
        <v>42</v>
      </c>
      <c r="D447" s="32" t="s">
        <v>43</v>
      </c>
      <c r="E447" s="33"/>
      <c r="F447" s="33"/>
      <c r="G447" s="33"/>
      <c r="H447" s="33"/>
      <c r="I447" s="34" t="str">
        <f t="shared" si="32"/>
        <v>0/3</v>
      </c>
    </row>
    <row r="448" spans="1:9" x14ac:dyDescent="0.25">
      <c r="A448" s="30">
        <f>A438</f>
        <v>46391</v>
      </c>
      <c r="B448" s="31" t="s">
        <v>82</v>
      </c>
      <c r="C448" s="31" t="s">
        <v>44</v>
      </c>
      <c r="D448" s="32" t="s">
        <v>45</v>
      </c>
      <c r="E448" s="33"/>
      <c r="F448" s="33"/>
      <c r="G448" s="33"/>
      <c r="H448" s="33"/>
      <c r="I448" s="34" t="str">
        <f t="shared" si="32"/>
        <v>0/3</v>
      </c>
    </row>
    <row r="449" spans="1:9" x14ac:dyDescent="0.25">
      <c r="A449" s="30">
        <f>A438</f>
        <v>46391</v>
      </c>
      <c r="B449" s="31" t="s">
        <v>82</v>
      </c>
      <c r="C449" s="31" t="s">
        <v>46</v>
      </c>
      <c r="D449" s="32" t="s">
        <v>47</v>
      </c>
      <c r="E449" s="33"/>
      <c r="F449" s="33"/>
      <c r="G449" s="33"/>
      <c r="H449" s="33"/>
      <c r="I449" s="34" t="str">
        <f t="shared" si="32"/>
        <v>0/3</v>
      </c>
    </row>
    <row r="450" spans="1:9" x14ac:dyDescent="0.25">
      <c r="A450" s="30">
        <f>A438</f>
        <v>46391</v>
      </c>
      <c r="B450" s="31" t="s">
        <v>82</v>
      </c>
      <c r="C450" s="31" t="s">
        <v>48</v>
      </c>
      <c r="D450" s="32" t="s">
        <v>49</v>
      </c>
      <c r="E450" s="33"/>
      <c r="F450" s="33"/>
      <c r="G450" s="33"/>
      <c r="H450" s="33"/>
      <c r="I450" s="34" t="str">
        <f t="shared" si="32"/>
        <v>0/3</v>
      </c>
    </row>
    <row r="451" spans="1:9" x14ac:dyDescent="0.25">
      <c r="A451" s="30">
        <f>A438</f>
        <v>46391</v>
      </c>
      <c r="B451" s="31" t="s">
        <v>82</v>
      </c>
      <c r="C451" s="31" t="s">
        <v>50</v>
      </c>
      <c r="D451" s="32" t="s">
        <v>51</v>
      </c>
      <c r="E451" s="33"/>
      <c r="F451" s="33"/>
      <c r="G451" s="33"/>
      <c r="H451" s="33"/>
      <c r="I451" s="34" t="str">
        <f t="shared" si="32"/>
        <v>0/3</v>
      </c>
    </row>
    <row r="452" spans="1:9" x14ac:dyDescent="0.25">
      <c r="A452" s="30">
        <f>A438+7</f>
        <v>46398</v>
      </c>
      <c r="B452" s="31" t="s">
        <v>81</v>
      </c>
      <c r="C452" s="31" t="s">
        <v>37</v>
      </c>
      <c r="D452" s="32" t="s">
        <v>39</v>
      </c>
      <c r="E452" s="33"/>
      <c r="F452" s="33"/>
      <c r="G452" s="33"/>
      <c r="H452" s="33"/>
      <c r="I452" s="34" t="str">
        <f t="shared" si="32"/>
        <v>0/3</v>
      </c>
    </row>
    <row r="453" spans="1:9" ht="30" x14ac:dyDescent="0.25">
      <c r="A453" s="30">
        <f>A452</f>
        <v>46398</v>
      </c>
      <c r="B453" s="31" t="s">
        <v>81</v>
      </c>
      <c r="C453" s="31" t="s">
        <v>40</v>
      </c>
      <c r="D453" s="32" t="s">
        <v>41</v>
      </c>
      <c r="E453" s="33"/>
      <c r="F453" s="33"/>
      <c r="G453" s="33"/>
      <c r="H453" s="33"/>
      <c r="I453" s="34" t="str">
        <f t="shared" si="32"/>
        <v>0/3</v>
      </c>
    </row>
    <row r="454" spans="1:9" x14ac:dyDescent="0.25">
      <c r="A454" s="30">
        <f>A452</f>
        <v>46398</v>
      </c>
      <c r="B454" s="31" t="s">
        <v>81</v>
      </c>
      <c r="C454" s="31" t="s">
        <v>42</v>
      </c>
      <c r="D454" s="32" t="s">
        <v>43</v>
      </c>
      <c r="E454" s="33"/>
      <c r="F454" s="33"/>
      <c r="G454" s="33"/>
      <c r="H454" s="33"/>
      <c r="I454" s="34" t="str">
        <f t="shared" si="32"/>
        <v>0/3</v>
      </c>
    </row>
    <row r="455" spans="1:9" x14ac:dyDescent="0.25">
      <c r="A455" s="30">
        <f>A452</f>
        <v>46398</v>
      </c>
      <c r="B455" s="31" t="s">
        <v>81</v>
      </c>
      <c r="C455" s="31" t="s">
        <v>44</v>
      </c>
      <c r="D455" s="32" t="s">
        <v>45</v>
      </c>
      <c r="E455" s="33"/>
      <c r="F455" s="33"/>
      <c r="G455" s="33"/>
      <c r="H455" s="33"/>
      <c r="I455" s="34" t="str">
        <f t="shared" si="32"/>
        <v>0/3</v>
      </c>
    </row>
    <row r="456" spans="1:9" x14ac:dyDescent="0.25">
      <c r="A456" s="30">
        <f>A452</f>
        <v>46398</v>
      </c>
      <c r="B456" s="31" t="s">
        <v>81</v>
      </c>
      <c r="C456" s="31" t="s">
        <v>46</v>
      </c>
      <c r="D456" s="32" t="s">
        <v>47</v>
      </c>
      <c r="E456" s="33"/>
      <c r="F456" s="33"/>
      <c r="G456" s="33"/>
      <c r="H456" s="33"/>
      <c r="I456" s="34" t="str">
        <f t="shared" si="32"/>
        <v>0/3</v>
      </c>
    </row>
    <row r="457" spans="1:9" x14ac:dyDescent="0.25">
      <c r="A457" s="30">
        <f>A452</f>
        <v>46398</v>
      </c>
      <c r="B457" s="31" t="s">
        <v>81</v>
      </c>
      <c r="C457" s="31" t="s">
        <v>48</v>
      </c>
      <c r="D457" s="32" t="s">
        <v>49</v>
      </c>
      <c r="E457" s="33"/>
      <c r="F457" s="33"/>
      <c r="G457" s="33"/>
      <c r="H457" s="33"/>
      <c r="I457" s="34" t="str">
        <f t="shared" si="32"/>
        <v>0/3</v>
      </c>
    </row>
    <row r="458" spans="1:9" x14ac:dyDescent="0.25">
      <c r="A458" s="30">
        <f>A452</f>
        <v>46398</v>
      </c>
      <c r="B458" s="31" t="s">
        <v>81</v>
      </c>
      <c r="C458" s="31" t="s">
        <v>50</v>
      </c>
      <c r="D458" s="32" t="s">
        <v>51</v>
      </c>
      <c r="E458" s="33"/>
      <c r="F458" s="33"/>
      <c r="G458" s="33"/>
      <c r="H458" s="33"/>
      <c r="I458" s="34" t="str">
        <f t="shared" si="32"/>
        <v>0/3</v>
      </c>
    </row>
    <row r="459" spans="1:9" x14ac:dyDescent="0.25">
      <c r="A459" s="30">
        <f>A452</f>
        <v>46398</v>
      </c>
      <c r="B459" s="31" t="s">
        <v>82</v>
      </c>
      <c r="C459" s="31" t="s">
        <v>37</v>
      </c>
      <c r="D459" s="32" t="s">
        <v>39</v>
      </c>
      <c r="E459" s="33"/>
      <c r="F459" s="33"/>
      <c r="G459" s="33"/>
      <c r="H459" s="33"/>
      <c r="I459" s="34" t="str">
        <f>COUNTA(E459:H459)&amp;"/4"</f>
        <v>0/4</v>
      </c>
    </row>
    <row r="460" spans="1:9" ht="30" x14ac:dyDescent="0.25">
      <c r="A460" s="30">
        <f>A452</f>
        <v>46398</v>
      </c>
      <c r="B460" s="31" t="s">
        <v>82</v>
      </c>
      <c r="C460" s="31" t="s">
        <v>40</v>
      </c>
      <c r="D460" s="32" t="s">
        <v>41</v>
      </c>
      <c r="E460" s="33"/>
      <c r="F460" s="33"/>
      <c r="G460" s="33"/>
      <c r="H460" s="33"/>
      <c r="I460" s="34" t="str">
        <f t="shared" ref="I460:I472" si="33">COUNTA(E460:G460)&amp;"/3"</f>
        <v>0/3</v>
      </c>
    </row>
    <row r="461" spans="1:9" x14ac:dyDescent="0.25">
      <c r="A461" s="30">
        <f>A452</f>
        <v>46398</v>
      </c>
      <c r="B461" s="31" t="s">
        <v>82</v>
      </c>
      <c r="C461" s="31" t="s">
        <v>42</v>
      </c>
      <c r="D461" s="32" t="s">
        <v>43</v>
      </c>
      <c r="E461" s="33"/>
      <c r="F461" s="33"/>
      <c r="G461" s="33"/>
      <c r="H461" s="33"/>
      <c r="I461" s="34" t="str">
        <f t="shared" si="33"/>
        <v>0/3</v>
      </c>
    </row>
    <row r="462" spans="1:9" x14ac:dyDescent="0.25">
      <c r="A462" s="30">
        <f>A452</f>
        <v>46398</v>
      </c>
      <c r="B462" s="31" t="s">
        <v>82</v>
      </c>
      <c r="C462" s="31" t="s">
        <v>44</v>
      </c>
      <c r="D462" s="32" t="s">
        <v>45</v>
      </c>
      <c r="E462" s="33"/>
      <c r="F462" s="33"/>
      <c r="G462" s="33"/>
      <c r="H462" s="33"/>
      <c r="I462" s="34" t="str">
        <f t="shared" si="33"/>
        <v>0/3</v>
      </c>
    </row>
    <row r="463" spans="1:9" x14ac:dyDescent="0.25">
      <c r="A463" s="30">
        <f>A452</f>
        <v>46398</v>
      </c>
      <c r="B463" s="31" t="s">
        <v>82</v>
      </c>
      <c r="C463" s="31" t="s">
        <v>46</v>
      </c>
      <c r="D463" s="32" t="s">
        <v>47</v>
      </c>
      <c r="E463" s="33"/>
      <c r="F463" s="33"/>
      <c r="G463" s="33"/>
      <c r="H463" s="33"/>
      <c r="I463" s="34" t="str">
        <f t="shared" si="33"/>
        <v>0/3</v>
      </c>
    </row>
    <row r="464" spans="1:9" x14ac:dyDescent="0.25">
      <c r="A464" s="30">
        <f>A452</f>
        <v>46398</v>
      </c>
      <c r="B464" s="31" t="s">
        <v>82</v>
      </c>
      <c r="C464" s="31" t="s">
        <v>48</v>
      </c>
      <c r="D464" s="32" t="s">
        <v>49</v>
      </c>
      <c r="E464" s="33"/>
      <c r="F464" s="33"/>
      <c r="G464" s="33"/>
      <c r="H464" s="33"/>
      <c r="I464" s="34" t="str">
        <f t="shared" si="33"/>
        <v>0/3</v>
      </c>
    </row>
    <row r="465" spans="1:9" x14ac:dyDescent="0.25">
      <c r="A465" s="30">
        <f>A452</f>
        <v>46398</v>
      </c>
      <c r="B465" s="31" t="s">
        <v>82</v>
      </c>
      <c r="C465" s="31" t="s">
        <v>50</v>
      </c>
      <c r="D465" s="32" t="s">
        <v>51</v>
      </c>
      <c r="E465" s="33"/>
      <c r="F465" s="33"/>
      <c r="G465" s="33"/>
      <c r="H465" s="33"/>
      <c r="I465" s="34" t="str">
        <f t="shared" si="33"/>
        <v>0/3</v>
      </c>
    </row>
    <row r="466" spans="1:9" x14ac:dyDescent="0.25">
      <c r="A466" s="30">
        <f>A452+7</f>
        <v>46405</v>
      </c>
      <c r="B466" s="31" t="s">
        <v>81</v>
      </c>
      <c r="C466" s="31" t="s">
        <v>37</v>
      </c>
      <c r="D466" s="32" t="s">
        <v>39</v>
      </c>
      <c r="E466" s="33"/>
      <c r="F466" s="33"/>
      <c r="G466" s="33"/>
      <c r="H466" s="33"/>
      <c r="I466" s="34" t="str">
        <f t="shared" si="33"/>
        <v>0/3</v>
      </c>
    </row>
    <row r="467" spans="1:9" ht="30" x14ac:dyDescent="0.25">
      <c r="A467" s="30">
        <f>A466</f>
        <v>46405</v>
      </c>
      <c r="B467" s="31" t="s">
        <v>81</v>
      </c>
      <c r="C467" s="31" t="s">
        <v>40</v>
      </c>
      <c r="D467" s="32" t="s">
        <v>41</v>
      </c>
      <c r="E467" s="33"/>
      <c r="F467" s="33"/>
      <c r="G467" s="33"/>
      <c r="H467" s="33"/>
      <c r="I467" s="34" t="str">
        <f t="shared" si="33"/>
        <v>0/3</v>
      </c>
    </row>
    <row r="468" spans="1:9" x14ac:dyDescent="0.25">
      <c r="A468" s="30">
        <f>A466</f>
        <v>46405</v>
      </c>
      <c r="B468" s="31" t="s">
        <v>81</v>
      </c>
      <c r="C468" s="31" t="s">
        <v>42</v>
      </c>
      <c r="D468" s="32" t="s">
        <v>43</v>
      </c>
      <c r="E468" s="33"/>
      <c r="F468" s="33"/>
      <c r="G468" s="33"/>
      <c r="H468" s="33"/>
      <c r="I468" s="34" t="str">
        <f t="shared" si="33"/>
        <v>0/3</v>
      </c>
    </row>
    <row r="469" spans="1:9" x14ac:dyDescent="0.25">
      <c r="A469" s="30">
        <f>A466</f>
        <v>46405</v>
      </c>
      <c r="B469" s="31" t="s">
        <v>81</v>
      </c>
      <c r="C469" s="31" t="s">
        <v>44</v>
      </c>
      <c r="D469" s="32" t="s">
        <v>45</v>
      </c>
      <c r="E469" s="33"/>
      <c r="F469" s="33"/>
      <c r="G469" s="33"/>
      <c r="H469" s="33"/>
      <c r="I469" s="34" t="str">
        <f t="shared" si="33"/>
        <v>0/3</v>
      </c>
    </row>
    <row r="470" spans="1:9" x14ac:dyDescent="0.25">
      <c r="A470" s="30">
        <f>A466</f>
        <v>46405</v>
      </c>
      <c r="B470" s="31" t="s">
        <v>81</v>
      </c>
      <c r="C470" s="31" t="s">
        <v>46</v>
      </c>
      <c r="D470" s="32" t="s">
        <v>47</v>
      </c>
      <c r="E470" s="33"/>
      <c r="F470" s="33"/>
      <c r="G470" s="33"/>
      <c r="H470" s="33"/>
      <c r="I470" s="34" t="str">
        <f t="shared" si="33"/>
        <v>0/3</v>
      </c>
    </row>
    <row r="471" spans="1:9" x14ac:dyDescent="0.25">
      <c r="A471" s="30">
        <f>A466</f>
        <v>46405</v>
      </c>
      <c r="B471" s="31" t="s">
        <v>81</v>
      </c>
      <c r="C471" s="31" t="s">
        <v>48</v>
      </c>
      <c r="D471" s="32" t="s">
        <v>49</v>
      </c>
      <c r="E471" s="33"/>
      <c r="F471" s="33"/>
      <c r="G471" s="33"/>
      <c r="H471" s="33"/>
      <c r="I471" s="34" t="str">
        <f t="shared" si="33"/>
        <v>0/3</v>
      </c>
    </row>
    <row r="472" spans="1:9" x14ac:dyDescent="0.25">
      <c r="A472" s="30">
        <f>A466</f>
        <v>46405</v>
      </c>
      <c r="B472" s="31" t="s">
        <v>81</v>
      </c>
      <c r="C472" s="31" t="s">
        <v>50</v>
      </c>
      <c r="D472" s="32" t="s">
        <v>51</v>
      </c>
      <c r="E472" s="33"/>
      <c r="F472" s="33"/>
      <c r="G472" s="33"/>
      <c r="H472" s="33"/>
      <c r="I472" s="34" t="str">
        <f t="shared" si="33"/>
        <v>0/3</v>
      </c>
    </row>
    <row r="473" spans="1:9" x14ac:dyDescent="0.25">
      <c r="A473" s="30">
        <f>A466</f>
        <v>46405</v>
      </c>
      <c r="B473" s="31" t="s">
        <v>82</v>
      </c>
      <c r="C473" s="31" t="s">
        <v>37</v>
      </c>
      <c r="D473" s="32" t="s">
        <v>39</v>
      </c>
      <c r="E473" s="33"/>
      <c r="F473" s="33"/>
      <c r="G473" s="33"/>
      <c r="H473" s="33"/>
      <c r="I473" s="34" t="str">
        <f>COUNTA(E473:H473)&amp;"/4"</f>
        <v>0/4</v>
      </c>
    </row>
    <row r="474" spans="1:9" ht="30" x14ac:dyDescent="0.25">
      <c r="A474" s="30">
        <f>A466</f>
        <v>46405</v>
      </c>
      <c r="B474" s="31" t="s">
        <v>82</v>
      </c>
      <c r="C474" s="31" t="s">
        <v>40</v>
      </c>
      <c r="D474" s="32" t="s">
        <v>41</v>
      </c>
      <c r="E474" s="33"/>
      <c r="F474" s="33"/>
      <c r="G474" s="33"/>
      <c r="H474" s="33"/>
      <c r="I474" s="34" t="str">
        <f t="shared" ref="I474:I486" si="34">COUNTA(E474:G474)&amp;"/3"</f>
        <v>0/3</v>
      </c>
    </row>
    <row r="475" spans="1:9" x14ac:dyDescent="0.25">
      <c r="A475" s="30">
        <f>A466</f>
        <v>46405</v>
      </c>
      <c r="B475" s="31" t="s">
        <v>82</v>
      </c>
      <c r="C475" s="31" t="s">
        <v>42</v>
      </c>
      <c r="D475" s="32" t="s">
        <v>43</v>
      </c>
      <c r="E475" s="33"/>
      <c r="F475" s="33"/>
      <c r="G475" s="33"/>
      <c r="H475" s="33"/>
      <c r="I475" s="34" t="str">
        <f t="shared" si="34"/>
        <v>0/3</v>
      </c>
    </row>
    <row r="476" spans="1:9" x14ac:dyDescent="0.25">
      <c r="A476" s="30">
        <f>A466</f>
        <v>46405</v>
      </c>
      <c r="B476" s="31" t="s">
        <v>82</v>
      </c>
      <c r="C476" s="31" t="s">
        <v>44</v>
      </c>
      <c r="D476" s="32" t="s">
        <v>45</v>
      </c>
      <c r="E476" s="33"/>
      <c r="F476" s="33"/>
      <c r="G476" s="33"/>
      <c r="H476" s="33"/>
      <c r="I476" s="34" t="str">
        <f t="shared" si="34"/>
        <v>0/3</v>
      </c>
    </row>
    <row r="477" spans="1:9" x14ac:dyDescent="0.25">
      <c r="A477" s="30">
        <f>A466</f>
        <v>46405</v>
      </c>
      <c r="B477" s="31" t="s">
        <v>82</v>
      </c>
      <c r="C477" s="31" t="s">
        <v>46</v>
      </c>
      <c r="D477" s="32" t="s">
        <v>47</v>
      </c>
      <c r="E477" s="33"/>
      <c r="F477" s="33"/>
      <c r="G477" s="33"/>
      <c r="H477" s="33"/>
      <c r="I477" s="34" t="str">
        <f t="shared" si="34"/>
        <v>0/3</v>
      </c>
    </row>
    <row r="478" spans="1:9" x14ac:dyDescent="0.25">
      <c r="A478" s="30">
        <f>A466</f>
        <v>46405</v>
      </c>
      <c r="B478" s="31" t="s">
        <v>82</v>
      </c>
      <c r="C478" s="31" t="s">
        <v>48</v>
      </c>
      <c r="D478" s="32" t="s">
        <v>49</v>
      </c>
      <c r="E478" s="33"/>
      <c r="F478" s="33"/>
      <c r="G478" s="33"/>
      <c r="H478" s="33"/>
      <c r="I478" s="34" t="str">
        <f t="shared" si="34"/>
        <v>0/3</v>
      </c>
    </row>
    <row r="479" spans="1:9" x14ac:dyDescent="0.25">
      <c r="A479" s="30">
        <f>A466</f>
        <v>46405</v>
      </c>
      <c r="B479" s="31" t="s">
        <v>82</v>
      </c>
      <c r="C479" s="31" t="s">
        <v>50</v>
      </c>
      <c r="D479" s="32" t="s">
        <v>51</v>
      </c>
      <c r="E479" s="33"/>
      <c r="F479" s="33"/>
      <c r="G479" s="33"/>
      <c r="H479" s="33"/>
      <c r="I479" s="34" t="str">
        <f t="shared" si="34"/>
        <v>0/3</v>
      </c>
    </row>
    <row r="480" spans="1:9" x14ac:dyDescent="0.25">
      <c r="A480" s="30">
        <f>A466+7</f>
        <v>46412</v>
      </c>
      <c r="B480" s="31" t="s">
        <v>81</v>
      </c>
      <c r="C480" s="31" t="s">
        <v>37</v>
      </c>
      <c r="D480" s="32" t="s">
        <v>39</v>
      </c>
      <c r="E480" s="33"/>
      <c r="F480" s="33"/>
      <c r="G480" s="33"/>
      <c r="H480" s="33"/>
      <c r="I480" s="34" t="str">
        <f t="shared" si="34"/>
        <v>0/3</v>
      </c>
    </row>
    <row r="481" spans="1:9" ht="30" x14ac:dyDescent="0.25">
      <c r="A481" s="30">
        <f>A480</f>
        <v>46412</v>
      </c>
      <c r="B481" s="31" t="s">
        <v>81</v>
      </c>
      <c r="C481" s="31" t="s">
        <v>40</v>
      </c>
      <c r="D481" s="32" t="s">
        <v>41</v>
      </c>
      <c r="E481" s="33"/>
      <c r="F481" s="33"/>
      <c r="G481" s="33"/>
      <c r="H481" s="33"/>
      <c r="I481" s="34" t="str">
        <f t="shared" si="34"/>
        <v>0/3</v>
      </c>
    </row>
    <row r="482" spans="1:9" x14ac:dyDescent="0.25">
      <c r="A482" s="30">
        <f>A480</f>
        <v>46412</v>
      </c>
      <c r="B482" s="31" t="s">
        <v>81</v>
      </c>
      <c r="C482" s="31" t="s">
        <v>42</v>
      </c>
      <c r="D482" s="32" t="s">
        <v>43</v>
      </c>
      <c r="E482" s="33"/>
      <c r="F482" s="33"/>
      <c r="G482" s="33"/>
      <c r="H482" s="33"/>
      <c r="I482" s="34" t="str">
        <f t="shared" si="34"/>
        <v>0/3</v>
      </c>
    </row>
    <row r="483" spans="1:9" x14ac:dyDescent="0.25">
      <c r="A483" s="30">
        <f>A480</f>
        <v>46412</v>
      </c>
      <c r="B483" s="31" t="s">
        <v>81</v>
      </c>
      <c r="C483" s="31" t="s">
        <v>44</v>
      </c>
      <c r="D483" s="32" t="s">
        <v>45</v>
      </c>
      <c r="E483" s="33"/>
      <c r="F483" s="33"/>
      <c r="G483" s="33"/>
      <c r="H483" s="33"/>
      <c r="I483" s="34" t="str">
        <f t="shared" si="34"/>
        <v>0/3</v>
      </c>
    </row>
    <row r="484" spans="1:9" x14ac:dyDescent="0.25">
      <c r="A484" s="30">
        <f>A480</f>
        <v>46412</v>
      </c>
      <c r="B484" s="31" t="s">
        <v>81</v>
      </c>
      <c r="C484" s="31" t="s">
        <v>46</v>
      </c>
      <c r="D484" s="32" t="s">
        <v>47</v>
      </c>
      <c r="E484" s="33"/>
      <c r="F484" s="33"/>
      <c r="G484" s="33"/>
      <c r="H484" s="33"/>
      <c r="I484" s="34" t="str">
        <f t="shared" si="34"/>
        <v>0/3</v>
      </c>
    </row>
    <row r="485" spans="1:9" x14ac:dyDescent="0.25">
      <c r="A485" s="30">
        <f>A480</f>
        <v>46412</v>
      </c>
      <c r="B485" s="31" t="s">
        <v>81</v>
      </c>
      <c r="C485" s="31" t="s">
        <v>48</v>
      </c>
      <c r="D485" s="32" t="s">
        <v>49</v>
      </c>
      <c r="E485" s="33"/>
      <c r="F485" s="33"/>
      <c r="G485" s="33"/>
      <c r="H485" s="33"/>
      <c r="I485" s="34" t="str">
        <f t="shared" si="34"/>
        <v>0/3</v>
      </c>
    </row>
    <row r="486" spans="1:9" x14ac:dyDescent="0.25">
      <c r="A486" s="30">
        <f>A480</f>
        <v>46412</v>
      </c>
      <c r="B486" s="31" t="s">
        <v>81</v>
      </c>
      <c r="C486" s="31" t="s">
        <v>50</v>
      </c>
      <c r="D486" s="32" t="s">
        <v>51</v>
      </c>
      <c r="E486" s="33"/>
      <c r="F486" s="33"/>
      <c r="G486" s="33"/>
      <c r="H486" s="33"/>
      <c r="I486" s="34" t="str">
        <f t="shared" si="34"/>
        <v>0/3</v>
      </c>
    </row>
    <row r="487" spans="1:9" x14ac:dyDescent="0.25">
      <c r="A487" s="30">
        <f>A480</f>
        <v>46412</v>
      </c>
      <c r="B487" s="31" t="s">
        <v>82</v>
      </c>
      <c r="C487" s="31" t="s">
        <v>37</v>
      </c>
      <c r="D487" s="32" t="s">
        <v>39</v>
      </c>
      <c r="E487" s="33"/>
      <c r="F487" s="33"/>
      <c r="G487" s="33"/>
      <c r="H487" s="33"/>
      <c r="I487" s="34" t="str">
        <f>COUNTA(E487:H487)&amp;"/4"</f>
        <v>0/4</v>
      </c>
    </row>
    <row r="488" spans="1:9" ht="30" x14ac:dyDescent="0.25">
      <c r="A488" s="30">
        <f>A480</f>
        <v>46412</v>
      </c>
      <c r="B488" s="31" t="s">
        <v>82</v>
      </c>
      <c r="C488" s="31" t="s">
        <v>40</v>
      </c>
      <c r="D488" s="32" t="s">
        <v>41</v>
      </c>
      <c r="E488" s="33"/>
      <c r="F488" s="33"/>
      <c r="G488" s="33"/>
      <c r="H488" s="33"/>
      <c r="I488" s="34" t="str">
        <f t="shared" ref="I488:I500" si="35">COUNTA(E488:G488)&amp;"/3"</f>
        <v>0/3</v>
      </c>
    </row>
    <row r="489" spans="1:9" x14ac:dyDescent="0.25">
      <c r="A489" s="30">
        <f>A480</f>
        <v>46412</v>
      </c>
      <c r="B489" s="31" t="s">
        <v>82</v>
      </c>
      <c r="C489" s="31" t="s">
        <v>42</v>
      </c>
      <c r="D489" s="32" t="s">
        <v>43</v>
      </c>
      <c r="E489" s="33"/>
      <c r="F489" s="33"/>
      <c r="G489" s="33"/>
      <c r="H489" s="33"/>
      <c r="I489" s="34" t="str">
        <f t="shared" si="35"/>
        <v>0/3</v>
      </c>
    </row>
    <row r="490" spans="1:9" x14ac:dyDescent="0.25">
      <c r="A490" s="30">
        <f>A480</f>
        <v>46412</v>
      </c>
      <c r="B490" s="31" t="s">
        <v>82</v>
      </c>
      <c r="C490" s="31" t="s">
        <v>44</v>
      </c>
      <c r="D490" s="32" t="s">
        <v>45</v>
      </c>
      <c r="E490" s="33"/>
      <c r="F490" s="33"/>
      <c r="G490" s="33"/>
      <c r="H490" s="33"/>
      <c r="I490" s="34" t="str">
        <f t="shared" si="35"/>
        <v>0/3</v>
      </c>
    </row>
    <row r="491" spans="1:9" x14ac:dyDescent="0.25">
      <c r="A491" s="30">
        <f>A480</f>
        <v>46412</v>
      </c>
      <c r="B491" s="31" t="s">
        <v>82</v>
      </c>
      <c r="C491" s="31" t="s">
        <v>46</v>
      </c>
      <c r="D491" s="32" t="s">
        <v>47</v>
      </c>
      <c r="E491" s="33"/>
      <c r="F491" s="33"/>
      <c r="G491" s="33"/>
      <c r="H491" s="33"/>
      <c r="I491" s="34" t="str">
        <f t="shared" si="35"/>
        <v>0/3</v>
      </c>
    </row>
    <row r="492" spans="1:9" x14ac:dyDescent="0.25">
      <c r="A492" s="30">
        <f>A480</f>
        <v>46412</v>
      </c>
      <c r="B492" s="31" t="s">
        <v>82</v>
      </c>
      <c r="C492" s="31" t="s">
        <v>48</v>
      </c>
      <c r="D492" s="32" t="s">
        <v>49</v>
      </c>
      <c r="E492" s="33"/>
      <c r="F492" s="33"/>
      <c r="G492" s="33"/>
      <c r="H492" s="33"/>
      <c r="I492" s="34" t="str">
        <f t="shared" si="35"/>
        <v>0/3</v>
      </c>
    </row>
    <row r="493" spans="1:9" x14ac:dyDescent="0.25">
      <c r="A493" s="30">
        <f>A480</f>
        <v>46412</v>
      </c>
      <c r="B493" s="31" t="s">
        <v>82</v>
      </c>
      <c r="C493" s="31" t="s">
        <v>50</v>
      </c>
      <c r="D493" s="32" t="s">
        <v>51</v>
      </c>
      <c r="E493" s="33"/>
      <c r="F493" s="33"/>
      <c r="G493" s="33"/>
      <c r="H493" s="33"/>
      <c r="I493" s="34" t="str">
        <f t="shared" si="35"/>
        <v>0/3</v>
      </c>
    </row>
    <row r="494" spans="1:9" x14ac:dyDescent="0.25">
      <c r="A494" s="30">
        <f>A480+7</f>
        <v>46419</v>
      </c>
      <c r="B494" s="31" t="s">
        <v>81</v>
      </c>
      <c r="C494" s="31" t="s">
        <v>37</v>
      </c>
      <c r="D494" s="32" t="s">
        <v>39</v>
      </c>
      <c r="E494" s="33"/>
      <c r="F494" s="33"/>
      <c r="G494" s="33"/>
      <c r="H494" s="33"/>
      <c r="I494" s="34" t="str">
        <f t="shared" si="35"/>
        <v>0/3</v>
      </c>
    </row>
    <row r="495" spans="1:9" ht="30" x14ac:dyDescent="0.25">
      <c r="A495" s="30">
        <f>A494</f>
        <v>46419</v>
      </c>
      <c r="B495" s="31" t="s">
        <v>81</v>
      </c>
      <c r="C495" s="31" t="s">
        <v>40</v>
      </c>
      <c r="D495" s="32" t="s">
        <v>41</v>
      </c>
      <c r="E495" s="33"/>
      <c r="F495" s="33"/>
      <c r="G495" s="33"/>
      <c r="H495" s="33"/>
      <c r="I495" s="34" t="str">
        <f t="shared" si="35"/>
        <v>0/3</v>
      </c>
    </row>
    <row r="496" spans="1:9" x14ac:dyDescent="0.25">
      <c r="A496" s="30">
        <f>A494</f>
        <v>46419</v>
      </c>
      <c r="B496" s="31" t="s">
        <v>81</v>
      </c>
      <c r="C496" s="31" t="s">
        <v>42</v>
      </c>
      <c r="D496" s="32" t="s">
        <v>43</v>
      </c>
      <c r="E496" s="33"/>
      <c r="F496" s="33"/>
      <c r="G496" s="33"/>
      <c r="H496" s="33"/>
      <c r="I496" s="34" t="str">
        <f t="shared" si="35"/>
        <v>0/3</v>
      </c>
    </row>
    <row r="497" spans="1:9" x14ac:dyDescent="0.25">
      <c r="A497" s="30">
        <f>A494</f>
        <v>46419</v>
      </c>
      <c r="B497" s="31" t="s">
        <v>81</v>
      </c>
      <c r="C497" s="31" t="s">
        <v>44</v>
      </c>
      <c r="D497" s="32" t="s">
        <v>45</v>
      </c>
      <c r="E497" s="33"/>
      <c r="F497" s="33"/>
      <c r="G497" s="33"/>
      <c r="H497" s="33"/>
      <c r="I497" s="34" t="str">
        <f t="shared" si="35"/>
        <v>0/3</v>
      </c>
    </row>
    <row r="498" spans="1:9" x14ac:dyDescent="0.25">
      <c r="A498" s="30">
        <f>A494</f>
        <v>46419</v>
      </c>
      <c r="B498" s="31" t="s">
        <v>81</v>
      </c>
      <c r="C498" s="31" t="s">
        <v>46</v>
      </c>
      <c r="D498" s="32" t="s">
        <v>47</v>
      </c>
      <c r="E498" s="33"/>
      <c r="F498" s="33"/>
      <c r="G498" s="33"/>
      <c r="H498" s="33"/>
      <c r="I498" s="34" t="str">
        <f t="shared" si="35"/>
        <v>0/3</v>
      </c>
    </row>
    <row r="499" spans="1:9" x14ac:dyDescent="0.25">
      <c r="A499" s="30">
        <f>A494</f>
        <v>46419</v>
      </c>
      <c r="B499" s="31" t="s">
        <v>81</v>
      </c>
      <c r="C499" s="31" t="s">
        <v>48</v>
      </c>
      <c r="D499" s="32" t="s">
        <v>49</v>
      </c>
      <c r="E499" s="33"/>
      <c r="F499" s="33"/>
      <c r="G499" s="33"/>
      <c r="H499" s="33"/>
      <c r="I499" s="34" t="str">
        <f t="shared" si="35"/>
        <v>0/3</v>
      </c>
    </row>
    <row r="500" spans="1:9" x14ac:dyDescent="0.25">
      <c r="A500" s="30">
        <f>A494</f>
        <v>46419</v>
      </c>
      <c r="B500" s="31" t="s">
        <v>81</v>
      </c>
      <c r="C500" s="31" t="s">
        <v>50</v>
      </c>
      <c r="D500" s="32" t="s">
        <v>51</v>
      </c>
      <c r="E500" s="33"/>
      <c r="F500" s="33"/>
      <c r="G500" s="33"/>
      <c r="H500" s="33"/>
      <c r="I500" s="34" t="str">
        <f t="shared" si="35"/>
        <v>0/3</v>
      </c>
    </row>
    <row r="501" spans="1:9" x14ac:dyDescent="0.25">
      <c r="A501" s="30">
        <f>A494</f>
        <v>46419</v>
      </c>
      <c r="B501" s="31" t="s">
        <v>82</v>
      </c>
      <c r="C501" s="31" t="s">
        <v>37</v>
      </c>
      <c r="D501" s="32" t="s">
        <v>39</v>
      </c>
      <c r="E501" s="33"/>
      <c r="F501" s="33"/>
      <c r="G501" s="33"/>
      <c r="H501" s="33"/>
      <c r="I501" s="34" t="str">
        <f>COUNTA(E501:H501)&amp;"/4"</f>
        <v>0/4</v>
      </c>
    </row>
    <row r="502" spans="1:9" ht="30" x14ac:dyDescent="0.25">
      <c r="A502" s="30">
        <f>A494</f>
        <v>46419</v>
      </c>
      <c r="B502" s="31" t="s">
        <v>82</v>
      </c>
      <c r="C502" s="31" t="s">
        <v>40</v>
      </c>
      <c r="D502" s="32" t="s">
        <v>41</v>
      </c>
      <c r="E502" s="33"/>
      <c r="F502" s="33"/>
      <c r="G502" s="33"/>
      <c r="H502" s="33"/>
      <c r="I502" s="34" t="str">
        <f t="shared" ref="I502:I514" si="36">COUNTA(E502:G502)&amp;"/3"</f>
        <v>0/3</v>
      </c>
    </row>
    <row r="503" spans="1:9" x14ac:dyDescent="0.25">
      <c r="A503" s="30">
        <f>A494</f>
        <v>46419</v>
      </c>
      <c r="B503" s="31" t="s">
        <v>82</v>
      </c>
      <c r="C503" s="31" t="s">
        <v>42</v>
      </c>
      <c r="D503" s="32" t="s">
        <v>43</v>
      </c>
      <c r="E503" s="33"/>
      <c r="F503" s="33"/>
      <c r="G503" s="33"/>
      <c r="H503" s="33"/>
      <c r="I503" s="34" t="str">
        <f t="shared" si="36"/>
        <v>0/3</v>
      </c>
    </row>
    <row r="504" spans="1:9" x14ac:dyDescent="0.25">
      <c r="A504" s="30">
        <f>A494</f>
        <v>46419</v>
      </c>
      <c r="B504" s="31" t="s">
        <v>82</v>
      </c>
      <c r="C504" s="31" t="s">
        <v>44</v>
      </c>
      <c r="D504" s="32" t="s">
        <v>45</v>
      </c>
      <c r="E504" s="33"/>
      <c r="F504" s="33"/>
      <c r="G504" s="33"/>
      <c r="H504" s="33"/>
      <c r="I504" s="34" t="str">
        <f t="shared" si="36"/>
        <v>0/3</v>
      </c>
    </row>
    <row r="505" spans="1:9" x14ac:dyDescent="0.25">
      <c r="A505" s="30">
        <f>A494</f>
        <v>46419</v>
      </c>
      <c r="B505" s="31" t="s">
        <v>82</v>
      </c>
      <c r="C505" s="31" t="s">
        <v>46</v>
      </c>
      <c r="D505" s="32" t="s">
        <v>47</v>
      </c>
      <c r="E505" s="33"/>
      <c r="F505" s="33"/>
      <c r="G505" s="33"/>
      <c r="H505" s="33"/>
      <c r="I505" s="34" t="str">
        <f t="shared" si="36"/>
        <v>0/3</v>
      </c>
    </row>
    <row r="506" spans="1:9" x14ac:dyDescent="0.25">
      <c r="A506" s="30">
        <f>A494</f>
        <v>46419</v>
      </c>
      <c r="B506" s="31" t="s">
        <v>82</v>
      </c>
      <c r="C506" s="31" t="s">
        <v>48</v>
      </c>
      <c r="D506" s="32" t="s">
        <v>49</v>
      </c>
      <c r="E506" s="33"/>
      <c r="F506" s="33"/>
      <c r="G506" s="33"/>
      <c r="H506" s="33"/>
      <c r="I506" s="34" t="str">
        <f t="shared" si="36"/>
        <v>0/3</v>
      </c>
    </row>
    <row r="507" spans="1:9" x14ac:dyDescent="0.25">
      <c r="A507" s="30">
        <f>A494</f>
        <v>46419</v>
      </c>
      <c r="B507" s="31" t="s">
        <v>82</v>
      </c>
      <c r="C507" s="31" t="s">
        <v>50</v>
      </c>
      <c r="D507" s="32" t="s">
        <v>51</v>
      </c>
      <c r="E507" s="33"/>
      <c r="F507" s="33"/>
      <c r="G507" s="33"/>
      <c r="H507" s="33"/>
      <c r="I507" s="34" t="str">
        <f t="shared" si="36"/>
        <v>0/3</v>
      </c>
    </row>
    <row r="508" spans="1:9" x14ac:dyDescent="0.25">
      <c r="A508" s="30">
        <f>A494+7</f>
        <v>46426</v>
      </c>
      <c r="B508" s="31" t="s">
        <v>81</v>
      </c>
      <c r="C508" s="31" t="s">
        <v>37</v>
      </c>
      <c r="D508" s="32" t="s">
        <v>39</v>
      </c>
      <c r="E508" s="33"/>
      <c r="F508" s="33"/>
      <c r="G508" s="33"/>
      <c r="H508" s="33"/>
      <c r="I508" s="34" t="str">
        <f t="shared" si="36"/>
        <v>0/3</v>
      </c>
    </row>
    <row r="509" spans="1:9" ht="30" x14ac:dyDescent="0.25">
      <c r="A509" s="30">
        <f>A508</f>
        <v>46426</v>
      </c>
      <c r="B509" s="31" t="s">
        <v>81</v>
      </c>
      <c r="C509" s="31" t="s">
        <v>40</v>
      </c>
      <c r="D509" s="32" t="s">
        <v>41</v>
      </c>
      <c r="E509" s="33"/>
      <c r="F509" s="33"/>
      <c r="G509" s="33"/>
      <c r="H509" s="33"/>
      <c r="I509" s="34" t="str">
        <f t="shared" si="36"/>
        <v>0/3</v>
      </c>
    </row>
    <row r="510" spans="1:9" x14ac:dyDescent="0.25">
      <c r="A510" s="30">
        <f>A508</f>
        <v>46426</v>
      </c>
      <c r="B510" s="31" t="s">
        <v>81</v>
      </c>
      <c r="C510" s="31" t="s">
        <v>42</v>
      </c>
      <c r="D510" s="32" t="s">
        <v>43</v>
      </c>
      <c r="E510" s="33"/>
      <c r="F510" s="33"/>
      <c r="G510" s="33"/>
      <c r="H510" s="33"/>
      <c r="I510" s="34" t="str">
        <f t="shared" si="36"/>
        <v>0/3</v>
      </c>
    </row>
    <row r="511" spans="1:9" x14ac:dyDescent="0.25">
      <c r="A511" s="30">
        <f>A508</f>
        <v>46426</v>
      </c>
      <c r="B511" s="31" t="s">
        <v>81</v>
      </c>
      <c r="C511" s="31" t="s">
        <v>44</v>
      </c>
      <c r="D511" s="32" t="s">
        <v>45</v>
      </c>
      <c r="E511" s="33"/>
      <c r="F511" s="33"/>
      <c r="G511" s="33"/>
      <c r="H511" s="33"/>
      <c r="I511" s="34" t="str">
        <f t="shared" si="36"/>
        <v>0/3</v>
      </c>
    </row>
    <row r="512" spans="1:9" x14ac:dyDescent="0.25">
      <c r="A512" s="30">
        <f>A508</f>
        <v>46426</v>
      </c>
      <c r="B512" s="31" t="s">
        <v>81</v>
      </c>
      <c r="C512" s="31" t="s">
        <v>46</v>
      </c>
      <c r="D512" s="32" t="s">
        <v>47</v>
      </c>
      <c r="E512" s="33"/>
      <c r="F512" s="33"/>
      <c r="G512" s="33"/>
      <c r="H512" s="33"/>
      <c r="I512" s="34" t="str">
        <f t="shared" si="36"/>
        <v>0/3</v>
      </c>
    </row>
    <row r="513" spans="1:9" x14ac:dyDescent="0.25">
      <c r="A513" s="30">
        <f>A508</f>
        <v>46426</v>
      </c>
      <c r="B513" s="31" t="s">
        <v>81</v>
      </c>
      <c r="C513" s="31" t="s">
        <v>48</v>
      </c>
      <c r="D513" s="32" t="s">
        <v>49</v>
      </c>
      <c r="E513" s="33"/>
      <c r="F513" s="33"/>
      <c r="G513" s="33"/>
      <c r="H513" s="33"/>
      <c r="I513" s="34" t="str">
        <f t="shared" si="36"/>
        <v>0/3</v>
      </c>
    </row>
    <row r="514" spans="1:9" x14ac:dyDescent="0.25">
      <c r="A514" s="30">
        <f>A508</f>
        <v>46426</v>
      </c>
      <c r="B514" s="31" t="s">
        <v>81</v>
      </c>
      <c r="C514" s="31" t="s">
        <v>50</v>
      </c>
      <c r="D514" s="32" t="s">
        <v>51</v>
      </c>
      <c r="E514" s="33"/>
      <c r="F514" s="33"/>
      <c r="G514" s="33"/>
      <c r="H514" s="33"/>
      <c r="I514" s="34" t="str">
        <f t="shared" si="36"/>
        <v>0/3</v>
      </c>
    </row>
    <row r="515" spans="1:9" x14ac:dyDescent="0.25">
      <c r="A515" s="30">
        <f>A508</f>
        <v>46426</v>
      </c>
      <c r="B515" s="31" t="s">
        <v>82</v>
      </c>
      <c r="C515" s="31" t="s">
        <v>37</v>
      </c>
      <c r="D515" s="32" t="s">
        <v>39</v>
      </c>
      <c r="E515" s="33"/>
      <c r="F515" s="33"/>
      <c r="G515" s="33"/>
      <c r="H515" s="33"/>
      <c r="I515" s="34" t="str">
        <f>COUNTA(E515:H515)&amp;"/4"</f>
        <v>0/4</v>
      </c>
    </row>
    <row r="516" spans="1:9" ht="30" x14ac:dyDescent="0.25">
      <c r="A516" s="30">
        <f>A508</f>
        <v>46426</v>
      </c>
      <c r="B516" s="31" t="s">
        <v>82</v>
      </c>
      <c r="C516" s="31" t="s">
        <v>40</v>
      </c>
      <c r="D516" s="32" t="s">
        <v>41</v>
      </c>
      <c r="E516" s="33"/>
      <c r="F516" s="33"/>
      <c r="G516" s="33"/>
      <c r="H516" s="33"/>
      <c r="I516" s="34" t="str">
        <f t="shared" ref="I516:I528" si="37">COUNTA(E516:G516)&amp;"/3"</f>
        <v>0/3</v>
      </c>
    </row>
    <row r="517" spans="1:9" x14ac:dyDescent="0.25">
      <c r="A517" s="30">
        <f>A508</f>
        <v>46426</v>
      </c>
      <c r="B517" s="31" t="s">
        <v>82</v>
      </c>
      <c r="C517" s="31" t="s">
        <v>42</v>
      </c>
      <c r="D517" s="32" t="s">
        <v>43</v>
      </c>
      <c r="E517" s="33"/>
      <c r="F517" s="33"/>
      <c r="G517" s="33"/>
      <c r="H517" s="33"/>
      <c r="I517" s="34" t="str">
        <f t="shared" si="37"/>
        <v>0/3</v>
      </c>
    </row>
    <row r="518" spans="1:9" x14ac:dyDescent="0.25">
      <c r="A518" s="30">
        <f>A508</f>
        <v>46426</v>
      </c>
      <c r="B518" s="31" t="s">
        <v>82</v>
      </c>
      <c r="C518" s="31" t="s">
        <v>44</v>
      </c>
      <c r="D518" s="32" t="s">
        <v>45</v>
      </c>
      <c r="E518" s="33"/>
      <c r="F518" s="33"/>
      <c r="G518" s="33"/>
      <c r="H518" s="33"/>
      <c r="I518" s="34" t="str">
        <f t="shared" si="37"/>
        <v>0/3</v>
      </c>
    </row>
    <row r="519" spans="1:9" x14ac:dyDescent="0.25">
      <c r="A519" s="30">
        <f>A508</f>
        <v>46426</v>
      </c>
      <c r="B519" s="31" t="s">
        <v>82</v>
      </c>
      <c r="C519" s="31" t="s">
        <v>46</v>
      </c>
      <c r="D519" s="32" t="s">
        <v>47</v>
      </c>
      <c r="E519" s="33"/>
      <c r="F519" s="33"/>
      <c r="G519" s="33"/>
      <c r="H519" s="33"/>
      <c r="I519" s="34" t="str">
        <f t="shared" si="37"/>
        <v>0/3</v>
      </c>
    </row>
    <row r="520" spans="1:9" x14ac:dyDescent="0.25">
      <c r="A520" s="30">
        <f>A508</f>
        <v>46426</v>
      </c>
      <c r="B520" s="31" t="s">
        <v>82</v>
      </c>
      <c r="C520" s="31" t="s">
        <v>48</v>
      </c>
      <c r="D520" s="32" t="s">
        <v>49</v>
      </c>
      <c r="E520" s="33"/>
      <c r="F520" s="33"/>
      <c r="G520" s="33"/>
      <c r="H520" s="33"/>
      <c r="I520" s="34" t="str">
        <f t="shared" si="37"/>
        <v>0/3</v>
      </c>
    </row>
    <row r="521" spans="1:9" x14ac:dyDescent="0.25">
      <c r="A521" s="30">
        <f>A508</f>
        <v>46426</v>
      </c>
      <c r="B521" s="31" t="s">
        <v>82</v>
      </c>
      <c r="C521" s="31" t="s">
        <v>50</v>
      </c>
      <c r="D521" s="32" t="s">
        <v>51</v>
      </c>
      <c r="E521" s="33"/>
      <c r="F521" s="33"/>
      <c r="G521" s="33"/>
      <c r="H521" s="33"/>
      <c r="I521" s="34" t="str">
        <f t="shared" si="37"/>
        <v>0/3</v>
      </c>
    </row>
    <row r="522" spans="1:9" x14ac:dyDescent="0.25">
      <c r="A522" s="30">
        <f>A508+7</f>
        <v>46433</v>
      </c>
      <c r="B522" s="31" t="s">
        <v>81</v>
      </c>
      <c r="C522" s="31" t="s">
        <v>37</v>
      </c>
      <c r="D522" s="32" t="s">
        <v>39</v>
      </c>
      <c r="E522" s="33"/>
      <c r="F522" s="33"/>
      <c r="G522" s="33"/>
      <c r="H522" s="33"/>
      <c r="I522" s="34" t="str">
        <f t="shared" si="37"/>
        <v>0/3</v>
      </c>
    </row>
    <row r="523" spans="1:9" ht="30" x14ac:dyDescent="0.25">
      <c r="A523" s="30">
        <f>A522</f>
        <v>46433</v>
      </c>
      <c r="B523" s="31" t="s">
        <v>81</v>
      </c>
      <c r="C523" s="31" t="s">
        <v>40</v>
      </c>
      <c r="D523" s="32" t="s">
        <v>41</v>
      </c>
      <c r="E523" s="33"/>
      <c r="F523" s="33"/>
      <c r="G523" s="33"/>
      <c r="H523" s="33"/>
      <c r="I523" s="34" t="str">
        <f t="shared" si="37"/>
        <v>0/3</v>
      </c>
    </row>
    <row r="524" spans="1:9" x14ac:dyDescent="0.25">
      <c r="A524" s="30">
        <f>A522</f>
        <v>46433</v>
      </c>
      <c r="B524" s="31" t="s">
        <v>81</v>
      </c>
      <c r="C524" s="31" t="s">
        <v>42</v>
      </c>
      <c r="D524" s="32" t="s">
        <v>43</v>
      </c>
      <c r="E524" s="33"/>
      <c r="F524" s="33"/>
      <c r="G524" s="33"/>
      <c r="H524" s="33"/>
      <c r="I524" s="34" t="str">
        <f t="shared" si="37"/>
        <v>0/3</v>
      </c>
    </row>
    <row r="525" spans="1:9" x14ac:dyDescent="0.25">
      <c r="A525" s="30">
        <f>A522</f>
        <v>46433</v>
      </c>
      <c r="B525" s="31" t="s">
        <v>81</v>
      </c>
      <c r="C525" s="31" t="s">
        <v>44</v>
      </c>
      <c r="D525" s="32" t="s">
        <v>45</v>
      </c>
      <c r="E525" s="33"/>
      <c r="F525" s="33"/>
      <c r="G525" s="33"/>
      <c r="H525" s="33"/>
      <c r="I525" s="34" t="str">
        <f t="shared" si="37"/>
        <v>0/3</v>
      </c>
    </row>
    <row r="526" spans="1:9" x14ac:dyDescent="0.25">
      <c r="A526" s="30">
        <f>A522</f>
        <v>46433</v>
      </c>
      <c r="B526" s="31" t="s">
        <v>81</v>
      </c>
      <c r="C526" s="31" t="s">
        <v>46</v>
      </c>
      <c r="D526" s="32" t="s">
        <v>47</v>
      </c>
      <c r="E526" s="33"/>
      <c r="F526" s="33"/>
      <c r="G526" s="33"/>
      <c r="H526" s="33"/>
      <c r="I526" s="34" t="str">
        <f t="shared" si="37"/>
        <v>0/3</v>
      </c>
    </row>
    <row r="527" spans="1:9" x14ac:dyDescent="0.25">
      <c r="A527" s="30">
        <f>A522</f>
        <v>46433</v>
      </c>
      <c r="B527" s="31" t="s">
        <v>81</v>
      </c>
      <c r="C527" s="31" t="s">
        <v>48</v>
      </c>
      <c r="D527" s="32" t="s">
        <v>49</v>
      </c>
      <c r="E527" s="33"/>
      <c r="F527" s="33"/>
      <c r="G527" s="33"/>
      <c r="H527" s="33"/>
      <c r="I527" s="34" t="str">
        <f t="shared" si="37"/>
        <v>0/3</v>
      </c>
    </row>
    <row r="528" spans="1:9" x14ac:dyDescent="0.25">
      <c r="A528" s="30">
        <f>A522</f>
        <v>46433</v>
      </c>
      <c r="B528" s="31" t="s">
        <v>81</v>
      </c>
      <c r="C528" s="31" t="s">
        <v>50</v>
      </c>
      <c r="D528" s="32" t="s">
        <v>51</v>
      </c>
      <c r="E528" s="33"/>
      <c r="F528" s="33"/>
      <c r="G528" s="33"/>
      <c r="H528" s="33"/>
      <c r="I528" s="34" t="str">
        <f t="shared" si="37"/>
        <v>0/3</v>
      </c>
    </row>
    <row r="529" spans="1:9" x14ac:dyDescent="0.25">
      <c r="A529" s="30">
        <f>A522</f>
        <v>46433</v>
      </c>
      <c r="B529" s="31" t="s">
        <v>82</v>
      </c>
      <c r="C529" s="31" t="s">
        <v>37</v>
      </c>
      <c r="D529" s="32" t="s">
        <v>39</v>
      </c>
      <c r="E529" s="33"/>
      <c r="F529" s="33"/>
      <c r="G529" s="33"/>
      <c r="H529" s="33"/>
      <c r="I529" s="34" t="str">
        <f>COUNTA(E529:H529)&amp;"/4"</f>
        <v>0/4</v>
      </c>
    </row>
    <row r="530" spans="1:9" ht="30" x14ac:dyDescent="0.25">
      <c r="A530" s="30">
        <f>A522</f>
        <v>46433</v>
      </c>
      <c r="B530" s="31" t="s">
        <v>82</v>
      </c>
      <c r="C530" s="31" t="s">
        <v>40</v>
      </c>
      <c r="D530" s="32" t="s">
        <v>41</v>
      </c>
      <c r="E530" s="33"/>
      <c r="F530" s="33"/>
      <c r="G530" s="33"/>
      <c r="H530" s="33"/>
      <c r="I530" s="34" t="str">
        <f t="shared" ref="I530:I542" si="38">COUNTA(E530:G530)&amp;"/3"</f>
        <v>0/3</v>
      </c>
    </row>
    <row r="531" spans="1:9" x14ac:dyDescent="0.25">
      <c r="A531" s="30">
        <f>A522</f>
        <v>46433</v>
      </c>
      <c r="B531" s="31" t="s">
        <v>82</v>
      </c>
      <c r="C531" s="31" t="s">
        <v>42</v>
      </c>
      <c r="D531" s="32" t="s">
        <v>43</v>
      </c>
      <c r="E531" s="33"/>
      <c r="F531" s="33"/>
      <c r="G531" s="33"/>
      <c r="H531" s="33"/>
      <c r="I531" s="34" t="str">
        <f t="shared" si="38"/>
        <v>0/3</v>
      </c>
    </row>
    <row r="532" spans="1:9" x14ac:dyDescent="0.25">
      <c r="A532" s="30">
        <f>A522</f>
        <v>46433</v>
      </c>
      <c r="B532" s="31" t="s">
        <v>82</v>
      </c>
      <c r="C532" s="31" t="s">
        <v>44</v>
      </c>
      <c r="D532" s="32" t="s">
        <v>45</v>
      </c>
      <c r="E532" s="33"/>
      <c r="F532" s="33"/>
      <c r="G532" s="33"/>
      <c r="H532" s="33"/>
      <c r="I532" s="34" t="str">
        <f t="shared" si="38"/>
        <v>0/3</v>
      </c>
    </row>
    <row r="533" spans="1:9" x14ac:dyDescent="0.25">
      <c r="A533" s="30">
        <f>A522</f>
        <v>46433</v>
      </c>
      <c r="B533" s="31" t="s">
        <v>82</v>
      </c>
      <c r="C533" s="31" t="s">
        <v>46</v>
      </c>
      <c r="D533" s="32" t="s">
        <v>47</v>
      </c>
      <c r="E533" s="33"/>
      <c r="F533" s="33"/>
      <c r="G533" s="33"/>
      <c r="H533" s="33"/>
      <c r="I533" s="34" t="str">
        <f t="shared" si="38"/>
        <v>0/3</v>
      </c>
    </row>
    <row r="534" spans="1:9" x14ac:dyDescent="0.25">
      <c r="A534" s="30">
        <f>A522</f>
        <v>46433</v>
      </c>
      <c r="B534" s="31" t="s">
        <v>82</v>
      </c>
      <c r="C534" s="31" t="s">
        <v>48</v>
      </c>
      <c r="D534" s="32" t="s">
        <v>49</v>
      </c>
      <c r="E534" s="33"/>
      <c r="F534" s="33"/>
      <c r="G534" s="33"/>
      <c r="H534" s="33"/>
      <c r="I534" s="34" t="str">
        <f t="shared" si="38"/>
        <v>0/3</v>
      </c>
    </row>
    <row r="535" spans="1:9" x14ac:dyDescent="0.25">
      <c r="A535" s="30">
        <f>A522</f>
        <v>46433</v>
      </c>
      <c r="B535" s="31" t="s">
        <v>82</v>
      </c>
      <c r="C535" s="31" t="s">
        <v>50</v>
      </c>
      <c r="D535" s="32" t="s">
        <v>51</v>
      </c>
      <c r="E535" s="33"/>
      <c r="F535" s="33"/>
      <c r="G535" s="33"/>
      <c r="H535" s="33"/>
      <c r="I535" s="34" t="str">
        <f t="shared" si="38"/>
        <v>0/3</v>
      </c>
    </row>
    <row r="536" spans="1:9" x14ac:dyDescent="0.25">
      <c r="A536" s="30">
        <f>A522+7</f>
        <v>46440</v>
      </c>
      <c r="B536" s="31" t="s">
        <v>81</v>
      </c>
      <c r="C536" s="31" t="s">
        <v>37</v>
      </c>
      <c r="D536" s="32" t="s">
        <v>39</v>
      </c>
      <c r="E536" s="33"/>
      <c r="F536" s="33"/>
      <c r="G536" s="33"/>
      <c r="H536" s="33"/>
      <c r="I536" s="34" t="str">
        <f t="shared" si="38"/>
        <v>0/3</v>
      </c>
    </row>
    <row r="537" spans="1:9" ht="30" x14ac:dyDescent="0.25">
      <c r="A537" s="30">
        <f>A536</f>
        <v>46440</v>
      </c>
      <c r="B537" s="31" t="s">
        <v>81</v>
      </c>
      <c r="C537" s="31" t="s">
        <v>40</v>
      </c>
      <c r="D537" s="32" t="s">
        <v>41</v>
      </c>
      <c r="E537" s="33"/>
      <c r="F537" s="33"/>
      <c r="G537" s="33"/>
      <c r="H537" s="33"/>
      <c r="I537" s="34" t="str">
        <f t="shared" si="38"/>
        <v>0/3</v>
      </c>
    </row>
    <row r="538" spans="1:9" x14ac:dyDescent="0.25">
      <c r="A538" s="30">
        <f>A536</f>
        <v>46440</v>
      </c>
      <c r="B538" s="31" t="s">
        <v>81</v>
      </c>
      <c r="C538" s="31" t="s">
        <v>42</v>
      </c>
      <c r="D538" s="32" t="s">
        <v>43</v>
      </c>
      <c r="E538" s="33"/>
      <c r="F538" s="33"/>
      <c r="G538" s="33"/>
      <c r="H538" s="33"/>
      <c r="I538" s="34" t="str">
        <f t="shared" si="38"/>
        <v>0/3</v>
      </c>
    </row>
    <row r="539" spans="1:9" x14ac:dyDescent="0.25">
      <c r="A539" s="30">
        <f>A536</f>
        <v>46440</v>
      </c>
      <c r="B539" s="31" t="s">
        <v>81</v>
      </c>
      <c r="C539" s="31" t="s">
        <v>44</v>
      </c>
      <c r="D539" s="32" t="s">
        <v>45</v>
      </c>
      <c r="E539" s="33"/>
      <c r="F539" s="33"/>
      <c r="G539" s="33"/>
      <c r="H539" s="33"/>
      <c r="I539" s="34" t="str">
        <f t="shared" si="38"/>
        <v>0/3</v>
      </c>
    </row>
    <row r="540" spans="1:9" x14ac:dyDescent="0.25">
      <c r="A540" s="30">
        <f>A536</f>
        <v>46440</v>
      </c>
      <c r="B540" s="31" t="s">
        <v>81</v>
      </c>
      <c r="C540" s="31" t="s">
        <v>46</v>
      </c>
      <c r="D540" s="32" t="s">
        <v>47</v>
      </c>
      <c r="E540" s="33"/>
      <c r="F540" s="33"/>
      <c r="G540" s="33"/>
      <c r="H540" s="33"/>
      <c r="I540" s="34" t="str">
        <f t="shared" si="38"/>
        <v>0/3</v>
      </c>
    </row>
    <row r="541" spans="1:9" x14ac:dyDescent="0.25">
      <c r="A541" s="30">
        <f>A536</f>
        <v>46440</v>
      </c>
      <c r="B541" s="31" t="s">
        <v>81</v>
      </c>
      <c r="C541" s="31" t="s">
        <v>48</v>
      </c>
      <c r="D541" s="32" t="s">
        <v>49</v>
      </c>
      <c r="E541" s="33"/>
      <c r="F541" s="33"/>
      <c r="G541" s="33"/>
      <c r="H541" s="33"/>
      <c r="I541" s="34" t="str">
        <f t="shared" si="38"/>
        <v>0/3</v>
      </c>
    </row>
    <row r="542" spans="1:9" x14ac:dyDescent="0.25">
      <c r="A542" s="30">
        <f>A536</f>
        <v>46440</v>
      </c>
      <c r="B542" s="31" t="s">
        <v>81</v>
      </c>
      <c r="C542" s="31" t="s">
        <v>50</v>
      </c>
      <c r="D542" s="32" t="s">
        <v>51</v>
      </c>
      <c r="E542" s="33"/>
      <c r="F542" s="33"/>
      <c r="G542" s="33"/>
      <c r="H542" s="33"/>
      <c r="I542" s="34" t="str">
        <f t="shared" si="38"/>
        <v>0/3</v>
      </c>
    </row>
    <row r="543" spans="1:9" x14ac:dyDescent="0.25">
      <c r="A543" s="30">
        <f>A536</f>
        <v>46440</v>
      </c>
      <c r="B543" s="31" t="s">
        <v>82</v>
      </c>
      <c r="C543" s="31" t="s">
        <v>37</v>
      </c>
      <c r="D543" s="32" t="s">
        <v>39</v>
      </c>
      <c r="E543" s="33"/>
      <c r="F543" s="33"/>
      <c r="G543" s="33"/>
      <c r="H543" s="33"/>
      <c r="I543" s="34" t="str">
        <f>COUNTA(E543:H543)&amp;"/4"</f>
        <v>0/4</v>
      </c>
    </row>
    <row r="544" spans="1:9" ht="30" x14ac:dyDescent="0.25">
      <c r="A544" s="30">
        <f>A536</f>
        <v>46440</v>
      </c>
      <c r="B544" s="31" t="s">
        <v>82</v>
      </c>
      <c r="C544" s="31" t="s">
        <v>40</v>
      </c>
      <c r="D544" s="32" t="s">
        <v>41</v>
      </c>
      <c r="E544" s="33"/>
      <c r="F544" s="33"/>
      <c r="G544" s="33"/>
      <c r="H544" s="33"/>
      <c r="I544" s="34" t="str">
        <f t="shared" ref="I544:I556" si="39">COUNTA(E544:G544)&amp;"/3"</f>
        <v>0/3</v>
      </c>
    </row>
    <row r="545" spans="1:9" x14ac:dyDescent="0.25">
      <c r="A545" s="30">
        <f>A536</f>
        <v>46440</v>
      </c>
      <c r="B545" s="31" t="s">
        <v>82</v>
      </c>
      <c r="C545" s="31" t="s">
        <v>42</v>
      </c>
      <c r="D545" s="32" t="s">
        <v>43</v>
      </c>
      <c r="E545" s="33"/>
      <c r="F545" s="33"/>
      <c r="G545" s="33"/>
      <c r="H545" s="33"/>
      <c r="I545" s="34" t="str">
        <f t="shared" si="39"/>
        <v>0/3</v>
      </c>
    </row>
    <row r="546" spans="1:9" x14ac:dyDescent="0.25">
      <c r="A546" s="30">
        <f>A536</f>
        <v>46440</v>
      </c>
      <c r="B546" s="31" t="s">
        <v>82</v>
      </c>
      <c r="C546" s="31" t="s">
        <v>44</v>
      </c>
      <c r="D546" s="32" t="s">
        <v>45</v>
      </c>
      <c r="E546" s="33"/>
      <c r="F546" s="33"/>
      <c r="G546" s="33"/>
      <c r="H546" s="33"/>
      <c r="I546" s="34" t="str">
        <f t="shared" si="39"/>
        <v>0/3</v>
      </c>
    </row>
    <row r="547" spans="1:9" x14ac:dyDescent="0.25">
      <c r="A547" s="30">
        <f>A536</f>
        <v>46440</v>
      </c>
      <c r="B547" s="31" t="s">
        <v>82</v>
      </c>
      <c r="C547" s="31" t="s">
        <v>46</v>
      </c>
      <c r="D547" s="32" t="s">
        <v>47</v>
      </c>
      <c r="E547" s="33"/>
      <c r="F547" s="33"/>
      <c r="G547" s="33"/>
      <c r="H547" s="33"/>
      <c r="I547" s="34" t="str">
        <f t="shared" si="39"/>
        <v>0/3</v>
      </c>
    </row>
    <row r="548" spans="1:9" x14ac:dyDescent="0.25">
      <c r="A548" s="30">
        <f>A536</f>
        <v>46440</v>
      </c>
      <c r="B548" s="31" t="s">
        <v>82</v>
      </c>
      <c r="C548" s="31" t="s">
        <v>48</v>
      </c>
      <c r="D548" s="32" t="s">
        <v>49</v>
      </c>
      <c r="E548" s="33"/>
      <c r="F548" s="33"/>
      <c r="G548" s="33"/>
      <c r="H548" s="33"/>
      <c r="I548" s="34" t="str">
        <f t="shared" si="39"/>
        <v>0/3</v>
      </c>
    </row>
    <row r="549" spans="1:9" x14ac:dyDescent="0.25">
      <c r="A549" s="30">
        <f>A536</f>
        <v>46440</v>
      </c>
      <c r="B549" s="31" t="s">
        <v>82</v>
      </c>
      <c r="C549" s="31" t="s">
        <v>50</v>
      </c>
      <c r="D549" s="32" t="s">
        <v>51</v>
      </c>
      <c r="E549" s="33"/>
      <c r="F549" s="33"/>
      <c r="G549" s="33"/>
      <c r="H549" s="33"/>
      <c r="I549" s="34" t="str">
        <f t="shared" si="39"/>
        <v>0/3</v>
      </c>
    </row>
    <row r="550" spans="1:9" x14ac:dyDescent="0.25">
      <c r="A550" s="30">
        <f>A536+7</f>
        <v>46447</v>
      </c>
      <c r="B550" s="31" t="s">
        <v>81</v>
      </c>
      <c r="C550" s="31" t="s">
        <v>37</v>
      </c>
      <c r="D550" s="32" t="s">
        <v>39</v>
      </c>
      <c r="E550" s="33"/>
      <c r="F550" s="33"/>
      <c r="G550" s="33"/>
      <c r="H550" s="33"/>
      <c r="I550" s="34" t="str">
        <f t="shared" si="39"/>
        <v>0/3</v>
      </c>
    </row>
    <row r="551" spans="1:9" ht="30" x14ac:dyDescent="0.25">
      <c r="A551" s="30">
        <f>A550</f>
        <v>46447</v>
      </c>
      <c r="B551" s="31" t="s">
        <v>81</v>
      </c>
      <c r="C551" s="31" t="s">
        <v>40</v>
      </c>
      <c r="D551" s="32" t="s">
        <v>41</v>
      </c>
      <c r="E551" s="33"/>
      <c r="F551" s="33"/>
      <c r="G551" s="33"/>
      <c r="H551" s="33"/>
      <c r="I551" s="34" t="str">
        <f t="shared" si="39"/>
        <v>0/3</v>
      </c>
    </row>
    <row r="552" spans="1:9" x14ac:dyDescent="0.25">
      <c r="A552" s="30">
        <f>A550</f>
        <v>46447</v>
      </c>
      <c r="B552" s="31" t="s">
        <v>81</v>
      </c>
      <c r="C552" s="31" t="s">
        <v>42</v>
      </c>
      <c r="D552" s="32" t="s">
        <v>43</v>
      </c>
      <c r="E552" s="33"/>
      <c r="F552" s="33"/>
      <c r="G552" s="33"/>
      <c r="H552" s="33"/>
      <c r="I552" s="34" t="str">
        <f t="shared" si="39"/>
        <v>0/3</v>
      </c>
    </row>
    <row r="553" spans="1:9" x14ac:dyDescent="0.25">
      <c r="A553" s="30">
        <f>A550</f>
        <v>46447</v>
      </c>
      <c r="B553" s="31" t="s">
        <v>81</v>
      </c>
      <c r="C553" s="31" t="s">
        <v>44</v>
      </c>
      <c r="D553" s="32" t="s">
        <v>45</v>
      </c>
      <c r="E553" s="33"/>
      <c r="F553" s="33"/>
      <c r="G553" s="33"/>
      <c r="H553" s="33"/>
      <c r="I553" s="34" t="str">
        <f t="shared" si="39"/>
        <v>0/3</v>
      </c>
    </row>
    <row r="554" spans="1:9" x14ac:dyDescent="0.25">
      <c r="A554" s="30">
        <f>A550</f>
        <v>46447</v>
      </c>
      <c r="B554" s="31" t="s">
        <v>81</v>
      </c>
      <c r="C554" s="31" t="s">
        <v>46</v>
      </c>
      <c r="D554" s="32" t="s">
        <v>47</v>
      </c>
      <c r="E554" s="33"/>
      <c r="F554" s="33"/>
      <c r="G554" s="33"/>
      <c r="H554" s="33"/>
      <c r="I554" s="34" t="str">
        <f t="shared" si="39"/>
        <v>0/3</v>
      </c>
    </row>
    <row r="555" spans="1:9" x14ac:dyDescent="0.25">
      <c r="A555" s="30">
        <f>A550</f>
        <v>46447</v>
      </c>
      <c r="B555" s="31" t="s">
        <v>81</v>
      </c>
      <c r="C555" s="31" t="s">
        <v>48</v>
      </c>
      <c r="D555" s="32" t="s">
        <v>49</v>
      </c>
      <c r="E555" s="33"/>
      <c r="F555" s="33"/>
      <c r="G555" s="33"/>
      <c r="H555" s="33"/>
      <c r="I555" s="34" t="str">
        <f t="shared" si="39"/>
        <v>0/3</v>
      </c>
    </row>
    <row r="556" spans="1:9" x14ac:dyDescent="0.25">
      <c r="A556" s="30">
        <f>A550</f>
        <v>46447</v>
      </c>
      <c r="B556" s="31" t="s">
        <v>81</v>
      </c>
      <c r="C556" s="31" t="s">
        <v>50</v>
      </c>
      <c r="D556" s="32" t="s">
        <v>51</v>
      </c>
      <c r="E556" s="33"/>
      <c r="F556" s="33"/>
      <c r="G556" s="33"/>
      <c r="H556" s="33"/>
      <c r="I556" s="34" t="str">
        <f t="shared" si="39"/>
        <v>0/3</v>
      </c>
    </row>
    <row r="557" spans="1:9" x14ac:dyDescent="0.25">
      <c r="A557" s="30">
        <f>A550</f>
        <v>46447</v>
      </c>
      <c r="B557" s="31" t="s">
        <v>82</v>
      </c>
      <c r="C557" s="31" t="s">
        <v>37</v>
      </c>
      <c r="D557" s="32" t="s">
        <v>39</v>
      </c>
      <c r="E557" s="33"/>
      <c r="F557" s="33"/>
      <c r="G557" s="33"/>
      <c r="H557" s="33"/>
      <c r="I557" s="34" t="str">
        <f>COUNTA(E557:H557)&amp;"/4"</f>
        <v>0/4</v>
      </c>
    </row>
    <row r="558" spans="1:9" ht="30" x14ac:dyDescent="0.25">
      <c r="A558" s="30">
        <f>A550</f>
        <v>46447</v>
      </c>
      <c r="B558" s="31" t="s">
        <v>82</v>
      </c>
      <c r="C558" s="31" t="s">
        <v>40</v>
      </c>
      <c r="D558" s="32" t="s">
        <v>41</v>
      </c>
      <c r="E558" s="33"/>
      <c r="F558" s="33"/>
      <c r="G558" s="33"/>
      <c r="H558" s="33"/>
      <c r="I558" s="34" t="str">
        <f t="shared" ref="I558:I570" si="40">COUNTA(E558:G558)&amp;"/3"</f>
        <v>0/3</v>
      </c>
    </row>
    <row r="559" spans="1:9" x14ac:dyDescent="0.25">
      <c r="A559" s="30">
        <f>A550</f>
        <v>46447</v>
      </c>
      <c r="B559" s="31" t="s">
        <v>82</v>
      </c>
      <c r="C559" s="31" t="s">
        <v>42</v>
      </c>
      <c r="D559" s="32" t="s">
        <v>43</v>
      </c>
      <c r="E559" s="33"/>
      <c r="F559" s="33"/>
      <c r="G559" s="33"/>
      <c r="H559" s="33"/>
      <c r="I559" s="34" t="str">
        <f t="shared" si="40"/>
        <v>0/3</v>
      </c>
    </row>
    <row r="560" spans="1:9" x14ac:dyDescent="0.25">
      <c r="A560" s="30">
        <f>A550</f>
        <v>46447</v>
      </c>
      <c r="B560" s="31" t="s">
        <v>82</v>
      </c>
      <c r="C560" s="31" t="s">
        <v>44</v>
      </c>
      <c r="D560" s="32" t="s">
        <v>45</v>
      </c>
      <c r="E560" s="33"/>
      <c r="F560" s="33"/>
      <c r="G560" s="33"/>
      <c r="H560" s="33"/>
      <c r="I560" s="34" t="str">
        <f t="shared" si="40"/>
        <v>0/3</v>
      </c>
    </row>
    <row r="561" spans="1:9" x14ac:dyDescent="0.25">
      <c r="A561" s="30">
        <f>A550</f>
        <v>46447</v>
      </c>
      <c r="B561" s="31" t="s">
        <v>82</v>
      </c>
      <c r="C561" s="31" t="s">
        <v>46</v>
      </c>
      <c r="D561" s="32" t="s">
        <v>47</v>
      </c>
      <c r="E561" s="33"/>
      <c r="F561" s="33"/>
      <c r="G561" s="33"/>
      <c r="H561" s="33"/>
      <c r="I561" s="34" t="str">
        <f t="shared" si="40"/>
        <v>0/3</v>
      </c>
    </row>
    <row r="562" spans="1:9" x14ac:dyDescent="0.25">
      <c r="A562" s="30">
        <f>A550</f>
        <v>46447</v>
      </c>
      <c r="B562" s="31" t="s">
        <v>82</v>
      </c>
      <c r="C562" s="31" t="s">
        <v>48</v>
      </c>
      <c r="D562" s="32" t="s">
        <v>49</v>
      </c>
      <c r="E562" s="33"/>
      <c r="F562" s="33"/>
      <c r="G562" s="33"/>
      <c r="H562" s="33"/>
      <c r="I562" s="34" t="str">
        <f t="shared" si="40"/>
        <v>0/3</v>
      </c>
    </row>
    <row r="563" spans="1:9" x14ac:dyDescent="0.25">
      <c r="A563" s="30">
        <f>A550</f>
        <v>46447</v>
      </c>
      <c r="B563" s="31" t="s">
        <v>82</v>
      </c>
      <c r="C563" s="31" t="s">
        <v>50</v>
      </c>
      <c r="D563" s="32" t="s">
        <v>51</v>
      </c>
      <c r="E563" s="33"/>
      <c r="F563" s="33"/>
      <c r="G563" s="33"/>
      <c r="H563" s="33"/>
      <c r="I563" s="34" t="str">
        <f t="shared" si="40"/>
        <v>0/3</v>
      </c>
    </row>
    <row r="564" spans="1:9" x14ac:dyDescent="0.25">
      <c r="A564" s="30">
        <f>A550+7</f>
        <v>46454</v>
      </c>
      <c r="B564" s="31" t="s">
        <v>81</v>
      </c>
      <c r="C564" s="31" t="s">
        <v>37</v>
      </c>
      <c r="D564" s="32" t="s">
        <v>39</v>
      </c>
      <c r="E564" s="33"/>
      <c r="F564" s="33"/>
      <c r="G564" s="33"/>
      <c r="H564" s="33"/>
      <c r="I564" s="34" t="str">
        <f t="shared" si="40"/>
        <v>0/3</v>
      </c>
    </row>
    <row r="565" spans="1:9" ht="30" x14ac:dyDescent="0.25">
      <c r="A565" s="30">
        <f>A564</f>
        <v>46454</v>
      </c>
      <c r="B565" s="31" t="s">
        <v>81</v>
      </c>
      <c r="C565" s="31" t="s">
        <v>40</v>
      </c>
      <c r="D565" s="32" t="s">
        <v>41</v>
      </c>
      <c r="E565" s="33"/>
      <c r="F565" s="33"/>
      <c r="G565" s="33"/>
      <c r="H565" s="33"/>
      <c r="I565" s="34" t="str">
        <f t="shared" si="40"/>
        <v>0/3</v>
      </c>
    </row>
    <row r="566" spans="1:9" x14ac:dyDescent="0.25">
      <c r="A566" s="30">
        <f>A564</f>
        <v>46454</v>
      </c>
      <c r="B566" s="31" t="s">
        <v>81</v>
      </c>
      <c r="C566" s="31" t="s">
        <v>42</v>
      </c>
      <c r="D566" s="32" t="s">
        <v>43</v>
      </c>
      <c r="E566" s="33"/>
      <c r="F566" s="33"/>
      <c r="G566" s="33"/>
      <c r="H566" s="33"/>
      <c r="I566" s="34" t="str">
        <f t="shared" si="40"/>
        <v>0/3</v>
      </c>
    </row>
    <row r="567" spans="1:9" x14ac:dyDescent="0.25">
      <c r="A567" s="30">
        <f>A564</f>
        <v>46454</v>
      </c>
      <c r="B567" s="31" t="s">
        <v>81</v>
      </c>
      <c r="C567" s="31" t="s">
        <v>44</v>
      </c>
      <c r="D567" s="32" t="s">
        <v>45</v>
      </c>
      <c r="E567" s="33"/>
      <c r="F567" s="33"/>
      <c r="G567" s="33"/>
      <c r="H567" s="33"/>
      <c r="I567" s="34" t="str">
        <f t="shared" si="40"/>
        <v>0/3</v>
      </c>
    </row>
    <row r="568" spans="1:9" x14ac:dyDescent="0.25">
      <c r="A568" s="30">
        <f>A564</f>
        <v>46454</v>
      </c>
      <c r="B568" s="31" t="s">
        <v>81</v>
      </c>
      <c r="C568" s="31" t="s">
        <v>46</v>
      </c>
      <c r="D568" s="32" t="s">
        <v>47</v>
      </c>
      <c r="E568" s="33"/>
      <c r="F568" s="33"/>
      <c r="G568" s="33"/>
      <c r="H568" s="33"/>
      <c r="I568" s="34" t="str">
        <f t="shared" si="40"/>
        <v>0/3</v>
      </c>
    </row>
    <row r="569" spans="1:9" x14ac:dyDescent="0.25">
      <c r="A569" s="30">
        <f>A564</f>
        <v>46454</v>
      </c>
      <c r="B569" s="31" t="s">
        <v>81</v>
      </c>
      <c r="C569" s="31" t="s">
        <v>48</v>
      </c>
      <c r="D569" s="32" t="s">
        <v>49</v>
      </c>
      <c r="E569" s="33"/>
      <c r="F569" s="33"/>
      <c r="G569" s="33"/>
      <c r="H569" s="33"/>
      <c r="I569" s="34" t="str">
        <f t="shared" si="40"/>
        <v>0/3</v>
      </c>
    </row>
    <row r="570" spans="1:9" x14ac:dyDescent="0.25">
      <c r="A570" s="30">
        <f>A564</f>
        <v>46454</v>
      </c>
      <c r="B570" s="31" t="s">
        <v>81</v>
      </c>
      <c r="C570" s="31" t="s">
        <v>50</v>
      </c>
      <c r="D570" s="32" t="s">
        <v>51</v>
      </c>
      <c r="E570" s="33"/>
      <c r="F570" s="33"/>
      <c r="G570" s="33"/>
      <c r="H570" s="33"/>
      <c r="I570" s="34" t="str">
        <f t="shared" si="40"/>
        <v>0/3</v>
      </c>
    </row>
    <row r="571" spans="1:9" x14ac:dyDescent="0.25">
      <c r="A571" s="30">
        <f>A564</f>
        <v>46454</v>
      </c>
      <c r="B571" s="31" t="s">
        <v>82</v>
      </c>
      <c r="C571" s="31" t="s">
        <v>37</v>
      </c>
      <c r="D571" s="32" t="s">
        <v>39</v>
      </c>
      <c r="E571" s="33"/>
      <c r="F571" s="33"/>
      <c r="G571" s="33"/>
      <c r="H571" s="33"/>
      <c r="I571" s="34" t="str">
        <f>COUNTA(E571:H571)&amp;"/4"</f>
        <v>0/4</v>
      </c>
    </row>
    <row r="572" spans="1:9" ht="30" x14ac:dyDescent="0.25">
      <c r="A572" s="30">
        <f>A564</f>
        <v>46454</v>
      </c>
      <c r="B572" s="31" t="s">
        <v>82</v>
      </c>
      <c r="C572" s="31" t="s">
        <v>40</v>
      </c>
      <c r="D572" s="32" t="s">
        <v>41</v>
      </c>
      <c r="E572" s="33"/>
      <c r="F572" s="33"/>
      <c r="G572" s="33"/>
      <c r="H572" s="33"/>
      <c r="I572" s="34" t="str">
        <f t="shared" ref="I572:I584" si="41">COUNTA(E572:G572)&amp;"/3"</f>
        <v>0/3</v>
      </c>
    </row>
    <row r="573" spans="1:9" x14ac:dyDescent="0.25">
      <c r="A573" s="30">
        <f>A564</f>
        <v>46454</v>
      </c>
      <c r="B573" s="31" t="s">
        <v>82</v>
      </c>
      <c r="C573" s="31" t="s">
        <v>42</v>
      </c>
      <c r="D573" s="32" t="s">
        <v>43</v>
      </c>
      <c r="E573" s="33"/>
      <c r="F573" s="33"/>
      <c r="G573" s="33"/>
      <c r="H573" s="33"/>
      <c r="I573" s="34" t="str">
        <f t="shared" si="41"/>
        <v>0/3</v>
      </c>
    </row>
    <row r="574" spans="1:9" x14ac:dyDescent="0.25">
      <c r="A574" s="30">
        <f>A564</f>
        <v>46454</v>
      </c>
      <c r="B574" s="31" t="s">
        <v>82</v>
      </c>
      <c r="C574" s="31" t="s">
        <v>44</v>
      </c>
      <c r="D574" s="32" t="s">
        <v>45</v>
      </c>
      <c r="E574" s="33"/>
      <c r="F574" s="33"/>
      <c r="G574" s="33"/>
      <c r="H574" s="33"/>
      <c r="I574" s="34" t="str">
        <f t="shared" si="41"/>
        <v>0/3</v>
      </c>
    </row>
    <row r="575" spans="1:9" x14ac:dyDescent="0.25">
      <c r="A575" s="30">
        <f>A564</f>
        <v>46454</v>
      </c>
      <c r="B575" s="31" t="s">
        <v>82</v>
      </c>
      <c r="C575" s="31" t="s">
        <v>46</v>
      </c>
      <c r="D575" s="32" t="s">
        <v>47</v>
      </c>
      <c r="E575" s="33"/>
      <c r="F575" s="33"/>
      <c r="G575" s="33"/>
      <c r="H575" s="33"/>
      <c r="I575" s="34" t="str">
        <f t="shared" si="41"/>
        <v>0/3</v>
      </c>
    </row>
    <row r="576" spans="1:9" x14ac:dyDescent="0.25">
      <c r="A576" s="30">
        <f>A564</f>
        <v>46454</v>
      </c>
      <c r="B576" s="31" t="s">
        <v>82</v>
      </c>
      <c r="C576" s="31" t="s">
        <v>48</v>
      </c>
      <c r="D576" s="32" t="s">
        <v>49</v>
      </c>
      <c r="E576" s="33"/>
      <c r="F576" s="33"/>
      <c r="G576" s="33"/>
      <c r="H576" s="33"/>
      <c r="I576" s="34" t="str">
        <f t="shared" si="41"/>
        <v>0/3</v>
      </c>
    </row>
    <row r="577" spans="1:9" x14ac:dyDescent="0.25">
      <c r="A577" s="30">
        <f>A564</f>
        <v>46454</v>
      </c>
      <c r="B577" s="31" t="s">
        <v>82</v>
      </c>
      <c r="C577" s="31" t="s">
        <v>50</v>
      </c>
      <c r="D577" s="32" t="s">
        <v>51</v>
      </c>
      <c r="E577" s="33"/>
      <c r="F577" s="33"/>
      <c r="G577" s="33"/>
      <c r="H577" s="33"/>
      <c r="I577" s="34" t="str">
        <f t="shared" si="41"/>
        <v>0/3</v>
      </c>
    </row>
    <row r="578" spans="1:9" x14ac:dyDescent="0.25">
      <c r="A578" s="30">
        <f>A564+7</f>
        <v>46461</v>
      </c>
      <c r="B578" s="31" t="s">
        <v>81</v>
      </c>
      <c r="C578" s="31" t="s">
        <v>37</v>
      </c>
      <c r="D578" s="32" t="s">
        <v>39</v>
      </c>
      <c r="E578" s="33"/>
      <c r="F578" s="33"/>
      <c r="G578" s="33"/>
      <c r="H578" s="33"/>
      <c r="I578" s="34" t="str">
        <f t="shared" si="41"/>
        <v>0/3</v>
      </c>
    </row>
    <row r="579" spans="1:9" ht="30" x14ac:dyDescent="0.25">
      <c r="A579" s="30">
        <f>A578</f>
        <v>46461</v>
      </c>
      <c r="B579" s="31" t="s">
        <v>81</v>
      </c>
      <c r="C579" s="31" t="s">
        <v>40</v>
      </c>
      <c r="D579" s="32" t="s">
        <v>41</v>
      </c>
      <c r="E579" s="33"/>
      <c r="F579" s="33"/>
      <c r="G579" s="33"/>
      <c r="H579" s="33"/>
      <c r="I579" s="34" t="str">
        <f t="shared" si="41"/>
        <v>0/3</v>
      </c>
    </row>
    <row r="580" spans="1:9" x14ac:dyDescent="0.25">
      <c r="A580" s="30">
        <f>A578</f>
        <v>46461</v>
      </c>
      <c r="B580" s="31" t="s">
        <v>81</v>
      </c>
      <c r="C580" s="31" t="s">
        <v>42</v>
      </c>
      <c r="D580" s="32" t="s">
        <v>43</v>
      </c>
      <c r="E580" s="33"/>
      <c r="F580" s="33"/>
      <c r="G580" s="33"/>
      <c r="H580" s="33"/>
      <c r="I580" s="34" t="str">
        <f t="shared" si="41"/>
        <v>0/3</v>
      </c>
    </row>
    <row r="581" spans="1:9" x14ac:dyDescent="0.25">
      <c r="A581" s="30">
        <f>A578</f>
        <v>46461</v>
      </c>
      <c r="B581" s="31" t="s">
        <v>81</v>
      </c>
      <c r="C581" s="31" t="s">
        <v>44</v>
      </c>
      <c r="D581" s="32" t="s">
        <v>45</v>
      </c>
      <c r="E581" s="33"/>
      <c r="F581" s="33"/>
      <c r="G581" s="33"/>
      <c r="H581" s="33"/>
      <c r="I581" s="34" t="str">
        <f t="shared" si="41"/>
        <v>0/3</v>
      </c>
    </row>
    <row r="582" spans="1:9" x14ac:dyDescent="0.25">
      <c r="A582" s="30">
        <f>A578</f>
        <v>46461</v>
      </c>
      <c r="B582" s="31" t="s">
        <v>81</v>
      </c>
      <c r="C582" s="31" t="s">
        <v>46</v>
      </c>
      <c r="D582" s="32" t="s">
        <v>47</v>
      </c>
      <c r="E582" s="33"/>
      <c r="F582" s="33"/>
      <c r="G582" s="33"/>
      <c r="H582" s="33"/>
      <c r="I582" s="34" t="str">
        <f t="shared" si="41"/>
        <v>0/3</v>
      </c>
    </row>
    <row r="583" spans="1:9" x14ac:dyDescent="0.25">
      <c r="A583" s="30">
        <f>A578</f>
        <v>46461</v>
      </c>
      <c r="B583" s="31" t="s">
        <v>81</v>
      </c>
      <c r="C583" s="31" t="s">
        <v>48</v>
      </c>
      <c r="D583" s="32" t="s">
        <v>49</v>
      </c>
      <c r="E583" s="33"/>
      <c r="F583" s="33"/>
      <c r="G583" s="33"/>
      <c r="H583" s="33"/>
      <c r="I583" s="34" t="str">
        <f t="shared" si="41"/>
        <v>0/3</v>
      </c>
    </row>
    <row r="584" spans="1:9" x14ac:dyDescent="0.25">
      <c r="A584" s="30">
        <f>A578</f>
        <v>46461</v>
      </c>
      <c r="B584" s="31" t="s">
        <v>81</v>
      </c>
      <c r="C584" s="31" t="s">
        <v>50</v>
      </c>
      <c r="D584" s="32" t="s">
        <v>51</v>
      </c>
      <c r="E584" s="33"/>
      <c r="F584" s="33"/>
      <c r="G584" s="33"/>
      <c r="H584" s="33"/>
      <c r="I584" s="34" t="str">
        <f t="shared" si="41"/>
        <v>0/3</v>
      </c>
    </row>
    <row r="585" spans="1:9" x14ac:dyDescent="0.25">
      <c r="A585" s="30">
        <f>A578</f>
        <v>46461</v>
      </c>
      <c r="B585" s="31" t="s">
        <v>82</v>
      </c>
      <c r="C585" s="31" t="s">
        <v>37</v>
      </c>
      <c r="D585" s="32" t="s">
        <v>39</v>
      </c>
      <c r="E585" s="33"/>
      <c r="F585" s="33"/>
      <c r="G585" s="33"/>
      <c r="H585" s="33"/>
      <c r="I585" s="34" t="str">
        <f>COUNTA(E585:H585)&amp;"/4"</f>
        <v>0/4</v>
      </c>
    </row>
    <row r="586" spans="1:9" ht="30" x14ac:dyDescent="0.25">
      <c r="A586" s="30">
        <f>A578</f>
        <v>46461</v>
      </c>
      <c r="B586" s="31" t="s">
        <v>82</v>
      </c>
      <c r="C586" s="31" t="s">
        <v>40</v>
      </c>
      <c r="D586" s="32" t="s">
        <v>41</v>
      </c>
      <c r="E586" s="33"/>
      <c r="F586" s="33"/>
      <c r="G586" s="33"/>
      <c r="H586" s="33"/>
      <c r="I586" s="34" t="str">
        <f t="shared" ref="I586:I598" si="42">COUNTA(E586:G586)&amp;"/3"</f>
        <v>0/3</v>
      </c>
    </row>
    <row r="587" spans="1:9" x14ac:dyDescent="0.25">
      <c r="A587" s="30">
        <f>A578</f>
        <v>46461</v>
      </c>
      <c r="B587" s="31" t="s">
        <v>82</v>
      </c>
      <c r="C587" s="31" t="s">
        <v>42</v>
      </c>
      <c r="D587" s="32" t="s">
        <v>43</v>
      </c>
      <c r="E587" s="33"/>
      <c r="F587" s="33"/>
      <c r="G587" s="33"/>
      <c r="H587" s="33"/>
      <c r="I587" s="34" t="str">
        <f t="shared" si="42"/>
        <v>0/3</v>
      </c>
    </row>
    <row r="588" spans="1:9" x14ac:dyDescent="0.25">
      <c r="A588" s="30">
        <f>A578</f>
        <v>46461</v>
      </c>
      <c r="B588" s="31" t="s">
        <v>82</v>
      </c>
      <c r="C588" s="31" t="s">
        <v>44</v>
      </c>
      <c r="D588" s="32" t="s">
        <v>45</v>
      </c>
      <c r="E588" s="33"/>
      <c r="F588" s="33"/>
      <c r="G588" s="33"/>
      <c r="H588" s="33"/>
      <c r="I588" s="34" t="str">
        <f t="shared" si="42"/>
        <v>0/3</v>
      </c>
    </row>
    <row r="589" spans="1:9" x14ac:dyDescent="0.25">
      <c r="A589" s="30">
        <f>A578</f>
        <v>46461</v>
      </c>
      <c r="B589" s="31" t="s">
        <v>82</v>
      </c>
      <c r="C589" s="31" t="s">
        <v>46</v>
      </c>
      <c r="D589" s="32" t="s">
        <v>47</v>
      </c>
      <c r="E589" s="33"/>
      <c r="F589" s="33"/>
      <c r="G589" s="33"/>
      <c r="H589" s="33"/>
      <c r="I589" s="34" t="str">
        <f t="shared" si="42"/>
        <v>0/3</v>
      </c>
    </row>
    <row r="590" spans="1:9" x14ac:dyDescent="0.25">
      <c r="A590" s="30">
        <f>A578</f>
        <v>46461</v>
      </c>
      <c r="B590" s="31" t="s">
        <v>82</v>
      </c>
      <c r="C590" s="31" t="s">
        <v>48</v>
      </c>
      <c r="D590" s="32" t="s">
        <v>49</v>
      </c>
      <c r="E590" s="33"/>
      <c r="F590" s="33"/>
      <c r="G590" s="33"/>
      <c r="H590" s="33"/>
      <c r="I590" s="34" t="str">
        <f t="shared" si="42"/>
        <v>0/3</v>
      </c>
    </row>
    <row r="591" spans="1:9" x14ac:dyDescent="0.25">
      <c r="A591" s="30">
        <f>A578</f>
        <v>46461</v>
      </c>
      <c r="B591" s="31" t="s">
        <v>82</v>
      </c>
      <c r="C591" s="31" t="s">
        <v>50</v>
      </c>
      <c r="D591" s="32" t="s">
        <v>51</v>
      </c>
      <c r="E591" s="33"/>
      <c r="F591" s="33"/>
      <c r="G591" s="33"/>
      <c r="H591" s="33"/>
      <c r="I591" s="34" t="str">
        <f t="shared" si="42"/>
        <v>0/3</v>
      </c>
    </row>
    <row r="592" spans="1:9" x14ac:dyDescent="0.25">
      <c r="A592" s="30">
        <f>A578+7</f>
        <v>46468</v>
      </c>
      <c r="B592" s="31" t="s">
        <v>81</v>
      </c>
      <c r="C592" s="31" t="s">
        <v>37</v>
      </c>
      <c r="D592" s="32" t="s">
        <v>39</v>
      </c>
      <c r="E592" s="33"/>
      <c r="F592" s="33"/>
      <c r="G592" s="33"/>
      <c r="H592" s="33"/>
      <c r="I592" s="34" t="str">
        <f t="shared" si="42"/>
        <v>0/3</v>
      </c>
    </row>
    <row r="593" spans="1:9" ht="30" x14ac:dyDescent="0.25">
      <c r="A593" s="30">
        <f>A592</f>
        <v>46468</v>
      </c>
      <c r="B593" s="31" t="s">
        <v>81</v>
      </c>
      <c r="C593" s="31" t="s">
        <v>40</v>
      </c>
      <c r="D593" s="32" t="s">
        <v>41</v>
      </c>
      <c r="E593" s="33"/>
      <c r="F593" s="33"/>
      <c r="G593" s="33"/>
      <c r="H593" s="33"/>
      <c r="I593" s="34" t="str">
        <f t="shared" si="42"/>
        <v>0/3</v>
      </c>
    </row>
    <row r="594" spans="1:9" x14ac:dyDescent="0.25">
      <c r="A594" s="30">
        <f>A592</f>
        <v>46468</v>
      </c>
      <c r="B594" s="31" t="s">
        <v>81</v>
      </c>
      <c r="C594" s="31" t="s">
        <v>42</v>
      </c>
      <c r="D594" s="32" t="s">
        <v>43</v>
      </c>
      <c r="E594" s="33"/>
      <c r="F594" s="33"/>
      <c r="G594" s="33"/>
      <c r="H594" s="33"/>
      <c r="I594" s="34" t="str">
        <f t="shared" si="42"/>
        <v>0/3</v>
      </c>
    </row>
    <row r="595" spans="1:9" x14ac:dyDescent="0.25">
      <c r="A595" s="30">
        <f>A592</f>
        <v>46468</v>
      </c>
      <c r="B595" s="31" t="s">
        <v>81</v>
      </c>
      <c r="C595" s="31" t="s">
        <v>44</v>
      </c>
      <c r="D595" s="32" t="s">
        <v>45</v>
      </c>
      <c r="E595" s="33"/>
      <c r="F595" s="33"/>
      <c r="G595" s="33"/>
      <c r="H595" s="33"/>
      <c r="I595" s="34" t="str">
        <f t="shared" si="42"/>
        <v>0/3</v>
      </c>
    </row>
    <row r="596" spans="1:9" x14ac:dyDescent="0.25">
      <c r="A596" s="30">
        <f>A592</f>
        <v>46468</v>
      </c>
      <c r="B596" s="31" t="s">
        <v>81</v>
      </c>
      <c r="C596" s="31" t="s">
        <v>46</v>
      </c>
      <c r="D596" s="32" t="s">
        <v>47</v>
      </c>
      <c r="E596" s="33"/>
      <c r="F596" s="33"/>
      <c r="G596" s="33"/>
      <c r="H596" s="33"/>
      <c r="I596" s="34" t="str">
        <f t="shared" si="42"/>
        <v>0/3</v>
      </c>
    </row>
    <row r="597" spans="1:9" x14ac:dyDescent="0.25">
      <c r="A597" s="30">
        <f>A592</f>
        <v>46468</v>
      </c>
      <c r="B597" s="31" t="s">
        <v>81</v>
      </c>
      <c r="C597" s="31" t="s">
        <v>48</v>
      </c>
      <c r="D597" s="32" t="s">
        <v>49</v>
      </c>
      <c r="E597" s="33"/>
      <c r="F597" s="33"/>
      <c r="G597" s="33"/>
      <c r="H597" s="33"/>
      <c r="I597" s="34" t="str">
        <f t="shared" si="42"/>
        <v>0/3</v>
      </c>
    </row>
    <row r="598" spans="1:9" x14ac:dyDescent="0.25">
      <c r="A598" s="30">
        <f>A592</f>
        <v>46468</v>
      </c>
      <c r="B598" s="31" t="s">
        <v>81</v>
      </c>
      <c r="C598" s="31" t="s">
        <v>50</v>
      </c>
      <c r="D598" s="32" t="s">
        <v>51</v>
      </c>
      <c r="E598" s="33"/>
      <c r="F598" s="33"/>
      <c r="G598" s="33"/>
      <c r="H598" s="33"/>
      <c r="I598" s="34" t="str">
        <f t="shared" si="42"/>
        <v>0/3</v>
      </c>
    </row>
    <row r="599" spans="1:9" x14ac:dyDescent="0.25">
      <c r="A599" s="30">
        <f>A592</f>
        <v>46468</v>
      </c>
      <c r="B599" s="31" t="s">
        <v>82</v>
      </c>
      <c r="C599" s="31" t="s">
        <v>37</v>
      </c>
      <c r="D599" s="32" t="s">
        <v>39</v>
      </c>
      <c r="E599" s="33"/>
      <c r="F599" s="33"/>
      <c r="G599" s="33"/>
      <c r="H599" s="33"/>
      <c r="I599" s="34" t="str">
        <f>COUNTA(E599:H599)&amp;"/4"</f>
        <v>0/4</v>
      </c>
    </row>
    <row r="600" spans="1:9" ht="30" x14ac:dyDescent="0.25">
      <c r="A600" s="30">
        <f>A592</f>
        <v>46468</v>
      </c>
      <c r="B600" s="31" t="s">
        <v>82</v>
      </c>
      <c r="C600" s="31" t="s">
        <v>40</v>
      </c>
      <c r="D600" s="32" t="s">
        <v>41</v>
      </c>
      <c r="E600" s="33"/>
      <c r="F600" s="33"/>
      <c r="G600" s="33"/>
      <c r="H600" s="33"/>
      <c r="I600" s="34" t="str">
        <f t="shared" ref="I600:I612" si="43">COUNTA(E600:G600)&amp;"/3"</f>
        <v>0/3</v>
      </c>
    </row>
    <row r="601" spans="1:9" x14ac:dyDescent="0.25">
      <c r="A601" s="30">
        <f>A592</f>
        <v>46468</v>
      </c>
      <c r="B601" s="31" t="s">
        <v>82</v>
      </c>
      <c r="C601" s="31" t="s">
        <v>42</v>
      </c>
      <c r="D601" s="32" t="s">
        <v>43</v>
      </c>
      <c r="E601" s="33"/>
      <c r="F601" s="33"/>
      <c r="G601" s="33"/>
      <c r="H601" s="33"/>
      <c r="I601" s="34" t="str">
        <f t="shared" si="43"/>
        <v>0/3</v>
      </c>
    </row>
    <row r="602" spans="1:9" x14ac:dyDescent="0.25">
      <c r="A602" s="30">
        <f>A592</f>
        <v>46468</v>
      </c>
      <c r="B602" s="31" t="s">
        <v>82</v>
      </c>
      <c r="C602" s="31" t="s">
        <v>44</v>
      </c>
      <c r="D602" s="32" t="s">
        <v>45</v>
      </c>
      <c r="E602" s="33"/>
      <c r="F602" s="33"/>
      <c r="G602" s="33"/>
      <c r="H602" s="33"/>
      <c r="I602" s="34" t="str">
        <f t="shared" si="43"/>
        <v>0/3</v>
      </c>
    </row>
    <row r="603" spans="1:9" x14ac:dyDescent="0.25">
      <c r="A603" s="30">
        <f>A592</f>
        <v>46468</v>
      </c>
      <c r="B603" s="31" t="s">
        <v>82</v>
      </c>
      <c r="C603" s="31" t="s">
        <v>46</v>
      </c>
      <c r="D603" s="32" t="s">
        <v>47</v>
      </c>
      <c r="E603" s="33"/>
      <c r="F603" s="33"/>
      <c r="G603" s="33"/>
      <c r="H603" s="33"/>
      <c r="I603" s="34" t="str">
        <f t="shared" si="43"/>
        <v>0/3</v>
      </c>
    </row>
    <row r="604" spans="1:9" x14ac:dyDescent="0.25">
      <c r="A604" s="30">
        <f>A592</f>
        <v>46468</v>
      </c>
      <c r="B604" s="31" t="s">
        <v>82</v>
      </c>
      <c r="C604" s="31" t="s">
        <v>48</v>
      </c>
      <c r="D604" s="32" t="s">
        <v>49</v>
      </c>
      <c r="E604" s="33"/>
      <c r="F604" s="33"/>
      <c r="G604" s="33"/>
      <c r="H604" s="33"/>
      <c r="I604" s="34" t="str">
        <f t="shared" si="43"/>
        <v>0/3</v>
      </c>
    </row>
    <row r="605" spans="1:9" x14ac:dyDescent="0.25">
      <c r="A605" s="30">
        <f>A592</f>
        <v>46468</v>
      </c>
      <c r="B605" s="31" t="s">
        <v>82</v>
      </c>
      <c r="C605" s="31" t="s">
        <v>50</v>
      </c>
      <c r="D605" s="32" t="s">
        <v>51</v>
      </c>
      <c r="E605" s="33"/>
      <c r="F605" s="33"/>
      <c r="G605" s="33"/>
      <c r="H605" s="33"/>
      <c r="I605" s="34" t="str">
        <f t="shared" si="43"/>
        <v>0/3</v>
      </c>
    </row>
    <row r="606" spans="1:9" x14ac:dyDescent="0.25">
      <c r="A606" s="30">
        <f>A592+7</f>
        <v>46475</v>
      </c>
      <c r="B606" s="31" t="s">
        <v>81</v>
      </c>
      <c r="C606" s="31" t="s">
        <v>37</v>
      </c>
      <c r="D606" s="32" t="s">
        <v>39</v>
      </c>
      <c r="E606" s="33"/>
      <c r="F606" s="33"/>
      <c r="G606" s="33"/>
      <c r="H606" s="33"/>
      <c r="I606" s="34" t="str">
        <f t="shared" si="43"/>
        <v>0/3</v>
      </c>
    </row>
    <row r="607" spans="1:9" ht="30" x14ac:dyDescent="0.25">
      <c r="A607" s="30">
        <f>A606</f>
        <v>46475</v>
      </c>
      <c r="B607" s="31" t="s">
        <v>81</v>
      </c>
      <c r="C607" s="31" t="s">
        <v>40</v>
      </c>
      <c r="D607" s="32" t="s">
        <v>41</v>
      </c>
      <c r="E607" s="33"/>
      <c r="F607" s="33"/>
      <c r="G607" s="33"/>
      <c r="H607" s="33"/>
      <c r="I607" s="34" t="str">
        <f t="shared" si="43"/>
        <v>0/3</v>
      </c>
    </row>
    <row r="608" spans="1:9" x14ac:dyDescent="0.25">
      <c r="A608" s="30">
        <f>A606</f>
        <v>46475</v>
      </c>
      <c r="B608" s="31" t="s">
        <v>81</v>
      </c>
      <c r="C608" s="31" t="s">
        <v>42</v>
      </c>
      <c r="D608" s="32" t="s">
        <v>43</v>
      </c>
      <c r="E608" s="33"/>
      <c r="F608" s="33"/>
      <c r="G608" s="33"/>
      <c r="H608" s="33"/>
      <c r="I608" s="34" t="str">
        <f t="shared" si="43"/>
        <v>0/3</v>
      </c>
    </row>
    <row r="609" spans="1:9" x14ac:dyDescent="0.25">
      <c r="A609" s="30">
        <f>A606</f>
        <v>46475</v>
      </c>
      <c r="B609" s="31" t="s">
        <v>81</v>
      </c>
      <c r="C609" s="31" t="s">
        <v>44</v>
      </c>
      <c r="D609" s="32" t="s">
        <v>45</v>
      </c>
      <c r="E609" s="33"/>
      <c r="F609" s="33"/>
      <c r="G609" s="33"/>
      <c r="H609" s="33"/>
      <c r="I609" s="34" t="str">
        <f t="shared" si="43"/>
        <v>0/3</v>
      </c>
    </row>
    <row r="610" spans="1:9" x14ac:dyDescent="0.25">
      <c r="A610" s="30">
        <f>A606</f>
        <v>46475</v>
      </c>
      <c r="B610" s="31" t="s">
        <v>81</v>
      </c>
      <c r="C610" s="31" t="s">
        <v>46</v>
      </c>
      <c r="D610" s="32" t="s">
        <v>47</v>
      </c>
      <c r="E610" s="33"/>
      <c r="F610" s="33"/>
      <c r="G610" s="33"/>
      <c r="H610" s="33"/>
      <c r="I610" s="34" t="str">
        <f t="shared" si="43"/>
        <v>0/3</v>
      </c>
    </row>
    <row r="611" spans="1:9" x14ac:dyDescent="0.25">
      <c r="A611" s="30">
        <f>A606</f>
        <v>46475</v>
      </c>
      <c r="B611" s="31" t="s">
        <v>81</v>
      </c>
      <c r="C611" s="31" t="s">
        <v>48</v>
      </c>
      <c r="D611" s="32" t="s">
        <v>49</v>
      </c>
      <c r="E611" s="33"/>
      <c r="F611" s="33"/>
      <c r="G611" s="33"/>
      <c r="H611" s="33"/>
      <c r="I611" s="34" t="str">
        <f t="shared" si="43"/>
        <v>0/3</v>
      </c>
    </row>
    <row r="612" spans="1:9" x14ac:dyDescent="0.25">
      <c r="A612" s="30">
        <f>A606</f>
        <v>46475</v>
      </c>
      <c r="B612" s="31" t="s">
        <v>81</v>
      </c>
      <c r="C612" s="31" t="s">
        <v>50</v>
      </c>
      <c r="D612" s="32" t="s">
        <v>51</v>
      </c>
      <c r="E612" s="33"/>
      <c r="F612" s="33"/>
      <c r="G612" s="33"/>
      <c r="H612" s="33"/>
      <c r="I612" s="34" t="str">
        <f t="shared" si="43"/>
        <v>0/3</v>
      </c>
    </row>
    <row r="613" spans="1:9" x14ac:dyDescent="0.25">
      <c r="A613" s="30">
        <f>A606</f>
        <v>46475</v>
      </c>
      <c r="B613" s="31" t="s">
        <v>82</v>
      </c>
      <c r="C613" s="31" t="s">
        <v>37</v>
      </c>
      <c r="D613" s="32" t="s">
        <v>39</v>
      </c>
      <c r="E613" s="33"/>
      <c r="F613" s="33"/>
      <c r="G613" s="33"/>
      <c r="H613" s="33"/>
      <c r="I613" s="34" t="str">
        <f>COUNTA(E613:H613)&amp;"/4"</f>
        <v>0/4</v>
      </c>
    </row>
    <row r="614" spans="1:9" ht="30" x14ac:dyDescent="0.25">
      <c r="A614" s="30">
        <f>A606</f>
        <v>46475</v>
      </c>
      <c r="B614" s="31" t="s">
        <v>82</v>
      </c>
      <c r="C614" s="31" t="s">
        <v>40</v>
      </c>
      <c r="D614" s="32" t="s">
        <v>41</v>
      </c>
      <c r="E614" s="33"/>
      <c r="F614" s="33"/>
      <c r="G614" s="33"/>
      <c r="H614" s="33"/>
      <c r="I614" s="34" t="str">
        <f t="shared" ref="I614:I626" si="44">COUNTA(E614:G614)&amp;"/3"</f>
        <v>0/3</v>
      </c>
    </row>
    <row r="615" spans="1:9" x14ac:dyDescent="0.25">
      <c r="A615" s="30">
        <f>A606</f>
        <v>46475</v>
      </c>
      <c r="B615" s="31" t="s">
        <v>82</v>
      </c>
      <c r="C615" s="31" t="s">
        <v>42</v>
      </c>
      <c r="D615" s="32" t="s">
        <v>43</v>
      </c>
      <c r="E615" s="33"/>
      <c r="F615" s="33"/>
      <c r="G615" s="33"/>
      <c r="H615" s="33"/>
      <c r="I615" s="34" t="str">
        <f t="shared" si="44"/>
        <v>0/3</v>
      </c>
    </row>
    <row r="616" spans="1:9" x14ac:dyDescent="0.25">
      <c r="A616" s="30">
        <f>A606</f>
        <v>46475</v>
      </c>
      <c r="B616" s="31" t="s">
        <v>82</v>
      </c>
      <c r="C616" s="31" t="s">
        <v>44</v>
      </c>
      <c r="D616" s="32" t="s">
        <v>45</v>
      </c>
      <c r="E616" s="33"/>
      <c r="F616" s="33"/>
      <c r="G616" s="33"/>
      <c r="H616" s="33"/>
      <c r="I616" s="34" t="str">
        <f t="shared" si="44"/>
        <v>0/3</v>
      </c>
    </row>
    <row r="617" spans="1:9" x14ac:dyDescent="0.25">
      <c r="A617" s="30">
        <f>A606</f>
        <v>46475</v>
      </c>
      <c r="B617" s="31" t="s">
        <v>82</v>
      </c>
      <c r="C617" s="31" t="s">
        <v>46</v>
      </c>
      <c r="D617" s="32" t="s">
        <v>47</v>
      </c>
      <c r="E617" s="33"/>
      <c r="F617" s="33"/>
      <c r="G617" s="33"/>
      <c r="H617" s="33"/>
      <c r="I617" s="34" t="str">
        <f t="shared" si="44"/>
        <v>0/3</v>
      </c>
    </row>
    <row r="618" spans="1:9" x14ac:dyDescent="0.25">
      <c r="A618" s="30">
        <f>A606</f>
        <v>46475</v>
      </c>
      <c r="B618" s="31" t="s">
        <v>82</v>
      </c>
      <c r="C618" s="31" t="s">
        <v>48</v>
      </c>
      <c r="D618" s="32" t="s">
        <v>49</v>
      </c>
      <c r="E618" s="33"/>
      <c r="F618" s="33"/>
      <c r="G618" s="33"/>
      <c r="H618" s="33"/>
      <c r="I618" s="34" t="str">
        <f t="shared" si="44"/>
        <v>0/3</v>
      </c>
    </row>
    <row r="619" spans="1:9" x14ac:dyDescent="0.25">
      <c r="A619" s="30">
        <f>A606</f>
        <v>46475</v>
      </c>
      <c r="B619" s="31" t="s">
        <v>82</v>
      </c>
      <c r="C619" s="31" t="s">
        <v>50</v>
      </c>
      <c r="D619" s="32" t="s">
        <v>51</v>
      </c>
      <c r="E619" s="33"/>
      <c r="F619" s="33"/>
      <c r="G619" s="33"/>
      <c r="H619" s="33"/>
      <c r="I619" s="34" t="str">
        <f t="shared" si="44"/>
        <v>0/3</v>
      </c>
    </row>
    <row r="620" spans="1:9" x14ac:dyDescent="0.25">
      <c r="A620" s="30">
        <f>A606+7</f>
        <v>46482</v>
      </c>
      <c r="B620" s="31" t="s">
        <v>81</v>
      </c>
      <c r="C620" s="31" t="s">
        <v>37</v>
      </c>
      <c r="D620" s="32" t="s">
        <v>39</v>
      </c>
      <c r="E620" s="33"/>
      <c r="F620" s="33"/>
      <c r="G620" s="33"/>
      <c r="H620" s="33"/>
      <c r="I620" s="34" t="str">
        <f t="shared" si="44"/>
        <v>0/3</v>
      </c>
    </row>
    <row r="621" spans="1:9" ht="30" x14ac:dyDescent="0.25">
      <c r="A621" s="30">
        <f>A620</f>
        <v>46482</v>
      </c>
      <c r="B621" s="31" t="s">
        <v>81</v>
      </c>
      <c r="C621" s="31" t="s">
        <v>40</v>
      </c>
      <c r="D621" s="32" t="s">
        <v>41</v>
      </c>
      <c r="E621" s="33"/>
      <c r="F621" s="33"/>
      <c r="G621" s="33"/>
      <c r="H621" s="33"/>
      <c r="I621" s="34" t="str">
        <f t="shared" si="44"/>
        <v>0/3</v>
      </c>
    </row>
    <row r="622" spans="1:9" x14ac:dyDescent="0.25">
      <c r="A622" s="30">
        <f>A620</f>
        <v>46482</v>
      </c>
      <c r="B622" s="31" t="s">
        <v>81</v>
      </c>
      <c r="C622" s="31" t="s">
        <v>42</v>
      </c>
      <c r="D622" s="32" t="s">
        <v>43</v>
      </c>
      <c r="E622" s="33"/>
      <c r="F622" s="33"/>
      <c r="G622" s="33"/>
      <c r="H622" s="33"/>
      <c r="I622" s="34" t="str">
        <f t="shared" si="44"/>
        <v>0/3</v>
      </c>
    </row>
    <row r="623" spans="1:9" x14ac:dyDescent="0.25">
      <c r="A623" s="30">
        <f>A620</f>
        <v>46482</v>
      </c>
      <c r="B623" s="31" t="s">
        <v>81</v>
      </c>
      <c r="C623" s="31" t="s">
        <v>44</v>
      </c>
      <c r="D623" s="32" t="s">
        <v>45</v>
      </c>
      <c r="E623" s="33"/>
      <c r="F623" s="33"/>
      <c r="G623" s="33"/>
      <c r="H623" s="33"/>
      <c r="I623" s="34" t="str">
        <f t="shared" si="44"/>
        <v>0/3</v>
      </c>
    </row>
    <row r="624" spans="1:9" x14ac:dyDescent="0.25">
      <c r="A624" s="30">
        <f>A620</f>
        <v>46482</v>
      </c>
      <c r="B624" s="31" t="s">
        <v>81</v>
      </c>
      <c r="C624" s="31" t="s">
        <v>46</v>
      </c>
      <c r="D624" s="32" t="s">
        <v>47</v>
      </c>
      <c r="E624" s="33"/>
      <c r="F624" s="33"/>
      <c r="G624" s="33"/>
      <c r="H624" s="33"/>
      <c r="I624" s="34" t="str">
        <f t="shared" si="44"/>
        <v>0/3</v>
      </c>
    </row>
    <row r="625" spans="1:9" x14ac:dyDescent="0.25">
      <c r="A625" s="30">
        <f>A620</f>
        <v>46482</v>
      </c>
      <c r="B625" s="31" t="s">
        <v>81</v>
      </c>
      <c r="C625" s="31" t="s">
        <v>48</v>
      </c>
      <c r="D625" s="32" t="s">
        <v>49</v>
      </c>
      <c r="E625" s="33"/>
      <c r="F625" s="33"/>
      <c r="G625" s="33"/>
      <c r="H625" s="33"/>
      <c r="I625" s="34" t="str">
        <f t="shared" si="44"/>
        <v>0/3</v>
      </c>
    </row>
    <row r="626" spans="1:9" x14ac:dyDescent="0.25">
      <c r="A626" s="30">
        <f>A620</f>
        <v>46482</v>
      </c>
      <c r="B626" s="31" t="s">
        <v>81</v>
      </c>
      <c r="C626" s="31" t="s">
        <v>50</v>
      </c>
      <c r="D626" s="32" t="s">
        <v>51</v>
      </c>
      <c r="E626" s="33"/>
      <c r="F626" s="33"/>
      <c r="G626" s="33"/>
      <c r="H626" s="33"/>
      <c r="I626" s="34" t="str">
        <f t="shared" si="44"/>
        <v>0/3</v>
      </c>
    </row>
    <row r="627" spans="1:9" x14ac:dyDescent="0.25">
      <c r="A627" s="30">
        <f>A620</f>
        <v>46482</v>
      </c>
      <c r="B627" s="31" t="s">
        <v>82</v>
      </c>
      <c r="C627" s="31" t="s">
        <v>37</v>
      </c>
      <c r="D627" s="32" t="s">
        <v>39</v>
      </c>
      <c r="E627" s="33"/>
      <c r="F627" s="33"/>
      <c r="G627" s="33"/>
      <c r="H627" s="33"/>
      <c r="I627" s="34" t="str">
        <f>COUNTA(E627:H627)&amp;"/4"</f>
        <v>0/4</v>
      </c>
    </row>
    <row r="628" spans="1:9" ht="30" x14ac:dyDescent="0.25">
      <c r="A628" s="30">
        <f>A620</f>
        <v>46482</v>
      </c>
      <c r="B628" s="31" t="s">
        <v>82</v>
      </c>
      <c r="C628" s="31" t="s">
        <v>40</v>
      </c>
      <c r="D628" s="32" t="s">
        <v>41</v>
      </c>
      <c r="E628" s="33"/>
      <c r="F628" s="33"/>
      <c r="G628" s="33"/>
      <c r="H628" s="33"/>
      <c r="I628" s="34" t="str">
        <f t="shared" ref="I628:I640" si="45">COUNTA(E628:G628)&amp;"/3"</f>
        <v>0/3</v>
      </c>
    </row>
    <row r="629" spans="1:9" x14ac:dyDescent="0.25">
      <c r="A629" s="30">
        <f>A620</f>
        <v>46482</v>
      </c>
      <c r="B629" s="31" t="s">
        <v>82</v>
      </c>
      <c r="C629" s="31" t="s">
        <v>42</v>
      </c>
      <c r="D629" s="32" t="s">
        <v>43</v>
      </c>
      <c r="E629" s="33"/>
      <c r="F629" s="33"/>
      <c r="G629" s="33"/>
      <c r="H629" s="33"/>
      <c r="I629" s="34" t="str">
        <f t="shared" si="45"/>
        <v>0/3</v>
      </c>
    </row>
    <row r="630" spans="1:9" x14ac:dyDescent="0.25">
      <c r="A630" s="30">
        <f>A620</f>
        <v>46482</v>
      </c>
      <c r="B630" s="31" t="s">
        <v>82</v>
      </c>
      <c r="C630" s="31" t="s">
        <v>44</v>
      </c>
      <c r="D630" s="32" t="s">
        <v>45</v>
      </c>
      <c r="E630" s="33"/>
      <c r="F630" s="33"/>
      <c r="G630" s="33"/>
      <c r="H630" s="33"/>
      <c r="I630" s="34" t="str">
        <f t="shared" si="45"/>
        <v>0/3</v>
      </c>
    </row>
    <row r="631" spans="1:9" x14ac:dyDescent="0.25">
      <c r="A631" s="30">
        <f>A620</f>
        <v>46482</v>
      </c>
      <c r="B631" s="31" t="s">
        <v>82</v>
      </c>
      <c r="C631" s="31" t="s">
        <v>46</v>
      </c>
      <c r="D631" s="32" t="s">
        <v>47</v>
      </c>
      <c r="E631" s="33"/>
      <c r="F631" s="33"/>
      <c r="G631" s="33"/>
      <c r="H631" s="33"/>
      <c r="I631" s="34" t="str">
        <f t="shared" si="45"/>
        <v>0/3</v>
      </c>
    </row>
    <row r="632" spans="1:9" x14ac:dyDescent="0.25">
      <c r="A632" s="30">
        <f>A620</f>
        <v>46482</v>
      </c>
      <c r="B632" s="31" t="s">
        <v>82</v>
      </c>
      <c r="C632" s="31" t="s">
        <v>48</v>
      </c>
      <c r="D632" s="32" t="s">
        <v>49</v>
      </c>
      <c r="E632" s="33"/>
      <c r="F632" s="33"/>
      <c r="G632" s="33"/>
      <c r="H632" s="33"/>
      <c r="I632" s="34" t="str">
        <f t="shared" si="45"/>
        <v>0/3</v>
      </c>
    </row>
    <row r="633" spans="1:9" x14ac:dyDescent="0.25">
      <c r="A633" s="30">
        <f>A620</f>
        <v>46482</v>
      </c>
      <c r="B633" s="31" t="s">
        <v>82</v>
      </c>
      <c r="C633" s="31" t="s">
        <v>50</v>
      </c>
      <c r="D633" s="32" t="s">
        <v>51</v>
      </c>
      <c r="E633" s="33"/>
      <c r="F633" s="33"/>
      <c r="G633" s="33"/>
      <c r="H633" s="33"/>
      <c r="I633" s="34" t="str">
        <f t="shared" si="45"/>
        <v>0/3</v>
      </c>
    </row>
    <row r="634" spans="1:9" x14ac:dyDescent="0.25">
      <c r="A634" s="30">
        <f>A620+7</f>
        <v>46489</v>
      </c>
      <c r="B634" s="31" t="s">
        <v>81</v>
      </c>
      <c r="C634" s="31" t="s">
        <v>37</v>
      </c>
      <c r="D634" s="32" t="s">
        <v>39</v>
      </c>
      <c r="E634" s="33"/>
      <c r="F634" s="33"/>
      <c r="G634" s="33"/>
      <c r="H634" s="33"/>
      <c r="I634" s="34" t="str">
        <f t="shared" si="45"/>
        <v>0/3</v>
      </c>
    </row>
    <row r="635" spans="1:9" ht="30" x14ac:dyDescent="0.25">
      <c r="A635" s="30">
        <f>A634</f>
        <v>46489</v>
      </c>
      <c r="B635" s="31" t="s">
        <v>81</v>
      </c>
      <c r="C635" s="31" t="s">
        <v>40</v>
      </c>
      <c r="D635" s="32" t="s">
        <v>41</v>
      </c>
      <c r="E635" s="33"/>
      <c r="F635" s="33"/>
      <c r="G635" s="33"/>
      <c r="H635" s="33"/>
      <c r="I635" s="34" t="str">
        <f t="shared" si="45"/>
        <v>0/3</v>
      </c>
    </row>
    <row r="636" spans="1:9" x14ac:dyDescent="0.25">
      <c r="A636" s="30">
        <f>A634</f>
        <v>46489</v>
      </c>
      <c r="B636" s="31" t="s">
        <v>81</v>
      </c>
      <c r="C636" s="31" t="s">
        <v>42</v>
      </c>
      <c r="D636" s="32" t="s">
        <v>43</v>
      </c>
      <c r="E636" s="33"/>
      <c r="F636" s="33"/>
      <c r="G636" s="33"/>
      <c r="H636" s="33"/>
      <c r="I636" s="34" t="str">
        <f t="shared" si="45"/>
        <v>0/3</v>
      </c>
    </row>
    <row r="637" spans="1:9" x14ac:dyDescent="0.25">
      <c r="A637" s="30">
        <f>A634</f>
        <v>46489</v>
      </c>
      <c r="B637" s="31" t="s">
        <v>81</v>
      </c>
      <c r="C637" s="31" t="s">
        <v>44</v>
      </c>
      <c r="D637" s="32" t="s">
        <v>45</v>
      </c>
      <c r="E637" s="33"/>
      <c r="F637" s="33"/>
      <c r="G637" s="33"/>
      <c r="H637" s="33"/>
      <c r="I637" s="34" t="str">
        <f t="shared" si="45"/>
        <v>0/3</v>
      </c>
    </row>
    <row r="638" spans="1:9" x14ac:dyDescent="0.25">
      <c r="A638" s="30">
        <f>A634</f>
        <v>46489</v>
      </c>
      <c r="B638" s="31" t="s">
        <v>81</v>
      </c>
      <c r="C638" s="31" t="s">
        <v>46</v>
      </c>
      <c r="D638" s="32" t="s">
        <v>47</v>
      </c>
      <c r="E638" s="33"/>
      <c r="F638" s="33"/>
      <c r="G638" s="33"/>
      <c r="H638" s="33"/>
      <c r="I638" s="34" t="str">
        <f t="shared" si="45"/>
        <v>0/3</v>
      </c>
    </row>
    <row r="639" spans="1:9" x14ac:dyDescent="0.25">
      <c r="A639" s="30">
        <f>A634</f>
        <v>46489</v>
      </c>
      <c r="B639" s="31" t="s">
        <v>81</v>
      </c>
      <c r="C639" s="31" t="s">
        <v>48</v>
      </c>
      <c r="D639" s="32" t="s">
        <v>49</v>
      </c>
      <c r="E639" s="33"/>
      <c r="F639" s="33"/>
      <c r="G639" s="33"/>
      <c r="H639" s="33"/>
      <c r="I639" s="34" t="str">
        <f t="shared" si="45"/>
        <v>0/3</v>
      </c>
    </row>
    <row r="640" spans="1:9" x14ac:dyDescent="0.25">
      <c r="A640" s="30">
        <f>A634</f>
        <v>46489</v>
      </c>
      <c r="B640" s="31" t="s">
        <v>81</v>
      </c>
      <c r="C640" s="31" t="s">
        <v>50</v>
      </c>
      <c r="D640" s="32" t="s">
        <v>51</v>
      </c>
      <c r="E640" s="33"/>
      <c r="F640" s="33"/>
      <c r="G640" s="33"/>
      <c r="H640" s="33"/>
      <c r="I640" s="34" t="str">
        <f t="shared" si="45"/>
        <v>0/3</v>
      </c>
    </row>
    <row r="641" spans="1:9" x14ac:dyDescent="0.25">
      <c r="A641" s="30">
        <f>A634</f>
        <v>46489</v>
      </c>
      <c r="B641" s="31" t="s">
        <v>82</v>
      </c>
      <c r="C641" s="31" t="s">
        <v>37</v>
      </c>
      <c r="D641" s="32" t="s">
        <v>39</v>
      </c>
      <c r="E641" s="33"/>
      <c r="F641" s="33"/>
      <c r="G641" s="33"/>
      <c r="H641" s="33"/>
      <c r="I641" s="34" t="str">
        <f>COUNTA(E641:H641)&amp;"/4"</f>
        <v>0/4</v>
      </c>
    </row>
    <row r="642" spans="1:9" ht="30" x14ac:dyDescent="0.25">
      <c r="A642" s="30">
        <f>A634</f>
        <v>46489</v>
      </c>
      <c r="B642" s="31" t="s">
        <v>82</v>
      </c>
      <c r="C642" s="31" t="s">
        <v>40</v>
      </c>
      <c r="D642" s="32" t="s">
        <v>41</v>
      </c>
      <c r="E642" s="33"/>
      <c r="F642" s="33"/>
      <c r="G642" s="33"/>
      <c r="H642" s="33"/>
      <c r="I642" s="34" t="str">
        <f t="shared" ref="I642:I654" si="46">COUNTA(E642:G642)&amp;"/3"</f>
        <v>0/3</v>
      </c>
    </row>
    <row r="643" spans="1:9" x14ac:dyDescent="0.25">
      <c r="A643" s="30">
        <f>A634</f>
        <v>46489</v>
      </c>
      <c r="B643" s="31" t="s">
        <v>82</v>
      </c>
      <c r="C643" s="31" t="s">
        <v>42</v>
      </c>
      <c r="D643" s="32" t="s">
        <v>43</v>
      </c>
      <c r="E643" s="33"/>
      <c r="F643" s="33"/>
      <c r="G643" s="33"/>
      <c r="H643" s="33"/>
      <c r="I643" s="34" t="str">
        <f t="shared" si="46"/>
        <v>0/3</v>
      </c>
    </row>
    <row r="644" spans="1:9" x14ac:dyDescent="0.25">
      <c r="A644" s="30">
        <f>A634</f>
        <v>46489</v>
      </c>
      <c r="B644" s="31" t="s">
        <v>82</v>
      </c>
      <c r="C644" s="31" t="s">
        <v>44</v>
      </c>
      <c r="D644" s="32" t="s">
        <v>45</v>
      </c>
      <c r="E644" s="33"/>
      <c r="F644" s="33"/>
      <c r="G644" s="33"/>
      <c r="H644" s="33"/>
      <c r="I644" s="34" t="str">
        <f t="shared" si="46"/>
        <v>0/3</v>
      </c>
    </row>
    <row r="645" spans="1:9" x14ac:dyDescent="0.25">
      <c r="A645" s="30">
        <f>A634</f>
        <v>46489</v>
      </c>
      <c r="B645" s="31" t="s">
        <v>82</v>
      </c>
      <c r="C645" s="31" t="s">
        <v>46</v>
      </c>
      <c r="D645" s="32" t="s">
        <v>47</v>
      </c>
      <c r="E645" s="33"/>
      <c r="F645" s="33"/>
      <c r="G645" s="33"/>
      <c r="H645" s="33"/>
      <c r="I645" s="34" t="str">
        <f t="shared" si="46"/>
        <v>0/3</v>
      </c>
    </row>
    <row r="646" spans="1:9" x14ac:dyDescent="0.25">
      <c r="A646" s="30">
        <f>A634</f>
        <v>46489</v>
      </c>
      <c r="B646" s="31" t="s">
        <v>82</v>
      </c>
      <c r="C646" s="31" t="s">
        <v>48</v>
      </c>
      <c r="D646" s="32" t="s">
        <v>49</v>
      </c>
      <c r="E646" s="33"/>
      <c r="F646" s="33"/>
      <c r="G646" s="33"/>
      <c r="H646" s="33"/>
      <c r="I646" s="34" t="str">
        <f t="shared" si="46"/>
        <v>0/3</v>
      </c>
    </row>
    <row r="647" spans="1:9" x14ac:dyDescent="0.25">
      <c r="A647" s="30">
        <f>A634</f>
        <v>46489</v>
      </c>
      <c r="B647" s="31" t="s">
        <v>82</v>
      </c>
      <c r="C647" s="31" t="s">
        <v>50</v>
      </c>
      <c r="D647" s="32" t="s">
        <v>51</v>
      </c>
      <c r="E647" s="33"/>
      <c r="F647" s="33"/>
      <c r="G647" s="33"/>
      <c r="H647" s="33"/>
      <c r="I647" s="34" t="str">
        <f t="shared" si="46"/>
        <v>0/3</v>
      </c>
    </row>
    <row r="648" spans="1:9" x14ac:dyDescent="0.25">
      <c r="A648" s="30">
        <f>A634+7</f>
        <v>46496</v>
      </c>
      <c r="B648" s="31" t="s">
        <v>81</v>
      </c>
      <c r="C648" s="31" t="s">
        <v>37</v>
      </c>
      <c r="D648" s="32" t="s">
        <v>39</v>
      </c>
      <c r="E648" s="33"/>
      <c r="F648" s="33"/>
      <c r="G648" s="33"/>
      <c r="H648" s="33"/>
      <c r="I648" s="34" t="str">
        <f t="shared" si="46"/>
        <v>0/3</v>
      </c>
    </row>
    <row r="649" spans="1:9" ht="30" x14ac:dyDescent="0.25">
      <c r="A649" s="30">
        <f>A648</f>
        <v>46496</v>
      </c>
      <c r="B649" s="31" t="s">
        <v>81</v>
      </c>
      <c r="C649" s="31" t="s">
        <v>40</v>
      </c>
      <c r="D649" s="32" t="s">
        <v>41</v>
      </c>
      <c r="E649" s="33"/>
      <c r="F649" s="33"/>
      <c r="G649" s="33"/>
      <c r="H649" s="33"/>
      <c r="I649" s="34" t="str">
        <f t="shared" si="46"/>
        <v>0/3</v>
      </c>
    </row>
    <row r="650" spans="1:9" x14ac:dyDescent="0.25">
      <c r="A650" s="30">
        <f>A648</f>
        <v>46496</v>
      </c>
      <c r="B650" s="31" t="s">
        <v>81</v>
      </c>
      <c r="C650" s="31" t="s">
        <v>42</v>
      </c>
      <c r="D650" s="32" t="s">
        <v>43</v>
      </c>
      <c r="E650" s="33"/>
      <c r="F650" s="33"/>
      <c r="G650" s="33"/>
      <c r="H650" s="33"/>
      <c r="I650" s="34" t="str">
        <f t="shared" si="46"/>
        <v>0/3</v>
      </c>
    </row>
    <row r="651" spans="1:9" x14ac:dyDescent="0.25">
      <c r="A651" s="30">
        <f>A648</f>
        <v>46496</v>
      </c>
      <c r="B651" s="31" t="s">
        <v>81</v>
      </c>
      <c r="C651" s="31" t="s">
        <v>44</v>
      </c>
      <c r="D651" s="32" t="s">
        <v>45</v>
      </c>
      <c r="E651" s="33"/>
      <c r="F651" s="33"/>
      <c r="G651" s="33"/>
      <c r="H651" s="33"/>
      <c r="I651" s="34" t="str">
        <f t="shared" si="46"/>
        <v>0/3</v>
      </c>
    </row>
    <row r="652" spans="1:9" x14ac:dyDescent="0.25">
      <c r="A652" s="30">
        <f>A648</f>
        <v>46496</v>
      </c>
      <c r="B652" s="31" t="s">
        <v>81</v>
      </c>
      <c r="C652" s="31" t="s">
        <v>46</v>
      </c>
      <c r="D652" s="32" t="s">
        <v>47</v>
      </c>
      <c r="E652" s="33"/>
      <c r="F652" s="33"/>
      <c r="G652" s="33"/>
      <c r="H652" s="33"/>
      <c r="I652" s="34" t="str">
        <f t="shared" si="46"/>
        <v>0/3</v>
      </c>
    </row>
    <row r="653" spans="1:9" x14ac:dyDescent="0.25">
      <c r="A653" s="30">
        <f>A648</f>
        <v>46496</v>
      </c>
      <c r="B653" s="31" t="s">
        <v>81</v>
      </c>
      <c r="C653" s="31" t="s">
        <v>48</v>
      </c>
      <c r="D653" s="32" t="s">
        <v>49</v>
      </c>
      <c r="E653" s="33"/>
      <c r="F653" s="33"/>
      <c r="G653" s="33"/>
      <c r="H653" s="33"/>
      <c r="I653" s="34" t="str">
        <f t="shared" si="46"/>
        <v>0/3</v>
      </c>
    </row>
    <row r="654" spans="1:9" x14ac:dyDescent="0.25">
      <c r="A654" s="30">
        <f>A648</f>
        <v>46496</v>
      </c>
      <c r="B654" s="31" t="s">
        <v>81</v>
      </c>
      <c r="C654" s="31" t="s">
        <v>50</v>
      </c>
      <c r="D654" s="32" t="s">
        <v>51</v>
      </c>
      <c r="E654" s="33"/>
      <c r="F654" s="33"/>
      <c r="G654" s="33"/>
      <c r="H654" s="33"/>
      <c r="I654" s="34" t="str">
        <f t="shared" si="46"/>
        <v>0/3</v>
      </c>
    </row>
    <row r="655" spans="1:9" x14ac:dyDescent="0.25">
      <c r="A655" s="30">
        <f>A648</f>
        <v>46496</v>
      </c>
      <c r="B655" s="31" t="s">
        <v>82</v>
      </c>
      <c r="C655" s="31" t="s">
        <v>37</v>
      </c>
      <c r="D655" s="32" t="s">
        <v>39</v>
      </c>
      <c r="E655" s="33"/>
      <c r="F655" s="33"/>
      <c r="G655" s="33"/>
      <c r="H655" s="33"/>
      <c r="I655" s="34" t="str">
        <f>COUNTA(E655:H655)&amp;"/4"</f>
        <v>0/4</v>
      </c>
    </row>
    <row r="656" spans="1:9" ht="30" x14ac:dyDescent="0.25">
      <c r="A656" s="30">
        <f>A648</f>
        <v>46496</v>
      </c>
      <c r="B656" s="31" t="s">
        <v>82</v>
      </c>
      <c r="C656" s="31" t="s">
        <v>40</v>
      </c>
      <c r="D656" s="32" t="s">
        <v>41</v>
      </c>
      <c r="E656" s="33"/>
      <c r="F656" s="33"/>
      <c r="G656" s="33"/>
      <c r="H656" s="33"/>
      <c r="I656" s="34" t="str">
        <f t="shared" ref="I656:I668" si="47">COUNTA(E656:G656)&amp;"/3"</f>
        <v>0/3</v>
      </c>
    </row>
    <row r="657" spans="1:9" x14ac:dyDescent="0.25">
      <c r="A657" s="30">
        <f>A648</f>
        <v>46496</v>
      </c>
      <c r="B657" s="31" t="s">
        <v>82</v>
      </c>
      <c r="C657" s="31" t="s">
        <v>42</v>
      </c>
      <c r="D657" s="32" t="s">
        <v>43</v>
      </c>
      <c r="E657" s="33"/>
      <c r="F657" s="33"/>
      <c r="G657" s="33"/>
      <c r="H657" s="33"/>
      <c r="I657" s="34" t="str">
        <f t="shared" si="47"/>
        <v>0/3</v>
      </c>
    </row>
    <row r="658" spans="1:9" x14ac:dyDescent="0.25">
      <c r="A658" s="30">
        <f>A648</f>
        <v>46496</v>
      </c>
      <c r="B658" s="31" t="s">
        <v>82</v>
      </c>
      <c r="C658" s="31" t="s">
        <v>44</v>
      </c>
      <c r="D658" s="32" t="s">
        <v>45</v>
      </c>
      <c r="E658" s="33"/>
      <c r="F658" s="33"/>
      <c r="G658" s="33"/>
      <c r="H658" s="33"/>
      <c r="I658" s="34" t="str">
        <f t="shared" si="47"/>
        <v>0/3</v>
      </c>
    </row>
    <row r="659" spans="1:9" x14ac:dyDescent="0.25">
      <c r="A659" s="30">
        <f>A648</f>
        <v>46496</v>
      </c>
      <c r="B659" s="31" t="s">
        <v>82</v>
      </c>
      <c r="C659" s="31" t="s">
        <v>46</v>
      </c>
      <c r="D659" s="32" t="s">
        <v>47</v>
      </c>
      <c r="E659" s="33"/>
      <c r="F659" s="33"/>
      <c r="G659" s="33"/>
      <c r="H659" s="33"/>
      <c r="I659" s="34" t="str">
        <f t="shared" si="47"/>
        <v>0/3</v>
      </c>
    </row>
    <row r="660" spans="1:9" x14ac:dyDescent="0.25">
      <c r="A660" s="30">
        <f>A648</f>
        <v>46496</v>
      </c>
      <c r="B660" s="31" t="s">
        <v>82</v>
      </c>
      <c r="C660" s="31" t="s">
        <v>48</v>
      </c>
      <c r="D660" s="32" t="s">
        <v>49</v>
      </c>
      <c r="E660" s="33"/>
      <c r="F660" s="33"/>
      <c r="G660" s="33"/>
      <c r="H660" s="33"/>
      <c r="I660" s="34" t="str">
        <f t="shared" si="47"/>
        <v>0/3</v>
      </c>
    </row>
    <row r="661" spans="1:9" x14ac:dyDescent="0.25">
      <c r="A661" s="30">
        <f>A648</f>
        <v>46496</v>
      </c>
      <c r="B661" s="31" t="s">
        <v>82</v>
      </c>
      <c r="C661" s="31" t="s">
        <v>50</v>
      </c>
      <c r="D661" s="32" t="s">
        <v>51</v>
      </c>
      <c r="E661" s="33"/>
      <c r="F661" s="33"/>
      <c r="G661" s="33"/>
      <c r="H661" s="33"/>
      <c r="I661" s="34" t="str">
        <f t="shared" si="47"/>
        <v>0/3</v>
      </c>
    </row>
    <row r="662" spans="1:9" x14ac:dyDescent="0.25">
      <c r="A662" s="30">
        <f>A648+7</f>
        <v>46503</v>
      </c>
      <c r="B662" s="31" t="s">
        <v>81</v>
      </c>
      <c r="C662" s="31" t="s">
        <v>37</v>
      </c>
      <c r="D662" s="32" t="s">
        <v>39</v>
      </c>
      <c r="E662" s="33"/>
      <c r="F662" s="33"/>
      <c r="G662" s="33"/>
      <c r="H662" s="33"/>
      <c r="I662" s="34" t="str">
        <f t="shared" si="47"/>
        <v>0/3</v>
      </c>
    </row>
    <row r="663" spans="1:9" ht="30" x14ac:dyDescent="0.25">
      <c r="A663" s="30">
        <f>A662</f>
        <v>46503</v>
      </c>
      <c r="B663" s="31" t="s">
        <v>81</v>
      </c>
      <c r="C663" s="31" t="s">
        <v>40</v>
      </c>
      <c r="D663" s="32" t="s">
        <v>41</v>
      </c>
      <c r="E663" s="33"/>
      <c r="F663" s="33"/>
      <c r="G663" s="33"/>
      <c r="H663" s="33"/>
      <c r="I663" s="34" t="str">
        <f t="shared" si="47"/>
        <v>0/3</v>
      </c>
    </row>
    <row r="664" spans="1:9" x14ac:dyDescent="0.25">
      <c r="A664" s="30">
        <f>A662</f>
        <v>46503</v>
      </c>
      <c r="B664" s="31" t="s">
        <v>81</v>
      </c>
      <c r="C664" s="31" t="s">
        <v>42</v>
      </c>
      <c r="D664" s="32" t="s">
        <v>43</v>
      </c>
      <c r="E664" s="33"/>
      <c r="F664" s="33"/>
      <c r="G664" s="33"/>
      <c r="H664" s="33"/>
      <c r="I664" s="34" t="str">
        <f t="shared" si="47"/>
        <v>0/3</v>
      </c>
    </row>
    <row r="665" spans="1:9" x14ac:dyDescent="0.25">
      <c r="A665" s="30">
        <f>A662</f>
        <v>46503</v>
      </c>
      <c r="B665" s="31" t="s">
        <v>81</v>
      </c>
      <c r="C665" s="31" t="s">
        <v>44</v>
      </c>
      <c r="D665" s="32" t="s">
        <v>45</v>
      </c>
      <c r="E665" s="33"/>
      <c r="F665" s="33"/>
      <c r="G665" s="33"/>
      <c r="H665" s="33"/>
      <c r="I665" s="34" t="str">
        <f t="shared" si="47"/>
        <v>0/3</v>
      </c>
    </row>
    <row r="666" spans="1:9" x14ac:dyDescent="0.25">
      <c r="A666" s="30">
        <f>A662</f>
        <v>46503</v>
      </c>
      <c r="B666" s="31" t="s">
        <v>81</v>
      </c>
      <c r="C666" s="31" t="s">
        <v>46</v>
      </c>
      <c r="D666" s="32" t="s">
        <v>47</v>
      </c>
      <c r="E666" s="33"/>
      <c r="F666" s="33"/>
      <c r="G666" s="33"/>
      <c r="H666" s="33"/>
      <c r="I666" s="34" t="str">
        <f t="shared" si="47"/>
        <v>0/3</v>
      </c>
    </row>
    <row r="667" spans="1:9" x14ac:dyDescent="0.25">
      <c r="A667" s="30">
        <f>A662</f>
        <v>46503</v>
      </c>
      <c r="B667" s="31" t="s">
        <v>81</v>
      </c>
      <c r="C667" s="31" t="s">
        <v>48</v>
      </c>
      <c r="D667" s="32" t="s">
        <v>49</v>
      </c>
      <c r="E667" s="33"/>
      <c r="F667" s="33"/>
      <c r="G667" s="33"/>
      <c r="H667" s="33"/>
      <c r="I667" s="34" t="str">
        <f t="shared" si="47"/>
        <v>0/3</v>
      </c>
    </row>
    <row r="668" spans="1:9" x14ac:dyDescent="0.25">
      <c r="A668" s="30">
        <f>A662</f>
        <v>46503</v>
      </c>
      <c r="B668" s="31" t="s">
        <v>81</v>
      </c>
      <c r="C668" s="31" t="s">
        <v>50</v>
      </c>
      <c r="D668" s="32" t="s">
        <v>51</v>
      </c>
      <c r="E668" s="33"/>
      <c r="F668" s="33"/>
      <c r="G668" s="33"/>
      <c r="H668" s="33"/>
      <c r="I668" s="34" t="str">
        <f t="shared" si="47"/>
        <v>0/3</v>
      </c>
    </row>
    <row r="669" spans="1:9" x14ac:dyDescent="0.25">
      <c r="A669" s="30">
        <f>A662</f>
        <v>46503</v>
      </c>
      <c r="B669" s="31" t="s">
        <v>82</v>
      </c>
      <c r="C669" s="31" t="s">
        <v>37</v>
      </c>
      <c r="D669" s="32" t="s">
        <v>39</v>
      </c>
      <c r="E669" s="33"/>
      <c r="F669" s="33"/>
      <c r="G669" s="33"/>
      <c r="H669" s="33"/>
      <c r="I669" s="34" t="str">
        <f>COUNTA(E669:H669)&amp;"/4"</f>
        <v>0/4</v>
      </c>
    </row>
    <row r="670" spans="1:9" ht="30" x14ac:dyDescent="0.25">
      <c r="A670" s="30">
        <f>A662</f>
        <v>46503</v>
      </c>
      <c r="B670" s="31" t="s">
        <v>82</v>
      </c>
      <c r="C670" s="31" t="s">
        <v>40</v>
      </c>
      <c r="D670" s="32" t="s">
        <v>41</v>
      </c>
      <c r="E670" s="33"/>
      <c r="F670" s="33"/>
      <c r="G670" s="33"/>
      <c r="H670" s="33"/>
      <c r="I670" s="34" t="str">
        <f t="shared" ref="I670:I675" si="48">COUNTA(E670:G670)&amp;"/3"</f>
        <v>0/3</v>
      </c>
    </row>
    <row r="671" spans="1:9" x14ac:dyDescent="0.25">
      <c r="A671" s="30">
        <f>A662</f>
        <v>46503</v>
      </c>
      <c r="B671" s="31" t="s">
        <v>82</v>
      </c>
      <c r="C671" s="31" t="s">
        <v>42</v>
      </c>
      <c r="D671" s="32" t="s">
        <v>43</v>
      </c>
      <c r="E671" s="33"/>
      <c r="F671" s="33"/>
      <c r="G671" s="33"/>
      <c r="H671" s="33"/>
      <c r="I671" s="34" t="str">
        <f t="shared" si="48"/>
        <v>0/3</v>
      </c>
    </row>
    <row r="672" spans="1:9" x14ac:dyDescent="0.25">
      <c r="A672" s="30">
        <f>A662</f>
        <v>46503</v>
      </c>
      <c r="B672" s="31" t="s">
        <v>82</v>
      </c>
      <c r="C672" s="31" t="s">
        <v>44</v>
      </c>
      <c r="D672" s="32" t="s">
        <v>45</v>
      </c>
      <c r="E672" s="33"/>
      <c r="F672" s="33"/>
      <c r="G672" s="33"/>
      <c r="H672" s="33"/>
      <c r="I672" s="34" t="str">
        <f t="shared" si="48"/>
        <v>0/3</v>
      </c>
    </row>
    <row r="673" spans="1:9" x14ac:dyDescent="0.25">
      <c r="A673" s="30">
        <f>A662</f>
        <v>46503</v>
      </c>
      <c r="B673" s="31" t="s">
        <v>82</v>
      </c>
      <c r="C673" s="31" t="s">
        <v>46</v>
      </c>
      <c r="D673" s="32" t="s">
        <v>47</v>
      </c>
      <c r="E673" s="33"/>
      <c r="F673" s="33"/>
      <c r="G673" s="33"/>
      <c r="H673" s="33"/>
      <c r="I673" s="34" t="str">
        <f t="shared" si="48"/>
        <v>0/3</v>
      </c>
    </row>
    <row r="674" spans="1:9" x14ac:dyDescent="0.25">
      <c r="A674" s="30">
        <f>A662</f>
        <v>46503</v>
      </c>
      <c r="B674" s="31" t="s">
        <v>82</v>
      </c>
      <c r="C674" s="31" t="s">
        <v>48</v>
      </c>
      <c r="D674" s="32" t="s">
        <v>49</v>
      </c>
      <c r="E674" s="33"/>
      <c r="F674" s="33"/>
      <c r="G674" s="33"/>
      <c r="H674" s="33"/>
      <c r="I674" s="34" t="str">
        <f t="shared" si="48"/>
        <v>0/3</v>
      </c>
    </row>
    <row r="675" spans="1:9" x14ac:dyDescent="0.25">
      <c r="A675" s="30">
        <f>A662</f>
        <v>46503</v>
      </c>
      <c r="B675" s="31" t="s">
        <v>82</v>
      </c>
      <c r="C675" s="31" t="s">
        <v>50</v>
      </c>
      <c r="D675" s="32" t="s">
        <v>51</v>
      </c>
      <c r="E675" s="33"/>
      <c r="F675" s="33"/>
      <c r="G675" s="33"/>
      <c r="H675" s="33"/>
      <c r="I675" s="34" t="str">
        <f t="shared" si="48"/>
        <v>0/3</v>
      </c>
    </row>
  </sheetData>
  <mergeCells count="2">
    <mergeCell ref="A1:I1"/>
    <mergeCell ref="A2:I2"/>
  </mergeCells>
  <conditionalFormatting sqref="A4:I675">
    <cfRule type="expression" dxfId="77" priority="1">
      <formula>AND($A4&lt;=TODAY(),$A4+6&gt;=TODAY())</formula>
    </cfRule>
  </conditionalFormatting>
  <dataValidations count="1">
    <dataValidation type="decimal" operator="greaterThanOrEqual" sqref="E4:H675" xr:uid="{00000000-0002-0000-0200-000000000000}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675"/>
  <sheetViews>
    <sheetView workbookViewId="0">
      <pane xSplit="4" ySplit="3" topLeftCell="E4" activePane="bottomRight" state="frozen"/>
      <selection pane="topRight"/>
      <selection pane="bottomLeft"/>
      <selection pane="bottomRight" sqref="A1:I1"/>
    </sheetView>
  </sheetViews>
  <sheetFormatPr defaultRowHeight="15" x14ac:dyDescent="0.25"/>
  <cols>
    <col min="1" max="2" width="12" style="66" customWidth="1"/>
    <col min="3" max="3" width="8" style="66" customWidth="1"/>
    <col min="4" max="4" width="38" style="66" customWidth="1"/>
    <col min="5" max="8" width="12" style="66" customWidth="1"/>
    <col min="9" max="9" width="8" style="66" customWidth="1"/>
  </cols>
  <sheetData>
    <row r="1" spans="1:9" x14ac:dyDescent="0.25">
      <c r="A1" s="73" t="s">
        <v>84</v>
      </c>
      <c r="B1" s="74"/>
      <c r="C1" s="74"/>
      <c r="D1" s="74"/>
      <c r="E1" s="74"/>
      <c r="F1" s="74"/>
      <c r="G1" s="74"/>
      <c r="H1" s="74"/>
      <c r="I1" s="74"/>
    </row>
    <row r="2" spans="1:9" x14ac:dyDescent="0.25">
      <c r="A2" s="76" t="s">
        <v>72</v>
      </c>
      <c r="B2" s="74"/>
      <c r="C2" s="74"/>
      <c r="D2" s="74"/>
      <c r="E2" s="74"/>
      <c r="F2" s="74"/>
      <c r="G2" s="74"/>
      <c r="H2" s="74"/>
      <c r="I2" s="74"/>
    </row>
    <row r="3" spans="1:9" x14ac:dyDescent="0.25">
      <c r="A3" s="69" t="s">
        <v>73</v>
      </c>
      <c r="B3" s="69" t="s">
        <v>74</v>
      </c>
      <c r="C3" s="69" t="s">
        <v>1</v>
      </c>
      <c r="D3" s="69" t="s">
        <v>75</v>
      </c>
      <c r="E3" s="69" t="s">
        <v>76</v>
      </c>
      <c r="F3" s="69" t="s">
        <v>77</v>
      </c>
      <c r="G3" s="69" t="s">
        <v>78</v>
      </c>
      <c r="H3" s="69" t="s">
        <v>79</v>
      </c>
      <c r="I3" s="69" t="s">
        <v>80</v>
      </c>
    </row>
    <row r="4" spans="1:9" x14ac:dyDescent="0.25">
      <c r="A4" s="30">
        <f>СПРАВОЧНИК!$B$35</f>
        <v>46174</v>
      </c>
      <c r="B4" s="31" t="s">
        <v>81</v>
      </c>
      <c r="C4" s="31" t="s">
        <v>37</v>
      </c>
      <c r="D4" s="32" t="s">
        <v>39</v>
      </c>
      <c r="E4" s="33"/>
      <c r="F4" s="33"/>
      <c r="G4" s="33"/>
      <c r="H4" s="33"/>
      <c r="I4" s="34" t="str">
        <f t="shared" ref="I4:I10" si="0">COUNTA(E4:G4)&amp;"/3"</f>
        <v>0/3</v>
      </c>
    </row>
    <row r="5" spans="1:9" ht="30" x14ac:dyDescent="0.25">
      <c r="A5" s="30">
        <f>A4</f>
        <v>46174</v>
      </c>
      <c r="B5" s="31" t="s">
        <v>81</v>
      </c>
      <c r="C5" s="31" t="s">
        <v>40</v>
      </c>
      <c r="D5" s="32" t="s">
        <v>41</v>
      </c>
      <c r="E5" s="33"/>
      <c r="F5" s="33"/>
      <c r="G5" s="33"/>
      <c r="H5" s="33"/>
      <c r="I5" s="34" t="str">
        <f t="shared" si="0"/>
        <v>0/3</v>
      </c>
    </row>
    <row r="6" spans="1:9" x14ac:dyDescent="0.25">
      <c r="A6" s="30">
        <f>A4</f>
        <v>46174</v>
      </c>
      <c r="B6" s="31" t="s">
        <v>81</v>
      </c>
      <c r="C6" s="31" t="s">
        <v>42</v>
      </c>
      <c r="D6" s="32" t="s">
        <v>43</v>
      </c>
      <c r="E6" s="33"/>
      <c r="F6" s="33"/>
      <c r="G6" s="33"/>
      <c r="H6" s="33"/>
      <c r="I6" s="34" t="str">
        <f t="shared" si="0"/>
        <v>0/3</v>
      </c>
    </row>
    <row r="7" spans="1:9" x14ac:dyDescent="0.25">
      <c r="A7" s="30">
        <f>A4</f>
        <v>46174</v>
      </c>
      <c r="B7" s="31" t="s">
        <v>81</v>
      </c>
      <c r="C7" s="31" t="s">
        <v>44</v>
      </c>
      <c r="D7" s="32" t="s">
        <v>45</v>
      </c>
      <c r="E7" s="33"/>
      <c r="F7" s="33"/>
      <c r="G7" s="33"/>
      <c r="H7" s="33"/>
      <c r="I7" s="34" t="str">
        <f t="shared" si="0"/>
        <v>0/3</v>
      </c>
    </row>
    <row r="8" spans="1:9" x14ac:dyDescent="0.25">
      <c r="A8" s="30">
        <f>A4</f>
        <v>46174</v>
      </c>
      <c r="B8" s="31" t="s">
        <v>81</v>
      </c>
      <c r="C8" s="31" t="s">
        <v>46</v>
      </c>
      <c r="D8" s="32" t="s">
        <v>47</v>
      </c>
      <c r="E8" s="33"/>
      <c r="F8" s="33"/>
      <c r="G8" s="33"/>
      <c r="H8" s="33"/>
      <c r="I8" s="34" t="str">
        <f t="shared" si="0"/>
        <v>0/3</v>
      </c>
    </row>
    <row r="9" spans="1:9" x14ac:dyDescent="0.25">
      <c r="A9" s="30">
        <f>A4</f>
        <v>46174</v>
      </c>
      <c r="B9" s="31" t="s">
        <v>81</v>
      </c>
      <c r="C9" s="31" t="s">
        <v>48</v>
      </c>
      <c r="D9" s="32" t="s">
        <v>49</v>
      </c>
      <c r="E9" s="33"/>
      <c r="F9" s="33"/>
      <c r="G9" s="33"/>
      <c r="H9" s="33"/>
      <c r="I9" s="34" t="str">
        <f t="shared" si="0"/>
        <v>0/3</v>
      </c>
    </row>
    <row r="10" spans="1:9" x14ac:dyDescent="0.25">
      <c r="A10" s="30">
        <f>A4</f>
        <v>46174</v>
      </c>
      <c r="B10" s="31" t="s">
        <v>81</v>
      </c>
      <c r="C10" s="31" t="s">
        <v>50</v>
      </c>
      <c r="D10" s="32" t="s">
        <v>51</v>
      </c>
      <c r="E10" s="33"/>
      <c r="F10" s="33"/>
      <c r="G10" s="33"/>
      <c r="H10" s="33"/>
      <c r="I10" s="34" t="str">
        <f t="shared" si="0"/>
        <v>0/3</v>
      </c>
    </row>
    <row r="11" spans="1:9" x14ac:dyDescent="0.25">
      <c r="A11" s="30">
        <f>A4</f>
        <v>46174</v>
      </c>
      <c r="B11" s="31" t="s">
        <v>82</v>
      </c>
      <c r="C11" s="31" t="s">
        <v>37</v>
      </c>
      <c r="D11" s="32" t="s">
        <v>39</v>
      </c>
      <c r="E11" s="33"/>
      <c r="F11" s="33"/>
      <c r="G11" s="33"/>
      <c r="H11" s="33"/>
      <c r="I11" s="34" t="str">
        <f>COUNTA(E11:H11)&amp;"/4"</f>
        <v>0/4</v>
      </c>
    </row>
    <row r="12" spans="1:9" ht="30" x14ac:dyDescent="0.25">
      <c r="A12" s="30">
        <f>A4</f>
        <v>46174</v>
      </c>
      <c r="B12" s="31" t="s">
        <v>82</v>
      </c>
      <c r="C12" s="31" t="s">
        <v>40</v>
      </c>
      <c r="D12" s="32" t="s">
        <v>41</v>
      </c>
      <c r="E12" s="33"/>
      <c r="F12" s="33"/>
      <c r="G12" s="33"/>
      <c r="H12" s="33"/>
      <c r="I12" s="34" t="str">
        <f t="shared" ref="I12:I24" si="1">COUNTA(E12:G12)&amp;"/3"</f>
        <v>0/3</v>
      </c>
    </row>
    <row r="13" spans="1:9" x14ac:dyDescent="0.25">
      <c r="A13" s="30">
        <f>A4</f>
        <v>46174</v>
      </c>
      <c r="B13" s="31" t="s">
        <v>82</v>
      </c>
      <c r="C13" s="31" t="s">
        <v>42</v>
      </c>
      <c r="D13" s="32" t="s">
        <v>43</v>
      </c>
      <c r="E13" s="33"/>
      <c r="F13" s="33"/>
      <c r="G13" s="33"/>
      <c r="H13" s="33"/>
      <c r="I13" s="34" t="str">
        <f t="shared" si="1"/>
        <v>0/3</v>
      </c>
    </row>
    <row r="14" spans="1:9" x14ac:dyDescent="0.25">
      <c r="A14" s="30">
        <f>A4</f>
        <v>46174</v>
      </c>
      <c r="B14" s="31" t="s">
        <v>82</v>
      </c>
      <c r="C14" s="31" t="s">
        <v>44</v>
      </c>
      <c r="D14" s="32" t="s">
        <v>45</v>
      </c>
      <c r="E14" s="33"/>
      <c r="F14" s="33"/>
      <c r="G14" s="33"/>
      <c r="H14" s="33"/>
      <c r="I14" s="34" t="str">
        <f t="shared" si="1"/>
        <v>0/3</v>
      </c>
    </row>
    <row r="15" spans="1:9" x14ac:dyDescent="0.25">
      <c r="A15" s="30">
        <f>A4</f>
        <v>46174</v>
      </c>
      <c r="B15" s="31" t="s">
        <v>82</v>
      </c>
      <c r="C15" s="31" t="s">
        <v>46</v>
      </c>
      <c r="D15" s="32" t="s">
        <v>47</v>
      </c>
      <c r="E15" s="33"/>
      <c r="F15" s="33"/>
      <c r="G15" s="33"/>
      <c r="H15" s="33"/>
      <c r="I15" s="34" t="str">
        <f t="shared" si="1"/>
        <v>0/3</v>
      </c>
    </row>
    <row r="16" spans="1:9" x14ac:dyDescent="0.25">
      <c r="A16" s="30">
        <f>A4</f>
        <v>46174</v>
      </c>
      <c r="B16" s="31" t="s">
        <v>82</v>
      </c>
      <c r="C16" s="31" t="s">
        <v>48</v>
      </c>
      <c r="D16" s="32" t="s">
        <v>49</v>
      </c>
      <c r="E16" s="33"/>
      <c r="F16" s="33"/>
      <c r="G16" s="33"/>
      <c r="H16" s="33"/>
      <c r="I16" s="34" t="str">
        <f t="shared" si="1"/>
        <v>0/3</v>
      </c>
    </row>
    <row r="17" spans="1:9" x14ac:dyDescent="0.25">
      <c r="A17" s="30">
        <f>A4</f>
        <v>46174</v>
      </c>
      <c r="B17" s="31" t="s">
        <v>82</v>
      </c>
      <c r="C17" s="31" t="s">
        <v>50</v>
      </c>
      <c r="D17" s="32" t="s">
        <v>51</v>
      </c>
      <c r="E17" s="33"/>
      <c r="F17" s="33"/>
      <c r="G17" s="33"/>
      <c r="H17" s="33"/>
      <c r="I17" s="34" t="str">
        <f t="shared" si="1"/>
        <v>0/3</v>
      </c>
    </row>
    <row r="18" spans="1:9" x14ac:dyDescent="0.25">
      <c r="A18" s="30">
        <f>A4+7</f>
        <v>46181</v>
      </c>
      <c r="B18" s="31" t="s">
        <v>81</v>
      </c>
      <c r="C18" s="31" t="s">
        <v>37</v>
      </c>
      <c r="D18" s="32" t="s">
        <v>39</v>
      </c>
      <c r="E18" s="33"/>
      <c r="F18" s="33"/>
      <c r="G18" s="33"/>
      <c r="H18" s="33"/>
      <c r="I18" s="34" t="str">
        <f t="shared" si="1"/>
        <v>0/3</v>
      </c>
    </row>
    <row r="19" spans="1:9" ht="30" x14ac:dyDescent="0.25">
      <c r="A19" s="30">
        <f>A18</f>
        <v>46181</v>
      </c>
      <c r="B19" s="31" t="s">
        <v>81</v>
      </c>
      <c r="C19" s="31" t="s">
        <v>40</v>
      </c>
      <c r="D19" s="32" t="s">
        <v>41</v>
      </c>
      <c r="E19" s="33"/>
      <c r="F19" s="33"/>
      <c r="G19" s="33"/>
      <c r="H19" s="33"/>
      <c r="I19" s="34" t="str">
        <f t="shared" si="1"/>
        <v>0/3</v>
      </c>
    </row>
    <row r="20" spans="1:9" x14ac:dyDescent="0.25">
      <c r="A20" s="30">
        <f>A18</f>
        <v>46181</v>
      </c>
      <c r="B20" s="31" t="s">
        <v>81</v>
      </c>
      <c r="C20" s="31" t="s">
        <v>42</v>
      </c>
      <c r="D20" s="32" t="s">
        <v>43</v>
      </c>
      <c r="E20" s="33"/>
      <c r="F20" s="33"/>
      <c r="G20" s="33"/>
      <c r="H20" s="33"/>
      <c r="I20" s="34" t="str">
        <f t="shared" si="1"/>
        <v>0/3</v>
      </c>
    </row>
    <row r="21" spans="1:9" x14ac:dyDescent="0.25">
      <c r="A21" s="30">
        <f>A18</f>
        <v>46181</v>
      </c>
      <c r="B21" s="31" t="s">
        <v>81</v>
      </c>
      <c r="C21" s="31" t="s">
        <v>44</v>
      </c>
      <c r="D21" s="32" t="s">
        <v>45</v>
      </c>
      <c r="E21" s="33"/>
      <c r="F21" s="33"/>
      <c r="G21" s="33"/>
      <c r="H21" s="33"/>
      <c r="I21" s="34" t="str">
        <f t="shared" si="1"/>
        <v>0/3</v>
      </c>
    </row>
    <row r="22" spans="1:9" x14ac:dyDescent="0.25">
      <c r="A22" s="30">
        <f>A18</f>
        <v>46181</v>
      </c>
      <c r="B22" s="31" t="s">
        <v>81</v>
      </c>
      <c r="C22" s="31" t="s">
        <v>46</v>
      </c>
      <c r="D22" s="32" t="s">
        <v>47</v>
      </c>
      <c r="E22" s="33"/>
      <c r="F22" s="33"/>
      <c r="G22" s="33"/>
      <c r="H22" s="33"/>
      <c r="I22" s="34" t="str">
        <f t="shared" si="1"/>
        <v>0/3</v>
      </c>
    </row>
    <row r="23" spans="1:9" x14ac:dyDescent="0.25">
      <c r="A23" s="30">
        <f>A18</f>
        <v>46181</v>
      </c>
      <c r="B23" s="31" t="s">
        <v>81</v>
      </c>
      <c r="C23" s="31" t="s">
        <v>48</v>
      </c>
      <c r="D23" s="32" t="s">
        <v>49</v>
      </c>
      <c r="E23" s="33"/>
      <c r="F23" s="33"/>
      <c r="G23" s="33"/>
      <c r="H23" s="33"/>
      <c r="I23" s="34" t="str">
        <f t="shared" si="1"/>
        <v>0/3</v>
      </c>
    </row>
    <row r="24" spans="1:9" x14ac:dyDescent="0.25">
      <c r="A24" s="30">
        <f>A18</f>
        <v>46181</v>
      </c>
      <c r="B24" s="31" t="s">
        <v>81</v>
      </c>
      <c r="C24" s="31" t="s">
        <v>50</v>
      </c>
      <c r="D24" s="32" t="s">
        <v>51</v>
      </c>
      <c r="E24" s="33"/>
      <c r="F24" s="33"/>
      <c r="G24" s="33"/>
      <c r="H24" s="33"/>
      <c r="I24" s="34" t="str">
        <f t="shared" si="1"/>
        <v>0/3</v>
      </c>
    </row>
    <row r="25" spans="1:9" x14ac:dyDescent="0.25">
      <c r="A25" s="30">
        <f>A18</f>
        <v>46181</v>
      </c>
      <c r="B25" s="31" t="s">
        <v>82</v>
      </c>
      <c r="C25" s="31" t="s">
        <v>37</v>
      </c>
      <c r="D25" s="32" t="s">
        <v>39</v>
      </c>
      <c r="E25" s="33"/>
      <c r="F25" s="33"/>
      <c r="G25" s="33"/>
      <c r="H25" s="33"/>
      <c r="I25" s="34" t="str">
        <f>COUNTA(E25:H25)&amp;"/4"</f>
        <v>0/4</v>
      </c>
    </row>
    <row r="26" spans="1:9" ht="30" x14ac:dyDescent="0.25">
      <c r="A26" s="30">
        <f>A18</f>
        <v>46181</v>
      </c>
      <c r="B26" s="31" t="s">
        <v>82</v>
      </c>
      <c r="C26" s="31" t="s">
        <v>40</v>
      </c>
      <c r="D26" s="32" t="s">
        <v>41</v>
      </c>
      <c r="E26" s="33"/>
      <c r="F26" s="33"/>
      <c r="G26" s="33"/>
      <c r="H26" s="33"/>
      <c r="I26" s="34" t="str">
        <f t="shared" ref="I26:I38" si="2">COUNTA(E26:G26)&amp;"/3"</f>
        <v>0/3</v>
      </c>
    </row>
    <row r="27" spans="1:9" x14ac:dyDescent="0.25">
      <c r="A27" s="30">
        <f>A18</f>
        <v>46181</v>
      </c>
      <c r="B27" s="31" t="s">
        <v>82</v>
      </c>
      <c r="C27" s="31" t="s">
        <v>42</v>
      </c>
      <c r="D27" s="32" t="s">
        <v>43</v>
      </c>
      <c r="E27" s="33"/>
      <c r="F27" s="33"/>
      <c r="G27" s="33"/>
      <c r="H27" s="33"/>
      <c r="I27" s="34" t="str">
        <f t="shared" si="2"/>
        <v>0/3</v>
      </c>
    </row>
    <row r="28" spans="1:9" x14ac:dyDescent="0.25">
      <c r="A28" s="30">
        <f>A18</f>
        <v>46181</v>
      </c>
      <c r="B28" s="31" t="s">
        <v>82</v>
      </c>
      <c r="C28" s="31" t="s">
        <v>44</v>
      </c>
      <c r="D28" s="32" t="s">
        <v>45</v>
      </c>
      <c r="E28" s="33"/>
      <c r="F28" s="33"/>
      <c r="G28" s="33"/>
      <c r="H28" s="33"/>
      <c r="I28" s="34" t="str">
        <f t="shared" si="2"/>
        <v>0/3</v>
      </c>
    </row>
    <row r="29" spans="1:9" x14ac:dyDescent="0.25">
      <c r="A29" s="30">
        <f>A18</f>
        <v>46181</v>
      </c>
      <c r="B29" s="31" t="s">
        <v>82</v>
      </c>
      <c r="C29" s="31" t="s">
        <v>46</v>
      </c>
      <c r="D29" s="32" t="s">
        <v>47</v>
      </c>
      <c r="E29" s="33"/>
      <c r="F29" s="33"/>
      <c r="G29" s="33"/>
      <c r="H29" s="33"/>
      <c r="I29" s="34" t="str">
        <f t="shared" si="2"/>
        <v>0/3</v>
      </c>
    </row>
    <row r="30" spans="1:9" x14ac:dyDescent="0.25">
      <c r="A30" s="30">
        <f>A18</f>
        <v>46181</v>
      </c>
      <c r="B30" s="31" t="s">
        <v>82</v>
      </c>
      <c r="C30" s="31" t="s">
        <v>48</v>
      </c>
      <c r="D30" s="32" t="s">
        <v>49</v>
      </c>
      <c r="E30" s="33"/>
      <c r="F30" s="33"/>
      <c r="G30" s="33"/>
      <c r="H30" s="33"/>
      <c r="I30" s="34" t="str">
        <f t="shared" si="2"/>
        <v>0/3</v>
      </c>
    </row>
    <row r="31" spans="1:9" x14ac:dyDescent="0.25">
      <c r="A31" s="30">
        <f>A18</f>
        <v>46181</v>
      </c>
      <c r="B31" s="31" t="s">
        <v>82</v>
      </c>
      <c r="C31" s="31" t="s">
        <v>50</v>
      </c>
      <c r="D31" s="32" t="s">
        <v>51</v>
      </c>
      <c r="E31" s="33"/>
      <c r="F31" s="33"/>
      <c r="G31" s="33"/>
      <c r="H31" s="33"/>
      <c r="I31" s="34" t="str">
        <f t="shared" si="2"/>
        <v>0/3</v>
      </c>
    </row>
    <row r="32" spans="1:9" x14ac:dyDescent="0.25">
      <c r="A32" s="30">
        <f>A18+7</f>
        <v>46188</v>
      </c>
      <c r="B32" s="31" t="s">
        <v>81</v>
      </c>
      <c r="C32" s="31" t="s">
        <v>37</v>
      </c>
      <c r="D32" s="32" t="s">
        <v>39</v>
      </c>
      <c r="E32" s="33"/>
      <c r="F32" s="33"/>
      <c r="G32" s="33"/>
      <c r="H32" s="33"/>
      <c r="I32" s="34" t="str">
        <f t="shared" si="2"/>
        <v>0/3</v>
      </c>
    </row>
    <row r="33" spans="1:9" ht="30" x14ac:dyDescent="0.25">
      <c r="A33" s="30">
        <f>A32</f>
        <v>46188</v>
      </c>
      <c r="B33" s="31" t="s">
        <v>81</v>
      </c>
      <c r="C33" s="31" t="s">
        <v>40</v>
      </c>
      <c r="D33" s="32" t="s">
        <v>41</v>
      </c>
      <c r="E33" s="33"/>
      <c r="F33" s="33"/>
      <c r="G33" s="33"/>
      <c r="H33" s="33"/>
      <c r="I33" s="34" t="str">
        <f t="shared" si="2"/>
        <v>0/3</v>
      </c>
    </row>
    <row r="34" spans="1:9" x14ac:dyDescent="0.25">
      <c r="A34" s="30">
        <f>A32</f>
        <v>46188</v>
      </c>
      <c r="B34" s="31" t="s">
        <v>81</v>
      </c>
      <c r="C34" s="31" t="s">
        <v>42</v>
      </c>
      <c r="D34" s="32" t="s">
        <v>43</v>
      </c>
      <c r="E34" s="33"/>
      <c r="F34" s="33"/>
      <c r="G34" s="33"/>
      <c r="H34" s="33"/>
      <c r="I34" s="34" t="str">
        <f t="shared" si="2"/>
        <v>0/3</v>
      </c>
    </row>
    <row r="35" spans="1:9" x14ac:dyDescent="0.25">
      <c r="A35" s="30">
        <f>A32</f>
        <v>46188</v>
      </c>
      <c r="B35" s="31" t="s">
        <v>81</v>
      </c>
      <c r="C35" s="31" t="s">
        <v>44</v>
      </c>
      <c r="D35" s="32" t="s">
        <v>45</v>
      </c>
      <c r="E35" s="33"/>
      <c r="F35" s="33"/>
      <c r="G35" s="33"/>
      <c r="H35" s="33"/>
      <c r="I35" s="34" t="str">
        <f t="shared" si="2"/>
        <v>0/3</v>
      </c>
    </row>
    <row r="36" spans="1:9" x14ac:dyDescent="0.25">
      <c r="A36" s="30">
        <f>A32</f>
        <v>46188</v>
      </c>
      <c r="B36" s="31" t="s">
        <v>81</v>
      </c>
      <c r="C36" s="31" t="s">
        <v>46</v>
      </c>
      <c r="D36" s="32" t="s">
        <v>47</v>
      </c>
      <c r="E36" s="33"/>
      <c r="F36" s="33"/>
      <c r="G36" s="33"/>
      <c r="H36" s="33"/>
      <c r="I36" s="34" t="str">
        <f t="shared" si="2"/>
        <v>0/3</v>
      </c>
    </row>
    <row r="37" spans="1:9" x14ac:dyDescent="0.25">
      <c r="A37" s="30">
        <f>A32</f>
        <v>46188</v>
      </c>
      <c r="B37" s="31" t="s">
        <v>81</v>
      </c>
      <c r="C37" s="31" t="s">
        <v>48</v>
      </c>
      <c r="D37" s="32" t="s">
        <v>49</v>
      </c>
      <c r="E37" s="33"/>
      <c r="F37" s="33"/>
      <c r="G37" s="33"/>
      <c r="H37" s="33"/>
      <c r="I37" s="34" t="str">
        <f t="shared" si="2"/>
        <v>0/3</v>
      </c>
    </row>
    <row r="38" spans="1:9" x14ac:dyDescent="0.25">
      <c r="A38" s="30">
        <f>A32</f>
        <v>46188</v>
      </c>
      <c r="B38" s="31" t="s">
        <v>81</v>
      </c>
      <c r="C38" s="31" t="s">
        <v>50</v>
      </c>
      <c r="D38" s="32" t="s">
        <v>51</v>
      </c>
      <c r="E38" s="33"/>
      <c r="F38" s="33"/>
      <c r="G38" s="33"/>
      <c r="H38" s="33"/>
      <c r="I38" s="34" t="str">
        <f t="shared" si="2"/>
        <v>0/3</v>
      </c>
    </row>
    <row r="39" spans="1:9" x14ac:dyDescent="0.25">
      <c r="A39" s="30">
        <f>A32</f>
        <v>46188</v>
      </c>
      <c r="B39" s="31" t="s">
        <v>82</v>
      </c>
      <c r="C39" s="31" t="s">
        <v>37</v>
      </c>
      <c r="D39" s="32" t="s">
        <v>39</v>
      </c>
      <c r="E39" s="33"/>
      <c r="F39" s="33"/>
      <c r="G39" s="33"/>
      <c r="H39" s="33"/>
      <c r="I39" s="34" t="str">
        <f>COUNTA(E39:H39)&amp;"/4"</f>
        <v>0/4</v>
      </c>
    </row>
    <row r="40" spans="1:9" ht="30" x14ac:dyDescent="0.25">
      <c r="A40" s="30">
        <f>A32</f>
        <v>46188</v>
      </c>
      <c r="B40" s="31" t="s">
        <v>82</v>
      </c>
      <c r="C40" s="31" t="s">
        <v>40</v>
      </c>
      <c r="D40" s="32" t="s">
        <v>41</v>
      </c>
      <c r="E40" s="33"/>
      <c r="F40" s="33"/>
      <c r="G40" s="33"/>
      <c r="H40" s="33"/>
      <c r="I40" s="34" t="str">
        <f t="shared" ref="I40:I52" si="3">COUNTA(E40:G40)&amp;"/3"</f>
        <v>0/3</v>
      </c>
    </row>
    <row r="41" spans="1:9" x14ac:dyDescent="0.25">
      <c r="A41" s="30">
        <f>A32</f>
        <v>46188</v>
      </c>
      <c r="B41" s="31" t="s">
        <v>82</v>
      </c>
      <c r="C41" s="31" t="s">
        <v>42</v>
      </c>
      <c r="D41" s="32" t="s">
        <v>43</v>
      </c>
      <c r="E41" s="33"/>
      <c r="F41" s="33"/>
      <c r="G41" s="33"/>
      <c r="H41" s="33"/>
      <c r="I41" s="34" t="str">
        <f t="shared" si="3"/>
        <v>0/3</v>
      </c>
    </row>
    <row r="42" spans="1:9" x14ac:dyDescent="0.25">
      <c r="A42" s="30">
        <f>A32</f>
        <v>46188</v>
      </c>
      <c r="B42" s="31" t="s">
        <v>82</v>
      </c>
      <c r="C42" s="31" t="s">
        <v>44</v>
      </c>
      <c r="D42" s="32" t="s">
        <v>45</v>
      </c>
      <c r="E42" s="33"/>
      <c r="F42" s="33"/>
      <c r="G42" s="33"/>
      <c r="H42" s="33"/>
      <c r="I42" s="34" t="str">
        <f t="shared" si="3"/>
        <v>0/3</v>
      </c>
    </row>
    <row r="43" spans="1:9" x14ac:dyDescent="0.25">
      <c r="A43" s="30">
        <f>A32</f>
        <v>46188</v>
      </c>
      <c r="B43" s="31" t="s">
        <v>82</v>
      </c>
      <c r="C43" s="31" t="s">
        <v>46</v>
      </c>
      <c r="D43" s="32" t="s">
        <v>47</v>
      </c>
      <c r="E43" s="33"/>
      <c r="F43" s="33"/>
      <c r="G43" s="33"/>
      <c r="H43" s="33"/>
      <c r="I43" s="34" t="str">
        <f t="shared" si="3"/>
        <v>0/3</v>
      </c>
    </row>
    <row r="44" spans="1:9" x14ac:dyDescent="0.25">
      <c r="A44" s="30">
        <f>A32</f>
        <v>46188</v>
      </c>
      <c r="B44" s="31" t="s">
        <v>82</v>
      </c>
      <c r="C44" s="31" t="s">
        <v>48</v>
      </c>
      <c r="D44" s="32" t="s">
        <v>49</v>
      </c>
      <c r="E44" s="33"/>
      <c r="F44" s="33"/>
      <c r="G44" s="33"/>
      <c r="H44" s="33"/>
      <c r="I44" s="34" t="str">
        <f t="shared" si="3"/>
        <v>0/3</v>
      </c>
    </row>
    <row r="45" spans="1:9" x14ac:dyDescent="0.25">
      <c r="A45" s="30">
        <f>A32</f>
        <v>46188</v>
      </c>
      <c r="B45" s="31" t="s">
        <v>82</v>
      </c>
      <c r="C45" s="31" t="s">
        <v>50</v>
      </c>
      <c r="D45" s="32" t="s">
        <v>51</v>
      </c>
      <c r="E45" s="33"/>
      <c r="F45" s="33"/>
      <c r="G45" s="33"/>
      <c r="H45" s="33"/>
      <c r="I45" s="34" t="str">
        <f t="shared" si="3"/>
        <v>0/3</v>
      </c>
    </row>
    <row r="46" spans="1:9" x14ac:dyDescent="0.25">
      <c r="A46" s="30">
        <f>A32+7</f>
        <v>46195</v>
      </c>
      <c r="B46" s="31" t="s">
        <v>81</v>
      </c>
      <c r="C46" s="31" t="s">
        <v>37</v>
      </c>
      <c r="D46" s="32" t="s">
        <v>39</v>
      </c>
      <c r="E46" s="33"/>
      <c r="F46" s="33"/>
      <c r="G46" s="33"/>
      <c r="H46" s="33"/>
      <c r="I46" s="34" t="str">
        <f t="shared" si="3"/>
        <v>0/3</v>
      </c>
    </row>
    <row r="47" spans="1:9" ht="30" x14ac:dyDescent="0.25">
      <c r="A47" s="30">
        <f>A46</f>
        <v>46195</v>
      </c>
      <c r="B47" s="31" t="s">
        <v>81</v>
      </c>
      <c r="C47" s="31" t="s">
        <v>40</v>
      </c>
      <c r="D47" s="32" t="s">
        <v>41</v>
      </c>
      <c r="E47" s="33"/>
      <c r="F47" s="33"/>
      <c r="G47" s="33"/>
      <c r="H47" s="33"/>
      <c r="I47" s="34" t="str">
        <f t="shared" si="3"/>
        <v>0/3</v>
      </c>
    </row>
    <row r="48" spans="1:9" x14ac:dyDescent="0.25">
      <c r="A48" s="30">
        <f>A46</f>
        <v>46195</v>
      </c>
      <c r="B48" s="31" t="s">
        <v>81</v>
      </c>
      <c r="C48" s="31" t="s">
        <v>42</v>
      </c>
      <c r="D48" s="32" t="s">
        <v>43</v>
      </c>
      <c r="E48" s="33"/>
      <c r="F48" s="33"/>
      <c r="G48" s="33"/>
      <c r="H48" s="33"/>
      <c r="I48" s="34" t="str">
        <f t="shared" si="3"/>
        <v>0/3</v>
      </c>
    </row>
    <row r="49" spans="1:9" x14ac:dyDescent="0.25">
      <c r="A49" s="30">
        <f>A46</f>
        <v>46195</v>
      </c>
      <c r="B49" s="31" t="s">
        <v>81</v>
      </c>
      <c r="C49" s="31" t="s">
        <v>44</v>
      </c>
      <c r="D49" s="32" t="s">
        <v>45</v>
      </c>
      <c r="E49" s="33"/>
      <c r="F49" s="33"/>
      <c r="G49" s="33"/>
      <c r="H49" s="33"/>
      <c r="I49" s="34" t="str">
        <f t="shared" si="3"/>
        <v>0/3</v>
      </c>
    </row>
    <row r="50" spans="1:9" x14ac:dyDescent="0.25">
      <c r="A50" s="30">
        <f>A46</f>
        <v>46195</v>
      </c>
      <c r="B50" s="31" t="s">
        <v>81</v>
      </c>
      <c r="C50" s="31" t="s">
        <v>46</v>
      </c>
      <c r="D50" s="32" t="s">
        <v>47</v>
      </c>
      <c r="E50" s="33"/>
      <c r="F50" s="33"/>
      <c r="G50" s="33"/>
      <c r="H50" s="33"/>
      <c r="I50" s="34" t="str">
        <f t="shared" si="3"/>
        <v>0/3</v>
      </c>
    </row>
    <row r="51" spans="1:9" x14ac:dyDescent="0.25">
      <c r="A51" s="30">
        <f>A46</f>
        <v>46195</v>
      </c>
      <c r="B51" s="31" t="s">
        <v>81</v>
      </c>
      <c r="C51" s="31" t="s">
        <v>48</v>
      </c>
      <c r="D51" s="32" t="s">
        <v>49</v>
      </c>
      <c r="E51" s="33"/>
      <c r="F51" s="33"/>
      <c r="G51" s="33"/>
      <c r="H51" s="33"/>
      <c r="I51" s="34" t="str">
        <f t="shared" si="3"/>
        <v>0/3</v>
      </c>
    </row>
    <row r="52" spans="1:9" x14ac:dyDescent="0.25">
      <c r="A52" s="30">
        <f>A46</f>
        <v>46195</v>
      </c>
      <c r="B52" s="31" t="s">
        <v>81</v>
      </c>
      <c r="C52" s="31" t="s">
        <v>50</v>
      </c>
      <c r="D52" s="32" t="s">
        <v>51</v>
      </c>
      <c r="E52" s="33"/>
      <c r="F52" s="33"/>
      <c r="G52" s="33"/>
      <c r="H52" s="33"/>
      <c r="I52" s="34" t="str">
        <f t="shared" si="3"/>
        <v>0/3</v>
      </c>
    </row>
    <row r="53" spans="1:9" x14ac:dyDescent="0.25">
      <c r="A53" s="30">
        <f>A46</f>
        <v>46195</v>
      </c>
      <c r="B53" s="31" t="s">
        <v>82</v>
      </c>
      <c r="C53" s="31" t="s">
        <v>37</v>
      </c>
      <c r="D53" s="32" t="s">
        <v>39</v>
      </c>
      <c r="E53" s="33"/>
      <c r="F53" s="33"/>
      <c r="G53" s="33"/>
      <c r="H53" s="33"/>
      <c r="I53" s="34" t="str">
        <f>COUNTA(E53:H53)&amp;"/4"</f>
        <v>0/4</v>
      </c>
    </row>
    <row r="54" spans="1:9" ht="30" x14ac:dyDescent="0.25">
      <c r="A54" s="30">
        <f>A46</f>
        <v>46195</v>
      </c>
      <c r="B54" s="31" t="s">
        <v>82</v>
      </c>
      <c r="C54" s="31" t="s">
        <v>40</v>
      </c>
      <c r="D54" s="32" t="s">
        <v>41</v>
      </c>
      <c r="E54" s="33"/>
      <c r="F54" s="33"/>
      <c r="G54" s="33"/>
      <c r="H54" s="33"/>
      <c r="I54" s="34" t="str">
        <f t="shared" ref="I54:I66" si="4">COUNTA(E54:G54)&amp;"/3"</f>
        <v>0/3</v>
      </c>
    </row>
    <row r="55" spans="1:9" x14ac:dyDescent="0.25">
      <c r="A55" s="30">
        <f>A46</f>
        <v>46195</v>
      </c>
      <c r="B55" s="31" t="s">
        <v>82</v>
      </c>
      <c r="C55" s="31" t="s">
        <v>42</v>
      </c>
      <c r="D55" s="32" t="s">
        <v>43</v>
      </c>
      <c r="E55" s="33"/>
      <c r="F55" s="33"/>
      <c r="G55" s="33"/>
      <c r="H55" s="33"/>
      <c r="I55" s="34" t="str">
        <f t="shared" si="4"/>
        <v>0/3</v>
      </c>
    </row>
    <row r="56" spans="1:9" x14ac:dyDescent="0.25">
      <c r="A56" s="30">
        <f>A46</f>
        <v>46195</v>
      </c>
      <c r="B56" s="31" t="s">
        <v>82</v>
      </c>
      <c r="C56" s="31" t="s">
        <v>44</v>
      </c>
      <c r="D56" s="32" t="s">
        <v>45</v>
      </c>
      <c r="E56" s="33"/>
      <c r="F56" s="33"/>
      <c r="G56" s="33"/>
      <c r="H56" s="33"/>
      <c r="I56" s="34" t="str">
        <f t="shared" si="4"/>
        <v>0/3</v>
      </c>
    </row>
    <row r="57" spans="1:9" x14ac:dyDescent="0.25">
      <c r="A57" s="30">
        <f>A46</f>
        <v>46195</v>
      </c>
      <c r="B57" s="31" t="s">
        <v>82</v>
      </c>
      <c r="C57" s="31" t="s">
        <v>46</v>
      </c>
      <c r="D57" s="32" t="s">
        <v>47</v>
      </c>
      <c r="E57" s="33"/>
      <c r="F57" s="33"/>
      <c r="G57" s="33"/>
      <c r="H57" s="33"/>
      <c r="I57" s="34" t="str">
        <f t="shared" si="4"/>
        <v>0/3</v>
      </c>
    </row>
    <row r="58" spans="1:9" x14ac:dyDescent="0.25">
      <c r="A58" s="30">
        <f>A46</f>
        <v>46195</v>
      </c>
      <c r="B58" s="31" t="s">
        <v>82</v>
      </c>
      <c r="C58" s="31" t="s">
        <v>48</v>
      </c>
      <c r="D58" s="32" t="s">
        <v>49</v>
      </c>
      <c r="E58" s="33"/>
      <c r="F58" s="33"/>
      <c r="G58" s="33"/>
      <c r="H58" s="33"/>
      <c r="I58" s="34" t="str">
        <f t="shared" si="4"/>
        <v>0/3</v>
      </c>
    </row>
    <row r="59" spans="1:9" x14ac:dyDescent="0.25">
      <c r="A59" s="30">
        <f>A46</f>
        <v>46195</v>
      </c>
      <c r="B59" s="31" t="s">
        <v>82</v>
      </c>
      <c r="C59" s="31" t="s">
        <v>50</v>
      </c>
      <c r="D59" s="32" t="s">
        <v>51</v>
      </c>
      <c r="E59" s="33"/>
      <c r="F59" s="33"/>
      <c r="G59" s="33"/>
      <c r="H59" s="33"/>
      <c r="I59" s="34" t="str">
        <f t="shared" si="4"/>
        <v>0/3</v>
      </c>
    </row>
    <row r="60" spans="1:9" x14ac:dyDescent="0.25">
      <c r="A60" s="30">
        <f>A46+7</f>
        <v>46202</v>
      </c>
      <c r="B60" s="31" t="s">
        <v>81</v>
      </c>
      <c r="C60" s="31" t="s">
        <v>37</v>
      </c>
      <c r="D60" s="32" t="s">
        <v>39</v>
      </c>
      <c r="E60" s="33"/>
      <c r="F60" s="33"/>
      <c r="G60" s="33"/>
      <c r="H60" s="33"/>
      <c r="I60" s="34" t="str">
        <f t="shared" si="4"/>
        <v>0/3</v>
      </c>
    </row>
    <row r="61" spans="1:9" ht="30" x14ac:dyDescent="0.25">
      <c r="A61" s="30">
        <f>A60</f>
        <v>46202</v>
      </c>
      <c r="B61" s="31" t="s">
        <v>81</v>
      </c>
      <c r="C61" s="31" t="s">
        <v>40</v>
      </c>
      <c r="D61" s="32" t="s">
        <v>41</v>
      </c>
      <c r="E61" s="33"/>
      <c r="F61" s="33"/>
      <c r="G61" s="33"/>
      <c r="H61" s="33"/>
      <c r="I61" s="34" t="str">
        <f t="shared" si="4"/>
        <v>0/3</v>
      </c>
    </row>
    <row r="62" spans="1:9" x14ac:dyDescent="0.25">
      <c r="A62" s="30">
        <f>A60</f>
        <v>46202</v>
      </c>
      <c r="B62" s="31" t="s">
        <v>81</v>
      </c>
      <c r="C62" s="31" t="s">
        <v>42</v>
      </c>
      <c r="D62" s="32" t="s">
        <v>43</v>
      </c>
      <c r="E62" s="33"/>
      <c r="F62" s="33"/>
      <c r="G62" s="33"/>
      <c r="H62" s="33"/>
      <c r="I62" s="34" t="str">
        <f t="shared" si="4"/>
        <v>0/3</v>
      </c>
    </row>
    <row r="63" spans="1:9" x14ac:dyDescent="0.25">
      <c r="A63" s="30">
        <f>A60</f>
        <v>46202</v>
      </c>
      <c r="B63" s="31" t="s">
        <v>81</v>
      </c>
      <c r="C63" s="31" t="s">
        <v>44</v>
      </c>
      <c r="D63" s="32" t="s">
        <v>45</v>
      </c>
      <c r="E63" s="33"/>
      <c r="F63" s="33"/>
      <c r="G63" s="33"/>
      <c r="H63" s="33"/>
      <c r="I63" s="34" t="str">
        <f t="shared" si="4"/>
        <v>0/3</v>
      </c>
    </row>
    <row r="64" spans="1:9" x14ac:dyDescent="0.25">
      <c r="A64" s="30">
        <f>A60</f>
        <v>46202</v>
      </c>
      <c r="B64" s="31" t="s">
        <v>81</v>
      </c>
      <c r="C64" s="31" t="s">
        <v>46</v>
      </c>
      <c r="D64" s="32" t="s">
        <v>47</v>
      </c>
      <c r="E64" s="33"/>
      <c r="F64" s="33"/>
      <c r="G64" s="33"/>
      <c r="H64" s="33"/>
      <c r="I64" s="34" t="str">
        <f t="shared" si="4"/>
        <v>0/3</v>
      </c>
    </row>
    <row r="65" spans="1:9" x14ac:dyDescent="0.25">
      <c r="A65" s="30">
        <f>A60</f>
        <v>46202</v>
      </c>
      <c r="B65" s="31" t="s">
        <v>81</v>
      </c>
      <c r="C65" s="31" t="s">
        <v>48</v>
      </c>
      <c r="D65" s="32" t="s">
        <v>49</v>
      </c>
      <c r="E65" s="33"/>
      <c r="F65" s="33"/>
      <c r="G65" s="33"/>
      <c r="H65" s="33"/>
      <c r="I65" s="34" t="str">
        <f t="shared" si="4"/>
        <v>0/3</v>
      </c>
    </row>
    <row r="66" spans="1:9" x14ac:dyDescent="0.25">
      <c r="A66" s="30">
        <f>A60</f>
        <v>46202</v>
      </c>
      <c r="B66" s="31" t="s">
        <v>81</v>
      </c>
      <c r="C66" s="31" t="s">
        <v>50</v>
      </c>
      <c r="D66" s="32" t="s">
        <v>51</v>
      </c>
      <c r="E66" s="33"/>
      <c r="F66" s="33"/>
      <c r="G66" s="33"/>
      <c r="H66" s="33"/>
      <c r="I66" s="34" t="str">
        <f t="shared" si="4"/>
        <v>0/3</v>
      </c>
    </row>
    <row r="67" spans="1:9" x14ac:dyDescent="0.25">
      <c r="A67" s="30">
        <f>A60</f>
        <v>46202</v>
      </c>
      <c r="B67" s="31" t="s">
        <v>82</v>
      </c>
      <c r="C67" s="31" t="s">
        <v>37</v>
      </c>
      <c r="D67" s="32" t="s">
        <v>39</v>
      </c>
      <c r="E67" s="33"/>
      <c r="F67" s="33"/>
      <c r="G67" s="33"/>
      <c r="H67" s="33"/>
      <c r="I67" s="34" t="str">
        <f>COUNTA(E67:H67)&amp;"/4"</f>
        <v>0/4</v>
      </c>
    </row>
    <row r="68" spans="1:9" ht="30" x14ac:dyDescent="0.25">
      <c r="A68" s="30">
        <f>A60</f>
        <v>46202</v>
      </c>
      <c r="B68" s="31" t="s">
        <v>82</v>
      </c>
      <c r="C68" s="31" t="s">
        <v>40</v>
      </c>
      <c r="D68" s="32" t="s">
        <v>41</v>
      </c>
      <c r="E68" s="33"/>
      <c r="F68" s="33"/>
      <c r="G68" s="33"/>
      <c r="H68" s="33"/>
      <c r="I68" s="34" t="str">
        <f t="shared" ref="I68:I80" si="5">COUNTA(E68:G68)&amp;"/3"</f>
        <v>0/3</v>
      </c>
    </row>
    <row r="69" spans="1:9" x14ac:dyDescent="0.25">
      <c r="A69" s="30">
        <f>A60</f>
        <v>46202</v>
      </c>
      <c r="B69" s="31" t="s">
        <v>82</v>
      </c>
      <c r="C69" s="31" t="s">
        <v>42</v>
      </c>
      <c r="D69" s="32" t="s">
        <v>43</v>
      </c>
      <c r="E69" s="33"/>
      <c r="F69" s="33"/>
      <c r="G69" s="33"/>
      <c r="H69" s="33"/>
      <c r="I69" s="34" t="str">
        <f t="shared" si="5"/>
        <v>0/3</v>
      </c>
    </row>
    <row r="70" spans="1:9" x14ac:dyDescent="0.25">
      <c r="A70" s="30">
        <f>A60</f>
        <v>46202</v>
      </c>
      <c r="B70" s="31" t="s">
        <v>82</v>
      </c>
      <c r="C70" s="31" t="s">
        <v>44</v>
      </c>
      <c r="D70" s="32" t="s">
        <v>45</v>
      </c>
      <c r="E70" s="33"/>
      <c r="F70" s="33"/>
      <c r="G70" s="33"/>
      <c r="H70" s="33"/>
      <c r="I70" s="34" t="str">
        <f t="shared" si="5"/>
        <v>0/3</v>
      </c>
    </row>
    <row r="71" spans="1:9" x14ac:dyDescent="0.25">
      <c r="A71" s="30">
        <f>A60</f>
        <v>46202</v>
      </c>
      <c r="B71" s="31" t="s">
        <v>82</v>
      </c>
      <c r="C71" s="31" t="s">
        <v>46</v>
      </c>
      <c r="D71" s="32" t="s">
        <v>47</v>
      </c>
      <c r="E71" s="33"/>
      <c r="F71" s="33"/>
      <c r="G71" s="33"/>
      <c r="H71" s="33"/>
      <c r="I71" s="34" t="str">
        <f t="shared" si="5"/>
        <v>0/3</v>
      </c>
    </row>
    <row r="72" spans="1:9" x14ac:dyDescent="0.25">
      <c r="A72" s="30">
        <f>A60</f>
        <v>46202</v>
      </c>
      <c r="B72" s="31" t="s">
        <v>82</v>
      </c>
      <c r="C72" s="31" t="s">
        <v>48</v>
      </c>
      <c r="D72" s="32" t="s">
        <v>49</v>
      </c>
      <c r="E72" s="33"/>
      <c r="F72" s="33"/>
      <c r="G72" s="33"/>
      <c r="H72" s="33"/>
      <c r="I72" s="34" t="str">
        <f t="shared" si="5"/>
        <v>0/3</v>
      </c>
    </row>
    <row r="73" spans="1:9" x14ac:dyDescent="0.25">
      <c r="A73" s="30">
        <f>A60</f>
        <v>46202</v>
      </c>
      <c r="B73" s="31" t="s">
        <v>82</v>
      </c>
      <c r="C73" s="31" t="s">
        <v>50</v>
      </c>
      <c r="D73" s="32" t="s">
        <v>51</v>
      </c>
      <c r="E73" s="33"/>
      <c r="F73" s="33"/>
      <c r="G73" s="33"/>
      <c r="H73" s="33"/>
      <c r="I73" s="34" t="str">
        <f t="shared" si="5"/>
        <v>0/3</v>
      </c>
    </row>
    <row r="74" spans="1:9" x14ac:dyDescent="0.25">
      <c r="A74" s="30">
        <f>A60+7</f>
        <v>46209</v>
      </c>
      <c r="B74" s="31" t="s">
        <v>81</v>
      </c>
      <c r="C74" s="31" t="s">
        <v>37</v>
      </c>
      <c r="D74" s="32" t="s">
        <v>39</v>
      </c>
      <c r="E74" s="33"/>
      <c r="F74" s="33"/>
      <c r="G74" s="33"/>
      <c r="H74" s="33"/>
      <c r="I74" s="34" t="str">
        <f t="shared" si="5"/>
        <v>0/3</v>
      </c>
    </row>
    <row r="75" spans="1:9" ht="30" x14ac:dyDescent="0.25">
      <c r="A75" s="30">
        <f>A74</f>
        <v>46209</v>
      </c>
      <c r="B75" s="31" t="s">
        <v>81</v>
      </c>
      <c r="C75" s="31" t="s">
        <v>40</v>
      </c>
      <c r="D75" s="32" t="s">
        <v>41</v>
      </c>
      <c r="E75" s="33"/>
      <c r="F75" s="33"/>
      <c r="G75" s="33"/>
      <c r="H75" s="33"/>
      <c r="I75" s="34" t="str">
        <f t="shared" si="5"/>
        <v>0/3</v>
      </c>
    </row>
    <row r="76" spans="1:9" x14ac:dyDescent="0.25">
      <c r="A76" s="30">
        <f>A74</f>
        <v>46209</v>
      </c>
      <c r="B76" s="31" t="s">
        <v>81</v>
      </c>
      <c r="C76" s="31" t="s">
        <v>42</v>
      </c>
      <c r="D76" s="32" t="s">
        <v>43</v>
      </c>
      <c r="E76" s="33"/>
      <c r="F76" s="33"/>
      <c r="G76" s="33"/>
      <c r="H76" s="33"/>
      <c r="I76" s="34" t="str">
        <f t="shared" si="5"/>
        <v>0/3</v>
      </c>
    </row>
    <row r="77" spans="1:9" x14ac:dyDescent="0.25">
      <c r="A77" s="30">
        <f>A74</f>
        <v>46209</v>
      </c>
      <c r="B77" s="31" t="s">
        <v>81</v>
      </c>
      <c r="C77" s="31" t="s">
        <v>44</v>
      </c>
      <c r="D77" s="32" t="s">
        <v>45</v>
      </c>
      <c r="E77" s="33"/>
      <c r="F77" s="33"/>
      <c r="G77" s="33"/>
      <c r="H77" s="33"/>
      <c r="I77" s="34" t="str">
        <f t="shared" si="5"/>
        <v>0/3</v>
      </c>
    </row>
    <row r="78" spans="1:9" x14ac:dyDescent="0.25">
      <c r="A78" s="30">
        <f>A74</f>
        <v>46209</v>
      </c>
      <c r="B78" s="31" t="s">
        <v>81</v>
      </c>
      <c r="C78" s="31" t="s">
        <v>46</v>
      </c>
      <c r="D78" s="32" t="s">
        <v>47</v>
      </c>
      <c r="E78" s="33"/>
      <c r="F78" s="33"/>
      <c r="G78" s="33"/>
      <c r="H78" s="33"/>
      <c r="I78" s="34" t="str">
        <f t="shared" si="5"/>
        <v>0/3</v>
      </c>
    </row>
    <row r="79" spans="1:9" x14ac:dyDescent="0.25">
      <c r="A79" s="30">
        <f>A74</f>
        <v>46209</v>
      </c>
      <c r="B79" s="31" t="s">
        <v>81</v>
      </c>
      <c r="C79" s="31" t="s">
        <v>48</v>
      </c>
      <c r="D79" s="32" t="s">
        <v>49</v>
      </c>
      <c r="E79" s="33"/>
      <c r="F79" s="33"/>
      <c r="G79" s="33"/>
      <c r="H79" s="33"/>
      <c r="I79" s="34" t="str">
        <f t="shared" si="5"/>
        <v>0/3</v>
      </c>
    </row>
    <row r="80" spans="1:9" x14ac:dyDescent="0.25">
      <c r="A80" s="30">
        <f>A74</f>
        <v>46209</v>
      </c>
      <c r="B80" s="31" t="s">
        <v>81</v>
      </c>
      <c r="C80" s="31" t="s">
        <v>50</v>
      </c>
      <c r="D80" s="32" t="s">
        <v>51</v>
      </c>
      <c r="E80" s="33"/>
      <c r="F80" s="33"/>
      <c r="G80" s="33"/>
      <c r="H80" s="33"/>
      <c r="I80" s="34" t="str">
        <f t="shared" si="5"/>
        <v>0/3</v>
      </c>
    </row>
    <row r="81" spans="1:9" x14ac:dyDescent="0.25">
      <c r="A81" s="30">
        <f>A74</f>
        <v>46209</v>
      </c>
      <c r="B81" s="31" t="s">
        <v>82</v>
      </c>
      <c r="C81" s="31" t="s">
        <v>37</v>
      </c>
      <c r="D81" s="32" t="s">
        <v>39</v>
      </c>
      <c r="E81" s="33"/>
      <c r="F81" s="33"/>
      <c r="G81" s="33"/>
      <c r="H81" s="33"/>
      <c r="I81" s="34" t="str">
        <f>COUNTA(E81:H81)&amp;"/4"</f>
        <v>0/4</v>
      </c>
    </row>
    <row r="82" spans="1:9" ht="30" x14ac:dyDescent="0.25">
      <c r="A82" s="30">
        <f>A74</f>
        <v>46209</v>
      </c>
      <c r="B82" s="31" t="s">
        <v>82</v>
      </c>
      <c r="C82" s="31" t="s">
        <v>40</v>
      </c>
      <c r="D82" s="32" t="s">
        <v>41</v>
      </c>
      <c r="E82" s="33"/>
      <c r="F82" s="33"/>
      <c r="G82" s="33"/>
      <c r="H82" s="33"/>
      <c r="I82" s="34" t="str">
        <f t="shared" ref="I82:I94" si="6">COUNTA(E82:G82)&amp;"/3"</f>
        <v>0/3</v>
      </c>
    </row>
    <row r="83" spans="1:9" x14ac:dyDescent="0.25">
      <c r="A83" s="30">
        <f>A74</f>
        <v>46209</v>
      </c>
      <c r="B83" s="31" t="s">
        <v>82</v>
      </c>
      <c r="C83" s="31" t="s">
        <v>42</v>
      </c>
      <c r="D83" s="32" t="s">
        <v>43</v>
      </c>
      <c r="E83" s="33"/>
      <c r="F83" s="33"/>
      <c r="G83" s="33"/>
      <c r="H83" s="33"/>
      <c r="I83" s="34" t="str">
        <f t="shared" si="6"/>
        <v>0/3</v>
      </c>
    </row>
    <row r="84" spans="1:9" x14ac:dyDescent="0.25">
      <c r="A84" s="30">
        <f>A74</f>
        <v>46209</v>
      </c>
      <c r="B84" s="31" t="s">
        <v>82</v>
      </c>
      <c r="C84" s="31" t="s">
        <v>44</v>
      </c>
      <c r="D84" s="32" t="s">
        <v>45</v>
      </c>
      <c r="E84" s="33"/>
      <c r="F84" s="33"/>
      <c r="G84" s="33"/>
      <c r="H84" s="33"/>
      <c r="I84" s="34" t="str">
        <f t="shared" si="6"/>
        <v>0/3</v>
      </c>
    </row>
    <row r="85" spans="1:9" x14ac:dyDescent="0.25">
      <c r="A85" s="30">
        <f>A74</f>
        <v>46209</v>
      </c>
      <c r="B85" s="31" t="s">
        <v>82</v>
      </c>
      <c r="C85" s="31" t="s">
        <v>46</v>
      </c>
      <c r="D85" s="32" t="s">
        <v>47</v>
      </c>
      <c r="E85" s="33"/>
      <c r="F85" s="33"/>
      <c r="G85" s="33"/>
      <c r="H85" s="33"/>
      <c r="I85" s="34" t="str">
        <f t="shared" si="6"/>
        <v>0/3</v>
      </c>
    </row>
    <row r="86" spans="1:9" x14ac:dyDescent="0.25">
      <c r="A86" s="30">
        <f>A74</f>
        <v>46209</v>
      </c>
      <c r="B86" s="31" t="s">
        <v>82</v>
      </c>
      <c r="C86" s="31" t="s">
        <v>48</v>
      </c>
      <c r="D86" s="32" t="s">
        <v>49</v>
      </c>
      <c r="E86" s="33"/>
      <c r="F86" s="33"/>
      <c r="G86" s="33"/>
      <c r="H86" s="33"/>
      <c r="I86" s="34" t="str">
        <f t="shared" si="6"/>
        <v>0/3</v>
      </c>
    </row>
    <row r="87" spans="1:9" x14ac:dyDescent="0.25">
      <c r="A87" s="30">
        <f>A74</f>
        <v>46209</v>
      </c>
      <c r="B87" s="31" t="s">
        <v>82</v>
      </c>
      <c r="C87" s="31" t="s">
        <v>50</v>
      </c>
      <c r="D87" s="32" t="s">
        <v>51</v>
      </c>
      <c r="E87" s="33"/>
      <c r="F87" s="33"/>
      <c r="G87" s="33"/>
      <c r="H87" s="33"/>
      <c r="I87" s="34" t="str">
        <f t="shared" si="6"/>
        <v>0/3</v>
      </c>
    </row>
    <row r="88" spans="1:9" x14ac:dyDescent="0.25">
      <c r="A88" s="30">
        <f>A74+7</f>
        <v>46216</v>
      </c>
      <c r="B88" s="31" t="s">
        <v>81</v>
      </c>
      <c r="C88" s="31" t="s">
        <v>37</v>
      </c>
      <c r="D88" s="32" t="s">
        <v>39</v>
      </c>
      <c r="E88" s="33"/>
      <c r="F88" s="33"/>
      <c r="G88" s="33"/>
      <c r="H88" s="33"/>
      <c r="I88" s="34" t="str">
        <f t="shared" si="6"/>
        <v>0/3</v>
      </c>
    </row>
    <row r="89" spans="1:9" ht="30" x14ac:dyDescent="0.25">
      <c r="A89" s="30">
        <f>A88</f>
        <v>46216</v>
      </c>
      <c r="B89" s="31" t="s">
        <v>81</v>
      </c>
      <c r="C89" s="31" t="s">
        <v>40</v>
      </c>
      <c r="D89" s="32" t="s">
        <v>41</v>
      </c>
      <c r="E89" s="33"/>
      <c r="F89" s="33"/>
      <c r="G89" s="33"/>
      <c r="H89" s="33"/>
      <c r="I89" s="34" t="str">
        <f t="shared" si="6"/>
        <v>0/3</v>
      </c>
    </row>
    <row r="90" spans="1:9" x14ac:dyDescent="0.25">
      <c r="A90" s="30">
        <f>A88</f>
        <v>46216</v>
      </c>
      <c r="B90" s="31" t="s">
        <v>81</v>
      </c>
      <c r="C90" s="31" t="s">
        <v>42</v>
      </c>
      <c r="D90" s="32" t="s">
        <v>43</v>
      </c>
      <c r="E90" s="33"/>
      <c r="F90" s="33"/>
      <c r="G90" s="33"/>
      <c r="H90" s="33"/>
      <c r="I90" s="34" t="str">
        <f t="shared" si="6"/>
        <v>0/3</v>
      </c>
    </row>
    <row r="91" spans="1:9" x14ac:dyDescent="0.25">
      <c r="A91" s="30">
        <f>A88</f>
        <v>46216</v>
      </c>
      <c r="B91" s="31" t="s">
        <v>81</v>
      </c>
      <c r="C91" s="31" t="s">
        <v>44</v>
      </c>
      <c r="D91" s="32" t="s">
        <v>45</v>
      </c>
      <c r="E91" s="33"/>
      <c r="F91" s="33"/>
      <c r="G91" s="33"/>
      <c r="H91" s="33"/>
      <c r="I91" s="34" t="str">
        <f t="shared" si="6"/>
        <v>0/3</v>
      </c>
    </row>
    <row r="92" spans="1:9" x14ac:dyDescent="0.25">
      <c r="A92" s="30">
        <f>A88</f>
        <v>46216</v>
      </c>
      <c r="B92" s="31" t="s">
        <v>81</v>
      </c>
      <c r="C92" s="31" t="s">
        <v>46</v>
      </c>
      <c r="D92" s="32" t="s">
        <v>47</v>
      </c>
      <c r="E92" s="33"/>
      <c r="F92" s="33"/>
      <c r="G92" s="33"/>
      <c r="H92" s="33"/>
      <c r="I92" s="34" t="str">
        <f t="shared" si="6"/>
        <v>0/3</v>
      </c>
    </row>
    <row r="93" spans="1:9" x14ac:dyDescent="0.25">
      <c r="A93" s="30">
        <f>A88</f>
        <v>46216</v>
      </c>
      <c r="B93" s="31" t="s">
        <v>81</v>
      </c>
      <c r="C93" s="31" t="s">
        <v>48</v>
      </c>
      <c r="D93" s="32" t="s">
        <v>49</v>
      </c>
      <c r="E93" s="33"/>
      <c r="F93" s="33"/>
      <c r="G93" s="33"/>
      <c r="H93" s="33"/>
      <c r="I93" s="34" t="str">
        <f t="shared" si="6"/>
        <v>0/3</v>
      </c>
    </row>
    <row r="94" spans="1:9" x14ac:dyDescent="0.25">
      <c r="A94" s="30">
        <f>A88</f>
        <v>46216</v>
      </c>
      <c r="B94" s="31" t="s">
        <v>81</v>
      </c>
      <c r="C94" s="31" t="s">
        <v>50</v>
      </c>
      <c r="D94" s="32" t="s">
        <v>51</v>
      </c>
      <c r="E94" s="33"/>
      <c r="F94" s="33"/>
      <c r="G94" s="33"/>
      <c r="H94" s="33"/>
      <c r="I94" s="34" t="str">
        <f t="shared" si="6"/>
        <v>0/3</v>
      </c>
    </row>
    <row r="95" spans="1:9" x14ac:dyDescent="0.25">
      <c r="A95" s="30">
        <f>A88</f>
        <v>46216</v>
      </c>
      <c r="B95" s="31" t="s">
        <v>82</v>
      </c>
      <c r="C95" s="31" t="s">
        <v>37</v>
      </c>
      <c r="D95" s="32" t="s">
        <v>39</v>
      </c>
      <c r="E95" s="33"/>
      <c r="F95" s="33"/>
      <c r="G95" s="33"/>
      <c r="H95" s="33"/>
      <c r="I95" s="34" t="str">
        <f>COUNTA(E95:H95)&amp;"/4"</f>
        <v>0/4</v>
      </c>
    </row>
    <row r="96" spans="1:9" ht="30" x14ac:dyDescent="0.25">
      <c r="A96" s="30">
        <f>A88</f>
        <v>46216</v>
      </c>
      <c r="B96" s="31" t="s">
        <v>82</v>
      </c>
      <c r="C96" s="31" t="s">
        <v>40</v>
      </c>
      <c r="D96" s="32" t="s">
        <v>41</v>
      </c>
      <c r="E96" s="33"/>
      <c r="F96" s="33"/>
      <c r="G96" s="33"/>
      <c r="H96" s="33"/>
      <c r="I96" s="34" t="str">
        <f t="shared" ref="I96:I108" si="7">COUNTA(E96:G96)&amp;"/3"</f>
        <v>0/3</v>
      </c>
    </row>
    <row r="97" spans="1:9" x14ac:dyDescent="0.25">
      <c r="A97" s="30">
        <f>A88</f>
        <v>46216</v>
      </c>
      <c r="B97" s="31" t="s">
        <v>82</v>
      </c>
      <c r="C97" s="31" t="s">
        <v>42</v>
      </c>
      <c r="D97" s="32" t="s">
        <v>43</v>
      </c>
      <c r="E97" s="33"/>
      <c r="F97" s="33"/>
      <c r="G97" s="33"/>
      <c r="H97" s="33"/>
      <c r="I97" s="34" t="str">
        <f t="shared" si="7"/>
        <v>0/3</v>
      </c>
    </row>
    <row r="98" spans="1:9" x14ac:dyDescent="0.25">
      <c r="A98" s="30">
        <f>A88</f>
        <v>46216</v>
      </c>
      <c r="B98" s="31" t="s">
        <v>82</v>
      </c>
      <c r="C98" s="31" t="s">
        <v>44</v>
      </c>
      <c r="D98" s="32" t="s">
        <v>45</v>
      </c>
      <c r="E98" s="33"/>
      <c r="F98" s="33"/>
      <c r="G98" s="33"/>
      <c r="H98" s="33"/>
      <c r="I98" s="34" t="str">
        <f t="shared" si="7"/>
        <v>0/3</v>
      </c>
    </row>
    <row r="99" spans="1:9" x14ac:dyDescent="0.25">
      <c r="A99" s="30">
        <f>A88</f>
        <v>46216</v>
      </c>
      <c r="B99" s="31" t="s">
        <v>82</v>
      </c>
      <c r="C99" s="31" t="s">
        <v>46</v>
      </c>
      <c r="D99" s="32" t="s">
        <v>47</v>
      </c>
      <c r="E99" s="33"/>
      <c r="F99" s="33"/>
      <c r="G99" s="33"/>
      <c r="H99" s="33"/>
      <c r="I99" s="34" t="str">
        <f t="shared" si="7"/>
        <v>0/3</v>
      </c>
    </row>
    <row r="100" spans="1:9" x14ac:dyDescent="0.25">
      <c r="A100" s="30">
        <f>A88</f>
        <v>46216</v>
      </c>
      <c r="B100" s="31" t="s">
        <v>82</v>
      </c>
      <c r="C100" s="31" t="s">
        <v>48</v>
      </c>
      <c r="D100" s="32" t="s">
        <v>49</v>
      </c>
      <c r="E100" s="33"/>
      <c r="F100" s="33"/>
      <c r="G100" s="33"/>
      <c r="H100" s="33"/>
      <c r="I100" s="34" t="str">
        <f t="shared" si="7"/>
        <v>0/3</v>
      </c>
    </row>
    <row r="101" spans="1:9" x14ac:dyDescent="0.25">
      <c r="A101" s="30">
        <f>A88</f>
        <v>46216</v>
      </c>
      <c r="B101" s="31" t="s">
        <v>82</v>
      </c>
      <c r="C101" s="31" t="s">
        <v>50</v>
      </c>
      <c r="D101" s="32" t="s">
        <v>51</v>
      </c>
      <c r="E101" s="33"/>
      <c r="F101" s="33"/>
      <c r="G101" s="33"/>
      <c r="H101" s="33"/>
      <c r="I101" s="34" t="str">
        <f t="shared" si="7"/>
        <v>0/3</v>
      </c>
    </row>
    <row r="102" spans="1:9" x14ac:dyDescent="0.25">
      <c r="A102" s="30">
        <f>A88+7</f>
        <v>46223</v>
      </c>
      <c r="B102" s="31" t="s">
        <v>81</v>
      </c>
      <c r="C102" s="31" t="s">
        <v>37</v>
      </c>
      <c r="D102" s="32" t="s">
        <v>39</v>
      </c>
      <c r="E102" s="33"/>
      <c r="F102" s="33"/>
      <c r="G102" s="33"/>
      <c r="H102" s="33"/>
      <c r="I102" s="34" t="str">
        <f t="shared" si="7"/>
        <v>0/3</v>
      </c>
    </row>
    <row r="103" spans="1:9" ht="30" x14ac:dyDescent="0.25">
      <c r="A103" s="30">
        <f>A102</f>
        <v>46223</v>
      </c>
      <c r="B103" s="31" t="s">
        <v>81</v>
      </c>
      <c r="C103" s="31" t="s">
        <v>40</v>
      </c>
      <c r="D103" s="32" t="s">
        <v>41</v>
      </c>
      <c r="E103" s="33"/>
      <c r="F103" s="33"/>
      <c r="G103" s="33"/>
      <c r="H103" s="33"/>
      <c r="I103" s="34" t="str">
        <f t="shared" si="7"/>
        <v>0/3</v>
      </c>
    </row>
    <row r="104" spans="1:9" x14ac:dyDescent="0.25">
      <c r="A104" s="30">
        <f>A102</f>
        <v>46223</v>
      </c>
      <c r="B104" s="31" t="s">
        <v>81</v>
      </c>
      <c r="C104" s="31" t="s">
        <v>42</v>
      </c>
      <c r="D104" s="32" t="s">
        <v>43</v>
      </c>
      <c r="E104" s="33"/>
      <c r="F104" s="33"/>
      <c r="G104" s="33"/>
      <c r="H104" s="33"/>
      <c r="I104" s="34" t="str">
        <f t="shared" si="7"/>
        <v>0/3</v>
      </c>
    </row>
    <row r="105" spans="1:9" x14ac:dyDescent="0.25">
      <c r="A105" s="30">
        <f>A102</f>
        <v>46223</v>
      </c>
      <c r="B105" s="31" t="s">
        <v>81</v>
      </c>
      <c r="C105" s="31" t="s">
        <v>44</v>
      </c>
      <c r="D105" s="32" t="s">
        <v>45</v>
      </c>
      <c r="E105" s="33"/>
      <c r="F105" s="33"/>
      <c r="G105" s="33"/>
      <c r="H105" s="33"/>
      <c r="I105" s="34" t="str">
        <f t="shared" si="7"/>
        <v>0/3</v>
      </c>
    </row>
    <row r="106" spans="1:9" x14ac:dyDescent="0.25">
      <c r="A106" s="30">
        <f>A102</f>
        <v>46223</v>
      </c>
      <c r="B106" s="31" t="s">
        <v>81</v>
      </c>
      <c r="C106" s="31" t="s">
        <v>46</v>
      </c>
      <c r="D106" s="32" t="s">
        <v>47</v>
      </c>
      <c r="E106" s="33"/>
      <c r="F106" s="33"/>
      <c r="G106" s="33"/>
      <c r="H106" s="33"/>
      <c r="I106" s="34" t="str">
        <f t="shared" si="7"/>
        <v>0/3</v>
      </c>
    </row>
    <row r="107" spans="1:9" x14ac:dyDescent="0.25">
      <c r="A107" s="30">
        <f>A102</f>
        <v>46223</v>
      </c>
      <c r="B107" s="31" t="s">
        <v>81</v>
      </c>
      <c r="C107" s="31" t="s">
        <v>48</v>
      </c>
      <c r="D107" s="32" t="s">
        <v>49</v>
      </c>
      <c r="E107" s="33"/>
      <c r="F107" s="33"/>
      <c r="G107" s="33"/>
      <c r="H107" s="33"/>
      <c r="I107" s="34" t="str">
        <f t="shared" si="7"/>
        <v>0/3</v>
      </c>
    </row>
    <row r="108" spans="1:9" x14ac:dyDescent="0.25">
      <c r="A108" s="30">
        <f>A102</f>
        <v>46223</v>
      </c>
      <c r="B108" s="31" t="s">
        <v>81</v>
      </c>
      <c r="C108" s="31" t="s">
        <v>50</v>
      </c>
      <c r="D108" s="32" t="s">
        <v>51</v>
      </c>
      <c r="E108" s="33"/>
      <c r="F108" s="33"/>
      <c r="G108" s="33"/>
      <c r="H108" s="33"/>
      <c r="I108" s="34" t="str">
        <f t="shared" si="7"/>
        <v>0/3</v>
      </c>
    </row>
    <row r="109" spans="1:9" x14ac:dyDescent="0.25">
      <c r="A109" s="30">
        <f>A102</f>
        <v>46223</v>
      </c>
      <c r="B109" s="31" t="s">
        <v>82</v>
      </c>
      <c r="C109" s="31" t="s">
        <v>37</v>
      </c>
      <c r="D109" s="32" t="s">
        <v>39</v>
      </c>
      <c r="E109" s="33"/>
      <c r="F109" s="33"/>
      <c r="G109" s="33"/>
      <c r="H109" s="33"/>
      <c r="I109" s="34" t="str">
        <f>COUNTA(E109:H109)&amp;"/4"</f>
        <v>0/4</v>
      </c>
    </row>
    <row r="110" spans="1:9" ht="30" x14ac:dyDescent="0.25">
      <c r="A110" s="30">
        <f>A102</f>
        <v>46223</v>
      </c>
      <c r="B110" s="31" t="s">
        <v>82</v>
      </c>
      <c r="C110" s="31" t="s">
        <v>40</v>
      </c>
      <c r="D110" s="32" t="s">
        <v>41</v>
      </c>
      <c r="E110" s="33"/>
      <c r="F110" s="33"/>
      <c r="G110" s="33"/>
      <c r="H110" s="33"/>
      <c r="I110" s="34" t="str">
        <f t="shared" ref="I110:I122" si="8">COUNTA(E110:G110)&amp;"/3"</f>
        <v>0/3</v>
      </c>
    </row>
    <row r="111" spans="1:9" x14ac:dyDescent="0.25">
      <c r="A111" s="30">
        <f>A102</f>
        <v>46223</v>
      </c>
      <c r="B111" s="31" t="s">
        <v>82</v>
      </c>
      <c r="C111" s="31" t="s">
        <v>42</v>
      </c>
      <c r="D111" s="32" t="s">
        <v>43</v>
      </c>
      <c r="E111" s="33"/>
      <c r="F111" s="33"/>
      <c r="G111" s="33"/>
      <c r="H111" s="33"/>
      <c r="I111" s="34" t="str">
        <f t="shared" si="8"/>
        <v>0/3</v>
      </c>
    </row>
    <row r="112" spans="1:9" x14ac:dyDescent="0.25">
      <c r="A112" s="30">
        <f>A102</f>
        <v>46223</v>
      </c>
      <c r="B112" s="31" t="s">
        <v>82</v>
      </c>
      <c r="C112" s="31" t="s">
        <v>44</v>
      </c>
      <c r="D112" s="32" t="s">
        <v>45</v>
      </c>
      <c r="E112" s="33"/>
      <c r="F112" s="33"/>
      <c r="G112" s="33"/>
      <c r="H112" s="33"/>
      <c r="I112" s="34" t="str">
        <f t="shared" si="8"/>
        <v>0/3</v>
      </c>
    </row>
    <row r="113" spans="1:9" x14ac:dyDescent="0.25">
      <c r="A113" s="30">
        <f>A102</f>
        <v>46223</v>
      </c>
      <c r="B113" s="31" t="s">
        <v>82</v>
      </c>
      <c r="C113" s="31" t="s">
        <v>46</v>
      </c>
      <c r="D113" s="32" t="s">
        <v>47</v>
      </c>
      <c r="E113" s="33"/>
      <c r="F113" s="33"/>
      <c r="G113" s="33"/>
      <c r="H113" s="33"/>
      <c r="I113" s="34" t="str">
        <f t="shared" si="8"/>
        <v>0/3</v>
      </c>
    </row>
    <row r="114" spans="1:9" x14ac:dyDescent="0.25">
      <c r="A114" s="30">
        <f>A102</f>
        <v>46223</v>
      </c>
      <c r="B114" s="31" t="s">
        <v>82</v>
      </c>
      <c r="C114" s="31" t="s">
        <v>48</v>
      </c>
      <c r="D114" s="32" t="s">
        <v>49</v>
      </c>
      <c r="E114" s="33"/>
      <c r="F114" s="33"/>
      <c r="G114" s="33"/>
      <c r="H114" s="33"/>
      <c r="I114" s="34" t="str">
        <f t="shared" si="8"/>
        <v>0/3</v>
      </c>
    </row>
    <row r="115" spans="1:9" x14ac:dyDescent="0.25">
      <c r="A115" s="30">
        <f>A102</f>
        <v>46223</v>
      </c>
      <c r="B115" s="31" t="s">
        <v>82</v>
      </c>
      <c r="C115" s="31" t="s">
        <v>50</v>
      </c>
      <c r="D115" s="32" t="s">
        <v>51</v>
      </c>
      <c r="E115" s="33"/>
      <c r="F115" s="33"/>
      <c r="G115" s="33"/>
      <c r="H115" s="33"/>
      <c r="I115" s="34" t="str">
        <f t="shared" si="8"/>
        <v>0/3</v>
      </c>
    </row>
    <row r="116" spans="1:9" x14ac:dyDescent="0.25">
      <c r="A116" s="30">
        <f>A102+7</f>
        <v>46230</v>
      </c>
      <c r="B116" s="31" t="s">
        <v>81</v>
      </c>
      <c r="C116" s="31" t="s">
        <v>37</v>
      </c>
      <c r="D116" s="32" t="s">
        <v>39</v>
      </c>
      <c r="E116" s="33"/>
      <c r="F116" s="33"/>
      <c r="G116" s="33"/>
      <c r="H116" s="33"/>
      <c r="I116" s="34" t="str">
        <f t="shared" si="8"/>
        <v>0/3</v>
      </c>
    </row>
    <row r="117" spans="1:9" ht="30" x14ac:dyDescent="0.25">
      <c r="A117" s="30">
        <f>A116</f>
        <v>46230</v>
      </c>
      <c r="B117" s="31" t="s">
        <v>81</v>
      </c>
      <c r="C117" s="31" t="s">
        <v>40</v>
      </c>
      <c r="D117" s="32" t="s">
        <v>41</v>
      </c>
      <c r="E117" s="33"/>
      <c r="F117" s="33"/>
      <c r="G117" s="33"/>
      <c r="H117" s="33"/>
      <c r="I117" s="34" t="str">
        <f t="shared" si="8"/>
        <v>0/3</v>
      </c>
    </row>
    <row r="118" spans="1:9" x14ac:dyDescent="0.25">
      <c r="A118" s="30">
        <f>A116</f>
        <v>46230</v>
      </c>
      <c r="B118" s="31" t="s">
        <v>81</v>
      </c>
      <c r="C118" s="31" t="s">
        <v>42</v>
      </c>
      <c r="D118" s="32" t="s">
        <v>43</v>
      </c>
      <c r="E118" s="33"/>
      <c r="F118" s="33"/>
      <c r="G118" s="33"/>
      <c r="H118" s="33"/>
      <c r="I118" s="34" t="str">
        <f t="shared" si="8"/>
        <v>0/3</v>
      </c>
    </row>
    <row r="119" spans="1:9" x14ac:dyDescent="0.25">
      <c r="A119" s="30">
        <f>A116</f>
        <v>46230</v>
      </c>
      <c r="B119" s="31" t="s">
        <v>81</v>
      </c>
      <c r="C119" s="31" t="s">
        <v>44</v>
      </c>
      <c r="D119" s="32" t="s">
        <v>45</v>
      </c>
      <c r="E119" s="33"/>
      <c r="F119" s="33"/>
      <c r="G119" s="33"/>
      <c r="H119" s="33"/>
      <c r="I119" s="34" t="str">
        <f t="shared" si="8"/>
        <v>0/3</v>
      </c>
    </row>
    <row r="120" spans="1:9" x14ac:dyDescent="0.25">
      <c r="A120" s="30">
        <f>A116</f>
        <v>46230</v>
      </c>
      <c r="B120" s="31" t="s">
        <v>81</v>
      </c>
      <c r="C120" s="31" t="s">
        <v>46</v>
      </c>
      <c r="D120" s="32" t="s">
        <v>47</v>
      </c>
      <c r="E120" s="33"/>
      <c r="F120" s="33"/>
      <c r="G120" s="33"/>
      <c r="H120" s="33"/>
      <c r="I120" s="34" t="str">
        <f t="shared" si="8"/>
        <v>0/3</v>
      </c>
    </row>
    <row r="121" spans="1:9" x14ac:dyDescent="0.25">
      <c r="A121" s="30">
        <f>A116</f>
        <v>46230</v>
      </c>
      <c r="B121" s="31" t="s">
        <v>81</v>
      </c>
      <c r="C121" s="31" t="s">
        <v>48</v>
      </c>
      <c r="D121" s="32" t="s">
        <v>49</v>
      </c>
      <c r="E121" s="33"/>
      <c r="F121" s="33"/>
      <c r="G121" s="33"/>
      <c r="H121" s="33"/>
      <c r="I121" s="34" t="str">
        <f t="shared" si="8"/>
        <v>0/3</v>
      </c>
    </row>
    <row r="122" spans="1:9" x14ac:dyDescent="0.25">
      <c r="A122" s="30">
        <f>A116</f>
        <v>46230</v>
      </c>
      <c r="B122" s="31" t="s">
        <v>81</v>
      </c>
      <c r="C122" s="31" t="s">
        <v>50</v>
      </c>
      <c r="D122" s="32" t="s">
        <v>51</v>
      </c>
      <c r="E122" s="33"/>
      <c r="F122" s="33"/>
      <c r="G122" s="33"/>
      <c r="H122" s="33"/>
      <c r="I122" s="34" t="str">
        <f t="shared" si="8"/>
        <v>0/3</v>
      </c>
    </row>
    <row r="123" spans="1:9" x14ac:dyDescent="0.25">
      <c r="A123" s="30">
        <f>A116</f>
        <v>46230</v>
      </c>
      <c r="B123" s="31" t="s">
        <v>82</v>
      </c>
      <c r="C123" s="31" t="s">
        <v>37</v>
      </c>
      <c r="D123" s="32" t="s">
        <v>39</v>
      </c>
      <c r="E123" s="33"/>
      <c r="F123" s="33"/>
      <c r="G123" s="33"/>
      <c r="H123" s="33"/>
      <c r="I123" s="34" t="str">
        <f>COUNTA(E123:H123)&amp;"/4"</f>
        <v>0/4</v>
      </c>
    </row>
    <row r="124" spans="1:9" ht="30" x14ac:dyDescent="0.25">
      <c r="A124" s="30">
        <f>A116</f>
        <v>46230</v>
      </c>
      <c r="B124" s="31" t="s">
        <v>82</v>
      </c>
      <c r="C124" s="31" t="s">
        <v>40</v>
      </c>
      <c r="D124" s="32" t="s">
        <v>41</v>
      </c>
      <c r="E124" s="33"/>
      <c r="F124" s="33"/>
      <c r="G124" s="33"/>
      <c r="H124" s="33"/>
      <c r="I124" s="34" t="str">
        <f t="shared" ref="I124:I136" si="9">COUNTA(E124:G124)&amp;"/3"</f>
        <v>0/3</v>
      </c>
    </row>
    <row r="125" spans="1:9" x14ac:dyDescent="0.25">
      <c r="A125" s="30">
        <f>A116</f>
        <v>46230</v>
      </c>
      <c r="B125" s="31" t="s">
        <v>82</v>
      </c>
      <c r="C125" s="31" t="s">
        <v>42</v>
      </c>
      <c r="D125" s="32" t="s">
        <v>43</v>
      </c>
      <c r="E125" s="33"/>
      <c r="F125" s="33"/>
      <c r="G125" s="33"/>
      <c r="H125" s="33"/>
      <c r="I125" s="34" t="str">
        <f t="shared" si="9"/>
        <v>0/3</v>
      </c>
    </row>
    <row r="126" spans="1:9" x14ac:dyDescent="0.25">
      <c r="A126" s="30">
        <f>A116</f>
        <v>46230</v>
      </c>
      <c r="B126" s="31" t="s">
        <v>82</v>
      </c>
      <c r="C126" s="31" t="s">
        <v>44</v>
      </c>
      <c r="D126" s="32" t="s">
        <v>45</v>
      </c>
      <c r="E126" s="33"/>
      <c r="F126" s="33"/>
      <c r="G126" s="33"/>
      <c r="H126" s="33"/>
      <c r="I126" s="34" t="str">
        <f t="shared" si="9"/>
        <v>0/3</v>
      </c>
    </row>
    <row r="127" spans="1:9" x14ac:dyDescent="0.25">
      <c r="A127" s="30">
        <f>A116</f>
        <v>46230</v>
      </c>
      <c r="B127" s="31" t="s">
        <v>82</v>
      </c>
      <c r="C127" s="31" t="s">
        <v>46</v>
      </c>
      <c r="D127" s="32" t="s">
        <v>47</v>
      </c>
      <c r="E127" s="33"/>
      <c r="F127" s="33"/>
      <c r="G127" s="33"/>
      <c r="H127" s="33"/>
      <c r="I127" s="34" t="str">
        <f t="shared" si="9"/>
        <v>0/3</v>
      </c>
    </row>
    <row r="128" spans="1:9" x14ac:dyDescent="0.25">
      <c r="A128" s="30">
        <f>A116</f>
        <v>46230</v>
      </c>
      <c r="B128" s="31" t="s">
        <v>82</v>
      </c>
      <c r="C128" s="31" t="s">
        <v>48</v>
      </c>
      <c r="D128" s="32" t="s">
        <v>49</v>
      </c>
      <c r="E128" s="33"/>
      <c r="F128" s="33"/>
      <c r="G128" s="33"/>
      <c r="H128" s="33"/>
      <c r="I128" s="34" t="str">
        <f t="shared" si="9"/>
        <v>0/3</v>
      </c>
    </row>
    <row r="129" spans="1:9" x14ac:dyDescent="0.25">
      <c r="A129" s="30">
        <f>A116</f>
        <v>46230</v>
      </c>
      <c r="B129" s="31" t="s">
        <v>82</v>
      </c>
      <c r="C129" s="31" t="s">
        <v>50</v>
      </c>
      <c r="D129" s="32" t="s">
        <v>51</v>
      </c>
      <c r="E129" s="33"/>
      <c r="F129" s="33"/>
      <c r="G129" s="33"/>
      <c r="H129" s="33"/>
      <c r="I129" s="34" t="str">
        <f t="shared" si="9"/>
        <v>0/3</v>
      </c>
    </row>
    <row r="130" spans="1:9" x14ac:dyDescent="0.25">
      <c r="A130" s="30">
        <f>A116+7</f>
        <v>46237</v>
      </c>
      <c r="B130" s="31" t="s">
        <v>81</v>
      </c>
      <c r="C130" s="31" t="s">
        <v>37</v>
      </c>
      <c r="D130" s="32" t="s">
        <v>39</v>
      </c>
      <c r="E130" s="33"/>
      <c r="F130" s="33"/>
      <c r="G130" s="33"/>
      <c r="H130" s="33"/>
      <c r="I130" s="34" t="str">
        <f t="shared" si="9"/>
        <v>0/3</v>
      </c>
    </row>
    <row r="131" spans="1:9" ht="30" x14ac:dyDescent="0.25">
      <c r="A131" s="30">
        <f>A130</f>
        <v>46237</v>
      </c>
      <c r="B131" s="31" t="s">
        <v>81</v>
      </c>
      <c r="C131" s="31" t="s">
        <v>40</v>
      </c>
      <c r="D131" s="32" t="s">
        <v>41</v>
      </c>
      <c r="E131" s="33"/>
      <c r="F131" s="33"/>
      <c r="G131" s="33"/>
      <c r="H131" s="33"/>
      <c r="I131" s="34" t="str">
        <f t="shared" si="9"/>
        <v>0/3</v>
      </c>
    </row>
    <row r="132" spans="1:9" x14ac:dyDescent="0.25">
      <c r="A132" s="30">
        <f>A130</f>
        <v>46237</v>
      </c>
      <c r="B132" s="31" t="s">
        <v>81</v>
      </c>
      <c r="C132" s="31" t="s">
        <v>42</v>
      </c>
      <c r="D132" s="32" t="s">
        <v>43</v>
      </c>
      <c r="E132" s="33"/>
      <c r="F132" s="33"/>
      <c r="G132" s="33"/>
      <c r="H132" s="33"/>
      <c r="I132" s="34" t="str">
        <f t="shared" si="9"/>
        <v>0/3</v>
      </c>
    </row>
    <row r="133" spans="1:9" x14ac:dyDescent="0.25">
      <c r="A133" s="30">
        <f>A130</f>
        <v>46237</v>
      </c>
      <c r="B133" s="31" t="s">
        <v>81</v>
      </c>
      <c r="C133" s="31" t="s">
        <v>44</v>
      </c>
      <c r="D133" s="32" t="s">
        <v>45</v>
      </c>
      <c r="E133" s="33"/>
      <c r="F133" s="33"/>
      <c r="G133" s="33"/>
      <c r="H133" s="33"/>
      <c r="I133" s="34" t="str">
        <f t="shared" si="9"/>
        <v>0/3</v>
      </c>
    </row>
    <row r="134" spans="1:9" x14ac:dyDescent="0.25">
      <c r="A134" s="30">
        <f>A130</f>
        <v>46237</v>
      </c>
      <c r="B134" s="31" t="s">
        <v>81</v>
      </c>
      <c r="C134" s="31" t="s">
        <v>46</v>
      </c>
      <c r="D134" s="32" t="s">
        <v>47</v>
      </c>
      <c r="E134" s="33"/>
      <c r="F134" s="33"/>
      <c r="G134" s="33"/>
      <c r="H134" s="33"/>
      <c r="I134" s="34" t="str">
        <f t="shared" si="9"/>
        <v>0/3</v>
      </c>
    </row>
    <row r="135" spans="1:9" x14ac:dyDescent="0.25">
      <c r="A135" s="30">
        <f>A130</f>
        <v>46237</v>
      </c>
      <c r="B135" s="31" t="s">
        <v>81</v>
      </c>
      <c r="C135" s="31" t="s">
        <v>48</v>
      </c>
      <c r="D135" s="32" t="s">
        <v>49</v>
      </c>
      <c r="E135" s="33"/>
      <c r="F135" s="33"/>
      <c r="G135" s="33"/>
      <c r="H135" s="33"/>
      <c r="I135" s="34" t="str">
        <f t="shared" si="9"/>
        <v>0/3</v>
      </c>
    </row>
    <row r="136" spans="1:9" x14ac:dyDescent="0.25">
      <c r="A136" s="30">
        <f>A130</f>
        <v>46237</v>
      </c>
      <c r="B136" s="31" t="s">
        <v>81</v>
      </c>
      <c r="C136" s="31" t="s">
        <v>50</v>
      </c>
      <c r="D136" s="32" t="s">
        <v>51</v>
      </c>
      <c r="E136" s="33"/>
      <c r="F136" s="33"/>
      <c r="G136" s="33"/>
      <c r="H136" s="33"/>
      <c r="I136" s="34" t="str">
        <f t="shared" si="9"/>
        <v>0/3</v>
      </c>
    </row>
    <row r="137" spans="1:9" x14ac:dyDescent="0.25">
      <c r="A137" s="30">
        <f>A130</f>
        <v>46237</v>
      </c>
      <c r="B137" s="31" t="s">
        <v>82</v>
      </c>
      <c r="C137" s="31" t="s">
        <v>37</v>
      </c>
      <c r="D137" s="32" t="s">
        <v>39</v>
      </c>
      <c r="E137" s="33"/>
      <c r="F137" s="33"/>
      <c r="G137" s="33"/>
      <c r="H137" s="33"/>
      <c r="I137" s="34" t="str">
        <f>COUNTA(E137:H137)&amp;"/4"</f>
        <v>0/4</v>
      </c>
    </row>
    <row r="138" spans="1:9" ht="30" x14ac:dyDescent="0.25">
      <c r="A138" s="30">
        <f>A130</f>
        <v>46237</v>
      </c>
      <c r="B138" s="31" t="s">
        <v>82</v>
      </c>
      <c r="C138" s="31" t="s">
        <v>40</v>
      </c>
      <c r="D138" s="32" t="s">
        <v>41</v>
      </c>
      <c r="E138" s="33"/>
      <c r="F138" s="33"/>
      <c r="G138" s="33"/>
      <c r="H138" s="33"/>
      <c r="I138" s="34" t="str">
        <f t="shared" ref="I138:I150" si="10">COUNTA(E138:G138)&amp;"/3"</f>
        <v>0/3</v>
      </c>
    </row>
    <row r="139" spans="1:9" x14ac:dyDescent="0.25">
      <c r="A139" s="30">
        <f>A130</f>
        <v>46237</v>
      </c>
      <c r="B139" s="31" t="s">
        <v>82</v>
      </c>
      <c r="C139" s="31" t="s">
        <v>42</v>
      </c>
      <c r="D139" s="32" t="s">
        <v>43</v>
      </c>
      <c r="E139" s="33"/>
      <c r="F139" s="33"/>
      <c r="G139" s="33"/>
      <c r="H139" s="33"/>
      <c r="I139" s="34" t="str">
        <f t="shared" si="10"/>
        <v>0/3</v>
      </c>
    </row>
    <row r="140" spans="1:9" x14ac:dyDescent="0.25">
      <c r="A140" s="30">
        <f>A130</f>
        <v>46237</v>
      </c>
      <c r="B140" s="31" t="s">
        <v>82</v>
      </c>
      <c r="C140" s="31" t="s">
        <v>44</v>
      </c>
      <c r="D140" s="32" t="s">
        <v>45</v>
      </c>
      <c r="E140" s="33"/>
      <c r="F140" s="33"/>
      <c r="G140" s="33"/>
      <c r="H140" s="33"/>
      <c r="I140" s="34" t="str">
        <f t="shared" si="10"/>
        <v>0/3</v>
      </c>
    </row>
    <row r="141" spans="1:9" x14ac:dyDescent="0.25">
      <c r="A141" s="30">
        <f>A130</f>
        <v>46237</v>
      </c>
      <c r="B141" s="31" t="s">
        <v>82</v>
      </c>
      <c r="C141" s="31" t="s">
        <v>46</v>
      </c>
      <c r="D141" s="32" t="s">
        <v>47</v>
      </c>
      <c r="E141" s="33"/>
      <c r="F141" s="33"/>
      <c r="G141" s="33"/>
      <c r="H141" s="33"/>
      <c r="I141" s="34" t="str">
        <f t="shared" si="10"/>
        <v>0/3</v>
      </c>
    </row>
    <row r="142" spans="1:9" x14ac:dyDescent="0.25">
      <c r="A142" s="30">
        <f>A130</f>
        <v>46237</v>
      </c>
      <c r="B142" s="31" t="s">
        <v>82</v>
      </c>
      <c r="C142" s="31" t="s">
        <v>48</v>
      </c>
      <c r="D142" s="32" t="s">
        <v>49</v>
      </c>
      <c r="E142" s="33"/>
      <c r="F142" s="33"/>
      <c r="G142" s="33"/>
      <c r="H142" s="33"/>
      <c r="I142" s="34" t="str">
        <f t="shared" si="10"/>
        <v>0/3</v>
      </c>
    </row>
    <row r="143" spans="1:9" x14ac:dyDescent="0.25">
      <c r="A143" s="30">
        <f>A130</f>
        <v>46237</v>
      </c>
      <c r="B143" s="31" t="s">
        <v>82</v>
      </c>
      <c r="C143" s="31" t="s">
        <v>50</v>
      </c>
      <c r="D143" s="32" t="s">
        <v>51</v>
      </c>
      <c r="E143" s="33"/>
      <c r="F143" s="33"/>
      <c r="G143" s="33"/>
      <c r="H143" s="33"/>
      <c r="I143" s="34" t="str">
        <f t="shared" si="10"/>
        <v>0/3</v>
      </c>
    </row>
    <row r="144" spans="1:9" x14ac:dyDescent="0.25">
      <c r="A144" s="30">
        <f>A130+7</f>
        <v>46244</v>
      </c>
      <c r="B144" s="31" t="s">
        <v>81</v>
      </c>
      <c r="C144" s="31" t="s">
        <v>37</v>
      </c>
      <c r="D144" s="32" t="s">
        <v>39</v>
      </c>
      <c r="E144" s="33"/>
      <c r="F144" s="33"/>
      <c r="G144" s="33"/>
      <c r="H144" s="33"/>
      <c r="I144" s="34" t="str">
        <f t="shared" si="10"/>
        <v>0/3</v>
      </c>
    </row>
    <row r="145" spans="1:9" ht="30" x14ac:dyDescent="0.25">
      <c r="A145" s="30">
        <f>A144</f>
        <v>46244</v>
      </c>
      <c r="B145" s="31" t="s">
        <v>81</v>
      </c>
      <c r="C145" s="31" t="s">
        <v>40</v>
      </c>
      <c r="D145" s="32" t="s">
        <v>41</v>
      </c>
      <c r="E145" s="33"/>
      <c r="F145" s="33"/>
      <c r="G145" s="33"/>
      <c r="H145" s="33"/>
      <c r="I145" s="34" t="str">
        <f t="shared" si="10"/>
        <v>0/3</v>
      </c>
    </row>
    <row r="146" spans="1:9" x14ac:dyDescent="0.25">
      <c r="A146" s="30">
        <f>A144</f>
        <v>46244</v>
      </c>
      <c r="B146" s="31" t="s">
        <v>81</v>
      </c>
      <c r="C146" s="31" t="s">
        <v>42</v>
      </c>
      <c r="D146" s="32" t="s">
        <v>43</v>
      </c>
      <c r="E146" s="33"/>
      <c r="F146" s="33"/>
      <c r="G146" s="33"/>
      <c r="H146" s="33"/>
      <c r="I146" s="34" t="str">
        <f t="shared" si="10"/>
        <v>0/3</v>
      </c>
    </row>
    <row r="147" spans="1:9" x14ac:dyDescent="0.25">
      <c r="A147" s="30">
        <f>A144</f>
        <v>46244</v>
      </c>
      <c r="B147" s="31" t="s">
        <v>81</v>
      </c>
      <c r="C147" s="31" t="s">
        <v>44</v>
      </c>
      <c r="D147" s="32" t="s">
        <v>45</v>
      </c>
      <c r="E147" s="33"/>
      <c r="F147" s="33"/>
      <c r="G147" s="33"/>
      <c r="H147" s="33"/>
      <c r="I147" s="34" t="str">
        <f t="shared" si="10"/>
        <v>0/3</v>
      </c>
    </row>
    <row r="148" spans="1:9" x14ac:dyDescent="0.25">
      <c r="A148" s="30">
        <f>A144</f>
        <v>46244</v>
      </c>
      <c r="B148" s="31" t="s">
        <v>81</v>
      </c>
      <c r="C148" s="31" t="s">
        <v>46</v>
      </c>
      <c r="D148" s="32" t="s">
        <v>47</v>
      </c>
      <c r="E148" s="33"/>
      <c r="F148" s="33"/>
      <c r="G148" s="33"/>
      <c r="H148" s="33"/>
      <c r="I148" s="34" t="str">
        <f t="shared" si="10"/>
        <v>0/3</v>
      </c>
    </row>
    <row r="149" spans="1:9" x14ac:dyDescent="0.25">
      <c r="A149" s="30">
        <f>A144</f>
        <v>46244</v>
      </c>
      <c r="B149" s="31" t="s">
        <v>81</v>
      </c>
      <c r="C149" s="31" t="s">
        <v>48</v>
      </c>
      <c r="D149" s="32" t="s">
        <v>49</v>
      </c>
      <c r="E149" s="33"/>
      <c r="F149" s="33"/>
      <c r="G149" s="33"/>
      <c r="H149" s="33"/>
      <c r="I149" s="34" t="str">
        <f t="shared" si="10"/>
        <v>0/3</v>
      </c>
    </row>
    <row r="150" spans="1:9" x14ac:dyDescent="0.25">
      <c r="A150" s="30">
        <f>A144</f>
        <v>46244</v>
      </c>
      <c r="B150" s="31" t="s">
        <v>81</v>
      </c>
      <c r="C150" s="31" t="s">
        <v>50</v>
      </c>
      <c r="D150" s="32" t="s">
        <v>51</v>
      </c>
      <c r="E150" s="33"/>
      <c r="F150" s="33"/>
      <c r="G150" s="33"/>
      <c r="H150" s="33"/>
      <c r="I150" s="34" t="str">
        <f t="shared" si="10"/>
        <v>0/3</v>
      </c>
    </row>
    <row r="151" spans="1:9" x14ac:dyDescent="0.25">
      <c r="A151" s="30">
        <f>A144</f>
        <v>46244</v>
      </c>
      <c r="B151" s="31" t="s">
        <v>82</v>
      </c>
      <c r="C151" s="31" t="s">
        <v>37</v>
      </c>
      <c r="D151" s="32" t="s">
        <v>39</v>
      </c>
      <c r="E151" s="33"/>
      <c r="F151" s="33"/>
      <c r="G151" s="33"/>
      <c r="H151" s="33"/>
      <c r="I151" s="34" t="str">
        <f>COUNTA(E151:H151)&amp;"/4"</f>
        <v>0/4</v>
      </c>
    </row>
    <row r="152" spans="1:9" ht="30" x14ac:dyDescent="0.25">
      <c r="A152" s="30">
        <f>A144</f>
        <v>46244</v>
      </c>
      <c r="B152" s="31" t="s">
        <v>82</v>
      </c>
      <c r="C152" s="31" t="s">
        <v>40</v>
      </c>
      <c r="D152" s="32" t="s">
        <v>41</v>
      </c>
      <c r="E152" s="33"/>
      <c r="F152" s="33"/>
      <c r="G152" s="33"/>
      <c r="H152" s="33"/>
      <c r="I152" s="34" t="str">
        <f t="shared" ref="I152:I164" si="11">COUNTA(E152:G152)&amp;"/3"</f>
        <v>0/3</v>
      </c>
    </row>
    <row r="153" spans="1:9" x14ac:dyDescent="0.25">
      <c r="A153" s="30">
        <f>A144</f>
        <v>46244</v>
      </c>
      <c r="B153" s="31" t="s">
        <v>82</v>
      </c>
      <c r="C153" s="31" t="s">
        <v>42</v>
      </c>
      <c r="D153" s="32" t="s">
        <v>43</v>
      </c>
      <c r="E153" s="33"/>
      <c r="F153" s="33"/>
      <c r="G153" s="33"/>
      <c r="H153" s="33"/>
      <c r="I153" s="34" t="str">
        <f t="shared" si="11"/>
        <v>0/3</v>
      </c>
    </row>
    <row r="154" spans="1:9" x14ac:dyDescent="0.25">
      <c r="A154" s="30">
        <f>A144</f>
        <v>46244</v>
      </c>
      <c r="B154" s="31" t="s">
        <v>82</v>
      </c>
      <c r="C154" s="31" t="s">
        <v>44</v>
      </c>
      <c r="D154" s="32" t="s">
        <v>45</v>
      </c>
      <c r="E154" s="33"/>
      <c r="F154" s="33"/>
      <c r="G154" s="33"/>
      <c r="H154" s="33"/>
      <c r="I154" s="34" t="str">
        <f t="shared" si="11"/>
        <v>0/3</v>
      </c>
    </row>
    <row r="155" spans="1:9" x14ac:dyDescent="0.25">
      <c r="A155" s="30">
        <f>A144</f>
        <v>46244</v>
      </c>
      <c r="B155" s="31" t="s">
        <v>82</v>
      </c>
      <c r="C155" s="31" t="s">
        <v>46</v>
      </c>
      <c r="D155" s="32" t="s">
        <v>47</v>
      </c>
      <c r="E155" s="33"/>
      <c r="F155" s="33"/>
      <c r="G155" s="33"/>
      <c r="H155" s="33"/>
      <c r="I155" s="34" t="str">
        <f t="shared" si="11"/>
        <v>0/3</v>
      </c>
    </row>
    <row r="156" spans="1:9" x14ac:dyDescent="0.25">
      <c r="A156" s="30">
        <f>A144</f>
        <v>46244</v>
      </c>
      <c r="B156" s="31" t="s">
        <v>82</v>
      </c>
      <c r="C156" s="31" t="s">
        <v>48</v>
      </c>
      <c r="D156" s="32" t="s">
        <v>49</v>
      </c>
      <c r="E156" s="33"/>
      <c r="F156" s="33"/>
      <c r="G156" s="33"/>
      <c r="H156" s="33"/>
      <c r="I156" s="34" t="str">
        <f t="shared" si="11"/>
        <v>0/3</v>
      </c>
    </row>
    <row r="157" spans="1:9" x14ac:dyDescent="0.25">
      <c r="A157" s="30">
        <f>A144</f>
        <v>46244</v>
      </c>
      <c r="B157" s="31" t="s">
        <v>82</v>
      </c>
      <c r="C157" s="31" t="s">
        <v>50</v>
      </c>
      <c r="D157" s="32" t="s">
        <v>51</v>
      </c>
      <c r="E157" s="33"/>
      <c r="F157" s="33"/>
      <c r="G157" s="33"/>
      <c r="H157" s="33"/>
      <c r="I157" s="34" t="str">
        <f t="shared" si="11"/>
        <v>0/3</v>
      </c>
    </row>
    <row r="158" spans="1:9" x14ac:dyDescent="0.25">
      <c r="A158" s="30">
        <f>A144+7</f>
        <v>46251</v>
      </c>
      <c r="B158" s="31" t="s">
        <v>81</v>
      </c>
      <c r="C158" s="31" t="s">
        <v>37</v>
      </c>
      <c r="D158" s="32" t="s">
        <v>39</v>
      </c>
      <c r="E158" s="33"/>
      <c r="F158" s="33"/>
      <c r="G158" s="33"/>
      <c r="H158" s="33"/>
      <c r="I158" s="34" t="str">
        <f t="shared" si="11"/>
        <v>0/3</v>
      </c>
    </row>
    <row r="159" spans="1:9" ht="30" x14ac:dyDescent="0.25">
      <c r="A159" s="30">
        <f>A158</f>
        <v>46251</v>
      </c>
      <c r="B159" s="31" t="s">
        <v>81</v>
      </c>
      <c r="C159" s="31" t="s">
        <v>40</v>
      </c>
      <c r="D159" s="32" t="s">
        <v>41</v>
      </c>
      <c r="E159" s="33"/>
      <c r="F159" s="33"/>
      <c r="G159" s="33"/>
      <c r="H159" s="33"/>
      <c r="I159" s="34" t="str">
        <f t="shared" si="11"/>
        <v>0/3</v>
      </c>
    </row>
    <row r="160" spans="1:9" x14ac:dyDescent="0.25">
      <c r="A160" s="30">
        <f>A158</f>
        <v>46251</v>
      </c>
      <c r="B160" s="31" t="s">
        <v>81</v>
      </c>
      <c r="C160" s="31" t="s">
        <v>42</v>
      </c>
      <c r="D160" s="32" t="s">
        <v>43</v>
      </c>
      <c r="E160" s="33"/>
      <c r="F160" s="33"/>
      <c r="G160" s="33"/>
      <c r="H160" s="33"/>
      <c r="I160" s="34" t="str">
        <f t="shared" si="11"/>
        <v>0/3</v>
      </c>
    </row>
    <row r="161" spans="1:9" x14ac:dyDescent="0.25">
      <c r="A161" s="30">
        <f>A158</f>
        <v>46251</v>
      </c>
      <c r="B161" s="31" t="s">
        <v>81</v>
      </c>
      <c r="C161" s="31" t="s">
        <v>44</v>
      </c>
      <c r="D161" s="32" t="s">
        <v>45</v>
      </c>
      <c r="E161" s="33"/>
      <c r="F161" s="33"/>
      <c r="G161" s="33"/>
      <c r="H161" s="33"/>
      <c r="I161" s="34" t="str">
        <f t="shared" si="11"/>
        <v>0/3</v>
      </c>
    </row>
    <row r="162" spans="1:9" x14ac:dyDescent="0.25">
      <c r="A162" s="30">
        <f>A158</f>
        <v>46251</v>
      </c>
      <c r="B162" s="31" t="s">
        <v>81</v>
      </c>
      <c r="C162" s="31" t="s">
        <v>46</v>
      </c>
      <c r="D162" s="32" t="s">
        <v>47</v>
      </c>
      <c r="E162" s="33"/>
      <c r="F162" s="33"/>
      <c r="G162" s="33"/>
      <c r="H162" s="33"/>
      <c r="I162" s="34" t="str">
        <f t="shared" si="11"/>
        <v>0/3</v>
      </c>
    </row>
    <row r="163" spans="1:9" x14ac:dyDescent="0.25">
      <c r="A163" s="30">
        <f>A158</f>
        <v>46251</v>
      </c>
      <c r="B163" s="31" t="s">
        <v>81</v>
      </c>
      <c r="C163" s="31" t="s">
        <v>48</v>
      </c>
      <c r="D163" s="32" t="s">
        <v>49</v>
      </c>
      <c r="E163" s="33"/>
      <c r="F163" s="33"/>
      <c r="G163" s="33"/>
      <c r="H163" s="33"/>
      <c r="I163" s="34" t="str">
        <f t="shared" si="11"/>
        <v>0/3</v>
      </c>
    </row>
    <row r="164" spans="1:9" x14ac:dyDescent="0.25">
      <c r="A164" s="30">
        <f>A158</f>
        <v>46251</v>
      </c>
      <c r="B164" s="31" t="s">
        <v>81</v>
      </c>
      <c r="C164" s="31" t="s">
        <v>50</v>
      </c>
      <c r="D164" s="32" t="s">
        <v>51</v>
      </c>
      <c r="E164" s="33"/>
      <c r="F164" s="33"/>
      <c r="G164" s="33"/>
      <c r="H164" s="33"/>
      <c r="I164" s="34" t="str">
        <f t="shared" si="11"/>
        <v>0/3</v>
      </c>
    </row>
    <row r="165" spans="1:9" x14ac:dyDescent="0.25">
      <c r="A165" s="30">
        <f>A158</f>
        <v>46251</v>
      </c>
      <c r="B165" s="31" t="s">
        <v>82</v>
      </c>
      <c r="C165" s="31" t="s">
        <v>37</v>
      </c>
      <c r="D165" s="32" t="s">
        <v>39</v>
      </c>
      <c r="E165" s="33"/>
      <c r="F165" s="33"/>
      <c r="G165" s="33"/>
      <c r="H165" s="33"/>
      <c r="I165" s="34" t="str">
        <f>COUNTA(E165:H165)&amp;"/4"</f>
        <v>0/4</v>
      </c>
    </row>
    <row r="166" spans="1:9" ht="30" x14ac:dyDescent="0.25">
      <c r="A166" s="30">
        <f>A158</f>
        <v>46251</v>
      </c>
      <c r="B166" s="31" t="s">
        <v>82</v>
      </c>
      <c r="C166" s="31" t="s">
        <v>40</v>
      </c>
      <c r="D166" s="32" t="s">
        <v>41</v>
      </c>
      <c r="E166" s="33"/>
      <c r="F166" s="33"/>
      <c r="G166" s="33"/>
      <c r="H166" s="33"/>
      <c r="I166" s="34" t="str">
        <f t="shared" ref="I166:I178" si="12">COUNTA(E166:G166)&amp;"/3"</f>
        <v>0/3</v>
      </c>
    </row>
    <row r="167" spans="1:9" x14ac:dyDescent="0.25">
      <c r="A167" s="30">
        <f>A158</f>
        <v>46251</v>
      </c>
      <c r="B167" s="31" t="s">
        <v>82</v>
      </c>
      <c r="C167" s="31" t="s">
        <v>42</v>
      </c>
      <c r="D167" s="32" t="s">
        <v>43</v>
      </c>
      <c r="E167" s="33"/>
      <c r="F167" s="33"/>
      <c r="G167" s="33"/>
      <c r="H167" s="33"/>
      <c r="I167" s="34" t="str">
        <f t="shared" si="12"/>
        <v>0/3</v>
      </c>
    </row>
    <row r="168" spans="1:9" x14ac:dyDescent="0.25">
      <c r="A168" s="30">
        <f>A158</f>
        <v>46251</v>
      </c>
      <c r="B168" s="31" t="s">
        <v>82</v>
      </c>
      <c r="C168" s="31" t="s">
        <v>44</v>
      </c>
      <c r="D168" s="32" t="s">
        <v>45</v>
      </c>
      <c r="E168" s="33"/>
      <c r="F168" s="33"/>
      <c r="G168" s="33"/>
      <c r="H168" s="33"/>
      <c r="I168" s="34" t="str">
        <f t="shared" si="12"/>
        <v>0/3</v>
      </c>
    </row>
    <row r="169" spans="1:9" x14ac:dyDescent="0.25">
      <c r="A169" s="30">
        <f>A158</f>
        <v>46251</v>
      </c>
      <c r="B169" s="31" t="s">
        <v>82</v>
      </c>
      <c r="C169" s="31" t="s">
        <v>46</v>
      </c>
      <c r="D169" s="32" t="s">
        <v>47</v>
      </c>
      <c r="E169" s="33"/>
      <c r="F169" s="33"/>
      <c r="G169" s="33"/>
      <c r="H169" s="33"/>
      <c r="I169" s="34" t="str">
        <f t="shared" si="12"/>
        <v>0/3</v>
      </c>
    </row>
    <row r="170" spans="1:9" x14ac:dyDescent="0.25">
      <c r="A170" s="30">
        <f>A158</f>
        <v>46251</v>
      </c>
      <c r="B170" s="31" t="s">
        <v>82</v>
      </c>
      <c r="C170" s="31" t="s">
        <v>48</v>
      </c>
      <c r="D170" s="32" t="s">
        <v>49</v>
      </c>
      <c r="E170" s="33"/>
      <c r="F170" s="33"/>
      <c r="G170" s="33"/>
      <c r="H170" s="33"/>
      <c r="I170" s="34" t="str">
        <f t="shared" si="12"/>
        <v>0/3</v>
      </c>
    </row>
    <row r="171" spans="1:9" x14ac:dyDescent="0.25">
      <c r="A171" s="30">
        <f>A158</f>
        <v>46251</v>
      </c>
      <c r="B171" s="31" t="s">
        <v>82</v>
      </c>
      <c r="C171" s="31" t="s">
        <v>50</v>
      </c>
      <c r="D171" s="32" t="s">
        <v>51</v>
      </c>
      <c r="E171" s="33"/>
      <c r="F171" s="33"/>
      <c r="G171" s="33"/>
      <c r="H171" s="33"/>
      <c r="I171" s="34" t="str">
        <f t="shared" si="12"/>
        <v>0/3</v>
      </c>
    </row>
    <row r="172" spans="1:9" x14ac:dyDescent="0.25">
      <c r="A172" s="30">
        <f>A158+7</f>
        <v>46258</v>
      </c>
      <c r="B172" s="31" t="s">
        <v>81</v>
      </c>
      <c r="C172" s="31" t="s">
        <v>37</v>
      </c>
      <c r="D172" s="32" t="s">
        <v>39</v>
      </c>
      <c r="E172" s="33"/>
      <c r="F172" s="33"/>
      <c r="G172" s="33"/>
      <c r="H172" s="33"/>
      <c r="I172" s="34" t="str">
        <f t="shared" si="12"/>
        <v>0/3</v>
      </c>
    </row>
    <row r="173" spans="1:9" ht="30" x14ac:dyDescent="0.25">
      <c r="A173" s="30">
        <f>A172</f>
        <v>46258</v>
      </c>
      <c r="B173" s="31" t="s">
        <v>81</v>
      </c>
      <c r="C173" s="31" t="s">
        <v>40</v>
      </c>
      <c r="D173" s="32" t="s">
        <v>41</v>
      </c>
      <c r="E173" s="33"/>
      <c r="F173" s="33"/>
      <c r="G173" s="33"/>
      <c r="H173" s="33"/>
      <c r="I173" s="34" t="str">
        <f t="shared" si="12"/>
        <v>0/3</v>
      </c>
    </row>
    <row r="174" spans="1:9" x14ac:dyDescent="0.25">
      <c r="A174" s="30">
        <f>A172</f>
        <v>46258</v>
      </c>
      <c r="B174" s="31" t="s">
        <v>81</v>
      </c>
      <c r="C174" s="31" t="s">
        <v>42</v>
      </c>
      <c r="D174" s="32" t="s">
        <v>43</v>
      </c>
      <c r="E174" s="33"/>
      <c r="F174" s="33"/>
      <c r="G174" s="33"/>
      <c r="H174" s="33"/>
      <c r="I174" s="34" t="str">
        <f t="shared" si="12"/>
        <v>0/3</v>
      </c>
    </row>
    <row r="175" spans="1:9" x14ac:dyDescent="0.25">
      <c r="A175" s="30">
        <f>A172</f>
        <v>46258</v>
      </c>
      <c r="B175" s="31" t="s">
        <v>81</v>
      </c>
      <c r="C175" s="31" t="s">
        <v>44</v>
      </c>
      <c r="D175" s="32" t="s">
        <v>45</v>
      </c>
      <c r="E175" s="33"/>
      <c r="F175" s="33"/>
      <c r="G175" s="33"/>
      <c r="H175" s="33"/>
      <c r="I175" s="34" t="str">
        <f t="shared" si="12"/>
        <v>0/3</v>
      </c>
    </row>
    <row r="176" spans="1:9" x14ac:dyDescent="0.25">
      <c r="A176" s="30">
        <f>A172</f>
        <v>46258</v>
      </c>
      <c r="B176" s="31" t="s">
        <v>81</v>
      </c>
      <c r="C176" s="31" t="s">
        <v>46</v>
      </c>
      <c r="D176" s="32" t="s">
        <v>47</v>
      </c>
      <c r="E176" s="33"/>
      <c r="F176" s="33"/>
      <c r="G176" s="33"/>
      <c r="H176" s="33"/>
      <c r="I176" s="34" t="str">
        <f t="shared" si="12"/>
        <v>0/3</v>
      </c>
    </row>
    <row r="177" spans="1:9" x14ac:dyDescent="0.25">
      <c r="A177" s="30">
        <f>A172</f>
        <v>46258</v>
      </c>
      <c r="B177" s="31" t="s">
        <v>81</v>
      </c>
      <c r="C177" s="31" t="s">
        <v>48</v>
      </c>
      <c r="D177" s="32" t="s">
        <v>49</v>
      </c>
      <c r="E177" s="33"/>
      <c r="F177" s="33"/>
      <c r="G177" s="33"/>
      <c r="H177" s="33"/>
      <c r="I177" s="34" t="str">
        <f t="shared" si="12"/>
        <v>0/3</v>
      </c>
    </row>
    <row r="178" spans="1:9" x14ac:dyDescent="0.25">
      <c r="A178" s="30">
        <f>A172</f>
        <v>46258</v>
      </c>
      <c r="B178" s="31" t="s">
        <v>81</v>
      </c>
      <c r="C178" s="31" t="s">
        <v>50</v>
      </c>
      <c r="D178" s="32" t="s">
        <v>51</v>
      </c>
      <c r="E178" s="33"/>
      <c r="F178" s="33"/>
      <c r="G178" s="33"/>
      <c r="H178" s="33"/>
      <c r="I178" s="34" t="str">
        <f t="shared" si="12"/>
        <v>0/3</v>
      </c>
    </row>
    <row r="179" spans="1:9" x14ac:dyDescent="0.25">
      <c r="A179" s="30">
        <f>A172</f>
        <v>46258</v>
      </c>
      <c r="B179" s="31" t="s">
        <v>82</v>
      </c>
      <c r="C179" s="31" t="s">
        <v>37</v>
      </c>
      <c r="D179" s="32" t="s">
        <v>39</v>
      </c>
      <c r="E179" s="33"/>
      <c r="F179" s="33"/>
      <c r="G179" s="33"/>
      <c r="H179" s="33"/>
      <c r="I179" s="34" t="str">
        <f>COUNTA(E179:H179)&amp;"/4"</f>
        <v>0/4</v>
      </c>
    </row>
    <row r="180" spans="1:9" ht="30" x14ac:dyDescent="0.25">
      <c r="A180" s="30">
        <f>A172</f>
        <v>46258</v>
      </c>
      <c r="B180" s="31" t="s">
        <v>82</v>
      </c>
      <c r="C180" s="31" t="s">
        <v>40</v>
      </c>
      <c r="D180" s="32" t="s">
        <v>41</v>
      </c>
      <c r="E180" s="33"/>
      <c r="F180" s="33"/>
      <c r="G180" s="33"/>
      <c r="H180" s="33"/>
      <c r="I180" s="34" t="str">
        <f t="shared" ref="I180:I192" si="13">COUNTA(E180:G180)&amp;"/3"</f>
        <v>0/3</v>
      </c>
    </row>
    <row r="181" spans="1:9" x14ac:dyDescent="0.25">
      <c r="A181" s="30">
        <f>A172</f>
        <v>46258</v>
      </c>
      <c r="B181" s="31" t="s">
        <v>82</v>
      </c>
      <c r="C181" s="31" t="s">
        <v>42</v>
      </c>
      <c r="D181" s="32" t="s">
        <v>43</v>
      </c>
      <c r="E181" s="33"/>
      <c r="F181" s="33"/>
      <c r="G181" s="33"/>
      <c r="H181" s="33"/>
      <c r="I181" s="34" t="str">
        <f t="shared" si="13"/>
        <v>0/3</v>
      </c>
    </row>
    <row r="182" spans="1:9" x14ac:dyDescent="0.25">
      <c r="A182" s="30">
        <f>A172</f>
        <v>46258</v>
      </c>
      <c r="B182" s="31" t="s">
        <v>82</v>
      </c>
      <c r="C182" s="31" t="s">
        <v>44</v>
      </c>
      <c r="D182" s="32" t="s">
        <v>45</v>
      </c>
      <c r="E182" s="33"/>
      <c r="F182" s="33"/>
      <c r="G182" s="33"/>
      <c r="H182" s="33"/>
      <c r="I182" s="34" t="str">
        <f t="shared" si="13"/>
        <v>0/3</v>
      </c>
    </row>
    <row r="183" spans="1:9" x14ac:dyDescent="0.25">
      <c r="A183" s="30">
        <f>A172</f>
        <v>46258</v>
      </c>
      <c r="B183" s="31" t="s">
        <v>82</v>
      </c>
      <c r="C183" s="31" t="s">
        <v>46</v>
      </c>
      <c r="D183" s="32" t="s">
        <v>47</v>
      </c>
      <c r="E183" s="33"/>
      <c r="F183" s="33"/>
      <c r="G183" s="33"/>
      <c r="H183" s="33"/>
      <c r="I183" s="34" t="str">
        <f t="shared" si="13"/>
        <v>0/3</v>
      </c>
    </row>
    <row r="184" spans="1:9" x14ac:dyDescent="0.25">
      <c r="A184" s="30">
        <f>A172</f>
        <v>46258</v>
      </c>
      <c r="B184" s="31" t="s">
        <v>82</v>
      </c>
      <c r="C184" s="31" t="s">
        <v>48</v>
      </c>
      <c r="D184" s="32" t="s">
        <v>49</v>
      </c>
      <c r="E184" s="33"/>
      <c r="F184" s="33"/>
      <c r="G184" s="33"/>
      <c r="H184" s="33"/>
      <c r="I184" s="34" t="str">
        <f t="shared" si="13"/>
        <v>0/3</v>
      </c>
    </row>
    <row r="185" spans="1:9" x14ac:dyDescent="0.25">
      <c r="A185" s="30">
        <f>A172</f>
        <v>46258</v>
      </c>
      <c r="B185" s="31" t="s">
        <v>82</v>
      </c>
      <c r="C185" s="31" t="s">
        <v>50</v>
      </c>
      <c r="D185" s="32" t="s">
        <v>51</v>
      </c>
      <c r="E185" s="33"/>
      <c r="F185" s="33"/>
      <c r="G185" s="33"/>
      <c r="H185" s="33"/>
      <c r="I185" s="34" t="str">
        <f t="shared" si="13"/>
        <v>0/3</v>
      </c>
    </row>
    <row r="186" spans="1:9" x14ac:dyDescent="0.25">
      <c r="A186" s="30">
        <f>A172+7</f>
        <v>46265</v>
      </c>
      <c r="B186" s="31" t="s">
        <v>81</v>
      </c>
      <c r="C186" s="31" t="s">
        <v>37</v>
      </c>
      <c r="D186" s="32" t="s">
        <v>39</v>
      </c>
      <c r="E186" s="33"/>
      <c r="F186" s="33"/>
      <c r="G186" s="33"/>
      <c r="H186" s="33"/>
      <c r="I186" s="34" t="str">
        <f t="shared" si="13"/>
        <v>0/3</v>
      </c>
    </row>
    <row r="187" spans="1:9" ht="30" x14ac:dyDescent="0.25">
      <c r="A187" s="30">
        <f>A186</f>
        <v>46265</v>
      </c>
      <c r="B187" s="31" t="s">
        <v>81</v>
      </c>
      <c r="C187" s="31" t="s">
        <v>40</v>
      </c>
      <c r="D187" s="32" t="s">
        <v>41</v>
      </c>
      <c r="E187" s="33"/>
      <c r="F187" s="33"/>
      <c r="G187" s="33"/>
      <c r="H187" s="33"/>
      <c r="I187" s="34" t="str">
        <f t="shared" si="13"/>
        <v>0/3</v>
      </c>
    </row>
    <row r="188" spans="1:9" x14ac:dyDescent="0.25">
      <c r="A188" s="30">
        <f>A186</f>
        <v>46265</v>
      </c>
      <c r="B188" s="31" t="s">
        <v>81</v>
      </c>
      <c r="C188" s="31" t="s">
        <v>42</v>
      </c>
      <c r="D188" s="32" t="s">
        <v>43</v>
      </c>
      <c r="E188" s="33"/>
      <c r="F188" s="33"/>
      <c r="G188" s="33"/>
      <c r="H188" s="33"/>
      <c r="I188" s="34" t="str">
        <f t="shared" si="13"/>
        <v>0/3</v>
      </c>
    </row>
    <row r="189" spans="1:9" x14ac:dyDescent="0.25">
      <c r="A189" s="30">
        <f>A186</f>
        <v>46265</v>
      </c>
      <c r="B189" s="31" t="s">
        <v>81</v>
      </c>
      <c r="C189" s="31" t="s">
        <v>44</v>
      </c>
      <c r="D189" s="32" t="s">
        <v>45</v>
      </c>
      <c r="E189" s="33"/>
      <c r="F189" s="33"/>
      <c r="G189" s="33"/>
      <c r="H189" s="33"/>
      <c r="I189" s="34" t="str">
        <f t="shared" si="13"/>
        <v>0/3</v>
      </c>
    </row>
    <row r="190" spans="1:9" x14ac:dyDescent="0.25">
      <c r="A190" s="30">
        <f>A186</f>
        <v>46265</v>
      </c>
      <c r="B190" s="31" t="s">
        <v>81</v>
      </c>
      <c r="C190" s="31" t="s">
        <v>46</v>
      </c>
      <c r="D190" s="32" t="s">
        <v>47</v>
      </c>
      <c r="E190" s="33"/>
      <c r="F190" s="33"/>
      <c r="G190" s="33"/>
      <c r="H190" s="33"/>
      <c r="I190" s="34" t="str">
        <f t="shared" si="13"/>
        <v>0/3</v>
      </c>
    </row>
    <row r="191" spans="1:9" x14ac:dyDescent="0.25">
      <c r="A191" s="30">
        <f>A186</f>
        <v>46265</v>
      </c>
      <c r="B191" s="31" t="s">
        <v>81</v>
      </c>
      <c r="C191" s="31" t="s">
        <v>48</v>
      </c>
      <c r="D191" s="32" t="s">
        <v>49</v>
      </c>
      <c r="E191" s="33"/>
      <c r="F191" s="33"/>
      <c r="G191" s="33"/>
      <c r="H191" s="33"/>
      <c r="I191" s="34" t="str">
        <f t="shared" si="13"/>
        <v>0/3</v>
      </c>
    </row>
    <row r="192" spans="1:9" x14ac:dyDescent="0.25">
      <c r="A192" s="30">
        <f>A186</f>
        <v>46265</v>
      </c>
      <c r="B192" s="31" t="s">
        <v>81</v>
      </c>
      <c r="C192" s="31" t="s">
        <v>50</v>
      </c>
      <c r="D192" s="32" t="s">
        <v>51</v>
      </c>
      <c r="E192" s="33"/>
      <c r="F192" s="33"/>
      <c r="G192" s="33"/>
      <c r="H192" s="33"/>
      <c r="I192" s="34" t="str">
        <f t="shared" si="13"/>
        <v>0/3</v>
      </c>
    </row>
    <row r="193" spans="1:9" x14ac:dyDescent="0.25">
      <c r="A193" s="30">
        <f>A186</f>
        <v>46265</v>
      </c>
      <c r="B193" s="31" t="s">
        <v>82</v>
      </c>
      <c r="C193" s="31" t="s">
        <v>37</v>
      </c>
      <c r="D193" s="32" t="s">
        <v>39</v>
      </c>
      <c r="E193" s="33"/>
      <c r="F193" s="33"/>
      <c r="G193" s="33"/>
      <c r="H193" s="33"/>
      <c r="I193" s="34" t="str">
        <f>COUNTA(E193:H193)&amp;"/4"</f>
        <v>0/4</v>
      </c>
    </row>
    <row r="194" spans="1:9" ht="30" x14ac:dyDescent="0.25">
      <c r="A194" s="30">
        <f>A186</f>
        <v>46265</v>
      </c>
      <c r="B194" s="31" t="s">
        <v>82</v>
      </c>
      <c r="C194" s="31" t="s">
        <v>40</v>
      </c>
      <c r="D194" s="32" t="s">
        <v>41</v>
      </c>
      <c r="E194" s="33"/>
      <c r="F194" s="33"/>
      <c r="G194" s="33"/>
      <c r="H194" s="33"/>
      <c r="I194" s="34" t="str">
        <f t="shared" ref="I194:I206" si="14">COUNTA(E194:G194)&amp;"/3"</f>
        <v>0/3</v>
      </c>
    </row>
    <row r="195" spans="1:9" x14ac:dyDescent="0.25">
      <c r="A195" s="30">
        <f>A186</f>
        <v>46265</v>
      </c>
      <c r="B195" s="31" t="s">
        <v>82</v>
      </c>
      <c r="C195" s="31" t="s">
        <v>42</v>
      </c>
      <c r="D195" s="32" t="s">
        <v>43</v>
      </c>
      <c r="E195" s="33"/>
      <c r="F195" s="33"/>
      <c r="G195" s="33"/>
      <c r="H195" s="33"/>
      <c r="I195" s="34" t="str">
        <f t="shared" si="14"/>
        <v>0/3</v>
      </c>
    </row>
    <row r="196" spans="1:9" x14ac:dyDescent="0.25">
      <c r="A196" s="30">
        <f>A186</f>
        <v>46265</v>
      </c>
      <c r="B196" s="31" t="s">
        <v>82</v>
      </c>
      <c r="C196" s="31" t="s">
        <v>44</v>
      </c>
      <c r="D196" s="32" t="s">
        <v>45</v>
      </c>
      <c r="E196" s="33"/>
      <c r="F196" s="33"/>
      <c r="G196" s="33"/>
      <c r="H196" s="33"/>
      <c r="I196" s="34" t="str">
        <f t="shared" si="14"/>
        <v>0/3</v>
      </c>
    </row>
    <row r="197" spans="1:9" x14ac:dyDescent="0.25">
      <c r="A197" s="30">
        <f>A186</f>
        <v>46265</v>
      </c>
      <c r="B197" s="31" t="s">
        <v>82</v>
      </c>
      <c r="C197" s="31" t="s">
        <v>46</v>
      </c>
      <c r="D197" s="32" t="s">
        <v>47</v>
      </c>
      <c r="E197" s="33"/>
      <c r="F197" s="33"/>
      <c r="G197" s="33"/>
      <c r="H197" s="33"/>
      <c r="I197" s="34" t="str">
        <f t="shared" si="14"/>
        <v>0/3</v>
      </c>
    </row>
    <row r="198" spans="1:9" x14ac:dyDescent="0.25">
      <c r="A198" s="30">
        <f>A186</f>
        <v>46265</v>
      </c>
      <c r="B198" s="31" t="s">
        <v>82</v>
      </c>
      <c r="C198" s="31" t="s">
        <v>48</v>
      </c>
      <c r="D198" s="32" t="s">
        <v>49</v>
      </c>
      <c r="E198" s="33"/>
      <c r="F198" s="33"/>
      <c r="G198" s="33"/>
      <c r="H198" s="33"/>
      <c r="I198" s="34" t="str">
        <f t="shared" si="14"/>
        <v>0/3</v>
      </c>
    </row>
    <row r="199" spans="1:9" x14ac:dyDescent="0.25">
      <c r="A199" s="30">
        <f>A186</f>
        <v>46265</v>
      </c>
      <c r="B199" s="31" t="s">
        <v>82</v>
      </c>
      <c r="C199" s="31" t="s">
        <v>50</v>
      </c>
      <c r="D199" s="32" t="s">
        <v>51</v>
      </c>
      <c r="E199" s="33"/>
      <c r="F199" s="33"/>
      <c r="G199" s="33"/>
      <c r="H199" s="33"/>
      <c r="I199" s="34" t="str">
        <f t="shared" si="14"/>
        <v>0/3</v>
      </c>
    </row>
    <row r="200" spans="1:9" x14ac:dyDescent="0.25">
      <c r="A200" s="30">
        <f>A186+7</f>
        <v>46272</v>
      </c>
      <c r="B200" s="31" t="s">
        <v>81</v>
      </c>
      <c r="C200" s="31" t="s">
        <v>37</v>
      </c>
      <c r="D200" s="32" t="s">
        <v>39</v>
      </c>
      <c r="E200" s="33"/>
      <c r="F200" s="33"/>
      <c r="G200" s="33"/>
      <c r="H200" s="33"/>
      <c r="I200" s="34" t="str">
        <f t="shared" si="14"/>
        <v>0/3</v>
      </c>
    </row>
    <row r="201" spans="1:9" ht="30" x14ac:dyDescent="0.25">
      <c r="A201" s="30">
        <f>A200</f>
        <v>46272</v>
      </c>
      <c r="B201" s="31" t="s">
        <v>81</v>
      </c>
      <c r="C201" s="31" t="s">
        <v>40</v>
      </c>
      <c r="D201" s="32" t="s">
        <v>41</v>
      </c>
      <c r="E201" s="33"/>
      <c r="F201" s="33"/>
      <c r="G201" s="33"/>
      <c r="H201" s="33"/>
      <c r="I201" s="34" t="str">
        <f t="shared" si="14"/>
        <v>0/3</v>
      </c>
    </row>
    <row r="202" spans="1:9" x14ac:dyDescent="0.25">
      <c r="A202" s="30">
        <f>A200</f>
        <v>46272</v>
      </c>
      <c r="B202" s="31" t="s">
        <v>81</v>
      </c>
      <c r="C202" s="31" t="s">
        <v>42</v>
      </c>
      <c r="D202" s="32" t="s">
        <v>43</v>
      </c>
      <c r="E202" s="33"/>
      <c r="F202" s="33"/>
      <c r="G202" s="33"/>
      <c r="H202" s="33"/>
      <c r="I202" s="34" t="str">
        <f t="shared" si="14"/>
        <v>0/3</v>
      </c>
    </row>
    <row r="203" spans="1:9" x14ac:dyDescent="0.25">
      <c r="A203" s="30">
        <f>A200</f>
        <v>46272</v>
      </c>
      <c r="B203" s="31" t="s">
        <v>81</v>
      </c>
      <c r="C203" s="31" t="s">
        <v>44</v>
      </c>
      <c r="D203" s="32" t="s">
        <v>45</v>
      </c>
      <c r="E203" s="33"/>
      <c r="F203" s="33"/>
      <c r="G203" s="33"/>
      <c r="H203" s="33"/>
      <c r="I203" s="34" t="str">
        <f t="shared" si="14"/>
        <v>0/3</v>
      </c>
    </row>
    <row r="204" spans="1:9" x14ac:dyDescent="0.25">
      <c r="A204" s="30">
        <f>A200</f>
        <v>46272</v>
      </c>
      <c r="B204" s="31" t="s">
        <v>81</v>
      </c>
      <c r="C204" s="31" t="s">
        <v>46</v>
      </c>
      <c r="D204" s="32" t="s">
        <v>47</v>
      </c>
      <c r="E204" s="33"/>
      <c r="F204" s="33"/>
      <c r="G204" s="33"/>
      <c r="H204" s="33"/>
      <c r="I204" s="34" t="str">
        <f t="shared" si="14"/>
        <v>0/3</v>
      </c>
    </row>
    <row r="205" spans="1:9" x14ac:dyDescent="0.25">
      <c r="A205" s="30">
        <f>A200</f>
        <v>46272</v>
      </c>
      <c r="B205" s="31" t="s">
        <v>81</v>
      </c>
      <c r="C205" s="31" t="s">
        <v>48</v>
      </c>
      <c r="D205" s="32" t="s">
        <v>49</v>
      </c>
      <c r="E205" s="33"/>
      <c r="F205" s="33"/>
      <c r="G205" s="33"/>
      <c r="H205" s="33"/>
      <c r="I205" s="34" t="str">
        <f t="shared" si="14"/>
        <v>0/3</v>
      </c>
    </row>
    <row r="206" spans="1:9" x14ac:dyDescent="0.25">
      <c r="A206" s="30">
        <f>A200</f>
        <v>46272</v>
      </c>
      <c r="B206" s="31" t="s">
        <v>81</v>
      </c>
      <c r="C206" s="31" t="s">
        <v>50</v>
      </c>
      <c r="D206" s="32" t="s">
        <v>51</v>
      </c>
      <c r="E206" s="33"/>
      <c r="F206" s="33"/>
      <c r="G206" s="33"/>
      <c r="H206" s="33"/>
      <c r="I206" s="34" t="str">
        <f t="shared" si="14"/>
        <v>0/3</v>
      </c>
    </row>
    <row r="207" spans="1:9" x14ac:dyDescent="0.25">
      <c r="A207" s="30">
        <f>A200</f>
        <v>46272</v>
      </c>
      <c r="B207" s="31" t="s">
        <v>82</v>
      </c>
      <c r="C207" s="31" t="s">
        <v>37</v>
      </c>
      <c r="D207" s="32" t="s">
        <v>39</v>
      </c>
      <c r="E207" s="33"/>
      <c r="F207" s="33"/>
      <c r="G207" s="33"/>
      <c r="H207" s="33"/>
      <c r="I207" s="34" t="str">
        <f>COUNTA(E207:H207)&amp;"/4"</f>
        <v>0/4</v>
      </c>
    </row>
    <row r="208" spans="1:9" ht="30" x14ac:dyDescent="0.25">
      <c r="A208" s="30">
        <f>A200</f>
        <v>46272</v>
      </c>
      <c r="B208" s="31" t="s">
        <v>82</v>
      </c>
      <c r="C208" s="31" t="s">
        <v>40</v>
      </c>
      <c r="D208" s="32" t="s">
        <v>41</v>
      </c>
      <c r="E208" s="33"/>
      <c r="F208" s="33"/>
      <c r="G208" s="33"/>
      <c r="H208" s="33"/>
      <c r="I208" s="34" t="str">
        <f t="shared" ref="I208:I220" si="15">COUNTA(E208:G208)&amp;"/3"</f>
        <v>0/3</v>
      </c>
    </row>
    <row r="209" spans="1:9" x14ac:dyDescent="0.25">
      <c r="A209" s="30">
        <f>A200</f>
        <v>46272</v>
      </c>
      <c r="B209" s="31" t="s">
        <v>82</v>
      </c>
      <c r="C209" s="31" t="s">
        <v>42</v>
      </c>
      <c r="D209" s="32" t="s">
        <v>43</v>
      </c>
      <c r="E209" s="33"/>
      <c r="F209" s="33"/>
      <c r="G209" s="33"/>
      <c r="H209" s="33"/>
      <c r="I209" s="34" t="str">
        <f t="shared" si="15"/>
        <v>0/3</v>
      </c>
    </row>
    <row r="210" spans="1:9" x14ac:dyDescent="0.25">
      <c r="A210" s="30">
        <f>A200</f>
        <v>46272</v>
      </c>
      <c r="B210" s="31" t="s">
        <v>82</v>
      </c>
      <c r="C210" s="31" t="s">
        <v>44</v>
      </c>
      <c r="D210" s="32" t="s">
        <v>45</v>
      </c>
      <c r="E210" s="33"/>
      <c r="F210" s="33"/>
      <c r="G210" s="33"/>
      <c r="H210" s="33"/>
      <c r="I210" s="34" t="str">
        <f t="shared" si="15"/>
        <v>0/3</v>
      </c>
    </row>
    <row r="211" spans="1:9" x14ac:dyDescent="0.25">
      <c r="A211" s="30">
        <f>A200</f>
        <v>46272</v>
      </c>
      <c r="B211" s="31" t="s">
        <v>82</v>
      </c>
      <c r="C211" s="31" t="s">
        <v>46</v>
      </c>
      <c r="D211" s="32" t="s">
        <v>47</v>
      </c>
      <c r="E211" s="33"/>
      <c r="F211" s="33"/>
      <c r="G211" s="33"/>
      <c r="H211" s="33"/>
      <c r="I211" s="34" t="str">
        <f t="shared" si="15"/>
        <v>0/3</v>
      </c>
    </row>
    <row r="212" spans="1:9" x14ac:dyDescent="0.25">
      <c r="A212" s="30">
        <f>A200</f>
        <v>46272</v>
      </c>
      <c r="B212" s="31" t="s">
        <v>82</v>
      </c>
      <c r="C212" s="31" t="s">
        <v>48</v>
      </c>
      <c r="D212" s="32" t="s">
        <v>49</v>
      </c>
      <c r="E212" s="33"/>
      <c r="F212" s="33"/>
      <c r="G212" s="33"/>
      <c r="H212" s="33"/>
      <c r="I212" s="34" t="str">
        <f t="shared" si="15"/>
        <v>0/3</v>
      </c>
    </row>
    <row r="213" spans="1:9" x14ac:dyDescent="0.25">
      <c r="A213" s="30">
        <f>A200</f>
        <v>46272</v>
      </c>
      <c r="B213" s="31" t="s">
        <v>82</v>
      </c>
      <c r="C213" s="31" t="s">
        <v>50</v>
      </c>
      <c r="D213" s="32" t="s">
        <v>51</v>
      </c>
      <c r="E213" s="33"/>
      <c r="F213" s="33"/>
      <c r="G213" s="33"/>
      <c r="H213" s="33"/>
      <c r="I213" s="34" t="str">
        <f t="shared" si="15"/>
        <v>0/3</v>
      </c>
    </row>
    <row r="214" spans="1:9" x14ac:dyDescent="0.25">
      <c r="A214" s="30">
        <f>A200+7</f>
        <v>46279</v>
      </c>
      <c r="B214" s="31" t="s">
        <v>81</v>
      </c>
      <c r="C214" s="31" t="s">
        <v>37</v>
      </c>
      <c r="D214" s="32" t="s">
        <v>39</v>
      </c>
      <c r="E214" s="33"/>
      <c r="F214" s="33"/>
      <c r="G214" s="33"/>
      <c r="H214" s="33"/>
      <c r="I214" s="34" t="str">
        <f t="shared" si="15"/>
        <v>0/3</v>
      </c>
    </row>
    <row r="215" spans="1:9" ht="30" x14ac:dyDescent="0.25">
      <c r="A215" s="30">
        <f>A214</f>
        <v>46279</v>
      </c>
      <c r="B215" s="31" t="s">
        <v>81</v>
      </c>
      <c r="C215" s="31" t="s">
        <v>40</v>
      </c>
      <c r="D215" s="32" t="s">
        <v>41</v>
      </c>
      <c r="E215" s="33"/>
      <c r="F215" s="33"/>
      <c r="G215" s="33"/>
      <c r="H215" s="33"/>
      <c r="I215" s="34" t="str">
        <f t="shared" si="15"/>
        <v>0/3</v>
      </c>
    </row>
    <row r="216" spans="1:9" x14ac:dyDescent="0.25">
      <c r="A216" s="30">
        <f>A214</f>
        <v>46279</v>
      </c>
      <c r="B216" s="31" t="s">
        <v>81</v>
      </c>
      <c r="C216" s="31" t="s">
        <v>42</v>
      </c>
      <c r="D216" s="32" t="s">
        <v>43</v>
      </c>
      <c r="E216" s="33"/>
      <c r="F216" s="33"/>
      <c r="G216" s="33"/>
      <c r="H216" s="33"/>
      <c r="I216" s="34" t="str">
        <f t="shared" si="15"/>
        <v>0/3</v>
      </c>
    </row>
    <row r="217" spans="1:9" x14ac:dyDescent="0.25">
      <c r="A217" s="30">
        <f>A214</f>
        <v>46279</v>
      </c>
      <c r="B217" s="31" t="s">
        <v>81</v>
      </c>
      <c r="C217" s="31" t="s">
        <v>44</v>
      </c>
      <c r="D217" s="32" t="s">
        <v>45</v>
      </c>
      <c r="E217" s="33"/>
      <c r="F217" s="33"/>
      <c r="G217" s="33"/>
      <c r="H217" s="33"/>
      <c r="I217" s="34" t="str">
        <f t="shared" si="15"/>
        <v>0/3</v>
      </c>
    </row>
    <row r="218" spans="1:9" x14ac:dyDescent="0.25">
      <c r="A218" s="30">
        <f>A214</f>
        <v>46279</v>
      </c>
      <c r="B218" s="31" t="s">
        <v>81</v>
      </c>
      <c r="C218" s="31" t="s">
        <v>46</v>
      </c>
      <c r="D218" s="32" t="s">
        <v>47</v>
      </c>
      <c r="E218" s="33"/>
      <c r="F218" s="33"/>
      <c r="G218" s="33"/>
      <c r="H218" s="33"/>
      <c r="I218" s="34" t="str">
        <f t="shared" si="15"/>
        <v>0/3</v>
      </c>
    </row>
    <row r="219" spans="1:9" x14ac:dyDescent="0.25">
      <c r="A219" s="30">
        <f>A214</f>
        <v>46279</v>
      </c>
      <c r="B219" s="31" t="s">
        <v>81</v>
      </c>
      <c r="C219" s="31" t="s">
        <v>48</v>
      </c>
      <c r="D219" s="32" t="s">
        <v>49</v>
      </c>
      <c r="E219" s="33"/>
      <c r="F219" s="33"/>
      <c r="G219" s="33"/>
      <c r="H219" s="33"/>
      <c r="I219" s="34" t="str">
        <f t="shared" si="15"/>
        <v>0/3</v>
      </c>
    </row>
    <row r="220" spans="1:9" x14ac:dyDescent="0.25">
      <c r="A220" s="30">
        <f>A214</f>
        <v>46279</v>
      </c>
      <c r="B220" s="31" t="s">
        <v>81</v>
      </c>
      <c r="C220" s="31" t="s">
        <v>50</v>
      </c>
      <c r="D220" s="32" t="s">
        <v>51</v>
      </c>
      <c r="E220" s="33"/>
      <c r="F220" s="33"/>
      <c r="G220" s="33"/>
      <c r="H220" s="33"/>
      <c r="I220" s="34" t="str">
        <f t="shared" si="15"/>
        <v>0/3</v>
      </c>
    </row>
    <row r="221" spans="1:9" x14ac:dyDescent="0.25">
      <c r="A221" s="30">
        <f>A214</f>
        <v>46279</v>
      </c>
      <c r="B221" s="31" t="s">
        <v>82</v>
      </c>
      <c r="C221" s="31" t="s">
        <v>37</v>
      </c>
      <c r="D221" s="32" t="s">
        <v>39</v>
      </c>
      <c r="E221" s="33"/>
      <c r="F221" s="33"/>
      <c r="G221" s="33"/>
      <c r="H221" s="33"/>
      <c r="I221" s="34" t="str">
        <f>COUNTA(E221:H221)&amp;"/4"</f>
        <v>0/4</v>
      </c>
    </row>
    <row r="222" spans="1:9" ht="30" x14ac:dyDescent="0.25">
      <c r="A222" s="30">
        <f>A214</f>
        <v>46279</v>
      </c>
      <c r="B222" s="31" t="s">
        <v>82</v>
      </c>
      <c r="C222" s="31" t="s">
        <v>40</v>
      </c>
      <c r="D222" s="32" t="s">
        <v>41</v>
      </c>
      <c r="E222" s="33"/>
      <c r="F222" s="33"/>
      <c r="G222" s="33"/>
      <c r="H222" s="33"/>
      <c r="I222" s="34" t="str">
        <f t="shared" ref="I222:I234" si="16">COUNTA(E222:G222)&amp;"/3"</f>
        <v>0/3</v>
      </c>
    </row>
    <row r="223" spans="1:9" x14ac:dyDescent="0.25">
      <c r="A223" s="30">
        <f>A214</f>
        <v>46279</v>
      </c>
      <c r="B223" s="31" t="s">
        <v>82</v>
      </c>
      <c r="C223" s="31" t="s">
        <v>42</v>
      </c>
      <c r="D223" s="32" t="s">
        <v>43</v>
      </c>
      <c r="E223" s="33"/>
      <c r="F223" s="33"/>
      <c r="G223" s="33"/>
      <c r="H223" s="33"/>
      <c r="I223" s="34" t="str">
        <f t="shared" si="16"/>
        <v>0/3</v>
      </c>
    </row>
    <row r="224" spans="1:9" x14ac:dyDescent="0.25">
      <c r="A224" s="30">
        <f>A214</f>
        <v>46279</v>
      </c>
      <c r="B224" s="31" t="s">
        <v>82</v>
      </c>
      <c r="C224" s="31" t="s">
        <v>44</v>
      </c>
      <c r="D224" s="32" t="s">
        <v>45</v>
      </c>
      <c r="E224" s="33"/>
      <c r="F224" s="33"/>
      <c r="G224" s="33"/>
      <c r="H224" s="33"/>
      <c r="I224" s="34" t="str">
        <f t="shared" si="16"/>
        <v>0/3</v>
      </c>
    </row>
    <row r="225" spans="1:9" x14ac:dyDescent="0.25">
      <c r="A225" s="30">
        <f>A214</f>
        <v>46279</v>
      </c>
      <c r="B225" s="31" t="s">
        <v>82</v>
      </c>
      <c r="C225" s="31" t="s">
        <v>46</v>
      </c>
      <c r="D225" s="32" t="s">
        <v>47</v>
      </c>
      <c r="E225" s="33"/>
      <c r="F225" s="33"/>
      <c r="G225" s="33"/>
      <c r="H225" s="33"/>
      <c r="I225" s="34" t="str">
        <f t="shared" si="16"/>
        <v>0/3</v>
      </c>
    </row>
    <row r="226" spans="1:9" x14ac:dyDescent="0.25">
      <c r="A226" s="30">
        <f>A214</f>
        <v>46279</v>
      </c>
      <c r="B226" s="31" t="s">
        <v>82</v>
      </c>
      <c r="C226" s="31" t="s">
        <v>48</v>
      </c>
      <c r="D226" s="32" t="s">
        <v>49</v>
      </c>
      <c r="E226" s="33"/>
      <c r="F226" s="33"/>
      <c r="G226" s="33"/>
      <c r="H226" s="33"/>
      <c r="I226" s="34" t="str">
        <f t="shared" si="16"/>
        <v>0/3</v>
      </c>
    </row>
    <row r="227" spans="1:9" x14ac:dyDescent="0.25">
      <c r="A227" s="30">
        <f>A214</f>
        <v>46279</v>
      </c>
      <c r="B227" s="31" t="s">
        <v>82</v>
      </c>
      <c r="C227" s="31" t="s">
        <v>50</v>
      </c>
      <c r="D227" s="32" t="s">
        <v>51</v>
      </c>
      <c r="E227" s="33"/>
      <c r="F227" s="33"/>
      <c r="G227" s="33"/>
      <c r="H227" s="33"/>
      <c r="I227" s="34" t="str">
        <f t="shared" si="16"/>
        <v>0/3</v>
      </c>
    </row>
    <row r="228" spans="1:9" x14ac:dyDescent="0.25">
      <c r="A228" s="30">
        <f>A214+7</f>
        <v>46286</v>
      </c>
      <c r="B228" s="31" t="s">
        <v>81</v>
      </c>
      <c r="C228" s="31" t="s">
        <v>37</v>
      </c>
      <c r="D228" s="32" t="s">
        <v>39</v>
      </c>
      <c r="E228" s="33"/>
      <c r="F228" s="33"/>
      <c r="G228" s="33"/>
      <c r="H228" s="33"/>
      <c r="I228" s="34" t="str">
        <f t="shared" si="16"/>
        <v>0/3</v>
      </c>
    </row>
    <row r="229" spans="1:9" ht="30" x14ac:dyDescent="0.25">
      <c r="A229" s="30">
        <f>A228</f>
        <v>46286</v>
      </c>
      <c r="B229" s="31" t="s">
        <v>81</v>
      </c>
      <c r="C229" s="31" t="s">
        <v>40</v>
      </c>
      <c r="D229" s="32" t="s">
        <v>41</v>
      </c>
      <c r="E229" s="33"/>
      <c r="F229" s="33"/>
      <c r="G229" s="33"/>
      <c r="H229" s="33"/>
      <c r="I229" s="34" t="str">
        <f t="shared" si="16"/>
        <v>0/3</v>
      </c>
    </row>
    <row r="230" spans="1:9" x14ac:dyDescent="0.25">
      <c r="A230" s="30">
        <f>A228</f>
        <v>46286</v>
      </c>
      <c r="B230" s="31" t="s">
        <v>81</v>
      </c>
      <c r="C230" s="31" t="s">
        <v>42</v>
      </c>
      <c r="D230" s="32" t="s">
        <v>43</v>
      </c>
      <c r="E230" s="33"/>
      <c r="F230" s="33"/>
      <c r="G230" s="33"/>
      <c r="H230" s="33"/>
      <c r="I230" s="34" t="str">
        <f t="shared" si="16"/>
        <v>0/3</v>
      </c>
    </row>
    <row r="231" spans="1:9" x14ac:dyDescent="0.25">
      <c r="A231" s="30">
        <f>A228</f>
        <v>46286</v>
      </c>
      <c r="B231" s="31" t="s">
        <v>81</v>
      </c>
      <c r="C231" s="31" t="s">
        <v>44</v>
      </c>
      <c r="D231" s="32" t="s">
        <v>45</v>
      </c>
      <c r="E231" s="33"/>
      <c r="F231" s="33"/>
      <c r="G231" s="33"/>
      <c r="H231" s="33"/>
      <c r="I231" s="34" t="str">
        <f t="shared" si="16"/>
        <v>0/3</v>
      </c>
    </row>
    <row r="232" spans="1:9" x14ac:dyDescent="0.25">
      <c r="A232" s="30">
        <f>A228</f>
        <v>46286</v>
      </c>
      <c r="B232" s="31" t="s">
        <v>81</v>
      </c>
      <c r="C232" s="31" t="s">
        <v>46</v>
      </c>
      <c r="D232" s="32" t="s">
        <v>47</v>
      </c>
      <c r="E232" s="33"/>
      <c r="F232" s="33"/>
      <c r="G232" s="33"/>
      <c r="H232" s="33"/>
      <c r="I232" s="34" t="str">
        <f t="shared" si="16"/>
        <v>0/3</v>
      </c>
    </row>
    <row r="233" spans="1:9" x14ac:dyDescent="0.25">
      <c r="A233" s="30">
        <f>A228</f>
        <v>46286</v>
      </c>
      <c r="B233" s="31" t="s">
        <v>81</v>
      </c>
      <c r="C233" s="31" t="s">
        <v>48</v>
      </c>
      <c r="D233" s="32" t="s">
        <v>49</v>
      </c>
      <c r="E233" s="33"/>
      <c r="F233" s="33"/>
      <c r="G233" s="33"/>
      <c r="H233" s="33"/>
      <c r="I233" s="34" t="str">
        <f t="shared" si="16"/>
        <v>0/3</v>
      </c>
    </row>
    <row r="234" spans="1:9" x14ac:dyDescent="0.25">
      <c r="A234" s="30">
        <f>A228</f>
        <v>46286</v>
      </c>
      <c r="B234" s="31" t="s">
        <v>81</v>
      </c>
      <c r="C234" s="31" t="s">
        <v>50</v>
      </c>
      <c r="D234" s="32" t="s">
        <v>51</v>
      </c>
      <c r="E234" s="33"/>
      <c r="F234" s="33"/>
      <c r="G234" s="33"/>
      <c r="H234" s="33"/>
      <c r="I234" s="34" t="str">
        <f t="shared" si="16"/>
        <v>0/3</v>
      </c>
    </row>
    <row r="235" spans="1:9" x14ac:dyDescent="0.25">
      <c r="A235" s="30">
        <f>A228</f>
        <v>46286</v>
      </c>
      <c r="B235" s="31" t="s">
        <v>82</v>
      </c>
      <c r="C235" s="31" t="s">
        <v>37</v>
      </c>
      <c r="D235" s="32" t="s">
        <v>39</v>
      </c>
      <c r="E235" s="33"/>
      <c r="F235" s="33"/>
      <c r="G235" s="33"/>
      <c r="H235" s="33"/>
      <c r="I235" s="34" t="str">
        <f>COUNTA(E235:H235)&amp;"/4"</f>
        <v>0/4</v>
      </c>
    </row>
    <row r="236" spans="1:9" ht="30" x14ac:dyDescent="0.25">
      <c r="A236" s="30">
        <f>A228</f>
        <v>46286</v>
      </c>
      <c r="B236" s="31" t="s">
        <v>82</v>
      </c>
      <c r="C236" s="31" t="s">
        <v>40</v>
      </c>
      <c r="D236" s="32" t="s">
        <v>41</v>
      </c>
      <c r="E236" s="33"/>
      <c r="F236" s="33"/>
      <c r="G236" s="33"/>
      <c r="H236" s="33"/>
      <c r="I236" s="34" t="str">
        <f t="shared" ref="I236:I248" si="17">COUNTA(E236:G236)&amp;"/3"</f>
        <v>0/3</v>
      </c>
    </row>
    <row r="237" spans="1:9" x14ac:dyDescent="0.25">
      <c r="A237" s="30">
        <f>A228</f>
        <v>46286</v>
      </c>
      <c r="B237" s="31" t="s">
        <v>82</v>
      </c>
      <c r="C237" s="31" t="s">
        <v>42</v>
      </c>
      <c r="D237" s="32" t="s">
        <v>43</v>
      </c>
      <c r="E237" s="33"/>
      <c r="F237" s="33"/>
      <c r="G237" s="33"/>
      <c r="H237" s="33"/>
      <c r="I237" s="34" t="str">
        <f t="shared" si="17"/>
        <v>0/3</v>
      </c>
    </row>
    <row r="238" spans="1:9" x14ac:dyDescent="0.25">
      <c r="A238" s="30">
        <f>A228</f>
        <v>46286</v>
      </c>
      <c r="B238" s="31" t="s">
        <v>82</v>
      </c>
      <c r="C238" s="31" t="s">
        <v>44</v>
      </c>
      <c r="D238" s="32" t="s">
        <v>45</v>
      </c>
      <c r="E238" s="33"/>
      <c r="F238" s="33"/>
      <c r="G238" s="33"/>
      <c r="H238" s="33"/>
      <c r="I238" s="34" t="str">
        <f t="shared" si="17"/>
        <v>0/3</v>
      </c>
    </row>
    <row r="239" spans="1:9" x14ac:dyDescent="0.25">
      <c r="A239" s="30">
        <f>A228</f>
        <v>46286</v>
      </c>
      <c r="B239" s="31" t="s">
        <v>82</v>
      </c>
      <c r="C239" s="31" t="s">
        <v>46</v>
      </c>
      <c r="D239" s="32" t="s">
        <v>47</v>
      </c>
      <c r="E239" s="33"/>
      <c r="F239" s="33"/>
      <c r="G239" s="33"/>
      <c r="H239" s="33"/>
      <c r="I239" s="34" t="str">
        <f t="shared" si="17"/>
        <v>0/3</v>
      </c>
    </row>
    <row r="240" spans="1:9" x14ac:dyDescent="0.25">
      <c r="A240" s="30">
        <f>A228</f>
        <v>46286</v>
      </c>
      <c r="B240" s="31" t="s">
        <v>82</v>
      </c>
      <c r="C240" s="31" t="s">
        <v>48</v>
      </c>
      <c r="D240" s="32" t="s">
        <v>49</v>
      </c>
      <c r="E240" s="33"/>
      <c r="F240" s="33"/>
      <c r="G240" s="33"/>
      <c r="H240" s="33"/>
      <c r="I240" s="34" t="str">
        <f t="shared" si="17"/>
        <v>0/3</v>
      </c>
    </row>
    <row r="241" spans="1:9" x14ac:dyDescent="0.25">
      <c r="A241" s="30">
        <f>A228</f>
        <v>46286</v>
      </c>
      <c r="B241" s="31" t="s">
        <v>82</v>
      </c>
      <c r="C241" s="31" t="s">
        <v>50</v>
      </c>
      <c r="D241" s="32" t="s">
        <v>51</v>
      </c>
      <c r="E241" s="33"/>
      <c r="F241" s="33"/>
      <c r="G241" s="33"/>
      <c r="H241" s="33"/>
      <c r="I241" s="34" t="str">
        <f t="shared" si="17"/>
        <v>0/3</v>
      </c>
    </row>
    <row r="242" spans="1:9" x14ac:dyDescent="0.25">
      <c r="A242" s="30">
        <f>A228+7</f>
        <v>46293</v>
      </c>
      <c r="B242" s="31" t="s">
        <v>81</v>
      </c>
      <c r="C242" s="31" t="s">
        <v>37</v>
      </c>
      <c r="D242" s="32" t="s">
        <v>39</v>
      </c>
      <c r="E242" s="33"/>
      <c r="F242" s="33"/>
      <c r="G242" s="33"/>
      <c r="H242" s="33"/>
      <c r="I242" s="34" t="str">
        <f t="shared" si="17"/>
        <v>0/3</v>
      </c>
    </row>
    <row r="243" spans="1:9" ht="30" x14ac:dyDescent="0.25">
      <c r="A243" s="30">
        <f>A242</f>
        <v>46293</v>
      </c>
      <c r="B243" s="31" t="s">
        <v>81</v>
      </c>
      <c r="C243" s="31" t="s">
        <v>40</v>
      </c>
      <c r="D243" s="32" t="s">
        <v>41</v>
      </c>
      <c r="E243" s="33"/>
      <c r="F243" s="33"/>
      <c r="G243" s="33"/>
      <c r="H243" s="33"/>
      <c r="I243" s="34" t="str">
        <f t="shared" si="17"/>
        <v>0/3</v>
      </c>
    </row>
    <row r="244" spans="1:9" x14ac:dyDescent="0.25">
      <c r="A244" s="30">
        <f>A242</f>
        <v>46293</v>
      </c>
      <c r="B244" s="31" t="s">
        <v>81</v>
      </c>
      <c r="C244" s="31" t="s">
        <v>42</v>
      </c>
      <c r="D244" s="32" t="s">
        <v>43</v>
      </c>
      <c r="E244" s="33"/>
      <c r="F244" s="33"/>
      <c r="G244" s="33"/>
      <c r="H244" s="33"/>
      <c r="I244" s="34" t="str">
        <f t="shared" si="17"/>
        <v>0/3</v>
      </c>
    </row>
    <row r="245" spans="1:9" x14ac:dyDescent="0.25">
      <c r="A245" s="30">
        <f>A242</f>
        <v>46293</v>
      </c>
      <c r="B245" s="31" t="s">
        <v>81</v>
      </c>
      <c r="C245" s="31" t="s">
        <v>44</v>
      </c>
      <c r="D245" s="32" t="s">
        <v>45</v>
      </c>
      <c r="E245" s="33"/>
      <c r="F245" s="33"/>
      <c r="G245" s="33"/>
      <c r="H245" s="33"/>
      <c r="I245" s="34" t="str">
        <f t="shared" si="17"/>
        <v>0/3</v>
      </c>
    </row>
    <row r="246" spans="1:9" x14ac:dyDescent="0.25">
      <c r="A246" s="30">
        <f>A242</f>
        <v>46293</v>
      </c>
      <c r="B246" s="31" t="s">
        <v>81</v>
      </c>
      <c r="C246" s="31" t="s">
        <v>46</v>
      </c>
      <c r="D246" s="32" t="s">
        <v>47</v>
      </c>
      <c r="E246" s="33"/>
      <c r="F246" s="33"/>
      <c r="G246" s="33"/>
      <c r="H246" s="33"/>
      <c r="I246" s="34" t="str">
        <f t="shared" si="17"/>
        <v>0/3</v>
      </c>
    </row>
    <row r="247" spans="1:9" x14ac:dyDescent="0.25">
      <c r="A247" s="30">
        <f>A242</f>
        <v>46293</v>
      </c>
      <c r="B247" s="31" t="s">
        <v>81</v>
      </c>
      <c r="C247" s="31" t="s">
        <v>48</v>
      </c>
      <c r="D247" s="32" t="s">
        <v>49</v>
      </c>
      <c r="E247" s="33"/>
      <c r="F247" s="33"/>
      <c r="G247" s="33"/>
      <c r="H247" s="33"/>
      <c r="I247" s="34" t="str">
        <f t="shared" si="17"/>
        <v>0/3</v>
      </c>
    </row>
    <row r="248" spans="1:9" x14ac:dyDescent="0.25">
      <c r="A248" s="30">
        <f>A242</f>
        <v>46293</v>
      </c>
      <c r="B248" s="31" t="s">
        <v>81</v>
      </c>
      <c r="C248" s="31" t="s">
        <v>50</v>
      </c>
      <c r="D248" s="32" t="s">
        <v>51</v>
      </c>
      <c r="E248" s="33"/>
      <c r="F248" s="33"/>
      <c r="G248" s="33"/>
      <c r="H248" s="33"/>
      <c r="I248" s="34" t="str">
        <f t="shared" si="17"/>
        <v>0/3</v>
      </c>
    </row>
    <row r="249" spans="1:9" x14ac:dyDescent="0.25">
      <c r="A249" s="30">
        <f>A242</f>
        <v>46293</v>
      </c>
      <c r="B249" s="31" t="s">
        <v>82</v>
      </c>
      <c r="C249" s="31" t="s">
        <v>37</v>
      </c>
      <c r="D249" s="32" t="s">
        <v>39</v>
      </c>
      <c r="E249" s="33"/>
      <c r="F249" s="33"/>
      <c r="G249" s="33"/>
      <c r="H249" s="33"/>
      <c r="I249" s="34" t="str">
        <f>COUNTA(E249:H249)&amp;"/4"</f>
        <v>0/4</v>
      </c>
    </row>
    <row r="250" spans="1:9" ht="30" x14ac:dyDescent="0.25">
      <c r="A250" s="30">
        <f>A242</f>
        <v>46293</v>
      </c>
      <c r="B250" s="31" t="s">
        <v>82</v>
      </c>
      <c r="C250" s="31" t="s">
        <v>40</v>
      </c>
      <c r="D250" s="32" t="s">
        <v>41</v>
      </c>
      <c r="E250" s="33"/>
      <c r="F250" s="33"/>
      <c r="G250" s="33"/>
      <c r="H250" s="33"/>
      <c r="I250" s="34" t="str">
        <f t="shared" ref="I250:I262" si="18">COUNTA(E250:G250)&amp;"/3"</f>
        <v>0/3</v>
      </c>
    </row>
    <row r="251" spans="1:9" x14ac:dyDescent="0.25">
      <c r="A251" s="30">
        <f>A242</f>
        <v>46293</v>
      </c>
      <c r="B251" s="31" t="s">
        <v>82</v>
      </c>
      <c r="C251" s="31" t="s">
        <v>42</v>
      </c>
      <c r="D251" s="32" t="s">
        <v>43</v>
      </c>
      <c r="E251" s="33"/>
      <c r="F251" s="33"/>
      <c r="G251" s="33"/>
      <c r="H251" s="33"/>
      <c r="I251" s="34" t="str">
        <f t="shared" si="18"/>
        <v>0/3</v>
      </c>
    </row>
    <row r="252" spans="1:9" x14ac:dyDescent="0.25">
      <c r="A252" s="30">
        <f>A242</f>
        <v>46293</v>
      </c>
      <c r="B252" s="31" t="s">
        <v>82</v>
      </c>
      <c r="C252" s="31" t="s">
        <v>44</v>
      </c>
      <c r="D252" s="32" t="s">
        <v>45</v>
      </c>
      <c r="E252" s="33"/>
      <c r="F252" s="33"/>
      <c r="G252" s="33"/>
      <c r="H252" s="33"/>
      <c r="I252" s="34" t="str">
        <f t="shared" si="18"/>
        <v>0/3</v>
      </c>
    </row>
    <row r="253" spans="1:9" x14ac:dyDescent="0.25">
      <c r="A253" s="30">
        <f>A242</f>
        <v>46293</v>
      </c>
      <c r="B253" s="31" t="s">
        <v>82</v>
      </c>
      <c r="C253" s="31" t="s">
        <v>46</v>
      </c>
      <c r="D253" s="32" t="s">
        <v>47</v>
      </c>
      <c r="E253" s="33"/>
      <c r="F253" s="33"/>
      <c r="G253" s="33"/>
      <c r="H253" s="33"/>
      <c r="I253" s="34" t="str">
        <f t="shared" si="18"/>
        <v>0/3</v>
      </c>
    </row>
    <row r="254" spans="1:9" x14ac:dyDescent="0.25">
      <c r="A254" s="30">
        <f>A242</f>
        <v>46293</v>
      </c>
      <c r="B254" s="31" t="s">
        <v>82</v>
      </c>
      <c r="C254" s="31" t="s">
        <v>48</v>
      </c>
      <c r="D254" s="32" t="s">
        <v>49</v>
      </c>
      <c r="E254" s="33"/>
      <c r="F254" s="33"/>
      <c r="G254" s="33"/>
      <c r="H254" s="33"/>
      <c r="I254" s="34" t="str">
        <f t="shared" si="18"/>
        <v>0/3</v>
      </c>
    </row>
    <row r="255" spans="1:9" x14ac:dyDescent="0.25">
      <c r="A255" s="30">
        <f>A242</f>
        <v>46293</v>
      </c>
      <c r="B255" s="31" t="s">
        <v>82</v>
      </c>
      <c r="C255" s="31" t="s">
        <v>50</v>
      </c>
      <c r="D255" s="32" t="s">
        <v>51</v>
      </c>
      <c r="E255" s="33"/>
      <c r="F255" s="33"/>
      <c r="G255" s="33"/>
      <c r="H255" s="33"/>
      <c r="I255" s="34" t="str">
        <f t="shared" si="18"/>
        <v>0/3</v>
      </c>
    </row>
    <row r="256" spans="1:9" x14ac:dyDescent="0.25">
      <c r="A256" s="30">
        <f>A242+7</f>
        <v>46300</v>
      </c>
      <c r="B256" s="31" t="s">
        <v>81</v>
      </c>
      <c r="C256" s="31" t="s">
        <v>37</v>
      </c>
      <c r="D256" s="32" t="s">
        <v>39</v>
      </c>
      <c r="E256" s="33"/>
      <c r="F256" s="33"/>
      <c r="G256" s="33"/>
      <c r="H256" s="33"/>
      <c r="I256" s="34" t="str">
        <f t="shared" si="18"/>
        <v>0/3</v>
      </c>
    </row>
    <row r="257" spans="1:9" ht="30" x14ac:dyDescent="0.25">
      <c r="A257" s="30">
        <f>A256</f>
        <v>46300</v>
      </c>
      <c r="B257" s="31" t="s">
        <v>81</v>
      </c>
      <c r="C257" s="31" t="s">
        <v>40</v>
      </c>
      <c r="D257" s="32" t="s">
        <v>41</v>
      </c>
      <c r="E257" s="33"/>
      <c r="F257" s="33"/>
      <c r="G257" s="33"/>
      <c r="H257" s="33"/>
      <c r="I257" s="34" t="str">
        <f t="shared" si="18"/>
        <v>0/3</v>
      </c>
    </row>
    <row r="258" spans="1:9" x14ac:dyDescent="0.25">
      <c r="A258" s="30">
        <f>A256</f>
        <v>46300</v>
      </c>
      <c r="B258" s="31" t="s">
        <v>81</v>
      </c>
      <c r="C258" s="31" t="s">
        <v>42</v>
      </c>
      <c r="D258" s="32" t="s">
        <v>43</v>
      </c>
      <c r="E258" s="33"/>
      <c r="F258" s="33"/>
      <c r="G258" s="33"/>
      <c r="H258" s="33"/>
      <c r="I258" s="34" t="str">
        <f t="shared" si="18"/>
        <v>0/3</v>
      </c>
    </row>
    <row r="259" spans="1:9" x14ac:dyDescent="0.25">
      <c r="A259" s="30">
        <f>A256</f>
        <v>46300</v>
      </c>
      <c r="B259" s="31" t="s">
        <v>81</v>
      </c>
      <c r="C259" s="31" t="s">
        <v>44</v>
      </c>
      <c r="D259" s="32" t="s">
        <v>45</v>
      </c>
      <c r="E259" s="33"/>
      <c r="F259" s="33"/>
      <c r="G259" s="33"/>
      <c r="H259" s="33"/>
      <c r="I259" s="34" t="str">
        <f t="shared" si="18"/>
        <v>0/3</v>
      </c>
    </row>
    <row r="260" spans="1:9" x14ac:dyDescent="0.25">
      <c r="A260" s="30">
        <f>A256</f>
        <v>46300</v>
      </c>
      <c r="B260" s="31" t="s">
        <v>81</v>
      </c>
      <c r="C260" s="31" t="s">
        <v>46</v>
      </c>
      <c r="D260" s="32" t="s">
        <v>47</v>
      </c>
      <c r="E260" s="33"/>
      <c r="F260" s="33"/>
      <c r="G260" s="33"/>
      <c r="H260" s="33"/>
      <c r="I260" s="34" t="str">
        <f t="shared" si="18"/>
        <v>0/3</v>
      </c>
    </row>
    <row r="261" spans="1:9" x14ac:dyDescent="0.25">
      <c r="A261" s="30">
        <f>A256</f>
        <v>46300</v>
      </c>
      <c r="B261" s="31" t="s">
        <v>81</v>
      </c>
      <c r="C261" s="31" t="s">
        <v>48</v>
      </c>
      <c r="D261" s="32" t="s">
        <v>49</v>
      </c>
      <c r="E261" s="33"/>
      <c r="F261" s="33"/>
      <c r="G261" s="33"/>
      <c r="H261" s="33"/>
      <c r="I261" s="34" t="str">
        <f t="shared" si="18"/>
        <v>0/3</v>
      </c>
    </row>
    <row r="262" spans="1:9" x14ac:dyDescent="0.25">
      <c r="A262" s="30">
        <f>A256</f>
        <v>46300</v>
      </c>
      <c r="B262" s="31" t="s">
        <v>81</v>
      </c>
      <c r="C262" s="31" t="s">
        <v>50</v>
      </c>
      <c r="D262" s="32" t="s">
        <v>51</v>
      </c>
      <c r="E262" s="33"/>
      <c r="F262" s="33"/>
      <c r="G262" s="33"/>
      <c r="H262" s="33"/>
      <c r="I262" s="34" t="str">
        <f t="shared" si="18"/>
        <v>0/3</v>
      </c>
    </row>
    <row r="263" spans="1:9" x14ac:dyDescent="0.25">
      <c r="A263" s="30">
        <f>A256</f>
        <v>46300</v>
      </c>
      <c r="B263" s="31" t="s">
        <v>82</v>
      </c>
      <c r="C263" s="31" t="s">
        <v>37</v>
      </c>
      <c r="D263" s="32" t="s">
        <v>39</v>
      </c>
      <c r="E263" s="33"/>
      <c r="F263" s="33"/>
      <c r="G263" s="33"/>
      <c r="H263" s="33"/>
      <c r="I263" s="34" t="str">
        <f>COUNTA(E263:H263)&amp;"/4"</f>
        <v>0/4</v>
      </c>
    </row>
    <row r="264" spans="1:9" ht="30" x14ac:dyDescent="0.25">
      <c r="A264" s="30">
        <f>A256</f>
        <v>46300</v>
      </c>
      <c r="B264" s="31" t="s">
        <v>82</v>
      </c>
      <c r="C264" s="31" t="s">
        <v>40</v>
      </c>
      <c r="D264" s="32" t="s">
        <v>41</v>
      </c>
      <c r="E264" s="33"/>
      <c r="F264" s="33"/>
      <c r="G264" s="33"/>
      <c r="H264" s="33"/>
      <c r="I264" s="34" t="str">
        <f t="shared" ref="I264:I276" si="19">COUNTA(E264:G264)&amp;"/3"</f>
        <v>0/3</v>
      </c>
    </row>
    <row r="265" spans="1:9" x14ac:dyDescent="0.25">
      <c r="A265" s="30">
        <f>A256</f>
        <v>46300</v>
      </c>
      <c r="B265" s="31" t="s">
        <v>82</v>
      </c>
      <c r="C265" s="31" t="s">
        <v>42</v>
      </c>
      <c r="D265" s="32" t="s">
        <v>43</v>
      </c>
      <c r="E265" s="33"/>
      <c r="F265" s="33"/>
      <c r="G265" s="33"/>
      <c r="H265" s="33"/>
      <c r="I265" s="34" t="str">
        <f t="shared" si="19"/>
        <v>0/3</v>
      </c>
    </row>
    <row r="266" spans="1:9" x14ac:dyDescent="0.25">
      <c r="A266" s="30">
        <f>A256</f>
        <v>46300</v>
      </c>
      <c r="B266" s="31" t="s">
        <v>82</v>
      </c>
      <c r="C266" s="31" t="s">
        <v>44</v>
      </c>
      <c r="D266" s="32" t="s">
        <v>45</v>
      </c>
      <c r="E266" s="33"/>
      <c r="F266" s="33"/>
      <c r="G266" s="33"/>
      <c r="H266" s="33"/>
      <c r="I266" s="34" t="str">
        <f t="shared" si="19"/>
        <v>0/3</v>
      </c>
    </row>
    <row r="267" spans="1:9" x14ac:dyDescent="0.25">
      <c r="A267" s="30">
        <f>A256</f>
        <v>46300</v>
      </c>
      <c r="B267" s="31" t="s">
        <v>82</v>
      </c>
      <c r="C267" s="31" t="s">
        <v>46</v>
      </c>
      <c r="D267" s="32" t="s">
        <v>47</v>
      </c>
      <c r="E267" s="33"/>
      <c r="F267" s="33"/>
      <c r="G267" s="33"/>
      <c r="H267" s="33"/>
      <c r="I267" s="34" t="str">
        <f t="shared" si="19"/>
        <v>0/3</v>
      </c>
    </row>
    <row r="268" spans="1:9" x14ac:dyDescent="0.25">
      <c r="A268" s="30">
        <f>A256</f>
        <v>46300</v>
      </c>
      <c r="B268" s="31" t="s">
        <v>82</v>
      </c>
      <c r="C268" s="31" t="s">
        <v>48</v>
      </c>
      <c r="D268" s="32" t="s">
        <v>49</v>
      </c>
      <c r="E268" s="33"/>
      <c r="F268" s="33"/>
      <c r="G268" s="33"/>
      <c r="H268" s="33"/>
      <c r="I268" s="34" t="str">
        <f t="shared" si="19"/>
        <v>0/3</v>
      </c>
    </row>
    <row r="269" spans="1:9" x14ac:dyDescent="0.25">
      <c r="A269" s="30">
        <f>A256</f>
        <v>46300</v>
      </c>
      <c r="B269" s="31" t="s">
        <v>82</v>
      </c>
      <c r="C269" s="31" t="s">
        <v>50</v>
      </c>
      <c r="D269" s="32" t="s">
        <v>51</v>
      </c>
      <c r="E269" s="33"/>
      <c r="F269" s="33"/>
      <c r="G269" s="33"/>
      <c r="H269" s="33"/>
      <c r="I269" s="34" t="str">
        <f t="shared" si="19"/>
        <v>0/3</v>
      </c>
    </row>
    <row r="270" spans="1:9" x14ac:dyDescent="0.25">
      <c r="A270" s="30">
        <f>A256+7</f>
        <v>46307</v>
      </c>
      <c r="B270" s="31" t="s">
        <v>81</v>
      </c>
      <c r="C270" s="31" t="s">
        <v>37</v>
      </c>
      <c r="D270" s="32" t="s">
        <v>39</v>
      </c>
      <c r="E270" s="33"/>
      <c r="F270" s="33"/>
      <c r="G270" s="33"/>
      <c r="H270" s="33"/>
      <c r="I270" s="34" t="str">
        <f t="shared" si="19"/>
        <v>0/3</v>
      </c>
    </row>
    <row r="271" spans="1:9" ht="30" x14ac:dyDescent="0.25">
      <c r="A271" s="30">
        <f>A270</f>
        <v>46307</v>
      </c>
      <c r="B271" s="31" t="s">
        <v>81</v>
      </c>
      <c r="C271" s="31" t="s">
        <v>40</v>
      </c>
      <c r="D271" s="32" t="s">
        <v>41</v>
      </c>
      <c r="E271" s="33"/>
      <c r="F271" s="33"/>
      <c r="G271" s="33"/>
      <c r="H271" s="33"/>
      <c r="I271" s="34" t="str">
        <f t="shared" si="19"/>
        <v>0/3</v>
      </c>
    </row>
    <row r="272" spans="1:9" x14ac:dyDescent="0.25">
      <c r="A272" s="30">
        <f>A270</f>
        <v>46307</v>
      </c>
      <c r="B272" s="31" t="s">
        <v>81</v>
      </c>
      <c r="C272" s="31" t="s">
        <v>42</v>
      </c>
      <c r="D272" s="32" t="s">
        <v>43</v>
      </c>
      <c r="E272" s="33"/>
      <c r="F272" s="33"/>
      <c r="G272" s="33"/>
      <c r="H272" s="33"/>
      <c r="I272" s="34" t="str">
        <f t="shared" si="19"/>
        <v>0/3</v>
      </c>
    </row>
    <row r="273" spans="1:9" x14ac:dyDescent="0.25">
      <c r="A273" s="30">
        <f>A270</f>
        <v>46307</v>
      </c>
      <c r="B273" s="31" t="s">
        <v>81</v>
      </c>
      <c r="C273" s="31" t="s">
        <v>44</v>
      </c>
      <c r="D273" s="32" t="s">
        <v>45</v>
      </c>
      <c r="E273" s="33"/>
      <c r="F273" s="33"/>
      <c r="G273" s="33"/>
      <c r="H273" s="33"/>
      <c r="I273" s="34" t="str">
        <f t="shared" si="19"/>
        <v>0/3</v>
      </c>
    </row>
    <row r="274" spans="1:9" x14ac:dyDescent="0.25">
      <c r="A274" s="30">
        <f>A270</f>
        <v>46307</v>
      </c>
      <c r="B274" s="31" t="s">
        <v>81</v>
      </c>
      <c r="C274" s="31" t="s">
        <v>46</v>
      </c>
      <c r="D274" s="32" t="s">
        <v>47</v>
      </c>
      <c r="E274" s="33"/>
      <c r="F274" s="33"/>
      <c r="G274" s="33"/>
      <c r="H274" s="33"/>
      <c r="I274" s="34" t="str">
        <f t="shared" si="19"/>
        <v>0/3</v>
      </c>
    </row>
    <row r="275" spans="1:9" x14ac:dyDescent="0.25">
      <c r="A275" s="30">
        <f>A270</f>
        <v>46307</v>
      </c>
      <c r="B275" s="31" t="s">
        <v>81</v>
      </c>
      <c r="C275" s="31" t="s">
        <v>48</v>
      </c>
      <c r="D275" s="32" t="s">
        <v>49</v>
      </c>
      <c r="E275" s="33"/>
      <c r="F275" s="33"/>
      <c r="G275" s="33"/>
      <c r="H275" s="33"/>
      <c r="I275" s="34" t="str">
        <f t="shared" si="19"/>
        <v>0/3</v>
      </c>
    </row>
    <row r="276" spans="1:9" x14ac:dyDescent="0.25">
      <c r="A276" s="30">
        <f>A270</f>
        <v>46307</v>
      </c>
      <c r="B276" s="31" t="s">
        <v>81</v>
      </c>
      <c r="C276" s="31" t="s">
        <v>50</v>
      </c>
      <c r="D276" s="32" t="s">
        <v>51</v>
      </c>
      <c r="E276" s="33"/>
      <c r="F276" s="33"/>
      <c r="G276" s="33"/>
      <c r="H276" s="33"/>
      <c r="I276" s="34" t="str">
        <f t="shared" si="19"/>
        <v>0/3</v>
      </c>
    </row>
    <row r="277" spans="1:9" x14ac:dyDescent="0.25">
      <c r="A277" s="30">
        <f>A270</f>
        <v>46307</v>
      </c>
      <c r="B277" s="31" t="s">
        <v>82</v>
      </c>
      <c r="C277" s="31" t="s">
        <v>37</v>
      </c>
      <c r="D277" s="32" t="s">
        <v>39</v>
      </c>
      <c r="E277" s="33"/>
      <c r="F277" s="33"/>
      <c r="G277" s="33"/>
      <c r="H277" s="33"/>
      <c r="I277" s="34" t="str">
        <f>COUNTA(E277:H277)&amp;"/4"</f>
        <v>0/4</v>
      </c>
    </row>
    <row r="278" spans="1:9" ht="30" x14ac:dyDescent="0.25">
      <c r="A278" s="30">
        <f>A270</f>
        <v>46307</v>
      </c>
      <c r="B278" s="31" t="s">
        <v>82</v>
      </c>
      <c r="C278" s="31" t="s">
        <v>40</v>
      </c>
      <c r="D278" s="32" t="s">
        <v>41</v>
      </c>
      <c r="E278" s="33"/>
      <c r="F278" s="33"/>
      <c r="G278" s="33"/>
      <c r="H278" s="33"/>
      <c r="I278" s="34" t="str">
        <f t="shared" ref="I278:I290" si="20">COUNTA(E278:G278)&amp;"/3"</f>
        <v>0/3</v>
      </c>
    </row>
    <row r="279" spans="1:9" x14ac:dyDescent="0.25">
      <c r="A279" s="30">
        <f>A270</f>
        <v>46307</v>
      </c>
      <c r="B279" s="31" t="s">
        <v>82</v>
      </c>
      <c r="C279" s="31" t="s">
        <v>42</v>
      </c>
      <c r="D279" s="32" t="s">
        <v>43</v>
      </c>
      <c r="E279" s="33"/>
      <c r="F279" s="33"/>
      <c r="G279" s="33"/>
      <c r="H279" s="33"/>
      <c r="I279" s="34" t="str">
        <f t="shared" si="20"/>
        <v>0/3</v>
      </c>
    </row>
    <row r="280" spans="1:9" x14ac:dyDescent="0.25">
      <c r="A280" s="30">
        <f>A270</f>
        <v>46307</v>
      </c>
      <c r="B280" s="31" t="s">
        <v>82</v>
      </c>
      <c r="C280" s="31" t="s">
        <v>44</v>
      </c>
      <c r="D280" s="32" t="s">
        <v>45</v>
      </c>
      <c r="E280" s="33"/>
      <c r="F280" s="33"/>
      <c r="G280" s="33"/>
      <c r="H280" s="33"/>
      <c r="I280" s="34" t="str">
        <f t="shared" si="20"/>
        <v>0/3</v>
      </c>
    </row>
    <row r="281" spans="1:9" x14ac:dyDescent="0.25">
      <c r="A281" s="30">
        <f>A270</f>
        <v>46307</v>
      </c>
      <c r="B281" s="31" t="s">
        <v>82</v>
      </c>
      <c r="C281" s="31" t="s">
        <v>46</v>
      </c>
      <c r="D281" s="32" t="s">
        <v>47</v>
      </c>
      <c r="E281" s="33"/>
      <c r="F281" s="33"/>
      <c r="G281" s="33"/>
      <c r="H281" s="33"/>
      <c r="I281" s="34" t="str">
        <f t="shared" si="20"/>
        <v>0/3</v>
      </c>
    </row>
    <row r="282" spans="1:9" x14ac:dyDescent="0.25">
      <c r="A282" s="30">
        <f>A270</f>
        <v>46307</v>
      </c>
      <c r="B282" s="31" t="s">
        <v>82</v>
      </c>
      <c r="C282" s="31" t="s">
        <v>48</v>
      </c>
      <c r="D282" s="32" t="s">
        <v>49</v>
      </c>
      <c r="E282" s="33"/>
      <c r="F282" s="33"/>
      <c r="G282" s="33"/>
      <c r="H282" s="33"/>
      <c r="I282" s="34" t="str">
        <f t="shared" si="20"/>
        <v>0/3</v>
      </c>
    </row>
    <row r="283" spans="1:9" x14ac:dyDescent="0.25">
      <c r="A283" s="30">
        <f>A270</f>
        <v>46307</v>
      </c>
      <c r="B283" s="31" t="s">
        <v>82</v>
      </c>
      <c r="C283" s="31" t="s">
        <v>50</v>
      </c>
      <c r="D283" s="32" t="s">
        <v>51</v>
      </c>
      <c r="E283" s="33"/>
      <c r="F283" s="33"/>
      <c r="G283" s="33"/>
      <c r="H283" s="33"/>
      <c r="I283" s="34" t="str">
        <f t="shared" si="20"/>
        <v>0/3</v>
      </c>
    </row>
    <row r="284" spans="1:9" x14ac:dyDescent="0.25">
      <c r="A284" s="30">
        <f>A270+7</f>
        <v>46314</v>
      </c>
      <c r="B284" s="31" t="s">
        <v>81</v>
      </c>
      <c r="C284" s="31" t="s">
        <v>37</v>
      </c>
      <c r="D284" s="32" t="s">
        <v>39</v>
      </c>
      <c r="E284" s="33"/>
      <c r="F284" s="33"/>
      <c r="G284" s="33"/>
      <c r="H284" s="33"/>
      <c r="I284" s="34" t="str">
        <f t="shared" si="20"/>
        <v>0/3</v>
      </c>
    </row>
    <row r="285" spans="1:9" ht="30" x14ac:dyDescent="0.25">
      <c r="A285" s="30">
        <f>A284</f>
        <v>46314</v>
      </c>
      <c r="B285" s="31" t="s">
        <v>81</v>
      </c>
      <c r="C285" s="31" t="s">
        <v>40</v>
      </c>
      <c r="D285" s="32" t="s">
        <v>41</v>
      </c>
      <c r="E285" s="33"/>
      <c r="F285" s="33"/>
      <c r="G285" s="33"/>
      <c r="H285" s="33"/>
      <c r="I285" s="34" t="str">
        <f t="shared" si="20"/>
        <v>0/3</v>
      </c>
    </row>
    <row r="286" spans="1:9" x14ac:dyDescent="0.25">
      <c r="A286" s="30">
        <f>A284</f>
        <v>46314</v>
      </c>
      <c r="B286" s="31" t="s">
        <v>81</v>
      </c>
      <c r="C286" s="31" t="s">
        <v>42</v>
      </c>
      <c r="D286" s="32" t="s">
        <v>43</v>
      </c>
      <c r="E286" s="33"/>
      <c r="F286" s="33"/>
      <c r="G286" s="33"/>
      <c r="H286" s="33"/>
      <c r="I286" s="34" t="str">
        <f t="shared" si="20"/>
        <v>0/3</v>
      </c>
    </row>
    <row r="287" spans="1:9" x14ac:dyDescent="0.25">
      <c r="A287" s="30">
        <f>A284</f>
        <v>46314</v>
      </c>
      <c r="B287" s="31" t="s">
        <v>81</v>
      </c>
      <c r="C287" s="31" t="s">
        <v>44</v>
      </c>
      <c r="D287" s="32" t="s">
        <v>45</v>
      </c>
      <c r="E287" s="33"/>
      <c r="F287" s="33"/>
      <c r="G287" s="33"/>
      <c r="H287" s="33"/>
      <c r="I287" s="34" t="str">
        <f t="shared" si="20"/>
        <v>0/3</v>
      </c>
    </row>
    <row r="288" spans="1:9" x14ac:dyDescent="0.25">
      <c r="A288" s="30">
        <f>A284</f>
        <v>46314</v>
      </c>
      <c r="B288" s="31" t="s">
        <v>81</v>
      </c>
      <c r="C288" s="31" t="s">
        <v>46</v>
      </c>
      <c r="D288" s="32" t="s">
        <v>47</v>
      </c>
      <c r="E288" s="33"/>
      <c r="F288" s="33"/>
      <c r="G288" s="33"/>
      <c r="H288" s="33"/>
      <c r="I288" s="34" t="str">
        <f t="shared" si="20"/>
        <v>0/3</v>
      </c>
    </row>
    <row r="289" spans="1:9" x14ac:dyDescent="0.25">
      <c r="A289" s="30">
        <f>A284</f>
        <v>46314</v>
      </c>
      <c r="B289" s="31" t="s">
        <v>81</v>
      </c>
      <c r="C289" s="31" t="s">
        <v>48</v>
      </c>
      <c r="D289" s="32" t="s">
        <v>49</v>
      </c>
      <c r="E289" s="33"/>
      <c r="F289" s="33"/>
      <c r="G289" s="33"/>
      <c r="H289" s="33"/>
      <c r="I289" s="34" t="str">
        <f t="shared" si="20"/>
        <v>0/3</v>
      </c>
    </row>
    <row r="290" spans="1:9" x14ac:dyDescent="0.25">
      <c r="A290" s="30">
        <f>A284</f>
        <v>46314</v>
      </c>
      <c r="B290" s="31" t="s">
        <v>81</v>
      </c>
      <c r="C290" s="31" t="s">
        <v>50</v>
      </c>
      <c r="D290" s="32" t="s">
        <v>51</v>
      </c>
      <c r="E290" s="33"/>
      <c r="F290" s="33"/>
      <c r="G290" s="33"/>
      <c r="H290" s="33"/>
      <c r="I290" s="34" t="str">
        <f t="shared" si="20"/>
        <v>0/3</v>
      </c>
    </row>
    <row r="291" spans="1:9" x14ac:dyDescent="0.25">
      <c r="A291" s="30">
        <f>A284</f>
        <v>46314</v>
      </c>
      <c r="B291" s="31" t="s">
        <v>82</v>
      </c>
      <c r="C291" s="31" t="s">
        <v>37</v>
      </c>
      <c r="D291" s="32" t="s">
        <v>39</v>
      </c>
      <c r="E291" s="33"/>
      <c r="F291" s="33"/>
      <c r="G291" s="33"/>
      <c r="H291" s="33"/>
      <c r="I291" s="34" t="str">
        <f>COUNTA(E291:H291)&amp;"/4"</f>
        <v>0/4</v>
      </c>
    </row>
    <row r="292" spans="1:9" ht="30" x14ac:dyDescent="0.25">
      <c r="A292" s="30">
        <f>A284</f>
        <v>46314</v>
      </c>
      <c r="B292" s="31" t="s">
        <v>82</v>
      </c>
      <c r="C292" s="31" t="s">
        <v>40</v>
      </c>
      <c r="D292" s="32" t="s">
        <v>41</v>
      </c>
      <c r="E292" s="33"/>
      <c r="F292" s="33"/>
      <c r="G292" s="33"/>
      <c r="H292" s="33"/>
      <c r="I292" s="34" t="str">
        <f t="shared" ref="I292:I304" si="21">COUNTA(E292:G292)&amp;"/3"</f>
        <v>0/3</v>
      </c>
    </row>
    <row r="293" spans="1:9" x14ac:dyDescent="0.25">
      <c r="A293" s="30">
        <f>A284</f>
        <v>46314</v>
      </c>
      <c r="B293" s="31" t="s">
        <v>82</v>
      </c>
      <c r="C293" s="31" t="s">
        <v>42</v>
      </c>
      <c r="D293" s="32" t="s">
        <v>43</v>
      </c>
      <c r="E293" s="33"/>
      <c r="F293" s="33"/>
      <c r="G293" s="33"/>
      <c r="H293" s="33"/>
      <c r="I293" s="34" t="str">
        <f t="shared" si="21"/>
        <v>0/3</v>
      </c>
    </row>
    <row r="294" spans="1:9" x14ac:dyDescent="0.25">
      <c r="A294" s="30">
        <f>A284</f>
        <v>46314</v>
      </c>
      <c r="B294" s="31" t="s">
        <v>82</v>
      </c>
      <c r="C294" s="31" t="s">
        <v>44</v>
      </c>
      <c r="D294" s="32" t="s">
        <v>45</v>
      </c>
      <c r="E294" s="33"/>
      <c r="F294" s="33"/>
      <c r="G294" s="33"/>
      <c r="H294" s="33"/>
      <c r="I294" s="34" t="str">
        <f t="shared" si="21"/>
        <v>0/3</v>
      </c>
    </row>
    <row r="295" spans="1:9" x14ac:dyDescent="0.25">
      <c r="A295" s="30">
        <f>A284</f>
        <v>46314</v>
      </c>
      <c r="B295" s="31" t="s">
        <v>82</v>
      </c>
      <c r="C295" s="31" t="s">
        <v>46</v>
      </c>
      <c r="D295" s="32" t="s">
        <v>47</v>
      </c>
      <c r="E295" s="33"/>
      <c r="F295" s="33"/>
      <c r="G295" s="33"/>
      <c r="H295" s="33"/>
      <c r="I295" s="34" t="str">
        <f t="shared" si="21"/>
        <v>0/3</v>
      </c>
    </row>
    <row r="296" spans="1:9" x14ac:dyDescent="0.25">
      <c r="A296" s="30">
        <f>A284</f>
        <v>46314</v>
      </c>
      <c r="B296" s="31" t="s">
        <v>82</v>
      </c>
      <c r="C296" s="31" t="s">
        <v>48</v>
      </c>
      <c r="D296" s="32" t="s">
        <v>49</v>
      </c>
      <c r="E296" s="33"/>
      <c r="F296" s="33"/>
      <c r="G296" s="33"/>
      <c r="H296" s="33"/>
      <c r="I296" s="34" t="str">
        <f t="shared" si="21"/>
        <v>0/3</v>
      </c>
    </row>
    <row r="297" spans="1:9" x14ac:dyDescent="0.25">
      <c r="A297" s="30">
        <f>A284</f>
        <v>46314</v>
      </c>
      <c r="B297" s="31" t="s">
        <v>82</v>
      </c>
      <c r="C297" s="31" t="s">
        <v>50</v>
      </c>
      <c r="D297" s="32" t="s">
        <v>51</v>
      </c>
      <c r="E297" s="33"/>
      <c r="F297" s="33"/>
      <c r="G297" s="33"/>
      <c r="H297" s="33"/>
      <c r="I297" s="34" t="str">
        <f t="shared" si="21"/>
        <v>0/3</v>
      </c>
    </row>
    <row r="298" spans="1:9" x14ac:dyDescent="0.25">
      <c r="A298" s="30">
        <f>A284+7</f>
        <v>46321</v>
      </c>
      <c r="B298" s="31" t="s">
        <v>81</v>
      </c>
      <c r="C298" s="31" t="s">
        <v>37</v>
      </c>
      <c r="D298" s="32" t="s">
        <v>39</v>
      </c>
      <c r="E298" s="33"/>
      <c r="F298" s="33"/>
      <c r="G298" s="33"/>
      <c r="H298" s="33"/>
      <c r="I298" s="34" t="str">
        <f t="shared" si="21"/>
        <v>0/3</v>
      </c>
    </row>
    <row r="299" spans="1:9" ht="30" x14ac:dyDescent="0.25">
      <c r="A299" s="30">
        <f>A298</f>
        <v>46321</v>
      </c>
      <c r="B299" s="31" t="s">
        <v>81</v>
      </c>
      <c r="C299" s="31" t="s">
        <v>40</v>
      </c>
      <c r="D299" s="32" t="s">
        <v>41</v>
      </c>
      <c r="E299" s="33"/>
      <c r="F299" s="33"/>
      <c r="G299" s="33"/>
      <c r="H299" s="33"/>
      <c r="I299" s="34" t="str">
        <f t="shared" si="21"/>
        <v>0/3</v>
      </c>
    </row>
    <row r="300" spans="1:9" x14ac:dyDescent="0.25">
      <c r="A300" s="30">
        <f>A298</f>
        <v>46321</v>
      </c>
      <c r="B300" s="31" t="s">
        <v>81</v>
      </c>
      <c r="C300" s="31" t="s">
        <v>42</v>
      </c>
      <c r="D300" s="32" t="s">
        <v>43</v>
      </c>
      <c r="E300" s="33"/>
      <c r="F300" s="33"/>
      <c r="G300" s="33"/>
      <c r="H300" s="33"/>
      <c r="I300" s="34" t="str">
        <f t="shared" si="21"/>
        <v>0/3</v>
      </c>
    </row>
    <row r="301" spans="1:9" x14ac:dyDescent="0.25">
      <c r="A301" s="30">
        <f>A298</f>
        <v>46321</v>
      </c>
      <c r="B301" s="31" t="s">
        <v>81</v>
      </c>
      <c r="C301" s="31" t="s">
        <v>44</v>
      </c>
      <c r="D301" s="32" t="s">
        <v>45</v>
      </c>
      <c r="E301" s="33"/>
      <c r="F301" s="33"/>
      <c r="G301" s="33"/>
      <c r="H301" s="33"/>
      <c r="I301" s="34" t="str">
        <f t="shared" si="21"/>
        <v>0/3</v>
      </c>
    </row>
    <row r="302" spans="1:9" x14ac:dyDescent="0.25">
      <c r="A302" s="30">
        <f>A298</f>
        <v>46321</v>
      </c>
      <c r="B302" s="31" t="s">
        <v>81</v>
      </c>
      <c r="C302" s="31" t="s">
        <v>46</v>
      </c>
      <c r="D302" s="32" t="s">
        <v>47</v>
      </c>
      <c r="E302" s="33"/>
      <c r="F302" s="33"/>
      <c r="G302" s="33"/>
      <c r="H302" s="33"/>
      <c r="I302" s="34" t="str">
        <f t="shared" si="21"/>
        <v>0/3</v>
      </c>
    </row>
    <row r="303" spans="1:9" x14ac:dyDescent="0.25">
      <c r="A303" s="30">
        <f>A298</f>
        <v>46321</v>
      </c>
      <c r="B303" s="31" t="s">
        <v>81</v>
      </c>
      <c r="C303" s="31" t="s">
        <v>48</v>
      </c>
      <c r="D303" s="32" t="s">
        <v>49</v>
      </c>
      <c r="E303" s="33"/>
      <c r="F303" s="33"/>
      <c r="G303" s="33"/>
      <c r="H303" s="33"/>
      <c r="I303" s="34" t="str">
        <f t="shared" si="21"/>
        <v>0/3</v>
      </c>
    </row>
    <row r="304" spans="1:9" x14ac:dyDescent="0.25">
      <c r="A304" s="30">
        <f>A298</f>
        <v>46321</v>
      </c>
      <c r="B304" s="31" t="s">
        <v>81</v>
      </c>
      <c r="C304" s="31" t="s">
        <v>50</v>
      </c>
      <c r="D304" s="32" t="s">
        <v>51</v>
      </c>
      <c r="E304" s="33"/>
      <c r="F304" s="33"/>
      <c r="G304" s="33"/>
      <c r="H304" s="33"/>
      <c r="I304" s="34" t="str">
        <f t="shared" si="21"/>
        <v>0/3</v>
      </c>
    </row>
    <row r="305" spans="1:9" x14ac:dyDescent="0.25">
      <c r="A305" s="30">
        <f>A298</f>
        <v>46321</v>
      </c>
      <c r="B305" s="31" t="s">
        <v>82</v>
      </c>
      <c r="C305" s="31" t="s">
        <v>37</v>
      </c>
      <c r="D305" s="32" t="s">
        <v>39</v>
      </c>
      <c r="E305" s="33"/>
      <c r="F305" s="33"/>
      <c r="G305" s="33"/>
      <c r="H305" s="33"/>
      <c r="I305" s="34" t="str">
        <f>COUNTA(E305:H305)&amp;"/4"</f>
        <v>0/4</v>
      </c>
    </row>
    <row r="306" spans="1:9" ht="30" x14ac:dyDescent="0.25">
      <c r="A306" s="30">
        <f>A298</f>
        <v>46321</v>
      </c>
      <c r="B306" s="31" t="s">
        <v>82</v>
      </c>
      <c r="C306" s="31" t="s">
        <v>40</v>
      </c>
      <c r="D306" s="32" t="s">
        <v>41</v>
      </c>
      <c r="E306" s="33"/>
      <c r="F306" s="33"/>
      <c r="G306" s="33"/>
      <c r="H306" s="33"/>
      <c r="I306" s="34" t="str">
        <f t="shared" ref="I306:I318" si="22">COUNTA(E306:G306)&amp;"/3"</f>
        <v>0/3</v>
      </c>
    </row>
    <row r="307" spans="1:9" x14ac:dyDescent="0.25">
      <c r="A307" s="30">
        <f>A298</f>
        <v>46321</v>
      </c>
      <c r="B307" s="31" t="s">
        <v>82</v>
      </c>
      <c r="C307" s="31" t="s">
        <v>42</v>
      </c>
      <c r="D307" s="32" t="s">
        <v>43</v>
      </c>
      <c r="E307" s="33"/>
      <c r="F307" s="33"/>
      <c r="G307" s="33"/>
      <c r="H307" s="33"/>
      <c r="I307" s="34" t="str">
        <f t="shared" si="22"/>
        <v>0/3</v>
      </c>
    </row>
    <row r="308" spans="1:9" x14ac:dyDescent="0.25">
      <c r="A308" s="30">
        <f>A298</f>
        <v>46321</v>
      </c>
      <c r="B308" s="31" t="s">
        <v>82</v>
      </c>
      <c r="C308" s="31" t="s">
        <v>44</v>
      </c>
      <c r="D308" s="32" t="s">
        <v>45</v>
      </c>
      <c r="E308" s="33"/>
      <c r="F308" s="33"/>
      <c r="G308" s="33"/>
      <c r="H308" s="33"/>
      <c r="I308" s="34" t="str">
        <f t="shared" si="22"/>
        <v>0/3</v>
      </c>
    </row>
    <row r="309" spans="1:9" x14ac:dyDescent="0.25">
      <c r="A309" s="30">
        <f>A298</f>
        <v>46321</v>
      </c>
      <c r="B309" s="31" t="s">
        <v>82</v>
      </c>
      <c r="C309" s="31" t="s">
        <v>46</v>
      </c>
      <c r="D309" s="32" t="s">
        <v>47</v>
      </c>
      <c r="E309" s="33"/>
      <c r="F309" s="33"/>
      <c r="G309" s="33"/>
      <c r="H309" s="33"/>
      <c r="I309" s="34" t="str">
        <f t="shared" si="22"/>
        <v>0/3</v>
      </c>
    </row>
    <row r="310" spans="1:9" x14ac:dyDescent="0.25">
      <c r="A310" s="30">
        <f>A298</f>
        <v>46321</v>
      </c>
      <c r="B310" s="31" t="s">
        <v>82</v>
      </c>
      <c r="C310" s="31" t="s">
        <v>48</v>
      </c>
      <c r="D310" s="32" t="s">
        <v>49</v>
      </c>
      <c r="E310" s="33"/>
      <c r="F310" s="33"/>
      <c r="G310" s="33"/>
      <c r="H310" s="33"/>
      <c r="I310" s="34" t="str">
        <f t="shared" si="22"/>
        <v>0/3</v>
      </c>
    </row>
    <row r="311" spans="1:9" x14ac:dyDescent="0.25">
      <c r="A311" s="30">
        <f>A298</f>
        <v>46321</v>
      </c>
      <c r="B311" s="31" t="s">
        <v>82</v>
      </c>
      <c r="C311" s="31" t="s">
        <v>50</v>
      </c>
      <c r="D311" s="32" t="s">
        <v>51</v>
      </c>
      <c r="E311" s="33"/>
      <c r="F311" s="33"/>
      <c r="G311" s="33"/>
      <c r="H311" s="33"/>
      <c r="I311" s="34" t="str">
        <f t="shared" si="22"/>
        <v>0/3</v>
      </c>
    </row>
    <row r="312" spans="1:9" x14ac:dyDescent="0.25">
      <c r="A312" s="30">
        <f>A298+7</f>
        <v>46328</v>
      </c>
      <c r="B312" s="31" t="s">
        <v>81</v>
      </c>
      <c r="C312" s="31" t="s">
        <v>37</v>
      </c>
      <c r="D312" s="32" t="s">
        <v>39</v>
      </c>
      <c r="E312" s="33"/>
      <c r="F312" s="33"/>
      <c r="G312" s="33"/>
      <c r="H312" s="33"/>
      <c r="I312" s="34" t="str">
        <f t="shared" si="22"/>
        <v>0/3</v>
      </c>
    </row>
    <row r="313" spans="1:9" ht="30" x14ac:dyDescent="0.25">
      <c r="A313" s="30">
        <f>A312</f>
        <v>46328</v>
      </c>
      <c r="B313" s="31" t="s">
        <v>81</v>
      </c>
      <c r="C313" s="31" t="s">
        <v>40</v>
      </c>
      <c r="D313" s="32" t="s">
        <v>41</v>
      </c>
      <c r="E313" s="33"/>
      <c r="F313" s="33"/>
      <c r="G313" s="33"/>
      <c r="H313" s="33"/>
      <c r="I313" s="34" t="str">
        <f t="shared" si="22"/>
        <v>0/3</v>
      </c>
    </row>
    <row r="314" spans="1:9" x14ac:dyDescent="0.25">
      <c r="A314" s="30">
        <f>A312</f>
        <v>46328</v>
      </c>
      <c r="B314" s="31" t="s">
        <v>81</v>
      </c>
      <c r="C314" s="31" t="s">
        <v>42</v>
      </c>
      <c r="D314" s="32" t="s">
        <v>43</v>
      </c>
      <c r="E314" s="33"/>
      <c r="F314" s="33"/>
      <c r="G314" s="33"/>
      <c r="H314" s="33"/>
      <c r="I314" s="34" t="str">
        <f t="shared" si="22"/>
        <v>0/3</v>
      </c>
    </row>
    <row r="315" spans="1:9" x14ac:dyDescent="0.25">
      <c r="A315" s="30">
        <f>A312</f>
        <v>46328</v>
      </c>
      <c r="B315" s="31" t="s">
        <v>81</v>
      </c>
      <c r="C315" s="31" t="s">
        <v>44</v>
      </c>
      <c r="D315" s="32" t="s">
        <v>45</v>
      </c>
      <c r="E315" s="33"/>
      <c r="F315" s="33"/>
      <c r="G315" s="33"/>
      <c r="H315" s="33"/>
      <c r="I315" s="34" t="str">
        <f t="shared" si="22"/>
        <v>0/3</v>
      </c>
    </row>
    <row r="316" spans="1:9" x14ac:dyDescent="0.25">
      <c r="A316" s="30">
        <f>A312</f>
        <v>46328</v>
      </c>
      <c r="B316" s="31" t="s">
        <v>81</v>
      </c>
      <c r="C316" s="31" t="s">
        <v>46</v>
      </c>
      <c r="D316" s="32" t="s">
        <v>47</v>
      </c>
      <c r="E316" s="33"/>
      <c r="F316" s="33"/>
      <c r="G316" s="33"/>
      <c r="H316" s="33"/>
      <c r="I316" s="34" t="str">
        <f t="shared" si="22"/>
        <v>0/3</v>
      </c>
    </row>
    <row r="317" spans="1:9" x14ac:dyDescent="0.25">
      <c r="A317" s="30">
        <f>A312</f>
        <v>46328</v>
      </c>
      <c r="B317" s="31" t="s">
        <v>81</v>
      </c>
      <c r="C317" s="31" t="s">
        <v>48</v>
      </c>
      <c r="D317" s="32" t="s">
        <v>49</v>
      </c>
      <c r="E317" s="33"/>
      <c r="F317" s="33"/>
      <c r="G317" s="33"/>
      <c r="H317" s="33"/>
      <c r="I317" s="34" t="str">
        <f t="shared" si="22"/>
        <v>0/3</v>
      </c>
    </row>
    <row r="318" spans="1:9" x14ac:dyDescent="0.25">
      <c r="A318" s="30">
        <f>A312</f>
        <v>46328</v>
      </c>
      <c r="B318" s="31" t="s">
        <v>81</v>
      </c>
      <c r="C318" s="31" t="s">
        <v>50</v>
      </c>
      <c r="D318" s="32" t="s">
        <v>51</v>
      </c>
      <c r="E318" s="33"/>
      <c r="F318" s="33"/>
      <c r="G318" s="33"/>
      <c r="H318" s="33"/>
      <c r="I318" s="34" t="str">
        <f t="shared" si="22"/>
        <v>0/3</v>
      </c>
    </row>
    <row r="319" spans="1:9" x14ac:dyDescent="0.25">
      <c r="A319" s="30">
        <f>A312</f>
        <v>46328</v>
      </c>
      <c r="B319" s="31" t="s">
        <v>82</v>
      </c>
      <c r="C319" s="31" t="s">
        <v>37</v>
      </c>
      <c r="D319" s="32" t="s">
        <v>39</v>
      </c>
      <c r="E319" s="33"/>
      <c r="F319" s="33"/>
      <c r="G319" s="33"/>
      <c r="H319" s="33"/>
      <c r="I319" s="34" t="str">
        <f>COUNTA(E319:H319)&amp;"/4"</f>
        <v>0/4</v>
      </c>
    </row>
    <row r="320" spans="1:9" ht="30" x14ac:dyDescent="0.25">
      <c r="A320" s="30">
        <f>A312</f>
        <v>46328</v>
      </c>
      <c r="B320" s="31" t="s">
        <v>82</v>
      </c>
      <c r="C320" s="31" t="s">
        <v>40</v>
      </c>
      <c r="D320" s="32" t="s">
        <v>41</v>
      </c>
      <c r="E320" s="33"/>
      <c r="F320" s="33"/>
      <c r="G320" s="33"/>
      <c r="H320" s="33"/>
      <c r="I320" s="34" t="str">
        <f t="shared" ref="I320:I332" si="23">COUNTA(E320:G320)&amp;"/3"</f>
        <v>0/3</v>
      </c>
    </row>
    <row r="321" spans="1:9" x14ac:dyDescent="0.25">
      <c r="A321" s="30">
        <f>A312</f>
        <v>46328</v>
      </c>
      <c r="B321" s="31" t="s">
        <v>82</v>
      </c>
      <c r="C321" s="31" t="s">
        <v>42</v>
      </c>
      <c r="D321" s="32" t="s">
        <v>43</v>
      </c>
      <c r="E321" s="33"/>
      <c r="F321" s="33"/>
      <c r="G321" s="33"/>
      <c r="H321" s="33"/>
      <c r="I321" s="34" t="str">
        <f t="shared" si="23"/>
        <v>0/3</v>
      </c>
    </row>
    <row r="322" spans="1:9" x14ac:dyDescent="0.25">
      <c r="A322" s="30">
        <f>A312</f>
        <v>46328</v>
      </c>
      <c r="B322" s="31" t="s">
        <v>82</v>
      </c>
      <c r="C322" s="31" t="s">
        <v>44</v>
      </c>
      <c r="D322" s="32" t="s">
        <v>45</v>
      </c>
      <c r="E322" s="33"/>
      <c r="F322" s="33"/>
      <c r="G322" s="33"/>
      <c r="H322" s="33"/>
      <c r="I322" s="34" t="str">
        <f t="shared" si="23"/>
        <v>0/3</v>
      </c>
    </row>
    <row r="323" spans="1:9" x14ac:dyDescent="0.25">
      <c r="A323" s="30">
        <f>A312</f>
        <v>46328</v>
      </c>
      <c r="B323" s="31" t="s">
        <v>82</v>
      </c>
      <c r="C323" s="31" t="s">
        <v>46</v>
      </c>
      <c r="D323" s="32" t="s">
        <v>47</v>
      </c>
      <c r="E323" s="33"/>
      <c r="F323" s="33"/>
      <c r="G323" s="33"/>
      <c r="H323" s="33"/>
      <c r="I323" s="34" t="str">
        <f t="shared" si="23"/>
        <v>0/3</v>
      </c>
    </row>
    <row r="324" spans="1:9" x14ac:dyDescent="0.25">
      <c r="A324" s="30">
        <f>A312</f>
        <v>46328</v>
      </c>
      <c r="B324" s="31" t="s">
        <v>82</v>
      </c>
      <c r="C324" s="31" t="s">
        <v>48</v>
      </c>
      <c r="D324" s="32" t="s">
        <v>49</v>
      </c>
      <c r="E324" s="33"/>
      <c r="F324" s="33"/>
      <c r="G324" s="33"/>
      <c r="H324" s="33"/>
      <c r="I324" s="34" t="str">
        <f t="shared" si="23"/>
        <v>0/3</v>
      </c>
    </row>
    <row r="325" spans="1:9" x14ac:dyDescent="0.25">
      <c r="A325" s="30">
        <f>A312</f>
        <v>46328</v>
      </c>
      <c r="B325" s="31" t="s">
        <v>82</v>
      </c>
      <c r="C325" s="31" t="s">
        <v>50</v>
      </c>
      <c r="D325" s="32" t="s">
        <v>51</v>
      </c>
      <c r="E325" s="33"/>
      <c r="F325" s="33"/>
      <c r="G325" s="33"/>
      <c r="H325" s="33"/>
      <c r="I325" s="34" t="str">
        <f t="shared" si="23"/>
        <v>0/3</v>
      </c>
    </row>
    <row r="326" spans="1:9" x14ac:dyDescent="0.25">
      <c r="A326" s="30">
        <f>A312+7</f>
        <v>46335</v>
      </c>
      <c r="B326" s="31" t="s">
        <v>81</v>
      </c>
      <c r="C326" s="31" t="s">
        <v>37</v>
      </c>
      <c r="D326" s="32" t="s">
        <v>39</v>
      </c>
      <c r="E326" s="33"/>
      <c r="F326" s="33"/>
      <c r="G326" s="33"/>
      <c r="H326" s="33"/>
      <c r="I326" s="34" t="str">
        <f t="shared" si="23"/>
        <v>0/3</v>
      </c>
    </row>
    <row r="327" spans="1:9" ht="30" x14ac:dyDescent="0.25">
      <c r="A327" s="30">
        <f>A326</f>
        <v>46335</v>
      </c>
      <c r="B327" s="31" t="s">
        <v>81</v>
      </c>
      <c r="C327" s="31" t="s">
        <v>40</v>
      </c>
      <c r="D327" s="32" t="s">
        <v>41</v>
      </c>
      <c r="E327" s="33"/>
      <c r="F327" s="33"/>
      <c r="G327" s="33"/>
      <c r="H327" s="33"/>
      <c r="I327" s="34" t="str">
        <f t="shared" si="23"/>
        <v>0/3</v>
      </c>
    </row>
    <row r="328" spans="1:9" x14ac:dyDescent="0.25">
      <c r="A328" s="30">
        <f>A326</f>
        <v>46335</v>
      </c>
      <c r="B328" s="31" t="s">
        <v>81</v>
      </c>
      <c r="C328" s="31" t="s">
        <v>42</v>
      </c>
      <c r="D328" s="32" t="s">
        <v>43</v>
      </c>
      <c r="E328" s="33"/>
      <c r="F328" s="33"/>
      <c r="G328" s="33"/>
      <c r="H328" s="33"/>
      <c r="I328" s="34" t="str">
        <f t="shared" si="23"/>
        <v>0/3</v>
      </c>
    </row>
    <row r="329" spans="1:9" x14ac:dyDescent="0.25">
      <c r="A329" s="30">
        <f>A326</f>
        <v>46335</v>
      </c>
      <c r="B329" s="31" t="s">
        <v>81</v>
      </c>
      <c r="C329" s="31" t="s">
        <v>44</v>
      </c>
      <c r="D329" s="32" t="s">
        <v>45</v>
      </c>
      <c r="E329" s="33"/>
      <c r="F329" s="33"/>
      <c r="G329" s="33"/>
      <c r="H329" s="33"/>
      <c r="I329" s="34" t="str">
        <f t="shared" si="23"/>
        <v>0/3</v>
      </c>
    </row>
    <row r="330" spans="1:9" x14ac:dyDescent="0.25">
      <c r="A330" s="30">
        <f>A326</f>
        <v>46335</v>
      </c>
      <c r="B330" s="31" t="s">
        <v>81</v>
      </c>
      <c r="C330" s="31" t="s">
        <v>46</v>
      </c>
      <c r="D330" s="32" t="s">
        <v>47</v>
      </c>
      <c r="E330" s="33"/>
      <c r="F330" s="33"/>
      <c r="G330" s="33"/>
      <c r="H330" s="33"/>
      <c r="I330" s="34" t="str">
        <f t="shared" si="23"/>
        <v>0/3</v>
      </c>
    </row>
    <row r="331" spans="1:9" x14ac:dyDescent="0.25">
      <c r="A331" s="30">
        <f>A326</f>
        <v>46335</v>
      </c>
      <c r="B331" s="31" t="s">
        <v>81</v>
      </c>
      <c r="C331" s="31" t="s">
        <v>48</v>
      </c>
      <c r="D331" s="32" t="s">
        <v>49</v>
      </c>
      <c r="E331" s="33"/>
      <c r="F331" s="33"/>
      <c r="G331" s="33"/>
      <c r="H331" s="33"/>
      <c r="I331" s="34" t="str">
        <f t="shared" si="23"/>
        <v>0/3</v>
      </c>
    </row>
    <row r="332" spans="1:9" x14ac:dyDescent="0.25">
      <c r="A332" s="30">
        <f>A326</f>
        <v>46335</v>
      </c>
      <c r="B332" s="31" t="s">
        <v>81</v>
      </c>
      <c r="C332" s="31" t="s">
        <v>50</v>
      </c>
      <c r="D332" s="32" t="s">
        <v>51</v>
      </c>
      <c r="E332" s="33"/>
      <c r="F332" s="33"/>
      <c r="G332" s="33"/>
      <c r="H332" s="33"/>
      <c r="I332" s="34" t="str">
        <f t="shared" si="23"/>
        <v>0/3</v>
      </c>
    </row>
    <row r="333" spans="1:9" x14ac:dyDescent="0.25">
      <c r="A333" s="30">
        <f>A326</f>
        <v>46335</v>
      </c>
      <c r="B333" s="31" t="s">
        <v>82</v>
      </c>
      <c r="C333" s="31" t="s">
        <v>37</v>
      </c>
      <c r="D333" s="32" t="s">
        <v>39</v>
      </c>
      <c r="E333" s="33"/>
      <c r="F333" s="33"/>
      <c r="G333" s="33"/>
      <c r="H333" s="33"/>
      <c r="I333" s="34" t="str">
        <f>COUNTA(E333:H333)&amp;"/4"</f>
        <v>0/4</v>
      </c>
    </row>
    <row r="334" spans="1:9" ht="30" x14ac:dyDescent="0.25">
      <c r="A334" s="30">
        <f>A326</f>
        <v>46335</v>
      </c>
      <c r="B334" s="31" t="s">
        <v>82</v>
      </c>
      <c r="C334" s="31" t="s">
        <v>40</v>
      </c>
      <c r="D334" s="32" t="s">
        <v>41</v>
      </c>
      <c r="E334" s="33"/>
      <c r="F334" s="33"/>
      <c r="G334" s="33"/>
      <c r="H334" s="33"/>
      <c r="I334" s="34" t="str">
        <f t="shared" ref="I334:I346" si="24">COUNTA(E334:G334)&amp;"/3"</f>
        <v>0/3</v>
      </c>
    </row>
    <row r="335" spans="1:9" x14ac:dyDescent="0.25">
      <c r="A335" s="30">
        <f>A326</f>
        <v>46335</v>
      </c>
      <c r="B335" s="31" t="s">
        <v>82</v>
      </c>
      <c r="C335" s="31" t="s">
        <v>42</v>
      </c>
      <c r="D335" s="32" t="s">
        <v>43</v>
      </c>
      <c r="E335" s="33"/>
      <c r="F335" s="33"/>
      <c r="G335" s="33"/>
      <c r="H335" s="33"/>
      <c r="I335" s="34" t="str">
        <f t="shared" si="24"/>
        <v>0/3</v>
      </c>
    </row>
    <row r="336" spans="1:9" x14ac:dyDescent="0.25">
      <c r="A336" s="30">
        <f>A326</f>
        <v>46335</v>
      </c>
      <c r="B336" s="31" t="s">
        <v>82</v>
      </c>
      <c r="C336" s="31" t="s">
        <v>44</v>
      </c>
      <c r="D336" s="32" t="s">
        <v>45</v>
      </c>
      <c r="E336" s="33"/>
      <c r="F336" s="33"/>
      <c r="G336" s="33"/>
      <c r="H336" s="33"/>
      <c r="I336" s="34" t="str">
        <f t="shared" si="24"/>
        <v>0/3</v>
      </c>
    </row>
    <row r="337" spans="1:9" x14ac:dyDescent="0.25">
      <c r="A337" s="30">
        <f>A326</f>
        <v>46335</v>
      </c>
      <c r="B337" s="31" t="s">
        <v>82</v>
      </c>
      <c r="C337" s="31" t="s">
        <v>46</v>
      </c>
      <c r="D337" s="32" t="s">
        <v>47</v>
      </c>
      <c r="E337" s="33"/>
      <c r="F337" s="33"/>
      <c r="G337" s="33"/>
      <c r="H337" s="33"/>
      <c r="I337" s="34" t="str">
        <f t="shared" si="24"/>
        <v>0/3</v>
      </c>
    </row>
    <row r="338" spans="1:9" x14ac:dyDescent="0.25">
      <c r="A338" s="30">
        <f>A326</f>
        <v>46335</v>
      </c>
      <c r="B338" s="31" t="s">
        <v>82</v>
      </c>
      <c r="C338" s="31" t="s">
        <v>48</v>
      </c>
      <c r="D338" s="32" t="s">
        <v>49</v>
      </c>
      <c r="E338" s="33"/>
      <c r="F338" s="33"/>
      <c r="G338" s="33"/>
      <c r="H338" s="33"/>
      <c r="I338" s="34" t="str">
        <f t="shared" si="24"/>
        <v>0/3</v>
      </c>
    </row>
    <row r="339" spans="1:9" x14ac:dyDescent="0.25">
      <c r="A339" s="30">
        <f>A326</f>
        <v>46335</v>
      </c>
      <c r="B339" s="31" t="s">
        <v>82</v>
      </c>
      <c r="C339" s="31" t="s">
        <v>50</v>
      </c>
      <c r="D339" s="32" t="s">
        <v>51</v>
      </c>
      <c r="E339" s="33"/>
      <c r="F339" s="33"/>
      <c r="G339" s="33"/>
      <c r="H339" s="33"/>
      <c r="I339" s="34" t="str">
        <f t="shared" si="24"/>
        <v>0/3</v>
      </c>
    </row>
    <row r="340" spans="1:9" x14ac:dyDescent="0.25">
      <c r="A340" s="30">
        <f>A326+7</f>
        <v>46342</v>
      </c>
      <c r="B340" s="31" t="s">
        <v>81</v>
      </c>
      <c r="C340" s="31" t="s">
        <v>37</v>
      </c>
      <c r="D340" s="32" t="s">
        <v>39</v>
      </c>
      <c r="E340" s="33"/>
      <c r="F340" s="33"/>
      <c r="G340" s="33"/>
      <c r="H340" s="33"/>
      <c r="I340" s="34" t="str">
        <f t="shared" si="24"/>
        <v>0/3</v>
      </c>
    </row>
    <row r="341" spans="1:9" ht="30" x14ac:dyDescent="0.25">
      <c r="A341" s="30">
        <f>A340</f>
        <v>46342</v>
      </c>
      <c r="B341" s="31" t="s">
        <v>81</v>
      </c>
      <c r="C341" s="31" t="s">
        <v>40</v>
      </c>
      <c r="D341" s="32" t="s">
        <v>41</v>
      </c>
      <c r="E341" s="33"/>
      <c r="F341" s="33"/>
      <c r="G341" s="33"/>
      <c r="H341" s="33"/>
      <c r="I341" s="34" t="str">
        <f t="shared" si="24"/>
        <v>0/3</v>
      </c>
    </row>
    <row r="342" spans="1:9" x14ac:dyDescent="0.25">
      <c r="A342" s="30">
        <f>A340</f>
        <v>46342</v>
      </c>
      <c r="B342" s="31" t="s">
        <v>81</v>
      </c>
      <c r="C342" s="31" t="s">
        <v>42</v>
      </c>
      <c r="D342" s="32" t="s">
        <v>43</v>
      </c>
      <c r="E342" s="33"/>
      <c r="F342" s="33"/>
      <c r="G342" s="33"/>
      <c r="H342" s="33"/>
      <c r="I342" s="34" t="str">
        <f t="shared" si="24"/>
        <v>0/3</v>
      </c>
    </row>
    <row r="343" spans="1:9" x14ac:dyDescent="0.25">
      <c r="A343" s="30">
        <f>A340</f>
        <v>46342</v>
      </c>
      <c r="B343" s="31" t="s">
        <v>81</v>
      </c>
      <c r="C343" s="31" t="s">
        <v>44</v>
      </c>
      <c r="D343" s="32" t="s">
        <v>45</v>
      </c>
      <c r="E343" s="33"/>
      <c r="F343" s="33"/>
      <c r="G343" s="33"/>
      <c r="H343" s="33"/>
      <c r="I343" s="34" t="str">
        <f t="shared" si="24"/>
        <v>0/3</v>
      </c>
    </row>
    <row r="344" spans="1:9" x14ac:dyDescent="0.25">
      <c r="A344" s="30">
        <f>A340</f>
        <v>46342</v>
      </c>
      <c r="B344" s="31" t="s">
        <v>81</v>
      </c>
      <c r="C344" s="31" t="s">
        <v>46</v>
      </c>
      <c r="D344" s="32" t="s">
        <v>47</v>
      </c>
      <c r="E344" s="33"/>
      <c r="F344" s="33"/>
      <c r="G344" s="33"/>
      <c r="H344" s="33"/>
      <c r="I344" s="34" t="str">
        <f t="shared" si="24"/>
        <v>0/3</v>
      </c>
    </row>
    <row r="345" spans="1:9" x14ac:dyDescent="0.25">
      <c r="A345" s="30">
        <f>A340</f>
        <v>46342</v>
      </c>
      <c r="B345" s="31" t="s">
        <v>81</v>
      </c>
      <c r="C345" s="31" t="s">
        <v>48</v>
      </c>
      <c r="D345" s="32" t="s">
        <v>49</v>
      </c>
      <c r="E345" s="33"/>
      <c r="F345" s="33"/>
      <c r="G345" s="33"/>
      <c r="H345" s="33"/>
      <c r="I345" s="34" t="str">
        <f t="shared" si="24"/>
        <v>0/3</v>
      </c>
    </row>
    <row r="346" spans="1:9" x14ac:dyDescent="0.25">
      <c r="A346" s="30">
        <f>A340</f>
        <v>46342</v>
      </c>
      <c r="B346" s="31" t="s">
        <v>81</v>
      </c>
      <c r="C346" s="31" t="s">
        <v>50</v>
      </c>
      <c r="D346" s="32" t="s">
        <v>51</v>
      </c>
      <c r="E346" s="33"/>
      <c r="F346" s="33"/>
      <c r="G346" s="33"/>
      <c r="H346" s="33"/>
      <c r="I346" s="34" t="str">
        <f t="shared" si="24"/>
        <v>0/3</v>
      </c>
    </row>
    <row r="347" spans="1:9" x14ac:dyDescent="0.25">
      <c r="A347" s="30">
        <f>A340</f>
        <v>46342</v>
      </c>
      <c r="B347" s="31" t="s">
        <v>82</v>
      </c>
      <c r="C347" s="31" t="s">
        <v>37</v>
      </c>
      <c r="D347" s="32" t="s">
        <v>39</v>
      </c>
      <c r="E347" s="33"/>
      <c r="F347" s="33"/>
      <c r="G347" s="33"/>
      <c r="H347" s="33"/>
      <c r="I347" s="34" t="str">
        <f>COUNTA(E347:H347)&amp;"/4"</f>
        <v>0/4</v>
      </c>
    </row>
    <row r="348" spans="1:9" ht="30" x14ac:dyDescent="0.25">
      <c r="A348" s="30">
        <f>A340</f>
        <v>46342</v>
      </c>
      <c r="B348" s="31" t="s">
        <v>82</v>
      </c>
      <c r="C348" s="31" t="s">
        <v>40</v>
      </c>
      <c r="D348" s="32" t="s">
        <v>41</v>
      </c>
      <c r="E348" s="33"/>
      <c r="F348" s="33"/>
      <c r="G348" s="33"/>
      <c r="H348" s="33"/>
      <c r="I348" s="34" t="str">
        <f t="shared" ref="I348:I360" si="25">COUNTA(E348:G348)&amp;"/3"</f>
        <v>0/3</v>
      </c>
    </row>
    <row r="349" spans="1:9" x14ac:dyDescent="0.25">
      <c r="A349" s="30">
        <f>A340</f>
        <v>46342</v>
      </c>
      <c r="B349" s="31" t="s">
        <v>82</v>
      </c>
      <c r="C349" s="31" t="s">
        <v>42</v>
      </c>
      <c r="D349" s="32" t="s">
        <v>43</v>
      </c>
      <c r="E349" s="33"/>
      <c r="F349" s="33"/>
      <c r="G349" s="33"/>
      <c r="H349" s="33"/>
      <c r="I349" s="34" t="str">
        <f t="shared" si="25"/>
        <v>0/3</v>
      </c>
    </row>
    <row r="350" spans="1:9" x14ac:dyDescent="0.25">
      <c r="A350" s="30">
        <f>A340</f>
        <v>46342</v>
      </c>
      <c r="B350" s="31" t="s">
        <v>82</v>
      </c>
      <c r="C350" s="31" t="s">
        <v>44</v>
      </c>
      <c r="D350" s="32" t="s">
        <v>45</v>
      </c>
      <c r="E350" s="33"/>
      <c r="F350" s="33"/>
      <c r="G350" s="33"/>
      <c r="H350" s="33"/>
      <c r="I350" s="34" t="str">
        <f t="shared" si="25"/>
        <v>0/3</v>
      </c>
    </row>
    <row r="351" spans="1:9" x14ac:dyDescent="0.25">
      <c r="A351" s="30">
        <f>A340</f>
        <v>46342</v>
      </c>
      <c r="B351" s="31" t="s">
        <v>82</v>
      </c>
      <c r="C351" s="31" t="s">
        <v>46</v>
      </c>
      <c r="D351" s="32" t="s">
        <v>47</v>
      </c>
      <c r="E351" s="33"/>
      <c r="F351" s="33"/>
      <c r="G351" s="33"/>
      <c r="H351" s="33"/>
      <c r="I351" s="34" t="str">
        <f t="shared" si="25"/>
        <v>0/3</v>
      </c>
    </row>
    <row r="352" spans="1:9" x14ac:dyDescent="0.25">
      <c r="A352" s="30">
        <f>A340</f>
        <v>46342</v>
      </c>
      <c r="B352" s="31" t="s">
        <v>82</v>
      </c>
      <c r="C352" s="31" t="s">
        <v>48</v>
      </c>
      <c r="D352" s="32" t="s">
        <v>49</v>
      </c>
      <c r="E352" s="33"/>
      <c r="F352" s="33"/>
      <c r="G352" s="33"/>
      <c r="H352" s="33"/>
      <c r="I352" s="34" t="str">
        <f t="shared" si="25"/>
        <v>0/3</v>
      </c>
    </row>
    <row r="353" spans="1:9" x14ac:dyDescent="0.25">
      <c r="A353" s="30">
        <f>A340</f>
        <v>46342</v>
      </c>
      <c r="B353" s="31" t="s">
        <v>82</v>
      </c>
      <c r="C353" s="31" t="s">
        <v>50</v>
      </c>
      <c r="D353" s="32" t="s">
        <v>51</v>
      </c>
      <c r="E353" s="33"/>
      <c r="F353" s="33"/>
      <c r="G353" s="33"/>
      <c r="H353" s="33"/>
      <c r="I353" s="34" t="str">
        <f t="shared" si="25"/>
        <v>0/3</v>
      </c>
    </row>
    <row r="354" spans="1:9" x14ac:dyDescent="0.25">
      <c r="A354" s="30">
        <f>A340+7</f>
        <v>46349</v>
      </c>
      <c r="B354" s="31" t="s">
        <v>81</v>
      </c>
      <c r="C354" s="31" t="s">
        <v>37</v>
      </c>
      <c r="D354" s="32" t="s">
        <v>39</v>
      </c>
      <c r="E354" s="33"/>
      <c r="F354" s="33"/>
      <c r="G354" s="33"/>
      <c r="H354" s="33"/>
      <c r="I354" s="34" t="str">
        <f t="shared" si="25"/>
        <v>0/3</v>
      </c>
    </row>
    <row r="355" spans="1:9" ht="30" x14ac:dyDescent="0.25">
      <c r="A355" s="30">
        <f>A354</f>
        <v>46349</v>
      </c>
      <c r="B355" s="31" t="s">
        <v>81</v>
      </c>
      <c r="C355" s="31" t="s">
        <v>40</v>
      </c>
      <c r="D355" s="32" t="s">
        <v>41</v>
      </c>
      <c r="E355" s="33"/>
      <c r="F355" s="33"/>
      <c r="G355" s="33"/>
      <c r="H355" s="33"/>
      <c r="I355" s="34" t="str">
        <f t="shared" si="25"/>
        <v>0/3</v>
      </c>
    </row>
    <row r="356" spans="1:9" x14ac:dyDescent="0.25">
      <c r="A356" s="30">
        <f>A354</f>
        <v>46349</v>
      </c>
      <c r="B356" s="31" t="s">
        <v>81</v>
      </c>
      <c r="C356" s="31" t="s">
        <v>42</v>
      </c>
      <c r="D356" s="32" t="s">
        <v>43</v>
      </c>
      <c r="E356" s="33"/>
      <c r="F356" s="33"/>
      <c r="G356" s="33"/>
      <c r="H356" s="33"/>
      <c r="I356" s="34" t="str">
        <f t="shared" si="25"/>
        <v>0/3</v>
      </c>
    </row>
    <row r="357" spans="1:9" x14ac:dyDescent="0.25">
      <c r="A357" s="30">
        <f>A354</f>
        <v>46349</v>
      </c>
      <c r="B357" s="31" t="s">
        <v>81</v>
      </c>
      <c r="C357" s="31" t="s">
        <v>44</v>
      </c>
      <c r="D357" s="32" t="s">
        <v>45</v>
      </c>
      <c r="E357" s="33"/>
      <c r="F357" s="33"/>
      <c r="G357" s="33"/>
      <c r="H357" s="33"/>
      <c r="I357" s="34" t="str">
        <f t="shared" si="25"/>
        <v>0/3</v>
      </c>
    </row>
    <row r="358" spans="1:9" x14ac:dyDescent="0.25">
      <c r="A358" s="30">
        <f>A354</f>
        <v>46349</v>
      </c>
      <c r="B358" s="31" t="s">
        <v>81</v>
      </c>
      <c r="C358" s="31" t="s">
        <v>46</v>
      </c>
      <c r="D358" s="32" t="s">
        <v>47</v>
      </c>
      <c r="E358" s="33"/>
      <c r="F358" s="33"/>
      <c r="G358" s="33"/>
      <c r="H358" s="33"/>
      <c r="I358" s="34" t="str">
        <f t="shared" si="25"/>
        <v>0/3</v>
      </c>
    </row>
    <row r="359" spans="1:9" x14ac:dyDescent="0.25">
      <c r="A359" s="30">
        <f>A354</f>
        <v>46349</v>
      </c>
      <c r="B359" s="31" t="s">
        <v>81</v>
      </c>
      <c r="C359" s="31" t="s">
        <v>48</v>
      </c>
      <c r="D359" s="32" t="s">
        <v>49</v>
      </c>
      <c r="E359" s="33"/>
      <c r="F359" s="33"/>
      <c r="G359" s="33"/>
      <c r="H359" s="33"/>
      <c r="I359" s="34" t="str">
        <f t="shared" si="25"/>
        <v>0/3</v>
      </c>
    </row>
    <row r="360" spans="1:9" x14ac:dyDescent="0.25">
      <c r="A360" s="30">
        <f>A354</f>
        <v>46349</v>
      </c>
      <c r="B360" s="31" t="s">
        <v>81</v>
      </c>
      <c r="C360" s="31" t="s">
        <v>50</v>
      </c>
      <c r="D360" s="32" t="s">
        <v>51</v>
      </c>
      <c r="E360" s="33"/>
      <c r="F360" s="33"/>
      <c r="G360" s="33"/>
      <c r="H360" s="33"/>
      <c r="I360" s="34" t="str">
        <f t="shared" si="25"/>
        <v>0/3</v>
      </c>
    </row>
    <row r="361" spans="1:9" x14ac:dyDescent="0.25">
      <c r="A361" s="30">
        <f>A354</f>
        <v>46349</v>
      </c>
      <c r="B361" s="31" t="s">
        <v>82</v>
      </c>
      <c r="C361" s="31" t="s">
        <v>37</v>
      </c>
      <c r="D361" s="32" t="s">
        <v>39</v>
      </c>
      <c r="E361" s="33"/>
      <c r="F361" s="33"/>
      <c r="G361" s="33"/>
      <c r="H361" s="33"/>
      <c r="I361" s="34" t="str">
        <f>COUNTA(E361:H361)&amp;"/4"</f>
        <v>0/4</v>
      </c>
    </row>
    <row r="362" spans="1:9" ht="30" x14ac:dyDescent="0.25">
      <c r="A362" s="30">
        <f>A354</f>
        <v>46349</v>
      </c>
      <c r="B362" s="31" t="s">
        <v>82</v>
      </c>
      <c r="C362" s="31" t="s">
        <v>40</v>
      </c>
      <c r="D362" s="32" t="s">
        <v>41</v>
      </c>
      <c r="E362" s="33"/>
      <c r="F362" s="33"/>
      <c r="G362" s="33"/>
      <c r="H362" s="33"/>
      <c r="I362" s="34" t="str">
        <f t="shared" ref="I362:I374" si="26">COUNTA(E362:G362)&amp;"/3"</f>
        <v>0/3</v>
      </c>
    </row>
    <row r="363" spans="1:9" x14ac:dyDescent="0.25">
      <c r="A363" s="30">
        <f>A354</f>
        <v>46349</v>
      </c>
      <c r="B363" s="31" t="s">
        <v>82</v>
      </c>
      <c r="C363" s="31" t="s">
        <v>42</v>
      </c>
      <c r="D363" s="32" t="s">
        <v>43</v>
      </c>
      <c r="E363" s="33"/>
      <c r="F363" s="33"/>
      <c r="G363" s="33"/>
      <c r="H363" s="33"/>
      <c r="I363" s="34" t="str">
        <f t="shared" si="26"/>
        <v>0/3</v>
      </c>
    </row>
    <row r="364" spans="1:9" x14ac:dyDescent="0.25">
      <c r="A364" s="30">
        <f>A354</f>
        <v>46349</v>
      </c>
      <c r="B364" s="31" t="s">
        <v>82</v>
      </c>
      <c r="C364" s="31" t="s">
        <v>44</v>
      </c>
      <c r="D364" s="32" t="s">
        <v>45</v>
      </c>
      <c r="E364" s="33"/>
      <c r="F364" s="33"/>
      <c r="G364" s="33"/>
      <c r="H364" s="33"/>
      <c r="I364" s="34" t="str">
        <f t="shared" si="26"/>
        <v>0/3</v>
      </c>
    </row>
    <row r="365" spans="1:9" x14ac:dyDescent="0.25">
      <c r="A365" s="30">
        <f>A354</f>
        <v>46349</v>
      </c>
      <c r="B365" s="31" t="s">
        <v>82</v>
      </c>
      <c r="C365" s="31" t="s">
        <v>46</v>
      </c>
      <c r="D365" s="32" t="s">
        <v>47</v>
      </c>
      <c r="E365" s="33"/>
      <c r="F365" s="33"/>
      <c r="G365" s="33"/>
      <c r="H365" s="33"/>
      <c r="I365" s="34" t="str">
        <f t="shared" si="26"/>
        <v>0/3</v>
      </c>
    </row>
    <row r="366" spans="1:9" x14ac:dyDescent="0.25">
      <c r="A366" s="30">
        <f>A354</f>
        <v>46349</v>
      </c>
      <c r="B366" s="31" t="s">
        <v>82</v>
      </c>
      <c r="C366" s="31" t="s">
        <v>48</v>
      </c>
      <c r="D366" s="32" t="s">
        <v>49</v>
      </c>
      <c r="E366" s="33"/>
      <c r="F366" s="33"/>
      <c r="G366" s="33"/>
      <c r="H366" s="33"/>
      <c r="I366" s="34" t="str">
        <f t="shared" si="26"/>
        <v>0/3</v>
      </c>
    </row>
    <row r="367" spans="1:9" x14ac:dyDescent="0.25">
      <c r="A367" s="30">
        <f>A354</f>
        <v>46349</v>
      </c>
      <c r="B367" s="31" t="s">
        <v>82</v>
      </c>
      <c r="C367" s="31" t="s">
        <v>50</v>
      </c>
      <c r="D367" s="32" t="s">
        <v>51</v>
      </c>
      <c r="E367" s="33"/>
      <c r="F367" s="33"/>
      <c r="G367" s="33"/>
      <c r="H367" s="33"/>
      <c r="I367" s="34" t="str">
        <f t="shared" si="26"/>
        <v>0/3</v>
      </c>
    </row>
    <row r="368" spans="1:9" x14ac:dyDescent="0.25">
      <c r="A368" s="30">
        <f>A354+7</f>
        <v>46356</v>
      </c>
      <c r="B368" s="31" t="s">
        <v>81</v>
      </c>
      <c r="C368" s="31" t="s">
        <v>37</v>
      </c>
      <c r="D368" s="32" t="s">
        <v>39</v>
      </c>
      <c r="E368" s="33"/>
      <c r="F368" s="33"/>
      <c r="G368" s="33"/>
      <c r="H368" s="33"/>
      <c r="I368" s="34" t="str">
        <f t="shared" si="26"/>
        <v>0/3</v>
      </c>
    </row>
    <row r="369" spans="1:9" ht="30" x14ac:dyDescent="0.25">
      <c r="A369" s="30">
        <f>A368</f>
        <v>46356</v>
      </c>
      <c r="B369" s="31" t="s">
        <v>81</v>
      </c>
      <c r="C369" s="31" t="s">
        <v>40</v>
      </c>
      <c r="D369" s="32" t="s">
        <v>41</v>
      </c>
      <c r="E369" s="33"/>
      <c r="F369" s="33"/>
      <c r="G369" s="33"/>
      <c r="H369" s="33"/>
      <c r="I369" s="34" t="str">
        <f t="shared" si="26"/>
        <v>0/3</v>
      </c>
    </row>
    <row r="370" spans="1:9" x14ac:dyDescent="0.25">
      <c r="A370" s="30">
        <f>A368</f>
        <v>46356</v>
      </c>
      <c r="B370" s="31" t="s">
        <v>81</v>
      </c>
      <c r="C370" s="31" t="s">
        <v>42</v>
      </c>
      <c r="D370" s="32" t="s">
        <v>43</v>
      </c>
      <c r="E370" s="33"/>
      <c r="F370" s="33"/>
      <c r="G370" s="33"/>
      <c r="H370" s="33"/>
      <c r="I370" s="34" t="str">
        <f t="shared" si="26"/>
        <v>0/3</v>
      </c>
    </row>
    <row r="371" spans="1:9" x14ac:dyDescent="0.25">
      <c r="A371" s="30">
        <f>A368</f>
        <v>46356</v>
      </c>
      <c r="B371" s="31" t="s">
        <v>81</v>
      </c>
      <c r="C371" s="31" t="s">
        <v>44</v>
      </c>
      <c r="D371" s="32" t="s">
        <v>45</v>
      </c>
      <c r="E371" s="33"/>
      <c r="F371" s="33"/>
      <c r="G371" s="33"/>
      <c r="H371" s="33"/>
      <c r="I371" s="34" t="str">
        <f t="shared" si="26"/>
        <v>0/3</v>
      </c>
    </row>
    <row r="372" spans="1:9" x14ac:dyDescent="0.25">
      <c r="A372" s="30">
        <f>A368</f>
        <v>46356</v>
      </c>
      <c r="B372" s="31" t="s">
        <v>81</v>
      </c>
      <c r="C372" s="31" t="s">
        <v>46</v>
      </c>
      <c r="D372" s="32" t="s">
        <v>47</v>
      </c>
      <c r="E372" s="33"/>
      <c r="F372" s="33"/>
      <c r="G372" s="33"/>
      <c r="H372" s="33"/>
      <c r="I372" s="34" t="str">
        <f t="shared" si="26"/>
        <v>0/3</v>
      </c>
    </row>
    <row r="373" spans="1:9" x14ac:dyDescent="0.25">
      <c r="A373" s="30">
        <f>A368</f>
        <v>46356</v>
      </c>
      <c r="B373" s="31" t="s">
        <v>81</v>
      </c>
      <c r="C373" s="31" t="s">
        <v>48</v>
      </c>
      <c r="D373" s="32" t="s">
        <v>49</v>
      </c>
      <c r="E373" s="33"/>
      <c r="F373" s="33"/>
      <c r="G373" s="33"/>
      <c r="H373" s="33"/>
      <c r="I373" s="34" t="str">
        <f t="shared" si="26"/>
        <v>0/3</v>
      </c>
    </row>
    <row r="374" spans="1:9" x14ac:dyDescent="0.25">
      <c r="A374" s="30">
        <f>A368</f>
        <v>46356</v>
      </c>
      <c r="B374" s="31" t="s">
        <v>81</v>
      </c>
      <c r="C374" s="31" t="s">
        <v>50</v>
      </c>
      <c r="D374" s="32" t="s">
        <v>51</v>
      </c>
      <c r="E374" s="33"/>
      <c r="F374" s="33"/>
      <c r="G374" s="33"/>
      <c r="H374" s="33"/>
      <c r="I374" s="34" t="str">
        <f t="shared" si="26"/>
        <v>0/3</v>
      </c>
    </row>
    <row r="375" spans="1:9" x14ac:dyDescent="0.25">
      <c r="A375" s="30">
        <f>A368</f>
        <v>46356</v>
      </c>
      <c r="B375" s="31" t="s">
        <v>82</v>
      </c>
      <c r="C375" s="31" t="s">
        <v>37</v>
      </c>
      <c r="D375" s="32" t="s">
        <v>39</v>
      </c>
      <c r="E375" s="33"/>
      <c r="F375" s="33"/>
      <c r="G375" s="33"/>
      <c r="H375" s="33"/>
      <c r="I375" s="34" t="str">
        <f>COUNTA(E375:H375)&amp;"/4"</f>
        <v>0/4</v>
      </c>
    </row>
    <row r="376" spans="1:9" ht="30" x14ac:dyDescent="0.25">
      <c r="A376" s="30">
        <f>A368</f>
        <v>46356</v>
      </c>
      <c r="B376" s="31" t="s">
        <v>82</v>
      </c>
      <c r="C376" s="31" t="s">
        <v>40</v>
      </c>
      <c r="D376" s="32" t="s">
        <v>41</v>
      </c>
      <c r="E376" s="33"/>
      <c r="F376" s="33"/>
      <c r="G376" s="33"/>
      <c r="H376" s="33"/>
      <c r="I376" s="34" t="str">
        <f t="shared" ref="I376:I388" si="27">COUNTA(E376:G376)&amp;"/3"</f>
        <v>0/3</v>
      </c>
    </row>
    <row r="377" spans="1:9" x14ac:dyDescent="0.25">
      <c r="A377" s="30">
        <f>A368</f>
        <v>46356</v>
      </c>
      <c r="B377" s="31" t="s">
        <v>82</v>
      </c>
      <c r="C377" s="31" t="s">
        <v>42</v>
      </c>
      <c r="D377" s="32" t="s">
        <v>43</v>
      </c>
      <c r="E377" s="33"/>
      <c r="F377" s="33"/>
      <c r="G377" s="33"/>
      <c r="H377" s="33"/>
      <c r="I377" s="34" t="str">
        <f t="shared" si="27"/>
        <v>0/3</v>
      </c>
    </row>
    <row r="378" spans="1:9" x14ac:dyDescent="0.25">
      <c r="A378" s="30">
        <f>A368</f>
        <v>46356</v>
      </c>
      <c r="B378" s="31" t="s">
        <v>82</v>
      </c>
      <c r="C378" s="31" t="s">
        <v>44</v>
      </c>
      <c r="D378" s="32" t="s">
        <v>45</v>
      </c>
      <c r="E378" s="33"/>
      <c r="F378" s="33"/>
      <c r="G378" s="33"/>
      <c r="H378" s="33"/>
      <c r="I378" s="34" t="str">
        <f t="shared" si="27"/>
        <v>0/3</v>
      </c>
    </row>
    <row r="379" spans="1:9" x14ac:dyDescent="0.25">
      <c r="A379" s="30">
        <f>A368</f>
        <v>46356</v>
      </c>
      <c r="B379" s="31" t="s">
        <v>82</v>
      </c>
      <c r="C379" s="31" t="s">
        <v>46</v>
      </c>
      <c r="D379" s="32" t="s">
        <v>47</v>
      </c>
      <c r="E379" s="33"/>
      <c r="F379" s="33"/>
      <c r="G379" s="33"/>
      <c r="H379" s="33"/>
      <c r="I379" s="34" t="str">
        <f t="shared" si="27"/>
        <v>0/3</v>
      </c>
    </row>
    <row r="380" spans="1:9" x14ac:dyDescent="0.25">
      <c r="A380" s="30">
        <f>A368</f>
        <v>46356</v>
      </c>
      <c r="B380" s="31" t="s">
        <v>82</v>
      </c>
      <c r="C380" s="31" t="s">
        <v>48</v>
      </c>
      <c r="D380" s="32" t="s">
        <v>49</v>
      </c>
      <c r="E380" s="33"/>
      <c r="F380" s="33"/>
      <c r="G380" s="33"/>
      <c r="H380" s="33"/>
      <c r="I380" s="34" t="str">
        <f t="shared" si="27"/>
        <v>0/3</v>
      </c>
    </row>
    <row r="381" spans="1:9" x14ac:dyDescent="0.25">
      <c r="A381" s="30">
        <f>A368</f>
        <v>46356</v>
      </c>
      <c r="B381" s="31" t="s">
        <v>82</v>
      </c>
      <c r="C381" s="31" t="s">
        <v>50</v>
      </c>
      <c r="D381" s="32" t="s">
        <v>51</v>
      </c>
      <c r="E381" s="33"/>
      <c r="F381" s="33"/>
      <c r="G381" s="33"/>
      <c r="H381" s="33"/>
      <c r="I381" s="34" t="str">
        <f t="shared" si="27"/>
        <v>0/3</v>
      </c>
    </row>
    <row r="382" spans="1:9" x14ac:dyDescent="0.25">
      <c r="A382" s="30">
        <f>A368+7</f>
        <v>46363</v>
      </c>
      <c r="B382" s="31" t="s">
        <v>81</v>
      </c>
      <c r="C382" s="31" t="s">
        <v>37</v>
      </c>
      <c r="D382" s="32" t="s">
        <v>39</v>
      </c>
      <c r="E382" s="33"/>
      <c r="F382" s="33"/>
      <c r="G382" s="33"/>
      <c r="H382" s="33"/>
      <c r="I382" s="34" t="str">
        <f t="shared" si="27"/>
        <v>0/3</v>
      </c>
    </row>
    <row r="383" spans="1:9" ht="30" x14ac:dyDescent="0.25">
      <c r="A383" s="30">
        <f>A382</f>
        <v>46363</v>
      </c>
      <c r="B383" s="31" t="s">
        <v>81</v>
      </c>
      <c r="C383" s="31" t="s">
        <v>40</v>
      </c>
      <c r="D383" s="32" t="s">
        <v>41</v>
      </c>
      <c r="E383" s="33"/>
      <c r="F383" s="33"/>
      <c r="G383" s="33"/>
      <c r="H383" s="33"/>
      <c r="I383" s="34" t="str">
        <f t="shared" si="27"/>
        <v>0/3</v>
      </c>
    </row>
    <row r="384" spans="1:9" x14ac:dyDescent="0.25">
      <c r="A384" s="30">
        <f>A382</f>
        <v>46363</v>
      </c>
      <c r="B384" s="31" t="s">
        <v>81</v>
      </c>
      <c r="C384" s="31" t="s">
        <v>42</v>
      </c>
      <c r="D384" s="32" t="s">
        <v>43</v>
      </c>
      <c r="E384" s="33"/>
      <c r="F384" s="33"/>
      <c r="G384" s="33"/>
      <c r="H384" s="33"/>
      <c r="I384" s="34" t="str">
        <f t="shared" si="27"/>
        <v>0/3</v>
      </c>
    </row>
    <row r="385" spans="1:9" x14ac:dyDescent="0.25">
      <c r="A385" s="30">
        <f>A382</f>
        <v>46363</v>
      </c>
      <c r="B385" s="31" t="s">
        <v>81</v>
      </c>
      <c r="C385" s="31" t="s">
        <v>44</v>
      </c>
      <c r="D385" s="32" t="s">
        <v>45</v>
      </c>
      <c r="E385" s="33"/>
      <c r="F385" s="33"/>
      <c r="G385" s="33"/>
      <c r="H385" s="33"/>
      <c r="I385" s="34" t="str">
        <f t="shared" si="27"/>
        <v>0/3</v>
      </c>
    </row>
    <row r="386" spans="1:9" x14ac:dyDescent="0.25">
      <c r="A386" s="30">
        <f>A382</f>
        <v>46363</v>
      </c>
      <c r="B386" s="31" t="s">
        <v>81</v>
      </c>
      <c r="C386" s="31" t="s">
        <v>46</v>
      </c>
      <c r="D386" s="32" t="s">
        <v>47</v>
      </c>
      <c r="E386" s="33"/>
      <c r="F386" s="33"/>
      <c r="G386" s="33"/>
      <c r="H386" s="33"/>
      <c r="I386" s="34" t="str">
        <f t="shared" si="27"/>
        <v>0/3</v>
      </c>
    </row>
    <row r="387" spans="1:9" x14ac:dyDescent="0.25">
      <c r="A387" s="30">
        <f>A382</f>
        <v>46363</v>
      </c>
      <c r="B387" s="31" t="s">
        <v>81</v>
      </c>
      <c r="C387" s="31" t="s">
        <v>48</v>
      </c>
      <c r="D387" s="32" t="s">
        <v>49</v>
      </c>
      <c r="E387" s="33"/>
      <c r="F387" s="33"/>
      <c r="G387" s="33"/>
      <c r="H387" s="33"/>
      <c r="I387" s="34" t="str">
        <f t="shared" si="27"/>
        <v>0/3</v>
      </c>
    </row>
    <row r="388" spans="1:9" x14ac:dyDescent="0.25">
      <c r="A388" s="30">
        <f>A382</f>
        <v>46363</v>
      </c>
      <c r="B388" s="31" t="s">
        <v>81</v>
      </c>
      <c r="C388" s="31" t="s">
        <v>50</v>
      </c>
      <c r="D388" s="32" t="s">
        <v>51</v>
      </c>
      <c r="E388" s="33"/>
      <c r="F388" s="33"/>
      <c r="G388" s="33"/>
      <c r="H388" s="33"/>
      <c r="I388" s="34" t="str">
        <f t="shared" si="27"/>
        <v>0/3</v>
      </c>
    </row>
    <row r="389" spans="1:9" x14ac:dyDescent="0.25">
      <c r="A389" s="30">
        <f>A382</f>
        <v>46363</v>
      </c>
      <c r="B389" s="31" t="s">
        <v>82</v>
      </c>
      <c r="C389" s="31" t="s">
        <v>37</v>
      </c>
      <c r="D389" s="32" t="s">
        <v>39</v>
      </c>
      <c r="E389" s="33"/>
      <c r="F389" s="33"/>
      <c r="G389" s="33"/>
      <c r="H389" s="33"/>
      <c r="I389" s="34" t="str">
        <f>COUNTA(E389:H389)&amp;"/4"</f>
        <v>0/4</v>
      </c>
    </row>
    <row r="390" spans="1:9" ht="30" x14ac:dyDescent="0.25">
      <c r="A390" s="30">
        <f>A382</f>
        <v>46363</v>
      </c>
      <c r="B390" s="31" t="s">
        <v>82</v>
      </c>
      <c r="C390" s="31" t="s">
        <v>40</v>
      </c>
      <c r="D390" s="32" t="s">
        <v>41</v>
      </c>
      <c r="E390" s="33"/>
      <c r="F390" s="33"/>
      <c r="G390" s="33"/>
      <c r="H390" s="33"/>
      <c r="I390" s="34" t="str">
        <f t="shared" ref="I390:I402" si="28">COUNTA(E390:G390)&amp;"/3"</f>
        <v>0/3</v>
      </c>
    </row>
    <row r="391" spans="1:9" x14ac:dyDescent="0.25">
      <c r="A391" s="30">
        <f>A382</f>
        <v>46363</v>
      </c>
      <c r="B391" s="31" t="s">
        <v>82</v>
      </c>
      <c r="C391" s="31" t="s">
        <v>42</v>
      </c>
      <c r="D391" s="32" t="s">
        <v>43</v>
      </c>
      <c r="E391" s="33"/>
      <c r="F391" s="33"/>
      <c r="G391" s="33"/>
      <c r="H391" s="33"/>
      <c r="I391" s="34" t="str">
        <f t="shared" si="28"/>
        <v>0/3</v>
      </c>
    </row>
    <row r="392" spans="1:9" x14ac:dyDescent="0.25">
      <c r="A392" s="30">
        <f>A382</f>
        <v>46363</v>
      </c>
      <c r="B392" s="31" t="s">
        <v>82</v>
      </c>
      <c r="C392" s="31" t="s">
        <v>44</v>
      </c>
      <c r="D392" s="32" t="s">
        <v>45</v>
      </c>
      <c r="E392" s="33"/>
      <c r="F392" s="33"/>
      <c r="G392" s="33"/>
      <c r="H392" s="33"/>
      <c r="I392" s="34" t="str">
        <f t="shared" si="28"/>
        <v>0/3</v>
      </c>
    </row>
    <row r="393" spans="1:9" x14ac:dyDescent="0.25">
      <c r="A393" s="30">
        <f>A382</f>
        <v>46363</v>
      </c>
      <c r="B393" s="31" t="s">
        <v>82</v>
      </c>
      <c r="C393" s="31" t="s">
        <v>46</v>
      </c>
      <c r="D393" s="32" t="s">
        <v>47</v>
      </c>
      <c r="E393" s="33"/>
      <c r="F393" s="33"/>
      <c r="G393" s="33"/>
      <c r="H393" s="33"/>
      <c r="I393" s="34" t="str">
        <f t="shared" si="28"/>
        <v>0/3</v>
      </c>
    </row>
    <row r="394" spans="1:9" x14ac:dyDescent="0.25">
      <c r="A394" s="30">
        <f>A382</f>
        <v>46363</v>
      </c>
      <c r="B394" s="31" t="s">
        <v>82</v>
      </c>
      <c r="C394" s="31" t="s">
        <v>48</v>
      </c>
      <c r="D394" s="32" t="s">
        <v>49</v>
      </c>
      <c r="E394" s="33"/>
      <c r="F394" s="33"/>
      <c r="G394" s="33"/>
      <c r="H394" s="33"/>
      <c r="I394" s="34" t="str">
        <f t="shared" si="28"/>
        <v>0/3</v>
      </c>
    </row>
    <row r="395" spans="1:9" x14ac:dyDescent="0.25">
      <c r="A395" s="30">
        <f>A382</f>
        <v>46363</v>
      </c>
      <c r="B395" s="31" t="s">
        <v>82</v>
      </c>
      <c r="C395" s="31" t="s">
        <v>50</v>
      </c>
      <c r="D395" s="32" t="s">
        <v>51</v>
      </c>
      <c r="E395" s="33"/>
      <c r="F395" s="33"/>
      <c r="G395" s="33"/>
      <c r="H395" s="33"/>
      <c r="I395" s="34" t="str">
        <f t="shared" si="28"/>
        <v>0/3</v>
      </c>
    </row>
    <row r="396" spans="1:9" x14ac:dyDescent="0.25">
      <c r="A396" s="30">
        <f>A382+7</f>
        <v>46370</v>
      </c>
      <c r="B396" s="31" t="s">
        <v>81</v>
      </c>
      <c r="C396" s="31" t="s">
        <v>37</v>
      </c>
      <c r="D396" s="32" t="s">
        <v>39</v>
      </c>
      <c r="E396" s="33"/>
      <c r="F396" s="33"/>
      <c r="G396" s="33"/>
      <c r="H396" s="33"/>
      <c r="I396" s="34" t="str">
        <f t="shared" si="28"/>
        <v>0/3</v>
      </c>
    </row>
    <row r="397" spans="1:9" ht="30" x14ac:dyDescent="0.25">
      <c r="A397" s="30">
        <f>A396</f>
        <v>46370</v>
      </c>
      <c r="B397" s="31" t="s">
        <v>81</v>
      </c>
      <c r="C397" s="31" t="s">
        <v>40</v>
      </c>
      <c r="D397" s="32" t="s">
        <v>41</v>
      </c>
      <c r="E397" s="33"/>
      <c r="F397" s="33"/>
      <c r="G397" s="33"/>
      <c r="H397" s="33"/>
      <c r="I397" s="34" t="str">
        <f t="shared" si="28"/>
        <v>0/3</v>
      </c>
    </row>
    <row r="398" spans="1:9" x14ac:dyDescent="0.25">
      <c r="A398" s="30">
        <f>A396</f>
        <v>46370</v>
      </c>
      <c r="B398" s="31" t="s">
        <v>81</v>
      </c>
      <c r="C398" s="31" t="s">
        <v>42</v>
      </c>
      <c r="D398" s="32" t="s">
        <v>43</v>
      </c>
      <c r="E398" s="33"/>
      <c r="F398" s="33"/>
      <c r="G398" s="33"/>
      <c r="H398" s="33"/>
      <c r="I398" s="34" t="str">
        <f t="shared" si="28"/>
        <v>0/3</v>
      </c>
    </row>
    <row r="399" spans="1:9" x14ac:dyDescent="0.25">
      <c r="A399" s="30">
        <f>A396</f>
        <v>46370</v>
      </c>
      <c r="B399" s="31" t="s">
        <v>81</v>
      </c>
      <c r="C399" s="31" t="s">
        <v>44</v>
      </c>
      <c r="D399" s="32" t="s">
        <v>45</v>
      </c>
      <c r="E399" s="33"/>
      <c r="F399" s="33"/>
      <c r="G399" s="33"/>
      <c r="H399" s="33"/>
      <c r="I399" s="34" t="str">
        <f t="shared" si="28"/>
        <v>0/3</v>
      </c>
    </row>
    <row r="400" spans="1:9" x14ac:dyDescent="0.25">
      <c r="A400" s="30">
        <f>A396</f>
        <v>46370</v>
      </c>
      <c r="B400" s="31" t="s">
        <v>81</v>
      </c>
      <c r="C400" s="31" t="s">
        <v>46</v>
      </c>
      <c r="D400" s="32" t="s">
        <v>47</v>
      </c>
      <c r="E400" s="33"/>
      <c r="F400" s="33"/>
      <c r="G400" s="33"/>
      <c r="H400" s="33"/>
      <c r="I400" s="34" t="str">
        <f t="shared" si="28"/>
        <v>0/3</v>
      </c>
    </row>
    <row r="401" spans="1:9" x14ac:dyDescent="0.25">
      <c r="A401" s="30">
        <f>A396</f>
        <v>46370</v>
      </c>
      <c r="B401" s="31" t="s">
        <v>81</v>
      </c>
      <c r="C401" s="31" t="s">
        <v>48</v>
      </c>
      <c r="D401" s="32" t="s">
        <v>49</v>
      </c>
      <c r="E401" s="33"/>
      <c r="F401" s="33"/>
      <c r="G401" s="33"/>
      <c r="H401" s="33"/>
      <c r="I401" s="34" t="str">
        <f t="shared" si="28"/>
        <v>0/3</v>
      </c>
    </row>
    <row r="402" spans="1:9" x14ac:dyDescent="0.25">
      <c r="A402" s="30">
        <f>A396</f>
        <v>46370</v>
      </c>
      <c r="B402" s="31" t="s">
        <v>81</v>
      </c>
      <c r="C402" s="31" t="s">
        <v>50</v>
      </c>
      <c r="D402" s="32" t="s">
        <v>51</v>
      </c>
      <c r="E402" s="33"/>
      <c r="F402" s="33"/>
      <c r="G402" s="33"/>
      <c r="H402" s="33"/>
      <c r="I402" s="34" t="str">
        <f t="shared" si="28"/>
        <v>0/3</v>
      </c>
    </row>
    <row r="403" spans="1:9" x14ac:dyDescent="0.25">
      <c r="A403" s="30">
        <f>A396</f>
        <v>46370</v>
      </c>
      <c r="B403" s="31" t="s">
        <v>82</v>
      </c>
      <c r="C403" s="31" t="s">
        <v>37</v>
      </c>
      <c r="D403" s="32" t="s">
        <v>39</v>
      </c>
      <c r="E403" s="33"/>
      <c r="F403" s="33"/>
      <c r="G403" s="33"/>
      <c r="H403" s="33"/>
      <c r="I403" s="34" t="str">
        <f>COUNTA(E403:H403)&amp;"/4"</f>
        <v>0/4</v>
      </c>
    </row>
    <row r="404" spans="1:9" ht="30" x14ac:dyDescent="0.25">
      <c r="A404" s="30">
        <f>A396</f>
        <v>46370</v>
      </c>
      <c r="B404" s="31" t="s">
        <v>82</v>
      </c>
      <c r="C404" s="31" t="s">
        <v>40</v>
      </c>
      <c r="D404" s="32" t="s">
        <v>41</v>
      </c>
      <c r="E404" s="33"/>
      <c r="F404" s="33"/>
      <c r="G404" s="33"/>
      <c r="H404" s="33"/>
      <c r="I404" s="34" t="str">
        <f t="shared" ref="I404:I416" si="29">COUNTA(E404:G404)&amp;"/3"</f>
        <v>0/3</v>
      </c>
    </row>
    <row r="405" spans="1:9" x14ac:dyDescent="0.25">
      <c r="A405" s="30">
        <f>A396</f>
        <v>46370</v>
      </c>
      <c r="B405" s="31" t="s">
        <v>82</v>
      </c>
      <c r="C405" s="31" t="s">
        <v>42</v>
      </c>
      <c r="D405" s="32" t="s">
        <v>43</v>
      </c>
      <c r="E405" s="33"/>
      <c r="F405" s="33"/>
      <c r="G405" s="33"/>
      <c r="H405" s="33"/>
      <c r="I405" s="34" t="str">
        <f t="shared" si="29"/>
        <v>0/3</v>
      </c>
    </row>
    <row r="406" spans="1:9" x14ac:dyDescent="0.25">
      <c r="A406" s="30">
        <f>A396</f>
        <v>46370</v>
      </c>
      <c r="B406" s="31" t="s">
        <v>82</v>
      </c>
      <c r="C406" s="31" t="s">
        <v>44</v>
      </c>
      <c r="D406" s="32" t="s">
        <v>45</v>
      </c>
      <c r="E406" s="33"/>
      <c r="F406" s="33"/>
      <c r="G406" s="33"/>
      <c r="H406" s="33"/>
      <c r="I406" s="34" t="str">
        <f t="shared" si="29"/>
        <v>0/3</v>
      </c>
    </row>
    <row r="407" spans="1:9" x14ac:dyDescent="0.25">
      <c r="A407" s="30">
        <f>A396</f>
        <v>46370</v>
      </c>
      <c r="B407" s="31" t="s">
        <v>82</v>
      </c>
      <c r="C407" s="31" t="s">
        <v>46</v>
      </c>
      <c r="D407" s="32" t="s">
        <v>47</v>
      </c>
      <c r="E407" s="33"/>
      <c r="F407" s="33"/>
      <c r="G407" s="33"/>
      <c r="H407" s="33"/>
      <c r="I407" s="34" t="str">
        <f t="shared" si="29"/>
        <v>0/3</v>
      </c>
    </row>
    <row r="408" spans="1:9" x14ac:dyDescent="0.25">
      <c r="A408" s="30">
        <f>A396</f>
        <v>46370</v>
      </c>
      <c r="B408" s="31" t="s">
        <v>82</v>
      </c>
      <c r="C408" s="31" t="s">
        <v>48</v>
      </c>
      <c r="D408" s="32" t="s">
        <v>49</v>
      </c>
      <c r="E408" s="33"/>
      <c r="F408" s="33"/>
      <c r="G408" s="33"/>
      <c r="H408" s="33"/>
      <c r="I408" s="34" t="str">
        <f t="shared" si="29"/>
        <v>0/3</v>
      </c>
    </row>
    <row r="409" spans="1:9" x14ac:dyDescent="0.25">
      <c r="A409" s="30">
        <f>A396</f>
        <v>46370</v>
      </c>
      <c r="B409" s="31" t="s">
        <v>82</v>
      </c>
      <c r="C409" s="31" t="s">
        <v>50</v>
      </c>
      <c r="D409" s="32" t="s">
        <v>51</v>
      </c>
      <c r="E409" s="33"/>
      <c r="F409" s="33"/>
      <c r="G409" s="33"/>
      <c r="H409" s="33"/>
      <c r="I409" s="34" t="str">
        <f t="shared" si="29"/>
        <v>0/3</v>
      </c>
    </row>
    <row r="410" spans="1:9" x14ac:dyDescent="0.25">
      <c r="A410" s="30">
        <f>A396+7</f>
        <v>46377</v>
      </c>
      <c r="B410" s="31" t="s">
        <v>81</v>
      </c>
      <c r="C410" s="31" t="s">
        <v>37</v>
      </c>
      <c r="D410" s="32" t="s">
        <v>39</v>
      </c>
      <c r="E410" s="33"/>
      <c r="F410" s="33"/>
      <c r="G410" s="33"/>
      <c r="H410" s="33"/>
      <c r="I410" s="34" t="str">
        <f t="shared" si="29"/>
        <v>0/3</v>
      </c>
    </row>
    <row r="411" spans="1:9" ht="30" x14ac:dyDescent="0.25">
      <c r="A411" s="30">
        <f>A410</f>
        <v>46377</v>
      </c>
      <c r="B411" s="31" t="s">
        <v>81</v>
      </c>
      <c r="C411" s="31" t="s">
        <v>40</v>
      </c>
      <c r="D411" s="32" t="s">
        <v>41</v>
      </c>
      <c r="E411" s="33"/>
      <c r="F411" s="33"/>
      <c r="G411" s="33"/>
      <c r="H411" s="33"/>
      <c r="I411" s="34" t="str">
        <f t="shared" si="29"/>
        <v>0/3</v>
      </c>
    </row>
    <row r="412" spans="1:9" x14ac:dyDescent="0.25">
      <c r="A412" s="30">
        <f>A410</f>
        <v>46377</v>
      </c>
      <c r="B412" s="31" t="s">
        <v>81</v>
      </c>
      <c r="C412" s="31" t="s">
        <v>42</v>
      </c>
      <c r="D412" s="32" t="s">
        <v>43</v>
      </c>
      <c r="E412" s="33"/>
      <c r="F412" s="33"/>
      <c r="G412" s="33"/>
      <c r="H412" s="33"/>
      <c r="I412" s="34" t="str">
        <f t="shared" si="29"/>
        <v>0/3</v>
      </c>
    </row>
    <row r="413" spans="1:9" x14ac:dyDescent="0.25">
      <c r="A413" s="30">
        <f>A410</f>
        <v>46377</v>
      </c>
      <c r="B413" s="31" t="s">
        <v>81</v>
      </c>
      <c r="C413" s="31" t="s">
        <v>44</v>
      </c>
      <c r="D413" s="32" t="s">
        <v>45</v>
      </c>
      <c r="E413" s="33"/>
      <c r="F413" s="33"/>
      <c r="G413" s="33"/>
      <c r="H413" s="33"/>
      <c r="I413" s="34" t="str">
        <f t="shared" si="29"/>
        <v>0/3</v>
      </c>
    </row>
    <row r="414" spans="1:9" x14ac:dyDescent="0.25">
      <c r="A414" s="30">
        <f>A410</f>
        <v>46377</v>
      </c>
      <c r="B414" s="31" t="s">
        <v>81</v>
      </c>
      <c r="C414" s="31" t="s">
        <v>46</v>
      </c>
      <c r="D414" s="32" t="s">
        <v>47</v>
      </c>
      <c r="E414" s="33"/>
      <c r="F414" s="33"/>
      <c r="G414" s="33"/>
      <c r="H414" s="33"/>
      <c r="I414" s="34" t="str">
        <f t="shared" si="29"/>
        <v>0/3</v>
      </c>
    </row>
    <row r="415" spans="1:9" x14ac:dyDescent="0.25">
      <c r="A415" s="30">
        <f>A410</f>
        <v>46377</v>
      </c>
      <c r="B415" s="31" t="s">
        <v>81</v>
      </c>
      <c r="C415" s="31" t="s">
        <v>48</v>
      </c>
      <c r="D415" s="32" t="s">
        <v>49</v>
      </c>
      <c r="E415" s="33"/>
      <c r="F415" s="33"/>
      <c r="G415" s="33"/>
      <c r="H415" s="33"/>
      <c r="I415" s="34" t="str">
        <f t="shared" si="29"/>
        <v>0/3</v>
      </c>
    </row>
    <row r="416" spans="1:9" x14ac:dyDescent="0.25">
      <c r="A416" s="30">
        <f>A410</f>
        <v>46377</v>
      </c>
      <c r="B416" s="31" t="s">
        <v>81</v>
      </c>
      <c r="C416" s="31" t="s">
        <v>50</v>
      </c>
      <c r="D416" s="32" t="s">
        <v>51</v>
      </c>
      <c r="E416" s="33"/>
      <c r="F416" s="33"/>
      <c r="G416" s="33"/>
      <c r="H416" s="33"/>
      <c r="I416" s="34" t="str">
        <f t="shared" si="29"/>
        <v>0/3</v>
      </c>
    </row>
    <row r="417" spans="1:9" x14ac:dyDescent="0.25">
      <c r="A417" s="30">
        <f>A410</f>
        <v>46377</v>
      </c>
      <c r="B417" s="31" t="s">
        <v>82</v>
      </c>
      <c r="C417" s="31" t="s">
        <v>37</v>
      </c>
      <c r="D417" s="32" t="s">
        <v>39</v>
      </c>
      <c r="E417" s="33"/>
      <c r="F417" s="33"/>
      <c r="G417" s="33"/>
      <c r="H417" s="33"/>
      <c r="I417" s="34" t="str">
        <f>COUNTA(E417:H417)&amp;"/4"</f>
        <v>0/4</v>
      </c>
    </row>
    <row r="418" spans="1:9" ht="30" x14ac:dyDescent="0.25">
      <c r="A418" s="30">
        <f>A410</f>
        <v>46377</v>
      </c>
      <c r="B418" s="31" t="s">
        <v>82</v>
      </c>
      <c r="C418" s="31" t="s">
        <v>40</v>
      </c>
      <c r="D418" s="32" t="s">
        <v>41</v>
      </c>
      <c r="E418" s="33"/>
      <c r="F418" s="33"/>
      <c r="G418" s="33"/>
      <c r="H418" s="33"/>
      <c r="I418" s="34" t="str">
        <f t="shared" ref="I418:I430" si="30">COUNTA(E418:G418)&amp;"/3"</f>
        <v>0/3</v>
      </c>
    </row>
    <row r="419" spans="1:9" x14ac:dyDescent="0.25">
      <c r="A419" s="30">
        <f>A410</f>
        <v>46377</v>
      </c>
      <c r="B419" s="31" t="s">
        <v>82</v>
      </c>
      <c r="C419" s="31" t="s">
        <v>42</v>
      </c>
      <c r="D419" s="32" t="s">
        <v>43</v>
      </c>
      <c r="E419" s="33"/>
      <c r="F419" s="33"/>
      <c r="G419" s="33"/>
      <c r="H419" s="33"/>
      <c r="I419" s="34" t="str">
        <f t="shared" si="30"/>
        <v>0/3</v>
      </c>
    </row>
    <row r="420" spans="1:9" x14ac:dyDescent="0.25">
      <c r="A420" s="30">
        <f>A410</f>
        <v>46377</v>
      </c>
      <c r="B420" s="31" t="s">
        <v>82</v>
      </c>
      <c r="C420" s="31" t="s">
        <v>44</v>
      </c>
      <c r="D420" s="32" t="s">
        <v>45</v>
      </c>
      <c r="E420" s="33"/>
      <c r="F420" s="33"/>
      <c r="G420" s="33"/>
      <c r="H420" s="33"/>
      <c r="I420" s="34" t="str">
        <f t="shared" si="30"/>
        <v>0/3</v>
      </c>
    </row>
    <row r="421" spans="1:9" x14ac:dyDescent="0.25">
      <c r="A421" s="30">
        <f>A410</f>
        <v>46377</v>
      </c>
      <c r="B421" s="31" t="s">
        <v>82</v>
      </c>
      <c r="C421" s="31" t="s">
        <v>46</v>
      </c>
      <c r="D421" s="32" t="s">
        <v>47</v>
      </c>
      <c r="E421" s="33"/>
      <c r="F421" s="33"/>
      <c r="G421" s="33"/>
      <c r="H421" s="33"/>
      <c r="I421" s="34" t="str">
        <f t="shared" si="30"/>
        <v>0/3</v>
      </c>
    </row>
    <row r="422" spans="1:9" x14ac:dyDescent="0.25">
      <c r="A422" s="30">
        <f>A410</f>
        <v>46377</v>
      </c>
      <c r="B422" s="31" t="s">
        <v>82</v>
      </c>
      <c r="C422" s="31" t="s">
        <v>48</v>
      </c>
      <c r="D422" s="32" t="s">
        <v>49</v>
      </c>
      <c r="E422" s="33"/>
      <c r="F422" s="33"/>
      <c r="G422" s="33"/>
      <c r="H422" s="33"/>
      <c r="I422" s="34" t="str">
        <f t="shared" si="30"/>
        <v>0/3</v>
      </c>
    </row>
    <row r="423" spans="1:9" x14ac:dyDescent="0.25">
      <c r="A423" s="30">
        <f>A410</f>
        <v>46377</v>
      </c>
      <c r="B423" s="31" t="s">
        <v>82</v>
      </c>
      <c r="C423" s="31" t="s">
        <v>50</v>
      </c>
      <c r="D423" s="32" t="s">
        <v>51</v>
      </c>
      <c r="E423" s="33"/>
      <c r="F423" s="33"/>
      <c r="G423" s="33"/>
      <c r="H423" s="33"/>
      <c r="I423" s="34" t="str">
        <f t="shared" si="30"/>
        <v>0/3</v>
      </c>
    </row>
    <row r="424" spans="1:9" x14ac:dyDescent="0.25">
      <c r="A424" s="30">
        <f>A410+7</f>
        <v>46384</v>
      </c>
      <c r="B424" s="31" t="s">
        <v>81</v>
      </c>
      <c r="C424" s="31" t="s">
        <v>37</v>
      </c>
      <c r="D424" s="32" t="s">
        <v>39</v>
      </c>
      <c r="E424" s="33"/>
      <c r="F424" s="33"/>
      <c r="G424" s="33"/>
      <c r="H424" s="33"/>
      <c r="I424" s="34" t="str">
        <f t="shared" si="30"/>
        <v>0/3</v>
      </c>
    </row>
    <row r="425" spans="1:9" ht="30" x14ac:dyDescent="0.25">
      <c r="A425" s="30">
        <f>A424</f>
        <v>46384</v>
      </c>
      <c r="B425" s="31" t="s">
        <v>81</v>
      </c>
      <c r="C425" s="31" t="s">
        <v>40</v>
      </c>
      <c r="D425" s="32" t="s">
        <v>41</v>
      </c>
      <c r="E425" s="33"/>
      <c r="F425" s="33"/>
      <c r="G425" s="33"/>
      <c r="H425" s="33"/>
      <c r="I425" s="34" t="str">
        <f t="shared" si="30"/>
        <v>0/3</v>
      </c>
    </row>
    <row r="426" spans="1:9" x14ac:dyDescent="0.25">
      <c r="A426" s="30">
        <f>A424</f>
        <v>46384</v>
      </c>
      <c r="B426" s="31" t="s">
        <v>81</v>
      </c>
      <c r="C426" s="31" t="s">
        <v>42</v>
      </c>
      <c r="D426" s="32" t="s">
        <v>43</v>
      </c>
      <c r="E426" s="33"/>
      <c r="F426" s="33"/>
      <c r="G426" s="33"/>
      <c r="H426" s="33"/>
      <c r="I426" s="34" t="str">
        <f t="shared" si="30"/>
        <v>0/3</v>
      </c>
    </row>
    <row r="427" spans="1:9" x14ac:dyDescent="0.25">
      <c r="A427" s="30">
        <f>A424</f>
        <v>46384</v>
      </c>
      <c r="B427" s="31" t="s">
        <v>81</v>
      </c>
      <c r="C427" s="31" t="s">
        <v>44</v>
      </c>
      <c r="D427" s="32" t="s">
        <v>45</v>
      </c>
      <c r="E427" s="33"/>
      <c r="F427" s="33"/>
      <c r="G427" s="33"/>
      <c r="H427" s="33"/>
      <c r="I427" s="34" t="str">
        <f t="shared" si="30"/>
        <v>0/3</v>
      </c>
    </row>
    <row r="428" spans="1:9" x14ac:dyDescent="0.25">
      <c r="A428" s="30">
        <f>A424</f>
        <v>46384</v>
      </c>
      <c r="B428" s="31" t="s">
        <v>81</v>
      </c>
      <c r="C428" s="31" t="s">
        <v>46</v>
      </c>
      <c r="D428" s="32" t="s">
        <v>47</v>
      </c>
      <c r="E428" s="33"/>
      <c r="F428" s="33"/>
      <c r="G428" s="33"/>
      <c r="H428" s="33"/>
      <c r="I428" s="34" t="str">
        <f t="shared" si="30"/>
        <v>0/3</v>
      </c>
    </row>
    <row r="429" spans="1:9" x14ac:dyDescent="0.25">
      <c r="A429" s="30">
        <f>A424</f>
        <v>46384</v>
      </c>
      <c r="B429" s="31" t="s">
        <v>81</v>
      </c>
      <c r="C429" s="31" t="s">
        <v>48</v>
      </c>
      <c r="D429" s="32" t="s">
        <v>49</v>
      </c>
      <c r="E429" s="33"/>
      <c r="F429" s="33"/>
      <c r="G429" s="33"/>
      <c r="H429" s="33"/>
      <c r="I429" s="34" t="str">
        <f t="shared" si="30"/>
        <v>0/3</v>
      </c>
    </row>
    <row r="430" spans="1:9" x14ac:dyDescent="0.25">
      <c r="A430" s="30">
        <f>A424</f>
        <v>46384</v>
      </c>
      <c r="B430" s="31" t="s">
        <v>81</v>
      </c>
      <c r="C430" s="31" t="s">
        <v>50</v>
      </c>
      <c r="D430" s="32" t="s">
        <v>51</v>
      </c>
      <c r="E430" s="33"/>
      <c r="F430" s="33"/>
      <c r="G430" s="33"/>
      <c r="H430" s="33"/>
      <c r="I430" s="34" t="str">
        <f t="shared" si="30"/>
        <v>0/3</v>
      </c>
    </row>
    <row r="431" spans="1:9" x14ac:dyDescent="0.25">
      <c r="A431" s="30">
        <f>A424</f>
        <v>46384</v>
      </c>
      <c r="B431" s="31" t="s">
        <v>82</v>
      </c>
      <c r="C431" s="31" t="s">
        <v>37</v>
      </c>
      <c r="D431" s="32" t="s">
        <v>39</v>
      </c>
      <c r="E431" s="33"/>
      <c r="F431" s="33"/>
      <c r="G431" s="33"/>
      <c r="H431" s="33"/>
      <c r="I431" s="34" t="str">
        <f>COUNTA(E431:H431)&amp;"/4"</f>
        <v>0/4</v>
      </c>
    </row>
    <row r="432" spans="1:9" ht="30" x14ac:dyDescent="0.25">
      <c r="A432" s="30">
        <f>A424</f>
        <v>46384</v>
      </c>
      <c r="B432" s="31" t="s">
        <v>82</v>
      </c>
      <c r="C432" s="31" t="s">
        <v>40</v>
      </c>
      <c r="D432" s="32" t="s">
        <v>41</v>
      </c>
      <c r="E432" s="33"/>
      <c r="F432" s="33"/>
      <c r="G432" s="33"/>
      <c r="H432" s="33"/>
      <c r="I432" s="34" t="str">
        <f t="shared" ref="I432:I444" si="31">COUNTA(E432:G432)&amp;"/3"</f>
        <v>0/3</v>
      </c>
    </row>
    <row r="433" spans="1:9" x14ac:dyDescent="0.25">
      <c r="A433" s="30">
        <f>A424</f>
        <v>46384</v>
      </c>
      <c r="B433" s="31" t="s">
        <v>82</v>
      </c>
      <c r="C433" s="31" t="s">
        <v>42</v>
      </c>
      <c r="D433" s="32" t="s">
        <v>43</v>
      </c>
      <c r="E433" s="33"/>
      <c r="F433" s="33"/>
      <c r="G433" s="33"/>
      <c r="H433" s="33"/>
      <c r="I433" s="34" t="str">
        <f t="shared" si="31"/>
        <v>0/3</v>
      </c>
    </row>
    <row r="434" spans="1:9" x14ac:dyDescent="0.25">
      <c r="A434" s="30">
        <f>A424</f>
        <v>46384</v>
      </c>
      <c r="B434" s="31" t="s">
        <v>82</v>
      </c>
      <c r="C434" s="31" t="s">
        <v>44</v>
      </c>
      <c r="D434" s="32" t="s">
        <v>45</v>
      </c>
      <c r="E434" s="33"/>
      <c r="F434" s="33"/>
      <c r="G434" s="33"/>
      <c r="H434" s="33"/>
      <c r="I434" s="34" t="str">
        <f t="shared" si="31"/>
        <v>0/3</v>
      </c>
    </row>
    <row r="435" spans="1:9" x14ac:dyDescent="0.25">
      <c r="A435" s="30">
        <f>A424</f>
        <v>46384</v>
      </c>
      <c r="B435" s="31" t="s">
        <v>82</v>
      </c>
      <c r="C435" s="31" t="s">
        <v>46</v>
      </c>
      <c r="D435" s="32" t="s">
        <v>47</v>
      </c>
      <c r="E435" s="33"/>
      <c r="F435" s="33"/>
      <c r="G435" s="33"/>
      <c r="H435" s="33"/>
      <c r="I435" s="34" t="str">
        <f t="shared" si="31"/>
        <v>0/3</v>
      </c>
    </row>
    <row r="436" spans="1:9" x14ac:dyDescent="0.25">
      <c r="A436" s="30">
        <f>A424</f>
        <v>46384</v>
      </c>
      <c r="B436" s="31" t="s">
        <v>82</v>
      </c>
      <c r="C436" s="31" t="s">
        <v>48</v>
      </c>
      <c r="D436" s="32" t="s">
        <v>49</v>
      </c>
      <c r="E436" s="33"/>
      <c r="F436" s="33"/>
      <c r="G436" s="33"/>
      <c r="H436" s="33"/>
      <c r="I436" s="34" t="str">
        <f t="shared" si="31"/>
        <v>0/3</v>
      </c>
    </row>
    <row r="437" spans="1:9" x14ac:dyDescent="0.25">
      <c r="A437" s="30">
        <f>A424</f>
        <v>46384</v>
      </c>
      <c r="B437" s="31" t="s">
        <v>82</v>
      </c>
      <c r="C437" s="31" t="s">
        <v>50</v>
      </c>
      <c r="D437" s="32" t="s">
        <v>51</v>
      </c>
      <c r="E437" s="33"/>
      <c r="F437" s="33"/>
      <c r="G437" s="33"/>
      <c r="H437" s="33"/>
      <c r="I437" s="34" t="str">
        <f t="shared" si="31"/>
        <v>0/3</v>
      </c>
    </row>
    <row r="438" spans="1:9" x14ac:dyDescent="0.25">
      <c r="A438" s="30">
        <f>A424+7</f>
        <v>46391</v>
      </c>
      <c r="B438" s="31" t="s">
        <v>81</v>
      </c>
      <c r="C438" s="31" t="s">
        <v>37</v>
      </c>
      <c r="D438" s="32" t="s">
        <v>39</v>
      </c>
      <c r="E438" s="33"/>
      <c r="F438" s="33"/>
      <c r="G438" s="33"/>
      <c r="H438" s="33"/>
      <c r="I438" s="34" t="str">
        <f t="shared" si="31"/>
        <v>0/3</v>
      </c>
    </row>
    <row r="439" spans="1:9" ht="30" x14ac:dyDescent="0.25">
      <c r="A439" s="30">
        <f>A438</f>
        <v>46391</v>
      </c>
      <c r="B439" s="31" t="s">
        <v>81</v>
      </c>
      <c r="C439" s="31" t="s">
        <v>40</v>
      </c>
      <c r="D439" s="32" t="s">
        <v>41</v>
      </c>
      <c r="E439" s="33"/>
      <c r="F439" s="33"/>
      <c r="G439" s="33"/>
      <c r="H439" s="33"/>
      <c r="I439" s="34" t="str">
        <f t="shared" si="31"/>
        <v>0/3</v>
      </c>
    </row>
    <row r="440" spans="1:9" x14ac:dyDescent="0.25">
      <c r="A440" s="30">
        <f>A438</f>
        <v>46391</v>
      </c>
      <c r="B440" s="31" t="s">
        <v>81</v>
      </c>
      <c r="C440" s="31" t="s">
        <v>42</v>
      </c>
      <c r="D440" s="32" t="s">
        <v>43</v>
      </c>
      <c r="E440" s="33"/>
      <c r="F440" s="33"/>
      <c r="G440" s="33"/>
      <c r="H440" s="33"/>
      <c r="I440" s="34" t="str">
        <f t="shared" si="31"/>
        <v>0/3</v>
      </c>
    </row>
    <row r="441" spans="1:9" x14ac:dyDescent="0.25">
      <c r="A441" s="30">
        <f>A438</f>
        <v>46391</v>
      </c>
      <c r="B441" s="31" t="s">
        <v>81</v>
      </c>
      <c r="C441" s="31" t="s">
        <v>44</v>
      </c>
      <c r="D441" s="32" t="s">
        <v>45</v>
      </c>
      <c r="E441" s="33"/>
      <c r="F441" s="33"/>
      <c r="G441" s="33"/>
      <c r="H441" s="33"/>
      <c r="I441" s="34" t="str">
        <f t="shared" si="31"/>
        <v>0/3</v>
      </c>
    </row>
    <row r="442" spans="1:9" x14ac:dyDescent="0.25">
      <c r="A442" s="30">
        <f>A438</f>
        <v>46391</v>
      </c>
      <c r="B442" s="31" t="s">
        <v>81</v>
      </c>
      <c r="C442" s="31" t="s">
        <v>46</v>
      </c>
      <c r="D442" s="32" t="s">
        <v>47</v>
      </c>
      <c r="E442" s="33"/>
      <c r="F442" s="33"/>
      <c r="G442" s="33"/>
      <c r="H442" s="33"/>
      <c r="I442" s="34" t="str">
        <f t="shared" si="31"/>
        <v>0/3</v>
      </c>
    </row>
    <row r="443" spans="1:9" x14ac:dyDescent="0.25">
      <c r="A443" s="30">
        <f>A438</f>
        <v>46391</v>
      </c>
      <c r="B443" s="31" t="s">
        <v>81</v>
      </c>
      <c r="C443" s="31" t="s">
        <v>48</v>
      </c>
      <c r="D443" s="32" t="s">
        <v>49</v>
      </c>
      <c r="E443" s="33"/>
      <c r="F443" s="33"/>
      <c r="G443" s="33"/>
      <c r="H443" s="33"/>
      <c r="I443" s="34" t="str">
        <f t="shared" si="31"/>
        <v>0/3</v>
      </c>
    </row>
    <row r="444" spans="1:9" x14ac:dyDescent="0.25">
      <c r="A444" s="30">
        <f>A438</f>
        <v>46391</v>
      </c>
      <c r="B444" s="31" t="s">
        <v>81</v>
      </c>
      <c r="C444" s="31" t="s">
        <v>50</v>
      </c>
      <c r="D444" s="32" t="s">
        <v>51</v>
      </c>
      <c r="E444" s="33"/>
      <c r="F444" s="33"/>
      <c r="G444" s="33"/>
      <c r="H444" s="33"/>
      <c r="I444" s="34" t="str">
        <f t="shared" si="31"/>
        <v>0/3</v>
      </c>
    </row>
    <row r="445" spans="1:9" x14ac:dyDescent="0.25">
      <c r="A445" s="30">
        <f>A438</f>
        <v>46391</v>
      </c>
      <c r="B445" s="31" t="s">
        <v>82</v>
      </c>
      <c r="C445" s="31" t="s">
        <v>37</v>
      </c>
      <c r="D445" s="32" t="s">
        <v>39</v>
      </c>
      <c r="E445" s="33"/>
      <c r="F445" s="33"/>
      <c r="G445" s="33"/>
      <c r="H445" s="33"/>
      <c r="I445" s="34" t="str">
        <f>COUNTA(E445:H445)&amp;"/4"</f>
        <v>0/4</v>
      </c>
    </row>
    <row r="446" spans="1:9" ht="30" x14ac:dyDescent="0.25">
      <c r="A446" s="30">
        <f>A438</f>
        <v>46391</v>
      </c>
      <c r="B446" s="31" t="s">
        <v>82</v>
      </c>
      <c r="C446" s="31" t="s">
        <v>40</v>
      </c>
      <c r="D446" s="32" t="s">
        <v>41</v>
      </c>
      <c r="E446" s="33"/>
      <c r="F446" s="33"/>
      <c r="G446" s="33"/>
      <c r="H446" s="33"/>
      <c r="I446" s="34" t="str">
        <f t="shared" ref="I446:I458" si="32">COUNTA(E446:G446)&amp;"/3"</f>
        <v>0/3</v>
      </c>
    </row>
    <row r="447" spans="1:9" x14ac:dyDescent="0.25">
      <c r="A447" s="30">
        <f>A438</f>
        <v>46391</v>
      </c>
      <c r="B447" s="31" t="s">
        <v>82</v>
      </c>
      <c r="C447" s="31" t="s">
        <v>42</v>
      </c>
      <c r="D447" s="32" t="s">
        <v>43</v>
      </c>
      <c r="E447" s="33"/>
      <c r="F447" s="33"/>
      <c r="G447" s="33"/>
      <c r="H447" s="33"/>
      <c r="I447" s="34" t="str">
        <f t="shared" si="32"/>
        <v>0/3</v>
      </c>
    </row>
    <row r="448" spans="1:9" x14ac:dyDescent="0.25">
      <c r="A448" s="30">
        <f>A438</f>
        <v>46391</v>
      </c>
      <c r="B448" s="31" t="s">
        <v>82</v>
      </c>
      <c r="C448" s="31" t="s">
        <v>44</v>
      </c>
      <c r="D448" s="32" t="s">
        <v>45</v>
      </c>
      <c r="E448" s="33"/>
      <c r="F448" s="33"/>
      <c r="G448" s="33"/>
      <c r="H448" s="33"/>
      <c r="I448" s="34" t="str">
        <f t="shared" si="32"/>
        <v>0/3</v>
      </c>
    </row>
    <row r="449" spans="1:9" x14ac:dyDescent="0.25">
      <c r="A449" s="30">
        <f>A438</f>
        <v>46391</v>
      </c>
      <c r="B449" s="31" t="s">
        <v>82</v>
      </c>
      <c r="C449" s="31" t="s">
        <v>46</v>
      </c>
      <c r="D449" s="32" t="s">
        <v>47</v>
      </c>
      <c r="E449" s="33"/>
      <c r="F449" s="33"/>
      <c r="G449" s="33"/>
      <c r="H449" s="33"/>
      <c r="I449" s="34" t="str">
        <f t="shared" si="32"/>
        <v>0/3</v>
      </c>
    </row>
    <row r="450" spans="1:9" x14ac:dyDescent="0.25">
      <c r="A450" s="30">
        <f>A438</f>
        <v>46391</v>
      </c>
      <c r="B450" s="31" t="s">
        <v>82</v>
      </c>
      <c r="C450" s="31" t="s">
        <v>48</v>
      </c>
      <c r="D450" s="32" t="s">
        <v>49</v>
      </c>
      <c r="E450" s="33"/>
      <c r="F450" s="33"/>
      <c r="G450" s="33"/>
      <c r="H450" s="33"/>
      <c r="I450" s="34" t="str">
        <f t="shared" si="32"/>
        <v>0/3</v>
      </c>
    </row>
    <row r="451" spans="1:9" x14ac:dyDescent="0.25">
      <c r="A451" s="30">
        <f>A438</f>
        <v>46391</v>
      </c>
      <c r="B451" s="31" t="s">
        <v>82</v>
      </c>
      <c r="C451" s="31" t="s">
        <v>50</v>
      </c>
      <c r="D451" s="32" t="s">
        <v>51</v>
      </c>
      <c r="E451" s="33"/>
      <c r="F451" s="33"/>
      <c r="G451" s="33"/>
      <c r="H451" s="33"/>
      <c r="I451" s="34" t="str">
        <f t="shared" si="32"/>
        <v>0/3</v>
      </c>
    </row>
    <row r="452" spans="1:9" x14ac:dyDescent="0.25">
      <c r="A452" s="30">
        <f>A438+7</f>
        <v>46398</v>
      </c>
      <c r="B452" s="31" t="s">
        <v>81</v>
      </c>
      <c r="C452" s="31" t="s">
        <v>37</v>
      </c>
      <c r="D452" s="32" t="s">
        <v>39</v>
      </c>
      <c r="E452" s="33"/>
      <c r="F452" s="33"/>
      <c r="G452" s="33"/>
      <c r="H452" s="33"/>
      <c r="I452" s="34" t="str">
        <f t="shared" si="32"/>
        <v>0/3</v>
      </c>
    </row>
    <row r="453" spans="1:9" ht="30" x14ac:dyDescent="0.25">
      <c r="A453" s="30">
        <f>A452</f>
        <v>46398</v>
      </c>
      <c r="B453" s="31" t="s">
        <v>81</v>
      </c>
      <c r="C453" s="31" t="s">
        <v>40</v>
      </c>
      <c r="D453" s="32" t="s">
        <v>41</v>
      </c>
      <c r="E453" s="33"/>
      <c r="F453" s="33"/>
      <c r="G453" s="33"/>
      <c r="H453" s="33"/>
      <c r="I453" s="34" t="str">
        <f t="shared" si="32"/>
        <v>0/3</v>
      </c>
    </row>
    <row r="454" spans="1:9" x14ac:dyDescent="0.25">
      <c r="A454" s="30">
        <f>A452</f>
        <v>46398</v>
      </c>
      <c r="B454" s="31" t="s">
        <v>81</v>
      </c>
      <c r="C454" s="31" t="s">
        <v>42</v>
      </c>
      <c r="D454" s="32" t="s">
        <v>43</v>
      </c>
      <c r="E454" s="33"/>
      <c r="F454" s="33"/>
      <c r="G454" s="33"/>
      <c r="H454" s="33"/>
      <c r="I454" s="34" t="str">
        <f t="shared" si="32"/>
        <v>0/3</v>
      </c>
    </row>
    <row r="455" spans="1:9" x14ac:dyDescent="0.25">
      <c r="A455" s="30">
        <f>A452</f>
        <v>46398</v>
      </c>
      <c r="B455" s="31" t="s">
        <v>81</v>
      </c>
      <c r="C455" s="31" t="s">
        <v>44</v>
      </c>
      <c r="D455" s="32" t="s">
        <v>45</v>
      </c>
      <c r="E455" s="33"/>
      <c r="F455" s="33"/>
      <c r="G455" s="33"/>
      <c r="H455" s="33"/>
      <c r="I455" s="34" t="str">
        <f t="shared" si="32"/>
        <v>0/3</v>
      </c>
    </row>
    <row r="456" spans="1:9" x14ac:dyDescent="0.25">
      <c r="A456" s="30">
        <f>A452</f>
        <v>46398</v>
      </c>
      <c r="B456" s="31" t="s">
        <v>81</v>
      </c>
      <c r="C456" s="31" t="s">
        <v>46</v>
      </c>
      <c r="D456" s="32" t="s">
        <v>47</v>
      </c>
      <c r="E456" s="33"/>
      <c r="F456" s="33"/>
      <c r="G456" s="33"/>
      <c r="H456" s="33"/>
      <c r="I456" s="34" t="str">
        <f t="shared" si="32"/>
        <v>0/3</v>
      </c>
    </row>
    <row r="457" spans="1:9" x14ac:dyDescent="0.25">
      <c r="A457" s="30">
        <f>A452</f>
        <v>46398</v>
      </c>
      <c r="B457" s="31" t="s">
        <v>81</v>
      </c>
      <c r="C457" s="31" t="s">
        <v>48</v>
      </c>
      <c r="D457" s="32" t="s">
        <v>49</v>
      </c>
      <c r="E457" s="33"/>
      <c r="F457" s="33"/>
      <c r="G457" s="33"/>
      <c r="H457" s="33"/>
      <c r="I457" s="34" t="str">
        <f t="shared" si="32"/>
        <v>0/3</v>
      </c>
    </row>
    <row r="458" spans="1:9" x14ac:dyDescent="0.25">
      <c r="A458" s="30">
        <f>A452</f>
        <v>46398</v>
      </c>
      <c r="B458" s="31" t="s">
        <v>81</v>
      </c>
      <c r="C458" s="31" t="s">
        <v>50</v>
      </c>
      <c r="D458" s="32" t="s">
        <v>51</v>
      </c>
      <c r="E458" s="33"/>
      <c r="F458" s="33"/>
      <c r="G458" s="33"/>
      <c r="H458" s="33"/>
      <c r="I458" s="34" t="str">
        <f t="shared" si="32"/>
        <v>0/3</v>
      </c>
    </row>
    <row r="459" spans="1:9" x14ac:dyDescent="0.25">
      <c r="A459" s="30">
        <f>A452</f>
        <v>46398</v>
      </c>
      <c r="B459" s="31" t="s">
        <v>82</v>
      </c>
      <c r="C459" s="31" t="s">
        <v>37</v>
      </c>
      <c r="D459" s="32" t="s">
        <v>39</v>
      </c>
      <c r="E459" s="33"/>
      <c r="F459" s="33"/>
      <c r="G459" s="33"/>
      <c r="H459" s="33"/>
      <c r="I459" s="34" t="str">
        <f>COUNTA(E459:H459)&amp;"/4"</f>
        <v>0/4</v>
      </c>
    </row>
    <row r="460" spans="1:9" ht="30" x14ac:dyDescent="0.25">
      <c r="A460" s="30">
        <f>A452</f>
        <v>46398</v>
      </c>
      <c r="B460" s="31" t="s">
        <v>82</v>
      </c>
      <c r="C460" s="31" t="s">
        <v>40</v>
      </c>
      <c r="D460" s="32" t="s">
        <v>41</v>
      </c>
      <c r="E460" s="33"/>
      <c r="F460" s="33"/>
      <c r="G460" s="33"/>
      <c r="H460" s="33"/>
      <c r="I460" s="34" t="str">
        <f t="shared" ref="I460:I472" si="33">COUNTA(E460:G460)&amp;"/3"</f>
        <v>0/3</v>
      </c>
    </row>
    <row r="461" spans="1:9" x14ac:dyDescent="0.25">
      <c r="A461" s="30">
        <f>A452</f>
        <v>46398</v>
      </c>
      <c r="B461" s="31" t="s">
        <v>82</v>
      </c>
      <c r="C461" s="31" t="s">
        <v>42</v>
      </c>
      <c r="D461" s="32" t="s">
        <v>43</v>
      </c>
      <c r="E461" s="33"/>
      <c r="F461" s="33"/>
      <c r="G461" s="33"/>
      <c r="H461" s="33"/>
      <c r="I461" s="34" t="str">
        <f t="shared" si="33"/>
        <v>0/3</v>
      </c>
    </row>
    <row r="462" spans="1:9" x14ac:dyDescent="0.25">
      <c r="A462" s="30">
        <f>A452</f>
        <v>46398</v>
      </c>
      <c r="B462" s="31" t="s">
        <v>82</v>
      </c>
      <c r="C462" s="31" t="s">
        <v>44</v>
      </c>
      <c r="D462" s="32" t="s">
        <v>45</v>
      </c>
      <c r="E462" s="33"/>
      <c r="F462" s="33"/>
      <c r="G462" s="33"/>
      <c r="H462" s="33"/>
      <c r="I462" s="34" t="str">
        <f t="shared" si="33"/>
        <v>0/3</v>
      </c>
    </row>
    <row r="463" spans="1:9" x14ac:dyDescent="0.25">
      <c r="A463" s="30">
        <f>A452</f>
        <v>46398</v>
      </c>
      <c r="B463" s="31" t="s">
        <v>82</v>
      </c>
      <c r="C463" s="31" t="s">
        <v>46</v>
      </c>
      <c r="D463" s="32" t="s">
        <v>47</v>
      </c>
      <c r="E463" s="33"/>
      <c r="F463" s="33"/>
      <c r="G463" s="33"/>
      <c r="H463" s="33"/>
      <c r="I463" s="34" t="str">
        <f t="shared" si="33"/>
        <v>0/3</v>
      </c>
    </row>
    <row r="464" spans="1:9" x14ac:dyDescent="0.25">
      <c r="A464" s="30">
        <f>A452</f>
        <v>46398</v>
      </c>
      <c r="B464" s="31" t="s">
        <v>82</v>
      </c>
      <c r="C464" s="31" t="s">
        <v>48</v>
      </c>
      <c r="D464" s="32" t="s">
        <v>49</v>
      </c>
      <c r="E464" s="33"/>
      <c r="F464" s="33"/>
      <c r="G464" s="33"/>
      <c r="H464" s="33"/>
      <c r="I464" s="34" t="str">
        <f t="shared" si="33"/>
        <v>0/3</v>
      </c>
    </row>
    <row r="465" spans="1:9" x14ac:dyDescent="0.25">
      <c r="A465" s="30">
        <f>A452</f>
        <v>46398</v>
      </c>
      <c r="B465" s="31" t="s">
        <v>82</v>
      </c>
      <c r="C465" s="31" t="s">
        <v>50</v>
      </c>
      <c r="D465" s="32" t="s">
        <v>51</v>
      </c>
      <c r="E465" s="33"/>
      <c r="F465" s="33"/>
      <c r="G465" s="33"/>
      <c r="H465" s="33"/>
      <c r="I465" s="34" t="str">
        <f t="shared" si="33"/>
        <v>0/3</v>
      </c>
    </row>
    <row r="466" spans="1:9" x14ac:dyDescent="0.25">
      <c r="A466" s="30">
        <f>A452+7</f>
        <v>46405</v>
      </c>
      <c r="B466" s="31" t="s">
        <v>81</v>
      </c>
      <c r="C466" s="31" t="s">
        <v>37</v>
      </c>
      <c r="D466" s="32" t="s">
        <v>39</v>
      </c>
      <c r="E466" s="33"/>
      <c r="F466" s="33"/>
      <c r="G466" s="33"/>
      <c r="H466" s="33"/>
      <c r="I466" s="34" t="str">
        <f t="shared" si="33"/>
        <v>0/3</v>
      </c>
    </row>
    <row r="467" spans="1:9" ht="30" x14ac:dyDescent="0.25">
      <c r="A467" s="30">
        <f>A466</f>
        <v>46405</v>
      </c>
      <c r="B467" s="31" t="s">
        <v>81</v>
      </c>
      <c r="C467" s="31" t="s">
        <v>40</v>
      </c>
      <c r="D467" s="32" t="s">
        <v>41</v>
      </c>
      <c r="E467" s="33"/>
      <c r="F467" s="33"/>
      <c r="G467" s="33"/>
      <c r="H467" s="33"/>
      <c r="I467" s="34" t="str">
        <f t="shared" si="33"/>
        <v>0/3</v>
      </c>
    </row>
    <row r="468" spans="1:9" x14ac:dyDescent="0.25">
      <c r="A468" s="30">
        <f>A466</f>
        <v>46405</v>
      </c>
      <c r="B468" s="31" t="s">
        <v>81</v>
      </c>
      <c r="C468" s="31" t="s">
        <v>42</v>
      </c>
      <c r="D468" s="32" t="s">
        <v>43</v>
      </c>
      <c r="E468" s="33"/>
      <c r="F468" s="33"/>
      <c r="G468" s="33"/>
      <c r="H468" s="33"/>
      <c r="I468" s="34" t="str">
        <f t="shared" si="33"/>
        <v>0/3</v>
      </c>
    </row>
    <row r="469" spans="1:9" x14ac:dyDescent="0.25">
      <c r="A469" s="30">
        <f>A466</f>
        <v>46405</v>
      </c>
      <c r="B469" s="31" t="s">
        <v>81</v>
      </c>
      <c r="C469" s="31" t="s">
        <v>44</v>
      </c>
      <c r="D469" s="32" t="s">
        <v>45</v>
      </c>
      <c r="E469" s="33"/>
      <c r="F469" s="33"/>
      <c r="G469" s="33"/>
      <c r="H469" s="33"/>
      <c r="I469" s="34" t="str">
        <f t="shared" si="33"/>
        <v>0/3</v>
      </c>
    </row>
    <row r="470" spans="1:9" x14ac:dyDescent="0.25">
      <c r="A470" s="30">
        <f>A466</f>
        <v>46405</v>
      </c>
      <c r="B470" s="31" t="s">
        <v>81</v>
      </c>
      <c r="C470" s="31" t="s">
        <v>46</v>
      </c>
      <c r="D470" s="32" t="s">
        <v>47</v>
      </c>
      <c r="E470" s="33"/>
      <c r="F470" s="33"/>
      <c r="G470" s="33"/>
      <c r="H470" s="33"/>
      <c r="I470" s="34" t="str">
        <f t="shared" si="33"/>
        <v>0/3</v>
      </c>
    </row>
    <row r="471" spans="1:9" x14ac:dyDescent="0.25">
      <c r="A471" s="30">
        <f>A466</f>
        <v>46405</v>
      </c>
      <c r="B471" s="31" t="s">
        <v>81</v>
      </c>
      <c r="C471" s="31" t="s">
        <v>48</v>
      </c>
      <c r="D471" s="32" t="s">
        <v>49</v>
      </c>
      <c r="E471" s="33"/>
      <c r="F471" s="33"/>
      <c r="G471" s="33"/>
      <c r="H471" s="33"/>
      <c r="I471" s="34" t="str">
        <f t="shared" si="33"/>
        <v>0/3</v>
      </c>
    </row>
    <row r="472" spans="1:9" x14ac:dyDescent="0.25">
      <c r="A472" s="30">
        <f>A466</f>
        <v>46405</v>
      </c>
      <c r="B472" s="31" t="s">
        <v>81</v>
      </c>
      <c r="C472" s="31" t="s">
        <v>50</v>
      </c>
      <c r="D472" s="32" t="s">
        <v>51</v>
      </c>
      <c r="E472" s="33"/>
      <c r="F472" s="33"/>
      <c r="G472" s="33"/>
      <c r="H472" s="33"/>
      <c r="I472" s="34" t="str">
        <f t="shared" si="33"/>
        <v>0/3</v>
      </c>
    </row>
    <row r="473" spans="1:9" x14ac:dyDescent="0.25">
      <c r="A473" s="30">
        <f>A466</f>
        <v>46405</v>
      </c>
      <c r="B473" s="31" t="s">
        <v>82</v>
      </c>
      <c r="C473" s="31" t="s">
        <v>37</v>
      </c>
      <c r="D473" s="32" t="s">
        <v>39</v>
      </c>
      <c r="E473" s="33"/>
      <c r="F473" s="33"/>
      <c r="G473" s="33"/>
      <c r="H473" s="33"/>
      <c r="I473" s="34" t="str">
        <f>COUNTA(E473:H473)&amp;"/4"</f>
        <v>0/4</v>
      </c>
    </row>
    <row r="474" spans="1:9" ht="30" x14ac:dyDescent="0.25">
      <c r="A474" s="30">
        <f>A466</f>
        <v>46405</v>
      </c>
      <c r="B474" s="31" t="s">
        <v>82</v>
      </c>
      <c r="C474" s="31" t="s">
        <v>40</v>
      </c>
      <c r="D474" s="32" t="s">
        <v>41</v>
      </c>
      <c r="E474" s="33"/>
      <c r="F474" s="33"/>
      <c r="G474" s="33"/>
      <c r="H474" s="33"/>
      <c r="I474" s="34" t="str">
        <f t="shared" ref="I474:I486" si="34">COUNTA(E474:G474)&amp;"/3"</f>
        <v>0/3</v>
      </c>
    </row>
    <row r="475" spans="1:9" x14ac:dyDescent="0.25">
      <c r="A475" s="30">
        <f>A466</f>
        <v>46405</v>
      </c>
      <c r="B475" s="31" t="s">
        <v>82</v>
      </c>
      <c r="C475" s="31" t="s">
        <v>42</v>
      </c>
      <c r="D475" s="32" t="s">
        <v>43</v>
      </c>
      <c r="E475" s="33"/>
      <c r="F475" s="33"/>
      <c r="G475" s="33"/>
      <c r="H475" s="33"/>
      <c r="I475" s="34" t="str">
        <f t="shared" si="34"/>
        <v>0/3</v>
      </c>
    </row>
    <row r="476" spans="1:9" x14ac:dyDescent="0.25">
      <c r="A476" s="30">
        <f>A466</f>
        <v>46405</v>
      </c>
      <c r="B476" s="31" t="s">
        <v>82</v>
      </c>
      <c r="C476" s="31" t="s">
        <v>44</v>
      </c>
      <c r="D476" s="32" t="s">
        <v>45</v>
      </c>
      <c r="E476" s="33"/>
      <c r="F476" s="33"/>
      <c r="G476" s="33"/>
      <c r="H476" s="33"/>
      <c r="I476" s="34" t="str">
        <f t="shared" si="34"/>
        <v>0/3</v>
      </c>
    </row>
    <row r="477" spans="1:9" x14ac:dyDescent="0.25">
      <c r="A477" s="30">
        <f>A466</f>
        <v>46405</v>
      </c>
      <c r="B477" s="31" t="s">
        <v>82</v>
      </c>
      <c r="C477" s="31" t="s">
        <v>46</v>
      </c>
      <c r="D477" s="32" t="s">
        <v>47</v>
      </c>
      <c r="E477" s="33"/>
      <c r="F477" s="33"/>
      <c r="G477" s="33"/>
      <c r="H477" s="33"/>
      <c r="I477" s="34" t="str">
        <f t="shared" si="34"/>
        <v>0/3</v>
      </c>
    </row>
    <row r="478" spans="1:9" x14ac:dyDescent="0.25">
      <c r="A478" s="30">
        <f>A466</f>
        <v>46405</v>
      </c>
      <c r="B478" s="31" t="s">
        <v>82</v>
      </c>
      <c r="C478" s="31" t="s">
        <v>48</v>
      </c>
      <c r="D478" s="32" t="s">
        <v>49</v>
      </c>
      <c r="E478" s="33"/>
      <c r="F478" s="33"/>
      <c r="G478" s="33"/>
      <c r="H478" s="33"/>
      <c r="I478" s="34" t="str">
        <f t="shared" si="34"/>
        <v>0/3</v>
      </c>
    </row>
    <row r="479" spans="1:9" x14ac:dyDescent="0.25">
      <c r="A479" s="30">
        <f>A466</f>
        <v>46405</v>
      </c>
      <c r="B479" s="31" t="s">
        <v>82</v>
      </c>
      <c r="C479" s="31" t="s">
        <v>50</v>
      </c>
      <c r="D479" s="32" t="s">
        <v>51</v>
      </c>
      <c r="E479" s="33"/>
      <c r="F479" s="33"/>
      <c r="G479" s="33"/>
      <c r="H479" s="33"/>
      <c r="I479" s="34" t="str">
        <f t="shared" si="34"/>
        <v>0/3</v>
      </c>
    </row>
    <row r="480" spans="1:9" x14ac:dyDescent="0.25">
      <c r="A480" s="30">
        <f>A466+7</f>
        <v>46412</v>
      </c>
      <c r="B480" s="31" t="s">
        <v>81</v>
      </c>
      <c r="C480" s="31" t="s">
        <v>37</v>
      </c>
      <c r="D480" s="32" t="s">
        <v>39</v>
      </c>
      <c r="E480" s="33"/>
      <c r="F480" s="33"/>
      <c r="G480" s="33"/>
      <c r="H480" s="33"/>
      <c r="I480" s="34" t="str">
        <f t="shared" si="34"/>
        <v>0/3</v>
      </c>
    </row>
    <row r="481" spans="1:9" ht="30" x14ac:dyDescent="0.25">
      <c r="A481" s="30">
        <f>A480</f>
        <v>46412</v>
      </c>
      <c r="B481" s="31" t="s">
        <v>81</v>
      </c>
      <c r="C481" s="31" t="s">
        <v>40</v>
      </c>
      <c r="D481" s="32" t="s">
        <v>41</v>
      </c>
      <c r="E481" s="33"/>
      <c r="F481" s="33"/>
      <c r="G481" s="33"/>
      <c r="H481" s="33"/>
      <c r="I481" s="34" t="str">
        <f t="shared" si="34"/>
        <v>0/3</v>
      </c>
    </row>
    <row r="482" spans="1:9" x14ac:dyDescent="0.25">
      <c r="A482" s="30">
        <f>A480</f>
        <v>46412</v>
      </c>
      <c r="B482" s="31" t="s">
        <v>81</v>
      </c>
      <c r="C482" s="31" t="s">
        <v>42</v>
      </c>
      <c r="D482" s="32" t="s">
        <v>43</v>
      </c>
      <c r="E482" s="33"/>
      <c r="F482" s="33"/>
      <c r="G482" s="33"/>
      <c r="H482" s="33"/>
      <c r="I482" s="34" t="str">
        <f t="shared" si="34"/>
        <v>0/3</v>
      </c>
    </row>
    <row r="483" spans="1:9" x14ac:dyDescent="0.25">
      <c r="A483" s="30">
        <f>A480</f>
        <v>46412</v>
      </c>
      <c r="B483" s="31" t="s">
        <v>81</v>
      </c>
      <c r="C483" s="31" t="s">
        <v>44</v>
      </c>
      <c r="D483" s="32" t="s">
        <v>45</v>
      </c>
      <c r="E483" s="33"/>
      <c r="F483" s="33"/>
      <c r="G483" s="33"/>
      <c r="H483" s="33"/>
      <c r="I483" s="34" t="str">
        <f t="shared" si="34"/>
        <v>0/3</v>
      </c>
    </row>
    <row r="484" spans="1:9" x14ac:dyDescent="0.25">
      <c r="A484" s="30">
        <f>A480</f>
        <v>46412</v>
      </c>
      <c r="B484" s="31" t="s">
        <v>81</v>
      </c>
      <c r="C484" s="31" t="s">
        <v>46</v>
      </c>
      <c r="D484" s="32" t="s">
        <v>47</v>
      </c>
      <c r="E484" s="33"/>
      <c r="F484" s="33"/>
      <c r="G484" s="33"/>
      <c r="H484" s="33"/>
      <c r="I484" s="34" t="str">
        <f t="shared" si="34"/>
        <v>0/3</v>
      </c>
    </row>
    <row r="485" spans="1:9" x14ac:dyDescent="0.25">
      <c r="A485" s="30">
        <f>A480</f>
        <v>46412</v>
      </c>
      <c r="B485" s="31" t="s">
        <v>81</v>
      </c>
      <c r="C485" s="31" t="s">
        <v>48</v>
      </c>
      <c r="D485" s="32" t="s">
        <v>49</v>
      </c>
      <c r="E485" s="33"/>
      <c r="F485" s="33"/>
      <c r="G485" s="33"/>
      <c r="H485" s="33"/>
      <c r="I485" s="34" t="str">
        <f t="shared" si="34"/>
        <v>0/3</v>
      </c>
    </row>
    <row r="486" spans="1:9" x14ac:dyDescent="0.25">
      <c r="A486" s="30">
        <f>A480</f>
        <v>46412</v>
      </c>
      <c r="B486" s="31" t="s">
        <v>81</v>
      </c>
      <c r="C486" s="31" t="s">
        <v>50</v>
      </c>
      <c r="D486" s="32" t="s">
        <v>51</v>
      </c>
      <c r="E486" s="33"/>
      <c r="F486" s="33"/>
      <c r="G486" s="33"/>
      <c r="H486" s="33"/>
      <c r="I486" s="34" t="str">
        <f t="shared" si="34"/>
        <v>0/3</v>
      </c>
    </row>
    <row r="487" spans="1:9" x14ac:dyDescent="0.25">
      <c r="A487" s="30">
        <f>A480</f>
        <v>46412</v>
      </c>
      <c r="B487" s="31" t="s">
        <v>82</v>
      </c>
      <c r="C487" s="31" t="s">
        <v>37</v>
      </c>
      <c r="D487" s="32" t="s">
        <v>39</v>
      </c>
      <c r="E487" s="33"/>
      <c r="F487" s="33"/>
      <c r="G487" s="33"/>
      <c r="H487" s="33"/>
      <c r="I487" s="34" t="str">
        <f>COUNTA(E487:H487)&amp;"/4"</f>
        <v>0/4</v>
      </c>
    </row>
    <row r="488" spans="1:9" ht="30" x14ac:dyDescent="0.25">
      <c r="A488" s="30">
        <f>A480</f>
        <v>46412</v>
      </c>
      <c r="B488" s="31" t="s">
        <v>82</v>
      </c>
      <c r="C488" s="31" t="s">
        <v>40</v>
      </c>
      <c r="D488" s="32" t="s">
        <v>41</v>
      </c>
      <c r="E488" s="33"/>
      <c r="F488" s="33"/>
      <c r="G488" s="33"/>
      <c r="H488" s="33"/>
      <c r="I488" s="34" t="str">
        <f t="shared" ref="I488:I500" si="35">COUNTA(E488:G488)&amp;"/3"</f>
        <v>0/3</v>
      </c>
    </row>
    <row r="489" spans="1:9" x14ac:dyDescent="0.25">
      <c r="A489" s="30">
        <f>A480</f>
        <v>46412</v>
      </c>
      <c r="B489" s="31" t="s">
        <v>82</v>
      </c>
      <c r="C489" s="31" t="s">
        <v>42</v>
      </c>
      <c r="D489" s="32" t="s">
        <v>43</v>
      </c>
      <c r="E489" s="33"/>
      <c r="F489" s="33"/>
      <c r="G489" s="33"/>
      <c r="H489" s="33"/>
      <c r="I489" s="34" t="str">
        <f t="shared" si="35"/>
        <v>0/3</v>
      </c>
    </row>
    <row r="490" spans="1:9" x14ac:dyDescent="0.25">
      <c r="A490" s="30">
        <f>A480</f>
        <v>46412</v>
      </c>
      <c r="B490" s="31" t="s">
        <v>82</v>
      </c>
      <c r="C490" s="31" t="s">
        <v>44</v>
      </c>
      <c r="D490" s="32" t="s">
        <v>45</v>
      </c>
      <c r="E490" s="33"/>
      <c r="F490" s="33"/>
      <c r="G490" s="33"/>
      <c r="H490" s="33"/>
      <c r="I490" s="34" t="str">
        <f t="shared" si="35"/>
        <v>0/3</v>
      </c>
    </row>
    <row r="491" spans="1:9" x14ac:dyDescent="0.25">
      <c r="A491" s="30">
        <f>A480</f>
        <v>46412</v>
      </c>
      <c r="B491" s="31" t="s">
        <v>82</v>
      </c>
      <c r="C491" s="31" t="s">
        <v>46</v>
      </c>
      <c r="D491" s="32" t="s">
        <v>47</v>
      </c>
      <c r="E491" s="33"/>
      <c r="F491" s="33"/>
      <c r="G491" s="33"/>
      <c r="H491" s="33"/>
      <c r="I491" s="34" t="str">
        <f t="shared" si="35"/>
        <v>0/3</v>
      </c>
    </row>
    <row r="492" spans="1:9" x14ac:dyDescent="0.25">
      <c r="A492" s="30">
        <f>A480</f>
        <v>46412</v>
      </c>
      <c r="B492" s="31" t="s">
        <v>82</v>
      </c>
      <c r="C492" s="31" t="s">
        <v>48</v>
      </c>
      <c r="D492" s="32" t="s">
        <v>49</v>
      </c>
      <c r="E492" s="33"/>
      <c r="F492" s="33"/>
      <c r="G492" s="33"/>
      <c r="H492" s="33"/>
      <c r="I492" s="34" t="str">
        <f t="shared" si="35"/>
        <v>0/3</v>
      </c>
    </row>
    <row r="493" spans="1:9" x14ac:dyDescent="0.25">
      <c r="A493" s="30">
        <f>A480</f>
        <v>46412</v>
      </c>
      <c r="B493" s="31" t="s">
        <v>82</v>
      </c>
      <c r="C493" s="31" t="s">
        <v>50</v>
      </c>
      <c r="D493" s="32" t="s">
        <v>51</v>
      </c>
      <c r="E493" s="33"/>
      <c r="F493" s="33"/>
      <c r="G493" s="33"/>
      <c r="H493" s="33"/>
      <c r="I493" s="34" t="str">
        <f t="shared" si="35"/>
        <v>0/3</v>
      </c>
    </row>
    <row r="494" spans="1:9" x14ac:dyDescent="0.25">
      <c r="A494" s="30">
        <f>A480+7</f>
        <v>46419</v>
      </c>
      <c r="B494" s="31" t="s">
        <v>81</v>
      </c>
      <c r="C494" s="31" t="s">
        <v>37</v>
      </c>
      <c r="D494" s="32" t="s">
        <v>39</v>
      </c>
      <c r="E494" s="33"/>
      <c r="F494" s="33"/>
      <c r="G494" s="33"/>
      <c r="H494" s="33"/>
      <c r="I494" s="34" t="str">
        <f t="shared" si="35"/>
        <v>0/3</v>
      </c>
    </row>
    <row r="495" spans="1:9" ht="30" x14ac:dyDescent="0.25">
      <c r="A495" s="30">
        <f>A494</f>
        <v>46419</v>
      </c>
      <c r="B495" s="31" t="s">
        <v>81</v>
      </c>
      <c r="C495" s="31" t="s">
        <v>40</v>
      </c>
      <c r="D495" s="32" t="s">
        <v>41</v>
      </c>
      <c r="E495" s="33"/>
      <c r="F495" s="33"/>
      <c r="G495" s="33"/>
      <c r="H495" s="33"/>
      <c r="I495" s="34" t="str">
        <f t="shared" si="35"/>
        <v>0/3</v>
      </c>
    </row>
    <row r="496" spans="1:9" x14ac:dyDescent="0.25">
      <c r="A496" s="30">
        <f>A494</f>
        <v>46419</v>
      </c>
      <c r="B496" s="31" t="s">
        <v>81</v>
      </c>
      <c r="C496" s="31" t="s">
        <v>42</v>
      </c>
      <c r="D496" s="32" t="s">
        <v>43</v>
      </c>
      <c r="E496" s="33"/>
      <c r="F496" s="33"/>
      <c r="G496" s="33"/>
      <c r="H496" s="33"/>
      <c r="I496" s="34" t="str">
        <f t="shared" si="35"/>
        <v>0/3</v>
      </c>
    </row>
    <row r="497" spans="1:9" x14ac:dyDescent="0.25">
      <c r="A497" s="30">
        <f>A494</f>
        <v>46419</v>
      </c>
      <c r="B497" s="31" t="s">
        <v>81</v>
      </c>
      <c r="C497" s="31" t="s">
        <v>44</v>
      </c>
      <c r="D497" s="32" t="s">
        <v>45</v>
      </c>
      <c r="E497" s="33"/>
      <c r="F497" s="33"/>
      <c r="G497" s="33"/>
      <c r="H497" s="33"/>
      <c r="I497" s="34" t="str">
        <f t="shared" si="35"/>
        <v>0/3</v>
      </c>
    </row>
    <row r="498" spans="1:9" x14ac:dyDescent="0.25">
      <c r="A498" s="30">
        <f>A494</f>
        <v>46419</v>
      </c>
      <c r="B498" s="31" t="s">
        <v>81</v>
      </c>
      <c r="C498" s="31" t="s">
        <v>46</v>
      </c>
      <c r="D498" s="32" t="s">
        <v>47</v>
      </c>
      <c r="E498" s="33"/>
      <c r="F498" s="33"/>
      <c r="G498" s="33"/>
      <c r="H498" s="33"/>
      <c r="I498" s="34" t="str">
        <f t="shared" si="35"/>
        <v>0/3</v>
      </c>
    </row>
    <row r="499" spans="1:9" x14ac:dyDescent="0.25">
      <c r="A499" s="30">
        <f>A494</f>
        <v>46419</v>
      </c>
      <c r="B499" s="31" t="s">
        <v>81</v>
      </c>
      <c r="C499" s="31" t="s">
        <v>48</v>
      </c>
      <c r="D499" s="32" t="s">
        <v>49</v>
      </c>
      <c r="E499" s="33"/>
      <c r="F499" s="33"/>
      <c r="G499" s="33"/>
      <c r="H499" s="33"/>
      <c r="I499" s="34" t="str">
        <f t="shared" si="35"/>
        <v>0/3</v>
      </c>
    </row>
    <row r="500" spans="1:9" x14ac:dyDescent="0.25">
      <c r="A500" s="30">
        <f>A494</f>
        <v>46419</v>
      </c>
      <c r="B500" s="31" t="s">
        <v>81</v>
      </c>
      <c r="C500" s="31" t="s">
        <v>50</v>
      </c>
      <c r="D500" s="32" t="s">
        <v>51</v>
      </c>
      <c r="E500" s="33"/>
      <c r="F500" s="33"/>
      <c r="G500" s="33"/>
      <c r="H500" s="33"/>
      <c r="I500" s="34" t="str">
        <f t="shared" si="35"/>
        <v>0/3</v>
      </c>
    </row>
    <row r="501" spans="1:9" x14ac:dyDescent="0.25">
      <c r="A501" s="30">
        <f>A494</f>
        <v>46419</v>
      </c>
      <c r="B501" s="31" t="s">
        <v>82</v>
      </c>
      <c r="C501" s="31" t="s">
        <v>37</v>
      </c>
      <c r="D501" s="32" t="s">
        <v>39</v>
      </c>
      <c r="E501" s="33"/>
      <c r="F501" s="33"/>
      <c r="G501" s="33"/>
      <c r="H501" s="33"/>
      <c r="I501" s="34" t="str">
        <f>COUNTA(E501:H501)&amp;"/4"</f>
        <v>0/4</v>
      </c>
    </row>
    <row r="502" spans="1:9" ht="30" x14ac:dyDescent="0.25">
      <c r="A502" s="30">
        <f>A494</f>
        <v>46419</v>
      </c>
      <c r="B502" s="31" t="s">
        <v>82</v>
      </c>
      <c r="C502" s="31" t="s">
        <v>40</v>
      </c>
      <c r="D502" s="32" t="s">
        <v>41</v>
      </c>
      <c r="E502" s="33"/>
      <c r="F502" s="33"/>
      <c r="G502" s="33"/>
      <c r="H502" s="33"/>
      <c r="I502" s="34" t="str">
        <f t="shared" ref="I502:I514" si="36">COUNTA(E502:G502)&amp;"/3"</f>
        <v>0/3</v>
      </c>
    </row>
    <row r="503" spans="1:9" x14ac:dyDescent="0.25">
      <c r="A503" s="30">
        <f>A494</f>
        <v>46419</v>
      </c>
      <c r="B503" s="31" t="s">
        <v>82</v>
      </c>
      <c r="C503" s="31" t="s">
        <v>42</v>
      </c>
      <c r="D503" s="32" t="s">
        <v>43</v>
      </c>
      <c r="E503" s="33"/>
      <c r="F503" s="33"/>
      <c r="G503" s="33"/>
      <c r="H503" s="33"/>
      <c r="I503" s="34" t="str">
        <f t="shared" si="36"/>
        <v>0/3</v>
      </c>
    </row>
    <row r="504" spans="1:9" x14ac:dyDescent="0.25">
      <c r="A504" s="30">
        <f>A494</f>
        <v>46419</v>
      </c>
      <c r="B504" s="31" t="s">
        <v>82</v>
      </c>
      <c r="C504" s="31" t="s">
        <v>44</v>
      </c>
      <c r="D504" s="32" t="s">
        <v>45</v>
      </c>
      <c r="E504" s="33"/>
      <c r="F504" s="33"/>
      <c r="G504" s="33"/>
      <c r="H504" s="33"/>
      <c r="I504" s="34" t="str">
        <f t="shared" si="36"/>
        <v>0/3</v>
      </c>
    </row>
    <row r="505" spans="1:9" x14ac:dyDescent="0.25">
      <c r="A505" s="30">
        <f>A494</f>
        <v>46419</v>
      </c>
      <c r="B505" s="31" t="s">
        <v>82</v>
      </c>
      <c r="C505" s="31" t="s">
        <v>46</v>
      </c>
      <c r="D505" s="32" t="s">
        <v>47</v>
      </c>
      <c r="E505" s="33"/>
      <c r="F505" s="33"/>
      <c r="G505" s="33"/>
      <c r="H505" s="33"/>
      <c r="I505" s="34" t="str">
        <f t="shared" si="36"/>
        <v>0/3</v>
      </c>
    </row>
    <row r="506" spans="1:9" x14ac:dyDescent="0.25">
      <c r="A506" s="30">
        <f>A494</f>
        <v>46419</v>
      </c>
      <c r="B506" s="31" t="s">
        <v>82</v>
      </c>
      <c r="C506" s="31" t="s">
        <v>48</v>
      </c>
      <c r="D506" s="32" t="s">
        <v>49</v>
      </c>
      <c r="E506" s="33"/>
      <c r="F506" s="33"/>
      <c r="G506" s="33"/>
      <c r="H506" s="33"/>
      <c r="I506" s="34" t="str">
        <f t="shared" si="36"/>
        <v>0/3</v>
      </c>
    </row>
    <row r="507" spans="1:9" x14ac:dyDescent="0.25">
      <c r="A507" s="30">
        <f>A494</f>
        <v>46419</v>
      </c>
      <c r="B507" s="31" t="s">
        <v>82</v>
      </c>
      <c r="C507" s="31" t="s">
        <v>50</v>
      </c>
      <c r="D507" s="32" t="s">
        <v>51</v>
      </c>
      <c r="E507" s="33"/>
      <c r="F507" s="33"/>
      <c r="G507" s="33"/>
      <c r="H507" s="33"/>
      <c r="I507" s="34" t="str">
        <f t="shared" si="36"/>
        <v>0/3</v>
      </c>
    </row>
    <row r="508" spans="1:9" x14ac:dyDescent="0.25">
      <c r="A508" s="30">
        <f>A494+7</f>
        <v>46426</v>
      </c>
      <c r="B508" s="31" t="s">
        <v>81</v>
      </c>
      <c r="C508" s="31" t="s">
        <v>37</v>
      </c>
      <c r="D508" s="32" t="s">
        <v>39</v>
      </c>
      <c r="E508" s="33"/>
      <c r="F508" s="33"/>
      <c r="G508" s="33"/>
      <c r="H508" s="33"/>
      <c r="I508" s="34" t="str">
        <f t="shared" si="36"/>
        <v>0/3</v>
      </c>
    </row>
    <row r="509" spans="1:9" ht="30" x14ac:dyDescent="0.25">
      <c r="A509" s="30">
        <f>A508</f>
        <v>46426</v>
      </c>
      <c r="B509" s="31" t="s">
        <v>81</v>
      </c>
      <c r="C509" s="31" t="s">
        <v>40</v>
      </c>
      <c r="D509" s="32" t="s">
        <v>41</v>
      </c>
      <c r="E509" s="33"/>
      <c r="F509" s="33"/>
      <c r="G509" s="33"/>
      <c r="H509" s="33"/>
      <c r="I509" s="34" t="str">
        <f t="shared" si="36"/>
        <v>0/3</v>
      </c>
    </row>
    <row r="510" spans="1:9" x14ac:dyDescent="0.25">
      <c r="A510" s="30">
        <f>A508</f>
        <v>46426</v>
      </c>
      <c r="B510" s="31" t="s">
        <v>81</v>
      </c>
      <c r="C510" s="31" t="s">
        <v>42</v>
      </c>
      <c r="D510" s="32" t="s">
        <v>43</v>
      </c>
      <c r="E510" s="33"/>
      <c r="F510" s="33"/>
      <c r="G510" s="33"/>
      <c r="H510" s="33"/>
      <c r="I510" s="34" t="str">
        <f t="shared" si="36"/>
        <v>0/3</v>
      </c>
    </row>
    <row r="511" spans="1:9" x14ac:dyDescent="0.25">
      <c r="A511" s="30">
        <f>A508</f>
        <v>46426</v>
      </c>
      <c r="B511" s="31" t="s">
        <v>81</v>
      </c>
      <c r="C511" s="31" t="s">
        <v>44</v>
      </c>
      <c r="D511" s="32" t="s">
        <v>45</v>
      </c>
      <c r="E511" s="33"/>
      <c r="F511" s="33"/>
      <c r="G511" s="33"/>
      <c r="H511" s="33"/>
      <c r="I511" s="34" t="str">
        <f t="shared" si="36"/>
        <v>0/3</v>
      </c>
    </row>
    <row r="512" spans="1:9" x14ac:dyDescent="0.25">
      <c r="A512" s="30">
        <f>A508</f>
        <v>46426</v>
      </c>
      <c r="B512" s="31" t="s">
        <v>81</v>
      </c>
      <c r="C512" s="31" t="s">
        <v>46</v>
      </c>
      <c r="D512" s="32" t="s">
        <v>47</v>
      </c>
      <c r="E512" s="33"/>
      <c r="F512" s="33"/>
      <c r="G512" s="33"/>
      <c r="H512" s="33"/>
      <c r="I512" s="34" t="str">
        <f t="shared" si="36"/>
        <v>0/3</v>
      </c>
    </row>
    <row r="513" spans="1:9" x14ac:dyDescent="0.25">
      <c r="A513" s="30">
        <f>A508</f>
        <v>46426</v>
      </c>
      <c r="B513" s="31" t="s">
        <v>81</v>
      </c>
      <c r="C513" s="31" t="s">
        <v>48</v>
      </c>
      <c r="D513" s="32" t="s">
        <v>49</v>
      </c>
      <c r="E513" s="33"/>
      <c r="F513" s="33"/>
      <c r="G513" s="33"/>
      <c r="H513" s="33"/>
      <c r="I513" s="34" t="str">
        <f t="shared" si="36"/>
        <v>0/3</v>
      </c>
    </row>
    <row r="514" spans="1:9" x14ac:dyDescent="0.25">
      <c r="A514" s="30">
        <f>A508</f>
        <v>46426</v>
      </c>
      <c r="B514" s="31" t="s">
        <v>81</v>
      </c>
      <c r="C514" s="31" t="s">
        <v>50</v>
      </c>
      <c r="D514" s="32" t="s">
        <v>51</v>
      </c>
      <c r="E514" s="33"/>
      <c r="F514" s="33"/>
      <c r="G514" s="33"/>
      <c r="H514" s="33"/>
      <c r="I514" s="34" t="str">
        <f t="shared" si="36"/>
        <v>0/3</v>
      </c>
    </row>
    <row r="515" spans="1:9" x14ac:dyDescent="0.25">
      <c r="A515" s="30">
        <f>A508</f>
        <v>46426</v>
      </c>
      <c r="B515" s="31" t="s">
        <v>82</v>
      </c>
      <c r="C515" s="31" t="s">
        <v>37</v>
      </c>
      <c r="D515" s="32" t="s">
        <v>39</v>
      </c>
      <c r="E515" s="33"/>
      <c r="F515" s="33"/>
      <c r="G515" s="33"/>
      <c r="H515" s="33"/>
      <c r="I515" s="34" t="str">
        <f>COUNTA(E515:H515)&amp;"/4"</f>
        <v>0/4</v>
      </c>
    </row>
    <row r="516" spans="1:9" ht="30" x14ac:dyDescent="0.25">
      <c r="A516" s="30">
        <f>A508</f>
        <v>46426</v>
      </c>
      <c r="B516" s="31" t="s">
        <v>82</v>
      </c>
      <c r="C516" s="31" t="s">
        <v>40</v>
      </c>
      <c r="D516" s="32" t="s">
        <v>41</v>
      </c>
      <c r="E516" s="33"/>
      <c r="F516" s="33"/>
      <c r="G516" s="33"/>
      <c r="H516" s="33"/>
      <c r="I516" s="34" t="str">
        <f t="shared" ref="I516:I528" si="37">COUNTA(E516:G516)&amp;"/3"</f>
        <v>0/3</v>
      </c>
    </row>
    <row r="517" spans="1:9" x14ac:dyDescent="0.25">
      <c r="A517" s="30">
        <f>A508</f>
        <v>46426</v>
      </c>
      <c r="B517" s="31" t="s">
        <v>82</v>
      </c>
      <c r="C517" s="31" t="s">
        <v>42</v>
      </c>
      <c r="D517" s="32" t="s">
        <v>43</v>
      </c>
      <c r="E517" s="33"/>
      <c r="F517" s="33"/>
      <c r="G517" s="33"/>
      <c r="H517" s="33"/>
      <c r="I517" s="34" t="str">
        <f t="shared" si="37"/>
        <v>0/3</v>
      </c>
    </row>
    <row r="518" spans="1:9" x14ac:dyDescent="0.25">
      <c r="A518" s="30">
        <f>A508</f>
        <v>46426</v>
      </c>
      <c r="B518" s="31" t="s">
        <v>82</v>
      </c>
      <c r="C518" s="31" t="s">
        <v>44</v>
      </c>
      <c r="D518" s="32" t="s">
        <v>45</v>
      </c>
      <c r="E518" s="33"/>
      <c r="F518" s="33"/>
      <c r="G518" s="33"/>
      <c r="H518" s="33"/>
      <c r="I518" s="34" t="str">
        <f t="shared" si="37"/>
        <v>0/3</v>
      </c>
    </row>
    <row r="519" spans="1:9" x14ac:dyDescent="0.25">
      <c r="A519" s="30">
        <f>A508</f>
        <v>46426</v>
      </c>
      <c r="B519" s="31" t="s">
        <v>82</v>
      </c>
      <c r="C519" s="31" t="s">
        <v>46</v>
      </c>
      <c r="D519" s="32" t="s">
        <v>47</v>
      </c>
      <c r="E519" s="33"/>
      <c r="F519" s="33"/>
      <c r="G519" s="33"/>
      <c r="H519" s="33"/>
      <c r="I519" s="34" t="str">
        <f t="shared" si="37"/>
        <v>0/3</v>
      </c>
    </row>
    <row r="520" spans="1:9" x14ac:dyDescent="0.25">
      <c r="A520" s="30">
        <f>A508</f>
        <v>46426</v>
      </c>
      <c r="B520" s="31" t="s">
        <v>82</v>
      </c>
      <c r="C520" s="31" t="s">
        <v>48</v>
      </c>
      <c r="D520" s="32" t="s">
        <v>49</v>
      </c>
      <c r="E520" s="33"/>
      <c r="F520" s="33"/>
      <c r="G520" s="33"/>
      <c r="H520" s="33"/>
      <c r="I520" s="34" t="str">
        <f t="shared" si="37"/>
        <v>0/3</v>
      </c>
    </row>
    <row r="521" spans="1:9" x14ac:dyDescent="0.25">
      <c r="A521" s="30">
        <f>A508</f>
        <v>46426</v>
      </c>
      <c r="B521" s="31" t="s">
        <v>82</v>
      </c>
      <c r="C521" s="31" t="s">
        <v>50</v>
      </c>
      <c r="D521" s="32" t="s">
        <v>51</v>
      </c>
      <c r="E521" s="33"/>
      <c r="F521" s="33"/>
      <c r="G521" s="33"/>
      <c r="H521" s="33"/>
      <c r="I521" s="34" t="str">
        <f t="shared" si="37"/>
        <v>0/3</v>
      </c>
    </row>
    <row r="522" spans="1:9" x14ac:dyDescent="0.25">
      <c r="A522" s="30">
        <f>A508+7</f>
        <v>46433</v>
      </c>
      <c r="B522" s="31" t="s">
        <v>81</v>
      </c>
      <c r="C522" s="31" t="s">
        <v>37</v>
      </c>
      <c r="D522" s="32" t="s">
        <v>39</v>
      </c>
      <c r="E522" s="33"/>
      <c r="F522" s="33"/>
      <c r="G522" s="33"/>
      <c r="H522" s="33"/>
      <c r="I522" s="34" t="str">
        <f t="shared" si="37"/>
        <v>0/3</v>
      </c>
    </row>
    <row r="523" spans="1:9" ht="30" x14ac:dyDescent="0.25">
      <c r="A523" s="30">
        <f>A522</f>
        <v>46433</v>
      </c>
      <c r="B523" s="31" t="s">
        <v>81</v>
      </c>
      <c r="C523" s="31" t="s">
        <v>40</v>
      </c>
      <c r="D523" s="32" t="s">
        <v>41</v>
      </c>
      <c r="E523" s="33"/>
      <c r="F523" s="33"/>
      <c r="G523" s="33"/>
      <c r="H523" s="33"/>
      <c r="I523" s="34" t="str">
        <f t="shared" si="37"/>
        <v>0/3</v>
      </c>
    </row>
    <row r="524" spans="1:9" x14ac:dyDescent="0.25">
      <c r="A524" s="30">
        <f>A522</f>
        <v>46433</v>
      </c>
      <c r="B524" s="31" t="s">
        <v>81</v>
      </c>
      <c r="C524" s="31" t="s">
        <v>42</v>
      </c>
      <c r="D524" s="32" t="s">
        <v>43</v>
      </c>
      <c r="E524" s="33"/>
      <c r="F524" s="33"/>
      <c r="G524" s="33"/>
      <c r="H524" s="33"/>
      <c r="I524" s="34" t="str">
        <f t="shared" si="37"/>
        <v>0/3</v>
      </c>
    </row>
    <row r="525" spans="1:9" x14ac:dyDescent="0.25">
      <c r="A525" s="30">
        <f>A522</f>
        <v>46433</v>
      </c>
      <c r="B525" s="31" t="s">
        <v>81</v>
      </c>
      <c r="C525" s="31" t="s">
        <v>44</v>
      </c>
      <c r="D525" s="32" t="s">
        <v>45</v>
      </c>
      <c r="E525" s="33"/>
      <c r="F525" s="33"/>
      <c r="G525" s="33"/>
      <c r="H525" s="33"/>
      <c r="I525" s="34" t="str">
        <f t="shared" si="37"/>
        <v>0/3</v>
      </c>
    </row>
    <row r="526" spans="1:9" x14ac:dyDescent="0.25">
      <c r="A526" s="30">
        <f>A522</f>
        <v>46433</v>
      </c>
      <c r="B526" s="31" t="s">
        <v>81</v>
      </c>
      <c r="C526" s="31" t="s">
        <v>46</v>
      </c>
      <c r="D526" s="32" t="s">
        <v>47</v>
      </c>
      <c r="E526" s="33"/>
      <c r="F526" s="33"/>
      <c r="G526" s="33"/>
      <c r="H526" s="33"/>
      <c r="I526" s="34" t="str">
        <f t="shared" si="37"/>
        <v>0/3</v>
      </c>
    </row>
    <row r="527" spans="1:9" x14ac:dyDescent="0.25">
      <c r="A527" s="30">
        <f>A522</f>
        <v>46433</v>
      </c>
      <c r="B527" s="31" t="s">
        <v>81</v>
      </c>
      <c r="C527" s="31" t="s">
        <v>48</v>
      </c>
      <c r="D527" s="32" t="s">
        <v>49</v>
      </c>
      <c r="E527" s="33"/>
      <c r="F527" s="33"/>
      <c r="G527" s="33"/>
      <c r="H527" s="33"/>
      <c r="I527" s="34" t="str">
        <f t="shared" si="37"/>
        <v>0/3</v>
      </c>
    </row>
    <row r="528" spans="1:9" x14ac:dyDescent="0.25">
      <c r="A528" s="30">
        <f>A522</f>
        <v>46433</v>
      </c>
      <c r="B528" s="31" t="s">
        <v>81</v>
      </c>
      <c r="C528" s="31" t="s">
        <v>50</v>
      </c>
      <c r="D528" s="32" t="s">
        <v>51</v>
      </c>
      <c r="E528" s="33"/>
      <c r="F528" s="33"/>
      <c r="G528" s="33"/>
      <c r="H528" s="33"/>
      <c r="I528" s="34" t="str">
        <f t="shared" si="37"/>
        <v>0/3</v>
      </c>
    </row>
    <row r="529" spans="1:9" x14ac:dyDescent="0.25">
      <c r="A529" s="30">
        <f>A522</f>
        <v>46433</v>
      </c>
      <c r="B529" s="31" t="s">
        <v>82</v>
      </c>
      <c r="C529" s="31" t="s">
        <v>37</v>
      </c>
      <c r="D529" s="32" t="s">
        <v>39</v>
      </c>
      <c r="E529" s="33"/>
      <c r="F529" s="33"/>
      <c r="G529" s="33"/>
      <c r="H529" s="33"/>
      <c r="I529" s="34" t="str">
        <f>COUNTA(E529:H529)&amp;"/4"</f>
        <v>0/4</v>
      </c>
    </row>
    <row r="530" spans="1:9" ht="30" x14ac:dyDescent="0.25">
      <c r="A530" s="30">
        <f>A522</f>
        <v>46433</v>
      </c>
      <c r="B530" s="31" t="s">
        <v>82</v>
      </c>
      <c r="C530" s="31" t="s">
        <v>40</v>
      </c>
      <c r="D530" s="32" t="s">
        <v>41</v>
      </c>
      <c r="E530" s="33"/>
      <c r="F530" s="33"/>
      <c r="G530" s="33"/>
      <c r="H530" s="33"/>
      <c r="I530" s="34" t="str">
        <f t="shared" ref="I530:I542" si="38">COUNTA(E530:G530)&amp;"/3"</f>
        <v>0/3</v>
      </c>
    </row>
    <row r="531" spans="1:9" x14ac:dyDescent="0.25">
      <c r="A531" s="30">
        <f>A522</f>
        <v>46433</v>
      </c>
      <c r="B531" s="31" t="s">
        <v>82</v>
      </c>
      <c r="C531" s="31" t="s">
        <v>42</v>
      </c>
      <c r="D531" s="32" t="s">
        <v>43</v>
      </c>
      <c r="E531" s="33"/>
      <c r="F531" s="33"/>
      <c r="G531" s="33"/>
      <c r="H531" s="33"/>
      <c r="I531" s="34" t="str">
        <f t="shared" si="38"/>
        <v>0/3</v>
      </c>
    </row>
    <row r="532" spans="1:9" x14ac:dyDescent="0.25">
      <c r="A532" s="30">
        <f>A522</f>
        <v>46433</v>
      </c>
      <c r="B532" s="31" t="s">
        <v>82</v>
      </c>
      <c r="C532" s="31" t="s">
        <v>44</v>
      </c>
      <c r="D532" s="32" t="s">
        <v>45</v>
      </c>
      <c r="E532" s="33"/>
      <c r="F532" s="33"/>
      <c r="G532" s="33"/>
      <c r="H532" s="33"/>
      <c r="I532" s="34" t="str">
        <f t="shared" si="38"/>
        <v>0/3</v>
      </c>
    </row>
    <row r="533" spans="1:9" x14ac:dyDescent="0.25">
      <c r="A533" s="30">
        <f>A522</f>
        <v>46433</v>
      </c>
      <c r="B533" s="31" t="s">
        <v>82</v>
      </c>
      <c r="C533" s="31" t="s">
        <v>46</v>
      </c>
      <c r="D533" s="32" t="s">
        <v>47</v>
      </c>
      <c r="E533" s="33"/>
      <c r="F533" s="33"/>
      <c r="G533" s="33"/>
      <c r="H533" s="33"/>
      <c r="I533" s="34" t="str">
        <f t="shared" si="38"/>
        <v>0/3</v>
      </c>
    </row>
    <row r="534" spans="1:9" x14ac:dyDescent="0.25">
      <c r="A534" s="30">
        <f>A522</f>
        <v>46433</v>
      </c>
      <c r="B534" s="31" t="s">
        <v>82</v>
      </c>
      <c r="C534" s="31" t="s">
        <v>48</v>
      </c>
      <c r="D534" s="32" t="s">
        <v>49</v>
      </c>
      <c r="E534" s="33"/>
      <c r="F534" s="33"/>
      <c r="G534" s="33"/>
      <c r="H534" s="33"/>
      <c r="I534" s="34" t="str">
        <f t="shared" si="38"/>
        <v>0/3</v>
      </c>
    </row>
    <row r="535" spans="1:9" x14ac:dyDescent="0.25">
      <c r="A535" s="30">
        <f>A522</f>
        <v>46433</v>
      </c>
      <c r="B535" s="31" t="s">
        <v>82</v>
      </c>
      <c r="C535" s="31" t="s">
        <v>50</v>
      </c>
      <c r="D535" s="32" t="s">
        <v>51</v>
      </c>
      <c r="E535" s="33"/>
      <c r="F535" s="33"/>
      <c r="G535" s="33"/>
      <c r="H535" s="33"/>
      <c r="I535" s="34" t="str">
        <f t="shared" si="38"/>
        <v>0/3</v>
      </c>
    </row>
    <row r="536" spans="1:9" x14ac:dyDescent="0.25">
      <c r="A536" s="30">
        <f>A522+7</f>
        <v>46440</v>
      </c>
      <c r="B536" s="31" t="s">
        <v>81</v>
      </c>
      <c r="C536" s="31" t="s">
        <v>37</v>
      </c>
      <c r="D536" s="32" t="s">
        <v>39</v>
      </c>
      <c r="E536" s="33"/>
      <c r="F536" s="33"/>
      <c r="G536" s="33"/>
      <c r="H536" s="33"/>
      <c r="I536" s="34" t="str">
        <f t="shared" si="38"/>
        <v>0/3</v>
      </c>
    </row>
    <row r="537" spans="1:9" ht="30" x14ac:dyDescent="0.25">
      <c r="A537" s="30">
        <f>A536</f>
        <v>46440</v>
      </c>
      <c r="B537" s="31" t="s">
        <v>81</v>
      </c>
      <c r="C537" s="31" t="s">
        <v>40</v>
      </c>
      <c r="D537" s="32" t="s">
        <v>41</v>
      </c>
      <c r="E537" s="33"/>
      <c r="F537" s="33"/>
      <c r="G537" s="33"/>
      <c r="H537" s="33"/>
      <c r="I537" s="34" t="str">
        <f t="shared" si="38"/>
        <v>0/3</v>
      </c>
    </row>
    <row r="538" spans="1:9" x14ac:dyDescent="0.25">
      <c r="A538" s="30">
        <f>A536</f>
        <v>46440</v>
      </c>
      <c r="B538" s="31" t="s">
        <v>81</v>
      </c>
      <c r="C538" s="31" t="s">
        <v>42</v>
      </c>
      <c r="D538" s="32" t="s">
        <v>43</v>
      </c>
      <c r="E538" s="33"/>
      <c r="F538" s="33"/>
      <c r="G538" s="33"/>
      <c r="H538" s="33"/>
      <c r="I538" s="34" t="str">
        <f t="shared" si="38"/>
        <v>0/3</v>
      </c>
    </row>
    <row r="539" spans="1:9" x14ac:dyDescent="0.25">
      <c r="A539" s="30">
        <f>A536</f>
        <v>46440</v>
      </c>
      <c r="B539" s="31" t="s">
        <v>81</v>
      </c>
      <c r="C539" s="31" t="s">
        <v>44</v>
      </c>
      <c r="D539" s="32" t="s">
        <v>45</v>
      </c>
      <c r="E539" s="33"/>
      <c r="F539" s="33"/>
      <c r="G539" s="33"/>
      <c r="H539" s="33"/>
      <c r="I539" s="34" t="str">
        <f t="shared" si="38"/>
        <v>0/3</v>
      </c>
    </row>
    <row r="540" spans="1:9" x14ac:dyDescent="0.25">
      <c r="A540" s="30">
        <f>A536</f>
        <v>46440</v>
      </c>
      <c r="B540" s="31" t="s">
        <v>81</v>
      </c>
      <c r="C540" s="31" t="s">
        <v>46</v>
      </c>
      <c r="D540" s="32" t="s">
        <v>47</v>
      </c>
      <c r="E540" s="33"/>
      <c r="F540" s="33"/>
      <c r="G540" s="33"/>
      <c r="H540" s="33"/>
      <c r="I540" s="34" t="str">
        <f t="shared" si="38"/>
        <v>0/3</v>
      </c>
    </row>
    <row r="541" spans="1:9" x14ac:dyDescent="0.25">
      <c r="A541" s="30">
        <f>A536</f>
        <v>46440</v>
      </c>
      <c r="B541" s="31" t="s">
        <v>81</v>
      </c>
      <c r="C541" s="31" t="s">
        <v>48</v>
      </c>
      <c r="D541" s="32" t="s">
        <v>49</v>
      </c>
      <c r="E541" s="33"/>
      <c r="F541" s="33"/>
      <c r="G541" s="33"/>
      <c r="H541" s="33"/>
      <c r="I541" s="34" t="str">
        <f t="shared" si="38"/>
        <v>0/3</v>
      </c>
    </row>
    <row r="542" spans="1:9" x14ac:dyDescent="0.25">
      <c r="A542" s="30">
        <f>A536</f>
        <v>46440</v>
      </c>
      <c r="B542" s="31" t="s">
        <v>81</v>
      </c>
      <c r="C542" s="31" t="s">
        <v>50</v>
      </c>
      <c r="D542" s="32" t="s">
        <v>51</v>
      </c>
      <c r="E542" s="33"/>
      <c r="F542" s="33"/>
      <c r="G542" s="33"/>
      <c r="H542" s="33"/>
      <c r="I542" s="34" t="str">
        <f t="shared" si="38"/>
        <v>0/3</v>
      </c>
    </row>
    <row r="543" spans="1:9" x14ac:dyDescent="0.25">
      <c r="A543" s="30">
        <f>A536</f>
        <v>46440</v>
      </c>
      <c r="B543" s="31" t="s">
        <v>82</v>
      </c>
      <c r="C543" s="31" t="s">
        <v>37</v>
      </c>
      <c r="D543" s="32" t="s">
        <v>39</v>
      </c>
      <c r="E543" s="33"/>
      <c r="F543" s="33"/>
      <c r="G543" s="33"/>
      <c r="H543" s="33"/>
      <c r="I543" s="34" t="str">
        <f>COUNTA(E543:H543)&amp;"/4"</f>
        <v>0/4</v>
      </c>
    </row>
    <row r="544" spans="1:9" ht="30" x14ac:dyDescent="0.25">
      <c r="A544" s="30">
        <f>A536</f>
        <v>46440</v>
      </c>
      <c r="B544" s="31" t="s">
        <v>82</v>
      </c>
      <c r="C544" s="31" t="s">
        <v>40</v>
      </c>
      <c r="D544" s="32" t="s">
        <v>41</v>
      </c>
      <c r="E544" s="33"/>
      <c r="F544" s="33"/>
      <c r="G544" s="33"/>
      <c r="H544" s="33"/>
      <c r="I544" s="34" t="str">
        <f t="shared" ref="I544:I556" si="39">COUNTA(E544:G544)&amp;"/3"</f>
        <v>0/3</v>
      </c>
    </row>
    <row r="545" spans="1:9" x14ac:dyDescent="0.25">
      <c r="A545" s="30">
        <f>A536</f>
        <v>46440</v>
      </c>
      <c r="B545" s="31" t="s">
        <v>82</v>
      </c>
      <c r="C545" s="31" t="s">
        <v>42</v>
      </c>
      <c r="D545" s="32" t="s">
        <v>43</v>
      </c>
      <c r="E545" s="33"/>
      <c r="F545" s="33"/>
      <c r="G545" s="33"/>
      <c r="H545" s="33"/>
      <c r="I545" s="34" t="str">
        <f t="shared" si="39"/>
        <v>0/3</v>
      </c>
    </row>
    <row r="546" spans="1:9" x14ac:dyDescent="0.25">
      <c r="A546" s="30">
        <f>A536</f>
        <v>46440</v>
      </c>
      <c r="B546" s="31" t="s">
        <v>82</v>
      </c>
      <c r="C546" s="31" t="s">
        <v>44</v>
      </c>
      <c r="D546" s="32" t="s">
        <v>45</v>
      </c>
      <c r="E546" s="33"/>
      <c r="F546" s="33"/>
      <c r="G546" s="33"/>
      <c r="H546" s="33"/>
      <c r="I546" s="34" t="str">
        <f t="shared" si="39"/>
        <v>0/3</v>
      </c>
    </row>
    <row r="547" spans="1:9" x14ac:dyDescent="0.25">
      <c r="A547" s="30">
        <f>A536</f>
        <v>46440</v>
      </c>
      <c r="B547" s="31" t="s">
        <v>82</v>
      </c>
      <c r="C547" s="31" t="s">
        <v>46</v>
      </c>
      <c r="D547" s="32" t="s">
        <v>47</v>
      </c>
      <c r="E547" s="33"/>
      <c r="F547" s="33"/>
      <c r="G547" s="33"/>
      <c r="H547" s="33"/>
      <c r="I547" s="34" t="str">
        <f t="shared" si="39"/>
        <v>0/3</v>
      </c>
    </row>
    <row r="548" spans="1:9" x14ac:dyDescent="0.25">
      <c r="A548" s="30">
        <f>A536</f>
        <v>46440</v>
      </c>
      <c r="B548" s="31" t="s">
        <v>82</v>
      </c>
      <c r="C548" s="31" t="s">
        <v>48</v>
      </c>
      <c r="D548" s="32" t="s">
        <v>49</v>
      </c>
      <c r="E548" s="33"/>
      <c r="F548" s="33"/>
      <c r="G548" s="33"/>
      <c r="H548" s="33"/>
      <c r="I548" s="34" t="str">
        <f t="shared" si="39"/>
        <v>0/3</v>
      </c>
    </row>
    <row r="549" spans="1:9" x14ac:dyDescent="0.25">
      <c r="A549" s="30">
        <f>A536</f>
        <v>46440</v>
      </c>
      <c r="B549" s="31" t="s">
        <v>82</v>
      </c>
      <c r="C549" s="31" t="s">
        <v>50</v>
      </c>
      <c r="D549" s="32" t="s">
        <v>51</v>
      </c>
      <c r="E549" s="33"/>
      <c r="F549" s="33"/>
      <c r="G549" s="33"/>
      <c r="H549" s="33"/>
      <c r="I549" s="34" t="str">
        <f t="shared" si="39"/>
        <v>0/3</v>
      </c>
    </row>
    <row r="550" spans="1:9" x14ac:dyDescent="0.25">
      <c r="A550" s="30">
        <f>A536+7</f>
        <v>46447</v>
      </c>
      <c r="B550" s="31" t="s">
        <v>81</v>
      </c>
      <c r="C550" s="31" t="s">
        <v>37</v>
      </c>
      <c r="D550" s="32" t="s">
        <v>39</v>
      </c>
      <c r="E550" s="33"/>
      <c r="F550" s="33"/>
      <c r="G550" s="33"/>
      <c r="H550" s="33"/>
      <c r="I550" s="34" t="str">
        <f t="shared" si="39"/>
        <v>0/3</v>
      </c>
    </row>
    <row r="551" spans="1:9" ht="30" x14ac:dyDescent="0.25">
      <c r="A551" s="30">
        <f>A550</f>
        <v>46447</v>
      </c>
      <c r="B551" s="31" t="s">
        <v>81</v>
      </c>
      <c r="C551" s="31" t="s">
        <v>40</v>
      </c>
      <c r="D551" s="32" t="s">
        <v>41</v>
      </c>
      <c r="E551" s="33"/>
      <c r="F551" s="33"/>
      <c r="G551" s="33"/>
      <c r="H551" s="33"/>
      <c r="I551" s="34" t="str">
        <f t="shared" si="39"/>
        <v>0/3</v>
      </c>
    </row>
    <row r="552" spans="1:9" x14ac:dyDescent="0.25">
      <c r="A552" s="30">
        <f>A550</f>
        <v>46447</v>
      </c>
      <c r="B552" s="31" t="s">
        <v>81</v>
      </c>
      <c r="C552" s="31" t="s">
        <v>42</v>
      </c>
      <c r="D552" s="32" t="s">
        <v>43</v>
      </c>
      <c r="E552" s="33"/>
      <c r="F552" s="33"/>
      <c r="G552" s="33"/>
      <c r="H552" s="33"/>
      <c r="I552" s="34" t="str">
        <f t="shared" si="39"/>
        <v>0/3</v>
      </c>
    </row>
    <row r="553" spans="1:9" x14ac:dyDescent="0.25">
      <c r="A553" s="30">
        <f>A550</f>
        <v>46447</v>
      </c>
      <c r="B553" s="31" t="s">
        <v>81</v>
      </c>
      <c r="C553" s="31" t="s">
        <v>44</v>
      </c>
      <c r="D553" s="32" t="s">
        <v>45</v>
      </c>
      <c r="E553" s="33"/>
      <c r="F553" s="33"/>
      <c r="G553" s="33"/>
      <c r="H553" s="33"/>
      <c r="I553" s="34" t="str">
        <f t="shared" si="39"/>
        <v>0/3</v>
      </c>
    </row>
    <row r="554" spans="1:9" x14ac:dyDescent="0.25">
      <c r="A554" s="30">
        <f>A550</f>
        <v>46447</v>
      </c>
      <c r="B554" s="31" t="s">
        <v>81</v>
      </c>
      <c r="C554" s="31" t="s">
        <v>46</v>
      </c>
      <c r="D554" s="32" t="s">
        <v>47</v>
      </c>
      <c r="E554" s="33"/>
      <c r="F554" s="33"/>
      <c r="G554" s="33"/>
      <c r="H554" s="33"/>
      <c r="I554" s="34" t="str">
        <f t="shared" si="39"/>
        <v>0/3</v>
      </c>
    </row>
    <row r="555" spans="1:9" x14ac:dyDescent="0.25">
      <c r="A555" s="30">
        <f>A550</f>
        <v>46447</v>
      </c>
      <c r="B555" s="31" t="s">
        <v>81</v>
      </c>
      <c r="C555" s="31" t="s">
        <v>48</v>
      </c>
      <c r="D555" s="32" t="s">
        <v>49</v>
      </c>
      <c r="E555" s="33"/>
      <c r="F555" s="33"/>
      <c r="G555" s="33"/>
      <c r="H555" s="33"/>
      <c r="I555" s="34" t="str">
        <f t="shared" si="39"/>
        <v>0/3</v>
      </c>
    </row>
    <row r="556" spans="1:9" x14ac:dyDescent="0.25">
      <c r="A556" s="30">
        <f>A550</f>
        <v>46447</v>
      </c>
      <c r="B556" s="31" t="s">
        <v>81</v>
      </c>
      <c r="C556" s="31" t="s">
        <v>50</v>
      </c>
      <c r="D556" s="32" t="s">
        <v>51</v>
      </c>
      <c r="E556" s="33"/>
      <c r="F556" s="33"/>
      <c r="G556" s="33"/>
      <c r="H556" s="33"/>
      <c r="I556" s="34" t="str">
        <f t="shared" si="39"/>
        <v>0/3</v>
      </c>
    </row>
    <row r="557" spans="1:9" x14ac:dyDescent="0.25">
      <c r="A557" s="30">
        <f>A550</f>
        <v>46447</v>
      </c>
      <c r="B557" s="31" t="s">
        <v>82</v>
      </c>
      <c r="C557" s="31" t="s">
        <v>37</v>
      </c>
      <c r="D557" s="32" t="s">
        <v>39</v>
      </c>
      <c r="E557" s="33"/>
      <c r="F557" s="33"/>
      <c r="G557" s="33"/>
      <c r="H557" s="33"/>
      <c r="I557" s="34" t="str">
        <f>COUNTA(E557:H557)&amp;"/4"</f>
        <v>0/4</v>
      </c>
    </row>
    <row r="558" spans="1:9" ht="30" x14ac:dyDescent="0.25">
      <c r="A558" s="30">
        <f>A550</f>
        <v>46447</v>
      </c>
      <c r="B558" s="31" t="s">
        <v>82</v>
      </c>
      <c r="C558" s="31" t="s">
        <v>40</v>
      </c>
      <c r="D558" s="32" t="s">
        <v>41</v>
      </c>
      <c r="E558" s="33"/>
      <c r="F558" s="33"/>
      <c r="G558" s="33"/>
      <c r="H558" s="33"/>
      <c r="I558" s="34" t="str">
        <f t="shared" ref="I558:I570" si="40">COUNTA(E558:G558)&amp;"/3"</f>
        <v>0/3</v>
      </c>
    </row>
    <row r="559" spans="1:9" x14ac:dyDescent="0.25">
      <c r="A559" s="30">
        <f>A550</f>
        <v>46447</v>
      </c>
      <c r="B559" s="31" t="s">
        <v>82</v>
      </c>
      <c r="C559" s="31" t="s">
        <v>42</v>
      </c>
      <c r="D559" s="32" t="s">
        <v>43</v>
      </c>
      <c r="E559" s="33"/>
      <c r="F559" s="33"/>
      <c r="G559" s="33"/>
      <c r="H559" s="33"/>
      <c r="I559" s="34" t="str">
        <f t="shared" si="40"/>
        <v>0/3</v>
      </c>
    </row>
    <row r="560" spans="1:9" x14ac:dyDescent="0.25">
      <c r="A560" s="30">
        <f>A550</f>
        <v>46447</v>
      </c>
      <c r="B560" s="31" t="s">
        <v>82</v>
      </c>
      <c r="C560" s="31" t="s">
        <v>44</v>
      </c>
      <c r="D560" s="32" t="s">
        <v>45</v>
      </c>
      <c r="E560" s="33"/>
      <c r="F560" s="33"/>
      <c r="G560" s="33"/>
      <c r="H560" s="33"/>
      <c r="I560" s="34" t="str">
        <f t="shared" si="40"/>
        <v>0/3</v>
      </c>
    </row>
    <row r="561" spans="1:9" x14ac:dyDescent="0.25">
      <c r="A561" s="30">
        <f>A550</f>
        <v>46447</v>
      </c>
      <c r="B561" s="31" t="s">
        <v>82</v>
      </c>
      <c r="C561" s="31" t="s">
        <v>46</v>
      </c>
      <c r="D561" s="32" t="s">
        <v>47</v>
      </c>
      <c r="E561" s="33"/>
      <c r="F561" s="33"/>
      <c r="G561" s="33"/>
      <c r="H561" s="33"/>
      <c r="I561" s="34" t="str">
        <f t="shared" si="40"/>
        <v>0/3</v>
      </c>
    </row>
    <row r="562" spans="1:9" x14ac:dyDescent="0.25">
      <c r="A562" s="30">
        <f>A550</f>
        <v>46447</v>
      </c>
      <c r="B562" s="31" t="s">
        <v>82</v>
      </c>
      <c r="C562" s="31" t="s">
        <v>48</v>
      </c>
      <c r="D562" s="32" t="s">
        <v>49</v>
      </c>
      <c r="E562" s="33"/>
      <c r="F562" s="33"/>
      <c r="G562" s="33"/>
      <c r="H562" s="33"/>
      <c r="I562" s="34" t="str">
        <f t="shared" si="40"/>
        <v>0/3</v>
      </c>
    </row>
    <row r="563" spans="1:9" x14ac:dyDescent="0.25">
      <c r="A563" s="30">
        <f>A550</f>
        <v>46447</v>
      </c>
      <c r="B563" s="31" t="s">
        <v>82</v>
      </c>
      <c r="C563" s="31" t="s">
        <v>50</v>
      </c>
      <c r="D563" s="32" t="s">
        <v>51</v>
      </c>
      <c r="E563" s="33"/>
      <c r="F563" s="33"/>
      <c r="G563" s="33"/>
      <c r="H563" s="33"/>
      <c r="I563" s="34" t="str">
        <f t="shared" si="40"/>
        <v>0/3</v>
      </c>
    </row>
    <row r="564" spans="1:9" x14ac:dyDescent="0.25">
      <c r="A564" s="30">
        <f>A550+7</f>
        <v>46454</v>
      </c>
      <c r="B564" s="31" t="s">
        <v>81</v>
      </c>
      <c r="C564" s="31" t="s">
        <v>37</v>
      </c>
      <c r="D564" s="32" t="s">
        <v>39</v>
      </c>
      <c r="E564" s="33"/>
      <c r="F564" s="33"/>
      <c r="G564" s="33"/>
      <c r="H564" s="33"/>
      <c r="I564" s="34" t="str">
        <f t="shared" si="40"/>
        <v>0/3</v>
      </c>
    </row>
    <row r="565" spans="1:9" ht="30" x14ac:dyDescent="0.25">
      <c r="A565" s="30">
        <f>A564</f>
        <v>46454</v>
      </c>
      <c r="B565" s="31" t="s">
        <v>81</v>
      </c>
      <c r="C565" s="31" t="s">
        <v>40</v>
      </c>
      <c r="D565" s="32" t="s">
        <v>41</v>
      </c>
      <c r="E565" s="33"/>
      <c r="F565" s="33"/>
      <c r="G565" s="33"/>
      <c r="H565" s="33"/>
      <c r="I565" s="34" t="str">
        <f t="shared" si="40"/>
        <v>0/3</v>
      </c>
    </row>
    <row r="566" spans="1:9" x14ac:dyDescent="0.25">
      <c r="A566" s="30">
        <f>A564</f>
        <v>46454</v>
      </c>
      <c r="B566" s="31" t="s">
        <v>81</v>
      </c>
      <c r="C566" s="31" t="s">
        <v>42</v>
      </c>
      <c r="D566" s="32" t="s">
        <v>43</v>
      </c>
      <c r="E566" s="33"/>
      <c r="F566" s="33"/>
      <c r="G566" s="33"/>
      <c r="H566" s="33"/>
      <c r="I566" s="34" t="str">
        <f t="shared" si="40"/>
        <v>0/3</v>
      </c>
    </row>
    <row r="567" spans="1:9" x14ac:dyDescent="0.25">
      <c r="A567" s="30">
        <f>A564</f>
        <v>46454</v>
      </c>
      <c r="B567" s="31" t="s">
        <v>81</v>
      </c>
      <c r="C567" s="31" t="s">
        <v>44</v>
      </c>
      <c r="D567" s="32" t="s">
        <v>45</v>
      </c>
      <c r="E567" s="33"/>
      <c r="F567" s="33"/>
      <c r="G567" s="33"/>
      <c r="H567" s="33"/>
      <c r="I567" s="34" t="str">
        <f t="shared" si="40"/>
        <v>0/3</v>
      </c>
    </row>
    <row r="568" spans="1:9" x14ac:dyDescent="0.25">
      <c r="A568" s="30">
        <f>A564</f>
        <v>46454</v>
      </c>
      <c r="B568" s="31" t="s">
        <v>81</v>
      </c>
      <c r="C568" s="31" t="s">
        <v>46</v>
      </c>
      <c r="D568" s="32" t="s">
        <v>47</v>
      </c>
      <c r="E568" s="33"/>
      <c r="F568" s="33"/>
      <c r="G568" s="33"/>
      <c r="H568" s="33"/>
      <c r="I568" s="34" t="str">
        <f t="shared" si="40"/>
        <v>0/3</v>
      </c>
    </row>
    <row r="569" spans="1:9" x14ac:dyDescent="0.25">
      <c r="A569" s="30">
        <f>A564</f>
        <v>46454</v>
      </c>
      <c r="B569" s="31" t="s">
        <v>81</v>
      </c>
      <c r="C569" s="31" t="s">
        <v>48</v>
      </c>
      <c r="D569" s="32" t="s">
        <v>49</v>
      </c>
      <c r="E569" s="33"/>
      <c r="F569" s="33"/>
      <c r="G569" s="33"/>
      <c r="H569" s="33"/>
      <c r="I569" s="34" t="str">
        <f t="shared" si="40"/>
        <v>0/3</v>
      </c>
    </row>
    <row r="570" spans="1:9" x14ac:dyDescent="0.25">
      <c r="A570" s="30">
        <f>A564</f>
        <v>46454</v>
      </c>
      <c r="B570" s="31" t="s">
        <v>81</v>
      </c>
      <c r="C570" s="31" t="s">
        <v>50</v>
      </c>
      <c r="D570" s="32" t="s">
        <v>51</v>
      </c>
      <c r="E570" s="33"/>
      <c r="F570" s="33"/>
      <c r="G570" s="33"/>
      <c r="H570" s="33"/>
      <c r="I570" s="34" t="str">
        <f t="shared" si="40"/>
        <v>0/3</v>
      </c>
    </row>
    <row r="571" spans="1:9" x14ac:dyDescent="0.25">
      <c r="A571" s="30">
        <f>A564</f>
        <v>46454</v>
      </c>
      <c r="B571" s="31" t="s">
        <v>82</v>
      </c>
      <c r="C571" s="31" t="s">
        <v>37</v>
      </c>
      <c r="D571" s="32" t="s">
        <v>39</v>
      </c>
      <c r="E571" s="33"/>
      <c r="F571" s="33"/>
      <c r="G571" s="33"/>
      <c r="H571" s="33"/>
      <c r="I571" s="34" t="str">
        <f>COUNTA(E571:H571)&amp;"/4"</f>
        <v>0/4</v>
      </c>
    </row>
    <row r="572" spans="1:9" ht="30" x14ac:dyDescent="0.25">
      <c r="A572" s="30">
        <f>A564</f>
        <v>46454</v>
      </c>
      <c r="B572" s="31" t="s">
        <v>82</v>
      </c>
      <c r="C572" s="31" t="s">
        <v>40</v>
      </c>
      <c r="D572" s="32" t="s">
        <v>41</v>
      </c>
      <c r="E572" s="33"/>
      <c r="F572" s="33"/>
      <c r="G572" s="33"/>
      <c r="H572" s="33"/>
      <c r="I572" s="34" t="str">
        <f t="shared" ref="I572:I584" si="41">COUNTA(E572:G572)&amp;"/3"</f>
        <v>0/3</v>
      </c>
    </row>
    <row r="573" spans="1:9" x14ac:dyDescent="0.25">
      <c r="A573" s="30">
        <f>A564</f>
        <v>46454</v>
      </c>
      <c r="B573" s="31" t="s">
        <v>82</v>
      </c>
      <c r="C573" s="31" t="s">
        <v>42</v>
      </c>
      <c r="D573" s="32" t="s">
        <v>43</v>
      </c>
      <c r="E573" s="33"/>
      <c r="F573" s="33"/>
      <c r="G573" s="33"/>
      <c r="H573" s="33"/>
      <c r="I573" s="34" t="str">
        <f t="shared" si="41"/>
        <v>0/3</v>
      </c>
    </row>
    <row r="574" spans="1:9" x14ac:dyDescent="0.25">
      <c r="A574" s="30">
        <f>A564</f>
        <v>46454</v>
      </c>
      <c r="B574" s="31" t="s">
        <v>82</v>
      </c>
      <c r="C574" s="31" t="s">
        <v>44</v>
      </c>
      <c r="D574" s="32" t="s">
        <v>45</v>
      </c>
      <c r="E574" s="33"/>
      <c r="F574" s="33"/>
      <c r="G574" s="33"/>
      <c r="H574" s="33"/>
      <c r="I574" s="34" t="str">
        <f t="shared" si="41"/>
        <v>0/3</v>
      </c>
    </row>
    <row r="575" spans="1:9" x14ac:dyDescent="0.25">
      <c r="A575" s="30">
        <f>A564</f>
        <v>46454</v>
      </c>
      <c r="B575" s="31" t="s">
        <v>82</v>
      </c>
      <c r="C575" s="31" t="s">
        <v>46</v>
      </c>
      <c r="D575" s="32" t="s">
        <v>47</v>
      </c>
      <c r="E575" s="33"/>
      <c r="F575" s="33"/>
      <c r="G575" s="33"/>
      <c r="H575" s="33"/>
      <c r="I575" s="34" t="str">
        <f t="shared" si="41"/>
        <v>0/3</v>
      </c>
    </row>
    <row r="576" spans="1:9" x14ac:dyDescent="0.25">
      <c r="A576" s="30">
        <f>A564</f>
        <v>46454</v>
      </c>
      <c r="B576" s="31" t="s">
        <v>82</v>
      </c>
      <c r="C576" s="31" t="s">
        <v>48</v>
      </c>
      <c r="D576" s="32" t="s">
        <v>49</v>
      </c>
      <c r="E576" s="33"/>
      <c r="F576" s="33"/>
      <c r="G576" s="33"/>
      <c r="H576" s="33"/>
      <c r="I576" s="34" t="str">
        <f t="shared" si="41"/>
        <v>0/3</v>
      </c>
    </row>
    <row r="577" spans="1:9" x14ac:dyDescent="0.25">
      <c r="A577" s="30">
        <f>A564</f>
        <v>46454</v>
      </c>
      <c r="B577" s="31" t="s">
        <v>82</v>
      </c>
      <c r="C577" s="31" t="s">
        <v>50</v>
      </c>
      <c r="D577" s="32" t="s">
        <v>51</v>
      </c>
      <c r="E577" s="33"/>
      <c r="F577" s="33"/>
      <c r="G577" s="33"/>
      <c r="H577" s="33"/>
      <c r="I577" s="34" t="str">
        <f t="shared" si="41"/>
        <v>0/3</v>
      </c>
    </row>
    <row r="578" spans="1:9" x14ac:dyDescent="0.25">
      <c r="A578" s="30">
        <f>A564+7</f>
        <v>46461</v>
      </c>
      <c r="B578" s="31" t="s">
        <v>81</v>
      </c>
      <c r="C578" s="31" t="s">
        <v>37</v>
      </c>
      <c r="D578" s="32" t="s">
        <v>39</v>
      </c>
      <c r="E578" s="33"/>
      <c r="F578" s="33"/>
      <c r="G578" s="33"/>
      <c r="H578" s="33"/>
      <c r="I578" s="34" t="str">
        <f t="shared" si="41"/>
        <v>0/3</v>
      </c>
    </row>
    <row r="579" spans="1:9" ht="30" x14ac:dyDescent="0.25">
      <c r="A579" s="30">
        <f>A578</f>
        <v>46461</v>
      </c>
      <c r="B579" s="31" t="s">
        <v>81</v>
      </c>
      <c r="C579" s="31" t="s">
        <v>40</v>
      </c>
      <c r="D579" s="32" t="s">
        <v>41</v>
      </c>
      <c r="E579" s="33"/>
      <c r="F579" s="33"/>
      <c r="G579" s="33"/>
      <c r="H579" s="33"/>
      <c r="I579" s="34" t="str">
        <f t="shared" si="41"/>
        <v>0/3</v>
      </c>
    </row>
    <row r="580" spans="1:9" x14ac:dyDescent="0.25">
      <c r="A580" s="30">
        <f>A578</f>
        <v>46461</v>
      </c>
      <c r="B580" s="31" t="s">
        <v>81</v>
      </c>
      <c r="C580" s="31" t="s">
        <v>42</v>
      </c>
      <c r="D580" s="32" t="s">
        <v>43</v>
      </c>
      <c r="E580" s="33"/>
      <c r="F580" s="33"/>
      <c r="G580" s="33"/>
      <c r="H580" s="33"/>
      <c r="I580" s="34" t="str">
        <f t="shared" si="41"/>
        <v>0/3</v>
      </c>
    </row>
    <row r="581" spans="1:9" x14ac:dyDescent="0.25">
      <c r="A581" s="30">
        <f>A578</f>
        <v>46461</v>
      </c>
      <c r="B581" s="31" t="s">
        <v>81</v>
      </c>
      <c r="C581" s="31" t="s">
        <v>44</v>
      </c>
      <c r="D581" s="32" t="s">
        <v>45</v>
      </c>
      <c r="E581" s="33"/>
      <c r="F581" s="33"/>
      <c r="G581" s="33"/>
      <c r="H581" s="33"/>
      <c r="I581" s="34" t="str">
        <f t="shared" si="41"/>
        <v>0/3</v>
      </c>
    </row>
    <row r="582" spans="1:9" x14ac:dyDescent="0.25">
      <c r="A582" s="30">
        <f>A578</f>
        <v>46461</v>
      </c>
      <c r="B582" s="31" t="s">
        <v>81</v>
      </c>
      <c r="C582" s="31" t="s">
        <v>46</v>
      </c>
      <c r="D582" s="32" t="s">
        <v>47</v>
      </c>
      <c r="E582" s="33"/>
      <c r="F582" s="33"/>
      <c r="G582" s="33"/>
      <c r="H582" s="33"/>
      <c r="I582" s="34" t="str">
        <f t="shared" si="41"/>
        <v>0/3</v>
      </c>
    </row>
    <row r="583" spans="1:9" x14ac:dyDescent="0.25">
      <c r="A583" s="30">
        <f>A578</f>
        <v>46461</v>
      </c>
      <c r="B583" s="31" t="s">
        <v>81</v>
      </c>
      <c r="C583" s="31" t="s">
        <v>48</v>
      </c>
      <c r="D583" s="32" t="s">
        <v>49</v>
      </c>
      <c r="E583" s="33"/>
      <c r="F583" s="33"/>
      <c r="G583" s="33"/>
      <c r="H583" s="33"/>
      <c r="I583" s="34" t="str">
        <f t="shared" si="41"/>
        <v>0/3</v>
      </c>
    </row>
    <row r="584" spans="1:9" x14ac:dyDescent="0.25">
      <c r="A584" s="30">
        <f>A578</f>
        <v>46461</v>
      </c>
      <c r="B584" s="31" t="s">
        <v>81</v>
      </c>
      <c r="C584" s="31" t="s">
        <v>50</v>
      </c>
      <c r="D584" s="32" t="s">
        <v>51</v>
      </c>
      <c r="E584" s="33"/>
      <c r="F584" s="33"/>
      <c r="G584" s="33"/>
      <c r="H584" s="33"/>
      <c r="I584" s="34" t="str">
        <f t="shared" si="41"/>
        <v>0/3</v>
      </c>
    </row>
    <row r="585" spans="1:9" x14ac:dyDescent="0.25">
      <c r="A585" s="30">
        <f>A578</f>
        <v>46461</v>
      </c>
      <c r="B585" s="31" t="s">
        <v>82</v>
      </c>
      <c r="C585" s="31" t="s">
        <v>37</v>
      </c>
      <c r="D585" s="32" t="s">
        <v>39</v>
      </c>
      <c r="E585" s="33"/>
      <c r="F585" s="33"/>
      <c r="G585" s="33"/>
      <c r="H585" s="33"/>
      <c r="I585" s="34" t="str">
        <f>COUNTA(E585:H585)&amp;"/4"</f>
        <v>0/4</v>
      </c>
    </row>
    <row r="586" spans="1:9" ht="30" x14ac:dyDescent="0.25">
      <c r="A586" s="30">
        <f>A578</f>
        <v>46461</v>
      </c>
      <c r="B586" s="31" t="s">
        <v>82</v>
      </c>
      <c r="C586" s="31" t="s">
        <v>40</v>
      </c>
      <c r="D586" s="32" t="s">
        <v>41</v>
      </c>
      <c r="E586" s="33"/>
      <c r="F586" s="33"/>
      <c r="G586" s="33"/>
      <c r="H586" s="33"/>
      <c r="I586" s="34" t="str">
        <f t="shared" ref="I586:I598" si="42">COUNTA(E586:G586)&amp;"/3"</f>
        <v>0/3</v>
      </c>
    </row>
    <row r="587" spans="1:9" x14ac:dyDescent="0.25">
      <c r="A587" s="30">
        <f>A578</f>
        <v>46461</v>
      </c>
      <c r="B587" s="31" t="s">
        <v>82</v>
      </c>
      <c r="C587" s="31" t="s">
        <v>42</v>
      </c>
      <c r="D587" s="32" t="s">
        <v>43</v>
      </c>
      <c r="E587" s="33"/>
      <c r="F587" s="33"/>
      <c r="G587" s="33"/>
      <c r="H587" s="33"/>
      <c r="I587" s="34" t="str">
        <f t="shared" si="42"/>
        <v>0/3</v>
      </c>
    </row>
    <row r="588" spans="1:9" x14ac:dyDescent="0.25">
      <c r="A588" s="30">
        <f>A578</f>
        <v>46461</v>
      </c>
      <c r="B588" s="31" t="s">
        <v>82</v>
      </c>
      <c r="C588" s="31" t="s">
        <v>44</v>
      </c>
      <c r="D588" s="32" t="s">
        <v>45</v>
      </c>
      <c r="E588" s="33"/>
      <c r="F588" s="33"/>
      <c r="G588" s="33"/>
      <c r="H588" s="33"/>
      <c r="I588" s="34" t="str">
        <f t="shared" si="42"/>
        <v>0/3</v>
      </c>
    </row>
    <row r="589" spans="1:9" x14ac:dyDescent="0.25">
      <c r="A589" s="30">
        <f>A578</f>
        <v>46461</v>
      </c>
      <c r="B589" s="31" t="s">
        <v>82</v>
      </c>
      <c r="C589" s="31" t="s">
        <v>46</v>
      </c>
      <c r="D589" s="32" t="s">
        <v>47</v>
      </c>
      <c r="E589" s="33"/>
      <c r="F589" s="33"/>
      <c r="G589" s="33"/>
      <c r="H589" s="33"/>
      <c r="I589" s="34" t="str">
        <f t="shared" si="42"/>
        <v>0/3</v>
      </c>
    </row>
    <row r="590" spans="1:9" x14ac:dyDescent="0.25">
      <c r="A590" s="30">
        <f>A578</f>
        <v>46461</v>
      </c>
      <c r="B590" s="31" t="s">
        <v>82</v>
      </c>
      <c r="C590" s="31" t="s">
        <v>48</v>
      </c>
      <c r="D590" s="32" t="s">
        <v>49</v>
      </c>
      <c r="E590" s="33"/>
      <c r="F590" s="33"/>
      <c r="G590" s="33"/>
      <c r="H590" s="33"/>
      <c r="I590" s="34" t="str">
        <f t="shared" si="42"/>
        <v>0/3</v>
      </c>
    </row>
    <row r="591" spans="1:9" x14ac:dyDescent="0.25">
      <c r="A591" s="30">
        <f>A578</f>
        <v>46461</v>
      </c>
      <c r="B591" s="31" t="s">
        <v>82</v>
      </c>
      <c r="C591" s="31" t="s">
        <v>50</v>
      </c>
      <c r="D591" s="32" t="s">
        <v>51</v>
      </c>
      <c r="E591" s="33"/>
      <c r="F591" s="33"/>
      <c r="G591" s="33"/>
      <c r="H591" s="33"/>
      <c r="I591" s="34" t="str">
        <f t="shared" si="42"/>
        <v>0/3</v>
      </c>
    </row>
    <row r="592" spans="1:9" x14ac:dyDescent="0.25">
      <c r="A592" s="30">
        <f>A578+7</f>
        <v>46468</v>
      </c>
      <c r="B592" s="31" t="s">
        <v>81</v>
      </c>
      <c r="C592" s="31" t="s">
        <v>37</v>
      </c>
      <c r="D592" s="32" t="s">
        <v>39</v>
      </c>
      <c r="E592" s="33"/>
      <c r="F592" s="33"/>
      <c r="G592" s="33"/>
      <c r="H592" s="33"/>
      <c r="I592" s="34" t="str">
        <f t="shared" si="42"/>
        <v>0/3</v>
      </c>
    </row>
    <row r="593" spans="1:9" ht="30" x14ac:dyDescent="0.25">
      <c r="A593" s="30">
        <f>A592</f>
        <v>46468</v>
      </c>
      <c r="B593" s="31" t="s">
        <v>81</v>
      </c>
      <c r="C593" s="31" t="s">
        <v>40</v>
      </c>
      <c r="D593" s="32" t="s">
        <v>41</v>
      </c>
      <c r="E593" s="33"/>
      <c r="F593" s="33"/>
      <c r="G593" s="33"/>
      <c r="H593" s="33"/>
      <c r="I593" s="34" t="str">
        <f t="shared" si="42"/>
        <v>0/3</v>
      </c>
    </row>
    <row r="594" spans="1:9" x14ac:dyDescent="0.25">
      <c r="A594" s="30">
        <f>A592</f>
        <v>46468</v>
      </c>
      <c r="B594" s="31" t="s">
        <v>81</v>
      </c>
      <c r="C594" s="31" t="s">
        <v>42</v>
      </c>
      <c r="D594" s="32" t="s">
        <v>43</v>
      </c>
      <c r="E594" s="33"/>
      <c r="F594" s="33"/>
      <c r="G594" s="33"/>
      <c r="H594" s="33"/>
      <c r="I594" s="34" t="str">
        <f t="shared" si="42"/>
        <v>0/3</v>
      </c>
    </row>
    <row r="595" spans="1:9" x14ac:dyDescent="0.25">
      <c r="A595" s="30">
        <f>A592</f>
        <v>46468</v>
      </c>
      <c r="B595" s="31" t="s">
        <v>81</v>
      </c>
      <c r="C595" s="31" t="s">
        <v>44</v>
      </c>
      <c r="D595" s="32" t="s">
        <v>45</v>
      </c>
      <c r="E595" s="33"/>
      <c r="F595" s="33"/>
      <c r="G595" s="33"/>
      <c r="H595" s="33"/>
      <c r="I595" s="34" t="str">
        <f t="shared" si="42"/>
        <v>0/3</v>
      </c>
    </row>
    <row r="596" spans="1:9" x14ac:dyDescent="0.25">
      <c r="A596" s="30">
        <f>A592</f>
        <v>46468</v>
      </c>
      <c r="B596" s="31" t="s">
        <v>81</v>
      </c>
      <c r="C596" s="31" t="s">
        <v>46</v>
      </c>
      <c r="D596" s="32" t="s">
        <v>47</v>
      </c>
      <c r="E596" s="33"/>
      <c r="F596" s="33"/>
      <c r="G596" s="33"/>
      <c r="H596" s="33"/>
      <c r="I596" s="34" t="str">
        <f t="shared" si="42"/>
        <v>0/3</v>
      </c>
    </row>
    <row r="597" spans="1:9" x14ac:dyDescent="0.25">
      <c r="A597" s="30">
        <f>A592</f>
        <v>46468</v>
      </c>
      <c r="B597" s="31" t="s">
        <v>81</v>
      </c>
      <c r="C597" s="31" t="s">
        <v>48</v>
      </c>
      <c r="D597" s="32" t="s">
        <v>49</v>
      </c>
      <c r="E597" s="33"/>
      <c r="F597" s="33"/>
      <c r="G597" s="33"/>
      <c r="H597" s="33"/>
      <c r="I597" s="34" t="str">
        <f t="shared" si="42"/>
        <v>0/3</v>
      </c>
    </row>
    <row r="598" spans="1:9" x14ac:dyDescent="0.25">
      <c r="A598" s="30">
        <f>A592</f>
        <v>46468</v>
      </c>
      <c r="B598" s="31" t="s">
        <v>81</v>
      </c>
      <c r="C598" s="31" t="s">
        <v>50</v>
      </c>
      <c r="D598" s="32" t="s">
        <v>51</v>
      </c>
      <c r="E598" s="33"/>
      <c r="F598" s="33"/>
      <c r="G598" s="33"/>
      <c r="H598" s="33"/>
      <c r="I598" s="34" t="str">
        <f t="shared" si="42"/>
        <v>0/3</v>
      </c>
    </row>
    <row r="599" spans="1:9" x14ac:dyDescent="0.25">
      <c r="A599" s="30">
        <f>A592</f>
        <v>46468</v>
      </c>
      <c r="B599" s="31" t="s">
        <v>82</v>
      </c>
      <c r="C599" s="31" t="s">
        <v>37</v>
      </c>
      <c r="D599" s="32" t="s">
        <v>39</v>
      </c>
      <c r="E599" s="33"/>
      <c r="F599" s="33"/>
      <c r="G599" s="33"/>
      <c r="H599" s="33"/>
      <c r="I599" s="34" t="str">
        <f>COUNTA(E599:H599)&amp;"/4"</f>
        <v>0/4</v>
      </c>
    </row>
    <row r="600" spans="1:9" ht="30" x14ac:dyDescent="0.25">
      <c r="A600" s="30">
        <f>A592</f>
        <v>46468</v>
      </c>
      <c r="B600" s="31" t="s">
        <v>82</v>
      </c>
      <c r="C600" s="31" t="s">
        <v>40</v>
      </c>
      <c r="D600" s="32" t="s">
        <v>41</v>
      </c>
      <c r="E600" s="33"/>
      <c r="F600" s="33"/>
      <c r="G600" s="33"/>
      <c r="H600" s="33"/>
      <c r="I600" s="34" t="str">
        <f t="shared" ref="I600:I612" si="43">COUNTA(E600:G600)&amp;"/3"</f>
        <v>0/3</v>
      </c>
    </row>
    <row r="601" spans="1:9" x14ac:dyDescent="0.25">
      <c r="A601" s="30">
        <f>A592</f>
        <v>46468</v>
      </c>
      <c r="B601" s="31" t="s">
        <v>82</v>
      </c>
      <c r="C601" s="31" t="s">
        <v>42</v>
      </c>
      <c r="D601" s="32" t="s">
        <v>43</v>
      </c>
      <c r="E601" s="33"/>
      <c r="F601" s="33"/>
      <c r="G601" s="33"/>
      <c r="H601" s="33"/>
      <c r="I601" s="34" t="str">
        <f t="shared" si="43"/>
        <v>0/3</v>
      </c>
    </row>
    <row r="602" spans="1:9" x14ac:dyDescent="0.25">
      <c r="A602" s="30">
        <f>A592</f>
        <v>46468</v>
      </c>
      <c r="B602" s="31" t="s">
        <v>82</v>
      </c>
      <c r="C602" s="31" t="s">
        <v>44</v>
      </c>
      <c r="D602" s="32" t="s">
        <v>45</v>
      </c>
      <c r="E602" s="33"/>
      <c r="F602" s="33"/>
      <c r="G602" s="33"/>
      <c r="H602" s="33"/>
      <c r="I602" s="34" t="str">
        <f t="shared" si="43"/>
        <v>0/3</v>
      </c>
    </row>
    <row r="603" spans="1:9" x14ac:dyDescent="0.25">
      <c r="A603" s="30">
        <f>A592</f>
        <v>46468</v>
      </c>
      <c r="B603" s="31" t="s">
        <v>82</v>
      </c>
      <c r="C603" s="31" t="s">
        <v>46</v>
      </c>
      <c r="D603" s="32" t="s">
        <v>47</v>
      </c>
      <c r="E603" s="33"/>
      <c r="F603" s="33"/>
      <c r="G603" s="33"/>
      <c r="H603" s="33"/>
      <c r="I603" s="34" t="str">
        <f t="shared" si="43"/>
        <v>0/3</v>
      </c>
    </row>
    <row r="604" spans="1:9" x14ac:dyDescent="0.25">
      <c r="A604" s="30">
        <f>A592</f>
        <v>46468</v>
      </c>
      <c r="B604" s="31" t="s">
        <v>82</v>
      </c>
      <c r="C604" s="31" t="s">
        <v>48</v>
      </c>
      <c r="D604" s="32" t="s">
        <v>49</v>
      </c>
      <c r="E604" s="33"/>
      <c r="F604" s="33"/>
      <c r="G604" s="33"/>
      <c r="H604" s="33"/>
      <c r="I604" s="34" t="str">
        <f t="shared" si="43"/>
        <v>0/3</v>
      </c>
    </row>
    <row r="605" spans="1:9" x14ac:dyDescent="0.25">
      <c r="A605" s="30">
        <f>A592</f>
        <v>46468</v>
      </c>
      <c r="B605" s="31" t="s">
        <v>82</v>
      </c>
      <c r="C605" s="31" t="s">
        <v>50</v>
      </c>
      <c r="D605" s="32" t="s">
        <v>51</v>
      </c>
      <c r="E605" s="33"/>
      <c r="F605" s="33"/>
      <c r="G605" s="33"/>
      <c r="H605" s="33"/>
      <c r="I605" s="34" t="str">
        <f t="shared" si="43"/>
        <v>0/3</v>
      </c>
    </row>
    <row r="606" spans="1:9" x14ac:dyDescent="0.25">
      <c r="A606" s="30">
        <f>A592+7</f>
        <v>46475</v>
      </c>
      <c r="B606" s="31" t="s">
        <v>81</v>
      </c>
      <c r="C606" s="31" t="s">
        <v>37</v>
      </c>
      <c r="D606" s="32" t="s">
        <v>39</v>
      </c>
      <c r="E606" s="33"/>
      <c r="F606" s="33"/>
      <c r="G606" s="33"/>
      <c r="H606" s="33"/>
      <c r="I606" s="34" t="str">
        <f t="shared" si="43"/>
        <v>0/3</v>
      </c>
    </row>
    <row r="607" spans="1:9" ht="30" x14ac:dyDescent="0.25">
      <c r="A607" s="30">
        <f>A606</f>
        <v>46475</v>
      </c>
      <c r="B607" s="31" t="s">
        <v>81</v>
      </c>
      <c r="C607" s="31" t="s">
        <v>40</v>
      </c>
      <c r="D607" s="32" t="s">
        <v>41</v>
      </c>
      <c r="E607" s="33"/>
      <c r="F607" s="33"/>
      <c r="G607" s="33"/>
      <c r="H607" s="33"/>
      <c r="I607" s="34" t="str">
        <f t="shared" si="43"/>
        <v>0/3</v>
      </c>
    </row>
    <row r="608" spans="1:9" x14ac:dyDescent="0.25">
      <c r="A608" s="30">
        <f>A606</f>
        <v>46475</v>
      </c>
      <c r="B608" s="31" t="s">
        <v>81</v>
      </c>
      <c r="C608" s="31" t="s">
        <v>42</v>
      </c>
      <c r="D608" s="32" t="s">
        <v>43</v>
      </c>
      <c r="E608" s="33"/>
      <c r="F608" s="33"/>
      <c r="G608" s="33"/>
      <c r="H608" s="33"/>
      <c r="I608" s="34" t="str">
        <f t="shared" si="43"/>
        <v>0/3</v>
      </c>
    </row>
    <row r="609" spans="1:9" x14ac:dyDescent="0.25">
      <c r="A609" s="30">
        <f>A606</f>
        <v>46475</v>
      </c>
      <c r="B609" s="31" t="s">
        <v>81</v>
      </c>
      <c r="C609" s="31" t="s">
        <v>44</v>
      </c>
      <c r="D609" s="32" t="s">
        <v>45</v>
      </c>
      <c r="E609" s="33"/>
      <c r="F609" s="33"/>
      <c r="G609" s="33"/>
      <c r="H609" s="33"/>
      <c r="I609" s="34" t="str">
        <f t="shared" si="43"/>
        <v>0/3</v>
      </c>
    </row>
    <row r="610" spans="1:9" x14ac:dyDescent="0.25">
      <c r="A610" s="30">
        <f>A606</f>
        <v>46475</v>
      </c>
      <c r="B610" s="31" t="s">
        <v>81</v>
      </c>
      <c r="C610" s="31" t="s">
        <v>46</v>
      </c>
      <c r="D610" s="32" t="s">
        <v>47</v>
      </c>
      <c r="E610" s="33"/>
      <c r="F610" s="33"/>
      <c r="G610" s="33"/>
      <c r="H610" s="33"/>
      <c r="I610" s="34" t="str">
        <f t="shared" si="43"/>
        <v>0/3</v>
      </c>
    </row>
    <row r="611" spans="1:9" x14ac:dyDescent="0.25">
      <c r="A611" s="30">
        <f>A606</f>
        <v>46475</v>
      </c>
      <c r="B611" s="31" t="s">
        <v>81</v>
      </c>
      <c r="C611" s="31" t="s">
        <v>48</v>
      </c>
      <c r="D611" s="32" t="s">
        <v>49</v>
      </c>
      <c r="E611" s="33"/>
      <c r="F611" s="33"/>
      <c r="G611" s="33"/>
      <c r="H611" s="33"/>
      <c r="I611" s="34" t="str">
        <f t="shared" si="43"/>
        <v>0/3</v>
      </c>
    </row>
    <row r="612" spans="1:9" x14ac:dyDescent="0.25">
      <c r="A612" s="30">
        <f>A606</f>
        <v>46475</v>
      </c>
      <c r="B612" s="31" t="s">
        <v>81</v>
      </c>
      <c r="C612" s="31" t="s">
        <v>50</v>
      </c>
      <c r="D612" s="32" t="s">
        <v>51</v>
      </c>
      <c r="E612" s="33"/>
      <c r="F612" s="33"/>
      <c r="G612" s="33"/>
      <c r="H612" s="33"/>
      <c r="I612" s="34" t="str">
        <f t="shared" si="43"/>
        <v>0/3</v>
      </c>
    </row>
    <row r="613" spans="1:9" x14ac:dyDescent="0.25">
      <c r="A613" s="30">
        <f>A606</f>
        <v>46475</v>
      </c>
      <c r="B613" s="31" t="s">
        <v>82</v>
      </c>
      <c r="C613" s="31" t="s">
        <v>37</v>
      </c>
      <c r="D613" s="32" t="s">
        <v>39</v>
      </c>
      <c r="E613" s="33"/>
      <c r="F613" s="33"/>
      <c r="G613" s="33"/>
      <c r="H613" s="33"/>
      <c r="I613" s="34" t="str">
        <f>COUNTA(E613:H613)&amp;"/4"</f>
        <v>0/4</v>
      </c>
    </row>
    <row r="614" spans="1:9" ht="30" x14ac:dyDescent="0.25">
      <c r="A614" s="30">
        <f>A606</f>
        <v>46475</v>
      </c>
      <c r="B614" s="31" t="s">
        <v>82</v>
      </c>
      <c r="C614" s="31" t="s">
        <v>40</v>
      </c>
      <c r="D614" s="32" t="s">
        <v>41</v>
      </c>
      <c r="E614" s="33"/>
      <c r="F614" s="33"/>
      <c r="G614" s="33"/>
      <c r="H614" s="33"/>
      <c r="I614" s="34" t="str">
        <f t="shared" ref="I614:I626" si="44">COUNTA(E614:G614)&amp;"/3"</f>
        <v>0/3</v>
      </c>
    </row>
    <row r="615" spans="1:9" x14ac:dyDescent="0.25">
      <c r="A615" s="30">
        <f>A606</f>
        <v>46475</v>
      </c>
      <c r="B615" s="31" t="s">
        <v>82</v>
      </c>
      <c r="C615" s="31" t="s">
        <v>42</v>
      </c>
      <c r="D615" s="32" t="s">
        <v>43</v>
      </c>
      <c r="E615" s="33"/>
      <c r="F615" s="33"/>
      <c r="G615" s="33"/>
      <c r="H615" s="33"/>
      <c r="I615" s="34" t="str">
        <f t="shared" si="44"/>
        <v>0/3</v>
      </c>
    </row>
    <row r="616" spans="1:9" x14ac:dyDescent="0.25">
      <c r="A616" s="30">
        <f>A606</f>
        <v>46475</v>
      </c>
      <c r="B616" s="31" t="s">
        <v>82</v>
      </c>
      <c r="C616" s="31" t="s">
        <v>44</v>
      </c>
      <c r="D616" s="32" t="s">
        <v>45</v>
      </c>
      <c r="E616" s="33"/>
      <c r="F616" s="33"/>
      <c r="G616" s="33"/>
      <c r="H616" s="33"/>
      <c r="I616" s="34" t="str">
        <f t="shared" si="44"/>
        <v>0/3</v>
      </c>
    </row>
    <row r="617" spans="1:9" x14ac:dyDescent="0.25">
      <c r="A617" s="30">
        <f>A606</f>
        <v>46475</v>
      </c>
      <c r="B617" s="31" t="s">
        <v>82</v>
      </c>
      <c r="C617" s="31" t="s">
        <v>46</v>
      </c>
      <c r="D617" s="32" t="s">
        <v>47</v>
      </c>
      <c r="E617" s="33"/>
      <c r="F617" s="33"/>
      <c r="G617" s="33"/>
      <c r="H617" s="33"/>
      <c r="I617" s="34" t="str">
        <f t="shared" si="44"/>
        <v>0/3</v>
      </c>
    </row>
    <row r="618" spans="1:9" x14ac:dyDescent="0.25">
      <c r="A618" s="30">
        <f>A606</f>
        <v>46475</v>
      </c>
      <c r="B618" s="31" t="s">
        <v>82</v>
      </c>
      <c r="C618" s="31" t="s">
        <v>48</v>
      </c>
      <c r="D618" s="32" t="s">
        <v>49</v>
      </c>
      <c r="E618" s="33"/>
      <c r="F618" s="33"/>
      <c r="G618" s="33"/>
      <c r="H618" s="33"/>
      <c r="I618" s="34" t="str">
        <f t="shared" si="44"/>
        <v>0/3</v>
      </c>
    </row>
    <row r="619" spans="1:9" x14ac:dyDescent="0.25">
      <c r="A619" s="30">
        <f>A606</f>
        <v>46475</v>
      </c>
      <c r="B619" s="31" t="s">
        <v>82</v>
      </c>
      <c r="C619" s="31" t="s">
        <v>50</v>
      </c>
      <c r="D619" s="32" t="s">
        <v>51</v>
      </c>
      <c r="E619" s="33"/>
      <c r="F619" s="33"/>
      <c r="G619" s="33"/>
      <c r="H619" s="33"/>
      <c r="I619" s="34" t="str">
        <f t="shared" si="44"/>
        <v>0/3</v>
      </c>
    </row>
    <row r="620" spans="1:9" x14ac:dyDescent="0.25">
      <c r="A620" s="30">
        <f>A606+7</f>
        <v>46482</v>
      </c>
      <c r="B620" s="31" t="s">
        <v>81</v>
      </c>
      <c r="C620" s="31" t="s">
        <v>37</v>
      </c>
      <c r="D620" s="32" t="s">
        <v>39</v>
      </c>
      <c r="E620" s="33"/>
      <c r="F620" s="33"/>
      <c r="G620" s="33"/>
      <c r="H620" s="33"/>
      <c r="I620" s="34" t="str">
        <f t="shared" si="44"/>
        <v>0/3</v>
      </c>
    </row>
    <row r="621" spans="1:9" ht="30" x14ac:dyDescent="0.25">
      <c r="A621" s="30">
        <f>A620</f>
        <v>46482</v>
      </c>
      <c r="B621" s="31" t="s">
        <v>81</v>
      </c>
      <c r="C621" s="31" t="s">
        <v>40</v>
      </c>
      <c r="D621" s="32" t="s">
        <v>41</v>
      </c>
      <c r="E621" s="33"/>
      <c r="F621" s="33"/>
      <c r="G621" s="33"/>
      <c r="H621" s="33"/>
      <c r="I621" s="34" t="str">
        <f t="shared" si="44"/>
        <v>0/3</v>
      </c>
    </row>
    <row r="622" spans="1:9" x14ac:dyDescent="0.25">
      <c r="A622" s="30">
        <f>A620</f>
        <v>46482</v>
      </c>
      <c r="B622" s="31" t="s">
        <v>81</v>
      </c>
      <c r="C622" s="31" t="s">
        <v>42</v>
      </c>
      <c r="D622" s="32" t="s">
        <v>43</v>
      </c>
      <c r="E622" s="33"/>
      <c r="F622" s="33"/>
      <c r="G622" s="33"/>
      <c r="H622" s="33"/>
      <c r="I622" s="34" t="str">
        <f t="shared" si="44"/>
        <v>0/3</v>
      </c>
    </row>
    <row r="623" spans="1:9" x14ac:dyDescent="0.25">
      <c r="A623" s="30">
        <f>A620</f>
        <v>46482</v>
      </c>
      <c r="B623" s="31" t="s">
        <v>81</v>
      </c>
      <c r="C623" s="31" t="s">
        <v>44</v>
      </c>
      <c r="D623" s="32" t="s">
        <v>45</v>
      </c>
      <c r="E623" s="33"/>
      <c r="F623" s="33"/>
      <c r="G623" s="33"/>
      <c r="H623" s="33"/>
      <c r="I623" s="34" t="str">
        <f t="shared" si="44"/>
        <v>0/3</v>
      </c>
    </row>
    <row r="624" spans="1:9" x14ac:dyDescent="0.25">
      <c r="A624" s="30">
        <f>A620</f>
        <v>46482</v>
      </c>
      <c r="B624" s="31" t="s">
        <v>81</v>
      </c>
      <c r="C624" s="31" t="s">
        <v>46</v>
      </c>
      <c r="D624" s="32" t="s">
        <v>47</v>
      </c>
      <c r="E624" s="33"/>
      <c r="F624" s="33"/>
      <c r="G624" s="33"/>
      <c r="H624" s="33"/>
      <c r="I624" s="34" t="str">
        <f t="shared" si="44"/>
        <v>0/3</v>
      </c>
    </row>
    <row r="625" spans="1:9" x14ac:dyDescent="0.25">
      <c r="A625" s="30">
        <f>A620</f>
        <v>46482</v>
      </c>
      <c r="B625" s="31" t="s">
        <v>81</v>
      </c>
      <c r="C625" s="31" t="s">
        <v>48</v>
      </c>
      <c r="D625" s="32" t="s">
        <v>49</v>
      </c>
      <c r="E625" s="33"/>
      <c r="F625" s="33"/>
      <c r="G625" s="33"/>
      <c r="H625" s="33"/>
      <c r="I625" s="34" t="str">
        <f t="shared" si="44"/>
        <v>0/3</v>
      </c>
    </row>
    <row r="626" spans="1:9" x14ac:dyDescent="0.25">
      <c r="A626" s="30">
        <f>A620</f>
        <v>46482</v>
      </c>
      <c r="B626" s="31" t="s">
        <v>81</v>
      </c>
      <c r="C626" s="31" t="s">
        <v>50</v>
      </c>
      <c r="D626" s="32" t="s">
        <v>51</v>
      </c>
      <c r="E626" s="33"/>
      <c r="F626" s="33"/>
      <c r="G626" s="33"/>
      <c r="H626" s="33"/>
      <c r="I626" s="34" t="str">
        <f t="shared" si="44"/>
        <v>0/3</v>
      </c>
    </row>
    <row r="627" spans="1:9" x14ac:dyDescent="0.25">
      <c r="A627" s="30">
        <f>A620</f>
        <v>46482</v>
      </c>
      <c r="B627" s="31" t="s">
        <v>82</v>
      </c>
      <c r="C627" s="31" t="s">
        <v>37</v>
      </c>
      <c r="D627" s="32" t="s">
        <v>39</v>
      </c>
      <c r="E627" s="33"/>
      <c r="F627" s="33"/>
      <c r="G627" s="33"/>
      <c r="H627" s="33"/>
      <c r="I627" s="34" t="str">
        <f>COUNTA(E627:H627)&amp;"/4"</f>
        <v>0/4</v>
      </c>
    </row>
    <row r="628" spans="1:9" ht="30" x14ac:dyDescent="0.25">
      <c r="A628" s="30">
        <f>A620</f>
        <v>46482</v>
      </c>
      <c r="B628" s="31" t="s">
        <v>82</v>
      </c>
      <c r="C628" s="31" t="s">
        <v>40</v>
      </c>
      <c r="D628" s="32" t="s">
        <v>41</v>
      </c>
      <c r="E628" s="33"/>
      <c r="F628" s="33"/>
      <c r="G628" s="33"/>
      <c r="H628" s="33"/>
      <c r="I628" s="34" t="str">
        <f t="shared" ref="I628:I640" si="45">COUNTA(E628:G628)&amp;"/3"</f>
        <v>0/3</v>
      </c>
    </row>
    <row r="629" spans="1:9" x14ac:dyDescent="0.25">
      <c r="A629" s="30">
        <f>A620</f>
        <v>46482</v>
      </c>
      <c r="B629" s="31" t="s">
        <v>82</v>
      </c>
      <c r="C629" s="31" t="s">
        <v>42</v>
      </c>
      <c r="D629" s="32" t="s">
        <v>43</v>
      </c>
      <c r="E629" s="33"/>
      <c r="F629" s="33"/>
      <c r="G629" s="33"/>
      <c r="H629" s="33"/>
      <c r="I629" s="34" t="str">
        <f t="shared" si="45"/>
        <v>0/3</v>
      </c>
    </row>
    <row r="630" spans="1:9" x14ac:dyDescent="0.25">
      <c r="A630" s="30">
        <f>A620</f>
        <v>46482</v>
      </c>
      <c r="B630" s="31" t="s">
        <v>82</v>
      </c>
      <c r="C630" s="31" t="s">
        <v>44</v>
      </c>
      <c r="D630" s="32" t="s">
        <v>45</v>
      </c>
      <c r="E630" s="33"/>
      <c r="F630" s="33"/>
      <c r="G630" s="33"/>
      <c r="H630" s="33"/>
      <c r="I630" s="34" t="str">
        <f t="shared" si="45"/>
        <v>0/3</v>
      </c>
    </row>
    <row r="631" spans="1:9" x14ac:dyDescent="0.25">
      <c r="A631" s="30">
        <f>A620</f>
        <v>46482</v>
      </c>
      <c r="B631" s="31" t="s">
        <v>82</v>
      </c>
      <c r="C631" s="31" t="s">
        <v>46</v>
      </c>
      <c r="D631" s="32" t="s">
        <v>47</v>
      </c>
      <c r="E631" s="33"/>
      <c r="F631" s="33"/>
      <c r="G631" s="33"/>
      <c r="H631" s="33"/>
      <c r="I631" s="34" t="str">
        <f t="shared" si="45"/>
        <v>0/3</v>
      </c>
    </row>
    <row r="632" spans="1:9" x14ac:dyDescent="0.25">
      <c r="A632" s="30">
        <f>A620</f>
        <v>46482</v>
      </c>
      <c r="B632" s="31" t="s">
        <v>82</v>
      </c>
      <c r="C632" s="31" t="s">
        <v>48</v>
      </c>
      <c r="D632" s="32" t="s">
        <v>49</v>
      </c>
      <c r="E632" s="33"/>
      <c r="F632" s="33"/>
      <c r="G632" s="33"/>
      <c r="H632" s="33"/>
      <c r="I632" s="34" t="str">
        <f t="shared" si="45"/>
        <v>0/3</v>
      </c>
    </row>
    <row r="633" spans="1:9" x14ac:dyDescent="0.25">
      <c r="A633" s="30">
        <f>A620</f>
        <v>46482</v>
      </c>
      <c r="B633" s="31" t="s">
        <v>82</v>
      </c>
      <c r="C633" s="31" t="s">
        <v>50</v>
      </c>
      <c r="D633" s="32" t="s">
        <v>51</v>
      </c>
      <c r="E633" s="33"/>
      <c r="F633" s="33"/>
      <c r="G633" s="33"/>
      <c r="H633" s="33"/>
      <c r="I633" s="34" t="str">
        <f t="shared" si="45"/>
        <v>0/3</v>
      </c>
    </row>
    <row r="634" spans="1:9" x14ac:dyDescent="0.25">
      <c r="A634" s="30">
        <f>A620+7</f>
        <v>46489</v>
      </c>
      <c r="B634" s="31" t="s">
        <v>81</v>
      </c>
      <c r="C634" s="31" t="s">
        <v>37</v>
      </c>
      <c r="D634" s="32" t="s">
        <v>39</v>
      </c>
      <c r="E634" s="33"/>
      <c r="F634" s="33"/>
      <c r="G634" s="33"/>
      <c r="H634" s="33"/>
      <c r="I634" s="34" t="str">
        <f t="shared" si="45"/>
        <v>0/3</v>
      </c>
    </row>
    <row r="635" spans="1:9" ht="30" x14ac:dyDescent="0.25">
      <c r="A635" s="30">
        <f>A634</f>
        <v>46489</v>
      </c>
      <c r="B635" s="31" t="s">
        <v>81</v>
      </c>
      <c r="C635" s="31" t="s">
        <v>40</v>
      </c>
      <c r="D635" s="32" t="s">
        <v>41</v>
      </c>
      <c r="E635" s="33"/>
      <c r="F635" s="33"/>
      <c r="G635" s="33"/>
      <c r="H635" s="33"/>
      <c r="I635" s="34" t="str">
        <f t="shared" si="45"/>
        <v>0/3</v>
      </c>
    </row>
    <row r="636" spans="1:9" x14ac:dyDescent="0.25">
      <c r="A636" s="30">
        <f>A634</f>
        <v>46489</v>
      </c>
      <c r="B636" s="31" t="s">
        <v>81</v>
      </c>
      <c r="C636" s="31" t="s">
        <v>42</v>
      </c>
      <c r="D636" s="32" t="s">
        <v>43</v>
      </c>
      <c r="E636" s="33"/>
      <c r="F636" s="33"/>
      <c r="G636" s="33"/>
      <c r="H636" s="33"/>
      <c r="I636" s="34" t="str">
        <f t="shared" si="45"/>
        <v>0/3</v>
      </c>
    </row>
    <row r="637" spans="1:9" x14ac:dyDescent="0.25">
      <c r="A637" s="30">
        <f>A634</f>
        <v>46489</v>
      </c>
      <c r="B637" s="31" t="s">
        <v>81</v>
      </c>
      <c r="C637" s="31" t="s">
        <v>44</v>
      </c>
      <c r="D637" s="32" t="s">
        <v>45</v>
      </c>
      <c r="E637" s="33"/>
      <c r="F637" s="33"/>
      <c r="G637" s="33"/>
      <c r="H637" s="33"/>
      <c r="I637" s="34" t="str">
        <f t="shared" si="45"/>
        <v>0/3</v>
      </c>
    </row>
    <row r="638" spans="1:9" x14ac:dyDescent="0.25">
      <c r="A638" s="30">
        <f>A634</f>
        <v>46489</v>
      </c>
      <c r="B638" s="31" t="s">
        <v>81</v>
      </c>
      <c r="C638" s="31" t="s">
        <v>46</v>
      </c>
      <c r="D638" s="32" t="s">
        <v>47</v>
      </c>
      <c r="E638" s="33"/>
      <c r="F638" s="33"/>
      <c r="G638" s="33"/>
      <c r="H638" s="33"/>
      <c r="I638" s="34" t="str">
        <f t="shared" si="45"/>
        <v>0/3</v>
      </c>
    </row>
    <row r="639" spans="1:9" x14ac:dyDescent="0.25">
      <c r="A639" s="30">
        <f>A634</f>
        <v>46489</v>
      </c>
      <c r="B639" s="31" t="s">
        <v>81</v>
      </c>
      <c r="C639" s="31" t="s">
        <v>48</v>
      </c>
      <c r="D639" s="32" t="s">
        <v>49</v>
      </c>
      <c r="E639" s="33"/>
      <c r="F639" s="33"/>
      <c r="G639" s="33"/>
      <c r="H639" s="33"/>
      <c r="I639" s="34" t="str">
        <f t="shared" si="45"/>
        <v>0/3</v>
      </c>
    </row>
    <row r="640" spans="1:9" x14ac:dyDescent="0.25">
      <c r="A640" s="30">
        <f>A634</f>
        <v>46489</v>
      </c>
      <c r="B640" s="31" t="s">
        <v>81</v>
      </c>
      <c r="C640" s="31" t="s">
        <v>50</v>
      </c>
      <c r="D640" s="32" t="s">
        <v>51</v>
      </c>
      <c r="E640" s="33"/>
      <c r="F640" s="33"/>
      <c r="G640" s="33"/>
      <c r="H640" s="33"/>
      <c r="I640" s="34" t="str">
        <f t="shared" si="45"/>
        <v>0/3</v>
      </c>
    </row>
    <row r="641" spans="1:9" x14ac:dyDescent="0.25">
      <c r="A641" s="30">
        <f>A634</f>
        <v>46489</v>
      </c>
      <c r="B641" s="31" t="s">
        <v>82</v>
      </c>
      <c r="C641" s="31" t="s">
        <v>37</v>
      </c>
      <c r="D641" s="32" t="s">
        <v>39</v>
      </c>
      <c r="E641" s="33"/>
      <c r="F641" s="33"/>
      <c r="G641" s="33"/>
      <c r="H641" s="33"/>
      <c r="I641" s="34" t="str">
        <f>COUNTA(E641:H641)&amp;"/4"</f>
        <v>0/4</v>
      </c>
    </row>
    <row r="642" spans="1:9" ht="30" x14ac:dyDescent="0.25">
      <c r="A642" s="30">
        <f>A634</f>
        <v>46489</v>
      </c>
      <c r="B642" s="31" t="s">
        <v>82</v>
      </c>
      <c r="C642" s="31" t="s">
        <v>40</v>
      </c>
      <c r="D642" s="32" t="s">
        <v>41</v>
      </c>
      <c r="E642" s="33"/>
      <c r="F642" s="33"/>
      <c r="G642" s="33"/>
      <c r="H642" s="33"/>
      <c r="I642" s="34" t="str">
        <f t="shared" ref="I642:I654" si="46">COUNTA(E642:G642)&amp;"/3"</f>
        <v>0/3</v>
      </c>
    </row>
    <row r="643" spans="1:9" x14ac:dyDescent="0.25">
      <c r="A643" s="30">
        <f>A634</f>
        <v>46489</v>
      </c>
      <c r="B643" s="31" t="s">
        <v>82</v>
      </c>
      <c r="C643" s="31" t="s">
        <v>42</v>
      </c>
      <c r="D643" s="32" t="s">
        <v>43</v>
      </c>
      <c r="E643" s="33"/>
      <c r="F643" s="33"/>
      <c r="G643" s="33"/>
      <c r="H643" s="33"/>
      <c r="I643" s="34" t="str">
        <f t="shared" si="46"/>
        <v>0/3</v>
      </c>
    </row>
    <row r="644" spans="1:9" x14ac:dyDescent="0.25">
      <c r="A644" s="30">
        <f>A634</f>
        <v>46489</v>
      </c>
      <c r="B644" s="31" t="s">
        <v>82</v>
      </c>
      <c r="C644" s="31" t="s">
        <v>44</v>
      </c>
      <c r="D644" s="32" t="s">
        <v>45</v>
      </c>
      <c r="E644" s="33"/>
      <c r="F644" s="33"/>
      <c r="G644" s="33"/>
      <c r="H644" s="33"/>
      <c r="I644" s="34" t="str">
        <f t="shared" si="46"/>
        <v>0/3</v>
      </c>
    </row>
    <row r="645" spans="1:9" x14ac:dyDescent="0.25">
      <c r="A645" s="30">
        <f>A634</f>
        <v>46489</v>
      </c>
      <c r="B645" s="31" t="s">
        <v>82</v>
      </c>
      <c r="C645" s="31" t="s">
        <v>46</v>
      </c>
      <c r="D645" s="32" t="s">
        <v>47</v>
      </c>
      <c r="E645" s="33"/>
      <c r="F645" s="33"/>
      <c r="G645" s="33"/>
      <c r="H645" s="33"/>
      <c r="I645" s="34" t="str">
        <f t="shared" si="46"/>
        <v>0/3</v>
      </c>
    </row>
    <row r="646" spans="1:9" x14ac:dyDescent="0.25">
      <c r="A646" s="30">
        <f>A634</f>
        <v>46489</v>
      </c>
      <c r="B646" s="31" t="s">
        <v>82</v>
      </c>
      <c r="C646" s="31" t="s">
        <v>48</v>
      </c>
      <c r="D646" s="32" t="s">
        <v>49</v>
      </c>
      <c r="E646" s="33"/>
      <c r="F646" s="33"/>
      <c r="G646" s="33"/>
      <c r="H646" s="33"/>
      <c r="I646" s="34" t="str">
        <f t="shared" si="46"/>
        <v>0/3</v>
      </c>
    </row>
    <row r="647" spans="1:9" x14ac:dyDescent="0.25">
      <c r="A647" s="30">
        <f>A634</f>
        <v>46489</v>
      </c>
      <c r="B647" s="31" t="s">
        <v>82</v>
      </c>
      <c r="C647" s="31" t="s">
        <v>50</v>
      </c>
      <c r="D647" s="32" t="s">
        <v>51</v>
      </c>
      <c r="E647" s="33"/>
      <c r="F647" s="33"/>
      <c r="G647" s="33"/>
      <c r="H647" s="33"/>
      <c r="I647" s="34" t="str">
        <f t="shared" si="46"/>
        <v>0/3</v>
      </c>
    </row>
    <row r="648" spans="1:9" x14ac:dyDescent="0.25">
      <c r="A648" s="30">
        <f>A634+7</f>
        <v>46496</v>
      </c>
      <c r="B648" s="31" t="s">
        <v>81</v>
      </c>
      <c r="C648" s="31" t="s">
        <v>37</v>
      </c>
      <c r="D648" s="32" t="s">
        <v>39</v>
      </c>
      <c r="E648" s="33"/>
      <c r="F648" s="33"/>
      <c r="G648" s="33"/>
      <c r="H648" s="33"/>
      <c r="I648" s="34" t="str">
        <f t="shared" si="46"/>
        <v>0/3</v>
      </c>
    </row>
    <row r="649" spans="1:9" ht="30" x14ac:dyDescent="0.25">
      <c r="A649" s="30">
        <f>A648</f>
        <v>46496</v>
      </c>
      <c r="B649" s="31" t="s">
        <v>81</v>
      </c>
      <c r="C649" s="31" t="s">
        <v>40</v>
      </c>
      <c r="D649" s="32" t="s">
        <v>41</v>
      </c>
      <c r="E649" s="33"/>
      <c r="F649" s="33"/>
      <c r="G649" s="33"/>
      <c r="H649" s="33"/>
      <c r="I649" s="34" t="str">
        <f t="shared" si="46"/>
        <v>0/3</v>
      </c>
    </row>
    <row r="650" spans="1:9" x14ac:dyDescent="0.25">
      <c r="A650" s="30">
        <f>A648</f>
        <v>46496</v>
      </c>
      <c r="B650" s="31" t="s">
        <v>81</v>
      </c>
      <c r="C650" s="31" t="s">
        <v>42</v>
      </c>
      <c r="D650" s="32" t="s">
        <v>43</v>
      </c>
      <c r="E650" s="33"/>
      <c r="F650" s="33"/>
      <c r="G650" s="33"/>
      <c r="H650" s="33"/>
      <c r="I650" s="34" t="str">
        <f t="shared" si="46"/>
        <v>0/3</v>
      </c>
    </row>
    <row r="651" spans="1:9" x14ac:dyDescent="0.25">
      <c r="A651" s="30">
        <f>A648</f>
        <v>46496</v>
      </c>
      <c r="B651" s="31" t="s">
        <v>81</v>
      </c>
      <c r="C651" s="31" t="s">
        <v>44</v>
      </c>
      <c r="D651" s="32" t="s">
        <v>45</v>
      </c>
      <c r="E651" s="33"/>
      <c r="F651" s="33"/>
      <c r="G651" s="33"/>
      <c r="H651" s="33"/>
      <c r="I651" s="34" t="str">
        <f t="shared" si="46"/>
        <v>0/3</v>
      </c>
    </row>
    <row r="652" spans="1:9" x14ac:dyDescent="0.25">
      <c r="A652" s="30">
        <f>A648</f>
        <v>46496</v>
      </c>
      <c r="B652" s="31" t="s">
        <v>81</v>
      </c>
      <c r="C652" s="31" t="s">
        <v>46</v>
      </c>
      <c r="D652" s="32" t="s">
        <v>47</v>
      </c>
      <c r="E652" s="33"/>
      <c r="F652" s="33"/>
      <c r="G652" s="33"/>
      <c r="H652" s="33"/>
      <c r="I652" s="34" t="str">
        <f t="shared" si="46"/>
        <v>0/3</v>
      </c>
    </row>
    <row r="653" spans="1:9" x14ac:dyDescent="0.25">
      <c r="A653" s="30">
        <f>A648</f>
        <v>46496</v>
      </c>
      <c r="B653" s="31" t="s">
        <v>81</v>
      </c>
      <c r="C653" s="31" t="s">
        <v>48</v>
      </c>
      <c r="D653" s="32" t="s">
        <v>49</v>
      </c>
      <c r="E653" s="33"/>
      <c r="F653" s="33"/>
      <c r="G653" s="33"/>
      <c r="H653" s="33"/>
      <c r="I653" s="34" t="str">
        <f t="shared" si="46"/>
        <v>0/3</v>
      </c>
    </row>
    <row r="654" spans="1:9" x14ac:dyDescent="0.25">
      <c r="A654" s="30">
        <f>A648</f>
        <v>46496</v>
      </c>
      <c r="B654" s="31" t="s">
        <v>81</v>
      </c>
      <c r="C654" s="31" t="s">
        <v>50</v>
      </c>
      <c r="D654" s="32" t="s">
        <v>51</v>
      </c>
      <c r="E654" s="33"/>
      <c r="F654" s="33"/>
      <c r="G654" s="33"/>
      <c r="H654" s="33"/>
      <c r="I654" s="34" t="str">
        <f t="shared" si="46"/>
        <v>0/3</v>
      </c>
    </row>
    <row r="655" spans="1:9" x14ac:dyDescent="0.25">
      <c r="A655" s="30">
        <f>A648</f>
        <v>46496</v>
      </c>
      <c r="B655" s="31" t="s">
        <v>82</v>
      </c>
      <c r="C655" s="31" t="s">
        <v>37</v>
      </c>
      <c r="D655" s="32" t="s">
        <v>39</v>
      </c>
      <c r="E655" s="33"/>
      <c r="F655" s="33"/>
      <c r="G655" s="33"/>
      <c r="H655" s="33"/>
      <c r="I655" s="34" t="str">
        <f>COUNTA(E655:H655)&amp;"/4"</f>
        <v>0/4</v>
      </c>
    </row>
    <row r="656" spans="1:9" ht="30" x14ac:dyDescent="0.25">
      <c r="A656" s="30">
        <f>A648</f>
        <v>46496</v>
      </c>
      <c r="B656" s="31" t="s">
        <v>82</v>
      </c>
      <c r="C656" s="31" t="s">
        <v>40</v>
      </c>
      <c r="D656" s="32" t="s">
        <v>41</v>
      </c>
      <c r="E656" s="33"/>
      <c r="F656" s="33"/>
      <c r="G656" s="33"/>
      <c r="H656" s="33"/>
      <c r="I656" s="34" t="str">
        <f t="shared" ref="I656:I668" si="47">COUNTA(E656:G656)&amp;"/3"</f>
        <v>0/3</v>
      </c>
    </row>
    <row r="657" spans="1:9" x14ac:dyDescent="0.25">
      <c r="A657" s="30">
        <f>A648</f>
        <v>46496</v>
      </c>
      <c r="B657" s="31" t="s">
        <v>82</v>
      </c>
      <c r="C657" s="31" t="s">
        <v>42</v>
      </c>
      <c r="D657" s="32" t="s">
        <v>43</v>
      </c>
      <c r="E657" s="33"/>
      <c r="F657" s="33"/>
      <c r="G657" s="33"/>
      <c r="H657" s="33"/>
      <c r="I657" s="34" t="str">
        <f t="shared" si="47"/>
        <v>0/3</v>
      </c>
    </row>
    <row r="658" spans="1:9" x14ac:dyDescent="0.25">
      <c r="A658" s="30">
        <f>A648</f>
        <v>46496</v>
      </c>
      <c r="B658" s="31" t="s">
        <v>82</v>
      </c>
      <c r="C658" s="31" t="s">
        <v>44</v>
      </c>
      <c r="D658" s="32" t="s">
        <v>45</v>
      </c>
      <c r="E658" s="33"/>
      <c r="F658" s="33"/>
      <c r="G658" s="33"/>
      <c r="H658" s="33"/>
      <c r="I658" s="34" t="str">
        <f t="shared" si="47"/>
        <v>0/3</v>
      </c>
    </row>
    <row r="659" spans="1:9" x14ac:dyDescent="0.25">
      <c r="A659" s="30">
        <f>A648</f>
        <v>46496</v>
      </c>
      <c r="B659" s="31" t="s">
        <v>82</v>
      </c>
      <c r="C659" s="31" t="s">
        <v>46</v>
      </c>
      <c r="D659" s="32" t="s">
        <v>47</v>
      </c>
      <c r="E659" s="33"/>
      <c r="F659" s="33"/>
      <c r="G659" s="33"/>
      <c r="H659" s="33"/>
      <c r="I659" s="34" t="str">
        <f t="shared" si="47"/>
        <v>0/3</v>
      </c>
    </row>
    <row r="660" spans="1:9" x14ac:dyDescent="0.25">
      <c r="A660" s="30">
        <f>A648</f>
        <v>46496</v>
      </c>
      <c r="B660" s="31" t="s">
        <v>82</v>
      </c>
      <c r="C660" s="31" t="s">
        <v>48</v>
      </c>
      <c r="D660" s="32" t="s">
        <v>49</v>
      </c>
      <c r="E660" s="33"/>
      <c r="F660" s="33"/>
      <c r="G660" s="33"/>
      <c r="H660" s="33"/>
      <c r="I660" s="34" t="str">
        <f t="shared" si="47"/>
        <v>0/3</v>
      </c>
    </row>
    <row r="661" spans="1:9" x14ac:dyDescent="0.25">
      <c r="A661" s="30">
        <f>A648</f>
        <v>46496</v>
      </c>
      <c r="B661" s="31" t="s">
        <v>82</v>
      </c>
      <c r="C661" s="31" t="s">
        <v>50</v>
      </c>
      <c r="D661" s="32" t="s">
        <v>51</v>
      </c>
      <c r="E661" s="33"/>
      <c r="F661" s="33"/>
      <c r="G661" s="33"/>
      <c r="H661" s="33"/>
      <c r="I661" s="34" t="str">
        <f t="shared" si="47"/>
        <v>0/3</v>
      </c>
    </row>
    <row r="662" spans="1:9" x14ac:dyDescent="0.25">
      <c r="A662" s="30">
        <f>A648+7</f>
        <v>46503</v>
      </c>
      <c r="B662" s="31" t="s">
        <v>81</v>
      </c>
      <c r="C662" s="31" t="s">
        <v>37</v>
      </c>
      <c r="D662" s="32" t="s">
        <v>39</v>
      </c>
      <c r="E662" s="33"/>
      <c r="F662" s="33"/>
      <c r="G662" s="33"/>
      <c r="H662" s="33"/>
      <c r="I662" s="34" t="str">
        <f t="shared" si="47"/>
        <v>0/3</v>
      </c>
    </row>
    <row r="663" spans="1:9" ht="30" x14ac:dyDescent="0.25">
      <c r="A663" s="30">
        <f>A662</f>
        <v>46503</v>
      </c>
      <c r="B663" s="31" t="s">
        <v>81</v>
      </c>
      <c r="C663" s="31" t="s">
        <v>40</v>
      </c>
      <c r="D663" s="32" t="s">
        <v>41</v>
      </c>
      <c r="E663" s="33"/>
      <c r="F663" s="33"/>
      <c r="G663" s="33"/>
      <c r="H663" s="33"/>
      <c r="I663" s="34" t="str">
        <f t="shared" si="47"/>
        <v>0/3</v>
      </c>
    </row>
    <row r="664" spans="1:9" x14ac:dyDescent="0.25">
      <c r="A664" s="30">
        <f>A662</f>
        <v>46503</v>
      </c>
      <c r="B664" s="31" t="s">
        <v>81</v>
      </c>
      <c r="C664" s="31" t="s">
        <v>42</v>
      </c>
      <c r="D664" s="32" t="s">
        <v>43</v>
      </c>
      <c r="E664" s="33"/>
      <c r="F664" s="33"/>
      <c r="G664" s="33"/>
      <c r="H664" s="33"/>
      <c r="I664" s="34" t="str">
        <f t="shared" si="47"/>
        <v>0/3</v>
      </c>
    </row>
    <row r="665" spans="1:9" x14ac:dyDescent="0.25">
      <c r="A665" s="30">
        <f>A662</f>
        <v>46503</v>
      </c>
      <c r="B665" s="31" t="s">
        <v>81</v>
      </c>
      <c r="C665" s="31" t="s">
        <v>44</v>
      </c>
      <c r="D665" s="32" t="s">
        <v>45</v>
      </c>
      <c r="E665" s="33"/>
      <c r="F665" s="33"/>
      <c r="G665" s="33"/>
      <c r="H665" s="33"/>
      <c r="I665" s="34" t="str">
        <f t="shared" si="47"/>
        <v>0/3</v>
      </c>
    </row>
    <row r="666" spans="1:9" x14ac:dyDescent="0.25">
      <c r="A666" s="30">
        <f>A662</f>
        <v>46503</v>
      </c>
      <c r="B666" s="31" t="s">
        <v>81</v>
      </c>
      <c r="C666" s="31" t="s">
        <v>46</v>
      </c>
      <c r="D666" s="32" t="s">
        <v>47</v>
      </c>
      <c r="E666" s="33"/>
      <c r="F666" s="33"/>
      <c r="G666" s="33"/>
      <c r="H666" s="33"/>
      <c r="I666" s="34" t="str">
        <f t="shared" si="47"/>
        <v>0/3</v>
      </c>
    </row>
    <row r="667" spans="1:9" x14ac:dyDescent="0.25">
      <c r="A667" s="30">
        <f>A662</f>
        <v>46503</v>
      </c>
      <c r="B667" s="31" t="s">
        <v>81</v>
      </c>
      <c r="C667" s="31" t="s">
        <v>48</v>
      </c>
      <c r="D667" s="32" t="s">
        <v>49</v>
      </c>
      <c r="E667" s="33"/>
      <c r="F667" s="33"/>
      <c r="G667" s="33"/>
      <c r="H667" s="33"/>
      <c r="I667" s="34" t="str">
        <f t="shared" si="47"/>
        <v>0/3</v>
      </c>
    </row>
    <row r="668" spans="1:9" x14ac:dyDescent="0.25">
      <c r="A668" s="30">
        <f>A662</f>
        <v>46503</v>
      </c>
      <c r="B668" s="31" t="s">
        <v>81</v>
      </c>
      <c r="C668" s="31" t="s">
        <v>50</v>
      </c>
      <c r="D668" s="32" t="s">
        <v>51</v>
      </c>
      <c r="E668" s="33"/>
      <c r="F668" s="33"/>
      <c r="G668" s="33"/>
      <c r="H668" s="33"/>
      <c r="I668" s="34" t="str">
        <f t="shared" si="47"/>
        <v>0/3</v>
      </c>
    </row>
    <row r="669" spans="1:9" x14ac:dyDescent="0.25">
      <c r="A669" s="30">
        <f>A662</f>
        <v>46503</v>
      </c>
      <c r="B669" s="31" t="s">
        <v>82</v>
      </c>
      <c r="C669" s="31" t="s">
        <v>37</v>
      </c>
      <c r="D669" s="32" t="s">
        <v>39</v>
      </c>
      <c r="E669" s="33"/>
      <c r="F669" s="33"/>
      <c r="G669" s="33"/>
      <c r="H669" s="33"/>
      <c r="I669" s="34" t="str">
        <f>COUNTA(E669:H669)&amp;"/4"</f>
        <v>0/4</v>
      </c>
    </row>
    <row r="670" spans="1:9" ht="30" x14ac:dyDescent="0.25">
      <c r="A670" s="30">
        <f>A662</f>
        <v>46503</v>
      </c>
      <c r="B670" s="31" t="s">
        <v>82</v>
      </c>
      <c r="C670" s="31" t="s">
        <v>40</v>
      </c>
      <c r="D670" s="32" t="s">
        <v>41</v>
      </c>
      <c r="E670" s="33"/>
      <c r="F670" s="33"/>
      <c r="G670" s="33"/>
      <c r="H670" s="33"/>
      <c r="I670" s="34" t="str">
        <f t="shared" ref="I670:I675" si="48">COUNTA(E670:G670)&amp;"/3"</f>
        <v>0/3</v>
      </c>
    </row>
    <row r="671" spans="1:9" x14ac:dyDescent="0.25">
      <c r="A671" s="30">
        <f>A662</f>
        <v>46503</v>
      </c>
      <c r="B671" s="31" t="s">
        <v>82</v>
      </c>
      <c r="C671" s="31" t="s">
        <v>42</v>
      </c>
      <c r="D671" s="32" t="s">
        <v>43</v>
      </c>
      <c r="E671" s="33"/>
      <c r="F671" s="33"/>
      <c r="G671" s="33"/>
      <c r="H671" s="33"/>
      <c r="I671" s="34" t="str">
        <f t="shared" si="48"/>
        <v>0/3</v>
      </c>
    </row>
    <row r="672" spans="1:9" x14ac:dyDescent="0.25">
      <c r="A672" s="30">
        <f>A662</f>
        <v>46503</v>
      </c>
      <c r="B672" s="31" t="s">
        <v>82</v>
      </c>
      <c r="C672" s="31" t="s">
        <v>44</v>
      </c>
      <c r="D672" s="32" t="s">
        <v>45</v>
      </c>
      <c r="E672" s="33"/>
      <c r="F672" s="33"/>
      <c r="G672" s="33"/>
      <c r="H672" s="33"/>
      <c r="I672" s="34" t="str">
        <f t="shared" si="48"/>
        <v>0/3</v>
      </c>
    </row>
    <row r="673" spans="1:9" x14ac:dyDescent="0.25">
      <c r="A673" s="30">
        <f>A662</f>
        <v>46503</v>
      </c>
      <c r="B673" s="31" t="s">
        <v>82</v>
      </c>
      <c r="C673" s="31" t="s">
        <v>46</v>
      </c>
      <c r="D673" s="32" t="s">
        <v>47</v>
      </c>
      <c r="E673" s="33"/>
      <c r="F673" s="33"/>
      <c r="G673" s="33"/>
      <c r="H673" s="33"/>
      <c r="I673" s="34" t="str">
        <f t="shared" si="48"/>
        <v>0/3</v>
      </c>
    </row>
    <row r="674" spans="1:9" x14ac:dyDescent="0.25">
      <c r="A674" s="30">
        <f>A662</f>
        <v>46503</v>
      </c>
      <c r="B674" s="31" t="s">
        <v>82</v>
      </c>
      <c r="C674" s="31" t="s">
        <v>48</v>
      </c>
      <c r="D674" s="32" t="s">
        <v>49</v>
      </c>
      <c r="E674" s="33"/>
      <c r="F674" s="33"/>
      <c r="G674" s="33"/>
      <c r="H674" s="33"/>
      <c r="I674" s="34" t="str">
        <f t="shared" si="48"/>
        <v>0/3</v>
      </c>
    </row>
    <row r="675" spans="1:9" x14ac:dyDescent="0.25">
      <c r="A675" s="30">
        <f>A662</f>
        <v>46503</v>
      </c>
      <c r="B675" s="31" t="s">
        <v>82</v>
      </c>
      <c r="C675" s="31" t="s">
        <v>50</v>
      </c>
      <c r="D675" s="32" t="s">
        <v>51</v>
      </c>
      <c r="E675" s="33"/>
      <c r="F675" s="33"/>
      <c r="G675" s="33"/>
      <c r="H675" s="33"/>
      <c r="I675" s="34" t="str">
        <f t="shared" si="48"/>
        <v>0/3</v>
      </c>
    </row>
  </sheetData>
  <mergeCells count="2">
    <mergeCell ref="A1:I1"/>
    <mergeCell ref="A2:I2"/>
  </mergeCells>
  <conditionalFormatting sqref="A4:I675">
    <cfRule type="expression" dxfId="76" priority="1">
      <formula>AND($A4&lt;=TODAY(),$A4+6&gt;=TODAY())</formula>
    </cfRule>
  </conditionalFormatting>
  <dataValidations count="1">
    <dataValidation type="decimal" operator="greaterThanOrEqual" sqref="E4:H675" xr:uid="{00000000-0002-0000-0300-000000000000}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675"/>
  <sheetViews>
    <sheetView workbookViewId="0">
      <pane xSplit="4" ySplit="3" topLeftCell="E4" activePane="bottomRight" state="frozen"/>
      <selection pane="topRight"/>
      <selection pane="bottomLeft"/>
      <selection pane="bottomRight" sqref="A1:I1"/>
    </sheetView>
  </sheetViews>
  <sheetFormatPr defaultRowHeight="15" x14ac:dyDescent="0.25"/>
  <cols>
    <col min="1" max="2" width="12" style="66" customWidth="1"/>
    <col min="3" max="3" width="8" style="66" customWidth="1"/>
    <col min="4" max="4" width="38" style="66" customWidth="1"/>
    <col min="5" max="8" width="12" style="66" customWidth="1"/>
    <col min="9" max="9" width="8" style="66" customWidth="1"/>
  </cols>
  <sheetData>
    <row r="1" spans="1:9" x14ac:dyDescent="0.25">
      <c r="A1" s="73" t="s">
        <v>85</v>
      </c>
      <c r="B1" s="74"/>
      <c r="C1" s="74"/>
      <c r="D1" s="74"/>
      <c r="E1" s="74"/>
      <c r="F1" s="74"/>
      <c r="G1" s="74"/>
      <c r="H1" s="74"/>
      <c r="I1" s="74"/>
    </row>
    <row r="2" spans="1:9" x14ac:dyDescent="0.25">
      <c r="A2" s="76" t="s">
        <v>72</v>
      </c>
      <c r="B2" s="74"/>
      <c r="C2" s="74"/>
      <c r="D2" s="74"/>
      <c r="E2" s="74"/>
      <c r="F2" s="74"/>
      <c r="G2" s="74"/>
      <c r="H2" s="74"/>
      <c r="I2" s="74"/>
    </row>
    <row r="3" spans="1:9" x14ac:dyDescent="0.25">
      <c r="A3" s="69" t="s">
        <v>73</v>
      </c>
      <c r="B3" s="69" t="s">
        <v>74</v>
      </c>
      <c r="C3" s="69" t="s">
        <v>1</v>
      </c>
      <c r="D3" s="69" t="s">
        <v>75</v>
      </c>
      <c r="E3" s="69" t="s">
        <v>76</v>
      </c>
      <c r="F3" s="69" t="s">
        <v>77</v>
      </c>
      <c r="G3" s="69" t="s">
        <v>78</v>
      </c>
      <c r="H3" s="69" t="s">
        <v>79</v>
      </c>
      <c r="I3" s="69" t="s">
        <v>80</v>
      </c>
    </row>
    <row r="4" spans="1:9" x14ac:dyDescent="0.25">
      <c r="A4" s="30">
        <f>СПРАВОЧНИК!$B$35</f>
        <v>46174</v>
      </c>
      <c r="B4" s="31" t="s">
        <v>81</v>
      </c>
      <c r="C4" s="31" t="s">
        <v>37</v>
      </c>
      <c r="D4" s="32" t="s">
        <v>39</v>
      </c>
      <c r="E4" s="33"/>
      <c r="F4" s="33"/>
      <c r="G4" s="33"/>
      <c r="H4" s="33"/>
      <c r="I4" s="34" t="str">
        <f t="shared" ref="I4:I10" si="0">COUNTA(E4:G4)&amp;"/3"</f>
        <v>0/3</v>
      </c>
    </row>
    <row r="5" spans="1:9" ht="30" x14ac:dyDescent="0.25">
      <c r="A5" s="30">
        <f>A4</f>
        <v>46174</v>
      </c>
      <c r="B5" s="31" t="s">
        <v>81</v>
      </c>
      <c r="C5" s="31" t="s">
        <v>40</v>
      </c>
      <c r="D5" s="32" t="s">
        <v>41</v>
      </c>
      <c r="E5" s="33"/>
      <c r="F5" s="33"/>
      <c r="G5" s="33"/>
      <c r="H5" s="33"/>
      <c r="I5" s="34" t="str">
        <f t="shared" si="0"/>
        <v>0/3</v>
      </c>
    </row>
    <row r="6" spans="1:9" x14ac:dyDescent="0.25">
      <c r="A6" s="30">
        <f>A4</f>
        <v>46174</v>
      </c>
      <c r="B6" s="31" t="s">
        <v>81</v>
      </c>
      <c r="C6" s="31" t="s">
        <v>42</v>
      </c>
      <c r="D6" s="32" t="s">
        <v>43</v>
      </c>
      <c r="E6" s="33"/>
      <c r="F6" s="33"/>
      <c r="G6" s="33"/>
      <c r="H6" s="33"/>
      <c r="I6" s="34" t="str">
        <f t="shared" si="0"/>
        <v>0/3</v>
      </c>
    </row>
    <row r="7" spans="1:9" x14ac:dyDescent="0.25">
      <c r="A7" s="30">
        <f>A4</f>
        <v>46174</v>
      </c>
      <c r="B7" s="31" t="s">
        <v>81</v>
      </c>
      <c r="C7" s="31" t="s">
        <v>44</v>
      </c>
      <c r="D7" s="32" t="s">
        <v>45</v>
      </c>
      <c r="E7" s="33"/>
      <c r="F7" s="33"/>
      <c r="G7" s="33"/>
      <c r="H7" s="33"/>
      <c r="I7" s="34" t="str">
        <f t="shared" si="0"/>
        <v>0/3</v>
      </c>
    </row>
    <row r="8" spans="1:9" x14ac:dyDescent="0.25">
      <c r="A8" s="30">
        <f>A4</f>
        <v>46174</v>
      </c>
      <c r="B8" s="31" t="s">
        <v>81</v>
      </c>
      <c r="C8" s="31" t="s">
        <v>46</v>
      </c>
      <c r="D8" s="32" t="s">
        <v>47</v>
      </c>
      <c r="E8" s="33"/>
      <c r="F8" s="33"/>
      <c r="G8" s="33"/>
      <c r="H8" s="33"/>
      <c r="I8" s="34" t="str">
        <f t="shared" si="0"/>
        <v>0/3</v>
      </c>
    </row>
    <row r="9" spans="1:9" x14ac:dyDescent="0.25">
      <c r="A9" s="30">
        <f>A4</f>
        <v>46174</v>
      </c>
      <c r="B9" s="31" t="s">
        <v>81</v>
      </c>
      <c r="C9" s="31" t="s">
        <v>48</v>
      </c>
      <c r="D9" s="32" t="s">
        <v>49</v>
      </c>
      <c r="E9" s="33"/>
      <c r="F9" s="33"/>
      <c r="G9" s="33"/>
      <c r="H9" s="33"/>
      <c r="I9" s="34" t="str">
        <f t="shared" si="0"/>
        <v>0/3</v>
      </c>
    </row>
    <row r="10" spans="1:9" x14ac:dyDescent="0.25">
      <c r="A10" s="30">
        <f>A4</f>
        <v>46174</v>
      </c>
      <c r="B10" s="31" t="s">
        <v>81</v>
      </c>
      <c r="C10" s="31" t="s">
        <v>50</v>
      </c>
      <c r="D10" s="32" t="s">
        <v>51</v>
      </c>
      <c r="E10" s="33"/>
      <c r="F10" s="33"/>
      <c r="G10" s="33"/>
      <c r="H10" s="33"/>
      <c r="I10" s="34" t="str">
        <f t="shared" si="0"/>
        <v>0/3</v>
      </c>
    </row>
    <row r="11" spans="1:9" x14ac:dyDescent="0.25">
      <c r="A11" s="30">
        <f>A4</f>
        <v>46174</v>
      </c>
      <c r="B11" s="31" t="s">
        <v>82</v>
      </c>
      <c r="C11" s="31" t="s">
        <v>37</v>
      </c>
      <c r="D11" s="32" t="s">
        <v>39</v>
      </c>
      <c r="E11" s="33"/>
      <c r="F11" s="33"/>
      <c r="G11" s="33"/>
      <c r="H11" s="33"/>
      <c r="I11" s="34" t="str">
        <f>COUNTA(E11:H11)&amp;"/4"</f>
        <v>0/4</v>
      </c>
    </row>
    <row r="12" spans="1:9" ht="30" x14ac:dyDescent="0.25">
      <c r="A12" s="30">
        <f>A4</f>
        <v>46174</v>
      </c>
      <c r="B12" s="31" t="s">
        <v>82</v>
      </c>
      <c r="C12" s="31" t="s">
        <v>40</v>
      </c>
      <c r="D12" s="32" t="s">
        <v>41</v>
      </c>
      <c r="E12" s="33"/>
      <c r="F12" s="33"/>
      <c r="G12" s="33"/>
      <c r="H12" s="33"/>
      <c r="I12" s="34" t="str">
        <f t="shared" ref="I12:I24" si="1">COUNTA(E12:G12)&amp;"/3"</f>
        <v>0/3</v>
      </c>
    </row>
    <row r="13" spans="1:9" x14ac:dyDescent="0.25">
      <c r="A13" s="30">
        <f>A4</f>
        <v>46174</v>
      </c>
      <c r="B13" s="31" t="s">
        <v>82</v>
      </c>
      <c r="C13" s="31" t="s">
        <v>42</v>
      </c>
      <c r="D13" s="32" t="s">
        <v>43</v>
      </c>
      <c r="E13" s="33"/>
      <c r="F13" s="33"/>
      <c r="G13" s="33"/>
      <c r="H13" s="33"/>
      <c r="I13" s="34" t="str">
        <f t="shared" si="1"/>
        <v>0/3</v>
      </c>
    </row>
    <row r="14" spans="1:9" x14ac:dyDescent="0.25">
      <c r="A14" s="30">
        <f>A4</f>
        <v>46174</v>
      </c>
      <c r="B14" s="31" t="s">
        <v>82</v>
      </c>
      <c r="C14" s="31" t="s">
        <v>44</v>
      </c>
      <c r="D14" s="32" t="s">
        <v>45</v>
      </c>
      <c r="E14" s="33"/>
      <c r="F14" s="33"/>
      <c r="G14" s="33"/>
      <c r="H14" s="33"/>
      <c r="I14" s="34" t="str">
        <f t="shared" si="1"/>
        <v>0/3</v>
      </c>
    </row>
    <row r="15" spans="1:9" x14ac:dyDescent="0.25">
      <c r="A15" s="30">
        <f>A4</f>
        <v>46174</v>
      </c>
      <c r="B15" s="31" t="s">
        <v>82</v>
      </c>
      <c r="C15" s="31" t="s">
        <v>46</v>
      </c>
      <c r="D15" s="32" t="s">
        <v>47</v>
      </c>
      <c r="E15" s="33"/>
      <c r="F15" s="33"/>
      <c r="G15" s="33"/>
      <c r="H15" s="33"/>
      <c r="I15" s="34" t="str">
        <f t="shared" si="1"/>
        <v>0/3</v>
      </c>
    </row>
    <row r="16" spans="1:9" x14ac:dyDescent="0.25">
      <c r="A16" s="30">
        <f>A4</f>
        <v>46174</v>
      </c>
      <c r="B16" s="31" t="s">
        <v>82</v>
      </c>
      <c r="C16" s="31" t="s">
        <v>48</v>
      </c>
      <c r="D16" s="32" t="s">
        <v>49</v>
      </c>
      <c r="E16" s="33"/>
      <c r="F16" s="33"/>
      <c r="G16" s="33"/>
      <c r="H16" s="33"/>
      <c r="I16" s="34" t="str">
        <f t="shared" si="1"/>
        <v>0/3</v>
      </c>
    </row>
    <row r="17" spans="1:9" x14ac:dyDescent="0.25">
      <c r="A17" s="30">
        <f>A4</f>
        <v>46174</v>
      </c>
      <c r="B17" s="31" t="s">
        <v>82</v>
      </c>
      <c r="C17" s="31" t="s">
        <v>50</v>
      </c>
      <c r="D17" s="32" t="s">
        <v>51</v>
      </c>
      <c r="E17" s="33"/>
      <c r="F17" s="33"/>
      <c r="G17" s="33"/>
      <c r="H17" s="33"/>
      <c r="I17" s="34" t="str">
        <f t="shared" si="1"/>
        <v>0/3</v>
      </c>
    </row>
    <row r="18" spans="1:9" x14ac:dyDescent="0.25">
      <c r="A18" s="30">
        <f>A4+7</f>
        <v>46181</v>
      </c>
      <c r="B18" s="31" t="s">
        <v>81</v>
      </c>
      <c r="C18" s="31" t="s">
        <v>37</v>
      </c>
      <c r="D18" s="32" t="s">
        <v>39</v>
      </c>
      <c r="E18" s="33"/>
      <c r="F18" s="33"/>
      <c r="G18" s="33"/>
      <c r="H18" s="33"/>
      <c r="I18" s="34" t="str">
        <f t="shared" si="1"/>
        <v>0/3</v>
      </c>
    </row>
    <row r="19" spans="1:9" ht="30" x14ac:dyDescent="0.25">
      <c r="A19" s="30">
        <f>A18</f>
        <v>46181</v>
      </c>
      <c r="B19" s="31" t="s">
        <v>81</v>
      </c>
      <c r="C19" s="31" t="s">
        <v>40</v>
      </c>
      <c r="D19" s="32" t="s">
        <v>41</v>
      </c>
      <c r="E19" s="33"/>
      <c r="F19" s="33"/>
      <c r="G19" s="33"/>
      <c r="H19" s="33"/>
      <c r="I19" s="34" t="str">
        <f t="shared" si="1"/>
        <v>0/3</v>
      </c>
    </row>
    <row r="20" spans="1:9" x14ac:dyDescent="0.25">
      <c r="A20" s="30">
        <f>A18</f>
        <v>46181</v>
      </c>
      <c r="B20" s="31" t="s">
        <v>81</v>
      </c>
      <c r="C20" s="31" t="s">
        <v>42</v>
      </c>
      <c r="D20" s="32" t="s">
        <v>43</v>
      </c>
      <c r="E20" s="33"/>
      <c r="F20" s="33"/>
      <c r="G20" s="33"/>
      <c r="H20" s="33"/>
      <c r="I20" s="34" t="str">
        <f t="shared" si="1"/>
        <v>0/3</v>
      </c>
    </row>
    <row r="21" spans="1:9" x14ac:dyDescent="0.25">
      <c r="A21" s="30">
        <f>A18</f>
        <v>46181</v>
      </c>
      <c r="B21" s="31" t="s">
        <v>81</v>
      </c>
      <c r="C21" s="31" t="s">
        <v>44</v>
      </c>
      <c r="D21" s="32" t="s">
        <v>45</v>
      </c>
      <c r="E21" s="33"/>
      <c r="F21" s="33"/>
      <c r="G21" s="33"/>
      <c r="H21" s="33"/>
      <c r="I21" s="34" t="str">
        <f t="shared" si="1"/>
        <v>0/3</v>
      </c>
    </row>
    <row r="22" spans="1:9" x14ac:dyDescent="0.25">
      <c r="A22" s="30">
        <f>A18</f>
        <v>46181</v>
      </c>
      <c r="B22" s="31" t="s">
        <v>81</v>
      </c>
      <c r="C22" s="31" t="s">
        <v>46</v>
      </c>
      <c r="D22" s="32" t="s">
        <v>47</v>
      </c>
      <c r="E22" s="33"/>
      <c r="F22" s="33"/>
      <c r="G22" s="33"/>
      <c r="H22" s="33"/>
      <c r="I22" s="34" t="str">
        <f t="shared" si="1"/>
        <v>0/3</v>
      </c>
    </row>
    <row r="23" spans="1:9" x14ac:dyDescent="0.25">
      <c r="A23" s="30">
        <f>A18</f>
        <v>46181</v>
      </c>
      <c r="B23" s="31" t="s">
        <v>81</v>
      </c>
      <c r="C23" s="31" t="s">
        <v>48</v>
      </c>
      <c r="D23" s="32" t="s">
        <v>49</v>
      </c>
      <c r="E23" s="33"/>
      <c r="F23" s="33"/>
      <c r="G23" s="33"/>
      <c r="H23" s="33"/>
      <c r="I23" s="34" t="str">
        <f t="shared" si="1"/>
        <v>0/3</v>
      </c>
    </row>
    <row r="24" spans="1:9" x14ac:dyDescent="0.25">
      <c r="A24" s="30">
        <f>A18</f>
        <v>46181</v>
      </c>
      <c r="B24" s="31" t="s">
        <v>81</v>
      </c>
      <c r="C24" s="31" t="s">
        <v>50</v>
      </c>
      <c r="D24" s="32" t="s">
        <v>51</v>
      </c>
      <c r="E24" s="33"/>
      <c r="F24" s="33"/>
      <c r="G24" s="33"/>
      <c r="H24" s="33"/>
      <c r="I24" s="34" t="str">
        <f t="shared" si="1"/>
        <v>0/3</v>
      </c>
    </row>
    <row r="25" spans="1:9" x14ac:dyDescent="0.25">
      <c r="A25" s="30">
        <f>A18</f>
        <v>46181</v>
      </c>
      <c r="B25" s="31" t="s">
        <v>82</v>
      </c>
      <c r="C25" s="31" t="s">
        <v>37</v>
      </c>
      <c r="D25" s="32" t="s">
        <v>39</v>
      </c>
      <c r="E25" s="33"/>
      <c r="F25" s="33"/>
      <c r="G25" s="33"/>
      <c r="H25" s="33"/>
      <c r="I25" s="34" t="str">
        <f>COUNTA(E25:H25)&amp;"/4"</f>
        <v>0/4</v>
      </c>
    </row>
    <row r="26" spans="1:9" ht="30" x14ac:dyDescent="0.25">
      <c r="A26" s="30">
        <f>A18</f>
        <v>46181</v>
      </c>
      <c r="B26" s="31" t="s">
        <v>82</v>
      </c>
      <c r="C26" s="31" t="s">
        <v>40</v>
      </c>
      <c r="D26" s="32" t="s">
        <v>41</v>
      </c>
      <c r="E26" s="33"/>
      <c r="F26" s="33"/>
      <c r="G26" s="33"/>
      <c r="H26" s="33"/>
      <c r="I26" s="34" t="str">
        <f t="shared" ref="I26:I38" si="2">COUNTA(E26:G26)&amp;"/3"</f>
        <v>0/3</v>
      </c>
    </row>
    <row r="27" spans="1:9" x14ac:dyDescent="0.25">
      <c r="A27" s="30">
        <f>A18</f>
        <v>46181</v>
      </c>
      <c r="B27" s="31" t="s">
        <v>82</v>
      </c>
      <c r="C27" s="31" t="s">
        <v>42</v>
      </c>
      <c r="D27" s="32" t="s">
        <v>43</v>
      </c>
      <c r="E27" s="33"/>
      <c r="F27" s="33"/>
      <c r="G27" s="33"/>
      <c r="H27" s="33"/>
      <c r="I27" s="34" t="str">
        <f t="shared" si="2"/>
        <v>0/3</v>
      </c>
    </row>
    <row r="28" spans="1:9" x14ac:dyDescent="0.25">
      <c r="A28" s="30">
        <f>A18</f>
        <v>46181</v>
      </c>
      <c r="B28" s="31" t="s">
        <v>82</v>
      </c>
      <c r="C28" s="31" t="s">
        <v>44</v>
      </c>
      <c r="D28" s="32" t="s">
        <v>45</v>
      </c>
      <c r="E28" s="33"/>
      <c r="F28" s="33"/>
      <c r="G28" s="33"/>
      <c r="H28" s="33"/>
      <c r="I28" s="34" t="str">
        <f t="shared" si="2"/>
        <v>0/3</v>
      </c>
    </row>
    <row r="29" spans="1:9" x14ac:dyDescent="0.25">
      <c r="A29" s="30">
        <f>A18</f>
        <v>46181</v>
      </c>
      <c r="B29" s="31" t="s">
        <v>82</v>
      </c>
      <c r="C29" s="31" t="s">
        <v>46</v>
      </c>
      <c r="D29" s="32" t="s">
        <v>47</v>
      </c>
      <c r="E29" s="33"/>
      <c r="F29" s="33"/>
      <c r="G29" s="33"/>
      <c r="H29" s="33"/>
      <c r="I29" s="34" t="str">
        <f t="shared" si="2"/>
        <v>0/3</v>
      </c>
    </row>
    <row r="30" spans="1:9" x14ac:dyDescent="0.25">
      <c r="A30" s="30">
        <f>A18</f>
        <v>46181</v>
      </c>
      <c r="B30" s="31" t="s">
        <v>82</v>
      </c>
      <c r="C30" s="31" t="s">
        <v>48</v>
      </c>
      <c r="D30" s="32" t="s">
        <v>49</v>
      </c>
      <c r="E30" s="33"/>
      <c r="F30" s="33"/>
      <c r="G30" s="33"/>
      <c r="H30" s="33"/>
      <c r="I30" s="34" t="str">
        <f t="shared" si="2"/>
        <v>0/3</v>
      </c>
    </row>
    <row r="31" spans="1:9" x14ac:dyDescent="0.25">
      <c r="A31" s="30">
        <f>A18</f>
        <v>46181</v>
      </c>
      <c r="B31" s="31" t="s">
        <v>82</v>
      </c>
      <c r="C31" s="31" t="s">
        <v>50</v>
      </c>
      <c r="D31" s="32" t="s">
        <v>51</v>
      </c>
      <c r="E31" s="33"/>
      <c r="F31" s="33"/>
      <c r="G31" s="33"/>
      <c r="H31" s="33"/>
      <c r="I31" s="34" t="str">
        <f t="shared" si="2"/>
        <v>0/3</v>
      </c>
    </row>
    <row r="32" spans="1:9" x14ac:dyDescent="0.25">
      <c r="A32" s="30">
        <f>A18+7</f>
        <v>46188</v>
      </c>
      <c r="B32" s="31" t="s">
        <v>81</v>
      </c>
      <c r="C32" s="31" t="s">
        <v>37</v>
      </c>
      <c r="D32" s="32" t="s">
        <v>39</v>
      </c>
      <c r="E32" s="33"/>
      <c r="F32" s="33"/>
      <c r="G32" s="33"/>
      <c r="H32" s="33"/>
      <c r="I32" s="34" t="str">
        <f t="shared" si="2"/>
        <v>0/3</v>
      </c>
    </row>
    <row r="33" spans="1:9" ht="30" x14ac:dyDescent="0.25">
      <c r="A33" s="30">
        <f>A32</f>
        <v>46188</v>
      </c>
      <c r="B33" s="31" t="s">
        <v>81</v>
      </c>
      <c r="C33" s="31" t="s">
        <v>40</v>
      </c>
      <c r="D33" s="32" t="s">
        <v>41</v>
      </c>
      <c r="E33" s="33"/>
      <c r="F33" s="33"/>
      <c r="G33" s="33"/>
      <c r="H33" s="33"/>
      <c r="I33" s="34" t="str">
        <f t="shared" si="2"/>
        <v>0/3</v>
      </c>
    </row>
    <row r="34" spans="1:9" x14ac:dyDescent="0.25">
      <c r="A34" s="30">
        <f>A32</f>
        <v>46188</v>
      </c>
      <c r="B34" s="31" t="s">
        <v>81</v>
      </c>
      <c r="C34" s="31" t="s">
        <v>42</v>
      </c>
      <c r="D34" s="32" t="s">
        <v>43</v>
      </c>
      <c r="E34" s="33"/>
      <c r="F34" s="33"/>
      <c r="G34" s="33"/>
      <c r="H34" s="33"/>
      <c r="I34" s="34" t="str">
        <f t="shared" si="2"/>
        <v>0/3</v>
      </c>
    </row>
    <row r="35" spans="1:9" x14ac:dyDescent="0.25">
      <c r="A35" s="30">
        <f>A32</f>
        <v>46188</v>
      </c>
      <c r="B35" s="31" t="s">
        <v>81</v>
      </c>
      <c r="C35" s="31" t="s">
        <v>44</v>
      </c>
      <c r="D35" s="32" t="s">
        <v>45</v>
      </c>
      <c r="E35" s="33"/>
      <c r="F35" s="33"/>
      <c r="G35" s="33"/>
      <c r="H35" s="33"/>
      <c r="I35" s="34" t="str">
        <f t="shared" si="2"/>
        <v>0/3</v>
      </c>
    </row>
    <row r="36" spans="1:9" x14ac:dyDescent="0.25">
      <c r="A36" s="30">
        <f>A32</f>
        <v>46188</v>
      </c>
      <c r="B36" s="31" t="s">
        <v>81</v>
      </c>
      <c r="C36" s="31" t="s">
        <v>46</v>
      </c>
      <c r="D36" s="32" t="s">
        <v>47</v>
      </c>
      <c r="E36" s="33"/>
      <c r="F36" s="33"/>
      <c r="G36" s="33"/>
      <c r="H36" s="33"/>
      <c r="I36" s="34" t="str">
        <f t="shared" si="2"/>
        <v>0/3</v>
      </c>
    </row>
    <row r="37" spans="1:9" x14ac:dyDescent="0.25">
      <c r="A37" s="30">
        <f>A32</f>
        <v>46188</v>
      </c>
      <c r="B37" s="31" t="s">
        <v>81</v>
      </c>
      <c r="C37" s="31" t="s">
        <v>48</v>
      </c>
      <c r="D37" s="32" t="s">
        <v>49</v>
      </c>
      <c r="E37" s="33"/>
      <c r="F37" s="33"/>
      <c r="G37" s="33"/>
      <c r="H37" s="33"/>
      <c r="I37" s="34" t="str">
        <f t="shared" si="2"/>
        <v>0/3</v>
      </c>
    </row>
    <row r="38" spans="1:9" x14ac:dyDescent="0.25">
      <c r="A38" s="30">
        <f>A32</f>
        <v>46188</v>
      </c>
      <c r="B38" s="31" t="s">
        <v>81</v>
      </c>
      <c r="C38" s="31" t="s">
        <v>50</v>
      </c>
      <c r="D38" s="32" t="s">
        <v>51</v>
      </c>
      <c r="E38" s="33"/>
      <c r="F38" s="33"/>
      <c r="G38" s="33"/>
      <c r="H38" s="33"/>
      <c r="I38" s="34" t="str">
        <f t="shared" si="2"/>
        <v>0/3</v>
      </c>
    </row>
    <row r="39" spans="1:9" x14ac:dyDescent="0.25">
      <c r="A39" s="30">
        <f>A32</f>
        <v>46188</v>
      </c>
      <c r="B39" s="31" t="s">
        <v>82</v>
      </c>
      <c r="C39" s="31" t="s">
        <v>37</v>
      </c>
      <c r="D39" s="32" t="s">
        <v>39</v>
      </c>
      <c r="E39" s="33"/>
      <c r="F39" s="33"/>
      <c r="G39" s="33"/>
      <c r="H39" s="33"/>
      <c r="I39" s="34" t="str">
        <f>COUNTA(E39:H39)&amp;"/4"</f>
        <v>0/4</v>
      </c>
    </row>
    <row r="40" spans="1:9" ht="30" x14ac:dyDescent="0.25">
      <c r="A40" s="30">
        <f>A32</f>
        <v>46188</v>
      </c>
      <c r="B40" s="31" t="s">
        <v>82</v>
      </c>
      <c r="C40" s="31" t="s">
        <v>40</v>
      </c>
      <c r="D40" s="32" t="s">
        <v>41</v>
      </c>
      <c r="E40" s="33"/>
      <c r="F40" s="33"/>
      <c r="G40" s="33"/>
      <c r="H40" s="33"/>
      <c r="I40" s="34" t="str">
        <f t="shared" ref="I40:I52" si="3">COUNTA(E40:G40)&amp;"/3"</f>
        <v>0/3</v>
      </c>
    </row>
    <row r="41" spans="1:9" x14ac:dyDescent="0.25">
      <c r="A41" s="30">
        <f>A32</f>
        <v>46188</v>
      </c>
      <c r="B41" s="31" t="s">
        <v>82</v>
      </c>
      <c r="C41" s="31" t="s">
        <v>42</v>
      </c>
      <c r="D41" s="32" t="s">
        <v>43</v>
      </c>
      <c r="E41" s="33"/>
      <c r="F41" s="33"/>
      <c r="G41" s="33"/>
      <c r="H41" s="33"/>
      <c r="I41" s="34" t="str">
        <f t="shared" si="3"/>
        <v>0/3</v>
      </c>
    </row>
    <row r="42" spans="1:9" x14ac:dyDescent="0.25">
      <c r="A42" s="30">
        <f>A32</f>
        <v>46188</v>
      </c>
      <c r="B42" s="31" t="s">
        <v>82</v>
      </c>
      <c r="C42" s="31" t="s">
        <v>44</v>
      </c>
      <c r="D42" s="32" t="s">
        <v>45</v>
      </c>
      <c r="E42" s="33"/>
      <c r="F42" s="33"/>
      <c r="G42" s="33"/>
      <c r="H42" s="33"/>
      <c r="I42" s="34" t="str">
        <f t="shared" si="3"/>
        <v>0/3</v>
      </c>
    </row>
    <row r="43" spans="1:9" x14ac:dyDescent="0.25">
      <c r="A43" s="30">
        <f>A32</f>
        <v>46188</v>
      </c>
      <c r="B43" s="31" t="s">
        <v>82</v>
      </c>
      <c r="C43" s="31" t="s">
        <v>46</v>
      </c>
      <c r="D43" s="32" t="s">
        <v>47</v>
      </c>
      <c r="E43" s="33"/>
      <c r="F43" s="33"/>
      <c r="G43" s="33"/>
      <c r="H43" s="33"/>
      <c r="I43" s="34" t="str">
        <f t="shared" si="3"/>
        <v>0/3</v>
      </c>
    </row>
    <row r="44" spans="1:9" x14ac:dyDescent="0.25">
      <c r="A44" s="30">
        <f>A32</f>
        <v>46188</v>
      </c>
      <c r="B44" s="31" t="s">
        <v>82</v>
      </c>
      <c r="C44" s="31" t="s">
        <v>48</v>
      </c>
      <c r="D44" s="32" t="s">
        <v>49</v>
      </c>
      <c r="E44" s="33"/>
      <c r="F44" s="33"/>
      <c r="G44" s="33"/>
      <c r="H44" s="33"/>
      <c r="I44" s="34" t="str">
        <f t="shared" si="3"/>
        <v>0/3</v>
      </c>
    </row>
    <row r="45" spans="1:9" x14ac:dyDescent="0.25">
      <c r="A45" s="30">
        <f>A32</f>
        <v>46188</v>
      </c>
      <c r="B45" s="31" t="s">
        <v>82</v>
      </c>
      <c r="C45" s="31" t="s">
        <v>50</v>
      </c>
      <c r="D45" s="32" t="s">
        <v>51</v>
      </c>
      <c r="E45" s="33"/>
      <c r="F45" s="33"/>
      <c r="G45" s="33"/>
      <c r="H45" s="33"/>
      <c r="I45" s="34" t="str">
        <f t="shared" si="3"/>
        <v>0/3</v>
      </c>
    </row>
    <row r="46" spans="1:9" x14ac:dyDescent="0.25">
      <c r="A46" s="30">
        <f>A32+7</f>
        <v>46195</v>
      </c>
      <c r="B46" s="31" t="s">
        <v>81</v>
      </c>
      <c r="C46" s="31" t="s">
        <v>37</v>
      </c>
      <c r="D46" s="32" t="s">
        <v>39</v>
      </c>
      <c r="E46" s="33"/>
      <c r="F46" s="33"/>
      <c r="G46" s="33"/>
      <c r="H46" s="33"/>
      <c r="I46" s="34" t="str">
        <f t="shared" si="3"/>
        <v>0/3</v>
      </c>
    </row>
    <row r="47" spans="1:9" ht="30" x14ac:dyDescent="0.25">
      <c r="A47" s="30">
        <f>A46</f>
        <v>46195</v>
      </c>
      <c r="B47" s="31" t="s">
        <v>81</v>
      </c>
      <c r="C47" s="31" t="s">
        <v>40</v>
      </c>
      <c r="D47" s="32" t="s">
        <v>41</v>
      </c>
      <c r="E47" s="33"/>
      <c r="F47" s="33"/>
      <c r="G47" s="33"/>
      <c r="H47" s="33"/>
      <c r="I47" s="34" t="str">
        <f t="shared" si="3"/>
        <v>0/3</v>
      </c>
    </row>
    <row r="48" spans="1:9" x14ac:dyDescent="0.25">
      <c r="A48" s="30">
        <f>A46</f>
        <v>46195</v>
      </c>
      <c r="B48" s="31" t="s">
        <v>81</v>
      </c>
      <c r="C48" s="31" t="s">
        <v>42</v>
      </c>
      <c r="D48" s="32" t="s">
        <v>43</v>
      </c>
      <c r="E48" s="33"/>
      <c r="F48" s="33"/>
      <c r="G48" s="33"/>
      <c r="H48" s="33"/>
      <c r="I48" s="34" t="str">
        <f t="shared" si="3"/>
        <v>0/3</v>
      </c>
    </row>
    <row r="49" spans="1:9" x14ac:dyDescent="0.25">
      <c r="A49" s="30">
        <f>A46</f>
        <v>46195</v>
      </c>
      <c r="B49" s="31" t="s">
        <v>81</v>
      </c>
      <c r="C49" s="31" t="s">
        <v>44</v>
      </c>
      <c r="D49" s="32" t="s">
        <v>45</v>
      </c>
      <c r="E49" s="33"/>
      <c r="F49" s="33"/>
      <c r="G49" s="33"/>
      <c r="H49" s="33"/>
      <c r="I49" s="34" t="str">
        <f t="shared" si="3"/>
        <v>0/3</v>
      </c>
    </row>
    <row r="50" spans="1:9" x14ac:dyDescent="0.25">
      <c r="A50" s="30">
        <f>A46</f>
        <v>46195</v>
      </c>
      <c r="B50" s="31" t="s">
        <v>81</v>
      </c>
      <c r="C50" s="31" t="s">
        <v>46</v>
      </c>
      <c r="D50" s="32" t="s">
        <v>47</v>
      </c>
      <c r="E50" s="33"/>
      <c r="F50" s="33"/>
      <c r="G50" s="33"/>
      <c r="H50" s="33"/>
      <c r="I50" s="34" t="str">
        <f t="shared" si="3"/>
        <v>0/3</v>
      </c>
    </row>
    <row r="51" spans="1:9" x14ac:dyDescent="0.25">
      <c r="A51" s="30">
        <f>A46</f>
        <v>46195</v>
      </c>
      <c r="B51" s="31" t="s">
        <v>81</v>
      </c>
      <c r="C51" s="31" t="s">
        <v>48</v>
      </c>
      <c r="D51" s="32" t="s">
        <v>49</v>
      </c>
      <c r="E51" s="33"/>
      <c r="F51" s="33"/>
      <c r="G51" s="33"/>
      <c r="H51" s="33"/>
      <c r="I51" s="34" t="str">
        <f t="shared" si="3"/>
        <v>0/3</v>
      </c>
    </row>
    <row r="52" spans="1:9" x14ac:dyDescent="0.25">
      <c r="A52" s="30">
        <f>A46</f>
        <v>46195</v>
      </c>
      <c r="B52" s="31" t="s">
        <v>81</v>
      </c>
      <c r="C52" s="31" t="s">
        <v>50</v>
      </c>
      <c r="D52" s="32" t="s">
        <v>51</v>
      </c>
      <c r="E52" s="33"/>
      <c r="F52" s="33"/>
      <c r="G52" s="33"/>
      <c r="H52" s="33"/>
      <c r="I52" s="34" t="str">
        <f t="shared" si="3"/>
        <v>0/3</v>
      </c>
    </row>
    <row r="53" spans="1:9" x14ac:dyDescent="0.25">
      <c r="A53" s="30">
        <f>A46</f>
        <v>46195</v>
      </c>
      <c r="B53" s="31" t="s">
        <v>82</v>
      </c>
      <c r="C53" s="31" t="s">
        <v>37</v>
      </c>
      <c r="D53" s="32" t="s">
        <v>39</v>
      </c>
      <c r="E53" s="33"/>
      <c r="F53" s="33"/>
      <c r="G53" s="33"/>
      <c r="H53" s="33"/>
      <c r="I53" s="34" t="str">
        <f>COUNTA(E53:H53)&amp;"/4"</f>
        <v>0/4</v>
      </c>
    </row>
    <row r="54" spans="1:9" ht="30" x14ac:dyDescent="0.25">
      <c r="A54" s="30">
        <f>A46</f>
        <v>46195</v>
      </c>
      <c r="B54" s="31" t="s">
        <v>82</v>
      </c>
      <c r="C54" s="31" t="s">
        <v>40</v>
      </c>
      <c r="D54" s="32" t="s">
        <v>41</v>
      </c>
      <c r="E54" s="33"/>
      <c r="F54" s="33"/>
      <c r="G54" s="33"/>
      <c r="H54" s="33"/>
      <c r="I54" s="34" t="str">
        <f t="shared" ref="I54:I66" si="4">COUNTA(E54:G54)&amp;"/3"</f>
        <v>0/3</v>
      </c>
    </row>
    <row r="55" spans="1:9" x14ac:dyDescent="0.25">
      <c r="A55" s="30">
        <f>A46</f>
        <v>46195</v>
      </c>
      <c r="B55" s="31" t="s">
        <v>82</v>
      </c>
      <c r="C55" s="31" t="s">
        <v>42</v>
      </c>
      <c r="D55" s="32" t="s">
        <v>43</v>
      </c>
      <c r="E55" s="33"/>
      <c r="F55" s="33"/>
      <c r="G55" s="33"/>
      <c r="H55" s="33"/>
      <c r="I55" s="34" t="str">
        <f t="shared" si="4"/>
        <v>0/3</v>
      </c>
    </row>
    <row r="56" spans="1:9" x14ac:dyDescent="0.25">
      <c r="A56" s="30">
        <f>A46</f>
        <v>46195</v>
      </c>
      <c r="B56" s="31" t="s">
        <v>82</v>
      </c>
      <c r="C56" s="31" t="s">
        <v>44</v>
      </c>
      <c r="D56" s="32" t="s">
        <v>45</v>
      </c>
      <c r="E56" s="33"/>
      <c r="F56" s="33"/>
      <c r="G56" s="33"/>
      <c r="H56" s="33"/>
      <c r="I56" s="34" t="str">
        <f t="shared" si="4"/>
        <v>0/3</v>
      </c>
    </row>
    <row r="57" spans="1:9" x14ac:dyDescent="0.25">
      <c r="A57" s="30">
        <f>A46</f>
        <v>46195</v>
      </c>
      <c r="B57" s="31" t="s">
        <v>82</v>
      </c>
      <c r="C57" s="31" t="s">
        <v>46</v>
      </c>
      <c r="D57" s="32" t="s">
        <v>47</v>
      </c>
      <c r="E57" s="33"/>
      <c r="F57" s="33"/>
      <c r="G57" s="33"/>
      <c r="H57" s="33"/>
      <c r="I57" s="34" t="str">
        <f t="shared" si="4"/>
        <v>0/3</v>
      </c>
    </row>
    <row r="58" spans="1:9" x14ac:dyDescent="0.25">
      <c r="A58" s="30">
        <f>A46</f>
        <v>46195</v>
      </c>
      <c r="B58" s="31" t="s">
        <v>82</v>
      </c>
      <c r="C58" s="31" t="s">
        <v>48</v>
      </c>
      <c r="D58" s="32" t="s">
        <v>49</v>
      </c>
      <c r="E58" s="33"/>
      <c r="F58" s="33"/>
      <c r="G58" s="33"/>
      <c r="H58" s="33"/>
      <c r="I58" s="34" t="str">
        <f t="shared" si="4"/>
        <v>0/3</v>
      </c>
    </row>
    <row r="59" spans="1:9" x14ac:dyDescent="0.25">
      <c r="A59" s="30">
        <f>A46</f>
        <v>46195</v>
      </c>
      <c r="B59" s="31" t="s">
        <v>82</v>
      </c>
      <c r="C59" s="31" t="s">
        <v>50</v>
      </c>
      <c r="D59" s="32" t="s">
        <v>51</v>
      </c>
      <c r="E59" s="33"/>
      <c r="F59" s="33"/>
      <c r="G59" s="33"/>
      <c r="H59" s="33"/>
      <c r="I59" s="34" t="str">
        <f t="shared" si="4"/>
        <v>0/3</v>
      </c>
    </row>
    <row r="60" spans="1:9" x14ac:dyDescent="0.25">
      <c r="A60" s="30">
        <f>A46+7</f>
        <v>46202</v>
      </c>
      <c r="B60" s="31" t="s">
        <v>81</v>
      </c>
      <c r="C60" s="31" t="s">
        <v>37</v>
      </c>
      <c r="D60" s="32" t="s">
        <v>39</v>
      </c>
      <c r="E60" s="33"/>
      <c r="F60" s="33"/>
      <c r="G60" s="33"/>
      <c r="H60" s="33"/>
      <c r="I60" s="34" t="str">
        <f t="shared" si="4"/>
        <v>0/3</v>
      </c>
    </row>
    <row r="61" spans="1:9" ht="30" x14ac:dyDescent="0.25">
      <c r="A61" s="30">
        <f>A60</f>
        <v>46202</v>
      </c>
      <c r="B61" s="31" t="s">
        <v>81</v>
      </c>
      <c r="C61" s="31" t="s">
        <v>40</v>
      </c>
      <c r="D61" s="32" t="s">
        <v>41</v>
      </c>
      <c r="E61" s="33"/>
      <c r="F61" s="33"/>
      <c r="G61" s="33"/>
      <c r="H61" s="33"/>
      <c r="I61" s="34" t="str">
        <f t="shared" si="4"/>
        <v>0/3</v>
      </c>
    </row>
    <row r="62" spans="1:9" x14ac:dyDescent="0.25">
      <c r="A62" s="30">
        <f>A60</f>
        <v>46202</v>
      </c>
      <c r="B62" s="31" t="s">
        <v>81</v>
      </c>
      <c r="C62" s="31" t="s">
        <v>42</v>
      </c>
      <c r="D62" s="32" t="s">
        <v>43</v>
      </c>
      <c r="E62" s="33"/>
      <c r="F62" s="33"/>
      <c r="G62" s="33"/>
      <c r="H62" s="33"/>
      <c r="I62" s="34" t="str">
        <f t="shared" si="4"/>
        <v>0/3</v>
      </c>
    </row>
    <row r="63" spans="1:9" x14ac:dyDescent="0.25">
      <c r="A63" s="30">
        <f>A60</f>
        <v>46202</v>
      </c>
      <c r="B63" s="31" t="s">
        <v>81</v>
      </c>
      <c r="C63" s="31" t="s">
        <v>44</v>
      </c>
      <c r="D63" s="32" t="s">
        <v>45</v>
      </c>
      <c r="E63" s="33"/>
      <c r="F63" s="33"/>
      <c r="G63" s="33"/>
      <c r="H63" s="33"/>
      <c r="I63" s="34" t="str">
        <f t="shared" si="4"/>
        <v>0/3</v>
      </c>
    </row>
    <row r="64" spans="1:9" x14ac:dyDescent="0.25">
      <c r="A64" s="30">
        <f>A60</f>
        <v>46202</v>
      </c>
      <c r="B64" s="31" t="s">
        <v>81</v>
      </c>
      <c r="C64" s="31" t="s">
        <v>46</v>
      </c>
      <c r="D64" s="32" t="s">
        <v>47</v>
      </c>
      <c r="E64" s="33"/>
      <c r="F64" s="33"/>
      <c r="G64" s="33"/>
      <c r="H64" s="33"/>
      <c r="I64" s="34" t="str">
        <f t="shared" si="4"/>
        <v>0/3</v>
      </c>
    </row>
    <row r="65" spans="1:9" x14ac:dyDescent="0.25">
      <c r="A65" s="30">
        <f>A60</f>
        <v>46202</v>
      </c>
      <c r="B65" s="31" t="s">
        <v>81</v>
      </c>
      <c r="C65" s="31" t="s">
        <v>48</v>
      </c>
      <c r="D65" s="32" t="s">
        <v>49</v>
      </c>
      <c r="E65" s="33"/>
      <c r="F65" s="33"/>
      <c r="G65" s="33"/>
      <c r="H65" s="33"/>
      <c r="I65" s="34" t="str">
        <f t="shared" si="4"/>
        <v>0/3</v>
      </c>
    </row>
    <row r="66" spans="1:9" x14ac:dyDescent="0.25">
      <c r="A66" s="30">
        <f>A60</f>
        <v>46202</v>
      </c>
      <c r="B66" s="31" t="s">
        <v>81</v>
      </c>
      <c r="C66" s="31" t="s">
        <v>50</v>
      </c>
      <c r="D66" s="32" t="s">
        <v>51</v>
      </c>
      <c r="E66" s="33"/>
      <c r="F66" s="33"/>
      <c r="G66" s="33"/>
      <c r="H66" s="33"/>
      <c r="I66" s="34" t="str">
        <f t="shared" si="4"/>
        <v>0/3</v>
      </c>
    </row>
    <row r="67" spans="1:9" x14ac:dyDescent="0.25">
      <c r="A67" s="30">
        <f>A60</f>
        <v>46202</v>
      </c>
      <c r="B67" s="31" t="s">
        <v>82</v>
      </c>
      <c r="C67" s="31" t="s">
        <v>37</v>
      </c>
      <c r="D67" s="32" t="s">
        <v>39</v>
      </c>
      <c r="E67" s="33"/>
      <c r="F67" s="33"/>
      <c r="G67" s="33"/>
      <c r="H67" s="33"/>
      <c r="I67" s="34" t="str">
        <f>COUNTA(E67:H67)&amp;"/4"</f>
        <v>0/4</v>
      </c>
    </row>
    <row r="68" spans="1:9" ht="30" x14ac:dyDescent="0.25">
      <c r="A68" s="30">
        <f>A60</f>
        <v>46202</v>
      </c>
      <c r="B68" s="31" t="s">
        <v>82</v>
      </c>
      <c r="C68" s="31" t="s">
        <v>40</v>
      </c>
      <c r="D68" s="32" t="s">
        <v>41</v>
      </c>
      <c r="E68" s="33"/>
      <c r="F68" s="33"/>
      <c r="G68" s="33"/>
      <c r="H68" s="33"/>
      <c r="I68" s="34" t="str">
        <f t="shared" ref="I68:I80" si="5">COUNTA(E68:G68)&amp;"/3"</f>
        <v>0/3</v>
      </c>
    </row>
    <row r="69" spans="1:9" x14ac:dyDescent="0.25">
      <c r="A69" s="30">
        <f>A60</f>
        <v>46202</v>
      </c>
      <c r="B69" s="31" t="s">
        <v>82</v>
      </c>
      <c r="C69" s="31" t="s">
        <v>42</v>
      </c>
      <c r="D69" s="32" t="s">
        <v>43</v>
      </c>
      <c r="E69" s="33"/>
      <c r="F69" s="33"/>
      <c r="G69" s="33"/>
      <c r="H69" s="33"/>
      <c r="I69" s="34" t="str">
        <f t="shared" si="5"/>
        <v>0/3</v>
      </c>
    </row>
    <row r="70" spans="1:9" x14ac:dyDescent="0.25">
      <c r="A70" s="30">
        <f>A60</f>
        <v>46202</v>
      </c>
      <c r="B70" s="31" t="s">
        <v>82</v>
      </c>
      <c r="C70" s="31" t="s">
        <v>44</v>
      </c>
      <c r="D70" s="32" t="s">
        <v>45</v>
      </c>
      <c r="E70" s="33"/>
      <c r="F70" s="33"/>
      <c r="G70" s="33"/>
      <c r="H70" s="33"/>
      <c r="I70" s="34" t="str">
        <f t="shared" si="5"/>
        <v>0/3</v>
      </c>
    </row>
    <row r="71" spans="1:9" x14ac:dyDescent="0.25">
      <c r="A71" s="30">
        <f>A60</f>
        <v>46202</v>
      </c>
      <c r="B71" s="31" t="s">
        <v>82</v>
      </c>
      <c r="C71" s="31" t="s">
        <v>46</v>
      </c>
      <c r="D71" s="32" t="s">
        <v>47</v>
      </c>
      <c r="E71" s="33"/>
      <c r="F71" s="33"/>
      <c r="G71" s="33"/>
      <c r="H71" s="33"/>
      <c r="I71" s="34" t="str">
        <f t="shared" si="5"/>
        <v>0/3</v>
      </c>
    </row>
    <row r="72" spans="1:9" x14ac:dyDescent="0.25">
      <c r="A72" s="30">
        <f>A60</f>
        <v>46202</v>
      </c>
      <c r="B72" s="31" t="s">
        <v>82</v>
      </c>
      <c r="C72" s="31" t="s">
        <v>48</v>
      </c>
      <c r="D72" s="32" t="s">
        <v>49</v>
      </c>
      <c r="E72" s="33"/>
      <c r="F72" s="33"/>
      <c r="G72" s="33"/>
      <c r="H72" s="33"/>
      <c r="I72" s="34" t="str">
        <f t="shared" si="5"/>
        <v>0/3</v>
      </c>
    </row>
    <row r="73" spans="1:9" x14ac:dyDescent="0.25">
      <c r="A73" s="30">
        <f>A60</f>
        <v>46202</v>
      </c>
      <c r="B73" s="31" t="s">
        <v>82</v>
      </c>
      <c r="C73" s="31" t="s">
        <v>50</v>
      </c>
      <c r="D73" s="32" t="s">
        <v>51</v>
      </c>
      <c r="E73" s="33"/>
      <c r="F73" s="33"/>
      <c r="G73" s="33"/>
      <c r="H73" s="33"/>
      <c r="I73" s="34" t="str">
        <f t="shared" si="5"/>
        <v>0/3</v>
      </c>
    </row>
    <row r="74" spans="1:9" x14ac:dyDescent="0.25">
      <c r="A74" s="30">
        <f>A60+7</f>
        <v>46209</v>
      </c>
      <c r="B74" s="31" t="s">
        <v>81</v>
      </c>
      <c r="C74" s="31" t="s">
        <v>37</v>
      </c>
      <c r="D74" s="32" t="s">
        <v>39</v>
      </c>
      <c r="E74" s="33"/>
      <c r="F74" s="33"/>
      <c r="G74" s="33"/>
      <c r="H74" s="33"/>
      <c r="I74" s="34" t="str">
        <f t="shared" si="5"/>
        <v>0/3</v>
      </c>
    </row>
    <row r="75" spans="1:9" ht="30" x14ac:dyDescent="0.25">
      <c r="A75" s="30">
        <f>A74</f>
        <v>46209</v>
      </c>
      <c r="B75" s="31" t="s">
        <v>81</v>
      </c>
      <c r="C75" s="31" t="s">
        <v>40</v>
      </c>
      <c r="D75" s="32" t="s">
        <v>41</v>
      </c>
      <c r="E75" s="33"/>
      <c r="F75" s="33"/>
      <c r="G75" s="33"/>
      <c r="H75" s="33"/>
      <c r="I75" s="34" t="str">
        <f t="shared" si="5"/>
        <v>0/3</v>
      </c>
    </row>
    <row r="76" spans="1:9" x14ac:dyDescent="0.25">
      <c r="A76" s="30">
        <f>A74</f>
        <v>46209</v>
      </c>
      <c r="B76" s="31" t="s">
        <v>81</v>
      </c>
      <c r="C76" s="31" t="s">
        <v>42</v>
      </c>
      <c r="D76" s="32" t="s">
        <v>43</v>
      </c>
      <c r="E76" s="33"/>
      <c r="F76" s="33"/>
      <c r="G76" s="33"/>
      <c r="H76" s="33"/>
      <c r="I76" s="34" t="str">
        <f t="shared" si="5"/>
        <v>0/3</v>
      </c>
    </row>
    <row r="77" spans="1:9" x14ac:dyDescent="0.25">
      <c r="A77" s="30">
        <f>A74</f>
        <v>46209</v>
      </c>
      <c r="B77" s="31" t="s">
        <v>81</v>
      </c>
      <c r="C77" s="31" t="s">
        <v>44</v>
      </c>
      <c r="D77" s="32" t="s">
        <v>45</v>
      </c>
      <c r="E77" s="33"/>
      <c r="F77" s="33"/>
      <c r="G77" s="33"/>
      <c r="H77" s="33"/>
      <c r="I77" s="34" t="str">
        <f t="shared" si="5"/>
        <v>0/3</v>
      </c>
    </row>
    <row r="78" spans="1:9" x14ac:dyDescent="0.25">
      <c r="A78" s="30">
        <f>A74</f>
        <v>46209</v>
      </c>
      <c r="B78" s="31" t="s">
        <v>81</v>
      </c>
      <c r="C78" s="31" t="s">
        <v>46</v>
      </c>
      <c r="D78" s="32" t="s">
        <v>47</v>
      </c>
      <c r="E78" s="33"/>
      <c r="F78" s="33"/>
      <c r="G78" s="33"/>
      <c r="H78" s="33"/>
      <c r="I78" s="34" t="str">
        <f t="shared" si="5"/>
        <v>0/3</v>
      </c>
    </row>
    <row r="79" spans="1:9" x14ac:dyDescent="0.25">
      <c r="A79" s="30">
        <f>A74</f>
        <v>46209</v>
      </c>
      <c r="B79" s="31" t="s">
        <v>81</v>
      </c>
      <c r="C79" s="31" t="s">
        <v>48</v>
      </c>
      <c r="D79" s="32" t="s">
        <v>49</v>
      </c>
      <c r="E79" s="33"/>
      <c r="F79" s="33"/>
      <c r="G79" s="33"/>
      <c r="H79" s="33"/>
      <c r="I79" s="34" t="str">
        <f t="shared" si="5"/>
        <v>0/3</v>
      </c>
    </row>
    <row r="80" spans="1:9" x14ac:dyDescent="0.25">
      <c r="A80" s="30">
        <f>A74</f>
        <v>46209</v>
      </c>
      <c r="B80" s="31" t="s">
        <v>81</v>
      </c>
      <c r="C80" s="31" t="s">
        <v>50</v>
      </c>
      <c r="D80" s="32" t="s">
        <v>51</v>
      </c>
      <c r="E80" s="33"/>
      <c r="F80" s="33"/>
      <c r="G80" s="33"/>
      <c r="H80" s="33"/>
      <c r="I80" s="34" t="str">
        <f t="shared" si="5"/>
        <v>0/3</v>
      </c>
    </row>
    <row r="81" spans="1:9" x14ac:dyDescent="0.25">
      <c r="A81" s="30">
        <f>A74</f>
        <v>46209</v>
      </c>
      <c r="B81" s="31" t="s">
        <v>82</v>
      </c>
      <c r="C81" s="31" t="s">
        <v>37</v>
      </c>
      <c r="D81" s="32" t="s">
        <v>39</v>
      </c>
      <c r="E81" s="33"/>
      <c r="F81" s="33"/>
      <c r="G81" s="33"/>
      <c r="H81" s="33"/>
      <c r="I81" s="34" t="str">
        <f>COUNTA(E81:H81)&amp;"/4"</f>
        <v>0/4</v>
      </c>
    </row>
    <row r="82" spans="1:9" ht="30" x14ac:dyDescent="0.25">
      <c r="A82" s="30">
        <f>A74</f>
        <v>46209</v>
      </c>
      <c r="B82" s="31" t="s">
        <v>82</v>
      </c>
      <c r="C82" s="31" t="s">
        <v>40</v>
      </c>
      <c r="D82" s="32" t="s">
        <v>41</v>
      </c>
      <c r="E82" s="33"/>
      <c r="F82" s="33"/>
      <c r="G82" s="33"/>
      <c r="H82" s="33"/>
      <c r="I82" s="34" t="str">
        <f t="shared" ref="I82:I94" si="6">COUNTA(E82:G82)&amp;"/3"</f>
        <v>0/3</v>
      </c>
    </row>
    <row r="83" spans="1:9" x14ac:dyDescent="0.25">
      <c r="A83" s="30">
        <f>A74</f>
        <v>46209</v>
      </c>
      <c r="B83" s="31" t="s">
        <v>82</v>
      </c>
      <c r="C83" s="31" t="s">
        <v>42</v>
      </c>
      <c r="D83" s="32" t="s">
        <v>43</v>
      </c>
      <c r="E83" s="33"/>
      <c r="F83" s="33"/>
      <c r="G83" s="33"/>
      <c r="H83" s="33"/>
      <c r="I83" s="34" t="str">
        <f t="shared" si="6"/>
        <v>0/3</v>
      </c>
    </row>
    <row r="84" spans="1:9" x14ac:dyDescent="0.25">
      <c r="A84" s="30">
        <f>A74</f>
        <v>46209</v>
      </c>
      <c r="B84" s="31" t="s">
        <v>82</v>
      </c>
      <c r="C84" s="31" t="s">
        <v>44</v>
      </c>
      <c r="D84" s="32" t="s">
        <v>45</v>
      </c>
      <c r="E84" s="33"/>
      <c r="F84" s="33"/>
      <c r="G84" s="33"/>
      <c r="H84" s="33"/>
      <c r="I84" s="34" t="str">
        <f t="shared" si="6"/>
        <v>0/3</v>
      </c>
    </row>
    <row r="85" spans="1:9" x14ac:dyDescent="0.25">
      <c r="A85" s="30">
        <f>A74</f>
        <v>46209</v>
      </c>
      <c r="B85" s="31" t="s">
        <v>82</v>
      </c>
      <c r="C85" s="31" t="s">
        <v>46</v>
      </c>
      <c r="D85" s="32" t="s">
        <v>47</v>
      </c>
      <c r="E85" s="33"/>
      <c r="F85" s="33"/>
      <c r="G85" s="33"/>
      <c r="H85" s="33"/>
      <c r="I85" s="34" t="str">
        <f t="shared" si="6"/>
        <v>0/3</v>
      </c>
    </row>
    <row r="86" spans="1:9" x14ac:dyDescent="0.25">
      <c r="A86" s="30">
        <f>A74</f>
        <v>46209</v>
      </c>
      <c r="B86" s="31" t="s">
        <v>82</v>
      </c>
      <c r="C86" s="31" t="s">
        <v>48</v>
      </c>
      <c r="D86" s="32" t="s">
        <v>49</v>
      </c>
      <c r="E86" s="33"/>
      <c r="F86" s="33"/>
      <c r="G86" s="33"/>
      <c r="H86" s="33"/>
      <c r="I86" s="34" t="str">
        <f t="shared" si="6"/>
        <v>0/3</v>
      </c>
    </row>
    <row r="87" spans="1:9" x14ac:dyDescent="0.25">
      <c r="A87" s="30">
        <f>A74</f>
        <v>46209</v>
      </c>
      <c r="B87" s="31" t="s">
        <v>82</v>
      </c>
      <c r="C87" s="31" t="s">
        <v>50</v>
      </c>
      <c r="D87" s="32" t="s">
        <v>51</v>
      </c>
      <c r="E87" s="33"/>
      <c r="F87" s="33"/>
      <c r="G87" s="33"/>
      <c r="H87" s="33"/>
      <c r="I87" s="34" t="str">
        <f t="shared" si="6"/>
        <v>0/3</v>
      </c>
    </row>
    <row r="88" spans="1:9" x14ac:dyDescent="0.25">
      <c r="A88" s="30">
        <f>A74+7</f>
        <v>46216</v>
      </c>
      <c r="B88" s="31" t="s">
        <v>81</v>
      </c>
      <c r="C88" s="31" t="s">
        <v>37</v>
      </c>
      <c r="D88" s="32" t="s">
        <v>39</v>
      </c>
      <c r="E88" s="33"/>
      <c r="F88" s="33"/>
      <c r="G88" s="33"/>
      <c r="H88" s="33"/>
      <c r="I88" s="34" t="str">
        <f t="shared" si="6"/>
        <v>0/3</v>
      </c>
    </row>
    <row r="89" spans="1:9" ht="30" x14ac:dyDescent="0.25">
      <c r="A89" s="30">
        <f>A88</f>
        <v>46216</v>
      </c>
      <c r="B89" s="31" t="s">
        <v>81</v>
      </c>
      <c r="C89" s="31" t="s">
        <v>40</v>
      </c>
      <c r="D89" s="32" t="s">
        <v>41</v>
      </c>
      <c r="E89" s="33"/>
      <c r="F89" s="33"/>
      <c r="G89" s="33"/>
      <c r="H89" s="33"/>
      <c r="I89" s="34" t="str">
        <f t="shared" si="6"/>
        <v>0/3</v>
      </c>
    </row>
    <row r="90" spans="1:9" x14ac:dyDescent="0.25">
      <c r="A90" s="30">
        <f>A88</f>
        <v>46216</v>
      </c>
      <c r="B90" s="31" t="s">
        <v>81</v>
      </c>
      <c r="C90" s="31" t="s">
        <v>42</v>
      </c>
      <c r="D90" s="32" t="s">
        <v>43</v>
      </c>
      <c r="E90" s="33"/>
      <c r="F90" s="33"/>
      <c r="G90" s="33"/>
      <c r="H90" s="33"/>
      <c r="I90" s="34" t="str">
        <f t="shared" si="6"/>
        <v>0/3</v>
      </c>
    </row>
    <row r="91" spans="1:9" x14ac:dyDescent="0.25">
      <c r="A91" s="30">
        <f>A88</f>
        <v>46216</v>
      </c>
      <c r="B91" s="31" t="s">
        <v>81</v>
      </c>
      <c r="C91" s="31" t="s">
        <v>44</v>
      </c>
      <c r="D91" s="32" t="s">
        <v>45</v>
      </c>
      <c r="E91" s="33"/>
      <c r="F91" s="33"/>
      <c r="G91" s="33"/>
      <c r="H91" s="33"/>
      <c r="I91" s="34" t="str">
        <f t="shared" si="6"/>
        <v>0/3</v>
      </c>
    </row>
    <row r="92" spans="1:9" x14ac:dyDescent="0.25">
      <c r="A92" s="30">
        <f>A88</f>
        <v>46216</v>
      </c>
      <c r="B92" s="31" t="s">
        <v>81</v>
      </c>
      <c r="C92" s="31" t="s">
        <v>46</v>
      </c>
      <c r="D92" s="32" t="s">
        <v>47</v>
      </c>
      <c r="E92" s="33"/>
      <c r="F92" s="33"/>
      <c r="G92" s="33"/>
      <c r="H92" s="33"/>
      <c r="I92" s="34" t="str">
        <f t="shared" si="6"/>
        <v>0/3</v>
      </c>
    </row>
    <row r="93" spans="1:9" x14ac:dyDescent="0.25">
      <c r="A93" s="30">
        <f>A88</f>
        <v>46216</v>
      </c>
      <c r="B93" s="31" t="s">
        <v>81</v>
      </c>
      <c r="C93" s="31" t="s">
        <v>48</v>
      </c>
      <c r="D93" s="32" t="s">
        <v>49</v>
      </c>
      <c r="E93" s="33"/>
      <c r="F93" s="33"/>
      <c r="G93" s="33"/>
      <c r="H93" s="33"/>
      <c r="I93" s="34" t="str">
        <f t="shared" si="6"/>
        <v>0/3</v>
      </c>
    </row>
    <row r="94" spans="1:9" x14ac:dyDescent="0.25">
      <c r="A94" s="30">
        <f>A88</f>
        <v>46216</v>
      </c>
      <c r="B94" s="31" t="s">
        <v>81</v>
      </c>
      <c r="C94" s="31" t="s">
        <v>50</v>
      </c>
      <c r="D94" s="32" t="s">
        <v>51</v>
      </c>
      <c r="E94" s="33"/>
      <c r="F94" s="33"/>
      <c r="G94" s="33"/>
      <c r="H94" s="33"/>
      <c r="I94" s="34" t="str">
        <f t="shared" si="6"/>
        <v>0/3</v>
      </c>
    </row>
    <row r="95" spans="1:9" x14ac:dyDescent="0.25">
      <c r="A95" s="30">
        <f>A88</f>
        <v>46216</v>
      </c>
      <c r="B95" s="31" t="s">
        <v>82</v>
      </c>
      <c r="C95" s="31" t="s">
        <v>37</v>
      </c>
      <c r="D95" s="32" t="s">
        <v>39</v>
      </c>
      <c r="E95" s="33"/>
      <c r="F95" s="33"/>
      <c r="G95" s="33"/>
      <c r="H95" s="33"/>
      <c r="I95" s="34" t="str">
        <f>COUNTA(E95:H95)&amp;"/4"</f>
        <v>0/4</v>
      </c>
    </row>
    <row r="96" spans="1:9" ht="30" x14ac:dyDescent="0.25">
      <c r="A96" s="30">
        <f>A88</f>
        <v>46216</v>
      </c>
      <c r="B96" s="31" t="s">
        <v>82</v>
      </c>
      <c r="C96" s="31" t="s">
        <v>40</v>
      </c>
      <c r="D96" s="32" t="s">
        <v>41</v>
      </c>
      <c r="E96" s="33"/>
      <c r="F96" s="33"/>
      <c r="G96" s="33"/>
      <c r="H96" s="33"/>
      <c r="I96" s="34" t="str">
        <f t="shared" ref="I96:I108" si="7">COUNTA(E96:G96)&amp;"/3"</f>
        <v>0/3</v>
      </c>
    </row>
    <row r="97" spans="1:9" x14ac:dyDescent="0.25">
      <c r="A97" s="30">
        <f>A88</f>
        <v>46216</v>
      </c>
      <c r="B97" s="31" t="s">
        <v>82</v>
      </c>
      <c r="C97" s="31" t="s">
        <v>42</v>
      </c>
      <c r="D97" s="32" t="s">
        <v>43</v>
      </c>
      <c r="E97" s="33"/>
      <c r="F97" s="33"/>
      <c r="G97" s="33"/>
      <c r="H97" s="33"/>
      <c r="I97" s="34" t="str">
        <f t="shared" si="7"/>
        <v>0/3</v>
      </c>
    </row>
    <row r="98" spans="1:9" x14ac:dyDescent="0.25">
      <c r="A98" s="30">
        <f>A88</f>
        <v>46216</v>
      </c>
      <c r="B98" s="31" t="s">
        <v>82</v>
      </c>
      <c r="C98" s="31" t="s">
        <v>44</v>
      </c>
      <c r="D98" s="32" t="s">
        <v>45</v>
      </c>
      <c r="E98" s="33"/>
      <c r="F98" s="33"/>
      <c r="G98" s="33"/>
      <c r="H98" s="33"/>
      <c r="I98" s="34" t="str">
        <f t="shared" si="7"/>
        <v>0/3</v>
      </c>
    </row>
    <row r="99" spans="1:9" x14ac:dyDescent="0.25">
      <c r="A99" s="30">
        <f>A88</f>
        <v>46216</v>
      </c>
      <c r="B99" s="31" t="s">
        <v>82</v>
      </c>
      <c r="C99" s="31" t="s">
        <v>46</v>
      </c>
      <c r="D99" s="32" t="s">
        <v>47</v>
      </c>
      <c r="E99" s="33"/>
      <c r="F99" s="33"/>
      <c r="G99" s="33"/>
      <c r="H99" s="33"/>
      <c r="I99" s="34" t="str">
        <f t="shared" si="7"/>
        <v>0/3</v>
      </c>
    </row>
    <row r="100" spans="1:9" x14ac:dyDescent="0.25">
      <c r="A100" s="30">
        <f>A88</f>
        <v>46216</v>
      </c>
      <c r="B100" s="31" t="s">
        <v>82</v>
      </c>
      <c r="C100" s="31" t="s">
        <v>48</v>
      </c>
      <c r="D100" s="32" t="s">
        <v>49</v>
      </c>
      <c r="E100" s="33"/>
      <c r="F100" s="33"/>
      <c r="G100" s="33"/>
      <c r="H100" s="33"/>
      <c r="I100" s="34" t="str">
        <f t="shared" si="7"/>
        <v>0/3</v>
      </c>
    </row>
    <row r="101" spans="1:9" x14ac:dyDescent="0.25">
      <c r="A101" s="30">
        <f>A88</f>
        <v>46216</v>
      </c>
      <c r="B101" s="31" t="s">
        <v>82</v>
      </c>
      <c r="C101" s="31" t="s">
        <v>50</v>
      </c>
      <c r="D101" s="32" t="s">
        <v>51</v>
      </c>
      <c r="E101" s="33"/>
      <c r="F101" s="33"/>
      <c r="G101" s="33"/>
      <c r="H101" s="33"/>
      <c r="I101" s="34" t="str">
        <f t="shared" si="7"/>
        <v>0/3</v>
      </c>
    </row>
    <row r="102" spans="1:9" x14ac:dyDescent="0.25">
      <c r="A102" s="30">
        <f>A88+7</f>
        <v>46223</v>
      </c>
      <c r="B102" s="31" t="s">
        <v>81</v>
      </c>
      <c r="C102" s="31" t="s">
        <v>37</v>
      </c>
      <c r="D102" s="32" t="s">
        <v>39</v>
      </c>
      <c r="E102" s="33"/>
      <c r="F102" s="33"/>
      <c r="G102" s="33"/>
      <c r="H102" s="33"/>
      <c r="I102" s="34" t="str">
        <f t="shared" si="7"/>
        <v>0/3</v>
      </c>
    </row>
    <row r="103" spans="1:9" ht="30" x14ac:dyDescent="0.25">
      <c r="A103" s="30">
        <f>A102</f>
        <v>46223</v>
      </c>
      <c r="B103" s="31" t="s">
        <v>81</v>
      </c>
      <c r="C103" s="31" t="s">
        <v>40</v>
      </c>
      <c r="D103" s="32" t="s">
        <v>41</v>
      </c>
      <c r="E103" s="33"/>
      <c r="F103" s="33"/>
      <c r="G103" s="33"/>
      <c r="H103" s="33"/>
      <c r="I103" s="34" t="str">
        <f t="shared" si="7"/>
        <v>0/3</v>
      </c>
    </row>
    <row r="104" spans="1:9" x14ac:dyDescent="0.25">
      <c r="A104" s="30">
        <f>A102</f>
        <v>46223</v>
      </c>
      <c r="B104" s="31" t="s">
        <v>81</v>
      </c>
      <c r="C104" s="31" t="s">
        <v>42</v>
      </c>
      <c r="D104" s="32" t="s">
        <v>43</v>
      </c>
      <c r="E104" s="33"/>
      <c r="F104" s="33"/>
      <c r="G104" s="33"/>
      <c r="H104" s="33"/>
      <c r="I104" s="34" t="str">
        <f t="shared" si="7"/>
        <v>0/3</v>
      </c>
    </row>
    <row r="105" spans="1:9" x14ac:dyDescent="0.25">
      <c r="A105" s="30">
        <f>A102</f>
        <v>46223</v>
      </c>
      <c r="B105" s="31" t="s">
        <v>81</v>
      </c>
      <c r="C105" s="31" t="s">
        <v>44</v>
      </c>
      <c r="D105" s="32" t="s">
        <v>45</v>
      </c>
      <c r="E105" s="33"/>
      <c r="F105" s="33"/>
      <c r="G105" s="33"/>
      <c r="H105" s="33"/>
      <c r="I105" s="34" t="str">
        <f t="shared" si="7"/>
        <v>0/3</v>
      </c>
    </row>
    <row r="106" spans="1:9" x14ac:dyDescent="0.25">
      <c r="A106" s="30">
        <f>A102</f>
        <v>46223</v>
      </c>
      <c r="B106" s="31" t="s">
        <v>81</v>
      </c>
      <c r="C106" s="31" t="s">
        <v>46</v>
      </c>
      <c r="D106" s="32" t="s">
        <v>47</v>
      </c>
      <c r="E106" s="33"/>
      <c r="F106" s="33"/>
      <c r="G106" s="33"/>
      <c r="H106" s="33"/>
      <c r="I106" s="34" t="str">
        <f t="shared" si="7"/>
        <v>0/3</v>
      </c>
    </row>
    <row r="107" spans="1:9" x14ac:dyDescent="0.25">
      <c r="A107" s="30">
        <f>A102</f>
        <v>46223</v>
      </c>
      <c r="B107" s="31" t="s">
        <v>81</v>
      </c>
      <c r="C107" s="31" t="s">
        <v>48</v>
      </c>
      <c r="D107" s="32" t="s">
        <v>49</v>
      </c>
      <c r="E107" s="33"/>
      <c r="F107" s="33"/>
      <c r="G107" s="33"/>
      <c r="H107" s="33"/>
      <c r="I107" s="34" t="str">
        <f t="shared" si="7"/>
        <v>0/3</v>
      </c>
    </row>
    <row r="108" spans="1:9" x14ac:dyDescent="0.25">
      <c r="A108" s="30">
        <f>A102</f>
        <v>46223</v>
      </c>
      <c r="B108" s="31" t="s">
        <v>81</v>
      </c>
      <c r="C108" s="31" t="s">
        <v>50</v>
      </c>
      <c r="D108" s="32" t="s">
        <v>51</v>
      </c>
      <c r="E108" s="33"/>
      <c r="F108" s="33"/>
      <c r="G108" s="33"/>
      <c r="H108" s="33"/>
      <c r="I108" s="34" t="str">
        <f t="shared" si="7"/>
        <v>0/3</v>
      </c>
    </row>
    <row r="109" spans="1:9" x14ac:dyDescent="0.25">
      <c r="A109" s="30">
        <f>A102</f>
        <v>46223</v>
      </c>
      <c r="B109" s="31" t="s">
        <v>82</v>
      </c>
      <c r="C109" s="31" t="s">
        <v>37</v>
      </c>
      <c r="D109" s="32" t="s">
        <v>39</v>
      </c>
      <c r="E109" s="33"/>
      <c r="F109" s="33"/>
      <c r="G109" s="33"/>
      <c r="H109" s="33"/>
      <c r="I109" s="34" t="str">
        <f>COUNTA(E109:H109)&amp;"/4"</f>
        <v>0/4</v>
      </c>
    </row>
    <row r="110" spans="1:9" ht="30" x14ac:dyDescent="0.25">
      <c r="A110" s="30">
        <f>A102</f>
        <v>46223</v>
      </c>
      <c r="B110" s="31" t="s">
        <v>82</v>
      </c>
      <c r="C110" s="31" t="s">
        <v>40</v>
      </c>
      <c r="D110" s="32" t="s">
        <v>41</v>
      </c>
      <c r="E110" s="33"/>
      <c r="F110" s="33"/>
      <c r="G110" s="33"/>
      <c r="H110" s="33"/>
      <c r="I110" s="34" t="str">
        <f t="shared" ref="I110:I122" si="8">COUNTA(E110:G110)&amp;"/3"</f>
        <v>0/3</v>
      </c>
    </row>
    <row r="111" spans="1:9" x14ac:dyDescent="0.25">
      <c r="A111" s="30">
        <f>A102</f>
        <v>46223</v>
      </c>
      <c r="B111" s="31" t="s">
        <v>82</v>
      </c>
      <c r="C111" s="31" t="s">
        <v>42</v>
      </c>
      <c r="D111" s="32" t="s">
        <v>43</v>
      </c>
      <c r="E111" s="33"/>
      <c r="F111" s="33"/>
      <c r="G111" s="33"/>
      <c r="H111" s="33"/>
      <c r="I111" s="34" t="str">
        <f t="shared" si="8"/>
        <v>0/3</v>
      </c>
    </row>
    <row r="112" spans="1:9" x14ac:dyDescent="0.25">
      <c r="A112" s="30">
        <f>A102</f>
        <v>46223</v>
      </c>
      <c r="B112" s="31" t="s">
        <v>82</v>
      </c>
      <c r="C112" s="31" t="s">
        <v>44</v>
      </c>
      <c r="D112" s="32" t="s">
        <v>45</v>
      </c>
      <c r="E112" s="33"/>
      <c r="F112" s="33"/>
      <c r="G112" s="33"/>
      <c r="H112" s="33"/>
      <c r="I112" s="34" t="str">
        <f t="shared" si="8"/>
        <v>0/3</v>
      </c>
    </row>
    <row r="113" spans="1:9" x14ac:dyDescent="0.25">
      <c r="A113" s="30">
        <f>A102</f>
        <v>46223</v>
      </c>
      <c r="B113" s="31" t="s">
        <v>82</v>
      </c>
      <c r="C113" s="31" t="s">
        <v>46</v>
      </c>
      <c r="D113" s="32" t="s">
        <v>47</v>
      </c>
      <c r="E113" s="33"/>
      <c r="F113" s="33"/>
      <c r="G113" s="33"/>
      <c r="H113" s="33"/>
      <c r="I113" s="34" t="str">
        <f t="shared" si="8"/>
        <v>0/3</v>
      </c>
    </row>
    <row r="114" spans="1:9" x14ac:dyDescent="0.25">
      <c r="A114" s="30">
        <f>A102</f>
        <v>46223</v>
      </c>
      <c r="B114" s="31" t="s">
        <v>82</v>
      </c>
      <c r="C114" s="31" t="s">
        <v>48</v>
      </c>
      <c r="D114" s="32" t="s">
        <v>49</v>
      </c>
      <c r="E114" s="33"/>
      <c r="F114" s="33"/>
      <c r="G114" s="33"/>
      <c r="H114" s="33"/>
      <c r="I114" s="34" t="str">
        <f t="shared" si="8"/>
        <v>0/3</v>
      </c>
    </row>
    <row r="115" spans="1:9" x14ac:dyDescent="0.25">
      <c r="A115" s="30">
        <f>A102</f>
        <v>46223</v>
      </c>
      <c r="B115" s="31" t="s">
        <v>82</v>
      </c>
      <c r="C115" s="31" t="s">
        <v>50</v>
      </c>
      <c r="D115" s="32" t="s">
        <v>51</v>
      </c>
      <c r="E115" s="33"/>
      <c r="F115" s="33"/>
      <c r="G115" s="33"/>
      <c r="H115" s="33"/>
      <c r="I115" s="34" t="str">
        <f t="shared" si="8"/>
        <v>0/3</v>
      </c>
    </row>
    <row r="116" spans="1:9" x14ac:dyDescent="0.25">
      <c r="A116" s="30">
        <f>A102+7</f>
        <v>46230</v>
      </c>
      <c r="B116" s="31" t="s">
        <v>81</v>
      </c>
      <c r="C116" s="31" t="s">
        <v>37</v>
      </c>
      <c r="D116" s="32" t="s">
        <v>39</v>
      </c>
      <c r="E116" s="33"/>
      <c r="F116" s="33"/>
      <c r="G116" s="33"/>
      <c r="H116" s="33"/>
      <c r="I116" s="34" t="str">
        <f t="shared" si="8"/>
        <v>0/3</v>
      </c>
    </row>
    <row r="117" spans="1:9" ht="30" x14ac:dyDescent="0.25">
      <c r="A117" s="30">
        <f>A116</f>
        <v>46230</v>
      </c>
      <c r="B117" s="31" t="s">
        <v>81</v>
      </c>
      <c r="C117" s="31" t="s">
        <v>40</v>
      </c>
      <c r="D117" s="32" t="s">
        <v>41</v>
      </c>
      <c r="E117" s="33"/>
      <c r="F117" s="33"/>
      <c r="G117" s="33"/>
      <c r="H117" s="33"/>
      <c r="I117" s="34" t="str">
        <f t="shared" si="8"/>
        <v>0/3</v>
      </c>
    </row>
    <row r="118" spans="1:9" x14ac:dyDescent="0.25">
      <c r="A118" s="30">
        <f>A116</f>
        <v>46230</v>
      </c>
      <c r="B118" s="31" t="s">
        <v>81</v>
      </c>
      <c r="C118" s="31" t="s">
        <v>42</v>
      </c>
      <c r="D118" s="32" t="s">
        <v>43</v>
      </c>
      <c r="E118" s="33"/>
      <c r="F118" s="33"/>
      <c r="G118" s="33"/>
      <c r="H118" s="33"/>
      <c r="I118" s="34" t="str">
        <f t="shared" si="8"/>
        <v>0/3</v>
      </c>
    </row>
    <row r="119" spans="1:9" x14ac:dyDescent="0.25">
      <c r="A119" s="30">
        <f>A116</f>
        <v>46230</v>
      </c>
      <c r="B119" s="31" t="s">
        <v>81</v>
      </c>
      <c r="C119" s="31" t="s">
        <v>44</v>
      </c>
      <c r="D119" s="32" t="s">
        <v>45</v>
      </c>
      <c r="E119" s="33"/>
      <c r="F119" s="33"/>
      <c r="G119" s="33"/>
      <c r="H119" s="33"/>
      <c r="I119" s="34" t="str">
        <f t="shared" si="8"/>
        <v>0/3</v>
      </c>
    </row>
    <row r="120" spans="1:9" x14ac:dyDescent="0.25">
      <c r="A120" s="30">
        <f>A116</f>
        <v>46230</v>
      </c>
      <c r="B120" s="31" t="s">
        <v>81</v>
      </c>
      <c r="C120" s="31" t="s">
        <v>46</v>
      </c>
      <c r="D120" s="32" t="s">
        <v>47</v>
      </c>
      <c r="E120" s="33"/>
      <c r="F120" s="33"/>
      <c r="G120" s="33"/>
      <c r="H120" s="33"/>
      <c r="I120" s="34" t="str">
        <f t="shared" si="8"/>
        <v>0/3</v>
      </c>
    </row>
    <row r="121" spans="1:9" x14ac:dyDescent="0.25">
      <c r="A121" s="30">
        <f>A116</f>
        <v>46230</v>
      </c>
      <c r="B121" s="31" t="s">
        <v>81</v>
      </c>
      <c r="C121" s="31" t="s">
        <v>48</v>
      </c>
      <c r="D121" s="32" t="s">
        <v>49</v>
      </c>
      <c r="E121" s="33"/>
      <c r="F121" s="33"/>
      <c r="G121" s="33"/>
      <c r="H121" s="33"/>
      <c r="I121" s="34" t="str">
        <f t="shared" si="8"/>
        <v>0/3</v>
      </c>
    </row>
    <row r="122" spans="1:9" x14ac:dyDescent="0.25">
      <c r="A122" s="30">
        <f>A116</f>
        <v>46230</v>
      </c>
      <c r="B122" s="31" t="s">
        <v>81</v>
      </c>
      <c r="C122" s="31" t="s">
        <v>50</v>
      </c>
      <c r="D122" s="32" t="s">
        <v>51</v>
      </c>
      <c r="E122" s="33"/>
      <c r="F122" s="33"/>
      <c r="G122" s="33"/>
      <c r="H122" s="33"/>
      <c r="I122" s="34" t="str">
        <f t="shared" si="8"/>
        <v>0/3</v>
      </c>
    </row>
    <row r="123" spans="1:9" x14ac:dyDescent="0.25">
      <c r="A123" s="30">
        <f>A116</f>
        <v>46230</v>
      </c>
      <c r="B123" s="31" t="s">
        <v>82</v>
      </c>
      <c r="C123" s="31" t="s">
        <v>37</v>
      </c>
      <c r="D123" s="32" t="s">
        <v>39</v>
      </c>
      <c r="E123" s="33"/>
      <c r="F123" s="33"/>
      <c r="G123" s="33"/>
      <c r="H123" s="33"/>
      <c r="I123" s="34" t="str">
        <f>COUNTA(E123:H123)&amp;"/4"</f>
        <v>0/4</v>
      </c>
    </row>
    <row r="124" spans="1:9" ht="30" x14ac:dyDescent="0.25">
      <c r="A124" s="30">
        <f>A116</f>
        <v>46230</v>
      </c>
      <c r="B124" s="31" t="s">
        <v>82</v>
      </c>
      <c r="C124" s="31" t="s">
        <v>40</v>
      </c>
      <c r="D124" s="32" t="s">
        <v>41</v>
      </c>
      <c r="E124" s="33"/>
      <c r="F124" s="33"/>
      <c r="G124" s="33"/>
      <c r="H124" s="33"/>
      <c r="I124" s="34" t="str">
        <f t="shared" ref="I124:I136" si="9">COUNTA(E124:G124)&amp;"/3"</f>
        <v>0/3</v>
      </c>
    </row>
    <row r="125" spans="1:9" x14ac:dyDescent="0.25">
      <c r="A125" s="30">
        <f>A116</f>
        <v>46230</v>
      </c>
      <c r="B125" s="31" t="s">
        <v>82</v>
      </c>
      <c r="C125" s="31" t="s">
        <v>42</v>
      </c>
      <c r="D125" s="32" t="s">
        <v>43</v>
      </c>
      <c r="E125" s="33"/>
      <c r="F125" s="33"/>
      <c r="G125" s="33"/>
      <c r="H125" s="33"/>
      <c r="I125" s="34" t="str">
        <f t="shared" si="9"/>
        <v>0/3</v>
      </c>
    </row>
    <row r="126" spans="1:9" x14ac:dyDescent="0.25">
      <c r="A126" s="30">
        <f>A116</f>
        <v>46230</v>
      </c>
      <c r="B126" s="31" t="s">
        <v>82</v>
      </c>
      <c r="C126" s="31" t="s">
        <v>44</v>
      </c>
      <c r="D126" s="32" t="s">
        <v>45</v>
      </c>
      <c r="E126" s="33"/>
      <c r="F126" s="33"/>
      <c r="G126" s="33"/>
      <c r="H126" s="33"/>
      <c r="I126" s="34" t="str">
        <f t="shared" si="9"/>
        <v>0/3</v>
      </c>
    </row>
    <row r="127" spans="1:9" x14ac:dyDescent="0.25">
      <c r="A127" s="30">
        <f>A116</f>
        <v>46230</v>
      </c>
      <c r="B127" s="31" t="s">
        <v>82</v>
      </c>
      <c r="C127" s="31" t="s">
        <v>46</v>
      </c>
      <c r="D127" s="32" t="s">
        <v>47</v>
      </c>
      <c r="E127" s="33"/>
      <c r="F127" s="33"/>
      <c r="G127" s="33"/>
      <c r="H127" s="33"/>
      <c r="I127" s="34" t="str">
        <f t="shared" si="9"/>
        <v>0/3</v>
      </c>
    </row>
    <row r="128" spans="1:9" x14ac:dyDescent="0.25">
      <c r="A128" s="30">
        <f>A116</f>
        <v>46230</v>
      </c>
      <c r="B128" s="31" t="s">
        <v>82</v>
      </c>
      <c r="C128" s="31" t="s">
        <v>48</v>
      </c>
      <c r="D128" s="32" t="s">
        <v>49</v>
      </c>
      <c r="E128" s="33"/>
      <c r="F128" s="33"/>
      <c r="G128" s="33"/>
      <c r="H128" s="33"/>
      <c r="I128" s="34" t="str">
        <f t="shared" si="9"/>
        <v>0/3</v>
      </c>
    </row>
    <row r="129" spans="1:9" x14ac:dyDescent="0.25">
      <c r="A129" s="30">
        <f>A116</f>
        <v>46230</v>
      </c>
      <c r="B129" s="31" t="s">
        <v>82</v>
      </c>
      <c r="C129" s="31" t="s">
        <v>50</v>
      </c>
      <c r="D129" s="32" t="s">
        <v>51</v>
      </c>
      <c r="E129" s="33"/>
      <c r="F129" s="33"/>
      <c r="G129" s="33"/>
      <c r="H129" s="33"/>
      <c r="I129" s="34" t="str">
        <f t="shared" si="9"/>
        <v>0/3</v>
      </c>
    </row>
    <row r="130" spans="1:9" x14ac:dyDescent="0.25">
      <c r="A130" s="30">
        <f>A116+7</f>
        <v>46237</v>
      </c>
      <c r="B130" s="31" t="s">
        <v>81</v>
      </c>
      <c r="C130" s="31" t="s">
        <v>37</v>
      </c>
      <c r="D130" s="32" t="s">
        <v>39</v>
      </c>
      <c r="E130" s="33"/>
      <c r="F130" s="33"/>
      <c r="G130" s="33"/>
      <c r="H130" s="33"/>
      <c r="I130" s="34" t="str">
        <f t="shared" si="9"/>
        <v>0/3</v>
      </c>
    </row>
    <row r="131" spans="1:9" ht="30" x14ac:dyDescent="0.25">
      <c r="A131" s="30">
        <f>A130</f>
        <v>46237</v>
      </c>
      <c r="B131" s="31" t="s">
        <v>81</v>
      </c>
      <c r="C131" s="31" t="s">
        <v>40</v>
      </c>
      <c r="D131" s="32" t="s">
        <v>41</v>
      </c>
      <c r="E131" s="33"/>
      <c r="F131" s="33"/>
      <c r="G131" s="33"/>
      <c r="H131" s="33"/>
      <c r="I131" s="34" t="str">
        <f t="shared" si="9"/>
        <v>0/3</v>
      </c>
    </row>
    <row r="132" spans="1:9" x14ac:dyDescent="0.25">
      <c r="A132" s="30">
        <f>A130</f>
        <v>46237</v>
      </c>
      <c r="B132" s="31" t="s">
        <v>81</v>
      </c>
      <c r="C132" s="31" t="s">
        <v>42</v>
      </c>
      <c r="D132" s="32" t="s">
        <v>43</v>
      </c>
      <c r="E132" s="33"/>
      <c r="F132" s="33"/>
      <c r="G132" s="33"/>
      <c r="H132" s="33"/>
      <c r="I132" s="34" t="str">
        <f t="shared" si="9"/>
        <v>0/3</v>
      </c>
    </row>
    <row r="133" spans="1:9" x14ac:dyDescent="0.25">
      <c r="A133" s="30">
        <f>A130</f>
        <v>46237</v>
      </c>
      <c r="B133" s="31" t="s">
        <v>81</v>
      </c>
      <c r="C133" s="31" t="s">
        <v>44</v>
      </c>
      <c r="D133" s="32" t="s">
        <v>45</v>
      </c>
      <c r="E133" s="33"/>
      <c r="F133" s="33"/>
      <c r="G133" s="33"/>
      <c r="H133" s="33"/>
      <c r="I133" s="34" t="str">
        <f t="shared" si="9"/>
        <v>0/3</v>
      </c>
    </row>
    <row r="134" spans="1:9" x14ac:dyDescent="0.25">
      <c r="A134" s="30">
        <f>A130</f>
        <v>46237</v>
      </c>
      <c r="B134" s="31" t="s">
        <v>81</v>
      </c>
      <c r="C134" s="31" t="s">
        <v>46</v>
      </c>
      <c r="D134" s="32" t="s">
        <v>47</v>
      </c>
      <c r="E134" s="33"/>
      <c r="F134" s="33"/>
      <c r="G134" s="33"/>
      <c r="H134" s="33"/>
      <c r="I134" s="34" t="str">
        <f t="shared" si="9"/>
        <v>0/3</v>
      </c>
    </row>
    <row r="135" spans="1:9" x14ac:dyDescent="0.25">
      <c r="A135" s="30">
        <f>A130</f>
        <v>46237</v>
      </c>
      <c r="B135" s="31" t="s">
        <v>81</v>
      </c>
      <c r="C135" s="31" t="s">
        <v>48</v>
      </c>
      <c r="D135" s="32" t="s">
        <v>49</v>
      </c>
      <c r="E135" s="33"/>
      <c r="F135" s="33"/>
      <c r="G135" s="33"/>
      <c r="H135" s="33"/>
      <c r="I135" s="34" t="str">
        <f t="shared" si="9"/>
        <v>0/3</v>
      </c>
    </row>
    <row r="136" spans="1:9" x14ac:dyDescent="0.25">
      <c r="A136" s="30">
        <f>A130</f>
        <v>46237</v>
      </c>
      <c r="B136" s="31" t="s">
        <v>81</v>
      </c>
      <c r="C136" s="31" t="s">
        <v>50</v>
      </c>
      <c r="D136" s="32" t="s">
        <v>51</v>
      </c>
      <c r="E136" s="33"/>
      <c r="F136" s="33"/>
      <c r="G136" s="33"/>
      <c r="H136" s="33"/>
      <c r="I136" s="34" t="str">
        <f t="shared" si="9"/>
        <v>0/3</v>
      </c>
    </row>
    <row r="137" spans="1:9" x14ac:dyDescent="0.25">
      <c r="A137" s="30">
        <f>A130</f>
        <v>46237</v>
      </c>
      <c r="B137" s="31" t="s">
        <v>82</v>
      </c>
      <c r="C137" s="31" t="s">
        <v>37</v>
      </c>
      <c r="D137" s="32" t="s">
        <v>39</v>
      </c>
      <c r="E137" s="33"/>
      <c r="F137" s="33"/>
      <c r="G137" s="33"/>
      <c r="H137" s="33"/>
      <c r="I137" s="34" t="str">
        <f>COUNTA(E137:H137)&amp;"/4"</f>
        <v>0/4</v>
      </c>
    </row>
    <row r="138" spans="1:9" ht="30" x14ac:dyDescent="0.25">
      <c r="A138" s="30">
        <f>A130</f>
        <v>46237</v>
      </c>
      <c r="B138" s="31" t="s">
        <v>82</v>
      </c>
      <c r="C138" s="31" t="s">
        <v>40</v>
      </c>
      <c r="D138" s="32" t="s">
        <v>41</v>
      </c>
      <c r="E138" s="33"/>
      <c r="F138" s="33"/>
      <c r="G138" s="33"/>
      <c r="H138" s="33"/>
      <c r="I138" s="34" t="str">
        <f t="shared" ref="I138:I150" si="10">COUNTA(E138:G138)&amp;"/3"</f>
        <v>0/3</v>
      </c>
    </row>
    <row r="139" spans="1:9" x14ac:dyDescent="0.25">
      <c r="A139" s="30">
        <f>A130</f>
        <v>46237</v>
      </c>
      <c r="B139" s="31" t="s">
        <v>82</v>
      </c>
      <c r="C139" s="31" t="s">
        <v>42</v>
      </c>
      <c r="D139" s="32" t="s">
        <v>43</v>
      </c>
      <c r="E139" s="33"/>
      <c r="F139" s="33"/>
      <c r="G139" s="33"/>
      <c r="H139" s="33"/>
      <c r="I139" s="34" t="str">
        <f t="shared" si="10"/>
        <v>0/3</v>
      </c>
    </row>
    <row r="140" spans="1:9" x14ac:dyDescent="0.25">
      <c r="A140" s="30">
        <f>A130</f>
        <v>46237</v>
      </c>
      <c r="B140" s="31" t="s">
        <v>82</v>
      </c>
      <c r="C140" s="31" t="s">
        <v>44</v>
      </c>
      <c r="D140" s="32" t="s">
        <v>45</v>
      </c>
      <c r="E140" s="33"/>
      <c r="F140" s="33"/>
      <c r="G140" s="33"/>
      <c r="H140" s="33"/>
      <c r="I140" s="34" t="str">
        <f t="shared" si="10"/>
        <v>0/3</v>
      </c>
    </row>
    <row r="141" spans="1:9" x14ac:dyDescent="0.25">
      <c r="A141" s="30">
        <f>A130</f>
        <v>46237</v>
      </c>
      <c r="B141" s="31" t="s">
        <v>82</v>
      </c>
      <c r="C141" s="31" t="s">
        <v>46</v>
      </c>
      <c r="D141" s="32" t="s">
        <v>47</v>
      </c>
      <c r="E141" s="33"/>
      <c r="F141" s="33"/>
      <c r="G141" s="33"/>
      <c r="H141" s="33"/>
      <c r="I141" s="34" t="str">
        <f t="shared" si="10"/>
        <v>0/3</v>
      </c>
    </row>
    <row r="142" spans="1:9" x14ac:dyDescent="0.25">
      <c r="A142" s="30">
        <f>A130</f>
        <v>46237</v>
      </c>
      <c r="B142" s="31" t="s">
        <v>82</v>
      </c>
      <c r="C142" s="31" t="s">
        <v>48</v>
      </c>
      <c r="D142" s="32" t="s">
        <v>49</v>
      </c>
      <c r="E142" s="33"/>
      <c r="F142" s="33"/>
      <c r="G142" s="33"/>
      <c r="H142" s="33"/>
      <c r="I142" s="34" t="str">
        <f t="shared" si="10"/>
        <v>0/3</v>
      </c>
    </row>
    <row r="143" spans="1:9" x14ac:dyDescent="0.25">
      <c r="A143" s="30">
        <f>A130</f>
        <v>46237</v>
      </c>
      <c r="B143" s="31" t="s">
        <v>82</v>
      </c>
      <c r="C143" s="31" t="s">
        <v>50</v>
      </c>
      <c r="D143" s="32" t="s">
        <v>51</v>
      </c>
      <c r="E143" s="33"/>
      <c r="F143" s="33"/>
      <c r="G143" s="33"/>
      <c r="H143" s="33"/>
      <c r="I143" s="34" t="str">
        <f t="shared" si="10"/>
        <v>0/3</v>
      </c>
    </row>
    <row r="144" spans="1:9" x14ac:dyDescent="0.25">
      <c r="A144" s="30">
        <f>A130+7</f>
        <v>46244</v>
      </c>
      <c r="B144" s="31" t="s">
        <v>81</v>
      </c>
      <c r="C144" s="31" t="s">
        <v>37</v>
      </c>
      <c r="D144" s="32" t="s">
        <v>39</v>
      </c>
      <c r="E144" s="33"/>
      <c r="F144" s="33"/>
      <c r="G144" s="33"/>
      <c r="H144" s="33"/>
      <c r="I144" s="34" t="str">
        <f t="shared" si="10"/>
        <v>0/3</v>
      </c>
    </row>
    <row r="145" spans="1:9" ht="30" x14ac:dyDescent="0.25">
      <c r="A145" s="30">
        <f>A144</f>
        <v>46244</v>
      </c>
      <c r="B145" s="31" t="s">
        <v>81</v>
      </c>
      <c r="C145" s="31" t="s">
        <v>40</v>
      </c>
      <c r="D145" s="32" t="s">
        <v>41</v>
      </c>
      <c r="E145" s="33"/>
      <c r="F145" s="33"/>
      <c r="G145" s="33"/>
      <c r="H145" s="33"/>
      <c r="I145" s="34" t="str">
        <f t="shared" si="10"/>
        <v>0/3</v>
      </c>
    </row>
    <row r="146" spans="1:9" x14ac:dyDescent="0.25">
      <c r="A146" s="30">
        <f>A144</f>
        <v>46244</v>
      </c>
      <c r="B146" s="31" t="s">
        <v>81</v>
      </c>
      <c r="C146" s="31" t="s">
        <v>42</v>
      </c>
      <c r="D146" s="32" t="s">
        <v>43</v>
      </c>
      <c r="E146" s="33"/>
      <c r="F146" s="33"/>
      <c r="G146" s="33"/>
      <c r="H146" s="33"/>
      <c r="I146" s="34" t="str">
        <f t="shared" si="10"/>
        <v>0/3</v>
      </c>
    </row>
    <row r="147" spans="1:9" x14ac:dyDescent="0.25">
      <c r="A147" s="30">
        <f>A144</f>
        <v>46244</v>
      </c>
      <c r="B147" s="31" t="s">
        <v>81</v>
      </c>
      <c r="C147" s="31" t="s">
        <v>44</v>
      </c>
      <c r="D147" s="32" t="s">
        <v>45</v>
      </c>
      <c r="E147" s="33"/>
      <c r="F147" s="33"/>
      <c r="G147" s="33"/>
      <c r="H147" s="33"/>
      <c r="I147" s="34" t="str">
        <f t="shared" si="10"/>
        <v>0/3</v>
      </c>
    </row>
    <row r="148" spans="1:9" x14ac:dyDescent="0.25">
      <c r="A148" s="30">
        <f>A144</f>
        <v>46244</v>
      </c>
      <c r="B148" s="31" t="s">
        <v>81</v>
      </c>
      <c r="C148" s="31" t="s">
        <v>46</v>
      </c>
      <c r="D148" s="32" t="s">
        <v>47</v>
      </c>
      <c r="E148" s="33"/>
      <c r="F148" s="33"/>
      <c r="G148" s="33"/>
      <c r="H148" s="33"/>
      <c r="I148" s="34" t="str">
        <f t="shared" si="10"/>
        <v>0/3</v>
      </c>
    </row>
    <row r="149" spans="1:9" x14ac:dyDescent="0.25">
      <c r="A149" s="30">
        <f>A144</f>
        <v>46244</v>
      </c>
      <c r="B149" s="31" t="s">
        <v>81</v>
      </c>
      <c r="C149" s="31" t="s">
        <v>48</v>
      </c>
      <c r="D149" s="32" t="s">
        <v>49</v>
      </c>
      <c r="E149" s="33"/>
      <c r="F149" s="33"/>
      <c r="G149" s="33"/>
      <c r="H149" s="33"/>
      <c r="I149" s="34" t="str">
        <f t="shared" si="10"/>
        <v>0/3</v>
      </c>
    </row>
    <row r="150" spans="1:9" x14ac:dyDescent="0.25">
      <c r="A150" s="30">
        <f>A144</f>
        <v>46244</v>
      </c>
      <c r="B150" s="31" t="s">
        <v>81</v>
      </c>
      <c r="C150" s="31" t="s">
        <v>50</v>
      </c>
      <c r="D150" s="32" t="s">
        <v>51</v>
      </c>
      <c r="E150" s="33"/>
      <c r="F150" s="33"/>
      <c r="G150" s="33"/>
      <c r="H150" s="33"/>
      <c r="I150" s="34" t="str">
        <f t="shared" si="10"/>
        <v>0/3</v>
      </c>
    </row>
    <row r="151" spans="1:9" x14ac:dyDescent="0.25">
      <c r="A151" s="30">
        <f>A144</f>
        <v>46244</v>
      </c>
      <c r="B151" s="31" t="s">
        <v>82</v>
      </c>
      <c r="C151" s="31" t="s">
        <v>37</v>
      </c>
      <c r="D151" s="32" t="s">
        <v>39</v>
      </c>
      <c r="E151" s="33"/>
      <c r="F151" s="33"/>
      <c r="G151" s="33"/>
      <c r="H151" s="33"/>
      <c r="I151" s="34" t="str">
        <f>COUNTA(E151:H151)&amp;"/4"</f>
        <v>0/4</v>
      </c>
    </row>
    <row r="152" spans="1:9" ht="30" x14ac:dyDescent="0.25">
      <c r="A152" s="30">
        <f>A144</f>
        <v>46244</v>
      </c>
      <c r="B152" s="31" t="s">
        <v>82</v>
      </c>
      <c r="C152" s="31" t="s">
        <v>40</v>
      </c>
      <c r="D152" s="32" t="s">
        <v>41</v>
      </c>
      <c r="E152" s="33"/>
      <c r="F152" s="33"/>
      <c r="G152" s="33"/>
      <c r="H152" s="33"/>
      <c r="I152" s="34" t="str">
        <f t="shared" ref="I152:I164" si="11">COUNTA(E152:G152)&amp;"/3"</f>
        <v>0/3</v>
      </c>
    </row>
    <row r="153" spans="1:9" x14ac:dyDescent="0.25">
      <c r="A153" s="30">
        <f>A144</f>
        <v>46244</v>
      </c>
      <c r="B153" s="31" t="s">
        <v>82</v>
      </c>
      <c r="C153" s="31" t="s">
        <v>42</v>
      </c>
      <c r="D153" s="32" t="s">
        <v>43</v>
      </c>
      <c r="E153" s="33"/>
      <c r="F153" s="33"/>
      <c r="G153" s="33"/>
      <c r="H153" s="33"/>
      <c r="I153" s="34" t="str">
        <f t="shared" si="11"/>
        <v>0/3</v>
      </c>
    </row>
    <row r="154" spans="1:9" x14ac:dyDescent="0.25">
      <c r="A154" s="30">
        <f>A144</f>
        <v>46244</v>
      </c>
      <c r="B154" s="31" t="s">
        <v>82</v>
      </c>
      <c r="C154" s="31" t="s">
        <v>44</v>
      </c>
      <c r="D154" s="32" t="s">
        <v>45</v>
      </c>
      <c r="E154" s="33"/>
      <c r="F154" s="33"/>
      <c r="G154" s="33"/>
      <c r="H154" s="33"/>
      <c r="I154" s="34" t="str">
        <f t="shared" si="11"/>
        <v>0/3</v>
      </c>
    </row>
    <row r="155" spans="1:9" x14ac:dyDescent="0.25">
      <c r="A155" s="30">
        <f>A144</f>
        <v>46244</v>
      </c>
      <c r="B155" s="31" t="s">
        <v>82</v>
      </c>
      <c r="C155" s="31" t="s">
        <v>46</v>
      </c>
      <c r="D155" s="32" t="s">
        <v>47</v>
      </c>
      <c r="E155" s="33"/>
      <c r="F155" s="33"/>
      <c r="G155" s="33"/>
      <c r="H155" s="33"/>
      <c r="I155" s="34" t="str">
        <f t="shared" si="11"/>
        <v>0/3</v>
      </c>
    </row>
    <row r="156" spans="1:9" x14ac:dyDescent="0.25">
      <c r="A156" s="30">
        <f>A144</f>
        <v>46244</v>
      </c>
      <c r="B156" s="31" t="s">
        <v>82</v>
      </c>
      <c r="C156" s="31" t="s">
        <v>48</v>
      </c>
      <c r="D156" s="32" t="s">
        <v>49</v>
      </c>
      <c r="E156" s="33"/>
      <c r="F156" s="33"/>
      <c r="G156" s="33"/>
      <c r="H156" s="33"/>
      <c r="I156" s="34" t="str">
        <f t="shared" si="11"/>
        <v>0/3</v>
      </c>
    </row>
    <row r="157" spans="1:9" x14ac:dyDescent="0.25">
      <c r="A157" s="30">
        <f>A144</f>
        <v>46244</v>
      </c>
      <c r="B157" s="31" t="s">
        <v>82</v>
      </c>
      <c r="C157" s="31" t="s">
        <v>50</v>
      </c>
      <c r="D157" s="32" t="s">
        <v>51</v>
      </c>
      <c r="E157" s="33"/>
      <c r="F157" s="33"/>
      <c r="G157" s="33"/>
      <c r="H157" s="33"/>
      <c r="I157" s="34" t="str">
        <f t="shared" si="11"/>
        <v>0/3</v>
      </c>
    </row>
    <row r="158" spans="1:9" x14ac:dyDescent="0.25">
      <c r="A158" s="30">
        <f>A144+7</f>
        <v>46251</v>
      </c>
      <c r="B158" s="31" t="s">
        <v>81</v>
      </c>
      <c r="C158" s="31" t="s">
        <v>37</v>
      </c>
      <c r="D158" s="32" t="s">
        <v>39</v>
      </c>
      <c r="E158" s="33"/>
      <c r="F158" s="33"/>
      <c r="G158" s="33"/>
      <c r="H158" s="33"/>
      <c r="I158" s="34" t="str">
        <f t="shared" si="11"/>
        <v>0/3</v>
      </c>
    </row>
    <row r="159" spans="1:9" ht="30" x14ac:dyDescent="0.25">
      <c r="A159" s="30">
        <f>A158</f>
        <v>46251</v>
      </c>
      <c r="B159" s="31" t="s">
        <v>81</v>
      </c>
      <c r="C159" s="31" t="s">
        <v>40</v>
      </c>
      <c r="D159" s="32" t="s">
        <v>41</v>
      </c>
      <c r="E159" s="33"/>
      <c r="F159" s="33"/>
      <c r="G159" s="33"/>
      <c r="H159" s="33"/>
      <c r="I159" s="34" t="str">
        <f t="shared" si="11"/>
        <v>0/3</v>
      </c>
    </row>
    <row r="160" spans="1:9" x14ac:dyDescent="0.25">
      <c r="A160" s="30">
        <f>A158</f>
        <v>46251</v>
      </c>
      <c r="B160" s="31" t="s">
        <v>81</v>
      </c>
      <c r="C160" s="31" t="s">
        <v>42</v>
      </c>
      <c r="D160" s="32" t="s">
        <v>43</v>
      </c>
      <c r="E160" s="33"/>
      <c r="F160" s="33"/>
      <c r="G160" s="33"/>
      <c r="H160" s="33"/>
      <c r="I160" s="34" t="str">
        <f t="shared" si="11"/>
        <v>0/3</v>
      </c>
    </row>
    <row r="161" spans="1:9" x14ac:dyDescent="0.25">
      <c r="A161" s="30">
        <f>A158</f>
        <v>46251</v>
      </c>
      <c r="B161" s="31" t="s">
        <v>81</v>
      </c>
      <c r="C161" s="31" t="s">
        <v>44</v>
      </c>
      <c r="D161" s="32" t="s">
        <v>45</v>
      </c>
      <c r="E161" s="33"/>
      <c r="F161" s="33"/>
      <c r="G161" s="33"/>
      <c r="H161" s="33"/>
      <c r="I161" s="34" t="str">
        <f t="shared" si="11"/>
        <v>0/3</v>
      </c>
    </row>
    <row r="162" spans="1:9" x14ac:dyDescent="0.25">
      <c r="A162" s="30">
        <f>A158</f>
        <v>46251</v>
      </c>
      <c r="B162" s="31" t="s">
        <v>81</v>
      </c>
      <c r="C162" s="31" t="s">
        <v>46</v>
      </c>
      <c r="D162" s="32" t="s">
        <v>47</v>
      </c>
      <c r="E162" s="33"/>
      <c r="F162" s="33"/>
      <c r="G162" s="33"/>
      <c r="H162" s="33"/>
      <c r="I162" s="34" t="str">
        <f t="shared" si="11"/>
        <v>0/3</v>
      </c>
    </row>
    <row r="163" spans="1:9" x14ac:dyDescent="0.25">
      <c r="A163" s="30">
        <f>A158</f>
        <v>46251</v>
      </c>
      <c r="B163" s="31" t="s">
        <v>81</v>
      </c>
      <c r="C163" s="31" t="s">
        <v>48</v>
      </c>
      <c r="D163" s="32" t="s">
        <v>49</v>
      </c>
      <c r="E163" s="33"/>
      <c r="F163" s="33"/>
      <c r="G163" s="33"/>
      <c r="H163" s="33"/>
      <c r="I163" s="34" t="str">
        <f t="shared" si="11"/>
        <v>0/3</v>
      </c>
    </row>
    <row r="164" spans="1:9" x14ac:dyDescent="0.25">
      <c r="A164" s="30">
        <f>A158</f>
        <v>46251</v>
      </c>
      <c r="B164" s="31" t="s">
        <v>81</v>
      </c>
      <c r="C164" s="31" t="s">
        <v>50</v>
      </c>
      <c r="D164" s="32" t="s">
        <v>51</v>
      </c>
      <c r="E164" s="33"/>
      <c r="F164" s="33"/>
      <c r="G164" s="33"/>
      <c r="H164" s="33"/>
      <c r="I164" s="34" t="str">
        <f t="shared" si="11"/>
        <v>0/3</v>
      </c>
    </row>
    <row r="165" spans="1:9" x14ac:dyDescent="0.25">
      <c r="A165" s="30">
        <f>A158</f>
        <v>46251</v>
      </c>
      <c r="B165" s="31" t="s">
        <v>82</v>
      </c>
      <c r="C165" s="31" t="s">
        <v>37</v>
      </c>
      <c r="D165" s="32" t="s">
        <v>39</v>
      </c>
      <c r="E165" s="33"/>
      <c r="F165" s="33"/>
      <c r="G165" s="33"/>
      <c r="H165" s="33"/>
      <c r="I165" s="34" t="str">
        <f>COUNTA(E165:H165)&amp;"/4"</f>
        <v>0/4</v>
      </c>
    </row>
    <row r="166" spans="1:9" ht="30" x14ac:dyDescent="0.25">
      <c r="A166" s="30">
        <f>A158</f>
        <v>46251</v>
      </c>
      <c r="B166" s="31" t="s">
        <v>82</v>
      </c>
      <c r="C166" s="31" t="s">
        <v>40</v>
      </c>
      <c r="D166" s="32" t="s">
        <v>41</v>
      </c>
      <c r="E166" s="33"/>
      <c r="F166" s="33"/>
      <c r="G166" s="33"/>
      <c r="H166" s="33"/>
      <c r="I166" s="34" t="str">
        <f t="shared" ref="I166:I178" si="12">COUNTA(E166:G166)&amp;"/3"</f>
        <v>0/3</v>
      </c>
    </row>
    <row r="167" spans="1:9" x14ac:dyDescent="0.25">
      <c r="A167" s="30">
        <f>A158</f>
        <v>46251</v>
      </c>
      <c r="B167" s="31" t="s">
        <v>82</v>
      </c>
      <c r="C167" s="31" t="s">
        <v>42</v>
      </c>
      <c r="D167" s="32" t="s">
        <v>43</v>
      </c>
      <c r="E167" s="33"/>
      <c r="F167" s="33"/>
      <c r="G167" s="33"/>
      <c r="H167" s="33"/>
      <c r="I167" s="34" t="str">
        <f t="shared" si="12"/>
        <v>0/3</v>
      </c>
    </row>
    <row r="168" spans="1:9" x14ac:dyDescent="0.25">
      <c r="A168" s="30">
        <f>A158</f>
        <v>46251</v>
      </c>
      <c r="B168" s="31" t="s">
        <v>82</v>
      </c>
      <c r="C168" s="31" t="s">
        <v>44</v>
      </c>
      <c r="D168" s="32" t="s">
        <v>45</v>
      </c>
      <c r="E168" s="33"/>
      <c r="F168" s="33"/>
      <c r="G168" s="33"/>
      <c r="H168" s="33"/>
      <c r="I168" s="34" t="str">
        <f t="shared" si="12"/>
        <v>0/3</v>
      </c>
    </row>
    <row r="169" spans="1:9" x14ac:dyDescent="0.25">
      <c r="A169" s="30">
        <f>A158</f>
        <v>46251</v>
      </c>
      <c r="B169" s="31" t="s">
        <v>82</v>
      </c>
      <c r="C169" s="31" t="s">
        <v>46</v>
      </c>
      <c r="D169" s="32" t="s">
        <v>47</v>
      </c>
      <c r="E169" s="33"/>
      <c r="F169" s="33"/>
      <c r="G169" s="33"/>
      <c r="H169" s="33"/>
      <c r="I169" s="34" t="str">
        <f t="shared" si="12"/>
        <v>0/3</v>
      </c>
    </row>
    <row r="170" spans="1:9" x14ac:dyDescent="0.25">
      <c r="A170" s="30">
        <f>A158</f>
        <v>46251</v>
      </c>
      <c r="B170" s="31" t="s">
        <v>82</v>
      </c>
      <c r="C170" s="31" t="s">
        <v>48</v>
      </c>
      <c r="D170" s="32" t="s">
        <v>49</v>
      </c>
      <c r="E170" s="33"/>
      <c r="F170" s="33"/>
      <c r="G170" s="33"/>
      <c r="H170" s="33"/>
      <c r="I170" s="34" t="str">
        <f t="shared" si="12"/>
        <v>0/3</v>
      </c>
    </row>
    <row r="171" spans="1:9" x14ac:dyDescent="0.25">
      <c r="A171" s="30">
        <f>A158</f>
        <v>46251</v>
      </c>
      <c r="B171" s="31" t="s">
        <v>82</v>
      </c>
      <c r="C171" s="31" t="s">
        <v>50</v>
      </c>
      <c r="D171" s="32" t="s">
        <v>51</v>
      </c>
      <c r="E171" s="33"/>
      <c r="F171" s="33"/>
      <c r="G171" s="33"/>
      <c r="H171" s="33"/>
      <c r="I171" s="34" t="str">
        <f t="shared" si="12"/>
        <v>0/3</v>
      </c>
    </row>
    <row r="172" spans="1:9" x14ac:dyDescent="0.25">
      <c r="A172" s="30">
        <f>A158+7</f>
        <v>46258</v>
      </c>
      <c r="B172" s="31" t="s">
        <v>81</v>
      </c>
      <c r="C172" s="31" t="s">
        <v>37</v>
      </c>
      <c r="D172" s="32" t="s">
        <v>39</v>
      </c>
      <c r="E172" s="33"/>
      <c r="F172" s="33"/>
      <c r="G172" s="33"/>
      <c r="H172" s="33"/>
      <c r="I172" s="34" t="str">
        <f t="shared" si="12"/>
        <v>0/3</v>
      </c>
    </row>
    <row r="173" spans="1:9" ht="30" x14ac:dyDescent="0.25">
      <c r="A173" s="30">
        <f>A172</f>
        <v>46258</v>
      </c>
      <c r="B173" s="31" t="s">
        <v>81</v>
      </c>
      <c r="C173" s="31" t="s">
        <v>40</v>
      </c>
      <c r="D173" s="32" t="s">
        <v>41</v>
      </c>
      <c r="E173" s="33"/>
      <c r="F173" s="33"/>
      <c r="G173" s="33"/>
      <c r="H173" s="33"/>
      <c r="I173" s="34" t="str">
        <f t="shared" si="12"/>
        <v>0/3</v>
      </c>
    </row>
    <row r="174" spans="1:9" x14ac:dyDescent="0.25">
      <c r="A174" s="30">
        <f>A172</f>
        <v>46258</v>
      </c>
      <c r="B174" s="31" t="s">
        <v>81</v>
      </c>
      <c r="C174" s="31" t="s">
        <v>42</v>
      </c>
      <c r="D174" s="32" t="s">
        <v>43</v>
      </c>
      <c r="E174" s="33"/>
      <c r="F174" s="33"/>
      <c r="G174" s="33"/>
      <c r="H174" s="33"/>
      <c r="I174" s="34" t="str">
        <f t="shared" si="12"/>
        <v>0/3</v>
      </c>
    </row>
    <row r="175" spans="1:9" x14ac:dyDescent="0.25">
      <c r="A175" s="30">
        <f>A172</f>
        <v>46258</v>
      </c>
      <c r="B175" s="31" t="s">
        <v>81</v>
      </c>
      <c r="C175" s="31" t="s">
        <v>44</v>
      </c>
      <c r="D175" s="32" t="s">
        <v>45</v>
      </c>
      <c r="E175" s="33"/>
      <c r="F175" s="33"/>
      <c r="G175" s="33"/>
      <c r="H175" s="33"/>
      <c r="I175" s="34" t="str">
        <f t="shared" si="12"/>
        <v>0/3</v>
      </c>
    </row>
    <row r="176" spans="1:9" x14ac:dyDescent="0.25">
      <c r="A176" s="30">
        <f>A172</f>
        <v>46258</v>
      </c>
      <c r="B176" s="31" t="s">
        <v>81</v>
      </c>
      <c r="C176" s="31" t="s">
        <v>46</v>
      </c>
      <c r="D176" s="32" t="s">
        <v>47</v>
      </c>
      <c r="E176" s="33"/>
      <c r="F176" s="33"/>
      <c r="G176" s="33"/>
      <c r="H176" s="33"/>
      <c r="I176" s="34" t="str">
        <f t="shared" si="12"/>
        <v>0/3</v>
      </c>
    </row>
    <row r="177" spans="1:9" x14ac:dyDescent="0.25">
      <c r="A177" s="30">
        <f>A172</f>
        <v>46258</v>
      </c>
      <c r="B177" s="31" t="s">
        <v>81</v>
      </c>
      <c r="C177" s="31" t="s">
        <v>48</v>
      </c>
      <c r="D177" s="32" t="s">
        <v>49</v>
      </c>
      <c r="E177" s="33"/>
      <c r="F177" s="33"/>
      <c r="G177" s="33"/>
      <c r="H177" s="33"/>
      <c r="I177" s="34" t="str">
        <f t="shared" si="12"/>
        <v>0/3</v>
      </c>
    </row>
    <row r="178" spans="1:9" x14ac:dyDescent="0.25">
      <c r="A178" s="30">
        <f>A172</f>
        <v>46258</v>
      </c>
      <c r="B178" s="31" t="s">
        <v>81</v>
      </c>
      <c r="C178" s="31" t="s">
        <v>50</v>
      </c>
      <c r="D178" s="32" t="s">
        <v>51</v>
      </c>
      <c r="E178" s="33"/>
      <c r="F178" s="33"/>
      <c r="G178" s="33"/>
      <c r="H178" s="33"/>
      <c r="I178" s="34" t="str">
        <f t="shared" si="12"/>
        <v>0/3</v>
      </c>
    </row>
    <row r="179" spans="1:9" x14ac:dyDescent="0.25">
      <c r="A179" s="30">
        <f>A172</f>
        <v>46258</v>
      </c>
      <c r="B179" s="31" t="s">
        <v>82</v>
      </c>
      <c r="C179" s="31" t="s">
        <v>37</v>
      </c>
      <c r="D179" s="32" t="s">
        <v>39</v>
      </c>
      <c r="E179" s="33"/>
      <c r="F179" s="33"/>
      <c r="G179" s="33"/>
      <c r="H179" s="33"/>
      <c r="I179" s="34" t="str">
        <f>COUNTA(E179:H179)&amp;"/4"</f>
        <v>0/4</v>
      </c>
    </row>
    <row r="180" spans="1:9" ht="30" x14ac:dyDescent="0.25">
      <c r="A180" s="30">
        <f>A172</f>
        <v>46258</v>
      </c>
      <c r="B180" s="31" t="s">
        <v>82</v>
      </c>
      <c r="C180" s="31" t="s">
        <v>40</v>
      </c>
      <c r="D180" s="32" t="s">
        <v>41</v>
      </c>
      <c r="E180" s="33"/>
      <c r="F180" s="33"/>
      <c r="G180" s="33"/>
      <c r="H180" s="33"/>
      <c r="I180" s="34" t="str">
        <f t="shared" ref="I180:I192" si="13">COUNTA(E180:G180)&amp;"/3"</f>
        <v>0/3</v>
      </c>
    </row>
    <row r="181" spans="1:9" x14ac:dyDescent="0.25">
      <c r="A181" s="30">
        <f>A172</f>
        <v>46258</v>
      </c>
      <c r="B181" s="31" t="s">
        <v>82</v>
      </c>
      <c r="C181" s="31" t="s">
        <v>42</v>
      </c>
      <c r="D181" s="32" t="s">
        <v>43</v>
      </c>
      <c r="E181" s="33"/>
      <c r="F181" s="33"/>
      <c r="G181" s="33"/>
      <c r="H181" s="33"/>
      <c r="I181" s="34" t="str">
        <f t="shared" si="13"/>
        <v>0/3</v>
      </c>
    </row>
    <row r="182" spans="1:9" x14ac:dyDescent="0.25">
      <c r="A182" s="30">
        <f>A172</f>
        <v>46258</v>
      </c>
      <c r="B182" s="31" t="s">
        <v>82</v>
      </c>
      <c r="C182" s="31" t="s">
        <v>44</v>
      </c>
      <c r="D182" s="32" t="s">
        <v>45</v>
      </c>
      <c r="E182" s="33"/>
      <c r="F182" s="33"/>
      <c r="G182" s="33"/>
      <c r="H182" s="33"/>
      <c r="I182" s="34" t="str">
        <f t="shared" si="13"/>
        <v>0/3</v>
      </c>
    </row>
    <row r="183" spans="1:9" x14ac:dyDescent="0.25">
      <c r="A183" s="30">
        <f>A172</f>
        <v>46258</v>
      </c>
      <c r="B183" s="31" t="s">
        <v>82</v>
      </c>
      <c r="C183" s="31" t="s">
        <v>46</v>
      </c>
      <c r="D183" s="32" t="s">
        <v>47</v>
      </c>
      <c r="E183" s="33"/>
      <c r="F183" s="33"/>
      <c r="G183" s="33"/>
      <c r="H183" s="33"/>
      <c r="I183" s="34" t="str">
        <f t="shared" si="13"/>
        <v>0/3</v>
      </c>
    </row>
    <row r="184" spans="1:9" x14ac:dyDescent="0.25">
      <c r="A184" s="30">
        <f>A172</f>
        <v>46258</v>
      </c>
      <c r="B184" s="31" t="s">
        <v>82</v>
      </c>
      <c r="C184" s="31" t="s">
        <v>48</v>
      </c>
      <c r="D184" s="32" t="s">
        <v>49</v>
      </c>
      <c r="E184" s="33"/>
      <c r="F184" s="33"/>
      <c r="G184" s="33"/>
      <c r="H184" s="33"/>
      <c r="I184" s="34" t="str">
        <f t="shared" si="13"/>
        <v>0/3</v>
      </c>
    </row>
    <row r="185" spans="1:9" x14ac:dyDescent="0.25">
      <c r="A185" s="30">
        <f>A172</f>
        <v>46258</v>
      </c>
      <c r="B185" s="31" t="s">
        <v>82</v>
      </c>
      <c r="C185" s="31" t="s">
        <v>50</v>
      </c>
      <c r="D185" s="32" t="s">
        <v>51</v>
      </c>
      <c r="E185" s="33"/>
      <c r="F185" s="33"/>
      <c r="G185" s="33"/>
      <c r="H185" s="33"/>
      <c r="I185" s="34" t="str">
        <f t="shared" si="13"/>
        <v>0/3</v>
      </c>
    </row>
    <row r="186" spans="1:9" x14ac:dyDescent="0.25">
      <c r="A186" s="30">
        <f>A172+7</f>
        <v>46265</v>
      </c>
      <c r="B186" s="31" t="s">
        <v>81</v>
      </c>
      <c r="C186" s="31" t="s">
        <v>37</v>
      </c>
      <c r="D186" s="32" t="s">
        <v>39</v>
      </c>
      <c r="E186" s="33"/>
      <c r="F186" s="33"/>
      <c r="G186" s="33"/>
      <c r="H186" s="33"/>
      <c r="I186" s="34" t="str">
        <f t="shared" si="13"/>
        <v>0/3</v>
      </c>
    </row>
    <row r="187" spans="1:9" ht="30" x14ac:dyDescent="0.25">
      <c r="A187" s="30">
        <f>A186</f>
        <v>46265</v>
      </c>
      <c r="B187" s="31" t="s">
        <v>81</v>
      </c>
      <c r="C187" s="31" t="s">
        <v>40</v>
      </c>
      <c r="D187" s="32" t="s">
        <v>41</v>
      </c>
      <c r="E187" s="33"/>
      <c r="F187" s="33"/>
      <c r="G187" s="33"/>
      <c r="H187" s="33"/>
      <c r="I187" s="34" t="str">
        <f t="shared" si="13"/>
        <v>0/3</v>
      </c>
    </row>
    <row r="188" spans="1:9" x14ac:dyDescent="0.25">
      <c r="A188" s="30">
        <f>A186</f>
        <v>46265</v>
      </c>
      <c r="B188" s="31" t="s">
        <v>81</v>
      </c>
      <c r="C188" s="31" t="s">
        <v>42</v>
      </c>
      <c r="D188" s="32" t="s">
        <v>43</v>
      </c>
      <c r="E188" s="33"/>
      <c r="F188" s="33"/>
      <c r="G188" s="33"/>
      <c r="H188" s="33"/>
      <c r="I188" s="34" t="str">
        <f t="shared" si="13"/>
        <v>0/3</v>
      </c>
    </row>
    <row r="189" spans="1:9" x14ac:dyDescent="0.25">
      <c r="A189" s="30">
        <f>A186</f>
        <v>46265</v>
      </c>
      <c r="B189" s="31" t="s">
        <v>81</v>
      </c>
      <c r="C189" s="31" t="s">
        <v>44</v>
      </c>
      <c r="D189" s="32" t="s">
        <v>45</v>
      </c>
      <c r="E189" s="33"/>
      <c r="F189" s="33"/>
      <c r="G189" s="33"/>
      <c r="H189" s="33"/>
      <c r="I189" s="34" t="str">
        <f t="shared" si="13"/>
        <v>0/3</v>
      </c>
    </row>
    <row r="190" spans="1:9" x14ac:dyDescent="0.25">
      <c r="A190" s="30">
        <f>A186</f>
        <v>46265</v>
      </c>
      <c r="B190" s="31" t="s">
        <v>81</v>
      </c>
      <c r="C190" s="31" t="s">
        <v>46</v>
      </c>
      <c r="D190" s="32" t="s">
        <v>47</v>
      </c>
      <c r="E190" s="33"/>
      <c r="F190" s="33"/>
      <c r="G190" s="33"/>
      <c r="H190" s="33"/>
      <c r="I190" s="34" t="str">
        <f t="shared" si="13"/>
        <v>0/3</v>
      </c>
    </row>
    <row r="191" spans="1:9" x14ac:dyDescent="0.25">
      <c r="A191" s="30">
        <f>A186</f>
        <v>46265</v>
      </c>
      <c r="B191" s="31" t="s">
        <v>81</v>
      </c>
      <c r="C191" s="31" t="s">
        <v>48</v>
      </c>
      <c r="D191" s="32" t="s">
        <v>49</v>
      </c>
      <c r="E191" s="33"/>
      <c r="F191" s="33"/>
      <c r="G191" s="33"/>
      <c r="H191" s="33"/>
      <c r="I191" s="34" t="str">
        <f t="shared" si="13"/>
        <v>0/3</v>
      </c>
    </row>
    <row r="192" spans="1:9" x14ac:dyDescent="0.25">
      <c r="A192" s="30">
        <f>A186</f>
        <v>46265</v>
      </c>
      <c r="B192" s="31" t="s">
        <v>81</v>
      </c>
      <c r="C192" s="31" t="s">
        <v>50</v>
      </c>
      <c r="D192" s="32" t="s">
        <v>51</v>
      </c>
      <c r="E192" s="33"/>
      <c r="F192" s="33"/>
      <c r="G192" s="33"/>
      <c r="H192" s="33"/>
      <c r="I192" s="34" t="str">
        <f t="shared" si="13"/>
        <v>0/3</v>
      </c>
    </row>
    <row r="193" spans="1:9" x14ac:dyDescent="0.25">
      <c r="A193" s="30">
        <f>A186</f>
        <v>46265</v>
      </c>
      <c r="B193" s="31" t="s">
        <v>82</v>
      </c>
      <c r="C193" s="31" t="s">
        <v>37</v>
      </c>
      <c r="D193" s="32" t="s">
        <v>39</v>
      </c>
      <c r="E193" s="33"/>
      <c r="F193" s="33"/>
      <c r="G193" s="33"/>
      <c r="H193" s="33"/>
      <c r="I193" s="34" t="str">
        <f>COUNTA(E193:H193)&amp;"/4"</f>
        <v>0/4</v>
      </c>
    </row>
    <row r="194" spans="1:9" ht="30" x14ac:dyDescent="0.25">
      <c r="A194" s="30">
        <f>A186</f>
        <v>46265</v>
      </c>
      <c r="B194" s="31" t="s">
        <v>82</v>
      </c>
      <c r="C194" s="31" t="s">
        <v>40</v>
      </c>
      <c r="D194" s="32" t="s">
        <v>41</v>
      </c>
      <c r="E194" s="33"/>
      <c r="F194" s="33"/>
      <c r="G194" s="33"/>
      <c r="H194" s="33"/>
      <c r="I194" s="34" t="str">
        <f t="shared" ref="I194:I206" si="14">COUNTA(E194:G194)&amp;"/3"</f>
        <v>0/3</v>
      </c>
    </row>
    <row r="195" spans="1:9" x14ac:dyDescent="0.25">
      <c r="A195" s="30">
        <f>A186</f>
        <v>46265</v>
      </c>
      <c r="B195" s="31" t="s">
        <v>82</v>
      </c>
      <c r="C195" s="31" t="s">
        <v>42</v>
      </c>
      <c r="D195" s="32" t="s">
        <v>43</v>
      </c>
      <c r="E195" s="33"/>
      <c r="F195" s="33"/>
      <c r="G195" s="33"/>
      <c r="H195" s="33"/>
      <c r="I195" s="34" t="str">
        <f t="shared" si="14"/>
        <v>0/3</v>
      </c>
    </row>
    <row r="196" spans="1:9" x14ac:dyDescent="0.25">
      <c r="A196" s="30">
        <f>A186</f>
        <v>46265</v>
      </c>
      <c r="B196" s="31" t="s">
        <v>82</v>
      </c>
      <c r="C196" s="31" t="s">
        <v>44</v>
      </c>
      <c r="D196" s="32" t="s">
        <v>45</v>
      </c>
      <c r="E196" s="33"/>
      <c r="F196" s="33"/>
      <c r="G196" s="33"/>
      <c r="H196" s="33"/>
      <c r="I196" s="34" t="str">
        <f t="shared" si="14"/>
        <v>0/3</v>
      </c>
    </row>
    <row r="197" spans="1:9" x14ac:dyDescent="0.25">
      <c r="A197" s="30">
        <f>A186</f>
        <v>46265</v>
      </c>
      <c r="B197" s="31" t="s">
        <v>82</v>
      </c>
      <c r="C197" s="31" t="s">
        <v>46</v>
      </c>
      <c r="D197" s="32" t="s">
        <v>47</v>
      </c>
      <c r="E197" s="33"/>
      <c r="F197" s="33"/>
      <c r="G197" s="33"/>
      <c r="H197" s="33"/>
      <c r="I197" s="34" t="str">
        <f t="shared" si="14"/>
        <v>0/3</v>
      </c>
    </row>
    <row r="198" spans="1:9" x14ac:dyDescent="0.25">
      <c r="A198" s="30">
        <f>A186</f>
        <v>46265</v>
      </c>
      <c r="B198" s="31" t="s">
        <v>82</v>
      </c>
      <c r="C198" s="31" t="s">
        <v>48</v>
      </c>
      <c r="D198" s="32" t="s">
        <v>49</v>
      </c>
      <c r="E198" s="33"/>
      <c r="F198" s="33"/>
      <c r="G198" s="33"/>
      <c r="H198" s="33"/>
      <c r="I198" s="34" t="str">
        <f t="shared" si="14"/>
        <v>0/3</v>
      </c>
    </row>
    <row r="199" spans="1:9" x14ac:dyDescent="0.25">
      <c r="A199" s="30">
        <f>A186</f>
        <v>46265</v>
      </c>
      <c r="B199" s="31" t="s">
        <v>82</v>
      </c>
      <c r="C199" s="31" t="s">
        <v>50</v>
      </c>
      <c r="D199" s="32" t="s">
        <v>51</v>
      </c>
      <c r="E199" s="33"/>
      <c r="F199" s="33"/>
      <c r="G199" s="33"/>
      <c r="H199" s="33"/>
      <c r="I199" s="34" t="str">
        <f t="shared" si="14"/>
        <v>0/3</v>
      </c>
    </row>
    <row r="200" spans="1:9" x14ac:dyDescent="0.25">
      <c r="A200" s="30">
        <f>A186+7</f>
        <v>46272</v>
      </c>
      <c r="B200" s="31" t="s">
        <v>81</v>
      </c>
      <c r="C200" s="31" t="s">
        <v>37</v>
      </c>
      <c r="D200" s="32" t="s">
        <v>39</v>
      </c>
      <c r="E200" s="33"/>
      <c r="F200" s="33"/>
      <c r="G200" s="33"/>
      <c r="H200" s="33"/>
      <c r="I200" s="34" t="str">
        <f t="shared" si="14"/>
        <v>0/3</v>
      </c>
    </row>
    <row r="201" spans="1:9" ht="30" x14ac:dyDescent="0.25">
      <c r="A201" s="30">
        <f>A200</f>
        <v>46272</v>
      </c>
      <c r="B201" s="31" t="s">
        <v>81</v>
      </c>
      <c r="C201" s="31" t="s">
        <v>40</v>
      </c>
      <c r="D201" s="32" t="s">
        <v>41</v>
      </c>
      <c r="E201" s="33"/>
      <c r="F201" s="33"/>
      <c r="G201" s="33"/>
      <c r="H201" s="33"/>
      <c r="I201" s="34" t="str">
        <f t="shared" si="14"/>
        <v>0/3</v>
      </c>
    </row>
    <row r="202" spans="1:9" x14ac:dyDescent="0.25">
      <c r="A202" s="30">
        <f>A200</f>
        <v>46272</v>
      </c>
      <c r="B202" s="31" t="s">
        <v>81</v>
      </c>
      <c r="C202" s="31" t="s">
        <v>42</v>
      </c>
      <c r="D202" s="32" t="s">
        <v>43</v>
      </c>
      <c r="E202" s="33"/>
      <c r="F202" s="33"/>
      <c r="G202" s="33"/>
      <c r="H202" s="33"/>
      <c r="I202" s="34" t="str">
        <f t="shared" si="14"/>
        <v>0/3</v>
      </c>
    </row>
    <row r="203" spans="1:9" x14ac:dyDescent="0.25">
      <c r="A203" s="30">
        <f>A200</f>
        <v>46272</v>
      </c>
      <c r="B203" s="31" t="s">
        <v>81</v>
      </c>
      <c r="C203" s="31" t="s">
        <v>44</v>
      </c>
      <c r="D203" s="32" t="s">
        <v>45</v>
      </c>
      <c r="E203" s="33"/>
      <c r="F203" s="33"/>
      <c r="G203" s="33"/>
      <c r="H203" s="33"/>
      <c r="I203" s="34" t="str">
        <f t="shared" si="14"/>
        <v>0/3</v>
      </c>
    </row>
    <row r="204" spans="1:9" x14ac:dyDescent="0.25">
      <c r="A204" s="30">
        <f>A200</f>
        <v>46272</v>
      </c>
      <c r="B204" s="31" t="s">
        <v>81</v>
      </c>
      <c r="C204" s="31" t="s">
        <v>46</v>
      </c>
      <c r="D204" s="32" t="s">
        <v>47</v>
      </c>
      <c r="E204" s="33"/>
      <c r="F204" s="33"/>
      <c r="G204" s="33"/>
      <c r="H204" s="33"/>
      <c r="I204" s="34" t="str">
        <f t="shared" si="14"/>
        <v>0/3</v>
      </c>
    </row>
    <row r="205" spans="1:9" x14ac:dyDescent="0.25">
      <c r="A205" s="30">
        <f>A200</f>
        <v>46272</v>
      </c>
      <c r="B205" s="31" t="s">
        <v>81</v>
      </c>
      <c r="C205" s="31" t="s">
        <v>48</v>
      </c>
      <c r="D205" s="32" t="s">
        <v>49</v>
      </c>
      <c r="E205" s="33"/>
      <c r="F205" s="33"/>
      <c r="G205" s="33"/>
      <c r="H205" s="33"/>
      <c r="I205" s="34" t="str">
        <f t="shared" si="14"/>
        <v>0/3</v>
      </c>
    </row>
    <row r="206" spans="1:9" x14ac:dyDescent="0.25">
      <c r="A206" s="30">
        <f>A200</f>
        <v>46272</v>
      </c>
      <c r="B206" s="31" t="s">
        <v>81</v>
      </c>
      <c r="C206" s="31" t="s">
        <v>50</v>
      </c>
      <c r="D206" s="32" t="s">
        <v>51</v>
      </c>
      <c r="E206" s="33"/>
      <c r="F206" s="33"/>
      <c r="G206" s="33"/>
      <c r="H206" s="33"/>
      <c r="I206" s="34" t="str">
        <f t="shared" si="14"/>
        <v>0/3</v>
      </c>
    </row>
    <row r="207" spans="1:9" x14ac:dyDescent="0.25">
      <c r="A207" s="30">
        <f>A200</f>
        <v>46272</v>
      </c>
      <c r="B207" s="31" t="s">
        <v>82</v>
      </c>
      <c r="C207" s="31" t="s">
        <v>37</v>
      </c>
      <c r="D207" s="32" t="s">
        <v>39</v>
      </c>
      <c r="E207" s="33"/>
      <c r="F207" s="33"/>
      <c r="G207" s="33"/>
      <c r="H207" s="33"/>
      <c r="I207" s="34" t="str">
        <f>COUNTA(E207:H207)&amp;"/4"</f>
        <v>0/4</v>
      </c>
    </row>
    <row r="208" spans="1:9" ht="30" x14ac:dyDescent="0.25">
      <c r="A208" s="30">
        <f>A200</f>
        <v>46272</v>
      </c>
      <c r="B208" s="31" t="s">
        <v>82</v>
      </c>
      <c r="C208" s="31" t="s">
        <v>40</v>
      </c>
      <c r="D208" s="32" t="s">
        <v>41</v>
      </c>
      <c r="E208" s="33"/>
      <c r="F208" s="33"/>
      <c r="G208" s="33"/>
      <c r="H208" s="33"/>
      <c r="I208" s="34" t="str">
        <f t="shared" ref="I208:I220" si="15">COUNTA(E208:G208)&amp;"/3"</f>
        <v>0/3</v>
      </c>
    </row>
    <row r="209" spans="1:9" x14ac:dyDescent="0.25">
      <c r="A209" s="30">
        <f>A200</f>
        <v>46272</v>
      </c>
      <c r="B209" s="31" t="s">
        <v>82</v>
      </c>
      <c r="C209" s="31" t="s">
        <v>42</v>
      </c>
      <c r="D209" s="32" t="s">
        <v>43</v>
      </c>
      <c r="E209" s="33"/>
      <c r="F209" s="33"/>
      <c r="G209" s="33"/>
      <c r="H209" s="33"/>
      <c r="I209" s="34" t="str">
        <f t="shared" si="15"/>
        <v>0/3</v>
      </c>
    </row>
    <row r="210" spans="1:9" x14ac:dyDescent="0.25">
      <c r="A210" s="30">
        <f>A200</f>
        <v>46272</v>
      </c>
      <c r="B210" s="31" t="s">
        <v>82</v>
      </c>
      <c r="C210" s="31" t="s">
        <v>44</v>
      </c>
      <c r="D210" s="32" t="s">
        <v>45</v>
      </c>
      <c r="E210" s="33"/>
      <c r="F210" s="33"/>
      <c r="G210" s="33"/>
      <c r="H210" s="33"/>
      <c r="I210" s="34" t="str">
        <f t="shared" si="15"/>
        <v>0/3</v>
      </c>
    </row>
    <row r="211" spans="1:9" x14ac:dyDescent="0.25">
      <c r="A211" s="30">
        <f>A200</f>
        <v>46272</v>
      </c>
      <c r="B211" s="31" t="s">
        <v>82</v>
      </c>
      <c r="C211" s="31" t="s">
        <v>46</v>
      </c>
      <c r="D211" s="32" t="s">
        <v>47</v>
      </c>
      <c r="E211" s="33"/>
      <c r="F211" s="33"/>
      <c r="G211" s="33"/>
      <c r="H211" s="33"/>
      <c r="I211" s="34" t="str">
        <f t="shared" si="15"/>
        <v>0/3</v>
      </c>
    </row>
    <row r="212" spans="1:9" x14ac:dyDescent="0.25">
      <c r="A212" s="30">
        <f>A200</f>
        <v>46272</v>
      </c>
      <c r="B212" s="31" t="s">
        <v>82</v>
      </c>
      <c r="C212" s="31" t="s">
        <v>48</v>
      </c>
      <c r="D212" s="32" t="s">
        <v>49</v>
      </c>
      <c r="E212" s="33"/>
      <c r="F212" s="33"/>
      <c r="G212" s="33"/>
      <c r="H212" s="33"/>
      <c r="I212" s="34" t="str">
        <f t="shared" si="15"/>
        <v>0/3</v>
      </c>
    </row>
    <row r="213" spans="1:9" x14ac:dyDescent="0.25">
      <c r="A213" s="30">
        <f>A200</f>
        <v>46272</v>
      </c>
      <c r="B213" s="31" t="s">
        <v>82</v>
      </c>
      <c r="C213" s="31" t="s">
        <v>50</v>
      </c>
      <c r="D213" s="32" t="s">
        <v>51</v>
      </c>
      <c r="E213" s="33"/>
      <c r="F213" s="33"/>
      <c r="G213" s="33"/>
      <c r="H213" s="33"/>
      <c r="I213" s="34" t="str">
        <f t="shared" si="15"/>
        <v>0/3</v>
      </c>
    </row>
    <row r="214" spans="1:9" x14ac:dyDescent="0.25">
      <c r="A214" s="30">
        <f>A200+7</f>
        <v>46279</v>
      </c>
      <c r="B214" s="31" t="s">
        <v>81</v>
      </c>
      <c r="C214" s="31" t="s">
        <v>37</v>
      </c>
      <c r="D214" s="32" t="s">
        <v>39</v>
      </c>
      <c r="E214" s="33"/>
      <c r="F214" s="33"/>
      <c r="G214" s="33"/>
      <c r="H214" s="33"/>
      <c r="I214" s="34" t="str">
        <f t="shared" si="15"/>
        <v>0/3</v>
      </c>
    </row>
    <row r="215" spans="1:9" ht="30" x14ac:dyDescent="0.25">
      <c r="A215" s="30">
        <f>A214</f>
        <v>46279</v>
      </c>
      <c r="B215" s="31" t="s">
        <v>81</v>
      </c>
      <c r="C215" s="31" t="s">
        <v>40</v>
      </c>
      <c r="D215" s="32" t="s">
        <v>41</v>
      </c>
      <c r="E215" s="33"/>
      <c r="F215" s="33"/>
      <c r="G215" s="33"/>
      <c r="H215" s="33"/>
      <c r="I215" s="34" t="str">
        <f t="shared" si="15"/>
        <v>0/3</v>
      </c>
    </row>
    <row r="216" spans="1:9" x14ac:dyDescent="0.25">
      <c r="A216" s="30">
        <f>A214</f>
        <v>46279</v>
      </c>
      <c r="B216" s="31" t="s">
        <v>81</v>
      </c>
      <c r="C216" s="31" t="s">
        <v>42</v>
      </c>
      <c r="D216" s="32" t="s">
        <v>43</v>
      </c>
      <c r="E216" s="33"/>
      <c r="F216" s="33"/>
      <c r="G216" s="33"/>
      <c r="H216" s="33"/>
      <c r="I216" s="34" t="str">
        <f t="shared" si="15"/>
        <v>0/3</v>
      </c>
    </row>
    <row r="217" spans="1:9" x14ac:dyDescent="0.25">
      <c r="A217" s="30">
        <f>A214</f>
        <v>46279</v>
      </c>
      <c r="B217" s="31" t="s">
        <v>81</v>
      </c>
      <c r="C217" s="31" t="s">
        <v>44</v>
      </c>
      <c r="D217" s="32" t="s">
        <v>45</v>
      </c>
      <c r="E217" s="33"/>
      <c r="F217" s="33"/>
      <c r="G217" s="33"/>
      <c r="H217" s="33"/>
      <c r="I217" s="34" t="str">
        <f t="shared" si="15"/>
        <v>0/3</v>
      </c>
    </row>
    <row r="218" spans="1:9" x14ac:dyDescent="0.25">
      <c r="A218" s="30">
        <f>A214</f>
        <v>46279</v>
      </c>
      <c r="B218" s="31" t="s">
        <v>81</v>
      </c>
      <c r="C218" s="31" t="s">
        <v>46</v>
      </c>
      <c r="D218" s="32" t="s">
        <v>47</v>
      </c>
      <c r="E218" s="33"/>
      <c r="F218" s="33"/>
      <c r="G218" s="33"/>
      <c r="H218" s="33"/>
      <c r="I218" s="34" t="str">
        <f t="shared" si="15"/>
        <v>0/3</v>
      </c>
    </row>
    <row r="219" spans="1:9" x14ac:dyDescent="0.25">
      <c r="A219" s="30">
        <f>A214</f>
        <v>46279</v>
      </c>
      <c r="B219" s="31" t="s">
        <v>81</v>
      </c>
      <c r="C219" s="31" t="s">
        <v>48</v>
      </c>
      <c r="D219" s="32" t="s">
        <v>49</v>
      </c>
      <c r="E219" s="33"/>
      <c r="F219" s="33"/>
      <c r="G219" s="33"/>
      <c r="H219" s="33"/>
      <c r="I219" s="34" t="str">
        <f t="shared" si="15"/>
        <v>0/3</v>
      </c>
    </row>
    <row r="220" spans="1:9" x14ac:dyDescent="0.25">
      <c r="A220" s="30">
        <f>A214</f>
        <v>46279</v>
      </c>
      <c r="B220" s="31" t="s">
        <v>81</v>
      </c>
      <c r="C220" s="31" t="s">
        <v>50</v>
      </c>
      <c r="D220" s="32" t="s">
        <v>51</v>
      </c>
      <c r="E220" s="33"/>
      <c r="F220" s="33"/>
      <c r="G220" s="33"/>
      <c r="H220" s="33"/>
      <c r="I220" s="34" t="str">
        <f t="shared" si="15"/>
        <v>0/3</v>
      </c>
    </row>
    <row r="221" spans="1:9" x14ac:dyDescent="0.25">
      <c r="A221" s="30">
        <f>A214</f>
        <v>46279</v>
      </c>
      <c r="B221" s="31" t="s">
        <v>82</v>
      </c>
      <c r="C221" s="31" t="s">
        <v>37</v>
      </c>
      <c r="D221" s="32" t="s">
        <v>39</v>
      </c>
      <c r="E221" s="33"/>
      <c r="F221" s="33"/>
      <c r="G221" s="33"/>
      <c r="H221" s="33"/>
      <c r="I221" s="34" t="str">
        <f>COUNTA(E221:H221)&amp;"/4"</f>
        <v>0/4</v>
      </c>
    </row>
    <row r="222" spans="1:9" ht="30" x14ac:dyDescent="0.25">
      <c r="A222" s="30">
        <f>A214</f>
        <v>46279</v>
      </c>
      <c r="B222" s="31" t="s">
        <v>82</v>
      </c>
      <c r="C222" s="31" t="s">
        <v>40</v>
      </c>
      <c r="D222" s="32" t="s">
        <v>41</v>
      </c>
      <c r="E222" s="33"/>
      <c r="F222" s="33"/>
      <c r="G222" s="33"/>
      <c r="H222" s="33"/>
      <c r="I222" s="34" t="str">
        <f t="shared" ref="I222:I234" si="16">COUNTA(E222:G222)&amp;"/3"</f>
        <v>0/3</v>
      </c>
    </row>
    <row r="223" spans="1:9" x14ac:dyDescent="0.25">
      <c r="A223" s="30">
        <f>A214</f>
        <v>46279</v>
      </c>
      <c r="B223" s="31" t="s">
        <v>82</v>
      </c>
      <c r="C223" s="31" t="s">
        <v>42</v>
      </c>
      <c r="D223" s="32" t="s">
        <v>43</v>
      </c>
      <c r="E223" s="33"/>
      <c r="F223" s="33"/>
      <c r="G223" s="33"/>
      <c r="H223" s="33"/>
      <c r="I223" s="34" t="str">
        <f t="shared" si="16"/>
        <v>0/3</v>
      </c>
    </row>
    <row r="224" spans="1:9" x14ac:dyDescent="0.25">
      <c r="A224" s="30">
        <f>A214</f>
        <v>46279</v>
      </c>
      <c r="B224" s="31" t="s">
        <v>82</v>
      </c>
      <c r="C224" s="31" t="s">
        <v>44</v>
      </c>
      <c r="D224" s="32" t="s">
        <v>45</v>
      </c>
      <c r="E224" s="33"/>
      <c r="F224" s="33"/>
      <c r="G224" s="33"/>
      <c r="H224" s="33"/>
      <c r="I224" s="34" t="str">
        <f t="shared" si="16"/>
        <v>0/3</v>
      </c>
    </row>
    <row r="225" spans="1:9" x14ac:dyDescent="0.25">
      <c r="A225" s="30">
        <f>A214</f>
        <v>46279</v>
      </c>
      <c r="B225" s="31" t="s">
        <v>82</v>
      </c>
      <c r="C225" s="31" t="s">
        <v>46</v>
      </c>
      <c r="D225" s="32" t="s">
        <v>47</v>
      </c>
      <c r="E225" s="33"/>
      <c r="F225" s="33"/>
      <c r="G225" s="33"/>
      <c r="H225" s="33"/>
      <c r="I225" s="34" t="str">
        <f t="shared" si="16"/>
        <v>0/3</v>
      </c>
    </row>
    <row r="226" spans="1:9" x14ac:dyDescent="0.25">
      <c r="A226" s="30">
        <f>A214</f>
        <v>46279</v>
      </c>
      <c r="B226" s="31" t="s">
        <v>82</v>
      </c>
      <c r="C226" s="31" t="s">
        <v>48</v>
      </c>
      <c r="D226" s="32" t="s">
        <v>49</v>
      </c>
      <c r="E226" s="33"/>
      <c r="F226" s="33"/>
      <c r="G226" s="33"/>
      <c r="H226" s="33"/>
      <c r="I226" s="34" t="str">
        <f t="shared" si="16"/>
        <v>0/3</v>
      </c>
    </row>
    <row r="227" spans="1:9" x14ac:dyDescent="0.25">
      <c r="A227" s="30">
        <f>A214</f>
        <v>46279</v>
      </c>
      <c r="B227" s="31" t="s">
        <v>82</v>
      </c>
      <c r="C227" s="31" t="s">
        <v>50</v>
      </c>
      <c r="D227" s="32" t="s">
        <v>51</v>
      </c>
      <c r="E227" s="33"/>
      <c r="F227" s="33"/>
      <c r="G227" s="33"/>
      <c r="H227" s="33"/>
      <c r="I227" s="34" t="str">
        <f t="shared" si="16"/>
        <v>0/3</v>
      </c>
    </row>
    <row r="228" spans="1:9" x14ac:dyDescent="0.25">
      <c r="A228" s="30">
        <f>A214+7</f>
        <v>46286</v>
      </c>
      <c r="B228" s="31" t="s">
        <v>81</v>
      </c>
      <c r="C228" s="31" t="s">
        <v>37</v>
      </c>
      <c r="D228" s="32" t="s">
        <v>39</v>
      </c>
      <c r="E228" s="33"/>
      <c r="F228" s="33"/>
      <c r="G228" s="33"/>
      <c r="H228" s="33"/>
      <c r="I228" s="34" t="str">
        <f t="shared" si="16"/>
        <v>0/3</v>
      </c>
    </row>
    <row r="229" spans="1:9" ht="30" x14ac:dyDescent="0.25">
      <c r="A229" s="30">
        <f>A228</f>
        <v>46286</v>
      </c>
      <c r="B229" s="31" t="s">
        <v>81</v>
      </c>
      <c r="C229" s="31" t="s">
        <v>40</v>
      </c>
      <c r="D229" s="32" t="s">
        <v>41</v>
      </c>
      <c r="E229" s="33"/>
      <c r="F229" s="33"/>
      <c r="G229" s="33"/>
      <c r="H229" s="33"/>
      <c r="I229" s="34" t="str">
        <f t="shared" si="16"/>
        <v>0/3</v>
      </c>
    </row>
    <row r="230" spans="1:9" x14ac:dyDescent="0.25">
      <c r="A230" s="30">
        <f>A228</f>
        <v>46286</v>
      </c>
      <c r="B230" s="31" t="s">
        <v>81</v>
      </c>
      <c r="C230" s="31" t="s">
        <v>42</v>
      </c>
      <c r="D230" s="32" t="s">
        <v>43</v>
      </c>
      <c r="E230" s="33"/>
      <c r="F230" s="33"/>
      <c r="G230" s="33"/>
      <c r="H230" s="33"/>
      <c r="I230" s="34" t="str">
        <f t="shared" si="16"/>
        <v>0/3</v>
      </c>
    </row>
    <row r="231" spans="1:9" x14ac:dyDescent="0.25">
      <c r="A231" s="30">
        <f>A228</f>
        <v>46286</v>
      </c>
      <c r="B231" s="31" t="s">
        <v>81</v>
      </c>
      <c r="C231" s="31" t="s">
        <v>44</v>
      </c>
      <c r="D231" s="32" t="s">
        <v>45</v>
      </c>
      <c r="E231" s="33"/>
      <c r="F231" s="33"/>
      <c r="G231" s="33"/>
      <c r="H231" s="33"/>
      <c r="I231" s="34" t="str">
        <f t="shared" si="16"/>
        <v>0/3</v>
      </c>
    </row>
    <row r="232" spans="1:9" x14ac:dyDescent="0.25">
      <c r="A232" s="30">
        <f>A228</f>
        <v>46286</v>
      </c>
      <c r="B232" s="31" t="s">
        <v>81</v>
      </c>
      <c r="C232" s="31" t="s">
        <v>46</v>
      </c>
      <c r="D232" s="32" t="s">
        <v>47</v>
      </c>
      <c r="E232" s="33"/>
      <c r="F232" s="33"/>
      <c r="G232" s="33"/>
      <c r="H232" s="33"/>
      <c r="I232" s="34" t="str">
        <f t="shared" si="16"/>
        <v>0/3</v>
      </c>
    </row>
    <row r="233" spans="1:9" x14ac:dyDescent="0.25">
      <c r="A233" s="30">
        <f>A228</f>
        <v>46286</v>
      </c>
      <c r="B233" s="31" t="s">
        <v>81</v>
      </c>
      <c r="C233" s="31" t="s">
        <v>48</v>
      </c>
      <c r="D233" s="32" t="s">
        <v>49</v>
      </c>
      <c r="E233" s="33"/>
      <c r="F233" s="33"/>
      <c r="G233" s="33"/>
      <c r="H233" s="33"/>
      <c r="I233" s="34" t="str">
        <f t="shared" si="16"/>
        <v>0/3</v>
      </c>
    </row>
    <row r="234" spans="1:9" x14ac:dyDescent="0.25">
      <c r="A234" s="30">
        <f>A228</f>
        <v>46286</v>
      </c>
      <c r="B234" s="31" t="s">
        <v>81</v>
      </c>
      <c r="C234" s="31" t="s">
        <v>50</v>
      </c>
      <c r="D234" s="32" t="s">
        <v>51</v>
      </c>
      <c r="E234" s="33"/>
      <c r="F234" s="33"/>
      <c r="G234" s="33"/>
      <c r="H234" s="33"/>
      <c r="I234" s="34" t="str">
        <f t="shared" si="16"/>
        <v>0/3</v>
      </c>
    </row>
    <row r="235" spans="1:9" x14ac:dyDescent="0.25">
      <c r="A235" s="30">
        <f>A228</f>
        <v>46286</v>
      </c>
      <c r="B235" s="31" t="s">
        <v>82</v>
      </c>
      <c r="C235" s="31" t="s">
        <v>37</v>
      </c>
      <c r="D235" s="32" t="s">
        <v>39</v>
      </c>
      <c r="E235" s="33"/>
      <c r="F235" s="33"/>
      <c r="G235" s="33"/>
      <c r="H235" s="33"/>
      <c r="I235" s="34" t="str">
        <f>COUNTA(E235:H235)&amp;"/4"</f>
        <v>0/4</v>
      </c>
    </row>
    <row r="236" spans="1:9" ht="30" x14ac:dyDescent="0.25">
      <c r="A236" s="30">
        <f>A228</f>
        <v>46286</v>
      </c>
      <c r="B236" s="31" t="s">
        <v>82</v>
      </c>
      <c r="C236" s="31" t="s">
        <v>40</v>
      </c>
      <c r="D236" s="32" t="s">
        <v>41</v>
      </c>
      <c r="E236" s="33"/>
      <c r="F236" s="33"/>
      <c r="G236" s="33"/>
      <c r="H236" s="33"/>
      <c r="I236" s="34" t="str">
        <f t="shared" ref="I236:I248" si="17">COUNTA(E236:G236)&amp;"/3"</f>
        <v>0/3</v>
      </c>
    </row>
    <row r="237" spans="1:9" x14ac:dyDescent="0.25">
      <c r="A237" s="30">
        <f>A228</f>
        <v>46286</v>
      </c>
      <c r="B237" s="31" t="s">
        <v>82</v>
      </c>
      <c r="C237" s="31" t="s">
        <v>42</v>
      </c>
      <c r="D237" s="32" t="s">
        <v>43</v>
      </c>
      <c r="E237" s="33"/>
      <c r="F237" s="33"/>
      <c r="G237" s="33"/>
      <c r="H237" s="33"/>
      <c r="I237" s="34" t="str">
        <f t="shared" si="17"/>
        <v>0/3</v>
      </c>
    </row>
    <row r="238" spans="1:9" x14ac:dyDescent="0.25">
      <c r="A238" s="30">
        <f>A228</f>
        <v>46286</v>
      </c>
      <c r="B238" s="31" t="s">
        <v>82</v>
      </c>
      <c r="C238" s="31" t="s">
        <v>44</v>
      </c>
      <c r="D238" s="32" t="s">
        <v>45</v>
      </c>
      <c r="E238" s="33"/>
      <c r="F238" s="33"/>
      <c r="G238" s="33"/>
      <c r="H238" s="33"/>
      <c r="I238" s="34" t="str">
        <f t="shared" si="17"/>
        <v>0/3</v>
      </c>
    </row>
    <row r="239" spans="1:9" x14ac:dyDescent="0.25">
      <c r="A239" s="30">
        <f>A228</f>
        <v>46286</v>
      </c>
      <c r="B239" s="31" t="s">
        <v>82</v>
      </c>
      <c r="C239" s="31" t="s">
        <v>46</v>
      </c>
      <c r="D239" s="32" t="s">
        <v>47</v>
      </c>
      <c r="E239" s="33"/>
      <c r="F239" s="33"/>
      <c r="G239" s="33"/>
      <c r="H239" s="33"/>
      <c r="I239" s="34" t="str">
        <f t="shared" si="17"/>
        <v>0/3</v>
      </c>
    </row>
    <row r="240" spans="1:9" x14ac:dyDescent="0.25">
      <c r="A240" s="30">
        <f>A228</f>
        <v>46286</v>
      </c>
      <c r="B240" s="31" t="s">
        <v>82</v>
      </c>
      <c r="C240" s="31" t="s">
        <v>48</v>
      </c>
      <c r="D240" s="32" t="s">
        <v>49</v>
      </c>
      <c r="E240" s="33"/>
      <c r="F240" s="33"/>
      <c r="G240" s="33"/>
      <c r="H240" s="33"/>
      <c r="I240" s="34" t="str">
        <f t="shared" si="17"/>
        <v>0/3</v>
      </c>
    </row>
    <row r="241" spans="1:9" x14ac:dyDescent="0.25">
      <c r="A241" s="30">
        <f>A228</f>
        <v>46286</v>
      </c>
      <c r="B241" s="31" t="s">
        <v>82</v>
      </c>
      <c r="C241" s="31" t="s">
        <v>50</v>
      </c>
      <c r="D241" s="32" t="s">
        <v>51</v>
      </c>
      <c r="E241" s="33"/>
      <c r="F241" s="33"/>
      <c r="G241" s="33"/>
      <c r="H241" s="33"/>
      <c r="I241" s="34" t="str">
        <f t="shared" si="17"/>
        <v>0/3</v>
      </c>
    </row>
    <row r="242" spans="1:9" x14ac:dyDescent="0.25">
      <c r="A242" s="30">
        <f>A228+7</f>
        <v>46293</v>
      </c>
      <c r="B242" s="31" t="s">
        <v>81</v>
      </c>
      <c r="C242" s="31" t="s">
        <v>37</v>
      </c>
      <c r="D242" s="32" t="s">
        <v>39</v>
      </c>
      <c r="E242" s="33"/>
      <c r="F242" s="33"/>
      <c r="G242" s="33"/>
      <c r="H242" s="33"/>
      <c r="I242" s="34" t="str">
        <f t="shared" si="17"/>
        <v>0/3</v>
      </c>
    </row>
    <row r="243" spans="1:9" ht="30" x14ac:dyDescent="0.25">
      <c r="A243" s="30">
        <f>A242</f>
        <v>46293</v>
      </c>
      <c r="B243" s="31" t="s">
        <v>81</v>
      </c>
      <c r="C243" s="31" t="s">
        <v>40</v>
      </c>
      <c r="D243" s="32" t="s">
        <v>41</v>
      </c>
      <c r="E243" s="33"/>
      <c r="F243" s="33"/>
      <c r="G243" s="33"/>
      <c r="H243" s="33"/>
      <c r="I243" s="34" t="str">
        <f t="shared" si="17"/>
        <v>0/3</v>
      </c>
    </row>
    <row r="244" spans="1:9" x14ac:dyDescent="0.25">
      <c r="A244" s="30">
        <f>A242</f>
        <v>46293</v>
      </c>
      <c r="B244" s="31" t="s">
        <v>81</v>
      </c>
      <c r="C244" s="31" t="s">
        <v>42</v>
      </c>
      <c r="D244" s="32" t="s">
        <v>43</v>
      </c>
      <c r="E244" s="33"/>
      <c r="F244" s="33"/>
      <c r="G244" s="33"/>
      <c r="H244" s="33"/>
      <c r="I244" s="34" t="str">
        <f t="shared" si="17"/>
        <v>0/3</v>
      </c>
    </row>
    <row r="245" spans="1:9" x14ac:dyDescent="0.25">
      <c r="A245" s="30">
        <f>A242</f>
        <v>46293</v>
      </c>
      <c r="B245" s="31" t="s">
        <v>81</v>
      </c>
      <c r="C245" s="31" t="s">
        <v>44</v>
      </c>
      <c r="D245" s="32" t="s">
        <v>45</v>
      </c>
      <c r="E245" s="33"/>
      <c r="F245" s="33"/>
      <c r="G245" s="33"/>
      <c r="H245" s="33"/>
      <c r="I245" s="34" t="str">
        <f t="shared" si="17"/>
        <v>0/3</v>
      </c>
    </row>
    <row r="246" spans="1:9" x14ac:dyDescent="0.25">
      <c r="A246" s="30">
        <f>A242</f>
        <v>46293</v>
      </c>
      <c r="B246" s="31" t="s">
        <v>81</v>
      </c>
      <c r="C246" s="31" t="s">
        <v>46</v>
      </c>
      <c r="D246" s="32" t="s">
        <v>47</v>
      </c>
      <c r="E246" s="33"/>
      <c r="F246" s="33"/>
      <c r="G246" s="33"/>
      <c r="H246" s="33"/>
      <c r="I246" s="34" t="str">
        <f t="shared" si="17"/>
        <v>0/3</v>
      </c>
    </row>
    <row r="247" spans="1:9" x14ac:dyDescent="0.25">
      <c r="A247" s="30">
        <f>A242</f>
        <v>46293</v>
      </c>
      <c r="B247" s="31" t="s">
        <v>81</v>
      </c>
      <c r="C247" s="31" t="s">
        <v>48</v>
      </c>
      <c r="D247" s="32" t="s">
        <v>49</v>
      </c>
      <c r="E247" s="33"/>
      <c r="F247" s="33"/>
      <c r="G247" s="33"/>
      <c r="H247" s="33"/>
      <c r="I247" s="34" t="str">
        <f t="shared" si="17"/>
        <v>0/3</v>
      </c>
    </row>
    <row r="248" spans="1:9" x14ac:dyDescent="0.25">
      <c r="A248" s="30">
        <f>A242</f>
        <v>46293</v>
      </c>
      <c r="B248" s="31" t="s">
        <v>81</v>
      </c>
      <c r="C248" s="31" t="s">
        <v>50</v>
      </c>
      <c r="D248" s="32" t="s">
        <v>51</v>
      </c>
      <c r="E248" s="33"/>
      <c r="F248" s="33"/>
      <c r="G248" s="33"/>
      <c r="H248" s="33"/>
      <c r="I248" s="34" t="str">
        <f t="shared" si="17"/>
        <v>0/3</v>
      </c>
    </row>
    <row r="249" spans="1:9" x14ac:dyDescent="0.25">
      <c r="A249" s="30">
        <f>A242</f>
        <v>46293</v>
      </c>
      <c r="B249" s="31" t="s">
        <v>82</v>
      </c>
      <c r="C249" s="31" t="s">
        <v>37</v>
      </c>
      <c r="D249" s="32" t="s">
        <v>39</v>
      </c>
      <c r="E249" s="33"/>
      <c r="F249" s="33"/>
      <c r="G249" s="33"/>
      <c r="H249" s="33"/>
      <c r="I249" s="34" t="str">
        <f>COUNTA(E249:H249)&amp;"/4"</f>
        <v>0/4</v>
      </c>
    </row>
    <row r="250" spans="1:9" ht="30" x14ac:dyDescent="0.25">
      <c r="A250" s="30">
        <f>A242</f>
        <v>46293</v>
      </c>
      <c r="B250" s="31" t="s">
        <v>82</v>
      </c>
      <c r="C250" s="31" t="s">
        <v>40</v>
      </c>
      <c r="D250" s="32" t="s">
        <v>41</v>
      </c>
      <c r="E250" s="33"/>
      <c r="F250" s="33"/>
      <c r="G250" s="33"/>
      <c r="H250" s="33"/>
      <c r="I250" s="34" t="str">
        <f t="shared" ref="I250:I262" si="18">COUNTA(E250:G250)&amp;"/3"</f>
        <v>0/3</v>
      </c>
    </row>
    <row r="251" spans="1:9" x14ac:dyDescent="0.25">
      <c r="A251" s="30">
        <f>A242</f>
        <v>46293</v>
      </c>
      <c r="B251" s="31" t="s">
        <v>82</v>
      </c>
      <c r="C251" s="31" t="s">
        <v>42</v>
      </c>
      <c r="D251" s="32" t="s">
        <v>43</v>
      </c>
      <c r="E251" s="33"/>
      <c r="F251" s="33"/>
      <c r="G251" s="33"/>
      <c r="H251" s="33"/>
      <c r="I251" s="34" t="str">
        <f t="shared" si="18"/>
        <v>0/3</v>
      </c>
    </row>
    <row r="252" spans="1:9" x14ac:dyDescent="0.25">
      <c r="A252" s="30">
        <f>A242</f>
        <v>46293</v>
      </c>
      <c r="B252" s="31" t="s">
        <v>82</v>
      </c>
      <c r="C252" s="31" t="s">
        <v>44</v>
      </c>
      <c r="D252" s="32" t="s">
        <v>45</v>
      </c>
      <c r="E252" s="33"/>
      <c r="F252" s="33"/>
      <c r="G252" s="33"/>
      <c r="H252" s="33"/>
      <c r="I252" s="34" t="str">
        <f t="shared" si="18"/>
        <v>0/3</v>
      </c>
    </row>
    <row r="253" spans="1:9" x14ac:dyDescent="0.25">
      <c r="A253" s="30">
        <f>A242</f>
        <v>46293</v>
      </c>
      <c r="B253" s="31" t="s">
        <v>82</v>
      </c>
      <c r="C253" s="31" t="s">
        <v>46</v>
      </c>
      <c r="D253" s="32" t="s">
        <v>47</v>
      </c>
      <c r="E253" s="33"/>
      <c r="F253" s="33"/>
      <c r="G253" s="33"/>
      <c r="H253" s="33"/>
      <c r="I253" s="34" t="str">
        <f t="shared" si="18"/>
        <v>0/3</v>
      </c>
    </row>
    <row r="254" spans="1:9" x14ac:dyDescent="0.25">
      <c r="A254" s="30">
        <f>A242</f>
        <v>46293</v>
      </c>
      <c r="B254" s="31" t="s">
        <v>82</v>
      </c>
      <c r="C254" s="31" t="s">
        <v>48</v>
      </c>
      <c r="D254" s="32" t="s">
        <v>49</v>
      </c>
      <c r="E254" s="33"/>
      <c r="F254" s="33"/>
      <c r="G254" s="33"/>
      <c r="H254" s="33"/>
      <c r="I254" s="34" t="str">
        <f t="shared" si="18"/>
        <v>0/3</v>
      </c>
    </row>
    <row r="255" spans="1:9" x14ac:dyDescent="0.25">
      <c r="A255" s="30">
        <f>A242</f>
        <v>46293</v>
      </c>
      <c r="B255" s="31" t="s">
        <v>82</v>
      </c>
      <c r="C255" s="31" t="s">
        <v>50</v>
      </c>
      <c r="D255" s="32" t="s">
        <v>51</v>
      </c>
      <c r="E255" s="33"/>
      <c r="F255" s="33"/>
      <c r="G255" s="33"/>
      <c r="H255" s="33"/>
      <c r="I255" s="34" t="str">
        <f t="shared" si="18"/>
        <v>0/3</v>
      </c>
    </row>
    <row r="256" spans="1:9" x14ac:dyDescent="0.25">
      <c r="A256" s="30">
        <f>A242+7</f>
        <v>46300</v>
      </c>
      <c r="B256" s="31" t="s">
        <v>81</v>
      </c>
      <c r="C256" s="31" t="s">
        <v>37</v>
      </c>
      <c r="D256" s="32" t="s">
        <v>39</v>
      </c>
      <c r="E256" s="33"/>
      <c r="F256" s="33"/>
      <c r="G256" s="33"/>
      <c r="H256" s="33"/>
      <c r="I256" s="34" t="str">
        <f t="shared" si="18"/>
        <v>0/3</v>
      </c>
    </row>
    <row r="257" spans="1:9" ht="30" x14ac:dyDescent="0.25">
      <c r="A257" s="30">
        <f>A256</f>
        <v>46300</v>
      </c>
      <c r="B257" s="31" t="s">
        <v>81</v>
      </c>
      <c r="C257" s="31" t="s">
        <v>40</v>
      </c>
      <c r="D257" s="32" t="s">
        <v>41</v>
      </c>
      <c r="E257" s="33"/>
      <c r="F257" s="33"/>
      <c r="G257" s="33"/>
      <c r="H257" s="33"/>
      <c r="I257" s="34" t="str">
        <f t="shared" si="18"/>
        <v>0/3</v>
      </c>
    </row>
    <row r="258" spans="1:9" x14ac:dyDescent="0.25">
      <c r="A258" s="30">
        <f>A256</f>
        <v>46300</v>
      </c>
      <c r="B258" s="31" t="s">
        <v>81</v>
      </c>
      <c r="C258" s="31" t="s">
        <v>42</v>
      </c>
      <c r="D258" s="32" t="s">
        <v>43</v>
      </c>
      <c r="E258" s="33"/>
      <c r="F258" s="33"/>
      <c r="G258" s="33"/>
      <c r="H258" s="33"/>
      <c r="I258" s="34" t="str">
        <f t="shared" si="18"/>
        <v>0/3</v>
      </c>
    </row>
    <row r="259" spans="1:9" x14ac:dyDescent="0.25">
      <c r="A259" s="30">
        <f>A256</f>
        <v>46300</v>
      </c>
      <c r="B259" s="31" t="s">
        <v>81</v>
      </c>
      <c r="C259" s="31" t="s">
        <v>44</v>
      </c>
      <c r="D259" s="32" t="s">
        <v>45</v>
      </c>
      <c r="E259" s="33"/>
      <c r="F259" s="33"/>
      <c r="G259" s="33"/>
      <c r="H259" s="33"/>
      <c r="I259" s="34" t="str">
        <f t="shared" si="18"/>
        <v>0/3</v>
      </c>
    </row>
    <row r="260" spans="1:9" x14ac:dyDescent="0.25">
      <c r="A260" s="30">
        <f>A256</f>
        <v>46300</v>
      </c>
      <c r="B260" s="31" t="s">
        <v>81</v>
      </c>
      <c r="C260" s="31" t="s">
        <v>46</v>
      </c>
      <c r="D260" s="32" t="s">
        <v>47</v>
      </c>
      <c r="E260" s="33"/>
      <c r="F260" s="33"/>
      <c r="G260" s="33"/>
      <c r="H260" s="33"/>
      <c r="I260" s="34" t="str">
        <f t="shared" si="18"/>
        <v>0/3</v>
      </c>
    </row>
    <row r="261" spans="1:9" x14ac:dyDescent="0.25">
      <c r="A261" s="30">
        <f>A256</f>
        <v>46300</v>
      </c>
      <c r="B261" s="31" t="s">
        <v>81</v>
      </c>
      <c r="C261" s="31" t="s">
        <v>48</v>
      </c>
      <c r="D261" s="32" t="s">
        <v>49</v>
      </c>
      <c r="E261" s="33"/>
      <c r="F261" s="33"/>
      <c r="G261" s="33"/>
      <c r="H261" s="33"/>
      <c r="I261" s="34" t="str">
        <f t="shared" si="18"/>
        <v>0/3</v>
      </c>
    </row>
    <row r="262" spans="1:9" x14ac:dyDescent="0.25">
      <c r="A262" s="30">
        <f>A256</f>
        <v>46300</v>
      </c>
      <c r="B262" s="31" t="s">
        <v>81</v>
      </c>
      <c r="C262" s="31" t="s">
        <v>50</v>
      </c>
      <c r="D262" s="32" t="s">
        <v>51</v>
      </c>
      <c r="E262" s="33"/>
      <c r="F262" s="33"/>
      <c r="G262" s="33"/>
      <c r="H262" s="33"/>
      <c r="I262" s="34" t="str">
        <f t="shared" si="18"/>
        <v>0/3</v>
      </c>
    </row>
    <row r="263" spans="1:9" x14ac:dyDescent="0.25">
      <c r="A263" s="30">
        <f>A256</f>
        <v>46300</v>
      </c>
      <c r="B263" s="31" t="s">
        <v>82</v>
      </c>
      <c r="C263" s="31" t="s">
        <v>37</v>
      </c>
      <c r="D263" s="32" t="s">
        <v>39</v>
      </c>
      <c r="E263" s="33"/>
      <c r="F263" s="33"/>
      <c r="G263" s="33"/>
      <c r="H263" s="33"/>
      <c r="I263" s="34" t="str">
        <f>COUNTA(E263:H263)&amp;"/4"</f>
        <v>0/4</v>
      </c>
    </row>
    <row r="264" spans="1:9" ht="30" x14ac:dyDescent="0.25">
      <c r="A264" s="30">
        <f>A256</f>
        <v>46300</v>
      </c>
      <c r="B264" s="31" t="s">
        <v>82</v>
      </c>
      <c r="C264" s="31" t="s">
        <v>40</v>
      </c>
      <c r="D264" s="32" t="s">
        <v>41</v>
      </c>
      <c r="E264" s="33"/>
      <c r="F264" s="33"/>
      <c r="G264" s="33"/>
      <c r="H264" s="33"/>
      <c r="I264" s="34" t="str">
        <f t="shared" ref="I264:I276" si="19">COUNTA(E264:G264)&amp;"/3"</f>
        <v>0/3</v>
      </c>
    </row>
    <row r="265" spans="1:9" x14ac:dyDescent="0.25">
      <c r="A265" s="30">
        <f>A256</f>
        <v>46300</v>
      </c>
      <c r="B265" s="31" t="s">
        <v>82</v>
      </c>
      <c r="C265" s="31" t="s">
        <v>42</v>
      </c>
      <c r="D265" s="32" t="s">
        <v>43</v>
      </c>
      <c r="E265" s="33"/>
      <c r="F265" s="33"/>
      <c r="G265" s="33"/>
      <c r="H265" s="33"/>
      <c r="I265" s="34" t="str">
        <f t="shared" si="19"/>
        <v>0/3</v>
      </c>
    </row>
    <row r="266" spans="1:9" x14ac:dyDescent="0.25">
      <c r="A266" s="30">
        <f>A256</f>
        <v>46300</v>
      </c>
      <c r="B266" s="31" t="s">
        <v>82</v>
      </c>
      <c r="C266" s="31" t="s">
        <v>44</v>
      </c>
      <c r="D266" s="32" t="s">
        <v>45</v>
      </c>
      <c r="E266" s="33"/>
      <c r="F266" s="33"/>
      <c r="G266" s="33"/>
      <c r="H266" s="33"/>
      <c r="I266" s="34" t="str">
        <f t="shared" si="19"/>
        <v>0/3</v>
      </c>
    </row>
    <row r="267" spans="1:9" x14ac:dyDescent="0.25">
      <c r="A267" s="30">
        <f>A256</f>
        <v>46300</v>
      </c>
      <c r="B267" s="31" t="s">
        <v>82</v>
      </c>
      <c r="C267" s="31" t="s">
        <v>46</v>
      </c>
      <c r="D267" s="32" t="s">
        <v>47</v>
      </c>
      <c r="E267" s="33"/>
      <c r="F267" s="33"/>
      <c r="G267" s="33"/>
      <c r="H267" s="33"/>
      <c r="I267" s="34" t="str">
        <f t="shared" si="19"/>
        <v>0/3</v>
      </c>
    </row>
    <row r="268" spans="1:9" x14ac:dyDescent="0.25">
      <c r="A268" s="30">
        <f>A256</f>
        <v>46300</v>
      </c>
      <c r="B268" s="31" t="s">
        <v>82</v>
      </c>
      <c r="C268" s="31" t="s">
        <v>48</v>
      </c>
      <c r="D268" s="32" t="s">
        <v>49</v>
      </c>
      <c r="E268" s="33"/>
      <c r="F268" s="33"/>
      <c r="G268" s="33"/>
      <c r="H268" s="33"/>
      <c r="I268" s="34" t="str">
        <f t="shared" si="19"/>
        <v>0/3</v>
      </c>
    </row>
    <row r="269" spans="1:9" x14ac:dyDescent="0.25">
      <c r="A269" s="30">
        <f>A256</f>
        <v>46300</v>
      </c>
      <c r="B269" s="31" t="s">
        <v>82</v>
      </c>
      <c r="C269" s="31" t="s">
        <v>50</v>
      </c>
      <c r="D269" s="32" t="s">
        <v>51</v>
      </c>
      <c r="E269" s="33"/>
      <c r="F269" s="33"/>
      <c r="G269" s="33"/>
      <c r="H269" s="33"/>
      <c r="I269" s="34" t="str">
        <f t="shared" si="19"/>
        <v>0/3</v>
      </c>
    </row>
    <row r="270" spans="1:9" x14ac:dyDescent="0.25">
      <c r="A270" s="30">
        <f>A256+7</f>
        <v>46307</v>
      </c>
      <c r="B270" s="31" t="s">
        <v>81</v>
      </c>
      <c r="C270" s="31" t="s">
        <v>37</v>
      </c>
      <c r="D270" s="32" t="s">
        <v>39</v>
      </c>
      <c r="E270" s="33"/>
      <c r="F270" s="33"/>
      <c r="G270" s="33"/>
      <c r="H270" s="33"/>
      <c r="I270" s="34" t="str">
        <f t="shared" si="19"/>
        <v>0/3</v>
      </c>
    </row>
    <row r="271" spans="1:9" ht="30" x14ac:dyDescent="0.25">
      <c r="A271" s="30">
        <f>A270</f>
        <v>46307</v>
      </c>
      <c r="B271" s="31" t="s">
        <v>81</v>
      </c>
      <c r="C271" s="31" t="s">
        <v>40</v>
      </c>
      <c r="D271" s="32" t="s">
        <v>41</v>
      </c>
      <c r="E271" s="33"/>
      <c r="F271" s="33"/>
      <c r="G271" s="33"/>
      <c r="H271" s="33"/>
      <c r="I271" s="34" t="str">
        <f t="shared" si="19"/>
        <v>0/3</v>
      </c>
    </row>
    <row r="272" spans="1:9" x14ac:dyDescent="0.25">
      <c r="A272" s="30">
        <f>A270</f>
        <v>46307</v>
      </c>
      <c r="B272" s="31" t="s">
        <v>81</v>
      </c>
      <c r="C272" s="31" t="s">
        <v>42</v>
      </c>
      <c r="D272" s="32" t="s">
        <v>43</v>
      </c>
      <c r="E272" s="33"/>
      <c r="F272" s="33"/>
      <c r="G272" s="33"/>
      <c r="H272" s="33"/>
      <c r="I272" s="34" t="str">
        <f t="shared" si="19"/>
        <v>0/3</v>
      </c>
    </row>
    <row r="273" spans="1:9" x14ac:dyDescent="0.25">
      <c r="A273" s="30">
        <f>A270</f>
        <v>46307</v>
      </c>
      <c r="B273" s="31" t="s">
        <v>81</v>
      </c>
      <c r="C273" s="31" t="s">
        <v>44</v>
      </c>
      <c r="D273" s="32" t="s">
        <v>45</v>
      </c>
      <c r="E273" s="33"/>
      <c r="F273" s="33"/>
      <c r="G273" s="33"/>
      <c r="H273" s="33"/>
      <c r="I273" s="34" t="str">
        <f t="shared" si="19"/>
        <v>0/3</v>
      </c>
    </row>
    <row r="274" spans="1:9" x14ac:dyDescent="0.25">
      <c r="A274" s="30">
        <f>A270</f>
        <v>46307</v>
      </c>
      <c r="B274" s="31" t="s">
        <v>81</v>
      </c>
      <c r="C274" s="31" t="s">
        <v>46</v>
      </c>
      <c r="D274" s="32" t="s">
        <v>47</v>
      </c>
      <c r="E274" s="33"/>
      <c r="F274" s="33"/>
      <c r="G274" s="33"/>
      <c r="H274" s="33"/>
      <c r="I274" s="34" t="str">
        <f t="shared" si="19"/>
        <v>0/3</v>
      </c>
    </row>
    <row r="275" spans="1:9" x14ac:dyDescent="0.25">
      <c r="A275" s="30">
        <f>A270</f>
        <v>46307</v>
      </c>
      <c r="B275" s="31" t="s">
        <v>81</v>
      </c>
      <c r="C275" s="31" t="s">
        <v>48</v>
      </c>
      <c r="D275" s="32" t="s">
        <v>49</v>
      </c>
      <c r="E275" s="33"/>
      <c r="F275" s="33"/>
      <c r="G275" s="33"/>
      <c r="H275" s="33"/>
      <c r="I275" s="34" t="str">
        <f t="shared" si="19"/>
        <v>0/3</v>
      </c>
    </row>
    <row r="276" spans="1:9" x14ac:dyDescent="0.25">
      <c r="A276" s="30">
        <f>A270</f>
        <v>46307</v>
      </c>
      <c r="B276" s="31" t="s">
        <v>81</v>
      </c>
      <c r="C276" s="31" t="s">
        <v>50</v>
      </c>
      <c r="D276" s="32" t="s">
        <v>51</v>
      </c>
      <c r="E276" s="33"/>
      <c r="F276" s="33"/>
      <c r="G276" s="33"/>
      <c r="H276" s="33"/>
      <c r="I276" s="34" t="str">
        <f t="shared" si="19"/>
        <v>0/3</v>
      </c>
    </row>
    <row r="277" spans="1:9" x14ac:dyDescent="0.25">
      <c r="A277" s="30">
        <f>A270</f>
        <v>46307</v>
      </c>
      <c r="B277" s="31" t="s">
        <v>82</v>
      </c>
      <c r="C277" s="31" t="s">
        <v>37</v>
      </c>
      <c r="D277" s="32" t="s">
        <v>39</v>
      </c>
      <c r="E277" s="33"/>
      <c r="F277" s="33"/>
      <c r="G277" s="33"/>
      <c r="H277" s="33"/>
      <c r="I277" s="34" t="str">
        <f>COUNTA(E277:H277)&amp;"/4"</f>
        <v>0/4</v>
      </c>
    </row>
    <row r="278" spans="1:9" ht="30" x14ac:dyDescent="0.25">
      <c r="A278" s="30">
        <f>A270</f>
        <v>46307</v>
      </c>
      <c r="B278" s="31" t="s">
        <v>82</v>
      </c>
      <c r="C278" s="31" t="s">
        <v>40</v>
      </c>
      <c r="D278" s="32" t="s">
        <v>41</v>
      </c>
      <c r="E278" s="33"/>
      <c r="F278" s="33"/>
      <c r="G278" s="33"/>
      <c r="H278" s="33"/>
      <c r="I278" s="34" t="str">
        <f t="shared" ref="I278:I290" si="20">COUNTA(E278:G278)&amp;"/3"</f>
        <v>0/3</v>
      </c>
    </row>
    <row r="279" spans="1:9" x14ac:dyDescent="0.25">
      <c r="A279" s="30">
        <f>A270</f>
        <v>46307</v>
      </c>
      <c r="B279" s="31" t="s">
        <v>82</v>
      </c>
      <c r="C279" s="31" t="s">
        <v>42</v>
      </c>
      <c r="D279" s="32" t="s">
        <v>43</v>
      </c>
      <c r="E279" s="33"/>
      <c r="F279" s="33"/>
      <c r="G279" s="33"/>
      <c r="H279" s="33"/>
      <c r="I279" s="34" t="str">
        <f t="shared" si="20"/>
        <v>0/3</v>
      </c>
    </row>
    <row r="280" spans="1:9" x14ac:dyDescent="0.25">
      <c r="A280" s="30">
        <f>A270</f>
        <v>46307</v>
      </c>
      <c r="B280" s="31" t="s">
        <v>82</v>
      </c>
      <c r="C280" s="31" t="s">
        <v>44</v>
      </c>
      <c r="D280" s="32" t="s">
        <v>45</v>
      </c>
      <c r="E280" s="33"/>
      <c r="F280" s="33"/>
      <c r="G280" s="33"/>
      <c r="H280" s="33"/>
      <c r="I280" s="34" t="str">
        <f t="shared" si="20"/>
        <v>0/3</v>
      </c>
    </row>
    <row r="281" spans="1:9" x14ac:dyDescent="0.25">
      <c r="A281" s="30">
        <f>A270</f>
        <v>46307</v>
      </c>
      <c r="B281" s="31" t="s">
        <v>82</v>
      </c>
      <c r="C281" s="31" t="s">
        <v>46</v>
      </c>
      <c r="D281" s="32" t="s">
        <v>47</v>
      </c>
      <c r="E281" s="33"/>
      <c r="F281" s="33"/>
      <c r="G281" s="33"/>
      <c r="H281" s="33"/>
      <c r="I281" s="34" t="str">
        <f t="shared" si="20"/>
        <v>0/3</v>
      </c>
    </row>
    <row r="282" spans="1:9" x14ac:dyDescent="0.25">
      <c r="A282" s="30">
        <f>A270</f>
        <v>46307</v>
      </c>
      <c r="B282" s="31" t="s">
        <v>82</v>
      </c>
      <c r="C282" s="31" t="s">
        <v>48</v>
      </c>
      <c r="D282" s="32" t="s">
        <v>49</v>
      </c>
      <c r="E282" s="33"/>
      <c r="F282" s="33"/>
      <c r="G282" s="33"/>
      <c r="H282" s="33"/>
      <c r="I282" s="34" t="str">
        <f t="shared" si="20"/>
        <v>0/3</v>
      </c>
    </row>
    <row r="283" spans="1:9" x14ac:dyDescent="0.25">
      <c r="A283" s="30">
        <f>A270</f>
        <v>46307</v>
      </c>
      <c r="B283" s="31" t="s">
        <v>82</v>
      </c>
      <c r="C283" s="31" t="s">
        <v>50</v>
      </c>
      <c r="D283" s="32" t="s">
        <v>51</v>
      </c>
      <c r="E283" s="33"/>
      <c r="F283" s="33"/>
      <c r="G283" s="33"/>
      <c r="H283" s="33"/>
      <c r="I283" s="34" t="str">
        <f t="shared" si="20"/>
        <v>0/3</v>
      </c>
    </row>
    <row r="284" spans="1:9" x14ac:dyDescent="0.25">
      <c r="A284" s="30">
        <f>A270+7</f>
        <v>46314</v>
      </c>
      <c r="B284" s="31" t="s">
        <v>81</v>
      </c>
      <c r="C284" s="31" t="s">
        <v>37</v>
      </c>
      <c r="D284" s="32" t="s">
        <v>39</v>
      </c>
      <c r="E284" s="33"/>
      <c r="F284" s="33"/>
      <c r="G284" s="33"/>
      <c r="H284" s="33"/>
      <c r="I284" s="34" t="str">
        <f t="shared" si="20"/>
        <v>0/3</v>
      </c>
    </row>
    <row r="285" spans="1:9" ht="30" x14ac:dyDescent="0.25">
      <c r="A285" s="30">
        <f>A284</f>
        <v>46314</v>
      </c>
      <c r="B285" s="31" t="s">
        <v>81</v>
      </c>
      <c r="C285" s="31" t="s">
        <v>40</v>
      </c>
      <c r="D285" s="32" t="s">
        <v>41</v>
      </c>
      <c r="E285" s="33"/>
      <c r="F285" s="33"/>
      <c r="G285" s="33"/>
      <c r="H285" s="33"/>
      <c r="I285" s="34" t="str">
        <f t="shared" si="20"/>
        <v>0/3</v>
      </c>
    </row>
    <row r="286" spans="1:9" x14ac:dyDescent="0.25">
      <c r="A286" s="30">
        <f>A284</f>
        <v>46314</v>
      </c>
      <c r="B286" s="31" t="s">
        <v>81</v>
      </c>
      <c r="C286" s="31" t="s">
        <v>42</v>
      </c>
      <c r="D286" s="32" t="s">
        <v>43</v>
      </c>
      <c r="E286" s="33"/>
      <c r="F286" s="33"/>
      <c r="G286" s="33"/>
      <c r="H286" s="33"/>
      <c r="I286" s="34" t="str">
        <f t="shared" si="20"/>
        <v>0/3</v>
      </c>
    </row>
    <row r="287" spans="1:9" x14ac:dyDescent="0.25">
      <c r="A287" s="30">
        <f>A284</f>
        <v>46314</v>
      </c>
      <c r="B287" s="31" t="s">
        <v>81</v>
      </c>
      <c r="C287" s="31" t="s">
        <v>44</v>
      </c>
      <c r="D287" s="32" t="s">
        <v>45</v>
      </c>
      <c r="E287" s="33"/>
      <c r="F287" s="33"/>
      <c r="G287" s="33"/>
      <c r="H287" s="33"/>
      <c r="I287" s="34" t="str">
        <f t="shared" si="20"/>
        <v>0/3</v>
      </c>
    </row>
    <row r="288" spans="1:9" x14ac:dyDescent="0.25">
      <c r="A288" s="30">
        <f>A284</f>
        <v>46314</v>
      </c>
      <c r="B288" s="31" t="s">
        <v>81</v>
      </c>
      <c r="C288" s="31" t="s">
        <v>46</v>
      </c>
      <c r="D288" s="32" t="s">
        <v>47</v>
      </c>
      <c r="E288" s="33"/>
      <c r="F288" s="33"/>
      <c r="G288" s="33"/>
      <c r="H288" s="33"/>
      <c r="I288" s="34" t="str">
        <f t="shared" si="20"/>
        <v>0/3</v>
      </c>
    </row>
    <row r="289" spans="1:9" x14ac:dyDescent="0.25">
      <c r="A289" s="30">
        <f>A284</f>
        <v>46314</v>
      </c>
      <c r="B289" s="31" t="s">
        <v>81</v>
      </c>
      <c r="C289" s="31" t="s">
        <v>48</v>
      </c>
      <c r="D289" s="32" t="s">
        <v>49</v>
      </c>
      <c r="E289" s="33"/>
      <c r="F289" s="33"/>
      <c r="G289" s="33"/>
      <c r="H289" s="33"/>
      <c r="I289" s="34" t="str">
        <f t="shared" si="20"/>
        <v>0/3</v>
      </c>
    </row>
    <row r="290" spans="1:9" x14ac:dyDescent="0.25">
      <c r="A290" s="30">
        <f>A284</f>
        <v>46314</v>
      </c>
      <c r="B290" s="31" t="s">
        <v>81</v>
      </c>
      <c r="C290" s="31" t="s">
        <v>50</v>
      </c>
      <c r="D290" s="32" t="s">
        <v>51</v>
      </c>
      <c r="E290" s="33"/>
      <c r="F290" s="33"/>
      <c r="G290" s="33"/>
      <c r="H290" s="33"/>
      <c r="I290" s="34" t="str">
        <f t="shared" si="20"/>
        <v>0/3</v>
      </c>
    </row>
    <row r="291" spans="1:9" x14ac:dyDescent="0.25">
      <c r="A291" s="30">
        <f>A284</f>
        <v>46314</v>
      </c>
      <c r="B291" s="31" t="s">
        <v>82</v>
      </c>
      <c r="C291" s="31" t="s">
        <v>37</v>
      </c>
      <c r="D291" s="32" t="s">
        <v>39</v>
      </c>
      <c r="E291" s="33"/>
      <c r="F291" s="33"/>
      <c r="G291" s="33"/>
      <c r="H291" s="33"/>
      <c r="I291" s="34" t="str">
        <f>COUNTA(E291:H291)&amp;"/4"</f>
        <v>0/4</v>
      </c>
    </row>
    <row r="292" spans="1:9" ht="30" x14ac:dyDescent="0.25">
      <c r="A292" s="30">
        <f>A284</f>
        <v>46314</v>
      </c>
      <c r="B292" s="31" t="s">
        <v>82</v>
      </c>
      <c r="C292" s="31" t="s">
        <v>40</v>
      </c>
      <c r="D292" s="32" t="s">
        <v>41</v>
      </c>
      <c r="E292" s="33"/>
      <c r="F292" s="33"/>
      <c r="G292" s="33"/>
      <c r="H292" s="33"/>
      <c r="I292" s="34" t="str">
        <f t="shared" ref="I292:I304" si="21">COUNTA(E292:G292)&amp;"/3"</f>
        <v>0/3</v>
      </c>
    </row>
    <row r="293" spans="1:9" x14ac:dyDescent="0.25">
      <c r="A293" s="30">
        <f>A284</f>
        <v>46314</v>
      </c>
      <c r="B293" s="31" t="s">
        <v>82</v>
      </c>
      <c r="C293" s="31" t="s">
        <v>42</v>
      </c>
      <c r="D293" s="32" t="s">
        <v>43</v>
      </c>
      <c r="E293" s="33"/>
      <c r="F293" s="33"/>
      <c r="G293" s="33"/>
      <c r="H293" s="33"/>
      <c r="I293" s="34" t="str">
        <f t="shared" si="21"/>
        <v>0/3</v>
      </c>
    </row>
    <row r="294" spans="1:9" x14ac:dyDescent="0.25">
      <c r="A294" s="30">
        <f>A284</f>
        <v>46314</v>
      </c>
      <c r="B294" s="31" t="s">
        <v>82</v>
      </c>
      <c r="C294" s="31" t="s">
        <v>44</v>
      </c>
      <c r="D294" s="32" t="s">
        <v>45</v>
      </c>
      <c r="E294" s="33"/>
      <c r="F294" s="33"/>
      <c r="G294" s="33"/>
      <c r="H294" s="33"/>
      <c r="I294" s="34" t="str">
        <f t="shared" si="21"/>
        <v>0/3</v>
      </c>
    </row>
    <row r="295" spans="1:9" x14ac:dyDescent="0.25">
      <c r="A295" s="30">
        <f>A284</f>
        <v>46314</v>
      </c>
      <c r="B295" s="31" t="s">
        <v>82</v>
      </c>
      <c r="C295" s="31" t="s">
        <v>46</v>
      </c>
      <c r="D295" s="32" t="s">
        <v>47</v>
      </c>
      <c r="E295" s="33"/>
      <c r="F295" s="33"/>
      <c r="G295" s="33"/>
      <c r="H295" s="33"/>
      <c r="I295" s="34" t="str">
        <f t="shared" si="21"/>
        <v>0/3</v>
      </c>
    </row>
    <row r="296" spans="1:9" x14ac:dyDescent="0.25">
      <c r="A296" s="30">
        <f>A284</f>
        <v>46314</v>
      </c>
      <c r="B296" s="31" t="s">
        <v>82</v>
      </c>
      <c r="C296" s="31" t="s">
        <v>48</v>
      </c>
      <c r="D296" s="32" t="s">
        <v>49</v>
      </c>
      <c r="E296" s="33"/>
      <c r="F296" s="33"/>
      <c r="G296" s="33"/>
      <c r="H296" s="33"/>
      <c r="I296" s="34" t="str">
        <f t="shared" si="21"/>
        <v>0/3</v>
      </c>
    </row>
    <row r="297" spans="1:9" x14ac:dyDescent="0.25">
      <c r="A297" s="30">
        <f>A284</f>
        <v>46314</v>
      </c>
      <c r="B297" s="31" t="s">
        <v>82</v>
      </c>
      <c r="C297" s="31" t="s">
        <v>50</v>
      </c>
      <c r="D297" s="32" t="s">
        <v>51</v>
      </c>
      <c r="E297" s="33"/>
      <c r="F297" s="33"/>
      <c r="G297" s="33"/>
      <c r="H297" s="33"/>
      <c r="I297" s="34" t="str">
        <f t="shared" si="21"/>
        <v>0/3</v>
      </c>
    </row>
    <row r="298" spans="1:9" x14ac:dyDescent="0.25">
      <c r="A298" s="30">
        <f>A284+7</f>
        <v>46321</v>
      </c>
      <c r="B298" s="31" t="s">
        <v>81</v>
      </c>
      <c r="C298" s="31" t="s">
        <v>37</v>
      </c>
      <c r="D298" s="32" t="s">
        <v>39</v>
      </c>
      <c r="E298" s="33"/>
      <c r="F298" s="33"/>
      <c r="G298" s="33"/>
      <c r="H298" s="33"/>
      <c r="I298" s="34" t="str">
        <f t="shared" si="21"/>
        <v>0/3</v>
      </c>
    </row>
    <row r="299" spans="1:9" ht="30" x14ac:dyDescent="0.25">
      <c r="A299" s="30">
        <f>A298</f>
        <v>46321</v>
      </c>
      <c r="B299" s="31" t="s">
        <v>81</v>
      </c>
      <c r="C299" s="31" t="s">
        <v>40</v>
      </c>
      <c r="D299" s="32" t="s">
        <v>41</v>
      </c>
      <c r="E299" s="33"/>
      <c r="F299" s="33"/>
      <c r="G299" s="33"/>
      <c r="H299" s="33"/>
      <c r="I299" s="34" t="str">
        <f t="shared" si="21"/>
        <v>0/3</v>
      </c>
    </row>
    <row r="300" spans="1:9" x14ac:dyDescent="0.25">
      <c r="A300" s="30">
        <f>A298</f>
        <v>46321</v>
      </c>
      <c r="B300" s="31" t="s">
        <v>81</v>
      </c>
      <c r="C300" s="31" t="s">
        <v>42</v>
      </c>
      <c r="D300" s="32" t="s">
        <v>43</v>
      </c>
      <c r="E300" s="33"/>
      <c r="F300" s="33"/>
      <c r="G300" s="33"/>
      <c r="H300" s="33"/>
      <c r="I300" s="34" t="str">
        <f t="shared" si="21"/>
        <v>0/3</v>
      </c>
    </row>
    <row r="301" spans="1:9" x14ac:dyDescent="0.25">
      <c r="A301" s="30">
        <f>A298</f>
        <v>46321</v>
      </c>
      <c r="B301" s="31" t="s">
        <v>81</v>
      </c>
      <c r="C301" s="31" t="s">
        <v>44</v>
      </c>
      <c r="D301" s="32" t="s">
        <v>45</v>
      </c>
      <c r="E301" s="33"/>
      <c r="F301" s="33"/>
      <c r="G301" s="33"/>
      <c r="H301" s="33"/>
      <c r="I301" s="34" t="str">
        <f t="shared" si="21"/>
        <v>0/3</v>
      </c>
    </row>
    <row r="302" spans="1:9" x14ac:dyDescent="0.25">
      <c r="A302" s="30">
        <f>A298</f>
        <v>46321</v>
      </c>
      <c r="B302" s="31" t="s">
        <v>81</v>
      </c>
      <c r="C302" s="31" t="s">
        <v>46</v>
      </c>
      <c r="D302" s="32" t="s">
        <v>47</v>
      </c>
      <c r="E302" s="33"/>
      <c r="F302" s="33"/>
      <c r="G302" s="33"/>
      <c r="H302" s="33"/>
      <c r="I302" s="34" t="str">
        <f t="shared" si="21"/>
        <v>0/3</v>
      </c>
    </row>
    <row r="303" spans="1:9" x14ac:dyDescent="0.25">
      <c r="A303" s="30">
        <f>A298</f>
        <v>46321</v>
      </c>
      <c r="B303" s="31" t="s">
        <v>81</v>
      </c>
      <c r="C303" s="31" t="s">
        <v>48</v>
      </c>
      <c r="D303" s="32" t="s">
        <v>49</v>
      </c>
      <c r="E303" s="33"/>
      <c r="F303" s="33"/>
      <c r="G303" s="33"/>
      <c r="H303" s="33"/>
      <c r="I303" s="34" t="str">
        <f t="shared" si="21"/>
        <v>0/3</v>
      </c>
    </row>
    <row r="304" spans="1:9" x14ac:dyDescent="0.25">
      <c r="A304" s="30">
        <f>A298</f>
        <v>46321</v>
      </c>
      <c r="B304" s="31" t="s">
        <v>81</v>
      </c>
      <c r="C304" s="31" t="s">
        <v>50</v>
      </c>
      <c r="D304" s="32" t="s">
        <v>51</v>
      </c>
      <c r="E304" s="33"/>
      <c r="F304" s="33"/>
      <c r="G304" s="33"/>
      <c r="H304" s="33"/>
      <c r="I304" s="34" t="str">
        <f t="shared" si="21"/>
        <v>0/3</v>
      </c>
    </row>
    <row r="305" spans="1:9" x14ac:dyDescent="0.25">
      <c r="A305" s="30">
        <f>A298</f>
        <v>46321</v>
      </c>
      <c r="B305" s="31" t="s">
        <v>82</v>
      </c>
      <c r="C305" s="31" t="s">
        <v>37</v>
      </c>
      <c r="D305" s="32" t="s">
        <v>39</v>
      </c>
      <c r="E305" s="33"/>
      <c r="F305" s="33"/>
      <c r="G305" s="33"/>
      <c r="H305" s="33"/>
      <c r="I305" s="34" t="str">
        <f>COUNTA(E305:H305)&amp;"/4"</f>
        <v>0/4</v>
      </c>
    </row>
    <row r="306" spans="1:9" ht="30" x14ac:dyDescent="0.25">
      <c r="A306" s="30">
        <f>A298</f>
        <v>46321</v>
      </c>
      <c r="B306" s="31" t="s">
        <v>82</v>
      </c>
      <c r="C306" s="31" t="s">
        <v>40</v>
      </c>
      <c r="D306" s="32" t="s">
        <v>41</v>
      </c>
      <c r="E306" s="33"/>
      <c r="F306" s="33"/>
      <c r="G306" s="33"/>
      <c r="H306" s="33"/>
      <c r="I306" s="34" t="str">
        <f t="shared" ref="I306:I318" si="22">COUNTA(E306:G306)&amp;"/3"</f>
        <v>0/3</v>
      </c>
    </row>
    <row r="307" spans="1:9" x14ac:dyDescent="0.25">
      <c r="A307" s="30">
        <f>A298</f>
        <v>46321</v>
      </c>
      <c r="B307" s="31" t="s">
        <v>82</v>
      </c>
      <c r="C307" s="31" t="s">
        <v>42</v>
      </c>
      <c r="D307" s="32" t="s">
        <v>43</v>
      </c>
      <c r="E307" s="33"/>
      <c r="F307" s="33"/>
      <c r="G307" s="33"/>
      <c r="H307" s="33"/>
      <c r="I307" s="34" t="str">
        <f t="shared" si="22"/>
        <v>0/3</v>
      </c>
    </row>
    <row r="308" spans="1:9" x14ac:dyDescent="0.25">
      <c r="A308" s="30">
        <f>A298</f>
        <v>46321</v>
      </c>
      <c r="B308" s="31" t="s">
        <v>82</v>
      </c>
      <c r="C308" s="31" t="s">
        <v>44</v>
      </c>
      <c r="D308" s="32" t="s">
        <v>45</v>
      </c>
      <c r="E308" s="33"/>
      <c r="F308" s="33"/>
      <c r="G308" s="33"/>
      <c r="H308" s="33"/>
      <c r="I308" s="34" t="str">
        <f t="shared" si="22"/>
        <v>0/3</v>
      </c>
    </row>
    <row r="309" spans="1:9" x14ac:dyDescent="0.25">
      <c r="A309" s="30">
        <f>A298</f>
        <v>46321</v>
      </c>
      <c r="B309" s="31" t="s">
        <v>82</v>
      </c>
      <c r="C309" s="31" t="s">
        <v>46</v>
      </c>
      <c r="D309" s="32" t="s">
        <v>47</v>
      </c>
      <c r="E309" s="33"/>
      <c r="F309" s="33"/>
      <c r="G309" s="33"/>
      <c r="H309" s="33"/>
      <c r="I309" s="34" t="str">
        <f t="shared" si="22"/>
        <v>0/3</v>
      </c>
    </row>
    <row r="310" spans="1:9" x14ac:dyDescent="0.25">
      <c r="A310" s="30">
        <f>A298</f>
        <v>46321</v>
      </c>
      <c r="B310" s="31" t="s">
        <v>82</v>
      </c>
      <c r="C310" s="31" t="s">
        <v>48</v>
      </c>
      <c r="D310" s="32" t="s">
        <v>49</v>
      </c>
      <c r="E310" s="33"/>
      <c r="F310" s="33"/>
      <c r="G310" s="33"/>
      <c r="H310" s="33"/>
      <c r="I310" s="34" t="str">
        <f t="shared" si="22"/>
        <v>0/3</v>
      </c>
    </row>
    <row r="311" spans="1:9" x14ac:dyDescent="0.25">
      <c r="A311" s="30">
        <f>A298</f>
        <v>46321</v>
      </c>
      <c r="B311" s="31" t="s">
        <v>82</v>
      </c>
      <c r="C311" s="31" t="s">
        <v>50</v>
      </c>
      <c r="D311" s="32" t="s">
        <v>51</v>
      </c>
      <c r="E311" s="33"/>
      <c r="F311" s="33"/>
      <c r="G311" s="33"/>
      <c r="H311" s="33"/>
      <c r="I311" s="34" t="str">
        <f t="shared" si="22"/>
        <v>0/3</v>
      </c>
    </row>
    <row r="312" spans="1:9" x14ac:dyDescent="0.25">
      <c r="A312" s="30">
        <f>A298+7</f>
        <v>46328</v>
      </c>
      <c r="B312" s="31" t="s">
        <v>81</v>
      </c>
      <c r="C312" s="31" t="s">
        <v>37</v>
      </c>
      <c r="D312" s="32" t="s">
        <v>39</v>
      </c>
      <c r="E312" s="33"/>
      <c r="F312" s="33"/>
      <c r="G312" s="33"/>
      <c r="H312" s="33"/>
      <c r="I312" s="34" t="str">
        <f t="shared" si="22"/>
        <v>0/3</v>
      </c>
    </row>
    <row r="313" spans="1:9" ht="30" x14ac:dyDescent="0.25">
      <c r="A313" s="30">
        <f>A312</f>
        <v>46328</v>
      </c>
      <c r="B313" s="31" t="s">
        <v>81</v>
      </c>
      <c r="C313" s="31" t="s">
        <v>40</v>
      </c>
      <c r="D313" s="32" t="s">
        <v>41</v>
      </c>
      <c r="E313" s="33"/>
      <c r="F313" s="33"/>
      <c r="G313" s="33"/>
      <c r="H313" s="33"/>
      <c r="I313" s="34" t="str">
        <f t="shared" si="22"/>
        <v>0/3</v>
      </c>
    </row>
    <row r="314" spans="1:9" x14ac:dyDescent="0.25">
      <c r="A314" s="30">
        <f>A312</f>
        <v>46328</v>
      </c>
      <c r="B314" s="31" t="s">
        <v>81</v>
      </c>
      <c r="C314" s="31" t="s">
        <v>42</v>
      </c>
      <c r="D314" s="32" t="s">
        <v>43</v>
      </c>
      <c r="E314" s="33"/>
      <c r="F314" s="33"/>
      <c r="G314" s="33"/>
      <c r="H314" s="33"/>
      <c r="I314" s="34" t="str">
        <f t="shared" si="22"/>
        <v>0/3</v>
      </c>
    </row>
    <row r="315" spans="1:9" x14ac:dyDescent="0.25">
      <c r="A315" s="30">
        <f>A312</f>
        <v>46328</v>
      </c>
      <c r="B315" s="31" t="s">
        <v>81</v>
      </c>
      <c r="C315" s="31" t="s">
        <v>44</v>
      </c>
      <c r="D315" s="32" t="s">
        <v>45</v>
      </c>
      <c r="E315" s="33"/>
      <c r="F315" s="33"/>
      <c r="G315" s="33"/>
      <c r="H315" s="33"/>
      <c r="I315" s="34" t="str">
        <f t="shared" si="22"/>
        <v>0/3</v>
      </c>
    </row>
    <row r="316" spans="1:9" x14ac:dyDescent="0.25">
      <c r="A316" s="30">
        <f>A312</f>
        <v>46328</v>
      </c>
      <c r="B316" s="31" t="s">
        <v>81</v>
      </c>
      <c r="C316" s="31" t="s">
        <v>46</v>
      </c>
      <c r="D316" s="32" t="s">
        <v>47</v>
      </c>
      <c r="E316" s="33"/>
      <c r="F316" s="33"/>
      <c r="G316" s="33"/>
      <c r="H316" s="33"/>
      <c r="I316" s="34" t="str">
        <f t="shared" si="22"/>
        <v>0/3</v>
      </c>
    </row>
    <row r="317" spans="1:9" x14ac:dyDescent="0.25">
      <c r="A317" s="30">
        <f>A312</f>
        <v>46328</v>
      </c>
      <c r="B317" s="31" t="s">
        <v>81</v>
      </c>
      <c r="C317" s="31" t="s">
        <v>48</v>
      </c>
      <c r="D317" s="32" t="s">
        <v>49</v>
      </c>
      <c r="E317" s="33"/>
      <c r="F317" s="33"/>
      <c r="G317" s="33"/>
      <c r="H317" s="33"/>
      <c r="I317" s="34" t="str">
        <f t="shared" si="22"/>
        <v>0/3</v>
      </c>
    </row>
    <row r="318" spans="1:9" x14ac:dyDescent="0.25">
      <c r="A318" s="30">
        <f>A312</f>
        <v>46328</v>
      </c>
      <c r="B318" s="31" t="s">
        <v>81</v>
      </c>
      <c r="C318" s="31" t="s">
        <v>50</v>
      </c>
      <c r="D318" s="32" t="s">
        <v>51</v>
      </c>
      <c r="E318" s="33"/>
      <c r="F318" s="33"/>
      <c r="G318" s="33"/>
      <c r="H318" s="33"/>
      <c r="I318" s="34" t="str">
        <f t="shared" si="22"/>
        <v>0/3</v>
      </c>
    </row>
    <row r="319" spans="1:9" x14ac:dyDescent="0.25">
      <c r="A319" s="30">
        <f>A312</f>
        <v>46328</v>
      </c>
      <c r="B319" s="31" t="s">
        <v>82</v>
      </c>
      <c r="C319" s="31" t="s">
        <v>37</v>
      </c>
      <c r="D319" s="32" t="s">
        <v>39</v>
      </c>
      <c r="E319" s="33"/>
      <c r="F319" s="33"/>
      <c r="G319" s="33"/>
      <c r="H319" s="33"/>
      <c r="I319" s="34" t="str">
        <f>COUNTA(E319:H319)&amp;"/4"</f>
        <v>0/4</v>
      </c>
    </row>
    <row r="320" spans="1:9" ht="30" x14ac:dyDescent="0.25">
      <c r="A320" s="30">
        <f>A312</f>
        <v>46328</v>
      </c>
      <c r="B320" s="31" t="s">
        <v>82</v>
      </c>
      <c r="C320" s="31" t="s">
        <v>40</v>
      </c>
      <c r="D320" s="32" t="s">
        <v>41</v>
      </c>
      <c r="E320" s="33"/>
      <c r="F320" s="33"/>
      <c r="G320" s="33"/>
      <c r="H320" s="33"/>
      <c r="I320" s="34" t="str">
        <f t="shared" ref="I320:I332" si="23">COUNTA(E320:G320)&amp;"/3"</f>
        <v>0/3</v>
      </c>
    </row>
    <row r="321" spans="1:9" x14ac:dyDescent="0.25">
      <c r="A321" s="30">
        <f>A312</f>
        <v>46328</v>
      </c>
      <c r="B321" s="31" t="s">
        <v>82</v>
      </c>
      <c r="C321" s="31" t="s">
        <v>42</v>
      </c>
      <c r="D321" s="32" t="s">
        <v>43</v>
      </c>
      <c r="E321" s="33"/>
      <c r="F321" s="33"/>
      <c r="G321" s="33"/>
      <c r="H321" s="33"/>
      <c r="I321" s="34" t="str">
        <f t="shared" si="23"/>
        <v>0/3</v>
      </c>
    </row>
    <row r="322" spans="1:9" x14ac:dyDescent="0.25">
      <c r="A322" s="30">
        <f>A312</f>
        <v>46328</v>
      </c>
      <c r="B322" s="31" t="s">
        <v>82</v>
      </c>
      <c r="C322" s="31" t="s">
        <v>44</v>
      </c>
      <c r="D322" s="32" t="s">
        <v>45</v>
      </c>
      <c r="E322" s="33"/>
      <c r="F322" s="33"/>
      <c r="G322" s="33"/>
      <c r="H322" s="33"/>
      <c r="I322" s="34" t="str">
        <f t="shared" si="23"/>
        <v>0/3</v>
      </c>
    </row>
    <row r="323" spans="1:9" x14ac:dyDescent="0.25">
      <c r="A323" s="30">
        <f>A312</f>
        <v>46328</v>
      </c>
      <c r="B323" s="31" t="s">
        <v>82</v>
      </c>
      <c r="C323" s="31" t="s">
        <v>46</v>
      </c>
      <c r="D323" s="32" t="s">
        <v>47</v>
      </c>
      <c r="E323" s="33"/>
      <c r="F323" s="33"/>
      <c r="G323" s="33"/>
      <c r="H323" s="33"/>
      <c r="I323" s="34" t="str">
        <f t="shared" si="23"/>
        <v>0/3</v>
      </c>
    </row>
    <row r="324" spans="1:9" x14ac:dyDescent="0.25">
      <c r="A324" s="30">
        <f>A312</f>
        <v>46328</v>
      </c>
      <c r="B324" s="31" t="s">
        <v>82</v>
      </c>
      <c r="C324" s="31" t="s">
        <v>48</v>
      </c>
      <c r="D324" s="32" t="s">
        <v>49</v>
      </c>
      <c r="E324" s="33"/>
      <c r="F324" s="33"/>
      <c r="G324" s="33"/>
      <c r="H324" s="33"/>
      <c r="I324" s="34" t="str">
        <f t="shared" si="23"/>
        <v>0/3</v>
      </c>
    </row>
    <row r="325" spans="1:9" x14ac:dyDescent="0.25">
      <c r="A325" s="30">
        <f>A312</f>
        <v>46328</v>
      </c>
      <c r="B325" s="31" t="s">
        <v>82</v>
      </c>
      <c r="C325" s="31" t="s">
        <v>50</v>
      </c>
      <c r="D325" s="32" t="s">
        <v>51</v>
      </c>
      <c r="E325" s="33"/>
      <c r="F325" s="33"/>
      <c r="G325" s="33"/>
      <c r="H325" s="33"/>
      <c r="I325" s="34" t="str">
        <f t="shared" si="23"/>
        <v>0/3</v>
      </c>
    </row>
    <row r="326" spans="1:9" x14ac:dyDescent="0.25">
      <c r="A326" s="30">
        <f>A312+7</f>
        <v>46335</v>
      </c>
      <c r="B326" s="31" t="s">
        <v>81</v>
      </c>
      <c r="C326" s="31" t="s">
        <v>37</v>
      </c>
      <c r="D326" s="32" t="s">
        <v>39</v>
      </c>
      <c r="E326" s="33"/>
      <c r="F326" s="33"/>
      <c r="G326" s="33"/>
      <c r="H326" s="33"/>
      <c r="I326" s="34" t="str">
        <f t="shared" si="23"/>
        <v>0/3</v>
      </c>
    </row>
    <row r="327" spans="1:9" ht="30" x14ac:dyDescent="0.25">
      <c r="A327" s="30">
        <f>A326</f>
        <v>46335</v>
      </c>
      <c r="B327" s="31" t="s">
        <v>81</v>
      </c>
      <c r="C327" s="31" t="s">
        <v>40</v>
      </c>
      <c r="D327" s="32" t="s">
        <v>41</v>
      </c>
      <c r="E327" s="33"/>
      <c r="F327" s="33"/>
      <c r="G327" s="33"/>
      <c r="H327" s="33"/>
      <c r="I327" s="34" t="str">
        <f t="shared" si="23"/>
        <v>0/3</v>
      </c>
    </row>
    <row r="328" spans="1:9" x14ac:dyDescent="0.25">
      <c r="A328" s="30">
        <f>A326</f>
        <v>46335</v>
      </c>
      <c r="B328" s="31" t="s">
        <v>81</v>
      </c>
      <c r="C328" s="31" t="s">
        <v>42</v>
      </c>
      <c r="D328" s="32" t="s">
        <v>43</v>
      </c>
      <c r="E328" s="33"/>
      <c r="F328" s="33"/>
      <c r="G328" s="33"/>
      <c r="H328" s="33"/>
      <c r="I328" s="34" t="str">
        <f t="shared" si="23"/>
        <v>0/3</v>
      </c>
    </row>
    <row r="329" spans="1:9" x14ac:dyDescent="0.25">
      <c r="A329" s="30">
        <f>A326</f>
        <v>46335</v>
      </c>
      <c r="B329" s="31" t="s">
        <v>81</v>
      </c>
      <c r="C329" s="31" t="s">
        <v>44</v>
      </c>
      <c r="D329" s="32" t="s">
        <v>45</v>
      </c>
      <c r="E329" s="33"/>
      <c r="F329" s="33"/>
      <c r="G329" s="33"/>
      <c r="H329" s="33"/>
      <c r="I329" s="34" t="str">
        <f t="shared" si="23"/>
        <v>0/3</v>
      </c>
    </row>
    <row r="330" spans="1:9" x14ac:dyDescent="0.25">
      <c r="A330" s="30">
        <f>A326</f>
        <v>46335</v>
      </c>
      <c r="B330" s="31" t="s">
        <v>81</v>
      </c>
      <c r="C330" s="31" t="s">
        <v>46</v>
      </c>
      <c r="D330" s="32" t="s">
        <v>47</v>
      </c>
      <c r="E330" s="33"/>
      <c r="F330" s="33"/>
      <c r="G330" s="33"/>
      <c r="H330" s="33"/>
      <c r="I330" s="34" t="str">
        <f t="shared" si="23"/>
        <v>0/3</v>
      </c>
    </row>
    <row r="331" spans="1:9" x14ac:dyDescent="0.25">
      <c r="A331" s="30">
        <f>A326</f>
        <v>46335</v>
      </c>
      <c r="B331" s="31" t="s">
        <v>81</v>
      </c>
      <c r="C331" s="31" t="s">
        <v>48</v>
      </c>
      <c r="D331" s="32" t="s">
        <v>49</v>
      </c>
      <c r="E331" s="33"/>
      <c r="F331" s="33"/>
      <c r="G331" s="33"/>
      <c r="H331" s="33"/>
      <c r="I331" s="34" t="str">
        <f t="shared" si="23"/>
        <v>0/3</v>
      </c>
    </row>
    <row r="332" spans="1:9" x14ac:dyDescent="0.25">
      <c r="A332" s="30">
        <f>A326</f>
        <v>46335</v>
      </c>
      <c r="B332" s="31" t="s">
        <v>81</v>
      </c>
      <c r="C332" s="31" t="s">
        <v>50</v>
      </c>
      <c r="D332" s="32" t="s">
        <v>51</v>
      </c>
      <c r="E332" s="33"/>
      <c r="F332" s="33"/>
      <c r="G332" s="33"/>
      <c r="H332" s="33"/>
      <c r="I332" s="34" t="str">
        <f t="shared" si="23"/>
        <v>0/3</v>
      </c>
    </row>
    <row r="333" spans="1:9" x14ac:dyDescent="0.25">
      <c r="A333" s="30">
        <f>A326</f>
        <v>46335</v>
      </c>
      <c r="B333" s="31" t="s">
        <v>82</v>
      </c>
      <c r="C333" s="31" t="s">
        <v>37</v>
      </c>
      <c r="D333" s="32" t="s">
        <v>39</v>
      </c>
      <c r="E333" s="33"/>
      <c r="F333" s="33"/>
      <c r="G333" s="33"/>
      <c r="H333" s="33"/>
      <c r="I333" s="34" t="str">
        <f>COUNTA(E333:H333)&amp;"/4"</f>
        <v>0/4</v>
      </c>
    </row>
    <row r="334" spans="1:9" ht="30" x14ac:dyDescent="0.25">
      <c r="A334" s="30">
        <f>A326</f>
        <v>46335</v>
      </c>
      <c r="B334" s="31" t="s">
        <v>82</v>
      </c>
      <c r="C334" s="31" t="s">
        <v>40</v>
      </c>
      <c r="D334" s="32" t="s">
        <v>41</v>
      </c>
      <c r="E334" s="33"/>
      <c r="F334" s="33"/>
      <c r="G334" s="33"/>
      <c r="H334" s="33"/>
      <c r="I334" s="34" t="str">
        <f t="shared" ref="I334:I346" si="24">COUNTA(E334:G334)&amp;"/3"</f>
        <v>0/3</v>
      </c>
    </row>
    <row r="335" spans="1:9" x14ac:dyDescent="0.25">
      <c r="A335" s="30">
        <f>A326</f>
        <v>46335</v>
      </c>
      <c r="B335" s="31" t="s">
        <v>82</v>
      </c>
      <c r="C335" s="31" t="s">
        <v>42</v>
      </c>
      <c r="D335" s="32" t="s">
        <v>43</v>
      </c>
      <c r="E335" s="33"/>
      <c r="F335" s="33"/>
      <c r="G335" s="33"/>
      <c r="H335" s="33"/>
      <c r="I335" s="34" t="str">
        <f t="shared" si="24"/>
        <v>0/3</v>
      </c>
    </row>
    <row r="336" spans="1:9" x14ac:dyDescent="0.25">
      <c r="A336" s="30">
        <f>A326</f>
        <v>46335</v>
      </c>
      <c r="B336" s="31" t="s">
        <v>82</v>
      </c>
      <c r="C336" s="31" t="s">
        <v>44</v>
      </c>
      <c r="D336" s="32" t="s">
        <v>45</v>
      </c>
      <c r="E336" s="33"/>
      <c r="F336" s="33"/>
      <c r="G336" s="33"/>
      <c r="H336" s="33"/>
      <c r="I336" s="34" t="str">
        <f t="shared" si="24"/>
        <v>0/3</v>
      </c>
    </row>
    <row r="337" spans="1:9" x14ac:dyDescent="0.25">
      <c r="A337" s="30">
        <f>A326</f>
        <v>46335</v>
      </c>
      <c r="B337" s="31" t="s">
        <v>82</v>
      </c>
      <c r="C337" s="31" t="s">
        <v>46</v>
      </c>
      <c r="D337" s="32" t="s">
        <v>47</v>
      </c>
      <c r="E337" s="33"/>
      <c r="F337" s="33"/>
      <c r="G337" s="33"/>
      <c r="H337" s="33"/>
      <c r="I337" s="34" t="str">
        <f t="shared" si="24"/>
        <v>0/3</v>
      </c>
    </row>
    <row r="338" spans="1:9" x14ac:dyDescent="0.25">
      <c r="A338" s="30">
        <f>A326</f>
        <v>46335</v>
      </c>
      <c r="B338" s="31" t="s">
        <v>82</v>
      </c>
      <c r="C338" s="31" t="s">
        <v>48</v>
      </c>
      <c r="D338" s="32" t="s">
        <v>49</v>
      </c>
      <c r="E338" s="33"/>
      <c r="F338" s="33"/>
      <c r="G338" s="33"/>
      <c r="H338" s="33"/>
      <c r="I338" s="34" t="str">
        <f t="shared" si="24"/>
        <v>0/3</v>
      </c>
    </row>
    <row r="339" spans="1:9" x14ac:dyDescent="0.25">
      <c r="A339" s="30">
        <f>A326</f>
        <v>46335</v>
      </c>
      <c r="B339" s="31" t="s">
        <v>82</v>
      </c>
      <c r="C339" s="31" t="s">
        <v>50</v>
      </c>
      <c r="D339" s="32" t="s">
        <v>51</v>
      </c>
      <c r="E339" s="33"/>
      <c r="F339" s="33"/>
      <c r="G339" s="33"/>
      <c r="H339" s="33"/>
      <c r="I339" s="34" t="str">
        <f t="shared" si="24"/>
        <v>0/3</v>
      </c>
    </row>
    <row r="340" spans="1:9" x14ac:dyDescent="0.25">
      <c r="A340" s="30">
        <f>A326+7</f>
        <v>46342</v>
      </c>
      <c r="B340" s="31" t="s">
        <v>81</v>
      </c>
      <c r="C340" s="31" t="s">
        <v>37</v>
      </c>
      <c r="D340" s="32" t="s">
        <v>39</v>
      </c>
      <c r="E340" s="33"/>
      <c r="F340" s="33"/>
      <c r="G340" s="33"/>
      <c r="H340" s="33"/>
      <c r="I340" s="34" t="str">
        <f t="shared" si="24"/>
        <v>0/3</v>
      </c>
    </row>
    <row r="341" spans="1:9" ht="30" x14ac:dyDescent="0.25">
      <c r="A341" s="30">
        <f>A340</f>
        <v>46342</v>
      </c>
      <c r="B341" s="31" t="s">
        <v>81</v>
      </c>
      <c r="C341" s="31" t="s">
        <v>40</v>
      </c>
      <c r="D341" s="32" t="s">
        <v>41</v>
      </c>
      <c r="E341" s="33"/>
      <c r="F341" s="33"/>
      <c r="G341" s="33"/>
      <c r="H341" s="33"/>
      <c r="I341" s="34" t="str">
        <f t="shared" si="24"/>
        <v>0/3</v>
      </c>
    </row>
    <row r="342" spans="1:9" x14ac:dyDescent="0.25">
      <c r="A342" s="30">
        <f>A340</f>
        <v>46342</v>
      </c>
      <c r="B342" s="31" t="s">
        <v>81</v>
      </c>
      <c r="C342" s="31" t="s">
        <v>42</v>
      </c>
      <c r="D342" s="32" t="s">
        <v>43</v>
      </c>
      <c r="E342" s="33"/>
      <c r="F342" s="33"/>
      <c r="G342" s="33"/>
      <c r="H342" s="33"/>
      <c r="I342" s="34" t="str">
        <f t="shared" si="24"/>
        <v>0/3</v>
      </c>
    </row>
    <row r="343" spans="1:9" x14ac:dyDescent="0.25">
      <c r="A343" s="30">
        <f>A340</f>
        <v>46342</v>
      </c>
      <c r="B343" s="31" t="s">
        <v>81</v>
      </c>
      <c r="C343" s="31" t="s">
        <v>44</v>
      </c>
      <c r="D343" s="32" t="s">
        <v>45</v>
      </c>
      <c r="E343" s="33"/>
      <c r="F343" s="33"/>
      <c r="G343" s="33"/>
      <c r="H343" s="33"/>
      <c r="I343" s="34" t="str">
        <f t="shared" si="24"/>
        <v>0/3</v>
      </c>
    </row>
    <row r="344" spans="1:9" x14ac:dyDescent="0.25">
      <c r="A344" s="30">
        <f>A340</f>
        <v>46342</v>
      </c>
      <c r="B344" s="31" t="s">
        <v>81</v>
      </c>
      <c r="C344" s="31" t="s">
        <v>46</v>
      </c>
      <c r="D344" s="32" t="s">
        <v>47</v>
      </c>
      <c r="E344" s="33"/>
      <c r="F344" s="33"/>
      <c r="G344" s="33"/>
      <c r="H344" s="33"/>
      <c r="I344" s="34" t="str">
        <f t="shared" si="24"/>
        <v>0/3</v>
      </c>
    </row>
    <row r="345" spans="1:9" x14ac:dyDescent="0.25">
      <c r="A345" s="30">
        <f>A340</f>
        <v>46342</v>
      </c>
      <c r="B345" s="31" t="s">
        <v>81</v>
      </c>
      <c r="C345" s="31" t="s">
        <v>48</v>
      </c>
      <c r="D345" s="32" t="s">
        <v>49</v>
      </c>
      <c r="E345" s="33"/>
      <c r="F345" s="33"/>
      <c r="G345" s="33"/>
      <c r="H345" s="33"/>
      <c r="I345" s="34" t="str">
        <f t="shared" si="24"/>
        <v>0/3</v>
      </c>
    </row>
    <row r="346" spans="1:9" x14ac:dyDescent="0.25">
      <c r="A346" s="30">
        <f>A340</f>
        <v>46342</v>
      </c>
      <c r="B346" s="31" t="s">
        <v>81</v>
      </c>
      <c r="C346" s="31" t="s">
        <v>50</v>
      </c>
      <c r="D346" s="32" t="s">
        <v>51</v>
      </c>
      <c r="E346" s="33"/>
      <c r="F346" s="33"/>
      <c r="G346" s="33"/>
      <c r="H346" s="33"/>
      <c r="I346" s="34" t="str">
        <f t="shared" si="24"/>
        <v>0/3</v>
      </c>
    </row>
    <row r="347" spans="1:9" x14ac:dyDescent="0.25">
      <c r="A347" s="30">
        <f>A340</f>
        <v>46342</v>
      </c>
      <c r="B347" s="31" t="s">
        <v>82</v>
      </c>
      <c r="C347" s="31" t="s">
        <v>37</v>
      </c>
      <c r="D347" s="32" t="s">
        <v>39</v>
      </c>
      <c r="E347" s="33"/>
      <c r="F347" s="33"/>
      <c r="G347" s="33"/>
      <c r="H347" s="33"/>
      <c r="I347" s="34" t="str">
        <f>COUNTA(E347:H347)&amp;"/4"</f>
        <v>0/4</v>
      </c>
    </row>
    <row r="348" spans="1:9" ht="30" x14ac:dyDescent="0.25">
      <c r="A348" s="30">
        <f>A340</f>
        <v>46342</v>
      </c>
      <c r="B348" s="31" t="s">
        <v>82</v>
      </c>
      <c r="C348" s="31" t="s">
        <v>40</v>
      </c>
      <c r="D348" s="32" t="s">
        <v>41</v>
      </c>
      <c r="E348" s="33"/>
      <c r="F348" s="33"/>
      <c r="G348" s="33"/>
      <c r="H348" s="33"/>
      <c r="I348" s="34" t="str">
        <f t="shared" ref="I348:I360" si="25">COUNTA(E348:G348)&amp;"/3"</f>
        <v>0/3</v>
      </c>
    </row>
    <row r="349" spans="1:9" x14ac:dyDescent="0.25">
      <c r="A349" s="30">
        <f>A340</f>
        <v>46342</v>
      </c>
      <c r="B349" s="31" t="s">
        <v>82</v>
      </c>
      <c r="C349" s="31" t="s">
        <v>42</v>
      </c>
      <c r="D349" s="32" t="s">
        <v>43</v>
      </c>
      <c r="E349" s="33"/>
      <c r="F349" s="33"/>
      <c r="G349" s="33"/>
      <c r="H349" s="33"/>
      <c r="I349" s="34" t="str">
        <f t="shared" si="25"/>
        <v>0/3</v>
      </c>
    </row>
    <row r="350" spans="1:9" x14ac:dyDescent="0.25">
      <c r="A350" s="30">
        <f>A340</f>
        <v>46342</v>
      </c>
      <c r="B350" s="31" t="s">
        <v>82</v>
      </c>
      <c r="C350" s="31" t="s">
        <v>44</v>
      </c>
      <c r="D350" s="32" t="s">
        <v>45</v>
      </c>
      <c r="E350" s="33"/>
      <c r="F350" s="33"/>
      <c r="G350" s="33"/>
      <c r="H350" s="33"/>
      <c r="I350" s="34" t="str">
        <f t="shared" si="25"/>
        <v>0/3</v>
      </c>
    </row>
    <row r="351" spans="1:9" x14ac:dyDescent="0.25">
      <c r="A351" s="30">
        <f>A340</f>
        <v>46342</v>
      </c>
      <c r="B351" s="31" t="s">
        <v>82</v>
      </c>
      <c r="C351" s="31" t="s">
        <v>46</v>
      </c>
      <c r="D351" s="32" t="s">
        <v>47</v>
      </c>
      <c r="E351" s="33"/>
      <c r="F351" s="33"/>
      <c r="G351" s="33"/>
      <c r="H351" s="33"/>
      <c r="I351" s="34" t="str">
        <f t="shared" si="25"/>
        <v>0/3</v>
      </c>
    </row>
    <row r="352" spans="1:9" x14ac:dyDescent="0.25">
      <c r="A352" s="30">
        <f>A340</f>
        <v>46342</v>
      </c>
      <c r="B352" s="31" t="s">
        <v>82</v>
      </c>
      <c r="C352" s="31" t="s">
        <v>48</v>
      </c>
      <c r="D352" s="32" t="s">
        <v>49</v>
      </c>
      <c r="E352" s="33"/>
      <c r="F352" s="33"/>
      <c r="G352" s="33"/>
      <c r="H352" s="33"/>
      <c r="I352" s="34" t="str">
        <f t="shared" si="25"/>
        <v>0/3</v>
      </c>
    </row>
    <row r="353" spans="1:9" x14ac:dyDescent="0.25">
      <c r="A353" s="30">
        <f>A340</f>
        <v>46342</v>
      </c>
      <c r="B353" s="31" t="s">
        <v>82</v>
      </c>
      <c r="C353" s="31" t="s">
        <v>50</v>
      </c>
      <c r="D353" s="32" t="s">
        <v>51</v>
      </c>
      <c r="E353" s="33"/>
      <c r="F353" s="33"/>
      <c r="G353" s="33"/>
      <c r="H353" s="33"/>
      <c r="I353" s="34" t="str">
        <f t="shared" si="25"/>
        <v>0/3</v>
      </c>
    </row>
    <row r="354" spans="1:9" x14ac:dyDescent="0.25">
      <c r="A354" s="30">
        <f>A340+7</f>
        <v>46349</v>
      </c>
      <c r="B354" s="31" t="s">
        <v>81</v>
      </c>
      <c r="C354" s="31" t="s">
        <v>37</v>
      </c>
      <c r="D354" s="32" t="s">
        <v>39</v>
      </c>
      <c r="E354" s="33"/>
      <c r="F354" s="33"/>
      <c r="G354" s="33"/>
      <c r="H354" s="33"/>
      <c r="I354" s="34" t="str">
        <f t="shared" si="25"/>
        <v>0/3</v>
      </c>
    </row>
    <row r="355" spans="1:9" ht="30" x14ac:dyDescent="0.25">
      <c r="A355" s="30">
        <f>A354</f>
        <v>46349</v>
      </c>
      <c r="B355" s="31" t="s">
        <v>81</v>
      </c>
      <c r="C355" s="31" t="s">
        <v>40</v>
      </c>
      <c r="D355" s="32" t="s">
        <v>41</v>
      </c>
      <c r="E355" s="33"/>
      <c r="F355" s="33"/>
      <c r="G355" s="33"/>
      <c r="H355" s="33"/>
      <c r="I355" s="34" t="str">
        <f t="shared" si="25"/>
        <v>0/3</v>
      </c>
    </row>
    <row r="356" spans="1:9" x14ac:dyDescent="0.25">
      <c r="A356" s="30">
        <f>A354</f>
        <v>46349</v>
      </c>
      <c r="B356" s="31" t="s">
        <v>81</v>
      </c>
      <c r="C356" s="31" t="s">
        <v>42</v>
      </c>
      <c r="D356" s="32" t="s">
        <v>43</v>
      </c>
      <c r="E356" s="33"/>
      <c r="F356" s="33"/>
      <c r="G356" s="33"/>
      <c r="H356" s="33"/>
      <c r="I356" s="34" t="str">
        <f t="shared" si="25"/>
        <v>0/3</v>
      </c>
    </row>
    <row r="357" spans="1:9" x14ac:dyDescent="0.25">
      <c r="A357" s="30">
        <f>A354</f>
        <v>46349</v>
      </c>
      <c r="B357" s="31" t="s">
        <v>81</v>
      </c>
      <c r="C357" s="31" t="s">
        <v>44</v>
      </c>
      <c r="D357" s="32" t="s">
        <v>45</v>
      </c>
      <c r="E357" s="33"/>
      <c r="F357" s="33"/>
      <c r="G357" s="33"/>
      <c r="H357" s="33"/>
      <c r="I357" s="34" t="str">
        <f t="shared" si="25"/>
        <v>0/3</v>
      </c>
    </row>
    <row r="358" spans="1:9" x14ac:dyDescent="0.25">
      <c r="A358" s="30">
        <f>A354</f>
        <v>46349</v>
      </c>
      <c r="B358" s="31" t="s">
        <v>81</v>
      </c>
      <c r="C358" s="31" t="s">
        <v>46</v>
      </c>
      <c r="D358" s="32" t="s">
        <v>47</v>
      </c>
      <c r="E358" s="33"/>
      <c r="F358" s="33"/>
      <c r="G358" s="33"/>
      <c r="H358" s="33"/>
      <c r="I358" s="34" t="str">
        <f t="shared" si="25"/>
        <v>0/3</v>
      </c>
    </row>
    <row r="359" spans="1:9" x14ac:dyDescent="0.25">
      <c r="A359" s="30">
        <f>A354</f>
        <v>46349</v>
      </c>
      <c r="B359" s="31" t="s">
        <v>81</v>
      </c>
      <c r="C359" s="31" t="s">
        <v>48</v>
      </c>
      <c r="D359" s="32" t="s">
        <v>49</v>
      </c>
      <c r="E359" s="33"/>
      <c r="F359" s="33"/>
      <c r="G359" s="33"/>
      <c r="H359" s="33"/>
      <c r="I359" s="34" t="str">
        <f t="shared" si="25"/>
        <v>0/3</v>
      </c>
    </row>
    <row r="360" spans="1:9" x14ac:dyDescent="0.25">
      <c r="A360" s="30">
        <f>A354</f>
        <v>46349</v>
      </c>
      <c r="B360" s="31" t="s">
        <v>81</v>
      </c>
      <c r="C360" s="31" t="s">
        <v>50</v>
      </c>
      <c r="D360" s="32" t="s">
        <v>51</v>
      </c>
      <c r="E360" s="33"/>
      <c r="F360" s="33"/>
      <c r="G360" s="33"/>
      <c r="H360" s="33"/>
      <c r="I360" s="34" t="str">
        <f t="shared" si="25"/>
        <v>0/3</v>
      </c>
    </row>
    <row r="361" spans="1:9" x14ac:dyDescent="0.25">
      <c r="A361" s="30">
        <f>A354</f>
        <v>46349</v>
      </c>
      <c r="B361" s="31" t="s">
        <v>82</v>
      </c>
      <c r="C361" s="31" t="s">
        <v>37</v>
      </c>
      <c r="D361" s="32" t="s">
        <v>39</v>
      </c>
      <c r="E361" s="33"/>
      <c r="F361" s="33"/>
      <c r="G361" s="33"/>
      <c r="H361" s="33"/>
      <c r="I361" s="34" t="str">
        <f>COUNTA(E361:H361)&amp;"/4"</f>
        <v>0/4</v>
      </c>
    </row>
    <row r="362" spans="1:9" ht="30" x14ac:dyDescent="0.25">
      <c r="A362" s="30">
        <f>A354</f>
        <v>46349</v>
      </c>
      <c r="B362" s="31" t="s">
        <v>82</v>
      </c>
      <c r="C362" s="31" t="s">
        <v>40</v>
      </c>
      <c r="D362" s="32" t="s">
        <v>41</v>
      </c>
      <c r="E362" s="33"/>
      <c r="F362" s="33"/>
      <c r="G362" s="33"/>
      <c r="H362" s="33"/>
      <c r="I362" s="34" t="str">
        <f t="shared" ref="I362:I374" si="26">COUNTA(E362:G362)&amp;"/3"</f>
        <v>0/3</v>
      </c>
    </row>
    <row r="363" spans="1:9" x14ac:dyDescent="0.25">
      <c r="A363" s="30">
        <f>A354</f>
        <v>46349</v>
      </c>
      <c r="B363" s="31" t="s">
        <v>82</v>
      </c>
      <c r="C363" s="31" t="s">
        <v>42</v>
      </c>
      <c r="D363" s="32" t="s">
        <v>43</v>
      </c>
      <c r="E363" s="33"/>
      <c r="F363" s="33"/>
      <c r="G363" s="33"/>
      <c r="H363" s="33"/>
      <c r="I363" s="34" t="str">
        <f t="shared" si="26"/>
        <v>0/3</v>
      </c>
    </row>
    <row r="364" spans="1:9" x14ac:dyDescent="0.25">
      <c r="A364" s="30">
        <f>A354</f>
        <v>46349</v>
      </c>
      <c r="B364" s="31" t="s">
        <v>82</v>
      </c>
      <c r="C364" s="31" t="s">
        <v>44</v>
      </c>
      <c r="D364" s="32" t="s">
        <v>45</v>
      </c>
      <c r="E364" s="33"/>
      <c r="F364" s="33"/>
      <c r="G364" s="33"/>
      <c r="H364" s="33"/>
      <c r="I364" s="34" t="str">
        <f t="shared" si="26"/>
        <v>0/3</v>
      </c>
    </row>
    <row r="365" spans="1:9" x14ac:dyDescent="0.25">
      <c r="A365" s="30">
        <f>A354</f>
        <v>46349</v>
      </c>
      <c r="B365" s="31" t="s">
        <v>82</v>
      </c>
      <c r="C365" s="31" t="s">
        <v>46</v>
      </c>
      <c r="D365" s="32" t="s">
        <v>47</v>
      </c>
      <c r="E365" s="33"/>
      <c r="F365" s="33"/>
      <c r="G365" s="33"/>
      <c r="H365" s="33"/>
      <c r="I365" s="34" t="str">
        <f t="shared" si="26"/>
        <v>0/3</v>
      </c>
    </row>
    <row r="366" spans="1:9" x14ac:dyDescent="0.25">
      <c r="A366" s="30">
        <f>A354</f>
        <v>46349</v>
      </c>
      <c r="B366" s="31" t="s">
        <v>82</v>
      </c>
      <c r="C366" s="31" t="s">
        <v>48</v>
      </c>
      <c r="D366" s="32" t="s">
        <v>49</v>
      </c>
      <c r="E366" s="33"/>
      <c r="F366" s="33"/>
      <c r="G366" s="33"/>
      <c r="H366" s="33"/>
      <c r="I366" s="34" t="str">
        <f t="shared" si="26"/>
        <v>0/3</v>
      </c>
    </row>
    <row r="367" spans="1:9" x14ac:dyDescent="0.25">
      <c r="A367" s="30">
        <f>A354</f>
        <v>46349</v>
      </c>
      <c r="B367" s="31" t="s">
        <v>82</v>
      </c>
      <c r="C367" s="31" t="s">
        <v>50</v>
      </c>
      <c r="D367" s="32" t="s">
        <v>51</v>
      </c>
      <c r="E367" s="33"/>
      <c r="F367" s="33"/>
      <c r="G367" s="33"/>
      <c r="H367" s="33"/>
      <c r="I367" s="34" t="str">
        <f t="shared" si="26"/>
        <v>0/3</v>
      </c>
    </row>
    <row r="368" spans="1:9" x14ac:dyDescent="0.25">
      <c r="A368" s="30">
        <f>A354+7</f>
        <v>46356</v>
      </c>
      <c r="B368" s="31" t="s">
        <v>81</v>
      </c>
      <c r="C368" s="31" t="s">
        <v>37</v>
      </c>
      <c r="D368" s="32" t="s">
        <v>39</v>
      </c>
      <c r="E368" s="33"/>
      <c r="F368" s="33"/>
      <c r="G368" s="33"/>
      <c r="H368" s="33"/>
      <c r="I368" s="34" t="str">
        <f t="shared" si="26"/>
        <v>0/3</v>
      </c>
    </row>
    <row r="369" spans="1:9" ht="30" x14ac:dyDescent="0.25">
      <c r="A369" s="30">
        <f>A368</f>
        <v>46356</v>
      </c>
      <c r="B369" s="31" t="s">
        <v>81</v>
      </c>
      <c r="C369" s="31" t="s">
        <v>40</v>
      </c>
      <c r="D369" s="32" t="s">
        <v>41</v>
      </c>
      <c r="E369" s="33"/>
      <c r="F369" s="33"/>
      <c r="G369" s="33"/>
      <c r="H369" s="33"/>
      <c r="I369" s="34" t="str">
        <f t="shared" si="26"/>
        <v>0/3</v>
      </c>
    </row>
    <row r="370" spans="1:9" x14ac:dyDescent="0.25">
      <c r="A370" s="30">
        <f>A368</f>
        <v>46356</v>
      </c>
      <c r="B370" s="31" t="s">
        <v>81</v>
      </c>
      <c r="C370" s="31" t="s">
        <v>42</v>
      </c>
      <c r="D370" s="32" t="s">
        <v>43</v>
      </c>
      <c r="E370" s="33"/>
      <c r="F370" s="33"/>
      <c r="G370" s="33"/>
      <c r="H370" s="33"/>
      <c r="I370" s="34" t="str">
        <f t="shared" si="26"/>
        <v>0/3</v>
      </c>
    </row>
    <row r="371" spans="1:9" x14ac:dyDescent="0.25">
      <c r="A371" s="30">
        <f>A368</f>
        <v>46356</v>
      </c>
      <c r="B371" s="31" t="s">
        <v>81</v>
      </c>
      <c r="C371" s="31" t="s">
        <v>44</v>
      </c>
      <c r="D371" s="32" t="s">
        <v>45</v>
      </c>
      <c r="E371" s="33"/>
      <c r="F371" s="33"/>
      <c r="G371" s="33"/>
      <c r="H371" s="33"/>
      <c r="I371" s="34" t="str">
        <f t="shared" si="26"/>
        <v>0/3</v>
      </c>
    </row>
    <row r="372" spans="1:9" x14ac:dyDescent="0.25">
      <c r="A372" s="30">
        <f>A368</f>
        <v>46356</v>
      </c>
      <c r="B372" s="31" t="s">
        <v>81</v>
      </c>
      <c r="C372" s="31" t="s">
        <v>46</v>
      </c>
      <c r="D372" s="32" t="s">
        <v>47</v>
      </c>
      <c r="E372" s="33"/>
      <c r="F372" s="33"/>
      <c r="G372" s="33"/>
      <c r="H372" s="33"/>
      <c r="I372" s="34" t="str">
        <f t="shared" si="26"/>
        <v>0/3</v>
      </c>
    </row>
    <row r="373" spans="1:9" x14ac:dyDescent="0.25">
      <c r="A373" s="30">
        <f>A368</f>
        <v>46356</v>
      </c>
      <c r="B373" s="31" t="s">
        <v>81</v>
      </c>
      <c r="C373" s="31" t="s">
        <v>48</v>
      </c>
      <c r="D373" s="32" t="s">
        <v>49</v>
      </c>
      <c r="E373" s="33"/>
      <c r="F373" s="33"/>
      <c r="G373" s="33"/>
      <c r="H373" s="33"/>
      <c r="I373" s="34" t="str">
        <f t="shared" si="26"/>
        <v>0/3</v>
      </c>
    </row>
    <row r="374" spans="1:9" x14ac:dyDescent="0.25">
      <c r="A374" s="30">
        <f>A368</f>
        <v>46356</v>
      </c>
      <c r="B374" s="31" t="s">
        <v>81</v>
      </c>
      <c r="C374" s="31" t="s">
        <v>50</v>
      </c>
      <c r="D374" s="32" t="s">
        <v>51</v>
      </c>
      <c r="E374" s="33"/>
      <c r="F374" s="33"/>
      <c r="G374" s="33"/>
      <c r="H374" s="33"/>
      <c r="I374" s="34" t="str">
        <f t="shared" si="26"/>
        <v>0/3</v>
      </c>
    </row>
    <row r="375" spans="1:9" x14ac:dyDescent="0.25">
      <c r="A375" s="30">
        <f>A368</f>
        <v>46356</v>
      </c>
      <c r="B375" s="31" t="s">
        <v>82</v>
      </c>
      <c r="C375" s="31" t="s">
        <v>37</v>
      </c>
      <c r="D375" s="32" t="s">
        <v>39</v>
      </c>
      <c r="E375" s="33"/>
      <c r="F375" s="33"/>
      <c r="G375" s="33"/>
      <c r="H375" s="33"/>
      <c r="I375" s="34" t="str">
        <f>COUNTA(E375:H375)&amp;"/4"</f>
        <v>0/4</v>
      </c>
    </row>
    <row r="376" spans="1:9" ht="30" x14ac:dyDescent="0.25">
      <c r="A376" s="30">
        <f>A368</f>
        <v>46356</v>
      </c>
      <c r="B376" s="31" t="s">
        <v>82</v>
      </c>
      <c r="C376" s="31" t="s">
        <v>40</v>
      </c>
      <c r="D376" s="32" t="s">
        <v>41</v>
      </c>
      <c r="E376" s="33"/>
      <c r="F376" s="33"/>
      <c r="G376" s="33"/>
      <c r="H376" s="33"/>
      <c r="I376" s="34" t="str">
        <f t="shared" ref="I376:I388" si="27">COUNTA(E376:G376)&amp;"/3"</f>
        <v>0/3</v>
      </c>
    </row>
    <row r="377" spans="1:9" x14ac:dyDescent="0.25">
      <c r="A377" s="30">
        <f>A368</f>
        <v>46356</v>
      </c>
      <c r="B377" s="31" t="s">
        <v>82</v>
      </c>
      <c r="C377" s="31" t="s">
        <v>42</v>
      </c>
      <c r="D377" s="32" t="s">
        <v>43</v>
      </c>
      <c r="E377" s="33"/>
      <c r="F377" s="33"/>
      <c r="G377" s="33"/>
      <c r="H377" s="33"/>
      <c r="I377" s="34" t="str">
        <f t="shared" si="27"/>
        <v>0/3</v>
      </c>
    </row>
    <row r="378" spans="1:9" x14ac:dyDescent="0.25">
      <c r="A378" s="30">
        <f>A368</f>
        <v>46356</v>
      </c>
      <c r="B378" s="31" t="s">
        <v>82</v>
      </c>
      <c r="C378" s="31" t="s">
        <v>44</v>
      </c>
      <c r="D378" s="32" t="s">
        <v>45</v>
      </c>
      <c r="E378" s="33"/>
      <c r="F378" s="33"/>
      <c r="G378" s="33"/>
      <c r="H378" s="33"/>
      <c r="I378" s="34" t="str">
        <f t="shared" si="27"/>
        <v>0/3</v>
      </c>
    </row>
    <row r="379" spans="1:9" x14ac:dyDescent="0.25">
      <c r="A379" s="30">
        <f>A368</f>
        <v>46356</v>
      </c>
      <c r="B379" s="31" t="s">
        <v>82</v>
      </c>
      <c r="C379" s="31" t="s">
        <v>46</v>
      </c>
      <c r="D379" s="32" t="s">
        <v>47</v>
      </c>
      <c r="E379" s="33"/>
      <c r="F379" s="33"/>
      <c r="G379" s="33"/>
      <c r="H379" s="33"/>
      <c r="I379" s="34" t="str">
        <f t="shared" si="27"/>
        <v>0/3</v>
      </c>
    </row>
    <row r="380" spans="1:9" x14ac:dyDescent="0.25">
      <c r="A380" s="30">
        <f>A368</f>
        <v>46356</v>
      </c>
      <c r="B380" s="31" t="s">
        <v>82</v>
      </c>
      <c r="C380" s="31" t="s">
        <v>48</v>
      </c>
      <c r="D380" s="32" t="s">
        <v>49</v>
      </c>
      <c r="E380" s="33"/>
      <c r="F380" s="33"/>
      <c r="G380" s="33"/>
      <c r="H380" s="33"/>
      <c r="I380" s="34" t="str">
        <f t="shared" si="27"/>
        <v>0/3</v>
      </c>
    </row>
    <row r="381" spans="1:9" x14ac:dyDescent="0.25">
      <c r="A381" s="30">
        <f>A368</f>
        <v>46356</v>
      </c>
      <c r="B381" s="31" t="s">
        <v>82</v>
      </c>
      <c r="C381" s="31" t="s">
        <v>50</v>
      </c>
      <c r="D381" s="32" t="s">
        <v>51</v>
      </c>
      <c r="E381" s="33"/>
      <c r="F381" s="33"/>
      <c r="G381" s="33"/>
      <c r="H381" s="33"/>
      <c r="I381" s="34" t="str">
        <f t="shared" si="27"/>
        <v>0/3</v>
      </c>
    </row>
    <row r="382" spans="1:9" x14ac:dyDescent="0.25">
      <c r="A382" s="30">
        <f>A368+7</f>
        <v>46363</v>
      </c>
      <c r="B382" s="31" t="s">
        <v>81</v>
      </c>
      <c r="C382" s="31" t="s">
        <v>37</v>
      </c>
      <c r="D382" s="32" t="s">
        <v>39</v>
      </c>
      <c r="E382" s="33"/>
      <c r="F382" s="33"/>
      <c r="G382" s="33"/>
      <c r="H382" s="33"/>
      <c r="I382" s="34" t="str">
        <f t="shared" si="27"/>
        <v>0/3</v>
      </c>
    </row>
    <row r="383" spans="1:9" ht="30" x14ac:dyDescent="0.25">
      <c r="A383" s="30">
        <f>A382</f>
        <v>46363</v>
      </c>
      <c r="B383" s="31" t="s">
        <v>81</v>
      </c>
      <c r="C383" s="31" t="s">
        <v>40</v>
      </c>
      <c r="D383" s="32" t="s">
        <v>41</v>
      </c>
      <c r="E383" s="33"/>
      <c r="F383" s="33"/>
      <c r="G383" s="33"/>
      <c r="H383" s="33"/>
      <c r="I383" s="34" t="str">
        <f t="shared" si="27"/>
        <v>0/3</v>
      </c>
    </row>
    <row r="384" spans="1:9" x14ac:dyDescent="0.25">
      <c r="A384" s="30">
        <f>A382</f>
        <v>46363</v>
      </c>
      <c r="B384" s="31" t="s">
        <v>81</v>
      </c>
      <c r="C384" s="31" t="s">
        <v>42</v>
      </c>
      <c r="D384" s="32" t="s">
        <v>43</v>
      </c>
      <c r="E384" s="33"/>
      <c r="F384" s="33"/>
      <c r="G384" s="33"/>
      <c r="H384" s="33"/>
      <c r="I384" s="34" t="str">
        <f t="shared" si="27"/>
        <v>0/3</v>
      </c>
    </row>
    <row r="385" spans="1:9" x14ac:dyDescent="0.25">
      <c r="A385" s="30">
        <f>A382</f>
        <v>46363</v>
      </c>
      <c r="B385" s="31" t="s">
        <v>81</v>
      </c>
      <c r="C385" s="31" t="s">
        <v>44</v>
      </c>
      <c r="D385" s="32" t="s">
        <v>45</v>
      </c>
      <c r="E385" s="33"/>
      <c r="F385" s="33"/>
      <c r="G385" s="33"/>
      <c r="H385" s="33"/>
      <c r="I385" s="34" t="str">
        <f t="shared" si="27"/>
        <v>0/3</v>
      </c>
    </row>
    <row r="386" spans="1:9" x14ac:dyDescent="0.25">
      <c r="A386" s="30">
        <f>A382</f>
        <v>46363</v>
      </c>
      <c r="B386" s="31" t="s">
        <v>81</v>
      </c>
      <c r="C386" s="31" t="s">
        <v>46</v>
      </c>
      <c r="D386" s="32" t="s">
        <v>47</v>
      </c>
      <c r="E386" s="33"/>
      <c r="F386" s="33"/>
      <c r="G386" s="33"/>
      <c r="H386" s="33"/>
      <c r="I386" s="34" t="str">
        <f t="shared" si="27"/>
        <v>0/3</v>
      </c>
    </row>
    <row r="387" spans="1:9" x14ac:dyDescent="0.25">
      <c r="A387" s="30">
        <f>A382</f>
        <v>46363</v>
      </c>
      <c r="B387" s="31" t="s">
        <v>81</v>
      </c>
      <c r="C387" s="31" t="s">
        <v>48</v>
      </c>
      <c r="D387" s="32" t="s">
        <v>49</v>
      </c>
      <c r="E387" s="33"/>
      <c r="F387" s="33"/>
      <c r="G387" s="33"/>
      <c r="H387" s="33"/>
      <c r="I387" s="34" t="str">
        <f t="shared" si="27"/>
        <v>0/3</v>
      </c>
    </row>
    <row r="388" spans="1:9" x14ac:dyDescent="0.25">
      <c r="A388" s="30">
        <f>A382</f>
        <v>46363</v>
      </c>
      <c r="B388" s="31" t="s">
        <v>81</v>
      </c>
      <c r="C388" s="31" t="s">
        <v>50</v>
      </c>
      <c r="D388" s="32" t="s">
        <v>51</v>
      </c>
      <c r="E388" s="33"/>
      <c r="F388" s="33"/>
      <c r="G388" s="33"/>
      <c r="H388" s="33"/>
      <c r="I388" s="34" t="str">
        <f t="shared" si="27"/>
        <v>0/3</v>
      </c>
    </row>
    <row r="389" spans="1:9" x14ac:dyDescent="0.25">
      <c r="A389" s="30">
        <f>A382</f>
        <v>46363</v>
      </c>
      <c r="B389" s="31" t="s">
        <v>82</v>
      </c>
      <c r="C389" s="31" t="s">
        <v>37</v>
      </c>
      <c r="D389" s="32" t="s">
        <v>39</v>
      </c>
      <c r="E389" s="33"/>
      <c r="F389" s="33"/>
      <c r="G389" s="33"/>
      <c r="H389" s="33"/>
      <c r="I389" s="34" t="str">
        <f>COUNTA(E389:H389)&amp;"/4"</f>
        <v>0/4</v>
      </c>
    </row>
    <row r="390" spans="1:9" ht="30" x14ac:dyDescent="0.25">
      <c r="A390" s="30">
        <f>A382</f>
        <v>46363</v>
      </c>
      <c r="B390" s="31" t="s">
        <v>82</v>
      </c>
      <c r="C390" s="31" t="s">
        <v>40</v>
      </c>
      <c r="D390" s="32" t="s">
        <v>41</v>
      </c>
      <c r="E390" s="33"/>
      <c r="F390" s="33"/>
      <c r="G390" s="33"/>
      <c r="H390" s="33"/>
      <c r="I390" s="34" t="str">
        <f t="shared" ref="I390:I402" si="28">COUNTA(E390:G390)&amp;"/3"</f>
        <v>0/3</v>
      </c>
    </row>
    <row r="391" spans="1:9" x14ac:dyDescent="0.25">
      <c r="A391" s="30">
        <f>A382</f>
        <v>46363</v>
      </c>
      <c r="B391" s="31" t="s">
        <v>82</v>
      </c>
      <c r="C391" s="31" t="s">
        <v>42</v>
      </c>
      <c r="D391" s="32" t="s">
        <v>43</v>
      </c>
      <c r="E391" s="33"/>
      <c r="F391" s="33"/>
      <c r="G391" s="33"/>
      <c r="H391" s="33"/>
      <c r="I391" s="34" t="str">
        <f t="shared" si="28"/>
        <v>0/3</v>
      </c>
    </row>
    <row r="392" spans="1:9" x14ac:dyDescent="0.25">
      <c r="A392" s="30">
        <f>A382</f>
        <v>46363</v>
      </c>
      <c r="B392" s="31" t="s">
        <v>82</v>
      </c>
      <c r="C392" s="31" t="s">
        <v>44</v>
      </c>
      <c r="D392" s="32" t="s">
        <v>45</v>
      </c>
      <c r="E392" s="33"/>
      <c r="F392" s="33"/>
      <c r="G392" s="33"/>
      <c r="H392" s="33"/>
      <c r="I392" s="34" t="str">
        <f t="shared" si="28"/>
        <v>0/3</v>
      </c>
    </row>
    <row r="393" spans="1:9" x14ac:dyDescent="0.25">
      <c r="A393" s="30">
        <f>A382</f>
        <v>46363</v>
      </c>
      <c r="B393" s="31" t="s">
        <v>82</v>
      </c>
      <c r="C393" s="31" t="s">
        <v>46</v>
      </c>
      <c r="D393" s="32" t="s">
        <v>47</v>
      </c>
      <c r="E393" s="33"/>
      <c r="F393" s="33"/>
      <c r="G393" s="33"/>
      <c r="H393" s="33"/>
      <c r="I393" s="34" t="str">
        <f t="shared" si="28"/>
        <v>0/3</v>
      </c>
    </row>
    <row r="394" spans="1:9" x14ac:dyDescent="0.25">
      <c r="A394" s="30">
        <f>A382</f>
        <v>46363</v>
      </c>
      <c r="B394" s="31" t="s">
        <v>82</v>
      </c>
      <c r="C394" s="31" t="s">
        <v>48</v>
      </c>
      <c r="D394" s="32" t="s">
        <v>49</v>
      </c>
      <c r="E394" s="33"/>
      <c r="F394" s="33"/>
      <c r="G394" s="33"/>
      <c r="H394" s="33"/>
      <c r="I394" s="34" t="str">
        <f t="shared" si="28"/>
        <v>0/3</v>
      </c>
    </row>
    <row r="395" spans="1:9" x14ac:dyDescent="0.25">
      <c r="A395" s="30">
        <f>A382</f>
        <v>46363</v>
      </c>
      <c r="B395" s="31" t="s">
        <v>82</v>
      </c>
      <c r="C395" s="31" t="s">
        <v>50</v>
      </c>
      <c r="D395" s="32" t="s">
        <v>51</v>
      </c>
      <c r="E395" s="33"/>
      <c r="F395" s="33"/>
      <c r="G395" s="33"/>
      <c r="H395" s="33"/>
      <c r="I395" s="34" t="str">
        <f t="shared" si="28"/>
        <v>0/3</v>
      </c>
    </row>
    <row r="396" spans="1:9" x14ac:dyDescent="0.25">
      <c r="A396" s="30">
        <f>A382+7</f>
        <v>46370</v>
      </c>
      <c r="B396" s="31" t="s">
        <v>81</v>
      </c>
      <c r="C396" s="31" t="s">
        <v>37</v>
      </c>
      <c r="D396" s="32" t="s">
        <v>39</v>
      </c>
      <c r="E396" s="33"/>
      <c r="F396" s="33"/>
      <c r="G396" s="33"/>
      <c r="H396" s="33"/>
      <c r="I396" s="34" t="str">
        <f t="shared" si="28"/>
        <v>0/3</v>
      </c>
    </row>
    <row r="397" spans="1:9" ht="30" x14ac:dyDescent="0.25">
      <c r="A397" s="30">
        <f>A396</f>
        <v>46370</v>
      </c>
      <c r="B397" s="31" t="s">
        <v>81</v>
      </c>
      <c r="C397" s="31" t="s">
        <v>40</v>
      </c>
      <c r="D397" s="32" t="s">
        <v>41</v>
      </c>
      <c r="E397" s="33"/>
      <c r="F397" s="33"/>
      <c r="G397" s="33"/>
      <c r="H397" s="33"/>
      <c r="I397" s="34" t="str">
        <f t="shared" si="28"/>
        <v>0/3</v>
      </c>
    </row>
    <row r="398" spans="1:9" x14ac:dyDescent="0.25">
      <c r="A398" s="30">
        <f>A396</f>
        <v>46370</v>
      </c>
      <c r="B398" s="31" t="s">
        <v>81</v>
      </c>
      <c r="C398" s="31" t="s">
        <v>42</v>
      </c>
      <c r="D398" s="32" t="s">
        <v>43</v>
      </c>
      <c r="E398" s="33"/>
      <c r="F398" s="33"/>
      <c r="G398" s="33"/>
      <c r="H398" s="33"/>
      <c r="I398" s="34" t="str">
        <f t="shared" si="28"/>
        <v>0/3</v>
      </c>
    </row>
    <row r="399" spans="1:9" x14ac:dyDescent="0.25">
      <c r="A399" s="30">
        <f>A396</f>
        <v>46370</v>
      </c>
      <c r="B399" s="31" t="s">
        <v>81</v>
      </c>
      <c r="C399" s="31" t="s">
        <v>44</v>
      </c>
      <c r="D399" s="32" t="s">
        <v>45</v>
      </c>
      <c r="E399" s="33"/>
      <c r="F399" s="33"/>
      <c r="G399" s="33"/>
      <c r="H399" s="33"/>
      <c r="I399" s="34" t="str">
        <f t="shared" si="28"/>
        <v>0/3</v>
      </c>
    </row>
    <row r="400" spans="1:9" x14ac:dyDescent="0.25">
      <c r="A400" s="30">
        <f>A396</f>
        <v>46370</v>
      </c>
      <c r="B400" s="31" t="s">
        <v>81</v>
      </c>
      <c r="C400" s="31" t="s">
        <v>46</v>
      </c>
      <c r="D400" s="32" t="s">
        <v>47</v>
      </c>
      <c r="E400" s="33"/>
      <c r="F400" s="33"/>
      <c r="G400" s="33"/>
      <c r="H400" s="33"/>
      <c r="I400" s="34" t="str">
        <f t="shared" si="28"/>
        <v>0/3</v>
      </c>
    </row>
    <row r="401" spans="1:9" x14ac:dyDescent="0.25">
      <c r="A401" s="30">
        <f>A396</f>
        <v>46370</v>
      </c>
      <c r="B401" s="31" t="s">
        <v>81</v>
      </c>
      <c r="C401" s="31" t="s">
        <v>48</v>
      </c>
      <c r="D401" s="32" t="s">
        <v>49</v>
      </c>
      <c r="E401" s="33"/>
      <c r="F401" s="33"/>
      <c r="G401" s="33"/>
      <c r="H401" s="33"/>
      <c r="I401" s="34" t="str">
        <f t="shared" si="28"/>
        <v>0/3</v>
      </c>
    </row>
    <row r="402" spans="1:9" x14ac:dyDescent="0.25">
      <c r="A402" s="30">
        <f>A396</f>
        <v>46370</v>
      </c>
      <c r="B402" s="31" t="s">
        <v>81</v>
      </c>
      <c r="C402" s="31" t="s">
        <v>50</v>
      </c>
      <c r="D402" s="32" t="s">
        <v>51</v>
      </c>
      <c r="E402" s="33"/>
      <c r="F402" s="33"/>
      <c r="G402" s="33"/>
      <c r="H402" s="33"/>
      <c r="I402" s="34" t="str">
        <f t="shared" si="28"/>
        <v>0/3</v>
      </c>
    </row>
    <row r="403" spans="1:9" x14ac:dyDescent="0.25">
      <c r="A403" s="30">
        <f>A396</f>
        <v>46370</v>
      </c>
      <c r="B403" s="31" t="s">
        <v>82</v>
      </c>
      <c r="C403" s="31" t="s">
        <v>37</v>
      </c>
      <c r="D403" s="32" t="s">
        <v>39</v>
      </c>
      <c r="E403" s="33"/>
      <c r="F403" s="33"/>
      <c r="G403" s="33"/>
      <c r="H403" s="33"/>
      <c r="I403" s="34" t="str">
        <f>COUNTA(E403:H403)&amp;"/4"</f>
        <v>0/4</v>
      </c>
    </row>
    <row r="404" spans="1:9" ht="30" x14ac:dyDescent="0.25">
      <c r="A404" s="30">
        <f>A396</f>
        <v>46370</v>
      </c>
      <c r="B404" s="31" t="s">
        <v>82</v>
      </c>
      <c r="C404" s="31" t="s">
        <v>40</v>
      </c>
      <c r="D404" s="32" t="s">
        <v>41</v>
      </c>
      <c r="E404" s="33"/>
      <c r="F404" s="33"/>
      <c r="G404" s="33"/>
      <c r="H404" s="33"/>
      <c r="I404" s="34" t="str">
        <f t="shared" ref="I404:I416" si="29">COUNTA(E404:G404)&amp;"/3"</f>
        <v>0/3</v>
      </c>
    </row>
    <row r="405" spans="1:9" x14ac:dyDescent="0.25">
      <c r="A405" s="30">
        <f>A396</f>
        <v>46370</v>
      </c>
      <c r="B405" s="31" t="s">
        <v>82</v>
      </c>
      <c r="C405" s="31" t="s">
        <v>42</v>
      </c>
      <c r="D405" s="32" t="s">
        <v>43</v>
      </c>
      <c r="E405" s="33"/>
      <c r="F405" s="33"/>
      <c r="G405" s="33"/>
      <c r="H405" s="33"/>
      <c r="I405" s="34" t="str">
        <f t="shared" si="29"/>
        <v>0/3</v>
      </c>
    </row>
    <row r="406" spans="1:9" x14ac:dyDescent="0.25">
      <c r="A406" s="30">
        <f>A396</f>
        <v>46370</v>
      </c>
      <c r="B406" s="31" t="s">
        <v>82</v>
      </c>
      <c r="C406" s="31" t="s">
        <v>44</v>
      </c>
      <c r="D406" s="32" t="s">
        <v>45</v>
      </c>
      <c r="E406" s="33"/>
      <c r="F406" s="33"/>
      <c r="G406" s="33"/>
      <c r="H406" s="33"/>
      <c r="I406" s="34" t="str">
        <f t="shared" si="29"/>
        <v>0/3</v>
      </c>
    </row>
    <row r="407" spans="1:9" x14ac:dyDescent="0.25">
      <c r="A407" s="30">
        <f>A396</f>
        <v>46370</v>
      </c>
      <c r="B407" s="31" t="s">
        <v>82</v>
      </c>
      <c r="C407" s="31" t="s">
        <v>46</v>
      </c>
      <c r="D407" s="32" t="s">
        <v>47</v>
      </c>
      <c r="E407" s="33"/>
      <c r="F407" s="33"/>
      <c r="G407" s="33"/>
      <c r="H407" s="33"/>
      <c r="I407" s="34" t="str">
        <f t="shared" si="29"/>
        <v>0/3</v>
      </c>
    </row>
    <row r="408" spans="1:9" x14ac:dyDescent="0.25">
      <c r="A408" s="30">
        <f>A396</f>
        <v>46370</v>
      </c>
      <c r="B408" s="31" t="s">
        <v>82</v>
      </c>
      <c r="C408" s="31" t="s">
        <v>48</v>
      </c>
      <c r="D408" s="32" t="s">
        <v>49</v>
      </c>
      <c r="E408" s="33"/>
      <c r="F408" s="33"/>
      <c r="G408" s="33"/>
      <c r="H408" s="33"/>
      <c r="I408" s="34" t="str">
        <f t="shared" si="29"/>
        <v>0/3</v>
      </c>
    </row>
    <row r="409" spans="1:9" x14ac:dyDescent="0.25">
      <c r="A409" s="30">
        <f>A396</f>
        <v>46370</v>
      </c>
      <c r="B409" s="31" t="s">
        <v>82</v>
      </c>
      <c r="C409" s="31" t="s">
        <v>50</v>
      </c>
      <c r="D409" s="32" t="s">
        <v>51</v>
      </c>
      <c r="E409" s="33"/>
      <c r="F409" s="33"/>
      <c r="G409" s="33"/>
      <c r="H409" s="33"/>
      <c r="I409" s="34" t="str">
        <f t="shared" si="29"/>
        <v>0/3</v>
      </c>
    </row>
    <row r="410" spans="1:9" x14ac:dyDescent="0.25">
      <c r="A410" s="30">
        <f>A396+7</f>
        <v>46377</v>
      </c>
      <c r="B410" s="31" t="s">
        <v>81</v>
      </c>
      <c r="C410" s="31" t="s">
        <v>37</v>
      </c>
      <c r="D410" s="32" t="s">
        <v>39</v>
      </c>
      <c r="E410" s="33"/>
      <c r="F410" s="33"/>
      <c r="G410" s="33"/>
      <c r="H410" s="33"/>
      <c r="I410" s="34" t="str">
        <f t="shared" si="29"/>
        <v>0/3</v>
      </c>
    </row>
    <row r="411" spans="1:9" ht="30" x14ac:dyDescent="0.25">
      <c r="A411" s="30">
        <f>A410</f>
        <v>46377</v>
      </c>
      <c r="B411" s="31" t="s">
        <v>81</v>
      </c>
      <c r="C411" s="31" t="s">
        <v>40</v>
      </c>
      <c r="D411" s="32" t="s">
        <v>41</v>
      </c>
      <c r="E411" s="33"/>
      <c r="F411" s="33"/>
      <c r="G411" s="33"/>
      <c r="H411" s="33"/>
      <c r="I411" s="34" t="str">
        <f t="shared" si="29"/>
        <v>0/3</v>
      </c>
    </row>
    <row r="412" spans="1:9" x14ac:dyDescent="0.25">
      <c r="A412" s="30">
        <f>A410</f>
        <v>46377</v>
      </c>
      <c r="B412" s="31" t="s">
        <v>81</v>
      </c>
      <c r="C412" s="31" t="s">
        <v>42</v>
      </c>
      <c r="D412" s="32" t="s">
        <v>43</v>
      </c>
      <c r="E412" s="33"/>
      <c r="F412" s="33"/>
      <c r="G412" s="33"/>
      <c r="H412" s="33"/>
      <c r="I412" s="34" t="str">
        <f t="shared" si="29"/>
        <v>0/3</v>
      </c>
    </row>
    <row r="413" spans="1:9" x14ac:dyDescent="0.25">
      <c r="A413" s="30">
        <f>A410</f>
        <v>46377</v>
      </c>
      <c r="B413" s="31" t="s">
        <v>81</v>
      </c>
      <c r="C413" s="31" t="s">
        <v>44</v>
      </c>
      <c r="D413" s="32" t="s">
        <v>45</v>
      </c>
      <c r="E413" s="33"/>
      <c r="F413" s="33"/>
      <c r="G413" s="33"/>
      <c r="H413" s="33"/>
      <c r="I413" s="34" t="str">
        <f t="shared" si="29"/>
        <v>0/3</v>
      </c>
    </row>
    <row r="414" spans="1:9" x14ac:dyDescent="0.25">
      <c r="A414" s="30">
        <f>A410</f>
        <v>46377</v>
      </c>
      <c r="B414" s="31" t="s">
        <v>81</v>
      </c>
      <c r="C414" s="31" t="s">
        <v>46</v>
      </c>
      <c r="D414" s="32" t="s">
        <v>47</v>
      </c>
      <c r="E414" s="33"/>
      <c r="F414" s="33"/>
      <c r="G414" s="33"/>
      <c r="H414" s="33"/>
      <c r="I414" s="34" t="str">
        <f t="shared" si="29"/>
        <v>0/3</v>
      </c>
    </row>
    <row r="415" spans="1:9" x14ac:dyDescent="0.25">
      <c r="A415" s="30">
        <f>A410</f>
        <v>46377</v>
      </c>
      <c r="B415" s="31" t="s">
        <v>81</v>
      </c>
      <c r="C415" s="31" t="s">
        <v>48</v>
      </c>
      <c r="D415" s="32" t="s">
        <v>49</v>
      </c>
      <c r="E415" s="33"/>
      <c r="F415" s="33"/>
      <c r="G415" s="33"/>
      <c r="H415" s="33"/>
      <c r="I415" s="34" t="str">
        <f t="shared" si="29"/>
        <v>0/3</v>
      </c>
    </row>
    <row r="416" spans="1:9" x14ac:dyDescent="0.25">
      <c r="A416" s="30">
        <f>A410</f>
        <v>46377</v>
      </c>
      <c r="B416" s="31" t="s">
        <v>81</v>
      </c>
      <c r="C416" s="31" t="s">
        <v>50</v>
      </c>
      <c r="D416" s="32" t="s">
        <v>51</v>
      </c>
      <c r="E416" s="33"/>
      <c r="F416" s="33"/>
      <c r="G416" s="33"/>
      <c r="H416" s="33"/>
      <c r="I416" s="34" t="str">
        <f t="shared" si="29"/>
        <v>0/3</v>
      </c>
    </row>
    <row r="417" spans="1:9" x14ac:dyDescent="0.25">
      <c r="A417" s="30">
        <f>A410</f>
        <v>46377</v>
      </c>
      <c r="B417" s="31" t="s">
        <v>82</v>
      </c>
      <c r="C417" s="31" t="s">
        <v>37</v>
      </c>
      <c r="D417" s="32" t="s">
        <v>39</v>
      </c>
      <c r="E417" s="33"/>
      <c r="F417" s="33"/>
      <c r="G417" s="33"/>
      <c r="H417" s="33"/>
      <c r="I417" s="34" t="str">
        <f>COUNTA(E417:H417)&amp;"/4"</f>
        <v>0/4</v>
      </c>
    </row>
    <row r="418" spans="1:9" ht="30" x14ac:dyDescent="0.25">
      <c r="A418" s="30">
        <f>A410</f>
        <v>46377</v>
      </c>
      <c r="B418" s="31" t="s">
        <v>82</v>
      </c>
      <c r="C418" s="31" t="s">
        <v>40</v>
      </c>
      <c r="D418" s="32" t="s">
        <v>41</v>
      </c>
      <c r="E418" s="33"/>
      <c r="F418" s="33"/>
      <c r="G418" s="33"/>
      <c r="H418" s="33"/>
      <c r="I418" s="34" t="str">
        <f t="shared" ref="I418:I430" si="30">COUNTA(E418:G418)&amp;"/3"</f>
        <v>0/3</v>
      </c>
    </row>
    <row r="419" spans="1:9" x14ac:dyDescent="0.25">
      <c r="A419" s="30">
        <f>A410</f>
        <v>46377</v>
      </c>
      <c r="B419" s="31" t="s">
        <v>82</v>
      </c>
      <c r="C419" s="31" t="s">
        <v>42</v>
      </c>
      <c r="D419" s="32" t="s">
        <v>43</v>
      </c>
      <c r="E419" s="33"/>
      <c r="F419" s="33"/>
      <c r="G419" s="33"/>
      <c r="H419" s="33"/>
      <c r="I419" s="34" t="str">
        <f t="shared" si="30"/>
        <v>0/3</v>
      </c>
    </row>
    <row r="420" spans="1:9" x14ac:dyDescent="0.25">
      <c r="A420" s="30">
        <f>A410</f>
        <v>46377</v>
      </c>
      <c r="B420" s="31" t="s">
        <v>82</v>
      </c>
      <c r="C420" s="31" t="s">
        <v>44</v>
      </c>
      <c r="D420" s="32" t="s">
        <v>45</v>
      </c>
      <c r="E420" s="33"/>
      <c r="F420" s="33"/>
      <c r="G420" s="33"/>
      <c r="H420" s="33"/>
      <c r="I420" s="34" t="str">
        <f t="shared" si="30"/>
        <v>0/3</v>
      </c>
    </row>
    <row r="421" spans="1:9" x14ac:dyDescent="0.25">
      <c r="A421" s="30">
        <f>A410</f>
        <v>46377</v>
      </c>
      <c r="B421" s="31" t="s">
        <v>82</v>
      </c>
      <c r="C421" s="31" t="s">
        <v>46</v>
      </c>
      <c r="D421" s="32" t="s">
        <v>47</v>
      </c>
      <c r="E421" s="33"/>
      <c r="F421" s="33"/>
      <c r="G421" s="33"/>
      <c r="H421" s="33"/>
      <c r="I421" s="34" t="str">
        <f t="shared" si="30"/>
        <v>0/3</v>
      </c>
    </row>
    <row r="422" spans="1:9" x14ac:dyDescent="0.25">
      <c r="A422" s="30">
        <f>A410</f>
        <v>46377</v>
      </c>
      <c r="B422" s="31" t="s">
        <v>82</v>
      </c>
      <c r="C422" s="31" t="s">
        <v>48</v>
      </c>
      <c r="D422" s="32" t="s">
        <v>49</v>
      </c>
      <c r="E422" s="33"/>
      <c r="F422" s="33"/>
      <c r="G422" s="33"/>
      <c r="H422" s="33"/>
      <c r="I422" s="34" t="str">
        <f t="shared" si="30"/>
        <v>0/3</v>
      </c>
    </row>
    <row r="423" spans="1:9" x14ac:dyDescent="0.25">
      <c r="A423" s="30">
        <f>A410</f>
        <v>46377</v>
      </c>
      <c r="B423" s="31" t="s">
        <v>82</v>
      </c>
      <c r="C423" s="31" t="s">
        <v>50</v>
      </c>
      <c r="D423" s="32" t="s">
        <v>51</v>
      </c>
      <c r="E423" s="33"/>
      <c r="F423" s="33"/>
      <c r="G423" s="33"/>
      <c r="H423" s="33"/>
      <c r="I423" s="34" t="str">
        <f t="shared" si="30"/>
        <v>0/3</v>
      </c>
    </row>
    <row r="424" spans="1:9" x14ac:dyDescent="0.25">
      <c r="A424" s="30">
        <f>A410+7</f>
        <v>46384</v>
      </c>
      <c r="B424" s="31" t="s">
        <v>81</v>
      </c>
      <c r="C424" s="31" t="s">
        <v>37</v>
      </c>
      <c r="D424" s="32" t="s">
        <v>39</v>
      </c>
      <c r="E424" s="33"/>
      <c r="F424" s="33"/>
      <c r="G424" s="33"/>
      <c r="H424" s="33"/>
      <c r="I424" s="34" t="str">
        <f t="shared" si="30"/>
        <v>0/3</v>
      </c>
    </row>
    <row r="425" spans="1:9" ht="30" x14ac:dyDescent="0.25">
      <c r="A425" s="30">
        <f>A424</f>
        <v>46384</v>
      </c>
      <c r="B425" s="31" t="s">
        <v>81</v>
      </c>
      <c r="C425" s="31" t="s">
        <v>40</v>
      </c>
      <c r="D425" s="32" t="s">
        <v>41</v>
      </c>
      <c r="E425" s="33"/>
      <c r="F425" s="33"/>
      <c r="G425" s="33"/>
      <c r="H425" s="33"/>
      <c r="I425" s="34" t="str">
        <f t="shared" si="30"/>
        <v>0/3</v>
      </c>
    </row>
    <row r="426" spans="1:9" x14ac:dyDescent="0.25">
      <c r="A426" s="30">
        <f>A424</f>
        <v>46384</v>
      </c>
      <c r="B426" s="31" t="s">
        <v>81</v>
      </c>
      <c r="C426" s="31" t="s">
        <v>42</v>
      </c>
      <c r="D426" s="32" t="s">
        <v>43</v>
      </c>
      <c r="E426" s="33"/>
      <c r="F426" s="33"/>
      <c r="G426" s="33"/>
      <c r="H426" s="33"/>
      <c r="I426" s="34" t="str">
        <f t="shared" si="30"/>
        <v>0/3</v>
      </c>
    </row>
    <row r="427" spans="1:9" x14ac:dyDescent="0.25">
      <c r="A427" s="30">
        <f>A424</f>
        <v>46384</v>
      </c>
      <c r="B427" s="31" t="s">
        <v>81</v>
      </c>
      <c r="C427" s="31" t="s">
        <v>44</v>
      </c>
      <c r="D427" s="32" t="s">
        <v>45</v>
      </c>
      <c r="E427" s="33"/>
      <c r="F427" s="33"/>
      <c r="G427" s="33"/>
      <c r="H427" s="33"/>
      <c r="I427" s="34" t="str">
        <f t="shared" si="30"/>
        <v>0/3</v>
      </c>
    </row>
    <row r="428" spans="1:9" x14ac:dyDescent="0.25">
      <c r="A428" s="30">
        <f>A424</f>
        <v>46384</v>
      </c>
      <c r="B428" s="31" t="s">
        <v>81</v>
      </c>
      <c r="C428" s="31" t="s">
        <v>46</v>
      </c>
      <c r="D428" s="32" t="s">
        <v>47</v>
      </c>
      <c r="E428" s="33"/>
      <c r="F428" s="33"/>
      <c r="G428" s="33"/>
      <c r="H428" s="33"/>
      <c r="I428" s="34" t="str">
        <f t="shared" si="30"/>
        <v>0/3</v>
      </c>
    </row>
    <row r="429" spans="1:9" x14ac:dyDescent="0.25">
      <c r="A429" s="30">
        <f>A424</f>
        <v>46384</v>
      </c>
      <c r="B429" s="31" t="s">
        <v>81</v>
      </c>
      <c r="C429" s="31" t="s">
        <v>48</v>
      </c>
      <c r="D429" s="32" t="s">
        <v>49</v>
      </c>
      <c r="E429" s="33"/>
      <c r="F429" s="33"/>
      <c r="G429" s="33"/>
      <c r="H429" s="33"/>
      <c r="I429" s="34" t="str">
        <f t="shared" si="30"/>
        <v>0/3</v>
      </c>
    </row>
    <row r="430" spans="1:9" x14ac:dyDescent="0.25">
      <c r="A430" s="30">
        <f>A424</f>
        <v>46384</v>
      </c>
      <c r="B430" s="31" t="s">
        <v>81</v>
      </c>
      <c r="C430" s="31" t="s">
        <v>50</v>
      </c>
      <c r="D430" s="32" t="s">
        <v>51</v>
      </c>
      <c r="E430" s="33"/>
      <c r="F430" s="33"/>
      <c r="G430" s="33"/>
      <c r="H430" s="33"/>
      <c r="I430" s="34" t="str">
        <f t="shared" si="30"/>
        <v>0/3</v>
      </c>
    </row>
    <row r="431" spans="1:9" x14ac:dyDescent="0.25">
      <c r="A431" s="30">
        <f>A424</f>
        <v>46384</v>
      </c>
      <c r="B431" s="31" t="s">
        <v>82</v>
      </c>
      <c r="C431" s="31" t="s">
        <v>37</v>
      </c>
      <c r="D431" s="32" t="s">
        <v>39</v>
      </c>
      <c r="E431" s="33"/>
      <c r="F431" s="33"/>
      <c r="G431" s="33"/>
      <c r="H431" s="33"/>
      <c r="I431" s="34" t="str">
        <f>COUNTA(E431:H431)&amp;"/4"</f>
        <v>0/4</v>
      </c>
    </row>
    <row r="432" spans="1:9" ht="30" x14ac:dyDescent="0.25">
      <c r="A432" s="30">
        <f>A424</f>
        <v>46384</v>
      </c>
      <c r="B432" s="31" t="s">
        <v>82</v>
      </c>
      <c r="C432" s="31" t="s">
        <v>40</v>
      </c>
      <c r="D432" s="32" t="s">
        <v>41</v>
      </c>
      <c r="E432" s="33"/>
      <c r="F432" s="33"/>
      <c r="G432" s="33"/>
      <c r="H432" s="33"/>
      <c r="I432" s="34" t="str">
        <f t="shared" ref="I432:I444" si="31">COUNTA(E432:G432)&amp;"/3"</f>
        <v>0/3</v>
      </c>
    </row>
    <row r="433" spans="1:9" x14ac:dyDescent="0.25">
      <c r="A433" s="30">
        <f>A424</f>
        <v>46384</v>
      </c>
      <c r="B433" s="31" t="s">
        <v>82</v>
      </c>
      <c r="C433" s="31" t="s">
        <v>42</v>
      </c>
      <c r="D433" s="32" t="s">
        <v>43</v>
      </c>
      <c r="E433" s="33"/>
      <c r="F433" s="33"/>
      <c r="G433" s="33"/>
      <c r="H433" s="33"/>
      <c r="I433" s="34" t="str">
        <f t="shared" si="31"/>
        <v>0/3</v>
      </c>
    </row>
    <row r="434" spans="1:9" x14ac:dyDescent="0.25">
      <c r="A434" s="30">
        <f>A424</f>
        <v>46384</v>
      </c>
      <c r="B434" s="31" t="s">
        <v>82</v>
      </c>
      <c r="C434" s="31" t="s">
        <v>44</v>
      </c>
      <c r="D434" s="32" t="s">
        <v>45</v>
      </c>
      <c r="E434" s="33"/>
      <c r="F434" s="33"/>
      <c r="G434" s="33"/>
      <c r="H434" s="33"/>
      <c r="I434" s="34" t="str">
        <f t="shared" si="31"/>
        <v>0/3</v>
      </c>
    </row>
    <row r="435" spans="1:9" x14ac:dyDescent="0.25">
      <c r="A435" s="30">
        <f>A424</f>
        <v>46384</v>
      </c>
      <c r="B435" s="31" t="s">
        <v>82</v>
      </c>
      <c r="C435" s="31" t="s">
        <v>46</v>
      </c>
      <c r="D435" s="32" t="s">
        <v>47</v>
      </c>
      <c r="E435" s="33"/>
      <c r="F435" s="33"/>
      <c r="G435" s="33"/>
      <c r="H435" s="33"/>
      <c r="I435" s="34" t="str">
        <f t="shared" si="31"/>
        <v>0/3</v>
      </c>
    </row>
    <row r="436" spans="1:9" x14ac:dyDescent="0.25">
      <c r="A436" s="30">
        <f>A424</f>
        <v>46384</v>
      </c>
      <c r="B436" s="31" t="s">
        <v>82</v>
      </c>
      <c r="C436" s="31" t="s">
        <v>48</v>
      </c>
      <c r="D436" s="32" t="s">
        <v>49</v>
      </c>
      <c r="E436" s="33"/>
      <c r="F436" s="33"/>
      <c r="G436" s="33"/>
      <c r="H436" s="33"/>
      <c r="I436" s="34" t="str">
        <f t="shared" si="31"/>
        <v>0/3</v>
      </c>
    </row>
    <row r="437" spans="1:9" x14ac:dyDescent="0.25">
      <c r="A437" s="30">
        <f>A424</f>
        <v>46384</v>
      </c>
      <c r="B437" s="31" t="s">
        <v>82</v>
      </c>
      <c r="C437" s="31" t="s">
        <v>50</v>
      </c>
      <c r="D437" s="32" t="s">
        <v>51</v>
      </c>
      <c r="E437" s="33"/>
      <c r="F437" s="33"/>
      <c r="G437" s="33"/>
      <c r="H437" s="33"/>
      <c r="I437" s="34" t="str">
        <f t="shared" si="31"/>
        <v>0/3</v>
      </c>
    </row>
    <row r="438" spans="1:9" x14ac:dyDescent="0.25">
      <c r="A438" s="30">
        <f>A424+7</f>
        <v>46391</v>
      </c>
      <c r="B438" s="31" t="s">
        <v>81</v>
      </c>
      <c r="C438" s="31" t="s">
        <v>37</v>
      </c>
      <c r="D438" s="32" t="s">
        <v>39</v>
      </c>
      <c r="E438" s="33"/>
      <c r="F438" s="33"/>
      <c r="G438" s="33"/>
      <c r="H438" s="33"/>
      <c r="I438" s="34" t="str">
        <f t="shared" si="31"/>
        <v>0/3</v>
      </c>
    </row>
    <row r="439" spans="1:9" ht="30" x14ac:dyDescent="0.25">
      <c r="A439" s="30">
        <f>A438</f>
        <v>46391</v>
      </c>
      <c r="B439" s="31" t="s">
        <v>81</v>
      </c>
      <c r="C439" s="31" t="s">
        <v>40</v>
      </c>
      <c r="D439" s="32" t="s">
        <v>41</v>
      </c>
      <c r="E439" s="33"/>
      <c r="F439" s="33"/>
      <c r="G439" s="33"/>
      <c r="H439" s="33"/>
      <c r="I439" s="34" t="str">
        <f t="shared" si="31"/>
        <v>0/3</v>
      </c>
    </row>
    <row r="440" spans="1:9" x14ac:dyDescent="0.25">
      <c r="A440" s="30">
        <f>A438</f>
        <v>46391</v>
      </c>
      <c r="B440" s="31" t="s">
        <v>81</v>
      </c>
      <c r="C440" s="31" t="s">
        <v>42</v>
      </c>
      <c r="D440" s="32" t="s">
        <v>43</v>
      </c>
      <c r="E440" s="33"/>
      <c r="F440" s="33"/>
      <c r="G440" s="33"/>
      <c r="H440" s="33"/>
      <c r="I440" s="34" t="str">
        <f t="shared" si="31"/>
        <v>0/3</v>
      </c>
    </row>
    <row r="441" spans="1:9" x14ac:dyDescent="0.25">
      <c r="A441" s="30">
        <f>A438</f>
        <v>46391</v>
      </c>
      <c r="B441" s="31" t="s">
        <v>81</v>
      </c>
      <c r="C441" s="31" t="s">
        <v>44</v>
      </c>
      <c r="D441" s="32" t="s">
        <v>45</v>
      </c>
      <c r="E441" s="33"/>
      <c r="F441" s="33"/>
      <c r="G441" s="33"/>
      <c r="H441" s="33"/>
      <c r="I441" s="34" t="str">
        <f t="shared" si="31"/>
        <v>0/3</v>
      </c>
    </row>
    <row r="442" spans="1:9" x14ac:dyDescent="0.25">
      <c r="A442" s="30">
        <f>A438</f>
        <v>46391</v>
      </c>
      <c r="B442" s="31" t="s">
        <v>81</v>
      </c>
      <c r="C442" s="31" t="s">
        <v>46</v>
      </c>
      <c r="D442" s="32" t="s">
        <v>47</v>
      </c>
      <c r="E442" s="33"/>
      <c r="F442" s="33"/>
      <c r="G442" s="33"/>
      <c r="H442" s="33"/>
      <c r="I442" s="34" t="str">
        <f t="shared" si="31"/>
        <v>0/3</v>
      </c>
    </row>
    <row r="443" spans="1:9" x14ac:dyDescent="0.25">
      <c r="A443" s="30">
        <f>A438</f>
        <v>46391</v>
      </c>
      <c r="B443" s="31" t="s">
        <v>81</v>
      </c>
      <c r="C443" s="31" t="s">
        <v>48</v>
      </c>
      <c r="D443" s="32" t="s">
        <v>49</v>
      </c>
      <c r="E443" s="33"/>
      <c r="F443" s="33"/>
      <c r="G443" s="33"/>
      <c r="H443" s="33"/>
      <c r="I443" s="34" t="str">
        <f t="shared" si="31"/>
        <v>0/3</v>
      </c>
    </row>
    <row r="444" spans="1:9" x14ac:dyDescent="0.25">
      <c r="A444" s="30">
        <f>A438</f>
        <v>46391</v>
      </c>
      <c r="B444" s="31" t="s">
        <v>81</v>
      </c>
      <c r="C444" s="31" t="s">
        <v>50</v>
      </c>
      <c r="D444" s="32" t="s">
        <v>51</v>
      </c>
      <c r="E444" s="33"/>
      <c r="F444" s="33"/>
      <c r="G444" s="33"/>
      <c r="H444" s="33"/>
      <c r="I444" s="34" t="str">
        <f t="shared" si="31"/>
        <v>0/3</v>
      </c>
    </row>
    <row r="445" spans="1:9" x14ac:dyDescent="0.25">
      <c r="A445" s="30">
        <f>A438</f>
        <v>46391</v>
      </c>
      <c r="B445" s="31" t="s">
        <v>82</v>
      </c>
      <c r="C445" s="31" t="s">
        <v>37</v>
      </c>
      <c r="D445" s="32" t="s">
        <v>39</v>
      </c>
      <c r="E445" s="33"/>
      <c r="F445" s="33"/>
      <c r="G445" s="33"/>
      <c r="H445" s="33"/>
      <c r="I445" s="34" t="str">
        <f>COUNTA(E445:H445)&amp;"/4"</f>
        <v>0/4</v>
      </c>
    </row>
    <row r="446" spans="1:9" ht="30" x14ac:dyDescent="0.25">
      <c r="A446" s="30">
        <f>A438</f>
        <v>46391</v>
      </c>
      <c r="B446" s="31" t="s">
        <v>82</v>
      </c>
      <c r="C446" s="31" t="s">
        <v>40</v>
      </c>
      <c r="D446" s="32" t="s">
        <v>41</v>
      </c>
      <c r="E446" s="33"/>
      <c r="F446" s="33"/>
      <c r="G446" s="33"/>
      <c r="H446" s="33"/>
      <c r="I446" s="34" t="str">
        <f t="shared" ref="I446:I458" si="32">COUNTA(E446:G446)&amp;"/3"</f>
        <v>0/3</v>
      </c>
    </row>
    <row r="447" spans="1:9" x14ac:dyDescent="0.25">
      <c r="A447" s="30">
        <f>A438</f>
        <v>46391</v>
      </c>
      <c r="B447" s="31" t="s">
        <v>82</v>
      </c>
      <c r="C447" s="31" t="s">
        <v>42</v>
      </c>
      <c r="D447" s="32" t="s">
        <v>43</v>
      </c>
      <c r="E447" s="33"/>
      <c r="F447" s="33"/>
      <c r="G447" s="33"/>
      <c r="H447" s="33"/>
      <c r="I447" s="34" t="str">
        <f t="shared" si="32"/>
        <v>0/3</v>
      </c>
    </row>
    <row r="448" spans="1:9" x14ac:dyDescent="0.25">
      <c r="A448" s="30">
        <f>A438</f>
        <v>46391</v>
      </c>
      <c r="B448" s="31" t="s">
        <v>82</v>
      </c>
      <c r="C448" s="31" t="s">
        <v>44</v>
      </c>
      <c r="D448" s="32" t="s">
        <v>45</v>
      </c>
      <c r="E448" s="33"/>
      <c r="F448" s="33"/>
      <c r="G448" s="33"/>
      <c r="H448" s="33"/>
      <c r="I448" s="34" t="str">
        <f t="shared" si="32"/>
        <v>0/3</v>
      </c>
    </row>
    <row r="449" spans="1:9" x14ac:dyDescent="0.25">
      <c r="A449" s="30">
        <f>A438</f>
        <v>46391</v>
      </c>
      <c r="B449" s="31" t="s">
        <v>82</v>
      </c>
      <c r="C449" s="31" t="s">
        <v>46</v>
      </c>
      <c r="D449" s="32" t="s">
        <v>47</v>
      </c>
      <c r="E449" s="33"/>
      <c r="F449" s="33"/>
      <c r="G449" s="33"/>
      <c r="H449" s="33"/>
      <c r="I449" s="34" t="str">
        <f t="shared" si="32"/>
        <v>0/3</v>
      </c>
    </row>
    <row r="450" spans="1:9" x14ac:dyDescent="0.25">
      <c r="A450" s="30">
        <f>A438</f>
        <v>46391</v>
      </c>
      <c r="B450" s="31" t="s">
        <v>82</v>
      </c>
      <c r="C450" s="31" t="s">
        <v>48</v>
      </c>
      <c r="D450" s="32" t="s">
        <v>49</v>
      </c>
      <c r="E450" s="33"/>
      <c r="F450" s="33"/>
      <c r="G450" s="33"/>
      <c r="H450" s="33"/>
      <c r="I450" s="34" t="str">
        <f t="shared" si="32"/>
        <v>0/3</v>
      </c>
    </row>
    <row r="451" spans="1:9" x14ac:dyDescent="0.25">
      <c r="A451" s="30">
        <f>A438</f>
        <v>46391</v>
      </c>
      <c r="B451" s="31" t="s">
        <v>82</v>
      </c>
      <c r="C451" s="31" t="s">
        <v>50</v>
      </c>
      <c r="D451" s="32" t="s">
        <v>51</v>
      </c>
      <c r="E451" s="33"/>
      <c r="F451" s="33"/>
      <c r="G451" s="33"/>
      <c r="H451" s="33"/>
      <c r="I451" s="34" t="str">
        <f t="shared" si="32"/>
        <v>0/3</v>
      </c>
    </row>
    <row r="452" spans="1:9" x14ac:dyDescent="0.25">
      <c r="A452" s="30">
        <f>A438+7</f>
        <v>46398</v>
      </c>
      <c r="B452" s="31" t="s">
        <v>81</v>
      </c>
      <c r="C452" s="31" t="s">
        <v>37</v>
      </c>
      <c r="D452" s="32" t="s">
        <v>39</v>
      </c>
      <c r="E452" s="33"/>
      <c r="F452" s="33"/>
      <c r="G452" s="33"/>
      <c r="H452" s="33"/>
      <c r="I452" s="34" t="str">
        <f t="shared" si="32"/>
        <v>0/3</v>
      </c>
    </row>
    <row r="453" spans="1:9" ht="30" x14ac:dyDescent="0.25">
      <c r="A453" s="30">
        <f>A452</f>
        <v>46398</v>
      </c>
      <c r="B453" s="31" t="s">
        <v>81</v>
      </c>
      <c r="C453" s="31" t="s">
        <v>40</v>
      </c>
      <c r="D453" s="32" t="s">
        <v>41</v>
      </c>
      <c r="E453" s="33"/>
      <c r="F453" s="33"/>
      <c r="G453" s="33"/>
      <c r="H453" s="33"/>
      <c r="I453" s="34" t="str">
        <f t="shared" si="32"/>
        <v>0/3</v>
      </c>
    </row>
    <row r="454" spans="1:9" x14ac:dyDescent="0.25">
      <c r="A454" s="30">
        <f>A452</f>
        <v>46398</v>
      </c>
      <c r="B454" s="31" t="s">
        <v>81</v>
      </c>
      <c r="C454" s="31" t="s">
        <v>42</v>
      </c>
      <c r="D454" s="32" t="s">
        <v>43</v>
      </c>
      <c r="E454" s="33"/>
      <c r="F454" s="33"/>
      <c r="G454" s="33"/>
      <c r="H454" s="33"/>
      <c r="I454" s="34" t="str">
        <f t="shared" si="32"/>
        <v>0/3</v>
      </c>
    </row>
    <row r="455" spans="1:9" x14ac:dyDescent="0.25">
      <c r="A455" s="30">
        <f>A452</f>
        <v>46398</v>
      </c>
      <c r="B455" s="31" t="s">
        <v>81</v>
      </c>
      <c r="C455" s="31" t="s">
        <v>44</v>
      </c>
      <c r="D455" s="32" t="s">
        <v>45</v>
      </c>
      <c r="E455" s="33"/>
      <c r="F455" s="33"/>
      <c r="G455" s="33"/>
      <c r="H455" s="33"/>
      <c r="I455" s="34" t="str">
        <f t="shared" si="32"/>
        <v>0/3</v>
      </c>
    </row>
    <row r="456" spans="1:9" x14ac:dyDescent="0.25">
      <c r="A456" s="30">
        <f>A452</f>
        <v>46398</v>
      </c>
      <c r="B456" s="31" t="s">
        <v>81</v>
      </c>
      <c r="C456" s="31" t="s">
        <v>46</v>
      </c>
      <c r="D456" s="32" t="s">
        <v>47</v>
      </c>
      <c r="E456" s="33"/>
      <c r="F456" s="33"/>
      <c r="G456" s="33"/>
      <c r="H456" s="33"/>
      <c r="I456" s="34" t="str">
        <f t="shared" si="32"/>
        <v>0/3</v>
      </c>
    </row>
    <row r="457" spans="1:9" x14ac:dyDescent="0.25">
      <c r="A457" s="30">
        <f>A452</f>
        <v>46398</v>
      </c>
      <c r="B457" s="31" t="s">
        <v>81</v>
      </c>
      <c r="C457" s="31" t="s">
        <v>48</v>
      </c>
      <c r="D457" s="32" t="s">
        <v>49</v>
      </c>
      <c r="E457" s="33"/>
      <c r="F457" s="33"/>
      <c r="G457" s="33"/>
      <c r="H457" s="33"/>
      <c r="I457" s="34" t="str">
        <f t="shared" si="32"/>
        <v>0/3</v>
      </c>
    </row>
    <row r="458" spans="1:9" x14ac:dyDescent="0.25">
      <c r="A458" s="30">
        <f>A452</f>
        <v>46398</v>
      </c>
      <c r="B458" s="31" t="s">
        <v>81</v>
      </c>
      <c r="C458" s="31" t="s">
        <v>50</v>
      </c>
      <c r="D458" s="32" t="s">
        <v>51</v>
      </c>
      <c r="E458" s="33"/>
      <c r="F458" s="33"/>
      <c r="G458" s="33"/>
      <c r="H458" s="33"/>
      <c r="I458" s="34" t="str">
        <f t="shared" si="32"/>
        <v>0/3</v>
      </c>
    </row>
    <row r="459" spans="1:9" x14ac:dyDescent="0.25">
      <c r="A459" s="30">
        <f>A452</f>
        <v>46398</v>
      </c>
      <c r="B459" s="31" t="s">
        <v>82</v>
      </c>
      <c r="C459" s="31" t="s">
        <v>37</v>
      </c>
      <c r="D459" s="32" t="s">
        <v>39</v>
      </c>
      <c r="E459" s="33"/>
      <c r="F459" s="33"/>
      <c r="G459" s="33"/>
      <c r="H459" s="33"/>
      <c r="I459" s="34" t="str">
        <f>COUNTA(E459:H459)&amp;"/4"</f>
        <v>0/4</v>
      </c>
    </row>
    <row r="460" spans="1:9" ht="30" x14ac:dyDescent="0.25">
      <c r="A460" s="30">
        <f>A452</f>
        <v>46398</v>
      </c>
      <c r="B460" s="31" t="s">
        <v>82</v>
      </c>
      <c r="C460" s="31" t="s">
        <v>40</v>
      </c>
      <c r="D460" s="32" t="s">
        <v>41</v>
      </c>
      <c r="E460" s="33"/>
      <c r="F460" s="33"/>
      <c r="G460" s="33"/>
      <c r="H460" s="33"/>
      <c r="I460" s="34" t="str">
        <f t="shared" ref="I460:I472" si="33">COUNTA(E460:G460)&amp;"/3"</f>
        <v>0/3</v>
      </c>
    </row>
    <row r="461" spans="1:9" x14ac:dyDescent="0.25">
      <c r="A461" s="30">
        <f>A452</f>
        <v>46398</v>
      </c>
      <c r="B461" s="31" t="s">
        <v>82</v>
      </c>
      <c r="C461" s="31" t="s">
        <v>42</v>
      </c>
      <c r="D461" s="32" t="s">
        <v>43</v>
      </c>
      <c r="E461" s="33"/>
      <c r="F461" s="33"/>
      <c r="G461" s="33"/>
      <c r="H461" s="33"/>
      <c r="I461" s="34" t="str">
        <f t="shared" si="33"/>
        <v>0/3</v>
      </c>
    </row>
    <row r="462" spans="1:9" x14ac:dyDescent="0.25">
      <c r="A462" s="30">
        <f>A452</f>
        <v>46398</v>
      </c>
      <c r="B462" s="31" t="s">
        <v>82</v>
      </c>
      <c r="C462" s="31" t="s">
        <v>44</v>
      </c>
      <c r="D462" s="32" t="s">
        <v>45</v>
      </c>
      <c r="E462" s="33"/>
      <c r="F462" s="33"/>
      <c r="G462" s="33"/>
      <c r="H462" s="33"/>
      <c r="I462" s="34" t="str">
        <f t="shared" si="33"/>
        <v>0/3</v>
      </c>
    </row>
    <row r="463" spans="1:9" x14ac:dyDescent="0.25">
      <c r="A463" s="30">
        <f>A452</f>
        <v>46398</v>
      </c>
      <c r="B463" s="31" t="s">
        <v>82</v>
      </c>
      <c r="C463" s="31" t="s">
        <v>46</v>
      </c>
      <c r="D463" s="32" t="s">
        <v>47</v>
      </c>
      <c r="E463" s="33"/>
      <c r="F463" s="33"/>
      <c r="G463" s="33"/>
      <c r="H463" s="33"/>
      <c r="I463" s="34" t="str">
        <f t="shared" si="33"/>
        <v>0/3</v>
      </c>
    </row>
    <row r="464" spans="1:9" x14ac:dyDescent="0.25">
      <c r="A464" s="30">
        <f>A452</f>
        <v>46398</v>
      </c>
      <c r="B464" s="31" t="s">
        <v>82</v>
      </c>
      <c r="C464" s="31" t="s">
        <v>48</v>
      </c>
      <c r="D464" s="32" t="s">
        <v>49</v>
      </c>
      <c r="E464" s="33"/>
      <c r="F464" s="33"/>
      <c r="G464" s="33"/>
      <c r="H464" s="33"/>
      <c r="I464" s="34" t="str">
        <f t="shared" si="33"/>
        <v>0/3</v>
      </c>
    </row>
    <row r="465" spans="1:9" x14ac:dyDescent="0.25">
      <c r="A465" s="30">
        <f>A452</f>
        <v>46398</v>
      </c>
      <c r="B465" s="31" t="s">
        <v>82</v>
      </c>
      <c r="C465" s="31" t="s">
        <v>50</v>
      </c>
      <c r="D465" s="32" t="s">
        <v>51</v>
      </c>
      <c r="E465" s="33"/>
      <c r="F465" s="33"/>
      <c r="G465" s="33"/>
      <c r="H465" s="33"/>
      <c r="I465" s="34" t="str">
        <f t="shared" si="33"/>
        <v>0/3</v>
      </c>
    </row>
    <row r="466" spans="1:9" x14ac:dyDescent="0.25">
      <c r="A466" s="30">
        <f>A452+7</f>
        <v>46405</v>
      </c>
      <c r="B466" s="31" t="s">
        <v>81</v>
      </c>
      <c r="C466" s="31" t="s">
        <v>37</v>
      </c>
      <c r="D466" s="32" t="s">
        <v>39</v>
      </c>
      <c r="E466" s="33"/>
      <c r="F466" s="33"/>
      <c r="G466" s="33"/>
      <c r="H466" s="33"/>
      <c r="I466" s="34" t="str">
        <f t="shared" si="33"/>
        <v>0/3</v>
      </c>
    </row>
    <row r="467" spans="1:9" ht="30" x14ac:dyDescent="0.25">
      <c r="A467" s="30">
        <f>A466</f>
        <v>46405</v>
      </c>
      <c r="B467" s="31" t="s">
        <v>81</v>
      </c>
      <c r="C467" s="31" t="s">
        <v>40</v>
      </c>
      <c r="D467" s="32" t="s">
        <v>41</v>
      </c>
      <c r="E467" s="33"/>
      <c r="F467" s="33"/>
      <c r="G467" s="33"/>
      <c r="H467" s="33"/>
      <c r="I467" s="34" t="str">
        <f t="shared" si="33"/>
        <v>0/3</v>
      </c>
    </row>
    <row r="468" spans="1:9" x14ac:dyDescent="0.25">
      <c r="A468" s="30">
        <f>A466</f>
        <v>46405</v>
      </c>
      <c r="B468" s="31" t="s">
        <v>81</v>
      </c>
      <c r="C468" s="31" t="s">
        <v>42</v>
      </c>
      <c r="D468" s="32" t="s">
        <v>43</v>
      </c>
      <c r="E468" s="33"/>
      <c r="F468" s="33"/>
      <c r="G468" s="33"/>
      <c r="H468" s="33"/>
      <c r="I468" s="34" t="str">
        <f t="shared" si="33"/>
        <v>0/3</v>
      </c>
    </row>
    <row r="469" spans="1:9" x14ac:dyDescent="0.25">
      <c r="A469" s="30">
        <f>A466</f>
        <v>46405</v>
      </c>
      <c r="B469" s="31" t="s">
        <v>81</v>
      </c>
      <c r="C469" s="31" t="s">
        <v>44</v>
      </c>
      <c r="D469" s="32" t="s">
        <v>45</v>
      </c>
      <c r="E469" s="33"/>
      <c r="F469" s="33"/>
      <c r="G469" s="33"/>
      <c r="H469" s="33"/>
      <c r="I469" s="34" t="str">
        <f t="shared" si="33"/>
        <v>0/3</v>
      </c>
    </row>
    <row r="470" spans="1:9" x14ac:dyDescent="0.25">
      <c r="A470" s="30">
        <f>A466</f>
        <v>46405</v>
      </c>
      <c r="B470" s="31" t="s">
        <v>81</v>
      </c>
      <c r="C470" s="31" t="s">
        <v>46</v>
      </c>
      <c r="D470" s="32" t="s">
        <v>47</v>
      </c>
      <c r="E470" s="33"/>
      <c r="F470" s="33"/>
      <c r="G470" s="33"/>
      <c r="H470" s="33"/>
      <c r="I470" s="34" t="str">
        <f t="shared" si="33"/>
        <v>0/3</v>
      </c>
    </row>
    <row r="471" spans="1:9" x14ac:dyDescent="0.25">
      <c r="A471" s="30">
        <f>A466</f>
        <v>46405</v>
      </c>
      <c r="B471" s="31" t="s">
        <v>81</v>
      </c>
      <c r="C471" s="31" t="s">
        <v>48</v>
      </c>
      <c r="D471" s="32" t="s">
        <v>49</v>
      </c>
      <c r="E471" s="33"/>
      <c r="F471" s="33"/>
      <c r="G471" s="33"/>
      <c r="H471" s="33"/>
      <c r="I471" s="34" t="str">
        <f t="shared" si="33"/>
        <v>0/3</v>
      </c>
    </row>
    <row r="472" spans="1:9" x14ac:dyDescent="0.25">
      <c r="A472" s="30">
        <f>A466</f>
        <v>46405</v>
      </c>
      <c r="B472" s="31" t="s">
        <v>81</v>
      </c>
      <c r="C472" s="31" t="s">
        <v>50</v>
      </c>
      <c r="D472" s="32" t="s">
        <v>51</v>
      </c>
      <c r="E472" s="33"/>
      <c r="F472" s="33"/>
      <c r="G472" s="33"/>
      <c r="H472" s="33"/>
      <c r="I472" s="34" t="str">
        <f t="shared" si="33"/>
        <v>0/3</v>
      </c>
    </row>
    <row r="473" spans="1:9" x14ac:dyDescent="0.25">
      <c r="A473" s="30">
        <f>A466</f>
        <v>46405</v>
      </c>
      <c r="B473" s="31" t="s">
        <v>82</v>
      </c>
      <c r="C473" s="31" t="s">
        <v>37</v>
      </c>
      <c r="D473" s="32" t="s">
        <v>39</v>
      </c>
      <c r="E473" s="33"/>
      <c r="F473" s="33"/>
      <c r="G473" s="33"/>
      <c r="H473" s="33"/>
      <c r="I473" s="34" t="str">
        <f>COUNTA(E473:H473)&amp;"/4"</f>
        <v>0/4</v>
      </c>
    </row>
    <row r="474" spans="1:9" ht="30" x14ac:dyDescent="0.25">
      <c r="A474" s="30">
        <f>A466</f>
        <v>46405</v>
      </c>
      <c r="B474" s="31" t="s">
        <v>82</v>
      </c>
      <c r="C474" s="31" t="s">
        <v>40</v>
      </c>
      <c r="D474" s="32" t="s">
        <v>41</v>
      </c>
      <c r="E474" s="33"/>
      <c r="F474" s="33"/>
      <c r="G474" s="33"/>
      <c r="H474" s="33"/>
      <c r="I474" s="34" t="str">
        <f t="shared" ref="I474:I486" si="34">COUNTA(E474:G474)&amp;"/3"</f>
        <v>0/3</v>
      </c>
    </row>
    <row r="475" spans="1:9" x14ac:dyDescent="0.25">
      <c r="A475" s="30">
        <f>A466</f>
        <v>46405</v>
      </c>
      <c r="B475" s="31" t="s">
        <v>82</v>
      </c>
      <c r="C475" s="31" t="s">
        <v>42</v>
      </c>
      <c r="D475" s="32" t="s">
        <v>43</v>
      </c>
      <c r="E475" s="33"/>
      <c r="F475" s="33"/>
      <c r="G475" s="33"/>
      <c r="H475" s="33"/>
      <c r="I475" s="34" t="str">
        <f t="shared" si="34"/>
        <v>0/3</v>
      </c>
    </row>
    <row r="476" spans="1:9" x14ac:dyDescent="0.25">
      <c r="A476" s="30">
        <f>A466</f>
        <v>46405</v>
      </c>
      <c r="B476" s="31" t="s">
        <v>82</v>
      </c>
      <c r="C476" s="31" t="s">
        <v>44</v>
      </c>
      <c r="D476" s="32" t="s">
        <v>45</v>
      </c>
      <c r="E476" s="33"/>
      <c r="F476" s="33"/>
      <c r="G476" s="33"/>
      <c r="H476" s="33"/>
      <c r="I476" s="34" t="str">
        <f t="shared" si="34"/>
        <v>0/3</v>
      </c>
    </row>
    <row r="477" spans="1:9" x14ac:dyDescent="0.25">
      <c r="A477" s="30">
        <f>A466</f>
        <v>46405</v>
      </c>
      <c r="B477" s="31" t="s">
        <v>82</v>
      </c>
      <c r="C477" s="31" t="s">
        <v>46</v>
      </c>
      <c r="D477" s="32" t="s">
        <v>47</v>
      </c>
      <c r="E477" s="33"/>
      <c r="F477" s="33"/>
      <c r="G477" s="33"/>
      <c r="H477" s="33"/>
      <c r="I477" s="34" t="str">
        <f t="shared" si="34"/>
        <v>0/3</v>
      </c>
    </row>
    <row r="478" spans="1:9" x14ac:dyDescent="0.25">
      <c r="A478" s="30">
        <f>A466</f>
        <v>46405</v>
      </c>
      <c r="B478" s="31" t="s">
        <v>82</v>
      </c>
      <c r="C478" s="31" t="s">
        <v>48</v>
      </c>
      <c r="D478" s="32" t="s">
        <v>49</v>
      </c>
      <c r="E478" s="33"/>
      <c r="F478" s="33"/>
      <c r="G478" s="33"/>
      <c r="H478" s="33"/>
      <c r="I478" s="34" t="str">
        <f t="shared" si="34"/>
        <v>0/3</v>
      </c>
    </row>
    <row r="479" spans="1:9" x14ac:dyDescent="0.25">
      <c r="A479" s="30">
        <f>A466</f>
        <v>46405</v>
      </c>
      <c r="B479" s="31" t="s">
        <v>82</v>
      </c>
      <c r="C479" s="31" t="s">
        <v>50</v>
      </c>
      <c r="D479" s="32" t="s">
        <v>51</v>
      </c>
      <c r="E479" s="33"/>
      <c r="F479" s="33"/>
      <c r="G479" s="33"/>
      <c r="H479" s="33"/>
      <c r="I479" s="34" t="str">
        <f t="shared" si="34"/>
        <v>0/3</v>
      </c>
    </row>
    <row r="480" spans="1:9" x14ac:dyDescent="0.25">
      <c r="A480" s="30">
        <f>A466+7</f>
        <v>46412</v>
      </c>
      <c r="B480" s="31" t="s">
        <v>81</v>
      </c>
      <c r="C480" s="31" t="s">
        <v>37</v>
      </c>
      <c r="D480" s="32" t="s">
        <v>39</v>
      </c>
      <c r="E480" s="33"/>
      <c r="F480" s="33"/>
      <c r="G480" s="33"/>
      <c r="H480" s="33"/>
      <c r="I480" s="34" t="str">
        <f t="shared" si="34"/>
        <v>0/3</v>
      </c>
    </row>
    <row r="481" spans="1:9" ht="30" x14ac:dyDescent="0.25">
      <c r="A481" s="30">
        <f>A480</f>
        <v>46412</v>
      </c>
      <c r="B481" s="31" t="s">
        <v>81</v>
      </c>
      <c r="C481" s="31" t="s">
        <v>40</v>
      </c>
      <c r="D481" s="32" t="s">
        <v>41</v>
      </c>
      <c r="E481" s="33"/>
      <c r="F481" s="33"/>
      <c r="G481" s="33"/>
      <c r="H481" s="33"/>
      <c r="I481" s="34" t="str">
        <f t="shared" si="34"/>
        <v>0/3</v>
      </c>
    </row>
    <row r="482" spans="1:9" x14ac:dyDescent="0.25">
      <c r="A482" s="30">
        <f>A480</f>
        <v>46412</v>
      </c>
      <c r="B482" s="31" t="s">
        <v>81</v>
      </c>
      <c r="C482" s="31" t="s">
        <v>42</v>
      </c>
      <c r="D482" s="32" t="s">
        <v>43</v>
      </c>
      <c r="E482" s="33"/>
      <c r="F482" s="33"/>
      <c r="G482" s="33"/>
      <c r="H482" s="33"/>
      <c r="I482" s="34" t="str">
        <f t="shared" si="34"/>
        <v>0/3</v>
      </c>
    </row>
    <row r="483" spans="1:9" x14ac:dyDescent="0.25">
      <c r="A483" s="30">
        <f>A480</f>
        <v>46412</v>
      </c>
      <c r="B483" s="31" t="s">
        <v>81</v>
      </c>
      <c r="C483" s="31" t="s">
        <v>44</v>
      </c>
      <c r="D483" s="32" t="s">
        <v>45</v>
      </c>
      <c r="E483" s="33"/>
      <c r="F483" s="33"/>
      <c r="G483" s="33"/>
      <c r="H483" s="33"/>
      <c r="I483" s="34" t="str">
        <f t="shared" si="34"/>
        <v>0/3</v>
      </c>
    </row>
    <row r="484" spans="1:9" x14ac:dyDescent="0.25">
      <c r="A484" s="30">
        <f>A480</f>
        <v>46412</v>
      </c>
      <c r="B484" s="31" t="s">
        <v>81</v>
      </c>
      <c r="C484" s="31" t="s">
        <v>46</v>
      </c>
      <c r="D484" s="32" t="s">
        <v>47</v>
      </c>
      <c r="E484" s="33"/>
      <c r="F484" s="33"/>
      <c r="G484" s="33"/>
      <c r="H484" s="33"/>
      <c r="I484" s="34" t="str">
        <f t="shared" si="34"/>
        <v>0/3</v>
      </c>
    </row>
    <row r="485" spans="1:9" x14ac:dyDescent="0.25">
      <c r="A485" s="30">
        <f>A480</f>
        <v>46412</v>
      </c>
      <c r="B485" s="31" t="s">
        <v>81</v>
      </c>
      <c r="C485" s="31" t="s">
        <v>48</v>
      </c>
      <c r="D485" s="32" t="s">
        <v>49</v>
      </c>
      <c r="E485" s="33"/>
      <c r="F485" s="33"/>
      <c r="G485" s="33"/>
      <c r="H485" s="33"/>
      <c r="I485" s="34" t="str">
        <f t="shared" si="34"/>
        <v>0/3</v>
      </c>
    </row>
    <row r="486" spans="1:9" x14ac:dyDescent="0.25">
      <c r="A486" s="30">
        <f>A480</f>
        <v>46412</v>
      </c>
      <c r="B486" s="31" t="s">
        <v>81</v>
      </c>
      <c r="C486" s="31" t="s">
        <v>50</v>
      </c>
      <c r="D486" s="32" t="s">
        <v>51</v>
      </c>
      <c r="E486" s="33"/>
      <c r="F486" s="33"/>
      <c r="G486" s="33"/>
      <c r="H486" s="33"/>
      <c r="I486" s="34" t="str">
        <f t="shared" si="34"/>
        <v>0/3</v>
      </c>
    </row>
    <row r="487" spans="1:9" x14ac:dyDescent="0.25">
      <c r="A487" s="30">
        <f>A480</f>
        <v>46412</v>
      </c>
      <c r="B487" s="31" t="s">
        <v>82</v>
      </c>
      <c r="C487" s="31" t="s">
        <v>37</v>
      </c>
      <c r="D487" s="32" t="s">
        <v>39</v>
      </c>
      <c r="E487" s="33"/>
      <c r="F487" s="33"/>
      <c r="G487" s="33"/>
      <c r="H487" s="33"/>
      <c r="I487" s="34" t="str">
        <f>COUNTA(E487:H487)&amp;"/4"</f>
        <v>0/4</v>
      </c>
    </row>
    <row r="488" spans="1:9" ht="30" x14ac:dyDescent="0.25">
      <c r="A488" s="30">
        <f>A480</f>
        <v>46412</v>
      </c>
      <c r="B488" s="31" t="s">
        <v>82</v>
      </c>
      <c r="C488" s="31" t="s">
        <v>40</v>
      </c>
      <c r="D488" s="32" t="s">
        <v>41</v>
      </c>
      <c r="E488" s="33"/>
      <c r="F488" s="33"/>
      <c r="G488" s="33"/>
      <c r="H488" s="33"/>
      <c r="I488" s="34" t="str">
        <f t="shared" ref="I488:I500" si="35">COUNTA(E488:G488)&amp;"/3"</f>
        <v>0/3</v>
      </c>
    </row>
    <row r="489" spans="1:9" x14ac:dyDescent="0.25">
      <c r="A489" s="30">
        <f>A480</f>
        <v>46412</v>
      </c>
      <c r="B489" s="31" t="s">
        <v>82</v>
      </c>
      <c r="C489" s="31" t="s">
        <v>42</v>
      </c>
      <c r="D489" s="32" t="s">
        <v>43</v>
      </c>
      <c r="E489" s="33"/>
      <c r="F489" s="33"/>
      <c r="G489" s="33"/>
      <c r="H489" s="33"/>
      <c r="I489" s="34" t="str">
        <f t="shared" si="35"/>
        <v>0/3</v>
      </c>
    </row>
    <row r="490" spans="1:9" x14ac:dyDescent="0.25">
      <c r="A490" s="30">
        <f>A480</f>
        <v>46412</v>
      </c>
      <c r="B490" s="31" t="s">
        <v>82</v>
      </c>
      <c r="C490" s="31" t="s">
        <v>44</v>
      </c>
      <c r="D490" s="32" t="s">
        <v>45</v>
      </c>
      <c r="E490" s="33"/>
      <c r="F490" s="33"/>
      <c r="G490" s="33"/>
      <c r="H490" s="33"/>
      <c r="I490" s="34" t="str">
        <f t="shared" si="35"/>
        <v>0/3</v>
      </c>
    </row>
    <row r="491" spans="1:9" x14ac:dyDescent="0.25">
      <c r="A491" s="30">
        <f>A480</f>
        <v>46412</v>
      </c>
      <c r="B491" s="31" t="s">
        <v>82</v>
      </c>
      <c r="C491" s="31" t="s">
        <v>46</v>
      </c>
      <c r="D491" s="32" t="s">
        <v>47</v>
      </c>
      <c r="E491" s="33"/>
      <c r="F491" s="33"/>
      <c r="G491" s="33"/>
      <c r="H491" s="33"/>
      <c r="I491" s="34" t="str">
        <f t="shared" si="35"/>
        <v>0/3</v>
      </c>
    </row>
    <row r="492" spans="1:9" x14ac:dyDescent="0.25">
      <c r="A492" s="30">
        <f>A480</f>
        <v>46412</v>
      </c>
      <c r="B492" s="31" t="s">
        <v>82</v>
      </c>
      <c r="C492" s="31" t="s">
        <v>48</v>
      </c>
      <c r="D492" s="32" t="s">
        <v>49</v>
      </c>
      <c r="E492" s="33"/>
      <c r="F492" s="33"/>
      <c r="G492" s="33"/>
      <c r="H492" s="33"/>
      <c r="I492" s="34" t="str">
        <f t="shared" si="35"/>
        <v>0/3</v>
      </c>
    </row>
    <row r="493" spans="1:9" x14ac:dyDescent="0.25">
      <c r="A493" s="30">
        <f>A480</f>
        <v>46412</v>
      </c>
      <c r="B493" s="31" t="s">
        <v>82</v>
      </c>
      <c r="C493" s="31" t="s">
        <v>50</v>
      </c>
      <c r="D493" s="32" t="s">
        <v>51</v>
      </c>
      <c r="E493" s="33"/>
      <c r="F493" s="33"/>
      <c r="G493" s="33"/>
      <c r="H493" s="33"/>
      <c r="I493" s="34" t="str">
        <f t="shared" si="35"/>
        <v>0/3</v>
      </c>
    </row>
    <row r="494" spans="1:9" x14ac:dyDescent="0.25">
      <c r="A494" s="30">
        <f>A480+7</f>
        <v>46419</v>
      </c>
      <c r="B494" s="31" t="s">
        <v>81</v>
      </c>
      <c r="C494" s="31" t="s">
        <v>37</v>
      </c>
      <c r="D494" s="32" t="s">
        <v>39</v>
      </c>
      <c r="E494" s="33"/>
      <c r="F494" s="33"/>
      <c r="G494" s="33"/>
      <c r="H494" s="33"/>
      <c r="I494" s="34" t="str">
        <f t="shared" si="35"/>
        <v>0/3</v>
      </c>
    </row>
    <row r="495" spans="1:9" ht="30" x14ac:dyDescent="0.25">
      <c r="A495" s="30">
        <f>A494</f>
        <v>46419</v>
      </c>
      <c r="B495" s="31" t="s">
        <v>81</v>
      </c>
      <c r="C495" s="31" t="s">
        <v>40</v>
      </c>
      <c r="D495" s="32" t="s">
        <v>41</v>
      </c>
      <c r="E495" s="33"/>
      <c r="F495" s="33"/>
      <c r="G495" s="33"/>
      <c r="H495" s="33"/>
      <c r="I495" s="34" t="str">
        <f t="shared" si="35"/>
        <v>0/3</v>
      </c>
    </row>
    <row r="496" spans="1:9" x14ac:dyDescent="0.25">
      <c r="A496" s="30">
        <f>A494</f>
        <v>46419</v>
      </c>
      <c r="B496" s="31" t="s">
        <v>81</v>
      </c>
      <c r="C496" s="31" t="s">
        <v>42</v>
      </c>
      <c r="D496" s="32" t="s">
        <v>43</v>
      </c>
      <c r="E496" s="33"/>
      <c r="F496" s="33"/>
      <c r="G496" s="33"/>
      <c r="H496" s="33"/>
      <c r="I496" s="34" t="str">
        <f t="shared" si="35"/>
        <v>0/3</v>
      </c>
    </row>
    <row r="497" spans="1:9" x14ac:dyDescent="0.25">
      <c r="A497" s="30">
        <f>A494</f>
        <v>46419</v>
      </c>
      <c r="B497" s="31" t="s">
        <v>81</v>
      </c>
      <c r="C497" s="31" t="s">
        <v>44</v>
      </c>
      <c r="D497" s="32" t="s">
        <v>45</v>
      </c>
      <c r="E497" s="33"/>
      <c r="F497" s="33"/>
      <c r="G497" s="33"/>
      <c r="H497" s="33"/>
      <c r="I497" s="34" t="str">
        <f t="shared" si="35"/>
        <v>0/3</v>
      </c>
    </row>
    <row r="498" spans="1:9" x14ac:dyDescent="0.25">
      <c r="A498" s="30">
        <f>A494</f>
        <v>46419</v>
      </c>
      <c r="B498" s="31" t="s">
        <v>81</v>
      </c>
      <c r="C498" s="31" t="s">
        <v>46</v>
      </c>
      <c r="D498" s="32" t="s">
        <v>47</v>
      </c>
      <c r="E498" s="33"/>
      <c r="F498" s="33"/>
      <c r="G498" s="33"/>
      <c r="H498" s="33"/>
      <c r="I498" s="34" t="str">
        <f t="shared" si="35"/>
        <v>0/3</v>
      </c>
    </row>
    <row r="499" spans="1:9" x14ac:dyDescent="0.25">
      <c r="A499" s="30">
        <f>A494</f>
        <v>46419</v>
      </c>
      <c r="B499" s="31" t="s">
        <v>81</v>
      </c>
      <c r="C499" s="31" t="s">
        <v>48</v>
      </c>
      <c r="D499" s="32" t="s">
        <v>49</v>
      </c>
      <c r="E499" s="33"/>
      <c r="F499" s="33"/>
      <c r="G499" s="33"/>
      <c r="H499" s="33"/>
      <c r="I499" s="34" t="str">
        <f t="shared" si="35"/>
        <v>0/3</v>
      </c>
    </row>
    <row r="500" spans="1:9" x14ac:dyDescent="0.25">
      <c r="A500" s="30">
        <f>A494</f>
        <v>46419</v>
      </c>
      <c r="B500" s="31" t="s">
        <v>81</v>
      </c>
      <c r="C500" s="31" t="s">
        <v>50</v>
      </c>
      <c r="D500" s="32" t="s">
        <v>51</v>
      </c>
      <c r="E500" s="33"/>
      <c r="F500" s="33"/>
      <c r="G500" s="33"/>
      <c r="H500" s="33"/>
      <c r="I500" s="34" t="str">
        <f t="shared" si="35"/>
        <v>0/3</v>
      </c>
    </row>
    <row r="501" spans="1:9" x14ac:dyDescent="0.25">
      <c r="A501" s="30">
        <f>A494</f>
        <v>46419</v>
      </c>
      <c r="B501" s="31" t="s">
        <v>82</v>
      </c>
      <c r="C501" s="31" t="s">
        <v>37</v>
      </c>
      <c r="D501" s="32" t="s">
        <v>39</v>
      </c>
      <c r="E501" s="33"/>
      <c r="F501" s="33"/>
      <c r="G501" s="33"/>
      <c r="H501" s="33"/>
      <c r="I501" s="34" t="str">
        <f>COUNTA(E501:H501)&amp;"/4"</f>
        <v>0/4</v>
      </c>
    </row>
    <row r="502" spans="1:9" ht="30" x14ac:dyDescent="0.25">
      <c r="A502" s="30">
        <f>A494</f>
        <v>46419</v>
      </c>
      <c r="B502" s="31" t="s">
        <v>82</v>
      </c>
      <c r="C502" s="31" t="s">
        <v>40</v>
      </c>
      <c r="D502" s="32" t="s">
        <v>41</v>
      </c>
      <c r="E502" s="33"/>
      <c r="F502" s="33"/>
      <c r="G502" s="33"/>
      <c r="H502" s="33"/>
      <c r="I502" s="34" t="str">
        <f t="shared" ref="I502:I514" si="36">COUNTA(E502:G502)&amp;"/3"</f>
        <v>0/3</v>
      </c>
    </row>
    <row r="503" spans="1:9" x14ac:dyDescent="0.25">
      <c r="A503" s="30">
        <f>A494</f>
        <v>46419</v>
      </c>
      <c r="B503" s="31" t="s">
        <v>82</v>
      </c>
      <c r="C503" s="31" t="s">
        <v>42</v>
      </c>
      <c r="D503" s="32" t="s">
        <v>43</v>
      </c>
      <c r="E503" s="33"/>
      <c r="F503" s="33"/>
      <c r="G503" s="33"/>
      <c r="H503" s="33"/>
      <c r="I503" s="34" t="str">
        <f t="shared" si="36"/>
        <v>0/3</v>
      </c>
    </row>
    <row r="504" spans="1:9" x14ac:dyDescent="0.25">
      <c r="A504" s="30">
        <f>A494</f>
        <v>46419</v>
      </c>
      <c r="B504" s="31" t="s">
        <v>82</v>
      </c>
      <c r="C504" s="31" t="s">
        <v>44</v>
      </c>
      <c r="D504" s="32" t="s">
        <v>45</v>
      </c>
      <c r="E504" s="33"/>
      <c r="F504" s="33"/>
      <c r="G504" s="33"/>
      <c r="H504" s="33"/>
      <c r="I504" s="34" t="str">
        <f t="shared" si="36"/>
        <v>0/3</v>
      </c>
    </row>
    <row r="505" spans="1:9" x14ac:dyDescent="0.25">
      <c r="A505" s="30">
        <f>A494</f>
        <v>46419</v>
      </c>
      <c r="B505" s="31" t="s">
        <v>82</v>
      </c>
      <c r="C505" s="31" t="s">
        <v>46</v>
      </c>
      <c r="D505" s="32" t="s">
        <v>47</v>
      </c>
      <c r="E505" s="33"/>
      <c r="F505" s="33"/>
      <c r="G505" s="33"/>
      <c r="H505" s="33"/>
      <c r="I505" s="34" t="str">
        <f t="shared" si="36"/>
        <v>0/3</v>
      </c>
    </row>
    <row r="506" spans="1:9" x14ac:dyDescent="0.25">
      <c r="A506" s="30">
        <f>A494</f>
        <v>46419</v>
      </c>
      <c r="B506" s="31" t="s">
        <v>82</v>
      </c>
      <c r="C506" s="31" t="s">
        <v>48</v>
      </c>
      <c r="D506" s="32" t="s">
        <v>49</v>
      </c>
      <c r="E506" s="33"/>
      <c r="F506" s="33"/>
      <c r="G506" s="33"/>
      <c r="H506" s="33"/>
      <c r="I506" s="34" t="str">
        <f t="shared" si="36"/>
        <v>0/3</v>
      </c>
    </row>
    <row r="507" spans="1:9" x14ac:dyDescent="0.25">
      <c r="A507" s="30">
        <f>A494</f>
        <v>46419</v>
      </c>
      <c r="B507" s="31" t="s">
        <v>82</v>
      </c>
      <c r="C507" s="31" t="s">
        <v>50</v>
      </c>
      <c r="D507" s="32" t="s">
        <v>51</v>
      </c>
      <c r="E507" s="33"/>
      <c r="F507" s="33"/>
      <c r="G507" s="33"/>
      <c r="H507" s="33"/>
      <c r="I507" s="34" t="str">
        <f t="shared" si="36"/>
        <v>0/3</v>
      </c>
    </row>
    <row r="508" spans="1:9" x14ac:dyDescent="0.25">
      <c r="A508" s="30">
        <f>A494+7</f>
        <v>46426</v>
      </c>
      <c r="B508" s="31" t="s">
        <v>81</v>
      </c>
      <c r="C508" s="31" t="s">
        <v>37</v>
      </c>
      <c r="D508" s="32" t="s">
        <v>39</v>
      </c>
      <c r="E508" s="33"/>
      <c r="F508" s="33"/>
      <c r="G508" s="33"/>
      <c r="H508" s="33"/>
      <c r="I508" s="34" t="str">
        <f t="shared" si="36"/>
        <v>0/3</v>
      </c>
    </row>
    <row r="509" spans="1:9" ht="30" x14ac:dyDescent="0.25">
      <c r="A509" s="30">
        <f>A508</f>
        <v>46426</v>
      </c>
      <c r="B509" s="31" t="s">
        <v>81</v>
      </c>
      <c r="C509" s="31" t="s">
        <v>40</v>
      </c>
      <c r="D509" s="32" t="s">
        <v>41</v>
      </c>
      <c r="E509" s="33"/>
      <c r="F509" s="33"/>
      <c r="G509" s="33"/>
      <c r="H509" s="33"/>
      <c r="I509" s="34" t="str">
        <f t="shared" si="36"/>
        <v>0/3</v>
      </c>
    </row>
    <row r="510" spans="1:9" x14ac:dyDescent="0.25">
      <c r="A510" s="30">
        <f>A508</f>
        <v>46426</v>
      </c>
      <c r="B510" s="31" t="s">
        <v>81</v>
      </c>
      <c r="C510" s="31" t="s">
        <v>42</v>
      </c>
      <c r="D510" s="32" t="s">
        <v>43</v>
      </c>
      <c r="E510" s="33"/>
      <c r="F510" s="33"/>
      <c r="G510" s="33"/>
      <c r="H510" s="33"/>
      <c r="I510" s="34" t="str">
        <f t="shared" si="36"/>
        <v>0/3</v>
      </c>
    </row>
    <row r="511" spans="1:9" x14ac:dyDescent="0.25">
      <c r="A511" s="30">
        <f>A508</f>
        <v>46426</v>
      </c>
      <c r="B511" s="31" t="s">
        <v>81</v>
      </c>
      <c r="C511" s="31" t="s">
        <v>44</v>
      </c>
      <c r="D511" s="32" t="s">
        <v>45</v>
      </c>
      <c r="E511" s="33"/>
      <c r="F511" s="33"/>
      <c r="G511" s="33"/>
      <c r="H511" s="33"/>
      <c r="I511" s="34" t="str">
        <f t="shared" si="36"/>
        <v>0/3</v>
      </c>
    </row>
    <row r="512" spans="1:9" x14ac:dyDescent="0.25">
      <c r="A512" s="30">
        <f>A508</f>
        <v>46426</v>
      </c>
      <c r="B512" s="31" t="s">
        <v>81</v>
      </c>
      <c r="C512" s="31" t="s">
        <v>46</v>
      </c>
      <c r="D512" s="32" t="s">
        <v>47</v>
      </c>
      <c r="E512" s="33"/>
      <c r="F512" s="33"/>
      <c r="G512" s="33"/>
      <c r="H512" s="33"/>
      <c r="I512" s="34" t="str">
        <f t="shared" si="36"/>
        <v>0/3</v>
      </c>
    </row>
    <row r="513" spans="1:9" x14ac:dyDescent="0.25">
      <c r="A513" s="30">
        <f>A508</f>
        <v>46426</v>
      </c>
      <c r="B513" s="31" t="s">
        <v>81</v>
      </c>
      <c r="C513" s="31" t="s">
        <v>48</v>
      </c>
      <c r="D513" s="32" t="s">
        <v>49</v>
      </c>
      <c r="E513" s="33"/>
      <c r="F513" s="33"/>
      <c r="G513" s="33"/>
      <c r="H513" s="33"/>
      <c r="I513" s="34" t="str">
        <f t="shared" si="36"/>
        <v>0/3</v>
      </c>
    </row>
    <row r="514" spans="1:9" x14ac:dyDescent="0.25">
      <c r="A514" s="30">
        <f>A508</f>
        <v>46426</v>
      </c>
      <c r="B514" s="31" t="s">
        <v>81</v>
      </c>
      <c r="C514" s="31" t="s">
        <v>50</v>
      </c>
      <c r="D514" s="32" t="s">
        <v>51</v>
      </c>
      <c r="E514" s="33"/>
      <c r="F514" s="33"/>
      <c r="G514" s="33"/>
      <c r="H514" s="33"/>
      <c r="I514" s="34" t="str">
        <f t="shared" si="36"/>
        <v>0/3</v>
      </c>
    </row>
    <row r="515" spans="1:9" x14ac:dyDescent="0.25">
      <c r="A515" s="30">
        <f>A508</f>
        <v>46426</v>
      </c>
      <c r="B515" s="31" t="s">
        <v>82</v>
      </c>
      <c r="C515" s="31" t="s">
        <v>37</v>
      </c>
      <c r="D515" s="32" t="s">
        <v>39</v>
      </c>
      <c r="E515" s="33"/>
      <c r="F515" s="33"/>
      <c r="G515" s="33"/>
      <c r="H515" s="33"/>
      <c r="I515" s="34" t="str">
        <f>COUNTA(E515:H515)&amp;"/4"</f>
        <v>0/4</v>
      </c>
    </row>
    <row r="516" spans="1:9" ht="30" x14ac:dyDescent="0.25">
      <c r="A516" s="30">
        <f>A508</f>
        <v>46426</v>
      </c>
      <c r="B516" s="31" t="s">
        <v>82</v>
      </c>
      <c r="C516" s="31" t="s">
        <v>40</v>
      </c>
      <c r="D516" s="32" t="s">
        <v>41</v>
      </c>
      <c r="E516" s="33"/>
      <c r="F516" s="33"/>
      <c r="G516" s="33"/>
      <c r="H516" s="33"/>
      <c r="I516" s="34" t="str">
        <f t="shared" ref="I516:I528" si="37">COUNTA(E516:G516)&amp;"/3"</f>
        <v>0/3</v>
      </c>
    </row>
    <row r="517" spans="1:9" x14ac:dyDescent="0.25">
      <c r="A517" s="30">
        <f>A508</f>
        <v>46426</v>
      </c>
      <c r="B517" s="31" t="s">
        <v>82</v>
      </c>
      <c r="C517" s="31" t="s">
        <v>42</v>
      </c>
      <c r="D517" s="32" t="s">
        <v>43</v>
      </c>
      <c r="E517" s="33"/>
      <c r="F517" s="33"/>
      <c r="G517" s="33"/>
      <c r="H517" s="33"/>
      <c r="I517" s="34" t="str">
        <f t="shared" si="37"/>
        <v>0/3</v>
      </c>
    </row>
    <row r="518" spans="1:9" x14ac:dyDescent="0.25">
      <c r="A518" s="30">
        <f>A508</f>
        <v>46426</v>
      </c>
      <c r="B518" s="31" t="s">
        <v>82</v>
      </c>
      <c r="C518" s="31" t="s">
        <v>44</v>
      </c>
      <c r="D518" s="32" t="s">
        <v>45</v>
      </c>
      <c r="E518" s="33"/>
      <c r="F518" s="33"/>
      <c r="G518" s="33"/>
      <c r="H518" s="33"/>
      <c r="I518" s="34" t="str">
        <f t="shared" si="37"/>
        <v>0/3</v>
      </c>
    </row>
    <row r="519" spans="1:9" x14ac:dyDescent="0.25">
      <c r="A519" s="30">
        <f>A508</f>
        <v>46426</v>
      </c>
      <c r="B519" s="31" t="s">
        <v>82</v>
      </c>
      <c r="C519" s="31" t="s">
        <v>46</v>
      </c>
      <c r="D519" s="32" t="s">
        <v>47</v>
      </c>
      <c r="E519" s="33"/>
      <c r="F519" s="33"/>
      <c r="G519" s="33"/>
      <c r="H519" s="33"/>
      <c r="I519" s="34" t="str">
        <f t="shared" si="37"/>
        <v>0/3</v>
      </c>
    </row>
    <row r="520" spans="1:9" x14ac:dyDescent="0.25">
      <c r="A520" s="30">
        <f>A508</f>
        <v>46426</v>
      </c>
      <c r="B520" s="31" t="s">
        <v>82</v>
      </c>
      <c r="C520" s="31" t="s">
        <v>48</v>
      </c>
      <c r="D520" s="32" t="s">
        <v>49</v>
      </c>
      <c r="E520" s="33"/>
      <c r="F520" s="33"/>
      <c r="G520" s="33"/>
      <c r="H520" s="33"/>
      <c r="I520" s="34" t="str">
        <f t="shared" si="37"/>
        <v>0/3</v>
      </c>
    </row>
    <row r="521" spans="1:9" x14ac:dyDescent="0.25">
      <c r="A521" s="30">
        <f>A508</f>
        <v>46426</v>
      </c>
      <c r="B521" s="31" t="s">
        <v>82</v>
      </c>
      <c r="C521" s="31" t="s">
        <v>50</v>
      </c>
      <c r="D521" s="32" t="s">
        <v>51</v>
      </c>
      <c r="E521" s="33"/>
      <c r="F521" s="33"/>
      <c r="G521" s="33"/>
      <c r="H521" s="33"/>
      <c r="I521" s="34" t="str">
        <f t="shared" si="37"/>
        <v>0/3</v>
      </c>
    </row>
    <row r="522" spans="1:9" x14ac:dyDescent="0.25">
      <c r="A522" s="30">
        <f>A508+7</f>
        <v>46433</v>
      </c>
      <c r="B522" s="31" t="s">
        <v>81</v>
      </c>
      <c r="C522" s="31" t="s">
        <v>37</v>
      </c>
      <c r="D522" s="32" t="s">
        <v>39</v>
      </c>
      <c r="E522" s="33"/>
      <c r="F522" s="33"/>
      <c r="G522" s="33"/>
      <c r="H522" s="33"/>
      <c r="I522" s="34" t="str">
        <f t="shared" si="37"/>
        <v>0/3</v>
      </c>
    </row>
    <row r="523" spans="1:9" ht="30" x14ac:dyDescent="0.25">
      <c r="A523" s="30">
        <f>A522</f>
        <v>46433</v>
      </c>
      <c r="B523" s="31" t="s">
        <v>81</v>
      </c>
      <c r="C523" s="31" t="s">
        <v>40</v>
      </c>
      <c r="D523" s="32" t="s">
        <v>41</v>
      </c>
      <c r="E523" s="33"/>
      <c r="F523" s="33"/>
      <c r="G523" s="33"/>
      <c r="H523" s="33"/>
      <c r="I523" s="34" t="str">
        <f t="shared" si="37"/>
        <v>0/3</v>
      </c>
    </row>
    <row r="524" spans="1:9" x14ac:dyDescent="0.25">
      <c r="A524" s="30">
        <f>A522</f>
        <v>46433</v>
      </c>
      <c r="B524" s="31" t="s">
        <v>81</v>
      </c>
      <c r="C524" s="31" t="s">
        <v>42</v>
      </c>
      <c r="D524" s="32" t="s">
        <v>43</v>
      </c>
      <c r="E524" s="33"/>
      <c r="F524" s="33"/>
      <c r="G524" s="33"/>
      <c r="H524" s="33"/>
      <c r="I524" s="34" t="str">
        <f t="shared" si="37"/>
        <v>0/3</v>
      </c>
    </row>
    <row r="525" spans="1:9" x14ac:dyDescent="0.25">
      <c r="A525" s="30">
        <f>A522</f>
        <v>46433</v>
      </c>
      <c r="B525" s="31" t="s">
        <v>81</v>
      </c>
      <c r="C525" s="31" t="s">
        <v>44</v>
      </c>
      <c r="D525" s="32" t="s">
        <v>45</v>
      </c>
      <c r="E525" s="33"/>
      <c r="F525" s="33"/>
      <c r="G525" s="33"/>
      <c r="H525" s="33"/>
      <c r="I525" s="34" t="str">
        <f t="shared" si="37"/>
        <v>0/3</v>
      </c>
    </row>
    <row r="526" spans="1:9" x14ac:dyDescent="0.25">
      <c r="A526" s="30">
        <f>A522</f>
        <v>46433</v>
      </c>
      <c r="B526" s="31" t="s">
        <v>81</v>
      </c>
      <c r="C526" s="31" t="s">
        <v>46</v>
      </c>
      <c r="D526" s="32" t="s">
        <v>47</v>
      </c>
      <c r="E526" s="33"/>
      <c r="F526" s="33"/>
      <c r="G526" s="33"/>
      <c r="H526" s="33"/>
      <c r="I526" s="34" t="str">
        <f t="shared" si="37"/>
        <v>0/3</v>
      </c>
    </row>
    <row r="527" spans="1:9" x14ac:dyDescent="0.25">
      <c r="A527" s="30">
        <f>A522</f>
        <v>46433</v>
      </c>
      <c r="B527" s="31" t="s">
        <v>81</v>
      </c>
      <c r="C527" s="31" t="s">
        <v>48</v>
      </c>
      <c r="D527" s="32" t="s">
        <v>49</v>
      </c>
      <c r="E527" s="33"/>
      <c r="F527" s="33"/>
      <c r="G527" s="33"/>
      <c r="H527" s="33"/>
      <c r="I527" s="34" t="str">
        <f t="shared" si="37"/>
        <v>0/3</v>
      </c>
    </row>
    <row r="528" spans="1:9" x14ac:dyDescent="0.25">
      <c r="A528" s="30">
        <f>A522</f>
        <v>46433</v>
      </c>
      <c r="B528" s="31" t="s">
        <v>81</v>
      </c>
      <c r="C528" s="31" t="s">
        <v>50</v>
      </c>
      <c r="D528" s="32" t="s">
        <v>51</v>
      </c>
      <c r="E528" s="33"/>
      <c r="F528" s="33"/>
      <c r="G528" s="33"/>
      <c r="H528" s="33"/>
      <c r="I528" s="34" t="str">
        <f t="shared" si="37"/>
        <v>0/3</v>
      </c>
    </row>
    <row r="529" spans="1:9" x14ac:dyDescent="0.25">
      <c r="A529" s="30">
        <f>A522</f>
        <v>46433</v>
      </c>
      <c r="B529" s="31" t="s">
        <v>82</v>
      </c>
      <c r="C529" s="31" t="s">
        <v>37</v>
      </c>
      <c r="D529" s="32" t="s">
        <v>39</v>
      </c>
      <c r="E529" s="33"/>
      <c r="F529" s="33"/>
      <c r="G529" s="33"/>
      <c r="H529" s="33"/>
      <c r="I529" s="34" t="str">
        <f>COUNTA(E529:H529)&amp;"/4"</f>
        <v>0/4</v>
      </c>
    </row>
    <row r="530" spans="1:9" ht="30" x14ac:dyDescent="0.25">
      <c r="A530" s="30">
        <f>A522</f>
        <v>46433</v>
      </c>
      <c r="B530" s="31" t="s">
        <v>82</v>
      </c>
      <c r="C530" s="31" t="s">
        <v>40</v>
      </c>
      <c r="D530" s="32" t="s">
        <v>41</v>
      </c>
      <c r="E530" s="33"/>
      <c r="F530" s="33"/>
      <c r="G530" s="33"/>
      <c r="H530" s="33"/>
      <c r="I530" s="34" t="str">
        <f t="shared" ref="I530:I542" si="38">COUNTA(E530:G530)&amp;"/3"</f>
        <v>0/3</v>
      </c>
    </row>
    <row r="531" spans="1:9" x14ac:dyDescent="0.25">
      <c r="A531" s="30">
        <f>A522</f>
        <v>46433</v>
      </c>
      <c r="B531" s="31" t="s">
        <v>82</v>
      </c>
      <c r="C531" s="31" t="s">
        <v>42</v>
      </c>
      <c r="D531" s="32" t="s">
        <v>43</v>
      </c>
      <c r="E531" s="33"/>
      <c r="F531" s="33"/>
      <c r="G531" s="33"/>
      <c r="H531" s="33"/>
      <c r="I531" s="34" t="str">
        <f t="shared" si="38"/>
        <v>0/3</v>
      </c>
    </row>
    <row r="532" spans="1:9" x14ac:dyDescent="0.25">
      <c r="A532" s="30">
        <f>A522</f>
        <v>46433</v>
      </c>
      <c r="B532" s="31" t="s">
        <v>82</v>
      </c>
      <c r="C532" s="31" t="s">
        <v>44</v>
      </c>
      <c r="D532" s="32" t="s">
        <v>45</v>
      </c>
      <c r="E532" s="33"/>
      <c r="F532" s="33"/>
      <c r="G532" s="33"/>
      <c r="H532" s="33"/>
      <c r="I532" s="34" t="str">
        <f t="shared" si="38"/>
        <v>0/3</v>
      </c>
    </row>
    <row r="533" spans="1:9" x14ac:dyDescent="0.25">
      <c r="A533" s="30">
        <f>A522</f>
        <v>46433</v>
      </c>
      <c r="B533" s="31" t="s">
        <v>82</v>
      </c>
      <c r="C533" s="31" t="s">
        <v>46</v>
      </c>
      <c r="D533" s="32" t="s">
        <v>47</v>
      </c>
      <c r="E533" s="33"/>
      <c r="F533" s="33"/>
      <c r="G533" s="33"/>
      <c r="H533" s="33"/>
      <c r="I533" s="34" t="str">
        <f t="shared" si="38"/>
        <v>0/3</v>
      </c>
    </row>
    <row r="534" spans="1:9" x14ac:dyDescent="0.25">
      <c r="A534" s="30">
        <f>A522</f>
        <v>46433</v>
      </c>
      <c r="B534" s="31" t="s">
        <v>82</v>
      </c>
      <c r="C534" s="31" t="s">
        <v>48</v>
      </c>
      <c r="D534" s="32" t="s">
        <v>49</v>
      </c>
      <c r="E534" s="33"/>
      <c r="F534" s="33"/>
      <c r="G534" s="33"/>
      <c r="H534" s="33"/>
      <c r="I534" s="34" t="str">
        <f t="shared" si="38"/>
        <v>0/3</v>
      </c>
    </row>
    <row r="535" spans="1:9" x14ac:dyDescent="0.25">
      <c r="A535" s="30">
        <f>A522</f>
        <v>46433</v>
      </c>
      <c r="B535" s="31" t="s">
        <v>82</v>
      </c>
      <c r="C535" s="31" t="s">
        <v>50</v>
      </c>
      <c r="D535" s="32" t="s">
        <v>51</v>
      </c>
      <c r="E535" s="33"/>
      <c r="F535" s="33"/>
      <c r="G535" s="33"/>
      <c r="H535" s="33"/>
      <c r="I535" s="34" t="str">
        <f t="shared" si="38"/>
        <v>0/3</v>
      </c>
    </row>
    <row r="536" spans="1:9" x14ac:dyDescent="0.25">
      <c r="A536" s="30">
        <f>A522+7</f>
        <v>46440</v>
      </c>
      <c r="B536" s="31" t="s">
        <v>81</v>
      </c>
      <c r="C536" s="31" t="s">
        <v>37</v>
      </c>
      <c r="D536" s="32" t="s">
        <v>39</v>
      </c>
      <c r="E536" s="33"/>
      <c r="F536" s="33"/>
      <c r="G536" s="33"/>
      <c r="H536" s="33"/>
      <c r="I536" s="34" t="str">
        <f t="shared" si="38"/>
        <v>0/3</v>
      </c>
    </row>
    <row r="537" spans="1:9" ht="30" x14ac:dyDescent="0.25">
      <c r="A537" s="30">
        <f>A536</f>
        <v>46440</v>
      </c>
      <c r="B537" s="31" t="s">
        <v>81</v>
      </c>
      <c r="C537" s="31" t="s">
        <v>40</v>
      </c>
      <c r="D537" s="32" t="s">
        <v>41</v>
      </c>
      <c r="E537" s="33"/>
      <c r="F537" s="33"/>
      <c r="G537" s="33"/>
      <c r="H537" s="33"/>
      <c r="I537" s="34" t="str">
        <f t="shared" si="38"/>
        <v>0/3</v>
      </c>
    </row>
    <row r="538" spans="1:9" x14ac:dyDescent="0.25">
      <c r="A538" s="30">
        <f>A536</f>
        <v>46440</v>
      </c>
      <c r="B538" s="31" t="s">
        <v>81</v>
      </c>
      <c r="C538" s="31" t="s">
        <v>42</v>
      </c>
      <c r="D538" s="32" t="s">
        <v>43</v>
      </c>
      <c r="E538" s="33"/>
      <c r="F538" s="33"/>
      <c r="G538" s="33"/>
      <c r="H538" s="33"/>
      <c r="I538" s="34" t="str">
        <f t="shared" si="38"/>
        <v>0/3</v>
      </c>
    </row>
    <row r="539" spans="1:9" x14ac:dyDescent="0.25">
      <c r="A539" s="30">
        <f>A536</f>
        <v>46440</v>
      </c>
      <c r="B539" s="31" t="s">
        <v>81</v>
      </c>
      <c r="C539" s="31" t="s">
        <v>44</v>
      </c>
      <c r="D539" s="32" t="s">
        <v>45</v>
      </c>
      <c r="E539" s="33"/>
      <c r="F539" s="33"/>
      <c r="G539" s="33"/>
      <c r="H539" s="33"/>
      <c r="I539" s="34" t="str">
        <f t="shared" si="38"/>
        <v>0/3</v>
      </c>
    </row>
    <row r="540" spans="1:9" x14ac:dyDescent="0.25">
      <c r="A540" s="30">
        <f>A536</f>
        <v>46440</v>
      </c>
      <c r="B540" s="31" t="s">
        <v>81</v>
      </c>
      <c r="C540" s="31" t="s">
        <v>46</v>
      </c>
      <c r="D540" s="32" t="s">
        <v>47</v>
      </c>
      <c r="E540" s="33"/>
      <c r="F540" s="33"/>
      <c r="G540" s="33"/>
      <c r="H540" s="33"/>
      <c r="I540" s="34" t="str">
        <f t="shared" si="38"/>
        <v>0/3</v>
      </c>
    </row>
    <row r="541" spans="1:9" x14ac:dyDescent="0.25">
      <c r="A541" s="30">
        <f>A536</f>
        <v>46440</v>
      </c>
      <c r="B541" s="31" t="s">
        <v>81</v>
      </c>
      <c r="C541" s="31" t="s">
        <v>48</v>
      </c>
      <c r="D541" s="32" t="s">
        <v>49</v>
      </c>
      <c r="E541" s="33"/>
      <c r="F541" s="33"/>
      <c r="G541" s="33"/>
      <c r="H541" s="33"/>
      <c r="I541" s="34" t="str">
        <f t="shared" si="38"/>
        <v>0/3</v>
      </c>
    </row>
    <row r="542" spans="1:9" x14ac:dyDescent="0.25">
      <c r="A542" s="30">
        <f>A536</f>
        <v>46440</v>
      </c>
      <c r="B542" s="31" t="s">
        <v>81</v>
      </c>
      <c r="C542" s="31" t="s">
        <v>50</v>
      </c>
      <c r="D542" s="32" t="s">
        <v>51</v>
      </c>
      <c r="E542" s="33"/>
      <c r="F542" s="33"/>
      <c r="G542" s="33"/>
      <c r="H542" s="33"/>
      <c r="I542" s="34" t="str">
        <f t="shared" si="38"/>
        <v>0/3</v>
      </c>
    </row>
    <row r="543" spans="1:9" x14ac:dyDescent="0.25">
      <c r="A543" s="30">
        <f>A536</f>
        <v>46440</v>
      </c>
      <c r="B543" s="31" t="s">
        <v>82</v>
      </c>
      <c r="C543" s="31" t="s">
        <v>37</v>
      </c>
      <c r="D543" s="32" t="s">
        <v>39</v>
      </c>
      <c r="E543" s="33"/>
      <c r="F543" s="33"/>
      <c r="G543" s="33"/>
      <c r="H543" s="33"/>
      <c r="I543" s="34" t="str">
        <f>COUNTA(E543:H543)&amp;"/4"</f>
        <v>0/4</v>
      </c>
    </row>
    <row r="544" spans="1:9" ht="30" x14ac:dyDescent="0.25">
      <c r="A544" s="30">
        <f>A536</f>
        <v>46440</v>
      </c>
      <c r="B544" s="31" t="s">
        <v>82</v>
      </c>
      <c r="C544" s="31" t="s">
        <v>40</v>
      </c>
      <c r="D544" s="32" t="s">
        <v>41</v>
      </c>
      <c r="E544" s="33"/>
      <c r="F544" s="33"/>
      <c r="G544" s="33"/>
      <c r="H544" s="33"/>
      <c r="I544" s="34" t="str">
        <f t="shared" ref="I544:I556" si="39">COUNTA(E544:G544)&amp;"/3"</f>
        <v>0/3</v>
      </c>
    </row>
    <row r="545" spans="1:9" x14ac:dyDescent="0.25">
      <c r="A545" s="30">
        <f>A536</f>
        <v>46440</v>
      </c>
      <c r="B545" s="31" t="s">
        <v>82</v>
      </c>
      <c r="C545" s="31" t="s">
        <v>42</v>
      </c>
      <c r="D545" s="32" t="s">
        <v>43</v>
      </c>
      <c r="E545" s="33"/>
      <c r="F545" s="33"/>
      <c r="G545" s="33"/>
      <c r="H545" s="33"/>
      <c r="I545" s="34" t="str">
        <f t="shared" si="39"/>
        <v>0/3</v>
      </c>
    </row>
    <row r="546" spans="1:9" x14ac:dyDescent="0.25">
      <c r="A546" s="30">
        <f>A536</f>
        <v>46440</v>
      </c>
      <c r="B546" s="31" t="s">
        <v>82</v>
      </c>
      <c r="C546" s="31" t="s">
        <v>44</v>
      </c>
      <c r="D546" s="32" t="s">
        <v>45</v>
      </c>
      <c r="E546" s="33"/>
      <c r="F546" s="33"/>
      <c r="G546" s="33"/>
      <c r="H546" s="33"/>
      <c r="I546" s="34" t="str">
        <f t="shared" si="39"/>
        <v>0/3</v>
      </c>
    </row>
    <row r="547" spans="1:9" x14ac:dyDescent="0.25">
      <c r="A547" s="30">
        <f>A536</f>
        <v>46440</v>
      </c>
      <c r="B547" s="31" t="s">
        <v>82</v>
      </c>
      <c r="C547" s="31" t="s">
        <v>46</v>
      </c>
      <c r="D547" s="32" t="s">
        <v>47</v>
      </c>
      <c r="E547" s="33"/>
      <c r="F547" s="33"/>
      <c r="G547" s="33"/>
      <c r="H547" s="33"/>
      <c r="I547" s="34" t="str">
        <f t="shared" si="39"/>
        <v>0/3</v>
      </c>
    </row>
    <row r="548" spans="1:9" x14ac:dyDescent="0.25">
      <c r="A548" s="30">
        <f>A536</f>
        <v>46440</v>
      </c>
      <c r="B548" s="31" t="s">
        <v>82</v>
      </c>
      <c r="C548" s="31" t="s">
        <v>48</v>
      </c>
      <c r="D548" s="32" t="s">
        <v>49</v>
      </c>
      <c r="E548" s="33"/>
      <c r="F548" s="33"/>
      <c r="G548" s="33"/>
      <c r="H548" s="33"/>
      <c r="I548" s="34" t="str">
        <f t="shared" si="39"/>
        <v>0/3</v>
      </c>
    </row>
    <row r="549" spans="1:9" x14ac:dyDescent="0.25">
      <c r="A549" s="30">
        <f>A536</f>
        <v>46440</v>
      </c>
      <c r="B549" s="31" t="s">
        <v>82</v>
      </c>
      <c r="C549" s="31" t="s">
        <v>50</v>
      </c>
      <c r="D549" s="32" t="s">
        <v>51</v>
      </c>
      <c r="E549" s="33"/>
      <c r="F549" s="33"/>
      <c r="G549" s="33"/>
      <c r="H549" s="33"/>
      <c r="I549" s="34" t="str">
        <f t="shared" si="39"/>
        <v>0/3</v>
      </c>
    </row>
    <row r="550" spans="1:9" x14ac:dyDescent="0.25">
      <c r="A550" s="30">
        <f>A536+7</f>
        <v>46447</v>
      </c>
      <c r="B550" s="31" t="s">
        <v>81</v>
      </c>
      <c r="C550" s="31" t="s">
        <v>37</v>
      </c>
      <c r="D550" s="32" t="s">
        <v>39</v>
      </c>
      <c r="E550" s="33"/>
      <c r="F550" s="33"/>
      <c r="G550" s="33"/>
      <c r="H550" s="33"/>
      <c r="I550" s="34" t="str">
        <f t="shared" si="39"/>
        <v>0/3</v>
      </c>
    </row>
    <row r="551" spans="1:9" ht="30" x14ac:dyDescent="0.25">
      <c r="A551" s="30">
        <f>A550</f>
        <v>46447</v>
      </c>
      <c r="B551" s="31" t="s">
        <v>81</v>
      </c>
      <c r="C551" s="31" t="s">
        <v>40</v>
      </c>
      <c r="D551" s="32" t="s">
        <v>41</v>
      </c>
      <c r="E551" s="33"/>
      <c r="F551" s="33"/>
      <c r="G551" s="33"/>
      <c r="H551" s="33"/>
      <c r="I551" s="34" t="str">
        <f t="shared" si="39"/>
        <v>0/3</v>
      </c>
    </row>
    <row r="552" spans="1:9" x14ac:dyDescent="0.25">
      <c r="A552" s="30">
        <f>A550</f>
        <v>46447</v>
      </c>
      <c r="B552" s="31" t="s">
        <v>81</v>
      </c>
      <c r="C552" s="31" t="s">
        <v>42</v>
      </c>
      <c r="D552" s="32" t="s">
        <v>43</v>
      </c>
      <c r="E552" s="33"/>
      <c r="F552" s="33"/>
      <c r="G552" s="33"/>
      <c r="H552" s="33"/>
      <c r="I552" s="34" t="str">
        <f t="shared" si="39"/>
        <v>0/3</v>
      </c>
    </row>
    <row r="553" spans="1:9" x14ac:dyDescent="0.25">
      <c r="A553" s="30">
        <f>A550</f>
        <v>46447</v>
      </c>
      <c r="B553" s="31" t="s">
        <v>81</v>
      </c>
      <c r="C553" s="31" t="s">
        <v>44</v>
      </c>
      <c r="D553" s="32" t="s">
        <v>45</v>
      </c>
      <c r="E553" s="33"/>
      <c r="F553" s="33"/>
      <c r="G553" s="33"/>
      <c r="H553" s="33"/>
      <c r="I553" s="34" t="str">
        <f t="shared" si="39"/>
        <v>0/3</v>
      </c>
    </row>
    <row r="554" spans="1:9" x14ac:dyDescent="0.25">
      <c r="A554" s="30">
        <f>A550</f>
        <v>46447</v>
      </c>
      <c r="B554" s="31" t="s">
        <v>81</v>
      </c>
      <c r="C554" s="31" t="s">
        <v>46</v>
      </c>
      <c r="D554" s="32" t="s">
        <v>47</v>
      </c>
      <c r="E554" s="33"/>
      <c r="F554" s="33"/>
      <c r="G554" s="33"/>
      <c r="H554" s="33"/>
      <c r="I554" s="34" t="str">
        <f t="shared" si="39"/>
        <v>0/3</v>
      </c>
    </row>
    <row r="555" spans="1:9" x14ac:dyDescent="0.25">
      <c r="A555" s="30">
        <f>A550</f>
        <v>46447</v>
      </c>
      <c r="B555" s="31" t="s">
        <v>81</v>
      </c>
      <c r="C555" s="31" t="s">
        <v>48</v>
      </c>
      <c r="D555" s="32" t="s">
        <v>49</v>
      </c>
      <c r="E555" s="33"/>
      <c r="F555" s="33"/>
      <c r="G555" s="33"/>
      <c r="H555" s="33"/>
      <c r="I555" s="34" t="str">
        <f t="shared" si="39"/>
        <v>0/3</v>
      </c>
    </row>
    <row r="556" spans="1:9" x14ac:dyDescent="0.25">
      <c r="A556" s="30">
        <f>A550</f>
        <v>46447</v>
      </c>
      <c r="B556" s="31" t="s">
        <v>81</v>
      </c>
      <c r="C556" s="31" t="s">
        <v>50</v>
      </c>
      <c r="D556" s="32" t="s">
        <v>51</v>
      </c>
      <c r="E556" s="33"/>
      <c r="F556" s="33"/>
      <c r="G556" s="33"/>
      <c r="H556" s="33"/>
      <c r="I556" s="34" t="str">
        <f t="shared" si="39"/>
        <v>0/3</v>
      </c>
    </row>
    <row r="557" spans="1:9" x14ac:dyDescent="0.25">
      <c r="A557" s="30">
        <f>A550</f>
        <v>46447</v>
      </c>
      <c r="B557" s="31" t="s">
        <v>82</v>
      </c>
      <c r="C557" s="31" t="s">
        <v>37</v>
      </c>
      <c r="D557" s="32" t="s">
        <v>39</v>
      </c>
      <c r="E557" s="33"/>
      <c r="F557" s="33"/>
      <c r="G557" s="33"/>
      <c r="H557" s="33"/>
      <c r="I557" s="34" t="str">
        <f>COUNTA(E557:H557)&amp;"/4"</f>
        <v>0/4</v>
      </c>
    </row>
    <row r="558" spans="1:9" ht="30" x14ac:dyDescent="0.25">
      <c r="A558" s="30">
        <f>A550</f>
        <v>46447</v>
      </c>
      <c r="B558" s="31" t="s">
        <v>82</v>
      </c>
      <c r="C558" s="31" t="s">
        <v>40</v>
      </c>
      <c r="D558" s="32" t="s">
        <v>41</v>
      </c>
      <c r="E558" s="33"/>
      <c r="F558" s="33"/>
      <c r="G558" s="33"/>
      <c r="H558" s="33"/>
      <c r="I558" s="34" t="str">
        <f t="shared" ref="I558:I570" si="40">COUNTA(E558:G558)&amp;"/3"</f>
        <v>0/3</v>
      </c>
    </row>
    <row r="559" spans="1:9" x14ac:dyDescent="0.25">
      <c r="A559" s="30">
        <f>A550</f>
        <v>46447</v>
      </c>
      <c r="B559" s="31" t="s">
        <v>82</v>
      </c>
      <c r="C559" s="31" t="s">
        <v>42</v>
      </c>
      <c r="D559" s="32" t="s">
        <v>43</v>
      </c>
      <c r="E559" s="33"/>
      <c r="F559" s="33"/>
      <c r="G559" s="33"/>
      <c r="H559" s="33"/>
      <c r="I559" s="34" t="str">
        <f t="shared" si="40"/>
        <v>0/3</v>
      </c>
    </row>
    <row r="560" spans="1:9" x14ac:dyDescent="0.25">
      <c r="A560" s="30">
        <f>A550</f>
        <v>46447</v>
      </c>
      <c r="B560" s="31" t="s">
        <v>82</v>
      </c>
      <c r="C560" s="31" t="s">
        <v>44</v>
      </c>
      <c r="D560" s="32" t="s">
        <v>45</v>
      </c>
      <c r="E560" s="33"/>
      <c r="F560" s="33"/>
      <c r="G560" s="33"/>
      <c r="H560" s="33"/>
      <c r="I560" s="34" t="str">
        <f t="shared" si="40"/>
        <v>0/3</v>
      </c>
    </row>
    <row r="561" spans="1:9" x14ac:dyDescent="0.25">
      <c r="A561" s="30">
        <f>A550</f>
        <v>46447</v>
      </c>
      <c r="B561" s="31" t="s">
        <v>82</v>
      </c>
      <c r="C561" s="31" t="s">
        <v>46</v>
      </c>
      <c r="D561" s="32" t="s">
        <v>47</v>
      </c>
      <c r="E561" s="33"/>
      <c r="F561" s="33"/>
      <c r="G561" s="33"/>
      <c r="H561" s="33"/>
      <c r="I561" s="34" t="str">
        <f t="shared" si="40"/>
        <v>0/3</v>
      </c>
    </row>
    <row r="562" spans="1:9" x14ac:dyDescent="0.25">
      <c r="A562" s="30">
        <f>A550</f>
        <v>46447</v>
      </c>
      <c r="B562" s="31" t="s">
        <v>82</v>
      </c>
      <c r="C562" s="31" t="s">
        <v>48</v>
      </c>
      <c r="D562" s="32" t="s">
        <v>49</v>
      </c>
      <c r="E562" s="33"/>
      <c r="F562" s="33"/>
      <c r="G562" s="33"/>
      <c r="H562" s="33"/>
      <c r="I562" s="34" t="str">
        <f t="shared" si="40"/>
        <v>0/3</v>
      </c>
    </row>
    <row r="563" spans="1:9" x14ac:dyDescent="0.25">
      <c r="A563" s="30">
        <f>A550</f>
        <v>46447</v>
      </c>
      <c r="B563" s="31" t="s">
        <v>82</v>
      </c>
      <c r="C563" s="31" t="s">
        <v>50</v>
      </c>
      <c r="D563" s="32" t="s">
        <v>51</v>
      </c>
      <c r="E563" s="33"/>
      <c r="F563" s="33"/>
      <c r="G563" s="33"/>
      <c r="H563" s="33"/>
      <c r="I563" s="34" t="str">
        <f t="shared" si="40"/>
        <v>0/3</v>
      </c>
    </row>
    <row r="564" spans="1:9" x14ac:dyDescent="0.25">
      <c r="A564" s="30">
        <f>A550+7</f>
        <v>46454</v>
      </c>
      <c r="B564" s="31" t="s">
        <v>81</v>
      </c>
      <c r="C564" s="31" t="s">
        <v>37</v>
      </c>
      <c r="D564" s="32" t="s">
        <v>39</v>
      </c>
      <c r="E564" s="33"/>
      <c r="F564" s="33"/>
      <c r="G564" s="33"/>
      <c r="H564" s="33"/>
      <c r="I564" s="34" t="str">
        <f t="shared" si="40"/>
        <v>0/3</v>
      </c>
    </row>
    <row r="565" spans="1:9" ht="30" x14ac:dyDescent="0.25">
      <c r="A565" s="30">
        <f>A564</f>
        <v>46454</v>
      </c>
      <c r="B565" s="31" t="s">
        <v>81</v>
      </c>
      <c r="C565" s="31" t="s">
        <v>40</v>
      </c>
      <c r="D565" s="32" t="s">
        <v>41</v>
      </c>
      <c r="E565" s="33"/>
      <c r="F565" s="33"/>
      <c r="G565" s="33"/>
      <c r="H565" s="33"/>
      <c r="I565" s="34" t="str">
        <f t="shared" si="40"/>
        <v>0/3</v>
      </c>
    </row>
    <row r="566" spans="1:9" x14ac:dyDescent="0.25">
      <c r="A566" s="30">
        <f>A564</f>
        <v>46454</v>
      </c>
      <c r="B566" s="31" t="s">
        <v>81</v>
      </c>
      <c r="C566" s="31" t="s">
        <v>42</v>
      </c>
      <c r="D566" s="32" t="s">
        <v>43</v>
      </c>
      <c r="E566" s="33"/>
      <c r="F566" s="33"/>
      <c r="G566" s="33"/>
      <c r="H566" s="33"/>
      <c r="I566" s="34" t="str">
        <f t="shared" si="40"/>
        <v>0/3</v>
      </c>
    </row>
    <row r="567" spans="1:9" x14ac:dyDescent="0.25">
      <c r="A567" s="30">
        <f>A564</f>
        <v>46454</v>
      </c>
      <c r="B567" s="31" t="s">
        <v>81</v>
      </c>
      <c r="C567" s="31" t="s">
        <v>44</v>
      </c>
      <c r="D567" s="32" t="s">
        <v>45</v>
      </c>
      <c r="E567" s="33"/>
      <c r="F567" s="33"/>
      <c r="G567" s="33"/>
      <c r="H567" s="33"/>
      <c r="I567" s="34" t="str">
        <f t="shared" si="40"/>
        <v>0/3</v>
      </c>
    </row>
    <row r="568" spans="1:9" x14ac:dyDescent="0.25">
      <c r="A568" s="30">
        <f>A564</f>
        <v>46454</v>
      </c>
      <c r="B568" s="31" t="s">
        <v>81</v>
      </c>
      <c r="C568" s="31" t="s">
        <v>46</v>
      </c>
      <c r="D568" s="32" t="s">
        <v>47</v>
      </c>
      <c r="E568" s="33"/>
      <c r="F568" s="33"/>
      <c r="G568" s="33"/>
      <c r="H568" s="33"/>
      <c r="I568" s="34" t="str">
        <f t="shared" si="40"/>
        <v>0/3</v>
      </c>
    </row>
    <row r="569" spans="1:9" x14ac:dyDescent="0.25">
      <c r="A569" s="30">
        <f>A564</f>
        <v>46454</v>
      </c>
      <c r="B569" s="31" t="s">
        <v>81</v>
      </c>
      <c r="C569" s="31" t="s">
        <v>48</v>
      </c>
      <c r="D569" s="32" t="s">
        <v>49</v>
      </c>
      <c r="E569" s="33"/>
      <c r="F569" s="33"/>
      <c r="G569" s="33"/>
      <c r="H569" s="33"/>
      <c r="I569" s="34" t="str">
        <f t="shared" si="40"/>
        <v>0/3</v>
      </c>
    </row>
    <row r="570" spans="1:9" x14ac:dyDescent="0.25">
      <c r="A570" s="30">
        <f>A564</f>
        <v>46454</v>
      </c>
      <c r="B570" s="31" t="s">
        <v>81</v>
      </c>
      <c r="C570" s="31" t="s">
        <v>50</v>
      </c>
      <c r="D570" s="32" t="s">
        <v>51</v>
      </c>
      <c r="E570" s="33"/>
      <c r="F570" s="33"/>
      <c r="G570" s="33"/>
      <c r="H570" s="33"/>
      <c r="I570" s="34" t="str">
        <f t="shared" si="40"/>
        <v>0/3</v>
      </c>
    </row>
    <row r="571" spans="1:9" x14ac:dyDescent="0.25">
      <c r="A571" s="30">
        <f>A564</f>
        <v>46454</v>
      </c>
      <c r="B571" s="31" t="s">
        <v>82</v>
      </c>
      <c r="C571" s="31" t="s">
        <v>37</v>
      </c>
      <c r="D571" s="32" t="s">
        <v>39</v>
      </c>
      <c r="E571" s="33"/>
      <c r="F571" s="33"/>
      <c r="G571" s="33"/>
      <c r="H571" s="33"/>
      <c r="I571" s="34" t="str">
        <f>COUNTA(E571:H571)&amp;"/4"</f>
        <v>0/4</v>
      </c>
    </row>
    <row r="572" spans="1:9" ht="30" x14ac:dyDescent="0.25">
      <c r="A572" s="30">
        <f>A564</f>
        <v>46454</v>
      </c>
      <c r="B572" s="31" t="s">
        <v>82</v>
      </c>
      <c r="C572" s="31" t="s">
        <v>40</v>
      </c>
      <c r="D572" s="32" t="s">
        <v>41</v>
      </c>
      <c r="E572" s="33"/>
      <c r="F572" s="33"/>
      <c r="G572" s="33"/>
      <c r="H572" s="33"/>
      <c r="I572" s="34" t="str">
        <f t="shared" ref="I572:I584" si="41">COUNTA(E572:G572)&amp;"/3"</f>
        <v>0/3</v>
      </c>
    </row>
    <row r="573" spans="1:9" x14ac:dyDescent="0.25">
      <c r="A573" s="30">
        <f>A564</f>
        <v>46454</v>
      </c>
      <c r="B573" s="31" t="s">
        <v>82</v>
      </c>
      <c r="C573" s="31" t="s">
        <v>42</v>
      </c>
      <c r="D573" s="32" t="s">
        <v>43</v>
      </c>
      <c r="E573" s="33"/>
      <c r="F573" s="33"/>
      <c r="G573" s="33"/>
      <c r="H573" s="33"/>
      <c r="I573" s="34" t="str">
        <f t="shared" si="41"/>
        <v>0/3</v>
      </c>
    </row>
    <row r="574" spans="1:9" x14ac:dyDescent="0.25">
      <c r="A574" s="30">
        <f>A564</f>
        <v>46454</v>
      </c>
      <c r="B574" s="31" t="s">
        <v>82</v>
      </c>
      <c r="C574" s="31" t="s">
        <v>44</v>
      </c>
      <c r="D574" s="32" t="s">
        <v>45</v>
      </c>
      <c r="E574" s="33"/>
      <c r="F574" s="33"/>
      <c r="G574" s="33"/>
      <c r="H574" s="33"/>
      <c r="I574" s="34" t="str">
        <f t="shared" si="41"/>
        <v>0/3</v>
      </c>
    </row>
    <row r="575" spans="1:9" x14ac:dyDescent="0.25">
      <c r="A575" s="30">
        <f>A564</f>
        <v>46454</v>
      </c>
      <c r="B575" s="31" t="s">
        <v>82</v>
      </c>
      <c r="C575" s="31" t="s">
        <v>46</v>
      </c>
      <c r="D575" s="32" t="s">
        <v>47</v>
      </c>
      <c r="E575" s="33"/>
      <c r="F575" s="33"/>
      <c r="G575" s="33"/>
      <c r="H575" s="33"/>
      <c r="I575" s="34" t="str">
        <f t="shared" si="41"/>
        <v>0/3</v>
      </c>
    </row>
    <row r="576" spans="1:9" x14ac:dyDescent="0.25">
      <c r="A576" s="30">
        <f>A564</f>
        <v>46454</v>
      </c>
      <c r="B576" s="31" t="s">
        <v>82</v>
      </c>
      <c r="C576" s="31" t="s">
        <v>48</v>
      </c>
      <c r="D576" s="32" t="s">
        <v>49</v>
      </c>
      <c r="E576" s="33"/>
      <c r="F576" s="33"/>
      <c r="G576" s="33"/>
      <c r="H576" s="33"/>
      <c r="I576" s="34" t="str">
        <f t="shared" si="41"/>
        <v>0/3</v>
      </c>
    </row>
    <row r="577" spans="1:9" x14ac:dyDescent="0.25">
      <c r="A577" s="30">
        <f>A564</f>
        <v>46454</v>
      </c>
      <c r="B577" s="31" t="s">
        <v>82</v>
      </c>
      <c r="C577" s="31" t="s">
        <v>50</v>
      </c>
      <c r="D577" s="32" t="s">
        <v>51</v>
      </c>
      <c r="E577" s="33"/>
      <c r="F577" s="33"/>
      <c r="G577" s="33"/>
      <c r="H577" s="33"/>
      <c r="I577" s="34" t="str">
        <f t="shared" si="41"/>
        <v>0/3</v>
      </c>
    </row>
    <row r="578" spans="1:9" x14ac:dyDescent="0.25">
      <c r="A578" s="30">
        <f>A564+7</f>
        <v>46461</v>
      </c>
      <c r="B578" s="31" t="s">
        <v>81</v>
      </c>
      <c r="C578" s="31" t="s">
        <v>37</v>
      </c>
      <c r="D578" s="32" t="s">
        <v>39</v>
      </c>
      <c r="E578" s="33"/>
      <c r="F578" s="33"/>
      <c r="G578" s="33"/>
      <c r="H578" s="33"/>
      <c r="I578" s="34" t="str">
        <f t="shared" si="41"/>
        <v>0/3</v>
      </c>
    </row>
    <row r="579" spans="1:9" ht="30" x14ac:dyDescent="0.25">
      <c r="A579" s="30">
        <f>A578</f>
        <v>46461</v>
      </c>
      <c r="B579" s="31" t="s">
        <v>81</v>
      </c>
      <c r="C579" s="31" t="s">
        <v>40</v>
      </c>
      <c r="D579" s="32" t="s">
        <v>41</v>
      </c>
      <c r="E579" s="33"/>
      <c r="F579" s="33"/>
      <c r="G579" s="33"/>
      <c r="H579" s="33"/>
      <c r="I579" s="34" t="str">
        <f t="shared" si="41"/>
        <v>0/3</v>
      </c>
    </row>
    <row r="580" spans="1:9" x14ac:dyDescent="0.25">
      <c r="A580" s="30">
        <f>A578</f>
        <v>46461</v>
      </c>
      <c r="B580" s="31" t="s">
        <v>81</v>
      </c>
      <c r="C580" s="31" t="s">
        <v>42</v>
      </c>
      <c r="D580" s="32" t="s">
        <v>43</v>
      </c>
      <c r="E580" s="33"/>
      <c r="F580" s="33"/>
      <c r="G580" s="33"/>
      <c r="H580" s="33"/>
      <c r="I580" s="34" t="str">
        <f t="shared" si="41"/>
        <v>0/3</v>
      </c>
    </row>
    <row r="581" spans="1:9" x14ac:dyDescent="0.25">
      <c r="A581" s="30">
        <f>A578</f>
        <v>46461</v>
      </c>
      <c r="B581" s="31" t="s">
        <v>81</v>
      </c>
      <c r="C581" s="31" t="s">
        <v>44</v>
      </c>
      <c r="D581" s="32" t="s">
        <v>45</v>
      </c>
      <c r="E581" s="33"/>
      <c r="F581" s="33"/>
      <c r="G581" s="33"/>
      <c r="H581" s="33"/>
      <c r="I581" s="34" t="str">
        <f t="shared" si="41"/>
        <v>0/3</v>
      </c>
    </row>
    <row r="582" spans="1:9" x14ac:dyDescent="0.25">
      <c r="A582" s="30">
        <f>A578</f>
        <v>46461</v>
      </c>
      <c r="B582" s="31" t="s">
        <v>81</v>
      </c>
      <c r="C582" s="31" t="s">
        <v>46</v>
      </c>
      <c r="D582" s="32" t="s">
        <v>47</v>
      </c>
      <c r="E582" s="33"/>
      <c r="F582" s="33"/>
      <c r="G582" s="33"/>
      <c r="H582" s="33"/>
      <c r="I582" s="34" t="str">
        <f t="shared" si="41"/>
        <v>0/3</v>
      </c>
    </row>
    <row r="583" spans="1:9" x14ac:dyDescent="0.25">
      <c r="A583" s="30">
        <f>A578</f>
        <v>46461</v>
      </c>
      <c r="B583" s="31" t="s">
        <v>81</v>
      </c>
      <c r="C583" s="31" t="s">
        <v>48</v>
      </c>
      <c r="D583" s="32" t="s">
        <v>49</v>
      </c>
      <c r="E583" s="33"/>
      <c r="F583" s="33"/>
      <c r="G583" s="33"/>
      <c r="H583" s="33"/>
      <c r="I583" s="34" t="str">
        <f t="shared" si="41"/>
        <v>0/3</v>
      </c>
    </row>
    <row r="584" spans="1:9" x14ac:dyDescent="0.25">
      <c r="A584" s="30">
        <f>A578</f>
        <v>46461</v>
      </c>
      <c r="B584" s="31" t="s">
        <v>81</v>
      </c>
      <c r="C584" s="31" t="s">
        <v>50</v>
      </c>
      <c r="D584" s="32" t="s">
        <v>51</v>
      </c>
      <c r="E584" s="33"/>
      <c r="F584" s="33"/>
      <c r="G584" s="33"/>
      <c r="H584" s="33"/>
      <c r="I584" s="34" t="str">
        <f t="shared" si="41"/>
        <v>0/3</v>
      </c>
    </row>
    <row r="585" spans="1:9" x14ac:dyDescent="0.25">
      <c r="A585" s="30">
        <f>A578</f>
        <v>46461</v>
      </c>
      <c r="B585" s="31" t="s">
        <v>82</v>
      </c>
      <c r="C585" s="31" t="s">
        <v>37</v>
      </c>
      <c r="D585" s="32" t="s">
        <v>39</v>
      </c>
      <c r="E585" s="33"/>
      <c r="F585" s="33"/>
      <c r="G585" s="33"/>
      <c r="H585" s="33"/>
      <c r="I585" s="34" t="str">
        <f>COUNTA(E585:H585)&amp;"/4"</f>
        <v>0/4</v>
      </c>
    </row>
    <row r="586" spans="1:9" ht="30" x14ac:dyDescent="0.25">
      <c r="A586" s="30">
        <f>A578</f>
        <v>46461</v>
      </c>
      <c r="B586" s="31" t="s">
        <v>82</v>
      </c>
      <c r="C586" s="31" t="s">
        <v>40</v>
      </c>
      <c r="D586" s="32" t="s">
        <v>41</v>
      </c>
      <c r="E586" s="33"/>
      <c r="F586" s="33"/>
      <c r="G586" s="33"/>
      <c r="H586" s="33"/>
      <c r="I586" s="34" t="str">
        <f t="shared" ref="I586:I598" si="42">COUNTA(E586:G586)&amp;"/3"</f>
        <v>0/3</v>
      </c>
    </row>
    <row r="587" spans="1:9" x14ac:dyDescent="0.25">
      <c r="A587" s="30">
        <f>A578</f>
        <v>46461</v>
      </c>
      <c r="B587" s="31" t="s">
        <v>82</v>
      </c>
      <c r="C587" s="31" t="s">
        <v>42</v>
      </c>
      <c r="D587" s="32" t="s">
        <v>43</v>
      </c>
      <c r="E587" s="33"/>
      <c r="F587" s="33"/>
      <c r="G587" s="33"/>
      <c r="H587" s="33"/>
      <c r="I587" s="34" t="str">
        <f t="shared" si="42"/>
        <v>0/3</v>
      </c>
    </row>
    <row r="588" spans="1:9" x14ac:dyDescent="0.25">
      <c r="A588" s="30">
        <f>A578</f>
        <v>46461</v>
      </c>
      <c r="B588" s="31" t="s">
        <v>82</v>
      </c>
      <c r="C588" s="31" t="s">
        <v>44</v>
      </c>
      <c r="D588" s="32" t="s">
        <v>45</v>
      </c>
      <c r="E588" s="33"/>
      <c r="F588" s="33"/>
      <c r="G588" s="33"/>
      <c r="H588" s="33"/>
      <c r="I588" s="34" t="str">
        <f t="shared" si="42"/>
        <v>0/3</v>
      </c>
    </row>
    <row r="589" spans="1:9" x14ac:dyDescent="0.25">
      <c r="A589" s="30">
        <f>A578</f>
        <v>46461</v>
      </c>
      <c r="B589" s="31" t="s">
        <v>82</v>
      </c>
      <c r="C589" s="31" t="s">
        <v>46</v>
      </c>
      <c r="D589" s="32" t="s">
        <v>47</v>
      </c>
      <c r="E589" s="33"/>
      <c r="F589" s="33"/>
      <c r="G589" s="33"/>
      <c r="H589" s="33"/>
      <c r="I589" s="34" t="str">
        <f t="shared" si="42"/>
        <v>0/3</v>
      </c>
    </row>
    <row r="590" spans="1:9" x14ac:dyDescent="0.25">
      <c r="A590" s="30">
        <f>A578</f>
        <v>46461</v>
      </c>
      <c r="B590" s="31" t="s">
        <v>82</v>
      </c>
      <c r="C590" s="31" t="s">
        <v>48</v>
      </c>
      <c r="D590" s="32" t="s">
        <v>49</v>
      </c>
      <c r="E590" s="33"/>
      <c r="F590" s="33"/>
      <c r="G590" s="33"/>
      <c r="H590" s="33"/>
      <c r="I590" s="34" t="str">
        <f t="shared" si="42"/>
        <v>0/3</v>
      </c>
    </row>
    <row r="591" spans="1:9" x14ac:dyDescent="0.25">
      <c r="A591" s="30">
        <f>A578</f>
        <v>46461</v>
      </c>
      <c r="B591" s="31" t="s">
        <v>82</v>
      </c>
      <c r="C591" s="31" t="s">
        <v>50</v>
      </c>
      <c r="D591" s="32" t="s">
        <v>51</v>
      </c>
      <c r="E591" s="33"/>
      <c r="F591" s="33"/>
      <c r="G591" s="33"/>
      <c r="H591" s="33"/>
      <c r="I591" s="34" t="str">
        <f t="shared" si="42"/>
        <v>0/3</v>
      </c>
    </row>
    <row r="592" spans="1:9" x14ac:dyDescent="0.25">
      <c r="A592" s="30">
        <f>A578+7</f>
        <v>46468</v>
      </c>
      <c r="B592" s="31" t="s">
        <v>81</v>
      </c>
      <c r="C592" s="31" t="s">
        <v>37</v>
      </c>
      <c r="D592" s="32" t="s">
        <v>39</v>
      </c>
      <c r="E592" s="33"/>
      <c r="F592" s="33"/>
      <c r="G592" s="33"/>
      <c r="H592" s="33"/>
      <c r="I592" s="34" t="str">
        <f t="shared" si="42"/>
        <v>0/3</v>
      </c>
    </row>
    <row r="593" spans="1:9" ht="30" x14ac:dyDescent="0.25">
      <c r="A593" s="30">
        <f>A592</f>
        <v>46468</v>
      </c>
      <c r="B593" s="31" t="s">
        <v>81</v>
      </c>
      <c r="C593" s="31" t="s">
        <v>40</v>
      </c>
      <c r="D593" s="32" t="s">
        <v>41</v>
      </c>
      <c r="E593" s="33"/>
      <c r="F593" s="33"/>
      <c r="G593" s="33"/>
      <c r="H593" s="33"/>
      <c r="I593" s="34" t="str">
        <f t="shared" si="42"/>
        <v>0/3</v>
      </c>
    </row>
    <row r="594" spans="1:9" x14ac:dyDescent="0.25">
      <c r="A594" s="30">
        <f>A592</f>
        <v>46468</v>
      </c>
      <c r="B594" s="31" t="s">
        <v>81</v>
      </c>
      <c r="C594" s="31" t="s">
        <v>42</v>
      </c>
      <c r="D594" s="32" t="s">
        <v>43</v>
      </c>
      <c r="E594" s="33"/>
      <c r="F594" s="33"/>
      <c r="G594" s="33"/>
      <c r="H594" s="33"/>
      <c r="I594" s="34" t="str">
        <f t="shared" si="42"/>
        <v>0/3</v>
      </c>
    </row>
    <row r="595" spans="1:9" x14ac:dyDescent="0.25">
      <c r="A595" s="30">
        <f>A592</f>
        <v>46468</v>
      </c>
      <c r="B595" s="31" t="s">
        <v>81</v>
      </c>
      <c r="C595" s="31" t="s">
        <v>44</v>
      </c>
      <c r="D595" s="32" t="s">
        <v>45</v>
      </c>
      <c r="E595" s="33"/>
      <c r="F595" s="33"/>
      <c r="G595" s="33"/>
      <c r="H595" s="33"/>
      <c r="I595" s="34" t="str">
        <f t="shared" si="42"/>
        <v>0/3</v>
      </c>
    </row>
    <row r="596" spans="1:9" x14ac:dyDescent="0.25">
      <c r="A596" s="30">
        <f>A592</f>
        <v>46468</v>
      </c>
      <c r="B596" s="31" t="s">
        <v>81</v>
      </c>
      <c r="C596" s="31" t="s">
        <v>46</v>
      </c>
      <c r="D596" s="32" t="s">
        <v>47</v>
      </c>
      <c r="E596" s="33"/>
      <c r="F596" s="33"/>
      <c r="G596" s="33"/>
      <c r="H596" s="33"/>
      <c r="I596" s="34" t="str">
        <f t="shared" si="42"/>
        <v>0/3</v>
      </c>
    </row>
    <row r="597" spans="1:9" x14ac:dyDescent="0.25">
      <c r="A597" s="30">
        <f>A592</f>
        <v>46468</v>
      </c>
      <c r="B597" s="31" t="s">
        <v>81</v>
      </c>
      <c r="C597" s="31" t="s">
        <v>48</v>
      </c>
      <c r="D597" s="32" t="s">
        <v>49</v>
      </c>
      <c r="E597" s="33"/>
      <c r="F597" s="33"/>
      <c r="G597" s="33"/>
      <c r="H597" s="33"/>
      <c r="I597" s="34" t="str">
        <f t="shared" si="42"/>
        <v>0/3</v>
      </c>
    </row>
    <row r="598" spans="1:9" x14ac:dyDescent="0.25">
      <c r="A598" s="30">
        <f>A592</f>
        <v>46468</v>
      </c>
      <c r="B598" s="31" t="s">
        <v>81</v>
      </c>
      <c r="C598" s="31" t="s">
        <v>50</v>
      </c>
      <c r="D598" s="32" t="s">
        <v>51</v>
      </c>
      <c r="E598" s="33"/>
      <c r="F598" s="33"/>
      <c r="G598" s="33"/>
      <c r="H598" s="33"/>
      <c r="I598" s="34" t="str">
        <f t="shared" si="42"/>
        <v>0/3</v>
      </c>
    </row>
    <row r="599" spans="1:9" x14ac:dyDescent="0.25">
      <c r="A599" s="30">
        <f>A592</f>
        <v>46468</v>
      </c>
      <c r="B599" s="31" t="s">
        <v>82</v>
      </c>
      <c r="C599" s="31" t="s">
        <v>37</v>
      </c>
      <c r="D599" s="32" t="s">
        <v>39</v>
      </c>
      <c r="E599" s="33"/>
      <c r="F599" s="33"/>
      <c r="G599" s="33"/>
      <c r="H599" s="33"/>
      <c r="I599" s="34" t="str">
        <f>COUNTA(E599:H599)&amp;"/4"</f>
        <v>0/4</v>
      </c>
    </row>
    <row r="600" spans="1:9" ht="30" x14ac:dyDescent="0.25">
      <c r="A600" s="30">
        <f>A592</f>
        <v>46468</v>
      </c>
      <c r="B600" s="31" t="s">
        <v>82</v>
      </c>
      <c r="C600" s="31" t="s">
        <v>40</v>
      </c>
      <c r="D600" s="32" t="s">
        <v>41</v>
      </c>
      <c r="E600" s="33"/>
      <c r="F600" s="33"/>
      <c r="G600" s="33"/>
      <c r="H600" s="33"/>
      <c r="I600" s="34" t="str">
        <f t="shared" ref="I600:I612" si="43">COUNTA(E600:G600)&amp;"/3"</f>
        <v>0/3</v>
      </c>
    </row>
    <row r="601" spans="1:9" x14ac:dyDescent="0.25">
      <c r="A601" s="30">
        <f>A592</f>
        <v>46468</v>
      </c>
      <c r="B601" s="31" t="s">
        <v>82</v>
      </c>
      <c r="C601" s="31" t="s">
        <v>42</v>
      </c>
      <c r="D601" s="32" t="s">
        <v>43</v>
      </c>
      <c r="E601" s="33"/>
      <c r="F601" s="33"/>
      <c r="G601" s="33"/>
      <c r="H601" s="33"/>
      <c r="I601" s="34" t="str">
        <f t="shared" si="43"/>
        <v>0/3</v>
      </c>
    </row>
    <row r="602" spans="1:9" x14ac:dyDescent="0.25">
      <c r="A602" s="30">
        <f>A592</f>
        <v>46468</v>
      </c>
      <c r="B602" s="31" t="s">
        <v>82</v>
      </c>
      <c r="C602" s="31" t="s">
        <v>44</v>
      </c>
      <c r="D602" s="32" t="s">
        <v>45</v>
      </c>
      <c r="E602" s="33"/>
      <c r="F602" s="33"/>
      <c r="G602" s="33"/>
      <c r="H602" s="33"/>
      <c r="I602" s="34" t="str">
        <f t="shared" si="43"/>
        <v>0/3</v>
      </c>
    </row>
    <row r="603" spans="1:9" x14ac:dyDescent="0.25">
      <c r="A603" s="30">
        <f>A592</f>
        <v>46468</v>
      </c>
      <c r="B603" s="31" t="s">
        <v>82</v>
      </c>
      <c r="C603" s="31" t="s">
        <v>46</v>
      </c>
      <c r="D603" s="32" t="s">
        <v>47</v>
      </c>
      <c r="E603" s="33"/>
      <c r="F603" s="33"/>
      <c r="G603" s="33"/>
      <c r="H603" s="33"/>
      <c r="I603" s="34" t="str">
        <f t="shared" si="43"/>
        <v>0/3</v>
      </c>
    </row>
    <row r="604" spans="1:9" x14ac:dyDescent="0.25">
      <c r="A604" s="30">
        <f>A592</f>
        <v>46468</v>
      </c>
      <c r="B604" s="31" t="s">
        <v>82</v>
      </c>
      <c r="C604" s="31" t="s">
        <v>48</v>
      </c>
      <c r="D604" s="32" t="s">
        <v>49</v>
      </c>
      <c r="E604" s="33"/>
      <c r="F604" s="33"/>
      <c r="G604" s="33"/>
      <c r="H604" s="33"/>
      <c r="I604" s="34" t="str">
        <f t="shared" si="43"/>
        <v>0/3</v>
      </c>
    </row>
    <row r="605" spans="1:9" x14ac:dyDescent="0.25">
      <c r="A605" s="30">
        <f>A592</f>
        <v>46468</v>
      </c>
      <c r="B605" s="31" t="s">
        <v>82</v>
      </c>
      <c r="C605" s="31" t="s">
        <v>50</v>
      </c>
      <c r="D605" s="32" t="s">
        <v>51</v>
      </c>
      <c r="E605" s="33"/>
      <c r="F605" s="33"/>
      <c r="G605" s="33"/>
      <c r="H605" s="33"/>
      <c r="I605" s="34" t="str">
        <f t="shared" si="43"/>
        <v>0/3</v>
      </c>
    </row>
    <row r="606" spans="1:9" x14ac:dyDescent="0.25">
      <c r="A606" s="30">
        <f>A592+7</f>
        <v>46475</v>
      </c>
      <c r="B606" s="31" t="s">
        <v>81</v>
      </c>
      <c r="C606" s="31" t="s">
        <v>37</v>
      </c>
      <c r="D606" s="32" t="s">
        <v>39</v>
      </c>
      <c r="E606" s="33"/>
      <c r="F606" s="33"/>
      <c r="G606" s="33"/>
      <c r="H606" s="33"/>
      <c r="I606" s="34" t="str">
        <f t="shared" si="43"/>
        <v>0/3</v>
      </c>
    </row>
    <row r="607" spans="1:9" ht="30" x14ac:dyDescent="0.25">
      <c r="A607" s="30">
        <f>A606</f>
        <v>46475</v>
      </c>
      <c r="B607" s="31" t="s">
        <v>81</v>
      </c>
      <c r="C607" s="31" t="s">
        <v>40</v>
      </c>
      <c r="D607" s="32" t="s">
        <v>41</v>
      </c>
      <c r="E607" s="33"/>
      <c r="F607" s="33"/>
      <c r="G607" s="33"/>
      <c r="H607" s="33"/>
      <c r="I607" s="34" t="str">
        <f t="shared" si="43"/>
        <v>0/3</v>
      </c>
    </row>
    <row r="608" spans="1:9" x14ac:dyDescent="0.25">
      <c r="A608" s="30">
        <f>A606</f>
        <v>46475</v>
      </c>
      <c r="B608" s="31" t="s">
        <v>81</v>
      </c>
      <c r="C608" s="31" t="s">
        <v>42</v>
      </c>
      <c r="D608" s="32" t="s">
        <v>43</v>
      </c>
      <c r="E608" s="33"/>
      <c r="F608" s="33"/>
      <c r="G608" s="33"/>
      <c r="H608" s="33"/>
      <c r="I608" s="34" t="str">
        <f t="shared" si="43"/>
        <v>0/3</v>
      </c>
    </row>
    <row r="609" spans="1:9" x14ac:dyDescent="0.25">
      <c r="A609" s="30">
        <f>A606</f>
        <v>46475</v>
      </c>
      <c r="B609" s="31" t="s">
        <v>81</v>
      </c>
      <c r="C609" s="31" t="s">
        <v>44</v>
      </c>
      <c r="D609" s="32" t="s">
        <v>45</v>
      </c>
      <c r="E609" s="33"/>
      <c r="F609" s="33"/>
      <c r="G609" s="33"/>
      <c r="H609" s="33"/>
      <c r="I609" s="34" t="str">
        <f t="shared" si="43"/>
        <v>0/3</v>
      </c>
    </row>
    <row r="610" spans="1:9" x14ac:dyDescent="0.25">
      <c r="A610" s="30">
        <f>A606</f>
        <v>46475</v>
      </c>
      <c r="B610" s="31" t="s">
        <v>81</v>
      </c>
      <c r="C610" s="31" t="s">
        <v>46</v>
      </c>
      <c r="D610" s="32" t="s">
        <v>47</v>
      </c>
      <c r="E610" s="33"/>
      <c r="F610" s="33"/>
      <c r="G610" s="33"/>
      <c r="H610" s="33"/>
      <c r="I610" s="34" t="str">
        <f t="shared" si="43"/>
        <v>0/3</v>
      </c>
    </row>
    <row r="611" spans="1:9" x14ac:dyDescent="0.25">
      <c r="A611" s="30">
        <f>A606</f>
        <v>46475</v>
      </c>
      <c r="B611" s="31" t="s">
        <v>81</v>
      </c>
      <c r="C611" s="31" t="s">
        <v>48</v>
      </c>
      <c r="D611" s="32" t="s">
        <v>49</v>
      </c>
      <c r="E611" s="33"/>
      <c r="F611" s="33"/>
      <c r="G611" s="33"/>
      <c r="H611" s="33"/>
      <c r="I611" s="34" t="str">
        <f t="shared" si="43"/>
        <v>0/3</v>
      </c>
    </row>
    <row r="612" spans="1:9" x14ac:dyDescent="0.25">
      <c r="A612" s="30">
        <f>A606</f>
        <v>46475</v>
      </c>
      <c r="B612" s="31" t="s">
        <v>81</v>
      </c>
      <c r="C612" s="31" t="s">
        <v>50</v>
      </c>
      <c r="D612" s="32" t="s">
        <v>51</v>
      </c>
      <c r="E612" s="33"/>
      <c r="F612" s="33"/>
      <c r="G612" s="33"/>
      <c r="H612" s="33"/>
      <c r="I612" s="34" t="str">
        <f t="shared" si="43"/>
        <v>0/3</v>
      </c>
    </row>
    <row r="613" spans="1:9" x14ac:dyDescent="0.25">
      <c r="A613" s="30">
        <f>A606</f>
        <v>46475</v>
      </c>
      <c r="B613" s="31" t="s">
        <v>82</v>
      </c>
      <c r="C613" s="31" t="s">
        <v>37</v>
      </c>
      <c r="D613" s="32" t="s">
        <v>39</v>
      </c>
      <c r="E613" s="33"/>
      <c r="F613" s="33"/>
      <c r="G613" s="33"/>
      <c r="H613" s="33"/>
      <c r="I613" s="34" t="str">
        <f>COUNTA(E613:H613)&amp;"/4"</f>
        <v>0/4</v>
      </c>
    </row>
    <row r="614" spans="1:9" ht="30" x14ac:dyDescent="0.25">
      <c r="A614" s="30">
        <f>A606</f>
        <v>46475</v>
      </c>
      <c r="B614" s="31" t="s">
        <v>82</v>
      </c>
      <c r="C614" s="31" t="s">
        <v>40</v>
      </c>
      <c r="D614" s="32" t="s">
        <v>41</v>
      </c>
      <c r="E614" s="33"/>
      <c r="F614" s="33"/>
      <c r="G614" s="33"/>
      <c r="H614" s="33"/>
      <c r="I614" s="34" t="str">
        <f t="shared" ref="I614:I626" si="44">COUNTA(E614:G614)&amp;"/3"</f>
        <v>0/3</v>
      </c>
    </row>
    <row r="615" spans="1:9" x14ac:dyDescent="0.25">
      <c r="A615" s="30">
        <f>A606</f>
        <v>46475</v>
      </c>
      <c r="B615" s="31" t="s">
        <v>82</v>
      </c>
      <c r="C615" s="31" t="s">
        <v>42</v>
      </c>
      <c r="D615" s="32" t="s">
        <v>43</v>
      </c>
      <c r="E615" s="33"/>
      <c r="F615" s="33"/>
      <c r="G615" s="33"/>
      <c r="H615" s="33"/>
      <c r="I615" s="34" t="str">
        <f t="shared" si="44"/>
        <v>0/3</v>
      </c>
    </row>
    <row r="616" spans="1:9" x14ac:dyDescent="0.25">
      <c r="A616" s="30">
        <f>A606</f>
        <v>46475</v>
      </c>
      <c r="B616" s="31" t="s">
        <v>82</v>
      </c>
      <c r="C616" s="31" t="s">
        <v>44</v>
      </c>
      <c r="D616" s="32" t="s">
        <v>45</v>
      </c>
      <c r="E616" s="33"/>
      <c r="F616" s="33"/>
      <c r="G616" s="33"/>
      <c r="H616" s="33"/>
      <c r="I616" s="34" t="str">
        <f t="shared" si="44"/>
        <v>0/3</v>
      </c>
    </row>
    <row r="617" spans="1:9" x14ac:dyDescent="0.25">
      <c r="A617" s="30">
        <f>A606</f>
        <v>46475</v>
      </c>
      <c r="B617" s="31" t="s">
        <v>82</v>
      </c>
      <c r="C617" s="31" t="s">
        <v>46</v>
      </c>
      <c r="D617" s="32" t="s">
        <v>47</v>
      </c>
      <c r="E617" s="33"/>
      <c r="F617" s="33"/>
      <c r="G617" s="33"/>
      <c r="H617" s="33"/>
      <c r="I617" s="34" t="str">
        <f t="shared" si="44"/>
        <v>0/3</v>
      </c>
    </row>
    <row r="618" spans="1:9" x14ac:dyDescent="0.25">
      <c r="A618" s="30">
        <f>A606</f>
        <v>46475</v>
      </c>
      <c r="B618" s="31" t="s">
        <v>82</v>
      </c>
      <c r="C618" s="31" t="s">
        <v>48</v>
      </c>
      <c r="D618" s="32" t="s">
        <v>49</v>
      </c>
      <c r="E618" s="33"/>
      <c r="F618" s="33"/>
      <c r="G618" s="33"/>
      <c r="H618" s="33"/>
      <c r="I618" s="34" t="str">
        <f t="shared" si="44"/>
        <v>0/3</v>
      </c>
    </row>
    <row r="619" spans="1:9" x14ac:dyDescent="0.25">
      <c r="A619" s="30">
        <f>A606</f>
        <v>46475</v>
      </c>
      <c r="B619" s="31" t="s">
        <v>82</v>
      </c>
      <c r="C619" s="31" t="s">
        <v>50</v>
      </c>
      <c r="D619" s="32" t="s">
        <v>51</v>
      </c>
      <c r="E619" s="33"/>
      <c r="F619" s="33"/>
      <c r="G619" s="33"/>
      <c r="H619" s="33"/>
      <c r="I619" s="34" t="str">
        <f t="shared" si="44"/>
        <v>0/3</v>
      </c>
    </row>
    <row r="620" spans="1:9" x14ac:dyDescent="0.25">
      <c r="A620" s="30">
        <f>A606+7</f>
        <v>46482</v>
      </c>
      <c r="B620" s="31" t="s">
        <v>81</v>
      </c>
      <c r="C620" s="31" t="s">
        <v>37</v>
      </c>
      <c r="D620" s="32" t="s">
        <v>39</v>
      </c>
      <c r="E620" s="33"/>
      <c r="F620" s="33"/>
      <c r="G620" s="33"/>
      <c r="H620" s="33"/>
      <c r="I620" s="34" t="str">
        <f t="shared" si="44"/>
        <v>0/3</v>
      </c>
    </row>
    <row r="621" spans="1:9" ht="30" x14ac:dyDescent="0.25">
      <c r="A621" s="30">
        <f>A620</f>
        <v>46482</v>
      </c>
      <c r="B621" s="31" t="s">
        <v>81</v>
      </c>
      <c r="C621" s="31" t="s">
        <v>40</v>
      </c>
      <c r="D621" s="32" t="s">
        <v>41</v>
      </c>
      <c r="E621" s="33"/>
      <c r="F621" s="33"/>
      <c r="G621" s="33"/>
      <c r="H621" s="33"/>
      <c r="I621" s="34" t="str">
        <f t="shared" si="44"/>
        <v>0/3</v>
      </c>
    </row>
    <row r="622" spans="1:9" x14ac:dyDescent="0.25">
      <c r="A622" s="30">
        <f>A620</f>
        <v>46482</v>
      </c>
      <c r="B622" s="31" t="s">
        <v>81</v>
      </c>
      <c r="C622" s="31" t="s">
        <v>42</v>
      </c>
      <c r="D622" s="32" t="s">
        <v>43</v>
      </c>
      <c r="E622" s="33"/>
      <c r="F622" s="33"/>
      <c r="G622" s="33"/>
      <c r="H622" s="33"/>
      <c r="I622" s="34" t="str">
        <f t="shared" si="44"/>
        <v>0/3</v>
      </c>
    </row>
    <row r="623" spans="1:9" x14ac:dyDescent="0.25">
      <c r="A623" s="30">
        <f>A620</f>
        <v>46482</v>
      </c>
      <c r="B623" s="31" t="s">
        <v>81</v>
      </c>
      <c r="C623" s="31" t="s">
        <v>44</v>
      </c>
      <c r="D623" s="32" t="s">
        <v>45</v>
      </c>
      <c r="E623" s="33"/>
      <c r="F623" s="33"/>
      <c r="G623" s="33"/>
      <c r="H623" s="33"/>
      <c r="I623" s="34" t="str">
        <f t="shared" si="44"/>
        <v>0/3</v>
      </c>
    </row>
    <row r="624" spans="1:9" x14ac:dyDescent="0.25">
      <c r="A624" s="30">
        <f>A620</f>
        <v>46482</v>
      </c>
      <c r="B624" s="31" t="s">
        <v>81</v>
      </c>
      <c r="C624" s="31" t="s">
        <v>46</v>
      </c>
      <c r="D624" s="32" t="s">
        <v>47</v>
      </c>
      <c r="E624" s="33"/>
      <c r="F624" s="33"/>
      <c r="G624" s="33"/>
      <c r="H624" s="33"/>
      <c r="I624" s="34" t="str">
        <f t="shared" si="44"/>
        <v>0/3</v>
      </c>
    </row>
    <row r="625" spans="1:9" x14ac:dyDescent="0.25">
      <c r="A625" s="30">
        <f>A620</f>
        <v>46482</v>
      </c>
      <c r="B625" s="31" t="s">
        <v>81</v>
      </c>
      <c r="C625" s="31" t="s">
        <v>48</v>
      </c>
      <c r="D625" s="32" t="s">
        <v>49</v>
      </c>
      <c r="E625" s="33"/>
      <c r="F625" s="33"/>
      <c r="G625" s="33"/>
      <c r="H625" s="33"/>
      <c r="I625" s="34" t="str">
        <f t="shared" si="44"/>
        <v>0/3</v>
      </c>
    </row>
    <row r="626" spans="1:9" x14ac:dyDescent="0.25">
      <c r="A626" s="30">
        <f>A620</f>
        <v>46482</v>
      </c>
      <c r="B626" s="31" t="s">
        <v>81</v>
      </c>
      <c r="C626" s="31" t="s">
        <v>50</v>
      </c>
      <c r="D626" s="32" t="s">
        <v>51</v>
      </c>
      <c r="E626" s="33"/>
      <c r="F626" s="33"/>
      <c r="G626" s="33"/>
      <c r="H626" s="33"/>
      <c r="I626" s="34" t="str">
        <f t="shared" si="44"/>
        <v>0/3</v>
      </c>
    </row>
    <row r="627" spans="1:9" x14ac:dyDescent="0.25">
      <c r="A627" s="30">
        <f>A620</f>
        <v>46482</v>
      </c>
      <c r="B627" s="31" t="s">
        <v>82</v>
      </c>
      <c r="C627" s="31" t="s">
        <v>37</v>
      </c>
      <c r="D627" s="32" t="s">
        <v>39</v>
      </c>
      <c r="E627" s="33"/>
      <c r="F627" s="33"/>
      <c r="G627" s="33"/>
      <c r="H627" s="33"/>
      <c r="I627" s="34" t="str">
        <f>COUNTA(E627:H627)&amp;"/4"</f>
        <v>0/4</v>
      </c>
    </row>
    <row r="628" spans="1:9" ht="30" x14ac:dyDescent="0.25">
      <c r="A628" s="30">
        <f>A620</f>
        <v>46482</v>
      </c>
      <c r="B628" s="31" t="s">
        <v>82</v>
      </c>
      <c r="C628" s="31" t="s">
        <v>40</v>
      </c>
      <c r="D628" s="32" t="s">
        <v>41</v>
      </c>
      <c r="E628" s="33"/>
      <c r="F628" s="33"/>
      <c r="G628" s="33"/>
      <c r="H628" s="33"/>
      <c r="I628" s="34" t="str">
        <f t="shared" ref="I628:I640" si="45">COUNTA(E628:G628)&amp;"/3"</f>
        <v>0/3</v>
      </c>
    </row>
    <row r="629" spans="1:9" x14ac:dyDescent="0.25">
      <c r="A629" s="30">
        <f>A620</f>
        <v>46482</v>
      </c>
      <c r="B629" s="31" t="s">
        <v>82</v>
      </c>
      <c r="C629" s="31" t="s">
        <v>42</v>
      </c>
      <c r="D629" s="32" t="s">
        <v>43</v>
      </c>
      <c r="E629" s="33"/>
      <c r="F629" s="33"/>
      <c r="G629" s="33"/>
      <c r="H629" s="33"/>
      <c r="I629" s="34" t="str">
        <f t="shared" si="45"/>
        <v>0/3</v>
      </c>
    </row>
    <row r="630" spans="1:9" x14ac:dyDescent="0.25">
      <c r="A630" s="30">
        <f>A620</f>
        <v>46482</v>
      </c>
      <c r="B630" s="31" t="s">
        <v>82</v>
      </c>
      <c r="C630" s="31" t="s">
        <v>44</v>
      </c>
      <c r="D630" s="32" t="s">
        <v>45</v>
      </c>
      <c r="E630" s="33"/>
      <c r="F630" s="33"/>
      <c r="G630" s="33"/>
      <c r="H630" s="33"/>
      <c r="I630" s="34" t="str">
        <f t="shared" si="45"/>
        <v>0/3</v>
      </c>
    </row>
    <row r="631" spans="1:9" x14ac:dyDescent="0.25">
      <c r="A631" s="30">
        <f>A620</f>
        <v>46482</v>
      </c>
      <c r="B631" s="31" t="s">
        <v>82</v>
      </c>
      <c r="C631" s="31" t="s">
        <v>46</v>
      </c>
      <c r="D631" s="32" t="s">
        <v>47</v>
      </c>
      <c r="E631" s="33"/>
      <c r="F631" s="33"/>
      <c r="G631" s="33"/>
      <c r="H631" s="33"/>
      <c r="I631" s="34" t="str">
        <f t="shared" si="45"/>
        <v>0/3</v>
      </c>
    </row>
    <row r="632" spans="1:9" x14ac:dyDescent="0.25">
      <c r="A632" s="30">
        <f>A620</f>
        <v>46482</v>
      </c>
      <c r="B632" s="31" t="s">
        <v>82</v>
      </c>
      <c r="C632" s="31" t="s">
        <v>48</v>
      </c>
      <c r="D632" s="32" t="s">
        <v>49</v>
      </c>
      <c r="E632" s="33"/>
      <c r="F632" s="33"/>
      <c r="G632" s="33"/>
      <c r="H632" s="33"/>
      <c r="I632" s="34" t="str">
        <f t="shared" si="45"/>
        <v>0/3</v>
      </c>
    </row>
    <row r="633" spans="1:9" x14ac:dyDescent="0.25">
      <c r="A633" s="30">
        <f>A620</f>
        <v>46482</v>
      </c>
      <c r="B633" s="31" t="s">
        <v>82</v>
      </c>
      <c r="C633" s="31" t="s">
        <v>50</v>
      </c>
      <c r="D633" s="32" t="s">
        <v>51</v>
      </c>
      <c r="E633" s="33"/>
      <c r="F633" s="33"/>
      <c r="G633" s="33"/>
      <c r="H633" s="33"/>
      <c r="I633" s="34" t="str">
        <f t="shared" si="45"/>
        <v>0/3</v>
      </c>
    </row>
    <row r="634" spans="1:9" x14ac:dyDescent="0.25">
      <c r="A634" s="30">
        <f>A620+7</f>
        <v>46489</v>
      </c>
      <c r="B634" s="31" t="s">
        <v>81</v>
      </c>
      <c r="C634" s="31" t="s">
        <v>37</v>
      </c>
      <c r="D634" s="32" t="s">
        <v>39</v>
      </c>
      <c r="E634" s="33"/>
      <c r="F634" s="33"/>
      <c r="G634" s="33"/>
      <c r="H634" s="33"/>
      <c r="I634" s="34" t="str">
        <f t="shared" si="45"/>
        <v>0/3</v>
      </c>
    </row>
    <row r="635" spans="1:9" ht="30" x14ac:dyDescent="0.25">
      <c r="A635" s="30">
        <f>A634</f>
        <v>46489</v>
      </c>
      <c r="B635" s="31" t="s">
        <v>81</v>
      </c>
      <c r="C635" s="31" t="s">
        <v>40</v>
      </c>
      <c r="D635" s="32" t="s">
        <v>41</v>
      </c>
      <c r="E635" s="33"/>
      <c r="F635" s="33"/>
      <c r="G635" s="33"/>
      <c r="H635" s="33"/>
      <c r="I635" s="34" t="str">
        <f t="shared" si="45"/>
        <v>0/3</v>
      </c>
    </row>
    <row r="636" spans="1:9" x14ac:dyDescent="0.25">
      <c r="A636" s="30">
        <f>A634</f>
        <v>46489</v>
      </c>
      <c r="B636" s="31" t="s">
        <v>81</v>
      </c>
      <c r="C636" s="31" t="s">
        <v>42</v>
      </c>
      <c r="D636" s="32" t="s">
        <v>43</v>
      </c>
      <c r="E636" s="33"/>
      <c r="F636" s="33"/>
      <c r="G636" s="33"/>
      <c r="H636" s="33"/>
      <c r="I636" s="34" t="str">
        <f t="shared" si="45"/>
        <v>0/3</v>
      </c>
    </row>
    <row r="637" spans="1:9" x14ac:dyDescent="0.25">
      <c r="A637" s="30">
        <f>A634</f>
        <v>46489</v>
      </c>
      <c r="B637" s="31" t="s">
        <v>81</v>
      </c>
      <c r="C637" s="31" t="s">
        <v>44</v>
      </c>
      <c r="D637" s="32" t="s">
        <v>45</v>
      </c>
      <c r="E637" s="33"/>
      <c r="F637" s="33"/>
      <c r="G637" s="33"/>
      <c r="H637" s="33"/>
      <c r="I637" s="34" t="str">
        <f t="shared" si="45"/>
        <v>0/3</v>
      </c>
    </row>
    <row r="638" spans="1:9" x14ac:dyDescent="0.25">
      <c r="A638" s="30">
        <f>A634</f>
        <v>46489</v>
      </c>
      <c r="B638" s="31" t="s">
        <v>81</v>
      </c>
      <c r="C638" s="31" t="s">
        <v>46</v>
      </c>
      <c r="D638" s="32" t="s">
        <v>47</v>
      </c>
      <c r="E638" s="33"/>
      <c r="F638" s="33"/>
      <c r="G638" s="33"/>
      <c r="H638" s="33"/>
      <c r="I638" s="34" t="str">
        <f t="shared" si="45"/>
        <v>0/3</v>
      </c>
    </row>
    <row r="639" spans="1:9" x14ac:dyDescent="0.25">
      <c r="A639" s="30">
        <f>A634</f>
        <v>46489</v>
      </c>
      <c r="B639" s="31" t="s">
        <v>81</v>
      </c>
      <c r="C639" s="31" t="s">
        <v>48</v>
      </c>
      <c r="D639" s="32" t="s">
        <v>49</v>
      </c>
      <c r="E639" s="33"/>
      <c r="F639" s="33"/>
      <c r="G639" s="33"/>
      <c r="H639" s="33"/>
      <c r="I639" s="34" t="str">
        <f t="shared" si="45"/>
        <v>0/3</v>
      </c>
    </row>
    <row r="640" spans="1:9" x14ac:dyDescent="0.25">
      <c r="A640" s="30">
        <f>A634</f>
        <v>46489</v>
      </c>
      <c r="B640" s="31" t="s">
        <v>81</v>
      </c>
      <c r="C640" s="31" t="s">
        <v>50</v>
      </c>
      <c r="D640" s="32" t="s">
        <v>51</v>
      </c>
      <c r="E640" s="33"/>
      <c r="F640" s="33"/>
      <c r="G640" s="33"/>
      <c r="H640" s="33"/>
      <c r="I640" s="34" t="str">
        <f t="shared" si="45"/>
        <v>0/3</v>
      </c>
    </row>
    <row r="641" spans="1:9" x14ac:dyDescent="0.25">
      <c r="A641" s="30">
        <f>A634</f>
        <v>46489</v>
      </c>
      <c r="B641" s="31" t="s">
        <v>82</v>
      </c>
      <c r="C641" s="31" t="s">
        <v>37</v>
      </c>
      <c r="D641" s="32" t="s">
        <v>39</v>
      </c>
      <c r="E641" s="33"/>
      <c r="F641" s="33"/>
      <c r="G641" s="33"/>
      <c r="H641" s="33"/>
      <c r="I641" s="34" t="str">
        <f>COUNTA(E641:H641)&amp;"/4"</f>
        <v>0/4</v>
      </c>
    </row>
    <row r="642" spans="1:9" ht="30" x14ac:dyDescent="0.25">
      <c r="A642" s="30">
        <f>A634</f>
        <v>46489</v>
      </c>
      <c r="B642" s="31" t="s">
        <v>82</v>
      </c>
      <c r="C642" s="31" t="s">
        <v>40</v>
      </c>
      <c r="D642" s="32" t="s">
        <v>41</v>
      </c>
      <c r="E642" s="33"/>
      <c r="F642" s="33"/>
      <c r="G642" s="33"/>
      <c r="H642" s="33"/>
      <c r="I642" s="34" t="str">
        <f t="shared" ref="I642:I654" si="46">COUNTA(E642:G642)&amp;"/3"</f>
        <v>0/3</v>
      </c>
    </row>
    <row r="643" spans="1:9" x14ac:dyDescent="0.25">
      <c r="A643" s="30">
        <f>A634</f>
        <v>46489</v>
      </c>
      <c r="B643" s="31" t="s">
        <v>82</v>
      </c>
      <c r="C643" s="31" t="s">
        <v>42</v>
      </c>
      <c r="D643" s="32" t="s">
        <v>43</v>
      </c>
      <c r="E643" s="33"/>
      <c r="F643" s="33"/>
      <c r="G643" s="33"/>
      <c r="H643" s="33"/>
      <c r="I643" s="34" t="str">
        <f t="shared" si="46"/>
        <v>0/3</v>
      </c>
    </row>
    <row r="644" spans="1:9" x14ac:dyDescent="0.25">
      <c r="A644" s="30">
        <f>A634</f>
        <v>46489</v>
      </c>
      <c r="B644" s="31" t="s">
        <v>82</v>
      </c>
      <c r="C644" s="31" t="s">
        <v>44</v>
      </c>
      <c r="D644" s="32" t="s">
        <v>45</v>
      </c>
      <c r="E644" s="33"/>
      <c r="F644" s="33"/>
      <c r="G644" s="33"/>
      <c r="H644" s="33"/>
      <c r="I644" s="34" t="str">
        <f t="shared" si="46"/>
        <v>0/3</v>
      </c>
    </row>
    <row r="645" spans="1:9" x14ac:dyDescent="0.25">
      <c r="A645" s="30">
        <f>A634</f>
        <v>46489</v>
      </c>
      <c r="B645" s="31" t="s">
        <v>82</v>
      </c>
      <c r="C645" s="31" t="s">
        <v>46</v>
      </c>
      <c r="D645" s="32" t="s">
        <v>47</v>
      </c>
      <c r="E645" s="33"/>
      <c r="F645" s="33"/>
      <c r="G645" s="33"/>
      <c r="H645" s="33"/>
      <c r="I645" s="34" t="str">
        <f t="shared" si="46"/>
        <v>0/3</v>
      </c>
    </row>
    <row r="646" spans="1:9" x14ac:dyDescent="0.25">
      <c r="A646" s="30">
        <f>A634</f>
        <v>46489</v>
      </c>
      <c r="B646" s="31" t="s">
        <v>82</v>
      </c>
      <c r="C646" s="31" t="s">
        <v>48</v>
      </c>
      <c r="D646" s="32" t="s">
        <v>49</v>
      </c>
      <c r="E646" s="33"/>
      <c r="F646" s="33"/>
      <c r="G646" s="33"/>
      <c r="H646" s="33"/>
      <c r="I646" s="34" t="str">
        <f t="shared" si="46"/>
        <v>0/3</v>
      </c>
    </row>
    <row r="647" spans="1:9" x14ac:dyDescent="0.25">
      <c r="A647" s="30">
        <f>A634</f>
        <v>46489</v>
      </c>
      <c r="B647" s="31" t="s">
        <v>82</v>
      </c>
      <c r="C647" s="31" t="s">
        <v>50</v>
      </c>
      <c r="D647" s="32" t="s">
        <v>51</v>
      </c>
      <c r="E647" s="33"/>
      <c r="F647" s="33"/>
      <c r="G647" s="33"/>
      <c r="H647" s="33"/>
      <c r="I647" s="34" t="str">
        <f t="shared" si="46"/>
        <v>0/3</v>
      </c>
    </row>
    <row r="648" spans="1:9" x14ac:dyDescent="0.25">
      <c r="A648" s="30">
        <f>A634+7</f>
        <v>46496</v>
      </c>
      <c r="B648" s="31" t="s">
        <v>81</v>
      </c>
      <c r="C648" s="31" t="s">
        <v>37</v>
      </c>
      <c r="D648" s="32" t="s">
        <v>39</v>
      </c>
      <c r="E648" s="33"/>
      <c r="F648" s="33"/>
      <c r="G648" s="33"/>
      <c r="H648" s="33"/>
      <c r="I648" s="34" t="str">
        <f t="shared" si="46"/>
        <v>0/3</v>
      </c>
    </row>
    <row r="649" spans="1:9" ht="30" x14ac:dyDescent="0.25">
      <c r="A649" s="30">
        <f>A648</f>
        <v>46496</v>
      </c>
      <c r="B649" s="31" t="s">
        <v>81</v>
      </c>
      <c r="C649" s="31" t="s">
        <v>40</v>
      </c>
      <c r="D649" s="32" t="s">
        <v>41</v>
      </c>
      <c r="E649" s="33"/>
      <c r="F649" s="33"/>
      <c r="G649" s="33"/>
      <c r="H649" s="33"/>
      <c r="I649" s="34" t="str">
        <f t="shared" si="46"/>
        <v>0/3</v>
      </c>
    </row>
    <row r="650" spans="1:9" x14ac:dyDescent="0.25">
      <c r="A650" s="30">
        <f>A648</f>
        <v>46496</v>
      </c>
      <c r="B650" s="31" t="s">
        <v>81</v>
      </c>
      <c r="C650" s="31" t="s">
        <v>42</v>
      </c>
      <c r="D650" s="32" t="s">
        <v>43</v>
      </c>
      <c r="E650" s="33"/>
      <c r="F650" s="33"/>
      <c r="G650" s="33"/>
      <c r="H650" s="33"/>
      <c r="I650" s="34" t="str">
        <f t="shared" si="46"/>
        <v>0/3</v>
      </c>
    </row>
    <row r="651" spans="1:9" x14ac:dyDescent="0.25">
      <c r="A651" s="30">
        <f>A648</f>
        <v>46496</v>
      </c>
      <c r="B651" s="31" t="s">
        <v>81</v>
      </c>
      <c r="C651" s="31" t="s">
        <v>44</v>
      </c>
      <c r="D651" s="32" t="s">
        <v>45</v>
      </c>
      <c r="E651" s="33"/>
      <c r="F651" s="33"/>
      <c r="G651" s="33"/>
      <c r="H651" s="33"/>
      <c r="I651" s="34" t="str">
        <f t="shared" si="46"/>
        <v>0/3</v>
      </c>
    </row>
    <row r="652" spans="1:9" x14ac:dyDescent="0.25">
      <c r="A652" s="30">
        <f>A648</f>
        <v>46496</v>
      </c>
      <c r="B652" s="31" t="s">
        <v>81</v>
      </c>
      <c r="C652" s="31" t="s">
        <v>46</v>
      </c>
      <c r="D652" s="32" t="s">
        <v>47</v>
      </c>
      <c r="E652" s="33"/>
      <c r="F652" s="33"/>
      <c r="G652" s="33"/>
      <c r="H652" s="33"/>
      <c r="I652" s="34" t="str">
        <f t="shared" si="46"/>
        <v>0/3</v>
      </c>
    </row>
    <row r="653" spans="1:9" x14ac:dyDescent="0.25">
      <c r="A653" s="30">
        <f>A648</f>
        <v>46496</v>
      </c>
      <c r="B653" s="31" t="s">
        <v>81</v>
      </c>
      <c r="C653" s="31" t="s">
        <v>48</v>
      </c>
      <c r="D653" s="32" t="s">
        <v>49</v>
      </c>
      <c r="E653" s="33"/>
      <c r="F653" s="33"/>
      <c r="G653" s="33"/>
      <c r="H653" s="33"/>
      <c r="I653" s="34" t="str">
        <f t="shared" si="46"/>
        <v>0/3</v>
      </c>
    </row>
    <row r="654" spans="1:9" x14ac:dyDescent="0.25">
      <c r="A654" s="30">
        <f>A648</f>
        <v>46496</v>
      </c>
      <c r="B654" s="31" t="s">
        <v>81</v>
      </c>
      <c r="C654" s="31" t="s">
        <v>50</v>
      </c>
      <c r="D654" s="32" t="s">
        <v>51</v>
      </c>
      <c r="E654" s="33"/>
      <c r="F654" s="33"/>
      <c r="G654" s="33"/>
      <c r="H654" s="33"/>
      <c r="I654" s="34" t="str">
        <f t="shared" si="46"/>
        <v>0/3</v>
      </c>
    </row>
    <row r="655" spans="1:9" x14ac:dyDescent="0.25">
      <c r="A655" s="30">
        <f>A648</f>
        <v>46496</v>
      </c>
      <c r="B655" s="31" t="s">
        <v>82</v>
      </c>
      <c r="C655" s="31" t="s">
        <v>37</v>
      </c>
      <c r="D655" s="32" t="s">
        <v>39</v>
      </c>
      <c r="E655" s="33"/>
      <c r="F655" s="33"/>
      <c r="G655" s="33"/>
      <c r="H655" s="33"/>
      <c r="I655" s="34" t="str">
        <f>COUNTA(E655:H655)&amp;"/4"</f>
        <v>0/4</v>
      </c>
    </row>
    <row r="656" spans="1:9" ht="30" x14ac:dyDescent="0.25">
      <c r="A656" s="30">
        <f>A648</f>
        <v>46496</v>
      </c>
      <c r="B656" s="31" t="s">
        <v>82</v>
      </c>
      <c r="C656" s="31" t="s">
        <v>40</v>
      </c>
      <c r="D656" s="32" t="s">
        <v>41</v>
      </c>
      <c r="E656" s="33"/>
      <c r="F656" s="33"/>
      <c r="G656" s="33"/>
      <c r="H656" s="33"/>
      <c r="I656" s="34" t="str">
        <f t="shared" ref="I656:I668" si="47">COUNTA(E656:G656)&amp;"/3"</f>
        <v>0/3</v>
      </c>
    </row>
    <row r="657" spans="1:9" x14ac:dyDescent="0.25">
      <c r="A657" s="30">
        <f>A648</f>
        <v>46496</v>
      </c>
      <c r="B657" s="31" t="s">
        <v>82</v>
      </c>
      <c r="C657" s="31" t="s">
        <v>42</v>
      </c>
      <c r="D657" s="32" t="s">
        <v>43</v>
      </c>
      <c r="E657" s="33"/>
      <c r="F657" s="33"/>
      <c r="G657" s="33"/>
      <c r="H657" s="33"/>
      <c r="I657" s="34" t="str">
        <f t="shared" si="47"/>
        <v>0/3</v>
      </c>
    </row>
    <row r="658" spans="1:9" x14ac:dyDescent="0.25">
      <c r="A658" s="30">
        <f>A648</f>
        <v>46496</v>
      </c>
      <c r="B658" s="31" t="s">
        <v>82</v>
      </c>
      <c r="C658" s="31" t="s">
        <v>44</v>
      </c>
      <c r="D658" s="32" t="s">
        <v>45</v>
      </c>
      <c r="E658" s="33"/>
      <c r="F658" s="33"/>
      <c r="G658" s="33"/>
      <c r="H658" s="33"/>
      <c r="I658" s="34" t="str">
        <f t="shared" si="47"/>
        <v>0/3</v>
      </c>
    </row>
    <row r="659" spans="1:9" x14ac:dyDescent="0.25">
      <c r="A659" s="30">
        <f>A648</f>
        <v>46496</v>
      </c>
      <c r="B659" s="31" t="s">
        <v>82</v>
      </c>
      <c r="C659" s="31" t="s">
        <v>46</v>
      </c>
      <c r="D659" s="32" t="s">
        <v>47</v>
      </c>
      <c r="E659" s="33"/>
      <c r="F659" s="33"/>
      <c r="G659" s="33"/>
      <c r="H659" s="33"/>
      <c r="I659" s="34" t="str">
        <f t="shared" si="47"/>
        <v>0/3</v>
      </c>
    </row>
    <row r="660" spans="1:9" x14ac:dyDescent="0.25">
      <c r="A660" s="30">
        <f>A648</f>
        <v>46496</v>
      </c>
      <c r="B660" s="31" t="s">
        <v>82</v>
      </c>
      <c r="C660" s="31" t="s">
        <v>48</v>
      </c>
      <c r="D660" s="32" t="s">
        <v>49</v>
      </c>
      <c r="E660" s="33"/>
      <c r="F660" s="33"/>
      <c r="G660" s="33"/>
      <c r="H660" s="33"/>
      <c r="I660" s="34" t="str">
        <f t="shared" si="47"/>
        <v>0/3</v>
      </c>
    </row>
    <row r="661" spans="1:9" x14ac:dyDescent="0.25">
      <c r="A661" s="30">
        <f>A648</f>
        <v>46496</v>
      </c>
      <c r="B661" s="31" t="s">
        <v>82</v>
      </c>
      <c r="C661" s="31" t="s">
        <v>50</v>
      </c>
      <c r="D661" s="32" t="s">
        <v>51</v>
      </c>
      <c r="E661" s="33"/>
      <c r="F661" s="33"/>
      <c r="G661" s="33"/>
      <c r="H661" s="33"/>
      <c r="I661" s="34" t="str">
        <f t="shared" si="47"/>
        <v>0/3</v>
      </c>
    </row>
    <row r="662" spans="1:9" x14ac:dyDescent="0.25">
      <c r="A662" s="30">
        <f>A648+7</f>
        <v>46503</v>
      </c>
      <c r="B662" s="31" t="s">
        <v>81</v>
      </c>
      <c r="C662" s="31" t="s">
        <v>37</v>
      </c>
      <c r="D662" s="32" t="s">
        <v>39</v>
      </c>
      <c r="E662" s="33"/>
      <c r="F662" s="33"/>
      <c r="G662" s="33"/>
      <c r="H662" s="33"/>
      <c r="I662" s="34" t="str">
        <f t="shared" si="47"/>
        <v>0/3</v>
      </c>
    </row>
    <row r="663" spans="1:9" ht="30" x14ac:dyDescent="0.25">
      <c r="A663" s="30">
        <f>A662</f>
        <v>46503</v>
      </c>
      <c r="B663" s="31" t="s">
        <v>81</v>
      </c>
      <c r="C663" s="31" t="s">
        <v>40</v>
      </c>
      <c r="D663" s="32" t="s">
        <v>41</v>
      </c>
      <c r="E663" s="33"/>
      <c r="F663" s="33"/>
      <c r="G663" s="33"/>
      <c r="H663" s="33"/>
      <c r="I663" s="34" t="str">
        <f t="shared" si="47"/>
        <v>0/3</v>
      </c>
    </row>
    <row r="664" spans="1:9" x14ac:dyDescent="0.25">
      <c r="A664" s="30">
        <f>A662</f>
        <v>46503</v>
      </c>
      <c r="B664" s="31" t="s">
        <v>81</v>
      </c>
      <c r="C664" s="31" t="s">
        <v>42</v>
      </c>
      <c r="D664" s="32" t="s">
        <v>43</v>
      </c>
      <c r="E664" s="33"/>
      <c r="F664" s="33"/>
      <c r="G664" s="33"/>
      <c r="H664" s="33"/>
      <c r="I664" s="34" t="str">
        <f t="shared" si="47"/>
        <v>0/3</v>
      </c>
    </row>
    <row r="665" spans="1:9" x14ac:dyDescent="0.25">
      <c r="A665" s="30">
        <f>A662</f>
        <v>46503</v>
      </c>
      <c r="B665" s="31" t="s">
        <v>81</v>
      </c>
      <c r="C665" s="31" t="s">
        <v>44</v>
      </c>
      <c r="D665" s="32" t="s">
        <v>45</v>
      </c>
      <c r="E665" s="33"/>
      <c r="F665" s="33"/>
      <c r="G665" s="33"/>
      <c r="H665" s="33"/>
      <c r="I665" s="34" t="str">
        <f t="shared" si="47"/>
        <v>0/3</v>
      </c>
    </row>
    <row r="666" spans="1:9" x14ac:dyDescent="0.25">
      <c r="A666" s="30">
        <f>A662</f>
        <v>46503</v>
      </c>
      <c r="B666" s="31" t="s">
        <v>81</v>
      </c>
      <c r="C666" s="31" t="s">
        <v>46</v>
      </c>
      <c r="D666" s="32" t="s">
        <v>47</v>
      </c>
      <c r="E666" s="33"/>
      <c r="F666" s="33"/>
      <c r="G666" s="33"/>
      <c r="H666" s="33"/>
      <c r="I666" s="34" t="str">
        <f t="shared" si="47"/>
        <v>0/3</v>
      </c>
    </row>
    <row r="667" spans="1:9" x14ac:dyDescent="0.25">
      <c r="A667" s="30">
        <f>A662</f>
        <v>46503</v>
      </c>
      <c r="B667" s="31" t="s">
        <v>81</v>
      </c>
      <c r="C667" s="31" t="s">
        <v>48</v>
      </c>
      <c r="D667" s="32" t="s">
        <v>49</v>
      </c>
      <c r="E667" s="33"/>
      <c r="F667" s="33"/>
      <c r="G667" s="33"/>
      <c r="H667" s="33"/>
      <c r="I667" s="34" t="str">
        <f t="shared" si="47"/>
        <v>0/3</v>
      </c>
    </row>
    <row r="668" spans="1:9" x14ac:dyDescent="0.25">
      <c r="A668" s="30">
        <f>A662</f>
        <v>46503</v>
      </c>
      <c r="B668" s="31" t="s">
        <v>81</v>
      </c>
      <c r="C668" s="31" t="s">
        <v>50</v>
      </c>
      <c r="D668" s="32" t="s">
        <v>51</v>
      </c>
      <c r="E668" s="33"/>
      <c r="F668" s="33"/>
      <c r="G668" s="33"/>
      <c r="H668" s="33"/>
      <c r="I668" s="34" t="str">
        <f t="shared" si="47"/>
        <v>0/3</v>
      </c>
    </row>
    <row r="669" spans="1:9" x14ac:dyDescent="0.25">
      <c r="A669" s="30">
        <f>A662</f>
        <v>46503</v>
      </c>
      <c r="B669" s="31" t="s">
        <v>82</v>
      </c>
      <c r="C669" s="31" t="s">
        <v>37</v>
      </c>
      <c r="D669" s="32" t="s">
        <v>39</v>
      </c>
      <c r="E669" s="33"/>
      <c r="F669" s="33"/>
      <c r="G669" s="33"/>
      <c r="H669" s="33"/>
      <c r="I669" s="34" t="str">
        <f>COUNTA(E669:H669)&amp;"/4"</f>
        <v>0/4</v>
      </c>
    </row>
    <row r="670" spans="1:9" ht="30" x14ac:dyDescent="0.25">
      <c r="A670" s="30">
        <f>A662</f>
        <v>46503</v>
      </c>
      <c r="B670" s="31" t="s">
        <v>82</v>
      </c>
      <c r="C670" s="31" t="s">
        <v>40</v>
      </c>
      <c r="D670" s="32" t="s">
        <v>41</v>
      </c>
      <c r="E670" s="33"/>
      <c r="F670" s="33"/>
      <c r="G670" s="33"/>
      <c r="H670" s="33"/>
      <c r="I670" s="34" t="str">
        <f t="shared" ref="I670:I675" si="48">COUNTA(E670:G670)&amp;"/3"</f>
        <v>0/3</v>
      </c>
    </row>
    <row r="671" spans="1:9" x14ac:dyDescent="0.25">
      <c r="A671" s="30">
        <f>A662</f>
        <v>46503</v>
      </c>
      <c r="B671" s="31" t="s">
        <v>82</v>
      </c>
      <c r="C671" s="31" t="s">
        <v>42</v>
      </c>
      <c r="D671" s="32" t="s">
        <v>43</v>
      </c>
      <c r="E671" s="33"/>
      <c r="F671" s="33"/>
      <c r="G671" s="33"/>
      <c r="H671" s="33"/>
      <c r="I671" s="34" t="str">
        <f t="shared" si="48"/>
        <v>0/3</v>
      </c>
    </row>
    <row r="672" spans="1:9" x14ac:dyDescent="0.25">
      <c r="A672" s="30">
        <f>A662</f>
        <v>46503</v>
      </c>
      <c r="B672" s="31" t="s">
        <v>82</v>
      </c>
      <c r="C672" s="31" t="s">
        <v>44</v>
      </c>
      <c r="D672" s="32" t="s">
        <v>45</v>
      </c>
      <c r="E672" s="33"/>
      <c r="F672" s="33"/>
      <c r="G672" s="33"/>
      <c r="H672" s="33"/>
      <c r="I672" s="34" t="str">
        <f t="shared" si="48"/>
        <v>0/3</v>
      </c>
    </row>
    <row r="673" spans="1:9" x14ac:dyDescent="0.25">
      <c r="A673" s="30">
        <f>A662</f>
        <v>46503</v>
      </c>
      <c r="B673" s="31" t="s">
        <v>82</v>
      </c>
      <c r="C673" s="31" t="s">
        <v>46</v>
      </c>
      <c r="D673" s="32" t="s">
        <v>47</v>
      </c>
      <c r="E673" s="33"/>
      <c r="F673" s="33"/>
      <c r="G673" s="33"/>
      <c r="H673" s="33"/>
      <c r="I673" s="34" t="str">
        <f t="shared" si="48"/>
        <v>0/3</v>
      </c>
    </row>
    <row r="674" spans="1:9" x14ac:dyDescent="0.25">
      <c r="A674" s="30">
        <f>A662</f>
        <v>46503</v>
      </c>
      <c r="B674" s="31" t="s">
        <v>82</v>
      </c>
      <c r="C674" s="31" t="s">
        <v>48</v>
      </c>
      <c r="D674" s="32" t="s">
        <v>49</v>
      </c>
      <c r="E674" s="33"/>
      <c r="F674" s="33"/>
      <c r="G674" s="33"/>
      <c r="H674" s="33"/>
      <c r="I674" s="34" t="str">
        <f t="shared" si="48"/>
        <v>0/3</v>
      </c>
    </row>
    <row r="675" spans="1:9" x14ac:dyDescent="0.25">
      <c r="A675" s="30">
        <f>A662</f>
        <v>46503</v>
      </c>
      <c r="B675" s="31" t="s">
        <v>82</v>
      </c>
      <c r="C675" s="31" t="s">
        <v>50</v>
      </c>
      <c r="D675" s="32" t="s">
        <v>51</v>
      </c>
      <c r="E675" s="33"/>
      <c r="F675" s="33"/>
      <c r="G675" s="33"/>
      <c r="H675" s="33"/>
      <c r="I675" s="34" t="str">
        <f t="shared" si="48"/>
        <v>0/3</v>
      </c>
    </row>
  </sheetData>
  <mergeCells count="2">
    <mergeCell ref="A1:I1"/>
    <mergeCell ref="A2:I2"/>
  </mergeCells>
  <conditionalFormatting sqref="A4:I675">
    <cfRule type="expression" dxfId="75" priority="1">
      <formula>AND($A4&lt;=TODAY(),$A4+6&gt;=TODAY())</formula>
    </cfRule>
  </conditionalFormatting>
  <dataValidations count="1">
    <dataValidation type="decimal" operator="greaterThanOrEqual" sqref="E4:H675" xr:uid="{00000000-0002-0000-0400-000000000000}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W52"/>
  <sheetViews>
    <sheetView zoomScale="70" zoomScaleNormal="70" workbookViewId="0">
      <pane xSplit="1" ySplit="4" topLeftCell="B8" activePane="bottomRight" state="frozen"/>
      <selection pane="topRight"/>
      <selection pane="bottomLeft"/>
      <selection pane="bottomRight" activeCell="L20" sqref="L20"/>
    </sheetView>
  </sheetViews>
  <sheetFormatPr defaultRowHeight="15" x14ac:dyDescent="0.25"/>
  <cols>
    <col min="1" max="1" width="12" style="66" customWidth="1"/>
    <col min="2" max="23" width="10" style="66" customWidth="1"/>
  </cols>
  <sheetData>
    <row r="1" spans="1:23" x14ac:dyDescent="0.25">
      <c r="A1" s="73" t="s">
        <v>86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U1" s="80" t="s">
        <v>87</v>
      </c>
      <c r="V1" s="74"/>
      <c r="W1" s="74"/>
    </row>
    <row r="2" spans="1:23" x14ac:dyDescent="0.25">
      <c r="A2" s="81" t="s">
        <v>73</v>
      </c>
      <c r="B2" s="77" t="s">
        <v>54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9"/>
    </row>
    <row r="3" spans="1:23" x14ac:dyDescent="0.25">
      <c r="A3" s="82"/>
      <c r="B3" s="77" t="s">
        <v>88</v>
      </c>
      <c r="C3" s="78"/>
      <c r="D3" s="79"/>
      <c r="E3" s="77" t="s">
        <v>89</v>
      </c>
      <c r="F3" s="78"/>
      <c r="G3" s="79"/>
      <c r="H3" s="77" t="s">
        <v>90</v>
      </c>
      <c r="I3" s="78"/>
      <c r="J3" s="79"/>
      <c r="K3" s="77" t="s">
        <v>91</v>
      </c>
      <c r="L3" s="78"/>
      <c r="M3" s="79"/>
      <c r="N3" s="77" t="s">
        <v>92</v>
      </c>
      <c r="O3" s="78"/>
      <c r="P3" s="79"/>
      <c r="Q3" s="77" t="s">
        <v>93</v>
      </c>
      <c r="R3" s="78"/>
      <c r="S3" s="79"/>
      <c r="U3" s="35" t="s">
        <v>76</v>
      </c>
      <c r="V3" s="35" t="s">
        <v>77</v>
      </c>
      <c r="W3" s="35" t="s">
        <v>78</v>
      </c>
    </row>
    <row r="4" spans="1:23" x14ac:dyDescent="0.25">
      <c r="B4" s="67" t="s">
        <v>76</v>
      </c>
      <c r="C4" s="67" t="s">
        <v>77</v>
      </c>
      <c r="D4" s="67" t="s">
        <v>78</v>
      </c>
      <c r="E4" s="67" t="s">
        <v>76</v>
      </c>
      <c r="F4" s="67" t="s">
        <v>77</v>
      </c>
      <c r="G4" s="67" t="s">
        <v>78</v>
      </c>
      <c r="H4" s="67" t="s">
        <v>76</v>
      </c>
      <c r="I4" s="67" t="s">
        <v>77</v>
      </c>
      <c r="J4" s="67" t="s">
        <v>78</v>
      </c>
      <c r="K4" s="67" t="s">
        <v>76</v>
      </c>
      <c r="L4" s="67" t="s">
        <v>77</v>
      </c>
      <c r="M4" s="67" t="s">
        <v>78</v>
      </c>
      <c r="N4" s="67" t="s">
        <v>76</v>
      </c>
      <c r="O4" s="67" t="s">
        <v>77</v>
      </c>
      <c r="P4" s="67" t="s">
        <v>78</v>
      </c>
      <c r="Q4" s="67" t="s">
        <v>76</v>
      </c>
      <c r="R4" s="67" t="s">
        <v>77</v>
      </c>
      <c r="S4" s="67" t="s">
        <v>78</v>
      </c>
      <c r="U4" s="36"/>
      <c r="V4" s="36"/>
      <c r="W4" s="36"/>
    </row>
    <row r="5" spans="1:23" x14ac:dyDescent="0.25">
      <c r="A5" s="18">
        <f>СПРАВОЧНИК!$B$35</f>
        <v>46174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U5" s="38">
        <f t="shared" ref="U5:U52" si="0">B5+E5+H5+K5+N5+Q5</f>
        <v>0</v>
      </c>
      <c r="V5" s="38">
        <f t="shared" ref="V5:V52" si="1">C5+F5+I5+L5+O5+R5</f>
        <v>0</v>
      </c>
      <c r="W5" s="38">
        <f t="shared" ref="W5:W52" si="2">D5+G5+J5+M5+P5+S5</f>
        <v>0</v>
      </c>
    </row>
    <row r="6" spans="1:23" x14ac:dyDescent="0.25">
      <c r="A6" s="18">
        <f t="shared" ref="A6:A52" si="3">A5+7</f>
        <v>46181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U6" s="38">
        <f t="shared" si="0"/>
        <v>0</v>
      </c>
      <c r="V6" s="38">
        <f t="shared" si="1"/>
        <v>0</v>
      </c>
      <c r="W6" s="38">
        <f t="shared" si="2"/>
        <v>0</v>
      </c>
    </row>
    <row r="7" spans="1:23" x14ac:dyDescent="0.25">
      <c r="A7" s="18">
        <f t="shared" si="3"/>
        <v>46188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U7" s="38">
        <f t="shared" si="0"/>
        <v>0</v>
      </c>
      <c r="V7" s="38">
        <f t="shared" si="1"/>
        <v>0</v>
      </c>
      <c r="W7" s="38">
        <f t="shared" si="2"/>
        <v>0</v>
      </c>
    </row>
    <row r="8" spans="1:23" x14ac:dyDescent="0.25">
      <c r="A8" s="18">
        <f t="shared" si="3"/>
        <v>46195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U8" s="38">
        <f t="shared" si="0"/>
        <v>0</v>
      </c>
      <c r="V8" s="38">
        <f t="shared" si="1"/>
        <v>0</v>
      </c>
      <c r="W8" s="38">
        <f t="shared" si="2"/>
        <v>0</v>
      </c>
    </row>
    <row r="9" spans="1:23" x14ac:dyDescent="0.25">
      <c r="A9" s="18">
        <f t="shared" si="3"/>
        <v>46202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U9" s="38">
        <f t="shared" si="0"/>
        <v>0</v>
      </c>
      <c r="V9" s="38">
        <f t="shared" si="1"/>
        <v>0</v>
      </c>
      <c r="W9" s="38">
        <f t="shared" si="2"/>
        <v>0</v>
      </c>
    </row>
    <row r="10" spans="1:23" x14ac:dyDescent="0.25">
      <c r="A10" s="18">
        <f t="shared" si="3"/>
        <v>46209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U10" s="38">
        <f t="shared" si="0"/>
        <v>0</v>
      </c>
      <c r="V10" s="38">
        <f t="shared" si="1"/>
        <v>0</v>
      </c>
      <c r="W10" s="38">
        <f t="shared" si="2"/>
        <v>0</v>
      </c>
    </row>
    <row r="11" spans="1:23" x14ac:dyDescent="0.25">
      <c r="A11" s="18">
        <f t="shared" si="3"/>
        <v>46216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U11" s="38">
        <f t="shared" si="0"/>
        <v>0</v>
      </c>
      <c r="V11" s="38">
        <f t="shared" si="1"/>
        <v>0</v>
      </c>
      <c r="W11" s="38">
        <f t="shared" si="2"/>
        <v>0</v>
      </c>
    </row>
    <row r="12" spans="1:23" x14ac:dyDescent="0.25">
      <c r="A12" s="18">
        <f t="shared" si="3"/>
        <v>46223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U12" s="38">
        <f t="shared" si="0"/>
        <v>0</v>
      </c>
      <c r="V12" s="38">
        <f t="shared" si="1"/>
        <v>0</v>
      </c>
      <c r="W12" s="38">
        <f t="shared" si="2"/>
        <v>0</v>
      </c>
    </row>
    <row r="13" spans="1:23" x14ac:dyDescent="0.25">
      <c r="A13" s="18">
        <f t="shared" si="3"/>
        <v>46230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U13" s="38">
        <f t="shared" si="0"/>
        <v>0</v>
      </c>
      <c r="V13" s="38">
        <f t="shared" si="1"/>
        <v>0</v>
      </c>
      <c r="W13" s="38">
        <f t="shared" si="2"/>
        <v>0</v>
      </c>
    </row>
    <row r="14" spans="1:23" x14ac:dyDescent="0.25">
      <c r="A14" s="18">
        <f t="shared" si="3"/>
        <v>46237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U14" s="38">
        <f t="shared" si="0"/>
        <v>0</v>
      </c>
      <c r="V14" s="38">
        <f t="shared" si="1"/>
        <v>0</v>
      </c>
      <c r="W14" s="38">
        <f t="shared" si="2"/>
        <v>0</v>
      </c>
    </row>
    <row r="15" spans="1:23" x14ac:dyDescent="0.25">
      <c r="A15" s="18">
        <f t="shared" si="3"/>
        <v>46244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U15" s="38">
        <f t="shared" si="0"/>
        <v>0</v>
      </c>
      <c r="V15" s="38">
        <f t="shared" si="1"/>
        <v>0</v>
      </c>
      <c r="W15" s="38">
        <f t="shared" si="2"/>
        <v>0</v>
      </c>
    </row>
    <row r="16" spans="1:23" x14ac:dyDescent="0.25">
      <c r="A16" s="18">
        <f t="shared" si="3"/>
        <v>46251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U16" s="38">
        <f t="shared" si="0"/>
        <v>0</v>
      </c>
      <c r="V16" s="38">
        <f t="shared" si="1"/>
        <v>0</v>
      </c>
      <c r="W16" s="38">
        <f t="shared" si="2"/>
        <v>0</v>
      </c>
    </row>
    <row r="17" spans="1:23" x14ac:dyDescent="0.25">
      <c r="A17" s="18">
        <f t="shared" si="3"/>
        <v>46258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U17" s="38">
        <f t="shared" si="0"/>
        <v>0</v>
      </c>
      <c r="V17" s="38">
        <f t="shared" si="1"/>
        <v>0</v>
      </c>
      <c r="W17" s="38">
        <f t="shared" si="2"/>
        <v>0</v>
      </c>
    </row>
    <row r="18" spans="1:23" x14ac:dyDescent="0.25">
      <c r="A18" s="18">
        <f t="shared" si="3"/>
        <v>46265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U18" s="38">
        <f t="shared" si="0"/>
        <v>0</v>
      </c>
      <c r="V18" s="38">
        <f t="shared" si="1"/>
        <v>0</v>
      </c>
      <c r="W18" s="38">
        <f t="shared" si="2"/>
        <v>0</v>
      </c>
    </row>
    <row r="19" spans="1:23" x14ac:dyDescent="0.25">
      <c r="A19" s="18">
        <f t="shared" si="3"/>
        <v>46272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U19" s="38">
        <f t="shared" si="0"/>
        <v>0</v>
      </c>
      <c r="V19" s="38">
        <f t="shared" si="1"/>
        <v>0</v>
      </c>
      <c r="W19" s="38">
        <f t="shared" si="2"/>
        <v>0</v>
      </c>
    </row>
    <row r="20" spans="1:23" x14ac:dyDescent="0.25">
      <c r="A20" s="18">
        <f t="shared" si="3"/>
        <v>46279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U20" s="38">
        <f t="shared" si="0"/>
        <v>0</v>
      </c>
      <c r="V20" s="38">
        <f t="shared" si="1"/>
        <v>0</v>
      </c>
      <c r="W20" s="38">
        <f t="shared" si="2"/>
        <v>0</v>
      </c>
    </row>
    <row r="21" spans="1:23" x14ac:dyDescent="0.25">
      <c r="A21" s="18">
        <f t="shared" si="3"/>
        <v>46286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U21" s="38">
        <f t="shared" si="0"/>
        <v>0</v>
      </c>
      <c r="V21" s="38">
        <f t="shared" si="1"/>
        <v>0</v>
      </c>
      <c r="W21" s="38">
        <f t="shared" si="2"/>
        <v>0</v>
      </c>
    </row>
    <row r="22" spans="1:23" x14ac:dyDescent="0.25">
      <c r="A22" s="18">
        <f t="shared" si="3"/>
        <v>46293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U22" s="38">
        <f t="shared" si="0"/>
        <v>0</v>
      </c>
      <c r="V22" s="38">
        <f t="shared" si="1"/>
        <v>0</v>
      </c>
      <c r="W22" s="38">
        <f t="shared" si="2"/>
        <v>0</v>
      </c>
    </row>
    <row r="23" spans="1:23" x14ac:dyDescent="0.25">
      <c r="A23" s="18">
        <f t="shared" si="3"/>
        <v>46300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U23" s="38">
        <f t="shared" si="0"/>
        <v>0</v>
      </c>
      <c r="V23" s="38">
        <f t="shared" si="1"/>
        <v>0</v>
      </c>
      <c r="W23" s="38">
        <f t="shared" si="2"/>
        <v>0</v>
      </c>
    </row>
    <row r="24" spans="1:23" x14ac:dyDescent="0.25">
      <c r="A24" s="18">
        <f t="shared" si="3"/>
        <v>46307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U24" s="38">
        <f t="shared" si="0"/>
        <v>0</v>
      </c>
      <c r="V24" s="38">
        <f t="shared" si="1"/>
        <v>0</v>
      </c>
      <c r="W24" s="38">
        <f t="shared" si="2"/>
        <v>0</v>
      </c>
    </row>
    <row r="25" spans="1:23" x14ac:dyDescent="0.25">
      <c r="A25" s="18">
        <f t="shared" si="3"/>
        <v>46314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U25" s="38">
        <f t="shared" si="0"/>
        <v>0</v>
      </c>
      <c r="V25" s="38">
        <f t="shared" si="1"/>
        <v>0</v>
      </c>
      <c r="W25" s="38">
        <f t="shared" si="2"/>
        <v>0</v>
      </c>
    </row>
    <row r="26" spans="1:23" x14ac:dyDescent="0.25">
      <c r="A26" s="18">
        <f t="shared" si="3"/>
        <v>46321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U26" s="38">
        <f t="shared" si="0"/>
        <v>0</v>
      </c>
      <c r="V26" s="38">
        <f t="shared" si="1"/>
        <v>0</v>
      </c>
      <c r="W26" s="38">
        <f t="shared" si="2"/>
        <v>0</v>
      </c>
    </row>
    <row r="27" spans="1:23" x14ac:dyDescent="0.25">
      <c r="A27" s="18">
        <f t="shared" si="3"/>
        <v>46328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U27" s="38">
        <f t="shared" si="0"/>
        <v>0</v>
      </c>
      <c r="V27" s="38">
        <f t="shared" si="1"/>
        <v>0</v>
      </c>
      <c r="W27" s="38">
        <f t="shared" si="2"/>
        <v>0</v>
      </c>
    </row>
    <row r="28" spans="1:23" x14ac:dyDescent="0.25">
      <c r="A28" s="18">
        <f t="shared" si="3"/>
        <v>46335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U28" s="38">
        <f t="shared" si="0"/>
        <v>0</v>
      </c>
      <c r="V28" s="38">
        <f t="shared" si="1"/>
        <v>0</v>
      </c>
      <c r="W28" s="38">
        <f t="shared" si="2"/>
        <v>0</v>
      </c>
    </row>
    <row r="29" spans="1:23" x14ac:dyDescent="0.25">
      <c r="A29" s="18">
        <f t="shared" si="3"/>
        <v>46342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U29" s="38">
        <f t="shared" si="0"/>
        <v>0</v>
      </c>
      <c r="V29" s="38">
        <f t="shared" si="1"/>
        <v>0</v>
      </c>
      <c r="W29" s="38">
        <f t="shared" si="2"/>
        <v>0</v>
      </c>
    </row>
    <row r="30" spans="1:23" x14ac:dyDescent="0.25">
      <c r="A30" s="18">
        <f t="shared" si="3"/>
        <v>46349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U30" s="38">
        <f t="shared" si="0"/>
        <v>0</v>
      </c>
      <c r="V30" s="38">
        <f t="shared" si="1"/>
        <v>0</v>
      </c>
      <c r="W30" s="38">
        <f t="shared" si="2"/>
        <v>0</v>
      </c>
    </row>
    <row r="31" spans="1:23" x14ac:dyDescent="0.25">
      <c r="A31" s="18">
        <f t="shared" si="3"/>
        <v>46356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U31" s="38">
        <f t="shared" si="0"/>
        <v>0</v>
      </c>
      <c r="V31" s="38">
        <f t="shared" si="1"/>
        <v>0</v>
      </c>
      <c r="W31" s="38">
        <f t="shared" si="2"/>
        <v>0</v>
      </c>
    </row>
    <row r="32" spans="1:23" x14ac:dyDescent="0.25">
      <c r="A32" s="18">
        <f t="shared" si="3"/>
        <v>46363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U32" s="38">
        <f t="shared" si="0"/>
        <v>0</v>
      </c>
      <c r="V32" s="38">
        <f t="shared" si="1"/>
        <v>0</v>
      </c>
      <c r="W32" s="38">
        <f t="shared" si="2"/>
        <v>0</v>
      </c>
    </row>
    <row r="33" spans="1:23" x14ac:dyDescent="0.25">
      <c r="A33" s="18">
        <f t="shared" si="3"/>
        <v>46370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U33" s="38">
        <f t="shared" si="0"/>
        <v>0</v>
      </c>
      <c r="V33" s="38">
        <f t="shared" si="1"/>
        <v>0</v>
      </c>
      <c r="W33" s="38">
        <f t="shared" si="2"/>
        <v>0</v>
      </c>
    </row>
    <row r="34" spans="1:23" x14ac:dyDescent="0.25">
      <c r="A34" s="18">
        <f t="shared" si="3"/>
        <v>46377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U34" s="38">
        <f t="shared" si="0"/>
        <v>0</v>
      </c>
      <c r="V34" s="38">
        <f t="shared" si="1"/>
        <v>0</v>
      </c>
      <c r="W34" s="38">
        <f t="shared" si="2"/>
        <v>0</v>
      </c>
    </row>
    <row r="35" spans="1:23" x14ac:dyDescent="0.25">
      <c r="A35" s="18">
        <f t="shared" si="3"/>
        <v>46384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U35" s="38">
        <f t="shared" si="0"/>
        <v>0</v>
      </c>
      <c r="V35" s="38">
        <f t="shared" si="1"/>
        <v>0</v>
      </c>
      <c r="W35" s="38">
        <f t="shared" si="2"/>
        <v>0</v>
      </c>
    </row>
    <row r="36" spans="1:23" x14ac:dyDescent="0.25">
      <c r="A36" s="18">
        <f t="shared" si="3"/>
        <v>46391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U36" s="38">
        <f t="shared" si="0"/>
        <v>0</v>
      </c>
      <c r="V36" s="38">
        <f t="shared" si="1"/>
        <v>0</v>
      </c>
      <c r="W36" s="38">
        <f t="shared" si="2"/>
        <v>0</v>
      </c>
    </row>
    <row r="37" spans="1:23" x14ac:dyDescent="0.25">
      <c r="A37" s="18">
        <f t="shared" si="3"/>
        <v>46398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U37" s="38">
        <f t="shared" si="0"/>
        <v>0</v>
      </c>
      <c r="V37" s="38">
        <f t="shared" si="1"/>
        <v>0</v>
      </c>
      <c r="W37" s="38">
        <f t="shared" si="2"/>
        <v>0</v>
      </c>
    </row>
    <row r="38" spans="1:23" x14ac:dyDescent="0.25">
      <c r="A38" s="18">
        <f t="shared" si="3"/>
        <v>46405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U38" s="38">
        <f t="shared" si="0"/>
        <v>0</v>
      </c>
      <c r="V38" s="38">
        <f t="shared" si="1"/>
        <v>0</v>
      </c>
      <c r="W38" s="38">
        <f t="shared" si="2"/>
        <v>0</v>
      </c>
    </row>
    <row r="39" spans="1:23" x14ac:dyDescent="0.25">
      <c r="A39" s="18">
        <f t="shared" si="3"/>
        <v>46412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U39" s="38">
        <f t="shared" si="0"/>
        <v>0</v>
      </c>
      <c r="V39" s="38">
        <f t="shared" si="1"/>
        <v>0</v>
      </c>
      <c r="W39" s="38">
        <f t="shared" si="2"/>
        <v>0</v>
      </c>
    </row>
    <row r="40" spans="1:23" x14ac:dyDescent="0.25">
      <c r="A40" s="18">
        <f t="shared" si="3"/>
        <v>46419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U40" s="38">
        <f t="shared" si="0"/>
        <v>0</v>
      </c>
      <c r="V40" s="38">
        <f t="shared" si="1"/>
        <v>0</v>
      </c>
      <c r="W40" s="38">
        <f t="shared" si="2"/>
        <v>0</v>
      </c>
    </row>
    <row r="41" spans="1:23" x14ac:dyDescent="0.25">
      <c r="A41" s="18">
        <f t="shared" si="3"/>
        <v>46426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U41" s="38">
        <f t="shared" si="0"/>
        <v>0</v>
      </c>
      <c r="V41" s="38">
        <f t="shared" si="1"/>
        <v>0</v>
      </c>
      <c r="W41" s="38">
        <f t="shared" si="2"/>
        <v>0</v>
      </c>
    </row>
    <row r="42" spans="1:23" x14ac:dyDescent="0.25">
      <c r="A42" s="18">
        <f t="shared" si="3"/>
        <v>46433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U42" s="38">
        <f t="shared" si="0"/>
        <v>0</v>
      </c>
      <c r="V42" s="38">
        <f t="shared" si="1"/>
        <v>0</v>
      </c>
      <c r="W42" s="38">
        <f t="shared" si="2"/>
        <v>0</v>
      </c>
    </row>
    <row r="43" spans="1:23" x14ac:dyDescent="0.25">
      <c r="A43" s="18">
        <f t="shared" si="3"/>
        <v>46440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U43" s="38">
        <f t="shared" si="0"/>
        <v>0</v>
      </c>
      <c r="V43" s="38">
        <f t="shared" si="1"/>
        <v>0</v>
      </c>
      <c r="W43" s="38">
        <f t="shared" si="2"/>
        <v>0</v>
      </c>
    </row>
    <row r="44" spans="1:23" x14ac:dyDescent="0.25">
      <c r="A44" s="18">
        <f t="shared" si="3"/>
        <v>46447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U44" s="38">
        <f t="shared" si="0"/>
        <v>0</v>
      </c>
      <c r="V44" s="38">
        <f t="shared" si="1"/>
        <v>0</v>
      </c>
      <c r="W44" s="38">
        <f t="shared" si="2"/>
        <v>0</v>
      </c>
    </row>
    <row r="45" spans="1:23" x14ac:dyDescent="0.25">
      <c r="A45" s="18">
        <f t="shared" si="3"/>
        <v>46454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U45" s="38">
        <f t="shared" si="0"/>
        <v>0</v>
      </c>
      <c r="V45" s="38">
        <f t="shared" si="1"/>
        <v>0</v>
      </c>
      <c r="W45" s="38">
        <f t="shared" si="2"/>
        <v>0</v>
      </c>
    </row>
    <row r="46" spans="1:23" x14ac:dyDescent="0.25">
      <c r="A46" s="18">
        <f t="shared" si="3"/>
        <v>46461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U46" s="38">
        <f t="shared" si="0"/>
        <v>0</v>
      </c>
      <c r="V46" s="38">
        <f t="shared" si="1"/>
        <v>0</v>
      </c>
      <c r="W46" s="38">
        <f t="shared" si="2"/>
        <v>0</v>
      </c>
    </row>
    <row r="47" spans="1:23" x14ac:dyDescent="0.25">
      <c r="A47" s="18">
        <f t="shared" si="3"/>
        <v>46468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U47" s="38">
        <f t="shared" si="0"/>
        <v>0</v>
      </c>
      <c r="V47" s="38">
        <f t="shared" si="1"/>
        <v>0</v>
      </c>
      <c r="W47" s="38">
        <f t="shared" si="2"/>
        <v>0</v>
      </c>
    </row>
    <row r="48" spans="1:23" x14ac:dyDescent="0.25">
      <c r="A48" s="18">
        <f t="shared" si="3"/>
        <v>46475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U48" s="38">
        <f t="shared" si="0"/>
        <v>0</v>
      </c>
      <c r="V48" s="38">
        <f t="shared" si="1"/>
        <v>0</v>
      </c>
      <c r="W48" s="38">
        <f t="shared" si="2"/>
        <v>0</v>
      </c>
    </row>
    <row r="49" spans="1:23" x14ac:dyDescent="0.25">
      <c r="A49" s="18">
        <f t="shared" si="3"/>
        <v>46482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U49" s="38">
        <f t="shared" si="0"/>
        <v>0</v>
      </c>
      <c r="V49" s="38">
        <f t="shared" si="1"/>
        <v>0</v>
      </c>
      <c r="W49" s="38">
        <f t="shared" si="2"/>
        <v>0</v>
      </c>
    </row>
    <row r="50" spans="1:23" x14ac:dyDescent="0.25">
      <c r="A50" s="18">
        <f t="shared" si="3"/>
        <v>46489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U50" s="38">
        <f t="shared" si="0"/>
        <v>0</v>
      </c>
      <c r="V50" s="38">
        <f t="shared" si="1"/>
        <v>0</v>
      </c>
      <c r="W50" s="38">
        <f t="shared" si="2"/>
        <v>0</v>
      </c>
    </row>
    <row r="51" spans="1:23" x14ac:dyDescent="0.25">
      <c r="A51" s="18">
        <f t="shared" si="3"/>
        <v>46496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U51" s="38">
        <f t="shared" si="0"/>
        <v>0</v>
      </c>
      <c r="V51" s="38">
        <f t="shared" si="1"/>
        <v>0</v>
      </c>
      <c r="W51" s="38">
        <f t="shared" si="2"/>
        <v>0</v>
      </c>
    </row>
    <row r="52" spans="1:23" x14ac:dyDescent="0.25">
      <c r="A52" s="18">
        <f t="shared" si="3"/>
        <v>46503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U52" s="38">
        <f t="shared" si="0"/>
        <v>0</v>
      </c>
      <c r="V52" s="38">
        <f t="shared" si="1"/>
        <v>0</v>
      </c>
      <c r="W52" s="38">
        <f t="shared" si="2"/>
        <v>0</v>
      </c>
    </row>
  </sheetData>
  <mergeCells count="10">
    <mergeCell ref="B3:D3"/>
    <mergeCell ref="U1:W1"/>
    <mergeCell ref="B2:S2"/>
    <mergeCell ref="A1:S1"/>
    <mergeCell ref="A2:A3"/>
    <mergeCell ref="E3:G3"/>
    <mergeCell ref="K3:M3"/>
    <mergeCell ref="H3:J3"/>
    <mergeCell ref="N3:P3"/>
    <mergeCell ref="Q3:S3"/>
  </mergeCells>
  <conditionalFormatting sqref="A5:A52">
    <cfRule type="expression" dxfId="74" priority="1">
      <formula>AND($A5&lt;=TODAY(),$A5+6&gt;=TODAY())</formula>
    </cfRule>
  </conditionalFormatting>
  <dataValidations count="1">
    <dataValidation type="decimal" operator="greaterThanOrEqual" sqref="B5:S52" xr:uid="{00000000-0002-0000-0500-000000000000}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W52"/>
  <sheetViews>
    <sheetView workbookViewId="0">
      <pane xSplit="1" ySplit="4" topLeftCell="B5" activePane="bottomRight" state="frozen"/>
      <selection pane="topRight"/>
      <selection pane="bottomLeft"/>
      <selection pane="bottomRight" activeCell="I8" sqref="I8"/>
    </sheetView>
  </sheetViews>
  <sheetFormatPr defaultRowHeight="15" x14ac:dyDescent="0.25"/>
  <cols>
    <col min="1" max="1" width="12" style="66" customWidth="1"/>
    <col min="2" max="23" width="10" style="66" customWidth="1"/>
  </cols>
  <sheetData>
    <row r="1" spans="1:23" x14ac:dyDescent="0.25">
      <c r="A1" s="73" t="s">
        <v>94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U1" s="80" t="s">
        <v>87</v>
      </c>
      <c r="V1" s="74"/>
      <c r="W1" s="74"/>
    </row>
    <row r="2" spans="1:23" x14ac:dyDescent="0.25">
      <c r="A2" s="81" t="s">
        <v>73</v>
      </c>
      <c r="B2" s="77" t="s">
        <v>54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9"/>
    </row>
    <row r="3" spans="1:23" x14ac:dyDescent="0.25">
      <c r="A3" s="82"/>
      <c r="B3" s="77" t="s">
        <v>88</v>
      </c>
      <c r="C3" s="78"/>
      <c r="D3" s="79"/>
      <c r="E3" s="77" t="s">
        <v>89</v>
      </c>
      <c r="F3" s="78"/>
      <c r="G3" s="79"/>
      <c r="H3" s="77" t="s">
        <v>90</v>
      </c>
      <c r="I3" s="78"/>
      <c r="J3" s="79"/>
      <c r="K3" s="77" t="s">
        <v>91</v>
      </c>
      <c r="L3" s="78"/>
      <c r="M3" s="79"/>
      <c r="N3" s="77" t="s">
        <v>92</v>
      </c>
      <c r="O3" s="78"/>
      <c r="P3" s="79"/>
      <c r="Q3" s="77" t="s">
        <v>93</v>
      </c>
      <c r="R3" s="78"/>
      <c r="S3" s="79"/>
      <c r="U3" s="35" t="s">
        <v>76</v>
      </c>
      <c r="V3" s="35" t="s">
        <v>77</v>
      </c>
      <c r="W3" s="35" t="s">
        <v>78</v>
      </c>
    </row>
    <row r="4" spans="1:23" x14ac:dyDescent="0.25">
      <c r="B4" s="67" t="s">
        <v>76</v>
      </c>
      <c r="C4" s="67" t="s">
        <v>77</v>
      </c>
      <c r="D4" s="67" t="s">
        <v>78</v>
      </c>
      <c r="E4" s="67" t="s">
        <v>76</v>
      </c>
      <c r="F4" s="67" t="s">
        <v>77</v>
      </c>
      <c r="G4" s="67" t="s">
        <v>78</v>
      </c>
      <c r="H4" s="67" t="s">
        <v>76</v>
      </c>
      <c r="I4" s="67" t="s">
        <v>77</v>
      </c>
      <c r="J4" s="67" t="s">
        <v>78</v>
      </c>
      <c r="K4" s="67" t="s">
        <v>76</v>
      </c>
      <c r="L4" s="67" t="s">
        <v>77</v>
      </c>
      <c r="M4" s="67" t="s">
        <v>78</v>
      </c>
      <c r="N4" s="67" t="s">
        <v>76</v>
      </c>
      <c r="O4" s="67" t="s">
        <v>77</v>
      </c>
      <c r="P4" s="67" t="s">
        <v>78</v>
      </c>
      <c r="Q4" s="67" t="s">
        <v>76</v>
      </c>
      <c r="R4" s="67" t="s">
        <v>77</v>
      </c>
      <c r="S4" s="67" t="s">
        <v>78</v>
      </c>
      <c r="U4" s="36"/>
      <c r="V4" s="36"/>
      <c r="W4" s="36"/>
    </row>
    <row r="5" spans="1:23" x14ac:dyDescent="0.25">
      <c r="A5" s="18">
        <f>СПРАВОЧНИК!$B$35</f>
        <v>46174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U5" s="38">
        <f t="shared" ref="U5:U52" si="0">B5+E5+H5+K5+N5+Q5</f>
        <v>0</v>
      </c>
      <c r="V5" s="38">
        <f t="shared" ref="V5:V52" si="1">C5+F5+I5+L5+O5+R5</f>
        <v>0</v>
      </c>
      <c r="W5" s="38">
        <f t="shared" ref="W5:W52" si="2">D5+G5+J5+M5+P5+S5</f>
        <v>0</v>
      </c>
    </row>
    <row r="6" spans="1:23" x14ac:dyDescent="0.25">
      <c r="A6" s="18">
        <f t="shared" ref="A6:A52" si="3">A5+7</f>
        <v>46181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U6" s="38">
        <f t="shared" si="0"/>
        <v>0</v>
      </c>
      <c r="V6" s="38">
        <f t="shared" si="1"/>
        <v>0</v>
      </c>
      <c r="W6" s="38">
        <f t="shared" si="2"/>
        <v>0</v>
      </c>
    </row>
    <row r="7" spans="1:23" x14ac:dyDescent="0.25">
      <c r="A7" s="18">
        <f t="shared" si="3"/>
        <v>46188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U7" s="38">
        <f t="shared" si="0"/>
        <v>0</v>
      </c>
      <c r="V7" s="38">
        <f t="shared" si="1"/>
        <v>0</v>
      </c>
      <c r="W7" s="38">
        <f t="shared" si="2"/>
        <v>0</v>
      </c>
    </row>
    <row r="8" spans="1:23" x14ac:dyDescent="0.25">
      <c r="A8" s="18">
        <f t="shared" si="3"/>
        <v>46195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U8" s="38">
        <f t="shared" si="0"/>
        <v>0</v>
      </c>
      <c r="V8" s="38">
        <f t="shared" si="1"/>
        <v>0</v>
      </c>
      <c r="W8" s="38">
        <f t="shared" si="2"/>
        <v>0</v>
      </c>
    </row>
    <row r="9" spans="1:23" x14ac:dyDescent="0.25">
      <c r="A9" s="18">
        <f t="shared" si="3"/>
        <v>46202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U9" s="38">
        <f t="shared" si="0"/>
        <v>0</v>
      </c>
      <c r="V9" s="38">
        <f t="shared" si="1"/>
        <v>0</v>
      </c>
      <c r="W9" s="38">
        <f t="shared" si="2"/>
        <v>0</v>
      </c>
    </row>
    <row r="10" spans="1:23" x14ac:dyDescent="0.25">
      <c r="A10" s="18">
        <f t="shared" si="3"/>
        <v>46209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U10" s="38">
        <f t="shared" si="0"/>
        <v>0</v>
      </c>
      <c r="V10" s="38">
        <f t="shared" si="1"/>
        <v>0</v>
      </c>
      <c r="W10" s="38">
        <f t="shared" si="2"/>
        <v>0</v>
      </c>
    </row>
    <row r="11" spans="1:23" x14ac:dyDescent="0.25">
      <c r="A11" s="18">
        <f t="shared" si="3"/>
        <v>46216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U11" s="38">
        <f t="shared" si="0"/>
        <v>0</v>
      </c>
      <c r="V11" s="38">
        <f t="shared" si="1"/>
        <v>0</v>
      </c>
      <c r="W11" s="38">
        <f t="shared" si="2"/>
        <v>0</v>
      </c>
    </row>
    <row r="12" spans="1:23" x14ac:dyDescent="0.25">
      <c r="A12" s="18">
        <f t="shared" si="3"/>
        <v>46223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U12" s="38">
        <f t="shared" si="0"/>
        <v>0</v>
      </c>
      <c r="V12" s="38">
        <f t="shared" si="1"/>
        <v>0</v>
      </c>
      <c r="W12" s="38">
        <f t="shared" si="2"/>
        <v>0</v>
      </c>
    </row>
    <row r="13" spans="1:23" x14ac:dyDescent="0.25">
      <c r="A13" s="18">
        <f t="shared" si="3"/>
        <v>46230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U13" s="38">
        <f t="shared" si="0"/>
        <v>0</v>
      </c>
      <c r="V13" s="38">
        <f t="shared" si="1"/>
        <v>0</v>
      </c>
      <c r="W13" s="38">
        <f t="shared" si="2"/>
        <v>0</v>
      </c>
    </row>
    <row r="14" spans="1:23" x14ac:dyDescent="0.25">
      <c r="A14" s="18">
        <f t="shared" si="3"/>
        <v>46237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U14" s="38">
        <f t="shared" si="0"/>
        <v>0</v>
      </c>
      <c r="V14" s="38">
        <f t="shared" si="1"/>
        <v>0</v>
      </c>
      <c r="W14" s="38">
        <f t="shared" si="2"/>
        <v>0</v>
      </c>
    </row>
    <row r="15" spans="1:23" x14ac:dyDescent="0.25">
      <c r="A15" s="18">
        <f t="shared" si="3"/>
        <v>46244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U15" s="38">
        <f t="shared" si="0"/>
        <v>0</v>
      </c>
      <c r="V15" s="38">
        <f t="shared" si="1"/>
        <v>0</v>
      </c>
      <c r="W15" s="38">
        <f t="shared" si="2"/>
        <v>0</v>
      </c>
    </row>
    <row r="16" spans="1:23" x14ac:dyDescent="0.25">
      <c r="A16" s="18">
        <f t="shared" si="3"/>
        <v>46251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U16" s="38">
        <f t="shared" si="0"/>
        <v>0</v>
      </c>
      <c r="V16" s="38">
        <f t="shared" si="1"/>
        <v>0</v>
      </c>
      <c r="W16" s="38">
        <f t="shared" si="2"/>
        <v>0</v>
      </c>
    </row>
    <row r="17" spans="1:23" x14ac:dyDescent="0.25">
      <c r="A17" s="18">
        <f t="shared" si="3"/>
        <v>46258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U17" s="38">
        <f t="shared" si="0"/>
        <v>0</v>
      </c>
      <c r="V17" s="38">
        <f t="shared" si="1"/>
        <v>0</v>
      </c>
      <c r="W17" s="38">
        <f t="shared" si="2"/>
        <v>0</v>
      </c>
    </row>
    <row r="18" spans="1:23" x14ac:dyDescent="0.25">
      <c r="A18" s="18">
        <f t="shared" si="3"/>
        <v>46265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U18" s="38">
        <f t="shared" si="0"/>
        <v>0</v>
      </c>
      <c r="V18" s="38">
        <f t="shared" si="1"/>
        <v>0</v>
      </c>
      <c r="W18" s="38">
        <f t="shared" si="2"/>
        <v>0</v>
      </c>
    </row>
    <row r="19" spans="1:23" x14ac:dyDescent="0.25">
      <c r="A19" s="18">
        <f t="shared" si="3"/>
        <v>46272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U19" s="38">
        <f t="shared" si="0"/>
        <v>0</v>
      </c>
      <c r="V19" s="38">
        <f t="shared" si="1"/>
        <v>0</v>
      </c>
      <c r="W19" s="38">
        <f t="shared" si="2"/>
        <v>0</v>
      </c>
    </row>
    <row r="20" spans="1:23" x14ac:dyDescent="0.25">
      <c r="A20" s="18">
        <f t="shared" si="3"/>
        <v>46279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U20" s="38">
        <f t="shared" si="0"/>
        <v>0</v>
      </c>
      <c r="V20" s="38">
        <f t="shared" si="1"/>
        <v>0</v>
      </c>
      <c r="W20" s="38">
        <f t="shared" si="2"/>
        <v>0</v>
      </c>
    </row>
    <row r="21" spans="1:23" x14ac:dyDescent="0.25">
      <c r="A21" s="18">
        <f t="shared" si="3"/>
        <v>46286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U21" s="38">
        <f t="shared" si="0"/>
        <v>0</v>
      </c>
      <c r="V21" s="38">
        <f t="shared" si="1"/>
        <v>0</v>
      </c>
      <c r="W21" s="38">
        <f t="shared" si="2"/>
        <v>0</v>
      </c>
    </row>
    <row r="22" spans="1:23" x14ac:dyDescent="0.25">
      <c r="A22" s="18">
        <f t="shared" si="3"/>
        <v>46293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U22" s="38">
        <f t="shared" si="0"/>
        <v>0</v>
      </c>
      <c r="V22" s="38">
        <f t="shared" si="1"/>
        <v>0</v>
      </c>
      <c r="W22" s="38">
        <f t="shared" si="2"/>
        <v>0</v>
      </c>
    </row>
    <row r="23" spans="1:23" x14ac:dyDescent="0.25">
      <c r="A23" s="18">
        <f t="shared" si="3"/>
        <v>46300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U23" s="38">
        <f t="shared" si="0"/>
        <v>0</v>
      </c>
      <c r="V23" s="38">
        <f t="shared" si="1"/>
        <v>0</v>
      </c>
      <c r="W23" s="38">
        <f t="shared" si="2"/>
        <v>0</v>
      </c>
    </row>
    <row r="24" spans="1:23" x14ac:dyDescent="0.25">
      <c r="A24" s="18">
        <f t="shared" si="3"/>
        <v>46307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U24" s="38">
        <f t="shared" si="0"/>
        <v>0</v>
      </c>
      <c r="V24" s="38">
        <f t="shared" si="1"/>
        <v>0</v>
      </c>
      <c r="W24" s="38">
        <f t="shared" si="2"/>
        <v>0</v>
      </c>
    </row>
    <row r="25" spans="1:23" x14ac:dyDescent="0.25">
      <c r="A25" s="18">
        <f t="shared" si="3"/>
        <v>46314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U25" s="38">
        <f t="shared" si="0"/>
        <v>0</v>
      </c>
      <c r="V25" s="38">
        <f t="shared" si="1"/>
        <v>0</v>
      </c>
      <c r="W25" s="38">
        <f t="shared" si="2"/>
        <v>0</v>
      </c>
    </row>
    <row r="26" spans="1:23" x14ac:dyDescent="0.25">
      <c r="A26" s="18">
        <f t="shared" si="3"/>
        <v>46321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U26" s="38">
        <f t="shared" si="0"/>
        <v>0</v>
      </c>
      <c r="V26" s="38">
        <f t="shared" si="1"/>
        <v>0</v>
      </c>
      <c r="W26" s="38">
        <f t="shared" si="2"/>
        <v>0</v>
      </c>
    </row>
    <row r="27" spans="1:23" x14ac:dyDescent="0.25">
      <c r="A27" s="18">
        <f t="shared" si="3"/>
        <v>46328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U27" s="38">
        <f t="shared" si="0"/>
        <v>0</v>
      </c>
      <c r="V27" s="38">
        <f t="shared" si="1"/>
        <v>0</v>
      </c>
      <c r="W27" s="38">
        <f t="shared" si="2"/>
        <v>0</v>
      </c>
    </row>
    <row r="28" spans="1:23" x14ac:dyDescent="0.25">
      <c r="A28" s="18">
        <f t="shared" si="3"/>
        <v>46335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U28" s="38">
        <f t="shared" si="0"/>
        <v>0</v>
      </c>
      <c r="V28" s="38">
        <f t="shared" si="1"/>
        <v>0</v>
      </c>
      <c r="W28" s="38">
        <f t="shared" si="2"/>
        <v>0</v>
      </c>
    </row>
    <row r="29" spans="1:23" x14ac:dyDescent="0.25">
      <c r="A29" s="18">
        <f t="shared" si="3"/>
        <v>46342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U29" s="38">
        <f t="shared" si="0"/>
        <v>0</v>
      </c>
      <c r="V29" s="38">
        <f t="shared" si="1"/>
        <v>0</v>
      </c>
      <c r="W29" s="38">
        <f t="shared" si="2"/>
        <v>0</v>
      </c>
    </row>
    <row r="30" spans="1:23" x14ac:dyDescent="0.25">
      <c r="A30" s="18">
        <f t="shared" si="3"/>
        <v>46349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U30" s="38">
        <f t="shared" si="0"/>
        <v>0</v>
      </c>
      <c r="V30" s="38">
        <f t="shared" si="1"/>
        <v>0</v>
      </c>
      <c r="W30" s="38">
        <f t="shared" si="2"/>
        <v>0</v>
      </c>
    </row>
    <row r="31" spans="1:23" x14ac:dyDescent="0.25">
      <c r="A31" s="18">
        <f t="shared" si="3"/>
        <v>46356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U31" s="38">
        <f t="shared" si="0"/>
        <v>0</v>
      </c>
      <c r="V31" s="38">
        <f t="shared" si="1"/>
        <v>0</v>
      </c>
      <c r="W31" s="38">
        <f t="shared" si="2"/>
        <v>0</v>
      </c>
    </row>
    <row r="32" spans="1:23" x14ac:dyDescent="0.25">
      <c r="A32" s="18">
        <f t="shared" si="3"/>
        <v>46363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U32" s="38">
        <f t="shared" si="0"/>
        <v>0</v>
      </c>
      <c r="V32" s="38">
        <f t="shared" si="1"/>
        <v>0</v>
      </c>
      <c r="W32" s="38">
        <f t="shared" si="2"/>
        <v>0</v>
      </c>
    </row>
    <row r="33" spans="1:23" x14ac:dyDescent="0.25">
      <c r="A33" s="18">
        <f t="shared" si="3"/>
        <v>46370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U33" s="38">
        <f t="shared" si="0"/>
        <v>0</v>
      </c>
      <c r="V33" s="38">
        <f t="shared" si="1"/>
        <v>0</v>
      </c>
      <c r="W33" s="38">
        <f t="shared" si="2"/>
        <v>0</v>
      </c>
    </row>
    <row r="34" spans="1:23" x14ac:dyDescent="0.25">
      <c r="A34" s="18">
        <f t="shared" si="3"/>
        <v>46377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U34" s="38">
        <f t="shared" si="0"/>
        <v>0</v>
      </c>
      <c r="V34" s="38">
        <f t="shared" si="1"/>
        <v>0</v>
      </c>
      <c r="W34" s="38">
        <f t="shared" si="2"/>
        <v>0</v>
      </c>
    </row>
    <row r="35" spans="1:23" x14ac:dyDescent="0.25">
      <c r="A35" s="18">
        <f t="shared" si="3"/>
        <v>46384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U35" s="38">
        <f t="shared" si="0"/>
        <v>0</v>
      </c>
      <c r="V35" s="38">
        <f t="shared" si="1"/>
        <v>0</v>
      </c>
      <c r="W35" s="38">
        <f t="shared" si="2"/>
        <v>0</v>
      </c>
    </row>
    <row r="36" spans="1:23" x14ac:dyDescent="0.25">
      <c r="A36" s="18">
        <f t="shared" si="3"/>
        <v>46391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U36" s="38">
        <f t="shared" si="0"/>
        <v>0</v>
      </c>
      <c r="V36" s="38">
        <f t="shared" si="1"/>
        <v>0</v>
      </c>
      <c r="W36" s="38">
        <f t="shared" si="2"/>
        <v>0</v>
      </c>
    </row>
    <row r="37" spans="1:23" x14ac:dyDescent="0.25">
      <c r="A37" s="18">
        <f t="shared" si="3"/>
        <v>46398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U37" s="38">
        <f t="shared" si="0"/>
        <v>0</v>
      </c>
      <c r="V37" s="38">
        <f t="shared" si="1"/>
        <v>0</v>
      </c>
      <c r="W37" s="38">
        <f t="shared" si="2"/>
        <v>0</v>
      </c>
    </row>
    <row r="38" spans="1:23" x14ac:dyDescent="0.25">
      <c r="A38" s="18">
        <f t="shared" si="3"/>
        <v>46405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U38" s="38">
        <f t="shared" si="0"/>
        <v>0</v>
      </c>
      <c r="V38" s="38">
        <f t="shared" si="1"/>
        <v>0</v>
      </c>
      <c r="W38" s="38">
        <f t="shared" si="2"/>
        <v>0</v>
      </c>
    </row>
    <row r="39" spans="1:23" x14ac:dyDescent="0.25">
      <c r="A39" s="18">
        <f t="shared" si="3"/>
        <v>46412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U39" s="38">
        <f t="shared" si="0"/>
        <v>0</v>
      </c>
      <c r="V39" s="38">
        <f t="shared" si="1"/>
        <v>0</v>
      </c>
      <c r="W39" s="38">
        <f t="shared" si="2"/>
        <v>0</v>
      </c>
    </row>
    <row r="40" spans="1:23" x14ac:dyDescent="0.25">
      <c r="A40" s="18">
        <f t="shared" si="3"/>
        <v>46419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U40" s="38">
        <f t="shared" si="0"/>
        <v>0</v>
      </c>
      <c r="V40" s="38">
        <f t="shared" si="1"/>
        <v>0</v>
      </c>
      <c r="W40" s="38">
        <f t="shared" si="2"/>
        <v>0</v>
      </c>
    </row>
    <row r="41" spans="1:23" x14ac:dyDescent="0.25">
      <c r="A41" s="18">
        <f t="shared" si="3"/>
        <v>46426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U41" s="38">
        <f t="shared" si="0"/>
        <v>0</v>
      </c>
      <c r="V41" s="38">
        <f t="shared" si="1"/>
        <v>0</v>
      </c>
      <c r="W41" s="38">
        <f t="shared" si="2"/>
        <v>0</v>
      </c>
    </row>
    <row r="42" spans="1:23" x14ac:dyDescent="0.25">
      <c r="A42" s="18">
        <f t="shared" si="3"/>
        <v>46433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U42" s="38">
        <f t="shared" si="0"/>
        <v>0</v>
      </c>
      <c r="V42" s="38">
        <f t="shared" si="1"/>
        <v>0</v>
      </c>
      <c r="W42" s="38">
        <f t="shared" si="2"/>
        <v>0</v>
      </c>
    </row>
    <row r="43" spans="1:23" x14ac:dyDescent="0.25">
      <c r="A43" s="18">
        <f t="shared" si="3"/>
        <v>46440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U43" s="38">
        <f t="shared" si="0"/>
        <v>0</v>
      </c>
      <c r="V43" s="38">
        <f t="shared" si="1"/>
        <v>0</v>
      </c>
      <c r="W43" s="38">
        <f t="shared" si="2"/>
        <v>0</v>
      </c>
    </row>
    <row r="44" spans="1:23" x14ac:dyDescent="0.25">
      <c r="A44" s="18">
        <f t="shared" si="3"/>
        <v>46447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U44" s="38">
        <f t="shared" si="0"/>
        <v>0</v>
      </c>
      <c r="V44" s="38">
        <f t="shared" si="1"/>
        <v>0</v>
      </c>
      <c r="W44" s="38">
        <f t="shared" si="2"/>
        <v>0</v>
      </c>
    </row>
    <row r="45" spans="1:23" x14ac:dyDescent="0.25">
      <c r="A45" s="18">
        <f t="shared" si="3"/>
        <v>46454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U45" s="38">
        <f t="shared" si="0"/>
        <v>0</v>
      </c>
      <c r="V45" s="38">
        <f t="shared" si="1"/>
        <v>0</v>
      </c>
      <c r="W45" s="38">
        <f t="shared" si="2"/>
        <v>0</v>
      </c>
    </row>
    <row r="46" spans="1:23" x14ac:dyDescent="0.25">
      <c r="A46" s="18">
        <f t="shared" si="3"/>
        <v>46461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U46" s="38">
        <f t="shared" si="0"/>
        <v>0</v>
      </c>
      <c r="V46" s="38">
        <f t="shared" si="1"/>
        <v>0</v>
      </c>
      <c r="W46" s="38">
        <f t="shared" si="2"/>
        <v>0</v>
      </c>
    </row>
    <row r="47" spans="1:23" x14ac:dyDescent="0.25">
      <c r="A47" s="18">
        <f t="shared" si="3"/>
        <v>46468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U47" s="38">
        <f t="shared" si="0"/>
        <v>0</v>
      </c>
      <c r="V47" s="38">
        <f t="shared" si="1"/>
        <v>0</v>
      </c>
      <c r="W47" s="38">
        <f t="shared" si="2"/>
        <v>0</v>
      </c>
    </row>
    <row r="48" spans="1:23" x14ac:dyDescent="0.25">
      <c r="A48" s="18">
        <f t="shared" si="3"/>
        <v>46475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U48" s="38">
        <f t="shared" si="0"/>
        <v>0</v>
      </c>
      <c r="V48" s="38">
        <f t="shared" si="1"/>
        <v>0</v>
      </c>
      <c r="W48" s="38">
        <f t="shared" si="2"/>
        <v>0</v>
      </c>
    </row>
    <row r="49" spans="1:23" x14ac:dyDescent="0.25">
      <c r="A49" s="18">
        <f t="shared" si="3"/>
        <v>46482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U49" s="38">
        <f t="shared" si="0"/>
        <v>0</v>
      </c>
      <c r="V49" s="38">
        <f t="shared" si="1"/>
        <v>0</v>
      </c>
      <c r="W49" s="38">
        <f t="shared" si="2"/>
        <v>0</v>
      </c>
    </row>
    <row r="50" spans="1:23" x14ac:dyDescent="0.25">
      <c r="A50" s="18">
        <f t="shared" si="3"/>
        <v>46489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U50" s="38">
        <f t="shared" si="0"/>
        <v>0</v>
      </c>
      <c r="V50" s="38">
        <f t="shared" si="1"/>
        <v>0</v>
      </c>
      <c r="W50" s="38">
        <f t="shared" si="2"/>
        <v>0</v>
      </c>
    </row>
    <row r="51" spans="1:23" x14ac:dyDescent="0.25">
      <c r="A51" s="18">
        <f t="shared" si="3"/>
        <v>46496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U51" s="38">
        <f t="shared" si="0"/>
        <v>0</v>
      </c>
      <c r="V51" s="38">
        <f t="shared" si="1"/>
        <v>0</v>
      </c>
      <c r="W51" s="38">
        <f t="shared" si="2"/>
        <v>0</v>
      </c>
    </row>
    <row r="52" spans="1:23" x14ac:dyDescent="0.25">
      <c r="A52" s="18">
        <f t="shared" si="3"/>
        <v>46503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U52" s="38">
        <f t="shared" si="0"/>
        <v>0</v>
      </c>
      <c r="V52" s="38">
        <f t="shared" si="1"/>
        <v>0</v>
      </c>
      <c r="W52" s="38">
        <f t="shared" si="2"/>
        <v>0</v>
      </c>
    </row>
  </sheetData>
  <mergeCells count="10">
    <mergeCell ref="B3:D3"/>
    <mergeCell ref="U1:W1"/>
    <mergeCell ref="B2:S2"/>
    <mergeCell ref="A1:S1"/>
    <mergeCell ref="A2:A3"/>
    <mergeCell ref="E3:G3"/>
    <mergeCell ref="K3:M3"/>
    <mergeCell ref="H3:J3"/>
    <mergeCell ref="N3:P3"/>
    <mergeCell ref="Q3:S3"/>
  </mergeCells>
  <conditionalFormatting sqref="A5:A52">
    <cfRule type="expression" dxfId="73" priority="1">
      <formula>AND($A5&lt;=TODAY(),$A5+6&gt;=TODAY())</formula>
    </cfRule>
  </conditionalFormatting>
  <dataValidations count="1">
    <dataValidation type="decimal" operator="greaterThanOrEqual" sqref="B5:S52" xr:uid="{00000000-0002-0000-0600-000000000000}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2" style="66" customWidth="1"/>
    <col min="2" max="26" width="10" style="66" customWidth="1"/>
  </cols>
  <sheetData>
    <row r="1" spans="1:26" x14ac:dyDescent="0.25">
      <c r="A1" s="73" t="s">
        <v>95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X1" s="80" t="s">
        <v>96</v>
      </c>
      <c r="Y1" s="74"/>
      <c r="Z1" s="74"/>
    </row>
    <row r="2" spans="1:26" x14ac:dyDescent="0.25">
      <c r="A2" s="81" t="s">
        <v>73</v>
      </c>
      <c r="B2" s="83" t="s">
        <v>56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</row>
    <row r="3" spans="1:26" x14ac:dyDescent="0.25">
      <c r="A3" s="82"/>
      <c r="B3" s="83" t="s">
        <v>97</v>
      </c>
      <c r="C3" s="78"/>
      <c r="D3" s="79"/>
      <c r="E3" s="83" t="s">
        <v>98</v>
      </c>
      <c r="F3" s="78"/>
      <c r="G3" s="79"/>
      <c r="H3" s="83" t="s">
        <v>99</v>
      </c>
      <c r="I3" s="78"/>
      <c r="J3" s="79"/>
      <c r="K3" s="83" t="s">
        <v>100</v>
      </c>
      <c r="L3" s="78"/>
      <c r="M3" s="79"/>
      <c r="N3" s="83" t="s">
        <v>101</v>
      </c>
      <c r="O3" s="78"/>
      <c r="P3" s="79"/>
      <c r="Q3" s="83" t="s">
        <v>102</v>
      </c>
      <c r="R3" s="78"/>
      <c r="S3" s="79"/>
      <c r="T3" s="83" t="s">
        <v>103</v>
      </c>
      <c r="U3" s="78"/>
      <c r="V3" s="79"/>
      <c r="X3" s="35" t="s">
        <v>76</v>
      </c>
      <c r="Y3" s="35" t="s">
        <v>77</v>
      </c>
      <c r="Z3" s="35" t="s">
        <v>78</v>
      </c>
    </row>
    <row r="4" spans="1:26" x14ac:dyDescent="0.25">
      <c r="B4" s="70" t="s">
        <v>76</v>
      </c>
      <c r="C4" s="70" t="s">
        <v>77</v>
      </c>
      <c r="D4" s="70" t="s">
        <v>78</v>
      </c>
      <c r="E4" s="70" t="s">
        <v>76</v>
      </c>
      <c r="F4" s="70" t="s">
        <v>77</v>
      </c>
      <c r="G4" s="70" t="s">
        <v>78</v>
      </c>
      <c r="H4" s="70" t="s">
        <v>76</v>
      </c>
      <c r="I4" s="70" t="s">
        <v>77</v>
      </c>
      <c r="J4" s="70" t="s">
        <v>78</v>
      </c>
      <c r="K4" s="70" t="s">
        <v>76</v>
      </c>
      <c r="L4" s="70" t="s">
        <v>77</v>
      </c>
      <c r="M4" s="70" t="s">
        <v>78</v>
      </c>
      <c r="N4" s="70" t="s">
        <v>76</v>
      </c>
      <c r="O4" s="70" t="s">
        <v>77</v>
      </c>
      <c r="P4" s="70" t="s">
        <v>78</v>
      </c>
      <c r="Q4" s="70" t="s">
        <v>76</v>
      </c>
      <c r="R4" s="70" t="s">
        <v>77</v>
      </c>
      <c r="S4" s="70" t="s">
        <v>78</v>
      </c>
      <c r="T4" s="70" t="s">
        <v>76</v>
      </c>
      <c r="U4" s="70" t="s">
        <v>77</v>
      </c>
      <c r="V4" s="70" t="s">
        <v>78</v>
      </c>
      <c r="X4" s="36"/>
      <c r="Y4" s="36"/>
      <c r="Z4" s="36"/>
    </row>
    <row r="5" spans="1:26" x14ac:dyDescent="0.25">
      <c r="A5" s="18">
        <f>СПРАВОЧНИК!$B$35</f>
        <v>46174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X5" s="38">
        <f t="shared" ref="X5:X52" si="0">B5+E5+H5+K5+N5+Q5+T5</f>
        <v>0</v>
      </c>
      <c r="Y5" s="38">
        <f t="shared" ref="Y5:Y52" si="1">C5+F5+I5+L5+O5+R5+U5</f>
        <v>0</v>
      </c>
      <c r="Z5" s="38">
        <f t="shared" ref="Z5:Z52" si="2">D5+G5+J5+M5+P5+S5+V5</f>
        <v>0</v>
      </c>
    </row>
    <row r="6" spans="1:26" x14ac:dyDescent="0.25">
      <c r="A6" s="18">
        <f t="shared" ref="A6:A52" si="3">A5+7</f>
        <v>46181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X6" s="38">
        <f t="shared" si="0"/>
        <v>0</v>
      </c>
      <c r="Y6" s="38">
        <f t="shared" si="1"/>
        <v>0</v>
      </c>
      <c r="Z6" s="38">
        <f t="shared" si="2"/>
        <v>0</v>
      </c>
    </row>
    <row r="7" spans="1:26" x14ac:dyDescent="0.25">
      <c r="A7" s="18">
        <f t="shared" si="3"/>
        <v>46188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X7" s="38">
        <f t="shared" si="0"/>
        <v>0</v>
      </c>
      <c r="Y7" s="38">
        <f t="shared" si="1"/>
        <v>0</v>
      </c>
      <c r="Z7" s="38">
        <f t="shared" si="2"/>
        <v>0</v>
      </c>
    </row>
    <row r="8" spans="1:26" x14ac:dyDescent="0.25">
      <c r="A8" s="18">
        <f t="shared" si="3"/>
        <v>46195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X8" s="38">
        <f t="shared" si="0"/>
        <v>0</v>
      </c>
      <c r="Y8" s="38">
        <f t="shared" si="1"/>
        <v>0</v>
      </c>
      <c r="Z8" s="38">
        <f t="shared" si="2"/>
        <v>0</v>
      </c>
    </row>
    <row r="9" spans="1:26" x14ac:dyDescent="0.25">
      <c r="A9" s="18">
        <f t="shared" si="3"/>
        <v>46202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X9" s="38">
        <f t="shared" si="0"/>
        <v>0</v>
      </c>
      <c r="Y9" s="38">
        <f t="shared" si="1"/>
        <v>0</v>
      </c>
      <c r="Z9" s="38">
        <f t="shared" si="2"/>
        <v>0</v>
      </c>
    </row>
    <row r="10" spans="1:26" x14ac:dyDescent="0.25">
      <c r="A10" s="18">
        <f t="shared" si="3"/>
        <v>46209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X10" s="38">
        <f t="shared" si="0"/>
        <v>0</v>
      </c>
      <c r="Y10" s="38">
        <f t="shared" si="1"/>
        <v>0</v>
      </c>
      <c r="Z10" s="38">
        <f t="shared" si="2"/>
        <v>0</v>
      </c>
    </row>
    <row r="11" spans="1:26" x14ac:dyDescent="0.25">
      <c r="A11" s="18">
        <f t="shared" si="3"/>
        <v>46216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X11" s="38">
        <f t="shared" si="0"/>
        <v>0</v>
      </c>
      <c r="Y11" s="38">
        <f t="shared" si="1"/>
        <v>0</v>
      </c>
      <c r="Z11" s="38">
        <f t="shared" si="2"/>
        <v>0</v>
      </c>
    </row>
    <row r="12" spans="1:26" x14ac:dyDescent="0.25">
      <c r="A12" s="18">
        <f t="shared" si="3"/>
        <v>46223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X12" s="38">
        <f t="shared" si="0"/>
        <v>0</v>
      </c>
      <c r="Y12" s="38">
        <f t="shared" si="1"/>
        <v>0</v>
      </c>
      <c r="Z12" s="38">
        <f t="shared" si="2"/>
        <v>0</v>
      </c>
    </row>
    <row r="13" spans="1:26" x14ac:dyDescent="0.25">
      <c r="A13" s="18">
        <f t="shared" si="3"/>
        <v>46230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X13" s="38">
        <f t="shared" si="0"/>
        <v>0</v>
      </c>
      <c r="Y13" s="38">
        <f t="shared" si="1"/>
        <v>0</v>
      </c>
      <c r="Z13" s="38">
        <f t="shared" si="2"/>
        <v>0</v>
      </c>
    </row>
    <row r="14" spans="1:26" x14ac:dyDescent="0.25">
      <c r="A14" s="18">
        <f t="shared" si="3"/>
        <v>46237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X14" s="38">
        <f t="shared" si="0"/>
        <v>0</v>
      </c>
      <c r="Y14" s="38">
        <f t="shared" si="1"/>
        <v>0</v>
      </c>
      <c r="Z14" s="38">
        <f t="shared" si="2"/>
        <v>0</v>
      </c>
    </row>
    <row r="15" spans="1:26" x14ac:dyDescent="0.25">
      <c r="A15" s="18">
        <f t="shared" si="3"/>
        <v>46244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X15" s="38">
        <f t="shared" si="0"/>
        <v>0</v>
      </c>
      <c r="Y15" s="38">
        <f t="shared" si="1"/>
        <v>0</v>
      </c>
      <c r="Z15" s="38">
        <f t="shared" si="2"/>
        <v>0</v>
      </c>
    </row>
    <row r="16" spans="1:26" x14ac:dyDescent="0.25">
      <c r="A16" s="18">
        <f t="shared" si="3"/>
        <v>46251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X16" s="38">
        <f t="shared" si="0"/>
        <v>0</v>
      </c>
      <c r="Y16" s="38">
        <f t="shared" si="1"/>
        <v>0</v>
      </c>
      <c r="Z16" s="38">
        <f t="shared" si="2"/>
        <v>0</v>
      </c>
    </row>
    <row r="17" spans="1:26" x14ac:dyDescent="0.25">
      <c r="A17" s="18">
        <f t="shared" si="3"/>
        <v>46258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X17" s="38">
        <f t="shared" si="0"/>
        <v>0</v>
      </c>
      <c r="Y17" s="38">
        <f t="shared" si="1"/>
        <v>0</v>
      </c>
      <c r="Z17" s="38">
        <f t="shared" si="2"/>
        <v>0</v>
      </c>
    </row>
    <row r="18" spans="1:26" x14ac:dyDescent="0.25">
      <c r="A18" s="18">
        <f t="shared" si="3"/>
        <v>46265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X18" s="38">
        <f t="shared" si="0"/>
        <v>0</v>
      </c>
      <c r="Y18" s="38">
        <f t="shared" si="1"/>
        <v>0</v>
      </c>
      <c r="Z18" s="38">
        <f t="shared" si="2"/>
        <v>0</v>
      </c>
    </row>
    <row r="19" spans="1:26" x14ac:dyDescent="0.25">
      <c r="A19" s="18">
        <f t="shared" si="3"/>
        <v>46272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X19" s="38">
        <f t="shared" si="0"/>
        <v>0</v>
      </c>
      <c r="Y19" s="38">
        <f t="shared" si="1"/>
        <v>0</v>
      </c>
      <c r="Z19" s="38">
        <f t="shared" si="2"/>
        <v>0</v>
      </c>
    </row>
    <row r="20" spans="1:26" x14ac:dyDescent="0.25">
      <c r="A20" s="18">
        <f t="shared" si="3"/>
        <v>46279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X20" s="38">
        <f t="shared" si="0"/>
        <v>0</v>
      </c>
      <c r="Y20" s="38">
        <f t="shared" si="1"/>
        <v>0</v>
      </c>
      <c r="Z20" s="38">
        <f t="shared" si="2"/>
        <v>0</v>
      </c>
    </row>
    <row r="21" spans="1:26" x14ac:dyDescent="0.25">
      <c r="A21" s="18">
        <f t="shared" si="3"/>
        <v>46286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X21" s="38">
        <f t="shared" si="0"/>
        <v>0</v>
      </c>
      <c r="Y21" s="38">
        <f t="shared" si="1"/>
        <v>0</v>
      </c>
      <c r="Z21" s="38">
        <f t="shared" si="2"/>
        <v>0</v>
      </c>
    </row>
    <row r="22" spans="1:26" x14ac:dyDescent="0.25">
      <c r="A22" s="18">
        <f t="shared" si="3"/>
        <v>46293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X22" s="38">
        <f t="shared" si="0"/>
        <v>0</v>
      </c>
      <c r="Y22" s="38">
        <f t="shared" si="1"/>
        <v>0</v>
      </c>
      <c r="Z22" s="38">
        <f t="shared" si="2"/>
        <v>0</v>
      </c>
    </row>
    <row r="23" spans="1:26" x14ac:dyDescent="0.25">
      <c r="A23" s="18">
        <f t="shared" si="3"/>
        <v>46300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X23" s="38">
        <f t="shared" si="0"/>
        <v>0</v>
      </c>
      <c r="Y23" s="38">
        <f t="shared" si="1"/>
        <v>0</v>
      </c>
      <c r="Z23" s="38">
        <f t="shared" si="2"/>
        <v>0</v>
      </c>
    </row>
    <row r="24" spans="1:26" x14ac:dyDescent="0.25">
      <c r="A24" s="18">
        <f t="shared" si="3"/>
        <v>46307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X24" s="38">
        <f t="shared" si="0"/>
        <v>0</v>
      </c>
      <c r="Y24" s="38">
        <f t="shared" si="1"/>
        <v>0</v>
      </c>
      <c r="Z24" s="38">
        <f t="shared" si="2"/>
        <v>0</v>
      </c>
    </row>
    <row r="25" spans="1:26" x14ac:dyDescent="0.25">
      <c r="A25" s="18">
        <f t="shared" si="3"/>
        <v>46314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X25" s="38">
        <f t="shared" si="0"/>
        <v>0</v>
      </c>
      <c r="Y25" s="38">
        <f t="shared" si="1"/>
        <v>0</v>
      </c>
      <c r="Z25" s="38">
        <f t="shared" si="2"/>
        <v>0</v>
      </c>
    </row>
    <row r="26" spans="1:26" x14ac:dyDescent="0.25">
      <c r="A26" s="18">
        <f t="shared" si="3"/>
        <v>46321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X26" s="38">
        <f t="shared" si="0"/>
        <v>0</v>
      </c>
      <c r="Y26" s="38">
        <f t="shared" si="1"/>
        <v>0</v>
      </c>
      <c r="Z26" s="38">
        <f t="shared" si="2"/>
        <v>0</v>
      </c>
    </row>
    <row r="27" spans="1:26" x14ac:dyDescent="0.25">
      <c r="A27" s="18">
        <f t="shared" si="3"/>
        <v>46328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X27" s="38">
        <f t="shared" si="0"/>
        <v>0</v>
      </c>
      <c r="Y27" s="38">
        <f t="shared" si="1"/>
        <v>0</v>
      </c>
      <c r="Z27" s="38">
        <f t="shared" si="2"/>
        <v>0</v>
      </c>
    </row>
    <row r="28" spans="1:26" x14ac:dyDescent="0.25">
      <c r="A28" s="18">
        <f t="shared" si="3"/>
        <v>46335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X28" s="38">
        <f t="shared" si="0"/>
        <v>0</v>
      </c>
      <c r="Y28" s="38">
        <f t="shared" si="1"/>
        <v>0</v>
      </c>
      <c r="Z28" s="38">
        <f t="shared" si="2"/>
        <v>0</v>
      </c>
    </row>
    <row r="29" spans="1:26" x14ac:dyDescent="0.25">
      <c r="A29" s="18">
        <f t="shared" si="3"/>
        <v>46342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X29" s="38">
        <f t="shared" si="0"/>
        <v>0</v>
      </c>
      <c r="Y29" s="38">
        <f t="shared" si="1"/>
        <v>0</v>
      </c>
      <c r="Z29" s="38">
        <f t="shared" si="2"/>
        <v>0</v>
      </c>
    </row>
    <row r="30" spans="1:26" x14ac:dyDescent="0.25">
      <c r="A30" s="18">
        <f t="shared" si="3"/>
        <v>46349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X30" s="38">
        <f t="shared" si="0"/>
        <v>0</v>
      </c>
      <c r="Y30" s="38">
        <f t="shared" si="1"/>
        <v>0</v>
      </c>
      <c r="Z30" s="38">
        <f t="shared" si="2"/>
        <v>0</v>
      </c>
    </row>
    <row r="31" spans="1:26" x14ac:dyDescent="0.25">
      <c r="A31" s="18">
        <f t="shared" si="3"/>
        <v>46356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X31" s="38">
        <f t="shared" si="0"/>
        <v>0</v>
      </c>
      <c r="Y31" s="38">
        <f t="shared" si="1"/>
        <v>0</v>
      </c>
      <c r="Z31" s="38">
        <f t="shared" si="2"/>
        <v>0</v>
      </c>
    </row>
    <row r="32" spans="1:26" x14ac:dyDescent="0.25">
      <c r="A32" s="18">
        <f t="shared" si="3"/>
        <v>46363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X32" s="38">
        <f t="shared" si="0"/>
        <v>0</v>
      </c>
      <c r="Y32" s="38">
        <f t="shared" si="1"/>
        <v>0</v>
      </c>
      <c r="Z32" s="38">
        <f t="shared" si="2"/>
        <v>0</v>
      </c>
    </row>
    <row r="33" spans="1:26" x14ac:dyDescent="0.25">
      <c r="A33" s="18">
        <f t="shared" si="3"/>
        <v>46370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X33" s="38">
        <f t="shared" si="0"/>
        <v>0</v>
      </c>
      <c r="Y33" s="38">
        <f t="shared" si="1"/>
        <v>0</v>
      </c>
      <c r="Z33" s="38">
        <f t="shared" si="2"/>
        <v>0</v>
      </c>
    </row>
    <row r="34" spans="1:26" x14ac:dyDescent="0.25">
      <c r="A34" s="18">
        <f t="shared" si="3"/>
        <v>46377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X34" s="38">
        <f t="shared" si="0"/>
        <v>0</v>
      </c>
      <c r="Y34" s="38">
        <f t="shared" si="1"/>
        <v>0</v>
      </c>
      <c r="Z34" s="38">
        <f t="shared" si="2"/>
        <v>0</v>
      </c>
    </row>
    <row r="35" spans="1:26" x14ac:dyDescent="0.25">
      <c r="A35" s="18">
        <f t="shared" si="3"/>
        <v>46384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X35" s="38">
        <f t="shared" si="0"/>
        <v>0</v>
      </c>
      <c r="Y35" s="38">
        <f t="shared" si="1"/>
        <v>0</v>
      </c>
      <c r="Z35" s="38">
        <f t="shared" si="2"/>
        <v>0</v>
      </c>
    </row>
    <row r="36" spans="1:26" x14ac:dyDescent="0.25">
      <c r="A36" s="18">
        <f t="shared" si="3"/>
        <v>46391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X36" s="38">
        <f t="shared" si="0"/>
        <v>0</v>
      </c>
      <c r="Y36" s="38">
        <f t="shared" si="1"/>
        <v>0</v>
      </c>
      <c r="Z36" s="38">
        <f t="shared" si="2"/>
        <v>0</v>
      </c>
    </row>
    <row r="37" spans="1:26" x14ac:dyDescent="0.25">
      <c r="A37" s="18">
        <f t="shared" si="3"/>
        <v>46398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X37" s="38">
        <f t="shared" si="0"/>
        <v>0</v>
      </c>
      <c r="Y37" s="38">
        <f t="shared" si="1"/>
        <v>0</v>
      </c>
      <c r="Z37" s="38">
        <f t="shared" si="2"/>
        <v>0</v>
      </c>
    </row>
    <row r="38" spans="1:26" x14ac:dyDescent="0.25">
      <c r="A38" s="18">
        <f t="shared" si="3"/>
        <v>46405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X38" s="38">
        <f t="shared" si="0"/>
        <v>0</v>
      </c>
      <c r="Y38" s="38">
        <f t="shared" si="1"/>
        <v>0</v>
      </c>
      <c r="Z38" s="38">
        <f t="shared" si="2"/>
        <v>0</v>
      </c>
    </row>
    <row r="39" spans="1:26" x14ac:dyDescent="0.25">
      <c r="A39" s="18">
        <f t="shared" si="3"/>
        <v>46412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X39" s="38">
        <f t="shared" si="0"/>
        <v>0</v>
      </c>
      <c r="Y39" s="38">
        <f t="shared" si="1"/>
        <v>0</v>
      </c>
      <c r="Z39" s="38">
        <f t="shared" si="2"/>
        <v>0</v>
      </c>
    </row>
    <row r="40" spans="1:26" x14ac:dyDescent="0.25">
      <c r="A40" s="18">
        <f t="shared" si="3"/>
        <v>46419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X40" s="38">
        <f t="shared" si="0"/>
        <v>0</v>
      </c>
      <c r="Y40" s="38">
        <f t="shared" si="1"/>
        <v>0</v>
      </c>
      <c r="Z40" s="38">
        <f t="shared" si="2"/>
        <v>0</v>
      </c>
    </row>
    <row r="41" spans="1:26" x14ac:dyDescent="0.25">
      <c r="A41" s="18">
        <f t="shared" si="3"/>
        <v>46426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X41" s="38">
        <f t="shared" si="0"/>
        <v>0</v>
      </c>
      <c r="Y41" s="38">
        <f t="shared" si="1"/>
        <v>0</v>
      </c>
      <c r="Z41" s="38">
        <f t="shared" si="2"/>
        <v>0</v>
      </c>
    </row>
    <row r="42" spans="1:26" x14ac:dyDescent="0.25">
      <c r="A42" s="18">
        <f t="shared" si="3"/>
        <v>46433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X42" s="38">
        <f t="shared" si="0"/>
        <v>0</v>
      </c>
      <c r="Y42" s="38">
        <f t="shared" si="1"/>
        <v>0</v>
      </c>
      <c r="Z42" s="38">
        <f t="shared" si="2"/>
        <v>0</v>
      </c>
    </row>
    <row r="43" spans="1:26" x14ac:dyDescent="0.25">
      <c r="A43" s="18">
        <f t="shared" si="3"/>
        <v>46440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X43" s="38">
        <f t="shared" si="0"/>
        <v>0</v>
      </c>
      <c r="Y43" s="38">
        <f t="shared" si="1"/>
        <v>0</v>
      </c>
      <c r="Z43" s="38">
        <f t="shared" si="2"/>
        <v>0</v>
      </c>
    </row>
    <row r="44" spans="1:26" x14ac:dyDescent="0.25">
      <c r="A44" s="18">
        <f t="shared" si="3"/>
        <v>46447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X44" s="38">
        <f t="shared" si="0"/>
        <v>0</v>
      </c>
      <c r="Y44" s="38">
        <f t="shared" si="1"/>
        <v>0</v>
      </c>
      <c r="Z44" s="38">
        <f t="shared" si="2"/>
        <v>0</v>
      </c>
    </row>
    <row r="45" spans="1:26" x14ac:dyDescent="0.25">
      <c r="A45" s="18">
        <f t="shared" si="3"/>
        <v>46454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X45" s="38">
        <f t="shared" si="0"/>
        <v>0</v>
      </c>
      <c r="Y45" s="38">
        <f t="shared" si="1"/>
        <v>0</v>
      </c>
      <c r="Z45" s="38">
        <f t="shared" si="2"/>
        <v>0</v>
      </c>
    </row>
    <row r="46" spans="1:26" x14ac:dyDescent="0.25">
      <c r="A46" s="18">
        <f t="shared" si="3"/>
        <v>46461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X46" s="38">
        <f t="shared" si="0"/>
        <v>0</v>
      </c>
      <c r="Y46" s="38">
        <f t="shared" si="1"/>
        <v>0</v>
      </c>
      <c r="Z46" s="38">
        <f t="shared" si="2"/>
        <v>0</v>
      </c>
    </row>
    <row r="47" spans="1:26" x14ac:dyDescent="0.25">
      <c r="A47" s="18">
        <f t="shared" si="3"/>
        <v>46468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X47" s="38">
        <f t="shared" si="0"/>
        <v>0</v>
      </c>
      <c r="Y47" s="38">
        <f t="shared" si="1"/>
        <v>0</v>
      </c>
      <c r="Z47" s="38">
        <f t="shared" si="2"/>
        <v>0</v>
      </c>
    </row>
    <row r="48" spans="1:26" x14ac:dyDescent="0.25">
      <c r="A48" s="18">
        <f t="shared" si="3"/>
        <v>46475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X48" s="38">
        <f t="shared" si="0"/>
        <v>0</v>
      </c>
      <c r="Y48" s="38">
        <f t="shared" si="1"/>
        <v>0</v>
      </c>
      <c r="Z48" s="38">
        <f t="shared" si="2"/>
        <v>0</v>
      </c>
    </row>
    <row r="49" spans="1:26" x14ac:dyDescent="0.25">
      <c r="A49" s="18">
        <f t="shared" si="3"/>
        <v>46482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X49" s="38">
        <f t="shared" si="0"/>
        <v>0</v>
      </c>
      <c r="Y49" s="38">
        <f t="shared" si="1"/>
        <v>0</v>
      </c>
      <c r="Z49" s="38">
        <f t="shared" si="2"/>
        <v>0</v>
      </c>
    </row>
    <row r="50" spans="1:26" x14ac:dyDescent="0.25">
      <c r="A50" s="18">
        <f t="shared" si="3"/>
        <v>46489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X50" s="38">
        <f t="shared" si="0"/>
        <v>0</v>
      </c>
      <c r="Y50" s="38">
        <f t="shared" si="1"/>
        <v>0</v>
      </c>
      <c r="Z50" s="38">
        <f t="shared" si="2"/>
        <v>0</v>
      </c>
    </row>
    <row r="51" spans="1:26" x14ac:dyDescent="0.25">
      <c r="A51" s="18">
        <f t="shared" si="3"/>
        <v>46496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X51" s="38">
        <f t="shared" si="0"/>
        <v>0</v>
      </c>
      <c r="Y51" s="38">
        <f t="shared" si="1"/>
        <v>0</v>
      </c>
      <c r="Z51" s="38">
        <f t="shared" si="2"/>
        <v>0</v>
      </c>
    </row>
    <row r="52" spans="1:26" x14ac:dyDescent="0.25">
      <c r="A52" s="18">
        <f t="shared" si="3"/>
        <v>46503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X52" s="38">
        <f t="shared" si="0"/>
        <v>0</v>
      </c>
      <c r="Y52" s="38">
        <f t="shared" si="1"/>
        <v>0</v>
      </c>
      <c r="Z52" s="38">
        <f t="shared" si="2"/>
        <v>0</v>
      </c>
    </row>
  </sheetData>
  <mergeCells count="11">
    <mergeCell ref="X1:Z1"/>
    <mergeCell ref="N3:P3"/>
    <mergeCell ref="Q3:S3"/>
    <mergeCell ref="B3:D3"/>
    <mergeCell ref="B2:V2"/>
    <mergeCell ref="A1:V1"/>
    <mergeCell ref="T3:V3"/>
    <mergeCell ref="A2:A3"/>
    <mergeCell ref="E3:G3"/>
    <mergeCell ref="K3:M3"/>
    <mergeCell ref="H3:J3"/>
  </mergeCells>
  <conditionalFormatting sqref="A5:A52">
    <cfRule type="expression" dxfId="72" priority="1">
      <formula>AND($A5&lt;=TODAY(),$A5+6&gt;=TODAY())</formula>
    </cfRule>
  </conditionalFormatting>
  <dataValidations count="1">
    <dataValidation type="decimal" operator="greaterThanOrEqual" sqref="B5:V52" xr:uid="{00000000-0002-0000-0700-000000000000}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sqref="A1:W1"/>
    </sheetView>
  </sheetViews>
  <sheetFormatPr defaultRowHeight="15" x14ac:dyDescent="0.25"/>
  <cols>
    <col min="1" max="1" width="12" style="66" customWidth="1"/>
    <col min="2" max="27" width="10" style="66" customWidth="1"/>
  </cols>
  <sheetData>
    <row r="1" spans="1:27" x14ac:dyDescent="0.25">
      <c r="A1" s="73" t="s">
        <v>104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Y1" s="80" t="s">
        <v>96</v>
      </c>
      <c r="Z1" s="74"/>
      <c r="AA1" s="74"/>
    </row>
    <row r="2" spans="1:27" x14ac:dyDescent="0.25">
      <c r="A2" s="81" t="s">
        <v>73</v>
      </c>
      <c r="B2" s="83" t="s">
        <v>56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9"/>
    </row>
    <row r="3" spans="1:27" x14ac:dyDescent="0.25">
      <c r="A3" s="82"/>
      <c r="B3" s="83" t="s">
        <v>97</v>
      </c>
      <c r="C3" s="78"/>
      <c r="D3" s="78"/>
      <c r="E3" s="79"/>
      <c r="F3" s="83" t="s">
        <v>98</v>
      </c>
      <c r="G3" s="78"/>
      <c r="H3" s="79"/>
      <c r="I3" s="83" t="s">
        <v>99</v>
      </c>
      <c r="J3" s="78"/>
      <c r="K3" s="79"/>
      <c r="L3" s="83" t="s">
        <v>100</v>
      </c>
      <c r="M3" s="78"/>
      <c r="N3" s="79"/>
      <c r="O3" s="83" t="s">
        <v>101</v>
      </c>
      <c r="P3" s="78"/>
      <c r="Q3" s="79"/>
      <c r="R3" s="83" t="s">
        <v>102</v>
      </c>
      <c r="S3" s="78"/>
      <c r="T3" s="79"/>
      <c r="U3" s="83" t="s">
        <v>103</v>
      </c>
      <c r="V3" s="78"/>
      <c r="W3" s="79"/>
      <c r="Y3" s="35" t="s">
        <v>76</v>
      </c>
      <c r="Z3" s="35" t="s">
        <v>77</v>
      </c>
      <c r="AA3" s="35" t="s">
        <v>78</v>
      </c>
    </row>
    <row r="4" spans="1:27" x14ac:dyDescent="0.25">
      <c r="B4" s="70" t="s">
        <v>76</v>
      </c>
      <c r="C4" s="70" t="s">
        <v>77</v>
      </c>
      <c r="D4" s="70" t="s">
        <v>78</v>
      </c>
      <c r="E4" s="70" t="s">
        <v>79</v>
      </c>
      <c r="F4" s="70" t="s">
        <v>76</v>
      </c>
      <c r="G4" s="70" t="s">
        <v>77</v>
      </c>
      <c r="H4" s="70" t="s">
        <v>78</v>
      </c>
      <c r="I4" s="70" t="s">
        <v>76</v>
      </c>
      <c r="J4" s="70" t="s">
        <v>77</v>
      </c>
      <c r="K4" s="70" t="s">
        <v>78</v>
      </c>
      <c r="L4" s="70" t="s">
        <v>76</v>
      </c>
      <c r="M4" s="70" t="s">
        <v>77</v>
      </c>
      <c r="N4" s="70" t="s">
        <v>78</v>
      </c>
      <c r="O4" s="70" t="s">
        <v>76</v>
      </c>
      <c r="P4" s="70" t="s">
        <v>77</v>
      </c>
      <c r="Q4" s="70" t="s">
        <v>78</v>
      </c>
      <c r="R4" s="70" t="s">
        <v>76</v>
      </c>
      <c r="S4" s="70" t="s">
        <v>77</v>
      </c>
      <c r="T4" s="70" t="s">
        <v>78</v>
      </c>
      <c r="U4" s="70" t="s">
        <v>76</v>
      </c>
      <c r="V4" s="70" t="s">
        <v>77</v>
      </c>
      <c r="W4" s="70" t="s">
        <v>78</v>
      </c>
      <c r="Y4" s="36"/>
      <c r="Z4" s="36"/>
      <c r="AA4" s="36"/>
    </row>
    <row r="5" spans="1:27" x14ac:dyDescent="0.25">
      <c r="A5" s="18">
        <f>СПРАВОЧНИК!$B$35</f>
        <v>46174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Y5" s="38">
        <f t="shared" ref="Y5:Y52" si="0">B5+F5+I5+L5+O5+R5+U5</f>
        <v>0</v>
      </c>
      <c r="Z5" s="38">
        <f t="shared" ref="Z5:Z52" si="1">C5+G5+J5+M5+P5+S5+V5</f>
        <v>0</v>
      </c>
      <c r="AA5" s="38">
        <f t="shared" ref="AA5:AA52" si="2">D5+H5+K5+N5+Q5+T5+W5</f>
        <v>0</v>
      </c>
    </row>
    <row r="6" spans="1:27" x14ac:dyDescent="0.25">
      <c r="A6" s="18">
        <f t="shared" ref="A6:A52" si="3">A5+7</f>
        <v>46181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Y6" s="38">
        <f t="shared" si="0"/>
        <v>0</v>
      </c>
      <c r="Z6" s="38">
        <f t="shared" si="1"/>
        <v>0</v>
      </c>
      <c r="AA6" s="38">
        <f t="shared" si="2"/>
        <v>0</v>
      </c>
    </row>
    <row r="7" spans="1:27" x14ac:dyDescent="0.25">
      <c r="A7" s="18">
        <f t="shared" si="3"/>
        <v>46188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Y7" s="38">
        <f t="shared" si="0"/>
        <v>0</v>
      </c>
      <c r="Z7" s="38">
        <f t="shared" si="1"/>
        <v>0</v>
      </c>
      <c r="AA7" s="38">
        <f t="shared" si="2"/>
        <v>0</v>
      </c>
    </row>
    <row r="8" spans="1:27" x14ac:dyDescent="0.25">
      <c r="A8" s="18">
        <f t="shared" si="3"/>
        <v>46195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Y8" s="38">
        <f t="shared" si="0"/>
        <v>0</v>
      </c>
      <c r="Z8" s="38">
        <f t="shared" si="1"/>
        <v>0</v>
      </c>
      <c r="AA8" s="38">
        <f t="shared" si="2"/>
        <v>0</v>
      </c>
    </row>
    <row r="9" spans="1:27" x14ac:dyDescent="0.25">
      <c r="A9" s="18">
        <f t="shared" si="3"/>
        <v>46202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Y9" s="38">
        <f t="shared" si="0"/>
        <v>0</v>
      </c>
      <c r="Z9" s="38">
        <f t="shared" si="1"/>
        <v>0</v>
      </c>
      <c r="AA9" s="38">
        <f t="shared" si="2"/>
        <v>0</v>
      </c>
    </row>
    <row r="10" spans="1:27" x14ac:dyDescent="0.25">
      <c r="A10" s="18">
        <f t="shared" si="3"/>
        <v>46209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Y10" s="38">
        <f t="shared" si="0"/>
        <v>0</v>
      </c>
      <c r="Z10" s="38">
        <f t="shared" si="1"/>
        <v>0</v>
      </c>
      <c r="AA10" s="38">
        <f t="shared" si="2"/>
        <v>0</v>
      </c>
    </row>
    <row r="11" spans="1:27" x14ac:dyDescent="0.25">
      <c r="A11" s="18">
        <f t="shared" si="3"/>
        <v>46216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8">
        <f t="shared" si="0"/>
        <v>0</v>
      </c>
      <c r="Z11" s="38">
        <f t="shared" si="1"/>
        <v>0</v>
      </c>
      <c r="AA11" s="38">
        <f t="shared" si="2"/>
        <v>0</v>
      </c>
    </row>
    <row r="12" spans="1:27" x14ac:dyDescent="0.25">
      <c r="A12" s="18">
        <f t="shared" si="3"/>
        <v>46223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Y12" s="38">
        <f t="shared" si="0"/>
        <v>0</v>
      </c>
      <c r="Z12" s="38">
        <f t="shared" si="1"/>
        <v>0</v>
      </c>
      <c r="AA12" s="38">
        <f t="shared" si="2"/>
        <v>0</v>
      </c>
    </row>
    <row r="13" spans="1:27" x14ac:dyDescent="0.25">
      <c r="A13" s="18">
        <f t="shared" si="3"/>
        <v>46230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Y13" s="38">
        <f t="shared" si="0"/>
        <v>0</v>
      </c>
      <c r="Z13" s="38">
        <f t="shared" si="1"/>
        <v>0</v>
      </c>
      <c r="AA13" s="38">
        <f t="shared" si="2"/>
        <v>0</v>
      </c>
    </row>
    <row r="14" spans="1:27" x14ac:dyDescent="0.25">
      <c r="A14" s="18">
        <f t="shared" si="3"/>
        <v>46237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Y14" s="38">
        <f t="shared" si="0"/>
        <v>0</v>
      </c>
      <c r="Z14" s="38">
        <f t="shared" si="1"/>
        <v>0</v>
      </c>
      <c r="AA14" s="38">
        <f t="shared" si="2"/>
        <v>0</v>
      </c>
    </row>
    <row r="15" spans="1:27" x14ac:dyDescent="0.25">
      <c r="A15" s="18">
        <f t="shared" si="3"/>
        <v>46244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Y15" s="38">
        <f t="shared" si="0"/>
        <v>0</v>
      </c>
      <c r="Z15" s="38">
        <f t="shared" si="1"/>
        <v>0</v>
      </c>
      <c r="AA15" s="38">
        <f t="shared" si="2"/>
        <v>0</v>
      </c>
    </row>
    <row r="16" spans="1:27" x14ac:dyDescent="0.25">
      <c r="A16" s="18">
        <f t="shared" si="3"/>
        <v>46251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Y16" s="38">
        <f t="shared" si="0"/>
        <v>0</v>
      </c>
      <c r="Z16" s="38">
        <f t="shared" si="1"/>
        <v>0</v>
      </c>
      <c r="AA16" s="38">
        <f t="shared" si="2"/>
        <v>0</v>
      </c>
    </row>
    <row r="17" spans="1:27" x14ac:dyDescent="0.25">
      <c r="A17" s="18">
        <f t="shared" si="3"/>
        <v>46258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Y17" s="38">
        <f t="shared" si="0"/>
        <v>0</v>
      </c>
      <c r="Z17" s="38">
        <f t="shared" si="1"/>
        <v>0</v>
      </c>
      <c r="AA17" s="38">
        <f t="shared" si="2"/>
        <v>0</v>
      </c>
    </row>
    <row r="18" spans="1:27" x14ac:dyDescent="0.25">
      <c r="A18" s="18">
        <f t="shared" si="3"/>
        <v>46265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Y18" s="38">
        <f t="shared" si="0"/>
        <v>0</v>
      </c>
      <c r="Z18" s="38">
        <f t="shared" si="1"/>
        <v>0</v>
      </c>
      <c r="AA18" s="38">
        <f t="shared" si="2"/>
        <v>0</v>
      </c>
    </row>
    <row r="19" spans="1:27" x14ac:dyDescent="0.25">
      <c r="A19" s="18">
        <f t="shared" si="3"/>
        <v>46272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Y19" s="38">
        <f t="shared" si="0"/>
        <v>0</v>
      </c>
      <c r="Z19" s="38">
        <f t="shared" si="1"/>
        <v>0</v>
      </c>
      <c r="AA19" s="38">
        <f t="shared" si="2"/>
        <v>0</v>
      </c>
    </row>
    <row r="20" spans="1:27" x14ac:dyDescent="0.25">
      <c r="A20" s="18">
        <f t="shared" si="3"/>
        <v>46279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Y20" s="38">
        <f t="shared" si="0"/>
        <v>0</v>
      </c>
      <c r="Z20" s="38">
        <f t="shared" si="1"/>
        <v>0</v>
      </c>
      <c r="AA20" s="38">
        <f t="shared" si="2"/>
        <v>0</v>
      </c>
    </row>
    <row r="21" spans="1:27" x14ac:dyDescent="0.25">
      <c r="A21" s="18">
        <f t="shared" si="3"/>
        <v>46286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Y21" s="38">
        <f t="shared" si="0"/>
        <v>0</v>
      </c>
      <c r="Z21" s="38">
        <f t="shared" si="1"/>
        <v>0</v>
      </c>
      <c r="AA21" s="38">
        <f t="shared" si="2"/>
        <v>0</v>
      </c>
    </row>
    <row r="22" spans="1:27" x14ac:dyDescent="0.25">
      <c r="A22" s="18">
        <f t="shared" si="3"/>
        <v>46293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Y22" s="38">
        <f t="shared" si="0"/>
        <v>0</v>
      </c>
      <c r="Z22" s="38">
        <f t="shared" si="1"/>
        <v>0</v>
      </c>
      <c r="AA22" s="38">
        <f t="shared" si="2"/>
        <v>0</v>
      </c>
    </row>
    <row r="23" spans="1:27" x14ac:dyDescent="0.25">
      <c r="A23" s="18">
        <f t="shared" si="3"/>
        <v>46300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Y23" s="38">
        <f t="shared" si="0"/>
        <v>0</v>
      </c>
      <c r="Z23" s="38">
        <f t="shared" si="1"/>
        <v>0</v>
      </c>
      <c r="AA23" s="38">
        <f t="shared" si="2"/>
        <v>0</v>
      </c>
    </row>
    <row r="24" spans="1:27" x14ac:dyDescent="0.25">
      <c r="A24" s="18">
        <f t="shared" si="3"/>
        <v>46307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Y24" s="38">
        <f t="shared" si="0"/>
        <v>0</v>
      </c>
      <c r="Z24" s="38">
        <f t="shared" si="1"/>
        <v>0</v>
      </c>
      <c r="AA24" s="38">
        <f t="shared" si="2"/>
        <v>0</v>
      </c>
    </row>
    <row r="25" spans="1:27" x14ac:dyDescent="0.25">
      <c r="A25" s="18">
        <f t="shared" si="3"/>
        <v>46314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Y25" s="38">
        <f t="shared" si="0"/>
        <v>0</v>
      </c>
      <c r="Z25" s="38">
        <f t="shared" si="1"/>
        <v>0</v>
      </c>
      <c r="AA25" s="38">
        <f t="shared" si="2"/>
        <v>0</v>
      </c>
    </row>
    <row r="26" spans="1:27" x14ac:dyDescent="0.25">
      <c r="A26" s="18">
        <f t="shared" si="3"/>
        <v>46321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Y26" s="38">
        <f t="shared" si="0"/>
        <v>0</v>
      </c>
      <c r="Z26" s="38">
        <f t="shared" si="1"/>
        <v>0</v>
      </c>
      <c r="AA26" s="38">
        <f t="shared" si="2"/>
        <v>0</v>
      </c>
    </row>
    <row r="27" spans="1:27" x14ac:dyDescent="0.25">
      <c r="A27" s="18">
        <f t="shared" si="3"/>
        <v>46328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Y27" s="38">
        <f t="shared" si="0"/>
        <v>0</v>
      </c>
      <c r="Z27" s="38">
        <f t="shared" si="1"/>
        <v>0</v>
      </c>
      <c r="AA27" s="38">
        <f t="shared" si="2"/>
        <v>0</v>
      </c>
    </row>
    <row r="28" spans="1:27" x14ac:dyDescent="0.25">
      <c r="A28" s="18">
        <f t="shared" si="3"/>
        <v>46335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Y28" s="38">
        <f t="shared" si="0"/>
        <v>0</v>
      </c>
      <c r="Z28" s="38">
        <f t="shared" si="1"/>
        <v>0</v>
      </c>
      <c r="AA28" s="38">
        <f t="shared" si="2"/>
        <v>0</v>
      </c>
    </row>
    <row r="29" spans="1:27" x14ac:dyDescent="0.25">
      <c r="A29" s="18">
        <f t="shared" si="3"/>
        <v>46342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Y29" s="38">
        <f t="shared" si="0"/>
        <v>0</v>
      </c>
      <c r="Z29" s="38">
        <f t="shared" si="1"/>
        <v>0</v>
      </c>
      <c r="AA29" s="38">
        <f t="shared" si="2"/>
        <v>0</v>
      </c>
    </row>
    <row r="30" spans="1:27" x14ac:dyDescent="0.25">
      <c r="A30" s="18">
        <f t="shared" si="3"/>
        <v>46349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Y30" s="38">
        <f t="shared" si="0"/>
        <v>0</v>
      </c>
      <c r="Z30" s="38">
        <f t="shared" si="1"/>
        <v>0</v>
      </c>
      <c r="AA30" s="38">
        <f t="shared" si="2"/>
        <v>0</v>
      </c>
    </row>
    <row r="31" spans="1:27" x14ac:dyDescent="0.25">
      <c r="A31" s="18">
        <f t="shared" si="3"/>
        <v>46356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Y31" s="38">
        <f t="shared" si="0"/>
        <v>0</v>
      </c>
      <c r="Z31" s="38">
        <f t="shared" si="1"/>
        <v>0</v>
      </c>
      <c r="AA31" s="38">
        <f t="shared" si="2"/>
        <v>0</v>
      </c>
    </row>
    <row r="32" spans="1:27" x14ac:dyDescent="0.25">
      <c r="A32" s="18">
        <f t="shared" si="3"/>
        <v>46363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Y32" s="38">
        <f t="shared" si="0"/>
        <v>0</v>
      </c>
      <c r="Z32" s="38">
        <f t="shared" si="1"/>
        <v>0</v>
      </c>
      <c r="AA32" s="38">
        <f t="shared" si="2"/>
        <v>0</v>
      </c>
    </row>
    <row r="33" spans="1:27" x14ac:dyDescent="0.25">
      <c r="A33" s="18">
        <f t="shared" si="3"/>
        <v>46370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Y33" s="38">
        <f t="shared" si="0"/>
        <v>0</v>
      </c>
      <c r="Z33" s="38">
        <f t="shared" si="1"/>
        <v>0</v>
      </c>
      <c r="AA33" s="38">
        <f t="shared" si="2"/>
        <v>0</v>
      </c>
    </row>
    <row r="34" spans="1:27" x14ac:dyDescent="0.25">
      <c r="A34" s="18">
        <f t="shared" si="3"/>
        <v>46377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Y34" s="38">
        <f t="shared" si="0"/>
        <v>0</v>
      </c>
      <c r="Z34" s="38">
        <f t="shared" si="1"/>
        <v>0</v>
      </c>
      <c r="AA34" s="38">
        <f t="shared" si="2"/>
        <v>0</v>
      </c>
    </row>
    <row r="35" spans="1:27" x14ac:dyDescent="0.25">
      <c r="A35" s="18">
        <f t="shared" si="3"/>
        <v>46384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Y35" s="38">
        <f t="shared" si="0"/>
        <v>0</v>
      </c>
      <c r="Z35" s="38">
        <f t="shared" si="1"/>
        <v>0</v>
      </c>
      <c r="AA35" s="38">
        <f t="shared" si="2"/>
        <v>0</v>
      </c>
    </row>
    <row r="36" spans="1:27" x14ac:dyDescent="0.25">
      <c r="A36" s="18">
        <f t="shared" si="3"/>
        <v>46391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Y36" s="38">
        <f t="shared" si="0"/>
        <v>0</v>
      </c>
      <c r="Z36" s="38">
        <f t="shared" si="1"/>
        <v>0</v>
      </c>
      <c r="AA36" s="38">
        <f t="shared" si="2"/>
        <v>0</v>
      </c>
    </row>
    <row r="37" spans="1:27" x14ac:dyDescent="0.25">
      <c r="A37" s="18">
        <f t="shared" si="3"/>
        <v>46398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Y37" s="38">
        <f t="shared" si="0"/>
        <v>0</v>
      </c>
      <c r="Z37" s="38">
        <f t="shared" si="1"/>
        <v>0</v>
      </c>
      <c r="AA37" s="38">
        <f t="shared" si="2"/>
        <v>0</v>
      </c>
    </row>
    <row r="38" spans="1:27" x14ac:dyDescent="0.25">
      <c r="A38" s="18">
        <f t="shared" si="3"/>
        <v>46405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Y38" s="38">
        <f t="shared" si="0"/>
        <v>0</v>
      </c>
      <c r="Z38" s="38">
        <f t="shared" si="1"/>
        <v>0</v>
      </c>
      <c r="AA38" s="38">
        <f t="shared" si="2"/>
        <v>0</v>
      </c>
    </row>
    <row r="39" spans="1:27" x14ac:dyDescent="0.25">
      <c r="A39" s="18">
        <f t="shared" si="3"/>
        <v>46412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Y39" s="38">
        <f t="shared" si="0"/>
        <v>0</v>
      </c>
      <c r="Z39" s="38">
        <f t="shared" si="1"/>
        <v>0</v>
      </c>
      <c r="AA39" s="38">
        <f t="shared" si="2"/>
        <v>0</v>
      </c>
    </row>
    <row r="40" spans="1:27" x14ac:dyDescent="0.25">
      <c r="A40" s="18">
        <f t="shared" si="3"/>
        <v>46419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Y40" s="38">
        <f t="shared" si="0"/>
        <v>0</v>
      </c>
      <c r="Z40" s="38">
        <f t="shared" si="1"/>
        <v>0</v>
      </c>
      <c r="AA40" s="38">
        <f t="shared" si="2"/>
        <v>0</v>
      </c>
    </row>
    <row r="41" spans="1:27" x14ac:dyDescent="0.25">
      <c r="A41" s="18">
        <f t="shared" si="3"/>
        <v>46426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Y41" s="38">
        <f t="shared" si="0"/>
        <v>0</v>
      </c>
      <c r="Z41" s="38">
        <f t="shared" si="1"/>
        <v>0</v>
      </c>
      <c r="AA41" s="38">
        <f t="shared" si="2"/>
        <v>0</v>
      </c>
    </row>
    <row r="42" spans="1:27" x14ac:dyDescent="0.25">
      <c r="A42" s="18">
        <f t="shared" si="3"/>
        <v>46433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Y42" s="38">
        <f t="shared" si="0"/>
        <v>0</v>
      </c>
      <c r="Z42" s="38">
        <f t="shared" si="1"/>
        <v>0</v>
      </c>
      <c r="AA42" s="38">
        <f t="shared" si="2"/>
        <v>0</v>
      </c>
    </row>
    <row r="43" spans="1:27" x14ac:dyDescent="0.25">
      <c r="A43" s="18">
        <f t="shared" si="3"/>
        <v>46440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Y43" s="38">
        <f t="shared" si="0"/>
        <v>0</v>
      </c>
      <c r="Z43" s="38">
        <f t="shared" si="1"/>
        <v>0</v>
      </c>
      <c r="AA43" s="38">
        <f t="shared" si="2"/>
        <v>0</v>
      </c>
    </row>
    <row r="44" spans="1:27" x14ac:dyDescent="0.25">
      <c r="A44" s="18">
        <f t="shared" si="3"/>
        <v>46447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Y44" s="38">
        <f t="shared" si="0"/>
        <v>0</v>
      </c>
      <c r="Z44" s="38">
        <f t="shared" si="1"/>
        <v>0</v>
      </c>
      <c r="AA44" s="38">
        <f t="shared" si="2"/>
        <v>0</v>
      </c>
    </row>
    <row r="45" spans="1:27" x14ac:dyDescent="0.25">
      <c r="A45" s="18">
        <f t="shared" si="3"/>
        <v>46454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Y45" s="38">
        <f t="shared" si="0"/>
        <v>0</v>
      </c>
      <c r="Z45" s="38">
        <f t="shared" si="1"/>
        <v>0</v>
      </c>
      <c r="AA45" s="38">
        <f t="shared" si="2"/>
        <v>0</v>
      </c>
    </row>
    <row r="46" spans="1:27" x14ac:dyDescent="0.25">
      <c r="A46" s="18">
        <f t="shared" si="3"/>
        <v>46461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Y46" s="38">
        <f t="shared" si="0"/>
        <v>0</v>
      </c>
      <c r="Z46" s="38">
        <f t="shared" si="1"/>
        <v>0</v>
      </c>
      <c r="AA46" s="38">
        <f t="shared" si="2"/>
        <v>0</v>
      </c>
    </row>
    <row r="47" spans="1:27" x14ac:dyDescent="0.25">
      <c r="A47" s="18">
        <f t="shared" si="3"/>
        <v>46468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Y47" s="38">
        <f t="shared" si="0"/>
        <v>0</v>
      </c>
      <c r="Z47" s="38">
        <f t="shared" si="1"/>
        <v>0</v>
      </c>
      <c r="AA47" s="38">
        <f t="shared" si="2"/>
        <v>0</v>
      </c>
    </row>
    <row r="48" spans="1:27" x14ac:dyDescent="0.25">
      <c r="A48" s="18">
        <f t="shared" si="3"/>
        <v>46475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Y48" s="38">
        <f t="shared" si="0"/>
        <v>0</v>
      </c>
      <c r="Z48" s="38">
        <f t="shared" si="1"/>
        <v>0</v>
      </c>
      <c r="AA48" s="38">
        <f t="shared" si="2"/>
        <v>0</v>
      </c>
    </row>
    <row r="49" spans="1:27" x14ac:dyDescent="0.25">
      <c r="A49" s="18">
        <f t="shared" si="3"/>
        <v>46482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Y49" s="38">
        <f t="shared" si="0"/>
        <v>0</v>
      </c>
      <c r="Z49" s="38">
        <f t="shared" si="1"/>
        <v>0</v>
      </c>
      <c r="AA49" s="38">
        <f t="shared" si="2"/>
        <v>0</v>
      </c>
    </row>
    <row r="50" spans="1:27" x14ac:dyDescent="0.25">
      <c r="A50" s="18">
        <f t="shared" si="3"/>
        <v>46489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Y50" s="38">
        <f t="shared" si="0"/>
        <v>0</v>
      </c>
      <c r="Z50" s="38">
        <f t="shared" si="1"/>
        <v>0</v>
      </c>
      <c r="AA50" s="38">
        <f t="shared" si="2"/>
        <v>0</v>
      </c>
    </row>
    <row r="51" spans="1:27" x14ac:dyDescent="0.25">
      <c r="A51" s="18">
        <f t="shared" si="3"/>
        <v>46496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Y51" s="38">
        <f t="shared" si="0"/>
        <v>0</v>
      </c>
      <c r="Z51" s="38">
        <f t="shared" si="1"/>
        <v>0</v>
      </c>
      <c r="AA51" s="38">
        <f t="shared" si="2"/>
        <v>0</v>
      </c>
    </row>
    <row r="52" spans="1:27" x14ac:dyDescent="0.25">
      <c r="A52" s="18">
        <f t="shared" si="3"/>
        <v>46503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Y52" s="38">
        <f t="shared" si="0"/>
        <v>0</v>
      </c>
      <c r="Z52" s="38">
        <f t="shared" si="1"/>
        <v>0</v>
      </c>
      <c r="AA52" s="38">
        <f t="shared" si="2"/>
        <v>0</v>
      </c>
    </row>
  </sheetData>
  <mergeCells count="11">
    <mergeCell ref="B2:W2"/>
    <mergeCell ref="A1:W1"/>
    <mergeCell ref="R3:T3"/>
    <mergeCell ref="U3:W3"/>
    <mergeCell ref="Y1:AA1"/>
    <mergeCell ref="A2:A3"/>
    <mergeCell ref="B3:E3"/>
    <mergeCell ref="I3:K3"/>
    <mergeCell ref="F3:H3"/>
    <mergeCell ref="L3:N3"/>
    <mergeCell ref="O3:Q3"/>
  </mergeCells>
  <conditionalFormatting sqref="A5:A52">
    <cfRule type="expression" dxfId="71" priority="1">
      <formula>AND($A5&lt;=TODAY(),$A5+6&gt;=TODAY())</formula>
    </cfRule>
  </conditionalFormatting>
  <dataValidations count="1">
    <dataValidation type="decimal" operator="greaterThanOrEqual" sqref="B5:W52" xr:uid="{00000000-0002-0000-0800-000000000000}">
      <formula1>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2" style="66" customWidth="1"/>
    <col min="2" max="26" width="10" style="66" customWidth="1"/>
  </cols>
  <sheetData>
    <row r="1" spans="1:26" x14ac:dyDescent="0.25">
      <c r="A1" s="73" t="s">
        <v>105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X1" s="80" t="s">
        <v>106</v>
      </c>
      <c r="Y1" s="74"/>
      <c r="Z1" s="74"/>
    </row>
    <row r="2" spans="1:26" x14ac:dyDescent="0.25">
      <c r="A2" s="81" t="s">
        <v>73</v>
      </c>
      <c r="B2" s="83" t="s">
        <v>56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</row>
    <row r="3" spans="1:26" x14ac:dyDescent="0.25">
      <c r="A3" s="82"/>
      <c r="B3" s="83" t="s">
        <v>97</v>
      </c>
      <c r="C3" s="78"/>
      <c r="D3" s="79"/>
      <c r="E3" s="83" t="s">
        <v>98</v>
      </c>
      <c r="F3" s="78"/>
      <c r="G3" s="79"/>
      <c r="H3" s="83" t="s">
        <v>99</v>
      </c>
      <c r="I3" s="78"/>
      <c r="J3" s="79"/>
      <c r="K3" s="83" t="s">
        <v>100</v>
      </c>
      <c r="L3" s="78"/>
      <c r="M3" s="79"/>
      <c r="N3" s="83" t="s">
        <v>101</v>
      </c>
      <c r="O3" s="78"/>
      <c r="P3" s="79"/>
      <c r="Q3" s="83" t="s">
        <v>102</v>
      </c>
      <c r="R3" s="78"/>
      <c r="S3" s="79"/>
      <c r="T3" s="83" t="s">
        <v>103</v>
      </c>
      <c r="U3" s="78"/>
      <c r="V3" s="79"/>
      <c r="X3" s="35" t="s">
        <v>76</v>
      </c>
      <c r="Y3" s="35" t="s">
        <v>77</v>
      </c>
      <c r="Z3" s="35" t="s">
        <v>78</v>
      </c>
    </row>
    <row r="4" spans="1:26" x14ac:dyDescent="0.25">
      <c r="B4" s="70" t="s">
        <v>76</v>
      </c>
      <c r="C4" s="70" t="s">
        <v>77</v>
      </c>
      <c r="D4" s="70" t="s">
        <v>78</v>
      </c>
      <c r="E4" s="70" t="s">
        <v>76</v>
      </c>
      <c r="F4" s="70" t="s">
        <v>77</v>
      </c>
      <c r="G4" s="70" t="s">
        <v>78</v>
      </c>
      <c r="H4" s="70" t="s">
        <v>76</v>
      </c>
      <c r="I4" s="70" t="s">
        <v>77</v>
      </c>
      <c r="J4" s="70" t="s">
        <v>78</v>
      </c>
      <c r="K4" s="70" t="s">
        <v>76</v>
      </c>
      <c r="L4" s="70" t="s">
        <v>77</v>
      </c>
      <c r="M4" s="70" t="s">
        <v>78</v>
      </c>
      <c r="N4" s="70" t="s">
        <v>76</v>
      </c>
      <c r="O4" s="70" t="s">
        <v>77</v>
      </c>
      <c r="P4" s="70" t="s">
        <v>78</v>
      </c>
      <c r="Q4" s="70" t="s">
        <v>76</v>
      </c>
      <c r="R4" s="70" t="s">
        <v>77</v>
      </c>
      <c r="S4" s="70" t="s">
        <v>78</v>
      </c>
      <c r="T4" s="70" t="s">
        <v>76</v>
      </c>
      <c r="U4" s="70" t="s">
        <v>77</v>
      </c>
      <c r="V4" s="70" t="s">
        <v>78</v>
      </c>
      <c r="X4" s="36"/>
      <c r="Y4" s="36"/>
      <c r="Z4" s="36"/>
    </row>
    <row r="5" spans="1:26" x14ac:dyDescent="0.25">
      <c r="A5" s="18">
        <f>СПРАВОЧНИК!$B$35</f>
        <v>46174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X5" s="38">
        <f t="shared" ref="X5:X52" si="0">B5+E5+H5+K5+N5+Q5+T5</f>
        <v>0</v>
      </c>
      <c r="Y5" s="38">
        <f t="shared" ref="Y5:Y52" si="1">C5+F5+I5+L5+O5+R5+U5</f>
        <v>0</v>
      </c>
      <c r="Z5" s="38">
        <f t="shared" ref="Z5:Z52" si="2">D5+G5+J5+M5+P5+S5+V5</f>
        <v>0</v>
      </c>
    </row>
    <row r="6" spans="1:26" x14ac:dyDescent="0.25">
      <c r="A6" s="18">
        <f t="shared" ref="A6:A52" si="3">A5+7</f>
        <v>46181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X6" s="38">
        <f t="shared" si="0"/>
        <v>0</v>
      </c>
      <c r="Y6" s="38">
        <f t="shared" si="1"/>
        <v>0</v>
      </c>
      <c r="Z6" s="38">
        <f t="shared" si="2"/>
        <v>0</v>
      </c>
    </row>
    <row r="7" spans="1:26" x14ac:dyDescent="0.25">
      <c r="A7" s="18">
        <f t="shared" si="3"/>
        <v>46188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X7" s="38">
        <f t="shared" si="0"/>
        <v>0</v>
      </c>
      <c r="Y7" s="38">
        <f t="shared" si="1"/>
        <v>0</v>
      </c>
      <c r="Z7" s="38">
        <f t="shared" si="2"/>
        <v>0</v>
      </c>
    </row>
    <row r="8" spans="1:26" x14ac:dyDescent="0.25">
      <c r="A8" s="18">
        <f t="shared" si="3"/>
        <v>46195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X8" s="38">
        <f t="shared" si="0"/>
        <v>0</v>
      </c>
      <c r="Y8" s="38">
        <f t="shared" si="1"/>
        <v>0</v>
      </c>
      <c r="Z8" s="38">
        <f t="shared" si="2"/>
        <v>0</v>
      </c>
    </row>
    <row r="9" spans="1:26" x14ac:dyDescent="0.25">
      <c r="A9" s="18">
        <f t="shared" si="3"/>
        <v>46202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X9" s="38">
        <f t="shared" si="0"/>
        <v>0</v>
      </c>
      <c r="Y9" s="38">
        <f t="shared" si="1"/>
        <v>0</v>
      </c>
      <c r="Z9" s="38">
        <f t="shared" si="2"/>
        <v>0</v>
      </c>
    </row>
    <row r="10" spans="1:26" x14ac:dyDescent="0.25">
      <c r="A10" s="18">
        <f t="shared" si="3"/>
        <v>46209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X10" s="38">
        <f t="shared" si="0"/>
        <v>0</v>
      </c>
      <c r="Y10" s="38">
        <f t="shared" si="1"/>
        <v>0</v>
      </c>
      <c r="Z10" s="38">
        <f t="shared" si="2"/>
        <v>0</v>
      </c>
    </row>
    <row r="11" spans="1:26" x14ac:dyDescent="0.25">
      <c r="A11" s="18">
        <f t="shared" si="3"/>
        <v>46216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X11" s="38">
        <f t="shared" si="0"/>
        <v>0</v>
      </c>
      <c r="Y11" s="38">
        <f t="shared" si="1"/>
        <v>0</v>
      </c>
      <c r="Z11" s="38">
        <f t="shared" si="2"/>
        <v>0</v>
      </c>
    </row>
    <row r="12" spans="1:26" x14ac:dyDescent="0.25">
      <c r="A12" s="18">
        <f t="shared" si="3"/>
        <v>46223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X12" s="38">
        <f t="shared" si="0"/>
        <v>0</v>
      </c>
      <c r="Y12" s="38">
        <f t="shared" si="1"/>
        <v>0</v>
      </c>
      <c r="Z12" s="38">
        <f t="shared" si="2"/>
        <v>0</v>
      </c>
    </row>
    <row r="13" spans="1:26" x14ac:dyDescent="0.25">
      <c r="A13" s="18">
        <f t="shared" si="3"/>
        <v>46230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X13" s="38">
        <f t="shared" si="0"/>
        <v>0</v>
      </c>
      <c r="Y13" s="38">
        <f t="shared" si="1"/>
        <v>0</v>
      </c>
      <c r="Z13" s="38">
        <f t="shared" si="2"/>
        <v>0</v>
      </c>
    </row>
    <row r="14" spans="1:26" x14ac:dyDescent="0.25">
      <c r="A14" s="18">
        <f t="shared" si="3"/>
        <v>46237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X14" s="38">
        <f t="shared" si="0"/>
        <v>0</v>
      </c>
      <c r="Y14" s="38">
        <f t="shared" si="1"/>
        <v>0</v>
      </c>
      <c r="Z14" s="38">
        <f t="shared" si="2"/>
        <v>0</v>
      </c>
    </row>
    <row r="15" spans="1:26" x14ac:dyDescent="0.25">
      <c r="A15" s="18">
        <f t="shared" si="3"/>
        <v>46244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X15" s="38">
        <f t="shared" si="0"/>
        <v>0</v>
      </c>
      <c r="Y15" s="38">
        <f t="shared" si="1"/>
        <v>0</v>
      </c>
      <c r="Z15" s="38">
        <f t="shared" si="2"/>
        <v>0</v>
      </c>
    </row>
    <row r="16" spans="1:26" x14ac:dyDescent="0.25">
      <c r="A16" s="18">
        <f t="shared" si="3"/>
        <v>46251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X16" s="38">
        <f t="shared" si="0"/>
        <v>0</v>
      </c>
      <c r="Y16" s="38">
        <f t="shared" si="1"/>
        <v>0</v>
      </c>
      <c r="Z16" s="38">
        <f t="shared" si="2"/>
        <v>0</v>
      </c>
    </row>
    <row r="17" spans="1:26" x14ac:dyDescent="0.25">
      <c r="A17" s="18">
        <f t="shared" si="3"/>
        <v>46258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X17" s="38">
        <f t="shared" si="0"/>
        <v>0</v>
      </c>
      <c r="Y17" s="38">
        <f t="shared" si="1"/>
        <v>0</v>
      </c>
      <c r="Z17" s="38">
        <f t="shared" si="2"/>
        <v>0</v>
      </c>
    </row>
    <row r="18" spans="1:26" x14ac:dyDescent="0.25">
      <c r="A18" s="18">
        <f t="shared" si="3"/>
        <v>46265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X18" s="38">
        <f t="shared" si="0"/>
        <v>0</v>
      </c>
      <c r="Y18" s="38">
        <f t="shared" si="1"/>
        <v>0</v>
      </c>
      <c r="Z18" s="38">
        <f t="shared" si="2"/>
        <v>0</v>
      </c>
    </row>
    <row r="19" spans="1:26" x14ac:dyDescent="0.25">
      <c r="A19" s="18">
        <f t="shared" si="3"/>
        <v>46272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X19" s="38">
        <f t="shared" si="0"/>
        <v>0</v>
      </c>
      <c r="Y19" s="38">
        <f t="shared" si="1"/>
        <v>0</v>
      </c>
      <c r="Z19" s="38">
        <f t="shared" si="2"/>
        <v>0</v>
      </c>
    </row>
    <row r="20" spans="1:26" x14ac:dyDescent="0.25">
      <c r="A20" s="18">
        <f t="shared" si="3"/>
        <v>46279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X20" s="38">
        <f t="shared" si="0"/>
        <v>0</v>
      </c>
      <c r="Y20" s="38">
        <f t="shared" si="1"/>
        <v>0</v>
      </c>
      <c r="Z20" s="38">
        <f t="shared" si="2"/>
        <v>0</v>
      </c>
    </row>
    <row r="21" spans="1:26" x14ac:dyDescent="0.25">
      <c r="A21" s="18">
        <f t="shared" si="3"/>
        <v>46286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X21" s="38">
        <f t="shared" si="0"/>
        <v>0</v>
      </c>
      <c r="Y21" s="38">
        <f t="shared" si="1"/>
        <v>0</v>
      </c>
      <c r="Z21" s="38">
        <f t="shared" si="2"/>
        <v>0</v>
      </c>
    </row>
    <row r="22" spans="1:26" x14ac:dyDescent="0.25">
      <c r="A22" s="18">
        <f t="shared" si="3"/>
        <v>46293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X22" s="38">
        <f t="shared" si="0"/>
        <v>0</v>
      </c>
      <c r="Y22" s="38">
        <f t="shared" si="1"/>
        <v>0</v>
      </c>
      <c r="Z22" s="38">
        <f t="shared" si="2"/>
        <v>0</v>
      </c>
    </row>
    <row r="23" spans="1:26" x14ac:dyDescent="0.25">
      <c r="A23" s="18">
        <f t="shared" si="3"/>
        <v>46300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X23" s="38">
        <f t="shared" si="0"/>
        <v>0</v>
      </c>
      <c r="Y23" s="38">
        <f t="shared" si="1"/>
        <v>0</v>
      </c>
      <c r="Z23" s="38">
        <f t="shared" si="2"/>
        <v>0</v>
      </c>
    </row>
    <row r="24" spans="1:26" x14ac:dyDescent="0.25">
      <c r="A24" s="18">
        <f t="shared" si="3"/>
        <v>46307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X24" s="38">
        <f t="shared" si="0"/>
        <v>0</v>
      </c>
      <c r="Y24" s="38">
        <f t="shared" si="1"/>
        <v>0</v>
      </c>
      <c r="Z24" s="38">
        <f t="shared" si="2"/>
        <v>0</v>
      </c>
    </row>
    <row r="25" spans="1:26" x14ac:dyDescent="0.25">
      <c r="A25" s="18">
        <f t="shared" si="3"/>
        <v>46314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X25" s="38">
        <f t="shared" si="0"/>
        <v>0</v>
      </c>
      <c r="Y25" s="38">
        <f t="shared" si="1"/>
        <v>0</v>
      </c>
      <c r="Z25" s="38">
        <f t="shared" si="2"/>
        <v>0</v>
      </c>
    </row>
    <row r="26" spans="1:26" x14ac:dyDescent="0.25">
      <c r="A26" s="18">
        <f t="shared" si="3"/>
        <v>46321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X26" s="38">
        <f t="shared" si="0"/>
        <v>0</v>
      </c>
      <c r="Y26" s="38">
        <f t="shared" si="1"/>
        <v>0</v>
      </c>
      <c r="Z26" s="38">
        <f t="shared" si="2"/>
        <v>0</v>
      </c>
    </row>
    <row r="27" spans="1:26" x14ac:dyDescent="0.25">
      <c r="A27" s="18">
        <f t="shared" si="3"/>
        <v>46328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X27" s="38">
        <f t="shared" si="0"/>
        <v>0</v>
      </c>
      <c r="Y27" s="38">
        <f t="shared" si="1"/>
        <v>0</v>
      </c>
      <c r="Z27" s="38">
        <f t="shared" si="2"/>
        <v>0</v>
      </c>
    </row>
    <row r="28" spans="1:26" x14ac:dyDescent="0.25">
      <c r="A28" s="18">
        <f t="shared" si="3"/>
        <v>46335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X28" s="38">
        <f t="shared" si="0"/>
        <v>0</v>
      </c>
      <c r="Y28" s="38">
        <f t="shared" si="1"/>
        <v>0</v>
      </c>
      <c r="Z28" s="38">
        <f t="shared" si="2"/>
        <v>0</v>
      </c>
    </row>
    <row r="29" spans="1:26" x14ac:dyDescent="0.25">
      <c r="A29" s="18">
        <f t="shared" si="3"/>
        <v>46342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X29" s="38">
        <f t="shared" si="0"/>
        <v>0</v>
      </c>
      <c r="Y29" s="38">
        <f t="shared" si="1"/>
        <v>0</v>
      </c>
      <c r="Z29" s="38">
        <f t="shared" si="2"/>
        <v>0</v>
      </c>
    </row>
    <row r="30" spans="1:26" x14ac:dyDescent="0.25">
      <c r="A30" s="18">
        <f t="shared" si="3"/>
        <v>46349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X30" s="38">
        <f t="shared" si="0"/>
        <v>0</v>
      </c>
      <c r="Y30" s="38">
        <f t="shared" si="1"/>
        <v>0</v>
      </c>
      <c r="Z30" s="38">
        <f t="shared" si="2"/>
        <v>0</v>
      </c>
    </row>
    <row r="31" spans="1:26" x14ac:dyDescent="0.25">
      <c r="A31" s="18">
        <f t="shared" si="3"/>
        <v>46356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X31" s="38">
        <f t="shared" si="0"/>
        <v>0</v>
      </c>
      <c r="Y31" s="38">
        <f t="shared" si="1"/>
        <v>0</v>
      </c>
      <c r="Z31" s="38">
        <f t="shared" si="2"/>
        <v>0</v>
      </c>
    </row>
    <row r="32" spans="1:26" x14ac:dyDescent="0.25">
      <c r="A32" s="18">
        <f t="shared" si="3"/>
        <v>46363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X32" s="38">
        <f t="shared" si="0"/>
        <v>0</v>
      </c>
      <c r="Y32" s="38">
        <f t="shared" si="1"/>
        <v>0</v>
      </c>
      <c r="Z32" s="38">
        <f t="shared" si="2"/>
        <v>0</v>
      </c>
    </row>
    <row r="33" spans="1:26" x14ac:dyDescent="0.25">
      <c r="A33" s="18">
        <f t="shared" si="3"/>
        <v>46370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X33" s="38">
        <f t="shared" si="0"/>
        <v>0</v>
      </c>
      <c r="Y33" s="38">
        <f t="shared" si="1"/>
        <v>0</v>
      </c>
      <c r="Z33" s="38">
        <f t="shared" si="2"/>
        <v>0</v>
      </c>
    </row>
    <row r="34" spans="1:26" x14ac:dyDescent="0.25">
      <c r="A34" s="18">
        <f t="shared" si="3"/>
        <v>46377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X34" s="38">
        <f t="shared" si="0"/>
        <v>0</v>
      </c>
      <c r="Y34" s="38">
        <f t="shared" si="1"/>
        <v>0</v>
      </c>
      <c r="Z34" s="38">
        <f t="shared" si="2"/>
        <v>0</v>
      </c>
    </row>
    <row r="35" spans="1:26" x14ac:dyDescent="0.25">
      <c r="A35" s="18">
        <f t="shared" si="3"/>
        <v>46384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X35" s="38">
        <f t="shared" si="0"/>
        <v>0</v>
      </c>
      <c r="Y35" s="38">
        <f t="shared" si="1"/>
        <v>0</v>
      </c>
      <c r="Z35" s="38">
        <f t="shared" si="2"/>
        <v>0</v>
      </c>
    </row>
    <row r="36" spans="1:26" x14ac:dyDescent="0.25">
      <c r="A36" s="18">
        <f t="shared" si="3"/>
        <v>46391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X36" s="38">
        <f t="shared" si="0"/>
        <v>0</v>
      </c>
      <c r="Y36" s="38">
        <f t="shared" si="1"/>
        <v>0</v>
      </c>
      <c r="Z36" s="38">
        <f t="shared" si="2"/>
        <v>0</v>
      </c>
    </row>
    <row r="37" spans="1:26" x14ac:dyDescent="0.25">
      <c r="A37" s="18">
        <f t="shared" si="3"/>
        <v>46398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X37" s="38">
        <f t="shared" si="0"/>
        <v>0</v>
      </c>
      <c r="Y37" s="38">
        <f t="shared" si="1"/>
        <v>0</v>
      </c>
      <c r="Z37" s="38">
        <f t="shared" si="2"/>
        <v>0</v>
      </c>
    </row>
    <row r="38" spans="1:26" x14ac:dyDescent="0.25">
      <c r="A38" s="18">
        <f t="shared" si="3"/>
        <v>46405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X38" s="38">
        <f t="shared" si="0"/>
        <v>0</v>
      </c>
      <c r="Y38" s="38">
        <f t="shared" si="1"/>
        <v>0</v>
      </c>
      <c r="Z38" s="38">
        <f t="shared" si="2"/>
        <v>0</v>
      </c>
    </row>
    <row r="39" spans="1:26" x14ac:dyDescent="0.25">
      <c r="A39" s="18">
        <f t="shared" si="3"/>
        <v>46412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X39" s="38">
        <f t="shared" si="0"/>
        <v>0</v>
      </c>
      <c r="Y39" s="38">
        <f t="shared" si="1"/>
        <v>0</v>
      </c>
      <c r="Z39" s="38">
        <f t="shared" si="2"/>
        <v>0</v>
      </c>
    </row>
    <row r="40" spans="1:26" x14ac:dyDescent="0.25">
      <c r="A40" s="18">
        <f t="shared" si="3"/>
        <v>46419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X40" s="38">
        <f t="shared" si="0"/>
        <v>0</v>
      </c>
      <c r="Y40" s="38">
        <f t="shared" si="1"/>
        <v>0</v>
      </c>
      <c r="Z40" s="38">
        <f t="shared" si="2"/>
        <v>0</v>
      </c>
    </row>
    <row r="41" spans="1:26" x14ac:dyDescent="0.25">
      <c r="A41" s="18">
        <f t="shared" si="3"/>
        <v>46426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X41" s="38">
        <f t="shared" si="0"/>
        <v>0</v>
      </c>
      <c r="Y41" s="38">
        <f t="shared" si="1"/>
        <v>0</v>
      </c>
      <c r="Z41" s="38">
        <f t="shared" si="2"/>
        <v>0</v>
      </c>
    </row>
    <row r="42" spans="1:26" x14ac:dyDescent="0.25">
      <c r="A42" s="18">
        <f t="shared" si="3"/>
        <v>46433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X42" s="38">
        <f t="shared" si="0"/>
        <v>0</v>
      </c>
      <c r="Y42" s="38">
        <f t="shared" si="1"/>
        <v>0</v>
      </c>
      <c r="Z42" s="38">
        <f t="shared" si="2"/>
        <v>0</v>
      </c>
    </row>
    <row r="43" spans="1:26" x14ac:dyDescent="0.25">
      <c r="A43" s="18">
        <f t="shared" si="3"/>
        <v>46440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X43" s="38">
        <f t="shared" si="0"/>
        <v>0</v>
      </c>
      <c r="Y43" s="38">
        <f t="shared" si="1"/>
        <v>0</v>
      </c>
      <c r="Z43" s="38">
        <f t="shared" si="2"/>
        <v>0</v>
      </c>
    </row>
    <row r="44" spans="1:26" x14ac:dyDescent="0.25">
      <c r="A44" s="18">
        <f t="shared" si="3"/>
        <v>46447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X44" s="38">
        <f t="shared" si="0"/>
        <v>0</v>
      </c>
      <c r="Y44" s="38">
        <f t="shared" si="1"/>
        <v>0</v>
      </c>
      <c r="Z44" s="38">
        <f t="shared" si="2"/>
        <v>0</v>
      </c>
    </row>
    <row r="45" spans="1:26" x14ac:dyDescent="0.25">
      <c r="A45" s="18">
        <f t="shared" si="3"/>
        <v>46454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X45" s="38">
        <f t="shared" si="0"/>
        <v>0</v>
      </c>
      <c r="Y45" s="38">
        <f t="shared" si="1"/>
        <v>0</v>
      </c>
      <c r="Z45" s="38">
        <f t="shared" si="2"/>
        <v>0</v>
      </c>
    </row>
    <row r="46" spans="1:26" x14ac:dyDescent="0.25">
      <c r="A46" s="18">
        <f t="shared" si="3"/>
        <v>46461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X46" s="38">
        <f t="shared" si="0"/>
        <v>0</v>
      </c>
      <c r="Y46" s="38">
        <f t="shared" si="1"/>
        <v>0</v>
      </c>
      <c r="Z46" s="38">
        <f t="shared" si="2"/>
        <v>0</v>
      </c>
    </row>
    <row r="47" spans="1:26" x14ac:dyDescent="0.25">
      <c r="A47" s="18">
        <f t="shared" si="3"/>
        <v>46468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X47" s="38">
        <f t="shared" si="0"/>
        <v>0</v>
      </c>
      <c r="Y47" s="38">
        <f t="shared" si="1"/>
        <v>0</v>
      </c>
      <c r="Z47" s="38">
        <f t="shared" si="2"/>
        <v>0</v>
      </c>
    </row>
    <row r="48" spans="1:26" x14ac:dyDescent="0.25">
      <c r="A48" s="18">
        <f t="shared" si="3"/>
        <v>46475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X48" s="38">
        <f t="shared" si="0"/>
        <v>0</v>
      </c>
      <c r="Y48" s="38">
        <f t="shared" si="1"/>
        <v>0</v>
      </c>
      <c r="Z48" s="38">
        <f t="shared" si="2"/>
        <v>0</v>
      </c>
    </row>
    <row r="49" spans="1:26" x14ac:dyDescent="0.25">
      <c r="A49" s="18">
        <f t="shared" si="3"/>
        <v>46482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X49" s="38">
        <f t="shared" si="0"/>
        <v>0</v>
      </c>
      <c r="Y49" s="38">
        <f t="shared" si="1"/>
        <v>0</v>
      </c>
      <c r="Z49" s="38">
        <f t="shared" si="2"/>
        <v>0</v>
      </c>
    </row>
    <row r="50" spans="1:26" x14ac:dyDescent="0.25">
      <c r="A50" s="18">
        <f t="shared" si="3"/>
        <v>46489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X50" s="38">
        <f t="shared" si="0"/>
        <v>0</v>
      </c>
      <c r="Y50" s="38">
        <f t="shared" si="1"/>
        <v>0</v>
      </c>
      <c r="Z50" s="38">
        <f t="shared" si="2"/>
        <v>0</v>
      </c>
    </row>
    <row r="51" spans="1:26" x14ac:dyDescent="0.25">
      <c r="A51" s="18">
        <f t="shared" si="3"/>
        <v>46496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X51" s="38">
        <f t="shared" si="0"/>
        <v>0</v>
      </c>
      <c r="Y51" s="38">
        <f t="shared" si="1"/>
        <v>0</v>
      </c>
      <c r="Z51" s="38">
        <f t="shared" si="2"/>
        <v>0</v>
      </c>
    </row>
    <row r="52" spans="1:26" x14ac:dyDescent="0.25">
      <c r="A52" s="18">
        <f t="shared" si="3"/>
        <v>46503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X52" s="38">
        <f t="shared" si="0"/>
        <v>0</v>
      </c>
      <c r="Y52" s="38">
        <f t="shared" si="1"/>
        <v>0</v>
      </c>
      <c r="Z52" s="38">
        <f t="shared" si="2"/>
        <v>0</v>
      </c>
    </row>
  </sheetData>
  <mergeCells count="11">
    <mergeCell ref="X1:Z1"/>
    <mergeCell ref="N3:P3"/>
    <mergeCell ref="Q3:S3"/>
    <mergeCell ref="B3:D3"/>
    <mergeCell ref="B2:V2"/>
    <mergeCell ref="A1:V1"/>
    <mergeCell ref="T3:V3"/>
    <mergeCell ref="A2:A3"/>
    <mergeCell ref="E3:G3"/>
    <mergeCell ref="K3:M3"/>
    <mergeCell ref="H3:J3"/>
  </mergeCells>
  <conditionalFormatting sqref="A5:A52">
    <cfRule type="expression" dxfId="70" priority="1">
      <formula>AND($A5&lt;=TODAY(),$A5+6&gt;=TODAY())</formula>
    </cfRule>
  </conditionalFormatting>
  <dataValidations count="1">
    <dataValidation type="decimal" operator="greaterThanOrEqual" sqref="B5:V52" xr:uid="{00000000-0002-0000-0900-000000000000}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sqref="A1:W1"/>
    </sheetView>
  </sheetViews>
  <sheetFormatPr defaultRowHeight="15" x14ac:dyDescent="0.25"/>
  <cols>
    <col min="1" max="1" width="12" style="66" customWidth="1"/>
    <col min="2" max="27" width="10" style="66" customWidth="1"/>
  </cols>
  <sheetData>
    <row r="1" spans="1:27" x14ac:dyDescent="0.25">
      <c r="A1" s="73" t="s">
        <v>107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Y1" s="80" t="s">
        <v>106</v>
      </c>
      <c r="Z1" s="74"/>
      <c r="AA1" s="74"/>
    </row>
    <row r="2" spans="1:27" x14ac:dyDescent="0.25">
      <c r="A2" s="81" t="s">
        <v>73</v>
      </c>
      <c r="B2" s="83" t="s">
        <v>56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9"/>
    </row>
    <row r="3" spans="1:27" x14ac:dyDescent="0.25">
      <c r="A3" s="82"/>
      <c r="B3" s="83" t="s">
        <v>97</v>
      </c>
      <c r="C3" s="78"/>
      <c r="D3" s="78"/>
      <c r="E3" s="79"/>
      <c r="F3" s="83" t="s">
        <v>98</v>
      </c>
      <c r="G3" s="78"/>
      <c r="H3" s="79"/>
      <c r="I3" s="83" t="s">
        <v>99</v>
      </c>
      <c r="J3" s="78"/>
      <c r="K3" s="79"/>
      <c r="L3" s="83" t="s">
        <v>100</v>
      </c>
      <c r="M3" s="78"/>
      <c r="N3" s="79"/>
      <c r="O3" s="83" t="s">
        <v>101</v>
      </c>
      <c r="P3" s="78"/>
      <c r="Q3" s="79"/>
      <c r="R3" s="83" t="s">
        <v>102</v>
      </c>
      <c r="S3" s="78"/>
      <c r="T3" s="79"/>
      <c r="U3" s="83" t="s">
        <v>103</v>
      </c>
      <c r="V3" s="78"/>
      <c r="W3" s="79"/>
      <c r="Y3" s="35" t="s">
        <v>76</v>
      </c>
      <c r="Z3" s="35" t="s">
        <v>77</v>
      </c>
      <c r="AA3" s="35" t="s">
        <v>78</v>
      </c>
    </row>
    <row r="4" spans="1:27" x14ac:dyDescent="0.25">
      <c r="B4" s="70" t="s">
        <v>76</v>
      </c>
      <c r="C4" s="70" t="s">
        <v>77</v>
      </c>
      <c r="D4" s="70" t="s">
        <v>78</v>
      </c>
      <c r="E4" s="70" t="s">
        <v>79</v>
      </c>
      <c r="F4" s="70" t="s">
        <v>76</v>
      </c>
      <c r="G4" s="70" t="s">
        <v>77</v>
      </c>
      <c r="H4" s="70" t="s">
        <v>78</v>
      </c>
      <c r="I4" s="70" t="s">
        <v>76</v>
      </c>
      <c r="J4" s="70" t="s">
        <v>77</v>
      </c>
      <c r="K4" s="70" t="s">
        <v>78</v>
      </c>
      <c r="L4" s="70" t="s">
        <v>76</v>
      </c>
      <c r="M4" s="70" t="s">
        <v>77</v>
      </c>
      <c r="N4" s="70" t="s">
        <v>78</v>
      </c>
      <c r="O4" s="70" t="s">
        <v>76</v>
      </c>
      <c r="P4" s="70" t="s">
        <v>77</v>
      </c>
      <c r="Q4" s="70" t="s">
        <v>78</v>
      </c>
      <c r="R4" s="70" t="s">
        <v>76</v>
      </c>
      <c r="S4" s="70" t="s">
        <v>77</v>
      </c>
      <c r="T4" s="70" t="s">
        <v>78</v>
      </c>
      <c r="U4" s="70" t="s">
        <v>76</v>
      </c>
      <c r="V4" s="70" t="s">
        <v>77</v>
      </c>
      <c r="W4" s="70" t="s">
        <v>78</v>
      </c>
      <c r="Y4" s="36"/>
      <c r="Z4" s="36"/>
      <c r="AA4" s="36"/>
    </row>
    <row r="5" spans="1:27" x14ac:dyDescent="0.25">
      <c r="A5" s="18">
        <f>СПРАВОЧНИК!$B$35</f>
        <v>46174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Y5" s="38">
        <f t="shared" ref="Y5:Y52" si="0">B5+F5+I5+L5+O5+R5+U5</f>
        <v>0</v>
      </c>
      <c r="Z5" s="38">
        <f t="shared" ref="Z5:Z52" si="1">C5+G5+J5+M5+P5+S5+V5</f>
        <v>0</v>
      </c>
      <c r="AA5" s="38">
        <f t="shared" ref="AA5:AA52" si="2">D5+H5+K5+N5+Q5+T5+W5</f>
        <v>0</v>
      </c>
    </row>
    <row r="6" spans="1:27" x14ac:dyDescent="0.25">
      <c r="A6" s="18">
        <f t="shared" ref="A6:A52" si="3">A5+7</f>
        <v>46181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Y6" s="38">
        <f t="shared" si="0"/>
        <v>0</v>
      </c>
      <c r="Z6" s="38">
        <f t="shared" si="1"/>
        <v>0</v>
      </c>
      <c r="AA6" s="38">
        <f t="shared" si="2"/>
        <v>0</v>
      </c>
    </row>
    <row r="7" spans="1:27" x14ac:dyDescent="0.25">
      <c r="A7" s="18">
        <f t="shared" si="3"/>
        <v>46188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Y7" s="38">
        <f t="shared" si="0"/>
        <v>0</v>
      </c>
      <c r="Z7" s="38">
        <f t="shared" si="1"/>
        <v>0</v>
      </c>
      <c r="AA7" s="38">
        <f t="shared" si="2"/>
        <v>0</v>
      </c>
    </row>
    <row r="8" spans="1:27" x14ac:dyDescent="0.25">
      <c r="A8" s="18">
        <f t="shared" si="3"/>
        <v>46195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Y8" s="38">
        <f t="shared" si="0"/>
        <v>0</v>
      </c>
      <c r="Z8" s="38">
        <f t="shared" si="1"/>
        <v>0</v>
      </c>
      <c r="AA8" s="38">
        <f t="shared" si="2"/>
        <v>0</v>
      </c>
    </row>
    <row r="9" spans="1:27" x14ac:dyDescent="0.25">
      <c r="A9" s="18">
        <f t="shared" si="3"/>
        <v>46202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Y9" s="38">
        <f t="shared" si="0"/>
        <v>0</v>
      </c>
      <c r="Z9" s="38">
        <f t="shared" si="1"/>
        <v>0</v>
      </c>
      <c r="AA9" s="38">
        <f t="shared" si="2"/>
        <v>0</v>
      </c>
    </row>
    <row r="10" spans="1:27" x14ac:dyDescent="0.25">
      <c r="A10" s="18">
        <f t="shared" si="3"/>
        <v>46209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Y10" s="38">
        <f t="shared" si="0"/>
        <v>0</v>
      </c>
      <c r="Z10" s="38">
        <f t="shared" si="1"/>
        <v>0</v>
      </c>
      <c r="AA10" s="38">
        <f t="shared" si="2"/>
        <v>0</v>
      </c>
    </row>
    <row r="11" spans="1:27" x14ac:dyDescent="0.25">
      <c r="A11" s="18">
        <f t="shared" si="3"/>
        <v>46216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8">
        <f t="shared" si="0"/>
        <v>0</v>
      </c>
      <c r="Z11" s="38">
        <f t="shared" si="1"/>
        <v>0</v>
      </c>
      <c r="AA11" s="38">
        <f t="shared" si="2"/>
        <v>0</v>
      </c>
    </row>
    <row r="12" spans="1:27" x14ac:dyDescent="0.25">
      <c r="A12" s="18">
        <f t="shared" si="3"/>
        <v>46223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Y12" s="38">
        <f t="shared" si="0"/>
        <v>0</v>
      </c>
      <c r="Z12" s="38">
        <f t="shared" si="1"/>
        <v>0</v>
      </c>
      <c r="AA12" s="38">
        <f t="shared" si="2"/>
        <v>0</v>
      </c>
    </row>
    <row r="13" spans="1:27" x14ac:dyDescent="0.25">
      <c r="A13" s="18">
        <f t="shared" si="3"/>
        <v>46230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Y13" s="38">
        <f t="shared" si="0"/>
        <v>0</v>
      </c>
      <c r="Z13" s="38">
        <f t="shared" si="1"/>
        <v>0</v>
      </c>
      <c r="AA13" s="38">
        <f t="shared" si="2"/>
        <v>0</v>
      </c>
    </row>
    <row r="14" spans="1:27" x14ac:dyDescent="0.25">
      <c r="A14" s="18">
        <f t="shared" si="3"/>
        <v>46237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Y14" s="38">
        <f t="shared" si="0"/>
        <v>0</v>
      </c>
      <c r="Z14" s="38">
        <f t="shared" si="1"/>
        <v>0</v>
      </c>
      <c r="AA14" s="38">
        <f t="shared" si="2"/>
        <v>0</v>
      </c>
    </row>
    <row r="15" spans="1:27" x14ac:dyDescent="0.25">
      <c r="A15" s="18">
        <f t="shared" si="3"/>
        <v>46244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Y15" s="38">
        <f t="shared" si="0"/>
        <v>0</v>
      </c>
      <c r="Z15" s="38">
        <f t="shared" si="1"/>
        <v>0</v>
      </c>
      <c r="AA15" s="38">
        <f t="shared" si="2"/>
        <v>0</v>
      </c>
    </row>
    <row r="16" spans="1:27" x14ac:dyDescent="0.25">
      <c r="A16" s="18">
        <f t="shared" si="3"/>
        <v>46251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Y16" s="38">
        <f t="shared" si="0"/>
        <v>0</v>
      </c>
      <c r="Z16" s="38">
        <f t="shared" si="1"/>
        <v>0</v>
      </c>
      <c r="AA16" s="38">
        <f t="shared" si="2"/>
        <v>0</v>
      </c>
    </row>
    <row r="17" spans="1:27" x14ac:dyDescent="0.25">
      <c r="A17" s="18">
        <f t="shared" si="3"/>
        <v>46258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Y17" s="38">
        <f t="shared" si="0"/>
        <v>0</v>
      </c>
      <c r="Z17" s="38">
        <f t="shared" si="1"/>
        <v>0</v>
      </c>
      <c r="AA17" s="38">
        <f t="shared" si="2"/>
        <v>0</v>
      </c>
    </row>
    <row r="18" spans="1:27" x14ac:dyDescent="0.25">
      <c r="A18" s="18">
        <f t="shared" si="3"/>
        <v>46265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Y18" s="38">
        <f t="shared" si="0"/>
        <v>0</v>
      </c>
      <c r="Z18" s="38">
        <f t="shared" si="1"/>
        <v>0</v>
      </c>
      <c r="AA18" s="38">
        <f t="shared" si="2"/>
        <v>0</v>
      </c>
    </row>
    <row r="19" spans="1:27" x14ac:dyDescent="0.25">
      <c r="A19" s="18">
        <f t="shared" si="3"/>
        <v>46272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Y19" s="38">
        <f t="shared" si="0"/>
        <v>0</v>
      </c>
      <c r="Z19" s="38">
        <f t="shared" si="1"/>
        <v>0</v>
      </c>
      <c r="AA19" s="38">
        <f t="shared" si="2"/>
        <v>0</v>
      </c>
    </row>
    <row r="20" spans="1:27" x14ac:dyDescent="0.25">
      <c r="A20" s="18">
        <f t="shared" si="3"/>
        <v>46279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Y20" s="38">
        <f t="shared" si="0"/>
        <v>0</v>
      </c>
      <c r="Z20" s="38">
        <f t="shared" si="1"/>
        <v>0</v>
      </c>
      <c r="AA20" s="38">
        <f t="shared" si="2"/>
        <v>0</v>
      </c>
    </row>
    <row r="21" spans="1:27" x14ac:dyDescent="0.25">
      <c r="A21" s="18">
        <f t="shared" si="3"/>
        <v>46286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Y21" s="38">
        <f t="shared" si="0"/>
        <v>0</v>
      </c>
      <c r="Z21" s="38">
        <f t="shared" si="1"/>
        <v>0</v>
      </c>
      <c r="AA21" s="38">
        <f t="shared" si="2"/>
        <v>0</v>
      </c>
    </row>
    <row r="22" spans="1:27" x14ac:dyDescent="0.25">
      <c r="A22" s="18">
        <f t="shared" si="3"/>
        <v>46293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Y22" s="38">
        <f t="shared" si="0"/>
        <v>0</v>
      </c>
      <c r="Z22" s="38">
        <f t="shared" si="1"/>
        <v>0</v>
      </c>
      <c r="AA22" s="38">
        <f t="shared" si="2"/>
        <v>0</v>
      </c>
    </row>
    <row r="23" spans="1:27" x14ac:dyDescent="0.25">
      <c r="A23" s="18">
        <f t="shared" si="3"/>
        <v>46300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Y23" s="38">
        <f t="shared" si="0"/>
        <v>0</v>
      </c>
      <c r="Z23" s="38">
        <f t="shared" si="1"/>
        <v>0</v>
      </c>
      <c r="AA23" s="38">
        <f t="shared" si="2"/>
        <v>0</v>
      </c>
    </row>
    <row r="24" spans="1:27" x14ac:dyDescent="0.25">
      <c r="A24" s="18">
        <f t="shared" si="3"/>
        <v>46307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Y24" s="38">
        <f t="shared" si="0"/>
        <v>0</v>
      </c>
      <c r="Z24" s="38">
        <f t="shared" si="1"/>
        <v>0</v>
      </c>
      <c r="AA24" s="38">
        <f t="shared" si="2"/>
        <v>0</v>
      </c>
    </row>
    <row r="25" spans="1:27" x14ac:dyDescent="0.25">
      <c r="A25" s="18">
        <f t="shared" si="3"/>
        <v>46314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Y25" s="38">
        <f t="shared" si="0"/>
        <v>0</v>
      </c>
      <c r="Z25" s="38">
        <f t="shared" si="1"/>
        <v>0</v>
      </c>
      <c r="AA25" s="38">
        <f t="shared" si="2"/>
        <v>0</v>
      </c>
    </row>
    <row r="26" spans="1:27" x14ac:dyDescent="0.25">
      <c r="A26" s="18">
        <f t="shared" si="3"/>
        <v>46321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Y26" s="38">
        <f t="shared" si="0"/>
        <v>0</v>
      </c>
      <c r="Z26" s="38">
        <f t="shared" si="1"/>
        <v>0</v>
      </c>
      <c r="AA26" s="38">
        <f t="shared" si="2"/>
        <v>0</v>
      </c>
    </row>
    <row r="27" spans="1:27" x14ac:dyDescent="0.25">
      <c r="A27" s="18">
        <f t="shared" si="3"/>
        <v>46328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Y27" s="38">
        <f t="shared" si="0"/>
        <v>0</v>
      </c>
      <c r="Z27" s="38">
        <f t="shared" si="1"/>
        <v>0</v>
      </c>
      <c r="AA27" s="38">
        <f t="shared" si="2"/>
        <v>0</v>
      </c>
    </row>
    <row r="28" spans="1:27" x14ac:dyDescent="0.25">
      <c r="A28" s="18">
        <f t="shared" si="3"/>
        <v>46335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Y28" s="38">
        <f t="shared" si="0"/>
        <v>0</v>
      </c>
      <c r="Z28" s="38">
        <f t="shared" si="1"/>
        <v>0</v>
      </c>
      <c r="AA28" s="38">
        <f t="shared" si="2"/>
        <v>0</v>
      </c>
    </row>
    <row r="29" spans="1:27" x14ac:dyDescent="0.25">
      <c r="A29" s="18">
        <f t="shared" si="3"/>
        <v>46342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Y29" s="38">
        <f t="shared" si="0"/>
        <v>0</v>
      </c>
      <c r="Z29" s="38">
        <f t="shared" si="1"/>
        <v>0</v>
      </c>
      <c r="AA29" s="38">
        <f t="shared" si="2"/>
        <v>0</v>
      </c>
    </row>
    <row r="30" spans="1:27" x14ac:dyDescent="0.25">
      <c r="A30" s="18">
        <f t="shared" si="3"/>
        <v>46349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Y30" s="38">
        <f t="shared" si="0"/>
        <v>0</v>
      </c>
      <c r="Z30" s="38">
        <f t="shared" si="1"/>
        <v>0</v>
      </c>
      <c r="AA30" s="38">
        <f t="shared" si="2"/>
        <v>0</v>
      </c>
    </row>
    <row r="31" spans="1:27" x14ac:dyDescent="0.25">
      <c r="A31" s="18">
        <f t="shared" si="3"/>
        <v>46356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Y31" s="38">
        <f t="shared" si="0"/>
        <v>0</v>
      </c>
      <c r="Z31" s="38">
        <f t="shared" si="1"/>
        <v>0</v>
      </c>
      <c r="AA31" s="38">
        <f t="shared" si="2"/>
        <v>0</v>
      </c>
    </row>
    <row r="32" spans="1:27" x14ac:dyDescent="0.25">
      <c r="A32" s="18">
        <f t="shared" si="3"/>
        <v>46363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Y32" s="38">
        <f t="shared" si="0"/>
        <v>0</v>
      </c>
      <c r="Z32" s="38">
        <f t="shared" si="1"/>
        <v>0</v>
      </c>
      <c r="AA32" s="38">
        <f t="shared" si="2"/>
        <v>0</v>
      </c>
    </row>
    <row r="33" spans="1:27" x14ac:dyDescent="0.25">
      <c r="A33" s="18">
        <f t="shared" si="3"/>
        <v>46370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Y33" s="38">
        <f t="shared" si="0"/>
        <v>0</v>
      </c>
      <c r="Z33" s="38">
        <f t="shared" si="1"/>
        <v>0</v>
      </c>
      <c r="AA33" s="38">
        <f t="shared" si="2"/>
        <v>0</v>
      </c>
    </row>
    <row r="34" spans="1:27" x14ac:dyDescent="0.25">
      <c r="A34" s="18">
        <f t="shared" si="3"/>
        <v>46377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Y34" s="38">
        <f t="shared" si="0"/>
        <v>0</v>
      </c>
      <c r="Z34" s="38">
        <f t="shared" si="1"/>
        <v>0</v>
      </c>
      <c r="AA34" s="38">
        <f t="shared" si="2"/>
        <v>0</v>
      </c>
    </row>
    <row r="35" spans="1:27" x14ac:dyDescent="0.25">
      <c r="A35" s="18">
        <f t="shared" si="3"/>
        <v>46384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Y35" s="38">
        <f t="shared" si="0"/>
        <v>0</v>
      </c>
      <c r="Z35" s="38">
        <f t="shared" si="1"/>
        <v>0</v>
      </c>
      <c r="AA35" s="38">
        <f t="shared" si="2"/>
        <v>0</v>
      </c>
    </row>
    <row r="36" spans="1:27" x14ac:dyDescent="0.25">
      <c r="A36" s="18">
        <f t="shared" si="3"/>
        <v>46391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Y36" s="38">
        <f t="shared" si="0"/>
        <v>0</v>
      </c>
      <c r="Z36" s="38">
        <f t="shared" si="1"/>
        <v>0</v>
      </c>
      <c r="AA36" s="38">
        <f t="shared" si="2"/>
        <v>0</v>
      </c>
    </row>
    <row r="37" spans="1:27" x14ac:dyDescent="0.25">
      <c r="A37" s="18">
        <f t="shared" si="3"/>
        <v>46398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Y37" s="38">
        <f t="shared" si="0"/>
        <v>0</v>
      </c>
      <c r="Z37" s="38">
        <f t="shared" si="1"/>
        <v>0</v>
      </c>
      <c r="AA37" s="38">
        <f t="shared" si="2"/>
        <v>0</v>
      </c>
    </row>
    <row r="38" spans="1:27" x14ac:dyDescent="0.25">
      <c r="A38" s="18">
        <f t="shared" si="3"/>
        <v>46405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Y38" s="38">
        <f t="shared" si="0"/>
        <v>0</v>
      </c>
      <c r="Z38" s="38">
        <f t="shared" si="1"/>
        <v>0</v>
      </c>
      <c r="AA38" s="38">
        <f t="shared" si="2"/>
        <v>0</v>
      </c>
    </row>
    <row r="39" spans="1:27" x14ac:dyDescent="0.25">
      <c r="A39" s="18">
        <f t="shared" si="3"/>
        <v>46412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Y39" s="38">
        <f t="shared" si="0"/>
        <v>0</v>
      </c>
      <c r="Z39" s="38">
        <f t="shared" si="1"/>
        <v>0</v>
      </c>
      <c r="AA39" s="38">
        <f t="shared" si="2"/>
        <v>0</v>
      </c>
    </row>
    <row r="40" spans="1:27" x14ac:dyDescent="0.25">
      <c r="A40" s="18">
        <f t="shared" si="3"/>
        <v>46419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Y40" s="38">
        <f t="shared" si="0"/>
        <v>0</v>
      </c>
      <c r="Z40" s="38">
        <f t="shared" si="1"/>
        <v>0</v>
      </c>
      <c r="AA40" s="38">
        <f t="shared" si="2"/>
        <v>0</v>
      </c>
    </row>
    <row r="41" spans="1:27" x14ac:dyDescent="0.25">
      <c r="A41" s="18">
        <f t="shared" si="3"/>
        <v>46426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Y41" s="38">
        <f t="shared" si="0"/>
        <v>0</v>
      </c>
      <c r="Z41" s="38">
        <f t="shared" si="1"/>
        <v>0</v>
      </c>
      <c r="AA41" s="38">
        <f t="shared" si="2"/>
        <v>0</v>
      </c>
    </row>
    <row r="42" spans="1:27" x14ac:dyDescent="0.25">
      <c r="A42" s="18">
        <f t="shared" si="3"/>
        <v>46433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Y42" s="38">
        <f t="shared" si="0"/>
        <v>0</v>
      </c>
      <c r="Z42" s="38">
        <f t="shared" si="1"/>
        <v>0</v>
      </c>
      <c r="AA42" s="38">
        <f t="shared" si="2"/>
        <v>0</v>
      </c>
    </row>
    <row r="43" spans="1:27" x14ac:dyDescent="0.25">
      <c r="A43" s="18">
        <f t="shared" si="3"/>
        <v>46440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Y43" s="38">
        <f t="shared" si="0"/>
        <v>0</v>
      </c>
      <c r="Z43" s="38">
        <f t="shared" si="1"/>
        <v>0</v>
      </c>
      <c r="AA43" s="38">
        <f t="shared" si="2"/>
        <v>0</v>
      </c>
    </row>
    <row r="44" spans="1:27" x14ac:dyDescent="0.25">
      <c r="A44" s="18">
        <f t="shared" si="3"/>
        <v>46447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Y44" s="38">
        <f t="shared" si="0"/>
        <v>0</v>
      </c>
      <c r="Z44" s="38">
        <f t="shared" si="1"/>
        <v>0</v>
      </c>
      <c r="AA44" s="38">
        <f t="shared" si="2"/>
        <v>0</v>
      </c>
    </row>
    <row r="45" spans="1:27" x14ac:dyDescent="0.25">
      <c r="A45" s="18">
        <f t="shared" si="3"/>
        <v>46454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Y45" s="38">
        <f t="shared" si="0"/>
        <v>0</v>
      </c>
      <c r="Z45" s="38">
        <f t="shared" si="1"/>
        <v>0</v>
      </c>
      <c r="AA45" s="38">
        <f t="shared" si="2"/>
        <v>0</v>
      </c>
    </row>
    <row r="46" spans="1:27" x14ac:dyDescent="0.25">
      <c r="A46" s="18">
        <f t="shared" si="3"/>
        <v>46461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Y46" s="38">
        <f t="shared" si="0"/>
        <v>0</v>
      </c>
      <c r="Z46" s="38">
        <f t="shared" si="1"/>
        <v>0</v>
      </c>
      <c r="AA46" s="38">
        <f t="shared" si="2"/>
        <v>0</v>
      </c>
    </row>
    <row r="47" spans="1:27" x14ac:dyDescent="0.25">
      <c r="A47" s="18">
        <f t="shared" si="3"/>
        <v>46468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Y47" s="38">
        <f t="shared" si="0"/>
        <v>0</v>
      </c>
      <c r="Z47" s="38">
        <f t="shared" si="1"/>
        <v>0</v>
      </c>
      <c r="AA47" s="38">
        <f t="shared" si="2"/>
        <v>0</v>
      </c>
    </row>
    <row r="48" spans="1:27" x14ac:dyDescent="0.25">
      <c r="A48" s="18">
        <f t="shared" si="3"/>
        <v>46475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Y48" s="38">
        <f t="shared" si="0"/>
        <v>0</v>
      </c>
      <c r="Z48" s="38">
        <f t="shared" si="1"/>
        <v>0</v>
      </c>
      <c r="AA48" s="38">
        <f t="shared" si="2"/>
        <v>0</v>
      </c>
    </row>
    <row r="49" spans="1:27" x14ac:dyDescent="0.25">
      <c r="A49" s="18">
        <f t="shared" si="3"/>
        <v>46482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Y49" s="38">
        <f t="shared" si="0"/>
        <v>0</v>
      </c>
      <c r="Z49" s="38">
        <f t="shared" si="1"/>
        <v>0</v>
      </c>
      <c r="AA49" s="38">
        <f t="shared" si="2"/>
        <v>0</v>
      </c>
    </row>
    <row r="50" spans="1:27" x14ac:dyDescent="0.25">
      <c r="A50" s="18">
        <f t="shared" si="3"/>
        <v>46489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Y50" s="38">
        <f t="shared" si="0"/>
        <v>0</v>
      </c>
      <c r="Z50" s="38">
        <f t="shared" si="1"/>
        <v>0</v>
      </c>
      <c r="AA50" s="38">
        <f t="shared" si="2"/>
        <v>0</v>
      </c>
    </row>
    <row r="51" spans="1:27" x14ac:dyDescent="0.25">
      <c r="A51" s="18">
        <f t="shared" si="3"/>
        <v>46496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Y51" s="38">
        <f t="shared" si="0"/>
        <v>0</v>
      </c>
      <c r="Z51" s="38">
        <f t="shared" si="1"/>
        <v>0</v>
      </c>
      <c r="AA51" s="38">
        <f t="shared" si="2"/>
        <v>0</v>
      </c>
    </row>
    <row r="52" spans="1:27" x14ac:dyDescent="0.25">
      <c r="A52" s="18">
        <f t="shared" si="3"/>
        <v>46503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Y52" s="38">
        <f t="shared" si="0"/>
        <v>0</v>
      </c>
      <c r="Z52" s="38">
        <f t="shared" si="1"/>
        <v>0</v>
      </c>
      <c r="AA52" s="38">
        <f t="shared" si="2"/>
        <v>0</v>
      </c>
    </row>
  </sheetData>
  <mergeCells count="11">
    <mergeCell ref="B2:W2"/>
    <mergeCell ref="A1:W1"/>
    <mergeCell ref="R3:T3"/>
    <mergeCell ref="U3:W3"/>
    <mergeCell ref="Y1:AA1"/>
    <mergeCell ref="A2:A3"/>
    <mergeCell ref="B3:E3"/>
    <mergeCell ref="I3:K3"/>
    <mergeCell ref="F3:H3"/>
    <mergeCell ref="L3:N3"/>
    <mergeCell ref="O3:Q3"/>
  </mergeCells>
  <conditionalFormatting sqref="A5:A52">
    <cfRule type="expression" dxfId="69" priority="1">
      <formula>AND($A5&lt;=TODAY(),$A5+6&gt;=TODAY())</formula>
    </cfRule>
  </conditionalFormatting>
  <dataValidations count="1">
    <dataValidation type="decimal" operator="greaterThanOrEqual" sqref="B5:W52" xr:uid="{00000000-0002-0000-0A00-000000000000}">
      <formula1>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472C4"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2" style="66" customWidth="1"/>
    <col min="2" max="26" width="10" style="66" customWidth="1"/>
  </cols>
  <sheetData>
    <row r="1" spans="1:26" x14ac:dyDescent="0.25">
      <c r="A1" s="73" t="s">
        <v>108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X1" s="80" t="s">
        <v>109</v>
      </c>
      <c r="Y1" s="74"/>
      <c r="Z1" s="74"/>
    </row>
    <row r="2" spans="1:26" x14ac:dyDescent="0.25">
      <c r="A2" s="81" t="s">
        <v>73</v>
      </c>
      <c r="B2" s="83" t="s">
        <v>56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</row>
    <row r="3" spans="1:26" x14ac:dyDescent="0.25">
      <c r="A3" s="82"/>
      <c r="B3" s="83" t="s">
        <v>97</v>
      </c>
      <c r="C3" s="78"/>
      <c r="D3" s="79"/>
      <c r="E3" s="83" t="s">
        <v>98</v>
      </c>
      <c r="F3" s="78"/>
      <c r="G3" s="79"/>
      <c r="H3" s="83" t="s">
        <v>99</v>
      </c>
      <c r="I3" s="78"/>
      <c r="J3" s="79"/>
      <c r="K3" s="83" t="s">
        <v>100</v>
      </c>
      <c r="L3" s="78"/>
      <c r="M3" s="79"/>
      <c r="N3" s="83" t="s">
        <v>101</v>
      </c>
      <c r="O3" s="78"/>
      <c r="P3" s="79"/>
      <c r="Q3" s="83" t="s">
        <v>102</v>
      </c>
      <c r="R3" s="78"/>
      <c r="S3" s="79"/>
      <c r="T3" s="83" t="s">
        <v>103</v>
      </c>
      <c r="U3" s="78"/>
      <c r="V3" s="79"/>
      <c r="X3" s="35" t="s">
        <v>76</v>
      </c>
      <c r="Y3" s="35" t="s">
        <v>77</v>
      </c>
      <c r="Z3" s="35" t="s">
        <v>78</v>
      </c>
    </row>
    <row r="4" spans="1:26" x14ac:dyDescent="0.25">
      <c r="B4" s="70" t="s">
        <v>76</v>
      </c>
      <c r="C4" s="70" t="s">
        <v>77</v>
      </c>
      <c r="D4" s="70" t="s">
        <v>78</v>
      </c>
      <c r="E4" s="70" t="s">
        <v>76</v>
      </c>
      <c r="F4" s="70" t="s">
        <v>77</v>
      </c>
      <c r="G4" s="70" t="s">
        <v>78</v>
      </c>
      <c r="H4" s="70" t="s">
        <v>76</v>
      </c>
      <c r="I4" s="70" t="s">
        <v>77</v>
      </c>
      <c r="J4" s="70" t="s">
        <v>78</v>
      </c>
      <c r="K4" s="70" t="s">
        <v>76</v>
      </c>
      <c r="L4" s="70" t="s">
        <v>77</v>
      </c>
      <c r="M4" s="70" t="s">
        <v>78</v>
      </c>
      <c r="N4" s="70" t="s">
        <v>76</v>
      </c>
      <c r="O4" s="70" t="s">
        <v>77</v>
      </c>
      <c r="P4" s="70" t="s">
        <v>78</v>
      </c>
      <c r="Q4" s="70" t="s">
        <v>76</v>
      </c>
      <c r="R4" s="70" t="s">
        <v>77</v>
      </c>
      <c r="S4" s="70" t="s">
        <v>78</v>
      </c>
      <c r="T4" s="70" t="s">
        <v>76</v>
      </c>
      <c r="U4" s="70" t="s">
        <v>77</v>
      </c>
      <c r="V4" s="70" t="s">
        <v>78</v>
      </c>
      <c r="X4" s="36"/>
      <c r="Y4" s="36"/>
      <c r="Z4" s="36"/>
    </row>
    <row r="5" spans="1:26" x14ac:dyDescent="0.25">
      <c r="A5" s="18">
        <f>СПРАВОЧНИК!$B$35</f>
        <v>46174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X5" s="38">
        <f t="shared" ref="X5:X52" si="0">B5+E5+H5+K5+N5+Q5+T5</f>
        <v>0</v>
      </c>
      <c r="Y5" s="38">
        <f t="shared" ref="Y5:Y52" si="1">C5+F5+I5+L5+O5+R5+U5</f>
        <v>0</v>
      </c>
      <c r="Z5" s="38">
        <f t="shared" ref="Z5:Z52" si="2">D5+G5+J5+M5+P5+S5+V5</f>
        <v>0</v>
      </c>
    </row>
    <row r="6" spans="1:26" x14ac:dyDescent="0.25">
      <c r="A6" s="18">
        <f t="shared" ref="A6:A52" si="3">A5+7</f>
        <v>46181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X6" s="38">
        <f t="shared" si="0"/>
        <v>0</v>
      </c>
      <c r="Y6" s="38">
        <f t="shared" si="1"/>
        <v>0</v>
      </c>
      <c r="Z6" s="38">
        <f t="shared" si="2"/>
        <v>0</v>
      </c>
    </row>
    <row r="7" spans="1:26" x14ac:dyDescent="0.25">
      <c r="A7" s="18">
        <f t="shared" si="3"/>
        <v>46188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X7" s="38">
        <f t="shared" si="0"/>
        <v>0</v>
      </c>
      <c r="Y7" s="38">
        <f t="shared" si="1"/>
        <v>0</v>
      </c>
      <c r="Z7" s="38">
        <f t="shared" si="2"/>
        <v>0</v>
      </c>
    </row>
    <row r="8" spans="1:26" x14ac:dyDescent="0.25">
      <c r="A8" s="18">
        <f t="shared" si="3"/>
        <v>46195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X8" s="38">
        <f t="shared" si="0"/>
        <v>0</v>
      </c>
      <c r="Y8" s="38">
        <f t="shared" si="1"/>
        <v>0</v>
      </c>
      <c r="Z8" s="38">
        <f t="shared" si="2"/>
        <v>0</v>
      </c>
    </row>
    <row r="9" spans="1:26" x14ac:dyDescent="0.25">
      <c r="A9" s="18">
        <f t="shared" si="3"/>
        <v>46202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X9" s="38">
        <f t="shared" si="0"/>
        <v>0</v>
      </c>
      <c r="Y9" s="38">
        <f t="shared" si="1"/>
        <v>0</v>
      </c>
      <c r="Z9" s="38">
        <f t="shared" si="2"/>
        <v>0</v>
      </c>
    </row>
    <row r="10" spans="1:26" x14ac:dyDescent="0.25">
      <c r="A10" s="18">
        <f t="shared" si="3"/>
        <v>46209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X10" s="38">
        <f t="shared" si="0"/>
        <v>0</v>
      </c>
      <c r="Y10" s="38">
        <f t="shared" si="1"/>
        <v>0</v>
      </c>
      <c r="Z10" s="38">
        <f t="shared" si="2"/>
        <v>0</v>
      </c>
    </row>
    <row r="11" spans="1:26" x14ac:dyDescent="0.25">
      <c r="A11" s="18">
        <f t="shared" si="3"/>
        <v>46216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X11" s="38">
        <f t="shared" si="0"/>
        <v>0</v>
      </c>
      <c r="Y11" s="38">
        <f t="shared" si="1"/>
        <v>0</v>
      </c>
      <c r="Z11" s="38">
        <f t="shared" si="2"/>
        <v>0</v>
      </c>
    </row>
    <row r="12" spans="1:26" x14ac:dyDescent="0.25">
      <c r="A12" s="18">
        <f t="shared" si="3"/>
        <v>46223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X12" s="38">
        <f t="shared" si="0"/>
        <v>0</v>
      </c>
      <c r="Y12" s="38">
        <f t="shared" si="1"/>
        <v>0</v>
      </c>
      <c r="Z12" s="38">
        <f t="shared" si="2"/>
        <v>0</v>
      </c>
    </row>
    <row r="13" spans="1:26" x14ac:dyDescent="0.25">
      <c r="A13" s="18">
        <f t="shared" si="3"/>
        <v>46230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X13" s="38">
        <f t="shared" si="0"/>
        <v>0</v>
      </c>
      <c r="Y13" s="38">
        <f t="shared" si="1"/>
        <v>0</v>
      </c>
      <c r="Z13" s="38">
        <f t="shared" si="2"/>
        <v>0</v>
      </c>
    </row>
    <row r="14" spans="1:26" x14ac:dyDescent="0.25">
      <c r="A14" s="18">
        <f t="shared" si="3"/>
        <v>46237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X14" s="38">
        <f t="shared" si="0"/>
        <v>0</v>
      </c>
      <c r="Y14" s="38">
        <f t="shared" si="1"/>
        <v>0</v>
      </c>
      <c r="Z14" s="38">
        <f t="shared" si="2"/>
        <v>0</v>
      </c>
    </row>
    <row r="15" spans="1:26" x14ac:dyDescent="0.25">
      <c r="A15" s="18">
        <f t="shared" si="3"/>
        <v>46244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X15" s="38">
        <f t="shared" si="0"/>
        <v>0</v>
      </c>
      <c r="Y15" s="38">
        <f t="shared" si="1"/>
        <v>0</v>
      </c>
      <c r="Z15" s="38">
        <f t="shared" si="2"/>
        <v>0</v>
      </c>
    </row>
    <row r="16" spans="1:26" x14ac:dyDescent="0.25">
      <c r="A16" s="18">
        <f t="shared" si="3"/>
        <v>46251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X16" s="38">
        <f t="shared" si="0"/>
        <v>0</v>
      </c>
      <c r="Y16" s="38">
        <f t="shared" si="1"/>
        <v>0</v>
      </c>
      <c r="Z16" s="38">
        <f t="shared" si="2"/>
        <v>0</v>
      </c>
    </row>
    <row r="17" spans="1:26" x14ac:dyDescent="0.25">
      <c r="A17" s="18">
        <f t="shared" si="3"/>
        <v>46258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X17" s="38">
        <f t="shared" si="0"/>
        <v>0</v>
      </c>
      <c r="Y17" s="38">
        <f t="shared" si="1"/>
        <v>0</v>
      </c>
      <c r="Z17" s="38">
        <f t="shared" si="2"/>
        <v>0</v>
      </c>
    </row>
    <row r="18" spans="1:26" x14ac:dyDescent="0.25">
      <c r="A18" s="18">
        <f t="shared" si="3"/>
        <v>46265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X18" s="38">
        <f t="shared" si="0"/>
        <v>0</v>
      </c>
      <c r="Y18" s="38">
        <f t="shared" si="1"/>
        <v>0</v>
      </c>
      <c r="Z18" s="38">
        <f t="shared" si="2"/>
        <v>0</v>
      </c>
    </row>
    <row r="19" spans="1:26" x14ac:dyDescent="0.25">
      <c r="A19" s="18">
        <f t="shared" si="3"/>
        <v>46272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X19" s="38">
        <f t="shared" si="0"/>
        <v>0</v>
      </c>
      <c r="Y19" s="38">
        <f t="shared" si="1"/>
        <v>0</v>
      </c>
      <c r="Z19" s="38">
        <f t="shared" si="2"/>
        <v>0</v>
      </c>
    </row>
    <row r="20" spans="1:26" x14ac:dyDescent="0.25">
      <c r="A20" s="18">
        <f t="shared" si="3"/>
        <v>46279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X20" s="38">
        <f t="shared" si="0"/>
        <v>0</v>
      </c>
      <c r="Y20" s="38">
        <f t="shared" si="1"/>
        <v>0</v>
      </c>
      <c r="Z20" s="38">
        <f t="shared" si="2"/>
        <v>0</v>
      </c>
    </row>
    <row r="21" spans="1:26" x14ac:dyDescent="0.25">
      <c r="A21" s="18">
        <f t="shared" si="3"/>
        <v>46286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X21" s="38">
        <f t="shared" si="0"/>
        <v>0</v>
      </c>
      <c r="Y21" s="38">
        <f t="shared" si="1"/>
        <v>0</v>
      </c>
      <c r="Z21" s="38">
        <f t="shared" si="2"/>
        <v>0</v>
      </c>
    </row>
    <row r="22" spans="1:26" x14ac:dyDescent="0.25">
      <c r="A22" s="18">
        <f t="shared" si="3"/>
        <v>46293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X22" s="38">
        <f t="shared" si="0"/>
        <v>0</v>
      </c>
      <c r="Y22" s="38">
        <f t="shared" si="1"/>
        <v>0</v>
      </c>
      <c r="Z22" s="38">
        <f t="shared" si="2"/>
        <v>0</v>
      </c>
    </row>
    <row r="23" spans="1:26" x14ac:dyDescent="0.25">
      <c r="A23" s="18">
        <f t="shared" si="3"/>
        <v>46300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X23" s="38">
        <f t="shared" si="0"/>
        <v>0</v>
      </c>
      <c r="Y23" s="38">
        <f t="shared" si="1"/>
        <v>0</v>
      </c>
      <c r="Z23" s="38">
        <f t="shared" si="2"/>
        <v>0</v>
      </c>
    </row>
    <row r="24" spans="1:26" x14ac:dyDescent="0.25">
      <c r="A24" s="18">
        <f t="shared" si="3"/>
        <v>46307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X24" s="38">
        <f t="shared" si="0"/>
        <v>0</v>
      </c>
      <c r="Y24" s="38">
        <f t="shared" si="1"/>
        <v>0</v>
      </c>
      <c r="Z24" s="38">
        <f t="shared" si="2"/>
        <v>0</v>
      </c>
    </row>
    <row r="25" spans="1:26" x14ac:dyDescent="0.25">
      <c r="A25" s="18">
        <f t="shared" si="3"/>
        <v>46314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X25" s="38">
        <f t="shared" si="0"/>
        <v>0</v>
      </c>
      <c r="Y25" s="38">
        <f t="shared" si="1"/>
        <v>0</v>
      </c>
      <c r="Z25" s="38">
        <f t="shared" si="2"/>
        <v>0</v>
      </c>
    </row>
    <row r="26" spans="1:26" x14ac:dyDescent="0.25">
      <c r="A26" s="18">
        <f t="shared" si="3"/>
        <v>46321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X26" s="38">
        <f t="shared" si="0"/>
        <v>0</v>
      </c>
      <c r="Y26" s="38">
        <f t="shared" si="1"/>
        <v>0</v>
      </c>
      <c r="Z26" s="38">
        <f t="shared" si="2"/>
        <v>0</v>
      </c>
    </row>
    <row r="27" spans="1:26" x14ac:dyDescent="0.25">
      <c r="A27" s="18">
        <f t="shared" si="3"/>
        <v>46328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X27" s="38">
        <f t="shared" si="0"/>
        <v>0</v>
      </c>
      <c r="Y27" s="38">
        <f t="shared" si="1"/>
        <v>0</v>
      </c>
      <c r="Z27" s="38">
        <f t="shared" si="2"/>
        <v>0</v>
      </c>
    </row>
    <row r="28" spans="1:26" x14ac:dyDescent="0.25">
      <c r="A28" s="18">
        <f t="shared" si="3"/>
        <v>46335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X28" s="38">
        <f t="shared" si="0"/>
        <v>0</v>
      </c>
      <c r="Y28" s="38">
        <f t="shared" si="1"/>
        <v>0</v>
      </c>
      <c r="Z28" s="38">
        <f t="shared" si="2"/>
        <v>0</v>
      </c>
    </row>
    <row r="29" spans="1:26" x14ac:dyDescent="0.25">
      <c r="A29" s="18">
        <f t="shared" si="3"/>
        <v>46342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X29" s="38">
        <f t="shared" si="0"/>
        <v>0</v>
      </c>
      <c r="Y29" s="38">
        <f t="shared" si="1"/>
        <v>0</v>
      </c>
      <c r="Z29" s="38">
        <f t="shared" si="2"/>
        <v>0</v>
      </c>
    </row>
    <row r="30" spans="1:26" x14ac:dyDescent="0.25">
      <c r="A30" s="18">
        <f t="shared" si="3"/>
        <v>46349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X30" s="38">
        <f t="shared" si="0"/>
        <v>0</v>
      </c>
      <c r="Y30" s="38">
        <f t="shared" si="1"/>
        <v>0</v>
      </c>
      <c r="Z30" s="38">
        <f t="shared" si="2"/>
        <v>0</v>
      </c>
    </row>
    <row r="31" spans="1:26" x14ac:dyDescent="0.25">
      <c r="A31" s="18">
        <f t="shared" si="3"/>
        <v>46356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X31" s="38">
        <f t="shared" si="0"/>
        <v>0</v>
      </c>
      <c r="Y31" s="38">
        <f t="shared" si="1"/>
        <v>0</v>
      </c>
      <c r="Z31" s="38">
        <f t="shared" si="2"/>
        <v>0</v>
      </c>
    </row>
    <row r="32" spans="1:26" x14ac:dyDescent="0.25">
      <c r="A32" s="18">
        <f t="shared" si="3"/>
        <v>46363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X32" s="38">
        <f t="shared" si="0"/>
        <v>0</v>
      </c>
      <c r="Y32" s="38">
        <f t="shared" si="1"/>
        <v>0</v>
      </c>
      <c r="Z32" s="38">
        <f t="shared" si="2"/>
        <v>0</v>
      </c>
    </row>
    <row r="33" spans="1:26" x14ac:dyDescent="0.25">
      <c r="A33" s="18">
        <f t="shared" si="3"/>
        <v>46370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X33" s="38">
        <f t="shared" si="0"/>
        <v>0</v>
      </c>
      <c r="Y33" s="38">
        <f t="shared" si="1"/>
        <v>0</v>
      </c>
      <c r="Z33" s="38">
        <f t="shared" si="2"/>
        <v>0</v>
      </c>
    </row>
    <row r="34" spans="1:26" x14ac:dyDescent="0.25">
      <c r="A34" s="18">
        <f t="shared" si="3"/>
        <v>46377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X34" s="38">
        <f t="shared" si="0"/>
        <v>0</v>
      </c>
      <c r="Y34" s="38">
        <f t="shared" si="1"/>
        <v>0</v>
      </c>
      <c r="Z34" s="38">
        <f t="shared" si="2"/>
        <v>0</v>
      </c>
    </row>
    <row r="35" spans="1:26" x14ac:dyDescent="0.25">
      <c r="A35" s="18">
        <f t="shared" si="3"/>
        <v>46384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X35" s="38">
        <f t="shared" si="0"/>
        <v>0</v>
      </c>
      <c r="Y35" s="38">
        <f t="shared" si="1"/>
        <v>0</v>
      </c>
      <c r="Z35" s="38">
        <f t="shared" si="2"/>
        <v>0</v>
      </c>
    </row>
    <row r="36" spans="1:26" x14ac:dyDescent="0.25">
      <c r="A36" s="18">
        <f t="shared" si="3"/>
        <v>46391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X36" s="38">
        <f t="shared" si="0"/>
        <v>0</v>
      </c>
      <c r="Y36" s="38">
        <f t="shared" si="1"/>
        <v>0</v>
      </c>
      <c r="Z36" s="38">
        <f t="shared" si="2"/>
        <v>0</v>
      </c>
    </row>
    <row r="37" spans="1:26" x14ac:dyDescent="0.25">
      <c r="A37" s="18">
        <f t="shared" si="3"/>
        <v>46398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X37" s="38">
        <f t="shared" si="0"/>
        <v>0</v>
      </c>
      <c r="Y37" s="38">
        <f t="shared" si="1"/>
        <v>0</v>
      </c>
      <c r="Z37" s="38">
        <f t="shared" si="2"/>
        <v>0</v>
      </c>
    </row>
    <row r="38" spans="1:26" x14ac:dyDescent="0.25">
      <c r="A38" s="18">
        <f t="shared" si="3"/>
        <v>46405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X38" s="38">
        <f t="shared" si="0"/>
        <v>0</v>
      </c>
      <c r="Y38" s="38">
        <f t="shared" si="1"/>
        <v>0</v>
      </c>
      <c r="Z38" s="38">
        <f t="shared" si="2"/>
        <v>0</v>
      </c>
    </row>
    <row r="39" spans="1:26" x14ac:dyDescent="0.25">
      <c r="A39" s="18">
        <f t="shared" si="3"/>
        <v>46412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X39" s="38">
        <f t="shared" si="0"/>
        <v>0</v>
      </c>
      <c r="Y39" s="38">
        <f t="shared" si="1"/>
        <v>0</v>
      </c>
      <c r="Z39" s="38">
        <f t="shared" si="2"/>
        <v>0</v>
      </c>
    </row>
    <row r="40" spans="1:26" x14ac:dyDescent="0.25">
      <c r="A40" s="18">
        <f t="shared" si="3"/>
        <v>46419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X40" s="38">
        <f t="shared" si="0"/>
        <v>0</v>
      </c>
      <c r="Y40" s="38">
        <f t="shared" si="1"/>
        <v>0</v>
      </c>
      <c r="Z40" s="38">
        <f t="shared" si="2"/>
        <v>0</v>
      </c>
    </row>
    <row r="41" spans="1:26" x14ac:dyDescent="0.25">
      <c r="A41" s="18">
        <f t="shared" si="3"/>
        <v>46426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X41" s="38">
        <f t="shared" si="0"/>
        <v>0</v>
      </c>
      <c r="Y41" s="38">
        <f t="shared" si="1"/>
        <v>0</v>
      </c>
      <c r="Z41" s="38">
        <f t="shared" si="2"/>
        <v>0</v>
      </c>
    </row>
    <row r="42" spans="1:26" x14ac:dyDescent="0.25">
      <c r="A42" s="18">
        <f t="shared" si="3"/>
        <v>46433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X42" s="38">
        <f t="shared" si="0"/>
        <v>0</v>
      </c>
      <c r="Y42" s="38">
        <f t="shared" si="1"/>
        <v>0</v>
      </c>
      <c r="Z42" s="38">
        <f t="shared" si="2"/>
        <v>0</v>
      </c>
    </row>
    <row r="43" spans="1:26" x14ac:dyDescent="0.25">
      <c r="A43" s="18">
        <f t="shared" si="3"/>
        <v>46440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X43" s="38">
        <f t="shared" si="0"/>
        <v>0</v>
      </c>
      <c r="Y43" s="38">
        <f t="shared" si="1"/>
        <v>0</v>
      </c>
      <c r="Z43" s="38">
        <f t="shared" si="2"/>
        <v>0</v>
      </c>
    </row>
    <row r="44" spans="1:26" x14ac:dyDescent="0.25">
      <c r="A44" s="18">
        <f t="shared" si="3"/>
        <v>46447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X44" s="38">
        <f t="shared" si="0"/>
        <v>0</v>
      </c>
      <c r="Y44" s="38">
        <f t="shared" si="1"/>
        <v>0</v>
      </c>
      <c r="Z44" s="38">
        <f t="shared" si="2"/>
        <v>0</v>
      </c>
    </row>
    <row r="45" spans="1:26" x14ac:dyDescent="0.25">
      <c r="A45" s="18">
        <f t="shared" si="3"/>
        <v>46454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X45" s="38">
        <f t="shared" si="0"/>
        <v>0</v>
      </c>
      <c r="Y45" s="38">
        <f t="shared" si="1"/>
        <v>0</v>
      </c>
      <c r="Z45" s="38">
        <f t="shared" si="2"/>
        <v>0</v>
      </c>
    </row>
    <row r="46" spans="1:26" x14ac:dyDescent="0.25">
      <c r="A46" s="18">
        <f t="shared" si="3"/>
        <v>46461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X46" s="38">
        <f t="shared" si="0"/>
        <v>0</v>
      </c>
      <c r="Y46" s="38">
        <f t="shared" si="1"/>
        <v>0</v>
      </c>
      <c r="Z46" s="38">
        <f t="shared" si="2"/>
        <v>0</v>
      </c>
    </row>
    <row r="47" spans="1:26" x14ac:dyDescent="0.25">
      <c r="A47" s="18">
        <f t="shared" si="3"/>
        <v>46468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X47" s="38">
        <f t="shared" si="0"/>
        <v>0</v>
      </c>
      <c r="Y47" s="38">
        <f t="shared" si="1"/>
        <v>0</v>
      </c>
      <c r="Z47" s="38">
        <f t="shared" si="2"/>
        <v>0</v>
      </c>
    </row>
    <row r="48" spans="1:26" x14ac:dyDescent="0.25">
      <c r="A48" s="18">
        <f t="shared" si="3"/>
        <v>46475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X48" s="38">
        <f t="shared" si="0"/>
        <v>0</v>
      </c>
      <c r="Y48" s="38">
        <f t="shared" si="1"/>
        <v>0</v>
      </c>
      <c r="Z48" s="38">
        <f t="shared" si="2"/>
        <v>0</v>
      </c>
    </row>
    <row r="49" spans="1:26" x14ac:dyDescent="0.25">
      <c r="A49" s="18">
        <f t="shared" si="3"/>
        <v>46482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X49" s="38">
        <f t="shared" si="0"/>
        <v>0</v>
      </c>
      <c r="Y49" s="38">
        <f t="shared" si="1"/>
        <v>0</v>
      </c>
      <c r="Z49" s="38">
        <f t="shared" si="2"/>
        <v>0</v>
      </c>
    </row>
    <row r="50" spans="1:26" x14ac:dyDescent="0.25">
      <c r="A50" s="18">
        <f t="shared" si="3"/>
        <v>46489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X50" s="38">
        <f t="shared" si="0"/>
        <v>0</v>
      </c>
      <c r="Y50" s="38">
        <f t="shared" si="1"/>
        <v>0</v>
      </c>
      <c r="Z50" s="38">
        <f t="shared" si="2"/>
        <v>0</v>
      </c>
    </row>
    <row r="51" spans="1:26" x14ac:dyDescent="0.25">
      <c r="A51" s="18">
        <f t="shared" si="3"/>
        <v>46496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X51" s="38">
        <f t="shared" si="0"/>
        <v>0</v>
      </c>
      <c r="Y51" s="38">
        <f t="shared" si="1"/>
        <v>0</v>
      </c>
      <c r="Z51" s="38">
        <f t="shared" si="2"/>
        <v>0</v>
      </c>
    </row>
    <row r="52" spans="1:26" x14ac:dyDescent="0.25">
      <c r="A52" s="18">
        <f t="shared" si="3"/>
        <v>46503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X52" s="38">
        <f t="shared" si="0"/>
        <v>0</v>
      </c>
      <c r="Y52" s="38">
        <f t="shared" si="1"/>
        <v>0</v>
      </c>
      <c r="Z52" s="38">
        <f t="shared" si="2"/>
        <v>0</v>
      </c>
    </row>
  </sheetData>
  <mergeCells count="11">
    <mergeCell ref="X1:Z1"/>
    <mergeCell ref="N3:P3"/>
    <mergeCell ref="Q3:S3"/>
    <mergeCell ref="B3:D3"/>
    <mergeCell ref="B2:V2"/>
    <mergeCell ref="A1:V1"/>
    <mergeCell ref="T3:V3"/>
    <mergeCell ref="A2:A3"/>
    <mergeCell ref="E3:G3"/>
    <mergeCell ref="K3:M3"/>
    <mergeCell ref="H3:J3"/>
  </mergeCells>
  <conditionalFormatting sqref="A5:A52">
    <cfRule type="expression" dxfId="68" priority="1">
      <formula>AND($A5&lt;=TODAY(),$A5+6&gt;=TODAY())</formula>
    </cfRule>
  </conditionalFormatting>
  <dataValidations count="1">
    <dataValidation type="decimal" operator="greaterThanOrEqual" sqref="B5:V52" xr:uid="{00000000-0002-0000-0B00-000000000000}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sqref="A1:W1"/>
    </sheetView>
  </sheetViews>
  <sheetFormatPr defaultRowHeight="15" x14ac:dyDescent="0.25"/>
  <cols>
    <col min="1" max="1" width="12" style="66" customWidth="1"/>
    <col min="2" max="27" width="10" style="66" customWidth="1"/>
  </cols>
  <sheetData>
    <row r="1" spans="1:27" x14ac:dyDescent="0.25">
      <c r="A1" s="73" t="s">
        <v>110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Y1" s="80" t="s">
        <v>109</v>
      </c>
      <c r="Z1" s="74"/>
      <c r="AA1" s="74"/>
    </row>
    <row r="2" spans="1:27" x14ac:dyDescent="0.25">
      <c r="A2" s="81" t="s">
        <v>73</v>
      </c>
      <c r="B2" s="83" t="s">
        <v>56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9"/>
    </row>
    <row r="3" spans="1:27" x14ac:dyDescent="0.25">
      <c r="A3" s="82"/>
      <c r="B3" s="83" t="s">
        <v>97</v>
      </c>
      <c r="C3" s="78"/>
      <c r="D3" s="78"/>
      <c r="E3" s="79"/>
      <c r="F3" s="83" t="s">
        <v>98</v>
      </c>
      <c r="G3" s="78"/>
      <c r="H3" s="79"/>
      <c r="I3" s="83" t="s">
        <v>99</v>
      </c>
      <c r="J3" s="78"/>
      <c r="K3" s="79"/>
      <c r="L3" s="83" t="s">
        <v>100</v>
      </c>
      <c r="M3" s="78"/>
      <c r="N3" s="79"/>
      <c r="O3" s="83" t="s">
        <v>101</v>
      </c>
      <c r="P3" s="78"/>
      <c r="Q3" s="79"/>
      <c r="R3" s="83" t="s">
        <v>102</v>
      </c>
      <c r="S3" s="78"/>
      <c r="T3" s="79"/>
      <c r="U3" s="83" t="s">
        <v>103</v>
      </c>
      <c r="V3" s="78"/>
      <c r="W3" s="79"/>
      <c r="Y3" s="35" t="s">
        <v>76</v>
      </c>
      <c r="Z3" s="35" t="s">
        <v>77</v>
      </c>
      <c r="AA3" s="35" t="s">
        <v>78</v>
      </c>
    </row>
    <row r="4" spans="1:27" x14ac:dyDescent="0.25">
      <c r="B4" s="70" t="s">
        <v>76</v>
      </c>
      <c r="C4" s="70" t="s">
        <v>77</v>
      </c>
      <c r="D4" s="70" t="s">
        <v>78</v>
      </c>
      <c r="E4" s="70" t="s">
        <v>79</v>
      </c>
      <c r="F4" s="70" t="s">
        <v>76</v>
      </c>
      <c r="G4" s="70" t="s">
        <v>77</v>
      </c>
      <c r="H4" s="70" t="s">
        <v>78</v>
      </c>
      <c r="I4" s="70" t="s">
        <v>76</v>
      </c>
      <c r="J4" s="70" t="s">
        <v>77</v>
      </c>
      <c r="K4" s="70" t="s">
        <v>78</v>
      </c>
      <c r="L4" s="70" t="s">
        <v>76</v>
      </c>
      <c r="M4" s="70" t="s">
        <v>77</v>
      </c>
      <c r="N4" s="70" t="s">
        <v>78</v>
      </c>
      <c r="O4" s="70" t="s">
        <v>76</v>
      </c>
      <c r="P4" s="70" t="s">
        <v>77</v>
      </c>
      <c r="Q4" s="70" t="s">
        <v>78</v>
      </c>
      <c r="R4" s="70" t="s">
        <v>76</v>
      </c>
      <c r="S4" s="70" t="s">
        <v>77</v>
      </c>
      <c r="T4" s="70" t="s">
        <v>78</v>
      </c>
      <c r="U4" s="70" t="s">
        <v>76</v>
      </c>
      <c r="V4" s="70" t="s">
        <v>77</v>
      </c>
      <c r="W4" s="70" t="s">
        <v>78</v>
      </c>
      <c r="Y4" s="36"/>
      <c r="Z4" s="36"/>
      <c r="AA4" s="36"/>
    </row>
    <row r="5" spans="1:27" x14ac:dyDescent="0.25">
      <c r="A5" s="18">
        <f>СПРАВОЧНИК!$B$35</f>
        <v>46174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Y5" s="38">
        <f t="shared" ref="Y5:Y52" si="0">B5+F5+I5+L5+O5+R5+U5</f>
        <v>0</v>
      </c>
      <c r="Z5" s="38">
        <f t="shared" ref="Z5:Z52" si="1">C5+G5+J5+M5+P5+S5+V5</f>
        <v>0</v>
      </c>
      <c r="AA5" s="38">
        <f t="shared" ref="AA5:AA52" si="2">D5+H5+K5+N5+Q5+T5+W5</f>
        <v>0</v>
      </c>
    </row>
    <row r="6" spans="1:27" x14ac:dyDescent="0.25">
      <c r="A6" s="18">
        <f t="shared" ref="A6:A52" si="3">A5+7</f>
        <v>46181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Y6" s="38">
        <f t="shared" si="0"/>
        <v>0</v>
      </c>
      <c r="Z6" s="38">
        <f t="shared" si="1"/>
        <v>0</v>
      </c>
      <c r="AA6" s="38">
        <f t="shared" si="2"/>
        <v>0</v>
      </c>
    </row>
    <row r="7" spans="1:27" x14ac:dyDescent="0.25">
      <c r="A7" s="18">
        <f t="shared" si="3"/>
        <v>46188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Y7" s="38">
        <f t="shared" si="0"/>
        <v>0</v>
      </c>
      <c r="Z7" s="38">
        <f t="shared" si="1"/>
        <v>0</v>
      </c>
      <c r="AA7" s="38">
        <f t="shared" si="2"/>
        <v>0</v>
      </c>
    </row>
    <row r="8" spans="1:27" x14ac:dyDescent="0.25">
      <c r="A8" s="18">
        <f t="shared" si="3"/>
        <v>46195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Y8" s="38">
        <f t="shared" si="0"/>
        <v>0</v>
      </c>
      <c r="Z8" s="38">
        <f t="shared" si="1"/>
        <v>0</v>
      </c>
      <c r="AA8" s="38">
        <f t="shared" si="2"/>
        <v>0</v>
      </c>
    </row>
    <row r="9" spans="1:27" x14ac:dyDescent="0.25">
      <c r="A9" s="18">
        <f t="shared" si="3"/>
        <v>46202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Y9" s="38">
        <f t="shared" si="0"/>
        <v>0</v>
      </c>
      <c r="Z9" s="38">
        <f t="shared" si="1"/>
        <v>0</v>
      </c>
      <c r="AA9" s="38">
        <f t="shared" si="2"/>
        <v>0</v>
      </c>
    </row>
    <row r="10" spans="1:27" x14ac:dyDescent="0.25">
      <c r="A10" s="18">
        <f t="shared" si="3"/>
        <v>46209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Y10" s="38">
        <f t="shared" si="0"/>
        <v>0</v>
      </c>
      <c r="Z10" s="38">
        <f t="shared" si="1"/>
        <v>0</v>
      </c>
      <c r="AA10" s="38">
        <f t="shared" si="2"/>
        <v>0</v>
      </c>
    </row>
    <row r="11" spans="1:27" x14ac:dyDescent="0.25">
      <c r="A11" s="18">
        <f t="shared" si="3"/>
        <v>46216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8">
        <f t="shared" si="0"/>
        <v>0</v>
      </c>
      <c r="Z11" s="38">
        <f t="shared" si="1"/>
        <v>0</v>
      </c>
      <c r="AA11" s="38">
        <f t="shared" si="2"/>
        <v>0</v>
      </c>
    </row>
    <row r="12" spans="1:27" x14ac:dyDescent="0.25">
      <c r="A12" s="18">
        <f t="shared" si="3"/>
        <v>46223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Y12" s="38">
        <f t="shared" si="0"/>
        <v>0</v>
      </c>
      <c r="Z12" s="38">
        <f t="shared" si="1"/>
        <v>0</v>
      </c>
      <c r="AA12" s="38">
        <f t="shared" si="2"/>
        <v>0</v>
      </c>
    </row>
    <row r="13" spans="1:27" x14ac:dyDescent="0.25">
      <c r="A13" s="18">
        <f t="shared" si="3"/>
        <v>46230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Y13" s="38">
        <f t="shared" si="0"/>
        <v>0</v>
      </c>
      <c r="Z13" s="38">
        <f t="shared" si="1"/>
        <v>0</v>
      </c>
      <c r="AA13" s="38">
        <f t="shared" si="2"/>
        <v>0</v>
      </c>
    </row>
    <row r="14" spans="1:27" x14ac:dyDescent="0.25">
      <c r="A14" s="18">
        <f t="shared" si="3"/>
        <v>46237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Y14" s="38">
        <f t="shared" si="0"/>
        <v>0</v>
      </c>
      <c r="Z14" s="38">
        <f t="shared" si="1"/>
        <v>0</v>
      </c>
      <c r="AA14" s="38">
        <f t="shared" si="2"/>
        <v>0</v>
      </c>
    </row>
    <row r="15" spans="1:27" x14ac:dyDescent="0.25">
      <c r="A15" s="18">
        <f t="shared" si="3"/>
        <v>46244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Y15" s="38">
        <f t="shared" si="0"/>
        <v>0</v>
      </c>
      <c r="Z15" s="38">
        <f t="shared" si="1"/>
        <v>0</v>
      </c>
      <c r="AA15" s="38">
        <f t="shared" si="2"/>
        <v>0</v>
      </c>
    </row>
    <row r="16" spans="1:27" x14ac:dyDescent="0.25">
      <c r="A16" s="18">
        <f t="shared" si="3"/>
        <v>46251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Y16" s="38">
        <f t="shared" si="0"/>
        <v>0</v>
      </c>
      <c r="Z16" s="38">
        <f t="shared" si="1"/>
        <v>0</v>
      </c>
      <c r="AA16" s="38">
        <f t="shared" si="2"/>
        <v>0</v>
      </c>
    </row>
    <row r="17" spans="1:27" x14ac:dyDescent="0.25">
      <c r="A17" s="18">
        <f t="shared" si="3"/>
        <v>46258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Y17" s="38">
        <f t="shared" si="0"/>
        <v>0</v>
      </c>
      <c r="Z17" s="38">
        <f t="shared" si="1"/>
        <v>0</v>
      </c>
      <c r="AA17" s="38">
        <f t="shared" si="2"/>
        <v>0</v>
      </c>
    </row>
    <row r="18" spans="1:27" x14ac:dyDescent="0.25">
      <c r="A18" s="18">
        <f t="shared" si="3"/>
        <v>46265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Y18" s="38">
        <f t="shared" si="0"/>
        <v>0</v>
      </c>
      <c r="Z18" s="38">
        <f t="shared" si="1"/>
        <v>0</v>
      </c>
      <c r="AA18" s="38">
        <f t="shared" si="2"/>
        <v>0</v>
      </c>
    </row>
    <row r="19" spans="1:27" x14ac:dyDescent="0.25">
      <c r="A19" s="18">
        <f t="shared" si="3"/>
        <v>46272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Y19" s="38">
        <f t="shared" si="0"/>
        <v>0</v>
      </c>
      <c r="Z19" s="38">
        <f t="shared" si="1"/>
        <v>0</v>
      </c>
      <c r="AA19" s="38">
        <f t="shared" si="2"/>
        <v>0</v>
      </c>
    </row>
    <row r="20" spans="1:27" x14ac:dyDescent="0.25">
      <c r="A20" s="18">
        <f t="shared" si="3"/>
        <v>46279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Y20" s="38">
        <f t="shared" si="0"/>
        <v>0</v>
      </c>
      <c r="Z20" s="38">
        <f t="shared" si="1"/>
        <v>0</v>
      </c>
      <c r="AA20" s="38">
        <f t="shared" si="2"/>
        <v>0</v>
      </c>
    </row>
    <row r="21" spans="1:27" x14ac:dyDescent="0.25">
      <c r="A21" s="18">
        <f t="shared" si="3"/>
        <v>46286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Y21" s="38">
        <f t="shared" si="0"/>
        <v>0</v>
      </c>
      <c r="Z21" s="38">
        <f t="shared" si="1"/>
        <v>0</v>
      </c>
      <c r="AA21" s="38">
        <f t="shared" si="2"/>
        <v>0</v>
      </c>
    </row>
    <row r="22" spans="1:27" x14ac:dyDescent="0.25">
      <c r="A22" s="18">
        <f t="shared" si="3"/>
        <v>46293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Y22" s="38">
        <f t="shared" si="0"/>
        <v>0</v>
      </c>
      <c r="Z22" s="38">
        <f t="shared" si="1"/>
        <v>0</v>
      </c>
      <c r="AA22" s="38">
        <f t="shared" si="2"/>
        <v>0</v>
      </c>
    </row>
    <row r="23" spans="1:27" x14ac:dyDescent="0.25">
      <c r="A23" s="18">
        <f t="shared" si="3"/>
        <v>46300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Y23" s="38">
        <f t="shared" si="0"/>
        <v>0</v>
      </c>
      <c r="Z23" s="38">
        <f t="shared" si="1"/>
        <v>0</v>
      </c>
      <c r="AA23" s="38">
        <f t="shared" si="2"/>
        <v>0</v>
      </c>
    </row>
    <row r="24" spans="1:27" x14ac:dyDescent="0.25">
      <c r="A24" s="18">
        <f t="shared" si="3"/>
        <v>46307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Y24" s="38">
        <f t="shared" si="0"/>
        <v>0</v>
      </c>
      <c r="Z24" s="38">
        <f t="shared" si="1"/>
        <v>0</v>
      </c>
      <c r="AA24" s="38">
        <f t="shared" si="2"/>
        <v>0</v>
      </c>
    </row>
    <row r="25" spans="1:27" x14ac:dyDescent="0.25">
      <c r="A25" s="18">
        <f t="shared" si="3"/>
        <v>46314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Y25" s="38">
        <f t="shared" si="0"/>
        <v>0</v>
      </c>
      <c r="Z25" s="38">
        <f t="shared" si="1"/>
        <v>0</v>
      </c>
      <c r="AA25" s="38">
        <f t="shared" si="2"/>
        <v>0</v>
      </c>
    </row>
    <row r="26" spans="1:27" x14ac:dyDescent="0.25">
      <c r="A26" s="18">
        <f t="shared" si="3"/>
        <v>46321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Y26" s="38">
        <f t="shared" si="0"/>
        <v>0</v>
      </c>
      <c r="Z26" s="38">
        <f t="shared" si="1"/>
        <v>0</v>
      </c>
      <c r="AA26" s="38">
        <f t="shared" si="2"/>
        <v>0</v>
      </c>
    </row>
    <row r="27" spans="1:27" x14ac:dyDescent="0.25">
      <c r="A27" s="18">
        <f t="shared" si="3"/>
        <v>46328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Y27" s="38">
        <f t="shared" si="0"/>
        <v>0</v>
      </c>
      <c r="Z27" s="38">
        <f t="shared" si="1"/>
        <v>0</v>
      </c>
      <c r="AA27" s="38">
        <f t="shared" si="2"/>
        <v>0</v>
      </c>
    </row>
    <row r="28" spans="1:27" x14ac:dyDescent="0.25">
      <c r="A28" s="18">
        <f t="shared" si="3"/>
        <v>46335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Y28" s="38">
        <f t="shared" si="0"/>
        <v>0</v>
      </c>
      <c r="Z28" s="38">
        <f t="shared" si="1"/>
        <v>0</v>
      </c>
      <c r="AA28" s="38">
        <f t="shared" si="2"/>
        <v>0</v>
      </c>
    </row>
    <row r="29" spans="1:27" x14ac:dyDescent="0.25">
      <c r="A29" s="18">
        <f t="shared" si="3"/>
        <v>46342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Y29" s="38">
        <f t="shared" si="0"/>
        <v>0</v>
      </c>
      <c r="Z29" s="38">
        <f t="shared" si="1"/>
        <v>0</v>
      </c>
      <c r="AA29" s="38">
        <f t="shared" si="2"/>
        <v>0</v>
      </c>
    </row>
    <row r="30" spans="1:27" x14ac:dyDescent="0.25">
      <c r="A30" s="18">
        <f t="shared" si="3"/>
        <v>46349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Y30" s="38">
        <f t="shared" si="0"/>
        <v>0</v>
      </c>
      <c r="Z30" s="38">
        <f t="shared" si="1"/>
        <v>0</v>
      </c>
      <c r="AA30" s="38">
        <f t="shared" si="2"/>
        <v>0</v>
      </c>
    </row>
    <row r="31" spans="1:27" x14ac:dyDescent="0.25">
      <c r="A31" s="18">
        <f t="shared" si="3"/>
        <v>46356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Y31" s="38">
        <f t="shared" si="0"/>
        <v>0</v>
      </c>
      <c r="Z31" s="38">
        <f t="shared" si="1"/>
        <v>0</v>
      </c>
      <c r="AA31" s="38">
        <f t="shared" si="2"/>
        <v>0</v>
      </c>
    </row>
    <row r="32" spans="1:27" x14ac:dyDescent="0.25">
      <c r="A32" s="18">
        <f t="shared" si="3"/>
        <v>46363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Y32" s="38">
        <f t="shared" si="0"/>
        <v>0</v>
      </c>
      <c r="Z32" s="38">
        <f t="shared" si="1"/>
        <v>0</v>
      </c>
      <c r="AA32" s="38">
        <f t="shared" si="2"/>
        <v>0</v>
      </c>
    </row>
    <row r="33" spans="1:27" x14ac:dyDescent="0.25">
      <c r="A33" s="18">
        <f t="shared" si="3"/>
        <v>46370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Y33" s="38">
        <f t="shared" si="0"/>
        <v>0</v>
      </c>
      <c r="Z33" s="38">
        <f t="shared" si="1"/>
        <v>0</v>
      </c>
      <c r="AA33" s="38">
        <f t="shared" si="2"/>
        <v>0</v>
      </c>
    </row>
    <row r="34" spans="1:27" x14ac:dyDescent="0.25">
      <c r="A34" s="18">
        <f t="shared" si="3"/>
        <v>46377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Y34" s="38">
        <f t="shared" si="0"/>
        <v>0</v>
      </c>
      <c r="Z34" s="38">
        <f t="shared" si="1"/>
        <v>0</v>
      </c>
      <c r="AA34" s="38">
        <f t="shared" si="2"/>
        <v>0</v>
      </c>
    </row>
    <row r="35" spans="1:27" x14ac:dyDescent="0.25">
      <c r="A35" s="18">
        <f t="shared" si="3"/>
        <v>46384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Y35" s="38">
        <f t="shared" si="0"/>
        <v>0</v>
      </c>
      <c r="Z35" s="38">
        <f t="shared" si="1"/>
        <v>0</v>
      </c>
      <c r="AA35" s="38">
        <f t="shared" si="2"/>
        <v>0</v>
      </c>
    </row>
    <row r="36" spans="1:27" x14ac:dyDescent="0.25">
      <c r="A36" s="18">
        <f t="shared" si="3"/>
        <v>46391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Y36" s="38">
        <f t="shared" si="0"/>
        <v>0</v>
      </c>
      <c r="Z36" s="38">
        <f t="shared" si="1"/>
        <v>0</v>
      </c>
      <c r="AA36" s="38">
        <f t="shared" si="2"/>
        <v>0</v>
      </c>
    </row>
    <row r="37" spans="1:27" x14ac:dyDescent="0.25">
      <c r="A37" s="18">
        <f t="shared" si="3"/>
        <v>46398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Y37" s="38">
        <f t="shared" si="0"/>
        <v>0</v>
      </c>
      <c r="Z37" s="38">
        <f t="shared" si="1"/>
        <v>0</v>
      </c>
      <c r="AA37" s="38">
        <f t="shared" si="2"/>
        <v>0</v>
      </c>
    </row>
    <row r="38" spans="1:27" x14ac:dyDescent="0.25">
      <c r="A38" s="18">
        <f t="shared" si="3"/>
        <v>46405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Y38" s="38">
        <f t="shared" si="0"/>
        <v>0</v>
      </c>
      <c r="Z38" s="38">
        <f t="shared" si="1"/>
        <v>0</v>
      </c>
      <c r="AA38" s="38">
        <f t="shared" si="2"/>
        <v>0</v>
      </c>
    </row>
    <row r="39" spans="1:27" x14ac:dyDescent="0.25">
      <c r="A39" s="18">
        <f t="shared" si="3"/>
        <v>46412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Y39" s="38">
        <f t="shared" si="0"/>
        <v>0</v>
      </c>
      <c r="Z39" s="38">
        <f t="shared" si="1"/>
        <v>0</v>
      </c>
      <c r="AA39" s="38">
        <f t="shared" si="2"/>
        <v>0</v>
      </c>
    </row>
    <row r="40" spans="1:27" x14ac:dyDescent="0.25">
      <c r="A40" s="18">
        <f t="shared" si="3"/>
        <v>46419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Y40" s="38">
        <f t="shared" si="0"/>
        <v>0</v>
      </c>
      <c r="Z40" s="38">
        <f t="shared" si="1"/>
        <v>0</v>
      </c>
      <c r="AA40" s="38">
        <f t="shared" si="2"/>
        <v>0</v>
      </c>
    </row>
    <row r="41" spans="1:27" x14ac:dyDescent="0.25">
      <c r="A41" s="18">
        <f t="shared" si="3"/>
        <v>46426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Y41" s="38">
        <f t="shared" si="0"/>
        <v>0</v>
      </c>
      <c r="Z41" s="38">
        <f t="shared" si="1"/>
        <v>0</v>
      </c>
      <c r="AA41" s="38">
        <f t="shared" si="2"/>
        <v>0</v>
      </c>
    </row>
    <row r="42" spans="1:27" x14ac:dyDescent="0.25">
      <c r="A42" s="18">
        <f t="shared" si="3"/>
        <v>46433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Y42" s="38">
        <f t="shared" si="0"/>
        <v>0</v>
      </c>
      <c r="Z42" s="38">
        <f t="shared" si="1"/>
        <v>0</v>
      </c>
      <c r="AA42" s="38">
        <f t="shared" si="2"/>
        <v>0</v>
      </c>
    </row>
    <row r="43" spans="1:27" x14ac:dyDescent="0.25">
      <c r="A43" s="18">
        <f t="shared" si="3"/>
        <v>46440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Y43" s="38">
        <f t="shared" si="0"/>
        <v>0</v>
      </c>
      <c r="Z43" s="38">
        <f t="shared" si="1"/>
        <v>0</v>
      </c>
      <c r="AA43" s="38">
        <f t="shared" si="2"/>
        <v>0</v>
      </c>
    </row>
    <row r="44" spans="1:27" x14ac:dyDescent="0.25">
      <c r="A44" s="18">
        <f t="shared" si="3"/>
        <v>46447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Y44" s="38">
        <f t="shared" si="0"/>
        <v>0</v>
      </c>
      <c r="Z44" s="38">
        <f t="shared" si="1"/>
        <v>0</v>
      </c>
      <c r="AA44" s="38">
        <f t="shared" si="2"/>
        <v>0</v>
      </c>
    </row>
    <row r="45" spans="1:27" x14ac:dyDescent="0.25">
      <c r="A45" s="18">
        <f t="shared" si="3"/>
        <v>46454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Y45" s="38">
        <f t="shared" si="0"/>
        <v>0</v>
      </c>
      <c r="Z45" s="38">
        <f t="shared" si="1"/>
        <v>0</v>
      </c>
      <c r="AA45" s="38">
        <f t="shared" si="2"/>
        <v>0</v>
      </c>
    </row>
    <row r="46" spans="1:27" x14ac:dyDescent="0.25">
      <c r="A46" s="18">
        <f t="shared" si="3"/>
        <v>46461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Y46" s="38">
        <f t="shared" si="0"/>
        <v>0</v>
      </c>
      <c r="Z46" s="38">
        <f t="shared" si="1"/>
        <v>0</v>
      </c>
      <c r="AA46" s="38">
        <f t="shared" si="2"/>
        <v>0</v>
      </c>
    </row>
    <row r="47" spans="1:27" x14ac:dyDescent="0.25">
      <c r="A47" s="18">
        <f t="shared" si="3"/>
        <v>46468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Y47" s="38">
        <f t="shared" si="0"/>
        <v>0</v>
      </c>
      <c r="Z47" s="38">
        <f t="shared" si="1"/>
        <v>0</v>
      </c>
      <c r="AA47" s="38">
        <f t="shared" si="2"/>
        <v>0</v>
      </c>
    </row>
    <row r="48" spans="1:27" x14ac:dyDescent="0.25">
      <c r="A48" s="18">
        <f t="shared" si="3"/>
        <v>46475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Y48" s="38">
        <f t="shared" si="0"/>
        <v>0</v>
      </c>
      <c r="Z48" s="38">
        <f t="shared" si="1"/>
        <v>0</v>
      </c>
      <c r="AA48" s="38">
        <f t="shared" si="2"/>
        <v>0</v>
      </c>
    </row>
    <row r="49" spans="1:27" x14ac:dyDescent="0.25">
      <c r="A49" s="18">
        <f t="shared" si="3"/>
        <v>46482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Y49" s="38">
        <f t="shared" si="0"/>
        <v>0</v>
      </c>
      <c r="Z49" s="38">
        <f t="shared" si="1"/>
        <v>0</v>
      </c>
      <c r="AA49" s="38">
        <f t="shared" si="2"/>
        <v>0</v>
      </c>
    </row>
    <row r="50" spans="1:27" x14ac:dyDescent="0.25">
      <c r="A50" s="18">
        <f t="shared" si="3"/>
        <v>46489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Y50" s="38">
        <f t="shared" si="0"/>
        <v>0</v>
      </c>
      <c r="Z50" s="38">
        <f t="shared" si="1"/>
        <v>0</v>
      </c>
      <c r="AA50" s="38">
        <f t="shared" si="2"/>
        <v>0</v>
      </c>
    </row>
    <row r="51" spans="1:27" x14ac:dyDescent="0.25">
      <c r="A51" s="18">
        <f t="shared" si="3"/>
        <v>46496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Y51" s="38">
        <f t="shared" si="0"/>
        <v>0</v>
      </c>
      <c r="Z51" s="38">
        <f t="shared" si="1"/>
        <v>0</v>
      </c>
      <c r="AA51" s="38">
        <f t="shared" si="2"/>
        <v>0</v>
      </c>
    </row>
    <row r="52" spans="1:27" x14ac:dyDescent="0.25">
      <c r="A52" s="18">
        <f t="shared" si="3"/>
        <v>46503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Y52" s="38">
        <f t="shared" si="0"/>
        <v>0</v>
      </c>
      <c r="Z52" s="38">
        <f t="shared" si="1"/>
        <v>0</v>
      </c>
      <c r="AA52" s="38">
        <f t="shared" si="2"/>
        <v>0</v>
      </c>
    </row>
  </sheetData>
  <mergeCells count="11">
    <mergeCell ref="B2:W2"/>
    <mergeCell ref="A1:W1"/>
    <mergeCell ref="R3:T3"/>
    <mergeCell ref="U3:W3"/>
    <mergeCell ref="Y1:AA1"/>
    <mergeCell ref="A2:A3"/>
    <mergeCell ref="B3:E3"/>
    <mergeCell ref="I3:K3"/>
    <mergeCell ref="F3:H3"/>
    <mergeCell ref="L3:N3"/>
    <mergeCell ref="O3:Q3"/>
  </mergeCells>
  <conditionalFormatting sqref="A5:A52">
    <cfRule type="expression" dxfId="67" priority="1">
      <formula>AND($A5&lt;=TODAY(),$A5+6&gt;=TODAY())</formula>
    </cfRule>
  </conditionalFormatting>
  <dataValidations count="1">
    <dataValidation type="decimal" operator="greaterThanOrEqual" sqref="B5:W52" xr:uid="{00000000-0002-0000-0C00-000000000000}">
      <formula1>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F8F00"/>
  </sheetPr>
  <dimension ref="A1:W52"/>
  <sheetViews>
    <sheetView workbookViewId="0">
      <pane xSplit="1" ySplit="4" topLeftCell="B5" activePane="bottomRight" state="frozen"/>
      <selection pane="topRight"/>
      <selection pane="bottomLeft"/>
      <selection pane="bottomRight" sqref="A1:S1"/>
    </sheetView>
  </sheetViews>
  <sheetFormatPr defaultRowHeight="15" x14ac:dyDescent="0.25"/>
  <cols>
    <col min="1" max="1" width="12" style="66" customWidth="1"/>
    <col min="2" max="23" width="10" style="66" customWidth="1"/>
  </cols>
  <sheetData>
    <row r="1" spans="1:23" x14ac:dyDescent="0.25">
      <c r="A1" s="73" t="s">
        <v>111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U1" s="80" t="s">
        <v>87</v>
      </c>
      <c r="V1" s="74"/>
      <c r="W1" s="74"/>
    </row>
    <row r="2" spans="1:23" x14ac:dyDescent="0.25">
      <c r="A2" s="81" t="s">
        <v>73</v>
      </c>
      <c r="B2" s="77" t="s">
        <v>54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9"/>
    </row>
    <row r="3" spans="1:23" x14ac:dyDescent="0.25">
      <c r="A3" s="82"/>
      <c r="B3" s="77" t="s">
        <v>88</v>
      </c>
      <c r="C3" s="78"/>
      <c r="D3" s="79"/>
      <c r="E3" s="77" t="s">
        <v>89</v>
      </c>
      <c r="F3" s="78"/>
      <c r="G3" s="79"/>
      <c r="H3" s="77" t="s">
        <v>90</v>
      </c>
      <c r="I3" s="78"/>
      <c r="J3" s="79"/>
      <c r="K3" s="77" t="s">
        <v>91</v>
      </c>
      <c r="L3" s="78"/>
      <c r="M3" s="79"/>
      <c r="N3" s="77" t="s">
        <v>92</v>
      </c>
      <c r="O3" s="78"/>
      <c r="P3" s="79"/>
      <c r="Q3" s="77" t="s">
        <v>93</v>
      </c>
      <c r="R3" s="78"/>
      <c r="S3" s="79"/>
      <c r="U3" s="35" t="s">
        <v>76</v>
      </c>
      <c r="V3" s="35" t="s">
        <v>77</v>
      </c>
      <c r="W3" s="35" t="s">
        <v>78</v>
      </c>
    </row>
    <row r="4" spans="1:23" x14ac:dyDescent="0.25">
      <c r="B4" s="67" t="s">
        <v>76</v>
      </c>
      <c r="C4" s="67" t="s">
        <v>77</v>
      </c>
      <c r="D4" s="67" t="s">
        <v>78</v>
      </c>
      <c r="E4" s="67" t="s">
        <v>76</v>
      </c>
      <c r="F4" s="67" t="s">
        <v>77</v>
      </c>
      <c r="G4" s="67" t="s">
        <v>78</v>
      </c>
      <c r="H4" s="67" t="s">
        <v>76</v>
      </c>
      <c r="I4" s="67" t="s">
        <v>77</v>
      </c>
      <c r="J4" s="67" t="s">
        <v>78</v>
      </c>
      <c r="K4" s="67" t="s">
        <v>76</v>
      </c>
      <c r="L4" s="67" t="s">
        <v>77</v>
      </c>
      <c r="M4" s="67" t="s">
        <v>78</v>
      </c>
      <c r="N4" s="67" t="s">
        <v>76</v>
      </c>
      <c r="O4" s="67" t="s">
        <v>77</v>
      </c>
      <c r="P4" s="67" t="s">
        <v>78</v>
      </c>
      <c r="Q4" s="67" t="s">
        <v>76</v>
      </c>
      <c r="R4" s="67" t="s">
        <v>77</v>
      </c>
      <c r="S4" s="67" t="s">
        <v>78</v>
      </c>
      <c r="U4" s="36"/>
      <c r="V4" s="36"/>
      <c r="W4" s="36"/>
    </row>
    <row r="5" spans="1:23" x14ac:dyDescent="0.25">
      <c r="A5" s="18">
        <f>СПРАВОЧНИК!$B$35</f>
        <v>46174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U5" s="38">
        <f t="shared" ref="U5:U52" si="0">B5+E5+H5+K5+N5+Q5</f>
        <v>0</v>
      </c>
      <c r="V5" s="38">
        <f t="shared" ref="V5:V52" si="1">C5+F5+I5+L5+O5+R5</f>
        <v>0</v>
      </c>
      <c r="W5" s="38">
        <f t="shared" ref="W5:W52" si="2">D5+G5+J5+M5+P5+S5</f>
        <v>0</v>
      </c>
    </row>
    <row r="6" spans="1:23" x14ac:dyDescent="0.25">
      <c r="A6" s="18">
        <f t="shared" ref="A6:A52" si="3">A5+7</f>
        <v>46181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U6" s="38">
        <f t="shared" si="0"/>
        <v>0</v>
      </c>
      <c r="V6" s="38">
        <f t="shared" si="1"/>
        <v>0</v>
      </c>
      <c r="W6" s="38">
        <f t="shared" si="2"/>
        <v>0</v>
      </c>
    </row>
    <row r="7" spans="1:23" x14ac:dyDescent="0.25">
      <c r="A7" s="18">
        <f t="shared" si="3"/>
        <v>46188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U7" s="38">
        <f t="shared" si="0"/>
        <v>0</v>
      </c>
      <c r="V7" s="38">
        <f t="shared" si="1"/>
        <v>0</v>
      </c>
      <c r="W7" s="38">
        <f t="shared" si="2"/>
        <v>0</v>
      </c>
    </row>
    <row r="8" spans="1:23" x14ac:dyDescent="0.25">
      <c r="A8" s="18">
        <f t="shared" si="3"/>
        <v>46195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U8" s="38">
        <f t="shared" si="0"/>
        <v>0</v>
      </c>
      <c r="V8" s="38">
        <f t="shared" si="1"/>
        <v>0</v>
      </c>
      <c r="W8" s="38">
        <f t="shared" si="2"/>
        <v>0</v>
      </c>
    </row>
    <row r="9" spans="1:23" x14ac:dyDescent="0.25">
      <c r="A9" s="18">
        <f t="shared" si="3"/>
        <v>46202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U9" s="38">
        <f t="shared" si="0"/>
        <v>0</v>
      </c>
      <c r="V9" s="38">
        <f t="shared" si="1"/>
        <v>0</v>
      </c>
      <c r="W9" s="38">
        <f t="shared" si="2"/>
        <v>0</v>
      </c>
    </row>
    <row r="10" spans="1:23" x14ac:dyDescent="0.25">
      <c r="A10" s="18">
        <f t="shared" si="3"/>
        <v>46209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U10" s="38">
        <f t="shared" si="0"/>
        <v>0</v>
      </c>
      <c r="V10" s="38">
        <f t="shared" si="1"/>
        <v>0</v>
      </c>
      <c r="W10" s="38">
        <f t="shared" si="2"/>
        <v>0</v>
      </c>
    </row>
    <row r="11" spans="1:23" x14ac:dyDescent="0.25">
      <c r="A11" s="18">
        <f t="shared" si="3"/>
        <v>46216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U11" s="38">
        <f t="shared" si="0"/>
        <v>0</v>
      </c>
      <c r="V11" s="38">
        <f t="shared" si="1"/>
        <v>0</v>
      </c>
      <c r="W11" s="38">
        <f t="shared" si="2"/>
        <v>0</v>
      </c>
    </row>
    <row r="12" spans="1:23" x14ac:dyDescent="0.25">
      <c r="A12" s="18">
        <f t="shared" si="3"/>
        <v>46223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U12" s="38">
        <f t="shared" si="0"/>
        <v>0</v>
      </c>
      <c r="V12" s="38">
        <f t="shared" si="1"/>
        <v>0</v>
      </c>
      <c r="W12" s="38">
        <f t="shared" si="2"/>
        <v>0</v>
      </c>
    </row>
    <row r="13" spans="1:23" x14ac:dyDescent="0.25">
      <c r="A13" s="18">
        <f t="shared" si="3"/>
        <v>46230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U13" s="38">
        <f t="shared" si="0"/>
        <v>0</v>
      </c>
      <c r="V13" s="38">
        <f t="shared" si="1"/>
        <v>0</v>
      </c>
      <c r="W13" s="38">
        <f t="shared" si="2"/>
        <v>0</v>
      </c>
    </row>
    <row r="14" spans="1:23" x14ac:dyDescent="0.25">
      <c r="A14" s="18">
        <f t="shared" si="3"/>
        <v>46237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U14" s="38">
        <f t="shared" si="0"/>
        <v>0</v>
      </c>
      <c r="V14" s="38">
        <f t="shared" si="1"/>
        <v>0</v>
      </c>
      <c r="W14" s="38">
        <f t="shared" si="2"/>
        <v>0</v>
      </c>
    </row>
    <row r="15" spans="1:23" x14ac:dyDescent="0.25">
      <c r="A15" s="18">
        <f t="shared" si="3"/>
        <v>46244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U15" s="38">
        <f t="shared" si="0"/>
        <v>0</v>
      </c>
      <c r="V15" s="38">
        <f t="shared" si="1"/>
        <v>0</v>
      </c>
      <c r="W15" s="38">
        <f t="shared" si="2"/>
        <v>0</v>
      </c>
    </row>
    <row r="16" spans="1:23" x14ac:dyDescent="0.25">
      <c r="A16" s="18">
        <f t="shared" si="3"/>
        <v>46251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U16" s="38">
        <f t="shared" si="0"/>
        <v>0</v>
      </c>
      <c r="V16" s="38">
        <f t="shared" si="1"/>
        <v>0</v>
      </c>
      <c r="W16" s="38">
        <f t="shared" si="2"/>
        <v>0</v>
      </c>
    </row>
    <row r="17" spans="1:23" x14ac:dyDescent="0.25">
      <c r="A17" s="18">
        <f t="shared" si="3"/>
        <v>46258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U17" s="38">
        <f t="shared" si="0"/>
        <v>0</v>
      </c>
      <c r="V17" s="38">
        <f t="shared" si="1"/>
        <v>0</v>
      </c>
      <c r="W17" s="38">
        <f t="shared" si="2"/>
        <v>0</v>
      </c>
    </row>
    <row r="18" spans="1:23" x14ac:dyDescent="0.25">
      <c r="A18" s="18">
        <f t="shared" si="3"/>
        <v>46265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U18" s="38">
        <f t="shared" si="0"/>
        <v>0</v>
      </c>
      <c r="V18" s="38">
        <f t="shared" si="1"/>
        <v>0</v>
      </c>
      <c r="W18" s="38">
        <f t="shared" si="2"/>
        <v>0</v>
      </c>
    </row>
    <row r="19" spans="1:23" x14ac:dyDescent="0.25">
      <c r="A19" s="18">
        <f t="shared" si="3"/>
        <v>46272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U19" s="38">
        <f t="shared" si="0"/>
        <v>0</v>
      </c>
      <c r="V19" s="38">
        <f t="shared" si="1"/>
        <v>0</v>
      </c>
      <c r="W19" s="38">
        <f t="shared" si="2"/>
        <v>0</v>
      </c>
    </row>
    <row r="20" spans="1:23" x14ac:dyDescent="0.25">
      <c r="A20" s="18">
        <f t="shared" si="3"/>
        <v>46279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U20" s="38">
        <f t="shared" si="0"/>
        <v>0</v>
      </c>
      <c r="V20" s="38">
        <f t="shared" si="1"/>
        <v>0</v>
      </c>
      <c r="W20" s="38">
        <f t="shared" si="2"/>
        <v>0</v>
      </c>
    </row>
    <row r="21" spans="1:23" x14ac:dyDescent="0.25">
      <c r="A21" s="18">
        <f t="shared" si="3"/>
        <v>46286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U21" s="38">
        <f t="shared" si="0"/>
        <v>0</v>
      </c>
      <c r="V21" s="38">
        <f t="shared" si="1"/>
        <v>0</v>
      </c>
      <c r="W21" s="38">
        <f t="shared" si="2"/>
        <v>0</v>
      </c>
    </row>
    <row r="22" spans="1:23" x14ac:dyDescent="0.25">
      <c r="A22" s="18">
        <f t="shared" si="3"/>
        <v>46293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U22" s="38">
        <f t="shared" si="0"/>
        <v>0</v>
      </c>
      <c r="V22" s="38">
        <f t="shared" si="1"/>
        <v>0</v>
      </c>
      <c r="W22" s="38">
        <f t="shared" si="2"/>
        <v>0</v>
      </c>
    </row>
    <row r="23" spans="1:23" x14ac:dyDescent="0.25">
      <c r="A23" s="18">
        <f t="shared" si="3"/>
        <v>46300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U23" s="38">
        <f t="shared" si="0"/>
        <v>0</v>
      </c>
      <c r="V23" s="38">
        <f t="shared" si="1"/>
        <v>0</v>
      </c>
      <c r="W23" s="38">
        <f t="shared" si="2"/>
        <v>0</v>
      </c>
    </row>
    <row r="24" spans="1:23" x14ac:dyDescent="0.25">
      <c r="A24" s="18">
        <f t="shared" si="3"/>
        <v>46307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U24" s="38">
        <f t="shared" si="0"/>
        <v>0</v>
      </c>
      <c r="V24" s="38">
        <f t="shared" si="1"/>
        <v>0</v>
      </c>
      <c r="W24" s="38">
        <f t="shared" si="2"/>
        <v>0</v>
      </c>
    </row>
    <row r="25" spans="1:23" x14ac:dyDescent="0.25">
      <c r="A25" s="18">
        <f t="shared" si="3"/>
        <v>46314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U25" s="38">
        <f t="shared" si="0"/>
        <v>0</v>
      </c>
      <c r="V25" s="38">
        <f t="shared" si="1"/>
        <v>0</v>
      </c>
      <c r="W25" s="38">
        <f t="shared" si="2"/>
        <v>0</v>
      </c>
    </row>
    <row r="26" spans="1:23" x14ac:dyDescent="0.25">
      <c r="A26" s="18">
        <f t="shared" si="3"/>
        <v>46321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U26" s="38">
        <f t="shared" si="0"/>
        <v>0</v>
      </c>
      <c r="V26" s="38">
        <f t="shared" si="1"/>
        <v>0</v>
      </c>
      <c r="W26" s="38">
        <f t="shared" si="2"/>
        <v>0</v>
      </c>
    </row>
    <row r="27" spans="1:23" x14ac:dyDescent="0.25">
      <c r="A27" s="18">
        <f t="shared" si="3"/>
        <v>46328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U27" s="38">
        <f t="shared" si="0"/>
        <v>0</v>
      </c>
      <c r="V27" s="38">
        <f t="shared" si="1"/>
        <v>0</v>
      </c>
      <c r="W27" s="38">
        <f t="shared" si="2"/>
        <v>0</v>
      </c>
    </row>
    <row r="28" spans="1:23" x14ac:dyDescent="0.25">
      <c r="A28" s="18">
        <f t="shared" si="3"/>
        <v>46335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U28" s="38">
        <f t="shared" si="0"/>
        <v>0</v>
      </c>
      <c r="V28" s="38">
        <f t="shared" si="1"/>
        <v>0</v>
      </c>
      <c r="W28" s="38">
        <f t="shared" si="2"/>
        <v>0</v>
      </c>
    </row>
    <row r="29" spans="1:23" x14ac:dyDescent="0.25">
      <c r="A29" s="18">
        <f t="shared" si="3"/>
        <v>46342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U29" s="38">
        <f t="shared" si="0"/>
        <v>0</v>
      </c>
      <c r="V29" s="38">
        <f t="shared" si="1"/>
        <v>0</v>
      </c>
      <c r="W29" s="38">
        <f t="shared" si="2"/>
        <v>0</v>
      </c>
    </row>
    <row r="30" spans="1:23" x14ac:dyDescent="0.25">
      <c r="A30" s="18">
        <f t="shared" si="3"/>
        <v>46349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U30" s="38">
        <f t="shared" si="0"/>
        <v>0</v>
      </c>
      <c r="V30" s="38">
        <f t="shared" si="1"/>
        <v>0</v>
      </c>
      <c r="W30" s="38">
        <f t="shared" si="2"/>
        <v>0</v>
      </c>
    </row>
    <row r="31" spans="1:23" x14ac:dyDescent="0.25">
      <c r="A31" s="18">
        <f t="shared" si="3"/>
        <v>46356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U31" s="38">
        <f t="shared" si="0"/>
        <v>0</v>
      </c>
      <c r="V31" s="38">
        <f t="shared" si="1"/>
        <v>0</v>
      </c>
      <c r="W31" s="38">
        <f t="shared" si="2"/>
        <v>0</v>
      </c>
    </row>
    <row r="32" spans="1:23" x14ac:dyDescent="0.25">
      <c r="A32" s="18">
        <f t="shared" si="3"/>
        <v>46363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U32" s="38">
        <f t="shared" si="0"/>
        <v>0</v>
      </c>
      <c r="V32" s="38">
        <f t="shared" si="1"/>
        <v>0</v>
      </c>
      <c r="W32" s="38">
        <f t="shared" si="2"/>
        <v>0</v>
      </c>
    </row>
    <row r="33" spans="1:23" x14ac:dyDescent="0.25">
      <c r="A33" s="18">
        <f t="shared" si="3"/>
        <v>46370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U33" s="38">
        <f t="shared" si="0"/>
        <v>0</v>
      </c>
      <c r="V33" s="38">
        <f t="shared" si="1"/>
        <v>0</v>
      </c>
      <c r="W33" s="38">
        <f t="shared" si="2"/>
        <v>0</v>
      </c>
    </row>
    <row r="34" spans="1:23" x14ac:dyDescent="0.25">
      <c r="A34" s="18">
        <f t="shared" si="3"/>
        <v>46377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U34" s="38">
        <f t="shared" si="0"/>
        <v>0</v>
      </c>
      <c r="V34" s="38">
        <f t="shared" si="1"/>
        <v>0</v>
      </c>
      <c r="W34" s="38">
        <f t="shared" si="2"/>
        <v>0</v>
      </c>
    </row>
    <row r="35" spans="1:23" x14ac:dyDescent="0.25">
      <c r="A35" s="18">
        <f t="shared" si="3"/>
        <v>46384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U35" s="38">
        <f t="shared" si="0"/>
        <v>0</v>
      </c>
      <c r="V35" s="38">
        <f t="shared" si="1"/>
        <v>0</v>
      </c>
      <c r="W35" s="38">
        <f t="shared" si="2"/>
        <v>0</v>
      </c>
    </row>
    <row r="36" spans="1:23" x14ac:dyDescent="0.25">
      <c r="A36" s="18">
        <f t="shared" si="3"/>
        <v>46391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U36" s="38">
        <f t="shared" si="0"/>
        <v>0</v>
      </c>
      <c r="V36" s="38">
        <f t="shared" si="1"/>
        <v>0</v>
      </c>
      <c r="W36" s="38">
        <f t="shared" si="2"/>
        <v>0</v>
      </c>
    </row>
    <row r="37" spans="1:23" x14ac:dyDescent="0.25">
      <c r="A37" s="18">
        <f t="shared" si="3"/>
        <v>46398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U37" s="38">
        <f t="shared" si="0"/>
        <v>0</v>
      </c>
      <c r="V37" s="38">
        <f t="shared" si="1"/>
        <v>0</v>
      </c>
      <c r="W37" s="38">
        <f t="shared" si="2"/>
        <v>0</v>
      </c>
    </row>
    <row r="38" spans="1:23" x14ac:dyDescent="0.25">
      <c r="A38" s="18">
        <f t="shared" si="3"/>
        <v>46405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U38" s="38">
        <f t="shared" si="0"/>
        <v>0</v>
      </c>
      <c r="V38" s="38">
        <f t="shared" si="1"/>
        <v>0</v>
      </c>
      <c r="W38" s="38">
        <f t="shared" si="2"/>
        <v>0</v>
      </c>
    </row>
    <row r="39" spans="1:23" x14ac:dyDescent="0.25">
      <c r="A39" s="18">
        <f t="shared" si="3"/>
        <v>46412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U39" s="38">
        <f t="shared" si="0"/>
        <v>0</v>
      </c>
      <c r="V39" s="38">
        <f t="shared" si="1"/>
        <v>0</v>
      </c>
      <c r="W39" s="38">
        <f t="shared" si="2"/>
        <v>0</v>
      </c>
    </row>
    <row r="40" spans="1:23" x14ac:dyDescent="0.25">
      <c r="A40" s="18">
        <f t="shared" si="3"/>
        <v>46419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U40" s="38">
        <f t="shared" si="0"/>
        <v>0</v>
      </c>
      <c r="V40" s="38">
        <f t="shared" si="1"/>
        <v>0</v>
      </c>
      <c r="W40" s="38">
        <f t="shared" si="2"/>
        <v>0</v>
      </c>
    </row>
    <row r="41" spans="1:23" x14ac:dyDescent="0.25">
      <c r="A41" s="18">
        <f t="shared" si="3"/>
        <v>46426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U41" s="38">
        <f t="shared" si="0"/>
        <v>0</v>
      </c>
      <c r="V41" s="38">
        <f t="shared" si="1"/>
        <v>0</v>
      </c>
      <c r="W41" s="38">
        <f t="shared" si="2"/>
        <v>0</v>
      </c>
    </row>
    <row r="42" spans="1:23" x14ac:dyDescent="0.25">
      <c r="A42" s="18">
        <f t="shared" si="3"/>
        <v>46433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U42" s="38">
        <f t="shared" si="0"/>
        <v>0</v>
      </c>
      <c r="V42" s="38">
        <f t="shared" si="1"/>
        <v>0</v>
      </c>
      <c r="W42" s="38">
        <f t="shared" si="2"/>
        <v>0</v>
      </c>
    </row>
    <row r="43" spans="1:23" x14ac:dyDescent="0.25">
      <c r="A43" s="18">
        <f t="shared" si="3"/>
        <v>46440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U43" s="38">
        <f t="shared" si="0"/>
        <v>0</v>
      </c>
      <c r="V43" s="38">
        <f t="shared" si="1"/>
        <v>0</v>
      </c>
      <c r="W43" s="38">
        <f t="shared" si="2"/>
        <v>0</v>
      </c>
    </row>
    <row r="44" spans="1:23" x14ac:dyDescent="0.25">
      <c r="A44" s="18">
        <f t="shared" si="3"/>
        <v>46447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U44" s="38">
        <f t="shared" si="0"/>
        <v>0</v>
      </c>
      <c r="V44" s="38">
        <f t="shared" si="1"/>
        <v>0</v>
      </c>
      <c r="W44" s="38">
        <f t="shared" si="2"/>
        <v>0</v>
      </c>
    </row>
    <row r="45" spans="1:23" x14ac:dyDescent="0.25">
      <c r="A45" s="18">
        <f t="shared" si="3"/>
        <v>46454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U45" s="38">
        <f t="shared" si="0"/>
        <v>0</v>
      </c>
      <c r="V45" s="38">
        <f t="shared" si="1"/>
        <v>0</v>
      </c>
      <c r="W45" s="38">
        <f t="shared" si="2"/>
        <v>0</v>
      </c>
    </row>
    <row r="46" spans="1:23" x14ac:dyDescent="0.25">
      <c r="A46" s="18">
        <f t="shared" si="3"/>
        <v>46461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U46" s="38">
        <f t="shared" si="0"/>
        <v>0</v>
      </c>
      <c r="V46" s="38">
        <f t="shared" si="1"/>
        <v>0</v>
      </c>
      <c r="W46" s="38">
        <f t="shared" si="2"/>
        <v>0</v>
      </c>
    </row>
    <row r="47" spans="1:23" x14ac:dyDescent="0.25">
      <c r="A47" s="18">
        <f t="shared" si="3"/>
        <v>46468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U47" s="38">
        <f t="shared" si="0"/>
        <v>0</v>
      </c>
      <c r="V47" s="38">
        <f t="shared" si="1"/>
        <v>0</v>
      </c>
      <c r="W47" s="38">
        <f t="shared" si="2"/>
        <v>0</v>
      </c>
    </row>
    <row r="48" spans="1:23" x14ac:dyDescent="0.25">
      <c r="A48" s="18">
        <f t="shared" si="3"/>
        <v>46475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U48" s="38">
        <f t="shared" si="0"/>
        <v>0</v>
      </c>
      <c r="V48" s="38">
        <f t="shared" si="1"/>
        <v>0</v>
      </c>
      <c r="W48" s="38">
        <f t="shared" si="2"/>
        <v>0</v>
      </c>
    </row>
    <row r="49" spans="1:23" x14ac:dyDescent="0.25">
      <c r="A49" s="18">
        <f t="shared" si="3"/>
        <v>46482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U49" s="38">
        <f t="shared" si="0"/>
        <v>0</v>
      </c>
      <c r="V49" s="38">
        <f t="shared" si="1"/>
        <v>0</v>
      </c>
      <c r="W49" s="38">
        <f t="shared" si="2"/>
        <v>0</v>
      </c>
    </row>
    <row r="50" spans="1:23" x14ac:dyDescent="0.25">
      <c r="A50" s="18">
        <f t="shared" si="3"/>
        <v>46489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U50" s="38">
        <f t="shared" si="0"/>
        <v>0</v>
      </c>
      <c r="V50" s="38">
        <f t="shared" si="1"/>
        <v>0</v>
      </c>
      <c r="W50" s="38">
        <f t="shared" si="2"/>
        <v>0</v>
      </c>
    </row>
    <row r="51" spans="1:23" x14ac:dyDescent="0.25">
      <c r="A51" s="18">
        <f t="shared" si="3"/>
        <v>46496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U51" s="38">
        <f t="shared" si="0"/>
        <v>0</v>
      </c>
      <c r="V51" s="38">
        <f t="shared" si="1"/>
        <v>0</v>
      </c>
      <c r="W51" s="38">
        <f t="shared" si="2"/>
        <v>0</v>
      </c>
    </row>
    <row r="52" spans="1:23" x14ac:dyDescent="0.25">
      <c r="A52" s="18">
        <f t="shared" si="3"/>
        <v>46503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U52" s="38">
        <f t="shared" si="0"/>
        <v>0</v>
      </c>
      <c r="V52" s="38">
        <f t="shared" si="1"/>
        <v>0</v>
      </c>
      <c r="W52" s="38">
        <f t="shared" si="2"/>
        <v>0</v>
      </c>
    </row>
  </sheetData>
  <mergeCells count="10">
    <mergeCell ref="B3:D3"/>
    <mergeCell ref="U1:W1"/>
    <mergeCell ref="B2:S2"/>
    <mergeCell ref="A1:S1"/>
    <mergeCell ref="A2:A3"/>
    <mergeCell ref="E3:G3"/>
    <mergeCell ref="K3:M3"/>
    <mergeCell ref="H3:J3"/>
    <mergeCell ref="N3:P3"/>
    <mergeCell ref="Q3:S3"/>
  </mergeCells>
  <conditionalFormatting sqref="A5:A52">
    <cfRule type="expression" dxfId="66" priority="1">
      <formula>AND($A5&lt;=TODAY(),$A5+6&gt;=TODAY())</formula>
    </cfRule>
  </conditionalFormatting>
  <dataValidations count="1">
    <dataValidation type="decimal" operator="greaterThanOrEqual" sqref="B5:S52" xr:uid="{00000000-0002-0000-0D00-000000000000}">
      <formula1>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48235"/>
  </sheetPr>
  <dimension ref="A1:W52"/>
  <sheetViews>
    <sheetView workbookViewId="0">
      <pane xSplit="1" ySplit="4" topLeftCell="B5" activePane="bottomRight" state="frozen"/>
      <selection pane="topRight"/>
      <selection pane="bottomLeft"/>
      <selection pane="bottomRight" sqref="A1:S1"/>
    </sheetView>
  </sheetViews>
  <sheetFormatPr defaultRowHeight="15" x14ac:dyDescent="0.25"/>
  <cols>
    <col min="1" max="1" width="12" style="66" customWidth="1"/>
    <col min="2" max="23" width="10" style="66" customWidth="1"/>
  </cols>
  <sheetData>
    <row r="1" spans="1:23" x14ac:dyDescent="0.25">
      <c r="A1" s="73" t="s">
        <v>112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U1" s="80" t="s">
        <v>87</v>
      </c>
      <c r="V1" s="74"/>
      <c r="W1" s="74"/>
    </row>
    <row r="2" spans="1:23" x14ac:dyDescent="0.25">
      <c r="A2" s="81" t="s">
        <v>73</v>
      </c>
      <c r="B2" s="77" t="s">
        <v>54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9"/>
    </row>
    <row r="3" spans="1:23" x14ac:dyDescent="0.25">
      <c r="A3" s="82"/>
      <c r="B3" s="77" t="s">
        <v>88</v>
      </c>
      <c r="C3" s="78"/>
      <c r="D3" s="79"/>
      <c r="E3" s="77" t="s">
        <v>89</v>
      </c>
      <c r="F3" s="78"/>
      <c r="G3" s="79"/>
      <c r="H3" s="77" t="s">
        <v>90</v>
      </c>
      <c r="I3" s="78"/>
      <c r="J3" s="79"/>
      <c r="K3" s="77" t="s">
        <v>91</v>
      </c>
      <c r="L3" s="78"/>
      <c r="M3" s="79"/>
      <c r="N3" s="77" t="s">
        <v>92</v>
      </c>
      <c r="O3" s="78"/>
      <c r="P3" s="79"/>
      <c r="Q3" s="77" t="s">
        <v>93</v>
      </c>
      <c r="R3" s="78"/>
      <c r="S3" s="79"/>
      <c r="U3" s="35" t="s">
        <v>76</v>
      </c>
      <c r="V3" s="35" t="s">
        <v>77</v>
      </c>
      <c r="W3" s="35" t="s">
        <v>78</v>
      </c>
    </row>
    <row r="4" spans="1:23" x14ac:dyDescent="0.25">
      <c r="B4" s="67" t="s">
        <v>76</v>
      </c>
      <c r="C4" s="67" t="s">
        <v>77</v>
      </c>
      <c r="D4" s="67" t="s">
        <v>78</v>
      </c>
      <c r="E4" s="67" t="s">
        <v>76</v>
      </c>
      <c r="F4" s="67" t="s">
        <v>77</v>
      </c>
      <c r="G4" s="67" t="s">
        <v>78</v>
      </c>
      <c r="H4" s="67" t="s">
        <v>76</v>
      </c>
      <c r="I4" s="67" t="s">
        <v>77</v>
      </c>
      <c r="J4" s="67" t="s">
        <v>78</v>
      </c>
      <c r="K4" s="67" t="s">
        <v>76</v>
      </c>
      <c r="L4" s="67" t="s">
        <v>77</v>
      </c>
      <c r="M4" s="67" t="s">
        <v>78</v>
      </c>
      <c r="N4" s="67" t="s">
        <v>76</v>
      </c>
      <c r="O4" s="67" t="s">
        <v>77</v>
      </c>
      <c r="P4" s="67" t="s">
        <v>78</v>
      </c>
      <c r="Q4" s="67" t="s">
        <v>76</v>
      </c>
      <c r="R4" s="67" t="s">
        <v>77</v>
      </c>
      <c r="S4" s="67" t="s">
        <v>78</v>
      </c>
      <c r="U4" s="36"/>
      <c r="V4" s="36"/>
      <c r="W4" s="36"/>
    </row>
    <row r="5" spans="1:23" x14ac:dyDescent="0.25">
      <c r="A5" s="18">
        <f>СПРАВОЧНИК!$B$35</f>
        <v>46174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U5" s="38">
        <f t="shared" ref="U5:U52" si="0">B5+E5+H5+K5+N5+Q5</f>
        <v>0</v>
      </c>
      <c r="V5" s="38">
        <f t="shared" ref="V5:V52" si="1">C5+F5+I5+L5+O5+R5</f>
        <v>0</v>
      </c>
      <c r="W5" s="38">
        <f t="shared" ref="W5:W52" si="2">D5+G5+J5+M5+P5+S5</f>
        <v>0</v>
      </c>
    </row>
    <row r="6" spans="1:23" x14ac:dyDescent="0.25">
      <c r="A6" s="18">
        <f t="shared" ref="A6:A52" si="3">A5+7</f>
        <v>46181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U6" s="38">
        <f t="shared" si="0"/>
        <v>0</v>
      </c>
      <c r="V6" s="38">
        <f t="shared" si="1"/>
        <v>0</v>
      </c>
      <c r="W6" s="38">
        <f t="shared" si="2"/>
        <v>0</v>
      </c>
    </row>
    <row r="7" spans="1:23" x14ac:dyDescent="0.25">
      <c r="A7" s="18">
        <f t="shared" si="3"/>
        <v>46188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U7" s="38">
        <f t="shared" si="0"/>
        <v>0</v>
      </c>
      <c r="V7" s="38">
        <f t="shared" si="1"/>
        <v>0</v>
      </c>
      <c r="W7" s="38">
        <f t="shared" si="2"/>
        <v>0</v>
      </c>
    </row>
    <row r="8" spans="1:23" x14ac:dyDescent="0.25">
      <c r="A8" s="18">
        <f t="shared" si="3"/>
        <v>46195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U8" s="38">
        <f t="shared" si="0"/>
        <v>0</v>
      </c>
      <c r="V8" s="38">
        <f t="shared" si="1"/>
        <v>0</v>
      </c>
      <c r="W8" s="38">
        <f t="shared" si="2"/>
        <v>0</v>
      </c>
    </row>
    <row r="9" spans="1:23" x14ac:dyDescent="0.25">
      <c r="A9" s="18">
        <f t="shared" si="3"/>
        <v>46202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U9" s="38">
        <f t="shared" si="0"/>
        <v>0</v>
      </c>
      <c r="V9" s="38">
        <f t="shared" si="1"/>
        <v>0</v>
      </c>
      <c r="W9" s="38">
        <f t="shared" si="2"/>
        <v>0</v>
      </c>
    </row>
    <row r="10" spans="1:23" x14ac:dyDescent="0.25">
      <c r="A10" s="18">
        <f t="shared" si="3"/>
        <v>46209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U10" s="38">
        <f t="shared" si="0"/>
        <v>0</v>
      </c>
      <c r="V10" s="38">
        <f t="shared" si="1"/>
        <v>0</v>
      </c>
      <c r="W10" s="38">
        <f t="shared" si="2"/>
        <v>0</v>
      </c>
    </row>
    <row r="11" spans="1:23" x14ac:dyDescent="0.25">
      <c r="A11" s="18">
        <f t="shared" si="3"/>
        <v>46216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U11" s="38">
        <f t="shared" si="0"/>
        <v>0</v>
      </c>
      <c r="V11" s="38">
        <f t="shared" si="1"/>
        <v>0</v>
      </c>
      <c r="W11" s="38">
        <f t="shared" si="2"/>
        <v>0</v>
      </c>
    </row>
    <row r="12" spans="1:23" x14ac:dyDescent="0.25">
      <c r="A12" s="18">
        <f t="shared" si="3"/>
        <v>46223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U12" s="38">
        <f t="shared" si="0"/>
        <v>0</v>
      </c>
      <c r="V12" s="38">
        <f t="shared" si="1"/>
        <v>0</v>
      </c>
      <c r="W12" s="38">
        <f t="shared" si="2"/>
        <v>0</v>
      </c>
    </row>
    <row r="13" spans="1:23" x14ac:dyDescent="0.25">
      <c r="A13" s="18">
        <f t="shared" si="3"/>
        <v>46230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U13" s="38">
        <f t="shared" si="0"/>
        <v>0</v>
      </c>
      <c r="V13" s="38">
        <f t="shared" si="1"/>
        <v>0</v>
      </c>
      <c r="W13" s="38">
        <f t="shared" si="2"/>
        <v>0</v>
      </c>
    </row>
    <row r="14" spans="1:23" x14ac:dyDescent="0.25">
      <c r="A14" s="18">
        <f t="shared" si="3"/>
        <v>46237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U14" s="38">
        <f t="shared" si="0"/>
        <v>0</v>
      </c>
      <c r="V14" s="38">
        <f t="shared" si="1"/>
        <v>0</v>
      </c>
      <c r="W14" s="38">
        <f t="shared" si="2"/>
        <v>0</v>
      </c>
    </row>
    <row r="15" spans="1:23" x14ac:dyDescent="0.25">
      <c r="A15" s="18">
        <f t="shared" si="3"/>
        <v>46244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U15" s="38">
        <f t="shared" si="0"/>
        <v>0</v>
      </c>
      <c r="V15" s="38">
        <f t="shared" si="1"/>
        <v>0</v>
      </c>
      <c r="W15" s="38">
        <f t="shared" si="2"/>
        <v>0</v>
      </c>
    </row>
    <row r="16" spans="1:23" x14ac:dyDescent="0.25">
      <c r="A16" s="18">
        <f t="shared" si="3"/>
        <v>46251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U16" s="38">
        <f t="shared" si="0"/>
        <v>0</v>
      </c>
      <c r="V16" s="38">
        <f t="shared" si="1"/>
        <v>0</v>
      </c>
      <c r="W16" s="38">
        <f t="shared" si="2"/>
        <v>0</v>
      </c>
    </row>
    <row r="17" spans="1:23" x14ac:dyDescent="0.25">
      <c r="A17" s="18">
        <f t="shared" si="3"/>
        <v>46258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U17" s="38">
        <f t="shared" si="0"/>
        <v>0</v>
      </c>
      <c r="V17" s="38">
        <f t="shared" si="1"/>
        <v>0</v>
      </c>
      <c r="W17" s="38">
        <f t="shared" si="2"/>
        <v>0</v>
      </c>
    </row>
    <row r="18" spans="1:23" x14ac:dyDescent="0.25">
      <c r="A18" s="18">
        <f t="shared" si="3"/>
        <v>46265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U18" s="38">
        <f t="shared" si="0"/>
        <v>0</v>
      </c>
      <c r="V18" s="38">
        <f t="shared" si="1"/>
        <v>0</v>
      </c>
      <c r="W18" s="38">
        <f t="shared" si="2"/>
        <v>0</v>
      </c>
    </row>
    <row r="19" spans="1:23" x14ac:dyDescent="0.25">
      <c r="A19" s="18">
        <f t="shared" si="3"/>
        <v>46272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U19" s="38">
        <f t="shared" si="0"/>
        <v>0</v>
      </c>
      <c r="V19" s="38">
        <f t="shared" si="1"/>
        <v>0</v>
      </c>
      <c r="W19" s="38">
        <f t="shared" si="2"/>
        <v>0</v>
      </c>
    </row>
    <row r="20" spans="1:23" x14ac:dyDescent="0.25">
      <c r="A20" s="18">
        <f t="shared" si="3"/>
        <v>46279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U20" s="38">
        <f t="shared" si="0"/>
        <v>0</v>
      </c>
      <c r="V20" s="38">
        <f t="shared" si="1"/>
        <v>0</v>
      </c>
      <c r="W20" s="38">
        <f t="shared" si="2"/>
        <v>0</v>
      </c>
    </row>
    <row r="21" spans="1:23" x14ac:dyDescent="0.25">
      <c r="A21" s="18">
        <f t="shared" si="3"/>
        <v>46286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U21" s="38">
        <f t="shared" si="0"/>
        <v>0</v>
      </c>
      <c r="V21" s="38">
        <f t="shared" si="1"/>
        <v>0</v>
      </c>
      <c r="W21" s="38">
        <f t="shared" si="2"/>
        <v>0</v>
      </c>
    </row>
    <row r="22" spans="1:23" x14ac:dyDescent="0.25">
      <c r="A22" s="18">
        <f t="shared" si="3"/>
        <v>46293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U22" s="38">
        <f t="shared" si="0"/>
        <v>0</v>
      </c>
      <c r="V22" s="38">
        <f t="shared" si="1"/>
        <v>0</v>
      </c>
      <c r="W22" s="38">
        <f t="shared" si="2"/>
        <v>0</v>
      </c>
    </row>
    <row r="23" spans="1:23" x14ac:dyDescent="0.25">
      <c r="A23" s="18">
        <f t="shared" si="3"/>
        <v>46300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U23" s="38">
        <f t="shared" si="0"/>
        <v>0</v>
      </c>
      <c r="V23" s="38">
        <f t="shared" si="1"/>
        <v>0</v>
      </c>
      <c r="W23" s="38">
        <f t="shared" si="2"/>
        <v>0</v>
      </c>
    </row>
    <row r="24" spans="1:23" x14ac:dyDescent="0.25">
      <c r="A24" s="18">
        <f t="shared" si="3"/>
        <v>46307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U24" s="38">
        <f t="shared" si="0"/>
        <v>0</v>
      </c>
      <c r="V24" s="38">
        <f t="shared" si="1"/>
        <v>0</v>
      </c>
      <c r="W24" s="38">
        <f t="shared" si="2"/>
        <v>0</v>
      </c>
    </row>
    <row r="25" spans="1:23" x14ac:dyDescent="0.25">
      <c r="A25" s="18">
        <f t="shared" si="3"/>
        <v>46314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U25" s="38">
        <f t="shared" si="0"/>
        <v>0</v>
      </c>
      <c r="V25" s="38">
        <f t="shared" si="1"/>
        <v>0</v>
      </c>
      <c r="W25" s="38">
        <f t="shared" si="2"/>
        <v>0</v>
      </c>
    </row>
    <row r="26" spans="1:23" x14ac:dyDescent="0.25">
      <c r="A26" s="18">
        <f t="shared" si="3"/>
        <v>46321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U26" s="38">
        <f t="shared" si="0"/>
        <v>0</v>
      </c>
      <c r="V26" s="38">
        <f t="shared" si="1"/>
        <v>0</v>
      </c>
      <c r="W26" s="38">
        <f t="shared" si="2"/>
        <v>0</v>
      </c>
    </row>
    <row r="27" spans="1:23" x14ac:dyDescent="0.25">
      <c r="A27" s="18">
        <f t="shared" si="3"/>
        <v>46328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U27" s="38">
        <f t="shared" si="0"/>
        <v>0</v>
      </c>
      <c r="V27" s="38">
        <f t="shared" si="1"/>
        <v>0</v>
      </c>
      <c r="W27" s="38">
        <f t="shared" si="2"/>
        <v>0</v>
      </c>
    </row>
    <row r="28" spans="1:23" x14ac:dyDescent="0.25">
      <c r="A28" s="18">
        <f t="shared" si="3"/>
        <v>46335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U28" s="38">
        <f t="shared" si="0"/>
        <v>0</v>
      </c>
      <c r="V28" s="38">
        <f t="shared" si="1"/>
        <v>0</v>
      </c>
      <c r="W28" s="38">
        <f t="shared" si="2"/>
        <v>0</v>
      </c>
    </row>
    <row r="29" spans="1:23" x14ac:dyDescent="0.25">
      <c r="A29" s="18">
        <f t="shared" si="3"/>
        <v>46342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U29" s="38">
        <f t="shared" si="0"/>
        <v>0</v>
      </c>
      <c r="V29" s="38">
        <f t="shared" si="1"/>
        <v>0</v>
      </c>
      <c r="W29" s="38">
        <f t="shared" si="2"/>
        <v>0</v>
      </c>
    </row>
    <row r="30" spans="1:23" x14ac:dyDescent="0.25">
      <c r="A30" s="18">
        <f t="shared" si="3"/>
        <v>46349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U30" s="38">
        <f t="shared" si="0"/>
        <v>0</v>
      </c>
      <c r="V30" s="38">
        <f t="shared" si="1"/>
        <v>0</v>
      </c>
      <c r="W30" s="38">
        <f t="shared" si="2"/>
        <v>0</v>
      </c>
    </row>
    <row r="31" spans="1:23" x14ac:dyDescent="0.25">
      <c r="A31" s="18">
        <f t="shared" si="3"/>
        <v>46356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U31" s="38">
        <f t="shared" si="0"/>
        <v>0</v>
      </c>
      <c r="V31" s="38">
        <f t="shared" si="1"/>
        <v>0</v>
      </c>
      <c r="W31" s="38">
        <f t="shared" si="2"/>
        <v>0</v>
      </c>
    </row>
    <row r="32" spans="1:23" x14ac:dyDescent="0.25">
      <c r="A32" s="18">
        <f t="shared" si="3"/>
        <v>46363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U32" s="38">
        <f t="shared" si="0"/>
        <v>0</v>
      </c>
      <c r="V32" s="38">
        <f t="shared" si="1"/>
        <v>0</v>
      </c>
      <c r="W32" s="38">
        <f t="shared" si="2"/>
        <v>0</v>
      </c>
    </row>
    <row r="33" spans="1:23" x14ac:dyDescent="0.25">
      <c r="A33" s="18">
        <f t="shared" si="3"/>
        <v>46370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U33" s="38">
        <f t="shared" si="0"/>
        <v>0</v>
      </c>
      <c r="V33" s="38">
        <f t="shared" si="1"/>
        <v>0</v>
      </c>
      <c r="W33" s="38">
        <f t="shared" si="2"/>
        <v>0</v>
      </c>
    </row>
    <row r="34" spans="1:23" x14ac:dyDescent="0.25">
      <c r="A34" s="18">
        <f t="shared" si="3"/>
        <v>46377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U34" s="38">
        <f t="shared" si="0"/>
        <v>0</v>
      </c>
      <c r="V34" s="38">
        <f t="shared" si="1"/>
        <v>0</v>
      </c>
      <c r="W34" s="38">
        <f t="shared" si="2"/>
        <v>0</v>
      </c>
    </row>
    <row r="35" spans="1:23" x14ac:dyDescent="0.25">
      <c r="A35" s="18">
        <f t="shared" si="3"/>
        <v>46384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U35" s="38">
        <f t="shared" si="0"/>
        <v>0</v>
      </c>
      <c r="V35" s="38">
        <f t="shared" si="1"/>
        <v>0</v>
      </c>
      <c r="W35" s="38">
        <f t="shared" si="2"/>
        <v>0</v>
      </c>
    </row>
    <row r="36" spans="1:23" x14ac:dyDescent="0.25">
      <c r="A36" s="18">
        <f t="shared" si="3"/>
        <v>46391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U36" s="38">
        <f t="shared" si="0"/>
        <v>0</v>
      </c>
      <c r="V36" s="38">
        <f t="shared" si="1"/>
        <v>0</v>
      </c>
      <c r="W36" s="38">
        <f t="shared" si="2"/>
        <v>0</v>
      </c>
    </row>
    <row r="37" spans="1:23" x14ac:dyDescent="0.25">
      <c r="A37" s="18">
        <f t="shared" si="3"/>
        <v>46398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U37" s="38">
        <f t="shared" si="0"/>
        <v>0</v>
      </c>
      <c r="V37" s="38">
        <f t="shared" si="1"/>
        <v>0</v>
      </c>
      <c r="W37" s="38">
        <f t="shared" si="2"/>
        <v>0</v>
      </c>
    </row>
    <row r="38" spans="1:23" x14ac:dyDescent="0.25">
      <c r="A38" s="18">
        <f t="shared" si="3"/>
        <v>46405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U38" s="38">
        <f t="shared" si="0"/>
        <v>0</v>
      </c>
      <c r="V38" s="38">
        <f t="shared" si="1"/>
        <v>0</v>
      </c>
      <c r="W38" s="38">
        <f t="shared" si="2"/>
        <v>0</v>
      </c>
    </row>
    <row r="39" spans="1:23" x14ac:dyDescent="0.25">
      <c r="A39" s="18">
        <f t="shared" si="3"/>
        <v>46412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U39" s="38">
        <f t="shared" si="0"/>
        <v>0</v>
      </c>
      <c r="V39" s="38">
        <f t="shared" si="1"/>
        <v>0</v>
      </c>
      <c r="W39" s="38">
        <f t="shared" si="2"/>
        <v>0</v>
      </c>
    </row>
    <row r="40" spans="1:23" x14ac:dyDescent="0.25">
      <c r="A40" s="18">
        <f t="shared" si="3"/>
        <v>46419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U40" s="38">
        <f t="shared" si="0"/>
        <v>0</v>
      </c>
      <c r="V40" s="38">
        <f t="shared" si="1"/>
        <v>0</v>
      </c>
      <c r="W40" s="38">
        <f t="shared" si="2"/>
        <v>0</v>
      </c>
    </row>
    <row r="41" spans="1:23" x14ac:dyDescent="0.25">
      <c r="A41" s="18">
        <f t="shared" si="3"/>
        <v>46426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U41" s="38">
        <f t="shared" si="0"/>
        <v>0</v>
      </c>
      <c r="V41" s="38">
        <f t="shared" si="1"/>
        <v>0</v>
      </c>
      <c r="W41" s="38">
        <f t="shared" si="2"/>
        <v>0</v>
      </c>
    </row>
    <row r="42" spans="1:23" x14ac:dyDescent="0.25">
      <c r="A42" s="18">
        <f t="shared" si="3"/>
        <v>46433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U42" s="38">
        <f t="shared" si="0"/>
        <v>0</v>
      </c>
      <c r="V42" s="38">
        <f t="shared" si="1"/>
        <v>0</v>
      </c>
      <c r="W42" s="38">
        <f t="shared" si="2"/>
        <v>0</v>
      </c>
    </row>
    <row r="43" spans="1:23" x14ac:dyDescent="0.25">
      <c r="A43" s="18">
        <f t="shared" si="3"/>
        <v>46440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U43" s="38">
        <f t="shared" si="0"/>
        <v>0</v>
      </c>
      <c r="V43" s="38">
        <f t="shared" si="1"/>
        <v>0</v>
      </c>
      <c r="W43" s="38">
        <f t="shared" si="2"/>
        <v>0</v>
      </c>
    </row>
    <row r="44" spans="1:23" x14ac:dyDescent="0.25">
      <c r="A44" s="18">
        <f t="shared" si="3"/>
        <v>46447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U44" s="38">
        <f t="shared" si="0"/>
        <v>0</v>
      </c>
      <c r="V44" s="38">
        <f t="shared" si="1"/>
        <v>0</v>
      </c>
      <c r="W44" s="38">
        <f t="shared" si="2"/>
        <v>0</v>
      </c>
    </row>
    <row r="45" spans="1:23" x14ac:dyDescent="0.25">
      <c r="A45" s="18">
        <f t="shared" si="3"/>
        <v>46454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U45" s="38">
        <f t="shared" si="0"/>
        <v>0</v>
      </c>
      <c r="V45" s="38">
        <f t="shared" si="1"/>
        <v>0</v>
      </c>
      <c r="W45" s="38">
        <f t="shared" si="2"/>
        <v>0</v>
      </c>
    </row>
    <row r="46" spans="1:23" x14ac:dyDescent="0.25">
      <c r="A46" s="18">
        <f t="shared" si="3"/>
        <v>46461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U46" s="38">
        <f t="shared" si="0"/>
        <v>0</v>
      </c>
      <c r="V46" s="38">
        <f t="shared" si="1"/>
        <v>0</v>
      </c>
      <c r="W46" s="38">
        <f t="shared" si="2"/>
        <v>0</v>
      </c>
    </row>
    <row r="47" spans="1:23" x14ac:dyDescent="0.25">
      <c r="A47" s="18">
        <f t="shared" si="3"/>
        <v>46468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U47" s="38">
        <f t="shared" si="0"/>
        <v>0</v>
      </c>
      <c r="V47" s="38">
        <f t="shared" si="1"/>
        <v>0</v>
      </c>
      <c r="W47" s="38">
        <f t="shared" si="2"/>
        <v>0</v>
      </c>
    </row>
    <row r="48" spans="1:23" x14ac:dyDescent="0.25">
      <c r="A48" s="18">
        <f t="shared" si="3"/>
        <v>46475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U48" s="38">
        <f t="shared" si="0"/>
        <v>0</v>
      </c>
      <c r="V48" s="38">
        <f t="shared" si="1"/>
        <v>0</v>
      </c>
      <c r="W48" s="38">
        <f t="shared" si="2"/>
        <v>0</v>
      </c>
    </row>
    <row r="49" spans="1:23" x14ac:dyDescent="0.25">
      <c r="A49" s="18">
        <f t="shared" si="3"/>
        <v>46482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U49" s="38">
        <f t="shared" si="0"/>
        <v>0</v>
      </c>
      <c r="V49" s="38">
        <f t="shared" si="1"/>
        <v>0</v>
      </c>
      <c r="W49" s="38">
        <f t="shared" si="2"/>
        <v>0</v>
      </c>
    </row>
    <row r="50" spans="1:23" x14ac:dyDescent="0.25">
      <c r="A50" s="18">
        <f t="shared" si="3"/>
        <v>46489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U50" s="38">
        <f t="shared" si="0"/>
        <v>0</v>
      </c>
      <c r="V50" s="38">
        <f t="shared" si="1"/>
        <v>0</v>
      </c>
      <c r="W50" s="38">
        <f t="shared" si="2"/>
        <v>0</v>
      </c>
    </row>
    <row r="51" spans="1:23" x14ac:dyDescent="0.25">
      <c r="A51" s="18">
        <f t="shared" si="3"/>
        <v>46496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U51" s="38">
        <f t="shared" si="0"/>
        <v>0</v>
      </c>
      <c r="V51" s="38">
        <f t="shared" si="1"/>
        <v>0</v>
      </c>
      <c r="W51" s="38">
        <f t="shared" si="2"/>
        <v>0</v>
      </c>
    </row>
    <row r="52" spans="1:23" x14ac:dyDescent="0.25">
      <c r="A52" s="18">
        <f t="shared" si="3"/>
        <v>46503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U52" s="38">
        <f t="shared" si="0"/>
        <v>0</v>
      </c>
      <c r="V52" s="38">
        <f t="shared" si="1"/>
        <v>0</v>
      </c>
      <c r="W52" s="38">
        <f t="shared" si="2"/>
        <v>0</v>
      </c>
    </row>
  </sheetData>
  <mergeCells count="10">
    <mergeCell ref="B3:D3"/>
    <mergeCell ref="U1:W1"/>
    <mergeCell ref="B2:S2"/>
    <mergeCell ref="A1:S1"/>
    <mergeCell ref="A2:A3"/>
    <mergeCell ref="E3:G3"/>
    <mergeCell ref="K3:M3"/>
    <mergeCell ref="H3:J3"/>
    <mergeCell ref="N3:P3"/>
    <mergeCell ref="Q3:S3"/>
  </mergeCells>
  <conditionalFormatting sqref="A5:A52">
    <cfRule type="expression" dxfId="65" priority="1">
      <formula>AND($A5&lt;=TODAY(),$A5+6&gt;=TODAY())</formula>
    </cfRule>
  </conditionalFormatting>
  <dataValidations count="1">
    <dataValidation type="decimal" operator="greaterThanOrEqual" sqref="B5:S52" xr:uid="{00000000-0002-0000-0E00-000000000000}">
      <formula1>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BF8F00"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H13" sqref="H13"/>
    </sheetView>
  </sheetViews>
  <sheetFormatPr defaultRowHeight="15" x14ac:dyDescent="0.25"/>
  <cols>
    <col min="1" max="1" width="12" style="66" customWidth="1"/>
    <col min="2" max="26" width="10" style="66" customWidth="1"/>
  </cols>
  <sheetData>
    <row r="1" spans="1:26" x14ac:dyDescent="0.25">
      <c r="A1" s="73" t="s">
        <v>113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X1" s="80" t="s">
        <v>96</v>
      </c>
      <c r="Y1" s="74"/>
      <c r="Z1" s="74"/>
    </row>
    <row r="2" spans="1:26" x14ac:dyDescent="0.25">
      <c r="A2" s="81" t="s">
        <v>73</v>
      </c>
      <c r="B2" s="83" t="s">
        <v>56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</row>
    <row r="3" spans="1:26" x14ac:dyDescent="0.25">
      <c r="A3" s="82"/>
      <c r="B3" s="83" t="s">
        <v>97</v>
      </c>
      <c r="C3" s="78"/>
      <c r="D3" s="79"/>
      <c r="E3" s="83" t="s">
        <v>98</v>
      </c>
      <c r="F3" s="78"/>
      <c r="G3" s="79"/>
      <c r="H3" s="83" t="s">
        <v>99</v>
      </c>
      <c r="I3" s="78"/>
      <c r="J3" s="79"/>
      <c r="K3" s="83" t="s">
        <v>100</v>
      </c>
      <c r="L3" s="78"/>
      <c r="M3" s="79"/>
      <c r="N3" s="83" t="s">
        <v>101</v>
      </c>
      <c r="O3" s="78"/>
      <c r="P3" s="79"/>
      <c r="Q3" s="83" t="s">
        <v>102</v>
      </c>
      <c r="R3" s="78"/>
      <c r="S3" s="79"/>
      <c r="T3" s="83" t="s">
        <v>103</v>
      </c>
      <c r="U3" s="78"/>
      <c r="V3" s="79"/>
      <c r="X3" s="35" t="s">
        <v>76</v>
      </c>
      <c r="Y3" s="35" t="s">
        <v>77</v>
      </c>
      <c r="Z3" s="35" t="s">
        <v>78</v>
      </c>
    </row>
    <row r="4" spans="1:26" x14ac:dyDescent="0.25">
      <c r="B4" s="70" t="s">
        <v>76</v>
      </c>
      <c r="C4" s="70" t="s">
        <v>77</v>
      </c>
      <c r="D4" s="70" t="s">
        <v>78</v>
      </c>
      <c r="E4" s="70" t="s">
        <v>76</v>
      </c>
      <c r="F4" s="70" t="s">
        <v>77</v>
      </c>
      <c r="G4" s="70" t="s">
        <v>78</v>
      </c>
      <c r="H4" s="70" t="s">
        <v>76</v>
      </c>
      <c r="I4" s="70" t="s">
        <v>77</v>
      </c>
      <c r="J4" s="70" t="s">
        <v>78</v>
      </c>
      <c r="K4" s="70" t="s">
        <v>76</v>
      </c>
      <c r="L4" s="70" t="s">
        <v>77</v>
      </c>
      <c r="M4" s="70" t="s">
        <v>78</v>
      </c>
      <c r="N4" s="70" t="s">
        <v>76</v>
      </c>
      <c r="O4" s="70" t="s">
        <v>77</v>
      </c>
      <c r="P4" s="70" t="s">
        <v>78</v>
      </c>
      <c r="Q4" s="70" t="s">
        <v>76</v>
      </c>
      <c r="R4" s="70" t="s">
        <v>77</v>
      </c>
      <c r="S4" s="70" t="s">
        <v>78</v>
      </c>
      <c r="T4" s="70" t="s">
        <v>76</v>
      </c>
      <c r="U4" s="70" t="s">
        <v>77</v>
      </c>
      <c r="V4" s="70" t="s">
        <v>78</v>
      </c>
      <c r="X4" s="36"/>
      <c r="Y4" s="36"/>
      <c r="Z4" s="36"/>
    </row>
    <row r="5" spans="1:26" x14ac:dyDescent="0.25">
      <c r="A5" s="18">
        <f>СПРАВОЧНИК!$B$35</f>
        <v>46174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X5" s="38">
        <f t="shared" ref="X5:X52" si="0">B5+E5+H5+K5+N5+Q5+T5</f>
        <v>0</v>
      </c>
      <c r="Y5" s="38">
        <f t="shared" ref="Y5:Y52" si="1">C5+F5+I5+L5+O5+R5+U5</f>
        <v>0</v>
      </c>
      <c r="Z5" s="38">
        <f t="shared" ref="Z5:Z52" si="2">D5+G5+J5+M5+P5+S5+V5</f>
        <v>0</v>
      </c>
    </row>
    <row r="6" spans="1:26" x14ac:dyDescent="0.25">
      <c r="A6" s="18">
        <f t="shared" ref="A6:A52" si="3">A5+7</f>
        <v>46181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X6" s="38">
        <f t="shared" si="0"/>
        <v>0</v>
      </c>
      <c r="Y6" s="38">
        <f t="shared" si="1"/>
        <v>0</v>
      </c>
      <c r="Z6" s="38">
        <f t="shared" si="2"/>
        <v>0</v>
      </c>
    </row>
    <row r="7" spans="1:26" x14ac:dyDescent="0.25">
      <c r="A7" s="18">
        <f t="shared" si="3"/>
        <v>46188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X7" s="38">
        <f t="shared" si="0"/>
        <v>0</v>
      </c>
      <c r="Y7" s="38">
        <f t="shared" si="1"/>
        <v>0</v>
      </c>
      <c r="Z7" s="38">
        <f t="shared" si="2"/>
        <v>0</v>
      </c>
    </row>
    <row r="8" spans="1:26" x14ac:dyDescent="0.25">
      <c r="A8" s="18">
        <f t="shared" si="3"/>
        <v>46195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X8" s="38">
        <f t="shared" si="0"/>
        <v>0</v>
      </c>
      <c r="Y8" s="38">
        <f t="shared" si="1"/>
        <v>0</v>
      </c>
      <c r="Z8" s="38">
        <f t="shared" si="2"/>
        <v>0</v>
      </c>
    </row>
    <row r="9" spans="1:26" x14ac:dyDescent="0.25">
      <c r="A9" s="18">
        <f t="shared" si="3"/>
        <v>46202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X9" s="38">
        <f t="shared" si="0"/>
        <v>0</v>
      </c>
      <c r="Y9" s="38">
        <f t="shared" si="1"/>
        <v>0</v>
      </c>
      <c r="Z9" s="38">
        <f t="shared" si="2"/>
        <v>0</v>
      </c>
    </row>
    <row r="10" spans="1:26" x14ac:dyDescent="0.25">
      <c r="A10" s="18">
        <f t="shared" si="3"/>
        <v>46209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X10" s="38">
        <f t="shared" si="0"/>
        <v>0</v>
      </c>
      <c r="Y10" s="38">
        <f t="shared" si="1"/>
        <v>0</v>
      </c>
      <c r="Z10" s="38">
        <f t="shared" si="2"/>
        <v>0</v>
      </c>
    </row>
    <row r="11" spans="1:26" x14ac:dyDescent="0.25">
      <c r="A11" s="18">
        <f t="shared" si="3"/>
        <v>46216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X11" s="38">
        <f t="shared" si="0"/>
        <v>0</v>
      </c>
      <c r="Y11" s="38">
        <f t="shared" si="1"/>
        <v>0</v>
      </c>
      <c r="Z11" s="38">
        <f t="shared" si="2"/>
        <v>0</v>
      </c>
    </row>
    <row r="12" spans="1:26" x14ac:dyDescent="0.25">
      <c r="A12" s="18">
        <f t="shared" si="3"/>
        <v>46223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X12" s="38">
        <f t="shared" si="0"/>
        <v>0</v>
      </c>
      <c r="Y12" s="38">
        <f t="shared" si="1"/>
        <v>0</v>
      </c>
      <c r="Z12" s="38">
        <f t="shared" si="2"/>
        <v>0</v>
      </c>
    </row>
    <row r="13" spans="1:26" x14ac:dyDescent="0.25">
      <c r="A13" s="18">
        <f t="shared" si="3"/>
        <v>46230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X13" s="38">
        <f t="shared" si="0"/>
        <v>0</v>
      </c>
      <c r="Y13" s="38">
        <f t="shared" si="1"/>
        <v>0</v>
      </c>
      <c r="Z13" s="38">
        <f t="shared" si="2"/>
        <v>0</v>
      </c>
    </row>
    <row r="14" spans="1:26" x14ac:dyDescent="0.25">
      <c r="A14" s="18">
        <f t="shared" si="3"/>
        <v>46237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X14" s="38">
        <f t="shared" si="0"/>
        <v>0</v>
      </c>
      <c r="Y14" s="38">
        <f t="shared" si="1"/>
        <v>0</v>
      </c>
      <c r="Z14" s="38">
        <f t="shared" si="2"/>
        <v>0</v>
      </c>
    </row>
    <row r="15" spans="1:26" x14ac:dyDescent="0.25">
      <c r="A15" s="18">
        <f t="shared" si="3"/>
        <v>46244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X15" s="38">
        <f t="shared" si="0"/>
        <v>0</v>
      </c>
      <c r="Y15" s="38">
        <f t="shared" si="1"/>
        <v>0</v>
      </c>
      <c r="Z15" s="38">
        <f t="shared" si="2"/>
        <v>0</v>
      </c>
    </row>
    <row r="16" spans="1:26" x14ac:dyDescent="0.25">
      <c r="A16" s="18">
        <f t="shared" si="3"/>
        <v>46251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X16" s="38">
        <f t="shared" si="0"/>
        <v>0</v>
      </c>
      <c r="Y16" s="38">
        <f t="shared" si="1"/>
        <v>0</v>
      </c>
      <c r="Z16" s="38">
        <f t="shared" si="2"/>
        <v>0</v>
      </c>
    </row>
    <row r="17" spans="1:26" x14ac:dyDescent="0.25">
      <c r="A17" s="18">
        <f t="shared" si="3"/>
        <v>46258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X17" s="38">
        <f t="shared" si="0"/>
        <v>0</v>
      </c>
      <c r="Y17" s="38">
        <f t="shared" si="1"/>
        <v>0</v>
      </c>
      <c r="Z17" s="38">
        <f t="shared" si="2"/>
        <v>0</v>
      </c>
    </row>
    <row r="18" spans="1:26" x14ac:dyDescent="0.25">
      <c r="A18" s="18">
        <f t="shared" si="3"/>
        <v>46265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X18" s="38">
        <f t="shared" si="0"/>
        <v>0</v>
      </c>
      <c r="Y18" s="38">
        <f t="shared" si="1"/>
        <v>0</v>
      </c>
      <c r="Z18" s="38">
        <f t="shared" si="2"/>
        <v>0</v>
      </c>
    </row>
    <row r="19" spans="1:26" x14ac:dyDescent="0.25">
      <c r="A19" s="18">
        <f t="shared" si="3"/>
        <v>46272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X19" s="38">
        <f t="shared" si="0"/>
        <v>0</v>
      </c>
      <c r="Y19" s="38">
        <f t="shared" si="1"/>
        <v>0</v>
      </c>
      <c r="Z19" s="38">
        <f t="shared" si="2"/>
        <v>0</v>
      </c>
    </row>
    <row r="20" spans="1:26" x14ac:dyDescent="0.25">
      <c r="A20" s="18">
        <f t="shared" si="3"/>
        <v>46279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X20" s="38">
        <f t="shared" si="0"/>
        <v>0</v>
      </c>
      <c r="Y20" s="38">
        <f t="shared" si="1"/>
        <v>0</v>
      </c>
      <c r="Z20" s="38">
        <f t="shared" si="2"/>
        <v>0</v>
      </c>
    </row>
    <row r="21" spans="1:26" x14ac:dyDescent="0.25">
      <c r="A21" s="18">
        <f t="shared" si="3"/>
        <v>46286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X21" s="38">
        <f t="shared" si="0"/>
        <v>0</v>
      </c>
      <c r="Y21" s="38">
        <f t="shared" si="1"/>
        <v>0</v>
      </c>
      <c r="Z21" s="38">
        <f t="shared" si="2"/>
        <v>0</v>
      </c>
    </row>
    <row r="22" spans="1:26" x14ac:dyDescent="0.25">
      <c r="A22" s="18">
        <f t="shared" si="3"/>
        <v>46293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X22" s="38">
        <f t="shared" si="0"/>
        <v>0</v>
      </c>
      <c r="Y22" s="38">
        <f t="shared" si="1"/>
        <v>0</v>
      </c>
      <c r="Z22" s="38">
        <f t="shared" si="2"/>
        <v>0</v>
      </c>
    </row>
    <row r="23" spans="1:26" x14ac:dyDescent="0.25">
      <c r="A23" s="18">
        <f t="shared" si="3"/>
        <v>46300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X23" s="38">
        <f t="shared" si="0"/>
        <v>0</v>
      </c>
      <c r="Y23" s="38">
        <f t="shared" si="1"/>
        <v>0</v>
      </c>
      <c r="Z23" s="38">
        <f t="shared" si="2"/>
        <v>0</v>
      </c>
    </row>
    <row r="24" spans="1:26" x14ac:dyDescent="0.25">
      <c r="A24" s="18">
        <f t="shared" si="3"/>
        <v>46307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X24" s="38">
        <f t="shared" si="0"/>
        <v>0</v>
      </c>
      <c r="Y24" s="38">
        <f t="shared" si="1"/>
        <v>0</v>
      </c>
      <c r="Z24" s="38">
        <f t="shared" si="2"/>
        <v>0</v>
      </c>
    </row>
    <row r="25" spans="1:26" x14ac:dyDescent="0.25">
      <c r="A25" s="18">
        <f t="shared" si="3"/>
        <v>46314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X25" s="38">
        <f t="shared" si="0"/>
        <v>0</v>
      </c>
      <c r="Y25" s="38">
        <f t="shared" si="1"/>
        <v>0</v>
      </c>
      <c r="Z25" s="38">
        <f t="shared" si="2"/>
        <v>0</v>
      </c>
    </row>
    <row r="26" spans="1:26" x14ac:dyDescent="0.25">
      <c r="A26" s="18">
        <f t="shared" si="3"/>
        <v>46321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X26" s="38">
        <f t="shared" si="0"/>
        <v>0</v>
      </c>
      <c r="Y26" s="38">
        <f t="shared" si="1"/>
        <v>0</v>
      </c>
      <c r="Z26" s="38">
        <f t="shared" si="2"/>
        <v>0</v>
      </c>
    </row>
    <row r="27" spans="1:26" x14ac:dyDescent="0.25">
      <c r="A27" s="18">
        <f t="shared" si="3"/>
        <v>46328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X27" s="38">
        <f t="shared" si="0"/>
        <v>0</v>
      </c>
      <c r="Y27" s="38">
        <f t="shared" si="1"/>
        <v>0</v>
      </c>
      <c r="Z27" s="38">
        <f t="shared" si="2"/>
        <v>0</v>
      </c>
    </row>
    <row r="28" spans="1:26" x14ac:dyDescent="0.25">
      <c r="A28" s="18">
        <f t="shared" si="3"/>
        <v>46335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X28" s="38">
        <f t="shared" si="0"/>
        <v>0</v>
      </c>
      <c r="Y28" s="38">
        <f t="shared" si="1"/>
        <v>0</v>
      </c>
      <c r="Z28" s="38">
        <f t="shared" si="2"/>
        <v>0</v>
      </c>
    </row>
    <row r="29" spans="1:26" x14ac:dyDescent="0.25">
      <c r="A29" s="18">
        <f t="shared" si="3"/>
        <v>46342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X29" s="38">
        <f t="shared" si="0"/>
        <v>0</v>
      </c>
      <c r="Y29" s="38">
        <f t="shared" si="1"/>
        <v>0</v>
      </c>
      <c r="Z29" s="38">
        <f t="shared" si="2"/>
        <v>0</v>
      </c>
    </row>
    <row r="30" spans="1:26" x14ac:dyDescent="0.25">
      <c r="A30" s="18">
        <f t="shared" si="3"/>
        <v>46349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X30" s="38">
        <f t="shared" si="0"/>
        <v>0</v>
      </c>
      <c r="Y30" s="38">
        <f t="shared" si="1"/>
        <v>0</v>
      </c>
      <c r="Z30" s="38">
        <f t="shared" si="2"/>
        <v>0</v>
      </c>
    </row>
    <row r="31" spans="1:26" x14ac:dyDescent="0.25">
      <c r="A31" s="18">
        <f t="shared" si="3"/>
        <v>46356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X31" s="38">
        <f t="shared" si="0"/>
        <v>0</v>
      </c>
      <c r="Y31" s="38">
        <f t="shared" si="1"/>
        <v>0</v>
      </c>
      <c r="Z31" s="38">
        <f t="shared" si="2"/>
        <v>0</v>
      </c>
    </row>
    <row r="32" spans="1:26" x14ac:dyDescent="0.25">
      <c r="A32" s="18">
        <f t="shared" si="3"/>
        <v>46363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X32" s="38">
        <f t="shared" si="0"/>
        <v>0</v>
      </c>
      <c r="Y32" s="38">
        <f t="shared" si="1"/>
        <v>0</v>
      </c>
      <c r="Z32" s="38">
        <f t="shared" si="2"/>
        <v>0</v>
      </c>
    </row>
    <row r="33" spans="1:26" x14ac:dyDescent="0.25">
      <c r="A33" s="18">
        <f t="shared" si="3"/>
        <v>46370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X33" s="38">
        <f t="shared" si="0"/>
        <v>0</v>
      </c>
      <c r="Y33" s="38">
        <f t="shared" si="1"/>
        <v>0</v>
      </c>
      <c r="Z33" s="38">
        <f t="shared" si="2"/>
        <v>0</v>
      </c>
    </row>
    <row r="34" spans="1:26" x14ac:dyDescent="0.25">
      <c r="A34" s="18">
        <f t="shared" si="3"/>
        <v>46377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X34" s="38">
        <f t="shared" si="0"/>
        <v>0</v>
      </c>
      <c r="Y34" s="38">
        <f t="shared" si="1"/>
        <v>0</v>
      </c>
      <c r="Z34" s="38">
        <f t="shared" si="2"/>
        <v>0</v>
      </c>
    </row>
    <row r="35" spans="1:26" x14ac:dyDescent="0.25">
      <c r="A35" s="18">
        <f t="shared" si="3"/>
        <v>46384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X35" s="38">
        <f t="shared" si="0"/>
        <v>0</v>
      </c>
      <c r="Y35" s="38">
        <f t="shared" si="1"/>
        <v>0</v>
      </c>
      <c r="Z35" s="38">
        <f t="shared" si="2"/>
        <v>0</v>
      </c>
    </row>
    <row r="36" spans="1:26" x14ac:dyDescent="0.25">
      <c r="A36" s="18">
        <f t="shared" si="3"/>
        <v>46391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X36" s="38">
        <f t="shared" si="0"/>
        <v>0</v>
      </c>
      <c r="Y36" s="38">
        <f t="shared" si="1"/>
        <v>0</v>
      </c>
      <c r="Z36" s="38">
        <f t="shared" si="2"/>
        <v>0</v>
      </c>
    </row>
    <row r="37" spans="1:26" x14ac:dyDescent="0.25">
      <c r="A37" s="18">
        <f t="shared" si="3"/>
        <v>46398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X37" s="38">
        <f t="shared" si="0"/>
        <v>0</v>
      </c>
      <c r="Y37" s="38">
        <f t="shared" si="1"/>
        <v>0</v>
      </c>
      <c r="Z37" s="38">
        <f t="shared" si="2"/>
        <v>0</v>
      </c>
    </row>
    <row r="38" spans="1:26" x14ac:dyDescent="0.25">
      <c r="A38" s="18">
        <f t="shared" si="3"/>
        <v>46405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X38" s="38">
        <f t="shared" si="0"/>
        <v>0</v>
      </c>
      <c r="Y38" s="38">
        <f t="shared" si="1"/>
        <v>0</v>
      </c>
      <c r="Z38" s="38">
        <f t="shared" si="2"/>
        <v>0</v>
      </c>
    </row>
    <row r="39" spans="1:26" x14ac:dyDescent="0.25">
      <c r="A39" s="18">
        <f t="shared" si="3"/>
        <v>46412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X39" s="38">
        <f t="shared" si="0"/>
        <v>0</v>
      </c>
      <c r="Y39" s="38">
        <f t="shared" si="1"/>
        <v>0</v>
      </c>
      <c r="Z39" s="38">
        <f t="shared" si="2"/>
        <v>0</v>
      </c>
    </row>
    <row r="40" spans="1:26" x14ac:dyDescent="0.25">
      <c r="A40" s="18">
        <f t="shared" si="3"/>
        <v>46419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X40" s="38">
        <f t="shared" si="0"/>
        <v>0</v>
      </c>
      <c r="Y40" s="38">
        <f t="shared" si="1"/>
        <v>0</v>
      </c>
      <c r="Z40" s="38">
        <f t="shared" si="2"/>
        <v>0</v>
      </c>
    </row>
    <row r="41" spans="1:26" x14ac:dyDescent="0.25">
      <c r="A41" s="18">
        <f t="shared" si="3"/>
        <v>46426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X41" s="38">
        <f t="shared" si="0"/>
        <v>0</v>
      </c>
      <c r="Y41" s="38">
        <f t="shared" si="1"/>
        <v>0</v>
      </c>
      <c r="Z41" s="38">
        <f t="shared" si="2"/>
        <v>0</v>
      </c>
    </row>
    <row r="42" spans="1:26" x14ac:dyDescent="0.25">
      <c r="A42" s="18">
        <f t="shared" si="3"/>
        <v>46433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X42" s="38">
        <f t="shared" si="0"/>
        <v>0</v>
      </c>
      <c r="Y42" s="38">
        <f t="shared" si="1"/>
        <v>0</v>
      </c>
      <c r="Z42" s="38">
        <f t="shared" si="2"/>
        <v>0</v>
      </c>
    </row>
    <row r="43" spans="1:26" x14ac:dyDescent="0.25">
      <c r="A43" s="18">
        <f t="shared" si="3"/>
        <v>46440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X43" s="38">
        <f t="shared" si="0"/>
        <v>0</v>
      </c>
      <c r="Y43" s="38">
        <f t="shared" si="1"/>
        <v>0</v>
      </c>
      <c r="Z43" s="38">
        <f t="shared" si="2"/>
        <v>0</v>
      </c>
    </row>
    <row r="44" spans="1:26" x14ac:dyDescent="0.25">
      <c r="A44" s="18">
        <f t="shared" si="3"/>
        <v>46447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X44" s="38">
        <f t="shared" si="0"/>
        <v>0</v>
      </c>
      <c r="Y44" s="38">
        <f t="shared" si="1"/>
        <v>0</v>
      </c>
      <c r="Z44" s="38">
        <f t="shared" si="2"/>
        <v>0</v>
      </c>
    </row>
    <row r="45" spans="1:26" x14ac:dyDescent="0.25">
      <c r="A45" s="18">
        <f t="shared" si="3"/>
        <v>46454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X45" s="38">
        <f t="shared" si="0"/>
        <v>0</v>
      </c>
      <c r="Y45" s="38">
        <f t="shared" si="1"/>
        <v>0</v>
      </c>
      <c r="Z45" s="38">
        <f t="shared" si="2"/>
        <v>0</v>
      </c>
    </row>
    <row r="46" spans="1:26" x14ac:dyDescent="0.25">
      <c r="A46" s="18">
        <f t="shared" si="3"/>
        <v>46461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X46" s="38">
        <f t="shared" si="0"/>
        <v>0</v>
      </c>
      <c r="Y46" s="38">
        <f t="shared" si="1"/>
        <v>0</v>
      </c>
      <c r="Z46" s="38">
        <f t="shared" si="2"/>
        <v>0</v>
      </c>
    </row>
    <row r="47" spans="1:26" x14ac:dyDescent="0.25">
      <c r="A47" s="18">
        <f t="shared" si="3"/>
        <v>46468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X47" s="38">
        <f t="shared" si="0"/>
        <v>0</v>
      </c>
      <c r="Y47" s="38">
        <f t="shared" si="1"/>
        <v>0</v>
      </c>
      <c r="Z47" s="38">
        <f t="shared" si="2"/>
        <v>0</v>
      </c>
    </row>
    <row r="48" spans="1:26" x14ac:dyDescent="0.25">
      <c r="A48" s="18">
        <f t="shared" si="3"/>
        <v>46475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X48" s="38">
        <f t="shared" si="0"/>
        <v>0</v>
      </c>
      <c r="Y48" s="38">
        <f t="shared" si="1"/>
        <v>0</v>
      </c>
      <c r="Z48" s="38">
        <f t="shared" si="2"/>
        <v>0</v>
      </c>
    </row>
    <row r="49" spans="1:26" x14ac:dyDescent="0.25">
      <c r="A49" s="18">
        <f t="shared" si="3"/>
        <v>46482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X49" s="38">
        <f t="shared" si="0"/>
        <v>0</v>
      </c>
      <c r="Y49" s="38">
        <f t="shared" si="1"/>
        <v>0</v>
      </c>
      <c r="Z49" s="38">
        <f t="shared" si="2"/>
        <v>0</v>
      </c>
    </row>
    <row r="50" spans="1:26" x14ac:dyDescent="0.25">
      <c r="A50" s="18">
        <f t="shared" si="3"/>
        <v>46489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X50" s="38">
        <f t="shared" si="0"/>
        <v>0</v>
      </c>
      <c r="Y50" s="38">
        <f t="shared" si="1"/>
        <v>0</v>
      </c>
      <c r="Z50" s="38">
        <f t="shared" si="2"/>
        <v>0</v>
      </c>
    </row>
    <row r="51" spans="1:26" x14ac:dyDescent="0.25">
      <c r="A51" s="18">
        <f t="shared" si="3"/>
        <v>46496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X51" s="38">
        <f t="shared" si="0"/>
        <v>0</v>
      </c>
      <c r="Y51" s="38">
        <f t="shared" si="1"/>
        <v>0</v>
      </c>
      <c r="Z51" s="38">
        <f t="shared" si="2"/>
        <v>0</v>
      </c>
    </row>
    <row r="52" spans="1:26" x14ac:dyDescent="0.25">
      <c r="A52" s="18">
        <f t="shared" si="3"/>
        <v>46503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X52" s="38">
        <f t="shared" si="0"/>
        <v>0</v>
      </c>
      <c r="Y52" s="38">
        <f t="shared" si="1"/>
        <v>0</v>
      </c>
      <c r="Z52" s="38">
        <f t="shared" si="2"/>
        <v>0</v>
      </c>
    </row>
  </sheetData>
  <mergeCells count="11">
    <mergeCell ref="X1:Z1"/>
    <mergeCell ref="N3:P3"/>
    <mergeCell ref="Q3:S3"/>
    <mergeCell ref="B3:D3"/>
    <mergeCell ref="B2:V2"/>
    <mergeCell ref="A1:V1"/>
    <mergeCell ref="T3:V3"/>
    <mergeCell ref="A2:A3"/>
    <mergeCell ref="E3:G3"/>
    <mergeCell ref="K3:M3"/>
    <mergeCell ref="H3:J3"/>
  </mergeCells>
  <conditionalFormatting sqref="A5:A52">
    <cfRule type="expression" dxfId="64" priority="1">
      <formula>AND($A5&lt;=TODAY(),$A5+6&gt;=TODAY())</formula>
    </cfRule>
  </conditionalFormatting>
  <dataValidations count="1">
    <dataValidation type="decimal" operator="greaterThanOrEqual" sqref="B5:V52" xr:uid="{00000000-0002-0000-0F00-000000000000}">
      <formula1>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48235"/>
  </sheetPr>
  <dimension ref="A1:AA52"/>
  <sheetViews>
    <sheetView workbookViewId="0">
      <pane xSplit="1" ySplit="4" topLeftCell="B13" activePane="bottomRight" state="frozen"/>
      <selection pane="topRight"/>
      <selection pane="bottomLeft"/>
      <selection pane="bottomRight" activeCell="A20" sqref="A20"/>
    </sheetView>
  </sheetViews>
  <sheetFormatPr defaultRowHeight="15" x14ac:dyDescent="0.25"/>
  <cols>
    <col min="1" max="1" width="12" style="66" customWidth="1"/>
    <col min="2" max="27" width="10" style="66" customWidth="1"/>
  </cols>
  <sheetData>
    <row r="1" spans="1:27" x14ac:dyDescent="0.25">
      <c r="A1" s="73" t="s">
        <v>114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Y1" s="80" t="s">
        <v>96</v>
      </c>
      <c r="Z1" s="74"/>
      <c r="AA1" s="74"/>
    </row>
    <row r="2" spans="1:27" x14ac:dyDescent="0.25">
      <c r="A2" s="81" t="s">
        <v>73</v>
      </c>
      <c r="B2" s="83" t="s">
        <v>56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9"/>
    </row>
    <row r="3" spans="1:27" x14ac:dyDescent="0.25">
      <c r="A3" s="82"/>
      <c r="B3" s="83" t="s">
        <v>97</v>
      </c>
      <c r="C3" s="78"/>
      <c r="D3" s="78"/>
      <c r="E3" s="79"/>
      <c r="F3" s="83" t="s">
        <v>98</v>
      </c>
      <c r="G3" s="78"/>
      <c r="H3" s="79"/>
      <c r="I3" s="83" t="s">
        <v>99</v>
      </c>
      <c r="J3" s="78"/>
      <c r="K3" s="79"/>
      <c r="L3" s="83" t="s">
        <v>100</v>
      </c>
      <c r="M3" s="78"/>
      <c r="N3" s="79"/>
      <c r="O3" s="83" t="s">
        <v>101</v>
      </c>
      <c r="P3" s="78"/>
      <c r="Q3" s="79"/>
      <c r="R3" s="83" t="s">
        <v>102</v>
      </c>
      <c r="S3" s="78"/>
      <c r="T3" s="79"/>
      <c r="U3" s="83" t="s">
        <v>103</v>
      </c>
      <c r="V3" s="78"/>
      <c r="W3" s="79"/>
      <c r="Y3" s="35" t="s">
        <v>76</v>
      </c>
      <c r="Z3" s="35" t="s">
        <v>77</v>
      </c>
      <c r="AA3" s="35" t="s">
        <v>78</v>
      </c>
    </row>
    <row r="4" spans="1:27" x14ac:dyDescent="0.25">
      <c r="B4" s="70" t="s">
        <v>76</v>
      </c>
      <c r="C4" s="70" t="s">
        <v>77</v>
      </c>
      <c r="D4" s="70" t="s">
        <v>78</v>
      </c>
      <c r="E4" s="70" t="s">
        <v>79</v>
      </c>
      <c r="F4" s="70" t="s">
        <v>76</v>
      </c>
      <c r="G4" s="70" t="s">
        <v>77</v>
      </c>
      <c r="H4" s="70" t="s">
        <v>78</v>
      </c>
      <c r="I4" s="70" t="s">
        <v>76</v>
      </c>
      <c r="J4" s="70" t="s">
        <v>77</v>
      </c>
      <c r="K4" s="70" t="s">
        <v>78</v>
      </c>
      <c r="L4" s="70" t="s">
        <v>76</v>
      </c>
      <c r="M4" s="70" t="s">
        <v>77</v>
      </c>
      <c r="N4" s="70" t="s">
        <v>78</v>
      </c>
      <c r="O4" s="70" t="s">
        <v>76</v>
      </c>
      <c r="P4" s="70" t="s">
        <v>77</v>
      </c>
      <c r="Q4" s="70" t="s">
        <v>78</v>
      </c>
      <c r="R4" s="70" t="s">
        <v>76</v>
      </c>
      <c r="S4" s="70" t="s">
        <v>77</v>
      </c>
      <c r="T4" s="70" t="s">
        <v>78</v>
      </c>
      <c r="U4" s="70" t="s">
        <v>76</v>
      </c>
      <c r="V4" s="70" t="s">
        <v>77</v>
      </c>
      <c r="W4" s="70" t="s">
        <v>78</v>
      </c>
      <c r="Y4" s="36"/>
      <c r="Z4" s="36"/>
      <c r="AA4" s="36"/>
    </row>
    <row r="5" spans="1:27" x14ac:dyDescent="0.25">
      <c r="A5" s="18">
        <f>СПРАВОЧНИК!$B$35</f>
        <v>46174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Y5" s="38">
        <f t="shared" ref="Y5:Y52" si="0">B5+F5+I5+L5+O5+R5+U5</f>
        <v>0</v>
      </c>
      <c r="Z5" s="38">
        <f t="shared" ref="Z5:Z52" si="1">C5+G5+J5+M5+P5+S5+V5</f>
        <v>0</v>
      </c>
      <c r="AA5" s="38">
        <f t="shared" ref="AA5:AA52" si="2">D5+H5+K5+N5+Q5+T5+W5</f>
        <v>0</v>
      </c>
    </row>
    <row r="6" spans="1:27" x14ac:dyDescent="0.25">
      <c r="A6" s="18">
        <f t="shared" ref="A6:A52" si="3">A5+7</f>
        <v>46181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Y6" s="38">
        <f t="shared" si="0"/>
        <v>0</v>
      </c>
      <c r="Z6" s="38">
        <f t="shared" si="1"/>
        <v>0</v>
      </c>
      <c r="AA6" s="38">
        <f t="shared" si="2"/>
        <v>0</v>
      </c>
    </row>
    <row r="7" spans="1:27" x14ac:dyDescent="0.25">
      <c r="A7" s="18">
        <f t="shared" si="3"/>
        <v>46188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Y7" s="38">
        <f t="shared" si="0"/>
        <v>0</v>
      </c>
      <c r="Z7" s="38">
        <f t="shared" si="1"/>
        <v>0</v>
      </c>
      <c r="AA7" s="38">
        <f t="shared" si="2"/>
        <v>0</v>
      </c>
    </row>
    <row r="8" spans="1:27" x14ac:dyDescent="0.25">
      <c r="A8" s="18">
        <f t="shared" si="3"/>
        <v>46195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Y8" s="38">
        <f t="shared" si="0"/>
        <v>0</v>
      </c>
      <c r="Z8" s="38">
        <f t="shared" si="1"/>
        <v>0</v>
      </c>
      <c r="AA8" s="38">
        <f t="shared" si="2"/>
        <v>0</v>
      </c>
    </row>
    <row r="9" spans="1:27" x14ac:dyDescent="0.25">
      <c r="A9" s="18">
        <f t="shared" si="3"/>
        <v>46202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Y9" s="38">
        <f t="shared" si="0"/>
        <v>0</v>
      </c>
      <c r="Z9" s="38">
        <f t="shared" si="1"/>
        <v>0</v>
      </c>
      <c r="AA9" s="38">
        <f t="shared" si="2"/>
        <v>0</v>
      </c>
    </row>
    <row r="10" spans="1:27" x14ac:dyDescent="0.25">
      <c r="A10" s="18">
        <f t="shared" si="3"/>
        <v>46209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Y10" s="38">
        <f t="shared" si="0"/>
        <v>0</v>
      </c>
      <c r="Z10" s="38">
        <f t="shared" si="1"/>
        <v>0</v>
      </c>
      <c r="AA10" s="38">
        <f t="shared" si="2"/>
        <v>0</v>
      </c>
    </row>
    <row r="11" spans="1:27" x14ac:dyDescent="0.25">
      <c r="A11" s="18">
        <f t="shared" si="3"/>
        <v>46216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Y11" s="38">
        <f t="shared" si="0"/>
        <v>0</v>
      </c>
      <c r="Z11" s="38">
        <f t="shared" si="1"/>
        <v>0</v>
      </c>
      <c r="AA11" s="38">
        <f t="shared" si="2"/>
        <v>0</v>
      </c>
    </row>
    <row r="12" spans="1:27" x14ac:dyDescent="0.25">
      <c r="A12" s="18">
        <f t="shared" si="3"/>
        <v>46223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Y12" s="38">
        <f t="shared" si="0"/>
        <v>0</v>
      </c>
      <c r="Z12" s="38">
        <f t="shared" si="1"/>
        <v>0</v>
      </c>
      <c r="AA12" s="38">
        <f t="shared" si="2"/>
        <v>0</v>
      </c>
    </row>
    <row r="13" spans="1:27" x14ac:dyDescent="0.25">
      <c r="A13" s="18">
        <f t="shared" si="3"/>
        <v>46230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Y13" s="38">
        <f t="shared" si="0"/>
        <v>0</v>
      </c>
      <c r="Z13" s="38">
        <f t="shared" si="1"/>
        <v>0</v>
      </c>
      <c r="AA13" s="38">
        <f t="shared" si="2"/>
        <v>0</v>
      </c>
    </row>
    <row r="14" spans="1:27" x14ac:dyDescent="0.25">
      <c r="A14" s="18">
        <f t="shared" si="3"/>
        <v>46237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Y14" s="38">
        <f t="shared" si="0"/>
        <v>0</v>
      </c>
      <c r="Z14" s="38">
        <f t="shared" si="1"/>
        <v>0</v>
      </c>
      <c r="AA14" s="38">
        <f t="shared" si="2"/>
        <v>0</v>
      </c>
    </row>
    <row r="15" spans="1:27" x14ac:dyDescent="0.25">
      <c r="A15" s="18">
        <f t="shared" si="3"/>
        <v>46244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Y15" s="38">
        <f t="shared" si="0"/>
        <v>0</v>
      </c>
      <c r="Z15" s="38">
        <f t="shared" si="1"/>
        <v>0</v>
      </c>
      <c r="AA15" s="38">
        <f t="shared" si="2"/>
        <v>0</v>
      </c>
    </row>
    <row r="16" spans="1:27" x14ac:dyDescent="0.25">
      <c r="A16" s="18">
        <f t="shared" si="3"/>
        <v>46251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Y16" s="38">
        <f t="shared" si="0"/>
        <v>0</v>
      </c>
      <c r="Z16" s="38">
        <f t="shared" si="1"/>
        <v>0</v>
      </c>
      <c r="AA16" s="38">
        <f t="shared" si="2"/>
        <v>0</v>
      </c>
    </row>
    <row r="17" spans="1:27" x14ac:dyDescent="0.25">
      <c r="A17" s="18">
        <f t="shared" si="3"/>
        <v>46258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Y17" s="38">
        <f t="shared" si="0"/>
        <v>0</v>
      </c>
      <c r="Z17" s="38">
        <f t="shared" si="1"/>
        <v>0</v>
      </c>
      <c r="AA17" s="38">
        <f t="shared" si="2"/>
        <v>0</v>
      </c>
    </row>
    <row r="18" spans="1:27" x14ac:dyDescent="0.25">
      <c r="A18" s="18">
        <f t="shared" si="3"/>
        <v>46265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Y18" s="38">
        <f t="shared" si="0"/>
        <v>0</v>
      </c>
      <c r="Z18" s="38">
        <f t="shared" si="1"/>
        <v>0</v>
      </c>
      <c r="AA18" s="38">
        <f t="shared" si="2"/>
        <v>0</v>
      </c>
    </row>
    <row r="19" spans="1:27" x14ac:dyDescent="0.25">
      <c r="A19" s="18">
        <f t="shared" si="3"/>
        <v>46272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Y19" s="38">
        <f t="shared" si="0"/>
        <v>0</v>
      </c>
      <c r="Z19" s="38">
        <f t="shared" si="1"/>
        <v>0</v>
      </c>
      <c r="AA19" s="38">
        <f t="shared" si="2"/>
        <v>0</v>
      </c>
    </row>
    <row r="20" spans="1:27" x14ac:dyDescent="0.25">
      <c r="A20" s="18">
        <f t="shared" si="3"/>
        <v>46279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Y20" s="38">
        <f t="shared" si="0"/>
        <v>0</v>
      </c>
      <c r="Z20" s="38">
        <f t="shared" si="1"/>
        <v>0</v>
      </c>
      <c r="AA20" s="38">
        <f t="shared" si="2"/>
        <v>0</v>
      </c>
    </row>
    <row r="21" spans="1:27" x14ac:dyDescent="0.25">
      <c r="A21" s="18">
        <f t="shared" si="3"/>
        <v>46286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Y21" s="38">
        <f t="shared" si="0"/>
        <v>0</v>
      </c>
      <c r="Z21" s="38">
        <f t="shared" si="1"/>
        <v>0</v>
      </c>
      <c r="AA21" s="38">
        <f t="shared" si="2"/>
        <v>0</v>
      </c>
    </row>
    <row r="22" spans="1:27" x14ac:dyDescent="0.25">
      <c r="A22" s="18">
        <f t="shared" si="3"/>
        <v>46293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Y22" s="38">
        <f t="shared" si="0"/>
        <v>0</v>
      </c>
      <c r="Z22" s="38">
        <f t="shared" si="1"/>
        <v>0</v>
      </c>
      <c r="AA22" s="38">
        <f t="shared" si="2"/>
        <v>0</v>
      </c>
    </row>
    <row r="23" spans="1:27" x14ac:dyDescent="0.25">
      <c r="A23" s="18">
        <f t="shared" si="3"/>
        <v>46300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Y23" s="38">
        <f t="shared" si="0"/>
        <v>0</v>
      </c>
      <c r="Z23" s="38">
        <f t="shared" si="1"/>
        <v>0</v>
      </c>
      <c r="AA23" s="38">
        <f t="shared" si="2"/>
        <v>0</v>
      </c>
    </row>
    <row r="24" spans="1:27" x14ac:dyDescent="0.25">
      <c r="A24" s="18">
        <f t="shared" si="3"/>
        <v>46307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Y24" s="38">
        <f t="shared" si="0"/>
        <v>0</v>
      </c>
      <c r="Z24" s="38">
        <f t="shared" si="1"/>
        <v>0</v>
      </c>
      <c r="AA24" s="38">
        <f t="shared" si="2"/>
        <v>0</v>
      </c>
    </row>
    <row r="25" spans="1:27" x14ac:dyDescent="0.25">
      <c r="A25" s="18">
        <f t="shared" si="3"/>
        <v>46314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Y25" s="38">
        <f t="shared" si="0"/>
        <v>0</v>
      </c>
      <c r="Z25" s="38">
        <f t="shared" si="1"/>
        <v>0</v>
      </c>
      <c r="AA25" s="38">
        <f t="shared" si="2"/>
        <v>0</v>
      </c>
    </row>
    <row r="26" spans="1:27" x14ac:dyDescent="0.25">
      <c r="A26" s="18">
        <f t="shared" si="3"/>
        <v>46321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Y26" s="38">
        <f t="shared" si="0"/>
        <v>0</v>
      </c>
      <c r="Z26" s="38">
        <f t="shared" si="1"/>
        <v>0</v>
      </c>
      <c r="AA26" s="38">
        <f t="shared" si="2"/>
        <v>0</v>
      </c>
    </row>
    <row r="27" spans="1:27" x14ac:dyDescent="0.25">
      <c r="A27" s="18">
        <f t="shared" si="3"/>
        <v>46328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Y27" s="38">
        <f t="shared" si="0"/>
        <v>0</v>
      </c>
      <c r="Z27" s="38">
        <f t="shared" si="1"/>
        <v>0</v>
      </c>
      <c r="AA27" s="38">
        <f t="shared" si="2"/>
        <v>0</v>
      </c>
    </row>
    <row r="28" spans="1:27" x14ac:dyDescent="0.25">
      <c r="A28" s="18">
        <f t="shared" si="3"/>
        <v>46335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Y28" s="38">
        <f t="shared" si="0"/>
        <v>0</v>
      </c>
      <c r="Z28" s="38">
        <f t="shared" si="1"/>
        <v>0</v>
      </c>
      <c r="AA28" s="38">
        <f t="shared" si="2"/>
        <v>0</v>
      </c>
    </row>
    <row r="29" spans="1:27" x14ac:dyDescent="0.25">
      <c r="A29" s="18">
        <f t="shared" si="3"/>
        <v>46342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Y29" s="38">
        <f t="shared" si="0"/>
        <v>0</v>
      </c>
      <c r="Z29" s="38">
        <f t="shared" si="1"/>
        <v>0</v>
      </c>
      <c r="AA29" s="38">
        <f t="shared" si="2"/>
        <v>0</v>
      </c>
    </row>
    <row r="30" spans="1:27" x14ac:dyDescent="0.25">
      <c r="A30" s="18">
        <f t="shared" si="3"/>
        <v>46349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Y30" s="38">
        <f t="shared" si="0"/>
        <v>0</v>
      </c>
      <c r="Z30" s="38">
        <f t="shared" si="1"/>
        <v>0</v>
      </c>
      <c r="AA30" s="38">
        <f t="shared" si="2"/>
        <v>0</v>
      </c>
    </row>
    <row r="31" spans="1:27" x14ac:dyDescent="0.25">
      <c r="A31" s="18">
        <f t="shared" si="3"/>
        <v>46356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Y31" s="38">
        <f t="shared" si="0"/>
        <v>0</v>
      </c>
      <c r="Z31" s="38">
        <f t="shared" si="1"/>
        <v>0</v>
      </c>
      <c r="AA31" s="38">
        <f t="shared" si="2"/>
        <v>0</v>
      </c>
    </row>
    <row r="32" spans="1:27" x14ac:dyDescent="0.25">
      <c r="A32" s="18">
        <f t="shared" si="3"/>
        <v>46363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Y32" s="38">
        <f t="shared" si="0"/>
        <v>0</v>
      </c>
      <c r="Z32" s="38">
        <f t="shared" si="1"/>
        <v>0</v>
      </c>
      <c r="AA32" s="38">
        <f t="shared" si="2"/>
        <v>0</v>
      </c>
    </row>
    <row r="33" spans="1:27" x14ac:dyDescent="0.25">
      <c r="A33" s="18">
        <f t="shared" si="3"/>
        <v>46370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Y33" s="38">
        <f t="shared" si="0"/>
        <v>0</v>
      </c>
      <c r="Z33" s="38">
        <f t="shared" si="1"/>
        <v>0</v>
      </c>
      <c r="AA33" s="38">
        <f t="shared" si="2"/>
        <v>0</v>
      </c>
    </row>
    <row r="34" spans="1:27" x14ac:dyDescent="0.25">
      <c r="A34" s="18">
        <f t="shared" si="3"/>
        <v>46377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Y34" s="38">
        <f t="shared" si="0"/>
        <v>0</v>
      </c>
      <c r="Z34" s="38">
        <f t="shared" si="1"/>
        <v>0</v>
      </c>
      <c r="AA34" s="38">
        <f t="shared" si="2"/>
        <v>0</v>
      </c>
    </row>
    <row r="35" spans="1:27" x14ac:dyDescent="0.25">
      <c r="A35" s="18">
        <f t="shared" si="3"/>
        <v>46384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Y35" s="38">
        <f t="shared" si="0"/>
        <v>0</v>
      </c>
      <c r="Z35" s="38">
        <f t="shared" si="1"/>
        <v>0</v>
      </c>
      <c r="AA35" s="38">
        <f t="shared" si="2"/>
        <v>0</v>
      </c>
    </row>
    <row r="36" spans="1:27" x14ac:dyDescent="0.25">
      <c r="A36" s="18">
        <f t="shared" si="3"/>
        <v>46391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Y36" s="38">
        <f t="shared" si="0"/>
        <v>0</v>
      </c>
      <c r="Z36" s="38">
        <f t="shared" si="1"/>
        <v>0</v>
      </c>
      <c r="AA36" s="38">
        <f t="shared" si="2"/>
        <v>0</v>
      </c>
    </row>
    <row r="37" spans="1:27" x14ac:dyDescent="0.25">
      <c r="A37" s="18">
        <f t="shared" si="3"/>
        <v>46398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Y37" s="38">
        <f t="shared" si="0"/>
        <v>0</v>
      </c>
      <c r="Z37" s="38">
        <f t="shared" si="1"/>
        <v>0</v>
      </c>
      <c r="AA37" s="38">
        <f t="shared" si="2"/>
        <v>0</v>
      </c>
    </row>
    <row r="38" spans="1:27" x14ac:dyDescent="0.25">
      <c r="A38" s="18">
        <f t="shared" si="3"/>
        <v>46405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Y38" s="38">
        <f t="shared" si="0"/>
        <v>0</v>
      </c>
      <c r="Z38" s="38">
        <f t="shared" si="1"/>
        <v>0</v>
      </c>
      <c r="AA38" s="38">
        <f t="shared" si="2"/>
        <v>0</v>
      </c>
    </row>
    <row r="39" spans="1:27" x14ac:dyDescent="0.25">
      <c r="A39" s="18">
        <f t="shared" si="3"/>
        <v>46412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Y39" s="38">
        <f t="shared" si="0"/>
        <v>0</v>
      </c>
      <c r="Z39" s="38">
        <f t="shared" si="1"/>
        <v>0</v>
      </c>
      <c r="AA39" s="38">
        <f t="shared" si="2"/>
        <v>0</v>
      </c>
    </row>
    <row r="40" spans="1:27" x14ac:dyDescent="0.25">
      <c r="A40" s="18">
        <f t="shared" si="3"/>
        <v>46419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Y40" s="38">
        <f t="shared" si="0"/>
        <v>0</v>
      </c>
      <c r="Z40" s="38">
        <f t="shared" si="1"/>
        <v>0</v>
      </c>
      <c r="AA40" s="38">
        <f t="shared" si="2"/>
        <v>0</v>
      </c>
    </row>
    <row r="41" spans="1:27" x14ac:dyDescent="0.25">
      <c r="A41" s="18">
        <f t="shared" si="3"/>
        <v>46426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Y41" s="38">
        <f t="shared" si="0"/>
        <v>0</v>
      </c>
      <c r="Z41" s="38">
        <f t="shared" si="1"/>
        <v>0</v>
      </c>
      <c r="AA41" s="38">
        <f t="shared" si="2"/>
        <v>0</v>
      </c>
    </row>
    <row r="42" spans="1:27" x14ac:dyDescent="0.25">
      <c r="A42" s="18">
        <f t="shared" si="3"/>
        <v>46433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Y42" s="38">
        <f t="shared" si="0"/>
        <v>0</v>
      </c>
      <c r="Z42" s="38">
        <f t="shared" si="1"/>
        <v>0</v>
      </c>
      <c r="AA42" s="38">
        <f t="shared" si="2"/>
        <v>0</v>
      </c>
    </row>
    <row r="43" spans="1:27" x14ac:dyDescent="0.25">
      <c r="A43" s="18">
        <f t="shared" si="3"/>
        <v>46440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Y43" s="38">
        <f t="shared" si="0"/>
        <v>0</v>
      </c>
      <c r="Z43" s="38">
        <f t="shared" si="1"/>
        <v>0</v>
      </c>
      <c r="AA43" s="38">
        <f t="shared" si="2"/>
        <v>0</v>
      </c>
    </row>
    <row r="44" spans="1:27" x14ac:dyDescent="0.25">
      <c r="A44" s="18">
        <f t="shared" si="3"/>
        <v>46447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Y44" s="38">
        <f t="shared" si="0"/>
        <v>0</v>
      </c>
      <c r="Z44" s="38">
        <f t="shared" si="1"/>
        <v>0</v>
      </c>
      <c r="AA44" s="38">
        <f t="shared" si="2"/>
        <v>0</v>
      </c>
    </row>
    <row r="45" spans="1:27" x14ac:dyDescent="0.25">
      <c r="A45" s="18">
        <f t="shared" si="3"/>
        <v>46454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Y45" s="38">
        <f t="shared" si="0"/>
        <v>0</v>
      </c>
      <c r="Z45" s="38">
        <f t="shared" si="1"/>
        <v>0</v>
      </c>
      <c r="AA45" s="38">
        <f t="shared" si="2"/>
        <v>0</v>
      </c>
    </row>
    <row r="46" spans="1:27" x14ac:dyDescent="0.25">
      <c r="A46" s="18">
        <f t="shared" si="3"/>
        <v>46461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Y46" s="38">
        <f t="shared" si="0"/>
        <v>0</v>
      </c>
      <c r="Z46" s="38">
        <f t="shared" si="1"/>
        <v>0</v>
      </c>
      <c r="AA46" s="38">
        <f t="shared" si="2"/>
        <v>0</v>
      </c>
    </row>
    <row r="47" spans="1:27" x14ac:dyDescent="0.25">
      <c r="A47" s="18">
        <f t="shared" si="3"/>
        <v>46468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Y47" s="38">
        <f t="shared" si="0"/>
        <v>0</v>
      </c>
      <c r="Z47" s="38">
        <f t="shared" si="1"/>
        <v>0</v>
      </c>
      <c r="AA47" s="38">
        <f t="shared" si="2"/>
        <v>0</v>
      </c>
    </row>
    <row r="48" spans="1:27" x14ac:dyDescent="0.25">
      <c r="A48" s="18">
        <f t="shared" si="3"/>
        <v>46475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Y48" s="38">
        <f t="shared" si="0"/>
        <v>0</v>
      </c>
      <c r="Z48" s="38">
        <f t="shared" si="1"/>
        <v>0</v>
      </c>
      <c r="AA48" s="38">
        <f t="shared" si="2"/>
        <v>0</v>
      </c>
    </row>
    <row r="49" spans="1:27" x14ac:dyDescent="0.25">
      <c r="A49" s="18">
        <f t="shared" si="3"/>
        <v>46482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Y49" s="38">
        <f t="shared" si="0"/>
        <v>0</v>
      </c>
      <c r="Z49" s="38">
        <f t="shared" si="1"/>
        <v>0</v>
      </c>
      <c r="AA49" s="38">
        <f t="shared" si="2"/>
        <v>0</v>
      </c>
    </row>
    <row r="50" spans="1:27" x14ac:dyDescent="0.25">
      <c r="A50" s="18">
        <f t="shared" si="3"/>
        <v>46489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Y50" s="38">
        <f t="shared" si="0"/>
        <v>0</v>
      </c>
      <c r="Z50" s="38">
        <f t="shared" si="1"/>
        <v>0</v>
      </c>
      <c r="AA50" s="38">
        <f t="shared" si="2"/>
        <v>0</v>
      </c>
    </row>
    <row r="51" spans="1:27" x14ac:dyDescent="0.25">
      <c r="A51" s="18">
        <f t="shared" si="3"/>
        <v>46496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Y51" s="38">
        <f t="shared" si="0"/>
        <v>0</v>
      </c>
      <c r="Z51" s="38">
        <f t="shared" si="1"/>
        <v>0</v>
      </c>
      <c r="AA51" s="38">
        <f t="shared" si="2"/>
        <v>0</v>
      </c>
    </row>
    <row r="52" spans="1:27" x14ac:dyDescent="0.25">
      <c r="A52" s="18">
        <f t="shared" si="3"/>
        <v>46503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Y52" s="38">
        <f t="shared" si="0"/>
        <v>0</v>
      </c>
      <c r="Z52" s="38">
        <f t="shared" si="1"/>
        <v>0</v>
      </c>
      <c r="AA52" s="38">
        <f t="shared" si="2"/>
        <v>0</v>
      </c>
    </row>
  </sheetData>
  <mergeCells count="11">
    <mergeCell ref="B2:W2"/>
    <mergeCell ref="A1:W1"/>
    <mergeCell ref="R3:T3"/>
    <mergeCell ref="U3:W3"/>
    <mergeCell ref="Y1:AA1"/>
    <mergeCell ref="A2:A3"/>
    <mergeCell ref="B3:E3"/>
    <mergeCell ref="I3:K3"/>
    <mergeCell ref="F3:H3"/>
    <mergeCell ref="L3:N3"/>
    <mergeCell ref="O3:Q3"/>
  </mergeCells>
  <conditionalFormatting sqref="A5:A52">
    <cfRule type="expression" dxfId="63" priority="1">
      <formula>AND($A5&lt;=TODAY(),$A5+6&gt;=TODAY())</formula>
    </cfRule>
  </conditionalFormatting>
  <dataValidations count="1">
    <dataValidation type="decimal" operator="greaterThanOrEqual" sqref="B5:W52" xr:uid="{00000000-0002-0000-1000-000000000000}">
      <formula1>0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BF8F00"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2" style="66" customWidth="1"/>
    <col min="2" max="26" width="10" style="66" customWidth="1"/>
  </cols>
  <sheetData>
    <row r="1" spans="1:26" x14ac:dyDescent="0.25">
      <c r="A1" s="73" t="s">
        <v>115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X1" s="80" t="s">
        <v>106</v>
      </c>
      <c r="Y1" s="74"/>
      <c r="Z1" s="74"/>
    </row>
    <row r="2" spans="1:26" x14ac:dyDescent="0.25">
      <c r="A2" s="81" t="s">
        <v>73</v>
      </c>
      <c r="B2" s="83" t="s">
        <v>56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</row>
    <row r="3" spans="1:26" x14ac:dyDescent="0.25">
      <c r="A3" s="82"/>
      <c r="B3" s="83" t="s">
        <v>97</v>
      </c>
      <c r="C3" s="78"/>
      <c r="D3" s="79"/>
      <c r="E3" s="83" t="s">
        <v>98</v>
      </c>
      <c r="F3" s="78"/>
      <c r="G3" s="79"/>
      <c r="H3" s="83" t="s">
        <v>99</v>
      </c>
      <c r="I3" s="78"/>
      <c r="J3" s="79"/>
      <c r="K3" s="83" t="s">
        <v>100</v>
      </c>
      <c r="L3" s="78"/>
      <c r="M3" s="79"/>
      <c r="N3" s="83" t="s">
        <v>101</v>
      </c>
      <c r="O3" s="78"/>
      <c r="P3" s="79"/>
      <c r="Q3" s="83" t="s">
        <v>102</v>
      </c>
      <c r="R3" s="78"/>
      <c r="S3" s="79"/>
      <c r="T3" s="83" t="s">
        <v>103</v>
      </c>
      <c r="U3" s="78"/>
      <c r="V3" s="79"/>
      <c r="X3" s="35" t="s">
        <v>76</v>
      </c>
      <c r="Y3" s="35" t="s">
        <v>77</v>
      </c>
      <c r="Z3" s="35" t="s">
        <v>78</v>
      </c>
    </row>
    <row r="4" spans="1:26" x14ac:dyDescent="0.25">
      <c r="B4" s="70" t="s">
        <v>76</v>
      </c>
      <c r="C4" s="70" t="s">
        <v>77</v>
      </c>
      <c r="D4" s="70" t="s">
        <v>78</v>
      </c>
      <c r="E4" s="70" t="s">
        <v>76</v>
      </c>
      <c r="F4" s="70" t="s">
        <v>77</v>
      </c>
      <c r="G4" s="70" t="s">
        <v>78</v>
      </c>
      <c r="H4" s="70" t="s">
        <v>76</v>
      </c>
      <c r="I4" s="70" t="s">
        <v>77</v>
      </c>
      <c r="J4" s="70" t="s">
        <v>78</v>
      </c>
      <c r="K4" s="70" t="s">
        <v>76</v>
      </c>
      <c r="L4" s="70" t="s">
        <v>77</v>
      </c>
      <c r="M4" s="70" t="s">
        <v>78</v>
      </c>
      <c r="N4" s="70" t="s">
        <v>76</v>
      </c>
      <c r="O4" s="70" t="s">
        <v>77</v>
      </c>
      <c r="P4" s="70" t="s">
        <v>78</v>
      </c>
      <c r="Q4" s="70" t="s">
        <v>76</v>
      </c>
      <c r="R4" s="70" t="s">
        <v>77</v>
      </c>
      <c r="S4" s="70" t="s">
        <v>78</v>
      </c>
      <c r="T4" s="70" t="s">
        <v>76</v>
      </c>
      <c r="U4" s="70" t="s">
        <v>77</v>
      </c>
      <c r="V4" s="70" t="s">
        <v>78</v>
      </c>
      <c r="X4" s="36"/>
      <c r="Y4" s="36"/>
      <c r="Z4" s="36"/>
    </row>
    <row r="5" spans="1:26" x14ac:dyDescent="0.25">
      <c r="A5" s="18">
        <f>СПРАВОЧНИК!$B$35</f>
        <v>46174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X5" s="38">
        <f t="shared" ref="X5:X52" si="0">B5+E5+H5+K5+N5+Q5+T5</f>
        <v>0</v>
      </c>
      <c r="Y5" s="38">
        <f t="shared" ref="Y5:Y52" si="1">C5+F5+I5+L5+O5+R5+U5</f>
        <v>0</v>
      </c>
      <c r="Z5" s="38">
        <f t="shared" ref="Z5:Z52" si="2">D5+G5+J5+M5+P5+S5+V5</f>
        <v>0</v>
      </c>
    </row>
    <row r="6" spans="1:26" x14ac:dyDescent="0.25">
      <c r="A6" s="18">
        <f t="shared" ref="A6:A52" si="3">A5+7</f>
        <v>46181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X6" s="38">
        <f t="shared" si="0"/>
        <v>0</v>
      </c>
      <c r="Y6" s="38">
        <f t="shared" si="1"/>
        <v>0</v>
      </c>
      <c r="Z6" s="38">
        <f t="shared" si="2"/>
        <v>0</v>
      </c>
    </row>
    <row r="7" spans="1:26" x14ac:dyDescent="0.25">
      <c r="A7" s="18">
        <f t="shared" si="3"/>
        <v>46188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X7" s="38">
        <f t="shared" si="0"/>
        <v>0</v>
      </c>
      <c r="Y7" s="38">
        <f t="shared" si="1"/>
        <v>0</v>
      </c>
      <c r="Z7" s="38">
        <f t="shared" si="2"/>
        <v>0</v>
      </c>
    </row>
    <row r="8" spans="1:26" x14ac:dyDescent="0.25">
      <c r="A8" s="18">
        <f t="shared" si="3"/>
        <v>46195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X8" s="38">
        <f t="shared" si="0"/>
        <v>0</v>
      </c>
      <c r="Y8" s="38">
        <f t="shared" si="1"/>
        <v>0</v>
      </c>
      <c r="Z8" s="38">
        <f t="shared" si="2"/>
        <v>0</v>
      </c>
    </row>
    <row r="9" spans="1:26" x14ac:dyDescent="0.25">
      <c r="A9" s="18">
        <f t="shared" si="3"/>
        <v>46202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X9" s="38">
        <f t="shared" si="0"/>
        <v>0</v>
      </c>
      <c r="Y9" s="38">
        <f t="shared" si="1"/>
        <v>0</v>
      </c>
      <c r="Z9" s="38">
        <f t="shared" si="2"/>
        <v>0</v>
      </c>
    </row>
    <row r="10" spans="1:26" x14ac:dyDescent="0.25">
      <c r="A10" s="18">
        <f t="shared" si="3"/>
        <v>46209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X10" s="38">
        <f t="shared" si="0"/>
        <v>0</v>
      </c>
      <c r="Y10" s="38">
        <f t="shared" si="1"/>
        <v>0</v>
      </c>
      <c r="Z10" s="38">
        <f t="shared" si="2"/>
        <v>0</v>
      </c>
    </row>
    <row r="11" spans="1:26" x14ac:dyDescent="0.25">
      <c r="A11" s="18">
        <f t="shared" si="3"/>
        <v>46216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X11" s="38">
        <f t="shared" si="0"/>
        <v>0</v>
      </c>
      <c r="Y11" s="38">
        <f t="shared" si="1"/>
        <v>0</v>
      </c>
      <c r="Z11" s="38">
        <f t="shared" si="2"/>
        <v>0</v>
      </c>
    </row>
    <row r="12" spans="1:26" x14ac:dyDescent="0.25">
      <c r="A12" s="18">
        <f t="shared" si="3"/>
        <v>46223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X12" s="38">
        <f t="shared" si="0"/>
        <v>0</v>
      </c>
      <c r="Y12" s="38">
        <f t="shared" si="1"/>
        <v>0</v>
      </c>
      <c r="Z12" s="38">
        <f t="shared" si="2"/>
        <v>0</v>
      </c>
    </row>
    <row r="13" spans="1:26" x14ac:dyDescent="0.25">
      <c r="A13" s="18">
        <f t="shared" si="3"/>
        <v>46230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X13" s="38">
        <f t="shared" si="0"/>
        <v>0</v>
      </c>
      <c r="Y13" s="38">
        <f t="shared" si="1"/>
        <v>0</v>
      </c>
      <c r="Z13" s="38">
        <f t="shared" si="2"/>
        <v>0</v>
      </c>
    </row>
    <row r="14" spans="1:26" x14ac:dyDescent="0.25">
      <c r="A14" s="18">
        <f t="shared" si="3"/>
        <v>46237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X14" s="38">
        <f t="shared" si="0"/>
        <v>0</v>
      </c>
      <c r="Y14" s="38">
        <f t="shared" si="1"/>
        <v>0</v>
      </c>
      <c r="Z14" s="38">
        <f t="shared" si="2"/>
        <v>0</v>
      </c>
    </row>
    <row r="15" spans="1:26" x14ac:dyDescent="0.25">
      <c r="A15" s="18">
        <f t="shared" si="3"/>
        <v>46244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X15" s="38">
        <f t="shared" si="0"/>
        <v>0</v>
      </c>
      <c r="Y15" s="38">
        <f t="shared" si="1"/>
        <v>0</v>
      </c>
      <c r="Z15" s="38">
        <f t="shared" si="2"/>
        <v>0</v>
      </c>
    </row>
    <row r="16" spans="1:26" x14ac:dyDescent="0.25">
      <c r="A16" s="18">
        <f t="shared" si="3"/>
        <v>46251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X16" s="38">
        <f t="shared" si="0"/>
        <v>0</v>
      </c>
      <c r="Y16" s="38">
        <f t="shared" si="1"/>
        <v>0</v>
      </c>
      <c r="Z16" s="38">
        <f t="shared" si="2"/>
        <v>0</v>
      </c>
    </row>
    <row r="17" spans="1:26" x14ac:dyDescent="0.25">
      <c r="A17" s="18">
        <f t="shared" si="3"/>
        <v>46258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X17" s="38">
        <f t="shared" si="0"/>
        <v>0</v>
      </c>
      <c r="Y17" s="38">
        <f t="shared" si="1"/>
        <v>0</v>
      </c>
      <c r="Z17" s="38">
        <f t="shared" si="2"/>
        <v>0</v>
      </c>
    </row>
    <row r="18" spans="1:26" x14ac:dyDescent="0.25">
      <c r="A18" s="18">
        <f t="shared" si="3"/>
        <v>46265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X18" s="38">
        <f t="shared" si="0"/>
        <v>0</v>
      </c>
      <c r="Y18" s="38">
        <f t="shared" si="1"/>
        <v>0</v>
      </c>
      <c r="Z18" s="38">
        <f t="shared" si="2"/>
        <v>0</v>
      </c>
    </row>
    <row r="19" spans="1:26" x14ac:dyDescent="0.25">
      <c r="A19" s="18">
        <f t="shared" si="3"/>
        <v>46272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X19" s="38">
        <f t="shared" si="0"/>
        <v>0</v>
      </c>
      <c r="Y19" s="38">
        <f t="shared" si="1"/>
        <v>0</v>
      </c>
      <c r="Z19" s="38">
        <f t="shared" si="2"/>
        <v>0</v>
      </c>
    </row>
    <row r="20" spans="1:26" x14ac:dyDescent="0.25">
      <c r="A20" s="18">
        <f t="shared" si="3"/>
        <v>46279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X20" s="38">
        <f t="shared" si="0"/>
        <v>0</v>
      </c>
      <c r="Y20" s="38">
        <f t="shared" si="1"/>
        <v>0</v>
      </c>
      <c r="Z20" s="38">
        <f t="shared" si="2"/>
        <v>0</v>
      </c>
    </row>
    <row r="21" spans="1:26" x14ac:dyDescent="0.25">
      <c r="A21" s="18">
        <f t="shared" si="3"/>
        <v>46286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X21" s="38">
        <f t="shared" si="0"/>
        <v>0</v>
      </c>
      <c r="Y21" s="38">
        <f t="shared" si="1"/>
        <v>0</v>
      </c>
      <c r="Z21" s="38">
        <f t="shared" si="2"/>
        <v>0</v>
      </c>
    </row>
    <row r="22" spans="1:26" x14ac:dyDescent="0.25">
      <c r="A22" s="18">
        <f t="shared" si="3"/>
        <v>46293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X22" s="38">
        <f t="shared" si="0"/>
        <v>0</v>
      </c>
      <c r="Y22" s="38">
        <f t="shared" si="1"/>
        <v>0</v>
      </c>
      <c r="Z22" s="38">
        <f t="shared" si="2"/>
        <v>0</v>
      </c>
    </row>
    <row r="23" spans="1:26" x14ac:dyDescent="0.25">
      <c r="A23" s="18">
        <f t="shared" si="3"/>
        <v>46300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X23" s="38">
        <f t="shared" si="0"/>
        <v>0</v>
      </c>
      <c r="Y23" s="38">
        <f t="shared" si="1"/>
        <v>0</v>
      </c>
      <c r="Z23" s="38">
        <f t="shared" si="2"/>
        <v>0</v>
      </c>
    </row>
    <row r="24" spans="1:26" x14ac:dyDescent="0.25">
      <c r="A24" s="18">
        <f t="shared" si="3"/>
        <v>46307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X24" s="38">
        <f t="shared" si="0"/>
        <v>0</v>
      </c>
      <c r="Y24" s="38">
        <f t="shared" si="1"/>
        <v>0</v>
      </c>
      <c r="Z24" s="38">
        <f t="shared" si="2"/>
        <v>0</v>
      </c>
    </row>
    <row r="25" spans="1:26" x14ac:dyDescent="0.25">
      <c r="A25" s="18">
        <f t="shared" si="3"/>
        <v>46314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X25" s="38">
        <f t="shared" si="0"/>
        <v>0</v>
      </c>
      <c r="Y25" s="38">
        <f t="shared" si="1"/>
        <v>0</v>
      </c>
      <c r="Z25" s="38">
        <f t="shared" si="2"/>
        <v>0</v>
      </c>
    </row>
    <row r="26" spans="1:26" x14ac:dyDescent="0.25">
      <c r="A26" s="18">
        <f t="shared" si="3"/>
        <v>46321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X26" s="38">
        <f t="shared" si="0"/>
        <v>0</v>
      </c>
      <c r="Y26" s="38">
        <f t="shared" si="1"/>
        <v>0</v>
      </c>
      <c r="Z26" s="38">
        <f t="shared" si="2"/>
        <v>0</v>
      </c>
    </row>
    <row r="27" spans="1:26" x14ac:dyDescent="0.25">
      <c r="A27" s="18">
        <f t="shared" si="3"/>
        <v>46328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X27" s="38">
        <f t="shared" si="0"/>
        <v>0</v>
      </c>
      <c r="Y27" s="38">
        <f t="shared" si="1"/>
        <v>0</v>
      </c>
      <c r="Z27" s="38">
        <f t="shared" si="2"/>
        <v>0</v>
      </c>
    </row>
    <row r="28" spans="1:26" x14ac:dyDescent="0.25">
      <c r="A28" s="18">
        <f t="shared" si="3"/>
        <v>46335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X28" s="38">
        <f t="shared" si="0"/>
        <v>0</v>
      </c>
      <c r="Y28" s="38">
        <f t="shared" si="1"/>
        <v>0</v>
      </c>
      <c r="Z28" s="38">
        <f t="shared" si="2"/>
        <v>0</v>
      </c>
    </row>
    <row r="29" spans="1:26" x14ac:dyDescent="0.25">
      <c r="A29" s="18">
        <f t="shared" si="3"/>
        <v>46342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X29" s="38">
        <f t="shared" si="0"/>
        <v>0</v>
      </c>
      <c r="Y29" s="38">
        <f t="shared" si="1"/>
        <v>0</v>
      </c>
      <c r="Z29" s="38">
        <f t="shared" si="2"/>
        <v>0</v>
      </c>
    </row>
    <row r="30" spans="1:26" x14ac:dyDescent="0.25">
      <c r="A30" s="18">
        <f t="shared" si="3"/>
        <v>46349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X30" s="38">
        <f t="shared" si="0"/>
        <v>0</v>
      </c>
      <c r="Y30" s="38">
        <f t="shared" si="1"/>
        <v>0</v>
      </c>
      <c r="Z30" s="38">
        <f t="shared" si="2"/>
        <v>0</v>
      </c>
    </row>
    <row r="31" spans="1:26" x14ac:dyDescent="0.25">
      <c r="A31" s="18">
        <f t="shared" si="3"/>
        <v>46356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X31" s="38">
        <f t="shared" si="0"/>
        <v>0</v>
      </c>
      <c r="Y31" s="38">
        <f t="shared" si="1"/>
        <v>0</v>
      </c>
      <c r="Z31" s="38">
        <f t="shared" si="2"/>
        <v>0</v>
      </c>
    </row>
    <row r="32" spans="1:26" x14ac:dyDescent="0.25">
      <c r="A32" s="18">
        <f t="shared" si="3"/>
        <v>46363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X32" s="38">
        <f t="shared" si="0"/>
        <v>0</v>
      </c>
      <c r="Y32" s="38">
        <f t="shared" si="1"/>
        <v>0</v>
      </c>
      <c r="Z32" s="38">
        <f t="shared" si="2"/>
        <v>0</v>
      </c>
    </row>
    <row r="33" spans="1:26" x14ac:dyDescent="0.25">
      <c r="A33" s="18">
        <f t="shared" si="3"/>
        <v>46370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X33" s="38">
        <f t="shared" si="0"/>
        <v>0</v>
      </c>
      <c r="Y33" s="38">
        <f t="shared" si="1"/>
        <v>0</v>
      </c>
      <c r="Z33" s="38">
        <f t="shared" si="2"/>
        <v>0</v>
      </c>
    </row>
    <row r="34" spans="1:26" x14ac:dyDescent="0.25">
      <c r="A34" s="18">
        <f t="shared" si="3"/>
        <v>46377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X34" s="38">
        <f t="shared" si="0"/>
        <v>0</v>
      </c>
      <c r="Y34" s="38">
        <f t="shared" si="1"/>
        <v>0</v>
      </c>
      <c r="Z34" s="38">
        <f t="shared" si="2"/>
        <v>0</v>
      </c>
    </row>
    <row r="35" spans="1:26" x14ac:dyDescent="0.25">
      <c r="A35" s="18">
        <f t="shared" si="3"/>
        <v>46384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X35" s="38">
        <f t="shared" si="0"/>
        <v>0</v>
      </c>
      <c r="Y35" s="38">
        <f t="shared" si="1"/>
        <v>0</v>
      </c>
      <c r="Z35" s="38">
        <f t="shared" si="2"/>
        <v>0</v>
      </c>
    </row>
    <row r="36" spans="1:26" x14ac:dyDescent="0.25">
      <c r="A36" s="18">
        <f t="shared" si="3"/>
        <v>46391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X36" s="38">
        <f t="shared" si="0"/>
        <v>0</v>
      </c>
      <c r="Y36" s="38">
        <f t="shared" si="1"/>
        <v>0</v>
      </c>
      <c r="Z36" s="38">
        <f t="shared" si="2"/>
        <v>0</v>
      </c>
    </row>
    <row r="37" spans="1:26" x14ac:dyDescent="0.25">
      <c r="A37" s="18">
        <f t="shared" si="3"/>
        <v>46398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X37" s="38">
        <f t="shared" si="0"/>
        <v>0</v>
      </c>
      <c r="Y37" s="38">
        <f t="shared" si="1"/>
        <v>0</v>
      </c>
      <c r="Z37" s="38">
        <f t="shared" si="2"/>
        <v>0</v>
      </c>
    </row>
    <row r="38" spans="1:26" x14ac:dyDescent="0.25">
      <c r="A38" s="18">
        <f t="shared" si="3"/>
        <v>46405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X38" s="38">
        <f t="shared" si="0"/>
        <v>0</v>
      </c>
      <c r="Y38" s="38">
        <f t="shared" si="1"/>
        <v>0</v>
      </c>
      <c r="Z38" s="38">
        <f t="shared" si="2"/>
        <v>0</v>
      </c>
    </row>
    <row r="39" spans="1:26" x14ac:dyDescent="0.25">
      <c r="A39" s="18">
        <f t="shared" si="3"/>
        <v>46412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X39" s="38">
        <f t="shared" si="0"/>
        <v>0</v>
      </c>
      <c r="Y39" s="38">
        <f t="shared" si="1"/>
        <v>0</v>
      </c>
      <c r="Z39" s="38">
        <f t="shared" si="2"/>
        <v>0</v>
      </c>
    </row>
    <row r="40" spans="1:26" x14ac:dyDescent="0.25">
      <c r="A40" s="18">
        <f t="shared" si="3"/>
        <v>46419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X40" s="38">
        <f t="shared" si="0"/>
        <v>0</v>
      </c>
      <c r="Y40" s="38">
        <f t="shared" si="1"/>
        <v>0</v>
      </c>
      <c r="Z40" s="38">
        <f t="shared" si="2"/>
        <v>0</v>
      </c>
    </row>
    <row r="41" spans="1:26" x14ac:dyDescent="0.25">
      <c r="A41" s="18">
        <f t="shared" si="3"/>
        <v>46426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X41" s="38">
        <f t="shared" si="0"/>
        <v>0</v>
      </c>
      <c r="Y41" s="38">
        <f t="shared" si="1"/>
        <v>0</v>
      </c>
      <c r="Z41" s="38">
        <f t="shared" si="2"/>
        <v>0</v>
      </c>
    </row>
    <row r="42" spans="1:26" x14ac:dyDescent="0.25">
      <c r="A42" s="18">
        <f t="shared" si="3"/>
        <v>46433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X42" s="38">
        <f t="shared" si="0"/>
        <v>0</v>
      </c>
      <c r="Y42" s="38">
        <f t="shared" si="1"/>
        <v>0</v>
      </c>
      <c r="Z42" s="38">
        <f t="shared" si="2"/>
        <v>0</v>
      </c>
    </row>
    <row r="43" spans="1:26" x14ac:dyDescent="0.25">
      <c r="A43" s="18">
        <f t="shared" si="3"/>
        <v>46440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X43" s="38">
        <f t="shared" si="0"/>
        <v>0</v>
      </c>
      <c r="Y43" s="38">
        <f t="shared" si="1"/>
        <v>0</v>
      </c>
      <c r="Z43" s="38">
        <f t="shared" si="2"/>
        <v>0</v>
      </c>
    </row>
    <row r="44" spans="1:26" x14ac:dyDescent="0.25">
      <c r="A44" s="18">
        <f t="shared" si="3"/>
        <v>46447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X44" s="38">
        <f t="shared" si="0"/>
        <v>0</v>
      </c>
      <c r="Y44" s="38">
        <f t="shared" si="1"/>
        <v>0</v>
      </c>
      <c r="Z44" s="38">
        <f t="shared" si="2"/>
        <v>0</v>
      </c>
    </row>
    <row r="45" spans="1:26" x14ac:dyDescent="0.25">
      <c r="A45" s="18">
        <f t="shared" si="3"/>
        <v>46454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X45" s="38">
        <f t="shared" si="0"/>
        <v>0</v>
      </c>
      <c r="Y45" s="38">
        <f t="shared" si="1"/>
        <v>0</v>
      </c>
      <c r="Z45" s="38">
        <f t="shared" si="2"/>
        <v>0</v>
      </c>
    </row>
    <row r="46" spans="1:26" x14ac:dyDescent="0.25">
      <c r="A46" s="18">
        <f t="shared" si="3"/>
        <v>46461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X46" s="38">
        <f t="shared" si="0"/>
        <v>0</v>
      </c>
      <c r="Y46" s="38">
        <f t="shared" si="1"/>
        <v>0</v>
      </c>
      <c r="Z46" s="38">
        <f t="shared" si="2"/>
        <v>0</v>
      </c>
    </row>
    <row r="47" spans="1:26" x14ac:dyDescent="0.25">
      <c r="A47" s="18">
        <f t="shared" si="3"/>
        <v>46468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X47" s="38">
        <f t="shared" si="0"/>
        <v>0</v>
      </c>
      <c r="Y47" s="38">
        <f t="shared" si="1"/>
        <v>0</v>
      </c>
      <c r="Z47" s="38">
        <f t="shared" si="2"/>
        <v>0</v>
      </c>
    </row>
    <row r="48" spans="1:26" x14ac:dyDescent="0.25">
      <c r="A48" s="18">
        <f t="shared" si="3"/>
        <v>46475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X48" s="38">
        <f t="shared" si="0"/>
        <v>0</v>
      </c>
      <c r="Y48" s="38">
        <f t="shared" si="1"/>
        <v>0</v>
      </c>
      <c r="Z48" s="38">
        <f t="shared" si="2"/>
        <v>0</v>
      </c>
    </row>
    <row r="49" spans="1:26" x14ac:dyDescent="0.25">
      <c r="A49" s="18">
        <f t="shared" si="3"/>
        <v>46482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X49" s="38">
        <f t="shared" si="0"/>
        <v>0</v>
      </c>
      <c r="Y49" s="38">
        <f t="shared" si="1"/>
        <v>0</v>
      </c>
      <c r="Z49" s="38">
        <f t="shared" si="2"/>
        <v>0</v>
      </c>
    </row>
    <row r="50" spans="1:26" x14ac:dyDescent="0.25">
      <c r="A50" s="18">
        <f t="shared" si="3"/>
        <v>46489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X50" s="38">
        <f t="shared" si="0"/>
        <v>0</v>
      </c>
      <c r="Y50" s="38">
        <f t="shared" si="1"/>
        <v>0</v>
      </c>
      <c r="Z50" s="38">
        <f t="shared" si="2"/>
        <v>0</v>
      </c>
    </row>
    <row r="51" spans="1:26" x14ac:dyDescent="0.25">
      <c r="A51" s="18">
        <f t="shared" si="3"/>
        <v>46496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X51" s="38">
        <f t="shared" si="0"/>
        <v>0</v>
      </c>
      <c r="Y51" s="38">
        <f t="shared" si="1"/>
        <v>0</v>
      </c>
      <c r="Z51" s="38">
        <f t="shared" si="2"/>
        <v>0</v>
      </c>
    </row>
    <row r="52" spans="1:26" x14ac:dyDescent="0.25">
      <c r="A52" s="18">
        <f t="shared" si="3"/>
        <v>46503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X52" s="38">
        <f t="shared" si="0"/>
        <v>0</v>
      </c>
      <c r="Y52" s="38">
        <f t="shared" si="1"/>
        <v>0</v>
      </c>
      <c r="Z52" s="38">
        <f t="shared" si="2"/>
        <v>0</v>
      </c>
    </row>
  </sheetData>
  <mergeCells count="11">
    <mergeCell ref="X1:Z1"/>
    <mergeCell ref="N3:P3"/>
    <mergeCell ref="Q3:S3"/>
    <mergeCell ref="B3:D3"/>
    <mergeCell ref="B2:V2"/>
    <mergeCell ref="A1:V1"/>
    <mergeCell ref="T3:V3"/>
    <mergeCell ref="A2:A3"/>
    <mergeCell ref="E3:G3"/>
    <mergeCell ref="K3:M3"/>
    <mergeCell ref="H3:J3"/>
  </mergeCells>
  <conditionalFormatting sqref="A5:A52">
    <cfRule type="expression" dxfId="62" priority="1">
      <formula>AND($A5&lt;=TODAY(),$A5+6&gt;=TODAY())</formula>
    </cfRule>
  </conditionalFormatting>
  <dataValidations count="1">
    <dataValidation type="decimal" operator="greaterThanOrEqual" sqref="B5:V52" xr:uid="{00000000-0002-0000-1100-000000000000}">
      <formula1>0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48235"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sqref="A1:W1"/>
    </sheetView>
  </sheetViews>
  <sheetFormatPr defaultRowHeight="15" x14ac:dyDescent="0.25"/>
  <cols>
    <col min="1" max="1" width="12" style="66" customWidth="1"/>
    <col min="2" max="27" width="10" style="66" customWidth="1"/>
  </cols>
  <sheetData>
    <row r="1" spans="1:27" x14ac:dyDescent="0.25">
      <c r="A1" s="73" t="s">
        <v>116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Y1" s="80" t="s">
        <v>106</v>
      </c>
      <c r="Z1" s="74"/>
      <c r="AA1" s="74"/>
    </row>
    <row r="2" spans="1:27" x14ac:dyDescent="0.25">
      <c r="A2" s="81" t="s">
        <v>73</v>
      </c>
      <c r="B2" s="83" t="s">
        <v>56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9"/>
    </row>
    <row r="3" spans="1:27" x14ac:dyDescent="0.25">
      <c r="A3" s="82"/>
      <c r="B3" s="83" t="s">
        <v>97</v>
      </c>
      <c r="C3" s="78"/>
      <c r="D3" s="78"/>
      <c r="E3" s="79"/>
      <c r="F3" s="83" t="s">
        <v>98</v>
      </c>
      <c r="G3" s="78"/>
      <c r="H3" s="79"/>
      <c r="I3" s="83" t="s">
        <v>99</v>
      </c>
      <c r="J3" s="78"/>
      <c r="K3" s="79"/>
      <c r="L3" s="83" t="s">
        <v>100</v>
      </c>
      <c r="M3" s="78"/>
      <c r="N3" s="79"/>
      <c r="O3" s="83" t="s">
        <v>101</v>
      </c>
      <c r="P3" s="78"/>
      <c r="Q3" s="79"/>
      <c r="R3" s="83" t="s">
        <v>102</v>
      </c>
      <c r="S3" s="78"/>
      <c r="T3" s="79"/>
      <c r="U3" s="83" t="s">
        <v>103</v>
      </c>
      <c r="V3" s="78"/>
      <c r="W3" s="79"/>
      <c r="Y3" s="35" t="s">
        <v>76</v>
      </c>
      <c r="Z3" s="35" t="s">
        <v>77</v>
      </c>
      <c r="AA3" s="35" t="s">
        <v>78</v>
      </c>
    </row>
    <row r="4" spans="1:27" x14ac:dyDescent="0.25">
      <c r="B4" s="70" t="s">
        <v>76</v>
      </c>
      <c r="C4" s="70" t="s">
        <v>77</v>
      </c>
      <c r="D4" s="70" t="s">
        <v>78</v>
      </c>
      <c r="E4" s="70" t="s">
        <v>79</v>
      </c>
      <c r="F4" s="70" t="s">
        <v>76</v>
      </c>
      <c r="G4" s="70" t="s">
        <v>77</v>
      </c>
      <c r="H4" s="70" t="s">
        <v>78</v>
      </c>
      <c r="I4" s="70" t="s">
        <v>76</v>
      </c>
      <c r="J4" s="70" t="s">
        <v>77</v>
      </c>
      <c r="K4" s="70" t="s">
        <v>78</v>
      </c>
      <c r="L4" s="70" t="s">
        <v>76</v>
      </c>
      <c r="M4" s="70" t="s">
        <v>77</v>
      </c>
      <c r="N4" s="70" t="s">
        <v>78</v>
      </c>
      <c r="O4" s="70" t="s">
        <v>76</v>
      </c>
      <c r="P4" s="70" t="s">
        <v>77</v>
      </c>
      <c r="Q4" s="70" t="s">
        <v>78</v>
      </c>
      <c r="R4" s="70" t="s">
        <v>76</v>
      </c>
      <c r="S4" s="70" t="s">
        <v>77</v>
      </c>
      <c r="T4" s="70" t="s">
        <v>78</v>
      </c>
      <c r="U4" s="70" t="s">
        <v>76</v>
      </c>
      <c r="V4" s="70" t="s">
        <v>77</v>
      </c>
      <c r="W4" s="70" t="s">
        <v>78</v>
      </c>
      <c r="Y4" s="36"/>
      <c r="Z4" s="36"/>
      <c r="AA4" s="36"/>
    </row>
    <row r="5" spans="1:27" x14ac:dyDescent="0.25">
      <c r="A5" s="18">
        <f>СПРАВОЧНИК!$B$35</f>
        <v>46174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Y5" s="38">
        <f t="shared" ref="Y5:Y52" si="0">B5+F5+I5+L5+O5+R5+U5</f>
        <v>0</v>
      </c>
      <c r="Z5" s="38">
        <f t="shared" ref="Z5:Z52" si="1">C5+G5+J5+M5+P5+S5+V5</f>
        <v>0</v>
      </c>
      <c r="AA5" s="38">
        <f t="shared" ref="AA5:AA52" si="2">D5+H5+K5+N5+Q5+T5+W5</f>
        <v>0</v>
      </c>
    </row>
    <row r="6" spans="1:27" x14ac:dyDescent="0.25">
      <c r="A6" s="18">
        <f t="shared" ref="A6:A52" si="3">A5+7</f>
        <v>46181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Y6" s="38">
        <f t="shared" si="0"/>
        <v>0</v>
      </c>
      <c r="Z6" s="38">
        <f t="shared" si="1"/>
        <v>0</v>
      </c>
      <c r="AA6" s="38">
        <f t="shared" si="2"/>
        <v>0</v>
      </c>
    </row>
    <row r="7" spans="1:27" x14ac:dyDescent="0.25">
      <c r="A7" s="18">
        <f t="shared" si="3"/>
        <v>46188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Y7" s="38">
        <f t="shared" si="0"/>
        <v>0</v>
      </c>
      <c r="Z7" s="38">
        <f t="shared" si="1"/>
        <v>0</v>
      </c>
      <c r="AA7" s="38">
        <f t="shared" si="2"/>
        <v>0</v>
      </c>
    </row>
    <row r="8" spans="1:27" x14ac:dyDescent="0.25">
      <c r="A8" s="18">
        <f t="shared" si="3"/>
        <v>46195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Y8" s="38">
        <f t="shared" si="0"/>
        <v>0</v>
      </c>
      <c r="Z8" s="38">
        <f t="shared" si="1"/>
        <v>0</v>
      </c>
      <c r="AA8" s="38">
        <f t="shared" si="2"/>
        <v>0</v>
      </c>
    </row>
    <row r="9" spans="1:27" x14ac:dyDescent="0.25">
      <c r="A9" s="18">
        <f t="shared" si="3"/>
        <v>46202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Y9" s="38">
        <f t="shared" si="0"/>
        <v>0</v>
      </c>
      <c r="Z9" s="38">
        <f t="shared" si="1"/>
        <v>0</v>
      </c>
      <c r="AA9" s="38">
        <f t="shared" si="2"/>
        <v>0</v>
      </c>
    </row>
    <row r="10" spans="1:27" x14ac:dyDescent="0.25">
      <c r="A10" s="18">
        <f t="shared" si="3"/>
        <v>46209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Y10" s="38">
        <f t="shared" si="0"/>
        <v>0</v>
      </c>
      <c r="Z10" s="38">
        <f t="shared" si="1"/>
        <v>0</v>
      </c>
      <c r="AA10" s="38">
        <f t="shared" si="2"/>
        <v>0</v>
      </c>
    </row>
    <row r="11" spans="1:27" x14ac:dyDescent="0.25">
      <c r="A11" s="18">
        <f t="shared" si="3"/>
        <v>46216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Y11" s="38">
        <f t="shared" si="0"/>
        <v>0</v>
      </c>
      <c r="Z11" s="38">
        <f t="shared" si="1"/>
        <v>0</v>
      </c>
      <c r="AA11" s="38">
        <f t="shared" si="2"/>
        <v>0</v>
      </c>
    </row>
    <row r="12" spans="1:27" x14ac:dyDescent="0.25">
      <c r="A12" s="18">
        <f t="shared" si="3"/>
        <v>46223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Y12" s="38">
        <f t="shared" si="0"/>
        <v>0</v>
      </c>
      <c r="Z12" s="38">
        <f t="shared" si="1"/>
        <v>0</v>
      </c>
      <c r="AA12" s="38">
        <f t="shared" si="2"/>
        <v>0</v>
      </c>
    </row>
    <row r="13" spans="1:27" x14ac:dyDescent="0.25">
      <c r="A13" s="18">
        <f t="shared" si="3"/>
        <v>46230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Y13" s="38">
        <f t="shared" si="0"/>
        <v>0</v>
      </c>
      <c r="Z13" s="38">
        <f t="shared" si="1"/>
        <v>0</v>
      </c>
      <c r="AA13" s="38">
        <f t="shared" si="2"/>
        <v>0</v>
      </c>
    </row>
    <row r="14" spans="1:27" x14ac:dyDescent="0.25">
      <c r="A14" s="18">
        <f t="shared" si="3"/>
        <v>46237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Y14" s="38">
        <f t="shared" si="0"/>
        <v>0</v>
      </c>
      <c r="Z14" s="38">
        <f t="shared" si="1"/>
        <v>0</v>
      </c>
      <c r="AA14" s="38">
        <f t="shared" si="2"/>
        <v>0</v>
      </c>
    </row>
    <row r="15" spans="1:27" x14ac:dyDescent="0.25">
      <c r="A15" s="18">
        <f t="shared" si="3"/>
        <v>46244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Y15" s="38">
        <f t="shared" si="0"/>
        <v>0</v>
      </c>
      <c r="Z15" s="38">
        <f t="shared" si="1"/>
        <v>0</v>
      </c>
      <c r="AA15" s="38">
        <f t="shared" si="2"/>
        <v>0</v>
      </c>
    </row>
    <row r="16" spans="1:27" x14ac:dyDescent="0.25">
      <c r="A16" s="18">
        <f t="shared" si="3"/>
        <v>46251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Y16" s="38">
        <f t="shared" si="0"/>
        <v>0</v>
      </c>
      <c r="Z16" s="38">
        <f t="shared" si="1"/>
        <v>0</v>
      </c>
      <c r="AA16" s="38">
        <f t="shared" si="2"/>
        <v>0</v>
      </c>
    </row>
    <row r="17" spans="1:27" x14ac:dyDescent="0.25">
      <c r="A17" s="18">
        <f t="shared" si="3"/>
        <v>46258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Y17" s="38">
        <f t="shared" si="0"/>
        <v>0</v>
      </c>
      <c r="Z17" s="38">
        <f t="shared" si="1"/>
        <v>0</v>
      </c>
      <c r="AA17" s="38">
        <f t="shared" si="2"/>
        <v>0</v>
      </c>
    </row>
    <row r="18" spans="1:27" x14ac:dyDescent="0.25">
      <c r="A18" s="18">
        <f t="shared" si="3"/>
        <v>46265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Y18" s="38">
        <f t="shared" si="0"/>
        <v>0</v>
      </c>
      <c r="Z18" s="38">
        <f t="shared" si="1"/>
        <v>0</v>
      </c>
      <c r="AA18" s="38">
        <f t="shared" si="2"/>
        <v>0</v>
      </c>
    </row>
    <row r="19" spans="1:27" x14ac:dyDescent="0.25">
      <c r="A19" s="18">
        <f t="shared" si="3"/>
        <v>46272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Y19" s="38">
        <f t="shared" si="0"/>
        <v>0</v>
      </c>
      <c r="Z19" s="38">
        <f t="shared" si="1"/>
        <v>0</v>
      </c>
      <c r="AA19" s="38">
        <f t="shared" si="2"/>
        <v>0</v>
      </c>
    </row>
    <row r="20" spans="1:27" x14ac:dyDescent="0.25">
      <c r="A20" s="18">
        <f t="shared" si="3"/>
        <v>46279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Y20" s="38">
        <f t="shared" si="0"/>
        <v>0</v>
      </c>
      <c r="Z20" s="38">
        <f t="shared" si="1"/>
        <v>0</v>
      </c>
      <c r="AA20" s="38">
        <f t="shared" si="2"/>
        <v>0</v>
      </c>
    </row>
    <row r="21" spans="1:27" x14ac:dyDescent="0.25">
      <c r="A21" s="18">
        <f t="shared" si="3"/>
        <v>46286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Y21" s="38">
        <f t="shared" si="0"/>
        <v>0</v>
      </c>
      <c r="Z21" s="38">
        <f t="shared" si="1"/>
        <v>0</v>
      </c>
      <c r="AA21" s="38">
        <f t="shared" si="2"/>
        <v>0</v>
      </c>
    </row>
    <row r="22" spans="1:27" x14ac:dyDescent="0.25">
      <c r="A22" s="18">
        <f t="shared" si="3"/>
        <v>46293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Y22" s="38">
        <f t="shared" si="0"/>
        <v>0</v>
      </c>
      <c r="Z22" s="38">
        <f t="shared" si="1"/>
        <v>0</v>
      </c>
      <c r="AA22" s="38">
        <f t="shared" si="2"/>
        <v>0</v>
      </c>
    </row>
    <row r="23" spans="1:27" x14ac:dyDescent="0.25">
      <c r="A23" s="18">
        <f t="shared" si="3"/>
        <v>46300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Y23" s="38">
        <f t="shared" si="0"/>
        <v>0</v>
      </c>
      <c r="Z23" s="38">
        <f t="shared" si="1"/>
        <v>0</v>
      </c>
      <c r="AA23" s="38">
        <f t="shared" si="2"/>
        <v>0</v>
      </c>
    </row>
    <row r="24" spans="1:27" x14ac:dyDescent="0.25">
      <c r="A24" s="18">
        <f t="shared" si="3"/>
        <v>46307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Y24" s="38">
        <f t="shared" si="0"/>
        <v>0</v>
      </c>
      <c r="Z24" s="38">
        <f t="shared" si="1"/>
        <v>0</v>
      </c>
      <c r="AA24" s="38">
        <f t="shared" si="2"/>
        <v>0</v>
      </c>
    </row>
    <row r="25" spans="1:27" x14ac:dyDescent="0.25">
      <c r="A25" s="18">
        <f t="shared" si="3"/>
        <v>46314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Y25" s="38">
        <f t="shared" si="0"/>
        <v>0</v>
      </c>
      <c r="Z25" s="38">
        <f t="shared" si="1"/>
        <v>0</v>
      </c>
      <c r="AA25" s="38">
        <f t="shared" si="2"/>
        <v>0</v>
      </c>
    </row>
    <row r="26" spans="1:27" x14ac:dyDescent="0.25">
      <c r="A26" s="18">
        <f t="shared" si="3"/>
        <v>46321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Y26" s="38">
        <f t="shared" si="0"/>
        <v>0</v>
      </c>
      <c r="Z26" s="38">
        <f t="shared" si="1"/>
        <v>0</v>
      </c>
      <c r="AA26" s="38">
        <f t="shared" si="2"/>
        <v>0</v>
      </c>
    </row>
    <row r="27" spans="1:27" x14ac:dyDescent="0.25">
      <c r="A27" s="18">
        <f t="shared" si="3"/>
        <v>46328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Y27" s="38">
        <f t="shared" si="0"/>
        <v>0</v>
      </c>
      <c r="Z27" s="38">
        <f t="shared" si="1"/>
        <v>0</v>
      </c>
      <c r="AA27" s="38">
        <f t="shared" si="2"/>
        <v>0</v>
      </c>
    </row>
    <row r="28" spans="1:27" x14ac:dyDescent="0.25">
      <c r="A28" s="18">
        <f t="shared" si="3"/>
        <v>46335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Y28" s="38">
        <f t="shared" si="0"/>
        <v>0</v>
      </c>
      <c r="Z28" s="38">
        <f t="shared" si="1"/>
        <v>0</v>
      </c>
      <c r="AA28" s="38">
        <f t="shared" si="2"/>
        <v>0</v>
      </c>
    </row>
    <row r="29" spans="1:27" x14ac:dyDescent="0.25">
      <c r="A29" s="18">
        <f t="shared" si="3"/>
        <v>46342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Y29" s="38">
        <f t="shared" si="0"/>
        <v>0</v>
      </c>
      <c r="Z29" s="38">
        <f t="shared" si="1"/>
        <v>0</v>
      </c>
      <c r="AA29" s="38">
        <f t="shared" si="2"/>
        <v>0</v>
      </c>
    </row>
    <row r="30" spans="1:27" x14ac:dyDescent="0.25">
      <c r="A30" s="18">
        <f t="shared" si="3"/>
        <v>46349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Y30" s="38">
        <f t="shared" si="0"/>
        <v>0</v>
      </c>
      <c r="Z30" s="38">
        <f t="shared" si="1"/>
        <v>0</v>
      </c>
      <c r="AA30" s="38">
        <f t="shared" si="2"/>
        <v>0</v>
      </c>
    </row>
    <row r="31" spans="1:27" x14ac:dyDescent="0.25">
      <c r="A31" s="18">
        <f t="shared" si="3"/>
        <v>46356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Y31" s="38">
        <f t="shared" si="0"/>
        <v>0</v>
      </c>
      <c r="Z31" s="38">
        <f t="shared" si="1"/>
        <v>0</v>
      </c>
      <c r="AA31" s="38">
        <f t="shared" si="2"/>
        <v>0</v>
      </c>
    </row>
    <row r="32" spans="1:27" x14ac:dyDescent="0.25">
      <c r="A32" s="18">
        <f t="shared" si="3"/>
        <v>46363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Y32" s="38">
        <f t="shared" si="0"/>
        <v>0</v>
      </c>
      <c r="Z32" s="38">
        <f t="shared" si="1"/>
        <v>0</v>
      </c>
      <c r="AA32" s="38">
        <f t="shared" si="2"/>
        <v>0</v>
      </c>
    </row>
    <row r="33" spans="1:27" x14ac:dyDescent="0.25">
      <c r="A33" s="18">
        <f t="shared" si="3"/>
        <v>46370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Y33" s="38">
        <f t="shared" si="0"/>
        <v>0</v>
      </c>
      <c r="Z33" s="38">
        <f t="shared" si="1"/>
        <v>0</v>
      </c>
      <c r="AA33" s="38">
        <f t="shared" si="2"/>
        <v>0</v>
      </c>
    </row>
    <row r="34" spans="1:27" x14ac:dyDescent="0.25">
      <c r="A34" s="18">
        <f t="shared" si="3"/>
        <v>46377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Y34" s="38">
        <f t="shared" si="0"/>
        <v>0</v>
      </c>
      <c r="Z34" s="38">
        <f t="shared" si="1"/>
        <v>0</v>
      </c>
      <c r="AA34" s="38">
        <f t="shared" si="2"/>
        <v>0</v>
      </c>
    </row>
    <row r="35" spans="1:27" x14ac:dyDescent="0.25">
      <c r="A35" s="18">
        <f t="shared" si="3"/>
        <v>46384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Y35" s="38">
        <f t="shared" si="0"/>
        <v>0</v>
      </c>
      <c r="Z35" s="38">
        <f t="shared" si="1"/>
        <v>0</v>
      </c>
      <c r="AA35" s="38">
        <f t="shared" si="2"/>
        <v>0</v>
      </c>
    </row>
    <row r="36" spans="1:27" x14ac:dyDescent="0.25">
      <c r="A36" s="18">
        <f t="shared" si="3"/>
        <v>46391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Y36" s="38">
        <f t="shared" si="0"/>
        <v>0</v>
      </c>
      <c r="Z36" s="38">
        <f t="shared" si="1"/>
        <v>0</v>
      </c>
      <c r="AA36" s="38">
        <f t="shared" si="2"/>
        <v>0</v>
      </c>
    </row>
    <row r="37" spans="1:27" x14ac:dyDescent="0.25">
      <c r="A37" s="18">
        <f t="shared" si="3"/>
        <v>46398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Y37" s="38">
        <f t="shared" si="0"/>
        <v>0</v>
      </c>
      <c r="Z37" s="38">
        <f t="shared" si="1"/>
        <v>0</v>
      </c>
      <c r="AA37" s="38">
        <f t="shared" si="2"/>
        <v>0</v>
      </c>
    </row>
    <row r="38" spans="1:27" x14ac:dyDescent="0.25">
      <c r="A38" s="18">
        <f t="shared" si="3"/>
        <v>46405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Y38" s="38">
        <f t="shared" si="0"/>
        <v>0</v>
      </c>
      <c r="Z38" s="38">
        <f t="shared" si="1"/>
        <v>0</v>
      </c>
      <c r="AA38" s="38">
        <f t="shared" si="2"/>
        <v>0</v>
      </c>
    </row>
    <row r="39" spans="1:27" x14ac:dyDescent="0.25">
      <c r="A39" s="18">
        <f t="shared" si="3"/>
        <v>46412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Y39" s="38">
        <f t="shared" si="0"/>
        <v>0</v>
      </c>
      <c r="Z39" s="38">
        <f t="shared" si="1"/>
        <v>0</v>
      </c>
      <c r="AA39" s="38">
        <f t="shared" si="2"/>
        <v>0</v>
      </c>
    </row>
    <row r="40" spans="1:27" x14ac:dyDescent="0.25">
      <c r="A40" s="18">
        <f t="shared" si="3"/>
        <v>46419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Y40" s="38">
        <f t="shared" si="0"/>
        <v>0</v>
      </c>
      <c r="Z40" s="38">
        <f t="shared" si="1"/>
        <v>0</v>
      </c>
      <c r="AA40" s="38">
        <f t="shared" si="2"/>
        <v>0</v>
      </c>
    </row>
    <row r="41" spans="1:27" x14ac:dyDescent="0.25">
      <c r="A41" s="18">
        <f t="shared" si="3"/>
        <v>46426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Y41" s="38">
        <f t="shared" si="0"/>
        <v>0</v>
      </c>
      <c r="Z41" s="38">
        <f t="shared" si="1"/>
        <v>0</v>
      </c>
      <c r="AA41" s="38">
        <f t="shared" si="2"/>
        <v>0</v>
      </c>
    </row>
    <row r="42" spans="1:27" x14ac:dyDescent="0.25">
      <c r="A42" s="18">
        <f t="shared" si="3"/>
        <v>46433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Y42" s="38">
        <f t="shared" si="0"/>
        <v>0</v>
      </c>
      <c r="Z42" s="38">
        <f t="shared" si="1"/>
        <v>0</v>
      </c>
      <c r="AA42" s="38">
        <f t="shared" si="2"/>
        <v>0</v>
      </c>
    </row>
    <row r="43" spans="1:27" x14ac:dyDescent="0.25">
      <c r="A43" s="18">
        <f t="shared" si="3"/>
        <v>46440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Y43" s="38">
        <f t="shared" si="0"/>
        <v>0</v>
      </c>
      <c r="Z43" s="38">
        <f t="shared" si="1"/>
        <v>0</v>
      </c>
      <c r="AA43" s="38">
        <f t="shared" si="2"/>
        <v>0</v>
      </c>
    </row>
    <row r="44" spans="1:27" x14ac:dyDescent="0.25">
      <c r="A44" s="18">
        <f t="shared" si="3"/>
        <v>46447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Y44" s="38">
        <f t="shared" si="0"/>
        <v>0</v>
      </c>
      <c r="Z44" s="38">
        <f t="shared" si="1"/>
        <v>0</v>
      </c>
      <c r="AA44" s="38">
        <f t="shared" si="2"/>
        <v>0</v>
      </c>
    </row>
    <row r="45" spans="1:27" x14ac:dyDescent="0.25">
      <c r="A45" s="18">
        <f t="shared" si="3"/>
        <v>46454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Y45" s="38">
        <f t="shared" si="0"/>
        <v>0</v>
      </c>
      <c r="Z45" s="38">
        <f t="shared" si="1"/>
        <v>0</v>
      </c>
      <c r="AA45" s="38">
        <f t="shared" si="2"/>
        <v>0</v>
      </c>
    </row>
    <row r="46" spans="1:27" x14ac:dyDescent="0.25">
      <c r="A46" s="18">
        <f t="shared" si="3"/>
        <v>46461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Y46" s="38">
        <f t="shared" si="0"/>
        <v>0</v>
      </c>
      <c r="Z46" s="38">
        <f t="shared" si="1"/>
        <v>0</v>
      </c>
      <c r="AA46" s="38">
        <f t="shared" si="2"/>
        <v>0</v>
      </c>
    </row>
    <row r="47" spans="1:27" x14ac:dyDescent="0.25">
      <c r="A47" s="18">
        <f t="shared" si="3"/>
        <v>46468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Y47" s="38">
        <f t="shared" si="0"/>
        <v>0</v>
      </c>
      <c r="Z47" s="38">
        <f t="shared" si="1"/>
        <v>0</v>
      </c>
      <c r="AA47" s="38">
        <f t="shared" si="2"/>
        <v>0</v>
      </c>
    </row>
    <row r="48" spans="1:27" x14ac:dyDescent="0.25">
      <c r="A48" s="18">
        <f t="shared" si="3"/>
        <v>46475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Y48" s="38">
        <f t="shared" si="0"/>
        <v>0</v>
      </c>
      <c r="Z48" s="38">
        <f t="shared" si="1"/>
        <v>0</v>
      </c>
      <c r="AA48" s="38">
        <f t="shared" si="2"/>
        <v>0</v>
      </c>
    </row>
    <row r="49" spans="1:27" x14ac:dyDescent="0.25">
      <c r="A49" s="18">
        <f t="shared" si="3"/>
        <v>46482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Y49" s="38">
        <f t="shared" si="0"/>
        <v>0</v>
      </c>
      <c r="Z49" s="38">
        <f t="shared" si="1"/>
        <v>0</v>
      </c>
      <c r="AA49" s="38">
        <f t="shared" si="2"/>
        <v>0</v>
      </c>
    </row>
    <row r="50" spans="1:27" x14ac:dyDescent="0.25">
      <c r="A50" s="18">
        <f t="shared" si="3"/>
        <v>46489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Y50" s="38">
        <f t="shared" si="0"/>
        <v>0</v>
      </c>
      <c r="Z50" s="38">
        <f t="shared" si="1"/>
        <v>0</v>
      </c>
      <c r="AA50" s="38">
        <f t="shared" si="2"/>
        <v>0</v>
      </c>
    </row>
    <row r="51" spans="1:27" x14ac:dyDescent="0.25">
      <c r="A51" s="18">
        <f t="shared" si="3"/>
        <v>46496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Y51" s="38">
        <f t="shared" si="0"/>
        <v>0</v>
      </c>
      <c r="Z51" s="38">
        <f t="shared" si="1"/>
        <v>0</v>
      </c>
      <c r="AA51" s="38">
        <f t="shared" si="2"/>
        <v>0</v>
      </c>
    </row>
    <row r="52" spans="1:27" x14ac:dyDescent="0.25">
      <c r="A52" s="18">
        <f t="shared" si="3"/>
        <v>46503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Y52" s="38">
        <f t="shared" si="0"/>
        <v>0</v>
      </c>
      <c r="Z52" s="38">
        <f t="shared" si="1"/>
        <v>0</v>
      </c>
      <c r="AA52" s="38">
        <f t="shared" si="2"/>
        <v>0</v>
      </c>
    </row>
  </sheetData>
  <mergeCells count="11">
    <mergeCell ref="B2:W2"/>
    <mergeCell ref="A1:W1"/>
    <mergeCell ref="R3:T3"/>
    <mergeCell ref="U3:W3"/>
    <mergeCell ref="Y1:AA1"/>
    <mergeCell ref="A2:A3"/>
    <mergeCell ref="B3:E3"/>
    <mergeCell ref="I3:K3"/>
    <mergeCell ref="F3:H3"/>
    <mergeCell ref="L3:N3"/>
    <mergeCell ref="O3:Q3"/>
  </mergeCells>
  <conditionalFormatting sqref="A5:A52">
    <cfRule type="expression" dxfId="61" priority="1">
      <formula>AND($A5&lt;=TODAY(),$A5+6&gt;=TODAY())</formula>
    </cfRule>
  </conditionalFormatting>
  <dataValidations count="1">
    <dataValidation type="decimal" operator="greaterThanOrEqual" sqref="B5:W52" xr:uid="{00000000-0002-0000-1200-000000000000}">
      <formula1>0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BF8F00"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2" style="66" customWidth="1"/>
    <col min="2" max="26" width="10" style="66" customWidth="1"/>
  </cols>
  <sheetData>
    <row r="1" spans="1:26" x14ac:dyDescent="0.25">
      <c r="A1" s="73" t="s">
        <v>117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X1" s="80" t="s">
        <v>109</v>
      </c>
      <c r="Y1" s="74"/>
      <c r="Z1" s="74"/>
    </row>
    <row r="2" spans="1:26" x14ac:dyDescent="0.25">
      <c r="A2" s="81" t="s">
        <v>73</v>
      </c>
      <c r="B2" s="83" t="s">
        <v>56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</row>
    <row r="3" spans="1:26" x14ac:dyDescent="0.25">
      <c r="A3" s="82"/>
      <c r="B3" s="83" t="s">
        <v>97</v>
      </c>
      <c r="C3" s="78"/>
      <c r="D3" s="79"/>
      <c r="E3" s="83" t="s">
        <v>98</v>
      </c>
      <c r="F3" s="78"/>
      <c r="G3" s="79"/>
      <c r="H3" s="83" t="s">
        <v>99</v>
      </c>
      <c r="I3" s="78"/>
      <c r="J3" s="79"/>
      <c r="K3" s="83" t="s">
        <v>100</v>
      </c>
      <c r="L3" s="78"/>
      <c r="M3" s="79"/>
      <c r="N3" s="83" t="s">
        <v>101</v>
      </c>
      <c r="O3" s="78"/>
      <c r="P3" s="79"/>
      <c r="Q3" s="83" t="s">
        <v>102</v>
      </c>
      <c r="R3" s="78"/>
      <c r="S3" s="79"/>
      <c r="T3" s="83" t="s">
        <v>103</v>
      </c>
      <c r="U3" s="78"/>
      <c r="V3" s="79"/>
      <c r="X3" s="35" t="s">
        <v>76</v>
      </c>
      <c r="Y3" s="35" t="s">
        <v>77</v>
      </c>
      <c r="Z3" s="35" t="s">
        <v>78</v>
      </c>
    </row>
    <row r="4" spans="1:26" x14ac:dyDescent="0.25">
      <c r="B4" s="70" t="s">
        <v>76</v>
      </c>
      <c r="C4" s="70" t="s">
        <v>77</v>
      </c>
      <c r="D4" s="70" t="s">
        <v>78</v>
      </c>
      <c r="E4" s="70" t="s">
        <v>76</v>
      </c>
      <c r="F4" s="70" t="s">
        <v>77</v>
      </c>
      <c r="G4" s="70" t="s">
        <v>78</v>
      </c>
      <c r="H4" s="70" t="s">
        <v>76</v>
      </c>
      <c r="I4" s="70" t="s">
        <v>77</v>
      </c>
      <c r="J4" s="70" t="s">
        <v>78</v>
      </c>
      <c r="K4" s="70" t="s">
        <v>76</v>
      </c>
      <c r="L4" s="70" t="s">
        <v>77</v>
      </c>
      <c r="M4" s="70" t="s">
        <v>78</v>
      </c>
      <c r="N4" s="70" t="s">
        <v>76</v>
      </c>
      <c r="O4" s="70" t="s">
        <v>77</v>
      </c>
      <c r="P4" s="70" t="s">
        <v>78</v>
      </c>
      <c r="Q4" s="70" t="s">
        <v>76</v>
      </c>
      <c r="R4" s="70" t="s">
        <v>77</v>
      </c>
      <c r="S4" s="70" t="s">
        <v>78</v>
      </c>
      <c r="T4" s="70" t="s">
        <v>76</v>
      </c>
      <c r="U4" s="70" t="s">
        <v>77</v>
      </c>
      <c r="V4" s="70" t="s">
        <v>78</v>
      </c>
      <c r="X4" s="36"/>
      <c r="Y4" s="36"/>
      <c r="Z4" s="36"/>
    </row>
    <row r="5" spans="1:26" x14ac:dyDescent="0.25">
      <c r="A5" s="18">
        <f>СПРАВОЧНИК!$B$35</f>
        <v>46174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X5" s="38">
        <f t="shared" ref="X5:X52" si="0">B5+E5+H5+K5+N5+Q5+T5</f>
        <v>0</v>
      </c>
      <c r="Y5" s="38">
        <f t="shared" ref="Y5:Y52" si="1">C5+F5+I5+L5+O5+R5+U5</f>
        <v>0</v>
      </c>
      <c r="Z5" s="38">
        <f t="shared" ref="Z5:Z52" si="2">D5+G5+J5+M5+P5+S5+V5</f>
        <v>0</v>
      </c>
    </row>
    <row r="6" spans="1:26" x14ac:dyDescent="0.25">
      <c r="A6" s="18">
        <f t="shared" ref="A6:A52" si="3">A5+7</f>
        <v>46181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X6" s="38">
        <f t="shared" si="0"/>
        <v>0</v>
      </c>
      <c r="Y6" s="38">
        <f t="shared" si="1"/>
        <v>0</v>
      </c>
      <c r="Z6" s="38">
        <f t="shared" si="2"/>
        <v>0</v>
      </c>
    </row>
    <row r="7" spans="1:26" x14ac:dyDescent="0.25">
      <c r="A7" s="18">
        <f t="shared" si="3"/>
        <v>46188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X7" s="38">
        <f t="shared" si="0"/>
        <v>0</v>
      </c>
      <c r="Y7" s="38">
        <f t="shared" si="1"/>
        <v>0</v>
      </c>
      <c r="Z7" s="38">
        <f t="shared" si="2"/>
        <v>0</v>
      </c>
    </row>
    <row r="8" spans="1:26" x14ac:dyDescent="0.25">
      <c r="A8" s="18">
        <f t="shared" si="3"/>
        <v>46195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X8" s="38">
        <f t="shared" si="0"/>
        <v>0</v>
      </c>
      <c r="Y8" s="38">
        <f t="shared" si="1"/>
        <v>0</v>
      </c>
      <c r="Z8" s="38">
        <f t="shared" si="2"/>
        <v>0</v>
      </c>
    </row>
    <row r="9" spans="1:26" x14ac:dyDescent="0.25">
      <c r="A9" s="18">
        <f t="shared" si="3"/>
        <v>46202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X9" s="38">
        <f t="shared" si="0"/>
        <v>0</v>
      </c>
      <c r="Y9" s="38">
        <f t="shared" si="1"/>
        <v>0</v>
      </c>
      <c r="Z9" s="38">
        <f t="shared" si="2"/>
        <v>0</v>
      </c>
    </row>
    <row r="10" spans="1:26" x14ac:dyDescent="0.25">
      <c r="A10" s="18">
        <f t="shared" si="3"/>
        <v>46209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X10" s="38">
        <f t="shared" si="0"/>
        <v>0</v>
      </c>
      <c r="Y10" s="38">
        <f t="shared" si="1"/>
        <v>0</v>
      </c>
      <c r="Z10" s="38">
        <f t="shared" si="2"/>
        <v>0</v>
      </c>
    </row>
    <row r="11" spans="1:26" x14ac:dyDescent="0.25">
      <c r="A11" s="18">
        <f t="shared" si="3"/>
        <v>46216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X11" s="38">
        <f t="shared" si="0"/>
        <v>0</v>
      </c>
      <c r="Y11" s="38">
        <f t="shared" si="1"/>
        <v>0</v>
      </c>
      <c r="Z11" s="38">
        <f t="shared" si="2"/>
        <v>0</v>
      </c>
    </row>
    <row r="12" spans="1:26" x14ac:dyDescent="0.25">
      <c r="A12" s="18">
        <f t="shared" si="3"/>
        <v>46223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X12" s="38">
        <f t="shared" si="0"/>
        <v>0</v>
      </c>
      <c r="Y12" s="38">
        <f t="shared" si="1"/>
        <v>0</v>
      </c>
      <c r="Z12" s="38">
        <f t="shared" si="2"/>
        <v>0</v>
      </c>
    </row>
    <row r="13" spans="1:26" x14ac:dyDescent="0.25">
      <c r="A13" s="18">
        <f t="shared" si="3"/>
        <v>46230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X13" s="38">
        <f t="shared" si="0"/>
        <v>0</v>
      </c>
      <c r="Y13" s="38">
        <f t="shared" si="1"/>
        <v>0</v>
      </c>
      <c r="Z13" s="38">
        <f t="shared" si="2"/>
        <v>0</v>
      </c>
    </row>
    <row r="14" spans="1:26" x14ac:dyDescent="0.25">
      <c r="A14" s="18">
        <f t="shared" si="3"/>
        <v>46237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X14" s="38">
        <f t="shared" si="0"/>
        <v>0</v>
      </c>
      <c r="Y14" s="38">
        <f t="shared" si="1"/>
        <v>0</v>
      </c>
      <c r="Z14" s="38">
        <f t="shared" si="2"/>
        <v>0</v>
      </c>
    </row>
    <row r="15" spans="1:26" x14ac:dyDescent="0.25">
      <c r="A15" s="18">
        <f t="shared" si="3"/>
        <v>46244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X15" s="38">
        <f t="shared" si="0"/>
        <v>0</v>
      </c>
      <c r="Y15" s="38">
        <f t="shared" si="1"/>
        <v>0</v>
      </c>
      <c r="Z15" s="38">
        <f t="shared" si="2"/>
        <v>0</v>
      </c>
    </row>
    <row r="16" spans="1:26" x14ac:dyDescent="0.25">
      <c r="A16" s="18">
        <f t="shared" si="3"/>
        <v>46251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X16" s="38">
        <f t="shared" si="0"/>
        <v>0</v>
      </c>
      <c r="Y16" s="38">
        <f t="shared" si="1"/>
        <v>0</v>
      </c>
      <c r="Z16" s="38">
        <f t="shared" si="2"/>
        <v>0</v>
      </c>
    </row>
    <row r="17" spans="1:26" x14ac:dyDescent="0.25">
      <c r="A17" s="18">
        <f t="shared" si="3"/>
        <v>46258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X17" s="38">
        <f t="shared" si="0"/>
        <v>0</v>
      </c>
      <c r="Y17" s="38">
        <f t="shared" si="1"/>
        <v>0</v>
      </c>
      <c r="Z17" s="38">
        <f t="shared" si="2"/>
        <v>0</v>
      </c>
    </row>
    <row r="18" spans="1:26" x14ac:dyDescent="0.25">
      <c r="A18" s="18">
        <f t="shared" si="3"/>
        <v>46265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X18" s="38">
        <f t="shared" si="0"/>
        <v>0</v>
      </c>
      <c r="Y18" s="38">
        <f t="shared" si="1"/>
        <v>0</v>
      </c>
      <c r="Z18" s="38">
        <f t="shared" si="2"/>
        <v>0</v>
      </c>
    </row>
    <row r="19" spans="1:26" x14ac:dyDescent="0.25">
      <c r="A19" s="18">
        <f t="shared" si="3"/>
        <v>46272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X19" s="38">
        <f t="shared" si="0"/>
        <v>0</v>
      </c>
      <c r="Y19" s="38">
        <f t="shared" si="1"/>
        <v>0</v>
      </c>
      <c r="Z19" s="38">
        <f t="shared" si="2"/>
        <v>0</v>
      </c>
    </row>
    <row r="20" spans="1:26" x14ac:dyDescent="0.25">
      <c r="A20" s="18">
        <f t="shared" si="3"/>
        <v>46279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X20" s="38">
        <f t="shared" si="0"/>
        <v>0</v>
      </c>
      <c r="Y20" s="38">
        <f t="shared" si="1"/>
        <v>0</v>
      </c>
      <c r="Z20" s="38">
        <f t="shared" si="2"/>
        <v>0</v>
      </c>
    </row>
    <row r="21" spans="1:26" x14ac:dyDescent="0.25">
      <c r="A21" s="18">
        <f t="shared" si="3"/>
        <v>46286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X21" s="38">
        <f t="shared" si="0"/>
        <v>0</v>
      </c>
      <c r="Y21" s="38">
        <f t="shared" si="1"/>
        <v>0</v>
      </c>
      <c r="Z21" s="38">
        <f t="shared" si="2"/>
        <v>0</v>
      </c>
    </row>
    <row r="22" spans="1:26" x14ac:dyDescent="0.25">
      <c r="A22" s="18">
        <f t="shared" si="3"/>
        <v>46293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X22" s="38">
        <f t="shared" si="0"/>
        <v>0</v>
      </c>
      <c r="Y22" s="38">
        <f t="shared" si="1"/>
        <v>0</v>
      </c>
      <c r="Z22" s="38">
        <f t="shared" si="2"/>
        <v>0</v>
      </c>
    </row>
    <row r="23" spans="1:26" x14ac:dyDescent="0.25">
      <c r="A23" s="18">
        <f t="shared" si="3"/>
        <v>46300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X23" s="38">
        <f t="shared" si="0"/>
        <v>0</v>
      </c>
      <c r="Y23" s="38">
        <f t="shared" si="1"/>
        <v>0</v>
      </c>
      <c r="Z23" s="38">
        <f t="shared" si="2"/>
        <v>0</v>
      </c>
    </row>
    <row r="24" spans="1:26" x14ac:dyDescent="0.25">
      <c r="A24" s="18">
        <f t="shared" si="3"/>
        <v>46307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X24" s="38">
        <f t="shared" si="0"/>
        <v>0</v>
      </c>
      <c r="Y24" s="38">
        <f t="shared" si="1"/>
        <v>0</v>
      </c>
      <c r="Z24" s="38">
        <f t="shared" si="2"/>
        <v>0</v>
      </c>
    </row>
    <row r="25" spans="1:26" x14ac:dyDescent="0.25">
      <c r="A25" s="18">
        <f t="shared" si="3"/>
        <v>46314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X25" s="38">
        <f t="shared" si="0"/>
        <v>0</v>
      </c>
      <c r="Y25" s="38">
        <f t="shared" si="1"/>
        <v>0</v>
      </c>
      <c r="Z25" s="38">
        <f t="shared" si="2"/>
        <v>0</v>
      </c>
    </row>
    <row r="26" spans="1:26" x14ac:dyDescent="0.25">
      <c r="A26" s="18">
        <f t="shared" si="3"/>
        <v>46321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X26" s="38">
        <f t="shared" si="0"/>
        <v>0</v>
      </c>
      <c r="Y26" s="38">
        <f t="shared" si="1"/>
        <v>0</v>
      </c>
      <c r="Z26" s="38">
        <f t="shared" si="2"/>
        <v>0</v>
      </c>
    </row>
    <row r="27" spans="1:26" x14ac:dyDescent="0.25">
      <c r="A27" s="18">
        <f t="shared" si="3"/>
        <v>46328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X27" s="38">
        <f t="shared" si="0"/>
        <v>0</v>
      </c>
      <c r="Y27" s="38">
        <f t="shared" si="1"/>
        <v>0</v>
      </c>
      <c r="Z27" s="38">
        <f t="shared" si="2"/>
        <v>0</v>
      </c>
    </row>
    <row r="28" spans="1:26" x14ac:dyDescent="0.25">
      <c r="A28" s="18">
        <f t="shared" si="3"/>
        <v>46335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X28" s="38">
        <f t="shared" si="0"/>
        <v>0</v>
      </c>
      <c r="Y28" s="38">
        <f t="shared" si="1"/>
        <v>0</v>
      </c>
      <c r="Z28" s="38">
        <f t="shared" si="2"/>
        <v>0</v>
      </c>
    </row>
    <row r="29" spans="1:26" x14ac:dyDescent="0.25">
      <c r="A29" s="18">
        <f t="shared" si="3"/>
        <v>46342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X29" s="38">
        <f t="shared" si="0"/>
        <v>0</v>
      </c>
      <c r="Y29" s="38">
        <f t="shared" si="1"/>
        <v>0</v>
      </c>
      <c r="Z29" s="38">
        <f t="shared" si="2"/>
        <v>0</v>
      </c>
    </row>
    <row r="30" spans="1:26" x14ac:dyDescent="0.25">
      <c r="A30" s="18">
        <f t="shared" si="3"/>
        <v>46349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X30" s="38">
        <f t="shared" si="0"/>
        <v>0</v>
      </c>
      <c r="Y30" s="38">
        <f t="shared" si="1"/>
        <v>0</v>
      </c>
      <c r="Z30" s="38">
        <f t="shared" si="2"/>
        <v>0</v>
      </c>
    </row>
    <row r="31" spans="1:26" x14ac:dyDescent="0.25">
      <c r="A31" s="18">
        <f t="shared" si="3"/>
        <v>46356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X31" s="38">
        <f t="shared" si="0"/>
        <v>0</v>
      </c>
      <c r="Y31" s="38">
        <f t="shared" si="1"/>
        <v>0</v>
      </c>
      <c r="Z31" s="38">
        <f t="shared" si="2"/>
        <v>0</v>
      </c>
    </row>
    <row r="32" spans="1:26" x14ac:dyDescent="0.25">
      <c r="A32" s="18">
        <f t="shared" si="3"/>
        <v>46363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X32" s="38">
        <f t="shared" si="0"/>
        <v>0</v>
      </c>
      <c r="Y32" s="38">
        <f t="shared" si="1"/>
        <v>0</v>
      </c>
      <c r="Z32" s="38">
        <f t="shared" si="2"/>
        <v>0</v>
      </c>
    </row>
    <row r="33" spans="1:26" x14ac:dyDescent="0.25">
      <c r="A33" s="18">
        <f t="shared" si="3"/>
        <v>46370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X33" s="38">
        <f t="shared" si="0"/>
        <v>0</v>
      </c>
      <c r="Y33" s="38">
        <f t="shared" si="1"/>
        <v>0</v>
      </c>
      <c r="Z33" s="38">
        <f t="shared" si="2"/>
        <v>0</v>
      </c>
    </row>
    <row r="34" spans="1:26" x14ac:dyDescent="0.25">
      <c r="A34" s="18">
        <f t="shared" si="3"/>
        <v>46377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X34" s="38">
        <f t="shared" si="0"/>
        <v>0</v>
      </c>
      <c r="Y34" s="38">
        <f t="shared" si="1"/>
        <v>0</v>
      </c>
      <c r="Z34" s="38">
        <f t="shared" si="2"/>
        <v>0</v>
      </c>
    </row>
    <row r="35" spans="1:26" x14ac:dyDescent="0.25">
      <c r="A35" s="18">
        <f t="shared" si="3"/>
        <v>46384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X35" s="38">
        <f t="shared" si="0"/>
        <v>0</v>
      </c>
      <c r="Y35" s="38">
        <f t="shared" si="1"/>
        <v>0</v>
      </c>
      <c r="Z35" s="38">
        <f t="shared" si="2"/>
        <v>0</v>
      </c>
    </row>
    <row r="36" spans="1:26" x14ac:dyDescent="0.25">
      <c r="A36" s="18">
        <f t="shared" si="3"/>
        <v>46391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X36" s="38">
        <f t="shared" si="0"/>
        <v>0</v>
      </c>
      <c r="Y36" s="38">
        <f t="shared" si="1"/>
        <v>0</v>
      </c>
      <c r="Z36" s="38">
        <f t="shared" si="2"/>
        <v>0</v>
      </c>
    </row>
    <row r="37" spans="1:26" x14ac:dyDescent="0.25">
      <c r="A37" s="18">
        <f t="shared" si="3"/>
        <v>46398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X37" s="38">
        <f t="shared" si="0"/>
        <v>0</v>
      </c>
      <c r="Y37" s="38">
        <f t="shared" si="1"/>
        <v>0</v>
      </c>
      <c r="Z37" s="38">
        <f t="shared" si="2"/>
        <v>0</v>
      </c>
    </row>
    <row r="38" spans="1:26" x14ac:dyDescent="0.25">
      <c r="A38" s="18">
        <f t="shared" si="3"/>
        <v>46405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X38" s="38">
        <f t="shared" si="0"/>
        <v>0</v>
      </c>
      <c r="Y38" s="38">
        <f t="shared" si="1"/>
        <v>0</v>
      </c>
      <c r="Z38" s="38">
        <f t="shared" si="2"/>
        <v>0</v>
      </c>
    </row>
    <row r="39" spans="1:26" x14ac:dyDescent="0.25">
      <c r="A39" s="18">
        <f t="shared" si="3"/>
        <v>46412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X39" s="38">
        <f t="shared" si="0"/>
        <v>0</v>
      </c>
      <c r="Y39" s="38">
        <f t="shared" si="1"/>
        <v>0</v>
      </c>
      <c r="Z39" s="38">
        <f t="shared" si="2"/>
        <v>0</v>
      </c>
    </row>
    <row r="40" spans="1:26" x14ac:dyDescent="0.25">
      <c r="A40" s="18">
        <f t="shared" si="3"/>
        <v>46419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X40" s="38">
        <f t="shared" si="0"/>
        <v>0</v>
      </c>
      <c r="Y40" s="38">
        <f t="shared" si="1"/>
        <v>0</v>
      </c>
      <c r="Z40" s="38">
        <f t="shared" si="2"/>
        <v>0</v>
      </c>
    </row>
    <row r="41" spans="1:26" x14ac:dyDescent="0.25">
      <c r="A41" s="18">
        <f t="shared" si="3"/>
        <v>46426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X41" s="38">
        <f t="shared" si="0"/>
        <v>0</v>
      </c>
      <c r="Y41" s="38">
        <f t="shared" si="1"/>
        <v>0</v>
      </c>
      <c r="Z41" s="38">
        <f t="shared" si="2"/>
        <v>0</v>
      </c>
    </row>
    <row r="42" spans="1:26" x14ac:dyDescent="0.25">
      <c r="A42" s="18">
        <f t="shared" si="3"/>
        <v>46433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X42" s="38">
        <f t="shared" si="0"/>
        <v>0</v>
      </c>
      <c r="Y42" s="38">
        <f t="shared" si="1"/>
        <v>0</v>
      </c>
      <c r="Z42" s="38">
        <f t="shared" si="2"/>
        <v>0</v>
      </c>
    </row>
    <row r="43" spans="1:26" x14ac:dyDescent="0.25">
      <c r="A43" s="18">
        <f t="shared" si="3"/>
        <v>46440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X43" s="38">
        <f t="shared" si="0"/>
        <v>0</v>
      </c>
      <c r="Y43" s="38">
        <f t="shared" si="1"/>
        <v>0</v>
      </c>
      <c r="Z43" s="38">
        <f t="shared" si="2"/>
        <v>0</v>
      </c>
    </row>
    <row r="44" spans="1:26" x14ac:dyDescent="0.25">
      <c r="A44" s="18">
        <f t="shared" si="3"/>
        <v>46447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X44" s="38">
        <f t="shared" si="0"/>
        <v>0</v>
      </c>
      <c r="Y44" s="38">
        <f t="shared" si="1"/>
        <v>0</v>
      </c>
      <c r="Z44" s="38">
        <f t="shared" si="2"/>
        <v>0</v>
      </c>
    </row>
    <row r="45" spans="1:26" x14ac:dyDescent="0.25">
      <c r="A45" s="18">
        <f t="shared" si="3"/>
        <v>46454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X45" s="38">
        <f t="shared" si="0"/>
        <v>0</v>
      </c>
      <c r="Y45" s="38">
        <f t="shared" si="1"/>
        <v>0</v>
      </c>
      <c r="Z45" s="38">
        <f t="shared" si="2"/>
        <v>0</v>
      </c>
    </row>
    <row r="46" spans="1:26" x14ac:dyDescent="0.25">
      <c r="A46" s="18">
        <f t="shared" si="3"/>
        <v>46461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X46" s="38">
        <f t="shared" si="0"/>
        <v>0</v>
      </c>
      <c r="Y46" s="38">
        <f t="shared" si="1"/>
        <v>0</v>
      </c>
      <c r="Z46" s="38">
        <f t="shared" si="2"/>
        <v>0</v>
      </c>
    </row>
    <row r="47" spans="1:26" x14ac:dyDescent="0.25">
      <c r="A47" s="18">
        <f t="shared" si="3"/>
        <v>46468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X47" s="38">
        <f t="shared" si="0"/>
        <v>0</v>
      </c>
      <c r="Y47" s="38">
        <f t="shared" si="1"/>
        <v>0</v>
      </c>
      <c r="Z47" s="38">
        <f t="shared" si="2"/>
        <v>0</v>
      </c>
    </row>
    <row r="48" spans="1:26" x14ac:dyDescent="0.25">
      <c r="A48" s="18">
        <f t="shared" si="3"/>
        <v>46475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X48" s="38">
        <f t="shared" si="0"/>
        <v>0</v>
      </c>
      <c r="Y48" s="38">
        <f t="shared" si="1"/>
        <v>0</v>
      </c>
      <c r="Z48" s="38">
        <f t="shared" si="2"/>
        <v>0</v>
      </c>
    </row>
    <row r="49" spans="1:26" x14ac:dyDescent="0.25">
      <c r="A49" s="18">
        <f t="shared" si="3"/>
        <v>46482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X49" s="38">
        <f t="shared" si="0"/>
        <v>0</v>
      </c>
      <c r="Y49" s="38">
        <f t="shared" si="1"/>
        <v>0</v>
      </c>
      <c r="Z49" s="38">
        <f t="shared" si="2"/>
        <v>0</v>
      </c>
    </row>
    <row r="50" spans="1:26" x14ac:dyDescent="0.25">
      <c r="A50" s="18">
        <f t="shared" si="3"/>
        <v>46489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X50" s="38">
        <f t="shared" si="0"/>
        <v>0</v>
      </c>
      <c r="Y50" s="38">
        <f t="shared" si="1"/>
        <v>0</v>
      </c>
      <c r="Z50" s="38">
        <f t="shared" si="2"/>
        <v>0</v>
      </c>
    </row>
    <row r="51" spans="1:26" x14ac:dyDescent="0.25">
      <c r="A51" s="18">
        <f t="shared" si="3"/>
        <v>46496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X51" s="38">
        <f t="shared" si="0"/>
        <v>0</v>
      </c>
      <c r="Y51" s="38">
        <f t="shared" si="1"/>
        <v>0</v>
      </c>
      <c r="Z51" s="38">
        <f t="shared" si="2"/>
        <v>0</v>
      </c>
    </row>
    <row r="52" spans="1:26" x14ac:dyDescent="0.25">
      <c r="A52" s="18">
        <f t="shared" si="3"/>
        <v>46503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X52" s="38">
        <f t="shared" si="0"/>
        <v>0</v>
      </c>
      <c r="Y52" s="38">
        <f t="shared" si="1"/>
        <v>0</v>
      </c>
      <c r="Z52" s="38">
        <f t="shared" si="2"/>
        <v>0</v>
      </c>
    </row>
  </sheetData>
  <mergeCells count="11">
    <mergeCell ref="X1:Z1"/>
    <mergeCell ref="N3:P3"/>
    <mergeCell ref="Q3:S3"/>
    <mergeCell ref="B3:D3"/>
    <mergeCell ref="B2:V2"/>
    <mergeCell ref="A1:V1"/>
    <mergeCell ref="T3:V3"/>
    <mergeCell ref="A2:A3"/>
    <mergeCell ref="E3:G3"/>
    <mergeCell ref="K3:M3"/>
    <mergeCell ref="H3:J3"/>
  </mergeCells>
  <conditionalFormatting sqref="A5:A52">
    <cfRule type="expression" dxfId="60" priority="1">
      <formula>AND($A5&lt;=TODAY(),$A5+6&gt;=TODAY())</formula>
    </cfRule>
  </conditionalFormatting>
  <dataValidations count="1">
    <dataValidation type="decimal" operator="greaterThanOrEqual" sqref="B5:V52" xr:uid="{00000000-0002-0000-1300-000000000000}">
      <formula1>0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548235"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sqref="A1:W1"/>
    </sheetView>
  </sheetViews>
  <sheetFormatPr defaultRowHeight="15" x14ac:dyDescent="0.25"/>
  <cols>
    <col min="1" max="1" width="12" style="66" customWidth="1"/>
    <col min="2" max="27" width="10" style="66" customWidth="1"/>
  </cols>
  <sheetData>
    <row r="1" spans="1:27" x14ac:dyDescent="0.25">
      <c r="A1" s="73" t="s">
        <v>118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Y1" s="80" t="s">
        <v>109</v>
      </c>
      <c r="Z1" s="74"/>
      <c r="AA1" s="74"/>
    </row>
    <row r="2" spans="1:27" x14ac:dyDescent="0.25">
      <c r="A2" s="81" t="s">
        <v>73</v>
      </c>
      <c r="B2" s="83" t="s">
        <v>56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9"/>
    </row>
    <row r="3" spans="1:27" x14ac:dyDescent="0.25">
      <c r="A3" s="82"/>
      <c r="B3" s="83" t="s">
        <v>97</v>
      </c>
      <c r="C3" s="78"/>
      <c r="D3" s="78"/>
      <c r="E3" s="79"/>
      <c r="F3" s="83" t="s">
        <v>98</v>
      </c>
      <c r="G3" s="78"/>
      <c r="H3" s="79"/>
      <c r="I3" s="83" t="s">
        <v>99</v>
      </c>
      <c r="J3" s="78"/>
      <c r="K3" s="79"/>
      <c r="L3" s="83" t="s">
        <v>100</v>
      </c>
      <c r="M3" s="78"/>
      <c r="N3" s="79"/>
      <c r="O3" s="83" t="s">
        <v>101</v>
      </c>
      <c r="P3" s="78"/>
      <c r="Q3" s="79"/>
      <c r="R3" s="83" t="s">
        <v>102</v>
      </c>
      <c r="S3" s="78"/>
      <c r="T3" s="79"/>
      <c r="U3" s="83" t="s">
        <v>103</v>
      </c>
      <c r="V3" s="78"/>
      <c r="W3" s="79"/>
      <c r="Y3" s="35" t="s">
        <v>76</v>
      </c>
      <c r="Z3" s="35" t="s">
        <v>77</v>
      </c>
      <c r="AA3" s="35" t="s">
        <v>78</v>
      </c>
    </row>
    <row r="4" spans="1:27" x14ac:dyDescent="0.25">
      <c r="B4" s="70" t="s">
        <v>76</v>
      </c>
      <c r="C4" s="70" t="s">
        <v>77</v>
      </c>
      <c r="D4" s="70" t="s">
        <v>78</v>
      </c>
      <c r="E4" s="70" t="s">
        <v>79</v>
      </c>
      <c r="F4" s="70" t="s">
        <v>76</v>
      </c>
      <c r="G4" s="70" t="s">
        <v>77</v>
      </c>
      <c r="H4" s="70" t="s">
        <v>78</v>
      </c>
      <c r="I4" s="70" t="s">
        <v>76</v>
      </c>
      <c r="J4" s="70" t="s">
        <v>77</v>
      </c>
      <c r="K4" s="70" t="s">
        <v>78</v>
      </c>
      <c r="L4" s="70" t="s">
        <v>76</v>
      </c>
      <c r="M4" s="70" t="s">
        <v>77</v>
      </c>
      <c r="N4" s="70" t="s">
        <v>78</v>
      </c>
      <c r="O4" s="70" t="s">
        <v>76</v>
      </c>
      <c r="P4" s="70" t="s">
        <v>77</v>
      </c>
      <c r="Q4" s="70" t="s">
        <v>78</v>
      </c>
      <c r="R4" s="70" t="s">
        <v>76</v>
      </c>
      <c r="S4" s="70" t="s">
        <v>77</v>
      </c>
      <c r="T4" s="70" t="s">
        <v>78</v>
      </c>
      <c r="U4" s="70" t="s">
        <v>76</v>
      </c>
      <c r="V4" s="70" t="s">
        <v>77</v>
      </c>
      <c r="W4" s="70" t="s">
        <v>78</v>
      </c>
      <c r="Y4" s="36"/>
      <c r="Z4" s="36"/>
      <c r="AA4" s="36"/>
    </row>
    <row r="5" spans="1:27" x14ac:dyDescent="0.25">
      <c r="A5" s="18">
        <f>СПРАВОЧНИК!$B$35</f>
        <v>46174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Y5" s="38">
        <f t="shared" ref="Y5:Y52" si="0">B5+F5+I5+L5+O5+R5+U5</f>
        <v>0</v>
      </c>
      <c r="Z5" s="38">
        <f t="shared" ref="Z5:Z52" si="1">C5+G5+J5+M5+P5+S5+V5</f>
        <v>0</v>
      </c>
      <c r="AA5" s="38">
        <f t="shared" ref="AA5:AA52" si="2">D5+H5+K5+N5+Q5+T5+W5</f>
        <v>0</v>
      </c>
    </row>
    <row r="6" spans="1:27" x14ac:dyDescent="0.25">
      <c r="A6" s="18">
        <f t="shared" ref="A6:A52" si="3">A5+7</f>
        <v>46181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Y6" s="38">
        <f t="shared" si="0"/>
        <v>0</v>
      </c>
      <c r="Z6" s="38">
        <f t="shared" si="1"/>
        <v>0</v>
      </c>
      <c r="AA6" s="38">
        <f t="shared" si="2"/>
        <v>0</v>
      </c>
    </row>
    <row r="7" spans="1:27" x14ac:dyDescent="0.25">
      <c r="A7" s="18">
        <f t="shared" si="3"/>
        <v>46188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Y7" s="38">
        <f t="shared" si="0"/>
        <v>0</v>
      </c>
      <c r="Z7" s="38">
        <f t="shared" si="1"/>
        <v>0</v>
      </c>
      <c r="AA7" s="38">
        <f t="shared" si="2"/>
        <v>0</v>
      </c>
    </row>
    <row r="8" spans="1:27" x14ac:dyDescent="0.25">
      <c r="A8" s="18">
        <f t="shared" si="3"/>
        <v>46195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Y8" s="38">
        <f t="shared" si="0"/>
        <v>0</v>
      </c>
      <c r="Z8" s="38">
        <f t="shared" si="1"/>
        <v>0</v>
      </c>
      <c r="AA8" s="38">
        <f t="shared" si="2"/>
        <v>0</v>
      </c>
    </row>
    <row r="9" spans="1:27" x14ac:dyDescent="0.25">
      <c r="A9" s="18">
        <f t="shared" si="3"/>
        <v>46202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Y9" s="38">
        <f t="shared" si="0"/>
        <v>0</v>
      </c>
      <c r="Z9" s="38">
        <f t="shared" si="1"/>
        <v>0</v>
      </c>
      <c r="AA9" s="38">
        <f t="shared" si="2"/>
        <v>0</v>
      </c>
    </row>
    <row r="10" spans="1:27" x14ac:dyDescent="0.25">
      <c r="A10" s="18">
        <f t="shared" si="3"/>
        <v>46209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Y10" s="38">
        <f t="shared" si="0"/>
        <v>0</v>
      </c>
      <c r="Z10" s="38">
        <f t="shared" si="1"/>
        <v>0</v>
      </c>
      <c r="AA10" s="38">
        <f t="shared" si="2"/>
        <v>0</v>
      </c>
    </row>
    <row r="11" spans="1:27" x14ac:dyDescent="0.25">
      <c r="A11" s="18">
        <f t="shared" si="3"/>
        <v>46216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Y11" s="38">
        <f t="shared" si="0"/>
        <v>0</v>
      </c>
      <c r="Z11" s="38">
        <f t="shared" si="1"/>
        <v>0</v>
      </c>
      <c r="AA11" s="38">
        <f t="shared" si="2"/>
        <v>0</v>
      </c>
    </row>
    <row r="12" spans="1:27" x14ac:dyDescent="0.25">
      <c r="A12" s="18">
        <f t="shared" si="3"/>
        <v>46223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Y12" s="38">
        <f t="shared" si="0"/>
        <v>0</v>
      </c>
      <c r="Z12" s="38">
        <f t="shared" si="1"/>
        <v>0</v>
      </c>
      <c r="AA12" s="38">
        <f t="shared" si="2"/>
        <v>0</v>
      </c>
    </row>
    <row r="13" spans="1:27" x14ac:dyDescent="0.25">
      <c r="A13" s="18">
        <f t="shared" si="3"/>
        <v>46230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Y13" s="38">
        <f t="shared" si="0"/>
        <v>0</v>
      </c>
      <c r="Z13" s="38">
        <f t="shared" si="1"/>
        <v>0</v>
      </c>
      <c r="AA13" s="38">
        <f t="shared" si="2"/>
        <v>0</v>
      </c>
    </row>
    <row r="14" spans="1:27" x14ac:dyDescent="0.25">
      <c r="A14" s="18">
        <f t="shared" si="3"/>
        <v>46237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Y14" s="38">
        <f t="shared" si="0"/>
        <v>0</v>
      </c>
      <c r="Z14" s="38">
        <f t="shared" si="1"/>
        <v>0</v>
      </c>
      <c r="AA14" s="38">
        <f t="shared" si="2"/>
        <v>0</v>
      </c>
    </row>
    <row r="15" spans="1:27" x14ac:dyDescent="0.25">
      <c r="A15" s="18">
        <f t="shared" si="3"/>
        <v>46244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Y15" s="38">
        <f t="shared" si="0"/>
        <v>0</v>
      </c>
      <c r="Z15" s="38">
        <f t="shared" si="1"/>
        <v>0</v>
      </c>
      <c r="AA15" s="38">
        <f t="shared" si="2"/>
        <v>0</v>
      </c>
    </row>
    <row r="16" spans="1:27" x14ac:dyDescent="0.25">
      <c r="A16" s="18">
        <f t="shared" si="3"/>
        <v>46251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Y16" s="38">
        <f t="shared" si="0"/>
        <v>0</v>
      </c>
      <c r="Z16" s="38">
        <f t="shared" si="1"/>
        <v>0</v>
      </c>
      <c r="AA16" s="38">
        <f t="shared" si="2"/>
        <v>0</v>
      </c>
    </row>
    <row r="17" spans="1:27" x14ac:dyDescent="0.25">
      <c r="A17" s="18">
        <f t="shared" si="3"/>
        <v>46258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Y17" s="38">
        <f t="shared" si="0"/>
        <v>0</v>
      </c>
      <c r="Z17" s="38">
        <f t="shared" si="1"/>
        <v>0</v>
      </c>
      <c r="AA17" s="38">
        <f t="shared" si="2"/>
        <v>0</v>
      </c>
    </row>
    <row r="18" spans="1:27" x14ac:dyDescent="0.25">
      <c r="A18" s="18">
        <f t="shared" si="3"/>
        <v>46265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Y18" s="38">
        <f t="shared" si="0"/>
        <v>0</v>
      </c>
      <c r="Z18" s="38">
        <f t="shared" si="1"/>
        <v>0</v>
      </c>
      <c r="AA18" s="38">
        <f t="shared" si="2"/>
        <v>0</v>
      </c>
    </row>
    <row r="19" spans="1:27" x14ac:dyDescent="0.25">
      <c r="A19" s="18">
        <f t="shared" si="3"/>
        <v>46272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Y19" s="38">
        <f t="shared" si="0"/>
        <v>0</v>
      </c>
      <c r="Z19" s="38">
        <f t="shared" si="1"/>
        <v>0</v>
      </c>
      <c r="AA19" s="38">
        <f t="shared" si="2"/>
        <v>0</v>
      </c>
    </row>
    <row r="20" spans="1:27" x14ac:dyDescent="0.25">
      <c r="A20" s="18">
        <f t="shared" si="3"/>
        <v>46279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Y20" s="38">
        <f t="shared" si="0"/>
        <v>0</v>
      </c>
      <c r="Z20" s="38">
        <f t="shared" si="1"/>
        <v>0</v>
      </c>
      <c r="AA20" s="38">
        <f t="shared" si="2"/>
        <v>0</v>
      </c>
    </row>
    <row r="21" spans="1:27" x14ac:dyDescent="0.25">
      <c r="A21" s="18">
        <f t="shared" si="3"/>
        <v>46286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Y21" s="38">
        <f t="shared" si="0"/>
        <v>0</v>
      </c>
      <c r="Z21" s="38">
        <f t="shared" si="1"/>
        <v>0</v>
      </c>
      <c r="AA21" s="38">
        <f t="shared" si="2"/>
        <v>0</v>
      </c>
    </row>
    <row r="22" spans="1:27" x14ac:dyDescent="0.25">
      <c r="A22" s="18">
        <f t="shared" si="3"/>
        <v>46293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Y22" s="38">
        <f t="shared" si="0"/>
        <v>0</v>
      </c>
      <c r="Z22" s="38">
        <f t="shared" si="1"/>
        <v>0</v>
      </c>
      <c r="AA22" s="38">
        <f t="shared" si="2"/>
        <v>0</v>
      </c>
    </row>
    <row r="23" spans="1:27" x14ac:dyDescent="0.25">
      <c r="A23" s="18">
        <f t="shared" si="3"/>
        <v>46300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Y23" s="38">
        <f t="shared" si="0"/>
        <v>0</v>
      </c>
      <c r="Z23" s="38">
        <f t="shared" si="1"/>
        <v>0</v>
      </c>
      <c r="AA23" s="38">
        <f t="shared" si="2"/>
        <v>0</v>
      </c>
    </row>
    <row r="24" spans="1:27" x14ac:dyDescent="0.25">
      <c r="A24" s="18">
        <f t="shared" si="3"/>
        <v>46307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Y24" s="38">
        <f t="shared" si="0"/>
        <v>0</v>
      </c>
      <c r="Z24" s="38">
        <f t="shared" si="1"/>
        <v>0</v>
      </c>
      <c r="AA24" s="38">
        <f t="shared" si="2"/>
        <v>0</v>
      </c>
    </row>
    <row r="25" spans="1:27" x14ac:dyDescent="0.25">
      <c r="A25" s="18">
        <f t="shared" si="3"/>
        <v>46314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Y25" s="38">
        <f t="shared" si="0"/>
        <v>0</v>
      </c>
      <c r="Z25" s="38">
        <f t="shared" si="1"/>
        <v>0</v>
      </c>
      <c r="AA25" s="38">
        <f t="shared" si="2"/>
        <v>0</v>
      </c>
    </row>
    <row r="26" spans="1:27" x14ac:dyDescent="0.25">
      <c r="A26" s="18">
        <f t="shared" si="3"/>
        <v>46321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Y26" s="38">
        <f t="shared" si="0"/>
        <v>0</v>
      </c>
      <c r="Z26" s="38">
        <f t="shared" si="1"/>
        <v>0</v>
      </c>
      <c r="AA26" s="38">
        <f t="shared" si="2"/>
        <v>0</v>
      </c>
    </row>
    <row r="27" spans="1:27" x14ac:dyDescent="0.25">
      <c r="A27" s="18">
        <f t="shared" si="3"/>
        <v>46328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Y27" s="38">
        <f t="shared" si="0"/>
        <v>0</v>
      </c>
      <c r="Z27" s="38">
        <f t="shared" si="1"/>
        <v>0</v>
      </c>
      <c r="AA27" s="38">
        <f t="shared" si="2"/>
        <v>0</v>
      </c>
    </row>
    <row r="28" spans="1:27" x14ac:dyDescent="0.25">
      <c r="A28" s="18">
        <f t="shared" si="3"/>
        <v>46335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Y28" s="38">
        <f t="shared" si="0"/>
        <v>0</v>
      </c>
      <c r="Z28" s="38">
        <f t="shared" si="1"/>
        <v>0</v>
      </c>
      <c r="AA28" s="38">
        <f t="shared" si="2"/>
        <v>0</v>
      </c>
    </row>
    <row r="29" spans="1:27" x14ac:dyDescent="0.25">
      <c r="A29" s="18">
        <f t="shared" si="3"/>
        <v>46342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Y29" s="38">
        <f t="shared" si="0"/>
        <v>0</v>
      </c>
      <c r="Z29" s="38">
        <f t="shared" si="1"/>
        <v>0</v>
      </c>
      <c r="AA29" s="38">
        <f t="shared" si="2"/>
        <v>0</v>
      </c>
    </row>
    <row r="30" spans="1:27" x14ac:dyDescent="0.25">
      <c r="A30" s="18">
        <f t="shared" si="3"/>
        <v>46349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Y30" s="38">
        <f t="shared" si="0"/>
        <v>0</v>
      </c>
      <c r="Z30" s="38">
        <f t="shared" si="1"/>
        <v>0</v>
      </c>
      <c r="AA30" s="38">
        <f t="shared" si="2"/>
        <v>0</v>
      </c>
    </row>
    <row r="31" spans="1:27" x14ac:dyDescent="0.25">
      <c r="A31" s="18">
        <f t="shared" si="3"/>
        <v>46356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Y31" s="38">
        <f t="shared" si="0"/>
        <v>0</v>
      </c>
      <c r="Z31" s="38">
        <f t="shared" si="1"/>
        <v>0</v>
      </c>
      <c r="AA31" s="38">
        <f t="shared" si="2"/>
        <v>0</v>
      </c>
    </row>
    <row r="32" spans="1:27" x14ac:dyDescent="0.25">
      <c r="A32" s="18">
        <f t="shared" si="3"/>
        <v>46363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Y32" s="38">
        <f t="shared" si="0"/>
        <v>0</v>
      </c>
      <c r="Z32" s="38">
        <f t="shared" si="1"/>
        <v>0</v>
      </c>
      <c r="AA32" s="38">
        <f t="shared" si="2"/>
        <v>0</v>
      </c>
    </row>
    <row r="33" spans="1:27" x14ac:dyDescent="0.25">
      <c r="A33" s="18">
        <f t="shared" si="3"/>
        <v>46370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Y33" s="38">
        <f t="shared" si="0"/>
        <v>0</v>
      </c>
      <c r="Z33" s="38">
        <f t="shared" si="1"/>
        <v>0</v>
      </c>
      <c r="AA33" s="38">
        <f t="shared" si="2"/>
        <v>0</v>
      </c>
    </row>
    <row r="34" spans="1:27" x14ac:dyDescent="0.25">
      <c r="A34" s="18">
        <f t="shared" si="3"/>
        <v>46377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Y34" s="38">
        <f t="shared" si="0"/>
        <v>0</v>
      </c>
      <c r="Z34" s="38">
        <f t="shared" si="1"/>
        <v>0</v>
      </c>
      <c r="AA34" s="38">
        <f t="shared" si="2"/>
        <v>0</v>
      </c>
    </row>
    <row r="35" spans="1:27" x14ac:dyDescent="0.25">
      <c r="A35" s="18">
        <f t="shared" si="3"/>
        <v>46384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Y35" s="38">
        <f t="shared" si="0"/>
        <v>0</v>
      </c>
      <c r="Z35" s="38">
        <f t="shared" si="1"/>
        <v>0</v>
      </c>
      <c r="AA35" s="38">
        <f t="shared" si="2"/>
        <v>0</v>
      </c>
    </row>
    <row r="36" spans="1:27" x14ac:dyDescent="0.25">
      <c r="A36" s="18">
        <f t="shared" si="3"/>
        <v>46391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Y36" s="38">
        <f t="shared" si="0"/>
        <v>0</v>
      </c>
      <c r="Z36" s="38">
        <f t="shared" si="1"/>
        <v>0</v>
      </c>
      <c r="AA36" s="38">
        <f t="shared" si="2"/>
        <v>0</v>
      </c>
    </row>
    <row r="37" spans="1:27" x14ac:dyDescent="0.25">
      <c r="A37" s="18">
        <f t="shared" si="3"/>
        <v>46398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Y37" s="38">
        <f t="shared" si="0"/>
        <v>0</v>
      </c>
      <c r="Z37" s="38">
        <f t="shared" si="1"/>
        <v>0</v>
      </c>
      <c r="AA37" s="38">
        <f t="shared" si="2"/>
        <v>0</v>
      </c>
    </row>
    <row r="38" spans="1:27" x14ac:dyDescent="0.25">
      <c r="A38" s="18">
        <f t="shared" si="3"/>
        <v>46405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Y38" s="38">
        <f t="shared" si="0"/>
        <v>0</v>
      </c>
      <c r="Z38" s="38">
        <f t="shared" si="1"/>
        <v>0</v>
      </c>
      <c r="AA38" s="38">
        <f t="shared" si="2"/>
        <v>0</v>
      </c>
    </row>
    <row r="39" spans="1:27" x14ac:dyDescent="0.25">
      <c r="A39" s="18">
        <f t="shared" si="3"/>
        <v>46412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Y39" s="38">
        <f t="shared" si="0"/>
        <v>0</v>
      </c>
      <c r="Z39" s="38">
        <f t="shared" si="1"/>
        <v>0</v>
      </c>
      <c r="AA39" s="38">
        <f t="shared" si="2"/>
        <v>0</v>
      </c>
    </row>
    <row r="40" spans="1:27" x14ac:dyDescent="0.25">
      <c r="A40" s="18">
        <f t="shared" si="3"/>
        <v>46419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Y40" s="38">
        <f t="shared" si="0"/>
        <v>0</v>
      </c>
      <c r="Z40" s="38">
        <f t="shared" si="1"/>
        <v>0</v>
      </c>
      <c r="AA40" s="38">
        <f t="shared" si="2"/>
        <v>0</v>
      </c>
    </row>
    <row r="41" spans="1:27" x14ac:dyDescent="0.25">
      <c r="A41" s="18">
        <f t="shared" si="3"/>
        <v>46426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Y41" s="38">
        <f t="shared" si="0"/>
        <v>0</v>
      </c>
      <c r="Z41" s="38">
        <f t="shared" si="1"/>
        <v>0</v>
      </c>
      <c r="AA41" s="38">
        <f t="shared" si="2"/>
        <v>0</v>
      </c>
    </row>
    <row r="42" spans="1:27" x14ac:dyDescent="0.25">
      <c r="A42" s="18">
        <f t="shared" si="3"/>
        <v>46433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Y42" s="38">
        <f t="shared" si="0"/>
        <v>0</v>
      </c>
      <c r="Z42" s="38">
        <f t="shared" si="1"/>
        <v>0</v>
      </c>
      <c r="AA42" s="38">
        <f t="shared" si="2"/>
        <v>0</v>
      </c>
    </row>
    <row r="43" spans="1:27" x14ac:dyDescent="0.25">
      <c r="A43" s="18">
        <f t="shared" si="3"/>
        <v>46440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Y43" s="38">
        <f t="shared" si="0"/>
        <v>0</v>
      </c>
      <c r="Z43" s="38">
        <f t="shared" si="1"/>
        <v>0</v>
      </c>
      <c r="AA43" s="38">
        <f t="shared" si="2"/>
        <v>0</v>
      </c>
    </row>
    <row r="44" spans="1:27" x14ac:dyDescent="0.25">
      <c r="A44" s="18">
        <f t="shared" si="3"/>
        <v>46447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Y44" s="38">
        <f t="shared" si="0"/>
        <v>0</v>
      </c>
      <c r="Z44" s="38">
        <f t="shared" si="1"/>
        <v>0</v>
      </c>
      <c r="AA44" s="38">
        <f t="shared" si="2"/>
        <v>0</v>
      </c>
    </row>
    <row r="45" spans="1:27" x14ac:dyDescent="0.25">
      <c r="A45" s="18">
        <f t="shared" si="3"/>
        <v>46454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Y45" s="38">
        <f t="shared" si="0"/>
        <v>0</v>
      </c>
      <c r="Z45" s="38">
        <f t="shared" si="1"/>
        <v>0</v>
      </c>
      <c r="AA45" s="38">
        <f t="shared" si="2"/>
        <v>0</v>
      </c>
    </row>
    <row r="46" spans="1:27" x14ac:dyDescent="0.25">
      <c r="A46" s="18">
        <f t="shared" si="3"/>
        <v>46461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Y46" s="38">
        <f t="shared" si="0"/>
        <v>0</v>
      </c>
      <c r="Z46" s="38">
        <f t="shared" si="1"/>
        <v>0</v>
      </c>
      <c r="AA46" s="38">
        <f t="shared" si="2"/>
        <v>0</v>
      </c>
    </row>
    <row r="47" spans="1:27" x14ac:dyDescent="0.25">
      <c r="A47" s="18">
        <f t="shared" si="3"/>
        <v>46468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Y47" s="38">
        <f t="shared" si="0"/>
        <v>0</v>
      </c>
      <c r="Z47" s="38">
        <f t="shared" si="1"/>
        <v>0</v>
      </c>
      <c r="AA47" s="38">
        <f t="shared" si="2"/>
        <v>0</v>
      </c>
    </row>
    <row r="48" spans="1:27" x14ac:dyDescent="0.25">
      <c r="A48" s="18">
        <f t="shared" si="3"/>
        <v>46475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Y48" s="38">
        <f t="shared" si="0"/>
        <v>0</v>
      </c>
      <c r="Z48" s="38">
        <f t="shared" si="1"/>
        <v>0</v>
      </c>
      <c r="AA48" s="38">
        <f t="shared" si="2"/>
        <v>0</v>
      </c>
    </row>
    <row r="49" spans="1:27" x14ac:dyDescent="0.25">
      <c r="A49" s="18">
        <f t="shared" si="3"/>
        <v>46482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Y49" s="38">
        <f t="shared" si="0"/>
        <v>0</v>
      </c>
      <c r="Z49" s="38">
        <f t="shared" si="1"/>
        <v>0</v>
      </c>
      <c r="AA49" s="38">
        <f t="shared" si="2"/>
        <v>0</v>
      </c>
    </row>
    <row r="50" spans="1:27" x14ac:dyDescent="0.25">
      <c r="A50" s="18">
        <f t="shared" si="3"/>
        <v>46489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Y50" s="38">
        <f t="shared" si="0"/>
        <v>0</v>
      </c>
      <c r="Z50" s="38">
        <f t="shared" si="1"/>
        <v>0</v>
      </c>
      <c r="AA50" s="38">
        <f t="shared" si="2"/>
        <v>0</v>
      </c>
    </row>
    <row r="51" spans="1:27" x14ac:dyDescent="0.25">
      <c r="A51" s="18">
        <f t="shared" si="3"/>
        <v>46496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Y51" s="38">
        <f t="shared" si="0"/>
        <v>0</v>
      </c>
      <c r="Z51" s="38">
        <f t="shared" si="1"/>
        <v>0</v>
      </c>
      <c r="AA51" s="38">
        <f t="shared" si="2"/>
        <v>0</v>
      </c>
    </row>
    <row r="52" spans="1:27" x14ac:dyDescent="0.25">
      <c r="A52" s="18">
        <f t="shared" si="3"/>
        <v>46503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Y52" s="38">
        <f t="shared" si="0"/>
        <v>0</v>
      </c>
      <c r="Z52" s="38">
        <f t="shared" si="1"/>
        <v>0</v>
      </c>
      <c r="AA52" s="38">
        <f t="shared" si="2"/>
        <v>0</v>
      </c>
    </row>
  </sheetData>
  <mergeCells count="11">
    <mergeCell ref="B2:W2"/>
    <mergeCell ref="A1:W1"/>
    <mergeCell ref="R3:T3"/>
    <mergeCell ref="U3:W3"/>
    <mergeCell ref="Y1:AA1"/>
    <mergeCell ref="A2:A3"/>
    <mergeCell ref="B3:E3"/>
    <mergeCell ref="I3:K3"/>
    <mergeCell ref="F3:H3"/>
    <mergeCell ref="L3:N3"/>
    <mergeCell ref="O3:Q3"/>
  </mergeCells>
  <conditionalFormatting sqref="A5:A52">
    <cfRule type="expression" dxfId="59" priority="1">
      <formula>AND($A5&lt;=TODAY(),$A5+6&gt;=TODAY())</formula>
    </cfRule>
  </conditionalFormatting>
  <dataValidations count="1">
    <dataValidation type="decimal" operator="greaterThanOrEqual" sqref="B5:W52" xr:uid="{00000000-0002-0000-1400-000000000000}">
      <formula1>0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030A0"/>
  </sheetPr>
  <dimension ref="A1:I323"/>
  <sheetViews>
    <sheetView workbookViewId="0">
      <pane ySplit="3" topLeftCell="A4" activePane="bottomLeft" state="frozen"/>
      <selection pane="bottomLeft" sqref="A1:I1"/>
    </sheetView>
  </sheetViews>
  <sheetFormatPr defaultRowHeight="15" x14ac:dyDescent="0.25"/>
  <cols>
    <col min="1" max="1" width="8" style="66" customWidth="1"/>
    <col min="2" max="2" width="52" style="66" customWidth="1"/>
    <col min="3" max="3" width="12" style="66" customWidth="1"/>
    <col min="4" max="9" width="14" style="66" customWidth="1"/>
  </cols>
  <sheetData>
    <row r="1" spans="1:9" x14ac:dyDescent="0.25">
      <c r="A1" s="73" t="s">
        <v>119</v>
      </c>
      <c r="B1" s="74"/>
      <c r="C1" s="74"/>
      <c r="D1" s="74"/>
      <c r="E1" s="74"/>
      <c r="F1" s="74"/>
      <c r="G1" s="74"/>
      <c r="H1" s="74"/>
      <c r="I1" s="74"/>
    </row>
    <row r="2" spans="1:9" x14ac:dyDescent="0.25">
      <c r="A2" s="84" t="s">
        <v>120</v>
      </c>
      <c r="B2" s="74"/>
      <c r="C2" s="74"/>
      <c r="D2" s="74"/>
      <c r="E2" s="74"/>
      <c r="F2" s="74"/>
      <c r="G2" s="74"/>
      <c r="H2" s="74"/>
      <c r="I2" s="74"/>
    </row>
    <row r="4" spans="1:9" x14ac:dyDescent="0.25">
      <c r="A4" s="75" t="s">
        <v>121</v>
      </c>
      <c r="B4" s="74"/>
      <c r="C4" s="74"/>
      <c r="D4" s="74"/>
      <c r="E4" s="74"/>
      <c r="F4" s="74"/>
      <c r="G4" s="74"/>
      <c r="H4" s="74"/>
      <c r="I4" s="74"/>
    </row>
    <row r="5" spans="1:9" x14ac:dyDescent="0.25">
      <c r="A5" s="69" t="s">
        <v>1</v>
      </c>
      <c r="B5" s="69" t="s">
        <v>3</v>
      </c>
      <c r="C5" s="69" t="s">
        <v>74</v>
      </c>
      <c r="D5" s="69" t="s">
        <v>122</v>
      </c>
      <c r="E5" s="69" t="s">
        <v>123</v>
      </c>
      <c r="F5" s="69" t="s">
        <v>4</v>
      </c>
      <c r="G5" s="69" t="s">
        <v>124</v>
      </c>
      <c r="H5" s="69" t="s">
        <v>125</v>
      </c>
      <c r="I5" s="69" t="s">
        <v>126</v>
      </c>
    </row>
    <row r="6" spans="1:9" x14ac:dyDescent="0.25">
      <c r="A6" s="8" t="s">
        <v>24</v>
      </c>
      <c r="B6" s="16" t="str">
        <f>СПРАВОЧНИК!C3</f>
        <v>Отделка паркинг и рампы</v>
      </c>
      <c r="C6" s="9" t="s">
        <v>127</v>
      </c>
      <c r="D6" s="9"/>
      <c r="E6" s="9"/>
      <c r="F6" s="3">
        <f>СПРАВОЧНИК!D3</f>
        <v>0</v>
      </c>
      <c r="G6" s="40">
        <f>G7*D7+G11*D11</f>
        <v>0</v>
      </c>
      <c r="H6" s="6">
        <f t="shared" ref="H6:H14" si="0">IF(F6=0,0,G6/F6)</f>
        <v>0</v>
      </c>
      <c r="I6" s="6">
        <f>I7+I11</f>
        <v>0</v>
      </c>
    </row>
    <row r="7" spans="1:9" x14ac:dyDescent="0.25">
      <c r="A7" s="9"/>
      <c r="B7" s="41" t="s">
        <v>81</v>
      </c>
      <c r="C7" s="9"/>
      <c r="D7" s="42">
        <f>СПРАВОЧНИК!E3</f>
        <v>0.45</v>
      </c>
      <c r="E7" s="9"/>
      <c r="F7" s="3">
        <f>F6</f>
        <v>0</v>
      </c>
      <c r="G7" s="40">
        <f>G8*E8+G9*E9+G10*E10</f>
        <v>0</v>
      </c>
      <c r="H7" s="6">
        <f t="shared" si="0"/>
        <v>0</v>
      </c>
      <c r="I7" s="6">
        <f>H7*D7</f>
        <v>0</v>
      </c>
    </row>
    <row r="8" spans="1:9" x14ac:dyDescent="0.25">
      <c r="A8" s="9"/>
      <c r="B8" s="43" t="s">
        <v>128</v>
      </c>
      <c r="C8" s="9" t="s">
        <v>129</v>
      </c>
      <c r="D8" s="9"/>
      <c r="E8" s="42">
        <f>СПРАВОЧНИК!H3</f>
        <v>0.38</v>
      </c>
      <c r="F8" s="3">
        <f>F6</f>
        <v>0</v>
      </c>
      <c r="G8" s="40">
        <f>SUM('ФАКТ ЧЕРН ПОДЗЕМ'!B5:B52)</f>
        <v>0</v>
      </c>
      <c r="H8" s="6">
        <f t="shared" si="0"/>
        <v>0</v>
      </c>
      <c r="I8" s="6">
        <f>H8*E8</f>
        <v>0</v>
      </c>
    </row>
    <row r="9" spans="1:9" x14ac:dyDescent="0.25">
      <c r="A9" s="9"/>
      <c r="B9" s="43" t="s">
        <v>130</v>
      </c>
      <c r="C9" s="9" t="s">
        <v>129</v>
      </c>
      <c r="D9" s="9"/>
      <c r="E9" s="42">
        <f>СПРАВОЧНИК!I3</f>
        <v>0.41</v>
      </c>
      <c r="F9" s="3">
        <f>F6</f>
        <v>0</v>
      </c>
      <c r="G9" s="40">
        <f>SUM('ФАКТ ЧЕРН ПОДЗЕМ'!C5:C52)</f>
        <v>0</v>
      </c>
      <c r="H9" s="6">
        <f t="shared" si="0"/>
        <v>0</v>
      </c>
      <c r="I9" s="6">
        <f>H9*E9</f>
        <v>0</v>
      </c>
    </row>
    <row r="10" spans="1:9" x14ac:dyDescent="0.25">
      <c r="A10" s="9"/>
      <c r="B10" s="43" t="s">
        <v>131</v>
      </c>
      <c r="C10" s="9" t="s">
        <v>129</v>
      </c>
      <c r="D10" s="9"/>
      <c r="E10" s="42">
        <f>СПРАВОЧНИК!J3</f>
        <v>0.21</v>
      </c>
      <c r="F10" s="3">
        <f>F6</f>
        <v>0</v>
      </c>
      <c r="G10" s="40">
        <f>SUM('ФАКТ ЧЕРН ПОДЗЕМ'!D5:D52)</f>
        <v>0</v>
      </c>
      <c r="H10" s="6">
        <f t="shared" si="0"/>
        <v>0</v>
      </c>
      <c r="I10" s="6">
        <f>H10*E10</f>
        <v>0</v>
      </c>
    </row>
    <row r="11" spans="1:9" x14ac:dyDescent="0.25">
      <c r="A11" s="9"/>
      <c r="B11" s="41" t="s">
        <v>82</v>
      </c>
      <c r="C11" s="9"/>
      <c r="D11" s="42">
        <f>СПРАВОЧНИК!F3</f>
        <v>0.55000000000000004</v>
      </c>
      <c r="E11" s="9"/>
      <c r="F11" s="3">
        <f>F6</f>
        <v>0</v>
      </c>
      <c r="G11" s="40">
        <f>G12*E12+G13*E13+G14*E14</f>
        <v>0</v>
      </c>
      <c r="H11" s="6">
        <f t="shared" si="0"/>
        <v>0</v>
      </c>
      <c r="I11" s="6">
        <f>H11*D11</f>
        <v>0</v>
      </c>
    </row>
    <row r="12" spans="1:9" x14ac:dyDescent="0.25">
      <c r="A12" s="9"/>
      <c r="B12" s="43" t="s">
        <v>128</v>
      </c>
      <c r="C12" s="9" t="s">
        <v>129</v>
      </c>
      <c r="D12" s="9"/>
      <c r="E12" s="42">
        <f>СПРАВОЧНИК!L3</f>
        <v>0.52</v>
      </c>
      <c r="F12" s="3">
        <f>F6</f>
        <v>0</v>
      </c>
      <c r="G12" s="40">
        <f>SUM('ФАКТ ЧИСТ ПОДЗЕМ'!B5:B52)</f>
        <v>0</v>
      </c>
      <c r="H12" s="6">
        <f t="shared" si="0"/>
        <v>0</v>
      </c>
      <c r="I12" s="6">
        <f>H12*E12</f>
        <v>0</v>
      </c>
    </row>
    <row r="13" spans="1:9" x14ac:dyDescent="0.25">
      <c r="A13" s="9"/>
      <c r="B13" s="43" t="s">
        <v>130</v>
      </c>
      <c r="C13" s="9" t="s">
        <v>129</v>
      </c>
      <c r="D13" s="9"/>
      <c r="E13" s="42">
        <f>СПРАВОЧНИК!M3</f>
        <v>0.34</v>
      </c>
      <c r="F13" s="3">
        <f>F6</f>
        <v>0</v>
      </c>
      <c r="G13" s="40">
        <f>SUM('ФАКТ ЧИСТ ПОДЗЕМ'!C5:C52)</f>
        <v>0</v>
      </c>
      <c r="H13" s="6">
        <f t="shared" si="0"/>
        <v>0</v>
      </c>
      <c r="I13" s="6">
        <f>H13*E13</f>
        <v>0</v>
      </c>
    </row>
    <row r="14" spans="1:9" x14ac:dyDescent="0.25">
      <c r="A14" s="9"/>
      <c r="B14" s="43" t="s">
        <v>131</v>
      </c>
      <c r="C14" s="9" t="s">
        <v>129</v>
      </c>
      <c r="D14" s="9"/>
      <c r="E14" s="42">
        <f>СПРАВОЧНИК!N3</f>
        <v>0.14000000000000001</v>
      </c>
      <c r="F14" s="3">
        <f>F6</f>
        <v>0</v>
      </c>
      <c r="G14" s="40">
        <f>SUM('ФАКТ ЧИСТ ПОДЗЕМ'!D5:D52)</f>
        <v>0</v>
      </c>
      <c r="H14" s="6">
        <f t="shared" si="0"/>
        <v>0</v>
      </c>
      <c r="I14" s="6">
        <f>H14*E14</f>
        <v>0</v>
      </c>
    </row>
    <row r="15" spans="1:9" x14ac:dyDescent="0.25">
      <c r="B15" s="23" t="s">
        <v>132</v>
      </c>
      <c r="D15" s="44">
        <f>D7+D11</f>
        <v>1</v>
      </c>
    </row>
    <row r="17" spans="1:9" x14ac:dyDescent="0.25">
      <c r="A17" s="8" t="s">
        <v>27</v>
      </c>
      <c r="B17" s="16" t="str">
        <f>СПРАВОЧНИК!C4</f>
        <v>Отделка эвакуац. лестн. клетки подзем.</v>
      </c>
      <c r="C17" s="9" t="s">
        <v>127</v>
      </c>
      <c r="D17" s="9"/>
      <c r="E17" s="9"/>
      <c r="F17" s="3">
        <f>СПРАВОЧНИК!D4</f>
        <v>0</v>
      </c>
      <c r="G17" s="40">
        <f>G18*D18+G22*D22</f>
        <v>0</v>
      </c>
      <c r="H17" s="6">
        <f t="shared" ref="H17:H25" si="1">IF(F17=0,0,G17/F17)</f>
        <v>0</v>
      </c>
      <c r="I17" s="6">
        <f>I18+I22</f>
        <v>0</v>
      </c>
    </row>
    <row r="18" spans="1:9" x14ac:dyDescent="0.25">
      <c r="A18" s="9"/>
      <c r="B18" s="41" t="s">
        <v>81</v>
      </c>
      <c r="C18" s="9"/>
      <c r="D18" s="42">
        <f>СПРАВОЧНИК!E4</f>
        <v>0.33</v>
      </c>
      <c r="E18" s="9"/>
      <c r="F18" s="3">
        <f>F17</f>
        <v>0</v>
      </c>
      <c r="G18" s="40">
        <f>G19*E19+G20*E20+G21*E21</f>
        <v>0</v>
      </c>
      <c r="H18" s="6">
        <f t="shared" si="1"/>
        <v>0</v>
      </c>
      <c r="I18" s="6">
        <f>H18*D18</f>
        <v>0</v>
      </c>
    </row>
    <row r="19" spans="1:9" x14ac:dyDescent="0.25">
      <c r="A19" s="9"/>
      <c r="B19" s="43" t="s">
        <v>128</v>
      </c>
      <c r="C19" s="9" t="s">
        <v>129</v>
      </c>
      <c r="D19" s="9"/>
      <c r="E19" s="42">
        <f>СПРАВОЧНИК!H4</f>
        <v>0.2</v>
      </c>
      <c r="F19" s="3">
        <f>F17</f>
        <v>0</v>
      </c>
      <c r="G19" s="40">
        <f>SUM('ФАКТ ЧЕРН ПОДЗЕМ'!E5:E52)</f>
        <v>0</v>
      </c>
      <c r="H19" s="6">
        <f t="shared" si="1"/>
        <v>0</v>
      </c>
      <c r="I19" s="6">
        <f>H19*E19</f>
        <v>0</v>
      </c>
    </row>
    <row r="20" spans="1:9" x14ac:dyDescent="0.25">
      <c r="A20" s="9"/>
      <c r="B20" s="43" t="s">
        <v>130</v>
      </c>
      <c r="C20" s="9" t="s">
        <v>129</v>
      </c>
      <c r="D20" s="9"/>
      <c r="E20" s="42">
        <f>СПРАВОЧНИК!I4</f>
        <v>0.61</v>
      </c>
      <c r="F20" s="3">
        <f>F17</f>
        <v>0</v>
      </c>
      <c r="G20" s="40">
        <f>SUM('ФАКТ ЧЕРН ПОДЗЕМ'!F5:F52)</f>
        <v>0</v>
      </c>
      <c r="H20" s="6">
        <f t="shared" si="1"/>
        <v>0</v>
      </c>
      <c r="I20" s="6">
        <f>H20*E20</f>
        <v>0</v>
      </c>
    </row>
    <row r="21" spans="1:9" x14ac:dyDescent="0.25">
      <c r="A21" s="9"/>
      <c r="B21" s="43" t="s">
        <v>131</v>
      </c>
      <c r="C21" s="9" t="s">
        <v>129</v>
      </c>
      <c r="D21" s="9"/>
      <c r="E21" s="42">
        <f>СПРАВОЧНИК!J4</f>
        <v>0.19</v>
      </c>
      <c r="F21" s="3">
        <f>F17</f>
        <v>0</v>
      </c>
      <c r="G21" s="40">
        <f>SUM('ФАКТ ЧЕРН ПОДЗЕМ'!G5:G52)</f>
        <v>0</v>
      </c>
      <c r="H21" s="6">
        <f t="shared" si="1"/>
        <v>0</v>
      </c>
      <c r="I21" s="6">
        <f>H21*E21</f>
        <v>0</v>
      </c>
    </row>
    <row r="22" spans="1:9" x14ac:dyDescent="0.25">
      <c r="A22" s="9"/>
      <c r="B22" s="41" t="s">
        <v>82</v>
      </c>
      <c r="C22" s="9"/>
      <c r="D22" s="42">
        <f>СПРАВОЧНИК!F4</f>
        <v>0.67</v>
      </c>
      <c r="E22" s="9"/>
      <c r="F22" s="3">
        <f>F17</f>
        <v>0</v>
      </c>
      <c r="G22" s="40">
        <f>G23*E23+G24*E24+G25*E25</f>
        <v>0</v>
      </c>
      <c r="H22" s="6">
        <f t="shared" si="1"/>
        <v>0</v>
      </c>
      <c r="I22" s="6">
        <f>H22*D22</f>
        <v>0</v>
      </c>
    </row>
    <row r="23" spans="1:9" x14ac:dyDescent="0.25">
      <c r="A23" s="9"/>
      <c r="B23" s="43" t="s">
        <v>128</v>
      </c>
      <c r="C23" s="9" t="s">
        <v>129</v>
      </c>
      <c r="D23" s="9"/>
      <c r="E23" s="42">
        <f>СПРАВОЧНИК!L4</f>
        <v>0.38</v>
      </c>
      <c r="F23" s="3">
        <f>F17</f>
        <v>0</v>
      </c>
      <c r="G23" s="40">
        <f>SUM('ФАКТ ЧИСТ ПОДЗЕМ'!E5:E52)</f>
        <v>0</v>
      </c>
      <c r="H23" s="6">
        <f t="shared" si="1"/>
        <v>0</v>
      </c>
      <c r="I23" s="6">
        <f>H23*E23</f>
        <v>0</v>
      </c>
    </row>
    <row r="24" spans="1:9" x14ac:dyDescent="0.25">
      <c r="A24" s="9"/>
      <c r="B24" s="43" t="s">
        <v>130</v>
      </c>
      <c r="C24" s="9" t="s">
        <v>129</v>
      </c>
      <c r="D24" s="9"/>
      <c r="E24" s="42">
        <f>СПРАВОЧНИК!M4</f>
        <v>0.35</v>
      </c>
      <c r="F24" s="3">
        <f>F17</f>
        <v>0</v>
      </c>
      <c r="G24" s="40">
        <f>SUM('ФАКТ ЧИСТ ПОДЗЕМ'!F5:F52)</f>
        <v>0</v>
      </c>
      <c r="H24" s="6">
        <f t="shared" si="1"/>
        <v>0</v>
      </c>
      <c r="I24" s="6">
        <f>H24*E24</f>
        <v>0</v>
      </c>
    </row>
    <row r="25" spans="1:9" x14ac:dyDescent="0.25">
      <c r="A25" s="9"/>
      <c r="B25" s="43" t="s">
        <v>131</v>
      </c>
      <c r="C25" s="9" t="s">
        <v>129</v>
      </c>
      <c r="D25" s="9"/>
      <c r="E25" s="42">
        <f>СПРАВОЧНИК!N4</f>
        <v>0.27</v>
      </c>
      <c r="F25" s="3">
        <f>F17</f>
        <v>0</v>
      </c>
      <c r="G25" s="40">
        <f>SUM('ФАКТ ЧИСТ ПОДЗЕМ'!G5:G52)</f>
        <v>0</v>
      </c>
      <c r="H25" s="6">
        <f t="shared" si="1"/>
        <v>0</v>
      </c>
      <c r="I25" s="6">
        <f>H25*E25</f>
        <v>0</v>
      </c>
    </row>
    <row r="26" spans="1:9" x14ac:dyDescent="0.25">
      <c r="B26" s="23" t="s">
        <v>132</v>
      </c>
      <c r="D26" s="44">
        <f>D18+D22</f>
        <v>1</v>
      </c>
    </row>
    <row r="28" spans="1:9" x14ac:dyDescent="0.25">
      <c r="A28" s="8" t="s">
        <v>29</v>
      </c>
      <c r="B28" s="16" t="str">
        <f>СПРАВОЧНИК!C5</f>
        <v>Лифт. холлы, тамбур-шлюзы подзем.</v>
      </c>
      <c r="C28" s="9" t="s">
        <v>127</v>
      </c>
      <c r="D28" s="9"/>
      <c r="E28" s="9"/>
      <c r="F28" s="3">
        <f>СПРАВОЧНИК!D5</f>
        <v>0</v>
      </c>
      <c r="G28" s="40">
        <f>G29*D29+G33*D33</f>
        <v>0</v>
      </c>
      <c r="H28" s="6">
        <f t="shared" ref="H28:H36" si="2">IF(F28=0,0,G28/F28)</f>
        <v>0</v>
      </c>
      <c r="I28" s="6">
        <f>I29+I33</f>
        <v>0</v>
      </c>
    </row>
    <row r="29" spans="1:9" x14ac:dyDescent="0.25">
      <c r="A29" s="9"/>
      <c r="B29" s="41" t="s">
        <v>81</v>
      </c>
      <c r="C29" s="9"/>
      <c r="D29" s="42">
        <f>СПРАВОЧНИК!E5</f>
        <v>0.4</v>
      </c>
      <c r="E29" s="9"/>
      <c r="F29" s="3">
        <f>F28</f>
        <v>0</v>
      </c>
      <c r="G29" s="40">
        <f>G30*E30+G31*E31+G32*E32</f>
        <v>0</v>
      </c>
      <c r="H29" s="6">
        <f t="shared" si="2"/>
        <v>0</v>
      </c>
      <c r="I29" s="6">
        <f>H29*D29</f>
        <v>0</v>
      </c>
    </row>
    <row r="30" spans="1:9" x14ac:dyDescent="0.25">
      <c r="A30" s="9"/>
      <c r="B30" s="43" t="s">
        <v>128</v>
      </c>
      <c r="C30" s="9" t="s">
        <v>129</v>
      </c>
      <c r="D30" s="9"/>
      <c r="E30" s="42">
        <f>СПРАВОЧНИК!H5</f>
        <v>0.4</v>
      </c>
      <c r="F30" s="3">
        <f>F28</f>
        <v>0</v>
      </c>
      <c r="G30" s="40">
        <f>SUM('ФАКТ ЧЕРН ПОДЗЕМ'!H5:H52)</f>
        <v>0</v>
      </c>
      <c r="H30" s="6">
        <f t="shared" si="2"/>
        <v>0</v>
      </c>
      <c r="I30" s="6">
        <f>H30*E30</f>
        <v>0</v>
      </c>
    </row>
    <row r="31" spans="1:9" x14ac:dyDescent="0.25">
      <c r="A31" s="9"/>
      <c r="B31" s="43" t="s">
        <v>130</v>
      </c>
      <c r="C31" s="9" t="s">
        <v>129</v>
      </c>
      <c r="D31" s="9"/>
      <c r="E31" s="42">
        <f>СПРАВОЧНИК!I5</f>
        <v>0.3</v>
      </c>
      <c r="F31" s="3">
        <f>F28</f>
        <v>0</v>
      </c>
      <c r="G31" s="40">
        <f>SUM('ФАКТ ЧЕРН ПОДЗЕМ'!I5:I52)</f>
        <v>0</v>
      </c>
      <c r="H31" s="6">
        <f t="shared" si="2"/>
        <v>0</v>
      </c>
      <c r="I31" s="6">
        <f>H31*E31</f>
        <v>0</v>
      </c>
    </row>
    <row r="32" spans="1:9" x14ac:dyDescent="0.25">
      <c r="A32" s="9"/>
      <c r="B32" s="43" t="s">
        <v>131</v>
      </c>
      <c r="C32" s="9" t="s">
        <v>129</v>
      </c>
      <c r="D32" s="9"/>
      <c r="E32" s="42">
        <f>СПРАВОЧНИК!J5</f>
        <v>0.3</v>
      </c>
      <c r="F32" s="3">
        <f>F28</f>
        <v>0</v>
      </c>
      <c r="G32" s="40">
        <f>SUM('ФАКТ ЧЕРН ПОДЗЕМ'!J5:J52)</f>
        <v>0</v>
      </c>
      <c r="H32" s="6">
        <f t="shared" si="2"/>
        <v>0</v>
      </c>
      <c r="I32" s="6">
        <f>H32*E32</f>
        <v>0</v>
      </c>
    </row>
    <row r="33" spans="1:9" x14ac:dyDescent="0.25">
      <c r="A33" s="9"/>
      <c r="B33" s="41" t="s">
        <v>82</v>
      </c>
      <c r="C33" s="9"/>
      <c r="D33" s="42">
        <f>СПРАВОЧНИК!F5</f>
        <v>0.6</v>
      </c>
      <c r="E33" s="9"/>
      <c r="F33" s="3">
        <f>F28</f>
        <v>0</v>
      </c>
      <c r="G33" s="40">
        <f>G34*E34+G35*E35+G36*E36</f>
        <v>0</v>
      </c>
      <c r="H33" s="6">
        <f t="shared" si="2"/>
        <v>0</v>
      </c>
      <c r="I33" s="6">
        <f>H33*D33</f>
        <v>0</v>
      </c>
    </row>
    <row r="34" spans="1:9" x14ac:dyDescent="0.25">
      <c r="A34" s="9"/>
      <c r="B34" s="43" t="s">
        <v>128</v>
      </c>
      <c r="C34" s="9" t="s">
        <v>129</v>
      </c>
      <c r="D34" s="9"/>
      <c r="E34" s="42">
        <f>СПРАВОЧНИК!L5</f>
        <v>0.2</v>
      </c>
      <c r="F34" s="3">
        <f>F28</f>
        <v>0</v>
      </c>
      <c r="G34" s="40">
        <f>SUM('ФАКТ ЧИСТ ПОДЗЕМ'!H5:H52)</f>
        <v>0</v>
      </c>
      <c r="H34" s="6">
        <f t="shared" si="2"/>
        <v>0</v>
      </c>
      <c r="I34" s="6">
        <f>H34*E34</f>
        <v>0</v>
      </c>
    </row>
    <row r="35" spans="1:9" x14ac:dyDescent="0.25">
      <c r="A35" s="9"/>
      <c r="B35" s="43" t="s">
        <v>130</v>
      </c>
      <c r="C35" s="9" t="s">
        <v>129</v>
      </c>
      <c r="D35" s="9"/>
      <c r="E35" s="42">
        <f>СПРАВОЧНИК!M5</f>
        <v>0.6</v>
      </c>
      <c r="F35" s="3">
        <f>F28</f>
        <v>0</v>
      </c>
      <c r="G35" s="40">
        <f>SUM('ФАКТ ЧИСТ ПОДЗЕМ'!I5:I52)</f>
        <v>0</v>
      </c>
      <c r="H35" s="6">
        <f t="shared" si="2"/>
        <v>0</v>
      </c>
      <c r="I35" s="6">
        <f>H35*E35</f>
        <v>0</v>
      </c>
    </row>
    <row r="36" spans="1:9" x14ac:dyDescent="0.25">
      <c r="A36" s="9"/>
      <c r="B36" s="43" t="s">
        <v>131</v>
      </c>
      <c r="C36" s="9" t="s">
        <v>129</v>
      </c>
      <c r="D36" s="9"/>
      <c r="E36" s="42">
        <f>СПРАВОЧНИК!N5</f>
        <v>0.2</v>
      </c>
      <c r="F36" s="3">
        <f>F28</f>
        <v>0</v>
      </c>
      <c r="G36" s="40">
        <f>SUM('ФАКТ ЧИСТ ПОДЗЕМ'!J5:J52)</f>
        <v>0</v>
      </c>
      <c r="H36" s="6">
        <f t="shared" si="2"/>
        <v>0</v>
      </c>
      <c r="I36" s="6">
        <f>H36*E36</f>
        <v>0</v>
      </c>
    </row>
    <row r="37" spans="1:9" x14ac:dyDescent="0.25">
      <c r="B37" s="23" t="s">
        <v>132</v>
      </c>
      <c r="D37" s="44">
        <f>D29+D33</f>
        <v>1</v>
      </c>
    </row>
    <row r="39" spans="1:9" x14ac:dyDescent="0.25">
      <c r="A39" s="8" t="s">
        <v>31</v>
      </c>
      <c r="B39" s="16" t="str">
        <f>СПРАВОЧНИК!C6</f>
        <v>Технич. помещения подзем.</v>
      </c>
      <c r="C39" s="9" t="s">
        <v>127</v>
      </c>
      <c r="D39" s="9"/>
      <c r="E39" s="9"/>
      <c r="F39" s="3">
        <f>СПРАВОЧНИК!D6</f>
        <v>0</v>
      </c>
      <c r="G39" s="40">
        <f>G40*D40+G44*D44</f>
        <v>0</v>
      </c>
      <c r="H39" s="6">
        <f t="shared" ref="H39:H47" si="3">IF(F39=0,0,G39/F39)</f>
        <v>0</v>
      </c>
      <c r="I39" s="6">
        <f>I40+I44</f>
        <v>0</v>
      </c>
    </row>
    <row r="40" spans="1:9" x14ac:dyDescent="0.25">
      <c r="A40" s="9"/>
      <c r="B40" s="41" t="s">
        <v>81</v>
      </c>
      <c r="C40" s="9"/>
      <c r="D40" s="42">
        <f>СПРАВОЧНИК!E6</f>
        <v>0.32</v>
      </c>
      <c r="E40" s="9"/>
      <c r="F40" s="3">
        <f>F39</f>
        <v>0</v>
      </c>
      <c r="G40" s="40">
        <f>G41*E41+G42*E42+G43*E43</f>
        <v>0</v>
      </c>
      <c r="H40" s="6">
        <f t="shared" si="3"/>
        <v>0</v>
      </c>
      <c r="I40" s="6">
        <f>H40*D40</f>
        <v>0</v>
      </c>
    </row>
    <row r="41" spans="1:9" x14ac:dyDescent="0.25">
      <c r="A41" s="9"/>
      <c r="B41" s="43" t="s">
        <v>128</v>
      </c>
      <c r="C41" s="9" t="s">
        <v>129</v>
      </c>
      <c r="D41" s="9"/>
      <c r="E41" s="42">
        <f>СПРАВОЧНИК!H6</f>
        <v>0.3</v>
      </c>
      <c r="F41" s="3">
        <f>F39</f>
        <v>0</v>
      </c>
      <c r="G41" s="40">
        <f>SUM('ФАКТ ЧЕРН ПОДЗЕМ'!K5:K52)</f>
        <v>0</v>
      </c>
      <c r="H41" s="6">
        <f t="shared" si="3"/>
        <v>0</v>
      </c>
      <c r="I41" s="6">
        <f>H41*E41</f>
        <v>0</v>
      </c>
    </row>
    <row r="42" spans="1:9" x14ac:dyDescent="0.25">
      <c r="A42" s="9"/>
      <c r="B42" s="43" t="s">
        <v>130</v>
      </c>
      <c r="C42" s="9" t="s">
        <v>129</v>
      </c>
      <c r="D42" s="9"/>
      <c r="E42" s="42">
        <f>СПРАВОЧНИК!I6</f>
        <v>0.52</v>
      </c>
      <c r="F42" s="3">
        <f>F39</f>
        <v>0</v>
      </c>
      <c r="G42" s="40">
        <f>SUM('ФАКТ ЧЕРН ПОДЗЕМ'!L5:L52)</f>
        <v>0</v>
      </c>
      <c r="H42" s="6">
        <f t="shared" si="3"/>
        <v>0</v>
      </c>
      <c r="I42" s="6">
        <f>H42*E42</f>
        <v>0</v>
      </c>
    </row>
    <row r="43" spans="1:9" x14ac:dyDescent="0.25">
      <c r="A43" s="9"/>
      <c r="B43" s="43" t="s">
        <v>131</v>
      </c>
      <c r="C43" s="9" t="s">
        <v>129</v>
      </c>
      <c r="D43" s="9"/>
      <c r="E43" s="42">
        <f>СПРАВОЧНИК!J6</f>
        <v>0.18</v>
      </c>
      <c r="F43" s="3">
        <f>F39</f>
        <v>0</v>
      </c>
      <c r="G43" s="40">
        <f>SUM('ФАКТ ЧЕРН ПОДЗЕМ'!M5:M52)</f>
        <v>0</v>
      </c>
      <c r="H43" s="6">
        <f t="shared" si="3"/>
        <v>0</v>
      </c>
      <c r="I43" s="6">
        <f>H43*E43</f>
        <v>0</v>
      </c>
    </row>
    <row r="44" spans="1:9" x14ac:dyDescent="0.25">
      <c r="A44" s="9"/>
      <c r="B44" s="41" t="s">
        <v>82</v>
      </c>
      <c r="C44" s="9"/>
      <c r="D44" s="42">
        <f>СПРАВОЧНИК!F6</f>
        <v>0.68</v>
      </c>
      <c r="E44" s="9"/>
      <c r="F44" s="3">
        <f>F39</f>
        <v>0</v>
      </c>
      <c r="G44" s="40">
        <f>G45*E45+G46*E46+G47*E47</f>
        <v>0</v>
      </c>
      <c r="H44" s="6">
        <f t="shared" si="3"/>
        <v>0</v>
      </c>
      <c r="I44" s="6">
        <f>H44*D44</f>
        <v>0</v>
      </c>
    </row>
    <row r="45" spans="1:9" x14ac:dyDescent="0.25">
      <c r="A45" s="9"/>
      <c r="B45" s="43" t="s">
        <v>128</v>
      </c>
      <c r="C45" s="9" t="s">
        <v>129</v>
      </c>
      <c r="D45" s="9"/>
      <c r="E45" s="42">
        <f>СПРАВОЧНИК!L6</f>
        <v>0.39</v>
      </c>
      <c r="F45" s="3">
        <f>F39</f>
        <v>0</v>
      </c>
      <c r="G45" s="40">
        <f>SUM('ФАКТ ЧИСТ ПОДЗЕМ'!K5:K52)</f>
        <v>0</v>
      </c>
      <c r="H45" s="6">
        <f t="shared" si="3"/>
        <v>0</v>
      </c>
      <c r="I45" s="6">
        <f>H45*E45</f>
        <v>0</v>
      </c>
    </row>
    <row r="46" spans="1:9" x14ac:dyDescent="0.25">
      <c r="A46" s="9"/>
      <c r="B46" s="43" t="s">
        <v>130</v>
      </c>
      <c r="C46" s="9" t="s">
        <v>129</v>
      </c>
      <c r="D46" s="9"/>
      <c r="E46" s="42">
        <f>СПРАВОЧНИК!M6</f>
        <v>0.45</v>
      </c>
      <c r="F46" s="3">
        <f>F39</f>
        <v>0</v>
      </c>
      <c r="G46" s="40">
        <f>SUM('ФАКТ ЧИСТ ПОДЗЕМ'!L5:L52)</f>
        <v>0</v>
      </c>
      <c r="H46" s="6">
        <f t="shared" si="3"/>
        <v>0</v>
      </c>
      <c r="I46" s="6">
        <f>H46*E46</f>
        <v>0</v>
      </c>
    </row>
    <row r="47" spans="1:9" x14ac:dyDescent="0.25">
      <c r="A47" s="9"/>
      <c r="B47" s="43" t="s">
        <v>131</v>
      </c>
      <c r="C47" s="9" t="s">
        <v>129</v>
      </c>
      <c r="D47" s="9"/>
      <c r="E47" s="42">
        <f>СПРАВОЧНИК!N6</f>
        <v>0.16</v>
      </c>
      <c r="F47" s="3">
        <f>F39</f>
        <v>0</v>
      </c>
      <c r="G47" s="40">
        <f>SUM('ФАКТ ЧИСТ ПОДЗЕМ'!M5:M52)</f>
        <v>0</v>
      </c>
      <c r="H47" s="6">
        <f t="shared" si="3"/>
        <v>0</v>
      </c>
      <c r="I47" s="6">
        <f>H47*E47</f>
        <v>0</v>
      </c>
    </row>
    <row r="48" spans="1:9" x14ac:dyDescent="0.25">
      <c r="B48" s="23" t="s">
        <v>132</v>
      </c>
      <c r="D48" s="44">
        <f>D40+D44</f>
        <v>1</v>
      </c>
    </row>
    <row r="50" spans="1:9" x14ac:dyDescent="0.25">
      <c r="A50" s="8" t="s">
        <v>33</v>
      </c>
      <c r="B50" s="16" t="str">
        <f>СПРАВОЧНИК!C7</f>
        <v>Прочие помещения подзем.</v>
      </c>
      <c r="C50" s="9" t="s">
        <v>127</v>
      </c>
      <c r="D50" s="9"/>
      <c r="E50" s="9"/>
      <c r="F50" s="3">
        <f>СПРАВОЧНИК!D7</f>
        <v>0</v>
      </c>
      <c r="G50" s="40">
        <f>G51*D51+G55*D55</f>
        <v>0</v>
      </c>
      <c r="H50" s="6">
        <f t="shared" ref="H50:H58" si="4">IF(F50=0,0,G50/F50)</f>
        <v>0</v>
      </c>
      <c r="I50" s="6">
        <f>I51+I55</f>
        <v>0</v>
      </c>
    </row>
    <row r="51" spans="1:9" x14ac:dyDescent="0.25">
      <c r="A51" s="9"/>
      <c r="B51" s="41" t="s">
        <v>81</v>
      </c>
      <c r="C51" s="9"/>
      <c r="D51" s="42">
        <f>СПРАВОЧНИК!E7</f>
        <v>0.4</v>
      </c>
      <c r="E51" s="9"/>
      <c r="F51" s="3">
        <f>F50</f>
        <v>0</v>
      </c>
      <c r="G51" s="40">
        <f>G52*E52+G53*E53+G54*E54</f>
        <v>0</v>
      </c>
      <c r="H51" s="6">
        <f t="shared" si="4"/>
        <v>0</v>
      </c>
      <c r="I51" s="6">
        <f>H51*D51</f>
        <v>0</v>
      </c>
    </row>
    <row r="52" spans="1:9" x14ac:dyDescent="0.25">
      <c r="A52" s="9"/>
      <c r="B52" s="43" t="s">
        <v>128</v>
      </c>
      <c r="C52" s="9" t="s">
        <v>129</v>
      </c>
      <c r="D52" s="9"/>
      <c r="E52" s="42">
        <f>СПРАВОЧНИК!H7</f>
        <v>0.31</v>
      </c>
      <c r="F52" s="3">
        <f>F50</f>
        <v>0</v>
      </c>
      <c r="G52" s="40">
        <f>SUM('ФАКТ ЧЕРН ПОДЗЕМ'!N5:N52)</f>
        <v>0</v>
      </c>
      <c r="H52" s="6">
        <f t="shared" si="4"/>
        <v>0</v>
      </c>
      <c r="I52" s="6">
        <f>H52*E52</f>
        <v>0</v>
      </c>
    </row>
    <row r="53" spans="1:9" x14ac:dyDescent="0.25">
      <c r="A53" s="9"/>
      <c r="B53" s="43" t="s">
        <v>130</v>
      </c>
      <c r="C53" s="9" t="s">
        <v>129</v>
      </c>
      <c r="D53" s="9"/>
      <c r="E53" s="42">
        <f>СПРАВОЧНИК!I7</f>
        <v>0.49</v>
      </c>
      <c r="F53" s="3">
        <f>F50</f>
        <v>0</v>
      </c>
      <c r="G53" s="40">
        <f>SUM('ФАКТ ЧЕРН ПОДЗЕМ'!O5:O52)</f>
        <v>0</v>
      </c>
      <c r="H53" s="6">
        <f t="shared" si="4"/>
        <v>0</v>
      </c>
      <c r="I53" s="6">
        <f>H53*E53</f>
        <v>0</v>
      </c>
    </row>
    <row r="54" spans="1:9" x14ac:dyDescent="0.25">
      <c r="A54" s="9"/>
      <c r="B54" s="43" t="s">
        <v>131</v>
      </c>
      <c r="C54" s="9" t="s">
        <v>129</v>
      </c>
      <c r="D54" s="9"/>
      <c r="E54" s="42">
        <f>СПРАВОЧНИК!J7</f>
        <v>0.2</v>
      </c>
      <c r="F54" s="3">
        <f>F50</f>
        <v>0</v>
      </c>
      <c r="G54" s="40">
        <f>SUM('ФАКТ ЧЕРН ПОДЗЕМ'!P5:P52)</f>
        <v>0</v>
      </c>
      <c r="H54" s="6">
        <f t="shared" si="4"/>
        <v>0</v>
      </c>
      <c r="I54" s="6">
        <f>H54*E54</f>
        <v>0</v>
      </c>
    </row>
    <row r="55" spans="1:9" x14ac:dyDescent="0.25">
      <c r="A55" s="9"/>
      <c r="B55" s="41" t="s">
        <v>82</v>
      </c>
      <c r="C55" s="9"/>
      <c r="D55" s="42">
        <f>СПРАВОЧНИК!F7</f>
        <v>0.6</v>
      </c>
      <c r="E55" s="9"/>
      <c r="F55" s="3">
        <f>F50</f>
        <v>0</v>
      </c>
      <c r="G55" s="40">
        <f>G56*E56+G57*E57+G58*E58</f>
        <v>0</v>
      </c>
      <c r="H55" s="6">
        <f t="shared" si="4"/>
        <v>0</v>
      </c>
      <c r="I55" s="6">
        <f>H55*D55</f>
        <v>0</v>
      </c>
    </row>
    <row r="56" spans="1:9" x14ac:dyDescent="0.25">
      <c r="A56" s="9"/>
      <c r="B56" s="43" t="s">
        <v>128</v>
      </c>
      <c r="C56" s="9" t="s">
        <v>129</v>
      </c>
      <c r="D56" s="9"/>
      <c r="E56" s="42">
        <f>СПРАВОЧНИК!L7</f>
        <v>0.4</v>
      </c>
      <c r="F56" s="3">
        <f>F50</f>
        <v>0</v>
      </c>
      <c r="G56" s="40">
        <f>SUM('ФАКТ ЧИСТ ПОДЗЕМ'!N5:N52)</f>
        <v>0</v>
      </c>
      <c r="H56" s="6">
        <f t="shared" si="4"/>
        <v>0</v>
      </c>
      <c r="I56" s="6">
        <f>H56*E56</f>
        <v>0</v>
      </c>
    </row>
    <row r="57" spans="1:9" x14ac:dyDescent="0.25">
      <c r="A57" s="9"/>
      <c r="B57" s="43" t="s">
        <v>130</v>
      </c>
      <c r="C57" s="9" t="s">
        <v>129</v>
      </c>
      <c r="D57" s="9"/>
      <c r="E57" s="42">
        <f>СПРАВОЧНИК!M7</f>
        <v>0.48</v>
      </c>
      <c r="F57" s="3">
        <f>F50</f>
        <v>0</v>
      </c>
      <c r="G57" s="40">
        <f>SUM('ФАКТ ЧИСТ ПОДЗЕМ'!O5:O52)</f>
        <v>0</v>
      </c>
      <c r="H57" s="6">
        <f t="shared" si="4"/>
        <v>0</v>
      </c>
      <c r="I57" s="6">
        <f>H57*E57</f>
        <v>0</v>
      </c>
    </row>
    <row r="58" spans="1:9" x14ac:dyDescent="0.25">
      <c r="A58" s="9"/>
      <c r="B58" s="43" t="s">
        <v>131</v>
      </c>
      <c r="C58" s="9" t="s">
        <v>129</v>
      </c>
      <c r="D58" s="9"/>
      <c r="E58" s="42">
        <f>СПРАВОЧНИК!N7</f>
        <v>0.12</v>
      </c>
      <c r="F58" s="3">
        <f>F50</f>
        <v>0</v>
      </c>
      <c r="G58" s="40">
        <f>SUM('ФАКТ ЧИСТ ПОДЗЕМ'!P5:P52)</f>
        <v>0</v>
      </c>
      <c r="H58" s="6">
        <f t="shared" si="4"/>
        <v>0</v>
      </c>
      <c r="I58" s="6">
        <f>H58*E58</f>
        <v>0</v>
      </c>
    </row>
    <row r="59" spans="1:9" x14ac:dyDescent="0.25">
      <c r="B59" s="23" t="s">
        <v>132</v>
      </c>
      <c r="D59" s="44">
        <f>D51+D55</f>
        <v>1</v>
      </c>
    </row>
    <row r="61" spans="1:9" x14ac:dyDescent="0.25">
      <c r="A61" s="8" t="s">
        <v>35</v>
      </c>
      <c r="B61" s="16" t="str">
        <f>СПРАВОЧНИК!C8</f>
        <v>Коммерч. помещения подзем.</v>
      </c>
      <c r="C61" s="9" t="s">
        <v>127</v>
      </c>
      <c r="D61" s="9"/>
      <c r="E61" s="9"/>
      <c r="F61" s="3">
        <f>СПРАВОЧНИК!D8</f>
        <v>0</v>
      </c>
      <c r="G61" s="40">
        <f>G62*D62+G66*D66</f>
        <v>0</v>
      </c>
      <c r="H61" s="6">
        <f t="shared" ref="H61:H69" si="5">IF(F61=0,0,G61/F61)</f>
        <v>0</v>
      </c>
      <c r="I61" s="6">
        <f>I62+I66</f>
        <v>0</v>
      </c>
    </row>
    <row r="62" spans="1:9" x14ac:dyDescent="0.25">
      <c r="A62" s="9"/>
      <c r="B62" s="41" t="s">
        <v>81</v>
      </c>
      <c r="C62" s="9"/>
      <c r="D62" s="42">
        <f>СПРАВОЧНИК!E8</f>
        <v>0.5</v>
      </c>
      <c r="E62" s="9"/>
      <c r="F62" s="3">
        <f>F61</f>
        <v>0</v>
      </c>
      <c r="G62" s="40">
        <f>G63*E63+G64*E64+G65*E65</f>
        <v>0</v>
      </c>
      <c r="H62" s="6">
        <f t="shared" si="5"/>
        <v>0</v>
      </c>
      <c r="I62" s="6">
        <f>H62*D62</f>
        <v>0</v>
      </c>
    </row>
    <row r="63" spans="1:9" x14ac:dyDescent="0.25">
      <c r="A63" s="9"/>
      <c r="B63" s="43" t="s">
        <v>128</v>
      </c>
      <c r="C63" s="9" t="s">
        <v>129</v>
      </c>
      <c r="D63" s="9"/>
      <c r="E63" s="42">
        <f>СПРАВОЧНИК!H8</f>
        <v>0.3</v>
      </c>
      <c r="F63" s="3">
        <f>F61</f>
        <v>0</v>
      </c>
      <c r="G63" s="40">
        <f>SUM('ФАКТ ЧЕРН ПОДЗЕМ'!Q5:Q52)</f>
        <v>0</v>
      </c>
      <c r="H63" s="6">
        <f t="shared" si="5"/>
        <v>0</v>
      </c>
      <c r="I63" s="6">
        <f>H63*E63</f>
        <v>0</v>
      </c>
    </row>
    <row r="64" spans="1:9" x14ac:dyDescent="0.25">
      <c r="A64" s="9"/>
      <c r="B64" s="43" t="s">
        <v>130</v>
      </c>
      <c r="C64" s="9" t="s">
        <v>129</v>
      </c>
      <c r="D64" s="9"/>
      <c r="E64" s="42">
        <f>СПРАВОЧНИК!I8</f>
        <v>0.69</v>
      </c>
      <c r="F64" s="3">
        <f>F61</f>
        <v>0</v>
      </c>
      <c r="G64" s="40">
        <f>SUM('ФАКТ ЧЕРН ПОДЗЕМ'!R5:R52)</f>
        <v>0</v>
      </c>
      <c r="H64" s="6">
        <f t="shared" si="5"/>
        <v>0</v>
      </c>
      <c r="I64" s="6">
        <f>H64*E64</f>
        <v>0</v>
      </c>
    </row>
    <row r="65" spans="1:9" x14ac:dyDescent="0.25">
      <c r="A65" s="9"/>
      <c r="B65" s="43" t="s">
        <v>131</v>
      </c>
      <c r="C65" s="9" t="s">
        <v>129</v>
      </c>
      <c r="D65" s="9"/>
      <c r="E65" s="42">
        <f>СПРАВОЧНИК!J8</f>
        <v>0.01</v>
      </c>
      <c r="F65" s="3">
        <f>F61</f>
        <v>0</v>
      </c>
      <c r="G65" s="40">
        <f>SUM('ФАКТ ЧЕРН ПОДЗЕМ'!S5:S52)</f>
        <v>0</v>
      </c>
      <c r="H65" s="6">
        <f t="shared" si="5"/>
        <v>0</v>
      </c>
      <c r="I65" s="6">
        <f>H65*E65</f>
        <v>0</v>
      </c>
    </row>
    <row r="66" spans="1:9" x14ac:dyDescent="0.25">
      <c r="A66" s="9"/>
      <c r="B66" s="41" t="s">
        <v>82</v>
      </c>
      <c r="C66" s="9"/>
      <c r="D66" s="42">
        <f>СПРАВОЧНИК!F8</f>
        <v>0.5</v>
      </c>
      <c r="E66" s="9"/>
      <c r="F66" s="3">
        <f>F61</f>
        <v>0</v>
      </c>
      <c r="G66" s="40">
        <f>G67*E67+G68*E68+G69*E69</f>
        <v>0</v>
      </c>
      <c r="H66" s="6">
        <f t="shared" si="5"/>
        <v>0</v>
      </c>
      <c r="I66" s="6">
        <f>H66*D66</f>
        <v>0</v>
      </c>
    </row>
    <row r="67" spans="1:9" x14ac:dyDescent="0.25">
      <c r="A67" s="9"/>
      <c r="B67" s="43" t="s">
        <v>128</v>
      </c>
      <c r="C67" s="9" t="s">
        <v>129</v>
      </c>
      <c r="D67" s="9"/>
      <c r="E67" s="42">
        <f>СПРАВОЧНИК!L8</f>
        <v>0.2</v>
      </c>
      <c r="F67" s="3">
        <f>F61</f>
        <v>0</v>
      </c>
      <c r="G67" s="40">
        <f>SUM('ФАКТ ЧИСТ ПОДЗЕМ'!Q5:Q52)</f>
        <v>0</v>
      </c>
      <c r="H67" s="6">
        <f t="shared" si="5"/>
        <v>0</v>
      </c>
      <c r="I67" s="6">
        <f>H67*E67</f>
        <v>0</v>
      </c>
    </row>
    <row r="68" spans="1:9" x14ac:dyDescent="0.25">
      <c r="A68" s="9"/>
      <c r="B68" s="43" t="s">
        <v>130</v>
      </c>
      <c r="C68" s="9" t="s">
        <v>129</v>
      </c>
      <c r="D68" s="9"/>
      <c r="E68" s="42">
        <f>СПРАВОЧНИК!M8</f>
        <v>0.6</v>
      </c>
      <c r="F68" s="3">
        <f>F61</f>
        <v>0</v>
      </c>
      <c r="G68" s="40">
        <f>SUM('ФАКТ ЧИСТ ПОДЗЕМ'!R5:R52)</f>
        <v>0</v>
      </c>
      <c r="H68" s="6">
        <f t="shared" si="5"/>
        <v>0</v>
      </c>
      <c r="I68" s="6">
        <f>H68*E68</f>
        <v>0</v>
      </c>
    </row>
    <row r="69" spans="1:9" x14ac:dyDescent="0.25">
      <c r="A69" s="9"/>
      <c r="B69" s="43" t="s">
        <v>131</v>
      </c>
      <c r="C69" s="9" t="s">
        <v>129</v>
      </c>
      <c r="D69" s="9"/>
      <c r="E69" s="42">
        <f>СПРАВОЧНИК!N8</f>
        <v>0.2</v>
      </c>
      <c r="F69" s="3">
        <f>F61</f>
        <v>0</v>
      </c>
      <c r="G69" s="40">
        <f>SUM('ФАКТ ЧИСТ ПОДЗЕМ'!S5:S52)</f>
        <v>0</v>
      </c>
      <c r="H69" s="6">
        <f t="shared" si="5"/>
        <v>0</v>
      </c>
      <c r="I69" s="6">
        <f>H69*E69</f>
        <v>0</v>
      </c>
    </row>
    <row r="70" spans="1:9" x14ac:dyDescent="0.25">
      <c r="B70" s="23" t="s">
        <v>132</v>
      </c>
      <c r="D70" s="44">
        <f>D62+D66</f>
        <v>1</v>
      </c>
    </row>
    <row r="72" spans="1:9" x14ac:dyDescent="0.25">
      <c r="A72" s="75" t="s">
        <v>133</v>
      </c>
      <c r="B72" s="74"/>
      <c r="C72" s="74"/>
      <c r="D72" s="74"/>
      <c r="E72" s="74"/>
      <c r="F72" s="74"/>
      <c r="G72" s="74"/>
      <c r="H72" s="74"/>
      <c r="I72" s="74"/>
    </row>
    <row r="73" spans="1:9" x14ac:dyDescent="0.25">
      <c r="A73" s="69" t="s">
        <v>1</v>
      </c>
      <c r="B73" s="69" t="s">
        <v>3</v>
      </c>
      <c r="C73" s="69" t="s">
        <v>74</v>
      </c>
      <c r="D73" s="69" t="s">
        <v>122</v>
      </c>
      <c r="E73" s="69" t="s">
        <v>123</v>
      </c>
      <c r="F73" s="69" t="s">
        <v>4</v>
      </c>
      <c r="G73" s="69" t="s">
        <v>124</v>
      </c>
      <c r="H73" s="69" t="s">
        <v>125</v>
      </c>
      <c r="I73" s="69" t="s">
        <v>126</v>
      </c>
    </row>
    <row r="74" spans="1:9" x14ac:dyDescent="0.25">
      <c r="A74" s="8" t="s">
        <v>37</v>
      </c>
      <c r="B74" s="16" t="str">
        <f>СПРАВОЧНИК!C9</f>
        <v>Отделка лобби/гранд-лобби</v>
      </c>
      <c r="C74" s="9" t="s">
        <v>127</v>
      </c>
      <c r="D74" s="9"/>
      <c r="E74" s="9"/>
      <c r="F74" s="3">
        <f>СПРАВОЧНИК!B28</f>
        <v>0</v>
      </c>
      <c r="G74" s="40">
        <f>G75*D75+G79*D79</f>
        <v>0</v>
      </c>
      <c r="H74" s="6">
        <f t="shared" ref="H74:H83" si="6">IF(F74=0,0,G74/F74)</f>
        <v>0</v>
      </c>
      <c r="I74" s="6">
        <f>I75+I79</f>
        <v>0</v>
      </c>
    </row>
    <row r="75" spans="1:9" x14ac:dyDescent="0.25">
      <c r="A75" s="9"/>
      <c r="B75" s="41" t="s">
        <v>81</v>
      </c>
      <c r="C75" s="9"/>
      <c r="D75" s="42">
        <f>СПРАВОЧНИК!E9</f>
        <v>0.4</v>
      </c>
      <c r="E75" s="9"/>
      <c r="F75" s="3">
        <f>F74</f>
        <v>0</v>
      </c>
      <c r="G75" s="40">
        <f>G76*E76+G77*E77+G78*E78</f>
        <v>0</v>
      </c>
      <c r="H75" s="6">
        <f t="shared" si="6"/>
        <v>0</v>
      </c>
      <c r="I75" s="6">
        <f>H75*D75</f>
        <v>0</v>
      </c>
    </row>
    <row r="76" spans="1:9" x14ac:dyDescent="0.25">
      <c r="A76" s="9"/>
      <c r="B76" s="43" t="s">
        <v>128</v>
      </c>
      <c r="C76" s="9" t="s">
        <v>129</v>
      </c>
      <c r="D76" s="9"/>
      <c r="E76" s="42">
        <f>СПРАВОЧНИК!H9</f>
        <v>0.2</v>
      </c>
      <c r="F76" s="3">
        <f>F74</f>
        <v>0</v>
      </c>
      <c r="G76" s="40">
        <f>SUM('ФАКТ ЧЕРН К1'!B5:B52)</f>
        <v>0</v>
      </c>
      <c r="H76" s="6">
        <f t="shared" si="6"/>
        <v>0</v>
      </c>
      <c r="I76" s="6">
        <f>H76*E76</f>
        <v>0</v>
      </c>
    </row>
    <row r="77" spans="1:9" x14ac:dyDescent="0.25">
      <c r="A77" s="9"/>
      <c r="B77" s="43" t="s">
        <v>130</v>
      </c>
      <c r="C77" s="9" t="s">
        <v>129</v>
      </c>
      <c r="D77" s="9"/>
      <c r="E77" s="42">
        <f>СПРАВОЧНИК!I9</f>
        <v>0.63</v>
      </c>
      <c r="F77" s="3">
        <f>F74</f>
        <v>0</v>
      </c>
      <c r="G77" s="40">
        <f>SUM('ФАКТ ЧЕРН К1'!C5:C52)</f>
        <v>0</v>
      </c>
      <c r="H77" s="6">
        <f t="shared" si="6"/>
        <v>0</v>
      </c>
      <c r="I77" s="6">
        <f>H77*E77</f>
        <v>0</v>
      </c>
    </row>
    <row r="78" spans="1:9" x14ac:dyDescent="0.25">
      <c r="A78" s="9"/>
      <c r="B78" s="43" t="s">
        <v>131</v>
      </c>
      <c r="C78" s="9" t="s">
        <v>129</v>
      </c>
      <c r="D78" s="9"/>
      <c r="E78" s="42">
        <f>СПРАВОЧНИК!J9</f>
        <v>0.17</v>
      </c>
      <c r="F78" s="3">
        <f>F74</f>
        <v>0</v>
      </c>
      <c r="G78" s="40">
        <f>SUM('ФАКТ ЧЕРН К1'!D5:D52)</f>
        <v>0</v>
      </c>
      <c r="H78" s="6">
        <f t="shared" si="6"/>
        <v>0</v>
      </c>
      <c r="I78" s="6">
        <f>H78*E78</f>
        <v>0</v>
      </c>
    </row>
    <row r="79" spans="1:9" x14ac:dyDescent="0.25">
      <c r="A79" s="9"/>
      <c r="B79" s="41" t="s">
        <v>82</v>
      </c>
      <c r="C79" s="9"/>
      <c r="D79" s="42">
        <f>СПРАВОЧНИК!F9</f>
        <v>0.6</v>
      </c>
      <c r="E79" s="9"/>
      <c r="F79" s="3">
        <f>F74</f>
        <v>0</v>
      </c>
      <c r="G79" s="40">
        <f>G80*E80+G81*E81+G82*E82+G83*E83</f>
        <v>0</v>
      </c>
      <c r="H79" s="6">
        <f t="shared" si="6"/>
        <v>0</v>
      </c>
      <c r="I79" s="6">
        <f>H79*D79</f>
        <v>0</v>
      </c>
    </row>
    <row r="80" spans="1:9" x14ac:dyDescent="0.25">
      <c r="A80" s="9"/>
      <c r="B80" s="43" t="s">
        <v>128</v>
      </c>
      <c r="C80" s="9" t="s">
        <v>129</v>
      </c>
      <c r="D80" s="9"/>
      <c r="E80" s="42">
        <f>СПРАВОЧНИК!L9</f>
        <v>0.14000000000000001</v>
      </c>
      <c r="F80" s="3">
        <f>F74</f>
        <v>0</v>
      </c>
      <c r="G80" s="40">
        <f>SUM('ФАКТ ЧИСТ К1'!B5:B52)</f>
        <v>0</v>
      </c>
      <c r="H80" s="6">
        <f t="shared" si="6"/>
        <v>0</v>
      </c>
      <c r="I80" s="6">
        <f>H80*E80</f>
        <v>0</v>
      </c>
    </row>
    <row r="81" spans="1:9" x14ac:dyDescent="0.25">
      <c r="A81" s="9"/>
      <c r="B81" s="43" t="s">
        <v>130</v>
      </c>
      <c r="C81" s="9" t="s">
        <v>129</v>
      </c>
      <c r="D81" s="9"/>
      <c r="E81" s="42">
        <f>СПРАВОЧНИК!M9</f>
        <v>0.41</v>
      </c>
      <c r="F81" s="3">
        <f>F74</f>
        <v>0</v>
      </c>
      <c r="G81" s="40">
        <f>SUM('ФАКТ ЧИСТ К1'!C5:C52)</f>
        <v>0</v>
      </c>
      <c r="H81" s="6">
        <f t="shared" si="6"/>
        <v>0</v>
      </c>
      <c r="I81" s="6">
        <f>H81*E81</f>
        <v>0</v>
      </c>
    </row>
    <row r="82" spans="1:9" x14ac:dyDescent="0.25">
      <c r="A82" s="9"/>
      <c r="B82" s="43" t="s">
        <v>131</v>
      </c>
      <c r="C82" s="9" t="s">
        <v>129</v>
      </c>
      <c r="D82" s="9"/>
      <c r="E82" s="42">
        <f>СПРАВОЧНИК!N9</f>
        <v>0.36</v>
      </c>
      <c r="F82" s="3">
        <f>F74</f>
        <v>0</v>
      </c>
      <c r="G82" s="40">
        <f>SUM('ФАКТ ЧИСТ К1'!D5:D52)</f>
        <v>0</v>
      </c>
      <c r="H82" s="6">
        <f t="shared" si="6"/>
        <v>0</v>
      </c>
      <c r="I82" s="6">
        <f>H82*E82</f>
        <v>0</v>
      </c>
    </row>
    <row r="83" spans="1:9" x14ac:dyDescent="0.25">
      <c r="A83" s="9"/>
      <c r="B83" s="43" t="s">
        <v>134</v>
      </c>
      <c r="C83" s="9" t="s">
        <v>129</v>
      </c>
      <c r="D83" s="9"/>
      <c r="E83" s="42">
        <f>СПРАВОЧНИК!O9</f>
        <v>0.09</v>
      </c>
      <c r="F83" s="3">
        <f>F74</f>
        <v>0</v>
      </c>
      <c r="G83" s="40">
        <f>SUM('ФАКТ ЧИСТ К1'!E5:E52)</f>
        <v>0</v>
      </c>
      <c r="H83" s="6">
        <f t="shared" si="6"/>
        <v>0</v>
      </c>
      <c r="I83" s="6">
        <f>H83*E83</f>
        <v>0</v>
      </c>
    </row>
    <row r="84" spans="1:9" x14ac:dyDescent="0.25">
      <c r="B84" s="23" t="s">
        <v>132</v>
      </c>
      <c r="D84" s="44">
        <f>D75+D79</f>
        <v>1</v>
      </c>
    </row>
    <row r="86" spans="1:9" x14ac:dyDescent="0.25">
      <c r="A86" s="8" t="s">
        <v>40</v>
      </c>
      <c r="B86" s="16" t="str">
        <f>СПРАВОЧНИК!C10</f>
        <v>Отделка эвакуац. лестн. клетки надзем.</v>
      </c>
      <c r="C86" s="9" t="s">
        <v>127</v>
      </c>
      <c r="D86" s="9"/>
      <c r="E86" s="9"/>
      <c r="F86" s="3">
        <f>СПРАВОЧНИК!C28</f>
        <v>0</v>
      </c>
      <c r="G86" s="40">
        <f>G87*D87+G91*D91</f>
        <v>0</v>
      </c>
      <c r="H86" s="6">
        <f t="shared" ref="H86:H94" si="7">IF(F86=0,0,G86/F86)</f>
        <v>0</v>
      </c>
      <c r="I86" s="6">
        <f>I87+I91</f>
        <v>0</v>
      </c>
    </row>
    <row r="87" spans="1:9" x14ac:dyDescent="0.25">
      <c r="A87" s="9"/>
      <c r="B87" s="41" t="s">
        <v>81</v>
      </c>
      <c r="C87" s="9"/>
      <c r="D87" s="42">
        <f>СПРАВОЧНИК!E10</f>
        <v>0.33</v>
      </c>
      <c r="E87" s="9"/>
      <c r="F87" s="3">
        <f>F86</f>
        <v>0</v>
      </c>
      <c r="G87" s="40">
        <f>G88*E88+G89*E89+G90*E90</f>
        <v>0</v>
      </c>
      <c r="H87" s="6">
        <f t="shared" si="7"/>
        <v>0</v>
      </c>
      <c r="I87" s="6">
        <f>H87*D87</f>
        <v>0</v>
      </c>
    </row>
    <row r="88" spans="1:9" x14ac:dyDescent="0.25">
      <c r="A88" s="9"/>
      <c r="B88" s="43" t="s">
        <v>128</v>
      </c>
      <c r="C88" s="9" t="s">
        <v>129</v>
      </c>
      <c r="D88" s="9"/>
      <c r="E88" s="42">
        <f>СПРАВОЧНИК!H10</f>
        <v>0.2</v>
      </c>
      <c r="F88" s="3">
        <f>F86</f>
        <v>0</v>
      </c>
      <c r="G88" s="40">
        <f>SUM('ФАКТ ЧЕРН К1'!E5:E52)</f>
        <v>0</v>
      </c>
      <c r="H88" s="6">
        <f t="shared" si="7"/>
        <v>0</v>
      </c>
      <c r="I88" s="6">
        <f>H88*E88</f>
        <v>0</v>
      </c>
    </row>
    <row r="89" spans="1:9" x14ac:dyDescent="0.25">
      <c r="A89" s="9"/>
      <c r="B89" s="43" t="s">
        <v>130</v>
      </c>
      <c r="C89" s="9" t="s">
        <v>129</v>
      </c>
      <c r="D89" s="9"/>
      <c r="E89" s="42">
        <f>СПРАВОЧНИК!I10</f>
        <v>0.61</v>
      </c>
      <c r="F89" s="3">
        <f>F86</f>
        <v>0</v>
      </c>
      <c r="G89" s="40">
        <f>SUM('ФАКТ ЧЕРН К1'!F5:F52)</f>
        <v>0</v>
      </c>
      <c r="H89" s="6">
        <f t="shared" si="7"/>
        <v>0</v>
      </c>
      <c r="I89" s="6">
        <f>H89*E89</f>
        <v>0</v>
      </c>
    </row>
    <row r="90" spans="1:9" x14ac:dyDescent="0.25">
      <c r="A90" s="9"/>
      <c r="B90" s="43" t="s">
        <v>131</v>
      </c>
      <c r="C90" s="9" t="s">
        <v>129</v>
      </c>
      <c r="D90" s="9"/>
      <c r="E90" s="42">
        <f>СПРАВОЧНИК!J10</f>
        <v>0.19</v>
      </c>
      <c r="F90" s="3">
        <f>F86</f>
        <v>0</v>
      </c>
      <c r="G90" s="40">
        <f>SUM('ФАКТ ЧЕРН К1'!G5:G52)</f>
        <v>0</v>
      </c>
      <c r="H90" s="6">
        <f t="shared" si="7"/>
        <v>0</v>
      </c>
      <c r="I90" s="6">
        <f>H90*E90</f>
        <v>0</v>
      </c>
    </row>
    <row r="91" spans="1:9" x14ac:dyDescent="0.25">
      <c r="A91" s="9"/>
      <c r="B91" s="41" t="s">
        <v>82</v>
      </c>
      <c r="C91" s="9"/>
      <c r="D91" s="42">
        <f>СПРАВОЧНИК!F10</f>
        <v>0.67</v>
      </c>
      <c r="E91" s="9"/>
      <c r="F91" s="3">
        <f>F86</f>
        <v>0</v>
      </c>
      <c r="G91" s="40">
        <f>G92*E92+G93*E93+G94*E94</f>
        <v>0</v>
      </c>
      <c r="H91" s="6">
        <f t="shared" si="7"/>
        <v>0</v>
      </c>
      <c r="I91" s="6">
        <f>H91*D91</f>
        <v>0</v>
      </c>
    </row>
    <row r="92" spans="1:9" x14ac:dyDescent="0.25">
      <c r="A92" s="9"/>
      <c r="B92" s="43" t="s">
        <v>128</v>
      </c>
      <c r="C92" s="9" t="s">
        <v>129</v>
      </c>
      <c r="D92" s="9"/>
      <c r="E92" s="42">
        <f>СПРАВОЧНИК!L10</f>
        <v>0.38</v>
      </c>
      <c r="F92" s="3">
        <f>F86</f>
        <v>0</v>
      </c>
      <c r="G92" s="40">
        <f>SUM('ФАКТ ЧИСТ К1'!F5:F52)</f>
        <v>0</v>
      </c>
      <c r="H92" s="6">
        <f t="shared" si="7"/>
        <v>0</v>
      </c>
      <c r="I92" s="6">
        <f>H92*E92</f>
        <v>0</v>
      </c>
    </row>
    <row r="93" spans="1:9" x14ac:dyDescent="0.25">
      <c r="A93" s="9"/>
      <c r="B93" s="43" t="s">
        <v>130</v>
      </c>
      <c r="C93" s="9" t="s">
        <v>129</v>
      </c>
      <c r="D93" s="9"/>
      <c r="E93" s="42">
        <f>СПРАВОЧНИК!M10</f>
        <v>0.35</v>
      </c>
      <c r="F93" s="3">
        <f>F86</f>
        <v>0</v>
      </c>
      <c r="G93" s="40">
        <f>SUM('ФАКТ ЧИСТ К1'!G5:G52)</f>
        <v>0</v>
      </c>
      <c r="H93" s="6">
        <f t="shared" si="7"/>
        <v>0</v>
      </c>
      <c r="I93" s="6">
        <f>H93*E93</f>
        <v>0</v>
      </c>
    </row>
    <row r="94" spans="1:9" x14ac:dyDescent="0.25">
      <c r="A94" s="9"/>
      <c r="B94" s="43" t="s">
        <v>131</v>
      </c>
      <c r="C94" s="9" t="s">
        <v>129</v>
      </c>
      <c r="D94" s="9"/>
      <c r="E94" s="42">
        <f>СПРАВОЧНИК!N10</f>
        <v>0.27</v>
      </c>
      <c r="F94" s="3">
        <f>F86</f>
        <v>0</v>
      </c>
      <c r="G94" s="40">
        <f>SUM('ФАКТ ЧИСТ К1'!H5:H52)</f>
        <v>0</v>
      </c>
      <c r="H94" s="6">
        <f t="shared" si="7"/>
        <v>0</v>
      </c>
      <c r="I94" s="6">
        <f>H94*E94</f>
        <v>0</v>
      </c>
    </row>
    <row r="95" spans="1:9" x14ac:dyDescent="0.25">
      <c r="B95" s="23" t="s">
        <v>132</v>
      </c>
      <c r="D95" s="44">
        <f>D87+D91</f>
        <v>1</v>
      </c>
    </row>
    <row r="97" spans="1:9" x14ac:dyDescent="0.25">
      <c r="A97" s="8" t="s">
        <v>42</v>
      </c>
      <c r="B97" s="16" t="str">
        <f>СПРАВОЧНИК!C11</f>
        <v>Лифт. холлы, тамбур-шлюзы надзем.</v>
      </c>
      <c r="C97" s="9" t="s">
        <v>127</v>
      </c>
      <c r="D97" s="9"/>
      <c r="E97" s="9"/>
      <c r="F97" s="3">
        <f>СПРАВОЧНИК!D28</f>
        <v>0</v>
      </c>
      <c r="G97" s="40">
        <f>G98*D98+G102*D102</f>
        <v>0</v>
      </c>
      <c r="H97" s="6">
        <f t="shared" ref="H97:H105" si="8">IF(F97=0,0,G97/F97)</f>
        <v>0</v>
      </c>
      <c r="I97" s="6">
        <f>I98+I102</f>
        <v>0</v>
      </c>
    </row>
    <row r="98" spans="1:9" x14ac:dyDescent="0.25">
      <c r="A98" s="9"/>
      <c r="B98" s="41" t="s">
        <v>81</v>
      </c>
      <c r="C98" s="9"/>
      <c r="D98" s="42">
        <f>СПРАВОЧНИК!E11</f>
        <v>0.4</v>
      </c>
      <c r="E98" s="9"/>
      <c r="F98" s="3">
        <f>F97</f>
        <v>0</v>
      </c>
      <c r="G98" s="40">
        <f>G99*E99+G100*E100+G101*E101</f>
        <v>0</v>
      </c>
      <c r="H98" s="6">
        <f t="shared" si="8"/>
        <v>0</v>
      </c>
      <c r="I98" s="6">
        <f>H98*D98</f>
        <v>0</v>
      </c>
    </row>
    <row r="99" spans="1:9" x14ac:dyDescent="0.25">
      <c r="A99" s="9"/>
      <c r="B99" s="43" t="s">
        <v>128</v>
      </c>
      <c r="C99" s="9" t="s">
        <v>129</v>
      </c>
      <c r="D99" s="9"/>
      <c r="E99" s="42">
        <f>СПРАВОЧНИК!H11</f>
        <v>0.4</v>
      </c>
      <c r="F99" s="3">
        <f>F97</f>
        <v>0</v>
      </c>
      <c r="G99" s="40">
        <f>SUM('ФАКТ ЧЕРН К1'!H5:H52)</f>
        <v>0</v>
      </c>
      <c r="H99" s="6">
        <f t="shared" si="8"/>
        <v>0</v>
      </c>
      <c r="I99" s="6">
        <f>H99*E99</f>
        <v>0</v>
      </c>
    </row>
    <row r="100" spans="1:9" x14ac:dyDescent="0.25">
      <c r="A100" s="9"/>
      <c r="B100" s="43" t="s">
        <v>130</v>
      </c>
      <c r="C100" s="9" t="s">
        <v>129</v>
      </c>
      <c r="D100" s="9"/>
      <c r="E100" s="42">
        <f>СПРАВОЧНИК!I11</f>
        <v>0.3</v>
      </c>
      <c r="F100" s="3">
        <f>F97</f>
        <v>0</v>
      </c>
      <c r="G100" s="40">
        <f>SUM('ФАКТ ЧЕРН К1'!I5:I52)</f>
        <v>0</v>
      </c>
      <c r="H100" s="6">
        <f t="shared" si="8"/>
        <v>0</v>
      </c>
      <c r="I100" s="6">
        <f>H100*E100</f>
        <v>0</v>
      </c>
    </row>
    <row r="101" spans="1:9" x14ac:dyDescent="0.25">
      <c r="A101" s="9"/>
      <c r="B101" s="43" t="s">
        <v>131</v>
      </c>
      <c r="C101" s="9" t="s">
        <v>129</v>
      </c>
      <c r="D101" s="9"/>
      <c r="E101" s="42">
        <f>СПРАВОЧНИК!J11</f>
        <v>0.3</v>
      </c>
      <c r="F101" s="3">
        <f>F97</f>
        <v>0</v>
      </c>
      <c r="G101" s="40">
        <f>SUM('ФАКТ ЧЕРН К1'!J5:J52)</f>
        <v>0</v>
      </c>
      <c r="H101" s="6">
        <f t="shared" si="8"/>
        <v>0</v>
      </c>
      <c r="I101" s="6">
        <f>H101*E101</f>
        <v>0</v>
      </c>
    </row>
    <row r="102" spans="1:9" x14ac:dyDescent="0.25">
      <c r="A102" s="9"/>
      <c r="B102" s="41" t="s">
        <v>82</v>
      </c>
      <c r="C102" s="9"/>
      <c r="D102" s="42">
        <f>СПРАВОЧНИК!F11</f>
        <v>0.6</v>
      </c>
      <c r="E102" s="9"/>
      <c r="F102" s="3">
        <f>F97</f>
        <v>0</v>
      </c>
      <c r="G102" s="40">
        <f>G103*E103+G104*E104+G105*E105</f>
        <v>0</v>
      </c>
      <c r="H102" s="6">
        <f t="shared" si="8"/>
        <v>0</v>
      </c>
      <c r="I102" s="6">
        <f>H102*D102</f>
        <v>0</v>
      </c>
    </row>
    <row r="103" spans="1:9" x14ac:dyDescent="0.25">
      <c r="A103" s="9"/>
      <c r="B103" s="43" t="s">
        <v>128</v>
      </c>
      <c r="C103" s="9" t="s">
        <v>129</v>
      </c>
      <c r="D103" s="9"/>
      <c r="E103" s="42">
        <f>СПРАВОЧНИК!L11</f>
        <v>0.2</v>
      </c>
      <c r="F103" s="3">
        <f>F97</f>
        <v>0</v>
      </c>
      <c r="G103" s="40">
        <f>SUM('ФАКТ ЧИСТ К1'!I5:I52)</f>
        <v>0</v>
      </c>
      <c r="H103" s="6">
        <f t="shared" si="8"/>
        <v>0</v>
      </c>
      <c r="I103" s="6">
        <f>H103*E103</f>
        <v>0</v>
      </c>
    </row>
    <row r="104" spans="1:9" x14ac:dyDescent="0.25">
      <c r="A104" s="9"/>
      <c r="B104" s="43" t="s">
        <v>130</v>
      </c>
      <c r="C104" s="9" t="s">
        <v>129</v>
      </c>
      <c r="D104" s="9"/>
      <c r="E104" s="42">
        <f>СПРАВОЧНИК!M11</f>
        <v>0.6</v>
      </c>
      <c r="F104" s="3">
        <f>F97</f>
        <v>0</v>
      </c>
      <c r="G104" s="40">
        <f>SUM('ФАКТ ЧИСТ К1'!J5:J52)</f>
        <v>0</v>
      </c>
      <c r="H104" s="6">
        <f t="shared" si="8"/>
        <v>0</v>
      </c>
      <c r="I104" s="6">
        <f>H104*E104</f>
        <v>0</v>
      </c>
    </row>
    <row r="105" spans="1:9" x14ac:dyDescent="0.25">
      <c r="A105" s="9"/>
      <c r="B105" s="43" t="s">
        <v>131</v>
      </c>
      <c r="C105" s="9" t="s">
        <v>129</v>
      </c>
      <c r="D105" s="9"/>
      <c r="E105" s="42">
        <f>СПРАВОЧНИК!N11</f>
        <v>0.2</v>
      </c>
      <c r="F105" s="3">
        <f>F97</f>
        <v>0</v>
      </c>
      <c r="G105" s="40">
        <f>SUM('ФАКТ ЧИСТ К1'!K5:K52)</f>
        <v>0</v>
      </c>
      <c r="H105" s="6">
        <f t="shared" si="8"/>
        <v>0</v>
      </c>
      <c r="I105" s="6">
        <f>H105*E105</f>
        <v>0</v>
      </c>
    </row>
    <row r="106" spans="1:9" x14ac:dyDescent="0.25">
      <c r="B106" s="23" t="s">
        <v>132</v>
      </c>
      <c r="D106" s="44">
        <f>D98+D102</f>
        <v>1</v>
      </c>
    </row>
    <row r="108" spans="1:9" x14ac:dyDescent="0.25">
      <c r="A108" s="8" t="s">
        <v>44</v>
      </c>
      <c r="B108" s="16" t="str">
        <f>СПРАВОЧНИК!C12</f>
        <v>Технич. помещения надзем.</v>
      </c>
      <c r="C108" s="9" t="s">
        <v>127</v>
      </c>
      <c r="D108" s="9"/>
      <c r="E108" s="9"/>
      <c r="F108" s="3">
        <f>СПРАВОЧНИК!E28</f>
        <v>0</v>
      </c>
      <c r="G108" s="40">
        <f>G109*D109+G113*D113</f>
        <v>0</v>
      </c>
      <c r="H108" s="6">
        <f t="shared" ref="H108:H116" si="9">IF(F108=0,0,G108/F108)</f>
        <v>0</v>
      </c>
      <c r="I108" s="6">
        <f>I109+I113</f>
        <v>0</v>
      </c>
    </row>
    <row r="109" spans="1:9" x14ac:dyDescent="0.25">
      <c r="A109" s="9"/>
      <c r="B109" s="41" t="s">
        <v>81</v>
      </c>
      <c r="C109" s="9"/>
      <c r="D109" s="42">
        <f>СПРАВОЧНИК!E12</f>
        <v>0.32</v>
      </c>
      <c r="E109" s="9"/>
      <c r="F109" s="3">
        <f>F108</f>
        <v>0</v>
      </c>
      <c r="G109" s="40">
        <f>G110*E110+G111*E111+G112*E112</f>
        <v>0</v>
      </c>
      <c r="H109" s="6">
        <f t="shared" si="9"/>
        <v>0</v>
      </c>
      <c r="I109" s="6">
        <f>H109*D109</f>
        <v>0</v>
      </c>
    </row>
    <row r="110" spans="1:9" x14ac:dyDescent="0.25">
      <c r="A110" s="9"/>
      <c r="B110" s="43" t="s">
        <v>128</v>
      </c>
      <c r="C110" s="9" t="s">
        <v>129</v>
      </c>
      <c r="D110" s="9"/>
      <c r="E110" s="42">
        <f>СПРАВОЧНИК!H12</f>
        <v>0.3</v>
      </c>
      <c r="F110" s="3">
        <f>F108</f>
        <v>0</v>
      </c>
      <c r="G110" s="40">
        <f>SUM('ФАКТ ЧЕРН К1'!K5:K52)</f>
        <v>0</v>
      </c>
      <c r="H110" s="6">
        <f t="shared" si="9"/>
        <v>0</v>
      </c>
      <c r="I110" s="6">
        <f>H110*E110</f>
        <v>0</v>
      </c>
    </row>
    <row r="111" spans="1:9" x14ac:dyDescent="0.25">
      <c r="A111" s="9"/>
      <c r="B111" s="43" t="s">
        <v>130</v>
      </c>
      <c r="C111" s="9" t="s">
        <v>129</v>
      </c>
      <c r="D111" s="9"/>
      <c r="E111" s="42">
        <f>СПРАВОЧНИК!I12</f>
        <v>0.52</v>
      </c>
      <c r="F111" s="3">
        <f>F108</f>
        <v>0</v>
      </c>
      <c r="G111" s="40">
        <f>SUM('ФАКТ ЧЕРН К1'!L5:L52)</f>
        <v>0</v>
      </c>
      <c r="H111" s="6">
        <f t="shared" si="9"/>
        <v>0</v>
      </c>
      <c r="I111" s="6">
        <f>H111*E111</f>
        <v>0</v>
      </c>
    </row>
    <row r="112" spans="1:9" x14ac:dyDescent="0.25">
      <c r="A112" s="9"/>
      <c r="B112" s="43" t="s">
        <v>131</v>
      </c>
      <c r="C112" s="9" t="s">
        <v>129</v>
      </c>
      <c r="D112" s="9"/>
      <c r="E112" s="42">
        <f>СПРАВОЧНИК!J12</f>
        <v>0.18</v>
      </c>
      <c r="F112" s="3">
        <f>F108</f>
        <v>0</v>
      </c>
      <c r="G112" s="40">
        <f>SUM('ФАКТ ЧЕРН К1'!M5:M52)</f>
        <v>0</v>
      </c>
      <c r="H112" s="6">
        <f t="shared" si="9"/>
        <v>0</v>
      </c>
      <c r="I112" s="6">
        <f>H112*E112</f>
        <v>0</v>
      </c>
    </row>
    <row r="113" spans="1:9" x14ac:dyDescent="0.25">
      <c r="A113" s="9"/>
      <c r="B113" s="41" t="s">
        <v>82</v>
      </c>
      <c r="C113" s="9"/>
      <c r="D113" s="42">
        <f>СПРАВОЧНИК!F12</f>
        <v>0.68</v>
      </c>
      <c r="E113" s="9"/>
      <c r="F113" s="3">
        <f>F108</f>
        <v>0</v>
      </c>
      <c r="G113" s="40">
        <f>G114*E114+G115*E115+G116*E116</f>
        <v>0</v>
      </c>
      <c r="H113" s="6">
        <f t="shared" si="9"/>
        <v>0</v>
      </c>
      <c r="I113" s="6">
        <f>H113*D113</f>
        <v>0</v>
      </c>
    </row>
    <row r="114" spans="1:9" x14ac:dyDescent="0.25">
      <c r="A114" s="9"/>
      <c r="B114" s="43" t="s">
        <v>128</v>
      </c>
      <c r="C114" s="9" t="s">
        <v>129</v>
      </c>
      <c r="D114" s="9"/>
      <c r="E114" s="42">
        <f>СПРАВОЧНИК!L12</f>
        <v>0.39</v>
      </c>
      <c r="F114" s="3">
        <f>F108</f>
        <v>0</v>
      </c>
      <c r="G114" s="40">
        <f>SUM('ФАКТ ЧИСТ К1'!L5:L52)</f>
        <v>0</v>
      </c>
      <c r="H114" s="6">
        <f t="shared" si="9"/>
        <v>0</v>
      </c>
      <c r="I114" s="6">
        <f>H114*E114</f>
        <v>0</v>
      </c>
    </row>
    <row r="115" spans="1:9" x14ac:dyDescent="0.25">
      <c r="A115" s="9"/>
      <c r="B115" s="43" t="s">
        <v>130</v>
      </c>
      <c r="C115" s="9" t="s">
        <v>129</v>
      </c>
      <c r="D115" s="9"/>
      <c r="E115" s="42">
        <f>СПРАВОЧНИК!M12</f>
        <v>0.45</v>
      </c>
      <c r="F115" s="3">
        <f>F108</f>
        <v>0</v>
      </c>
      <c r="G115" s="40">
        <f>SUM('ФАКТ ЧИСТ К1'!M5:M52)</f>
        <v>0</v>
      </c>
      <c r="H115" s="6">
        <f t="shared" si="9"/>
        <v>0</v>
      </c>
      <c r="I115" s="6">
        <f>H115*E115</f>
        <v>0</v>
      </c>
    </row>
    <row r="116" spans="1:9" x14ac:dyDescent="0.25">
      <c r="A116" s="9"/>
      <c r="B116" s="43" t="s">
        <v>131</v>
      </c>
      <c r="C116" s="9" t="s">
        <v>129</v>
      </c>
      <c r="D116" s="9"/>
      <c r="E116" s="42">
        <f>СПРАВОЧНИК!N12</f>
        <v>0.16</v>
      </c>
      <c r="F116" s="3">
        <f>F108</f>
        <v>0</v>
      </c>
      <c r="G116" s="40">
        <f>SUM('ФАКТ ЧИСТ К1'!N5:N52)</f>
        <v>0</v>
      </c>
      <c r="H116" s="6">
        <f t="shared" si="9"/>
        <v>0</v>
      </c>
      <c r="I116" s="6">
        <f>H116*E116</f>
        <v>0</v>
      </c>
    </row>
    <row r="117" spans="1:9" x14ac:dyDescent="0.25">
      <c r="B117" s="23" t="s">
        <v>132</v>
      </c>
      <c r="D117" s="44">
        <f>D109+D113</f>
        <v>1</v>
      </c>
    </row>
    <row r="119" spans="1:9" x14ac:dyDescent="0.25">
      <c r="A119" s="8" t="s">
        <v>46</v>
      </c>
      <c r="B119" s="16" t="str">
        <f>СПРАВОЧНИК!C13</f>
        <v>Прочие помещения надзем.</v>
      </c>
      <c r="C119" s="9" t="s">
        <v>127</v>
      </c>
      <c r="D119" s="9"/>
      <c r="E119" s="9"/>
      <c r="F119" s="3">
        <f>СПРАВОЧНИК!F28</f>
        <v>0</v>
      </c>
      <c r="G119" s="40">
        <f>G120*D120+G124*D124</f>
        <v>0</v>
      </c>
      <c r="H119" s="6">
        <f t="shared" ref="H119:H127" si="10">IF(F119=0,0,G119/F119)</f>
        <v>0</v>
      </c>
      <c r="I119" s="6">
        <f>I120+I124</f>
        <v>0</v>
      </c>
    </row>
    <row r="120" spans="1:9" x14ac:dyDescent="0.25">
      <c r="A120" s="9"/>
      <c r="B120" s="41" t="s">
        <v>81</v>
      </c>
      <c r="C120" s="9"/>
      <c r="D120" s="42">
        <f>СПРАВОЧНИК!E13</f>
        <v>0.4</v>
      </c>
      <c r="E120" s="9"/>
      <c r="F120" s="3">
        <f>F119</f>
        <v>0</v>
      </c>
      <c r="G120" s="40">
        <f>G121*E121+G122*E122+G123*E123</f>
        <v>0</v>
      </c>
      <c r="H120" s="6">
        <f t="shared" si="10"/>
        <v>0</v>
      </c>
      <c r="I120" s="6">
        <f>H120*D120</f>
        <v>0</v>
      </c>
    </row>
    <row r="121" spans="1:9" x14ac:dyDescent="0.25">
      <c r="A121" s="9"/>
      <c r="B121" s="43" t="s">
        <v>128</v>
      </c>
      <c r="C121" s="9" t="s">
        <v>129</v>
      </c>
      <c r="D121" s="9"/>
      <c r="E121" s="42">
        <f>СПРАВОЧНИК!H13</f>
        <v>0.31</v>
      </c>
      <c r="F121" s="3">
        <f>F119</f>
        <v>0</v>
      </c>
      <c r="G121" s="40">
        <f>SUM('ФАКТ ЧЕРН К1'!N5:N52)</f>
        <v>0</v>
      </c>
      <c r="H121" s="6">
        <f t="shared" si="10"/>
        <v>0</v>
      </c>
      <c r="I121" s="6">
        <f>H121*E121</f>
        <v>0</v>
      </c>
    </row>
    <row r="122" spans="1:9" x14ac:dyDescent="0.25">
      <c r="A122" s="9"/>
      <c r="B122" s="43" t="s">
        <v>130</v>
      </c>
      <c r="C122" s="9" t="s">
        <v>129</v>
      </c>
      <c r="D122" s="9"/>
      <c r="E122" s="42">
        <f>СПРАВОЧНИК!I13</f>
        <v>0.49</v>
      </c>
      <c r="F122" s="3">
        <f>F119</f>
        <v>0</v>
      </c>
      <c r="G122" s="40">
        <f>SUM('ФАКТ ЧЕРН К1'!O5:O52)</f>
        <v>0</v>
      </c>
      <c r="H122" s="6">
        <f t="shared" si="10"/>
        <v>0</v>
      </c>
      <c r="I122" s="6">
        <f>H122*E122</f>
        <v>0</v>
      </c>
    </row>
    <row r="123" spans="1:9" x14ac:dyDescent="0.25">
      <c r="A123" s="9"/>
      <c r="B123" s="43" t="s">
        <v>131</v>
      </c>
      <c r="C123" s="9" t="s">
        <v>129</v>
      </c>
      <c r="D123" s="9"/>
      <c r="E123" s="42">
        <f>СПРАВОЧНИК!J13</f>
        <v>0.2</v>
      </c>
      <c r="F123" s="3">
        <f>F119</f>
        <v>0</v>
      </c>
      <c r="G123" s="40">
        <f>SUM('ФАКТ ЧЕРН К1'!P5:P52)</f>
        <v>0</v>
      </c>
      <c r="H123" s="6">
        <f t="shared" si="10"/>
        <v>0</v>
      </c>
      <c r="I123" s="6">
        <f>H123*E123</f>
        <v>0</v>
      </c>
    </row>
    <row r="124" spans="1:9" x14ac:dyDescent="0.25">
      <c r="A124" s="9"/>
      <c r="B124" s="41" t="s">
        <v>82</v>
      </c>
      <c r="C124" s="9"/>
      <c r="D124" s="42">
        <f>СПРАВОЧНИК!F13</f>
        <v>0.6</v>
      </c>
      <c r="E124" s="9"/>
      <c r="F124" s="3">
        <f>F119</f>
        <v>0</v>
      </c>
      <c r="G124" s="40">
        <f>G125*E125+G126*E126+G127*E127</f>
        <v>0</v>
      </c>
      <c r="H124" s="6">
        <f t="shared" si="10"/>
        <v>0</v>
      </c>
      <c r="I124" s="6">
        <f>H124*D124</f>
        <v>0</v>
      </c>
    </row>
    <row r="125" spans="1:9" x14ac:dyDescent="0.25">
      <c r="A125" s="9"/>
      <c r="B125" s="43" t="s">
        <v>128</v>
      </c>
      <c r="C125" s="9" t="s">
        <v>129</v>
      </c>
      <c r="D125" s="9"/>
      <c r="E125" s="42">
        <f>СПРАВОЧНИК!L13</f>
        <v>0.4</v>
      </c>
      <c r="F125" s="3">
        <f>F119</f>
        <v>0</v>
      </c>
      <c r="G125" s="40">
        <f>SUM('ФАКТ ЧИСТ К1'!O5:O52)</f>
        <v>0</v>
      </c>
      <c r="H125" s="6">
        <f t="shared" si="10"/>
        <v>0</v>
      </c>
      <c r="I125" s="6">
        <f>H125*E125</f>
        <v>0</v>
      </c>
    </row>
    <row r="126" spans="1:9" x14ac:dyDescent="0.25">
      <c r="A126" s="9"/>
      <c r="B126" s="43" t="s">
        <v>130</v>
      </c>
      <c r="C126" s="9" t="s">
        <v>129</v>
      </c>
      <c r="D126" s="9"/>
      <c r="E126" s="42">
        <f>СПРАВОЧНИК!M13</f>
        <v>0.48</v>
      </c>
      <c r="F126" s="3">
        <f>F119</f>
        <v>0</v>
      </c>
      <c r="G126" s="40">
        <f>SUM('ФАКТ ЧИСТ К1'!P5:P52)</f>
        <v>0</v>
      </c>
      <c r="H126" s="6">
        <f t="shared" si="10"/>
        <v>0</v>
      </c>
      <c r="I126" s="6">
        <f>H126*E126</f>
        <v>0</v>
      </c>
    </row>
    <row r="127" spans="1:9" x14ac:dyDescent="0.25">
      <c r="A127" s="9"/>
      <c r="B127" s="43" t="s">
        <v>131</v>
      </c>
      <c r="C127" s="9" t="s">
        <v>129</v>
      </c>
      <c r="D127" s="9"/>
      <c r="E127" s="42">
        <f>СПРАВОЧНИК!N13</f>
        <v>0.12</v>
      </c>
      <c r="F127" s="3">
        <f>F119</f>
        <v>0</v>
      </c>
      <c r="G127" s="40">
        <f>SUM('ФАКТ ЧИСТ К1'!Q5:Q52)</f>
        <v>0</v>
      </c>
      <c r="H127" s="6">
        <f t="shared" si="10"/>
        <v>0</v>
      </c>
      <c r="I127" s="6">
        <f>H127*E127</f>
        <v>0</v>
      </c>
    </row>
    <row r="128" spans="1:9" x14ac:dyDescent="0.25">
      <c r="B128" s="23" t="s">
        <v>132</v>
      </c>
      <c r="D128" s="44">
        <f>D120+D124</f>
        <v>1</v>
      </c>
    </row>
    <row r="130" spans="1:9" x14ac:dyDescent="0.25">
      <c r="A130" s="8" t="s">
        <v>48</v>
      </c>
      <c r="B130" s="16" t="str">
        <f>СПРАВОЧНИК!C14</f>
        <v>Коммерч. помещения надзем.</v>
      </c>
      <c r="C130" s="9" t="s">
        <v>127</v>
      </c>
      <c r="D130" s="9"/>
      <c r="E130" s="9"/>
      <c r="F130" s="3">
        <f>СПРАВОЧНИК!G28</f>
        <v>0</v>
      </c>
      <c r="G130" s="40">
        <f>G131*D131+G135*D135</f>
        <v>0</v>
      </c>
      <c r="H130" s="6">
        <f t="shared" ref="H130:H138" si="11">IF(F130=0,0,G130/F130)</f>
        <v>0</v>
      </c>
      <c r="I130" s="6">
        <f>I131+I135</f>
        <v>0</v>
      </c>
    </row>
    <row r="131" spans="1:9" x14ac:dyDescent="0.25">
      <c r="A131" s="9"/>
      <c r="B131" s="41" t="s">
        <v>81</v>
      </c>
      <c r="C131" s="9"/>
      <c r="D131" s="42">
        <f>СПРАВОЧНИК!E14</f>
        <v>0.5</v>
      </c>
      <c r="E131" s="9"/>
      <c r="F131" s="3">
        <f>F130</f>
        <v>0</v>
      </c>
      <c r="G131" s="40">
        <f>G132*E132+G133*E133+G134*E134</f>
        <v>0</v>
      </c>
      <c r="H131" s="6">
        <f t="shared" si="11"/>
        <v>0</v>
      </c>
      <c r="I131" s="6">
        <f>H131*D131</f>
        <v>0</v>
      </c>
    </row>
    <row r="132" spans="1:9" x14ac:dyDescent="0.25">
      <c r="A132" s="9"/>
      <c r="B132" s="43" t="s">
        <v>128</v>
      </c>
      <c r="C132" s="9" t="s">
        <v>129</v>
      </c>
      <c r="D132" s="9"/>
      <c r="E132" s="42">
        <f>СПРАВОЧНИК!H14</f>
        <v>0.3</v>
      </c>
      <c r="F132" s="3">
        <f>F130</f>
        <v>0</v>
      </c>
      <c r="G132" s="40">
        <f>SUM('ФАКТ ЧЕРН К1'!Q5:Q52)</f>
        <v>0</v>
      </c>
      <c r="H132" s="6">
        <f t="shared" si="11"/>
        <v>0</v>
      </c>
      <c r="I132" s="6">
        <f>H132*E132</f>
        <v>0</v>
      </c>
    </row>
    <row r="133" spans="1:9" x14ac:dyDescent="0.25">
      <c r="A133" s="9"/>
      <c r="B133" s="43" t="s">
        <v>130</v>
      </c>
      <c r="C133" s="9" t="s">
        <v>129</v>
      </c>
      <c r="D133" s="9"/>
      <c r="E133" s="42">
        <f>СПРАВОЧНИК!I14</f>
        <v>0.69</v>
      </c>
      <c r="F133" s="3">
        <f>F130</f>
        <v>0</v>
      </c>
      <c r="G133" s="40">
        <f>SUM('ФАКТ ЧЕРН К1'!R5:R52)</f>
        <v>0</v>
      </c>
      <c r="H133" s="6">
        <f t="shared" si="11"/>
        <v>0</v>
      </c>
      <c r="I133" s="6">
        <f>H133*E133</f>
        <v>0</v>
      </c>
    </row>
    <row r="134" spans="1:9" x14ac:dyDescent="0.25">
      <c r="A134" s="9"/>
      <c r="B134" s="43" t="s">
        <v>131</v>
      </c>
      <c r="C134" s="9" t="s">
        <v>129</v>
      </c>
      <c r="D134" s="9"/>
      <c r="E134" s="42">
        <f>СПРАВОЧНИК!J14</f>
        <v>0.01</v>
      </c>
      <c r="F134" s="3">
        <f>F130</f>
        <v>0</v>
      </c>
      <c r="G134" s="40">
        <f>SUM('ФАКТ ЧЕРН К1'!S5:S52)</f>
        <v>0</v>
      </c>
      <c r="H134" s="6">
        <f t="shared" si="11"/>
        <v>0</v>
      </c>
      <c r="I134" s="6">
        <f>H134*E134</f>
        <v>0</v>
      </c>
    </row>
    <row r="135" spans="1:9" x14ac:dyDescent="0.25">
      <c r="A135" s="9"/>
      <c r="B135" s="41" t="s">
        <v>82</v>
      </c>
      <c r="C135" s="9"/>
      <c r="D135" s="42">
        <f>СПРАВОЧНИК!F14</f>
        <v>0.5</v>
      </c>
      <c r="E135" s="9"/>
      <c r="F135" s="3">
        <f>F130</f>
        <v>0</v>
      </c>
      <c r="G135" s="40">
        <f>G136*E136+G137*E137+G138*E138</f>
        <v>0</v>
      </c>
      <c r="H135" s="6">
        <f t="shared" si="11"/>
        <v>0</v>
      </c>
      <c r="I135" s="6">
        <f>H135*D135</f>
        <v>0</v>
      </c>
    </row>
    <row r="136" spans="1:9" x14ac:dyDescent="0.25">
      <c r="A136" s="9"/>
      <c r="B136" s="43" t="s">
        <v>128</v>
      </c>
      <c r="C136" s="9" t="s">
        <v>129</v>
      </c>
      <c r="D136" s="9"/>
      <c r="E136" s="42">
        <f>СПРАВОЧНИК!L14</f>
        <v>0.2</v>
      </c>
      <c r="F136" s="3">
        <f>F130</f>
        <v>0</v>
      </c>
      <c r="G136" s="40">
        <f>SUM('ФАКТ ЧИСТ К1'!R5:R52)</f>
        <v>0</v>
      </c>
      <c r="H136" s="6">
        <f t="shared" si="11"/>
        <v>0</v>
      </c>
      <c r="I136" s="6">
        <f>H136*E136</f>
        <v>0</v>
      </c>
    </row>
    <row r="137" spans="1:9" x14ac:dyDescent="0.25">
      <c r="A137" s="9"/>
      <c r="B137" s="43" t="s">
        <v>130</v>
      </c>
      <c r="C137" s="9" t="s">
        <v>129</v>
      </c>
      <c r="D137" s="9"/>
      <c r="E137" s="42">
        <f>СПРАВОЧНИК!M14</f>
        <v>0.6</v>
      </c>
      <c r="F137" s="3">
        <f>F130</f>
        <v>0</v>
      </c>
      <c r="G137" s="40">
        <f>SUM('ФАКТ ЧИСТ К1'!S5:S52)</f>
        <v>0</v>
      </c>
      <c r="H137" s="6">
        <f t="shared" si="11"/>
        <v>0</v>
      </c>
      <c r="I137" s="6">
        <f>H137*E137</f>
        <v>0</v>
      </c>
    </row>
    <row r="138" spans="1:9" x14ac:dyDescent="0.25">
      <c r="A138" s="9"/>
      <c r="B138" s="43" t="s">
        <v>131</v>
      </c>
      <c r="C138" s="9" t="s">
        <v>129</v>
      </c>
      <c r="D138" s="9"/>
      <c r="E138" s="42">
        <f>СПРАВОЧНИК!N14</f>
        <v>0.2</v>
      </c>
      <c r="F138" s="3">
        <f>F130</f>
        <v>0</v>
      </c>
      <c r="G138" s="40">
        <f>SUM('ФАКТ ЧИСТ К1'!T5:T52)</f>
        <v>0</v>
      </c>
      <c r="H138" s="6">
        <f t="shared" si="11"/>
        <v>0</v>
      </c>
      <c r="I138" s="6">
        <f>H138*E138</f>
        <v>0</v>
      </c>
    </row>
    <row r="139" spans="1:9" x14ac:dyDescent="0.25">
      <c r="B139" s="23" t="s">
        <v>132</v>
      </c>
      <c r="D139" s="44">
        <f>D131+D135</f>
        <v>1</v>
      </c>
    </row>
    <row r="141" spans="1:9" x14ac:dyDescent="0.25">
      <c r="A141" s="8" t="s">
        <v>50</v>
      </c>
      <c r="B141" s="16" t="str">
        <f>СПРАВОЧНИК!C15</f>
        <v>Паркинг и рампы надзем.</v>
      </c>
      <c r="C141" s="9" t="s">
        <v>127</v>
      </c>
      <c r="D141" s="9"/>
      <c r="E141" s="9"/>
      <c r="F141" s="3">
        <f>СПРАВОЧНИК!H28</f>
        <v>0</v>
      </c>
      <c r="G141" s="40">
        <f>G142*D142+G146*D146</f>
        <v>0</v>
      </c>
      <c r="H141" s="6">
        <f t="shared" ref="H141:H149" si="12">IF(F141=0,0,G141/F141)</f>
        <v>0</v>
      </c>
      <c r="I141" s="6">
        <f>I142+I146</f>
        <v>0</v>
      </c>
    </row>
    <row r="142" spans="1:9" x14ac:dyDescent="0.25">
      <c r="A142" s="9"/>
      <c r="B142" s="41" t="s">
        <v>81</v>
      </c>
      <c r="C142" s="9"/>
      <c r="D142" s="42">
        <f>СПРАВОЧНИК!E15</f>
        <v>0.5</v>
      </c>
      <c r="E142" s="9"/>
      <c r="F142" s="3">
        <f>F141</f>
        <v>0</v>
      </c>
      <c r="G142" s="40">
        <f>G143*E143+G144*E144+G145*E145</f>
        <v>0</v>
      </c>
      <c r="H142" s="6">
        <f t="shared" si="12"/>
        <v>0</v>
      </c>
      <c r="I142" s="6">
        <f>H142*D142</f>
        <v>0</v>
      </c>
    </row>
    <row r="143" spans="1:9" x14ac:dyDescent="0.25">
      <c r="A143" s="9"/>
      <c r="B143" s="43" t="s">
        <v>128</v>
      </c>
      <c r="C143" s="9" t="s">
        <v>129</v>
      </c>
      <c r="D143" s="9"/>
      <c r="E143" s="42">
        <f>СПРАВОЧНИК!H15</f>
        <v>0.3</v>
      </c>
      <c r="F143" s="3">
        <f>F141</f>
        <v>0</v>
      </c>
      <c r="G143" s="40">
        <f>SUM('ФАКТ ЧЕРН К1'!T5:T52)</f>
        <v>0</v>
      </c>
      <c r="H143" s="6">
        <f t="shared" si="12"/>
        <v>0</v>
      </c>
      <c r="I143" s="6">
        <f>H143*E143</f>
        <v>0</v>
      </c>
    </row>
    <row r="144" spans="1:9" x14ac:dyDescent="0.25">
      <c r="A144" s="9"/>
      <c r="B144" s="43" t="s">
        <v>130</v>
      </c>
      <c r="C144" s="9" t="s">
        <v>129</v>
      </c>
      <c r="D144" s="9"/>
      <c r="E144" s="42">
        <f>СПРАВОЧНИК!I15</f>
        <v>0.69</v>
      </c>
      <c r="F144" s="3">
        <f>F141</f>
        <v>0</v>
      </c>
      <c r="G144" s="40">
        <f>SUM('ФАКТ ЧЕРН К1'!U5:U52)</f>
        <v>0</v>
      </c>
      <c r="H144" s="6">
        <f t="shared" si="12"/>
        <v>0</v>
      </c>
      <c r="I144" s="6">
        <f>H144*E144</f>
        <v>0</v>
      </c>
    </row>
    <row r="145" spans="1:9" x14ac:dyDescent="0.25">
      <c r="A145" s="9"/>
      <c r="B145" s="43" t="s">
        <v>131</v>
      </c>
      <c r="C145" s="9" t="s">
        <v>129</v>
      </c>
      <c r="D145" s="9"/>
      <c r="E145" s="42">
        <f>СПРАВОЧНИК!J15</f>
        <v>0.01</v>
      </c>
      <c r="F145" s="3">
        <f>F141</f>
        <v>0</v>
      </c>
      <c r="G145" s="40">
        <f>SUM('ФАКТ ЧЕРН К1'!V5:V52)</f>
        <v>0</v>
      </c>
      <c r="H145" s="6">
        <f t="shared" si="12"/>
        <v>0</v>
      </c>
      <c r="I145" s="6">
        <f>H145*E145</f>
        <v>0</v>
      </c>
    </row>
    <row r="146" spans="1:9" x14ac:dyDescent="0.25">
      <c r="A146" s="9"/>
      <c r="B146" s="41" t="s">
        <v>82</v>
      </c>
      <c r="C146" s="9"/>
      <c r="D146" s="42">
        <f>СПРАВОЧНИК!F15</f>
        <v>0.5</v>
      </c>
      <c r="E146" s="9"/>
      <c r="F146" s="3">
        <f>F141</f>
        <v>0</v>
      </c>
      <c r="G146" s="40">
        <f>G147*E147+G148*E148+G149*E149</f>
        <v>0</v>
      </c>
      <c r="H146" s="6">
        <f t="shared" si="12"/>
        <v>0</v>
      </c>
      <c r="I146" s="6">
        <f>H146*D146</f>
        <v>0</v>
      </c>
    </row>
    <row r="147" spans="1:9" x14ac:dyDescent="0.25">
      <c r="A147" s="9"/>
      <c r="B147" s="43" t="s">
        <v>128</v>
      </c>
      <c r="C147" s="9" t="s">
        <v>129</v>
      </c>
      <c r="D147" s="9"/>
      <c r="E147" s="42">
        <f>СПРАВОЧНИК!L15</f>
        <v>0.2</v>
      </c>
      <c r="F147" s="3">
        <f>F141</f>
        <v>0</v>
      </c>
      <c r="G147" s="40">
        <f>SUM('ФАКТ ЧИСТ К1'!U5:U52)</f>
        <v>0</v>
      </c>
      <c r="H147" s="6">
        <f t="shared" si="12"/>
        <v>0</v>
      </c>
      <c r="I147" s="6">
        <f>H147*E147</f>
        <v>0</v>
      </c>
    </row>
    <row r="148" spans="1:9" x14ac:dyDescent="0.25">
      <c r="A148" s="9"/>
      <c r="B148" s="43" t="s">
        <v>130</v>
      </c>
      <c r="C148" s="9" t="s">
        <v>129</v>
      </c>
      <c r="D148" s="9"/>
      <c r="E148" s="42">
        <f>СПРАВОЧНИК!M15</f>
        <v>0.6</v>
      </c>
      <c r="F148" s="3">
        <f>F141</f>
        <v>0</v>
      </c>
      <c r="G148" s="40">
        <f>SUM('ФАКТ ЧИСТ К1'!V5:V52)</f>
        <v>0</v>
      </c>
      <c r="H148" s="6">
        <f t="shared" si="12"/>
        <v>0</v>
      </c>
      <c r="I148" s="6">
        <f>H148*E148</f>
        <v>0</v>
      </c>
    </row>
    <row r="149" spans="1:9" x14ac:dyDescent="0.25">
      <c r="A149" s="9"/>
      <c r="B149" s="43" t="s">
        <v>131</v>
      </c>
      <c r="C149" s="9" t="s">
        <v>129</v>
      </c>
      <c r="D149" s="9"/>
      <c r="E149" s="42">
        <f>СПРАВОЧНИК!N15</f>
        <v>0.2</v>
      </c>
      <c r="F149" s="3">
        <f>F141</f>
        <v>0</v>
      </c>
      <c r="G149" s="40">
        <f>SUM('ФАКТ ЧИСТ К1'!W5:W52)</f>
        <v>0</v>
      </c>
      <c r="H149" s="6">
        <f t="shared" si="12"/>
        <v>0</v>
      </c>
      <c r="I149" s="6">
        <f>H149*E149</f>
        <v>0</v>
      </c>
    </row>
    <row r="150" spans="1:9" x14ac:dyDescent="0.25">
      <c r="B150" s="23" t="s">
        <v>132</v>
      </c>
      <c r="D150" s="44">
        <f>D142+D146</f>
        <v>1</v>
      </c>
    </row>
    <row r="152" spans="1:9" x14ac:dyDescent="0.25">
      <c r="A152" s="75" t="s">
        <v>135</v>
      </c>
      <c r="B152" s="74"/>
      <c r="C152" s="74"/>
      <c r="D152" s="74"/>
      <c r="E152" s="74"/>
      <c r="F152" s="74"/>
      <c r="G152" s="74"/>
      <c r="H152" s="74"/>
      <c r="I152" s="74"/>
    </row>
    <row r="153" spans="1:9" x14ac:dyDescent="0.25">
      <c r="A153" s="69" t="s">
        <v>1</v>
      </c>
      <c r="B153" s="69" t="s">
        <v>3</v>
      </c>
      <c r="C153" s="69" t="s">
        <v>74</v>
      </c>
      <c r="D153" s="69" t="s">
        <v>122</v>
      </c>
      <c r="E153" s="69" t="s">
        <v>123</v>
      </c>
      <c r="F153" s="69" t="s">
        <v>4</v>
      </c>
      <c r="G153" s="69" t="s">
        <v>124</v>
      </c>
      <c r="H153" s="69" t="s">
        <v>125</v>
      </c>
      <c r="I153" s="69" t="s">
        <v>126</v>
      </c>
    </row>
    <row r="154" spans="1:9" x14ac:dyDescent="0.25">
      <c r="A154" s="8" t="s">
        <v>37</v>
      </c>
      <c r="B154" s="16" t="str">
        <f>СПРАВОЧНИК!C9</f>
        <v>Отделка лобби/гранд-лобби</v>
      </c>
      <c r="C154" s="9" t="s">
        <v>127</v>
      </c>
      <c r="D154" s="9"/>
      <c r="E154" s="9"/>
      <c r="F154" s="3">
        <f>СПРАВОЧНИК!B29</f>
        <v>0</v>
      </c>
      <c r="G154" s="40">
        <f>G155*D155+G159*D159</f>
        <v>0</v>
      </c>
      <c r="H154" s="6">
        <f t="shared" ref="H154:H163" si="13">IF(F154=0,0,G154/F154)</f>
        <v>0</v>
      </c>
      <c r="I154" s="6">
        <f>I155+I159</f>
        <v>0</v>
      </c>
    </row>
    <row r="155" spans="1:9" x14ac:dyDescent="0.25">
      <c r="A155" s="9"/>
      <c r="B155" s="41" t="s">
        <v>81</v>
      </c>
      <c r="C155" s="9"/>
      <c r="D155" s="42">
        <f>СПРАВОЧНИК!E9</f>
        <v>0.4</v>
      </c>
      <c r="E155" s="9"/>
      <c r="F155" s="3">
        <f>F154</f>
        <v>0</v>
      </c>
      <c r="G155" s="40">
        <f>G156*E156+G157*E157+G158*E158</f>
        <v>0</v>
      </c>
      <c r="H155" s="6">
        <f t="shared" si="13"/>
        <v>0</v>
      </c>
      <c r="I155" s="6">
        <f>H155*D155</f>
        <v>0</v>
      </c>
    </row>
    <row r="156" spans="1:9" x14ac:dyDescent="0.25">
      <c r="A156" s="9"/>
      <c r="B156" s="43" t="s">
        <v>128</v>
      </c>
      <c r="C156" s="9" t="s">
        <v>129</v>
      </c>
      <c r="D156" s="9"/>
      <c r="E156" s="42">
        <f>СПРАВОЧНИК!H9</f>
        <v>0.2</v>
      </c>
      <c r="F156" s="3">
        <f>F154</f>
        <v>0</v>
      </c>
      <c r="G156" s="40">
        <f>SUM('ФАКТ ЧЕРН К2'!B5:B52)</f>
        <v>0</v>
      </c>
      <c r="H156" s="6">
        <f t="shared" si="13"/>
        <v>0</v>
      </c>
      <c r="I156" s="6">
        <f>H156*E156</f>
        <v>0</v>
      </c>
    </row>
    <row r="157" spans="1:9" x14ac:dyDescent="0.25">
      <c r="A157" s="9"/>
      <c r="B157" s="43" t="s">
        <v>130</v>
      </c>
      <c r="C157" s="9" t="s">
        <v>129</v>
      </c>
      <c r="D157" s="9"/>
      <c r="E157" s="42">
        <f>СПРАВОЧНИК!I9</f>
        <v>0.63</v>
      </c>
      <c r="F157" s="3">
        <f>F154</f>
        <v>0</v>
      </c>
      <c r="G157" s="40">
        <f>SUM('ФАКТ ЧЕРН К2'!C5:C52)</f>
        <v>0</v>
      </c>
      <c r="H157" s="6">
        <f t="shared" si="13"/>
        <v>0</v>
      </c>
      <c r="I157" s="6">
        <f>H157*E157</f>
        <v>0</v>
      </c>
    </row>
    <row r="158" spans="1:9" x14ac:dyDescent="0.25">
      <c r="A158" s="9"/>
      <c r="B158" s="43" t="s">
        <v>131</v>
      </c>
      <c r="C158" s="9" t="s">
        <v>129</v>
      </c>
      <c r="D158" s="9"/>
      <c r="E158" s="42">
        <f>СПРАВОЧНИК!J9</f>
        <v>0.17</v>
      </c>
      <c r="F158" s="3">
        <f>F154</f>
        <v>0</v>
      </c>
      <c r="G158" s="40">
        <f>SUM('ФАКТ ЧЕРН К2'!D5:D52)</f>
        <v>0</v>
      </c>
      <c r="H158" s="6">
        <f t="shared" si="13"/>
        <v>0</v>
      </c>
      <c r="I158" s="6">
        <f>H158*E158</f>
        <v>0</v>
      </c>
    </row>
    <row r="159" spans="1:9" x14ac:dyDescent="0.25">
      <c r="A159" s="9"/>
      <c r="B159" s="41" t="s">
        <v>82</v>
      </c>
      <c r="C159" s="9"/>
      <c r="D159" s="42">
        <f>СПРАВОЧНИК!F9</f>
        <v>0.6</v>
      </c>
      <c r="E159" s="9"/>
      <c r="F159" s="3">
        <f>F154</f>
        <v>0</v>
      </c>
      <c r="G159" s="40">
        <f>G160*E160+G161*E161+G162*E162+G163*E163</f>
        <v>0</v>
      </c>
      <c r="H159" s="6">
        <f t="shared" si="13"/>
        <v>0</v>
      </c>
      <c r="I159" s="6">
        <f>H159*D159</f>
        <v>0</v>
      </c>
    </row>
    <row r="160" spans="1:9" x14ac:dyDescent="0.25">
      <c r="A160" s="9"/>
      <c r="B160" s="43" t="s">
        <v>128</v>
      </c>
      <c r="C160" s="9" t="s">
        <v>129</v>
      </c>
      <c r="D160" s="9"/>
      <c r="E160" s="42">
        <f>СПРАВОЧНИК!L9</f>
        <v>0.14000000000000001</v>
      </c>
      <c r="F160" s="3">
        <f>F154</f>
        <v>0</v>
      </c>
      <c r="G160" s="40">
        <f>SUM('ФАКТ ЧИСТ К2'!B5:B52)</f>
        <v>0</v>
      </c>
      <c r="H160" s="6">
        <f t="shared" si="13"/>
        <v>0</v>
      </c>
      <c r="I160" s="6">
        <f>H160*E160</f>
        <v>0</v>
      </c>
    </row>
    <row r="161" spans="1:9" x14ac:dyDescent="0.25">
      <c r="A161" s="9"/>
      <c r="B161" s="43" t="s">
        <v>130</v>
      </c>
      <c r="C161" s="9" t="s">
        <v>129</v>
      </c>
      <c r="D161" s="9"/>
      <c r="E161" s="42">
        <f>СПРАВОЧНИК!M9</f>
        <v>0.41</v>
      </c>
      <c r="F161" s="3">
        <f>F154</f>
        <v>0</v>
      </c>
      <c r="G161" s="40">
        <f>SUM('ФАКТ ЧИСТ К2'!C5:C52)</f>
        <v>0</v>
      </c>
      <c r="H161" s="6">
        <f t="shared" si="13"/>
        <v>0</v>
      </c>
      <c r="I161" s="6">
        <f>H161*E161</f>
        <v>0</v>
      </c>
    </row>
    <row r="162" spans="1:9" x14ac:dyDescent="0.25">
      <c r="A162" s="9"/>
      <c r="B162" s="43" t="s">
        <v>131</v>
      </c>
      <c r="C162" s="9" t="s">
        <v>129</v>
      </c>
      <c r="D162" s="9"/>
      <c r="E162" s="42">
        <f>СПРАВОЧНИК!N9</f>
        <v>0.36</v>
      </c>
      <c r="F162" s="3">
        <f>F154</f>
        <v>0</v>
      </c>
      <c r="G162" s="40">
        <f>SUM('ФАКТ ЧИСТ К2'!D5:D52)</f>
        <v>0</v>
      </c>
      <c r="H162" s="6">
        <f t="shared" si="13"/>
        <v>0</v>
      </c>
      <c r="I162" s="6">
        <f>H162*E162</f>
        <v>0</v>
      </c>
    </row>
    <row r="163" spans="1:9" x14ac:dyDescent="0.25">
      <c r="A163" s="9"/>
      <c r="B163" s="43" t="s">
        <v>134</v>
      </c>
      <c r="C163" s="9" t="s">
        <v>129</v>
      </c>
      <c r="D163" s="9"/>
      <c r="E163" s="42">
        <f>СПРАВОЧНИК!O9</f>
        <v>0.09</v>
      </c>
      <c r="F163" s="3">
        <f>F154</f>
        <v>0</v>
      </c>
      <c r="G163" s="40">
        <f>SUM('ФАКТ ЧИСТ К2'!E5:E52)</f>
        <v>0</v>
      </c>
      <c r="H163" s="6">
        <f t="shared" si="13"/>
        <v>0</v>
      </c>
      <c r="I163" s="6">
        <f>H163*E163</f>
        <v>0</v>
      </c>
    </row>
    <row r="164" spans="1:9" x14ac:dyDescent="0.25">
      <c r="B164" s="23" t="s">
        <v>132</v>
      </c>
      <c r="D164" s="44">
        <f>D155+D159</f>
        <v>1</v>
      </c>
    </row>
    <row r="166" spans="1:9" x14ac:dyDescent="0.25">
      <c r="A166" s="8" t="s">
        <v>40</v>
      </c>
      <c r="B166" s="16" t="str">
        <f>СПРАВОЧНИК!C10</f>
        <v>Отделка эвакуац. лестн. клетки надзем.</v>
      </c>
      <c r="C166" s="9" t="s">
        <v>127</v>
      </c>
      <c r="D166" s="9"/>
      <c r="E166" s="9"/>
      <c r="F166" s="3">
        <f>СПРАВОЧНИК!C29</f>
        <v>0</v>
      </c>
      <c r="G166" s="40">
        <f>G167*D167+G171*D171</f>
        <v>0</v>
      </c>
      <c r="H166" s="6">
        <f t="shared" ref="H166:H174" si="14">IF(F166=0,0,G166/F166)</f>
        <v>0</v>
      </c>
      <c r="I166" s="6">
        <f>I167+I171</f>
        <v>0</v>
      </c>
    </row>
    <row r="167" spans="1:9" x14ac:dyDescent="0.25">
      <c r="A167" s="9"/>
      <c r="B167" s="41" t="s">
        <v>81</v>
      </c>
      <c r="C167" s="9"/>
      <c r="D167" s="42">
        <f>СПРАВОЧНИК!E10</f>
        <v>0.33</v>
      </c>
      <c r="E167" s="9"/>
      <c r="F167" s="3">
        <f>F166</f>
        <v>0</v>
      </c>
      <c r="G167" s="40">
        <f>G168*E168+G169*E169+G170*E170</f>
        <v>0</v>
      </c>
      <c r="H167" s="6">
        <f t="shared" si="14"/>
        <v>0</v>
      </c>
      <c r="I167" s="6">
        <f>H167*D167</f>
        <v>0</v>
      </c>
    </row>
    <row r="168" spans="1:9" x14ac:dyDescent="0.25">
      <c r="A168" s="9"/>
      <c r="B168" s="43" t="s">
        <v>128</v>
      </c>
      <c r="C168" s="9" t="s">
        <v>129</v>
      </c>
      <c r="D168" s="9"/>
      <c r="E168" s="42">
        <f>СПРАВОЧНИК!H10</f>
        <v>0.2</v>
      </c>
      <c r="F168" s="3">
        <f>F166</f>
        <v>0</v>
      </c>
      <c r="G168" s="40">
        <f>SUM('ФАКТ ЧЕРН К2'!E5:E52)</f>
        <v>0</v>
      </c>
      <c r="H168" s="6">
        <f t="shared" si="14"/>
        <v>0</v>
      </c>
      <c r="I168" s="6">
        <f>H168*E168</f>
        <v>0</v>
      </c>
    </row>
    <row r="169" spans="1:9" x14ac:dyDescent="0.25">
      <c r="A169" s="9"/>
      <c r="B169" s="43" t="s">
        <v>130</v>
      </c>
      <c r="C169" s="9" t="s">
        <v>129</v>
      </c>
      <c r="D169" s="9"/>
      <c r="E169" s="42">
        <f>СПРАВОЧНИК!I10</f>
        <v>0.61</v>
      </c>
      <c r="F169" s="3">
        <f>F166</f>
        <v>0</v>
      </c>
      <c r="G169" s="40">
        <f>SUM('ФАКТ ЧЕРН К2'!F5:F52)</f>
        <v>0</v>
      </c>
      <c r="H169" s="6">
        <f t="shared" si="14"/>
        <v>0</v>
      </c>
      <c r="I169" s="6">
        <f>H169*E169</f>
        <v>0</v>
      </c>
    </row>
    <row r="170" spans="1:9" x14ac:dyDescent="0.25">
      <c r="A170" s="9"/>
      <c r="B170" s="43" t="s">
        <v>131</v>
      </c>
      <c r="C170" s="9" t="s">
        <v>129</v>
      </c>
      <c r="D170" s="9"/>
      <c r="E170" s="42">
        <f>СПРАВОЧНИК!J10</f>
        <v>0.19</v>
      </c>
      <c r="F170" s="3">
        <f>F166</f>
        <v>0</v>
      </c>
      <c r="G170" s="40">
        <f>SUM('ФАКТ ЧЕРН К2'!G5:G52)</f>
        <v>0</v>
      </c>
      <c r="H170" s="6">
        <f t="shared" si="14"/>
        <v>0</v>
      </c>
      <c r="I170" s="6">
        <f>H170*E170</f>
        <v>0</v>
      </c>
    </row>
    <row r="171" spans="1:9" x14ac:dyDescent="0.25">
      <c r="A171" s="9"/>
      <c r="B171" s="41" t="s">
        <v>82</v>
      </c>
      <c r="C171" s="9"/>
      <c r="D171" s="42">
        <f>СПРАВОЧНИК!F10</f>
        <v>0.67</v>
      </c>
      <c r="E171" s="9"/>
      <c r="F171" s="3">
        <f>F166</f>
        <v>0</v>
      </c>
      <c r="G171" s="40">
        <f>G172*E172+G173*E173+G174*E174</f>
        <v>0</v>
      </c>
      <c r="H171" s="6">
        <f t="shared" si="14"/>
        <v>0</v>
      </c>
      <c r="I171" s="6">
        <f>H171*D171</f>
        <v>0</v>
      </c>
    </row>
    <row r="172" spans="1:9" x14ac:dyDescent="0.25">
      <c r="A172" s="9"/>
      <c r="B172" s="43" t="s">
        <v>128</v>
      </c>
      <c r="C172" s="9" t="s">
        <v>129</v>
      </c>
      <c r="D172" s="9"/>
      <c r="E172" s="42">
        <f>СПРАВОЧНИК!L10</f>
        <v>0.38</v>
      </c>
      <c r="F172" s="3">
        <f>F166</f>
        <v>0</v>
      </c>
      <c r="G172" s="40">
        <f>SUM('ФАКТ ЧИСТ К2'!F5:F52)</f>
        <v>0</v>
      </c>
      <c r="H172" s="6">
        <f t="shared" si="14"/>
        <v>0</v>
      </c>
      <c r="I172" s="6">
        <f>H172*E172</f>
        <v>0</v>
      </c>
    </row>
    <row r="173" spans="1:9" x14ac:dyDescent="0.25">
      <c r="A173" s="9"/>
      <c r="B173" s="43" t="s">
        <v>130</v>
      </c>
      <c r="C173" s="9" t="s">
        <v>129</v>
      </c>
      <c r="D173" s="9"/>
      <c r="E173" s="42">
        <f>СПРАВОЧНИК!M10</f>
        <v>0.35</v>
      </c>
      <c r="F173" s="3">
        <f>F166</f>
        <v>0</v>
      </c>
      <c r="G173" s="40">
        <f>SUM('ФАКТ ЧИСТ К2'!G5:G52)</f>
        <v>0</v>
      </c>
      <c r="H173" s="6">
        <f t="shared" si="14"/>
        <v>0</v>
      </c>
      <c r="I173" s="6">
        <f>H173*E173</f>
        <v>0</v>
      </c>
    </row>
    <row r="174" spans="1:9" x14ac:dyDescent="0.25">
      <c r="A174" s="9"/>
      <c r="B174" s="43" t="s">
        <v>131</v>
      </c>
      <c r="C174" s="9" t="s">
        <v>129</v>
      </c>
      <c r="D174" s="9"/>
      <c r="E174" s="42">
        <f>СПРАВОЧНИК!N10</f>
        <v>0.27</v>
      </c>
      <c r="F174" s="3">
        <f>F166</f>
        <v>0</v>
      </c>
      <c r="G174" s="40">
        <f>SUM('ФАКТ ЧИСТ К2'!H5:H52)</f>
        <v>0</v>
      </c>
      <c r="H174" s="6">
        <f t="shared" si="14"/>
        <v>0</v>
      </c>
      <c r="I174" s="6">
        <f>H174*E174</f>
        <v>0</v>
      </c>
    </row>
    <row r="175" spans="1:9" x14ac:dyDescent="0.25">
      <c r="B175" s="23" t="s">
        <v>132</v>
      </c>
      <c r="D175" s="44">
        <f>D167+D171</f>
        <v>1</v>
      </c>
    </row>
    <row r="177" spans="1:9" x14ac:dyDescent="0.25">
      <c r="A177" s="8" t="s">
        <v>42</v>
      </c>
      <c r="B177" s="16" t="str">
        <f>СПРАВОЧНИК!C11</f>
        <v>Лифт. холлы, тамбур-шлюзы надзем.</v>
      </c>
      <c r="C177" s="9" t="s">
        <v>127</v>
      </c>
      <c r="D177" s="9"/>
      <c r="E177" s="9"/>
      <c r="F177" s="3">
        <f>СПРАВОЧНИК!D29</f>
        <v>0</v>
      </c>
      <c r="G177" s="40">
        <f>G178*D178+G182*D182</f>
        <v>0</v>
      </c>
      <c r="H177" s="6">
        <f t="shared" ref="H177:H185" si="15">IF(F177=0,0,G177/F177)</f>
        <v>0</v>
      </c>
      <c r="I177" s="6">
        <f>I178+I182</f>
        <v>0</v>
      </c>
    </row>
    <row r="178" spans="1:9" x14ac:dyDescent="0.25">
      <c r="A178" s="9"/>
      <c r="B178" s="41" t="s">
        <v>81</v>
      </c>
      <c r="C178" s="9"/>
      <c r="D178" s="42">
        <f>СПРАВОЧНИК!E11</f>
        <v>0.4</v>
      </c>
      <c r="E178" s="9"/>
      <c r="F178" s="3">
        <f>F177</f>
        <v>0</v>
      </c>
      <c r="G178" s="40">
        <f>G179*E179+G180*E180+G181*E181</f>
        <v>0</v>
      </c>
      <c r="H178" s="6">
        <f t="shared" si="15"/>
        <v>0</v>
      </c>
      <c r="I178" s="6">
        <f>H178*D178</f>
        <v>0</v>
      </c>
    </row>
    <row r="179" spans="1:9" x14ac:dyDescent="0.25">
      <c r="A179" s="9"/>
      <c r="B179" s="43" t="s">
        <v>128</v>
      </c>
      <c r="C179" s="9" t="s">
        <v>129</v>
      </c>
      <c r="D179" s="9"/>
      <c r="E179" s="42">
        <f>СПРАВОЧНИК!H11</f>
        <v>0.4</v>
      </c>
      <c r="F179" s="3">
        <f>F177</f>
        <v>0</v>
      </c>
      <c r="G179" s="40">
        <f>SUM('ФАКТ ЧЕРН К2'!H5:H52)</f>
        <v>0</v>
      </c>
      <c r="H179" s="6">
        <f t="shared" si="15"/>
        <v>0</v>
      </c>
      <c r="I179" s="6">
        <f>H179*E179</f>
        <v>0</v>
      </c>
    </row>
    <row r="180" spans="1:9" x14ac:dyDescent="0.25">
      <c r="A180" s="9"/>
      <c r="B180" s="43" t="s">
        <v>130</v>
      </c>
      <c r="C180" s="9" t="s">
        <v>129</v>
      </c>
      <c r="D180" s="9"/>
      <c r="E180" s="42">
        <f>СПРАВОЧНИК!I11</f>
        <v>0.3</v>
      </c>
      <c r="F180" s="3">
        <f>F177</f>
        <v>0</v>
      </c>
      <c r="G180" s="40">
        <f>SUM('ФАКТ ЧЕРН К2'!I5:I52)</f>
        <v>0</v>
      </c>
      <c r="H180" s="6">
        <f t="shared" si="15"/>
        <v>0</v>
      </c>
      <c r="I180" s="6">
        <f>H180*E180</f>
        <v>0</v>
      </c>
    </row>
    <row r="181" spans="1:9" x14ac:dyDescent="0.25">
      <c r="A181" s="9"/>
      <c r="B181" s="43" t="s">
        <v>131</v>
      </c>
      <c r="C181" s="9" t="s">
        <v>129</v>
      </c>
      <c r="D181" s="9"/>
      <c r="E181" s="42">
        <f>СПРАВОЧНИК!J11</f>
        <v>0.3</v>
      </c>
      <c r="F181" s="3">
        <f>F177</f>
        <v>0</v>
      </c>
      <c r="G181" s="40">
        <f>SUM('ФАКТ ЧЕРН К2'!J5:J52)</f>
        <v>0</v>
      </c>
      <c r="H181" s="6">
        <f t="shared" si="15"/>
        <v>0</v>
      </c>
      <c r="I181" s="6">
        <f>H181*E181</f>
        <v>0</v>
      </c>
    </row>
    <row r="182" spans="1:9" x14ac:dyDescent="0.25">
      <c r="A182" s="9"/>
      <c r="B182" s="41" t="s">
        <v>82</v>
      </c>
      <c r="C182" s="9"/>
      <c r="D182" s="42">
        <f>СПРАВОЧНИК!F11</f>
        <v>0.6</v>
      </c>
      <c r="E182" s="9"/>
      <c r="F182" s="3">
        <f>F177</f>
        <v>0</v>
      </c>
      <c r="G182" s="40">
        <f>G183*E183+G184*E184+G185*E185</f>
        <v>0</v>
      </c>
      <c r="H182" s="6">
        <f t="shared" si="15"/>
        <v>0</v>
      </c>
      <c r="I182" s="6">
        <f>H182*D182</f>
        <v>0</v>
      </c>
    </row>
    <row r="183" spans="1:9" x14ac:dyDescent="0.25">
      <c r="A183" s="9"/>
      <c r="B183" s="43" t="s">
        <v>128</v>
      </c>
      <c r="C183" s="9" t="s">
        <v>129</v>
      </c>
      <c r="D183" s="9"/>
      <c r="E183" s="42">
        <f>СПРАВОЧНИК!L11</f>
        <v>0.2</v>
      </c>
      <c r="F183" s="3">
        <f>F177</f>
        <v>0</v>
      </c>
      <c r="G183" s="40">
        <f>SUM('ФАКТ ЧИСТ К2'!I5:I52)</f>
        <v>0</v>
      </c>
      <c r="H183" s="6">
        <f t="shared" si="15"/>
        <v>0</v>
      </c>
      <c r="I183" s="6">
        <f>H183*E183</f>
        <v>0</v>
      </c>
    </row>
    <row r="184" spans="1:9" x14ac:dyDescent="0.25">
      <c r="A184" s="9"/>
      <c r="B184" s="43" t="s">
        <v>130</v>
      </c>
      <c r="C184" s="9" t="s">
        <v>129</v>
      </c>
      <c r="D184" s="9"/>
      <c r="E184" s="42">
        <f>СПРАВОЧНИК!M11</f>
        <v>0.6</v>
      </c>
      <c r="F184" s="3">
        <f>F177</f>
        <v>0</v>
      </c>
      <c r="G184" s="40">
        <f>SUM('ФАКТ ЧИСТ К2'!J5:J52)</f>
        <v>0</v>
      </c>
      <c r="H184" s="6">
        <f t="shared" si="15"/>
        <v>0</v>
      </c>
      <c r="I184" s="6">
        <f>H184*E184</f>
        <v>0</v>
      </c>
    </row>
    <row r="185" spans="1:9" x14ac:dyDescent="0.25">
      <c r="A185" s="9"/>
      <c r="B185" s="43" t="s">
        <v>131</v>
      </c>
      <c r="C185" s="9" t="s">
        <v>129</v>
      </c>
      <c r="D185" s="9"/>
      <c r="E185" s="42">
        <f>СПРАВОЧНИК!N11</f>
        <v>0.2</v>
      </c>
      <c r="F185" s="3">
        <f>F177</f>
        <v>0</v>
      </c>
      <c r="G185" s="40">
        <f>SUM('ФАКТ ЧИСТ К2'!K5:K52)</f>
        <v>0</v>
      </c>
      <c r="H185" s="6">
        <f t="shared" si="15"/>
        <v>0</v>
      </c>
      <c r="I185" s="6">
        <f>H185*E185</f>
        <v>0</v>
      </c>
    </row>
    <row r="186" spans="1:9" x14ac:dyDescent="0.25">
      <c r="B186" s="23" t="s">
        <v>132</v>
      </c>
      <c r="D186" s="44">
        <f>D178+D182</f>
        <v>1</v>
      </c>
    </row>
    <row r="188" spans="1:9" x14ac:dyDescent="0.25">
      <c r="A188" s="8" t="s">
        <v>44</v>
      </c>
      <c r="B188" s="16" t="str">
        <f>СПРАВОЧНИК!C12</f>
        <v>Технич. помещения надзем.</v>
      </c>
      <c r="C188" s="9" t="s">
        <v>127</v>
      </c>
      <c r="D188" s="9"/>
      <c r="E188" s="9"/>
      <c r="F188" s="3">
        <f>СПРАВОЧНИК!E29</f>
        <v>0</v>
      </c>
      <c r="G188" s="40">
        <f>G189*D189+G193*D193</f>
        <v>0</v>
      </c>
      <c r="H188" s="6">
        <f t="shared" ref="H188:H196" si="16">IF(F188=0,0,G188/F188)</f>
        <v>0</v>
      </c>
      <c r="I188" s="6">
        <f>I189+I193</f>
        <v>0</v>
      </c>
    </row>
    <row r="189" spans="1:9" x14ac:dyDescent="0.25">
      <c r="A189" s="9"/>
      <c r="B189" s="41" t="s">
        <v>81</v>
      </c>
      <c r="C189" s="9"/>
      <c r="D189" s="42">
        <f>СПРАВОЧНИК!E12</f>
        <v>0.32</v>
      </c>
      <c r="E189" s="9"/>
      <c r="F189" s="3">
        <f>F188</f>
        <v>0</v>
      </c>
      <c r="G189" s="40">
        <f>G190*E190+G191*E191+G192*E192</f>
        <v>0</v>
      </c>
      <c r="H189" s="6">
        <f t="shared" si="16"/>
        <v>0</v>
      </c>
      <c r="I189" s="6">
        <f>H189*D189</f>
        <v>0</v>
      </c>
    </row>
    <row r="190" spans="1:9" x14ac:dyDescent="0.25">
      <c r="A190" s="9"/>
      <c r="B190" s="43" t="s">
        <v>128</v>
      </c>
      <c r="C190" s="9" t="s">
        <v>129</v>
      </c>
      <c r="D190" s="9"/>
      <c r="E190" s="42">
        <f>СПРАВОЧНИК!H12</f>
        <v>0.3</v>
      </c>
      <c r="F190" s="3">
        <f>F188</f>
        <v>0</v>
      </c>
      <c r="G190" s="40">
        <f>SUM('ФАКТ ЧЕРН К2'!K5:K52)</f>
        <v>0</v>
      </c>
      <c r="H190" s="6">
        <f t="shared" si="16"/>
        <v>0</v>
      </c>
      <c r="I190" s="6">
        <f>H190*E190</f>
        <v>0</v>
      </c>
    </row>
    <row r="191" spans="1:9" x14ac:dyDescent="0.25">
      <c r="A191" s="9"/>
      <c r="B191" s="43" t="s">
        <v>130</v>
      </c>
      <c r="C191" s="9" t="s">
        <v>129</v>
      </c>
      <c r="D191" s="9"/>
      <c r="E191" s="42">
        <f>СПРАВОЧНИК!I12</f>
        <v>0.52</v>
      </c>
      <c r="F191" s="3">
        <f>F188</f>
        <v>0</v>
      </c>
      <c r="G191" s="40">
        <f>SUM('ФАКТ ЧЕРН К2'!L5:L52)</f>
        <v>0</v>
      </c>
      <c r="H191" s="6">
        <f t="shared" si="16"/>
        <v>0</v>
      </c>
      <c r="I191" s="6">
        <f>H191*E191</f>
        <v>0</v>
      </c>
    </row>
    <row r="192" spans="1:9" x14ac:dyDescent="0.25">
      <c r="A192" s="9"/>
      <c r="B192" s="43" t="s">
        <v>131</v>
      </c>
      <c r="C192" s="9" t="s">
        <v>129</v>
      </c>
      <c r="D192" s="9"/>
      <c r="E192" s="42">
        <f>СПРАВОЧНИК!J12</f>
        <v>0.18</v>
      </c>
      <c r="F192" s="3">
        <f>F188</f>
        <v>0</v>
      </c>
      <c r="G192" s="40">
        <f>SUM('ФАКТ ЧЕРН К2'!M5:M52)</f>
        <v>0</v>
      </c>
      <c r="H192" s="6">
        <f t="shared" si="16"/>
        <v>0</v>
      </c>
      <c r="I192" s="6">
        <f>H192*E192</f>
        <v>0</v>
      </c>
    </row>
    <row r="193" spans="1:9" x14ac:dyDescent="0.25">
      <c r="A193" s="9"/>
      <c r="B193" s="41" t="s">
        <v>82</v>
      </c>
      <c r="C193" s="9"/>
      <c r="D193" s="42">
        <f>СПРАВОЧНИК!F12</f>
        <v>0.68</v>
      </c>
      <c r="E193" s="9"/>
      <c r="F193" s="3">
        <f>F188</f>
        <v>0</v>
      </c>
      <c r="G193" s="40">
        <f>G194*E194+G195*E195+G196*E196</f>
        <v>0</v>
      </c>
      <c r="H193" s="6">
        <f t="shared" si="16"/>
        <v>0</v>
      </c>
      <c r="I193" s="6">
        <f>H193*D193</f>
        <v>0</v>
      </c>
    </row>
    <row r="194" spans="1:9" x14ac:dyDescent="0.25">
      <c r="A194" s="9"/>
      <c r="B194" s="43" t="s">
        <v>128</v>
      </c>
      <c r="C194" s="9" t="s">
        <v>129</v>
      </c>
      <c r="D194" s="9"/>
      <c r="E194" s="42">
        <f>СПРАВОЧНИК!L12</f>
        <v>0.39</v>
      </c>
      <c r="F194" s="3">
        <f>F188</f>
        <v>0</v>
      </c>
      <c r="G194" s="40">
        <f>SUM('ФАКТ ЧИСТ К2'!L5:L52)</f>
        <v>0</v>
      </c>
      <c r="H194" s="6">
        <f t="shared" si="16"/>
        <v>0</v>
      </c>
      <c r="I194" s="6">
        <f>H194*E194</f>
        <v>0</v>
      </c>
    </row>
    <row r="195" spans="1:9" x14ac:dyDescent="0.25">
      <c r="A195" s="9"/>
      <c r="B195" s="43" t="s">
        <v>130</v>
      </c>
      <c r="C195" s="9" t="s">
        <v>129</v>
      </c>
      <c r="D195" s="9"/>
      <c r="E195" s="42">
        <f>СПРАВОЧНИК!M12</f>
        <v>0.45</v>
      </c>
      <c r="F195" s="3">
        <f>F188</f>
        <v>0</v>
      </c>
      <c r="G195" s="40">
        <f>SUM('ФАКТ ЧИСТ К2'!M5:M52)</f>
        <v>0</v>
      </c>
      <c r="H195" s="6">
        <f t="shared" si="16"/>
        <v>0</v>
      </c>
      <c r="I195" s="6">
        <f>H195*E195</f>
        <v>0</v>
      </c>
    </row>
    <row r="196" spans="1:9" x14ac:dyDescent="0.25">
      <c r="A196" s="9"/>
      <c r="B196" s="43" t="s">
        <v>131</v>
      </c>
      <c r="C196" s="9" t="s">
        <v>129</v>
      </c>
      <c r="D196" s="9"/>
      <c r="E196" s="42">
        <f>СПРАВОЧНИК!N12</f>
        <v>0.16</v>
      </c>
      <c r="F196" s="3">
        <f>F188</f>
        <v>0</v>
      </c>
      <c r="G196" s="40">
        <f>SUM('ФАКТ ЧИСТ К2'!N5:N52)</f>
        <v>0</v>
      </c>
      <c r="H196" s="6">
        <f t="shared" si="16"/>
        <v>0</v>
      </c>
      <c r="I196" s="6">
        <f>H196*E196</f>
        <v>0</v>
      </c>
    </row>
    <row r="197" spans="1:9" x14ac:dyDescent="0.25">
      <c r="B197" s="23" t="s">
        <v>132</v>
      </c>
      <c r="D197" s="44">
        <f>D189+D193</f>
        <v>1</v>
      </c>
    </row>
    <row r="199" spans="1:9" x14ac:dyDescent="0.25">
      <c r="A199" s="8" t="s">
        <v>46</v>
      </c>
      <c r="B199" s="16" t="str">
        <f>СПРАВОЧНИК!C13</f>
        <v>Прочие помещения надзем.</v>
      </c>
      <c r="C199" s="9" t="s">
        <v>127</v>
      </c>
      <c r="D199" s="9"/>
      <c r="E199" s="9"/>
      <c r="F199" s="3">
        <f>СПРАВОЧНИК!F29</f>
        <v>0</v>
      </c>
      <c r="G199" s="40">
        <f>G200*D200+G204*D204</f>
        <v>0</v>
      </c>
      <c r="H199" s="6">
        <f t="shared" ref="H199:H207" si="17">IF(F199=0,0,G199/F199)</f>
        <v>0</v>
      </c>
      <c r="I199" s="6">
        <f>I200+I204</f>
        <v>0</v>
      </c>
    </row>
    <row r="200" spans="1:9" x14ac:dyDescent="0.25">
      <c r="A200" s="9"/>
      <c r="B200" s="41" t="s">
        <v>81</v>
      </c>
      <c r="C200" s="9"/>
      <c r="D200" s="42">
        <f>СПРАВОЧНИК!E13</f>
        <v>0.4</v>
      </c>
      <c r="E200" s="9"/>
      <c r="F200" s="3">
        <f>F199</f>
        <v>0</v>
      </c>
      <c r="G200" s="40">
        <f>G201*E201+G202*E202+G203*E203</f>
        <v>0</v>
      </c>
      <c r="H200" s="6">
        <f t="shared" si="17"/>
        <v>0</v>
      </c>
      <c r="I200" s="6">
        <f>H200*D200</f>
        <v>0</v>
      </c>
    </row>
    <row r="201" spans="1:9" x14ac:dyDescent="0.25">
      <c r="A201" s="9"/>
      <c r="B201" s="43" t="s">
        <v>128</v>
      </c>
      <c r="C201" s="9" t="s">
        <v>129</v>
      </c>
      <c r="D201" s="9"/>
      <c r="E201" s="42">
        <f>СПРАВОЧНИК!H13</f>
        <v>0.31</v>
      </c>
      <c r="F201" s="3">
        <f>F199</f>
        <v>0</v>
      </c>
      <c r="G201" s="40">
        <f>SUM('ФАКТ ЧЕРН К2'!N5:N52)</f>
        <v>0</v>
      </c>
      <c r="H201" s="6">
        <f t="shared" si="17"/>
        <v>0</v>
      </c>
      <c r="I201" s="6">
        <f>H201*E201</f>
        <v>0</v>
      </c>
    </row>
    <row r="202" spans="1:9" x14ac:dyDescent="0.25">
      <c r="A202" s="9"/>
      <c r="B202" s="43" t="s">
        <v>130</v>
      </c>
      <c r="C202" s="9" t="s">
        <v>129</v>
      </c>
      <c r="D202" s="9"/>
      <c r="E202" s="42">
        <f>СПРАВОЧНИК!I13</f>
        <v>0.49</v>
      </c>
      <c r="F202" s="3">
        <f>F199</f>
        <v>0</v>
      </c>
      <c r="G202" s="40">
        <f>SUM('ФАКТ ЧЕРН К2'!O5:O52)</f>
        <v>0</v>
      </c>
      <c r="H202" s="6">
        <f t="shared" si="17"/>
        <v>0</v>
      </c>
      <c r="I202" s="6">
        <f>H202*E202</f>
        <v>0</v>
      </c>
    </row>
    <row r="203" spans="1:9" x14ac:dyDescent="0.25">
      <c r="A203" s="9"/>
      <c r="B203" s="43" t="s">
        <v>131</v>
      </c>
      <c r="C203" s="9" t="s">
        <v>129</v>
      </c>
      <c r="D203" s="9"/>
      <c r="E203" s="42">
        <f>СПРАВОЧНИК!J13</f>
        <v>0.2</v>
      </c>
      <c r="F203" s="3">
        <f>F199</f>
        <v>0</v>
      </c>
      <c r="G203" s="40">
        <f>SUM('ФАКТ ЧЕРН К2'!P5:P52)</f>
        <v>0</v>
      </c>
      <c r="H203" s="6">
        <f t="shared" si="17"/>
        <v>0</v>
      </c>
      <c r="I203" s="6">
        <f>H203*E203</f>
        <v>0</v>
      </c>
    </row>
    <row r="204" spans="1:9" x14ac:dyDescent="0.25">
      <c r="A204" s="9"/>
      <c r="B204" s="41" t="s">
        <v>82</v>
      </c>
      <c r="C204" s="9"/>
      <c r="D204" s="42">
        <f>СПРАВОЧНИК!F13</f>
        <v>0.6</v>
      </c>
      <c r="E204" s="9"/>
      <c r="F204" s="3">
        <f>F199</f>
        <v>0</v>
      </c>
      <c r="G204" s="40">
        <f>G205*E205+G206*E206+G207*E207</f>
        <v>0</v>
      </c>
      <c r="H204" s="6">
        <f t="shared" si="17"/>
        <v>0</v>
      </c>
      <c r="I204" s="6">
        <f>H204*D204</f>
        <v>0</v>
      </c>
    </row>
    <row r="205" spans="1:9" x14ac:dyDescent="0.25">
      <c r="A205" s="9"/>
      <c r="B205" s="43" t="s">
        <v>128</v>
      </c>
      <c r="C205" s="9" t="s">
        <v>129</v>
      </c>
      <c r="D205" s="9"/>
      <c r="E205" s="42">
        <f>СПРАВОЧНИК!L13</f>
        <v>0.4</v>
      </c>
      <c r="F205" s="3">
        <f>F199</f>
        <v>0</v>
      </c>
      <c r="G205" s="40">
        <f>SUM('ФАКТ ЧИСТ К2'!O5:O52)</f>
        <v>0</v>
      </c>
      <c r="H205" s="6">
        <f t="shared" si="17"/>
        <v>0</v>
      </c>
      <c r="I205" s="6">
        <f>H205*E205</f>
        <v>0</v>
      </c>
    </row>
    <row r="206" spans="1:9" x14ac:dyDescent="0.25">
      <c r="A206" s="9"/>
      <c r="B206" s="43" t="s">
        <v>130</v>
      </c>
      <c r="C206" s="9" t="s">
        <v>129</v>
      </c>
      <c r="D206" s="9"/>
      <c r="E206" s="42">
        <f>СПРАВОЧНИК!M13</f>
        <v>0.48</v>
      </c>
      <c r="F206" s="3">
        <f>F199</f>
        <v>0</v>
      </c>
      <c r="G206" s="40">
        <f>SUM('ФАКТ ЧИСТ К2'!P5:P52)</f>
        <v>0</v>
      </c>
      <c r="H206" s="6">
        <f t="shared" si="17"/>
        <v>0</v>
      </c>
      <c r="I206" s="6">
        <f>H206*E206</f>
        <v>0</v>
      </c>
    </row>
    <row r="207" spans="1:9" x14ac:dyDescent="0.25">
      <c r="A207" s="9"/>
      <c r="B207" s="43" t="s">
        <v>131</v>
      </c>
      <c r="C207" s="9" t="s">
        <v>129</v>
      </c>
      <c r="D207" s="9"/>
      <c r="E207" s="42">
        <f>СПРАВОЧНИК!N13</f>
        <v>0.12</v>
      </c>
      <c r="F207" s="3">
        <f>F199</f>
        <v>0</v>
      </c>
      <c r="G207" s="40">
        <f>SUM('ФАКТ ЧИСТ К2'!Q5:Q52)</f>
        <v>0</v>
      </c>
      <c r="H207" s="6">
        <f t="shared" si="17"/>
        <v>0</v>
      </c>
      <c r="I207" s="6">
        <f>H207*E207</f>
        <v>0</v>
      </c>
    </row>
    <row r="208" spans="1:9" x14ac:dyDescent="0.25">
      <c r="B208" s="23" t="s">
        <v>132</v>
      </c>
      <c r="D208" s="44">
        <f>D200+D204</f>
        <v>1</v>
      </c>
    </row>
    <row r="210" spans="1:9" x14ac:dyDescent="0.25">
      <c r="A210" s="8" t="s">
        <v>48</v>
      </c>
      <c r="B210" s="16" t="str">
        <f>СПРАВОЧНИК!C14</f>
        <v>Коммерч. помещения надзем.</v>
      </c>
      <c r="C210" s="9" t="s">
        <v>127</v>
      </c>
      <c r="D210" s="9"/>
      <c r="E210" s="9"/>
      <c r="F210" s="3">
        <f>СПРАВОЧНИК!G29</f>
        <v>0</v>
      </c>
      <c r="G210" s="40">
        <f>G211*D211+G215*D215</f>
        <v>0</v>
      </c>
      <c r="H210" s="6">
        <f t="shared" ref="H210:H218" si="18">IF(F210=0,0,G210/F210)</f>
        <v>0</v>
      </c>
      <c r="I210" s="6">
        <f>I211+I215</f>
        <v>0</v>
      </c>
    </row>
    <row r="211" spans="1:9" x14ac:dyDescent="0.25">
      <c r="A211" s="9"/>
      <c r="B211" s="41" t="s">
        <v>81</v>
      </c>
      <c r="C211" s="9"/>
      <c r="D211" s="42">
        <f>СПРАВОЧНИК!E14</f>
        <v>0.5</v>
      </c>
      <c r="E211" s="9"/>
      <c r="F211" s="3">
        <f>F210</f>
        <v>0</v>
      </c>
      <c r="G211" s="40">
        <f>G212*E212+G213*E213+G214*E214</f>
        <v>0</v>
      </c>
      <c r="H211" s="6">
        <f t="shared" si="18"/>
        <v>0</v>
      </c>
      <c r="I211" s="6">
        <f>H211*D211</f>
        <v>0</v>
      </c>
    </row>
    <row r="212" spans="1:9" x14ac:dyDescent="0.25">
      <c r="A212" s="9"/>
      <c r="B212" s="43" t="s">
        <v>128</v>
      </c>
      <c r="C212" s="9" t="s">
        <v>129</v>
      </c>
      <c r="D212" s="9"/>
      <c r="E212" s="42">
        <f>СПРАВОЧНИК!H14</f>
        <v>0.3</v>
      </c>
      <c r="F212" s="3">
        <f>F210</f>
        <v>0</v>
      </c>
      <c r="G212" s="40">
        <f>SUM('ФАКТ ЧЕРН К2'!Q5:Q52)</f>
        <v>0</v>
      </c>
      <c r="H212" s="6">
        <f t="shared" si="18"/>
        <v>0</v>
      </c>
      <c r="I212" s="6">
        <f>H212*E212</f>
        <v>0</v>
      </c>
    </row>
    <row r="213" spans="1:9" x14ac:dyDescent="0.25">
      <c r="A213" s="9"/>
      <c r="B213" s="43" t="s">
        <v>130</v>
      </c>
      <c r="C213" s="9" t="s">
        <v>129</v>
      </c>
      <c r="D213" s="9"/>
      <c r="E213" s="42">
        <f>СПРАВОЧНИК!I14</f>
        <v>0.69</v>
      </c>
      <c r="F213" s="3">
        <f>F210</f>
        <v>0</v>
      </c>
      <c r="G213" s="40">
        <f>SUM('ФАКТ ЧЕРН К2'!R5:R52)</f>
        <v>0</v>
      </c>
      <c r="H213" s="6">
        <f t="shared" si="18"/>
        <v>0</v>
      </c>
      <c r="I213" s="6">
        <f>H213*E213</f>
        <v>0</v>
      </c>
    </row>
    <row r="214" spans="1:9" x14ac:dyDescent="0.25">
      <c r="A214" s="9"/>
      <c r="B214" s="43" t="s">
        <v>131</v>
      </c>
      <c r="C214" s="9" t="s">
        <v>129</v>
      </c>
      <c r="D214" s="9"/>
      <c r="E214" s="42">
        <f>СПРАВОЧНИК!J14</f>
        <v>0.01</v>
      </c>
      <c r="F214" s="3">
        <f>F210</f>
        <v>0</v>
      </c>
      <c r="G214" s="40">
        <f>SUM('ФАКТ ЧЕРН К2'!S5:S52)</f>
        <v>0</v>
      </c>
      <c r="H214" s="6">
        <f t="shared" si="18"/>
        <v>0</v>
      </c>
      <c r="I214" s="6">
        <f>H214*E214</f>
        <v>0</v>
      </c>
    </row>
    <row r="215" spans="1:9" x14ac:dyDescent="0.25">
      <c r="A215" s="9"/>
      <c r="B215" s="41" t="s">
        <v>82</v>
      </c>
      <c r="C215" s="9"/>
      <c r="D215" s="42">
        <f>СПРАВОЧНИК!F14</f>
        <v>0.5</v>
      </c>
      <c r="E215" s="9"/>
      <c r="F215" s="3">
        <f>F210</f>
        <v>0</v>
      </c>
      <c r="G215" s="40">
        <f>G216*E216+G217*E217+G218*E218</f>
        <v>0</v>
      </c>
      <c r="H215" s="6">
        <f t="shared" si="18"/>
        <v>0</v>
      </c>
      <c r="I215" s="6">
        <f>H215*D215</f>
        <v>0</v>
      </c>
    </row>
    <row r="216" spans="1:9" x14ac:dyDescent="0.25">
      <c r="A216" s="9"/>
      <c r="B216" s="43" t="s">
        <v>128</v>
      </c>
      <c r="C216" s="9" t="s">
        <v>129</v>
      </c>
      <c r="D216" s="9"/>
      <c r="E216" s="42">
        <f>СПРАВОЧНИК!L14</f>
        <v>0.2</v>
      </c>
      <c r="F216" s="3">
        <f>F210</f>
        <v>0</v>
      </c>
      <c r="G216" s="40">
        <f>SUM('ФАКТ ЧИСТ К2'!R5:R52)</f>
        <v>0</v>
      </c>
      <c r="H216" s="6">
        <f t="shared" si="18"/>
        <v>0</v>
      </c>
      <c r="I216" s="6">
        <f>H216*E216</f>
        <v>0</v>
      </c>
    </row>
    <row r="217" spans="1:9" x14ac:dyDescent="0.25">
      <c r="A217" s="9"/>
      <c r="B217" s="43" t="s">
        <v>130</v>
      </c>
      <c r="C217" s="9" t="s">
        <v>129</v>
      </c>
      <c r="D217" s="9"/>
      <c r="E217" s="42">
        <f>СПРАВОЧНИК!M14</f>
        <v>0.6</v>
      </c>
      <c r="F217" s="3">
        <f>F210</f>
        <v>0</v>
      </c>
      <c r="G217" s="40">
        <f>SUM('ФАКТ ЧИСТ К2'!S5:S52)</f>
        <v>0</v>
      </c>
      <c r="H217" s="6">
        <f t="shared" si="18"/>
        <v>0</v>
      </c>
      <c r="I217" s="6">
        <f>H217*E217</f>
        <v>0</v>
      </c>
    </row>
    <row r="218" spans="1:9" x14ac:dyDescent="0.25">
      <c r="A218" s="9"/>
      <c r="B218" s="43" t="s">
        <v>131</v>
      </c>
      <c r="C218" s="9" t="s">
        <v>129</v>
      </c>
      <c r="D218" s="9"/>
      <c r="E218" s="42">
        <f>СПРАВОЧНИК!N14</f>
        <v>0.2</v>
      </c>
      <c r="F218" s="3">
        <f>F210</f>
        <v>0</v>
      </c>
      <c r="G218" s="40">
        <f>SUM('ФАКТ ЧИСТ К2'!T5:T52)</f>
        <v>0</v>
      </c>
      <c r="H218" s="6">
        <f t="shared" si="18"/>
        <v>0</v>
      </c>
      <c r="I218" s="6">
        <f>H218*E218</f>
        <v>0</v>
      </c>
    </row>
    <row r="219" spans="1:9" x14ac:dyDescent="0.25">
      <c r="B219" s="23" t="s">
        <v>132</v>
      </c>
      <c r="D219" s="44">
        <f>D211+D215</f>
        <v>1</v>
      </c>
    </row>
    <row r="221" spans="1:9" x14ac:dyDescent="0.25">
      <c r="A221" s="8" t="s">
        <v>50</v>
      </c>
      <c r="B221" s="16" t="str">
        <f>СПРАВОЧНИК!C15</f>
        <v>Паркинг и рампы надзем.</v>
      </c>
      <c r="C221" s="9" t="s">
        <v>127</v>
      </c>
      <c r="D221" s="9"/>
      <c r="E221" s="9"/>
      <c r="F221" s="3">
        <f>СПРАВОЧНИК!H29</f>
        <v>0</v>
      </c>
      <c r="G221" s="40">
        <f>G222*D222+G226*D226</f>
        <v>0</v>
      </c>
      <c r="H221" s="6">
        <f t="shared" ref="H221:H229" si="19">IF(F221=0,0,G221/F221)</f>
        <v>0</v>
      </c>
      <c r="I221" s="6">
        <f>I222+I226</f>
        <v>0</v>
      </c>
    </row>
    <row r="222" spans="1:9" x14ac:dyDescent="0.25">
      <c r="A222" s="9"/>
      <c r="B222" s="41" t="s">
        <v>81</v>
      </c>
      <c r="C222" s="9"/>
      <c r="D222" s="42">
        <f>СПРАВОЧНИК!E15</f>
        <v>0.5</v>
      </c>
      <c r="E222" s="9"/>
      <c r="F222" s="3">
        <f>F221</f>
        <v>0</v>
      </c>
      <c r="G222" s="40">
        <f>G223*E223+G224*E224+G225*E225</f>
        <v>0</v>
      </c>
      <c r="H222" s="6">
        <f t="shared" si="19"/>
        <v>0</v>
      </c>
      <c r="I222" s="6">
        <f>H222*D222</f>
        <v>0</v>
      </c>
    </row>
    <row r="223" spans="1:9" x14ac:dyDescent="0.25">
      <c r="A223" s="9"/>
      <c r="B223" s="43" t="s">
        <v>128</v>
      </c>
      <c r="C223" s="9" t="s">
        <v>129</v>
      </c>
      <c r="D223" s="9"/>
      <c r="E223" s="42">
        <f>СПРАВОЧНИК!H15</f>
        <v>0.3</v>
      </c>
      <c r="F223" s="3">
        <f>F221</f>
        <v>0</v>
      </c>
      <c r="G223" s="40">
        <f>SUM('ФАКТ ЧЕРН К2'!T5:T52)</f>
        <v>0</v>
      </c>
      <c r="H223" s="6">
        <f t="shared" si="19"/>
        <v>0</v>
      </c>
      <c r="I223" s="6">
        <f>H223*E223</f>
        <v>0</v>
      </c>
    </row>
    <row r="224" spans="1:9" x14ac:dyDescent="0.25">
      <c r="A224" s="9"/>
      <c r="B224" s="43" t="s">
        <v>130</v>
      </c>
      <c r="C224" s="9" t="s">
        <v>129</v>
      </c>
      <c r="D224" s="9"/>
      <c r="E224" s="42">
        <f>СПРАВОЧНИК!I15</f>
        <v>0.69</v>
      </c>
      <c r="F224" s="3">
        <f>F221</f>
        <v>0</v>
      </c>
      <c r="G224" s="40">
        <f>SUM('ФАКТ ЧЕРН К2'!U5:U52)</f>
        <v>0</v>
      </c>
      <c r="H224" s="6">
        <f t="shared" si="19"/>
        <v>0</v>
      </c>
      <c r="I224" s="6">
        <f>H224*E224</f>
        <v>0</v>
      </c>
    </row>
    <row r="225" spans="1:9" x14ac:dyDescent="0.25">
      <c r="A225" s="9"/>
      <c r="B225" s="43" t="s">
        <v>131</v>
      </c>
      <c r="C225" s="9" t="s">
        <v>129</v>
      </c>
      <c r="D225" s="9"/>
      <c r="E225" s="42">
        <f>СПРАВОЧНИК!J15</f>
        <v>0.01</v>
      </c>
      <c r="F225" s="3">
        <f>F221</f>
        <v>0</v>
      </c>
      <c r="G225" s="40">
        <f>SUM('ФАКТ ЧЕРН К2'!V5:V52)</f>
        <v>0</v>
      </c>
      <c r="H225" s="6">
        <f t="shared" si="19"/>
        <v>0</v>
      </c>
      <c r="I225" s="6">
        <f>H225*E225</f>
        <v>0</v>
      </c>
    </row>
    <row r="226" spans="1:9" x14ac:dyDescent="0.25">
      <c r="A226" s="9"/>
      <c r="B226" s="41" t="s">
        <v>82</v>
      </c>
      <c r="C226" s="9"/>
      <c r="D226" s="42">
        <f>СПРАВОЧНИК!F15</f>
        <v>0.5</v>
      </c>
      <c r="E226" s="9"/>
      <c r="F226" s="3">
        <f>F221</f>
        <v>0</v>
      </c>
      <c r="G226" s="40">
        <f>G227*E227+G228*E228+G229*E229</f>
        <v>0</v>
      </c>
      <c r="H226" s="6">
        <f t="shared" si="19"/>
        <v>0</v>
      </c>
      <c r="I226" s="6">
        <f>H226*D226</f>
        <v>0</v>
      </c>
    </row>
    <row r="227" spans="1:9" x14ac:dyDescent="0.25">
      <c r="A227" s="9"/>
      <c r="B227" s="43" t="s">
        <v>128</v>
      </c>
      <c r="C227" s="9" t="s">
        <v>129</v>
      </c>
      <c r="D227" s="9"/>
      <c r="E227" s="42">
        <f>СПРАВОЧНИК!L15</f>
        <v>0.2</v>
      </c>
      <c r="F227" s="3">
        <f>F221</f>
        <v>0</v>
      </c>
      <c r="G227" s="40">
        <f>SUM('ФАКТ ЧИСТ К2'!U5:U52)</f>
        <v>0</v>
      </c>
      <c r="H227" s="6">
        <f t="shared" si="19"/>
        <v>0</v>
      </c>
      <c r="I227" s="6">
        <f>H227*E227</f>
        <v>0</v>
      </c>
    </row>
    <row r="228" spans="1:9" x14ac:dyDescent="0.25">
      <c r="A228" s="9"/>
      <c r="B228" s="43" t="s">
        <v>130</v>
      </c>
      <c r="C228" s="9" t="s">
        <v>129</v>
      </c>
      <c r="D228" s="9"/>
      <c r="E228" s="42">
        <f>СПРАВОЧНИК!M15</f>
        <v>0.6</v>
      </c>
      <c r="F228" s="3">
        <f>F221</f>
        <v>0</v>
      </c>
      <c r="G228" s="40">
        <f>SUM('ФАКТ ЧИСТ К2'!V5:V52)</f>
        <v>0</v>
      </c>
      <c r="H228" s="6">
        <f t="shared" si="19"/>
        <v>0</v>
      </c>
      <c r="I228" s="6">
        <f>H228*E228</f>
        <v>0</v>
      </c>
    </row>
    <row r="229" spans="1:9" x14ac:dyDescent="0.25">
      <c r="A229" s="9"/>
      <c r="B229" s="43" t="s">
        <v>131</v>
      </c>
      <c r="C229" s="9" t="s">
        <v>129</v>
      </c>
      <c r="D229" s="9"/>
      <c r="E229" s="42">
        <f>СПРАВОЧНИК!N15</f>
        <v>0.2</v>
      </c>
      <c r="F229" s="3">
        <f>F221</f>
        <v>0</v>
      </c>
      <c r="G229" s="40">
        <f>SUM('ФАКТ ЧИСТ К2'!W5:W52)</f>
        <v>0</v>
      </c>
      <c r="H229" s="6">
        <f t="shared" si="19"/>
        <v>0</v>
      </c>
      <c r="I229" s="6">
        <f>H229*E229</f>
        <v>0</v>
      </c>
    </row>
    <row r="230" spans="1:9" x14ac:dyDescent="0.25">
      <c r="B230" s="23" t="s">
        <v>132</v>
      </c>
      <c r="D230" s="44">
        <f>D222+D226</f>
        <v>1</v>
      </c>
    </row>
    <row r="232" spans="1:9" x14ac:dyDescent="0.25">
      <c r="A232" s="75" t="s">
        <v>136</v>
      </c>
      <c r="B232" s="74"/>
      <c r="C232" s="74"/>
      <c r="D232" s="74"/>
      <c r="E232" s="74"/>
      <c r="F232" s="74"/>
      <c r="G232" s="74"/>
      <c r="H232" s="74"/>
      <c r="I232" s="74"/>
    </row>
    <row r="233" spans="1:9" x14ac:dyDescent="0.25">
      <c r="A233" s="69" t="s">
        <v>1</v>
      </c>
      <c r="B233" s="69" t="s">
        <v>3</v>
      </c>
      <c r="C233" s="69" t="s">
        <v>74</v>
      </c>
      <c r="D233" s="69" t="s">
        <v>122</v>
      </c>
      <c r="E233" s="69" t="s">
        <v>123</v>
      </c>
      <c r="F233" s="69" t="s">
        <v>4</v>
      </c>
      <c r="G233" s="69" t="s">
        <v>124</v>
      </c>
      <c r="H233" s="69" t="s">
        <v>125</v>
      </c>
      <c r="I233" s="69" t="s">
        <v>126</v>
      </c>
    </row>
    <row r="234" spans="1:9" x14ac:dyDescent="0.25">
      <c r="A234" s="8" t="s">
        <v>37</v>
      </c>
      <c r="B234" s="16" t="str">
        <f>СПРАВОЧНИК!C9</f>
        <v>Отделка лобби/гранд-лобби</v>
      </c>
      <c r="C234" s="9" t="s">
        <v>127</v>
      </c>
      <c r="D234" s="9"/>
      <c r="E234" s="9"/>
      <c r="F234" s="3">
        <f>СПРАВОЧНИК!B30</f>
        <v>0</v>
      </c>
      <c r="G234" s="40">
        <f>G235*D235+G239*D239</f>
        <v>0</v>
      </c>
      <c r="H234" s="6">
        <f t="shared" ref="H234:H243" si="20">IF(F234=0,0,G234/F234)</f>
        <v>0</v>
      </c>
      <c r="I234" s="6">
        <f>I235+I239</f>
        <v>0</v>
      </c>
    </row>
    <row r="235" spans="1:9" x14ac:dyDescent="0.25">
      <c r="A235" s="9"/>
      <c r="B235" s="41" t="s">
        <v>81</v>
      </c>
      <c r="C235" s="9"/>
      <c r="D235" s="42">
        <f>СПРАВОЧНИК!E9</f>
        <v>0.4</v>
      </c>
      <c r="E235" s="9"/>
      <c r="F235" s="3">
        <f>F234</f>
        <v>0</v>
      </c>
      <c r="G235" s="40">
        <f>G236*E236+G237*E237+G238*E238</f>
        <v>0</v>
      </c>
      <c r="H235" s="6">
        <f t="shared" si="20"/>
        <v>0</v>
      </c>
      <c r="I235" s="6">
        <f>H235*D235</f>
        <v>0</v>
      </c>
    </row>
    <row r="236" spans="1:9" x14ac:dyDescent="0.25">
      <c r="A236" s="9"/>
      <c r="B236" s="43" t="s">
        <v>128</v>
      </c>
      <c r="C236" s="9" t="s">
        <v>129</v>
      </c>
      <c r="D236" s="9"/>
      <c r="E236" s="42">
        <f>СПРАВОЧНИК!H9</f>
        <v>0.2</v>
      </c>
      <c r="F236" s="3">
        <f>F234</f>
        <v>0</v>
      </c>
      <c r="G236" s="40">
        <f>SUM('ФАКТ ЧЕРН К3'!B5:B52)</f>
        <v>0</v>
      </c>
      <c r="H236" s="6">
        <f t="shared" si="20"/>
        <v>0</v>
      </c>
      <c r="I236" s="6">
        <f>H236*E236</f>
        <v>0</v>
      </c>
    </row>
    <row r="237" spans="1:9" x14ac:dyDescent="0.25">
      <c r="A237" s="9"/>
      <c r="B237" s="43" t="s">
        <v>130</v>
      </c>
      <c r="C237" s="9" t="s">
        <v>129</v>
      </c>
      <c r="D237" s="9"/>
      <c r="E237" s="42">
        <f>СПРАВОЧНИК!I9</f>
        <v>0.63</v>
      </c>
      <c r="F237" s="3">
        <f>F234</f>
        <v>0</v>
      </c>
      <c r="G237" s="40">
        <f>SUM('ФАКТ ЧЕРН К3'!C5:C52)</f>
        <v>0</v>
      </c>
      <c r="H237" s="6">
        <f t="shared" si="20"/>
        <v>0</v>
      </c>
      <c r="I237" s="6">
        <f>H237*E237</f>
        <v>0</v>
      </c>
    </row>
    <row r="238" spans="1:9" x14ac:dyDescent="0.25">
      <c r="A238" s="9"/>
      <c r="B238" s="43" t="s">
        <v>131</v>
      </c>
      <c r="C238" s="9" t="s">
        <v>129</v>
      </c>
      <c r="D238" s="9"/>
      <c r="E238" s="42">
        <f>СПРАВОЧНИК!J9</f>
        <v>0.17</v>
      </c>
      <c r="F238" s="3">
        <f>F234</f>
        <v>0</v>
      </c>
      <c r="G238" s="40">
        <f>SUM('ФАКТ ЧЕРН К3'!D5:D52)</f>
        <v>0</v>
      </c>
      <c r="H238" s="6">
        <f t="shared" si="20"/>
        <v>0</v>
      </c>
      <c r="I238" s="6">
        <f>H238*E238</f>
        <v>0</v>
      </c>
    </row>
    <row r="239" spans="1:9" x14ac:dyDescent="0.25">
      <c r="A239" s="9"/>
      <c r="B239" s="41" t="s">
        <v>82</v>
      </c>
      <c r="C239" s="9"/>
      <c r="D239" s="42">
        <f>СПРАВОЧНИК!F9</f>
        <v>0.6</v>
      </c>
      <c r="E239" s="9"/>
      <c r="F239" s="3">
        <f>F234</f>
        <v>0</v>
      </c>
      <c r="G239" s="40">
        <f>G240*E240+G241*E241+G242*E242+G243*E243</f>
        <v>0</v>
      </c>
      <c r="H239" s="6">
        <f t="shared" si="20"/>
        <v>0</v>
      </c>
      <c r="I239" s="6">
        <f>H239*D239</f>
        <v>0</v>
      </c>
    </row>
    <row r="240" spans="1:9" x14ac:dyDescent="0.25">
      <c r="A240" s="9"/>
      <c r="B240" s="43" t="s">
        <v>128</v>
      </c>
      <c r="C240" s="9" t="s">
        <v>129</v>
      </c>
      <c r="D240" s="9"/>
      <c r="E240" s="42">
        <f>СПРАВОЧНИК!L9</f>
        <v>0.14000000000000001</v>
      </c>
      <c r="F240" s="3">
        <f>F234</f>
        <v>0</v>
      </c>
      <c r="G240" s="40">
        <f>SUM('ФАКТ ЧИСТ К3'!B5:B52)</f>
        <v>0</v>
      </c>
      <c r="H240" s="6">
        <f t="shared" si="20"/>
        <v>0</v>
      </c>
      <c r="I240" s="6">
        <f>H240*E240</f>
        <v>0</v>
      </c>
    </row>
    <row r="241" spans="1:9" x14ac:dyDescent="0.25">
      <c r="A241" s="9"/>
      <c r="B241" s="43" t="s">
        <v>130</v>
      </c>
      <c r="C241" s="9" t="s">
        <v>129</v>
      </c>
      <c r="D241" s="9"/>
      <c r="E241" s="42">
        <f>СПРАВОЧНИК!M9</f>
        <v>0.41</v>
      </c>
      <c r="F241" s="3">
        <f>F234</f>
        <v>0</v>
      </c>
      <c r="G241" s="40">
        <f>SUM('ФАКТ ЧИСТ К3'!C5:C52)</f>
        <v>0</v>
      </c>
      <c r="H241" s="6">
        <f t="shared" si="20"/>
        <v>0</v>
      </c>
      <c r="I241" s="6">
        <f>H241*E241</f>
        <v>0</v>
      </c>
    </row>
    <row r="242" spans="1:9" x14ac:dyDescent="0.25">
      <c r="A242" s="9"/>
      <c r="B242" s="43" t="s">
        <v>131</v>
      </c>
      <c r="C242" s="9" t="s">
        <v>129</v>
      </c>
      <c r="D242" s="9"/>
      <c r="E242" s="42">
        <f>СПРАВОЧНИК!N9</f>
        <v>0.36</v>
      </c>
      <c r="F242" s="3">
        <f>F234</f>
        <v>0</v>
      </c>
      <c r="G242" s="40">
        <f>SUM('ФАКТ ЧИСТ К3'!D5:D52)</f>
        <v>0</v>
      </c>
      <c r="H242" s="6">
        <f t="shared" si="20"/>
        <v>0</v>
      </c>
      <c r="I242" s="6">
        <f>H242*E242</f>
        <v>0</v>
      </c>
    </row>
    <row r="243" spans="1:9" x14ac:dyDescent="0.25">
      <c r="A243" s="9"/>
      <c r="B243" s="43" t="s">
        <v>134</v>
      </c>
      <c r="C243" s="9" t="s">
        <v>129</v>
      </c>
      <c r="D243" s="9"/>
      <c r="E243" s="42">
        <f>СПРАВОЧНИК!O9</f>
        <v>0.09</v>
      </c>
      <c r="F243" s="3">
        <f>F234</f>
        <v>0</v>
      </c>
      <c r="G243" s="40">
        <f>SUM('ФАКТ ЧИСТ К3'!E5:E52)</f>
        <v>0</v>
      </c>
      <c r="H243" s="6">
        <f t="shared" si="20"/>
        <v>0</v>
      </c>
      <c r="I243" s="6">
        <f>H243*E243</f>
        <v>0</v>
      </c>
    </row>
    <row r="244" spans="1:9" x14ac:dyDescent="0.25">
      <c r="B244" s="23" t="s">
        <v>132</v>
      </c>
      <c r="D244" s="44">
        <f>D235+D239</f>
        <v>1</v>
      </c>
    </row>
    <row r="246" spans="1:9" x14ac:dyDescent="0.25">
      <c r="A246" s="8" t="s">
        <v>40</v>
      </c>
      <c r="B246" s="16" t="str">
        <f>СПРАВОЧНИК!C10</f>
        <v>Отделка эвакуац. лестн. клетки надзем.</v>
      </c>
      <c r="C246" s="9" t="s">
        <v>127</v>
      </c>
      <c r="D246" s="9"/>
      <c r="E246" s="9"/>
      <c r="F246" s="3">
        <f>СПРАВОЧНИК!C30</f>
        <v>0</v>
      </c>
      <c r="G246" s="40">
        <f>G247*D247+G251*D251</f>
        <v>0</v>
      </c>
      <c r="H246" s="6">
        <f t="shared" ref="H246:H254" si="21">IF(F246=0,0,G246/F246)</f>
        <v>0</v>
      </c>
      <c r="I246" s="6">
        <f>I247+I251</f>
        <v>0</v>
      </c>
    </row>
    <row r="247" spans="1:9" x14ac:dyDescent="0.25">
      <c r="A247" s="9"/>
      <c r="B247" s="41" t="s">
        <v>81</v>
      </c>
      <c r="C247" s="9"/>
      <c r="D247" s="42">
        <f>СПРАВОЧНИК!E10</f>
        <v>0.33</v>
      </c>
      <c r="E247" s="9"/>
      <c r="F247" s="3">
        <f>F246</f>
        <v>0</v>
      </c>
      <c r="G247" s="40">
        <f>G248*E248+G249*E249+G250*E250</f>
        <v>0</v>
      </c>
      <c r="H247" s="6">
        <f t="shared" si="21"/>
        <v>0</v>
      </c>
      <c r="I247" s="6">
        <f>H247*D247</f>
        <v>0</v>
      </c>
    </row>
    <row r="248" spans="1:9" x14ac:dyDescent="0.25">
      <c r="A248" s="9"/>
      <c r="B248" s="43" t="s">
        <v>128</v>
      </c>
      <c r="C248" s="9" t="s">
        <v>129</v>
      </c>
      <c r="D248" s="9"/>
      <c r="E248" s="42">
        <f>СПРАВОЧНИК!H10</f>
        <v>0.2</v>
      </c>
      <c r="F248" s="3">
        <f>F246</f>
        <v>0</v>
      </c>
      <c r="G248" s="40">
        <f>SUM('ФАКТ ЧЕРН К3'!E5:E52)</f>
        <v>0</v>
      </c>
      <c r="H248" s="6">
        <f t="shared" si="21"/>
        <v>0</v>
      </c>
      <c r="I248" s="6">
        <f>H248*E248</f>
        <v>0</v>
      </c>
    </row>
    <row r="249" spans="1:9" x14ac:dyDescent="0.25">
      <c r="A249" s="9"/>
      <c r="B249" s="43" t="s">
        <v>130</v>
      </c>
      <c r="C249" s="9" t="s">
        <v>129</v>
      </c>
      <c r="D249" s="9"/>
      <c r="E249" s="42">
        <f>СПРАВОЧНИК!I10</f>
        <v>0.61</v>
      </c>
      <c r="F249" s="3">
        <f>F246</f>
        <v>0</v>
      </c>
      <c r="G249" s="40">
        <f>SUM('ФАКТ ЧЕРН К3'!F5:F52)</f>
        <v>0</v>
      </c>
      <c r="H249" s="6">
        <f t="shared" si="21"/>
        <v>0</v>
      </c>
      <c r="I249" s="6">
        <f>H249*E249</f>
        <v>0</v>
      </c>
    </row>
    <row r="250" spans="1:9" x14ac:dyDescent="0.25">
      <c r="A250" s="9"/>
      <c r="B250" s="43" t="s">
        <v>131</v>
      </c>
      <c r="C250" s="9" t="s">
        <v>129</v>
      </c>
      <c r="D250" s="9"/>
      <c r="E250" s="42">
        <f>СПРАВОЧНИК!J10</f>
        <v>0.19</v>
      </c>
      <c r="F250" s="3">
        <f>F246</f>
        <v>0</v>
      </c>
      <c r="G250" s="40">
        <f>SUM('ФАКТ ЧЕРН К3'!G5:G52)</f>
        <v>0</v>
      </c>
      <c r="H250" s="6">
        <f t="shared" si="21"/>
        <v>0</v>
      </c>
      <c r="I250" s="6">
        <f>H250*E250</f>
        <v>0</v>
      </c>
    </row>
    <row r="251" spans="1:9" x14ac:dyDescent="0.25">
      <c r="A251" s="9"/>
      <c r="B251" s="41" t="s">
        <v>82</v>
      </c>
      <c r="C251" s="9"/>
      <c r="D251" s="42">
        <f>СПРАВОЧНИК!F10</f>
        <v>0.67</v>
      </c>
      <c r="E251" s="9"/>
      <c r="F251" s="3">
        <f>F246</f>
        <v>0</v>
      </c>
      <c r="G251" s="40">
        <f>G252*E252+G253*E253+G254*E254</f>
        <v>0</v>
      </c>
      <c r="H251" s="6">
        <f t="shared" si="21"/>
        <v>0</v>
      </c>
      <c r="I251" s="6">
        <f>H251*D251</f>
        <v>0</v>
      </c>
    </row>
    <row r="252" spans="1:9" x14ac:dyDescent="0.25">
      <c r="A252" s="9"/>
      <c r="B252" s="43" t="s">
        <v>128</v>
      </c>
      <c r="C252" s="9" t="s">
        <v>129</v>
      </c>
      <c r="D252" s="9"/>
      <c r="E252" s="42">
        <f>СПРАВОЧНИК!L10</f>
        <v>0.38</v>
      </c>
      <c r="F252" s="3">
        <f>F246</f>
        <v>0</v>
      </c>
      <c r="G252" s="40">
        <f>SUM('ФАКТ ЧИСТ К3'!F5:F52)</f>
        <v>0</v>
      </c>
      <c r="H252" s="6">
        <f t="shared" si="21"/>
        <v>0</v>
      </c>
      <c r="I252" s="6">
        <f>H252*E252</f>
        <v>0</v>
      </c>
    </row>
    <row r="253" spans="1:9" x14ac:dyDescent="0.25">
      <c r="A253" s="9"/>
      <c r="B253" s="43" t="s">
        <v>130</v>
      </c>
      <c r="C253" s="9" t="s">
        <v>129</v>
      </c>
      <c r="D253" s="9"/>
      <c r="E253" s="42">
        <f>СПРАВОЧНИК!M10</f>
        <v>0.35</v>
      </c>
      <c r="F253" s="3">
        <f>F246</f>
        <v>0</v>
      </c>
      <c r="G253" s="40">
        <f>SUM('ФАКТ ЧИСТ К3'!G5:G52)</f>
        <v>0</v>
      </c>
      <c r="H253" s="6">
        <f t="shared" si="21"/>
        <v>0</v>
      </c>
      <c r="I253" s="6">
        <f>H253*E253</f>
        <v>0</v>
      </c>
    </row>
    <row r="254" spans="1:9" x14ac:dyDescent="0.25">
      <c r="A254" s="9"/>
      <c r="B254" s="43" t="s">
        <v>131</v>
      </c>
      <c r="C254" s="9" t="s">
        <v>129</v>
      </c>
      <c r="D254" s="9"/>
      <c r="E254" s="42">
        <f>СПРАВОЧНИК!N10</f>
        <v>0.27</v>
      </c>
      <c r="F254" s="3">
        <f>F246</f>
        <v>0</v>
      </c>
      <c r="G254" s="40">
        <f>SUM('ФАКТ ЧИСТ К3'!H5:H52)</f>
        <v>0</v>
      </c>
      <c r="H254" s="6">
        <f t="shared" si="21"/>
        <v>0</v>
      </c>
      <c r="I254" s="6">
        <f>H254*E254</f>
        <v>0</v>
      </c>
    </row>
    <row r="255" spans="1:9" x14ac:dyDescent="0.25">
      <c r="B255" s="23" t="s">
        <v>132</v>
      </c>
      <c r="D255" s="44">
        <f>D247+D251</f>
        <v>1</v>
      </c>
    </row>
    <row r="257" spans="1:9" x14ac:dyDescent="0.25">
      <c r="A257" s="8" t="s">
        <v>42</v>
      </c>
      <c r="B257" s="16" t="str">
        <f>СПРАВОЧНИК!C11</f>
        <v>Лифт. холлы, тамбур-шлюзы надзем.</v>
      </c>
      <c r="C257" s="9" t="s">
        <v>127</v>
      </c>
      <c r="D257" s="9"/>
      <c r="E257" s="9"/>
      <c r="F257" s="3">
        <f>СПРАВОЧНИК!D30</f>
        <v>0</v>
      </c>
      <c r="G257" s="40">
        <f>G258*D258+G262*D262</f>
        <v>0</v>
      </c>
      <c r="H257" s="6">
        <f t="shared" ref="H257:H265" si="22">IF(F257=0,0,G257/F257)</f>
        <v>0</v>
      </c>
      <c r="I257" s="6">
        <f>I258+I262</f>
        <v>0</v>
      </c>
    </row>
    <row r="258" spans="1:9" x14ac:dyDescent="0.25">
      <c r="A258" s="9"/>
      <c r="B258" s="41" t="s">
        <v>81</v>
      </c>
      <c r="C258" s="9"/>
      <c r="D258" s="42">
        <f>СПРАВОЧНИК!E11</f>
        <v>0.4</v>
      </c>
      <c r="E258" s="9"/>
      <c r="F258" s="3">
        <f>F257</f>
        <v>0</v>
      </c>
      <c r="G258" s="40">
        <f>G259*E259+G260*E260+G261*E261</f>
        <v>0</v>
      </c>
      <c r="H258" s="6">
        <f t="shared" si="22"/>
        <v>0</v>
      </c>
      <c r="I258" s="6">
        <f>H258*D258</f>
        <v>0</v>
      </c>
    </row>
    <row r="259" spans="1:9" x14ac:dyDescent="0.25">
      <c r="A259" s="9"/>
      <c r="B259" s="43" t="s">
        <v>128</v>
      </c>
      <c r="C259" s="9" t="s">
        <v>129</v>
      </c>
      <c r="D259" s="9"/>
      <c r="E259" s="42">
        <f>СПРАВОЧНИК!H11</f>
        <v>0.4</v>
      </c>
      <c r="F259" s="3">
        <f>F257</f>
        <v>0</v>
      </c>
      <c r="G259" s="40">
        <f>SUM('ФАКТ ЧЕРН К3'!H5:H52)</f>
        <v>0</v>
      </c>
      <c r="H259" s="6">
        <f t="shared" si="22"/>
        <v>0</v>
      </c>
      <c r="I259" s="6">
        <f>H259*E259</f>
        <v>0</v>
      </c>
    </row>
    <row r="260" spans="1:9" x14ac:dyDescent="0.25">
      <c r="A260" s="9"/>
      <c r="B260" s="43" t="s">
        <v>130</v>
      </c>
      <c r="C260" s="9" t="s">
        <v>129</v>
      </c>
      <c r="D260" s="9"/>
      <c r="E260" s="42">
        <f>СПРАВОЧНИК!I11</f>
        <v>0.3</v>
      </c>
      <c r="F260" s="3">
        <f>F257</f>
        <v>0</v>
      </c>
      <c r="G260" s="40">
        <f>SUM('ФАКТ ЧЕРН К3'!I5:I52)</f>
        <v>0</v>
      </c>
      <c r="H260" s="6">
        <f t="shared" si="22"/>
        <v>0</v>
      </c>
      <c r="I260" s="6">
        <f>H260*E260</f>
        <v>0</v>
      </c>
    </row>
    <row r="261" spans="1:9" x14ac:dyDescent="0.25">
      <c r="A261" s="9"/>
      <c r="B261" s="43" t="s">
        <v>131</v>
      </c>
      <c r="C261" s="9" t="s">
        <v>129</v>
      </c>
      <c r="D261" s="9"/>
      <c r="E261" s="42">
        <f>СПРАВОЧНИК!J11</f>
        <v>0.3</v>
      </c>
      <c r="F261" s="3">
        <f>F257</f>
        <v>0</v>
      </c>
      <c r="G261" s="40">
        <f>SUM('ФАКТ ЧЕРН К3'!J5:J52)</f>
        <v>0</v>
      </c>
      <c r="H261" s="6">
        <f t="shared" si="22"/>
        <v>0</v>
      </c>
      <c r="I261" s="6">
        <f>H261*E261</f>
        <v>0</v>
      </c>
    </row>
    <row r="262" spans="1:9" x14ac:dyDescent="0.25">
      <c r="A262" s="9"/>
      <c r="B262" s="41" t="s">
        <v>82</v>
      </c>
      <c r="C262" s="9"/>
      <c r="D262" s="42">
        <f>СПРАВОЧНИК!F11</f>
        <v>0.6</v>
      </c>
      <c r="E262" s="9"/>
      <c r="F262" s="3">
        <f>F257</f>
        <v>0</v>
      </c>
      <c r="G262" s="40">
        <f>G263*E263+G264*E264+G265*E265</f>
        <v>0</v>
      </c>
      <c r="H262" s="6">
        <f t="shared" si="22"/>
        <v>0</v>
      </c>
      <c r="I262" s="6">
        <f>H262*D262</f>
        <v>0</v>
      </c>
    </row>
    <row r="263" spans="1:9" x14ac:dyDescent="0.25">
      <c r="A263" s="9"/>
      <c r="B263" s="43" t="s">
        <v>128</v>
      </c>
      <c r="C263" s="9" t="s">
        <v>129</v>
      </c>
      <c r="D263" s="9"/>
      <c r="E263" s="42">
        <f>СПРАВОЧНИК!L11</f>
        <v>0.2</v>
      </c>
      <c r="F263" s="3">
        <f>F257</f>
        <v>0</v>
      </c>
      <c r="G263" s="40">
        <f>SUM('ФАКТ ЧИСТ К3'!I5:I52)</f>
        <v>0</v>
      </c>
      <c r="H263" s="6">
        <f t="shared" si="22"/>
        <v>0</v>
      </c>
      <c r="I263" s="6">
        <f>H263*E263</f>
        <v>0</v>
      </c>
    </row>
    <row r="264" spans="1:9" x14ac:dyDescent="0.25">
      <c r="A264" s="9"/>
      <c r="B264" s="43" t="s">
        <v>130</v>
      </c>
      <c r="C264" s="9" t="s">
        <v>129</v>
      </c>
      <c r="D264" s="9"/>
      <c r="E264" s="42">
        <f>СПРАВОЧНИК!M11</f>
        <v>0.6</v>
      </c>
      <c r="F264" s="3">
        <f>F257</f>
        <v>0</v>
      </c>
      <c r="G264" s="40">
        <f>SUM('ФАКТ ЧИСТ К3'!J5:J52)</f>
        <v>0</v>
      </c>
      <c r="H264" s="6">
        <f t="shared" si="22"/>
        <v>0</v>
      </c>
      <c r="I264" s="6">
        <f>H264*E264</f>
        <v>0</v>
      </c>
    </row>
    <row r="265" spans="1:9" x14ac:dyDescent="0.25">
      <c r="A265" s="9"/>
      <c r="B265" s="43" t="s">
        <v>131</v>
      </c>
      <c r="C265" s="9" t="s">
        <v>129</v>
      </c>
      <c r="D265" s="9"/>
      <c r="E265" s="42">
        <f>СПРАВОЧНИК!N11</f>
        <v>0.2</v>
      </c>
      <c r="F265" s="3">
        <f>F257</f>
        <v>0</v>
      </c>
      <c r="G265" s="40">
        <f>SUM('ФАКТ ЧИСТ К3'!K5:K52)</f>
        <v>0</v>
      </c>
      <c r="H265" s="6">
        <f t="shared" si="22"/>
        <v>0</v>
      </c>
      <c r="I265" s="6">
        <f>H265*E265</f>
        <v>0</v>
      </c>
    </row>
    <row r="266" spans="1:9" x14ac:dyDescent="0.25">
      <c r="B266" s="23" t="s">
        <v>132</v>
      </c>
      <c r="D266" s="44">
        <f>D258+D262</f>
        <v>1</v>
      </c>
    </row>
    <row r="268" spans="1:9" x14ac:dyDescent="0.25">
      <c r="A268" s="8" t="s">
        <v>44</v>
      </c>
      <c r="B268" s="16" t="str">
        <f>СПРАВОЧНИК!C12</f>
        <v>Технич. помещения надзем.</v>
      </c>
      <c r="C268" s="9" t="s">
        <v>127</v>
      </c>
      <c r="D268" s="9"/>
      <c r="E268" s="9"/>
      <c r="F268" s="3">
        <f>СПРАВОЧНИК!E30</f>
        <v>0</v>
      </c>
      <c r="G268" s="40">
        <f>G269*D269+G273*D273</f>
        <v>0</v>
      </c>
      <c r="H268" s="6">
        <f t="shared" ref="H268:H276" si="23">IF(F268=0,0,G268/F268)</f>
        <v>0</v>
      </c>
      <c r="I268" s="6">
        <f>I269+I273</f>
        <v>0</v>
      </c>
    </row>
    <row r="269" spans="1:9" x14ac:dyDescent="0.25">
      <c r="A269" s="9"/>
      <c r="B269" s="41" t="s">
        <v>81</v>
      </c>
      <c r="C269" s="9"/>
      <c r="D269" s="42">
        <f>СПРАВОЧНИК!E12</f>
        <v>0.32</v>
      </c>
      <c r="E269" s="9"/>
      <c r="F269" s="3">
        <f>F268</f>
        <v>0</v>
      </c>
      <c r="G269" s="40">
        <f>G270*E270+G271*E271+G272*E272</f>
        <v>0</v>
      </c>
      <c r="H269" s="6">
        <f t="shared" si="23"/>
        <v>0</v>
      </c>
      <c r="I269" s="6">
        <f>H269*D269</f>
        <v>0</v>
      </c>
    </row>
    <row r="270" spans="1:9" x14ac:dyDescent="0.25">
      <c r="A270" s="9"/>
      <c r="B270" s="43" t="s">
        <v>128</v>
      </c>
      <c r="C270" s="9" t="s">
        <v>129</v>
      </c>
      <c r="D270" s="9"/>
      <c r="E270" s="42">
        <f>СПРАВОЧНИК!H12</f>
        <v>0.3</v>
      </c>
      <c r="F270" s="3">
        <f>F268</f>
        <v>0</v>
      </c>
      <c r="G270" s="40">
        <f>SUM('ФАКТ ЧЕРН К3'!K5:K52)</f>
        <v>0</v>
      </c>
      <c r="H270" s="6">
        <f t="shared" si="23"/>
        <v>0</v>
      </c>
      <c r="I270" s="6">
        <f>H270*E270</f>
        <v>0</v>
      </c>
    </row>
    <row r="271" spans="1:9" x14ac:dyDescent="0.25">
      <c r="A271" s="9"/>
      <c r="B271" s="43" t="s">
        <v>130</v>
      </c>
      <c r="C271" s="9" t="s">
        <v>129</v>
      </c>
      <c r="D271" s="9"/>
      <c r="E271" s="42">
        <f>СПРАВОЧНИК!I12</f>
        <v>0.52</v>
      </c>
      <c r="F271" s="3">
        <f>F268</f>
        <v>0</v>
      </c>
      <c r="G271" s="40">
        <f>SUM('ФАКТ ЧЕРН К3'!L5:L52)</f>
        <v>0</v>
      </c>
      <c r="H271" s="6">
        <f t="shared" si="23"/>
        <v>0</v>
      </c>
      <c r="I271" s="6">
        <f>H271*E271</f>
        <v>0</v>
      </c>
    </row>
    <row r="272" spans="1:9" x14ac:dyDescent="0.25">
      <c r="A272" s="9"/>
      <c r="B272" s="43" t="s">
        <v>131</v>
      </c>
      <c r="C272" s="9" t="s">
        <v>129</v>
      </c>
      <c r="D272" s="9"/>
      <c r="E272" s="42">
        <f>СПРАВОЧНИК!J12</f>
        <v>0.18</v>
      </c>
      <c r="F272" s="3">
        <f>F268</f>
        <v>0</v>
      </c>
      <c r="G272" s="40">
        <f>SUM('ФАКТ ЧЕРН К3'!M5:M52)</f>
        <v>0</v>
      </c>
      <c r="H272" s="6">
        <f t="shared" si="23"/>
        <v>0</v>
      </c>
      <c r="I272" s="6">
        <f>H272*E272</f>
        <v>0</v>
      </c>
    </row>
    <row r="273" spans="1:9" x14ac:dyDescent="0.25">
      <c r="A273" s="9"/>
      <c r="B273" s="41" t="s">
        <v>82</v>
      </c>
      <c r="C273" s="9"/>
      <c r="D273" s="42">
        <f>СПРАВОЧНИК!F12</f>
        <v>0.68</v>
      </c>
      <c r="E273" s="9"/>
      <c r="F273" s="3">
        <f>F268</f>
        <v>0</v>
      </c>
      <c r="G273" s="40">
        <f>G274*E274+G275*E275+G276*E276</f>
        <v>0</v>
      </c>
      <c r="H273" s="6">
        <f t="shared" si="23"/>
        <v>0</v>
      </c>
      <c r="I273" s="6">
        <f>H273*D273</f>
        <v>0</v>
      </c>
    </row>
    <row r="274" spans="1:9" x14ac:dyDescent="0.25">
      <c r="A274" s="9"/>
      <c r="B274" s="43" t="s">
        <v>128</v>
      </c>
      <c r="C274" s="9" t="s">
        <v>129</v>
      </c>
      <c r="D274" s="9"/>
      <c r="E274" s="42">
        <f>СПРАВОЧНИК!L12</f>
        <v>0.39</v>
      </c>
      <c r="F274" s="3">
        <f>F268</f>
        <v>0</v>
      </c>
      <c r="G274" s="40">
        <f>SUM('ФАКТ ЧИСТ К3'!L5:L52)</f>
        <v>0</v>
      </c>
      <c r="H274" s="6">
        <f t="shared" si="23"/>
        <v>0</v>
      </c>
      <c r="I274" s="6">
        <f>H274*E274</f>
        <v>0</v>
      </c>
    </row>
    <row r="275" spans="1:9" x14ac:dyDescent="0.25">
      <c r="A275" s="9"/>
      <c r="B275" s="43" t="s">
        <v>130</v>
      </c>
      <c r="C275" s="9" t="s">
        <v>129</v>
      </c>
      <c r="D275" s="9"/>
      <c r="E275" s="42">
        <f>СПРАВОЧНИК!M12</f>
        <v>0.45</v>
      </c>
      <c r="F275" s="3">
        <f>F268</f>
        <v>0</v>
      </c>
      <c r="G275" s="40">
        <f>SUM('ФАКТ ЧИСТ К3'!M5:M52)</f>
        <v>0</v>
      </c>
      <c r="H275" s="6">
        <f t="shared" si="23"/>
        <v>0</v>
      </c>
      <c r="I275" s="6">
        <f>H275*E275</f>
        <v>0</v>
      </c>
    </row>
    <row r="276" spans="1:9" x14ac:dyDescent="0.25">
      <c r="A276" s="9"/>
      <c r="B276" s="43" t="s">
        <v>131</v>
      </c>
      <c r="C276" s="9" t="s">
        <v>129</v>
      </c>
      <c r="D276" s="9"/>
      <c r="E276" s="42">
        <f>СПРАВОЧНИК!N12</f>
        <v>0.16</v>
      </c>
      <c r="F276" s="3">
        <f>F268</f>
        <v>0</v>
      </c>
      <c r="G276" s="40">
        <f>SUM('ФАКТ ЧИСТ К3'!N5:N52)</f>
        <v>0</v>
      </c>
      <c r="H276" s="6">
        <f t="shared" si="23"/>
        <v>0</v>
      </c>
      <c r="I276" s="6">
        <f>H276*E276</f>
        <v>0</v>
      </c>
    </row>
    <row r="277" spans="1:9" x14ac:dyDescent="0.25">
      <c r="B277" s="23" t="s">
        <v>132</v>
      </c>
      <c r="D277" s="44">
        <f>D269+D273</f>
        <v>1</v>
      </c>
    </row>
    <row r="279" spans="1:9" x14ac:dyDescent="0.25">
      <c r="A279" s="8" t="s">
        <v>46</v>
      </c>
      <c r="B279" s="16" t="str">
        <f>СПРАВОЧНИК!C13</f>
        <v>Прочие помещения надзем.</v>
      </c>
      <c r="C279" s="9" t="s">
        <v>127</v>
      </c>
      <c r="D279" s="9"/>
      <c r="E279" s="9"/>
      <c r="F279" s="3">
        <f>СПРАВОЧНИК!F30</f>
        <v>0</v>
      </c>
      <c r="G279" s="40">
        <f>G280*D280+G284*D284</f>
        <v>0</v>
      </c>
      <c r="H279" s="6">
        <f t="shared" ref="H279:H287" si="24">IF(F279=0,0,G279/F279)</f>
        <v>0</v>
      </c>
      <c r="I279" s="6">
        <f>I280+I284</f>
        <v>0</v>
      </c>
    </row>
    <row r="280" spans="1:9" x14ac:dyDescent="0.25">
      <c r="A280" s="9"/>
      <c r="B280" s="41" t="s">
        <v>81</v>
      </c>
      <c r="C280" s="9"/>
      <c r="D280" s="42">
        <f>СПРАВОЧНИК!E13</f>
        <v>0.4</v>
      </c>
      <c r="E280" s="9"/>
      <c r="F280" s="3">
        <f>F279</f>
        <v>0</v>
      </c>
      <c r="G280" s="40">
        <f>G281*E281+G282*E282+G283*E283</f>
        <v>0</v>
      </c>
      <c r="H280" s="6">
        <f t="shared" si="24"/>
        <v>0</v>
      </c>
      <c r="I280" s="6">
        <f>H280*D280</f>
        <v>0</v>
      </c>
    </row>
    <row r="281" spans="1:9" x14ac:dyDescent="0.25">
      <c r="A281" s="9"/>
      <c r="B281" s="43" t="s">
        <v>128</v>
      </c>
      <c r="C281" s="9" t="s">
        <v>129</v>
      </c>
      <c r="D281" s="9"/>
      <c r="E281" s="42">
        <f>СПРАВОЧНИК!H13</f>
        <v>0.31</v>
      </c>
      <c r="F281" s="3">
        <f>F279</f>
        <v>0</v>
      </c>
      <c r="G281" s="40">
        <f>SUM('ФАКТ ЧЕРН К3'!N5:N52)</f>
        <v>0</v>
      </c>
      <c r="H281" s="6">
        <f t="shared" si="24"/>
        <v>0</v>
      </c>
      <c r="I281" s="6">
        <f>H281*E281</f>
        <v>0</v>
      </c>
    </row>
    <row r="282" spans="1:9" x14ac:dyDescent="0.25">
      <c r="A282" s="9"/>
      <c r="B282" s="43" t="s">
        <v>130</v>
      </c>
      <c r="C282" s="9" t="s">
        <v>129</v>
      </c>
      <c r="D282" s="9"/>
      <c r="E282" s="42">
        <f>СПРАВОЧНИК!I13</f>
        <v>0.49</v>
      </c>
      <c r="F282" s="3">
        <f>F279</f>
        <v>0</v>
      </c>
      <c r="G282" s="40">
        <f>SUM('ФАКТ ЧЕРН К3'!O5:O52)</f>
        <v>0</v>
      </c>
      <c r="H282" s="6">
        <f t="shared" si="24"/>
        <v>0</v>
      </c>
      <c r="I282" s="6">
        <f>H282*E282</f>
        <v>0</v>
      </c>
    </row>
    <row r="283" spans="1:9" x14ac:dyDescent="0.25">
      <c r="A283" s="9"/>
      <c r="B283" s="43" t="s">
        <v>131</v>
      </c>
      <c r="C283" s="9" t="s">
        <v>129</v>
      </c>
      <c r="D283" s="9"/>
      <c r="E283" s="42">
        <f>СПРАВОЧНИК!J13</f>
        <v>0.2</v>
      </c>
      <c r="F283" s="3">
        <f>F279</f>
        <v>0</v>
      </c>
      <c r="G283" s="40">
        <f>SUM('ФАКТ ЧЕРН К3'!P5:P52)</f>
        <v>0</v>
      </c>
      <c r="H283" s="6">
        <f t="shared" si="24"/>
        <v>0</v>
      </c>
      <c r="I283" s="6">
        <f>H283*E283</f>
        <v>0</v>
      </c>
    </row>
    <row r="284" spans="1:9" x14ac:dyDescent="0.25">
      <c r="A284" s="9"/>
      <c r="B284" s="41" t="s">
        <v>82</v>
      </c>
      <c r="C284" s="9"/>
      <c r="D284" s="42">
        <f>СПРАВОЧНИК!F13</f>
        <v>0.6</v>
      </c>
      <c r="E284" s="9"/>
      <c r="F284" s="3">
        <f>F279</f>
        <v>0</v>
      </c>
      <c r="G284" s="40">
        <f>G285*E285+G286*E286+G287*E287</f>
        <v>0</v>
      </c>
      <c r="H284" s="6">
        <f t="shared" si="24"/>
        <v>0</v>
      </c>
      <c r="I284" s="6">
        <f>H284*D284</f>
        <v>0</v>
      </c>
    </row>
    <row r="285" spans="1:9" x14ac:dyDescent="0.25">
      <c r="A285" s="9"/>
      <c r="B285" s="43" t="s">
        <v>128</v>
      </c>
      <c r="C285" s="9" t="s">
        <v>129</v>
      </c>
      <c r="D285" s="9"/>
      <c r="E285" s="42">
        <f>СПРАВОЧНИК!L13</f>
        <v>0.4</v>
      </c>
      <c r="F285" s="3">
        <f>F279</f>
        <v>0</v>
      </c>
      <c r="G285" s="40">
        <f>SUM('ФАКТ ЧИСТ К3'!O5:O52)</f>
        <v>0</v>
      </c>
      <c r="H285" s="6">
        <f t="shared" si="24"/>
        <v>0</v>
      </c>
      <c r="I285" s="6">
        <f>H285*E285</f>
        <v>0</v>
      </c>
    </row>
    <row r="286" spans="1:9" x14ac:dyDescent="0.25">
      <c r="A286" s="9"/>
      <c r="B286" s="43" t="s">
        <v>130</v>
      </c>
      <c r="C286" s="9" t="s">
        <v>129</v>
      </c>
      <c r="D286" s="9"/>
      <c r="E286" s="42">
        <f>СПРАВОЧНИК!M13</f>
        <v>0.48</v>
      </c>
      <c r="F286" s="3">
        <f>F279</f>
        <v>0</v>
      </c>
      <c r="G286" s="40">
        <f>SUM('ФАКТ ЧИСТ К3'!P5:P52)</f>
        <v>0</v>
      </c>
      <c r="H286" s="6">
        <f t="shared" si="24"/>
        <v>0</v>
      </c>
      <c r="I286" s="6">
        <f>H286*E286</f>
        <v>0</v>
      </c>
    </row>
    <row r="287" spans="1:9" x14ac:dyDescent="0.25">
      <c r="A287" s="9"/>
      <c r="B287" s="43" t="s">
        <v>131</v>
      </c>
      <c r="C287" s="9" t="s">
        <v>129</v>
      </c>
      <c r="D287" s="9"/>
      <c r="E287" s="42">
        <f>СПРАВОЧНИК!N13</f>
        <v>0.12</v>
      </c>
      <c r="F287" s="3">
        <f>F279</f>
        <v>0</v>
      </c>
      <c r="G287" s="40">
        <f>SUM('ФАКТ ЧИСТ К3'!Q5:Q52)</f>
        <v>0</v>
      </c>
      <c r="H287" s="6">
        <f t="shared" si="24"/>
        <v>0</v>
      </c>
      <c r="I287" s="6">
        <f>H287*E287</f>
        <v>0</v>
      </c>
    </row>
    <row r="288" spans="1:9" x14ac:dyDescent="0.25">
      <c r="B288" s="23" t="s">
        <v>132</v>
      </c>
      <c r="D288" s="44">
        <f>D280+D284</f>
        <v>1</v>
      </c>
    </row>
    <row r="290" spans="1:9" x14ac:dyDescent="0.25">
      <c r="A290" s="8" t="s">
        <v>48</v>
      </c>
      <c r="B290" s="16" t="str">
        <f>СПРАВОЧНИК!C14</f>
        <v>Коммерч. помещения надзем.</v>
      </c>
      <c r="C290" s="9" t="s">
        <v>127</v>
      </c>
      <c r="D290" s="9"/>
      <c r="E290" s="9"/>
      <c r="F290" s="3">
        <f>СПРАВОЧНИК!G30</f>
        <v>0</v>
      </c>
      <c r="G290" s="40">
        <f>G291*D291+G295*D295</f>
        <v>0</v>
      </c>
      <c r="H290" s="6">
        <f t="shared" ref="H290:H298" si="25">IF(F290=0,0,G290/F290)</f>
        <v>0</v>
      </c>
      <c r="I290" s="6">
        <f>I291+I295</f>
        <v>0</v>
      </c>
    </row>
    <row r="291" spans="1:9" x14ac:dyDescent="0.25">
      <c r="A291" s="9"/>
      <c r="B291" s="41" t="s">
        <v>81</v>
      </c>
      <c r="C291" s="9"/>
      <c r="D291" s="42">
        <f>СПРАВОЧНИК!E14</f>
        <v>0.5</v>
      </c>
      <c r="E291" s="9"/>
      <c r="F291" s="3">
        <f>F290</f>
        <v>0</v>
      </c>
      <c r="G291" s="40">
        <f>G292*E292+G293*E293+G294*E294</f>
        <v>0</v>
      </c>
      <c r="H291" s="6">
        <f t="shared" si="25"/>
        <v>0</v>
      </c>
      <c r="I291" s="6">
        <f>H291*D291</f>
        <v>0</v>
      </c>
    </row>
    <row r="292" spans="1:9" x14ac:dyDescent="0.25">
      <c r="A292" s="9"/>
      <c r="B292" s="43" t="s">
        <v>128</v>
      </c>
      <c r="C292" s="9" t="s">
        <v>129</v>
      </c>
      <c r="D292" s="9"/>
      <c r="E292" s="42">
        <f>СПРАВОЧНИК!H14</f>
        <v>0.3</v>
      </c>
      <c r="F292" s="3">
        <f>F290</f>
        <v>0</v>
      </c>
      <c r="G292" s="40">
        <f>SUM('ФАКТ ЧЕРН К3'!Q5:Q52)</f>
        <v>0</v>
      </c>
      <c r="H292" s="6">
        <f t="shared" si="25"/>
        <v>0</v>
      </c>
      <c r="I292" s="6">
        <f>H292*E292</f>
        <v>0</v>
      </c>
    </row>
    <row r="293" spans="1:9" x14ac:dyDescent="0.25">
      <c r="A293" s="9"/>
      <c r="B293" s="43" t="s">
        <v>130</v>
      </c>
      <c r="C293" s="9" t="s">
        <v>129</v>
      </c>
      <c r="D293" s="9"/>
      <c r="E293" s="42">
        <f>СПРАВОЧНИК!I14</f>
        <v>0.69</v>
      </c>
      <c r="F293" s="3">
        <f>F290</f>
        <v>0</v>
      </c>
      <c r="G293" s="40">
        <f>SUM('ФАКТ ЧЕРН К3'!R5:R52)</f>
        <v>0</v>
      </c>
      <c r="H293" s="6">
        <f t="shared" si="25"/>
        <v>0</v>
      </c>
      <c r="I293" s="6">
        <f>H293*E293</f>
        <v>0</v>
      </c>
    </row>
    <row r="294" spans="1:9" x14ac:dyDescent="0.25">
      <c r="A294" s="9"/>
      <c r="B294" s="43" t="s">
        <v>131</v>
      </c>
      <c r="C294" s="9" t="s">
        <v>129</v>
      </c>
      <c r="D294" s="9"/>
      <c r="E294" s="42">
        <f>СПРАВОЧНИК!J14</f>
        <v>0.01</v>
      </c>
      <c r="F294" s="3">
        <f>F290</f>
        <v>0</v>
      </c>
      <c r="G294" s="40">
        <f>SUM('ФАКТ ЧЕРН К3'!S5:S52)</f>
        <v>0</v>
      </c>
      <c r="H294" s="6">
        <f t="shared" si="25"/>
        <v>0</v>
      </c>
      <c r="I294" s="6">
        <f>H294*E294</f>
        <v>0</v>
      </c>
    </row>
    <row r="295" spans="1:9" x14ac:dyDescent="0.25">
      <c r="A295" s="9"/>
      <c r="B295" s="41" t="s">
        <v>82</v>
      </c>
      <c r="C295" s="9"/>
      <c r="D295" s="42">
        <f>СПРАВОЧНИК!F14</f>
        <v>0.5</v>
      </c>
      <c r="E295" s="9"/>
      <c r="F295" s="3">
        <f>F290</f>
        <v>0</v>
      </c>
      <c r="G295" s="40">
        <f>G296*E296+G297*E297+G298*E298</f>
        <v>0</v>
      </c>
      <c r="H295" s="6">
        <f t="shared" si="25"/>
        <v>0</v>
      </c>
      <c r="I295" s="6">
        <f>H295*D295</f>
        <v>0</v>
      </c>
    </row>
    <row r="296" spans="1:9" x14ac:dyDescent="0.25">
      <c r="A296" s="9"/>
      <c r="B296" s="43" t="s">
        <v>128</v>
      </c>
      <c r="C296" s="9" t="s">
        <v>129</v>
      </c>
      <c r="D296" s="9"/>
      <c r="E296" s="42">
        <f>СПРАВОЧНИК!L14</f>
        <v>0.2</v>
      </c>
      <c r="F296" s="3">
        <f>F290</f>
        <v>0</v>
      </c>
      <c r="G296" s="40">
        <f>SUM('ФАКТ ЧИСТ К3'!R5:R52)</f>
        <v>0</v>
      </c>
      <c r="H296" s="6">
        <f t="shared" si="25"/>
        <v>0</v>
      </c>
      <c r="I296" s="6">
        <f>H296*E296</f>
        <v>0</v>
      </c>
    </row>
    <row r="297" spans="1:9" x14ac:dyDescent="0.25">
      <c r="A297" s="9"/>
      <c r="B297" s="43" t="s">
        <v>130</v>
      </c>
      <c r="C297" s="9" t="s">
        <v>129</v>
      </c>
      <c r="D297" s="9"/>
      <c r="E297" s="42">
        <f>СПРАВОЧНИК!M14</f>
        <v>0.6</v>
      </c>
      <c r="F297" s="3">
        <f>F290</f>
        <v>0</v>
      </c>
      <c r="G297" s="40">
        <f>SUM('ФАКТ ЧИСТ К3'!S5:S52)</f>
        <v>0</v>
      </c>
      <c r="H297" s="6">
        <f t="shared" si="25"/>
        <v>0</v>
      </c>
      <c r="I297" s="6">
        <f>H297*E297</f>
        <v>0</v>
      </c>
    </row>
    <row r="298" spans="1:9" x14ac:dyDescent="0.25">
      <c r="A298" s="9"/>
      <c r="B298" s="43" t="s">
        <v>131</v>
      </c>
      <c r="C298" s="9" t="s">
        <v>129</v>
      </c>
      <c r="D298" s="9"/>
      <c r="E298" s="42">
        <f>СПРАВОЧНИК!N14</f>
        <v>0.2</v>
      </c>
      <c r="F298" s="3">
        <f>F290</f>
        <v>0</v>
      </c>
      <c r="G298" s="40">
        <f>SUM('ФАКТ ЧИСТ К3'!T5:T52)</f>
        <v>0</v>
      </c>
      <c r="H298" s="6">
        <f t="shared" si="25"/>
        <v>0</v>
      </c>
      <c r="I298" s="6">
        <f>H298*E298</f>
        <v>0</v>
      </c>
    </row>
    <row r="299" spans="1:9" x14ac:dyDescent="0.25">
      <c r="B299" s="23" t="s">
        <v>132</v>
      </c>
      <c r="D299" s="44">
        <f>D291+D295</f>
        <v>1</v>
      </c>
    </row>
    <row r="301" spans="1:9" x14ac:dyDescent="0.25">
      <c r="A301" s="8" t="s">
        <v>50</v>
      </c>
      <c r="B301" s="16" t="str">
        <f>СПРАВОЧНИК!C15</f>
        <v>Паркинг и рампы надзем.</v>
      </c>
      <c r="C301" s="9" t="s">
        <v>127</v>
      </c>
      <c r="D301" s="9"/>
      <c r="E301" s="9"/>
      <c r="F301" s="3">
        <f>СПРАВОЧНИК!H30</f>
        <v>0</v>
      </c>
      <c r="G301" s="40">
        <f>G302*D302+G306*D306</f>
        <v>0</v>
      </c>
      <c r="H301" s="6">
        <f t="shared" ref="H301:H309" si="26">IF(F301=0,0,G301/F301)</f>
        <v>0</v>
      </c>
      <c r="I301" s="6">
        <f>I302+I306</f>
        <v>0</v>
      </c>
    </row>
    <row r="302" spans="1:9" x14ac:dyDescent="0.25">
      <c r="A302" s="9"/>
      <c r="B302" s="41" t="s">
        <v>81</v>
      </c>
      <c r="C302" s="9"/>
      <c r="D302" s="42">
        <f>СПРАВОЧНИК!E15</f>
        <v>0.5</v>
      </c>
      <c r="E302" s="9"/>
      <c r="F302" s="3">
        <f>F301</f>
        <v>0</v>
      </c>
      <c r="G302" s="40">
        <f>G303*E303+G304*E304+G305*E305</f>
        <v>0</v>
      </c>
      <c r="H302" s="6">
        <f t="shared" si="26"/>
        <v>0</v>
      </c>
      <c r="I302" s="6">
        <f>H302*D302</f>
        <v>0</v>
      </c>
    </row>
    <row r="303" spans="1:9" x14ac:dyDescent="0.25">
      <c r="A303" s="9"/>
      <c r="B303" s="43" t="s">
        <v>128</v>
      </c>
      <c r="C303" s="9" t="s">
        <v>129</v>
      </c>
      <c r="D303" s="9"/>
      <c r="E303" s="42">
        <f>СПРАВОЧНИК!H15</f>
        <v>0.3</v>
      </c>
      <c r="F303" s="3">
        <f>F301</f>
        <v>0</v>
      </c>
      <c r="G303" s="40">
        <f>SUM('ФАКТ ЧЕРН К3'!T5:T52)</f>
        <v>0</v>
      </c>
      <c r="H303" s="6">
        <f t="shared" si="26"/>
        <v>0</v>
      </c>
      <c r="I303" s="6">
        <f>H303*E303</f>
        <v>0</v>
      </c>
    </row>
    <row r="304" spans="1:9" x14ac:dyDescent="0.25">
      <c r="A304" s="9"/>
      <c r="B304" s="43" t="s">
        <v>130</v>
      </c>
      <c r="C304" s="9" t="s">
        <v>129</v>
      </c>
      <c r="D304" s="9"/>
      <c r="E304" s="42">
        <f>СПРАВОЧНИК!I15</f>
        <v>0.69</v>
      </c>
      <c r="F304" s="3">
        <f>F301</f>
        <v>0</v>
      </c>
      <c r="G304" s="40">
        <f>SUM('ФАКТ ЧЕРН К3'!U5:U52)</f>
        <v>0</v>
      </c>
      <c r="H304" s="6">
        <f t="shared" si="26"/>
        <v>0</v>
      </c>
      <c r="I304" s="6">
        <f>H304*E304</f>
        <v>0</v>
      </c>
    </row>
    <row r="305" spans="1:9" x14ac:dyDescent="0.25">
      <c r="A305" s="9"/>
      <c r="B305" s="43" t="s">
        <v>131</v>
      </c>
      <c r="C305" s="9" t="s">
        <v>129</v>
      </c>
      <c r="D305" s="9"/>
      <c r="E305" s="42">
        <f>СПРАВОЧНИК!J15</f>
        <v>0.01</v>
      </c>
      <c r="F305" s="3">
        <f>F301</f>
        <v>0</v>
      </c>
      <c r="G305" s="40">
        <f>SUM('ФАКТ ЧЕРН К3'!V5:V52)</f>
        <v>0</v>
      </c>
      <c r="H305" s="6">
        <f t="shared" si="26"/>
        <v>0</v>
      </c>
      <c r="I305" s="6">
        <f>H305*E305</f>
        <v>0</v>
      </c>
    </row>
    <row r="306" spans="1:9" x14ac:dyDescent="0.25">
      <c r="A306" s="9"/>
      <c r="B306" s="41" t="s">
        <v>82</v>
      </c>
      <c r="C306" s="9"/>
      <c r="D306" s="42">
        <f>СПРАВОЧНИК!F15</f>
        <v>0.5</v>
      </c>
      <c r="E306" s="9"/>
      <c r="F306" s="3">
        <f>F301</f>
        <v>0</v>
      </c>
      <c r="G306" s="40">
        <f>G307*E307+G308*E308+G309*E309</f>
        <v>0</v>
      </c>
      <c r="H306" s="6">
        <f t="shared" si="26"/>
        <v>0</v>
      </c>
      <c r="I306" s="6">
        <f>H306*D306</f>
        <v>0</v>
      </c>
    </row>
    <row r="307" spans="1:9" x14ac:dyDescent="0.25">
      <c r="A307" s="9"/>
      <c r="B307" s="43" t="s">
        <v>128</v>
      </c>
      <c r="C307" s="9" t="s">
        <v>129</v>
      </c>
      <c r="D307" s="9"/>
      <c r="E307" s="42">
        <f>СПРАВОЧНИК!L15</f>
        <v>0.2</v>
      </c>
      <c r="F307" s="3">
        <f>F301</f>
        <v>0</v>
      </c>
      <c r="G307" s="40">
        <f>SUM('ФАКТ ЧИСТ К3'!U5:U52)</f>
        <v>0</v>
      </c>
      <c r="H307" s="6">
        <f t="shared" si="26"/>
        <v>0</v>
      </c>
      <c r="I307" s="6">
        <f>H307*E307</f>
        <v>0</v>
      </c>
    </row>
    <row r="308" spans="1:9" x14ac:dyDescent="0.25">
      <c r="A308" s="9"/>
      <c r="B308" s="43" t="s">
        <v>130</v>
      </c>
      <c r="C308" s="9" t="s">
        <v>129</v>
      </c>
      <c r="D308" s="9"/>
      <c r="E308" s="42">
        <f>СПРАВОЧНИК!M15</f>
        <v>0.6</v>
      </c>
      <c r="F308" s="3">
        <f>F301</f>
        <v>0</v>
      </c>
      <c r="G308" s="40">
        <f>SUM('ФАКТ ЧИСТ К3'!V5:V52)</f>
        <v>0</v>
      </c>
      <c r="H308" s="6">
        <f t="shared" si="26"/>
        <v>0</v>
      </c>
      <c r="I308" s="6">
        <f>H308*E308</f>
        <v>0</v>
      </c>
    </row>
    <row r="309" spans="1:9" x14ac:dyDescent="0.25">
      <c r="A309" s="9"/>
      <c r="B309" s="43" t="s">
        <v>131</v>
      </c>
      <c r="C309" s="9" t="s">
        <v>129</v>
      </c>
      <c r="D309" s="9"/>
      <c r="E309" s="42">
        <f>СПРАВОЧНИК!N15</f>
        <v>0.2</v>
      </c>
      <c r="F309" s="3">
        <f>F301</f>
        <v>0</v>
      </c>
      <c r="G309" s="40">
        <f>SUM('ФАКТ ЧИСТ К3'!W5:W52)</f>
        <v>0</v>
      </c>
      <c r="H309" s="6">
        <f t="shared" si="26"/>
        <v>0</v>
      </c>
      <c r="I309" s="6">
        <f>H309*E309</f>
        <v>0</v>
      </c>
    </row>
    <row r="310" spans="1:9" x14ac:dyDescent="0.25">
      <c r="B310" s="23" t="s">
        <v>132</v>
      </c>
      <c r="D310" s="44">
        <f>D302+D306</f>
        <v>1</v>
      </c>
    </row>
    <row r="313" spans="1:9" x14ac:dyDescent="0.25">
      <c r="A313" s="75" t="s">
        <v>137</v>
      </c>
      <c r="B313" s="74"/>
      <c r="C313" s="74"/>
      <c r="D313" s="74"/>
      <c r="E313" s="74"/>
      <c r="F313" s="74"/>
      <c r="G313" s="74"/>
      <c r="H313" s="74"/>
      <c r="I313" s="74"/>
    </row>
    <row r="314" spans="1:9" x14ac:dyDescent="0.25">
      <c r="A314" s="45"/>
      <c r="B314" s="69" t="s">
        <v>3</v>
      </c>
      <c r="C314" s="45"/>
      <c r="D314" s="69" t="s">
        <v>138</v>
      </c>
      <c r="E314" s="45"/>
      <c r="F314" s="69" t="s">
        <v>4</v>
      </c>
      <c r="G314" s="45"/>
      <c r="H314" s="69" t="s">
        <v>125</v>
      </c>
      <c r="I314" s="69" t="s">
        <v>126</v>
      </c>
    </row>
    <row r="315" spans="1:9" x14ac:dyDescent="0.25">
      <c r="A315" s="46" t="s">
        <v>53</v>
      </c>
      <c r="B315" s="47" t="s">
        <v>54</v>
      </c>
      <c r="C315" s="48"/>
      <c r="D315" s="49">
        <f>СПРАВОЧНИК!V18</f>
        <v>0</v>
      </c>
      <c r="E315" s="48"/>
      <c r="F315" s="50">
        <f>F6+F17+F28+F39+F50+F61</f>
        <v>0</v>
      </c>
      <c r="G315" s="48"/>
      <c r="H315" s="51">
        <f>СПРАВОЧНИК!V3*H6+СПРАВОЧНИК!V4*H17+СПРАВОЧНИК!V5*H28+СПРАВОЧНИК!V6*H39+СПРАВОЧНИК!V7*H50+СПРАВОЧНИК!V8*H61</f>
        <v>0</v>
      </c>
      <c r="I315" s="51">
        <f>H315*D315</f>
        <v>0</v>
      </c>
    </row>
    <row r="316" spans="1:9" x14ac:dyDescent="0.25">
      <c r="A316" s="52" t="s">
        <v>55</v>
      </c>
      <c r="B316" s="53" t="s">
        <v>139</v>
      </c>
      <c r="C316" s="54"/>
      <c r="D316" s="55">
        <f>СПРАВОЧНИК!K28</f>
        <v>0</v>
      </c>
      <c r="E316" s="54"/>
      <c r="F316" s="56">
        <f>F74+F86+F97+F108+F119+F130+F141</f>
        <v>0</v>
      </c>
      <c r="G316" s="54"/>
      <c r="H316" s="57">
        <f>СПРАВОЧНИК!V9*H74+СПРАВОЧНИК!V10*H86+СПРАВОЧНИК!V11*H97+СПРАВОЧНИК!V12*H108+СПРАВОЧНИК!V13*H119+СПРАВОЧНИК!V14*H130+СПРАВОЧНИК!V15*H141</f>
        <v>0</v>
      </c>
      <c r="I316" s="57">
        <f>H316*D316</f>
        <v>0</v>
      </c>
    </row>
    <row r="317" spans="1:9" x14ac:dyDescent="0.25">
      <c r="A317" s="52" t="s">
        <v>55</v>
      </c>
      <c r="B317" s="53" t="s">
        <v>140</v>
      </c>
      <c r="C317" s="54"/>
      <c r="D317" s="55">
        <f>СПРАВОЧНИК!K29</f>
        <v>0</v>
      </c>
      <c r="E317" s="54"/>
      <c r="F317" s="56">
        <f>F154+F166+F177+F188+F199+F210+F221</f>
        <v>0</v>
      </c>
      <c r="G317" s="54"/>
      <c r="H317" s="57">
        <f>СПРАВОЧНИК!V9*H154+СПРАВОЧНИК!V10*H166+СПРАВОЧНИК!V11*H177+СПРАВОЧНИК!V12*H188+СПРАВОЧНИК!V13*H199+СПРАВОЧНИК!V14*H210+СПРАВОЧНИК!V15*H221</f>
        <v>0</v>
      </c>
      <c r="I317" s="57">
        <f>H317*D317</f>
        <v>0</v>
      </c>
    </row>
    <row r="318" spans="1:9" x14ac:dyDescent="0.25">
      <c r="A318" s="52" t="s">
        <v>55</v>
      </c>
      <c r="B318" s="53" t="s">
        <v>141</v>
      </c>
      <c r="C318" s="54"/>
      <c r="D318" s="55">
        <f>СПРАВОЧНИК!K30</f>
        <v>0</v>
      </c>
      <c r="E318" s="54"/>
      <c r="F318" s="56">
        <f>F234+F246+F257+F268+F279+F290+F301</f>
        <v>0</v>
      </c>
      <c r="G318" s="54"/>
      <c r="H318" s="57">
        <f>СПРАВОЧНИК!V9*H234+СПРАВОЧНИК!V10*H246+СПРАВОЧНИК!V11*H257+СПРАВОЧНИК!V12*H268+СПРАВОЧНИК!V13*H279+СПРАВОЧНИК!V14*H290+СПРАВОЧНИК!V15*H301</f>
        <v>0</v>
      </c>
      <c r="I318" s="57">
        <f>H318*D318</f>
        <v>0</v>
      </c>
    </row>
    <row r="319" spans="1:9" x14ac:dyDescent="0.25">
      <c r="A319" s="46" t="s">
        <v>55</v>
      </c>
      <c r="B319" s="47" t="s">
        <v>142</v>
      </c>
      <c r="C319" s="48"/>
      <c r="D319" s="49">
        <f>СПРАВОЧНИК!V19</f>
        <v>0</v>
      </c>
      <c r="E319" s="48"/>
      <c r="F319" s="50">
        <f>F316+F317+F318</f>
        <v>0</v>
      </c>
      <c r="G319" s="48"/>
      <c r="H319" s="51">
        <f>D316*H316+D317*H317+D318*H318</f>
        <v>0</v>
      </c>
      <c r="I319" s="51">
        <f>H319*D319</f>
        <v>0</v>
      </c>
    </row>
    <row r="320" spans="1:9" x14ac:dyDescent="0.25">
      <c r="B320" s="23" t="s">
        <v>59</v>
      </c>
      <c r="D320" s="24">
        <f>D315+D319</f>
        <v>0</v>
      </c>
    </row>
    <row r="321" spans="1:9" x14ac:dyDescent="0.25">
      <c r="B321" s="23" t="s">
        <v>69</v>
      </c>
      <c r="D321" s="24">
        <f>D316+D317+D318</f>
        <v>0</v>
      </c>
    </row>
    <row r="323" spans="1:9" ht="18.600000000000001" customHeight="1" x14ac:dyDescent="0.3">
      <c r="A323" s="58" t="s">
        <v>143</v>
      </c>
      <c r="B323" s="59" t="s">
        <v>144</v>
      </c>
      <c r="C323" s="60"/>
      <c r="D323" s="60"/>
      <c r="E323" s="60"/>
      <c r="F323" s="61">
        <f>F315+F319</f>
        <v>0</v>
      </c>
      <c r="G323" s="60"/>
      <c r="H323" s="62">
        <f>I315+I319</f>
        <v>0</v>
      </c>
      <c r="I323" s="60"/>
    </row>
  </sheetData>
  <mergeCells count="7">
    <mergeCell ref="A152:I152"/>
    <mergeCell ref="A2:I2"/>
    <mergeCell ref="A313:I313"/>
    <mergeCell ref="A1:I1"/>
    <mergeCell ref="A4:I4"/>
    <mergeCell ref="A232:I232"/>
    <mergeCell ref="A72:I72"/>
  </mergeCells>
  <conditionalFormatting sqref="D15">
    <cfRule type="cellIs" dxfId="58" priority="1" operator="notEqual">
      <formula>1</formula>
    </cfRule>
    <cfRule type="cellIs" dxfId="57" priority="2" operator="equal">
      <formula>1</formula>
    </cfRule>
  </conditionalFormatting>
  <conditionalFormatting sqref="D26">
    <cfRule type="cellIs" dxfId="56" priority="3" operator="notEqual">
      <formula>1</formula>
    </cfRule>
    <cfRule type="cellIs" dxfId="55" priority="4" operator="equal">
      <formula>1</formula>
    </cfRule>
  </conditionalFormatting>
  <conditionalFormatting sqref="D37">
    <cfRule type="cellIs" dxfId="54" priority="5" operator="notEqual">
      <formula>1</formula>
    </cfRule>
    <cfRule type="cellIs" dxfId="53" priority="6" operator="equal">
      <formula>1</formula>
    </cfRule>
  </conditionalFormatting>
  <conditionalFormatting sqref="D48">
    <cfRule type="cellIs" dxfId="52" priority="7" operator="notEqual">
      <formula>1</formula>
    </cfRule>
    <cfRule type="cellIs" dxfId="51" priority="8" operator="equal">
      <formula>1</formula>
    </cfRule>
  </conditionalFormatting>
  <conditionalFormatting sqref="D59">
    <cfRule type="cellIs" dxfId="50" priority="9" operator="notEqual">
      <formula>1</formula>
    </cfRule>
    <cfRule type="cellIs" dxfId="49" priority="10" operator="equal">
      <formula>1</formula>
    </cfRule>
  </conditionalFormatting>
  <conditionalFormatting sqref="D70">
    <cfRule type="cellIs" dxfId="48" priority="11" operator="notEqual">
      <formula>1</formula>
    </cfRule>
    <cfRule type="cellIs" dxfId="47" priority="12" operator="equal">
      <formula>1</formula>
    </cfRule>
  </conditionalFormatting>
  <conditionalFormatting sqref="D84">
    <cfRule type="cellIs" dxfId="46" priority="13" operator="notEqual">
      <formula>1</formula>
    </cfRule>
    <cfRule type="cellIs" dxfId="45" priority="14" operator="equal">
      <formula>1</formula>
    </cfRule>
  </conditionalFormatting>
  <conditionalFormatting sqref="D95">
    <cfRule type="cellIs" dxfId="44" priority="15" operator="notEqual">
      <formula>1</formula>
    </cfRule>
    <cfRule type="cellIs" dxfId="43" priority="16" operator="equal">
      <formula>1</formula>
    </cfRule>
  </conditionalFormatting>
  <conditionalFormatting sqref="D106">
    <cfRule type="cellIs" dxfId="42" priority="17" operator="notEqual">
      <formula>1</formula>
    </cfRule>
    <cfRule type="cellIs" dxfId="41" priority="18" operator="equal">
      <formula>1</formula>
    </cfRule>
  </conditionalFormatting>
  <conditionalFormatting sqref="D117">
    <cfRule type="cellIs" dxfId="40" priority="19" operator="notEqual">
      <formula>1</formula>
    </cfRule>
    <cfRule type="cellIs" dxfId="39" priority="20" operator="equal">
      <formula>1</formula>
    </cfRule>
  </conditionalFormatting>
  <conditionalFormatting sqref="D128">
    <cfRule type="cellIs" dxfId="38" priority="21" operator="notEqual">
      <formula>1</formula>
    </cfRule>
    <cfRule type="cellIs" dxfId="37" priority="22" operator="equal">
      <formula>1</formula>
    </cfRule>
  </conditionalFormatting>
  <conditionalFormatting sqref="D139">
    <cfRule type="cellIs" dxfId="36" priority="23" operator="notEqual">
      <formula>1</formula>
    </cfRule>
    <cfRule type="cellIs" dxfId="35" priority="24" operator="equal">
      <formula>1</formula>
    </cfRule>
  </conditionalFormatting>
  <conditionalFormatting sqref="D150">
    <cfRule type="cellIs" dxfId="34" priority="25" operator="notEqual">
      <formula>1</formula>
    </cfRule>
    <cfRule type="cellIs" dxfId="33" priority="26" operator="equal">
      <formula>1</formula>
    </cfRule>
  </conditionalFormatting>
  <conditionalFormatting sqref="D164">
    <cfRule type="cellIs" dxfId="32" priority="27" operator="notEqual">
      <formula>1</formula>
    </cfRule>
    <cfRule type="cellIs" dxfId="31" priority="28" operator="equal">
      <formula>1</formula>
    </cfRule>
  </conditionalFormatting>
  <conditionalFormatting sqref="D175">
    <cfRule type="cellIs" dxfId="30" priority="29" operator="notEqual">
      <formula>1</formula>
    </cfRule>
    <cfRule type="cellIs" dxfId="29" priority="30" operator="equal">
      <formula>1</formula>
    </cfRule>
  </conditionalFormatting>
  <conditionalFormatting sqref="D186">
    <cfRule type="cellIs" dxfId="28" priority="31" operator="notEqual">
      <formula>1</formula>
    </cfRule>
    <cfRule type="cellIs" dxfId="27" priority="32" operator="equal">
      <formula>1</formula>
    </cfRule>
  </conditionalFormatting>
  <conditionalFormatting sqref="D197">
    <cfRule type="cellIs" dxfId="26" priority="33" operator="notEqual">
      <formula>1</formula>
    </cfRule>
    <cfRule type="cellIs" dxfId="25" priority="34" operator="equal">
      <formula>1</formula>
    </cfRule>
  </conditionalFormatting>
  <conditionalFormatting sqref="D208">
    <cfRule type="cellIs" dxfId="24" priority="35" operator="notEqual">
      <formula>1</formula>
    </cfRule>
    <cfRule type="cellIs" dxfId="23" priority="36" operator="equal">
      <formula>1</formula>
    </cfRule>
  </conditionalFormatting>
  <conditionalFormatting sqref="D219">
    <cfRule type="cellIs" dxfId="22" priority="37" operator="notEqual">
      <formula>1</formula>
    </cfRule>
    <cfRule type="cellIs" dxfId="21" priority="38" operator="equal">
      <formula>1</formula>
    </cfRule>
  </conditionalFormatting>
  <conditionalFormatting sqref="D230">
    <cfRule type="cellIs" dxfId="20" priority="39" operator="notEqual">
      <formula>1</formula>
    </cfRule>
    <cfRule type="cellIs" dxfId="19" priority="40" operator="equal">
      <formula>1</formula>
    </cfRule>
  </conditionalFormatting>
  <conditionalFormatting sqref="D244">
    <cfRule type="cellIs" dxfId="18" priority="41" operator="notEqual">
      <formula>1</formula>
    </cfRule>
    <cfRule type="cellIs" dxfId="17" priority="42" operator="equal">
      <formula>1</formula>
    </cfRule>
  </conditionalFormatting>
  <conditionalFormatting sqref="D255">
    <cfRule type="cellIs" dxfId="16" priority="43" operator="notEqual">
      <formula>1</formula>
    </cfRule>
    <cfRule type="cellIs" dxfId="15" priority="44" operator="equal">
      <formula>1</formula>
    </cfRule>
  </conditionalFormatting>
  <conditionalFormatting sqref="D266">
    <cfRule type="cellIs" dxfId="14" priority="45" operator="notEqual">
      <formula>1</formula>
    </cfRule>
    <cfRule type="cellIs" dxfId="13" priority="46" operator="equal">
      <formula>1</formula>
    </cfRule>
  </conditionalFormatting>
  <conditionalFormatting sqref="D277">
    <cfRule type="cellIs" dxfId="12" priority="47" operator="notEqual">
      <formula>1</formula>
    </cfRule>
    <cfRule type="cellIs" dxfId="11" priority="48" operator="equal">
      <formula>1</formula>
    </cfRule>
  </conditionalFormatting>
  <conditionalFormatting sqref="D288">
    <cfRule type="cellIs" dxfId="10" priority="49" operator="notEqual">
      <formula>1</formula>
    </cfRule>
    <cfRule type="cellIs" dxfId="9" priority="50" operator="equal">
      <formula>1</formula>
    </cfRule>
  </conditionalFormatting>
  <conditionalFormatting sqref="D299">
    <cfRule type="cellIs" dxfId="8" priority="51" operator="notEqual">
      <formula>1</formula>
    </cfRule>
    <cfRule type="cellIs" dxfId="7" priority="52" operator="equal">
      <formula>1</formula>
    </cfRule>
  </conditionalFormatting>
  <conditionalFormatting sqref="D310">
    <cfRule type="cellIs" dxfId="6" priority="53" operator="notEqual">
      <formula>1</formula>
    </cfRule>
    <cfRule type="cellIs" dxfId="5" priority="54" operator="equal">
      <formula>1</formula>
    </cfRule>
  </conditionalFormatting>
  <conditionalFormatting sqref="D320">
    <cfRule type="cellIs" dxfId="4" priority="55" operator="notEqual">
      <formula>1</formula>
    </cfRule>
    <cfRule type="cellIs" dxfId="3" priority="56" operator="equal">
      <formula>1</formula>
    </cfRule>
  </conditionalFormatting>
  <conditionalFormatting sqref="D321">
    <cfRule type="cellIs" dxfId="2" priority="57" operator="notEqual">
      <formula>D319</formula>
    </cfRule>
    <cfRule type="cellIs" dxfId="1" priority="58" operator="equal">
      <formula>D319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4472C4"/>
  </sheetPr>
  <dimension ref="A1:DC61"/>
  <sheetViews>
    <sheetView zoomScale="55" zoomScaleNormal="55" workbookViewId="0">
      <selection activeCell="N1" sqref="N1:Q1"/>
    </sheetView>
  </sheetViews>
  <sheetFormatPr defaultColWidth="14.7109375" defaultRowHeight="15" x14ac:dyDescent="0.25"/>
  <sheetData>
    <row r="1" spans="1:107" x14ac:dyDescent="0.25">
      <c r="A1" s="63" t="s">
        <v>145</v>
      </c>
      <c r="B1" s="65" t="s">
        <v>146</v>
      </c>
      <c r="C1" s="9" t="s">
        <v>147</v>
      </c>
      <c r="H1" s="65" t="s">
        <v>146</v>
      </c>
      <c r="I1" s="9" t="s">
        <v>147</v>
      </c>
      <c r="N1" s="65" t="s">
        <v>146</v>
      </c>
      <c r="O1" s="9" t="s">
        <v>147</v>
      </c>
      <c r="T1" s="65" t="s">
        <v>146</v>
      </c>
      <c r="U1" s="9" t="s">
        <v>147</v>
      </c>
      <c r="Z1" s="65" t="s">
        <v>146</v>
      </c>
      <c r="AA1" s="9" t="s">
        <v>147</v>
      </c>
      <c r="AF1" s="65" t="s">
        <v>146</v>
      </c>
      <c r="AG1" s="9" t="s">
        <v>147</v>
      </c>
      <c r="AL1" s="65" t="s">
        <v>146</v>
      </c>
      <c r="AM1" s="9" t="s">
        <v>147</v>
      </c>
      <c r="AR1" s="65" t="s">
        <v>146</v>
      </c>
      <c r="AS1" s="9" t="s">
        <v>147</v>
      </c>
      <c r="AX1" s="65" t="s">
        <v>146</v>
      </c>
      <c r="AY1" s="9" t="s">
        <v>147</v>
      </c>
      <c r="BD1" s="65" t="s">
        <v>146</v>
      </c>
      <c r="BE1" s="9" t="s">
        <v>147</v>
      </c>
      <c r="BJ1" s="65" t="s">
        <v>146</v>
      </c>
      <c r="BK1" s="9" t="s">
        <v>147</v>
      </c>
      <c r="BP1" s="65" t="s">
        <v>146</v>
      </c>
      <c r="BQ1" s="9" t="s">
        <v>147</v>
      </c>
      <c r="BV1" s="65" t="s">
        <v>146</v>
      </c>
      <c r="BW1" s="9" t="s">
        <v>147</v>
      </c>
      <c r="CB1" s="65" t="s">
        <v>146</v>
      </c>
      <c r="CC1" s="9" t="s">
        <v>147</v>
      </c>
      <c r="CH1" s="65" t="s">
        <v>146</v>
      </c>
      <c r="CI1" s="9" t="s">
        <v>147</v>
      </c>
      <c r="CN1" s="65" t="s">
        <v>146</v>
      </c>
      <c r="CO1" s="9" t="s">
        <v>147</v>
      </c>
      <c r="CT1" s="65" t="s">
        <v>146</v>
      </c>
      <c r="CU1" s="9" t="s">
        <v>147</v>
      </c>
      <c r="CZ1" s="65" t="s">
        <v>146</v>
      </c>
      <c r="DA1" s="9" t="s">
        <v>147</v>
      </c>
    </row>
    <row r="2" spans="1:107" x14ac:dyDescent="0.25">
      <c r="A2" s="64">
        <v>46202</v>
      </c>
      <c r="B2" s="65" t="s">
        <v>148</v>
      </c>
      <c r="C2" s="9" t="s">
        <v>149</v>
      </c>
      <c r="H2" s="65" t="s">
        <v>148</v>
      </c>
      <c r="I2" s="9" t="s">
        <v>149</v>
      </c>
      <c r="N2" s="65" t="s">
        <v>148</v>
      </c>
      <c r="O2" s="9" t="s">
        <v>149</v>
      </c>
      <c r="T2" s="65" t="s">
        <v>148</v>
      </c>
      <c r="U2" s="9" t="s">
        <v>149</v>
      </c>
      <c r="Z2" s="65" t="s">
        <v>148</v>
      </c>
      <c r="AA2" s="9" t="s">
        <v>149</v>
      </c>
      <c r="AF2" s="65" t="s">
        <v>148</v>
      </c>
      <c r="AG2" s="9" t="s">
        <v>149</v>
      </c>
      <c r="AL2" s="65" t="s">
        <v>148</v>
      </c>
      <c r="AM2" s="9" t="s">
        <v>149</v>
      </c>
      <c r="AR2" s="65" t="s">
        <v>148</v>
      </c>
      <c r="AS2" s="9" t="s">
        <v>149</v>
      </c>
      <c r="AX2" s="65" t="s">
        <v>148</v>
      </c>
      <c r="AY2" s="9" t="s">
        <v>149</v>
      </c>
      <c r="BD2" s="65" t="s">
        <v>148</v>
      </c>
      <c r="BE2" s="9" t="s">
        <v>149</v>
      </c>
      <c r="BJ2" s="65" t="s">
        <v>148</v>
      </c>
      <c r="BK2" s="9" t="s">
        <v>149</v>
      </c>
      <c r="BP2" s="65" t="s">
        <v>148</v>
      </c>
      <c r="BQ2" s="9" t="s">
        <v>149</v>
      </c>
      <c r="BV2" s="65" t="s">
        <v>148</v>
      </c>
      <c r="BW2" s="9" t="s">
        <v>149</v>
      </c>
      <c r="CB2" s="65" t="s">
        <v>148</v>
      </c>
      <c r="CC2" s="9" t="s">
        <v>149</v>
      </c>
      <c r="CH2" s="65" t="s">
        <v>148</v>
      </c>
      <c r="CI2" s="9" t="s">
        <v>149</v>
      </c>
      <c r="CN2" s="65" t="s">
        <v>148</v>
      </c>
      <c r="CO2" s="9" t="s">
        <v>149</v>
      </c>
      <c r="CT2" s="65" t="s">
        <v>148</v>
      </c>
      <c r="CU2" s="9" t="s">
        <v>149</v>
      </c>
      <c r="CZ2" s="65" t="s">
        <v>148</v>
      </c>
      <c r="DA2" s="9" t="s">
        <v>149</v>
      </c>
    </row>
    <row r="3" spans="1:107" ht="29.1" customHeight="1" x14ac:dyDescent="0.25">
      <c r="B3" s="65" t="s">
        <v>150</v>
      </c>
      <c r="C3" s="9"/>
      <c r="H3" s="65" t="s">
        <v>150</v>
      </c>
      <c r="I3" s="9"/>
      <c r="N3" s="65" t="s">
        <v>150</v>
      </c>
      <c r="O3" s="9"/>
      <c r="T3" s="65" t="s">
        <v>150</v>
      </c>
      <c r="U3" s="9"/>
      <c r="Z3" s="65" t="s">
        <v>150</v>
      </c>
      <c r="AA3" s="9"/>
      <c r="AF3" s="65" t="s">
        <v>150</v>
      </c>
      <c r="AG3" s="9"/>
      <c r="AL3" s="65" t="s">
        <v>150</v>
      </c>
      <c r="AM3" s="9"/>
      <c r="AR3" s="65" t="s">
        <v>150</v>
      </c>
      <c r="AS3" s="9"/>
      <c r="AX3" s="65" t="s">
        <v>150</v>
      </c>
      <c r="AY3" s="9"/>
      <c r="BD3" s="65" t="s">
        <v>150</v>
      </c>
      <c r="BE3" s="9"/>
      <c r="BJ3" s="65" t="s">
        <v>150</v>
      </c>
      <c r="BK3" s="9"/>
      <c r="BP3" s="65" t="s">
        <v>150</v>
      </c>
      <c r="BQ3" s="9"/>
      <c r="BV3" s="65" t="s">
        <v>150</v>
      </c>
      <c r="BW3" s="9"/>
      <c r="CB3" s="65" t="s">
        <v>150</v>
      </c>
      <c r="CC3" s="9"/>
      <c r="CH3" s="65" t="s">
        <v>150</v>
      </c>
      <c r="CI3" s="9"/>
      <c r="CN3" s="65" t="s">
        <v>150</v>
      </c>
      <c r="CO3" s="9"/>
      <c r="CT3" s="65" t="s">
        <v>150</v>
      </c>
      <c r="CU3" s="9"/>
      <c r="CZ3" s="65" t="s">
        <v>150</v>
      </c>
      <c r="DA3" s="9"/>
    </row>
    <row r="4" spans="1:107" x14ac:dyDescent="0.25">
      <c r="B4" s="65" t="s">
        <v>74</v>
      </c>
      <c r="C4" s="9" t="s">
        <v>151</v>
      </c>
      <c r="H4" s="65" t="s">
        <v>74</v>
      </c>
      <c r="I4" s="9" t="s">
        <v>151</v>
      </c>
      <c r="N4" s="65" t="s">
        <v>74</v>
      </c>
      <c r="O4" s="9" t="s">
        <v>151</v>
      </c>
      <c r="T4" s="65" t="s">
        <v>74</v>
      </c>
      <c r="U4" s="9" t="s">
        <v>151</v>
      </c>
      <c r="Z4" s="65" t="s">
        <v>74</v>
      </c>
      <c r="AA4" s="9" t="s">
        <v>151</v>
      </c>
      <c r="AF4" s="65" t="s">
        <v>74</v>
      </c>
      <c r="AG4" s="9" t="s">
        <v>151</v>
      </c>
      <c r="AL4" s="65" t="s">
        <v>74</v>
      </c>
      <c r="AM4" s="9" t="s">
        <v>151</v>
      </c>
      <c r="AR4" s="65" t="s">
        <v>74</v>
      </c>
      <c r="AS4" s="9" t="s">
        <v>151</v>
      </c>
      <c r="AX4" s="65" t="s">
        <v>74</v>
      </c>
      <c r="AY4" s="9" t="s">
        <v>151</v>
      </c>
      <c r="BD4" s="65" t="s">
        <v>74</v>
      </c>
      <c r="BE4" s="9" t="s">
        <v>151</v>
      </c>
      <c r="BJ4" s="65" t="s">
        <v>74</v>
      </c>
      <c r="BK4" s="9" t="s">
        <v>151</v>
      </c>
      <c r="BP4" s="65" t="s">
        <v>74</v>
      </c>
      <c r="BQ4" s="9" t="s">
        <v>151</v>
      </c>
      <c r="BV4" s="65" t="s">
        <v>74</v>
      </c>
      <c r="BW4" s="9" t="s">
        <v>151</v>
      </c>
      <c r="CB4" s="65" t="s">
        <v>74</v>
      </c>
      <c r="CC4" s="9" t="s">
        <v>151</v>
      </c>
      <c r="CH4" s="65" t="s">
        <v>74</v>
      </c>
      <c r="CI4" s="9" t="s">
        <v>151</v>
      </c>
      <c r="CN4" s="65" t="s">
        <v>74</v>
      </c>
      <c r="CO4" s="9" t="s">
        <v>151</v>
      </c>
      <c r="CT4" s="65" t="s">
        <v>74</v>
      </c>
      <c r="CU4" s="9" t="s">
        <v>151</v>
      </c>
      <c r="CZ4" s="65" t="s">
        <v>74</v>
      </c>
      <c r="DA4" s="9" t="s">
        <v>151</v>
      </c>
    </row>
    <row r="5" spans="1:107" x14ac:dyDescent="0.25">
      <c r="C5" s="9"/>
      <c r="I5" s="9"/>
      <c r="O5" s="9"/>
      <c r="U5" s="9"/>
      <c r="AA5" s="9"/>
      <c r="AG5" s="9"/>
      <c r="AM5" s="9"/>
      <c r="AS5" s="9"/>
      <c r="AY5" s="9"/>
      <c r="BE5" s="9"/>
      <c r="BK5" s="9"/>
      <c r="BQ5" s="9"/>
      <c r="BW5" s="9"/>
      <c r="CC5" s="9"/>
      <c r="CI5" s="9"/>
      <c r="CO5" s="9"/>
      <c r="CU5" s="9"/>
      <c r="DA5" s="9"/>
    </row>
    <row r="6" spans="1:107" x14ac:dyDescent="0.25">
      <c r="B6" s="65" t="s">
        <v>73</v>
      </c>
      <c r="C6" s="18">
        <f>$A$2</f>
        <v>46202</v>
      </c>
      <c r="H6" s="65" t="s">
        <v>73</v>
      </c>
      <c r="I6" s="18">
        <f>$A$2</f>
        <v>46202</v>
      </c>
      <c r="N6" s="65" t="s">
        <v>73</v>
      </c>
      <c r="O6" s="18">
        <f>$A$2</f>
        <v>46202</v>
      </c>
      <c r="T6" s="65" t="s">
        <v>73</v>
      </c>
      <c r="U6" s="18">
        <f>$A$2</f>
        <v>46202</v>
      </c>
      <c r="Z6" s="65" t="s">
        <v>73</v>
      </c>
      <c r="AA6" s="18">
        <f>$A$2</f>
        <v>46202</v>
      </c>
      <c r="AF6" s="65" t="s">
        <v>73</v>
      </c>
      <c r="AG6" s="18">
        <f>$A$2</f>
        <v>46202</v>
      </c>
      <c r="AL6" s="65" t="s">
        <v>73</v>
      </c>
      <c r="AM6" s="18">
        <f>$A$2</f>
        <v>46202</v>
      </c>
      <c r="AR6" s="65" t="s">
        <v>73</v>
      </c>
      <c r="AS6" s="18">
        <f>$A$2</f>
        <v>46202</v>
      </c>
      <c r="AX6" s="65" t="s">
        <v>73</v>
      </c>
      <c r="AY6" s="18">
        <f>$A$2</f>
        <v>46202</v>
      </c>
      <c r="BD6" s="65" t="s">
        <v>73</v>
      </c>
      <c r="BE6" s="18">
        <f>$A$2</f>
        <v>46202</v>
      </c>
      <c r="BJ6" s="65" t="s">
        <v>73</v>
      </c>
      <c r="BK6" s="18">
        <f>$A$2</f>
        <v>46202</v>
      </c>
      <c r="BP6" s="65" t="s">
        <v>73</v>
      </c>
      <c r="BQ6" s="18">
        <f>$A$2</f>
        <v>46202</v>
      </c>
      <c r="BV6" s="65" t="s">
        <v>73</v>
      </c>
      <c r="BW6" s="18">
        <f>$A$2</f>
        <v>46202</v>
      </c>
      <c r="CB6" s="65" t="s">
        <v>73</v>
      </c>
      <c r="CC6" s="18">
        <f>$A$2</f>
        <v>46202</v>
      </c>
      <c r="CH6" s="65" t="s">
        <v>73</v>
      </c>
      <c r="CI6" s="18">
        <f>$A$2</f>
        <v>46202</v>
      </c>
      <c r="CN6" s="65" t="s">
        <v>73</v>
      </c>
      <c r="CO6" s="18">
        <f>$A$2</f>
        <v>46202</v>
      </c>
      <c r="CT6" s="65" t="s">
        <v>73</v>
      </c>
      <c r="CU6" s="18">
        <f>$A$2</f>
        <v>46202</v>
      </c>
      <c r="CZ6" s="65" t="s">
        <v>73</v>
      </c>
      <c r="DA6" s="18">
        <f>$A$2</f>
        <v>46202</v>
      </c>
    </row>
    <row r="7" spans="1:107" x14ac:dyDescent="0.25">
      <c r="B7" s="65" t="s">
        <v>152</v>
      </c>
      <c r="C7" s="9" t="s">
        <v>153</v>
      </c>
      <c r="H7" s="65" t="s">
        <v>152</v>
      </c>
      <c r="I7" s="9" t="s">
        <v>153</v>
      </c>
      <c r="N7" s="65" t="s">
        <v>152</v>
      </c>
      <c r="O7" s="9" t="s">
        <v>153</v>
      </c>
      <c r="T7" s="65" t="s">
        <v>152</v>
      </c>
      <c r="U7" s="9" t="s">
        <v>153</v>
      </c>
      <c r="Z7" s="65" t="s">
        <v>152</v>
      </c>
      <c r="AA7" s="9" t="s">
        <v>153</v>
      </c>
      <c r="AF7" s="65" t="s">
        <v>152</v>
      </c>
      <c r="AG7" s="9" t="s">
        <v>153</v>
      </c>
      <c r="AL7" s="65" t="s">
        <v>152</v>
      </c>
      <c r="AM7" s="9" t="s">
        <v>153</v>
      </c>
      <c r="AR7" s="65" t="s">
        <v>152</v>
      </c>
      <c r="AS7" s="9" t="s">
        <v>153</v>
      </c>
      <c r="AX7" s="65" t="s">
        <v>152</v>
      </c>
      <c r="AY7" s="9" t="s">
        <v>153</v>
      </c>
      <c r="BD7" s="65" t="s">
        <v>152</v>
      </c>
      <c r="BE7" s="9" t="s">
        <v>153</v>
      </c>
      <c r="BJ7" s="65" t="s">
        <v>152</v>
      </c>
      <c r="BK7" s="9" t="s">
        <v>153</v>
      </c>
      <c r="BP7" s="65" t="s">
        <v>152</v>
      </c>
      <c r="BQ7" s="9" t="s">
        <v>153</v>
      </c>
      <c r="BV7" s="65" t="s">
        <v>152</v>
      </c>
      <c r="BW7" s="9" t="s">
        <v>153</v>
      </c>
      <c r="CB7" s="65" t="s">
        <v>152</v>
      </c>
      <c r="CC7" s="9" t="s">
        <v>153</v>
      </c>
      <c r="CH7" s="65" t="s">
        <v>152</v>
      </c>
      <c r="CI7" s="9" t="s">
        <v>153</v>
      </c>
      <c r="CN7" s="65" t="s">
        <v>152</v>
      </c>
      <c r="CO7" s="9" t="s">
        <v>153</v>
      </c>
      <c r="CT7" s="65" t="s">
        <v>152</v>
      </c>
      <c r="CU7" s="9" t="s">
        <v>153</v>
      </c>
      <c r="CZ7" s="65" t="s">
        <v>152</v>
      </c>
      <c r="DA7" s="9" t="s">
        <v>153</v>
      </c>
    </row>
    <row r="8" spans="1:107" x14ac:dyDescent="0.25">
      <c r="B8" s="65" t="s">
        <v>154</v>
      </c>
      <c r="C8" s="9" t="s">
        <v>153</v>
      </c>
      <c r="H8" s="65" t="s">
        <v>154</v>
      </c>
      <c r="I8" s="9" t="s">
        <v>153</v>
      </c>
      <c r="N8" s="65" t="s">
        <v>154</v>
      </c>
      <c r="O8" s="9" t="s">
        <v>153</v>
      </c>
      <c r="T8" s="65" t="s">
        <v>154</v>
      </c>
      <c r="U8" s="9" t="s">
        <v>153</v>
      </c>
      <c r="Z8" s="65" t="s">
        <v>154</v>
      </c>
      <c r="AA8" s="9" t="s">
        <v>153</v>
      </c>
      <c r="AF8" s="65" t="s">
        <v>154</v>
      </c>
      <c r="AG8" s="9" t="s">
        <v>153</v>
      </c>
      <c r="AL8" s="65" t="s">
        <v>154</v>
      </c>
      <c r="AM8" s="9" t="s">
        <v>153</v>
      </c>
      <c r="AR8" s="65" t="s">
        <v>154</v>
      </c>
      <c r="AS8" s="9" t="s">
        <v>153</v>
      </c>
      <c r="AX8" s="65" t="s">
        <v>154</v>
      </c>
      <c r="AY8" s="9" t="s">
        <v>153</v>
      </c>
      <c r="BD8" s="65" t="s">
        <v>154</v>
      </c>
      <c r="BE8" s="9" t="s">
        <v>153</v>
      </c>
      <c r="BJ8" s="65" t="s">
        <v>154</v>
      </c>
      <c r="BK8" s="9" t="s">
        <v>153</v>
      </c>
      <c r="BP8" s="65" t="s">
        <v>154</v>
      </c>
      <c r="BQ8" s="9" t="s">
        <v>153</v>
      </c>
      <c r="BV8" s="65" t="s">
        <v>154</v>
      </c>
      <c r="BW8" s="9" t="s">
        <v>153</v>
      </c>
      <c r="CB8" s="65" t="s">
        <v>154</v>
      </c>
      <c r="CC8" s="9" t="s">
        <v>153</v>
      </c>
      <c r="CH8" s="65" t="s">
        <v>154</v>
      </c>
      <c r="CI8" s="9" t="s">
        <v>153</v>
      </c>
      <c r="CN8" s="65" t="s">
        <v>154</v>
      </c>
      <c r="CO8" s="9" t="s">
        <v>153</v>
      </c>
      <c r="CT8" s="65" t="s">
        <v>154</v>
      </c>
      <c r="CU8" s="9" t="s">
        <v>153</v>
      </c>
      <c r="CZ8" s="65" t="s">
        <v>154</v>
      </c>
      <c r="DA8" s="9" t="s">
        <v>153</v>
      </c>
    </row>
    <row r="9" spans="1:107" x14ac:dyDescent="0.25">
      <c r="B9" s="65" t="s">
        <v>155</v>
      </c>
      <c r="C9" s="9">
        <f>СПРАВОЧНИК!D18</f>
        <v>0</v>
      </c>
      <c r="H9" s="65" t="s">
        <v>155</v>
      </c>
      <c r="I9" s="9">
        <f>СПРАВОЧНИК!D18</f>
        <v>0</v>
      </c>
      <c r="N9" s="65" t="s">
        <v>155</v>
      </c>
      <c r="O9" s="9">
        <f>СПРАВОЧНИК!D18</f>
        <v>0</v>
      </c>
      <c r="T9" s="65" t="s">
        <v>155</v>
      </c>
      <c r="U9" s="9">
        <f>СПРАВОЧНИК!B28+СПРАВОЧНИК!C28+СПРАВОЧНИК!D28+СПРАВОЧНИК!E28+СПРАВОЧНИК!F28+СПРАВОЧНИК!G28+СПРАВОЧНИК!H28</f>
        <v>0</v>
      </c>
      <c r="Z9" s="65" t="s">
        <v>155</v>
      </c>
      <c r="AA9" s="9">
        <f>СПРАВОЧНИК!B28+СПРАВОЧНИК!C28+СПРАВОЧНИК!D28+СПРАВОЧНИК!E28+СПРАВОЧНИК!F28+СПРАВОЧНИК!G28+СПРАВОЧНИК!H28</f>
        <v>0</v>
      </c>
      <c r="AF9" s="65" t="s">
        <v>155</v>
      </c>
      <c r="AG9" s="9">
        <f>СПРАВОЧНИК!B28+СПРАВОЧНИК!C28+СПРАВОЧНИК!D28+СПРАВОЧНИК!E28+СПРАВОЧНИК!F28+СПРАВОЧНИК!G28+СПРАВОЧНИК!H28</f>
        <v>0</v>
      </c>
      <c r="AL9" s="65" t="s">
        <v>155</v>
      </c>
      <c r="AM9" s="9">
        <f>СПРАВОЧНИК!B29+СПРАВОЧНИК!C29+СПРАВОЧНИК!D29+СПРАВОЧНИК!E29+СПРАВОЧНИК!F29+СПРАВОЧНИК!G29+СПРАВОЧНИК!H29</f>
        <v>0</v>
      </c>
      <c r="AR9" s="65" t="s">
        <v>155</v>
      </c>
      <c r="AS9" s="9">
        <f>СПРАВОЧНИК!B29+СПРАВОЧНИК!C29+СПРАВОЧНИК!D29+СПРАВОЧНИК!E29+СПРАВОЧНИК!F29+СПРАВОЧНИК!G29+СПРАВОЧНИК!H29</f>
        <v>0</v>
      </c>
      <c r="AX9" s="65" t="s">
        <v>155</v>
      </c>
      <c r="AY9" s="9">
        <f>СПРАВОЧНИК!B29+СПРАВОЧНИК!C29+СПРАВОЧНИК!D29+СПРАВОЧНИК!E29+СПРАВОЧНИК!F29+СПРАВОЧНИК!G29+СПРАВОЧНИК!H29</f>
        <v>0</v>
      </c>
      <c r="BD9" s="65" t="s">
        <v>155</v>
      </c>
      <c r="BE9" s="9">
        <f>СПРАВОЧНИК!B30+СПРАВОЧНИК!C30+СПРАВОЧНИК!D30+СПРАВОЧНИК!E30+СПРАВОЧНИК!F30+СПРАВОЧНИК!G30+СПРАВОЧНИК!H30</f>
        <v>0</v>
      </c>
      <c r="BJ9" s="65" t="s">
        <v>155</v>
      </c>
      <c r="BK9" s="9">
        <f>СПРАВОЧНИК!B30+СПРАВОЧНИК!C30+СПРАВОЧНИК!D30+СПРАВОЧНИК!E30+СПРАВОЧНИК!F30+СПРАВОЧНИК!G30+СПРАВОЧНИК!H30</f>
        <v>0</v>
      </c>
      <c r="BP9" s="65" t="s">
        <v>155</v>
      </c>
      <c r="BQ9" s="9">
        <f>СПРАВОЧНИК!B30+СПРАВОЧНИК!C30+СПРАВОЧНИК!D30+СПРАВОЧНИК!E30+СПРАВОЧНИК!F30+СПРАВОЧНИК!G30+СПРАВОЧНИК!H30</f>
        <v>0</v>
      </c>
      <c r="BV9" s="65" t="s">
        <v>155</v>
      </c>
      <c r="BW9" s="9">
        <f>СПРАВОЧНИК!D19</f>
        <v>0</v>
      </c>
      <c r="CB9" s="65" t="s">
        <v>155</v>
      </c>
      <c r="CC9" s="9">
        <f>СПРАВОЧНИК!D19</f>
        <v>0</v>
      </c>
      <c r="CH9" s="65" t="s">
        <v>155</v>
      </c>
      <c r="CI9" s="9">
        <f>СПРАВОЧНИК!D19</f>
        <v>0</v>
      </c>
      <c r="CN9" s="65" t="s">
        <v>155</v>
      </c>
      <c r="CO9" s="9">
        <f>СПРАВОЧНИК!D18+СПРАВОЧНИК!D19</f>
        <v>0</v>
      </c>
      <c r="CT9" s="65" t="s">
        <v>155</v>
      </c>
      <c r="CU9" s="9">
        <f>СПРАВОЧНИК!D18+СПРАВОЧНИК!D19</f>
        <v>0</v>
      </c>
      <c r="CZ9" s="65" t="s">
        <v>155</v>
      </c>
      <c r="DA9" s="9">
        <f>СПРАВОЧНИК!D18+СПРАВОЧНИК!D19</f>
        <v>0</v>
      </c>
    </row>
    <row r="10" spans="1:107" x14ac:dyDescent="0.25">
      <c r="B10" s="65" t="s">
        <v>74</v>
      </c>
      <c r="C10" s="9" t="s">
        <v>156</v>
      </c>
      <c r="H10" s="65" t="s">
        <v>74</v>
      </c>
      <c r="I10" s="9" t="s">
        <v>157</v>
      </c>
      <c r="N10" s="65" t="s">
        <v>74</v>
      </c>
      <c r="O10" s="9" t="s">
        <v>158</v>
      </c>
      <c r="T10" s="65" t="s">
        <v>74</v>
      </c>
      <c r="U10" s="9" t="s">
        <v>159</v>
      </c>
      <c r="Z10" s="65" t="s">
        <v>74</v>
      </c>
      <c r="AA10" s="9" t="s">
        <v>160</v>
      </c>
      <c r="AF10" s="65" t="s">
        <v>74</v>
      </c>
      <c r="AG10" s="9" t="s">
        <v>161</v>
      </c>
      <c r="AL10" s="65" t="s">
        <v>74</v>
      </c>
      <c r="AM10" s="9" t="s">
        <v>162</v>
      </c>
      <c r="AR10" s="65" t="s">
        <v>74</v>
      </c>
      <c r="AS10" s="9" t="s">
        <v>163</v>
      </c>
      <c r="AX10" s="65" t="s">
        <v>74</v>
      </c>
      <c r="AY10" s="9" t="s">
        <v>164</v>
      </c>
      <c r="BD10" s="65" t="s">
        <v>74</v>
      </c>
      <c r="BE10" s="9" t="s">
        <v>165</v>
      </c>
      <c r="BJ10" s="65" t="s">
        <v>74</v>
      </c>
      <c r="BK10" s="9" t="s">
        <v>166</v>
      </c>
      <c r="BP10" s="65" t="s">
        <v>74</v>
      </c>
      <c r="BQ10" s="9" t="s">
        <v>167</v>
      </c>
      <c r="BV10" s="65" t="s">
        <v>74</v>
      </c>
      <c r="BW10" s="9" t="s">
        <v>168</v>
      </c>
      <c r="CB10" s="65" t="s">
        <v>74</v>
      </c>
      <c r="CC10" s="9" t="s">
        <v>169</v>
      </c>
      <c r="CH10" s="65" t="s">
        <v>74</v>
      </c>
      <c r="CI10" s="9" t="s">
        <v>170</v>
      </c>
      <c r="CN10" s="65" t="s">
        <v>74</v>
      </c>
      <c r="CO10" s="9" t="s">
        <v>171</v>
      </c>
      <c r="CT10" s="65" t="s">
        <v>74</v>
      </c>
      <c r="CU10" s="9" t="s">
        <v>172</v>
      </c>
      <c r="CZ10" s="65" t="s">
        <v>74</v>
      </c>
      <c r="DA10" s="9" t="s">
        <v>173</v>
      </c>
    </row>
    <row r="11" spans="1:107" x14ac:dyDescent="0.25">
      <c r="B11" s="65" t="s">
        <v>174</v>
      </c>
      <c r="C11" s="9" t="s">
        <v>175</v>
      </c>
      <c r="H11" s="65" t="s">
        <v>174</v>
      </c>
      <c r="I11" s="9" t="s">
        <v>175</v>
      </c>
      <c r="N11" s="65" t="s">
        <v>174</v>
      </c>
      <c r="O11" s="9" t="s">
        <v>175</v>
      </c>
      <c r="T11" s="65" t="s">
        <v>174</v>
      </c>
      <c r="U11" s="9" t="s">
        <v>175</v>
      </c>
      <c r="Z11" s="65" t="s">
        <v>174</v>
      </c>
      <c r="AA11" s="9" t="s">
        <v>175</v>
      </c>
      <c r="AF11" s="65" t="s">
        <v>174</v>
      </c>
      <c r="AG11" s="9" t="s">
        <v>175</v>
      </c>
      <c r="AL11" s="65" t="s">
        <v>174</v>
      </c>
      <c r="AM11" s="9" t="s">
        <v>175</v>
      </c>
      <c r="AR11" s="65" t="s">
        <v>174</v>
      </c>
      <c r="AS11" s="9" t="s">
        <v>175</v>
      </c>
      <c r="AX11" s="65" t="s">
        <v>174</v>
      </c>
      <c r="AY11" s="9" t="s">
        <v>175</v>
      </c>
      <c r="BD11" s="65" t="s">
        <v>174</v>
      </c>
      <c r="BE11" s="9" t="s">
        <v>175</v>
      </c>
      <c r="BJ11" s="65" t="s">
        <v>174</v>
      </c>
      <c r="BK11" s="9" t="s">
        <v>175</v>
      </c>
      <c r="BP11" s="65" t="s">
        <v>174</v>
      </c>
      <c r="BQ11" s="9" t="s">
        <v>175</v>
      </c>
      <c r="BV11" s="65" t="s">
        <v>174</v>
      </c>
      <c r="BW11" s="9" t="s">
        <v>175</v>
      </c>
      <c r="CB11" s="65" t="s">
        <v>174</v>
      </c>
      <c r="CC11" s="9" t="s">
        <v>175</v>
      </c>
      <c r="CH11" s="65" t="s">
        <v>174</v>
      </c>
      <c r="CI11" s="9" t="s">
        <v>175</v>
      </c>
      <c r="CN11" s="65" t="s">
        <v>174</v>
      </c>
      <c r="CO11" s="9" t="s">
        <v>175</v>
      </c>
      <c r="CT11" s="65" t="s">
        <v>174</v>
      </c>
      <c r="CU11" s="9" t="s">
        <v>175</v>
      </c>
      <c r="CZ11" s="65" t="s">
        <v>174</v>
      </c>
      <c r="DA11" s="9" t="s">
        <v>175</v>
      </c>
    </row>
    <row r="12" spans="1:107" ht="29.1" customHeight="1" x14ac:dyDescent="0.25">
      <c r="B12" s="65" t="s">
        <v>176</v>
      </c>
      <c r="C12" s="9" t="s">
        <v>149</v>
      </c>
      <c r="H12" s="65" t="s">
        <v>176</v>
      </c>
      <c r="I12" s="9" t="s">
        <v>149</v>
      </c>
      <c r="N12" s="65" t="s">
        <v>176</v>
      </c>
      <c r="O12" s="9" t="s">
        <v>149</v>
      </c>
      <c r="T12" s="65" t="s">
        <v>176</v>
      </c>
      <c r="U12" s="9" t="s">
        <v>149</v>
      </c>
      <c r="Z12" s="65" t="s">
        <v>176</v>
      </c>
      <c r="AA12" s="9" t="s">
        <v>149</v>
      </c>
      <c r="AF12" s="65" t="s">
        <v>176</v>
      </c>
      <c r="AG12" s="9" t="s">
        <v>149</v>
      </c>
      <c r="AL12" s="65" t="s">
        <v>176</v>
      </c>
      <c r="AM12" s="9" t="s">
        <v>149</v>
      </c>
      <c r="AR12" s="65" t="s">
        <v>176</v>
      </c>
      <c r="AS12" s="9" t="s">
        <v>149</v>
      </c>
      <c r="AX12" s="65" t="s">
        <v>176</v>
      </c>
      <c r="AY12" s="9" t="s">
        <v>149</v>
      </c>
      <c r="BD12" s="65" t="s">
        <v>176</v>
      </c>
      <c r="BE12" s="9" t="s">
        <v>149</v>
      </c>
      <c r="BJ12" s="65" t="s">
        <v>176</v>
      </c>
      <c r="BK12" s="9" t="s">
        <v>149</v>
      </c>
      <c r="BP12" s="65" t="s">
        <v>176</v>
      </c>
      <c r="BQ12" s="9" t="s">
        <v>149</v>
      </c>
      <c r="BV12" s="65" t="s">
        <v>176</v>
      </c>
      <c r="BW12" s="9" t="s">
        <v>149</v>
      </c>
      <c r="CB12" s="65" t="s">
        <v>176</v>
      </c>
      <c r="CC12" s="9" t="s">
        <v>149</v>
      </c>
      <c r="CH12" s="65" t="s">
        <v>176</v>
      </c>
      <c r="CI12" s="9" t="s">
        <v>149</v>
      </c>
      <c r="CN12" s="65" t="s">
        <v>176</v>
      </c>
      <c r="CO12" s="9" t="s">
        <v>149</v>
      </c>
      <c r="CT12" s="65" t="s">
        <v>176</v>
      </c>
      <c r="CU12" s="9" t="s">
        <v>149</v>
      </c>
      <c r="CZ12" s="65" t="s">
        <v>176</v>
      </c>
      <c r="DA12" s="9" t="s">
        <v>149</v>
      </c>
    </row>
    <row r="13" spans="1:107" x14ac:dyDescent="0.25">
      <c r="B13" s="69" t="s">
        <v>177</v>
      </c>
      <c r="C13" s="69"/>
      <c r="D13" s="69"/>
      <c r="H13" s="69" t="s">
        <v>177</v>
      </c>
      <c r="I13" s="69"/>
      <c r="J13" s="69"/>
      <c r="N13" s="69" t="s">
        <v>177</v>
      </c>
      <c r="O13" s="69"/>
      <c r="P13" s="69"/>
      <c r="T13" s="69" t="s">
        <v>177</v>
      </c>
      <c r="U13" s="69"/>
      <c r="V13" s="69"/>
      <c r="Z13" s="69" t="s">
        <v>177</v>
      </c>
      <c r="AA13" s="69"/>
      <c r="AB13" s="69"/>
      <c r="AF13" s="69" t="s">
        <v>177</v>
      </c>
      <c r="AG13" s="69"/>
      <c r="AH13" s="69"/>
      <c r="AL13" s="69" t="s">
        <v>177</v>
      </c>
      <c r="AM13" s="69"/>
      <c r="AN13" s="69"/>
      <c r="AR13" s="69" t="s">
        <v>177</v>
      </c>
      <c r="AS13" s="69"/>
      <c r="AT13" s="69"/>
      <c r="AX13" s="69" t="s">
        <v>177</v>
      </c>
      <c r="AY13" s="69"/>
      <c r="AZ13" s="69"/>
      <c r="BD13" s="69" t="s">
        <v>177</v>
      </c>
      <c r="BE13" s="69"/>
      <c r="BF13" s="69"/>
      <c r="BJ13" s="69" t="s">
        <v>177</v>
      </c>
      <c r="BK13" s="69"/>
      <c r="BL13" s="69"/>
      <c r="BP13" s="69" t="s">
        <v>177</v>
      </c>
      <c r="BQ13" s="69"/>
      <c r="BR13" s="69"/>
      <c r="BV13" s="69" t="s">
        <v>177</v>
      </c>
      <c r="BW13" s="69"/>
      <c r="BX13" s="69"/>
      <c r="CB13" s="69" t="s">
        <v>177</v>
      </c>
      <c r="CC13" s="69"/>
      <c r="CD13" s="69"/>
      <c r="CH13" s="69" t="s">
        <v>177</v>
      </c>
      <c r="CI13" s="69"/>
      <c r="CJ13" s="69"/>
      <c r="CN13" s="69" t="s">
        <v>177</v>
      </c>
      <c r="CO13" s="69"/>
      <c r="CP13" s="69"/>
      <c r="CT13" s="69" t="s">
        <v>177</v>
      </c>
      <c r="CU13" s="69"/>
      <c r="CV13" s="69"/>
      <c r="CZ13" s="69" t="s">
        <v>177</v>
      </c>
      <c r="DA13" s="69"/>
      <c r="DB13" s="69"/>
    </row>
    <row r="14" spans="1:107" x14ac:dyDescent="0.25">
      <c r="C14" s="18">
        <f>СПРАВОЧНИК!$B$35</f>
        <v>46174</v>
      </c>
      <c r="D14" s="37">
        <f>СПРАВОЧНИК!$E$3*('ПЛАН ЧЕРН ПОДЗЕМ'!B5*СПРАВОЧНИК!$H$3+'ПЛАН ЧЕРН ПОДЗЕМ'!C5*СПРАВОЧНИК!$I$3+'ПЛАН ЧЕРН ПОДЗЕМ'!D5*СПРАВОЧНИК!$J$3)+СПРАВОЧНИК!$E$4*('ПЛАН ЧЕРН ПОДЗЕМ'!E5*СПРАВОЧНИК!$H$4+'ПЛАН ЧЕРН ПОДЗЕМ'!F5*СПРАВОЧНИК!$I$4+'ПЛАН ЧЕРН ПОДЗЕМ'!G5*СПРАВОЧНИК!$J$4)+СПРАВОЧНИК!$E$5*('ПЛАН ЧЕРН ПОДЗЕМ'!H5*СПРАВОЧНИК!$H$5+'ПЛАН ЧЕРН ПОДЗЕМ'!I5*СПРАВОЧНИК!$I$5+'ПЛАН ЧЕРН ПОДЗЕМ'!J5*СПРАВОЧНИК!$J$5)+СПРАВОЧНИК!$E$6*('ПЛАН ЧЕРН ПОДЗЕМ'!K5*СПРАВОЧНИК!$H$6+'ПЛАН ЧЕРН ПОДЗЕМ'!L5*СПРАВОЧНИК!$I$6+'ПЛАН ЧЕРН ПОДЗЕМ'!M5*СПРАВОЧНИК!$J$6)+СПРАВОЧНИК!$E$7*('ПЛАН ЧЕРН ПОДЗЕМ'!N5*СПРАВОЧНИК!$H$7+'ПЛАН ЧЕРН ПОДЗЕМ'!O5*СПРАВОЧНИК!$I$7+'ПЛАН ЧЕРН ПОДЗЕМ'!P5*СПРАВОЧНИК!$J$7)+СПРАВОЧНИК!$E$8*('ПЛАН ЧЕРН ПОДЗЕМ'!Q5*СПРАВОЧНИК!$H$8+'ПЛАН ЧЕРН ПОДЗЕМ'!R5*СПРАВОЧНИК!$I$8+'ПЛАН ЧЕРН ПОДЗЕМ'!S5*СПРАВОЧНИК!$J$8)+СПРАВОЧНИК!$F$3*('ПЛАН ЧИСТ ПОДЗЕМ'!B5*СПРАВОЧНИК!$L$3+'ПЛАН ЧИСТ ПОДЗЕМ'!C5*СПРАВОЧНИК!$M$3+'ПЛАН ЧИСТ ПОДЗЕМ'!D5*СПРАВОЧНИК!$N$3)+СПРАВОЧНИК!$F$4*('ПЛАН ЧИСТ ПОДЗЕМ'!E5*СПРАВОЧНИК!$L$4+'ПЛАН ЧИСТ ПОДЗЕМ'!F5*СПРАВОЧНИК!$M$4+'ПЛАН ЧИСТ ПОДЗЕМ'!G5*СПРАВОЧНИК!$N$4)+СПРАВОЧНИК!$F$5*('ПЛАН ЧИСТ ПОДЗЕМ'!H5*СПРАВОЧНИК!$L$5+'ПЛАН ЧИСТ ПОДЗЕМ'!I5*СПРАВОЧНИК!$M$5+'ПЛАН ЧИСТ ПОДЗЕМ'!J5*СПРАВОЧНИК!$N$5)+СПРАВОЧНИК!$F$6*('ПЛАН ЧИСТ ПОДЗЕМ'!K5*СПРАВОЧНИК!$L$6+'ПЛАН ЧИСТ ПОДЗЕМ'!L5*СПРАВОЧНИК!$M$6+'ПЛАН ЧИСТ ПОДЗЕМ'!M5*СПРАВОЧНИК!$N$6)+СПРАВОЧНИК!$F$7*('ПЛАН ЧИСТ ПОДЗЕМ'!N5*СПРАВОЧНИК!$L$7+'ПЛАН ЧИСТ ПОДЗЕМ'!O5*СПРАВОЧНИК!$M$7+'ПЛАН ЧИСТ ПОДЗЕМ'!P5*СПРАВОЧНИК!$N$7)+СПРАВОЧНИК!$F$8*('ПЛАН ЧИСТ ПОДЗЕМ'!Q5*СПРАВОЧНИК!$L$8+'ПЛАН ЧИСТ ПОДЗЕМ'!R5*СПРАВОЧНИК!$M$8+'ПЛАН ЧИСТ ПОДЗЕМ'!S5*СПРАВОЧНИК!$N$8)</f>
        <v>0</v>
      </c>
      <c r="E14" s="40">
        <f>СПРАВОЧНИК!$E$3*(('ФАКТ ЧЕРН ПОДЗЕМ'!B5)*СПРАВОЧНИК!$H$3+('ФАКТ ЧЕРН ПОДЗЕМ'!C5)*СПРАВОЧНИК!$I$3+('ФАКТ ЧЕРН ПОДЗЕМ'!D5)*СПРАВОЧНИК!$J$3)+СПРАВОЧНИК!$E$4*(('ФАКТ ЧЕРН ПОДЗЕМ'!E5)*СПРАВОЧНИК!$H$4+('ФАКТ ЧЕРН ПОДЗЕМ'!F5)*СПРАВОЧНИК!$I$4+('ФАКТ ЧЕРН ПОДЗЕМ'!G5)*СПРАВОЧНИК!$J$4)+СПРАВОЧНИК!$E$5*(('ФАКТ ЧЕРН ПОДЗЕМ'!H5)*СПРАВОЧНИК!$H$5+('ФАКТ ЧЕРН ПОДЗЕМ'!I5)*СПРАВОЧНИК!$I$5+('ФАКТ ЧЕРН ПОДЗЕМ'!J5)*СПРАВОЧНИК!$J$5)+СПРАВОЧНИК!$E$6*(('ФАКТ ЧЕРН ПОДЗЕМ'!K5)*СПРАВОЧНИК!$H$6+('ФАКТ ЧЕРН ПОДЗЕМ'!L5)*СПРАВОЧНИК!$I$6+('ФАКТ ЧЕРН ПОДЗЕМ'!M5)*СПРАВОЧНИК!$J$6)+СПРАВОЧНИК!$E$7*(('ФАКТ ЧЕРН ПОДЗЕМ'!N5)*СПРАВОЧНИК!$H$7+('ФАКТ ЧЕРН ПОДЗЕМ'!O5)*СПРАВОЧНИК!$I$7+('ФАКТ ЧЕРН ПОДЗЕМ'!P5)*СПРАВОЧНИК!$J$7)+СПРАВОЧНИК!$E$8*(('ФАКТ ЧЕРН ПОДЗЕМ'!Q5)*СПРАВОЧНИК!$H$8+('ФАКТ ЧЕРН ПОДЗЕМ'!R5)*СПРАВОЧНИК!$I$8+('ФАКТ ЧЕРН ПОДЗЕМ'!S5)*СПРАВОЧНИК!$J$8)+СПРАВОЧНИК!$F$3*(('ФАКТ ЧИСТ ПОДЗЕМ'!B5)*СПРАВОЧНИК!$L$3+('ФАКТ ЧИСТ ПОДЗЕМ'!C5)*СПРАВОЧНИК!$M$3+('ФАКТ ЧИСТ ПОДЗЕМ'!D5)*СПРАВОЧНИК!$N$3)+СПРАВОЧНИК!$F$4*(('ФАКТ ЧИСТ ПОДЗЕМ'!E5)*СПРАВОЧНИК!$L$4+('ФАКТ ЧИСТ ПОДЗЕМ'!F5)*СПРАВОЧНИК!$M$4+('ФАКТ ЧИСТ ПОДЗЕМ'!G5)*СПРАВОЧНИК!$N$4)+СПРАВОЧНИК!$F$5*(('ФАКТ ЧИСТ ПОДЗЕМ'!H5)*СПРАВОЧНИК!$L$5+('ФАКТ ЧИСТ ПОДЗЕМ'!I5)*СПРАВОЧНИК!$M$5+('ФАКТ ЧИСТ ПОДЗЕМ'!J5)*СПРАВОЧНИК!$N$5)+СПРАВОЧНИК!$F$6*(('ФАКТ ЧИСТ ПОДЗЕМ'!K5)*СПРАВОЧНИК!$L$6+('ФАКТ ЧИСТ ПОДЗЕМ'!L5)*СПРАВОЧНИК!$M$6+('ФАКТ ЧИСТ ПОДЗЕМ'!M5)*СПРАВОЧНИК!$N$6)+СПРАВОЧНИК!$F$7*(('ФАКТ ЧИСТ ПОДЗЕМ'!N5)*СПРАВОЧНИК!$L$7+('ФАКТ ЧИСТ ПОДЗЕМ'!O5)*СПРАВОЧНИК!$M$7+('ФАКТ ЧИСТ ПОДЗЕМ'!P5)*СПРАВОЧНИК!$N$7)+СПРАВОЧНИК!$F$8*(('ФАКТ ЧИСТ ПОДЗЕМ'!Q5)*СПРАВОЧНИК!$L$8+('ФАКТ ЧИСТ ПОДЗЕМ'!R5)*СПРАВОЧНИК!$M$8+('ФАКТ ЧИСТ ПОДЗЕМ'!S5)*СПРАВОЧНИК!$N$8)</f>
        <v>0</v>
      </c>
      <c r="I14" s="18">
        <f>СПРАВОЧНИК!$B$35</f>
        <v>46174</v>
      </c>
      <c r="J14" s="37">
        <f>'ПЛАН ЧЕРН ПОДЗЕМ'!B5*СПРАВОЧНИК!$H$3+'ПЛАН ЧЕРН ПОДЗЕМ'!C5*СПРАВОЧНИК!$I$3+'ПЛАН ЧЕРН ПОДЗЕМ'!D5*СПРАВОЧНИК!$J$3+'ПЛАН ЧЕРН ПОДЗЕМ'!E5*СПРАВОЧНИК!$H$4+'ПЛАН ЧЕРН ПОДЗЕМ'!F5*СПРАВОЧНИК!$I$4+'ПЛАН ЧЕРН ПОДЗЕМ'!G5*СПРАВОЧНИК!$J$4+'ПЛАН ЧЕРН ПОДЗЕМ'!H5*СПРАВОЧНИК!$H$5+'ПЛАН ЧЕРН ПОДЗЕМ'!I5*СПРАВОЧНИК!$I$5+'ПЛАН ЧЕРН ПОДЗЕМ'!J5*СПРАВОЧНИК!$J$5+'ПЛАН ЧЕРН ПОДЗЕМ'!K5*СПРАВОЧНИК!$H$6+'ПЛАН ЧЕРН ПОДЗЕМ'!L5*СПРАВОЧНИК!$I$6+'ПЛАН ЧЕРН ПОДЗЕМ'!M5*СПРАВОЧНИК!$J$6+'ПЛАН ЧЕРН ПОДЗЕМ'!N5*СПРАВОЧНИК!$H$7+'ПЛАН ЧЕРН ПОДЗЕМ'!O5*СПРАВОЧНИК!$I$7+'ПЛАН ЧЕРН ПОДЗЕМ'!P5*СПРАВОЧНИК!$J$7+'ПЛАН ЧЕРН ПОДЗЕМ'!Q5*СПРАВОЧНИК!$H$8+'ПЛАН ЧЕРН ПОДЗЕМ'!R5*СПРАВОЧНИК!$I$8+'ПЛАН ЧЕРН ПОДЗЕМ'!S5*СПРАВОЧНИК!$J$8</f>
        <v>0</v>
      </c>
      <c r="K14" s="40">
        <f>('ФАКТ ЧЕРН ПОДЗЕМ'!B5)*СПРАВОЧНИК!$H$3+('ФАКТ ЧЕРН ПОДЗЕМ'!C5)*СПРАВОЧНИК!$I$3+('ФАКТ ЧЕРН ПОДЗЕМ'!D5)*СПРАВОЧНИК!$J$3+('ФАКТ ЧЕРН ПОДЗЕМ'!E5)*СПРАВОЧНИК!$H$4+('ФАКТ ЧЕРН ПОДЗЕМ'!F5)*СПРАВОЧНИК!$I$4+('ФАКТ ЧЕРН ПОДЗЕМ'!G5)*СПРАВОЧНИК!$J$4+('ФАКТ ЧЕРН ПОДЗЕМ'!H5)*СПРАВОЧНИК!$H$5+('ФАКТ ЧЕРН ПОДЗЕМ'!I5)*СПРАВОЧНИК!$I$5+('ФАКТ ЧЕРН ПОДЗЕМ'!J5)*СПРАВОЧНИК!$J$5+('ФАКТ ЧЕРН ПОДЗЕМ'!K5)*СПРАВОЧНИК!$H$6+('ФАКТ ЧЕРН ПОДЗЕМ'!L5)*СПРАВОЧНИК!$I$6+('ФАКТ ЧЕРН ПОДЗЕМ'!M5)*СПРАВОЧНИК!$J$6+('ФАКТ ЧЕРН ПОДЗЕМ'!N5)*СПРАВОЧНИК!$H$7+('ФАКТ ЧЕРН ПОДЗЕМ'!O5)*СПРАВОЧНИК!$I$7+('ФАКТ ЧЕРН ПОДЗЕМ'!P5)*СПРАВОЧНИК!$J$7+('ФАКТ ЧЕРН ПОДЗЕМ'!Q5)*СПРАВОЧНИК!$H$8+('ФАКТ ЧЕРН ПОДЗЕМ'!R5)*СПРАВОЧНИК!$I$8+('ФАКТ ЧЕРН ПОДЗЕМ'!S5)*СПРАВОЧНИК!$J$8</f>
        <v>0</v>
      </c>
      <c r="O14" s="18">
        <f>СПРАВОЧНИК!$B$35</f>
        <v>46174</v>
      </c>
      <c r="P14" s="37">
        <f>'ПЛАН ЧИСТ ПОДЗЕМ'!B5*СПРАВОЧНИК!$L$3+'ПЛАН ЧИСТ ПОДЗЕМ'!C5*СПРАВОЧНИК!$M$3+'ПЛАН ЧИСТ ПОДЗЕМ'!D5*СПРАВОЧНИК!$N$3+'ПЛАН ЧИСТ ПОДЗЕМ'!E5*СПРАВОЧНИК!$L$4+'ПЛАН ЧИСТ ПОДЗЕМ'!F5*СПРАВОЧНИК!$M$4+'ПЛАН ЧИСТ ПОДЗЕМ'!G5*СПРАВОЧНИК!$N$4+'ПЛАН ЧИСТ ПОДЗЕМ'!H5*СПРАВОЧНИК!$L$5+'ПЛАН ЧИСТ ПОДЗЕМ'!I5*СПРАВОЧНИК!$M$5+'ПЛАН ЧИСТ ПОДЗЕМ'!J5*СПРАВОЧНИК!$N$5+'ПЛАН ЧИСТ ПОДЗЕМ'!K5*СПРАВОЧНИК!$L$6+'ПЛАН ЧИСТ ПОДЗЕМ'!L5*СПРАВОЧНИК!$M$6+'ПЛАН ЧИСТ ПОДЗЕМ'!M5*СПРАВОЧНИК!$N$6+'ПЛАН ЧИСТ ПОДЗЕМ'!N5*СПРАВОЧНИК!$L$7+'ПЛАН ЧИСТ ПОДЗЕМ'!O5*СПРАВОЧНИК!$M$7+'ПЛАН ЧИСТ ПОДЗЕМ'!P5*СПРАВОЧНИК!$N$7+'ПЛАН ЧИСТ ПОДЗЕМ'!Q5*СПРАВОЧНИК!$L$8+'ПЛАН ЧИСТ ПОДЗЕМ'!R5*СПРАВОЧНИК!$M$8+'ПЛАН ЧИСТ ПОДЗЕМ'!S5*СПРАВОЧНИК!$N$8</f>
        <v>0</v>
      </c>
      <c r="Q14" s="40">
        <f>('ФАКТ ЧИСТ ПОДЗЕМ'!B5)*СПРАВОЧНИК!$L$3+('ФАКТ ЧИСТ ПОДЗЕМ'!C5)*СПРАВОЧНИК!$M$3+('ФАКТ ЧИСТ ПОДЗЕМ'!D5)*СПРАВОЧНИК!$N$3+('ФАКТ ЧИСТ ПОДЗЕМ'!E5)*СПРАВОЧНИК!$L$4+('ФАКТ ЧИСТ ПОДЗЕМ'!F5)*СПРАВОЧНИК!$M$4+('ФАКТ ЧИСТ ПОДЗЕМ'!G5)*СПРАВОЧНИК!$N$4+('ФАКТ ЧИСТ ПОДЗЕМ'!H5)*СПРАВОЧНИК!$L$5+('ФАКТ ЧИСТ ПОДЗЕМ'!I5)*СПРАВОЧНИК!$M$5+('ФАКТ ЧИСТ ПОДЗЕМ'!J5)*СПРАВОЧНИК!$N$5+('ФАКТ ЧИСТ ПОДЗЕМ'!K5)*СПРАВОЧНИК!$L$6+('ФАКТ ЧИСТ ПОДЗЕМ'!L5)*СПРАВОЧНИК!$M$6+('ФАКТ ЧИСТ ПОДЗЕМ'!M5)*СПРАВОЧНИК!$N$6+('ФАКТ ЧИСТ ПОДЗЕМ'!N5)*СПРАВОЧНИК!$L$7+('ФАКТ ЧИСТ ПОДЗЕМ'!O5)*СПРАВОЧНИК!$M$7+('ФАКТ ЧИСТ ПОДЗЕМ'!P5)*СПРАВОЧНИК!$N$7+('ФАКТ ЧИСТ ПОДЗЕМ'!Q5)*СПРАВОЧНИК!$L$8+('ФАКТ ЧИСТ ПОДЗЕМ'!R5)*СПРАВОЧНИК!$M$8+('ФАКТ ЧИСТ ПОДЗЕМ'!S5)*СПРАВОЧНИК!$N$8</f>
        <v>0</v>
      </c>
      <c r="U14" s="18">
        <f>СПРАВОЧНИК!$B$35</f>
        <v>46174</v>
      </c>
      <c r="V14" s="37">
        <f>СПРАВОЧНИК!$E$9*('ПЛАН ЧЕРН К1'!B5*СПРАВОЧНИК!$H$9+'ПЛАН ЧЕРН К1'!C5*СПРАВОЧНИК!$I$9+'ПЛАН ЧЕРН К1'!D5*СПРАВОЧНИК!$J$9)+СПРАВОЧНИК!$E$10*('ПЛАН ЧЕРН К1'!E5*СПРАВОЧНИК!$H$10+'ПЛАН ЧЕРН К1'!F5*СПРАВОЧНИК!$I$10+'ПЛАН ЧЕРН К1'!G5*СПРАВОЧНИК!$J$10)+СПРАВОЧНИК!$E$11*('ПЛАН ЧЕРН К1'!H5*СПРАВОЧНИК!$H$11+'ПЛАН ЧЕРН К1'!I5*СПРАВОЧНИК!$I$11+'ПЛАН ЧЕРН К1'!J5*СПРАВОЧНИК!$J$11)+СПРАВОЧНИК!$E$12*('ПЛАН ЧЕРН К1'!K5*СПРАВОЧНИК!$H$12+'ПЛАН ЧЕРН К1'!L5*СПРАВОЧНИК!$I$12+'ПЛАН ЧЕРН К1'!M5*СПРАВОЧНИК!$J$12)+СПРАВОЧНИК!$E$13*('ПЛАН ЧЕРН К1'!N5*СПРАВОЧНИК!$H$13+'ПЛАН ЧЕРН К1'!O5*СПРАВОЧНИК!$I$13+'ПЛАН ЧЕРН К1'!P5*СПРАВОЧНИК!$J$13)+СПРАВОЧНИК!$E$14*('ПЛАН ЧЕРН К1'!Q5*СПРАВОЧНИК!$H$14+'ПЛАН ЧЕРН К1'!R5*СПРАВОЧНИК!$I$14+'ПЛАН ЧЕРН К1'!S5*СПРАВОЧНИК!$J$14)+СПРАВОЧНИК!$E$15*('ПЛАН ЧЕРН К1'!T5*СПРАВОЧНИК!$H$15+'ПЛАН ЧЕРН К1'!U5*СПРАВОЧНИК!$I$15+'ПЛАН ЧЕРН К1'!V5*СПРАВОЧНИК!$J$15)+СПРАВОЧНИК!$F$9*('ПЛАН ЧИСТ К1'!B5*СПРАВОЧНИК!$L$9+'ПЛАН ЧИСТ К1'!C5*СПРАВОЧНИК!$M$9+'ПЛАН ЧИСТ К1'!D5*СПРАВОЧНИК!$N$9+'ПЛАН ЧИСТ К1'!E5*СПРАВОЧНИК!$O$9)+СПРАВОЧНИК!$F$10*('ПЛАН ЧИСТ К1'!F5*СПРАВОЧНИК!$L$10+'ПЛАН ЧИСТ К1'!G5*СПРАВОЧНИК!$M$10+'ПЛАН ЧИСТ К1'!H5*СПРАВОЧНИК!$N$10)+СПРАВОЧНИК!$F$11*('ПЛАН ЧИСТ К1'!I5*СПРАВОЧНИК!$L$11+'ПЛАН ЧИСТ К1'!J5*СПРАВОЧНИК!$M$11+'ПЛАН ЧИСТ К1'!K5*СПРАВОЧНИК!$N$11)+СПРАВОЧНИК!$F$12*('ПЛАН ЧИСТ К1'!L5*СПРАВОЧНИК!$L$12+'ПЛАН ЧИСТ К1'!M5*СПРАВОЧНИК!$M$12+'ПЛАН ЧИСТ К1'!N5*СПРАВОЧНИК!$N$12)+СПРАВОЧНИК!$F$13*('ПЛАН ЧИСТ К1'!O5*СПРАВОЧНИК!$L$13+'ПЛАН ЧИСТ К1'!P5*СПРАВОЧНИК!$M$13+'ПЛАН ЧИСТ К1'!Q5*СПРАВОЧНИК!$N$13)+СПРАВОЧНИК!$F$14*('ПЛАН ЧИСТ К1'!R5*СПРАВОЧНИК!$L$14+'ПЛАН ЧИСТ К1'!S5*СПРАВОЧНИК!$M$14+'ПЛАН ЧИСТ К1'!T5*СПРАВОЧНИК!$N$14)+СПРАВОЧНИК!$F$15*('ПЛАН ЧИСТ К1'!U5*СПРАВОЧНИК!$L$15+'ПЛАН ЧИСТ К1'!V5*СПРАВОЧНИК!$M$15+'ПЛАН ЧИСТ К1'!W5*СПРАВОЧНИК!$N$15)</f>
        <v>0</v>
      </c>
      <c r="W14" s="40">
        <f>СПРАВОЧНИК!$E$9*(('ФАКТ ЧЕРН К1'!B5)*СПРАВОЧНИК!$H$9+('ФАКТ ЧЕРН К1'!C5)*СПРАВОЧНИК!$I$9+('ФАКТ ЧЕРН К1'!D5)*СПРАВОЧНИК!$J$9)+СПРАВОЧНИК!$E$10*(('ФАКТ ЧЕРН К1'!E5)*СПРАВОЧНИК!$H$10+('ФАКТ ЧЕРН К1'!F5)*СПРАВОЧНИК!$I$10+('ФАКТ ЧЕРН К1'!G5)*СПРАВОЧНИК!$J$10)+СПРАВОЧНИК!$E$11*(('ФАКТ ЧЕРН К1'!H5)*СПРАВОЧНИК!$H$11+('ФАКТ ЧЕРН К1'!I5)*СПРАВОЧНИК!$I$11+('ФАКТ ЧЕРН К1'!J5)*СПРАВОЧНИК!$J$11)+СПРАВОЧНИК!$E$12*(('ФАКТ ЧЕРН К1'!K5)*СПРАВОЧНИК!$H$12+('ФАКТ ЧЕРН К1'!L5)*СПРАВОЧНИК!$I$12+('ФАКТ ЧЕРН К1'!M5)*СПРАВОЧНИК!$J$12)+СПРАВОЧНИК!$E$13*(('ФАКТ ЧЕРН К1'!N5)*СПРАВОЧНИК!$H$13+('ФАКТ ЧЕРН К1'!O5)*СПРАВОЧНИК!$I$13+('ФАКТ ЧЕРН К1'!P5)*СПРАВОЧНИК!$J$13)+СПРАВОЧНИК!$E$14*(('ФАКТ ЧЕРН К1'!Q5)*СПРАВОЧНИК!$H$14+('ФАКТ ЧЕРН К1'!R5)*СПРАВОЧНИК!$I$14+('ФАКТ ЧЕРН К1'!S5)*СПРАВОЧНИК!$J$14)+СПРАВОЧНИК!$E$15*(('ФАКТ ЧЕРН К1'!T5)*СПРАВОЧНИК!$H$15+('ФАКТ ЧЕРН К1'!U5)*СПРАВОЧНИК!$I$15+('ФАКТ ЧЕРН К1'!V5)*СПРАВОЧНИК!$J$15)+СПРАВОЧНИК!$F$9*(('ФАКТ ЧИСТ К1'!B5)*СПРАВОЧНИК!$L$9+('ФАКТ ЧИСТ К1'!C5)*СПРАВОЧНИК!$M$9+('ФАКТ ЧИСТ К1'!D5)*СПРАВОЧНИК!$N$9+('ФАКТ ЧИСТ К1'!E5)*СПРАВОЧНИК!$O$9)+СПРАВОЧНИК!$F$10*(('ФАКТ ЧИСТ К1'!F5)*СПРАВОЧНИК!$L$10+('ФАКТ ЧИСТ К1'!G5)*СПРАВОЧНИК!$M$10+('ФАКТ ЧИСТ К1'!H5)*СПРАВОЧНИК!$N$10)+СПРАВОЧНИК!$F$11*(('ФАКТ ЧИСТ К1'!I5)*СПРАВОЧНИК!$L$11+('ФАКТ ЧИСТ К1'!J5)*СПРАВОЧНИК!$M$11+('ФАКТ ЧИСТ К1'!K5)*СПРАВОЧНИК!$N$11)+СПРАВОЧНИК!$F$12*(('ФАКТ ЧИСТ К1'!L5)*СПРАВОЧНИК!$L$12+('ФАКТ ЧИСТ К1'!M5)*СПРАВОЧНИК!$M$12+('ФАКТ ЧИСТ К1'!N5)*СПРАВОЧНИК!$N$12)+СПРАВОЧНИК!$F$13*(('ФАКТ ЧИСТ К1'!O5)*СПРАВОЧНИК!$L$13+('ФАКТ ЧИСТ К1'!P5)*СПРАВОЧНИК!$M$13+('ФАКТ ЧИСТ К1'!Q5)*СПРАВОЧНИК!$N$13)+СПРАВОЧНИК!$F$14*(('ФАКТ ЧИСТ К1'!R5)*СПРАВОЧНИК!$L$14+('ФАКТ ЧИСТ К1'!S5)*СПРАВОЧНИК!$M$14+('ФАКТ ЧИСТ К1'!T5)*СПРАВОЧНИК!$N$14)+СПРАВОЧНИК!$F$15*(('ФАКТ ЧИСТ К1'!U5)*СПРАВОЧНИК!$L$15+('ФАКТ ЧИСТ К1'!V5)*СПРАВОЧНИК!$M$15+('ФАКТ ЧИСТ К1'!W5)*СПРАВОЧНИК!$N$15)</f>
        <v>0</v>
      </c>
      <c r="AA14" s="18">
        <f>СПРАВОЧНИК!$B$35</f>
        <v>46174</v>
      </c>
      <c r="AB14" s="37">
        <f>'ПЛАН ЧЕРН К1'!B5*СПРАВОЧНИК!$H$9+'ПЛАН ЧЕРН К1'!C5*СПРАВОЧНИК!$I$9+'ПЛАН ЧЕРН К1'!D5*СПРАВОЧНИК!$J$9+'ПЛАН ЧЕРН К1'!E5*СПРАВОЧНИК!$H$10+'ПЛАН ЧЕРН К1'!F5*СПРАВОЧНИК!$I$10+'ПЛАН ЧЕРН К1'!G5*СПРАВОЧНИК!$J$10+'ПЛАН ЧЕРН К1'!H5*СПРАВОЧНИК!$H$11+'ПЛАН ЧЕРН К1'!I5*СПРАВОЧНИК!$I$11+'ПЛАН ЧЕРН К1'!J5*СПРАВОЧНИК!$J$11+'ПЛАН ЧЕРН К1'!K5*СПРАВОЧНИК!$H$12+'ПЛАН ЧЕРН К1'!L5*СПРАВОЧНИК!$I$12+'ПЛАН ЧЕРН К1'!M5*СПРАВОЧНИК!$J$12+'ПЛАН ЧЕРН К1'!N5*СПРАВОЧНИК!$H$13+'ПЛАН ЧЕРН К1'!O5*СПРАВОЧНИК!$I$13+'ПЛАН ЧЕРН К1'!P5*СПРАВОЧНИК!$J$13+'ПЛАН ЧЕРН К1'!Q5*СПРАВОЧНИК!$H$14+'ПЛАН ЧЕРН К1'!R5*СПРАВОЧНИК!$I$14+'ПЛАН ЧЕРН К1'!S5*СПРАВОЧНИК!$J$14+'ПЛАН ЧЕРН К1'!T5*СПРАВОЧНИК!$H$15+'ПЛАН ЧЕРН К1'!U5*СПРАВОЧНИК!$I$15+'ПЛАН ЧЕРН К1'!V5*СПРАВОЧНИК!$J$15</f>
        <v>0</v>
      </c>
      <c r="AC14" s="40">
        <f>('ФАКТ ЧЕРН К1'!B5)*СПРАВОЧНИК!$H$9+('ФАКТ ЧЕРН К1'!C5)*СПРАВОЧНИК!$I$9+('ФАКТ ЧЕРН К1'!D5)*СПРАВОЧНИК!$J$9+('ФАКТ ЧЕРН К1'!E5)*СПРАВОЧНИК!$H$10+('ФАКТ ЧЕРН К1'!F5)*СПРАВОЧНИК!$I$10+('ФАКТ ЧЕРН К1'!G5)*СПРАВОЧНИК!$J$10+('ФАКТ ЧЕРН К1'!H5)*СПРАВОЧНИК!$H$11+('ФАКТ ЧЕРН К1'!I5)*СПРАВОЧНИК!$I$11+('ФАКТ ЧЕРН К1'!J5)*СПРАВОЧНИК!$J$11+('ФАКТ ЧЕРН К1'!K5)*СПРАВОЧНИК!$H$12+('ФАКТ ЧЕРН К1'!L5)*СПРАВОЧНИК!$I$12+('ФАКТ ЧЕРН К1'!M5)*СПРАВОЧНИК!$J$12+('ФАКТ ЧЕРН К1'!N5)*СПРАВОЧНИК!$H$13+('ФАКТ ЧЕРН К1'!O5)*СПРАВОЧНИК!$I$13+('ФАКТ ЧЕРН К1'!P5)*СПРАВОЧНИК!$J$13+('ФАКТ ЧЕРН К1'!Q5)*СПРАВОЧНИК!$H$14+('ФАКТ ЧЕРН К1'!R5)*СПРАВОЧНИК!$I$14+('ФАКТ ЧЕРН К1'!S5)*СПРАВОЧНИК!$J$14+('ФАКТ ЧЕРН К1'!T5)*СПРАВОЧНИК!$H$15+('ФАКТ ЧЕРН К1'!U5)*СПРАВОЧНИК!$I$15+('ФАКТ ЧЕРН К1'!V5)*СПРАВОЧНИК!$J$15</f>
        <v>0</v>
      </c>
      <c r="AG14" s="18">
        <f>СПРАВОЧНИК!$B$35</f>
        <v>46174</v>
      </c>
      <c r="AH14" s="37">
        <f>'ПЛАН ЧИСТ К1'!B5*СПРАВОЧНИК!$L$9+'ПЛАН ЧИСТ К1'!C5*СПРАВОЧНИК!$M$9+'ПЛАН ЧИСТ К1'!D5*СПРАВОЧНИК!$N$9+'ПЛАН ЧИСТ К1'!E5*СПРАВОЧНИК!$O$9+'ПЛАН ЧИСТ К1'!F5*СПРАВОЧНИК!$L$10+'ПЛАН ЧИСТ К1'!G5*СПРАВОЧНИК!$M$10+'ПЛАН ЧИСТ К1'!H5*СПРАВОЧНИК!$N$10+'ПЛАН ЧИСТ К1'!I5*СПРАВОЧНИК!$L$11+'ПЛАН ЧИСТ К1'!J5*СПРАВОЧНИК!$M$11+'ПЛАН ЧИСТ К1'!K5*СПРАВОЧНИК!$N$11+'ПЛАН ЧИСТ К1'!L5*СПРАВОЧНИК!$L$12+'ПЛАН ЧИСТ К1'!M5*СПРАВОЧНИК!$M$12+'ПЛАН ЧИСТ К1'!N5*СПРАВОЧНИК!$N$12+'ПЛАН ЧИСТ К1'!O5*СПРАВОЧНИК!$L$13+'ПЛАН ЧИСТ К1'!P5*СПРАВОЧНИК!$M$13+'ПЛАН ЧИСТ К1'!Q5*СПРАВОЧНИК!$N$13+'ПЛАН ЧИСТ К1'!R5*СПРАВОЧНИК!$L$14+'ПЛАН ЧИСТ К1'!S5*СПРАВОЧНИК!$M$14+'ПЛАН ЧИСТ К1'!T5*СПРАВОЧНИК!$N$14+'ПЛАН ЧИСТ К1'!U5*СПРАВОЧНИК!$L$15+'ПЛАН ЧИСТ К1'!V5*СПРАВОЧНИК!$M$15+'ПЛАН ЧИСТ К1'!W5*СПРАВОЧНИК!$N$15</f>
        <v>0</v>
      </c>
      <c r="AI14" s="40">
        <f>('ФАКТ ЧИСТ К1'!B5)*СПРАВОЧНИК!$L$9+('ФАКТ ЧИСТ К1'!C5)*СПРАВОЧНИК!$M$9+('ФАКТ ЧИСТ К1'!D5)*СПРАВОЧНИК!$N$9+('ФАКТ ЧИСТ К1'!E5)*СПРАВОЧНИК!$O$9+('ФАКТ ЧИСТ К1'!F5)*СПРАВОЧНИК!$L$10+('ФАКТ ЧИСТ К1'!G5)*СПРАВОЧНИК!$M$10+('ФАКТ ЧИСТ К1'!H5)*СПРАВОЧНИК!$N$10+('ФАКТ ЧИСТ К1'!I5)*СПРАВОЧНИК!$L$11+('ФАКТ ЧИСТ К1'!J5)*СПРАВОЧНИК!$M$11+('ФАКТ ЧИСТ К1'!K5)*СПРАВОЧНИК!$N$11+('ФАКТ ЧИСТ К1'!L5)*СПРАВОЧНИК!$L$12+('ФАКТ ЧИСТ К1'!M5)*СПРАВОЧНИК!$M$12+('ФАКТ ЧИСТ К1'!N5)*СПРАВОЧНИК!$N$12+('ФАКТ ЧИСТ К1'!O5)*СПРАВОЧНИК!$L$13+('ФАКТ ЧИСТ К1'!P5)*СПРАВОЧНИК!$M$13+('ФАКТ ЧИСТ К1'!Q5)*СПРАВОЧНИК!$N$13+('ФАКТ ЧИСТ К1'!R5)*СПРАВОЧНИК!$L$14+('ФАКТ ЧИСТ К1'!S5)*СПРАВОЧНИК!$M$14+('ФАКТ ЧИСТ К1'!T5)*СПРАВОЧНИК!$N$14+('ФАКТ ЧИСТ К1'!U5)*СПРАВОЧНИК!$L$15+('ФАКТ ЧИСТ К1'!V5)*СПРАВОЧНИК!$M$15+('ФАКТ ЧИСТ К1'!W5)*СПРАВОЧНИК!$N$15</f>
        <v>0</v>
      </c>
      <c r="AM14" s="18">
        <f>СПРАВОЧНИК!$B$35</f>
        <v>46174</v>
      </c>
      <c r="AN14" s="37">
        <f>СПРАВОЧНИК!$E$9*('ПЛАН ЧЕРН К2'!B5*СПРАВОЧНИК!$H$9+'ПЛАН ЧЕРН К2'!C5*СПРАВОЧНИК!$I$9+'ПЛАН ЧЕРН К2'!D5*СПРАВОЧНИК!$J$9)+СПРАВОЧНИК!$E$10*('ПЛАН ЧЕРН К2'!E5*СПРАВОЧНИК!$H$10+'ПЛАН ЧЕРН К2'!F5*СПРАВОЧНИК!$I$10+'ПЛАН ЧЕРН К2'!G5*СПРАВОЧНИК!$J$10)+СПРАВОЧНИК!$E$11*('ПЛАН ЧЕРН К2'!H5*СПРАВОЧНИК!$H$11+'ПЛАН ЧЕРН К2'!I5*СПРАВОЧНИК!$I$11+'ПЛАН ЧЕРН К2'!J5*СПРАВОЧНИК!$J$11)+СПРАВОЧНИК!$E$12*('ПЛАН ЧЕРН К2'!K5*СПРАВОЧНИК!$H$12+'ПЛАН ЧЕРН К2'!L5*СПРАВОЧНИК!$I$12+'ПЛАН ЧЕРН К2'!M5*СПРАВОЧНИК!$J$12)+СПРАВОЧНИК!$E$13*('ПЛАН ЧЕРН К2'!N5*СПРАВОЧНИК!$H$13+'ПЛАН ЧЕРН К2'!O5*СПРАВОЧНИК!$I$13+'ПЛАН ЧЕРН К2'!P5*СПРАВОЧНИК!$J$13)+СПРАВОЧНИК!$E$14*('ПЛАН ЧЕРН К2'!Q5*СПРАВОЧНИК!$H$14+'ПЛАН ЧЕРН К2'!R5*СПРАВОЧНИК!$I$14+'ПЛАН ЧЕРН К2'!S5*СПРАВОЧНИК!$J$14)+СПРАВОЧНИК!$E$15*('ПЛАН ЧЕРН К2'!T5*СПРАВОЧНИК!$H$15+'ПЛАН ЧЕРН К2'!U5*СПРАВОЧНИК!$I$15+'ПЛАН ЧЕРН К2'!V5*СПРАВОЧНИК!$J$15)+СПРАВОЧНИК!$F$9*('ПЛАН ЧИСТ К2'!B5*СПРАВОЧНИК!$L$9+'ПЛАН ЧИСТ К2'!C5*СПРАВОЧНИК!$M$9+'ПЛАН ЧИСТ К2'!D5*СПРАВОЧНИК!$N$9+'ПЛАН ЧИСТ К2'!E5*СПРАВОЧНИК!$O$9)+СПРАВОЧНИК!$F$10*('ПЛАН ЧИСТ К2'!F5*СПРАВОЧНИК!$L$10+'ПЛАН ЧИСТ К2'!G5*СПРАВОЧНИК!$M$10+'ПЛАН ЧИСТ К2'!H5*СПРАВОЧНИК!$N$10)+СПРАВОЧНИК!$F$11*('ПЛАН ЧИСТ К2'!I5*СПРАВОЧНИК!$L$11+'ПЛАН ЧИСТ К2'!J5*СПРАВОЧНИК!$M$11+'ПЛАН ЧИСТ К2'!K5*СПРАВОЧНИК!$N$11)+СПРАВОЧНИК!$F$12*('ПЛАН ЧИСТ К2'!L5*СПРАВОЧНИК!$L$12+'ПЛАН ЧИСТ К2'!M5*СПРАВОЧНИК!$M$12+'ПЛАН ЧИСТ К2'!N5*СПРАВОЧНИК!$N$12)+СПРАВОЧНИК!$F$13*('ПЛАН ЧИСТ К2'!O5*СПРАВОЧНИК!$L$13+'ПЛАН ЧИСТ К2'!P5*СПРАВОЧНИК!$M$13+'ПЛАН ЧИСТ К2'!Q5*СПРАВОЧНИК!$N$13)+СПРАВОЧНИК!$F$14*('ПЛАН ЧИСТ К2'!R5*СПРАВОЧНИК!$L$14+'ПЛАН ЧИСТ К2'!S5*СПРАВОЧНИК!$M$14+'ПЛАН ЧИСТ К2'!T5*СПРАВОЧНИК!$N$14)+СПРАВОЧНИК!$F$15*('ПЛАН ЧИСТ К2'!U5*СПРАВОЧНИК!$L$15+'ПЛАН ЧИСТ К2'!V5*СПРАВОЧНИК!$M$15+'ПЛАН ЧИСТ К2'!W5*СПРАВОЧНИК!$N$15)</f>
        <v>0</v>
      </c>
      <c r="AO14" s="40">
        <f>СПРАВОЧНИК!$E$9*(('ФАКТ ЧЕРН К2'!B5)*СПРАВОЧНИК!$H$9+('ФАКТ ЧЕРН К2'!C5)*СПРАВОЧНИК!$I$9+('ФАКТ ЧЕРН К2'!D5)*СПРАВОЧНИК!$J$9)+СПРАВОЧНИК!$E$10*(('ФАКТ ЧЕРН К2'!E5)*СПРАВОЧНИК!$H$10+('ФАКТ ЧЕРН К2'!F5)*СПРАВОЧНИК!$I$10+('ФАКТ ЧЕРН К2'!G5)*СПРАВОЧНИК!$J$10)+СПРАВОЧНИК!$E$11*(('ФАКТ ЧЕРН К2'!H5)*СПРАВОЧНИК!$H$11+('ФАКТ ЧЕРН К2'!I5)*СПРАВОЧНИК!$I$11+('ФАКТ ЧЕРН К2'!J5)*СПРАВОЧНИК!$J$11)+СПРАВОЧНИК!$E$12*(('ФАКТ ЧЕРН К2'!K5)*СПРАВОЧНИК!$H$12+('ФАКТ ЧЕРН К2'!L5)*СПРАВОЧНИК!$I$12+('ФАКТ ЧЕРН К2'!M5)*СПРАВОЧНИК!$J$12)+СПРАВОЧНИК!$E$13*(('ФАКТ ЧЕРН К2'!N5)*СПРАВОЧНИК!$H$13+('ФАКТ ЧЕРН К2'!O5)*СПРАВОЧНИК!$I$13+('ФАКТ ЧЕРН К2'!P5)*СПРАВОЧНИК!$J$13)+СПРАВОЧНИК!$E$14*(('ФАКТ ЧЕРН К2'!Q5)*СПРАВОЧНИК!$H$14+('ФАКТ ЧЕРН К2'!R5)*СПРАВОЧНИК!$I$14+('ФАКТ ЧЕРН К2'!S5)*СПРАВОЧНИК!$J$14)+СПРАВОЧНИК!$E$15*(('ФАКТ ЧЕРН К2'!T5)*СПРАВОЧНИК!$H$15+('ФАКТ ЧЕРН К2'!U5)*СПРАВОЧНИК!$I$15+('ФАКТ ЧЕРН К2'!V5)*СПРАВОЧНИК!$J$15)+СПРАВОЧНИК!$F$9*(('ФАКТ ЧИСТ К2'!B5)*СПРАВОЧНИК!$L$9+('ФАКТ ЧИСТ К2'!C5)*СПРАВОЧНИК!$M$9+('ФАКТ ЧИСТ К2'!D5)*СПРАВОЧНИК!$N$9+('ФАКТ ЧИСТ К2'!E5)*СПРАВОЧНИК!$O$9)+СПРАВОЧНИК!$F$10*(('ФАКТ ЧИСТ К2'!F5)*СПРАВОЧНИК!$L$10+('ФАКТ ЧИСТ К2'!G5)*СПРАВОЧНИК!$M$10+('ФАКТ ЧИСТ К2'!H5)*СПРАВОЧНИК!$N$10)+СПРАВОЧНИК!$F$11*(('ФАКТ ЧИСТ К2'!I5)*СПРАВОЧНИК!$L$11+('ФАКТ ЧИСТ К2'!J5)*СПРАВОЧНИК!$M$11+('ФАКТ ЧИСТ К2'!K5)*СПРАВОЧНИК!$N$11)+СПРАВОЧНИК!$F$12*(('ФАКТ ЧИСТ К2'!L5)*СПРАВОЧНИК!$L$12+('ФАКТ ЧИСТ К2'!M5)*СПРАВОЧНИК!$M$12+('ФАКТ ЧИСТ К2'!N5)*СПРАВОЧНИК!$N$12)+СПРАВОЧНИК!$F$13*(('ФАКТ ЧИСТ К2'!O5)*СПРАВОЧНИК!$L$13+('ФАКТ ЧИСТ К2'!P5)*СПРАВОЧНИК!$M$13+('ФАКТ ЧИСТ К2'!Q5)*СПРАВОЧНИК!$N$13)+СПРАВОЧНИК!$F$14*(('ФАКТ ЧИСТ К2'!R5)*СПРАВОЧНИК!$L$14+('ФАКТ ЧИСТ К2'!S5)*СПРАВОЧНИК!$M$14+('ФАКТ ЧИСТ К2'!T5)*СПРАВОЧНИК!$N$14)+СПРАВОЧНИК!$F$15*(('ФАКТ ЧИСТ К2'!U5)*СПРАВОЧНИК!$L$15+('ФАКТ ЧИСТ К2'!V5)*СПРАВОЧНИК!$M$15+('ФАКТ ЧИСТ К2'!W5)*СПРАВОЧНИК!$N$15)</f>
        <v>0</v>
      </c>
      <c r="AS14" s="18">
        <f>СПРАВОЧНИК!$B$35</f>
        <v>46174</v>
      </c>
      <c r="AT14" s="37">
        <f>'ПЛАН ЧЕРН К2'!B5*СПРАВОЧНИК!$H$9+'ПЛАН ЧЕРН К2'!C5*СПРАВОЧНИК!$I$9+'ПЛАН ЧЕРН К2'!D5*СПРАВОЧНИК!$J$9+'ПЛАН ЧЕРН К2'!E5*СПРАВОЧНИК!$H$10+'ПЛАН ЧЕРН К2'!F5*СПРАВОЧНИК!$I$10+'ПЛАН ЧЕРН К2'!G5*СПРАВОЧНИК!$J$10+'ПЛАН ЧЕРН К2'!H5*СПРАВОЧНИК!$H$11+'ПЛАН ЧЕРН К2'!I5*СПРАВОЧНИК!$I$11+'ПЛАН ЧЕРН К2'!J5*СПРАВОЧНИК!$J$11+'ПЛАН ЧЕРН К2'!K5*СПРАВОЧНИК!$H$12+'ПЛАН ЧЕРН К2'!L5*СПРАВОЧНИК!$I$12+'ПЛАН ЧЕРН К2'!M5*СПРАВОЧНИК!$J$12+'ПЛАН ЧЕРН К2'!N5*СПРАВОЧНИК!$H$13+'ПЛАН ЧЕРН К2'!O5*СПРАВОЧНИК!$I$13+'ПЛАН ЧЕРН К2'!P5*СПРАВОЧНИК!$J$13+'ПЛАН ЧЕРН К2'!Q5*СПРАВОЧНИК!$H$14+'ПЛАН ЧЕРН К2'!R5*СПРАВОЧНИК!$I$14+'ПЛАН ЧЕРН К2'!S5*СПРАВОЧНИК!$J$14+'ПЛАН ЧЕРН К2'!T5*СПРАВОЧНИК!$H$15+'ПЛАН ЧЕРН К2'!U5*СПРАВОЧНИК!$I$15+'ПЛАН ЧЕРН К2'!V5*СПРАВОЧНИК!$J$15</f>
        <v>0</v>
      </c>
      <c r="AU14" s="40">
        <f>('ФАКТ ЧЕРН К2'!B5)*СПРАВОЧНИК!$H$9+('ФАКТ ЧЕРН К2'!C5)*СПРАВОЧНИК!$I$9+('ФАКТ ЧЕРН К2'!D5)*СПРАВОЧНИК!$J$9+('ФАКТ ЧЕРН К2'!E5)*СПРАВОЧНИК!$H$10+('ФАКТ ЧЕРН К2'!F5)*СПРАВОЧНИК!$I$10+('ФАКТ ЧЕРН К2'!G5)*СПРАВОЧНИК!$J$10+('ФАКТ ЧЕРН К2'!H5)*СПРАВОЧНИК!$H$11+('ФАКТ ЧЕРН К2'!I5)*СПРАВОЧНИК!$I$11+('ФАКТ ЧЕРН К2'!J5)*СПРАВОЧНИК!$J$11+('ФАКТ ЧЕРН К2'!K5)*СПРАВОЧНИК!$H$12+('ФАКТ ЧЕРН К2'!L5)*СПРАВОЧНИК!$I$12+('ФАКТ ЧЕРН К2'!M5)*СПРАВОЧНИК!$J$12+('ФАКТ ЧЕРН К2'!N5)*СПРАВОЧНИК!$H$13+('ФАКТ ЧЕРН К2'!O5)*СПРАВОЧНИК!$I$13+('ФАКТ ЧЕРН К2'!P5)*СПРАВОЧНИК!$J$13+('ФАКТ ЧЕРН К2'!Q5)*СПРАВОЧНИК!$H$14+('ФАКТ ЧЕРН К2'!R5)*СПРАВОЧНИК!$I$14+('ФАКТ ЧЕРН К2'!S5)*СПРАВОЧНИК!$J$14+('ФАКТ ЧЕРН К2'!T5)*СПРАВОЧНИК!$H$15+('ФАКТ ЧЕРН К2'!U5)*СПРАВОЧНИК!$I$15+('ФАКТ ЧЕРН К2'!V5)*СПРАВОЧНИК!$J$15</f>
        <v>0</v>
      </c>
      <c r="AY14" s="18">
        <f>СПРАВОЧНИК!$B$35</f>
        <v>46174</v>
      </c>
      <c r="AZ14" s="37">
        <f>'ПЛАН ЧИСТ К2'!B5*СПРАВОЧНИК!$L$9+'ПЛАН ЧИСТ К2'!C5*СПРАВОЧНИК!$M$9+'ПЛАН ЧИСТ К2'!D5*СПРАВОЧНИК!$N$9+'ПЛАН ЧИСТ К2'!E5*СПРАВОЧНИК!$O$9+'ПЛАН ЧИСТ К2'!F5*СПРАВОЧНИК!$L$10+'ПЛАН ЧИСТ К2'!G5*СПРАВОЧНИК!$M$10+'ПЛАН ЧИСТ К2'!H5*СПРАВОЧНИК!$N$10+'ПЛАН ЧИСТ К2'!I5*СПРАВОЧНИК!$L$11+'ПЛАН ЧИСТ К2'!J5*СПРАВОЧНИК!$M$11+'ПЛАН ЧИСТ К2'!K5*СПРАВОЧНИК!$N$11+'ПЛАН ЧИСТ К2'!L5*СПРАВОЧНИК!$L$12+'ПЛАН ЧИСТ К2'!M5*СПРАВОЧНИК!$M$12+'ПЛАН ЧИСТ К2'!N5*СПРАВОЧНИК!$N$12+'ПЛАН ЧИСТ К2'!O5*СПРАВОЧНИК!$L$13+'ПЛАН ЧИСТ К2'!P5*СПРАВОЧНИК!$M$13+'ПЛАН ЧИСТ К2'!Q5*СПРАВОЧНИК!$N$13+'ПЛАН ЧИСТ К2'!R5*СПРАВОЧНИК!$L$14+'ПЛАН ЧИСТ К2'!S5*СПРАВОЧНИК!$M$14+'ПЛАН ЧИСТ К2'!T5*СПРАВОЧНИК!$N$14+'ПЛАН ЧИСТ К2'!U5*СПРАВОЧНИК!$L$15+'ПЛАН ЧИСТ К2'!V5*СПРАВОЧНИК!$M$15+'ПЛАН ЧИСТ К2'!W5*СПРАВОЧНИК!$N$15</f>
        <v>0</v>
      </c>
      <c r="BA14" s="40">
        <f>('ФАКТ ЧИСТ К2'!B5)*СПРАВОЧНИК!$L$9+('ФАКТ ЧИСТ К2'!C5)*СПРАВОЧНИК!$M$9+('ФАКТ ЧИСТ К2'!D5)*СПРАВОЧНИК!$N$9+('ФАКТ ЧИСТ К2'!E5)*СПРАВОЧНИК!$O$9+('ФАКТ ЧИСТ К2'!F5)*СПРАВОЧНИК!$L$10+('ФАКТ ЧИСТ К2'!G5)*СПРАВОЧНИК!$M$10+('ФАКТ ЧИСТ К2'!H5)*СПРАВОЧНИК!$N$10+('ФАКТ ЧИСТ К2'!I5)*СПРАВОЧНИК!$L$11+('ФАКТ ЧИСТ К2'!J5)*СПРАВОЧНИК!$M$11+('ФАКТ ЧИСТ К2'!K5)*СПРАВОЧНИК!$N$11+('ФАКТ ЧИСТ К2'!L5)*СПРАВОЧНИК!$L$12+('ФАКТ ЧИСТ К2'!M5)*СПРАВОЧНИК!$M$12+('ФАКТ ЧИСТ К2'!N5)*СПРАВОЧНИК!$N$12+('ФАКТ ЧИСТ К2'!O5)*СПРАВОЧНИК!$L$13+('ФАКТ ЧИСТ К2'!P5)*СПРАВОЧНИК!$M$13+('ФАКТ ЧИСТ К2'!Q5)*СПРАВОЧНИК!$N$13+('ФАКТ ЧИСТ К2'!R5)*СПРАВОЧНИК!$L$14+('ФАКТ ЧИСТ К2'!S5)*СПРАВОЧНИК!$M$14+('ФАКТ ЧИСТ К2'!T5)*СПРАВОЧНИК!$N$14+('ФАКТ ЧИСТ К2'!U5)*СПРАВОЧНИК!$L$15+('ФАКТ ЧИСТ К2'!V5)*СПРАВОЧНИК!$M$15+('ФАКТ ЧИСТ К2'!W5)*СПРАВОЧНИК!$N$15</f>
        <v>0</v>
      </c>
      <c r="BE14" s="18">
        <f>СПРАВОЧНИК!$B$35</f>
        <v>46174</v>
      </c>
      <c r="BF14" s="37">
        <f>СПРАВОЧНИК!$E$9*('ПЛАН ЧЕРН К3'!B5*СПРАВОЧНИК!$H$9+'ПЛАН ЧЕРН К3'!C5*СПРАВОЧНИК!$I$9+'ПЛАН ЧЕРН К3'!D5*СПРАВОЧНИК!$J$9)+СПРАВОЧНИК!$E$10*('ПЛАН ЧЕРН К3'!E5*СПРАВОЧНИК!$H$10+'ПЛАН ЧЕРН К3'!F5*СПРАВОЧНИК!$I$10+'ПЛАН ЧЕРН К3'!G5*СПРАВОЧНИК!$J$10)+СПРАВОЧНИК!$E$11*('ПЛАН ЧЕРН К3'!H5*СПРАВОЧНИК!$H$11+'ПЛАН ЧЕРН К3'!I5*СПРАВОЧНИК!$I$11+'ПЛАН ЧЕРН К3'!J5*СПРАВОЧНИК!$J$11)+СПРАВОЧНИК!$E$12*('ПЛАН ЧЕРН К3'!K5*СПРАВОЧНИК!$H$12+'ПЛАН ЧЕРН К3'!L5*СПРАВОЧНИК!$I$12+'ПЛАН ЧЕРН К3'!M5*СПРАВОЧНИК!$J$12)+СПРАВОЧНИК!$E$13*('ПЛАН ЧЕРН К3'!N5*СПРАВОЧНИК!$H$13+'ПЛАН ЧЕРН К3'!O5*СПРАВОЧНИК!$I$13+'ПЛАН ЧЕРН К3'!P5*СПРАВОЧНИК!$J$13)+СПРАВОЧНИК!$E$14*('ПЛАН ЧЕРН К3'!Q5*СПРАВОЧНИК!$H$14+'ПЛАН ЧЕРН К3'!R5*СПРАВОЧНИК!$I$14+'ПЛАН ЧЕРН К3'!S5*СПРАВОЧНИК!$J$14)+СПРАВОЧНИК!$E$15*('ПЛАН ЧЕРН К3'!T5*СПРАВОЧНИК!$H$15+'ПЛАН ЧЕРН К3'!U5*СПРАВОЧНИК!$I$15+'ПЛАН ЧЕРН К3'!V5*СПРАВОЧНИК!$J$15)+СПРАВОЧНИК!$F$9*('ПЛАН ЧИСТ К3'!B5*СПРАВОЧНИК!$L$9+'ПЛАН ЧИСТ К3'!C5*СПРАВОЧНИК!$M$9+'ПЛАН ЧИСТ К3'!D5*СПРАВОЧНИК!$N$9+'ПЛАН ЧИСТ К3'!E5*СПРАВОЧНИК!$O$9)+СПРАВОЧНИК!$F$10*('ПЛАН ЧИСТ К3'!F5*СПРАВОЧНИК!$L$10+'ПЛАН ЧИСТ К3'!G5*СПРАВОЧНИК!$M$10+'ПЛАН ЧИСТ К3'!H5*СПРАВОЧНИК!$N$10)+СПРАВОЧНИК!$F$11*('ПЛАН ЧИСТ К3'!I5*СПРАВОЧНИК!$L$11+'ПЛАН ЧИСТ К3'!J5*СПРАВОЧНИК!$M$11+'ПЛАН ЧИСТ К3'!K5*СПРАВОЧНИК!$N$11)+СПРАВОЧНИК!$F$12*('ПЛАН ЧИСТ К3'!L5*СПРАВОЧНИК!$L$12+'ПЛАН ЧИСТ К3'!M5*СПРАВОЧНИК!$M$12+'ПЛАН ЧИСТ К3'!N5*СПРАВОЧНИК!$N$12)+СПРАВОЧНИК!$F$13*('ПЛАН ЧИСТ К3'!O5*СПРАВОЧНИК!$L$13+'ПЛАН ЧИСТ К3'!P5*СПРАВОЧНИК!$M$13+'ПЛАН ЧИСТ К3'!Q5*СПРАВОЧНИК!$N$13)+СПРАВОЧНИК!$F$14*('ПЛАН ЧИСТ К3'!R5*СПРАВОЧНИК!$L$14+'ПЛАН ЧИСТ К3'!S5*СПРАВОЧНИК!$M$14+'ПЛАН ЧИСТ К3'!T5*СПРАВОЧНИК!$N$14)+СПРАВОЧНИК!$F$15*('ПЛАН ЧИСТ К3'!U5*СПРАВОЧНИК!$L$15+'ПЛАН ЧИСТ К3'!V5*СПРАВОЧНИК!$M$15+'ПЛАН ЧИСТ К3'!W5*СПРАВОЧНИК!$N$15)</f>
        <v>0</v>
      </c>
      <c r="BG14" s="40">
        <f>СПРАВОЧНИК!$E$9*(('ФАКТ ЧЕРН К3'!B5)*СПРАВОЧНИК!$H$9+('ФАКТ ЧЕРН К3'!C5)*СПРАВОЧНИК!$I$9+('ФАКТ ЧЕРН К3'!D5)*СПРАВОЧНИК!$J$9)+СПРАВОЧНИК!$E$10*(('ФАКТ ЧЕРН К3'!E5)*СПРАВОЧНИК!$H$10+('ФАКТ ЧЕРН К3'!F5)*СПРАВОЧНИК!$I$10+('ФАКТ ЧЕРН К3'!G5)*СПРАВОЧНИК!$J$10)+СПРАВОЧНИК!$E$11*(('ФАКТ ЧЕРН К3'!H5)*СПРАВОЧНИК!$H$11+('ФАКТ ЧЕРН К3'!I5)*СПРАВОЧНИК!$I$11+('ФАКТ ЧЕРН К3'!J5)*СПРАВОЧНИК!$J$11)+СПРАВОЧНИК!$E$12*(('ФАКТ ЧЕРН К3'!K5)*СПРАВОЧНИК!$H$12+('ФАКТ ЧЕРН К3'!L5)*СПРАВОЧНИК!$I$12+('ФАКТ ЧЕРН К3'!M5)*СПРАВОЧНИК!$J$12)+СПРАВОЧНИК!$E$13*(('ФАКТ ЧЕРН К3'!N5)*СПРАВОЧНИК!$H$13+('ФАКТ ЧЕРН К3'!O5)*СПРАВОЧНИК!$I$13+('ФАКТ ЧЕРН К3'!P5)*СПРАВОЧНИК!$J$13)+СПРАВОЧНИК!$E$14*(('ФАКТ ЧЕРН К3'!Q5)*СПРАВОЧНИК!$H$14+('ФАКТ ЧЕРН К3'!R5)*СПРАВОЧНИК!$I$14+('ФАКТ ЧЕРН К3'!S5)*СПРАВОЧНИК!$J$14)+СПРАВОЧНИК!$E$15*(('ФАКТ ЧЕРН К3'!T5)*СПРАВОЧНИК!$H$15+('ФАКТ ЧЕРН К3'!U5)*СПРАВОЧНИК!$I$15+('ФАКТ ЧЕРН К3'!V5)*СПРАВОЧНИК!$J$15)+СПРАВОЧНИК!$F$9*(('ФАКТ ЧИСТ К3'!B5)*СПРАВОЧНИК!$L$9+('ФАКТ ЧИСТ К3'!C5)*СПРАВОЧНИК!$M$9+('ФАКТ ЧИСТ К3'!D5)*СПРАВОЧНИК!$N$9+('ФАКТ ЧИСТ К3'!E5)*СПРАВОЧНИК!$O$9)+СПРАВОЧНИК!$F$10*(('ФАКТ ЧИСТ К3'!F5)*СПРАВОЧНИК!$L$10+('ФАКТ ЧИСТ К3'!G5)*СПРАВОЧНИК!$M$10+('ФАКТ ЧИСТ К3'!H5)*СПРАВОЧНИК!$N$10)+СПРАВОЧНИК!$F$11*(('ФАКТ ЧИСТ К3'!I5)*СПРАВОЧНИК!$L$11+('ФАКТ ЧИСТ К3'!J5)*СПРАВОЧНИК!$M$11+('ФАКТ ЧИСТ К3'!K5)*СПРАВОЧНИК!$N$11)+СПРАВОЧНИК!$F$12*(('ФАКТ ЧИСТ К3'!L5)*СПРАВОЧНИК!$L$12+('ФАКТ ЧИСТ К3'!M5)*СПРАВОЧНИК!$M$12+('ФАКТ ЧИСТ К3'!N5)*СПРАВОЧНИК!$N$12)+СПРАВОЧНИК!$F$13*(('ФАКТ ЧИСТ К3'!O5)*СПРАВОЧНИК!$L$13+('ФАКТ ЧИСТ К3'!P5)*СПРАВОЧНИК!$M$13+('ФАКТ ЧИСТ К3'!Q5)*СПРАВОЧНИК!$N$13)+СПРАВОЧНИК!$F$14*(('ФАКТ ЧИСТ К3'!R5)*СПРАВОЧНИК!$L$14+('ФАКТ ЧИСТ К3'!S5)*СПРАВОЧНИК!$M$14+('ФАКТ ЧИСТ К3'!T5)*СПРАВОЧНИК!$N$14)+СПРАВОЧНИК!$F$15*(('ФАКТ ЧИСТ К3'!U5)*СПРАВОЧНИК!$L$15+('ФАКТ ЧИСТ К3'!V5)*СПРАВОЧНИК!$M$15+('ФАКТ ЧИСТ К3'!W5)*СПРАВОЧНИК!$N$15)</f>
        <v>0</v>
      </c>
      <c r="BK14" s="18">
        <f>СПРАВОЧНИК!$B$35</f>
        <v>46174</v>
      </c>
      <c r="BL14" s="37">
        <f>'ПЛАН ЧЕРН К3'!B5*СПРАВОЧНИК!$H$9+'ПЛАН ЧЕРН К3'!C5*СПРАВОЧНИК!$I$9+'ПЛАН ЧЕРН К3'!D5*СПРАВОЧНИК!$J$9+'ПЛАН ЧЕРН К3'!E5*СПРАВОЧНИК!$H$10+'ПЛАН ЧЕРН К3'!F5*СПРАВОЧНИК!$I$10+'ПЛАН ЧЕРН К3'!G5*СПРАВОЧНИК!$J$10+'ПЛАН ЧЕРН К3'!H5*СПРАВОЧНИК!$H$11+'ПЛАН ЧЕРН К3'!I5*СПРАВОЧНИК!$I$11+'ПЛАН ЧЕРН К3'!J5*СПРАВОЧНИК!$J$11+'ПЛАН ЧЕРН К3'!K5*СПРАВОЧНИК!$H$12+'ПЛАН ЧЕРН К3'!L5*СПРАВОЧНИК!$I$12+'ПЛАН ЧЕРН К3'!M5*СПРАВОЧНИК!$J$12+'ПЛАН ЧЕРН К3'!N5*СПРАВОЧНИК!$H$13+'ПЛАН ЧЕРН К3'!O5*СПРАВОЧНИК!$I$13+'ПЛАН ЧЕРН К3'!P5*СПРАВОЧНИК!$J$13+'ПЛАН ЧЕРН К3'!Q5*СПРАВОЧНИК!$H$14+'ПЛАН ЧЕРН К3'!R5*СПРАВОЧНИК!$I$14+'ПЛАН ЧЕРН К3'!S5*СПРАВОЧНИК!$J$14+'ПЛАН ЧЕРН К3'!T5*СПРАВОЧНИК!$H$15+'ПЛАН ЧЕРН К3'!U5*СПРАВОЧНИК!$I$15+'ПЛАН ЧЕРН К3'!V5*СПРАВОЧНИК!$J$15</f>
        <v>0</v>
      </c>
      <c r="BM14" s="40">
        <f>('ФАКТ ЧЕРН К3'!B5)*СПРАВОЧНИК!$H$9+('ФАКТ ЧЕРН К3'!C5)*СПРАВОЧНИК!$I$9+('ФАКТ ЧЕРН К3'!D5)*СПРАВОЧНИК!$J$9+('ФАКТ ЧЕРН К3'!E5)*СПРАВОЧНИК!$H$10+('ФАКТ ЧЕРН К3'!F5)*СПРАВОЧНИК!$I$10+('ФАКТ ЧЕРН К3'!G5)*СПРАВОЧНИК!$J$10+('ФАКТ ЧЕРН К3'!H5)*СПРАВОЧНИК!$H$11+('ФАКТ ЧЕРН К3'!I5)*СПРАВОЧНИК!$I$11+('ФАКТ ЧЕРН К3'!J5)*СПРАВОЧНИК!$J$11+('ФАКТ ЧЕРН К3'!K5)*СПРАВОЧНИК!$H$12+('ФАКТ ЧЕРН К3'!L5)*СПРАВОЧНИК!$I$12+('ФАКТ ЧЕРН К3'!M5)*СПРАВОЧНИК!$J$12+('ФАКТ ЧЕРН К3'!N5)*СПРАВОЧНИК!$H$13+('ФАКТ ЧЕРН К3'!O5)*СПРАВОЧНИК!$I$13+('ФАКТ ЧЕРН К3'!P5)*СПРАВОЧНИК!$J$13+('ФАКТ ЧЕРН К3'!Q5)*СПРАВОЧНИК!$H$14+('ФАКТ ЧЕРН К3'!R5)*СПРАВОЧНИК!$I$14+('ФАКТ ЧЕРН К3'!S5)*СПРАВОЧНИК!$J$14+('ФАКТ ЧЕРН К3'!T5)*СПРАВОЧНИК!$H$15+('ФАКТ ЧЕРН К3'!U5)*СПРАВОЧНИК!$I$15+('ФАКТ ЧЕРН К3'!V5)*СПРАВОЧНИК!$J$15</f>
        <v>0</v>
      </c>
      <c r="BQ14" s="18">
        <f>СПРАВОЧНИК!$B$35</f>
        <v>46174</v>
      </c>
      <c r="BR14" s="37">
        <f>'ПЛАН ЧИСТ К3'!B5*СПРАВОЧНИК!$L$9+'ПЛАН ЧИСТ К3'!C5*СПРАВОЧНИК!$M$9+'ПЛАН ЧИСТ К3'!D5*СПРАВОЧНИК!$N$9+'ПЛАН ЧИСТ К3'!E5*СПРАВОЧНИК!$O$9+'ПЛАН ЧИСТ К3'!F5*СПРАВОЧНИК!$L$10+'ПЛАН ЧИСТ К3'!G5*СПРАВОЧНИК!$M$10+'ПЛАН ЧИСТ К3'!H5*СПРАВОЧНИК!$N$10+'ПЛАН ЧИСТ К3'!I5*СПРАВОЧНИК!$L$11+'ПЛАН ЧИСТ К3'!J5*СПРАВОЧНИК!$M$11+'ПЛАН ЧИСТ К3'!K5*СПРАВОЧНИК!$N$11+'ПЛАН ЧИСТ К3'!L5*СПРАВОЧНИК!$L$12+'ПЛАН ЧИСТ К3'!M5*СПРАВОЧНИК!$M$12+'ПЛАН ЧИСТ К3'!N5*СПРАВОЧНИК!$N$12+'ПЛАН ЧИСТ К3'!O5*СПРАВОЧНИК!$L$13+'ПЛАН ЧИСТ К3'!P5*СПРАВОЧНИК!$M$13+'ПЛАН ЧИСТ К3'!Q5*СПРАВОЧНИК!$N$13+'ПЛАН ЧИСТ К3'!R5*СПРАВОЧНИК!$L$14+'ПЛАН ЧИСТ К3'!S5*СПРАВОЧНИК!$M$14+'ПЛАН ЧИСТ К3'!T5*СПРАВОЧНИК!$N$14+'ПЛАН ЧИСТ К3'!U5*СПРАВОЧНИК!$L$15+'ПЛАН ЧИСТ К3'!V5*СПРАВОЧНИК!$M$15+'ПЛАН ЧИСТ К3'!W5*СПРАВОЧНИК!$N$15</f>
        <v>0</v>
      </c>
      <c r="BS14" s="40">
        <f>('ФАКТ ЧИСТ К3'!B5)*СПРАВОЧНИК!$L$9+('ФАКТ ЧИСТ К3'!C5)*СПРАВОЧНИК!$M$9+('ФАКТ ЧИСТ К3'!D5)*СПРАВОЧНИК!$N$9+('ФАКТ ЧИСТ К3'!E5)*СПРАВОЧНИК!$O$9+('ФАКТ ЧИСТ К3'!F5)*СПРАВОЧНИК!$L$10+('ФАКТ ЧИСТ К3'!G5)*СПРАВОЧНИК!$M$10+('ФАКТ ЧИСТ К3'!H5)*СПРАВОЧНИК!$N$10+('ФАКТ ЧИСТ К3'!I5)*СПРАВОЧНИК!$L$11+('ФАКТ ЧИСТ К3'!J5)*СПРАВОЧНИК!$M$11+('ФАКТ ЧИСТ К3'!K5)*СПРАВОЧНИК!$N$11+('ФАКТ ЧИСТ К3'!L5)*СПРАВОЧНИК!$L$12+('ФАКТ ЧИСТ К3'!M5)*СПРАВОЧНИК!$M$12+('ФАКТ ЧИСТ К3'!N5)*СПРАВОЧНИК!$N$12+('ФАКТ ЧИСТ К3'!O5)*СПРАВОЧНИК!$L$13+('ФАКТ ЧИСТ К3'!P5)*СПРАВОЧНИК!$M$13+('ФАКТ ЧИСТ К3'!Q5)*СПРАВОЧНИК!$N$13+('ФАКТ ЧИСТ К3'!R5)*СПРАВОЧНИК!$L$14+('ФАКТ ЧИСТ К3'!S5)*СПРАВОЧНИК!$M$14+('ФАКТ ЧИСТ К3'!T5)*СПРАВОЧНИК!$N$14+('ФАКТ ЧИСТ К3'!U5)*СПРАВОЧНИК!$L$15+('ФАКТ ЧИСТ К3'!V5)*СПРАВОЧНИК!$M$15+('ФАКТ ЧИСТ К3'!W5)*СПРАВОЧНИК!$N$15</f>
        <v>0</v>
      </c>
      <c r="BW14" s="18">
        <f>СПРАВОЧНИК!$B$35</f>
        <v>46174</v>
      </c>
      <c r="BX14" s="37">
        <f t="shared" ref="BX14:BX61" si="0">V14+AN14+BF14</f>
        <v>0</v>
      </c>
      <c r="BY14" s="40">
        <f t="shared" ref="BY14:BY61" si="1">W14+AO14+BG14</f>
        <v>0</v>
      </c>
      <c r="CC14" s="18">
        <f>СПРАВОЧНИК!$B$35</f>
        <v>46174</v>
      </c>
      <c r="CD14" s="37">
        <f t="shared" ref="CD14:CD61" si="2">AB14+AT14+BL14</f>
        <v>0</v>
      </c>
      <c r="CE14" s="40">
        <f t="shared" ref="CE14:CE61" si="3">AC14+AU14+BM14</f>
        <v>0</v>
      </c>
      <c r="CI14" s="18">
        <f>СПРАВОЧНИК!$B$35</f>
        <v>46174</v>
      </c>
      <c r="CJ14" s="37">
        <f t="shared" ref="CJ14:CJ61" si="4">AH14+AZ14+BR14</f>
        <v>0</v>
      </c>
      <c r="CK14" s="40">
        <f t="shared" ref="CK14:CK61" si="5">AI14+BA14+BS14</f>
        <v>0</v>
      </c>
      <c r="CO14" s="18">
        <f>СПРАВОЧНИК!$B$35</f>
        <v>46174</v>
      </c>
      <c r="CP14" s="37">
        <f t="shared" ref="CP14:CP61" si="6">D14+BX14</f>
        <v>0</v>
      </c>
      <c r="CQ14" s="40">
        <f t="shared" ref="CQ14:CQ61" si="7">E14+BY14</f>
        <v>0</v>
      </c>
      <c r="CU14" s="18">
        <f>СПРАВОЧНИК!$B$35</f>
        <v>46174</v>
      </c>
      <c r="CV14" s="37">
        <f t="shared" ref="CV14:CV61" si="8">J14+CD14</f>
        <v>0</v>
      </c>
      <c r="CW14" s="40">
        <f t="shared" ref="CW14:CW61" si="9">K14+CE14</f>
        <v>0</v>
      </c>
      <c r="DA14" s="18">
        <f>СПРАВОЧНИК!$B$35</f>
        <v>46174</v>
      </c>
      <c r="DB14" s="37">
        <f t="shared" ref="DB14:DB61" si="10">P14+CJ14</f>
        <v>0</v>
      </c>
      <c r="DC14" s="40">
        <f t="shared" ref="DC14:DC61" si="11">Q14+CK14</f>
        <v>0</v>
      </c>
    </row>
    <row r="15" spans="1:107" x14ac:dyDescent="0.25">
      <c r="C15" s="18">
        <f t="shared" ref="C15:C61" si="12">C14+7</f>
        <v>46181</v>
      </c>
      <c r="D15" s="37">
        <f>СПРАВОЧНИК!$E$3*('ПЛАН ЧЕРН ПОДЗЕМ'!B6*СПРАВОЧНИК!$H$3+'ПЛАН ЧЕРН ПОДЗЕМ'!C6*СПРАВОЧНИК!$I$3+'ПЛАН ЧЕРН ПОДЗЕМ'!D6*СПРАВОЧНИК!$J$3)+СПРАВОЧНИК!$E$4*('ПЛАН ЧЕРН ПОДЗЕМ'!E6*СПРАВОЧНИК!$H$4+'ПЛАН ЧЕРН ПОДЗЕМ'!F6*СПРАВОЧНИК!$I$4+'ПЛАН ЧЕРН ПОДЗЕМ'!G6*СПРАВОЧНИК!$J$4)+СПРАВОЧНИК!$E$5*('ПЛАН ЧЕРН ПОДЗЕМ'!H6*СПРАВОЧНИК!$H$5+'ПЛАН ЧЕРН ПОДЗЕМ'!I6*СПРАВОЧНИК!$I$5+'ПЛАН ЧЕРН ПОДЗЕМ'!J6*СПРАВОЧНИК!$J$5)+СПРАВОЧНИК!$E$6*('ПЛАН ЧЕРН ПОДЗЕМ'!K6*СПРАВОЧНИК!$H$6+'ПЛАН ЧЕРН ПОДЗЕМ'!L6*СПРАВОЧНИК!$I$6+'ПЛАН ЧЕРН ПОДЗЕМ'!M6*СПРАВОЧНИК!$J$6)+СПРАВОЧНИК!$E$7*('ПЛАН ЧЕРН ПОДЗЕМ'!N6*СПРАВОЧНИК!$H$7+'ПЛАН ЧЕРН ПОДЗЕМ'!O6*СПРАВОЧНИК!$I$7+'ПЛАН ЧЕРН ПОДЗЕМ'!P6*СПРАВОЧНИК!$J$7)+СПРАВОЧНИК!$E$8*('ПЛАН ЧЕРН ПОДЗЕМ'!Q6*СПРАВОЧНИК!$H$8+'ПЛАН ЧЕРН ПОДЗЕМ'!R6*СПРАВОЧНИК!$I$8+'ПЛАН ЧЕРН ПОДЗЕМ'!S6*СПРАВОЧНИК!$J$8)+СПРАВОЧНИК!$F$3*('ПЛАН ЧИСТ ПОДЗЕМ'!B6*СПРАВОЧНИК!$L$3+'ПЛАН ЧИСТ ПОДЗЕМ'!C6*СПРАВОЧНИК!$M$3+'ПЛАН ЧИСТ ПОДЗЕМ'!D6*СПРАВОЧНИК!$N$3)+СПРАВОЧНИК!$F$4*('ПЛАН ЧИСТ ПОДЗЕМ'!E6*СПРАВОЧНИК!$L$4+'ПЛАН ЧИСТ ПОДЗЕМ'!F6*СПРАВОЧНИК!$M$4+'ПЛАН ЧИСТ ПОДЗЕМ'!G6*СПРАВОЧНИК!$N$4)+СПРАВОЧНИК!$F$5*('ПЛАН ЧИСТ ПОДЗЕМ'!H6*СПРАВОЧНИК!$L$5+'ПЛАН ЧИСТ ПОДЗЕМ'!I6*СПРАВОЧНИК!$M$5+'ПЛАН ЧИСТ ПОДЗЕМ'!J6*СПРАВОЧНИК!$N$5)+СПРАВОЧНИК!$F$6*('ПЛАН ЧИСТ ПОДЗЕМ'!K6*СПРАВОЧНИК!$L$6+'ПЛАН ЧИСТ ПОДЗЕМ'!L6*СПРАВОЧНИК!$M$6+'ПЛАН ЧИСТ ПОДЗЕМ'!M6*СПРАВОЧНИК!$N$6)+СПРАВОЧНИК!$F$7*('ПЛАН ЧИСТ ПОДЗЕМ'!N6*СПРАВОЧНИК!$L$7+'ПЛАН ЧИСТ ПОДЗЕМ'!O6*СПРАВОЧНИК!$M$7+'ПЛАН ЧИСТ ПОДЗЕМ'!P6*СПРАВОЧНИК!$N$7)+СПРАВОЧНИК!$F$8*('ПЛАН ЧИСТ ПОДЗЕМ'!Q6*СПРАВОЧНИК!$L$8+'ПЛАН ЧИСТ ПОДЗЕМ'!R6*СПРАВОЧНИК!$M$8+'ПЛАН ЧИСТ ПОДЗЕМ'!S6*СПРАВОЧНИК!$N$8)</f>
        <v>0</v>
      </c>
      <c r="E15" s="40">
        <f>СПРАВОЧНИК!$E$3*(('ФАКТ ЧЕРН ПОДЗЕМ'!B6)*СПРАВОЧНИК!$H$3+('ФАКТ ЧЕРН ПОДЗЕМ'!C6)*СПРАВОЧНИК!$I$3+('ФАКТ ЧЕРН ПОДЗЕМ'!D6)*СПРАВОЧНИК!$J$3)+СПРАВОЧНИК!$E$4*(('ФАКТ ЧЕРН ПОДЗЕМ'!E6)*СПРАВОЧНИК!$H$4+('ФАКТ ЧЕРН ПОДЗЕМ'!F6)*СПРАВОЧНИК!$I$4+('ФАКТ ЧЕРН ПОДЗЕМ'!G6)*СПРАВОЧНИК!$J$4)+СПРАВОЧНИК!$E$5*(('ФАКТ ЧЕРН ПОДЗЕМ'!H6)*СПРАВОЧНИК!$H$5+('ФАКТ ЧЕРН ПОДЗЕМ'!I6)*СПРАВОЧНИК!$I$5+('ФАКТ ЧЕРН ПОДЗЕМ'!J6)*СПРАВОЧНИК!$J$5)+СПРАВОЧНИК!$E$6*(('ФАКТ ЧЕРН ПОДЗЕМ'!K6)*СПРАВОЧНИК!$H$6+('ФАКТ ЧЕРН ПОДЗЕМ'!L6)*СПРАВОЧНИК!$I$6+('ФАКТ ЧЕРН ПОДЗЕМ'!M6)*СПРАВОЧНИК!$J$6)+СПРАВОЧНИК!$E$7*(('ФАКТ ЧЕРН ПОДЗЕМ'!N6)*СПРАВОЧНИК!$H$7+('ФАКТ ЧЕРН ПОДЗЕМ'!O6)*СПРАВОЧНИК!$I$7+('ФАКТ ЧЕРН ПОДЗЕМ'!P6)*СПРАВОЧНИК!$J$7)+СПРАВОЧНИК!$E$8*(('ФАКТ ЧЕРН ПОДЗЕМ'!Q6)*СПРАВОЧНИК!$H$8+('ФАКТ ЧЕРН ПОДЗЕМ'!R6)*СПРАВОЧНИК!$I$8+('ФАКТ ЧЕРН ПОДЗЕМ'!S6)*СПРАВОЧНИК!$J$8)+СПРАВОЧНИК!$F$3*(('ФАКТ ЧИСТ ПОДЗЕМ'!B6)*СПРАВОЧНИК!$L$3+('ФАКТ ЧИСТ ПОДЗЕМ'!C6)*СПРАВОЧНИК!$M$3+('ФАКТ ЧИСТ ПОДЗЕМ'!D6)*СПРАВОЧНИК!$N$3)+СПРАВОЧНИК!$F$4*(('ФАКТ ЧИСТ ПОДЗЕМ'!E6)*СПРАВОЧНИК!$L$4+('ФАКТ ЧИСТ ПОДЗЕМ'!F6)*СПРАВОЧНИК!$M$4+('ФАКТ ЧИСТ ПОДЗЕМ'!G6)*СПРАВОЧНИК!$N$4)+СПРАВОЧНИК!$F$5*(('ФАКТ ЧИСТ ПОДЗЕМ'!H6)*СПРАВОЧНИК!$L$5+('ФАКТ ЧИСТ ПОДЗЕМ'!I6)*СПРАВОЧНИК!$M$5+('ФАКТ ЧИСТ ПОДЗЕМ'!J6)*СПРАВОЧНИК!$N$5)+СПРАВОЧНИК!$F$6*(('ФАКТ ЧИСТ ПОДЗЕМ'!K6)*СПРАВОЧНИК!$L$6+('ФАКТ ЧИСТ ПОДЗЕМ'!L6)*СПРАВОЧНИК!$M$6+('ФАКТ ЧИСТ ПОДЗЕМ'!M6)*СПРАВОЧНИК!$N$6)+СПРАВОЧНИК!$F$7*(('ФАКТ ЧИСТ ПОДЗЕМ'!N6)*СПРАВОЧНИК!$L$7+('ФАКТ ЧИСТ ПОДЗЕМ'!O6)*СПРАВОЧНИК!$M$7+('ФАКТ ЧИСТ ПОДЗЕМ'!P6)*СПРАВОЧНИК!$N$7)+СПРАВОЧНИК!$F$8*(('ФАКТ ЧИСТ ПОДЗЕМ'!Q6)*СПРАВОЧНИК!$L$8+('ФАКТ ЧИСТ ПОДЗЕМ'!R6)*СПРАВОЧНИК!$M$8+('ФАКТ ЧИСТ ПОДЗЕМ'!S6)*СПРАВОЧНИК!$N$8)</f>
        <v>0</v>
      </c>
      <c r="I15" s="18">
        <f t="shared" ref="I15:I61" si="13">I14+7</f>
        <v>46181</v>
      </c>
      <c r="J15" s="37">
        <f>'ПЛАН ЧЕРН ПОДЗЕМ'!B6*СПРАВОЧНИК!$H$3+'ПЛАН ЧЕРН ПОДЗЕМ'!C6*СПРАВОЧНИК!$I$3+'ПЛАН ЧЕРН ПОДЗЕМ'!D6*СПРАВОЧНИК!$J$3+'ПЛАН ЧЕРН ПОДЗЕМ'!E6*СПРАВОЧНИК!$H$4+'ПЛАН ЧЕРН ПОДЗЕМ'!F6*СПРАВОЧНИК!$I$4+'ПЛАН ЧЕРН ПОДЗЕМ'!G6*СПРАВОЧНИК!$J$4+'ПЛАН ЧЕРН ПОДЗЕМ'!H6*СПРАВОЧНИК!$H$5+'ПЛАН ЧЕРН ПОДЗЕМ'!I6*СПРАВОЧНИК!$I$5+'ПЛАН ЧЕРН ПОДЗЕМ'!J6*СПРАВОЧНИК!$J$5+'ПЛАН ЧЕРН ПОДЗЕМ'!K6*СПРАВОЧНИК!$H$6+'ПЛАН ЧЕРН ПОДЗЕМ'!L6*СПРАВОЧНИК!$I$6+'ПЛАН ЧЕРН ПОДЗЕМ'!M6*СПРАВОЧНИК!$J$6+'ПЛАН ЧЕРН ПОДЗЕМ'!N6*СПРАВОЧНИК!$H$7+'ПЛАН ЧЕРН ПОДЗЕМ'!O6*СПРАВОЧНИК!$I$7+'ПЛАН ЧЕРН ПОДЗЕМ'!P6*СПРАВОЧНИК!$J$7+'ПЛАН ЧЕРН ПОДЗЕМ'!Q6*СПРАВОЧНИК!$H$8+'ПЛАН ЧЕРН ПОДЗЕМ'!R6*СПРАВОЧНИК!$I$8+'ПЛАН ЧЕРН ПОДЗЕМ'!S6*СПРАВОЧНИК!$J$8</f>
        <v>0</v>
      </c>
      <c r="K15" s="40">
        <f>('ФАКТ ЧЕРН ПОДЗЕМ'!B6)*СПРАВОЧНИК!$H$3+('ФАКТ ЧЕРН ПОДЗЕМ'!C6)*СПРАВОЧНИК!$I$3+('ФАКТ ЧЕРН ПОДЗЕМ'!D6)*СПРАВОЧНИК!$J$3+('ФАКТ ЧЕРН ПОДЗЕМ'!E6)*СПРАВОЧНИК!$H$4+('ФАКТ ЧЕРН ПОДЗЕМ'!F6)*СПРАВОЧНИК!$I$4+('ФАКТ ЧЕРН ПОДЗЕМ'!G6)*СПРАВОЧНИК!$J$4+('ФАКТ ЧЕРН ПОДЗЕМ'!H6)*СПРАВОЧНИК!$H$5+('ФАКТ ЧЕРН ПОДЗЕМ'!I6)*СПРАВОЧНИК!$I$5+('ФАКТ ЧЕРН ПОДЗЕМ'!J6)*СПРАВОЧНИК!$J$5+('ФАКТ ЧЕРН ПОДЗЕМ'!K6)*СПРАВОЧНИК!$H$6+('ФАКТ ЧЕРН ПОДЗЕМ'!L6)*СПРАВОЧНИК!$I$6+('ФАКТ ЧЕРН ПОДЗЕМ'!M6)*СПРАВОЧНИК!$J$6+('ФАКТ ЧЕРН ПОДЗЕМ'!N6)*СПРАВОЧНИК!$H$7+('ФАКТ ЧЕРН ПОДЗЕМ'!O6)*СПРАВОЧНИК!$I$7+('ФАКТ ЧЕРН ПОДЗЕМ'!P6)*СПРАВОЧНИК!$J$7+('ФАКТ ЧЕРН ПОДЗЕМ'!Q6)*СПРАВОЧНИК!$H$8+('ФАКТ ЧЕРН ПОДЗЕМ'!R6)*СПРАВОЧНИК!$I$8+('ФАКТ ЧЕРН ПОДЗЕМ'!S6)*СПРАВОЧНИК!$J$8</f>
        <v>0</v>
      </c>
      <c r="O15" s="18">
        <f t="shared" ref="O15:O61" si="14">O14+7</f>
        <v>46181</v>
      </c>
      <c r="P15" s="37">
        <f>'ПЛАН ЧИСТ ПОДЗЕМ'!B6*СПРАВОЧНИК!$L$3+'ПЛАН ЧИСТ ПОДЗЕМ'!C6*СПРАВОЧНИК!$M$3+'ПЛАН ЧИСТ ПОДЗЕМ'!D6*СПРАВОЧНИК!$N$3+'ПЛАН ЧИСТ ПОДЗЕМ'!E6*СПРАВОЧНИК!$L$4+'ПЛАН ЧИСТ ПОДЗЕМ'!F6*СПРАВОЧНИК!$M$4+'ПЛАН ЧИСТ ПОДЗЕМ'!G6*СПРАВОЧНИК!$N$4+'ПЛАН ЧИСТ ПОДЗЕМ'!H6*СПРАВОЧНИК!$L$5+'ПЛАН ЧИСТ ПОДЗЕМ'!I6*СПРАВОЧНИК!$M$5+'ПЛАН ЧИСТ ПОДЗЕМ'!J6*СПРАВОЧНИК!$N$5+'ПЛАН ЧИСТ ПОДЗЕМ'!K6*СПРАВОЧНИК!$L$6+'ПЛАН ЧИСТ ПОДЗЕМ'!L6*СПРАВОЧНИК!$M$6+'ПЛАН ЧИСТ ПОДЗЕМ'!M6*СПРАВОЧНИК!$N$6+'ПЛАН ЧИСТ ПОДЗЕМ'!N6*СПРАВОЧНИК!$L$7+'ПЛАН ЧИСТ ПОДЗЕМ'!O6*СПРАВОЧНИК!$M$7+'ПЛАН ЧИСТ ПОДЗЕМ'!P6*СПРАВОЧНИК!$N$7+'ПЛАН ЧИСТ ПОДЗЕМ'!Q6*СПРАВОЧНИК!$L$8+'ПЛАН ЧИСТ ПОДЗЕМ'!R6*СПРАВОЧНИК!$M$8+'ПЛАН ЧИСТ ПОДЗЕМ'!S6*СПРАВОЧНИК!$N$8</f>
        <v>0</v>
      </c>
      <c r="Q15" s="40">
        <f>('ФАКТ ЧИСТ ПОДЗЕМ'!B6)*СПРАВОЧНИК!$L$3+('ФАКТ ЧИСТ ПОДЗЕМ'!C6)*СПРАВОЧНИК!$M$3+('ФАКТ ЧИСТ ПОДЗЕМ'!D6)*СПРАВОЧНИК!$N$3+('ФАКТ ЧИСТ ПОДЗЕМ'!E6)*СПРАВОЧНИК!$L$4+('ФАКТ ЧИСТ ПОДЗЕМ'!F6)*СПРАВОЧНИК!$M$4+('ФАКТ ЧИСТ ПОДЗЕМ'!G6)*СПРАВОЧНИК!$N$4+('ФАКТ ЧИСТ ПОДЗЕМ'!H6)*СПРАВОЧНИК!$L$5+('ФАКТ ЧИСТ ПОДЗЕМ'!I6)*СПРАВОЧНИК!$M$5+('ФАКТ ЧИСТ ПОДЗЕМ'!J6)*СПРАВОЧНИК!$N$5+('ФАКТ ЧИСТ ПОДЗЕМ'!K6)*СПРАВОЧНИК!$L$6+('ФАКТ ЧИСТ ПОДЗЕМ'!L6)*СПРАВОЧНИК!$M$6+('ФАКТ ЧИСТ ПОДЗЕМ'!M6)*СПРАВОЧНИК!$N$6+('ФАКТ ЧИСТ ПОДЗЕМ'!N6)*СПРАВОЧНИК!$L$7+('ФАКТ ЧИСТ ПОДЗЕМ'!O6)*СПРАВОЧНИК!$M$7+('ФАКТ ЧИСТ ПОДЗЕМ'!P6)*СПРАВОЧНИК!$N$7+('ФАКТ ЧИСТ ПОДЗЕМ'!Q6)*СПРАВОЧНИК!$L$8+('ФАКТ ЧИСТ ПОДЗЕМ'!R6)*СПРАВОЧНИК!$M$8+('ФАКТ ЧИСТ ПОДЗЕМ'!S6)*СПРАВОЧНИК!$N$8</f>
        <v>0</v>
      </c>
      <c r="U15" s="18">
        <f t="shared" ref="U15:U61" si="15">U14+7</f>
        <v>46181</v>
      </c>
      <c r="V15" s="37">
        <f>СПРАВОЧНИК!$E$9*('ПЛАН ЧЕРН К1'!B6*СПРАВОЧНИК!$H$9+'ПЛАН ЧЕРН К1'!C6*СПРАВОЧНИК!$I$9+'ПЛАН ЧЕРН К1'!D6*СПРАВОЧНИК!$J$9)+СПРАВОЧНИК!$E$10*('ПЛАН ЧЕРН К1'!E6*СПРАВОЧНИК!$H$10+'ПЛАН ЧЕРН К1'!F6*СПРАВОЧНИК!$I$10+'ПЛАН ЧЕРН К1'!G6*СПРАВОЧНИК!$J$10)+СПРАВОЧНИК!$E$11*('ПЛАН ЧЕРН К1'!H6*СПРАВОЧНИК!$H$11+'ПЛАН ЧЕРН К1'!I6*СПРАВОЧНИК!$I$11+'ПЛАН ЧЕРН К1'!J6*СПРАВОЧНИК!$J$11)+СПРАВОЧНИК!$E$12*('ПЛАН ЧЕРН К1'!K6*СПРАВОЧНИК!$H$12+'ПЛАН ЧЕРН К1'!L6*СПРАВОЧНИК!$I$12+'ПЛАН ЧЕРН К1'!M6*СПРАВОЧНИК!$J$12)+СПРАВОЧНИК!$E$13*('ПЛАН ЧЕРН К1'!N6*СПРАВОЧНИК!$H$13+'ПЛАН ЧЕРН К1'!O6*СПРАВОЧНИК!$I$13+'ПЛАН ЧЕРН К1'!P6*СПРАВОЧНИК!$J$13)+СПРАВОЧНИК!$E$14*('ПЛАН ЧЕРН К1'!Q6*СПРАВОЧНИК!$H$14+'ПЛАН ЧЕРН К1'!R6*СПРАВОЧНИК!$I$14+'ПЛАН ЧЕРН К1'!S6*СПРАВОЧНИК!$J$14)+СПРАВОЧНИК!$E$15*('ПЛАН ЧЕРН К1'!T6*СПРАВОЧНИК!$H$15+'ПЛАН ЧЕРН К1'!U6*СПРАВОЧНИК!$I$15+'ПЛАН ЧЕРН К1'!V6*СПРАВОЧНИК!$J$15)+СПРАВОЧНИК!$F$9*('ПЛАН ЧИСТ К1'!B6*СПРАВОЧНИК!$L$9+'ПЛАН ЧИСТ К1'!C6*СПРАВОЧНИК!$M$9+'ПЛАН ЧИСТ К1'!D6*СПРАВОЧНИК!$N$9+'ПЛАН ЧИСТ К1'!E6*СПРАВОЧНИК!$O$9)+СПРАВОЧНИК!$F$10*('ПЛАН ЧИСТ К1'!F6*СПРАВОЧНИК!$L$10+'ПЛАН ЧИСТ К1'!G6*СПРАВОЧНИК!$M$10+'ПЛАН ЧИСТ К1'!H6*СПРАВОЧНИК!$N$10)+СПРАВОЧНИК!$F$11*('ПЛАН ЧИСТ К1'!I6*СПРАВОЧНИК!$L$11+'ПЛАН ЧИСТ К1'!J6*СПРАВОЧНИК!$M$11+'ПЛАН ЧИСТ К1'!K6*СПРАВОЧНИК!$N$11)+СПРАВОЧНИК!$F$12*('ПЛАН ЧИСТ К1'!L6*СПРАВОЧНИК!$L$12+'ПЛАН ЧИСТ К1'!M6*СПРАВОЧНИК!$M$12+'ПЛАН ЧИСТ К1'!N6*СПРАВОЧНИК!$N$12)+СПРАВОЧНИК!$F$13*('ПЛАН ЧИСТ К1'!O6*СПРАВОЧНИК!$L$13+'ПЛАН ЧИСТ К1'!P6*СПРАВОЧНИК!$M$13+'ПЛАН ЧИСТ К1'!Q6*СПРАВОЧНИК!$N$13)+СПРАВОЧНИК!$F$14*('ПЛАН ЧИСТ К1'!R6*СПРАВОЧНИК!$L$14+'ПЛАН ЧИСТ К1'!S6*СПРАВОЧНИК!$M$14+'ПЛАН ЧИСТ К1'!T6*СПРАВОЧНИК!$N$14)+СПРАВОЧНИК!$F$15*('ПЛАН ЧИСТ К1'!U6*СПРАВОЧНИК!$L$15+'ПЛАН ЧИСТ К1'!V6*СПРАВОЧНИК!$M$15+'ПЛАН ЧИСТ К1'!W6*СПРАВОЧНИК!$N$15)</f>
        <v>0</v>
      </c>
      <c r="W15" s="40">
        <f>СПРАВОЧНИК!$E$9*(('ФАКТ ЧЕРН К1'!B6)*СПРАВОЧНИК!$H$9+('ФАКТ ЧЕРН К1'!C6)*СПРАВОЧНИК!$I$9+('ФАКТ ЧЕРН К1'!D6)*СПРАВОЧНИК!$J$9)+СПРАВОЧНИК!$E$10*(('ФАКТ ЧЕРН К1'!E6)*СПРАВОЧНИК!$H$10+('ФАКТ ЧЕРН К1'!F6)*СПРАВОЧНИК!$I$10+('ФАКТ ЧЕРН К1'!G6)*СПРАВОЧНИК!$J$10)+СПРАВОЧНИК!$E$11*(('ФАКТ ЧЕРН К1'!H6)*СПРАВОЧНИК!$H$11+('ФАКТ ЧЕРН К1'!I6)*СПРАВОЧНИК!$I$11+('ФАКТ ЧЕРН К1'!J6)*СПРАВОЧНИК!$J$11)+СПРАВОЧНИК!$E$12*(('ФАКТ ЧЕРН К1'!K6)*СПРАВОЧНИК!$H$12+('ФАКТ ЧЕРН К1'!L6)*СПРАВОЧНИК!$I$12+('ФАКТ ЧЕРН К1'!M6)*СПРАВОЧНИК!$J$12)+СПРАВОЧНИК!$E$13*(('ФАКТ ЧЕРН К1'!N6)*СПРАВОЧНИК!$H$13+('ФАКТ ЧЕРН К1'!O6)*СПРАВОЧНИК!$I$13+('ФАКТ ЧЕРН К1'!P6)*СПРАВОЧНИК!$J$13)+СПРАВОЧНИК!$E$14*(('ФАКТ ЧЕРН К1'!Q6)*СПРАВОЧНИК!$H$14+('ФАКТ ЧЕРН К1'!R6)*СПРАВОЧНИК!$I$14+('ФАКТ ЧЕРН К1'!S6)*СПРАВОЧНИК!$J$14)+СПРАВОЧНИК!$E$15*(('ФАКТ ЧЕРН К1'!T6)*СПРАВОЧНИК!$H$15+('ФАКТ ЧЕРН К1'!U6)*СПРАВОЧНИК!$I$15+('ФАКТ ЧЕРН К1'!V6)*СПРАВОЧНИК!$J$15)+СПРАВОЧНИК!$F$9*(('ФАКТ ЧИСТ К1'!B6)*СПРАВОЧНИК!$L$9+('ФАКТ ЧИСТ К1'!C6)*СПРАВОЧНИК!$M$9+('ФАКТ ЧИСТ К1'!D6)*СПРАВОЧНИК!$N$9+('ФАКТ ЧИСТ К1'!E6)*СПРАВОЧНИК!$O$9)+СПРАВОЧНИК!$F$10*(('ФАКТ ЧИСТ К1'!F6)*СПРАВОЧНИК!$L$10+('ФАКТ ЧИСТ К1'!G6)*СПРАВОЧНИК!$M$10+('ФАКТ ЧИСТ К1'!H6)*СПРАВОЧНИК!$N$10)+СПРАВОЧНИК!$F$11*(('ФАКТ ЧИСТ К1'!I6)*СПРАВОЧНИК!$L$11+('ФАКТ ЧИСТ К1'!J6)*СПРАВОЧНИК!$M$11+('ФАКТ ЧИСТ К1'!K6)*СПРАВОЧНИК!$N$11)+СПРАВОЧНИК!$F$12*(('ФАКТ ЧИСТ К1'!L6)*СПРАВОЧНИК!$L$12+('ФАКТ ЧИСТ К1'!M6)*СПРАВОЧНИК!$M$12+('ФАКТ ЧИСТ К1'!N6)*СПРАВОЧНИК!$N$12)+СПРАВОЧНИК!$F$13*(('ФАКТ ЧИСТ К1'!O6)*СПРАВОЧНИК!$L$13+('ФАКТ ЧИСТ К1'!P6)*СПРАВОЧНИК!$M$13+('ФАКТ ЧИСТ К1'!Q6)*СПРАВОЧНИК!$N$13)+СПРАВОЧНИК!$F$14*(('ФАКТ ЧИСТ К1'!R6)*СПРАВОЧНИК!$L$14+('ФАКТ ЧИСТ К1'!S6)*СПРАВОЧНИК!$M$14+('ФАКТ ЧИСТ К1'!T6)*СПРАВОЧНИК!$N$14)+СПРАВОЧНИК!$F$15*(('ФАКТ ЧИСТ К1'!U6)*СПРАВОЧНИК!$L$15+('ФАКТ ЧИСТ К1'!V6)*СПРАВОЧНИК!$M$15+('ФАКТ ЧИСТ К1'!W6)*СПРАВОЧНИК!$N$15)</f>
        <v>0</v>
      </c>
      <c r="AA15" s="18">
        <f t="shared" ref="AA15:AA61" si="16">AA14+7</f>
        <v>46181</v>
      </c>
      <c r="AB15" s="37">
        <f>'ПЛАН ЧЕРН К1'!B6*СПРАВОЧНИК!$H$9+'ПЛАН ЧЕРН К1'!C6*СПРАВОЧНИК!$I$9+'ПЛАН ЧЕРН К1'!D6*СПРАВОЧНИК!$J$9+'ПЛАН ЧЕРН К1'!E6*СПРАВОЧНИК!$H$10+'ПЛАН ЧЕРН К1'!F6*СПРАВОЧНИК!$I$10+'ПЛАН ЧЕРН К1'!G6*СПРАВОЧНИК!$J$10+'ПЛАН ЧЕРН К1'!H6*СПРАВОЧНИК!$H$11+'ПЛАН ЧЕРН К1'!I6*СПРАВОЧНИК!$I$11+'ПЛАН ЧЕРН К1'!J6*СПРАВОЧНИК!$J$11+'ПЛАН ЧЕРН К1'!K6*СПРАВОЧНИК!$H$12+'ПЛАН ЧЕРН К1'!L6*СПРАВОЧНИК!$I$12+'ПЛАН ЧЕРН К1'!M6*СПРАВОЧНИК!$J$12+'ПЛАН ЧЕРН К1'!N6*СПРАВОЧНИК!$H$13+'ПЛАН ЧЕРН К1'!O6*СПРАВОЧНИК!$I$13+'ПЛАН ЧЕРН К1'!P6*СПРАВОЧНИК!$J$13+'ПЛАН ЧЕРН К1'!Q6*СПРАВОЧНИК!$H$14+'ПЛАН ЧЕРН К1'!R6*СПРАВОЧНИК!$I$14+'ПЛАН ЧЕРН К1'!S6*СПРАВОЧНИК!$J$14+'ПЛАН ЧЕРН К1'!T6*СПРАВОЧНИК!$H$15+'ПЛАН ЧЕРН К1'!U6*СПРАВОЧНИК!$I$15+'ПЛАН ЧЕРН К1'!V6*СПРАВОЧНИК!$J$15</f>
        <v>0</v>
      </c>
      <c r="AC15" s="40">
        <f>('ФАКТ ЧЕРН К1'!B6)*СПРАВОЧНИК!$H$9+('ФАКТ ЧЕРН К1'!C6)*СПРАВОЧНИК!$I$9+('ФАКТ ЧЕРН К1'!D6)*СПРАВОЧНИК!$J$9+('ФАКТ ЧЕРН К1'!E6)*СПРАВОЧНИК!$H$10+('ФАКТ ЧЕРН К1'!F6)*СПРАВОЧНИК!$I$10+('ФАКТ ЧЕРН К1'!G6)*СПРАВОЧНИК!$J$10+('ФАКТ ЧЕРН К1'!H6)*СПРАВОЧНИК!$H$11+('ФАКТ ЧЕРН К1'!I6)*СПРАВОЧНИК!$I$11+('ФАКТ ЧЕРН К1'!J6)*СПРАВОЧНИК!$J$11+('ФАКТ ЧЕРН К1'!K6)*СПРАВОЧНИК!$H$12+('ФАКТ ЧЕРН К1'!L6)*СПРАВОЧНИК!$I$12+('ФАКТ ЧЕРН К1'!M6)*СПРАВОЧНИК!$J$12+('ФАКТ ЧЕРН К1'!N6)*СПРАВОЧНИК!$H$13+('ФАКТ ЧЕРН К1'!O6)*СПРАВОЧНИК!$I$13+('ФАКТ ЧЕРН К1'!P6)*СПРАВОЧНИК!$J$13+('ФАКТ ЧЕРН К1'!Q6)*СПРАВОЧНИК!$H$14+('ФАКТ ЧЕРН К1'!R6)*СПРАВОЧНИК!$I$14+('ФАКТ ЧЕРН К1'!S6)*СПРАВОЧНИК!$J$14+('ФАКТ ЧЕРН К1'!T6)*СПРАВОЧНИК!$H$15+('ФАКТ ЧЕРН К1'!U6)*СПРАВОЧНИК!$I$15+('ФАКТ ЧЕРН К1'!V6)*СПРАВОЧНИК!$J$15</f>
        <v>0</v>
      </c>
      <c r="AG15" s="18">
        <f t="shared" ref="AG15:AG61" si="17">AG14+7</f>
        <v>46181</v>
      </c>
      <c r="AH15" s="37">
        <f>'ПЛАН ЧИСТ К1'!B6*СПРАВОЧНИК!$L$9+'ПЛАН ЧИСТ К1'!C6*СПРАВОЧНИК!$M$9+'ПЛАН ЧИСТ К1'!D6*СПРАВОЧНИК!$N$9+'ПЛАН ЧИСТ К1'!E6*СПРАВОЧНИК!$O$9+'ПЛАН ЧИСТ К1'!F6*СПРАВОЧНИК!$L$10+'ПЛАН ЧИСТ К1'!G6*СПРАВОЧНИК!$M$10+'ПЛАН ЧИСТ К1'!H6*СПРАВОЧНИК!$N$10+'ПЛАН ЧИСТ К1'!I6*СПРАВОЧНИК!$L$11+'ПЛАН ЧИСТ К1'!J6*СПРАВОЧНИК!$M$11+'ПЛАН ЧИСТ К1'!K6*СПРАВОЧНИК!$N$11+'ПЛАН ЧИСТ К1'!L6*СПРАВОЧНИК!$L$12+'ПЛАН ЧИСТ К1'!M6*СПРАВОЧНИК!$M$12+'ПЛАН ЧИСТ К1'!N6*СПРАВОЧНИК!$N$12+'ПЛАН ЧИСТ К1'!O6*СПРАВОЧНИК!$L$13+'ПЛАН ЧИСТ К1'!P6*СПРАВОЧНИК!$M$13+'ПЛАН ЧИСТ К1'!Q6*СПРАВОЧНИК!$N$13+'ПЛАН ЧИСТ К1'!R6*СПРАВОЧНИК!$L$14+'ПЛАН ЧИСТ К1'!S6*СПРАВОЧНИК!$M$14+'ПЛАН ЧИСТ К1'!T6*СПРАВОЧНИК!$N$14+'ПЛАН ЧИСТ К1'!U6*СПРАВОЧНИК!$L$15+'ПЛАН ЧИСТ К1'!V6*СПРАВОЧНИК!$M$15+'ПЛАН ЧИСТ К1'!W6*СПРАВОЧНИК!$N$15</f>
        <v>0</v>
      </c>
      <c r="AI15" s="40">
        <f>('ФАКТ ЧИСТ К1'!B6)*СПРАВОЧНИК!$L$9+('ФАКТ ЧИСТ К1'!C6)*СПРАВОЧНИК!$M$9+('ФАКТ ЧИСТ К1'!D6)*СПРАВОЧНИК!$N$9+('ФАКТ ЧИСТ К1'!E6)*СПРАВОЧНИК!$O$9+('ФАКТ ЧИСТ К1'!F6)*СПРАВОЧНИК!$L$10+('ФАКТ ЧИСТ К1'!G6)*СПРАВОЧНИК!$M$10+('ФАКТ ЧИСТ К1'!H6)*СПРАВОЧНИК!$N$10+('ФАКТ ЧИСТ К1'!I6)*СПРАВОЧНИК!$L$11+('ФАКТ ЧИСТ К1'!J6)*СПРАВОЧНИК!$M$11+('ФАКТ ЧИСТ К1'!K6)*СПРАВОЧНИК!$N$11+('ФАКТ ЧИСТ К1'!L6)*СПРАВОЧНИК!$L$12+('ФАКТ ЧИСТ К1'!M6)*СПРАВОЧНИК!$M$12+('ФАКТ ЧИСТ К1'!N6)*СПРАВОЧНИК!$N$12+('ФАКТ ЧИСТ К1'!O6)*СПРАВОЧНИК!$L$13+('ФАКТ ЧИСТ К1'!P6)*СПРАВОЧНИК!$M$13+('ФАКТ ЧИСТ К1'!Q6)*СПРАВОЧНИК!$N$13+('ФАКТ ЧИСТ К1'!R6)*СПРАВОЧНИК!$L$14+('ФАКТ ЧИСТ К1'!S6)*СПРАВОЧНИК!$M$14+('ФАКТ ЧИСТ К1'!T6)*СПРАВОЧНИК!$N$14+('ФАКТ ЧИСТ К1'!U6)*СПРАВОЧНИК!$L$15+('ФАКТ ЧИСТ К1'!V6)*СПРАВОЧНИК!$M$15+('ФАКТ ЧИСТ К1'!W6)*СПРАВОЧНИК!$N$15</f>
        <v>0</v>
      </c>
      <c r="AM15" s="18">
        <f t="shared" ref="AM15:AM61" si="18">AM14+7</f>
        <v>46181</v>
      </c>
      <c r="AN15" s="37">
        <f>СПРАВОЧНИК!$E$9*('ПЛАН ЧЕРН К2'!B6*СПРАВОЧНИК!$H$9+'ПЛАН ЧЕРН К2'!C6*СПРАВОЧНИК!$I$9+'ПЛАН ЧЕРН К2'!D6*СПРАВОЧНИК!$J$9)+СПРАВОЧНИК!$E$10*('ПЛАН ЧЕРН К2'!E6*СПРАВОЧНИК!$H$10+'ПЛАН ЧЕРН К2'!F6*СПРАВОЧНИК!$I$10+'ПЛАН ЧЕРН К2'!G6*СПРАВОЧНИК!$J$10)+СПРАВОЧНИК!$E$11*('ПЛАН ЧЕРН К2'!H6*СПРАВОЧНИК!$H$11+'ПЛАН ЧЕРН К2'!I6*СПРАВОЧНИК!$I$11+'ПЛАН ЧЕРН К2'!J6*СПРАВОЧНИК!$J$11)+СПРАВОЧНИК!$E$12*('ПЛАН ЧЕРН К2'!K6*СПРАВОЧНИК!$H$12+'ПЛАН ЧЕРН К2'!L6*СПРАВОЧНИК!$I$12+'ПЛАН ЧЕРН К2'!M6*СПРАВОЧНИК!$J$12)+СПРАВОЧНИК!$E$13*('ПЛАН ЧЕРН К2'!N6*СПРАВОЧНИК!$H$13+'ПЛАН ЧЕРН К2'!O6*СПРАВОЧНИК!$I$13+'ПЛАН ЧЕРН К2'!P6*СПРАВОЧНИК!$J$13)+СПРАВОЧНИК!$E$14*('ПЛАН ЧЕРН К2'!Q6*СПРАВОЧНИК!$H$14+'ПЛАН ЧЕРН К2'!R6*СПРАВОЧНИК!$I$14+'ПЛАН ЧЕРН К2'!S6*СПРАВОЧНИК!$J$14)+СПРАВОЧНИК!$E$15*('ПЛАН ЧЕРН К2'!T6*СПРАВОЧНИК!$H$15+'ПЛАН ЧЕРН К2'!U6*СПРАВОЧНИК!$I$15+'ПЛАН ЧЕРН К2'!V6*СПРАВОЧНИК!$J$15)+СПРАВОЧНИК!$F$9*('ПЛАН ЧИСТ К2'!B6*СПРАВОЧНИК!$L$9+'ПЛАН ЧИСТ К2'!C6*СПРАВОЧНИК!$M$9+'ПЛАН ЧИСТ К2'!D6*СПРАВОЧНИК!$N$9+'ПЛАН ЧИСТ К2'!E6*СПРАВОЧНИК!$O$9)+СПРАВОЧНИК!$F$10*('ПЛАН ЧИСТ К2'!F6*СПРАВОЧНИК!$L$10+'ПЛАН ЧИСТ К2'!G6*СПРАВОЧНИК!$M$10+'ПЛАН ЧИСТ К2'!H6*СПРАВОЧНИК!$N$10)+СПРАВОЧНИК!$F$11*('ПЛАН ЧИСТ К2'!I6*СПРАВОЧНИК!$L$11+'ПЛАН ЧИСТ К2'!J6*СПРАВОЧНИК!$M$11+'ПЛАН ЧИСТ К2'!K6*СПРАВОЧНИК!$N$11)+СПРАВОЧНИК!$F$12*('ПЛАН ЧИСТ К2'!L6*СПРАВОЧНИК!$L$12+'ПЛАН ЧИСТ К2'!M6*СПРАВОЧНИК!$M$12+'ПЛАН ЧИСТ К2'!N6*СПРАВОЧНИК!$N$12)+СПРАВОЧНИК!$F$13*('ПЛАН ЧИСТ К2'!O6*СПРАВОЧНИК!$L$13+'ПЛАН ЧИСТ К2'!P6*СПРАВОЧНИК!$M$13+'ПЛАН ЧИСТ К2'!Q6*СПРАВОЧНИК!$N$13)+СПРАВОЧНИК!$F$14*('ПЛАН ЧИСТ К2'!R6*СПРАВОЧНИК!$L$14+'ПЛАН ЧИСТ К2'!S6*СПРАВОЧНИК!$M$14+'ПЛАН ЧИСТ К2'!T6*СПРАВОЧНИК!$N$14)+СПРАВОЧНИК!$F$15*('ПЛАН ЧИСТ К2'!U6*СПРАВОЧНИК!$L$15+'ПЛАН ЧИСТ К2'!V6*СПРАВОЧНИК!$M$15+'ПЛАН ЧИСТ К2'!W6*СПРАВОЧНИК!$N$15)</f>
        <v>0</v>
      </c>
      <c r="AO15" s="40">
        <f>СПРАВОЧНИК!$E$9*(('ФАКТ ЧЕРН К2'!B6)*СПРАВОЧНИК!$H$9+('ФАКТ ЧЕРН К2'!C6)*СПРАВОЧНИК!$I$9+('ФАКТ ЧЕРН К2'!D6)*СПРАВОЧНИК!$J$9)+СПРАВОЧНИК!$E$10*(('ФАКТ ЧЕРН К2'!E6)*СПРАВОЧНИК!$H$10+('ФАКТ ЧЕРН К2'!F6)*СПРАВОЧНИК!$I$10+('ФАКТ ЧЕРН К2'!G6)*СПРАВОЧНИК!$J$10)+СПРАВОЧНИК!$E$11*(('ФАКТ ЧЕРН К2'!H6)*СПРАВОЧНИК!$H$11+('ФАКТ ЧЕРН К2'!I6)*СПРАВОЧНИК!$I$11+('ФАКТ ЧЕРН К2'!J6)*СПРАВОЧНИК!$J$11)+СПРАВОЧНИК!$E$12*(('ФАКТ ЧЕРН К2'!K6)*СПРАВОЧНИК!$H$12+('ФАКТ ЧЕРН К2'!L6)*СПРАВОЧНИК!$I$12+('ФАКТ ЧЕРН К2'!M6)*СПРАВОЧНИК!$J$12)+СПРАВОЧНИК!$E$13*(('ФАКТ ЧЕРН К2'!N6)*СПРАВОЧНИК!$H$13+('ФАКТ ЧЕРН К2'!O6)*СПРАВОЧНИК!$I$13+('ФАКТ ЧЕРН К2'!P6)*СПРАВОЧНИК!$J$13)+СПРАВОЧНИК!$E$14*(('ФАКТ ЧЕРН К2'!Q6)*СПРАВОЧНИК!$H$14+('ФАКТ ЧЕРН К2'!R6)*СПРАВОЧНИК!$I$14+('ФАКТ ЧЕРН К2'!S6)*СПРАВОЧНИК!$J$14)+СПРАВОЧНИК!$E$15*(('ФАКТ ЧЕРН К2'!T6)*СПРАВОЧНИК!$H$15+('ФАКТ ЧЕРН К2'!U6)*СПРАВОЧНИК!$I$15+('ФАКТ ЧЕРН К2'!V6)*СПРАВОЧНИК!$J$15)+СПРАВОЧНИК!$F$9*(('ФАКТ ЧИСТ К2'!B6)*СПРАВОЧНИК!$L$9+('ФАКТ ЧИСТ К2'!C6)*СПРАВОЧНИК!$M$9+('ФАКТ ЧИСТ К2'!D6)*СПРАВОЧНИК!$N$9+('ФАКТ ЧИСТ К2'!E6)*СПРАВОЧНИК!$O$9)+СПРАВОЧНИК!$F$10*(('ФАКТ ЧИСТ К2'!F6)*СПРАВОЧНИК!$L$10+('ФАКТ ЧИСТ К2'!G6)*СПРАВОЧНИК!$M$10+('ФАКТ ЧИСТ К2'!H6)*СПРАВОЧНИК!$N$10)+СПРАВОЧНИК!$F$11*(('ФАКТ ЧИСТ К2'!I6)*СПРАВОЧНИК!$L$11+('ФАКТ ЧИСТ К2'!J6)*СПРАВОЧНИК!$M$11+('ФАКТ ЧИСТ К2'!K6)*СПРАВОЧНИК!$N$11)+СПРАВОЧНИК!$F$12*(('ФАКТ ЧИСТ К2'!L6)*СПРАВОЧНИК!$L$12+('ФАКТ ЧИСТ К2'!M6)*СПРАВОЧНИК!$M$12+('ФАКТ ЧИСТ К2'!N6)*СПРАВОЧНИК!$N$12)+СПРАВОЧНИК!$F$13*(('ФАКТ ЧИСТ К2'!O6)*СПРАВОЧНИК!$L$13+('ФАКТ ЧИСТ К2'!P6)*СПРАВОЧНИК!$M$13+('ФАКТ ЧИСТ К2'!Q6)*СПРАВОЧНИК!$N$13)+СПРАВОЧНИК!$F$14*(('ФАКТ ЧИСТ К2'!R6)*СПРАВОЧНИК!$L$14+('ФАКТ ЧИСТ К2'!S6)*СПРАВОЧНИК!$M$14+('ФАКТ ЧИСТ К2'!T6)*СПРАВОЧНИК!$N$14)+СПРАВОЧНИК!$F$15*(('ФАКТ ЧИСТ К2'!U6)*СПРАВОЧНИК!$L$15+('ФАКТ ЧИСТ К2'!V6)*СПРАВОЧНИК!$M$15+('ФАКТ ЧИСТ К2'!W6)*СПРАВОЧНИК!$N$15)</f>
        <v>0</v>
      </c>
      <c r="AS15" s="18">
        <f t="shared" ref="AS15:AS61" si="19">AS14+7</f>
        <v>46181</v>
      </c>
      <c r="AT15" s="37">
        <f>'ПЛАН ЧЕРН К2'!B6*СПРАВОЧНИК!$H$9+'ПЛАН ЧЕРН К2'!C6*СПРАВОЧНИК!$I$9+'ПЛАН ЧЕРН К2'!D6*СПРАВОЧНИК!$J$9+'ПЛАН ЧЕРН К2'!E6*СПРАВОЧНИК!$H$10+'ПЛАН ЧЕРН К2'!F6*СПРАВОЧНИК!$I$10+'ПЛАН ЧЕРН К2'!G6*СПРАВОЧНИК!$J$10+'ПЛАН ЧЕРН К2'!H6*СПРАВОЧНИК!$H$11+'ПЛАН ЧЕРН К2'!I6*СПРАВОЧНИК!$I$11+'ПЛАН ЧЕРН К2'!J6*СПРАВОЧНИК!$J$11+'ПЛАН ЧЕРН К2'!K6*СПРАВОЧНИК!$H$12+'ПЛАН ЧЕРН К2'!L6*СПРАВОЧНИК!$I$12+'ПЛАН ЧЕРН К2'!M6*СПРАВОЧНИК!$J$12+'ПЛАН ЧЕРН К2'!N6*СПРАВОЧНИК!$H$13+'ПЛАН ЧЕРН К2'!O6*СПРАВОЧНИК!$I$13+'ПЛАН ЧЕРН К2'!P6*СПРАВОЧНИК!$J$13+'ПЛАН ЧЕРН К2'!Q6*СПРАВОЧНИК!$H$14+'ПЛАН ЧЕРН К2'!R6*СПРАВОЧНИК!$I$14+'ПЛАН ЧЕРН К2'!S6*СПРАВОЧНИК!$J$14+'ПЛАН ЧЕРН К2'!T6*СПРАВОЧНИК!$H$15+'ПЛАН ЧЕРН К2'!U6*СПРАВОЧНИК!$I$15+'ПЛАН ЧЕРН К2'!V6*СПРАВОЧНИК!$J$15</f>
        <v>0</v>
      </c>
      <c r="AU15" s="40">
        <f>('ФАКТ ЧЕРН К2'!B6)*СПРАВОЧНИК!$H$9+('ФАКТ ЧЕРН К2'!C6)*СПРАВОЧНИК!$I$9+('ФАКТ ЧЕРН К2'!D6)*СПРАВОЧНИК!$J$9+('ФАКТ ЧЕРН К2'!E6)*СПРАВОЧНИК!$H$10+('ФАКТ ЧЕРН К2'!F6)*СПРАВОЧНИК!$I$10+('ФАКТ ЧЕРН К2'!G6)*СПРАВОЧНИК!$J$10+('ФАКТ ЧЕРН К2'!H6)*СПРАВОЧНИК!$H$11+('ФАКТ ЧЕРН К2'!I6)*СПРАВОЧНИК!$I$11+('ФАКТ ЧЕРН К2'!J6)*СПРАВОЧНИК!$J$11+('ФАКТ ЧЕРН К2'!K6)*СПРАВОЧНИК!$H$12+('ФАКТ ЧЕРН К2'!L6)*СПРАВОЧНИК!$I$12+('ФАКТ ЧЕРН К2'!M6)*СПРАВОЧНИК!$J$12+('ФАКТ ЧЕРН К2'!N6)*СПРАВОЧНИК!$H$13+('ФАКТ ЧЕРН К2'!O6)*СПРАВОЧНИК!$I$13+('ФАКТ ЧЕРН К2'!P6)*СПРАВОЧНИК!$J$13+('ФАКТ ЧЕРН К2'!Q6)*СПРАВОЧНИК!$H$14+('ФАКТ ЧЕРН К2'!R6)*СПРАВОЧНИК!$I$14+('ФАКТ ЧЕРН К2'!S6)*СПРАВОЧНИК!$J$14+('ФАКТ ЧЕРН К2'!T6)*СПРАВОЧНИК!$H$15+('ФАКТ ЧЕРН К2'!U6)*СПРАВОЧНИК!$I$15+('ФАКТ ЧЕРН К2'!V6)*СПРАВОЧНИК!$J$15</f>
        <v>0</v>
      </c>
      <c r="AY15" s="18">
        <f t="shared" ref="AY15:AY61" si="20">AY14+7</f>
        <v>46181</v>
      </c>
      <c r="AZ15" s="37">
        <f>'ПЛАН ЧИСТ К2'!B6*СПРАВОЧНИК!$L$9+'ПЛАН ЧИСТ К2'!C6*СПРАВОЧНИК!$M$9+'ПЛАН ЧИСТ К2'!D6*СПРАВОЧНИК!$N$9+'ПЛАН ЧИСТ К2'!E6*СПРАВОЧНИК!$O$9+'ПЛАН ЧИСТ К2'!F6*СПРАВОЧНИК!$L$10+'ПЛАН ЧИСТ К2'!G6*СПРАВОЧНИК!$M$10+'ПЛАН ЧИСТ К2'!H6*СПРАВОЧНИК!$N$10+'ПЛАН ЧИСТ К2'!I6*СПРАВОЧНИК!$L$11+'ПЛАН ЧИСТ К2'!J6*СПРАВОЧНИК!$M$11+'ПЛАН ЧИСТ К2'!K6*СПРАВОЧНИК!$N$11+'ПЛАН ЧИСТ К2'!L6*СПРАВОЧНИК!$L$12+'ПЛАН ЧИСТ К2'!M6*СПРАВОЧНИК!$M$12+'ПЛАН ЧИСТ К2'!N6*СПРАВОЧНИК!$N$12+'ПЛАН ЧИСТ К2'!O6*СПРАВОЧНИК!$L$13+'ПЛАН ЧИСТ К2'!P6*СПРАВОЧНИК!$M$13+'ПЛАН ЧИСТ К2'!Q6*СПРАВОЧНИК!$N$13+'ПЛАН ЧИСТ К2'!R6*СПРАВОЧНИК!$L$14+'ПЛАН ЧИСТ К2'!S6*СПРАВОЧНИК!$M$14+'ПЛАН ЧИСТ К2'!T6*СПРАВОЧНИК!$N$14+'ПЛАН ЧИСТ К2'!U6*СПРАВОЧНИК!$L$15+'ПЛАН ЧИСТ К2'!V6*СПРАВОЧНИК!$M$15+'ПЛАН ЧИСТ К2'!W6*СПРАВОЧНИК!$N$15</f>
        <v>0</v>
      </c>
      <c r="BA15" s="40">
        <f>('ФАКТ ЧИСТ К2'!B6)*СПРАВОЧНИК!$L$9+('ФАКТ ЧИСТ К2'!C6)*СПРАВОЧНИК!$M$9+('ФАКТ ЧИСТ К2'!D6)*СПРАВОЧНИК!$N$9+('ФАКТ ЧИСТ К2'!E6)*СПРАВОЧНИК!$O$9+('ФАКТ ЧИСТ К2'!F6)*СПРАВОЧНИК!$L$10+('ФАКТ ЧИСТ К2'!G6)*СПРАВОЧНИК!$M$10+('ФАКТ ЧИСТ К2'!H6)*СПРАВОЧНИК!$N$10+('ФАКТ ЧИСТ К2'!I6)*СПРАВОЧНИК!$L$11+('ФАКТ ЧИСТ К2'!J6)*СПРАВОЧНИК!$M$11+('ФАКТ ЧИСТ К2'!K6)*СПРАВОЧНИК!$N$11+('ФАКТ ЧИСТ К2'!L6)*СПРАВОЧНИК!$L$12+('ФАКТ ЧИСТ К2'!M6)*СПРАВОЧНИК!$M$12+('ФАКТ ЧИСТ К2'!N6)*СПРАВОЧНИК!$N$12+('ФАКТ ЧИСТ К2'!O6)*СПРАВОЧНИК!$L$13+('ФАКТ ЧИСТ К2'!P6)*СПРАВОЧНИК!$M$13+('ФАКТ ЧИСТ К2'!Q6)*СПРАВОЧНИК!$N$13+('ФАКТ ЧИСТ К2'!R6)*СПРАВОЧНИК!$L$14+('ФАКТ ЧИСТ К2'!S6)*СПРАВОЧНИК!$M$14+('ФАКТ ЧИСТ К2'!T6)*СПРАВОЧНИК!$N$14+('ФАКТ ЧИСТ К2'!U6)*СПРАВОЧНИК!$L$15+('ФАКТ ЧИСТ К2'!V6)*СПРАВОЧНИК!$M$15+('ФАКТ ЧИСТ К2'!W6)*СПРАВОЧНИК!$N$15</f>
        <v>0</v>
      </c>
      <c r="BE15" s="18">
        <f t="shared" ref="BE15:BE61" si="21">BE14+7</f>
        <v>46181</v>
      </c>
      <c r="BF15" s="37">
        <f>СПРАВОЧНИК!$E$9*('ПЛАН ЧЕРН К3'!B6*СПРАВОЧНИК!$H$9+'ПЛАН ЧЕРН К3'!C6*СПРАВОЧНИК!$I$9+'ПЛАН ЧЕРН К3'!D6*СПРАВОЧНИК!$J$9)+СПРАВОЧНИК!$E$10*('ПЛАН ЧЕРН К3'!E6*СПРАВОЧНИК!$H$10+'ПЛАН ЧЕРН К3'!F6*СПРАВОЧНИК!$I$10+'ПЛАН ЧЕРН К3'!G6*СПРАВОЧНИК!$J$10)+СПРАВОЧНИК!$E$11*('ПЛАН ЧЕРН К3'!H6*СПРАВОЧНИК!$H$11+'ПЛАН ЧЕРН К3'!I6*СПРАВОЧНИК!$I$11+'ПЛАН ЧЕРН К3'!J6*СПРАВОЧНИК!$J$11)+СПРАВОЧНИК!$E$12*('ПЛАН ЧЕРН К3'!K6*СПРАВОЧНИК!$H$12+'ПЛАН ЧЕРН К3'!L6*СПРАВОЧНИК!$I$12+'ПЛАН ЧЕРН К3'!M6*СПРАВОЧНИК!$J$12)+СПРАВОЧНИК!$E$13*('ПЛАН ЧЕРН К3'!N6*СПРАВОЧНИК!$H$13+'ПЛАН ЧЕРН К3'!O6*СПРАВОЧНИК!$I$13+'ПЛАН ЧЕРН К3'!P6*СПРАВОЧНИК!$J$13)+СПРАВОЧНИК!$E$14*('ПЛАН ЧЕРН К3'!Q6*СПРАВОЧНИК!$H$14+'ПЛАН ЧЕРН К3'!R6*СПРАВОЧНИК!$I$14+'ПЛАН ЧЕРН К3'!S6*СПРАВОЧНИК!$J$14)+СПРАВОЧНИК!$E$15*('ПЛАН ЧЕРН К3'!T6*СПРАВОЧНИК!$H$15+'ПЛАН ЧЕРН К3'!U6*СПРАВОЧНИК!$I$15+'ПЛАН ЧЕРН К3'!V6*СПРАВОЧНИК!$J$15)+СПРАВОЧНИК!$F$9*('ПЛАН ЧИСТ К3'!B6*СПРАВОЧНИК!$L$9+'ПЛАН ЧИСТ К3'!C6*СПРАВОЧНИК!$M$9+'ПЛАН ЧИСТ К3'!D6*СПРАВОЧНИК!$N$9+'ПЛАН ЧИСТ К3'!E6*СПРАВОЧНИК!$O$9)+СПРАВОЧНИК!$F$10*('ПЛАН ЧИСТ К3'!F6*СПРАВОЧНИК!$L$10+'ПЛАН ЧИСТ К3'!G6*СПРАВОЧНИК!$M$10+'ПЛАН ЧИСТ К3'!H6*СПРАВОЧНИК!$N$10)+СПРАВОЧНИК!$F$11*('ПЛАН ЧИСТ К3'!I6*СПРАВОЧНИК!$L$11+'ПЛАН ЧИСТ К3'!J6*СПРАВОЧНИК!$M$11+'ПЛАН ЧИСТ К3'!K6*СПРАВОЧНИК!$N$11)+СПРАВОЧНИК!$F$12*('ПЛАН ЧИСТ К3'!L6*СПРАВОЧНИК!$L$12+'ПЛАН ЧИСТ К3'!M6*СПРАВОЧНИК!$M$12+'ПЛАН ЧИСТ К3'!N6*СПРАВОЧНИК!$N$12)+СПРАВОЧНИК!$F$13*('ПЛАН ЧИСТ К3'!O6*СПРАВОЧНИК!$L$13+'ПЛАН ЧИСТ К3'!P6*СПРАВОЧНИК!$M$13+'ПЛАН ЧИСТ К3'!Q6*СПРАВОЧНИК!$N$13)+СПРАВОЧНИК!$F$14*('ПЛАН ЧИСТ К3'!R6*СПРАВОЧНИК!$L$14+'ПЛАН ЧИСТ К3'!S6*СПРАВОЧНИК!$M$14+'ПЛАН ЧИСТ К3'!T6*СПРАВОЧНИК!$N$14)+СПРАВОЧНИК!$F$15*('ПЛАН ЧИСТ К3'!U6*СПРАВОЧНИК!$L$15+'ПЛАН ЧИСТ К3'!V6*СПРАВОЧНИК!$M$15+'ПЛАН ЧИСТ К3'!W6*СПРАВОЧНИК!$N$15)</f>
        <v>0</v>
      </c>
      <c r="BG15" s="40">
        <f>СПРАВОЧНИК!$E$9*(('ФАКТ ЧЕРН К3'!B6)*СПРАВОЧНИК!$H$9+('ФАКТ ЧЕРН К3'!C6)*СПРАВОЧНИК!$I$9+('ФАКТ ЧЕРН К3'!D6)*СПРАВОЧНИК!$J$9)+СПРАВОЧНИК!$E$10*(('ФАКТ ЧЕРН К3'!E6)*СПРАВОЧНИК!$H$10+('ФАКТ ЧЕРН К3'!F6)*СПРАВОЧНИК!$I$10+('ФАКТ ЧЕРН К3'!G6)*СПРАВОЧНИК!$J$10)+СПРАВОЧНИК!$E$11*(('ФАКТ ЧЕРН К3'!H6)*СПРАВОЧНИК!$H$11+('ФАКТ ЧЕРН К3'!I6)*СПРАВОЧНИК!$I$11+('ФАКТ ЧЕРН К3'!J6)*СПРАВОЧНИК!$J$11)+СПРАВОЧНИК!$E$12*(('ФАКТ ЧЕРН К3'!K6)*СПРАВОЧНИК!$H$12+('ФАКТ ЧЕРН К3'!L6)*СПРАВОЧНИК!$I$12+('ФАКТ ЧЕРН К3'!M6)*СПРАВОЧНИК!$J$12)+СПРАВОЧНИК!$E$13*(('ФАКТ ЧЕРН К3'!N6)*СПРАВОЧНИК!$H$13+('ФАКТ ЧЕРН К3'!O6)*СПРАВОЧНИК!$I$13+('ФАКТ ЧЕРН К3'!P6)*СПРАВОЧНИК!$J$13)+СПРАВОЧНИК!$E$14*(('ФАКТ ЧЕРН К3'!Q6)*СПРАВОЧНИК!$H$14+('ФАКТ ЧЕРН К3'!R6)*СПРАВОЧНИК!$I$14+('ФАКТ ЧЕРН К3'!S6)*СПРАВОЧНИК!$J$14)+СПРАВОЧНИК!$E$15*(('ФАКТ ЧЕРН К3'!T6)*СПРАВОЧНИК!$H$15+('ФАКТ ЧЕРН К3'!U6)*СПРАВОЧНИК!$I$15+('ФАКТ ЧЕРН К3'!V6)*СПРАВОЧНИК!$J$15)+СПРАВОЧНИК!$F$9*(('ФАКТ ЧИСТ К3'!B6)*СПРАВОЧНИК!$L$9+('ФАКТ ЧИСТ К3'!C6)*СПРАВОЧНИК!$M$9+('ФАКТ ЧИСТ К3'!D6)*СПРАВОЧНИК!$N$9+('ФАКТ ЧИСТ К3'!E6)*СПРАВОЧНИК!$O$9)+СПРАВОЧНИК!$F$10*(('ФАКТ ЧИСТ К3'!F6)*СПРАВОЧНИК!$L$10+('ФАКТ ЧИСТ К3'!G6)*СПРАВОЧНИК!$M$10+('ФАКТ ЧИСТ К3'!H6)*СПРАВОЧНИК!$N$10)+СПРАВОЧНИК!$F$11*(('ФАКТ ЧИСТ К3'!I6)*СПРАВОЧНИК!$L$11+('ФАКТ ЧИСТ К3'!J6)*СПРАВОЧНИК!$M$11+('ФАКТ ЧИСТ К3'!K6)*СПРАВОЧНИК!$N$11)+СПРАВОЧНИК!$F$12*(('ФАКТ ЧИСТ К3'!L6)*СПРАВОЧНИК!$L$12+('ФАКТ ЧИСТ К3'!M6)*СПРАВОЧНИК!$M$12+('ФАКТ ЧИСТ К3'!N6)*СПРАВОЧНИК!$N$12)+СПРАВОЧНИК!$F$13*(('ФАКТ ЧИСТ К3'!O6)*СПРАВОЧНИК!$L$13+('ФАКТ ЧИСТ К3'!P6)*СПРАВОЧНИК!$M$13+('ФАКТ ЧИСТ К3'!Q6)*СПРАВОЧНИК!$N$13)+СПРАВОЧНИК!$F$14*(('ФАКТ ЧИСТ К3'!R6)*СПРАВОЧНИК!$L$14+('ФАКТ ЧИСТ К3'!S6)*СПРАВОЧНИК!$M$14+('ФАКТ ЧИСТ К3'!T6)*СПРАВОЧНИК!$N$14)+СПРАВОЧНИК!$F$15*(('ФАКТ ЧИСТ К3'!U6)*СПРАВОЧНИК!$L$15+('ФАКТ ЧИСТ К3'!V6)*СПРАВОЧНИК!$M$15+('ФАКТ ЧИСТ К3'!W6)*СПРАВОЧНИК!$N$15)</f>
        <v>0</v>
      </c>
      <c r="BK15" s="18">
        <f t="shared" ref="BK15:BK61" si="22">BK14+7</f>
        <v>46181</v>
      </c>
      <c r="BL15" s="37">
        <f>'ПЛАН ЧЕРН К3'!B6*СПРАВОЧНИК!$H$9+'ПЛАН ЧЕРН К3'!C6*СПРАВОЧНИК!$I$9+'ПЛАН ЧЕРН К3'!D6*СПРАВОЧНИК!$J$9+'ПЛАН ЧЕРН К3'!E6*СПРАВОЧНИК!$H$10+'ПЛАН ЧЕРН К3'!F6*СПРАВОЧНИК!$I$10+'ПЛАН ЧЕРН К3'!G6*СПРАВОЧНИК!$J$10+'ПЛАН ЧЕРН К3'!H6*СПРАВОЧНИК!$H$11+'ПЛАН ЧЕРН К3'!I6*СПРАВОЧНИК!$I$11+'ПЛАН ЧЕРН К3'!J6*СПРАВОЧНИК!$J$11+'ПЛАН ЧЕРН К3'!K6*СПРАВОЧНИК!$H$12+'ПЛАН ЧЕРН К3'!L6*СПРАВОЧНИК!$I$12+'ПЛАН ЧЕРН К3'!M6*СПРАВОЧНИК!$J$12+'ПЛАН ЧЕРН К3'!N6*СПРАВОЧНИК!$H$13+'ПЛАН ЧЕРН К3'!O6*СПРАВОЧНИК!$I$13+'ПЛАН ЧЕРН К3'!P6*СПРАВОЧНИК!$J$13+'ПЛАН ЧЕРН К3'!Q6*СПРАВОЧНИК!$H$14+'ПЛАН ЧЕРН К3'!R6*СПРАВОЧНИК!$I$14+'ПЛАН ЧЕРН К3'!S6*СПРАВОЧНИК!$J$14+'ПЛАН ЧЕРН К3'!T6*СПРАВОЧНИК!$H$15+'ПЛАН ЧЕРН К3'!U6*СПРАВОЧНИК!$I$15+'ПЛАН ЧЕРН К3'!V6*СПРАВОЧНИК!$J$15</f>
        <v>0</v>
      </c>
      <c r="BM15" s="40">
        <f>('ФАКТ ЧЕРН К3'!B6)*СПРАВОЧНИК!$H$9+('ФАКТ ЧЕРН К3'!C6)*СПРАВОЧНИК!$I$9+('ФАКТ ЧЕРН К3'!D6)*СПРАВОЧНИК!$J$9+('ФАКТ ЧЕРН К3'!E6)*СПРАВОЧНИК!$H$10+('ФАКТ ЧЕРН К3'!F6)*СПРАВОЧНИК!$I$10+('ФАКТ ЧЕРН К3'!G6)*СПРАВОЧНИК!$J$10+('ФАКТ ЧЕРН К3'!H6)*СПРАВОЧНИК!$H$11+('ФАКТ ЧЕРН К3'!I6)*СПРАВОЧНИК!$I$11+('ФАКТ ЧЕРН К3'!J6)*СПРАВОЧНИК!$J$11+('ФАКТ ЧЕРН К3'!K6)*СПРАВОЧНИК!$H$12+('ФАКТ ЧЕРН К3'!L6)*СПРАВОЧНИК!$I$12+('ФАКТ ЧЕРН К3'!M6)*СПРАВОЧНИК!$J$12+('ФАКТ ЧЕРН К3'!N6)*СПРАВОЧНИК!$H$13+('ФАКТ ЧЕРН К3'!O6)*СПРАВОЧНИК!$I$13+('ФАКТ ЧЕРН К3'!P6)*СПРАВОЧНИК!$J$13+('ФАКТ ЧЕРН К3'!Q6)*СПРАВОЧНИК!$H$14+('ФАКТ ЧЕРН К3'!R6)*СПРАВОЧНИК!$I$14+('ФАКТ ЧЕРН К3'!S6)*СПРАВОЧНИК!$J$14+('ФАКТ ЧЕРН К3'!T6)*СПРАВОЧНИК!$H$15+('ФАКТ ЧЕРН К3'!U6)*СПРАВОЧНИК!$I$15+('ФАКТ ЧЕРН К3'!V6)*СПРАВОЧНИК!$J$15</f>
        <v>0</v>
      </c>
      <c r="BQ15" s="18">
        <f t="shared" ref="BQ15:BQ61" si="23">BQ14+7</f>
        <v>46181</v>
      </c>
      <c r="BR15" s="37">
        <f>'ПЛАН ЧИСТ К3'!B6*СПРАВОЧНИК!$L$9+'ПЛАН ЧИСТ К3'!C6*СПРАВОЧНИК!$M$9+'ПЛАН ЧИСТ К3'!D6*СПРАВОЧНИК!$N$9+'ПЛАН ЧИСТ К3'!E6*СПРАВОЧНИК!$O$9+'ПЛАН ЧИСТ К3'!F6*СПРАВОЧНИК!$L$10+'ПЛАН ЧИСТ К3'!G6*СПРАВОЧНИК!$M$10+'ПЛАН ЧИСТ К3'!H6*СПРАВОЧНИК!$N$10+'ПЛАН ЧИСТ К3'!I6*СПРАВОЧНИК!$L$11+'ПЛАН ЧИСТ К3'!J6*СПРАВОЧНИК!$M$11+'ПЛАН ЧИСТ К3'!K6*СПРАВОЧНИК!$N$11+'ПЛАН ЧИСТ К3'!L6*СПРАВОЧНИК!$L$12+'ПЛАН ЧИСТ К3'!M6*СПРАВОЧНИК!$M$12+'ПЛАН ЧИСТ К3'!N6*СПРАВОЧНИК!$N$12+'ПЛАН ЧИСТ К3'!O6*СПРАВОЧНИК!$L$13+'ПЛАН ЧИСТ К3'!P6*СПРАВОЧНИК!$M$13+'ПЛАН ЧИСТ К3'!Q6*СПРАВОЧНИК!$N$13+'ПЛАН ЧИСТ К3'!R6*СПРАВОЧНИК!$L$14+'ПЛАН ЧИСТ К3'!S6*СПРАВОЧНИК!$M$14+'ПЛАН ЧИСТ К3'!T6*СПРАВОЧНИК!$N$14+'ПЛАН ЧИСТ К3'!U6*СПРАВОЧНИК!$L$15+'ПЛАН ЧИСТ К3'!V6*СПРАВОЧНИК!$M$15+'ПЛАН ЧИСТ К3'!W6*СПРАВОЧНИК!$N$15</f>
        <v>0</v>
      </c>
      <c r="BS15" s="40">
        <f>('ФАКТ ЧИСТ К3'!B6)*СПРАВОЧНИК!$L$9+('ФАКТ ЧИСТ К3'!C6)*СПРАВОЧНИК!$M$9+('ФАКТ ЧИСТ К3'!D6)*СПРАВОЧНИК!$N$9+('ФАКТ ЧИСТ К3'!E6)*СПРАВОЧНИК!$O$9+('ФАКТ ЧИСТ К3'!F6)*СПРАВОЧНИК!$L$10+('ФАКТ ЧИСТ К3'!G6)*СПРАВОЧНИК!$M$10+('ФАКТ ЧИСТ К3'!H6)*СПРАВОЧНИК!$N$10+('ФАКТ ЧИСТ К3'!I6)*СПРАВОЧНИК!$L$11+('ФАКТ ЧИСТ К3'!J6)*СПРАВОЧНИК!$M$11+('ФАКТ ЧИСТ К3'!K6)*СПРАВОЧНИК!$N$11+('ФАКТ ЧИСТ К3'!L6)*СПРАВОЧНИК!$L$12+('ФАКТ ЧИСТ К3'!M6)*СПРАВОЧНИК!$M$12+('ФАКТ ЧИСТ К3'!N6)*СПРАВОЧНИК!$N$12+('ФАКТ ЧИСТ К3'!O6)*СПРАВОЧНИК!$L$13+('ФАКТ ЧИСТ К3'!P6)*СПРАВОЧНИК!$M$13+('ФАКТ ЧИСТ К3'!Q6)*СПРАВОЧНИК!$N$13+('ФАКТ ЧИСТ К3'!R6)*СПРАВОЧНИК!$L$14+('ФАКТ ЧИСТ К3'!S6)*СПРАВОЧНИК!$M$14+('ФАКТ ЧИСТ К3'!T6)*СПРАВОЧНИК!$N$14+('ФАКТ ЧИСТ К3'!U6)*СПРАВОЧНИК!$L$15+('ФАКТ ЧИСТ К3'!V6)*СПРАВОЧНИК!$M$15+('ФАКТ ЧИСТ К3'!W6)*СПРАВОЧНИК!$N$15</f>
        <v>0</v>
      </c>
      <c r="BW15" s="18">
        <f t="shared" ref="BW15:BW61" si="24">BW14+7</f>
        <v>46181</v>
      </c>
      <c r="BX15" s="37">
        <f t="shared" si="0"/>
        <v>0</v>
      </c>
      <c r="BY15" s="40">
        <f t="shared" si="1"/>
        <v>0</v>
      </c>
      <c r="CC15" s="18">
        <f t="shared" ref="CC15:CC61" si="25">CC14+7</f>
        <v>46181</v>
      </c>
      <c r="CD15" s="37">
        <f t="shared" si="2"/>
        <v>0</v>
      </c>
      <c r="CE15" s="40">
        <f t="shared" si="3"/>
        <v>0</v>
      </c>
      <c r="CI15" s="18">
        <f t="shared" ref="CI15:CI61" si="26">CI14+7</f>
        <v>46181</v>
      </c>
      <c r="CJ15" s="37">
        <f t="shared" si="4"/>
        <v>0</v>
      </c>
      <c r="CK15" s="40">
        <f t="shared" si="5"/>
        <v>0</v>
      </c>
      <c r="CO15" s="18">
        <f t="shared" ref="CO15:CO61" si="27">CO14+7</f>
        <v>46181</v>
      </c>
      <c r="CP15" s="37">
        <f t="shared" si="6"/>
        <v>0</v>
      </c>
      <c r="CQ15" s="40">
        <f t="shared" si="7"/>
        <v>0</v>
      </c>
      <c r="CU15" s="18">
        <f t="shared" ref="CU15:CU61" si="28">CU14+7</f>
        <v>46181</v>
      </c>
      <c r="CV15" s="37">
        <f t="shared" si="8"/>
        <v>0</v>
      </c>
      <c r="CW15" s="40">
        <f t="shared" si="9"/>
        <v>0</v>
      </c>
      <c r="DA15" s="18">
        <f t="shared" ref="DA15:DA61" si="29">DA14+7</f>
        <v>46181</v>
      </c>
      <c r="DB15" s="37">
        <f t="shared" si="10"/>
        <v>0</v>
      </c>
      <c r="DC15" s="40">
        <f t="shared" si="11"/>
        <v>0</v>
      </c>
    </row>
    <row r="16" spans="1:107" x14ac:dyDescent="0.25">
      <c r="C16" s="18">
        <f t="shared" si="12"/>
        <v>46188</v>
      </c>
      <c r="D16" s="37">
        <f>СПРАВОЧНИК!$E$3*('ПЛАН ЧЕРН ПОДЗЕМ'!B7*СПРАВОЧНИК!$H$3+'ПЛАН ЧЕРН ПОДЗЕМ'!C7*СПРАВОЧНИК!$I$3+'ПЛАН ЧЕРН ПОДЗЕМ'!D7*СПРАВОЧНИК!$J$3)+СПРАВОЧНИК!$E$4*('ПЛАН ЧЕРН ПОДЗЕМ'!E7*СПРАВОЧНИК!$H$4+'ПЛАН ЧЕРН ПОДЗЕМ'!F7*СПРАВОЧНИК!$I$4+'ПЛАН ЧЕРН ПОДЗЕМ'!G7*СПРАВОЧНИК!$J$4)+СПРАВОЧНИК!$E$5*('ПЛАН ЧЕРН ПОДЗЕМ'!H7*СПРАВОЧНИК!$H$5+'ПЛАН ЧЕРН ПОДЗЕМ'!I7*СПРАВОЧНИК!$I$5+'ПЛАН ЧЕРН ПОДЗЕМ'!J7*СПРАВОЧНИК!$J$5)+СПРАВОЧНИК!$E$6*('ПЛАН ЧЕРН ПОДЗЕМ'!K7*СПРАВОЧНИК!$H$6+'ПЛАН ЧЕРН ПОДЗЕМ'!L7*СПРАВОЧНИК!$I$6+'ПЛАН ЧЕРН ПОДЗЕМ'!M7*СПРАВОЧНИК!$J$6)+СПРАВОЧНИК!$E$7*('ПЛАН ЧЕРН ПОДЗЕМ'!N7*СПРАВОЧНИК!$H$7+'ПЛАН ЧЕРН ПОДЗЕМ'!O7*СПРАВОЧНИК!$I$7+'ПЛАН ЧЕРН ПОДЗЕМ'!P7*СПРАВОЧНИК!$J$7)+СПРАВОЧНИК!$E$8*('ПЛАН ЧЕРН ПОДЗЕМ'!Q7*СПРАВОЧНИК!$H$8+'ПЛАН ЧЕРН ПОДЗЕМ'!R7*СПРАВОЧНИК!$I$8+'ПЛАН ЧЕРН ПОДЗЕМ'!S7*СПРАВОЧНИК!$J$8)+СПРАВОЧНИК!$F$3*('ПЛАН ЧИСТ ПОДЗЕМ'!B7*СПРАВОЧНИК!$L$3+'ПЛАН ЧИСТ ПОДЗЕМ'!C7*СПРАВОЧНИК!$M$3+'ПЛАН ЧИСТ ПОДЗЕМ'!D7*СПРАВОЧНИК!$N$3)+СПРАВОЧНИК!$F$4*('ПЛАН ЧИСТ ПОДЗЕМ'!E7*СПРАВОЧНИК!$L$4+'ПЛАН ЧИСТ ПОДЗЕМ'!F7*СПРАВОЧНИК!$M$4+'ПЛАН ЧИСТ ПОДЗЕМ'!G7*СПРАВОЧНИК!$N$4)+СПРАВОЧНИК!$F$5*('ПЛАН ЧИСТ ПОДЗЕМ'!H7*СПРАВОЧНИК!$L$5+'ПЛАН ЧИСТ ПОДЗЕМ'!I7*СПРАВОЧНИК!$M$5+'ПЛАН ЧИСТ ПОДЗЕМ'!J7*СПРАВОЧНИК!$N$5)+СПРАВОЧНИК!$F$6*('ПЛАН ЧИСТ ПОДЗЕМ'!K7*СПРАВОЧНИК!$L$6+'ПЛАН ЧИСТ ПОДЗЕМ'!L7*СПРАВОЧНИК!$M$6+'ПЛАН ЧИСТ ПОДЗЕМ'!M7*СПРАВОЧНИК!$N$6)+СПРАВОЧНИК!$F$7*('ПЛАН ЧИСТ ПОДЗЕМ'!N7*СПРАВОЧНИК!$L$7+'ПЛАН ЧИСТ ПОДЗЕМ'!O7*СПРАВОЧНИК!$M$7+'ПЛАН ЧИСТ ПОДЗЕМ'!P7*СПРАВОЧНИК!$N$7)+СПРАВОЧНИК!$F$8*('ПЛАН ЧИСТ ПОДЗЕМ'!Q7*СПРАВОЧНИК!$L$8+'ПЛАН ЧИСТ ПОДЗЕМ'!R7*СПРАВОЧНИК!$M$8+'ПЛАН ЧИСТ ПОДЗЕМ'!S7*СПРАВОЧНИК!$N$8)</f>
        <v>0</v>
      </c>
      <c r="E16" s="40">
        <f>СПРАВОЧНИК!$E$3*(('ФАКТ ЧЕРН ПОДЗЕМ'!B7)*СПРАВОЧНИК!$H$3+('ФАКТ ЧЕРН ПОДЗЕМ'!C7)*СПРАВОЧНИК!$I$3+('ФАКТ ЧЕРН ПОДЗЕМ'!D7)*СПРАВОЧНИК!$J$3)+СПРАВОЧНИК!$E$4*(('ФАКТ ЧЕРН ПОДЗЕМ'!E7)*СПРАВОЧНИК!$H$4+('ФАКТ ЧЕРН ПОДЗЕМ'!F7)*СПРАВОЧНИК!$I$4+('ФАКТ ЧЕРН ПОДЗЕМ'!G7)*СПРАВОЧНИК!$J$4)+СПРАВОЧНИК!$E$5*(('ФАКТ ЧЕРН ПОДЗЕМ'!H7)*СПРАВОЧНИК!$H$5+('ФАКТ ЧЕРН ПОДЗЕМ'!I7)*СПРАВОЧНИК!$I$5+('ФАКТ ЧЕРН ПОДЗЕМ'!J7)*СПРАВОЧНИК!$J$5)+СПРАВОЧНИК!$E$6*(('ФАКТ ЧЕРН ПОДЗЕМ'!K7)*СПРАВОЧНИК!$H$6+('ФАКТ ЧЕРН ПОДЗЕМ'!L7)*СПРАВОЧНИК!$I$6+('ФАКТ ЧЕРН ПОДЗЕМ'!M7)*СПРАВОЧНИК!$J$6)+СПРАВОЧНИК!$E$7*(('ФАКТ ЧЕРН ПОДЗЕМ'!N7)*СПРАВОЧНИК!$H$7+('ФАКТ ЧЕРН ПОДЗЕМ'!O7)*СПРАВОЧНИК!$I$7+('ФАКТ ЧЕРН ПОДЗЕМ'!P7)*СПРАВОЧНИК!$J$7)+СПРАВОЧНИК!$E$8*(('ФАКТ ЧЕРН ПОДЗЕМ'!Q7)*СПРАВОЧНИК!$H$8+('ФАКТ ЧЕРН ПОДЗЕМ'!R7)*СПРАВОЧНИК!$I$8+('ФАКТ ЧЕРН ПОДЗЕМ'!S7)*СПРАВОЧНИК!$J$8)+СПРАВОЧНИК!$F$3*(('ФАКТ ЧИСТ ПОДЗЕМ'!B7)*СПРАВОЧНИК!$L$3+('ФАКТ ЧИСТ ПОДЗЕМ'!C7)*СПРАВОЧНИК!$M$3+('ФАКТ ЧИСТ ПОДЗЕМ'!D7)*СПРАВОЧНИК!$N$3)+СПРАВОЧНИК!$F$4*(('ФАКТ ЧИСТ ПОДЗЕМ'!E7)*СПРАВОЧНИК!$L$4+('ФАКТ ЧИСТ ПОДЗЕМ'!F7)*СПРАВОЧНИК!$M$4+('ФАКТ ЧИСТ ПОДЗЕМ'!G7)*СПРАВОЧНИК!$N$4)+СПРАВОЧНИК!$F$5*(('ФАКТ ЧИСТ ПОДЗЕМ'!H7)*СПРАВОЧНИК!$L$5+('ФАКТ ЧИСТ ПОДЗЕМ'!I7)*СПРАВОЧНИК!$M$5+('ФАКТ ЧИСТ ПОДЗЕМ'!J7)*СПРАВОЧНИК!$N$5)+СПРАВОЧНИК!$F$6*(('ФАКТ ЧИСТ ПОДЗЕМ'!K7)*СПРАВОЧНИК!$L$6+('ФАКТ ЧИСТ ПОДЗЕМ'!L7)*СПРАВОЧНИК!$M$6+('ФАКТ ЧИСТ ПОДЗЕМ'!M7)*СПРАВОЧНИК!$N$6)+СПРАВОЧНИК!$F$7*(('ФАКТ ЧИСТ ПОДЗЕМ'!N7)*СПРАВОЧНИК!$L$7+('ФАКТ ЧИСТ ПОДЗЕМ'!O7)*СПРАВОЧНИК!$M$7+('ФАКТ ЧИСТ ПОДЗЕМ'!P7)*СПРАВОЧНИК!$N$7)+СПРАВОЧНИК!$F$8*(('ФАКТ ЧИСТ ПОДЗЕМ'!Q7)*СПРАВОЧНИК!$L$8+('ФАКТ ЧИСТ ПОДЗЕМ'!R7)*СПРАВОЧНИК!$M$8+('ФАКТ ЧИСТ ПОДЗЕМ'!S7)*СПРАВОЧНИК!$N$8)</f>
        <v>0</v>
      </c>
      <c r="I16" s="18">
        <f t="shared" si="13"/>
        <v>46188</v>
      </c>
      <c r="J16" s="37">
        <f>'ПЛАН ЧЕРН ПОДЗЕМ'!B7*СПРАВОЧНИК!$H$3+'ПЛАН ЧЕРН ПОДЗЕМ'!C7*СПРАВОЧНИК!$I$3+'ПЛАН ЧЕРН ПОДЗЕМ'!D7*СПРАВОЧНИК!$J$3+'ПЛАН ЧЕРН ПОДЗЕМ'!E7*СПРАВОЧНИК!$H$4+'ПЛАН ЧЕРН ПОДЗЕМ'!F7*СПРАВОЧНИК!$I$4+'ПЛАН ЧЕРН ПОДЗЕМ'!G7*СПРАВОЧНИК!$J$4+'ПЛАН ЧЕРН ПОДЗЕМ'!H7*СПРАВОЧНИК!$H$5+'ПЛАН ЧЕРН ПОДЗЕМ'!I7*СПРАВОЧНИК!$I$5+'ПЛАН ЧЕРН ПОДЗЕМ'!J7*СПРАВОЧНИК!$J$5+'ПЛАН ЧЕРН ПОДЗЕМ'!K7*СПРАВОЧНИК!$H$6+'ПЛАН ЧЕРН ПОДЗЕМ'!L7*СПРАВОЧНИК!$I$6+'ПЛАН ЧЕРН ПОДЗЕМ'!M7*СПРАВОЧНИК!$J$6+'ПЛАН ЧЕРН ПОДЗЕМ'!N7*СПРАВОЧНИК!$H$7+'ПЛАН ЧЕРН ПОДЗЕМ'!O7*СПРАВОЧНИК!$I$7+'ПЛАН ЧЕРН ПОДЗЕМ'!P7*СПРАВОЧНИК!$J$7+'ПЛАН ЧЕРН ПОДЗЕМ'!Q7*СПРАВОЧНИК!$H$8+'ПЛАН ЧЕРН ПОДЗЕМ'!R7*СПРАВОЧНИК!$I$8+'ПЛАН ЧЕРН ПОДЗЕМ'!S7*СПРАВОЧНИК!$J$8</f>
        <v>0</v>
      </c>
      <c r="K16" s="40">
        <f>('ФАКТ ЧЕРН ПОДЗЕМ'!B7)*СПРАВОЧНИК!$H$3+('ФАКТ ЧЕРН ПОДЗЕМ'!C7)*СПРАВОЧНИК!$I$3+('ФАКТ ЧЕРН ПОДЗЕМ'!D7)*СПРАВОЧНИК!$J$3+('ФАКТ ЧЕРН ПОДЗЕМ'!E7)*СПРАВОЧНИК!$H$4+('ФАКТ ЧЕРН ПОДЗЕМ'!F7)*СПРАВОЧНИК!$I$4+('ФАКТ ЧЕРН ПОДЗЕМ'!G7)*СПРАВОЧНИК!$J$4+('ФАКТ ЧЕРН ПОДЗЕМ'!H7)*СПРАВОЧНИК!$H$5+('ФАКТ ЧЕРН ПОДЗЕМ'!I7)*СПРАВОЧНИК!$I$5+('ФАКТ ЧЕРН ПОДЗЕМ'!J7)*СПРАВОЧНИК!$J$5+('ФАКТ ЧЕРН ПОДЗЕМ'!K7)*СПРАВОЧНИК!$H$6+('ФАКТ ЧЕРН ПОДЗЕМ'!L7)*СПРАВОЧНИК!$I$6+('ФАКТ ЧЕРН ПОДЗЕМ'!M7)*СПРАВОЧНИК!$J$6+('ФАКТ ЧЕРН ПОДЗЕМ'!N7)*СПРАВОЧНИК!$H$7+('ФАКТ ЧЕРН ПОДЗЕМ'!O7)*СПРАВОЧНИК!$I$7+('ФАКТ ЧЕРН ПОДЗЕМ'!P7)*СПРАВОЧНИК!$J$7+('ФАКТ ЧЕРН ПОДЗЕМ'!Q7)*СПРАВОЧНИК!$H$8+('ФАКТ ЧЕРН ПОДЗЕМ'!R7)*СПРАВОЧНИК!$I$8+('ФАКТ ЧЕРН ПОДЗЕМ'!S7)*СПРАВОЧНИК!$J$8</f>
        <v>0</v>
      </c>
      <c r="O16" s="18">
        <f t="shared" si="14"/>
        <v>46188</v>
      </c>
      <c r="P16" s="37">
        <f>'ПЛАН ЧИСТ ПОДЗЕМ'!B7*СПРАВОЧНИК!$L$3+'ПЛАН ЧИСТ ПОДЗЕМ'!C7*СПРАВОЧНИК!$M$3+'ПЛАН ЧИСТ ПОДЗЕМ'!D7*СПРАВОЧНИК!$N$3+'ПЛАН ЧИСТ ПОДЗЕМ'!E7*СПРАВОЧНИК!$L$4+'ПЛАН ЧИСТ ПОДЗЕМ'!F7*СПРАВОЧНИК!$M$4+'ПЛАН ЧИСТ ПОДЗЕМ'!G7*СПРАВОЧНИК!$N$4+'ПЛАН ЧИСТ ПОДЗЕМ'!H7*СПРАВОЧНИК!$L$5+'ПЛАН ЧИСТ ПОДЗЕМ'!I7*СПРАВОЧНИК!$M$5+'ПЛАН ЧИСТ ПОДЗЕМ'!J7*СПРАВОЧНИК!$N$5+'ПЛАН ЧИСТ ПОДЗЕМ'!K7*СПРАВОЧНИК!$L$6+'ПЛАН ЧИСТ ПОДЗЕМ'!L7*СПРАВОЧНИК!$M$6+'ПЛАН ЧИСТ ПОДЗЕМ'!M7*СПРАВОЧНИК!$N$6+'ПЛАН ЧИСТ ПОДЗЕМ'!N7*СПРАВОЧНИК!$L$7+'ПЛАН ЧИСТ ПОДЗЕМ'!O7*СПРАВОЧНИК!$M$7+'ПЛАН ЧИСТ ПОДЗЕМ'!P7*СПРАВОЧНИК!$N$7+'ПЛАН ЧИСТ ПОДЗЕМ'!Q7*СПРАВОЧНИК!$L$8+'ПЛАН ЧИСТ ПОДЗЕМ'!R7*СПРАВОЧНИК!$M$8+'ПЛАН ЧИСТ ПОДЗЕМ'!S7*СПРАВОЧНИК!$N$8</f>
        <v>0</v>
      </c>
      <c r="Q16" s="40">
        <f>('ФАКТ ЧИСТ ПОДЗЕМ'!B7)*СПРАВОЧНИК!$L$3+('ФАКТ ЧИСТ ПОДЗЕМ'!C7)*СПРАВОЧНИК!$M$3+('ФАКТ ЧИСТ ПОДЗЕМ'!D7)*СПРАВОЧНИК!$N$3+('ФАКТ ЧИСТ ПОДЗЕМ'!E7)*СПРАВОЧНИК!$L$4+('ФАКТ ЧИСТ ПОДЗЕМ'!F7)*СПРАВОЧНИК!$M$4+('ФАКТ ЧИСТ ПОДЗЕМ'!G7)*СПРАВОЧНИК!$N$4+('ФАКТ ЧИСТ ПОДЗЕМ'!H7)*СПРАВОЧНИК!$L$5+('ФАКТ ЧИСТ ПОДЗЕМ'!I7)*СПРАВОЧНИК!$M$5+('ФАКТ ЧИСТ ПОДЗЕМ'!J7)*СПРАВОЧНИК!$N$5+('ФАКТ ЧИСТ ПОДЗЕМ'!K7)*СПРАВОЧНИК!$L$6+('ФАКТ ЧИСТ ПОДЗЕМ'!L7)*СПРАВОЧНИК!$M$6+('ФАКТ ЧИСТ ПОДЗЕМ'!M7)*СПРАВОЧНИК!$N$6+('ФАКТ ЧИСТ ПОДЗЕМ'!N7)*СПРАВОЧНИК!$L$7+('ФАКТ ЧИСТ ПОДЗЕМ'!O7)*СПРАВОЧНИК!$M$7+('ФАКТ ЧИСТ ПОДЗЕМ'!P7)*СПРАВОЧНИК!$N$7+('ФАКТ ЧИСТ ПОДЗЕМ'!Q7)*СПРАВОЧНИК!$L$8+('ФАКТ ЧИСТ ПОДЗЕМ'!R7)*СПРАВОЧНИК!$M$8+('ФАКТ ЧИСТ ПОДЗЕМ'!S7)*СПРАВОЧНИК!$N$8</f>
        <v>0</v>
      </c>
      <c r="U16" s="18">
        <f t="shared" si="15"/>
        <v>46188</v>
      </c>
      <c r="V16" s="37">
        <f>СПРАВОЧНИК!$E$9*('ПЛАН ЧЕРН К1'!B7*СПРАВОЧНИК!$H$9+'ПЛАН ЧЕРН К1'!C7*СПРАВОЧНИК!$I$9+'ПЛАН ЧЕРН К1'!D7*СПРАВОЧНИК!$J$9)+СПРАВОЧНИК!$E$10*('ПЛАН ЧЕРН К1'!E7*СПРАВОЧНИК!$H$10+'ПЛАН ЧЕРН К1'!F7*СПРАВОЧНИК!$I$10+'ПЛАН ЧЕРН К1'!G7*СПРАВОЧНИК!$J$10)+СПРАВОЧНИК!$E$11*('ПЛАН ЧЕРН К1'!H7*СПРАВОЧНИК!$H$11+'ПЛАН ЧЕРН К1'!I7*СПРАВОЧНИК!$I$11+'ПЛАН ЧЕРН К1'!J7*СПРАВОЧНИК!$J$11)+СПРАВОЧНИК!$E$12*('ПЛАН ЧЕРН К1'!K7*СПРАВОЧНИК!$H$12+'ПЛАН ЧЕРН К1'!L7*СПРАВОЧНИК!$I$12+'ПЛАН ЧЕРН К1'!M7*СПРАВОЧНИК!$J$12)+СПРАВОЧНИК!$E$13*('ПЛАН ЧЕРН К1'!N7*СПРАВОЧНИК!$H$13+'ПЛАН ЧЕРН К1'!O7*СПРАВОЧНИК!$I$13+'ПЛАН ЧЕРН К1'!P7*СПРАВОЧНИК!$J$13)+СПРАВОЧНИК!$E$14*('ПЛАН ЧЕРН К1'!Q7*СПРАВОЧНИК!$H$14+'ПЛАН ЧЕРН К1'!R7*СПРАВОЧНИК!$I$14+'ПЛАН ЧЕРН К1'!S7*СПРАВОЧНИК!$J$14)+СПРАВОЧНИК!$E$15*('ПЛАН ЧЕРН К1'!T7*СПРАВОЧНИК!$H$15+'ПЛАН ЧЕРН К1'!U7*СПРАВОЧНИК!$I$15+'ПЛАН ЧЕРН К1'!V7*СПРАВОЧНИК!$J$15)+СПРАВОЧНИК!$F$9*('ПЛАН ЧИСТ К1'!B7*СПРАВОЧНИК!$L$9+'ПЛАН ЧИСТ К1'!C7*СПРАВОЧНИК!$M$9+'ПЛАН ЧИСТ К1'!D7*СПРАВОЧНИК!$N$9+'ПЛАН ЧИСТ К1'!E7*СПРАВОЧНИК!$O$9)+СПРАВОЧНИК!$F$10*('ПЛАН ЧИСТ К1'!F7*СПРАВОЧНИК!$L$10+'ПЛАН ЧИСТ К1'!G7*СПРАВОЧНИК!$M$10+'ПЛАН ЧИСТ К1'!H7*СПРАВОЧНИК!$N$10)+СПРАВОЧНИК!$F$11*('ПЛАН ЧИСТ К1'!I7*СПРАВОЧНИК!$L$11+'ПЛАН ЧИСТ К1'!J7*СПРАВОЧНИК!$M$11+'ПЛАН ЧИСТ К1'!K7*СПРАВОЧНИК!$N$11)+СПРАВОЧНИК!$F$12*('ПЛАН ЧИСТ К1'!L7*СПРАВОЧНИК!$L$12+'ПЛАН ЧИСТ К1'!M7*СПРАВОЧНИК!$M$12+'ПЛАН ЧИСТ К1'!N7*СПРАВОЧНИК!$N$12)+СПРАВОЧНИК!$F$13*('ПЛАН ЧИСТ К1'!O7*СПРАВОЧНИК!$L$13+'ПЛАН ЧИСТ К1'!P7*СПРАВОЧНИК!$M$13+'ПЛАН ЧИСТ К1'!Q7*СПРАВОЧНИК!$N$13)+СПРАВОЧНИК!$F$14*('ПЛАН ЧИСТ К1'!R7*СПРАВОЧНИК!$L$14+'ПЛАН ЧИСТ К1'!S7*СПРАВОЧНИК!$M$14+'ПЛАН ЧИСТ К1'!T7*СПРАВОЧНИК!$N$14)+СПРАВОЧНИК!$F$15*('ПЛАН ЧИСТ К1'!U7*СПРАВОЧНИК!$L$15+'ПЛАН ЧИСТ К1'!V7*СПРАВОЧНИК!$M$15+'ПЛАН ЧИСТ К1'!W7*СПРАВОЧНИК!$N$15)</f>
        <v>0</v>
      </c>
      <c r="W16" s="40">
        <f>СПРАВОЧНИК!$E$9*(('ФАКТ ЧЕРН К1'!B7)*СПРАВОЧНИК!$H$9+('ФАКТ ЧЕРН К1'!C7)*СПРАВОЧНИК!$I$9+('ФАКТ ЧЕРН К1'!D7)*СПРАВОЧНИК!$J$9)+СПРАВОЧНИК!$E$10*(('ФАКТ ЧЕРН К1'!E7)*СПРАВОЧНИК!$H$10+('ФАКТ ЧЕРН К1'!F7)*СПРАВОЧНИК!$I$10+('ФАКТ ЧЕРН К1'!G7)*СПРАВОЧНИК!$J$10)+СПРАВОЧНИК!$E$11*(('ФАКТ ЧЕРН К1'!H7)*СПРАВОЧНИК!$H$11+('ФАКТ ЧЕРН К1'!I7)*СПРАВОЧНИК!$I$11+('ФАКТ ЧЕРН К1'!J7)*СПРАВОЧНИК!$J$11)+СПРАВОЧНИК!$E$12*(('ФАКТ ЧЕРН К1'!K7)*СПРАВОЧНИК!$H$12+('ФАКТ ЧЕРН К1'!L7)*СПРАВОЧНИК!$I$12+('ФАКТ ЧЕРН К1'!M7)*СПРАВОЧНИК!$J$12)+СПРАВОЧНИК!$E$13*(('ФАКТ ЧЕРН К1'!N7)*СПРАВОЧНИК!$H$13+('ФАКТ ЧЕРН К1'!O7)*СПРАВОЧНИК!$I$13+('ФАКТ ЧЕРН К1'!P7)*СПРАВОЧНИК!$J$13)+СПРАВОЧНИК!$E$14*(('ФАКТ ЧЕРН К1'!Q7)*СПРАВОЧНИК!$H$14+('ФАКТ ЧЕРН К1'!R7)*СПРАВОЧНИК!$I$14+('ФАКТ ЧЕРН К1'!S7)*СПРАВОЧНИК!$J$14)+СПРАВОЧНИК!$E$15*(('ФАКТ ЧЕРН К1'!T7)*СПРАВОЧНИК!$H$15+('ФАКТ ЧЕРН К1'!U7)*СПРАВОЧНИК!$I$15+('ФАКТ ЧЕРН К1'!V7)*СПРАВОЧНИК!$J$15)+СПРАВОЧНИК!$F$9*(('ФАКТ ЧИСТ К1'!B7)*СПРАВОЧНИК!$L$9+('ФАКТ ЧИСТ К1'!C7)*СПРАВОЧНИК!$M$9+('ФАКТ ЧИСТ К1'!D7)*СПРАВОЧНИК!$N$9+('ФАКТ ЧИСТ К1'!E7)*СПРАВОЧНИК!$O$9)+СПРАВОЧНИК!$F$10*(('ФАКТ ЧИСТ К1'!F7)*СПРАВОЧНИК!$L$10+('ФАКТ ЧИСТ К1'!G7)*СПРАВОЧНИК!$M$10+('ФАКТ ЧИСТ К1'!H7)*СПРАВОЧНИК!$N$10)+СПРАВОЧНИК!$F$11*(('ФАКТ ЧИСТ К1'!I7)*СПРАВОЧНИК!$L$11+('ФАКТ ЧИСТ К1'!J7)*СПРАВОЧНИК!$M$11+('ФАКТ ЧИСТ К1'!K7)*СПРАВОЧНИК!$N$11)+СПРАВОЧНИК!$F$12*(('ФАКТ ЧИСТ К1'!L7)*СПРАВОЧНИК!$L$12+('ФАКТ ЧИСТ К1'!M7)*СПРАВОЧНИК!$M$12+('ФАКТ ЧИСТ К1'!N7)*СПРАВОЧНИК!$N$12)+СПРАВОЧНИК!$F$13*(('ФАКТ ЧИСТ К1'!O7)*СПРАВОЧНИК!$L$13+('ФАКТ ЧИСТ К1'!P7)*СПРАВОЧНИК!$M$13+('ФАКТ ЧИСТ К1'!Q7)*СПРАВОЧНИК!$N$13)+СПРАВОЧНИК!$F$14*(('ФАКТ ЧИСТ К1'!R7)*СПРАВОЧНИК!$L$14+('ФАКТ ЧИСТ К1'!S7)*СПРАВОЧНИК!$M$14+('ФАКТ ЧИСТ К1'!T7)*СПРАВОЧНИК!$N$14)+СПРАВОЧНИК!$F$15*(('ФАКТ ЧИСТ К1'!U7)*СПРАВОЧНИК!$L$15+('ФАКТ ЧИСТ К1'!V7)*СПРАВОЧНИК!$M$15+('ФАКТ ЧИСТ К1'!W7)*СПРАВОЧНИК!$N$15)</f>
        <v>0</v>
      </c>
      <c r="AA16" s="18">
        <f t="shared" si="16"/>
        <v>46188</v>
      </c>
      <c r="AB16" s="37">
        <f>'ПЛАН ЧЕРН К1'!B7*СПРАВОЧНИК!$H$9+'ПЛАН ЧЕРН К1'!C7*СПРАВОЧНИК!$I$9+'ПЛАН ЧЕРН К1'!D7*СПРАВОЧНИК!$J$9+'ПЛАН ЧЕРН К1'!E7*СПРАВОЧНИК!$H$10+'ПЛАН ЧЕРН К1'!F7*СПРАВОЧНИК!$I$10+'ПЛАН ЧЕРН К1'!G7*СПРАВОЧНИК!$J$10+'ПЛАН ЧЕРН К1'!H7*СПРАВОЧНИК!$H$11+'ПЛАН ЧЕРН К1'!I7*СПРАВОЧНИК!$I$11+'ПЛАН ЧЕРН К1'!J7*СПРАВОЧНИК!$J$11+'ПЛАН ЧЕРН К1'!K7*СПРАВОЧНИК!$H$12+'ПЛАН ЧЕРН К1'!L7*СПРАВОЧНИК!$I$12+'ПЛАН ЧЕРН К1'!M7*СПРАВОЧНИК!$J$12+'ПЛАН ЧЕРН К1'!N7*СПРАВОЧНИК!$H$13+'ПЛАН ЧЕРН К1'!O7*СПРАВОЧНИК!$I$13+'ПЛАН ЧЕРН К1'!P7*СПРАВОЧНИК!$J$13+'ПЛАН ЧЕРН К1'!Q7*СПРАВОЧНИК!$H$14+'ПЛАН ЧЕРН К1'!R7*СПРАВОЧНИК!$I$14+'ПЛАН ЧЕРН К1'!S7*СПРАВОЧНИК!$J$14+'ПЛАН ЧЕРН К1'!T7*СПРАВОЧНИК!$H$15+'ПЛАН ЧЕРН К1'!U7*СПРАВОЧНИК!$I$15+'ПЛАН ЧЕРН К1'!V7*СПРАВОЧНИК!$J$15</f>
        <v>0</v>
      </c>
      <c r="AC16" s="40">
        <f>('ФАКТ ЧЕРН К1'!B7)*СПРАВОЧНИК!$H$9+('ФАКТ ЧЕРН К1'!C7)*СПРАВОЧНИК!$I$9+('ФАКТ ЧЕРН К1'!D7)*СПРАВОЧНИК!$J$9+('ФАКТ ЧЕРН К1'!E7)*СПРАВОЧНИК!$H$10+('ФАКТ ЧЕРН К1'!F7)*СПРАВОЧНИК!$I$10+('ФАКТ ЧЕРН К1'!G7)*СПРАВОЧНИК!$J$10+('ФАКТ ЧЕРН К1'!H7)*СПРАВОЧНИК!$H$11+('ФАКТ ЧЕРН К1'!I7)*СПРАВОЧНИК!$I$11+('ФАКТ ЧЕРН К1'!J7)*СПРАВОЧНИК!$J$11+('ФАКТ ЧЕРН К1'!K7)*СПРАВОЧНИК!$H$12+('ФАКТ ЧЕРН К1'!L7)*СПРАВОЧНИК!$I$12+('ФАКТ ЧЕРН К1'!M7)*СПРАВОЧНИК!$J$12+('ФАКТ ЧЕРН К1'!N7)*СПРАВОЧНИК!$H$13+('ФАКТ ЧЕРН К1'!O7)*СПРАВОЧНИК!$I$13+('ФАКТ ЧЕРН К1'!P7)*СПРАВОЧНИК!$J$13+('ФАКТ ЧЕРН К1'!Q7)*СПРАВОЧНИК!$H$14+('ФАКТ ЧЕРН К1'!R7)*СПРАВОЧНИК!$I$14+('ФАКТ ЧЕРН К1'!S7)*СПРАВОЧНИК!$J$14+('ФАКТ ЧЕРН К1'!T7)*СПРАВОЧНИК!$H$15+('ФАКТ ЧЕРН К1'!U7)*СПРАВОЧНИК!$I$15+('ФАКТ ЧЕРН К1'!V7)*СПРАВОЧНИК!$J$15</f>
        <v>0</v>
      </c>
      <c r="AG16" s="18">
        <f t="shared" si="17"/>
        <v>46188</v>
      </c>
      <c r="AH16" s="37">
        <f>'ПЛАН ЧИСТ К1'!B7*СПРАВОЧНИК!$L$9+'ПЛАН ЧИСТ К1'!C7*СПРАВОЧНИК!$M$9+'ПЛАН ЧИСТ К1'!D7*СПРАВОЧНИК!$N$9+'ПЛАН ЧИСТ К1'!E7*СПРАВОЧНИК!$O$9+'ПЛАН ЧИСТ К1'!F7*СПРАВОЧНИК!$L$10+'ПЛАН ЧИСТ К1'!G7*СПРАВОЧНИК!$M$10+'ПЛАН ЧИСТ К1'!H7*СПРАВОЧНИК!$N$10+'ПЛАН ЧИСТ К1'!I7*СПРАВОЧНИК!$L$11+'ПЛАН ЧИСТ К1'!J7*СПРАВОЧНИК!$M$11+'ПЛАН ЧИСТ К1'!K7*СПРАВОЧНИК!$N$11+'ПЛАН ЧИСТ К1'!L7*СПРАВОЧНИК!$L$12+'ПЛАН ЧИСТ К1'!M7*СПРАВОЧНИК!$M$12+'ПЛАН ЧИСТ К1'!N7*СПРАВОЧНИК!$N$12+'ПЛАН ЧИСТ К1'!O7*СПРАВОЧНИК!$L$13+'ПЛАН ЧИСТ К1'!P7*СПРАВОЧНИК!$M$13+'ПЛАН ЧИСТ К1'!Q7*СПРАВОЧНИК!$N$13+'ПЛАН ЧИСТ К1'!R7*СПРАВОЧНИК!$L$14+'ПЛАН ЧИСТ К1'!S7*СПРАВОЧНИК!$M$14+'ПЛАН ЧИСТ К1'!T7*СПРАВОЧНИК!$N$14+'ПЛАН ЧИСТ К1'!U7*СПРАВОЧНИК!$L$15+'ПЛАН ЧИСТ К1'!V7*СПРАВОЧНИК!$M$15+'ПЛАН ЧИСТ К1'!W7*СПРАВОЧНИК!$N$15</f>
        <v>0</v>
      </c>
      <c r="AI16" s="40">
        <f>('ФАКТ ЧИСТ К1'!B7)*СПРАВОЧНИК!$L$9+('ФАКТ ЧИСТ К1'!C7)*СПРАВОЧНИК!$M$9+('ФАКТ ЧИСТ К1'!D7)*СПРАВОЧНИК!$N$9+('ФАКТ ЧИСТ К1'!E7)*СПРАВОЧНИК!$O$9+('ФАКТ ЧИСТ К1'!F7)*СПРАВОЧНИК!$L$10+('ФАКТ ЧИСТ К1'!G7)*СПРАВОЧНИК!$M$10+('ФАКТ ЧИСТ К1'!H7)*СПРАВОЧНИК!$N$10+('ФАКТ ЧИСТ К1'!I7)*СПРАВОЧНИК!$L$11+('ФАКТ ЧИСТ К1'!J7)*СПРАВОЧНИК!$M$11+('ФАКТ ЧИСТ К1'!K7)*СПРАВОЧНИК!$N$11+('ФАКТ ЧИСТ К1'!L7)*СПРАВОЧНИК!$L$12+('ФАКТ ЧИСТ К1'!M7)*СПРАВОЧНИК!$M$12+('ФАКТ ЧИСТ К1'!N7)*СПРАВОЧНИК!$N$12+('ФАКТ ЧИСТ К1'!O7)*СПРАВОЧНИК!$L$13+('ФАКТ ЧИСТ К1'!P7)*СПРАВОЧНИК!$M$13+('ФАКТ ЧИСТ К1'!Q7)*СПРАВОЧНИК!$N$13+('ФАКТ ЧИСТ К1'!R7)*СПРАВОЧНИК!$L$14+('ФАКТ ЧИСТ К1'!S7)*СПРАВОЧНИК!$M$14+('ФАКТ ЧИСТ К1'!T7)*СПРАВОЧНИК!$N$14+('ФАКТ ЧИСТ К1'!U7)*СПРАВОЧНИК!$L$15+('ФАКТ ЧИСТ К1'!V7)*СПРАВОЧНИК!$M$15+('ФАКТ ЧИСТ К1'!W7)*СПРАВОЧНИК!$N$15</f>
        <v>0</v>
      </c>
      <c r="AM16" s="18">
        <f t="shared" si="18"/>
        <v>46188</v>
      </c>
      <c r="AN16" s="37">
        <f>СПРАВОЧНИК!$E$9*('ПЛАН ЧЕРН К2'!B7*СПРАВОЧНИК!$H$9+'ПЛАН ЧЕРН К2'!C7*СПРАВОЧНИК!$I$9+'ПЛАН ЧЕРН К2'!D7*СПРАВОЧНИК!$J$9)+СПРАВОЧНИК!$E$10*('ПЛАН ЧЕРН К2'!E7*СПРАВОЧНИК!$H$10+'ПЛАН ЧЕРН К2'!F7*СПРАВОЧНИК!$I$10+'ПЛАН ЧЕРН К2'!G7*СПРАВОЧНИК!$J$10)+СПРАВОЧНИК!$E$11*('ПЛАН ЧЕРН К2'!H7*СПРАВОЧНИК!$H$11+'ПЛАН ЧЕРН К2'!I7*СПРАВОЧНИК!$I$11+'ПЛАН ЧЕРН К2'!J7*СПРАВОЧНИК!$J$11)+СПРАВОЧНИК!$E$12*('ПЛАН ЧЕРН К2'!K7*СПРАВОЧНИК!$H$12+'ПЛАН ЧЕРН К2'!L7*СПРАВОЧНИК!$I$12+'ПЛАН ЧЕРН К2'!M7*СПРАВОЧНИК!$J$12)+СПРАВОЧНИК!$E$13*('ПЛАН ЧЕРН К2'!N7*СПРАВОЧНИК!$H$13+'ПЛАН ЧЕРН К2'!O7*СПРАВОЧНИК!$I$13+'ПЛАН ЧЕРН К2'!P7*СПРАВОЧНИК!$J$13)+СПРАВОЧНИК!$E$14*('ПЛАН ЧЕРН К2'!Q7*СПРАВОЧНИК!$H$14+'ПЛАН ЧЕРН К2'!R7*СПРАВОЧНИК!$I$14+'ПЛАН ЧЕРН К2'!S7*СПРАВОЧНИК!$J$14)+СПРАВОЧНИК!$E$15*('ПЛАН ЧЕРН К2'!T7*СПРАВОЧНИК!$H$15+'ПЛАН ЧЕРН К2'!U7*СПРАВОЧНИК!$I$15+'ПЛАН ЧЕРН К2'!V7*СПРАВОЧНИК!$J$15)+СПРАВОЧНИК!$F$9*('ПЛАН ЧИСТ К2'!B7*СПРАВОЧНИК!$L$9+'ПЛАН ЧИСТ К2'!C7*СПРАВОЧНИК!$M$9+'ПЛАН ЧИСТ К2'!D7*СПРАВОЧНИК!$N$9+'ПЛАН ЧИСТ К2'!E7*СПРАВОЧНИК!$O$9)+СПРАВОЧНИК!$F$10*('ПЛАН ЧИСТ К2'!F7*СПРАВОЧНИК!$L$10+'ПЛАН ЧИСТ К2'!G7*СПРАВОЧНИК!$M$10+'ПЛАН ЧИСТ К2'!H7*СПРАВОЧНИК!$N$10)+СПРАВОЧНИК!$F$11*('ПЛАН ЧИСТ К2'!I7*СПРАВОЧНИК!$L$11+'ПЛАН ЧИСТ К2'!J7*СПРАВОЧНИК!$M$11+'ПЛАН ЧИСТ К2'!K7*СПРАВОЧНИК!$N$11)+СПРАВОЧНИК!$F$12*('ПЛАН ЧИСТ К2'!L7*СПРАВОЧНИК!$L$12+'ПЛАН ЧИСТ К2'!M7*СПРАВОЧНИК!$M$12+'ПЛАН ЧИСТ К2'!N7*СПРАВОЧНИК!$N$12)+СПРАВОЧНИК!$F$13*('ПЛАН ЧИСТ К2'!O7*СПРАВОЧНИК!$L$13+'ПЛАН ЧИСТ К2'!P7*СПРАВОЧНИК!$M$13+'ПЛАН ЧИСТ К2'!Q7*СПРАВОЧНИК!$N$13)+СПРАВОЧНИК!$F$14*('ПЛАН ЧИСТ К2'!R7*СПРАВОЧНИК!$L$14+'ПЛАН ЧИСТ К2'!S7*СПРАВОЧНИК!$M$14+'ПЛАН ЧИСТ К2'!T7*СПРАВОЧНИК!$N$14)+СПРАВОЧНИК!$F$15*('ПЛАН ЧИСТ К2'!U7*СПРАВОЧНИК!$L$15+'ПЛАН ЧИСТ К2'!V7*СПРАВОЧНИК!$M$15+'ПЛАН ЧИСТ К2'!W7*СПРАВОЧНИК!$N$15)</f>
        <v>0</v>
      </c>
      <c r="AO16" s="40">
        <f>СПРАВОЧНИК!$E$9*(('ФАКТ ЧЕРН К2'!B7)*СПРАВОЧНИК!$H$9+('ФАКТ ЧЕРН К2'!C7)*СПРАВОЧНИК!$I$9+('ФАКТ ЧЕРН К2'!D7)*СПРАВОЧНИК!$J$9)+СПРАВОЧНИК!$E$10*(('ФАКТ ЧЕРН К2'!E7)*СПРАВОЧНИК!$H$10+('ФАКТ ЧЕРН К2'!F7)*СПРАВОЧНИК!$I$10+('ФАКТ ЧЕРН К2'!G7)*СПРАВОЧНИК!$J$10)+СПРАВОЧНИК!$E$11*(('ФАКТ ЧЕРН К2'!H7)*СПРАВОЧНИК!$H$11+('ФАКТ ЧЕРН К2'!I7)*СПРАВОЧНИК!$I$11+('ФАКТ ЧЕРН К2'!J7)*СПРАВОЧНИК!$J$11)+СПРАВОЧНИК!$E$12*(('ФАКТ ЧЕРН К2'!K7)*СПРАВОЧНИК!$H$12+('ФАКТ ЧЕРН К2'!L7)*СПРАВОЧНИК!$I$12+('ФАКТ ЧЕРН К2'!M7)*СПРАВОЧНИК!$J$12)+СПРАВОЧНИК!$E$13*(('ФАКТ ЧЕРН К2'!N7)*СПРАВОЧНИК!$H$13+('ФАКТ ЧЕРН К2'!O7)*СПРАВОЧНИК!$I$13+('ФАКТ ЧЕРН К2'!P7)*СПРАВОЧНИК!$J$13)+СПРАВОЧНИК!$E$14*(('ФАКТ ЧЕРН К2'!Q7)*СПРАВОЧНИК!$H$14+('ФАКТ ЧЕРН К2'!R7)*СПРАВОЧНИК!$I$14+('ФАКТ ЧЕРН К2'!S7)*СПРАВОЧНИК!$J$14)+СПРАВОЧНИК!$E$15*(('ФАКТ ЧЕРН К2'!T7)*СПРАВОЧНИК!$H$15+('ФАКТ ЧЕРН К2'!U7)*СПРАВОЧНИК!$I$15+('ФАКТ ЧЕРН К2'!V7)*СПРАВОЧНИК!$J$15)+СПРАВОЧНИК!$F$9*(('ФАКТ ЧИСТ К2'!B7)*СПРАВОЧНИК!$L$9+('ФАКТ ЧИСТ К2'!C7)*СПРАВОЧНИК!$M$9+('ФАКТ ЧИСТ К2'!D7)*СПРАВОЧНИК!$N$9+('ФАКТ ЧИСТ К2'!E7)*СПРАВОЧНИК!$O$9)+СПРАВОЧНИК!$F$10*(('ФАКТ ЧИСТ К2'!F7)*СПРАВОЧНИК!$L$10+('ФАКТ ЧИСТ К2'!G7)*СПРАВОЧНИК!$M$10+('ФАКТ ЧИСТ К2'!H7)*СПРАВОЧНИК!$N$10)+СПРАВОЧНИК!$F$11*(('ФАКТ ЧИСТ К2'!I7)*СПРАВОЧНИК!$L$11+('ФАКТ ЧИСТ К2'!J7)*СПРАВОЧНИК!$M$11+('ФАКТ ЧИСТ К2'!K7)*СПРАВОЧНИК!$N$11)+СПРАВОЧНИК!$F$12*(('ФАКТ ЧИСТ К2'!L7)*СПРАВОЧНИК!$L$12+('ФАКТ ЧИСТ К2'!M7)*СПРАВОЧНИК!$M$12+('ФАКТ ЧИСТ К2'!N7)*СПРАВОЧНИК!$N$12)+СПРАВОЧНИК!$F$13*(('ФАКТ ЧИСТ К2'!O7)*СПРАВОЧНИК!$L$13+('ФАКТ ЧИСТ К2'!P7)*СПРАВОЧНИК!$M$13+('ФАКТ ЧИСТ К2'!Q7)*СПРАВОЧНИК!$N$13)+СПРАВОЧНИК!$F$14*(('ФАКТ ЧИСТ К2'!R7)*СПРАВОЧНИК!$L$14+('ФАКТ ЧИСТ К2'!S7)*СПРАВОЧНИК!$M$14+('ФАКТ ЧИСТ К2'!T7)*СПРАВОЧНИК!$N$14)+СПРАВОЧНИК!$F$15*(('ФАКТ ЧИСТ К2'!U7)*СПРАВОЧНИК!$L$15+('ФАКТ ЧИСТ К2'!V7)*СПРАВОЧНИК!$M$15+('ФАКТ ЧИСТ К2'!W7)*СПРАВОЧНИК!$N$15)</f>
        <v>0</v>
      </c>
      <c r="AS16" s="18">
        <f t="shared" si="19"/>
        <v>46188</v>
      </c>
      <c r="AT16" s="37">
        <f>'ПЛАН ЧЕРН К2'!B7*СПРАВОЧНИК!$H$9+'ПЛАН ЧЕРН К2'!C7*СПРАВОЧНИК!$I$9+'ПЛАН ЧЕРН К2'!D7*СПРАВОЧНИК!$J$9+'ПЛАН ЧЕРН К2'!E7*СПРАВОЧНИК!$H$10+'ПЛАН ЧЕРН К2'!F7*СПРАВОЧНИК!$I$10+'ПЛАН ЧЕРН К2'!G7*СПРАВОЧНИК!$J$10+'ПЛАН ЧЕРН К2'!H7*СПРАВОЧНИК!$H$11+'ПЛАН ЧЕРН К2'!I7*СПРАВОЧНИК!$I$11+'ПЛАН ЧЕРН К2'!J7*СПРАВОЧНИК!$J$11+'ПЛАН ЧЕРН К2'!K7*СПРАВОЧНИК!$H$12+'ПЛАН ЧЕРН К2'!L7*СПРАВОЧНИК!$I$12+'ПЛАН ЧЕРН К2'!M7*СПРАВОЧНИК!$J$12+'ПЛАН ЧЕРН К2'!N7*СПРАВОЧНИК!$H$13+'ПЛАН ЧЕРН К2'!O7*СПРАВОЧНИК!$I$13+'ПЛАН ЧЕРН К2'!P7*СПРАВОЧНИК!$J$13+'ПЛАН ЧЕРН К2'!Q7*СПРАВОЧНИК!$H$14+'ПЛАН ЧЕРН К2'!R7*СПРАВОЧНИК!$I$14+'ПЛАН ЧЕРН К2'!S7*СПРАВОЧНИК!$J$14+'ПЛАН ЧЕРН К2'!T7*СПРАВОЧНИК!$H$15+'ПЛАН ЧЕРН К2'!U7*СПРАВОЧНИК!$I$15+'ПЛАН ЧЕРН К2'!V7*СПРАВОЧНИК!$J$15</f>
        <v>0</v>
      </c>
      <c r="AU16" s="40">
        <f>('ФАКТ ЧЕРН К2'!B7)*СПРАВОЧНИК!$H$9+('ФАКТ ЧЕРН К2'!C7)*СПРАВОЧНИК!$I$9+('ФАКТ ЧЕРН К2'!D7)*СПРАВОЧНИК!$J$9+('ФАКТ ЧЕРН К2'!E7)*СПРАВОЧНИК!$H$10+('ФАКТ ЧЕРН К2'!F7)*СПРАВОЧНИК!$I$10+('ФАКТ ЧЕРН К2'!G7)*СПРАВОЧНИК!$J$10+('ФАКТ ЧЕРН К2'!H7)*СПРАВОЧНИК!$H$11+('ФАКТ ЧЕРН К2'!I7)*СПРАВОЧНИК!$I$11+('ФАКТ ЧЕРН К2'!J7)*СПРАВОЧНИК!$J$11+('ФАКТ ЧЕРН К2'!K7)*СПРАВОЧНИК!$H$12+('ФАКТ ЧЕРН К2'!L7)*СПРАВОЧНИК!$I$12+('ФАКТ ЧЕРН К2'!M7)*СПРАВОЧНИК!$J$12+('ФАКТ ЧЕРН К2'!N7)*СПРАВОЧНИК!$H$13+('ФАКТ ЧЕРН К2'!O7)*СПРАВОЧНИК!$I$13+('ФАКТ ЧЕРН К2'!P7)*СПРАВОЧНИК!$J$13+('ФАКТ ЧЕРН К2'!Q7)*СПРАВОЧНИК!$H$14+('ФАКТ ЧЕРН К2'!R7)*СПРАВОЧНИК!$I$14+('ФАКТ ЧЕРН К2'!S7)*СПРАВОЧНИК!$J$14+('ФАКТ ЧЕРН К2'!T7)*СПРАВОЧНИК!$H$15+('ФАКТ ЧЕРН К2'!U7)*СПРАВОЧНИК!$I$15+('ФАКТ ЧЕРН К2'!V7)*СПРАВОЧНИК!$J$15</f>
        <v>0</v>
      </c>
      <c r="AY16" s="18">
        <f t="shared" si="20"/>
        <v>46188</v>
      </c>
      <c r="AZ16" s="37">
        <f>'ПЛАН ЧИСТ К2'!B7*СПРАВОЧНИК!$L$9+'ПЛАН ЧИСТ К2'!C7*СПРАВОЧНИК!$M$9+'ПЛАН ЧИСТ К2'!D7*СПРАВОЧНИК!$N$9+'ПЛАН ЧИСТ К2'!E7*СПРАВОЧНИК!$O$9+'ПЛАН ЧИСТ К2'!F7*СПРАВОЧНИК!$L$10+'ПЛАН ЧИСТ К2'!G7*СПРАВОЧНИК!$M$10+'ПЛАН ЧИСТ К2'!H7*СПРАВОЧНИК!$N$10+'ПЛАН ЧИСТ К2'!I7*СПРАВОЧНИК!$L$11+'ПЛАН ЧИСТ К2'!J7*СПРАВОЧНИК!$M$11+'ПЛАН ЧИСТ К2'!K7*СПРАВОЧНИК!$N$11+'ПЛАН ЧИСТ К2'!L7*СПРАВОЧНИК!$L$12+'ПЛАН ЧИСТ К2'!M7*СПРАВОЧНИК!$M$12+'ПЛАН ЧИСТ К2'!N7*СПРАВОЧНИК!$N$12+'ПЛАН ЧИСТ К2'!O7*СПРАВОЧНИК!$L$13+'ПЛАН ЧИСТ К2'!P7*СПРАВОЧНИК!$M$13+'ПЛАН ЧИСТ К2'!Q7*СПРАВОЧНИК!$N$13+'ПЛАН ЧИСТ К2'!R7*СПРАВОЧНИК!$L$14+'ПЛАН ЧИСТ К2'!S7*СПРАВОЧНИК!$M$14+'ПЛАН ЧИСТ К2'!T7*СПРАВОЧНИК!$N$14+'ПЛАН ЧИСТ К2'!U7*СПРАВОЧНИК!$L$15+'ПЛАН ЧИСТ К2'!V7*СПРАВОЧНИК!$M$15+'ПЛАН ЧИСТ К2'!W7*СПРАВОЧНИК!$N$15</f>
        <v>0</v>
      </c>
      <c r="BA16" s="40">
        <f>('ФАКТ ЧИСТ К2'!B7)*СПРАВОЧНИК!$L$9+('ФАКТ ЧИСТ К2'!C7)*СПРАВОЧНИК!$M$9+('ФАКТ ЧИСТ К2'!D7)*СПРАВОЧНИК!$N$9+('ФАКТ ЧИСТ К2'!E7)*СПРАВОЧНИК!$O$9+('ФАКТ ЧИСТ К2'!F7)*СПРАВОЧНИК!$L$10+('ФАКТ ЧИСТ К2'!G7)*СПРАВОЧНИК!$M$10+('ФАКТ ЧИСТ К2'!H7)*СПРАВОЧНИК!$N$10+('ФАКТ ЧИСТ К2'!I7)*СПРАВОЧНИК!$L$11+('ФАКТ ЧИСТ К2'!J7)*СПРАВОЧНИК!$M$11+('ФАКТ ЧИСТ К2'!K7)*СПРАВОЧНИК!$N$11+('ФАКТ ЧИСТ К2'!L7)*СПРАВОЧНИК!$L$12+('ФАКТ ЧИСТ К2'!M7)*СПРАВОЧНИК!$M$12+('ФАКТ ЧИСТ К2'!N7)*СПРАВОЧНИК!$N$12+('ФАКТ ЧИСТ К2'!O7)*СПРАВОЧНИК!$L$13+('ФАКТ ЧИСТ К2'!P7)*СПРАВОЧНИК!$M$13+('ФАКТ ЧИСТ К2'!Q7)*СПРАВОЧНИК!$N$13+('ФАКТ ЧИСТ К2'!R7)*СПРАВОЧНИК!$L$14+('ФАКТ ЧИСТ К2'!S7)*СПРАВОЧНИК!$M$14+('ФАКТ ЧИСТ К2'!T7)*СПРАВОЧНИК!$N$14+('ФАКТ ЧИСТ К2'!U7)*СПРАВОЧНИК!$L$15+('ФАКТ ЧИСТ К2'!V7)*СПРАВОЧНИК!$M$15+('ФАКТ ЧИСТ К2'!W7)*СПРАВОЧНИК!$N$15</f>
        <v>0</v>
      </c>
      <c r="BE16" s="18">
        <f t="shared" si="21"/>
        <v>46188</v>
      </c>
      <c r="BF16" s="37">
        <f>СПРАВОЧНИК!$E$9*('ПЛАН ЧЕРН К3'!B7*СПРАВОЧНИК!$H$9+'ПЛАН ЧЕРН К3'!C7*СПРАВОЧНИК!$I$9+'ПЛАН ЧЕРН К3'!D7*СПРАВОЧНИК!$J$9)+СПРАВОЧНИК!$E$10*('ПЛАН ЧЕРН К3'!E7*СПРАВОЧНИК!$H$10+'ПЛАН ЧЕРН К3'!F7*СПРАВОЧНИК!$I$10+'ПЛАН ЧЕРН К3'!G7*СПРАВОЧНИК!$J$10)+СПРАВОЧНИК!$E$11*('ПЛАН ЧЕРН К3'!H7*СПРАВОЧНИК!$H$11+'ПЛАН ЧЕРН К3'!I7*СПРАВОЧНИК!$I$11+'ПЛАН ЧЕРН К3'!J7*СПРАВОЧНИК!$J$11)+СПРАВОЧНИК!$E$12*('ПЛАН ЧЕРН К3'!K7*СПРАВОЧНИК!$H$12+'ПЛАН ЧЕРН К3'!L7*СПРАВОЧНИК!$I$12+'ПЛАН ЧЕРН К3'!M7*СПРАВОЧНИК!$J$12)+СПРАВОЧНИК!$E$13*('ПЛАН ЧЕРН К3'!N7*СПРАВОЧНИК!$H$13+'ПЛАН ЧЕРН К3'!O7*СПРАВОЧНИК!$I$13+'ПЛАН ЧЕРН К3'!P7*СПРАВОЧНИК!$J$13)+СПРАВОЧНИК!$E$14*('ПЛАН ЧЕРН К3'!Q7*СПРАВОЧНИК!$H$14+'ПЛАН ЧЕРН К3'!R7*СПРАВОЧНИК!$I$14+'ПЛАН ЧЕРН К3'!S7*СПРАВОЧНИК!$J$14)+СПРАВОЧНИК!$E$15*('ПЛАН ЧЕРН К3'!T7*СПРАВОЧНИК!$H$15+'ПЛАН ЧЕРН К3'!U7*СПРАВОЧНИК!$I$15+'ПЛАН ЧЕРН К3'!V7*СПРАВОЧНИК!$J$15)+СПРАВОЧНИК!$F$9*('ПЛАН ЧИСТ К3'!B7*СПРАВОЧНИК!$L$9+'ПЛАН ЧИСТ К3'!C7*СПРАВОЧНИК!$M$9+'ПЛАН ЧИСТ К3'!D7*СПРАВОЧНИК!$N$9+'ПЛАН ЧИСТ К3'!E7*СПРАВОЧНИК!$O$9)+СПРАВОЧНИК!$F$10*('ПЛАН ЧИСТ К3'!F7*СПРАВОЧНИК!$L$10+'ПЛАН ЧИСТ К3'!G7*СПРАВОЧНИК!$M$10+'ПЛАН ЧИСТ К3'!H7*СПРАВОЧНИК!$N$10)+СПРАВОЧНИК!$F$11*('ПЛАН ЧИСТ К3'!I7*СПРАВОЧНИК!$L$11+'ПЛАН ЧИСТ К3'!J7*СПРАВОЧНИК!$M$11+'ПЛАН ЧИСТ К3'!K7*СПРАВОЧНИК!$N$11)+СПРАВОЧНИК!$F$12*('ПЛАН ЧИСТ К3'!L7*СПРАВОЧНИК!$L$12+'ПЛАН ЧИСТ К3'!M7*СПРАВОЧНИК!$M$12+'ПЛАН ЧИСТ К3'!N7*СПРАВОЧНИК!$N$12)+СПРАВОЧНИК!$F$13*('ПЛАН ЧИСТ К3'!O7*СПРАВОЧНИК!$L$13+'ПЛАН ЧИСТ К3'!P7*СПРАВОЧНИК!$M$13+'ПЛАН ЧИСТ К3'!Q7*СПРАВОЧНИК!$N$13)+СПРАВОЧНИК!$F$14*('ПЛАН ЧИСТ К3'!R7*СПРАВОЧНИК!$L$14+'ПЛАН ЧИСТ К3'!S7*СПРАВОЧНИК!$M$14+'ПЛАН ЧИСТ К3'!T7*СПРАВОЧНИК!$N$14)+СПРАВОЧНИК!$F$15*('ПЛАН ЧИСТ К3'!U7*СПРАВОЧНИК!$L$15+'ПЛАН ЧИСТ К3'!V7*СПРАВОЧНИК!$M$15+'ПЛАН ЧИСТ К3'!W7*СПРАВОЧНИК!$N$15)</f>
        <v>0</v>
      </c>
      <c r="BG16" s="40">
        <f>СПРАВОЧНИК!$E$9*(('ФАКТ ЧЕРН К3'!B7)*СПРАВОЧНИК!$H$9+('ФАКТ ЧЕРН К3'!C7)*СПРАВОЧНИК!$I$9+('ФАКТ ЧЕРН К3'!D7)*СПРАВОЧНИК!$J$9)+СПРАВОЧНИК!$E$10*(('ФАКТ ЧЕРН К3'!E7)*СПРАВОЧНИК!$H$10+('ФАКТ ЧЕРН К3'!F7)*СПРАВОЧНИК!$I$10+('ФАКТ ЧЕРН К3'!G7)*СПРАВОЧНИК!$J$10)+СПРАВОЧНИК!$E$11*(('ФАКТ ЧЕРН К3'!H7)*СПРАВОЧНИК!$H$11+('ФАКТ ЧЕРН К3'!I7)*СПРАВОЧНИК!$I$11+('ФАКТ ЧЕРН К3'!J7)*СПРАВОЧНИК!$J$11)+СПРАВОЧНИК!$E$12*(('ФАКТ ЧЕРН К3'!K7)*СПРАВОЧНИК!$H$12+('ФАКТ ЧЕРН К3'!L7)*СПРАВОЧНИК!$I$12+('ФАКТ ЧЕРН К3'!M7)*СПРАВОЧНИК!$J$12)+СПРАВОЧНИК!$E$13*(('ФАКТ ЧЕРН К3'!N7)*СПРАВОЧНИК!$H$13+('ФАКТ ЧЕРН К3'!O7)*СПРАВОЧНИК!$I$13+('ФАКТ ЧЕРН К3'!P7)*СПРАВОЧНИК!$J$13)+СПРАВОЧНИК!$E$14*(('ФАКТ ЧЕРН К3'!Q7)*СПРАВОЧНИК!$H$14+('ФАКТ ЧЕРН К3'!R7)*СПРАВОЧНИК!$I$14+('ФАКТ ЧЕРН К3'!S7)*СПРАВОЧНИК!$J$14)+СПРАВОЧНИК!$E$15*(('ФАКТ ЧЕРН К3'!T7)*СПРАВОЧНИК!$H$15+('ФАКТ ЧЕРН К3'!U7)*СПРАВОЧНИК!$I$15+('ФАКТ ЧЕРН К3'!V7)*СПРАВОЧНИК!$J$15)+СПРАВОЧНИК!$F$9*(('ФАКТ ЧИСТ К3'!B7)*СПРАВОЧНИК!$L$9+('ФАКТ ЧИСТ К3'!C7)*СПРАВОЧНИК!$M$9+('ФАКТ ЧИСТ К3'!D7)*СПРАВОЧНИК!$N$9+('ФАКТ ЧИСТ К3'!E7)*СПРАВОЧНИК!$O$9)+СПРАВОЧНИК!$F$10*(('ФАКТ ЧИСТ К3'!F7)*СПРАВОЧНИК!$L$10+('ФАКТ ЧИСТ К3'!G7)*СПРАВОЧНИК!$M$10+('ФАКТ ЧИСТ К3'!H7)*СПРАВОЧНИК!$N$10)+СПРАВОЧНИК!$F$11*(('ФАКТ ЧИСТ К3'!I7)*СПРАВОЧНИК!$L$11+('ФАКТ ЧИСТ К3'!J7)*СПРАВОЧНИК!$M$11+('ФАКТ ЧИСТ К3'!K7)*СПРАВОЧНИК!$N$11)+СПРАВОЧНИК!$F$12*(('ФАКТ ЧИСТ К3'!L7)*СПРАВОЧНИК!$L$12+('ФАКТ ЧИСТ К3'!M7)*СПРАВОЧНИК!$M$12+('ФАКТ ЧИСТ К3'!N7)*СПРАВОЧНИК!$N$12)+СПРАВОЧНИК!$F$13*(('ФАКТ ЧИСТ К3'!O7)*СПРАВОЧНИК!$L$13+('ФАКТ ЧИСТ К3'!P7)*СПРАВОЧНИК!$M$13+('ФАКТ ЧИСТ К3'!Q7)*СПРАВОЧНИК!$N$13)+СПРАВОЧНИК!$F$14*(('ФАКТ ЧИСТ К3'!R7)*СПРАВОЧНИК!$L$14+('ФАКТ ЧИСТ К3'!S7)*СПРАВОЧНИК!$M$14+('ФАКТ ЧИСТ К3'!T7)*СПРАВОЧНИК!$N$14)+СПРАВОЧНИК!$F$15*(('ФАКТ ЧИСТ К3'!U7)*СПРАВОЧНИК!$L$15+('ФАКТ ЧИСТ К3'!V7)*СПРАВОЧНИК!$M$15+('ФАКТ ЧИСТ К3'!W7)*СПРАВОЧНИК!$N$15)</f>
        <v>0</v>
      </c>
      <c r="BK16" s="18">
        <f t="shared" si="22"/>
        <v>46188</v>
      </c>
      <c r="BL16" s="37">
        <f>'ПЛАН ЧЕРН К3'!B7*СПРАВОЧНИК!$H$9+'ПЛАН ЧЕРН К3'!C7*СПРАВОЧНИК!$I$9+'ПЛАН ЧЕРН К3'!D7*СПРАВОЧНИК!$J$9+'ПЛАН ЧЕРН К3'!E7*СПРАВОЧНИК!$H$10+'ПЛАН ЧЕРН К3'!F7*СПРАВОЧНИК!$I$10+'ПЛАН ЧЕРН К3'!G7*СПРАВОЧНИК!$J$10+'ПЛАН ЧЕРН К3'!H7*СПРАВОЧНИК!$H$11+'ПЛАН ЧЕРН К3'!I7*СПРАВОЧНИК!$I$11+'ПЛАН ЧЕРН К3'!J7*СПРАВОЧНИК!$J$11+'ПЛАН ЧЕРН К3'!K7*СПРАВОЧНИК!$H$12+'ПЛАН ЧЕРН К3'!L7*СПРАВОЧНИК!$I$12+'ПЛАН ЧЕРН К3'!M7*СПРАВОЧНИК!$J$12+'ПЛАН ЧЕРН К3'!N7*СПРАВОЧНИК!$H$13+'ПЛАН ЧЕРН К3'!O7*СПРАВОЧНИК!$I$13+'ПЛАН ЧЕРН К3'!P7*СПРАВОЧНИК!$J$13+'ПЛАН ЧЕРН К3'!Q7*СПРАВОЧНИК!$H$14+'ПЛАН ЧЕРН К3'!R7*СПРАВОЧНИК!$I$14+'ПЛАН ЧЕРН К3'!S7*СПРАВОЧНИК!$J$14+'ПЛАН ЧЕРН К3'!T7*СПРАВОЧНИК!$H$15+'ПЛАН ЧЕРН К3'!U7*СПРАВОЧНИК!$I$15+'ПЛАН ЧЕРН К3'!V7*СПРАВОЧНИК!$J$15</f>
        <v>0</v>
      </c>
      <c r="BM16" s="40">
        <f>('ФАКТ ЧЕРН К3'!B7)*СПРАВОЧНИК!$H$9+('ФАКТ ЧЕРН К3'!C7)*СПРАВОЧНИК!$I$9+('ФАКТ ЧЕРН К3'!D7)*СПРАВОЧНИК!$J$9+('ФАКТ ЧЕРН К3'!E7)*СПРАВОЧНИК!$H$10+('ФАКТ ЧЕРН К3'!F7)*СПРАВОЧНИК!$I$10+('ФАКТ ЧЕРН К3'!G7)*СПРАВОЧНИК!$J$10+('ФАКТ ЧЕРН К3'!H7)*СПРАВОЧНИК!$H$11+('ФАКТ ЧЕРН К3'!I7)*СПРАВОЧНИК!$I$11+('ФАКТ ЧЕРН К3'!J7)*СПРАВОЧНИК!$J$11+('ФАКТ ЧЕРН К3'!K7)*СПРАВОЧНИК!$H$12+('ФАКТ ЧЕРН К3'!L7)*СПРАВОЧНИК!$I$12+('ФАКТ ЧЕРН К3'!M7)*СПРАВОЧНИК!$J$12+('ФАКТ ЧЕРН К3'!N7)*СПРАВОЧНИК!$H$13+('ФАКТ ЧЕРН К3'!O7)*СПРАВОЧНИК!$I$13+('ФАКТ ЧЕРН К3'!P7)*СПРАВОЧНИК!$J$13+('ФАКТ ЧЕРН К3'!Q7)*СПРАВОЧНИК!$H$14+('ФАКТ ЧЕРН К3'!R7)*СПРАВОЧНИК!$I$14+('ФАКТ ЧЕРН К3'!S7)*СПРАВОЧНИК!$J$14+('ФАКТ ЧЕРН К3'!T7)*СПРАВОЧНИК!$H$15+('ФАКТ ЧЕРН К3'!U7)*СПРАВОЧНИК!$I$15+('ФАКТ ЧЕРН К3'!V7)*СПРАВОЧНИК!$J$15</f>
        <v>0</v>
      </c>
      <c r="BQ16" s="18">
        <f t="shared" si="23"/>
        <v>46188</v>
      </c>
      <c r="BR16" s="37">
        <f>'ПЛАН ЧИСТ К3'!B7*СПРАВОЧНИК!$L$9+'ПЛАН ЧИСТ К3'!C7*СПРАВОЧНИК!$M$9+'ПЛАН ЧИСТ К3'!D7*СПРАВОЧНИК!$N$9+'ПЛАН ЧИСТ К3'!E7*СПРАВОЧНИК!$O$9+'ПЛАН ЧИСТ К3'!F7*СПРАВОЧНИК!$L$10+'ПЛАН ЧИСТ К3'!G7*СПРАВОЧНИК!$M$10+'ПЛАН ЧИСТ К3'!H7*СПРАВОЧНИК!$N$10+'ПЛАН ЧИСТ К3'!I7*СПРАВОЧНИК!$L$11+'ПЛАН ЧИСТ К3'!J7*СПРАВОЧНИК!$M$11+'ПЛАН ЧИСТ К3'!K7*СПРАВОЧНИК!$N$11+'ПЛАН ЧИСТ К3'!L7*СПРАВОЧНИК!$L$12+'ПЛАН ЧИСТ К3'!M7*СПРАВОЧНИК!$M$12+'ПЛАН ЧИСТ К3'!N7*СПРАВОЧНИК!$N$12+'ПЛАН ЧИСТ К3'!O7*СПРАВОЧНИК!$L$13+'ПЛАН ЧИСТ К3'!P7*СПРАВОЧНИК!$M$13+'ПЛАН ЧИСТ К3'!Q7*СПРАВОЧНИК!$N$13+'ПЛАН ЧИСТ К3'!R7*СПРАВОЧНИК!$L$14+'ПЛАН ЧИСТ К3'!S7*СПРАВОЧНИК!$M$14+'ПЛАН ЧИСТ К3'!T7*СПРАВОЧНИК!$N$14+'ПЛАН ЧИСТ К3'!U7*СПРАВОЧНИК!$L$15+'ПЛАН ЧИСТ К3'!V7*СПРАВОЧНИК!$M$15+'ПЛАН ЧИСТ К3'!W7*СПРАВОЧНИК!$N$15</f>
        <v>0</v>
      </c>
      <c r="BS16" s="40">
        <f>('ФАКТ ЧИСТ К3'!B7)*СПРАВОЧНИК!$L$9+('ФАКТ ЧИСТ К3'!C7)*СПРАВОЧНИК!$M$9+('ФАКТ ЧИСТ К3'!D7)*СПРАВОЧНИК!$N$9+('ФАКТ ЧИСТ К3'!E7)*СПРАВОЧНИК!$O$9+('ФАКТ ЧИСТ К3'!F7)*СПРАВОЧНИК!$L$10+('ФАКТ ЧИСТ К3'!G7)*СПРАВОЧНИК!$M$10+('ФАКТ ЧИСТ К3'!H7)*СПРАВОЧНИК!$N$10+('ФАКТ ЧИСТ К3'!I7)*СПРАВОЧНИК!$L$11+('ФАКТ ЧИСТ К3'!J7)*СПРАВОЧНИК!$M$11+('ФАКТ ЧИСТ К3'!K7)*СПРАВОЧНИК!$N$11+('ФАКТ ЧИСТ К3'!L7)*СПРАВОЧНИК!$L$12+('ФАКТ ЧИСТ К3'!M7)*СПРАВОЧНИК!$M$12+('ФАКТ ЧИСТ К3'!N7)*СПРАВОЧНИК!$N$12+('ФАКТ ЧИСТ К3'!O7)*СПРАВОЧНИК!$L$13+('ФАКТ ЧИСТ К3'!P7)*СПРАВОЧНИК!$M$13+('ФАКТ ЧИСТ К3'!Q7)*СПРАВОЧНИК!$N$13+('ФАКТ ЧИСТ К3'!R7)*СПРАВОЧНИК!$L$14+('ФАКТ ЧИСТ К3'!S7)*СПРАВОЧНИК!$M$14+('ФАКТ ЧИСТ К3'!T7)*СПРАВОЧНИК!$N$14+('ФАКТ ЧИСТ К3'!U7)*СПРАВОЧНИК!$L$15+('ФАКТ ЧИСТ К3'!V7)*СПРАВОЧНИК!$M$15+('ФАКТ ЧИСТ К3'!W7)*СПРАВОЧНИК!$N$15</f>
        <v>0</v>
      </c>
      <c r="BW16" s="18">
        <f t="shared" si="24"/>
        <v>46188</v>
      </c>
      <c r="BX16" s="37">
        <f t="shared" si="0"/>
        <v>0</v>
      </c>
      <c r="BY16" s="40">
        <f t="shared" si="1"/>
        <v>0</v>
      </c>
      <c r="CC16" s="18">
        <f t="shared" si="25"/>
        <v>46188</v>
      </c>
      <c r="CD16" s="37">
        <f t="shared" si="2"/>
        <v>0</v>
      </c>
      <c r="CE16" s="40">
        <f t="shared" si="3"/>
        <v>0</v>
      </c>
      <c r="CI16" s="18">
        <f t="shared" si="26"/>
        <v>46188</v>
      </c>
      <c r="CJ16" s="37">
        <f t="shared" si="4"/>
        <v>0</v>
      </c>
      <c r="CK16" s="40">
        <f t="shared" si="5"/>
        <v>0</v>
      </c>
      <c r="CO16" s="18">
        <f t="shared" si="27"/>
        <v>46188</v>
      </c>
      <c r="CP16" s="37">
        <f t="shared" si="6"/>
        <v>0</v>
      </c>
      <c r="CQ16" s="40">
        <f t="shared" si="7"/>
        <v>0</v>
      </c>
      <c r="CU16" s="18">
        <f t="shared" si="28"/>
        <v>46188</v>
      </c>
      <c r="CV16" s="37">
        <f t="shared" si="8"/>
        <v>0</v>
      </c>
      <c r="CW16" s="40">
        <f t="shared" si="9"/>
        <v>0</v>
      </c>
      <c r="DA16" s="18">
        <f t="shared" si="29"/>
        <v>46188</v>
      </c>
      <c r="DB16" s="37">
        <f t="shared" si="10"/>
        <v>0</v>
      </c>
      <c r="DC16" s="40">
        <f t="shared" si="11"/>
        <v>0</v>
      </c>
    </row>
    <row r="17" spans="3:107" x14ac:dyDescent="0.25">
      <c r="C17" s="18">
        <f t="shared" si="12"/>
        <v>46195</v>
      </c>
      <c r="D17" s="37">
        <f>СПРАВОЧНИК!$E$3*('ПЛАН ЧЕРН ПОДЗЕМ'!B8*СПРАВОЧНИК!$H$3+'ПЛАН ЧЕРН ПОДЗЕМ'!C8*СПРАВОЧНИК!$I$3+'ПЛАН ЧЕРН ПОДЗЕМ'!D8*СПРАВОЧНИК!$J$3)+СПРАВОЧНИК!$E$4*('ПЛАН ЧЕРН ПОДЗЕМ'!E8*СПРАВОЧНИК!$H$4+'ПЛАН ЧЕРН ПОДЗЕМ'!F8*СПРАВОЧНИК!$I$4+'ПЛАН ЧЕРН ПОДЗЕМ'!G8*СПРАВОЧНИК!$J$4)+СПРАВОЧНИК!$E$5*('ПЛАН ЧЕРН ПОДЗЕМ'!H8*СПРАВОЧНИК!$H$5+'ПЛАН ЧЕРН ПОДЗЕМ'!I8*СПРАВОЧНИК!$I$5+'ПЛАН ЧЕРН ПОДЗЕМ'!J8*СПРАВОЧНИК!$J$5)+СПРАВОЧНИК!$E$6*('ПЛАН ЧЕРН ПОДЗЕМ'!K8*СПРАВОЧНИК!$H$6+'ПЛАН ЧЕРН ПОДЗЕМ'!L8*СПРАВОЧНИК!$I$6+'ПЛАН ЧЕРН ПОДЗЕМ'!M8*СПРАВОЧНИК!$J$6)+СПРАВОЧНИК!$E$7*('ПЛАН ЧЕРН ПОДЗЕМ'!N8*СПРАВОЧНИК!$H$7+'ПЛАН ЧЕРН ПОДЗЕМ'!O8*СПРАВОЧНИК!$I$7+'ПЛАН ЧЕРН ПОДЗЕМ'!P8*СПРАВОЧНИК!$J$7)+СПРАВОЧНИК!$E$8*('ПЛАН ЧЕРН ПОДЗЕМ'!Q8*СПРАВОЧНИК!$H$8+'ПЛАН ЧЕРН ПОДЗЕМ'!R8*СПРАВОЧНИК!$I$8+'ПЛАН ЧЕРН ПОДЗЕМ'!S8*СПРАВОЧНИК!$J$8)+СПРАВОЧНИК!$F$3*('ПЛАН ЧИСТ ПОДЗЕМ'!B8*СПРАВОЧНИК!$L$3+'ПЛАН ЧИСТ ПОДЗЕМ'!C8*СПРАВОЧНИК!$M$3+'ПЛАН ЧИСТ ПОДЗЕМ'!D8*СПРАВОЧНИК!$N$3)+СПРАВОЧНИК!$F$4*('ПЛАН ЧИСТ ПОДЗЕМ'!E8*СПРАВОЧНИК!$L$4+'ПЛАН ЧИСТ ПОДЗЕМ'!F8*СПРАВОЧНИК!$M$4+'ПЛАН ЧИСТ ПОДЗЕМ'!G8*СПРАВОЧНИК!$N$4)+СПРАВОЧНИК!$F$5*('ПЛАН ЧИСТ ПОДЗЕМ'!H8*СПРАВОЧНИК!$L$5+'ПЛАН ЧИСТ ПОДЗЕМ'!I8*СПРАВОЧНИК!$M$5+'ПЛАН ЧИСТ ПОДЗЕМ'!J8*СПРАВОЧНИК!$N$5)+СПРАВОЧНИК!$F$6*('ПЛАН ЧИСТ ПОДЗЕМ'!K8*СПРАВОЧНИК!$L$6+'ПЛАН ЧИСТ ПОДЗЕМ'!L8*СПРАВОЧНИК!$M$6+'ПЛАН ЧИСТ ПОДЗЕМ'!M8*СПРАВОЧНИК!$N$6)+СПРАВОЧНИК!$F$7*('ПЛАН ЧИСТ ПОДЗЕМ'!N8*СПРАВОЧНИК!$L$7+'ПЛАН ЧИСТ ПОДЗЕМ'!O8*СПРАВОЧНИК!$M$7+'ПЛАН ЧИСТ ПОДЗЕМ'!P8*СПРАВОЧНИК!$N$7)+СПРАВОЧНИК!$F$8*('ПЛАН ЧИСТ ПОДЗЕМ'!Q8*СПРАВОЧНИК!$L$8+'ПЛАН ЧИСТ ПОДЗЕМ'!R8*СПРАВОЧНИК!$M$8+'ПЛАН ЧИСТ ПОДЗЕМ'!S8*СПРАВОЧНИК!$N$8)</f>
        <v>0</v>
      </c>
      <c r="E17" s="40">
        <f>СПРАВОЧНИК!$E$3*(('ФАКТ ЧЕРН ПОДЗЕМ'!B8)*СПРАВОЧНИК!$H$3+('ФАКТ ЧЕРН ПОДЗЕМ'!C8)*СПРАВОЧНИК!$I$3+('ФАКТ ЧЕРН ПОДЗЕМ'!D8)*СПРАВОЧНИК!$J$3)+СПРАВОЧНИК!$E$4*(('ФАКТ ЧЕРН ПОДЗЕМ'!E8)*СПРАВОЧНИК!$H$4+('ФАКТ ЧЕРН ПОДЗЕМ'!F8)*СПРАВОЧНИК!$I$4+('ФАКТ ЧЕРН ПОДЗЕМ'!G8)*СПРАВОЧНИК!$J$4)+СПРАВОЧНИК!$E$5*(('ФАКТ ЧЕРН ПОДЗЕМ'!H8)*СПРАВОЧНИК!$H$5+('ФАКТ ЧЕРН ПОДЗЕМ'!I8)*СПРАВОЧНИК!$I$5+('ФАКТ ЧЕРН ПОДЗЕМ'!J8)*СПРАВОЧНИК!$J$5)+СПРАВОЧНИК!$E$6*(('ФАКТ ЧЕРН ПОДЗЕМ'!K8)*СПРАВОЧНИК!$H$6+('ФАКТ ЧЕРН ПОДЗЕМ'!L8)*СПРАВОЧНИК!$I$6+('ФАКТ ЧЕРН ПОДЗЕМ'!M8)*СПРАВОЧНИК!$J$6)+СПРАВОЧНИК!$E$7*(('ФАКТ ЧЕРН ПОДЗЕМ'!N8)*СПРАВОЧНИК!$H$7+('ФАКТ ЧЕРН ПОДЗЕМ'!O8)*СПРАВОЧНИК!$I$7+('ФАКТ ЧЕРН ПОДЗЕМ'!P8)*СПРАВОЧНИК!$J$7)+СПРАВОЧНИК!$E$8*(('ФАКТ ЧЕРН ПОДЗЕМ'!Q8)*СПРАВОЧНИК!$H$8+('ФАКТ ЧЕРН ПОДЗЕМ'!R8)*СПРАВОЧНИК!$I$8+('ФАКТ ЧЕРН ПОДЗЕМ'!S8)*СПРАВОЧНИК!$J$8)+СПРАВОЧНИК!$F$3*(('ФАКТ ЧИСТ ПОДЗЕМ'!B8)*СПРАВОЧНИК!$L$3+('ФАКТ ЧИСТ ПОДЗЕМ'!C8)*СПРАВОЧНИК!$M$3+('ФАКТ ЧИСТ ПОДЗЕМ'!D8)*СПРАВОЧНИК!$N$3)+СПРАВОЧНИК!$F$4*(('ФАКТ ЧИСТ ПОДЗЕМ'!E8)*СПРАВОЧНИК!$L$4+('ФАКТ ЧИСТ ПОДЗЕМ'!F8)*СПРАВОЧНИК!$M$4+('ФАКТ ЧИСТ ПОДЗЕМ'!G8)*СПРАВОЧНИК!$N$4)+СПРАВОЧНИК!$F$5*(('ФАКТ ЧИСТ ПОДЗЕМ'!H8)*СПРАВОЧНИК!$L$5+('ФАКТ ЧИСТ ПОДЗЕМ'!I8)*СПРАВОЧНИК!$M$5+('ФАКТ ЧИСТ ПОДЗЕМ'!J8)*СПРАВОЧНИК!$N$5)+СПРАВОЧНИК!$F$6*(('ФАКТ ЧИСТ ПОДЗЕМ'!K8)*СПРАВОЧНИК!$L$6+('ФАКТ ЧИСТ ПОДЗЕМ'!L8)*СПРАВОЧНИК!$M$6+('ФАКТ ЧИСТ ПОДЗЕМ'!M8)*СПРАВОЧНИК!$N$6)+СПРАВОЧНИК!$F$7*(('ФАКТ ЧИСТ ПОДЗЕМ'!N8)*СПРАВОЧНИК!$L$7+('ФАКТ ЧИСТ ПОДЗЕМ'!O8)*СПРАВОЧНИК!$M$7+('ФАКТ ЧИСТ ПОДЗЕМ'!P8)*СПРАВОЧНИК!$N$7)+СПРАВОЧНИК!$F$8*(('ФАКТ ЧИСТ ПОДЗЕМ'!Q8)*СПРАВОЧНИК!$L$8+('ФАКТ ЧИСТ ПОДЗЕМ'!R8)*СПРАВОЧНИК!$M$8+('ФАКТ ЧИСТ ПОДЗЕМ'!S8)*СПРАВОЧНИК!$N$8)</f>
        <v>0</v>
      </c>
      <c r="I17" s="18">
        <f t="shared" si="13"/>
        <v>46195</v>
      </c>
      <c r="J17" s="37">
        <f>'ПЛАН ЧЕРН ПОДЗЕМ'!B8*СПРАВОЧНИК!$H$3+'ПЛАН ЧЕРН ПОДЗЕМ'!C8*СПРАВОЧНИК!$I$3+'ПЛАН ЧЕРН ПОДЗЕМ'!D8*СПРАВОЧНИК!$J$3+'ПЛАН ЧЕРН ПОДЗЕМ'!E8*СПРАВОЧНИК!$H$4+'ПЛАН ЧЕРН ПОДЗЕМ'!F8*СПРАВОЧНИК!$I$4+'ПЛАН ЧЕРН ПОДЗЕМ'!G8*СПРАВОЧНИК!$J$4+'ПЛАН ЧЕРН ПОДЗЕМ'!H8*СПРАВОЧНИК!$H$5+'ПЛАН ЧЕРН ПОДЗЕМ'!I8*СПРАВОЧНИК!$I$5+'ПЛАН ЧЕРН ПОДЗЕМ'!J8*СПРАВОЧНИК!$J$5+'ПЛАН ЧЕРН ПОДЗЕМ'!K8*СПРАВОЧНИК!$H$6+'ПЛАН ЧЕРН ПОДЗЕМ'!L8*СПРАВОЧНИК!$I$6+'ПЛАН ЧЕРН ПОДЗЕМ'!M8*СПРАВОЧНИК!$J$6+'ПЛАН ЧЕРН ПОДЗЕМ'!N8*СПРАВОЧНИК!$H$7+'ПЛАН ЧЕРН ПОДЗЕМ'!O8*СПРАВОЧНИК!$I$7+'ПЛАН ЧЕРН ПОДЗЕМ'!P8*СПРАВОЧНИК!$J$7+'ПЛАН ЧЕРН ПОДЗЕМ'!Q8*СПРАВОЧНИК!$H$8+'ПЛАН ЧЕРН ПОДЗЕМ'!R8*СПРАВОЧНИК!$I$8+'ПЛАН ЧЕРН ПОДЗЕМ'!S8*СПРАВОЧНИК!$J$8</f>
        <v>0</v>
      </c>
      <c r="K17" s="40">
        <f>('ФАКТ ЧЕРН ПОДЗЕМ'!B8)*СПРАВОЧНИК!$H$3+('ФАКТ ЧЕРН ПОДЗЕМ'!C8)*СПРАВОЧНИК!$I$3+('ФАКТ ЧЕРН ПОДЗЕМ'!D8)*СПРАВОЧНИК!$J$3+('ФАКТ ЧЕРН ПОДЗЕМ'!E8)*СПРАВОЧНИК!$H$4+('ФАКТ ЧЕРН ПОДЗЕМ'!F8)*СПРАВОЧНИК!$I$4+('ФАКТ ЧЕРН ПОДЗЕМ'!G8)*СПРАВОЧНИК!$J$4+('ФАКТ ЧЕРН ПОДЗЕМ'!H8)*СПРАВОЧНИК!$H$5+('ФАКТ ЧЕРН ПОДЗЕМ'!I8)*СПРАВОЧНИК!$I$5+('ФАКТ ЧЕРН ПОДЗЕМ'!J8)*СПРАВОЧНИК!$J$5+('ФАКТ ЧЕРН ПОДЗЕМ'!K8)*СПРАВОЧНИК!$H$6+('ФАКТ ЧЕРН ПОДЗЕМ'!L8)*СПРАВОЧНИК!$I$6+('ФАКТ ЧЕРН ПОДЗЕМ'!M8)*СПРАВОЧНИК!$J$6+('ФАКТ ЧЕРН ПОДЗЕМ'!N8)*СПРАВОЧНИК!$H$7+('ФАКТ ЧЕРН ПОДЗЕМ'!O8)*СПРАВОЧНИК!$I$7+('ФАКТ ЧЕРН ПОДЗЕМ'!P8)*СПРАВОЧНИК!$J$7+('ФАКТ ЧЕРН ПОДЗЕМ'!Q8)*СПРАВОЧНИК!$H$8+('ФАКТ ЧЕРН ПОДЗЕМ'!R8)*СПРАВОЧНИК!$I$8+('ФАКТ ЧЕРН ПОДЗЕМ'!S8)*СПРАВОЧНИК!$J$8</f>
        <v>0</v>
      </c>
      <c r="O17" s="18">
        <f t="shared" si="14"/>
        <v>46195</v>
      </c>
      <c r="P17" s="37">
        <f>'ПЛАН ЧИСТ ПОДЗЕМ'!B8*СПРАВОЧНИК!$L$3+'ПЛАН ЧИСТ ПОДЗЕМ'!C8*СПРАВОЧНИК!$M$3+'ПЛАН ЧИСТ ПОДЗЕМ'!D8*СПРАВОЧНИК!$N$3+'ПЛАН ЧИСТ ПОДЗЕМ'!E8*СПРАВОЧНИК!$L$4+'ПЛАН ЧИСТ ПОДЗЕМ'!F8*СПРАВОЧНИК!$M$4+'ПЛАН ЧИСТ ПОДЗЕМ'!G8*СПРАВОЧНИК!$N$4+'ПЛАН ЧИСТ ПОДЗЕМ'!H8*СПРАВОЧНИК!$L$5+'ПЛАН ЧИСТ ПОДЗЕМ'!I8*СПРАВОЧНИК!$M$5+'ПЛАН ЧИСТ ПОДЗЕМ'!J8*СПРАВОЧНИК!$N$5+'ПЛАН ЧИСТ ПОДЗЕМ'!K8*СПРАВОЧНИК!$L$6+'ПЛАН ЧИСТ ПОДЗЕМ'!L8*СПРАВОЧНИК!$M$6+'ПЛАН ЧИСТ ПОДЗЕМ'!M8*СПРАВОЧНИК!$N$6+'ПЛАН ЧИСТ ПОДЗЕМ'!N8*СПРАВОЧНИК!$L$7+'ПЛАН ЧИСТ ПОДЗЕМ'!O8*СПРАВОЧНИК!$M$7+'ПЛАН ЧИСТ ПОДЗЕМ'!P8*СПРАВОЧНИК!$N$7+'ПЛАН ЧИСТ ПОДЗЕМ'!Q8*СПРАВОЧНИК!$L$8+'ПЛАН ЧИСТ ПОДЗЕМ'!R8*СПРАВОЧНИК!$M$8+'ПЛАН ЧИСТ ПОДЗЕМ'!S8*СПРАВОЧНИК!$N$8</f>
        <v>0</v>
      </c>
      <c r="Q17" s="40">
        <f>('ФАКТ ЧИСТ ПОДЗЕМ'!B8)*СПРАВОЧНИК!$L$3+('ФАКТ ЧИСТ ПОДЗЕМ'!C8)*СПРАВОЧНИК!$M$3+('ФАКТ ЧИСТ ПОДЗЕМ'!D8)*СПРАВОЧНИК!$N$3+('ФАКТ ЧИСТ ПОДЗЕМ'!E8)*СПРАВОЧНИК!$L$4+('ФАКТ ЧИСТ ПОДЗЕМ'!F8)*СПРАВОЧНИК!$M$4+('ФАКТ ЧИСТ ПОДЗЕМ'!G8)*СПРАВОЧНИК!$N$4+('ФАКТ ЧИСТ ПОДЗЕМ'!H8)*СПРАВОЧНИК!$L$5+('ФАКТ ЧИСТ ПОДЗЕМ'!I8)*СПРАВОЧНИК!$M$5+('ФАКТ ЧИСТ ПОДЗЕМ'!J8)*СПРАВОЧНИК!$N$5+('ФАКТ ЧИСТ ПОДЗЕМ'!K8)*СПРАВОЧНИК!$L$6+('ФАКТ ЧИСТ ПОДЗЕМ'!L8)*СПРАВОЧНИК!$M$6+('ФАКТ ЧИСТ ПОДЗЕМ'!M8)*СПРАВОЧНИК!$N$6+('ФАКТ ЧИСТ ПОДЗЕМ'!N8)*СПРАВОЧНИК!$L$7+('ФАКТ ЧИСТ ПОДЗЕМ'!O8)*СПРАВОЧНИК!$M$7+('ФАКТ ЧИСТ ПОДЗЕМ'!P8)*СПРАВОЧНИК!$N$7+('ФАКТ ЧИСТ ПОДЗЕМ'!Q8)*СПРАВОЧНИК!$L$8+('ФАКТ ЧИСТ ПОДЗЕМ'!R8)*СПРАВОЧНИК!$M$8+('ФАКТ ЧИСТ ПОДЗЕМ'!S8)*СПРАВОЧНИК!$N$8</f>
        <v>0</v>
      </c>
      <c r="U17" s="18">
        <f t="shared" si="15"/>
        <v>46195</v>
      </c>
      <c r="V17" s="37">
        <f>СПРАВОЧНИК!$E$9*('ПЛАН ЧЕРН К1'!B8*СПРАВОЧНИК!$H$9+'ПЛАН ЧЕРН К1'!C8*СПРАВОЧНИК!$I$9+'ПЛАН ЧЕРН К1'!D8*СПРАВОЧНИК!$J$9)+СПРАВОЧНИК!$E$10*('ПЛАН ЧЕРН К1'!E8*СПРАВОЧНИК!$H$10+'ПЛАН ЧЕРН К1'!F8*СПРАВОЧНИК!$I$10+'ПЛАН ЧЕРН К1'!G8*СПРАВОЧНИК!$J$10)+СПРАВОЧНИК!$E$11*('ПЛАН ЧЕРН К1'!H8*СПРАВОЧНИК!$H$11+'ПЛАН ЧЕРН К1'!I8*СПРАВОЧНИК!$I$11+'ПЛАН ЧЕРН К1'!J8*СПРАВОЧНИК!$J$11)+СПРАВОЧНИК!$E$12*('ПЛАН ЧЕРН К1'!K8*СПРАВОЧНИК!$H$12+'ПЛАН ЧЕРН К1'!L8*СПРАВОЧНИК!$I$12+'ПЛАН ЧЕРН К1'!M8*СПРАВОЧНИК!$J$12)+СПРАВОЧНИК!$E$13*('ПЛАН ЧЕРН К1'!N8*СПРАВОЧНИК!$H$13+'ПЛАН ЧЕРН К1'!O8*СПРАВОЧНИК!$I$13+'ПЛАН ЧЕРН К1'!P8*СПРАВОЧНИК!$J$13)+СПРАВОЧНИК!$E$14*('ПЛАН ЧЕРН К1'!Q8*СПРАВОЧНИК!$H$14+'ПЛАН ЧЕРН К1'!R8*СПРАВОЧНИК!$I$14+'ПЛАН ЧЕРН К1'!S8*СПРАВОЧНИК!$J$14)+СПРАВОЧНИК!$E$15*('ПЛАН ЧЕРН К1'!T8*СПРАВОЧНИК!$H$15+'ПЛАН ЧЕРН К1'!U8*СПРАВОЧНИК!$I$15+'ПЛАН ЧЕРН К1'!V8*СПРАВОЧНИК!$J$15)+СПРАВОЧНИК!$F$9*('ПЛАН ЧИСТ К1'!B8*СПРАВОЧНИК!$L$9+'ПЛАН ЧИСТ К1'!C8*СПРАВОЧНИК!$M$9+'ПЛАН ЧИСТ К1'!D8*СПРАВОЧНИК!$N$9+'ПЛАН ЧИСТ К1'!E8*СПРАВОЧНИК!$O$9)+СПРАВОЧНИК!$F$10*('ПЛАН ЧИСТ К1'!F8*СПРАВОЧНИК!$L$10+'ПЛАН ЧИСТ К1'!G8*СПРАВОЧНИК!$M$10+'ПЛАН ЧИСТ К1'!H8*СПРАВОЧНИК!$N$10)+СПРАВОЧНИК!$F$11*('ПЛАН ЧИСТ К1'!I8*СПРАВОЧНИК!$L$11+'ПЛАН ЧИСТ К1'!J8*СПРАВОЧНИК!$M$11+'ПЛАН ЧИСТ К1'!K8*СПРАВОЧНИК!$N$11)+СПРАВОЧНИК!$F$12*('ПЛАН ЧИСТ К1'!L8*СПРАВОЧНИК!$L$12+'ПЛАН ЧИСТ К1'!M8*СПРАВОЧНИК!$M$12+'ПЛАН ЧИСТ К1'!N8*СПРАВОЧНИК!$N$12)+СПРАВОЧНИК!$F$13*('ПЛАН ЧИСТ К1'!O8*СПРАВОЧНИК!$L$13+'ПЛАН ЧИСТ К1'!P8*СПРАВОЧНИК!$M$13+'ПЛАН ЧИСТ К1'!Q8*СПРАВОЧНИК!$N$13)+СПРАВОЧНИК!$F$14*('ПЛАН ЧИСТ К1'!R8*СПРАВОЧНИК!$L$14+'ПЛАН ЧИСТ К1'!S8*СПРАВОЧНИК!$M$14+'ПЛАН ЧИСТ К1'!T8*СПРАВОЧНИК!$N$14)+СПРАВОЧНИК!$F$15*('ПЛАН ЧИСТ К1'!U8*СПРАВОЧНИК!$L$15+'ПЛАН ЧИСТ К1'!V8*СПРАВОЧНИК!$M$15+'ПЛАН ЧИСТ К1'!W8*СПРАВОЧНИК!$N$15)</f>
        <v>0</v>
      </c>
      <c r="W17" s="40">
        <f>СПРАВОЧНИК!$E$9*(('ФАКТ ЧЕРН К1'!B8)*СПРАВОЧНИК!$H$9+('ФАКТ ЧЕРН К1'!C8)*СПРАВОЧНИК!$I$9+('ФАКТ ЧЕРН К1'!D8)*СПРАВОЧНИК!$J$9)+СПРАВОЧНИК!$E$10*(('ФАКТ ЧЕРН К1'!E8)*СПРАВОЧНИК!$H$10+('ФАКТ ЧЕРН К1'!F8)*СПРАВОЧНИК!$I$10+('ФАКТ ЧЕРН К1'!G8)*СПРАВОЧНИК!$J$10)+СПРАВОЧНИК!$E$11*(('ФАКТ ЧЕРН К1'!H8)*СПРАВОЧНИК!$H$11+('ФАКТ ЧЕРН К1'!I8)*СПРАВОЧНИК!$I$11+('ФАКТ ЧЕРН К1'!J8)*СПРАВОЧНИК!$J$11)+СПРАВОЧНИК!$E$12*(('ФАКТ ЧЕРН К1'!K8)*СПРАВОЧНИК!$H$12+('ФАКТ ЧЕРН К1'!L8)*СПРАВОЧНИК!$I$12+('ФАКТ ЧЕРН К1'!M8)*СПРАВОЧНИК!$J$12)+СПРАВОЧНИК!$E$13*(('ФАКТ ЧЕРН К1'!N8)*СПРАВОЧНИК!$H$13+('ФАКТ ЧЕРН К1'!O8)*СПРАВОЧНИК!$I$13+('ФАКТ ЧЕРН К1'!P8)*СПРАВОЧНИК!$J$13)+СПРАВОЧНИК!$E$14*(('ФАКТ ЧЕРН К1'!Q8)*СПРАВОЧНИК!$H$14+('ФАКТ ЧЕРН К1'!R8)*СПРАВОЧНИК!$I$14+('ФАКТ ЧЕРН К1'!S8)*СПРАВОЧНИК!$J$14)+СПРАВОЧНИК!$E$15*(('ФАКТ ЧЕРН К1'!T8)*СПРАВОЧНИК!$H$15+('ФАКТ ЧЕРН К1'!U8)*СПРАВОЧНИК!$I$15+('ФАКТ ЧЕРН К1'!V8)*СПРАВОЧНИК!$J$15)+СПРАВОЧНИК!$F$9*(('ФАКТ ЧИСТ К1'!B8)*СПРАВОЧНИК!$L$9+('ФАКТ ЧИСТ К1'!C8)*СПРАВОЧНИК!$M$9+('ФАКТ ЧИСТ К1'!D8)*СПРАВОЧНИК!$N$9+('ФАКТ ЧИСТ К1'!E8)*СПРАВОЧНИК!$O$9)+СПРАВОЧНИК!$F$10*(('ФАКТ ЧИСТ К1'!F8)*СПРАВОЧНИК!$L$10+('ФАКТ ЧИСТ К1'!G8)*СПРАВОЧНИК!$M$10+('ФАКТ ЧИСТ К1'!H8)*СПРАВОЧНИК!$N$10)+СПРАВОЧНИК!$F$11*(('ФАКТ ЧИСТ К1'!I8)*СПРАВОЧНИК!$L$11+('ФАКТ ЧИСТ К1'!J8)*СПРАВОЧНИК!$M$11+('ФАКТ ЧИСТ К1'!K8)*СПРАВОЧНИК!$N$11)+СПРАВОЧНИК!$F$12*(('ФАКТ ЧИСТ К1'!L8)*СПРАВОЧНИК!$L$12+('ФАКТ ЧИСТ К1'!M8)*СПРАВОЧНИК!$M$12+('ФАКТ ЧИСТ К1'!N8)*СПРАВОЧНИК!$N$12)+СПРАВОЧНИК!$F$13*(('ФАКТ ЧИСТ К1'!O8)*СПРАВОЧНИК!$L$13+('ФАКТ ЧИСТ К1'!P8)*СПРАВОЧНИК!$M$13+('ФАКТ ЧИСТ К1'!Q8)*СПРАВОЧНИК!$N$13)+СПРАВОЧНИК!$F$14*(('ФАКТ ЧИСТ К1'!R8)*СПРАВОЧНИК!$L$14+('ФАКТ ЧИСТ К1'!S8)*СПРАВОЧНИК!$M$14+('ФАКТ ЧИСТ К1'!T8)*СПРАВОЧНИК!$N$14)+СПРАВОЧНИК!$F$15*(('ФАКТ ЧИСТ К1'!U8)*СПРАВОЧНИК!$L$15+('ФАКТ ЧИСТ К1'!V8)*СПРАВОЧНИК!$M$15+('ФАКТ ЧИСТ К1'!W8)*СПРАВОЧНИК!$N$15)</f>
        <v>0</v>
      </c>
      <c r="AA17" s="18">
        <f t="shared" si="16"/>
        <v>46195</v>
      </c>
      <c r="AB17" s="37">
        <f>'ПЛАН ЧЕРН К1'!B8*СПРАВОЧНИК!$H$9+'ПЛАН ЧЕРН К1'!C8*СПРАВОЧНИК!$I$9+'ПЛАН ЧЕРН К1'!D8*СПРАВОЧНИК!$J$9+'ПЛАН ЧЕРН К1'!E8*СПРАВОЧНИК!$H$10+'ПЛАН ЧЕРН К1'!F8*СПРАВОЧНИК!$I$10+'ПЛАН ЧЕРН К1'!G8*СПРАВОЧНИК!$J$10+'ПЛАН ЧЕРН К1'!H8*СПРАВОЧНИК!$H$11+'ПЛАН ЧЕРН К1'!I8*СПРАВОЧНИК!$I$11+'ПЛАН ЧЕРН К1'!J8*СПРАВОЧНИК!$J$11+'ПЛАН ЧЕРН К1'!K8*СПРАВОЧНИК!$H$12+'ПЛАН ЧЕРН К1'!L8*СПРАВОЧНИК!$I$12+'ПЛАН ЧЕРН К1'!M8*СПРАВОЧНИК!$J$12+'ПЛАН ЧЕРН К1'!N8*СПРАВОЧНИК!$H$13+'ПЛАН ЧЕРН К1'!O8*СПРАВОЧНИК!$I$13+'ПЛАН ЧЕРН К1'!P8*СПРАВОЧНИК!$J$13+'ПЛАН ЧЕРН К1'!Q8*СПРАВОЧНИК!$H$14+'ПЛАН ЧЕРН К1'!R8*СПРАВОЧНИК!$I$14+'ПЛАН ЧЕРН К1'!S8*СПРАВОЧНИК!$J$14+'ПЛАН ЧЕРН К1'!T8*СПРАВОЧНИК!$H$15+'ПЛАН ЧЕРН К1'!U8*СПРАВОЧНИК!$I$15+'ПЛАН ЧЕРН К1'!V8*СПРАВОЧНИК!$J$15</f>
        <v>0</v>
      </c>
      <c r="AC17" s="40">
        <f>('ФАКТ ЧЕРН К1'!B8)*СПРАВОЧНИК!$H$9+('ФАКТ ЧЕРН К1'!C8)*СПРАВОЧНИК!$I$9+('ФАКТ ЧЕРН К1'!D8)*СПРАВОЧНИК!$J$9+('ФАКТ ЧЕРН К1'!E8)*СПРАВОЧНИК!$H$10+('ФАКТ ЧЕРН К1'!F8)*СПРАВОЧНИК!$I$10+('ФАКТ ЧЕРН К1'!G8)*СПРАВОЧНИК!$J$10+('ФАКТ ЧЕРН К1'!H8)*СПРАВОЧНИК!$H$11+('ФАКТ ЧЕРН К1'!I8)*СПРАВОЧНИК!$I$11+('ФАКТ ЧЕРН К1'!J8)*СПРАВОЧНИК!$J$11+('ФАКТ ЧЕРН К1'!K8)*СПРАВОЧНИК!$H$12+('ФАКТ ЧЕРН К1'!L8)*СПРАВОЧНИК!$I$12+('ФАКТ ЧЕРН К1'!M8)*СПРАВОЧНИК!$J$12+('ФАКТ ЧЕРН К1'!N8)*СПРАВОЧНИК!$H$13+('ФАКТ ЧЕРН К1'!O8)*СПРАВОЧНИК!$I$13+('ФАКТ ЧЕРН К1'!P8)*СПРАВОЧНИК!$J$13+('ФАКТ ЧЕРН К1'!Q8)*СПРАВОЧНИК!$H$14+('ФАКТ ЧЕРН К1'!R8)*СПРАВОЧНИК!$I$14+('ФАКТ ЧЕРН К1'!S8)*СПРАВОЧНИК!$J$14+('ФАКТ ЧЕРН К1'!T8)*СПРАВОЧНИК!$H$15+('ФАКТ ЧЕРН К1'!U8)*СПРАВОЧНИК!$I$15+('ФАКТ ЧЕРН К1'!V8)*СПРАВОЧНИК!$J$15</f>
        <v>0</v>
      </c>
      <c r="AG17" s="18">
        <f t="shared" si="17"/>
        <v>46195</v>
      </c>
      <c r="AH17" s="37">
        <f>'ПЛАН ЧИСТ К1'!B8*СПРАВОЧНИК!$L$9+'ПЛАН ЧИСТ К1'!C8*СПРАВОЧНИК!$M$9+'ПЛАН ЧИСТ К1'!D8*СПРАВОЧНИК!$N$9+'ПЛАН ЧИСТ К1'!E8*СПРАВОЧНИК!$O$9+'ПЛАН ЧИСТ К1'!F8*СПРАВОЧНИК!$L$10+'ПЛАН ЧИСТ К1'!G8*СПРАВОЧНИК!$M$10+'ПЛАН ЧИСТ К1'!H8*СПРАВОЧНИК!$N$10+'ПЛАН ЧИСТ К1'!I8*СПРАВОЧНИК!$L$11+'ПЛАН ЧИСТ К1'!J8*СПРАВОЧНИК!$M$11+'ПЛАН ЧИСТ К1'!K8*СПРАВОЧНИК!$N$11+'ПЛАН ЧИСТ К1'!L8*СПРАВОЧНИК!$L$12+'ПЛАН ЧИСТ К1'!M8*СПРАВОЧНИК!$M$12+'ПЛАН ЧИСТ К1'!N8*СПРАВОЧНИК!$N$12+'ПЛАН ЧИСТ К1'!O8*СПРАВОЧНИК!$L$13+'ПЛАН ЧИСТ К1'!P8*СПРАВОЧНИК!$M$13+'ПЛАН ЧИСТ К1'!Q8*СПРАВОЧНИК!$N$13+'ПЛАН ЧИСТ К1'!R8*СПРАВОЧНИК!$L$14+'ПЛАН ЧИСТ К1'!S8*СПРАВОЧНИК!$M$14+'ПЛАН ЧИСТ К1'!T8*СПРАВОЧНИК!$N$14+'ПЛАН ЧИСТ К1'!U8*СПРАВОЧНИК!$L$15+'ПЛАН ЧИСТ К1'!V8*СПРАВОЧНИК!$M$15+'ПЛАН ЧИСТ К1'!W8*СПРАВОЧНИК!$N$15</f>
        <v>0</v>
      </c>
      <c r="AI17" s="40">
        <f>('ФАКТ ЧИСТ К1'!B8)*СПРАВОЧНИК!$L$9+('ФАКТ ЧИСТ К1'!C8)*СПРАВОЧНИК!$M$9+('ФАКТ ЧИСТ К1'!D8)*СПРАВОЧНИК!$N$9+('ФАКТ ЧИСТ К1'!E8)*СПРАВОЧНИК!$O$9+('ФАКТ ЧИСТ К1'!F8)*СПРАВОЧНИК!$L$10+('ФАКТ ЧИСТ К1'!G8)*СПРАВОЧНИК!$M$10+('ФАКТ ЧИСТ К1'!H8)*СПРАВОЧНИК!$N$10+('ФАКТ ЧИСТ К1'!I8)*СПРАВОЧНИК!$L$11+('ФАКТ ЧИСТ К1'!J8)*СПРАВОЧНИК!$M$11+('ФАКТ ЧИСТ К1'!K8)*СПРАВОЧНИК!$N$11+('ФАКТ ЧИСТ К1'!L8)*СПРАВОЧНИК!$L$12+('ФАКТ ЧИСТ К1'!M8)*СПРАВОЧНИК!$M$12+('ФАКТ ЧИСТ К1'!N8)*СПРАВОЧНИК!$N$12+('ФАКТ ЧИСТ К1'!O8)*СПРАВОЧНИК!$L$13+('ФАКТ ЧИСТ К1'!P8)*СПРАВОЧНИК!$M$13+('ФАКТ ЧИСТ К1'!Q8)*СПРАВОЧНИК!$N$13+('ФАКТ ЧИСТ К1'!R8)*СПРАВОЧНИК!$L$14+('ФАКТ ЧИСТ К1'!S8)*СПРАВОЧНИК!$M$14+('ФАКТ ЧИСТ К1'!T8)*СПРАВОЧНИК!$N$14+('ФАКТ ЧИСТ К1'!U8)*СПРАВОЧНИК!$L$15+('ФАКТ ЧИСТ К1'!V8)*СПРАВОЧНИК!$M$15+('ФАКТ ЧИСТ К1'!W8)*СПРАВОЧНИК!$N$15</f>
        <v>0</v>
      </c>
      <c r="AM17" s="18">
        <f t="shared" si="18"/>
        <v>46195</v>
      </c>
      <c r="AN17" s="37">
        <f>СПРАВОЧНИК!$E$9*('ПЛАН ЧЕРН К2'!B8*СПРАВОЧНИК!$H$9+'ПЛАН ЧЕРН К2'!C8*СПРАВОЧНИК!$I$9+'ПЛАН ЧЕРН К2'!D8*СПРАВОЧНИК!$J$9)+СПРАВОЧНИК!$E$10*('ПЛАН ЧЕРН К2'!E8*СПРАВОЧНИК!$H$10+'ПЛАН ЧЕРН К2'!F8*СПРАВОЧНИК!$I$10+'ПЛАН ЧЕРН К2'!G8*СПРАВОЧНИК!$J$10)+СПРАВОЧНИК!$E$11*('ПЛАН ЧЕРН К2'!H8*СПРАВОЧНИК!$H$11+'ПЛАН ЧЕРН К2'!I8*СПРАВОЧНИК!$I$11+'ПЛАН ЧЕРН К2'!J8*СПРАВОЧНИК!$J$11)+СПРАВОЧНИК!$E$12*('ПЛАН ЧЕРН К2'!K8*СПРАВОЧНИК!$H$12+'ПЛАН ЧЕРН К2'!L8*СПРАВОЧНИК!$I$12+'ПЛАН ЧЕРН К2'!M8*СПРАВОЧНИК!$J$12)+СПРАВОЧНИК!$E$13*('ПЛАН ЧЕРН К2'!N8*СПРАВОЧНИК!$H$13+'ПЛАН ЧЕРН К2'!O8*СПРАВОЧНИК!$I$13+'ПЛАН ЧЕРН К2'!P8*СПРАВОЧНИК!$J$13)+СПРАВОЧНИК!$E$14*('ПЛАН ЧЕРН К2'!Q8*СПРАВОЧНИК!$H$14+'ПЛАН ЧЕРН К2'!R8*СПРАВОЧНИК!$I$14+'ПЛАН ЧЕРН К2'!S8*СПРАВОЧНИК!$J$14)+СПРАВОЧНИК!$E$15*('ПЛАН ЧЕРН К2'!T8*СПРАВОЧНИК!$H$15+'ПЛАН ЧЕРН К2'!U8*СПРАВОЧНИК!$I$15+'ПЛАН ЧЕРН К2'!V8*СПРАВОЧНИК!$J$15)+СПРАВОЧНИК!$F$9*('ПЛАН ЧИСТ К2'!B8*СПРАВОЧНИК!$L$9+'ПЛАН ЧИСТ К2'!C8*СПРАВОЧНИК!$M$9+'ПЛАН ЧИСТ К2'!D8*СПРАВОЧНИК!$N$9+'ПЛАН ЧИСТ К2'!E8*СПРАВОЧНИК!$O$9)+СПРАВОЧНИК!$F$10*('ПЛАН ЧИСТ К2'!F8*СПРАВОЧНИК!$L$10+'ПЛАН ЧИСТ К2'!G8*СПРАВОЧНИК!$M$10+'ПЛАН ЧИСТ К2'!H8*СПРАВОЧНИК!$N$10)+СПРАВОЧНИК!$F$11*('ПЛАН ЧИСТ К2'!I8*СПРАВОЧНИК!$L$11+'ПЛАН ЧИСТ К2'!J8*СПРАВОЧНИК!$M$11+'ПЛАН ЧИСТ К2'!K8*СПРАВОЧНИК!$N$11)+СПРАВОЧНИК!$F$12*('ПЛАН ЧИСТ К2'!L8*СПРАВОЧНИК!$L$12+'ПЛАН ЧИСТ К2'!M8*СПРАВОЧНИК!$M$12+'ПЛАН ЧИСТ К2'!N8*СПРАВОЧНИК!$N$12)+СПРАВОЧНИК!$F$13*('ПЛАН ЧИСТ К2'!O8*СПРАВОЧНИК!$L$13+'ПЛАН ЧИСТ К2'!P8*СПРАВОЧНИК!$M$13+'ПЛАН ЧИСТ К2'!Q8*СПРАВОЧНИК!$N$13)+СПРАВОЧНИК!$F$14*('ПЛАН ЧИСТ К2'!R8*СПРАВОЧНИК!$L$14+'ПЛАН ЧИСТ К2'!S8*СПРАВОЧНИК!$M$14+'ПЛАН ЧИСТ К2'!T8*СПРАВОЧНИК!$N$14)+СПРАВОЧНИК!$F$15*('ПЛАН ЧИСТ К2'!U8*СПРАВОЧНИК!$L$15+'ПЛАН ЧИСТ К2'!V8*СПРАВОЧНИК!$M$15+'ПЛАН ЧИСТ К2'!W8*СПРАВОЧНИК!$N$15)</f>
        <v>0</v>
      </c>
      <c r="AO17" s="40">
        <f>СПРАВОЧНИК!$E$9*(('ФАКТ ЧЕРН К2'!B8)*СПРАВОЧНИК!$H$9+('ФАКТ ЧЕРН К2'!C8)*СПРАВОЧНИК!$I$9+('ФАКТ ЧЕРН К2'!D8)*СПРАВОЧНИК!$J$9)+СПРАВОЧНИК!$E$10*(('ФАКТ ЧЕРН К2'!E8)*СПРАВОЧНИК!$H$10+('ФАКТ ЧЕРН К2'!F8)*СПРАВОЧНИК!$I$10+('ФАКТ ЧЕРН К2'!G8)*СПРАВОЧНИК!$J$10)+СПРАВОЧНИК!$E$11*(('ФАКТ ЧЕРН К2'!H8)*СПРАВОЧНИК!$H$11+('ФАКТ ЧЕРН К2'!I8)*СПРАВОЧНИК!$I$11+('ФАКТ ЧЕРН К2'!J8)*СПРАВОЧНИК!$J$11)+СПРАВОЧНИК!$E$12*(('ФАКТ ЧЕРН К2'!K8)*СПРАВОЧНИК!$H$12+('ФАКТ ЧЕРН К2'!L8)*СПРАВОЧНИК!$I$12+('ФАКТ ЧЕРН К2'!M8)*СПРАВОЧНИК!$J$12)+СПРАВОЧНИК!$E$13*(('ФАКТ ЧЕРН К2'!N8)*СПРАВОЧНИК!$H$13+('ФАКТ ЧЕРН К2'!O8)*СПРАВОЧНИК!$I$13+('ФАКТ ЧЕРН К2'!P8)*СПРАВОЧНИК!$J$13)+СПРАВОЧНИК!$E$14*(('ФАКТ ЧЕРН К2'!Q8)*СПРАВОЧНИК!$H$14+('ФАКТ ЧЕРН К2'!R8)*СПРАВОЧНИК!$I$14+('ФАКТ ЧЕРН К2'!S8)*СПРАВОЧНИК!$J$14)+СПРАВОЧНИК!$E$15*(('ФАКТ ЧЕРН К2'!T8)*СПРАВОЧНИК!$H$15+('ФАКТ ЧЕРН К2'!U8)*СПРАВОЧНИК!$I$15+('ФАКТ ЧЕРН К2'!V8)*СПРАВОЧНИК!$J$15)+СПРАВОЧНИК!$F$9*(('ФАКТ ЧИСТ К2'!B8)*СПРАВОЧНИК!$L$9+('ФАКТ ЧИСТ К2'!C8)*СПРАВОЧНИК!$M$9+('ФАКТ ЧИСТ К2'!D8)*СПРАВОЧНИК!$N$9+('ФАКТ ЧИСТ К2'!E8)*СПРАВОЧНИК!$O$9)+СПРАВОЧНИК!$F$10*(('ФАКТ ЧИСТ К2'!F8)*СПРАВОЧНИК!$L$10+('ФАКТ ЧИСТ К2'!G8)*СПРАВОЧНИК!$M$10+('ФАКТ ЧИСТ К2'!H8)*СПРАВОЧНИК!$N$10)+СПРАВОЧНИК!$F$11*(('ФАКТ ЧИСТ К2'!I8)*СПРАВОЧНИК!$L$11+('ФАКТ ЧИСТ К2'!J8)*СПРАВОЧНИК!$M$11+('ФАКТ ЧИСТ К2'!K8)*СПРАВОЧНИК!$N$11)+СПРАВОЧНИК!$F$12*(('ФАКТ ЧИСТ К2'!L8)*СПРАВОЧНИК!$L$12+('ФАКТ ЧИСТ К2'!M8)*СПРАВОЧНИК!$M$12+('ФАКТ ЧИСТ К2'!N8)*СПРАВОЧНИК!$N$12)+СПРАВОЧНИК!$F$13*(('ФАКТ ЧИСТ К2'!O8)*СПРАВОЧНИК!$L$13+('ФАКТ ЧИСТ К2'!P8)*СПРАВОЧНИК!$M$13+('ФАКТ ЧИСТ К2'!Q8)*СПРАВОЧНИК!$N$13)+СПРАВОЧНИК!$F$14*(('ФАКТ ЧИСТ К2'!R8)*СПРАВОЧНИК!$L$14+('ФАКТ ЧИСТ К2'!S8)*СПРАВОЧНИК!$M$14+('ФАКТ ЧИСТ К2'!T8)*СПРАВОЧНИК!$N$14)+СПРАВОЧНИК!$F$15*(('ФАКТ ЧИСТ К2'!U8)*СПРАВОЧНИК!$L$15+('ФАКТ ЧИСТ К2'!V8)*СПРАВОЧНИК!$M$15+('ФАКТ ЧИСТ К2'!W8)*СПРАВОЧНИК!$N$15)</f>
        <v>0</v>
      </c>
      <c r="AS17" s="18">
        <f t="shared" si="19"/>
        <v>46195</v>
      </c>
      <c r="AT17" s="37">
        <f>'ПЛАН ЧЕРН К2'!B8*СПРАВОЧНИК!$H$9+'ПЛАН ЧЕРН К2'!C8*СПРАВОЧНИК!$I$9+'ПЛАН ЧЕРН К2'!D8*СПРАВОЧНИК!$J$9+'ПЛАН ЧЕРН К2'!E8*СПРАВОЧНИК!$H$10+'ПЛАН ЧЕРН К2'!F8*СПРАВОЧНИК!$I$10+'ПЛАН ЧЕРН К2'!G8*СПРАВОЧНИК!$J$10+'ПЛАН ЧЕРН К2'!H8*СПРАВОЧНИК!$H$11+'ПЛАН ЧЕРН К2'!I8*СПРАВОЧНИК!$I$11+'ПЛАН ЧЕРН К2'!J8*СПРАВОЧНИК!$J$11+'ПЛАН ЧЕРН К2'!K8*СПРАВОЧНИК!$H$12+'ПЛАН ЧЕРН К2'!L8*СПРАВОЧНИК!$I$12+'ПЛАН ЧЕРН К2'!M8*СПРАВОЧНИК!$J$12+'ПЛАН ЧЕРН К2'!N8*СПРАВОЧНИК!$H$13+'ПЛАН ЧЕРН К2'!O8*СПРАВОЧНИК!$I$13+'ПЛАН ЧЕРН К2'!P8*СПРАВОЧНИК!$J$13+'ПЛАН ЧЕРН К2'!Q8*СПРАВОЧНИК!$H$14+'ПЛАН ЧЕРН К2'!R8*СПРАВОЧНИК!$I$14+'ПЛАН ЧЕРН К2'!S8*СПРАВОЧНИК!$J$14+'ПЛАН ЧЕРН К2'!T8*СПРАВОЧНИК!$H$15+'ПЛАН ЧЕРН К2'!U8*СПРАВОЧНИК!$I$15+'ПЛАН ЧЕРН К2'!V8*СПРАВОЧНИК!$J$15</f>
        <v>0</v>
      </c>
      <c r="AU17" s="40">
        <f>('ФАКТ ЧЕРН К2'!B8)*СПРАВОЧНИК!$H$9+('ФАКТ ЧЕРН К2'!C8)*СПРАВОЧНИК!$I$9+('ФАКТ ЧЕРН К2'!D8)*СПРАВОЧНИК!$J$9+('ФАКТ ЧЕРН К2'!E8)*СПРАВОЧНИК!$H$10+('ФАКТ ЧЕРН К2'!F8)*СПРАВОЧНИК!$I$10+('ФАКТ ЧЕРН К2'!G8)*СПРАВОЧНИК!$J$10+('ФАКТ ЧЕРН К2'!H8)*СПРАВОЧНИК!$H$11+('ФАКТ ЧЕРН К2'!I8)*СПРАВОЧНИК!$I$11+('ФАКТ ЧЕРН К2'!J8)*СПРАВОЧНИК!$J$11+('ФАКТ ЧЕРН К2'!K8)*СПРАВОЧНИК!$H$12+('ФАКТ ЧЕРН К2'!L8)*СПРАВОЧНИК!$I$12+('ФАКТ ЧЕРН К2'!M8)*СПРАВОЧНИК!$J$12+('ФАКТ ЧЕРН К2'!N8)*СПРАВОЧНИК!$H$13+('ФАКТ ЧЕРН К2'!O8)*СПРАВОЧНИК!$I$13+('ФАКТ ЧЕРН К2'!P8)*СПРАВОЧНИК!$J$13+('ФАКТ ЧЕРН К2'!Q8)*СПРАВОЧНИК!$H$14+('ФАКТ ЧЕРН К2'!R8)*СПРАВОЧНИК!$I$14+('ФАКТ ЧЕРН К2'!S8)*СПРАВОЧНИК!$J$14+('ФАКТ ЧЕРН К2'!T8)*СПРАВОЧНИК!$H$15+('ФАКТ ЧЕРН К2'!U8)*СПРАВОЧНИК!$I$15+('ФАКТ ЧЕРН К2'!V8)*СПРАВОЧНИК!$J$15</f>
        <v>0</v>
      </c>
      <c r="AY17" s="18">
        <f t="shared" si="20"/>
        <v>46195</v>
      </c>
      <c r="AZ17" s="37">
        <f>'ПЛАН ЧИСТ К2'!B8*СПРАВОЧНИК!$L$9+'ПЛАН ЧИСТ К2'!C8*СПРАВОЧНИК!$M$9+'ПЛАН ЧИСТ К2'!D8*СПРАВОЧНИК!$N$9+'ПЛАН ЧИСТ К2'!E8*СПРАВОЧНИК!$O$9+'ПЛАН ЧИСТ К2'!F8*СПРАВОЧНИК!$L$10+'ПЛАН ЧИСТ К2'!G8*СПРАВОЧНИК!$M$10+'ПЛАН ЧИСТ К2'!H8*СПРАВОЧНИК!$N$10+'ПЛАН ЧИСТ К2'!I8*СПРАВОЧНИК!$L$11+'ПЛАН ЧИСТ К2'!J8*СПРАВОЧНИК!$M$11+'ПЛАН ЧИСТ К2'!K8*СПРАВОЧНИК!$N$11+'ПЛАН ЧИСТ К2'!L8*СПРАВОЧНИК!$L$12+'ПЛАН ЧИСТ К2'!M8*СПРАВОЧНИК!$M$12+'ПЛАН ЧИСТ К2'!N8*СПРАВОЧНИК!$N$12+'ПЛАН ЧИСТ К2'!O8*СПРАВОЧНИК!$L$13+'ПЛАН ЧИСТ К2'!P8*СПРАВОЧНИК!$M$13+'ПЛАН ЧИСТ К2'!Q8*СПРАВОЧНИК!$N$13+'ПЛАН ЧИСТ К2'!R8*СПРАВОЧНИК!$L$14+'ПЛАН ЧИСТ К2'!S8*СПРАВОЧНИК!$M$14+'ПЛАН ЧИСТ К2'!T8*СПРАВОЧНИК!$N$14+'ПЛАН ЧИСТ К2'!U8*СПРАВОЧНИК!$L$15+'ПЛАН ЧИСТ К2'!V8*СПРАВОЧНИК!$M$15+'ПЛАН ЧИСТ К2'!W8*СПРАВОЧНИК!$N$15</f>
        <v>0</v>
      </c>
      <c r="BA17" s="40">
        <f>('ФАКТ ЧИСТ К2'!B8)*СПРАВОЧНИК!$L$9+('ФАКТ ЧИСТ К2'!C8)*СПРАВОЧНИК!$M$9+('ФАКТ ЧИСТ К2'!D8)*СПРАВОЧНИК!$N$9+('ФАКТ ЧИСТ К2'!E8)*СПРАВОЧНИК!$O$9+('ФАКТ ЧИСТ К2'!F8)*СПРАВОЧНИК!$L$10+('ФАКТ ЧИСТ К2'!G8)*СПРАВОЧНИК!$M$10+('ФАКТ ЧИСТ К2'!H8)*СПРАВОЧНИК!$N$10+('ФАКТ ЧИСТ К2'!I8)*СПРАВОЧНИК!$L$11+('ФАКТ ЧИСТ К2'!J8)*СПРАВОЧНИК!$M$11+('ФАКТ ЧИСТ К2'!K8)*СПРАВОЧНИК!$N$11+('ФАКТ ЧИСТ К2'!L8)*СПРАВОЧНИК!$L$12+('ФАКТ ЧИСТ К2'!M8)*СПРАВОЧНИК!$M$12+('ФАКТ ЧИСТ К2'!N8)*СПРАВОЧНИК!$N$12+('ФАКТ ЧИСТ К2'!O8)*СПРАВОЧНИК!$L$13+('ФАКТ ЧИСТ К2'!P8)*СПРАВОЧНИК!$M$13+('ФАКТ ЧИСТ К2'!Q8)*СПРАВОЧНИК!$N$13+('ФАКТ ЧИСТ К2'!R8)*СПРАВОЧНИК!$L$14+('ФАКТ ЧИСТ К2'!S8)*СПРАВОЧНИК!$M$14+('ФАКТ ЧИСТ К2'!T8)*СПРАВОЧНИК!$N$14+('ФАКТ ЧИСТ К2'!U8)*СПРАВОЧНИК!$L$15+('ФАКТ ЧИСТ К2'!V8)*СПРАВОЧНИК!$M$15+('ФАКТ ЧИСТ К2'!W8)*СПРАВОЧНИК!$N$15</f>
        <v>0</v>
      </c>
      <c r="BE17" s="18">
        <f t="shared" si="21"/>
        <v>46195</v>
      </c>
      <c r="BF17" s="37">
        <f>СПРАВОЧНИК!$E$9*('ПЛАН ЧЕРН К3'!B8*СПРАВОЧНИК!$H$9+'ПЛАН ЧЕРН К3'!C8*СПРАВОЧНИК!$I$9+'ПЛАН ЧЕРН К3'!D8*СПРАВОЧНИК!$J$9)+СПРАВОЧНИК!$E$10*('ПЛАН ЧЕРН К3'!E8*СПРАВОЧНИК!$H$10+'ПЛАН ЧЕРН К3'!F8*СПРАВОЧНИК!$I$10+'ПЛАН ЧЕРН К3'!G8*СПРАВОЧНИК!$J$10)+СПРАВОЧНИК!$E$11*('ПЛАН ЧЕРН К3'!H8*СПРАВОЧНИК!$H$11+'ПЛАН ЧЕРН К3'!I8*СПРАВОЧНИК!$I$11+'ПЛАН ЧЕРН К3'!J8*СПРАВОЧНИК!$J$11)+СПРАВОЧНИК!$E$12*('ПЛАН ЧЕРН К3'!K8*СПРАВОЧНИК!$H$12+'ПЛАН ЧЕРН К3'!L8*СПРАВОЧНИК!$I$12+'ПЛАН ЧЕРН К3'!M8*СПРАВОЧНИК!$J$12)+СПРАВОЧНИК!$E$13*('ПЛАН ЧЕРН К3'!N8*СПРАВОЧНИК!$H$13+'ПЛАН ЧЕРН К3'!O8*СПРАВОЧНИК!$I$13+'ПЛАН ЧЕРН К3'!P8*СПРАВОЧНИК!$J$13)+СПРАВОЧНИК!$E$14*('ПЛАН ЧЕРН К3'!Q8*СПРАВОЧНИК!$H$14+'ПЛАН ЧЕРН К3'!R8*СПРАВОЧНИК!$I$14+'ПЛАН ЧЕРН К3'!S8*СПРАВОЧНИК!$J$14)+СПРАВОЧНИК!$E$15*('ПЛАН ЧЕРН К3'!T8*СПРАВОЧНИК!$H$15+'ПЛАН ЧЕРН К3'!U8*СПРАВОЧНИК!$I$15+'ПЛАН ЧЕРН К3'!V8*СПРАВОЧНИК!$J$15)+СПРАВОЧНИК!$F$9*('ПЛАН ЧИСТ К3'!B8*СПРАВОЧНИК!$L$9+'ПЛАН ЧИСТ К3'!C8*СПРАВОЧНИК!$M$9+'ПЛАН ЧИСТ К3'!D8*СПРАВОЧНИК!$N$9+'ПЛАН ЧИСТ К3'!E8*СПРАВОЧНИК!$O$9)+СПРАВОЧНИК!$F$10*('ПЛАН ЧИСТ К3'!F8*СПРАВОЧНИК!$L$10+'ПЛАН ЧИСТ К3'!G8*СПРАВОЧНИК!$M$10+'ПЛАН ЧИСТ К3'!H8*СПРАВОЧНИК!$N$10)+СПРАВОЧНИК!$F$11*('ПЛАН ЧИСТ К3'!I8*СПРАВОЧНИК!$L$11+'ПЛАН ЧИСТ К3'!J8*СПРАВОЧНИК!$M$11+'ПЛАН ЧИСТ К3'!K8*СПРАВОЧНИК!$N$11)+СПРАВОЧНИК!$F$12*('ПЛАН ЧИСТ К3'!L8*СПРАВОЧНИК!$L$12+'ПЛАН ЧИСТ К3'!M8*СПРАВОЧНИК!$M$12+'ПЛАН ЧИСТ К3'!N8*СПРАВОЧНИК!$N$12)+СПРАВОЧНИК!$F$13*('ПЛАН ЧИСТ К3'!O8*СПРАВОЧНИК!$L$13+'ПЛАН ЧИСТ К3'!P8*СПРАВОЧНИК!$M$13+'ПЛАН ЧИСТ К3'!Q8*СПРАВОЧНИК!$N$13)+СПРАВОЧНИК!$F$14*('ПЛАН ЧИСТ К3'!R8*СПРАВОЧНИК!$L$14+'ПЛАН ЧИСТ К3'!S8*СПРАВОЧНИК!$M$14+'ПЛАН ЧИСТ К3'!T8*СПРАВОЧНИК!$N$14)+СПРАВОЧНИК!$F$15*('ПЛАН ЧИСТ К3'!U8*СПРАВОЧНИК!$L$15+'ПЛАН ЧИСТ К3'!V8*СПРАВОЧНИК!$M$15+'ПЛАН ЧИСТ К3'!W8*СПРАВОЧНИК!$N$15)</f>
        <v>0</v>
      </c>
      <c r="BG17" s="40">
        <f>СПРАВОЧНИК!$E$9*(('ФАКТ ЧЕРН К3'!B8)*СПРАВОЧНИК!$H$9+('ФАКТ ЧЕРН К3'!C8)*СПРАВОЧНИК!$I$9+('ФАКТ ЧЕРН К3'!D8)*СПРАВОЧНИК!$J$9)+СПРАВОЧНИК!$E$10*(('ФАКТ ЧЕРН К3'!E8)*СПРАВОЧНИК!$H$10+('ФАКТ ЧЕРН К3'!F8)*СПРАВОЧНИК!$I$10+('ФАКТ ЧЕРН К3'!G8)*СПРАВОЧНИК!$J$10)+СПРАВОЧНИК!$E$11*(('ФАКТ ЧЕРН К3'!H8)*СПРАВОЧНИК!$H$11+('ФАКТ ЧЕРН К3'!I8)*СПРАВОЧНИК!$I$11+('ФАКТ ЧЕРН К3'!J8)*СПРАВОЧНИК!$J$11)+СПРАВОЧНИК!$E$12*(('ФАКТ ЧЕРН К3'!K8)*СПРАВОЧНИК!$H$12+('ФАКТ ЧЕРН К3'!L8)*СПРАВОЧНИК!$I$12+('ФАКТ ЧЕРН К3'!M8)*СПРАВОЧНИК!$J$12)+СПРАВОЧНИК!$E$13*(('ФАКТ ЧЕРН К3'!N8)*СПРАВОЧНИК!$H$13+('ФАКТ ЧЕРН К3'!O8)*СПРАВОЧНИК!$I$13+('ФАКТ ЧЕРН К3'!P8)*СПРАВОЧНИК!$J$13)+СПРАВОЧНИК!$E$14*(('ФАКТ ЧЕРН К3'!Q8)*СПРАВОЧНИК!$H$14+('ФАКТ ЧЕРН К3'!R8)*СПРАВОЧНИК!$I$14+('ФАКТ ЧЕРН К3'!S8)*СПРАВОЧНИК!$J$14)+СПРАВОЧНИК!$E$15*(('ФАКТ ЧЕРН К3'!T8)*СПРАВОЧНИК!$H$15+('ФАКТ ЧЕРН К3'!U8)*СПРАВОЧНИК!$I$15+('ФАКТ ЧЕРН К3'!V8)*СПРАВОЧНИК!$J$15)+СПРАВОЧНИК!$F$9*(('ФАКТ ЧИСТ К3'!B8)*СПРАВОЧНИК!$L$9+('ФАКТ ЧИСТ К3'!C8)*СПРАВОЧНИК!$M$9+('ФАКТ ЧИСТ К3'!D8)*СПРАВОЧНИК!$N$9+('ФАКТ ЧИСТ К3'!E8)*СПРАВОЧНИК!$O$9)+СПРАВОЧНИК!$F$10*(('ФАКТ ЧИСТ К3'!F8)*СПРАВОЧНИК!$L$10+('ФАКТ ЧИСТ К3'!G8)*СПРАВОЧНИК!$M$10+('ФАКТ ЧИСТ К3'!H8)*СПРАВОЧНИК!$N$10)+СПРАВОЧНИК!$F$11*(('ФАКТ ЧИСТ К3'!I8)*СПРАВОЧНИК!$L$11+('ФАКТ ЧИСТ К3'!J8)*СПРАВОЧНИК!$M$11+('ФАКТ ЧИСТ К3'!K8)*СПРАВОЧНИК!$N$11)+СПРАВОЧНИК!$F$12*(('ФАКТ ЧИСТ К3'!L8)*СПРАВОЧНИК!$L$12+('ФАКТ ЧИСТ К3'!M8)*СПРАВОЧНИК!$M$12+('ФАКТ ЧИСТ К3'!N8)*СПРАВОЧНИК!$N$12)+СПРАВОЧНИК!$F$13*(('ФАКТ ЧИСТ К3'!O8)*СПРАВОЧНИК!$L$13+('ФАКТ ЧИСТ К3'!P8)*СПРАВОЧНИК!$M$13+('ФАКТ ЧИСТ К3'!Q8)*СПРАВОЧНИК!$N$13)+СПРАВОЧНИК!$F$14*(('ФАКТ ЧИСТ К3'!R8)*СПРАВОЧНИК!$L$14+('ФАКТ ЧИСТ К3'!S8)*СПРАВОЧНИК!$M$14+('ФАКТ ЧИСТ К3'!T8)*СПРАВОЧНИК!$N$14)+СПРАВОЧНИК!$F$15*(('ФАКТ ЧИСТ К3'!U8)*СПРАВОЧНИК!$L$15+('ФАКТ ЧИСТ К3'!V8)*СПРАВОЧНИК!$M$15+('ФАКТ ЧИСТ К3'!W8)*СПРАВОЧНИК!$N$15)</f>
        <v>0</v>
      </c>
      <c r="BK17" s="18">
        <f t="shared" si="22"/>
        <v>46195</v>
      </c>
      <c r="BL17" s="37">
        <f>'ПЛАН ЧЕРН К3'!B8*СПРАВОЧНИК!$H$9+'ПЛАН ЧЕРН К3'!C8*СПРАВОЧНИК!$I$9+'ПЛАН ЧЕРН К3'!D8*СПРАВОЧНИК!$J$9+'ПЛАН ЧЕРН К3'!E8*СПРАВОЧНИК!$H$10+'ПЛАН ЧЕРН К3'!F8*СПРАВОЧНИК!$I$10+'ПЛАН ЧЕРН К3'!G8*СПРАВОЧНИК!$J$10+'ПЛАН ЧЕРН К3'!H8*СПРАВОЧНИК!$H$11+'ПЛАН ЧЕРН К3'!I8*СПРАВОЧНИК!$I$11+'ПЛАН ЧЕРН К3'!J8*СПРАВОЧНИК!$J$11+'ПЛАН ЧЕРН К3'!K8*СПРАВОЧНИК!$H$12+'ПЛАН ЧЕРН К3'!L8*СПРАВОЧНИК!$I$12+'ПЛАН ЧЕРН К3'!M8*СПРАВОЧНИК!$J$12+'ПЛАН ЧЕРН К3'!N8*СПРАВОЧНИК!$H$13+'ПЛАН ЧЕРН К3'!O8*СПРАВОЧНИК!$I$13+'ПЛАН ЧЕРН К3'!P8*СПРАВОЧНИК!$J$13+'ПЛАН ЧЕРН К3'!Q8*СПРАВОЧНИК!$H$14+'ПЛАН ЧЕРН К3'!R8*СПРАВОЧНИК!$I$14+'ПЛАН ЧЕРН К3'!S8*СПРАВОЧНИК!$J$14+'ПЛАН ЧЕРН К3'!T8*СПРАВОЧНИК!$H$15+'ПЛАН ЧЕРН К3'!U8*СПРАВОЧНИК!$I$15+'ПЛАН ЧЕРН К3'!V8*СПРАВОЧНИК!$J$15</f>
        <v>0</v>
      </c>
      <c r="BM17" s="40">
        <f>('ФАКТ ЧЕРН К3'!B8)*СПРАВОЧНИК!$H$9+('ФАКТ ЧЕРН К3'!C8)*СПРАВОЧНИК!$I$9+('ФАКТ ЧЕРН К3'!D8)*СПРАВОЧНИК!$J$9+('ФАКТ ЧЕРН К3'!E8)*СПРАВОЧНИК!$H$10+('ФАКТ ЧЕРН К3'!F8)*СПРАВОЧНИК!$I$10+('ФАКТ ЧЕРН К3'!G8)*СПРАВОЧНИК!$J$10+('ФАКТ ЧЕРН К3'!H8)*СПРАВОЧНИК!$H$11+('ФАКТ ЧЕРН К3'!I8)*СПРАВОЧНИК!$I$11+('ФАКТ ЧЕРН К3'!J8)*СПРАВОЧНИК!$J$11+('ФАКТ ЧЕРН К3'!K8)*СПРАВОЧНИК!$H$12+('ФАКТ ЧЕРН К3'!L8)*СПРАВОЧНИК!$I$12+('ФАКТ ЧЕРН К3'!M8)*СПРАВОЧНИК!$J$12+('ФАКТ ЧЕРН К3'!N8)*СПРАВОЧНИК!$H$13+('ФАКТ ЧЕРН К3'!O8)*СПРАВОЧНИК!$I$13+('ФАКТ ЧЕРН К3'!P8)*СПРАВОЧНИК!$J$13+('ФАКТ ЧЕРН К3'!Q8)*СПРАВОЧНИК!$H$14+('ФАКТ ЧЕРН К3'!R8)*СПРАВОЧНИК!$I$14+('ФАКТ ЧЕРН К3'!S8)*СПРАВОЧНИК!$J$14+('ФАКТ ЧЕРН К3'!T8)*СПРАВОЧНИК!$H$15+('ФАКТ ЧЕРН К3'!U8)*СПРАВОЧНИК!$I$15+('ФАКТ ЧЕРН К3'!V8)*СПРАВОЧНИК!$J$15</f>
        <v>0</v>
      </c>
      <c r="BQ17" s="18">
        <f t="shared" si="23"/>
        <v>46195</v>
      </c>
      <c r="BR17" s="37">
        <f>'ПЛАН ЧИСТ К3'!B8*СПРАВОЧНИК!$L$9+'ПЛАН ЧИСТ К3'!C8*СПРАВОЧНИК!$M$9+'ПЛАН ЧИСТ К3'!D8*СПРАВОЧНИК!$N$9+'ПЛАН ЧИСТ К3'!E8*СПРАВОЧНИК!$O$9+'ПЛАН ЧИСТ К3'!F8*СПРАВОЧНИК!$L$10+'ПЛАН ЧИСТ К3'!G8*СПРАВОЧНИК!$M$10+'ПЛАН ЧИСТ К3'!H8*СПРАВОЧНИК!$N$10+'ПЛАН ЧИСТ К3'!I8*СПРАВОЧНИК!$L$11+'ПЛАН ЧИСТ К3'!J8*СПРАВОЧНИК!$M$11+'ПЛАН ЧИСТ К3'!K8*СПРАВОЧНИК!$N$11+'ПЛАН ЧИСТ К3'!L8*СПРАВОЧНИК!$L$12+'ПЛАН ЧИСТ К3'!M8*СПРАВОЧНИК!$M$12+'ПЛАН ЧИСТ К3'!N8*СПРАВОЧНИК!$N$12+'ПЛАН ЧИСТ К3'!O8*СПРАВОЧНИК!$L$13+'ПЛАН ЧИСТ К3'!P8*СПРАВОЧНИК!$M$13+'ПЛАН ЧИСТ К3'!Q8*СПРАВОЧНИК!$N$13+'ПЛАН ЧИСТ К3'!R8*СПРАВОЧНИК!$L$14+'ПЛАН ЧИСТ К3'!S8*СПРАВОЧНИК!$M$14+'ПЛАН ЧИСТ К3'!T8*СПРАВОЧНИК!$N$14+'ПЛАН ЧИСТ К3'!U8*СПРАВОЧНИК!$L$15+'ПЛАН ЧИСТ К3'!V8*СПРАВОЧНИК!$M$15+'ПЛАН ЧИСТ К3'!W8*СПРАВОЧНИК!$N$15</f>
        <v>0</v>
      </c>
      <c r="BS17" s="40">
        <f>('ФАКТ ЧИСТ К3'!B8)*СПРАВОЧНИК!$L$9+('ФАКТ ЧИСТ К3'!C8)*СПРАВОЧНИК!$M$9+('ФАКТ ЧИСТ К3'!D8)*СПРАВОЧНИК!$N$9+('ФАКТ ЧИСТ К3'!E8)*СПРАВОЧНИК!$O$9+('ФАКТ ЧИСТ К3'!F8)*СПРАВОЧНИК!$L$10+('ФАКТ ЧИСТ К3'!G8)*СПРАВОЧНИК!$M$10+('ФАКТ ЧИСТ К3'!H8)*СПРАВОЧНИК!$N$10+('ФАКТ ЧИСТ К3'!I8)*СПРАВОЧНИК!$L$11+('ФАКТ ЧИСТ К3'!J8)*СПРАВОЧНИК!$M$11+('ФАКТ ЧИСТ К3'!K8)*СПРАВОЧНИК!$N$11+('ФАКТ ЧИСТ К3'!L8)*СПРАВОЧНИК!$L$12+('ФАКТ ЧИСТ К3'!M8)*СПРАВОЧНИК!$M$12+('ФАКТ ЧИСТ К3'!N8)*СПРАВОЧНИК!$N$12+('ФАКТ ЧИСТ К3'!O8)*СПРАВОЧНИК!$L$13+('ФАКТ ЧИСТ К3'!P8)*СПРАВОЧНИК!$M$13+('ФАКТ ЧИСТ К3'!Q8)*СПРАВОЧНИК!$N$13+('ФАКТ ЧИСТ К3'!R8)*СПРАВОЧНИК!$L$14+('ФАКТ ЧИСТ К3'!S8)*СПРАВОЧНИК!$M$14+('ФАКТ ЧИСТ К3'!T8)*СПРАВОЧНИК!$N$14+('ФАКТ ЧИСТ К3'!U8)*СПРАВОЧНИК!$L$15+('ФАКТ ЧИСТ К3'!V8)*СПРАВОЧНИК!$M$15+('ФАКТ ЧИСТ К3'!W8)*СПРАВОЧНИК!$N$15</f>
        <v>0</v>
      </c>
      <c r="BW17" s="18">
        <f t="shared" si="24"/>
        <v>46195</v>
      </c>
      <c r="BX17" s="37">
        <f t="shared" si="0"/>
        <v>0</v>
      </c>
      <c r="BY17" s="40">
        <f t="shared" si="1"/>
        <v>0</v>
      </c>
      <c r="CC17" s="18">
        <f t="shared" si="25"/>
        <v>46195</v>
      </c>
      <c r="CD17" s="37">
        <f t="shared" si="2"/>
        <v>0</v>
      </c>
      <c r="CE17" s="40">
        <f t="shared" si="3"/>
        <v>0</v>
      </c>
      <c r="CI17" s="18">
        <f t="shared" si="26"/>
        <v>46195</v>
      </c>
      <c r="CJ17" s="37">
        <f t="shared" si="4"/>
        <v>0</v>
      </c>
      <c r="CK17" s="40">
        <f t="shared" si="5"/>
        <v>0</v>
      </c>
      <c r="CO17" s="18">
        <f t="shared" si="27"/>
        <v>46195</v>
      </c>
      <c r="CP17" s="37">
        <f t="shared" si="6"/>
        <v>0</v>
      </c>
      <c r="CQ17" s="40">
        <f t="shared" si="7"/>
        <v>0</v>
      </c>
      <c r="CU17" s="18">
        <f t="shared" si="28"/>
        <v>46195</v>
      </c>
      <c r="CV17" s="37">
        <f t="shared" si="8"/>
        <v>0</v>
      </c>
      <c r="CW17" s="40">
        <f t="shared" si="9"/>
        <v>0</v>
      </c>
      <c r="DA17" s="18">
        <f t="shared" si="29"/>
        <v>46195</v>
      </c>
      <c r="DB17" s="37">
        <f t="shared" si="10"/>
        <v>0</v>
      </c>
      <c r="DC17" s="40">
        <f t="shared" si="11"/>
        <v>0</v>
      </c>
    </row>
    <row r="18" spans="3:107" x14ac:dyDescent="0.25">
      <c r="C18" s="18">
        <f t="shared" si="12"/>
        <v>46202</v>
      </c>
      <c r="D18" s="37">
        <f>СПРАВОЧНИК!$E$3*('ПЛАН ЧЕРН ПОДЗЕМ'!B9*СПРАВОЧНИК!$H$3+'ПЛАН ЧЕРН ПОДЗЕМ'!C9*СПРАВОЧНИК!$I$3+'ПЛАН ЧЕРН ПОДЗЕМ'!D9*СПРАВОЧНИК!$J$3)+СПРАВОЧНИК!$E$4*('ПЛАН ЧЕРН ПОДЗЕМ'!E9*СПРАВОЧНИК!$H$4+'ПЛАН ЧЕРН ПОДЗЕМ'!F9*СПРАВОЧНИК!$I$4+'ПЛАН ЧЕРН ПОДЗЕМ'!G9*СПРАВОЧНИК!$J$4)+СПРАВОЧНИК!$E$5*('ПЛАН ЧЕРН ПОДЗЕМ'!H9*СПРАВОЧНИК!$H$5+'ПЛАН ЧЕРН ПОДЗЕМ'!I9*СПРАВОЧНИК!$I$5+'ПЛАН ЧЕРН ПОДЗЕМ'!J9*СПРАВОЧНИК!$J$5)+СПРАВОЧНИК!$E$6*('ПЛАН ЧЕРН ПОДЗЕМ'!K9*СПРАВОЧНИК!$H$6+'ПЛАН ЧЕРН ПОДЗЕМ'!L9*СПРАВОЧНИК!$I$6+'ПЛАН ЧЕРН ПОДЗЕМ'!M9*СПРАВОЧНИК!$J$6)+СПРАВОЧНИК!$E$7*('ПЛАН ЧЕРН ПОДЗЕМ'!N9*СПРАВОЧНИК!$H$7+'ПЛАН ЧЕРН ПОДЗЕМ'!O9*СПРАВОЧНИК!$I$7+'ПЛАН ЧЕРН ПОДЗЕМ'!P9*СПРАВОЧНИК!$J$7)+СПРАВОЧНИК!$E$8*('ПЛАН ЧЕРН ПОДЗЕМ'!Q9*СПРАВОЧНИК!$H$8+'ПЛАН ЧЕРН ПОДЗЕМ'!R9*СПРАВОЧНИК!$I$8+'ПЛАН ЧЕРН ПОДЗЕМ'!S9*СПРАВОЧНИК!$J$8)+СПРАВОЧНИК!$F$3*('ПЛАН ЧИСТ ПОДЗЕМ'!B9*СПРАВОЧНИК!$L$3+'ПЛАН ЧИСТ ПОДЗЕМ'!C9*СПРАВОЧНИК!$M$3+'ПЛАН ЧИСТ ПОДЗЕМ'!D9*СПРАВОЧНИК!$N$3)+СПРАВОЧНИК!$F$4*('ПЛАН ЧИСТ ПОДЗЕМ'!E9*СПРАВОЧНИК!$L$4+'ПЛАН ЧИСТ ПОДЗЕМ'!F9*СПРАВОЧНИК!$M$4+'ПЛАН ЧИСТ ПОДЗЕМ'!G9*СПРАВОЧНИК!$N$4)+СПРАВОЧНИК!$F$5*('ПЛАН ЧИСТ ПОДЗЕМ'!H9*СПРАВОЧНИК!$L$5+'ПЛАН ЧИСТ ПОДЗЕМ'!I9*СПРАВОЧНИК!$M$5+'ПЛАН ЧИСТ ПОДЗЕМ'!J9*СПРАВОЧНИК!$N$5)+СПРАВОЧНИК!$F$6*('ПЛАН ЧИСТ ПОДЗЕМ'!K9*СПРАВОЧНИК!$L$6+'ПЛАН ЧИСТ ПОДЗЕМ'!L9*СПРАВОЧНИК!$M$6+'ПЛАН ЧИСТ ПОДЗЕМ'!M9*СПРАВОЧНИК!$N$6)+СПРАВОЧНИК!$F$7*('ПЛАН ЧИСТ ПОДЗЕМ'!N9*СПРАВОЧНИК!$L$7+'ПЛАН ЧИСТ ПОДЗЕМ'!O9*СПРАВОЧНИК!$M$7+'ПЛАН ЧИСТ ПОДЗЕМ'!P9*СПРАВОЧНИК!$N$7)+СПРАВОЧНИК!$F$8*('ПЛАН ЧИСТ ПОДЗЕМ'!Q9*СПРАВОЧНИК!$L$8+'ПЛАН ЧИСТ ПОДЗЕМ'!R9*СПРАВОЧНИК!$M$8+'ПЛАН ЧИСТ ПОДЗЕМ'!S9*СПРАВОЧНИК!$N$8)</f>
        <v>0</v>
      </c>
      <c r="E18" s="40">
        <f>СПРАВОЧНИК!$E$3*(('ФАКТ ЧЕРН ПОДЗЕМ'!B9)*СПРАВОЧНИК!$H$3+('ФАКТ ЧЕРН ПОДЗЕМ'!C9)*СПРАВОЧНИК!$I$3+('ФАКТ ЧЕРН ПОДЗЕМ'!D9)*СПРАВОЧНИК!$J$3)+СПРАВОЧНИК!$E$4*(('ФАКТ ЧЕРН ПОДЗЕМ'!E9)*СПРАВОЧНИК!$H$4+('ФАКТ ЧЕРН ПОДЗЕМ'!F9)*СПРАВОЧНИК!$I$4+('ФАКТ ЧЕРН ПОДЗЕМ'!G9)*СПРАВОЧНИК!$J$4)+СПРАВОЧНИК!$E$5*(('ФАКТ ЧЕРН ПОДЗЕМ'!H9)*СПРАВОЧНИК!$H$5+('ФАКТ ЧЕРН ПОДЗЕМ'!I9)*СПРАВОЧНИК!$I$5+('ФАКТ ЧЕРН ПОДЗЕМ'!J9)*СПРАВОЧНИК!$J$5)+СПРАВОЧНИК!$E$6*(('ФАКТ ЧЕРН ПОДЗЕМ'!K9)*СПРАВОЧНИК!$H$6+('ФАКТ ЧЕРН ПОДЗЕМ'!L9)*СПРАВОЧНИК!$I$6+('ФАКТ ЧЕРН ПОДЗЕМ'!M9)*СПРАВОЧНИК!$J$6)+СПРАВОЧНИК!$E$7*(('ФАКТ ЧЕРН ПОДЗЕМ'!N9)*СПРАВОЧНИК!$H$7+('ФАКТ ЧЕРН ПОДЗЕМ'!O9)*СПРАВОЧНИК!$I$7+('ФАКТ ЧЕРН ПОДЗЕМ'!P9)*СПРАВОЧНИК!$J$7)+СПРАВОЧНИК!$E$8*(('ФАКТ ЧЕРН ПОДЗЕМ'!Q9)*СПРАВОЧНИК!$H$8+('ФАКТ ЧЕРН ПОДЗЕМ'!R9)*СПРАВОЧНИК!$I$8+('ФАКТ ЧЕРН ПОДЗЕМ'!S9)*СПРАВОЧНИК!$J$8)+СПРАВОЧНИК!$F$3*(('ФАКТ ЧИСТ ПОДЗЕМ'!B9)*СПРАВОЧНИК!$L$3+('ФАКТ ЧИСТ ПОДЗЕМ'!C9)*СПРАВОЧНИК!$M$3+('ФАКТ ЧИСТ ПОДЗЕМ'!D9)*СПРАВОЧНИК!$N$3)+СПРАВОЧНИК!$F$4*(('ФАКТ ЧИСТ ПОДЗЕМ'!E9)*СПРАВОЧНИК!$L$4+('ФАКТ ЧИСТ ПОДЗЕМ'!F9)*СПРАВОЧНИК!$M$4+('ФАКТ ЧИСТ ПОДЗЕМ'!G9)*СПРАВОЧНИК!$N$4)+СПРАВОЧНИК!$F$5*(('ФАКТ ЧИСТ ПОДЗЕМ'!H9)*СПРАВОЧНИК!$L$5+('ФАКТ ЧИСТ ПОДЗЕМ'!I9)*СПРАВОЧНИК!$M$5+('ФАКТ ЧИСТ ПОДЗЕМ'!J9)*СПРАВОЧНИК!$N$5)+СПРАВОЧНИК!$F$6*(('ФАКТ ЧИСТ ПОДЗЕМ'!K9)*СПРАВОЧНИК!$L$6+('ФАКТ ЧИСТ ПОДЗЕМ'!L9)*СПРАВОЧНИК!$M$6+('ФАКТ ЧИСТ ПОДЗЕМ'!M9)*СПРАВОЧНИК!$N$6)+СПРАВОЧНИК!$F$7*(('ФАКТ ЧИСТ ПОДЗЕМ'!N9)*СПРАВОЧНИК!$L$7+('ФАКТ ЧИСТ ПОДЗЕМ'!O9)*СПРАВОЧНИК!$M$7+('ФАКТ ЧИСТ ПОДЗЕМ'!P9)*СПРАВОЧНИК!$N$7)+СПРАВОЧНИК!$F$8*(('ФАКТ ЧИСТ ПОДЗЕМ'!Q9)*СПРАВОЧНИК!$L$8+('ФАКТ ЧИСТ ПОДЗЕМ'!R9)*СПРАВОЧНИК!$M$8+('ФАКТ ЧИСТ ПОДЗЕМ'!S9)*СПРАВОЧНИК!$N$8)</f>
        <v>0</v>
      </c>
      <c r="I18" s="18">
        <f t="shared" si="13"/>
        <v>46202</v>
      </c>
      <c r="J18" s="37">
        <f>'ПЛАН ЧЕРН ПОДЗЕМ'!B9*СПРАВОЧНИК!$H$3+'ПЛАН ЧЕРН ПОДЗЕМ'!C9*СПРАВОЧНИК!$I$3+'ПЛАН ЧЕРН ПОДЗЕМ'!D9*СПРАВОЧНИК!$J$3+'ПЛАН ЧЕРН ПОДЗЕМ'!E9*СПРАВОЧНИК!$H$4+'ПЛАН ЧЕРН ПОДЗЕМ'!F9*СПРАВОЧНИК!$I$4+'ПЛАН ЧЕРН ПОДЗЕМ'!G9*СПРАВОЧНИК!$J$4+'ПЛАН ЧЕРН ПОДЗЕМ'!H9*СПРАВОЧНИК!$H$5+'ПЛАН ЧЕРН ПОДЗЕМ'!I9*СПРАВОЧНИК!$I$5+'ПЛАН ЧЕРН ПОДЗЕМ'!J9*СПРАВОЧНИК!$J$5+'ПЛАН ЧЕРН ПОДЗЕМ'!K9*СПРАВОЧНИК!$H$6+'ПЛАН ЧЕРН ПОДЗЕМ'!L9*СПРАВОЧНИК!$I$6+'ПЛАН ЧЕРН ПОДЗЕМ'!M9*СПРАВОЧНИК!$J$6+'ПЛАН ЧЕРН ПОДЗЕМ'!N9*СПРАВОЧНИК!$H$7+'ПЛАН ЧЕРН ПОДЗЕМ'!O9*СПРАВОЧНИК!$I$7+'ПЛАН ЧЕРН ПОДЗЕМ'!P9*СПРАВОЧНИК!$J$7+'ПЛАН ЧЕРН ПОДЗЕМ'!Q9*СПРАВОЧНИК!$H$8+'ПЛАН ЧЕРН ПОДЗЕМ'!R9*СПРАВОЧНИК!$I$8+'ПЛАН ЧЕРН ПОДЗЕМ'!S9*СПРАВОЧНИК!$J$8</f>
        <v>0</v>
      </c>
      <c r="K18" s="40">
        <f>('ФАКТ ЧЕРН ПОДЗЕМ'!B9)*СПРАВОЧНИК!$H$3+('ФАКТ ЧЕРН ПОДЗЕМ'!C9)*СПРАВОЧНИК!$I$3+('ФАКТ ЧЕРН ПОДЗЕМ'!D9)*СПРАВОЧНИК!$J$3+('ФАКТ ЧЕРН ПОДЗЕМ'!E9)*СПРАВОЧНИК!$H$4+('ФАКТ ЧЕРН ПОДЗЕМ'!F9)*СПРАВОЧНИК!$I$4+('ФАКТ ЧЕРН ПОДЗЕМ'!G9)*СПРАВОЧНИК!$J$4+('ФАКТ ЧЕРН ПОДЗЕМ'!H9)*СПРАВОЧНИК!$H$5+('ФАКТ ЧЕРН ПОДЗЕМ'!I9)*СПРАВОЧНИК!$I$5+('ФАКТ ЧЕРН ПОДЗЕМ'!J9)*СПРАВОЧНИК!$J$5+('ФАКТ ЧЕРН ПОДЗЕМ'!K9)*СПРАВОЧНИК!$H$6+('ФАКТ ЧЕРН ПОДЗЕМ'!L9)*СПРАВОЧНИК!$I$6+('ФАКТ ЧЕРН ПОДЗЕМ'!M9)*СПРАВОЧНИК!$J$6+('ФАКТ ЧЕРН ПОДЗЕМ'!N9)*СПРАВОЧНИК!$H$7+('ФАКТ ЧЕРН ПОДЗЕМ'!O9)*СПРАВОЧНИК!$I$7+('ФАКТ ЧЕРН ПОДЗЕМ'!P9)*СПРАВОЧНИК!$J$7+('ФАКТ ЧЕРН ПОДЗЕМ'!Q9)*СПРАВОЧНИК!$H$8+('ФАКТ ЧЕРН ПОДЗЕМ'!R9)*СПРАВОЧНИК!$I$8+('ФАКТ ЧЕРН ПОДЗЕМ'!S9)*СПРАВОЧНИК!$J$8</f>
        <v>0</v>
      </c>
      <c r="O18" s="18">
        <f t="shared" si="14"/>
        <v>46202</v>
      </c>
      <c r="P18" s="37">
        <f>'ПЛАН ЧИСТ ПОДЗЕМ'!B9*СПРАВОЧНИК!$L$3+'ПЛАН ЧИСТ ПОДЗЕМ'!C9*СПРАВОЧНИК!$M$3+'ПЛАН ЧИСТ ПОДЗЕМ'!D9*СПРАВОЧНИК!$N$3+'ПЛАН ЧИСТ ПОДЗЕМ'!E9*СПРАВОЧНИК!$L$4+'ПЛАН ЧИСТ ПОДЗЕМ'!F9*СПРАВОЧНИК!$M$4+'ПЛАН ЧИСТ ПОДЗЕМ'!G9*СПРАВОЧНИК!$N$4+'ПЛАН ЧИСТ ПОДЗЕМ'!H9*СПРАВОЧНИК!$L$5+'ПЛАН ЧИСТ ПОДЗЕМ'!I9*СПРАВОЧНИК!$M$5+'ПЛАН ЧИСТ ПОДЗЕМ'!J9*СПРАВОЧНИК!$N$5+'ПЛАН ЧИСТ ПОДЗЕМ'!K9*СПРАВОЧНИК!$L$6+'ПЛАН ЧИСТ ПОДЗЕМ'!L9*СПРАВОЧНИК!$M$6+'ПЛАН ЧИСТ ПОДЗЕМ'!M9*СПРАВОЧНИК!$N$6+'ПЛАН ЧИСТ ПОДЗЕМ'!N9*СПРАВОЧНИК!$L$7+'ПЛАН ЧИСТ ПОДЗЕМ'!O9*СПРАВОЧНИК!$M$7+'ПЛАН ЧИСТ ПОДЗЕМ'!P9*СПРАВОЧНИК!$N$7+'ПЛАН ЧИСТ ПОДЗЕМ'!Q9*СПРАВОЧНИК!$L$8+'ПЛАН ЧИСТ ПОДЗЕМ'!R9*СПРАВОЧНИК!$M$8+'ПЛАН ЧИСТ ПОДЗЕМ'!S9*СПРАВОЧНИК!$N$8</f>
        <v>0</v>
      </c>
      <c r="Q18" s="40">
        <f>('ФАКТ ЧИСТ ПОДЗЕМ'!B9)*СПРАВОЧНИК!$L$3+('ФАКТ ЧИСТ ПОДЗЕМ'!C9)*СПРАВОЧНИК!$M$3+('ФАКТ ЧИСТ ПОДЗЕМ'!D9)*СПРАВОЧНИК!$N$3+('ФАКТ ЧИСТ ПОДЗЕМ'!E9)*СПРАВОЧНИК!$L$4+('ФАКТ ЧИСТ ПОДЗЕМ'!F9)*СПРАВОЧНИК!$M$4+('ФАКТ ЧИСТ ПОДЗЕМ'!G9)*СПРАВОЧНИК!$N$4+('ФАКТ ЧИСТ ПОДЗЕМ'!H9)*СПРАВОЧНИК!$L$5+('ФАКТ ЧИСТ ПОДЗЕМ'!I9)*СПРАВОЧНИК!$M$5+('ФАКТ ЧИСТ ПОДЗЕМ'!J9)*СПРАВОЧНИК!$N$5+('ФАКТ ЧИСТ ПОДЗЕМ'!K9)*СПРАВОЧНИК!$L$6+('ФАКТ ЧИСТ ПОДЗЕМ'!L9)*СПРАВОЧНИК!$M$6+('ФАКТ ЧИСТ ПОДЗЕМ'!M9)*СПРАВОЧНИК!$N$6+('ФАКТ ЧИСТ ПОДЗЕМ'!N9)*СПРАВОЧНИК!$L$7+('ФАКТ ЧИСТ ПОДЗЕМ'!O9)*СПРАВОЧНИК!$M$7+('ФАКТ ЧИСТ ПОДЗЕМ'!P9)*СПРАВОЧНИК!$N$7+('ФАКТ ЧИСТ ПОДЗЕМ'!Q9)*СПРАВОЧНИК!$L$8+('ФАКТ ЧИСТ ПОДЗЕМ'!R9)*СПРАВОЧНИК!$M$8+('ФАКТ ЧИСТ ПОДЗЕМ'!S9)*СПРАВОЧНИК!$N$8</f>
        <v>0</v>
      </c>
      <c r="U18" s="18">
        <f t="shared" si="15"/>
        <v>46202</v>
      </c>
      <c r="V18" s="37">
        <f>СПРАВОЧНИК!$E$9*('ПЛАН ЧЕРН К1'!B9*СПРАВОЧНИК!$H$9+'ПЛАН ЧЕРН К1'!C9*СПРАВОЧНИК!$I$9+'ПЛАН ЧЕРН К1'!D9*СПРАВОЧНИК!$J$9)+СПРАВОЧНИК!$E$10*('ПЛАН ЧЕРН К1'!E9*СПРАВОЧНИК!$H$10+'ПЛАН ЧЕРН К1'!F9*СПРАВОЧНИК!$I$10+'ПЛАН ЧЕРН К1'!G9*СПРАВОЧНИК!$J$10)+СПРАВОЧНИК!$E$11*('ПЛАН ЧЕРН К1'!H9*СПРАВОЧНИК!$H$11+'ПЛАН ЧЕРН К1'!I9*СПРАВОЧНИК!$I$11+'ПЛАН ЧЕРН К1'!J9*СПРАВОЧНИК!$J$11)+СПРАВОЧНИК!$E$12*('ПЛАН ЧЕРН К1'!K9*СПРАВОЧНИК!$H$12+'ПЛАН ЧЕРН К1'!L9*СПРАВОЧНИК!$I$12+'ПЛАН ЧЕРН К1'!M9*СПРАВОЧНИК!$J$12)+СПРАВОЧНИК!$E$13*('ПЛАН ЧЕРН К1'!N9*СПРАВОЧНИК!$H$13+'ПЛАН ЧЕРН К1'!O9*СПРАВОЧНИК!$I$13+'ПЛАН ЧЕРН К1'!P9*СПРАВОЧНИК!$J$13)+СПРАВОЧНИК!$E$14*('ПЛАН ЧЕРН К1'!Q9*СПРАВОЧНИК!$H$14+'ПЛАН ЧЕРН К1'!R9*СПРАВОЧНИК!$I$14+'ПЛАН ЧЕРН К1'!S9*СПРАВОЧНИК!$J$14)+СПРАВОЧНИК!$E$15*('ПЛАН ЧЕРН К1'!T9*СПРАВОЧНИК!$H$15+'ПЛАН ЧЕРН К1'!U9*СПРАВОЧНИК!$I$15+'ПЛАН ЧЕРН К1'!V9*СПРАВОЧНИК!$J$15)+СПРАВОЧНИК!$F$9*('ПЛАН ЧИСТ К1'!B9*СПРАВОЧНИК!$L$9+'ПЛАН ЧИСТ К1'!C9*СПРАВОЧНИК!$M$9+'ПЛАН ЧИСТ К1'!D9*СПРАВОЧНИК!$N$9+'ПЛАН ЧИСТ К1'!E9*СПРАВОЧНИК!$O$9)+СПРАВОЧНИК!$F$10*('ПЛАН ЧИСТ К1'!F9*СПРАВОЧНИК!$L$10+'ПЛАН ЧИСТ К1'!G9*СПРАВОЧНИК!$M$10+'ПЛАН ЧИСТ К1'!H9*СПРАВОЧНИК!$N$10)+СПРАВОЧНИК!$F$11*('ПЛАН ЧИСТ К1'!I9*СПРАВОЧНИК!$L$11+'ПЛАН ЧИСТ К1'!J9*СПРАВОЧНИК!$M$11+'ПЛАН ЧИСТ К1'!K9*СПРАВОЧНИК!$N$11)+СПРАВОЧНИК!$F$12*('ПЛАН ЧИСТ К1'!L9*СПРАВОЧНИК!$L$12+'ПЛАН ЧИСТ К1'!M9*СПРАВОЧНИК!$M$12+'ПЛАН ЧИСТ К1'!N9*СПРАВОЧНИК!$N$12)+СПРАВОЧНИК!$F$13*('ПЛАН ЧИСТ К1'!O9*СПРАВОЧНИК!$L$13+'ПЛАН ЧИСТ К1'!P9*СПРАВОЧНИК!$M$13+'ПЛАН ЧИСТ К1'!Q9*СПРАВОЧНИК!$N$13)+СПРАВОЧНИК!$F$14*('ПЛАН ЧИСТ К1'!R9*СПРАВОЧНИК!$L$14+'ПЛАН ЧИСТ К1'!S9*СПРАВОЧНИК!$M$14+'ПЛАН ЧИСТ К1'!T9*СПРАВОЧНИК!$N$14)+СПРАВОЧНИК!$F$15*('ПЛАН ЧИСТ К1'!U9*СПРАВОЧНИК!$L$15+'ПЛАН ЧИСТ К1'!V9*СПРАВОЧНИК!$M$15+'ПЛАН ЧИСТ К1'!W9*СПРАВОЧНИК!$N$15)</f>
        <v>0</v>
      </c>
      <c r="W18" s="40">
        <f>СПРАВОЧНИК!$E$9*(('ФАКТ ЧЕРН К1'!B9)*СПРАВОЧНИК!$H$9+('ФАКТ ЧЕРН К1'!C9)*СПРАВОЧНИК!$I$9+('ФАКТ ЧЕРН К1'!D9)*СПРАВОЧНИК!$J$9)+СПРАВОЧНИК!$E$10*(('ФАКТ ЧЕРН К1'!E9)*СПРАВОЧНИК!$H$10+('ФАКТ ЧЕРН К1'!F9)*СПРАВОЧНИК!$I$10+('ФАКТ ЧЕРН К1'!G9)*СПРАВОЧНИК!$J$10)+СПРАВОЧНИК!$E$11*(('ФАКТ ЧЕРН К1'!H9)*СПРАВОЧНИК!$H$11+('ФАКТ ЧЕРН К1'!I9)*СПРАВОЧНИК!$I$11+('ФАКТ ЧЕРН К1'!J9)*СПРАВОЧНИК!$J$11)+СПРАВОЧНИК!$E$12*(('ФАКТ ЧЕРН К1'!K9)*СПРАВОЧНИК!$H$12+('ФАКТ ЧЕРН К1'!L9)*СПРАВОЧНИК!$I$12+('ФАКТ ЧЕРН К1'!M9)*СПРАВОЧНИК!$J$12)+СПРАВОЧНИК!$E$13*(('ФАКТ ЧЕРН К1'!N9)*СПРАВОЧНИК!$H$13+('ФАКТ ЧЕРН К1'!O9)*СПРАВОЧНИК!$I$13+('ФАКТ ЧЕРН К1'!P9)*СПРАВОЧНИК!$J$13)+СПРАВОЧНИК!$E$14*(('ФАКТ ЧЕРН К1'!Q9)*СПРАВОЧНИК!$H$14+('ФАКТ ЧЕРН К1'!R9)*СПРАВОЧНИК!$I$14+('ФАКТ ЧЕРН К1'!S9)*СПРАВОЧНИК!$J$14)+СПРАВОЧНИК!$E$15*(('ФАКТ ЧЕРН К1'!T9)*СПРАВОЧНИК!$H$15+('ФАКТ ЧЕРН К1'!U9)*СПРАВОЧНИК!$I$15+('ФАКТ ЧЕРН К1'!V9)*СПРАВОЧНИК!$J$15)+СПРАВОЧНИК!$F$9*(('ФАКТ ЧИСТ К1'!B9)*СПРАВОЧНИК!$L$9+('ФАКТ ЧИСТ К1'!C9)*СПРАВОЧНИК!$M$9+('ФАКТ ЧИСТ К1'!D9)*СПРАВОЧНИК!$N$9+('ФАКТ ЧИСТ К1'!E9)*СПРАВОЧНИК!$O$9)+СПРАВОЧНИК!$F$10*(('ФАКТ ЧИСТ К1'!F9)*СПРАВОЧНИК!$L$10+('ФАКТ ЧИСТ К1'!G9)*СПРАВОЧНИК!$M$10+('ФАКТ ЧИСТ К1'!H9)*СПРАВОЧНИК!$N$10)+СПРАВОЧНИК!$F$11*(('ФАКТ ЧИСТ К1'!I9)*СПРАВОЧНИК!$L$11+('ФАКТ ЧИСТ К1'!J9)*СПРАВОЧНИК!$M$11+('ФАКТ ЧИСТ К1'!K9)*СПРАВОЧНИК!$N$11)+СПРАВОЧНИК!$F$12*(('ФАКТ ЧИСТ К1'!L9)*СПРАВОЧНИК!$L$12+('ФАКТ ЧИСТ К1'!M9)*СПРАВОЧНИК!$M$12+('ФАКТ ЧИСТ К1'!N9)*СПРАВОЧНИК!$N$12)+СПРАВОЧНИК!$F$13*(('ФАКТ ЧИСТ К1'!O9)*СПРАВОЧНИК!$L$13+('ФАКТ ЧИСТ К1'!P9)*СПРАВОЧНИК!$M$13+('ФАКТ ЧИСТ К1'!Q9)*СПРАВОЧНИК!$N$13)+СПРАВОЧНИК!$F$14*(('ФАКТ ЧИСТ К1'!R9)*СПРАВОЧНИК!$L$14+('ФАКТ ЧИСТ К1'!S9)*СПРАВОЧНИК!$M$14+('ФАКТ ЧИСТ К1'!T9)*СПРАВОЧНИК!$N$14)+СПРАВОЧНИК!$F$15*(('ФАКТ ЧИСТ К1'!U9)*СПРАВОЧНИК!$L$15+('ФАКТ ЧИСТ К1'!V9)*СПРАВОЧНИК!$M$15+('ФАКТ ЧИСТ К1'!W9)*СПРАВОЧНИК!$N$15)</f>
        <v>0</v>
      </c>
      <c r="AA18" s="18">
        <f t="shared" si="16"/>
        <v>46202</v>
      </c>
      <c r="AB18" s="37">
        <f>'ПЛАН ЧЕРН К1'!B9*СПРАВОЧНИК!$H$9+'ПЛАН ЧЕРН К1'!C9*СПРАВОЧНИК!$I$9+'ПЛАН ЧЕРН К1'!D9*СПРАВОЧНИК!$J$9+'ПЛАН ЧЕРН К1'!E9*СПРАВОЧНИК!$H$10+'ПЛАН ЧЕРН К1'!F9*СПРАВОЧНИК!$I$10+'ПЛАН ЧЕРН К1'!G9*СПРАВОЧНИК!$J$10+'ПЛАН ЧЕРН К1'!H9*СПРАВОЧНИК!$H$11+'ПЛАН ЧЕРН К1'!I9*СПРАВОЧНИК!$I$11+'ПЛАН ЧЕРН К1'!J9*СПРАВОЧНИК!$J$11+'ПЛАН ЧЕРН К1'!K9*СПРАВОЧНИК!$H$12+'ПЛАН ЧЕРН К1'!L9*СПРАВОЧНИК!$I$12+'ПЛАН ЧЕРН К1'!M9*СПРАВОЧНИК!$J$12+'ПЛАН ЧЕРН К1'!N9*СПРАВОЧНИК!$H$13+'ПЛАН ЧЕРН К1'!O9*СПРАВОЧНИК!$I$13+'ПЛАН ЧЕРН К1'!P9*СПРАВОЧНИК!$J$13+'ПЛАН ЧЕРН К1'!Q9*СПРАВОЧНИК!$H$14+'ПЛАН ЧЕРН К1'!R9*СПРАВОЧНИК!$I$14+'ПЛАН ЧЕРН К1'!S9*СПРАВОЧНИК!$J$14+'ПЛАН ЧЕРН К1'!T9*СПРАВОЧНИК!$H$15+'ПЛАН ЧЕРН К1'!U9*СПРАВОЧНИК!$I$15+'ПЛАН ЧЕРН К1'!V9*СПРАВОЧНИК!$J$15</f>
        <v>0</v>
      </c>
      <c r="AC18" s="40">
        <f>('ФАКТ ЧЕРН К1'!B9)*СПРАВОЧНИК!$H$9+('ФАКТ ЧЕРН К1'!C9)*СПРАВОЧНИК!$I$9+('ФАКТ ЧЕРН К1'!D9)*СПРАВОЧНИК!$J$9+('ФАКТ ЧЕРН К1'!E9)*СПРАВОЧНИК!$H$10+('ФАКТ ЧЕРН К1'!F9)*СПРАВОЧНИК!$I$10+('ФАКТ ЧЕРН К1'!G9)*СПРАВОЧНИК!$J$10+('ФАКТ ЧЕРН К1'!H9)*СПРАВОЧНИК!$H$11+('ФАКТ ЧЕРН К1'!I9)*СПРАВОЧНИК!$I$11+('ФАКТ ЧЕРН К1'!J9)*СПРАВОЧНИК!$J$11+('ФАКТ ЧЕРН К1'!K9)*СПРАВОЧНИК!$H$12+('ФАКТ ЧЕРН К1'!L9)*СПРАВОЧНИК!$I$12+('ФАКТ ЧЕРН К1'!M9)*СПРАВОЧНИК!$J$12+('ФАКТ ЧЕРН К1'!N9)*СПРАВОЧНИК!$H$13+('ФАКТ ЧЕРН К1'!O9)*СПРАВОЧНИК!$I$13+('ФАКТ ЧЕРН К1'!P9)*СПРАВОЧНИК!$J$13+('ФАКТ ЧЕРН К1'!Q9)*СПРАВОЧНИК!$H$14+('ФАКТ ЧЕРН К1'!R9)*СПРАВОЧНИК!$I$14+('ФАКТ ЧЕРН К1'!S9)*СПРАВОЧНИК!$J$14+('ФАКТ ЧЕРН К1'!T9)*СПРАВОЧНИК!$H$15+('ФАКТ ЧЕРН К1'!U9)*СПРАВОЧНИК!$I$15+('ФАКТ ЧЕРН К1'!V9)*СПРАВОЧНИК!$J$15</f>
        <v>0</v>
      </c>
      <c r="AG18" s="18">
        <f t="shared" si="17"/>
        <v>46202</v>
      </c>
      <c r="AH18" s="37">
        <f>'ПЛАН ЧИСТ К1'!B9*СПРАВОЧНИК!$L$9+'ПЛАН ЧИСТ К1'!C9*СПРАВОЧНИК!$M$9+'ПЛАН ЧИСТ К1'!D9*СПРАВОЧНИК!$N$9+'ПЛАН ЧИСТ К1'!E9*СПРАВОЧНИК!$O$9+'ПЛАН ЧИСТ К1'!F9*СПРАВОЧНИК!$L$10+'ПЛАН ЧИСТ К1'!G9*СПРАВОЧНИК!$M$10+'ПЛАН ЧИСТ К1'!H9*СПРАВОЧНИК!$N$10+'ПЛАН ЧИСТ К1'!I9*СПРАВОЧНИК!$L$11+'ПЛАН ЧИСТ К1'!J9*СПРАВОЧНИК!$M$11+'ПЛАН ЧИСТ К1'!K9*СПРАВОЧНИК!$N$11+'ПЛАН ЧИСТ К1'!L9*СПРАВОЧНИК!$L$12+'ПЛАН ЧИСТ К1'!M9*СПРАВОЧНИК!$M$12+'ПЛАН ЧИСТ К1'!N9*СПРАВОЧНИК!$N$12+'ПЛАН ЧИСТ К1'!O9*СПРАВОЧНИК!$L$13+'ПЛАН ЧИСТ К1'!P9*СПРАВОЧНИК!$M$13+'ПЛАН ЧИСТ К1'!Q9*СПРАВОЧНИК!$N$13+'ПЛАН ЧИСТ К1'!R9*СПРАВОЧНИК!$L$14+'ПЛАН ЧИСТ К1'!S9*СПРАВОЧНИК!$M$14+'ПЛАН ЧИСТ К1'!T9*СПРАВОЧНИК!$N$14+'ПЛАН ЧИСТ К1'!U9*СПРАВОЧНИК!$L$15+'ПЛАН ЧИСТ К1'!V9*СПРАВОЧНИК!$M$15+'ПЛАН ЧИСТ К1'!W9*СПРАВОЧНИК!$N$15</f>
        <v>0</v>
      </c>
      <c r="AI18" s="40">
        <f>('ФАКТ ЧИСТ К1'!B9)*СПРАВОЧНИК!$L$9+('ФАКТ ЧИСТ К1'!C9)*СПРАВОЧНИК!$M$9+('ФАКТ ЧИСТ К1'!D9)*СПРАВОЧНИК!$N$9+('ФАКТ ЧИСТ К1'!E9)*СПРАВОЧНИК!$O$9+('ФАКТ ЧИСТ К1'!F9)*СПРАВОЧНИК!$L$10+('ФАКТ ЧИСТ К1'!G9)*СПРАВОЧНИК!$M$10+('ФАКТ ЧИСТ К1'!H9)*СПРАВОЧНИК!$N$10+('ФАКТ ЧИСТ К1'!I9)*СПРАВОЧНИК!$L$11+('ФАКТ ЧИСТ К1'!J9)*СПРАВОЧНИК!$M$11+('ФАКТ ЧИСТ К1'!K9)*СПРАВОЧНИК!$N$11+('ФАКТ ЧИСТ К1'!L9)*СПРАВОЧНИК!$L$12+('ФАКТ ЧИСТ К1'!M9)*СПРАВОЧНИК!$M$12+('ФАКТ ЧИСТ К1'!N9)*СПРАВОЧНИК!$N$12+('ФАКТ ЧИСТ К1'!O9)*СПРАВОЧНИК!$L$13+('ФАКТ ЧИСТ К1'!P9)*СПРАВОЧНИК!$M$13+('ФАКТ ЧИСТ К1'!Q9)*СПРАВОЧНИК!$N$13+('ФАКТ ЧИСТ К1'!R9)*СПРАВОЧНИК!$L$14+('ФАКТ ЧИСТ К1'!S9)*СПРАВОЧНИК!$M$14+('ФАКТ ЧИСТ К1'!T9)*СПРАВОЧНИК!$N$14+('ФАКТ ЧИСТ К1'!U9)*СПРАВОЧНИК!$L$15+('ФАКТ ЧИСТ К1'!V9)*СПРАВОЧНИК!$M$15+('ФАКТ ЧИСТ К1'!W9)*СПРАВОЧНИК!$N$15</f>
        <v>0</v>
      </c>
      <c r="AM18" s="18">
        <f t="shared" si="18"/>
        <v>46202</v>
      </c>
      <c r="AN18" s="37">
        <f>СПРАВОЧНИК!$E$9*('ПЛАН ЧЕРН К2'!B9*СПРАВОЧНИК!$H$9+'ПЛАН ЧЕРН К2'!C9*СПРАВОЧНИК!$I$9+'ПЛАН ЧЕРН К2'!D9*СПРАВОЧНИК!$J$9)+СПРАВОЧНИК!$E$10*('ПЛАН ЧЕРН К2'!E9*СПРАВОЧНИК!$H$10+'ПЛАН ЧЕРН К2'!F9*СПРАВОЧНИК!$I$10+'ПЛАН ЧЕРН К2'!G9*СПРАВОЧНИК!$J$10)+СПРАВОЧНИК!$E$11*('ПЛАН ЧЕРН К2'!H9*СПРАВОЧНИК!$H$11+'ПЛАН ЧЕРН К2'!I9*СПРАВОЧНИК!$I$11+'ПЛАН ЧЕРН К2'!J9*СПРАВОЧНИК!$J$11)+СПРАВОЧНИК!$E$12*('ПЛАН ЧЕРН К2'!K9*СПРАВОЧНИК!$H$12+'ПЛАН ЧЕРН К2'!L9*СПРАВОЧНИК!$I$12+'ПЛАН ЧЕРН К2'!M9*СПРАВОЧНИК!$J$12)+СПРАВОЧНИК!$E$13*('ПЛАН ЧЕРН К2'!N9*СПРАВОЧНИК!$H$13+'ПЛАН ЧЕРН К2'!O9*СПРАВОЧНИК!$I$13+'ПЛАН ЧЕРН К2'!P9*СПРАВОЧНИК!$J$13)+СПРАВОЧНИК!$E$14*('ПЛАН ЧЕРН К2'!Q9*СПРАВОЧНИК!$H$14+'ПЛАН ЧЕРН К2'!R9*СПРАВОЧНИК!$I$14+'ПЛАН ЧЕРН К2'!S9*СПРАВОЧНИК!$J$14)+СПРАВОЧНИК!$E$15*('ПЛАН ЧЕРН К2'!T9*СПРАВОЧНИК!$H$15+'ПЛАН ЧЕРН К2'!U9*СПРАВОЧНИК!$I$15+'ПЛАН ЧЕРН К2'!V9*СПРАВОЧНИК!$J$15)+СПРАВОЧНИК!$F$9*('ПЛАН ЧИСТ К2'!B9*СПРАВОЧНИК!$L$9+'ПЛАН ЧИСТ К2'!C9*СПРАВОЧНИК!$M$9+'ПЛАН ЧИСТ К2'!D9*СПРАВОЧНИК!$N$9+'ПЛАН ЧИСТ К2'!E9*СПРАВОЧНИК!$O$9)+СПРАВОЧНИК!$F$10*('ПЛАН ЧИСТ К2'!F9*СПРАВОЧНИК!$L$10+'ПЛАН ЧИСТ К2'!G9*СПРАВОЧНИК!$M$10+'ПЛАН ЧИСТ К2'!H9*СПРАВОЧНИК!$N$10)+СПРАВОЧНИК!$F$11*('ПЛАН ЧИСТ К2'!I9*СПРАВОЧНИК!$L$11+'ПЛАН ЧИСТ К2'!J9*СПРАВОЧНИК!$M$11+'ПЛАН ЧИСТ К2'!K9*СПРАВОЧНИК!$N$11)+СПРАВОЧНИК!$F$12*('ПЛАН ЧИСТ К2'!L9*СПРАВОЧНИК!$L$12+'ПЛАН ЧИСТ К2'!M9*СПРАВОЧНИК!$M$12+'ПЛАН ЧИСТ К2'!N9*СПРАВОЧНИК!$N$12)+СПРАВОЧНИК!$F$13*('ПЛАН ЧИСТ К2'!O9*СПРАВОЧНИК!$L$13+'ПЛАН ЧИСТ К2'!P9*СПРАВОЧНИК!$M$13+'ПЛАН ЧИСТ К2'!Q9*СПРАВОЧНИК!$N$13)+СПРАВОЧНИК!$F$14*('ПЛАН ЧИСТ К2'!R9*СПРАВОЧНИК!$L$14+'ПЛАН ЧИСТ К2'!S9*СПРАВОЧНИК!$M$14+'ПЛАН ЧИСТ К2'!T9*СПРАВОЧНИК!$N$14)+СПРАВОЧНИК!$F$15*('ПЛАН ЧИСТ К2'!U9*СПРАВОЧНИК!$L$15+'ПЛАН ЧИСТ К2'!V9*СПРАВОЧНИК!$M$15+'ПЛАН ЧИСТ К2'!W9*СПРАВОЧНИК!$N$15)</f>
        <v>0</v>
      </c>
      <c r="AO18" s="40">
        <f>СПРАВОЧНИК!$E$9*(('ФАКТ ЧЕРН К2'!B9)*СПРАВОЧНИК!$H$9+('ФАКТ ЧЕРН К2'!C9)*СПРАВОЧНИК!$I$9+('ФАКТ ЧЕРН К2'!D9)*СПРАВОЧНИК!$J$9)+СПРАВОЧНИК!$E$10*(('ФАКТ ЧЕРН К2'!E9)*СПРАВОЧНИК!$H$10+('ФАКТ ЧЕРН К2'!F9)*СПРАВОЧНИК!$I$10+('ФАКТ ЧЕРН К2'!G9)*СПРАВОЧНИК!$J$10)+СПРАВОЧНИК!$E$11*(('ФАКТ ЧЕРН К2'!H9)*СПРАВОЧНИК!$H$11+('ФАКТ ЧЕРН К2'!I9)*СПРАВОЧНИК!$I$11+('ФАКТ ЧЕРН К2'!J9)*СПРАВОЧНИК!$J$11)+СПРАВОЧНИК!$E$12*(('ФАКТ ЧЕРН К2'!K9)*СПРАВОЧНИК!$H$12+('ФАКТ ЧЕРН К2'!L9)*СПРАВОЧНИК!$I$12+('ФАКТ ЧЕРН К2'!M9)*СПРАВОЧНИК!$J$12)+СПРАВОЧНИК!$E$13*(('ФАКТ ЧЕРН К2'!N9)*СПРАВОЧНИК!$H$13+('ФАКТ ЧЕРН К2'!O9)*СПРАВОЧНИК!$I$13+('ФАКТ ЧЕРН К2'!P9)*СПРАВОЧНИК!$J$13)+СПРАВОЧНИК!$E$14*(('ФАКТ ЧЕРН К2'!Q9)*СПРАВОЧНИК!$H$14+('ФАКТ ЧЕРН К2'!R9)*СПРАВОЧНИК!$I$14+('ФАКТ ЧЕРН К2'!S9)*СПРАВОЧНИК!$J$14)+СПРАВОЧНИК!$E$15*(('ФАКТ ЧЕРН К2'!T9)*СПРАВОЧНИК!$H$15+('ФАКТ ЧЕРН К2'!U9)*СПРАВОЧНИК!$I$15+('ФАКТ ЧЕРН К2'!V9)*СПРАВОЧНИК!$J$15)+СПРАВОЧНИК!$F$9*(('ФАКТ ЧИСТ К2'!B9)*СПРАВОЧНИК!$L$9+('ФАКТ ЧИСТ К2'!C9)*СПРАВОЧНИК!$M$9+('ФАКТ ЧИСТ К2'!D9)*СПРАВОЧНИК!$N$9+('ФАКТ ЧИСТ К2'!E9)*СПРАВОЧНИК!$O$9)+СПРАВОЧНИК!$F$10*(('ФАКТ ЧИСТ К2'!F9)*СПРАВОЧНИК!$L$10+('ФАКТ ЧИСТ К2'!G9)*СПРАВОЧНИК!$M$10+('ФАКТ ЧИСТ К2'!H9)*СПРАВОЧНИК!$N$10)+СПРАВОЧНИК!$F$11*(('ФАКТ ЧИСТ К2'!I9)*СПРАВОЧНИК!$L$11+('ФАКТ ЧИСТ К2'!J9)*СПРАВОЧНИК!$M$11+('ФАКТ ЧИСТ К2'!K9)*СПРАВОЧНИК!$N$11)+СПРАВОЧНИК!$F$12*(('ФАКТ ЧИСТ К2'!L9)*СПРАВОЧНИК!$L$12+('ФАКТ ЧИСТ К2'!M9)*СПРАВОЧНИК!$M$12+('ФАКТ ЧИСТ К2'!N9)*СПРАВОЧНИК!$N$12)+СПРАВОЧНИК!$F$13*(('ФАКТ ЧИСТ К2'!O9)*СПРАВОЧНИК!$L$13+('ФАКТ ЧИСТ К2'!P9)*СПРАВОЧНИК!$M$13+('ФАКТ ЧИСТ К2'!Q9)*СПРАВОЧНИК!$N$13)+СПРАВОЧНИК!$F$14*(('ФАКТ ЧИСТ К2'!R9)*СПРАВОЧНИК!$L$14+('ФАКТ ЧИСТ К2'!S9)*СПРАВОЧНИК!$M$14+('ФАКТ ЧИСТ К2'!T9)*СПРАВОЧНИК!$N$14)+СПРАВОЧНИК!$F$15*(('ФАКТ ЧИСТ К2'!U9)*СПРАВОЧНИК!$L$15+('ФАКТ ЧИСТ К2'!V9)*СПРАВОЧНИК!$M$15+('ФАКТ ЧИСТ К2'!W9)*СПРАВОЧНИК!$N$15)</f>
        <v>0</v>
      </c>
      <c r="AS18" s="18">
        <f t="shared" si="19"/>
        <v>46202</v>
      </c>
      <c r="AT18" s="37">
        <f>'ПЛАН ЧЕРН К2'!B9*СПРАВОЧНИК!$H$9+'ПЛАН ЧЕРН К2'!C9*СПРАВОЧНИК!$I$9+'ПЛАН ЧЕРН К2'!D9*СПРАВОЧНИК!$J$9+'ПЛАН ЧЕРН К2'!E9*СПРАВОЧНИК!$H$10+'ПЛАН ЧЕРН К2'!F9*СПРАВОЧНИК!$I$10+'ПЛАН ЧЕРН К2'!G9*СПРАВОЧНИК!$J$10+'ПЛАН ЧЕРН К2'!H9*СПРАВОЧНИК!$H$11+'ПЛАН ЧЕРН К2'!I9*СПРАВОЧНИК!$I$11+'ПЛАН ЧЕРН К2'!J9*СПРАВОЧНИК!$J$11+'ПЛАН ЧЕРН К2'!K9*СПРАВОЧНИК!$H$12+'ПЛАН ЧЕРН К2'!L9*СПРАВОЧНИК!$I$12+'ПЛАН ЧЕРН К2'!M9*СПРАВОЧНИК!$J$12+'ПЛАН ЧЕРН К2'!N9*СПРАВОЧНИК!$H$13+'ПЛАН ЧЕРН К2'!O9*СПРАВОЧНИК!$I$13+'ПЛАН ЧЕРН К2'!P9*СПРАВОЧНИК!$J$13+'ПЛАН ЧЕРН К2'!Q9*СПРАВОЧНИК!$H$14+'ПЛАН ЧЕРН К2'!R9*СПРАВОЧНИК!$I$14+'ПЛАН ЧЕРН К2'!S9*СПРАВОЧНИК!$J$14+'ПЛАН ЧЕРН К2'!T9*СПРАВОЧНИК!$H$15+'ПЛАН ЧЕРН К2'!U9*СПРАВОЧНИК!$I$15+'ПЛАН ЧЕРН К2'!V9*СПРАВОЧНИК!$J$15</f>
        <v>0</v>
      </c>
      <c r="AU18" s="40">
        <f>('ФАКТ ЧЕРН К2'!B9)*СПРАВОЧНИК!$H$9+('ФАКТ ЧЕРН К2'!C9)*СПРАВОЧНИК!$I$9+('ФАКТ ЧЕРН К2'!D9)*СПРАВОЧНИК!$J$9+('ФАКТ ЧЕРН К2'!E9)*СПРАВОЧНИК!$H$10+('ФАКТ ЧЕРН К2'!F9)*СПРАВОЧНИК!$I$10+('ФАКТ ЧЕРН К2'!G9)*СПРАВОЧНИК!$J$10+('ФАКТ ЧЕРН К2'!H9)*СПРАВОЧНИК!$H$11+('ФАКТ ЧЕРН К2'!I9)*СПРАВОЧНИК!$I$11+('ФАКТ ЧЕРН К2'!J9)*СПРАВОЧНИК!$J$11+('ФАКТ ЧЕРН К2'!K9)*СПРАВОЧНИК!$H$12+('ФАКТ ЧЕРН К2'!L9)*СПРАВОЧНИК!$I$12+('ФАКТ ЧЕРН К2'!M9)*СПРАВОЧНИК!$J$12+('ФАКТ ЧЕРН К2'!N9)*СПРАВОЧНИК!$H$13+('ФАКТ ЧЕРН К2'!O9)*СПРАВОЧНИК!$I$13+('ФАКТ ЧЕРН К2'!P9)*СПРАВОЧНИК!$J$13+('ФАКТ ЧЕРН К2'!Q9)*СПРАВОЧНИК!$H$14+('ФАКТ ЧЕРН К2'!R9)*СПРАВОЧНИК!$I$14+('ФАКТ ЧЕРН К2'!S9)*СПРАВОЧНИК!$J$14+('ФАКТ ЧЕРН К2'!T9)*СПРАВОЧНИК!$H$15+('ФАКТ ЧЕРН К2'!U9)*СПРАВОЧНИК!$I$15+('ФАКТ ЧЕРН К2'!V9)*СПРАВОЧНИК!$J$15</f>
        <v>0</v>
      </c>
      <c r="AY18" s="18">
        <f t="shared" si="20"/>
        <v>46202</v>
      </c>
      <c r="AZ18" s="37">
        <f>'ПЛАН ЧИСТ К2'!B9*СПРАВОЧНИК!$L$9+'ПЛАН ЧИСТ К2'!C9*СПРАВОЧНИК!$M$9+'ПЛАН ЧИСТ К2'!D9*СПРАВОЧНИК!$N$9+'ПЛАН ЧИСТ К2'!E9*СПРАВОЧНИК!$O$9+'ПЛАН ЧИСТ К2'!F9*СПРАВОЧНИК!$L$10+'ПЛАН ЧИСТ К2'!G9*СПРАВОЧНИК!$M$10+'ПЛАН ЧИСТ К2'!H9*СПРАВОЧНИК!$N$10+'ПЛАН ЧИСТ К2'!I9*СПРАВОЧНИК!$L$11+'ПЛАН ЧИСТ К2'!J9*СПРАВОЧНИК!$M$11+'ПЛАН ЧИСТ К2'!K9*СПРАВОЧНИК!$N$11+'ПЛАН ЧИСТ К2'!L9*СПРАВОЧНИК!$L$12+'ПЛАН ЧИСТ К2'!M9*СПРАВОЧНИК!$M$12+'ПЛАН ЧИСТ К2'!N9*СПРАВОЧНИК!$N$12+'ПЛАН ЧИСТ К2'!O9*СПРАВОЧНИК!$L$13+'ПЛАН ЧИСТ К2'!P9*СПРАВОЧНИК!$M$13+'ПЛАН ЧИСТ К2'!Q9*СПРАВОЧНИК!$N$13+'ПЛАН ЧИСТ К2'!R9*СПРАВОЧНИК!$L$14+'ПЛАН ЧИСТ К2'!S9*СПРАВОЧНИК!$M$14+'ПЛАН ЧИСТ К2'!T9*СПРАВОЧНИК!$N$14+'ПЛАН ЧИСТ К2'!U9*СПРАВОЧНИК!$L$15+'ПЛАН ЧИСТ К2'!V9*СПРАВОЧНИК!$M$15+'ПЛАН ЧИСТ К2'!W9*СПРАВОЧНИК!$N$15</f>
        <v>0</v>
      </c>
      <c r="BA18" s="40">
        <f>('ФАКТ ЧИСТ К2'!B9)*СПРАВОЧНИК!$L$9+('ФАКТ ЧИСТ К2'!C9)*СПРАВОЧНИК!$M$9+('ФАКТ ЧИСТ К2'!D9)*СПРАВОЧНИК!$N$9+('ФАКТ ЧИСТ К2'!E9)*СПРАВОЧНИК!$O$9+('ФАКТ ЧИСТ К2'!F9)*СПРАВОЧНИК!$L$10+('ФАКТ ЧИСТ К2'!G9)*СПРАВОЧНИК!$M$10+('ФАКТ ЧИСТ К2'!H9)*СПРАВОЧНИК!$N$10+('ФАКТ ЧИСТ К2'!I9)*СПРАВОЧНИК!$L$11+('ФАКТ ЧИСТ К2'!J9)*СПРАВОЧНИК!$M$11+('ФАКТ ЧИСТ К2'!K9)*СПРАВОЧНИК!$N$11+('ФАКТ ЧИСТ К2'!L9)*СПРАВОЧНИК!$L$12+('ФАКТ ЧИСТ К2'!M9)*СПРАВОЧНИК!$M$12+('ФАКТ ЧИСТ К2'!N9)*СПРАВОЧНИК!$N$12+('ФАКТ ЧИСТ К2'!O9)*СПРАВОЧНИК!$L$13+('ФАКТ ЧИСТ К2'!P9)*СПРАВОЧНИК!$M$13+('ФАКТ ЧИСТ К2'!Q9)*СПРАВОЧНИК!$N$13+('ФАКТ ЧИСТ К2'!R9)*СПРАВОЧНИК!$L$14+('ФАКТ ЧИСТ К2'!S9)*СПРАВОЧНИК!$M$14+('ФАКТ ЧИСТ К2'!T9)*СПРАВОЧНИК!$N$14+('ФАКТ ЧИСТ К2'!U9)*СПРАВОЧНИК!$L$15+('ФАКТ ЧИСТ К2'!V9)*СПРАВОЧНИК!$M$15+('ФАКТ ЧИСТ К2'!W9)*СПРАВОЧНИК!$N$15</f>
        <v>0</v>
      </c>
      <c r="BE18" s="18">
        <f t="shared" si="21"/>
        <v>46202</v>
      </c>
      <c r="BF18" s="37">
        <f>СПРАВОЧНИК!$E$9*('ПЛАН ЧЕРН К3'!B9*СПРАВОЧНИК!$H$9+'ПЛАН ЧЕРН К3'!C9*СПРАВОЧНИК!$I$9+'ПЛАН ЧЕРН К3'!D9*СПРАВОЧНИК!$J$9)+СПРАВОЧНИК!$E$10*('ПЛАН ЧЕРН К3'!E9*СПРАВОЧНИК!$H$10+'ПЛАН ЧЕРН К3'!F9*СПРАВОЧНИК!$I$10+'ПЛАН ЧЕРН К3'!G9*СПРАВОЧНИК!$J$10)+СПРАВОЧНИК!$E$11*('ПЛАН ЧЕРН К3'!H9*СПРАВОЧНИК!$H$11+'ПЛАН ЧЕРН К3'!I9*СПРАВОЧНИК!$I$11+'ПЛАН ЧЕРН К3'!J9*СПРАВОЧНИК!$J$11)+СПРАВОЧНИК!$E$12*('ПЛАН ЧЕРН К3'!K9*СПРАВОЧНИК!$H$12+'ПЛАН ЧЕРН К3'!L9*СПРАВОЧНИК!$I$12+'ПЛАН ЧЕРН К3'!M9*СПРАВОЧНИК!$J$12)+СПРАВОЧНИК!$E$13*('ПЛАН ЧЕРН К3'!N9*СПРАВОЧНИК!$H$13+'ПЛАН ЧЕРН К3'!O9*СПРАВОЧНИК!$I$13+'ПЛАН ЧЕРН К3'!P9*СПРАВОЧНИК!$J$13)+СПРАВОЧНИК!$E$14*('ПЛАН ЧЕРН К3'!Q9*СПРАВОЧНИК!$H$14+'ПЛАН ЧЕРН К3'!R9*СПРАВОЧНИК!$I$14+'ПЛАН ЧЕРН К3'!S9*СПРАВОЧНИК!$J$14)+СПРАВОЧНИК!$E$15*('ПЛАН ЧЕРН К3'!T9*СПРАВОЧНИК!$H$15+'ПЛАН ЧЕРН К3'!U9*СПРАВОЧНИК!$I$15+'ПЛАН ЧЕРН К3'!V9*СПРАВОЧНИК!$J$15)+СПРАВОЧНИК!$F$9*('ПЛАН ЧИСТ К3'!B9*СПРАВОЧНИК!$L$9+'ПЛАН ЧИСТ К3'!C9*СПРАВОЧНИК!$M$9+'ПЛАН ЧИСТ К3'!D9*СПРАВОЧНИК!$N$9+'ПЛАН ЧИСТ К3'!E9*СПРАВОЧНИК!$O$9)+СПРАВОЧНИК!$F$10*('ПЛАН ЧИСТ К3'!F9*СПРАВОЧНИК!$L$10+'ПЛАН ЧИСТ К3'!G9*СПРАВОЧНИК!$M$10+'ПЛАН ЧИСТ К3'!H9*СПРАВОЧНИК!$N$10)+СПРАВОЧНИК!$F$11*('ПЛАН ЧИСТ К3'!I9*СПРАВОЧНИК!$L$11+'ПЛАН ЧИСТ К3'!J9*СПРАВОЧНИК!$M$11+'ПЛАН ЧИСТ К3'!K9*СПРАВОЧНИК!$N$11)+СПРАВОЧНИК!$F$12*('ПЛАН ЧИСТ К3'!L9*СПРАВОЧНИК!$L$12+'ПЛАН ЧИСТ К3'!M9*СПРАВОЧНИК!$M$12+'ПЛАН ЧИСТ К3'!N9*СПРАВОЧНИК!$N$12)+СПРАВОЧНИК!$F$13*('ПЛАН ЧИСТ К3'!O9*СПРАВОЧНИК!$L$13+'ПЛАН ЧИСТ К3'!P9*СПРАВОЧНИК!$M$13+'ПЛАН ЧИСТ К3'!Q9*СПРАВОЧНИК!$N$13)+СПРАВОЧНИК!$F$14*('ПЛАН ЧИСТ К3'!R9*СПРАВОЧНИК!$L$14+'ПЛАН ЧИСТ К3'!S9*СПРАВОЧНИК!$M$14+'ПЛАН ЧИСТ К3'!T9*СПРАВОЧНИК!$N$14)+СПРАВОЧНИК!$F$15*('ПЛАН ЧИСТ К3'!U9*СПРАВОЧНИК!$L$15+'ПЛАН ЧИСТ К3'!V9*СПРАВОЧНИК!$M$15+'ПЛАН ЧИСТ К3'!W9*СПРАВОЧНИК!$N$15)</f>
        <v>0</v>
      </c>
      <c r="BG18" s="40">
        <f>СПРАВОЧНИК!$E$9*(('ФАКТ ЧЕРН К3'!B9)*СПРАВОЧНИК!$H$9+('ФАКТ ЧЕРН К3'!C9)*СПРАВОЧНИК!$I$9+('ФАКТ ЧЕРН К3'!D9)*СПРАВОЧНИК!$J$9)+СПРАВОЧНИК!$E$10*(('ФАКТ ЧЕРН К3'!E9)*СПРАВОЧНИК!$H$10+('ФАКТ ЧЕРН К3'!F9)*СПРАВОЧНИК!$I$10+('ФАКТ ЧЕРН К3'!G9)*СПРАВОЧНИК!$J$10)+СПРАВОЧНИК!$E$11*(('ФАКТ ЧЕРН К3'!H9)*СПРАВОЧНИК!$H$11+('ФАКТ ЧЕРН К3'!I9)*СПРАВОЧНИК!$I$11+('ФАКТ ЧЕРН К3'!J9)*СПРАВОЧНИК!$J$11)+СПРАВОЧНИК!$E$12*(('ФАКТ ЧЕРН К3'!K9)*СПРАВОЧНИК!$H$12+('ФАКТ ЧЕРН К3'!L9)*СПРАВОЧНИК!$I$12+('ФАКТ ЧЕРН К3'!M9)*СПРАВОЧНИК!$J$12)+СПРАВОЧНИК!$E$13*(('ФАКТ ЧЕРН К3'!N9)*СПРАВОЧНИК!$H$13+('ФАКТ ЧЕРН К3'!O9)*СПРАВОЧНИК!$I$13+('ФАКТ ЧЕРН К3'!P9)*СПРАВОЧНИК!$J$13)+СПРАВОЧНИК!$E$14*(('ФАКТ ЧЕРН К3'!Q9)*СПРАВОЧНИК!$H$14+('ФАКТ ЧЕРН К3'!R9)*СПРАВОЧНИК!$I$14+('ФАКТ ЧЕРН К3'!S9)*СПРАВОЧНИК!$J$14)+СПРАВОЧНИК!$E$15*(('ФАКТ ЧЕРН К3'!T9)*СПРАВОЧНИК!$H$15+('ФАКТ ЧЕРН К3'!U9)*СПРАВОЧНИК!$I$15+('ФАКТ ЧЕРН К3'!V9)*СПРАВОЧНИК!$J$15)+СПРАВОЧНИК!$F$9*(('ФАКТ ЧИСТ К3'!B9)*СПРАВОЧНИК!$L$9+('ФАКТ ЧИСТ К3'!C9)*СПРАВОЧНИК!$M$9+('ФАКТ ЧИСТ К3'!D9)*СПРАВОЧНИК!$N$9+('ФАКТ ЧИСТ К3'!E9)*СПРАВОЧНИК!$O$9)+СПРАВОЧНИК!$F$10*(('ФАКТ ЧИСТ К3'!F9)*СПРАВОЧНИК!$L$10+('ФАКТ ЧИСТ К3'!G9)*СПРАВОЧНИК!$M$10+('ФАКТ ЧИСТ К3'!H9)*СПРАВОЧНИК!$N$10)+СПРАВОЧНИК!$F$11*(('ФАКТ ЧИСТ К3'!I9)*СПРАВОЧНИК!$L$11+('ФАКТ ЧИСТ К3'!J9)*СПРАВОЧНИК!$M$11+('ФАКТ ЧИСТ К3'!K9)*СПРАВОЧНИК!$N$11)+СПРАВОЧНИК!$F$12*(('ФАКТ ЧИСТ К3'!L9)*СПРАВОЧНИК!$L$12+('ФАКТ ЧИСТ К3'!M9)*СПРАВОЧНИК!$M$12+('ФАКТ ЧИСТ К3'!N9)*СПРАВОЧНИК!$N$12)+СПРАВОЧНИК!$F$13*(('ФАКТ ЧИСТ К3'!O9)*СПРАВОЧНИК!$L$13+('ФАКТ ЧИСТ К3'!P9)*СПРАВОЧНИК!$M$13+('ФАКТ ЧИСТ К3'!Q9)*СПРАВОЧНИК!$N$13)+СПРАВОЧНИК!$F$14*(('ФАКТ ЧИСТ К3'!R9)*СПРАВОЧНИК!$L$14+('ФАКТ ЧИСТ К3'!S9)*СПРАВОЧНИК!$M$14+('ФАКТ ЧИСТ К3'!T9)*СПРАВОЧНИК!$N$14)+СПРАВОЧНИК!$F$15*(('ФАКТ ЧИСТ К3'!U9)*СПРАВОЧНИК!$L$15+('ФАКТ ЧИСТ К3'!V9)*СПРАВОЧНИК!$M$15+('ФАКТ ЧИСТ К3'!W9)*СПРАВОЧНИК!$N$15)</f>
        <v>0</v>
      </c>
      <c r="BK18" s="18">
        <f t="shared" si="22"/>
        <v>46202</v>
      </c>
      <c r="BL18" s="37">
        <f>'ПЛАН ЧЕРН К3'!B9*СПРАВОЧНИК!$H$9+'ПЛАН ЧЕРН К3'!C9*СПРАВОЧНИК!$I$9+'ПЛАН ЧЕРН К3'!D9*СПРАВОЧНИК!$J$9+'ПЛАН ЧЕРН К3'!E9*СПРАВОЧНИК!$H$10+'ПЛАН ЧЕРН К3'!F9*СПРАВОЧНИК!$I$10+'ПЛАН ЧЕРН К3'!G9*СПРАВОЧНИК!$J$10+'ПЛАН ЧЕРН К3'!H9*СПРАВОЧНИК!$H$11+'ПЛАН ЧЕРН К3'!I9*СПРАВОЧНИК!$I$11+'ПЛАН ЧЕРН К3'!J9*СПРАВОЧНИК!$J$11+'ПЛАН ЧЕРН К3'!K9*СПРАВОЧНИК!$H$12+'ПЛАН ЧЕРН К3'!L9*СПРАВОЧНИК!$I$12+'ПЛАН ЧЕРН К3'!M9*СПРАВОЧНИК!$J$12+'ПЛАН ЧЕРН К3'!N9*СПРАВОЧНИК!$H$13+'ПЛАН ЧЕРН К3'!O9*СПРАВОЧНИК!$I$13+'ПЛАН ЧЕРН К3'!P9*СПРАВОЧНИК!$J$13+'ПЛАН ЧЕРН К3'!Q9*СПРАВОЧНИК!$H$14+'ПЛАН ЧЕРН К3'!R9*СПРАВОЧНИК!$I$14+'ПЛАН ЧЕРН К3'!S9*СПРАВОЧНИК!$J$14+'ПЛАН ЧЕРН К3'!T9*СПРАВОЧНИК!$H$15+'ПЛАН ЧЕРН К3'!U9*СПРАВОЧНИК!$I$15+'ПЛАН ЧЕРН К3'!V9*СПРАВОЧНИК!$J$15</f>
        <v>0</v>
      </c>
      <c r="BM18" s="40">
        <f>('ФАКТ ЧЕРН К3'!B9)*СПРАВОЧНИК!$H$9+('ФАКТ ЧЕРН К3'!C9)*СПРАВОЧНИК!$I$9+('ФАКТ ЧЕРН К3'!D9)*СПРАВОЧНИК!$J$9+('ФАКТ ЧЕРН К3'!E9)*СПРАВОЧНИК!$H$10+('ФАКТ ЧЕРН К3'!F9)*СПРАВОЧНИК!$I$10+('ФАКТ ЧЕРН К3'!G9)*СПРАВОЧНИК!$J$10+('ФАКТ ЧЕРН К3'!H9)*СПРАВОЧНИК!$H$11+('ФАКТ ЧЕРН К3'!I9)*СПРАВОЧНИК!$I$11+('ФАКТ ЧЕРН К3'!J9)*СПРАВОЧНИК!$J$11+('ФАКТ ЧЕРН К3'!K9)*СПРАВОЧНИК!$H$12+('ФАКТ ЧЕРН К3'!L9)*СПРАВОЧНИК!$I$12+('ФАКТ ЧЕРН К3'!M9)*СПРАВОЧНИК!$J$12+('ФАКТ ЧЕРН К3'!N9)*СПРАВОЧНИК!$H$13+('ФАКТ ЧЕРН К3'!O9)*СПРАВОЧНИК!$I$13+('ФАКТ ЧЕРН К3'!P9)*СПРАВОЧНИК!$J$13+('ФАКТ ЧЕРН К3'!Q9)*СПРАВОЧНИК!$H$14+('ФАКТ ЧЕРН К3'!R9)*СПРАВОЧНИК!$I$14+('ФАКТ ЧЕРН К3'!S9)*СПРАВОЧНИК!$J$14+('ФАКТ ЧЕРН К3'!T9)*СПРАВОЧНИК!$H$15+('ФАКТ ЧЕРН К3'!U9)*СПРАВОЧНИК!$I$15+('ФАКТ ЧЕРН К3'!V9)*СПРАВОЧНИК!$J$15</f>
        <v>0</v>
      </c>
      <c r="BQ18" s="18">
        <f t="shared" si="23"/>
        <v>46202</v>
      </c>
      <c r="BR18" s="37">
        <f>'ПЛАН ЧИСТ К3'!B9*СПРАВОЧНИК!$L$9+'ПЛАН ЧИСТ К3'!C9*СПРАВОЧНИК!$M$9+'ПЛАН ЧИСТ К3'!D9*СПРАВОЧНИК!$N$9+'ПЛАН ЧИСТ К3'!E9*СПРАВОЧНИК!$O$9+'ПЛАН ЧИСТ К3'!F9*СПРАВОЧНИК!$L$10+'ПЛАН ЧИСТ К3'!G9*СПРАВОЧНИК!$M$10+'ПЛАН ЧИСТ К3'!H9*СПРАВОЧНИК!$N$10+'ПЛАН ЧИСТ К3'!I9*СПРАВОЧНИК!$L$11+'ПЛАН ЧИСТ К3'!J9*СПРАВОЧНИК!$M$11+'ПЛАН ЧИСТ К3'!K9*СПРАВОЧНИК!$N$11+'ПЛАН ЧИСТ К3'!L9*СПРАВОЧНИК!$L$12+'ПЛАН ЧИСТ К3'!M9*СПРАВОЧНИК!$M$12+'ПЛАН ЧИСТ К3'!N9*СПРАВОЧНИК!$N$12+'ПЛАН ЧИСТ К3'!O9*СПРАВОЧНИК!$L$13+'ПЛАН ЧИСТ К3'!P9*СПРАВОЧНИК!$M$13+'ПЛАН ЧИСТ К3'!Q9*СПРАВОЧНИК!$N$13+'ПЛАН ЧИСТ К3'!R9*СПРАВОЧНИК!$L$14+'ПЛАН ЧИСТ К3'!S9*СПРАВОЧНИК!$M$14+'ПЛАН ЧИСТ К3'!T9*СПРАВОЧНИК!$N$14+'ПЛАН ЧИСТ К3'!U9*СПРАВОЧНИК!$L$15+'ПЛАН ЧИСТ К3'!V9*СПРАВОЧНИК!$M$15+'ПЛАН ЧИСТ К3'!W9*СПРАВОЧНИК!$N$15</f>
        <v>0</v>
      </c>
      <c r="BS18" s="40">
        <f>('ФАКТ ЧИСТ К3'!B9)*СПРАВОЧНИК!$L$9+('ФАКТ ЧИСТ К3'!C9)*СПРАВОЧНИК!$M$9+('ФАКТ ЧИСТ К3'!D9)*СПРАВОЧНИК!$N$9+('ФАКТ ЧИСТ К3'!E9)*СПРАВОЧНИК!$O$9+('ФАКТ ЧИСТ К3'!F9)*СПРАВОЧНИК!$L$10+('ФАКТ ЧИСТ К3'!G9)*СПРАВОЧНИК!$M$10+('ФАКТ ЧИСТ К3'!H9)*СПРАВОЧНИК!$N$10+('ФАКТ ЧИСТ К3'!I9)*СПРАВОЧНИК!$L$11+('ФАКТ ЧИСТ К3'!J9)*СПРАВОЧНИК!$M$11+('ФАКТ ЧИСТ К3'!K9)*СПРАВОЧНИК!$N$11+('ФАКТ ЧИСТ К3'!L9)*СПРАВОЧНИК!$L$12+('ФАКТ ЧИСТ К3'!M9)*СПРАВОЧНИК!$M$12+('ФАКТ ЧИСТ К3'!N9)*СПРАВОЧНИК!$N$12+('ФАКТ ЧИСТ К3'!O9)*СПРАВОЧНИК!$L$13+('ФАКТ ЧИСТ К3'!P9)*СПРАВОЧНИК!$M$13+('ФАКТ ЧИСТ К3'!Q9)*СПРАВОЧНИК!$N$13+('ФАКТ ЧИСТ К3'!R9)*СПРАВОЧНИК!$L$14+('ФАКТ ЧИСТ К3'!S9)*СПРАВОЧНИК!$M$14+('ФАКТ ЧИСТ К3'!T9)*СПРАВОЧНИК!$N$14+('ФАКТ ЧИСТ К3'!U9)*СПРАВОЧНИК!$L$15+('ФАКТ ЧИСТ К3'!V9)*СПРАВОЧНИК!$M$15+('ФАКТ ЧИСТ К3'!W9)*СПРАВОЧНИК!$N$15</f>
        <v>0</v>
      </c>
      <c r="BW18" s="18">
        <f t="shared" si="24"/>
        <v>46202</v>
      </c>
      <c r="BX18" s="37">
        <f t="shared" si="0"/>
        <v>0</v>
      </c>
      <c r="BY18" s="40">
        <f t="shared" si="1"/>
        <v>0</v>
      </c>
      <c r="CC18" s="18">
        <f t="shared" si="25"/>
        <v>46202</v>
      </c>
      <c r="CD18" s="37">
        <f t="shared" si="2"/>
        <v>0</v>
      </c>
      <c r="CE18" s="40">
        <f t="shared" si="3"/>
        <v>0</v>
      </c>
      <c r="CI18" s="18">
        <f t="shared" si="26"/>
        <v>46202</v>
      </c>
      <c r="CJ18" s="37">
        <f t="shared" si="4"/>
        <v>0</v>
      </c>
      <c r="CK18" s="40">
        <f t="shared" si="5"/>
        <v>0</v>
      </c>
      <c r="CO18" s="18">
        <f t="shared" si="27"/>
        <v>46202</v>
      </c>
      <c r="CP18" s="37">
        <f t="shared" si="6"/>
        <v>0</v>
      </c>
      <c r="CQ18" s="40">
        <f t="shared" si="7"/>
        <v>0</v>
      </c>
      <c r="CU18" s="18">
        <f t="shared" si="28"/>
        <v>46202</v>
      </c>
      <c r="CV18" s="37">
        <f t="shared" si="8"/>
        <v>0</v>
      </c>
      <c r="CW18" s="40">
        <f t="shared" si="9"/>
        <v>0</v>
      </c>
      <c r="DA18" s="18">
        <f t="shared" si="29"/>
        <v>46202</v>
      </c>
      <c r="DB18" s="37">
        <f t="shared" si="10"/>
        <v>0</v>
      </c>
      <c r="DC18" s="40">
        <f t="shared" si="11"/>
        <v>0</v>
      </c>
    </row>
    <row r="19" spans="3:107" x14ac:dyDescent="0.25">
      <c r="C19" s="18">
        <f t="shared" si="12"/>
        <v>46209</v>
      </c>
      <c r="D19" s="37">
        <f>СПРАВОЧНИК!$E$3*('ПЛАН ЧЕРН ПОДЗЕМ'!B10*СПРАВОЧНИК!$H$3+'ПЛАН ЧЕРН ПОДЗЕМ'!C10*СПРАВОЧНИК!$I$3+'ПЛАН ЧЕРН ПОДЗЕМ'!D10*СПРАВОЧНИК!$J$3)+СПРАВОЧНИК!$E$4*('ПЛАН ЧЕРН ПОДЗЕМ'!E10*СПРАВОЧНИК!$H$4+'ПЛАН ЧЕРН ПОДЗЕМ'!F10*СПРАВОЧНИК!$I$4+'ПЛАН ЧЕРН ПОДЗЕМ'!G10*СПРАВОЧНИК!$J$4)+СПРАВОЧНИК!$E$5*('ПЛАН ЧЕРН ПОДЗЕМ'!H10*СПРАВОЧНИК!$H$5+'ПЛАН ЧЕРН ПОДЗЕМ'!I10*СПРАВОЧНИК!$I$5+'ПЛАН ЧЕРН ПОДЗЕМ'!J10*СПРАВОЧНИК!$J$5)+СПРАВОЧНИК!$E$6*('ПЛАН ЧЕРН ПОДЗЕМ'!K10*СПРАВОЧНИК!$H$6+'ПЛАН ЧЕРН ПОДЗЕМ'!L10*СПРАВОЧНИК!$I$6+'ПЛАН ЧЕРН ПОДЗЕМ'!M10*СПРАВОЧНИК!$J$6)+СПРАВОЧНИК!$E$7*('ПЛАН ЧЕРН ПОДЗЕМ'!N10*СПРАВОЧНИК!$H$7+'ПЛАН ЧЕРН ПОДЗЕМ'!O10*СПРАВОЧНИК!$I$7+'ПЛАН ЧЕРН ПОДЗЕМ'!P10*СПРАВОЧНИК!$J$7)+СПРАВОЧНИК!$E$8*('ПЛАН ЧЕРН ПОДЗЕМ'!Q10*СПРАВОЧНИК!$H$8+'ПЛАН ЧЕРН ПОДЗЕМ'!R10*СПРАВОЧНИК!$I$8+'ПЛАН ЧЕРН ПОДЗЕМ'!S10*СПРАВОЧНИК!$J$8)+СПРАВОЧНИК!$F$3*('ПЛАН ЧИСТ ПОДЗЕМ'!B10*СПРАВОЧНИК!$L$3+'ПЛАН ЧИСТ ПОДЗЕМ'!C10*СПРАВОЧНИК!$M$3+'ПЛАН ЧИСТ ПОДЗЕМ'!D10*СПРАВОЧНИК!$N$3)+СПРАВОЧНИК!$F$4*('ПЛАН ЧИСТ ПОДЗЕМ'!E10*СПРАВОЧНИК!$L$4+'ПЛАН ЧИСТ ПОДЗЕМ'!F10*СПРАВОЧНИК!$M$4+'ПЛАН ЧИСТ ПОДЗЕМ'!G10*СПРАВОЧНИК!$N$4)+СПРАВОЧНИК!$F$5*('ПЛАН ЧИСТ ПОДЗЕМ'!H10*СПРАВОЧНИК!$L$5+'ПЛАН ЧИСТ ПОДЗЕМ'!I10*СПРАВОЧНИК!$M$5+'ПЛАН ЧИСТ ПОДЗЕМ'!J10*СПРАВОЧНИК!$N$5)+СПРАВОЧНИК!$F$6*('ПЛАН ЧИСТ ПОДЗЕМ'!K10*СПРАВОЧНИК!$L$6+'ПЛАН ЧИСТ ПОДЗЕМ'!L10*СПРАВОЧНИК!$M$6+'ПЛАН ЧИСТ ПОДЗЕМ'!M10*СПРАВОЧНИК!$N$6)+СПРАВОЧНИК!$F$7*('ПЛАН ЧИСТ ПОДЗЕМ'!N10*СПРАВОЧНИК!$L$7+'ПЛАН ЧИСТ ПОДЗЕМ'!O10*СПРАВОЧНИК!$M$7+'ПЛАН ЧИСТ ПОДЗЕМ'!P10*СПРАВОЧНИК!$N$7)+СПРАВОЧНИК!$F$8*('ПЛАН ЧИСТ ПОДЗЕМ'!Q10*СПРАВОЧНИК!$L$8+'ПЛАН ЧИСТ ПОДЗЕМ'!R10*СПРАВОЧНИК!$M$8+'ПЛАН ЧИСТ ПОДЗЕМ'!S10*СПРАВОЧНИК!$N$8)</f>
        <v>0</v>
      </c>
      <c r="E19" s="40">
        <f>СПРАВОЧНИК!$E$3*(('ФАКТ ЧЕРН ПОДЗЕМ'!B10)*СПРАВОЧНИК!$H$3+('ФАКТ ЧЕРН ПОДЗЕМ'!C10)*СПРАВОЧНИК!$I$3+('ФАКТ ЧЕРН ПОДЗЕМ'!D10)*СПРАВОЧНИК!$J$3)+СПРАВОЧНИК!$E$4*(('ФАКТ ЧЕРН ПОДЗЕМ'!E10)*СПРАВОЧНИК!$H$4+('ФАКТ ЧЕРН ПОДЗЕМ'!F10)*СПРАВОЧНИК!$I$4+('ФАКТ ЧЕРН ПОДЗЕМ'!G10)*СПРАВОЧНИК!$J$4)+СПРАВОЧНИК!$E$5*(('ФАКТ ЧЕРН ПОДЗЕМ'!H10)*СПРАВОЧНИК!$H$5+('ФАКТ ЧЕРН ПОДЗЕМ'!I10)*СПРАВОЧНИК!$I$5+('ФАКТ ЧЕРН ПОДЗЕМ'!J10)*СПРАВОЧНИК!$J$5)+СПРАВОЧНИК!$E$6*(('ФАКТ ЧЕРН ПОДЗЕМ'!K10)*СПРАВОЧНИК!$H$6+('ФАКТ ЧЕРН ПОДЗЕМ'!L10)*СПРАВОЧНИК!$I$6+('ФАКТ ЧЕРН ПОДЗЕМ'!M10)*СПРАВОЧНИК!$J$6)+СПРАВОЧНИК!$E$7*(('ФАКТ ЧЕРН ПОДЗЕМ'!N10)*СПРАВОЧНИК!$H$7+('ФАКТ ЧЕРН ПОДЗЕМ'!O10)*СПРАВОЧНИК!$I$7+('ФАКТ ЧЕРН ПОДЗЕМ'!P10)*СПРАВОЧНИК!$J$7)+СПРАВОЧНИК!$E$8*(('ФАКТ ЧЕРН ПОДЗЕМ'!Q10)*СПРАВОЧНИК!$H$8+('ФАКТ ЧЕРН ПОДЗЕМ'!R10)*СПРАВОЧНИК!$I$8+('ФАКТ ЧЕРН ПОДЗЕМ'!S10)*СПРАВОЧНИК!$J$8)+СПРАВОЧНИК!$F$3*(('ФАКТ ЧИСТ ПОДЗЕМ'!B10)*СПРАВОЧНИК!$L$3+('ФАКТ ЧИСТ ПОДЗЕМ'!C10)*СПРАВОЧНИК!$M$3+('ФАКТ ЧИСТ ПОДЗЕМ'!D10)*СПРАВОЧНИК!$N$3)+СПРАВОЧНИК!$F$4*(('ФАКТ ЧИСТ ПОДЗЕМ'!E10)*СПРАВОЧНИК!$L$4+('ФАКТ ЧИСТ ПОДЗЕМ'!F10)*СПРАВОЧНИК!$M$4+('ФАКТ ЧИСТ ПОДЗЕМ'!G10)*СПРАВОЧНИК!$N$4)+СПРАВОЧНИК!$F$5*(('ФАКТ ЧИСТ ПОДЗЕМ'!H10)*СПРАВОЧНИК!$L$5+('ФАКТ ЧИСТ ПОДЗЕМ'!I10)*СПРАВОЧНИК!$M$5+('ФАКТ ЧИСТ ПОДЗЕМ'!J10)*СПРАВОЧНИК!$N$5)+СПРАВОЧНИК!$F$6*(('ФАКТ ЧИСТ ПОДЗЕМ'!K10)*СПРАВОЧНИК!$L$6+('ФАКТ ЧИСТ ПОДЗЕМ'!L10)*СПРАВОЧНИК!$M$6+('ФАКТ ЧИСТ ПОДЗЕМ'!M10)*СПРАВОЧНИК!$N$6)+СПРАВОЧНИК!$F$7*(('ФАКТ ЧИСТ ПОДЗЕМ'!N10)*СПРАВОЧНИК!$L$7+('ФАКТ ЧИСТ ПОДЗЕМ'!O10)*СПРАВОЧНИК!$M$7+('ФАКТ ЧИСТ ПОДЗЕМ'!P10)*СПРАВОЧНИК!$N$7)+СПРАВОЧНИК!$F$8*(('ФАКТ ЧИСТ ПОДЗЕМ'!Q10)*СПРАВОЧНИК!$L$8+('ФАКТ ЧИСТ ПОДЗЕМ'!R10)*СПРАВОЧНИК!$M$8+('ФАКТ ЧИСТ ПОДЗЕМ'!S10)*СПРАВОЧНИК!$N$8)</f>
        <v>0</v>
      </c>
      <c r="I19" s="18">
        <f t="shared" si="13"/>
        <v>46209</v>
      </c>
      <c r="J19" s="37">
        <f>'ПЛАН ЧЕРН ПОДЗЕМ'!B10*СПРАВОЧНИК!$H$3+'ПЛАН ЧЕРН ПОДЗЕМ'!C10*СПРАВОЧНИК!$I$3+'ПЛАН ЧЕРН ПОДЗЕМ'!D10*СПРАВОЧНИК!$J$3+'ПЛАН ЧЕРН ПОДЗЕМ'!E10*СПРАВОЧНИК!$H$4+'ПЛАН ЧЕРН ПОДЗЕМ'!F10*СПРАВОЧНИК!$I$4+'ПЛАН ЧЕРН ПОДЗЕМ'!G10*СПРАВОЧНИК!$J$4+'ПЛАН ЧЕРН ПОДЗЕМ'!H10*СПРАВОЧНИК!$H$5+'ПЛАН ЧЕРН ПОДЗЕМ'!I10*СПРАВОЧНИК!$I$5+'ПЛАН ЧЕРН ПОДЗЕМ'!J10*СПРАВОЧНИК!$J$5+'ПЛАН ЧЕРН ПОДЗЕМ'!K10*СПРАВОЧНИК!$H$6+'ПЛАН ЧЕРН ПОДЗЕМ'!L10*СПРАВОЧНИК!$I$6+'ПЛАН ЧЕРН ПОДЗЕМ'!M10*СПРАВОЧНИК!$J$6+'ПЛАН ЧЕРН ПОДЗЕМ'!N10*СПРАВОЧНИК!$H$7+'ПЛАН ЧЕРН ПОДЗЕМ'!O10*СПРАВОЧНИК!$I$7+'ПЛАН ЧЕРН ПОДЗЕМ'!P10*СПРАВОЧНИК!$J$7+'ПЛАН ЧЕРН ПОДЗЕМ'!Q10*СПРАВОЧНИК!$H$8+'ПЛАН ЧЕРН ПОДЗЕМ'!R10*СПРАВОЧНИК!$I$8+'ПЛАН ЧЕРН ПОДЗЕМ'!S10*СПРАВОЧНИК!$J$8</f>
        <v>0</v>
      </c>
      <c r="K19" s="40">
        <f>('ФАКТ ЧЕРН ПОДЗЕМ'!B10)*СПРАВОЧНИК!$H$3+('ФАКТ ЧЕРН ПОДЗЕМ'!C10)*СПРАВОЧНИК!$I$3+('ФАКТ ЧЕРН ПОДЗЕМ'!D10)*СПРАВОЧНИК!$J$3+('ФАКТ ЧЕРН ПОДЗЕМ'!E10)*СПРАВОЧНИК!$H$4+('ФАКТ ЧЕРН ПОДЗЕМ'!F10)*СПРАВОЧНИК!$I$4+('ФАКТ ЧЕРН ПОДЗЕМ'!G10)*СПРАВОЧНИК!$J$4+('ФАКТ ЧЕРН ПОДЗЕМ'!H10)*СПРАВОЧНИК!$H$5+('ФАКТ ЧЕРН ПОДЗЕМ'!I10)*СПРАВОЧНИК!$I$5+('ФАКТ ЧЕРН ПОДЗЕМ'!J10)*СПРАВОЧНИК!$J$5+('ФАКТ ЧЕРН ПОДЗЕМ'!K10)*СПРАВОЧНИК!$H$6+('ФАКТ ЧЕРН ПОДЗЕМ'!L10)*СПРАВОЧНИК!$I$6+('ФАКТ ЧЕРН ПОДЗЕМ'!M10)*СПРАВОЧНИК!$J$6+('ФАКТ ЧЕРН ПОДЗЕМ'!N10)*СПРАВОЧНИК!$H$7+('ФАКТ ЧЕРН ПОДЗЕМ'!O10)*СПРАВОЧНИК!$I$7+('ФАКТ ЧЕРН ПОДЗЕМ'!P10)*СПРАВОЧНИК!$J$7+('ФАКТ ЧЕРН ПОДЗЕМ'!Q10)*СПРАВОЧНИК!$H$8+('ФАКТ ЧЕРН ПОДЗЕМ'!R10)*СПРАВОЧНИК!$I$8+('ФАКТ ЧЕРН ПОДЗЕМ'!S10)*СПРАВОЧНИК!$J$8</f>
        <v>0</v>
      </c>
      <c r="O19" s="18">
        <f t="shared" si="14"/>
        <v>46209</v>
      </c>
      <c r="P19" s="37">
        <f>'ПЛАН ЧИСТ ПОДЗЕМ'!B10*СПРАВОЧНИК!$L$3+'ПЛАН ЧИСТ ПОДЗЕМ'!C10*СПРАВОЧНИК!$M$3+'ПЛАН ЧИСТ ПОДЗЕМ'!D10*СПРАВОЧНИК!$N$3+'ПЛАН ЧИСТ ПОДЗЕМ'!E10*СПРАВОЧНИК!$L$4+'ПЛАН ЧИСТ ПОДЗЕМ'!F10*СПРАВОЧНИК!$M$4+'ПЛАН ЧИСТ ПОДЗЕМ'!G10*СПРАВОЧНИК!$N$4+'ПЛАН ЧИСТ ПОДЗЕМ'!H10*СПРАВОЧНИК!$L$5+'ПЛАН ЧИСТ ПОДЗЕМ'!I10*СПРАВОЧНИК!$M$5+'ПЛАН ЧИСТ ПОДЗЕМ'!J10*СПРАВОЧНИК!$N$5+'ПЛАН ЧИСТ ПОДЗЕМ'!K10*СПРАВОЧНИК!$L$6+'ПЛАН ЧИСТ ПОДЗЕМ'!L10*СПРАВОЧНИК!$M$6+'ПЛАН ЧИСТ ПОДЗЕМ'!M10*СПРАВОЧНИК!$N$6+'ПЛАН ЧИСТ ПОДЗЕМ'!N10*СПРАВОЧНИК!$L$7+'ПЛАН ЧИСТ ПОДЗЕМ'!O10*СПРАВОЧНИК!$M$7+'ПЛАН ЧИСТ ПОДЗЕМ'!P10*СПРАВОЧНИК!$N$7+'ПЛАН ЧИСТ ПОДЗЕМ'!Q10*СПРАВОЧНИК!$L$8+'ПЛАН ЧИСТ ПОДЗЕМ'!R10*СПРАВОЧНИК!$M$8+'ПЛАН ЧИСТ ПОДЗЕМ'!S10*СПРАВОЧНИК!$N$8</f>
        <v>0</v>
      </c>
      <c r="Q19" s="40">
        <f>('ФАКТ ЧИСТ ПОДЗЕМ'!B10)*СПРАВОЧНИК!$L$3+('ФАКТ ЧИСТ ПОДЗЕМ'!C10)*СПРАВОЧНИК!$M$3+('ФАКТ ЧИСТ ПОДЗЕМ'!D10)*СПРАВОЧНИК!$N$3+('ФАКТ ЧИСТ ПОДЗЕМ'!E10)*СПРАВОЧНИК!$L$4+('ФАКТ ЧИСТ ПОДЗЕМ'!F10)*СПРАВОЧНИК!$M$4+('ФАКТ ЧИСТ ПОДЗЕМ'!G10)*СПРАВОЧНИК!$N$4+('ФАКТ ЧИСТ ПОДЗЕМ'!H10)*СПРАВОЧНИК!$L$5+('ФАКТ ЧИСТ ПОДЗЕМ'!I10)*СПРАВОЧНИК!$M$5+('ФАКТ ЧИСТ ПОДЗЕМ'!J10)*СПРАВОЧНИК!$N$5+('ФАКТ ЧИСТ ПОДЗЕМ'!K10)*СПРАВОЧНИК!$L$6+('ФАКТ ЧИСТ ПОДЗЕМ'!L10)*СПРАВОЧНИК!$M$6+('ФАКТ ЧИСТ ПОДЗЕМ'!M10)*СПРАВОЧНИК!$N$6+('ФАКТ ЧИСТ ПОДЗЕМ'!N10)*СПРАВОЧНИК!$L$7+('ФАКТ ЧИСТ ПОДЗЕМ'!O10)*СПРАВОЧНИК!$M$7+('ФАКТ ЧИСТ ПОДЗЕМ'!P10)*СПРАВОЧНИК!$N$7+('ФАКТ ЧИСТ ПОДЗЕМ'!Q10)*СПРАВОЧНИК!$L$8+('ФАКТ ЧИСТ ПОДЗЕМ'!R10)*СПРАВОЧНИК!$M$8+('ФАКТ ЧИСТ ПОДЗЕМ'!S10)*СПРАВОЧНИК!$N$8</f>
        <v>0</v>
      </c>
      <c r="U19" s="18">
        <f t="shared" si="15"/>
        <v>46209</v>
      </c>
      <c r="V19" s="37">
        <f>СПРАВОЧНИК!$E$9*('ПЛАН ЧЕРН К1'!B10*СПРАВОЧНИК!$H$9+'ПЛАН ЧЕРН К1'!C10*СПРАВОЧНИК!$I$9+'ПЛАН ЧЕРН К1'!D10*СПРАВОЧНИК!$J$9)+СПРАВОЧНИК!$E$10*('ПЛАН ЧЕРН К1'!E10*СПРАВОЧНИК!$H$10+'ПЛАН ЧЕРН К1'!F10*СПРАВОЧНИК!$I$10+'ПЛАН ЧЕРН К1'!G10*СПРАВОЧНИК!$J$10)+СПРАВОЧНИК!$E$11*('ПЛАН ЧЕРН К1'!H10*СПРАВОЧНИК!$H$11+'ПЛАН ЧЕРН К1'!I10*СПРАВОЧНИК!$I$11+'ПЛАН ЧЕРН К1'!J10*СПРАВОЧНИК!$J$11)+СПРАВОЧНИК!$E$12*('ПЛАН ЧЕРН К1'!K10*СПРАВОЧНИК!$H$12+'ПЛАН ЧЕРН К1'!L10*СПРАВОЧНИК!$I$12+'ПЛАН ЧЕРН К1'!M10*СПРАВОЧНИК!$J$12)+СПРАВОЧНИК!$E$13*('ПЛАН ЧЕРН К1'!N10*СПРАВОЧНИК!$H$13+'ПЛАН ЧЕРН К1'!O10*СПРАВОЧНИК!$I$13+'ПЛАН ЧЕРН К1'!P10*СПРАВОЧНИК!$J$13)+СПРАВОЧНИК!$E$14*('ПЛАН ЧЕРН К1'!Q10*СПРАВОЧНИК!$H$14+'ПЛАН ЧЕРН К1'!R10*СПРАВОЧНИК!$I$14+'ПЛАН ЧЕРН К1'!S10*СПРАВОЧНИК!$J$14)+СПРАВОЧНИК!$E$15*('ПЛАН ЧЕРН К1'!T10*СПРАВОЧНИК!$H$15+'ПЛАН ЧЕРН К1'!U10*СПРАВОЧНИК!$I$15+'ПЛАН ЧЕРН К1'!V10*СПРАВОЧНИК!$J$15)+СПРАВОЧНИК!$F$9*('ПЛАН ЧИСТ К1'!B10*СПРАВОЧНИК!$L$9+'ПЛАН ЧИСТ К1'!C10*СПРАВОЧНИК!$M$9+'ПЛАН ЧИСТ К1'!D10*СПРАВОЧНИК!$N$9+'ПЛАН ЧИСТ К1'!E10*СПРАВОЧНИК!$O$9)+СПРАВОЧНИК!$F$10*('ПЛАН ЧИСТ К1'!F10*СПРАВОЧНИК!$L$10+'ПЛАН ЧИСТ К1'!G10*СПРАВОЧНИК!$M$10+'ПЛАН ЧИСТ К1'!H10*СПРАВОЧНИК!$N$10)+СПРАВОЧНИК!$F$11*('ПЛАН ЧИСТ К1'!I10*СПРАВОЧНИК!$L$11+'ПЛАН ЧИСТ К1'!J10*СПРАВОЧНИК!$M$11+'ПЛАН ЧИСТ К1'!K10*СПРАВОЧНИК!$N$11)+СПРАВОЧНИК!$F$12*('ПЛАН ЧИСТ К1'!L10*СПРАВОЧНИК!$L$12+'ПЛАН ЧИСТ К1'!M10*СПРАВОЧНИК!$M$12+'ПЛАН ЧИСТ К1'!N10*СПРАВОЧНИК!$N$12)+СПРАВОЧНИК!$F$13*('ПЛАН ЧИСТ К1'!O10*СПРАВОЧНИК!$L$13+'ПЛАН ЧИСТ К1'!P10*СПРАВОЧНИК!$M$13+'ПЛАН ЧИСТ К1'!Q10*СПРАВОЧНИК!$N$13)+СПРАВОЧНИК!$F$14*('ПЛАН ЧИСТ К1'!R10*СПРАВОЧНИК!$L$14+'ПЛАН ЧИСТ К1'!S10*СПРАВОЧНИК!$M$14+'ПЛАН ЧИСТ К1'!T10*СПРАВОЧНИК!$N$14)+СПРАВОЧНИК!$F$15*('ПЛАН ЧИСТ К1'!U10*СПРАВОЧНИК!$L$15+'ПЛАН ЧИСТ К1'!V10*СПРАВОЧНИК!$M$15+'ПЛАН ЧИСТ К1'!W10*СПРАВОЧНИК!$N$15)</f>
        <v>0</v>
      </c>
      <c r="W19" s="40">
        <f>СПРАВОЧНИК!$E$9*(('ФАКТ ЧЕРН К1'!B10)*СПРАВОЧНИК!$H$9+('ФАКТ ЧЕРН К1'!C10)*СПРАВОЧНИК!$I$9+('ФАКТ ЧЕРН К1'!D10)*СПРАВОЧНИК!$J$9)+СПРАВОЧНИК!$E$10*(('ФАКТ ЧЕРН К1'!E10)*СПРАВОЧНИК!$H$10+('ФАКТ ЧЕРН К1'!F10)*СПРАВОЧНИК!$I$10+('ФАКТ ЧЕРН К1'!G10)*СПРАВОЧНИК!$J$10)+СПРАВОЧНИК!$E$11*(('ФАКТ ЧЕРН К1'!H10)*СПРАВОЧНИК!$H$11+('ФАКТ ЧЕРН К1'!I10)*СПРАВОЧНИК!$I$11+('ФАКТ ЧЕРН К1'!J10)*СПРАВОЧНИК!$J$11)+СПРАВОЧНИК!$E$12*(('ФАКТ ЧЕРН К1'!K10)*СПРАВОЧНИК!$H$12+('ФАКТ ЧЕРН К1'!L10)*СПРАВОЧНИК!$I$12+('ФАКТ ЧЕРН К1'!M10)*СПРАВОЧНИК!$J$12)+СПРАВОЧНИК!$E$13*(('ФАКТ ЧЕРН К1'!N10)*СПРАВОЧНИК!$H$13+('ФАКТ ЧЕРН К1'!O10)*СПРАВОЧНИК!$I$13+('ФАКТ ЧЕРН К1'!P10)*СПРАВОЧНИК!$J$13)+СПРАВОЧНИК!$E$14*(('ФАКТ ЧЕРН К1'!Q10)*СПРАВОЧНИК!$H$14+('ФАКТ ЧЕРН К1'!R10)*СПРАВОЧНИК!$I$14+('ФАКТ ЧЕРН К1'!S10)*СПРАВОЧНИК!$J$14)+СПРАВОЧНИК!$E$15*(('ФАКТ ЧЕРН К1'!T10)*СПРАВОЧНИК!$H$15+('ФАКТ ЧЕРН К1'!U10)*СПРАВОЧНИК!$I$15+('ФАКТ ЧЕРН К1'!V10)*СПРАВОЧНИК!$J$15)+СПРАВОЧНИК!$F$9*(('ФАКТ ЧИСТ К1'!B10)*СПРАВОЧНИК!$L$9+('ФАКТ ЧИСТ К1'!C10)*СПРАВОЧНИК!$M$9+('ФАКТ ЧИСТ К1'!D10)*СПРАВОЧНИК!$N$9+('ФАКТ ЧИСТ К1'!E10)*СПРАВОЧНИК!$O$9)+СПРАВОЧНИК!$F$10*(('ФАКТ ЧИСТ К1'!F10)*СПРАВОЧНИК!$L$10+('ФАКТ ЧИСТ К1'!G10)*СПРАВОЧНИК!$M$10+('ФАКТ ЧИСТ К1'!H10)*СПРАВОЧНИК!$N$10)+СПРАВОЧНИК!$F$11*(('ФАКТ ЧИСТ К1'!I10)*СПРАВОЧНИК!$L$11+('ФАКТ ЧИСТ К1'!J10)*СПРАВОЧНИК!$M$11+('ФАКТ ЧИСТ К1'!K10)*СПРАВОЧНИК!$N$11)+СПРАВОЧНИК!$F$12*(('ФАКТ ЧИСТ К1'!L10)*СПРАВОЧНИК!$L$12+('ФАКТ ЧИСТ К1'!M10)*СПРАВОЧНИК!$M$12+('ФАКТ ЧИСТ К1'!N10)*СПРАВОЧНИК!$N$12)+СПРАВОЧНИК!$F$13*(('ФАКТ ЧИСТ К1'!O10)*СПРАВОЧНИК!$L$13+('ФАКТ ЧИСТ К1'!P10)*СПРАВОЧНИК!$M$13+('ФАКТ ЧИСТ К1'!Q10)*СПРАВОЧНИК!$N$13)+СПРАВОЧНИК!$F$14*(('ФАКТ ЧИСТ К1'!R10)*СПРАВОЧНИК!$L$14+('ФАКТ ЧИСТ К1'!S10)*СПРАВОЧНИК!$M$14+('ФАКТ ЧИСТ К1'!T10)*СПРАВОЧНИК!$N$14)+СПРАВОЧНИК!$F$15*(('ФАКТ ЧИСТ К1'!U10)*СПРАВОЧНИК!$L$15+('ФАКТ ЧИСТ К1'!V10)*СПРАВОЧНИК!$M$15+('ФАКТ ЧИСТ К1'!W10)*СПРАВОЧНИК!$N$15)</f>
        <v>0</v>
      </c>
      <c r="AA19" s="18">
        <f t="shared" si="16"/>
        <v>46209</v>
      </c>
      <c r="AB19" s="37">
        <f>'ПЛАН ЧЕРН К1'!B10*СПРАВОЧНИК!$H$9+'ПЛАН ЧЕРН К1'!C10*СПРАВОЧНИК!$I$9+'ПЛАН ЧЕРН К1'!D10*СПРАВОЧНИК!$J$9+'ПЛАН ЧЕРН К1'!E10*СПРАВОЧНИК!$H$10+'ПЛАН ЧЕРН К1'!F10*СПРАВОЧНИК!$I$10+'ПЛАН ЧЕРН К1'!G10*СПРАВОЧНИК!$J$10+'ПЛАН ЧЕРН К1'!H10*СПРАВОЧНИК!$H$11+'ПЛАН ЧЕРН К1'!I10*СПРАВОЧНИК!$I$11+'ПЛАН ЧЕРН К1'!J10*СПРАВОЧНИК!$J$11+'ПЛАН ЧЕРН К1'!K10*СПРАВОЧНИК!$H$12+'ПЛАН ЧЕРН К1'!L10*СПРАВОЧНИК!$I$12+'ПЛАН ЧЕРН К1'!M10*СПРАВОЧНИК!$J$12+'ПЛАН ЧЕРН К1'!N10*СПРАВОЧНИК!$H$13+'ПЛАН ЧЕРН К1'!O10*СПРАВОЧНИК!$I$13+'ПЛАН ЧЕРН К1'!P10*СПРАВОЧНИК!$J$13+'ПЛАН ЧЕРН К1'!Q10*СПРАВОЧНИК!$H$14+'ПЛАН ЧЕРН К1'!R10*СПРАВОЧНИК!$I$14+'ПЛАН ЧЕРН К1'!S10*СПРАВОЧНИК!$J$14+'ПЛАН ЧЕРН К1'!T10*СПРАВОЧНИК!$H$15+'ПЛАН ЧЕРН К1'!U10*СПРАВОЧНИК!$I$15+'ПЛАН ЧЕРН К1'!V10*СПРАВОЧНИК!$J$15</f>
        <v>0</v>
      </c>
      <c r="AC19" s="40">
        <f>('ФАКТ ЧЕРН К1'!B10)*СПРАВОЧНИК!$H$9+('ФАКТ ЧЕРН К1'!C10)*СПРАВОЧНИК!$I$9+('ФАКТ ЧЕРН К1'!D10)*СПРАВОЧНИК!$J$9+('ФАКТ ЧЕРН К1'!E10)*СПРАВОЧНИК!$H$10+('ФАКТ ЧЕРН К1'!F10)*СПРАВОЧНИК!$I$10+('ФАКТ ЧЕРН К1'!G10)*СПРАВОЧНИК!$J$10+('ФАКТ ЧЕРН К1'!H10)*СПРАВОЧНИК!$H$11+('ФАКТ ЧЕРН К1'!I10)*СПРАВОЧНИК!$I$11+('ФАКТ ЧЕРН К1'!J10)*СПРАВОЧНИК!$J$11+('ФАКТ ЧЕРН К1'!K10)*СПРАВОЧНИК!$H$12+('ФАКТ ЧЕРН К1'!L10)*СПРАВОЧНИК!$I$12+('ФАКТ ЧЕРН К1'!M10)*СПРАВОЧНИК!$J$12+('ФАКТ ЧЕРН К1'!N10)*СПРАВОЧНИК!$H$13+('ФАКТ ЧЕРН К1'!O10)*СПРАВОЧНИК!$I$13+('ФАКТ ЧЕРН К1'!P10)*СПРАВОЧНИК!$J$13+('ФАКТ ЧЕРН К1'!Q10)*СПРАВОЧНИК!$H$14+('ФАКТ ЧЕРН К1'!R10)*СПРАВОЧНИК!$I$14+('ФАКТ ЧЕРН К1'!S10)*СПРАВОЧНИК!$J$14+('ФАКТ ЧЕРН К1'!T10)*СПРАВОЧНИК!$H$15+('ФАКТ ЧЕРН К1'!U10)*СПРАВОЧНИК!$I$15+('ФАКТ ЧЕРН К1'!V10)*СПРАВОЧНИК!$J$15</f>
        <v>0</v>
      </c>
      <c r="AG19" s="18">
        <f t="shared" si="17"/>
        <v>46209</v>
      </c>
      <c r="AH19" s="37">
        <f>'ПЛАН ЧИСТ К1'!B10*СПРАВОЧНИК!$L$9+'ПЛАН ЧИСТ К1'!C10*СПРАВОЧНИК!$M$9+'ПЛАН ЧИСТ К1'!D10*СПРАВОЧНИК!$N$9+'ПЛАН ЧИСТ К1'!E10*СПРАВОЧНИК!$O$9+'ПЛАН ЧИСТ К1'!F10*СПРАВОЧНИК!$L$10+'ПЛАН ЧИСТ К1'!G10*СПРАВОЧНИК!$M$10+'ПЛАН ЧИСТ К1'!H10*СПРАВОЧНИК!$N$10+'ПЛАН ЧИСТ К1'!I10*СПРАВОЧНИК!$L$11+'ПЛАН ЧИСТ К1'!J10*СПРАВОЧНИК!$M$11+'ПЛАН ЧИСТ К1'!K10*СПРАВОЧНИК!$N$11+'ПЛАН ЧИСТ К1'!L10*СПРАВОЧНИК!$L$12+'ПЛАН ЧИСТ К1'!M10*СПРАВОЧНИК!$M$12+'ПЛАН ЧИСТ К1'!N10*СПРАВОЧНИК!$N$12+'ПЛАН ЧИСТ К1'!O10*СПРАВОЧНИК!$L$13+'ПЛАН ЧИСТ К1'!P10*СПРАВОЧНИК!$M$13+'ПЛАН ЧИСТ К1'!Q10*СПРАВОЧНИК!$N$13+'ПЛАН ЧИСТ К1'!R10*СПРАВОЧНИК!$L$14+'ПЛАН ЧИСТ К1'!S10*СПРАВОЧНИК!$M$14+'ПЛАН ЧИСТ К1'!T10*СПРАВОЧНИК!$N$14+'ПЛАН ЧИСТ К1'!U10*СПРАВОЧНИК!$L$15+'ПЛАН ЧИСТ К1'!V10*СПРАВОЧНИК!$M$15+'ПЛАН ЧИСТ К1'!W10*СПРАВОЧНИК!$N$15</f>
        <v>0</v>
      </c>
      <c r="AI19" s="40">
        <f>('ФАКТ ЧИСТ К1'!B10)*СПРАВОЧНИК!$L$9+('ФАКТ ЧИСТ К1'!C10)*СПРАВОЧНИК!$M$9+('ФАКТ ЧИСТ К1'!D10)*СПРАВОЧНИК!$N$9+('ФАКТ ЧИСТ К1'!E10)*СПРАВОЧНИК!$O$9+('ФАКТ ЧИСТ К1'!F10)*СПРАВОЧНИК!$L$10+('ФАКТ ЧИСТ К1'!G10)*СПРАВОЧНИК!$M$10+('ФАКТ ЧИСТ К1'!H10)*СПРАВОЧНИК!$N$10+('ФАКТ ЧИСТ К1'!I10)*СПРАВОЧНИК!$L$11+('ФАКТ ЧИСТ К1'!J10)*СПРАВОЧНИК!$M$11+('ФАКТ ЧИСТ К1'!K10)*СПРАВОЧНИК!$N$11+('ФАКТ ЧИСТ К1'!L10)*СПРАВОЧНИК!$L$12+('ФАКТ ЧИСТ К1'!M10)*СПРАВОЧНИК!$M$12+('ФАКТ ЧИСТ К1'!N10)*СПРАВОЧНИК!$N$12+('ФАКТ ЧИСТ К1'!O10)*СПРАВОЧНИК!$L$13+('ФАКТ ЧИСТ К1'!P10)*СПРАВОЧНИК!$M$13+('ФАКТ ЧИСТ К1'!Q10)*СПРАВОЧНИК!$N$13+('ФАКТ ЧИСТ К1'!R10)*СПРАВОЧНИК!$L$14+('ФАКТ ЧИСТ К1'!S10)*СПРАВОЧНИК!$M$14+('ФАКТ ЧИСТ К1'!T10)*СПРАВОЧНИК!$N$14+('ФАКТ ЧИСТ К1'!U10)*СПРАВОЧНИК!$L$15+('ФАКТ ЧИСТ К1'!V10)*СПРАВОЧНИК!$M$15+('ФАКТ ЧИСТ К1'!W10)*СПРАВОЧНИК!$N$15</f>
        <v>0</v>
      </c>
      <c r="AM19" s="18">
        <f t="shared" si="18"/>
        <v>46209</v>
      </c>
      <c r="AN19" s="37">
        <f>СПРАВОЧНИК!$E$9*('ПЛАН ЧЕРН К2'!B10*СПРАВОЧНИК!$H$9+'ПЛАН ЧЕРН К2'!C10*СПРАВОЧНИК!$I$9+'ПЛАН ЧЕРН К2'!D10*СПРАВОЧНИК!$J$9)+СПРАВОЧНИК!$E$10*('ПЛАН ЧЕРН К2'!E10*СПРАВОЧНИК!$H$10+'ПЛАН ЧЕРН К2'!F10*СПРАВОЧНИК!$I$10+'ПЛАН ЧЕРН К2'!G10*СПРАВОЧНИК!$J$10)+СПРАВОЧНИК!$E$11*('ПЛАН ЧЕРН К2'!H10*СПРАВОЧНИК!$H$11+'ПЛАН ЧЕРН К2'!I10*СПРАВОЧНИК!$I$11+'ПЛАН ЧЕРН К2'!J10*СПРАВОЧНИК!$J$11)+СПРАВОЧНИК!$E$12*('ПЛАН ЧЕРН К2'!K10*СПРАВОЧНИК!$H$12+'ПЛАН ЧЕРН К2'!L10*СПРАВОЧНИК!$I$12+'ПЛАН ЧЕРН К2'!M10*СПРАВОЧНИК!$J$12)+СПРАВОЧНИК!$E$13*('ПЛАН ЧЕРН К2'!N10*СПРАВОЧНИК!$H$13+'ПЛАН ЧЕРН К2'!O10*СПРАВОЧНИК!$I$13+'ПЛАН ЧЕРН К2'!P10*СПРАВОЧНИК!$J$13)+СПРАВОЧНИК!$E$14*('ПЛАН ЧЕРН К2'!Q10*СПРАВОЧНИК!$H$14+'ПЛАН ЧЕРН К2'!R10*СПРАВОЧНИК!$I$14+'ПЛАН ЧЕРН К2'!S10*СПРАВОЧНИК!$J$14)+СПРАВОЧНИК!$E$15*('ПЛАН ЧЕРН К2'!T10*СПРАВОЧНИК!$H$15+'ПЛАН ЧЕРН К2'!U10*СПРАВОЧНИК!$I$15+'ПЛАН ЧЕРН К2'!V10*СПРАВОЧНИК!$J$15)+СПРАВОЧНИК!$F$9*('ПЛАН ЧИСТ К2'!B10*СПРАВОЧНИК!$L$9+'ПЛАН ЧИСТ К2'!C10*СПРАВОЧНИК!$M$9+'ПЛАН ЧИСТ К2'!D10*СПРАВОЧНИК!$N$9+'ПЛАН ЧИСТ К2'!E10*СПРАВОЧНИК!$O$9)+СПРАВОЧНИК!$F$10*('ПЛАН ЧИСТ К2'!F10*СПРАВОЧНИК!$L$10+'ПЛАН ЧИСТ К2'!G10*СПРАВОЧНИК!$M$10+'ПЛАН ЧИСТ К2'!H10*СПРАВОЧНИК!$N$10)+СПРАВОЧНИК!$F$11*('ПЛАН ЧИСТ К2'!I10*СПРАВОЧНИК!$L$11+'ПЛАН ЧИСТ К2'!J10*СПРАВОЧНИК!$M$11+'ПЛАН ЧИСТ К2'!K10*СПРАВОЧНИК!$N$11)+СПРАВОЧНИК!$F$12*('ПЛАН ЧИСТ К2'!L10*СПРАВОЧНИК!$L$12+'ПЛАН ЧИСТ К2'!M10*СПРАВОЧНИК!$M$12+'ПЛАН ЧИСТ К2'!N10*СПРАВОЧНИК!$N$12)+СПРАВОЧНИК!$F$13*('ПЛАН ЧИСТ К2'!O10*СПРАВОЧНИК!$L$13+'ПЛАН ЧИСТ К2'!P10*СПРАВОЧНИК!$M$13+'ПЛАН ЧИСТ К2'!Q10*СПРАВОЧНИК!$N$13)+СПРАВОЧНИК!$F$14*('ПЛАН ЧИСТ К2'!R10*СПРАВОЧНИК!$L$14+'ПЛАН ЧИСТ К2'!S10*СПРАВОЧНИК!$M$14+'ПЛАН ЧИСТ К2'!T10*СПРАВОЧНИК!$N$14)+СПРАВОЧНИК!$F$15*('ПЛАН ЧИСТ К2'!U10*СПРАВОЧНИК!$L$15+'ПЛАН ЧИСТ К2'!V10*СПРАВОЧНИК!$M$15+'ПЛАН ЧИСТ К2'!W10*СПРАВОЧНИК!$N$15)</f>
        <v>0</v>
      </c>
      <c r="AO19" s="40">
        <f>СПРАВОЧНИК!$E$9*(('ФАКТ ЧЕРН К2'!B10)*СПРАВОЧНИК!$H$9+('ФАКТ ЧЕРН К2'!C10)*СПРАВОЧНИК!$I$9+('ФАКТ ЧЕРН К2'!D10)*СПРАВОЧНИК!$J$9)+СПРАВОЧНИК!$E$10*(('ФАКТ ЧЕРН К2'!E10)*СПРАВОЧНИК!$H$10+('ФАКТ ЧЕРН К2'!F10)*СПРАВОЧНИК!$I$10+('ФАКТ ЧЕРН К2'!G10)*СПРАВОЧНИК!$J$10)+СПРАВОЧНИК!$E$11*(('ФАКТ ЧЕРН К2'!H10)*СПРАВОЧНИК!$H$11+('ФАКТ ЧЕРН К2'!I10)*СПРАВОЧНИК!$I$11+('ФАКТ ЧЕРН К2'!J10)*СПРАВОЧНИК!$J$11)+СПРАВОЧНИК!$E$12*(('ФАКТ ЧЕРН К2'!K10)*СПРАВОЧНИК!$H$12+('ФАКТ ЧЕРН К2'!L10)*СПРАВОЧНИК!$I$12+('ФАКТ ЧЕРН К2'!M10)*СПРАВОЧНИК!$J$12)+СПРАВОЧНИК!$E$13*(('ФАКТ ЧЕРН К2'!N10)*СПРАВОЧНИК!$H$13+('ФАКТ ЧЕРН К2'!O10)*СПРАВОЧНИК!$I$13+('ФАКТ ЧЕРН К2'!P10)*СПРАВОЧНИК!$J$13)+СПРАВОЧНИК!$E$14*(('ФАКТ ЧЕРН К2'!Q10)*СПРАВОЧНИК!$H$14+('ФАКТ ЧЕРН К2'!R10)*СПРАВОЧНИК!$I$14+('ФАКТ ЧЕРН К2'!S10)*СПРАВОЧНИК!$J$14)+СПРАВОЧНИК!$E$15*(('ФАКТ ЧЕРН К2'!T10)*СПРАВОЧНИК!$H$15+('ФАКТ ЧЕРН К2'!U10)*СПРАВОЧНИК!$I$15+('ФАКТ ЧЕРН К2'!V10)*СПРАВОЧНИК!$J$15)+СПРАВОЧНИК!$F$9*(('ФАКТ ЧИСТ К2'!B10)*СПРАВОЧНИК!$L$9+('ФАКТ ЧИСТ К2'!C10)*СПРАВОЧНИК!$M$9+('ФАКТ ЧИСТ К2'!D10)*СПРАВОЧНИК!$N$9+('ФАКТ ЧИСТ К2'!E10)*СПРАВОЧНИК!$O$9)+СПРАВОЧНИК!$F$10*(('ФАКТ ЧИСТ К2'!F10)*СПРАВОЧНИК!$L$10+('ФАКТ ЧИСТ К2'!G10)*СПРАВОЧНИК!$M$10+('ФАКТ ЧИСТ К2'!H10)*СПРАВОЧНИК!$N$10)+СПРАВОЧНИК!$F$11*(('ФАКТ ЧИСТ К2'!I10)*СПРАВОЧНИК!$L$11+('ФАКТ ЧИСТ К2'!J10)*СПРАВОЧНИК!$M$11+('ФАКТ ЧИСТ К2'!K10)*СПРАВОЧНИК!$N$11)+СПРАВОЧНИК!$F$12*(('ФАКТ ЧИСТ К2'!L10)*СПРАВОЧНИК!$L$12+('ФАКТ ЧИСТ К2'!M10)*СПРАВОЧНИК!$M$12+('ФАКТ ЧИСТ К2'!N10)*СПРАВОЧНИК!$N$12)+СПРАВОЧНИК!$F$13*(('ФАКТ ЧИСТ К2'!O10)*СПРАВОЧНИК!$L$13+('ФАКТ ЧИСТ К2'!P10)*СПРАВОЧНИК!$M$13+('ФАКТ ЧИСТ К2'!Q10)*СПРАВОЧНИК!$N$13)+СПРАВОЧНИК!$F$14*(('ФАКТ ЧИСТ К2'!R10)*СПРАВОЧНИК!$L$14+('ФАКТ ЧИСТ К2'!S10)*СПРАВОЧНИК!$M$14+('ФАКТ ЧИСТ К2'!T10)*СПРАВОЧНИК!$N$14)+СПРАВОЧНИК!$F$15*(('ФАКТ ЧИСТ К2'!U10)*СПРАВОЧНИК!$L$15+('ФАКТ ЧИСТ К2'!V10)*СПРАВОЧНИК!$M$15+('ФАКТ ЧИСТ К2'!W10)*СПРАВОЧНИК!$N$15)</f>
        <v>0</v>
      </c>
      <c r="AS19" s="18">
        <f t="shared" si="19"/>
        <v>46209</v>
      </c>
      <c r="AT19" s="37">
        <f>'ПЛАН ЧЕРН К2'!B10*СПРАВОЧНИК!$H$9+'ПЛАН ЧЕРН К2'!C10*СПРАВОЧНИК!$I$9+'ПЛАН ЧЕРН К2'!D10*СПРАВОЧНИК!$J$9+'ПЛАН ЧЕРН К2'!E10*СПРАВОЧНИК!$H$10+'ПЛАН ЧЕРН К2'!F10*СПРАВОЧНИК!$I$10+'ПЛАН ЧЕРН К2'!G10*СПРАВОЧНИК!$J$10+'ПЛАН ЧЕРН К2'!H10*СПРАВОЧНИК!$H$11+'ПЛАН ЧЕРН К2'!I10*СПРАВОЧНИК!$I$11+'ПЛАН ЧЕРН К2'!J10*СПРАВОЧНИК!$J$11+'ПЛАН ЧЕРН К2'!K10*СПРАВОЧНИК!$H$12+'ПЛАН ЧЕРН К2'!L10*СПРАВОЧНИК!$I$12+'ПЛАН ЧЕРН К2'!M10*СПРАВОЧНИК!$J$12+'ПЛАН ЧЕРН К2'!N10*СПРАВОЧНИК!$H$13+'ПЛАН ЧЕРН К2'!O10*СПРАВОЧНИК!$I$13+'ПЛАН ЧЕРН К2'!P10*СПРАВОЧНИК!$J$13+'ПЛАН ЧЕРН К2'!Q10*СПРАВОЧНИК!$H$14+'ПЛАН ЧЕРН К2'!R10*СПРАВОЧНИК!$I$14+'ПЛАН ЧЕРН К2'!S10*СПРАВОЧНИК!$J$14+'ПЛАН ЧЕРН К2'!T10*СПРАВОЧНИК!$H$15+'ПЛАН ЧЕРН К2'!U10*СПРАВОЧНИК!$I$15+'ПЛАН ЧЕРН К2'!V10*СПРАВОЧНИК!$J$15</f>
        <v>0</v>
      </c>
      <c r="AU19" s="40">
        <f>('ФАКТ ЧЕРН К2'!B10)*СПРАВОЧНИК!$H$9+('ФАКТ ЧЕРН К2'!C10)*СПРАВОЧНИК!$I$9+('ФАКТ ЧЕРН К2'!D10)*СПРАВОЧНИК!$J$9+('ФАКТ ЧЕРН К2'!E10)*СПРАВОЧНИК!$H$10+('ФАКТ ЧЕРН К2'!F10)*СПРАВОЧНИК!$I$10+('ФАКТ ЧЕРН К2'!G10)*СПРАВОЧНИК!$J$10+('ФАКТ ЧЕРН К2'!H10)*СПРАВОЧНИК!$H$11+('ФАКТ ЧЕРН К2'!I10)*СПРАВОЧНИК!$I$11+('ФАКТ ЧЕРН К2'!J10)*СПРАВОЧНИК!$J$11+('ФАКТ ЧЕРН К2'!K10)*СПРАВОЧНИК!$H$12+('ФАКТ ЧЕРН К2'!L10)*СПРАВОЧНИК!$I$12+('ФАКТ ЧЕРН К2'!M10)*СПРАВОЧНИК!$J$12+('ФАКТ ЧЕРН К2'!N10)*СПРАВОЧНИК!$H$13+('ФАКТ ЧЕРН К2'!O10)*СПРАВОЧНИК!$I$13+('ФАКТ ЧЕРН К2'!P10)*СПРАВОЧНИК!$J$13+('ФАКТ ЧЕРН К2'!Q10)*СПРАВОЧНИК!$H$14+('ФАКТ ЧЕРН К2'!R10)*СПРАВОЧНИК!$I$14+('ФАКТ ЧЕРН К2'!S10)*СПРАВОЧНИК!$J$14+('ФАКТ ЧЕРН К2'!T10)*СПРАВОЧНИК!$H$15+('ФАКТ ЧЕРН К2'!U10)*СПРАВОЧНИК!$I$15+('ФАКТ ЧЕРН К2'!V10)*СПРАВОЧНИК!$J$15</f>
        <v>0</v>
      </c>
      <c r="AY19" s="18">
        <f t="shared" si="20"/>
        <v>46209</v>
      </c>
      <c r="AZ19" s="37">
        <f>'ПЛАН ЧИСТ К2'!B10*СПРАВОЧНИК!$L$9+'ПЛАН ЧИСТ К2'!C10*СПРАВОЧНИК!$M$9+'ПЛАН ЧИСТ К2'!D10*СПРАВОЧНИК!$N$9+'ПЛАН ЧИСТ К2'!E10*СПРАВОЧНИК!$O$9+'ПЛАН ЧИСТ К2'!F10*СПРАВОЧНИК!$L$10+'ПЛАН ЧИСТ К2'!G10*СПРАВОЧНИК!$M$10+'ПЛАН ЧИСТ К2'!H10*СПРАВОЧНИК!$N$10+'ПЛАН ЧИСТ К2'!I10*СПРАВОЧНИК!$L$11+'ПЛАН ЧИСТ К2'!J10*СПРАВОЧНИК!$M$11+'ПЛАН ЧИСТ К2'!K10*СПРАВОЧНИК!$N$11+'ПЛАН ЧИСТ К2'!L10*СПРАВОЧНИК!$L$12+'ПЛАН ЧИСТ К2'!M10*СПРАВОЧНИК!$M$12+'ПЛАН ЧИСТ К2'!N10*СПРАВОЧНИК!$N$12+'ПЛАН ЧИСТ К2'!O10*СПРАВОЧНИК!$L$13+'ПЛАН ЧИСТ К2'!P10*СПРАВОЧНИК!$M$13+'ПЛАН ЧИСТ К2'!Q10*СПРАВОЧНИК!$N$13+'ПЛАН ЧИСТ К2'!R10*СПРАВОЧНИК!$L$14+'ПЛАН ЧИСТ К2'!S10*СПРАВОЧНИК!$M$14+'ПЛАН ЧИСТ К2'!T10*СПРАВОЧНИК!$N$14+'ПЛАН ЧИСТ К2'!U10*СПРАВОЧНИК!$L$15+'ПЛАН ЧИСТ К2'!V10*СПРАВОЧНИК!$M$15+'ПЛАН ЧИСТ К2'!W10*СПРАВОЧНИК!$N$15</f>
        <v>0</v>
      </c>
      <c r="BA19" s="40">
        <f>('ФАКТ ЧИСТ К2'!B10)*СПРАВОЧНИК!$L$9+('ФАКТ ЧИСТ К2'!C10)*СПРАВОЧНИК!$M$9+('ФАКТ ЧИСТ К2'!D10)*СПРАВОЧНИК!$N$9+('ФАКТ ЧИСТ К2'!E10)*СПРАВОЧНИК!$O$9+('ФАКТ ЧИСТ К2'!F10)*СПРАВОЧНИК!$L$10+('ФАКТ ЧИСТ К2'!G10)*СПРАВОЧНИК!$M$10+('ФАКТ ЧИСТ К2'!H10)*СПРАВОЧНИК!$N$10+('ФАКТ ЧИСТ К2'!I10)*СПРАВОЧНИК!$L$11+('ФАКТ ЧИСТ К2'!J10)*СПРАВОЧНИК!$M$11+('ФАКТ ЧИСТ К2'!K10)*СПРАВОЧНИК!$N$11+('ФАКТ ЧИСТ К2'!L10)*СПРАВОЧНИК!$L$12+('ФАКТ ЧИСТ К2'!M10)*СПРАВОЧНИК!$M$12+('ФАКТ ЧИСТ К2'!N10)*СПРАВОЧНИК!$N$12+('ФАКТ ЧИСТ К2'!O10)*СПРАВОЧНИК!$L$13+('ФАКТ ЧИСТ К2'!P10)*СПРАВОЧНИК!$M$13+('ФАКТ ЧИСТ К2'!Q10)*СПРАВОЧНИК!$N$13+('ФАКТ ЧИСТ К2'!R10)*СПРАВОЧНИК!$L$14+('ФАКТ ЧИСТ К2'!S10)*СПРАВОЧНИК!$M$14+('ФАКТ ЧИСТ К2'!T10)*СПРАВОЧНИК!$N$14+('ФАКТ ЧИСТ К2'!U10)*СПРАВОЧНИК!$L$15+('ФАКТ ЧИСТ К2'!V10)*СПРАВОЧНИК!$M$15+('ФАКТ ЧИСТ К2'!W10)*СПРАВОЧНИК!$N$15</f>
        <v>0</v>
      </c>
      <c r="BE19" s="18">
        <f t="shared" si="21"/>
        <v>46209</v>
      </c>
      <c r="BF19" s="37">
        <f>СПРАВОЧНИК!$E$9*('ПЛАН ЧЕРН К3'!B10*СПРАВОЧНИК!$H$9+'ПЛАН ЧЕРН К3'!C10*СПРАВОЧНИК!$I$9+'ПЛАН ЧЕРН К3'!D10*СПРАВОЧНИК!$J$9)+СПРАВОЧНИК!$E$10*('ПЛАН ЧЕРН К3'!E10*СПРАВОЧНИК!$H$10+'ПЛАН ЧЕРН К3'!F10*СПРАВОЧНИК!$I$10+'ПЛАН ЧЕРН К3'!G10*СПРАВОЧНИК!$J$10)+СПРАВОЧНИК!$E$11*('ПЛАН ЧЕРН К3'!H10*СПРАВОЧНИК!$H$11+'ПЛАН ЧЕРН К3'!I10*СПРАВОЧНИК!$I$11+'ПЛАН ЧЕРН К3'!J10*СПРАВОЧНИК!$J$11)+СПРАВОЧНИК!$E$12*('ПЛАН ЧЕРН К3'!K10*СПРАВОЧНИК!$H$12+'ПЛАН ЧЕРН К3'!L10*СПРАВОЧНИК!$I$12+'ПЛАН ЧЕРН К3'!M10*СПРАВОЧНИК!$J$12)+СПРАВОЧНИК!$E$13*('ПЛАН ЧЕРН К3'!N10*СПРАВОЧНИК!$H$13+'ПЛАН ЧЕРН К3'!O10*СПРАВОЧНИК!$I$13+'ПЛАН ЧЕРН К3'!P10*СПРАВОЧНИК!$J$13)+СПРАВОЧНИК!$E$14*('ПЛАН ЧЕРН К3'!Q10*СПРАВОЧНИК!$H$14+'ПЛАН ЧЕРН К3'!R10*СПРАВОЧНИК!$I$14+'ПЛАН ЧЕРН К3'!S10*СПРАВОЧНИК!$J$14)+СПРАВОЧНИК!$E$15*('ПЛАН ЧЕРН К3'!T10*СПРАВОЧНИК!$H$15+'ПЛАН ЧЕРН К3'!U10*СПРАВОЧНИК!$I$15+'ПЛАН ЧЕРН К3'!V10*СПРАВОЧНИК!$J$15)+СПРАВОЧНИК!$F$9*('ПЛАН ЧИСТ К3'!B10*СПРАВОЧНИК!$L$9+'ПЛАН ЧИСТ К3'!C10*СПРАВОЧНИК!$M$9+'ПЛАН ЧИСТ К3'!D10*СПРАВОЧНИК!$N$9+'ПЛАН ЧИСТ К3'!E10*СПРАВОЧНИК!$O$9)+СПРАВОЧНИК!$F$10*('ПЛАН ЧИСТ К3'!F10*СПРАВОЧНИК!$L$10+'ПЛАН ЧИСТ К3'!G10*СПРАВОЧНИК!$M$10+'ПЛАН ЧИСТ К3'!H10*СПРАВОЧНИК!$N$10)+СПРАВОЧНИК!$F$11*('ПЛАН ЧИСТ К3'!I10*СПРАВОЧНИК!$L$11+'ПЛАН ЧИСТ К3'!J10*СПРАВОЧНИК!$M$11+'ПЛАН ЧИСТ К3'!K10*СПРАВОЧНИК!$N$11)+СПРАВОЧНИК!$F$12*('ПЛАН ЧИСТ К3'!L10*СПРАВОЧНИК!$L$12+'ПЛАН ЧИСТ К3'!M10*СПРАВОЧНИК!$M$12+'ПЛАН ЧИСТ К3'!N10*СПРАВОЧНИК!$N$12)+СПРАВОЧНИК!$F$13*('ПЛАН ЧИСТ К3'!O10*СПРАВОЧНИК!$L$13+'ПЛАН ЧИСТ К3'!P10*СПРАВОЧНИК!$M$13+'ПЛАН ЧИСТ К3'!Q10*СПРАВОЧНИК!$N$13)+СПРАВОЧНИК!$F$14*('ПЛАН ЧИСТ К3'!R10*СПРАВОЧНИК!$L$14+'ПЛАН ЧИСТ К3'!S10*СПРАВОЧНИК!$M$14+'ПЛАН ЧИСТ К3'!T10*СПРАВОЧНИК!$N$14)+СПРАВОЧНИК!$F$15*('ПЛАН ЧИСТ К3'!U10*СПРАВОЧНИК!$L$15+'ПЛАН ЧИСТ К3'!V10*СПРАВОЧНИК!$M$15+'ПЛАН ЧИСТ К3'!W10*СПРАВОЧНИК!$N$15)</f>
        <v>0</v>
      </c>
      <c r="BG19" s="40">
        <f>СПРАВОЧНИК!$E$9*(('ФАКТ ЧЕРН К3'!B10)*СПРАВОЧНИК!$H$9+('ФАКТ ЧЕРН К3'!C10)*СПРАВОЧНИК!$I$9+('ФАКТ ЧЕРН К3'!D10)*СПРАВОЧНИК!$J$9)+СПРАВОЧНИК!$E$10*(('ФАКТ ЧЕРН К3'!E10)*СПРАВОЧНИК!$H$10+('ФАКТ ЧЕРН К3'!F10)*СПРАВОЧНИК!$I$10+('ФАКТ ЧЕРН К3'!G10)*СПРАВОЧНИК!$J$10)+СПРАВОЧНИК!$E$11*(('ФАКТ ЧЕРН К3'!H10)*СПРАВОЧНИК!$H$11+('ФАКТ ЧЕРН К3'!I10)*СПРАВОЧНИК!$I$11+('ФАКТ ЧЕРН К3'!J10)*СПРАВОЧНИК!$J$11)+СПРАВОЧНИК!$E$12*(('ФАКТ ЧЕРН К3'!K10)*СПРАВОЧНИК!$H$12+('ФАКТ ЧЕРН К3'!L10)*СПРАВОЧНИК!$I$12+('ФАКТ ЧЕРН К3'!M10)*СПРАВОЧНИК!$J$12)+СПРАВОЧНИК!$E$13*(('ФАКТ ЧЕРН К3'!N10)*СПРАВОЧНИК!$H$13+('ФАКТ ЧЕРН К3'!O10)*СПРАВОЧНИК!$I$13+('ФАКТ ЧЕРН К3'!P10)*СПРАВОЧНИК!$J$13)+СПРАВОЧНИК!$E$14*(('ФАКТ ЧЕРН К3'!Q10)*СПРАВОЧНИК!$H$14+('ФАКТ ЧЕРН К3'!R10)*СПРАВОЧНИК!$I$14+('ФАКТ ЧЕРН К3'!S10)*СПРАВОЧНИК!$J$14)+СПРАВОЧНИК!$E$15*(('ФАКТ ЧЕРН К3'!T10)*СПРАВОЧНИК!$H$15+('ФАКТ ЧЕРН К3'!U10)*СПРАВОЧНИК!$I$15+('ФАКТ ЧЕРН К3'!V10)*СПРАВОЧНИК!$J$15)+СПРАВОЧНИК!$F$9*(('ФАКТ ЧИСТ К3'!B10)*СПРАВОЧНИК!$L$9+('ФАКТ ЧИСТ К3'!C10)*СПРАВОЧНИК!$M$9+('ФАКТ ЧИСТ К3'!D10)*СПРАВОЧНИК!$N$9+('ФАКТ ЧИСТ К3'!E10)*СПРАВОЧНИК!$O$9)+СПРАВОЧНИК!$F$10*(('ФАКТ ЧИСТ К3'!F10)*СПРАВОЧНИК!$L$10+('ФАКТ ЧИСТ К3'!G10)*СПРАВОЧНИК!$M$10+('ФАКТ ЧИСТ К3'!H10)*СПРАВОЧНИК!$N$10)+СПРАВОЧНИК!$F$11*(('ФАКТ ЧИСТ К3'!I10)*СПРАВОЧНИК!$L$11+('ФАКТ ЧИСТ К3'!J10)*СПРАВОЧНИК!$M$11+('ФАКТ ЧИСТ К3'!K10)*СПРАВОЧНИК!$N$11)+СПРАВОЧНИК!$F$12*(('ФАКТ ЧИСТ К3'!L10)*СПРАВОЧНИК!$L$12+('ФАКТ ЧИСТ К3'!M10)*СПРАВОЧНИК!$M$12+('ФАКТ ЧИСТ К3'!N10)*СПРАВОЧНИК!$N$12)+СПРАВОЧНИК!$F$13*(('ФАКТ ЧИСТ К3'!O10)*СПРАВОЧНИК!$L$13+('ФАКТ ЧИСТ К3'!P10)*СПРАВОЧНИК!$M$13+('ФАКТ ЧИСТ К3'!Q10)*СПРАВОЧНИК!$N$13)+СПРАВОЧНИК!$F$14*(('ФАКТ ЧИСТ К3'!R10)*СПРАВОЧНИК!$L$14+('ФАКТ ЧИСТ К3'!S10)*СПРАВОЧНИК!$M$14+('ФАКТ ЧИСТ К3'!T10)*СПРАВОЧНИК!$N$14)+СПРАВОЧНИК!$F$15*(('ФАКТ ЧИСТ К3'!U10)*СПРАВОЧНИК!$L$15+('ФАКТ ЧИСТ К3'!V10)*СПРАВОЧНИК!$M$15+('ФАКТ ЧИСТ К3'!W10)*СПРАВОЧНИК!$N$15)</f>
        <v>0</v>
      </c>
      <c r="BK19" s="18">
        <f t="shared" si="22"/>
        <v>46209</v>
      </c>
      <c r="BL19" s="37">
        <f>'ПЛАН ЧЕРН К3'!B10*СПРАВОЧНИК!$H$9+'ПЛАН ЧЕРН К3'!C10*СПРАВОЧНИК!$I$9+'ПЛАН ЧЕРН К3'!D10*СПРАВОЧНИК!$J$9+'ПЛАН ЧЕРН К3'!E10*СПРАВОЧНИК!$H$10+'ПЛАН ЧЕРН К3'!F10*СПРАВОЧНИК!$I$10+'ПЛАН ЧЕРН К3'!G10*СПРАВОЧНИК!$J$10+'ПЛАН ЧЕРН К3'!H10*СПРАВОЧНИК!$H$11+'ПЛАН ЧЕРН К3'!I10*СПРАВОЧНИК!$I$11+'ПЛАН ЧЕРН К3'!J10*СПРАВОЧНИК!$J$11+'ПЛАН ЧЕРН К3'!K10*СПРАВОЧНИК!$H$12+'ПЛАН ЧЕРН К3'!L10*СПРАВОЧНИК!$I$12+'ПЛАН ЧЕРН К3'!M10*СПРАВОЧНИК!$J$12+'ПЛАН ЧЕРН К3'!N10*СПРАВОЧНИК!$H$13+'ПЛАН ЧЕРН К3'!O10*СПРАВОЧНИК!$I$13+'ПЛАН ЧЕРН К3'!P10*СПРАВОЧНИК!$J$13+'ПЛАН ЧЕРН К3'!Q10*СПРАВОЧНИК!$H$14+'ПЛАН ЧЕРН К3'!R10*СПРАВОЧНИК!$I$14+'ПЛАН ЧЕРН К3'!S10*СПРАВОЧНИК!$J$14+'ПЛАН ЧЕРН К3'!T10*СПРАВОЧНИК!$H$15+'ПЛАН ЧЕРН К3'!U10*СПРАВОЧНИК!$I$15+'ПЛАН ЧЕРН К3'!V10*СПРАВОЧНИК!$J$15</f>
        <v>0</v>
      </c>
      <c r="BM19" s="40">
        <f>('ФАКТ ЧЕРН К3'!B10)*СПРАВОЧНИК!$H$9+('ФАКТ ЧЕРН К3'!C10)*СПРАВОЧНИК!$I$9+('ФАКТ ЧЕРН К3'!D10)*СПРАВОЧНИК!$J$9+('ФАКТ ЧЕРН К3'!E10)*СПРАВОЧНИК!$H$10+('ФАКТ ЧЕРН К3'!F10)*СПРАВОЧНИК!$I$10+('ФАКТ ЧЕРН К3'!G10)*СПРАВОЧНИК!$J$10+('ФАКТ ЧЕРН К3'!H10)*СПРАВОЧНИК!$H$11+('ФАКТ ЧЕРН К3'!I10)*СПРАВОЧНИК!$I$11+('ФАКТ ЧЕРН К3'!J10)*СПРАВОЧНИК!$J$11+('ФАКТ ЧЕРН К3'!K10)*СПРАВОЧНИК!$H$12+('ФАКТ ЧЕРН К3'!L10)*СПРАВОЧНИК!$I$12+('ФАКТ ЧЕРН К3'!M10)*СПРАВОЧНИК!$J$12+('ФАКТ ЧЕРН К3'!N10)*СПРАВОЧНИК!$H$13+('ФАКТ ЧЕРН К3'!O10)*СПРАВОЧНИК!$I$13+('ФАКТ ЧЕРН К3'!P10)*СПРАВОЧНИК!$J$13+('ФАКТ ЧЕРН К3'!Q10)*СПРАВОЧНИК!$H$14+('ФАКТ ЧЕРН К3'!R10)*СПРАВОЧНИК!$I$14+('ФАКТ ЧЕРН К3'!S10)*СПРАВОЧНИК!$J$14+('ФАКТ ЧЕРН К3'!T10)*СПРАВОЧНИК!$H$15+('ФАКТ ЧЕРН К3'!U10)*СПРАВОЧНИК!$I$15+('ФАКТ ЧЕРН К3'!V10)*СПРАВОЧНИК!$J$15</f>
        <v>0</v>
      </c>
      <c r="BQ19" s="18">
        <f t="shared" si="23"/>
        <v>46209</v>
      </c>
      <c r="BR19" s="37">
        <f>'ПЛАН ЧИСТ К3'!B10*СПРАВОЧНИК!$L$9+'ПЛАН ЧИСТ К3'!C10*СПРАВОЧНИК!$M$9+'ПЛАН ЧИСТ К3'!D10*СПРАВОЧНИК!$N$9+'ПЛАН ЧИСТ К3'!E10*СПРАВОЧНИК!$O$9+'ПЛАН ЧИСТ К3'!F10*СПРАВОЧНИК!$L$10+'ПЛАН ЧИСТ К3'!G10*СПРАВОЧНИК!$M$10+'ПЛАН ЧИСТ К3'!H10*СПРАВОЧНИК!$N$10+'ПЛАН ЧИСТ К3'!I10*СПРАВОЧНИК!$L$11+'ПЛАН ЧИСТ К3'!J10*СПРАВОЧНИК!$M$11+'ПЛАН ЧИСТ К3'!K10*СПРАВОЧНИК!$N$11+'ПЛАН ЧИСТ К3'!L10*СПРАВОЧНИК!$L$12+'ПЛАН ЧИСТ К3'!M10*СПРАВОЧНИК!$M$12+'ПЛАН ЧИСТ К3'!N10*СПРАВОЧНИК!$N$12+'ПЛАН ЧИСТ К3'!O10*СПРАВОЧНИК!$L$13+'ПЛАН ЧИСТ К3'!P10*СПРАВОЧНИК!$M$13+'ПЛАН ЧИСТ К3'!Q10*СПРАВОЧНИК!$N$13+'ПЛАН ЧИСТ К3'!R10*СПРАВОЧНИК!$L$14+'ПЛАН ЧИСТ К3'!S10*СПРАВОЧНИК!$M$14+'ПЛАН ЧИСТ К3'!T10*СПРАВОЧНИК!$N$14+'ПЛАН ЧИСТ К3'!U10*СПРАВОЧНИК!$L$15+'ПЛАН ЧИСТ К3'!V10*СПРАВОЧНИК!$M$15+'ПЛАН ЧИСТ К3'!W10*СПРАВОЧНИК!$N$15</f>
        <v>0</v>
      </c>
      <c r="BS19" s="40">
        <f>('ФАКТ ЧИСТ К3'!B10)*СПРАВОЧНИК!$L$9+('ФАКТ ЧИСТ К3'!C10)*СПРАВОЧНИК!$M$9+('ФАКТ ЧИСТ К3'!D10)*СПРАВОЧНИК!$N$9+('ФАКТ ЧИСТ К3'!E10)*СПРАВОЧНИК!$O$9+('ФАКТ ЧИСТ К3'!F10)*СПРАВОЧНИК!$L$10+('ФАКТ ЧИСТ К3'!G10)*СПРАВОЧНИК!$M$10+('ФАКТ ЧИСТ К3'!H10)*СПРАВОЧНИК!$N$10+('ФАКТ ЧИСТ К3'!I10)*СПРАВОЧНИК!$L$11+('ФАКТ ЧИСТ К3'!J10)*СПРАВОЧНИК!$M$11+('ФАКТ ЧИСТ К3'!K10)*СПРАВОЧНИК!$N$11+('ФАКТ ЧИСТ К3'!L10)*СПРАВОЧНИК!$L$12+('ФАКТ ЧИСТ К3'!M10)*СПРАВОЧНИК!$M$12+('ФАКТ ЧИСТ К3'!N10)*СПРАВОЧНИК!$N$12+('ФАКТ ЧИСТ К3'!O10)*СПРАВОЧНИК!$L$13+('ФАКТ ЧИСТ К3'!P10)*СПРАВОЧНИК!$M$13+('ФАКТ ЧИСТ К3'!Q10)*СПРАВОЧНИК!$N$13+('ФАКТ ЧИСТ К3'!R10)*СПРАВОЧНИК!$L$14+('ФАКТ ЧИСТ К3'!S10)*СПРАВОЧНИК!$M$14+('ФАКТ ЧИСТ К3'!T10)*СПРАВОЧНИК!$N$14+('ФАКТ ЧИСТ К3'!U10)*СПРАВОЧНИК!$L$15+('ФАКТ ЧИСТ К3'!V10)*СПРАВОЧНИК!$M$15+('ФАКТ ЧИСТ К3'!W10)*СПРАВОЧНИК!$N$15</f>
        <v>0</v>
      </c>
      <c r="BW19" s="18">
        <f t="shared" si="24"/>
        <v>46209</v>
      </c>
      <c r="BX19" s="37">
        <f t="shared" si="0"/>
        <v>0</v>
      </c>
      <c r="BY19" s="40">
        <f t="shared" si="1"/>
        <v>0</v>
      </c>
      <c r="CC19" s="18">
        <f t="shared" si="25"/>
        <v>46209</v>
      </c>
      <c r="CD19" s="37">
        <f t="shared" si="2"/>
        <v>0</v>
      </c>
      <c r="CE19" s="40">
        <f t="shared" si="3"/>
        <v>0</v>
      </c>
      <c r="CI19" s="18">
        <f t="shared" si="26"/>
        <v>46209</v>
      </c>
      <c r="CJ19" s="37">
        <f t="shared" si="4"/>
        <v>0</v>
      </c>
      <c r="CK19" s="40">
        <f t="shared" si="5"/>
        <v>0</v>
      </c>
      <c r="CO19" s="18">
        <f t="shared" si="27"/>
        <v>46209</v>
      </c>
      <c r="CP19" s="37">
        <f t="shared" si="6"/>
        <v>0</v>
      </c>
      <c r="CQ19" s="40">
        <f t="shared" si="7"/>
        <v>0</v>
      </c>
      <c r="CU19" s="18">
        <f t="shared" si="28"/>
        <v>46209</v>
      </c>
      <c r="CV19" s="37">
        <f t="shared" si="8"/>
        <v>0</v>
      </c>
      <c r="CW19" s="40">
        <f t="shared" si="9"/>
        <v>0</v>
      </c>
      <c r="DA19" s="18">
        <f t="shared" si="29"/>
        <v>46209</v>
      </c>
      <c r="DB19" s="37">
        <f t="shared" si="10"/>
        <v>0</v>
      </c>
      <c r="DC19" s="40">
        <f t="shared" si="11"/>
        <v>0</v>
      </c>
    </row>
    <row r="20" spans="3:107" x14ac:dyDescent="0.25">
      <c r="C20" s="18">
        <f t="shared" si="12"/>
        <v>46216</v>
      </c>
      <c r="D20" s="37">
        <f>СПРАВОЧНИК!$E$3*('ПЛАН ЧЕРН ПОДЗЕМ'!B11*СПРАВОЧНИК!$H$3+'ПЛАН ЧЕРН ПОДЗЕМ'!C11*СПРАВОЧНИК!$I$3+'ПЛАН ЧЕРН ПОДЗЕМ'!D11*СПРАВОЧНИК!$J$3)+СПРАВОЧНИК!$E$4*('ПЛАН ЧЕРН ПОДЗЕМ'!E11*СПРАВОЧНИК!$H$4+'ПЛАН ЧЕРН ПОДЗЕМ'!F11*СПРАВОЧНИК!$I$4+'ПЛАН ЧЕРН ПОДЗЕМ'!G11*СПРАВОЧНИК!$J$4)+СПРАВОЧНИК!$E$5*('ПЛАН ЧЕРН ПОДЗЕМ'!H11*СПРАВОЧНИК!$H$5+'ПЛАН ЧЕРН ПОДЗЕМ'!I11*СПРАВОЧНИК!$I$5+'ПЛАН ЧЕРН ПОДЗЕМ'!J11*СПРАВОЧНИК!$J$5)+СПРАВОЧНИК!$E$6*('ПЛАН ЧЕРН ПОДЗЕМ'!K11*СПРАВОЧНИК!$H$6+'ПЛАН ЧЕРН ПОДЗЕМ'!L11*СПРАВОЧНИК!$I$6+'ПЛАН ЧЕРН ПОДЗЕМ'!M11*СПРАВОЧНИК!$J$6)+СПРАВОЧНИК!$E$7*('ПЛАН ЧЕРН ПОДЗЕМ'!N11*СПРАВОЧНИК!$H$7+'ПЛАН ЧЕРН ПОДЗЕМ'!O11*СПРАВОЧНИК!$I$7+'ПЛАН ЧЕРН ПОДЗЕМ'!P11*СПРАВОЧНИК!$J$7)+СПРАВОЧНИК!$E$8*('ПЛАН ЧЕРН ПОДЗЕМ'!Q11*СПРАВОЧНИК!$H$8+'ПЛАН ЧЕРН ПОДЗЕМ'!R11*СПРАВОЧНИК!$I$8+'ПЛАН ЧЕРН ПОДЗЕМ'!S11*СПРАВОЧНИК!$J$8)+СПРАВОЧНИК!$F$3*('ПЛАН ЧИСТ ПОДЗЕМ'!B11*СПРАВОЧНИК!$L$3+'ПЛАН ЧИСТ ПОДЗЕМ'!C11*СПРАВОЧНИК!$M$3+'ПЛАН ЧИСТ ПОДЗЕМ'!D11*СПРАВОЧНИК!$N$3)+СПРАВОЧНИК!$F$4*('ПЛАН ЧИСТ ПОДЗЕМ'!E11*СПРАВОЧНИК!$L$4+'ПЛАН ЧИСТ ПОДЗЕМ'!F11*СПРАВОЧНИК!$M$4+'ПЛАН ЧИСТ ПОДЗЕМ'!G11*СПРАВОЧНИК!$N$4)+СПРАВОЧНИК!$F$5*('ПЛАН ЧИСТ ПОДЗЕМ'!H11*СПРАВОЧНИК!$L$5+'ПЛАН ЧИСТ ПОДЗЕМ'!I11*СПРАВОЧНИК!$M$5+'ПЛАН ЧИСТ ПОДЗЕМ'!J11*СПРАВОЧНИК!$N$5)+СПРАВОЧНИК!$F$6*('ПЛАН ЧИСТ ПОДЗЕМ'!K11*СПРАВОЧНИК!$L$6+'ПЛАН ЧИСТ ПОДЗЕМ'!L11*СПРАВОЧНИК!$M$6+'ПЛАН ЧИСТ ПОДЗЕМ'!M11*СПРАВОЧНИК!$N$6)+СПРАВОЧНИК!$F$7*('ПЛАН ЧИСТ ПОДЗЕМ'!N11*СПРАВОЧНИК!$L$7+'ПЛАН ЧИСТ ПОДЗЕМ'!O11*СПРАВОЧНИК!$M$7+'ПЛАН ЧИСТ ПОДЗЕМ'!P11*СПРАВОЧНИК!$N$7)+СПРАВОЧНИК!$F$8*('ПЛАН ЧИСТ ПОДЗЕМ'!Q11*СПРАВОЧНИК!$L$8+'ПЛАН ЧИСТ ПОДЗЕМ'!R11*СПРАВОЧНИК!$M$8+'ПЛАН ЧИСТ ПОДЗЕМ'!S11*СПРАВОЧНИК!$N$8)</f>
        <v>0</v>
      </c>
      <c r="E20" s="40">
        <f>СПРАВОЧНИК!$E$3*(('ФАКТ ЧЕРН ПОДЗЕМ'!B11)*СПРАВОЧНИК!$H$3+('ФАКТ ЧЕРН ПОДЗЕМ'!C11)*СПРАВОЧНИК!$I$3+('ФАКТ ЧЕРН ПОДЗЕМ'!D11)*СПРАВОЧНИК!$J$3)+СПРАВОЧНИК!$E$4*(('ФАКТ ЧЕРН ПОДЗЕМ'!E11)*СПРАВОЧНИК!$H$4+('ФАКТ ЧЕРН ПОДЗЕМ'!F11)*СПРАВОЧНИК!$I$4+('ФАКТ ЧЕРН ПОДЗЕМ'!G11)*СПРАВОЧНИК!$J$4)+СПРАВОЧНИК!$E$5*(('ФАКТ ЧЕРН ПОДЗЕМ'!H11)*СПРАВОЧНИК!$H$5+('ФАКТ ЧЕРН ПОДЗЕМ'!I11)*СПРАВОЧНИК!$I$5+('ФАКТ ЧЕРН ПОДЗЕМ'!J11)*СПРАВОЧНИК!$J$5)+СПРАВОЧНИК!$E$6*(('ФАКТ ЧЕРН ПОДЗЕМ'!K11)*СПРАВОЧНИК!$H$6+('ФАКТ ЧЕРН ПОДЗЕМ'!L11)*СПРАВОЧНИК!$I$6+('ФАКТ ЧЕРН ПОДЗЕМ'!M11)*СПРАВОЧНИК!$J$6)+СПРАВОЧНИК!$E$7*(('ФАКТ ЧЕРН ПОДЗЕМ'!N11)*СПРАВОЧНИК!$H$7+('ФАКТ ЧЕРН ПОДЗЕМ'!O11)*СПРАВОЧНИК!$I$7+('ФАКТ ЧЕРН ПОДЗЕМ'!P11)*СПРАВОЧНИК!$J$7)+СПРАВОЧНИК!$E$8*(('ФАКТ ЧЕРН ПОДЗЕМ'!Q11)*СПРАВОЧНИК!$H$8+('ФАКТ ЧЕРН ПОДЗЕМ'!R11)*СПРАВОЧНИК!$I$8+('ФАКТ ЧЕРН ПОДЗЕМ'!S11)*СПРАВОЧНИК!$J$8)+СПРАВОЧНИК!$F$3*(('ФАКТ ЧИСТ ПОДЗЕМ'!B11)*СПРАВОЧНИК!$L$3+('ФАКТ ЧИСТ ПОДЗЕМ'!C11)*СПРАВОЧНИК!$M$3+('ФАКТ ЧИСТ ПОДЗЕМ'!D11)*СПРАВОЧНИК!$N$3)+СПРАВОЧНИК!$F$4*(('ФАКТ ЧИСТ ПОДЗЕМ'!E11)*СПРАВОЧНИК!$L$4+('ФАКТ ЧИСТ ПОДЗЕМ'!F11)*СПРАВОЧНИК!$M$4+('ФАКТ ЧИСТ ПОДЗЕМ'!G11)*СПРАВОЧНИК!$N$4)+СПРАВОЧНИК!$F$5*(('ФАКТ ЧИСТ ПОДЗЕМ'!H11)*СПРАВОЧНИК!$L$5+('ФАКТ ЧИСТ ПОДЗЕМ'!I11)*СПРАВОЧНИК!$M$5+('ФАКТ ЧИСТ ПОДЗЕМ'!J11)*СПРАВОЧНИК!$N$5)+СПРАВОЧНИК!$F$6*(('ФАКТ ЧИСТ ПОДЗЕМ'!K11)*СПРАВОЧНИК!$L$6+('ФАКТ ЧИСТ ПОДЗЕМ'!L11)*СПРАВОЧНИК!$M$6+('ФАКТ ЧИСТ ПОДЗЕМ'!M11)*СПРАВОЧНИК!$N$6)+СПРАВОЧНИК!$F$7*(('ФАКТ ЧИСТ ПОДЗЕМ'!N11)*СПРАВОЧНИК!$L$7+('ФАКТ ЧИСТ ПОДЗЕМ'!O11)*СПРАВОЧНИК!$M$7+('ФАКТ ЧИСТ ПОДЗЕМ'!P11)*СПРАВОЧНИК!$N$7)+СПРАВОЧНИК!$F$8*(('ФАКТ ЧИСТ ПОДЗЕМ'!Q11)*СПРАВОЧНИК!$L$8+('ФАКТ ЧИСТ ПОДЗЕМ'!R11)*СПРАВОЧНИК!$M$8+('ФАКТ ЧИСТ ПОДЗЕМ'!S11)*СПРАВОЧНИК!$N$8)</f>
        <v>0</v>
      </c>
      <c r="I20" s="18">
        <f t="shared" si="13"/>
        <v>46216</v>
      </c>
      <c r="J20" s="37">
        <f>'ПЛАН ЧЕРН ПОДЗЕМ'!B11*СПРАВОЧНИК!$H$3+'ПЛАН ЧЕРН ПОДЗЕМ'!C11*СПРАВОЧНИК!$I$3+'ПЛАН ЧЕРН ПОДЗЕМ'!D11*СПРАВОЧНИК!$J$3+'ПЛАН ЧЕРН ПОДЗЕМ'!E11*СПРАВОЧНИК!$H$4+'ПЛАН ЧЕРН ПОДЗЕМ'!F11*СПРАВОЧНИК!$I$4+'ПЛАН ЧЕРН ПОДЗЕМ'!G11*СПРАВОЧНИК!$J$4+'ПЛАН ЧЕРН ПОДЗЕМ'!H11*СПРАВОЧНИК!$H$5+'ПЛАН ЧЕРН ПОДЗЕМ'!I11*СПРАВОЧНИК!$I$5+'ПЛАН ЧЕРН ПОДЗЕМ'!J11*СПРАВОЧНИК!$J$5+'ПЛАН ЧЕРН ПОДЗЕМ'!K11*СПРАВОЧНИК!$H$6+'ПЛАН ЧЕРН ПОДЗЕМ'!L11*СПРАВОЧНИК!$I$6+'ПЛАН ЧЕРН ПОДЗЕМ'!M11*СПРАВОЧНИК!$J$6+'ПЛАН ЧЕРН ПОДЗЕМ'!N11*СПРАВОЧНИК!$H$7+'ПЛАН ЧЕРН ПОДЗЕМ'!O11*СПРАВОЧНИК!$I$7+'ПЛАН ЧЕРН ПОДЗЕМ'!P11*СПРАВОЧНИК!$J$7+'ПЛАН ЧЕРН ПОДЗЕМ'!Q11*СПРАВОЧНИК!$H$8+'ПЛАН ЧЕРН ПОДЗЕМ'!R11*СПРАВОЧНИК!$I$8+'ПЛАН ЧЕРН ПОДЗЕМ'!S11*СПРАВОЧНИК!$J$8</f>
        <v>0</v>
      </c>
      <c r="K20" s="40">
        <f>('ФАКТ ЧЕРН ПОДЗЕМ'!B11)*СПРАВОЧНИК!$H$3+('ФАКТ ЧЕРН ПОДЗЕМ'!C11)*СПРАВОЧНИК!$I$3+('ФАКТ ЧЕРН ПОДЗЕМ'!D11)*СПРАВОЧНИК!$J$3+('ФАКТ ЧЕРН ПОДЗЕМ'!E11)*СПРАВОЧНИК!$H$4+('ФАКТ ЧЕРН ПОДЗЕМ'!F11)*СПРАВОЧНИК!$I$4+('ФАКТ ЧЕРН ПОДЗЕМ'!G11)*СПРАВОЧНИК!$J$4+('ФАКТ ЧЕРН ПОДЗЕМ'!H11)*СПРАВОЧНИК!$H$5+('ФАКТ ЧЕРН ПОДЗЕМ'!I11)*СПРАВОЧНИК!$I$5+('ФАКТ ЧЕРН ПОДЗЕМ'!J11)*СПРАВОЧНИК!$J$5+('ФАКТ ЧЕРН ПОДЗЕМ'!K11)*СПРАВОЧНИК!$H$6+('ФАКТ ЧЕРН ПОДЗЕМ'!L11)*СПРАВОЧНИК!$I$6+('ФАКТ ЧЕРН ПОДЗЕМ'!M11)*СПРАВОЧНИК!$J$6+('ФАКТ ЧЕРН ПОДЗЕМ'!N11)*СПРАВОЧНИК!$H$7+('ФАКТ ЧЕРН ПОДЗЕМ'!O11)*СПРАВОЧНИК!$I$7+('ФАКТ ЧЕРН ПОДЗЕМ'!P11)*СПРАВОЧНИК!$J$7+('ФАКТ ЧЕРН ПОДЗЕМ'!Q11)*СПРАВОЧНИК!$H$8+('ФАКТ ЧЕРН ПОДЗЕМ'!R11)*СПРАВОЧНИК!$I$8+('ФАКТ ЧЕРН ПОДЗЕМ'!S11)*СПРАВОЧНИК!$J$8</f>
        <v>0</v>
      </c>
      <c r="O20" s="18">
        <f t="shared" si="14"/>
        <v>46216</v>
      </c>
      <c r="P20" s="37">
        <f>'ПЛАН ЧИСТ ПОДЗЕМ'!B11*СПРАВОЧНИК!$L$3+'ПЛАН ЧИСТ ПОДЗЕМ'!C11*СПРАВОЧНИК!$M$3+'ПЛАН ЧИСТ ПОДЗЕМ'!D11*СПРАВОЧНИК!$N$3+'ПЛАН ЧИСТ ПОДЗЕМ'!E11*СПРАВОЧНИК!$L$4+'ПЛАН ЧИСТ ПОДЗЕМ'!F11*СПРАВОЧНИК!$M$4+'ПЛАН ЧИСТ ПОДЗЕМ'!G11*СПРАВОЧНИК!$N$4+'ПЛАН ЧИСТ ПОДЗЕМ'!H11*СПРАВОЧНИК!$L$5+'ПЛАН ЧИСТ ПОДЗЕМ'!I11*СПРАВОЧНИК!$M$5+'ПЛАН ЧИСТ ПОДЗЕМ'!J11*СПРАВОЧНИК!$N$5+'ПЛАН ЧИСТ ПОДЗЕМ'!K11*СПРАВОЧНИК!$L$6+'ПЛАН ЧИСТ ПОДЗЕМ'!L11*СПРАВОЧНИК!$M$6+'ПЛАН ЧИСТ ПОДЗЕМ'!M11*СПРАВОЧНИК!$N$6+'ПЛАН ЧИСТ ПОДЗЕМ'!N11*СПРАВОЧНИК!$L$7+'ПЛАН ЧИСТ ПОДЗЕМ'!O11*СПРАВОЧНИК!$M$7+'ПЛАН ЧИСТ ПОДЗЕМ'!P11*СПРАВОЧНИК!$N$7+'ПЛАН ЧИСТ ПОДЗЕМ'!Q11*СПРАВОЧНИК!$L$8+'ПЛАН ЧИСТ ПОДЗЕМ'!R11*СПРАВОЧНИК!$M$8+'ПЛАН ЧИСТ ПОДЗЕМ'!S11*СПРАВОЧНИК!$N$8</f>
        <v>0</v>
      </c>
      <c r="Q20" s="40">
        <f>('ФАКТ ЧИСТ ПОДЗЕМ'!B11)*СПРАВОЧНИК!$L$3+('ФАКТ ЧИСТ ПОДЗЕМ'!C11)*СПРАВОЧНИК!$M$3+('ФАКТ ЧИСТ ПОДЗЕМ'!D11)*СПРАВОЧНИК!$N$3+('ФАКТ ЧИСТ ПОДЗЕМ'!E11)*СПРАВОЧНИК!$L$4+('ФАКТ ЧИСТ ПОДЗЕМ'!F11)*СПРАВОЧНИК!$M$4+('ФАКТ ЧИСТ ПОДЗЕМ'!G11)*СПРАВОЧНИК!$N$4+('ФАКТ ЧИСТ ПОДЗЕМ'!H11)*СПРАВОЧНИК!$L$5+('ФАКТ ЧИСТ ПОДЗЕМ'!I11)*СПРАВОЧНИК!$M$5+('ФАКТ ЧИСТ ПОДЗЕМ'!J11)*СПРАВОЧНИК!$N$5+('ФАКТ ЧИСТ ПОДЗЕМ'!K11)*СПРАВОЧНИК!$L$6+('ФАКТ ЧИСТ ПОДЗЕМ'!L11)*СПРАВОЧНИК!$M$6+('ФАКТ ЧИСТ ПОДЗЕМ'!M11)*СПРАВОЧНИК!$N$6+('ФАКТ ЧИСТ ПОДЗЕМ'!N11)*СПРАВОЧНИК!$L$7+('ФАКТ ЧИСТ ПОДЗЕМ'!O11)*СПРАВОЧНИК!$M$7+('ФАКТ ЧИСТ ПОДЗЕМ'!P11)*СПРАВОЧНИК!$N$7+('ФАКТ ЧИСТ ПОДЗЕМ'!Q11)*СПРАВОЧНИК!$L$8+('ФАКТ ЧИСТ ПОДЗЕМ'!R11)*СПРАВОЧНИК!$M$8+('ФАКТ ЧИСТ ПОДЗЕМ'!S11)*СПРАВОЧНИК!$N$8</f>
        <v>0</v>
      </c>
      <c r="U20" s="18">
        <f t="shared" si="15"/>
        <v>46216</v>
      </c>
      <c r="V20" s="37">
        <f>СПРАВОЧНИК!$E$9*('ПЛАН ЧЕРН К1'!B11*СПРАВОЧНИК!$H$9+'ПЛАН ЧЕРН К1'!C11*СПРАВОЧНИК!$I$9+'ПЛАН ЧЕРН К1'!D11*СПРАВОЧНИК!$J$9)+СПРАВОЧНИК!$E$10*('ПЛАН ЧЕРН К1'!E11*СПРАВОЧНИК!$H$10+'ПЛАН ЧЕРН К1'!F11*СПРАВОЧНИК!$I$10+'ПЛАН ЧЕРН К1'!G11*СПРАВОЧНИК!$J$10)+СПРАВОЧНИК!$E$11*('ПЛАН ЧЕРН К1'!H11*СПРАВОЧНИК!$H$11+'ПЛАН ЧЕРН К1'!I11*СПРАВОЧНИК!$I$11+'ПЛАН ЧЕРН К1'!J11*СПРАВОЧНИК!$J$11)+СПРАВОЧНИК!$E$12*('ПЛАН ЧЕРН К1'!K11*СПРАВОЧНИК!$H$12+'ПЛАН ЧЕРН К1'!L11*СПРАВОЧНИК!$I$12+'ПЛАН ЧЕРН К1'!M11*СПРАВОЧНИК!$J$12)+СПРАВОЧНИК!$E$13*('ПЛАН ЧЕРН К1'!N11*СПРАВОЧНИК!$H$13+'ПЛАН ЧЕРН К1'!O11*СПРАВОЧНИК!$I$13+'ПЛАН ЧЕРН К1'!P11*СПРАВОЧНИК!$J$13)+СПРАВОЧНИК!$E$14*('ПЛАН ЧЕРН К1'!Q11*СПРАВОЧНИК!$H$14+'ПЛАН ЧЕРН К1'!R11*СПРАВОЧНИК!$I$14+'ПЛАН ЧЕРН К1'!S11*СПРАВОЧНИК!$J$14)+СПРАВОЧНИК!$E$15*('ПЛАН ЧЕРН К1'!T11*СПРАВОЧНИК!$H$15+'ПЛАН ЧЕРН К1'!U11*СПРАВОЧНИК!$I$15+'ПЛАН ЧЕРН К1'!V11*СПРАВОЧНИК!$J$15)+СПРАВОЧНИК!$F$9*('ПЛАН ЧИСТ К1'!B11*СПРАВОЧНИК!$L$9+'ПЛАН ЧИСТ К1'!C11*СПРАВОЧНИК!$M$9+'ПЛАН ЧИСТ К1'!D11*СПРАВОЧНИК!$N$9+'ПЛАН ЧИСТ К1'!E11*СПРАВОЧНИК!$O$9)+СПРАВОЧНИК!$F$10*('ПЛАН ЧИСТ К1'!F11*СПРАВОЧНИК!$L$10+'ПЛАН ЧИСТ К1'!G11*СПРАВОЧНИК!$M$10+'ПЛАН ЧИСТ К1'!H11*СПРАВОЧНИК!$N$10)+СПРАВОЧНИК!$F$11*('ПЛАН ЧИСТ К1'!I11*СПРАВОЧНИК!$L$11+'ПЛАН ЧИСТ К1'!J11*СПРАВОЧНИК!$M$11+'ПЛАН ЧИСТ К1'!K11*СПРАВОЧНИК!$N$11)+СПРАВОЧНИК!$F$12*('ПЛАН ЧИСТ К1'!L11*СПРАВОЧНИК!$L$12+'ПЛАН ЧИСТ К1'!M11*СПРАВОЧНИК!$M$12+'ПЛАН ЧИСТ К1'!N11*СПРАВОЧНИК!$N$12)+СПРАВОЧНИК!$F$13*('ПЛАН ЧИСТ К1'!O11*СПРАВОЧНИК!$L$13+'ПЛАН ЧИСТ К1'!P11*СПРАВОЧНИК!$M$13+'ПЛАН ЧИСТ К1'!Q11*СПРАВОЧНИК!$N$13)+СПРАВОЧНИК!$F$14*('ПЛАН ЧИСТ К1'!R11*СПРАВОЧНИК!$L$14+'ПЛАН ЧИСТ К1'!S11*СПРАВОЧНИК!$M$14+'ПЛАН ЧИСТ К1'!T11*СПРАВОЧНИК!$N$14)+СПРАВОЧНИК!$F$15*('ПЛАН ЧИСТ К1'!U11*СПРАВОЧНИК!$L$15+'ПЛАН ЧИСТ К1'!V11*СПРАВОЧНИК!$M$15+'ПЛАН ЧИСТ К1'!W11*СПРАВОЧНИК!$N$15)</f>
        <v>0</v>
      </c>
      <c r="W20" s="40">
        <f>СПРАВОЧНИК!$E$9*(('ФАКТ ЧЕРН К1'!B11)*СПРАВОЧНИК!$H$9+('ФАКТ ЧЕРН К1'!C11)*СПРАВОЧНИК!$I$9+('ФАКТ ЧЕРН К1'!D11)*СПРАВОЧНИК!$J$9)+СПРАВОЧНИК!$E$10*(('ФАКТ ЧЕРН К1'!E11)*СПРАВОЧНИК!$H$10+('ФАКТ ЧЕРН К1'!F11)*СПРАВОЧНИК!$I$10+('ФАКТ ЧЕРН К1'!G11)*СПРАВОЧНИК!$J$10)+СПРАВОЧНИК!$E$11*(('ФАКТ ЧЕРН К1'!H11)*СПРАВОЧНИК!$H$11+('ФАКТ ЧЕРН К1'!I11)*СПРАВОЧНИК!$I$11+('ФАКТ ЧЕРН К1'!J11)*СПРАВОЧНИК!$J$11)+СПРАВОЧНИК!$E$12*(('ФАКТ ЧЕРН К1'!K11)*СПРАВОЧНИК!$H$12+('ФАКТ ЧЕРН К1'!L11)*СПРАВОЧНИК!$I$12+('ФАКТ ЧЕРН К1'!M11)*СПРАВОЧНИК!$J$12)+СПРАВОЧНИК!$E$13*(('ФАКТ ЧЕРН К1'!N11)*СПРАВОЧНИК!$H$13+('ФАКТ ЧЕРН К1'!O11)*СПРАВОЧНИК!$I$13+('ФАКТ ЧЕРН К1'!P11)*СПРАВОЧНИК!$J$13)+СПРАВОЧНИК!$E$14*(('ФАКТ ЧЕРН К1'!Q11)*СПРАВОЧНИК!$H$14+('ФАКТ ЧЕРН К1'!R11)*СПРАВОЧНИК!$I$14+('ФАКТ ЧЕРН К1'!S11)*СПРАВОЧНИК!$J$14)+СПРАВОЧНИК!$E$15*(('ФАКТ ЧЕРН К1'!T11)*СПРАВОЧНИК!$H$15+('ФАКТ ЧЕРН К1'!U11)*СПРАВОЧНИК!$I$15+('ФАКТ ЧЕРН К1'!V11)*СПРАВОЧНИК!$J$15)+СПРАВОЧНИК!$F$9*(('ФАКТ ЧИСТ К1'!B11)*СПРАВОЧНИК!$L$9+('ФАКТ ЧИСТ К1'!C11)*СПРАВОЧНИК!$M$9+('ФАКТ ЧИСТ К1'!D11)*СПРАВОЧНИК!$N$9+('ФАКТ ЧИСТ К1'!E11)*СПРАВОЧНИК!$O$9)+СПРАВОЧНИК!$F$10*(('ФАКТ ЧИСТ К1'!F11)*СПРАВОЧНИК!$L$10+('ФАКТ ЧИСТ К1'!G11)*СПРАВОЧНИК!$M$10+('ФАКТ ЧИСТ К1'!H11)*СПРАВОЧНИК!$N$10)+СПРАВОЧНИК!$F$11*(('ФАКТ ЧИСТ К1'!I11)*СПРАВОЧНИК!$L$11+('ФАКТ ЧИСТ К1'!J11)*СПРАВОЧНИК!$M$11+('ФАКТ ЧИСТ К1'!K11)*СПРАВОЧНИК!$N$11)+СПРАВОЧНИК!$F$12*(('ФАКТ ЧИСТ К1'!L11)*СПРАВОЧНИК!$L$12+('ФАКТ ЧИСТ К1'!M11)*СПРАВОЧНИК!$M$12+('ФАКТ ЧИСТ К1'!N11)*СПРАВОЧНИК!$N$12)+СПРАВОЧНИК!$F$13*(('ФАКТ ЧИСТ К1'!O11)*СПРАВОЧНИК!$L$13+('ФАКТ ЧИСТ К1'!P11)*СПРАВОЧНИК!$M$13+('ФАКТ ЧИСТ К1'!Q11)*СПРАВОЧНИК!$N$13)+СПРАВОЧНИК!$F$14*(('ФАКТ ЧИСТ К1'!R11)*СПРАВОЧНИК!$L$14+('ФАКТ ЧИСТ К1'!S11)*СПРАВОЧНИК!$M$14+('ФАКТ ЧИСТ К1'!T11)*СПРАВОЧНИК!$N$14)+СПРАВОЧНИК!$F$15*(('ФАКТ ЧИСТ К1'!U11)*СПРАВОЧНИК!$L$15+('ФАКТ ЧИСТ К1'!V11)*СПРАВОЧНИК!$M$15+('ФАКТ ЧИСТ К1'!W11)*СПРАВОЧНИК!$N$15)</f>
        <v>0</v>
      </c>
      <c r="AA20" s="18">
        <f t="shared" si="16"/>
        <v>46216</v>
      </c>
      <c r="AB20" s="37">
        <f>'ПЛАН ЧЕРН К1'!B11*СПРАВОЧНИК!$H$9+'ПЛАН ЧЕРН К1'!C11*СПРАВОЧНИК!$I$9+'ПЛАН ЧЕРН К1'!D11*СПРАВОЧНИК!$J$9+'ПЛАН ЧЕРН К1'!E11*СПРАВОЧНИК!$H$10+'ПЛАН ЧЕРН К1'!F11*СПРАВОЧНИК!$I$10+'ПЛАН ЧЕРН К1'!G11*СПРАВОЧНИК!$J$10+'ПЛАН ЧЕРН К1'!H11*СПРАВОЧНИК!$H$11+'ПЛАН ЧЕРН К1'!I11*СПРАВОЧНИК!$I$11+'ПЛАН ЧЕРН К1'!J11*СПРАВОЧНИК!$J$11+'ПЛАН ЧЕРН К1'!K11*СПРАВОЧНИК!$H$12+'ПЛАН ЧЕРН К1'!L11*СПРАВОЧНИК!$I$12+'ПЛАН ЧЕРН К1'!M11*СПРАВОЧНИК!$J$12+'ПЛАН ЧЕРН К1'!N11*СПРАВОЧНИК!$H$13+'ПЛАН ЧЕРН К1'!O11*СПРАВОЧНИК!$I$13+'ПЛАН ЧЕРН К1'!P11*СПРАВОЧНИК!$J$13+'ПЛАН ЧЕРН К1'!Q11*СПРАВОЧНИК!$H$14+'ПЛАН ЧЕРН К1'!R11*СПРАВОЧНИК!$I$14+'ПЛАН ЧЕРН К1'!S11*СПРАВОЧНИК!$J$14+'ПЛАН ЧЕРН К1'!T11*СПРАВОЧНИК!$H$15+'ПЛАН ЧЕРН К1'!U11*СПРАВОЧНИК!$I$15+'ПЛАН ЧЕРН К1'!V11*СПРАВОЧНИК!$J$15</f>
        <v>0</v>
      </c>
      <c r="AC20" s="40">
        <f>('ФАКТ ЧЕРН К1'!B11)*СПРАВОЧНИК!$H$9+('ФАКТ ЧЕРН К1'!C11)*СПРАВОЧНИК!$I$9+('ФАКТ ЧЕРН К1'!D11)*СПРАВОЧНИК!$J$9+('ФАКТ ЧЕРН К1'!E11)*СПРАВОЧНИК!$H$10+('ФАКТ ЧЕРН К1'!F11)*СПРАВОЧНИК!$I$10+('ФАКТ ЧЕРН К1'!G11)*СПРАВОЧНИК!$J$10+('ФАКТ ЧЕРН К1'!H11)*СПРАВОЧНИК!$H$11+('ФАКТ ЧЕРН К1'!I11)*СПРАВОЧНИК!$I$11+('ФАКТ ЧЕРН К1'!J11)*СПРАВОЧНИК!$J$11+('ФАКТ ЧЕРН К1'!K11)*СПРАВОЧНИК!$H$12+('ФАКТ ЧЕРН К1'!L11)*СПРАВОЧНИК!$I$12+('ФАКТ ЧЕРН К1'!M11)*СПРАВОЧНИК!$J$12+('ФАКТ ЧЕРН К1'!N11)*СПРАВОЧНИК!$H$13+('ФАКТ ЧЕРН К1'!O11)*СПРАВОЧНИК!$I$13+('ФАКТ ЧЕРН К1'!P11)*СПРАВОЧНИК!$J$13+('ФАКТ ЧЕРН К1'!Q11)*СПРАВОЧНИК!$H$14+('ФАКТ ЧЕРН К1'!R11)*СПРАВОЧНИК!$I$14+('ФАКТ ЧЕРН К1'!S11)*СПРАВОЧНИК!$J$14+('ФАКТ ЧЕРН К1'!T11)*СПРАВОЧНИК!$H$15+('ФАКТ ЧЕРН К1'!U11)*СПРАВОЧНИК!$I$15+('ФАКТ ЧЕРН К1'!V11)*СПРАВОЧНИК!$J$15</f>
        <v>0</v>
      </c>
      <c r="AG20" s="18">
        <f t="shared" si="17"/>
        <v>46216</v>
      </c>
      <c r="AH20" s="37">
        <f>'ПЛАН ЧИСТ К1'!B11*СПРАВОЧНИК!$L$9+'ПЛАН ЧИСТ К1'!C11*СПРАВОЧНИК!$M$9+'ПЛАН ЧИСТ К1'!D11*СПРАВОЧНИК!$N$9+'ПЛАН ЧИСТ К1'!E11*СПРАВОЧНИК!$O$9+'ПЛАН ЧИСТ К1'!F11*СПРАВОЧНИК!$L$10+'ПЛАН ЧИСТ К1'!G11*СПРАВОЧНИК!$M$10+'ПЛАН ЧИСТ К1'!H11*СПРАВОЧНИК!$N$10+'ПЛАН ЧИСТ К1'!I11*СПРАВОЧНИК!$L$11+'ПЛАН ЧИСТ К1'!J11*СПРАВОЧНИК!$M$11+'ПЛАН ЧИСТ К1'!K11*СПРАВОЧНИК!$N$11+'ПЛАН ЧИСТ К1'!L11*СПРАВОЧНИК!$L$12+'ПЛАН ЧИСТ К1'!M11*СПРАВОЧНИК!$M$12+'ПЛАН ЧИСТ К1'!N11*СПРАВОЧНИК!$N$12+'ПЛАН ЧИСТ К1'!O11*СПРАВОЧНИК!$L$13+'ПЛАН ЧИСТ К1'!P11*СПРАВОЧНИК!$M$13+'ПЛАН ЧИСТ К1'!Q11*СПРАВОЧНИК!$N$13+'ПЛАН ЧИСТ К1'!R11*СПРАВОЧНИК!$L$14+'ПЛАН ЧИСТ К1'!S11*СПРАВОЧНИК!$M$14+'ПЛАН ЧИСТ К1'!T11*СПРАВОЧНИК!$N$14+'ПЛАН ЧИСТ К1'!U11*СПРАВОЧНИК!$L$15+'ПЛАН ЧИСТ К1'!V11*СПРАВОЧНИК!$M$15+'ПЛАН ЧИСТ К1'!W11*СПРАВОЧНИК!$N$15</f>
        <v>0</v>
      </c>
      <c r="AI20" s="40">
        <f>('ФАКТ ЧИСТ К1'!B11)*СПРАВОЧНИК!$L$9+('ФАКТ ЧИСТ К1'!C11)*СПРАВОЧНИК!$M$9+('ФАКТ ЧИСТ К1'!D11)*СПРАВОЧНИК!$N$9+('ФАКТ ЧИСТ К1'!E11)*СПРАВОЧНИК!$O$9+('ФАКТ ЧИСТ К1'!F11)*СПРАВОЧНИК!$L$10+('ФАКТ ЧИСТ К1'!G11)*СПРАВОЧНИК!$M$10+('ФАКТ ЧИСТ К1'!H11)*СПРАВОЧНИК!$N$10+('ФАКТ ЧИСТ К1'!I11)*СПРАВОЧНИК!$L$11+('ФАКТ ЧИСТ К1'!J11)*СПРАВОЧНИК!$M$11+('ФАКТ ЧИСТ К1'!K11)*СПРАВОЧНИК!$N$11+('ФАКТ ЧИСТ К1'!L11)*СПРАВОЧНИК!$L$12+('ФАКТ ЧИСТ К1'!M11)*СПРАВОЧНИК!$M$12+('ФАКТ ЧИСТ К1'!N11)*СПРАВОЧНИК!$N$12+('ФАКТ ЧИСТ К1'!O11)*СПРАВОЧНИК!$L$13+('ФАКТ ЧИСТ К1'!P11)*СПРАВОЧНИК!$M$13+('ФАКТ ЧИСТ К1'!Q11)*СПРАВОЧНИК!$N$13+('ФАКТ ЧИСТ К1'!R11)*СПРАВОЧНИК!$L$14+('ФАКТ ЧИСТ К1'!S11)*СПРАВОЧНИК!$M$14+('ФАКТ ЧИСТ К1'!T11)*СПРАВОЧНИК!$N$14+('ФАКТ ЧИСТ К1'!U11)*СПРАВОЧНИК!$L$15+('ФАКТ ЧИСТ К1'!V11)*СПРАВОЧНИК!$M$15+('ФАКТ ЧИСТ К1'!W11)*СПРАВОЧНИК!$N$15</f>
        <v>0</v>
      </c>
      <c r="AM20" s="18">
        <f t="shared" si="18"/>
        <v>46216</v>
      </c>
      <c r="AN20" s="37">
        <f>СПРАВОЧНИК!$E$9*('ПЛАН ЧЕРН К2'!B11*СПРАВОЧНИК!$H$9+'ПЛАН ЧЕРН К2'!C11*СПРАВОЧНИК!$I$9+'ПЛАН ЧЕРН К2'!D11*СПРАВОЧНИК!$J$9)+СПРАВОЧНИК!$E$10*('ПЛАН ЧЕРН К2'!E11*СПРАВОЧНИК!$H$10+'ПЛАН ЧЕРН К2'!F11*СПРАВОЧНИК!$I$10+'ПЛАН ЧЕРН К2'!G11*СПРАВОЧНИК!$J$10)+СПРАВОЧНИК!$E$11*('ПЛАН ЧЕРН К2'!H11*СПРАВОЧНИК!$H$11+'ПЛАН ЧЕРН К2'!I11*СПРАВОЧНИК!$I$11+'ПЛАН ЧЕРН К2'!J11*СПРАВОЧНИК!$J$11)+СПРАВОЧНИК!$E$12*('ПЛАН ЧЕРН К2'!K11*СПРАВОЧНИК!$H$12+'ПЛАН ЧЕРН К2'!L11*СПРАВОЧНИК!$I$12+'ПЛАН ЧЕРН К2'!M11*СПРАВОЧНИК!$J$12)+СПРАВОЧНИК!$E$13*('ПЛАН ЧЕРН К2'!N11*СПРАВОЧНИК!$H$13+'ПЛАН ЧЕРН К2'!O11*СПРАВОЧНИК!$I$13+'ПЛАН ЧЕРН К2'!P11*СПРАВОЧНИК!$J$13)+СПРАВОЧНИК!$E$14*('ПЛАН ЧЕРН К2'!Q11*СПРАВОЧНИК!$H$14+'ПЛАН ЧЕРН К2'!R11*СПРАВОЧНИК!$I$14+'ПЛАН ЧЕРН К2'!S11*СПРАВОЧНИК!$J$14)+СПРАВОЧНИК!$E$15*('ПЛАН ЧЕРН К2'!T11*СПРАВОЧНИК!$H$15+'ПЛАН ЧЕРН К2'!U11*СПРАВОЧНИК!$I$15+'ПЛАН ЧЕРН К2'!V11*СПРАВОЧНИК!$J$15)+СПРАВОЧНИК!$F$9*('ПЛАН ЧИСТ К2'!B11*СПРАВОЧНИК!$L$9+'ПЛАН ЧИСТ К2'!C11*СПРАВОЧНИК!$M$9+'ПЛАН ЧИСТ К2'!D11*СПРАВОЧНИК!$N$9+'ПЛАН ЧИСТ К2'!E11*СПРАВОЧНИК!$O$9)+СПРАВОЧНИК!$F$10*('ПЛАН ЧИСТ К2'!F11*СПРАВОЧНИК!$L$10+'ПЛАН ЧИСТ К2'!G11*СПРАВОЧНИК!$M$10+'ПЛАН ЧИСТ К2'!H11*СПРАВОЧНИК!$N$10)+СПРАВОЧНИК!$F$11*('ПЛАН ЧИСТ К2'!I11*СПРАВОЧНИК!$L$11+'ПЛАН ЧИСТ К2'!J11*СПРАВОЧНИК!$M$11+'ПЛАН ЧИСТ К2'!K11*СПРАВОЧНИК!$N$11)+СПРАВОЧНИК!$F$12*('ПЛАН ЧИСТ К2'!L11*СПРАВОЧНИК!$L$12+'ПЛАН ЧИСТ К2'!M11*СПРАВОЧНИК!$M$12+'ПЛАН ЧИСТ К2'!N11*СПРАВОЧНИК!$N$12)+СПРАВОЧНИК!$F$13*('ПЛАН ЧИСТ К2'!O11*СПРАВОЧНИК!$L$13+'ПЛАН ЧИСТ К2'!P11*СПРАВОЧНИК!$M$13+'ПЛАН ЧИСТ К2'!Q11*СПРАВОЧНИК!$N$13)+СПРАВОЧНИК!$F$14*('ПЛАН ЧИСТ К2'!R11*СПРАВОЧНИК!$L$14+'ПЛАН ЧИСТ К2'!S11*СПРАВОЧНИК!$M$14+'ПЛАН ЧИСТ К2'!T11*СПРАВОЧНИК!$N$14)+СПРАВОЧНИК!$F$15*('ПЛАН ЧИСТ К2'!U11*СПРАВОЧНИК!$L$15+'ПЛАН ЧИСТ К2'!V11*СПРАВОЧНИК!$M$15+'ПЛАН ЧИСТ К2'!W11*СПРАВОЧНИК!$N$15)</f>
        <v>0</v>
      </c>
      <c r="AO20" s="40">
        <f>СПРАВОЧНИК!$E$9*(('ФАКТ ЧЕРН К2'!B11)*СПРАВОЧНИК!$H$9+('ФАКТ ЧЕРН К2'!C11)*СПРАВОЧНИК!$I$9+('ФАКТ ЧЕРН К2'!D11)*СПРАВОЧНИК!$J$9)+СПРАВОЧНИК!$E$10*(('ФАКТ ЧЕРН К2'!E11)*СПРАВОЧНИК!$H$10+('ФАКТ ЧЕРН К2'!F11)*СПРАВОЧНИК!$I$10+('ФАКТ ЧЕРН К2'!G11)*СПРАВОЧНИК!$J$10)+СПРАВОЧНИК!$E$11*(('ФАКТ ЧЕРН К2'!H11)*СПРАВОЧНИК!$H$11+('ФАКТ ЧЕРН К2'!I11)*СПРАВОЧНИК!$I$11+('ФАКТ ЧЕРН К2'!J11)*СПРАВОЧНИК!$J$11)+СПРАВОЧНИК!$E$12*(('ФАКТ ЧЕРН К2'!K11)*СПРАВОЧНИК!$H$12+('ФАКТ ЧЕРН К2'!L11)*СПРАВОЧНИК!$I$12+('ФАКТ ЧЕРН К2'!M11)*СПРАВОЧНИК!$J$12)+СПРАВОЧНИК!$E$13*(('ФАКТ ЧЕРН К2'!N11)*СПРАВОЧНИК!$H$13+('ФАКТ ЧЕРН К2'!O11)*СПРАВОЧНИК!$I$13+('ФАКТ ЧЕРН К2'!P11)*СПРАВОЧНИК!$J$13)+СПРАВОЧНИК!$E$14*(('ФАКТ ЧЕРН К2'!Q11)*СПРАВОЧНИК!$H$14+('ФАКТ ЧЕРН К2'!R11)*СПРАВОЧНИК!$I$14+('ФАКТ ЧЕРН К2'!S11)*СПРАВОЧНИК!$J$14)+СПРАВОЧНИК!$E$15*(('ФАКТ ЧЕРН К2'!T11)*СПРАВОЧНИК!$H$15+('ФАКТ ЧЕРН К2'!U11)*СПРАВОЧНИК!$I$15+('ФАКТ ЧЕРН К2'!V11)*СПРАВОЧНИК!$J$15)+СПРАВОЧНИК!$F$9*(('ФАКТ ЧИСТ К2'!B11)*СПРАВОЧНИК!$L$9+('ФАКТ ЧИСТ К2'!C11)*СПРАВОЧНИК!$M$9+('ФАКТ ЧИСТ К2'!D11)*СПРАВОЧНИК!$N$9+('ФАКТ ЧИСТ К2'!E11)*СПРАВОЧНИК!$O$9)+СПРАВОЧНИК!$F$10*(('ФАКТ ЧИСТ К2'!F11)*СПРАВОЧНИК!$L$10+('ФАКТ ЧИСТ К2'!G11)*СПРАВОЧНИК!$M$10+('ФАКТ ЧИСТ К2'!H11)*СПРАВОЧНИК!$N$10)+СПРАВОЧНИК!$F$11*(('ФАКТ ЧИСТ К2'!I11)*СПРАВОЧНИК!$L$11+('ФАКТ ЧИСТ К2'!J11)*СПРАВОЧНИК!$M$11+('ФАКТ ЧИСТ К2'!K11)*СПРАВОЧНИК!$N$11)+СПРАВОЧНИК!$F$12*(('ФАКТ ЧИСТ К2'!L11)*СПРАВОЧНИК!$L$12+('ФАКТ ЧИСТ К2'!M11)*СПРАВОЧНИК!$M$12+('ФАКТ ЧИСТ К2'!N11)*СПРАВОЧНИК!$N$12)+СПРАВОЧНИК!$F$13*(('ФАКТ ЧИСТ К2'!O11)*СПРАВОЧНИК!$L$13+('ФАКТ ЧИСТ К2'!P11)*СПРАВОЧНИК!$M$13+('ФАКТ ЧИСТ К2'!Q11)*СПРАВОЧНИК!$N$13)+СПРАВОЧНИК!$F$14*(('ФАКТ ЧИСТ К2'!R11)*СПРАВОЧНИК!$L$14+('ФАКТ ЧИСТ К2'!S11)*СПРАВОЧНИК!$M$14+('ФАКТ ЧИСТ К2'!T11)*СПРАВОЧНИК!$N$14)+СПРАВОЧНИК!$F$15*(('ФАКТ ЧИСТ К2'!U11)*СПРАВОЧНИК!$L$15+('ФАКТ ЧИСТ К2'!V11)*СПРАВОЧНИК!$M$15+('ФАКТ ЧИСТ К2'!W11)*СПРАВОЧНИК!$N$15)</f>
        <v>0</v>
      </c>
      <c r="AS20" s="18">
        <f t="shared" si="19"/>
        <v>46216</v>
      </c>
      <c r="AT20" s="37">
        <f>'ПЛАН ЧЕРН К2'!B11*СПРАВОЧНИК!$H$9+'ПЛАН ЧЕРН К2'!C11*СПРАВОЧНИК!$I$9+'ПЛАН ЧЕРН К2'!D11*СПРАВОЧНИК!$J$9+'ПЛАН ЧЕРН К2'!E11*СПРАВОЧНИК!$H$10+'ПЛАН ЧЕРН К2'!F11*СПРАВОЧНИК!$I$10+'ПЛАН ЧЕРН К2'!G11*СПРАВОЧНИК!$J$10+'ПЛАН ЧЕРН К2'!H11*СПРАВОЧНИК!$H$11+'ПЛАН ЧЕРН К2'!I11*СПРАВОЧНИК!$I$11+'ПЛАН ЧЕРН К2'!J11*СПРАВОЧНИК!$J$11+'ПЛАН ЧЕРН К2'!K11*СПРАВОЧНИК!$H$12+'ПЛАН ЧЕРН К2'!L11*СПРАВОЧНИК!$I$12+'ПЛАН ЧЕРН К2'!M11*СПРАВОЧНИК!$J$12+'ПЛАН ЧЕРН К2'!N11*СПРАВОЧНИК!$H$13+'ПЛАН ЧЕРН К2'!O11*СПРАВОЧНИК!$I$13+'ПЛАН ЧЕРН К2'!P11*СПРАВОЧНИК!$J$13+'ПЛАН ЧЕРН К2'!Q11*СПРАВОЧНИК!$H$14+'ПЛАН ЧЕРН К2'!R11*СПРАВОЧНИК!$I$14+'ПЛАН ЧЕРН К2'!S11*СПРАВОЧНИК!$J$14+'ПЛАН ЧЕРН К2'!T11*СПРАВОЧНИК!$H$15+'ПЛАН ЧЕРН К2'!U11*СПРАВОЧНИК!$I$15+'ПЛАН ЧЕРН К2'!V11*СПРАВОЧНИК!$J$15</f>
        <v>0</v>
      </c>
      <c r="AU20" s="40">
        <f>('ФАКТ ЧЕРН К2'!B11)*СПРАВОЧНИК!$H$9+('ФАКТ ЧЕРН К2'!C11)*СПРАВОЧНИК!$I$9+('ФАКТ ЧЕРН К2'!D11)*СПРАВОЧНИК!$J$9+('ФАКТ ЧЕРН К2'!E11)*СПРАВОЧНИК!$H$10+('ФАКТ ЧЕРН К2'!F11)*СПРАВОЧНИК!$I$10+('ФАКТ ЧЕРН К2'!G11)*СПРАВОЧНИК!$J$10+('ФАКТ ЧЕРН К2'!H11)*СПРАВОЧНИК!$H$11+('ФАКТ ЧЕРН К2'!I11)*СПРАВОЧНИК!$I$11+('ФАКТ ЧЕРН К2'!J11)*СПРАВОЧНИК!$J$11+('ФАКТ ЧЕРН К2'!K11)*СПРАВОЧНИК!$H$12+('ФАКТ ЧЕРН К2'!L11)*СПРАВОЧНИК!$I$12+('ФАКТ ЧЕРН К2'!M11)*СПРАВОЧНИК!$J$12+('ФАКТ ЧЕРН К2'!N11)*СПРАВОЧНИК!$H$13+('ФАКТ ЧЕРН К2'!O11)*СПРАВОЧНИК!$I$13+('ФАКТ ЧЕРН К2'!P11)*СПРАВОЧНИК!$J$13+('ФАКТ ЧЕРН К2'!Q11)*СПРАВОЧНИК!$H$14+('ФАКТ ЧЕРН К2'!R11)*СПРАВОЧНИК!$I$14+('ФАКТ ЧЕРН К2'!S11)*СПРАВОЧНИК!$J$14+('ФАКТ ЧЕРН К2'!T11)*СПРАВОЧНИК!$H$15+('ФАКТ ЧЕРН К2'!U11)*СПРАВОЧНИК!$I$15+('ФАКТ ЧЕРН К2'!V11)*СПРАВОЧНИК!$J$15</f>
        <v>0</v>
      </c>
      <c r="AY20" s="18">
        <f t="shared" si="20"/>
        <v>46216</v>
      </c>
      <c r="AZ20" s="37">
        <f>'ПЛАН ЧИСТ К2'!B11*СПРАВОЧНИК!$L$9+'ПЛАН ЧИСТ К2'!C11*СПРАВОЧНИК!$M$9+'ПЛАН ЧИСТ К2'!D11*СПРАВОЧНИК!$N$9+'ПЛАН ЧИСТ К2'!E11*СПРАВОЧНИК!$O$9+'ПЛАН ЧИСТ К2'!F11*СПРАВОЧНИК!$L$10+'ПЛАН ЧИСТ К2'!G11*СПРАВОЧНИК!$M$10+'ПЛАН ЧИСТ К2'!H11*СПРАВОЧНИК!$N$10+'ПЛАН ЧИСТ К2'!I11*СПРАВОЧНИК!$L$11+'ПЛАН ЧИСТ К2'!J11*СПРАВОЧНИК!$M$11+'ПЛАН ЧИСТ К2'!K11*СПРАВОЧНИК!$N$11+'ПЛАН ЧИСТ К2'!L11*СПРАВОЧНИК!$L$12+'ПЛАН ЧИСТ К2'!M11*СПРАВОЧНИК!$M$12+'ПЛАН ЧИСТ К2'!N11*СПРАВОЧНИК!$N$12+'ПЛАН ЧИСТ К2'!O11*СПРАВОЧНИК!$L$13+'ПЛАН ЧИСТ К2'!P11*СПРАВОЧНИК!$M$13+'ПЛАН ЧИСТ К2'!Q11*СПРАВОЧНИК!$N$13+'ПЛАН ЧИСТ К2'!R11*СПРАВОЧНИК!$L$14+'ПЛАН ЧИСТ К2'!S11*СПРАВОЧНИК!$M$14+'ПЛАН ЧИСТ К2'!T11*СПРАВОЧНИК!$N$14+'ПЛАН ЧИСТ К2'!U11*СПРАВОЧНИК!$L$15+'ПЛАН ЧИСТ К2'!V11*СПРАВОЧНИК!$M$15+'ПЛАН ЧИСТ К2'!W11*СПРАВОЧНИК!$N$15</f>
        <v>0</v>
      </c>
      <c r="BA20" s="40">
        <f>('ФАКТ ЧИСТ К2'!B11)*СПРАВОЧНИК!$L$9+('ФАКТ ЧИСТ К2'!C11)*СПРАВОЧНИК!$M$9+('ФАКТ ЧИСТ К2'!D11)*СПРАВОЧНИК!$N$9+('ФАКТ ЧИСТ К2'!E11)*СПРАВОЧНИК!$O$9+('ФАКТ ЧИСТ К2'!F11)*СПРАВОЧНИК!$L$10+('ФАКТ ЧИСТ К2'!G11)*СПРАВОЧНИК!$M$10+('ФАКТ ЧИСТ К2'!H11)*СПРАВОЧНИК!$N$10+('ФАКТ ЧИСТ К2'!I11)*СПРАВОЧНИК!$L$11+('ФАКТ ЧИСТ К2'!J11)*СПРАВОЧНИК!$M$11+('ФАКТ ЧИСТ К2'!K11)*СПРАВОЧНИК!$N$11+('ФАКТ ЧИСТ К2'!L11)*СПРАВОЧНИК!$L$12+('ФАКТ ЧИСТ К2'!M11)*СПРАВОЧНИК!$M$12+('ФАКТ ЧИСТ К2'!N11)*СПРАВОЧНИК!$N$12+('ФАКТ ЧИСТ К2'!O11)*СПРАВОЧНИК!$L$13+('ФАКТ ЧИСТ К2'!P11)*СПРАВОЧНИК!$M$13+('ФАКТ ЧИСТ К2'!Q11)*СПРАВОЧНИК!$N$13+('ФАКТ ЧИСТ К2'!R11)*СПРАВОЧНИК!$L$14+('ФАКТ ЧИСТ К2'!S11)*СПРАВОЧНИК!$M$14+('ФАКТ ЧИСТ К2'!T11)*СПРАВОЧНИК!$N$14+('ФАКТ ЧИСТ К2'!U11)*СПРАВОЧНИК!$L$15+('ФАКТ ЧИСТ К2'!V11)*СПРАВОЧНИК!$M$15+('ФАКТ ЧИСТ К2'!W11)*СПРАВОЧНИК!$N$15</f>
        <v>0</v>
      </c>
      <c r="BE20" s="18">
        <f t="shared" si="21"/>
        <v>46216</v>
      </c>
      <c r="BF20" s="37">
        <f>СПРАВОЧНИК!$E$9*('ПЛАН ЧЕРН К3'!B11*СПРАВОЧНИК!$H$9+'ПЛАН ЧЕРН К3'!C11*СПРАВОЧНИК!$I$9+'ПЛАН ЧЕРН К3'!D11*СПРАВОЧНИК!$J$9)+СПРАВОЧНИК!$E$10*('ПЛАН ЧЕРН К3'!E11*СПРАВОЧНИК!$H$10+'ПЛАН ЧЕРН К3'!F11*СПРАВОЧНИК!$I$10+'ПЛАН ЧЕРН К3'!G11*СПРАВОЧНИК!$J$10)+СПРАВОЧНИК!$E$11*('ПЛАН ЧЕРН К3'!H11*СПРАВОЧНИК!$H$11+'ПЛАН ЧЕРН К3'!I11*СПРАВОЧНИК!$I$11+'ПЛАН ЧЕРН К3'!J11*СПРАВОЧНИК!$J$11)+СПРАВОЧНИК!$E$12*('ПЛАН ЧЕРН К3'!K11*СПРАВОЧНИК!$H$12+'ПЛАН ЧЕРН К3'!L11*СПРАВОЧНИК!$I$12+'ПЛАН ЧЕРН К3'!M11*СПРАВОЧНИК!$J$12)+СПРАВОЧНИК!$E$13*('ПЛАН ЧЕРН К3'!N11*СПРАВОЧНИК!$H$13+'ПЛАН ЧЕРН К3'!O11*СПРАВОЧНИК!$I$13+'ПЛАН ЧЕРН К3'!P11*СПРАВОЧНИК!$J$13)+СПРАВОЧНИК!$E$14*('ПЛАН ЧЕРН К3'!Q11*СПРАВОЧНИК!$H$14+'ПЛАН ЧЕРН К3'!R11*СПРАВОЧНИК!$I$14+'ПЛАН ЧЕРН К3'!S11*СПРАВОЧНИК!$J$14)+СПРАВОЧНИК!$E$15*('ПЛАН ЧЕРН К3'!T11*СПРАВОЧНИК!$H$15+'ПЛАН ЧЕРН К3'!U11*СПРАВОЧНИК!$I$15+'ПЛАН ЧЕРН К3'!V11*СПРАВОЧНИК!$J$15)+СПРАВОЧНИК!$F$9*('ПЛАН ЧИСТ К3'!B11*СПРАВОЧНИК!$L$9+'ПЛАН ЧИСТ К3'!C11*СПРАВОЧНИК!$M$9+'ПЛАН ЧИСТ К3'!D11*СПРАВОЧНИК!$N$9+'ПЛАН ЧИСТ К3'!E11*СПРАВОЧНИК!$O$9)+СПРАВОЧНИК!$F$10*('ПЛАН ЧИСТ К3'!F11*СПРАВОЧНИК!$L$10+'ПЛАН ЧИСТ К3'!G11*СПРАВОЧНИК!$M$10+'ПЛАН ЧИСТ К3'!H11*СПРАВОЧНИК!$N$10)+СПРАВОЧНИК!$F$11*('ПЛАН ЧИСТ К3'!I11*СПРАВОЧНИК!$L$11+'ПЛАН ЧИСТ К3'!J11*СПРАВОЧНИК!$M$11+'ПЛАН ЧИСТ К3'!K11*СПРАВОЧНИК!$N$11)+СПРАВОЧНИК!$F$12*('ПЛАН ЧИСТ К3'!L11*СПРАВОЧНИК!$L$12+'ПЛАН ЧИСТ К3'!M11*СПРАВОЧНИК!$M$12+'ПЛАН ЧИСТ К3'!N11*СПРАВОЧНИК!$N$12)+СПРАВОЧНИК!$F$13*('ПЛАН ЧИСТ К3'!O11*СПРАВОЧНИК!$L$13+'ПЛАН ЧИСТ К3'!P11*СПРАВОЧНИК!$M$13+'ПЛАН ЧИСТ К3'!Q11*СПРАВОЧНИК!$N$13)+СПРАВОЧНИК!$F$14*('ПЛАН ЧИСТ К3'!R11*СПРАВОЧНИК!$L$14+'ПЛАН ЧИСТ К3'!S11*СПРАВОЧНИК!$M$14+'ПЛАН ЧИСТ К3'!T11*СПРАВОЧНИК!$N$14)+СПРАВОЧНИК!$F$15*('ПЛАН ЧИСТ К3'!U11*СПРАВОЧНИК!$L$15+'ПЛАН ЧИСТ К3'!V11*СПРАВОЧНИК!$M$15+'ПЛАН ЧИСТ К3'!W11*СПРАВОЧНИК!$N$15)</f>
        <v>0</v>
      </c>
      <c r="BG20" s="40">
        <f>СПРАВОЧНИК!$E$9*(('ФАКТ ЧЕРН К3'!B11)*СПРАВОЧНИК!$H$9+('ФАКТ ЧЕРН К3'!C11)*СПРАВОЧНИК!$I$9+('ФАКТ ЧЕРН К3'!D11)*СПРАВОЧНИК!$J$9)+СПРАВОЧНИК!$E$10*(('ФАКТ ЧЕРН К3'!E11)*СПРАВОЧНИК!$H$10+('ФАКТ ЧЕРН К3'!F11)*СПРАВОЧНИК!$I$10+('ФАКТ ЧЕРН К3'!G11)*СПРАВОЧНИК!$J$10)+СПРАВОЧНИК!$E$11*(('ФАКТ ЧЕРН К3'!H11)*СПРАВОЧНИК!$H$11+('ФАКТ ЧЕРН К3'!I11)*СПРАВОЧНИК!$I$11+('ФАКТ ЧЕРН К3'!J11)*СПРАВОЧНИК!$J$11)+СПРАВОЧНИК!$E$12*(('ФАКТ ЧЕРН К3'!K11)*СПРАВОЧНИК!$H$12+('ФАКТ ЧЕРН К3'!L11)*СПРАВОЧНИК!$I$12+('ФАКТ ЧЕРН К3'!M11)*СПРАВОЧНИК!$J$12)+СПРАВОЧНИК!$E$13*(('ФАКТ ЧЕРН К3'!N11)*СПРАВОЧНИК!$H$13+('ФАКТ ЧЕРН К3'!O11)*СПРАВОЧНИК!$I$13+('ФАКТ ЧЕРН К3'!P11)*СПРАВОЧНИК!$J$13)+СПРАВОЧНИК!$E$14*(('ФАКТ ЧЕРН К3'!Q11)*СПРАВОЧНИК!$H$14+('ФАКТ ЧЕРН К3'!R11)*СПРАВОЧНИК!$I$14+('ФАКТ ЧЕРН К3'!S11)*СПРАВОЧНИК!$J$14)+СПРАВОЧНИК!$E$15*(('ФАКТ ЧЕРН К3'!T11)*СПРАВОЧНИК!$H$15+('ФАКТ ЧЕРН К3'!U11)*СПРАВОЧНИК!$I$15+('ФАКТ ЧЕРН К3'!V11)*СПРАВОЧНИК!$J$15)+СПРАВОЧНИК!$F$9*(('ФАКТ ЧИСТ К3'!B11)*СПРАВОЧНИК!$L$9+('ФАКТ ЧИСТ К3'!C11)*СПРАВОЧНИК!$M$9+('ФАКТ ЧИСТ К3'!D11)*СПРАВОЧНИК!$N$9+('ФАКТ ЧИСТ К3'!E11)*СПРАВОЧНИК!$O$9)+СПРАВОЧНИК!$F$10*(('ФАКТ ЧИСТ К3'!F11)*СПРАВОЧНИК!$L$10+('ФАКТ ЧИСТ К3'!G11)*СПРАВОЧНИК!$M$10+('ФАКТ ЧИСТ К3'!H11)*СПРАВОЧНИК!$N$10)+СПРАВОЧНИК!$F$11*(('ФАКТ ЧИСТ К3'!I11)*СПРАВОЧНИК!$L$11+('ФАКТ ЧИСТ К3'!J11)*СПРАВОЧНИК!$M$11+('ФАКТ ЧИСТ К3'!K11)*СПРАВОЧНИК!$N$11)+СПРАВОЧНИК!$F$12*(('ФАКТ ЧИСТ К3'!L11)*СПРАВОЧНИК!$L$12+('ФАКТ ЧИСТ К3'!M11)*СПРАВОЧНИК!$M$12+('ФАКТ ЧИСТ К3'!N11)*СПРАВОЧНИК!$N$12)+СПРАВОЧНИК!$F$13*(('ФАКТ ЧИСТ К3'!O11)*СПРАВОЧНИК!$L$13+('ФАКТ ЧИСТ К3'!P11)*СПРАВОЧНИК!$M$13+('ФАКТ ЧИСТ К3'!Q11)*СПРАВОЧНИК!$N$13)+СПРАВОЧНИК!$F$14*(('ФАКТ ЧИСТ К3'!R11)*СПРАВОЧНИК!$L$14+('ФАКТ ЧИСТ К3'!S11)*СПРАВОЧНИК!$M$14+('ФАКТ ЧИСТ К3'!T11)*СПРАВОЧНИК!$N$14)+СПРАВОЧНИК!$F$15*(('ФАКТ ЧИСТ К3'!U11)*СПРАВОЧНИК!$L$15+('ФАКТ ЧИСТ К3'!V11)*СПРАВОЧНИК!$M$15+('ФАКТ ЧИСТ К3'!W11)*СПРАВОЧНИК!$N$15)</f>
        <v>0</v>
      </c>
      <c r="BK20" s="18">
        <f t="shared" si="22"/>
        <v>46216</v>
      </c>
      <c r="BL20" s="37">
        <f>'ПЛАН ЧЕРН К3'!B11*СПРАВОЧНИК!$H$9+'ПЛАН ЧЕРН К3'!C11*СПРАВОЧНИК!$I$9+'ПЛАН ЧЕРН К3'!D11*СПРАВОЧНИК!$J$9+'ПЛАН ЧЕРН К3'!E11*СПРАВОЧНИК!$H$10+'ПЛАН ЧЕРН К3'!F11*СПРАВОЧНИК!$I$10+'ПЛАН ЧЕРН К3'!G11*СПРАВОЧНИК!$J$10+'ПЛАН ЧЕРН К3'!H11*СПРАВОЧНИК!$H$11+'ПЛАН ЧЕРН К3'!I11*СПРАВОЧНИК!$I$11+'ПЛАН ЧЕРН К3'!J11*СПРАВОЧНИК!$J$11+'ПЛАН ЧЕРН К3'!K11*СПРАВОЧНИК!$H$12+'ПЛАН ЧЕРН К3'!L11*СПРАВОЧНИК!$I$12+'ПЛАН ЧЕРН К3'!M11*СПРАВОЧНИК!$J$12+'ПЛАН ЧЕРН К3'!N11*СПРАВОЧНИК!$H$13+'ПЛАН ЧЕРН К3'!O11*СПРАВОЧНИК!$I$13+'ПЛАН ЧЕРН К3'!P11*СПРАВОЧНИК!$J$13+'ПЛАН ЧЕРН К3'!Q11*СПРАВОЧНИК!$H$14+'ПЛАН ЧЕРН К3'!R11*СПРАВОЧНИК!$I$14+'ПЛАН ЧЕРН К3'!S11*СПРАВОЧНИК!$J$14+'ПЛАН ЧЕРН К3'!T11*СПРАВОЧНИК!$H$15+'ПЛАН ЧЕРН К3'!U11*СПРАВОЧНИК!$I$15+'ПЛАН ЧЕРН К3'!V11*СПРАВОЧНИК!$J$15</f>
        <v>0</v>
      </c>
      <c r="BM20" s="40">
        <f>('ФАКТ ЧЕРН К3'!B11)*СПРАВОЧНИК!$H$9+('ФАКТ ЧЕРН К3'!C11)*СПРАВОЧНИК!$I$9+('ФАКТ ЧЕРН К3'!D11)*СПРАВОЧНИК!$J$9+('ФАКТ ЧЕРН К3'!E11)*СПРАВОЧНИК!$H$10+('ФАКТ ЧЕРН К3'!F11)*СПРАВОЧНИК!$I$10+('ФАКТ ЧЕРН К3'!G11)*СПРАВОЧНИК!$J$10+('ФАКТ ЧЕРН К3'!H11)*СПРАВОЧНИК!$H$11+('ФАКТ ЧЕРН К3'!I11)*СПРАВОЧНИК!$I$11+('ФАКТ ЧЕРН К3'!J11)*СПРАВОЧНИК!$J$11+('ФАКТ ЧЕРН К3'!K11)*СПРАВОЧНИК!$H$12+('ФАКТ ЧЕРН К3'!L11)*СПРАВОЧНИК!$I$12+('ФАКТ ЧЕРН К3'!M11)*СПРАВОЧНИК!$J$12+('ФАКТ ЧЕРН К3'!N11)*СПРАВОЧНИК!$H$13+('ФАКТ ЧЕРН К3'!O11)*СПРАВОЧНИК!$I$13+('ФАКТ ЧЕРН К3'!P11)*СПРАВОЧНИК!$J$13+('ФАКТ ЧЕРН К3'!Q11)*СПРАВОЧНИК!$H$14+('ФАКТ ЧЕРН К3'!R11)*СПРАВОЧНИК!$I$14+('ФАКТ ЧЕРН К3'!S11)*СПРАВОЧНИК!$J$14+('ФАКТ ЧЕРН К3'!T11)*СПРАВОЧНИК!$H$15+('ФАКТ ЧЕРН К3'!U11)*СПРАВОЧНИК!$I$15+('ФАКТ ЧЕРН К3'!V11)*СПРАВОЧНИК!$J$15</f>
        <v>0</v>
      </c>
      <c r="BQ20" s="18">
        <f t="shared" si="23"/>
        <v>46216</v>
      </c>
      <c r="BR20" s="37">
        <f>'ПЛАН ЧИСТ К3'!B11*СПРАВОЧНИК!$L$9+'ПЛАН ЧИСТ К3'!C11*СПРАВОЧНИК!$M$9+'ПЛАН ЧИСТ К3'!D11*СПРАВОЧНИК!$N$9+'ПЛАН ЧИСТ К3'!E11*СПРАВОЧНИК!$O$9+'ПЛАН ЧИСТ К3'!F11*СПРАВОЧНИК!$L$10+'ПЛАН ЧИСТ К3'!G11*СПРАВОЧНИК!$M$10+'ПЛАН ЧИСТ К3'!H11*СПРАВОЧНИК!$N$10+'ПЛАН ЧИСТ К3'!I11*СПРАВОЧНИК!$L$11+'ПЛАН ЧИСТ К3'!J11*СПРАВОЧНИК!$M$11+'ПЛАН ЧИСТ К3'!K11*СПРАВОЧНИК!$N$11+'ПЛАН ЧИСТ К3'!L11*СПРАВОЧНИК!$L$12+'ПЛАН ЧИСТ К3'!M11*СПРАВОЧНИК!$M$12+'ПЛАН ЧИСТ К3'!N11*СПРАВОЧНИК!$N$12+'ПЛАН ЧИСТ К3'!O11*СПРАВОЧНИК!$L$13+'ПЛАН ЧИСТ К3'!P11*СПРАВОЧНИК!$M$13+'ПЛАН ЧИСТ К3'!Q11*СПРАВОЧНИК!$N$13+'ПЛАН ЧИСТ К3'!R11*СПРАВОЧНИК!$L$14+'ПЛАН ЧИСТ К3'!S11*СПРАВОЧНИК!$M$14+'ПЛАН ЧИСТ К3'!T11*СПРАВОЧНИК!$N$14+'ПЛАН ЧИСТ К3'!U11*СПРАВОЧНИК!$L$15+'ПЛАН ЧИСТ К3'!V11*СПРАВОЧНИК!$M$15+'ПЛАН ЧИСТ К3'!W11*СПРАВОЧНИК!$N$15</f>
        <v>0</v>
      </c>
      <c r="BS20" s="40">
        <f>('ФАКТ ЧИСТ К3'!B11)*СПРАВОЧНИК!$L$9+('ФАКТ ЧИСТ К3'!C11)*СПРАВОЧНИК!$M$9+('ФАКТ ЧИСТ К3'!D11)*СПРАВОЧНИК!$N$9+('ФАКТ ЧИСТ К3'!E11)*СПРАВОЧНИК!$O$9+('ФАКТ ЧИСТ К3'!F11)*СПРАВОЧНИК!$L$10+('ФАКТ ЧИСТ К3'!G11)*СПРАВОЧНИК!$M$10+('ФАКТ ЧИСТ К3'!H11)*СПРАВОЧНИК!$N$10+('ФАКТ ЧИСТ К3'!I11)*СПРАВОЧНИК!$L$11+('ФАКТ ЧИСТ К3'!J11)*СПРАВОЧНИК!$M$11+('ФАКТ ЧИСТ К3'!K11)*СПРАВОЧНИК!$N$11+('ФАКТ ЧИСТ К3'!L11)*СПРАВОЧНИК!$L$12+('ФАКТ ЧИСТ К3'!M11)*СПРАВОЧНИК!$M$12+('ФАКТ ЧИСТ К3'!N11)*СПРАВОЧНИК!$N$12+('ФАКТ ЧИСТ К3'!O11)*СПРАВОЧНИК!$L$13+('ФАКТ ЧИСТ К3'!P11)*СПРАВОЧНИК!$M$13+('ФАКТ ЧИСТ К3'!Q11)*СПРАВОЧНИК!$N$13+('ФАКТ ЧИСТ К3'!R11)*СПРАВОЧНИК!$L$14+('ФАКТ ЧИСТ К3'!S11)*СПРАВОЧНИК!$M$14+('ФАКТ ЧИСТ К3'!T11)*СПРАВОЧНИК!$N$14+('ФАКТ ЧИСТ К3'!U11)*СПРАВОЧНИК!$L$15+('ФАКТ ЧИСТ К3'!V11)*СПРАВОЧНИК!$M$15+('ФАКТ ЧИСТ К3'!W11)*СПРАВОЧНИК!$N$15</f>
        <v>0</v>
      </c>
      <c r="BW20" s="18">
        <f t="shared" si="24"/>
        <v>46216</v>
      </c>
      <c r="BX20" s="37">
        <f t="shared" si="0"/>
        <v>0</v>
      </c>
      <c r="BY20" s="40">
        <f t="shared" si="1"/>
        <v>0</v>
      </c>
      <c r="CC20" s="18">
        <f t="shared" si="25"/>
        <v>46216</v>
      </c>
      <c r="CD20" s="37">
        <f t="shared" si="2"/>
        <v>0</v>
      </c>
      <c r="CE20" s="40">
        <f t="shared" si="3"/>
        <v>0</v>
      </c>
      <c r="CI20" s="18">
        <f t="shared" si="26"/>
        <v>46216</v>
      </c>
      <c r="CJ20" s="37">
        <f t="shared" si="4"/>
        <v>0</v>
      </c>
      <c r="CK20" s="40">
        <f t="shared" si="5"/>
        <v>0</v>
      </c>
      <c r="CO20" s="18">
        <f t="shared" si="27"/>
        <v>46216</v>
      </c>
      <c r="CP20" s="37">
        <f t="shared" si="6"/>
        <v>0</v>
      </c>
      <c r="CQ20" s="40">
        <f t="shared" si="7"/>
        <v>0</v>
      </c>
      <c r="CU20" s="18">
        <f t="shared" si="28"/>
        <v>46216</v>
      </c>
      <c r="CV20" s="37">
        <f t="shared" si="8"/>
        <v>0</v>
      </c>
      <c r="CW20" s="40">
        <f t="shared" si="9"/>
        <v>0</v>
      </c>
      <c r="DA20" s="18">
        <f t="shared" si="29"/>
        <v>46216</v>
      </c>
      <c r="DB20" s="37">
        <f t="shared" si="10"/>
        <v>0</v>
      </c>
      <c r="DC20" s="40">
        <f t="shared" si="11"/>
        <v>0</v>
      </c>
    </row>
    <row r="21" spans="3:107" x14ac:dyDescent="0.25">
      <c r="C21" s="18">
        <f t="shared" si="12"/>
        <v>46223</v>
      </c>
      <c r="D21" s="37">
        <f>СПРАВОЧНИК!$E$3*('ПЛАН ЧЕРН ПОДЗЕМ'!B12*СПРАВОЧНИК!$H$3+'ПЛАН ЧЕРН ПОДЗЕМ'!C12*СПРАВОЧНИК!$I$3+'ПЛАН ЧЕРН ПОДЗЕМ'!D12*СПРАВОЧНИК!$J$3)+СПРАВОЧНИК!$E$4*('ПЛАН ЧЕРН ПОДЗЕМ'!E12*СПРАВОЧНИК!$H$4+'ПЛАН ЧЕРН ПОДЗЕМ'!F12*СПРАВОЧНИК!$I$4+'ПЛАН ЧЕРН ПОДЗЕМ'!G12*СПРАВОЧНИК!$J$4)+СПРАВОЧНИК!$E$5*('ПЛАН ЧЕРН ПОДЗЕМ'!H12*СПРАВОЧНИК!$H$5+'ПЛАН ЧЕРН ПОДЗЕМ'!I12*СПРАВОЧНИК!$I$5+'ПЛАН ЧЕРН ПОДЗЕМ'!J12*СПРАВОЧНИК!$J$5)+СПРАВОЧНИК!$E$6*('ПЛАН ЧЕРН ПОДЗЕМ'!K12*СПРАВОЧНИК!$H$6+'ПЛАН ЧЕРН ПОДЗЕМ'!L12*СПРАВОЧНИК!$I$6+'ПЛАН ЧЕРН ПОДЗЕМ'!M12*СПРАВОЧНИК!$J$6)+СПРАВОЧНИК!$E$7*('ПЛАН ЧЕРН ПОДЗЕМ'!N12*СПРАВОЧНИК!$H$7+'ПЛАН ЧЕРН ПОДЗЕМ'!O12*СПРАВОЧНИК!$I$7+'ПЛАН ЧЕРН ПОДЗЕМ'!P12*СПРАВОЧНИК!$J$7)+СПРАВОЧНИК!$E$8*('ПЛАН ЧЕРН ПОДЗЕМ'!Q12*СПРАВОЧНИК!$H$8+'ПЛАН ЧЕРН ПОДЗЕМ'!R12*СПРАВОЧНИК!$I$8+'ПЛАН ЧЕРН ПОДЗЕМ'!S12*СПРАВОЧНИК!$J$8)+СПРАВОЧНИК!$F$3*('ПЛАН ЧИСТ ПОДЗЕМ'!B12*СПРАВОЧНИК!$L$3+'ПЛАН ЧИСТ ПОДЗЕМ'!C12*СПРАВОЧНИК!$M$3+'ПЛАН ЧИСТ ПОДЗЕМ'!D12*СПРАВОЧНИК!$N$3)+СПРАВОЧНИК!$F$4*('ПЛАН ЧИСТ ПОДЗЕМ'!E12*СПРАВОЧНИК!$L$4+'ПЛАН ЧИСТ ПОДЗЕМ'!F12*СПРАВОЧНИК!$M$4+'ПЛАН ЧИСТ ПОДЗЕМ'!G12*СПРАВОЧНИК!$N$4)+СПРАВОЧНИК!$F$5*('ПЛАН ЧИСТ ПОДЗЕМ'!H12*СПРАВОЧНИК!$L$5+'ПЛАН ЧИСТ ПОДЗЕМ'!I12*СПРАВОЧНИК!$M$5+'ПЛАН ЧИСТ ПОДЗЕМ'!J12*СПРАВОЧНИК!$N$5)+СПРАВОЧНИК!$F$6*('ПЛАН ЧИСТ ПОДЗЕМ'!K12*СПРАВОЧНИК!$L$6+'ПЛАН ЧИСТ ПОДЗЕМ'!L12*СПРАВОЧНИК!$M$6+'ПЛАН ЧИСТ ПОДЗЕМ'!M12*СПРАВОЧНИК!$N$6)+СПРАВОЧНИК!$F$7*('ПЛАН ЧИСТ ПОДЗЕМ'!N12*СПРАВОЧНИК!$L$7+'ПЛАН ЧИСТ ПОДЗЕМ'!O12*СПРАВОЧНИК!$M$7+'ПЛАН ЧИСТ ПОДЗЕМ'!P12*СПРАВОЧНИК!$N$7)+СПРАВОЧНИК!$F$8*('ПЛАН ЧИСТ ПОДЗЕМ'!Q12*СПРАВОЧНИК!$L$8+'ПЛАН ЧИСТ ПОДЗЕМ'!R12*СПРАВОЧНИК!$M$8+'ПЛАН ЧИСТ ПОДЗЕМ'!S12*СПРАВОЧНИК!$N$8)</f>
        <v>0</v>
      </c>
      <c r="E21" s="40">
        <f>СПРАВОЧНИК!$E$3*(('ФАКТ ЧЕРН ПОДЗЕМ'!B12)*СПРАВОЧНИК!$H$3+('ФАКТ ЧЕРН ПОДЗЕМ'!C12)*СПРАВОЧНИК!$I$3+('ФАКТ ЧЕРН ПОДЗЕМ'!D12)*СПРАВОЧНИК!$J$3)+СПРАВОЧНИК!$E$4*(('ФАКТ ЧЕРН ПОДЗЕМ'!E12)*СПРАВОЧНИК!$H$4+('ФАКТ ЧЕРН ПОДЗЕМ'!F12)*СПРАВОЧНИК!$I$4+('ФАКТ ЧЕРН ПОДЗЕМ'!G12)*СПРАВОЧНИК!$J$4)+СПРАВОЧНИК!$E$5*(('ФАКТ ЧЕРН ПОДЗЕМ'!H12)*СПРАВОЧНИК!$H$5+('ФАКТ ЧЕРН ПОДЗЕМ'!I12)*СПРАВОЧНИК!$I$5+('ФАКТ ЧЕРН ПОДЗЕМ'!J12)*СПРАВОЧНИК!$J$5)+СПРАВОЧНИК!$E$6*(('ФАКТ ЧЕРН ПОДЗЕМ'!K12)*СПРАВОЧНИК!$H$6+('ФАКТ ЧЕРН ПОДЗЕМ'!L12)*СПРАВОЧНИК!$I$6+('ФАКТ ЧЕРН ПОДЗЕМ'!M12)*СПРАВОЧНИК!$J$6)+СПРАВОЧНИК!$E$7*(('ФАКТ ЧЕРН ПОДЗЕМ'!N12)*СПРАВОЧНИК!$H$7+('ФАКТ ЧЕРН ПОДЗЕМ'!O12)*СПРАВОЧНИК!$I$7+('ФАКТ ЧЕРН ПОДЗЕМ'!P12)*СПРАВОЧНИК!$J$7)+СПРАВОЧНИК!$E$8*(('ФАКТ ЧЕРН ПОДЗЕМ'!Q12)*СПРАВОЧНИК!$H$8+('ФАКТ ЧЕРН ПОДЗЕМ'!R12)*СПРАВОЧНИК!$I$8+('ФАКТ ЧЕРН ПОДЗЕМ'!S12)*СПРАВОЧНИК!$J$8)+СПРАВОЧНИК!$F$3*(('ФАКТ ЧИСТ ПОДЗЕМ'!B12)*СПРАВОЧНИК!$L$3+('ФАКТ ЧИСТ ПОДЗЕМ'!C12)*СПРАВОЧНИК!$M$3+('ФАКТ ЧИСТ ПОДЗЕМ'!D12)*СПРАВОЧНИК!$N$3)+СПРАВОЧНИК!$F$4*(('ФАКТ ЧИСТ ПОДЗЕМ'!E12)*СПРАВОЧНИК!$L$4+('ФАКТ ЧИСТ ПОДЗЕМ'!F12)*СПРАВОЧНИК!$M$4+('ФАКТ ЧИСТ ПОДЗЕМ'!G12)*СПРАВОЧНИК!$N$4)+СПРАВОЧНИК!$F$5*(('ФАКТ ЧИСТ ПОДЗЕМ'!H12)*СПРАВОЧНИК!$L$5+('ФАКТ ЧИСТ ПОДЗЕМ'!I12)*СПРАВОЧНИК!$M$5+('ФАКТ ЧИСТ ПОДЗЕМ'!J12)*СПРАВОЧНИК!$N$5)+СПРАВОЧНИК!$F$6*(('ФАКТ ЧИСТ ПОДЗЕМ'!K12)*СПРАВОЧНИК!$L$6+('ФАКТ ЧИСТ ПОДЗЕМ'!L12)*СПРАВОЧНИК!$M$6+('ФАКТ ЧИСТ ПОДЗЕМ'!M12)*СПРАВОЧНИК!$N$6)+СПРАВОЧНИК!$F$7*(('ФАКТ ЧИСТ ПОДЗЕМ'!N12)*СПРАВОЧНИК!$L$7+('ФАКТ ЧИСТ ПОДЗЕМ'!O12)*СПРАВОЧНИК!$M$7+('ФАКТ ЧИСТ ПОДЗЕМ'!P12)*СПРАВОЧНИК!$N$7)+СПРАВОЧНИК!$F$8*(('ФАКТ ЧИСТ ПОДЗЕМ'!Q12)*СПРАВОЧНИК!$L$8+('ФАКТ ЧИСТ ПОДЗЕМ'!R12)*СПРАВОЧНИК!$M$8+('ФАКТ ЧИСТ ПОДЗЕМ'!S12)*СПРАВОЧНИК!$N$8)</f>
        <v>0</v>
      </c>
      <c r="I21" s="18">
        <f t="shared" si="13"/>
        <v>46223</v>
      </c>
      <c r="J21" s="37">
        <f>'ПЛАН ЧЕРН ПОДЗЕМ'!B12*СПРАВОЧНИК!$H$3+'ПЛАН ЧЕРН ПОДЗЕМ'!C12*СПРАВОЧНИК!$I$3+'ПЛАН ЧЕРН ПОДЗЕМ'!D12*СПРАВОЧНИК!$J$3+'ПЛАН ЧЕРН ПОДЗЕМ'!E12*СПРАВОЧНИК!$H$4+'ПЛАН ЧЕРН ПОДЗЕМ'!F12*СПРАВОЧНИК!$I$4+'ПЛАН ЧЕРН ПОДЗЕМ'!G12*СПРАВОЧНИК!$J$4+'ПЛАН ЧЕРН ПОДЗЕМ'!H12*СПРАВОЧНИК!$H$5+'ПЛАН ЧЕРН ПОДЗЕМ'!I12*СПРАВОЧНИК!$I$5+'ПЛАН ЧЕРН ПОДЗЕМ'!J12*СПРАВОЧНИК!$J$5+'ПЛАН ЧЕРН ПОДЗЕМ'!K12*СПРАВОЧНИК!$H$6+'ПЛАН ЧЕРН ПОДЗЕМ'!L12*СПРАВОЧНИК!$I$6+'ПЛАН ЧЕРН ПОДЗЕМ'!M12*СПРАВОЧНИК!$J$6+'ПЛАН ЧЕРН ПОДЗЕМ'!N12*СПРАВОЧНИК!$H$7+'ПЛАН ЧЕРН ПОДЗЕМ'!O12*СПРАВОЧНИК!$I$7+'ПЛАН ЧЕРН ПОДЗЕМ'!P12*СПРАВОЧНИК!$J$7+'ПЛАН ЧЕРН ПОДЗЕМ'!Q12*СПРАВОЧНИК!$H$8+'ПЛАН ЧЕРН ПОДЗЕМ'!R12*СПРАВОЧНИК!$I$8+'ПЛАН ЧЕРН ПОДЗЕМ'!S12*СПРАВОЧНИК!$J$8</f>
        <v>0</v>
      </c>
      <c r="K21" s="40">
        <f>('ФАКТ ЧЕРН ПОДЗЕМ'!B12)*СПРАВОЧНИК!$H$3+('ФАКТ ЧЕРН ПОДЗЕМ'!C12)*СПРАВОЧНИК!$I$3+('ФАКТ ЧЕРН ПОДЗЕМ'!D12)*СПРАВОЧНИК!$J$3+('ФАКТ ЧЕРН ПОДЗЕМ'!E12)*СПРАВОЧНИК!$H$4+('ФАКТ ЧЕРН ПОДЗЕМ'!F12)*СПРАВОЧНИК!$I$4+('ФАКТ ЧЕРН ПОДЗЕМ'!G12)*СПРАВОЧНИК!$J$4+('ФАКТ ЧЕРН ПОДЗЕМ'!H12)*СПРАВОЧНИК!$H$5+('ФАКТ ЧЕРН ПОДЗЕМ'!I12)*СПРАВОЧНИК!$I$5+('ФАКТ ЧЕРН ПОДЗЕМ'!J12)*СПРАВОЧНИК!$J$5+('ФАКТ ЧЕРН ПОДЗЕМ'!K12)*СПРАВОЧНИК!$H$6+('ФАКТ ЧЕРН ПОДЗЕМ'!L12)*СПРАВОЧНИК!$I$6+('ФАКТ ЧЕРН ПОДЗЕМ'!M12)*СПРАВОЧНИК!$J$6+('ФАКТ ЧЕРН ПОДЗЕМ'!N12)*СПРАВОЧНИК!$H$7+('ФАКТ ЧЕРН ПОДЗЕМ'!O12)*СПРАВОЧНИК!$I$7+('ФАКТ ЧЕРН ПОДЗЕМ'!P12)*СПРАВОЧНИК!$J$7+('ФАКТ ЧЕРН ПОДЗЕМ'!Q12)*СПРАВОЧНИК!$H$8+('ФАКТ ЧЕРН ПОДЗЕМ'!R12)*СПРАВОЧНИК!$I$8+('ФАКТ ЧЕРН ПОДЗЕМ'!S12)*СПРАВОЧНИК!$J$8</f>
        <v>0</v>
      </c>
      <c r="O21" s="18">
        <f t="shared" si="14"/>
        <v>46223</v>
      </c>
      <c r="P21" s="37">
        <f>'ПЛАН ЧИСТ ПОДЗЕМ'!B12*СПРАВОЧНИК!$L$3+'ПЛАН ЧИСТ ПОДЗЕМ'!C12*СПРАВОЧНИК!$M$3+'ПЛАН ЧИСТ ПОДЗЕМ'!D12*СПРАВОЧНИК!$N$3+'ПЛАН ЧИСТ ПОДЗЕМ'!E12*СПРАВОЧНИК!$L$4+'ПЛАН ЧИСТ ПОДЗЕМ'!F12*СПРАВОЧНИК!$M$4+'ПЛАН ЧИСТ ПОДЗЕМ'!G12*СПРАВОЧНИК!$N$4+'ПЛАН ЧИСТ ПОДЗЕМ'!H12*СПРАВОЧНИК!$L$5+'ПЛАН ЧИСТ ПОДЗЕМ'!I12*СПРАВОЧНИК!$M$5+'ПЛАН ЧИСТ ПОДЗЕМ'!J12*СПРАВОЧНИК!$N$5+'ПЛАН ЧИСТ ПОДЗЕМ'!K12*СПРАВОЧНИК!$L$6+'ПЛАН ЧИСТ ПОДЗЕМ'!L12*СПРАВОЧНИК!$M$6+'ПЛАН ЧИСТ ПОДЗЕМ'!M12*СПРАВОЧНИК!$N$6+'ПЛАН ЧИСТ ПОДЗЕМ'!N12*СПРАВОЧНИК!$L$7+'ПЛАН ЧИСТ ПОДЗЕМ'!O12*СПРАВОЧНИК!$M$7+'ПЛАН ЧИСТ ПОДЗЕМ'!P12*СПРАВОЧНИК!$N$7+'ПЛАН ЧИСТ ПОДЗЕМ'!Q12*СПРАВОЧНИК!$L$8+'ПЛАН ЧИСТ ПОДЗЕМ'!R12*СПРАВОЧНИК!$M$8+'ПЛАН ЧИСТ ПОДЗЕМ'!S12*СПРАВОЧНИК!$N$8</f>
        <v>0</v>
      </c>
      <c r="Q21" s="40">
        <f>('ФАКТ ЧИСТ ПОДЗЕМ'!B12)*СПРАВОЧНИК!$L$3+('ФАКТ ЧИСТ ПОДЗЕМ'!C12)*СПРАВОЧНИК!$M$3+('ФАКТ ЧИСТ ПОДЗЕМ'!D12)*СПРАВОЧНИК!$N$3+('ФАКТ ЧИСТ ПОДЗЕМ'!E12)*СПРАВОЧНИК!$L$4+('ФАКТ ЧИСТ ПОДЗЕМ'!F12)*СПРАВОЧНИК!$M$4+('ФАКТ ЧИСТ ПОДЗЕМ'!G12)*СПРАВОЧНИК!$N$4+('ФАКТ ЧИСТ ПОДЗЕМ'!H12)*СПРАВОЧНИК!$L$5+('ФАКТ ЧИСТ ПОДЗЕМ'!I12)*СПРАВОЧНИК!$M$5+('ФАКТ ЧИСТ ПОДЗЕМ'!J12)*СПРАВОЧНИК!$N$5+('ФАКТ ЧИСТ ПОДЗЕМ'!K12)*СПРАВОЧНИК!$L$6+('ФАКТ ЧИСТ ПОДЗЕМ'!L12)*СПРАВОЧНИК!$M$6+('ФАКТ ЧИСТ ПОДЗЕМ'!M12)*СПРАВОЧНИК!$N$6+('ФАКТ ЧИСТ ПОДЗЕМ'!N12)*СПРАВОЧНИК!$L$7+('ФАКТ ЧИСТ ПОДЗЕМ'!O12)*СПРАВОЧНИК!$M$7+('ФАКТ ЧИСТ ПОДЗЕМ'!P12)*СПРАВОЧНИК!$N$7+('ФАКТ ЧИСТ ПОДЗЕМ'!Q12)*СПРАВОЧНИК!$L$8+('ФАКТ ЧИСТ ПОДЗЕМ'!R12)*СПРАВОЧНИК!$M$8+('ФАКТ ЧИСТ ПОДЗЕМ'!S12)*СПРАВОЧНИК!$N$8</f>
        <v>0</v>
      </c>
      <c r="U21" s="18">
        <f t="shared" si="15"/>
        <v>46223</v>
      </c>
      <c r="V21" s="37">
        <f>СПРАВОЧНИК!$E$9*('ПЛАН ЧЕРН К1'!B12*СПРАВОЧНИК!$H$9+'ПЛАН ЧЕРН К1'!C12*СПРАВОЧНИК!$I$9+'ПЛАН ЧЕРН К1'!D12*СПРАВОЧНИК!$J$9)+СПРАВОЧНИК!$E$10*('ПЛАН ЧЕРН К1'!E12*СПРАВОЧНИК!$H$10+'ПЛАН ЧЕРН К1'!F12*СПРАВОЧНИК!$I$10+'ПЛАН ЧЕРН К1'!G12*СПРАВОЧНИК!$J$10)+СПРАВОЧНИК!$E$11*('ПЛАН ЧЕРН К1'!H12*СПРАВОЧНИК!$H$11+'ПЛАН ЧЕРН К1'!I12*СПРАВОЧНИК!$I$11+'ПЛАН ЧЕРН К1'!J12*СПРАВОЧНИК!$J$11)+СПРАВОЧНИК!$E$12*('ПЛАН ЧЕРН К1'!K12*СПРАВОЧНИК!$H$12+'ПЛАН ЧЕРН К1'!L12*СПРАВОЧНИК!$I$12+'ПЛАН ЧЕРН К1'!M12*СПРАВОЧНИК!$J$12)+СПРАВОЧНИК!$E$13*('ПЛАН ЧЕРН К1'!N12*СПРАВОЧНИК!$H$13+'ПЛАН ЧЕРН К1'!O12*СПРАВОЧНИК!$I$13+'ПЛАН ЧЕРН К1'!P12*СПРАВОЧНИК!$J$13)+СПРАВОЧНИК!$E$14*('ПЛАН ЧЕРН К1'!Q12*СПРАВОЧНИК!$H$14+'ПЛАН ЧЕРН К1'!R12*СПРАВОЧНИК!$I$14+'ПЛАН ЧЕРН К1'!S12*СПРАВОЧНИК!$J$14)+СПРАВОЧНИК!$E$15*('ПЛАН ЧЕРН К1'!T12*СПРАВОЧНИК!$H$15+'ПЛАН ЧЕРН К1'!U12*СПРАВОЧНИК!$I$15+'ПЛАН ЧЕРН К1'!V12*СПРАВОЧНИК!$J$15)+СПРАВОЧНИК!$F$9*('ПЛАН ЧИСТ К1'!B12*СПРАВОЧНИК!$L$9+'ПЛАН ЧИСТ К1'!C12*СПРАВОЧНИК!$M$9+'ПЛАН ЧИСТ К1'!D12*СПРАВОЧНИК!$N$9+'ПЛАН ЧИСТ К1'!E12*СПРАВОЧНИК!$O$9)+СПРАВОЧНИК!$F$10*('ПЛАН ЧИСТ К1'!F12*СПРАВОЧНИК!$L$10+'ПЛАН ЧИСТ К1'!G12*СПРАВОЧНИК!$M$10+'ПЛАН ЧИСТ К1'!H12*СПРАВОЧНИК!$N$10)+СПРАВОЧНИК!$F$11*('ПЛАН ЧИСТ К1'!I12*СПРАВОЧНИК!$L$11+'ПЛАН ЧИСТ К1'!J12*СПРАВОЧНИК!$M$11+'ПЛАН ЧИСТ К1'!K12*СПРАВОЧНИК!$N$11)+СПРАВОЧНИК!$F$12*('ПЛАН ЧИСТ К1'!L12*СПРАВОЧНИК!$L$12+'ПЛАН ЧИСТ К1'!M12*СПРАВОЧНИК!$M$12+'ПЛАН ЧИСТ К1'!N12*СПРАВОЧНИК!$N$12)+СПРАВОЧНИК!$F$13*('ПЛАН ЧИСТ К1'!O12*СПРАВОЧНИК!$L$13+'ПЛАН ЧИСТ К1'!P12*СПРАВОЧНИК!$M$13+'ПЛАН ЧИСТ К1'!Q12*СПРАВОЧНИК!$N$13)+СПРАВОЧНИК!$F$14*('ПЛАН ЧИСТ К1'!R12*СПРАВОЧНИК!$L$14+'ПЛАН ЧИСТ К1'!S12*СПРАВОЧНИК!$M$14+'ПЛАН ЧИСТ К1'!T12*СПРАВОЧНИК!$N$14)+СПРАВОЧНИК!$F$15*('ПЛАН ЧИСТ К1'!U12*СПРАВОЧНИК!$L$15+'ПЛАН ЧИСТ К1'!V12*СПРАВОЧНИК!$M$15+'ПЛАН ЧИСТ К1'!W12*СПРАВОЧНИК!$N$15)</f>
        <v>0</v>
      </c>
      <c r="W21" s="40">
        <f>СПРАВОЧНИК!$E$9*(('ФАКТ ЧЕРН К1'!B12)*СПРАВОЧНИК!$H$9+('ФАКТ ЧЕРН К1'!C12)*СПРАВОЧНИК!$I$9+('ФАКТ ЧЕРН К1'!D12)*СПРАВОЧНИК!$J$9)+СПРАВОЧНИК!$E$10*(('ФАКТ ЧЕРН К1'!E12)*СПРАВОЧНИК!$H$10+('ФАКТ ЧЕРН К1'!F12)*СПРАВОЧНИК!$I$10+('ФАКТ ЧЕРН К1'!G12)*СПРАВОЧНИК!$J$10)+СПРАВОЧНИК!$E$11*(('ФАКТ ЧЕРН К1'!H12)*СПРАВОЧНИК!$H$11+('ФАКТ ЧЕРН К1'!I12)*СПРАВОЧНИК!$I$11+('ФАКТ ЧЕРН К1'!J12)*СПРАВОЧНИК!$J$11)+СПРАВОЧНИК!$E$12*(('ФАКТ ЧЕРН К1'!K12)*СПРАВОЧНИК!$H$12+('ФАКТ ЧЕРН К1'!L12)*СПРАВОЧНИК!$I$12+('ФАКТ ЧЕРН К1'!M12)*СПРАВОЧНИК!$J$12)+СПРАВОЧНИК!$E$13*(('ФАКТ ЧЕРН К1'!N12)*СПРАВОЧНИК!$H$13+('ФАКТ ЧЕРН К1'!O12)*СПРАВОЧНИК!$I$13+('ФАКТ ЧЕРН К1'!P12)*СПРАВОЧНИК!$J$13)+СПРАВОЧНИК!$E$14*(('ФАКТ ЧЕРН К1'!Q12)*СПРАВОЧНИК!$H$14+('ФАКТ ЧЕРН К1'!R12)*СПРАВОЧНИК!$I$14+('ФАКТ ЧЕРН К1'!S12)*СПРАВОЧНИК!$J$14)+СПРАВОЧНИК!$E$15*(('ФАКТ ЧЕРН К1'!T12)*СПРАВОЧНИК!$H$15+('ФАКТ ЧЕРН К1'!U12)*СПРАВОЧНИК!$I$15+('ФАКТ ЧЕРН К1'!V12)*СПРАВОЧНИК!$J$15)+СПРАВОЧНИК!$F$9*(('ФАКТ ЧИСТ К1'!B12)*СПРАВОЧНИК!$L$9+('ФАКТ ЧИСТ К1'!C12)*СПРАВОЧНИК!$M$9+('ФАКТ ЧИСТ К1'!D12)*СПРАВОЧНИК!$N$9+('ФАКТ ЧИСТ К1'!E12)*СПРАВОЧНИК!$O$9)+СПРАВОЧНИК!$F$10*(('ФАКТ ЧИСТ К1'!F12)*СПРАВОЧНИК!$L$10+('ФАКТ ЧИСТ К1'!G12)*СПРАВОЧНИК!$M$10+('ФАКТ ЧИСТ К1'!H12)*СПРАВОЧНИК!$N$10)+СПРАВОЧНИК!$F$11*(('ФАКТ ЧИСТ К1'!I12)*СПРАВОЧНИК!$L$11+('ФАКТ ЧИСТ К1'!J12)*СПРАВОЧНИК!$M$11+('ФАКТ ЧИСТ К1'!K12)*СПРАВОЧНИК!$N$11)+СПРАВОЧНИК!$F$12*(('ФАКТ ЧИСТ К1'!L12)*СПРАВОЧНИК!$L$12+('ФАКТ ЧИСТ К1'!M12)*СПРАВОЧНИК!$M$12+('ФАКТ ЧИСТ К1'!N12)*СПРАВОЧНИК!$N$12)+СПРАВОЧНИК!$F$13*(('ФАКТ ЧИСТ К1'!O12)*СПРАВОЧНИК!$L$13+('ФАКТ ЧИСТ К1'!P12)*СПРАВОЧНИК!$M$13+('ФАКТ ЧИСТ К1'!Q12)*СПРАВОЧНИК!$N$13)+СПРАВОЧНИК!$F$14*(('ФАКТ ЧИСТ К1'!R12)*СПРАВОЧНИК!$L$14+('ФАКТ ЧИСТ К1'!S12)*СПРАВОЧНИК!$M$14+('ФАКТ ЧИСТ К1'!T12)*СПРАВОЧНИК!$N$14)+СПРАВОЧНИК!$F$15*(('ФАКТ ЧИСТ К1'!U12)*СПРАВОЧНИК!$L$15+('ФАКТ ЧИСТ К1'!V12)*СПРАВОЧНИК!$M$15+('ФАКТ ЧИСТ К1'!W12)*СПРАВОЧНИК!$N$15)</f>
        <v>0</v>
      </c>
      <c r="AA21" s="18">
        <f t="shared" si="16"/>
        <v>46223</v>
      </c>
      <c r="AB21" s="37">
        <f>'ПЛАН ЧЕРН К1'!B12*СПРАВОЧНИК!$H$9+'ПЛАН ЧЕРН К1'!C12*СПРАВОЧНИК!$I$9+'ПЛАН ЧЕРН К1'!D12*СПРАВОЧНИК!$J$9+'ПЛАН ЧЕРН К1'!E12*СПРАВОЧНИК!$H$10+'ПЛАН ЧЕРН К1'!F12*СПРАВОЧНИК!$I$10+'ПЛАН ЧЕРН К1'!G12*СПРАВОЧНИК!$J$10+'ПЛАН ЧЕРН К1'!H12*СПРАВОЧНИК!$H$11+'ПЛАН ЧЕРН К1'!I12*СПРАВОЧНИК!$I$11+'ПЛАН ЧЕРН К1'!J12*СПРАВОЧНИК!$J$11+'ПЛАН ЧЕРН К1'!K12*СПРАВОЧНИК!$H$12+'ПЛАН ЧЕРН К1'!L12*СПРАВОЧНИК!$I$12+'ПЛАН ЧЕРН К1'!M12*СПРАВОЧНИК!$J$12+'ПЛАН ЧЕРН К1'!N12*СПРАВОЧНИК!$H$13+'ПЛАН ЧЕРН К1'!O12*СПРАВОЧНИК!$I$13+'ПЛАН ЧЕРН К1'!P12*СПРАВОЧНИК!$J$13+'ПЛАН ЧЕРН К1'!Q12*СПРАВОЧНИК!$H$14+'ПЛАН ЧЕРН К1'!R12*СПРАВОЧНИК!$I$14+'ПЛАН ЧЕРН К1'!S12*СПРАВОЧНИК!$J$14+'ПЛАН ЧЕРН К1'!T12*СПРАВОЧНИК!$H$15+'ПЛАН ЧЕРН К1'!U12*СПРАВОЧНИК!$I$15+'ПЛАН ЧЕРН К1'!V12*СПРАВОЧНИК!$J$15</f>
        <v>0</v>
      </c>
      <c r="AC21" s="40">
        <f>('ФАКТ ЧЕРН К1'!B12)*СПРАВОЧНИК!$H$9+('ФАКТ ЧЕРН К1'!C12)*СПРАВОЧНИК!$I$9+('ФАКТ ЧЕРН К1'!D12)*СПРАВОЧНИК!$J$9+('ФАКТ ЧЕРН К1'!E12)*СПРАВОЧНИК!$H$10+('ФАКТ ЧЕРН К1'!F12)*СПРАВОЧНИК!$I$10+('ФАКТ ЧЕРН К1'!G12)*СПРАВОЧНИК!$J$10+('ФАКТ ЧЕРН К1'!H12)*СПРАВОЧНИК!$H$11+('ФАКТ ЧЕРН К1'!I12)*СПРАВОЧНИК!$I$11+('ФАКТ ЧЕРН К1'!J12)*СПРАВОЧНИК!$J$11+('ФАКТ ЧЕРН К1'!K12)*СПРАВОЧНИК!$H$12+('ФАКТ ЧЕРН К1'!L12)*СПРАВОЧНИК!$I$12+('ФАКТ ЧЕРН К1'!M12)*СПРАВОЧНИК!$J$12+('ФАКТ ЧЕРН К1'!N12)*СПРАВОЧНИК!$H$13+('ФАКТ ЧЕРН К1'!O12)*СПРАВОЧНИК!$I$13+('ФАКТ ЧЕРН К1'!P12)*СПРАВОЧНИК!$J$13+('ФАКТ ЧЕРН К1'!Q12)*СПРАВОЧНИК!$H$14+('ФАКТ ЧЕРН К1'!R12)*СПРАВОЧНИК!$I$14+('ФАКТ ЧЕРН К1'!S12)*СПРАВОЧНИК!$J$14+('ФАКТ ЧЕРН К1'!T12)*СПРАВОЧНИК!$H$15+('ФАКТ ЧЕРН К1'!U12)*СПРАВОЧНИК!$I$15+('ФАКТ ЧЕРН К1'!V12)*СПРАВОЧНИК!$J$15</f>
        <v>0</v>
      </c>
      <c r="AG21" s="18">
        <f t="shared" si="17"/>
        <v>46223</v>
      </c>
      <c r="AH21" s="37">
        <f>'ПЛАН ЧИСТ К1'!B12*СПРАВОЧНИК!$L$9+'ПЛАН ЧИСТ К1'!C12*СПРАВОЧНИК!$M$9+'ПЛАН ЧИСТ К1'!D12*СПРАВОЧНИК!$N$9+'ПЛАН ЧИСТ К1'!E12*СПРАВОЧНИК!$O$9+'ПЛАН ЧИСТ К1'!F12*СПРАВОЧНИК!$L$10+'ПЛАН ЧИСТ К1'!G12*СПРАВОЧНИК!$M$10+'ПЛАН ЧИСТ К1'!H12*СПРАВОЧНИК!$N$10+'ПЛАН ЧИСТ К1'!I12*СПРАВОЧНИК!$L$11+'ПЛАН ЧИСТ К1'!J12*СПРАВОЧНИК!$M$11+'ПЛАН ЧИСТ К1'!K12*СПРАВОЧНИК!$N$11+'ПЛАН ЧИСТ К1'!L12*СПРАВОЧНИК!$L$12+'ПЛАН ЧИСТ К1'!M12*СПРАВОЧНИК!$M$12+'ПЛАН ЧИСТ К1'!N12*СПРАВОЧНИК!$N$12+'ПЛАН ЧИСТ К1'!O12*СПРАВОЧНИК!$L$13+'ПЛАН ЧИСТ К1'!P12*СПРАВОЧНИК!$M$13+'ПЛАН ЧИСТ К1'!Q12*СПРАВОЧНИК!$N$13+'ПЛАН ЧИСТ К1'!R12*СПРАВОЧНИК!$L$14+'ПЛАН ЧИСТ К1'!S12*СПРАВОЧНИК!$M$14+'ПЛАН ЧИСТ К1'!T12*СПРАВОЧНИК!$N$14+'ПЛАН ЧИСТ К1'!U12*СПРАВОЧНИК!$L$15+'ПЛАН ЧИСТ К1'!V12*СПРАВОЧНИК!$M$15+'ПЛАН ЧИСТ К1'!W12*СПРАВОЧНИК!$N$15</f>
        <v>0</v>
      </c>
      <c r="AI21" s="40">
        <f>('ФАКТ ЧИСТ К1'!B12)*СПРАВОЧНИК!$L$9+('ФАКТ ЧИСТ К1'!C12)*СПРАВОЧНИК!$M$9+('ФАКТ ЧИСТ К1'!D12)*СПРАВОЧНИК!$N$9+('ФАКТ ЧИСТ К1'!E12)*СПРАВОЧНИК!$O$9+('ФАКТ ЧИСТ К1'!F12)*СПРАВОЧНИК!$L$10+('ФАКТ ЧИСТ К1'!G12)*СПРАВОЧНИК!$M$10+('ФАКТ ЧИСТ К1'!H12)*СПРАВОЧНИК!$N$10+('ФАКТ ЧИСТ К1'!I12)*СПРАВОЧНИК!$L$11+('ФАКТ ЧИСТ К1'!J12)*СПРАВОЧНИК!$M$11+('ФАКТ ЧИСТ К1'!K12)*СПРАВОЧНИК!$N$11+('ФАКТ ЧИСТ К1'!L12)*СПРАВОЧНИК!$L$12+('ФАКТ ЧИСТ К1'!M12)*СПРАВОЧНИК!$M$12+('ФАКТ ЧИСТ К1'!N12)*СПРАВОЧНИК!$N$12+('ФАКТ ЧИСТ К1'!O12)*СПРАВОЧНИК!$L$13+('ФАКТ ЧИСТ К1'!P12)*СПРАВОЧНИК!$M$13+('ФАКТ ЧИСТ К1'!Q12)*СПРАВОЧНИК!$N$13+('ФАКТ ЧИСТ К1'!R12)*СПРАВОЧНИК!$L$14+('ФАКТ ЧИСТ К1'!S12)*СПРАВОЧНИК!$M$14+('ФАКТ ЧИСТ К1'!T12)*СПРАВОЧНИК!$N$14+('ФАКТ ЧИСТ К1'!U12)*СПРАВОЧНИК!$L$15+('ФАКТ ЧИСТ К1'!V12)*СПРАВОЧНИК!$M$15+('ФАКТ ЧИСТ К1'!W12)*СПРАВОЧНИК!$N$15</f>
        <v>0</v>
      </c>
      <c r="AM21" s="18">
        <f t="shared" si="18"/>
        <v>46223</v>
      </c>
      <c r="AN21" s="37">
        <f>СПРАВОЧНИК!$E$9*('ПЛАН ЧЕРН К2'!B12*СПРАВОЧНИК!$H$9+'ПЛАН ЧЕРН К2'!C12*СПРАВОЧНИК!$I$9+'ПЛАН ЧЕРН К2'!D12*СПРАВОЧНИК!$J$9)+СПРАВОЧНИК!$E$10*('ПЛАН ЧЕРН К2'!E12*СПРАВОЧНИК!$H$10+'ПЛАН ЧЕРН К2'!F12*СПРАВОЧНИК!$I$10+'ПЛАН ЧЕРН К2'!G12*СПРАВОЧНИК!$J$10)+СПРАВОЧНИК!$E$11*('ПЛАН ЧЕРН К2'!H12*СПРАВОЧНИК!$H$11+'ПЛАН ЧЕРН К2'!I12*СПРАВОЧНИК!$I$11+'ПЛАН ЧЕРН К2'!J12*СПРАВОЧНИК!$J$11)+СПРАВОЧНИК!$E$12*('ПЛАН ЧЕРН К2'!K12*СПРАВОЧНИК!$H$12+'ПЛАН ЧЕРН К2'!L12*СПРАВОЧНИК!$I$12+'ПЛАН ЧЕРН К2'!M12*СПРАВОЧНИК!$J$12)+СПРАВОЧНИК!$E$13*('ПЛАН ЧЕРН К2'!N12*СПРАВОЧНИК!$H$13+'ПЛАН ЧЕРН К2'!O12*СПРАВОЧНИК!$I$13+'ПЛАН ЧЕРН К2'!P12*СПРАВОЧНИК!$J$13)+СПРАВОЧНИК!$E$14*('ПЛАН ЧЕРН К2'!Q12*СПРАВОЧНИК!$H$14+'ПЛАН ЧЕРН К2'!R12*СПРАВОЧНИК!$I$14+'ПЛАН ЧЕРН К2'!S12*СПРАВОЧНИК!$J$14)+СПРАВОЧНИК!$E$15*('ПЛАН ЧЕРН К2'!T12*СПРАВОЧНИК!$H$15+'ПЛАН ЧЕРН К2'!U12*СПРАВОЧНИК!$I$15+'ПЛАН ЧЕРН К2'!V12*СПРАВОЧНИК!$J$15)+СПРАВОЧНИК!$F$9*('ПЛАН ЧИСТ К2'!B12*СПРАВОЧНИК!$L$9+'ПЛАН ЧИСТ К2'!C12*СПРАВОЧНИК!$M$9+'ПЛАН ЧИСТ К2'!D12*СПРАВОЧНИК!$N$9+'ПЛАН ЧИСТ К2'!E12*СПРАВОЧНИК!$O$9)+СПРАВОЧНИК!$F$10*('ПЛАН ЧИСТ К2'!F12*СПРАВОЧНИК!$L$10+'ПЛАН ЧИСТ К2'!G12*СПРАВОЧНИК!$M$10+'ПЛАН ЧИСТ К2'!H12*СПРАВОЧНИК!$N$10)+СПРАВОЧНИК!$F$11*('ПЛАН ЧИСТ К2'!I12*СПРАВОЧНИК!$L$11+'ПЛАН ЧИСТ К2'!J12*СПРАВОЧНИК!$M$11+'ПЛАН ЧИСТ К2'!K12*СПРАВОЧНИК!$N$11)+СПРАВОЧНИК!$F$12*('ПЛАН ЧИСТ К2'!L12*СПРАВОЧНИК!$L$12+'ПЛАН ЧИСТ К2'!M12*СПРАВОЧНИК!$M$12+'ПЛАН ЧИСТ К2'!N12*СПРАВОЧНИК!$N$12)+СПРАВОЧНИК!$F$13*('ПЛАН ЧИСТ К2'!O12*СПРАВОЧНИК!$L$13+'ПЛАН ЧИСТ К2'!P12*СПРАВОЧНИК!$M$13+'ПЛАН ЧИСТ К2'!Q12*СПРАВОЧНИК!$N$13)+СПРАВОЧНИК!$F$14*('ПЛАН ЧИСТ К2'!R12*СПРАВОЧНИК!$L$14+'ПЛАН ЧИСТ К2'!S12*СПРАВОЧНИК!$M$14+'ПЛАН ЧИСТ К2'!T12*СПРАВОЧНИК!$N$14)+СПРАВОЧНИК!$F$15*('ПЛАН ЧИСТ К2'!U12*СПРАВОЧНИК!$L$15+'ПЛАН ЧИСТ К2'!V12*СПРАВОЧНИК!$M$15+'ПЛАН ЧИСТ К2'!W12*СПРАВОЧНИК!$N$15)</f>
        <v>0</v>
      </c>
      <c r="AO21" s="40">
        <f>СПРАВОЧНИК!$E$9*(('ФАКТ ЧЕРН К2'!B12)*СПРАВОЧНИК!$H$9+('ФАКТ ЧЕРН К2'!C12)*СПРАВОЧНИК!$I$9+('ФАКТ ЧЕРН К2'!D12)*СПРАВОЧНИК!$J$9)+СПРАВОЧНИК!$E$10*(('ФАКТ ЧЕРН К2'!E12)*СПРАВОЧНИК!$H$10+('ФАКТ ЧЕРН К2'!F12)*СПРАВОЧНИК!$I$10+('ФАКТ ЧЕРН К2'!G12)*СПРАВОЧНИК!$J$10)+СПРАВОЧНИК!$E$11*(('ФАКТ ЧЕРН К2'!H12)*СПРАВОЧНИК!$H$11+('ФАКТ ЧЕРН К2'!I12)*СПРАВОЧНИК!$I$11+('ФАКТ ЧЕРН К2'!J12)*СПРАВОЧНИК!$J$11)+СПРАВОЧНИК!$E$12*(('ФАКТ ЧЕРН К2'!K12)*СПРАВОЧНИК!$H$12+('ФАКТ ЧЕРН К2'!L12)*СПРАВОЧНИК!$I$12+('ФАКТ ЧЕРН К2'!M12)*СПРАВОЧНИК!$J$12)+СПРАВОЧНИК!$E$13*(('ФАКТ ЧЕРН К2'!N12)*СПРАВОЧНИК!$H$13+('ФАКТ ЧЕРН К2'!O12)*СПРАВОЧНИК!$I$13+('ФАКТ ЧЕРН К2'!P12)*СПРАВОЧНИК!$J$13)+СПРАВОЧНИК!$E$14*(('ФАКТ ЧЕРН К2'!Q12)*СПРАВОЧНИК!$H$14+('ФАКТ ЧЕРН К2'!R12)*СПРАВОЧНИК!$I$14+('ФАКТ ЧЕРН К2'!S12)*СПРАВОЧНИК!$J$14)+СПРАВОЧНИК!$E$15*(('ФАКТ ЧЕРН К2'!T12)*СПРАВОЧНИК!$H$15+('ФАКТ ЧЕРН К2'!U12)*СПРАВОЧНИК!$I$15+('ФАКТ ЧЕРН К2'!V12)*СПРАВОЧНИК!$J$15)+СПРАВОЧНИК!$F$9*(('ФАКТ ЧИСТ К2'!B12)*СПРАВОЧНИК!$L$9+('ФАКТ ЧИСТ К2'!C12)*СПРАВОЧНИК!$M$9+('ФАКТ ЧИСТ К2'!D12)*СПРАВОЧНИК!$N$9+('ФАКТ ЧИСТ К2'!E12)*СПРАВОЧНИК!$O$9)+СПРАВОЧНИК!$F$10*(('ФАКТ ЧИСТ К2'!F12)*СПРАВОЧНИК!$L$10+('ФАКТ ЧИСТ К2'!G12)*СПРАВОЧНИК!$M$10+('ФАКТ ЧИСТ К2'!H12)*СПРАВОЧНИК!$N$10)+СПРАВОЧНИК!$F$11*(('ФАКТ ЧИСТ К2'!I12)*СПРАВОЧНИК!$L$11+('ФАКТ ЧИСТ К2'!J12)*СПРАВОЧНИК!$M$11+('ФАКТ ЧИСТ К2'!K12)*СПРАВОЧНИК!$N$11)+СПРАВОЧНИК!$F$12*(('ФАКТ ЧИСТ К2'!L12)*СПРАВОЧНИК!$L$12+('ФАКТ ЧИСТ К2'!M12)*СПРАВОЧНИК!$M$12+('ФАКТ ЧИСТ К2'!N12)*СПРАВОЧНИК!$N$12)+СПРАВОЧНИК!$F$13*(('ФАКТ ЧИСТ К2'!O12)*СПРАВОЧНИК!$L$13+('ФАКТ ЧИСТ К2'!P12)*СПРАВОЧНИК!$M$13+('ФАКТ ЧИСТ К2'!Q12)*СПРАВОЧНИК!$N$13)+СПРАВОЧНИК!$F$14*(('ФАКТ ЧИСТ К2'!R12)*СПРАВОЧНИК!$L$14+('ФАКТ ЧИСТ К2'!S12)*СПРАВОЧНИК!$M$14+('ФАКТ ЧИСТ К2'!T12)*СПРАВОЧНИК!$N$14)+СПРАВОЧНИК!$F$15*(('ФАКТ ЧИСТ К2'!U12)*СПРАВОЧНИК!$L$15+('ФАКТ ЧИСТ К2'!V12)*СПРАВОЧНИК!$M$15+('ФАКТ ЧИСТ К2'!W12)*СПРАВОЧНИК!$N$15)</f>
        <v>0</v>
      </c>
      <c r="AS21" s="18">
        <f t="shared" si="19"/>
        <v>46223</v>
      </c>
      <c r="AT21" s="37">
        <f>'ПЛАН ЧЕРН К2'!B12*СПРАВОЧНИК!$H$9+'ПЛАН ЧЕРН К2'!C12*СПРАВОЧНИК!$I$9+'ПЛАН ЧЕРН К2'!D12*СПРАВОЧНИК!$J$9+'ПЛАН ЧЕРН К2'!E12*СПРАВОЧНИК!$H$10+'ПЛАН ЧЕРН К2'!F12*СПРАВОЧНИК!$I$10+'ПЛАН ЧЕРН К2'!G12*СПРАВОЧНИК!$J$10+'ПЛАН ЧЕРН К2'!H12*СПРАВОЧНИК!$H$11+'ПЛАН ЧЕРН К2'!I12*СПРАВОЧНИК!$I$11+'ПЛАН ЧЕРН К2'!J12*СПРАВОЧНИК!$J$11+'ПЛАН ЧЕРН К2'!K12*СПРАВОЧНИК!$H$12+'ПЛАН ЧЕРН К2'!L12*СПРАВОЧНИК!$I$12+'ПЛАН ЧЕРН К2'!M12*СПРАВОЧНИК!$J$12+'ПЛАН ЧЕРН К2'!N12*СПРАВОЧНИК!$H$13+'ПЛАН ЧЕРН К2'!O12*СПРАВОЧНИК!$I$13+'ПЛАН ЧЕРН К2'!P12*СПРАВОЧНИК!$J$13+'ПЛАН ЧЕРН К2'!Q12*СПРАВОЧНИК!$H$14+'ПЛАН ЧЕРН К2'!R12*СПРАВОЧНИК!$I$14+'ПЛАН ЧЕРН К2'!S12*СПРАВОЧНИК!$J$14+'ПЛАН ЧЕРН К2'!T12*СПРАВОЧНИК!$H$15+'ПЛАН ЧЕРН К2'!U12*СПРАВОЧНИК!$I$15+'ПЛАН ЧЕРН К2'!V12*СПРАВОЧНИК!$J$15</f>
        <v>0</v>
      </c>
      <c r="AU21" s="40">
        <f>('ФАКТ ЧЕРН К2'!B12)*СПРАВОЧНИК!$H$9+('ФАКТ ЧЕРН К2'!C12)*СПРАВОЧНИК!$I$9+('ФАКТ ЧЕРН К2'!D12)*СПРАВОЧНИК!$J$9+('ФАКТ ЧЕРН К2'!E12)*СПРАВОЧНИК!$H$10+('ФАКТ ЧЕРН К2'!F12)*СПРАВОЧНИК!$I$10+('ФАКТ ЧЕРН К2'!G12)*СПРАВОЧНИК!$J$10+('ФАКТ ЧЕРН К2'!H12)*СПРАВОЧНИК!$H$11+('ФАКТ ЧЕРН К2'!I12)*СПРАВОЧНИК!$I$11+('ФАКТ ЧЕРН К2'!J12)*СПРАВОЧНИК!$J$11+('ФАКТ ЧЕРН К2'!K12)*СПРАВОЧНИК!$H$12+('ФАКТ ЧЕРН К2'!L12)*СПРАВОЧНИК!$I$12+('ФАКТ ЧЕРН К2'!M12)*СПРАВОЧНИК!$J$12+('ФАКТ ЧЕРН К2'!N12)*СПРАВОЧНИК!$H$13+('ФАКТ ЧЕРН К2'!O12)*СПРАВОЧНИК!$I$13+('ФАКТ ЧЕРН К2'!P12)*СПРАВОЧНИК!$J$13+('ФАКТ ЧЕРН К2'!Q12)*СПРАВОЧНИК!$H$14+('ФАКТ ЧЕРН К2'!R12)*СПРАВОЧНИК!$I$14+('ФАКТ ЧЕРН К2'!S12)*СПРАВОЧНИК!$J$14+('ФАКТ ЧЕРН К2'!T12)*СПРАВОЧНИК!$H$15+('ФАКТ ЧЕРН К2'!U12)*СПРАВОЧНИК!$I$15+('ФАКТ ЧЕРН К2'!V12)*СПРАВОЧНИК!$J$15</f>
        <v>0</v>
      </c>
      <c r="AY21" s="18">
        <f t="shared" si="20"/>
        <v>46223</v>
      </c>
      <c r="AZ21" s="37">
        <f>'ПЛАН ЧИСТ К2'!B12*СПРАВОЧНИК!$L$9+'ПЛАН ЧИСТ К2'!C12*СПРАВОЧНИК!$M$9+'ПЛАН ЧИСТ К2'!D12*СПРАВОЧНИК!$N$9+'ПЛАН ЧИСТ К2'!E12*СПРАВОЧНИК!$O$9+'ПЛАН ЧИСТ К2'!F12*СПРАВОЧНИК!$L$10+'ПЛАН ЧИСТ К2'!G12*СПРАВОЧНИК!$M$10+'ПЛАН ЧИСТ К2'!H12*СПРАВОЧНИК!$N$10+'ПЛАН ЧИСТ К2'!I12*СПРАВОЧНИК!$L$11+'ПЛАН ЧИСТ К2'!J12*СПРАВОЧНИК!$M$11+'ПЛАН ЧИСТ К2'!K12*СПРАВОЧНИК!$N$11+'ПЛАН ЧИСТ К2'!L12*СПРАВОЧНИК!$L$12+'ПЛАН ЧИСТ К2'!M12*СПРАВОЧНИК!$M$12+'ПЛАН ЧИСТ К2'!N12*СПРАВОЧНИК!$N$12+'ПЛАН ЧИСТ К2'!O12*СПРАВОЧНИК!$L$13+'ПЛАН ЧИСТ К2'!P12*СПРАВОЧНИК!$M$13+'ПЛАН ЧИСТ К2'!Q12*СПРАВОЧНИК!$N$13+'ПЛАН ЧИСТ К2'!R12*СПРАВОЧНИК!$L$14+'ПЛАН ЧИСТ К2'!S12*СПРАВОЧНИК!$M$14+'ПЛАН ЧИСТ К2'!T12*СПРАВОЧНИК!$N$14+'ПЛАН ЧИСТ К2'!U12*СПРАВОЧНИК!$L$15+'ПЛАН ЧИСТ К2'!V12*СПРАВОЧНИК!$M$15+'ПЛАН ЧИСТ К2'!W12*СПРАВОЧНИК!$N$15</f>
        <v>0</v>
      </c>
      <c r="BA21" s="40">
        <f>('ФАКТ ЧИСТ К2'!B12)*СПРАВОЧНИК!$L$9+('ФАКТ ЧИСТ К2'!C12)*СПРАВОЧНИК!$M$9+('ФАКТ ЧИСТ К2'!D12)*СПРАВОЧНИК!$N$9+('ФАКТ ЧИСТ К2'!E12)*СПРАВОЧНИК!$O$9+('ФАКТ ЧИСТ К2'!F12)*СПРАВОЧНИК!$L$10+('ФАКТ ЧИСТ К2'!G12)*СПРАВОЧНИК!$M$10+('ФАКТ ЧИСТ К2'!H12)*СПРАВОЧНИК!$N$10+('ФАКТ ЧИСТ К2'!I12)*СПРАВОЧНИК!$L$11+('ФАКТ ЧИСТ К2'!J12)*СПРАВОЧНИК!$M$11+('ФАКТ ЧИСТ К2'!K12)*СПРАВОЧНИК!$N$11+('ФАКТ ЧИСТ К2'!L12)*СПРАВОЧНИК!$L$12+('ФАКТ ЧИСТ К2'!M12)*СПРАВОЧНИК!$M$12+('ФАКТ ЧИСТ К2'!N12)*СПРАВОЧНИК!$N$12+('ФАКТ ЧИСТ К2'!O12)*СПРАВОЧНИК!$L$13+('ФАКТ ЧИСТ К2'!P12)*СПРАВОЧНИК!$M$13+('ФАКТ ЧИСТ К2'!Q12)*СПРАВОЧНИК!$N$13+('ФАКТ ЧИСТ К2'!R12)*СПРАВОЧНИК!$L$14+('ФАКТ ЧИСТ К2'!S12)*СПРАВОЧНИК!$M$14+('ФАКТ ЧИСТ К2'!T12)*СПРАВОЧНИК!$N$14+('ФАКТ ЧИСТ К2'!U12)*СПРАВОЧНИК!$L$15+('ФАКТ ЧИСТ К2'!V12)*СПРАВОЧНИК!$M$15+('ФАКТ ЧИСТ К2'!W12)*СПРАВОЧНИК!$N$15</f>
        <v>0</v>
      </c>
      <c r="BE21" s="18">
        <f t="shared" si="21"/>
        <v>46223</v>
      </c>
      <c r="BF21" s="37">
        <f>СПРАВОЧНИК!$E$9*('ПЛАН ЧЕРН К3'!B12*СПРАВОЧНИК!$H$9+'ПЛАН ЧЕРН К3'!C12*СПРАВОЧНИК!$I$9+'ПЛАН ЧЕРН К3'!D12*СПРАВОЧНИК!$J$9)+СПРАВОЧНИК!$E$10*('ПЛАН ЧЕРН К3'!E12*СПРАВОЧНИК!$H$10+'ПЛАН ЧЕРН К3'!F12*СПРАВОЧНИК!$I$10+'ПЛАН ЧЕРН К3'!G12*СПРАВОЧНИК!$J$10)+СПРАВОЧНИК!$E$11*('ПЛАН ЧЕРН К3'!H12*СПРАВОЧНИК!$H$11+'ПЛАН ЧЕРН К3'!I12*СПРАВОЧНИК!$I$11+'ПЛАН ЧЕРН К3'!J12*СПРАВОЧНИК!$J$11)+СПРАВОЧНИК!$E$12*('ПЛАН ЧЕРН К3'!K12*СПРАВОЧНИК!$H$12+'ПЛАН ЧЕРН К3'!L12*СПРАВОЧНИК!$I$12+'ПЛАН ЧЕРН К3'!M12*СПРАВОЧНИК!$J$12)+СПРАВОЧНИК!$E$13*('ПЛАН ЧЕРН К3'!N12*СПРАВОЧНИК!$H$13+'ПЛАН ЧЕРН К3'!O12*СПРАВОЧНИК!$I$13+'ПЛАН ЧЕРН К3'!P12*СПРАВОЧНИК!$J$13)+СПРАВОЧНИК!$E$14*('ПЛАН ЧЕРН К3'!Q12*СПРАВОЧНИК!$H$14+'ПЛАН ЧЕРН К3'!R12*СПРАВОЧНИК!$I$14+'ПЛАН ЧЕРН К3'!S12*СПРАВОЧНИК!$J$14)+СПРАВОЧНИК!$E$15*('ПЛАН ЧЕРН К3'!T12*СПРАВОЧНИК!$H$15+'ПЛАН ЧЕРН К3'!U12*СПРАВОЧНИК!$I$15+'ПЛАН ЧЕРН К3'!V12*СПРАВОЧНИК!$J$15)+СПРАВОЧНИК!$F$9*('ПЛАН ЧИСТ К3'!B12*СПРАВОЧНИК!$L$9+'ПЛАН ЧИСТ К3'!C12*СПРАВОЧНИК!$M$9+'ПЛАН ЧИСТ К3'!D12*СПРАВОЧНИК!$N$9+'ПЛАН ЧИСТ К3'!E12*СПРАВОЧНИК!$O$9)+СПРАВОЧНИК!$F$10*('ПЛАН ЧИСТ К3'!F12*СПРАВОЧНИК!$L$10+'ПЛАН ЧИСТ К3'!G12*СПРАВОЧНИК!$M$10+'ПЛАН ЧИСТ К3'!H12*СПРАВОЧНИК!$N$10)+СПРАВОЧНИК!$F$11*('ПЛАН ЧИСТ К3'!I12*СПРАВОЧНИК!$L$11+'ПЛАН ЧИСТ К3'!J12*СПРАВОЧНИК!$M$11+'ПЛАН ЧИСТ К3'!K12*СПРАВОЧНИК!$N$11)+СПРАВОЧНИК!$F$12*('ПЛАН ЧИСТ К3'!L12*СПРАВОЧНИК!$L$12+'ПЛАН ЧИСТ К3'!M12*СПРАВОЧНИК!$M$12+'ПЛАН ЧИСТ К3'!N12*СПРАВОЧНИК!$N$12)+СПРАВОЧНИК!$F$13*('ПЛАН ЧИСТ К3'!O12*СПРАВОЧНИК!$L$13+'ПЛАН ЧИСТ К3'!P12*СПРАВОЧНИК!$M$13+'ПЛАН ЧИСТ К3'!Q12*СПРАВОЧНИК!$N$13)+СПРАВОЧНИК!$F$14*('ПЛАН ЧИСТ К3'!R12*СПРАВОЧНИК!$L$14+'ПЛАН ЧИСТ К3'!S12*СПРАВОЧНИК!$M$14+'ПЛАН ЧИСТ К3'!T12*СПРАВОЧНИК!$N$14)+СПРАВОЧНИК!$F$15*('ПЛАН ЧИСТ К3'!U12*СПРАВОЧНИК!$L$15+'ПЛАН ЧИСТ К3'!V12*СПРАВОЧНИК!$M$15+'ПЛАН ЧИСТ К3'!W12*СПРАВОЧНИК!$N$15)</f>
        <v>0</v>
      </c>
      <c r="BG21" s="40">
        <f>СПРАВОЧНИК!$E$9*(('ФАКТ ЧЕРН К3'!B12)*СПРАВОЧНИК!$H$9+('ФАКТ ЧЕРН К3'!C12)*СПРАВОЧНИК!$I$9+('ФАКТ ЧЕРН К3'!D12)*СПРАВОЧНИК!$J$9)+СПРАВОЧНИК!$E$10*(('ФАКТ ЧЕРН К3'!E12)*СПРАВОЧНИК!$H$10+('ФАКТ ЧЕРН К3'!F12)*СПРАВОЧНИК!$I$10+('ФАКТ ЧЕРН К3'!G12)*СПРАВОЧНИК!$J$10)+СПРАВОЧНИК!$E$11*(('ФАКТ ЧЕРН К3'!H12)*СПРАВОЧНИК!$H$11+('ФАКТ ЧЕРН К3'!I12)*СПРАВОЧНИК!$I$11+('ФАКТ ЧЕРН К3'!J12)*СПРАВОЧНИК!$J$11)+СПРАВОЧНИК!$E$12*(('ФАКТ ЧЕРН К3'!K12)*СПРАВОЧНИК!$H$12+('ФАКТ ЧЕРН К3'!L12)*СПРАВОЧНИК!$I$12+('ФАКТ ЧЕРН К3'!M12)*СПРАВОЧНИК!$J$12)+СПРАВОЧНИК!$E$13*(('ФАКТ ЧЕРН К3'!N12)*СПРАВОЧНИК!$H$13+('ФАКТ ЧЕРН К3'!O12)*СПРАВОЧНИК!$I$13+('ФАКТ ЧЕРН К3'!P12)*СПРАВОЧНИК!$J$13)+СПРАВОЧНИК!$E$14*(('ФАКТ ЧЕРН К3'!Q12)*СПРАВОЧНИК!$H$14+('ФАКТ ЧЕРН К3'!R12)*СПРАВОЧНИК!$I$14+('ФАКТ ЧЕРН К3'!S12)*СПРАВОЧНИК!$J$14)+СПРАВОЧНИК!$E$15*(('ФАКТ ЧЕРН К3'!T12)*СПРАВОЧНИК!$H$15+('ФАКТ ЧЕРН К3'!U12)*СПРАВОЧНИК!$I$15+('ФАКТ ЧЕРН К3'!V12)*СПРАВОЧНИК!$J$15)+СПРАВОЧНИК!$F$9*(('ФАКТ ЧИСТ К3'!B12)*СПРАВОЧНИК!$L$9+('ФАКТ ЧИСТ К3'!C12)*СПРАВОЧНИК!$M$9+('ФАКТ ЧИСТ К3'!D12)*СПРАВОЧНИК!$N$9+('ФАКТ ЧИСТ К3'!E12)*СПРАВОЧНИК!$O$9)+СПРАВОЧНИК!$F$10*(('ФАКТ ЧИСТ К3'!F12)*СПРАВОЧНИК!$L$10+('ФАКТ ЧИСТ К3'!G12)*СПРАВОЧНИК!$M$10+('ФАКТ ЧИСТ К3'!H12)*СПРАВОЧНИК!$N$10)+СПРАВОЧНИК!$F$11*(('ФАКТ ЧИСТ К3'!I12)*СПРАВОЧНИК!$L$11+('ФАКТ ЧИСТ К3'!J12)*СПРАВОЧНИК!$M$11+('ФАКТ ЧИСТ К3'!K12)*СПРАВОЧНИК!$N$11)+СПРАВОЧНИК!$F$12*(('ФАКТ ЧИСТ К3'!L12)*СПРАВОЧНИК!$L$12+('ФАКТ ЧИСТ К3'!M12)*СПРАВОЧНИК!$M$12+('ФАКТ ЧИСТ К3'!N12)*СПРАВОЧНИК!$N$12)+СПРАВОЧНИК!$F$13*(('ФАКТ ЧИСТ К3'!O12)*СПРАВОЧНИК!$L$13+('ФАКТ ЧИСТ К3'!P12)*СПРАВОЧНИК!$M$13+('ФАКТ ЧИСТ К3'!Q12)*СПРАВОЧНИК!$N$13)+СПРАВОЧНИК!$F$14*(('ФАКТ ЧИСТ К3'!R12)*СПРАВОЧНИК!$L$14+('ФАКТ ЧИСТ К3'!S12)*СПРАВОЧНИК!$M$14+('ФАКТ ЧИСТ К3'!T12)*СПРАВОЧНИК!$N$14)+СПРАВОЧНИК!$F$15*(('ФАКТ ЧИСТ К3'!U12)*СПРАВОЧНИК!$L$15+('ФАКТ ЧИСТ К3'!V12)*СПРАВОЧНИК!$M$15+('ФАКТ ЧИСТ К3'!W12)*СПРАВОЧНИК!$N$15)</f>
        <v>0</v>
      </c>
      <c r="BK21" s="18">
        <f t="shared" si="22"/>
        <v>46223</v>
      </c>
      <c r="BL21" s="37">
        <f>'ПЛАН ЧЕРН К3'!B12*СПРАВОЧНИК!$H$9+'ПЛАН ЧЕРН К3'!C12*СПРАВОЧНИК!$I$9+'ПЛАН ЧЕРН К3'!D12*СПРАВОЧНИК!$J$9+'ПЛАН ЧЕРН К3'!E12*СПРАВОЧНИК!$H$10+'ПЛАН ЧЕРН К3'!F12*СПРАВОЧНИК!$I$10+'ПЛАН ЧЕРН К3'!G12*СПРАВОЧНИК!$J$10+'ПЛАН ЧЕРН К3'!H12*СПРАВОЧНИК!$H$11+'ПЛАН ЧЕРН К3'!I12*СПРАВОЧНИК!$I$11+'ПЛАН ЧЕРН К3'!J12*СПРАВОЧНИК!$J$11+'ПЛАН ЧЕРН К3'!K12*СПРАВОЧНИК!$H$12+'ПЛАН ЧЕРН К3'!L12*СПРАВОЧНИК!$I$12+'ПЛАН ЧЕРН К3'!M12*СПРАВОЧНИК!$J$12+'ПЛАН ЧЕРН К3'!N12*СПРАВОЧНИК!$H$13+'ПЛАН ЧЕРН К3'!O12*СПРАВОЧНИК!$I$13+'ПЛАН ЧЕРН К3'!P12*СПРАВОЧНИК!$J$13+'ПЛАН ЧЕРН К3'!Q12*СПРАВОЧНИК!$H$14+'ПЛАН ЧЕРН К3'!R12*СПРАВОЧНИК!$I$14+'ПЛАН ЧЕРН К3'!S12*СПРАВОЧНИК!$J$14+'ПЛАН ЧЕРН К3'!T12*СПРАВОЧНИК!$H$15+'ПЛАН ЧЕРН К3'!U12*СПРАВОЧНИК!$I$15+'ПЛАН ЧЕРН К3'!V12*СПРАВОЧНИК!$J$15</f>
        <v>0</v>
      </c>
      <c r="BM21" s="40">
        <f>('ФАКТ ЧЕРН К3'!B12)*СПРАВОЧНИК!$H$9+('ФАКТ ЧЕРН К3'!C12)*СПРАВОЧНИК!$I$9+('ФАКТ ЧЕРН К3'!D12)*СПРАВОЧНИК!$J$9+('ФАКТ ЧЕРН К3'!E12)*СПРАВОЧНИК!$H$10+('ФАКТ ЧЕРН К3'!F12)*СПРАВОЧНИК!$I$10+('ФАКТ ЧЕРН К3'!G12)*СПРАВОЧНИК!$J$10+('ФАКТ ЧЕРН К3'!H12)*СПРАВОЧНИК!$H$11+('ФАКТ ЧЕРН К3'!I12)*СПРАВОЧНИК!$I$11+('ФАКТ ЧЕРН К3'!J12)*СПРАВОЧНИК!$J$11+('ФАКТ ЧЕРН К3'!K12)*СПРАВОЧНИК!$H$12+('ФАКТ ЧЕРН К3'!L12)*СПРАВОЧНИК!$I$12+('ФАКТ ЧЕРН К3'!M12)*СПРАВОЧНИК!$J$12+('ФАКТ ЧЕРН К3'!N12)*СПРАВОЧНИК!$H$13+('ФАКТ ЧЕРН К3'!O12)*СПРАВОЧНИК!$I$13+('ФАКТ ЧЕРН К3'!P12)*СПРАВОЧНИК!$J$13+('ФАКТ ЧЕРН К3'!Q12)*СПРАВОЧНИК!$H$14+('ФАКТ ЧЕРН К3'!R12)*СПРАВОЧНИК!$I$14+('ФАКТ ЧЕРН К3'!S12)*СПРАВОЧНИК!$J$14+('ФАКТ ЧЕРН К3'!T12)*СПРАВОЧНИК!$H$15+('ФАКТ ЧЕРН К3'!U12)*СПРАВОЧНИК!$I$15+('ФАКТ ЧЕРН К3'!V12)*СПРАВОЧНИК!$J$15</f>
        <v>0</v>
      </c>
      <c r="BQ21" s="18">
        <f t="shared" si="23"/>
        <v>46223</v>
      </c>
      <c r="BR21" s="37">
        <f>'ПЛАН ЧИСТ К3'!B12*СПРАВОЧНИК!$L$9+'ПЛАН ЧИСТ К3'!C12*СПРАВОЧНИК!$M$9+'ПЛАН ЧИСТ К3'!D12*СПРАВОЧНИК!$N$9+'ПЛАН ЧИСТ К3'!E12*СПРАВОЧНИК!$O$9+'ПЛАН ЧИСТ К3'!F12*СПРАВОЧНИК!$L$10+'ПЛАН ЧИСТ К3'!G12*СПРАВОЧНИК!$M$10+'ПЛАН ЧИСТ К3'!H12*СПРАВОЧНИК!$N$10+'ПЛАН ЧИСТ К3'!I12*СПРАВОЧНИК!$L$11+'ПЛАН ЧИСТ К3'!J12*СПРАВОЧНИК!$M$11+'ПЛАН ЧИСТ К3'!K12*СПРАВОЧНИК!$N$11+'ПЛАН ЧИСТ К3'!L12*СПРАВОЧНИК!$L$12+'ПЛАН ЧИСТ К3'!M12*СПРАВОЧНИК!$M$12+'ПЛАН ЧИСТ К3'!N12*СПРАВОЧНИК!$N$12+'ПЛАН ЧИСТ К3'!O12*СПРАВОЧНИК!$L$13+'ПЛАН ЧИСТ К3'!P12*СПРАВОЧНИК!$M$13+'ПЛАН ЧИСТ К3'!Q12*СПРАВОЧНИК!$N$13+'ПЛАН ЧИСТ К3'!R12*СПРАВОЧНИК!$L$14+'ПЛАН ЧИСТ К3'!S12*СПРАВОЧНИК!$M$14+'ПЛАН ЧИСТ К3'!T12*СПРАВОЧНИК!$N$14+'ПЛАН ЧИСТ К3'!U12*СПРАВОЧНИК!$L$15+'ПЛАН ЧИСТ К3'!V12*СПРАВОЧНИК!$M$15+'ПЛАН ЧИСТ К3'!W12*СПРАВОЧНИК!$N$15</f>
        <v>0</v>
      </c>
      <c r="BS21" s="40">
        <f>('ФАКТ ЧИСТ К3'!B12)*СПРАВОЧНИК!$L$9+('ФАКТ ЧИСТ К3'!C12)*СПРАВОЧНИК!$M$9+('ФАКТ ЧИСТ К3'!D12)*СПРАВОЧНИК!$N$9+('ФАКТ ЧИСТ К3'!E12)*СПРАВОЧНИК!$O$9+('ФАКТ ЧИСТ К3'!F12)*СПРАВОЧНИК!$L$10+('ФАКТ ЧИСТ К3'!G12)*СПРАВОЧНИК!$M$10+('ФАКТ ЧИСТ К3'!H12)*СПРАВОЧНИК!$N$10+('ФАКТ ЧИСТ К3'!I12)*СПРАВОЧНИК!$L$11+('ФАКТ ЧИСТ К3'!J12)*СПРАВОЧНИК!$M$11+('ФАКТ ЧИСТ К3'!K12)*СПРАВОЧНИК!$N$11+('ФАКТ ЧИСТ К3'!L12)*СПРАВОЧНИК!$L$12+('ФАКТ ЧИСТ К3'!M12)*СПРАВОЧНИК!$M$12+('ФАКТ ЧИСТ К3'!N12)*СПРАВОЧНИК!$N$12+('ФАКТ ЧИСТ К3'!O12)*СПРАВОЧНИК!$L$13+('ФАКТ ЧИСТ К3'!P12)*СПРАВОЧНИК!$M$13+('ФАКТ ЧИСТ К3'!Q12)*СПРАВОЧНИК!$N$13+('ФАКТ ЧИСТ К3'!R12)*СПРАВОЧНИК!$L$14+('ФАКТ ЧИСТ К3'!S12)*СПРАВОЧНИК!$M$14+('ФАКТ ЧИСТ К3'!T12)*СПРАВОЧНИК!$N$14+('ФАКТ ЧИСТ К3'!U12)*СПРАВОЧНИК!$L$15+('ФАКТ ЧИСТ К3'!V12)*СПРАВОЧНИК!$M$15+('ФАКТ ЧИСТ К3'!W12)*СПРАВОЧНИК!$N$15</f>
        <v>0</v>
      </c>
      <c r="BW21" s="18">
        <f t="shared" si="24"/>
        <v>46223</v>
      </c>
      <c r="BX21" s="37">
        <f t="shared" si="0"/>
        <v>0</v>
      </c>
      <c r="BY21" s="40">
        <f t="shared" si="1"/>
        <v>0</v>
      </c>
      <c r="CC21" s="18">
        <f t="shared" si="25"/>
        <v>46223</v>
      </c>
      <c r="CD21" s="37">
        <f t="shared" si="2"/>
        <v>0</v>
      </c>
      <c r="CE21" s="40">
        <f t="shared" si="3"/>
        <v>0</v>
      </c>
      <c r="CI21" s="18">
        <f t="shared" si="26"/>
        <v>46223</v>
      </c>
      <c r="CJ21" s="37">
        <f t="shared" si="4"/>
        <v>0</v>
      </c>
      <c r="CK21" s="40">
        <f t="shared" si="5"/>
        <v>0</v>
      </c>
      <c r="CO21" s="18">
        <f t="shared" si="27"/>
        <v>46223</v>
      </c>
      <c r="CP21" s="37">
        <f t="shared" si="6"/>
        <v>0</v>
      </c>
      <c r="CQ21" s="40">
        <f t="shared" si="7"/>
        <v>0</v>
      </c>
      <c r="CU21" s="18">
        <f t="shared" si="28"/>
        <v>46223</v>
      </c>
      <c r="CV21" s="37">
        <f t="shared" si="8"/>
        <v>0</v>
      </c>
      <c r="CW21" s="40">
        <f t="shared" si="9"/>
        <v>0</v>
      </c>
      <c r="DA21" s="18">
        <f t="shared" si="29"/>
        <v>46223</v>
      </c>
      <c r="DB21" s="37">
        <f t="shared" si="10"/>
        <v>0</v>
      </c>
      <c r="DC21" s="40">
        <f t="shared" si="11"/>
        <v>0</v>
      </c>
    </row>
    <row r="22" spans="3:107" x14ac:dyDescent="0.25">
      <c r="C22" s="18">
        <f t="shared" si="12"/>
        <v>46230</v>
      </c>
      <c r="D22" s="37">
        <f>СПРАВОЧНИК!$E$3*('ПЛАН ЧЕРН ПОДЗЕМ'!B13*СПРАВОЧНИК!$H$3+'ПЛАН ЧЕРН ПОДЗЕМ'!C13*СПРАВОЧНИК!$I$3+'ПЛАН ЧЕРН ПОДЗЕМ'!D13*СПРАВОЧНИК!$J$3)+СПРАВОЧНИК!$E$4*('ПЛАН ЧЕРН ПОДЗЕМ'!E13*СПРАВОЧНИК!$H$4+'ПЛАН ЧЕРН ПОДЗЕМ'!F13*СПРАВОЧНИК!$I$4+'ПЛАН ЧЕРН ПОДЗЕМ'!G13*СПРАВОЧНИК!$J$4)+СПРАВОЧНИК!$E$5*('ПЛАН ЧЕРН ПОДЗЕМ'!H13*СПРАВОЧНИК!$H$5+'ПЛАН ЧЕРН ПОДЗЕМ'!I13*СПРАВОЧНИК!$I$5+'ПЛАН ЧЕРН ПОДЗЕМ'!J13*СПРАВОЧНИК!$J$5)+СПРАВОЧНИК!$E$6*('ПЛАН ЧЕРН ПОДЗЕМ'!K13*СПРАВОЧНИК!$H$6+'ПЛАН ЧЕРН ПОДЗЕМ'!L13*СПРАВОЧНИК!$I$6+'ПЛАН ЧЕРН ПОДЗЕМ'!M13*СПРАВОЧНИК!$J$6)+СПРАВОЧНИК!$E$7*('ПЛАН ЧЕРН ПОДЗЕМ'!N13*СПРАВОЧНИК!$H$7+'ПЛАН ЧЕРН ПОДЗЕМ'!O13*СПРАВОЧНИК!$I$7+'ПЛАН ЧЕРН ПОДЗЕМ'!P13*СПРАВОЧНИК!$J$7)+СПРАВОЧНИК!$E$8*('ПЛАН ЧЕРН ПОДЗЕМ'!Q13*СПРАВОЧНИК!$H$8+'ПЛАН ЧЕРН ПОДЗЕМ'!R13*СПРАВОЧНИК!$I$8+'ПЛАН ЧЕРН ПОДЗЕМ'!S13*СПРАВОЧНИК!$J$8)+СПРАВОЧНИК!$F$3*('ПЛАН ЧИСТ ПОДЗЕМ'!B13*СПРАВОЧНИК!$L$3+'ПЛАН ЧИСТ ПОДЗЕМ'!C13*СПРАВОЧНИК!$M$3+'ПЛАН ЧИСТ ПОДЗЕМ'!D13*СПРАВОЧНИК!$N$3)+СПРАВОЧНИК!$F$4*('ПЛАН ЧИСТ ПОДЗЕМ'!E13*СПРАВОЧНИК!$L$4+'ПЛАН ЧИСТ ПОДЗЕМ'!F13*СПРАВОЧНИК!$M$4+'ПЛАН ЧИСТ ПОДЗЕМ'!G13*СПРАВОЧНИК!$N$4)+СПРАВОЧНИК!$F$5*('ПЛАН ЧИСТ ПОДЗЕМ'!H13*СПРАВОЧНИК!$L$5+'ПЛАН ЧИСТ ПОДЗЕМ'!I13*СПРАВОЧНИК!$M$5+'ПЛАН ЧИСТ ПОДЗЕМ'!J13*СПРАВОЧНИК!$N$5)+СПРАВОЧНИК!$F$6*('ПЛАН ЧИСТ ПОДЗЕМ'!K13*СПРАВОЧНИК!$L$6+'ПЛАН ЧИСТ ПОДЗЕМ'!L13*СПРАВОЧНИК!$M$6+'ПЛАН ЧИСТ ПОДЗЕМ'!M13*СПРАВОЧНИК!$N$6)+СПРАВОЧНИК!$F$7*('ПЛАН ЧИСТ ПОДЗЕМ'!N13*СПРАВОЧНИК!$L$7+'ПЛАН ЧИСТ ПОДЗЕМ'!O13*СПРАВОЧНИК!$M$7+'ПЛАН ЧИСТ ПОДЗЕМ'!P13*СПРАВОЧНИК!$N$7)+СПРАВОЧНИК!$F$8*('ПЛАН ЧИСТ ПОДЗЕМ'!Q13*СПРАВОЧНИК!$L$8+'ПЛАН ЧИСТ ПОДЗЕМ'!R13*СПРАВОЧНИК!$M$8+'ПЛАН ЧИСТ ПОДЗЕМ'!S13*СПРАВОЧНИК!$N$8)</f>
        <v>0</v>
      </c>
      <c r="E22" s="40">
        <f>СПРАВОЧНИК!$E$3*(('ФАКТ ЧЕРН ПОДЗЕМ'!B13)*СПРАВОЧНИК!$H$3+('ФАКТ ЧЕРН ПОДЗЕМ'!C13)*СПРАВОЧНИК!$I$3+('ФАКТ ЧЕРН ПОДЗЕМ'!D13)*СПРАВОЧНИК!$J$3)+СПРАВОЧНИК!$E$4*(('ФАКТ ЧЕРН ПОДЗЕМ'!E13)*СПРАВОЧНИК!$H$4+('ФАКТ ЧЕРН ПОДЗЕМ'!F13)*СПРАВОЧНИК!$I$4+('ФАКТ ЧЕРН ПОДЗЕМ'!G13)*СПРАВОЧНИК!$J$4)+СПРАВОЧНИК!$E$5*(('ФАКТ ЧЕРН ПОДЗЕМ'!H13)*СПРАВОЧНИК!$H$5+('ФАКТ ЧЕРН ПОДЗЕМ'!I13)*СПРАВОЧНИК!$I$5+('ФАКТ ЧЕРН ПОДЗЕМ'!J13)*СПРАВОЧНИК!$J$5)+СПРАВОЧНИК!$E$6*(('ФАКТ ЧЕРН ПОДЗЕМ'!K13)*СПРАВОЧНИК!$H$6+('ФАКТ ЧЕРН ПОДЗЕМ'!L13)*СПРАВОЧНИК!$I$6+('ФАКТ ЧЕРН ПОДЗЕМ'!M13)*СПРАВОЧНИК!$J$6)+СПРАВОЧНИК!$E$7*(('ФАКТ ЧЕРН ПОДЗЕМ'!N13)*СПРАВОЧНИК!$H$7+('ФАКТ ЧЕРН ПОДЗЕМ'!O13)*СПРАВОЧНИК!$I$7+('ФАКТ ЧЕРН ПОДЗЕМ'!P13)*СПРАВОЧНИК!$J$7)+СПРАВОЧНИК!$E$8*(('ФАКТ ЧЕРН ПОДЗЕМ'!Q13)*СПРАВОЧНИК!$H$8+('ФАКТ ЧЕРН ПОДЗЕМ'!R13)*СПРАВОЧНИК!$I$8+('ФАКТ ЧЕРН ПОДЗЕМ'!S13)*СПРАВОЧНИК!$J$8)+СПРАВОЧНИК!$F$3*(('ФАКТ ЧИСТ ПОДЗЕМ'!B13)*СПРАВОЧНИК!$L$3+('ФАКТ ЧИСТ ПОДЗЕМ'!C13)*СПРАВОЧНИК!$M$3+('ФАКТ ЧИСТ ПОДЗЕМ'!D13)*СПРАВОЧНИК!$N$3)+СПРАВОЧНИК!$F$4*(('ФАКТ ЧИСТ ПОДЗЕМ'!E13)*СПРАВОЧНИК!$L$4+('ФАКТ ЧИСТ ПОДЗЕМ'!F13)*СПРАВОЧНИК!$M$4+('ФАКТ ЧИСТ ПОДЗЕМ'!G13)*СПРАВОЧНИК!$N$4)+СПРАВОЧНИК!$F$5*(('ФАКТ ЧИСТ ПОДЗЕМ'!H13)*СПРАВОЧНИК!$L$5+('ФАКТ ЧИСТ ПОДЗЕМ'!I13)*СПРАВОЧНИК!$M$5+('ФАКТ ЧИСТ ПОДЗЕМ'!J13)*СПРАВОЧНИК!$N$5)+СПРАВОЧНИК!$F$6*(('ФАКТ ЧИСТ ПОДЗЕМ'!K13)*СПРАВОЧНИК!$L$6+('ФАКТ ЧИСТ ПОДЗЕМ'!L13)*СПРАВОЧНИК!$M$6+('ФАКТ ЧИСТ ПОДЗЕМ'!M13)*СПРАВОЧНИК!$N$6)+СПРАВОЧНИК!$F$7*(('ФАКТ ЧИСТ ПОДЗЕМ'!N13)*СПРАВОЧНИК!$L$7+('ФАКТ ЧИСТ ПОДЗЕМ'!O13)*СПРАВОЧНИК!$M$7+('ФАКТ ЧИСТ ПОДЗЕМ'!P13)*СПРАВОЧНИК!$N$7)+СПРАВОЧНИК!$F$8*(('ФАКТ ЧИСТ ПОДЗЕМ'!Q13)*СПРАВОЧНИК!$L$8+('ФАКТ ЧИСТ ПОДЗЕМ'!R13)*СПРАВОЧНИК!$M$8+('ФАКТ ЧИСТ ПОДЗЕМ'!S13)*СПРАВОЧНИК!$N$8)</f>
        <v>0</v>
      </c>
      <c r="I22" s="18">
        <f t="shared" si="13"/>
        <v>46230</v>
      </c>
      <c r="J22" s="37">
        <f>'ПЛАН ЧЕРН ПОДЗЕМ'!B13*СПРАВОЧНИК!$H$3+'ПЛАН ЧЕРН ПОДЗЕМ'!C13*СПРАВОЧНИК!$I$3+'ПЛАН ЧЕРН ПОДЗЕМ'!D13*СПРАВОЧНИК!$J$3+'ПЛАН ЧЕРН ПОДЗЕМ'!E13*СПРАВОЧНИК!$H$4+'ПЛАН ЧЕРН ПОДЗЕМ'!F13*СПРАВОЧНИК!$I$4+'ПЛАН ЧЕРН ПОДЗЕМ'!G13*СПРАВОЧНИК!$J$4+'ПЛАН ЧЕРН ПОДЗЕМ'!H13*СПРАВОЧНИК!$H$5+'ПЛАН ЧЕРН ПОДЗЕМ'!I13*СПРАВОЧНИК!$I$5+'ПЛАН ЧЕРН ПОДЗЕМ'!J13*СПРАВОЧНИК!$J$5+'ПЛАН ЧЕРН ПОДЗЕМ'!K13*СПРАВОЧНИК!$H$6+'ПЛАН ЧЕРН ПОДЗЕМ'!L13*СПРАВОЧНИК!$I$6+'ПЛАН ЧЕРН ПОДЗЕМ'!M13*СПРАВОЧНИК!$J$6+'ПЛАН ЧЕРН ПОДЗЕМ'!N13*СПРАВОЧНИК!$H$7+'ПЛАН ЧЕРН ПОДЗЕМ'!O13*СПРАВОЧНИК!$I$7+'ПЛАН ЧЕРН ПОДЗЕМ'!P13*СПРАВОЧНИК!$J$7+'ПЛАН ЧЕРН ПОДЗЕМ'!Q13*СПРАВОЧНИК!$H$8+'ПЛАН ЧЕРН ПОДЗЕМ'!R13*СПРАВОЧНИК!$I$8+'ПЛАН ЧЕРН ПОДЗЕМ'!S13*СПРАВОЧНИК!$J$8</f>
        <v>0</v>
      </c>
      <c r="K22" s="40">
        <f>('ФАКТ ЧЕРН ПОДЗЕМ'!B13)*СПРАВОЧНИК!$H$3+('ФАКТ ЧЕРН ПОДЗЕМ'!C13)*СПРАВОЧНИК!$I$3+('ФАКТ ЧЕРН ПОДЗЕМ'!D13)*СПРАВОЧНИК!$J$3+('ФАКТ ЧЕРН ПОДЗЕМ'!E13)*СПРАВОЧНИК!$H$4+('ФАКТ ЧЕРН ПОДЗЕМ'!F13)*СПРАВОЧНИК!$I$4+('ФАКТ ЧЕРН ПОДЗЕМ'!G13)*СПРАВОЧНИК!$J$4+('ФАКТ ЧЕРН ПОДЗЕМ'!H13)*СПРАВОЧНИК!$H$5+('ФАКТ ЧЕРН ПОДЗЕМ'!I13)*СПРАВОЧНИК!$I$5+('ФАКТ ЧЕРН ПОДЗЕМ'!J13)*СПРАВОЧНИК!$J$5+('ФАКТ ЧЕРН ПОДЗЕМ'!K13)*СПРАВОЧНИК!$H$6+('ФАКТ ЧЕРН ПОДЗЕМ'!L13)*СПРАВОЧНИК!$I$6+('ФАКТ ЧЕРН ПОДЗЕМ'!M13)*СПРАВОЧНИК!$J$6+('ФАКТ ЧЕРН ПОДЗЕМ'!N13)*СПРАВОЧНИК!$H$7+('ФАКТ ЧЕРН ПОДЗЕМ'!O13)*СПРАВОЧНИК!$I$7+('ФАКТ ЧЕРН ПОДЗЕМ'!P13)*СПРАВОЧНИК!$J$7+('ФАКТ ЧЕРН ПОДЗЕМ'!Q13)*СПРАВОЧНИК!$H$8+('ФАКТ ЧЕРН ПОДЗЕМ'!R13)*СПРАВОЧНИК!$I$8+('ФАКТ ЧЕРН ПОДЗЕМ'!S13)*СПРАВОЧНИК!$J$8</f>
        <v>0</v>
      </c>
      <c r="O22" s="18">
        <f t="shared" si="14"/>
        <v>46230</v>
      </c>
      <c r="P22" s="37">
        <f>'ПЛАН ЧИСТ ПОДЗЕМ'!B13*СПРАВОЧНИК!$L$3+'ПЛАН ЧИСТ ПОДЗЕМ'!C13*СПРАВОЧНИК!$M$3+'ПЛАН ЧИСТ ПОДЗЕМ'!D13*СПРАВОЧНИК!$N$3+'ПЛАН ЧИСТ ПОДЗЕМ'!E13*СПРАВОЧНИК!$L$4+'ПЛАН ЧИСТ ПОДЗЕМ'!F13*СПРАВОЧНИК!$M$4+'ПЛАН ЧИСТ ПОДЗЕМ'!G13*СПРАВОЧНИК!$N$4+'ПЛАН ЧИСТ ПОДЗЕМ'!H13*СПРАВОЧНИК!$L$5+'ПЛАН ЧИСТ ПОДЗЕМ'!I13*СПРАВОЧНИК!$M$5+'ПЛАН ЧИСТ ПОДЗЕМ'!J13*СПРАВОЧНИК!$N$5+'ПЛАН ЧИСТ ПОДЗЕМ'!K13*СПРАВОЧНИК!$L$6+'ПЛАН ЧИСТ ПОДЗЕМ'!L13*СПРАВОЧНИК!$M$6+'ПЛАН ЧИСТ ПОДЗЕМ'!M13*СПРАВОЧНИК!$N$6+'ПЛАН ЧИСТ ПОДЗЕМ'!N13*СПРАВОЧНИК!$L$7+'ПЛАН ЧИСТ ПОДЗЕМ'!O13*СПРАВОЧНИК!$M$7+'ПЛАН ЧИСТ ПОДЗЕМ'!P13*СПРАВОЧНИК!$N$7+'ПЛАН ЧИСТ ПОДЗЕМ'!Q13*СПРАВОЧНИК!$L$8+'ПЛАН ЧИСТ ПОДЗЕМ'!R13*СПРАВОЧНИК!$M$8+'ПЛАН ЧИСТ ПОДЗЕМ'!S13*СПРАВОЧНИК!$N$8</f>
        <v>0</v>
      </c>
      <c r="Q22" s="40">
        <f>('ФАКТ ЧИСТ ПОДЗЕМ'!B13)*СПРАВОЧНИК!$L$3+('ФАКТ ЧИСТ ПОДЗЕМ'!C13)*СПРАВОЧНИК!$M$3+('ФАКТ ЧИСТ ПОДЗЕМ'!D13)*СПРАВОЧНИК!$N$3+('ФАКТ ЧИСТ ПОДЗЕМ'!E13)*СПРАВОЧНИК!$L$4+('ФАКТ ЧИСТ ПОДЗЕМ'!F13)*СПРАВОЧНИК!$M$4+('ФАКТ ЧИСТ ПОДЗЕМ'!G13)*СПРАВОЧНИК!$N$4+('ФАКТ ЧИСТ ПОДЗЕМ'!H13)*СПРАВОЧНИК!$L$5+('ФАКТ ЧИСТ ПОДЗЕМ'!I13)*СПРАВОЧНИК!$M$5+('ФАКТ ЧИСТ ПОДЗЕМ'!J13)*СПРАВОЧНИК!$N$5+('ФАКТ ЧИСТ ПОДЗЕМ'!K13)*СПРАВОЧНИК!$L$6+('ФАКТ ЧИСТ ПОДЗЕМ'!L13)*СПРАВОЧНИК!$M$6+('ФАКТ ЧИСТ ПОДЗЕМ'!M13)*СПРАВОЧНИК!$N$6+('ФАКТ ЧИСТ ПОДЗЕМ'!N13)*СПРАВОЧНИК!$L$7+('ФАКТ ЧИСТ ПОДЗЕМ'!O13)*СПРАВОЧНИК!$M$7+('ФАКТ ЧИСТ ПОДЗЕМ'!P13)*СПРАВОЧНИК!$N$7+('ФАКТ ЧИСТ ПОДЗЕМ'!Q13)*СПРАВОЧНИК!$L$8+('ФАКТ ЧИСТ ПОДЗЕМ'!R13)*СПРАВОЧНИК!$M$8+('ФАКТ ЧИСТ ПОДЗЕМ'!S13)*СПРАВОЧНИК!$N$8</f>
        <v>0</v>
      </c>
      <c r="U22" s="18">
        <f t="shared" si="15"/>
        <v>46230</v>
      </c>
      <c r="V22" s="37">
        <f>СПРАВОЧНИК!$E$9*('ПЛАН ЧЕРН К1'!B13*СПРАВОЧНИК!$H$9+'ПЛАН ЧЕРН К1'!C13*СПРАВОЧНИК!$I$9+'ПЛАН ЧЕРН К1'!D13*СПРАВОЧНИК!$J$9)+СПРАВОЧНИК!$E$10*('ПЛАН ЧЕРН К1'!E13*СПРАВОЧНИК!$H$10+'ПЛАН ЧЕРН К1'!F13*СПРАВОЧНИК!$I$10+'ПЛАН ЧЕРН К1'!G13*СПРАВОЧНИК!$J$10)+СПРАВОЧНИК!$E$11*('ПЛАН ЧЕРН К1'!H13*СПРАВОЧНИК!$H$11+'ПЛАН ЧЕРН К1'!I13*СПРАВОЧНИК!$I$11+'ПЛАН ЧЕРН К1'!J13*СПРАВОЧНИК!$J$11)+СПРАВОЧНИК!$E$12*('ПЛАН ЧЕРН К1'!K13*СПРАВОЧНИК!$H$12+'ПЛАН ЧЕРН К1'!L13*СПРАВОЧНИК!$I$12+'ПЛАН ЧЕРН К1'!M13*СПРАВОЧНИК!$J$12)+СПРАВОЧНИК!$E$13*('ПЛАН ЧЕРН К1'!N13*СПРАВОЧНИК!$H$13+'ПЛАН ЧЕРН К1'!O13*СПРАВОЧНИК!$I$13+'ПЛАН ЧЕРН К1'!P13*СПРАВОЧНИК!$J$13)+СПРАВОЧНИК!$E$14*('ПЛАН ЧЕРН К1'!Q13*СПРАВОЧНИК!$H$14+'ПЛАН ЧЕРН К1'!R13*СПРАВОЧНИК!$I$14+'ПЛАН ЧЕРН К1'!S13*СПРАВОЧНИК!$J$14)+СПРАВОЧНИК!$E$15*('ПЛАН ЧЕРН К1'!T13*СПРАВОЧНИК!$H$15+'ПЛАН ЧЕРН К1'!U13*СПРАВОЧНИК!$I$15+'ПЛАН ЧЕРН К1'!V13*СПРАВОЧНИК!$J$15)+СПРАВОЧНИК!$F$9*('ПЛАН ЧИСТ К1'!B13*СПРАВОЧНИК!$L$9+'ПЛАН ЧИСТ К1'!C13*СПРАВОЧНИК!$M$9+'ПЛАН ЧИСТ К1'!D13*СПРАВОЧНИК!$N$9+'ПЛАН ЧИСТ К1'!E13*СПРАВОЧНИК!$O$9)+СПРАВОЧНИК!$F$10*('ПЛАН ЧИСТ К1'!F13*СПРАВОЧНИК!$L$10+'ПЛАН ЧИСТ К1'!G13*СПРАВОЧНИК!$M$10+'ПЛАН ЧИСТ К1'!H13*СПРАВОЧНИК!$N$10)+СПРАВОЧНИК!$F$11*('ПЛАН ЧИСТ К1'!I13*СПРАВОЧНИК!$L$11+'ПЛАН ЧИСТ К1'!J13*СПРАВОЧНИК!$M$11+'ПЛАН ЧИСТ К1'!K13*СПРАВОЧНИК!$N$11)+СПРАВОЧНИК!$F$12*('ПЛАН ЧИСТ К1'!L13*СПРАВОЧНИК!$L$12+'ПЛАН ЧИСТ К1'!M13*СПРАВОЧНИК!$M$12+'ПЛАН ЧИСТ К1'!N13*СПРАВОЧНИК!$N$12)+СПРАВОЧНИК!$F$13*('ПЛАН ЧИСТ К1'!O13*СПРАВОЧНИК!$L$13+'ПЛАН ЧИСТ К1'!P13*СПРАВОЧНИК!$M$13+'ПЛАН ЧИСТ К1'!Q13*СПРАВОЧНИК!$N$13)+СПРАВОЧНИК!$F$14*('ПЛАН ЧИСТ К1'!R13*СПРАВОЧНИК!$L$14+'ПЛАН ЧИСТ К1'!S13*СПРАВОЧНИК!$M$14+'ПЛАН ЧИСТ К1'!T13*СПРАВОЧНИК!$N$14)+СПРАВОЧНИК!$F$15*('ПЛАН ЧИСТ К1'!U13*СПРАВОЧНИК!$L$15+'ПЛАН ЧИСТ К1'!V13*СПРАВОЧНИК!$M$15+'ПЛАН ЧИСТ К1'!W13*СПРАВОЧНИК!$N$15)</f>
        <v>0</v>
      </c>
      <c r="W22" s="40">
        <f>СПРАВОЧНИК!$E$9*(('ФАКТ ЧЕРН К1'!B13)*СПРАВОЧНИК!$H$9+('ФАКТ ЧЕРН К1'!C13)*СПРАВОЧНИК!$I$9+('ФАКТ ЧЕРН К1'!D13)*СПРАВОЧНИК!$J$9)+СПРАВОЧНИК!$E$10*(('ФАКТ ЧЕРН К1'!E13)*СПРАВОЧНИК!$H$10+('ФАКТ ЧЕРН К1'!F13)*СПРАВОЧНИК!$I$10+('ФАКТ ЧЕРН К1'!G13)*СПРАВОЧНИК!$J$10)+СПРАВОЧНИК!$E$11*(('ФАКТ ЧЕРН К1'!H13)*СПРАВОЧНИК!$H$11+('ФАКТ ЧЕРН К1'!I13)*СПРАВОЧНИК!$I$11+('ФАКТ ЧЕРН К1'!J13)*СПРАВОЧНИК!$J$11)+СПРАВОЧНИК!$E$12*(('ФАКТ ЧЕРН К1'!K13)*СПРАВОЧНИК!$H$12+('ФАКТ ЧЕРН К1'!L13)*СПРАВОЧНИК!$I$12+('ФАКТ ЧЕРН К1'!M13)*СПРАВОЧНИК!$J$12)+СПРАВОЧНИК!$E$13*(('ФАКТ ЧЕРН К1'!N13)*СПРАВОЧНИК!$H$13+('ФАКТ ЧЕРН К1'!O13)*СПРАВОЧНИК!$I$13+('ФАКТ ЧЕРН К1'!P13)*СПРАВОЧНИК!$J$13)+СПРАВОЧНИК!$E$14*(('ФАКТ ЧЕРН К1'!Q13)*СПРАВОЧНИК!$H$14+('ФАКТ ЧЕРН К1'!R13)*СПРАВОЧНИК!$I$14+('ФАКТ ЧЕРН К1'!S13)*СПРАВОЧНИК!$J$14)+СПРАВОЧНИК!$E$15*(('ФАКТ ЧЕРН К1'!T13)*СПРАВОЧНИК!$H$15+('ФАКТ ЧЕРН К1'!U13)*СПРАВОЧНИК!$I$15+('ФАКТ ЧЕРН К1'!V13)*СПРАВОЧНИК!$J$15)+СПРАВОЧНИК!$F$9*(('ФАКТ ЧИСТ К1'!B13)*СПРАВОЧНИК!$L$9+('ФАКТ ЧИСТ К1'!C13)*СПРАВОЧНИК!$M$9+('ФАКТ ЧИСТ К1'!D13)*СПРАВОЧНИК!$N$9+('ФАКТ ЧИСТ К1'!E13)*СПРАВОЧНИК!$O$9)+СПРАВОЧНИК!$F$10*(('ФАКТ ЧИСТ К1'!F13)*СПРАВОЧНИК!$L$10+('ФАКТ ЧИСТ К1'!G13)*СПРАВОЧНИК!$M$10+('ФАКТ ЧИСТ К1'!H13)*СПРАВОЧНИК!$N$10)+СПРАВОЧНИК!$F$11*(('ФАКТ ЧИСТ К1'!I13)*СПРАВОЧНИК!$L$11+('ФАКТ ЧИСТ К1'!J13)*СПРАВОЧНИК!$M$11+('ФАКТ ЧИСТ К1'!K13)*СПРАВОЧНИК!$N$11)+СПРАВОЧНИК!$F$12*(('ФАКТ ЧИСТ К1'!L13)*СПРАВОЧНИК!$L$12+('ФАКТ ЧИСТ К1'!M13)*СПРАВОЧНИК!$M$12+('ФАКТ ЧИСТ К1'!N13)*СПРАВОЧНИК!$N$12)+СПРАВОЧНИК!$F$13*(('ФАКТ ЧИСТ К1'!O13)*СПРАВОЧНИК!$L$13+('ФАКТ ЧИСТ К1'!P13)*СПРАВОЧНИК!$M$13+('ФАКТ ЧИСТ К1'!Q13)*СПРАВОЧНИК!$N$13)+СПРАВОЧНИК!$F$14*(('ФАКТ ЧИСТ К1'!R13)*СПРАВОЧНИК!$L$14+('ФАКТ ЧИСТ К1'!S13)*СПРАВОЧНИК!$M$14+('ФАКТ ЧИСТ К1'!T13)*СПРАВОЧНИК!$N$14)+СПРАВОЧНИК!$F$15*(('ФАКТ ЧИСТ К1'!U13)*СПРАВОЧНИК!$L$15+('ФАКТ ЧИСТ К1'!V13)*СПРАВОЧНИК!$M$15+('ФАКТ ЧИСТ К1'!W13)*СПРАВОЧНИК!$N$15)</f>
        <v>0</v>
      </c>
      <c r="AA22" s="18">
        <f t="shared" si="16"/>
        <v>46230</v>
      </c>
      <c r="AB22" s="37">
        <f>'ПЛАН ЧЕРН К1'!B13*СПРАВОЧНИК!$H$9+'ПЛАН ЧЕРН К1'!C13*СПРАВОЧНИК!$I$9+'ПЛАН ЧЕРН К1'!D13*СПРАВОЧНИК!$J$9+'ПЛАН ЧЕРН К1'!E13*СПРАВОЧНИК!$H$10+'ПЛАН ЧЕРН К1'!F13*СПРАВОЧНИК!$I$10+'ПЛАН ЧЕРН К1'!G13*СПРАВОЧНИК!$J$10+'ПЛАН ЧЕРН К1'!H13*СПРАВОЧНИК!$H$11+'ПЛАН ЧЕРН К1'!I13*СПРАВОЧНИК!$I$11+'ПЛАН ЧЕРН К1'!J13*СПРАВОЧНИК!$J$11+'ПЛАН ЧЕРН К1'!K13*СПРАВОЧНИК!$H$12+'ПЛАН ЧЕРН К1'!L13*СПРАВОЧНИК!$I$12+'ПЛАН ЧЕРН К1'!M13*СПРАВОЧНИК!$J$12+'ПЛАН ЧЕРН К1'!N13*СПРАВОЧНИК!$H$13+'ПЛАН ЧЕРН К1'!O13*СПРАВОЧНИК!$I$13+'ПЛАН ЧЕРН К1'!P13*СПРАВОЧНИК!$J$13+'ПЛАН ЧЕРН К1'!Q13*СПРАВОЧНИК!$H$14+'ПЛАН ЧЕРН К1'!R13*СПРАВОЧНИК!$I$14+'ПЛАН ЧЕРН К1'!S13*СПРАВОЧНИК!$J$14+'ПЛАН ЧЕРН К1'!T13*СПРАВОЧНИК!$H$15+'ПЛАН ЧЕРН К1'!U13*СПРАВОЧНИК!$I$15+'ПЛАН ЧЕРН К1'!V13*СПРАВОЧНИК!$J$15</f>
        <v>0</v>
      </c>
      <c r="AC22" s="40">
        <f>('ФАКТ ЧЕРН К1'!B13)*СПРАВОЧНИК!$H$9+('ФАКТ ЧЕРН К1'!C13)*СПРАВОЧНИК!$I$9+('ФАКТ ЧЕРН К1'!D13)*СПРАВОЧНИК!$J$9+('ФАКТ ЧЕРН К1'!E13)*СПРАВОЧНИК!$H$10+('ФАКТ ЧЕРН К1'!F13)*СПРАВОЧНИК!$I$10+('ФАКТ ЧЕРН К1'!G13)*СПРАВОЧНИК!$J$10+('ФАКТ ЧЕРН К1'!H13)*СПРАВОЧНИК!$H$11+('ФАКТ ЧЕРН К1'!I13)*СПРАВОЧНИК!$I$11+('ФАКТ ЧЕРН К1'!J13)*СПРАВОЧНИК!$J$11+('ФАКТ ЧЕРН К1'!K13)*СПРАВОЧНИК!$H$12+('ФАКТ ЧЕРН К1'!L13)*СПРАВОЧНИК!$I$12+('ФАКТ ЧЕРН К1'!M13)*СПРАВОЧНИК!$J$12+('ФАКТ ЧЕРН К1'!N13)*СПРАВОЧНИК!$H$13+('ФАКТ ЧЕРН К1'!O13)*СПРАВОЧНИК!$I$13+('ФАКТ ЧЕРН К1'!P13)*СПРАВОЧНИК!$J$13+('ФАКТ ЧЕРН К1'!Q13)*СПРАВОЧНИК!$H$14+('ФАКТ ЧЕРН К1'!R13)*СПРАВОЧНИК!$I$14+('ФАКТ ЧЕРН К1'!S13)*СПРАВОЧНИК!$J$14+('ФАКТ ЧЕРН К1'!T13)*СПРАВОЧНИК!$H$15+('ФАКТ ЧЕРН К1'!U13)*СПРАВОЧНИК!$I$15+('ФАКТ ЧЕРН К1'!V13)*СПРАВОЧНИК!$J$15</f>
        <v>0</v>
      </c>
      <c r="AG22" s="18">
        <f t="shared" si="17"/>
        <v>46230</v>
      </c>
      <c r="AH22" s="37">
        <f>'ПЛАН ЧИСТ К1'!B13*СПРАВОЧНИК!$L$9+'ПЛАН ЧИСТ К1'!C13*СПРАВОЧНИК!$M$9+'ПЛАН ЧИСТ К1'!D13*СПРАВОЧНИК!$N$9+'ПЛАН ЧИСТ К1'!E13*СПРАВОЧНИК!$O$9+'ПЛАН ЧИСТ К1'!F13*СПРАВОЧНИК!$L$10+'ПЛАН ЧИСТ К1'!G13*СПРАВОЧНИК!$M$10+'ПЛАН ЧИСТ К1'!H13*СПРАВОЧНИК!$N$10+'ПЛАН ЧИСТ К1'!I13*СПРАВОЧНИК!$L$11+'ПЛАН ЧИСТ К1'!J13*СПРАВОЧНИК!$M$11+'ПЛАН ЧИСТ К1'!K13*СПРАВОЧНИК!$N$11+'ПЛАН ЧИСТ К1'!L13*СПРАВОЧНИК!$L$12+'ПЛАН ЧИСТ К1'!M13*СПРАВОЧНИК!$M$12+'ПЛАН ЧИСТ К1'!N13*СПРАВОЧНИК!$N$12+'ПЛАН ЧИСТ К1'!O13*СПРАВОЧНИК!$L$13+'ПЛАН ЧИСТ К1'!P13*СПРАВОЧНИК!$M$13+'ПЛАН ЧИСТ К1'!Q13*СПРАВОЧНИК!$N$13+'ПЛАН ЧИСТ К1'!R13*СПРАВОЧНИК!$L$14+'ПЛАН ЧИСТ К1'!S13*СПРАВОЧНИК!$M$14+'ПЛАН ЧИСТ К1'!T13*СПРАВОЧНИК!$N$14+'ПЛАН ЧИСТ К1'!U13*СПРАВОЧНИК!$L$15+'ПЛАН ЧИСТ К1'!V13*СПРАВОЧНИК!$M$15+'ПЛАН ЧИСТ К1'!W13*СПРАВОЧНИК!$N$15</f>
        <v>0</v>
      </c>
      <c r="AI22" s="40">
        <f>('ФАКТ ЧИСТ К1'!B13)*СПРАВОЧНИК!$L$9+('ФАКТ ЧИСТ К1'!C13)*СПРАВОЧНИК!$M$9+('ФАКТ ЧИСТ К1'!D13)*СПРАВОЧНИК!$N$9+('ФАКТ ЧИСТ К1'!E13)*СПРАВОЧНИК!$O$9+('ФАКТ ЧИСТ К1'!F13)*СПРАВОЧНИК!$L$10+('ФАКТ ЧИСТ К1'!G13)*СПРАВОЧНИК!$M$10+('ФАКТ ЧИСТ К1'!H13)*СПРАВОЧНИК!$N$10+('ФАКТ ЧИСТ К1'!I13)*СПРАВОЧНИК!$L$11+('ФАКТ ЧИСТ К1'!J13)*СПРАВОЧНИК!$M$11+('ФАКТ ЧИСТ К1'!K13)*СПРАВОЧНИК!$N$11+('ФАКТ ЧИСТ К1'!L13)*СПРАВОЧНИК!$L$12+('ФАКТ ЧИСТ К1'!M13)*СПРАВОЧНИК!$M$12+('ФАКТ ЧИСТ К1'!N13)*СПРАВОЧНИК!$N$12+('ФАКТ ЧИСТ К1'!O13)*СПРАВОЧНИК!$L$13+('ФАКТ ЧИСТ К1'!P13)*СПРАВОЧНИК!$M$13+('ФАКТ ЧИСТ К1'!Q13)*СПРАВОЧНИК!$N$13+('ФАКТ ЧИСТ К1'!R13)*СПРАВОЧНИК!$L$14+('ФАКТ ЧИСТ К1'!S13)*СПРАВОЧНИК!$M$14+('ФАКТ ЧИСТ К1'!T13)*СПРАВОЧНИК!$N$14+('ФАКТ ЧИСТ К1'!U13)*СПРАВОЧНИК!$L$15+('ФАКТ ЧИСТ К1'!V13)*СПРАВОЧНИК!$M$15+('ФАКТ ЧИСТ К1'!W13)*СПРАВОЧНИК!$N$15</f>
        <v>0</v>
      </c>
      <c r="AM22" s="18">
        <f t="shared" si="18"/>
        <v>46230</v>
      </c>
      <c r="AN22" s="37">
        <f>СПРАВОЧНИК!$E$9*('ПЛАН ЧЕРН К2'!B13*СПРАВОЧНИК!$H$9+'ПЛАН ЧЕРН К2'!C13*СПРАВОЧНИК!$I$9+'ПЛАН ЧЕРН К2'!D13*СПРАВОЧНИК!$J$9)+СПРАВОЧНИК!$E$10*('ПЛАН ЧЕРН К2'!E13*СПРАВОЧНИК!$H$10+'ПЛАН ЧЕРН К2'!F13*СПРАВОЧНИК!$I$10+'ПЛАН ЧЕРН К2'!G13*СПРАВОЧНИК!$J$10)+СПРАВОЧНИК!$E$11*('ПЛАН ЧЕРН К2'!H13*СПРАВОЧНИК!$H$11+'ПЛАН ЧЕРН К2'!I13*СПРАВОЧНИК!$I$11+'ПЛАН ЧЕРН К2'!J13*СПРАВОЧНИК!$J$11)+СПРАВОЧНИК!$E$12*('ПЛАН ЧЕРН К2'!K13*СПРАВОЧНИК!$H$12+'ПЛАН ЧЕРН К2'!L13*СПРАВОЧНИК!$I$12+'ПЛАН ЧЕРН К2'!M13*СПРАВОЧНИК!$J$12)+СПРАВОЧНИК!$E$13*('ПЛАН ЧЕРН К2'!N13*СПРАВОЧНИК!$H$13+'ПЛАН ЧЕРН К2'!O13*СПРАВОЧНИК!$I$13+'ПЛАН ЧЕРН К2'!P13*СПРАВОЧНИК!$J$13)+СПРАВОЧНИК!$E$14*('ПЛАН ЧЕРН К2'!Q13*СПРАВОЧНИК!$H$14+'ПЛАН ЧЕРН К2'!R13*СПРАВОЧНИК!$I$14+'ПЛАН ЧЕРН К2'!S13*СПРАВОЧНИК!$J$14)+СПРАВОЧНИК!$E$15*('ПЛАН ЧЕРН К2'!T13*СПРАВОЧНИК!$H$15+'ПЛАН ЧЕРН К2'!U13*СПРАВОЧНИК!$I$15+'ПЛАН ЧЕРН К2'!V13*СПРАВОЧНИК!$J$15)+СПРАВОЧНИК!$F$9*('ПЛАН ЧИСТ К2'!B13*СПРАВОЧНИК!$L$9+'ПЛАН ЧИСТ К2'!C13*СПРАВОЧНИК!$M$9+'ПЛАН ЧИСТ К2'!D13*СПРАВОЧНИК!$N$9+'ПЛАН ЧИСТ К2'!E13*СПРАВОЧНИК!$O$9)+СПРАВОЧНИК!$F$10*('ПЛАН ЧИСТ К2'!F13*СПРАВОЧНИК!$L$10+'ПЛАН ЧИСТ К2'!G13*СПРАВОЧНИК!$M$10+'ПЛАН ЧИСТ К2'!H13*СПРАВОЧНИК!$N$10)+СПРАВОЧНИК!$F$11*('ПЛАН ЧИСТ К2'!I13*СПРАВОЧНИК!$L$11+'ПЛАН ЧИСТ К2'!J13*СПРАВОЧНИК!$M$11+'ПЛАН ЧИСТ К2'!K13*СПРАВОЧНИК!$N$11)+СПРАВОЧНИК!$F$12*('ПЛАН ЧИСТ К2'!L13*СПРАВОЧНИК!$L$12+'ПЛАН ЧИСТ К2'!M13*СПРАВОЧНИК!$M$12+'ПЛАН ЧИСТ К2'!N13*СПРАВОЧНИК!$N$12)+СПРАВОЧНИК!$F$13*('ПЛАН ЧИСТ К2'!O13*СПРАВОЧНИК!$L$13+'ПЛАН ЧИСТ К2'!P13*СПРАВОЧНИК!$M$13+'ПЛАН ЧИСТ К2'!Q13*СПРАВОЧНИК!$N$13)+СПРАВОЧНИК!$F$14*('ПЛАН ЧИСТ К2'!R13*СПРАВОЧНИК!$L$14+'ПЛАН ЧИСТ К2'!S13*СПРАВОЧНИК!$M$14+'ПЛАН ЧИСТ К2'!T13*СПРАВОЧНИК!$N$14)+СПРАВОЧНИК!$F$15*('ПЛАН ЧИСТ К2'!U13*СПРАВОЧНИК!$L$15+'ПЛАН ЧИСТ К2'!V13*СПРАВОЧНИК!$M$15+'ПЛАН ЧИСТ К2'!W13*СПРАВОЧНИК!$N$15)</f>
        <v>0</v>
      </c>
      <c r="AO22" s="40">
        <f>СПРАВОЧНИК!$E$9*(('ФАКТ ЧЕРН К2'!B13)*СПРАВОЧНИК!$H$9+('ФАКТ ЧЕРН К2'!C13)*СПРАВОЧНИК!$I$9+('ФАКТ ЧЕРН К2'!D13)*СПРАВОЧНИК!$J$9)+СПРАВОЧНИК!$E$10*(('ФАКТ ЧЕРН К2'!E13)*СПРАВОЧНИК!$H$10+('ФАКТ ЧЕРН К2'!F13)*СПРАВОЧНИК!$I$10+('ФАКТ ЧЕРН К2'!G13)*СПРАВОЧНИК!$J$10)+СПРАВОЧНИК!$E$11*(('ФАКТ ЧЕРН К2'!H13)*СПРАВОЧНИК!$H$11+('ФАКТ ЧЕРН К2'!I13)*СПРАВОЧНИК!$I$11+('ФАКТ ЧЕРН К2'!J13)*СПРАВОЧНИК!$J$11)+СПРАВОЧНИК!$E$12*(('ФАКТ ЧЕРН К2'!K13)*СПРАВОЧНИК!$H$12+('ФАКТ ЧЕРН К2'!L13)*СПРАВОЧНИК!$I$12+('ФАКТ ЧЕРН К2'!M13)*СПРАВОЧНИК!$J$12)+СПРАВОЧНИК!$E$13*(('ФАКТ ЧЕРН К2'!N13)*СПРАВОЧНИК!$H$13+('ФАКТ ЧЕРН К2'!O13)*СПРАВОЧНИК!$I$13+('ФАКТ ЧЕРН К2'!P13)*СПРАВОЧНИК!$J$13)+СПРАВОЧНИК!$E$14*(('ФАКТ ЧЕРН К2'!Q13)*СПРАВОЧНИК!$H$14+('ФАКТ ЧЕРН К2'!R13)*СПРАВОЧНИК!$I$14+('ФАКТ ЧЕРН К2'!S13)*СПРАВОЧНИК!$J$14)+СПРАВОЧНИК!$E$15*(('ФАКТ ЧЕРН К2'!T13)*СПРАВОЧНИК!$H$15+('ФАКТ ЧЕРН К2'!U13)*СПРАВОЧНИК!$I$15+('ФАКТ ЧЕРН К2'!V13)*СПРАВОЧНИК!$J$15)+СПРАВОЧНИК!$F$9*(('ФАКТ ЧИСТ К2'!B13)*СПРАВОЧНИК!$L$9+('ФАКТ ЧИСТ К2'!C13)*СПРАВОЧНИК!$M$9+('ФАКТ ЧИСТ К2'!D13)*СПРАВОЧНИК!$N$9+('ФАКТ ЧИСТ К2'!E13)*СПРАВОЧНИК!$O$9)+СПРАВОЧНИК!$F$10*(('ФАКТ ЧИСТ К2'!F13)*СПРАВОЧНИК!$L$10+('ФАКТ ЧИСТ К2'!G13)*СПРАВОЧНИК!$M$10+('ФАКТ ЧИСТ К2'!H13)*СПРАВОЧНИК!$N$10)+СПРАВОЧНИК!$F$11*(('ФАКТ ЧИСТ К2'!I13)*СПРАВОЧНИК!$L$11+('ФАКТ ЧИСТ К2'!J13)*СПРАВОЧНИК!$M$11+('ФАКТ ЧИСТ К2'!K13)*СПРАВОЧНИК!$N$11)+СПРАВОЧНИК!$F$12*(('ФАКТ ЧИСТ К2'!L13)*СПРАВОЧНИК!$L$12+('ФАКТ ЧИСТ К2'!M13)*СПРАВОЧНИК!$M$12+('ФАКТ ЧИСТ К2'!N13)*СПРАВОЧНИК!$N$12)+СПРАВОЧНИК!$F$13*(('ФАКТ ЧИСТ К2'!O13)*СПРАВОЧНИК!$L$13+('ФАКТ ЧИСТ К2'!P13)*СПРАВОЧНИК!$M$13+('ФАКТ ЧИСТ К2'!Q13)*СПРАВОЧНИК!$N$13)+СПРАВОЧНИК!$F$14*(('ФАКТ ЧИСТ К2'!R13)*СПРАВОЧНИК!$L$14+('ФАКТ ЧИСТ К2'!S13)*СПРАВОЧНИК!$M$14+('ФАКТ ЧИСТ К2'!T13)*СПРАВОЧНИК!$N$14)+СПРАВОЧНИК!$F$15*(('ФАКТ ЧИСТ К2'!U13)*СПРАВОЧНИК!$L$15+('ФАКТ ЧИСТ К2'!V13)*СПРАВОЧНИК!$M$15+('ФАКТ ЧИСТ К2'!W13)*СПРАВОЧНИК!$N$15)</f>
        <v>0</v>
      </c>
      <c r="AS22" s="18">
        <f t="shared" si="19"/>
        <v>46230</v>
      </c>
      <c r="AT22" s="37">
        <f>'ПЛАН ЧЕРН К2'!B13*СПРАВОЧНИК!$H$9+'ПЛАН ЧЕРН К2'!C13*СПРАВОЧНИК!$I$9+'ПЛАН ЧЕРН К2'!D13*СПРАВОЧНИК!$J$9+'ПЛАН ЧЕРН К2'!E13*СПРАВОЧНИК!$H$10+'ПЛАН ЧЕРН К2'!F13*СПРАВОЧНИК!$I$10+'ПЛАН ЧЕРН К2'!G13*СПРАВОЧНИК!$J$10+'ПЛАН ЧЕРН К2'!H13*СПРАВОЧНИК!$H$11+'ПЛАН ЧЕРН К2'!I13*СПРАВОЧНИК!$I$11+'ПЛАН ЧЕРН К2'!J13*СПРАВОЧНИК!$J$11+'ПЛАН ЧЕРН К2'!K13*СПРАВОЧНИК!$H$12+'ПЛАН ЧЕРН К2'!L13*СПРАВОЧНИК!$I$12+'ПЛАН ЧЕРН К2'!M13*СПРАВОЧНИК!$J$12+'ПЛАН ЧЕРН К2'!N13*СПРАВОЧНИК!$H$13+'ПЛАН ЧЕРН К2'!O13*СПРАВОЧНИК!$I$13+'ПЛАН ЧЕРН К2'!P13*СПРАВОЧНИК!$J$13+'ПЛАН ЧЕРН К2'!Q13*СПРАВОЧНИК!$H$14+'ПЛАН ЧЕРН К2'!R13*СПРАВОЧНИК!$I$14+'ПЛАН ЧЕРН К2'!S13*СПРАВОЧНИК!$J$14+'ПЛАН ЧЕРН К2'!T13*СПРАВОЧНИК!$H$15+'ПЛАН ЧЕРН К2'!U13*СПРАВОЧНИК!$I$15+'ПЛАН ЧЕРН К2'!V13*СПРАВОЧНИК!$J$15</f>
        <v>0</v>
      </c>
      <c r="AU22" s="40">
        <f>('ФАКТ ЧЕРН К2'!B13)*СПРАВОЧНИК!$H$9+('ФАКТ ЧЕРН К2'!C13)*СПРАВОЧНИК!$I$9+('ФАКТ ЧЕРН К2'!D13)*СПРАВОЧНИК!$J$9+('ФАКТ ЧЕРН К2'!E13)*СПРАВОЧНИК!$H$10+('ФАКТ ЧЕРН К2'!F13)*СПРАВОЧНИК!$I$10+('ФАКТ ЧЕРН К2'!G13)*СПРАВОЧНИК!$J$10+('ФАКТ ЧЕРН К2'!H13)*СПРАВОЧНИК!$H$11+('ФАКТ ЧЕРН К2'!I13)*СПРАВОЧНИК!$I$11+('ФАКТ ЧЕРН К2'!J13)*СПРАВОЧНИК!$J$11+('ФАКТ ЧЕРН К2'!K13)*СПРАВОЧНИК!$H$12+('ФАКТ ЧЕРН К2'!L13)*СПРАВОЧНИК!$I$12+('ФАКТ ЧЕРН К2'!M13)*СПРАВОЧНИК!$J$12+('ФАКТ ЧЕРН К2'!N13)*СПРАВОЧНИК!$H$13+('ФАКТ ЧЕРН К2'!O13)*СПРАВОЧНИК!$I$13+('ФАКТ ЧЕРН К2'!P13)*СПРАВОЧНИК!$J$13+('ФАКТ ЧЕРН К2'!Q13)*СПРАВОЧНИК!$H$14+('ФАКТ ЧЕРН К2'!R13)*СПРАВОЧНИК!$I$14+('ФАКТ ЧЕРН К2'!S13)*СПРАВОЧНИК!$J$14+('ФАКТ ЧЕРН К2'!T13)*СПРАВОЧНИК!$H$15+('ФАКТ ЧЕРН К2'!U13)*СПРАВОЧНИК!$I$15+('ФАКТ ЧЕРН К2'!V13)*СПРАВОЧНИК!$J$15</f>
        <v>0</v>
      </c>
      <c r="AY22" s="18">
        <f t="shared" si="20"/>
        <v>46230</v>
      </c>
      <c r="AZ22" s="37">
        <f>'ПЛАН ЧИСТ К2'!B13*СПРАВОЧНИК!$L$9+'ПЛАН ЧИСТ К2'!C13*СПРАВОЧНИК!$M$9+'ПЛАН ЧИСТ К2'!D13*СПРАВОЧНИК!$N$9+'ПЛАН ЧИСТ К2'!E13*СПРАВОЧНИК!$O$9+'ПЛАН ЧИСТ К2'!F13*СПРАВОЧНИК!$L$10+'ПЛАН ЧИСТ К2'!G13*СПРАВОЧНИК!$M$10+'ПЛАН ЧИСТ К2'!H13*СПРАВОЧНИК!$N$10+'ПЛАН ЧИСТ К2'!I13*СПРАВОЧНИК!$L$11+'ПЛАН ЧИСТ К2'!J13*СПРАВОЧНИК!$M$11+'ПЛАН ЧИСТ К2'!K13*СПРАВОЧНИК!$N$11+'ПЛАН ЧИСТ К2'!L13*СПРАВОЧНИК!$L$12+'ПЛАН ЧИСТ К2'!M13*СПРАВОЧНИК!$M$12+'ПЛАН ЧИСТ К2'!N13*СПРАВОЧНИК!$N$12+'ПЛАН ЧИСТ К2'!O13*СПРАВОЧНИК!$L$13+'ПЛАН ЧИСТ К2'!P13*СПРАВОЧНИК!$M$13+'ПЛАН ЧИСТ К2'!Q13*СПРАВОЧНИК!$N$13+'ПЛАН ЧИСТ К2'!R13*СПРАВОЧНИК!$L$14+'ПЛАН ЧИСТ К2'!S13*СПРАВОЧНИК!$M$14+'ПЛАН ЧИСТ К2'!T13*СПРАВОЧНИК!$N$14+'ПЛАН ЧИСТ К2'!U13*СПРАВОЧНИК!$L$15+'ПЛАН ЧИСТ К2'!V13*СПРАВОЧНИК!$M$15+'ПЛАН ЧИСТ К2'!W13*СПРАВОЧНИК!$N$15</f>
        <v>0</v>
      </c>
      <c r="BA22" s="40">
        <f>('ФАКТ ЧИСТ К2'!B13)*СПРАВОЧНИК!$L$9+('ФАКТ ЧИСТ К2'!C13)*СПРАВОЧНИК!$M$9+('ФАКТ ЧИСТ К2'!D13)*СПРАВОЧНИК!$N$9+('ФАКТ ЧИСТ К2'!E13)*СПРАВОЧНИК!$O$9+('ФАКТ ЧИСТ К2'!F13)*СПРАВОЧНИК!$L$10+('ФАКТ ЧИСТ К2'!G13)*СПРАВОЧНИК!$M$10+('ФАКТ ЧИСТ К2'!H13)*СПРАВОЧНИК!$N$10+('ФАКТ ЧИСТ К2'!I13)*СПРАВОЧНИК!$L$11+('ФАКТ ЧИСТ К2'!J13)*СПРАВОЧНИК!$M$11+('ФАКТ ЧИСТ К2'!K13)*СПРАВОЧНИК!$N$11+('ФАКТ ЧИСТ К2'!L13)*СПРАВОЧНИК!$L$12+('ФАКТ ЧИСТ К2'!M13)*СПРАВОЧНИК!$M$12+('ФАКТ ЧИСТ К2'!N13)*СПРАВОЧНИК!$N$12+('ФАКТ ЧИСТ К2'!O13)*СПРАВОЧНИК!$L$13+('ФАКТ ЧИСТ К2'!P13)*СПРАВОЧНИК!$M$13+('ФАКТ ЧИСТ К2'!Q13)*СПРАВОЧНИК!$N$13+('ФАКТ ЧИСТ К2'!R13)*СПРАВОЧНИК!$L$14+('ФАКТ ЧИСТ К2'!S13)*СПРАВОЧНИК!$M$14+('ФАКТ ЧИСТ К2'!T13)*СПРАВОЧНИК!$N$14+('ФАКТ ЧИСТ К2'!U13)*СПРАВОЧНИК!$L$15+('ФАКТ ЧИСТ К2'!V13)*СПРАВОЧНИК!$M$15+('ФАКТ ЧИСТ К2'!W13)*СПРАВОЧНИК!$N$15</f>
        <v>0</v>
      </c>
      <c r="BE22" s="18">
        <f t="shared" si="21"/>
        <v>46230</v>
      </c>
      <c r="BF22" s="37">
        <f>СПРАВОЧНИК!$E$9*('ПЛАН ЧЕРН К3'!B13*СПРАВОЧНИК!$H$9+'ПЛАН ЧЕРН К3'!C13*СПРАВОЧНИК!$I$9+'ПЛАН ЧЕРН К3'!D13*СПРАВОЧНИК!$J$9)+СПРАВОЧНИК!$E$10*('ПЛАН ЧЕРН К3'!E13*СПРАВОЧНИК!$H$10+'ПЛАН ЧЕРН К3'!F13*СПРАВОЧНИК!$I$10+'ПЛАН ЧЕРН К3'!G13*СПРАВОЧНИК!$J$10)+СПРАВОЧНИК!$E$11*('ПЛАН ЧЕРН К3'!H13*СПРАВОЧНИК!$H$11+'ПЛАН ЧЕРН К3'!I13*СПРАВОЧНИК!$I$11+'ПЛАН ЧЕРН К3'!J13*СПРАВОЧНИК!$J$11)+СПРАВОЧНИК!$E$12*('ПЛАН ЧЕРН К3'!K13*СПРАВОЧНИК!$H$12+'ПЛАН ЧЕРН К3'!L13*СПРАВОЧНИК!$I$12+'ПЛАН ЧЕРН К3'!M13*СПРАВОЧНИК!$J$12)+СПРАВОЧНИК!$E$13*('ПЛАН ЧЕРН К3'!N13*СПРАВОЧНИК!$H$13+'ПЛАН ЧЕРН К3'!O13*СПРАВОЧНИК!$I$13+'ПЛАН ЧЕРН К3'!P13*СПРАВОЧНИК!$J$13)+СПРАВОЧНИК!$E$14*('ПЛАН ЧЕРН К3'!Q13*СПРАВОЧНИК!$H$14+'ПЛАН ЧЕРН К3'!R13*СПРАВОЧНИК!$I$14+'ПЛАН ЧЕРН К3'!S13*СПРАВОЧНИК!$J$14)+СПРАВОЧНИК!$E$15*('ПЛАН ЧЕРН К3'!T13*СПРАВОЧНИК!$H$15+'ПЛАН ЧЕРН К3'!U13*СПРАВОЧНИК!$I$15+'ПЛАН ЧЕРН К3'!V13*СПРАВОЧНИК!$J$15)+СПРАВОЧНИК!$F$9*('ПЛАН ЧИСТ К3'!B13*СПРАВОЧНИК!$L$9+'ПЛАН ЧИСТ К3'!C13*СПРАВОЧНИК!$M$9+'ПЛАН ЧИСТ К3'!D13*СПРАВОЧНИК!$N$9+'ПЛАН ЧИСТ К3'!E13*СПРАВОЧНИК!$O$9)+СПРАВОЧНИК!$F$10*('ПЛАН ЧИСТ К3'!F13*СПРАВОЧНИК!$L$10+'ПЛАН ЧИСТ К3'!G13*СПРАВОЧНИК!$M$10+'ПЛАН ЧИСТ К3'!H13*СПРАВОЧНИК!$N$10)+СПРАВОЧНИК!$F$11*('ПЛАН ЧИСТ К3'!I13*СПРАВОЧНИК!$L$11+'ПЛАН ЧИСТ К3'!J13*СПРАВОЧНИК!$M$11+'ПЛАН ЧИСТ К3'!K13*СПРАВОЧНИК!$N$11)+СПРАВОЧНИК!$F$12*('ПЛАН ЧИСТ К3'!L13*СПРАВОЧНИК!$L$12+'ПЛАН ЧИСТ К3'!M13*СПРАВОЧНИК!$M$12+'ПЛАН ЧИСТ К3'!N13*СПРАВОЧНИК!$N$12)+СПРАВОЧНИК!$F$13*('ПЛАН ЧИСТ К3'!O13*СПРАВОЧНИК!$L$13+'ПЛАН ЧИСТ К3'!P13*СПРАВОЧНИК!$M$13+'ПЛАН ЧИСТ К3'!Q13*СПРАВОЧНИК!$N$13)+СПРАВОЧНИК!$F$14*('ПЛАН ЧИСТ К3'!R13*СПРАВОЧНИК!$L$14+'ПЛАН ЧИСТ К3'!S13*СПРАВОЧНИК!$M$14+'ПЛАН ЧИСТ К3'!T13*СПРАВОЧНИК!$N$14)+СПРАВОЧНИК!$F$15*('ПЛАН ЧИСТ К3'!U13*СПРАВОЧНИК!$L$15+'ПЛАН ЧИСТ К3'!V13*СПРАВОЧНИК!$M$15+'ПЛАН ЧИСТ К3'!W13*СПРАВОЧНИК!$N$15)</f>
        <v>0</v>
      </c>
      <c r="BG22" s="40">
        <f>СПРАВОЧНИК!$E$9*(('ФАКТ ЧЕРН К3'!B13)*СПРАВОЧНИК!$H$9+('ФАКТ ЧЕРН К3'!C13)*СПРАВОЧНИК!$I$9+('ФАКТ ЧЕРН К3'!D13)*СПРАВОЧНИК!$J$9)+СПРАВОЧНИК!$E$10*(('ФАКТ ЧЕРН К3'!E13)*СПРАВОЧНИК!$H$10+('ФАКТ ЧЕРН К3'!F13)*СПРАВОЧНИК!$I$10+('ФАКТ ЧЕРН К3'!G13)*СПРАВОЧНИК!$J$10)+СПРАВОЧНИК!$E$11*(('ФАКТ ЧЕРН К3'!H13)*СПРАВОЧНИК!$H$11+('ФАКТ ЧЕРН К3'!I13)*СПРАВОЧНИК!$I$11+('ФАКТ ЧЕРН К3'!J13)*СПРАВОЧНИК!$J$11)+СПРАВОЧНИК!$E$12*(('ФАКТ ЧЕРН К3'!K13)*СПРАВОЧНИК!$H$12+('ФАКТ ЧЕРН К3'!L13)*СПРАВОЧНИК!$I$12+('ФАКТ ЧЕРН К3'!M13)*СПРАВОЧНИК!$J$12)+СПРАВОЧНИК!$E$13*(('ФАКТ ЧЕРН К3'!N13)*СПРАВОЧНИК!$H$13+('ФАКТ ЧЕРН К3'!O13)*СПРАВОЧНИК!$I$13+('ФАКТ ЧЕРН К3'!P13)*СПРАВОЧНИК!$J$13)+СПРАВОЧНИК!$E$14*(('ФАКТ ЧЕРН К3'!Q13)*СПРАВОЧНИК!$H$14+('ФАКТ ЧЕРН К3'!R13)*СПРАВОЧНИК!$I$14+('ФАКТ ЧЕРН К3'!S13)*СПРАВОЧНИК!$J$14)+СПРАВОЧНИК!$E$15*(('ФАКТ ЧЕРН К3'!T13)*СПРАВОЧНИК!$H$15+('ФАКТ ЧЕРН К3'!U13)*СПРАВОЧНИК!$I$15+('ФАКТ ЧЕРН К3'!V13)*СПРАВОЧНИК!$J$15)+СПРАВОЧНИК!$F$9*(('ФАКТ ЧИСТ К3'!B13)*СПРАВОЧНИК!$L$9+('ФАКТ ЧИСТ К3'!C13)*СПРАВОЧНИК!$M$9+('ФАКТ ЧИСТ К3'!D13)*СПРАВОЧНИК!$N$9+('ФАКТ ЧИСТ К3'!E13)*СПРАВОЧНИК!$O$9)+СПРАВОЧНИК!$F$10*(('ФАКТ ЧИСТ К3'!F13)*СПРАВОЧНИК!$L$10+('ФАКТ ЧИСТ К3'!G13)*СПРАВОЧНИК!$M$10+('ФАКТ ЧИСТ К3'!H13)*СПРАВОЧНИК!$N$10)+СПРАВОЧНИК!$F$11*(('ФАКТ ЧИСТ К3'!I13)*СПРАВОЧНИК!$L$11+('ФАКТ ЧИСТ К3'!J13)*СПРАВОЧНИК!$M$11+('ФАКТ ЧИСТ К3'!K13)*СПРАВОЧНИК!$N$11)+СПРАВОЧНИК!$F$12*(('ФАКТ ЧИСТ К3'!L13)*СПРАВОЧНИК!$L$12+('ФАКТ ЧИСТ К3'!M13)*СПРАВОЧНИК!$M$12+('ФАКТ ЧИСТ К3'!N13)*СПРАВОЧНИК!$N$12)+СПРАВОЧНИК!$F$13*(('ФАКТ ЧИСТ К3'!O13)*СПРАВОЧНИК!$L$13+('ФАКТ ЧИСТ К3'!P13)*СПРАВОЧНИК!$M$13+('ФАКТ ЧИСТ К3'!Q13)*СПРАВОЧНИК!$N$13)+СПРАВОЧНИК!$F$14*(('ФАКТ ЧИСТ К3'!R13)*СПРАВОЧНИК!$L$14+('ФАКТ ЧИСТ К3'!S13)*СПРАВОЧНИК!$M$14+('ФАКТ ЧИСТ К3'!T13)*СПРАВОЧНИК!$N$14)+СПРАВОЧНИК!$F$15*(('ФАКТ ЧИСТ К3'!U13)*СПРАВОЧНИК!$L$15+('ФАКТ ЧИСТ К3'!V13)*СПРАВОЧНИК!$M$15+('ФАКТ ЧИСТ К3'!W13)*СПРАВОЧНИК!$N$15)</f>
        <v>0</v>
      </c>
      <c r="BK22" s="18">
        <f t="shared" si="22"/>
        <v>46230</v>
      </c>
      <c r="BL22" s="37">
        <f>'ПЛАН ЧЕРН К3'!B13*СПРАВОЧНИК!$H$9+'ПЛАН ЧЕРН К3'!C13*СПРАВОЧНИК!$I$9+'ПЛАН ЧЕРН К3'!D13*СПРАВОЧНИК!$J$9+'ПЛАН ЧЕРН К3'!E13*СПРАВОЧНИК!$H$10+'ПЛАН ЧЕРН К3'!F13*СПРАВОЧНИК!$I$10+'ПЛАН ЧЕРН К3'!G13*СПРАВОЧНИК!$J$10+'ПЛАН ЧЕРН К3'!H13*СПРАВОЧНИК!$H$11+'ПЛАН ЧЕРН К3'!I13*СПРАВОЧНИК!$I$11+'ПЛАН ЧЕРН К3'!J13*СПРАВОЧНИК!$J$11+'ПЛАН ЧЕРН К3'!K13*СПРАВОЧНИК!$H$12+'ПЛАН ЧЕРН К3'!L13*СПРАВОЧНИК!$I$12+'ПЛАН ЧЕРН К3'!M13*СПРАВОЧНИК!$J$12+'ПЛАН ЧЕРН К3'!N13*СПРАВОЧНИК!$H$13+'ПЛАН ЧЕРН К3'!O13*СПРАВОЧНИК!$I$13+'ПЛАН ЧЕРН К3'!P13*СПРАВОЧНИК!$J$13+'ПЛАН ЧЕРН К3'!Q13*СПРАВОЧНИК!$H$14+'ПЛАН ЧЕРН К3'!R13*СПРАВОЧНИК!$I$14+'ПЛАН ЧЕРН К3'!S13*СПРАВОЧНИК!$J$14+'ПЛАН ЧЕРН К3'!T13*СПРАВОЧНИК!$H$15+'ПЛАН ЧЕРН К3'!U13*СПРАВОЧНИК!$I$15+'ПЛАН ЧЕРН К3'!V13*СПРАВОЧНИК!$J$15</f>
        <v>0</v>
      </c>
      <c r="BM22" s="40">
        <f>('ФАКТ ЧЕРН К3'!B13)*СПРАВОЧНИК!$H$9+('ФАКТ ЧЕРН К3'!C13)*СПРАВОЧНИК!$I$9+('ФАКТ ЧЕРН К3'!D13)*СПРАВОЧНИК!$J$9+('ФАКТ ЧЕРН К3'!E13)*СПРАВОЧНИК!$H$10+('ФАКТ ЧЕРН К3'!F13)*СПРАВОЧНИК!$I$10+('ФАКТ ЧЕРН К3'!G13)*СПРАВОЧНИК!$J$10+('ФАКТ ЧЕРН К3'!H13)*СПРАВОЧНИК!$H$11+('ФАКТ ЧЕРН К3'!I13)*СПРАВОЧНИК!$I$11+('ФАКТ ЧЕРН К3'!J13)*СПРАВОЧНИК!$J$11+('ФАКТ ЧЕРН К3'!K13)*СПРАВОЧНИК!$H$12+('ФАКТ ЧЕРН К3'!L13)*СПРАВОЧНИК!$I$12+('ФАКТ ЧЕРН К3'!M13)*СПРАВОЧНИК!$J$12+('ФАКТ ЧЕРН К3'!N13)*СПРАВОЧНИК!$H$13+('ФАКТ ЧЕРН К3'!O13)*СПРАВОЧНИК!$I$13+('ФАКТ ЧЕРН К3'!P13)*СПРАВОЧНИК!$J$13+('ФАКТ ЧЕРН К3'!Q13)*СПРАВОЧНИК!$H$14+('ФАКТ ЧЕРН К3'!R13)*СПРАВОЧНИК!$I$14+('ФАКТ ЧЕРН К3'!S13)*СПРАВОЧНИК!$J$14+('ФАКТ ЧЕРН К3'!T13)*СПРАВОЧНИК!$H$15+('ФАКТ ЧЕРН К3'!U13)*СПРАВОЧНИК!$I$15+('ФАКТ ЧЕРН К3'!V13)*СПРАВОЧНИК!$J$15</f>
        <v>0</v>
      </c>
      <c r="BQ22" s="18">
        <f t="shared" si="23"/>
        <v>46230</v>
      </c>
      <c r="BR22" s="37">
        <f>'ПЛАН ЧИСТ К3'!B13*СПРАВОЧНИК!$L$9+'ПЛАН ЧИСТ К3'!C13*СПРАВОЧНИК!$M$9+'ПЛАН ЧИСТ К3'!D13*СПРАВОЧНИК!$N$9+'ПЛАН ЧИСТ К3'!E13*СПРАВОЧНИК!$O$9+'ПЛАН ЧИСТ К3'!F13*СПРАВОЧНИК!$L$10+'ПЛАН ЧИСТ К3'!G13*СПРАВОЧНИК!$M$10+'ПЛАН ЧИСТ К3'!H13*СПРАВОЧНИК!$N$10+'ПЛАН ЧИСТ К3'!I13*СПРАВОЧНИК!$L$11+'ПЛАН ЧИСТ К3'!J13*СПРАВОЧНИК!$M$11+'ПЛАН ЧИСТ К3'!K13*СПРАВОЧНИК!$N$11+'ПЛАН ЧИСТ К3'!L13*СПРАВОЧНИК!$L$12+'ПЛАН ЧИСТ К3'!M13*СПРАВОЧНИК!$M$12+'ПЛАН ЧИСТ К3'!N13*СПРАВОЧНИК!$N$12+'ПЛАН ЧИСТ К3'!O13*СПРАВОЧНИК!$L$13+'ПЛАН ЧИСТ К3'!P13*СПРАВОЧНИК!$M$13+'ПЛАН ЧИСТ К3'!Q13*СПРАВОЧНИК!$N$13+'ПЛАН ЧИСТ К3'!R13*СПРАВОЧНИК!$L$14+'ПЛАН ЧИСТ К3'!S13*СПРАВОЧНИК!$M$14+'ПЛАН ЧИСТ К3'!T13*СПРАВОЧНИК!$N$14+'ПЛАН ЧИСТ К3'!U13*СПРАВОЧНИК!$L$15+'ПЛАН ЧИСТ К3'!V13*СПРАВОЧНИК!$M$15+'ПЛАН ЧИСТ К3'!W13*СПРАВОЧНИК!$N$15</f>
        <v>0</v>
      </c>
      <c r="BS22" s="40">
        <f>('ФАКТ ЧИСТ К3'!B13)*СПРАВОЧНИК!$L$9+('ФАКТ ЧИСТ К3'!C13)*СПРАВОЧНИК!$M$9+('ФАКТ ЧИСТ К3'!D13)*СПРАВОЧНИК!$N$9+('ФАКТ ЧИСТ К3'!E13)*СПРАВОЧНИК!$O$9+('ФАКТ ЧИСТ К3'!F13)*СПРАВОЧНИК!$L$10+('ФАКТ ЧИСТ К3'!G13)*СПРАВОЧНИК!$M$10+('ФАКТ ЧИСТ К3'!H13)*СПРАВОЧНИК!$N$10+('ФАКТ ЧИСТ К3'!I13)*СПРАВОЧНИК!$L$11+('ФАКТ ЧИСТ К3'!J13)*СПРАВОЧНИК!$M$11+('ФАКТ ЧИСТ К3'!K13)*СПРАВОЧНИК!$N$11+('ФАКТ ЧИСТ К3'!L13)*СПРАВОЧНИК!$L$12+('ФАКТ ЧИСТ К3'!M13)*СПРАВОЧНИК!$M$12+('ФАКТ ЧИСТ К3'!N13)*СПРАВОЧНИК!$N$12+('ФАКТ ЧИСТ К3'!O13)*СПРАВОЧНИК!$L$13+('ФАКТ ЧИСТ К3'!P13)*СПРАВОЧНИК!$M$13+('ФАКТ ЧИСТ К3'!Q13)*СПРАВОЧНИК!$N$13+('ФАКТ ЧИСТ К3'!R13)*СПРАВОЧНИК!$L$14+('ФАКТ ЧИСТ К3'!S13)*СПРАВОЧНИК!$M$14+('ФАКТ ЧИСТ К3'!T13)*СПРАВОЧНИК!$N$14+('ФАКТ ЧИСТ К3'!U13)*СПРАВОЧНИК!$L$15+('ФАКТ ЧИСТ К3'!V13)*СПРАВОЧНИК!$M$15+('ФАКТ ЧИСТ К3'!W13)*СПРАВОЧНИК!$N$15</f>
        <v>0</v>
      </c>
      <c r="BW22" s="18">
        <f t="shared" si="24"/>
        <v>46230</v>
      </c>
      <c r="BX22" s="37">
        <f t="shared" si="0"/>
        <v>0</v>
      </c>
      <c r="BY22" s="40">
        <f t="shared" si="1"/>
        <v>0</v>
      </c>
      <c r="CC22" s="18">
        <f t="shared" si="25"/>
        <v>46230</v>
      </c>
      <c r="CD22" s="37">
        <f t="shared" si="2"/>
        <v>0</v>
      </c>
      <c r="CE22" s="40">
        <f t="shared" si="3"/>
        <v>0</v>
      </c>
      <c r="CI22" s="18">
        <f t="shared" si="26"/>
        <v>46230</v>
      </c>
      <c r="CJ22" s="37">
        <f t="shared" si="4"/>
        <v>0</v>
      </c>
      <c r="CK22" s="40">
        <f t="shared" si="5"/>
        <v>0</v>
      </c>
      <c r="CO22" s="18">
        <f t="shared" si="27"/>
        <v>46230</v>
      </c>
      <c r="CP22" s="37">
        <f t="shared" si="6"/>
        <v>0</v>
      </c>
      <c r="CQ22" s="40">
        <f t="shared" si="7"/>
        <v>0</v>
      </c>
      <c r="CU22" s="18">
        <f t="shared" si="28"/>
        <v>46230</v>
      </c>
      <c r="CV22" s="37">
        <f t="shared" si="8"/>
        <v>0</v>
      </c>
      <c r="CW22" s="40">
        <f t="shared" si="9"/>
        <v>0</v>
      </c>
      <c r="DA22" s="18">
        <f t="shared" si="29"/>
        <v>46230</v>
      </c>
      <c r="DB22" s="37">
        <f t="shared" si="10"/>
        <v>0</v>
      </c>
      <c r="DC22" s="40">
        <f t="shared" si="11"/>
        <v>0</v>
      </c>
    </row>
    <row r="23" spans="3:107" x14ac:dyDescent="0.25">
      <c r="C23" s="18">
        <f t="shared" si="12"/>
        <v>46237</v>
      </c>
      <c r="D23" s="37">
        <f>СПРАВОЧНИК!$E$3*('ПЛАН ЧЕРН ПОДЗЕМ'!B14*СПРАВОЧНИК!$H$3+'ПЛАН ЧЕРН ПОДЗЕМ'!C14*СПРАВОЧНИК!$I$3+'ПЛАН ЧЕРН ПОДЗЕМ'!D14*СПРАВОЧНИК!$J$3)+СПРАВОЧНИК!$E$4*('ПЛАН ЧЕРН ПОДЗЕМ'!E14*СПРАВОЧНИК!$H$4+'ПЛАН ЧЕРН ПОДЗЕМ'!F14*СПРАВОЧНИК!$I$4+'ПЛАН ЧЕРН ПОДЗЕМ'!G14*СПРАВОЧНИК!$J$4)+СПРАВОЧНИК!$E$5*('ПЛАН ЧЕРН ПОДЗЕМ'!H14*СПРАВОЧНИК!$H$5+'ПЛАН ЧЕРН ПОДЗЕМ'!I14*СПРАВОЧНИК!$I$5+'ПЛАН ЧЕРН ПОДЗЕМ'!J14*СПРАВОЧНИК!$J$5)+СПРАВОЧНИК!$E$6*('ПЛАН ЧЕРН ПОДЗЕМ'!K14*СПРАВОЧНИК!$H$6+'ПЛАН ЧЕРН ПОДЗЕМ'!L14*СПРАВОЧНИК!$I$6+'ПЛАН ЧЕРН ПОДЗЕМ'!M14*СПРАВОЧНИК!$J$6)+СПРАВОЧНИК!$E$7*('ПЛАН ЧЕРН ПОДЗЕМ'!N14*СПРАВОЧНИК!$H$7+'ПЛАН ЧЕРН ПОДЗЕМ'!O14*СПРАВОЧНИК!$I$7+'ПЛАН ЧЕРН ПОДЗЕМ'!P14*СПРАВОЧНИК!$J$7)+СПРАВОЧНИК!$E$8*('ПЛАН ЧЕРН ПОДЗЕМ'!Q14*СПРАВОЧНИК!$H$8+'ПЛАН ЧЕРН ПОДЗЕМ'!R14*СПРАВОЧНИК!$I$8+'ПЛАН ЧЕРН ПОДЗЕМ'!S14*СПРАВОЧНИК!$J$8)+СПРАВОЧНИК!$F$3*('ПЛАН ЧИСТ ПОДЗЕМ'!B14*СПРАВОЧНИК!$L$3+'ПЛАН ЧИСТ ПОДЗЕМ'!C14*СПРАВОЧНИК!$M$3+'ПЛАН ЧИСТ ПОДЗЕМ'!D14*СПРАВОЧНИК!$N$3)+СПРАВОЧНИК!$F$4*('ПЛАН ЧИСТ ПОДЗЕМ'!E14*СПРАВОЧНИК!$L$4+'ПЛАН ЧИСТ ПОДЗЕМ'!F14*СПРАВОЧНИК!$M$4+'ПЛАН ЧИСТ ПОДЗЕМ'!G14*СПРАВОЧНИК!$N$4)+СПРАВОЧНИК!$F$5*('ПЛАН ЧИСТ ПОДЗЕМ'!H14*СПРАВОЧНИК!$L$5+'ПЛАН ЧИСТ ПОДЗЕМ'!I14*СПРАВОЧНИК!$M$5+'ПЛАН ЧИСТ ПОДЗЕМ'!J14*СПРАВОЧНИК!$N$5)+СПРАВОЧНИК!$F$6*('ПЛАН ЧИСТ ПОДЗЕМ'!K14*СПРАВОЧНИК!$L$6+'ПЛАН ЧИСТ ПОДЗЕМ'!L14*СПРАВОЧНИК!$M$6+'ПЛАН ЧИСТ ПОДЗЕМ'!M14*СПРАВОЧНИК!$N$6)+СПРАВОЧНИК!$F$7*('ПЛАН ЧИСТ ПОДЗЕМ'!N14*СПРАВОЧНИК!$L$7+'ПЛАН ЧИСТ ПОДЗЕМ'!O14*СПРАВОЧНИК!$M$7+'ПЛАН ЧИСТ ПОДЗЕМ'!P14*СПРАВОЧНИК!$N$7)+СПРАВОЧНИК!$F$8*('ПЛАН ЧИСТ ПОДЗЕМ'!Q14*СПРАВОЧНИК!$L$8+'ПЛАН ЧИСТ ПОДЗЕМ'!R14*СПРАВОЧНИК!$M$8+'ПЛАН ЧИСТ ПОДЗЕМ'!S14*СПРАВОЧНИК!$N$8)</f>
        <v>0</v>
      </c>
      <c r="E23" s="40">
        <f>СПРАВОЧНИК!$E$3*(('ФАКТ ЧЕРН ПОДЗЕМ'!B14)*СПРАВОЧНИК!$H$3+('ФАКТ ЧЕРН ПОДЗЕМ'!C14)*СПРАВОЧНИК!$I$3+('ФАКТ ЧЕРН ПОДЗЕМ'!D14)*СПРАВОЧНИК!$J$3)+СПРАВОЧНИК!$E$4*(('ФАКТ ЧЕРН ПОДЗЕМ'!E14)*СПРАВОЧНИК!$H$4+('ФАКТ ЧЕРН ПОДЗЕМ'!F14)*СПРАВОЧНИК!$I$4+('ФАКТ ЧЕРН ПОДЗЕМ'!G14)*СПРАВОЧНИК!$J$4)+СПРАВОЧНИК!$E$5*(('ФАКТ ЧЕРН ПОДЗЕМ'!H14)*СПРАВОЧНИК!$H$5+('ФАКТ ЧЕРН ПОДЗЕМ'!I14)*СПРАВОЧНИК!$I$5+('ФАКТ ЧЕРН ПОДЗЕМ'!J14)*СПРАВОЧНИК!$J$5)+СПРАВОЧНИК!$E$6*(('ФАКТ ЧЕРН ПОДЗЕМ'!K14)*СПРАВОЧНИК!$H$6+('ФАКТ ЧЕРН ПОДЗЕМ'!L14)*СПРАВОЧНИК!$I$6+('ФАКТ ЧЕРН ПОДЗЕМ'!M14)*СПРАВОЧНИК!$J$6)+СПРАВОЧНИК!$E$7*(('ФАКТ ЧЕРН ПОДЗЕМ'!N14)*СПРАВОЧНИК!$H$7+('ФАКТ ЧЕРН ПОДЗЕМ'!O14)*СПРАВОЧНИК!$I$7+('ФАКТ ЧЕРН ПОДЗЕМ'!P14)*СПРАВОЧНИК!$J$7)+СПРАВОЧНИК!$E$8*(('ФАКТ ЧЕРН ПОДЗЕМ'!Q14)*СПРАВОЧНИК!$H$8+('ФАКТ ЧЕРН ПОДЗЕМ'!R14)*СПРАВОЧНИК!$I$8+('ФАКТ ЧЕРН ПОДЗЕМ'!S14)*СПРАВОЧНИК!$J$8)+СПРАВОЧНИК!$F$3*(('ФАКТ ЧИСТ ПОДЗЕМ'!B14)*СПРАВОЧНИК!$L$3+('ФАКТ ЧИСТ ПОДЗЕМ'!C14)*СПРАВОЧНИК!$M$3+('ФАКТ ЧИСТ ПОДЗЕМ'!D14)*СПРАВОЧНИК!$N$3)+СПРАВОЧНИК!$F$4*(('ФАКТ ЧИСТ ПОДЗЕМ'!E14)*СПРАВОЧНИК!$L$4+('ФАКТ ЧИСТ ПОДЗЕМ'!F14)*СПРАВОЧНИК!$M$4+('ФАКТ ЧИСТ ПОДЗЕМ'!G14)*СПРАВОЧНИК!$N$4)+СПРАВОЧНИК!$F$5*(('ФАКТ ЧИСТ ПОДЗЕМ'!H14)*СПРАВОЧНИК!$L$5+('ФАКТ ЧИСТ ПОДЗЕМ'!I14)*СПРАВОЧНИК!$M$5+('ФАКТ ЧИСТ ПОДЗЕМ'!J14)*СПРАВОЧНИК!$N$5)+СПРАВОЧНИК!$F$6*(('ФАКТ ЧИСТ ПОДЗЕМ'!K14)*СПРАВОЧНИК!$L$6+('ФАКТ ЧИСТ ПОДЗЕМ'!L14)*СПРАВОЧНИК!$M$6+('ФАКТ ЧИСТ ПОДЗЕМ'!M14)*СПРАВОЧНИК!$N$6)+СПРАВОЧНИК!$F$7*(('ФАКТ ЧИСТ ПОДЗЕМ'!N14)*СПРАВОЧНИК!$L$7+('ФАКТ ЧИСТ ПОДЗЕМ'!O14)*СПРАВОЧНИК!$M$7+('ФАКТ ЧИСТ ПОДЗЕМ'!P14)*СПРАВОЧНИК!$N$7)+СПРАВОЧНИК!$F$8*(('ФАКТ ЧИСТ ПОДЗЕМ'!Q14)*СПРАВОЧНИК!$L$8+('ФАКТ ЧИСТ ПОДЗЕМ'!R14)*СПРАВОЧНИК!$M$8+('ФАКТ ЧИСТ ПОДЗЕМ'!S14)*СПРАВОЧНИК!$N$8)</f>
        <v>0</v>
      </c>
      <c r="I23" s="18">
        <f t="shared" si="13"/>
        <v>46237</v>
      </c>
      <c r="J23" s="37">
        <f>'ПЛАН ЧЕРН ПОДЗЕМ'!B14*СПРАВОЧНИК!$H$3+'ПЛАН ЧЕРН ПОДЗЕМ'!C14*СПРАВОЧНИК!$I$3+'ПЛАН ЧЕРН ПОДЗЕМ'!D14*СПРАВОЧНИК!$J$3+'ПЛАН ЧЕРН ПОДЗЕМ'!E14*СПРАВОЧНИК!$H$4+'ПЛАН ЧЕРН ПОДЗЕМ'!F14*СПРАВОЧНИК!$I$4+'ПЛАН ЧЕРН ПОДЗЕМ'!G14*СПРАВОЧНИК!$J$4+'ПЛАН ЧЕРН ПОДЗЕМ'!H14*СПРАВОЧНИК!$H$5+'ПЛАН ЧЕРН ПОДЗЕМ'!I14*СПРАВОЧНИК!$I$5+'ПЛАН ЧЕРН ПОДЗЕМ'!J14*СПРАВОЧНИК!$J$5+'ПЛАН ЧЕРН ПОДЗЕМ'!K14*СПРАВОЧНИК!$H$6+'ПЛАН ЧЕРН ПОДЗЕМ'!L14*СПРАВОЧНИК!$I$6+'ПЛАН ЧЕРН ПОДЗЕМ'!M14*СПРАВОЧНИК!$J$6+'ПЛАН ЧЕРН ПОДЗЕМ'!N14*СПРАВОЧНИК!$H$7+'ПЛАН ЧЕРН ПОДЗЕМ'!O14*СПРАВОЧНИК!$I$7+'ПЛАН ЧЕРН ПОДЗЕМ'!P14*СПРАВОЧНИК!$J$7+'ПЛАН ЧЕРН ПОДЗЕМ'!Q14*СПРАВОЧНИК!$H$8+'ПЛАН ЧЕРН ПОДЗЕМ'!R14*СПРАВОЧНИК!$I$8+'ПЛАН ЧЕРН ПОДЗЕМ'!S14*СПРАВОЧНИК!$J$8</f>
        <v>0</v>
      </c>
      <c r="K23" s="40">
        <f>('ФАКТ ЧЕРН ПОДЗЕМ'!B14)*СПРАВОЧНИК!$H$3+('ФАКТ ЧЕРН ПОДЗЕМ'!C14)*СПРАВОЧНИК!$I$3+('ФАКТ ЧЕРН ПОДЗЕМ'!D14)*СПРАВОЧНИК!$J$3+('ФАКТ ЧЕРН ПОДЗЕМ'!E14)*СПРАВОЧНИК!$H$4+('ФАКТ ЧЕРН ПОДЗЕМ'!F14)*СПРАВОЧНИК!$I$4+('ФАКТ ЧЕРН ПОДЗЕМ'!G14)*СПРАВОЧНИК!$J$4+('ФАКТ ЧЕРН ПОДЗЕМ'!H14)*СПРАВОЧНИК!$H$5+('ФАКТ ЧЕРН ПОДЗЕМ'!I14)*СПРАВОЧНИК!$I$5+('ФАКТ ЧЕРН ПОДЗЕМ'!J14)*СПРАВОЧНИК!$J$5+('ФАКТ ЧЕРН ПОДЗЕМ'!K14)*СПРАВОЧНИК!$H$6+('ФАКТ ЧЕРН ПОДЗЕМ'!L14)*СПРАВОЧНИК!$I$6+('ФАКТ ЧЕРН ПОДЗЕМ'!M14)*СПРАВОЧНИК!$J$6+('ФАКТ ЧЕРН ПОДЗЕМ'!N14)*СПРАВОЧНИК!$H$7+('ФАКТ ЧЕРН ПОДЗЕМ'!O14)*СПРАВОЧНИК!$I$7+('ФАКТ ЧЕРН ПОДЗЕМ'!P14)*СПРАВОЧНИК!$J$7+('ФАКТ ЧЕРН ПОДЗЕМ'!Q14)*СПРАВОЧНИК!$H$8+('ФАКТ ЧЕРН ПОДЗЕМ'!R14)*СПРАВОЧНИК!$I$8+('ФАКТ ЧЕРН ПОДЗЕМ'!S14)*СПРАВОЧНИК!$J$8</f>
        <v>0</v>
      </c>
      <c r="O23" s="18">
        <f t="shared" si="14"/>
        <v>46237</v>
      </c>
      <c r="P23" s="37">
        <f>'ПЛАН ЧИСТ ПОДЗЕМ'!B14*СПРАВОЧНИК!$L$3+'ПЛАН ЧИСТ ПОДЗЕМ'!C14*СПРАВОЧНИК!$M$3+'ПЛАН ЧИСТ ПОДЗЕМ'!D14*СПРАВОЧНИК!$N$3+'ПЛАН ЧИСТ ПОДЗЕМ'!E14*СПРАВОЧНИК!$L$4+'ПЛАН ЧИСТ ПОДЗЕМ'!F14*СПРАВОЧНИК!$M$4+'ПЛАН ЧИСТ ПОДЗЕМ'!G14*СПРАВОЧНИК!$N$4+'ПЛАН ЧИСТ ПОДЗЕМ'!H14*СПРАВОЧНИК!$L$5+'ПЛАН ЧИСТ ПОДЗЕМ'!I14*СПРАВОЧНИК!$M$5+'ПЛАН ЧИСТ ПОДЗЕМ'!J14*СПРАВОЧНИК!$N$5+'ПЛАН ЧИСТ ПОДЗЕМ'!K14*СПРАВОЧНИК!$L$6+'ПЛАН ЧИСТ ПОДЗЕМ'!L14*СПРАВОЧНИК!$M$6+'ПЛАН ЧИСТ ПОДЗЕМ'!M14*СПРАВОЧНИК!$N$6+'ПЛАН ЧИСТ ПОДЗЕМ'!N14*СПРАВОЧНИК!$L$7+'ПЛАН ЧИСТ ПОДЗЕМ'!O14*СПРАВОЧНИК!$M$7+'ПЛАН ЧИСТ ПОДЗЕМ'!P14*СПРАВОЧНИК!$N$7+'ПЛАН ЧИСТ ПОДЗЕМ'!Q14*СПРАВОЧНИК!$L$8+'ПЛАН ЧИСТ ПОДЗЕМ'!R14*СПРАВОЧНИК!$M$8+'ПЛАН ЧИСТ ПОДЗЕМ'!S14*СПРАВОЧНИК!$N$8</f>
        <v>0</v>
      </c>
      <c r="Q23" s="40">
        <f>('ФАКТ ЧИСТ ПОДЗЕМ'!B14)*СПРАВОЧНИК!$L$3+('ФАКТ ЧИСТ ПОДЗЕМ'!C14)*СПРАВОЧНИК!$M$3+('ФАКТ ЧИСТ ПОДЗЕМ'!D14)*СПРАВОЧНИК!$N$3+('ФАКТ ЧИСТ ПОДЗЕМ'!E14)*СПРАВОЧНИК!$L$4+('ФАКТ ЧИСТ ПОДЗЕМ'!F14)*СПРАВОЧНИК!$M$4+('ФАКТ ЧИСТ ПОДЗЕМ'!G14)*СПРАВОЧНИК!$N$4+('ФАКТ ЧИСТ ПОДЗЕМ'!H14)*СПРАВОЧНИК!$L$5+('ФАКТ ЧИСТ ПОДЗЕМ'!I14)*СПРАВОЧНИК!$M$5+('ФАКТ ЧИСТ ПОДЗЕМ'!J14)*СПРАВОЧНИК!$N$5+('ФАКТ ЧИСТ ПОДЗЕМ'!K14)*СПРАВОЧНИК!$L$6+('ФАКТ ЧИСТ ПОДЗЕМ'!L14)*СПРАВОЧНИК!$M$6+('ФАКТ ЧИСТ ПОДЗЕМ'!M14)*СПРАВОЧНИК!$N$6+('ФАКТ ЧИСТ ПОДЗЕМ'!N14)*СПРАВОЧНИК!$L$7+('ФАКТ ЧИСТ ПОДЗЕМ'!O14)*СПРАВОЧНИК!$M$7+('ФАКТ ЧИСТ ПОДЗЕМ'!P14)*СПРАВОЧНИК!$N$7+('ФАКТ ЧИСТ ПОДЗЕМ'!Q14)*СПРАВОЧНИК!$L$8+('ФАКТ ЧИСТ ПОДЗЕМ'!R14)*СПРАВОЧНИК!$M$8+('ФАКТ ЧИСТ ПОДЗЕМ'!S14)*СПРАВОЧНИК!$N$8</f>
        <v>0</v>
      </c>
      <c r="U23" s="18">
        <f t="shared" si="15"/>
        <v>46237</v>
      </c>
      <c r="V23" s="37">
        <f>СПРАВОЧНИК!$E$9*('ПЛАН ЧЕРН К1'!B14*СПРАВОЧНИК!$H$9+'ПЛАН ЧЕРН К1'!C14*СПРАВОЧНИК!$I$9+'ПЛАН ЧЕРН К1'!D14*СПРАВОЧНИК!$J$9)+СПРАВОЧНИК!$E$10*('ПЛАН ЧЕРН К1'!E14*СПРАВОЧНИК!$H$10+'ПЛАН ЧЕРН К1'!F14*СПРАВОЧНИК!$I$10+'ПЛАН ЧЕРН К1'!G14*СПРАВОЧНИК!$J$10)+СПРАВОЧНИК!$E$11*('ПЛАН ЧЕРН К1'!H14*СПРАВОЧНИК!$H$11+'ПЛАН ЧЕРН К1'!I14*СПРАВОЧНИК!$I$11+'ПЛАН ЧЕРН К1'!J14*СПРАВОЧНИК!$J$11)+СПРАВОЧНИК!$E$12*('ПЛАН ЧЕРН К1'!K14*СПРАВОЧНИК!$H$12+'ПЛАН ЧЕРН К1'!L14*СПРАВОЧНИК!$I$12+'ПЛАН ЧЕРН К1'!M14*СПРАВОЧНИК!$J$12)+СПРАВОЧНИК!$E$13*('ПЛАН ЧЕРН К1'!N14*СПРАВОЧНИК!$H$13+'ПЛАН ЧЕРН К1'!O14*СПРАВОЧНИК!$I$13+'ПЛАН ЧЕРН К1'!P14*СПРАВОЧНИК!$J$13)+СПРАВОЧНИК!$E$14*('ПЛАН ЧЕРН К1'!Q14*СПРАВОЧНИК!$H$14+'ПЛАН ЧЕРН К1'!R14*СПРАВОЧНИК!$I$14+'ПЛАН ЧЕРН К1'!S14*СПРАВОЧНИК!$J$14)+СПРАВОЧНИК!$E$15*('ПЛАН ЧЕРН К1'!T14*СПРАВОЧНИК!$H$15+'ПЛАН ЧЕРН К1'!U14*СПРАВОЧНИК!$I$15+'ПЛАН ЧЕРН К1'!V14*СПРАВОЧНИК!$J$15)+СПРАВОЧНИК!$F$9*('ПЛАН ЧИСТ К1'!B14*СПРАВОЧНИК!$L$9+'ПЛАН ЧИСТ К1'!C14*СПРАВОЧНИК!$M$9+'ПЛАН ЧИСТ К1'!D14*СПРАВОЧНИК!$N$9+'ПЛАН ЧИСТ К1'!E14*СПРАВОЧНИК!$O$9)+СПРАВОЧНИК!$F$10*('ПЛАН ЧИСТ К1'!F14*СПРАВОЧНИК!$L$10+'ПЛАН ЧИСТ К1'!G14*СПРАВОЧНИК!$M$10+'ПЛАН ЧИСТ К1'!H14*СПРАВОЧНИК!$N$10)+СПРАВОЧНИК!$F$11*('ПЛАН ЧИСТ К1'!I14*СПРАВОЧНИК!$L$11+'ПЛАН ЧИСТ К1'!J14*СПРАВОЧНИК!$M$11+'ПЛАН ЧИСТ К1'!K14*СПРАВОЧНИК!$N$11)+СПРАВОЧНИК!$F$12*('ПЛАН ЧИСТ К1'!L14*СПРАВОЧНИК!$L$12+'ПЛАН ЧИСТ К1'!M14*СПРАВОЧНИК!$M$12+'ПЛАН ЧИСТ К1'!N14*СПРАВОЧНИК!$N$12)+СПРАВОЧНИК!$F$13*('ПЛАН ЧИСТ К1'!O14*СПРАВОЧНИК!$L$13+'ПЛАН ЧИСТ К1'!P14*СПРАВОЧНИК!$M$13+'ПЛАН ЧИСТ К1'!Q14*СПРАВОЧНИК!$N$13)+СПРАВОЧНИК!$F$14*('ПЛАН ЧИСТ К1'!R14*СПРАВОЧНИК!$L$14+'ПЛАН ЧИСТ К1'!S14*СПРАВОЧНИК!$M$14+'ПЛАН ЧИСТ К1'!T14*СПРАВОЧНИК!$N$14)+СПРАВОЧНИК!$F$15*('ПЛАН ЧИСТ К1'!U14*СПРАВОЧНИК!$L$15+'ПЛАН ЧИСТ К1'!V14*СПРАВОЧНИК!$M$15+'ПЛАН ЧИСТ К1'!W14*СПРАВОЧНИК!$N$15)</f>
        <v>0</v>
      </c>
      <c r="W23" s="40">
        <f>СПРАВОЧНИК!$E$9*(('ФАКТ ЧЕРН К1'!B14)*СПРАВОЧНИК!$H$9+('ФАКТ ЧЕРН К1'!C14)*СПРАВОЧНИК!$I$9+('ФАКТ ЧЕРН К1'!D14)*СПРАВОЧНИК!$J$9)+СПРАВОЧНИК!$E$10*(('ФАКТ ЧЕРН К1'!E14)*СПРАВОЧНИК!$H$10+('ФАКТ ЧЕРН К1'!F14)*СПРАВОЧНИК!$I$10+('ФАКТ ЧЕРН К1'!G14)*СПРАВОЧНИК!$J$10)+СПРАВОЧНИК!$E$11*(('ФАКТ ЧЕРН К1'!H14)*СПРАВОЧНИК!$H$11+('ФАКТ ЧЕРН К1'!I14)*СПРАВОЧНИК!$I$11+('ФАКТ ЧЕРН К1'!J14)*СПРАВОЧНИК!$J$11)+СПРАВОЧНИК!$E$12*(('ФАКТ ЧЕРН К1'!K14)*СПРАВОЧНИК!$H$12+('ФАКТ ЧЕРН К1'!L14)*СПРАВОЧНИК!$I$12+('ФАКТ ЧЕРН К1'!M14)*СПРАВОЧНИК!$J$12)+СПРАВОЧНИК!$E$13*(('ФАКТ ЧЕРН К1'!N14)*СПРАВОЧНИК!$H$13+('ФАКТ ЧЕРН К1'!O14)*СПРАВОЧНИК!$I$13+('ФАКТ ЧЕРН К1'!P14)*СПРАВОЧНИК!$J$13)+СПРАВОЧНИК!$E$14*(('ФАКТ ЧЕРН К1'!Q14)*СПРАВОЧНИК!$H$14+('ФАКТ ЧЕРН К1'!R14)*СПРАВОЧНИК!$I$14+('ФАКТ ЧЕРН К1'!S14)*СПРАВОЧНИК!$J$14)+СПРАВОЧНИК!$E$15*(('ФАКТ ЧЕРН К1'!T14)*СПРАВОЧНИК!$H$15+('ФАКТ ЧЕРН К1'!U14)*СПРАВОЧНИК!$I$15+('ФАКТ ЧЕРН К1'!V14)*СПРАВОЧНИК!$J$15)+СПРАВОЧНИК!$F$9*(('ФАКТ ЧИСТ К1'!B14)*СПРАВОЧНИК!$L$9+('ФАКТ ЧИСТ К1'!C14)*СПРАВОЧНИК!$M$9+('ФАКТ ЧИСТ К1'!D14)*СПРАВОЧНИК!$N$9+('ФАКТ ЧИСТ К1'!E14)*СПРАВОЧНИК!$O$9)+СПРАВОЧНИК!$F$10*(('ФАКТ ЧИСТ К1'!F14)*СПРАВОЧНИК!$L$10+('ФАКТ ЧИСТ К1'!G14)*СПРАВОЧНИК!$M$10+('ФАКТ ЧИСТ К1'!H14)*СПРАВОЧНИК!$N$10)+СПРАВОЧНИК!$F$11*(('ФАКТ ЧИСТ К1'!I14)*СПРАВОЧНИК!$L$11+('ФАКТ ЧИСТ К1'!J14)*СПРАВОЧНИК!$M$11+('ФАКТ ЧИСТ К1'!K14)*СПРАВОЧНИК!$N$11)+СПРАВОЧНИК!$F$12*(('ФАКТ ЧИСТ К1'!L14)*СПРАВОЧНИК!$L$12+('ФАКТ ЧИСТ К1'!M14)*СПРАВОЧНИК!$M$12+('ФАКТ ЧИСТ К1'!N14)*СПРАВОЧНИК!$N$12)+СПРАВОЧНИК!$F$13*(('ФАКТ ЧИСТ К1'!O14)*СПРАВОЧНИК!$L$13+('ФАКТ ЧИСТ К1'!P14)*СПРАВОЧНИК!$M$13+('ФАКТ ЧИСТ К1'!Q14)*СПРАВОЧНИК!$N$13)+СПРАВОЧНИК!$F$14*(('ФАКТ ЧИСТ К1'!R14)*СПРАВОЧНИК!$L$14+('ФАКТ ЧИСТ К1'!S14)*СПРАВОЧНИК!$M$14+('ФАКТ ЧИСТ К1'!T14)*СПРАВОЧНИК!$N$14)+СПРАВОЧНИК!$F$15*(('ФАКТ ЧИСТ К1'!U14)*СПРАВОЧНИК!$L$15+('ФАКТ ЧИСТ К1'!V14)*СПРАВОЧНИК!$M$15+('ФАКТ ЧИСТ К1'!W14)*СПРАВОЧНИК!$N$15)</f>
        <v>0</v>
      </c>
      <c r="AA23" s="18">
        <f t="shared" si="16"/>
        <v>46237</v>
      </c>
      <c r="AB23" s="37">
        <f>'ПЛАН ЧЕРН К1'!B14*СПРАВОЧНИК!$H$9+'ПЛАН ЧЕРН К1'!C14*СПРАВОЧНИК!$I$9+'ПЛАН ЧЕРН К1'!D14*СПРАВОЧНИК!$J$9+'ПЛАН ЧЕРН К1'!E14*СПРАВОЧНИК!$H$10+'ПЛАН ЧЕРН К1'!F14*СПРАВОЧНИК!$I$10+'ПЛАН ЧЕРН К1'!G14*СПРАВОЧНИК!$J$10+'ПЛАН ЧЕРН К1'!H14*СПРАВОЧНИК!$H$11+'ПЛАН ЧЕРН К1'!I14*СПРАВОЧНИК!$I$11+'ПЛАН ЧЕРН К1'!J14*СПРАВОЧНИК!$J$11+'ПЛАН ЧЕРН К1'!K14*СПРАВОЧНИК!$H$12+'ПЛАН ЧЕРН К1'!L14*СПРАВОЧНИК!$I$12+'ПЛАН ЧЕРН К1'!M14*СПРАВОЧНИК!$J$12+'ПЛАН ЧЕРН К1'!N14*СПРАВОЧНИК!$H$13+'ПЛАН ЧЕРН К1'!O14*СПРАВОЧНИК!$I$13+'ПЛАН ЧЕРН К1'!P14*СПРАВОЧНИК!$J$13+'ПЛАН ЧЕРН К1'!Q14*СПРАВОЧНИК!$H$14+'ПЛАН ЧЕРН К1'!R14*СПРАВОЧНИК!$I$14+'ПЛАН ЧЕРН К1'!S14*СПРАВОЧНИК!$J$14+'ПЛАН ЧЕРН К1'!T14*СПРАВОЧНИК!$H$15+'ПЛАН ЧЕРН К1'!U14*СПРАВОЧНИК!$I$15+'ПЛАН ЧЕРН К1'!V14*СПРАВОЧНИК!$J$15</f>
        <v>0</v>
      </c>
      <c r="AC23" s="40">
        <f>('ФАКТ ЧЕРН К1'!B14)*СПРАВОЧНИК!$H$9+('ФАКТ ЧЕРН К1'!C14)*СПРАВОЧНИК!$I$9+('ФАКТ ЧЕРН К1'!D14)*СПРАВОЧНИК!$J$9+('ФАКТ ЧЕРН К1'!E14)*СПРАВОЧНИК!$H$10+('ФАКТ ЧЕРН К1'!F14)*СПРАВОЧНИК!$I$10+('ФАКТ ЧЕРН К1'!G14)*СПРАВОЧНИК!$J$10+('ФАКТ ЧЕРН К1'!H14)*СПРАВОЧНИК!$H$11+('ФАКТ ЧЕРН К1'!I14)*СПРАВОЧНИК!$I$11+('ФАКТ ЧЕРН К1'!J14)*СПРАВОЧНИК!$J$11+('ФАКТ ЧЕРН К1'!K14)*СПРАВОЧНИК!$H$12+('ФАКТ ЧЕРН К1'!L14)*СПРАВОЧНИК!$I$12+('ФАКТ ЧЕРН К1'!M14)*СПРАВОЧНИК!$J$12+('ФАКТ ЧЕРН К1'!N14)*СПРАВОЧНИК!$H$13+('ФАКТ ЧЕРН К1'!O14)*СПРАВОЧНИК!$I$13+('ФАКТ ЧЕРН К1'!P14)*СПРАВОЧНИК!$J$13+('ФАКТ ЧЕРН К1'!Q14)*СПРАВОЧНИК!$H$14+('ФАКТ ЧЕРН К1'!R14)*СПРАВОЧНИК!$I$14+('ФАКТ ЧЕРН К1'!S14)*СПРАВОЧНИК!$J$14+('ФАКТ ЧЕРН К1'!T14)*СПРАВОЧНИК!$H$15+('ФАКТ ЧЕРН К1'!U14)*СПРАВОЧНИК!$I$15+('ФАКТ ЧЕРН К1'!V14)*СПРАВОЧНИК!$J$15</f>
        <v>0</v>
      </c>
      <c r="AG23" s="18">
        <f t="shared" si="17"/>
        <v>46237</v>
      </c>
      <c r="AH23" s="37">
        <f>'ПЛАН ЧИСТ К1'!B14*СПРАВОЧНИК!$L$9+'ПЛАН ЧИСТ К1'!C14*СПРАВОЧНИК!$M$9+'ПЛАН ЧИСТ К1'!D14*СПРАВОЧНИК!$N$9+'ПЛАН ЧИСТ К1'!E14*СПРАВОЧНИК!$O$9+'ПЛАН ЧИСТ К1'!F14*СПРАВОЧНИК!$L$10+'ПЛАН ЧИСТ К1'!G14*СПРАВОЧНИК!$M$10+'ПЛАН ЧИСТ К1'!H14*СПРАВОЧНИК!$N$10+'ПЛАН ЧИСТ К1'!I14*СПРАВОЧНИК!$L$11+'ПЛАН ЧИСТ К1'!J14*СПРАВОЧНИК!$M$11+'ПЛАН ЧИСТ К1'!K14*СПРАВОЧНИК!$N$11+'ПЛАН ЧИСТ К1'!L14*СПРАВОЧНИК!$L$12+'ПЛАН ЧИСТ К1'!M14*СПРАВОЧНИК!$M$12+'ПЛАН ЧИСТ К1'!N14*СПРАВОЧНИК!$N$12+'ПЛАН ЧИСТ К1'!O14*СПРАВОЧНИК!$L$13+'ПЛАН ЧИСТ К1'!P14*СПРАВОЧНИК!$M$13+'ПЛАН ЧИСТ К1'!Q14*СПРАВОЧНИК!$N$13+'ПЛАН ЧИСТ К1'!R14*СПРАВОЧНИК!$L$14+'ПЛАН ЧИСТ К1'!S14*СПРАВОЧНИК!$M$14+'ПЛАН ЧИСТ К1'!T14*СПРАВОЧНИК!$N$14+'ПЛАН ЧИСТ К1'!U14*СПРАВОЧНИК!$L$15+'ПЛАН ЧИСТ К1'!V14*СПРАВОЧНИК!$M$15+'ПЛАН ЧИСТ К1'!W14*СПРАВОЧНИК!$N$15</f>
        <v>0</v>
      </c>
      <c r="AI23" s="40">
        <f>('ФАКТ ЧИСТ К1'!B14)*СПРАВОЧНИК!$L$9+('ФАКТ ЧИСТ К1'!C14)*СПРАВОЧНИК!$M$9+('ФАКТ ЧИСТ К1'!D14)*СПРАВОЧНИК!$N$9+('ФАКТ ЧИСТ К1'!E14)*СПРАВОЧНИК!$O$9+('ФАКТ ЧИСТ К1'!F14)*СПРАВОЧНИК!$L$10+('ФАКТ ЧИСТ К1'!G14)*СПРАВОЧНИК!$M$10+('ФАКТ ЧИСТ К1'!H14)*СПРАВОЧНИК!$N$10+('ФАКТ ЧИСТ К1'!I14)*СПРАВОЧНИК!$L$11+('ФАКТ ЧИСТ К1'!J14)*СПРАВОЧНИК!$M$11+('ФАКТ ЧИСТ К1'!K14)*СПРАВОЧНИК!$N$11+('ФАКТ ЧИСТ К1'!L14)*СПРАВОЧНИК!$L$12+('ФАКТ ЧИСТ К1'!M14)*СПРАВОЧНИК!$M$12+('ФАКТ ЧИСТ К1'!N14)*СПРАВОЧНИК!$N$12+('ФАКТ ЧИСТ К1'!O14)*СПРАВОЧНИК!$L$13+('ФАКТ ЧИСТ К1'!P14)*СПРАВОЧНИК!$M$13+('ФАКТ ЧИСТ К1'!Q14)*СПРАВОЧНИК!$N$13+('ФАКТ ЧИСТ К1'!R14)*СПРАВОЧНИК!$L$14+('ФАКТ ЧИСТ К1'!S14)*СПРАВОЧНИК!$M$14+('ФАКТ ЧИСТ К1'!T14)*СПРАВОЧНИК!$N$14+('ФАКТ ЧИСТ К1'!U14)*СПРАВОЧНИК!$L$15+('ФАКТ ЧИСТ К1'!V14)*СПРАВОЧНИК!$M$15+('ФАКТ ЧИСТ К1'!W14)*СПРАВОЧНИК!$N$15</f>
        <v>0</v>
      </c>
      <c r="AM23" s="18">
        <f t="shared" si="18"/>
        <v>46237</v>
      </c>
      <c r="AN23" s="37">
        <f>СПРАВОЧНИК!$E$9*('ПЛАН ЧЕРН К2'!B14*СПРАВОЧНИК!$H$9+'ПЛАН ЧЕРН К2'!C14*СПРАВОЧНИК!$I$9+'ПЛАН ЧЕРН К2'!D14*СПРАВОЧНИК!$J$9)+СПРАВОЧНИК!$E$10*('ПЛАН ЧЕРН К2'!E14*СПРАВОЧНИК!$H$10+'ПЛАН ЧЕРН К2'!F14*СПРАВОЧНИК!$I$10+'ПЛАН ЧЕРН К2'!G14*СПРАВОЧНИК!$J$10)+СПРАВОЧНИК!$E$11*('ПЛАН ЧЕРН К2'!H14*СПРАВОЧНИК!$H$11+'ПЛАН ЧЕРН К2'!I14*СПРАВОЧНИК!$I$11+'ПЛАН ЧЕРН К2'!J14*СПРАВОЧНИК!$J$11)+СПРАВОЧНИК!$E$12*('ПЛАН ЧЕРН К2'!K14*СПРАВОЧНИК!$H$12+'ПЛАН ЧЕРН К2'!L14*СПРАВОЧНИК!$I$12+'ПЛАН ЧЕРН К2'!M14*СПРАВОЧНИК!$J$12)+СПРАВОЧНИК!$E$13*('ПЛАН ЧЕРН К2'!N14*СПРАВОЧНИК!$H$13+'ПЛАН ЧЕРН К2'!O14*СПРАВОЧНИК!$I$13+'ПЛАН ЧЕРН К2'!P14*СПРАВОЧНИК!$J$13)+СПРАВОЧНИК!$E$14*('ПЛАН ЧЕРН К2'!Q14*СПРАВОЧНИК!$H$14+'ПЛАН ЧЕРН К2'!R14*СПРАВОЧНИК!$I$14+'ПЛАН ЧЕРН К2'!S14*СПРАВОЧНИК!$J$14)+СПРАВОЧНИК!$E$15*('ПЛАН ЧЕРН К2'!T14*СПРАВОЧНИК!$H$15+'ПЛАН ЧЕРН К2'!U14*СПРАВОЧНИК!$I$15+'ПЛАН ЧЕРН К2'!V14*СПРАВОЧНИК!$J$15)+СПРАВОЧНИК!$F$9*('ПЛАН ЧИСТ К2'!B14*СПРАВОЧНИК!$L$9+'ПЛАН ЧИСТ К2'!C14*СПРАВОЧНИК!$M$9+'ПЛАН ЧИСТ К2'!D14*СПРАВОЧНИК!$N$9+'ПЛАН ЧИСТ К2'!E14*СПРАВОЧНИК!$O$9)+СПРАВОЧНИК!$F$10*('ПЛАН ЧИСТ К2'!F14*СПРАВОЧНИК!$L$10+'ПЛАН ЧИСТ К2'!G14*СПРАВОЧНИК!$M$10+'ПЛАН ЧИСТ К2'!H14*СПРАВОЧНИК!$N$10)+СПРАВОЧНИК!$F$11*('ПЛАН ЧИСТ К2'!I14*СПРАВОЧНИК!$L$11+'ПЛАН ЧИСТ К2'!J14*СПРАВОЧНИК!$M$11+'ПЛАН ЧИСТ К2'!K14*СПРАВОЧНИК!$N$11)+СПРАВОЧНИК!$F$12*('ПЛАН ЧИСТ К2'!L14*СПРАВОЧНИК!$L$12+'ПЛАН ЧИСТ К2'!M14*СПРАВОЧНИК!$M$12+'ПЛАН ЧИСТ К2'!N14*СПРАВОЧНИК!$N$12)+СПРАВОЧНИК!$F$13*('ПЛАН ЧИСТ К2'!O14*СПРАВОЧНИК!$L$13+'ПЛАН ЧИСТ К2'!P14*СПРАВОЧНИК!$M$13+'ПЛАН ЧИСТ К2'!Q14*СПРАВОЧНИК!$N$13)+СПРАВОЧНИК!$F$14*('ПЛАН ЧИСТ К2'!R14*СПРАВОЧНИК!$L$14+'ПЛАН ЧИСТ К2'!S14*СПРАВОЧНИК!$M$14+'ПЛАН ЧИСТ К2'!T14*СПРАВОЧНИК!$N$14)+СПРАВОЧНИК!$F$15*('ПЛАН ЧИСТ К2'!U14*СПРАВОЧНИК!$L$15+'ПЛАН ЧИСТ К2'!V14*СПРАВОЧНИК!$M$15+'ПЛАН ЧИСТ К2'!W14*СПРАВОЧНИК!$N$15)</f>
        <v>0</v>
      </c>
      <c r="AO23" s="40">
        <f>СПРАВОЧНИК!$E$9*(('ФАКТ ЧЕРН К2'!B14)*СПРАВОЧНИК!$H$9+('ФАКТ ЧЕРН К2'!C14)*СПРАВОЧНИК!$I$9+('ФАКТ ЧЕРН К2'!D14)*СПРАВОЧНИК!$J$9)+СПРАВОЧНИК!$E$10*(('ФАКТ ЧЕРН К2'!E14)*СПРАВОЧНИК!$H$10+('ФАКТ ЧЕРН К2'!F14)*СПРАВОЧНИК!$I$10+('ФАКТ ЧЕРН К2'!G14)*СПРАВОЧНИК!$J$10)+СПРАВОЧНИК!$E$11*(('ФАКТ ЧЕРН К2'!H14)*СПРАВОЧНИК!$H$11+('ФАКТ ЧЕРН К2'!I14)*СПРАВОЧНИК!$I$11+('ФАКТ ЧЕРН К2'!J14)*СПРАВОЧНИК!$J$11)+СПРАВОЧНИК!$E$12*(('ФАКТ ЧЕРН К2'!K14)*СПРАВОЧНИК!$H$12+('ФАКТ ЧЕРН К2'!L14)*СПРАВОЧНИК!$I$12+('ФАКТ ЧЕРН К2'!M14)*СПРАВОЧНИК!$J$12)+СПРАВОЧНИК!$E$13*(('ФАКТ ЧЕРН К2'!N14)*СПРАВОЧНИК!$H$13+('ФАКТ ЧЕРН К2'!O14)*СПРАВОЧНИК!$I$13+('ФАКТ ЧЕРН К2'!P14)*СПРАВОЧНИК!$J$13)+СПРАВОЧНИК!$E$14*(('ФАКТ ЧЕРН К2'!Q14)*СПРАВОЧНИК!$H$14+('ФАКТ ЧЕРН К2'!R14)*СПРАВОЧНИК!$I$14+('ФАКТ ЧЕРН К2'!S14)*СПРАВОЧНИК!$J$14)+СПРАВОЧНИК!$E$15*(('ФАКТ ЧЕРН К2'!T14)*СПРАВОЧНИК!$H$15+('ФАКТ ЧЕРН К2'!U14)*СПРАВОЧНИК!$I$15+('ФАКТ ЧЕРН К2'!V14)*СПРАВОЧНИК!$J$15)+СПРАВОЧНИК!$F$9*(('ФАКТ ЧИСТ К2'!B14)*СПРАВОЧНИК!$L$9+('ФАКТ ЧИСТ К2'!C14)*СПРАВОЧНИК!$M$9+('ФАКТ ЧИСТ К2'!D14)*СПРАВОЧНИК!$N$9+('ФАКТ ЧИСТ К2'!E14)*СПРАВОЧНИК!$O$9)+СПРАВОЧНИК!$F$10*(('ФАКТ ЧИСТ К2'!F14)*СПРАВОЧНИК!$L$10+('ФАКТ ЧИСТ К2'!G14)*СПРАВОЧНИК!$M$10+('ФАКТ ЧИСТ К2'!H14)*СПРАВОЧНИК!$N$10)+СПРАВОЧНИК!$F$11*(('ФАКТ ЧИСТ К2'!I14)*СПРАВОЧНИК!$L$11+('ФАКТ ЧИСТ К2'!J14)*СПРАВОЧНИК!$M$11+('ФАКТ ЧИСТ К2'!K14)*СПРАВОЧНИК!$N$11)+СПРАВОЧНИК!$F$12*(('ФАКТ ЧИСТ К2'!L14)*СПРАВОЧНИК!$L$12+('ФАКТ ЧИСТ К2'!M14)*СПРАВОЧНИК!$M$12+('ФАКТ ЧИСТ К2'!N14)*СПРАВОЧНИК!$N$12)+СПРАВОЧНИК!$F$13*(('ФАКТ ЧИСТ К2'!O14)*СПРАВОЧНИК!$L$13+('ФАКТ ЧИСТ К2'!P14)*СПРАВОЧНИК!$M$13+('ФАКТ ЧИСТ К2'!Q14)*СПРАВОЧНИК!$N$13)+СПРАВОЧНИК!$F$14*(('ФАКТ ЧИСТ К2'!R14)*СПРАВОЧНИК!$L$14+('ФАКТ ЧИСТ К2'!S14)*СПРАВОЧНИК!$M$14+('ФАКТ ЧИСТ К2'!T14)*СПРАВОЧНИК!$N$14)+СПРАВОЧНИК!$F$15*(('ФАКТ ЧИСТ К2'!U14)*СПРАВОЧНИК!$L$15+('ФАКТ ЧИСТ К2'!V14)*СПРАВОЧНИК!$M$15+('ФАКТ ЧИСТ К2'!W14)*СПРАВОЧНИК!$N$15)</f>
        <v>0</v>
      </c>
      <c r="AS23" s="18">
        <f t="shared" si="19"/>
        <v>46237</v>
      </c>
      <c r="AT23" s="37">
        <f>'ПЛАН ЧЕРН К2'!B14*СПРАВОЧНИК!$H$9+'ПЛАН ЧЕРН К2'!C14*СПРАВОЧНИК!$I$9+'ПЛАН ЧЕРН К2'!D14*СПРАВОЧНИК!$J$9+'ПЛАН ЧЕРН К2'!E14*СПРАВОЧНИК!$H$10+'ПЛАН ЧЕРН К2'!F14*СПРАВОЧНИК!$I$10+'ПЛАН ЧЕРН К2'!G14*СПРАВОЧНИК!$J$10+'ПЛАН ЧЕРН К2'!H14*СПРАВОЧНИК!$H$11+'ПЛАН ЧЕРН К2'!I14*СПРАВОЧНИК!$I$11+'ПЛАН ЧЕРН К2'!J14*СПРАВОЧНИК!$J$11+'ПЛАН ЧЕРН К2'!K14*СПРАВОЧНИК!$H$12+'ПЛАН ЧЕРН К2'!L14*СПРАВОЧНИК!$I$12+'ПЛАН ЧЕРН К2'!M14*СПРАВОЧНИК!$J$12+'ПЛАН ЧЕРН К2'!N14*СПРАВОЧНИК!$H$13+'ПЛАН ЧЕРН К2'!O14*СПРАВОЧНИК!$I$13+'ПЛАН ЧЕРН К2'!P14*СПРАВОЧНИК!$J$13+'ПЛАН ЧЕРН К2'!Q14*СПРАВОЧНИК!$H$14+'ПЛАН ЧЕРН К2'!R14*СПРАВОЧНИК!$I$14+'ПЛАН ЧЕРН К2'!S14*СПРАВОЧНИК!$J$14+'ПЛАН ЧЕРН К2'!T14*СПРАВОЧНИК!$H$15+'ПЛАН ЧЕРН К2'!U14*СПРАВОЧНИК!$I$15+'ПЛАН ЧЕРН К2'!V14*СПРАВОЧНИК!$J$15</f>
        <v>0</v>
      </c>
      <c r="AU23" s="40">
        <f>('ФАКТ ЧЕРН К2'!B14)*СПРАВОЧНИК!$H$9+('ФАКТ ЧЕРН К2'!C14)*СПРАВОЧНИК!$I$9+('ФАКТ ЧЕРН К2'!D14)*СПРАВОЧНИК!$J$9+('ФАКТ ЧЕРН К2'!E14)*СПРАВОЧНИК!$H$10+('ФАКТ ЧЕРН К2'!F14)*СПРАВОЧНИК!$I$10+('ФАКТ ЧЕРН К2'!G14)*СПРАВОЧНИК!$J$10+('ФАКТ ЧЕРН К2'!H14)*СПРАВОЧНИК!$H$11+('ФАКТ ЧЕРН К2'!I14)*СПРАВОЧНИК!$I$11+('ФАКТ ЧЕРН К2'!J14)*СПРАВОЧНИК!$J$11+('ФАКТ ЧЕРН К2'!K14)*СПРАВОЧНИК!$H$12+('ФАКТ ЧЕРН К2'!L14)*СПРАВОЧНИК!$I$12+('ФАКТ ЧЕРН К2'!M14)*СПРАВОЧНИК!$J$12+('ФАКТ ЧЕРН К2'!N14)*СПРАВОЧНИК!$H$13+('ФАКТ ЧЕРН К2'!O14)*СПРАВОЧНИК!$I$13+('ФАКТ ЧЕРН К2'!P14)*СПРАВОЧНИК!$J$13+('ФАКТ ЧЕРН К2'!Q14)*СПРАВОЧНИК!$H$14+('ФАКТ ЧЕРН К2'!R14)*СПРАВОЧНИК!$I$14+('ФАКТ ЧЕРН К2'!S14)*СПРАВОЧНИК!$J$14+('ФАКТ ЧЕРН К2'!T14)*СПРАВОЧНИК!$H$15+('ФАКТ ЧЕРН К2'!U14)*СПРАВОЧНИК!$I$15+('ФАКТ ЧЕРН К2'!V14)*СПРАВОЧНИК!$J$15</f>
        <v>0</v>
      </c>
      <c r="AY23" s="18">
        <f t="shared" si="20"/>
        <v>46237</v>
      </c>
      <c r="AZ23" s="37">
        <f>'ПЛАН ЧИСТ К2'!B14*СПРАВОЧНИК!$L$9+'ПЛАН ЧИСТ К2'!C14*СПРАВОЧНИК!$M$9+'ПЛАН ЧИСТ К2'!D14*СПРАВОЧНИК!$N$9+'ПЛАН ЧИСТ К2'!E14*СПРАВОЧНИК!$O$9+'ПЛАН ЧИСТ К2'!F14*СПРАВОЧНИК!$L$10+'ПЛАН ЧИСТ К2'!G14*СПРАВОЧНИК!$M$10+'ПЛАН ЧИСТ К2'!H14*СПРАВОЧНИК!$N$10+'ПЛАН ЧИСТ К2'!I14*СПРАВОЧНИК!$L$11+'ПЛАН ЧИСТ К2'!J14*СПРАВОЧНИК!$M$11+'ПЛАН ЧИСТ К2'!K14*СПРАВОЧНИК!$N$11+'ПЛАН ЧИСТ К2'!L14*СПРАВОЧНИК!$L$12+'ПЛАН ЧИСТ К2'!M14*СПРАВОЧНИК!$M$12+'ПЛАН ЧИСТ К2'!N14*СПРАВОЧНИК!$N$12+'ПЛАН ЧИСТ К2'!O14*СПРАВОЧНИК!$L$13+'ПЛАН ЧИСТ К2'!P14*СПРАВОЧНИК!$M$13+'ПЛАН ЧИСТ К2'!Q14*СПРАВОЧНИК!$N$13+'ПЛАН ЧИСТ К2'!R14*СПРАВОЧНИК!$L$14+'ПЛАН ЧИСТ К2'!S14*СПРАВОЧНИК!$M$14+'ПЛАН ЧИСТ К2'!T14*СПРАВОЧНИК!$N$14+'ПЛАН ЧИСТ К2'!U14*СПРАВОЧНИК!$L$15+'ПЛАН ЧИСТ К2'!V14*СПРАВОЧНИК!$M$15+'ПЛАН ЧИСТ К2'!W14*СПРАВОЧНИК!$N$15</f>
        <v>0</v>
      </c>
      <c r="BA23" s="40">
        <f>('ФАКТ ЧИСТ К2'!B14)*СПРАВОЧНИК!$L$9+('ФАКТ ЧИСТ К2'!C14)*СПРАВОЧНИК!$M$9+('ФАКТ ЧИСТ К2'!D14)*СПРАВОЧНИК!$N$9+('ФАКТ ЧИСТ К2'!E14)*СПРАВОЧНИК!$O$9+('ФАКТ ЧИСТ К2'!F14)*СПРАВОЧНИК!$L$10+('ФАКТ ЧИСТ К2'!G14)*СПРАВОЧНИК!$M$10+('ФАКТ ЧИСТ К2'!H14)*СПРАВОЧНИК!$N$10+('ФАКТ ЧИСТ К2'!I14)*СПРАВОЧНИК!$L$11+('ФАКТ ЧИСТ К2'!J14)*СПРАВОЧНИК!$M$11+('ФАКТ ЧИСТ К2'!K14)*СПРАВОЧНИК!$N$11+('ФАКТ ЧИСТ К2'!L14)*СПРАВОЧНИК!$L$12+('ФАКТ ЧИСТ К2'!M14)*СПРАВОЧНИК!$M$12+('ФАКТ ЧИСТ К2'!N14)*СПРАВОЧНИК!$N$12+('ФАКТ ЧИСТ К2'!O14)*СПРАВОЧНИК!$L$13+('ФАКТ ЧИСТ К2'!P14)*СПРАВОЧНИК!$M$13+('ФАКТ ЧИСТ К2'!Q14)*СПРАВОЧНИК!$N$13+('ФАКТ ЧИСТ К2'!R14)*СПРАВОЧНИК!$L$14+('ФАКТ ЧИСТ К2'!S14)*СПРАВОЧНИК!$M$14+('ФАКТ ЧИСТ К2'!T14)*СПРАВОЧНИК!$N$14+('ФАКТ ЧИСТ К2'!U14)*СПРАВОЧНИК!$L$15+('ФАКТ ЧИСТ К2'!V14)*СПРАВОЧНИК!$M$15+('ФАКТ ЧИСТ К2'!W14)*СПРАВОЧНИК!$N$15</f>
        <v>0</v>
      </c>
      <c r="BE23" s="18">
        <f t="shared" si="21"/>
        <v>46237</v>
      </c>
      <c r="BF23" s="37">
        <f>СПРАВОЧНИК!$E$9*('ПЛАН ЧЕРН К3'!B14*СПРАВОЧНИК!$H$9+'ПЛАН ЧЕРН К3'!C14*СПРАВОЧНИК!$I$9+'ПЛАН ЧЕРН К3'!D14*СПРАВОЧНИК!$J$9)+СПРАВОЧНИК!$E$10*('ПЛАН ЧЕРН К3'!E14*СПРАВОЧНИК!$H$10+'ПЛАН ЧЕРН К3'!F14*СПРАВОЧНИК!$I$10+'ПЛАН ЧЕРН К3'!G14*СПРАВОЧНИК!$J$10)+СПРАВОЧНИК!$E$11*('ПЛАН ЧЕРН К3'!H14*СПРАВОЧНИК!$H$11+'ПЛАН ЧЕРН К3'!I14*СПРАВОЧНИК!$I$11+'ПЛАН ЧЕРН К3'!J14*СПРАВОЧНИК!$J$11)+СПРАВОЧНИК!$E$12*('ПЛАН ЧЕРН К3'!K14*СПРАВОЧНИК!$H$12+'ПЛАН ЧЕРН К3'!L14*СПРАВОЧНИК!$I$12+'ПЛАН ЧЕРН К3'!M14*СПРАВОЧНИК!$J$12)+СПРАВОЧНИК!$E$13*('ПЛАН ЧЕРН К3'!N14*СПРАВОЧНИК!$H$13+'ПЛАН ЧЕРН К3'!O14*СПРАВОЧНИК!$I$13+'ПЛАН ЧЕРН К3'!P14*СПРАВОЧНИК!$J$13)+СПРАВОЧНИК!$E$14*('ПЛАН ЧЕРН К3'!Q14*СПРАВОЧНИК!$H$14+'ПЛАН ЧЕРН К3'!R14*СПРАВОЧНИК!$I$14+'ПЛАН ЧЕРН К3'!S14*СПРАВОЧНИК!$J$14)+СПРАВОЧНИК!$E$15*('ПЛАН ЧЕРН К3'!T14*СПРАВОЧНИК!$H$15+'ПЛАН ЧЕРН К3'!U14*СПРАВОЧНИК!$I$15+'ПЛАН ЧЕРН К3'!V14*СПРАВОЧНИК!$J$15)+СПРАВОЧНИК!$F$9*('ПЛАН ЧИСТ К3'!B14*СПРАВОЧНИК!$L$9+'ПЛАН ЧИСТ К3'!C14*СПРАВОЧНИК!$M$9+'ПЛАН ЧИСТ К3'!D14*СПРАВОЧНИК!$N$9+'ПЛАН ЧИСТ К3'!E14*СПРАВОЧНИК!$O$9)+СПРАВОЧНИК!$F$10*('ПЛАН ЧИСТ К3'!F14*СПРАВОЧНИК!$L$10+'ПЛАН ЧИСТ К3'!G14*СПРАВОЧНИК!$M$10+'ПЛАН ЧИСТ К3'!H14*СПРАВОЧНИК!$N$10)+СПРАВОЧНИК!$F$11*('ПЛАН ЧИСТ К3'!I14*СПРАВОЧНИК!$L$11+'ПЛАН ЧИСТ К3'!J14*СПРАВОЧНИК!$M$11+'ПЛАН ЧИСТ К3'!K14*СПРАВОЧНИК!$N$11)+СПРАВОЧНИК!$F$12*('ПЛАН ЧИСТ К3'!L14*СПРАВОЧНИК!$L$12+'ПЛАН ЧИСТ К3'!M14*СПРАВОЧНИК!$M$12+'ПЛАН ЧИСТ К3'!N14*СПРАВОЧНИК!$N$12)+СПРАВОЧНИК!$F$13*('ПЛАН ЧИСТ К3'!O14*СПРАВОЧНИК!$L$13+'ПЛАН ЧИСТ К3'!P14*СПРАВОЧНИК!$M$13+'ПЛАН ЧИСТ К3'!Q14*СПРАВОЧНИК!$N$13)+СПРАВОЧНИК!$F$14*('ПЛАН ЧИСТ К3'!R14*СПРАВОЧНИК!$L$14+'ПЛАН ЧИСТ К3'!S14*СПРАВОЧНИК!$M$14+'ПЛАН ЧИСТ К3'!T14*СПРАВОЧНИК!$N$14)+СПРАВОЧНИК!$F$15*('ПЛАН ЧИСТ К3'!U14*СПРАВОЧНИК!$L$15+'ПЛАН ЧИСТ К3'!V14*СПРАВОЧНИК!$M$15+'ПЛАН ЧИСТ К3'!W14*СПРАВОЧНИК!$N$15)</f>
        <v>0</v>
      </c>
      <c r="BG23" s="40">
        <f>СПРАВОЧНИК!$E$9*(('ФАКТ ЧЕРН К3'!B14)*СПРАВОЧНИК!$H$9+('ФАКТ ЧЕРН К3'!C14)*СПРАВОЧНИК!$I$9+('ФАКТ ЧЕРН К3'!D14)*СПРАВОЧНИК!$J$9)+СПРАВОЧНИК!$E$10*(('ФАКТ ЧЕРН К3'!E14)*СПРАВОЧНИК!$H$10+('ФАКТ ЧЕРН К3'!F14)*СПРАВОЧНИК!$I$10+('ФАКТ ЧЕРН К3'!G14)*СПРАВОЧНИК!$J$10)+СПРАВОЧНИК!$E$11*(('ФАКТ ЧЕРН К3'!H14)*СПРАВОЧНИК!$H$11+('ФАКТ ЧЕРН К3'!I14)*СПРАВОЧНИК!$I$11+('ФАКТ ЧЕРН К3'!J14)*СПРАВОЧНИК!$J$11)+СПРАВОЧНИК!$E$12*(('ФАКТ ЧЕРН К3'!K14)*СПРАВОЧНИК!$H$12+('ФАКТ ЧЕРН К3'!L14)*СПРАВОЧНИК!$I$12+('ФАКТ ЧЕРН К3'!M14)*СПРАВОЧНИК!$J$12)+СПРАВОЧНИК!$E$13*(('ФАКТ ЧЕРН К3'!N14)*СПРАВОЧНИК!$H$13+('ФАКТ ЧЕРН К3'!O14)*СПРАВОЧНИК!$I$13+('ФАКТ ЧЕРН К3'!P14)*СПРАВОЧНИК!$J$13)+СПРАВОЧНИК!$E$14*(('ФАКТ ЧЕРН К3'!Q14)*СПРАВОЧНИК!$H$14+('ФАКТ ЧЕРН К3'!R14)*СПРАВОЧНИК!$I$14+('ФАКТ ЧЕРН К3'!S14)*СПРАВОЧНИК!$J$14)+СПРАВОЧНИК!$E$15*(('ФАКТ ЧЕРН К3'!T14)*СПРАВОЧНИК!$H$15+('ФАКТ ЧЕРН К3'!U14)*СПРАВОЧНИК!$I$15+('ФАКТ ЧЕРН К3'!V14)*СПРАВОЧНИК!$J$15)+СПРАВОЧНИК!$F$9*(('ФАКТ ЧИСТ К3'!B14)*СПРАВОЧНИК!$L$9+('ФАКТ ЧИСТ К3'!C14)*СПРАВОЧНИК!$M$9+('ФАКТ ЧИСТ К3'!D14)*СПРАВОЧНИК!$N$9+('ФАКТ ЧИСТ К3'!E14)*СПРАВОЧНИК!$O$9)+СПРАВОЧНИК!$F$10*(('ФАКТ ЧИСТ К3'!F14)*СПРАВОЧНИК!$L$10+('ФАКТ ЧИСТ К3'!G14)*СПРАВОЧНИК!$M$10+('ФАКТ ЧИСТ К3'!H14)*СПРАВОЧНИК!$N$10)+СПРАВОЧНИК!$F$11*(('ФАКТ ЧИСТ К3'!I14)*СПРАВОЧНИК!$L$11+('ФАКТ ЧИСТ К3'!J14)*СПРАВОЧНИК!$M$11+('ФАКТ ЧИСТ К3'!K14)*СПРАВОЧНИК!$N$11)+СПРАВОЧНИК!$F$12*(('ФАКТ ЧИСТ К3'!L14)*СПРАВОЧНИК!$L$12+('ФАКТ ЧИСТ К3'!M14)*СПРАВОЧНИК!$M$12+('ФАКТ ЧИСТ К3'!N14)*СПРАВОЧНИК!$N$12)+СПРАВОЧНИК!$F$13*(('ФАКТ ЧИСТ К3'!O14)*СПРАВОЧНИК!$L$13+('ФАКТ ЧИСТ К3'!P14)*СПРАВОЧНИК!$M$13+('ФАКТ ЧИСТ К3'!Q14)*СПРАВОЧНИК!$N$13)+СПРАВОЧНИК!$F$14*(('ФАКТ ЧИСТ К3'!R14)*СПРАВОЧНИК!$L$14+('ФАКТ ЧИСТ К3'!S14)*СПРАВОЧНИК!$M$14+('ФАКТ ЧИСТ К3'!T14)*СПРАВОЧНИК!$N$14)+СПРАВОЧНИК!$F$15*(('ФАКТ ЧИСТ К3'!U14)*СПРАВОЧНИК!$L$15+('ФАКТ ЧИСТ К3'!V14)*СПРАВОЧНИК!$M$15+('ФАКТ ЧИСТ К3'!W14)*СПРАВОЧНИК!$N$15)</f>
        <v>0</v>
      </c>
      <c r="BK23" s="18">
        <f t="shared" si="22"/>
        <v>46237</v>
      </c>
      <c r="BL23" s="37">
        <f>'ПЛАН ЧЕРН К3'!B14*СПРАВОЧНИК!$H$9+'ПЛАН ЧЕРН К3'!C14*СПРАВОЧНИК!$I$9+'ПЛАН ЧЕРН К3'!D14*СПРАВОЧНИК!$J$9+'ПЛАН ЧЕРН К3'!E14*СПРАВОЧНИК!$H$10+'ПЛАН ЧЕРН К3'!F14*СПРАВОЧНИК!$I$10+'ПЛАН ЧЕРН К3'!G14*СПРАВОЧНИК!$J$10+'ПЛАН ЧЕРН К3'!H14*СПРАВОЧНИК!$H$11+'ПЛАН ЧЕРН К3'!I14*СПРАВОЧНИК!$I$11+'ПЛАН ЧЕРН К3'!J14*СПРАВОЧНИК!$J$11+'ПЛАН ЧЕРН К3'!K14*СПРАВОЧНИК!$H$12+'ПЛАН ЧЕРН К3'!L14*СПРАВОЧНИК!$I$12+'ПЛАН ЧЕРН К3'!M14*СПРАВОЧНИК!$J$12+'ПЛАН ЧЕРН К3'!N14*СПРАВОЧНИК!$H$13+'ПЛАН ЧЕРН К3'!O14*СПРАВОЧНИК!$I$13+'ПЛАН ЧЕРН К3'!P14*СПРАВОЧНИК!$J$13+'ПЛАН ЧЕРН К3'!Q14*СПРАВОЧНИК!$H$14+'ПЛАН ЧЕРН К3'!R14*СПРАВОЧНИК!$I$14+'ПЛАН ЧЕРН К3'!S14*СПРАВОЧНИК!$J$14+'ПЛАН ЧЕРН К3'!T14*СПРАВОЧНИК!$H$15+'ПЛАН ЧЕРН К3'!U14*СПРАВОЧНИК!$I$15+'ПЛАН ЧЕРН К3'!V14*СПРАВОЧНИК!$J$15</f>
        <v>0</v>
      </c>
      <c r="BM23" s="40">
        <f>('ФАКТ ЧЕРН К3'!B14)*СПРАВОЧНИК!$H$9+('ФАКТ ЧЕРН К3'!C14)*СПРАВОЧНИК!$I$9+('ФАКТ ЧЕРН К3'!D14)*СПРАВОЧНИК!$J$9+('ФАКТ ЧЕРН К3'!E14)*СПРАВОЧНИК!$H$10+('ФАКТ ЧЕРН К3'!F14)*СПРАВОЧНИК!$I$10+('ФАКТ ЧЕРН К3'!G14)*СПРАВОЧНИК!$J$10+('ФАКТ ЧЕРН К3'!H14)*СПРАВОЧНИК!$H$11+('ФАКТ ЧЕРН К3'!I14)*СПРАВОЧНИК!$I$11+('ФАКТ ЧЕРН К3'!J14)*СПРАВОЧНИК!$J$11+('ФАКТ ЧЕРН К3'!K14)*СПРАВОЧНИК!$H$12+('ФАКТ ЧЕРН К3'!L14)*СПРАВОЧНИК!$I$12+('ФАКТ ЧЕРН К3'!M14)*СПРАВОЧНИК!$J$12+('ФАКТ ЧЕРН К3'!N14)*СПРАВОЧНИК!$H$13+('ФАКТ ЧЕРН К3'!O14)*СПРАВОЧНИК!$I$13+('ФАКТ ЧЕРН К3'!P14)*СПРАВОЧНИК!$J$13+('ФАКТ ЧЕРН К3'!Q14)*СПРАВОЧНИК!$H$14+('ФАКТ ЧЕРН К3'!R14)*СПРАВОЧНИК!$I$14+('ФАКТ ЧЕРН К3'!S14)*СПРАВОЧНИК!$J$14+('ФАКТ ЧЕРН К3'!T14)*СПРАВОЧНИК!$H$15+('ФАКТ ЧЕРН К3'!U14)*СПРАВОЧНИК!$I$15+('ФАКТ ЧЕРН К3'!V14)*СПРАВОЧНИК!$J$15</f>
        <v>0</v>
      </c>
      <c r="BQ23" s="18">
        <f t="shared" si="23"/>
        <v>46237</v>
      </c>
      <c r="BR23" s="37">
        <f>'ПЛАН ЧИСТ К3'!B14*СПРАВОЧНИК!$L$9+'ПЛАН ЧИСТ К3'!C14*СПРАВОЧНИК!$M$9+'ПЛАН ЧИСТ К3'!D14*СПРАВОЧНИК!$N$9+'ПЛАН ЧИСТ К3'!E14*СПРАВОЧНИК!$O$9+'ПЛАН ЧИСТ К3'!F14*СПРАВОЧНИК!$L$10+'ПЛАН ЧИСТ К3'!G14*СПРАВОЧНИК!$M$10+'ПЛАН ЧИСТ К3'!H14*СПРАВОЧНИК!$N$10+'ПЛАН ЧИСТ К3'!I14*СПРАВОЧНИК!$L$11+'ПЛАН ЧИСТ К3'!J14*СПРАВОЧНИК!$M$11+'ПЛАН ЧИСТ К3'!K14*СПРАВОЧНИК!$N$11+'ПЛАН ЧИСТ К3'!L14*СПРАВОЧНИК!$L$12+'ПЛАН ЧИСТ К3'!M14*СПРАВОЧНИК!$M$12+'ПЛАН ЧИСТ К3'!N14*СПРАВОЧНИК!$N$12+'ПЛАН ЧИСТ К3'!O14*СПРАВОЧНИК!$L$13+'ПЛАН ЧИСТ К3'!P14*СПРАВОЧНИК!$M$13+'ПЛАН ЧИСТ К3'!Q14*СПРАВОЧНИК!$N$13+'ПЛАН ЧИСТ К3'!R14*СПРАВОЧНИК!$L$14+'ПЛАН ЧИСТ К3'!S14*СПРАВОЧНИК!$M$14+'ПЛАН ЧИСТ К3'!T14*СПРАВОЧНИК!$N$14+'ПЛАН ЧИСТ К3'!U14*СПРАВОЧНИК!$L$15+'ПЛАН ЧИСТ К3'!V14*СПРАВОЧНИК!$M$15+'ПЛАН ЧИСТ К3'!W14*СПРАВОЧНИК!$N$15</f>
        <v>0</v>
      </c>
      <c r="BS23" s="40">
        <f>('ФАКТ ЧИСТ К3'!B14)*СПРАВОЧНИК!$L$9+('ФАКТ ЧИСТ К3'!C14)*СПРАВОЧНИК!$M$9+('ФАКТ ЧИСТ К3'!D14)*СПРАВОЧНИК!$N$9+('ФАКТ ЧИСТ К3'!E14)*СПРАВОЧНИК!$O$9+('ФАКТ ЧИСТ К3'!F14)*СПРАВОЧНИК!$L$10+('ФАКТ ЧИСТ К3'!G14)*СПРАВОЧНИК!$M$10+('ФАКТ ЧИСТ К3'!H14)*СПРАВОЧНИК!$N$10+('ФАКТ ЧИСТ К3'!I14)*СПРАВОЧНИК!$L$11+('ФАКТ ЧИСТ К3'!J14)*СПРАВОЧНИК!$M$11+('ФАКТ ЧИСТ К3'!K14)*СПРАВОЧНИК!$N$11+('ФАКТ ЧИСТ К3'!L14)*СПРАВОЧНИК!$L$12+('ФАКТ ЧИСТ К3'!M14)*СПРАВОЧНИК!$M$12+('ФАКТ ЧИСТ К3'!N14)*СПРАВОЧНИК!$N$12+('ФАКТ ЧИСТ К3'!O14)*СПРАВОЧНИК!$L$13+('ФАКТ ЧИСТ К3'!P14)*СПРАВОЧНИК!$M$13+('ФАКТ ЧИСТ К3'!Q14)*СПРАВОЧНИК!$N$13+('ФАКТ ЧИСТ К3'!R14)*СПРАВОЧНИК!$L$14+('ФАКТ ЧИСТ К3'!S14)*СПРАВОЧНИК!$M$14+('ФАКТ ЧИСТ К3'!T14)*СПРАВОЧНИК!$N$14+('ФАКТ ЧИСТ К3'!U14)*СПРАВОЧНИК!$L$15+('ФАКТ ЧИСТ К3'!V14)*СПРАВОЧНИК!$M$15+('ФАКТ ЧИСТ К3'!W14)*СПРАВОЧНИК!$N$15</f>
        <v>0</v>
      </c>
      <c r="BW23" s="18">
        <f t="shared" si="24"/>
        <v>46237</v>
      </c>
      <c r="BX23" s="37">
        <f t="shared" si="0"/>
        <v>0</v>
      </c>
      <c r="BY23" s="40">
        <f t="shared" si="1"/>
        <v>0</v>
      </c>
      <c r="CC23" s="18">
        <f t="shared" si="25"/>
        <v>46237</v>
      </c>
      <c r="CD23" s="37">
        <f t="shared" si="2"/>
        <v>0</v>
      </c>
      <c r="CE23" s="40">
        <f t="shared" si="3"/>
        <v>0</v>
      </c>
      <c r="CI23" s="18">
        <f t="shared" si="26"/>
        <v>46237</v>
      </c>
      <c r="CJ23" s="37">
        <f t="shared" si="4"/>
        <v>0</v>
      </c>
      <c r="CK23" s="40">
        <f t="shared" si="5"/>
        <v>0</v>
      </c>
      <c r="CO23" s="18">
        <f t="shared" si="27"/>
        <v>46237</v>
      </c>
      <c r="CP23" s="37">
        <f t="shared" si="6"/>
        <v>0</v>
      </c>
      <c r="CQ23" s="40">
        <f t="shared" si="7"/>
        <v>0</v>
      </c>
      <c r="CU23" s="18">
        <f t="shared" si="28"/>
        <v>46237</v>
      </c>
      <c r="CV23" s="37">
        <f t="shared" si="8"/>
        <v>0</v>
      </c>
      <c r="CW23" s="40">
        <f t="shared" si="9"/>
        <v>0</v>
      </c>
      <c r="DA23" s="18">
        <f t="shared" si="29"/>
        <v>46237</v>
      </c>
      <c r="DB23" s="37">
        <f t="shared" si="10"/>
        <v>0</v>
      </c>
      <c r="DC23" s="40">
        <f t="shared" si="11"/>
        <v>0</v>
      </c>
    </row>
    <row r="24" spans="3:107" x14ac:dyDescent="0.25">
      <c r="C24" s="18">
        <f t="shared" si="12"/>
        <v>46244</v>
      </c>
      <c r="D24" s="37">
        <f>СПРАВОЧНИК!$E$3*('ПЛАН ЧЕРН ПОДЗЕМ'!B15*СПРАВОЧНИК!$H$3+'ПЛАН ЧЕРН ПОДЗЕМ'!C15*СПРАВОЧНИК!$I$3+'ПЛАН ЧЕРН ПОДЗЕМ'!D15*СПРАВОЧНИК!$J$3)+СПРАВОЧНИК!$E$4*('ПЛАН ЧЕРН ПОДЗЕМ'!E15*СПРАВОЧНИК!$H$4+'ПЛАН ЧЕРН ПОДЗЕМ'!F15*СПРАВОЧНИК!$I$4+'ПЛАН ЧЕРН ПОДЗЕМ'!G15*СПРАВОЧНИК!$J$4)+СПРАВОЧНИК!$E$5*('ПЛАН ЧЕРН ПОДЗЕМ'!H15*СПРАВОЧНИК!$H$5+'ПЛАН ЧЕРН ПОДЗЕМ'!I15*СПРАВОЧНИК!$I$5+'ПЛАН ЧЕРН ПОДЗЕМ'!J15*СПРАВОЧНИК!$J$5)+СПРАВОЧНИК!$E$6*('ПЛАН ЧЕРН ПОДЗЕМ'!K15*СПРАВОЧНИК!$H$6+'ПЛАН ЧЕРН ПОДЗЕМ'!L15*СПРАВОЧНИК!$I$6+'ПЛАН ЧЕРН ПОДЗЕМ'!M15*СПРАВОЧНИК!$J$6)+СПРАВОЧНИК!$E$7*('ПЛАН ЧЕРН ПОДЗЕМ'!N15*СПРАВОЧНИК!$H$7+'ПЛАН ЧЕРН ПОДЗЕМ'!O15*СПРАВОЧНИК!$I$7+'ПЛАН ЧЕРН ПОДЗЕМ'!P15*СПРАВОЧНИК!$J$7)+СПРАВОЧНИК!$E$8*('ПЛАН ЧЕРН ПОДЗЕМ'!Q15*СПРАВОЧНИК!$H$8+'ПЛАН ЧЕРН ПОДЗЕМ'!R15*СПРАВОЧНИК!$I$8+'ПЛАН ЧЕРН ПОДЗЕМ'!S15*СПРАВОЧНИК!$J$8)+СПРАВОЧНИК!$F$3*('ПЛАН ЧИСТ ПОДЗЕМ'!B15*СПРАВОЧНИК!$L$3+'ПЛАН ЧИСТ ПОДЗЕМ'!C15*СПРАВОЧНИК!$M$3+'ПЛАН ЧИСТ ПОДЗЕМ'!D15*СПРАВОЧНИК!$N$3)+СПРАВОЧНИК!$F$4*('ПЛАН ЧИСТ ПОДЗЕМ'!E15*СПРАВОЧНИК!$L$4+'ПЛАН ЧИСТ ПОДЗЕМ'!F15*СПРАВОЧНИК!$M$4+'ПЛАН ЧИСТ ПОДЗЕМ'!G15*СПРАВОЧНИК!$N$4)+СПРАВОЧНИК!$F$5*('ПЛАН ЧИСТ ПОДЗЕМ'!H15*СПРАВОЧНИК!$L$5+'ПЛАН ЧИСТ ПОДЗЕМ'!I15*СПРАВОЧНИК!$M$5+'ПЛАН ЧИСТ ПОДЗЕМ'!J15*СПРАВОЧНИК!$N$5)+СПРАВОЧНИК!$F$6*('ПЛАН ЧИСТ ПОДЗЕМ'!K15*СПРАВОЧНИК!$L$6+'ПЛАН ЧИСТ ПОДЗЕМ'!L15*СПРАВОЧНИК!$M$6+'ПЛАН ЧИСТ ПОДЗЕМ'!M15*СПРАВОЧНИК!$N$6)+СПРАВОЧНИК!$F$7*('ПЛАН ЧИСТ ПОДЗЕМ'!N15*СПРАВОЧНИК!$L$7+'ПЛАН ЧИСТ ПОДЗЕМ'!O15*СПРАВОЧНИК!$M$7+'ПЛАН ЧИСТ ПОДЗЕМ'!P15*СПРАВОЧНИК!$N$7)+СПРАВОЧНИК!$F$8*('ПЛАН ЧИСТ ПОДЗЕМ'!Q15*СПРАВОЧНИК!$L$8+'ПЛАН ЧИСТ ПОДЗЕМ'!R15*СПРАВОЧНИК!$M$8+'ПЛАН ЧИСТ ПОДЗЕМ'!S15*СПРАВОЧНИК!$N$8)</f>
        <v>0</v>
      </c>
      <c r="E24" s="40">
        <f>СПРАВОЧНИК!$E$3*(('ФАКТ ЧЕРН ПОДЗЕМ'!B15)*СПРАВОЧНИК!$H$3+('ФАКТ ЧЕРН ПОДЗЕМ'!C15)*СПРАВОЧНИК!$I$3+('ФАКТ ЧЕРН ПОДЗЕМ'!D15)*СПРАВОЧНИК!$J$3)+СПРАВОЧНИК!$E$4*(('ФАКТ ЧЕРН ПОДЗЕМ'!E15)*СПРАВОЧНИК!$H$4+('ФАКТ ЧЕРН ПОДЗЕМ'!F15)*СПРАВОЧНИК!$I$4+('ФАКТ ЧЕРН ПОДЗЕМ'!G15)*СПРАВОЧНИК!$J$4)+СПРАВОЧНИК!$E$5*(('ФАКТ ЧЕРН ПОДЗЕМ'!H15)*СПРАВОЧНИК!$H$5+('ФАКТ ЧЕРН ПОДЗЕМ'!I15)*СПРАВОЧНИК!$I$5+('ФАКТ ЧЕРН ПОДЗЕМ'!J15)*СПРАВОЧНИК!$J$5)+СПРАВОЧНИК!$E$6*(('ФАКТ ЧЕРН ПОДЗЕМ'!K15)*СПРАВОЧНИК!$H$6+('ФАКТ ЧЕРН ПОДЗЕМ'!L15)*СПРАВОЧНИК!$I$6+('ФАКТ ЧЕРН ПОДЗЕМ'!M15)*СПРАВОЧНИК!$J$6)+СПРАВОЧНИК!$E$7*(('ФАКТ ЧЕРН ПОДЗЕМ'!N15)*СПРАВОЧНИК!$H$7+('ФАКТ ЧЕРН ПОДЗЕМ'!O15)*СПРАВОЧНИК!$I$7+('ФАКТ ЧЕРН ПОДЗЕМ'!P15)*СПРАВОЧНИК!$J$7)+СПРАВОЧНИК!$E$8*(('ФАКТ ЧЕРН ПОДЗЕМ'!Q15)*СПРАВОЧНИК!$H$8+('ФАКТ ЧЕРН ПОДЗЕМ'!R15)*СПРАВОЧНИК!$I$8+('ФАКТ ЧЕРН ПОДЗЕМ'!S15)*СПРАВОЧНИК!$J$8)+СПРАВОЧНИК!$F$3*(('ФАКТ ЧИСТ ПОДЗЕМ'!B15)*СПРАВОЧНИК!$L$3+('ФАКТ ЧИСТ ПОДЗЕМ'!C15)*СПРАВОЧНИК!$M$3+('ФАКТ ЧИСТ ПОДЗЕМ'!D15)*СПРАВОЧНИК!$N$3)+СПРАВОЧНИК!$F$4*(('ФАКТ ЧИСТ ПОДЗЕМ'!E15)*СПРАВОЧНИК!$L$4+('ФАКТ ЧИСТ ПОДЗЕМ'!F15)*СПРАВОЧНИК!$M$4+('ФАКТ ЧИСТ ПОДЗЕМ'!G15)*СПРАВОЧНИК!$N$4)+СПРАВОЧНИК!$F$5*(('ФАКТ ЧИСТ ПОДЗЕМ'!H15)*СПРАВОЧНИК!$L$5+('ФАКТ ЧИСТ ПОДЗЕМ'!I15)*СПРАВОЧНИК!$M$5+('ФАКТ ЧИСТ ПОДЗЕМ'!J15)*СПРАВОЧНИК!$N$5)+СПРАВОЧНИК!$F$6*(('ФАКТ ЧИСТ ПОДЗЕМ'!K15)*СПРАВОЧНИК!$L$6+('ФАКТ ЧИСТ ПОДЗЕМ'!L15)*СПРАВОЧНИК!$M$6+('ФАКТ ЧИСТ ПОДЗЕМ'!M15)*СПРАВОЧНИК!$N$6)+СПРАВОЧНИК!$F$7*(('ФАКТ ЧИСТ ПОДЗЕМ'!N15)*СПРАВОЧНИК!$L$7+('ФАКТ ЧИСТ ПОДЗЕМ'!O15)*СПРАВОЧНИК!$M$7+('ФАКТ ЧИСТ ПОДЗЕМ'!P15)*СПРАВОЧНИК!$N$7)+СПРАВОЧНИК!$F$8*(('ФАКТ ЧИСТ ПОДЗЕМ'!Q15)*СПРАВОЧНИК!$L$8+('ФАКТ ЧИСТ ПОДЗЕМ'!R15)*СПРАВОЧНИК!$M$8+('ФАКТ ЧИСТ ПОДЗЕМ'!S15)*СПРАВОЧНИК!$N$8)</f>
        <v>0</v>
      </c>
      <c r="I24" s="18">
        <f t="shared" si="13"/>
        <v>46244</v>
      </c>
      <c r="J24" s="37">
        <f>'ПЛАН ЧЕРН ПОДЗЕМ'!B15*СПРАВОЧНИК!$H$3+'ПЛАН ЧЕРН ПОДЗЕМ'!C15*СПРАВОЧНИК!$I$3+'ПЛАН ЧЕРН ПОДЗЕМ'!D15*СПРАВОЧНИК!$J$3+'ПЛАН ЧЕРН ПОДЗЕМ'!E15*СПРАВОЧНИК!$H$4+'ПЛАН ЧЕРН ПОДЗЕМ'!F15*СПРАВОЧНИК!$I$4+'ПЛАН ЧЕРН ПОДЗЕМ'!G15*СПРАВОЧНИК!$J$4+'ПЛАН ЧЕРН ПОДЗЕМ'!H15*СПРАВОЧНИК!$H$5+'ПЛАН ЧЕРН ПОДЗЕМ'!I15*СПРАВОЧНИК!$I$5+'ПЛАН ЧЕРН ПОДЗЕМ'!J15*СПРАВОЧНИК!$J$5+'ПЛАН ЧЕРН ПОДЗЕМ'!K15*СПРАВОЧНИК!$H$6+'ПЛАН ЧЕРН ПОДЗЕМ'!L15*СПРАВОЧНИК!$I$6+'ПЛАН ЧЕРН ПОДЗЕМ'!M15*СПРАВОЧНИК!$J$6+'ПЛАН ЧЕРН ПОДЗЕМ'!N15*СПРАВОЧНИК!$H$7+'ПЛАН ЧЕРН ПОДЗЕМ'!O15*СПРАВОЧНИК!$I$7+'ПЛАН ЧЕРН ПОДЗЕМ'!P15*СПРАВОЧНИК!$J$7+'ПЛАН ЧЕРН ПОДЗЕМ'!Q15*СПРАВОЧНИК!$H$8+'ПЛАН ЧЕРН ПОДЗЕМ'!R15*СПРАВОЧНИК!$I$8+'ПЛАН ЧЕРН ПОДЗЕМ'!S15*СПРАВОЧНИК!$J$8</f>
        <v>0</v>
      </c>
      <c r="K24" s="40">
        <f>('ФАКТ ЧЕРН ПОДЗЕМ'!B15)*СПРАВОЧНИК!$H$3+('ФАКТ ЧЕРН ПОДЗЕМ'!C15)*СПРАВОЧНИК!$I$3+('ФАКТ ЧЕРН ПОДЗЕМ'!D15)*СПРАВОЧНИК!$J$3+('ФАКТ ЧЕРН ПОДЗЕМ'!E15)*СПРАВОЧНИК!$H$4+('ФАКТ ЧЕРН ПОДЗЕМ'!F15)*СПРАВОЧНИК!$I$4+('ФАКТ ЧЕРН ПОДЗЕМ'!G15)*СПРАВОЧНИК!$J$4+('ФАКТ ЧЕРН ПОДЗЕМ'!H15)*СПРАВОЧНИК!$H$5+('ФАКТ ЧЕРН ПОДЗЕМ'!I15)*СПРАВОЧНИК!$I$5+('ФАКТ ЧЕРН ПОДЗЕМ'!J15)*СПРАВОЧНИК!$J$5+('ФАКТ ЧЕРН ПОДЗЕМ'!K15)*СПРАВОЧНИК!$H$6+('ФАКТ ЧЕРН ПОДЗЕМ'!L15)*СПРАВОЧНИК!$I$6+('ФАКТ ЧЕРН ПОДЗЕМ'!M15)*СПРАВОЧНИК!$J$6+('ФАКТ ЧЕРН ПОДЗЕМ'!N15)*СПРАВОЧНИК!$H$7+('ФАКТ ЧЕРН ПОДЗЕМ'!O15)*СПРАВОЧНИК!$I$7+('ФАКТ ЧЕРН ПОДЗЕМ'!P15)*СПРАВОЧНИК!$J$7+('ФАКТ ЧЕРН ПОДЗЕМ'!Q15)*СПРАВОЧНИК!$H$8+('ФАКТ ЧЕРН ПОДЗЕМ'!R15)*СПРАВОЧНИК!$I$8+('ФАКТ ЧЕРН ПОДЗЕМ'!S15)*СПРАВОЧНИК!$J$8</f>
        <v>0</v>
      </c>
      <c r="O24" s="18">
        <f t="shared" si="14"/>
        <v>46244</v>
      </c>
      <c r="P24" s="37">
        <f>'ПЛАН ЧИСТ ПОДЗЕМ'!B15*СПРАВОЧНИК!$L$3+'ПЛАН ЧИСТ ПОДЗЕМ'!C15*СПРАВОЧНИК!$M$3+'ПЛАН ЧИСТ ПОДЗЕМ'!D15*СПРАВОЧНИК!$N$3+'ПЛАН ЧИСТ ПОДЗЕМ'!E15*СПРАВОЧНИК!$L$4+'ПЛАН ЧИСТ ПОДЗЕМ'!F15*СПРАВОЧНИК!$M$4+'ПЛАН ЧИСТ ПОДЗЕМ'!G15*СПРАВОЧНИК!$N$4+'ПЛАН ЧИСТ ПОДЗЕМ'!H15*СПРАВОЧНИК!$L$5+'ПЛАН ЧИСТ ПОДЗЕМ'!I15*СПРАВОЧНИК!$M$5+'ПЛАН ЧИСТ ПОДЗЕМ'!J15*СПРАВОЧНИК!$N$5+'ПЛАН ЧИСТ ПОДЗЕМ'!K15*СПРАВОЧНИК!$L$6+'ПЛАН ЧИСТ ПОДЗЕМ'!L15*СПРАВОЧНИК!$M$6+'ПЛАН ЧИСТ ПОДЗЕМ'!M15*СПРАВОЧНИК!$N$6+'ПЛАН ЧИСТ ПОДЗЕМ'!N15*СПРАВОЧНИК!$L$7+'ПЛАН ЧИСТ ПОДЗЕМ'!O15*СПРАВОЧНИК!$M$7+'ПЛАН ЧИСТ ПОДЗЕМ'!P15*СПРАВОЧНИК!$N$7+'ПЛАН ЧИСТ ПОДЗЕМ'!Q15*СПРАВОЧНИК!$L$8+'ПЛАН ЧИСТ ПОДЗЕМ'!R15*СПРАВОЧНИК!$M$8+'ПЛАН ЧИСТ ПОДЗЕМ'!S15*СПРАВОЧНИК!$N$8</f>
        <v>0</v>
      </c>
      <c r="Q24" s="40">
        <f>('ФАКТ ЧИСТ ПОДЗЕМ'!B15)*СПРАВОЧНИК!$L$3+('ФАКТ ЧИСТ ПОДЗЕМ'!C15)*СПРАВОЧНИК!$M$3+('ФАКТ ЧИСТ ПОДЗЕМ'!D15)*СПРАВОЧНИК!$N$3+('ФАКТ ЧИСТ ПОДЗЕМ'!E15)*СПРАВОЧНИК!$L$4+('ФАКТ ЧИСТ ПОДЗЕМ'!F15)*СПРАВОЧНИК!$M$4+('ФАКТ ЧИСТ ПОДЗЕМ'!G15)*СПРАВОЧНИК!$N$4+('ФАКТ ЧИСТ ПОДЗЕМ'!H15)*СПРАВОЧНИК!$L$5+('ФАКТ ЧИСТ ПОДЗЕМ'!I15)*СПРАВОЧНИК!$M$5+('ФАКТ ЧИСТ ПОДЗЕМ'!J15)*СПРАВОЧНИК!$N$5+('ФАКТ ЧИСТ ПОДЗЕМ'!K15)*СПРАВОЧНИК!$L$6+('ФАКТ ЧИСТ ПОДЗЕМ'!L15)*СПРАВОЧНИК!$M$6+('ФАКТ ЧИСТ ПОДЗЕМ'!M15)*СПРАВОЧНИК!$N$6+('ФАКТ ЧИСТ ПОДЗЕМ'!N15)*СПРАВОЧНИК!$L$7+('ФАКТ ЧИСТ ПОДЗЕМ'!O15)*СПРАВОЧНИК!$M$7+('ФАКТ ЧИСТ ПОДЗЕМ'!P15)*СПРАВОЧНИК!$N$7+('ФАКТ ЧИСТ ПОДЗЕМ'!Q15)*СПРАВОЧНИК!$L$8+('ФАКТ ЧИСТ ПОДЗЕМ'!R15)*СПРАВОЧНИК!$M$8+('ФАКТ ЧИСТ ПОДЗЕМ'!S15)*СПРАВОЧНИК!$N$8</f>
        <v>0</v>
      </c>
      <c r="U24" s="18">
        <f t="shared" si="15"/>
        <v>46244</v>
      </c>
      <c r="V24" s="37">
        <f>СПРАВОЧНИК!$E$9*('ПЛАН ЧЕРН К1'!B15*СПРАВОЧНИК!$H$9+'ПЛАН ЧЕРН К1'!C15*СПРАВОЧНИК!$I$9+'ПЛАН ЧЕРН К1'!D15*СПРАВОЧНИК!$J$9)+СПРАВОЧНИК!$E$10*('ПЛАН ЧЕРН К1'!E15*СПРАВОЧНИК!$H$10+'ПЛАН ЧЕРН К1'!F15*СПРАВОЧНИК!$I$10+'ПЛАН ЧЕРН К1'!G15*СПРАВОЧНИК!$J$10)+СПРАВОЧНИК!$E$11*('ПЛАН ЧЕРН К1'!H15*СПРАВОЧНИК!$H$11+'ПЛАН ЧЕРН К1'!I15*СПРАВОЧНИК!$I$11+'ПЛАН ЧЕРН К1'!J15*СПРАВОЧНИК!$J$11)+СПРАВОЧНИК!$E$12*('ПЛАН ЧЕРН К1'!K15*СПРАВОЧНИК!$H$12+'ПЛАН ЧЕРН К1'!L15*СПРАВОЧНИК!$I$12+'ПЛАН ЧЕРН К1'!M15*СПРАВОЧНИК!$J$12)+СПРАВОЧНИК!$E$13*('ПЛАН ЧЕРН К1'!N15*СПРАВОЧНИК!$H$13+'ПЛАН ЧЕРН К1'!O15*СПРАВОЧНИК!$I$13+'ПЛАН ЧЕРН К1'!P15*СПРАВОЧНИК!$J$13)+СПРАВОЧНИК!$E$14*('ПЛАН ЧЕРН К1'!Q15*СПРАВОЧНИК!$H$14+'ПЛАН ЧЕРН К1'!R15*СПРАВОЧНИК!$I$14+'ПЛАН ЧЕРН К1'!S15*СПРАВОЧНИК!$J$14)+СПРАВОЧНИК!$E$15*('ПЛАН ЧЕРН К1'!T15*СПРАВОЧНИК!$H$15+'ПЛАН ЧЕРН К1'!U15*СПРАВОЧНИК!$I$15+'ПЛАН ЧЕРН К1'!V15*СПРАВОЧНИК!$J$15)+СПРАВОЧНИК!$F$9*('ПЛАН ЧИСТ К1'!B15*СПРАВОЧНИК!$L$9+'ПЛАН ЧИСТ К1'!C15*СПРАВОЧНИК!$M$9+'ПЛАН ЧИСТ К1'!D15*СПРАВОЧНИК!$N$9+'ПЛАН ЧИСТ К1'!E15*СПРАВОЧНИК!$O$9)+СПРАВОЧНИК!$F$10*('ПЛАН ЧИСТ К1'!F15*СПРАВОЧНИК!$L$10+'ПЛАН ЧИСТ К1'!G15*СПРАВОЧНИК!$M$10+'ПЛАН ЧИСТ К1'!H15*СПРАВОЧНИК!$N$10)+СПРАВОЧНИК!$F$11*('ПЛАН ЧИСТ К1'!I15*СПРАВОЧНИК!$L$11+'ПЛАН ЧИСТ К1'!J15*СПРАВОЧНИК!$M$11+'ПЛАН ЧИСТ К1'!K15*СПРАВОЧНИК!$N$11)+СПРАВОЧНИК!$F$12*('ПЛАН ЧИСТ К1'!L15*СПРАВОЧНИК!$L$12+'ПЛАН ЧИСТ К1'!M15*СПРАВОЧНИК!$M$12+'ПЛАН ЧИСТ К1'!N15*СПРАВОЧНИК!$N$12)+СПРАВОЧНИК!$F$13*('ПЛАН ЧИСТ К1'!O15*СПРАВОЧНИК!$L$13+'ПЛАН ЧИСТ К1'!P15*СПРАВОЧНИК!$M$13+'ПЛАН ЧИСТ К1'!Q15*СПРАВОЧНИК!$N$13)+СПРАВОЧНИК!$F$14*('ПЛАН ЧИСТ К1'!R15*СПРАВОЧНИК!$L$14+'ПЛАН ЧИСТ К1'!S15*СПРАВОЧНИК!$M$14+'ПЛАН ЧИСТ К1'!T15*СПРАВОЧНИК!$N$14)+СПРАВОЧНИК!$F$15*('ПЛАН ЧИСТ К1'!U15*СПРАВОЧНИК!$L$15+'ПЛАН ЧИСТ К1'!V15*СПРАВОЧНИК!$M$15+'ПЛАН ЧИСТ К1'!W15*СПРАВОЧНИК!$N$15)</f>
        <v>0</v>
      </c>
      <c r="W24" s="40">
        <f>СПРАВОЧНИК!$E$9*(('ФАКТ ЧЕРН К1'!B15)*СПРАВОЧНИК!$H$9+('ФАКТ ЧЕРН К1'!C15)*СПРАВОЧНИК!$I$9+('ФАКТ ЧЕРН К1'!D15)*СПРАВОЧНИК!$J$9)+СПРАВОЧНИК!$E$10*(('ФАКТ ЧЕРН К1'!E15)*СПРАВОЧНИК!$H$10+('ФАКТ ЧЕРН К1'!F15)*СПРАВОЧНИК!$I$10+('ФАКТ ЧЕРН К1'!G15)*СПРАВОЧНИК!$J$10)+СПРАВОЧНИК!$E$11*(('ФАКТ ЧЕРН К1'!H15)*СПРАВОЧНИК!$H$11+('ФАКТ ЧЕРН К1'!I15)*СПРАВОЧНИК!$I$11+('ФАКТ ЧЕРН К1'!J15)*СПРАВОЧНИК!$J$11)+СПРАВОЧНИК!$E$12*(('ФАКТ ЧЕРН К1'!K15)*СПРАВОЧНИК!$H$12+('ФАКТ ЧЕРН К1'!L15)*СПРАВОЧНИК!$I$12+('ФАКТ ЧЕРН К1'!M15)*СПРАВОЧНИК!$J$12)+СПРАВОЧНИК!$E$13*(('ФАКТ ЧЕРН К1'!N15)*СПРАВОЧНИК!$H$13+('ФАКТ ЧЕРН К1'!O15)*СПРАВОЧНИК!$I$13+('ФАКТ ЧЕРН К1'!P15)*СПРАВОЧНИК!$J$13)+СПРАВОЧНИК!$E$14*(('ФАКТ ЧЕРН К1'!Q15)*СПРАВОЧНИК!$H$14+('ФАКТ ЧЕРН К1'!R15)*СПРАВОЧНИК!$I$14+('ФАКТ ЧЕРН К1'!S15)*СПРАВОЧНИК!$J$14)+СПРАВОЧНИК!$E$15*(('ФАКТ ЧЕРН К1'!T15)*СПРАВОЧНИК!$H$15+('ФАКТ ЧЕРН К1'!U15)*СПРАВОЧНИК!$I$15+('ФАКТ ЧЕРН К1'!V15)*СПРАВОЧНИК!$J$15)+СПРАВОЧНИК!$F$9*(('ФАКТ ЧИСТ К1'!B15)*СПРАВОЧНИК!$L$9+('ФАКТ ЧИСТ К1'!C15)*СПРАВОЧНИК!$M$9+('ФАКТ ЧИСТ К1'!D15)*СПРАВОЧНИК!$N$9+('ФАКТ ЧИСТ К1'!E15)*СПРАВОЧНИК!$O$9)+СПРАВОЧНИК!$F$10*(('ФАКТ ЧИСТ К1'!F15)*СПРАВОЧНИК!$L$10+('ФАКТ ЧИСТ К1'!G15)*СПРАВОЧНИК!$M$10+('ФАКТ ЧИСТ К1'!H15)*СПРАВОЧНИК!$N$10)+СПРАВОЧНИК!$F$11*(('ФАКТ ЧИСТ К1'!I15)*СПРАВОЧНИК!$L$11+('ФАКТ ЧИСТ К1'!J15)*СПРАВОЧНИК!$M$11+('ФАКТ ЧИСТ К1'!K15)*СПРАВОЧНИК!$N$11)+СПРАВОЧНИК!$F$12*(('ФАКТ ЧИСТ К1'!L15)*СПРАВОЧНИК!$L$12+('ФАКТ ЧИСТ К1'!M15)*СПРАВОЧНИК!$M$12+('ФАКТ ЧИСТ К1'!N15)*СПРАВОЧНИК!$N$12)+СПРАВОЧНИК!$F$13*(('ФАКТ ЧИСТ К1'!O15)*СПРАВОЧНИК!$L$13+('ФАКТ ЧИСТ К1'!P15)*СПРАВОЧНИК!$M$13+('ФАКТ ЧИСТ К1'!Q15)*СПРАВОЧНИК!$N$13)+СПРАВОЧНИК!$F$14*(('ФАКТ ЧИСТ К1'!R15)*СПРАВОЧНИК!$L$14+('ФАКТ ЧИСТ К1'!S15)*СПРАВОЧНИК!$M$14+('ФАКТ ЧИСТ К1'!T15)*СПРАВОЧНИК!$N$14)+СПРАВОЧНИК!$F$15*(('ФАКТ ЧИСТ К1'!U15)*СПРАВОЧНИК!$L$15+('ФАКТ ЧИСТ К1'!V15)*СПРАВОЧНИК!$M$15+('ФАКТ ЧИСТ К1'!W15)*СПРАВОЧНИК!$N$15)</f>
        <v>0</v>
      </c>
      <c r="AA24" s="18">
        <f t="shared" si="16"/>
        <v>46244</v>
      </c>
      <c r="AB24" s="37">
        <f>'ПЛАН ЧЕРН К1'!B15*СПРАВОЧНИК!$H$9+'ПЛАН ЧЕРН К1'!C15*СПРАВОЧНИК!$I$9+'ПЛАН ЧЕРН К1'!D15*СПРАВОЧНИК!$J$9+'ПЛАН ЧЕРН К1'!E15*СПРАВОЧНИК!$H$10+'ПЛАН ЧЕРН К1'!F15*СПРАВОЧНИК!$I$10+'ПЛАН ЧЕРН К1'!G15*СПРАВОЧНИК!$J$10+'ПЛАН ЧЕРН К1'!H15*СПРАВОЧНИК!$H$11+'ПЛАН ЧЕРН К1'!I15*СПРАВОЧНИК!$I$11+'ПЛАН ЧЕРН К1'!J15*СПРАВОЧНИК!$J$11+'ПЛАН ЧЕРН К1'!K15*СПРАВОЧНИК!$H$12+'ПЛАН ЧЕРН К1'!L15*СПРАВОЧНИК!$I$12+'ПЛАН ЧЕРН К1'!M15*СПРАВОЧНИК!$J$12+'ПЛАН ЧЕРН К1'!N15*СПРАВОЧНИК!$H$13+'ПЛАН ЧЕРН К1'!O15*СПРАВОЧНИК!$I$13+'ПЛАН ЧЕРН К1'!P15*СПРАВОЧНИК!$J$13+'ПЛАН ЧЕРН К1'!Q15*СПРАВОЧНИК!$H$14+'ПЛАН ЧЕРН К1'!R15*СПРАВОЧНИК!$I$14+'ПЛАН ЧЕРН К1'!S15*СПРАВОЧНИК!$J$14+'ПЛАН ЧЕРН К1'!T15*СПРАВОЧНИК!$H$15+'ПЛАН ЧЕРН К1'!U15*СПРАВОЧНИК!$I$15+'ПЛАН ЧЕРН К1'!V15*СПРАВОЧНИК!$J$15</f>
        <v>0</v>
      </c>
      <c r="AC24" s="40">
        <f>('ФАКТ ЧЕРН К1'!B15)*СПРАВОЧНИК!$H$9+('ФАКТ ЧЕРН К1'!C15)*СПРАВОЧНИК!$I$9+('ФАКТ ЧЕРН К1'!D15)*СПРАВОЧНИК!$J$9+('ФАКТ ЧЕРН К1'!E15)*СПРАВОЧНИК!$H$10+('ФАКТ ЧЕРН К1'!F15)*СПРАВОЧНИК!$I$10+('ФАКТ ЧЕРН К1'!G15)*СПРАВОЧНИК!$J$10+('ФАКТ ЧЕРН К1'!H15)*СПРАВОЧНИК!$H$11+('ФАКТ ЧЕРН К1'!I15)*СПРАВОЧНИК!$I$11+('ФАКТ ЧЕРН К1'!J15)*СПРАВОЧНИК!$J$11+('ФАКТ ЧЕРН К1'!K15)*СПРАВОЧНИК!$H$12+('ФАКТ ЧЕРН К1'!L15)*СПРАВОЧНИК!$I$12+('ФАКТ ЧЕРН К1'!M15)*СПРАВОЧНИК!$J$12+('ФАКТ ЧЕРН К1'!N15)*СПРАВОЧНИК!$H$13+('ФАКТ ЧЕРН К1'!O15)*СПРАВОЧНИК!$I$13+('ФАКТ ЧЕРН К1'!P15)*СПРАВОЧНИК!$J$13+('ФАКТ ЧЕРН К1'!Q15)*СПРАВОЧНИК!$H$14+('ФАКТ ЧЕРН К1'!R15)*СПРАВОЧНИК!$I$14+('ФАКТ ЧЕРН К1'!S15)*СПРАВОЧНИК!$J$14+('ФАКТ ЧЕРН К1'!T15)*СПРАВОЧНИК!$H$15+('ФАКТ ЧЕРН К1'!U15)*СПРАВОЧНИК!$I$15+('ФАКТ ЧЕРН К1'!V15)*СПРАВОЧНИК!$J$15</f>
        <v>0</v>
      </c>
      <c r="AG24" s="18">
        <f t="shared" si="17"/>
        <v>46244</v>
      </c>
      <c r="AH24" s="37">
        <f>'ПЛАН ЧИСТ К1'!B15*СПРАВОЧНИК!$L$9+'ПЛАН ЧИСТ К1'!C15*СПРАВОЧНИК!$M$9+'ПЛАН ЧИСТ К1'!D15*СПРАВОЧНИК!$N$9+'ПЛАН ЧИСТ К1'!E15*СПРАВОЧНИК!$O$9+'ПЛАН ЧИСТ К1'!F15*СПРАВОЧНИК!$L$10+'ПЛАН ЧИСТ К1'!G15*СПРАВОЧНИК!$M$10+'ПЛАН ЧИСТ К1'!H15*СПРАВОЧНИК!$N$10+'ПЛАН ЧИСТ К1'!I15*СПРАВОЧНИК!$L$11+'ПЛАН ЧИСТ К1'!J15*СПРАВОЧНИК!$M$11+'ПЛАН ЧИСТ К1'!K15*СПРАВОЧНИК!$N$11+'ПЛАН ЧИСТ К1'!L15*СПРАВОЧНИК!$L$12+'ПЛАН ЧИСТ К1'!M15*СПРАВОЧНИК!$M$12+'ПЛАН ЧИСТ К1'!N15*СПРАВОЧНИК!$N$12+'ПЛАН ЧИСТ К1'!O15*СПРАВОЧНИК!$L$13+'ПЛАН ЧИСТ К1'!P15*СПРАВОЧНИК!$M$13+'ПЛАН ЧИСТ К1'!Q15*СПРАВОЧНИК!$N$13+'ПЛАН ЧИСТ К1'!R15*СПРАВОЧНИК!$L$14+'ПЛАН ЧИСТ К1'!S15*СПРАВОЧНИК!$M$14+'ПЛАН ЧИСТ К1'!T15*СПРАВОЧНИК!$N$14+'ПЛАН ЧИСТ К1'!U15*СПРАВОЧНИК!$L$15+'ПЛАН ЧИСТ К1'!V15*СПРАВОЧНИК!$M$15+'ПЛАН ЧИСТ К1'!W15*СПРАВОЧНИК!$N$15</f>
        <v>0</v>
      </c>
      <c r="AI24" s="40">
        <f>('ФАКТ ЧИСТ К1'!B15)*СПРАВОЧНИК!$L$9+('ФАКТ ЧИСТ К1'!C15)*СПРАВОЧНИК!$M$9+('ФАКТ ЧИСТ К1'!D15)*СПРАВОЧНИК!$N$9+('ФАКТ ЧИСТ К1'!E15)*СПРАВОЧНИК!$O$9+('ФАКТ ЧИСТ К1'!F15)*СПРАВОЧНИК!$L$10+('ФАКТ ЧИСТ К1'!G15)*СПРАВОЧНИК!$M$10+('ФАКТ ЧИСТ К1'!H15)*СПРАВОЧНИК!$N$10+('ФАКТ ЧИСТ К1'!I15)*СПРАВОЧНИК!$L$11+('ФАКТ ЧИСТ К1'!J15)*СПРАВОЧНИК!$M$11+('ФАКТ ЧИСТ К1'!K15)*СПРАВОЧНИК!$N$11+('ФАКТ ЧИСТ К1'!L15)*СПРАВОЧНИК!$L$12+('ФАКТ ЧИСТ К1'!M15)*СПРАВОЧНИК!$M$12+('ФАКТ ЧИСТ К1'!N15)*СПРАВОЧНИК!$N$12+('ФАКТ ЧИСТ К1'!O15)*СПРАВОЧНИК!$L$13+('ФАКТ ЧИСТ К1'!P15)*СПРАВОЧНИК!$M$13+('ФАКТ ЧИСТ К1'!Q15)*СПРАВОЧНИК!$N$13+('ФАКТ ЧИСТ К1'!R15)*СПРАВОЧНИК!$L$14+('ФАКТ ЧИСТ К1'!S15)*СПРАВОЧНИК!$M$14+('ФАКТ ЧИСТ К1'!T15)*СПРАВОЧНИК!$N$14+('ФАКТ ЧИСТ К1'!U15)*СПРАВОЧНИК!$L$15+('ФАКТ ЧИСТ К1'!V15)*СПРАВОЧНИК!$M$15+('ФАКТ ЧИСТ К1'!W15)*СПРАВОЧНИК!$N$15</f>
        <v>0</v>
      </c>
      <c r="AM24" s="18">
        <f t="shared" si="18"/>
        <v>46244</v>
      </c>
      <c r="AN24" s="37">
        <f>СПРАВОЧНИК!$E$9*('ПЛАН ЧЕРН К2'!B15*СПРАВОЧНИК!$H$9+'ПЛАН ЧЕРН К2'!C15*СПРАВОЧНИК!$I$9+'ПЛАН ЧЕРН К2'!D15*СПРАВОЧНИК!$J$9)+СПРАВОЧНИК!$E$10*('ПЛАН ЧЕРН К2'!E15*СПРАВОЧНИК!$H$10+'ПЛАН ЧЕРН К2'!F15*СПРАВОЧНИК!$I$10+'ПЛАН ЧЕРН К2'!G15*СПРАВОЧНИК!$J$10)+СПРАВОЧНИК!$E$11*('ПЛАН ЧЕРН К2'!H15*СПРАВОЧНИК!$H$11+'ПЛАН ЧЕРН К2'!I15*СПРАВОЧНИК!$I$11+'ПЛАН ЧЕРН К2'!J15*СПРАВОЧНИК!$J$11)+СПРАВОЧНИК!$E$12*('ПЛАН ЧЕРН К2'!K15*СПРАВОЧНИК!$H$12+'ПЛАН ЧЕРН К2'!L15*СПРАВОЧНИК!$I$12+'ПЛАН ЧЕРН К2'!M15*СПРАВОЧНИК!$J$12)+СПРАВОЧНИК!$E$13*('ПЛАН ЧЕРН К2'!N15*СПРАВОЧНИК!$H$13+'ПЛАН ЧЕРН К2'!O15*СПРАВОЧНИК!$I$13+'ПЛАН ЧЕРН К2'!P15*СПРАВОЧНИК!$J$13)+СПРАВОЧНИК!$E$14*('ПЛАН ЧЕРН К2'!Q15*СПРАВОЧНИК!$H$14+'ПЛАН ЧЕРН К2'!R15*СПРАВОЧНИК!$I$14+'ПЛАН ЧЕРН К2'!S15*СПРАВОЧНИК!$J$14)+СПРАВОЧНИК!$E$15*('ПЛАН ЧЕРН К2'!T15*СПРАВОЧНИК!$H$15+'ПЛАН ЧЕРН К2'!U15*СПРАВОЧНИК!$I$15+'ПЛАН ЧЕРН К2'!V15*СПРАВОЧНИК!$J$15)+СПРАВОЧНИК!$F$9*('ПЛАН ЧИСТ К2'!B15*СПРАВОЧНИК!$L$9+'ПЛАН ЧИСТ К2'!C15*СПРАВОЧНИК!$M$9+'ПЛАН ЧИСТ К2'!D15*СПРАВОЧНИК!$N$9+'ПЛАН ЧИСТ К2'!E15*СПРАВОЧНИК!$O$9)+СПРАВОЧНИК!$F$10*('ПЛАН ЧИСТ К2'!F15*СПРАВОЧНИК!$L$10+'ПЛАН ЧИСТ К2'!G15*СПРАВОЧНИК!$M$10+'ПЛАН ЧИСТ К2'!H15*СПРАВОЧНИК!$N$10)+СПРАВОЧНИК!$F$11*('ПЛАН ЧИСТ К2'!I15*СПРАВОЧНИК!$L$11+'ПЛАН ЧИСТ К2'!J15*СПРАВОЧНИК!$M$11+'ПЛАН ЧИСТ К2'!K15*СПРАВОЧНИК!$N$11)+СПРАВОЧНИК!$F$12*('ПЛАН ЧИСТ К2'!L15*СПРАВОЧНИК!$L$12+'ПЛАН ЧИСТ К2'!M15*СПРАВОЧНИК!$M$12+'ПЛАН ЧИСТ К2'!N15*СПРАВОЧНИК!$N$12)+СПРАВОЧНИК!$F$13*('ПЛАН ЧИСТ К2'!O15*СПРАВОЧНИК!$L$13+'ПЛАН ЧИСТ К2'!P15*СПРАВОЧНИК!$M$13+'ПЛАН ЧИСТ К2'!Q15*СПРАВОЧНИК!$N$13)+СПРАВОЧНИК!$F$14*('ПЛАН ЧИСТ К2'!R15*СПРАВОЧНИК!$L$14+'ПЛАН ЧИСТ К2'!S15*СПРАВОЧНИК!$M$14+'ПЛАН ЧИСТ К2'!T15*СПРАВОЧНИК!$N$14)+СПРАВОЧНИК!$F$15*('ПЛАН ЧИСТ К2'!U15*СПРАВОЧНИК!$L$15+'ПЛАН ЧИСТ К2'!V15*СПРАВОЧНИК!$M$15+'ПЛАН ЧИСТ К2'!W15*СПРАВОЧНИК!$N$15)</f>
        <v>0</v>
      </c>
      <c r="AO24" s="40">
        <f>СПРАВОЧНИК!$E$9*(('ФАКТ ЧЕРН К2'!B15)*СПРАВОЧНИК!$H$9+('ФАКТ ЧЕРН К2'!C15)*СПРАВОЧНИК!$I$9+('ФАКТ ЧЕРН К2'!D15)*СПРАВОЧНИК!$J$9)+СПРАВОЧНИК!$E$10*(('ФАКТ ЧЕРН К2'!E15)*СПРАВОЧНИК!$H$10+('ФАКТ ЧЕРН К2'!F15)*СПРАВОЧНИК!$I$10+('ФАКТ ЧЕРН К2'!G15)*СПРАВОЧНИК!$J$10)+СПРАВОЧНИК!$E$11*(('ФАКТ ЧЕРН К2'!H15)*СПРАВОЧНИК!$H$11+('ФАКТ ЧЕРН К2'!I15)*СПРАВОЧНИК!$I$11+('ФАКТ ЧЕРН К2'!J15)*СПРАВОЧНИК!$J$11)+СПРАВОЧНИК!$E$12*(('ФАКТ ЧЕРН К2'!K15)*СПРАВОЧНИК!$H$12+('ФАКТ ЧЕРН К2'!L15)*СПРАВОЧНИК!$I$12+('ФАКТ ЧЕРН К2'!M15)*СПРАВОЧНИК!$J$12)+СПРАВОЧНИК!$E$13*(('ФАКТ ЧЕРН К2'!N15)*СПРАВОЧНИК!$H$13+('ФАКТ ЧЕРН К2'!O15)*СПРАВОЧНИК!$I$13+('ФАКТ ЧЕРН К2'!P15)*СПРАВОЧНИК!$J$13)+СПРАВОЧНИК!$E$14*(('ФАКТ ЧЕРН К2'!Q15)*СПРАВОЧНИК!$H$14+('ФАКТ ЧЕРН К2'!R15)*СПРАВОЧНИК!$I$14+('ФАКТ ЧЕРН К2'!S15)*СПРАВОЧНИК!$J$14)+СПРАВОЧНИК!$E$15*(('ФАКТ ЧЕРН К2'!T15)*СПРАВОЧНИК!$H$15+('ФАКТ ЧЕРН К2'!U15)*СПРАВОЧНИК!$I$15+('ФАКТ ЧЕРН К2'!V15)*СПРАВОЧНИК!$J$15)+СПРАВОЧНИК!$F$9*(('ФАКТ ЧИСТ К2'!B15)*СПРАВОЧНИК!$L$9+('ФАКТ ЧИСТ К2'!C15)*СПРАВОЧНИК!$M$9+('ФАКТ ЧИСТ К2'!D15)*СПРАВОЧНИК!$N$9+('ФАКТ ЧИСТ К2'!E15)*СПРАВОЧНИК!$O$9)+СПРАВОЧНИК!$F$10*(('ФАКТ ЧИСТ К2'!F15)*СПРАВОЧНИК!$L$10+('ФАКТ ЧИСТ К2'!G15)*СПРАВОЧНИК!$M$10+('ФАКТ ЧИСТ К2'!H15)*СПРАВОЧНИК!$N$10)+СПРАВОЧНИК!$F$11*(('ФАКТ ЧИСТ К2'!I15)*СПРАВОЧНИК!$L$11+('ФАКТ ЧИСТ К2'!J15)*СПРАВОЧНИК!$M$11+('ФАКТ ЧИСТ К2'!K15)*СПРАВОЧНИК!$N$11)+СПРАВОЧНИК!$F$12*(('ФАКТ ЧИСТ К2'!L15)*СПРАВОЧНИК!$L$12+('ФАКТ ЧИСТ К2'!M15)*СПРАВОЧНИК!$M$12+('ФАКТ ЧИСТ К2'!N15)*СПРАВОЧНИК!$N$12)+СПРАВОЧНИК!$F$13*(('ФАКТ ЧИСТ К2'!O15)*СПРАВОЧНИК!$L$13+('ФАКТ ЧИСТ К2'!P15)*СПРАВОЧНИК!$M$13+('ФАКТ ЧИСТ К2'!Q15)*СПРАВОЧНИК!$N$13)+СПРАВОЧНИК!$F$14*(('ФАКТ ЧИСТ К2'!R15)*СПРАВОЧНИК!$L$14+('ФАКТ ЧИСТ К2'!S15)*СПРАВОЧНИК!$M$14+('ФАКТ ЧИСТ К2'!T15)*СПРАВОЧНИК!$N$14)+СПРАВОЧНИК!$F$15*(('ФАКТ ЧИСТ К2'!U15)*СПРАВОЧНИК!$L$15+('ФАКТ ЧИСТ К2'!V15)*СПРАВОЧНИК!$M$15+('ФАКТ ЧИСТ К2'!W15)*СПРАВОЧНИК!$N$15)</f>
        <v>0</v>
      </c>
      <c r="AS24" s="18">
        <f t="shared" si="19"/>
        <v>46244</v>
      </c>
      <c r="AT24" s="37">
        <f>'ПЛАН ЧЕРН К2'!B15*СПРАВОЧНИК!$H$9+'ПЛАН ЧЕРН К2'!C15*СПРАВОЧНИК!$I$9+'ПЛАН ЧЕРН К2'!D15*СПРАВОЧНИК!$J$9+'ПЛАН ЧЕРН К2'!E15*СПРАВОЧНИК!$H$10+'ПЛАН ЧЕРН К2'!F15*СПРАВОЧНИК!$I$10+'ПЛАН ЧЕРН К2'!G15*СПРАВОЧНИК!$J$10+'ПЛАН ЧЕРН К2'!H15*СПРАВОЧНИК!$H$11+'ПЛАН ЧЕРН К2'!I15*СПРАВОЧНИК!$I$11+'ПЛАН ЧЕРН К2'!J15*СПРАВОЧНИК!$J$11+'ПЛАН ЧЕРН К2'!K15*СПРАВОЧНИК!$H$12+'ПЛАН ЧЕРН К2'!L15*СПРАВОЧНИК!$I$12+'ПЛАН ЧЕРН К2'!M15*СПРАВОЧНИК!$J$12+'ПЛАН ЧЕРН К2'!N15*СПРАВОЧНИК!$H$13+'ПЛАН ЧЕРН К2'!O15*СПРАВОЧНИК!$I$13+'ПЛАН ЧЕРН К2'!P15*СПРАВОЧНИК!$J$13+'ПЛАН ЧЕРН К2'!Q15*СПРАВОЧНИК!$H$14+'ПЛАН ЧЕРН К2'!R15*СПРАВОЧНИК!$I$14+'ПЛАН ЧЕРН К2'!S15*СПРАВОЧНИК!$J$14+'ПЛАН ЧЕРН К2'!T15*СПРАВОЧНИК!$H$15+'ПЛАН ЧЕРН К2'!U15*СПРАВОЧНИК!$I$15+'ПЛАН ЧЕРН К2'!V15*СПРАВОЧНИК!$J$15</f>
        <v>0</v>
      </c>
      <c r="AU24" s="40">
        <f>('ФАКТ ЧЕРН К2'!B15)*СПРАВОЧНИК!$H$9+('ФАКТ ЧЕРН К2'!C15)*СПРАВОЧНИК!$I$9+('ФАКТ ЧЕРН К2'!D15)*СПРАВОЧНИК!$J$9+('ФАКТ ЧЕРН К2'!E15)*СПРАВОЧНИК!$H$10+('ФАКТ ЧЕРН К2'!F15)*СПРАВОЧНИК!$I$10+('ФАКТ ЧЕРН К2'!G15)*СПРАВОЧНИК!$J$10+('ФАКТ ЧЕРН К2'!H15)*СПРАВОЧНИК!$H$11+('ФАКТ ЧЕРН К2'!I15)*СПРАВОЧНИК!$I$11+('ФАКТ ЧЕРН К2'!J15)*СПРАВОЧНИК!$J$11+('ФАКТ ЧЕРН К2'!K15)*СПРАВОЧНИК!$H$12+('ФАКТ ЧЕРН К2'!L15)*СПРАВОЧНИК!$I$12+('ФАКТ ЧЕРН К2'!M15)*СПРАВОЧНИК!$J$12+('ФАКТ ЧЕРН К2'!N15)*СПРАВОЧНИК!$H$13+('ФАКТ ЧЕРН К2'!O15)*СПРАВОЧНИК!$I$13+('ФАКТ ЧЕРН К2'!P15)*СПРАВОЧНИК!$J$13+('ФАКТ ЧЕРН К2'!Q15)*СПРАВОЧНИК!$H$14+('ФАКТ ЧЕРН К2'!R15)*СПРАВОЧНИК!$I$14+('ФАКТ ЧЕРН К2'!S15)*СПРАВОЧНИК!$J$14+('ФАКТ ЧЕРН К2'!T15)*СПРАВОЧНИК!$H$15+('ФАКТ ЧЕРН К2'!U15)*СПРАВОЧНИК!$I$15+('ФАКТ ЧЕРН К2'!V15)*СПРАВОЧНИК!$J$15</f>
        <v>0</v>
      </c>
      <c r="AY24" s="18">
        <f t="shared" si="20"/>
        <v>46244</v>
      </c>
      <c r="AZ24" s="37">
        <f>'ПЛАН ЧИСТ К2'!B15*СПРАВОЧНИК!$L$9+'ПЛАН ЧИСТ К2'!C15*СПРАВОЧНИК!$M$9+'ПЛАН ЧИСТ К2'!D15*СПРАВОЧНИК!$N$9+'ПЛАН ЧИСТ К2'!E15*СПРАВОЧНИК!$O$9+'ПЛАН ЧИСТ К2'!F15*СПРАВОЧНИК!$L$10+'ПЛАН ЧИСТ К2'!G15*СПРАВОЧНИК!$M$10+'ПЛАН ЧИСТ К2'!H15*СПРАВОЧНИК!$N$10+'ПЛАН ЧИСТ К2'!I15*СПРАВОЧНИК!$L$11+'ПЛАН ЧИСТ К2'!J15*СПРАВОЧНИК!$M$11+'ПЛАН ЧИСТ К2'!K15*СПРАВОЧНИК!$N$11+'ПЛАН ЧИСТ К2'!L15*СПРАВОЧНИК!$L$12+'ПЛАН ЧИСТ К2'!M15*СПРАВОЧНИК!$M$12+'ПЛАН ЧИСТ К2'!N15*СПРАВОЧНИК!$N$12+'ПЛАН ЧИСТ К2'!O15*СПРАВОЧНИК!$L$13+'ПЛАН ЧИСТ К2'!P15*СПРАВОЧНИК!$M$13+'ПЛАН ЧИСТ К2'!Q15*СПРАВОЧНИК!$N$13+'ПЛАН ЧИСТ К2'!R15*СПРАВОЧНИК!$L$14+'ПЛАН ЧИСТ К2'!S15*СПРАВОЧНИК!$M$14+'ПЛАН ЧИСТ К2'!T15*СПРАВОЧНИК!$N$14+'ПЛАН ЧИСТ К2'!U15*СПРАВОЧНИК!$L$15+'ПЛАН ЧИСТ К2'!V15*СПРАВОЧНИК!$M$15+'ПЛАН ЧИСТ К2'!W15*СПРАВОЧНИК!$N$15</f>
        <v>0</v>
      </c>
      <c r="BA24" s="40">
        <f>('ФАКТ ЧИСТ К2'!B15)*СПРАВОЧНИК!$L$9+('ФАКТ ЧИСТ К2'!C15)*СПРАВОЧНИК!$M$9+('ФАКТ ЧИСТ К2'!D15)*СПРАВОЧНИК!$N$9+('ФАКТ ЧИСТ К2'!E15)*СПРАВОЧНИК!$O$9+('ФАКТ ЧИСТ К2'!F15)*СПРАВОЧНИК!$L$10+('ФАКТ ЧИСТ К2'!G15)*СПРАВОЧНИК!$M$10+('ФАКТ ЧИСТ К2'!H15)*СПРАВОЧНИК!$N$10+('ФАКТ ЧИСТ К2'!I15)*СПРАВОЧНИК!$L$11+('ФАКТ ЧИСТ К2'!J15)*СПРАВОЧНИК!$M$11+('ФАКТ ЧИСТ К2'!K15)*СПРАВОЧНИК!$N$11+('ФАКТ ЧИСТ К2'!L15)*СПРАВОЧНИК!$L$12+('ФАКТ ЧИСТ К2'!M15)*СПРАВОЧНИК!$M$12+('ФАКТ ЧИСТ К2'!N15)*СПРАВОЧНИК!$N$12+('ФАКТ ЧИСТ К2'!O15)*СПРАВОЧНИК!$L$13+('ФАКТ ЧИСТ К2'!P15)*СПРАВОЧНИК!$M$13+('ФАКТ ЧИСТ К2'!Q15)*СПРАВОЧНИК!$N$13+('ФАКТ ЧИСТ К2'!R15)*СПРАВОЧНИК!$L$14+('ФАКТ ЧИСТ К2'!S15)*СПРАВОЧНИК!$M$14+('ФАКТ ЧИСТ К2'!T15)*СПРАВОЧНИК!$N$14+('ФАКТ ЧИСТ К2'!U15)*СПРАВОЧНИК!$L$15+('ФАКТ ЧИСТ К2'!V15)*СПРАВОЧНИК!$M$15+('ФАКТ ЧИСТ К2'!W15)*СПРАВОЧНИК!$N$15</f>
        <v>0</v>
      </c>
      <c r="BE24" s="18">
        <f t="shared" si="21"/>
        <v>46244</v>
      </c>
      <c r="BF24" s="37">
        <f>СПРАВОЧНИК!$E$9*('ПЛАН ЧЕРН К3'!B15*СПРАВОЧНИК!$H$9+'ПЛАН ЧЕРН К3'!C15*СПРАВОЧНИК!$I$9+'ПЛАН ЧЕРН К3'!D15*СПРАВОЧНИК!$J$9)+СПРАВОЧНИК!$E$10*('ПЛАН ЧЕРН К3'!E15*СПРАВОЧНИК!$H$10+'ПЛАН ЧЕРН К3'!F15*СПРАВОЧНИК!$I$10+'ПЛАН ЧЕРН К3'!G15*СПРАВОЧНИК!$J$10)+СПРАВОЧНИК!$E$11*('ПЛАН ЧЕРН К3'!H15*СПРАВОЧНИК!$H$11+'ПЛАН ЧЕРН К3'!I15*СПРАВОЧНИК!$I$11+'ПЛАН ЧЕРН К3'!J15*СПРАВОЧНИК!$J$11)+СПРАВОЧНИК!$E$12*('ПЛАН ЧЕРН К3'!K15*СПРАВОЧНИК!$H$12+'ПЛАН ЧЕРН К3'!L15*СПРАВОЧНИК!$I$12+'ПЛАН ЧЕРН К3'!M15*СПРАВОЧНИК!$J$12)+СПРАВОЧНИК!$E$13*('ПЛАН ЧЕРН К3'!N15*СПРАВОЧНИК!$H$13+'ПЛАН ЧЕРН К3'!O15*СПРАВОЧНИК!$I$13+'ПЛАН ЧЕРН К3'!P15*СПРАВОЧНИК!$J$13)+СПРАВОЧНИК!$E$14*('ПЛАН ЧЕРН К3'!Q15*СПРАВОЧНИК!$H$14+'ПЛАН ЧЕРН К3'!R15*СПРАВОЧНИК!$I$14+'ПЛАН ЧЕРН К3'!S15*СПРАВОЧНИК!$J$14)+СПРАВОЧНИК!$E$15*('ПЛАН ЧЕРН К3'!T15*СПРАВОЧНИК!$H$15+'ПЛАН ЧЕРН К3'!U15*СПРАВОЧНИК!$I$15+'ПЛАН ЧЕРН К3'!V15*СПРАВОЧНИК!$J$15)+СПРАВОЧНИК!$F$9*('ПЛАН ЧИСТ К3'!B15*СПРАВОЧНИК!$L$9+'ПЛАН ЧИСТ К3'!C15*СПРАВОЧНИК!$M$9+'ПЛАН ЧИСТ К3'!D15*СПРАВОЧНИК!$N$9+'ПЛАН ЧИСТ К3'!E15*СПРАВОЧНИК!$O$9)+СПРАВОЧНИК!$F$10*('ПЛАН ЧИСТ К3'!F15*СПРАВОЧНИК!$L$10+'ПЛАН ЧИСТ К3'!G15*СПРАВОЧНИК!$M$10+'ПЛАН ЧИСТ К3'!H15*СПРАВОЧНИК!$N$10)+СПРАВОЧНИК!$F$11*('ПЛАН ЧИСТ К3'!I15*СПРАВОЧНИК!$L$11+'ПЛАН ЧИСТ К3'!J15*СПРАВОЧНИК!$M$11+'ПЛАН ЧИСТ К3'!K15*СПРАВОЧНИК!$N$11)+СПРАВОЧНИК!$F$12*('ПЛАН ЧИСТ К3'!L15*СПРАВОЧНИК!$L$12+'ПЛАН ЧИСТ К3'!M15*СПРАВОЧНИК!$M$12+'ПЛАН ЧИСТ К3'!N15*СПРАВОЧНИК!$N$12)+СПРАВОЧНИК!$F$13*('ПЛАН ЧИСТ К3'!O15*СПРАВОЧНИК!$L$13+'ПЛАН ЧИСТ К3'!P15*СПРАВОЧНИК!$M$13+'ПЛАН ЧИСТ К3'!Q15*СПРАВОЧНИК!$N$13)+СПРАВОЧНИК!$F$14*('ПЛАН ЧИСТ К3'!R15*СПРАВОЧНИК!$L$14+'ПЛАН ЧИСТ К3'!S15*СПРАВОЧНИК!$M$14+'ПЛАН ЧИСТ К3'!T15*СПРАВОЧНИК!$N$14)+СПРАВОЧНИК!$F$15*('ПЛАН ЧИСТ К3'!U15*СПРАВОЧНИК!$L$15+'ПЛАН ЧИСТ К3'!V15*СПРАВОЧНИК!$M$15+'ПЛАН ЧИСТ К3'!W15*СПРАВОЧНИК!$N$15)</f>
        <v>0</v>
      </c>
      <c r="BG24" s="40">
        <f>СПРАВОЧНИК!$E$9*(('ФАКТ ЧЕРН К3'!B15)*СПРАВОЧНИК!$H$9+('ФАКТ ЧЕРН К3'!C15)*СПРАВОЧНИК!$I$9+('ФАКТ ЧЕРН К3'!D15)*СПРАВОЧНИК!$J$9)+СПРАВОЧНИК!$E$10*(('ФАКТ ЧЕРН К3'!E15)*СПРАВОЧНИК!$H$10+('ФАКТ ЧЕРН К3'!F15)*СПРАВОЧНИК!$I$10+('ФАКТ ЧЕРН К3'!G15)*СПРАВОЧНИК!$J$10)+СПРАВОЧНИК!$E$11*(('ФАКТ ЧЕРН К3'!H15)*СПРАВОЧНИК!$H$11+('ФАКТ ЧЕРН К3'!I15)*СПРАВОЧНИК!$I$11+('ФАКТ ЧЕРН К3'!J15)*СПРАВОЧНИК!$J$11)+СПРАВОЧНИК!$E$12*(('ФАКТ ЧЕРН К3'!K15)*СПРАВОЧНИК!$H$12+('ФАКТ ЧЕРН К3'!L15)*СПРАВОЧНИК!$I$12+('ФАКТ ЧЕРН К3'!M15)*СПРАВОЧНИК!$J$12)+СПРАВОЧНИК!$E$13*(('ФАКТ ЧЕРН К3'!N15)*СПРАВОЧНИК!$H$13+('ФАКТ ЧЕРН К3'!O15)*СПРАВОЧНИК!$I$13+('ФАКТ ЧЕРН К3'!P15)*СПРАВОЧНИК!$J$13)+СПРАВОЧНИК!$E$14*(('ФАКТ ЧЕРН К3'!Q15)*СПРАВОЧНИК!$H$14+('ФАКТ ЧЕРН К3'!R15)*СПРАВОЧНИК!$I$14+('ФАКТ ЧЕРН К3'!S15)*СПРАВОЧНИК!$J$14)+СПРАВОЧНИК!$E$15*(('ФАКТ ЧЕРН К3'!T15)*СПРАВОЧНИК!$H$15+('ФАКТ ЧЕРН К3'!U15)*СПРАВОЧНИК!$I$15+('ФАКТ ЧЕРН К3'!V15)*СПРАВОЧНИК!$J$15)+СПРАВОЧНИК!$F$9*(('ФАКТ ЧИСТ К3'!B15)*СПРАВОЧНИК!$L$9+('ФАКТ ЧИСТ К3'!C15)*СПРАВОЧНИК!$M$9+('ФАКТ ЧИСТ К3'!D15)*СПРАВОЧНИК!$N$9+('ФАКТ ЧИСТ К3'!E15)*СПРАВОЧНИК!$O$9)+СПРАВОЧНИК!$F$10*(('ФАКТ ЧИСТ К3'!F15)*СПРАВОЧНИК!$L$10+('ФАКТ ЧИСТ К3'!G15)*СПРАВОЧНИК!$M$10+('ФАКТ ЧИСТ К3'!H15)*СПРАВОЧНИК!$N$10)+СПРАВОЧНИК!$F$11*(('ФАКТ ЧИСТ К3'!I15)*СПРАВОЧНИК!$L$11+('ФАКТ ЧИСТ К3'!J15)*СПРАВОЧНИК!$M$11+('ФАКТ ЧИСТ К3'!K15)*СПРАВОЧНИК!$N$11)+СПРАВОЧНИК!$F$12*(('ФАКТ ЧИСТ К3'!L15)*СПРАВОЧНИК!$L$12+('ФАКТ ЧИСТ К3'!M15)*СПРАВОЧНИК!$M$12+('ФАКТ ЧИСТ К3'!N15)*СПРАВОЧНИК!$N$12)+СПРАВОЧНИК!$F$13*(('ФАКТ ЧИСТ К3'!O15)*СПРАВОЧНИК!$L$13+('ФАКТ ЧИСТ К3'!P15)*СПРАВОЧНИК!$M$13+('ФАКТ ЧИСТ К3'!Q15)*СПРАВОЧНИК!$N$13)+СПРАВОЧНИК!$F$14*(('ФАКТ ЧИСТ К3'!R15)*СПРАВОЧНИК!$L$14+('ФАКТ ЧИСТ К3'!S15)*СПРАВОЧНИК!$M$14+('ФАКТ ЧИСТ К3'!T15)*СПРАВОЧНИК!$N$14)+СПРАВОЧНИК!$F$15*(('ФАКТ ЧИСТ К3'!U15)*СПРАВОЧНИК!$L$15+('ФАКТ ЧИСТ К3'!V15)*СПРАВОЧНИК!$M$15+('ФАКТ ЧИСТ К3'!W15)*СПРАВОЧНИК!$N$15)</f>
        <v>0</v>
      </c>
      <c r="BK24" s="18">
        <f t="shared" si="22"/>
        <v>46244</v>
      </c>
      <c r="BL24" s="37">
        <f>'ПЛАН ЧЕРН К3'!B15*СПРАВОЧНИК!$H$9+'ПЛАН ЧЕРН К3'!C15*СПРАВОЧНИК!$I$9+'ПЛАН ЧЕРН К3'!D15*СПРАВОЧНИК!$J$9+'ПЛАН ЧЕРН К3'!E15*СПРАВОЧНИК!$H$10+'ПЛАН ЧЕРН К3'!F15*СПРАВОЧНИК!$I$10+'ПЛАН ЧЕРН К3'!G15*СПРАВОЧНИК!$J$10+'ПЛАН ЧЕРН К3'!H15*СПРАВОЧНИК!$H$11+'ПЛАН ЧЕРН К3'!I15*СПРАВОЧНИК!$I$11+'ПЛАН ЧЕРН К3'!J15*СПРАВОЧНИК!$J$11+'ПЛАН ЧЕРН К3'!K15*СПРАВОЧНИК!$H$12+'ПЛАН ЧЕРН К3'!L15*СПРАВОЧНИК!$I$12+'ПЛАН ЧЕРН К3'!M15*СПРАВОЧНИК!$J$12+'ПЛАН ЧЕРН К3'!N15*СПРАВОЧНИК!$H$13+'ПЛАН ЧЕРН К3'!O15*СПРАВОЧНИК!$I$13+'ПЛАН ЧЕРН К3'!P15*СПРАВОЧНИК!$J$13+'ПЛАН ЧЕРН К3'!Q15*СПРАВОЧНИК!$H$14+'ПЛАН ЧЕРН К3'!R15*СПРАВОЧНИК!$I$14+'ПЛАН ЧЕРН К3'!S15*СПРАВОЧНИК!$J$14+'ПЛАН ЧЕРН К3'!T15*СПРАВОЧНИК!$H$15+'ПЛАН ЧЕРН К3'!U15*СПРАВОЧНИК!$I$15+'ПЛАН ЧЕРН К3'!V15*СПРАВОЧНИК!$J$15</f>
        <v>0</v>
      </c>
      <c r="BM24" s="40">
        <f>('ФАКТ ЧЕРН К3'!B15)*СПРАВОЧНИК!$H$9+('ФАКТ ЧЕРН К3'!C15)*СПРАВОЧНИК!$I$9+('ФАКТ ЧЕРН К3'!D15)*СПРАВОЧНИК!$J$9+('ФАКТ ЧЕРН К3'!E15)*СПРАВОЧНИК!$H$10+('ФАКТ ЧЕРН К3'!F15)*СПРАВОЧНИК!$I$10+('ФАКТ ЧЕРН К3'!G15)*СПРАВОЧНИК!$J$10+('ФАКТ ЧЕРН К3'!H15)*СПРАВОЧНИК!$H$11+('ФАКТ ЧЕРН К3'!I15)*СПРАВОЧНИК!$I$11+('ФАКТ ЧЕРН К3'!J15)*СПРАВОЧНИК!$J$11+('ФАКТ ЧЕРН К3'!K15)*СПРАВОЧНИК!$H$12+('ФАКТ ЧЕРН К3'!L15)*СПРАВОЧНИК!$I$12+('ФАКТ ЧЕРН К3'!M15)*СПРАВОЧНИК!$J$12+('ФАКТ ЧЕРН К3'!N15)*СПРАВОЧНИК!$H$13+('ФАКТ ЧЕРН К3'!O15)*СПРАВОЧНИК!$I$13+('ФАКТ ЧЕРН К3'!P15)*СПРАВОЧНИК!$J$13+('ФАКТ ЧЕРН К3'!Q15)*СПРАВОЧНИК!$H$14+('ФАКТ ЧЕРН К3'!R15)*СПРАВОЧНИК!$I$14+('ФАКТ ЧЕРН К3'!S15)*СПРАВОЧНИК!$J$14+('ФАКТ ЧЕРН К3'!T15)*СПРАВОЧНИК!$H$15+('ФАКТ ЧЕРН К3'!U15)*СПРАВОЧНИК!$I$15+('ФАКТ ЧЕРН К3'!V15)*СПРАВОЧНИК!$J$15</f>
        <v>0</v>
      </c>
      <c r="BQ24" s="18">
        <f t="shared" si="23"/>
        <v>46244</v>
      </c>
      <c r="BR24" s="37">
        <f>'ПЛАН ЧИСТ К3'!B15*СПРАВОЧНИК!$L$9+'ПЛАН ЧИСТ К3'!C15*СПРАВОЧНИК!$M$9+'ПЛАН ЧИСТ К3'!D15*СПРАВОЧНИК!$N$9+'ПЛАН ЧИСТ К3'!E15*СПРАВОЧНИК!$O$9+'ПЛАН ЧИСТ К3'!F15*СПРАВОЧНИК!$L$10+'ПЛАН ЧИСТ К3'!G15*СПРАВОЧНИК!$M$10+'ПЛАН ЧИСТ К3'!H15*СПРАВОЧНИК!$N$10+'ПЛАН ЧИСТ К3'!I15*СПРАВОЧНИК!$L$11+'ПЛАН ЧИСТ К3'!J15*СПРАВОЧНИК!$M$11+'ПЛАН ЧИСТ К3'!K15*СПРАВОЧНИК!$N$11+'ПЛАН ЧИСТ К3'!L15*СПРАВОЧНИК!$L$12+'ПЛАН ЧИСТ К3'!M15*СПРАВОЧНИК!$M$12+'ПЛАН ЧИСТ К3'!N15*СПРАВОЧНИК!$N$12+'ПЛАН ЧИСТ К3'!O15*СПРАВОЧНИК!$L$13+'ПЛАН ЧИСТ К3'!P15*СПРАВОЧНИК!$M$13+'ПЛАН ЧИСТ К3'!Q15*СПРАВОЧНИК!$N$13+'ПЛАН ЧИСТ К3'!R15*СПРАВОЧНИК!$L$14+'ПЛАН ЧИСТ К3'!S15*СПРАВОЧНИК!$M$14+'ПЛАН ЧИСТ К3'!T15*СПРАВОЧНИК!$N$14+'ПЛАН ЧИСТ К3'!U15*СПРАВОЧНИК!$L$15+'ПЛАН ЧИСТ К3'!V15*СПРАВОЧНИК!$M$15+'ПЛАН ЧИСТ К3'!W15*СПРАВОЧНИК!$N$15</f>
        <v>0</v>
      </c>
      <c r="BS24" s="40">
        <f>('ФАКТ ЧИСТ К3'!B15)*СПРАВОЧНИК!$L$9+('ФАКТ ЧИСТ К3'!C15)*СПРАВОЧНИК!$M$9+('ФАКТ ЧИСТ К3'!D15)*СПРАВОЧНИК!$N$9+('ФАКТ ЧИСТ К3'!E15)*СПРАВОЧНИК!$O$9+('ФАКТ ЧИСТ К3'!F15)*СПРАВОЧНИК!$L$10+('ФАКТ ЧИСТ К3'!G15)*СПРАВОЧНИК!$M$10+('ФАКТ ЧИСТ К3'!H15)*СПРАВОЧНИК!$N$10+('ФАКТ ЧИСТ К3'!I15)*СПРАВОЧНИК!$L$11+('ФАКТ ЧИСТ К3'!J15)*СПРАВОЧНИК!$M$11+('ФАКТ ЧИСТ К3'!K15)*СПРАВОЧНИК!$N$11+('ФАКТ ЧИСТ К3'!L15)*СПРАВОЧНИК!$L$12+('ФАКТ ЧИСТ К3'!M15)*СПРАВОЧНИК!$M$12+('ФАКТ ЧИСТ К3'!N15)*СПРАВОЧНИК!$N$12+('ФАКТ ЧИСТ К3'!O15)*СПРАВОЧНИК!$L$13+('ФАКТ ЧИСТ К3'!P15)*СПРАВОЧНИК!$M$13+('ФАКТ ЧИСТ К3'!Q15)*СПРАВОЧНИК!$N$13+('ФАКТ ЧИСТ К3'!R15)*СПРАВОЧНИК!$L$14+('ФАКТ ЧИСТ К3'!S15)*СПРАВОЧНИК!$M$14+('ФАКТ ЧИСТ К3'!T15)*СПРАВОЧНИК!$N$14+('ФАКТ ЧИСТ К3'!U15)*СПРАВОЧНИК!$L$15+('ФАКТ ЧИСТ К3'!V15)*СПРАВОЧНИК!$M$15+('ФАКТ ЧИСТ К3'!W15)*СПРАВОЧНИК!$N$15</f>
        <v>0</v>
      </c>
      <c r="BW24" s="18">
        <f t="shared" si="24"/>
        <v>46244</v>
      </c>
      <c r="BX24" s="37">
        <f t="shared" si="0"/>
        <v>0</v>
      </c>
      <c r="BY24" s="40">
        <f t="shared" si="1"/>
        <v>0</v>
      </c>
      <c r="CC24" s="18">
        <f t="shared" si="25"/>
        <v>46244</v>
      </c>
      <c r="CD24" s="37">
        <f t="shared" si="2"/>
        <v>0</v>
      </c>
      <c r="CE24" s="40">
        <f t="shared" si="3"/>
        <v>0</v>
      </c>
      <c r="CI24" s="18">
        <f t="shared" si="26"/>
        <v>46244</v>
      </c>
      <c r="CJ24" s="37">
        <f t="shared" si="4"/>
        <v>0</v>
      </c>
      <c r="CK24" s="40">
        <f t="shared" si="5"/>
        <v>0</v>
      </c>
      <c r="CO24" s="18">
        <f t="shared" si="27"/>
        <v>46244</v>
      </c>
      <c r="CP24" s="37">
        <f t="shared" si="6"/>
        <v>0</v>
      </c>
      <c r="CQ24" s="40">
        <f t="shared" si="7"/>
        <v>0</v>
      </c>
      <c r="CU24" s="18">
        <f t="shared" si="28"/>
        <v>46244</v>
      </c>
      <c r="CV24" s="37">
        <f t="shared" si="8"/>
        <v>0</v>
      </c>
      <c r="CW24" s="40">
        <f t="shared" si="9"/>
        <v>0</v>
      </c>
      <c r="DA24" s="18">
        <f t="shared" si="29"/>
        <v>46244</v>
      </c>
      <c r="DB24" s="37">
        <f t="shared" si="10"/>
        <v>0</v>
      </c>
      <c r="DC24" s="40">
        <f t="shared" si="11"/>
        <v>0</v>
      </c>
    </row>
    <row r="25" spans="3:107" x14ac:dyDescent="0.25">
      <c r="C25" s="18">
        <f t="shared" si="12"/>
        <v>46251</v>
      </c>
      <c r="D25" s="37">
        <f>СПРАВОЧНИК!$E$3*('ПЛАН ЧЕРН ПОДЗЕМ'!B16*СПРАВОЧНИК!$H$3+'ПЛАН ЧЕРН ПОДЗЕМ'!C16*СПРАВОЧНИК!$I$3+'ПЛАН ЧЕРН ПОДЗЕМ'!D16*СПРАВОЧНИК!$J$3)+СПРАВОЧНИК!$E$4*('ПЛАН ЧЕРН ПОДЗЕМ'!E16*СПРАВОЧНИК!$H$4+'ПЛАН ЧЕРН ПОДЗЕМ'!F16*СПРАВОЧНИК!$I$4+'ПЛАН ЧЕРН ПОДЗЕМ'!G16*СПРАВОЧНИК!$J$4)+СПРАВОЧНИК!$E$5*('ПЛАН ЧЕРН ПОДЗЕМ'!H16*СПРАВОЧНИК!$H$5+'ПЛАН ЧЕРН ПОДЗЕМ'!I16*СПРАВОЧНИК!$I$5+'ПЛАН ЧЕРН ПОДЗЕМ'!J16*СПРАВОЧНИК!$J$5)+СПРАВОЧНИК!$E$6*('ПЛАН ЧЕРН ПОДЗЕМ'!K16*СПРАВОЧНИК!$H$6+'ПЛАН ЧЕРН ПОДЗЕМ'!L16*СПРАВОЧНИК!$I$6+'ПЛАН ЧЕРН ПОДЗЕМ'!M16*СПРАВОЧНИК!$J$6)+СПРАВОЧНИК!$E$7*('ПЛАН ЧЕРН ПОДЗЕМ'!N16*СПРАВОЧНИК!$H$7+'ПЛАН ЧЕРН ПОДЗЕМ'!O16*СПРАВОЧНИК!$I$7+'ПЛАН ЧЕРН ПОДЗЕМ'!P16*СПРАВОЧНИК!$J$7)+СПРАВОЧНИК!$E$8*('ПЛАН ЧЕРН ПОДЗЕМ'!Q16*СПРАВОЧНИК!$H$8+'ПЛАН ЧЕРН ПОДЗЕМ'!R16*СПРАВОЧНИК!$I$8+'ПЛАН ЧЕРН ПОДЗЕМ'!S16*СПРАВОЧНИК!$J$8)+СПРАВОЧНИК!$F$3*('ПЛАН ЧИСТ ПОДЗЕМ'!B16*СПРАВОЧНИК!$L$3+'ПЛАН ЧИСТ ПОДЗЕМ'!C16*СПРАВОЧНИК!$M$3+'ПЛАН ЧИСТ ПОДЗЕМ'!D16*СПРАВОЧНИК!$N$3)+СПРАВОЧНИК!$F$4*('ПЛАН ЧИСТ ПОДЗЕМ'!E16*СПРАВОЧНИК!$L$4+'ПЛАН ЧИСТ ПОДЗЕМ'!F16*СПРАВОЧНИК!$M$4+'ПЛАН ЧИСТ ПОДЗЕМ'!G16*СПРАВОЧНИК!$N$4)+СПРАВОЧНИК!$F$5*('ПЛАН ЧИСТ ПОДЗЕМ'!H16*СПРАВОЧНИК!$L$5+'ПЛАН ЧИСТ ПОДЗЕМ'!I16*СПРАВОЧНИК!$M$5+'ПЛАН ЧИСТ ПОДЗЕМ'!J16*СПРАВОЧНИК!$N$5)+СПРАВОЧНИК!$F$6*('ПЛАН ЧИСТ ПОДЗЕМ'!K16*СПРАВОЧНИК!$L$6+'ПЛАН ЧИСТ ПОДЗЕМ'!L16*СПРАВОЧНИК!$M$6+'ПЛАН ЧИСТ ПОДЗЕМ'!M16*СПРАВОЧНИК!$N$6)+СПРАВОЧНИК!$F$7*('ПЛАН ЧИСТ ПОДЗЕМ'!N16*СПРАВОЧНИК!$L$7+'ПЛАН ЧИСТ ПОДЗЕМ'!O16*СПРАВОЧНИК!$M$7+'ПЛАН ЧИСТ ПОДЗЕМ'!P16*СПРАВОЧНИК!$N$7)+СПРАВОЧНИК!$F$8*('ПЛАН ЧИСТ ПОДЗЕМ'!Q16*СПРАВОЧНИК!$L$8+'ПЛАН ЧИСТ ПОДЗЕМ'!R16*СПРАВОЧНИК!$M$8+'ПЛАН ЧИСТ ПОДЗЕМ'!S16*СПРАВОЧНИК!$N$8)</f>
        <v>0</v>
      </c>
      <c r="E25" s="40">
        <f>СПРАВОЧНИК!$E$3*(('ФАКТ ЧЕРН ПОДЗЕМ'!B16)*СПРАВОЧНИК!$H$3+('ФАКТ ЧЕРН ПОДЗЕМ'!C16)*СПРАВОЧНИК!$I$3+('ФАКТ ЧЕРН ПОДЗЕМ'!D16)*СПРАВОЧНИК!$J$3)+СПРАВОЧНИК!$E$4*(('ФАКТ ЧЕРН ПОДЗЕМ'!E16)*СПРАВОЧНИК!$H$4+('ФАКТ ЧЕРН ПОДЗЕМ'!F16)*СПРАВОЧНИК!$I$4+('ФАКТ ЧЕРН ПОДЗЕМ'!G16)*СПРАВОЧНИК!$J$4)+СПРАВОЧНИК!$E$5*(('ФАКТ ЧЕРН ПОДЗЕМ'!H16)*СПРАВОЧНИК!$H$5+('ФАКТ ЧЕРН ПОДЗЕМ'!I16)*СПРАВОЧНИК!$I$5+('ФАКТ ЧЕРН ПОДЗЕМ'!J16)*СПРАВОЧНИК!$J$5)+СПРАВОЧНИК!$E$6*(('ФАКТ ЧЕРН ПОДЗЕМ'!K16)*СПРАВОЧНИК!$H$6+('ФАКТ ЧЕРН ПОДЗЕМ'!L16)*СПРАВОЧНИК!$I$6+('ФАКТ ЧЕРН ПОДЗЕМ'!M16)*СПРАВОЧНИК!$J$6)+СПРАВОЧНИК!$E$7*(('ФАКТ ЧЕРН ПОДЗЕМ'!N16)*СПРАВОЧНИК!$H$7+('ФАКТ ЧЕРН ПОДЗЕМ'!O16)*СПРАВОЧНИК!$I$7+('ФАКТ ЧЕРН ПОДЗЕМ'!P16)*СПРАВОЧНИК!$J$7)+СПРАВОЧНИК!$E$8*(('ФАКТ ЧЕРН ПОДЗЕМ'!Q16)*СПРАВОЧНИК!$H$8+('ФАКТ ЧЕРН ПОДЗЕМ'!R16)*СПРАВОЧНИК!$I$8+('ФАКТ ЧЕРН ПОДЗЕМ'!S16)*СПРАВОЧНИК!$J$8)+СПРАВОЧНИК!$F$3*(('ФАКТ ЧИСТ ПОДЗЕМ'!B16)*СПРАВОЧНИК!$L$3+('ФАКТ ЧИСТ ПОДЗЕМ'!C16)*СПРАВОЧНИК!$M$3+('ФАКТ ЧИСТ ПОДЗЕМ'!D16)*СПРАВОЧНИК!$N$3)+СПРАВОЧНИК!$F$4*(('ФАКТ ЧИСТ ПОДЗЕМ'!E16)*СПРАВОЧНИК!$L$4+('ФАКТ ЧИСТ ПОДЗЕМ'!F16)*СПРАВОЧНИК!$M$4+('ФАКТ ЧИСТ ПОДЗЕМ'!G16)*СПРАВОЧНИК!$N$4)+СПРАВОЧНИК!$F$5*(('ФАКТ ЧИСТ ПОДЗЕМ'!H16)*СПРАВОЧНИК!$L$5+('ФАКТ ЧИСТ ПОДЗЕМ'!I16)*СПРАВОЧНИК!$M$5+('ФАКТ ЧИСТ ПОДЗЕМ'!J16)*СПРАВОЧНИК!$N$5)+СПРАВОЧНИК!$F$6*(('ФАКТ ЧИСТ ПОДЗЕМ'!K16)*СПРАВОЧНИК!$L$6+('ФАКТ ЧИСТ ПОДЗЕМ'!L16)*СПРАВОЧНИК!$M$6+('ФАКТ ЧИСТ ПОДЗЕМ'!M16)*СПРАВОЧНИК!$N$6)+СПРАВОЧНИК!$F$7*(('ФАКТ ЧИСТ ПОДЗЕМ'!N16)*СПРАВОЧНИК!$L$7+('ФАКТ ЧИСТ ПОДЗЕМ'!O16)*СПРАВОЧНИК!$M$7+('ФАКТ ЧИСТ ПОДЗЕМ'!P16)*СПРАВОЧНИК!$N$7)+СПРАВОЧНИК!$F$8*(('ФАКТ ЧИСТ ПОДЗЕМ'!Q16)*СПРАВОЧНИК!$L$8+('ФАКТ ЧИСТ ПОДЗЕМ'!R16)*СПРАВОЧНИК!$M$8+('ФАКТ ЧИСТ ПОДЗЕМ'!S16)*СПРАВОЧНИК!$N$8)</f>
        <v>0</v>
      </c>
      <c r="I25" s="18">
        <f t="shared" si="13"/>
        <v>46251</v>
      </c>
      <c r="J25" s="37">
        <f>'ПЛАН ЧЕРН ПОДЗЕМ'!B16*СПРАВОЧНИК!$H$3+'ПЛАН ЧЕРН ПОДЗЕМ'!C16*СПРАВОЧНИК!$I$3+'ПЛАН ЧЕРН ПОДЗЕМ'!D16*СПРАВОЧНИК!$J$3+'ПЛАН ЧЕРН ПОДЗЕМ'!E16*СПРАВОЧНИК!$H$4+'ПЛАН ЧЕРН ПОДЗЕМ'!F16*СПРАВОЧНИК!$I$4+'ПЛАН ЧЕРН ПОДЗЕМ'!G16*СПРАВОЧНИК!$J$4+'ПЛАН ЧЕРН ПОДЗЕМ'!H16*СПРАВОЧНИК!$H$5+'ПЛАН ЧЕРН ПОДЗЕМ'!I16*СПРАВОЧНИК!$I$5+'ПЛАН ЧЕРН ПОДЗЕМ'!J16*СПРАВОЧНИК!$J$5+'ПЛАН ЧЕРН ПОДЗЕМ'!K16*СПРАВОЧНИК!$H$6+'ПЛАН ЧЕРН ПОДЗЕМ'!L16*СПРАВОЧНИК!$I$6+'ПЛАН ЧЕРН ПОДЗЕМ'!M16*СПРАВОЧНИК!$J$6+'ПЛАН ЧЕРН ПОДЗЕМ'!N16*СПРАВОЧНИК!$H$7+'ПЛАН ЧЕРН ПОДЗЕМ'!O16*СПРАВОЧНИК!$I$7+'ПЛАН ЧЕРН ПОДЗЕМ'!P16*СПРАВОЧНИК!$J$7+'ПЛАН ЧЕРН ПОДЗЕМ'!Q16*СПРАВОЧНИК!$H$8+'ПЛАН ЧЕРН ПОДЗЕМ'!R16*СПРАВОЧНИК!$I$8+'ПЛАН ЧЕРН ПОДЗЕМ'!S16*СПРАВОЧНИК!$J$8</f>
        <v>0</v>
      </c>
      <c r="K25" s="40">
        <f>('ФАКТ ЧЕРН ПОДЗЕМ'!B16)*СПРАВОЧНИК!$H$3+('ФАКТ ЧЕРН ПОДЗЕМ'!C16)*СПРАВОЧНИК!$I$3+('ФАКТ ЧЕРН ПОДЗЕМ'!D16)*СПРАВОЧНИК!$J$3+('ФАКТ ЧЕРН ПОДЗЕМ'!E16)*СПРАВОЧНИК!$H$4+('ФАКТ ЧЕРН ПОДЗЕМ'!F16)*СПРАВОЧНИК!$I$4+('ФАКТ ЧЕРН ПОДЗЕМ'!G16)*СПРАВОЧНИК!$J$4+('ФАКТ ЧЕРН ПОДЗЕМ'!H16)*СПРАВОЧНИК!$H$5+('ФАКТ ЧЕРН ПОДЗЕМ'!I16)*СПРАВОЧНИК!$I$5+('ФАКТ ЧЕРН ПОДЗЕМ'!J16)*СПРАВОЧНИК!$J$5+('ФАКТ ЧЕРН ПОДЗЕМ'!K16)*СПРАВОЧНИК!$H$6+('ФАКТ ЧЕРН ПОДЗЕМ'!L16)*СПРАВОЧНИК!$I$6+('ФАКТ ЧЕРН ПОДЗЕМ'!M16)*СПРАВОЧНИК!$J$6+('ФАКТ ЧЕРН ПОДЗЕМ'!N16)*СПРАВОЧНИК!$H$7+('ФАКТ ЧЕРН ПОДЗЕМ'!O16)*СПРАВОЧНИК!$I$7+('ФАКТ ЧЕРН ПОДЗЕМ'!P16)*СПРАВОЧНИК!$J$7+('ФАКТ ЧЕРН ПОДЗЕМ'!Q16)*СПРАВОЧНИК!$H$8+('ФАКТ ЧЕРН ПОДЗЕМ'!R16)*СПРАВОЧНИК!$I$8+('ФАКТ ЧЕРН ПОДЗЕМ'!S16)*СПРАВОЧНИК!$J$8</f>
        <v>0</v>
      </c>
      <c r="O25" s="18">
        <f t="shared" si="14"/>
        <v>46251</v>
      </c>
      <c r="P25" s="37">
        <f>'ПЛАН ЧИСТ ПОДЗЕМ'!B16*СПРАВОЧНИК!$L$3+'ПЛАН ЧИСТ ПОДЗЕМ'!C16*СПРАВОЧНИК!$M$3+'ПЛАН ЧИСТ ПОДЗЕМ'!D16*СПРАВОЧНИК!$N$3+'ПЛАН ЧИСТ ПОДЗЕМ'!E16*СПРАВОЧНИК!$L$4+'ПЛАН ЧИСТ ПОДЗЕМ'!F16*СПРАВОЧНИК!$M$4+'ПЛАН ЧИСТ ПОДЗЕМ'!G16*СПРАВОЧНИК!$N$4+'ПЛАН ЧИСТ ПОДЗЕМ'!H16*СПРАВОЧНИК!$L$5+'ПЛАН ЧИСТ ПОДЗЕМ'!I16*СПРАВОЧНИК!$M$5+'ПЛАН ЧИСТ ПОДЗЕМ'!J16*СПРАВОЧНИК!$N$5+'ПЛАН ЧИСТ ПОДЗЕМ'!K16*СПРАВОЧНИК!$L$6+'ПЛАН ЧИСТ ПОДЗЕМ'!L16*СПРАВОЧНИК!$M$6+'ПЛАН ЧИСТ ПОДЗЕМ'!M16*СПРАВОЧНИК!$N$6+'ПЛАН ЧИСТ ПОДЗЕМ'!N16*СПРАВОЧНИК!$L$7+'ПЛАН ЧИСТ ПОДЗЕМ'!O16*СПРАВОЧНИК!$M$7+'ПЛАН ЧИСТ ПОДЗЕМ'!P16*СПРАВОЧНИК!$N$7+'ПЛАН ЧИСТ ПОДЗЕМ'!Q16*СПРАВОЧНИК!$L$8+'ПЛАН ЧИСТ ПОДЗЕМ'!R16*СПРАВОЧНИК!$M$8+'ПЛАН ЧИСТ ПОДЗЕМ'!S16*СПРАВОЧНИК!$N$8</f>
        <v>0</v>
      </c>
      <c r="Q25" s="40">
        <f>('ФАКТ ЧИСТ ПОДЗЕМ'!B16)*СПРАВОЧНИК!$L$3+('ФАКТ ЧИСТ ПОДЗЕМ'!C16)*СПРАВОЧНИК!$M$3+('ФАКТ ЧИСТ ПОДЗЕМ'!D16)*СПРАВОЧНИК!$N$3+('ФАКТ ЧИСТ ПОДЗЕМ'!E16)*СПРАВОЧНИК!$L$4+('ФАКТ ЧИСТ ПОДЗЕМ'!F16)*СПРАВОЧНИК!$M$4+('ФАКТ ЧИСТ ПОДЗЕМ'!G16)*СПРАВОЧНИК!$N$4+('ФАКТ ЧИСТ ПОДЗЕМ'!H16)*СПРАВОЧНИК!$L$5+('ФАКТ ЧИСТ ПОДЗЕМ'!I16)*СПРАВОЧНИК!$M$5+('ФАКТ ЧИСТ ПОДЗЕМ'!J16)*СПРАВОЧНИК!$N$5+('ФАКТ ЧИСТ ПОДЗЕМ'!K16)*СПРАВОЧНИК!$L$6+('ФАКТ ЧИСТ ПОДЗЕМ'!L16)*СПРАВОЧНИК!$M$6+('ФАКТ ЧИСТ ПОДЗЕМ'!M16)*СПРАВОЧНИК!$N$6+('ФАКТ ЧИСТ ПОДЗЕМ'!N16)*СПРАВОЧНИК!$L$7+('ФАКТ ЧИСТ ПОДЗЕМ'!O16)*СПРАВОЧНИК!$M$7+('ФАКТ ЧИСТ ПОДЗЕМ'!P16)*СПРАВОЧНИК!$N$7+('ФАКТ ЧИСТ ПОДЗЕМ'!Q16)*СПРАВОЧНИК!$L$8+('ФАКТ ЧИСТ ПОДЗЕМ'!R16)*СПРАВОЧНИК!$M$8+('ФАКТ ЧИСТ ПОДЗЕМ'!S16)*СПРАВОЧНИК!$N$8</f>
        <v>0</v>
      </c>
      <c r="U25" s="18">
        <f t="shared" si="15"/>
        <v>46251</v>
      </c>
      <c r="V25" s="37">
        <f>СПРАВОЧНИК!$E$9*('ПЛАН ЧЕРН К1'!B16*СПРАВОЧНИК!$H$9+'ПЛАН ЧЕРН К1'!C16*СПРАВОЧНИК!$I$9+'ПЛАН ЧЕРН К1'!D16*СПРАВОЧНИК!$J$9)+СПРАВОЧНИК!$E$10*('ПЛАН ЧЕРН К1'!E16*СПРАВОЧНИК!$H$10+'ПЛАН ЧЕРН К1'!F16*СПРАВОЧНИК!$I$10+'ПЛАН ЧЕРН К1'!G16*СПРАВОЧНИК!$J$10)+СПРАВОЧНИК!$E$11*('ПЛАН ЧЕРН К1'!H16*СПРАВОЧНИК!$H$11+'ПЛАН ЧЕРН К1'!I16*СПРАВОЧНИК!$I$11+'ПЛАН ЧЕРН К1'!J16*СПРАВОЧНИК!$J$11)+СПРАВОЧНИК!$E$12*('ПЛАН ЧЕРН К1'!K16*СПРАВОЧНИК!$H$12+'ПЛАН ЧЕРН К1'!L16*СПРАВОЧНИК!$I$12+'ПЛАН ЧЕРН К1'!M16*СПРАВОЧНИК!$J$12)+СПРАВОЧНИК!$E$13*('ПЛАН ЧЕРН К1'!N16*СПРАВОЧНИК!$H$13+'ПЛАН ЧЕРН К1'!O16*СПРАВОЧНИК!$I$13+'ПЛАН ЧЕРН К1'!P16*СПРАВОЧНИК!$J$13)+СПРАВОЧНИК!$E$14*('ПЛАН ЧЕРН К1'!Q16*СПРАВОЧНИК!$H$14+'ПЛАН ЧЕРН К1'!R16*СПРАВОЧНИК!$I$14+'ПЛАН ЧЕРН К1'!S16*СПРАВОЧНИК!$J$14)+СПРАВОЧНИК!$E$15*('ПЛАН ЧЕРН К1'!T16*СПРАВОЧНИК!$H$15+'ПЛАН ЧЕРН К1'!U16*СПРАВОЧНИК!$I$15+'ПЛАН ЧЕРН К1'!V16*СПРАВОЧНИК!$J$15)+СПРАВОЧНИК!$F$9*('ПЛАН ЧИСТ К1'!B16*СПРАВОЧНИК!$L$9+'ПЛАН ЧИСТ К1'!C16*СПРАВОЧНИК!$M$9+'ПЛАН ЧИСТ К1'!D16*СПРАВОЧНИК!$N$9+'ПЛАН ЧИСТ К1'!E16*СПРАВОЧНИК!$O$9)+СПРАВОЧНИК!$F$10*('ПЛАН ЧИСТ К1'!F16*СПРАВОЧНИК!$L$10+'ПЛАН ЧИСТ К1'!G16*СПРАВОЧНИК!$M$10+'ПЛАН ЧИСТ К1'!H16*СПРАВОЧНИК!$N$10)+СПРАВОЧНИК!$F$11*('ПЛАН ЧИСТ К1'!I16*СПРАВОЧНИК!$L$11+'ПЛАН ЧИСТ К1'!J16*СПРАВОЧНИК!$M$11+'ПЛАН ЧИСТ К1'!K16*СПРАВОЧНИК!$N$11)+СПРАВОЧНИК!$F$12*('ПЛАН ЧИСТ К1'!L16*СПРАВОЧНИК!$L$12+'ПЛАН ЧИСТ К1'!M16*СПРАВОЧНИК!$M$12+'ПЛАН ЧИСТ К1'!N16*СПРАВОЧНИК!$N$12)+СПРАВОЧНИК!$F$13*('ПЛАН ЧИСТ К1'!O16*СПРАВОЧНИК!$L$13+'ПЛАН ЧИСТ К1'!P16*СПРАВОЧНИК!$M$13+'ПЛАН ЧИСТ К1'!Q16*СПРАВОЧНИК!$N$13)+СПРАВОЧНИК!$F$14*('ПЛАН ЧИСТ К1'!R16*СПРАВОЧНИК!$L$14+'ПЛАН ЧИСТ К1'!S16*СПРАВОЧНИК!$M$14+'ПЛАН ЧИСТ К1'!T16*СПРАВОЧНИК!$N$14)+СПРАВОЧНИК!$F$15*('ПЛАН ЧИСТ К1'!U16*СПРАВОЧНИК!$L$15+'ПЛАН ЧИСТ К1'!V16*СПРАВОЧНИК!$M$15+'ПЛАН ЧИСТ К1'!W16*СПРАВОЧНИК!$N$15)</f>
        <v>0</v>
      </c>
      <c r="W25" s="40">
        <f>СПРАВОЧНИК!$E$9*(('ФАКТ ЧЕРН К1'!B16)*СПРАВОЧНИК!$H$9+('ФАКТ ЧЕРН К1'!C16)*СПРАВОЧНИК!$I$9+('ФАКТ ЧЕРН К1'!D16)*СПРАВОЧНИК!$J$9)+СПРАВОЧНИК!$E$10*(('ФАКТ ЧЕРН К1'!E16)*СПРАВОЧНИК!$H$10+('ФАКТ ЧЕРН К1'!F16)*СПРАВОЧНИК!$I$10+('ФАКТ ЧЕРН К1'!G16)*СПРАВОЧНИК!$J$10)+СПРАВОЧНИК!$E$11*(('ФАКТ ЧЕРН К1'!H16)*СПРАВОЧНИК!$H$11+('ФАКТ ЧЕРН К1'!I16)*СПРАВОЧНИК!$I$11+('ФАКТ ЧЕРН К1'!J16)*СПРАВОЧНИК!$J$11)+СПРАВОЧНИК!$E$12*(('ФАКТ ЧЕРН К1'!K16)*СПРАВОЧНИК!$H$12+('ФАКТ ЧЕРН К1'!L16)*СПРАВОЧНИК!$I$12+('ФАКТ ЧЕРН К1'!M16)*СПРАВОЧНИК!$J$12)+СПРАВОЧНИК!$E$13*(('ФАКТ ЧЕРН К1'!N16)*СПРАВОЧНИК!$H$13+('ФАКТ ЧЕРН К1'!O16)*СПРАВОЧНИК!$I$13+('ФАКТ ЧЕРН К1'!P16)*СПРАВОЧНИК!$J$13)+СПРАВОЧНИК!$E$14*(('ФАКТ ЧЕРН К1'!Q16)*СПРАВОЧНИК!$H$14+('ФАКТ ЧЕРН К1'!R16)*СПРАВОЧНИК!$I$14+('ФАКТ ЧЕРН К1'!S16)*СПРАВОЧНИК!$J$14)+СПРАВОЧНИК!$E$15*(('ФАКТ ЧЕРН К1'!T16)*СПРАВОЧНИК!$H$15+('ФАКТ ЧЕРН К1'!U16)*СПРАВОЧНИК!$I$15+('ФАКТ ЧЕРН К1'!V16)*СПРАВОЧНИК!$J$15)+СПРАВОЧНИК!$F$9*(('ФАКТ ЧИСТ К1'!B16)*СПРАВОЧНИК!$L$9+('ФАКТ ЧИСТ К1'!C16)*СПРАВОЧНИК!$M$9+('ФАКТ ЧИСТ К1'!D16)*СПРАВОЧНИК!$N$9+('ФАКТ ЧИСТ К1'!E16)*СПРАВОЧНИК!$O$9)+СПРАВОЧНИК!$F$10*(('ФАКТ ЧИСТ К1'!F16)*СПРАВОЧНИК!$L$10+('ФАКТ ЧИСТ К1'!G16)*СПРАВОЧНИК!$M$10+('ФАКТ ЧИСТ К1'!H16)*СПРАВОЧНИК!$N$10)+СПРАВОЧНИК!$F$11*(('ФАКТ ЧИСТ К1'!I16)*СПРАВОЧНИК!$L$11+('ФАКТ ЧИСТ К1'!J16)*СПРАВОЧНИК!$M$11+('ФАКТ ЧИСТ К1'!K16)*СПРАВОЧНИК!$N$11)+СПРАВОЧНИК!$F$12*(('ФАКТ ЧИСТ К1'!L16)*СПРАВОЧНИК!$L$12+('ФАКТ ЧИСТ К1'!M16)*СПРАВОЧНИК!$M$12+('ФАКТ ЧИСТ К1'!N16)*СПРАВОЧНИК!$N$12)+СПРАВОЧНИК!$F$13*(('ФАКТ ЧИСТ К1'!O16)*СПРАВОЧНИК!$L$13+('ФАКТ ЧИСТ К1'!P16)*СПРАВОЧНИК!$M$13+('ФАКТ ЧИСТ К1'!Q16)*СПРАВОЧНИК!$N$13)+СПРАВОЧНИК!$F$14*(('ФАКТ ЧИСТ К1'!R16)*СПРАВОЧНИК!$L$14+('ФАКТ ЧИСТ К1'!S16)*СПРАВОЧНИК!$M$14+('ФАКТ ЧИСТ К1'!T16)*СПРАВОЧНИК!$N$14)+СПРАВОЧНИК!$F$15*(('ФАКТ ЧИСТ К1'!U16)*СПРАВОЧНИК!$L$15+('ФАКТ ЧИСТ К1'!V16)*СПРАВОЧНИК!$M$15+('ФАКТ ЧИСТ К1'!W16)*СПРАВОЧНИК!$N$15)</f>
        <v>0</v>
      </c>
      <c r="AA25" s="18">
        <f t="shared" si="16"/>
        <v>46251</v>
      </c>
      <c r="AB25" s="37">
        <f>'ПЛАН ЧЕРН К1'!B16*СПРАВОЧНИК!$H$9+'ПЛАН ЧЕРН К1'!C16*СПРАВОЧНИК!$I$9+'ПЛАН ЧЕРН К1'!D16*СПРАВОЧНИК!$J$9+'ПЛАН ЧЕРН К1'!E16*СПРАВОЧНИК!$H$10+'ПЛАН ЧЕРН К1'!F16*СПРАВОЧНИК!$I$10+'ПЛАН ЧЕРН К1'!G16*СПРАВОЧНИК!$J$10+'ПЛАН ЧЕРН К1'!H16*СПРАВОЧНИК!$H$11+'ПЛАН ЧЕРН К1'!I16*СПРАВОЧНИК!$I$11+'ПЛАН ЧЕРН К1'!J16*СПРАВОЧНИК!$J$11+'ПЛАН ЧЕРН К1'!K16*СПРАВОЧНИК!$H$12+'ПЛАН ЧЕРН К1'!L16*СПРАВОЧНИК!$I$12+'ПЛАН ЧЕРН К1'!M16*СПРАВОЧНИК!$J$12+'ПЛАН ЧЕРН К1'!N16*СПРАВОЧНИК!$H$13+'ПЛАН ЧЕРН К1'!O16*СПРАВОЧНИК!$I$13+'ПЛАН ЧЕРН К1'!P16*СПРАВОЧНИК!$J$13+'ПЛАН ЧЕРН К1'!Q16*СПРАВОЧНИК!$H$14+'ПЛАН ЧЕРН К1'!R16*СПРАВОЧНИК!$I$14+'ПЛАН ЧЕРН К1'!S16*СПРАВОЧНИК!$J$14+'ПЛАН ЧЕРН К1'!T16*СПРАВОЧНИК!$H$15+'ПЛАН ЧЕРН К1'!U16*СПРАВОЧНИК!$I$15+'ПЛАН ЧЕРН К1'!V16*СПРАВОЧНИК!$J$15</f>
        <v>0</v>
      </c>
      <c r="AC25" s="40">
        <f>('ФАКТ ЧЕРН К1'!B16)*СПРАВОЧНИК!$H$9+('ФАКТ ЧЕРН К1'!C16)*СПРАВОЧНИК!$I$9+('ФАКТ ЧЕРН К1'!D16)*СПРАВОЧНИК!$J$9+('ФАКТ ЧЕРН К1'!E16)*СПРАВОЧНИК!$H$10+('ФАКТ ЧЕРН К1'!F16)*СПРАВОЧНИК!$I$10+('ФАКТ ЧЕРН К1'!G16)*СПРАВОЧНИК!$J$10+('ФАКТ ЧЕРН К1'!H16)*СПРАВОЧНИК!$H$11+('ФАКТ ЧЕРН К1'!I16)*СПРАВОЧНИК!$I$11+('ФАКТ ЧЕРН К1'!J16)*СПРАВОЧНИК!$J$11+('ФАКТ ЧЕРН К1'!K16)*СПРАВОЧНИК!$H$12+('ФАКТ ЧЕРН К1'!L16)*СПРАВОЧНИК!$I$12+('ФАКТ ЧЕРН К1'!M16)*СПРАВОЧНИК!$J$12+('ФАКТ ЧЕРН К1'!N16)*СПРАВОЧНИК!$H$13+('ФАКТ ЧЕРН К1'!O16)*СПРАВОЧНИК!$I$13+('ФАКТ ЧЕРН К1'!P16)*СПРАВОЧНИК!$J$13+('ФАКТ ЧЕРН К1'!Q16)*СПРАВОЧНИК!$H$14+('ФАКТ ЧЕРН К1'!R16)*СПРАВОЧНИК!$I$14+('ФАКТ ЧЕРН К1'!S16)*СПРАВОЧНИК!$J$14+('ФАКТ ЧЕРН К1'!T16)*СПРАВОЧНИК!$H$15+('ФАКТ ЧЕРН К1'!U16)*СПРАВОЧНИК!$I$15+('ФАКТ ЧЕРН К1'!V16)*СПРАВОЧНИК!$J$15</f>
        <v>0</v>
      </c>
      <c r="AG25" s="18">
        <f t="shared" si="17"/>
        <v>46251</v>
      </c>
      <c r="AH25" s="37">
        <f>'ПЛАН ЧИСТ К1'!B16*СПРАВОЧНИК!$L$9+'ПЛАН ЧИСТ К1'!C16*СПРАВОЧНИК!$M$9+'ПЛАН ЧИСТ К1'!D16*СПРАВОЧНИК!$N$9+'ПЛАН ЧИСТ К1'!E16*СПРАВОЧНИК!$O$9+'ПЛАН ЧИСТ К1'!F16*СПРАВОЧНИК!$L$10+'ПЛАН ЧИСТ К1'!G16*СПРАВОЧНИК!$M$10+'ПЛАН ЧИСТ К1'!H16*СПРАВОЧНИК!$N$10+'ПЛАН ЧИСТ К1'!I16*СПРАВОЧНИК!$L$11+'ПЛАН ЧИСТ К1'!J16*СПРАВОЧНИК!$M$11+'ПЛАН ЧИСТ К1'!K16*СПРАВОЧНИК!$N$11+'ПЛАН ЧИСТ К1'!L16*СПРАВОЧНИК!$L$12+'ПЛАН ЧИСТ К1'!M16*СПРАВОЧНИК!$M$12+'ПЛАН ЧИСТ К1'!N16*СПРАВОЧНИК!$N$12+'ПЛАН ЧИСТ К1'!O16*СПРАВОЧНИК!$L$13+'ПЛАН ЧИСТ К1'!P16*СПРАВОЧНИК!$M$13+'ПЛАН ЧИСТ К1'!Q16*СПРАВОЧНИК!$N$13+'ПЛАН ЧИСТ К1'!R16*СПРАВОЧНИК!$L$14+'ПЛАН ЧИСТ К1'!S16*СПРАВОЧНИК!$M$14+'ПЛАН ЧИСТ К1'!T16*СПРАВОЧНИК!$N$14+'ПЛАН ЧИСТ К1'!U16*СПРАВОЧНИК!$L$15+'ПЛАН ЧИСТ К1'!V16*СПРАВОЧНИК!$M$15+'ПЛАН ЧИСТ К1'!W16*СПРАВОЧНИК!$N$15</f>
        <v>0</v>
      </c>
      <c r="AI25" s="40">
        <f>('ФАКТ ЧИСТ К1'!B16)*СПРАВОЧНИК!$L$9+('ФАКТ ЧИСТ К1'!C16)*СПРАВОЧНИК!$M$9+('ФАКТ ЧИСТ К1'!D16)*СПРАВОЧНИК!$N$9+('ФАКТ ЧИСТ К1'!E16)*СПРАВОЧНИК!$O$9+('ФАКТ ЧИСТ К1'!F16)*СПРАВОЧНИК!$L$10+('ФАКТ ЧИСТ К1'!G16)*СПРАВОЧНИК!$M$10+('ФАКТ ЧИСТ К1'!H16)*СПРАВОЧНИК!$N$10+('ФАКТ ЧИСТ К1'!I16)*СПРАВОЧНИК!$L$11+('ФАКТ ЧИСТ К1'!J16)*СПРАВОЧНИК!$M$11+('ФАКТ ЧИСТ К1'!K16)*СПРАВОЧНИК!$N$11+('ФАКТ ЧИСТ К1'!L16)*СПРАВОЧНИК!$L$12+('ФАКТ ЧИСТ К1'!M16)*СПРАВОЧНИК!$M$12+('ФАКТ ЧИСТ К1'!N16)*СПРАВОЧНИК!$N$12+('ФАКТ ЧИСТ К1'!O16)*СПРАВОЧНИК!$L$13+('ФАКТ ЧИСТ К1'!P16)*СПРАВОЧНИК!$M$13+('ФАКТ ЧИСТ К1'!Q16)*СПРАВОЧНИК!$N$13+('ФАКТ ЧИСТ К1'!R16)*СПРАВОЧНИК!$L$14+('ФАКТ ЧИСТ К1'!S16)*СПРАВОЧНИК!$M$14+('ФАКТ ЧИСТ К1'!T16)*СПРАВОЧНИК!$N$14+('ФАКТ ЧИСТ К1'!U16)*СПРАВОЧНИК!$L$15+('ФАКТ ЧИСТ К1'!V16)*СПРАВОЧНИК!$M$15+('ФАКТ ЧИСТ К1'!W16)*СПРАВОЧНИК!$N$15</f>
        <v>0</v>
      </c>
      <c r="AM25" s="18">
        <f t="shared" si="18"/>
        <v>46251</v>
      </c>
      <c r="AN25" s="37">
        <f>СПРАВОЧНИК!$E$9*('ПЛАН ЧЕРН К2'!B16*СПРАВОЧНИК!$H$9+'ПЛАН ЧЕРН К2'!C16*СПРАВОЧНИК!$I$9+'ПЛАН ЧЕРН К2'!D16*СПРАВОЧНИК!$J$9)+СПРАВОЧНИК!$E$10*('ПЛАН ЧЕРН К2'!E16*СПРАВОЧНИК!$H$10+'ПЛАН ЧЕРН К2'!F16*СПРАВОЧНИК!$I$10+'ПЛАН ЧЕРН К2'!G16*СПРАВОЧНИК!$J$10)+СПРАВОЧНИК!$E$11*('ПЛАН ЧЕРН К2'!H16*СПРАВОЧНИК!$H$11+'ПЛАН ЧЕРН К2'!I16*СПРАВОЧНИК!$I$11+'ПЛАН ЧЕРН К2'!J16*СПРАВОЧНИК!$J$11)+СПРАВОЧНИК!$E$12*('ПЛАН ЧЕРН К2'!K16*СПРАВОЧНИК!$H$12+'ПЛАН ЧЕРН К2'!L16*СПРАВОЧНИК!$I$12+'ПЛАН ЧЕРН К2'!M16*СПРАВОЧНИК!$J$12)+СПРАВОЧНИК!$E$13*('ПЛАН ЧЕРН К2'!N16*СПРАВОЧНИК!$H$13+'ПЛАН ЧЕРН К2'!O16*СПРАВОЧНИК!$I$13+'ПЛАН ЧЕРН К2'!P16*СПРАВОЧНИК!$J$13)+СПРАВОЧНИК!$E$14*('ПЛАН ЧЕРН К2'!Q16*СПРАВОЧНИК!$H$14+'ПЛАН ЧЕРН К2'!R16*СПРАВОЧНИК!$I$14+'ПЛАН ЧЕРН К2'!S16*СПРАВОЧНИК!$J$14)+СПРАВОЧНИК!$E$15*('ПЛАН ЧЕРН К2'!T16*СПРАВОЧНИК!$H$15+'ПЛАН ЧЕРН К2'!U16*СПРАВОЧНИК!$I$15+'ПЛАН ЧЕРН К2'!V16*СПРАВОЧНИК!$J$15)+СПРАВОЧНИК!$F$9*('ПЛАН ЧИСТ К2'!B16*СПРАВОЧНИК!$L$9+'ПЛАН ЧИСТ К2'!C16*СПРАВОЧНИК!$M$9+'ПЛАН ЧИСТ К2'!D16*СПРАВОЧНИК!$N$9+'ПЛАН ЧИСТ К2'!E16*СПРАВОЧНИК!$O$9)+СПРАВОЧНИК!$F$10*('ПЛАН ЧИСТ К2'!F16*СПРАВОЧНИК!$L$10+'ПЛАН ЧИСТ К2'!G16*СПРАВОЧНИК!$M$10+'ПЛАН ЧИСТ К2'!H16*СПРАВОЧНИК!$N$10)+СПРАВОЧНИК!$F$11*('ПЛАН ЧИСТ К2'!I16*СПРАВОЧНИК!$L$11+'ПЛАН ЧИСТ К2'!J16*СПРАВОЧНИК!$M$11+'ПЛАН ЧИСТ К2'!K16*СПРАВОЧНИК!$N$11)+СПРАВОЧНИК!$F$12*('ПЛАН ЧИСТ К2'!L16*СПРАВОЧНИК!$L$12+'ПЛАН ЧИСТ К2'!M16*СПРАВОЧНИК!$M$12+'ПЛАН ЧИСТ К2'!N16*СПРАВОЧНИК!$N$12)+СПРАВОЧНИК!$F$13*('ПЛАН ЧИСТ К2'!O16*СПРАВОЧНИК!$L$13+'ПЛАН ЧИСТ К2'!P16*СПРАВОЧНИК!$M$13+'ПЛАН ЧИСТ К2'!Q16*СПРАВОЧНИК!$N$13)+СПРАВОЧНИК!$F$14*('ПЛАН ЧИСТ К2'!R16*СПРАВОЧНИК!$L$14+'ПЛАН ЧИСТ К2'!S16*СПРАВОЧНИК!$M$14+'ПЛАН ЧИСТ К2'!T16*СПРАВОЧНИК!$N$14)+СПРАВОЧНИК!$F$15*('ПЛАН ЧИСТ К2'!U16*СПРАВОЧНИК!$L$15+'ПЛАН ЧИСТ К2'!V16*СПРАВОЧНИК!$M$15+'ПЛАН ЧИСТ К2'!W16*СПРАВОЧНИК!$N$15)</f>
        <v>0</v>
      </c>
      <c r="AO25" s="40">
        <f>СПРАВОЧНИК!$E$9*(('ФАКТ ЧЕРН К2'!B16)*СПРАВОЧНИК!$H$9+('ФАКТ ЧЕРН К2'!C16)*СПРАВОЧНИК!$I$9+('ФАКТ ЧЕРН К2'!D16)*СПРАВОЧНИК!$J$9)+СПРАВОЧНИК!$E$10*(('ФАКТ ЧЕРН К2'!E16)*СПРАВОЧНИК!$H$10+('ФАКТ ЧЕРН К2'!F16)*СПРАВОЧНИК!$I$10+('ФАКТ ЧЕРН К2'!G16)*СПРАВОЧНИК!$J$10)+СПРАВОЧНИК!$E$11*(('ФАКТ ЧЕРН К2'!H16)*СПРАВОЧНИК!$H$11+('ФАКТ ЧЕРН К2'!I16)*СПРАВОЧНИК!$I$11+('ФАКТ ЧЕРН К2'!J16)*СПРАВОЧНИК!$J$11)+СПРАВОЧНИК!$E$12*(('ФАКТ ЧЕРН К2'!K16)*СПРАВОЧНИК!$H$12+('ФАКТ ЧЕРН К2'!L16)*СПРАВОЧНИК!$I$12+('ФАКТ ЧЕРН К2'!M16)*СПРАВОЧНИК!$J$12)+СПРАВОЧНИК!$E$13*(('ФАКТ ЧЕРН К2'!N16)*СПРАВОЧНИК!$H$13+('ФАКТ ЧЕРН К2'!O16)*СПРАВОЧНИК!$I$13+('ФАКТ ЧЕРН К2'!P16)*СПРАВОЧНИК!$J$13)+СПРАВОЧНИК!$E$14*(('ФАКТ ЧЕРН К2'!Q16)*СПРАВОЧНИК!$H$14+('ФАКТ ЧЕРН К2'!R16)*СПРАВОЧНИК!$I$14+('ФАКТ ЧЕРН К2'!S16)*СПРАВОЧНИК!$J$14)+СПРАВОЧНИК!$E$15*(('ФАКТ ЧЕРН К2'!T16)*СПРАВОЧНИК!$H$15+('ФАКТ ЧЕРН К2'!U16)*СПРАВОЧНИК!$I$15+('ФАКТ ЧЕРН К2'!V16)*СПРАВОЧНИК!$J$15)+СПРАВОЧНИК!$F$9*(('ФАКТ ЧИСТ К2'!B16)*СПРАВОЧНИК!$L$9+('ФАКТ ЧИСТ К2'!C16)*СПРАВОЧНИК!$M$9+('ФАКТ ЧИСТ К2'!D16)*СПРАВОЧНИК!$N$9+('ФАКТ ЧИСТ К2'!E16)*СПРАВОЧНИК!$O$9)+СПРАВОЧНИК!$F$10*(('ФАКТ ЧИСТ К2'!F16)*СПРАВОЧНИК!$L$10+('ФАКТ ЧИСТ К2'!G16)*СПРАВОЧНИК!$M$10+('ФАКТ ЧИСТ К2'!H16)*СПРАВОЧНИК!$N$10)+СПРАВОЧНИК!$F$11*(('ФАКТ ЧИСТ К2'!I16)*СПРАВОЧНИК!$L$11+('ФАКТ ЧИСТ К2'!J16)*СПРАВОЧНИК!$M$11+('ФАКТ ЧИСТ К2'!K16)*СПРАВОЧНИК!$N$11)+СПРАВОЧНИК!$F$12*(('ФАКТ ЧИСТ К2'!L16)*СПРАВОЧНИК!$L$12+('ФАКТ ЧИСТ К2'!M16)*СПРАВОЧНИК!$M$12+('ФАКТ ЧИСТ К2'!N16)*СПРАВОЧНИК!$N$12)+СПРАВОЧНИК!$F$13*(('ФАКТ ЧИСТ К2'!O16)*СПРАВОЧНИК!$L$13+('ФАКТ ЧИСТ К2'!P16)*СПРАВОЧНИК!$M$13+('ФАКТ ЧИСТ К2'!Q16)*СПРАВОЧНИК!$N$13)+СПРАВОЧНИК!$F$14*(('ФАКТ ЧИСТ К2'!R16)*СПРАВОЧНИК!$L$14+('ФАКТ ЧИСТ К2'!S16)*СПРАВОЧНИК!$M$14+('ФАКТ ЧИСТ К2'!T16)*СПРАВОЧНИК!$N$14)+СПРАВОЧНИК!$F$15*(('ФАКТ ЧИСТ К2'!U16)*СПРАВОЧНИК!$L$15+('ФАКТ ЧИСТ К2'!V16)*СПРАВОЧНИК!$M$15+('ФАКТ ЧИСТ К2'!W16)*СПРАВОЧНИК!$N$15)</f>
        <v>0</v>
      </c>
      <c r="AS25" s="18">
        <f t="shared" si="19"/>
        <v>46251</v>
      </c>
      <c r="AT25" s="37">
        <f>'ПЛАН ЧЕРН К2'!B16*СПРАВОЧНИК!$H$9+'ПЛАН ЧЕРН К2'!C16*СПРАВОЧНИК!$I$9+'ПЛАН ЧЕРН К2'!D16*СПРАВОЧНИК!$J$9+'ПЛАН ЧЕРН К2'!E16*СПРАВОЧНИК!$H$10+'ПЛАН ЧЕРН К2'!F16*СПРАВОЧНИК!$I$10+'ПЛАН ЧЕРН К2'!G16*СПРАВОЧНИК!$J$10+'ПЛАН ЧЕРН К2'!H16*СПРАВОЧНИК!$H$11+'ПЛАН ЧЕРН К2'!I16*СПРАВОЧНИК!$I$11+'ПЛАН ЧЕРН К2'!J16*СПРАВОЧНИК!$J$11+'ПЛАН ЧЕРН К2'!K16*СПРАВОЧНИК!$H$12+'ПЛАН ЧЕРН К2'!L16*СПРАВОЧНИК!$I$12+'ПЛАН ЧЕРН К2'!M16*СПРАВОЧНИК!$J$12+'ПЛАН ЧЕРН К2'!N16*СПРАВОЧНИК!$H$13+'ПЛАН ЧЕРН К2'!O16*СПРАВОЧНИК!$I$13+'ПЛАН ЧЕРН К2'!P16*СПРАВОЧНИК!$J$13+'ПЛАН ЧЕРН К2'!Q16*СПРАВОЧНИК!$H$14+'ПЛАН ЧЕРН К2'!R16*СПРАВОЧНИК!$I$14+'ПЛАН ЧЕРН К2'!S16*СПРАВОЧНИК!$J$14+'ПЛАН ЧЕРН К2'!T16*СПРАВОЧНИК!$H$15+'ПЛАН ЧЕРН К2'!U16*СПРАВОЧНИК!$I$15+'ПЛАН ЧЕРН К2'!V16*СПРАВОЧНИК!$J$15</f>
        <v>0</v>
      </c>
      <c r="AU25" s="40">
        <f>('ФАКТ ЧЕРН К2'!B16)*СПРАВОЧНИК!$H$9+('ФАКТ ЧЕРН К2'!C16)*СПРАВОЧНИК!$I$9+('ФАКТ ЧЕРН К2'!D16)*СПРАВОЧНИК!$J$9+('ФАКТ ЧЕРН К2'!E16)*СПРАВОЧНИК!$H$10+('ФАКТ ЧЕРН К2'!F16)*СПРАВОЧНИК!$I$10+('ФАКТ ЧЕРН К2'!G16)*СПРАВОЧНИК!$J$10+('ФАКТ ЧЕРН К2'!H16)*СПРАВОЧНИК!$H$11+('ФАКТ ЧЕРН К2'!I16)*СПРАВОЧНИК!$I$11+('ФАКТ ЧЕРН К2'!J16)*СПРАВОЧНИК!$J$11+('ФАКТ ЧЕРН К2'!K16)*СПРАВОЧНИК!$H$12+('ФАКТ ЧЕРН К2'!L16)*СПРАВОЧНИК!$I$12+('ФАКТ ЧЕРН К2'!M16)*СПРАВОЧНИК!$J$12+('ФАКТ ЧЕРН К2'!N16)*СПРАВОЧНИК!$H$13+('ФАКТ ЧЕРН К2'!O16)*СПРАВОЧНИК!$I$13+('ФАКТ ЧЕРН К2'!P16)*СПРАВОЧНИК!$J$13+('ФАКТ ЧЕРН К2'!Q16)*СПРАВОЧНИК!$H$14+('ФАКТ ЧЕРН К2'!R16)*СПРАВОЧНИК!$I$14+('ФАКТ ЧЕРН К2'!S16)*СПРАВОЧНИК!$J$14+('ФАКТ ЧЕРН К2'!T16)*СПРАВОЧНИК!$H$15+('ФАКТ ЧЕРН К2'!U16)*СПРАВОЧНИК!$I$15+('ФАКТ ЧЕРН К2'!V16)*СПРАВОЧНИК!$J$15</f>
        <v>0</v>
      </c>
      <c r="AY25" s="18">
        <f t="shared" si="20"/>
        <v>46251</v>
      </c>
      <c r="AZ25" s="37">
        <f>'ПЛАН ЧИСТ К2'!B16*СПРАВОЧНИК!$L$9+'ПЛАН ЧИСТ К2'!C16*СПРАВОЧНИК!$M$9+'ПЛАН ЧИСТ К2'!D16*СПРАВОЧНИК!$N$9+'ПЛАН ЧИСТ К2'!E16*СПРАВОЧНИК!$O$9+'ПЛАН ЧИСТ К2'!F16*СПРАВОЧНИК!$L$10+'ПЛАН ЧИСТ К2'!G16*СПРАВОЧНИК!$M$10+'ПЛАН ЧИСТ К2'!H16*СПРАВОЧНИК!$N$10+'ПЛАН ЧИСТ К2'!I16*СПРАВОЧНИК!$L$11+'ПЛАН ЧИСТ К2'!J16*СПРАВОЧНИК!$M$11+'ПЛАН ЧИСТ К2'!K16*СПРАВОЧНИК!$N$11+'ПЛАН ЧИСТ К2'!L16*СПРАВОЧНИК!$L$12+'ПЛАН ЧИСТ К2'!M16*СПРАВОЧНИК!$M$12+'ПЛАН ЧИСТ К2'!N16*СПРАВОЧНИК!$N$12+'ПЛАН ЧИСТ К2'!O16*СПРАВОЧНИК!$L$13+'ПЛАН ЧИСТ К2'!P16*СПРАВОЧНИК!$M$13+'ПЛАН ЧИСТ К2'!Q16*СПРАВОЧНИК!$N$13+'ПЛАН ЧИСТ К2'!R16*СПРАВОЧНИК!$L$14+'ПЛАН ЧИСТ К2'!S16*СПРАВОЧНИК!$M$14+'ПЛАН ЧИСТ К2'!T16*СПРАВОЧНИК!$N$14+'ПЛАН ЧИСТ К2'!U16*СПРАВОЧНИК!$L$15+'ПЛАН ЧИСТ К2'!V16*СПРАВОЧНИК!$M$15+'ПЛАН ЧИСТ К2'!W16*СПРАВОЧНИК!$N$15</f>
        <v>0</v>
      </c>
      <c r="BA25" s="40">
        <f>('ФАКТ ЧИСТ К2'!B16)*СПРАВОЧНИК!$L$9+('ФАКТ ЧИСТ К2'!C16)*СПРАВОЧНИК!$M$9+('ФАКТ ЧИСТ К2'!D16)*СПРАВОЧНИК!$N$9+('ФАКТ ЧИСТ К2'!E16)*СПРАВОЧНИК!$O$9+('ФАКТ ЧИСТ К2'!F16)*СПРАВОЧНИК!$L$10+('ФАКТ ЧИСТ К2'!G16)*СПРАВОЧНИК!$M$10+('ФАКТ ЧИСТ К2'!H16)*СПРАВОЧНИК!$N$10+('ФАКТ ЧИСТ К2'!I16)*СПРАВОЧНИК!$L$11+('ФАКТ ЧИСТ К2'!J16)*СПРАВОЧНИК!$M$11+('ФАКТ ЧИСТ К2'!K16)*СПРАВОЧНИК!$N$11+('ФАКТ ЧИСТ К2'!L16)*СПРАВОЧНИК!$L$12+('ФАКТ ЧИСТ К2'!M16)*СПРАВОЧНИК!$M$12+('ФАКТ ЧИСТ К2'!N16)*СПРАВОЧНИК!$N$12+('ФАКТ ЧИСТ К2'!O16)*СПРАВОЧНИК!$L$13+('ФАКТ ЧИСТ К2'!P16)*СПРАВОЧНИК!$M$13+('ФАКТ ЧИСТ К2'!Q16)*СПРАВОЧНИК!$N$13+('ФАКТ ЧИСТ К2'!R16)*СПРАВОЧНИК!$L$14+('ФАКТ ЧИСТ К2'!S16)*СПРАВОЧНИК!$M$14+('ФАКТ ЧИСТ К2'!T16)*СПРАВОЧНИК!$N$14+('ФАКТ ЧИСТ К2'!U16)*СПРАВОЧНИК!$L$15+('ФАКТ ЧИСТ К2'!V16)*СПРАВОЧНИК!$M$15+('ФАКТ ЧИСТ К2'!W16)*СПРАВОЧНИК!$N$15</f>
        <v>0</v>
      </c>
      <c r="BE25" s="18">
        <f t="shared" si="21"/>
        <v>46251</v>
      </c>
      <c r="BF25" s="37">
        <f>СПРАВОЧНИК!$E$9*('ПЛАН ЧЕРН К3'!B16*СПРАВОЧНИК!$H$9+'ПЛАН ЧЕРН К3'!C16*СПРАВОЧНИК!$I$9+'ПЛАН ЧЕРН К3'!D16*СПРАВОЧНИК!$J$9)+СПРАВОЧНИК!$E$10*('ПЛАН ЧЕРН К3'!E16*СПРАВОЧНИК!$H$10+'ПЛАН ЧЕРН К3'!F16*СПРАВОЧНИК!$I$10+'ПЛАН ЧЕРН К3'!G16*СПРАВОЧНИК!$J$10)+СПРАВОЧНИК!$E$11*('ПЛАН ЧЕРН К3'!H16*СПРАВОЧНИК!$H$11+'ПЛАН ЧЕРН К3'!I16*СПРАВОЧНИК!$I$11+'ПЛАН ЧЕРН К3'!J16*СПРАВОЧНИК!$J$11)+СПРАВОЧНИК!$E$12*('ПЛАН ЧЕРН К3'!K16*СПРАВОЧНИК!$H$12+'ПЛАН ЧЕРН К3'!L16*СПРАВОЧНИК!$I$12+'ПЛАН ЧЕРН К3'!M16*СПРАВОЧНИК!$J$12)+СПРАВОЧНИК!$E$13*('ПЛАН ЧЕРН К3'!N16*СПРАВОЧНИК!$H$13+'ПЛАН ЧЕРН К3'!O16*СПРАВОЧНИК!$I$13+'ПЛАН ЧЕРН К3'!P16*СПРАВОЧНИК!$J$13)+СПРАВОЧНИК!$E$14*('ПЛАН ЧЕРН К3'!Q16*СПРАВОЧНИК!$H$14+'ПЛАН ЧЕРН К3'!R16*СПРАВОЧНИК!$I$14+'ПЛАН ЧЕРН К3'!S16*СПРАВОЧНИК!$J$14)+СПРАВОЧНИК!$E$15*('ПЛАН ЧЕРН К3'!T16*СПРАВОЧНИК!$H$15+'ПЛАН ЧЕРН К3'!U16*СПРАВОЧНИК!$I$15+'ПЛАН ЧЕРН К3'!V16*СПРАВОЧНИК!$J$15)+СПРАВОЧНИК!$F$9*('ПЛАН ЧИСТ К3'!B16*СПРАВОЧНИК!$L$9+'ПЛАН ЧИСТ К3'!C16*СПРАВОЧНИК!$M$9+'ПЛАН ЧИСТ К3'!D16*СПРАВОЧНИК!$N$9+'ПЛАН ЧИСТ К3'!E16*СПРАВОЧНИК!$O$9)+СПРАВОЧНИК!$F$10*('ПЛАН ЧИСТ К3'!F16*СПРАВОЧНИК!$L$10+'ПЛАН ЧИСТ К3'!G16*СПРАВОЧНИК!$M$10+'ПЛАН ЧИСТ К3'!H16*СПРАВОЧНИК!$N$10)+СПРАВОЧНИК!$F$11*('ПЛАН ЧИСТ К3'!I16*СПРАВОЧНИК!$L$11+'ПЛАН ЧИСТ К3'!J16*СПРАВОЧНИК!$M$11+'ПЛАН ЧИСТ К3'!K16*СПРАВОЧНИК!$N$11)+СПРАВОЧНИК!$F$12*('ПЛАН ЧИСТ К3'!L16*СПРАВОЧНИК!$L$12+'ПЛАН ЧИСТ К3'!M16*СПРАВОЧНИК!$M$12+'ПЛАН ЧИСТ К3'!N16*СПРАВОЧНИК!$N$12)+СПРАВОЧНИК!$F$13*('ПЛАН ЧИСТ К3'!O16*СПРАВОЧНИК!$L$13+'ПЛАН ЧИСТ К3'!P16*СПРАВОЧНИК!$M$13+'ПЛАН ЧИСТ К3'!Q16*СПРАВОЧНИК!$N$13)+СПРАВОЧНИК!$F$14*('ПЛАН ЧИСТ К3'!R16*СПРАВОЧНИК!$L$14+'ПЛАН ЧИСТ К3'!S16*СПРАВОЧНИК!$M$14+'ПЛАН ЧИСТ К3'!T16*СПРАВОЧНИК!$N$14)+СПРАВОЧНИК!$F$15*('ПЛАН ЧИСТ К3'!U16*СПРАВОЧНИК!$L$15+'ПЛАН ЧИСТ К3'!V16*СПРАВОЧНИК!$M$15+'ПЛАН ЧИСТ К3'!W16*СПРАВОЧНИК!$N$15)</f>
        <v>0</v>
      </c>
      <c r="BG25" s="40">
        <f>СПРАВОЧНИК!$E$9*(('ФАКТ ЧЕРН К3'!B16)*СПРАВОЧНИК!$H$9+('ФАКТ ЧЕРН К3'!C16)*СПРАВОЧНИК!$I$9+('ФАКТ ЧЕРН К3'!D16)*СПРАВОЧНИК!$J$9)+СПРАВОЧНИК!$E$10*(('ФАКТ ЧЕРН К3'!E16)*СПРАВОЧНИК!$H$10+('ФАКТ ЧЕРН К3'!F16)*СПРАВОЧНИК!$I$10+('ФАКТ ЧЕРН К3'!G16)*СПРАВОЧНИК!$J$10)+СПРАВОЧНИК!$E$11*(('ФАКТ ЧЕРН К3'!H16)*СПРАВОЧНИК!$H$11+('ФАКТ ЧЕРН К3'!I16)*СПРАВОЧНИК!$I$11+('ФАКТ ЧЕРН К3'!J16)*СПРАВОЧНИК!$J$11)+СПРАВОЧНИК!$E$12*(('ФАКТ ЧЕРН К3'!K16)*СПРАВОЧНИК!$H$12+('ФАКТ ЧЕРН К3'!L16)*СПРАВОЧНИК!$I$12+('ФАКТ ЧЕРН К3'!M16)*СПРАВОЧНИК!$J$12)+СПРАВОЧНИК!$E$13*(('ФАКТ ЧЕРН К3'!N16)*СПРАВОЧНИК!$H$13+('ФАКТ ЧЕРН К3'!O16)*СПРАВОЧНИК!$I$13+('ФАКТ ЧЕРН К3'!P16)*СПРАВОЧНИК!$J$13)+СПРАВОЧНИК!$E$14*(('ФАКТ ЧЕРН К3'!Q16)*СПРАВОЧНИК!$H$14+('ФАКТ ЧЕРН К3'!R16)*СПРАВОЧНИК!$I$14+('ФАКТ ЧЕРН К3'!S16)*СПРАВОЧНИК!$J$14)+СПРАВОЧНИК!$E$15*(('ФАКТ ЧЕРН К3'!T16)*СПРАВОЧНИК!$H$15+('ФАКТ ЧЕРН К3'!U16)*СПРАВОЧНИК!$I$15+('ФАКТ ЧЕРН К3'!V16)*СПРАВОЧНИК!$J$15)+СПРАВОЧНИК!$F$9*(('ФАКТ ЧИСТ К3'!B16)*СПРАВОЧНИК!$L$9+('ФАКТ ЧИСТ К3'!C16)*СПРАВОЧНИК!$M$9+('ФАКТ ЧИСТ К3'!D16)*СПРАВОЧНИК!$N$9+('ФАКТ ЧИСТ К3'!E16)*СПРАВОЧНИК!$O$9)+СПРАВОЧНИК!$F$10*(('ФАКТ ЧИСТ К3'!F16)*СПРАВОЧНИК!$L$10+('ФАКТ ЧИСТ К3'!G16)*СПРАВОЧНИК!$M$10+('ФАКТ ЧИСТ К3'!H16)*СПРАВОЧНИК!$N$10)+СПРАВОЧНИК!$F$11*(('ФАКТ ЧИСТ К3'!I16)*СПРАВОЧНИК!$L$11+('ФАКТ ЧИСТ К3'!J16)*СПРАВОЧНИК!$M$11+('ФАКТ ЧИСТ К3'!K16)*СПРАВОЧНИК!$N$11)+СПРАВОЧНИК!$F$12*(('ФАКТ ЧИСТ К3'!L16)*СПРАВОЧНИК!$L$12+('ФАКТ ЧИСТ К3'!M16)*СПРАВОЧНИК!$M$12+('ФАКТ ЧИСТ К3'!N16)*СПРАВОЧНИК!$N$12)+СПРАВОЧНИК!$F$13*(('ФАКТ ЧИСТ К3'!O16)*СПРАВОЧНИК!$L$13+('ФАКТ ЧИСТ К3'!P16)*СПРАВОЧНИК!$M$13+('ФАКТ ЧИСТ К3'!Q16)*СПРАВОЧНИК!$N$13)+СПРАВОЧНИК!$F$14*(('ФАКТ ЧИСТ К3'!R16)*СПРАВОЧНИК!$L$14+('ФАКТ ЧИСТ К3'!S16)*СПРАВОЧНИК!$M$14+('ФАКТ ЧИСТ К3'!T16)*СПРАВОЧНИК!$N$14)+СПРАВОЧНИК!$F$15*(('ФАКТ ЧИСТ К3'!U16)*СПРАВОЧНИК!$L$15+('ФАКТ ЧИСТ К3'!V16)*СПРАВОЧНИК!$M$15+('ФАКТ ЧИСТ К3'!W16)*СПРАВОЧНИК!$N$15)</f>
        <v>0</v>
      </c>
      <c r="BK25" s="18">
        <f t="shared" si="22"/>
        <v>46251</v>
      </c>
      <c r="BL25" s="37">
        <f>'ПЛАН ЧЕРН К3'!B16*СПРАВОЧНИК!$H$9+'ПЛАН ЧЕРН К3'!C16*СПРАВОЧНИК!$I$9+'ПЛАН ЧЕРН К3'!D16*СПРАВОЧНИК!$J$9+'ПЛАН ЧЕРН К3'!E16*СПРАВОЧНИК!$H$10+'ПЛАН ЧЕРН К3'!F16*СПРАВОЧНИК!$I$10+'ПЛАН ЧЕРН К3'!G16*СПРАВОЧНИК!$J$10+'ПЛАН ЧЕРН К3'!H16*СПРАВОЧНИК!$H$11+'ПЛАН ЧЕРН К3'!I16*СПРАВОЧНИК!$I$11+'ПЛАН ЧЕРН К3'!J16*СПРАВОЧНИК!$J$11+'ПЛАН ЧЕРН К3'!K16*СПРАВОЧНИК!$H$12+'ПЛАН ЧЕРН К3'!L16*СПРАВОЧНИК!$I$12+'ПЛАН ЧЕРН К3'!M16*СПРАВОЧНИК!$J$12+'ПЛАН ЧЕРН К3'!N16*СПРАВОЧНИК!$H$13+'ПЛАН ЧЕРН К3'!O16*СПРАВОЧНИК!$I$13+'ПЛАН ЧЕРН К3'!P16*СПРАВОЧНИК!$J$13+'ПЛАН ЧЕРН К3'!Q16*СПРАВОЧНИК!$H$14+'ПЛАН ЧЕРН К3'!R16*СПРАВОЧНИК!$I$14+'ПЛАН ЧЕРН К3'!S16*СПРАВОЧНИК!$J$14+'ПЛАН ЧЕРН К3'!T16*СПРАВОЧНИК!$H$15+'ПЛАН ЧЕРН К3'!U16*СПРАВОЧНИК!$I$15+'ПЛАН ЧЕРН К3'!V16*СПРАВОЧНИК!$J$15</f>
        <v>0</v>
      </c>
      <c r="BM25" s="40">
        <f>('ФАКТ ЧЕРН К3'!B16)*СПРАВОЧНИК!$H$9+('ФАКТ ЧЕРН К3'!C16)*СПРАВОЧНИК!$I$9+('ФАКТ ЧЕРН К3'!D16)*СПРАВОЧНИК!$J$9+('ФАКТ ЧЕРН К3'!E16)*СПРАВОЧНИК!$H$10+('ФАКТ ЧЕРН К3'!F16)*СПРАВОЧНИК!$I$10+('ФАКТ ЧЕРН К3'!G16)*СПРАВОЧНИК!$J$10+('ФАКТ ЧЕРН К3'!H16)*СПРАВОЧНИК!$H$11+('ФАКТ ЧЕРН К3'!I16)*СПРАВОЧНИК!$I$11+('ФАКТ ЧЕРН К3'!J16)*СПРАВОЧНИК!$J$11+('ФАКТ ЧЕРН К3'!K16)*СПРАВОЧНИК!$H$12+('ФАКТ ЧЕРН К3'!L16)*СПРАВОЧНИК!$I$12+('ФАКТ ЧЕРН К3'!M16)*СПРАВОЧНИК!$J$12+('ФАКТ ЧЕРН К3'!N16)*СПРАВОЧНИК!$H$13+('ФАКТ ЧЕРН К3'!O16)*СПРАВОЧНИК!$I$13+('ФАКТ ЧЕРН К3'!P16)*СПРАВОЧНИК!$J$13+('ФАКТ ЧЕРН К3'!Q16)*СПРАВОЧНИК!$H$14+('ФАКТ ЧЕРН К3'!R16)*СПРАВОЧНИК!$I$14+('ФАКТ ЧЕРН К3'!S16)*СПРАВОЧНИК!$J$14+('ФАКТ ЧЕРН К3'!T16)*СПРАВОЧНИК!$H$15+('ФАКТ ЧЕРН К3'!U16)*СПРАВОЧНИК!$I$15+('ФАКТ ЧЕРН К3'!V16)*СПРАВОЧНИК!$J$15</f>
        <v>0</v>
      </c>
      <c r="BQ25" s="18">
        <f t="shared" si="23"/>
        <v>46251</v>
      </c>
      <c r="BR25" s="37">
        <f>'ПЛАН ЧИСТ К3'!B16*СПРАВОЧНИК!$L$9+'ПЛАН ЧИСТ К3'!C16*СПРАВОЧНИК!$M$9+'ПЛАН ЧИСТ К3'!D16*СПРАВОЧНИК!$N$9+'ПЛАН ЧИСТ К3'!E16*СПРАВОЧНИК!$O$9+'ПЛАН ЧИСТ К3'!F16*СПРАВОЧНИК!$L$10+'ПЛАН ЧИСТ К3'!G16*СПРАВОЧНИК!$M$10+'ПЛАН ЧИСТ К3'!H16*СПРАВОЧНИК!$N$10+'ПЛАН ЧИСТ К3'!I16*СПРАВОЧНИК!$L$11+'ПЛАН ЧИСТ К3'!J16*СПРАВОЧНИК!$M$11+'ПЛАН ЧИСТ К3'!K16*СПРАВОЧНИК!$N$11+'ПЛАН ЧИСТ К3'!L16*СПРАВОЧНИК!$L$12+'ПЛАН ЧИСТ К3'!M16*СПРАВОЧНИК!$M$12+'ПЛАН ЧИСТ К3'!N16*СПРАВОЧНИК!$N$12+'ПЛАН ЧИСТ К3'!O16*СПРАВОЧНИК!$L$13+'ПЛАН ЧИСТ К3'!P16*СПРАВОЧНИК!$M$13+'ПЛАН ЧИСТ К3'!Q16*СПРАВОЧНИК!$N$13+'ПЛАН ЧИСТ К3'!R16*СПРАВОЧНИК!$L$14+'ПЛАН ЧИСТ К3'!S16*СПРАВОЧНИК!$M$14+'ПЛАН ЧИСТ К3'!T16*СПРАВОЧНИК!$N$14+'ПЛАН ЧИСТ К3'!U16*СПРАВОЧНИК!$L$15+'ПЛАН ЧИСТ К3'!V16*СПРАВОЧНИК!$M$15+'ПЛАН ЧИСТ К3'!W16*СПРАВОЧНИК!$N$15</f>
        <v>0</v>
      </c>
      <c r="BS25" s="40">
        <f>('ФАКТ ЧИСТ К3'!B16)*СПРАВОЧНИК!$L$9+('ФАКТ ЧИСТ К3'!C16)*СПРАВОЧНИК!$M$9+('ФАКТ ЧИСТ К3'!D16)*СПРАВОЧНИК!$N$9+('ФАКТ ЧИСТ К3'!E16)*СПРАВОЧНИК!$O$9+('ФАКТ ЧИСТ К3'!F16)*СПРАВОЧНИК!$L$10+('ФАКТ ЧИСТ К3'!G16)*СПРАВОЧНИК!$M$10+('ФАКТ ЧИСТ К3'!H16)*СПРАВОЧНИК!$N$10+('ФАКТ ЧИСТ К3'!I16)*СПРАВОЧНИК!$L$11+('ФАКТ ЧИСТ К3'!J16)*СПРАВОЧНИК!$M$11+('ФАКТ ЧИСТ К3'!K16)*СПРАВОЧНИК!$N$11+('ФАКТ ЧИСТ К3'!L16)*СПРАВОЧНИК!$L$12+('ФАКТ ЧИСТ К3'!M16)*СПРАВОЧНИК!$M$12+('ФАКТ ЧИСТ К3'!N16)*СПРАВОЧНИК!$N$12+('ФАКТ ЧИСТ К3'!O16)*СПРАВОЧНИК!$L$13+('ФАКТ ЧИСТ К3'!P16)*СПРАВОЧНИК!$M$13+('ФАКТ ЧИСТ К3'!Q16)*СПРАВОЧНИК!$N$13+('ФАКТ ЧИСТ К3'!R16)*СПРАВОЧНИК!$L$14+('ФАКТ ЧИСТ К3'!S16)*СПРАВОЧНИК!$M$14+('ФАКТ ЧИСТ К3'!T16)*СПРАВОЧНИК!$N$14+('ФАКТ ЧИСТ К3'!U16)*СПРАВОЧНИК!$L$15+('ФАКТ ЧИСТ К3'!V16)*СПРАВОЧНИК!$M$15+('ФАКТ ЧИСТ К3'!W16)*СПРАВОЧНИК!$N$15</f>
        <v>0</v>
      </c>
      <c r="BW25" s="18">
        <f t="shared" si="24"/>
        <v>46251</v>
      </c>
      <c r="BX25" s="37">
        <f t="shared" si="0"/>
        <v>0</v>
      </c>
      <c r="BY25" s="40">
        <f t="shared" si="1"/>
        <v>0</v>
      </c>
      <c r="CC25" s="18">
        <f t="shared" si="25"/>
        <v>46251</v>
      </c>
      <c r="CD25" s="37">
        <f t="shared" si="2"/>
        <v>0</v>
      </c>
      <c r="CE25" s="40">
        <f t="shared" si="3"/>
        <v>0</v>
      </c>
      <c r="CI25" s="18">
        <f t="shared" si="26"/>
        <v>46251</v>
      </c>
      <c r="CJ25" s="37">
        <f t="shared" si="4"/>
        <v>0</v>
      </c>
      <c r="CK25" s="40">
        <f t="shared" si="5"/>
        <v>0</v>
      </c>
      <c r="CO25" s="18">
        <f t="shared" si="27"/>
        <v>46251</v>
      </c>
      <c r="CP25" s="37">
        <f t="shared" si="6"/>
        <v>0</v>
      </c>
      <c r="CQ25" s="40">
        <f t="shared" si="7"/>
        <v>0</v>
      </c>
      <c r="CU25" s="18">
        <f t="shared" si="28"/>
        <v>46251</v>
      </c>
      <c r="CV25" s="37">
        <f t="shared" si="8"/>
        <v>0</v>
      </c>
      <c r="CW25" s="40">
        <f t="shared" si="9"/>
        <v>0</v>
      </c>
      <c r="DA25" s="18">
        <f t="shared" si="29"/>
        <v>46251</v>
      </c>
      <c r="DB25" s="37">
        <f t="shared" si="10"/>
        <v>0</v>
      </c>
      <c r="DC25" s="40">
        <f t="shared" si="11"/>
        <v>0</v>
      </c>
    </row>
    <row r="26" spans="3:107" x14ac:dyDescent="0.25">
      <c r="C26" s="18">
        <f t="shared" si="12"/>
        <v>46258</v>
      </c>
      <c r="D26" s="37">
        <f>СПРАВОЧНИК!$E$3*('ПЛАН ЧЕРН ПОДЗЕМ'!B17*СПРАВОЧНИК!$H$3+'ПЛАН ЧЕРН ПОДЗЕМ'!C17*СПРАВОЧНИК!$I$3+'ПЛАН ЧЕРН ПОДЗЕМ'!D17*СПРАВОЧНИК!$J$3)+СПРАВОЧНИК!$E$4*('ПЛАН ЧЕРН ПОДЗЕМ'!E17*СПРАВОЧНИК!$H$4+'ПЛАН ЧЕРН ПОДЗЕМ'!F17*СПРАВОЧНИК!$I$4+'ПЛАН ЧЕРН ПОДЗЕМ'!G17*СПРАВОЧНИК!$J$4)+СПРАВОЧНИК!$E$5*('ПЛАН ЧЕРН ПОДЗЕМ'!H17*СПРАВОЧНИК!$H$5+'ПЛАН ЧЕРН ПОДЗЕМ'!I17*СПРАВОЧНИК!$I$5+'ПЛАН ЧЕРН ПОДЗЕМ'!J17*СПРАВОЧНИК!$J$5)+СПРАВОЧНИК!$E$6*('ПЛАН ЧЕРН ПОДЗЕМ'!K17*СПРАВОЧНИК!$H$6+'ПЛАН ЧЕРН ПОДЗЕМ'!L17*СПРАВОЧНИК!$I$6+'ПЛАН ЧЕРН ПОДЗЕМ'!M17*СПРАВОЧНИК!$J$6)+СПРАВОЧНИК!$E$7*('ПЛАН ЧЕРН ПОДЗЕМ'!N17*СПРАВОЧНИК!$H$7+'ПЛАН ЧЕРН ПОДЗЕМ'!O17*СПРАВОЧНИК!$I$7+'ПЛАН ЧЕРН ПОДЗЕМ'!P17*СПРАВОЧНИК!$J$7)+СПРАВОЧНИК!$E$8*('ПЛАН ЧЕРН ПОДЗЕМ'!Q17*СПРАВОЧНИК!$H$8+'ПЛАН ЧЕРН ПОДЗЕМ'!R17*СПРАВОЧНИК!$I$8+'ПЛАН ЧЕРН ПОДЗЕМ'!S17*СПРАВОЧНИК!$J$8)+СПРАВОЧНИК!$F$3*('ПЛАН ЧИСТ ПОДЗЕМ'!B17*СПРАВОЧНИК!$L$3+'ПЛАН ЧИСТ ПОДЗЕМ'!C17*СПРАВОЧНИК!$M$3+'ПЛАН ЧИСТ ПОДЗЕМ'!D17*СПРАВОЧНИК!$N$3)+СПРАВОЧНИК!$F$4*('ПЛАН ЧИСТ ПОДЗЕМ'!E17*СПРАВОЧНИК!$L$4+'ПЛАН ЧИСТ ПОДЗЕМ'!F17*СПРАВОЧНИК!$M$4+'ПЛАН ЧИСТ ПОДЗЕМ'!G17*СПРАВОЧНИК!$N$4)+СПРАВОЧНИК!$F$5*('ПЛАН ЧИСТ ПОДЗЕМ'!H17*СПРАВОЧНИК!$L$5+'ПЛАН ЧИСТ ПОДЗЕМ'!I17*СПРАВОЧНИК!$M$5+'ПЛАН ЧИСТ ПОДЗЕМ'!J17*СПРАВОЧНИК!$N$5)+СПРАВОЧНИК!$F$6*('ПЛАН ЧИСТ ПОДЗЕМ'!K17*СПРАВОЧНИК!$L$6+'ПЛАН ЧИСТ ПОДЗЕМ'!L17*СПРАВОЧНИК!$M$6+'ПЛАН ЧИСТ ПОДЗЕМ'!M17*СПРАВОЧНИК!$N$6)+СПРАВОЧНИК!$F$7*('ПЛАН ЧИСТ ПОДЗЕМ'!N17*СПРАВОЧНИК!$L$7+'ПЛАН ЧИСТ ПОДЗЕМ'!O17*СПРАВОЧНИК!$M$7+'ПЛАН ЧИСТ ПОДЗЕМ'!P17*СПРАВОЧНИК!$N$7)+СПРАВОЧНИК!$F$8*('ПЛАН ЧИСТ ПОДЗЕМ'!Q17*СПРАВОЧНИК!$L$8+'ПЛАН ЧИСТ ПОДЗЕМ'!R17*СПРАВОЧНИК!$M$8+'ПЛАН ЧИСТ ПОДЗЕМ'!S17*СПРАВОЧНИК!$N$8)</f>
        <v>0</v>
      </c>
      <c r="E26" s="40">
        <f>СПРАВОЧНИК!$E$3*(('ФАКТ ЧЕРН ПОДЗЕМ'!B17)*СПРАВОЧНИК!$H$3+('ФАКТ ЧЕРН ПОДЗЕМ'!C17)*СПРАВОЧНИК!$I$3+('ФАКТ ЧЕРН ПОДЗЕМ'!D17)*СПРАВОЧНИК!$J$3)+СПРАВОЧНИК!$E$4*(('ФАКТ ЧЕРН ПОДЗЕМ'!E17)*СПРАВОЧНИК!$H$4+('ФАКТ ЧЕРН ПОДЗЕМ'!F17)*СПРАВОЧНИК!$I$4+('ФАКТ ЧЕРН ПОДЗЕМ'!G17)*СПРАВОЧНИК!$J$4)+СПРАВОЧНИК!$E$5*(('ФАКТ ЧЕРН ПОДЗЕМ'!H17)*СПРАВОЧНИК!$H$5+('ФАКТ ЧЕРН ПОДЗЕМ'!I17)*СПРАВОЧНИК!$I$5+('ФАКТ ЧЕРН ПОДЗЕМ'!J17)*СПРАВОЧНИК!$J$5)+СПРАВОЧНИК!$E$6*(('ФАКТ ЧЕРН ПОДЗЕМ'!K17)*СПРАВОЧНИК!$H$6+('ФАКТ ЧЕРН ПОДЗЕМ'!L17)*СПРАВОЧНИК!$I$6+('ФАКТ ЧЕРН ПОДЗЕМ'!M17)*СПРАВОЧНИК!$J$6)+СПРАВОЧНИК!$E$7*(('ФАКТ ЧЕРН ПОДЗЕМ'!N17)*СПРАВОЧНИК!$H$7+('ФАКТ ЧЕРН ПОДЗЕМ'!O17)*СПРАВОЧНИК!$I$7+('ФАКТ ЧЕРН ПОДЗЕМ'!P17)*СПРАВОЧНИК!$J$7)+СПРАВОЧНИК!$E$8*(('ФАКТ ЧЕРН ПОДЗЕМ'!Q17)*СПРАВОЧНИК!$H$8+('ФАКТ ЧЕРН ПОДЗЕМ'!R17)*СПРАВОЧНИК!$I$8+('ФАКТ ЧЕРН ПОДЗЕМ'!S17)*СПРАВОЧНИК!$J$8)+СПРАВОЧНИК!$F$3*(('ФАКТ ЧИСТ ПОДЗЕМ'!B17)*СПРАВОЧНИК!$L$3+('ФАКТ ЧИСТ ПОДЗЕМ'!C17)*СПРАВОЧНИК!$M$3+('ФАКТ ЧИСТ ПОДЗЕМ'!D17)*СПРАВОЧНИК!$N$3)+СПРАВОЧНИК!$F$4*(('ФАКТ ЧИСТ ПОДЗЕМ'!E17)*СПРАВОЧНИК!$L$4+('ФАКТ ЧИСТ ПОДЗЕМ'!F17)*СПРАВОЧНИК!$M$4+('ФАКТ ЧИСТ ПОДЗЕМ'!G17)*СПРАВОЧНИК!$N$4)+СПРАВОЧНИК!$F$5*(('ФАКТ ЧИСТ ПОДЗЕМ'!H17)*СПРАВОЧНИК!$L$5+('ФАКТ ЧИСТ ПОДЗЕМ'!I17)*СПРАВОЧНИК!$M$5+('ФАКТ ЧИСТ ПОДЗЕМ'!J17)*СПРАВОЧНИК!$N$5)+СПРАВОЧНИК!$F$6*(('ФАКТ ЧИСТ ПОДЗЕМ'!K17)*СПРАВОЧНИК!$L$6+('ФАКТ ЧИСТ ПОДЗЕМ'!L17)*СПРАВОЧНИК!$M$6+('ФАКТ ЧИСТ ПОДЗЕМ'!M17)*СПРАВОЧНИК!$N$6)+СПРАВОЧНИК!$F$7*(('ФАКТ ЧИСТ ПОДЗЕМ'!N17)*СПРАВОЧНИК!$L$7+('ФАКТ ЧИСТ ПОДЗЕМ'!O17)*СПРАВОЧНИК!$M$7+('ФАКТ ЧИСТ ПОДЗЕМ'!P17)*СПРАВОЧНИК!$N$7)+СПРАВОЧНИК!$F$8*(('ФАКТ ЧИСТ ПОДЗЕМ'!Q17)*СПРАВОЧНИК!$L$8+('ФАКТ ЧИСТ ПОДЗЕМ'!R17)*СПРАВОЧНИК!$M$8+('ФАКТ ЧИСТ ПОДЗЕМ'!S17)*СПРАВОЧНИК!$N$8)</f>
        <v>0</v>
      </c>
      <c r="I26" s="18">
        <f t="shared" si="13"/>
        <v>46258</v>
      </c>
      <c r="J26" s="37">
        <f>'ПЛАН ЧЕРН ПОДЗЕМ'!B17*СПРАВОЧНИК!$H$3+'ПЛАН ЧЕРН ПОДЗЕМ'!C17*СПРАВОЧНИК!$I$3+'ПЛАН ЧЕРН ПОДЗЕМ'!D17*СПРАВОЧНИК!$J$3+'ПЛАН ЧЕРН ПОДЗЕМ'!E17*СПРАВОЧНИК!$H$4+'ПЛАН ЧЕРН ПОДЗЕМ'!F17*СПРАВОЧНИК!$I$4+'ПЛАН ЧЕРН ПОДЗЕМ'!G17*СПРАВОЧНИК!$J$4+'ПЛАН ЧЕРН ПОДЗЕМ'!H17*СПРАВОЧНИК!$H$5+'ПЛАН ЧЕРН ПОДЗЕМ'!I17*СПРАВОЧНИК!$I$5+'ПЛАН ЧЕРН ПОДЗЕМ'!J17*СПРАВОЧНИК!$J$5+'ПЛАН ЧЕРН ПОДЗЕМ'!K17*СПРАВОЧНИК!$H$6+'ПЛАН ЧЕРН ПОДЗЕМ'!L17*СПРАВОЧНИК!$I$6+'ПЛАН ЧЕРН ПОДЗЕМ'!M17*СПРАВОЧНИК!$J$6+'ПЛАН ЧЕРН ПОДЗЕМ'!N17*СПРАВОЧНИК!$H$7+'ПЛАН ЧЕРН ПОДЗЕМ'!O17*СПРАВОЧНИК!$I$7+'ПЛАН ЧЕРН ПОДЗЕМ'!P17*СПРАВОЧНИК!$J$7+'ПЛАН ЧЕРН ПОДЗЕМ'!Q17*СПРАВОЧНИК!$H$8+'ПЛАН ЧЕРН ПОДЗЕМ'!R17*СПРАВОЧНИК!$I$8+'ПЛАН ЧЕРН ПОДЗЕМ'!S17*СПРАВОЧНИК!$J$8</f>
        <v>0</v>
      </c>
      <c r="K26" s="40">
        <f>('ФАКТ ЧЕРН ПОДЗЕМ'!B17)*СПРАВОЧНИК!$H$3+('ФАКТ ЧЕРН ПОДЗЕМ'!C17)*СПРАВОЧНИК!$I$3+('ФАКТ ЧЕРН ПОДЗЕМ'!D17)*СПРАВОЧНИК!$J$3+('ФАКТ ЧЕРН ПОДЗЕМ'!E17)*СПРАВОЧНИК!$H$4+('ФАКТ ЧЕРН ПОДЗЕМ'!F17)*СПРАВОЧНИК!$I$4+('ФАКТ ЧЕРН ПОДЗЕМ'!G17)*СПРАВОЧНИК!$J$4+('ФАКТ ЧЕРН ПОДЗЕМ'!H17)*СПРАВОЧНИК!$H$5+('ФАКТ ЧЕРН ПОДЗЕМ'!I17)*СПРАВОЧНИК!$I$5+('ФАКТ ЧЕРН ПОДЗЕМ'!J17)*СПРАВОЧНИК!$J$5+('ФАКТ ЧЕРН ПОДЗЕМ'!K17)*СПРАВОЧНИК!$H$6+('ФАКТ ЧЕРН ПОДЗЕМ'!L17)*СПРАВОЧНИК!$I$6+('ФАКТ ЧЕРН ПОДЗЕМ'!M17)*СПРАВОЧНИК!$J$6+('ФАКТ ЧЕРН ПОДЗЕМ'!N17)*СПРАВОЧНИК!$H$7+('ФАКТ ЧЕРН ПОДЗЕМ'!O17)*СПРАВОЧНИК!$I$7+('ФАКТ ЧЕРН ПОДЗЕМ'!P17)*СПРАВОЧНИК!$J$7+('ФАКТ ЧЕРН ПОДЗЕМ'!Q17)*СПРАВОЧНИК!$H$8+('ФАКТ ЧЕРН ПОДЗЕМ'!R17)*СПРАВОЧНИК!$I$8+('ФАКТ ЧЕРН ПОДЗЕМ'!S17)*СПРАВОЧНИК!$J$8</f>
        <v>0</v>
      </c>
      <c r="O26" s="18">
        <f t="shared" si="14"/>
        <v>46258</v>
      </c>
      <c r="P26" s="37">
        <f>'ПЛАН ЧИСТ ПОДЗЕМ'!B17*СПРАВОЧНИК!$L$3+'ПЛАН ЧИСТ ПОДЗЕМ'!C17*СПРАВОЧНИК!$M$3+'ПЛАН ЧИСТ ПОДЗЕМ'!D17*СПРАВОЧНИК!$N$3+'ПЛАН ЧИСТ ПОДЗЕМ'!E17*СПРАВОЧНИК!$L$4+'ПЛАН ЧИСТ ПОДЗЕМ'!F17*СПРАВОЧНИК!$M$4+'ПЛАН ЧИСТ ПОДЗЕМ'!G17*СПРАВОЧНИК!$N$4+'ПЛАН ЧИСТ ПОДЗЕМ'!H17*СПРАВОЧНИК!$L$5+'ПЛАН ЧИСТ ПОДЗЕМ'!I17*СПРАВОЧНИК!$M$5+'ПЛАН ЧИСТ ПОДЗЕМ'!J17*СПРАВОЧНИК!$N$5+'ПЛАН ЧИСТ ПОДЗЕМ'!K17*СПРАВОЧНИК!$L$6+'ПЛАН ЧИСТ ПОДЗЕМ'!L17*СПРАВОЧНИК!$M$6+'ПЛАН ЧИСТ ПОДЗЕМ'!M17*СПРАВОЧНИК!$N$6+'ПЛАН ЧИСТ ПОДЗЕМ'!N17*СПРАВОЧНИК!$L$7+'ПЛАН ЧИСТ ПОДЗЕМ'!O17*СПРАВОЧНИК!$M$7+'ПЛАН ЧИСТ ПОДЗЕМ'!P17*СПРАВОЧНИК!$N$7+'ПЛАН ЧИСТ ПОДЗЕМ'!Q17*СПРАВОЧНИК!$L$8+'ПЛАН ЧИСТ ПОДЗЕМ'!R17*СПРАВОЧНИК!$M$8+'ПЛАН ЧИСТ ПОДЗЕМ'!S17*СПРАВОЧНИК!$N$8</f>
        <v>0</v>
      </c>
      <c r="Q26" s="40">
        <f>('ФАКТ ЧИСТ ПОДЗЕМ'!B17)*СПРАВОЧНИК!$L$3+('ФАКТ ЧИСТ ПОДЗЕМ'!C17)*СПРАВОЧНИК!$M$3+('ФАКТ ЧИСТ ПОДЗЕМ'!D17)*СПРАВОЧНИК!$N$3+('ФАКТ ЧИСТ ПОДЗЕМ'!E17)*СПРАВОЧНИК!$L$4+('ФАКТ ЧИСТ ПОДЗЕМ'!F17)*СПРАВОЧНИК!$M$4+('ФАКТ ЧИСТ ПОДЗЕМ'!G17)*СПРАВОЧНИК!$N$4+('ФАКТ ЧИСТ ПОДЗЕМ'!H17)*СПРАВОЧНИК!$L$5+('ФАКТ ЧИСТ ПОДЗЕМ'!I17)*СПРАВОЧНИК!$M$5+('ФАКТ ЧИСТ ПОДЗЕМ'!J17)*СПРАВОЧНИК!$N$5+('ФАКТ ЧИСТ ПОДЗЕМ'!K17)*СПРАВОЧНИК!$L$6+('ФАКТ ЧИСТ ПОДЗЕМ'!L17)*СПРАВОЧНИК!$M$6+('ФАКТ ЧИСТ ПОДЗЕМ'!M17)*СПРАВОЧНИК!$N$6+('ФАКТ ЧИСТ ПОДЗЕМ'!N17)*СПРАВОЧНИК!$L$7+('ФАКТ ЧИСТ ПОДЗЕМ'!O17)*СПРАВОЧНИК!$M$7+('ФАКТ ЧИСТ ПОДЗЕМ'!P17)*СПРАВОЧНИК!$N$7+('ФАКТ ЧИСТ ПОДЗЕМ'!Q17)*СПРАВОЧНИК!$L$8+('ФАКТ ЧИСТ ПОДЗЕМ'!R17)*СПРАВОЧНИК!$M$8+('ФАКТ ЧИСТ ПОДЗЕМ'!S17)*СПРАВОЧНИК!$N$8</f>
        <v>0</v>
      </c>
      <c r="U26" s="18">
        <f t="shared" si="15"/>
        <v>46258</v>
      </c>
      <c r="V26" s="37">
        <f>СПРАВОЧНИК!$E$9*('ПЛАН ЧЕРН К1'!B17*СПРАВОЧНИК!$H$9+'ПЛАН ЧЕРН К1'!C17*СПРАВОЧНИК!$I$9+'ПЛАН ЧЕРН К1'!D17*СПРАВОЧНИК!$J$9)+СПРАВОЧНИК!$E$10*('ПЛАН ЧЕРН К1'!E17*СПРАВОЧНИК!$H$10+'ПЛАН ЧЕРН К1'!F17*СПРАВОЧНИК!$I$10+'ПЛАН ЧЕРН К1'!G17*СПРАВОЧНИК!$J$10)+СПРАВОЧНИК!$E$11*('ПЛАН ЧЕРН К1'!H17*СПРАВОЧНИК!$H$11+'ПЛАН ЧЕРН К1'!I17*СПРАВОЧНИК!$I$11+'ПЛАН ЧЕРН К1'!J17*СПРАВОЧНИК!$J$11)+СПРАВОЧНИК!$E$12*('ПЛАН ЧЕРН К1'!K17*СПРАВОЧНИК!$H$12+'ПЛАН ЧЕРН К1'!L17*СПРАВОЧНИК!$I$12+'ПЛАН ЧЕРН К1'!M17*СПРАВОЧНИК!$J$12)+СПРАВОЧНИК!$E$13*('ПЛАН ЧЕРН К1'!N17*СПРАВОЧНИК!$H$13+'ПЛАН ЧЕРН К1'!O17*СПРАВОЧНИК!$I$13+'ПЛАН ЧЕРН К1'!P17*СПРАВОЧНИК!$J$13)+СПРАВОЧНИК!$E$14*('ПЛАН ЧЕРН К1'!Q17*СПРАВОЧНИК!$H$14+'ПЛАН ЧЕРН К1'!R17*СПРАВОЧНИК!$I$14+'ПЛАН ЧЕРН К1'!S17*СПРАВОЧНИК!$J$14)+СПРАВОЧНИК!$E$15*('ПЛАН ЧЕРН К1'!T17*СПРАВОЧНИК!$H$15+'ПЛАН ЧЕРН К1'!U17*СПРАВОЧНИК!$I$15+'ПЛАН ЧЕРН К1'!V17*СПРАВОЧНИК!$J$15)+СПРАВОЧНИК!$F$9*('ПЛАН ЧИСТ К1'!B17*СПРАВОЧНИК!$L$9+'ПЛАН ЧИСТ К1'!C17*СПРАВОЧНИК!$M$9+'ПЛАН ЧИСТ К1'!D17*СПРАВОЧНИК!$N$9+'ПЛАН ЧИСТ К1'!E17*СПРАВОЧНИК!$O$9)+СПРАВОЧНИК!$F$10*('ПЛАН ЧИСТ К1'!F17*СПРАВОЧНИК!$L$10+'ПЛАН ЧИСТ К1'!G17*СПРАВОЧНИК!$M$10+'ПЛАН ЧИСТ К1'!H17*СПРАВОЧНИК!$N$10)+СПРАВОЧНИК!$F$11*('ПЛАН ЧИСТ К1'!I17*СПРАВОЧНИК!$L$11+'ПЛАН ЧИСТ К1'!J17*СПРАВОЧНИК!$M$11+'ПЛАН ЧИСТ К1'!K17*СПРАВОЧНИК!$N$11)+СПРАВОЧНИК!$F$12*('ПЛАН ЧИСТ К1'!L17*СПРАВОЧНИК!$L$12+'ПЛАН ЧИСТ К1'!M17*СПРАВОЧНИК!$M$12+'ПЛАН ЧИСТ К1'!N17*СПРАВОЧНИК!$N$12)+СПРАВОЧНИК!$F$13*('ПЛАН ЧИСТ К1'!O17*СПРАВОЧНИК!$L$13+'ПЛАН ЧИСТ К1'!P17*СПРАВОЧНИК!$M$13+'ПЛАН ЧИСТ К1'!Q17*СПРАВОЧНИК!$N$13)+СПРАВОЧНИК!$F$14*('ПЛАН ЧИСТ К1'!R17*СПРАВОЧНИК!$L$14+'ПЛАН ЧИСТ К1'!S17*СПРАВОЧНИК!$M$14+'ПЛАН ЧИСТ К1'!T17*СПРАВОЧНИК!$N$14)+СПРАВОЧНИК!$F$15*('ПЛАН ЧИСТ К1'!U17*СПРАВОЧНИК!$L$15+'ПЛАН ЧИСТ К1'!V17*СПРАВОЧНИК!$M$15+'ПЛАН ЧИСТ К1'!W17*СПРАВОЧНИК!$N$15)</f>
        <v>0</v>
      </c>
      <c r="W26" s="40">
        <f>СПРАВОЧНИК!$E$9*(('ФАКТ ЧЕРН К1'!B17)*СПРАВОЧНИК!$H$9+('ФАКТ ЧЕРН К1'!C17)*СПРАВОЧНИК!$I$9+('ФАКТ ЧЕРН К1'!D17)*СПРАВОЧНИК!$J$9)+СПРАВОЧНИК!$E$10*(('ФАКТ ЧЕРН К1'!E17)*СПРАВОЧНИК!$H$10+('ФАКТ ЧЕРН К1'!F17)*СПРАВОЧНИК!$I$10+('ФАКТ ЧЕРН К1'!G17)*СПРАВОЧНИК!$J$10)+СПРАВОЧНИК!$E$11*(('ФАКТ ЧЕРН К1'!H17)*СПРАВОЧНИК!$H$11+('ФАКТ ЧЕРН К1'!I17)*СПРАВОЧНИК!$I$11+('ФАКТ ЧЕРН К1'!J17)*СПРАВОЧНИК!$J$11)+СПРАВОЧНИК!$E$12*(('ФАКТ ЧЕРН К1'!K17)*СПРАВОЧНИК!$H$12+('ФАКТ ЧЕРН К1'!L17)*СПРАВОЧНИК!$I$12+('ФАКТ ЧЕРН К1'!M17)*СПРАВОЧНИК!$J$12)+СПРАВОЧНИК!$E$13*(('ФАКТ ЧЕРН К1'!N17)*СПРАВОЧНИК!$H$13+('ФАКТ ЧЕРН К1'!O17)*СПРАВОЧНИК!$I$13+('ФАКТ ЧЕРН К1'!P17)*СПРАВОЧНИК!$J$13)+СПРАВОЧНИК!$E$14*(('ФАКТ ЧЕРН К1'!Q17)*СПРАВОЧНИК!$H$14+('ФАКТ ЧЕРН К1'!R17)*СПРАВОЧНИК!$I$14+('ФАКТ ЧЕРН К1'!S17)*СПРАВОЧНИК!$J$14)+СПРАВОЧНИК!$E$15*(('ФАКТ ЧЕРН К1'!T17)*СПРАВОЧНИК!$H$15+('ФАКТ ЧЕРН К1'!U17)*СПРАВОЧНИК!$I$15+('ФАКТ ЧЕРН К1'!V17)*СПРАВОЧНИК!$J$15)+СПРАВОЧНИК!$F$9*(('ФАКТ ЧИСТ К1'!B17)*СПРАВОЧНИК!$L$9+('ФАКТ ЧИСТ К1'!C17)*СПРАВОЧНИК!$M$9+('ФАКТ ЧИСТ К1'!D17)*СПРАВОЧНИК!$N$9+('ФАКТ ЧИСТ К1'!E17)*СПРАВОЧНИК!$O$9)+СПРАВОЧНИК!$F$10*(('ФАКТ ЧИСТ К1'!F17)*СПРАВОЧНИК!$L$10+('ФАКТ ЧИСТ К1'!G17)*СПРАВОЧНИК!$M$10+('ФАКТ ЧИСТ К1'!H17)*СПРАВОЧНИК!$N$10)+СПРАВОЧНИК!$F$11*(('ФАКТ ЧИСТ К1'!I17)*СПРАВОЧНИК!$L$11+('ФАКТ ЧИСТ К1'!J17)*СПРАВОЧНИК!$M$11+('ФАКТ ЧИСТ К1'!K17)*СПРАВОЧНИК!$N$11)+СПРАВОЧНИК!$F$12*(('ФАКТ ЧИСТ К1'!L17)*СПРАВОЧНИК!$L$12+('ФАКТ ЧИСТ К1'!M17)*СПРАВОЧНИК!$M$12+('ФАКТ ЧИСТ К1'!N17)*СПРАВОЧНИК!$N$12)+СПРАВОЧНИК!$F$13*(('ФАКТ ЧИСТ К1'!O17)*СПРАВОЧНИК!$L$13+('ФАКТ ЧИСТ К1'!P17)*СПРАВОЧНИК!$M$13+('ФАКТ ЧИСТ К1'!Q17)*СПРАВОЧНИК!$N$13)+СПРАВОЧНИК!$F$14*(('ФАКТ ЧИСТ К1'!R17)*СПРАВОЧНИК!$L$14+('ФАКТ ЧИСТ К1'!S17)*СПРАВОЧНИК!$M$14+('ФАКТ ЧИСТ К1'!T17)*СПРАВОЧНИК!$N$14)+СПРАВОЧНИК!$F$15*(('ФАКТ ЧИСТ К1'!U17)*СПРАВОЧНИК!$L$15+('ФАКТ ЧИСТ К1'!V17)*СПРАВОЧНИК!$M$15+('ФАКТ ЧИСТ К1'!W17)*СПРАВОЧНИК!$N$15)</f>
        <v>0</v>
      </c>
      <c r="AA26" s="18">
        <f t="shared" si="16"/>
        <v>46258</v>
      </c>
      <c r="AB26" s="37">
        <f>'ПЛАН ЧЕРН К1'!B17*СПРАВОЧНИК!$H$9+'ПЛАН ЧЕРН К1'!C17*СПРАВОЧНИК!$I$9+'ПЛАН ЧЕРН К1'!D17*СПРАВОЧНИК!$J$9+'ПЛАН ЧЕРН К1'!E17*СПРАВОЧНИК!$H$10+'ПЛАН ЧЕРН К1'!F17*СПРАВОЧНИК!$I$10+'ПЛАН ЧЕРН К1'!G17*СПРАВОЧНИК!$J$10+'ПЛАН ЧЕРН К1'!H17*СПРАВОЧНИК!$H$11+'ПЛАН ЧЕРН К1'!I17*СПРАВОЧНИК!$I$11+'ПЛАН ЧЕРН К1'!J17*СПРАВОЧНИК!$J$11+'ПЛАН ЧЕРН К1'!K17*СПРАВОЧНИК!$H$12+'ПЛАН ЧЕРН К1'!L17*СПРАВОЧНИК!$I$12+'ПЛАН ЧЕРН К1'!M17*СПРАВОЧНИК!$J$12+'ПЛАН ЧЕРН К1'!N17*СПРАВОЧНИК!$H$13+'ПЛАН ЧЕРН К1'!O17*СПРАВОЧНИК!$I$13+'ПЛАН ЧЕРН К1'!P17*СПРАВОЧНИК!$J$13+'ПЛАН ЧЕРН К1'!Q17*СПРАВОЧНИК!$H$14+'ПЛАН ЧЕРН К1'!R17*СПРАВОЧНИК!$I$14+'ПЛАН ЧЕРН К1'!S17*СПРАВОЧНИК!$J$14+'ПЛАН ЧЕРН К1'!T17*СПРАВОЧНИК!$H$15+'ПЛАН ЧЕРН К1'!U17*СПРАВОЧНИК!$I$15+'ПЛАН ЧЕРН К1'!V17*СПРАВОЧНИК!$J$15</f>
        <v>0</v>
      </c>
      <c r="AC26" s="40">
        <f>('ФАКТ ЧЕРН К1'!B17)*СПРАВОЧНИК!$H$9+('ФАКТ ЧЕРН К1'!C17)*СПРАВОЧНИК!$I$9+('ФАКТ ЧЕРН К1'!D17)*СПРАВОЧНИК!$J$9+('ФАКТ ЧЕРН К1'!E17)*СПРАВОЧНИК!$H$10+('ФАКТ ЧЕРН К1'!F17)*СПРАВОЧНИК!$I$10+('ФАКТ ЧЕРН К1'!G17)*СПРАВОЧНИК!$J$10+('ФАКТ ЧЕРН К1'!H17)*СПРАВОЧНИК!$H$11+('ФАКТ ЧЕРН К1'!I17)*СПРАВОЧНИК!$I$11+('ФАКТ ЧЕРН К1'!J17)*СПРАВОЧНИК!$J$11+('ФАКТ ЧЕРН К1'!K17)*СПРАВОЧНИК!$H$12+('ФАКТ ЧЕРН К1'!L17)*СПРАВОЧНИК!$I$12+('ФАКТ ЧЕРН К1'!M17)*СПРАВОЧНИК!$J$12+('ФАКТ ЧЕРН К1'!N17)*СПРАВОЧНИК!$H$13+('ФАКТ ЧЕРН К1'!O17)*СПРАВОЧНИК!$I$13+('ФАКТ ЧЕРН К1'!P17)*СПРАВОЧНИК!$J$13+('ФАКТ ЧЕРН К1'!Q17)*СПРАВОЧНИК!$H$14+('ФАКТ ЧЕРН К1'!R17)*СПРАВОЧНИК!$I$14+('ФАКТ ЧЕРН К1'!S17)*СПРАВОЧНИК!$J$14+('ФАКТ ЧЕРН К1'!T17)*СПРАВОЧНИК!$H$15+('ФАКТ ЧЕРН К1'!U17)*СПРАВОЧНИК!$I$15+('ФАКТ ЧЕРН К1'!V17)*СПРАВОЧНИК!$J$15</f>
        <v>0</v>
      </c>
      <c r="AG26" s="18">
        <f t="shared" si="17"/>
        <v>46258</v>
      </c>
      <c r="AH26" s="37">
        <f>'ПЛАН ЧИСТ К1'!B17*СПРАВОЧНИК!$L$9+'ПЛАН ЧИСТ К1'!C17*СПРАВОЧНИК!$M$9+'ПЛАН ЧИСТ К1'!D17*СПРАВОЧНИК!$N$9+'ПЛАН ЧИСТ К1'!E17*СПРАВОЧНИК!$O$9+'ПЛАН ЧИСТ К1'!F17*СПРАВОЧНИК!$L$10+'ПЛАН ЧИСТ К1'!G17*СПРАВОЧНИК!$M$10+'ПЛАН ЧИСТ К1'!H17*СПРАВОЧНИК!$N$10+'ПЛАН ЧИСТ К1'!I17*СПРАВОЧНИК!$L$11+'ПЛАН ЧИСТ К1'!J17*СПРАВОЧНИК!$M$11+'ПЛАН ЧИСТ К1'!K17*СПРАВОЧНИК!$N$11+'ПЛАН ЧИСТ К1'!L17*СПРАВОЧНИК!$L$12+'ПЛАН ЧИСТ К1'!M17*СПРАВОЧНИК!$M$12+'ПЛАН ЧИСТ К1'!N17*СПРАВОЧНИК!$N$12+'ПЛАН ЧИСТ К1'!O17*СПРАВОЧНИК!$L$13+'ПЛАН ЧИСТ К1'!P17*СПРАВОЧНИК!$M$13+'ПЛАН ЧИСТ К1'!Q17*СПРАВОЧНИК!$N$13+'ПЛАН ЧИСТ К1'!R17*СПРАВОЧНИК!$L$14+'ПЛАН ЧИСТ К1'!S17*СПРАВОЧНИК!$M$14+'ПЛАН ЧИСТ К1'!T17*СПРАВОЧНИК!$N$14+'ПЛАН ЧИСТ К1'!U17*СПРАВОЧНИК!$L$15+'ПЛАН ЧИСТ К1'!V17*СПРАВОЧНИК!$M$15+'ПЛАН ЧИСТ К1'!W17*СПРАВОЧНИК!$N$15</f>
        <v>0</v>
      </c>
      <c r="AI26" s="40">
        <f>('ФАКТ ЧИСТ К1'!B17)*СПРАВОЧНИК!$L$9+('ФАКТ ЧИСТ К1'!C17)*СПРАВОЧНИК!$M$9+('ФАКТ ЧИСТ К1'!D17)*СПРАВОЧНИК!$N$9+('ФАКТ ЧИСТ К1'!E17)*СПРАВОЧНИК!$O$9+('ФАКТ ЧИСТ К1'!F17)*СПРАВОЧНИК!$L$10+('ФАКТ ЧИСТ К1'!G17)*СПРАВОЧНИК!$M$10+('ФАКТ ЧИСТ К1'!H17)*СПРАВОЧНИК!$N$10+('ФАКТ ЧИСТ К1'!I17)*СПРАВОЧНИК!$L$11+('ФАКТ ЧИСТ К1'!J17)*СПРАВОЧНИК!$M$11+('ФАКТ ЧИСТ К1'!K17)*СПРАВОЧНИК!$N$11+('ФАКТ ЧИСТ К1'!L17)*СПРАВОЧНИК!$L$12+('ФАКТ ЧИСТ К1'!M17)*СПРАВОЧНИК!$M$12+('ФАКТ ЧИСТ К1'!N17)*СПРАВОЧНИК!$N$12+('ФАКТ ЧИСТ К1'!O17)*СПРАВОЧНИК!$L$13+('ФАКТ ЧИСТ К1'!P17)*СПРАВОЧНИК!$M$13+('ФАКТ ЧИСТ К1'!Q17)*СПРАВОЧНИК!$N$13+('ФАКТ ЧИСТ К1'!R17)*СПРАВОЧНИК!$L$14+('ФАКТ ЧИСТ К1'!S17)*СПРАВОЧНИК!$M$14+('ФАКТ ЧИСТ К1'!T17)*СПРАВОЧНИК!$N$14+('ФАКТ ЧИСТ К1'!U17)*СПРАВОЧНИК!$L$15+('ФАКТ ЧИСТ К1'!V17)*СПРАВОЧНИК!$M$15+('ФАКТ ЧИСТ К1'!W17)*СПРАВОЧНИК!$N$15</f>
        <v>0</v>
      </c>
      <c r="AM26" s="18">
        <f t="shared" si="18"/>
        <v>46258</v>
      </c>
      <c r="AN26" s="37">
        <f>СПРАВОЧНИК!$E$9*('ПЛАН ЧЕРН К2'!B17*СПРАВОЧНИК!$H$9+'ПЛАН ЧЕРН К2'!C17*СПРАВОЧНИК!$I$9+'ПЛАН ЧЕРН К2'!D17*СПРАВОЧНИК!$J$9)+СПРАВОЧНИК!$E$10*('ПЛАН ЧЕРН К2'!E17*СПРАВОЧНИК!$H$10+'ПЛАН ЧЕРН К2'!F17*СПРАВОЧНИК!$I$10+'ПЛАН ЧЕРН К2'!G17*СПРАВОЧНИК!$J$10)+СПРАВОЧНИК!$E$11*('ПЛАН ЧЕРН К2'!H17*СПРАВОЧНИК!$H$11+'ПЛАН ЧЕРН К2'!I17*СПРАВОЧНИК!$I$11+'ПЛАН ЧЕРН К2'!J17*СПРАВОЧНИК!$J$11)+СПРАВОЧНИК!$E$12*('ПЛАН ЧЕРН К2'!K17*СПРАВОЧНИК!$H$12+'ПЛАН ЧЕРН К2'!L17*СПРАВОЧНИК!$I$12+'ПЛАН ЧЕРН К2'!M17*СПРАВОЧНИК!$J$12)+СПРАВОЧНИК!$E$13*('ПЛАН ЧЕРН К2'!N17*СПРАВОЧНИК!$H$13+'ПЛАН ЧЕРН К2'!O17*СПРАВОЧНИК!$I$13+'ПЛАН ЧЕРН К2'!P17*СПРАВОЧНИК!$J$13)+СПРАВОЧНИК!$E$14*('ПЛАН ЧЕРН К2'!Q17*СПРАВОЧНИК!$H$14+'ПЛАН ЧЕРН К2'!R17*СПРАВОЧНИК!$I$14+'ПЛАН ЧЕРН К2'!S17*СПРАВОЧНИК!$J$14)+СПРАВОЧНИК!$E$15*('ПЛАН ЧЕРН К2'!T17*СПРАВОЧНИК!$H$15+'ПЛАН ЧЕРН К2'!U17*СПРАВОЧНИК!$I$15+'ПЛАН ЧЕРН К2'!V17*СПРАВОЧНИК!$J$15)+СПРАВОЧНИК!$F$9*('ПЛАН ЧИСТ К2'!B17*СПРАВОЧНИК!$L$9+'ПЛАН ЧИСТ К2'!C17*СПРАВОЧНИК!$M$9+'ПЛАН ЧИСТ К2'!D17*СПРАВОЧНИК!$N$9+'ПЛАН ЧИСТ К2'!E17*СПРАВОЧНИК!$O$9)+СПРАВОЧНИК!$F$10*('ПЛАН ЧИСТ К2'!F17*СПРАВОЧНИК!$L$10+'ПЛАН ЧИСТ К2'!G17*СПРАВОЧНИК!$M$10+'ПЛАН ЧИСТ К2'!H17*СПРАВОЧНИК!$N$10)+СПРАВОЧНИК!$F$11*('ПЛАН ЧИСТ К2'!I17*СПРАВОЧНИК!$L$11+'ПЛАН ЧИСТ К2'!J17*СПРАВОЧНИК!$M$11+'ПЛАН ЧИСТ К2'!K17*СПРАВОЧНИК!$N$11)+СПРАВОЧНИК!$F$12*('ПЛАН ЧИСТ К2'!L17*СПРАВОЧНИК!$L$12+'ПЛАН ЧИСТ К2'!M17*СПРАВОЧНИК!$M$12+'ПЛАН ЧИСТ К2'!N17*СПРАВОЧНИК!$N$12)+СПРАВОЧНИК!$F$13*('ПЛАН ЧИСТ К2'!O17*СПРАВОЧНИК!$L$13+'ПЛАН ЧИСТ К2'!P17*СПРАВОЧНИК!$M$13+'ПЛАН ЧИСТ К2'!Q17*СПРАВОЧНИК!$N$13)+СПРАВОЧНИК!$F$14*('ПЛАН ЧИСТ К2'!R17*СПРАВОЧНИК!$L$14+'ПЛАН ЧИСТ К2'!S17*СПРАВОЧНИК!$M$14+'ПЛАН ЧИСТ К2'!T17*СПРАВОЧНИК!$N$14)+СПРАВОЧНИК!$F$15*('ПЛАН ЧИСТ К2'!U17*СПРАВОЧНИК!$L$15+'ПЛАН ЧИСТ К2'!V17*СПРАВОЧНИК!$M$15+'ПЛАН ЧИСТ К2'!W17*СПРАВОЧНИК!$N$15)</f>
        <v>0</v>
      </c>
      <c r="AO26" s="40">
        <f>СПРАВОЧНИК!$E$9*(('ФАКТ ЧЕРН К2'!B17)*СПРАВОЧНИК!$H$9+('ФАКТ ЧЕРН К2'!C17)*СПРАВОЧНИК!$I$9+('ФАКТ ЧЕРН К2'!D17)*СПРАВОЧНИК!$J$9)+СПРАВОЧНИК!$E$10*(('ФАКТ ЧЕРН К2'!E17)*СПРАВОЧНИК!$H$10+('ФАКТ ЧЕРН К2'!F17)*СПРАВОЧНИК!$I$10+('ФАКТ ЧЕРН К2'!G17)*СПРАВОЧНИК!$J$10)+СПРАВОЧНИК!$E$11*(('ФАКТ ЧЕРН К2'!H17)*СПРАВОЧНИК!$H$11+('ФАКТ ЧЕРН К2'!I17)*СПРАВОЧНИК!$I$11+('ФАКТ ЧЕРН К2'!J17)*СПРАВОЧНИК!$J$11)+СПРАВОЧНИК!$E$12*(('ФАКТ ЧЕРН К2'!K17)*СПРАВОЧНИК!$H$12+('ФАКТ ЧЕРН К2'!L17)*СПРАВОЧНИК!$I$12+('ФАКТ ЧЕРН К2'!M17)*СПРАВОЧНИК!$J$12)+СПРАВОЧНИК!$E$13*(('ФАКТ ЧЕРН К2'!N17)*СПРАВОЧНИК!$H$13+('ФАКТ ЧЕРН К2'!O17)*СПРАВОЧНИК!$I$13+('ФАКТ ЧЕРН К2'!P17)*СПРАВОЧНИК!$J$13)+СПРАВОЧНИК!$E$14*(('ФАКТ ЧЕРН К2'!Q17)*СПРАВОЧНИК!$H$14+('ФАКТ ЧЕРН К2'!R17)*СПРАВОЧНИК!$I$14+('ФАКТ ЧЕРН К2'!S17)*СПРАВОЧНИК!$J$14)+СПРАВОЧНИК!$E$15*(('ФАКТ ЧЕРН К2'!T17)*СПРАВОЧНИК!$H$15+('ФАКТ ЧЕРН К2'!U17)*СПРАВОЧНИК!$I$15+('ФАКТ ЧЕРН К2'!V17)*СПРАВОЧНИК!$J$15)+СПРАВОЧНИК!$F$9*(('ФАКТ ЧИСТ К2'!B17)*СПРАВОЧНИК!$L$9+('ФАКТ ЧИСТ К2'!C17)*СПРАВОЧНИК!$M$9+('ФАКТ ЧИСТ К2'!D17)*СПРАВОЧНИК!$N$9+('ФАКТ ЧИСТ К2'!E17)*СПРАВОЧНИК!$O$9)+СПРАВОЧНИК!$F$10*(('ФАКТ ЧИСТ К2'!F17)*СПРАВОЧНИК!$L$10+('ФАКТ ЧИСТ К2'!G17)*СПРАВОЧНИК!$M$10+('ФАКТ ЧИСТ К2'!H17)*СПРАВОЧНИК!$N$10)+СПРАВОЧНИК!$F$11*(('ФАКТ ЧИСТ К2'!I17)*СПРАВОЧНИК!$L$11+('ФАКТ ЧИСТ К2'!J17)*СПРАВОЧНИК!$M$11+('ФАКТ ЧИСТ К2'!K17)*СПРАВОЧНИК!$N$11)+СПРАВОЧНИК!$F$12*(('ФАКТ ЧИСТ К2'!L17)*СПРАВОЧНИК!$L$12+('ФАКТ ЧИСТ К2'!M17)*СПРАВОЧНИК!$M$12+('ФАКТ ЧИСТ К2'!N17)*СПРАВОЧНИК!$N$12)+СПРАВОЧНИК!$F$13*(('ФАКТ ЧИСТ К2'!O17)*СПРАВОЧНИК!$L$13+('ФАКТ ЧИСТ К2'!P17)*СПРАВОЧНИК!$M$13+('ФАКТ ЧИСТ К2'!Q17)*СПРАВОЧНИК!$N$13)+СПРАВОЧНИК!$F$14*(('ФАКТ ЧИСТ К2'!R17)*СПРАВОЧНИК!$L$14+('ФАКТ ЧИСТ К2'!S17)*СПРАВОЧНИК!$M$14+('ФАКТ ЧИСТ К2'!T17)*СПРАВОЧНИК!$N$14)+СПРАВОЧНИК!$F$15*(('ФАКТ ЧИСТ К2'!U17)*СПРАВОЧНИК!$L$15+('ФАКТ ЧИСТ К2'!V17)*СПРАВОЧНИК!$M$15+('ФАКТ ЧИСТ К2'!W17)*СПРАВОЧНИК!$N$15)</f>
        <v>0</v>
      </c>
      <c r="AS26" s="18">
        <f t="shared" si="19"/>
        <v>46258</v>
      </c>
      <c r="AT26" s="37">
        <f>'ПЛАН ЧЕРН К2'!B17*СПРАВОЧНИК!$H$9+'ПЛАН ЧЕРН К2'!C17*СПРАВОЧНИК!$I$9+'ПЛАН ЧЕРН К2'!D17*СПРАВОЧНИК!$J$9+'ПЛАН ЧЕРН К2'!E17*СПРАВОЧНИК!$H$10+'ПЛАН ЧЕРН К2'!F17*СПРАВОЧНИК!$I$10+'ПЛАН ЧЕРН К2'!G17*СПРАВОЧНИК!$J$10+'ПЛАН ЧЕРН К2'!H17*СПРАВОЧНИК!$H$11+'ПЛАН ЧЕРН К2'!I17*СПРАВОЧНИК!$I$11+'ПЛАН ЧЕРН К2'!J17*СПРАВОЧНИК!$J$11+'ПЛАН ЧЕРН К2'!K17*СПРАВОЧНИК!$H$12+'ПЛАН ЧЕРН К2'!L17*СПРАВОЧНИК!$I$12+'ПЛАН ЧЕРН К2'!M17*СПРАВОЧНИК!$J$12+'ПЛАН ЧЕРН К2'!N17*СПРАВОЧНИК!$H$13+'ПЛАН ЧЕРН К2'!O17*СПРАВОЧНИК!$I$13+'ПЛАН ЧЕРН К2'!P17*СПРАВОЧНИК!$J$13+'ПЛАН ЧЕРН К2'!Q17*СПРАВОЧНИК!$H$14+'ПЛАН ЧЕРН К2'!R17*СПРАВОЧНИК!$I$14+'ПЛАН ЧЕРН К2'!S17*СПРАВОЧНИК!$J$14+'ПЛАН ЧЕРН К2'!T17*СПРАВОЧНИК!$H$15+'ПЛАН ЧЕРН К2'!U17*СПРАВОЧНИК!$I$15+'ПЛАН ЧЕРН К2'!V17*СПРАВОЧНИК!$J$15</f>
        <v>0</v>
      </c>
      <c r="AU26" s="40">
        <f>('ФАКТ ЧЕРН К2'!B17)*СПРАВОЧНИК!$H$9+('ФАКТ ЧЕРН К2'!C17)*СПРАВОЧНИК!$I$9+('ФАКТ ЧЕРН К2'!D17)*СПРАВОЧНИК!$J$9+('ФАКТ ЧЕРН К2'!E17)*СПРАВОЧНИК!$H$10+('ФАКТ ЧЕРН К2'!F17)*СПРАВОЧНИК!$I$10+('ФАКТ ЧЕРН К2'!G17)*СПРАВОЧНИК!$J$10+('ФАКТ ЧЕРН К2'!H17)*СПРАВОЧНИК!$H$11+('ФАКТ ЧЕРН К2'!I17)*СПРАВОЧНИК!$I$11+('ФАКТ ЧЕРН К2'!J17)*СПРАВОЧНИК!$J$11+('ФАКТ ЧЕРН К2'!K17)*СПРАВОЧНИК!$H$12+('ФАКТ ЧЕРН К2'!L17)*СПРАВОЧНИК!$I$12+('ФАКТ ЧЕРН К2'!M17)*СПРАВОЧНИК!$J$12+('ФАКТ ЧЕРН К2'!N17)*СПРАВОЧНИК!$H$13+('ФАКТ ЧЕРН К2'!O17)*СПРАВОЧНИК!$I$13+('ФАКТ ЧЕРН К2'!P17)*СПРАВОЧНИК!$J$13+('ФАКТ ЧЕРН К2'!Q17)*СПРАВОЧНИК!$H$14+('ФАКТ ЧЕРН К2'!R17)*СПРАВОЧНИК!$I$14+('ФАКТ ЧЕРН К2'!S17)*СПРАВОЧНИК!$J$14+('ФАКТ ЧЕРН К2'!T17)*СПРАВОЧНИК!$H$15+('ФАКТ ЧЕРН К2'!U17)*СПРАВОЧНИК!$I$15+('ФАКТ ЧЕРН К2'!V17)*СПРАВОЧНИК!$J$15</f>
        <v>0</v>
      </c>
      <c r="AY26" s="18">
        <f t="shared" si="20"/>
        <v>46258</v>
      </c>
      <c r="AZ26" s="37">
        <f>'ПЛАН ЧИСТ К2'!B17*СПРАВОЧНИК!$L$9+'ПЛАН ЧИСТ К2'!C17*СПРАВОЧНИК!$M$9+'ПЛАН ЧИСТ К2'!D17*СПРАВОЧНИК!$N$9+'ПЛАН ЧИСТ К2'!E17*СПРАВОЧНИК!$O$9+'ПЛАН ЧИСТ К2'!F17*СПРАВОЧНИК!$L$10+'ПЛАН ЧИСТ К2'!G17*СПРАВОЧНИК!$M$10+'ПЛАН ЧИСТ К2'!H17*СПРАВОЧНИК!$N$10+'ПЛАН ЧИСТ К2'!I17*СПРАВОЧНИК!$L$11+'ПЛАН ЧИСТ К2'!J17*СПРАВОЧНИК!$M$11+'ПЛАН ЧИСТ К2'!K17*СПРАВОЧНИК!$N$11+'ПЛАН ЧИСТ К2'!L17*СПРАВОЧНИК!$L$12+'ПЛАН ЧИСТ К2'!M17*СПРАВОЧНИК!$M$12+'ПЛАН ЧИСТ К2'!N17*СПРАВОЧНИК!$N$12+'ПЛАН ЧИСТ К2'!O17*СПРАВОЧНИК!$L$13+'ПЛАН ЧИСТ К2'!P17*СПРАВОЧНИК!$M$13+'ПЛАН ЧИСТ К2'!Q17*СПРАВОЧНИК!$N$13+'ПЛАН ЧИСТ К2'!R17*СПРАВОЧНИК!$L$14+'ПЛАН ЧИСТ К2'!S17*СПРАВОЧНИК!$M$14+'ПЛАН ЧИСТ К2'!T17*СПРАВОЧНИК!$N$14+'ПЛАН ЧИСТ К2'!U17*СПРАВОЧНИК!$L$15+'ПЛАН ЧИСТ К2'!V17*СПРАВОЧНИК!$M$15+'ПЛАН ЧИСТ К2'!W17*СПРАВОЧНИК!$N$15</f>
        <v>0</v>
      </c>
      <c r="BA26" s="40">
        <f>('ФАКТ ЧИСТ К2'!B17)*СПРАВОЧНИК!$L$9+('ФАКТ ЧИСТ К2'!C17)*СПРАВОЧНИК!$M$9+('ФАКТ ЧИСТ К2'!D17)*СПРАВОЧНИК!$N$9+('ФАКТ ЧИСТ К2'!E17)*СПРАВОЧНИК!$O$9+('ФАКТ ЧИСТ К2'!F17)*СПРАВОЧНИК!$L$10+('ФАКТ ЧИСТ К2'!G17)*СПРАВОЧНИК!$M$10+('ФАКТ ЧИСТ К2'!H17)*СПРАВОЧНИК!$N$10+('ФАКТ ЧИСТ К2'!I17)*СПРАВОЧНИК!$L$11+('ФАКТ ЧИСТ К2'!J17)*СПРАВОЧНИК!$M$11+('ФАКТ ЧИСТ К2'!K17)*СПРАВОЧНИК!$N$11+('ФАКТ ЧИСТ К2'!L17)*СПРАВОЧНИК!$L$12+('ФАКТ ЧИСТ К2'!M17)*СПРАВОЧНИК!$M$12+('ФАКТ ЧИСТ К2'!N17)*СПРАВОЧНИК!$N$12+('ФАКТ ЧИСТ К2'!O17)*СПРАВОЧНИК!$L$13+('ФАКТ ЧИСТ К2'!P17)*СПРАВОЧНИК!$M$13+('ФАКТ ЧИСТ К2'!Q17)*СПРАВОЧНИК!$N$13+('ФАКТ ЧИСТ К2'!R17)*СПРАВОЧНИК!$L$14+('ФАКТ ЧИСТ К2'!S17)*СПРАВОЧНИК!$M$14+('ФАКТ ЧИСТ К2'!T17)*СПРАВОЧНИК!$N$14+('ФАКТ ЧИСТ К2'!U17)*СПРАВОЧНИК!$L$15+('ФАКТ ЧИСТ К2'!V17)*СПРАВОЧНИК!$M$15+('ФАКТ ЧИСТ К2'!W17)*СПРАВОЧНИК!$N$15</f>
        <v>0</v>
      </c>
      <c r="BE26" s="18">
        <f t="shared" si="21"/>
        <v>46258</v>
      </c>
      <c r="BF26" s="37">
        <f>СПРАВОЧНИК!$E$9*('ПЛАН ЧЕРН К3'!B17*СПРАВОЧНИК!$H$9+'ПЛАН ЧЕРН К3'!C17*СПРАВОЧНИК!$I$9+'ПЛАН ЧЕРН К3'!D17*СПРАВОЧНИК!$J$9)+СПРАВОЧНИК!$E$10*('ПЛАН ЧЕРН К3'!E17*СПРАВОЧНИК!$H$10+'ПЛАН ЧЕРН К3'!F17*СПРАВОЧНИК!$I$10+'ПЛАН ЧЕРН К3'!G17*СПРАВОЧНИК!$J$10)+СПРАВОЧНИК!$E$11*('ПЛАН ЧЕРН К3'!H17*СПРАВОЧНИК!$H$11+'ПЛАН ЧЕРН К3'!I17*СПРАВОЧНИК!$I$11+'ПЛАН ЧЕРН К3'!J17*СПРАВОЧНИК!$J$11)+СПРАВОЧНИК!$E$12*('ПЛАН ЧЕРН К3'!K17*СПРАВОЧНИК!$H$12+'ПЛАН ЧЕРН К3'!L17*СПРАВОЧНИК!$I$12+'ПЛАН ЧЕРН К3'!M17*СПРАВОЧНИК!$J$12)+СПРАВОЧНИК!$E$13*('ПЛАН ЧЕРН К3'!N17*СПРАВОЧНИК!$H$13+'ПЛАН ЧЕРН К3'!O17*СПРАВОЧНИК!$I$13+'ПЛАН ЧЕРН К3'!P17*СПРАВОЧНИК!$J$13)+СПРАВОЧНИК!$E$14*('ПЛАН ЧЕРН К3'!Q17*СПРАВОЧНИК!$H$14+'ПЛАН ЧЕРН К3'!R17*СПРАВОЧНИК!$I$14+'ПЛАН ЧЕРН К3'!S17*СПРАВОЧНИК!$J$14)+СПРАВОЧНИК!$E$15*('ПЛАН ЧЕРН К3'!T17*СПРАВОЧНИК!$H$15+'ПЛАН ЧЕРН К3'!U17*СПРАВОЧНИК!$I$15+'ПЛАН ЧЕРН К3'!V17*СПРАВОЧНИК!$J$15)+СПРАВОЧНИК!$F$9*('ПЛАН ЧИСТ К3'!B17*СПРАВОЧНИК!$L$9+'ПЛАН ЧИСТ К3'!C17*СПРАВОЧНИК!$M$9+'ПЛАН ЧИСТ К3'!D17*СПРАВОЧНИК!$N$9+'ПЛАН ЧИСТ К3'!E17*СПРАВОЧНИК!$O$9)+СПРАВОЧНИК!$F$10*('ПЛАН ЧИСТ К3'!F17*СПРАВОЧНИК!$L$10+'ПЛАН ЧИСТ К3'!G17*СПРАВОЧНИК!$M$10+'ПЛАН ЧИСТ К3'!H17*СПРАВОЧНИК!$N$10)+СПРАВОЧНИК!$F$11*('ПЛАН ЧИСТ К3'!I17*СПРАВОЧНИК!$L$11+'ПЛАН ЧИСТ К3'!J17*СПРАВОЧНИК!$M$11+'ПЛАН ЧИСТ К3'!K17*СПРАВОЧНИК!$N$11)+СПРАВОЧНИК!$F$12*('ПЛАН ЧИСТ К3'!L17*СПРАВОЧНИК!$L$12+'ПЛАН ЧИСТ К3'!M17*СПРАВОЧНИК!$M$12+'ПЛАН ЧИСТ К3'!N17*СПРАВОЧНИК!$N$12)+СПРАВОЧНИК!$F$13*('ПЛАН ЧИСТ К3'!O17*СПРАВОЧНИК!$L$13+'ПЛАН ЧИСТ К3'!P17*СПРАВОЧНИК!$M$13+'ПЛАН ЧИСТ К3'!Q17*СПРАВОЧНИК!$N$13)+СПРАВОЧНИК!$F$14*('ПЛАН ЧИСТ К3'!R17*СПРАВОЧНИК!$L$14+'ПЛАН ЧИСТ К3'!S17*СПРАВОЧНИК!$M$14+'ПЛАН ЧИСТ К3'!T17*СПРАВОЧНИК!$N$14)+СПРАВОЧНИК!$F$15*('ПЛАН ЧИСТ К3'!U17*СПРАВОЧНИК!$L$15+'ПЛАН ЧИСТ К3'!V17*СПРАВОЧНИК!$M$15+'ПЛАН ЧИСТ К3'!W17*СПРАВОЧНИК!$N$15)</f>
        <v>0</v>
      </c>
      <c r="BG26" s="40">
        <f>СПРАВОЧНИК!$E$9*(('ФАКТ ЧЕРН К3'!B17)*СПРАВОЧНИК!$H$9+('ФАКТ ЧЕРН К3'!C17)*СПРАВОЧНИК!$I$9+('ФАКТ ЧЕРН К3'!D17)*СПРАВОЧНИК!$J$9)+СПРАВОЧНИК!$E$10*(('ФАКТ ЧЕРН К3'!E17)*СПРАВОЧНИК!$H$10+('ФАКТ ЧЕРН К3'!F17)*СПРАВОЧНИК!$I$10+('ФАКТ ЧЕРН К3'!G17)*СПРАВОЧНИК!$J$10)+СПРАВОЧНИК!$E$11*(('ФАКТ ЧЕРН К3'!H17)*СПРАВОЧНИК!$H$11+('ФАКТ ЧЕРН К3'!I17)*СПРАВОЧНИК!$I$11+('ФАКТ ЧЕРН К3'!J17)*СПРАВОЧНИК!$J$11)+СПРАВОЧНИК!$E$12*(('ФАКТ ЧЕРН К3'!K17)*СПРАВОЧНИК!$H$12+('ФАКТ ЧЕРН К3'!L17)*СПРАВОЧНИК!$I$12+('ФАКТ ЧЕРН К3'!M17)*СПРАВОЧНИК!$J$12)+СПРАВОЧНИК!$E$13*(('ФАКТ ЧЕРН К3'!N17)*СПРАВОЧНИК!$H$13+('ФАКТ ЧЕРН К3'!O17)*СПРАВОЧНИК!$I$13+('ФАКТ ЧЕРН К3'!P17)*СПРАВОЧНИК!$J$13)+СПРАВОЧНИК!$E$14*(('ФАКТ ЧЕРН К3'!Q17)*СПРАВОЧНИК!$H$14+('ФАКТ ЧЕРН К3'!R17)*СПРАВОЧНИК!$I$14+('ФАКТ ЧЕРН К3'!S17)*СПРАВОЧНИК!$J$14)+СПРАВОЧНИК!$E$15*(('ФАКТ ЧЕРН К3'!T17)*СПРАВОЧНИК!$H$15+('ФАКТ ЧЕРН К3'!U17)*СПРАВОЧНИК!$I$15+('ФАКТ ЧЕРН К3'!V17)*СПРАВОЧНИК!$J$15)+СПРАВОЧНИК!$F$9*(('ФАКТ ЧИСТ К3'!B17)*СПРАВОЧНИК!$L$9+('ФАКТ ЧИСТ К3'!C17)*СПРАВОЧНИК!$M$9+('ФАКТ ЧИСТ К3'!D17)*СПРАВОЧНИК!$N$9+('ФАКТ ЧИСТ К3'!E17)*СПРАВОЧНИК!$O$9)+СПРАВОЧНИК!$F$10*(('ФАКТ ЧИСТ К3'!F17)*СПРАВОЧНИК!$L$10+('ФАКТ ЧИСТ К3'!G17)*СПРАВОЧНИК!$M$10+('ФАКТ ЧИСТ К3'!H17)*СПРАВОЧНИК!$N$10)+СПРАВОЧНИК!$F$11*(('ФАКТ ЧИСТ К3'!I17)*СПРАВОЧНИК!$L$11+('ФАКТ ЧИСТ К3'!J17)*СПРАВОЧНИК!$M$11+('ФАКТ ЧИСТ К3'!K17)*СПРАВОЧНИК!$N$11)+СПРАВОЧНИК!$F$12*(('ФАКТ ЧИСТ К3'!L17)*СПРАВОЧНИК!$L$12+('ФАКТ ЧИСТ К3'!M17)*СПРАВОЧНИК!$M$12+('ФАКТ ЧИСТ К3'!N17)*СПРАВОЧНИК!$N$12)+СПРАВОЧНИК!$F$13*(('ФАКТ ЧИСТ К3'!O17)*СПРАВОЧНИК!$L$13+('ФАКТ ЧИСТ К3'!P17)*СПРАВОЧНИК!$M$13+('ФАКТ ЧИСТ К3'!Q17)*СПРАВОЧНИК!$N$13)+СПРАВОЧНИК!$F$14*(('ФАКТ ЧИСТ К3'!R17)*СПРАВОЧНИК!$L$14+('ФАКТ ЧИСТ К3'!S17)*СПРАВОЧНИК!$M$14+('ФАКТ ЧИСТ К3'!T17)*СПРАВОЧНИК!$N$14)+СПРАВОЧНИК!$F$15*(('ФАКТ ЧИСТ К3'!U17)*СПРАВОЧНИК!$L$15+('ФАКТ ЧИСТ К3'!V17)*СПРАВОЧНИК!$M$15+('ФАКТ ЧИСТ К3'!W17)*СПРАВОЧНИК!$N$15)</f>
        <v>0</v>
      </c>
      <c r="BK26" s="18">
        <f t="shared" si="22"/>
        <v>46258</v>
      </c>
      <c r="BL26" s="37">
        <f>'ПЛАН ЧЕРН К3'!B17*СПРАВОЧНИК!$H$9+'ПЛАН ЧЕРН К3'!C17*СПРАВОЧНИК!$I$9+'ПЛАН ЧЕРН К3'!D17*СПРАВОЧНИК!$J$9+'ПЛАН ЧЕРН К3'!E17*СПРАВОЧНИК!$H$10+'ПЛАН ЧЕРН К3'!F17*СПРАВОЧНИК!$I$10+'ПЛАН ЧЕРН К3'!G17*СПРАВОЧНИК!$J$10+'ПЛАН ЧЕРН К3'!H17*СПРАВОЧНИК!$H$11+'ПЛАН ЧЕРН К3'!I17*СПРАВОЧНИК!$I$11+'ПЛАН ЧЕРН К3'!J17*СПРАВОЧНИК!$J$11+'ПЛАН ЧЕРН К3'!K17*СПРАВОЧНИК!$H$12+'ПЛАН ЧЕРН К3'!L17*СПРАВОЧНИК!$I$12+'ПЛАН ЧЕРН К3'!M17*СПРАВОЧНИК!$J$12+'ПЛАН ЧЕРН К3'!N17*СПРАВОЧНИК!$H$13+'ПЛАН ЧЕРН К3'!O17*СПРАВОЧНИК!$I$13+'ПЛАН ЧЕРН К3'!P17*СПРАВОЧНИК!$J$13+'ПЛАН ЧЕРН К3'!Q17*СПРАВОЧНИК!$H$14+'ПЛАН ЧЕРН К3'!R17*СПРАВОЧНИК!$I$14+'ПЛАН ЧЕРН К3'!S17*СПРАВОЧНИК!$J$14+'ПЛАН ЧЕРН К3'!T17*СПРАВОЧНИК!$H$15+'ПЛАН ЧЕРН К3'!U17*СПРАВОЧНИК!$I$15+'ПЛАН ЧЕРН К3'!V17*СПРАВОЧНИК!$J$15</f>
        <v>0</v>
      </c>
      <c r="BM26" s="40">
        <f>('ФАКТ ЧЕРН К3'!B17)*СПРАВОЧНИК!$H$9+('ФАКТ ЧЕРН К3'!C17)*СПРАВОЧНИК!$I$9+('ФАКТ ЧЕРН К3'!D17)*СПРАВОЧНИК!$J$9+('ФАКТ ЧЕРН К3'!E17)*СПРАВОЧНИК!$H$10+('ФАКТ ЧЕРН К3'!F17)*СПРАВОЧНИК!$I$10+('ФАКТ ЧЕРН К3'!G17)*СПРАВОЧНИК!$J$10+('ФАКТ ЧЕРН К3'!H17)*СПРАВОЧНИК!$H$11+('ФАКТ ЧЕРН К3'!I17)*СПРАВОЧНИК!$I$11+('ФАКТ ЧЕРН К3'!J17)*СПРАВОЧНИК!$J$11+('ФАКТ ЧЕРН К3'!K17)*СПРАВОЧНИК!$H$12+('ФАКТ ЧЕРН К3'!L17)*СПРАВОЧНИК!$I$12+('ФАКТ ЧЕРН К3'!M17)*СПРАВОЧНИК!$J$12+('ФАКТ ЧЕРН К3'!N17)*СПРАВОЧНИК!$H$13+('ФАКТ ЧЕРН К3'!O17)*СПРАВОЧНИК!$I$13+('ФАКТ ЧЕРН К3'!P17)*СПРАВОЧНИК!$J$13+('ФАКТ ЧЕРН К3'!Q17)*СПРАВОЧНИК!$H$14+('ФАКТ ЧЕРН К3'!R17)*СПРАВОЧНИК!$I$14+('ФАКТ ЧЕРН К3'!S17)*СПРАВОЧНИК!$J$14+('ФАКТ ЧЕРН К3'!T17)*СПРАВОЧНИК!$H$15+('ФАКТ ЧЕРН К3'!U17)*СПРАВОЧНИК!$I$15+('ФАКТ ЧЕРН К3'!V17)*СПРАВОЧНИК!$J$15</f>
        <v>0</v>
      </c>
      <c r="BQ26" s="18">
        <f t="shared" si="23"/>
        <v>46258</v>
      </c>
      <c r="BR26" s="37">
        <f>'ПЛАН ЧИСТ К3'!B17*СПРАВОЧНИК!$L$9+'ПЛАН ЧИСТ К3'!C17*СПРАВОЧНИК!$M$9+'ПЛАН ЧИСТ К3'!D17*СПРАВОЧНИК!$N$9+'ПЛАН ЧИСТ К3'!E17*СПРАВОЧНИК!$O$9+'ПЛАН ЧИСТ К3'!F17*СПРАВОЧНИК!$L$10+'ПЛАН ЧИСТ К3'!G17*СПРАВОЧНИК!$M$10+'ПЛАН ЧИСТ К3'!H17*СПРАВОЧНИК!$N$10+'ПЛАН ЧИСТ К3'!I17*СПРАВОЧНИК!$L$11+'ПЛАН ЧИСТ К3'!J17*СПРАВОЧНИК!$M$11+'ПЛАН ЧИСТ К3'!K17*СПРАВОЧНИК!$N$11+'ПЛАН ЧИСТ К3'!L17*СПРАВОЧНИК!$L$12+'ПЛАН ЧИСТ К3'!M17*СПРАВОЧНИК!$M$12+'ПЛАН ЧИСТ К3'!N17*СПРАВОЧНИК!$N$12+'ПЛАН ЧИСТ К3'!O17*СПРАВОЧНИК!$L$13+'ПЛАН ЧИСТ К3'!P17*СПРАВОЧНИК!$M$13+'ПЛАН ЧИСТ К3'!Q17*СПРАВОЧНИК!$N$13+'ПЛАН ЧИСТ К3'!R17*СПРАВОЧНИК!$L$14+'ПЛАН ЧИСТ К3'!S17*СПРАВОЧНИК!$M$14+'ПЛАН ЧИСТ К3'!T17*СПРАВОЧНИК!$N$14+'ПЛАН ЧИСТ К3'!U17*СПРАВОЧНИК!$L$15+'ПЛАН ЧИСТ К3'!V17*СПРАВОЧНИК!$M$15+'ПЛАН ЧИСТ К3'!W17*СПРАВОЧНИК!$N$15</f>
        <v>0</v>
      </c>
      <c r="BS26" s="40">
        <f>('ФАКТ ЧИСТ К3'!B17)*СПРАВОЧНИК!$L$9+('ФАКТ ЧИСТ К3'!C17)*СПРАВОЧНИК!$M$9+('ФАКТ ЧИСТ К3'!D17)*СПРАВОЧНИК!$N$9+('ФАКТ ЧИСТ К3'!E17)*СПРАВОЧНИК!$O$9+('ФАКТ ЧИСТ К3'!F17)*СПРАВОЧНИК!$L$10+('ФАКТ ЧИСТ К3'!G17)*СПРАВОЧНИК!$M$10+('ФАКТ ЧИСТ К3'!H17)*СПРАВОЧНИК!$N$10+('ФАКТ ЧИСТ К3'!I17)*СПРАВОЧНИК!$L$11+('ФАКТ ЧИСТ К3'!J17)*СПРАВОЧНИК!$M$11+('ФАКТ ЧИСТ К3'!K17)*СПРАВОЧНИК!$N$11+('ФАКТ ЧИСТ К3'!L17)*СПРАВОЧНИК!$L$12+('ФАКТ ЧИСТ К3'!M17)*СПРАВОЧНИК!$M$12+('ФАКТ ЧИСТ К3'!N17)*СПРАВОЧНИК!$N$12+('ФАКТ ЧИСТ К3'!O17)*СПРАВОЧНИК!$L$13+('ФАКТ ЧИСТ К3'!P17)*СПРАВОЧНИК!$M$13+('ФАКТ ЧИСТ К3'!Q17)*СПРАВОЧНИК!$N$13+('ФАКТ ЧИСТ К3'!R17)*СПРАВОЧНИК!$L$14+('ФАКТ ЧИСТ К3'!S17)*СПРАВОЧНИК!$M$14+('ФАКТ ЧИСТ К3'!T17)*СПРАВОЧНИК!$N$14+('ФАКТ ЧИСТ К3'!U17)*СПРАВОЧНИК!$L$15+('ФАКТ ЧИСТ К3'!V17)*СПРАВОЧНИК!$M$15+('ФАКТ ЧИСТ К3'!W17)*СПРАВОЧНИК!$N$15</f>
        <v>0</v>
      </c>
      <c r="BW26" s="18">
        <f t="shared" si="24"/>
        <v>46258</v>
      </c>
      <c r="BX26" s="37">
        <f t="shared" si="0"/>
        <v>0</v>
      </c>
      <c r="BY26" s="40">
        <f t="shared" si="1"/>
        <v>0</v>
      </c>
      <c r="CC26" s="18">
        <f t="shared" si="25"/>
        <v>46258</v>
      </c>
      <c r="CD26" s="37">
        <f t="shared" si="2"/>
        <v>0</v>
      </c>
      <c r="CE26" s="40">
        <f t="shared" si="3"/>
        <v>0</v>
      </c>
      <c r="CI26" s="18">
        <f t="shared" si="26"/>
        <v>46258</v>
      </c>
      <c r="CJ26" s="37">
        <f t="shared" si="4"/>
        <v>0</v>
      </c>
      <c r="CK26" s="40">
        <f t="shared" si="5"/>
        <v>0</v>
      </c>
      <c r="CO26" s="18">
        <f t="shared" si="27"/>
        <v>46258</v>
      </c>
      <c r="CP26" s="37">
        <f t="shared" si="6"/>
        <v>0</v>
      </c>
      <c r="CQ26" s="40">
        <f t="shared" si="7"/>
        <v>0</v>
      </c>
      <c r="CU26" s="18">
        <f t="shared" si="28"/>
        <v>46258</v>
      </c>
      <c r="CV26" s="37">
        <f t="shared" si="8"/>
        <v>0</v>
      </c>
      <c r="CW26" s="40">
        <f t="shared" si="9"/>
        <v>0</v>
      </c>
      <c r="DA26" s="18">
        <f t="shared" si="29"/>
        <v>46258</v>
      </c>
      <c r="DB26" s="37">
        <f t="shared" si="10"/>
        <v>0</v>
      </c>
      <c r="DC26" s="40">
        <f t="shared" si="11"/>
        <v>0</v>
      </c>
    </row>
    <row r="27" spans="3:107" x14ac:dyDescent="0.25">
      <c r="C27" s="18">
        <f t="shared" si="12"/>
        <v>46265</v>
      </c>
      <c r="D27" s="37">
        <f>СПРАВОЧНИК!$E$3*('ПЛАН ЧЕРН ПОДЗЕМ'!B18*СПРАВОЧНИК!$H$3+'ПЛАН ЧЕРН ПОДЗЕМ'!C18*СПРАВОЧНИК!$I$3+'ПЛАН ЧЕРН ПОДЗЕМ'!D18*СПРАВОЧНИК!$J$3)+СПРАВОЧНИК!$E$4*('ПЛАН ЧЕРН ПОДЗЕМ'!E18*СПРАВОЧНИК!$H$4+'ПЛАН ЧЕРН ПОДЗЕМ'!F18*СПРАВОЧНИК!$I$4+'ПЛАН ЧЕРН ПОДЗЕМ'!G18*СПРАВОЧНИК!$J$4)+СПРАВОЧНИК!$E$5*('ПЛАН ЧЕРН ПОДЗЕМ'!H18*СПРАВОЧНИК!$H$5+'ПЛАН ЧЕРН ПОДЗЕМ'!I18*СПРАВОЧНИК!$I$5+'ПЛАН ЧЕРН ПОДЗЕМ'!J18*СПРАВОЧНИК!$J$5)+СПРАВОЧНИК!$E$6*('ПЛАН ЧЕРН ПОДЗЕМ'!K18*СПРАВОЧНИК!$H$6+'ПЛАН ЧЕРН ПОДЗЕМ'!L18*СПРАВОЧНИК!$I$6+'ПЛАН ЧЕРН ПОДЗЕМ'!M18*СПРАВОЧНИК!$J$6)+СПРАВОЧНИК!$E$7*('ПЛАН ЧЕРН ПОДЗЕМ'!N18*СПРАВОЧНИК!$H$7+'ПЛАН ЧЕРН ПОДЗЕМ'!O18*СПРАВОЧНИК!$I$7+'ПЛАН ЧЕРН ПОДЗЕМ'!P18*СПРАВОЧНИК!$J$7)+СПРАВОЧНИК!$E$8*('ПЛАН ЧЕРН ПОДЗЕМ'!Q18*СПРАВОЧНИК!$H$8+'ПЛАН ЧЕРН ПОДЗЕМ'!R18*СПРАВОЧНИК!$I$8+'ПЛАН ЧЕРН ПОДЗЕМ'!S18*СПРАВОЧНИК!$J$8)+СПРАВОЧНИК!$F$3*('ПЛАН ЧИСТ ПОДЗЕМ'!B18*СПРАВОЧНИК!$L$3+'ПЛАН ЧИСТ ПОДЗЕМ'!C18*СПРАВОЧНИК!$M$3+'ПЛАН ЧИСТ ПОДЗЕМ'!D18*СПРАВОЧНИК!$N$3)+СПРАВОЧНИК!$F$4*('ПЛАН ЧИСТ ПОДЗЕМ'!E18*СПРАВОЧНИК!$L$4+'ПЛАН ЧИСТ ПОДЗЕМ'!F18*СПРАВОЧНИК!$M$4+'ПЛАН ЧИСТ ПОДЗЕМ'!G18*СПРАВОЧНИК!$N$4)+СПРАВОЧНИК!$F$5*('ПЛАН ЧИСТ ПОДЗЕМ'!H18*СПРАВОЧНИК!$L$5+'ПЛАН ЧИСТ ПОДЗЕМ'!I18*СПРАВОЧНИК!$M$5+'ПЛАН ЧИСТ ПОДЗЕМ'!J18*СПРАВОЧНИК!$N$5)+СПРАВОЧНИК!$F$6*('ПЛАН ЧИСТ ПОДЗЕМ'!K18*СПРАВОЧНИК!$L$6+'ПЛАН ЧИСТ ПОДЗЕМ'!L18*СПРАВОЧНИК!$M$6+'ПЛАН ЧИСТ ПОДЗЕМ'!M18*СПРАВОЧНИК!$N$6)+СПРАВОЧНИК!$F$7*('ПЛАН ЧИСТ ПОДЗЕМ'!N18*СПРАВОЧНИК!$L$7+'ПЛАН ЧИСТ ПОДЗЕМ'!O18*СПРАВОЧНИК!$M$7+'ПЛАН ЧИСТ ПОДЗЕМ'!P18*СПРАВОЧНИК!$N$7)+СПРАВОЧНИК!$F$8*('ПЛАН ЧИСТ ПОДЗЕМ'!Q18*СПРАВОЧНИК!$L$8+'ПЛАН ЧИСТ ПОДЗЕМ'!R18*СПРАВОЧНИК!$M$8+'ПЛАН ЧИСТ ПОДЗЕМ'!S18*СПРАВОЧНИК!$N$8)</f>
        <v>0</v>
      </c>
      <c r="E27" s="40">
        <f>СПРАВОЧНИК!$E$3*(('ФАКТ ЧЕРН ПОДЗЕМ'!B18)*СПРАВОЧНИК!$H$3+('ФАКТ ЧЕРН ПОДЗЕМ'!C18)*СПРАВОЧНИК!$I$3+('ФАКТ ЧЕРН ПОДЗЕМ'!D18)*СПРАВОЧНИК!$J$3)+СПРАВОЧНИК!$E$4*(('ФАКТ ЧЕРН ПОДЗЕМ'!E18)*СПРАВОЧНИК!$H$4+('ФАКТ ЧЕРН ПОДЗЕМ'!F18)*СПРАВОЧНИК!$I$4+('ФАКТ ЧЕРН ПОДЗЕМ'!G18)*СПРАВОЧНИК!$J$4)+СПРАВОЧНИК!$E$5*(('ФАКТ ЧЕРН ПОДЗЕМ'!H18)*СПРАВОЧНИК!$H$5+('ФАКТ ЧЕРН ПОДЗЕМ'!I18)*СПРАВОЧНИК!$I$5+('ФАКТ ЧЕРН ПОДЗЕМ'!J18)*СПРАВОЧНИК!$J$5)+СПРАВОЧНИК!$E$6*(('ФАКТ ЧЕРН ПОДЗЕМ'!K18)*СПРАВОЧНИК!$H$6+('ФАКТ ЧЕРН ПОДЗЕМ'!L18)*СПРАВОЧНИК!$I$6+('ФАКТ ЧЕРН ПОДЗЕМ'!M18)*СПРАВОЧНИК!$J$6)+СПРАВОЧНИК!$E$7*(('ФАКТ ЧЕРН ПОДЗЕМ'!N18)*СПРАВОЧНИК!$H$7+('ФАКТ ЧЕРН ПОДЗЕМ'!O18)*СПРАВОЧНИК!$I$7+('ФАКТ ЧЕРН ПОДЗЕМ'!P18)*СПРАВОЧНИК!$J$7)+СПРАВОЧНИК!$E$8*(('ФАКТ ЧЕРН ПОДЗЕМ'!Q18)*СПРАВОЧНИК!$H$8+('ФАКТ ЧЕРН ПОДЗЕМ'!R18)*СПРАВОЧНИК!$I$8+('ФАКТ ЧЕРН ПОДЗЕМ'!S18)*СПРАВОЧНИК!$J$8)+СПРАВОЧНИК!$F$3*(('ФАКТ ЧИСТ ПОДЗЕМ'!B18)*СПРАВОЧНИК!$L$3+('ФАКТ ЧИСТ ПОДЗЕМ'!C18)*СПРАВОЧНИК!$M$3+('ФАКТ ЧИСТ ПОДЗЕМ'!D18)*СПРАВОЧНИК!$N$3)+СПРАВОЧНИК!$F$4*(('ФАКТ ЧИСТ ПОДЗЕМ'!E18)*СПРАВОЧНИК!$L$4+('ФАКТ ЧИСТ ПОДЗЕМ'!F18)*СПРАВОЧНИК!$M$4+('ФАКТ ЧИСТ ПОДЗЕМ'!G18)*СПРАВОЧНИК!$N$4)+СПРАВОЧНИК!$F$5*(('ФАКТ ЧИСТ ПОДЗЕМ'!H18)*СПРАВОЧНИК!$L$5+('ФАКТ ЧИСТ ПОДЗЕМ'!I18)*СПРАВОЧНИК!$M$5+('ФАКТ ЧИСТ ПОДЗЕМ'!J18)*СПРАВОЧНИК!$N$5)+СПРАВОЧНИК!$F$6*(('ФАКТ ЧИСТ ПОДЗЕМ'!K18)*СПРАВОЧНИК!$L$6+('ФАКТ ЧИСТ ПОДЗЕМ'!L18)*СПРАВОЧНИК!$M$6+('ФАКТ ЧИСТ ПОДЗЕМ'!M18)*СПРАВОЧНИК!$N$6)+СПРАВОЧНИК!$F$7*(('ФАКТ ЧИСТ ПОДЗЕМ'!N18)*СПРАВОЧНИК!$L$7+('ФАКТ ЧИСТ ПОДЗЕМ'!O18)*СПРАВОЧНИК!$M$7+('ФАКТ ЧИСТ ПОДЗЕМ'!P18)*СПРАВОЧНИК!$N$7)+СПРАВОЧНИК!$F$8*(('ФАКТ ЧИСТ ПОДЗЕМ'!Q18)*СПРАВОЧНИК!$L$8+('ФАКТ ЧИСТ ПОДЗЕМ'!R18)*СПРАВОЧНИК!$M$8+('ФАКТ ЧИСТ ПОДЗЕМ'!S18)*СПРАВОЧНИК!$N$8)</f>
        <v>0</v>
      </c>
      <c r="I27" s="18">
        <f t="shared" si="13"/>
        <v>46265</v>
      </c>
      <c r="J27" s="37">
        <f>'ПЛАН ЧЕРН ПОДЗЕМ'!B18*СПРАВОЧНИК!$H$3+'ПЛАН ЧЕРН ПОДЗЕМ'!C18*СПРАВОЧНИК!$I$3+'ПЛАН ЧЕРН ПОДЗЕМ'!D18*СПРАВОЧНИК!$J$3+'ПЛАН ЧЕРН ПОДЗЕМ'!E18*СПРАВОЧНИК!$H$4+'ПЛАН ЧЕРН ПОДЗЕМ'!F18*СПРАВОЧНИК!$I$4+'ПЛАН ЧЕРН ПОДЗЕМ'!G18*СПРАВОЧНИК!$J$4+'ПЛАН ЧЕРН ПОДЗЕМ'!H18*СПРАВОЧНИК!$H$5+'ПЛАН ЧЕРН ПОДЗЕМ'!I18*СПРАВОЧНИК!$I$5+'ПЛАН ЧЕРН ПОДЗЕМ'!J18*СПРАВОЧНИК!$J$5+'ПЛАН ЧЕРН ПОДЗЕМ'!K18*СПРАВОЧНИК!$H$6+'ПЛАН ЧЕРН ПОДЗЕМ'!L18*СПРАВОЧНИК!$I$6+'ПЛАН ЧЕРН ПОДЗЕМ'!M18*СПРАВОЧНИК!$J$6+'ПЛАН ЧЕРН ПОДЗЕМ'!N18*СПРАВОЧНИК!$H$7+'ПЛАН ЧЕРН ПОДЗЕМ'!O18*СПРАВОЧНИК!$I$7+'ПЛАН ЧЕРН ПОДЗЕМ'!P18*СПРАВОЧНИК!$J$7+'ПЛАН ЧЕРН ПОДЗЕМ'!Q18*СПРАВОЧНИК!$H$8+'ПЛАН ЧЕРН ПОДЗЕМ'!R18*СПРАВОЧНИК!$I$8+'ПЛАН ЧЕРН ПОДЗЕМ'!S18*СПРАВОЧНИК!$J$8</f>
        <v>0</v>
      </c>
      <c r="K27" s="40">
        <f>('ФАКТ ЧЕРН ПОДЗЕМ'!B18)*СПРАВОЧНИК!$H$3+('ФАКТ ЧЕРН ПОДЗЕМ'!C18)*СПРАВОЧНИК!$I$3+('ФАКТ ЧЕРН ПОДЗЕМ'!D18)*СПРАВОЧНИК!$J$3+('ФАКТ ЧЕРН ПОДЗЕМ'!E18)*СПРАВОЧНИК!$H$4+('ФАКТ ЧЕРН ПОДЗЕМ'!F18)*СПРАВОЧНИК!$I$4+('ФАКТ ЧЕРН ПОДЗЕМ'!G18)*СПРАВОЧНИК!$J$4+('ФАКТ ЧЕРН ПОДЗЕМ'!H18)*СПРАВОЧНИК!$H$5+('ФАКТ ЧЕРН ПОДЗЕМ'!I18)*СПРАВОЧНИК!$I$5+('ФАКТ ЧЕРН ПОДЗЕМ'!J18)*СПРАВОЧНИК!$J$5+('ФАКТ ЧЕРН ПОДЗЕМ'!K18)*СПРАВОЧНИК!$H$6+('ФАКТ ЧЕРН ПОДЗЕМ'!L18)*СПРАВОЧНИК!$I$6+('ФАКТ ЧЕРН ПОДЗЕМ'!M18)*СПРАВОЧНИК!$J$6+('ФАКТ ЧЕРН ПОДЗЕМ'!N18)*СПРАВОЧНИК!$H$7+('ФАКТ ЧЕРН ПОДЗЕМ'!O18)*СПРАВОЧНИК!$I$7+('ФАКТ ЧЕРН ПОДЗЕМ'!P18)*СПРАВОЧНИК!$J$7+('ФАКТ ЧЕРН ПОДЗЕМ'!Q18)*СПРАВОЧНИК!$H$8+('ФАКТ ЧЕРН ПОДЗЕМ'!R18)*СПРАВОЧНИК!$I$8+('ФАКТ ЧЕРН ПОДЗЕМ'!S18)*СПРАВОЧНИК!$J$8</f>
        <v>0</v>
      </c>
      <c r="O27" s="18">
        <f t="shared" si="14"/>
        <v>46265</v>
      </c>
      <c r="P27" s="37">
        <f>'ПЛАН ЧИСТ ПОДЗЕМ'!B18*СПРАВОЧНИК!$L$3+'ПЛАН ЧИСТ ПОДЗЕМ'!C18*СПРАВОЧНИК!$M$3+'ПЛАН ЧИСТ ПОДЗЕМ'!D18*СПРАВОЧНИК!$N$3+'ПЛАН ЧИСТ ПОДЗЕМ'!E18*СПРАВОЧНИК!$L$4+'ПЛАН ЧИСТ ПОДЗЕМ'!F18*СПРАВОЧНИК!$M$4+'ПЛАН ЧИСТ ПОДЗЕМ'!G18*СПРАВОЧНИК!$N$4+'ПЛАН ЧИСТ ПОДЗЕМ'!H18*СПРАВОЧНИК!$L$5+'ПЛАН ЧИСТ ПОДЗЕМ'!I18*СПРАВОЧНИК!$M$5+'ПЛАН ЧИСТ ПОДЗЕМ'!J18*СПРАВОЧНИК!$N$5+'ПЛАН ЧИСТ ПОДЗЕМ'!K18*СПРАВОЧНИК!$L$6+'ПЛАН ЧИСТ ПОДЗЕМ'!L18*СПРАВОЧНИК!$M$6+'ПЛАН ЧИСТ ПОДЗЕМ'!M18*СПРАВОЧНИК!$N$6+'ПЛАН ЧИСТ ПОДЗЕМ'!N18*СПРАВОЧНИК!$L$7+'ПЛАН ЧИСТ ПОДЗЕМ'!O18*СПРАВОЧНИК!$M$7+'ПЛАН ЧИСТ ПОДЗЕМ'!P18*СПРАВОЧНИК!$N$7+'ПЛАН ЧИСТ ПОДЗЕМ'!Q18*СПРАВОЧНИК!$L$8+'ПЛАН ЧИСТ ПОДЗЕМ'!R18*СПРАВОЧНИК!$M$8+'ПЛАН ЧИСТ ПОДЗЕМ'!S18*СПРАВОЧНИК!$N$8</f>
        <v>0</v>
      </c>
      <c r="Q27" s="40">
        <f>('ФАКТ ЧИСТ ПОДЗЕМ'!B18)*СПРАВОЧНИК!$L$3+('ФАКТ ЧИСТ ПОДЗЕМ'!C18)*СПРАВОЧНИК!$M$3+('ФАКТ ЧИСТ ПОДЗЕМ'!D18)*СПРАВОЧНИК!$N$3+('ФАКТ ЧИСТ ПОДЗЕМ'!E18)*СПРАВОЧНИК!$L$4+('ФАКТ ЧИСТ ПОДЗЕМ'!F18)*СПРАВОЧНИК!$M$4+('ФАКТ ЧИСТ ПОДЗЕМ'!G18)*СПРАВОЧНИК!$N$4+('ФАКТ ЧИСТ ПОДЗЕМ'!H18)*СПРАВОЧНИК!$L$5+('ФАКТ ЧИСТ ПОДЗЕМ'!I18)*СПРАВОЧНИК!$M$5+('ФАКТ ЧИСТ ПОДЗЕМ'!J18)*СПРАВОЧНИК!$N$5+('ФАКТ ЧИСТ ПОДЗЕМ'!K18)*СПРАВОЧНИК!$L$6+('ФАКТ ЧИСТ ПОДЗЕМ'!L18)*СПРАВОЧНИК!$M$6+('ФАКТ ЧИСТ ПОДЗЕМ'!M18)*СПРАВОЧНИК!$N$6+('ФАКТ ЧИСТ ПОДЗЕМ'!N18)*СПРАВОЧНИК!$L$7+('ФАКТ ЧИСТ ПОДЗЕМ'!O18)*СПРАВОЧНИК!$M$7+('ФАКТ ЧИСТ ПОДЗЕМ'!P18)*СПРАВОЧНИК!$N$7+('ФАКТ ЧИСТ ПОДЗЕМ'!Q18)*СПРАВОЧНИК!$L$8+('ФАКТ ЧИСТ ПОДЗЕМ'!R18)*СПРАВОЧНИК!$M$8+('ФАКТ ЧИСТ ПОДЗЕМ'!S18)*СПРАВОЧНИК!$N$8</f>
        <v>0</v>
      </c>
      <c r="U27" s="18">
        <f t="shared" si="15"/>
        <v>46265</v>
      </c>
      <c r="V27" s="37">
        <f>СПРАВОЧНИК!$E$9*('ПЛАН ЧЕРН К1'!B18*СПРАВОЧНИК!$H$9+'ПЛАН ЧЕРН К1'!C18*СПРАВОЧНИК!$I$9+'ПЛАН ЧЕРН К1'!D18*СПРАВОЧНИК!$J$9)+СПРАВОЧНИК!$E$10*('ПЛАН ЧЕРН К1'!E18*СПРАВОЧНИК!$H$10+'ПЛАН ЧЕРН К1'!F18*СПРАВОЧНИК!$I$10+'ПЛАН ЧЕРН К1'!G18*СПРАВОЧНИК!$J$10)+СПРАВОЧНИК!$E$11*('ПЛАН ЧЕРН К1'!H18*СПРАВОЧНИК!$H$11+'ПЛАН ЧЕРН К1'!I18*СПРАВОЧНИК!$I$11+'ПЛАН ЧЕРН К1'!J18*СПРАВОЧНИК!$J$11)+СПРАВОЧНИК!$E$12*('ПЛАН ЧЕРН К1'!K18*СПРАВОЧНИК!$H$12+'ПЛАН ЧЕРН К1'!L18*СПРАВОЧНИК!$I$12+'ПЛАН ЧЕРН К1'!M18*СПРАВОЧНИК!$J$12)+СПРАВОЧНИК!$E$13*('ПЛАН ЧЕРН К1'!N18*СПРАВОЧНИК!$H$13+'ПЛАН ЧЕРН К1'!O18*СПРАВОЧНИК!$I$13+'ПЛАН ЧЕРН К1'!P18*СПРАВОЧНИК!$J$13)+СПРАВОЧНИК!$E$14*('ПЛАН ЧЕРН К1'!Q18*СПРАВОЧНИК!$H$14+'ПЛАН ЧЕРН К1'!R18*СПРАВОЧНИК!$I$14+'ПЛАН ЧЕРН К1'!S18*СПРАВОЧНИК!$J$14)+СПРАВОЧНИК!$E$15*('ПЛАН ЧЕРН К1'!T18*СПРАВОЧНИК!$H$15+'ПЛАН ЧЕРН К1'!U18*СПРАВОЧНИК!$I$15+'ПЛАН ЧЕРН К1'!V18*СПРАВОЧНИК!$J$15)+СПРАВОЧНИК!$F$9*('ПЛАН ЧИСТ К1'!B18*СПРАВОЧНИК!$L$9+'ПЛАН ЧИСТ К1'!C18*СПРАВОЧНИК!$M$9+'ПЛАН ЧИСТ К1'!D18*СПРАВОЧНИК!$N$9+'ПЛАН ЧИСТ К1'!E18*СПРАВОЧНИК!$O$9)+СПРАВОЧНИК!$F$10*('ПЛАН ЧИСТ К1'!F18*СПРАВОЧНИК!$L$10+'ПЛАН ЧИСТ К1'!G18*СПРАВОЧНИК!$M$10+'ПЛАН ЧИСТ К1'!H18*СПРАВОЧНИК!$N$10)+СПРАВОЧНИК!$F$11*('ПЛАН ЧИСТ К1'!I18*СПРАВОЧНИК!$L$11+'ПЛАН ЧИСТ К1'!J18*СПРАВОЧНИК!$M$11+'ПЛАН ЧИСТ К1'!K18*СПРАВОЧНИК!$N$11)+СПРАВОЧНИК!$F$12*('ПЛАН ЧИСТ К1'!L18*СПРАВОЧНИК!$L$12+'ПЛАН ЧИСТ К1'!M18*СПРАВОЧНИК!$M$12+'ПЛАН ЧИСТ К1'!N18*СПРАВОЧНИК!$N$12)+СПРАВОЧНИК!$F$13*('ПЛАН ЧИСТ К1'!O18*СПРАВОЧНИК!$L$13+'ПЛАН ЧИСТ К1'!P18*СПРАВОЧНИК!$M$13+'ПЛАН ЧИСТ К1'!Q18*СПРАВОЧНИК!$N$13)+СПРАВОЧНИК!$F$14*('ПЛАН ЧИСТ К1'!R18*СПРАВОЧНИК!$L$14+'ПЛАН ЧИСТ К1'!S18*СПРАВОЧНИК!$M$14+'ПЛАН ЧИСТ К1'!T18*СПРАВОЧНИК!$N$14)+СПРАВОЧНИК!$F$15*('ПЛАН ЧИСТ К1'!U18*СПРАВОЧНИК!$L$15+'ПЛАН ЧИСТ К1'!V18*СПРАВОЧНИК!$M$15+'ПЛАН ЧИСТ К1'!W18*СПРАВОЧНИК!$N$15)</f>
        <v>0</v>
      </c>
      <c r="W27" s="40">
        <f>СПРАВОЧНИК!$E$9*(('ФАКТ ЧЕРН К1'!B18)*СПРАВОЧНИК!$H$9+('ФАКТ ЧЕРН К1'!C18)*СПРАВОЧНИК!$I$9+('ФАКТ ЧЕРН К1'!D18)*СПРАВОЧНИК!$J$9)+СПРАВОЧНИК!$E$10*(('ФАКТ ЧЕРН К1'!E18)*СПРАВОЧНИК!$H$10+('ФАКТ ЧЕРН К1'!F18)*СПРАВОЧНИК!$I$10+('ФАКТ ЧЕРН К1'!G18)*СПРАВОЧНИК!$J$10)+СПРАВОЧНИК!$E$11*(('ФАКТ ЧЕРН К1'!H18)*СПРАВОЧНИК!$H$11+('ФАКТ ЧЕРН К1'!I18)*СПРАВОЧНИК!$I$11+('ФАКТ ЧЕРН К1'!J18)*СПРАВОЧНИК!$J$11)+СПРАВОЧНИК!$E$12*(('ФАКТ ЧЕРН К1'!K18)*СПРАВОЧНИК!$H$12+('ФАКТ ЧЕРН К1'!L18)*СПРАВОЧНИК!$I$12+('ФАКТ ЧЕРН К1'!M18)*СПРАВОЧНИК!$J$12)+СПРАВОЧНИК!$E$13*(('ФАКТ ЧЕРН К1'!N18)*СПРАВОЧНИК!$H$13+('ФАКТ ЧЕРН К1'!O18)*СПРАВОЧНИК!$I$13+('ФАКТ ЧЕРН К1'!P18)*СПРАВОЧНИК!$J$13)+СПРАВОЧНИК!$E$14*(('ФАКТ ЧЕРН К1'!Q18)*СПРАВОЧНИК!$H$14+('ФАКТ ЧЕРН К1'!R18)*СПРАВОЧНИК!$I$14+('ФАКТ ЧЕРН К1'!S18)*СПРАВОЧНИК!$J$14)+СПРАВОЧНИК!$E$15*(('ФАКТ ЧЕРН К1'!T18)*СПРАВОЧНИК!$H$15+('ФАКТ ЧЕРН К1'!U18)*СПРАВОЧНИК!$I$15+('ФАКТ ЧЕРН К1'!V18)*СПРАВОЧНИК!$J$15)+СПРАВОЧНИК!$F$9*(('ФАКТ ЧИСТ К1'!B18)*СПРАВОЧНИК!$L$9+('ФАКТ ЧИСТ К1'!C18)*СПРАВОЧНИК!$M$9+('ФАКТ ЧИСТ К1'!D18)*СПРАВОЧНИК!$N$9+('ФАКТ ЧИСТ К1'!E18)*СПРАВОЧНИК!$O$9)+СПРАВОЧНИК!$F$10*(('ФАКТ ЧИСТ К1'!F18)*СПРАВОЧНИК!$L$10+('ФАКТ ЧИСТ К1'!G18)*СПРАВОЧНИК!$M$10+('ФАКТ ЧИСТ К1'!H18)*СПРАВОЧНИК!$N$10)+СПРАВОЧНИК!$F$11*(('ФАКТ ЧИСТ К1'!I18)*СПРАВОЧНИК!$L$11+('ФАКТ ЧИСТ К1'!J18)*СПРАВОЧНИК!$M$11+('ФАКТ ЧИСТ К1'!K18)*СПРАВОЧНИК!$N$11)+СПРАВОЧНИК!$F$12*(('ФАКТ ЧИСТ К1'!L18)*СПРАВОЧНИК!$L$12+('ФАКТ ЧИСТ К1'!M18)*СПРАВОЧНИК!$M$12+('ФАКТ ЧИСТ К1'!N18)*СПРАВОЧНИК!$N$12)+СПРАВОЧНИК!$F$13*(('ФАКТ ЧИСТ К1'!O18)*СПРАВОЧНИК!$L$13+('ФАКТ ЧИСТ К1'!P18)*СПРАВОЧНИК!$M$13+('ФАКТ ЧИСТ К1'!Q18)*СПРАВОЧНИК!$N$13)+СПРАВОЧНИК!$F$14*(('ФАКТ ЧИСТ К1'!R18)*СПРАВОЧНИК!$L$14+('ФАКТ ЧИСТ К1'!S18)*СПРАВОЧНИК!$M$14+('ФАКТ ЧИСТ К1'!T18)*СПРАВОЧНИК!$N$14)+СПРАВОЧНИК!$F$15*(('ФАКТ ЧИСТ К1'!U18)*СПРАВОЧНИК!$L$15+('ФАКТ ЧИСТ К1'!V18)*СПРАВОЧНИК!$M$15+('ФАКТ ЧИСТ К1'!W18)*СПРАВОЧНИК!$N$15)</f>
        <v>0</v>
      </c>
      <c r="AA27" s="18">
        <f t="shared" si="16"/>
        <v>46265</v>
      </c>
      <c r="AB27" s="37">
        <f>'ПЛАН ЧЕРН К1'!B18*СПРАВОЧНИК!$H$9+'ПЛАН ЧЕРН К1'!C18*СПРАВОЧНИК!$I$9+'ПЛАН ЧЕРН К1'!D18*СПРАВОЧНИК!$J$9+'ПЛАН ЧЕРН К1'!E18*СПРАВОЧНИК!$H$10+'ПЛАН ЧЕРН К1'!F18*СПРАВОЧНИК!$I$10+'ПЛАН ЧЕРН К1'!G18*СПРАВОЧНИК!$J$10+'ПЛАН ЧЕРН К1'!H18*СПРАВОЧНИК!$H$11+'ПЛАН ЧЕРН К1'!I18*СПРАВОЧНИК!$I$11+'ПЛАН ЧЕРН К1'!J18*СПРАВОЧНИК!$J$11+'ПЛАН ЧЕРН К1'!K18*СПРАВОЧНИК!$H$12+'ПЛАН ЧЕРН К1'!L18*СПРАВОЧНИК!$I$12+'ПЛАН ЧЕРН К1'!M18*СПРАВОЧНИК!$J$12+'ПЛАН ЧЕРН К1'!N18*СПРАВОЧНИК!$H$13+'ПЛАН ЧЕРН К1'!O18*СПРАВОЧНИК!$I$13+'ПЛАН ЧЕРН К1'!P18*СПРАВОЧНИК!$J$13+'ПЛАН ЧЕРН К1'!Q18*СПРАВОЧНИК!$H$14+'ПЛАН ЧЕРН К1'!R18*СПРАВОЧНИК!$I$14+'ПЛАН ЧЕРН К1'!S18*СПРАВОЧНИК!$J$14+'ПЛАН ЧЕРН К1'!T18*СПРАВОЧНИК!$H$15+'ПЛАН ЧЕРН К1'!U18*СПРАВОЧНИК!$I$15+'ПЛАН ЧЕРН К1'!V18*СПРАВОЧНИК!$J$15</f>
        <v>0</v>
      </c>
      <c r="AC27" s="40">
        <f>('ФАКТ ЧЕРН К1'!B18)*СПРАВОЧНИК!$H$9+('ФАКТ ЧЕРН К1'!C18)*СПРАВОЧНИК!$I$9+('ФАКТ ЧЕРН К1'!D18)*СПРАВОЧНИК!$J$9+('ФАКТ ЧЕРН К1'!E18)*СПРАВОЧНИК!$H$10+('ФАКТ ЧЕРН К1'!F18)*СПРАВОЧНИК!$I$10+('ФАКТ ЧЕРН К1'!G18)*СПРАВОЧНИК!$J$10+('ФАКТ ЧЕРН К1'!H18)*СПРАВОЧНИК!$H$11+('ФАКТ ЧЕРН К1'!I18)*СПРАВОЧНИК!$I$11+('ФАКТ ЧЕРН К1'!J18)*СПРАВОЧНИК!$J$11+('ФАКТ ЧЕРН К1'!K18)*СПРАВОЧНИК!$H$12+('ФАКТ ЧЕРН К1'!L18)*СПРАВОЧНИК!$I$12+('ФАКТ ЧЕРН К1'!M18)*СПРАВОЧНИК!$J$12+('ФАКТ ЧЕРН К1'!N18)*СПРАВОЧНИК!$H$13+('ФАКТ ЧЕРН К1'!O18)*СПРАВОЧНИК!$I$13+('ФАКТ ЧЕРН К1'!P18)*СПРАВОЧНИК!$J$13+('ФАКТ ЧЕРН К1'!Q18)*СПРАВОЧНИК!$H$14+('ФАКТ ЧЕРН К1'!R18)*СПРАВОЧНИК!$I$14+('ФАКТ ЧЕРН К1'!S18)*СПРАВОЧНИК!$J$14+('ФАКТ ЧЕРН К1'!T18)*СПРАВОЧНИК!$H$15+('ФАКТ ЧЕРН К1'!U18)*СПРАВОЧНИК!$I$15+('ФАКТ ЧЕРН К1'!V18)*СПРАВОЧНИК!$J$15</f>
        <v>0</v>
      </c>
      <c r="AG27" s="18">
        <f t="shared" si="17"/>
        <v>46265</v>
      </c>
      <c r="AH27" s="37">
        <f>'ПЛАН ЧИСТ К1'!B18*СПРАВОЧНИК!$L$9+'ПЛАН ЧИСТ К1'!C18*СПРАВОЧНИК!$M$9+'ПЛАН ЧИСТ К1'!D18*СПРАВОЧНИК!$N$9+'ПЛАН ЧИСТ К1'!E18*СПРАВОЧНИК!$O$9+'ПЛАН ЧИСТ К1'!F18*СПРАВОЧНИК!$L$10+'ПЛАН ЧИСТ К1'!G18*СПРАВОЧНИК!$M$10+'ПЛАН ЧИСТ К1'!H18*СПРАВОЧНИК!$N$10+'ПЛАН ЧИСТ К1'!I18*СПРАВОЧНИК!$L$11+'ПЛАН ЧИСТ К1'!J18*СПРАВОЧНИК!$M$11+'ПЛАН ЧИСТ К1'!K18*СПРАВОЧНИК!$N$11+'ПЛАН ЧИСТ К1'!L18*СПРАВОЧНИК!$L$12+'ПЛАН ЧИСТ К1'!M18*СПРАВОЧНИК!$M$12+'ПЛАН ЧИСТ К1'!N18*СПРАВОЧНИК!$N$12+'ПЛАН ЧИСТ К1'!O18*СПРАВОЧНИК!$L$13+'ПЛАН ЧИСТ К1'!P18*СПРАВОЧНИК!$M$13+'ПЛАН ЧИСТ К1'!Q18*СПРАВОЧНИК!$N$13+'ПЛАН ЧИСТ К1'!R18*СПРАВОЧНИК!$L$14+'ПЛАН ЧИСТ К1'!S18*СПРАВОЧНИК!$M$14+'ПЛАН ЧИСТ К1'!T18*СПРАВОЧНИК!$N$14+'ПЛАН ЧИСТ К1'!U18*СПРАВОЧНИК!$L$15+'ПЛАН ЧИСТ К1'!V18*СПРАВОЧНИК!$M$15+'ПЛАН ЧИСТ К1'!W18*СПРАВОЧНИК!$N$15</f>
        <v>0</v>
      </c>
      <c r="AI27" s="40">
        <f>('ФАКТ ЧИСТ К1'!B18)*СПРАВОЧНИК!$L$9+('ФАКТ ЧИСТ К1'!C18)*СПРАВОЧНИК!$M$9+('ФАКТ ЧИСТ К1'!D18)*СПРАВОЧНИК!$N$9+('ФАКТ ЧИСТ К1'!E18)*СПРАВОЧНИК!$O$9+('ФАКТ ЧИСТ К1'!F18)*СПРАВОЧНИК!$L$10+('ФАКТ ЧИСТ К1'!G18)*СПРАВОЧНИК!$M$10+('ФАКТ ЧИСТ К1'!H18)*СПРАВОЧНИК!$N$10+('ФАКТ ЧИСТ К1'!I18)*СПРАВОЧНИК!$L$11+('ФАКТ ЧИСТ К1'!J18)*СПРАВОЧНИК!$M$11+('ФАКТ ЧИСТ К1'!K18)*СПРАВОЧНИК!$N$11+('ФАКТ ЧИСТ К1'!L18)*СПРАВОЧНИК!$L$12+('ФАКТ ЧИСТ К1'!M18)*СПРАВОЧНИК!$M$12+('ФАКТ ЧИСТ К1'!N18)*СПРАВОЧНИК!$N$12+('ФАКТ ЧИСТ К1'!O18)*СПРАВОЧНИК!$L$13+('ФАКТ ЧИСТ К1'!P18)*СПРАВОЧНИК!$M$13+('ФАКТ ЧИСТ К1'!Q18)*СПРАВОЧНИК!$N$13+('ФАКТ ЧИСТ К1'!R18)*СПРАВОЧНИК!$L$14+('ФАКТ ЧИСТ К1'!S18)*СПРАВОЧНИК!$M$14+('ФАКТ ЧИСТ К1'!T18)*СПРАВОЧНИК!$N$14+('ФАКТ ЧИСТ К1'!U18)*СПРАВОЧНИК!$L$15+('ФАКТ ЧИСТ К1'!V18)*СПРАВОЧНИК!$M$15+('ФАКТ ЧИСТ К1'!W18)*СПРАВОЧНИК!$N$15</f>
        <v>0</v>
      </c>
      <c r="AM27" s="18">
        <f t="shared" si="18"/>
        <v>46265</v>
      </c>
      <c r="AN27" s="37">
        <f>СПРАВОЧНИК!$E$9*('ПЛАН ЧЕРН К2'!B18*СПРАВОЧНИК!$H$9+'ПЛАН ЧЕРН К2'!C18*СПРАВОЧНИК!$I$9+'ПЛАН ЧЕРН К2'!D18*СПРАВОЧНИК!$J$9)+СПРАВОЧНИК!$E$10*('ПЛАН ЧЕРН К2'!E18*СПРАВОЧНИК!$H$10+'ПЛАН ЧЕРН К2'!F18*СПРАВОЧНИК!$I$10+'ПЛАН ЧЕРН К2'!G18*СПРАВОЧНИК!$J$10)+СПРАВОЧНИК!$E$11*('ПЛАН ЧЕРН К2'!H18*СПРАВОЧНИК!$H$11+'ПЛАН ЧЕРН К2'!I18*СПРАВОЧНИК!$I$11+'ПЛАН ЧЕРН К2'!J18*СПРАВОЧНИК!$J$11)+СПРАВОЧНИК!$E$12*('ПЛАН ЧЕРН К2'!K18*СПРАВОЧНИК!$H$12+'ПЛАН ЧЕРН К2'!L18*СПРАВОЧНИК!$I$12+'ПЛАН ЧЕРН К2'!M18*СПРАВОЧНИК!$J$12)+СПРАВОЧНИК!$E$13*('ПЛАН ЧЕРН К2'!N18*СПРАВОЧНИК!$H$13+'ПЛАН ЧЕРН К2'!O18*СПРАВОЧНИК!$I$13+'ПЛАН ЧЕРН К2'!P18*СПРАВОЧНИК!$J$13)+СПРАВОЧНИК!$E$14*('ПЛАН ЧЕРН К2'!Q18*СПРАВОЧНИК!$H$14+'ПЛАН ЧЕРН К2'!R18*СПРАВОЧНИК!$I$14+'ПЛАН ЧЕРН К2'!S18*СПРАВОЧНИК!$J$14)+СПРАВОЧНИК!$E$15*('ПЛАН ЧЕРН К2'!T18*СПРАВОЧНИК!$H$15+'ПЛАН ЧЕРН К2'!U18*СПРАВОЧНИК!$I$15+'ПЛАН ЧЕРН К2'!V18*СПРАВОЧНИК!$J$15)+СПРАВОЧНИК!$F$9*('ПЛАН ЧИСТ К2'!B18*СПРАВОЧНИК!$L$9+'ПЛАН ЧИСТ К2'!C18*СПРАВОЧНИК!$M$9+'ПЛАН ЧИСТ К2'!D18*СПРАВОЧНИК!$N$9+'ПЛАН ЧИСТ К2'!E18*СПРАВОЧНИК!$O$9)+СПРАВОЧНИК!$F$10*('ПЛАН ЧИСТ К2'!F18*СПРАВОЧНИК!$L$10+'ПЛАН ЧИСТ К2'!G18*СПРАВОЧНИК!$M$10+'ПЛАН ЧИСТ К2'!H18*СПРАВОЧНИК!$N$10)+СПРАВОЧНИК!$F$11*('ПЛАН ЧИСТ К2'!I18*СПРАВОЧНИК!$L$11+'ПЛАН ЧИСТ К2'!J18*СПРАВОЧНИК!$M$11+'ПЛАН ЧИСТ К2'!K18*СПРАВОЧНИК!$N$11)+СПРАВОЧНИК!$F$12*('ПЛАН ЧИСТ К2'!L18*СПРАВОЧНИК!$L$12+'ПЛАН ЧИСТ К2'!M18*СПРАВОЧНИК!$M$12+'ПЛАН ЧИСТ К2'!N18*СПРАВОЧНИК!$N$12)+СПРАВОЧНИК!$F$13*('ПЛАН ЧИСТ К2'!O18*СПРАВОЧНИК!$L$13+'ПЛАН ЧИСТ К2'!P18*СПРАВОЧНИК!$M$13+'ПЛАН ЧИСТ К2'!Q18*СПРАВОЧНИК!$N$13)+СПРАВОЧНИК!$F$14*('ПЛАН ЧИСТ К2'!R18*СПРАВОЧНИК!$L$14+'ПЛАН ЧИСТ К2'!S18*СПРАВОЧНИК!$M$14+'ПЛАН ЧИСТ К2'!T18*СПРАВОЧНИК!$N$14)+СПРАВОЧНИК!$F$15*('ПЛАН ЧИСТ К2'!U18*СПРАВОЧНИК!$L$15+'ПЛАН ЧИСТ К2'!V18*СПРАВОЧНИК!$M$15+'ПЛАН ЧИСТ К2'!W18*СПРАВОЧНИК!$N$15)</f>
        <v>0</v>
      </c>
      <c r="AO27" s="40">
        <f>СПРАВОЧНИК!$E$9*(('ФАКТ ЧЕРН К2'!B18)*СПРАВОЧНИК!$H$9+('ФАКТ ЧЕРН К2'!C18)*СПРАВОЧНИК!$I$9+('ФАКТ ЧЕРН К2'!D18)*СПРАВОЧНИК!$J$9)+СПРАВОЧНИК!$E$10*(('ФАКТ ЧЕРН К2'!E18)*СПРАВОЧНИК!$H$10+('ФАКТ ЧЕРН К2'!F18)*СПРАВОЧНИК!$I$10+('ФАКТ ЧЕРН К2'!G18)*СПРАВОЧНИК!$J$10)+СПРАВОЧНИК!$E$11*(('ФАКТ ЧЕРН К2'!H18)*СПРАВОЧНИК!$H$11+('ФАКТ ЧЕРН К2'!I18)*СПРАВОЧНИК!$I$11+('ФАКТ ЧЕРН К2'!J18)*СПРАВОЧНИК!$J$11)+СПРАВОЧНИК!$E$12*(('ФАКТ ЧЕРН К2'!K18)*СПРАВОЧНИК!$H$12+('ФАКТ ЧЕРН К2'!L18)*СПРАВОЧНИК!$I$12+('ФАКТ ЧЕРН К2'!M18)*СПРАВОЧНИК!$J$12)+СПРАВОЧНИК!$E$13*(('ФАКТ ЧЕРН К2'!N18)*СПРАВОЧНИК!$H$13+('ФАКТ ЧЕРН К2'!O18)*СПРАВОЧНИК!$I$13+('ФАКТ ЧЕРН К2'!P18)*СПРАВОЧНИК!$J$13)+СПРАВОЧНИК!$E$14*(('ФАКТ ЧЕРН К2'!Q18)*СПРАВОЧНИК!$H$14+('ФАКТ ЧЕРН К2'!R18)*СПРАВОЧНИК!$I$14+('ФАКТ ЧЕРН К2'!S18)*СПРАВОЧНИК!$J$14)+СПРАВОЧНИК!$E$15*(('ФАКТ ЧЕРН К2'!T18)*СПРАВОЧНИК!$H$15+('ФАКТ ЧЕРН К2'!U18)*СПРАВОЧНИК!$I$15+('ФАКТ ЧЕРН К2'!V18)*СПРАВОЧНИК!$J$15)+СПРАВОЧНИК!$F$9*(('ФАКТ ЧИСТ К2'!B18)*СПРАВОЧНИК!$L$9+('ФАКТ ЧИСТ К2'!C18)*СПРАВОЧНИК!$M$9+('ФАКТ ЧИСТ К2'!D18)*СПРАВОЧНИК!$N$9+('ФАКТ ЧИСТ К2'!E18)*СПРАВОЧНИК!$O$9)+СПРАВОЧНИК!$F$10*(('ФАКТ ЧИСТ К2'!F18)*СПРАВОЧНИК!$L$10+('ФАКТ ЧИСТ К2'!G18)*СПРАВОЧНИК!$M$10+('ФАКТ ЧИСТ К2'!H18)*СПРАВОЧНИК!$N$10)+СПРАВОЧНИК!$F$11*(('ФАКТ ЧИСТ К2'!I18)*СПРАВОЧНИК!$L$11+('ФАКТ ЧИСТ К2'!J18)*СПРАВОЧНИК!$M$11+('ФАКТ ЧИСТ К2'!K18)*СПРАВОЧНИК!$N$11)+СПРАВОЧНИК!$F$12*(('ФАКТ ЧИСТ К2'!L18)*СПРАВОЧНИК!$L$12+('ФАКТ ЧИСТ К2'!M18)*СПРАВОЧНИК!$M$12+('ФАКТ ЧИСТ К2'!N18)*СПРАВОЧНИК!$N$12)+СПРАВОЧНИК!$F$13*(('ФАКТ ЧИСТ К2'!O18)*СПРАВОЧНИК!$L$13+('ФАКТ ЧИСТ К2'!P18)*СПРАВОЧНИК!$M$13+('ФАКТ ЧИСТ К2'!Q18)*СПРАВОЧНИК!$N$13)+СПРАВОЧНИК!$F$14*(('ФАКТ ЧИСТ К2'!R18)*СПРАВОЧНИК!$L$14+('ФАКТ ЧИСТ К2'!S18)*СПРАВОЧНИК!$M$14+('ФАКТ ЧИСТ К2'!T18)*СПРАВОЧНИК!$N$14)+СПРАВОЧНИК!$F$15*(('ФАКТ ЧИСТ К2'!U18)*СПРАВОЧНИК!$L$15+('ФАКТ ЧИСТ К2'!V18)*СПРАВОЧНИК!$M$15+('ФАКТ ЧИСТ К2'!W18)*СПРАВОЧНИК!$N$15)</f>
        <v>0</v>
      </c>
      <c r="AS27" s="18">
        <f t="shared" si="19"/>
        <v>46265</v>
      </c>
      <c r="AT27" s="37">
        <f>'ПЛАН ЧЕРН К2'!B18*СПРАВОЧНИК!$H$9+'ПЛАН ЧЕРН К2'!C18*СПРАВОЧНИК!$I$9+'ПЛАН ЧЕРН К2'!D18*СПРАВОЧНИК!$J$9+'ПЛАН ЧЕРН К2'!E18*СПРАВОЧНИК!$H$10+'ПЛАН ЧЕРН К2'!F18*СПРАВОЧНИК!$I$10+'ПЛАН ЧЕРН К2'!G18*СПРАВОЧНИК!$J$10+'ПЛАН ЧЕРН К2'!H18*СПРАВОЧНИК!$H$11+'ПЛАН ЧЕРН К2'!I18*СПРАВОЧНИК!$I$11+'ПЛАН ЧЕРН К2'!J18*СПРАВОЧНИК!$J$11+'ПЛАН ЧЕРН К2'!K18*СПРАВОЧНИК!$H$12+'ПЛАН ЧЕРН К2'!L18*СПРАВОЧНИК!$I$12+'ПЛАН ЧЕРН К2'!M18*СПРАВОЧНИК!$J$12+'ПЛАН ЧЕРН К2'!N18*СПРАВОЧНИК!$H$13+'ПЛАН ЧЕРН К2'!O18*СПРАВОЧНИК!$I$13+'ПЛАН ЧЕРН К2'!P18*СПРАВОЧНИК!$J$13+'ПЛАН ЧЕРН К2'!Q18*СПРАВОЧНИК!$H$14+'ПЛАН ЧЕРН К2'!R18*СПРАВОЧНИК!$I$14+'ПЛАН ЧЕРН К2'!S18*СПРАВОЧНИК!$J$14+'ПЛАН ЧЕРН К2'!T18*СПРАВОЧНИК!$H$15+'ПЛАН ЧЕРН К2'!U18*СПРАВОЧНИК!$I$15+'ПЛАН ЧЕРН К2'!V18*СПРАВОЧНИК!$J$15</f>
        <v>0</v>
      </c>
      <c r="AU27" s="40">
        <f>('ФАКТ ЧЕРН К2'!B18)*СПРАВОЧНИК!$H$9+('ФАКТ ЧЕРН К2'!C18)*СПРАВОЧНИК!$I$9+('ФАКТ ЧЕРН К2'!D18)*СПРАВОЧНИК!$J$9+('ФАКТ ЧЕРН К2'!E18)*СПРАВОЧНИК!$H$10+('ФАКТ ЧЕРН К2'!F18)*СПРАВОЧНИК!$I$10+('ФАКТ ЧЕРН К2'!G18)*СПРАВОЧНИК!$J$10+('ФАКТ ЧЕРН К2'!H18)*СПРАВОЧНИК!$H$11+('ФАКТ ЧЕРН К2'!I18)*СПРАВОЧНИК!$I$11+('ФАКТ ЧЕРН К2'!J18)*СПРАВОЧНИК!$J$11+('ФАКТ ЧЕРН К2'!K18)*СПРАВОЧНИК!$H$12+('ФАКТ ЧЕРН К2'!L18)*СПРАВОЧНИК!$I$12+('ФАКТ ЧЕРН К2'!M18)*СПРАВОЧНИК!$J$12+('ФАКТ ЧЕРН К2'!N18)*СПРАВОЧНИК!$H$13+('ФАКТ ЧЕРН К2'!O18)*СПРАВОЧНИК!$I$13+('ФАКТ ЧЕРН К2'!P18)*СПРАВОЧНИК!$J$13+('ФАКТ ЧЕРН К2'!Q18)*СПРАВОЧНИК!$H$14+('ФАКТ ЧЕРН К2'!R18)*СПРАВОЧНИК!$I$14+('ФАКТ ЧЕРН К2'!S18)*СПРАВОЧНИК!$J$14+('ФАКТ ЧЕРН К2'!T18)*СПРАВОЧНИК!$H$15+('ФАКТ ЧЕРН К2'!U18)*СПРАВОЧНИК!$I$15+('ФАКТ ЧЕРН К2'!V18)*СПРАВОЧНИК!$J$15</f>
        <v>0</v>
      </c>
      <c r="AY27" s="18">
        <f t="shared" si="20"/>
        <v>46265</v>
      </c>
      <c r="AZ27" s="37">
        <f>'ПЛАН ЧИСТ К2'!B18*СПРАВОЧНИК!$L$9+'ПЛАН ЧИСТ К2'!C18*СПРАВОЧНИК!$M$9+'ПЛАН ЧИСТ К2'!D18*СПРАВОЧНИК!$N$9+'ПЛАН ЧИСТ К2'!E18*СПРАВОЧНИК!$O$9+'ПЛАН ЧИСТ К2'!F18*СПРАВОЧНИК!$L$10+'ПЛАН ЧИСТ К2'!G18*СПРАВОЧНИК!$M$10+'ПЛАН ЧИСТ К2'!H18*СПРАВОЧНИК!$N$10+'ПЛАН ЧИСТ К2'!I18*СПРАВОЧНИК!$L$11+'ПЛАН ЧИСТ К2'!J18*СПРАВОЧНИК!$M$11+'ПЛАН ЧИСТ К2'!K18*СПРАВОЧНИК!$N$11+'ПЛАН ЧИСТ К2'!L18*СПРАВОЧНИК!$L$12+'ПЛАН ЧИСТ К2'!M18*СПРАВОЧНИК!$M$12+'ПЛАН ЧИСТ К2'!N18*СПРАВОЧНИК!$N$12+'ПЛАН ЧИСТ К2'!O18*СПРАВОЧНИК!$L$13+'ПЛАН ЧИСТ К2'!P18*СПРАВОЧНИК!$M$13+'ПЛАН ЧИСТ К2'!Q18*СПРАВОЧНИК!$N$13+'ПЛАН ЧИСТ К2'!R18*СПРАВОЧНИК!$L$14+'ПЛАН ЧИСТ К2'!S18*СПРАВОЧНИК!$M$14+'ПЛАН ЧИСТ К2'!T18*СПРАВОЧНИК!$N$14+'ПЛАН ЧИСТ К2'!U18*СПРАВОЧНИК!$L$15+'ПЛАН ЧИСТ К2'!V18*СПРАВОЧНИК!$M$15+'ПЛАН ЧИСТ К2'!W18*СПРАВОЧНИК!$N$15</f>
        <v>0</v>
      </c>
      <c r="BA27" s="40">
        <f>('ФАКТ ЧИСТ К2'!B18)*СПРАВОЧНИК!$L$9+('ФАКТ ЧИСТ К2'!C18)*СПРАВОЧНИК!$M$9+('ФАКТ ЧИСТ К2'!D18)*СПРАВОЧНИК!$N$9+('ФАКТ ЧИСТ К2'!E18)*СПРАВОЧНИК!$O$9+('ФАКТ ЧИСТ К2'!F18)*СПРАВОЧНИК!$L$10+('ФАКТ ЧИСТ К2'!G18)*СПРАВОЧНИК!$M$10+('ФАКТ ЧИСТ К2'!H18)*СПРАВОЧНИК!$N$10+('ФАКТ ЧИСТ К2'!I18)*СПРАВОЧНИК!$L$11+('ФАКТ ЧИСТ К2'!J18)*СПРАВОЧНИК!$M$11+('ФАКТ ЧИСТ К2'!K18)*СПРАВОЧНИК!$N$11+('ФАКТ ЧИСТ К2'!L18)*СПРАВОЧНИК!$L$12+('ФАКТ ЧИСТ К2'!M18)*СПРАВОЧНИК!$M$12+('ФАКТ ЧИСТ К2'!N18)*СПРАВОЧНИК!$N$12+('ФАКТ ЧИСТ К2'!O18)*СПРАВОЧНИК!$L$13+('ФАКТ ЧИСТ К2'!P18)*СПРАВОЧНИК!$M$13+('ФАКТ ЧИСТ К2'!Q18)*СПРАВОЧНИК!$N$13+('ФАКТ ЧИСТ К2'!R18)*СПРАВОЧНИК!$L$14+('ФАКТ ЧИСТ К2'!S18)*СПРАВОЧНИК!$M$14+('ФАКТ ЧИСТ К2'!T18)*СПРАВОЧНИК!$N$14+('ФАКТ ЧИСТ К2'!U18)*СПРАВОЧНИК!$L$15+('ФАКТ ЧИСТ К2'!V18)*СПРАВОЧНИК!$M$15+('ФАКТ ЧИСТ К2'!W18)*СПРАВОЧНИК!$N$15</f>
        <v>0</v>
      </c>
      <c r="BE27" s="18">
        <f t="shared" si="21"/>
        <v>46265</v>
      </c>
      <c r="BF27" s="37">
        <f>СПРАВОЧНИК!$E$9*('ПЛАН ЧЕРН К3'!B18*СПРАВОЧНИК!$H$9+'ПЛАН ЧЕРН К3'!C18*СПРАВОЧНИК!$I$9+'ПЛАН ЧЕРН К3'!D18*СПРАВОЧНИК!$J$9)+СПРАВОЧНИК!$E$10*('ПЛАН ЧЕРН К3'!E18*СПРАВОЧНИК!$H$10+'ПЛАН ЧЕРН К3'!F18*СПРАВОЧНИК!$I$10+'ПЛАН ЧЕРН К3'!G18*СПРАВОЧНИК!$J$10)+СПРАВОЧНИК!$E$11*('ПЛАН ЧЕРН К3'!H18*СПРАВОЧНИК!$H$11+'ПЛАН ЧЕРН К3'!I18*СПРАВОЧНИК!$I$11+'ПЛАН ЧЕРН К3'!J18*СПРАВОЧНИК!$J$11)+СПРАВОЧНИК!$E$12*('ПЛАН ЧЕРН К3'!K18*СПРАВОЧНИК!$H$12+'ПЛАН ЧЕРН К3'!L18*СПРАВОЧНИК!$I$12+'ПЛАН ЧЕРН К3'!M18*СПРАВОЧНИК!$J$12)+СПРАВОЧНИК!$E$13*('ПЛАН ЧЕРН К3'!N18*СПРАВОЧНИК!$H$13+'ПЛАН ЧЕРН К3'!O18*СПРАВОЧНИК!$I$13+'ПЛАН ЧЕРН К3'!P18*СПРАВОЧНИК!$J$13)+СПРАВОЧНИК!$E$14*('ПЛАН ЧЕРН К3'!Q18*СПРАВОЧНИК!$H$14+'ПЛАН ЧЕРН К3'!R18*СПРАВОЧНИК!$I$14+'ПЛАН ЧЕРН К3'!S18*СПРАВОЧНИК!$J$14)+СПРАВОЧНИК!$E$15*('ПЛАН ЧЕРН К3'!T18*СПРАВОЧНИК!$H$15+'ПЛАН ЧЕРН К3'!U18*СПРАВОЧНИК!$I$15+'ПЛАН ЧЕРН К3'!V18*СПРАВОЧНИК!$J$15)+СПРАВОЧНИК!$F$9*('ПЛАН ЧИСТ К3'!B18*СПРАВОЧНИК!$L$9+'ПЛАН ЧИСТ К3'!C18*СПРАВОЧНИК!$M$9+'ПЛАН ЧИСТ К3'!D18*СПРАВОЧНИК!$N$9+'ПЛАН ЧИСТ К3'!E18*СПРАВОЧНИК!$O$9)+СПРАВОЧНИК!$F$10*('ПЛАН ЧИСТ К3'!F18*СПРАВОЧНИК!$L$10+'ПЛАН ЧИСТ К3'!G18*СПРАВОЧНИК!$M$10+'ПЛАН ЧИСТ К3'!H18*СПРАВОЧНИК!$N$10)+СПРАВОЧНИК!$F$11*('ПЛАН ЧИСТ К3'!I18*СПРАВОЧНИК!$L$11+'ПЛАН ЧИСТ К3'!J18*СПРАВОЧНИК!$M$11+'ПЛАН ЧИСТ К3'!K18*СПРАВОЧНИК!$N$11)+СПРАВОЧНИК!$F$12*('ПЛАН ЧИСТ К3'!L18*СПРАВОЧНИК!$L$12+'ПЛАН ЧИСТ К3'!M18*СПРАВОЧНИК!$M$12+'ПЛАН ЧИСТ К3'!N18*СПРАВОЧНИК!$N$12)+СПРАВОЧНИК!$F$13*('ПЛАН ЧИСТ К3'!O18*СПРАВОЧНИК!$L$13+'ПЛАН ЧИСТ К3'!P18*СПРАВОЧНИК!$M$13+'ПЛАН ЧИСТ К3'!Q18*СПРАВОЧНИК!$N$13)+СПРАВОЧНИК!$F$14*('ПЛАН ЧИСТ К3'!R18*СПРАВОЧНИК!$L$14+'ПЛАН ЧИСТ К3'!S18*СПРАВОЧНИК!$M$14+'ПЛАН ЧИСТ К3'!T18*СПРАВОЧНИК!$N$14)+СПРАВОЧНИК!$F$15*('ПЛАН ЧИСТ К3'!U18*СПРАВОЧНИК!$L$15+'ПЛАН ЧИСТ К3'!V18*СПРАВОЧНИК!$M$15+'ПЛАН ЧИСТ К3'!W18*СПРАВОЧНИК!$N$15)</f>
        <v>0</v>
      </c>
      <c r="BG27" s="40">
        <f>СПРАВОЧНИК!$E$9*(('ФАКТ ЧЕРН К3'!B18)*СПРАВОЧНИК!$H$9+('ФАКТ ЧЕРН К3'!C18)*СПРАВОЧНИК!$I$9+('ФАКТ ЧЕРН К3'!D18)*СПРАВОЧНИК!$J$9)+СПРАВОЧНИК!$E$10*(('ФАКТ ЧЕРН К3'!E18)*СПРАВОЧНИК!$H$10+('ФАКТ ЧЕРН К3'!F18)*СПРАВОЧНИК!$I$10+('ФАКТ ЧЕРН К3'!G18)*СПРАВОЧНИК!$J$10)+СПРАВОЧНИК!$E$11*(('ФАКТ ЧЕРН К3'!H18)*СПРАВОЧНИК!$H$11+('ФАКТ ЧЕРН К3'!I18)*СПРАВОЧНИК!$I$11+('ФАКТ ЧЕРН К3'!J18)*СПРАВОЧНИК!$J$11)+СПРАВОЧНИК!$E$12*(('ФАКТ ЧЕРН К3'!K18)*СПРАВОЧНИК!$H$12+('ФАКТ ЧЕРН К3'!L18)*СПРАВОЧНИК!$I$12+('ФАКТ ЧЕРН К3'!M18)*СПРАВОЧНИК!$J$12)+СПРАВОЧНИК!$E$13*(('ФАКТ ЧЕРН К3'!N18)*СПРАВОЧНИК!$H$13+('ФАКТ ЧЕРН К3'!O18)*СПРАВОЧНИК!$I$13+('ФАКТ ЧЕРН К3'!P18)*СПРАВОЧНИК!$J$13)+СПРАВОЧНИК!$E$14*(('ФАКТ ЧЕРН К3'!Q18)*СПРАВОЧНИК!$H$14+('ФАКТ ЧЕРН К3'!R18)*СПРАВОЧНИК!$I$14+('ФАКТ ЧЕРН К3'!S18)*СПРАВОЧНИК!$J$14)+СПРАВОЧНИК!$E$15*(('ФАКТ ЧЕРН К3'!T18)*СПРАВОЧНИК!$H$15+('ФАКТ ЧЕРН К3'!U18)*СПРАВОЧНИК!$I$15+('ФАКТ ЧЕРН К3'!V18)*СПРАВОЧНИК!$J$15)+СПРАВОЧНИК!$F$9*(('ФАКТ ЧИСТ К3'!B18)*СПРАВОЧНИК!$L$9+('ФАКТ ЧИСТ К3'!C18)*СПРАВОЧНИК!$M$9+('ФАКТ ЧИСТ К3'!D18)*СПРАВОЧНИК!$N$9+('ФАКТ ЧИСТ К3'!E18)*СПРАВОЧНИК!$O$9)+СПРАВОЧНИК!$F$10*(('ФАКТ ЧИСТ К3'!F18)*СПРАВОЧНИК!$L$10+('ФАКТ ЧИСТ К3'!G18)*СПРАВОЧНИК!$M$10+('ФАКТ ЧИСТ К3'!H18)*СПРАВОЧНИК!$N$10)+СПРАВОЧНИК!$F$11*(('ФАКТ ЧИСТ К3'!I18)*СПРАВОЧНИК!$L$11+('ФАКТ ЧИСТ К3'!J18)*СПРАВОЧНИК!$M$11+('ФАКТ ЧИСТ К3'!K18)*СПРАВОЧНИК!$N$11)+СПРАВОЧНИК!$F$12*(('ФАКТ ЧИСТ К3'!L18)*СПРАВОЧНИК!$L$12+('ФАКТ ЧИСТ К3'!M18)*СПРАВОЧНИК!$M$12+('ФАКТ ЧИСТ К3'!N18)*СПРАВОЧНИК!$N$12)+СПРАВОЧНИК!$F$13*(('ФАКТ ЧИСТ К3'!O18)*СПРАВОЧНИК!$L$13+('ФАКТ ЧИСТ К3'!P18)*СПРАВОЧНИК!$M$13+('ФАКТ ЧИСТ К3'!Q18)*СПРАВОЧНИК!$N$13)+СПРАВОЧНИК!$F$14*(('ФАКТ ЧИСТ К3'!R18)*СПРАВОЧНИК!$L$14+('ФАКТ ЧИСТ К3'!S18)*СПРАВОЧНИК!$M$14+('ФАКТ ЧИСТ К3'!T18)*СПРАВОЧНИК!$N$14)+СПРАВОЧНИК!$F$15*(('ФАКТ ЧИСТ К3'!U18)*СПРАВОЧНИК!$L$15+('ФАКТ ЧИСТ К3'!V18)*СПРАВОЧНИК!$M$15+('ФАКТ ЧИСТ К3'!W18)*СПРАВОЧНИК!$N$15)</f>
        <v>0</v>
      </c>
      <c r="BK27" s="18">
        <f t="shared" si="22"/>
        <v>46265</v>
      </c>
      <c r="BL27" s="37">
        <f>'ПЛАН ЧЕРН К3'!B18*СПРАВОЧНИК!$H$9+'ПЛАН ЧЕРН К3'!C18*СПРАВОЧНИК!$I$9+'ПЛАН ЧЕРН К3'!D18*СПРАВОЧНИК!$J$9+'ПЛАН ЧЕРН К3'!E18*СПРАВОЧНИК!$H$10+'ПЛАН ЧЕРН К3'!F18*СПРАВОЧНИК!$I$10+'ПЛАН ЧЕРН К3'!G18*СПРАВОЧНИК!$J$10+'ПЛАН ЧЕРН К3'!H18*СПРАВОЧНИК!$H$11+'ПЛАН ЧЕРН К3'!I18*СПРАВОЧНИК!$I$11+'ПЛАН ЧЕРН К3'!J18*СПРАВОЧНИК!$J$11+'ПЛАН ЧЕРН К3'!K18*СПРАВОЧНИК!$H$12+'ПЛАН ЧЕРН К3'!L18*СПРАВОЧНИК!$I$12+'ПЛАН ЧЕРН К3'!M18*СПРАВОЧНИК!$J$12+'ПЛАН ЧЕРН К3'!N18*СПРАВОЧНИК!$H$13+'ПЛАН ЧЕРН К3'!O18*СПРАВОЧНИК!$I$13+'ПЛАН ЧЕРН К3'!P18*СПРАВОЧНИК!$J$13+'ПЛАН ЧЕРН К3'!Q18*СПРАВОЧНИК!$H$14+'ПЛАН ЧЕРН К3'!R18*СПРАВОЧНИК!$I$14+'ПЛАН ЧЕРН К3'!S18*СПРАВОЧНИК!$J$14+'ПЛАН ЧЕРН К3'!T18*СПРАВОЧНИК!$H$15+'ПЛАН ЧЕРН К3'!U18*СПРАВОЧНИК!$I$15+'ПЛАН ЧЕРН К3'!V18*СПРАВОЧНИК!$J$15</f>
        <v>0</v>
      </c>
      <c r="BM27" s="40">
        <f>('ФАКТ ЧЕРН К3'!B18)*СПРАВОЧНИК!$H$9+('ФАКТ ЧЕРН К3'!C18)*СПРАВОЧНИК!$I$9+('ФАКТ ЧЕРН К3'!D18)*СПРАВОЧНИК!$J$9+('ФАКТ ЧЕРН К3'!E18)*СПРАВОЧНИК!$H$10+('ФАКТ ЧЕРН К3'!F18)*СПРАВОЧНИК!$I$10+('ФАКТ ЧЕРН К3'!G18)*СПРАВОЧНИК!$J$10+('ФАКТ ЧЕРН К3'!H18)*СПРАВОЧНИК!$H$11+('ФАКТ ЧЕРН К3'!I18)*СПРАВОЧНИК!$I$11+('ФАКТ ЧЕРН К3'!J18)*СПРАВОЧНИК!$J$11+('ФАКТ ЧЕРН К3'!K18)*СПРАВОЧНИК!$H$12+('ФАКТ ЧЕРН К3'!L18)*СПРАВОЧНИК!$I$12+('ФАКТ ЧЕРН К3'!M18)*СПРАВОЧНИК!$J$12+('ФАКТ ЧЕРН К3'!N18)*СПРАВОЧНИК!$H$13+('ФАКТ ЧЕРН К3'!O18)*СПРАВОЧНИК!$I$13+('ФАКТ ЧЕРН К3'!P18)*СПРАВОЧНИК!$J$13+('ФАКТ ЧЕРН К3'!Q18)*СПРАВОЧНИК!$H$14+('ФАКТ ЧЕРН К3'!R18)*СПРАВОЧНИК!$I$14+('ФАКТ ЧЕРН К3'!S18)*СПРАВОЧНИК!$J$14+('ФАКТ ЧЕРН К3'!T18)*СПРАВОЧНИК!$H$15+('ФАКТ ЧЕРН К3'!U18)*СПРАВОЧНИК!$I$15+('ФАКТ ЧЕРН К3'!V18)*СПРАВОЧНИК!$J$15</f>
        <v>0</v>
      </c>
      <c r="BQ27" s="18">
        <f t="shared" si="23"/>
        <v>46265</v>
      </c>
      <c r="BR27" s="37">
        <f>'ПЛАН ЧИСТ К3'!B18*СПРАВОЧНИК!$L$9+'ПЛАН ЧИСТ К3'!C18*СПРАВОЧНИК!$M$9+'ПЛАН ЧИСТ К3'!D18*СПРАВОЧНИК!$N$9+'ПЛАН ЧИСТ К3'!E18*СПРАВОЧНИК!$O$9+'ПЛАН ЧИСТ К3'!F18*СПРАВОЧНИК!$L$10+'ПЛАН ЧИСТ К3'!G18*СПРАВОЧНИК!$M$10+'ПЛАН ЧИСТ К3'!H18*СПРАВОЧНИК!$N$10+'ПЛАН ЧИСТ К3'!I18*СПРАВОЧНИК!$L$11+'ПЛАН ЧИСТ К3'!J18*СПРАВОЧНИК!$M$11+'ПЛАН ЧИСТ К3'!K18*СПРАВОЧНИК!$N$11+'ПЛАН ЧИСТ К3'!L18*СПРАВОЧНИК!$L$12+'ПЛАН ЧИСТ К3'!M18*СПРАВОЧНИК!$M$12+'ПЛАН ЧИСТ К3'!N18*СПРАВОЧНИК!$N$12+'ПЛАН ЧИСТ К3'!O18*СПРАВОЧНИК!$L$13+'ПЛАН ЧИСТ К3'!P18*СПРАВОЧНИК!$M$13+'ПЛАН ЧИСТ К3'!Q18*СПРАВОЧНИК!$N$13+'ПЛАН ЧИСТ К3'!R18*СПРАВОЧНИК!$L$14+'ПЛАН ЧИСТ К3'!S18*СПРАВОЧНИК!$M$14+'ПЛАН ЧИСТ К3'!T18*СПРАВОЧНИК!$N$14+'ПЛАН ЧИСТ К3'!U18*СПРАВОЧНИК!$L$15+'ПЛАН ЧИСТ К3'!V18*СПРАВОЧНИК!$M$15+'ПЛАН ЧИСТ К3'!W18*СПРАВОЧНИК!$N$15</f>
        <v>0</v>
      </c>
      <c r="BS27" s="40">
        <f>('ФАКТ ЧИСТ К3'!B18)*СПРАВОЧНИК!$L$9+('ФАКТ ЧИСТ К3'!C18)*СПРАВОЧНИК!$M$9+('ФАКТ ЧИСТ К3'!D18)*СПРАВОЧНИК!$N$9+('ФАКТ ЧИСТ К3'!E18)*СПРАВОЧНИК!$O$9+('ФАКТ ЧИСТ К3'!F18)*СПРАВОЧНИК!$L$10+('ФАКТ ЧИСТ К3'!G18)*СПРАВОЧНИК!$M$10+('ФАКТ ЧИСТ К3'!H18)*СПРАВОЧНИК!$N$10+('ФАКТ ЧИСТ К3'!I18)*СПРАВОЧНИК!$L$11+('ФАКТ ЧИСТ К3'!J18)*СПРАВОЧНИК!$M$11+('ФАКТ ЧИСТ К3'!K18)*СПРАВОЧНИК!$N$11+('ФАКТ ЧИСТ К3'!L18)*СПРАВОЧНИК!$L$12+('ФАКТ ЧИСТ К3'!M18)*СПРАВОЧНИК!$M$12+('ФАКТ ЧИСТ К3'!N18)*СПРАВОЧНИК!$N$12+('ФАКТ ЧИСТ К3'!O18)*СПРАВОЧНИК!$L$13+('ФАКТ ЧИСТ К3'!P18)*СПРАВОЧНИК!$M$13+('ФАКТ ЧИСТ К3'!Q18)*СПРАВОЧНИК!$N$13+('ФАКТ ЧИСТ К3'!R18)*СПРАВОЧНИК!$L$14+('ФАКТ ЧИСТ К3'!S18)*СПРАВОЧНИК!$M$14+('ФАКТ ЧИСТ К3'!T18)*СПРАВОЧНИК!$N$14+('ФАКТ ЧИСТ К3'!U18)*СПРАВОЧНИК!$L$15+('ФАКТ ЧИСТ К3'!V18)*СПРАВОЧНИК!$M$15+('ФАКТ ЧИСТ К3'!W18)*СПРАВОЧНИК!$N$15</f>
        <v>0</v>
      </c>
      <c r="BW27" s="18">
        <f t="shared" si="24"/>
        <v>46265</v>
      </c>
      <c r="BX27" s="37">
        <f t="shared" si="0"/>
        <v>0</v>
      </c>
      <c r="BY27" s="40">
        <f t="shared" si="1"/>
        <v>0</v>
      </c>
      <c r="CC27" s="18">
        <f t="shared" si="25"/>
        <v>46265</v>
      </c>
      <c r="CD27" s="37">
        <f t="shared" si="2"/>
        <v>0</v>
      </c>
      <c r="CE27" s="40">
        <f t="shared" si="3"/>
        <v>0</v>
      </c>
      <c r="CI27" s="18">
        <f t="shared" si="26"/>
        <v>46265</v>
      </c>
      <c r="CJ27" s="37">
        <f t="shared" si="4"/>
        <v>0</v>
      </c>
      <c r="CK27" s="40">
        <f t="shared" si="5"/>
        <v>0</v>
      </c>
      <c r="CO27" s="18">
        <f t="shared" si="27"/>
        <v>46265</v>
      </c>
      <c r="CP27" s="37">
        <f t="shared" si="6"/>
        <v>0</v>
      </c>
      <c r="CQ27" s="40">
        <f t="shared" si="7"/>
        <v>0</v>
      </c>
      <c r="CU27" s="18">
        <f t="shared" si="28"/>
        <v>46265</v>
      </c>
      <c r="CV27" s="37">
        <f t="shared" si="8"/>
        <v>0</v>
      </c>
      <c r="CW27" s="40">
        <f t="shared" si="9"/>
        <v>0</v>
      </c>
      <c r="DA27" s="18">
        <f t="shared" si="29"/>
        <v>46265</v>
      </c>
      <c r="DB27" s="37">
        <f t="shared" si="10"/>
        <v>0</v>
      </c>
      <c r="DC27" s="40">
        <f t="shared" si="11"/>
        <v>0</v>
      </c>
    </row>
    <row r="28" spans="3:107" x14ac:dyDescent="0.25">
      <c r="C28" s="18">
        <f t="shared" si="12"/>
        <v>46272</v>
      </c>
      <c r="D28" s="37">
        <f>СПРАВОЧНИК!$E$3*('ПЛАН ЧЕРН ПОДЗЕМ'!B19*СПРАВОЧНИК!$H$3+'ПЛАН ЧЕРН ПОДЗЕМ'!C19*СПРАВОЧНИК!$I$3+'ПЛАН ЧЕРН ПОДЗЕМ'!D19*СПРАВОЧНИК!$J$3)+СПРАВОЧНИК!$E$4*('ПЛАН ЧЕРН ПОДЗЕМ'!E19*СПРАВОЧНИК!$H$4+'ПЛАН ЧЕРН ПОДЗЕМ'!F19*СПРАВОЧНИК!$I$4+'ПЛАН ЧЕРН ПОДЗЕМ'!G19*СПРАВОЧНИК!$J$4)+СПРАВОЧНИК!$E$5*('ПЛАН ЧЕРН ПОДЗЕМ'!H19*СПРАВОЧНИК!$H$5+'ПЛАН ЧЕРН ПОДЗЕМ'!I19*СПРАВОЧНИК!$I$5+'ПЛАН ЧЕРН ПОДЗЕМ'!J19*СПРАВОЧНИК!$J$5)+СПРАВОЧНИК!$E$6*('ПЛАН ЧЕРН ПОДЗЕМ'!K19*СПРАВОЧНИК!$H$6+'ПЛАН ЧЕРН ПОДЗЕМ'!L19*СПРАВОЧНИК!$I$6+'ПЛАН ЧЕРН ПОДЗЕМ'!M19*СПРАВОЧНИК!$J$6)+СПРАВОЧНИК!$E$7*('ПЛАН ЧЕРН ПОДЗЕМ'!N19*СПРАВОЧНИК!$H$7+'ПЛАН ЧЕРН ПОДЗЕМ'!O19*СПРАВОЧНИК!$I$7+'ПЛАН ЧЕРН ПОДЗЕМ'!P19*СПРАВОЧНИК!$J$7)+СПРАВОЧНИК!$E$8*('ПЛАН ЧЕРН ПОДЗЕМ'!Q19*СПРАВОЧНИК!$H$8+'ПЛАН ЧЕРН ПОДЗЕМ'!R19*СПРАВОЧНИК!$I$8+'ПЛАН ЧЕРН ПОДЗЕМ'!S19*СПРАВОЧНИК!$J$8)+СПРАВОЧНИК!$F$3*('ПЛАН ЧИСТ ПОДЗЕМ'!B19*СПРАВОЧНИК!$L$3+'ПЛАН ЧИСТ ПОДЗЕМ'!C19*СПРАВОЧНИК!$M$3+'ПЛАН ЧИСТ ПОДЗЕМ'!D19*СПРАВОЧНИК!$N$3)+СПРАВОЧНИК!$F$4*('ПЛАН ЧИСТ ПОДЗЕМ'!E19*СПРАВОЧНИК!$L$4+'ПЛАН ЧИСТ ПОДЗЕМ'!F19*СПРАВОЧНИК!$M$4+'ПЛАН ЧИСТ ПОДЗЕМ'!G19*СПРАВОЧНИК!$N$4)+СПРАВОЧНИК!$F$5*('ПЛАН ЧИСТ ПОДЗЕМ'!H19*СПРАВОЧНИК!$L$5+'ПЛАН ЧИСТ ПОДЗЕМ'!I19*СПРАВОЧНИК!$M$5+'ПЛАН ЧИСТ ПОДЗЕМ'!J19*СПРАВОЧНИК!$N$5)+СПРАВОЧНИК!$F$6*('ПЛАН ЧИСТ ПОДЗЕМ'!K19*СПРАВОЧНИК!$L$6+'ПЛАН ЧИСТ ПОДЗЕМ'!L19*СПРАВОЧНИК!$M$6+'ПЛАН ЧИСТ ПОДЗЕМ'!M19*СПРАВОЧНИК!$N$6)+СПРАВОЧНИК!$F$7*('ПЛАН ЧИСТ ПОДЗЕМ'!N19*СПРАВОЧНИК!$L$7+'ПЛАН ЧИСТ ПОДЗЕМ'!O19*СПРАВОЧНИК!$M$7+'ПЛАН ЧИСТ ПОДЗЕМ'!P19*СПРАВОЧНИК!$N$7)+СПРАВОЧНИК!$F$8*('ПЛАН ЧИСТ ПОДЗЕМ'!Q19*СПРАВОЧНИК!$L$8+'ПЛАН ЧИСТ ПОДЗЕМ'!R19*СПРАВОЧНИК!$M$8+'ПЛАН ЧИСТ ПОДЗЕМ'!S19*СПРАВОЧНИК!$N$8)</f>
        <v>0</v>
      </c>
      <c r="E28" s="40">
        <f>СПРАВОЧНИК!$E$3*(('ФАКТ ЧЕРН ПОДЗЕМ'!B19)*СПРАВОЧНИК!$H$3+('ФАКТ ЧЕРН ПОДЗЕМ'!C19)*СПРАВОЧНИК!$I$3+('ФАКТ ЧЕРН ПОДЗЕМ'!D19)*СПРАВОЧНИК!$J$3)+СПРАВОЧНИК!$E$4*(('ФАКТ ЧЕРН ПОДЗЕМ'!E19)*СПРАВОЧНИК!$H$4+('ФАКТ ЧЕРН ПОДЗЕМ'!F19)*СПРАВОЧНИК!$I$4+('ФАКТ ЧЕРН ПОДЗЕМ'!G19)*СПРАВОЧНИК!$J$4)+СПРАВОЧНИК!$E$5*(('ФАКТ ЧЕРН ПОДЗЕМ'!H19)*СПРАВОЧНИК!$H$5+('ФАКТ ЧЕРН ПОДЗЕМ'!I19)*СПРАВОЧНИК!$I$5+('ФАКТ ЧЕРН ПОДЗЕМ'!J19)*СПРАВОЧНИК!$J$5)+СПРАВОЧНИК!$E$6*(('ФАКТ ЧЕРН ПОДЗЕМ'!K19)*СПРАВОЧНИК!$H$6+('ФАКТ ЧЕРН ПОДЗЕМ'!L19)*СПРАВОЧНИК!$I$6+('ФАКТ ЧЕРН ПОДЗЕМ'!M19)*СПРАВОЧНИК!$J$6)+СПРАВОЧНИК!$E$7*(('ФАКТ ЧЕРН ПОДЗЕМ'!N19)*СПРАВОЧНИК!$H$7+('ФАКТ ЧЕРН ПОДЗЕМ'!O19)*СПРАВОЧНИК!$I$7+('ФАКТ ЧЕРН ПОДЗЕМ'!P19)*СПРАВОЧНИК!$J$7)+СПРАВОЧНИК!$E$8*(('ФАКТ ЧЕРН ПОДЗЕМ'!Q19)*СПРАВОЧНИК!$H$8+('ФАКТ ЧЕРН ПОДЗЕМ'!R19)*СПРАВОЧНИК!$I$8+('ФАКТ ЧЕРН ПОДЗЕМ'!S19)*СПРАВОЧНИК!$J$8)+СПРАВОЧНИК!$F$3*(('ФАКТ ЧИСТ ПОДЗЕМ'!B19)*СПРАВОЧНИК!$L$3+('ФАКТ ЧИСТ ПОДЗЕМ'!C19)*СПРАВОЧНИК!$M$3+('ФАКТ ЧИСТ ПОДЗЕМ'!D19)*СПРАВОЧНИК!$N$3)+СПРАВОЧНИК!$F$4*(('ФАКТ ЧИСТ ПОДЗЕМ'!E19)*СПРАВОЧНИК!$L$4+('ФАКТ ЧИСТ ПОДЗЕМ'!F19)*СПРАВОЧНИК!$M$4+('ФАКТ ЧИСТ ПОДЗЕМ'!G19)*СПРАВОЧНИК!$N$4)+СПРАВОЧНИК!$F$5*(('ФАКТ ЧИСТ ПОДЗЕМ'!H19)*СПРАВОЧНИК!$L$5+('ФАКТ ЧИСТ ПОДЗЕМ'!I19)*СПРАВОЧНИК!$M$5+('ФАКТ ЧИСТ ПОДЗЕМ'!J19)*СПРАВОЧНИК!$N$5)+СПРАВОЧНИК!$F$6*(('ФАКТ ЧИСТ ПОДЗЕМ'!K19)*СПРАВОЧНИК!$L$6+('ФАКТ ЧИСТ ПОДЗЕМ'!L19)*СПРАВОЧНИК!$M$6+('ФАКТ ЧИСТ ПОДЗЕМ'!M19)*СПРАВОЧНИК!$N$6)+СПРАВОЧНИК!$F$7*(('ФАКТ ЧИСТ ПОДЗЕМ'!N19)*СПРАВОЧНИК!$L$7+('ФАКТ ЧИСТ ПОДЗЕМ'!O19)*СПРАВОЧНИК!$M$7+('ФАКТ ЧИСТ ПОДЗЕМ'!P19)*СПРАВОЧНИК!$N$7)+СПРАВОЧНИК!$F$8*(('ФАКТ ЧИСТ ПОДЗЕМ'!Q19)*СПРАВОЧНИК!$L$8+('ФАКТ ЧИСТ ПОДЗЕМ'!R19)*СПРАВОЧНИК!$M$8+('ФАКТ ЧИСТ ПОДЗЕМ'!S19)*СПРАВОЧНИК!$N$8)</f>
        <v>0</v>
      </c>
      <c r="I28" s="18">
        <f t="shared" si="13"/>
        <v>46272</v>
      </c>
      <c r="J28" s="37">
        <f>'ПЛАН ЧЕРН ПОДЗЕМ'!B19*СПРАВОЧНИК!$H$3+'ПЛАН ЧЕРН ПОДЗЕМ'!C19*СПРАВОЧНИК!$I$3+'ПЛАН ЧЕРН ПОДЗЕМ'!D19*СПРАВОЧНИК!$J$3+'ПЛАН ЧЕРН ПОДЗЕМ'!E19*СПРАВОЧНИК!$H$4+'ПЛАН ЧЕРН ПОДЗЕМ'!F19*СПРАВОЧНИК!$I$4+'ПЛАН ЧЕРН ПОДЗЕМ'!G19*СПРАВОЧНИК!$J$4+'ПЛАН ЧЕРН ПОДЗЕМ'!H19*СПРАВОЧНИК!$H$5+'ПЛАН ЧЕРН ПОДЗЕМ'!I19*СПРАВОЧНИК!$I$5+'ПЛАН ЧЕРН ПОДЗЕМ'!J19*СПРАВОЧНИК!$J$5+'ПЛАН ЧЕРН ПОДЗЕМ'!K19*СПРАВОЧНИК!$H$6+'ПЛАН ЧЕРН ПОДЗЕМ'!L19*СПРАВОЧНИК!$I$6+'ПЛАН ЧЕРН ПОДЗЕМ'!M19*СПРАВОЧНИК!$J$6+'ПЛАН ЧЕРН ПОДЗЕМ'!N19*СПРАВОЧНИК!$H$7+'ПЛАН ЧЕРН ПОДЗЕМ'!O19*СПРАВОЧНИК!$I$7+'ПЛАН ЧЕРН ПОДЗЕМ'!P19*СПРАВОЧНИК!$J$7+'ПЛАН ЧЕРН ПОДЗЕМ'!Q19*СПРАВОЧНИК!$H$8+'ПЛАН ЧЕРН ПОДЗЕМ'!R19*СПРАВОЧНИК!$I$8+'ПЛАН ЧЕРН ПОДЗЕМ'!S19*СПРАВОЧНИК!$J$8</f>
        <v>0</v>
      </c>
      <c r="K28" s="40">
        <f>('ФАКТ ЧЕРН ПОДЗЕМ'!B19)*СПРАВОЧНИК!$H$3+('ФАКТ ЧЕРН ПОДЗЕМ'!C19)*СПРАВОЧНИК!$I$3+('ФАКТ ЧЕРН ПОДЗЕМ'!D19)*СПРАВОЧНИК!$J$3+('ФАКТ ЧЕРН ПОДЗЕМ'!E19)*СПРАВОЧНИК!$H$4+('ФАКТ ЧЕРН ПОДЗЕМ'!F19)*СПРАВОЧНИК!$I$4+('ФАКТ ЧЕРН ПОДЗЕМ'!G19)*СПРАВОЧНИК!$J$4+('ФАКТ ЧЕРН ПОДЗЕМ'!H19)*СПРАВОЧНИК!$H$5+('ФАКТ ЧЕРН ПОДЗЕМ'!I19)*СПРАВОЧНИК!$I$5+('ФАКТ ЧЕРН ПОДЗЕМ'!J19)*СПРАВОЧНИК!$J$5+('ФАКТ ЧЕРН ПОДЗЕМ'!K19)*СПРАВОЧНИК!$H$6+('ФАКТ ЧЕРН ПОДЗЕМ'!L19)*СПРАВОЧНИК!$I$6+('ФАКТ ЧЕРН ПОДЗЕМ'!M19)*СПРАВОЧНИК!$J$6+('ФАКТ ЧЕРН ПОДЗЕМ'!N19)*СПРАВОЧНИК!$H$7+('ФАКТ ЧЕРН ПОДЗЕМ'!O19)*СПРАВОЧНИК!$I$7+('ФАКТ ЧЕРН ПОДЗЕМ'!P19)*СПРАВОЧНИК!$J$7+('ФАКТ ЧЕРН ПОДЗЕМ'!Q19)*СПРАВОЧНИК!$H$8+('ФАКТ ЧЕРН ПОДЗЕМ'!R19)*СПРАВОЧНИК!$I$8+('ФАКТ ЧЕРН ПОДЗЕМ'!S19)*СПРАВОЧНИК!$J$8</f>
        <v>0</v>
      </c>
      <c r="O28" s="18">
        <f t="shared" si="14"/>
        <v>46272</v>
      </c>
      <c r="P28" s="37">
        <f>'ПЛАН ЧИСТ ПОДЗЕМ'!B19*СПРАВОЧНИК!$L$3+'ПЛАН ЧИСТ ПОДЗЕМ'!C19*СПРАВОЧНИК!$M$3+'ПЛАН ЧИСТ ПОДЗЕМ'!D19*СПРАВОЧНИК!$N$3+'ПЛАН ЧИСТ ПОДЗЕМ'!E19*СПРАВОЧНИК!$L$4+'ПЛАН ЧИСТ ПОДЗЕМ'!F19*СПРАВОЧНИК!$M$4+'ПЛАН ЧИСТ ПОДЗЕМ'!G19*СПРАВОЧНИК!$N$4+'ПЛАН ЧИСТ ПОДЗЕМ'!H19*СПРАВОЧНИК!$L$5+'ПЛАН ЧИСТ ПОДЗЕМ'!I19*СПРАВОЧНИК!$M$5+'ПЛАН ЧИСТ ПОДЗЕМ'!J19*СПРАВОЧНИК!$N$5+'ПЛАН ЧИСТ ПОДЗЕМ'!K19*СПРАВОЧНИК!$L$6+'ПЛАН ЧИСТ ПОДЗЕМ'!L19*СПРАВОЧНИК!$M$6+'ПЛАН ЧИСТ ПОДЗЕМ'!M19*СПРАВОЧНИК!$N$6+'ПЛАН ЧИСТ ПОДЗЕМ'!N19*СПРАВОЧНИК!$L$7+'ПЛАН ЧИСТ ПОДЗЕМ'!O19*СПРАВОЧНИК!$M$7+'ПЛАН ЧИСТ ПОДЗЕМ'!P19*СПРАВОЧНИК!$N$7+'ПЛАН ЧИСТ ПОДЗЕМ'!Q19*СПРАВОЧНИК!$L$8+'ПЛАН ЧИСТ ПОДЗЕМ'!R19*СПРАВОЧНИК!$M$8+'ПЛАН ЧИСТ ПОДЗЕМ'!S19*СПРАВОЧНИК!$N$8</f>
        <v>0</v>
      </c>
      <c r="Q28" s="40">
        <f>('ФАКТ ЧИСТ ПОДЗЕМ'!B19)*СПРАВОЧНИК!$L$3+('ФАКТ ЧИСТ ПОДЗЕМ'!C19)*СПРАВОЧНИК!$M$3+('ФАКТ ЧИСТ ПОДЗЕМ'!D19)*СПРАВОЧНИК!$N$3+('ФАКТ ЧИСТ ПОДЗЕМ'!E19)*СПРАВОЧНИК!$L$4+('ФАКТ ЧИСТ ПОДЗЕМ'!F19)*СПРАВОЧНИК!$M$4+('ФАКТ ЧИСТ ПОДЗЕМ'!G19)*СПРАВОЧНИК!$N$4+('ФАКТ ЧИСТ ПОДЗЕМ'!H19)*СПРАВОЧНИК!$L$5+('ФАКТ ЧИСТ ПОДЗЕМ'!I19)*СПРАВОЧНИК!$M$5+('ФАКТ ЧИСТ ПОДЗЕМ'!J19)*СПРАВОЧНИК!$N$5+('ФАКТ ЧИСТ ПОДЗЕМ'!K19)*СПРАВОЧНИК!$L$6+('ФАКТ ЧИСТ ПОДЗЕМ'!L19)*СПРАВОЧНИК!$M$6+('ФАКТ ЧИСТ ПОДЗЕМ'!M19)*СПРАВОЧНИК!$N$6+('ФАКТ ЧИСТ ПОДЗЕМ'!N19)*СПРАВОЧНИК!$L$7+('ФАКТ ЧИСТ ПОДЗЕМ'!O19)*СПРАВОЧНИК!$M$7+('ФАКТ ЧИСТ ПОДЗЕМ'!P19)*СПРАВОЧНИК!$N$7+('ФАКТ ЧИСТ ПОДЗЕМ'!Q19)*СПРАВОЧНИК!$L$8+('ФАКТ ЧИСТ ПОДЗЕМ'!R19)*СПРАВОЧНИК!$M$8+('ФАКТ ЧИСТ ПОДЗЕМ'!S19)*СПРАВОЧНИК!$N$8</f>
        <v>0</v>
      </c>
      <c r="U28" s="18">
        <f t="shared" si="15"/>
        <v>46272</v>
      </c>
      <c r="V28" s="37">
        <f>СПРАВОЧНИК!$E$9*('ПЛАН ЧЕРН К1'!B19*СПРАВОЧНИК!$H$9+'ПЛАН ЧЕРН К1'!C19*СПРАВОЧНИК!$I$9+'ПЛАН ЧЕРН К1'!D19*СПРАВОЧНИК!$J$9)+СПРАВОЧНИК!$E$10*('ПЛАН ЧЕРН К1'!E19*СПРАВОЧНИК!$H$10+'ПЛАН ЧЕРН К1'!F19*СПРАВОЧНИК!$I$10+'ПЛАН ЧЕРН К1'!G19*СПРАВОЧНИК!$J$10)+СПРАВОЧНИК!$E$11*('ПЛАН ЧЕРН К1'!H19*СПРАВОЧНИК!$H$11+'ПЛАН ЧЕРН К1'!I19*СПРАВОЧНИК!$I$11+'ПЛАН ЧЕРН К1'!J19*СПРАВОЧНИК!$J$11)+СПРАВОЧНИК!$E$12*('ПЛАН ЧЕРН К1'!K19*СПРАВОЧНИК!$H$12+'ПЛАН ЧЕРН К1'!L19*СПРАВОЧНИК!$I$12+'ПЛАН ЧЕРН К1'!M19*СПРАВОЧНИК!$J$12)+СПРАВОЧНИК!$E$13*('ПЛАН ЧЕРН К1'!N19*СПРАВОЧНИК!$H$13+'ПЛАН ЧЕРН К1'!O19*СПРАВОЧНИК!$I$13+'ПЛАН ЧЕРН К1'!P19*СПРАВОЧНИК!$J$13)+СПРАВОЧНИК!$E$14*('ПЛАН ЧЕРН К1'!Q19*СПРАВОЧНИК!$H$14+'ПЛАН ЧЕРН К1'!R19*СПРАВОЧНИК!$I$14+'ПЛАН ЧЕРН К1'!S19*СПРАВОЧНИК!$J$14)+СПРАВОЧНИК!$E$15*('ПЛАН ЧЕРН К1'!T19*СПРАВОЧНИК!$H$15+'ПЛАН ЧЕРН К1'!U19*СПРАВОЧНИК!$I$15+'ПЛАН ЧЕРН К1'!V19*СПРАВОЧНИК!$J$15)+СПРАВОЧНИК!$F$9*('ПЛАН ЧИСТ К1'!B19*СПРАВОЧНИК!$L$9+'ПЛАН ЧИСТ К1'!C19*СПРАВОЧНИК!$M$9+'ПЛАН ЧИСТ К1'!D19*СПРАВОЧНИК!$N$9+'ПЛАН ЧИСТ К1'!E19*СПРАВОЧНИК!$O$9)+СПРАВОЧНИК!$F$10*('ПЛАН ЧИСТ К1'!F19*СПРАВОЧНИК!$L$10+'ПЛАН ЧИСТ К1'!G19*СПРАВОЧНИК!$M$10+'ПЛАН ЧИСТ К1'!H19*СПРАВОЧНИК!$N$10)+СПРАВОЧНИК!$F$11*('ПЛАН ЧИСТ К1'!I19*СПРАВОЧНИК!$L$11+'ПЛАН ЧИСТ К1'!J19*СПРАВОЧНИК!$M$11+'ПЛАН ЧИСТ К1'!K19*СПРАВОЧНИК!$N$11)+СПРАВОЧНИК!$F$12*('ПЛАН ЧИСТ К1'!L19*СПРАВОЧНИК!$L$12+'ПЛАН ЧИСТ К1'!M19*СПРАВОЧНИК!$M$12+'ПЛАН ЧИСТ К1'!N19*СПРАВОЧНИК!$N$12)+СПРАВОЧНИК!$F$13*('ПЛАН ЧИСТ К1'!O19*СПРАВОЧНИК!$L$13+'ПЛАН ЧИСТ К1'!P19*СПРАВОЧНИК!$M$13+'ПЛАН ЧИСТ К1'!Q19*СПРАВОЧНИК!$N$13)+СПРАВОЧНИК!$F$14*('ПЛАН ЧИСТ К1'!R19*СПРАВОЧНИК!$L$14+'ПЛАН ЧИСТ К1'!S19*СПРАВОЧНИК!$M$14+'ПЛАН ЧИСТ К1'!T19*СПРАВОЧНИК!$N$14)+СПРАВОЧНИК!$F$15*('ПЛАН ЧИСТ К1'!U19*СПРАВОЧНИК!$L$15+'ПЛАН ЧИСТ К1'!V19*СПРАВОЧНИК!$M$15+'ПЛАН ЧИСТ К1'!W19*СПРАВОЧНИК!$N$15)</f>
        <v>0</v>
      </c>
      <c r="W28" s="40">
        <f>СПРАВОЧНИК!$E$9*(('ФАКТ ЧЕРН К1'!B19)*СПРАВОЧНИК!$H$9+('ФАКТ ЧЕРН К1'!C19)*СПРАВОЧНИК!$I$9+('ФАКТ ЧЕРН К1'!D19)*СПРАВОЧНИК!$J$9)+СПРАВОЧНИК!$E$10*(('ФАКТ ЧЕРН К1'!E19)*СПРАВОЧНИК!$H$10+('ФАКТ ЧЕРН К1'!F19)*СПРАВОЧНИК!$I$10+('ФАКТ ЧЕРН К1'!G19)*СПРАВОЧНИК!$J$10)+СПРАВОЧНИК!$E$11*(('ФАКТ ЧЕРН К1'!H19)*СПРАВОЧНИК!$H$11+('ФАКТ ЧЕРН К1'!I19)*СПРАВОЧНИК!$I$11+('ФАКТ ЧЕРН К1'!J19)*СПРАВОЧНИК!$J$11)+СПРАВОЧНИК!$E$12*(('ФАКТ ЧЕРН К1'!K19)*СПРАВОЧНИК!$H$12+('ФАКТ ЧЕРН К1'!L19)*СПРАВОЧНИК!$I$12+('ФАКТ ЧЕРН К1'!M19)*СПРАВОЧНИК!$J$12)+СПРАВОЧНИК!$E$13*(('ФАКТ ЧЕРН К1'!N19)*СПРАВОЧНИК!$H$13+('ФАКТ ЧЕРН К1'!O19)*СПРАВОЧНИК!$I$13+('ФАКТ ЧЕРН К1'!P19)*СПРАВОЧНИК!$J$13)+СПРАВОЧНИК!$E$14*(('ФАКТ ЧЕРН К1'!Q19)*СПРАВОЧНИК!$H$14+('ФАКТ ЧЕРН К1'!R19)*СПРАВОЧНИК!$I$14+('ФАКТ ЧЕРН К1'!S19)*СПРАВОЧНИК!$J$14)+СПРАВОЧНИК!$E$15*(('ФАКТ ЧЕРН К1'!T19)*СПРАВОЧНИК!$H$15+('ФАКТ ЧЕРН К1'!U19)*СПРАВОЧНИК!$I$15+('ФАКТ ЧЕРН К1'!V19)*СПРАВОЧНИК!$J$15)+СПРАВОЧНИК!$F$9*(('ФАКТ ЧИСТ К1'!B19)*СПРАВОЧНИК!$L$9+('ФАКТ ЧИСТ К1'!C19)*СПРАВОЧНИК!$M$9+('ФАКТ ЧИСТ К1'!D19)*СПРАВОЧНИК!$N$9+('ФАКТ ЧИСТ К1'!E19)*СПРАВОЧНИК!$O$9)+СПРАВОЧНИК!$F$10*(('ФАКТ ЧИСТ К1'!F19)*СПРАВОЧНИК!$L$10+('ФАКТ ЧИСТ К1'!G19)*СПРАВОЧНИК!$M$10+('ФАКТ ЧИСТ К1'!H19)*СПРАВОЧНИК!$N$10)+СПРАВОЧНИК!$F$11*(('ФАКТ ЧИСТ К1'!I19)*СПРАВОЧНИК!$L$11+('ФАКТ ЧИСТ К1'!J19)*СПРАВОЧНИК!$M$11+('ФАКТ ЧИСТ К1'!K19)*СПРАВОЧНИК!$N$11)+СПРАВОЧНИК!$F$12*(('ФАКТ ЧИСТ К1'!L19)*СПРАВОЧНИК!$L$12+('ФАКТ ЧИСТ К1'!M19)*СПРАВОЧНИК!$M$12+('ФАКТ ЧИСТ К1'!N19)*СПРАВОЧНИК!$N$12)+СПРАВОЧНИК!$F$13*(('ФАКТ ЧИСТ К1'!O19)*СПРАВОЧНИК!$L$13+('ФАКТ ЧИСТ К1'!P19)*СПРАВОЧНИК!$M$13+('ФАКТ ЧИСТ К1'!Q19)*СПРАВОЧНИК!$N$13)+СПРАВОЧНИК!$F$14*(('ФАКТ ЧИСТ К1'!R19)*СПРАВОЧНИК!$L$14+('ФАКТ ЧИСТ К1'!S19)*СПРАВОЧНИК!$M$14+('ФАКТ ЧИСТ К1'!T19)*СПРАВОЧНИК!$N$14)+СПРАВОЧНИК!$F$15*(('ФАКТ ЧИСТ К1'!U19)*СПРАВОЧНИК!$L$15+('ФАКТ ЧИСТ К1'!V19)*СПРАВОЧНИК!$M$15+('ФАКТ ЧИСТ К1'!W19)*СПРАВОЧНИК!$N$15)</f>
        <v>0</v>
      </c>
      <c r="AA28" s="18">
        <f t="shared" si="16"/>
        <v>46272</v>
      </c>
      <c r="AB28" s="37">
        <f>'ПЛАН ЧЕРН К1'!B19*СПРАВОЧНИК!$H$9+'ПЛАН ЧЕРН К1'!C19*СПРАВОЧНИК!$I$9+'ПЛАН ЧЕРН К1'!D19*СПРАВОЧНИК!$J$9+'ПЛАН ЧЕРН К1'!E19*СПРАВОЧНИК!$H$10+'ПЛАН ЧЕРН К1'!F19*СПРАВОЧНИК!$I$10+'ПЛАН ЧЕРН К1'!G19*СПРАВОЧНИК!$J$10+'ПЛАН ЧЕРН К1'!H19*СПРАВОЧНИК!$H$11+'ПЛАН ЧЕРН К1'!I19*СПРАВОЧНИК!$I$11+'ПЛАН ЧЕРН К1'!J19*СПРАВОЧНИК!$J$11+'ПЛАН ЧЕРН К1'!K19*СПРАВОЧНИК!$H$12+'ПЛАН ЧЕРН К1'!L19*СПРАВОЧНИК!$I$12+'ПЛАН ЧЕРН К1'!M19*СПРАВОЧНИК!$J$12+'ПЛАН ЧЕРН К1'!N19*СПРАВОЧНИК!$H$13+'ПЛАН ЧЕРН К1'!O19*СПРАВОЧНИК!$I$13+'ПЛАН ЧЕРН К1'!P19*СПРАВОЧНИК!$J$13+'ПЛАН ЧЕРН К1'!Q19*СПРАВОЧНИК!$H$14+'ПЛАН ЧЕРН К1'!R19*СПРАВОЧНИК!$I$14+'ПЛАН ЧЕРН К1'!S19*СПРАВОЧНИК!$J$14+'ПЛАН ЧЕРН К1'!T19*СПРАВОЧНИК!$H$15+'ПЛАН ЧЕРН К1'!U19*СПРАВОЧНИК!$I$15+'ПЛАН ЧЕРН К1'!V19*СПРАВОЧНИК!$J$15</f>
        <v>0</v>
      </c>
      <c r="AC28" s="40">
        <f>('ФАКТ ЧЕРН К1'!B19)*СПРАВОЧНИК!$H$9+('ФАКТ ЧЕРН К1'!C19)*СПРАВОЧНИК!$I$9+('ФАКТ ЧЕРН К1'!D19)*СПРАВОЧНИК!$J$9+('ФАКТ ЧЕРН К1'!E19)*СПРАВОЧНИК!$H$10+('ФАКТ ЧЕРН К1'!F19)*СПРАВОЧНИК!$I$10+('ФАКТ ЧЕРН К1'!G19)*СПРАВОЧНИК!$J$10+('ФАКТ ЧЕРН К1'!H19)*СПРАВОЧНИК!$H$11+('ФАКТ ЧЕРН К1'!I19)*СПРАВОЧНИК!$I$11+('ФАКТ ЧЕРН К1'!J19)*СПРАВОЧНИК!$J$11+('ФАКТ ЧЕРН К1'!K19)*СПРАВОЧНИК!$H$12+('ФАКТ ЧЕРН К1'!L19)*СПРАВОЧНИК!$I$12+('ФАКТ ЧЕРН К1'!M19)*СПРАВОЧНИК!$J$12+('ФАКТ ЧЕРН К1'!N19)*СПРАВОЧНИК!$H$13+('ФАКТ ЧЕРН К1'!O19)*СПРАВОЧНИК!$I$13+('ФАКТ ЧЕРН К1'!P19)*СПРАВОЧНИК!$J$13+('ФАКТ ЧЕРН К1'!Q19)*СПРАВОЧНИК!$H$14+('ФАКТ ЧЕРН К1'!R19)*СПРАВОЧНИК!$I$14+('ФАКТ ЧЕРН К1'!S19)*СПРАВОЧНИК!$J$14+('ФАКТ ЧЕРН К1'!T19)*СПРАВОЧНИК!$H$15+('ФАКТ ЧЕРН К1'!U19)*СПРАВОЧНИК!$I$15+('ФАКТ ЧЕРН К1'!V19)*СПРАВОЧНИК!$J$15</f>
        <v>0</v>
      </c>
      <c r="AG28" s="18">
        <f t="shared" si="17"/>
        <v>46272</v>
      </c>
      <c r="AH28" s="37">
        <f>'ПЛАН ЧИСТ К1'!B19*СПРАВОЧНИК!$L$9+'ПЛАН ЧИСТ К1'!C19*СПРАВОЧНИК!$M$9+'ПЛАН ЧИСТ К1'!D19*СПРАВОЧНИК!$N$9+'ПЛАН ЧИСТ К1'!E19*СПРАВОЧНИК!$O$9+'ПЛАН ЧИСТ К1'!F19*СПРАВОЧНИК!$L$10+'ПЛАН ЧИСТ К1'!G19*СПРАВОЧНИК!$M$10+'ПЛАН ЧИСТ К1'!H19*СПРАВОЧНИК!$N$10+'ПЛАН ЧИСТ К1'!I19*СПРАВОЧНИК!$L$11+'ПЛАН ЧИСТ К1'!J19*СПРАВОЧНИК!$M$11+'ПЛАН ЧИСТ К1'!K19*СПРАВОЧНИК!$N$11+'ПЛАН ЧИСТ К1'!L19*СПРАВОЧНИК!$L$12+'ПЛАН ЧИСТ К1'!M19*СПРАВОЧНИК!$M$12+'ПЛАН ЧИСТ К1'!N19*СПРАВОЧНИК!$N$12+'ПЛАН ЧИСТ К1'!O19*СПРАВОЧНИК!$L$13+'ПЛАН ЧИСТ К1'!P19*СПРАВОЧНИК!$M$13+'ПЛАН ЧИСТ К1'!Q19*СПРАВОЧНИК!$N$13+'ПЛАН ЧИСТ К1'!R19*СПРАВОЧНИК!$L$14+'ПЛАН ЧИСТ К1'!S19*СПРАВОЧНИК!$M$14+'ПЛАН ЧИСТ К1'!T19*СПРАВОЧНИК!$N$14+'ПЛАН ЧИСТ К1'!U19*СПРАВОЧНИК!$L$15+'ПЛАН ЧИСТ К1'!V19*СПРАВОЧНИК!$M$15+'ПЛАН ЧИСТ К1'!W19*СПРАВОЧНИК!$N$15</f>
        <v>0</v>
      </c>
      <c r="AI28" s="40">
        <f>('ФАКТ ЧИСТ К1'!B19)*СПРАВОЧНИК!$L$9+('ФАКТ ЧИСТ К1'!C19)*СПРАВОЧНИК!$M$9+('ФАКТ ЧИСТ К1'!D19)*СПРАВОЧНИК!$N$9+('ФАКТ ЧИСТ К1'!E19)*СПРАВОЧНИК!$O$9+('ФАКТ ЧИСТ К1'!F19)*СПРАВОЧНИК!$L$10+('ФАКТ ЧИСТ К1'!G19)*СПРАВОЧНИК!$M$10+('ФАКТ ЧИСТ К1'!H19)*СПРАВОЧНИК!$N$10+('ФАКТ ЧИСТ К1'!I19)*СПРАВОЧНИК!$L$11+('ФАКТ ЧИСТ К1'!J19)*СПРАВОЧНИК!$M$11+('ФАКТ ЧИСТ К1'!K19)*СПРАВОЧНИК!$N$11+('ФАКТ ЧИСТ К1'!L19)*СПРАВОЧНИК!$L$12+('ФАКТ ЧИСТ К1'!M19)*СПРАВОЧНИК!$M$12+('ФАКТ ЧИСТ К1'!N19)*СПРАВОЧНИК!$N$12+('ФАКТ ЧИСТ К1'!O19)*СПРАВОЧНИК!$L$13+('ФАКТ ЧИСТ К1'!P19)*СПРАВОЧНИК!$M$13+('ФАКТ ЧИСТ К1'!Q19)*СПРАВОЧНИК!$N$13+('ФАКТ ЧИСТ К1'!R19)*СПРАВОЧНИК!$L$14+('ФАКТ ЧИСТ К1'!S19)*СПРАВОЧНИК!$M$14+('ФАКТ ЧИСТ К1'!T19)*СПРАВОЧНИК!$N$14+('ФАКТ ЧИСТ К1'!U19)*СПРАВОЧНИК!$L$15+('ФАКТ ЧИСТ К1'!V19)*СПРАВОЧНИК!$M$15+('ФАКТ ЧИСТ К1'!W19)*СПРАВОЧНИК!$N$15</f>
        <v>0</v>
      </c>
      <c r="AM28" s="18">
        <f t="shared" si="18"/>
        <v>46272</v>
      </c>
      <c r="AN28" s="37">
        <f>СПРАВОЧНИК!$E$9*('ПЛАН ЧЕРН К2'!B19*СПРАВОЧНИК!$H$9+'ПЛАН ЧЕРН К2'!C19*СПРАВОЧНИК!$I$9+'ПЛАН ЧЕРН К2'!D19*СПРАВОЧНИК!$J$9)+СПРАВОЧНИК!$E$10*('ПЛАН ЧЕРН К2'!E19*СПРАВОЧНИК!$H$10+'ПЛАН ЧЕРН К2'!F19*СПРАВОЧНИК!$I$10+'ПЛАН ЧЕРН К2'!G19*СПРАВОЧНИК!$J$10)+СПРАВОЧНИК!$E$11*('ПЛАН ЧЕРН К2'!H19*СПРАВОЧНИК!$H$11+'ПЛАН ЧЕРН К2'!I19*СПРАВОЧНИК!$I$11+'ПЛАН ЧЕРН К2'!J19*СПРАВОЧНИК!$J$11)+СПРАВОЧНИК!$E$12*('ПЛАН ЧЕРН К2'!K19*СПРАВОЧНИК!$H$12+'ПЛАН ЧЕРН К2'!L19*СПРАВОЧНИК!$I$12+'ПЛАН ЧЕРН К2'!M19*СПРАВОЧНИК!$J$12)+СПРАВОЧНИК!$E$13*('ПЛАН ЧЕРН К2'!N19*СПРАВОЧНИК!$H$13+'ПЛАН ЧЕРН К2'!O19*СПРАВОЧНИК!$I$13+'ПЛАН ЧЕРН К2'!P19*СПРАВОЧНИК!$J$13)+СПРАВОЧНИК!$E$14*('ПЛАН ЧЕРН К2'!Q19*СПРАВОЧНИК!$H$14+'ПЛАН ЧЕРН К2'!R19*СПРАВОЧНИК!$I$14+'ПЛАН ЧЕРН К2'!S19*СПРАВОЧНИК!$J$14)+СПРАВОЧНИК!$E$15*('ПЛАН ЧЕРН К2'!T19*СПРАВОЧНИК!$H$15+'ПЛАН ЧЕРН К2'!U19*СПРАВОЧНИК!$I$15+'ПЛАН ЧЕРН К2'!V19*СПРАВОЧНИК!$J$15)+СПРАВОЧНИК!$F$9*('ПЛАН ЧИСТ К2'!B19*СПРАВОЧНИК!$L$9+'ПЛАН ЧИСТ К2'!C19*СПРАВОЧНИК!$M$9+'ПЛАН ЧИСТ К2'!D19*СПРАВОЧНИК!$N$9+'ПЛАН ЧИСТ К2'!E19*СПРАВОЧНИК!$O$9)+СПРАВОЧНИК!$F$10*('ПЛАН ЧИСТ К2'!F19*СПРАВОЧНИК!$L$10+'ПЛАН ЧИСТ К2'!G19*СПРАВОЧНИК!$M$10+'ПЛАН ЧИСТ К2'!H19*СПРАВОЧНИК!$N$10)+СПРАВОЧНИК!$F$11*('ПЛАН ЧИСТ К2'!I19*СПРАВОЧНИК!$L$11+'ПЛАН ЧИСТ К2'!J19*СПРАВОЧНИК!$M$11+'ПЛАН ЧИСТ К2'!K19*СПРАВОЧНИК!$N$11)+СПРАВОЧНИК!$F$12*('ПЛАН ЧИСТ К2'!L19*СПРАВОЧНИК!$L$12+'ПЛАН ЧИСТ К2'!M19*СПРАВОЧНИК!$M$12+'ПЛАН ЧИСТ К2'!N19*СПРАВОЧНИК!$N$12)+СПРАВОЧНИК!$F$13*('ПЛАН ЧИСТ К2'!O19*СПРАВОЧНИК!$L$13+'ПЛАН ЧИСТ К2'!P19*СПРАВОЧНИК!$M$13+'ПЛАН ЧИСТ К2'!Q19*СПРАВОЧНИК!$N$13)+СПРАВОЧНИК!$F$14*('ПЛАН ЧИСТ К2'!R19*СПРАВОЧНИК!$L$14+'ПЛАН ЧИСТ К2'!S19*СПРАВОЧНИК!$M$14+'ПЛАН ЧИСТ К2'!T19*СПРАВОЧНИК!$N$14)+СПРАВОЧНИК!$F$15*('ПЛАН ЧИСТ К2'!U19*СПРАВОЧНИК!$L$15+'ПЛАН ЧИСТ К2'!V19*СПРАВОЧНИК!$M$15+'ПЛАН ЧИСТ К2'!W19*СПРАВОЧНИК!$N$15)</f>
        <v>0</v>
      </c>
      <c r="AO28" s="40">
        <f>СПРАВОЧНИК!$E$9*(('ФАКТ ЧЕРН К2'!B19)*СПРАВОЧНИК!$H$9+('ФАКТ ЧЕРН К2'!C19)*СПРАВОЧНИК!$I$9+('ФАКТ ЧЕРН К2'!D19)*СПРАВОЧНИК!$J$9)+СПРАВОЧНИК!$E$10*(('ФАКТ ЧЕРН К2'!E19)*СПРАВОЧНИК!$H$10+('ФАКТ ЧЕРН К2'!F19)*СПРАВОЧНИК!$I$10+('ФАКТ ЧЕРН К2'!G19)*СПРАВОЧНИК!$J$10)+СПРАВОЧНИК!$E$11*(('ФАКТ ЧЕРН К2'!H19)*СПРАВОЧНИК!$H$11+('ФАКТ ЧЕРН К2'!I19)*СПРАВОЧНИК!$I$11+('ФАКТ ЧЕРН К2'!J19)*СПРАВОЧНИК!$J$11)+СПРАВОЧНИК!$E$12*(('ФАКТ ЧЕРН К2'!K19)*СПРАВОЧНИК!$H$12+('ФАКТ ЧЕРН К2'!L19)*СПРАВОЧНИК!$I$12+('ФАКТ ЧЕРН К2'!M19)*СПРАВОЧНИК!$J$12)+СПРАВОЧНИК!$E$13*(('ФАКТ ЧЕРН К2'!N19)*СПРАВОЧНИК!$H$13+('ФАКТ ЧЕРН К2'!O19)*СПРАВОЧНИК!$I$13+('ФАКТ ЧЕРН К2'!P19)*СПРАВОЧНИК!$J$13)+СПРАВОЧНИК!$E$14*(('ФАКТ ЧЕРН К2'!Q19)*СПРАВОЧНИК!$H$14+('ФАКТ ЧЕРН К2'!R19)*СПРАВОЧНИК!$I$14+('ФАКТ ЧЕРН К2'!S19)*СПРАВОЧНИК!$J$14)+СПРАВОЧНИК!$E$15*(('ФАКТ ЧЕРН К2'!T19)*СПРАВОЧНИК!$H$15+('ФАКТ ЧЕРН К2'!U19)*СПРАВОЧНИК!$I$15+('ФАКТ ЧЕРН К2'!V19)*СПРАВОЧНИК!$J$15)+СПРАВОЧНИК!$F$9*(('ФАКТ ЧИСТ К2'!B19)*СПРАВОЧНИК!$L$9+('ФАКТ ЧИСТ К2'!C19)*СПРАВОЧНИК!$M$9+('ФАКТ ЧИСТ К2'!D19)*СПРАВОЧНИК!$N$9+('ФАКТ ЧИСТ К2'!E19)*СПРАВОЧНИК!$O$9)+СПРАВОЧНИК!$F$10*(('ФАКТ ЧИСТ К2'!F19)*СПРАВОЧНИК!$L$10+('ФАКТ ЧИСТ К2'!G19)*СПРАВОЧНИК!$M$10+('ФАКТ ЧИСТ К2'!H19)*СПРАВОЧНИК!$N$10)+СПРАВОЧНИК!$F$11*(('ФАКТ ЧИСТ К2'!I19)*СПРАВОЧНИК!$L$11+('ФАКТ ЧИСТ К2'!J19)*СПРАВОЧНИК!$M$11+('ФАКТ ЧИСТ К2'!K19)*СПРАВОЧНИК!$N$11)+СПРАВОЧНИК!$F$12*(('ФАКТ ЧИСТ К2'!L19)*СПРАВОЧНИК!$L$12+('ФАКТ ЧИСТ К2'!M19)*СПРАВОЧНИК!$M$12+('ФАКТ ЧИСТ К2'!N19)*СПРАВОЧНИК!$N$12)+СПРАВОЧНИК!$F$13*(('ФАКТ ЧИСТ К2'!O19)*СПРАВОЧНИК!$L$13+('ФАКТ ЧИСТ К2'!P19)*СПРАВОЧНИК!$M$13+('ФАКТ ЧИСТ К2'!Q19)*СПРАВОЧНИК!$N$13)+СПРАВОЧНИК!$F$14*(('ФАКТ ЧИСТ К2'!R19)*СПРАВОЧНИК!$L$14+('ФАКТ ЧИСТ К2'!S19)*СПРАВОЧНИК!$M$14+('ФАКТ ЧИСТ К2'!T19)*СПРАВОЧНИК!$N$14)+СПРАВОЧНИК!$F$15*(('ФАКТ ЧИСТ К2'!U19)*СПРАВОЧНИК!$L$15+('ФАКТ ЧИСТ К2'!V19)*СПРАВОЧНИК!$M$15+('ФАКТ ЧИСТ К2'!W19)*СПРАВОЧНИК!$N$15)</f>
        <v>0</v>
      </c>
      <c r="AS28" s="18">
        <f t="shared" si="19"/>
        <v>46272</v>
      </c>
      <c r="AT28" s="37">
        <f>'ПЛАН ЧЕРН К2'!B19*СПРАВОЧНИК!$H$9+'ПЛАН ЧЕРН К2'!C19*СПРАВОЧНИК!$I$9+'ПЛАН ЧЕРН К2'!D19*СПРАВОЧНИК!$J$9+'ПЛАН ЧЕРН К2'!E19*СПРАВОЧНИК!$H$10+'ПЛАН ЧЕРН К2'!F19*СПРАВОЧНИК!$I$10+'ПЛАН ЧЕРН К2'!G19*СПРАВОЧНИК!$J$10+'ПЛАН ЧЕРН К2'!H19*СПРАВОЧНИК!$H$11+'ПЛАН ЧЕРН К2'!I19*СПРАВОЧНИК!$I$11+'ПЛАН ЧЕРН К2'!J19*СПРАВОЧНИК!$J$11+'ПЛАН ЧЕРН К2'!K19*СПРАВОЧНИК!$H$12+'ПЛАН ЧЕРН К2'!L19*СПРАВОЧНИК!$I$12+'ПЛАН ЧЕРН К2'!M19*СПРАВОЧНИК!$J$12+'ПЛАН ЧЕРН К2'!N19*СПРАВОЧНИК!$H$13+'ПЛАН ЧЕРН К2'!O19*СПРАВОЧНИК!$I$13+'ПЛАН ЧЕРН К2'!P19*СПРАВОЧНИК!$J$13+'ПЛАН ЧЕРН К2'!Q19*СПРАВОЧНИК!$H$14+'ПЛАН ЧЕРН К2'!R19*СПРАВОЧНИК!$I$14+'ПЛАН ЧЕРН К2'!S19*СПРАВОЧНИК!$J$14+'ПЛАН ЧЕРН К2'!T19*СПРАВОЧНИК!$H$15+'ПЛАН ЧЕРН К2'!U19*СПРАВОЧНИК!$I$15+'ПЛАН ЧЕРН К2'!V19*СПРАВОЧНИК!$J$15</f>
        <v>0</v>
      </c>
      <c r="AU28" s="40">
        <f>('ФАКТ ЧЕРН К2'!B19)*СПРАВОЧНИК!$H$9+('ФАКТ ЧЕРН К2'!C19)*СПРАВОЧНИК!$I$9+('ФАКТ ЧЕРН К2'!D19)*СПРАВОЧНИК!$J$9+('ФАКТ ЧЕРН К2'!E19)*СПРАВОЧНИК!$H$10+('ФАКТ ЧЕРН К2'!F19)*СПРАВОЧНИК!$I$10+('ФАКТ ЧЕРН К2'!G19)*СПРАВОЧНИК!$J$10+('ФАКТ ЧЕРН К2'!H19)*СПРАВОЧНИК!$H$11+('ФАКТ ЧЕРН К2'!I19)*СПРАВОЧНИК!$I$11+('ФАКТ ЧЕРН К2'!J19)*СПРАВОЧНИК!$J$11+('ФАКТ ЧЕРН К2'!K19)*СПРАВОЧНИК!$H$12+('ФАКТ ЧЕРН К2'!L19)*СПРАВОЧНИК!$I$12+('ФАКТ ЧЕРН К2'!M19)*СПРАВОЧНИК!$J$12+('ФАКТ ЧЕРН К2'!N19)*СПРАВОЧНИК!$H$13+('ФАКТ ЧЕРН К2'!O19)*СПРАВОЧНИК!$I$13+('ФАКТ ЧЕРН К2'!P19)*СПРАВОЧНИК!$J$13+('ФАКТ ЧЕРН К2'!Q19)*СПРАВОЧНИК!$H$14+('ФАКТ ЧЕРН К2'!R19)*СПРАВОЧНИК!$I$14+('ФАКТ ЧЕРН К2'!S19)*СПРАВОЧНИК!$J$14+('ФАКТ ЧЕРН К2'!T19)*СПРАВОЧНИК!$H$15+('ФАКТ ЧЕРН К2'!U19)*СПРАВОЧНИК!$I$15+('ФАКТ ЧЕРН К2'!V19)*СПРАВОЧНИК!$J$15</f>
        <v>0</v>
      </c>
      <c r="AY28" s="18">
        <f t="shared" si="20"/>
        <v>46272</v>
      </c>
      <c r="AZ28" s="37">
        <f>'ПЛАН ЧИСТ К2'!B19*СПРАВОЧНИК!$L$9+'ПЛАН ЧИСТ К2'!C19*СПРАВОЧНИК!$M$9+'ПЛАН ЧИСТ К2'!D19*СПРАВОЧНИК!$N$9+'ПЛАН ЧИСТ К2'!E19*СПРАВОЧНИК!$O$9+'ПЛАН ЧИСТ К2'!F19*СПРАВОЧНИК!$L$10+'ПЛАН ЧИСТ К2'!G19*СПРАВОЧНИК!$M$10+'ПЛАН ЧИСТ К2'!H19*СПРАВОЧНИК!$N$10+'ПЛАН ЧИСТ К2'!I19*СПРАВОЧНИК!$L$11+'ПЛАН ЧИСТ К2'!J19*СПРАВОЧНИК!$M$11+'ПЛАН ЧИСТ К2'!K19*СПРАВОЧНИК!$N$11+'ПЛАН ЧИСТ К2'!L19*СПРАВОЧНИК!$L$12+'ПЛАН ЧИСТ К2'!M19*СПРАВОЧНИК!$M$12+'ПЛАН ЧИСТ К2'!N19*СПРАВОЧНИК!$N$12+'ПЛАН ЧИСТ К2'!O19*СПРАВОЧНИК!$L$13+'ПЛАН ЧИСТ К2'!P19*СПРАВОЧНИК!$M$13+'ПЛАН ЧИСТ К2'!Q19*СПРАВОЧНИК!$N$13+'ПЛАН ЧИСТ К2'!R19*СПРАВОЧНИК!$L$14+'ПЛАН ЧИСТ К2'!S19*СПРАВОЧНИК!$M$14+'ПЛАН ЧИСТ К2'!T19*СПРАВОЧНИК!$N$14+'ПЛАН ЧИСТ К2'!U19*СПРАВОЧНИК!$L$15+'ПЛАН ЧИСТ К2'!V19*СПРАВОЧНИК!$M$15+'ПЛАН ЧИСТ К2'!W19*СПРАВОЧНИК!$N$15</f>
        <v>0</v>
      </c>
      <c r="BA28" s="40">
        <f>('ФАКТ ЧИСТ К2'!B19)*СПРАВОЧНИК!$L$9+('ФАКТ ЧИСТ К2'!C19)*СПРАВОЧНИК!$M$9+('ФАКТ ЧИСТ К2'!D19)*СПРАВОЧНИК!$N$9+('ФАКТ ЧИСТ К2'!E19)*СПРАВОЧНИК!$O$9+('ФАКТ ЧИСТ К2'!F19)*СПРАВОЧНИК!$L$10+('ФАКТ ЧИСТ К2'!G19)*СПРАВОЧНИК!$M$10+('ФАКТ ЧИСТ К2'!H19)*СПРАВОЧНИК!$N$10+('ФАКТ ЧИСТ К2'!I19)*СПРАВОЧНИК!$L$11+('ФАКТ ЧИСТ К2'!J19)*СПРАВОЧНИК!$M$11+('ФАКТ ЧИСТ К2'!K19)*СПРАВОЧНИК!$N$11+('ФАКТ ЧИСТ К2'!L19)*СПРАВОЧНИК!$L$12+('ФАКТ ЧИСТ К2'!M19)*СПРАВОЧНИК!$M$12+('ФАКТ ЧИСТ К2'!N19)*СПРАВОЧНИК!$N$12+('ФАКТ ЧИСТ К2'!O19)*СПРАВОЧНИК!$L$13+('ФАКТ ЧИСТ К2'!P19)*СПРАВОЧНИК!$M$13+('ФАКТ ЧИСТ К2'!Q19)*СПРАВОЧНИК!$N$13+('ФАКТ ЧИСТ К2'!R19)*СПРАВОЧНИК!$L$14+('ФАКТ ЧИСТ К2'!S19)*СПРАВОЧНИК!$M$14+('ФАКТ ЧИСТ К2'!T19)*СПРАВОЧНИК!$N$14+('ФАКТ ЧИСТ К2'!U19)*СПРАВОЧНИК!$L$15+('ФАКТ ЧИСТ К2'!V19)*СПРАВОЧНИК!$M$15+('ФАКТ ЧИСТ К2'!W19)*СПРАВОЧНИК!$N$15</f>
        <v>0</v>
      </c>
      <c r="BE28" s="18">
        <f t="shared" si="21"/>
        <v>46272</v>
      </c>
      <c r="BF28" s="37">
        <f>СПРАВОЧНИК!$E$9*('ПЛАН ЧЕРН К3'!B19*СПРАВОЧНИК!$H$9+'ПЛАН ЧЕРН К3'!C19*СПРАВОЧНИК!$I$9+'ПЛАН ЧЕРН К3'!D19*СПРАВОЧНИК!$J$9)+СПРАВОЧНИК!$E$10*('ПЛАН ЧЕРН К3'!E19*СПРАВОЧНИК!$H$10+'ПЛАН ЧЕРН К3'!F19*СПРАВОЧНИК!$I$10+'ПЛАН ЧЕРН К3'!G19*СПРАВОЧНИК!$J$10)+СПРАВОЧНИК!$E$11*('ПЛАН ЧЕРН К3'!H19*СПРАВОЧНИК!$H$11+'ПЛАН ЧЕРН К3'!I19*СПРАВОЧНИК!$I$11+'ПЛАН ЧЕРН К3'!J19*СПРАВОЧНИК!$J$11)+СПРАВОЧНИК!$E$12*('ПЛАН ЧЕРН К3'!K19*СПРАВОЧНИК!$H$12+'ПЛАН ЧЕРН К3'!L19*СПРАВОЧНИК!$I$12+'ПЛАН ЧЕРН К3'!M19*СПРАВОЧНИК!$J$12)+СПРАВОЧНИК!$E$13*('ПЛАН ЧЕРН К3'!N19*СПРАВОЧНИК!$H$13+'ПЛАН ЧЕРН К3'!O19*СПРАВОЧНИК!$I$13+'ПЛАН ЧЕРН К3'!P19*СПРАВОЧНИК!$J$13)+СПРАВОЧНИК!$E$14*('ПЛАН ЧЕРН К3'!Q19*СПРАВОЧНИК!$H$14+'ПЛАН ЧЕРН К3'!R19*СПРАВОЧНИК!$I$14+'ПЛАН ЧЕРН К3'!S19*СПРАВОЧНИК!$J$14)+СПРАВОЧНИК!$E$15*('ПЛАН ЧЕРН К3'!T19*СПРАВОЧНИК!$H$15+'ПЛАН ЧЕРН К3'!U19*СПРАВОЧНИК!$I$15+'ПЛАН ЧЕРН К3'!V19*СПРАВОЧНИК!$J$15)+СПРАВОЧНИК!$F$9*('ПЛАН ЧИСТ К3'!B19*СПРАВОЧНИК!$L$9+'ПЛАН ЧИСТ К3'!C19*СПРАВОЧНИК!$M$9+'ПЛАН ЧИСТ К3'!D19*СПРАВОЧНИК!$N$9+'ПЛАН ЧИСТ К3'!E19*СПРАВОЧНИК!$O$9)+СПРАВОЧНИК!$F$10*('ПЛАН ЧИСТ К3'!F19*СПРАВОЧНИК!$L$10+'ПЛАН ЧИСТ К3'!G19*СПРАВОЧНИК!$M$10+'ПЛАН ЧИСТ К3'!H19*СПРАВОЧНИК!$N$10)+СПРАВОЧНИК!$F$11*('ПЛАН ЧИСТ К3'!I19*СПРАВОЧНИК!$L$11+'ПЛАН ЧИСТ К3'!J19*СПРАВОЧНИК!$M$11+'ПЛАН ЧИСТ К3'!K19*СПРАВОЧНИК!$N$11)+СПРАВОЧНИК!$F$12*('ПЛАН ЧИСТ К3'!L19*СПРАВОЧНИК!$L$12+'ПЛАН ЧИСТ К3'!M19*СПРАВОЧНИК!$M$12+'ПЛАН ЧИСТ К3'!N19*СПРАВОЧНИК!$N$12)+СПРАВОЧНИК!$F$13*('ПЛАН ЧИСТ К3'!O19*СПРАВОЧНИК!$L$13+'ПЛАН ЧИСТ К3'!P19*СПРАВОЧНИК!$M$13+'ПЛАН ЧИСТ К3'!Q19*СПРАВОЧНИК!$N$13)+СПРАВОЧНИК!$F$14*('ПЛАН ЧИСТ К3'!R19*СПРАВОЧНИК!$L$14+'ПЛАН ЧИСТ К3'!S19*СПРАВОЧНИК!$M$14+'ПЛАН ЧИСТ К3'!T19*СПРАВОЧНИК!$N$14)+СПРАВОЧНИК!$F$15*('ПЛАН ЧИСТ К3'!U19*СПРАВОЧНИК!$L$15+'ПЛАН ЧИСТ К3'!V19*СПРАВОЧНИК!$M$15+'ПЛАН ЧИСТ К3'!W19*СПРАВОЧНИК!$N$15)</f>
        <v>0</v>
      </c>
      <c r="BG28" s="40">
        <f>СПРАВОЧНИК!$E$9*(('ФАКТ ЧЕРН К3'!B19)*СПРАВОЧНИК!$H$9+('ФАКТ ЧЕРН К3'!C19)*СПРАВОЧНИК!$I$9+('ФАКТ ЧЕРН К3'!D19)*СПРАВОЧНИК!$J$9)+СПРАВОЧНИК!$E$10*(('ФАКТ ЧЕРН К3'!E19)*СПРАВОЧНИК!$H$10+('ФАКТ ЧЕРН К3'!F19)*СПРАВОЧНИК!$I$10+('ФАКТ ЧЕРН К3'!G19)*СПРАВОЧНИК!$J$10)+СПРАВОЧНИК!$E$11*(('ФАКТ ЧЕРН К3'!H19)*СПРАВОЧНИК!$H$11+('ФАКТ ЧЕРН К3'!I19)*СПРАВОЧНИК!$I$11+('ФАКТ ЧЕРН К3'!J19)*СПРАВОЧНИК!$J$11)+СПРАВОЧНИК!$E$12*(('ФАКТ ЧЕРН К3'!K19)*СПРАВОЧНИК!$H$12+('ФАКТ ЧЕРН К3'!L19)*СПРАВОЧНИК!$I$12+('ФАКТ ЧЕРН К3'!M19)*СПРАВОЧНИК!$J$12)+СПРАВОЧНИК!$E$13*(('ФАКТ ЧЕРН К3'!N19)*СПРАВОЧНИК!$H$13+('ФАКТ ЧЕРН К3'!O19)*СПРАВОЧНИК!$I$13+('ФАКТ ЧЕРН К3'!P19)*СПРАВОЧНИК!$J$13)+СПРАВОЧНИК!$E$14*(('ФАКТ ЧЕРН К3'!Q19)*СПРАВОЧНИК!$H$14+('ФАКТ ЧЕРН К3'!R19)*СПРАВОЧНИК!$I$14+('ФАКТ ЧЕРН К3'!S19)*СПРАВОЧНИК!$J$14)+СПРАВОЧНИК!$E$15*(('ФАКТ ЧЕРН К3'!T19)*СПРАВОЧНИК!$H$15+('ФАКТ ЧЕРН К3'!U19)*СПРАВОЧНИК!$I$15+('ФАКТ ЧЕРН К3'!V19)*СПРАВОЧНИК!$J$15)+СПРАВОЧНИК!$F$9*(('ФАКТ ЧИСТ К3'!B19)*СПРАВОЧНИК!$L$9+('ФАКТ ЧИСТ К3'!C19)*СПРАВОЧНИК!$M$9+('ФАКТ ЧИСТ К3'!D19)*СПРАВОЧНИК!$N$9+('ФАКТ ЧИСТ К3'!E19)*СПРАВОЧНИК!$O$9)+СПРАВОЧНИК!$F$10*(('ФАКТ ЧИСТ К3'!F19)*СПРАВОЧНИК!$L$10+('ФАКТ ЧИСТ К3'!G19)*СПРАВОЧНИК!$M$10+('ФАКТ ЧИСТ К3'!H19)*СПРАВОЧНИК!$N$10)+СПРАВОЧНИК!$F$11*(('ФАКТ ЧИСТ К3'!I19)*СПРАВОЧНИК!$L$11+('ФАКТ ЧИСТ К3'!J19)*СПРАВОЧНИК!$M$11+('ФАКТ ЧИСТ К3'!K19)*СПРАВОЧНИК!$N$11)+СПРАВОЧНИК!$F$12*(('ФАКТ ЧИСТ К3'!L19)*СПРАВОЧНИК!$L$12+('ФАКТ ЧИСТ К3'!M19)*СПРАВОЧНИК!$M$12+('ФАКТ ЧИСТ К3'!N19)*СПРАВОЧНИК!$N$12)+СПРАВОЧНИК!$F$13*(('ФАКТ ЧИСТ К3'!O19)*СПРАВОЧНИК!$L$13+('ФАКТ ЧИСТ К3'!P19)*СПРАВОЧНИК!$M$13+('ФАКТ ЧИСТ К3'!Q19)*СПРАВОЧНИК!$N$13)+СПРАВОЧНИК!$F$14*(('ФАКТ ЧИСТ К3'!R19)*СПРАВОЧНИК!$L$14+('ФАКТ ЧИСТ К3'!S19)*СПРАВОЧНИК!$M$14+('ФАКТ ЧИСТ К3'!T19)*СПРАВОЧНИК!$N$14)+СПРАВОЧНИК!$F$15*(('ФАКТ ЧИСТ К3'!U19)*СПРАВОЧНИК!$L$15+('ФАКТ ЧИСТ К3'!V19)*СПРАВОЧНИК!$M$15+('ФАКТ ЧИСТ К3'!W19)*СПРАВОЧНИК!$N$15)</f>
        <v>0</v>
      </c>
      <c r="BK28" s="18">
        <f t="shared" si="22"/>
        <v>46272</v>
      </c>
      <c r="BL28" s="37">
        <f>'ПЛАН ЧЕРН К3'!B19*СПРАВОЧНИК!$H$9+'ПЛАН ЧЕРН К3'!C19*СПРАВОЧНИК!$I$9+'ПЛАН ЧЕРН К3'!D19*СПРАВОЧНИК!$J$9+'ПЛАН ЧЕРН К3'!E19*СПРАВОЧНИК!$H$10+'ПЛАН ЧЕРН К3'!F19*СПРАВОЧНИК!$I$10+'ПЛАН ЧЕРН К3'!G19*СПРАВОЧНИК!$J$10+'ПЛАН ЧЕРН К3'!H19*СПРАВОЧНИК!$H$11+'ПЛАН ЧЕРН К3'!I19*СПРАВОЧНИК!$I$11+'ПЛАН ЧЕРН К3'!J19*СПРАВОЧНИК!$J$11+'ПЛАН ЧЕРН К3'!K19*СПРАВОЧНИК!$H$12+'ПЛАН ЧЕРН К3'!L19*СПРАВОЧНИК!$I$12+'ПЛАН ЧЕРН К3'!M19*СПРАВОЧНИК!$J$12+'ПЛАН ЧЕРН К3'!N19*СПРАВОЧНИК!$H$13+'ПЛАН ЧЕРН К3'!O19*СПРАВОЧНИК!$I$13+'ПЛАН ЧЕРН К3'!P19*СПРАВОЧНИК!$J$13+'ПЛАН ЧЕРН К3'!Q19*СПРАВОЧНИК!$H$14+'ПЛАН ЧЕРН К3'!R19*СПРАВОЧНИК!$I$14+'ПЛАН ЧЕРН К3'!S19*СПРАВОЧНИК!$J$14+'ПЛАН ЧЕРН К3'!T19*СПРАВОЧНИК!$H$15+'ПЛАН ЧЕРН К3'!U19*СПРАВОЧНИК!$I$15+'ПЛАН ЧЕРН К3'!V19*СПРАВОЧНИК!$J$15</f>
        <v>0</v>
      </c>
      <c r="BM28" s="40">
        <f>('ФАКТ ЧЕРН К3'!B19)*СПРАВОЧНИК!$H$9+('ФАКТ ЧЕРН К3'!C19)*СПРАВОЧНИК!$I$9+('ФАКТ ЧЕРН К3'!D19)*СПРАВОЧНИК!$J$9+('ФАКТ ЧЕРН К3'!E19)*СПРАВОЧНИК!$H$10+('ФАКТ ЧЕРН К3'!F19)*СПРАВОЧНИК!$I$10+('ФАКТ ЧЕРН К3'!G19)*СПРАВОЧНИК!$J$10+('ФАКТ ЧЕРН К3'!H19)*СПРАВОЧНИК!$H$11+('ФАКТ ЧЕРН К3'!I19)*СПРАВОЧНИК!$I$11+('ФАКТ ЧЕРН К3'!J19)*СПРАВОЧНИК!$J$11+('ФАКТ ЧЕРН К3'!K19)*СПРАВОЧНИК!$H$12+('ФАКТ ЧЕРН К3'!L19)*СПРАВОЧНИК!$I$12+('ФАКТ ЧЕРН К3'!M19)*СПРАВОЧНИК!$J$12+('ФАКТ ЧЕРН К3'!N19)*СПРАВОЧНИК!$H$13+('ФАКТ ЧЕРН К3'!O19)*СПРАВОЧНИК!$I$13+('ФАКТ ЧЕРН К3'!P19)*СПРАВОЧНИК!$J$13+('ФАКТ ЧЕРН К3'!Q19)*СПРАВОЧНИК!$H$14+('ФАКТ ЧЕРН К3'!R19)*СПРАВОЧНИК!$I$14+('ФАКТ ЧЕРН К3'!S19)*СПРАВОЧНИК!$J$14+('ФАКТ ЧЕРН К3'!T19)*СПРАВОЧНИК!$H$15+('ФАКТ ЧЕРН К3'!U19)*СПРАВОЧНИК!$I$15+('ФАКТ ЧЕРН К3'!V19)*СПРАВОЧНИК!$J$15</f>
        <v>0</v>
      </c>
      <c r="BQ28" s="18">
        <f t="shared" si="23"/>
        <v>46272</v>
      </c>
      <c r="BR28" s="37">
        <f>'ПЛАН ЧИСТ К3'!B19*СПРАВОЧНИК!$L$9+'ПЛАН ЧИСТ К3'!C19*СПРАВОЧНИК!$M$9+'ПЛАН ЧИСТ К3'!D19*СПРАВОЧНИК!$N$9+'ПЛАН ЧИСТ К3'!E19*СПРАВОЧНИК!$O$9+'ПЛАН ЧИСТ К3'!F19*СПРАВОЧНИК!$L$10+'ПЛАН ЧИСТ К3'!G19*СПРАВОЧНИК!$M$10+'ПЛАН ЧИСТ К3'!H19*СПРАВОЧНИК!$N$10+'ПЛАН ЧИСТ К3'!I19*СПРАВОЧНИК!$L$11+'ПЛАН ЧИСТ К3'!J19*СПРАВОЧНИК!$M$11+'ПЛАН ЧИСТ К3'!K19*СПРАВОЧНИК!$N$11+'ПЛАН ЧИСТ К3'!L19*СПРАВОЧНИК!$L$12+'ПЛАН ЧИСТ К3'!M19*СПРАВОЧНИК!$M$12+'ПЛАН ЧИСТ К3'!N19*СПРАВОЧНИК!$N$12+'ПЛАН ЧИСТ К3'!O19*СПРАВОЧНИК!$L$13+'ПЛАН ЧИСТ К3'!P19*СПРАВОЧНИК!$M$13+'ПЛАН ЧИСТ К3'!Q19*СПРАВОЧНИК!$N$13+'ПЛАН ЧИСТ К3'!R19*СПРАВОЧНИК!$L$14+'ПЛАН ЧИСТ К3'!S19*СПРАВОЧНИК!$M$14+'ПЛАН ЧИСТ К3'!T19*СПРАВОЧНИК!$N$14+'ПЛАН ЧИСТ К3'!U19*СПРАВОЧНИК!$L$15+'ПЛАН ЧИСТ К3'!V19*СПРАВОЧНИК!$M$15+'ПЛАН ЧИСТ К3'!W19*СПРАВОЧНИК!$N$15</f>
        <v>0</v>
      </c>
      <c r="BS28" s="40">
        <f>('ФАКТ ЧИСТ К3'!B19)*СПРАВОЧНИК!$L$9+('ФАКТ ЧИСТ К3'!C19)*СПРАВОЧНИК!$M$9+('ФАКТ ЧИСТ К3'!D19)*СПРАВОЧНИК!$N$9+('ФАКТ ЧИСТ К3'!E19)*СПРАВОЧНИК!$O$9+('ФАКТ ЧИСТ К3'!F19)*СПРАВОЧНИК!$L$10+('ФАКТ ЧИСТ К3'!G19)*СПРАВОЧНИК!$M$10+('ФАКТ ЧИСТ К3'!H19)*СПРАВОЧНИК!$N$10+('ФАКТ ЧИСТ К3'!I19)*СПРАВОЧНИК!$L$11+('ФАКТ ЧИСТ К3'!J19)*СПРАВОЧНИК!$M$11+('ФАКТ ЧИСТ К3'!K19)*СПРАВОЧНИК!$N$11+('ФАКТ ЧИСТ К3'!L19)*СПРАВОЧНИК!$L$12+('ФАКТ ЧИСТ К3'!M19)*СПРАВОЧНИК!$M$12+('ФАКТ ЧИСТ К3'!N19)*СПРАВОЧНИК!$N$12+('ФАКТ ЧИСТ К3'!O19)*СПРАВОЧНИК!$L$13+('ФАКТ ЧИСТ К3'!P19)*СПРАВОЧНИК!$M$13+('ФАКТ ЧИСТ К3'!Q19)*СПРАВОЧНИК!$N$13+('ФАКТ ЧИСТ К3'!R19)*СПРАВОЧНИК!$L$14+('ФАКТ ЧИСТ К3'!S19)*СПРАВОЧНИК!$M$14+('ФАКТ ЧИСТ К3'!T19)*СПРАВОЧНИК!$N$14+('ФАКТ ЧИСТ К3'!U19)*СПРАВОЧНИК!$L$15+('ФАКТ ЧИСТ К3'!V19)*СПРАВОЧНИК!$M$15+('ФАКТ ЧИСТ К3'!W19)*СПРАВОЧНИК!$N$15</f>
        <v>0</v>
      </c>
      <c r="BW28" s="18">
        <f t="shared" si="24"/>
        <v>46272</v>
      </c>
      <c r="BX28" s="37">
        <f t="shared" si="0"/>
        <v>0</v>
      </c>
      <c r="BY28" s="40">
        <f t="shared" si="1"/>
        <v>0</v>
      </c>
      <c r="CC28" s="18">
        <f t="shared" si="25"/>
        <v>46272</v>
      </c>
      <c r="CD28" s="37">
        <f t="shared" si="2"/>
        <v>0</v>
      </c>
      <c r="CE28" s="40">
        <f t="shared" si="3"/>
        <v>0</v>
      </c>
      <c r="CI28" s="18">
        <f t="shared" si="26"/>
        <v>46272</v>
      </c>
      <c r="CJ28" s="37">
        <f t="shared" si="4"/>
        <v>0</v>
      </c>
      <c r="CK28" s="40">
        <f t="shared" si="5"/>
        <v>0</v>
      </c>
      <c r="CO28" s="18">
        <f t="shared" si="27"/>
        <v>46272</v>
      </c>
      <c r="CP28" s="37">
        <f t="shared" si="6"/>
        <v>0</v>
      </c>
      <c r="CQ28" s="40">
        <f t="shared" si="7"/>
        <v>0</v>
      </c>
      <c r="CU28" s="18">
        <f t="shared" si="28"/>
        <v>46272</v>
      </c>
      <c r="CV28" s="37">
        <f t="shared" si="8"/>
        <v>0</v>
      </c>
      <c r="CW28" s="40">
        <f t="shared" si="9"/>
        <v>0</v>
      </c>
      <c r="DA28" s="18">
        <f t="shared" si="29"/>
        <v>46272</v>
      </c>
      <c r="DB28" s="37">
        <f t="shared" si="10"/>
        <v>0</v>
      </c>
      <c r="DC28" s="40">
        <f t="shared" si="11"/>
        <v>0</v>
      </c>
    </row>
    <row r="29" spans="3:107" x14ac:dyDescent="0.25">
      <c r="C29" s="18">
        <f t="shared" si="12"/>
        <v>46279</v>
      </c>
      <c r="D29" s="37">
        <f>СПРАВОЧНИК!$E$3*('ПЛАН ЧЕРН ПОДЗЕМ'!B20*СПРАВОЧНИК!$H$3+'ПЛАН ЧЕРН ПОДЗЕМ'!C20*СПРАВОЧНИК!$I$3+'ПЛАН ЧЕРН ПОДЗЕМ'!D20*СПРАВОЧНИК!$J$3)+СПРАВОЧНИК!$E$4*('ПЛАН ЧЕРН ПОДЗЕМ'!E20*СПРАВОЧНИК!$H$4+'ПЛАН ЧЕРН ПОДЗЕМ'!F20*СПРАВОЧНИК!$I$4+'ПЛАН ЧЕРН ПОДЗЕМ'!G20*СПРАВОЧНИК!$J$4)+СПРАВОЧНИК!$E$5*('ПЛАН ЧЕРН ПОДЗЕМ'!H20*СПРАВОЧНИК!$H$5+'ПЛАН ЧЕРН ПОДЗЕМ'!I20*СПРАВОЧНИК!$I$5+'ПЛАН ЧЕРН ПОДЗЕМ'!J20*СПРАВОЧНИК!$J$5)+СПРАВОЧНИК!$E$6*('ПЛАН ЧЕРН ПОДЗЕМ'!K20*СПРАВОЧНИК!$H$6+'ПЛАН ЧЕРН ПОДЗЕМ'!L20*СПРАВОЧНИК!$I$6+'ПЛАН ЧЕРН ПОДЗЕМ'!M20*СПРАВОЧНИК!$J$6)+СПРАВОЧНИК!$E$7*('ПЛАН ЧЕРН ПОДЗЕМ'!N20*СПРАВОЧНИК!$H$7+'ПЛАН ЧЕРН ПОДЗЕМ'!O20*СПРАВОЧНИК!$I$7+'ПЛАН ЧЕРН ПОДЗЕМ'!P20*СПРАВОЧНИК!$J$7)+СПРАВОЧНИК!$E$8*('ПЛАН ЧЕРН ПОДЗЕМ'!Q20*СПРАВОЧНИК!$H$8+'ПЛАН ЧЕРН ПОДЗЕМ'!R20*СПРАВОЧНИК!$I$8+'ПЛАН ЧЕРН ПОДЗЕМ'!S20*СПРАВОЧНИК!$J$8)+СПРАВОЧНИК!$F$3*('ПЛАН ЧИСТ ПОДЗЕМ'!B20*СПРАВОЧНИК!$L$3+'ПЛАН ЧИСТ ПОДЗЕМ'!C20*СПРАВОЧНИК!$M$3+'ПЛАН ЧИСТ ПОДЗЕМ'!D20*СПРАВОЧНИК!$N$3)+СПРАВОЧНИК!$F$4*('ПЛАН ЧИСТ ПОДЗЕМ'!E20*СПРАВОЧНИК!$L$4+'ПЛАН ЧИСТ ПОДЗЕМ'!F20*СПРАВОЧНИК!$M$4+'ПЛАН ЧИСТ ПОДЗЕМ'!G20*СПРАВОЧНИК!$N$4)+СПРАВОЧНИК!$F$5*('ПЛАН ЧИСТ ПОДЗЕМ'!H20*СПРАВОЧНИК!$L$5+'ПЛАН ЧИСТ ПОДЗЕМ'!I20*СПРАВОЧНИК!$M$5+'ПЛАН ЧИСТ ПОДЗЕМ'!J20*СПРАВОЧНИК!$N$5)+СПРАВОЧНИК!$F$6*('ПЛАН ЧИСТ ПОДЗЕМ'!K20*СПРАВОЧНИК!$L$6+'ПЛАН ЧИСТ ПОДЗЕМ'!L20*СПРАВОЧНИК!$M$6+'ПЛАН ЧИСТ ПОДЗЕМ'!M20*СПРАВОЧНИК!$N$6)+СПРАВОЧНИК!$F$7*('ПЛАН ЧИСТ ПОДЗЕМ'!N20*СПРАВОЧНИК!$L$7+'ПЛАН ЧИСТ ПОДЗЕМ'!O20*СПРАВОЧНИК!$M$7+'ПЛАН ЧИСТ ПОДЗЕМ'!P20*СПРАВОЧНИК!$N$7)+СПРАВОЧНИК!$F$8*('ПЛАН ЧИСТ ПОДЗЕМ'!Q20*СПРАВОЧНИК!$L$8+'ПЛАН ЧИСТ ПОДЗЕМ'!R20*СПРАВОЧНИК!$M$8+'ПЛАН ЧИСТ ПОДЗЕМ'!S20*СПРАВОЧНИК!$N$8)</f>
        <v>0</v>
      </c>
      <c r="E29" s="40">
        <f>СПРАВОЧНИК!$E$3*(('ФАКТ ЧЕРН ПОДЗЕМ'!B20)*СПРАВОЧНИК!$H$3+('ФАКТ ЧЕРН ПОДЗЕМ'!C20)*СПРАВОЧНИК!$I$3+('ФАКТ ЧЕРН ПОДЗЕМ'!D20)*СПРАВОЧНИК!$J$3)+СПРАВОЧНИК!$E$4*(('ФАКТ ЧЕРН ПОДЗЕМ'!E20)*СПРАВОЧНИК!$H$4+('ФАКТ ЧЕРН ПОДЗЕМ'!F20)*СПРАВОЧНИК!$I$4+('ФАКТ ЧЕРН ПОДЗЕМ'!G20)*СПРАВОЧНИК!$J$4)+СПРАВОЧНИК!$E$5*(('ФАКТ ЧЕРН ПОДЗЕМ'!H20)*СПРАВОЧНИК!$H$5+('ФАКТ ЧЕРН ПОДЗЕМ'!I20)*СПРАВОЧНИК!$I$5+('ФАКТ ЧЕРН ПОДЗЕМ'!J20)*СПРАВОЧНИК!$J$5)+СПРАВОЧНИК!$E$6*(('ФАКТ ЧЕРН ПОДЗЕМ'!K20)*СПРАВОЧНИК!$H$6+('ФАКТ ЧЕРН ПОДЗЕМ'!L20)*СПРАВОЧНИК!$I$6+('ФАКТ ЧЕРН ПОДЗЕМ'!M20)*СПРАВОЧНИК!$J$6)+СПРАВОЧНИК!$E$7*(('ФАКТ ЧЕРН ПОДЗЕМ'!N20)*СПРАВОЧНИК!$H$7+('ФАКТ ЧЕРН ПОДЗЕМ'!O20)*СПРАВОЧНИК!$I$7+('ФАКТ ЧЕРН ПОДЗЕМ'!P20)*СПРАВОЧНИК!$J$7)+СПРАВОЧНИК!$E$8*(('ФАКТ ЧЕРН ПОДЗЕМ'!Q20)*СПРАВОЧНИК!$H$8+('ФАКТ ЧЕРН ПОДЗЕМ'!R20)*СПРАВОЧНИК!$I$8+('ФАКТ ЧЕРН ПОДЗЕМ'!S20)*СПРАВОЧНИК!$J$8)+СПРАВОЧНИК!$F$3*(('ФАКТ ЧИСТ ПОДЗЕМ'!B20)*СПРАВОЧНИК!$L$3+('ФАКТ ЧИСТ ПОДЗЕМ'!C20)*СПРАВОЧНИК!$M$3+('ФАКТ ЧИСТ ПОДЗЕМ'!D20)*СПРАВОЧНИК!$N$3)+СПРАВОЧНИК!$F$4*(('ФАКТ ЧИСТ ПОДЗЕМ'!E20)*СПРАВОЧНИК!$L$4+('ФАКТ ЧИСТ ПОДЗЕМ'!F20)*СПРАВОЧНИК!$M$4+('ФАКТ ЧИСТ ПОДЗЕМ'!G20)*СПРАВОЧНИК!$N$4)+СПРАВОЧНИК!$F$5*(('ФАКТ ЧИСТ ПОДЗЕМ'!H20)*СПРАВОЧНИК!$L$5+('ФАКТ ЧИСТ ПОДЗЕМ'!I20)*СПРАВОЧНИК!$M$5+('ФАКТ ЧИСТ ПОДЗЕМ'!J20)*СПРАВОЧНИК!$N$5)+СПРАВОЧНИК!$F$6*(('ФАКТ ЧИСТ ПОДЗЕМ'!K20)*СПРАВОЧНИК!$L$6+('ФАКТ ЧИСТ ПОДЗЕМ'!L20)*СПРАВОЧНИК!$M$6+('ФАКТ ЧИСТ ПОДЗЕМ'!M20)*СПРАВОЧНИК!$N$6)+СПРАВОЧНИК!$F$7*(('ФАКТ ЧИСТ ПОДЗЕМ'!N20)*СПРАВОЧНИК!$L$7+('ФАКТ ЧИСТ ПОДЗЕМ'!O20)*СПРАВОЧНИК!$M$7+('ФАКТ ЧИСТ ПОДЗЕМ'!P20)*СПРАВОЧНИК!$N$7)+СПРАВОЧНИК!$F$8*(('ФАКТ ЧИСТ ПОДЗЕМ'!Q20)*СПРАВОЧНИК!$L$8+('ФАКТ ЧИСТ ПОДЗЕМ'!R20)*СПРАВОЧНИК!$M$8+('ФАКТ ЧИСТ ПОДЗЕМ'!S20)*СПРАВОЧНИК!$N$8)</f>
        <v>0</v>
      </c>
      <c r="I29" s="18">
        <f t="shared" si="13"/>
        <v>46279</v>
      </c>
      <c r="J29" s="37">
        <f>'ПЛАН ЧЕРН ПОДЗЕМ'!B20*СПРАВОЧНИК!$H$3+'ПЛАН ЧЕРН ПОДЗЕМ'!C20*СПРАВОЧНИК!$I$3+'ПЛАН ЧЕРН ПОДЗЕМ'!D20*СПРАВОЧНИК!$J$3+'ПЛАН ЧЕРН ПОДЗЕМ'!E20*СПРАВОЧНИК!$H$4+'ПЛАН ЧЕРН ПОДЗЕМ'!F20*СПРАВОЧНИК!$I$4+'ПЛАН ЧЕРН ПОДЗЕМ'!G20*СПРАВОЧНИК!$J$4+'ПЛАН ЧЕРН ПОДЗЕМ'!H20*СПРАВОЧНИК!$H$5+'ПЛАН ЧЕРН ПОДЗЕМ'!I20*СПРАВОЧНИК!$I$5+'ПЛАН ЧЕРН ПОДЗЕМ'!J20*СПРАВОЧНИК!$J$5+'ПЛАН ЧЕРН ПОДЗЕМ'!K20*СПРАВОЧНИК!$H$6+'ПЛАН ЧЕРН ПОДЗЕМ'!L20*СПРАВОЧНИК!$I$6+'ПЛАН ЧЕРН ПОДЗЕМ'!M20*СПРАВОЧНИК!$J$6+'ПЛАН ЧЕРН ПОДЗЕМ'!N20*СПРАВОЧНИК!$H$7+'ПЛАН ЧЕРН ПОДЗЕМ'!O20*СПРАВОЧНИК!$I$7+'ПЛАН ЧЕРН ПОДЗЕМ'!P20*СПРАВОЧНИК!$J$7+'ПЛАН ЧЕРН ПОДЗЕМ'!Q20*СПРАВОЧНИК!$H$8+'ПЛАН ЧЕРН ПОДЗЕМ'!R20*СПРАВОЧНИК!$I$8+'ПЛАН ЧЕРН ПОДЗЕМ'!S20*СПРАВОЧНИК!$J$8</f>
        <v>0</v>
      </c>
      <c r="K29" s="40">
        <f>('ФАКТ ЧЕРН ПОДЗЕМ'!B20)*СПРАВОЧНИК!$H$3+('ФАКТ ЧЕРН ПОДЗЕМ'!C20)*СПРАВОЧНИК!$I$3+('ФАКТ ЧЕРН ПОДЗЕМ'!D20)*СПРАВОЧНИК!$J$3+('ФАКТ ЧЕРН ПОДЗЕМ'!E20)*СПРАВОЧНИК!$H$4+('ФАКТ ЧЕРН ПОДЗЕМ'!F20)*СПРАВОЧНИК!$I$4+('ФАКТ ЧЕРН ПОДЗЕМ'!G20)*СПРАВОЧНИК!$J$4+('ФАКТ ЧЕРН ПОДЗЕМ'!H20)*СПРАВОЧНИК!$H$5+('ФАКТ ЧЕРН ПОДЗЕМ'!I20)*СПРАВОЧНИК!$I$5+('ФАКТ ЧЕРН ПОДЗЕМ'!J20)*СПРАВОЧНИК!$J$5+('ФАКТ ЧЕРН ПОДЗЕМ'!K20)*СПРАВОЧНИК!$H$6+('ФАКТ ЧЕРН ПОДЗЕМ'!L20)*СПРАВОЧНИК!$I$6+('ФАКТ ЧЕРН ПОДЗЕМ'!M20)*СПРАВОЧНИК!$J$6+('ФАКТ ЧЕРН ПОДЗЕМ'!N20)*СПРАВОЧНИК!$H$7+('ФАКТ ЧЕРН ПОДЗЕМ'!O20)*СПРАВОЧНИК!$I$7+('ФАКТ ЧЕРН ПОДЗЕМ'!P20)*СПРАВОЧНИК!$J$7+('ФАКТ ЧЕРН ПОДЗЕМ'!Q20)*СПРАВОЧНИК!$H$8+('ФАКТ ЧЕРН ПОДЗЕМ'!R20)*СПРАВОЧНИК!$I$8+('ФАКТ ЧЕРН ПОДЗЕМ'!S20)*СПРАВОЧНИК!$J$8</f>
        <v>0</v>
      </c>
      <c r="O29" s="18">
        <f t="shared" si="14"/>
        <v>46279</v>
      </c>
      <c r="P29" s="37">
        <f>'ПЛАН ЧИСТ ПОДЗЕМ'!B20*СПРАВОЧНИК!$L$3+'ПЛАН ЧИСТ ПОДЗЕМ'!C20*СПРАВОЧНИК!$M$3+'ПЛАН ЧИСТ ПОДЗЕМ'!D20*СПРАВОЧНИК!$N$3+'ПЛАН ЧИСТ ПОДЗЕМ'!E20*СПРАВОЧНИК!$L$4+'ПЛАН ЧИСТ ПОДЗЕМ'!F20*СПРАВОЧНИК!$M$4+'ПЛАН ЧИСТ ПОДЗЕМ'!G20*СПРАВОЧНИК!$N$4+'ПЛАН ЧИСТ ПОДЗЕМ'!H20*СПРАВОЧНИК!$L$5+'ПЛАН ЧИСТ ПОДЗЕМ'!I20*СПРАВОЧНИК!$M$5+'ПЛАН ЧИСТ ПОДЗЕМ'!J20*СПРАВОЧНИК!$N$5+'ПЛАН ЧИСТ ПОДЗЕМ'!K20*СПРАВОЧНИК!$L$6+'ПЛАН ЧИСТ ПОДЗЕМ'!L20*СПРАВОЧНИК!$M$6+'ПЛАН ЧИСТ ПОДЗЕМ'!M20*СПРАВОЧНИК!$N$6+'ПЛАН ЧИСТ ПОДЗЕМ'!N20*СПРАВОЧНИК!$L$7+'ПЛАН ЧИСТ ПОДЗЕМ'!O20*СПРАВОЧНИК!$M$7+'ПЛАН ЧИСТ ПОДЗЕМ'!P20*СПРАВОЧНИК!$N$7+'ПЛАН ЧИСТ ПОДЗЕМ'!Q20*СПРАВОЧНИК!$L$8+'ПЛАН ЧИСТ ПОДЗЕМ'!R20*СПРАВОЧНИК!$M$8+'ПЛАН ЧИСТ ПОДЗЕМ'!S20*СПРАВОЧНИК!$N$8</f>
        <v>0</v>
      </c>
      <c r="Q29" s="40">
        <f>('ФАКТ ЧИСТ ПОДЗЕМ'!B20)*СПРАВОЧНИК!$L$3+('ФАКТ ЧИСТ ПОДЗЕМ'!C20)*СПРАВОЧНИК!$M$3+('ФАКТ ЧИСТ ПОДЗЕМ'!D20)*СПРАВОЧНИК!$N$3+('ФАКТ ЧИСТ ПОДЗЕМ'!E20)*СПРАВОЧНИК!$L$4+('ФАКТ ЧИСТ ПОДЗЕМ'!F20)*СПРАВОЧНИК!$M$4+('ФАКТ ЧИСТ ПОДЗЕМ'!G20)*СПРАВОЧНИК!$N$4+('ФАКТ ЧИСТ ПОДЗЕМ'!H20)*СПРАВОЧНИК!$L$5+('ФАКТ ЧИСТ ПОДЗЕМ'!I20)*СПРАВОЧНИК!$M$5+('ФАКТ ЧИСТ ПОДЗЕМ'!J20)*СПРАВОЧНИК!$N$5+('ФАКТ ЧИСТ ПОДЗЕМ'!K20)*СПРАВОЧНИК!$L$6+('ФАКТ ЧИСТ ПОДЗЕМ'!L20)*СПРАВОЧНИК!$M$6+('ФАКТ ЧИСТ ПОДЗЕМ'!M20)*СПРАВОЧНИК!$N$6+('ФАКТ ЧИСТ ПОДЗЕМ'!N20)*СПРАВОЧНИК!$L$7+('ФАКТ ЧИСТ ПОДЗЕМ'!O20)*СПРАВОЧНИК!$M$7+('ФАКТ ЧИСТ ПОДЗЕМ'!P20)*СПРАВОЧНИК!$N$7+('ФАКТ ЧИСТ ПОДЗЕМ'!Q20)*СПРАВОЧНИК!$L$8+('ФАКТ ЧИСТ ПОДЗЕМ'!R20)*СПРАВОЧНИК!$M$8+('ФАКТ ЧИСТ ПОДЗЕМ'!S20)*СПРАВОЧНИК!$N$8</f>
        <v>0</v>
      </c>
      <c r="U29" s="18">
        <f t="shared" si="15"/>
        <v>46279</v>
      </c>
      <c r="V29" s="37">
        <f>СПРАВОЧНИК!$E$9*('ПЛАН ЧЕРН К1'!B20*СПРАВОЧНИК!$H$9+'ПЛАН ЧЕРН К1'!C20*СПРАВОЧНИК!$I$9+'ПЛАН ЧЕРН К1'!D20*СПРАВОЧНИК!$J$9)+СПРАВОЧНИК!$E$10*('ПЛАН ЧЕРН К1'!E20*СПРАВОЧНИК!$H$10+'ПЛАН ЧЕРН К1'!F20*СПРАВОЧНИК!$I$10+'ПЛАН ЧЕРН К1'!G20*СПРАВОЧНИК!$J$10)+СПРАВОЧНИК!$E$11*('ПЛАН ЧЕРН К1'!H20*СПРАВОЧНИК!$H$11+'ПЛАН ЧЕРН К1'!I20*СПРАВОЧНИК!$I$11+'ПЛАН ЧЕРН К1'!J20*СПРАВОЧНИК!$J$11)+СПРАВОЧНИК!$E$12*('ПЛАН ЧЕРН К1'!K20*СПРАВОЧНИК!$H$12+'ПЛАН ЧЕРН К1'!L20*СПРАВОЧНИК!$I$12+'ПЛАН ЧЕРН К1'!M20*СПРАВОЧНИК!$J$12)+СПРАВОЧНИК!$E$13*('ПЛАН ЧЕРН К1'!N20*СПРАВОЧНИК!$H$13+'ПЛАН ЧЕРН К1'!O20*СПРАВОЧНИК!$I$13+'ПЛАН ЧЕРН К1'!P20*СПРАВОЧНИК!$J$13)+СПРАВОЧНИК!$E$14*('ПЛАН ЧЕРН К1'!Q20*СПРАВОЧНИК!$H$14+'ПЛАН ЧЕРН К1'!R20*СПРАВОЧНИК!$I$14+'ПЛАН ЧЕРН К1'!S20*СПРАВОЧНИК!$J$14)+СПРАВОЧНИК!$E$15*('ПЛАН ЧЕРН К1'!T20*СПРАВОЧНИК!$H$15+'ПЛАН ЧЕРН К1'!U20*СПРАВОЧНИК!$I$15+'ПЛАН ЧЕРН К1'!V20*СПРАВОЧНИК!$J$15)+СПРАВОЧНИК!$F$9*('ПЛАН ЧИСТ К1'!B20*СПРАВОЧНИК!$L$9+'ПЛАН ЧИСТ К1'!C20*СПРАВОЧНИК!$M$9+'ПЛАН ЧИСТ К1'!D20*СПРАВОЧНИК!$N$9+'ПЛАН ЧИСТ К1'!E20*СПРАВОЧНИК!$O$9)+СПРАВОЧНИК!$F$10*('ПЛАН ЧИСТ К1'!F20*СПРАВОЧНИК!$L$10+'ПЛАН ЧИСТ К1'!G20*СПРАВОЧНИК!$M$10+'ПЛАН ЧИСТ К1'!H20*СПРАВОЧНИК!$N$10)+СПРАВОЧНИК!$F$11*('ПЛАН ЧИСТ К1'!I20*СПРАВОЧНИК!$L$11+'ПЛАН ЧИСТ К1'!J20*СПРАВОЧНИК!$M$11+'ПЛАН ЧИСТ К1'!K20*СПРАВОЧНИК!$N$11)+СПРАВОЧНИК!$F$12*('ПЛАН ЧИСТ К1'!L20*СПРАВОЧНИК!$L$12+'ПЛАН ЧИСТ К1'!M20*СПРАВОЧНИК!$M$12+'ПЛАН ЧИСТ К1'!N20*СПРАВОЧНИК!$N$12)+СПРАВОЧНИК!$F$13*('ПЛАН ЧИСТ К1'!O20*СПРАВОЧНИК!$L$13+'ПЛАН ЧИСТ К1'!P20*СПРАВОЧНИК!$M$13+'ПЛАН ЧИСТ К1'!Q20*СПРАВОЧНИК!$N$13)+СПРАВОЧНИК!$F$14*('ПЛАН ЧИСТ К1'!R20*СПРАВОЧНИК!$L$14+'ПЛАН ЧИСТ К1'!S20*СПРАВОЧНИК!$M$14+'ПЛАН ЧИСТ К1'!T20*СПРАВОЧНИК!$N$14)+СПРАВОЧНИК!$F$15*('ПЛАН ЧИСТ К1'!U20*СПРАВОЧНИК!$L$15+'ПЛАН ЧИСТ К1'!V20*СПРАВОЧНИК!$M$15+'ПЛАН ЧИСТ К1'!W20*СПРАВОЧНИК!$N$15)</f>
        <v>0</v>
      </c>
      <c r="W29" s="40">
        <f>СПРАВОЧНИК!$E$9*(('ФАКТ ЧЕРН К1'!B20)*СПРАВОЧНИК!$H$9+('ФАКТ ЧЕРН К1'!C20)*СПРАВОЧНИК!$I$9+('ФАКТ ЧЕРН К1'!D20)*СПРАВОЧНИК!$J$9)+СПРАВОЧНИК!$E$10*(('ФАКТ ЧЕРН К1'!E20)*СПРАВОЧНИК!$H$10+('ФАКТ ЧЕРН К1'!F20)*СПРАВОЧНИК!$I$10+('ФАКТ ЧЕРН К1'!G20)*СПРАВОЧНИК!$J$10)+СПРАВОЧНИК!$E$11*(('ФАКТ ЧЕРН К1'!H20)*СПРАВОЧНИК!$H$11+('ФАКТ ЧЕРН К1'!I20)*СПРАВОЧНИК!$I$11+('ФАКТ ЧЕРН К1'!J20)*СПРАВОЧНИК!$J$11)+СПРАВОЧНИК!$E$12*(('ФАКТ ЧЕРН К1'!K20)*СПРАВОЧНИК!$H$12+('ФАКТ ЧЕРН К1'!L20)*СПРАВОЧНИК!$I$12+('ФАКТ ЧЕРН К1'!M20)*СПРАВОЧНИК!$J$12)+СПРАВОЧНИК!$E$13*(('ФАКТ ЧЕРН К1'!N20)*СПРАВОЧНИК!$H$13+('ФАКТ ЧЕРН К1'!O20)*СПРАВОЧНИК!$I$13+('ФАКТ ЧЕРН К1'!P20)*СПРАВОЧНИК!$J$13)+СПРАВОЧНИК!$E$14*(('ФАКТ ЧЕРН К1'!Q20)*СПРАВОЧНИК!$H$14+('ФАКТ ЧЕРН К1'!R20)*СПРАВОЧНИК!$I$14+('ФАКТ ЧЕРН К1'!S20)*СПРАВОЧНИК!$J$14)+СПРАВОЧНИК!$E$15*(('ФАКТ ЧЕРН К1'!T20)*СПРАВОЧНИК!$H$15+('ФАКТ ЧЕРН К1'!U20)*СПРАВОЧНИК!$I$15+('ФАКТ ЧЕРН К1'!V20)*СПРАВОЧНИК!$J$15)+СПРАВОЧНИК!$F$9*(('ФАКТ ЧИСТ К1'!B20)*СПРАВОЧНИК!$L$9+('ФАКТ ЧИСТ К1'!C20)*СПРАВОЧНИК!$M$9+('ФАКТ ЧИСТ К1'!D20)*СПРАВОЧНИК!$N$9+('ФАКТ ЧИСТ К1'!E20)*СПРАВОЧНИК!$O$9)+СПРАВОЧНИК!$F$10*(('ФАКТ ЧИСТ К1'!F20)*СПРАВОЧНИК!$L$10+('ФАКТ ЧИСТ К1'!G20)*СПРАВОЧНИК!$M$10+('ФАКТ ЧИСТ К1'!H20)*СПРАВОЧНИК!$N$10)+СПРАВОЧНИК!$F$11*(('ФАКТ ЧИСТ К1'!I20)*СПРАВОЧНИК!$L$11+('ФАКТ ЧИСТ К1'!J20)*СПРАВОЧНИК!$M$11+('ФАКТ ЧИСТ К1'!K20)*СПРАВОЧНИК!$N$11)+СПРАВОЧНИК!$F$12*(('ФАКТ ЧИСТ К1'!L20)*СПРАВОЧНИК!$L$12+('ФАКТ ЧИСТ К1'!M20)*СПРАВОЧНИК!$M$12+('ФАКТ ЧИСТ К1'!N20)*СПРАВОЧНИК!$N$12)+СПРАВОЧНИК!$F$13*(('ФАКТ ЧИСТ К1'!O20)*СПРАВОЧНИК!$L$13+('ФАКТ ЧИСТ К1'!P20)*СПРАВОЧНИК!$M$13+('ФАКТ ЧИСТ К1'!Q20)*СПРАВОЧНИК!$N$13)+СПРАВОЧНИК!$F$14*(('ФАКТ ЧИСТ К1'!R20)*СПРАВОЧНИК!$L$14+('ФАКТ ЧИСТ К1'!S20)*СПРАВОЧНИК!$M$14+('ФАКТ ЧИСТ К1'!T20)*СПРАВОЧНИК!$N$14)+СПРАВОЧНИК!$F$15*(('ФАКТ ЧИСТ К1'!U20)*СПРАВОЧНИК!$L$15+('ФАКТ ЧИСТ К1'!V20)*СПРАВОЧНИК!$M$15+('ФАКТ ЧИСТ К1'!W20)*СПРАВОЧНИК!$N$15)</f>
        <v>0</v>
      </c>
      <c r="AA29" s="18">
        <f t="shared" si="16"/>
        <v>46279</v>
      </c>
      <c r="AB29" s="37">
        <f>'ПЛАН ЧЕРН К1'!B20*СПРАВОЧНИК!$H$9+'ПЛАН ЧЕРН К1'!C20*СПРАВОЧНИК!$I$9+'ПЛАН ЧЕРН К1'!D20*СПРАВОЧНИК!$J$9+'ПЛАН ЧЕРН К1'!E20*СПРАВОЧНИК!$H$10+'ПЛАН ЧЕРН К1'!F20*СПРАВОЧНИК!$I$10+'ПЛАН ЧЕРН К1'!G20*СПРАВОЧНИК!$J$10+'ПЛАН ЧЕРН К1'!H20*СПРАВОЧНИК!$H$11+'ПЛАН ЧЕРН К1'!I20*СПРАВОЧНИК!$I$11+'ПЛАН ЧЕРН К1'!J20*СПРАВОЧНИК!$J$11+'ПЛАН ЧЕРН К1'!K20*СПРАВОЧНИК!$H$12+'ПЛАН ЧЕРН К1'!L20*СПРАВОЧНИК!$I$12+'ПЛАН ЧЕРН К1'!M20*СПРАВОЧНИК!$J$12+'ПЛАН ЧЕРН К1'!N20*СПРАВОЧНИК!$H$13+'ПЛАН ЧЕРН К1'!O20*СПРАВОЧНИК!$I$13+'ПЛАН ЧЕРН К1'!P20*СПРАВОЧНИК!$J$13+'ПЛАН ЧЕРН К1'!Q20*СПРАВОЧНИК!$H$14+'ПЛАН ЧЕРН К1'!R20*СПРАВОЧНИК!$I$14+'ПЛАН ЧЕРН К1'!S20*СПРАВОЧНИК!$J$14+'ПЛАН ЧЕРН К1'!T20*СПРАВОЧНИК!$H$15+'ПЛАН ЧЕРН К1'!U20*СПРАВОЧНИК!$I$15+'ПЛАН ЧЕРН К1'!V20*СПРАВОЧНИК!$J$15</f>
        <v>0</v>
      </c>
      <c r="AC29" s="40">
        <f>('ФАКТ ЧЕРН К1'!B20)*СПРАВОЧНИК!$H$9+('ФАКТ ЧЕРН К1'!C20)*СПРАВОЧНИК!$I$9+('ФАКТ ЧЕРН К1'!D20)*СПРАВОЧНИК!$J$9+('ФАКТ ЧЕРН К1'!E20)*СПРАВОЧНИК!$H$10+('ФАКТ ЧЕРН К1'!F20)*СПРАВОЧНИК!$I$10+('ФАКТ ЧЕРН К1'!G20)*СПРАВОЧНИК!$J$10+('ФАКТ ЧЕРН К1'!H20)*СПРАВОЧНИК!$H$11+('ФАКТ ЧЕРН К1'!I20)*СПРАВОЧНИК!$I$11+('ФАКТ ЧЕРН К1'!J20)*СПРАВОЧНИК!$J$11+('ФАКТ ЧЕРН К1'!K20)*СПРАВОЧНИК!$H$12+('ФАКТ ЧЕРН К1'!L20)*СПРАВОЧНИК!$I$12+('ФАКТ ЧЕРН К1'!M20)*СПРАВОЧНИК!$J$12+('ФАКТ ЧЕРН К1'!N20)*СПРАВОЧНИК!$H$13+('ФАКТ ЧЕРН К1'!O20)*СПРАВОЧНИК!$I$13+('ФАКТ ЧЕРН К1'!P20)*СПРАВОЧНИК!$J$13+('ФАКТ ЧЕРН К1'!Q20)*СПРАВОЧНИК!$H$14+('ФАКТ ЧЕРН К1'!R20)*СПРАВОЧНИК!$I$14+('ФАКТ ЧЕРН К1'!S20)*СПРАВОЧНИК!$J$14+('ФАКТ ЧЕРН К1'!T20)*СПРАВОЧНИК!$H$15+('ФАКТ ЧЕРН К1'!U20)*СПРАВОЧНИК!$I$15+('ФАКТ ЧЕРН К1'!V20)*СПРАВОЧНИК!$J$15</f>
        <v>0</v>
      </c>
      <c r="AG29" s="18">
        <f t="shared" si="17"/>
        <v>46279</v>
      </c>
      <c r="AH29" s="37">
        <f>'ПЛАН ЧИСТ К1'!B20*СПРАВОЧНИК!$L$9+'ПЛАН ЧИСТ К1'!C20*СПРАВОЧНИК!$M$9+'ПЛАН ЧИСТ К1'!D20*СПРАВОЧНИК!$N$9+'ПЛАН ЧИСТ К1'!E20*СПРАВОЧНИК!$O$9+'ПЛАН ЧИСТ К1'!F20*СПРАВОЧНИК!$L$10+'ПЛАН ЧИСТ К1'!G20*СПРАВОЧНИК!$M$10+'ПЛАН ЧИСТ К1'!H20*СПРАВОЧНИК!$N$10+'ПЛАН ЧИСТ К1'!I20*СПРАВОЧНИК!$L$11+'ПЛАН ЧИСТ К1'!J20*СПРАВОЧНИК!$M$11+'ПЛАН ЧИСТ К1'!K20*СПРАВОЧНИК!$N$11+'ПЛАН ЧИСТ К1'!L20*СПРАВОЧНИК!$L$12+'ПЛАН ЧИСТ К1'!M20*СПРАВОЧНИК!$M$12+'ПЛАН ЧИСТ К1'!N20*СПРАВОЧНИК!$N$12+'ПЛАН ЧИСТ К1'!O20*СПРАВОЧНИК!$L$13+'ПЛАН ЧИСТ К1'!P20*СПРАВОЧНИК!$M$13+'ПЛАН ЧИСТ К1'!Q20*СПРАВОЧНИК!$N$13+'ПЛАН ЧИСТ К1'!R20*СПРАВОЧНИК!$L$14+'ПЛАН ЧИСТ К1'!S20*СПРАВОЧНИК!$M$14+'ПЛАН ЧИСТ К1'!T20*СПРАВОЧНИК!$N$14+'ПЛАН ЧИСТ К1'!U20*СПРАВОЧНИК!$L$15+'ПЛАН ЧИСТ К1'!V20*СПРАВОЧНИК!$M$15+'ПЛАН ЧИСТ К1'!W20*СПРАВОЧНИК!$N$15</f>
        <v>0</v>
      </c>
      <c r="AI29" s="40">
        <f>('ФАКТ ЧИСТ К1'!B20)*СПРАВОЧНИК!$L$9+('ФАКТ ЧИСТ К1'!C20)*СПРАВОЧНИК!$M$9+('ФАКТ ЧИСТ К1'!D20)*СПРАВОЧНИК!$N$9+('ФАКТ ЧИСТ К1'!E20)*СПРАВОЧНИК!$O$9+('ФАКТ ЧИСТ К1'!F20)*СПРАВОЧНИК!$L$10+('ФАКТ ЧИСТ К1'!G20)*СПРАВОЧНИК!$M$10+('ФАКТ ЧИСТ К1'!H20)*СПРАВОЧНИК!$N$10+('ФАКТ ЧИСТ К1'!I20)*СПРАВОЧНИК!$L$11+('ФАКТ ЧИСТ К1'!J20)*СПРАВОЧНИК!$M$11+('ФАКТ ЧИСТ К1'!K20)*СПРАВОЧНИК!$N$11+('ФАКТ ЧИСТ К1'!L20)*СПРАВОЧНИК!$L$12+('ФАКТ ЧИСТ К1'!M20)*СПРАВОЧНИК!$M$12+('ФАКТ ЧИСТ К1'!N20)*СПРАВОЧНИК!$N$12+('ФАКТ ЧИСТ К1'!O20)*СПРАВОЧНИК!$L$13+('ФАКТ ЧИСТ К1'!P20)*СПРАВОЧНИК!$M$13+('ФАКТ ЧИСТ К1'!Q20)*СПРАВОЧНИК!$N$13+('ФАКТ ЧИСТ К1'!R20)*СПРАВОЧНИК!$L$14+('ФАКТ ЧИСТ К1'!S20)*СПРАВОЧНИК!$M$14+('ФАКТ ЧИСТ К1'!T20)*СПРАВОЧНИК!$N$14+('ФАКТ ЧИСТ К1'!U20)*СПРАВОЧНИК!$L$15+('ФАКТ ЧИСТ К1'!V20)*СПРАВОЧНИК!$M$15+('ФАКТ ЧИСТ К1'!W20)*СПРАВОЧНИК!$N$15</f>
        <v>0</v>
      </c>
      <c r="AM29" s="18">
        <f t="shared" si="18"/>
        <v>46279</v>
      </c>
      <c r="AN29" s="37">
        <f>СПРАВОЧНИК!$E$9*('ПЛАН ЧЕРН К2'!B20*СПРАВОЧНИК!$H$9+'ПЛАН ЧЕРН К2'!C20*СПРАВОЧНИК!$I$9+'ПЛАН ЧЕРН К2'!D20*СПРАВОЧНИК!$J$9)+СПРАВОЧНИК!$E$10*('ПЛАН ЧЕРН К2'!E20*СПРАВОЧНИК!$H$10+'ПЛАН ЧЕРН К2'!F20*СПРАВОЧНИК!$I$10+'ПЛАН ЧЕРН К2'!G20*СПРАВОЧНИК!$J$10)+СПРАВОЧНИК!$E$11*('ПЛАН ЧЕРН К2'!H20*СПРАВОЧНИК!$H$11+'ПЛАН ЧЕРН К2'!I20*СПРАВОЧНИК!$I$11+'ПЛАН ЧЕРН К2'!J20*СПРАВОЧНИК!$J$11)+СПРАВОЧНИК!$E$12*('ПЛАН ЧЕРН К2'!K20*СПРАВОЧНИК!$H$12+'ПЛАН ЧЕРН К2'!L20*СПРАВОЧНИК!$I$12+'ПЛАН ЧЕРН К2'!M20*СПРАВОЧНИК!$J$12)+СПРАВОЧНИК!$E$13*('ПЛАН ЧЕРН К2'!N20*СПРАВОЧНИК!$H$13+'ПЛАН ЧЕРН К2'!O20*СПРАВОЧНИК!$I$13+'ПЛАН ЧЕРН К2'!P20*СПРАВОЧНИК!$J$13)+СПРАВОЧНИК!$E$14*('ПЛАН ЧЕРН К2'!Q20*СПРАВОЧНИК!$H$14+'ПЛАН ЧЕРН К2'!R20*СПРАВОЧНИК!$I$14+'ПЛАН ЧЕРН К2'!S20*СПРАВОЧНИК!$J$14)+СПРАВОЧНИК!$E$15*('ПЛАН ЧЕРН К2'!T20*СПРАВОЧНИК!$H$15+'ПЛАН ЧЕРН К2'!U20*СПРАВОЧНИК!$I$15+'ПЛАН ЧЕРН К2'!V20*СПРАВОЧНИК!$J$15)+СПРАВОЧНИК!$F$9*('ПЛАН ЧИСТ К2'!B20*СПРАВОЧНИК!$L$9+'ПЛАН ЧИСТ К2'!C20*СПРАВОЧНИК!$M$9+'ПЛАН ЧИСТ К2'!D20*СПРАВОЧНИК!$N$9+'ПЛАН ЧИСТ К2'!E20*СПРАВОЧНИК!$O$9)+СПРАВОЧНИК!$F$10*('ПЛАН ЧИСТ К2'!F20*СПРАВОЧНИК!$L$10+'ПЛАН ЧИСТ К2'!G20*СПРАВОЧНИК!$M$10+'ПЛАН ЧИСТ К2'!H20*СПРАВОЧНИК!$N$10)+СПРАВОЧНИК!$F$11*('ПЛАН ЧИСТ К2'!I20*СПРАВОЧНИК!$L$11+'ПЛАН ЧИСТ К2'!J20*СПРАВОЧНИК!$M$11+'ПЛАН ЧИСТ К2'!K20*СПРАВОЧНИК!$N$11)+СПРАВОЧНИК!$F$12*('ПЛАН ЧИСТ К2'!L20*СПРАВОЧНИК!$L$12+'ПЛАН ЧИСТ К2'!M20*СПРАВОЧНИК!$M$12+'ПЛАН ЧИСТ К2'!N20*СПРАВОЧНИК!$N$12)+СПРАВОЧНИК!$F$13*('ПЛАН ЧИСТ К2'!O20*СПРАВОЧНИК!$L$13+'ПЛАН ЧИСТ К2'!P20*СПРАВОЧНИК!$M$13+'ПЛАН ЧИСТ К2'!Q20*СПРАВОЧНИК!$N$13)+СПРАВОЧНИК!$F$14*('ПЛАН ЧИСТ К2'!R20*СПРАВОЧНИК!$L$14+'ПЛАН ЧИСТ К2'!S20*СПРАВОЧНИК!$M$14+'ПЛАН ЧИСТ К2'!T20*СПРАВОЧНИК!$N$14)+СПРАВОЧНИК!$F$15*('ПЛАН ЧИСТ К2'!U20*СПРАВОЧНИК!$L$15+'ПЛАН ЧИСТ К2'!V20*СПРАВОЧНИК!$M$15+'ПЛАН ЧИСТ К2'!W20*СПРАВОЧНИК!$N$15)</f>
        <v>0</v>
      </c>
      <c r="AO29" s="40">
        <f>СПРАВОЧНИК!$E$9*(('ФАКТ ЧЕРН К2'!B20)*СПРАВОЧНИК!$H$9+('ФАКТ ЧЕРН К2'!C20)*СПРАВОЧНИК!$I$9+('ФАКТ ЧЕРН К2'!D20)*СПРАВОЧНИК!$J$9)+СПРАВОЧНИК!$E$10*(('ФАКТ ЧЕРН К2'!E20)*СПРАВОЧНИК!$H$10+('ФАКТ ЧЕРН К2'!F20)*СПРАВОЧНИК!$I$10+('ФАКТ ЧЕРН К2'!G20)*СПРАВОЧНИК!$J$10)+СПРАВОЧНИК!$E$11*(('ФАКТ ЧЕРН К2'!H20)*СПРАВОЧНИК!$H$11+('ФАКТ ЧЕРН К2'!I20)*СПРАВОЧНИК!$I$11+('ФАКТ ЧЕРН К2'!J20)*СПРАВОЧНИК!$J$11)+СПРАВОЧНИК!$E$12*(('ФАКТ ЧЕРН К2'!K20)*СПРАВОЧНИК!$H$12+('ФАКТ ЧЕРН К2'!L20)*СПРАВОЧНИК!$I$12+('ФАКТ ЧЕРН К2'!M20)*СПРАВОЧНИК!$J$12)+СПРАВОЧНИК!$E$13*(('ФАКТ ЧЕРН К2'!N20)*СПРАВОЧНИК!$H$13+('ФАКТ ЧЕРН К2'!O20)*СПРАВОЧНИК!$I$13+('ФАКТ ЧЕРН К2'!P20)*СПРАВОЧНИК!$J$13)+СПРАВОЧНИК!$E$14*(('ФАКТ ЧЕРН К2'!Q20)*СПРАВОЧНИК!$H$14+('ФАКТ ЧЕРН К2'!R20)*СПРАВОЧНИК!$I$14+('ФАКТ ЧЕРН К2'!S20)*СПРАВОЧНИК!$J$14)+СПРАВОЧНИК!$E$15*(('ФАКТ ЧЕРН К2'!T20)*СПРАВОЧНИК!$H$15+('ФАКТ ЧЕРН К2'!U20)*СПРАВОЧНИК!$I$15+('ФАКТ ЧЕРН К2'!V20)*СПРАВОЧНИК!$J$15)+СПРАВОЧНИК!$F$9*(('ФАКТ ЧИСТ К2'!B20)*СПРАВОЧНИК!$L$9+('ФАКТ ЧИСТ К2'!C20)*СПРАВОЧНИК!$M$9+('ФАКТ ЧИСТ К2'!D20)*СПРАВОЧНИК!$N$9+('ФАКТ ЧИСТ К2'!E20)*СПРАВОЧНИК!$O$9)+СПРАВОЧНИК!$F$10*(('ФАКТ ЧИСТ К2'!F20)*СПРАВОЧНИК!$L$10+('ФАКТ ЧИСТ К2'!G20)*СПРАВОЧНИК!$M$10+('ФАКТ ЧИСТ К2'!H20)*СПРАВОЧНИК!$N$10)+СПРАВОЧНИК!$F$11*(('ФАКТ ЧИСТ К2'!I20)*СПРАВОЧНИК!$L$11+('ФАКТ ЧИСТ К2'!J20)*СПРАВОЧНИК!$M$11+('ФАКТ ЧИСТ К2'!K20)*СПРАВОЧНИК!$N$11)+СПРАВОЧНИК!$F$12*(('ФАКТ ЧИСТ К2'!L20)*СПРАВОЧНИК!$L$12+('ФАКТ ЧИСТ К2'!M20)*СПРАВОЧНИК!$M$12+('ФАКТ ЧИСТ К2'!N20)*СПРАВОЧНИК!$N$12)+СПРАВОЧНИК!$F$13*(('ФАКТ ЧИСТ К2'!O20)*СПРАВОЧНИК!$L$13+('ФАКТ ЧИСТ К2'!P20)*СПРАВОЧНИК!$M$13+('ФАКТ ЧИСТ К2'!Q20)*СПРАВОЧНИК!$N$13)+СПРАВОЧНИК!$F$14*(('ФАКТ ЧИСТ К2'!R20)*СПРАВОЧНИК!$L$14+('ФАКТ ЧИСТ К2'!S20)*СПРАВОЧНИК!$M$14+('ФАКТ ЧИСТ К2'!T20)*СПРАВОЧНИК!$N$14)+СПРАВОЧНИК!$F$15*(('ФАКТ ЧИСТ К2'!U20)*СПРАВОЧНИК!$L$15+('ФАКТ ЧИСТ К2'!V20)*СПРАВОЧНИК!$M$15+('ФАКТ ЧИСТ К2'!W20)*СПРАВОЧНИК!$N$15)</f>
        <v>0</v>
      </c>
      <c r="AS29" s="18">
        <f t="shared" si="19"/>
        <v>46279</v>
      </c>
      <c r="AT29" s="37">
        <f>'ПЛАН ЧЕРН К2'!B20*СПРАВОЧНИК!$H$9+'ПЛАН ЧЕРН К2'!C20*СПРАВОЧНИК!$I$9+'ПЛАН ЧЕРН К2'!D20*СПРАВОЧНИК!$J$9+'ПЛАН ЧЕРН К2'!E20*СПРАВОЧНИК!$H$10+'ПЛАН ЧЕРН К2'!F20*СПРАВОЧНИК!$I$10+'ПЛАН ЧЕРН К2'!G20*СПРАВОЧНИК!$J$10+'ПЛАН ЧЕРН К2'!H20*СПРАВОЧНИК!$H$11+'ПЛАН ЧЕРН К2'!I20*СПРАВОЧНИК!$I$11+'ПЛАН ЧЕРН К2'!J20*СПРАВОЧНИК!$J$11+'ПЛАН ЧЕРН К2'!K20*СПРАВОЧНИК!$H$12+'ПЛАН ЧЕРН К2'!L20*СПРАВОЧНИК!$I$12+'ПЛАН ЧЕРН К2'!M20*СПРАВОЧНИК!$J$12+'ПЛАН ЧЕРН К2'!N20*СПРАВОЧНИК!$H$13+'ПЛАН ЧЕРН К2'!O20*СПРАВОЧНИК!$I$13+'ПЛАН ЧЕРН К2'!P20*СПРАВОЧНИК!$J$13+'ПЛАН ЧЕРН К2'!Q20*СПРАВОЧНИК!$H$14+'ПЛАН ЧЕРН К2'!R20*СПРАВОЧНИК!$I$14+'ПЛАН ЧЕРН К2'!S20*СПРАВОЧНИК!$J$14+'ПЛАН ЧЕРН К2'!T20*СПРАВОЧНИК!$H$15+'ПЛАН ЧЕРН К2'!U20*СПРАВОЧНИК!$I$15+'ПЛАН ЧЕРН К2'!V20*СПРАВОЧНИК!$J$15</f>
        <v>0</v>
      </c>
      <c r="AU29" s="40">
        <f>('ФАКТ ЧЕРН К2'!B20)*СПРАВОЧНИК!$H$9+('ФАКТ ЧЕРН К2'!C20)*СПРАВОЧНИК!$I$9+('ФАКТ ЧЕРН К2'!D20)*СПРАВОЧНИК!$J$9+('ФАКТ ЧЕРН К2'!E20)*СПРАВОЧНИК!$H$10+('ФАКТ ЧЕРН К2'!F20)*СПРАВОЧНИК!$I$10+('ФАКТ ЧЕРН К2'!G20)*СПРАВОЧНИК!$J$10+('ФАКТ ЧЕРН К2'!H20)*СПРАВОЧНИК!$H$11+('ФАКТ ЧЕРН К2'!I20)*СПРАВОЧНИК!$I$11+('ФАКТ ЧЕРН К2'!J20)*СПРАВОЧНИК!$J$11+('ФАКТ ЧЕРН К2'!K20)*СПРАВОЧНИК!$H$12+('ФАКТ ЧЕРН К2'!L20)*СПРАВОЧНИК!$I$12+('ФАКТ ЧЕРН К2'!M20)*СПРАВОЧНИК!$J$12+('ФАКТ ЧЕРН К2'!N20)*СПРАВОЧНИК!$H$13+('ФАКТ ЧЕРН К2'!O20)*СПРАВОЧНИК!$I$13+('ФАКТ ЧЕРН К2'!P20)*СПРАВОЧНИК!$J$13+('ФАКТ ЧЕРН К2'!Q20)*СПРАВОЧНИК!$H$14+('ФАКТ ЧЕРН К2'!R20)*СПРАВОЧНИК!$I$14+('ФАКТ ЧЕРН К2'!S20)*СПРАВОЧНИК!$J$14+('ФАКТ ЧЕРН К2'!T20)*СПРАВОЧНИК!$H$15+('ФАКТ ЧЕРН К2'!U20)*СПРАВОЧНИК!$I$15+('ФАКТ ЧЕРН К2'!V20)*СПРАВОЧНИК!$J$15</f>
        <v>0</v>
      </c>
      <c r="AY29" s="18">
        <f t="shared" si="20"/>
        <v>46279</v>
      </c>
      <c r="AZ29" s="37">
        <f>'ПЛАН ЧИСТ К2'!B20*СПРАВОЧНИК!$L$9+'ПЛАН ЧИСТ К2'!C20*СПРАВОЧНИК!$M$9+'ПЛАН ЧИСТ К2'!D20*СПРАВОЧНИК!$N$9+'ПЛАН ЧИСТ К2'!E20*СПРАВОЧНИК!$O$9+'ПЛАН ЧИСТ К2'!F20*СПРАВОЧНИК!$L$10+'ПЛАН ЧИСТ К2'!G20*СПРАВОЧНИК!$M$10+'ПЛАН ЧИСТ К2'!H20*СПРАВОЧНИК!$N$10+'ПЛАН ЧИСТ К2'!I20*СПРАВОЧНИК!$L$11+'ПЛАН ЧИСТ К2'!J20*СПРАВОЧНИК!$M$11+'ПЛАН ЧИСТ К2'!K20*СПРАВОЧНИК!$N$11+'ПЛАН ЧИСТ К2'!L20*СПРАВОЧНИК!$L$12+'ПЛАН ЧИСТ К2'!M20*СПРАВОЧНИК!$M$12+'ПЛАН ЧИСТ К2'!N20*СПРАВОЧНИК!$N$12+'ПЛАН ЧИСТ К2'!O20*СПРАВОЧНИК!$L$13+'ПЛАН ЧИСТ К2'!P20*СПРАВОЧНИК!$M$13+'ПЛАН ЧИСТ К2'!Q20*СПРАВОЧНИК!$N$13+'ПЛАН ЧИСТ К2'!R20*СПРАВОЧНИК!$L$14+'ПЛАН ЧИСТ К2'!S20*СПРАВОЧНИК!$M$14+'ПЛАН ЧИСТ К2'!T20*СПРАВОЧНИК!$N$14+'ПЛАН ЧИСТ К2'!U20*СПРАВОЧНИК!$L$15+'ПЛАН ЧИСТ К2'!V20*СПРАВОЧНИК!$M$15+'ПЛАН ЧИСТ К2'!W20*СПРАВОЧНИК!$N$15</f>
        <v>0</v>
      </c>
      <c r="BA29" s="40">
        <f>('ФАКТ ЧИСТ К2'!B20)*СПРАВОЧНИК!$L$9+('ФАКТ ЧИСТ К2'!C20)*СПРАВОЧНИК!$M$9+('ФАКТ ЧИСТ К2'!D20)*СПРАВОЧНИК!$N$9+('ФАКТ ЧИСТ К2'!E20)*СПРАВОЧНИК!$O$9+('ФАКТ ЧИСТ К2'!F20)*СПРАВОЧНИК!$L$10+('ФАКТ ЧИСТ К2'!G20)*СПРАВОЧНИК!$M$10+('ФАКТ ЧИСТ К2'!H20)*СПРАВОЧНИК!$N$10+('ФАКТ ЧИСТ К2'!I20)*СПРАВОЧНИК!$L$11+('ФАКТ ЧИСТ К2'!J20)*СПРАВОЧНИК!$M$11+('ФАКТ ЧИСТ К2'!K20)*СПРАВОЧНИК!$N$11+('ФАКТ ЧИСТ К2'!L20)*СПРАВОЧНИК!$L$12+('ФАКТ ЧИСТ К2'!M20)*СПРАВОЧНИК!$M$12+('ФАКТ ЧИСТ К2'!N20)*СПРАВОЧНИК!$N$12+('ФАКТ ЧИСТ К2'!O20)*СПРАВОЧНИК!$L$13+('ФАКТ ЧИСТ К2'!P20)*СПРАВОЧНИК!$M$13+('ФАКТ ЧИСТ К2'!Q20)*СПРАВОЧНИК!$N$13+('ФАКТ ЧИСТ К2'!R20)*СПРАВОЧНИК!$L$14+('ФАКТ ЧИСТ К2'!S20)*СПРАВОЧНИК!$M$14+('ФАКТ ЧИСТ К2'!T20)*СПРАВОЧНИК!$N$14+('ФАКТ ЧИСТ К2'!U20)*СПРАВОЧНИК!$L$15+('ФАКТ ЧИСТ К2'!V20)*СПРАВОЧНИК!$M$15+('ФАКТ ЧИСТ К2'!W20)*СПРАВОЧНИК!$N$15</f>
        <v>0</v>
      </c>
      <c r="BE29" s="18">
        <f t="shared" si="21"/>
        <v>46279</v>
      </c>
      <c r="BF29" s="37">
        <f>СПРАВОЧНИК!$E$9*('ПЛАН ЧЕРН К3'!B20*СПРАВОЧНИК!$H$9+'ПЛАН ЧЕРН К3'!C20*СПРАВОЧНИК!$I$9+'ПЛАН ЧЕРН К3'!D20*СПРАВОЧНИК!$J$9)+СПРАВОЧНИК!$E$10*('ПЛАН ЧЕРН К3'!E20*СПРАВОЧНИК!$H$10+'ПЛАН ЧЕРН К3'!F20*СПРАВОЧНИК!$I$10+'ПЛАН ЧЕРН К3'!G20*СПРАВОЧНИК!$J$10)+СПРАВОЧНИК!$E$11*('ПЛАН ЧЕРН К3'!H20*СПРАВОЧНИК!$H$11+'ПЛАН ЧЕРН К3'!I20*СПРАВОЧНИК!$I$11+'ПЛАН ЧЕРН К3'!J20*СПРАВОЧНИК!$J$11)+СПРАВОЧНИК!$E$12*('ПЛАН ЧЕРН К3'!K20*СПРАВОЧНИК!$H$12+'ПЛАН ЧЕРН К3'!L20*СПРАВОЧНИК!$I$12+'ПЛАН ЧЕРН К3'!M20*СПРАВОЧНИК!$J$12)+СПРАВОЧНИК!$E$13*('ПЛАН ЧЕРН К3'!N20*СПРАВОЧНИК!$H$13+'ПЛАН ЧЕРН К3'!O20*СПРАВОЧНИК!$I$13+'ПЛАН ЧЕРН К3'!P20*СПРАВОЧНИК!$J$13)+СПРАВОЧНИК!$E$14*('ПЛАН ЧЕРН К3'!Q20*СПРАВОЧНИК!$H$14+'ПЛАН ЧЕРН К3'!R20*СПРАВОЧНИК!$I$14+'ПЛАН ЧЕРН К3'!S20*СПРАВОЧНИК!$J$14)+СПРАВОЧНИК!$E$15*('ПЛАН ЧЕРН К3'!T20*СПРАВОЧНИК!$H$15+'ПЛАН ЧЕРН К3'!U20*СПРАВОЧНИК!$I$15+'ПЛАН ЧЕРН К3'!V20*СПРАВОЧНИК!$J$15)+СПРАВОЧНИК!$F$9*('ПЛАН ЧИСТ К3'!B20*СПРАВОЧНИК!$L$9+'ПЛАН ЧИСТ К3'!C20*СПРАВОЧНИК!$M$9+'ПЛАН ЧИСТ К3'!D20*СПРАВОЧНИК!$N$9+'ПЛАН ЧИСТ К3'!E20*СПРАВОЧНИК!$O$9)+СПРАВОЧНИК!$F$10*('ПЛАН ЧИСТ К3'!F20*СПРАВОЧНИК!$L$10+'ПЛАН ЧИСТ К3'!G20*СПРАВОЧНИК!$M$10+'ПЛАН ЧИСТ К3'!H20*СПРАВОЧНИК!$N$10)+СПРАВОЧНИК!$F$11*('ПЛАН ЧИСТ К3'!I20*СПРАВОЧНИК!$L$11+'ПЛАН ЧИСТ К3'!J20*СПРАВОЧНИК!$M$11+'ПЛАН ЧИСТ К3'!K20*СПРАВОЧНИК!$N$11)+СПРАВОЧНИК!$F$12*('ПЛАН ЧИСТ К3'!L20*СПРАВОЧНИК!$L$12+'ПЛАН ЧИСТ К3'!M20*СПРАВОЧНИК!$M$12+'ПЛАН ЧИСТ К3'!N20*СПРАВОЧНИК!$N$12)+СПРАВОЧНИК!$F$13*('ПЛАН ЧИСТ К3'!O20*СПРАВОЧНИК!$L$13+'ПЛАН ЧИСТ К3'!P20*СПРАВОЧНИК!$M$13+'ПЛАН ЧИСТ К3'!Q20*СПРАВОЧНИК!$N$13)+СПРАВОЧНИК!$F$14*('ПЛАН ЧИСТ К3'!R20*СПРАВОЧНИК!$L$14+'ПЛАН ЧИСТ К3'!S20*СПРАВОЧНИК!$M$14+'ПЛАН ЧИСТ К3'!T20*СПРАВОЧНИК!$N$14)+СПРАВОЧНИК!$F$15*('ПЛАН ЧИСТ К3'!U20*СПРАВОЧНИК!$L$15+'ПЛАН ЧИСТ К3'!V20*СПРАВОЧНИК!$M$15+'ПЛАН ЧИСТ К3'!W20*СПРАВОЧНИК!$N$15)</f>
        <v>0</v>
      </c>
      <c r="BG29" s="40">
        <f>СПРАВОЧНИК!$E$9*(('ФАКТ ЧЕРН К3'!B20)*СПРАВОЧНИК!$H$9+('ФАКТ ЧЕРН К3'!C20)*СПРАВОЧНИК!$I$9+('ФАКТ ЧЕРН К3'!D20)*СПРАВОЧНИК!$J$9)+СПРАВОЧНИК!$E$10*(('ФАКТ ЧЕРН К3'!E20)*СПРАВОЧНИК!$H$10+('ФАКТ ЧЕРН К3'!F20)*СПРАВОЧНИК!$I$10+('ФАКТ ЧЕРН К3'!G20)*СПРАВОЧНИК!$J$10)+СПРАВОЧНИК!$E$11*(('ФАКТ ЧЕРН К3'!H20)*СПРАВОЧНИК!$H$11+('ФАКТ ЧЕРН К3'!I20)*СПРАВОЧНИК!$I$11+('ФАКТ ЧЕРН К3'!J20)*СПРАВОЧНИК!$J$11)+СПРАВОЧНИК!$E$12*(('ФАКТ ЧЕРН К3'!K20)*СПРАВОЧНИК!$H$12+('ФАКТ ЧЕРН К3'!L20)*СПРАВОЧНИК!$I$12+('ФАКТ ЧЕРН К3'!M20)*СПРАВОЧНИК!$J$12)+СПРАВОЧНИК!$E$13*(('ФАКТ ЧЕРН К3'!N20)*СПРАВОЧНИК!$H$13+('ФАКТ ЧЕРН К3'!O20)*СПРАВОЧНИК!$I$13+('ФАКТ ЧЕРН К3'!P20)*СПРАВОЧНИК!$J$13)+СПРАВОЧНИК!$E$14*(('ФАКТ ЧЕРН К3'!Q20)*СПРАВОЧНИК!$H$14+('ФАКТ ЧЕРН К3'!R20)*СПРАВОЧНИК!$I$14+('ФАКТ ЧЕРН К3'!S20)*СПРАВОЧНИК!$J$14)+СПРАВОЧНИК!$E$15*(('ФАКТ ЧЕРН К3'!T20)*СПРАВОЧНИК!$H$15+('ФАКТ ЧЕРН К3'!U20)*СПРАВОЧНИК!$I$15+('ФАКТ ЧЕРН К3'!V20)*СПРАВОЧНИК!$J$15)+СПРАВОЧНИК!$F$9*(('ФАКТ ЧИСТ К3'!B20)*СПРАВОЧНИК!$L$9+('ФАКТ ЧИСТ К3'!C20)*СПРАВОЧНИК!$M$9+('ФАКТ ЧИСТ К3'!D20)*СПРАВОЧНИК!$N$9+('ФАКТ ЧИСТ К3'!E20)*СПРАВОЧНИК!$O$9)+СПРАВОЧНИК!$F$10*(('ФАКТ ЧИСТ К3'!F20)*СПРАВОЧНИК!$L$10+('ФАКТ ЧИСТ К3'!G20)*СПРАВОЧНИК!$M$10+('ФАКТ ЧИСТ К3'!H20)*СПРАВОЧНИК!$N$10)+СПРАВОЧНИК!$F$11*(('ФАКТ ЧИСТ К3'!I20)*СПРАВОЧНИК!$L$11+('ФАКТ ЧИСТ К3'!J20)*СПРАВОЧНИК!$M$11+('ФАКТ ЧИСТ К3'!K20)*СПРАВОЧНИК!$N$11)+СПРАВОЧНИК!$F$12*(('ФАКТ ЧИСТ К3'!L20)*СПРАВОЧНИК!$L$12+('ФАКТ ЧИСТ К3'!M20)*СПРАВОЧНИК!$M$12+('ФАКТ ЧИСТ К3'!N20)*СПРАВОЧНИК!$N$12)+СПРАВОЧНИК!$F$13*(('ФАКТ ЧИСТ К3'!O20)*СПРАВОЧНИК!$L$13+('ФАКТ ЧИСТ К3'!P20)*СПРАВОЧНИК!$M$13+('ФАКТ ЧИСТ К3'!Q20)*СПРАВОЧНИК!$N$13)+СПРАВОЧНИК!$F$14*(('ФАКТ ЧИСТ К3'!R20)*СПРАВОЧНИК!$L$14+('ФАКТ ЧИСТ К3'!S20)*СПРАВОЧНИК!$M$14+('ФАКТ ЧИСТ К3'!T20)*СПРАВОЧНИК!$N$14)+СПРАВОЧНИК!$F$15*(('ФАКТ ЧИСТ К3'!U20)*СПРАВОЧНИК!$L$15+('ФАКТ ЧИСТ К3'!V20)*СПРАВОЧНИК!$M$15+('ФАКТ ЧИСТ К3'!W20)*СПРАВОЧНИК!$N$15)</f>
        <v>0</v>
      </c>
      <c r="BK29" s="18">
        <f t="shared" si="22"/>
        <v>46279</v>
      </c>
      <c r="BL29" s="37">
        <f>'ПЛАН ЧЕРН К3'!B20*СПРАВОЧНИК!$H$9+'ПЛАН ЧЕРН К3'!C20*СПРАВОЧНИК!$I$9+'ПЛАН ЧЕРН К3'!D20*СПРАВОЧНИК!$J$9+'ПЛАН ЧЕРН К3'!E20*СПРАВОЧНИК!$H$10+'ПЛАН ЧЕРН К3'!F20*СПРАВОЧНИК!$I$10+'ПЛАН ЧЕРН К3'!G20*СПРАВОЧНИК!$J$10+'ПЛАН ЧЕРН К3'!H20*СПРАВОЧНИК!$H$11+'ПЛАН ЧЕРН К3'!I20*СПРАВОЧНИК!$I$11+'ПЛАН ЧЕРН К3'!J20*СПРАВОЧНИК!$J$11+'ПЛАН ЧЕРН К3'!K20*СПРАВОЧНИК!$H$12+'ПЛАН ЧЕРН К3'!L20*СПРАВОЧНИК!$I$12+'ПЛАН ЧЕРН К3'!M20*СПРАВОЧНИК!$J$12+'ПЛАН ЧЕРН К3'!N20*СПРАВОЧНИК!$H$13+'ПЛАН ЧЕРН К3'!O20*СПРАВОЧНИК!$I$13+'ПЛАН ЧЕРН К3'!P20*СПРАВОЧНИК!$J$13+'ПЛАН ЧЕРН К3'!Q20*СПРАВОЧНИК!$H$14+'ПЛАН ЧЕРН К3'!R20*СПРАВОЧНИК!$I$14+'ПЛАН ЧЕРН К3'!S20*СПРАВОЧНИК!$J$14+'ПЛАН ЧЕРН К3'!T20*СПРАВОЧНИК!$H$15+'ПЛАН ЧЕРН К3'!U20*СПРАВОЧНИК!$I$15+'ПЛАН ЧЕРН К3'!V20*СПРАВОЧНИК!$J$15</f>
        <v>0</v>
      </c>
      <c r="BM29" s="40">
        <f>('ФАКТ ЧЕРН К3'!B20)*СПРАВОЧНИК!$H$9+('ФАКТ ЧЕРН К3'!C20)*СПРАВОЧНИК!$I$9+('ФАКТ ЧЕРН К3'!D20)*СПРАВОЧНИК!$J$9+('ФАКТ ЧЕРН К3'!E20)*СПРАВОЧНИК!$H$10+('ФАКТ ЧЕРН К3'!F20)*СПРАВОЧНИК!$I$10+('ФАКТ ЧЕРН К3'!G20)*СПРАВОЧНИК!$J$10+('ФАКТ ЧЕРН К3'!H20)*СПРАВОЧНИК!$H$11+('ФАКТ ЧЕРН К3'!I20)*СПРАВОЧНИК!$I$11+('ФАКТ ЧЕРН К3'!J20)*СПРАВОЧНИК!$J$11+('ФАКТ ЧЕРН К3'!K20)*СПРАВОЧНИК!$H$12+('ФАКТ ЧЕРН К3'!L20)*СПРАВОЧНИК!$I$12+('ФАКТ ЧЕРН К3'!M20)*СПРАВОЧНИК!$J$12+('ФАКТ ЧЕРН К3'!N20)*СПРАВОЧНИК!$H$13+('ФАКТ ЧЕРН К3'!O20)*СПРАВОЧНИК!$I$13+('ФАКТ ЧЕРН К3'!P20)*СПРАВОЧНИК!$J$13+('ФАКТ ЧЕРН К3'!Q20)*СПРАВОЧНИК!$H$14+('ФАКТ ЧЕРН К3'!R20)*СПРАВОЧНИК!$I$14+('ФАКТ ЧЕРН К3'!S20)*СПРАВОЧНИК!$J$14+('ФАКТ ЧЕРН К3'!T20)*СПРАВОЧНИК!$H$15+('ФАКТ ЧЕРН К3'!U20)*СПРАВОЧНИК!$I$15+('ФАКТ ЧЕРН К3'!V20)*СПРАВОЧНИК!$J$15</f>
        <v>0</v>
      </c>
      <c r="BQ29" s="18">
        <f t="shared" si="23"/>
        <v>46279</v>
      </c>
      <c r="BR29" s="37">
        <f>'ПЛАН ЧИСТ К3'!B20*СПРАВОЧНИК!$L$9+'ПЛАН ЧИСТ К3'!C20*СПРАВОЧНИК!$M$9+'ПЛАН ЧИСТ К3'!D20*СПРАВОЧНИК!$N$9+'ПЛАН ЧИСТ К3'!E20*СПРАВОЧНИК!$O$9+'ПЛАН ЧИСТ К3'!F20*СПРАВОЧНИК!$L$10+'ПЛАН ЧИСТ К3'!G20*СПРАВОЧНИК!$M$10+'ПЛАН ЧИСТ К3'!H20*СПРАВОЧНИК!$N$10+'ПЛАН ЧИСТ К3'!I20*СПРАВОЧНИК!$L$11+'ПЛАН ЧИСТ К3'!J20*СПРАВОЧНИК!$M$11+'ПЛАН ЧИСТ К3'!K20*СПРАВОЧНИК!$N$11+'ПЛАН ЧИСТ К3'!L20*СПРАВОЧНИК!$L$12+'ПЛАН ЧИСТ К3'!M20*СПРАВОЧНИК!$M$12+'ПЛАН ЧИСТ К3'!N20*СПРАВОЧНИК!$N$12+'ПЛАН ЧИСТ К3'!O20*СПРАВОЧНИК!$L$13+'ПЛАН ЧИСТ К3'!P20*СПРАВОЧНИК!$M$13+'ПЛАН ЧИСТ К3'!Q20*СПРАВОЧНИК!$N$13+'ПЛАН ЧИСТ К3'!R20*СПРАВОЧНИК!$L$14+'ПЛАН ЧИСТ К3'!S20*СПРАВОЧНИК!$M$14+'ПЛАН ЧИСТ К3'!T20*СПРАВОЧНИК!$N$14+'ПЛАН ЧИСТ К3'!U20*СПРАВОЧНИК!$L$15+'ПЛАН ЧИСТ К3'!V20*СПРАВОЧНИК!$M$15+'ПЛАН ЧИСТ К3'!W20*СПРАВОЧНИК!$N$15</f>
        <v>0</v>
      </c>
      <c r="BS29" s="40">
        <f>('ФАКТ ЧИСТ К3'!B20)*СПРАВОЧНИК!$L$9+('ФАКТ ЧИСТ К3'!C20)*СПРАВОЧНИК!$M$9+('ФАКТ ЧИСТ К3'!D20)*СПРАВОЧНИК!$N$9+('ФАКТ ЧИСТ К3'!E20)*СПРАВОЧНИК!$O$9+('ФАКТ ЧИСТ К3'!F20)*СПРАВОЧНИК!$L$10+('ФАКТ ЧИСТ К3'!G20)*СПРАВОЧНИК!$M$10+('ФАКТ ЧИСТ К3'!H20)*СПРАВОЧНИК!$N$10+('ФАКТ ЧИСТ К3'!I20)*СПРАВОЧНИК!$L$11+('ФАКТ ЧИСТ К3'!J20)*СПРАВОЧНИК!$M$11+('ФАКТ ЧИСТ К3'!K20)*СПРАВОЧНИК!$N$11+('ФАКТ ЧИСТ К3'!L20)*СПРАВОЧНИК!$L$12+('ФАКТ ЧИСТ К3'!M20)*СПРАВОЧНИК!$M$12+('ФАКТ ЧИСТ К3'!N20)*СПРАВОЧНИК!$N$12+('ФАКТ ЧИСТ К3'!O20)*СПРАВОЧНИК!$L$13+('ФАКТ ЧИСТ К3'!P20)*СПРАВОЧНИК!$M$13+('ФАКТ ЧИСТ К3'!Q20)*СПРАВОЧНИК!$N$13+('ФАКТ ЧИСТ К3'!R20)*СПРАВОЧНИК!$L$14+('ФАКТ ЧИСТ К3'!S20)*СПРАВОЧНИК!$M$14+('ФАКТ ЧИСТ К3'!T20)*СПРАВОЧНИК!$N$14+('ФАКТ ЧИСТ К3'!U20)*СПРАВОЧНИК!$L$15+('ФАКТ ЧИСТ К3'!V20)*СПРАВОЧНИК!$M$15+('ФАКТ ЧИСТ К3'!W20)*СПРАВОЧНИК!$N$15</f>
        <v>0</v>
      </c>
      <c r="BW29" s="18">
        <f t="shared" si="24"/>
        <v>46279</v>
      </c>
      <c r="BX29" s="37">
        <f t="shared" si="0"/>
        <v>0</v>
      </c>
      <c r="BY29" s="40">
        <f t="shared" si="1"/>
        <v>0</v>
      </c>
      <c r="CC29" s="18">
        <f t="shared" si="25"/>
        <v>46279</v>
      </c>
      <c r="CD29" s="37">
        <f t="shared" si="2"/>
        <v>0</v>
      </c>
      <c r="CE29" s="40">
        <f t="shared" si="3"/>
        <v>0</v>
      </c>
      <c r="CI29" s="18">
        <f t="shared" si="26"/>
        <v>46279</v>
      </c>
      <c r="CJ29" s="37">
        <f t="shared" si="4"/>
        <v>0</v>
      </c>
      <c r="CK29" s="40">
        <f t="shared" si="5"/>
        <v>0</v>
      </c>
      <c r="CO29" s="18">
        <f t="shared" si="27"/>
        <v>46279</v>
      </c>
      <c r="CP29" s="37">
        <f t="shared" si="6"/>
        <v>0</v>
      </c>
      <c r="CQ29" s="40">
        <f t="shared" si="7"/>
        <v>0</v>
      </c>
      <c r="CU29" s="18">
        <f t="shared" si="28"/>
        <v>46279</v>
      </c>
      <c r="CV29" s="37">
        <f t="shared" si="8"/>
        <v>0</v>
      </c>
      <c r="CW29" s="40">
        <f t="shared" si="9"/>
        <v>0</v>
      </c>
      <c r="DA29" s="18">
        <f t="shared" si="29"/>
        <v>46279</v>
      </c>
      <c r="DB29" s="37">
        <f t="shared" si="10"/>
        <v>0</v>
      </c>
      <c r="DC29" s="40">
        <f t="shared" si="11"/>
        <v>0</v>
      </c>
    </row>
    <row r="30" spans="3:107" x14ac:dyDescent="0.25">
      <c r="C30" s="18">
        <f t="shared" si="12"/>
        <v>46286</v>
      </c>
      <c r="D30" s="37">
        <f>СПРАВОЧНИК!$E$3*('ПЛАН ЧЕРН ПОДЗЕМ'!B21*СПРАВОЧНИК!$H$3+'ПЛАН ЧЕРН ПОДЗЕМ'!C21*СПРАВОЧНИК!$I$3+'ПЛАН ЧЕРН ПОДЗЕМ'!D21*СПРАВОЧНИК!$J$3)+СПРАВОЧНИК!$E$4*('ПЛАН ЧЕРН ПОДЗЕМ'!E21*СПРАВОЧНИК!$H$4+'ПЛАН ЧЕРН ПОДЗЕМ'!F21*СПРАВОЧНИК!$I$4+'ПЛАН ЧЕРН ПОДЗЕМ'!G21*СПРАВОЧНИК!$J$4)+СПРАВОЧНИК!$E$5*('ПЛАН ЧЕРН ПОДЗЕМ'!H21*СПРАВОЧНИК!$H$5+'ПЛАН ЧЕРН ПОДЗЕМ'!I21*СПРАВОЧНИК!$I$5+'ПЛАН ЧЕРН ПОДЗЕМ'!J21*СПРАВОЧНИК!$J$5)+СПРАВОЧНИК!$E$6*('ПЛАН ЧЕРН ПОДЗЕМ'!K21*СПРАВОЧНИК!$H$6+'ПЛАН ЧЕРН ПОДЗЕМ'!L21*СПРАВОЧНИК!$I$6+'ПЛАН ЧЕРН ПОДЗЕМ'!M21*СПРАВОЧНИК!$J$6)+СПРАВОЧНИК!$E$7*('ПЛАН ЧЕРН ПОДЗЕМ'!N21*СПРАВОЧНИК!$H$7+'ПЛАН ЧЕРН ПОДЗЕМ'!O21*СПРАВОЧНИК!$I$7+'ПЛАН ЧЕРН ПОДЗЕМ'!P21*СПРАВОЧНИК!$J$7)+СПРАВОЧНИК!$E$8*('ПЛАН ЧЕРН ПОДЗЕМ'!Q21*СПРАВОЧНИК!$H$8+'ПЛАН ЧЕРН ПОДЗЕМ'!R21*СПРАВОЧНИК!$I$8+'ПЛАН ЧЕРН ПОДЗЕМ'!S21*СПРАВОЧНИК!$J$8)+СПРАВОЧНИК!$F$3*('ПЛАН ЧИСТ ПОДЗЕМ'!B21*СПРАВОЧНИК!$L$3+'ПЛАН ЧИСТ ПОДЗЕМ'!C21*СПРАВОЧНИК!$M$3+'ПЛАН ЧИСТ ПОДЗЕМ'!D21*СПРАВОЧНИК!$N$3)+СПРАВОЧНИК!$F$4*('ПЛАН ЧИСТ ПОДЗЕМ'!E21*СПРАВОЧНИК!$L$4+'ПЛАН ЧИСТ ПОДЗЕМ'!F21*СПРАВОЧНИК!$M$4+'ПЛАН ЧИСТ ПОДЗЕМ'!G21*СПРАВОЧНИК!$N$4)+СПРАВОЧНИК!$F$5*('ПЛАН ЧИСТ ПОДЗЕМ'!H21*СПРАВОЧНИК!$L$5+'ПЛАН ЧИСТ ПОДЗЕМ'!I21*СПРАВОЧНИК!$M$5+'ПЛАН ЧИСТ ПОДЗЕМ'!J21*СПРАВОЧНИК!$N$5)+СПРАВОЧНИК!$F$6*('ПЛАН ЧИСТ ПОДЗЕМ'!K21*СПРАВОЧНИК!$L$6+'ПЛАН ЧИСТ ПОДЗЕМ'!L21*СПРАВОЧНИК!$M$6+'ПЛАН ЧИСТ ПОДЗЕМ'!M21*СПРАВОЧНИК!$N$6)+СПРАВОЧНИК!$F$7*('ПЛАН ЧИСТ ПОДЗЕМ'!N21*СПРАВОЧНИК!$L$7+'ПЛАН ЧИСТ ПОДЗЕМ'!O21*СПРАВОЧНИК!$M$7+'ПЛАН ЧИСТ ПОДЗЕМ'!P21*СПРАВОЧНИК!$N$7)+СПРАВОЧНИК!$F$8*('ПЛАН ЧИСТ ПОДЗЕМ'!Q21*СПРАВОЧНИК!$L$8+'ПЛАН ЧИСТ ПОДЗЕМ'!R21*СПРАВОЧНИК!$M$8+'ПЛАН ЧИСТ ПОДЗЕМ'!S21*СПРАВОЧНИК!$N$8)</f>
        <v>0</v>
      </c>
      <c r="E30" s="40">
        <f>СПРАВОЧНИК!$E$3*(('ФАКТ ЧЕРН ПОДЗЕМ'!B21)*СПРАВОЧНИК!$H$3+('ФАКТ ЧЕРН ПОДЗЕМ'!C21)*СПРАВОЧНИК!$I$3+('ФАКТ ЧЕРН ПОДЗЕМ'!D21)*СПРАВОЧНИК!$J$3)+СПРАВОЧНИК!$E$4*(('ФАКТ ЧЕРН ПОДЗЕМ'!E21)*СПРАВОЧНИК!$H$4+('ФАКТ ЧЕРН ПОДЗЕМ'!F21)*СПРАВОЧНИК!$I$4+('ФАКТ ЧЕРН ПОДЗЕМ'!G21)*СПРАВОЧНИК!$J$4)+СПРАВОЧНИК!$E$5*(('ФАКТ ЧЕРН ПОДЗЕМ'!H21)*СПРАВОЧНИК!$H$5+('ФАКТ ЧЕРН ПОДЗЕМ'!I21)*СПРАВОЧНИК!$I$5+('ФАКТ ЧЕРН ПОДЗЕМ'!J21)*СПРАВОЧНИК!$J$5)+СПРАВОЧНИК!$E$6*(('ФАКТ ЧЕРН ПОДЗЕМ'!K21)*СПРАВОЧНИК!$H$6+('ФАКТ ЧЕРН ПОДЗЕМ'!L21)*СПРАВОЧНИК!$I$6+('ФАКТ ЧЕРН ПОДЗЕМ'!M21)*СПРАВОЧНИК!$J$6)+СПРАВОЧНИК!$E$7*(('ФАКТ ЧЕРН ПОДЗЕМ'!N21)*СПРАВОЧНИК!$H$7+('ФАКТ ЧЕРН ПОДЗЕМ'!O21)*СПРАВОЧНИК!$I$7+('ФАКТ ЧЕРН ПОДЗЕМ'!P21)*СПРАВОЧНИК!$J$7)+СПРАВОЧНИК!$E$8*(('ФАКТ ЧЕРН ПОДЗЕМ'!Q21)*СПРАВОЧНИК!$H$8+('ФАКТ ЧЕРН ПОДЗЕМ'!R21)*СПРАВОЧНИК!$I$8+('ФАКТ ЧЕРН ПОДЗЕМ'!S21)*СПРАВОЧНИК!$J$8)+СПРАВОЧНИК!$F$3*(('ФАКТ ЧИСТ ПОДЗЕМ'!B21)*СПРАВОЧНИК!$L$3+('ФАКТ ЧИСТ ПОДЗЕМ'!C21)*СПРАВОЧНИК!$M$3+('ФАКТ ЧИСТ ПОДЗЕМ'!D21)*СПРАВОЧНИК!$N$3)+СПРАВОЧНИК!$F$4*(('ФАКТ ЧИСТ ПОДЗЕМ'!E21)*СПРАВОЧНИК!$L$4+('ФАКТ ЧИСТ ПОДЗЕМ'!F21)*СПРАВОЧНИК!$M$4+('ФАКТ ЧИСТ ПОДЗЕМ'!G21)*СПРАВОЧНИК!$N$4)+СПРАВОЧНИК!$F$5*(('ФАКТ ЧИСТ ПОДЗЕМ'!H21)*СПРАВОЧНИК!$L$5+('ФАКТ ЧИСТ ПОДЗЕМ'!I21)*СПРАВОЧНИК!$M$5+('ФАКТ ЧИСТ ПОДЗЕМ'!J21)*СПРАВОЧНИК!$N$5)+СПРАВОЧНИК!$F$6*(('ФАКТ ЧИСТ ПОДЗЕМ'!K21)*СПРАВОЧНИК!$L$6+('ФАКТ ЧИСТ ПОДЗЕМ'!L21)*СПРАВОЧНИК!$M$6+('ФАКТ ЧИСТ ПОДЗЕМ'!M21)*СПРАВОЧНИК!$N$6)+СПРАВОЧНИК!$F$7*(('ФАКТ ЧИСТ ПОДЗЕМ'!N21)*СПРАВОЧНИК!$L$7+('ФАКТ ЧИСТ ПОДЗЕМ'!O21)*СПРАВОЧНИК!$M$7+('ФАКТ ЧИСТ ПОДЗЕМ'!P21)*СПРАВОЧНИК!$N$7)+СПРАВОЧНИК!$F$8*(('ФАКТ ЧИСТ ПОДЗЕМ'!Q21)*СПРАВОЧНИК!$L$8+('ФАКТ ЧИСТ ПОДЗЕМ'!R21)*СПРАВОЧНИК!$M$8+('ФАКТ ЧИСТ ПОДЗЕМ'!S21)*СПРАВОЧНИК!$N$8)</f>
        <v>0</v>
      </c>
      <c r="I30" s="18">
        <f t="shared" si="13"/>
        <v>46286</v>
      </c>
      <c r="J30" s="37">
        <f>'ПЛАН ЧЕРН ПОДЗЕМ'!B21*СПРАВОЧНИК!$H$3+'ПЛАН ЧЕРН ПОДЗЕМ'!C21*СПРАВОЧНИК!$I$3+'ПЛАН ЧЕРН ПОДЗЕМ'!D21*СПРАВОЧНИК!$J$3+'ПЛАН ЧЕРН ПОДЗЕМ'!E21*СПРАВОЧНИК!$H$4+'ПЛАН ЧЕРН ПОДЗЕМ'!F21*СПРАВОЧНИК!$I$4+'ПЛАН ЧЕРН ПОДЗЕМ'!G21*СПРАВОЧНИК!$J$4+'ПЛАН ЧЕРН ПОДЗЕМ'!H21*СПРАВОЧНИК!$H$5+'ПЛАН ЧЕРН ПОДЗЕМ'!I21*СПРАВОЧНИК!$I$5+'ПЛАН ЧЕРН ПОДЗЕМ'!J21*СПРАВОЧНИК!$J$5+'ПЛАН ЧЕРН ПОДЗЕМ'!K21*СПРАВОЧНИК!$H$6+'ПЛАН ЧЕРН ПОДЗЕМ'!L21*СПРАВОЧНИК!$I$6+'ПЛАН ЧЕРН ПОДЗЕМ'!M21*СПРАВОЧНИК!$J$6+'ПЛАН ЧЕРН ПОДЗЕМ'!N21*СПРАВОЧНИК!$H$7+'ПЛАН ЧЕРН ПОДЗЕМ'!O21*СПРАВОЧНИК!$I$7+'ПЛАН ЧЕРН ПОДЗЕМ'!P21*СПРАВОЧНИК!$J$7+'ПЛАН ЧЕРН ПОДЗЕМ'!Q21*СПРАВОЧНИК!$H$8+'ПЛАН ЧЕРН ПОДЗЕМ'!R21*СПРАВОЧНИК!$I$8+'ПЛАН ЧЕРН ПОДЗЕМ'!S21*СПРАВОЧНИК!$J$8</f>
        <v>0</v>
      </c>
      <c r="K30" s="40">
        <f>('ФАКТ ЧЕРН ПОДЗЕМ'!B21)*СПРАВОЧНИК!$H$3+('ФАКТ ЧЕРН ПОДЗЕМ'!C21)*СПРАВОЧНИК!$I$3+('ФАКТ ЧЕРН ПОДЗЕМ'!D21)*СПРАВОЧНИК!$J$3+('ФАКТ ЧЕРН ПОДЗЕМ'!E21)*СПРАВОЧНИК!$H$4+('ФАКТ ЧЕРН ПОДЗЕМ'!F21)*СПРАВОЧНИК!$I$4+('ФАКТ ЧЕРН ПОДЗЕМ'!G21)*СПРАВОЧНИК!$J$4+('ФАКТ ЧЕРН ПОДЗЕМ'!H21)*СПРАВОЧНИК!$H$5+('ФАКТ ЧЕРН ПОДЗЕМ'!I21)*СПРАВОЧНИК!$I$5+('ФАКТ ЧЕРН ПОДЗЕМ'!J21)*СПРАВОЧНИК!$J$5+('ФАКТ ЧЕРН ПОДЗЕМ'!K21)*СПРАВОЧНИК!$H$6+('ФАКТ ЧЕРН ПОДЗЕМ'!L21)*СПРАВОЧНИК!$I$6+('ФАКТ ЧЕРН ПОДЗЕМ'!M21)*СПРАВОЧНИК!$J$6+('ФАКТ ЧЕРН ПОДЗЕМ'!N21)*СПРАВОЧНИК!$H$7+('ФАКТ ЧЕРН ПОДЗЕМ'!O21)*СПРАВОЧНИК!$I$7+('ФАКТ ЧЕРН ПОДЗЕМ'!P21)*СПРАВОЧНИК!$J$7+('ФАКТ ЧЕРН ПОДЗЕМ'!Q21)*СПРАВОЧНИК!$H$8+('ФАКТ ЧЕРН ПОДЗЕМ'!R21)*СПРАВОЧНИК!$I$8+('ФАКТ ЧЕРН ПОДЗЕМ'!S21)*СПРАВОЧНИК!$J$8</f>
        <v>0</v>
      </c>
      <c r="O30" s="18">
        <f t="shared" si="14"/>
        <v>46286</v>
      </c>
      <c r="P30" s="37">
        <f>'ПЛАН ЧИСТ ПОДЗЕМ'!B21*СПРАВОЧНИК!$L$3+'ПЛАН ЧИСТ ПОДЗЕМ'!C21*СПРАВОЧНИК!$M$3+'ПЛАН ЧИСТ ПОДЗЕМ'!D21*СПРАВОЧНИК!$N$3+'ПЛАН ЧИСТ ПОДЗЕМ'!E21*СПРАВОЧНИК!$L$4+'ПЛАН ЧИСТ ПОДЗЕМ'!F21*СПРАВОЧНИК!$M$4+'ПЛАН ЧИСТ ПОДЗЕМ'!G21*СПРАВОЧНИК!$N$4+'ПЛАН ЧИСТ ПОДЗЕМ'!H21*СПРАВОЧНИК!$L$5+'ПЛАН ЧИСТ ПОДЗЕМ'!I21*СПРАВОЧНИК!$M$5+'ПЛАН ЧИСТ ПОДЗЕМ'!J21*СПРАВОЧНИК!$N$5+'ПЛАН ЧИСТ ПОДЗЕМ'!K21*СПРАВОЧНИК!$L$6+'ПЛАН ЧИСТ ПОДЗЕМ'!L21*СПРАВОЧНИК!$M$6+'ПЛАН ЧИСТ ПОДЗЕМ'!M21*СПРАВОЧНИК!$N$6+'ПЛАН ЧИСТ ПОДЗЕМ'!N21*СПРАВОЧНИК!$L$7+'ПЛАН ЧИСТ ПОДЗЕМ'!O21*СПРАВОЧНИК!$M$7+'ПЛАН ЧИСТ ПОДЗЕМ'!P21*СПРАВОЧНИК!$N$7+'ПЛАН ЧИСТ ПОДЗЕМ'!Q21*СПРАВОЧНИК!$L$8+'ПЛАН ЧИСТ ПОДЗЕМ'!R21*СПРАВОЧНИК!$M$8+'ПЛАН ЧИСТ ПОДЗЕМ'!S21*СПРАВОЧНИК!$N$8</f>
        <v>0</v>
      </c>
      <c r="Q30" s="40">
        <f>('ФАКТ ЧИСТ ПОДЗЕМ'!B21)*СПРАВОЧНИК!$L$3+('ФАКТ ЧИСТ ПОДЗЕМ'!C21)*СПРАВОЧНИК!$M$3+('ФАКТ ЧИСТ ПОДЗЕМ'!D21)*СПРАВОЧНИК!$N$3+('ФАКТ ЧИСТ ПОДЗЕМ'!E21)*СПРАВОЧНИК!$L$4+('ФАКТ ЧИСТ ПОДЗЕМ'!F21)*СПРАВОЧНИК!$M$4+('ФАКТ ЧИСТ ПОДЗЕМ'!G21)*СПРАВОЧНИК!$N$4+('ФАКТ ЧИСТ ПОДЗЕМ'!H21)*СПРАВОЧНИК!$L$5+('ФАКТ ЧИСТ ПОДЗЕМ'!I21)*СПРАВОЧНИК!$M$5+('ФАКТ ЧИСТ ПОДЗЕМ'!J21)*СПРАВОЧНИК!$N$5+('ФАКТ ЧИСТ ПОДЗЕМ'!K21)*СПРАВОЧНИК!$L$6+('ФАКТ ЧИСТ ПОДЗЕМ'!L21)*СПРАВОЧНИК!$M$6+('ФАКТ ЧИСТ ПОДЗЕМ'!M21)*СПРАВОЧНИК!$N$6+('ФАКТ ЧИСТ ПОДЗЕМ'!N21)*СПРАВОЧНИК!$L$7+('ФАКТ ЧИСТ ПОДЗЕМ'!O21)*СПРАВОЧНИК!$M$7+('ФАКТ ЧИСТ ПОДЗЕМ'!P21)*СПРАВОЧНИК!$N$7+('ФАКТ ЧИСТ ПОДЗЕМ'!Q21)*СПРАВОЧНИК!$L$8+('ФАКТ ЧИСТ ПОДЗЕМ'!R21)*СПРАВОЧНИК!$M$8+('ФАКТ ЧИСТ ПОДЗЕМ'!S21)*СПРАВОЧНИК!$N$8</f>
        <v>0</v>
      </c>
      <c r="U30" s="18">
        <f t="shared" si="15"/>
        <v>46286</v>
      </c>
      <c r="V30" s="37">
        <f>СПРАВОЧНИК!$E$9*('ПЛАН ЧЕРН К1'!B21*СПРАВОЧНИК!$H$9+'ПЛАН ЧЕРН К1'!C21*СПРАВОЧНИК!$I$9+'ПЛАН ЧЕРН К1'!D21*СПРАВОЧНИК!$J$9)+СПРАВОЧНИК!$E$10*('ПЛАН ЧЕРН К1'!E21*СПРАВОЧНИК!$H$10+'ПЛАН ЧЕРН К1'!F21*СПРАВОЧНИК!$I$10+'ПЛАН ЧЕРН К1'!G21*СПРАВОЧНИК!$J$10)+СПРАВОЧНИК!$E$11*('ПЛАН ЧЕРН К1'!H21*СПРАВОЧНИК!$H$11+'ПЛАН ЧЕРН К1'!I21*СПРАВОЧНИК!$I$11+'ПЛАН ЧЕРН К1'!J21*СПРАВОЧНИК!$J$11)+СПРАВОЧНИК!$E$12*('ПЛАН ЧЕРН К1'!K21*СПРАВОЧНИК!$H$12+'ПЛАН ЧЕРН К1'!L21*СПРАВОЧНИК!$I$12+'ПЛАН ЧЕРН К1'!M21*СПРАВОЧНИК!$J$12)+СПРАВОЧНИК!$E$13*('ПЛАН ЧЕРН К1'!N21*СПРАВОЧНИК!$H$13+'ПЛАН ЧЕРН К1'!O21*СПРАВОЧНИК!$I$13+'ПЛАН ЧЕРН К1'!P21*СПРАВОЧНИК!$J$13)+СПРАВОЧНИК!$E$14*('ПЛАН ЧЕРН К1'!Q21*СПРАВОЧНИК!$H$14+'ПЛАН ЧЕРН К1'!R21*СПРАВОЧНИК!$I$14+'ПЛАН ЧЕРН К1'!S21*СПРАВОЧНИК!$J$14)+СПРАВОЧНИК!$E$15*('ПЛАН ЧЕРН К1'!T21*СПРАВОЧНИК!$H$15+'ПЛАН ЧЕРН К1'!U21*СПРАВОЧНИК!$I$15+'ПЛАН ЧЕРН К1'!V21*СПРАВОЧНИК!$J$15)+СПРАВОЧНИК!$F$9*('ПЛАН ЧИСТ К1'!B21*СПРАВОЧНИК!$L$9+'ПЛАН ЧИСТ К1'!C21*СПРАВОЧНИК!$M$9+'ПЛАН ЧИСТ К1'!D21*СПРАВОЧНИК!$N$9+'ПЛАН ЧИСТ К1'!E21*СПРАВОЧНИК!$O$9)+СПРАВОЧНИК!$F$10*('ПЛАН ЧИСТ К1'!F21*СПРАВОЧНИК!$L$10+'ПЛАН ЧИСТ К1'!G21*СПРАВОЧНИК!$M$10+'ПЛАН ЧИСТ К1'!H21*СПРАВОЧНИК!$N$10)+СПРАВОЧНИК!$F$11*('ПЛАН ЧИСТ К1'!I21*СПРАВОЧНИК!$L$11+'ПЛАН ЧИСТ К1'!J21*СПРАВОЧНИК!$M$11+'ПЛАН ЧИСТ К1'!K21*СПРАВОЧНИК!$N$11)+СПРАВОЧНИК!$F$12*('ПЛАН ЧИСТ К1'!L21*СПРАВОЧНИК!$L$12+'ПЛАН ЧИСТ К1'!M21*СПРАВОЧНИК!$M$12+'ПЛАН ЧИСТ К1'!N21*СПРАВОЧНИК!$N$12)+СПРАВОЧНИК!$F$13*('ПЛАН ЧИСТ К1'!O21*СПРАВОЧНИК!$L$13+'ПЛАН ЧИСТ К1'!P21*СПРАВОЧНИК!$M$13+'ПЛАН ЧИСТ К1'!Q21*СПРАВОЧНИК!$N$13)+СПРАВОЧНИК!$F$14*('ПЛАН ЧИСТ К1'!R21*СПРАВОЧНИК!$L$14+'ПЛАН ЧИСТ К1'!S21*СПРАВОЧНИК!$M$14+'ПЛАН ЧИСТ К1'!T21*СПРАВОЧНИК!$N$14)+СПРАВОЧНИК!$F$15*('ПЛАН ЧИСТ К1'!U21*СПРАВОЧНИК!$L$15+'ПЛАН ЧИСТ К1'!V21*СПРАВОЧНИК!$M$15+'ПЛАН ЧИСТ К1'!W21*СПРАВОЧНИК!$N$15)</f>
        <v>0</v>
      </c>
      <c r="W30" s="40">
        <f>СПРАВОЧНИК!$E$9*(('ФАКТ ЧЕРН К1'!B21)*СПРАВОЧНИК!$H$9+('ФАКТ ЧЕРН К1'!C21)*СПРАВОЧНИК!$I$9+('ФАКТ ЧЕРН К1'!D21)*СПРАВОЧНИК!$J$9)+СПРАВОЧНИК!$E$10*(('ФАКТ ЧЕРН К1'!E21)*СПРАВОЧНИК!$H$10+('ФАКТ ЧЕРН К1'!F21)*СПРАВОЧНИК!$I$10+('ФАКТ ЧЕРН К1'!G21)*СПРАВОЧНИК!$J$10)+СПРАВОЧНИК!$E$11*(('ФАКТ ЧЕРН К1'!H21)*СПРАВОЧНИК!$H$11+('ФАКТ ЧЕРН К1'!I21)*СПРАВОЧНИК!$I$11+('ФАКТ ЧЕРН К1'!J21)*СПРАВОЧНИК!$J$11)+СПРАВОЧНИК!$E$12*(('ФАКТ ЧЕРН К1'!K21)*СПРАВОЧНИК!$H$12+('ФАКТ ЧЕРН К1'!L21)*СПРАВОЧНИК!$I$12+('ФАКТ ЧЕРН К1'!M21)*СПРАВОЧНИК!$J$12)+СПРАВОЧНИК!$E$13*(('ФАКТ ЧЕРН К1'!N21)*СПРАВОЧНИК!$H$13+('ФАКТ ЧЕРН К1'!O21)*СПРАВОЧНИК!$I$13+('ФАКТ ЧЕРН К1'!P21)*СПРАВОЧНИК!$J$13)+СПРАВОЧНИК!$E$14*(('ФАКТ ЧЕРН К1'!Q21)*СПРАВОЧНИК!$H$14+('ФАКТ ЧЕРН К1'!R21)*СПРАВОЧНИК!$I$14+('ФАКТ ЧЕРН К1'!S21)*СПРАВОЧНИК!$J$14)+СПРАВОЧНИК!$E$15*(('ФАКТ ЧЕРН К1'!T21)*СПРАВОЧНИК!$H$15+('ФАКТ ЧЕРН К1'!U21)*СПРАВОЧНИК!$I$15+('ФАКТ ЧЕРН К1'!V21)*СПРАВОЧНИК!$J$15)+СПРАВОЧНИК!$F$9*(('ФАКТ ЧИСТ К1'!B21)*СПРАВОЧНИК!$L$9+('ФАКТ ЧИСТ К1'!C21)*СПРАВОЧНИК!$M$9+('ФАКТ ЧИСТ К1'!D21)*СПРАВОЧНИК!$N$9+('ФАКТ ЧИСТ К1'!E21)*СПРАВОЧНИК!$O$9)+СПРАВОЧНИК!$F$10*(('ФАКТ ЧИСТ К1'!F21)*СПРАВОЧНИК!$L$10+('ФАКТ ЧИСТ К1'!G21)*СПРАВОЧНИК!$M$10+('ФАКТ ЧИСТ К1'!H21)*СПРАВОЧНИК!$N$10)+СПРАВОЧНИК!$F$11*(('ФАКТ ЧИСТ К1'!I21)*СПРАВОЧНИК!$L$11+('ФАКТ ЧИСТ К1'!J21)*СПРАВОЧНИК!$M$11+('ФАКТ ЧИСТ К1'!K21)*СПРАВОЧНИК!$N$11)+СПРАВОЧНИК!$F$12*(('ФАКТ ЧИСТ К1'!L21)*СПРАВОЧНИК!$L$12+('ФАКТ ЧИСТ К1'!M21)*СПРАВОЧНИК!$M$12+('ФАКТ ЧИСТ К1'!N21)*СПРАВОЧНИК!$N$12)+СПРАВОЧНИК!$F$13*(('ФАКТ ЧИСТ К1'!O21)*СПРАВОЧНИК!$L$13+('ФАКТ ЧИСТ К1'!P21)*СПРАВОЧНИК!$M$13+('ФАКТ ЧИСТ К1'!Q21)*СПРАВОЧНИК!$N$13)+СПРАВОЧНИК!$F$14*(('ФАКТ ЧИСТ К1'!R21)*СПРАВОЧНИК!$L$14+('ФАКТ ЧИСТ К1'!S21)*СПРАВОЧНИК!$M$14+('ФАКТ ЧИСТ К1'!T21)*СПРАВОЧНИК!$N$14)+СПРАВОЧНИК!$F$15*(('ФАКТ ЧИСТ К1'!U21)*СПРАВОЧНИК!$L$15+('ФАКТ ЧИСТ К1'!V21)*СПРАВОЧНИК!$M$15+('ФАКТ ЧИСТ К1'!W21)*СПРАВОЧНИК!$N$15)</f>
        <v>0</v>
      </c>
      <c r="AA30" s="18">
        <f t="shared" si="16"/>
        <v>46286</v>
      </c>
      <c r="AB30" s="37">
        <f>'ПЛАН ЧЕРН К1'!B21*СПРАВОЧНИК!$H$9+'ПЛАН ЧЕРН К1'!C21*СПРАВОЧНИК!$I$9+'ПЛАН ЧЕРН К1'!D21*СПРАВОЧНИК!$J$9+'ПЛАН ЧЕРН К1'!E21*СПРАВОЧНИК!$H$10+'ПЛАН ЧЕРН К1'!F21*СПРАВОЧНИК!$I$10+'ПЛАН ЧЕРН К1'!G21*СПРАВОЧНИК!$J$10+'ПЛАН ЧЕРН К1'!H21*СПРАВОЧНИК!$H$11+'ПЛАН ЧЕРН К1'!I21*СПРАВОЧНИК!$I$11+'ПЛАН ЧЕРН К1'!J21*СПРАВОЧНИК!$J$11+'ПЛАН ЧЕРН К1'!K21*СПРАВОЧНИК!$H$12+'ПЛАН ЧЕРН К1'!L21*СПРАВОЧНИК!$I$12+'ПЛАН ЧЕРН К1'!M21*СПРАВОЧНИК!$J$12+'ПЛАН ЧЕРН К1'!N21*СПРАВОЧНИК!$H$13+'ПЛАН ЧЕРН К1'!O21*СПРАВОЧНИК!$I$13+'ПЛАН ЧЕРН К1'!P21*СПРАВОЧНИК!$J$13+'ПЛАН ЧЕРН К1'!Q21*СПРАВОЧНИК!$H$14+'ПЛАН ЧЕРН К1'!R21*СПРАВОЧНИК!$I$14+'ПЛАН ЧЕРН К1'!S21*СПРАВОЧНИК!$J$14+'ПЛАН ЧЕРН К1'!T21*СПРАВОЧНИК!$H$15+'ПЛАН ЧЕРН К1'!U21*СПРАВОЧНИК!$I$15+'ПЛАН ЧЕРН К1'!V21*СПРАВОЧНИК!$J$15</f>
        <v>0</v>
      </c>
      <c r="AC30" s="40">
        <f>('ФАКТ ЧЕРН К1'!B21)*СПРАВОЧНИК!$H$9+('ФАКТ ЧЕРН К1'!C21)*СПРАВОЧНИК!$I$9+('ФАКТ ЧЕРН К1'!D21)*СПРАВОЧНИК!$J$9+('ФАКТ ЧЕРН К1'!E21)*СПРАВОЧНИК!$H$10+('ФАКТ ЧЕРН К1'!F21)*СПРАВОЧНИК!$I$10+('ФАКТ ЧЕРН К1'!G21)*СПРАВОЧНИК!$J$10+('ФАКТ ЧЕРН К1'!H21)*СПРАВОЧНИК!$H$11+('ФАКТ ЧЕРН К1'!I21)*СПРАВОЧНИК!$I$11+('ФАКТ ЧЕРН К1'!J21)*СПРАВОЧНИК!$J$11+('ФАКТ ЧЕРН К1'!K21)*СПРАВОЧНИК!$H$12+('ФАКТ ЧЕРН К1'!L21)*СПРАВОЧНИК!$I$12+('ФАКТ ЧЕРН К1'!M21)*СПРАВОЧНИК!$J$12+('ФАКТ ЧЕРН К1'!N21)*СПРАВОЧНИК!$H$13+('ФАКТ ЧЕРН К1'!O21)*СПРАВОЧНИК!$I$13+('ФАКТ ЧЕРН К1'!P21)*СПРАВОЧНИК!$J$13+('ФАКТ ЧЕРН К1'!Q21)*СПРАВОЧНИК!$H$14+('ФАКТ ЧЕРН К1'!R21)*СПРАВОЧНИК!$I$14+('ФАКТ ЧЕРН К1'!S21)*СПРАВОЧНИК!$J$14+('ФАКТ ЧЕРН К1'!T21)*СПРАВОЧНИК!$H$15+('ФАКТ ЧЕРН К1'!U21)*СПРАВОЧНИК!$I$15+('ФАКТ ЧЕРН К1'!V21)*СПРАВОЧНИК!$J$15</f>
        <v>0</v>
      </c>
      <c r="AG30" s="18">
        <f t="shared" si="17"/>
        <v>46286</v>
      </c>
      <c r="AH30" s="37">
        <f>'ПЛАН ЧИСТ К1'!B21*СПРАВОЧНИК!$L$9+'ПЛАН ЧИСТ К1'!C21*СПРАВОЧНИК!$M$9+'ПЛАН ЧИСТ К1'!D21*СПРАВОЧНИК!$N$9+'ПЛАН ЧИСТ К1'!E21*СПРАВОЧНИК!$O$9+'ПЛАН ЧИСТ К1'!F21*СПРАВОЧНИК!$L$10+'ПЛАН ЧИСТ К1'!G21*СПРАВОЧНИК!$M$10+'ПЛАН ЧИСТ К1'!H21*СПРАВОЧНИК!$N$10+'ПЛАН ЧИСТ К1'!I21*СПРАВОЧНИК!$L$11+'ПЛАН ЧИСТ К1'!J21*СПРАВОЧНИК!$M$11+'ПЛАН ЧИСТ К1'!K21*СПРАВОЧНИК!$N$11+'ПЛАН ЧИСТ К1'!L21*СПРАВОЧНИК!$L$12+'ПЛАН ЧИСТ К1'!M21*СПРАВОЧНИК!$M$12+'ПЛАН ЧИСТ К1'!N21*СПРАВОЧНИК!$N$12+'ПЛАН ЧИСТ К1'!O21*СПРАВОЧНИК!$L$13+'ПЛАН ЧИСТ К1'!P21*СПРАВОЧНИК!$M$13+'ПЛАН ЧИСТ К1'!Q21*СПРАВОЧНИК!$N$13+'ПЛАН ЧИСТ К1'!R21*СПРАВОЧНИК!$L$14+'ПЛАН ЧИСТ К1'!S21*СПРАВОЧНИК!$M$14+'ПЛАН ЧИСТ К1'!T21*СПРАВОЧНИК!$N$14+'ПЛАН ЧИСТ К1'!U21*СПРАВОЧНИК!$L$15+'ПЛАН ЧИСТ К1'!V21*СПРАВОЧНИК!$M$15+'ПЛАН ЧИСТ К1'!W21*СПРАВОЧНИК!$N$15</f>
        <v>0</v>
      </c>
      <c r="AI30" s="40">
        <f>('ФАКТ ЧИСТ К1'!B21)*СПРАВОЧНИК!$L$9+('ФАКТ ЧИСТ К1'!C21)*СПРАВОЧНИК!$M$9+('ФАКТ ЧИСТ К1'!D21)*СПРАВОЧНИК!$N$9+('ФАКТ ЧИСТ К1'!E21)*СПРАВОЧНИК!$O$9+('ФАКТ ЧИСТ К1'!F21)*СПРАВОЧНИК!$L$10+('ФАКТ ЧИСТ К1'!G21)*СПРАВОЧНИК!$M$10+('ФАКТ ЧИСТ К1'!H21)*СПРАВОЧНИК!$N$10+('ФАКТ ЧИСТ К1'!I21)*СПРАВОЧНИК!$L$11+('ФАКТ ЧИСТ К1'!J21)*СПРАВОЧНИК!$M$11+('ФАКТ ЧИСТ К1'!K21)*СПРАВОЧНИК!$N$11+('ФАКТ ЧИСТ К1'!L21)*СПРАВОЧНИК!$L$12+('ФАКТ ЧИСТ К1'!M21)*СПРАВОЧНИК!$M$12+('ФАКТ ЧИСТ К1'!N21)*СПРАВОЧНИК!$N$12+('ФАКТ ЧИСТ К1'!O21)*СПРАВОЧНИК!$L$13+('ФАКТ ЧИСТ К1'!P21)*СПРАВОЧНИК!$M$13+('ФАКТ ЧИСТ К1'!Q21)*СПРАВОЧНИК!$N$13+('ФАКТ ЧИСТ К1'!R21)*СПРАВОЧНИК!$L$14+('ФАКТ ЧИСТ К1'!S21)*СПРАВОЧНИК!$M$14+('ФАКТ ЧИСТ К1'!T21)*СПРАВОЧНИК!$N$14+('ФАКТ ЧИСТ К1'!U21)*СПРАВОЧНИК!$L$15+('ФАКТ ЧИСТ К1'!V21)*СПРАВОЧНИК!$M$15+('ФАКТ ЧИСТ К1'!W21)*СПРАВОЧНИК!$N$15</f>
        <v>0</v>
      </c>
      <c r="AM30" s="18">
        <f t="shared" si="18"/>
        <v>46286</v>
      </c>
      <c r="AN30" s="37">
        <f>СПРАВОЧНИК!$E$9*('ПЛАН ЧЕРН К2'!B21*СПРАВОЧНИК!$H$9+'ПЛАН ЧЕРН К2'!C21*СПРАВОЧНИК!$I$9+'ПЛАН ЧЕРН К2'!D21*СПРАВОЧНИК!$J$9)+СПРАВОЧНИК!$E$10*('ПЛАН ЧЕРН К2'!E21*СПРАВОЧНИК!$H$10+'ПЛАН ЧЕРН К2'!F21*СПРАВОЧНИК!$I$10+'ПЛАН ЧЕРН К2'!G21*СПРАВОЧНИК!$J$10)+СПРАВОЧНИК!$E$11*('ПЛАН ЧЕРН К2'!H21*СПРАВОЧНИК!$H$11+'ПЛАН ЧЕРН К2'!I21*СПРАВОЧНИК!$I$11+'ПЛАН ЧЕРН К2'!J21*СПРАВОЧНИК!$J$11)+СПРАВОЧНИК!$E$12*('ПЛАН ЧЕРН К2'!K21*СПРАВОЧНИК!$H$12+'ПЛАН ЧЕРН К2'!L21*СПРАВОЧНИК!$I$12+'ПЛАН ЧЕРН К2'!M21*СПРАВОЧНИК!$J$12)+СПРАВОЧНИК!$E$13*('ПЛАН ЧЕРН К2'!N21*СПРАВОЧНИК!$H$13+'ПЛАН ЧЕРН К2'!O21*СПРАВОЧНИК!$I$13+'ПЛАН ЧЕРН К2'!P21*СПРАВОЧНИК!$J$13)+СПРАВОЧНИК!$E$14*('ПЛАН ЧЕРН К2'!Q21*СПРАВОЧНИК!$H$14+'ПЛАН ЧЕРН К2'!R21*СПРАВОЧНИК!$I$14+'ПЛАН ЧЕРН К2'!S21*СПРАВОЧНИК!$J$14)+СПРАВОЧНИК!$E$15*('ПЛАН ЧЕРН К2'!T21*СПРАВОЧНИК!$H$15+'ПЛАН ЧЕРН К2'!U21*СПРАВОЧНИК!$I$15+'ПЛАН ЧЕРН К2'!V21*СПРАВОЧНИК!$J$15)+СПРАВОЧНИК!$F$9*('ПЛАН ЧИСТ К2'!B21*СПРАВОЧНИК!$L$9+'ПЛАН ЧИСТ К2'!C21*СПРАВОЧНИК!$M$9+'ПЛАН ЧИСТ К2'!D21*СПРАВОЧНИК!$N$9+'ПЛАН ЧИСТ К2'!E21*СПРАВОЧНИК!$O$9)+СПРАВОЧНИК!$F$10*('ПЛАН ЧИСТ К2'!F21*СПРАВОЧНИК!$L$10+'ПЛАН ЧИСТ К2'!G21*СПРАВОЧНИК!$M$10+'ПЛАН ЧИСТ К2'!H21*СПРАВОЧНИК!$N$10)+СПРАВОЧНИК!$F$11*('ПЛАН ЧИСТ К2'!I21*СПРАВОЧНИК!$L$11+'ПЛАН ЧИСТ К2'!J21*СПРАВОЧНИК!$M$11+'ПЛАН ЧИСТ К2'!K21*СПРАВОЧНИК!$N$11)+СПРАВОЧНИК!$F$12*('ПЛАН ЧИСТ К2'!L21*СПРАВОЧНИК!$L$12+'ПЛАН ЧИСТ К2'!M21*СПРАВОЧНИК!$M$12+'ПЛАН ЧИСТ К2'!N21*СПРАВОЧНИК!$N$12)+СПРАВОЧНИК!$F$13*('ПЛАН ЧИСТ К2'!O21*СПРАВОЧНИК!$L$13+'ПЛАН ЧИСТ К2'!P21*СПРАВОЧНИК!$M$13+'ПЛАН ЧИСТ К2'!Q21*СПРАВОЧНИК!$N$13)+СПРАВОЧНИК!$F$14*('ПЛАН ЧИСТ К2'!R21*СПРАВОЧНИК!$L$14+'ПЛАН ЧИСТ К2'!S21*СПРАВОЧНИК!$M$14+'ПЛАН ЧИСТ К2'!T21*СПРАВОЧНИК!$N$14)+СПРАВОЧНИК!$F$15*('ПЛАН ЧИСТ К2'!U21*СПРАВОЧНИК!$L$15+'ПЛАН ЧИСТ К2'!V21*СПРАВОЧНИК!$M$15+'ПЛАН ЧИСТ К2'!W21*СПРАВОЧНИК!$N$15)</f>
        <v>0</v>
      </c>
      <c r="AO30" s="40">
        <f>СПРАВОЧНИК!$E$9*(('ФАКТ ЧЕРН К2'!B21)*СПРАВОЧНИК!$H$9+('ФАКТ ЧЕРН К2'!C21)*СПРАВОЧНИК!$I$9+('ФАКТ ЧЕРН К2'!D21)*СПРАВОЧНИК!$J$9)+СПРАВОЧНИК!$E$10*(('ФАКТ ЧЕРН К2'!E21)*СПРАВОЧНИК!$H$10+('ФАКТ ЧЕРН К2'!F21)*СПРАВОЧНИК!$I$10+('ФАКТ ЧЕРН К2'!G21)*СПРАВОЧНИК!$J$10)+СПРАВОЧНИК!$E$11*(('ФАКТ ЧЕРН К2'!H21)*СПРАВОЧНИК!$H$11+('ФАКТ ЧЕРН К2'!I21)*СПРАВОЧНИК!$I$11+('ФАКТ ЧЕРН К2'!J21)*СПРАВОЧНИК!$J$11)+СПРАВОЧНИК!$E$12*(('ФАКТ ЧЕРН К2'!K21)*СПРАВОЧНИК!$H$12+('ФАКТ ЧЕРН К2'!L21)*СПРАВОЧНИК!$I$12+('ФАКТ ЧЕРН К2'!M21)*СПРАВОЧНИК!$J$12)+СПРАВОЧНИК!$E$13*(('ФАКТ ЧЕРН К2'!N21)*СПРАВОЧНИК!$H$13+('ФАКТ ЧЕРН К2'!O21)*СПРАВОЧНИК!$I$13+('ФАКТ ЧЕРН К2'!P21)*СПРАВОЧНИК!$J$13)+СПРАВОЧНИК!$E$14*(('ФАКТ ЧЕРН К2'!Q21)*СПРАВОЧНИК!$H$14+('ФАКТ ЧЕРН К2'!R21)*СПРАВОЧНИК!$I$14+('ФАКТ ЧЕРН К2'!S21)*СПРАВОЧНИК!$J$14)+СПРАВОЧНИК!$E$15*(('ФАКТ ЧЕРН К2'!T21)*СПРАВОЧНИК!$H$15+('ФАКТ ЧЕРН К2'!U21)*СПРАВОЧНИК!$I$15+('ФАКТ ЧЕРН К2'!V21)*СПРАВОЧНИК!$J$15)+СПРАВОЧНИК!$F$9*(('ФАКТ ЧИСТ К2'!B21)*СПРАВОЧНИК!$L$9+('ФАКТ ЧИСТ К2'!C21)*СПРАВОЧНИК!$M$9+('ФАКТ ЧИСТ К2'!D21)*СПРАВОЧНИК!$N$9+('ФАКТ ЧИСТ К2'!E21)*СПРАВОЧНИК!$O$9)+СПРАВОЧНИК!$F$10*(('ФАКТ ЧИСТ К2'!F21)*СПРАВОЧНИК!$L$10+('ФАКТ ЧИСТ К2'!G21)*СПРАВОЧНИК!$M$10+('ФАКТ ЧИСТ К2'!H21)*СПРАВОЧНИК!$N$10)+СПРАВОЧНИК!$F$11*(('ФАКТ ЧИСТ К2'!I21)*СПРАВОЧНИК!$L$11+('ФАКТ ЧИСТ К2'!J21)*СПРАВОЧНИК!$M$11+('ФАКТ ЧИСТ К2'!K21)*СПРАВОЧНИК!$N$11)+СПРАВОЧНИК!$F$12*(('ФАКТ ЧИСТ К2'!L21)*СПРАВОЧНИК!$L$12+('ФАКТ ЧИСТ К2'!M21)*СПРАВОЧНИК!$M$12+('ФАКТ ЧИСТ К2'!N21)*СПРАВОЧНИК!$N$12)+СПРАВОЧНИК!$F$13*(('ФАКТ ЧИСТ К2'!O21)*СПРАВОЧНИК!$L$13+('ФАКТ ЧИСТ К2'!P21)*СПРАВОЧНИК!$M$13+('ФАКТ ЧИСТ К2'!Q21)*СПРАВОЧНИК!$N$13)+СПРАВОЧНИК!$F$14*(('ФАКТ ЧИСТ К2'!R21)*СПРАВОЧНИК!$L$14+('ФАКТ ЧИСТ К2'!S21)*СПРАВОЧНИК!$M$14+('ФАКТ ЧИСТ К2'!T21)*СПРАВОЧНИК!$N$14)+СПРАВОЧНИК!$F$15*(('ФАКТ ЧИСТ К2'!U21)*СПРАВОЧНИК!$L$15+('ФАКТ ЧИСТ К2'!V21)*СПРАВОЧНИК!$M$15+('ФАКТ ЧИСТ К2'!W21)*СПРАВОЧНИК!$N$15)</f>
        <v>0</v>
      </c>
      <c r="AS30" s="18">
        <f t="shared" si="19"/>
        <v>46286</v>
      </c>
      <c r="AT30" s="37">
        <f>'ПЛАН ЧЕРН К2'!B21*СПРАВОЧНИК!$H$9+'ПЛАН ЧЕРН К2'!C21*СПРАВОЧНИК!$I$9+'ПЛАН ЧЕРН К2'!D21*СПРАВОЧНИК!$J$9+'ПЛАН ЧЕРН К2'!E21*СПРАВОЧНИК!$H$10+'ПЛАН ЧЕРН К2'!F21*СПРАВОЧНИК!$I$10+'ПЛАН ЧЕРН К2'!G21*СПРАВОЧНИК!$J$10+'ПЛАН ЧЕРН К2'!H21*СПРАВОЧНИК!$H$11+'ПЛАН ЧЕРН К2'!I21*СПРАВОЧНИК!$I$11+'ПЛАН ЧЕРН К2'!J21*СПРАВОЧНИК!$J$11+'ПЛАН ЧЕРН К2'!K21*СПРАВОЧНИК!$H$12+'ПЛАН ЧЕРН К2'!L21*СПРАВОЧНИК!$I$12+'ПЛАН ЧЕРН К2'!M21*СПРАВОЧНИК!$J$12+'ПЛАН ЧЕРН К2'!N21*СПРАВОЧНИК!$H$13+'ПЛАН ЧЕРН К2'!O21*СПРАВОЧНИК!$I$13+'ПЛАН ЧЕРН К2'!P21*СПРАВОЧНИК!$J$13+'ПЛАН ЧЕРН К2'!Q21*СПРАВОЧНИК!$H$14+'ПЛАН ЧЕРН К2'!R21*СПРАВОЧНИК!$I$14+'ПЛАН ЧЕРН К2'!S21*СПРАВОЧНИК!$J$14+'ПЛАН ЧЕРН К2'!T21*СПРАВОЧНИК!$H$15+'ПЛАН ЧЕРН К2'!U21*СПРАВОЧНИК!$I$15+'ПЛАН ЧЕРН К2'!V21*СПРАВОЧНИК!$J$15</f>
        <v>0</v>
      </c>
      <c r="AU30" s="40">
        <f>('ФАКТ ЧЕРН К2'!B21)*СПРАВОЧНИК!$H$9+('ФАКТ ЧЕРН К2'!C21)*СПРАВОЧНИК!$I$9+('ФАКТ ЧЕРН К2'!D21)*СПРАВОЧНИК!$J$9+('ФАКТ ЧЕРН К2'!E21)*СПРАВОЧНИК!$H$10+('ФАКТ ЧЕРН К2'!F21)*СПРАВОЧНИК!$I$10+('ФАКТ ЧЕРН К2'!G21)*СПРАВОЧНИК!$J$10+('ФАКТ ЧЕРН К2'!H21)*СПРАВОЧНИК!$H$11+('ФАКТ ЧЕРН К2'!I21)*СПРАВОЧНИК!$I$11+('ФАКТ ЧЕРН К2'!J21)*СПРАВОЧНИК!$J$11+('ФАКТ ЧЕРН К2'!K21)*СПРАВОЧНИК!$H$12+('ФАКТ ЧЕРН К2'!L21)*СПРАВОЧНИК!$I$12+('ФАКТ ЧЕРН К2'!M21)*СПРАВОЧНИК!$J$12+('ФАКТ ЧЕРН К2'!N21)*СПРАВОЧНИК!$H$13+('ФАКТ ЧЕРН К2'!O21)*СПРАВОЧНИК!$I$13+('ФАКТ ЧЕРН К2'!P21)*СПРАВОЧНИК!$J$13+('ФАКТ ЧЕРН К2'!Q21)*СПРАВОЧНИК!$H$14+('ФАКТ ЧЕРН К2'!R21)*СПРАВОЧНИК!$I$14+('ФАКТ ЧЕРН К2'!S21)*СПРАВОЧНИК!$J$14+('ФАКТ ЧЕРН К2'!T21)*СПРАВОЧНИК!$H$15+('ФАКТ ЧЕРН К2'!U21)*СПРАВОЧНИК!$I$15+('ФАКТ ЧЕРН К2'!V21)*СПРАВОЧНИК!$J$15</f>
        <v>0</v>
      </c>
      <c r="AY30" s="18">
        <f t="shared" si="20"/>
        <v>46286</v>
      </c>
      <c r="AZ30" s="37">
        <f>'ПЛАН ЧИСТ К2'!B21*СПРАВОЧНИК!$L$9+'ПЛАН ЧИСТ К2'!C21*СПРАВОЧНИК!$M$9+'ПЛАН ЧИСТ К2'!D21*СПРАВОЧНИК!$N$9+'ПЛАН ЧИСТ К2'!E21*СПРАВОЧНИК!$O$9+'ПЛАН ЧИСТ К2'!F21*СПРАВОЧНИК!$L$10+'ПЛАН ЧИСТ К2'!G21*СПРАВОЧНИК!$M$10+'ПЛАН ЧИСТ К2'!H21*СПРАВОЧНИК!$N$10+'ПЛАН ЧИСТ К2'!I21*СПРАВОЧНИК!$L$11+'ПЛАН ЧИСТ К2'!J21*СПРАВОЧНИК!$M$11+'ПЛАН ЧИСТ К2'!K21*СПРАВОЧНИК!$N$11+'ПЛАН ЧИСТ К2'!L21*СПРАВОЧНИК!$L$12+'ПЛАН ЧИСТ К2'!M21*СПРАВОЧНИК!$M$12+'ПЛАН ЧИСТ К2'!N21*СПРАВОЧНИК!$N$12+'ПЛАН ЧИСТ К2'!O21*СПРАВОЧНИК!$L$13+'ПЛАН ЧИСТ К2'!P21*СПРАВОЧНИК!$M$13+'ПЛАН ЧИСТ К2'!Q21*СПРАВОЧНИК!$N$13+'ПЛАН ЧИСТ К2'!R21*СПРАВОЧНИК!$L$14+'ПЛАН ЧИСТ К2'!S21*СПРАВОЧНИК!$M$14+'ПЛАН ЧИСТ К2'!T21*СПРАВОЧНИК!$N$14+'ПЛАН ЧИСТ К2'!U21*СПРАВОЧНИК!$L$15+'ПЛАН ЧИСТ К2'!V21*СПРАВОЧНИК!$M$15+'ПЛАН ЧИСТ К2'!W21*СПРАВОЧНИК!$N$15</f>
        <v>0</v>
      </c>
      <c r="BA30" s="40">
        <f>('ФАКТ ЧИСТ К2'!B21)*СПРАВОЧНИК!$L$9+('ФАКТ ЧИСТ К2'!C21)*СПРАВОЧНИК!$M$9+('ФАКТ ЧИСТ К2'!D21)*СПРАВОЧНИК!$N$9+('ФАКТ ЧИСТ К2'!E21)*СПРАВОЧНИК!$O$9+('ФАКТ ЧИСТ К2'!F21)*СПРАВОЧНИК!$L$10+('ФАКТ ЧИСТ К2'!G21)*СПРАВОЧНИК!$M$10+('ФАКТ ЧИСТ К2'!H21)*СПРАВОЧНИК!$N$10+('ФАКТ ЧИСТ К2'!I21)*СПРАВОЧНИК!$L$11+('ФАКТ ЧИСТ К2'!J21)*СПРАВОЧНИК!$M$11+('ФАКТ ЧИСТ К2'!K21)*СПРАВОЧНИК!$N$11+('ФАКТ ЧИСТ К2'!L21)*СПРАВОЧНИК!$L$12+('ФАКТ ЧИСТ К2'!M21)*СПРАВОЧНИК!$M$12+('ФАКТ ЧИСТ К2'!N21)*СПРАВОЧНИК!$N$12+('ФАКТ ЧИСТ К2'!O21)*СПРАВОЧНИК!$L$13+('ФАКТ ЧИСТ К2'!P21)*СПРАВОЧНИК!$M$13+('ФАКТ ЧИСТ К2'!Q21)*СПРАВОЧНИК!$N$13+('ФАКТ ЧИСТ К2'!R21)*СПРАВОЧНИК!$L$14+('ФАКТ ЧИСТ К2'!S21)*СПРАВОЧНИК!$M$14+('ФАКТ ЧИСТ К2'!T21)*СПРАВОЧНИК!$N$14+('ФАКТ ЧИСТ К2'!U21)*СПРАВОЧНИК!$L$15+('ФАКТ ЧИСТ К2'!V21)*СПРАВОЧНИК!$M$15+('ФАКТ ЧИСТ К2'!W21)*СПРАВОЧНИК!$N$15</f>
        <v>0</v>
      </c>
      <c r="BE30" s="18">
        <f t="shared" si="21"/>
        <v>46286</v>
      </c>
      <c r="BF30" s="37">
        <f>СПРАВОЧНИК!$E$9*('ПЛАН ЧЕРН К3'!B21*СПРАВОЧНИК!$H$9+'ПЛАН ЧЕРН К3'!C21*СПРАВОЧНИК!$I$9+'ПЛАН ЧЕРН К3'!D21*СПРАВОЧНИК!$J$9)+СПРАВОЧНИК!$E$10*('ПЛАН ЧЕРН К3'!E21*СПРАВОЧНИК!$H$10+'ПЛАН ЧЕРН К3'!F21*СПРАВОЧНИК!$I$10+'ПЛАН ЧЕРН К3'!G21*СПРАВОЧНИК!$J$10)+СПРАВОЧНИК!$E$11*('ПЛАН ЧЕРН К3'!H21*СПРАВОЧНИК!$H$11+'ПЛАН ЧЕРН К3'!I21*СПРАВОЧНИК!$I$11+'ПЛАН ЧЕРН К3'!J21*СПРАВОЧНИК!$J$11)+СПРАВОЧНИК!$E$12*('ПЛАН ЧЕРН К3'!K21*СПРАВОЧНИК!$H$12+'ПЛАН ЧЕРН К3'!L21*СПРАВОЧНИК!$I$12+'ПЛАН ЧЕРН К3'!M21*СПРАВОЧНИК!$J$12)+СПРАВОЧНИК!$E$13*('ПЛАН ЧЕРН К3'!N21*СПРАВОЧНИК!$H$13+'ПЛАН ЧЕРН К3'!O21*СПРАВОЧНИК!$I$13+'ПЛАН ЧЕРН К3'!P21*СПРАВОЧНИК!$J$13)+СПРАВОЧНИК!$E$14*('ПЛАН ЧЕРН К3'!Q21*СПРАВОЧНИК!$H$14+'ПЛАН ЧЕРН К3'!R21*СПРАВОЧНИК!$I$14+'ПЛАН ЧЕРН К3'!S21*СПРАВОЧНИК!$J$14)+СПРАВОЧНИК!$E$15*('ПЛАН ЧЕРН К3'!T21*СПРАВОЧНИК!$H$15+'ПЛАН ЧЕРН К3'!U21*СПРАВОЧНИК!$I$15+'ПЛАН ЧЕРН К3'!V21*СПРАВОЧНИК!$J$15)+СПРАВОЧНИК!$F$9*('ПЛАН ЧИСТ К3'!B21*СПРАВОЧНИК!$L$9+'ПЛАН ЧИСТ К3'!C21*СПРАВОЧНИК!$M$9+'ПЛАН ЧИСТ К3'!D21*СПРАВОЧНИК!$N$9+'ПЛАН ЧИСТ К3'!E21*СПРАВОЧНИК!$O$9)+СПРАВОЧНИК!$F$10*('ПЛАН ЧИСТ К3'!F21*СПРАВОЧНИК!$L$10+'ПЛАН ЧИСТ К3'!G21*СПРАВОЧНИК!$M$10+'ПЛАН ЧИСТ К3'!H21*СПРАВОЧНИК!$N$10)+СПРАВОЧНИК!$F$11*('ПЛАН ЧИСТ К3'!I21*СПРАВОЧНИК!$L$11+'ПЛАН ЧИСТ К3'!J21*СПРАВОЧНИК!$M$11+'ПЛАН ЧИСТ К3'!K21*СПРАВОЧНИК!$N$11)+СПРАВОЧНИК!$F$12*('ПЛАН ЧИСТ К3'!L21*СПРАВОЧНИК!$L$12+'ПЛАН ЧИСТ К3'!M21*СПРАВОЧНИК!$M$12+'ПЛАН ЧИСТ К3'!N21*СПРАВОЧНИК!$N$12)+СПРАВОЧНИК!$F$13*('ПЛАН ЧИСТ К3'!O21*СПРАВОЧНИК!$L$13+'ПЛАН ЧИСТ К3'!P21*СПРАВОЧНИК!$M$13+'ПЛАН ЧИСТ К3'!Q21*СПРАВОЧНИК!$N$13)+СПРАВОЧНИК!$F$14*('ПЛАН ЧИСТ К3'!R21*СПРАВОЧНИК!$L$14+'ПЛАН ЧИСТ К3'!S21*СПРАВОЧНИК!$M$14+'ПЛАН ЧИСТ К3'!T21*СПРАВОЧНИК!$N$14)+СПРАВОЧНИК!$F$15*('ПЛАН ЧИСТ К3'!U21*СПРАВОЧНИК!$L$15+'ПЛАН ЧИСТ К3'!V21*СПРАВОЧНИК!$M$15+'ПЛАН ЧИСТ К3'!W21*СПРАВОЧНИК!$N$15)</f>
        <v>0</v>
      </c>
      <c r="BG30" s="40">
        <f>СПРАВОЧНИК!$E$9*(('ФАКТ ЧЕРН К3'!B21)*СПРАВОЧНИК!$H$9+('ФАКТ ЧЕРН К3'!C21)*СПРАВОЧНИК!$I$9+('ФАКТ ЧЕРН К3'!D21)*СПРАВОЧНИК!$J$9)+СПРАВОЧНИК!$E$10*(('ФАКТ ЧЕРН К3'!E21)*СПРАВОЧНИК!$H$10+('ФАКТ ЧЕРН К3'!F21)*СПРАВОЧНИК!$I$10+('ФАКТ ЧЕРН К3'!G21)*СПРАВОЧНИК!$J$10)+СПРАВОЧНИК!$E$11*(('ФАКТ ЧЕРН К3'!H21)*СПРАВОЧНИК!$H$11+('ФАКТ ЧЕРН К3'!I21)*СПРАВОЧНИК!$I$11+('ФАКТ ЧЕРН К3'!J21)*СПРАВОЧНИК!$J$11)+СПРАВОЧНИК!$E$12*(('ФАКТ ЧЕРН К3'!K21)*СПРАВОЧНИК!$H$12+('ФАКТ ЧЕРН К3'!L21)*СПРАВОЧНИК!$I$12+('ФАКТ ЧЕРН К3'!M21)*СПРАВОЧНИК!$J$12)+СПРАВОЧНИК!$E$13*(('ФАКТ ЧЕРН К3'!N21)*СПРАВОЧНИК!$H$13+('ФАКТ ЧЕРН К3'!O21)*СПРАВОЧНИК!$I$13+('ФАКТ ЧЕРН К3'!P21)*СПРАВОЧНИК!$J$13)+СПРАВОЧНИК!$E$14*(('ФАКТ ЧЕРН К3'!Q21)*СПРАВОЧНИК!$H$14+('ФАКТ ЧЕРН К3'!R21)*СПРАВОЧНИК!$I$14+('ФАКТ ЧЕРН К3'!S21)*СПРАВОЧНИК!$J$14)+СПРАВОЧНИК!$E$15*(('ФАКТ ЧЕРН К3'!T21)*СПРАВОЧНИК!$H$15+('ФАКТ ЧЕРН К3'!U21)*СПРАВОЧНИК!$I$15+('ФАКТ ЧЕРН К3'!V21)*СПРАВОЧНИК!$J$15)+СПРАВОЧНИК!$F$9*(('ФАКТ ЧИСТ К3'!B21)*СПРАВОЧНИК!$L$9+('ФАКТ ЧИСТ К3'!C21)*СПРАВОЧНИК!$M$9+('ФАКТ ЧИСТ К3'!D21)*СПРАВОЧНИК!$N$9+('ФАКТ ЧИСТ К3'!E21)*СПРАВОЧНИК!$O$9)+СПРАВОЧНИК!$F$10*(('ФАКТ ЧИСТ К3'!F21)*СПРАВОЧНИК!$L$10+('ФАКТ ЧИСТ К3'!G21)*СПРАВОЧНИК!$M$10+('ФАКТ ЧИСТ К3'!H21)*СПРАВОЧНИК!$N$10)+СПРАВОЧНИК!$F$11*(('ФАКТ ЧИСТ К3'!I21)*СПРАВОЧНИК!$L$11+('ФАКТ ЧИСТ К3'!J21)*СПРАВОЧНИК!$M$11+('ФАКТ ЧИСТ К3'!K21)*СПРАВОЧНИК!$N$11)+СПРАВОЧНИК!$F$12*(('ФАКТ ЧИСТ К3'!L21)*СПРАВОЧНИК!$L$12+('ФАКТ ЧИСТ К3'!M21)*СПРАВОЧНИК!$M$12+('ФАКТ ЧИСТ К3'!N21)*СПРАВОЧНИК!$N$12)+СПРАВОЧНИК!$F$13*(('ФАКТ ЧИСТ К3'!O21)*СПРАВОЧНИК!$L$13+('ФАКТ ЧИСТ К3'!P21)*СПРАВОЧНИК!$M$13+('ФАКТ ЧИСТ К3'!Q21)*СПРАВОЧНИК!$N$13)+СПРАВОЧНИК!$F$14*(('ФАКТ ЧИСТ К3'!R21)*СПРАВОЧНИК!$L$14+('ФАКТ ЧИСТ К3'!S21)*СПРАВОЧНИК!$M$14+('ФАКТ ЧИСТ К3'!T21)*СПРАВОЧНИК!$N$14)+СПРАВОЧНИК!$F$15*(('ФАКТ ЧИСТ К3'!U21)*СПРАВОЧНИК!$L$15+('ФАКТ ЧИСТ К3'!V21)*СПРАВОЧНИК!$M$15+('ФАКТ ЧИСТ К3'!W21)*СПРАВОЧНИК!$N$15)</f>
        <v>0</v>
      </c>
      <c r="BK30" s="18">
        <f t="shared" si="22"/>
        <v>46286</v>
      </c>
      <c r="BL30" s="37">
        <f>'ПЛАН ЧЕРН К3'!B21*СПРАВОЧНИК!$H$9+'ПЛАН ЧЕРН К3'!C21*СПРАВОЧНИК!$I$9+'ПЛАН ЧЕРН К3'!D21*СПРАВОЧНИК!$J$9+'ПЛАН ЧЕРН К3'!E21*СПРАВОЧНИК!$H$10+'ПЛАН ЧЕРН К3'!F21*СПРАВОЧНИК!$I$10+'ПЛАН ЧЕРН К3'!G21*СПРАВОЧНИК!$J$10+'ПЛАН ЧЕРН К3'!H21*СПРАВОЧНИК!$H$11+'ПЛАН ЧЕРН К3'!I21*СПРАВОЧНИК!$I$11+'ПЛАН ЧЕРН К3'!J21*СПРАВОЧНИК!$J$11+'ПЛАН ЧЕРН К3'!K21*СПРАВОЧНИК!$H$12+'ПЛАН ЧЕРН К3'!L21*СПРАВОЧНИК!$I$12+'ПЛАН ЧЕРН К3'!M21*СПРАВОЧНИК!$J$12+'ПЛАН ЧЕРН К3'!N21*СПРАВОЧНИК!$H$13+'ПЛАН ЧЕРН К3'!O21*СПРАВОЧНИК!$I$13+'ПЛАН ЧЕРН К3'!P21*СПРАВОЧНИК!$J$13+'ПЛАН ЧЕРН К3'!Q21*СПРАВОЧНИК!$H$14+'ПЛАН ЧЕРН К3'!R21*СПРАВОЧНИК!$I$14+'ПЛАН ЧЕРН К3'!S21*СПРАВОЧНИК!$J$14+'ПЛАН ЧЕРН К3'!T21*СПРАВОЧНИК!$H$15+'ПЛАН ЧЕРН К3'!U21*СПРАВОЧНИК!$I$15+'ПЛАН ЧЕРН К3'!V21*СПРАВОЧНИК!$J$15</f>
        <v>0</v>
      </c>
      <c r="BM30" s="40">
        <f>('ФАКТ ЧЕРН К3'!B21)*СПРАВОЧНИК!$H$9+('ФАКТ ЧЕРН К3'!C21)*СПРАВОЧНИК!$I$9+('ФАКТ ЧЕРН К3'!D21)*СПРАВОЧНИК!$J$9+('ФАКТ ЧЕРН К3'!E21)*СПРАВОЧНИК!$H$10+('ФАКТ ЧЕРН К3'!F21)*СПРАВОЧНИК!$I$10+('ФАКТ ЧЕРН К3'!G21)*СПРАВОЧНИК!$J$10+('ФАКТ ЧЕРН К3'!H21)*СПРАВОЧНИК!$H$11+('ФАКТ ЧЕРН К3'!I21)*СПРАВОЧНИК!$I$11+('ФАКТ ЧЕРН К3'!J21)*СПРАВОЧНИК!$J$11+('ФАКТ ЧЕРН К3'!K21)*СПРАВОЧНИК!$H$12+('ФАКТ ЧЕРН К3'!L21)*СПРАВОЧНИК!$I$12+('ФАКТ ЧЕРН К3'!M21)*СПРАВОЧНИК!$J$12+('ФАКТ ЧЕРН К3'!N21)*СПРАВОЧНИК!$H$13+('ФАКТ ЧЕРН К3'!O21)*СПРАВОЧНИК!$I$13+('ФАКТ ЧЕРН К3'!P21)*СПРАВОЧНИК!$J$13+('ФАКТ ЧЕРН К3'!Q21)*СПРАВОЧНИК!$H$14+('ФАКТ ЧЕРН К3'!R21)*СПРАВОЧНИК!$I$14+('ФАКТ ЧЕРН К3'!S21)*СПРАВОЧНИК!$J$14+('ФАКТ ЧЕРН К3'!T21)*СПРАВОЧНИК!$H$15+('ФАКТ ЧЕРН К3'!U21)*СПРАВОЧНИК!$I$15+('ФАКТ ЧЕРН К3'!V21)*СПРАВОЧНИК!$J$15</f>
        <v>0</v>
      </c>
      <c r="BQ30" s="18">
        <f t="shared" si="23"/>
        <v>46286</v>
      </c>
      <c r="BR30" s="37">
        <f>'ПЛАН ЧИСТ К3'!B21*СПРАВОЧНИК!$L$9+'ПЛАН ЧИСТ К3'!C21*СПРАВОЧНИК!$M$9+'ПЛАН ЧИСТ К3'!D21*СПРАВОЧНИК!$N$9+'ПЛАН ЧИСТ К3'!E21*СПРАВОЧНИК!$O$9+'ПЛАН ЧИСТ К3'!F21*СПРАВОЧНИК!$L$10+'ПЛАН ЧИСТ К3'!G21*СПРАВОЧНИК!$M$10+'ПЛАН ЧИСТ К3'!H21*СПРАВОЧНИК!$N$10+'ПЛАН ЧИСТ К3'!I21*СПРАВОЧНИК!$L$11+'ПЛАН ЧИСТ К3'!J21*СПРАВОЧНИК!$M$11+'ПЛАН ЧИСТ К3'!K21*СПРАВОЧНИК!$N$11+'ПЛАН ЧИСТ К3'!L21*СПРАВОЧНИК!$L$12+'ПЛАН ЧИСТ К3'!M21*СПРАВОЧНИК!$M$12+'ПЛАН ЧИСТ К3'!N21*СПРАВОЧНИК!$N$12+'ПЛАН ЧИСТ К3'!O21*СПРАВОЧНИК!$L$13+'ПЛАН ЧИСТ К3'!P21*СПРАВОЧНИК!$M$13+'ПЛАН ЧИСТ К3'!Q21*СПРАВОЧНИК!$N$13+'ПЛАН ЧИСТ К3'!R21*СПРАВОЧНИК!$L$14+'ПЛАН ЧИСТ К3'!S21*СПРАВОЧНИК!$M$14+'ПЛАН ЧИСТ К3'!T21*СПРАВОЧНИК!$N$14+'ПЛАН ЧИСТ К3'!U21*СПРАВОЧНИК!$L$15+'ПЛАН ЧИСТ К3'!V21*СПРАВОЧНИК!$M$15+'ПЛАН ЧИСТ К3'!W21*СПРАВОЧНИК!$N$15</f>
        <v>0</v>
      </c>
      <c r="BS30" s="40">
        <f>('ФАКТ ЧИСТ К3'!B21)*СПРАВОЧНИК!$L$9+('ФАКТ ЧИСТ К3'!C21)*СПРАВОЧНИК!$M$9+('ФАКТ ЧИСТ К3'!D21)*СПРАВОЧНИК!$N$9+('ФАКТ ЧИСТ К3'!E21)*СПРАВОЧНИК!$O$9+('ФАКТ ЧИСТ К3'!F21)*СПРАВОЧНИК!$L$10+('ФАКТ ЧИСТ К3'!G21)*СПРАВОЧНИК!$M$10+('ФАКТ ЧИСТ К3'!H21)*СПРАВОЧНИК!$N$10+('ФАКТ ЧИСТ К3'!I21)*СПРАВОЧНИК!$L$11+('ФАКТ ЧИСТ К3'!J21)*СПРАВОЧНИК!$M$11+('ФАКТ ЧИСТ К3'!K21)*СПРАВОЧНИК!$N$11+('ФАКТ ЧИСТ К3'!L21)*СПРАВОЧНИК!$L$12+('ФАКТ ЧИСТ К3'!M21)*СПРАВОЧНИК!$M$12+('ФАКТ ЧИСТ К3'!N21)*СПРАВОЧНИК!$N$12+('ФАКТ ЧИСТ К3'!O21)*СПРАВОЧНИК!$L$13+('ФАКТ ЧИСТ К3'!P21)*СПРАВОЧНИК!$M$13+('ФАКТ ЧИСТ К3'!Q21)*СПРАВОЧНИК!$N$13+('ФАКТ ЧИСТ К3'!R21)*СПРАВОЧНИК!$L$14+('ФАКТ ЧИСТ К3'!S21)*СПРАВОЧНИК!$M$14+('ФАКТ ЧИСТ К3'!T21)*СПРАВОЧНИК!$N$14+('ФАКТ ЧИСТ К3'!U21)*СПРАВОЧНИК!$L$15+('ФАКТ ЧИСТ К3'!V21)*СПРАВОЧНИК!$M$15+('ФАКТ ЧИСТ К3'!W21)*СПРАВОЧНИК!$N$15</f>
        <v>0</v>
      </c>
      <c r="BW30" s="18">
        <f t="shared" si="24"/>
        <v>46286</v>
      </c>
      <c r="BX30" s="37">
        <f t="shared" si="0"/>
        <v>0</v>
      </c>
      <c r="BY30" s="40">
        <f t="shared" si="1"/>
        <v>0</v>
      </c>
      <c r="CC30" s="18">
        <f t="shared" si="25"/>
        <v>46286</v>
      </c>
      <c r="CD30" s="37">
        <f t="shared" si="2"/>
        <v>0</v>
      </c>
      <c r="CE30" s="40">
        <f t="shared" si="3"/>
        <v>0</v>
      </c>
      <c r="CI30" s="18">
        <f t="shared" si="26"/>
        <v>46286</v>
      </c>
      <c r="CJ30" s="37">
        <f t="shared" si="4"/>
        <v>0</v>
      </c>
      <c r="CK30" s="40">
        <f t="shared" si="5"/>
        <v>0</v>
      </c>
      <c r="CO30" s="18">
        <f t="shared" si="27"/>
        <v>46286</v>
      </c>
      <c r="CP30" s="37">
        <f t="shared" si="6"/>
        <v>0</v>
      </c>
      <c r="CQ30" s="40">
        <f t="shared" si="7"/>
        <v>0</v>
      </c>
      <c r="CU30" s="18">
        <f t="shared" si="28"/>
        <v>46286</v>
      </c>
      <c r="CV30" s="37">
        <f t="shared" si="8"/>
        <v>0</v>
      </c>
      <c r="CW30" s="40">
        <f t="shared" si="9"/>
        <v>0</v>
      </c>
      <c r="DA30" s="18">
        <f t="shared" si="29"/>
        <v>46286</v>
      </c>
      <c r="DB30" s="37">
        <f t="shared" si="10"/>
        <v>0</v>
      </c>
      <c r="DC30" s="40">
        <f t="shared" si="11"/>
        <v>0</v>
      </c>
    </row>
    <row r="31" spans="3:107" x14ac:dyDescent="0.25">
      <c r="C31" s="18">
        <f t="shared" si="12"/>
        <v>46293</v>
      </c>
      <c r="D31" s="37">
        <f>СПРАВОЧНИК!$E$3*('ПЛАН ЧЕРН ПОДЗЕМ'!B22*СПРАВОЧНИК!$H$3+'ПЛАН ЧЕРН ПОДЗЕМ'!C22*СПРАВОЧНИК!$I$3+'ПЛАН ЧЕРН ПОДЗЕМ'!D22*СПРАВОЧНИК!$J$3)+СПРАВОЧНИК!$E$4*('ПЛАН ЧЕРН ПОДЗЕМ'!E22*СПРАВОЧНИК!$H$4+'ПЛАН ЧЕРН ПОДЗЕМ'!F22*СПРАВОЧНИК!$I$4+'ПЛАН ЧЕРН ПОДЗЕМ'!G22*СПРАВОЧНИК!$J$4)+СПРАВОЧНИК!$E$5*('ПЛАН ЧЕРН ПОДЗЕМ'!H22*СПРАВОЧНИК!$H$5+'ПЛАН ЧЕРН ПОДЗЕМ'!I22*СПРАВОЧНИК!$I$5+'ПЛАН ЧЕРН ПОДЗЕМ'!J22*СПРАВОЧНИК!$J$5)+СПРАВОЧНИК!$E$6*('ПЛАН ЧЕРН ПОДЗЕМ'!K22*СПРАВОЧНИК!$H$6+'ПЛАН ЧЕРН ПОДЗЕМ'!L22*СПРАВОЧНИК!$I$6+'ПЛАН ЧЕРН ПОДЗЕМ'!M22*СПРАВОЧНИК!$J$6)+СПРАВОЧНИК!$E$7*('ПЛАН ЧЕРН ПОДЗЕМ'!N22*СПРАВОЧНИК!$H$7+'ПЛАН ЧЕРН ПОДЗЕМ'!O22*СПРАВОЧНИК!$I$7+'ПЛАН ЧЕРН ПОДЗЕМ'!P22*СПРАВОЧНИК!$J$7)+СПРАВОЧНИК!$E$8*('ПЛАН ЧЕРН ПОДЗЕМ'!Q22*СПРАВОЧНИК!$H$8+'ПЛАН ЧЕРН ПОДЗЕМ'!R22*СПРАВОЧНИК!$I$8+'ПЛАН ЧЕРН ПОДЗЕМ'!S22*СПРАВОЧНИК!$J$8)+СПРАВОЧНИК!$F$3*('ПЛАН ЧИСТ ПОДЗЕМ'!B22*СПРАВОЧНИК!$L$3+'ПЛАН ЧИСТ ПОДЗЕМ'!C22*СПРАВОЧНИК!$M$3+'ПЛАН ЧИСТ ПОДЗЕМ'!D22*СПРАВОЧНИК!$N$3)+СПРАВОЧНИК!$F$4*('ПЛАН ЧИСТ ПОДЗЕМ'!E22*СПРАВОЧНИК!$L$4+'ПЛАН ЧИСТ ПОДЗЕМ'!F22*СПРАВОЧНИК!$M$4+'ПЛАН ЧИСТ ПОДЗЕМ'!G22*СПРАВОЧНИК!$N$4)+СПРАВОЧНИК!$F$5*('ПЛАН ЧИСТ ПОДЗЕМ'!H22*СПРАВОЧНИК!$L$5+'ПЛАН ЧИСТ ПОДЗЕМ'!I22*СПРАВОЧНИК!$M$5+'ПЛАН ЧИСТ ПОДЗЕМ'!J22*СПРАВОЧНИК!$N$5)+СПРАВОЧНИК!$F$6*('ПЛАН ЧИСТ ПОДЗЕМ'!K22*СПРАВОЧНИК!$L$6+'ПЛАН ЧИСТ ПОДЗЕМ'!L22*СПРАВОЧНИК!$M$6+'ПЛАН ЧИСТ ПОДЗЕМ'!M22*СПРАВОЧНИК!$N$6)+СПРАВОЧНИК!$F$7*('ПЛАН ЧИСТ ПОДЗЕМ'!N22*СПРАВОЧНИК!$L$7+'ПЛАН ЧИСТ ПОДЗЕМ'!O22*СПРАВОЧНИК!$M$7+'ПЛАН ЧИСТ ПОДЗЕМ'!P22*СПРАВОЧНИК!$N$7)+СПРАВОЧНИК!$F$8*('ПЛАН ЧИСТ ПОДЗЕМ'!Q22*СПРАВОЧНИК!$L$8+'ПЛАН ЧИСТ ПОДЗЕМ'!R22*СПРАВОЧНИК!$M$8+'ПЛАН ЧИСТ ПОДЗЕМ'!S22*СПРАВОЧНИК!$N$8)</f>
        <v>0</v>
      </c>
      <c r="E31" s="40">
        <f>СПРАВОЧНИК!$E$3*(('ФАКТ ЧЕРН ПОДЗЕМ'!B22)*СПРАВОЧНИК!$H$3+('ФАКТ ЧЕРН ПОДЗЕМ'!C22)*СПРАВОЧНИК!$I$3+('ФАКТ ЧЕРН ПОДЗЕМ'!D22)*СПРАВОЧНИК!$J$3)+СПРАВОЧНИК!$E$4*(('ФАКТ ЧЕРН ПОДЗЕМ'!E22)*СПРАВОЧНИК!$H$4+('ФАКТ ЧЕРН ПОДЗЕМ'!F22)*СПРАВОЧНИК!$I$4+('ФАКТ ЧЕРН ПОДЗЕМ'!G22)*СПРАВОЧНИК!$J$4)+СПРАВОЧНИК!$E$5*(('ФАКТ ЧЕРН ПОДЗЕМ'!H22)*СПРАВОЧНИК!$H$5+('ФАКТ ЧЕРН ПОДЗЕМ'!I22)*СПРАВОЧНИК!$I$5+('ФАКТ ЧЕРН ПОДЗЕМ'!J22)*СПРАВОЧНИК!$J$5)+СПРАВОЧНИК!$E$6*(('ФАКТ ЧЕРН ПОДЗЕМ'!K22)*СПРАВОЧНИК!$H$6+('ФАКТ ЧЕРН ПОДЗЕМ'!L22)*СПРАВОЧНИК!$I$6+('ФАКТ ЧЕРН ПОДЗЕМ'!M22)*СПРАВОЧНИК!$J$6)+СПРАВОЧНИК!$E$7*(('ФАКТ ЧЕРН ПОДЗЕМ'!N22)*СПРАВОЧНИК!$H$7+('ФАКТ ЧЕРН ПОДЗЕМ'!O22)*СПРАВОЧНИК!$I$7+('ФАКТ ЧЕРН ПОДЗЕМ'!P22)*СПРАВОЧНИК!$J$7)+СПРАВОЧНИК!$E$8*(('ФАКТ ЧЕРН ПОДЗЕМ'!Q22)*СПРАВОЧНИК!$H$8+('ФАКТ ЧЕРН ПОДЗЕМ'!R22)*СПРАВОЧНИК!$I$8+('ФАКТ ЧЕРН ПОДЗЕМ'!S22)*СПРАВОЧНИК!$J$8)+СПРАВОЧНИК!$F$3*(('ФАКТ ЧИСТ ПОДЗЕМ'!B22)*СПРАВОЧНИК!$L$3+('ФАКТ ЧИСТ ПОДЗЕМ'!C22)*СПРАВОЧНИК!$M$3+('ФАКТ ЧИСТ ПОДЗЕМ'!D22)*СПРАВОЧНИК!$N$3)+СПРАВОЧНИК!$F$4*(('ФАКТ ЧИСТ ПОДЗЕМ'!E22)*СПРАВОЧНИК!$L$4+('ФАКТ ЧИСТ ПОДЗЕМ'!F22)*СПРАВОЧНИК!$M$4+('ФАКТ ЧИСТ ПОДЗЕМ'!G22)*СПРАВОЧНИК!$N$4)+СПРАВОЧНИК!$F$5*(('ФАКТ ЧИСТ ПОДЗЕМ'!H22)*СПРАВОЧНИК!$L$5+('ФАКТ ЧИСТ ПОДЗЕМ'!I22)*СПРАВОЧНИК!$M$5+('ФАКТ ЧИСТ ПОДЗЕМ'!J22)*СПРАВОЧНИК!$N$5)+СПРАВОЧНИК!$F$6*(('ФАКТ ЧИСТ ПОДЗЕМ'!K22)*СПРАВОЧНИК!$L$6+('ФАКТ ЧИСТ ПОДЗЕМ'!L22)*СПРАВОЧНИК!$M$6+('ФАКТ ЧИСТ ПОДЗЕМ'!M22)*СПРАВОЧНИК!$N$6)+СПРАВОЧНИК!$F$7*(('ФАКТ ЧИСТ ПОДЗЕМ'!N22)*СПРАВОЧНИК!$L$7+('ФАКТ ЧИСТ ПОДЗЕМ'!O22)*СПРАВОЧНИК!$M$7+('ФАКТ ЧИСТ ПОДЗЕМ'!P22)*СПРАВОЧНИК!$N$7)+СПРАВОЧНИК!$F$8*(('ФАКТ ЧИСТ ПОДЗЕМ'!Q22)*СПРАВОЧНИК!$L$8+('ФАКТ ЧИСТ ПОДЗЕМ'!R22)*СПРАВОЧНИК!$M$8+('ФАКТ ЧИСТ ПОДЗЕМ'!S22)*СПРАВОЧНИК!$N$8)</f>
        <v>0</v>
      </c>
      <c r="I31" s="18">
        <f t="shared" si="13"/>
        <v>46293</v>
      </c>
      <c r="J31" s="37">
        <f>'ПЛАН ЧЕРН ПОДЗЕМ'!B22*СПРАВОЧНИК!$H$3+'ПЛАН ЧЕРН ПОДЗЕМ'!C22*СПРАВОЧНИК!$I$3+'ПЛАН ЧЕРН ПОДЗЕМ'!D22*СПРАВОЧНИК!$J$3+'ПЛАН ЧЕРН ПОДЗЕМ'!E22*СПРАВОЧНИК!$H$4+'ПЛАН ЧЕРН ПОДЗЕМ'!F22*СПРАВОЧНИК!$I$4+'ПЛАН ЧЕРН ПОДЗЕМ'!G22*СПРАВОЧНИК!$J$4+'ПЛАН ЧЕРН ПОДЗЕМ'!H22*СПРАВОЧНИК!$H$5+'ПЛАН ЧЕРН ПОДЗЕМ'!I22*СПРАВОЧНИК!$I$5+'ПЛАН ЧЕРН ПОДЗЕМ'!J22*СПРАВОЧНИК!$J$5+'ПЛАН ЧЕРН ПОДЗЕМ'!K22*СПРАВОЧНИК!$H$6+'ПЛАН ЧЕРН ПОДЗЕМ'!L22*СПРАВОЧНИК!$I$6+'ПЛАН ЧЕРН ПОДЗЕМ'!M22*СПРАВОЧНИК!$J$6+'ПЛАН ЧЕРН ПОДЗЕМ'!N22*СПРАВОЧНИК!$H$7+'ПЛАН ЧЕРН ПОДЗЕМ'!O22*СПРАВОЧНИК!$I$7+'ПЛАН ЧЕРН ПОДЗЕМ'!P22*СПРАВОЧНИК!$J$7+'ПЛАН ЧЕРН ПОДЗЕМ'!Q22*СПРАВОЧНИК!$H$8+'ПЛАН ЧЕРН ПОДЗЕМ'!R22*СПРАВОЧНИК!$I$8+'ПЛАН ЧЕРН ПОДЗЕМ'!S22*СПРАВОЧНИК!$J$8</f>
        <v>0</v>
      </c>
      <c r="K31" s="40">
        <f>('ФАКТ ЧЕРН ПОДЗЕМ'!B22)*СПРАВОЧНИК!$H$3+('ФАКТ ЧЕРН ПОДЗЕМ'!C22)*СПРАВОЧНИК!$I$3+('ФАКТ ЧЕРН ПОДЗЕМ'!D22)*СПРАВОЧНИК!$J$3+('ФАКТ ЧЕРН ПОДЗЕМ'!E22)*СПРАВОЧНИК!$H$4+('ФАКТ ЧЕРН ПОДЗЕМ'!F22)*СПРАВОЧНИК!$I$4+('ФАКТ ЧЕРН ПОДЗЕМ'!G22)*СПРАВОЧНИК!$J$4+('ФАКТ ЧЕРН ПОДЗЕМ'!H22)*СПРАВОЧНИК!$H$5+('ФАКТ ЧЕРН ПОДЗЕМ'!I22)*СПРАВОЧНИК!$I$5+('ФАКТ ЧЕРН ПОДЗЕМ'!J22)*СПРАВОЧНИК!$J$5+('ФАКТ ЧЕРН ПОДЗЕМ'!K22)*СПРАВОЧНИК!$H$6+('ФАКТ ЧЕРН ПОДЗЕМ'!L22)*СПРАВОЧНИК!$I$6+('ФАКТ ЧЕРН ПОДЗЕМ'!M22)*СПРАВОЧНИК!$J$6+('ФАКТ ЧЕРН ПОДЗЕМ'!N22)*СПРАВОЧНИК!$H$7+('ФАКТ ЧЕРН ПОДЗЕМ'!O22)*СПРАВОЧНИК!$I$7+('ФАКТ ЧЕРН ПОДЗЕМ'!P22)*СПРАВОЧНИК!$J$7+('ФАКТ ЧЕРН ПОДЗЕМ'!Q22)*СПРАВОЧНИК!$H$8+('ФАКТ ЧЕРН ПОДЗЕМ'!R22)*СПРАВОЧНИК!$I$8+('ФАКТ ЧЕРН ПОДЗЕМ'!S22)*СПРАВОЧНИК!$J$8</f>
        <v>0</v>
      </c>
      <c r="O31" s="18">
        <f t="shared" si="14"/>
        <v>46293</v>
      </c>
      <c r="P31" s="37">
        <f>'ПЛАН ЧИСТ ПОДЗЕМ'!B22*СПРАВОЧНИК!$L$3+'ПЛАН ЧИСТ ПОДЗЕМ'!C22*СПРАВОЧНИК!$M$3+'ПЛАН ЧИСТ ПОДЗЕМ'!D22*СПРАВОЧНИК!$N$3+'ПЛАН ЧИСТ ПОДЗЕМ'!E22*СПРАВОЧНИК!$L$4+'ПЛАН ЧИСТ ПОДЗЕМ'!F22*СПРАВОЧНИК!$M$4+'ПЛАН ЧИСТ ПОДЗЕМ'!G22*СПРАВОЧНИК!$N$4+'ПЛАН ЧИСТ ПОДЗЕМ'!H22*СПРАВОЧНИК!$L$5+'ПЛАН ЧИСТ ПОДЗЕМ'!I22*СПРАВОЧНИК!$M$5+'ПЛАН ЧИСТ ПОДЗЕМ'!J22*СПРАВОЧНИК!$N$5+'ПЛАН ЧИСТ ПОДЗЕМ'!K22*СПРАВОЧНИК!$L$6+'ПЛАН ЧИСТ ПОДЗЕМ'!L22*СПРАВОЧНИК!$M$6+'ПЛАН ЧИСТ ПОДЗЕМ'!M22*СПРАВОЧНИК!$N$6+'ПЛАН ЧИСТ ПОДЗЕМ'!N22*СПРАВОЧНИК!$L$7+'ПЛАН ЧИСТ ПОДЗЕМ'!O22*СПРАВОЧНИК!$M$7+'ПЛАН ЧИСТ ПОДЗЕМ'!P22*СПРАВОЧНИК!$N$7+'ПЛАН ЧИСТ ПОДЗЕМ'!Q22*СПРАВОЧНИК!$L$8+'ПЛАН ЧИСТ ПОДЗЕМ'!R22*СПРАВОЧНИК!$M$8+'ПЛАН ЧИСТ ПОДЗЕМ'!S22*СПРАВОЧНИК!$N$8</f>
        <v>0</v>
      </c>
      <c r="Q31" s="40">
        <f>('ФАКТ ЧИСТ ПОДЗЕМ'!B22)*СПРАВОЧНИК!$L$3+('ФАКТ ЧИСТ ПОДЗЕМ'!C22)*СПРАВОЧНИК!$M$3+('ФАКТ ЧИСТ ПОДЗЕМ'!D22)*СПРАВОЧНИК!$N$3+('ФАКТ ЧИСТ ПОДЗЕМ'!E22)*СПРАВОЧНИК!$L$4+('ФАКТ ЧИСТ ПОДЗЕМ'!F22)*СПРАВОЧНИК!$M$4+('ФАКТ ЧИСТ ПОДЗЕМ'!G22)*СПРАВОЧНИК!$N$4+('ФАКТ ЧИСТ ПОДЗЕМ'!H22)*СПРАВОЧНИК!$L$5+('ФАКТ ЧИСТ ПОДЗЕМ'!I22)*СПРАВОЧНИК!$M$5+('ФАКТ ЧИСТ ПОДЗЕМ'!J22)*СПРАВОЧНИК!$N$5+('ФАКТ ЧИСТ ПОДЗЕМ'!K22)*СПРАВОЧНИК!$L$6+('ФАКТ ЧИСТ ПОДЗЕМ'!L22)*СПРАВОЧНИК!$M$6+('ФАКТ ЧИСТ ПОДЗЕМ'!M22)*СПРАВОЧНИК!$N$6+('ФАКТ ЧИСТ ПОДЗЕМ'!N22)*СПРАВОЧНИК!$L$7+('ФАКТ ЧИСТ ПОДЗЕМ'!O22)*СПРАВОЧНИК!$M$7+('ФАКТ ЧИСТ ПОДЗЕМ'!P22)*СПРАВОЧНИК!$N$7+('ФАКТ ЧИСТ ПОДЗЕМ'!Q22)*СПРАВОЧНИК!$L$8+('ФАКТ ЧИСТ ПОДЗЕМ'!R22)*СПРАВОЧНИК!$M$8+('ФАКТ ЧИСТ ПОДЗЕМ'!S22)*СПРАВОЧНИК!$N$8</f>
        <v>0</v>
      </c>
      <c r="U31" s="18">
        <f t="shared" si="15"/>
        <v>46293</v>
      </c>
      <c r="V31" s="37">
        <f>СПРАВОЧНИК!$E$9*('ПЛАН ЧЕРН К1'!B22*СПРАВОЧНИК!$H$9+'ПЛАН ЧЕРН К1'!C22*СПРАВОЧНИК!$I$9+'ПЛАН ЧЕРН К1'!D22*СПРАВОЧНИК!$J$9)+СПРАВОЧНИК!$E$10*('ПЛАН ЧЕРН К1'!E22*СПРАВОЧНИК!$H$10+'ПЛАН ЧЕРН К1'!F22*СПРАВОЧНИК!$I$10+'ПЛАН ЧЕРН К1'!G22*СПРАВОЧНИК!$J$10)+СПРАВОЧНИК!$E$11*('ПЛАН ЧЕРН К1'!H22*СПРАВОЧНИК!$H$11+'ПЛАН ЧЕРН К1'!I22*СПРАВОЧНИК!$I$11+'ПЛАН ЧЕРН К1'!J22*СПРАВОЧНИК!$J$11)+СПРАВОЧНИК!$E$12*('ПЛАН ЧЕРН К1'!K22*СПРАВОЧНИК!$H$12+'ПЛАН ЧЕРН К1'!L22*СПРАВОЧНИК!$I$12+'ПЛАН ЧЕРН К1'!M22*СПРАВОЧНИК!$J$12)+СПРАВОЧНИК!$E$13*('ПЛАН ЧЕРН К1'!N22*СПРАВОЧНИК!$H$13+'ПЛАН ЧЕРН К1'!O22*СПРАВОЧНИК!$I$13+'ПЛАН ЧЕРН К1'!P22*СПРАВОЧНИК!$J$13)+СПРАВОЧНИК!$E$14*('ПЛАН ЧЕРН К1'!Q22*СПРАВОЧНИК!$H$14+'ПЛАН ЧЕРН К1'!R22*СПРАВОЧНИК!$I$14+'ПЛАН ЧЕРН К1'!S22*СПРАВОЧНИК!$J$14)+СПРАВОЧНИК!$E$15*('ПЛАН ЧЕРН К1'!T22*СПРАВОЧНИК!$H$15+'ПЛАН ЧЕРН К1'!U22*СПРАВОЧНИК!$I$15+'ПЛАН ЧЕРН К1'!V22*СПРАВОЧНИК!$J$15)+СПРАВОЧНИК!$F$9*('ПЛАН ЧИСТ К1'!B22*СПРАВОЧНИК!$L$9+'ПЛАН ЧИСТ К1'!C22*СПРАВОЧНИК!$M$9+'ПЛАН ЧИСТ К1'!D22*СПРАВОЧНИК!$N$9+'ПЛАН ЧИСТ К1'!E22*СПРАВОЧНИК!$O$9)+СПРАВОЧНИК!$F$10*('ПЛАН ЧИСТ К1'!F22*СПРАВОЧНИК!$L$10+'ПЛАН ЧИСТ К1'!G22*СПРАВОЧНИК!$M$10+'ПЛАН ЧИСТ К1'!H22*СПРАВОЧНИК!$N$10)+СПРАВОЧНИК!$F$11*('ПЛАН ЧИСТ К1'!I22*СПРАВОЧНИК!$L$11+'ПЛАН ЧИСТ К1'!J22*СПРАВОЧНИК!$M$11+'ПЛАН ЧИСТ К1'!K22*СПРАВОЧНИК!$N$11)+СПРАВОЧНИК!$F$12*('ПЛАН ЧИСТ К1'!L22*СПРАВОЧНИК!$L$12+'ПЛАН ЧИСТ К1'!M22*СПРАВОЧНИК!$M$12+'ПЛАН ЧИСТ К1'!N22*СПРАВОЧНИК!$N$12)+СПРАВОЧНИК!$F$13*('ПЛАН ЧИСТ К1'!O22*СПРАВОЧНИК!$L$13+'ПЛАН ЧИСТ К1'!P22*СПРАВОЧНИК!$M$13+'ПЛАН ЧИСТ К1'!Q22*СПРАВОЧНИК!$N$13)+СПРАВОЧНИК!$F$14*('ПЛАН ЧИСТ К1'!R22*СПРАВОЧНИК!$L$14+'ПЛАН ЧИСТ К1'!S22*СПРАВОЧНИК!$M$14+'ПЛАН ЧИСТ К1'!T22*СПРАВОЧНИК!$N$14)+СПРАВОЧНИК!$F$15*('ПЛАН ЧИСТ К1'!U22*СПРАВОЧНИК!$L$15+'ПЛАН ЧИСТ К1'!V22*СПРАВОЧНИК!$M$15+'ПЛАН ЧИСТ К1'!W22*СПРАВОЧНИК!$N$15)</f>
        <v>0</v>
      </c>
      <c r="W31" s="40">
        <f>СПРАВОЧНИК!$E$9*(('ФАКТ ЧЕРН К1'!B22)*СПРАВОЧНИК!$H$9+('ФАКТ ЧЕРН К1'!C22)*СПРАВОЧНИК!$I$9+('ФАКТ ЧЕРН К1'!D22)*СПРАВОЧНИК!$J$9)+СПРАВОЧНИК!$E$10*(('ФАКТ ЧЕРН К1'!E22)*СПРАВОЧНИК!$H$10+('ФАКТ ЧЕРН К1'!F22)*СПРАВОЧНИК!$I$10+('ФАКТ ЧЕРН К1'!G22)*СПРАВОЧНИК!$J$10)+СПРАВОЧНИК!$E$11*(('ФАКТ ЧЕРН К1'!H22)*СПРАВОЧНИК!$H$11+('ФАКТ ЧЕРН К1'!I22)*СПРАВОЧНИК!$I$11+('ФАКТ ЧЕРН К1'!J22)*СПРАВОЧНИК!$J$11)+СПРАВОЧНИК!$E$12*(('ФАКТ ЧЕРН К1'!K22)*СПРАВОЧНИК!$H$12+('ФАКТ ЧЕРН К1'!L22)*СПРАВОЧНИК!$I$12+('ФАКТ ЧЕРН К1'!M22)*СПРАВОЧНИК!$J$12)+СПРАВОЧНИК!$E$13*(('ФАКТ ЧЕРН К1'!N22)*СПРАВОЧНИК!$H$13+('ФАКТ ЧЕРН К1'!O22)*СПРАВОЧНИК!$I$13+('ФАКТ ЧЕРН К1'!P22)*СПРАВОЧНИК!$J$13)+СПРАВОЧНИК!$E$14*(('ФАКТ ЧЕРН К1'!Q22)*СПРАВОЧНИК!$H$14+('ФАКТ ЧЕРН К1'!R22)*СПРАВОЧНИК!$I$14+('ФАКТ ЧЕРН К1'!S22)*СПРАВОЧНИК!$J$14)+СПРАВОЧНИК!$E$15*(('ФАКТ ЧЕРН К1'!T22)*СПРАВОЧНИК!$H$15+('ФАКТ ЧЕРН К1'!U22)*СПРАВОЧНИК!$I$15+('ФАКТ ЧЕРН К1'!V22)*СПРАВОЧНИК!$J$15)+СПРАВОЧНИК!$F$9*(('ФАКТ ЧИСТ К1'!B22)*СПРАВОЧНИК!$L$9+('ФАКТ ЧИСТ К1'!C22)*СПРАВОЧНИК!$M$9+('ФАКТ ЧИСТ К1'!D22)*СПРАВОЧНИК!$N$9+('ФАКТ ЧИСТ К1'!E22)*СПРАВОЧНИК!$O$9)+СПРАВОЧНИК!$F$10*(('ФАКТ ЧИСТ К1'!F22)*СПРАВОЧНИК!$L$10+('ФАКТ ЧИСТ К1'!G22)*СПРАВОЧНИК!$M$10+('ФАКТ ЧИСТ К1'!H22)*СПРАВОЧНИК!$N$10)+СПРАВОЧНИК!$F$11*(('ФАКТ ЧИСТ К1'!I22)*СПРАВОЧНИК!$L$11+('ФАКТ ЧИСТ К1'!J22)*СПРАВОЧНИК!$M$11+('ФАКТ ЧИСТ К1'!K22)*СПРАВОЧНИК!$N$11)+СПРАВОЧНИК!$F$12*(('ФАКТ ЧИСТ К1'!L22)*СПРАВОЧНИК!$L$12+('ФАКТ ЧИСТ К1'!M22)*СПРАВОЧНИК!$M$12+('ФАКТ ЧИСТ К1'!N22)*СПРАВОЧНИК!$N$12)+СПРАВОЧНИК!$F$13*(('ФАКТ ЧИСТ К1'!O22)*СПРАВОЧНИК!$L$13+('ФАКТ ЧИСТ К1'!P22)*СПРАВОЧНИК!$M$13+('ФАКТ ЧИСТ К1'!Q22)*СПРАВОЧНИК!$N$13)+СПРАВОЧНИК!$F$14*(('ФАКТ ЧИСТ К1'!R22)*СПРАВОЧНИК!$L$14+('ФАКТ ЧИСТ К1'!S22)*СПРАВОЧНИК!$M$14+('ФАКТ ЧИСТ К1'!T22)*СПРАВОЧНИК!$N$14)+СПРАВОЧНИК!$F$15*(('ФАКТ ЧИСТ К1'!U22)*СПРАВОЧНИК!$L$15+('ФАКТ ЧИСТ К1'!V22)*СПРАВОЧНИК!$M$15+('ФАКТ ЧИСТ К1'!W22)*СПРАВОЧНИК!$N$15)</f>
        <v>0</v>
      </c>
      <c r="AA31" s="18">
        <f t="shared" si="16"/>
        <v>46293</v>
      </c>
      <c r="AB31" s="37">
        <f>'ПЛАН ЧЕРН К1'!B22*СПРАВОЧНИК!$H$9+'ПЛАН ЧЕРН К1'!C22*СПРАВОЧНИК!$I$9+'ПЛАН ЧЕРН К1'!D22*СПРАВОЧНИК!$J$9+'ПЛАН ЧЕРН К1'!E22*СПРАВОЧНИК!$H$10+'ПЛАН ЧЕРН К1'!F22*СПРАВОЧНИК!$I$10+'ПЛАН ЧЕРН К1'!G22*СПРАВОЧНИК!$J$10+'ПЛАН ЧЕРН К1'!H22*СПРАВОЧНИК!$H$11+'ПЛАН ЧЕРН К1'!I22*СПРАВОЧНИК!$I$11+'ПЛАН ЧЕРН К1'!J22*СПРАВОЧНИК!$J$11+'ПЛАН ЧЕРН К1'!K22*СПРАВОЧНИК!$H$12+'ПЛАН ЧЕРН К1'!L22*СПРАВОЧНИК!$I$12+'ПЛАН ЧЕРН К1'!M22*СПРАВОЧНИК!$J$12+'ПЛАН ЧЕРН К1'!N22*СПРАВОЧНИК!$H$13+'ПЛАН ЧЕРН К1'!O22*СПРАВОЧНИК!$I$13+'ПЛАН ЧЕРН К1'!P22*СПРАВОЧНИК!$J$13+'ПЛАН ЧЕРН К1'!Q22*СПРАВОЧНИК!$H$14+'ПЛАН ЧЕРН К1'!R22*СПРАВОЧНИК!$I$14+'ПЛАН ЧЕРН К1'!S22*СПРАВОЧНИК!$J$14+'ПЛАН ЧЕРН К1'!T22*СПРАВОЧНИК!$H$15+'ПЛАН ЧЕРН К1'!U22*СПРАВОЧНИК!$I$15+'ПЛАН ЧЕРН К1'!V22*СПРАВОЧНИК!$J$15</f>
        <v>0</v>
      </c>
      <c r="AC31" s="40">
        <f>('ФАКТ ЧЕРН К1'!B22)*СПРАВОЧНИК!$H$9+('ФАКТ ЧЕРН К1'!C22)*СПРАВОЧНИК!$I$9+('ФАКТ ЧЕРН К1'!D22)*СПРАВОЧНИК!$J$9+('ФАКТ ЧЕРН К1'!E22)*СПРАВОЧНИК!$H$10+('ФАКТ ЧЕРН К1'!F22)*СПРАВОЧНИК!$I$10+('ФАКТ ЧЕРН К1'!G22)*СПРАВОЧНИК!$J$10+('ФАКТ ЧЕРН К1'!H22)*СПРАВОЧНИК!$H$11+('ФАКТ ЧЕРН К1'!I22)*СПРАВОЧНИК!$I$11+('ФАКТ ЧЕРН К1'!J22)*СПРАВОЧНИК!$J$11+('ФАКТ ЧЕРН К1'!K22)*СПРАВОЧНИК!$H$12+('ФАКТ ЧЕРН К1'!L22)*СПРАВОЧНИК!$I$12+('ФАКТ ЧЕРН К1'!M22)*СПРАВОЧНИК!$J$12+('ФАКТ ЧЕРН К1'!N22)*СПРАВОЧНИК!$H$13+('ФАКТ ЧЕРН К1'!O22)*СПРАВОЧНИК!$I$13+('ФАКТ ЧЕРН К1'!P22)*СПРАВОЧНИК!$J$13+('ФАКТ ЧЕРН К1'!Q22)*СПРАВОЧНИК!$H$14+('ФАКТ ЧЕРН К1'!R22)*СПРАВОЧНИК!$I$14+('ФАКТ ЧЕРН К1'!S22)*СПРАВОЧНИК!$J$14+('ФАКТ ЧЕРН К1'!T22)*СПРАВОЧНИК!$H$15+('ФАКТ ЧЕРН К1'!U22)*СПРАВОЧНИК!$I$15+('ФАКТ ЧЕРН К1'!V22)*СПРАВОЧНИК!$J$15</f>
        <v>0</v>
      </c>
      <c r="AG31" s="18">
        <f t="shared" si="17"/>
        <v>46293</v>
      </c>
      <c r="AH31" s="37">
        <f>'ПЛАН ЧИСТ К1'!B22*СПРАВОЧНИК!$L$9+'ПЛАН ЧИСТ К1'!C22*СПРАВОЧНИК!$M$9+'ПЛАН ЧИСТ К1'!D22*СПРАВОЧНИК!$N$9+'ПЛАН ЧИСТ К1'!E22*СПРАВОЧНИК!$O$9+'ПЛАН ЧИСТ К1'!F22*СПРАВОЧНИК!$L$10+'ПЛАН ЧИСТ К1'!G22*СПРАВОЧНИК!$M$10+'ПЛАН ЧИСТ К1'!H22*СПРАВОЧНИК!$N$10+'ПЛАН ЧИСТ К1'!I22*СПРАВОЧНИК!$L$11+'ПЛАН ЧИСТ К1'!J22*СПРАВОЧНИК!$M$11+'ПЛАН ЧИСТ К1'!K22*СПРАВОЧНИК!$N$11+'ПЛАН ЧИСТ К1'!L22*СПРАВОЧНИК!$L$12+'ПЛАН ЧИСТ К1'!M22*СПРАВОЧНИК!$M$12+'ПЛАН ЧИСТ К1'!N22*СПРАВОЧНИК!$N$12+'ПЛАН ЧИСТ К1'!O22*СПРАВОЧНИК!$L$13+'ПЛАН ЧИСТ К1'!P22*СПРАВОЧНИК!$M$13+'ПЛАН ЧИСТ К1'!Q22*СПРАВОЧНИК!$N$13+'ПЛАН ЧИСТ К1'!R22*СПРАВОЧНИК!$L$14+'ПЛАН ЧИСТ К1'!S22*СПРАВОЧНИК!$M$14+'ПЛАН ЧИСТ К1'!T22*СПРАВОЧНИК!$N$14+'ПЛАН ЧИСТ К1'!U22*СПРАВОЧНИК!$L$15+'ПЛАН ЧИСТ К1'!V22*СПРАВОЧНИК!$M$15+'ПЛАН ЧИСТ К1'!W22*СПРАВОЧНИК!$N$15</f>
        <v>0</v>
      </c>
      <c r="AI31" s="40">
        <f>('ФАКТ ЧИСТ К1'!B22)*СПРАВОЧНИК!$L$9+('ФАКТ ЧИСТ К1'!C22)*СПРАВОЧНИК!$M$9+('ФАКТ ЧИСТ К1'!D22)*СПРАВОЧНИК!$N$9+('ФАКТ ЧИСТ К1'!E22)*СПРАВОЧНИК!$O$9+('ФАКТ ЧИСТ К1'!F22)*СПРАВОЧНИК!$L$10+('ФАКТ ЧИСТ К1'!G22)*СПРАВОЧНИК!$M$10+('ФАКТ ЧИСТ К1'!H22)*СПРАВОЧНИК!$N$10+('ФАКТ ЧИСТ К1'!I22)*СПРАВОЧНИК!$L$11+('ФАКТ ЧИСТ К1'!J22)*СПРАВОЧНИК!$M$11+('ФАКТ ЧИСТ К1'!K22)*СПРАВОЧНИК!$N$11+('ФАКТ ЧИСТ К1'!L22)*СПРАВОЧНИК!$L$12+('ФАКТ ЧИСТ К1'!M22)*СПРАВОЧНИК!$M$12+('ФАКТ ЧИСТ К1'!N22)*СПРАВОЧНИК!$N$12+('ФАКТ ЧИСТ К1'!O22)*СПРАВОЧНИК!$L$13+('ФАКТ ЧИСТ К1'!P22)*СПРАВОЧНИК!$M$13+('ФАКТ ЧИСТ К1'!Q22)*СПРАВОЧНИК!$N$13+('ФАКТ ЧИСТ К1'!R22)*СПРАВОЧНИК!$L$14+('ФАКТ ЧИСТ К1'!S22)*СПРАВОЧНИК!$M$14+('ФАКТ ЧИСТ К1'!T22)*СПРАВОЧНИК!$N$14+('ФАКТ ЧИСТ К1'!U22)*СПРАВОЧНИК!$L$15+('ФАКТ ЧИСТ К1'!V22)*СПРАВОЧНИК!$M$15+('ФАКТ ЧИСТ К1'!W22)*СПРАВОЧНИК!$N$15</f>
        <v>0</v>
      </c>
      <c r="AM31" s="18">
        <f t="shared" si="18"/>
        <v>46293</v>
      </c>
      <c r="AN31" s="37">
        <f>СПРАВОЧНИК!$E$9*('ПЛАН ЧЕРН К2'!B22*СПРАВОЧНИК!$H$9+'ПЛАН ЧЕРН К2'!C22*СПРАВОЧНИК!$I$9+'ПЛАН ЧЕРН К2'!D22*СПРАВОЧНИК!$J$9)+СПРАВОЧНИК!$E$10*('ПЛАН ЧЕРН К2'!E22*СПРАВОЧНИК!$H$10+'ПЛАН ЧЕРН К2'!F22*СПРАВОЧНИК!$I$10+'ПЛАН ЧЕРН К2'!G22*СПРАВОЧНИК!$J$10)+СПРАВОЧНИК!$E$11*('ПЛАН ЧЕРН К2'!H22*СПРАВОЧНИК!$H$11+'ПЛАН ЧЕРН К2'!I22*СПРАВОЧНИК!$I$11+'ПЛАН ЧЕРН К2'!J22*СПРАВОЧНИК!$J$11)+СПРАВОЧНИК!$E$12*('ПЛАН ЧЕРН К2'!K22*СПРАВОЧНИК!$H$12+'ПЛАН ЧЕРН К2'!L22*СПРАВОЧНИК!$I$12+'ПЛАН ЧЕРН К2'!M22*СПРАВОЧНИК!$J$12)+СПРАВОЧНИК!$E$13*('ПЛАН ЧЕРН К2'!N22*СПРАВОЧНИК!$H$13+'ПЛАН ЧЕРН К2'!O22*СПРАВОЧНИК!$I$13+'ПЛАН ЧЕРН К2'!P22*СПРАВОЧНИК!$J$13)+СПРАВОЧНИК!$E$14*('ПЛАН ЧЕРН К2'!Q22*СПРАВОЧНИК!$H$14+'ПЛАН ЧЕРН К2'!R22*СПРАВОЧНИК!$I$14+'ПЛАН ЧЕРН К2'!S22*СПРАВОЧНИК!$J$14)+СПРАВОЧНИК!$E$15*('ПЛАН ЧЕРН К2'!T22*СПРАВОЧНИК!$H$15+'ПЛАН ЧЕРН К2'!U22*СПРАВОЧНИК!$I$15+'ПЛАН ЧЕРН К2'!V22*СПРАВОЧНИК!$J$15)+СПРАВОЧНИК!$F$9*('ПЛАН ЧИСТ К2'!B22*СПРАВОЧНИК!$L$9+'ПЛАН ЧИСТ К2'!C22*СПРАВОЧНИК!$M$9+'ПЛАН ЧИСТ К2'!D22*СПРАВОЧНИК!$N$9+'ПЛАН ЧИСТ К2'!E22*СПРАВОЧНИК!$O$9)+СПРАВОЧНИК!$F$10*('ПЛАН ЧИСТ К2'!F22*СПРАВОЧНИК!$L$10+'ПЛАН ЧИСТ К2'!G22*СПРАВОЧНИК!$M$10+'ПЛАН ЧИСТ К2'!H22*СПРАВОЧНИК!$N$10)+СПРАВОЧНИК!$F$11*('ПЛАН ЧИСТ К2'!I22*СПРАВОЧНИК!$L$11+'ПЛАН ЧИСТ К2'!J22*СПРАВОЧНИК!$M$11+'ПЛАН ЧИСТ К2'!K22*СПРАВОЧНИК!$N$11)+СПРАВОЧНИК!$F$12*('ПЛАН ЧИСТ К2'!L22*СПРАВОЧНИК!$L$12+'ПЛАН ЧИСТ К2'!M22*СПРАВОЧНИК!$M$12+'ПЛАН ЧИСТ К2'!N22*СПРАВОЧНИК!$N$12)+СПРАВОЧНИК!$F$13*('ПЛАН ЧИСТ К2'!O22*СПРАВОЧНИК!$L$13+'ПЛАН ЧИСТ К2'!P22*СПРАВОЧНИК!$M$13+'ПЛАН ЧИСТ К2'!Q22*СПРАВОЧНИК!$N$13)+СПРАВОЧНИК!$F$14*('ПЛАН ЧИСТ К2'!R22*СПРАВОЧНИК!$L$14+'ПЛАН ЧИСТ К2'!S22*СПРАВОЧНИК!$M$14+'ПЛАН ЧИСТ К2'!T22*СПРАВОЧНИК!$N$14)+СПРАВОЧНИК!$F$15*('ПЛАН ЧИСТ К2'!U22*СПРАВОЧНИК!$L$15+'ПЛАН ЧИСТ К2'!V22*СПРАВОЧНИК!$M$15+'ПЛАН ЧИСТ К2'!W22*СПРАВОЧНИК!$N$15)</f>
        <v>0</v>
      </c>
      <c r="AO31" s="40">
        <f>СПРАВОЧНИК!$E$9*(('ФАКТ ЧЕРН К2'!B22)*СПРАВОЧНИК!$H$9+('ФАКТ ЧЕРН К2'!C22)*СПРАВОЧНИК!$I$9+('ФАКТ ЧЕРН К2'!D22)*СПРАВОЧНИК!$J$9)+СПРАВОЧНИК!$E$10*(('ФАКТ ЧЕРН К2'!E22)*СПРАВОЧНИК!$H$10+('ФАКТ ЧЕРН К2'!F22)*СПРАВОЧНИК!$I$10+('ФАКТ ЧЕРН К2'!G22)*СПРАВОЧНИК!$J$10)+СПРАВОЧНИК!$E$11*(('ФАКТ ЧЕРН К2'!H22)*СПРАВОЧНИК!$H$11+('ФАКТ ЧЕРН К2'!I22)*СПРАВОЧНИК!$I$11+('ФАКТ ЧЕРН К2'!J22)*СПРАВОЧНИК!$J$11)+СПРАВОЧНИК!$E$12*(('ФАКТ ЧЕРН К2'!K22)*СПРАВОЧНИК!$H$12+('ФАКТ ЧЕРН К2'!L22)*СПРАВОЧНИК!$I$12+('ФАКТ ЧЕРН К2'!M22)*СПРАВОЧНИК!$J$12)+СПРАВОЧНИК!$E$13*(('ФАКТ ЧЕРН К2'!N22)*СПРАВОЧНИК!$H$13+('ФАКТ ЧЕРН К2'!O22)*СПРАВОЧНИК!$I$13+('ФАКТ ЧЕРН К2'!P22)*СПРАВОЧНИК!$J$13)+СПРАВОЧНИК!$E$14*(('ФАКТ ЧЕРН К2'!Q22)*СПРАВОЧНИК!$H$14+('ФАКТ ЧЕРН К2'!R22)*СПРАВОЧНИК!$I$14+('ФАКТ ЧЕРН К2'!S22)*СПРАВОЧНИК!$J$14)+СПРАВОЧНИК!$E$15*(('ФАКТ ЧЕРН К2'!T22)*СПРАВОЧНИК!$H$15+('ФАКТ ЧЕРН К2'!U22)*СПРАВОЧНИК!$I$15+('ФАКТ ЧЕРН К2'!V22)*СПРАВОЧНИК!$J$15)+СПРАВОЧНИК!$F$9*(('ФАКТ ЧИСТ К2'!B22)*СПРАВОЧНИК!$L$9+('ФАКТ ЧИСТ К2'!C22)*СПРАВОЧНИК!$M$9+('ФАКТ ЧИСТ К2'!D22)*СПРАВОЧНИК!$N$9+('ФАКТ ЧИСТ К2'!E22)*СПРАВОЧНИК!$O$9)+СПРАВОЧНИК!$F$10*(('ФАКТ ЧИСТ К2'!F22)*СПРАВОЧНИК!$L$10+('ФАКТ ЧИСТ К2'!G22)*СПРАВОЧНИК!$M$10+('ФАКТ ЧИСТ К2'!H22)*СПРАВОЧНИК!$N$10)+СПРАВОЧНИК!$F$11*(('ФАКТ ЧИСТ К2'!I22)*СПРАВОЧНИК!$L$11+('ФАКТ ЧИСТ К2'!J22)*СПРАВОЧНИК!$M$11+('ФАКТ ЧИСТ К2'!K22)*СПРАВОЧНИК!$N$11)+СПРАВОЧНИК!$F$12*(('ФАКТ ЧИСТ К2'!L22)*СПРАВОЧНИК!$L$12+('ФАКТ ЧИСТ К2'!M22)*СПРАВОЧНИК!$M$12+('ФАКТ ЧИСТ К2'!N22)*СПРАВОЧНИК!$N$12)+СПРАВОЧНИК!$F$13*(('ФАКТ ЧИСТ К2'!O22)*СПРАВОЧНИК!$L$13+('ФАКТ ЧИСТ К2'!P22)*СПРАВОЧНИК!$M$13+('ФАКТ ЧИСТ К2'!Q22)*СПРАВОЧНИК!$N$13)+СПРАВОЧНИК!$F$14*(('ФАКТ ЧИСТ К2'!R22)*СПРАВОЧНИК!$L$14+('ФАКТ ЧИСТ К2'!S22)*СПРАВОЧНИК!$M$14+('ФАКТ ЧИСТ К2'!T22)*СПРАВОЧНИК!$N$14)+СПРАВОЧНИК!$F$15*(('ФАКТ ЧИСТ К2'!U22)*СПРАВОЧНИК!$L$15+('ФАКТ ЧИСТ К2'!V22)*СПРАВОЧНИК!$M$15+('ФАКТ ЧИСТ К2'!W22)*СПРАВОЧНИК!$N$15)</f>
        <v>0</v>
      </c>
      <c r="AS31" s="18">
        <f t="shared" si="19"/>
        <v>46293</v>
      </c>
      <c r="AT31" s="37">
        <f>'ПЛАН ЧЕРН К2'!B22*СПРАВОЧНИК!$H$9+'ПЛАН ЧЕРН К2'!C22*СПРАВОЧНИК!$I$9+'ПЛАН ЧЕРН К2'!D22*СПРАВОЧНИК!$J$9+'ПЛАН ЧЕРН К2'!E22*СПРАВОЧНИК!$H$10+'ПЛАН ЧЕРН К2'!F22*СПРАВОЧНИК!$I$10+'ПЛАН ЧЕРН К2'!G22*СПРАВОЧНИК!$J$10+'ПЛАН ЧЕРН К2'!H22*СПРАВОЧНИК!$H$11+'ПЛАН ЧЕРН К2'!I22*СПРАВОЧНИК!$I$11+'ПЛАН ЧЕРН К2'!J22*СПРАВОЧНИК!$J$11+'ПЛАН ЧЕРН К2'!K22*СПРАВОЧНИК!$H$12+'ПЛАН ЧЕРН К2'!L22*СПРАВОЧНИК!$I$12+'ПЛАН ЧЕРН К2'!M22*СПРАВОЧНИК!$J$12+'ПЛАН ЧЕРН К2'!N22*СПРАВОЧНИК!$H$13+'ПЛАН ЧЕРН К2'!O22*СПРАВОЧНИК!$I$13+'ПЛАН ЧЕРН К2'!P22*СПРАВОЧНИК!$J$13+'ПЛАН ЧЕРН К2'!Q22*СПРАВОЧНИК!$H$14+'ПЛАН ЧЕРН К2'!R22*СПРАВОЧНИК!$I$14+'ПЛАН ЧЕРН К2'!S22*СПРАВОЧНИК!$J$14+'ПЛАН ЧЕРН К2'!T22*СПРАВОЧНИК!$H$15+'ПЛАН ЧЕРН К2'!U22*СПРАВОЧНИК!$I$15+'ПЛАН ЧЕРН К2'!V22*СПРАВОЧНИК!$J$15</f>
        <v>0</v>
      </c>
      <c r="AU31" s="40">
        <f>('ФАКТ ЧЕРН К2'!B22)*СПРАВОЧНИК!$H$9+('ФАКТ ЧЕРН К2'!C22)*СПРАВОЧНИК!$I$9+('ФАКТ ЧЕРН К2'!D22)*СПРАВОЧНИК!$J$9+('ФАКТ ЧЕРН К2'!E22)*СПРАВОЧНИК!$H$10+('ФАКТ ЧЕРН К2'!F22)*СПРАВОЧНИК!$I$10+('ФАКТ ЧЕРН К2'!G22)*СПРАВОЧНИК!$J$10+('ФАКТ ЧЕРН К2'!H22)*СПРАВОЧНИК!$H$11+('ФАКТ ЧЕРН К2'!I22)*СПРАВОЧНИК!$I$11+('ФАКТ ЧЕРН К2'!J22)*СПРАВОЧНИК!$J$11+('ФАКТ ЧЕРН К2'!K22)*СПРАВОЧНИК!$H$12+('ФАКТ ЧЕРН К2'!L22)*СПРАВОЧНИК!$I$12+('ФАКТ ЧЕРН К2'!M22)*СПРАВОЧНИК!$J$12+('ФАКТ ЧЕРН К2'!N22)*СПРАВОЧНИК!$H$13+('ФАКТ ЧЕРН К2'!O22)*СПРАВОЧНИК!$I$13+('ФАКТ ЧЕРН К2'!P22)*СПРАВОЧНИК!$J$13+('ФАКТ ЧЕРН К2'!Q22)*СПРАВОЧНИК!$H$14+('ФАКТ ЧЕРН К2'!R22)*СПРАВОЧНИК!$I$14+('ФАКТ ЧЕРН К2'!S22)*СПРАВОЧНИК!$J$14+('ФАКТ ЧЕРН К2'!T22)*СПРАВОЧНИК!$H$15+('ФАКТ ЧЕРН К2'!U22)*СПРАВОЧНИК!$I$15+('ФАКТ ЧЕРН К2'!V22)*СПРАВОЧНИК!$J$15</f>
        <v>0</v>
      </c>
      <c r="AY31" s="18">
        <f t="shared" si="20"/>
        <v>46293</v>
      </c>
      <c r="AZ31" s="37">
        <f>'ПЛАН ЧИСТ К2'!B22*СПРАВОЧНИК!$L$9+'ПЛАН ЧИСТ К2'!C22*СПРАВОЧНИК!$M$9+'ПЛАН ЧИСТ К2'!D22*СПРАВОЧНИК!$N$9+'ПЛАН ЧИСТ К2'!E22*СПРАВОЧНИК!$O$9+'ПЛАН ЧИСТ К2'!F22*СПРАВОЧНИК!$L$10+'ПЛАН ЧИСТ К2'!G22*СПРАВОЧНИК!$M$10+'ПЛАН ЧИСТ К2'!H22*СПРАВОЧНИК!$N$10+'ПЛАН ЧИСТ К2'!I22*СПРАВОЧНИК!$L$11+'ПЛАН ЧИСТ К2'!J22*СПРАВОЧНИК!$M$11+'ПЛАН ЧИСТ К2'!K22*СПРАВОЧНИК!$N$11+'ПЛАН ЧИСТ К2'!L22*СПРАВОЧНИК!$L$12+'ПЛАН ЧИСТ К2'!M22*СПРАВОЧНИК!$M$12+'ПЛАН ЧИСТ К2'!N22*СПРАВОЧНИК!$N$12+'ПЛАН ЧИСТ К2'!O22*СПРАВОЧНИК!$L$13+'ПЛАН ЧИСТ К2'!P22*СПРАВОЧНИК!$M$13+'ПЛАН ЧИСТ К2'!Q22*СПРАВОЧНИК!$N$13+'ПЛАН ЧИСТ К2'!R22*СПРАВОЧНИК!$L$14+'ПЛАН ЧИСТ К2'!S22*СПРАВОЧНИК!$M$14+'ПЛАН ЧИСТ К2'!T22*СПРАВОЧНИК!$N$14+'ПЛАН ЧИСТ К2'!U22*СПРАВОЧНИК!$L$15+'ПЛАН ЧИСТ К2'!V22*СПРАВОЧНИК!$M$15+'ПЛАН ЧИСТ К2'!W22*СПРАВОЧНИК!$N$15</f>
        <v>0</v>
      </c>
      <c r="BA31" s="40">
        <f>('ФАКТ ЧИСТ К2'!B22)*СПРАВОЧНИК!$L$9+('ФАКТ ЧИСТ К2'!C22)*СПРАВОЧНИК!$M$9+('ФАКТ ЧИСТ К2'!D22)*СПРАВОЧНИК!$N$9+('ФАКТ ЧИСТ К2'!E22)*СПРАВОЧНИК!$O$9+('ФАКТ ЧИСТ К2'!F22)*СПРАВОЧНИК!$L$10+('ФАКТ ЧИСТ К2'!G22)*СПРАВОЧНИК!$M$10+('ФАКТ ЧИСТ К2'!H22)*СПРАВОЧНИК!$N$10+('ФАКТ ЧИСТ К2'!I22)*СПРАВОЧНИК!$L$11+('ФАКТ ЧИСТ К2'!J22)*СПРАВОЧНИК!$M$11+('ФАКТ ЧИСТ К2'!K22)*СПРАВОЧНИК!$N$11+('ФАКТ ЧИСТ К2'!L22)*СПРАВОЧНИК!$L$12+('ФАКТ ЧИСТ К2'!M22)*СПРАВОЧНИК!$M$12+('ФАКТ ЧИСТ К2'!N22)*СПРАВОЧНИК!$N$12+('ФАКТ ЧИСТ К2'!O22)*СПРАВОЧНИК!$L$13+('ФАКТ ЧИСТ К2'!P22)*СПРАВОЧНИК!$M$13+('ФАКТ ЧИСТ К2'!Q22)*СПРАВОЧНИК!$N$13+('ФАКТ ЧИСТ К2'!R22)*СПРАВОЧНИК!$L$14+('ФАКТ ЧИСТ К2'!S22)*СПРАВОЧНИК!$M$14+('ФАКТ ЧИСТ К2'!T22)*СПРАВОЧНИК!$N$14+('ФАКТ ЧИСТ К2'!U22)*СПРАВОЧНИК!$L$15+('ФАКТ ЧИСТ К2'!V22)*СПРАВОЧНИК!$M$15+('ФАКТ ЧИСТ К2'!W22)*СПРАВОЧНИК!$N$15</f>
        <v>0</v>
      </c>
      <c r="BE31" s="18">
        <f t="shared" si="21"/>
        <v>46293</v>
      </c>
      <c r="BF31" s="37">
        <f>СПРАВОЧНИК!$E$9*('ПЛАН ЧЕРН К3'!B22*СПРАВОЧНИК!$H$9+'ПЛАН ЧЕРН К3'!C22*СПРАВОЧНИК!$I$9+'ПЛАН ЧЕРН К3'!D22*СПРАВОЧНИК!$J$9)+СПРАВОЧНИК!$E$10*('ПЛАН ЧЕРН К3'!E22*СПРАВОЧНИК!$H$10+'ПЛАН ЧЕРН К3'!F22*СПРАВОЧНИК!$I$10+'ПЛАН ЧЕРН К3'!G22*СПРАВОЧНИК!$J$10)+СПРАВОЧНИК!$E$11*('ПЛАН ЧЕРН К3'!H22*СПРАВОЧНИК!$H$11+'ПЛАН ЧЕРН К3'!I22*СПРАВОЧНИК!$I$11+'ПЛАН ЧЕРН К3'!J22*СПРАВОЧНИК!$J$11)+СПРАВОЧНИК!$E$12*('ПЛАН ЧЕРН К3'!K22*СПРАВОЧНИК!$H$12+'ПЛАН ЧЕРН К3'!L22*СПРАВОЧНИК!$I$12+'ПЛАН ЧЕРН К3'!M22*СПРАВОЧНИК!$J$12)+СПРАВОЧНИК!$E$13*('ПЛАН ЧЕРН К3'!N22*СПРАВОЧНИК!$H$13+'ПЛАН ЧЕРН К3'!O22*СПРАВОЧНИК!$I$13+'ПЛАН ЧЕРН К3'!P22*СПРАВОЧНИК!$J$13)+СПРАВОЧНИК!$E$14*('ПЛАН ЧЕРН К3'!Q22*СПРАВОЧНИК!$H$14+'ПЛАН ЧЕРН К3'!R22*СПРАВОЧНИК!$I$14+'ПЛАН ЧЕРН К3'!S22*СПРАВОЧНИК!$J$14)+СПРАВОЧНИК!$E$15*('ПЛАН ЧЕРН К3'!T22*СПРАВОЧНИК!$H$15+'ПЛАН ЧЕРН К3'!U22*СПРАВОЧНИК!$I$15+'ПЛАН ЧЕРН К3'!V22*СПРАВОЧНИК!$J$15)+СПРАВОЧНИК!$F$9*('ПЛАН ЧИСТ К3'!B22*СПРАВОЧНИК!$L$9+'ПЛАН ЧИСТ К3'!C22*СПРАВОЧНИК!$M$9+'ПЛАН ЧИСТ К3'!D22*СПРАВОЧНИК!$N$9+'ПЛАН ЧИСТ К3'!E22*СПРАВОЧНИК!$O$9)+СПРАВОЧНИК!$F$10*('ПЛАН ЧИСТ К3'!F22*СПРАВОЧНИК!$L$10+'ПЛАН ЧИСТ К3'!G22*СПРАВОЧНИК!$M$10+'ПЛАН ЧИСТ К3'!H22*СПРАВОЧНИК!$N$10)+СПРАВОЧНИК!$F$11*('ПЛАН ЧИСТ К3'!I22*СПРАВОЧНИК!$L$11+'ПЛАН ЧИСТ К3'!J22*СПРАВОЧНИК!$M$11+'ПЛАН ЧИСТ К3'!K22*СПРАВОЧНИК!$N$11)+СПРАВОЧНИК!$F$12*('ПЛАН ЧИСТ К3'!L22*СПРАВОЧНИК!$L$12+'ПЛАН ЧИСТ К3'!M22*СПРАВОЧНИК!$M$12+'ПЛАН ЧИСТ К3'!N22*СПРАВОЧНИК!$N$12)+СПРАВОЧНИК!$F$13*('ПЛАН ЧИСТ К3'!O22*СПРАВОЧНИК!$L$13+'ПЛАН ЧИСТ К3'!P22*СПРАВОЧНИК!$M$13+'ПЛАН ЧИСТ К3'!Q22*СПРАВОЧНИК!$N$13)+СПРАВОЧНИК!$F$14*('ПЛАН ЧИСТ К3'!R22*СПРАВОЧНИК!$L$14+'ПЛАН ЧИСТ К3'!S22*СПРАВОЧНИК!$M$14+'ПЛАН ЧИСТ К3'!T22*СПРАВОЧНИК!$N$14)+СПРАВОЧНИК!$F$15*('ПЛАН ЧИСТ К3'!U22*СПРАВОЧНИК!$L$15+'ПЛАН ЧИСТ К3'!V22*СПРАВОЧНИК!$M$15+'ПЛАН ЧИСТ К3'!W22*СПРАВОЧНИК!$N$15)</f>
        <v>0</v>
      </c>
      <c r="BG31" s="40">
        <f>СПРАВОЧНИК!$E$9*(('ФАКТ ЧЕРН К3'!B22)*СПРАВОЧНИК!$H$9+('ФАКТ ЧЕРН К3'!C22)*СПРАВОЧНИК!$I$9+('ФАКТ ЧЕРН К3'!D22)*СПРАВОЧНИК!$J$9)+СПРАВОЧНИК!$E$10*(('ФАКТ ЧЕРН К3'!E22)*СПРАВОЧНИК!$H$10+('ФАКТ ЧЕРН К3'!F22)*СПРАВОЧНИК!$I$10+('ФАКТ ЧЕРН К3'!G22)*СПРАВОЧНИК!$J$10)+СПРАВОЧНИК!$E$11*(('ФАКТ ЧЕРН К3'!H22)*СПРАВОЧНИК!$H$11+('ФАКТ ЧЕРН К3'!I22)*СПРАВОЧНИК!$I$11+('ФАКТ ЧЕРН К3'!J22)*СПРАВОЧНИК!$J$11)+СПРАВОЧНИК!$E$12*(('ФАКТ ЧЕРН К3'!K22)*СПРАВОЧНИК!$H$12+('ФАКТ ЧЕРН К3'!L22)*СПРАВОЧНИК!$I$12+('ФАКТ ЧЕРН К3'!M22)*СПРАВОЧНИК!$J$12)+СПРАВОЧНИК!$E$13*(('ФАКТ ЧЕРН К3'!N22)*СПРАВОЧНИК!$H$13+('ФАКТ ЧЕРН К3'!O22)*СПРАВОЧНИК!$I$13+('ФАКТ ЧЕРН К3'!P22)*СПРАВОЧНИК!$J$13)+СПРАВОЧНИК!$E$14*(('ФАКТ ЧЕРН К3'!Q22)*СПРАВОЧНИК!$H$14+('ФАКТ ЧЕРН К3'!R22)*СПРАВОЧНИК!$I$14+('ФАКТ ЧЕРН К3'!S22)*СПРАВОЧНИК!$J$14)+СПРАВОЧНИК!$E$15*(('ФАКТ ЧЕРН К3'!T22)*СПРАВОЧНИК!$H$15+('ФАКТ ЧЕРН К3'!U22)*СПРАВОЧНИК!$I$15+('ФАКТ ЧЕРН К3'!V22)*СПРАВОЧНИК!$J$15)+СПРАВОЧНИК!$F$9*(('ФАКТ ЧИСТ К3'!B22)*СПРАВОЧНИК!$L$9+('ФАКТ ЧИСТ К3'!C22)*СПРАВОЧНИК!$M$9+('ФАКТ ЧИСТ К3'!D22)*СПРАВОЧНИК!$N$9+('ФАКТ ЧИСТ К3'!E22)*СПРАВОЧНИК!$O$9)+СПРАВОЧНИК!$F$10*(('ФАКТ ЧИСТ К3'!F22)*СПРАВОЧНИК!$L$10+('ФАКТ ЧИСТ К3'!G22)*СПРАВОЧНИК!$M$10+('ФАКТ ЧИСТ К3'!H22)*СПРАВОЧНИК!$N$10)+СПРАВОЧНИК!$F$11*(('ФАКТ ЧИСТ К3'!I22)*СПРАВОЧНИК!$L$11+('ФАКТ ЧИСТ К3'!J22)*СПРАВОЧНИК!$M$11+('ФАКТ ЧИСТ К3'!K22)*СПРАВОЧНИК!$N$11)+СПРАВОЧНИК!$F$12*(('ФАКТ ЧИСТ К3'!L22)*СПРАВОЧНИК!$L$12+('ФАКТ ЧИСТ К3'!M22)*СПРАВОЧНИК!$M$12+('ФАКТ ЧИСТ К3'!N22)*СПРАВОЧНИК!$N$12)+СПРАВОЧНИК!$F$13*(('ФАКТ ЧИСТ К3'!O22)*СПРАВОЧНИК!$L$13+('ФАКТ ЧИСТ К3'!P22)*СПРАВОЧНИК!$M$13+('ФАКТ ЧИСТ К3'!Q22)*СПРАВОЧНИК!$N$13)+СПРАВОЧНИК!$F$14*(('ФАКТ ЧИСТ К3'!R22)*СПРАВОЧНИК!$L$14+('ФАКТ ЧИСТ К3'!S22)*СПРАВОЧНИК!$M$14+('ФАКТ ЧИСТ К3'!T22)*СПРАВОЧНИК!$N$14)+СПРАВОЧНИК!$F$15*(('ФАКТ ЧИСТ К3'!U22)*СПРАВОЧНИК!$L$15+('ФАКТ ЧИСТ К3'!V22)*СПРАВОЧНИК!$M$15+('ФАКТ ЧИСТ К3'!W22)*СПРАВОЧНИК!$N$15)</f>
        <v>0</v>
      </c>
      <c r="BK31" s="18">
        <f t="shared" si="22"/>
        <v>46293</v>
      </c>
      <c r="BL31" s="37">
        <f>'ПЛАН ЧЕРН К3'!B22*СПРАВОЧНИК!$H$9+'ПЛАН ЧЕРН К3'!C22*СПРАВОЧНИК!$I$9+'ПЛАН ЧЕРН К3'!D22*СПРАВОЧНИК!$J$9+'ПЛАН ЧЕРН К3'!E22*СПРАВОЧНИК!$H$10+'ПЛАН ЧЕРН К3'!F22*СПРАВОЧНИК!$I$10+'ПЛАН ЧЕРН К3'!G22*СПРАВОЧНИК!$J$10+'ПЛАН ЧЕРН К3'!H22*СПРАВОЧНИК!$H$11+'ПЛАН ЧЕРН К3'!I22*СПРАВОЧНИК!$I$11+'ПЛАН ЧЕРН К3'!J22*СПРАВОЧНИК!$J$11+'ПЛАН ЧЕРН К3'!K22*СПРАВОЧНИК!$H$12+'ПЛАН ЧЕРН К3'!L22*СПРАВОЧНИК!$I$12+'ПЛАН ЧЕРН К3'!M22*СПРАВОЧНИК!$J$12+'ПЛАН ЧЕРН К3'!N22*СПРАВОЧНИК!$H$13+'ПЛАН ЧЕРН К3'!O22*СПРАВОЧНИК!$I$13+'ПЛАН ЧЕРН К3'!P22*СПРАВОЧНИК!$J$13+'ПЛАН ЧЕРН К3'!Q22*СПРАВОЧНИК!$H$14+'ПЛАН ЧЕРН К3'!R22*СПРАВОЧНИК!$I$14+'ПЛАН ЧЕРН К3'!S22*СПРАВОЧНИК!$J$14+'ПЛАН ЧЕРН К3'!T22*СПРАВОЧНИК!$H$15+'ПЛАН ЧЕРН К3'!U22*СПРАВОЧНИК!$I$15+'ПЛАН ЧЕРН К3'!V22*СПРАВОЧНИК!$J$15</f>
        <v>0</v>
      </c>
      <c r="BM31" s="40">
        <f>('ФАКТ ЧЕРН К3'!B22)*СПРАВОЧНИК!$H$9+('ФАКТ ЧЕРН К3'!C22)*СПРАВОЧНИК!$I$9+('ФАКТ ЧЕРН К3'!D22)*СПРАВОЧНИК!$J$9+('ФАКТ ЧЕРН К3'!E22)*СПРАВОЧНИК!$H$10+('ФАКТ ЧЕРН К3'!F22)*СПРАВОЧНИК!$I$10+('ФАКТ ЧЕРН К3'!G22)*СПРАВОЧНИК!$J$10+('ФАКТ ЧЕРН К3'!H22)*СПРАВОЧНИК!$H$11+('ФАКТ ЧЕРН К3'!I22)*СПРАВОЧНИК!$I$11+('ФАКТ ЧЕРН К3'!J22)*СПРАВОЧНИК!$J$11+('ФАКТ ЧЕРН К3'!K22)*СПРАВОЧНИК!$H$12+('ФАКТ ЧЕРН К3'!L22)*СПРАВОЧНИК!$I$12+('ФАКТ ЧЕРН К3'!M22)*СПРАВОЧНИК!$J$12+('ФАКТ ЧЕРН К3'!N22)*СПРАВОЧНИК!$H$13+('ФАКТ ЧЕРН К3'!O22)*СПРАВОЧНИК!$I$13+('ФАКТ ЧЕРН К3'!P22)*СПРАВОЧНИК!$J$13+('ФАКТ ЧЕРН К3'!Q22)*СПРАВОЧНИК!$H$14+('ФАКТ ЧЕРН К3'!R22)*СПРАВОЧНИК!$I$14+('ФАКТ ЧЕРН К3'!S22)*СПРАВОЧНИК!$J$14+('ФАКТ ЧЕРН К3'!T22)*СПРАВОЧНИК!$H$15+('ФАКТ ЧЕРН К3'!U22)*СПРАВОЧНИК!$I$15+('ФАКТ ЧЕРН К3'!V22)*СПРАВОЧНИК!$J$15</f>
        <v>0</v>
      </c>
      <c r="BQ31" s="18">
        <f t="shared" si="23"/>
        <v>46293</v>
      </c>
      <c r="BR31" s="37">
        <f>'ПЛАН ЧИСТ К3'!B22*СПРАВОЧНИК!$L$9+'ПЛАН ЧИСТ К3'!C22*СПРАВОЧНИК!$M$9+'ПЛАН ЧИСТ К3'!D22*СПРАВОЧНИК!$N$9+'ПЛАН ЧИСТ К3'!E22*СПРАВОЧНИК!$O$9+'ПЛАН ЧИСТ К3'!F22*СПРАВОЧНИК!$L$10+'ПЛАН ЧИСТ К3'!G22*СПРАВОЧНИК!$M$10+'ПЛАН ЧИСТ К3'!H22*СПРАВОЧНИК!$N$10+'ПЛАН ЧИСТ К3'!I22*СПРАВОЧНИК!$L$11+'ПЛАН ЧИСТ К3'!J22*СПРАВОЧНИК!$M$11+'ПЛАН ЧИСТ К3'!K22*СПРАВОЧНИК!$N$11+'ПЛАН ЧИСТ К3'!L22*СПРАВОЧНИК!$L$12+'ПЛАН ЧИСТ К3'!M22*СПРАВОЧНИК!$M$12+'ПЛАН ЧИСТ К3'!N22*СПРАВОЧНИК!$N$12+'ПЛАН ЧИСТ К3'!O22*СПРАВОЧНИК!$L$13+'ПЛАН ЧИСТ К3'!P22*СПРАВОЧНИК!$M$13+'ПЛАН ЧИСТ К3'!Q22*СПРАВОЧНИК!$N$13+'ПЛАН ЧИСТ К3'!R22*СПРАВОЧНИК!$L$14+'ПЛАН ЧИСТ К3'!S22*СПРАВОЧНИК!$M$14+'ПЛАН ЧИСТ К3'!T22*СПРАВОЧНИК!$N$14+'ПЛАН ЧИСТ К3'!U22*СПРАВОЧНИК!$L$15+'ПЛАН ЧИСТ К3'!V22*СПРАВОЧНИК!$M$15+'ПЛАН ЧИСТ К3'!W22*СПРАВОЧНИК!$N$15</f>
        <v>0</v>
      </c>
      <c r="BS31" s="40">
        <f>('ФАКТ ЧИСТ К3'!B22)*СПРАВОЧНИК!$L$9+('ФАКТ ЧИСТ К3'!C22)*СПРАВОЧНИК!$M$9+('ФАКТ ЧИСТ К3'!D22)*СПРАВОЧНИК!$N$9+('ФАКТ ЧИСТ К3'!E22)*СПРАВОЧНИК!$O$9+('ФАКТ ЧИСТ К3'!F22)*СПРАВОЧНИК!$L$10+('ФАКТ ЧИСТ К3'!G22)*СПРАВОЧНИК!$M$10+('ФАКТ ЧИСТ К3'!H22)*СПРАВОЧНИК!$N$10+('ФАКТ ЧИСТ К3'!I22)*СПРАВОЧНИК!$L$11+('ФАКТ ЧИСТ К3'!J22)*СПРАВОЧНИК!$M$11+('ФАКТ ЧИСТ К3'!K22)*СПРАВОЧНИК!$N$11+('ФАКТ ЧИСТ К3'!L22)*СПРАВОЧНИК!$L$12+('ФАКТ ЧИСТ К3'!M22)*СПРАВОЧНИК!$M$12+('ФАКТ ЧИСТ К3'!N22)*СПРАВОЧНИК!$N$12+('ФАКТ ЧИСТ К3'!O22)*СПРАВОЧНИК!$L$13+('ФАКТ ЧИСТ К3'!P22)*СПРАВОЧНИК!$M$13+('ФАКТ ЧИСТ К3'!Q22)*СПРАВОЧНИК!$N$13+('ФАКТ ЧИСТ К3'!R22)*СПРАВОЧНИК!$L$14+('ФАКТ ЧИСТ К3'!S22)*СПРАВОЧНИК!$M$14+('ФАКТ ЧИСТ К3'!T22)*СПРАВОЧНИК!$N$14+('ФАКТ ЧИСТ К3'!U22)*СПРАВОЧНИК!$L$15+('ФАКТ ЧИСТ К3'!V22)*СПРАВОЧНИК!$M$15+('ФАКТ ЧИСТ К3'!W22)*СПРАВОЧНИК!$N$15</f>
        <v>0</v>
      </c>
      <c r="BW31" s="18">
        <f t="shared" si="24"/>
        <v>46293</v>
      </c>
      <c r="BX31" s="37">
        <f t="shared" si="0"/>
        <v>0</v>
      </c>
      <c r="BY31" s="40">
        <f t="shared" si="1"/>
        <v>0</v>
      </c>
      <c r="CC31" s="18">
        <f t="shared" si="25"/>
        <v>46293</v>
      </c>
      <c r="CD31" s="37">
        <f t="shared" si="2"/>
        <v>0</v>
      </c>
      <c r="CE31" s="40">
        <f t="shared" si="3"/>
        <v>0</v>
      </c>
      <c r="CI31" s="18">
        <f t="shared" si="26"/>
        <v>46293</v>
      </c>
      <c r="CJ31" s="37">
        <f t="shared" si="4"/>
        <v>0</v>
      </c>
      <c r="CK31" s="40">
        <f t="shared" si="5"/>
        <v>0</v>
      </c>
      <c r="CO31" s="18">
        <f t="shared" si="27"/>
        <v>46293</v>
      </c>
      <c r="CP31" s="37">
        <f t="shared" si="6"/>
        <v>0</v>
      </c>
      <c r="CQ31" s="40">
        <f t="shared" si="7"/>
        <v>0</v>
      </c>
      <c r="CU31" s="18">
        <f t="shared" si="28"/>
        <v>46293</v>
      </c>
      <c r="CV31" s="37">
        <f t="shared" si="8"/>
        <v>0</v>
      </c>
      <c r="CW31" s="40">
        <f t="shared" si="9"/>
        <v>0</v>
      </c>
      <c r="DA31" s="18">
        <f t="shared" si="29"/>
        <v>46293</v>
      </c>
      <c r="DB31" s="37">
        <f t="shared" si="10"/>
        <v>0</v>
      </c>
      <c r="DC31" s="40">
        <f t="shared" si="11"/>
        <v>0</v>
      </c>
    </row>
    <row r="32" spans="3:107" x14ac:dyDescent="0.25">
      <c r="C32" s="18">
        <f t="shared" si="12"/>
        <v>46300</v>
      </c>
      <c r="D32" s="37">
        <f>СПРАВОЧНИК!$E$3*('ПЛАН ЧЕРН ПОДЗЕМ'!B23*СПРАВОЧНИК!$H$3+'ПЛАН ЧЕРН ПОДЗЕМ'!C23*СПРАВОЧНИК!$I$3+'ПЛАН ЧЕРН ПОДЗЕМ'!D23*СПРАВОЧНИК!$J$3)+СПРАВОЧНИК!$E$4*('ПЛАН ЧЕРН ПОДЗЕМ'!E23*СПРАВОЧНИК!$H$4+'ПЛАН ЧЕРН ПОДЗЕМ'!F23*СПРАВОЧНИК!$I$4+'ПЛАН ЧЕРН ПОДЗЕМ'!G23*СПРАВОЧНИК!$J$4)+СПРАВОЧНИК!$E$5*('ПЛАН ЧЕРН ПОДЗЕМ'!H23*СПРАВОЧНИК!$H$5+'ПЛАН ЧЕРН ПОДЗЕМ'!I23*СПРАВОЧНИК!$I$5+'ПЛАН ЧЕРН ПОДЗЕМ'!J23*СПРАВОЧНИК!$J$5)+СПРАВОЧНИК!$E$6*('ПЛАН ЧЕРН ПОДЗЕМ'!K23*СПРАВОЧНИК!$H$6+'ПЛАН ЧЕРН ПОДЗЕМ'!L23*СПРАВОЧНИК!$I$6+'ПЛАН ЧЕРН ПОДЗЕМ'!M23*СПРАВОЧНИК!$J$6)+СПРАВОЧНИК!$E$7*('ПЛАН ЧЕРН ПОДЗЕМ'!N23*СПРАВОЧНИК!$H$7+'ПЛАН ЧЕРН ПОДЗЕМ'!O23*СПРАВОЧНИК!$I$7+'ПЛАН ЧЕРН ПОДЗЕМ'!P23*СПРАВОЧНИК!$J$7)+СПРАВОЧНИК!$E$8*('ПЛАН ЧЕРН ПОДЗЕМ'!Q23*СПРАВОЧНИК!$H$8+'ПЛАН ЧЕРН ПОДЗЕМ'!R23*СПРАВОЧНИК!$I$8+'ПЛАН ЧЕРН ПОДЗЕМ'!S23*СПРАВОЧНИК!$J$8)+СПРАВОЧНИК!$F$3*('ПЛАН ЧИСТ ПОДЗЕМ'!B23*СПРАВОЧНИК!$L$3+'ПЛАН ЧИСТ ПОДЗЕМ'!C23*СПРАВОЧНИК!$M$3+'ПЛАН ЧИСТ ПОДЗЕМ'!D23*СПРАВОЧНИК!$N$3)+СПРАВОЧНИК!$F$4*('ПЛАН ЧИСТ ПОДЗЕМ'!E23*СПРАВОЧНИК!$L$4+'ПЛАН ЧИСТ ПОДЗЕМ'!F23*СПРАВОЧНИК!$M$4+'ПЛАН ЧИСТ ПОДЗЕМ'!G23*СПРАВОЧНИК!$N$4)+СПРАВОЧНИК!$F$5*('ПЛАН ЧИСТ ПОДЗЕМ'!H23*СПРАВОЧНИК!$L$5+'ПЛАН ЧИСТ ПОДЗЕМ'!I23*СПРАВОЧНИК!$M$5+'ПЛАН ЧИСТ ПОДЗЕМ'!J23*СПРАВОЧНИК!$N$5)+СПРАВОЧНИК!$F$6*('ПЛАН ЧИСТ ПОДЗЕМ'!K23*СПРАВОЧНИК!$L$6+'ПЛАН ЧИСТ ПОДЗЕМ'!L23*СПРАВОЧНИК!$M$6+'ПЛАН ЧИСТ ПОДЗЕМ'!M23*СПРАВОЧНИК!$N$6)+СПРАВОЧНИК!$F$7*('ПЛАН ЧИСТ ПОДЗЕМ'!N23*СПРАВОЧНИК!$L$7+'ПЛАН ЧИСТ ПОДЗЕМ'!O23*СПРАВОЧНИК!$M$7+'ПЛАН ЧИСТ ПОДЗЕМ'!P23*СПРАВОЧНИК!$N$7)+СПРАВОЧНИК!$F$8*('ПЛАН ЧИСТ ПОДЗЕМ'!Q23*СПРАВОЧНИК!$L$8+'ПЛАН ЧИСТ ПОДЗЕМ'!R23*СПРАВОЧНИК!$M$8+'ПЛАН ЧИСТ ПОДЗЕМ'!S23*СПРАВОЧНИК!$N$8)</f>
        <v>0</v>
      </c>
      <c r="E32" s="40">
        <f>СПРАВОЧНИК!$E$3*(('ФАКТ ЧЕРН ПОДЗЕМ'!B23)*СПРАВОЧНИК!$H$3+('ФАКТ ЧЕРН ПОДЗЕМ'!C23)*СПРАВОЧНИК!$I$3+('ФАКТ ЧЕРН ПОДЗЕМ'!D23)*СПРАВОЧНИК!$J$3)+СПРАВОЧНИК!$E$4*(('ФАКТ ЧЕРН ПОДЗЕМ'!E23)*СПРАВОЧНИК!$H$4+('ФАКТ ЧЕРН ПОДЗЕМ'!F23)*СПРАВОЧНИК!$I$4+('ФАКТ ЧЕРН ПОДЗЕМ'!G23)*СПРАВОЧНИК!$J$4)+СПРАВОЧНИК!$E$5*(('ФАКТ ЧЕРН ПОДЗЕМ'!H23)*СПРАВОЧНИК!$H$5+('ФАКТ ЧЕРН ПОДЗЕМ'!I23)*СПРАВОЧНИК!$I$5+('ФАКТ ЧЕРН ПОДЗЕМ'!J23)*СПРАВОЧНИК!$J$5)+СПРАВОЧНИК!$E$6*(('ФАКТ ЧЕРН ПОДЗЕМ'!K23)*СПРАВОЧНИК!$H$6+('ФАКТ ЧЕРН ПОДЗЕМ'!L23)*СПРАВОЧНИК!$I$6+('ФАКТ ЧЕРН ПОДЗЕМ'!M23)*СПРАВОЧНИК!$J$6)+СПРАВОЧНИК!$E$7*(('ФАКТ ЧЕРН ПОДЗЕМ'!N23)*СПРАВОЧНИК!$H$7+('ФАКТ ЧЕРН ПОДЗЕМ'!O23)*СПРАВОЧНИК!$I$7+('ФАКТ ЧЕРН ПОДЗЕМ'!P23)*СПРАВОЧНИК!$J$7)+СПРАВОЧНИК!$E$8*(('ФАКТ ЧЕРН ПОДЗЕМ'!Q23)*СПРАВОЧНИК!$H$8+('ФАКТ ЧЕРН ПОДЗЕМ'!R23)*СПРАВОЧНИК!$I$8+('ФАКТ ЧЕРН ПОДЗЕМ'!S23)*СПРАВОЧНИК!$J$8)+СПРАВОЧНИК!$F$3*(('ФАКТ ЧИСТ ПОДЗЕМ'!B23)*СПРАВОЧНИК!$L$3+('ФАКТ ЧИСТ ПОДЗЕМ'!C23)*СПРАВОЧНИК!$M$3+('ФАКТ ЧИСТ ПОДЗЕМ'!D23)*СПРАВОЧНИК!$N$3)+СПРАВОЧНИК!$F$4*(('ФАКТ ЧИСТ ПОДЗЕМ'!E23)*СПРАВОЧНИК!$L$4+('ФАКТ ЧИСТ ПОДЗЕМ'!F23)*СПРАВОЧНИК!$M$4+('ФАКТ ЧИСТ ПОДЗЕМ'!G23)*СПРАВОЧНИК!$N$4)+СПРАВОЧНИК!$F$5*(('ФАКТ ЧИСТ ПОДЗЕМ'!H23)*СПРАВОЧНИК!$L$5+('ФАКТ ЧИСТ ПОДЗЕМ'!I23)*СПРАВОЧНИК!$M$5+('ФАКТ ЧИСТ ПОДЗЕМ'!J23)*СПРАВОЧНИК!$N$5)+СПРАВОЧНИК!$F$6*(('ФАКТ ЧИСТ ПОДЗЕМ'!K23)*СПРАВОЧНИК!$L$6+('ФАКТ ЧИСТ ПОДЗЕМ'!L23)*СПРАВОЧНИК!$M$6+('ФАКТ ЧИСТ ПОДЗЕМ'!M23)*СПРАВОЧНИК!$N$6)+СПРАВОЧНИК!$F$7*(('ФАКТ ЧИСТ ПОДЗЕМ'!N23)*СПРАВОЧНИК!$L$7+('ФАКТ ЧИСТ ПОДЗЕМ'!O23)*СПРАВОЧНИК!$M$7+('ФАКТ ЧИСТ ПОДЗЕМ'!P23)*СПРАВОЧНИК!$N$7)+СПРАВОЧНИК!$F$8*(('ФАКТ ЧИСТ ПОДЗЕМ'!Q23)*СПРАВОЧНИК!$L$8+('ФАКТ ЧИСТ ПОДЗЕМ'!R23)*СПРАВОЧНИК!$M$8+('ФАКТ ЧИСТ ПОДЗЕМ'!S23)*СПРАВОЧНИК!$N$8)</f>
        <v>0</v>
      </c>
      <c r="I32" s="18">
        <f t="shared" si="13"/>
        <v>46300</v>
      </c>
      <c r="J32" s="37">
        <f>'ПЛАН ЧЕРН ПОДЗЕМ'!B23*СПРАВОЧНИК!$H$3+'ПЛАН ЧЕРН ПОДЗЕМ'!C23*СПРАВОЧНИК!$I$3+'ПЛАН ЧЕРН ПОДЗЕМ'!D23*СПРАВОЧНИК!$J$3+'ПЛАН ЧЕРН ПОДЗЕМ'!E23*СПРАВОЧНИК!$H$4+'ПЛАН ЧЕРН ПОДЗЕМ'!F23*СПРАВОЧНИК!$I$4+'ПЛАН ЧЕРН ПОДЗЕМ'!G23*СПРАВОЧНИК!$J$4+'ПЛАН ЧЕРН ПОДЗЕМ'!H23*СПРАВОЧНИК!$H$5+'ПЛАН ЧЕРН ПОДЗЕМ'!I23*СПРАВОЧНИК!$I$5+'ПЛАН ЧЕРН ПОДЗЕМ'!J23*СПРАВОЧНИК!$J$5+'ПЛАН ЧЕРН ПОДЗЕМ'!K23*СПРАВОЧНИК!$H$6+'ПЛАН ЧЕРН ПОДЗЕМ'!L23*СПРАВОЧНИК!$I$6+'ПЛАН ЧЕРН ПОДЗЕМ'!M23*СПРАВОЧНИК!$J$6+'ПЛАН ЧЕРН ПОДЗЕМ'!N23*СПРАВОЧНИК!$H$7+'ПЛАН ЧЕРН ПОДЗЕМ'!O23*СПРАВОЧНИК!$I$7+'ПЛАН ЧЕРН ПОДЗЕМ'!P23*СПРАВОЧНИК!$J$7+'ПЛАН ЧЕРН ПОДЗЕМ'!Q23*СПРАВОЧНИК!$H$8+'ПЛАН ЧЕРН ПОДЗЕМ'!R23*СПРАВОЧНИК!$I$8+'ПЛАН ЧЕРН ПОДЗЕМ'!S23*СПРАВОЧНИК!$J$8</f>
        <v>0</v>
      </c>
      <c r="K32" s="40">
        <f>('ФАКТ ЧЕРН ПОДЗЕМ'!B23)*СПРАВОЧНИК!$H$3+('ФАКТ ЧЕРН ПОДЗЕМ'!C23)*СПРАВОЧНИК!$I$3+('ФАКТ ЧЕРН ПОДЗЕМ'!D23)*СПРАВОЧНИК!$J$3+('ФАКТ ЧЕРН ПОДЗЕМ'!E23)*СПРАВОЧНИК!$H$4+('ФАКТ ЧЕРН ПОДЗЕМ'!F23)*СПРАВОЧНИК!$I$4+('ФАКТ ЧЕРН ПОДЗЕМ'!G23)*СПРАВОЧНИК!$J$4+('ФАКТ ЧЕРН ПОДЗЕМ'!H23)*СПРАВОЧНИК!$H$5+('ФАКТ ЧЕРН ПОДЗЕМ'!I23)*СПРАВОЧНИК!$I$5+('ФАКТ ЧЕРН ПОДЗЕМ'!J23)*СПРАВОЧНИК!$J$5+('ФАКТ ЧЕРН ПОДЗЕМ'!K23)*СПРАВОЧНИК!$H$6+('ФАКТ ЧЕРН ПОДЗЕМ'!L23)*СПРАВОЧНИК!$I$6+('ФАКТ ЧЕРН ПОДЗЕМ'!M23)*СПРАВОЧНИК!$J$6+('ФАКТ ЧЕРН ПОДЗЕМ'!N23)*СПРАВОЧНИК!$H$7+('ФАКТ ЧЕРН ПОДЗЕМ'!O23)*СПРАВОЧНИК!$I$7+('ФАКТ ЧЕРН ПОДЗЕМ'!P23)*СПРАВОЧНИК!$J$7+('ФАКТ ЧЕРН ПОДЗЕМ'!Q23)*СПРАВОЧНИК!$H$8+('ФАКТ ЧЕРН ПОДЗЕМ'!R23)*СПРАВОЧНИК!$I$8+('ФАКТ ЧЕРН ПОДЗЕМ'!S23)*СПРАВОЧНИК!$J$8</f>
        <v>0</v>
      </c>
      <c r="O32" s="18">
        <f t="shared" si="14"/>
        <v>46300</v>
      </c>
      <c r="P32" s="37">
        <f>'ПЛАН ЧИСТ ПОДЗЕМ'!B23*СПРАВОЧНИК!$L$3+'ПЛАН ЧИСТ ПОДЗЕМ'!C23*СПРАВОЧНИК!$M$3+'ПЛАН ЧИСТ ПОДЗЕМ'!D23*СПРАВОЧНИК!$N$3+'ПЛАН ЧИСТ ПОДЗЕМ'!E23*СПРАВОЧНИК!$L$4+'ПЛАН ЧИСТ ПОДЗЕМ'!F23*СПРАВОЧНИК!$M$4+'ПЛАН ЧИСТ ПОДЗЕМ'!G23*СПРАВОЧНИК!$N$4+'ПЛАН ЧИСТ ПОДЗЕМ'!H23*СПРАВОЧНИК!$L$5+'ПЛАН ЧИСТ ПОДЗЕМ'!I23*СПРАВОЧНИК!$M$5+'ПЛАН ЧИСТ ПОДЗЕМ'!J23*СПРАВОЧНИК!$N$5+'ПЛАН ЧИСТ ПОДЗЕМ'!K23*СПРАВОЧНИК!$L$6+'ПЛАН ЧИСТ ПОДЗЕМ'!L23*СПРАВОЧНИК!$M$6+'ПЛАН ЧИСТ ПОДЗЕМ'!M23*СПРАВОЧНИК!$N$6+'ПЛАН ЧИСТ ПОДЗЕМ'!N23*СПРАВОЧНИК!$L$7+'ПЛАН ЧИСТ ПОДЗЕМ'!O23*СПРАВОЧНИК!$M$7+'ПЛАН ЧИСТ ПОДЗЕМ'!P23*СПРАВОЧНИК!$N$7+'ПЛАН ЧИСТ ПОДЗЕМ'!Q23*СПРАВОЧНИК!$L$8+'ПЛАН ЧИСТ ПОДЗЕМ'!R23*СПРАВОЧНИК!$M$8+'ПЛАН ЧИСТ ПОДЗЕМ'!S23*СПРАВОЧНИК!$N$8</f>
        <v>0</v>
      </c>
      <c r="Q32" s="40">
        <f>('ФАКТ ЧИСТ ПОДЗЕМ'!B23)*СПРАВОЧНИК!$L$3+('ФАКТ ЧИСТ ПОДЗЕМ'!C23)*СПРАВОЧНИК!$M$3+('ФАКТ ЧИСТ ПОДЗЕМ'!D23)*СПРАВОЧНИК!$N$3+('ФАКТ ЧИСТ ПОДЗЕМ'!E23)*СПРАВОЧНИК!$L$4+('ФАКТ ЧИСТ ПОДЗЕМ'!F23)*СПРАВОЧНИК!$M$4+('ФАКТ ЧИСТ ПОДЗЕМ'!G23)*СПРАВОЧНИК!$N$4+('ФАКТ ЧИСТ ПОДЗЕМ'!H23)*СПРАВОЧНИК!$L$5+('ФАКТ ЧИСТ ПОДЗЕМ'!I23)*СПРАВОЧНИК!$M$5+('ФАКТ ЧИСТ ПОДЗЕМ'!J23)*СПРАВОЧНИК!$N$5+('ФАКТ ЧИСТ ПОДЗЕМ'!K23)*СПРАВОЧНИК!$L$6+('ФАКТ ЧИСТ ПОДЗЕМ'!L23)*СПРАВОЧНИК!$M$6+('ФАКТ ЧИСТ ПОДЗЕМ'!M23)*СПРАВОЧНИК!$N$6+('ФАКТ ЧИСТ ПОДЗЕМ'!N23)*СПРАВОЧНИК!$L$7+('ФАКТ ЧИСТ ПОДЗЕМ'!O23)*СПРАВОЧНИК!$M$7+('ФАКТ ЧИСТ ПОДЗЕМ'!P23)*СПРАВОЧНИК!$N$7+('ФАКТ ЧИСТ ПОДЗЕМ'!Q23)*СПРАВОЧНИК!$L$8+('ФАКТ ЧИСТ ПОДЗЕМ'!R23)*СПРАВОЧНИК!$M$8+('ФАКТ ЧИСТ ПОДЗЕМ'!S23)*СПРАВОЧНИК!$N$8</f>
        <v>0</v>
      </c>
      <c r="U32" s="18">
        <f t="shared" si="15"/>
        <v>46300</v>
      </c>
      <c r="V32" s="37">
        <f>СПРАВОЧНИК!$E$9*('ПЛАН ЧЕРН К1'!B23*СПРАВОЧНИК!$H$9+'ПЛАН ЧЕРН К1'!C23*СПРАВОЧНИК!$I$9+'ПЛАН ЧЕРН К1'!D23*СПРАВОЧНИК!$J$9)+СПРАВОЧНИК!$E$10*('ПЛАН ЧЕРН К1'!E23*СПРАВОЧНИК!$H$10+'ПЛАН ЧЕРН К1'!F23*СПРАВОЧНИК!$I$10+'ПЛАН ЧЕРН К1'!G23*СПРАВОЧНИК!$J$10)+СПРАВОЧНИК!$E$11*('ПЛАН ЧЕРН К1'!H23*СПРАВОЧНИК!$H$11+'ПЛАН ЧЕРН К1'!I23*СПРАВОЧНИК!$I$11+'ПЛАН ЧЕРН К1'!J23*СПРАВОЧНИК!$J$11)+СПРАВОЧНИК!$E$12*('ПЛАН ЧЕРН К1'!K23*СПРАВОЧНИК!$H$12+'ПЛАН ЧЕРН К1'!L23*СПРАВОЧНИК!$I$12+'ПЛАН ЧЕРН К1'!M23*СПРАВОЧНИК!$J$12)+СПРАВОЧНИК!$E$13*('ПЛАН ЧЕРН К1'!N23*СПРАВОЧНИК!$H$13+'ПЛАН ЧЕРН К1'!O23*СПРАВОЧНИК!$I$13+'ПЛАН ЧЕРН К1'!P23*СПРАВОЧНИК!$J$13)+СПРАВОЧНИК!$E$14*('ПЛАН ЧЕРН К1'!Q23*СПРАВОЧНИК!$H$14+'ПЛАН ЧЕРН К1'!R23*СПРАВОЧНИК!$I$14+'ПЛАН ЧЕРН К1'!S23*СПРАВОЧНИК!$J$14)+СПРАВОЧНИК!$E$15*('ПЛАН ЧЕРН К1'!T23*СПРАВОЧНИК!$H$15+'ПЛАН ЧЕРН К1'!U23*СПРАВОЧНИК!$I$15+'ПЛАН ЧЕРН К1'!V23*СПРАВОЧНИК!$J$15)+СПРАВОЧНИК!$F$9*('ПЛАН ЧИСТ К1'!B23*СПРАВОЧНИК!$L$9+'ПЛАН ЧИСТ К1'!C23*СПРАВОЧНИК!$M$9+'ПЛАН ЧИСТ К1'!D23*СПРАВОЧНИК!$N$9+'ПЛАН ЧИСТ К1'!E23*СПРАВОЧНИК!$O$9)+СПРАВОЧНИК!$F$10*('ПЛАН ЧИСТ К1'!F23*СПРАВОЧНИК!$L$10+'ПЛАН ЧИСТ К1'!G23*СПРАВОЧНИК!$M$10+'ПЛАН ЧИСТ К1'!H23*СПРАВОЧНИК!$N$10)+СПРАВОЧНИК!$F$11*('ПЛАН ЧИСТ К1'!I23*СПРАВОЧНИК!$L$11+'ПЛАН ЧИСТ К1'!J23*СПРАВОЧНИК!$M$11+'ПЛАН ЧИСТ К1'!K23*СПРАВОЧНИК!$N$11)+СПРАВОЧНИК!$F$12*('ПЛАН ЧИСТ К1'!L23*СПРАВОЧНИК!$L$12+'ПЛАН ЧИСТ К1'!M23*СПРАВОЧНИК!$M$12+'ПЛАН ЧИСТ К1'!N23*СПРАВОЧНИК!$N$12)+СПРАВОЧНИК!$F$13*('ПЛАН ЧИСТ К1'!O23*СПРАВОЧНИК!$L$13+'ПЛАН ЧИСТ К1'!P23*СПРАВОЧНИК!$M$13+'ПЛАН ЧИСТ К1'!Q23*СПРАВОЧНИК!$N$13)+СПРАВОЧНИК!$F$14*('ПЛАН ЧИСТ К1'!R23*СПРАВОЧНИК!$L$14+'ПЛАН ЧИСТ К1'!S23*СПРАВОЧНИК!$M$14+'ПЛАН ЧИСТ К1'!T23*СПРАВОЧНИК!$N$14)+СПРАВОЧНИК!$F$15*('ПЛАН ЧИСТ К1'!U23*СПРАВОЧНИК!$L$15+'ПЛАН ЧИСТ К1'!V23*СПРАВОЧНИК!$M$15+'ПЛАН ЧИСТ К1'!W23*СПРАВОЧНИК!$N$15)</f>
        <v>0</v>
      </c>
      <c r="W32" s="40">
        <f>СПРАВОЧНИК!$E$9*(('ФАКТ ЧЕРН К1'!B23)*СПРАВОЧНИК!$H$9+('ФАКТ ЧЕРН К1'!C23)*СПРАВОЧНИК!$I$9+('ФАКТ ЧЕРН К1'!D23)*СПРАВОЧНИК!$J$9)+СПРАВОЧНИК!$E$10*(('ФАКТ ЧЕРН К1'!E23)*СПРАВОЧНИК!$H$10+('ФАКТ ЧЕРН К1'!F23)*СПРАВОЧНИК!$I$10+('ФАКТ ЧЕРН К1'!G23)*СПРАВОЧНИК!$J$10)+СПРАВОЧНИК!$E$11*(('ФАКТ ЧЕРН К1'!H23)*СПРАВОЧНИК!$H$11+('ФАКТ ЧЕРН К1'!I23)*СПРАВОЧНИК!$I$11+('ФАКТ ЧЕРН К1'!J23)*СПРАВОЧНИК!$J$11)+СПРАВОЧНИК!$E$12*(('ФАКТ ЧЕРН К1'!K23)*СПРАВОЧНИК!$H$12+('ФАКТ ЧЕРН К1'!L23)*СПРАВОЧНИК!$I$12+('ФАКТ ЧЕРН К1'!M23)*СПРАВОЧНИК!$J$12)+СПРАВОЧНИК!$E$13*(('ФАКТ ЧЕРН К1'!N23)*СПРАВОЧНИК!$H$13+('ФАКТ ЧЕРН К1'!O23)*СПРАВОЧНИК!$I$13+('ФАКТ ЧЕРН К1'!P23)*СПРАВОЧНИК!$J$13)+СПРАВОЧНИК!$E$14*(('ФАКТ ЧЕРН К1'!Q23)*СПРАВОЧНИК!$H$14+('ФАКТ ЧЕРН К1'!R23)*СПРАВОЧНИК!$I$14+('ФАКТ ЧЕРН К1'!S23)*СПРАВОЧНИК!$J$14)+СПРАВОЧНИК!$E$15*(('ФАКТ ЧЕРН К1'!T23)*СПРАВОЧНИК!$H$15+('ФАКТ ЧЕРН К1'!U23)*СПРАВОЧНИК!$I$15+('ФАКТ ЧЕРН К1'!V23)*СПРАВОЧНИК!$J$15)+СПРАВОЧНИК!$F$9*(('ФАКТ ЧИСТ К1'!B23)*СПРАВОЧНИК!$L$9+('ФАКТ ЧИСТ К1'!C23)*СПРАВОЧНИК!$M$9+('ФАКТ ЧИСТ К1'!D23)*СПРАВОЧНИК!$N$9+('ФАКТ ЧИСТ К1'!E23)*СПРАВОЧНИК!$O$9)+СПРАВОЧНИК!$F$10*(('ФАКТ ЧИСТ К1'!F23)*СПРАВОЧНИК!$L$10+('ФАКТ ЧИСТ К1'!G23)*СПРАВОЧНИК!$M$10+('ФАКТ ЧИСТ К1'!H23)*СПРАВОЧНИК!$N$10)+СПРАВОЧНИК!$F$11*(('ФАКТ ЧИСТ К1'!I23)*СПРАВОЧНИК!$L$11+('ФАКТ ЧИСТ К1'!J23)*СПРАВОЧНИК!$M$11+('ФАКТ ЧИСТ К1'!K23)*СПРАВОЧНИК!$N$11)+СПРАВОЧНИК!$F$12*(('ФАКТ ЧИСТ К1'!L23)*СПРАВОЧНИК!$L$12+('ФАКТ ЧИСТ К1'!M23)*СПРАВОЧНИК!$M$12+('ФАКТ ЧИСТ К1'!N23)*СПРАВОЧНИК!$N$12)+СПРАВОЧНИК!$F$13*(('ФАКТ ЧИСТ К1'!O23)*СПРАВОЧНИК!$L$13+('ФАКТ ЧИСТ К1'!P23)*СПРАВОЧНИК!$M$13+('ФАКТ ЧИСТ К1'!Q23)*СПРАВОЧНИК!$N$13)+СПРАВОЧНИК!$F$14*(('ФАКТ ЧИСТ К1'!R23)*СПРАВОЧНИК!$L$14+('ФАКТ ЧИСТ К1'!S23)*СПРАВОЧНИК!$M$14+('ФАКТ ЧИСТ К1'!T23)*СПРАВОЧНИК!$N$14)+СПРАВОЧНИК!$F$15*(('ФАКТ ЧИСТ К1'!U23)*СПРАВОЧНИК!$L$15+('ФАКТ ЧИСТ К1'!V23)*СПРАВОЧНИК!$M$15+('ФАКТ ЧИСТ К1'!W23)*СПРАВОЧНИК!$N$15)</f>
        <v>0</v>
      </c>
      <c r="AA32" s="18">
        <f t="shared" si="16"/>
        <v>46300</v>
      </c>
      <c r="AB32" s="37">
        <f>'ПЛАН ЧЕРН К1'!B23*СПРАВОЧНИК!$H$9+'ПЛАН ЧЕРН К1'!C23*СПРАВОЧНИК!$I$9+'ПЛАН ЧЕРН К1'!D23*СПРАВОЧНИК!$J$9+'ПЛАН ЧЕРН К1'!E23*СПРАВОЧНИК!$H$10+'ПЛАН ЧЕРН К1'!F23*СПРАВОЧНИК!$I$10+'ПЛАН ЧЕРН К1'!G23*СПРАВОЧНИК!$J$10+'ПЛАН ЧЕРН К1'!H23*СПРАВОЧНИК!$H$11+'ПЛАН ЧЕРН К1'!I23*СПРАВОЧНИК!$I$11+'ПЛАН ЧЕРН К1'!J23*СПРАВОЧНИК!$J$11+'ПЛАН ЧЕРН К1'!K23*СПРАВОЧНИК!$H$12+'ПЛАН ЧЕРН К1'!L23*СПРАВОЧНИК!$I$12+'ПЛАН ЧЕРН К1'!M23*СПРАВОЧНИК!$J$12+'ПЛАН ЧЕРН К1'!N23*СПРАВОЧНИК!$H$13+'ПЛАН ЧЕРН К1'!O23*СПРАВОЧНИК!$I$13+'ПЛАН ЧЕРН К1'!P23*СПРАВОЧНИК!$J$13+'ПЛАН ЧЕРН К1'!Q23*СПРАВОЧНИК!$H$14+'ПЛАН ЧЕРН К1'!R23*СПРАВОЧНИК!$I$14+'ПЛАН ЧЕРН К1'!S23*СПРАВОЧНИК!$J$14+'ПЛАН ЧЕРН К1'!T23*СПРАВОЧНИК!$H$15+'ПЛАН ЧЕРН К1'!U23*СПРАВОЧНИК!$I$15+'ПЛАН ЧЕРН К1'!V23*СПРАВОЧНИК!$J$15</f>
        <v>0</v>
      </c>
      <c r="AC32" s="40">
        <f>('ФАКТ ЧЕРН К1'!B23)*СПРАВОЧНИК!$H$9+('ФАКТ ЧЕРН К1'!C23)*СПРАВОЧНИК!$I$9+('ФАКТ ЧЕРН К1'!D23)*СПРАВОЧНИК!$J$9+('ФАКТ ЧЕРН К1'!E23)*СПРАВОЧНИК!$H$10+('ФАКТ ЧЕРН К1'!F23)*СПРАВОЧНИК!$I$10+('ФАКТ ЧЕРН К1'!G23)*СПРАВОЧНИК!$J$10+('ФАКТ ЧЕРН К1'!H23)*СПРАВОЧНИК!$H$11+('ФАКТ ЧЕРН К1'!I23)*СПРАВОЧНИК!$I$11+('ФАКТ ЧЕРН К1'!J23)*СПРАВОЧНИК!$J$11+('ФАКТ ЧЕРН К1'!K23)*СПРАВОЧНИК!$H$12+('ФАКТ ЧЕРН К1'!L23)*СПРАВОЧНИК!$I$12+('ФАКТ ЧЕРН К1'!M23)*СПРАВОЧНИК!$J$12+('ФАКТ ЧЕРН К1'!N23)*СПРАВОЧНИК!$H$13+('ФАКТ ЧЕРН К1'!O23)*СПРАВОЧНИК!$I$13+('ФАКТ ЧЕРН К1'!P23)*СПРАВОЧНИК!$J$13+('ФАКТ ЧЕРН К1'!Q23)*СПРАВОЧНИК!$H$14+('ФАКТ ЧЕРН К1'!R23)*СПРАВОЧНИК!$I$14+('ФАКТ ЧЕРН К1'!S23)*СПРАВОЧНИК!$J$14+('ФАКТ ЧЕРН К1'!T23)*СПРАВОЧНИК!$H$15+('ФАКТ ЧЕРН К1'!U23)*СПРАВОЧНИК!$I$15+('ФАКТ ЧЕРН К1'!V23)*СПРАВОЧНИК!$J$15</f>
        <v>0</v>
      </c>
      <c r="AG32" s="18">
        <f t="shared" si="17"/>
        <v>46300</v>
      </c>
      <c r="AH32" s="37">
        <f>'ПЛАН ЧИСТ К1'!B23*СПРАВОЧНИК!$L$9+'ПЛАН ЧИСТ К1'!C23*СПРАВОЧНИК!$M$9+'ПЛАН ЧИСТ К1'!D23*СПРАВОЧНИК!$N$9+'ПЛАН ЧИСТ К1'!E23*СПРАВОЧНИК!$O$9+'ПЛАН ЧИСТ К1'!F23*СПРАВОЧНИК!$L$10+'ПЛАН ЧИСТ К1'!G23*СПРАВОЧНИК!$M$10+'ПЛАН ЧИСТ К1'!H23*СПРАВОЧНИК!$N$10+'ПЛАН ЧИСТ К1'!I23*СПРАВОЧНИК!$L$11+'ПЛАН ЧИСТ К1'!J23*СПРАВОЧНИК!$M$11+'ПЛАН ЧИСТ К1'!K23*СПРАВОЧНИК!$N$11+'ПЛАН ЧИСТ К1'!L23*СПРАВОЧНИК!$L$12+'ПЛАН ЧИСТ К1'!M23*СПРАВОЧНИК!$M$12+'ПЛАН ЧИСТ К1'!N23*СПРАВОЧНИК!$N$12+'ПЛАН ЧИСТ К1'!O23*СПРАВОЧНИК!$L$13+'ПЛАН ЧИСТ К1'!P23*СПРАВОЧНИК!$M$13+'ПЛАН ЧИСТ К1'!Q23*СПРАВОЧНИК!$N$13+'ПЛАН ЧИСТ К1'!R23*СПРАВОЧНИК!$L$14+'ПЛАН ЧИСТ К1'!S23*СПРАВОЧНИК!$M$14+'ПЛАН ЧИСТ К1'!T23*СПРАВОЧНИК!$N$14+'ПЛАН ЧИСТ К1'!U23*СПРАВОЧНИК!$L$15+'ПЛАН ЧИСТ К1'!V23*СПРАВОЧНИК!$M$15+'ПЛАН ЧИСТ К1'!W23*СПРАВОЧНИК!$N$15</f>
        <v>0</v>
      </c>
      <c r="AI32" s="40">
        <f>('ФАКТ ЧИСТ К1'!B23)*СПРАВОЧНИК!$L$9+('ФАКТ ЧИСТ К1'!C23)*СПРАВОЧНИК!$M$9+('ФАКТ ЧИСТ К1'!D23)*СПРАВОЧНИК!$N$9+('ФАКТ ЧИСТ К1'!E23)*СПРАВОЧНИК!$O$9+('ФАКТ ЧИСТ К1'!F23)*СПРАВОЧНИК!$L$10+('ФАКТ ЧИСТ К1'!G23)*СПРАВОЧНИК!$M$10+('ФАКТ ЧИСТ К1'!H23)*СПРАВОЧНИК!$N$10+('ФАКТ ЧИСТ К1'!I23)*СПРАВОЧНИК!$L$11+('ФАКТ ЧИСТ К1'!J23)*СПРАВОЧНИК!$M$11+('ФАКТ ЧИСТ К1'!K23)*СПРАВОЧНИК!$N$11+('ФАКТ ЧИСТ К1'!L23)*СПРАВОЧНИК!$L$12+('ФАКТ ЧИСТ К1'!M23)*СПРАВОЧНИК!$M$12+('ФАКТ ЧИСТ К1'!N23)*СПРАВОЧНИК!$N$12+('ФАКТ ЧИСТ К1'!O23)*СПРАВОЧНИК!$L$13+('ФАКТ ЧИСТ К1'!P23)*СПРАВОЧНИК!$M$13+('ФАКТ ЧИСТ К1'!Q23)*СПРАВОЧНИК!$N$13+('ФАКТ ЧИСТ К1'!R23)*СПРАВОЧНИК!$L$14+('ФАКТ ЧИСТ К1'!S23)*СПРАВОЧНИК!$M$14+('ФАКТ ЧИСТ К1'!T23)*СПРАВОЧНИК!$N$14+('ФАКТ ЧИСТ К1'!U23)*СПРАВОЧНИК!$L$15+('ФАКТ ЧИСТ К1'!V23)*СПРАВОЧНИК!$M$15+('ФАКТ ЧИСТ К1'!W23)*СПРАВОЧНИК!$N$15</f>
        <v>0</v>
      </c>
      <c r="AM32" s="18">
        <f t="shared" si="18"/>
        <v>46300</v>
      </c>
      <c r="AN32" s="37">
        <f>СПРАВОЧНИК!$E$9*('ПЛАН ЧЕРН К2'!B23*СПРАВОЧНИК!$H$9+'ПЛАН ЧЕРН К2'!C23*СПРАВОЧНИК!$I$9+'ПЛАН ЧЕРН К2'!D23*СПРАВОЧНИК!$J$9)+СПРАВОЧНИК!$E$10*('ПЛАН ЧЕРН К2'!E23*СПРАВОЧНИК!$H$10+'ПЛАН ЧЕРН К2'!F23*СПРАВОЧНИК!$I$10+'ПЛАН ЧЕРН К2'!G23*СПРАВОЧНИК!$J$10)+СПРАВОЧНИК!$E$11*('ПЛАН ЧЕРН К2'!H23*СПРАВОЧНИК!$H$11+'ПЛАН ЧЕРН К2'!I23*СПРАВОЧНИК!$I$11+'ПЛАН ЧЕРН К2'!J23*СПРАВОЧНИК!$J$11)+СПРАВОЧНИК!$E$12*('ПЛАН ЧЕРН К2'!K23*СПРАВОЧНИК!$H$12+'ПЛАН ЧЕРН К2'!L23*СПРАВОЧНИК!$I$12+'ПЛАН ЧЕРН К2'!M23*СПРАВОЧНИК!$J$12)+СПРАВОЧНИК!$E$13*('ПЛАН ЧЕРН К2'!N23*СПРАВОЧНИК!$H$13+'ПЛАН ЧЕРН К2'!O23*СПРАВОЧНИК!$I$13+'ПЛАН ЧЕРН К2'!P23*СПРАВОЧНИК!$J$13)+СПРАВОЧНИК!$E$14*('ПЛАН ЧЕРН К2'!Q23*СПРАВОЧНИК!$H$14+'ПЛАН ЧЕРН К2'!R23*СПРАВОЧНИК!$I$14+'ПЛАН ЧЕРН К2'!S23*СПРАВОЧНИК!$J$14)+СПРАВОЧНИК!$E$15*('ПЛАН ЧЕРН К2'!T23*СПРАВОЧНИК!$H$15+'ПЛАН ЧЕРН К2'!U23*СПРАВОЧНИК!$I$15+'ПЛАН ЧЕРН К2'!V23*СПРАВОЧНИК!$J$15)+СПРАВОЧНИК!$F$9*('ПЛАН ЧИСТ К2'!B23*СПРАВОЧНИК!$L$9+'ПЛАН ЧИСТ К2'!C23*СПРАВОЧНИК!$M$9+'ПЛАН ЧИСТ К2'!D23*СПРАВОЧНИК!$N$9+'ПЛАН ЧИСТ К2'!E23*СПРАВОЧНИК!$O$9)+СПРАВОЧНИК!$F$10*('ПЛАН ЧИСТ К2'!F23*СПРАВОЧНИК!$L$10+'ПЛАН ЧИСТ К2'!G23*СПРАВОЧНИК!$M$10+'ПЛАН ЧИСТ К2'!H23*СПРАВОЧНИК!$N$10)+СПРАВОЧНИК!$F$11*('ПЛАН ЧИСТ К2'!I23*СПРАВОЧНИК!$L$11+'ПЛАН ЧИСТ К2'!J23*СПРАВОЧНИК!$M$11+'ПЛАН ЧИСТ К2'!K23*СПРАВОЧНИК!$N$11)+СПРАВОЧНИК!$F$12*('ПЛАН ЧИСТ К2'!L23*СПРАВОЧНИК!$L$12+'ПЛАН ЧИСТ К2'!M23*СПРАВОЧНИК!$M$12+'ПЛАН ЧИСТ К2'!N23*СПРАВОЧНИК!$N$12)+СПРАВОЧНИК!$F$13*('ПЛАН ЧИСТ К2'!O23*СПРАВОЧНИК!$L$13+'ПЛАН ЧИСТ К2'!P23*СПРАВОЧНИК!$M$13+'ПЛАН ЧИСТ К2'!Q23*СПРАВОЧНИК!$N$13)+СПРАВОЧНИК!$F$14*('ПЛАН ЧИСТ К2'!R23*СПРАВОЧНИК!$L$14+'ПЛАН ЧИСТ К2'!S23*СПРАВОЧНИК!$M$14+'ПЛАН ЧИСТ К2'!T23*СПРАВОЧНИК!$N$14)+СПРАВОЧНИК!$F$15*('ПЛАН ЧИСТ К2'!U23*СПРАВОЧНИК!$L$15+'ПЛАН ЧИСТ К2'!V23*СПРАВОЧНИК!$M$15+'ПЛАН ЧИСТ К2'!W23*СПРАВОЧНИК!$N$15)</f>
        <v>0</v>
      </c>
      <c r="AO32" s="40">
        <f>СПРАВОЧНИК!$E$9*(('ФАКТ ЧЕРН К2'!B23)*СПРАВОЧНИК!$H$9+('ФАКТ ЧЕРН К2'!C23)*СПРАВОЧНИК!$I$9+('ФАКТ ЧЕРН К2'!D23)*СПРАВОЧНИК!$J$9)+СПРАВОЧНИК!$E$10*(('ФАКТ ЧЕРН К2'!E23)*СПРАВОЧНИК!$H$10+('ФАКТ ЧЕРН К2'!F23)*СПРАВОЧНИК!$I$10+('ФАКТ ЧЕРН К2'!G23)*СПРАВОЧНИК!$J$10)+СПРАВОЧНИК!$E$11*(('ФАКТ ЧЕРН К2'!H23)*СПРАВОЧНИК!$H$11+('ФАКТ ЧЕРН К2'!I23)*СПРАВОЧНИК!$I$11+('ФАКТ ЧЕРН К2'!J23)*СПРАВОЧНИК!$J$11)+СПРАВОЧНИК!$E$12*(('ФАКТ ЧЕРН К2'!K23)*СПРАВОЧНИК!$H$12+('ФАКТ ЧЕРН К2'!L23)*СПРАВОЧНИК!$I$12+('ФАКТ ЧЕРН К2'!M23)*СПРАВОЧНИК!$J$12)+СПРАВОЧНИК!$E$13*(('ФАКТ ЧЕРН К2'!N23)*СПРАВОЧНИК!$H$13+('ФАКТ ЧЕРН К2'!O23)*СПРАВОЧНИК!$I$13+('ФАКТ ЧЕРН К2'!P23)*СПРАВОЧНИК!$J$13)+СПРАВОЧНИК!$E$14*(('ФАКТ ЧЕРН К2'!Q23)*СПРАВОЧНИК!$H$14+('ФАКТ ЧЕРН К2'!R23)*СПРАВОЧНИК!$I$14+('ФАКТ ЧЕРН К2'!S23)*СПРАВОЧНИК!$J$14)+СПРАВОЧНИК!$E$15*(('ФАКТ ЧЕРН К2'!T23)*СПРАВОЧНИК!$H$15+('ФАКТ ЧЕРН К2'!U23)*СПРАВОЧНИК!$I$15+('ФАКТ ЧЕРН К2'!V23)*СПРАВОЧНИК!$J$15)+СПРАВОЧНИК!$F$9*(('ФАКТ ЧИСТ К2'!B23)*СПРАВОЧНИК!$L$9+('ФАКТ ЧИСТ К2'!C23)*СПРАВОЧНИК!$M$9+('ФАКТ ЧИСТ К2'!D23)*СПРАВОЧНИК!$N$9+('ФАКТ ЧИСТ К2'!E23)*СПРАВОЧНИК!$O$9)+СПРАВОЧНИК!$F$10*(('ФАКТ ЧИСТ К2'!F23)*СПРАВОЧНИК!$L$10+('ФАКТ ЧИСТ К2'!G23)*СПРАВОЧНИК!$M$10+('ФАКТ ЧИСТ К2'!H23)*СПРАВОЧНИК!$N$10)+СПРАВОЧНИК!$F$11*(('ФАКТ ЧИСТ К2'!I23)*СПРАВОЧНИК!$L$11+('ФАКТ ЧИСТ К2'!J23)*СПРАВОЧНИК!$M$11+('ФАКТ ЧИСТ К2'!K23)*СПРАВОЧНИК!$N$11)+СПРАВОЧНИК!$F$12*(('ФАКТ ЧИСТ К2'!L23)*СПРАВОЧНИК!$L$12+('ФАКТ ЧИСТ К2'!M23)*СПРАВОЧНИК!$M$12+('ФАКТ ЧИСТ К2'!N23)*СПРАВОЧНИК!$N$12)+СПРАВОЧНИК!$F$13*(('ФАКТ ЧИСТ К2'!O23)*СПРАВОЧНИК!$L$13+('ФАКТ ЧИСТ К2'!P23)*СПРАВОЧНИК!$M$13+('ФАКТ ЧИСТ К2'!Q23)*СПРАВОЧНИК!$N$13)+СПРАВОЧНИК!$F$14*(('ФАКТ ЧИСТ К2'!R23)*СПРАВОЧНИК!$L$14+('ФАКТ ЧИСТ К2'!S23)*СПРАВОЧНИК!$M$14+('ФАКТ ЧИСТ К2'!T23)*СПРАВОЧНИК!$N$14)+СПРАВОЧНИК!$F$15*(('ФАКТ ЧИСТ К2'!U23)*СПРАВОЧНИК!$L$15+('ФАКТ ЧИСТ К2'!V23)*СПРАВОЧНИК!$M$15+('ФАКТ ЧИСТ К2'!W23)*СПРАВОЧНИК!$N$15)</f>
        <v>0</v>
      </c>
      <c r="AS32" s="18">
        <f t="shared" si="19"/>
        <v>46300</v>
      </c>
      <c r="AT32" s="37">
        <f>'ПЛАН ЧЕРН К2'!B23*СПРАВОЧНИК!$H$9+'ПЛАН ЧЕРН К2'!C23*СПРАВОЧНИК!$I$9+'ПЛАН ЧЕРН К2'!D23*СПРАВОЧНИК!$J$9+'ПЛАН ЧЕРН К2'!E23*СПРАВОЧНИК!$H$10+'ПЛАН ЧЕРН К2'!F23*СПРАВОЧНИК!$I$10+'ПЛАН ЧЕРН К2'!G23*СПРАВОЧНИК!$J$10+'ПЛАН ЧЕРН К2'!H23*СПРАВОЧНИК!$H$11+'ПЛАН ЧЕРН К2'!I23*СПРАВОЧНИК!$I$11+'ПЛАН ЧЕРН К2'!J23*СПРАВОЧНИК!$J$11+'ПЛАН ЧЕРН К2'!K23*СПРАВОЧНИК!$H$12+'ПЛАН ЧЕРН К2'!L23*СПРАВОЧНИК!$I$12+'ПЛАН ЧЕРН К2'!M23*СПРАВОЧНИК!$J$12+'ПЛАН ЧЕРН К2'!N23*СПРАВОЧНИК!$H$13+'ПЛАН ЧЕРН К2'!O23*СПРАВОЧНИК!$I$13+'ПЛАН ЧЕРН К2'!P23*СПРАВОЧНИК!$J$13+'ПЛАН ЧЕРН К2'!Q23*СПРАВОЧНИК!$H$14+'ПЛАН ЧЕРН К2'!R23*СПРАВОЧНИК!$I$14+'ПЛАН ЧЕРН К2'!S23*СПРАВОЧНИК!$J$14+'ПЛАН ЧЕРН К2'!T23*СПРАВОЧНИК!$H$15+'ПЛАН ЧЕРН К2'!U23*СПРАВОЧНИК!$I$15+'ПЛАН ЧЕРН К2'!V23*СПРАВОЧНИК!$J$15</f>
        <v>0</v>
      </c>
      <c r="AU32" s="40">
        <f>('ФАКТ ЧЕРН К2'!B23)*СПРАВОЧНИК!$H$9+('ФАКТ ЧЕРН К2'!C23)*СПРАВОЧНИК!$I$9+('ФАКТ ЧЕРН К2'!D23)*СПРАВОЧНИК!$J$9+('ФАКТ ЧЕРН К2'!E23)*СПРАВОЧНИК!$H$10+('ФАКТ ЧЕРН К2'!F23)*СПРАВОЧНИК!$I$10+('ФАКТ ЧЕРН К2'!G23)*СПРАВОЧНИК!$J$10+('ФАКТ ЧЕРН К2'!H23)*СПРАВОЧНИК!$H$11+('ФАКТ ЧЕРН К2'!I23)*СПРАВОЧНИК!$I$11+('ФАКТ ЧЕРН К2'!J23)*СПРАВОЧНИК!$J$11+('ФАКТ ЧЕРН К2'!K23)*СПРАВОЧНИК!$H$12+('ФАКТ ЧЕРН К2'!L23)*СПРАВОЧНИК!$I$12+('ФАКТ ЧЕРН К2'!M23)*СПРАВОЧНИК!$J$12+('ФАКТ ЧЕРН К2'!N23)*СПРАВОЧНИК!$H$13+('ФАКТ ЧЕРН К2'!O23)*СПРАВОЧНИК!$I$13+('ФАКТ ЧЕРН К2'!P23)*СПРАВОЧНИК!$J$13+('ФАКТ ЧЕРН К2'!Q23)*СПРАВОЧНИК!$H$14+('ФАКТ ЧЕРН К2'!R23)*СПРАВОЧНИК!$I$14+('ФАКТ ЧЕРН К2'!S23)*СПРАВОЧНИК!$J$14+('ФАКТ ЧЕРН К2'!T23)*СПРАВОЧНИК!$H$15+('ФАКТ ЧЕРН К2'!U23)*СПРАВОЧНИК!$I$15+('ФАКТ ЧЕРН К2'!V23)*СПРАВОЧНИК!$J$15</f>
        <v>0</v>
      </c>
      <c r="AY32" s="18">
        <f t="shared" si="20"/>
        <v>46300</v>
      </c>
      <c r="AZ32" s="37">
        <f>'ПЛАН ЧИСТ К2'!B23*СПРАВОЧНИК!$L$9+'ПЛАН ЧИСТ К2'!C23*СПРАВОЧНИК!$M$9+'ПЛАН ЧИСТ К2'!D23*СПРАВОЧНИК!$N$9+'ПЛАН ЧИСТ К2'!E23*СПРАВОЧНИК!$O$9+'ПЛАН ЧИСТ К2'!F23*СПРАВОЧНИК!$L$10+'ПЛАН ЧИСТ К2'!G23*СПРАВОЧНИК!$M$10+'ПЛАН ЧИСТ К2'!H23*СПРАВОЧНИК!$N$10+'ПЛАН ЧИСТ К2'!I23*СПРАВОЧНИК!$L$11+'ПЛАН ЧИСТ К2'!J23*СПРАВОЧНИК!$M$11+'ПЛАН ЧИСТ К2'!K23*СПРАВОЧНИК!$N$11+'ПЛАН ЧИСТ К2'!L23*СПРАВОЧНИК!$L$12+'ПЛАН ЧИСТ К2'!M23*СПРАВОЧНИК!$M$12+'ПЛАН ЧИСТ К2'!N23*СПРАВОЧНИК!$N$12+'ПЛАН ЧИСТ К2'!O23*СПРАВОЧНИК!$L$13+'ПЛАН ЧИСТ К2'!P23*СПРАВОЧНИК!$M$13+'ПЛАН ЧИСТ К2'!Q23*СПРАВОЧНИК!$N$13+'ПЛАН ЧИСТ К2'!R23*СПРАВОЧНИК!$L$14+'ПЛАН ЧИСТ К2'!S23*СПРАВОЧНИК!$M$14+'ПЛАН ЧИСТ К2'!T23*СПРАВОЧНИК!$N$14+'ПЛАН ЧИСТ К2'!U23*СПРАВОЧНИК!$L$15+'ПЛАН ЧИСТ К2'!V23*СПРАВОЧНИК!$M$15+'ПЛАН ЧИСТ К2'!W23*СПРАВОЧНИК!$N$15</f>
        <v>0</v>
      </c>
      <c r="BA32" s="40">
        <f>('ФАКТ ЧИСТ К2'!B23)*СПРАВОЧНИК!$L$9+('ФАКТ ЧИСТ К2'!C23)*СПРАВОЧНИК!$M$9+('ФАКТ ЧИСТ К2'!D23)*СПРАВОЧНИК!$N$9+('ФАКТ ЧИСТ К2'!E23)*СПРАВОЧНИК!$O$9+('ФАКТ ЧИСТ К2'!F23)*СПРАВОЧНИК!$L$10+('ФАКТ ЧИСТ К2'!G23)*СПРАВОЧНИК!$M$10+('ФАКТ ЧИСТ К2'!H23)*СПРАВОЧНИК!$N$10+('ФАКТ ЧИСТ К2'!I23)*СПРАВОЧНИК!$L$11+('ФАКТ ЧИСТ К2'!J23)*СПРАВОЧНИК!$M$11+('ФАКТ ЧИСТ К2'!K23)*СПРАВОЧНИК!$N$11+('ФАКТ ЧИСТ К2'!L23)*СПРАВОЧНИК!$L$12+('ФАКТ ЧИСТ К2'!M23)*СПРАВОЧНИК!$M$12+('ФАКТ ЧИСТ К2'!N23)*СПРАВОЧНИК!$N$12+('ФАКТ ЧИСТ К2'!O23)*СПРАВОЧНИК!$L$13+('ФАКТ ЧИСТ К2'!P23)*СПРАВОЧНИК!$M$13+('ФАКТ ЧИСТ К2'!Q23)*СПРАВОЧНИК!$N$13+('ФАКТ ЧИСТ К2'!R23)*СПРАВОЧНИК!$L$14+('ФАКТ ЧИСТ К2'!S23)*СПРАВОЧНИК!$M$14+('ФАКТ ЧИСТ К2'!T23)*СПРАВОЧНИК!$N$14+('ФАКТ ЧИСТ К2'!U23)*СПРАВОЧНИК!$L$15+('ФАКТ ЧИСТ К2'!V23)*СПРАВОЧНИК!$M$15+('ФАКТ ЧИСТ К2'!W23)*СПРАВОЧНИК!$N$15</f>
        <v>0</v>
      </c>
      <c r="BE32" s="18">
        <f t="shared" si="21"/>
        <v>46300</v>
      </c>
      <c r="BF32" s="37">
        <f>СПРАВОЧНИК!$E$9*('ПЛАН ЧЕРН К3'!B23*СПРАВОЧНИК!$H$9+'ПЛАН ЧЕРН К3'!C23*СПРАВОЧНИК!$I$9+'ПЛАН ЧЕРН К3'!D23*СПРАВОЧНИК!$J$9)+СПРАВОЧНИК!$E$10*('ПЛАН ЧЕРН К3'!E23*СПРАВОЧНИК!$H$10+'ПЛАН ЧЕРН К3'!F23*СПРАВОЧНИК!$I$10+'ПЛАН ЧЕРН К3'!G23*СПРАВОЧНИК!$J$10)+СПРАВОЧНИК!$E$11*('ПЛАН ЧЕРН К3'!H23*СПРАВОЧНИК!$H$11+'ПЛАН ЧЕРН К3'!I23*СПРАВОЧНИК!$I$11+'ПЛАН ЧЕРН К3'!J23*СПРАВОЧНИК!$J$11)+СПРАВОЧНИК!$E$12*('ПЛАН ЧЕРН К3'!K23*СПРАВОЧНИК!$H$12+'ПЛАН ЧЕРН К3'!L23*СПРАВОЧНИК!$I$12+'ПЛАН ЧЕРН К3'!M23*СПРАВОЧНИК!$J$12)+СПРАВОЧНИК!$E$13*('ПЛАН ЧЕРН К3'!N23*СПРАВОЧНИК!$H$13+'ПЛАН ЧЕРН К3'!O23*СПРАВОЧНИК!$I$13+'ПЛАН ЧЕРН К3'!P23*СПРАВОЧНИК!$J$13)+СПРАВОЧНИК!$E$14*('ПЛАН ЧЕРН К3'!Q23*СПРАВОЧНИК!$H$14+'ПЛАН ЧЕРН К3'!R23*СПРАВОЧНИК!$I$14+'ПЛАН ЧЕРН К3'!S23*СПРАВОЧНИК!$J$14)+СПРАВОЧНИК!$E$15*('ПЛАН ЧЕРН К3'!T23*СПРАВОЧНИК!$H$15+'ПЛАН ЧЕРН К3'!U23*СПРАВОЧНИК!$I$15+'ПЛАН ЧЕРН К3'!V23*СПРАВОЧНИК!$J$15)+СПРАВОЧНИК!$F$9*('ПЛАН ЧИСТ К3'!B23*СПРАВОЧНИК!$L$9+'ПЛАН ЧИСТ К3'!C23*СПРАВОЧНИК!$M$9+'ПЛАН ЧИСТ К3'!D23*СПРАВОЧНИК!$N$9+'ПЛАН ЧИСТ К3'!E23*СПРАВОЧНИК!$O$9)+СПРАВОЧНИК!$F$10*('ПЛАН ЧИСТ К3'!F23*СПРАВОЧНИК!$L$10+'ПЛАН ЧИСТ К3'!G23*СПРАВОЧНИК!$M$10+'ПЛАН ЧИСТ К3'!H23*СПРАВОЧНИК!$N$10)+СПРАВОЧНИК!$F$11*('ПЛАН ЧИСТ К3'!I23*СПРАВОЧНИК!$L$11+'ПЛАН ЧИСТ К3'!J23*СПРАВОЧНИК!$M$11+'ПЛАН ЧИСТ К3'!K23*СПРАВОЧНИК!$N$11)+СПРАВОЧНИК!$F$12*('ПЛАН ЧИСТ К3'!L23*СПРАВОЧНИК!$L$12+'ПЛАН ЧИСТ К3'!M23*СПРАВОЧНИК!$M$12+'ПЛАН ЧИСТ К3'!N23*СПРАВОЧНИК!$N$12)+СПРАВОЧНИК!$F$13*('ПЛАН ЧИСТ К3'!O23*СПРАВОЧНИК!$L$13+'ПЛАН ЧИСТ К3'!P23*СПРАВОЧНИК!$M$13+'ПЛАН ЧИСТ К3'!Q23*СПРАВОЧНИК!$N$13)+СПРАВОЧНИК!$F$14*('ПЛАН ЧИСТ К3'!R23*СПРАВОЧНИК!$L$14+'ПЛАН ЧИСТ К3'!S23*СПРАВОЧНИК!$M$14+'ПЛАН ЧИСТ К3'!T23*СПРАВОЧНИК!$N$14)+СПРАВОЧНИК!$F$15*('ПЛАН ЧИСТ К3'!U23*СПРАВОЧНИК!$L$15+'ПЛАН ЧИСТ К3'!V23*СПРАВОЧНИК!$M$15+'ПЛАН ЧИСТ К3'!W23*СПРАВОЧНИК!$N$15)</f>
        <v>0</v>
      </c>
      <c r="BG32" s="40">
        <f>СПРАВОЧНИК!$E$9*(('ФАКТ ЧЕРН К3'!B23)*СПРАВОЧНИК!$H$9+('ФАКТ ЧЕРН К3'!C23)*СПРАВОЧНИК!$I$9+('ФАКТ ЧЕРН К3'!D23)*СПРАВОЧНИК!$J$9)+СПРАВОЧНИК!$E$10*(('ФАКТ ЧЕРН К3'!E23)*СПРАВОЧНИК!$H$10+('ФАКТ ЧЕРН К3'!F23)*СПРАВОЧНИК!$I$10+('ФАКТ ЧЕРН К3'!G23)*СПРАВОЧНИК!$J$10)+СПРАВОЧНИК!$E$11*(('ФАКТ ЧЕРН К3'!H23)*СПРАВОЧНИК!$H$11+('ФАКТ ЧЕРН К3'!I23)*СПРАВОЧНИК!$I$11+('ФАКТ ЧЕРН К3'!J23)*СПРАВОЧНИК!$J$11)+СПРАВОЧНИК!$E$12*(('ФАКТ ЧЕРН К3'!K23)*СПРАВОЧНИК!$H$12+('ФАКТ ЧЕРН К3'!L23)*СПРАВОЧНИК!$I$12+('ФАКТ ЧЕРН К3'!M23)*СПРАВОЧНИК!$J$12)+СПРАВОЧНИК!$E$13*(('ФАКТ ЧЕРН К3'!N23)*СПРАВОЧНИК!$H$13+('ФАКТ ЧЕРН К3'!O23)*СПРАВОЧНИК!$I$13+('ФАКТ ЧЕРН К3'!P23)*СПРАВОЧНИК!$J$13)+СПРАВОЧНИК!$E$14*(('ФАКТ ЧЕРН К3'!Q23)*СПРАВОЧНИК!$H$14+('ФАКТ ЧЕРН К3'!R23)*СПРАВОЧНИК!$I$14+('ФАКТ ЧЕРН К3'!S23)*СПРАВОЧНИК!$J$14)+СПРАВОЧНИК!$E$15*(('ФАКТ ЧЕРН К3'!T23)*СПРАВОЧНИК!$H$15+('ФАКТ ЧЕРН К3'!U23)*СПРАВОЧНИК!$I$15+('ФАКТ ЧЕРН К3'!V23)*СПРАВОЧНИК!$J$15)+СПРАВОЧНИК!$F$9*(('ФАКТ ЧИСТ К3'!B23)*СПРАВОЧНИК!$L$9+('ФАКТ ЧИСТ К3'!C23)*СПРАВОЧНИК!$M$9+('ФАКТ ЧИСТ К3'!D23)*СПРАВОЧНИК!$N$9+('ФАКТ ЧИСТ К3'!E23)*СПРАВОЧНИК!$O$9)+СПРАВОЧНИК!$F$10*(('ФАКТ ЧИСТ К3'!F23)*СПРАВОЧНИК!$L$10+('ФАКТ ЧИСТ К3'!G23)*СПРАВОЧНИК!$M$10+('ФАКТ ЧИСТ К3'!H23)*СПРАВОЧНИК!$N$10)+СПРАВОЧНИК!$F$11*(('ФАКТ ЧИСТ К3'!I23)*СПРАВОЧНИК!$L$11+('ФАКТ ЧИСТ К3'!J23)*СПРАВОЧНИК!$M$11+('ФАКТ ЧИСТ К3'!K23)*СПРАВОЧНИК!$N$11)+СПРАВОЧНИК!$F$12*(('ФАКТ ЧИСТ К3'!L23)*СПРАВОЧНИК!$L$12+('ФАКТ ЧИСТ К3'!M23)*СПРАВОЧНИК!$M$12+('ФАКТ ЧИСТ К3'!N23)*СПРАВОЧНИК!$N$12)+СПРАВОЧНИК!$F$13*(('ФАКТ ЧИСТ К3'!O23)*СПРАВОЧНИК!$L$13+('ФАКТ ЧИСТ К3'!P23)*СПРАВОЧНИК!$M$13+('ФАКТ ЧИСТ К3'!Q23)*СПРАВОЧНИК!$N$13)+СПРАВОЧНИК!$F$14*(('ФАКТ ЧИСТ К3'!R23)*СПРАВОЧНИК!$L$14+('ФАКТ ЧИСТ К3'!S23)*СПРАВОЧНИК!$M$14+('ФАКТ ЧИСТ К3'!T23)*СПРАВОЧНИК!$N$14)+СПРАВОЧНИК!$F$15*(('ФАКТ ЧИСТ К3'!U23)*СПРАВОЧНИК!$L$15+('ФАКТ ЧИСТ К3'!V23)*СПРАВОЧНИК!$M$15+('ФАКТ ЧИСТ К3'!W23)*СПРАВОЧНИК!$N$15)</f>
        <v>0</v>
      </c>
      <c r="BK32" s="18">
        <f t="shared" si="22"/>
        <v>46300</v>
      </c>
      <c r="BL32" s="37">
        <f>'ПЛАН ЧЕРН К3'!B23*СПРАВОЧНИК!$H$9+'ПЛАН ЧЕРН К3'!C23*СПРАВОЧНИК!$I$9+'ПЛАН ЧЕРН К3'!D23*СПРАВОЧНИК!$J$9+'ПЛАН ЧЕРН К3'!E23*СПРАВОЧНИК!$H$10+'ПЛАН ЧЕРН К3'!F23*СПРАВОЧНИК!$I$10+'ПЛАН ЧЕРН К3'!G23*СПРАВОЧНИК!$J$10+'ПЛАН ЧЕРН К3'!H23*СПРАВОЧНИК!$H$11+'ПЛАН ЧЕРН К3'!I23*СПРАВОЧНИК!$I$11+'ПЛАН ЧЕРН К3'!J23*СПРАВОЧНИК!$J$11+'ПЛАН ЧЕРН К3'!K23*СПРАВОЧНИК!$H$12+'ПЛАН ЧЕРН К3'!L23*СПРАВОЧНИК!$I$12+'ПЛАН ЧЕРН К3'!M23*СПРАВОЧНИК!$J$12+'ПЛАН ЧЕРН К3'!N23*СПРАВОЧНИК!$H$13+'ПЛАН ЧЕРН К3'!O23*СПРАВОЧНИК!$I$13+'ПЛАН ЧЕРН К3'!P23*СПРАВОЧНИК!$J$13+'ПЛАН ЧЕРН К3'!Q23*СПРАВОЧНИК!$H$14+'ПЛАН ЧЕРН К3'!R23*СПРАВОЧНИК!$I$14+'ПЛАН ЧЕРН К3'!S23*СПРАВОЧНИК!$J$14+'ПЛАН ЧЕРН К3'!T23*СПРАВОЧНИК!$H$15+'ПЛАН ЧЕРН К3'!U23*СПРАВОЧНИК!$I$15+'ПЛАН ЧЕРН К3'!V23*СПРАВОЧНИК!$J$15</f>
        <v>0</v>
      </c>
      <c r="BM32" s="40">
        <f>('ФАКТ ЧЕРН К3'!B23)*СПРАВОЧНИК!$H$9+('ФАКТ ЧЕРН К3'!C23)*СПРАВОЧНИК!$I$9+('ФАКТ ЧЕРН К3'!D23)*СПРАВОЧНИК!$J$9+('ФАКТ ЧЕРН К3'!E23)*СПРАВОЧНИК!$H$10+('ФАКТ ЧЕРН К3'!F23)*СПРАВОЧНИК!$I$10+('ФАКТ ЧЕРН К3'!G23)*СПРАВОЧНИК!$J$10+('ФАКТ ЧЕРН К3'!H23)*СПРАВОЧНИК!$H$11+('ФАКТ ЧЕРН К3'!I23)*СПРАВОЧНИК!$I$11+('ФАКТ ЧЕРН К3'!J23)*СПРАВОЧНИК!$J$11+('ФАКТ ЧЕРН К3'!K23)*СПРАВОЧНИК!$H$12+('ФАКТ ЧЕРН К3'!L23)*СПРАВОЧНИК!$I$12+('ФАКТ ЧЕРН К3'!M23)*СПРАВОЧНИК!$J$12+('ФАКТ ЧЕРН К3'!N23)*СПРАВОЧНИК!$H$13+('ФАКТ ЧЕРН К3'!O23)*СПРАВОЧНИК!$I$13+('ФАКТ ЧЕРН К3'!P23)*СПРАВОЧНИК!$J$13+('ФАКТ ЧЕРН К3'!Q23)*СПРАВОЧНИК!$H$14+('ФАКТ ЧЕРН К3'!R23)*СПРАВОЧНИК!$I$14+('ФАКТ ЧЕРН К3'!S23)*СПРАВОЧНИК!$J$14+('ФАКТ ЧЕРН К3'!T23)*СПРАВОЧНИК!$H$15+('ФАКТ ЧЕРН К3'!U23)*СПРАВОЧНИК!$I$15+('ФАКТ ЧЕРН К3'!V23)*СПРАВОЧНИК!$J$15</f>
        <v>0</v>
      </c>
      <c r="BQ32" s="18">
        <f t="shared" si="23"/>
        <v>46300</v>
      </c>
      <c r="BR32" s="37">
        <f>'ПЛАН ЧИСТ К3'!B23*СПРАВОЧНИК!$L$9+'ПЛАН ЧИСТ К3'!C23*СПРАВОЧНИК!$M$9+'ПЛАН ЧИСТ К3'!D23*СПРАВОЧНИК!$N$9+'ПЛАН ЧИСТ К3'!E23*СПРАВОЧНИК!$O$9+'ПЛАН ЧИСТ К3'!F23*СПРАВОЧНИК!$L$10+'ПЛАН ЧИСТ К3'!G23*СПРАВОЧНИК!$M$10+'ПЛАН ЧИСТ К3'!H23*СПРАВОЧНИК!$N$10+'ПЛАН ЧИСТ К3'!I23*СПРАВОЧНИК!$L$11+'ПЛАН ЧИСТ К3'!J23*СПРАВОЧНИК!$M$11+'ПЛАН ЧИСТ К3'!K23*СПРАВОЧНИК!$N$11+'ПЛАН ЧИСТ К3'!L23*СПРАВОЧНИК!$L$12+'ПЛАН ЧИСТ К3'!M23*СПРАВОЧНИК!$M$12+'ПЛАН ЧИСТ К3'!N23*СПРАВОЧНИК!$N$12+'ПЛАН ЧИСТ К3'!O23*СПРАВОЧНИК!$L$13+'ПЛАН ЧИСТ К3'!P23*СПРАВОЧНИК!$M$13+'ПЛАН ЧИСТ К3'!Q23*СПРАВОЧНИК!$N$13+'ПЛАН ЧИСТ К3'!R23*СПРАВОЧНИК!$L$14+'ПЛАН ЧИСТ К3'!S23*СПРАВОЧНИК!$M$14+'ПЛАН ЧИСТ К3'!T23*СПРАВОЧНИК!$N$14+'ПЛАН ЧИСТ К3'!U23*СПРАВОЧНИК!$L$15+'ПЛАН ЧИСТ К3'!V23*СПРАВОЧНИК!$M$15+'ПЛАН ЧИСТ К3'!W23*СПРАВОЧНИК!$N$15</f>
        <v>0</v>
      </c>
      <c r="BS32" s="40">
        <f>('ФАКТ ЧИСТ К3'!B23)*СПРАВОЧНИК!$L$9+('ФАКТ ЧИСТ К3'!C23)*СПРАВОЧНИК!$M$9+('ФАКТ ЧИСТ К3'!D23)*СПРАВОЧНИК!$N$9+('ФАКТ ЧИСТ К3'!E23)*СПРАВОЧНИК!$O$9+('ФАКТ ЧИСТ К3'!F23)*СПРАВОЧНИК!$L$10+('ФАКТ ЧИСТ К3'!G23)*СПРАВОЧНИК!$M$10+('ФАКТ ЧИСТ К3'!H23)*СПРАВОЧНИК!$N$10+('ФАКТ ЧИСТ К3'!I23)*СПРАВОЧНИК!$L$11+('ФАКТ ЧИСТ К3'!J23)*СПРАВОЧНИК!$M$11+('ФАКТ ЧИСТ К3'!K23)*СПРАВОЧНИК!$N$11+('ФАКТ ЧИСТ К3'!L23)*СПРАВОЧНИК!$L$12+('ФАКТ ЧИСТ К3'!M23)*СПРАВОЧНИК!$M$12+('ФАКТ ЧИСТ К3'!N23)*СПРАВОЧНИК!$N$12+('ФАКТ ЧИСТ К3'!O23)*СПРАВОЧНИК!$L$13+('ФАКТ ЧИСТ К3'!P23)*СПРАВОЧНИК!$M$13+('ФАКТ ЧИСТ К3'!Q23)*СПРАВОЧНИК!$N$13+('ФАКТ ЧИСТ К3'!R23)*СПРАВОЧНИК!$L$14+('ФАКТ ЧИСТ К3'!S23)*СПРАВОЧНИК!$M$14+('ФАКТ ЧИСТ К3'!T23)*СПРАВОЧНИК!$N$14+('ФАКТ ЧИСТ К3'!U23)*СПРАВОЧНИК!$L$15+('ФАКТ ЧИСТ К3'!V23)*СПРАВОЧНИК!$M$15+('ФАКТ ЧИСТ К3'!W23)*СПРАВОЧНИК!$N$15</f>
        <v>0</v>
      </c>
      <c r="BW32" s="18">
        <f t="shared" si="24"/>
        <v>46300</v>
      </c>
      <c r="BX32" s="37">
        <f t="shared" si="0"/>
        <v>0</v>
      </c>
      <c r="BY32" s="40">
        <f t="shared" si="1"/>
        <v>0</v>
      </c>
      <c r="CC32" s="18">
        <f t="shared" si="25"/>
        <v>46300</v>
      </c>
      <c r="CD32" s="37">
        <f t="shared" si="2"/>
        <v>0</v>
      </c>
      <c r="CE32" s="40">
        <f t="shared" si="3"/>
        <v>0</v>
      </c>
      <c r="CI32" s="18">
        <f t="shared" si="26"/>
        <v>46300</v>
      </c>
      <c r="CJ32" s="37">
        <f t="shared" si="4"/>
        <v>0</v>
      </c>
      <c r="CK32" s="40">
        <f t="shared" si="5"/>
        <v>0</v>
      </c>
      <c r="CO32" s="18">
        <f t="shared" si="27"/>
        <v>46300</v>
      </c>
      <c r="CP32" s="37">
        <f t="shared" si="6"/>
        <v>0</v>
      </c>
      <c r="CQ32" s="40">
        <f t="shared" si="7"/>
        <v>0</v>
      </c>
      <c r="CU32" s="18">
        <f t="shared" si="28"/>
        <v>46300</v>
      </c>
      <c r="CV32" s="37">
        <f t="shared" si="8"/>
        <v>0</v>
      </c>
      <c r="CW32" s="40">
        <f t="shared" si="9"/>
        <v>0</v>
      </c>
      <c r="DA32" s="18">
        <f t="shared" si="29"/>
        <v>46300</v>
      </c>
      <c r="DB32" s="37">
        <f t="shared" si="10"/>
        <v>0</v>
      </c>
      <c r="DC32" s="40">
        <f t="shared" si="11"/>
        <v>0</v>
      </c>
    </row>
    <row r="33" spans="3:107" x14ac:dyDescent="0.25">
      <c r="C33" s="18">
        <f t="shared" si="12"/>
        <v>46307</v>
      </c>
      <c r="D33" s="37">
        <f>СПРАВОЧНИК!$E$3*('ПЛАН ЧЕРН ПОДЗЕМ'!B24*СПРАВОЧНИК!$H$3+'ПЛАН ЧЕРН ПОДЗЕМ'!C24*СПРАВОЧНИК!$I$3+'ПЛАН ЧЕРН ПОДЗЕМ'!D24*СПРАВОЧНИК!$J$3)+СПРАВОЧНИК!$E$4*('ПЛАН ЧЕРН ПОДЗЕМ'!E24*СПРАВОЧНИК!$H$4+'ПЛАН ЧЕРН ПОДЗЕМ'!F24*СПРАВОЧНИК!$I$4+'ПЛАН ЧЕРН ПОДЗЕМ'!G24*СПРАВОЧНИК!$J$4)+СПРАВОЧНИК!$E$5*('ПЛАН ЧЕРН ПОДЗЕМ'!H24*СПРАВОЧНИК!$H$5+'ПЛАН ЧЕРН ПОДЗЕМ'!I24*СПРАВОЧНИК!$I$5+'ПЛАН ЧЕРН ПОДЗЕМ'!J24*СПРАВОЧНИК!$J$5)+СПРАВОЧНИК!$E$6*('ПЛАН ЧЕРН ПОДЗЕМ'!K24*СПРАВОЧНИК!$H$6+'ПЛАН ЧЕРН ПОДЗЕМ'!L24*СПРАВОЧНИК!$I$6+'ПЛАН ЧЕРН ПОДЗЕМ'!M24*СПРАВОЧНИК!$J$6)+СПРАВОЧНИК!$E$7*('ПЛАН ЧЕРН ПОДЗЕМ'!N24*СПРАВОЧНИК!$H$7+'ПЛАН ЧЕРН ПОДЗЕМ'!O24*СПРАВОЧНИК!$I$7+'ПЛАН ЧЕРН ПОДЗЕМ'!P24*СПРАВОЧНИК!$J$7)+СПРАВОЧНИК!$E$8*('ПЛАН ЧЕРН ПОДЗЕМ'!Q24*СПРАВОЧНИК!$H$8+'ПЛАН ЧЕРН ПОДЗЕМ'!R24*СПРАВОЧНИК!$I$8+'ПЛАН ЧЕРН ПОДЗЕМ'!S24*СПРАВОЧНИК!$J$8)+СПРАВОЧНИК!$F$3*('ПЛАН ЧИСТ ПОДЗЕМ'!B24*СПРАВОЧНИК!$L$3+'ПЛАН ЧИСТ ПОДЗЕМ'!C24*СПРАВОЧНИК!$M$3+'ПЛАН ЧИСТ ПОДЗЕМ'!D24*СПРАВОЧНИК!$N$3)+СПРАВОЧНИК!$F$4*('ПЛАН ЧИСТ ПОДЗЕМ'!E24*СПРАВОЧНИК!$L$4+'ПЛАН ЧИСТ ПОДЗЕМ'!F24*СПРАВОЧНИК!$M$4+'ПЛАН ЧИСТ ПОДЗЕМ'!G24*СПРАВОЧНИК!$N$4)+СПРАВОЧНИК!$F$5*('ПЛАН ЧИСТ ПОДЗЕМ'!H24*СПРАВОЧНИК!$L$5+'ПЛАН ЧИСТ ПОДЗЕМ'!I24*СПРАВОЧНИК!$M$5+'ПЛАН ЧИСТ ПОДЗЕМ'!J24*СПРАВОЧНИК!$N$5)+СПРАВОЧНИК!$F$6*('ПЛАН ЧИСТ ПОДЗЕМ'!K24*СПРАВОЧНИК!$L$6+'ПЛАН ЧИСТ ПОДЗЕМ'!L24*СПРАВОЧНИК!$M$6+'ПЛАН ЧИСТ ПОДЗЕМ'!M24*СПРАВОЧНИК!$N$6)+СПРАВОЧНИК!$F$7*('ПЛАН ЧИСТ ПОДЗЕМ'!N24*СПРАВОЧНИК!$L$7+'ПЛАН ЧИСТ ПОДЗЕМ'!O24*СПРАВОЧНИК!$M$7+'ПЛАН ЧИСТ ПОДЗЕМ'!P24*СПРАВОЧНИК!$N$7)+СПРАВОЧНИК!$F$8*('ПЛАН ЧИСТ ПОДЗЕМ'!Q24*СПРАВОЧНИК!$L$8+'ПЛАН ЧИСТ ПОДЗЕМ'!R24*СПРАВОЧНИК!$M$8+'ПЛАН ЧИСТ ПОДЗЕМ'!S24*СПРАВОЧНИК!$N$8)</f>
        <v>0</v>
      </c>
      <c r="E33" s="40">
        <f>СПРАВОЧНИК!$E$3*(('ФАКТ ЧЕРН ПОДЗЕМ'!B24)*СПРАВОЧНИК!$H$3+('ФАКТ ЧЕРН ПОДЗЕМ'!C24)*СПРАВОЧНИК!$I$3+('ФАКТ ЧЕРН ПОДЗЕМ'!D24)*СПРАВОЧНИК!$J$3)+СПРАВОЧНИК!$E$4*(('ФАКТ ЧЕРН ПОДЗЕМ'!E24)*СПРАВОЧНИК!$H$4+('ФАКТ ЧЕРН ПОДЗЕМ'!F24)*СПРАВОЧНИК!$I$4+('ФАКТ ЧЕРН ПОДЗЕМ'!G24)*СПРАВОЧНИК!$J$4)+СПРАВОЧНИК!$E$5*(('ФАКТ ЧЕРН ПОДЗЕМ'!H24)*СПРАВОЧНИК!$H$5+('ФАКТ ЧЕРН ПОДЗЕМ'!I24)*СПРАВОЧНИК!$I$5+('ФАКТ ЧЕРН ПОДЗЕМ'!J24)*СПРАВОЧНИК!$J$5)+СПРАВОЧНИК!$E$6*(('ФАКТ ЧЕРН ПОДЗЕМ'!K24)*СПРАВОЧНИК!$H$6+('ФАКТ ЧЕРН ПОДЗЕМ'!L24)*СПРАВОЧНИК!$I$6+('ФАКТ ЧЕРН ПОДЗЕМ'!M24)*СПРАВОЧНИК!$J$6)+СПРАВОЧНИК!$E$7*(('ФАКТ ЧЕРН ПОДЗЕМ'!N24)*СПРАВОЧНИК!$H$7+('ФАКТ ЧЕРН ПОДЗЕМ'!O24)*СПРАВОЧНИК!$I$7+('ФАКТ ЧЕРН ПОДЗЕМ'!P24)*СПРАВОЧНИК!$J$7)+СПРАВОЧНИК!$E$8*(('ФАКТ ЧЕРН ПОДЗЕМ'!Q24)*СПРАВОЧНИК!$H$8+('ФАКТ ЧЕРН ПОДЗЕМ'!R24)*СПРАВОЧНИК!$I$8+('ФАКТ ЧЕРН ПОДЗЕМ'!S24)*СПРАВОЧНИК!$J$8)+СПРАВОЧНИК!$F$3*(('ФАКТ ЧИСТ ПОДЗЕМ'!B24)*СПРАВОЧНИК!$L$3+('ФАКТ ЧИСТ ПОДЗЕМ'!C24)*СПРАВОЧНИК!$M$3+('ФАКТ ЧИСТ ПОДЗЕМ'!D24)*СПРАВОЧНИК!$N$3)+СПРАВОЧНИК!$F$4*(('ФАКТ ЧИСТ ПОДЗЕМ'!E24)*СПРАВОЧНИК!$L$4+('ФАКТ ЧИСТ ПОДЗЕМ'!F24)*СПРАВОЧНИК!$M$4+('ФАКТ ЧИСТ ПОДЗЕМ'!G24)*СПРАВОЧНИК!$N$4)+СПРАВОЧНИК!$F$5*(('ФАКТ ЧИСТ ПОДЗЕМ'!H24)*СПРАВОЧНИК!$L$5+('ФАКТ ЧИСТ ПОДЗЕМ'!I24)*СПРАВОЧНИК!$M$5+('ФАКТ ЧИСТ ПОДЗЕМ'!J24)*СПРАВОЧНИК!$N$5)+СПРАВОЧНИК!$F$6*(('ФАКТ ЧИСТ ПОДЗЕМ'!K24)*СПРАВОЧНИК!$L$6+('ФАКТ ЧИСТ ПОДЗЕМ'!L24)*СПРАВОЧНИК!$M$6+('ФАКТ ЧИСТ ПОДЗЕМ'!M24)*СПРАВОЧНИК!$N$6)+СПРАВОЧНИК!$F$7*(('ФАКТ ЧИСТ ПОДЗЕМ'!N24)*СПРАВОЧНИК!$L$7+('ФАКТ ЧИСТ ПОДЗЕМ'!O24)*СПРАВОЧНИК!$M$7+('ФАКТ ЧИСТ ПОДЗЕМ'!P24)*СПРАВОЧНИК!$N$7)+СПРАВОЧНИК!$F$8*(('ФАКТ ЧИСТ ПОДЗЕМ'!Q24)*СПРАВОЧНИК!$L$8+('ФАКТ ЧИСТ ПОДЗЕМ'!R24)*СПРАВОЧНИК!$M$8+('ФАКТ ЧИСТ ПОДЗЕМ'!S24)*СПРАВОЧНИК!$N$8)</f>
        <v>0</v>
      </c>
      <c r="I33" s="18">
        <f t="shared" si="13"/>
        <v>46307</v>
      </c>
      <c r="J33" s="37">
        <f>'ПЛАН ЧЕРН ПОДЗЕМ'!B24*СПРАВОЧНИК!$H$3+'ПЛАН ЧЕРН ПОДЗЕМ'!C24*СПРАВОЧНИК!$I$3+'ПЛАН ЧЕРН ПОДЗЕМ'!D24*СПРАВОЧНИК!$J$3+'ПЛАН ЧЕРН ПОДЗЕМ'!E24*СПРАВОЧНИК!$H$4+'ПЛАН ЧЕРН ПОДЗЕМ'!F24*СПРАВОЧНИК!$I$4+'ПЛАН ЧЕРН ПОДЗЕМ'!G24*СПРАВОЧНИК!$J$4+'ПЛАН ЧЕРН ПОДЗЕМ'!H24*СПРАВОЧНИК!$H$5+'ПЛАН ЧЕРН ПОДЗЕМ'!I24*СПРАВОЧНИК!$I$5+'ПЛАН ЧЕРН ПОДЗЕМ'!J24*СПРАВОЧНИК!$J$5+'ПЛАН ЧЕРН ПОДЗЕМ'!K24*СПРАВОЧНИК!$H$6+'ПЛАН ЧЕРН ПОДЗЕМ'!L24*СПРАВОЧНИК!$I$6+'ПЛАН ЧЕРН ПОДЗЕМ'!M24*СПРАВОЧНИК!$J$6+'ПЛАН ЧЕРН ПОДЗЕМ'!N24*СПРАВОЧНИК!$H$7+'ПЛАН ЧЕРН ПОДЗЕМ'!O24*СПРАВОЧНИК!$I$7+'ПЛАН ЧЕРН ПОДЗЕМ'!P24*СПРАВОЧНИК!$J$7+'ПЛАН ЧЕРН ПОДЗЕМ'!Q24*СПРАВОЧНИК!$H$8+'ПЛАН ЧЕРН ПОДЗЕМ'!R24*СПРАВОЧНИК!$I$8+'ПЛАН ЧЕРН ПОДЗЕМ'!S24*СПРАВОЧНИК!$J$8</f>
        <v>0</v>
      </c>
      <c r="K33" s="40">
        <f>('ФАКТ ЧЕРН ПОДЗЕМ'!B24)*СПРАВОЧНИК!$H$3+('ФАКТ ЧЕРН ПОДЗЕМ'!C24)*СПРАВОЧНИК!$I$3+('ФАКТ ЧЕРН ПОДЗЕМ'!D24)*СПРАВОЧНИК!$J$3+('ФАКТ ЧЕРН ПОДЗЕМ'!E24)*СПРАВОЧНИК!$H$4+('ФАКТ ЧЕРН ПОДЗЕМ'!F24)*СПРАВОЧНИК!$I$4+('ФАКТ ЧЕРН ПОДЗЕМ'!G24)*СПРАВОЧНИК!$J$4+('ФАКТ ЧЕРН ПОДЗЕМ'!H24)*СПРАВОЧНИК!$H$5+('ФАКТ ЧЕРН ПОДЗЕМ'!I24)*СПРАВОЧНИК!$I$5+('ФАКТ ЧЕРН ПОДЗЕМ'!J24)*СПРАВОЧНИК!$J$5+('ФАКТ ЧЕРН ПОДЗЕМ'!K24)*СПРАВОЧНИК!$H$6+('ФАКТ ЧЕРН ПОДЗЕМ'!L24)*СПРАВОЧНИК!$I$6+('ФАКТ ЧЕРН ПОДЗЕМ'!M24)*СПРАВОЧНИК!$J$6+('ФАКТ ЧЕРН ПОДЗЕМ'!N24)*СПРАВОЧНИК!$H$7+('ФАКТ ЧЕРН ПОДЗЕМ'!O24)*СПРАВОЧНИК!$I$7+('ФАКТ ЧЕРН ПОДЗЕМ'!P24)*СПРАВОЧНИК!$J$7+('ФАКТ ЧЕРН ПОДЗЕМ'!Q24)*СПРАВОЧНИК!$H$8+('ФАКТ ЧЕРН ПОДЗЕМ'!R24)*СПРАВОЧНИК!$I$8+('ФАКТ ЧЕРН ПОДЗЕМ'!S24)*СПРАВОЧНИК!$J$8</f>
        <v>0</v>
      </c>
      <c r="O33" s="18">
        <f t="shared" si="14"/>
        <v>46307</v>
      </c>
      <c r="P33" s="37">
        <f>'ПЛАН ЧИСТ ПОДЗЕМ'!B24*СПРАВОЧНИК!$L$3+'ПЛАН ЧИСТ ПОДЗЕМ'!C24*СПРАВОЧНИК!$M$3+'ПЛАН ЧИСТ ПОДЗЕМ'!D24*СПРАВОЧНИК!$N$3+'ПЛАН ЧИСТ ПОДЗЕМ'!E24*СПРАВОЧНИК!$L$4+'ПЛАН ЧИСТ ПОДЗЕМ'!F24*СПРАВОЧНИК!$M$4+'ПЛАН ЧИСТ ПОДЗЕМ'!G24*СПРАВОЧНИК!$N$4+'ПЛАН ЧИСТ ПОДЗЕМ'!H24*СПРАВОЧНИК!$L$5+'ПЛАН ЧИСТ ПОДЗЕМ'!I24*СПРАВОЧНИК!$M$5+'ПЛАН ЧИСТ ПОДЗЕМ'!J24*СПРАВОЧНИК!$N$5+'ПЛАН ЧИСТ ПОДЗЕМ'!K24*СПРАВОЧНИК!$L$6+'ПЛАН ЧИСТ ПОДЗЕМ'!L24*СПРАВОЧНИК!$M$6+'ПЛАН ЧИСТ ПОДЗЕМ'!M24*СПРАВОЧНИК!$N$6+'ПЛАН ЧИСТ ПОДЗЕМ'!N24*СПРАВОЧНИК!$L$7+'ПЛАН ЧИСТ ПОДЗЕМ'!O24*СПРАВОЧНИК!$M$7+'ПЛАН ЧИСТ ПОДЗЕМ'!P24*СПРАВОЧНИК!$N$7+'ПЛАН ЧИСТ ПОДЗЕМ'!Q24*СПРАВОЧНИК!$L$8+'ПЛАН ЧИСТ ПОДЗЕМ'!R24*СПРАВОЧНИК!$M$8+'ПЛАН ЧИСТ ПОДЗЕМ'!S24*СПРАВОЧНИК!$N$8</f>
        <v>0</v>
      </c>
      <c r="Q33" s="40">
        <f>('ФАКТ ЧИСТ ПОДЗЕМ'!B24)*СПРАВОЧНИК!$L$3+('ФАКТ ЧИСТ ПОДЗЕМ'!C24)*СПРАВОЧНИК!$M$3+('ФАКТ ЧИСТ ПОДЗЕМ'!D24)*СПРАВОЧНИК!$N$3+('ФАКТ ЧИСТ ПОДЗЕМ'!E24)*СПРАВОЧНИК!$L$4+('ФАКТ ЧИСТ ПОДЗЕМ'!F24)*СПРАВОЧНИК!$M$4+('ФАКТ ЧИСТ ПОДЗЕМ'!G24)*СПРАВОЧНИК!$N$4+('ФАКТ ЧИСТ ПОДЗЕМ'!H24)*СПРАВОЧНИК!$L$5+('ФАКТ ЧИСТ ПОДЗЕМ'!I24)*СПРАВОЧНИК!$M$5+('ФАКТ ЧИСТ ПОДЗЕМ'!J24)*СПРАВОЧНИК!$N$5+('ФАКТ ЧИСТ ПОДЗЕМ'!K24)*СПРАВОЧНИК!$L$6+('ФАКТ ЧИСТ ПОДЗЕМ'!L24)*СПРАВОЧНИК!$M$6+('ФАКТ ЧИСТ ПОДЗЕМ'!M24)*СПРАВОЧНИК!$N$6+('ФАКТ ЧИСТ ПОДЗЕМ'!N24)*СПРАВОЧНИК!$L$7+('ФАКТ ЧИСТ ПОДЗЕМ'!O24)*СПРАВОЧНИК!$M$7+('ФАКТ ЧИСТ ПОДЗЕМ'!P24)*СПРАВОЧНИК!$N$7+('ФАКТ ЧИСТ ПОДЗЕМ'!Q24)*СПРАВОЧНИК!$L$8+('ФАКТ ЧИСТ ПОДЗЕМ'!R24)*СПРАВОЧНИК!$M$8+('ФАКТ ЧИСТ ПОДЗЕМ'!S24)*СПРАВОЧНИК!$N$8</f>
        <v>0</v>
      </c>
      <c r="U33" s="18">
        <f t="shared" si="15"/>
        <v>46307</v>
      </c>
      <c r="V33" s="37">
        <f>СПРАВОЧНИК!$E$9*('ПЛАН ЧЕРН К1'!B24*СПРАВОЧНИК!$H$9+'ПЛАН ЧЕРН К1'!C24*СПРАВОЧНИК!$I$9+'ПЛАН ЧЕРН К1'!D24*СПРАВОЧНИК!$J$9)+СПРАВОЧНИК!$E$10*('ПЛАН ЧЕРН К1'!E24*СПРАВОЧНИК!$H$10+'ПЛАН ЧЕРН К1'!F24*СПРАВОЧНИК!$I$10+'ПЛАН ЧЕРН К1'!G24*СПРАВОЧНИК!$J$10)+СПРАВОЧНИК!$E$11*('ПЛАН ЧЕРН К1'!H24*СПРАВОЧНИК!$H$11+'ПЛАН ЧЕРН К1'!I24*СПРАВОЧНИК!$I$11+'ПЛАН ЧЕРН К1'!J24*СПРАВОЧНИК!$J$11)+СПРАВОЧНИК!$E$12*('ПЛАН ЧЕРН К1'!K24*СПРАВОЧНИК!$H$12+'ПЛАН ЧЕРН К1'!L24*СПРАВОЧНИК!$I$12+'ПЛАН ЧЕРН К1'!M24*СПРАВОЧНИК!$J$12)+СПРАВОЧНИК!$E$13*('ПЛАН ЧЕРН К1'!N24*СПРАВОЧНИК!$H$13+'ПЛАН ЧЕРН К1'!O24*СПРАВОЧНИК!$I$13+'ПЛАН ЧЕРН К1'!P24*СПРАВОЧНИК!$J$13)+СПРАВОЧНИК!$E$14*('ПЛАН ЧЕРН К1'!Q24*СПРАВОЧНИК!$H$14+'ПЛАН ЧЕРН К1'!R24*СПРАВОЧНИК!$I$14+'ПЛАН ЧЕРН К1'!S24*СПРАВОЧНИК!$J$14)+СПРАВОЧНИК!$E$15*('ПЛАН ЧЕРН К1'!T24*СПРАВОЧНИК!$H$15+'ПЛАН ЧЕРН К1'!U24*СПРАВОЧНИК!$I$15+'ПЛАН ЧЕРН К1'!V24*СПРАВОЧНИК!$J$15)+СПРАВОЧНИК!$F$9*('ПЛАН ЧИСТ К1'!B24*СПРАВОЧНИК!$L$9+'ПЛАН ЧИСТ К1'!C24*СПРАВОЧНИК!$M$9+'ПЛАН ЧИСТ К1'!D24*СПРАВОЧНИК!$N$9+'ПЛАН ЧИСТ К1'!E24*СПРАВОЧНИК!$O$9)+СПРАВОЧНИК!$F$10*('ПЛАН ЧИСТ К1'!F24*СПРАВОЧНИК!$L$10+'ПЛАН ЧИСТ К1'!G24*СПРАВОЧНИК!$M$10+'ПЛАН ЧИСТ К1'!H24*СПРАВОЧНИК!$N$10)+СПРАВОЧНИК!$F$11*('ПЛАН ЧИСТ К1'!I24*СПРАВОЧНИК!$L$11+'ПЛАН ЧИСТ К1'!J24*СПРАВОЧНИК!$M$11+'ПЛАН ЧИСТ К1'!K24*СПРАВОЧНИК!$N$11)+СПРАВОЧНИК!$F$12*('ПЛАН ЧИСТ К1'!L24*СПРАВОЧНИК!$L$12+'ПЛАН ЧИСТ К1'!M24*СПРАВОЧНИК!$M$12+'ПЛАН ЧИСТ К1'!N24*СПРАВОЧНИК!$N$12)+СПРАВОЧНИК!$F$13*('ПЛАН ЧИСТ К1'!O24*СПРАВОЧНИК!$L$13+'ПЛАН ЧИСТ К1'!P24*СПРАВОЧНИК!$M$13+'ПЛАН ЧИСТ К1'!Q24*СПРАВОЧНИК!$N$13)+СПРАВОЧНИК!$F$14*('ПЛАН ЧИСТ К1'!R24*СПРАВОЧНИК!$L$14+'ПЛАН ЧИСТ К1'!S24*СПРАВОЧНИК!$M$14+'ПЛАН ЧИСТ К1'!T24*СПРАВОЧНИК!$N$14)+СПРАВОЧНИК!$F$15*('ПЛАН ЧИСТ К1'!U24*СПРАВОЧНИК!$L$15+'ПЛАН ЧИСТ К1'!V24*СПРАВОЧНИК!$M$15+'ПЛАН ЧИСТ К1'!W24*СПРАВОЧНИК!$N$15)</f>
        <v>0</v>
      </c>
      <c r="W33" s="40">
        <f>СПРАВОЧНИК!$E$9*(('ФАКТ ЧЕРН К1'!B24)*СПРАВОЧНИК!$H$9+('ФАКТ ЧЕРН К1'!C24)*СПРАВОЧНИК!$I$9+('ФАКТ ЧЕРН К1'!D24)*СПРАВОЧНИК!$J$9)+СПРАВОЧНИК!$E$10*(('ФАКТ ЧЕРН К1'!E24)*СПРАВОЧНИК!$H$10+('ФАКТ ЧЕРН К1'!F24)*СПРАВОЧНИК!$I$10+('ФАКТ ЧЕРН К1'!G24)*СПРАВОЧНИК!$J$10)+СПРАВОЧНИК!$E$11*(('ФАКТ ЧЕРН К1'!H24)*СПРАВОЧНИК!$H$11+('ФАКТ ЧЕРН К1'!I24)*СПРАВОЧНИК!$I$11+('ФАКТ ЧЕРН К1'!J24)*СПРАВОЧНИК!$J$11)+СПРАВОЧНИК!$E$12*(('ФАКТ ЧЕРН К1'!K24)*СПРАВОЧНИК!$H$12+('ФАКТ ЧЕРН К1'!L24)*СПРАВОЧНИК!$I$12+('ФАКТ ЧЕРН К1'!M24)*СПРАВОЧНИК!$J$12)+СПРАВОЧНИК!$E$13*(('ФАКТ ЧЕРН К1'!N24)*СПРАВОЧНИК!$H$13+('ФАКТ ЧЕРН К1'!O24)*СПРАВОЧНИК!$I$13+('ФАКТ ЧЕРН К1'!P24)*СПРАВОЧНИК!$J$13)+СПРАВОЧНИК!$E$14*(('ФАКТ ЧЕРН К1'!Q24)*СПРАВОЧНИК!$H$14+('ФАКТ ЧЕРН К1'!R24)*СПРАВОЧНИК!$I$14+('ФАКТ ЧЕРН К1'!S24)*СПРАВОЧНИК!$J$14)+СПРАВОЧНИК!$E$15*(('ФАКТ ЧЕРН К1'!T24)*СПРАВОЧНИК!$H$15+('ФАКТ ЧЕРН К1'!U24)*СПРАВОЧНИК!$I$15+('ФАКТ ЧЕРН К1'!V24)*СПРАВОЧНИК!$J$15)+СПРАВОЧНИК!$F$9*(('ФАКТ ЧИСТ К1'!B24)*СПРАВОЧНИК!$L$9+('ФАКТ ЧИСТ К1'!C24)*СПРАВОЧНИК!$M$9+('ФАКТ ЧИСТ К1'!D24)*СПРАВОЧНИК!$N$9+('ФАКТ ЧИСТ К1'!E24)*СПРАВОЧНИК!$O$9)+СПРАВОЧНИК!$F$10*(('ФАКТ ЧИСТ К1'!F24)*СПРАВОЧНИК!$L$10+('ФАКТ ЧИСТ К1'!G24)*СПРАВОЧНИК!$M$10+('ФАКТ ЧИСТ К1'!H24)*СПРАВОЧНИК!$N$10)+СПРАВОЧНИК!$F$11*(('ФАКТ ЧИСТ К1'!I24)*СПРАВОЧНИК!$L$11+('ФАКТ ЧИСТ К1'!J24)*СПРАВОЧНИК!$M$11+('ФАКТ ЧИСТ К1'!K24)*СПРАВОЧНИК!$N$11)+СПРАВОЧНИК!$F$12*(('ФАКТ ЧИСТ К1'!L24)*СПРАВОЧНИК!$L$12+('ФАКТ ЧИСТ К1'!M24)*СПРАВОЧНИК!$M$12+('ФАКТ ЧИСТ К1'!N24)*СПРАВОЧНИК!$N$12)+СПРАВОЧНИК!$F$13*(('ФАКТ ЧИСТ К1'!O24)*СПРАВОЧНИК!$L$13+('ФАКТ ЧИСТ К1'!P24)*СПРАВОЧНИК!$M$13+('ФАКТ ЧИСТ К1'!Q24)*СПРАВОЧНИК!$N$13)+СПРАВОЧНИК!$F$14*(('ФАКТ ЧИСТ К1'!R24)*СПРАВОЧНИК!$L$14+('ФАКТ ЧИСТ К1'!S24)*СПРАВОЧНИК!$M$14+('ФАКТ ЧИСТ К1'!T24)*СПРАВОЧНИК!$N$14)+СПРАВОЧНИК!$F$15*(('ФАКТ ЧИСТ К1'!U24)*СПРАВОЧНИК!$L$15+('ФАКТ ЧИСТ К1'!V24)*СПРАВОЧНИК!$M$15+('ФАКТ ЧИСТ К1'!W24)*СПРАВОЧНИК!$N$15)</f>
        <v>0</v>
      </c>
      <c r="AA33" s="18">
        <f t="shared" si="16"/>
        <v>46307</v>
      </c>
      <c r="AB33" s="37">
        <f>'ПЛАН ЧЕРН К1'!B24*СПРАВОЧНИК!$H$9+'ПЛАН ЧЕРН К1'!C24*СПРАВОЧНИК!$I$9+'ПЛАН ЧЕРН К1'!D24*СПРАВОЧНИК!$J$9+'ПЛАН ЧЕРН К1'!E24*СПРАВОЧНИК!$H$10+'ПЛАН ЧЕРН К1'!F24*СПРАВОЧНИК!$I$10+'ПЛАН ЧЕРН К1'!G24*СПРАВОЧНИК!$J$10+'ПЛАН ЧЕРН К1'!H24*СПРАВОЧНИК!$H$11+'ПЛАН ЧЕРН К1'!I24*СПРАВОЧНИК!$I$11+'ПЛАН ЧЕРН К1'!J24*СПРАВОЧНИК!$J$11+'ПЛАН ЧЕРН К1'!K24*СПРАВОЧНИК!$H$12+'ПЛАН ЧЕРН К1'!L24*СПРАВОЧНИК!$I$12+'ПЛАН ЧЕРН К1'!M24*СПРАВОЧНИК!$J$12+'ПЛАН ЧЕРН К1'!N24*СПРАВОЧНИК!$H$13+'ПЛАН ЧЕРН К1'!O24*СПРАВОЧНИК!$I$13+'ПЛАН ЧЕРН К1'!P24*СПРАВОЧНИК!$J$13+'ПЛАН ЧЕРН К1'!Q24*СПРАВОЧНИК!$H$14+'ПЛАН ЧЕРН К1'!R24*СПРАВОЧНИК!$I$14+'ПЛАН ЧЕРН К1'!S24*СПРАВОЧНИК!$J$14+'ПЛАН ЧЕРН К1'!T24*СПРАВОЧНИК!$H$15+'ПЛАН ЧЕРН К1'!U24*СПРАВОЧНИК!$I$15+'ПЛАН ЧЕРН К1'!V24*СПРАВОЧНИК!$J$15</f>
        <v>0</v>
      </c>
      <c r="AC33" s="40">
        <f>('ФАКТ ЧЕРН К1'!B24)*СПРАВОЧНИК!$H$9+('ФАКТ ЧЕРН К1'!C24)*СПРАВОЧНИК!$I$9+('ФАКТ ЧЕРН К1'!D24)*СПРАВОЧНИК!$J$9+('ФАКТ ЧЕРН К1'!E24)*СПРАВОЧНИК!$H$10+('ФАКТ ЧЕРН К1'!F24)*СПРАВОЧНИК!$I$10+('ФАКТ ЧЕРН К1'!G24)*СПРАВОЧНИК!$J$10+('ФАКТ ЧЕРН К1'!H24)*СПРАВОЧНИК!$H$11+('ФАКТ ЧЕРН К1'!I24)*СПРАВОЧНИК!$I$11+('ФАКТ ЧЕРН К1'!J24)*СПРАВОЧНИК!$J$11+('ФАКТ ЧЕРН К1'!K24)*СПРАВОЧНИК!$H$12+('ФАКТ ЧЕРН К1'!L24)*СПРАВОЧНИК!$I$12+('ФАКТ ЧЕРН К1'!M24)*СПРАВОЧНИК!$J$12+('ФАКТ ЧЕРН К1'!N24)*СПРАВОЧНИК!$H$13+('ФАКТ ЧЕРН К1'!O24)*СПРАВОЧНИК!$I$13+('ФАКТ ЧЕРН К1'!P24)*СПРАВОЧНИК!$J$13+('ФАКТ ЧЕРН К1'!Q24)*СПРАВОЧНИК!$H$14+('ФАКТ ЧЕРН К1'!R24)*СПРАВОЧНИК!$I$14+('ФАКТ ЧЕРН К1'!S24)*СПРАВОЧНИК!$J$14+('ФАКТ ЧЕРН К1'!T24)*СПРАВОЧНИК!$H$15+('ФАКТ ЧЕРН К1'!U24)*СПРАВОЧНИК!$I$15+('ФАКТ ЧЕРН К1'!V24)*СПРАВОЧНИК!$J$15</f>
        <v>0</v>
      </c>
      <c r="AG33" s="18">
        <f t="shared" si="17"/>
        <v>46307</v>
      </c>
      <c r="AH33" s="37">
        <f>'ПЛАН ЧИСТ К1'!B24*СПРАВОЧНИК!$L$9+'ПЛАН ЧИСТ К1'!C24*СПРАВОЧНИК!$M$9+'ПЛАН ЧИСТ К1'!D24*СПРАВОЧНИК!$N$9+'ПЛАН ЧИСТ К1'!E24*СПРАВОЧНИК!$O$9+'ПЛАН ЧИСТ К1'!F24*СПРАВОЧНИК!$L$10+'ПЛАН ЧИСТ К1'!G24*СПРАВОЧНИК!$M$10+'ПЛАН ЧИСТ К1'!H24*СПРАВОЧНИК!$N$10+'ПЛАН ЧИСТ К1'!I24*СПРАВОЧНИК!$L$11+'ПЛАН ЧИСТ К1'!J24*СПРАВОЧНИК!$M$11+'ПЛАН ЧИСТ К1'!K24*СПРАВОЧНИК!$N$11+'ПЛАН ЧИСТ К1'!L24*СПРАВОЧНИК!$L$12+'ПЛАН ЧИСТ К1'!M24*СПРАВОЧНИК!$M$12+'ПЛАН ЧИСТ К1'!N24*СПРАВОЧНИК!$N$12+'ПЛАН ЧИСТ К1'!O24*СПРАВОЧНИК!$L$13+'ПЛАН ЧИСТ К1'!P24*СПРАВОЧНИК!$M$13+'ПЛАН ЧИСТ К1'!Q24*СПРАВОЧНИК!$N$13+'ПЛАН ЧИСТ К1'!R24*СПРАВОЧНИК!$L$14+'ПЛАН ЧИСТ К1'!S24*СПРАВОЧНИК!$M$14+'ПЛАН ЧИСТ К1'!T24*СПРАВОЧНИК!$N$14+'ПЛАН ЧИСТ К1'!U24*СПРАВОЧНИК!$L$15+'ПЛАН ЧИСТ К1'!V24*СПРАВОЧНИК!$M$15+'ПЛАН ЧИСТ К1'!W24*СПРАВОЧНИК!$N$15</f>
        <v>0</v>
      </c>
      <c r="AI33" s="40">
        <f>('ФАКТ ЧИСТ К1'!B24)*СПРАВОЧНИК!$L$9+('ФАКТ ЧИСТ К1'!C24)*СПРАВОЧНИК!$M$9+('ФАКТ ЧИСТ К1'!D24)*СПРАВОЧНИК!$N$9+('ФАКТ ЧИСТ К1'!E24)*СПРАВОЧНИК!$O$9+('ФАКТ ЧИСТ К1'!F24)*СПРАВОЧНИК!$L$10+('ФАКТ ЧИСТ К1'!G24)*СПРАВОЧНИК!$M$10+('ФАКТ ЧИСТ К1'!H24)*СПРАВОЧНИК!$N$10+('ФАКТ ЧИСТ К1'!I24)*СПРАВОЧНИК!$L$11+('ФАКТ ЧИСТ К1'!J24)*СПРАВОЧНИК!$M$11+('ФАКТ ЧИСТ К1'!K24)*СПРАВОЧНИК!$N$11+('ФАКТ ЧИСТ К1'!L24)*СПРАВОЧНИК!$L$12+('ФАКТ ЧИСТ К1'!M24)*СПРАВОЧНИК!$M$12+('ФАКТ ЧИСТ К1'!N24)*СПРАВОЧНИК!$N$12+('ФАКТ ЧИСТ К1'!O24)*СПРАВОЧНИК!$L$13+('ФАКТ ЧИСТ К1'!P24)*СПРАВОЧНИК!$M$13+('ФАКТ ЧИСТ К1'!Q24)*СПРАВОЧНИК!$N$13+('ФАКТ ЧИСТ К1'!R24)*СПРАВОЧНИК!$L$14+('ФАКТ ЧИСТ К1'!S24)*СПРАВОЧНИК!$M$14+('ФАКТ ЧИСТ К1'!T24)*СПРАВОЧНИК!$N$14+('ФАКТ ЧИСТ К1'!U24)*СПРАВОЧНИК!$L$15+('ФАКТ ЧИСТ К1'!V24)*СПРАВОЧНИК!$M$15+('ФАКТ ЧИСТ К1'!W24)*СПРАВОЧНИК!$N$15</f>
        <v>0</v>
      </c>
      <c r="AM33" s="18">
        <f t="shared" si="18"/>
        <v>46307</v>
      </c>
      <c r="AN33" s="37">
        <f>СПРАВОЧНИК!$E$9*('ПЛАН ЧЕРН К2'!B24*СПРАВОЧНИК!$H$9+'ПЛАН ЧЕРН К2'!C24*СПРАВОЧНИК!$I$9+'ПЛАН ЧЕРН К2'!D24*СПРАВОЧНИК!$J$9)+СПРАВОЧНИК!$E$10*('ПЛАН ЧЕРН К2'!E24*СПРАВОЧНИК!$H$10+'ПЛАН ЧЕРН К2'!F24*СПРАВОЧНИК!$I$10+'ПЛАН ЧЕРН К2'!G24*СПРАВОЧНИК!$J$10)+СПРАВОЧНИК!$E$11*('ПЛАН ЧЕРН К2'!H24*СПРАВОЧНИК!$H$11+'ПЛАН ЧЕРН К2'!I24*СПРАВОЧНИК!$I$11+'ПЛАН ЧЕРН К2'!J24*СПРАВОЧНИК!$J$11)+СПРАВОЧНИК!$E$12*('ПЛАН ЧЕРН К2'!K24*СПРАВОЧНИК!$H$12+'ПЛАН ЧЕРН К2'!L24*СПРАВОЧНИК!$I$12+'ПЛАН ЧЕРН К2'!M24*СПРАВОЧНИК!$J$12)+СПРАВОЧНИК!$E$13*('ПЛАН ЧЕРН К2'!N24*СПРАВОЧНИК!$H$13+'ПЛАН ЧЕРН К2'!O24*СПРАВОЧНИК!$I$13+'ПЛАН ЧЕРН К2'!P24*СПРАВОЧНИК!$J$13)+СПРАВОЧНИК!$E$14*('ПЛАН ЧЕРН К2'!Q24*СПРАВОЧНИК!$H$14+'ПЛАН ЧЕРН К2'!R24*СПРАВОЧНИК!$I$14+'ПЛАН ЧЕРН К2'!S24*СПРАВОЧНИК!$J$14)+СПРАВОЧНИК!$E$15*('ПЛАН ЧЕРН К2'!T24*СПРАВОЧНИК!$H$15+'ПЛАН ЧЕРН К2'!U24*СПРАВОЧНИК!$I$15+'ПЛАН ЧЕРН К2'!V24*СПРАВОЧНИК!$J$15)+СПРАВОЧНИК!$F$9*('ПЛАН ЧИСТ К2'!B24*СПРАВОЧНИК!$L$9+'ПЛАН ЧИСТ К2'!C24*СПРАВОЧНИК!$M$9+'ПЛАН ЧИСТ К2'!D24*СПРАВОЧНИК!$N$9+'ПЛАН ЧИСТ К2'!E24*СПРАВОЧНИК!$O$9)+СПРАВОЧНИК!$F$10*('ПЛАН ЧИСТ К2'!F24*СПРАВОЧНИК!$L$10+'ПЛАН ЧИСТ К2'!G24*СПРАВОЧНИК!$M$10+'ПЛАН ЧИСТ К2'!H24*СПРАВОЧНИК!$N$10)+СПРАВОЧНИК!$F$11*('ПЛАН ЧИСТ К2'!I24*СПРАВОЧНИК!$L$11+'ПЛАН ЧИСТ К2'!J24*СПРАВОЧНИК!$M$11+'ПЛАН ЧИСТ К2'!K24*СПРАВОЧНИК!$N$11)+СПРАВОЧНИК!$F$12*('ПЛАН ЧИСТ К2'!L24*СПРАВОЧНИК!$L$12+'ПЛАН ЧИСТ К2'!M24*СПРАВОЧНИК!$M$12+'ПЛАН ЧИСТ К2'!N24*СПРАВОЧНИК!$N$12)+СПРАВОЧНИК!$F$13*('ПЛАН ЧИСТ К2'!O24*СПРАВОЧНИК!$L$13+'ПЛАН ЧИСТ К2'!P24*СПРАВОЧНИК!$M$13+'ПЛАН ЧИСТ К2'!Q24*СПРАВОЧНИК!$N$13)+СПРАВОЧНИК!$F$14*('ПЛАН ЧИСТ К2'!R24*СПРАВОЧНИК!$L$14+'ПЛАН ЧИСТ К2'!S24*СПРАВОЧНИК!$M$14+'ПЛАН ЧИСТ К2'!T24*СПРАВОЧНИК!$N$14)+СПРАВОЧНИК!$F$15*('ПЛАН ЧИСТ К2'!U24*СПРАВОЧНИК!$L$15+'ПЛАН ЧИСТ К2'!V24*СПРАВОЧНИК!$M$15+'ПЛАН ЧИСТ К2'!W24*СПРАВОЧНИК!$N$15)</f>
        <v>0</v>
      </c>
      <c r="AO33" s="40">
        <f>СПРАВОЧНИК!$E$9*(('ФАКТ ЧЕРН К2'!B24)*СПРАВОЧНИК!$H$9+('ФАКТ ЧЕРН К2'!C24)*СПРАВОЧНИК!$I$9+('ФАКТ ЧЕРН К2'!D24)*СПРАВОЧНИК!$J$9)+СПРАВОЧНИК!$E$10*(('ФАКТ ЧЕРН К2'!E24)*СПРАВОЧНИК!$H$10+('ФАКТ ЧЕРН К2'!F24)*СПРАВОЧНИК!$I$10+('ФАКТ ЧЕРН К2'!G24)*СПРАВОЧНИК!$J$10)+СПРАВОЧНИК!$E$11*(('ФАКТ ЧЕРН К2'!H24)*СПРАВОЧНИК!$H$11+('ФАКТ ЧЕРН К2'!I24)*СПРАВОЧНИК!$I$11+('ФАКТ ЧЕРН К2'!J24)*СПРАВОЧНИК!$J$11)+СПРАВОЧНИК!$E$12*(('ФАКТ ЧЕРН К2'!K24)*СПРАВОЧНИК!$H$12+('ФАКТ ЧЕРН К2'!L24)*СПРАВОЧНИК!$I$12+('ФАКТ ЧЕРН К2'!M24)*СПРАВОЧНИК!$J$12)+СПРАВОЧНИК!$E$13*(('ФАКТ ЧЕРН К2'!N24)*СПРАВОЧНИК!$H$13+('ФАКТ ЧЕРН К2'!O24)*СПРАВОЧНИК!$I$13+('ФАКТ ЧЕРН К2'!P24)*СПРАВОЧНИК!$J$13)+СПРАВОЧНИК!$E$14*(('ФАКТ ЧЕРН К2'!Q24)*СПРАВОЧНИК!$H$14+('ФАКТ ЧЕРН К2'!R24)*СПРАВОЧНИК!$I$14+('ФАКТ ЧЕРН К2'!S24)*СПРАВОЧНИК!$J$14)+СПРАВОЧНИК!$E$15*(('ФАКТ ЧЕРН К2'!T24)*СПРАВОЧНИК!$H$15+('ФАКТ ЧЕРН К2'!U24)*СПРАВОЧНИК!$I$15+('ФАКТ ЧЕРН К2'!V24)*СПРАВОЧНИК!$J$15)+СПРАВОЧНИК!$F$9*(('ФАКТ ЧИСТ К2'!B24)*СПРАВОЧНИК!$L$9+('ФАКТ ЧИСТ К2'!C24)*СПРАВОЧНИК!$M$9+('ФАКТ ЧИСТ К2'!D24)*СПРАВОЧНИК!$N$9+('ФАКТ ЧИСТ К2'!E24)*СПРАВОЧНИК!$O$9)+СПРАВОЧНИК!$F$10*(('ФАКТ ЧИСТ К2'!F24)*СПРАВОЧНИК!$L$10+('ФАКТ ЧИСТ К2'!G24)*СПРАВОЧНИК!$M$10+('ФАКТ ЧИСТ К2'!H24)*СПРАВОЧНИК!$N$10)+СПРАВОЧНИК!$F$11*(('ФАКТ ЧИСТ К2'!I24)*СПРАВОЧНИК!$L$11+('ФАКТ ЧИСТ К2'!J24)*СПРАВОЧНИК!$M$11+('ФАКТ ЧИСТ К2'!K24)*СПРАВОЧНИК!$N$11)+СПРАВОЧНИК!$F$12*(('ФАКТ ЧИСТ К2'!L24)*СПРАВОЧНИК!$L$12+('ФАКТ ЧИСТ К2'!M24)*СПРАВОЧНИК!$M$12+('ФАКТ ЧИСТ К2'!N24)*СПРАВОЧНИК!$N$12)+СПРАВОЧНИК!$F$13*(('ФАКТ ЧИСТ К2'!O24)*СПРАВОЧНИК!$L$13+('ФАКТ ЧИСТ К2'!P24)*СПРАВОЧНИК!$M$13+('ФАКТ ЧИСТ К2'!Q24)*СПРАВОЧНИК!$N$13)+СПРАВОЧНИК!$F$14*(('ФАКТ ЧИСТ К2'!R24)*СПРАВОЧНИК!$L$14+('ФАКТ ЧИСТ К2'!S24)*СПРАВОЧНИК!$M$14+('ФАКТ ЧИСТ К2'!T24)*СПРАВОЧНИК!$N$14)+СПРАВОЧНИК!$F$15*(('ФАКТ ЧИСТ К2'!U24)*СПРАВОЧНИК!$L$15+('ФАКТ ЧИСТ К2'!V24)*СПРАВОЧНИК!$M$15+('ФАКТ ЧИСТ К2'!W24)*СПРАВОЧНИК!$N$15)</f>
        <v>0</v>
      </c>
      <c r="AS33" s="18">
        <f t="shared" si="19"/>
        <v>46307</v>
      </c>
      <c r="AT33" s="37">
        <f>'ПЛАН ЧЕРН К2'!B24*СПРАВОЧНИК!$H$9+'ПЛАН ЧЕРН К2'!C24*СПРАВОЧНИК!$I$9+'ПЛАН ЧЕРН К2'!D24*СПРАВОЧНИК!$J$9+'ПЛАН ЧЕРН К2'!E24*СПРАВОЧНИК!$H$10+'ПЛАН ЧЕРН К2'!F24*СПРАВОЧНИК!$I$10+'ПЛАН ЧЕРН К2'!G24*СПРАВОЧНИК!$J$10+'ПЛАН ЧЕРН К2'!H24*СПРАВОЧНИК!$H$11+'ПЛАН ЧЕРН К2'!I24*СПРАВОЧНИК!$I$11+'ПЛАН ЧЕРН К2'!J24*СПРАВОЧНИК!$J$11+'ПЛАН ЧЕРН К2'!K24*СПРАВОЧНИК!$H$12+'ПЛАН ЧЕРН К2'!L24*СПРАВОЧНИК!$I$12+'ПЛАН ЧЕРН К2'!M24*СПРАВОЧНИК!$J$12+'ПЛАН ЧЕРН К2'!N24*СПРАВОЧНИК!$H$13+'ПЛАН ЧЕРН К2'!O24*СПРАВОЧНИК!$I$13+'ПЛАН ЧЕРН К2'!P24*СПРАВОЧНИК!$J$13+'ПЛАН ЧЕРН К2'!Q24*СПРАВОЧНИК!$H$14+'ПЛАН ЧЕРН К2'!R24*СПРАВОЧНИК!$I$14+'ПЛАН ЧЕРН К2'!S24*СПРАВОЧНИК!$J$14+'ПЛАН ЧЕРН К2'!T24*СПРАВОЧНИК!$H$15+'ПЛАН ЧЕРН К2'!U24*СПРАВОЧНИК!$I$15+'ПЛАН ЧЕРН К2'!V24*СПРАВОЧНИК!$J$15</f>
        <v>0</v>
      </c>
      <c r="AU33" s="40">
        <f>('ФАКТ ЧЕРН К2'!B24)*СПРАВОЧНИК!$H$9+('ФАКТ ЧЕРН К2'!C24)*СПРАВОЧНИК!$I$9+('ФАКТ ЧЕРН К2'!D24)*СПРАВОЧНИК!$J$9+('ФАКТ ЧЕРН К2'!E24)*СПРАВОЧНИК!$H$10+('ФАКТ ЧЕРН К2'!F24)*СПРАВОЧНИК!$I$10+('ФАКТ ЧЕРН К2'!G24)*СПРАВОЧНИК!$J$10+('ФАКТ ЧЕРН К2'!H24)*СПРАВОЧНИК!$H$11+('ФАКТ ЧЕРН К2'!I24)*СПРАВОЧНИК!$I$11+('ФАКТ ЧЕРН К2'!J24)*СПРАВОЧНИК!$J$11+('ФАКТ ЧЕРН К2'!K24)*СПРАВОЧНИК!$H$12+('ФАКТ ЧЕРН К2'!L24)*СПРАВОЧНИК!$I$12+('ФАКТ ЧЕРН К2'!M24)*СПРАВОЧНИК!$J$12+('ФАКТ ЧЕРН К2'!N24)*СПРАВОЧНИК!$H$13+('ФАКТ ЧЕРН К2'!O24)*СПРАВОЧНИК!$I$13+('ФАКТ ЧЕРН К2'!P24)*СПРАВОЧНИК!$J$13+('ФАКТ ЧЕРН К2'!Q24)*СПРАВОЧНИК!$H$14+('ФАКТ ЧЕРН К2'!R24)*СПРАВОЧНИК!$I$14+('ФАКТ ЧЕРН К2'!S24)*СПРАВОЧНИК!$J$14+('ФАКТ ЧЕРН К2'!T24)*СПРАВОЧНИК!$H$15+('ФАКТ ЧЕРН К2'!U24)*СПРАВОЧНИК!$I$15+('ФАКТ ЧЕРН К2'!V24)*СПРАВОЧНИК!$J$15</f>
        <v>0</v>
      </c>
      <c r="AY33" s="18">
        <f t="shared" si="20"/>
        <v>46307</v>
      </c>
      <c r="AZ33" s="37">
        <f>'ПЛАН ЧИСТ К2'!B24*СПРАВОЧНИК!$L$9+'ПЛАН ЧИСТ К2'!C24*СПРАВОЧНИК!$M$9+'ПЛАН ЧИСТ К2'!D24*СПРАВОЧНИК!$N$9+'ПЛАН ЧИСТ К2'!E24*СПРАВОЧНИК!$O$9+'ПЛАН ЧИСТ К2'!F24*СПРАВОЧНИК!$L$10+'ПЛАН ЧИСТ К2'!G24*СПРАВОЧНИК!$M$10+'ПЛАН ЧИСТ К2'!H24*СПРАВОЧНИК!$N$10+'ПЛАН ЧИСТ К2'!I24*СПРАВОЧНИК!$L$11+'ПЛАН ЧИСТ К2'!J24*СПРАВОЧНИК!$M$11+'ПЛАН ЧИСТ К2'!K24*СПРАВОЧНИК!$N$11+'ПЛАН ЧИСТ К2'!L24*СПРАВОЧНИК!$L$12+'ПЛАН ЧИСТ К2'!M24*СПРАВОЧНИК!$M$12+'ПЛАН ЧИСТ К2'!N24*СПРАВОЧНИК!$N$12+'ПЛАН ЧИСТ К2'!O24*СПРАВОЧНИК!$L$13+'ПЛАН ЧИСТ К2'!P24*СПРАВОЧНИК!$M$13+'ПЛАН ЧИСТ К2'!Q24*СПРАВОЧНИК!$N$13+'ПЛАН ЧИСТ К2'!R24*СПРАВОЧНИК!$L$14+'ПЛАН ЧИСТ К2'!S24*СПРАВОЧНИК!$M$14+'ПЛАН ЧИСТ К2'!T24*СПРАВОЧНИК!$N$14+'ПЛАН ЧИСТ К2'!U24*СПРАВОЧНИК!$L$15+'ПЛАН ЧИСТ К2'!V24*СПРАВОЧНИК!$M$15+'ПЛАН ЧИСТ К2'!W24*СПРАВОЧНИК!$N$15</f>
        <v>0</v>
      </c>
      <c r="BA33" s="40">
        <f>('ФАКТ ЧИСТ К2'!B24)*СПРАВОЧНИК!$L$9+('ФАКТ ЧИСТ К2'!C24)*СПРАВОЧНИК!$M$9+('ФАКТ ЧИСТ К2'!D24)*СПРАВОЧНИК!$N$9+('ФАКТ ЧИСТ К2'!E24)*СПРАВОЧНИК!$O$9+('ФАКТ ЧИСТ К2'!F24)*СПРАВОЧНИК!$L$10+('ФАКТ ЧИСТ К2'!G24)*СПРАВОЧНИК!$M$10+('ФАКТ ЧИСТ К2'!H24)*СПРАВОЧНИК!$N$10+('ФАКТ ЧИСТ К2'!I24)*СПРАВОЧНИК!$L$11+('ФАКТ ЧИСТ К2'!J24)*СПРАВОЧНИК!$M$11+('ФАКТ ЧИСТ К2'!K24)*СПРАВОЧНИК!$N$11+('ФАКТ ЧИСТ К2'!L24)*СПРАВОЧНИК!$L$12+('ФАКТ ЧИСТ К2'!M24)*СПРАВОЧНИК!$M$12+('ФАКТ ЧИСТ К2'!N24)*СПРАВОЧНИК!$N$12+('ФАКТ ЧИСТ К2'!O24)*СПРАВОЧНИК!$L$13+('ФАКТ ЧИСТ К2'!P24)*СПРАВОЧНИК!$M$13+('ФАКТ ЧИСТ К2'!Q24)*СПРАВОЧНИК!$N$13+('ФАКТ ЧИСТ К2'!R24)*СПРАВОЧНИК!$L$14+('ФАКТ ЧИСТ К2'!S24)*СПРАВОЧНИК!$M$14+('ФАКТ ЧИСТ К2'!T24)*СПРАВОЧНИК!$N$14+('ФАКТ ЧИСТ К2'!U24)*СПРАВОЧНИК!$L$15+('ФАКТ ЧИСТ К2'!V24)*СПРАВОЧНИК!$M$15+('ФАКТ ЧИСТ К2'!W24)*СПРАВОЧНИК!$N$15</f>
        <v>0</v>
      </c>
      <c r="BE33" s="18">
        <f t="shared" si="21"/>
        <v>46307</v>
      </c>
      <c r="BF33" s="37">
        <f>СПРАВОЧНИК!$E$9*('ПЛАН ЧЕРН К3'!B24*СПРАВОЧНИК!$H$9+'ПЛАН ЧЕРН К3'!C24*СПРАВОЧНИК!$I$9+'ПЛАН ЧЕРН К3'!D24*СПРАВОЧНИК!$J$9)+СПРАВОЧНИК!$E$10*('ПЛАН ЧЕРН К3'!E24*СПРАВОЧНИК!$H$10+'ПЛАН ЧЕРН К3'!F24*СПРАВОЧНИК!$I$10+'ПЛАН ЧЕРН К3'!G24*СПРАВОЧНИК!$J$10)+СПРАВОЧНИК!$E$11*('ПЛАН ЧЕРН К3'!H24*СПРАВОЧНИК!$H$11+'ПЛАН ЧЕРН К3'!I24*СПРАВОЧНИК!$I$11+'ПЛАН ЧЕРН К3'!J24*СПРАВОЧНИК!$J$11)+СПРАВОЧНИК!$E$12*('ПЛАН ЧЕРН К3'!K24*СПРАВОЧНИК!$H$12+'ПЛАН ЧЕРН К3'!L24*СПРАВОЧНИК!$I$12+'ПЛАН ЧЕРН К3'!M24*СПРАВОЧНИК!$J$12)+СПРАВОЧНИК!$E$13*('ПЛАН ЧЕРН К3'!N24*СПРАВОЧНИК!$H$13+'ПЛАН ЧЕРН К3'!O24*СПРАВОЧНИК!$I$13+'ПЛАН ЧЕРН К3'!P24*СПРАВОЧНИК!$J$13)+СПРАВОЧНИК!$E$14*('ПЛАН ЧЕРН К3'!Q24*СПРАВОЧНИК!$H$14+'ПЛАН ЧЕРН К3'!R24*СПРАВОЧНИК!$I$14+'ПЛАН ЧЕРН К3'!S24*СПРАВОЧНИК!$J$14)+СПРАВОЧНИК!$E$15*('ПЛАН ЧЕРН К3'!T24*СПРАВОЧНИК!$H$15+'ПЛАН ЧЕРН К3'!U24*СПРАВОЧНИК!$I$15+'ПЛАН ЧЕРН К3'!V24*СПРАВОЧНИК!$J$15)+СПРАВОЧНИК!$F$9*('ПЛАН ЧИСТ К3'!B24*СПРАВОЧНИК!$L$9+'ПЛАН ЧИСТ К3'!C24*СПРАВОЧНИК!$M$9+'ПЛАН ЧИСТ К3'!D24*СПРАВОЧНИК!$N$9+'ПЛАН ЧИСТ К3'!E24*СПРАВОЧНИК!$O$9)+СПРАВОЧНИК!$F$10*('ПЛАН ЧИСТ К3'!F24*СПРАВОЧНИК!$L$10+'ПЛАН ЧИСТ К3'!G24*СПРАВОЧНИК!$M$10+'ПЛАН ЧИСТ К3'!H24*СПРАВОЧНИК!$N$10)+СПРАВОЧНИК!$F$11*('ПЛАН ЧИСТ К3'!I24*СПРАВОЧНИК!$L$11+'ПЛАН ЧИСТ К3'!J24*СПРАВОЧНИК!$M$11+'ПЛАН ЧИСТ К3'!K24*СПРАВОЧНИК!$N$11)+СПРАВОЧНИК!$F$12*('ПЛАН ЧИСТ К3'!L24*СПРАВОЧНИК!$L$12+'ПЛАН ЧИСТ К3'!M24*СПРАВОЧНИК!$M$12+'ПЛАН ЧИСТ К3'!N24*СПРАВОЧНИК!$N$12)+СПРАВОЧНИК!$F$13*('ПЛАН ЧИСТ К3'!O24*СПРАВОЧНИК!$L$13+'ПЛАН ЧИСТ К3'!P24*СПРАВОЧНИК!$M$13+'ПЛАН ЧИСТ К3'!Q24*СПРАВОЧНИК!$N$13)+СПРАВОЧНИК!$F$14*('ПЛАН ЧИСТ К3'!R24*СПРАВОЧНИК!$L$14+'ПЛАН ЧИСТ К3'!S24*СПРАВОЧНИК!$M$14+'ПЛАН ЧИСТ К3'!T24*СПРАВОЧНИК!$N$14)+СПРАВОЧНИК!$F$15*('ПЛАН ЧИСТ К3'!U24*СПРАВОЧНИК!$L$15+'ПЛАН ЧИСТ К3'!V24*СПРАВОЧНИК!$M$15+'ПЛАН ЧИСТ К3'!W24*СПРАВОЧНИК!$N$15)</f>
        <v>0</v>
      </c>
      <c r="BG33" s="40">
        <f>СПРАВОЧНИК!$E$9*(('ФАКТ ЧЕРН К3'!B24)*СПРАВОЧНИК!$H$9+('ФАКТ ЧЕРН К3'!C24)*СПРАВОЧНИК!$I$9+('ФАКТ ЧЕРН К3'!D24)*СПРАВОЧНИК!$J$9)+СПРАВОЧНИК!$E$10*(('ФАКТ ЧЕРН К3'!E24)*СПРАВОЧНИК!$H$10+('ФАКТ ЧЕРН К3'!F24)*СПРАВОЧНИК!$I$10+('ФАКТ ЧЕРН К3'!G24)*СПРАВОЧНИК!$J$10)+СПРАВОЧНИК!$E$11*(('ФАКТ ЧЕРН К3'!H24)*СПРАВОЧНИК!$H$11+('ФАКТ ЧЕРН К3'!I24)*СПРАВОЧНИК!$I$11+('ФАКТ ЧЕРН К3'!J24)*СПРАВОЧНИК!$J$11)+СПРАВОЧНИК!$E$12*(('ФАКТ ЧЕРН К3'!K24)*СПРАВОЧНИК!$H$12+('ФАКТ ЧЕРН К3'!L24)*СПРАВОЧНИК!$I$12+('ФАКТ ЧЕРН К3'!M24)*СПРАВОЧНИК!$J$12)+СПРАВОЧНИК!$E$13*(('ФАКТ ЧЕРН К3'!N24)*СПРАВОЧНИК!$H$13+('ФАКТ ЧЕРН К3'!O24)*СПРАВОЧНИК!$I$13+('ФАКТ ЧЕРН К3'!P24)*СПРАВОЧНИК!$J$13)+СПРАВОЧНИК!$E$14*(('ФАКТ ЧЕРН К3'!Q24)*СПРАВОЧНИК!$H$14+('ФАКТ ЧЕРН К3'!R24)*СПРАВОЧНИК!$I$14+('ФАКТ ЧЕРН К3'!S24)*СПРАВОЧНИК!$J$14)+СПРАВОЧНИК!$E$15*(('ФАКТ ЧЕРН К3'!T24)*СПРАВОЧНИК!$H$15+('ФАКТ ЧЕРН К3'!U24)*СПРАВОЧНИК!$I$15+('ФАКТ ЧЕРН К3'!V24)*СПРАВОЧНИК!$J$15)+СПРАВОЧНИК!$F$9*(('ФАКТ ЧИСТ К3'!B24)*СПРАВОЧНИК!$L$9+('ФАКТ ЧИСТ К3'!C24)*СПРАВОЧНИК!$M$9+('ФАКТ ЧИСТ К3'!D24)*СПРАВОЧНИК!$N$9+('ФАКТ ЧИСТ К3'!E24)*СПРАВОЧНИК!$O$9)+СПРАВОЧНИК!$F$10*(('ФАКТ ЧИСТ К3'!F24)*СПРАВОЧНИК!$L$10+('ФАКТ ЧИСТ К3'!G24)*СПРАВОЧНИК!$M$10+('ФАКТ ЧИСТ К3'!H24)*СПРАВОЧНИК!$N$10)+СПРАВОЧНИК!$F$11*(('ФАКТ ЧИСТ К3'!I24)*СПРАВОЧНИК!$L$11+('ФАКТ ЧИСТ К3'!J24)*СПРАВОЧНИК!$M$11+('ФАКТ ЧИСТ К3'!K24)*СПРАВОЧНИК!$N$11)+СПРАВОЧНИК!$F$12*(('ФАКТ ЧИСТ К3'!L24)*СПРАВОЧНИК!$L$12+('ФАКТ ЧИСТ К3'!M24)*СПРАВОЧНИК!$M$12+('ФАКТ ЧИСТ К3'!N24)*СПРАВОЧНИК!$N$12)+СПРАВОЧНИК!$F$13*(('ФАКТ ЧИСТ К3'!O24)*СПРАВОЧНИК!$L$13+('ФАКТ ЧИСТ К3'!P24)*СПРАВОЧНИК!$M$13+('ФАКТ ЧИСТ К3'!Q24)*СПРАВОЧНИК!$N$13)+СПРАВОЧНИК!$F$14*(('ФАКТ ЧИСТ К3'!R24)*СПРАВОЧНИК!$L$14+('ФАКТ ЧИСТ К3'!S24)*СПРАВОЧНИК!$M$14+('ФАКТ ЧИСТ К3'!T24)*СПРАВОЧНИК!$N$14)+СПРАВОЧНИК!$F$15*(('ФАКТ ЧИСТ К3'!U24)*СПРАВОЧНИК!$L$15+('ФАКТ ЧИСТ К3'!V24)*СПРАВОЧНИК!$M$15+('ФАКТ ЧИСТ К3'!W24)*СПРАВОЧНИК!$N$15)</f>
        <v>0</v>
      </c>
      <c r="BK33" s="18">
        <f t="shared" si="22"/>
        <v>46307</v>
      </c>
      <c r="BL33" s="37">
        <f>'ПЛАН ЧЕРН К3'!B24*СПРАВОЧНИК!$H$9+'ПЛАН ЧЕРН К3'!C24*СПРАВОЧНИК!$I$9+'ПЛАН ЧЕРН К3'!D24*СПРАВОЧНИК!$J$9+'ПЛАН ЧЕРН К3'!E24*СПРАВОЧНИК!$H$10+'ПЛАН ЧЕРН К3'!F24*СПРАВОЧНИК!$I$10+'ПЛАН ЧЕРН К3'!G24*СПРАВОЧНИК!$J$10+'ПЛАН ЧЕРН К3'!H24*СПРАВОЧНИК!$H$11+'ПЛАН ЧЕРН К3'!I24*СПРАВОЧНИК!$I$11+'ПЛАН ЧЕРН К3'!J24*СПРАВОЧНИК!$J$11+'ПЛАН ЧЕРН К3'!K24*СПРАВОЧНИК!$H$12+'ПЛАН ЧЕРН К3'!L24*СПРАВОЧНИК!$I$12+'ПЛАН ЧЕРН К3'!M24*СПРАВОЧНИК!$J$12+'ПЛАН ЧЕРН К3'!N24*СПРАВОЧНИК!$H$13+'ПЛАН ЧЕРН К3'!O24*СПРАВОЧНИК!$I$13+'ПЛАН ЧЕРН К3'!P24*СПРАВОЧНИК!$J$13+'ПЛАН ЧЕРН К3'!Q24*СПРАВОЧНИК!$H$14+'ПЛАН ЧЕРН К3'!R24*СПРАВОЧНИК!$I$14+'ПЛАН ЧЕРН К3'!S24*СПРАВОЧНИК!$J$14+'ПЛАН ЧЕРН К3'!T24*СПРАВОЧНИК!$H$15+'ПЛАН ЧЕРН К3'!U24*СПРАВОЧНИК!$I$15+'ПЛАН ЧЕРН К3'!V24*СПРАВОЧНИК!$J$15</f>
        <v>0</v>
      </c>
      <c r="BM33" s="40">
        <f>('ФАКТ ЧЕРН К3'!B24)*СПРАВОЧНИК!$H$9+('ФАКТ ЧЕРН К3'!C24)*СПРАВОЧНИК!$I$9+('ФАКТ ЧЕРН К3'!D24)*СПРАВОЧНИК!$J$9+('ФАКТ ЧЕРН К3'!E24)*СПРАВОЧНИК!$H$10+('ФАКТ ЧЕРН К3'!F24)*СПРАВОЧНИК!$I$10+('ФАКТ ЧЕРН К3'!G24)*СПРАВОЧНИК!$J$10+('ФАКТ ЧЕРН К3'!H24)*СПРАВОЧНИК!$H$11+('ФАКТ ЧЕРН К3'!I24)*СПРАВОЧНИК!$I$11+('ФАКТ ЧЕРН К3'!J24)*СПРАВОЧНИК!$J$11+('ФАКТ ЧЕРН К3'!K24)*СПРАВОЧНИК!$H$12+('ФАКТ ЧЕРН К3'!L24)*СПРАВОЧНИК!$I$12+('ФАКТ ЧЕРН К3'!M24)*СПРАВОЧНИК!$J$12+('ФАКТ ЧЕРН К3'!N24)*СПРАВОЧНИК!$H$13+('ФАКТ ЧЕРН К3'!O24)*СПРАВОЧНИК!$I$13+('ФАКТ ЧЕРН К3'!P24)*СПРАВОЧНИК!$J$13+('ФАКТ ЧЕРН К3'!Q24)*СПРАВОЧНИК!$H$14+('ФАКТ ЧЕРН К3'!R24)*СПРАВОЧНИК!$I$14+('ФАКТ ЧЕРН К3'!S24)*СПРАВОЧНИК!$J$14+('ФАКТ ЧЕРН К3'!T24)*СПРАВОЧНИК!$H$15+('ФАКТ ЧЕРН К3'!U24)*СПРАВОЧНИК!$I$15+('ФАКТ ЧЕРН К3'!V24)*СПРАВОЧНИК!$J$15</f>
        <v>0</v>
      </c>
      <c r="BQ33" s="18">
        <f t="shared" si="23"/>
        <v>46307</v>
      </c>
      <c r="BR33" s="37">
        <f>'ПЛАН ЧИСТ К3'!B24*СПРАВОЧНИК!$L$9+'ПЛАН ЧИСТ К3'!C24*СПРАВОЧНИК!$M$9+'ПЛАН ЧИСТ К3'!D24*СПРАВОЧНИК!$N$9+'ПЛАН ЧИСТ К3'!E24*СПРАВОЧНИК!$O$9+'ПЛАН ЧИСТ К3'!F24*СПРАВОЧНИК!$L$10+'ПЛАН ЧИСТ К3'!G24*СПРАВОЧНИК!$M$10+'ПЛАН ЧИСТ К3'!H24*СПРАВОЧНИК!$N$10+'ПЛАН ЧИСТ К3'!I24*СПРАВОЧНИК!$L$11+'ПЛАН ЧИСТ К3'!J24*СПРАВОЧНИК!$M$11+'ПЛАН ЧИСТ К3'!K24*СПРАВОЧНИК!$N$11+'ПЛАН ЧИСТ К3'!L24*СПРАВОЧНИК!$L$12+'ПЛАН ЧИСТ К3'!M24*СПРАВОЧНИК!$M$12+'ПЛАН ЧИСТ К3'!N24*СПРАВОЧНИК!$N$12+'ПЛАН ЧИСТ К3'!O24*СПРАВОЧНИК!$L$13+'ПЛАН ЧИСТ К3'!P24*СПРАВОЧНИК!$M$13+'ПЛАН ЧИСТ К3'!Q24*СПРАВОЧНИК!$N$13+'ПЛАН ЧИСТ К3'!R24*СПРАВОЧНИК!$L$14+'ПЛАН ЧИСТ К3'!S24*СПРАВОЧНИК!$M$14+'ПЛАН ЧИСТ К3'!T24*СПРАВОЧНИК!$N$14+'ПЛАН ЧИСТ К3'!U24*СПРАВОЧНИК!$L$15+'ПЛАН ЧИСТ К3'!V24*СПРАВОЧНИК!$M$15+'ПЛАН ЧИСТ К3'!W24*СПРАВОЧНИК!$N$15</f>
        <v>0</v>
      </c>
      <c r="BS33" s="40">
        <f>('ФАКТ ЧИСТ К3'!B24)*СПРАВОЧНИК!$L$9+('ФАКТ ЧИСТ К3'!C24)*СПРАВОЧНИК!$M$9+('ФАКТ ЧИСТ К3'!D24)*СПРАВОЧНИК!$N$9+('ФАКТ ЧИСТ К3'!E24)*СПРАВОЧНИК!$O$9+('ФАКТ ЧИСТ К3'!F24)*СПРАВОЧНИК!$L$10+('ФАКТ ЧИСТ К3'!G24)*СПРАВОЧНИК!$M$10+('ФАКТ ЧИСТ К3'!H24)*СПРАВОЧНИК!$N$10+('ФАКТ ЧИСТ К3'!I24)*СПРАВОЧНИК!$L$11+('ФАКТ ЧИСТ К3'!J24)*СПРАВОЧНИК!$M$11+('ФАКТ ЧИСТ К3'!K24)*СПРАВОЧНИК!$N$11+('ФАКТ ЧИСТ К3'!L24)*СПРАВОЧНИК!$L$12+('ФАКТ ЧИСТ К3'!M24)*СПРАВОЧНИК!$M$12+('ФАКТ ЧИСТ К3'!N24)*СПРАВОЧНИК!$N$12+('ФАКТ ЧИСТ К3'!O24)*СПРАВОЧНИК!$L$13+('ФАКТ ЧИСТ К3'!P24)*СПРАВОЧНИК!$M$13+('ФАКТ ЧИСТ К3'!Q24)*СПРАВОЧНИК!$N$13+('ФАКТ ЧИСТ К3'!R24)*СПРАВОЧНИК!$L$14+('ФАКТ ЧИСТ К3'!S24)*СПРАВОЧНИК!$M$14+('ФАКТ ЧИСТ К3'!T24)*СПРАВОЧНИК!$N$14+('ФАКТ ЧИСТ К3'!U24)*СПРАВОЧНИК!$L$15+('ФАКТ ЧИСТ К3'!V24)*СПРАВОЧНИК!$M$15+('ФАКТ ЧИСТ К3'!W24)*СПРАВОЧНИК!$N$15</f>
        <v>0</v>
      </c>
      <c r="BW33" s="18">
        <f t="shared" si="24"/>
        <v>46307</v>
      </c>
      <c r="BX33" s="37">
        <f t="shared" si="0"/>
        <v>0</v>
      </c>
      <c r="BY33" s="40">
        <f t="shared" si="1"/>
        <v>0</v>
      </c>
      <c r="CC33" s="18">
        <f t="shared" si="25"/>
        <v>46307</v>
      </c>
      <c r="CD33" s="37">
        <f t="shared" si="2"/>
        <v>0</v>
      </c>
      <c r="CE33" s="40">
        <f t="shared" si="3"/>
        <v>0</v>
      </c>
      <c r="CI33" s="18">
        <f t="shared" si="26"/>
        <v>46307</v>
      </c>
      <c r="CJ33" s="37">
        <f t="shared" si="4"/>
        <v>0</v>
      </c>
      <c r="CK33" s="40">
        <f t="shared" si="5"/>
        <v>0</v>
      </c>
      <c r="CO33" s="18">
        <f t="shared" si="27"/>
        <v>46307</v>
      </c>
      <c r="CP33" s="37">
        <f t="shared" si="6"/>
        <v>0</v>
      </c>
      <c r="CQ33" s="40">
        <f t="shared" si="7"/>
        <v>0</v>
      </c>
      <c r="CU33" s="18">
        <f t="shared" si="28"/>
        <v>46307</v>
      </c>
      <c r="CV33" s="37">
        <f t="shared" si="8"/>
        <v>0</v>
      </c>
      <c r="CW33" s="40">
        <f t="shared" si="9"/>
        <v>0</v>
      </c>
      <c r="DA33" s="18">
        <f t="shared" si="29"/>
        <v>46307</v>
      </c>
      <c r="DB33" s="37">
        <f t="shared" si="10"/>
        <v>0</v>
      </c>
      <c r="DC33" s="40">
        <f t="shared" si="11"/>
        <v>0</v>
      </c>
    </row>
    <row r="34" spans="3:107" x14ac:dyDescent="0.25">
      <c r="C34" s="18">
        <f t="shared" si="12"/>
        <v>46314</v>
      </c>
      <c r="D34" s="37">
        <f>СПРАВОЧНИК!$E$3*('ПЛАН ЧЕРН ПОДЗЕМ'!B25*СПРАВОЧНИК!$H$3+'ПЛАН ЧЕРН ПОДЗЕМ'!C25*СПРАВОЧНИК!$I$3+'ПЛАН ЧЕРН ПОДЗЕМ'!D25*СПРАВОЧНИК!$J$3)+СПРАВОЧНИК!$E$4*('ПЛАН ЧЕРН ПОДЗЕМ'!E25*СПРАВОЧНИК!$H$4+'ПЛАН ЧЕРН ПОДЗЕМ'!F25*СПРАВОЧНИК!$I$4+'ПЛАН ЧЕРН ПОДЗЕМ'!G25*СПРАВОЧНИК!$J$4)+СПРАВОЧНИК!$E$5*('ПЛАН ЧЕРН ПОДЗЕМ'!H25*СПРАВОЧНИК!$H$5+'ПЛАН ЧЕРН ПОДЗЕМ'!I25*СПРАВОЧНИК!$I$5+'ПЛАН ЧЕРН ПОДЗЕМ'!J25*СПРАВОЧНИК!$J$5)+СПРАВОЧНИК!$E$6*('ПЛАН ЧЕРН ПОДЗЕМ'!K25*СПРАВОЧНИК!$H$6+'ПЛАН ЧЕРН ПОДЗЕМ'!L25*СПРАВОЧНИК!$I$6+'ПЛАН ЧЕРН ПОДЗЕМ'!M25*СПРАВОЧНИК!$J$6)+СПРАВОЧНИК!$E$7*('ПЛАН ЧЕРН ПОДЗЕМ'!N25*СПРАВОЧНИК!$H$7+'ПЛАН ЧЕРН ПОДЗЕМ'!O25*СПРАВОЧНИК!$I$7+'ПЛАН ЧЕРН ПОДЗЕМ'!P25*СПРАВОЧНИК!$J$7)+СПРАВОЧНИК!$E$8*('ПЛАН ЧЕРН ПОДЗЕМ'!Q25*СПРАВОЧНИК!$H$8+'ПЛАН ЧЕРН ПОДЗЕМ'!R25*СПРАВОЧНИК!$I$8+'ПЛАН ЧЕРН ПОДЗЕМ'!S25*СПРАВОЧНИК!$J$8)+СПРАВОЧНИК!$F$3*('ПЛАН ЧИСТ ПОДЗЕМ'!B25*СПРАВОЧНИК!$L$3+'ПЛАН ЧИСТ ПОДЗЕМ'!C25*СПРАВОЧНИК!$M$3+'ПЛАН ЧИСТ ПОДЗЕМ'!D25*СПРАВОЧНИК!$N$3)+СПРАВОЧНИК!$F$4*('ПЛАН ЧИСТ ПОДЗЕМ'!E25*СПРАВОЧНИК!$L$4+'ПЛАН ЧИСТ ПОДЗЕМ'!F25*СПРАВОЧНИК!$M$4+'ПЛАН ЧИСТ ПОДЗЕМ'!G25*СПРАВОЧНИК!$N$4)+СПРАВОЧНИК!$F$5*('ПЛАН ЧИСТ ПОДЗЕМ'!H25*СПРАВОЧНИК!$L$5+'ПЛАН ЧИСТ ПОДЗЕМ'!I25*СПРАВОЧНИК!$M$5+'ПЛАН ЧИСТ ПОДЗЕМ'!J25*СПРАВОЧНИК!$N$5)+СПРАВОЧНИК!$F$6*('ПЛАН ЧИСТ ПОДЗЕМ'!K25*СПРАВОЧНИК!$L$6+'ПЛАН ЧИСТ ПОДЗЕМ'!L25*СПРАВОЧНИК!$M$6+'ПЛАН ЧИСТ ПОДЗЕМ'!M25*СПРАВОЧНИК!$N$6)+СПРАВОЧНИК!$F$7*('ПЛАН ЧИСТ ПОДЗЕМ'!N25*СПРАВОЧНИК!$L$7+'ПЛАН ЧИСТ ПОДЗЕМ'!O25*СПРАВОЧНИК!$M$7+'ПЛАН ЧИСТ ПОДЗЕМ'!P25*СПРАВОЧНИК!$N$7)+СПРАВОЧНИК!$F$8*('ПЛАН ЧИСТ ПОДЗЕМ'!Q25*СПРАВОЧНИК!$L$8+'ПЛАН ЧИСТ ПОДЗЕМ'!R25*СПРАВОЧНИК!$M$8+'ПЛАН ЧИСТ ПОДЗЕМ'!S25*СПРАВОЧНИК!$N$8)</f>
        <v>0</v>
      </c>
      <c r="E34" s="40">
        <f>СПРАВОЧНИК!$E$3*(('ФАКТ ЧЕРН ПОДЗЕМ'!B25)*СПРАВОЧНИК!$H$3+('ФАКТ ЧЕРН ПОДЗЕМ'!C25)*СПРАВОЧНИК!$I$3+('ФАКТ ЧЕРН ПОДЗЕМ'!D25)*СПРАВОЧНИК!$J$3)+СПРАВОЧНИК!$E$4*(('ФАКТ ЧЕРН ПОДЗЕМ'!E25)*СПРАВОЧНИК!$H$4+('ФАКТ ЧЕРН ПОДЗЕМ'!F25)*СПРАВОЧНИК!$I$4+('ФАКТ ЧЕРН ПОДЗЕМ'!G25)*СПРАВОЧНИК!$J$4)+СПРАВОЧНИК!$E$5*(('ФАКТ ЧЕРН ПОДЗЕМ'!H25)*СПРАВОЧНИК!$H$5+('ФАКТ ЧЕРН ПОДЗЕМ'!I25)*СПРАВОЧНИК!$I$5+('ФАКТ ЧЕРН ПОДЗЕМ'!J25)*СПРАВОЧНИК!$J$5)+СПРАВОЧНИК!$E$6*(('ФАКТ ЧЕРН ПОДЗЕМ'!K25)*СПРАВОЧНИК!$H$6+('ФАКТ ЧЕРН ПОДЗЕМ'!L25)*СПРАВОЧНИК!$I$6+('ФАКТ ЧЕРН ПОДЗЕМ'!M25)*СПРАВОЧНИК!$J$6)+СПРАВОЧНИК!$E$7*(('ФАКТ ЧЕРН ПОДЗЕМ'!N25)*СПРАВОЧНИК!$H$7+('ФАКТ ЧЕРН ПОДЗЕМ'!O25)*СПРАВОЧНИК!$I$7+('ФАКТ ЧЕРН ПОДЗЕМ'!P25)*СПРАВОЧНИК!$J$7)+СПРАВОЧНИК!$E$8*(('ФАКТ ЧЕРН ПОДЗЕМ'!Q25)*СПРАВОЧНИК!$H$8+('ФАКТ ЧЕРН ПОДЗЕМ'!R25)*СПРАВОЧНИК!$I$8+('ФАКТ ЧЕРН ПОДЗЕМ'!S25)*СПРАВОЧНИК!$J$8)+СПРАВОЧНИК!$F$3*(('ФАКТ ЧИСТ ПОДЗЕМ'!B25)*СПРАВОЧНИК!$L$3+('ФАКТ ЧИСТ ПОДЗЕМ'!C25)*СПРАВОЧНИК!$M$3+('ФАКТ ЧИСТ ПОДЗЕМ'!D25)*СПРАВОЧНИК!$N$3)+СПРАВОЧНИК!$F$4*(('ФАКТ ЧИСТ ПОДЗЕМ'!E25)*СПРАВОЧНИК!$L$4+('ФАКТ ЧИСТ ПОДЗЕМ'!F25)*СПРАВОЧНИК!$M$4+('ФАКТ ЧИСТ ПОДЗЕМ'!G25)*СПРАВОЧНИК!$N$4)+СПРАВОЧНИК!$F$5*(('ФАКТ ЧИСТ ПОДЗЕМ'!H25)*СПРАВОЧНИК!$L$5+('ФАКТ ЧИСТ ПОДЗЕМ'!I25)*СПРАВОЧНИК!$M$5+('ФАКТ ЧИСТ ПОДЗЕМ'!J25)*СПРАВОЧНИК!$N$5)+СПРАВОЧНИК!$F$6*(('ФАКТ ЧИСТ ПОДЗЕМ'!K25)*СПРАВОЧНИК!$L$6+('ФАКТ ЧИСТ ПОДЗЕМ'!L25)*СПРАВОЧНИК!$M$6+('ФАКТ ЧИСТ ПОДЗЕМ'!M25)*СПРАВОЧНИК!$N$6)+СПРАВОЧНИК!$F$7*(('ФАКТ ЧИСТ ПОДЗЕМ'!N25)*СПРАВОЧНИК!$L$7+('ФАКТ ЧИСТ ПОДЗЕМ'!O25)*СПРАВОЧНИК!$M$7+('ФАКТ ЧИСТ ПОДЗЕМ'!P25)*СПРАВОЧНИК!$N$7)+СПРАВОЧНИК!$F$8*(('ФАКТ ЧИСТ ПОДЗЕМ'!Q25)*СПРАВОЧНИК!$L$8+('ФАКТ ЧИСТ ПОДЗЕМ'!R25)*СПРАВОЧНИК!$M$8+('ФАКТ ЧИСТ ПОДЗЕМ'!S25)*СПРАВОЧНИК!$N$8)</f>
        <v>0</v>
      </c>
      <c r="I34" s="18">
        <f t="shared" si="13"/>
        <v>46314</v>
      </c>
      <c r="J34" s="37">
        <f>'ПЛАН ЧЕРН ПОДЗЕМ'!B25*СПРАВОЧНИК!$H$3+'ПЛАН ЧЕРН ПОДЗЕМ'!C25*СПРАВОЧНИК!$I$3+'ПЛАН ЧЕРН ПОДЗЕМ'!D25*СПРАВОЧНИК!$J$3+'ПЛАН ЧЕРН ПОДЗЕМ'!E25*СПРАВОЧНИК!$H$4+'ПЛАН ЧЕРН ПОДЗЕМ'!F25*СПРАВОЧНИК!$I$4+'ПЛАН ЧЕРН ПОДЗЕМ'!G25*СПРАВОЧНИК!$J$4+'ПЛАН ЧЕРН ПОДЗЕМ'!H25*СПРАВОЧНИК!$H$5+'ПЛАН ЧЕРН ПОДЗЕМ'!I25*СПРАВОЧНИК!$I$5+'ПЛАН ЧЕРН ПОДЗЕМ'!J25*СПРАВОЧНИК!$J$5+'ПЛАН ЧЕРН ПОДЗЕМ'!K25*СПРАВОЧНИК!$H$6+'ПЛАН ЧЕРН ПОДЗЕМ'!L25*СПРАВОЧНИК!$I$6+'ПЛАН ЧЕРН ПОДЗЕМ'!M25*СПРАВОЧНИК!$J$6+'ПЛАН ЧЕРН ПОДЗЕМ'!N25*СПРАВОЧНИК!$H$7+'ПЛАН ЧЕРН ПОДЗЕМ'!O25*СПРАВОЧНИК!$I$7+'ПЛАН ЧЕРН ПОДЗЕМ'!P25*СПРАВОЧНИК!$J$7+'ПЛАН ЧЕРН ПОДЗЕМ'!Q25*СПРАВОЧНИК!$H$8+'ПЛАН ЧЕРН ПОДЗЕМ'!R25*СПРАВОЧНИК!$I$8+'ПЛАН ЧЕРН ПОДЗЕМ'!S25*СПРАВОЧНИК!$J$8</f>
        <v>0</v>
      </c>
      <c r="K34" s="40">
        <f>('ФАКТ ЧЕРН ПОДЗЕМ'!B25)*СПРАВОЧНИК!$H$3+('ФАКТ ЧЕРН ПОДЗЕМ'!C25)*СПРАВОЧНИК!$I$3+('ФАКТ ЧЕРН ПОДЗЕМ'!D25)*СПРАВОЧНИК!$J$3+('ФАКТ ЧЕРН ПОДЗЕМ'!E25)*СПРАВОЧНИК!$H$4+('ФАКТ ЧЕРН ПОДЗЕМ'!F25)*СПРАВОЧНИК!$I$4+('ФАКТ ЧЕРН ПОДЗЕМ'!G25)*СПРАВОЧНИК!$J$4+('ФАКТ ЧЕРН ПОДЗЕМ'!H25)*СПРАВОЧНИК!$H$5+('ФАКТ ЧЕРН ПОДЗЕМ'!I25)*СПРАВОЧНИК!$I$5+('ФАКТ ЧЕРН ПОДЗЕМ'!J25)*СПРАВОЧНИК!$J$5+('ФАКТ ЧЕРН ПОДЗЕМ'!K25)*СПРАВОЧНИК!$H$6+('ФАКТ ЧЕРН ПОДЗЕМ'!L25)*СПРАВОЧНИК!$I$6+('ФАКТ ЧЕРН ПОДЗЕМ'!M25)*СПРАВОЧНИК!$J$6+('ФАКТ ЧЕРН ПОДЗЕМ'!N25)*СПРАВОЧНИК!$H$7+('ФАКТ ЧЕРН ПОДЗЕМ'!O25)*СПРАВОЧНИК!$I$7+('ФАКТ ЧЕРН ПОДЗЕМ'!P25)*СПРАВОЧНИК!$J$7+('ФАКТ ЧЕРН ПОДЗЕМ'!Q25)*СПРАВОЧНИК!$H$8+('ФАКТ ЧЕРН ПОДЗЕМ'!R25)*СПРАВОЧНИК!$I$8+('ФАКТ ЧЕРН ПОДЗЕМ'!S25)*СПРАВОЧНИК!$J$8</f>
        <v>0</v>
      </c>
      <c r="O34" s="18">
        <f t="shared" si="14"/>
        <v>46314</v>
      </c>
      <c r="P34" s="37">
        <f>'ПЛАН ЧИСТ ПОДЗЕМ'!B25*СПРАВОЧНИК!$L$3+'ПЛАН ЧИСТ ПОДЗЕМ'!C25*СПРАВОЧНИК!$M$3+'ПЛАН ЧИСТ ПОДЗЕМ'!D25*СПРАВОЧНИК!$N$3+'ПЛАН ЧИСТ ПОДЗЕМ'!E25*СПРАВОЧНИК!$L$4+'ПЛАН ЧИСТ ПОДЗЕМ'!F25*СПРАВОЧНИК!$M$4+'ПЛАН ЧИСТ ПОДЗЕМ'!G25*СПРАВОЧНИК!$N$4+'ПЛАН ЧИСТ ПОДЗЕМ'!H25*СПРАВОЧНИК!$L$5+'ПЛАН ЧИСТ ПОДЗЕМ'!I25*СПРАВОЧНИК!$M$5+'ПЛАН ЧИСТ ПОДЗЕМ'!J25*СПРАВОЧНИК!$N$5+'ПЛАН ЧИСТ ПОДЗЕМ'!K25*СПРАВОЧНИК!$L$6+'ПЛАН ЧИСТ ПОДЗЕМ'!L25*СПРАВОЧНИК!$M$6+'ПЛАН ЧИСТ ПОДЗЕМ'!M25*СПРАВОЧНИК!$N$6+'ПЛАН ЧИСТ ПОДЗЕМ'!N25*СПРАВОЧНИК!$L$7+'ПЛАН ЧИСТ ПОДЗЕМ'!O25*СПРАВОЧНИК!$M$7+'ПЛАН ЧИСТ ПОДЗЕМ'!P25*СПРАВОЧНИК!$N$7+'ПЛАН ЧИСТ ПОДЗЕМ'!Q25*СПРАВОЧНИК!$L$8+'ПЛАН ЧИСТ ПОДЗЕМ'!R25*СПРАВОЧНИК!$M$8+'ПЛАН ЧИСТ ПОДЗЕМ'!S25*СПРАВОЧНИК!$N$8</f>
        <v>0</v>
      </c>
      <c r="Q34" s="40">
        <f>('ФАКТ ЧИСТ ПОДЗЕМ'!B25)*СПРАВОЧНИК!$L$3+('ФАКТ ЧИСТ ПОДЗЕМ'!C25)*СПРАВОЧНИК!$M$3+('ФАКТ ЧИСТ ПОДЗЕМ'!D25)*СПРАВОЧНИК!$N$3+('ФАКТ ЧИСТ ПОДЗЕМ'!E25)*СПРАВОЧНИК!$L$4+('ФАКТ ЧИСТ ПОДЗЕМ'!F25)*СПРАВОЧНИК!$M$4+('ФАКТ ЧИСТ ПОДЗЕМ'!G25)*СПРАВОЧНИК!$N$4+('ФАКТ ЧИСТ ПОДЗЕМ'!H25)*СПРАВОЧНИК!$L$5+('ФАКТ ЧИСТ ПОДЗЕМ'!I25)*СПРАВОЧНИК!$M$5+('ФАКТ ЧИСТ ПОДЗЕМ'!J25)*СПРАВОЧНИК!$N$5+('ФАКТ ЧИСТ ПОДЗЕМ'!K25)*СПРАВОЧНИК!$L$6+('ФАКТ ЧИСТ ПОДЗЕМ'!L25)*СПРАВОЧНИК!$M$6+('ФАКТ ЧИСТ ПОДЗЕМ'!M25)*СПРАВОЧНИК!$N$6+('ФАКТ ЧИСТ ПОДЗЕМ'!N25)*СПРАВОЧНИК!$L$7+('ФАКТ ЧИСТ ПОДЗЕМ'!O25)*СПРАВОЧНИК!$M$7+('ФАКТ ЧИСТ ПОДЗЕМ'!P25)*СПРАВОЧНИК!$N$7+('ФАКТ ЧИСТ ПОДЗЕМ'!Q25)*СПРАВОЧНИК!$L$8+('ФАКТ ЧИСТ ПОДЗЕМ'!R25)*СПРАВОЧНИК!$M$8+('ФАКТ ЧИСТ ПОДЗЕМ'!S25)*СПРАВОЧНИК!$N$8</f>
        <v>0</v>
      </c>
      <c r="U34" s="18">
        <f t="shared" si="15"/>
        <v>46314</v>
      </c>
      <c r="V34" s="37">
        <f>СПРАВОЧНИК!$E$9*('ПЛАН ЧЕРН К1'!B25*СПРАВОЧНИК!$H$9+'ПЛАН ЧЕРН К1'!C25*СПРАВОЧНИК!$I$9+'ПЛАН ЧЕРН К1'!D25*СПРАВОЧНИК!$J$9)+СПРАВОЧНИК!$E$10*('ПЛАН ЧЕРН К1'!E25*СПРАВОЧНИК!$H$10+'ПЛАН ЧЕРН К1'!F25*СПРАВОЧНИК!$I$10+'ПЛАН ЧЕРН К1'!G25*СПРАВОЧНИК!$J$10)+СПРАВОЧНИК!$E$11*('ПЛАН ЧЕРН К1'!H25*СПРАВОЧНИК!$H$11+'ПЛАН ЧЕРН К1'!I25*СПРАВОЧНИК!$I$11+'ПЛАН ЧЕРН К1'!J25*СПРАВОЧНИК!$J$11)+СПРАВОЧНИК!$E$12*('ПЛАН ЧЕРН К1'!K25*СПРАВОЧНИК!$H$12+'ПЛАН ЧЕРН К1'!L25*СПРАВОЧНИК!$I$12+'ПЛАН ЧЕРН К1'!M25*СПРАВОЧНИК!$J$12)+СПРАВОЧНИК!$E$13*('ПЛАН ЧЕРН К1'!N25*СПРАВОЧНИК!$H$13+'ПЛАН ЧЕРН К1'!O25*СПРАВОЧНИК!$I$13+'ПЛАН ЧЕРН К1'!P25*СПРАВОЧНИК!$J$13)+СПРАВОЧНИК!$E$14*('ПЛАН ЧЕРН К1'!Q25*СПРАВОЧНИК!$H$14+'ПЛАН ЧЕРН К1'!R25*СПРАВОЧНИК!$I$14+'ПЛАН ЧЕРН К1'!S25*СПРАВОЧНИК!$J$14)+СПРАВОЧНИК!$E$15*('ПЛАН ЧЕРН К1'!T25*СПРАВОЧНИК!$H$15+'ПЛАН ЧЕРН К1'!U25*СПРАВОЧНИК!$I$15+'ПЛАН ЧЕРН К1'!V25*СПРАВОЧНИК!$J$15)+СПРАВОЧНИК!$F$9*('ПЛАН ЧИСТ К1'!B25*СПРАВОЧНИК!$L$9+'ПЛАН ЧИСТ К1'!C25*СПРАВОЧНИК!$M$9+'ПЛАН ЧИСТ К1'!D25*СПРАВОЧНИК!$N$9+'ПЛАН ЧИСТ К1'!E25*СПРАВОЧНИК!$O$9)+СПРАВОЧНИК!$F$10*('ПЛАН ЧИСТ К1'!F25*СПРАВОЧНИК!$L$10+'ПЛАН ЧИСТ К1'!G25*СПРАВОЧНИК!$M$10+'ПЛАН ЧИСТ К1'!H25*СПРАВОЧНИК!$N$10)+СПРАВОЧНИК!$F$11*('ПЛАН ЧИСТ К1'!I25*СПРАВОЧНИК!$L$11+'ПЛАН ЧИСТ К1'!J25*СПРАВОЧНИК!$M$11+'ПЛАН ЧИСТ К1'!K25*СПРАВОЧНИК!$N$11)+СПРАВОЧНИК!$F$12*('ПЛАН ЧИСТ К1'!L25*СПРАВОЧНИК!$L$12+'ПЛАН ЧИСТ К1'!M25*СПРАВОЧНИК!$M$12+'ПЛАН ЧИСТ К1'!N25*СПРАВОЧНИК!$N$12)+СПРАВОЧНИК!$F$13*('ПЛАН ЧИСТ К1'!O25*СПРАВОЧНИК!$L$13+'ПЛАН ЧИСТ К1'!P25*СПРАВОЧНИК!$M$13+'ПЛАН ЧИСТ К1'!Q25*СПРАВОЧНИК!$N$13)+СПРАВОЧНИК!$F$14*('ПЛАН ЧИСТ К1'!R25*СПРАВОЧНИК!$L$14+'ПЛАН ЧИСТ К1'!S25*СПРАВОЧНИК!$M$14+'ПЛАН ЧИСТ К1'!T25*СПРАВОЧНИК!$N$14)+СПРАВОЧНИК!$F$15*('ПЛАН ЧИСТ К1'!U25*СПРАВОЧНИК!$L$15+'ПЛАН ЧИСТ К1'!V25*СПРАВОЧНИК!$M$15+'ПЛАН ЧИСТ К1'!W25*СПРАВОЧНИК!$N$15)</f>
        <v>0</v>
      </c>
      <c r="W34" s="40">
        <f>СПРАВОЧНИК!$E$9*(('ФАКТ ЧЕРН К1'!B25)*СПРАВОЧНИК!$H$9+('ФАКТ ЧЕРН К1'!C25)*СПРАВОЧНИК!$I$9+('ФАКТ ЧЕРН К1'!D25)*СПРАВОЧНИК!$J$9)+СПРАВОЧНИК!$E$10*(('ФАКТ ЧЕРН К1'!E25)*СПРАВОЧНИК!$H$10+('ФАКТ ЧЕРН К1'!F25)*СПРАВОЧНИК!$I$10+('ФАКТ ЧЕРН К1'!G25)*СПРАВОЧНИК!$J$10)+СПРАВОЧНИК!$E$11*(('ФАКТ ЧЕРН К1'!H25)*СПРАВОЧНИК!$H$11+('ФАКТ ЧЕРН К1'!I25)*СПРАВОЧНИК!$I$11+('ФАКТ ЧЕРН К1'!J25)*СПРАВОЧНИК!$J$11)+СПРАВОЧНИК!$E$12*(('ФАКТ ЧЕРН К1'!K25)*СПРАВОЧНИК!$H$12+('ФАКТ ЧЕРН К1'!L25)*СПРАВОЧНИК!$I$12+('ФАКТ ЧЕРН К1'!M25)*СПРАВОЧНИК!$J$12)+СПРАВОЧНИК!$E$13*(('ФАКТ ЧЕРН К1'!N25)*СПРАВОЧНИК!$H$13+('ФАКТ ЧЕРН К1'!O25)*СПРАВОЧНИК!$I$13+('ФАКТ ЧЕРН К1'!P25)*СПРАВОЧНИК!$J$13)+СПРАВОЧНИК!$E$14*(('ФАКТ ЧЕРН К1'!Q25)*СПРАВОЧНИК!$H$14+('ФАКТ ЧЕРН К1'!R25)*СПРАВОЧНИК!$I$14+('ФАКТ ЧЕРН К1'!S25)*СПРАВОЧНИК!$J$14)+СПРАВОЧНИК!$E$15*(('ФАКТ ЧЕРН К1'!T25)*СПРАВОЧНИК!$H$15+('ФАКТ ЧЕРН К1'!U25)*СПРАВОЧНИК!$I$15+('ФАКТ ЧЕРН К1'!V25)*СПРАВОЧНИК!$J$15)+СПРАВОЧНИК!$F$9*(('ФАКТ ЧИСТ К1'!B25)*СПРАВОЧНИК!$L$9+('ФАКТ ЧИСТ К1'!C25)*СПРАВОЧНИК!$M$9+('ФАКТ ЧИСТ К1'!D25)*СПРАВОЧНИК!$N$9+('ФАКТ ЧИСТ К1'!E25)*СПРАВОЧНИК!$O$9)+СПРАВОЧНИК!$F$10*(('ФАКТ ЧИСТ К1'!F25)*СПРАВОЧНИК!$L$10+('ФАКТ ЧИСТ К1'!G25)*СПРАВОЧНИК!$M$10+('ФАКТ ЧИСТ К1'!H25)*СПРАВОЧНИК!$N$10)+СПРАВОЧНИК!$F$11*(('ФАКТ ЧИСТ К1'!I25)*СПРАВОЧНИК!$L$11+('ФАКТ ЧИСТ К1'!J25)*СПРАВОЧНИК!$M$11+('ФАКТ ЧИСТ К1'!K25)*СПРАВОЧНИК!$N$11)+СПРАВОЧНИК!$F$12*(('ФАКТ ЧИСТ К1'!L25)*СПРАВОЧНИК!$L$12+('ФАКТ ЧИСТ К1'!M25)*СПРАВОЧНИК!$M$12+('ФАКТ ЧИСТ К1'!N25)*СПРАВОЧНИК!$N$12)+СПРАВОЧНИК!$F$13*(('ФАКТ ЧИСТ К1'!O25)*СПРАВОЧНИК!$L$13+('ФАКТ ЧИСТ К1'!P25)*СПРАВОЧНИК!$M$13+('ФАКТ ЧИСТ К1'!Q25)*СПРАВОЧНИК!$N$13)+СПРАВОЧНИК!$F$14*(('ФАКТ ЧИСТ К1'!R25)*СПРАВОЧНИК!$L$14+('ФАКТ ЧИСТ К1'!S25)*СПРАВОЧНИК!$M$14+('ФАКТ ЧИСТ К1'!T25)*СПРАВОЧНИК!$N$14)+СПРАВОЧНИК!$F$15*(('ФАКТ ЧИСТ К1'!U25)*СПРАВОЧНИК!$L$15+('ФАКТ ЧИСТ К1'!V25)*СПРАВОЧНИК!$M$15+('ФАКТ ЧИСТ К1'!W25)*СПРАВОЧНИК!$N$15)</f>
        <v>0</v>
      </c>
      <c r="AA34" s="18">
        <f t="shared" si="16"/>
        <v>46314</v>
      </c>
      <c r="AB34" s="37">
        <f>'ПЛАН ЧЕРН К1'!B25*СПРАВОЧНИК!$H$9+'ПЛАН ЧЕРН К1'!C25*СПРАВОЧНИК!$I$9+'ПЛАН ЧЕРН К1'!D25*СПРАВОЧНИК!$J$9+'ПЛАН ЧЕРН К1'!E25*СПРАВОЧНИК!$H$10+'ПЛАН ЧЕРН К1'!F25*СПРАВОЧНИК!$I$10+'ПЛАН ЧЕРН К1'!G25*СПРАВОЧНИК!$J$10+'ПЛАН ЧЕРН К1'!H25*СПРАВОЧНИК!$H$11+'ПЛАН ЧЕРН К1'!I25*СПРАВОЧНИК!$I$11+'ПЛАН ЧЕРН К1'!J25*СПРАВОЧНИК!$J$11+'ПЛАН ЧЕРН К1'!K25*СПРАВОЧНИК!$H$12+'ПЛАН ЧЕРН К1'!L25*СПРАВОЧНИК!$I$12+'ПЛАН ЧЕРН К1'!M25*СПРАВОЧНИК!$J$12+'ПЛАН ЧЕРН К1'!N25*СПРАВОЧНИК!$H$13+'ПЛАН ЧЕРН К1'!O25*СПРАВОЧНИК!$I$13+'ПЛАН ЧЕРН К1'!P25*СПРАВОЧНИК!$J$13+'ПЛАН ЧЕРН К1'!Q25*СПРАВОЧНИК!$H$14+'ПЛАН ЧЕРН К1'!R25*СПРАВОЧНИК!$I$14+'ПЛАН ЧЕРН К1'!S25*СПРАВОЧНИК!$J$14+'ПЛАН ЧЕРН К1'!T25*СПРАВОЧНИК!$H$15+'ПЛАН ЧЕРН К1'!U25*СПРАВОЧНИК!$I$15+'ПЛАН ЧЕРН К1'!V25*СПРАВОЧНИК!$J$15</f>
        <v>0</v>
      </c>
      <c r="AC34" s="40">
        <f>('ФАКТ ЧЕРН К1'!B25)*СПРАВОЧНИК!$H$9+('ФАКТ ЧЕРН К1'!C25)*СПРАВОЧНИК!$I$9+('ФАКТ ЧЕРН К1'!D25)*СПРАВОЧНИК!$J$9+('ФАКТ ЧЕРН К1'!E25)*СПРАВОЧНИК!$H$10+('ФАКТ ЧЕРН К1'!F25)*СПРАВОЧНИК!$I$10+('ФАКТ ЧЕРН К1'!G25)*СПРАВОЧНИК!$J$10+('ФАКТ ЧЕРН К1'!H25)*СПРАВОЧНИК!$H$11+('ФАКТ ЧЕРН К1'!I25)*СПРАВОЧНИК!$I$11+('ФАКТ ЧЕРН К1'!J25)*СПРАВОЧНИК!$J$11+('ФАКТ ЧЕРН К1'!K25)*СПРАВОЧНИК!$H$12+('ФАКТ ЧЕРН К1'!L25)*СПРАВОЧНИК!$I$12+('ФАКТ ЧЕРН К1'!M25)*СПРАВОЧНИК!$J$12+('ФАКТ ЧЕРН К1'!N25)*СПРАВОЧНИК!$H$13+('ФАКТ ЧЕРН К1'!O25)*СПРАВОЧНИК!$I$13+('ФАКТ ЧЕРН К1'!P25)*СПРАВОЧНИК!$J$13+('ФАКТ ЧЕРН К1'!Q25)*СПРАВОЧНИК!$H$14+('ФАКТ ЧЕРН К1'!R25)*СПРАВОЧНИК!$I$14+('ФАКТ ЧЕРН К1'!S25)*СПРАВОЧНИК!$J$14+('ФАКТ ЧЕРН К1'!T25)*СПРАВОЧНИК!$H$15+('ФАКТ ЧЕРН К1'!U25)*СПРАВОЧНИК!$I$15+('ФАКТ ЧЕРН К1'!V25)*СПРАВОЧНИК!$J$15</f>
        <v>0</v>
      </c>
      <c r="AG34" s="18">
        <f t="shared" si="17"/>
        <v>46314</v>
      </c>
      <c r="AH34" s="37">
        <f>'ПЛАН ЧИСТ К1'!B25*СПРАВОЧНИК!$L$9+'ПЛАН ЧИСТ К1'!C25*СПРАВОЧНИК!$M$9+'ПЛАН ЧИСТ К1'!D25*СПРАВОЧНИК!$N$9+'ПЛАН ЧИСТ К1'!E25*СПРАВОЧНИК!$O$9+'ПЛАН ЧИСТ К1'!F25*СПРАВОЧНИК!$L$10+'ПЛАН ЧИСТ К1'!G25*СПРАВОЧНИК!$M$10+'ПЛАН ЧИСТ К1'!H25*СПРАВОЧНИК!$N$10+'ПЛАН ЧИСТ К1'!I25*СПРАВОЧНИК!$L$11+'ПЛАН ЧИСТ К1'!J25*СПРАВОЧНИК!$M$11+'ПЛАН ЧИСТ К1'!K25*СПРАВОЧНИК!$N$11+'ПЛАН ЧИСТ К1'!L25*СПРАВОЧНИК!$L$12+'ПЛАН ЧИСТ К1'!M25*СПРАВОЧНИК!$M$12+'ПЛАН ЧИСТ К1'!N25*СПРАВОЧНИК!$N$12+'ПЛАН ЧИСТ К1'!O25*СПРАВОЧНИК!$L$13+'ПЛАН ЧИСТ К1'!P25*СПРАВОЧНИК!$M$13+'ПЛАН ЧИСТ К1'!Q25*СПРАВОЧНИК!$N$13+'ПЛАН ЧИСТ К1'!R25*СПРАВОЧНИК!$L$14+'ПЛАН ЧИСТ К1'!S25*СПРАВОЧНИК!$M$14+'ПЛАН ЧИСТ К1'!T25*СПРАВОЧНИК!$N$14+'ПЛАН ЧИСТ К1'!U25*СПРАВОЧНИК!$L$15+'ПЛАН ЧИСТ К1'!V25*СПРАВОЧНИК!$M$15+'ПЛАН ЧИСТ К1'!W25*СПРАВОЧНИК!$N$15</f>
        <v>0</v>
      </c>
      <c r="AI34" s="40">
        <f>('ФАКТ ЧИСТ К1'!B25)*СПРАВОЧНИК!$L$9+('ФАКТ ЧИСТ К1'!C25)*СПРАВОЧНИК!$M$9+('ФАКТ ЧИСТ К1'!D25)*СПРАВОЧНИК!$N$9+('ФАКТ ЧИСТ К1'!E25)*СПРАВОЧНИК!$O$9+('ФАКТ ЧИСТ К1'!F25)*СПРАВОЧНИК!$L$10+('ФАКТ ЧИСТ К1'!G25)*СПРАВОЧНИК!$M$10+('ФАКТ ЧИСТ К1'!H25)*СПРАВОЧНИК!$N$10+('ФАКТ ЧИСТ К1'!I25)*СПРАВОЧНИК!$L$11+('ФАКТ ЧИСТ К1'!J25)*СПРАВОЧНИК!$M$11+('ФАКТ ЧИСТ К1'!K25)*СПРАВОЧНИК!$N$11+('ФАКТ ЧИСТ К1'!L25)*СПРАВОЧНИК!$L$12+('ФАКТ ЧИСТ К1'!M25)*СПРАВОЧНИК!$M$12+('ФАКТ ЧИСТ К1'!N25)*СПРАВОЧНИК!$N$12+('ФАКТ ЧИСТ К1'!O25)*СПРАВОЧНИК!$L$13+('ФАКТ ЧИСТ К1'!P25)*СПРАВОЧНИК!$M$13+('ФАКТ ЧИСТ К1'!Q25)*СПРАВОЧНИК!$N$13+('ФАКТ ЧИСТ К1'!R25)*СПРАВОЧНИК!$L$14+('ФАКТ ЧИСТ К1'!S25)*СПРАВОЧНИК!$M$14+('ФАКТ ЧИСТ К1'!T25)*СПРАВОЧНИК!$N$14+('ФАКТ ЧИСТ К1'!U25)*СПРАВОЧНИК!$L$15+('ФАКТ ЧИСТ К1'!V25)*СПРАВОЧНИК!$M$15+('ФАКТ ЧИСТ К1'!W25)*СПРАВОЧНИК!$N$15</f>
        <v>0</v>
      </c>
      <c r="AM34" s="18">
        <f t="shared" si="18"/>
        <v>46314</v>
      </c>
      <c r="AN34" s="37">
        <f>СПРАВОЧНИК!$E$9*('ПЛАН ЧЕРН К2'!B25*СПРАВОЧНИК!$H$9+'ПЛАН ЧЕРН К2'!C25*СПРАВОЧНИК!$I$9+'ПЛАН ЧЕРН К2'!D25*СПРАВОЧНИК!$J$9)+СПРАВОЧНИК!$E$10*('ПЛАН ЧЕРН К2'!E25*СПРАВОЧНИК!$H$10+'ПЛАН ЧЕРН К2'!F25*СПРАВОЧНИК!$I$10+'ПЛАН ЧЕРН К2'!G25*СПРАВОЧНИК!$J$10)+СПРАВОЧНИК!$E$11*('ПЛАН ЧЕРН К2'!H25*СПРАВОЧНИК!$H$11+'ПЛАН ЧЕРН К2'!I25*СПРАВОЧНИК!$I$11+'ПЛАН ЧЕРН К2'!J25*СПРАВОЧНИК!$J$11)+СПРАВОЧНИК!$E$12*('ПЛАН ЧЕРН К2'!K25*СПРАВОЧНИК!$H$12+'ПЛАН ЧЕРН К2'!L25*СПРАВОЧНИК!$I$12+'ПЛАН ЧЕРН К2'!M25*СПРАВОЧНИК!$J$12)+СПРАВОЧНИК!$E$13*('ПЛАН ЧЕРН К2'!N25*СПРАВОЧНИК!$H$13+'ПЛАН ЧЕРН К2'!O25*СПРАВОЧНИК!$I$13+'ПЛАН ЧЕРН К2'!P25*СПРАВОЧНИК!$J$13)+СПРАВОЧНИК!$E$14*('ПЛАН ЧЕРН К2'!Q25*СПРАВОЧНИК!$H$14+'ПЛАН ЧЕРН К2'!R25*СПРАВОЧНИК!$I$14+'ПЛАН ЧЕРН К2'!S25*СПРАВОЧНИК!$J$14)+СПРАВОЧНИК!$E$15*('ПЛАН ЧЕРН К2'!T25*СПРАВОЧНИК!$H$15+'ПЛАН ЧЕРН К2'!U25*СПРАВОЧНИК!$I$15+'ПЛАН ЧЕРН К2'!V25*СПРАВОЧНИК!$J$15)+СПРАВОЧНИК!$F$9*('ПЛАН ЧИСТ К2'!B25*СПРАВОЧНИК!$L$9+'ПЛАН ЧИСТ К2'!C25*СПРАВОЧНИК!$M$9+'ПЛАН ЧИСТ К2'!D25*СПРАВОЧНИК!$N$9+'ПЛАН ЧИСТ К2'!E25*СПРАВОЧНИК!$O$9)+СПРАВОЧНИК!$F$10*('ПЛАН ЧИСТ К2'!F25*СПРАВОЧНИК!$L$10+'ПЛАН ЧИСТ К2'!G25*СПРАВОЧНИК!$M$10+'ПЛАН ЧИСТ К2'!H25*СПРАВОЧНИК!$N$10)+СПРАВОЧНИК!$F$11*('ПЛАН ЧИСТ К2'!I25*СПРАВОЧНИК!$L$11+'ПЛАН ЧИСТ К2'!J25*СПРАВОЧНИК!$M$11+'ПЛАН ЧИСТ К2'!K25*СПРАВОЧНИК!$N$11)+СПРАВОЧНИК!$F$12*('ПЛАН ЧИСТ К2'!L25*СПРАВОЧНИК!$L$12+'ПЛАН ЧИСТ К2'!M25*СПРАВОЧНИК!$M$12+'ПЛАН ЧИСТ К2'!N25*СПРАВОЧНИК!$N$12)+СПРАВОЧНИК!$F$13*('ПЛАН ЧИСТ К2'!O25*СПРАВОЧНИК!$L$13+'ПЛАН ЧИСТ К2'!P25*СПРАВОЧНИК!$M$13+'ПЛАН ЧИСТ К2'!Q25*СПРАВОЧНИК!$N$13)+СПРАВОЧНИК!$F$14*('ПЛАН ЧИСТ К2'!R25*СПРАВОЧНИК!$L$14+'ПЛАН ЧИСТ К2'!S25*СПРАВОЧНИК!$M$14+'ПЛАН ЧИСТ К2'!T25*СПРАВОЧНИК!$N$14)+СПРАВОЧНИК!$F$15*('ПЛАН ЧИСТ К2'!U25*СПРАВОЧНИК!$L$15+'ПЛАН ЧИСТ К2'!V25*СПРАВОЧНИК!$M$15+'ПЛАН ЧИСТ К2'!W25*СПРАВОЧНИК!$N$15)</f>
        <v>0</v>
      </c>
      <c r="AO34" s="40">
        <f>СПРАВОЧНИК!$E$9*(('ФАКТ ЧЕРН К2'!B25)*СПРАВОЧНИК!$H$9+('ФАКТ ЧЕРН К2'!C25)*СПРАВОЧНИК!$I$9+('ФАКТ ЧЕРН К2'!D25)*СПРАВОЧНИК!$J$9)+СПРАВОЧНИК!$E$10*(('ФАКТ ЧЕРН К2'!E25)*СПРАВОЧНИК!$H$10+('ФАКТ ЧЕРН К2'!F25)*СПРАВОЧНИК!$I$10+('ФАКТ ЧЕРН К2'!G25)*СПРАВОЧНИК!$J$10)+СПРАВОЧНИК!$E$11*(('ФАКТ ЧЕРН К2'!H25)*СПРАВОЧНИК!$H$11+('ФАКТ ЧЕРН К2'!I25)*СПРАВОЧНИК!$I$11+('ФАКТ ЧЕРН К2'!J25)*СПРАВОЧНИК!$J$11)+СПРАВОЧНИК!$E$12*(('ФАКТ ЧЕРН К2'!K25)*СПРАВОЧНИК!$H$12+('ФАКТ ЧЕРН К2'!L25)*СПРАВОЧНИК!$I$12+('ФАКТ ЧЕРН К2'!M25)*СПРАВОЧНИК!$J$12)+СПРАВОЧНИК!$E$13*(('ФАКТ ЧЕРН К2'!N25)*СПРАВОЧНИК!$H$13+('ФАКТ ЧЕРН К2'!O25)*СПРАВОЧНИК!$I$13+('ФАКТ ЧЕРН К2'!P25)*СПРАВОЧНИК!$J$13)+СПРАВОЧНИК!$E$14*(('ФАКТ ЧЕРН К2'!Q25)*СПРАВОЧНИК!$H$14+('ФАКТ ЧЕРН К2'!R25)*СПРАВОЧНИК!$I$14+('ФАКТ ЧЕРН К2'!S25)*СПРАВОЧНИК!$J$14)+СПРАВОЧНИК!$E$15*(('ФАКТ ЧЕРН К2'!T25)*СПРАВОЧНИК!$H$15+('ФАКТ ЧЕРН К2'!U25)*СПРАВОЧНИК!$I$15+('ФАКТ ЧЕРН К2'!V25)*СПРАВОЧНИК!$J$15)+СПРАВОЧНИК!$F$9*(('ФАКТ ЧИСТ К2'!B25)*СПРАВОЧНИК!$L$9+('ФАКТ ЧИСТ К2'!C25)*СПРАВОЧНИК!$M$9+('ФАКТ ЧИСТ К2'!D25)*СПРАВОЧНИК!$N$9+('ФАКТ ЧИСТ К2'!E25)*СПРАВОЧНИК!$O$9)+СПРАВОЧНИК!$F$10*(('ФАКТ ЧИСТ К2'!F25)*СПРАВОЧНИК!$L$10+('ФАКТ ЧИСТ К2'!G25)*СПРАВОЧНИК!$M$10+('ФАКТ ЧИСТ К2'!H25)*СПРАВОЧНИК!$N$10)+СПРАВОЧНИК!$F$11*(('ФАКТ ЧИСТ К2'!I25)*СПРАВОЧНИК!$L$11+('ФАКТ ЧИСТ К2'!J25)*СПРАВОЧНИК!$M$11+('ФАКТ ЧИСТ К2'!K25)*СПРАВОЧНИК!$N$11)+СПРАВОЧНИК!$F$12*(('ФАКТ ЧИСТ К2'!L25)*СПРАВОЧНИК!$L$12+('ФАКТ ЧИСТ К2'!M25)*СПРАВОЧНИК!$M$12+('ФАКТ ЧИСТ К2'!N25)*СПРАВОЧНИК!$N$12)+СПРАВОЧНИК!$F$13*(('ФАКТ ЧИСТ К2'!O25)*СПРАВОЧНИК!$L$13+('ФАКТ ЧИСТ К2'!P25)*СПРАВОЧНИК!$M$13+('ФАКТ ЧИСТ К2'!Q25)*СПРАВОЧНИК!$N$13)+СПРАВОЧНИК!$F$14*(('ФАКТ ЧИСТ К2'!R25)*СПРАВОЧНИК!$L$14+('ФАКТ ЧИСТ К2'!S25)*СПРАВОЧНИК!$M$14+('ФАКТ ЧИСТ К2'!T25)*СПРАВОЧНИК!$N$14)+СПРАВОЧНИК!$F$15*(('ФАКТ ЧИСТ К2'!U25)*СПРАВОЧНИК!$L$15+('ФАКТ ЧИСТ К2'!V25)*СПРАВОЧНИК!$M$15+('ФАКТ ЧИСТ К2'!W25)*СПРАВОЧНИК!$N$15)</f>
        <v>0</v>
      </c>
      <c r="AS34" s="18">
        <f t="shared" si="19"/>
        <v>46314</v>
      </c>
      <c r="AT34" s="37">
        <f>'ПЛАН ЧЕРН К2'!B25*СПРАВОЧНИК!$H$9+'ПЛАН ЧЕРН К2'!C25*СПРАВОЧНИК!$I$9+'ПЛАН ЧЕРН К2'!D25*СПРАВОЧНИК!$J$9+'ПЛАН ЧЕРН К2'!E25*СПРАВОЧНИК!$H$10+'ПЛАН ЧЕРН К2'!F25*СПРАВОЧНИК!$I$10+'ПЛАН ЧЕРН К2'!G25*СПРАВОЧНИК!$J$10+'ПЛАН ЧЕРН К2'!H25*СПРАВОЧНИК!$H$11+'ПЛАН ЧЕРН К2'!I25*СПРАВОЧНИК!$I$11+'ПЛАН ЧЕРН К2'!J25*СПРАВОЧНИК!$J$11+'ПЛАН ЧЕРН К2'!K25*СПРАВОЧНИК!$H$12+'ПЛАН ЧЕРН К2'!L25*СПРАВОЧНИК!$I$12+'ПЛАН ЧЕРН К2'!M25*СПРАВОЧНИК!$J$12+'ПЛАН ЧЕРН К2'!N25*СПРАВОЧНИК!$H$13+'ПЛАН ЧЕРН К2'!O25*СПРАВОЧНИК!$I$13+'ПЛАН ЧЕРН К2'!P25*СПРАВОЧНИК!$J$13+'ПЛАН ЧЕРН К2'!Q25*СПРАВОЧНИК!$H$14+'ПЛАН ЧЕРН К2'!R25*СПРАВОЧНИК!$I$14+'ПЛАН ЧЕРН К2'!S25*СПРАВОЧНИК!$J$14+'ПЛАН ЧЕРН К2'!T25*СПРАВОЧНИК!$H$15+'ПЛАН ЧЕРН К2'!U25*СПРАВОЧНИК!$I$15+'ПЛАН ЧЕРН К2'!V25*СПРАВОЧНИК!$J$15</f>
        <v>0</v>
      </c>
      <c r="AU34" s="40">
        <f>('ФАКТ ЧЕРН К2'!B25)*СПРАВОЧНИК!$H$9+('ФАКТ ЧЕРН К2'!C25)*СПРАВОЧНИК!$I$9+('ФАКТ ЧЕРН К2'!D25)*СПРАВОЧНИК!$J$9+('ФАКТ ЧЕРН К2'!E25)*СПРАВОЧНИК!$H$10+('ФАКТ ЧЕРН К2'!F25)*СПРАВОЧНИК!$I$10+('ФАКТ ЧЕРН К2'!G25)*СПРАВОЧНИК!$J$10+('ФАКТ ЧЕРН К2'!H25)*СПРАВОЧНИК!$H$11+('ФАКТ ЧЕРН К2'!I25)*СПРАВОЧНИК!$I$11+('ФАКТ ЧЕРН К2'!J25)*СПРАВОЧНИК!$J$11+('ФАКТ ЧЕРН К2'!K25)*СПРАВОЧНИК!$H$12+('ФАКТ ЧЕРН К2'!L25)*СПРАВОЧНИК!$I$12+('ФАКТ ЧЕРН К2'!M25)*СПРАВОЧНИК!$J$12+('ФАКТ ЧЕРН К2'!N25)*СПРАВОЧНИК!$H$13+('ФАКТ ЧЕРН К2'!O25)*СПРАВОЧНИК!$I$13+('ФАКТ ЧЕРН К2'!P25)*СПРАВОЧНИК!$J$13+('ФАКТ ЧЕРН К2'!Q25)*СПРАВОЧНИК!$H$14+('ФАКТ ЧЕРН К2'!R25)*СПРАВОЧНИК!$I$14+('ФАКТ ЧЕРН К2'!S25)*СПРАВОЧНИК!$J$14+('ФАКТ ЧЕРН К2'!T25)*СПРАВОЧНИК!$H$15+('ФАКТ ЧЕРН К2'!U25)*СПРАВОЧНИК!$I$15+('ФАКТ ЧЕРН К2'!V25)*СПРАВОЧНИК!$J$15</f>
        <v>0</v>
      </c>
      <c r="AY34" s="18">
        <f t="shared" si="20"/>
        <v>46314</v>
      </c>
      <c r="AZ34" s="37">
        <f>'ПЛАН ЧИСТ К2'!B25*СПРАВОЧНИК!$L$9+'ПЛАН ЧИСТ К2'!C25*СПРАВОЧНИК!$M$9+'ПЛАН ЧИСТ К2'!D25*СПРАВОЧНИК!$N$9+'ПЛАН ЧИСТ К2'!E25*СПРАВОЧНИК!$O$9+'ПЛАН ЧИСТ К2'!F25*СПРАВОЧНИК!$L$10+'ПЛАН ЧИСТ К2'!G25*СПРАВОЧНИК!$M$10+'ПЛАН ЧИСТ К2'!H25*СПРАВОЧНИК!$N$10+'ПЛАН ЧИСТ К2'!I25*СПРАВОЧНИК!$L$11+'ПЛАН ЧИСТ К2'!J25*СПРАВОЧНИК!$M$11+'ПЛАН ЧИСТ К2'!K25*СПРАВОЧНИК!$N$11+'ПЛАН ЧИСТ К2'!L25*СПРАВОЧНИК!$L$12+'ПЛАН ЧИСТ К2'!M25*СПРАВОЧНИК!$M$12+'ПЛАН ЧИСТ К2'!N25*СПРАВОЧНИК!$N$12+'ПЛАН ЧИСТ К2'!O25*СПРАВОЧНИК!$L$13+'ПЛАН ЧИСТ К2'!P25*СПРАВОЧНИК!$M$13+'ПЛАН ЧИСТ К2'!Q25*СПРАВОЧНИК!$N$13+'ПЛАН ЧИСТ К2'!R25*СПРАВОЧНИК!$L$14+'ПЛАН ЧИСТ К2'!S25*СПРАВОЧНИК!$M$14+'ПЛАН ЧИСТ К2'!T25*СПРАВОЧНИК!$N$14+'ПЛАН ЧИСТ К2'!U25*СПРАВОЧНИК!$L$15+'ПЛАН ЧИСТ К2'!V25*СПРАВОЧНИК!$M$15+'ПЛАН ЧИСТ К2'!W25*СПРАВОЧНИК!$N$15</f>
        <v>0</v>
      </c>
      <c r="BA34" s="40">
        <f>('ФАКТ ЧИСТ К2'!B25)*СПРАВОЧНИК!$L$9+('ФАКТ ЧИСТ К2'!C25)*СПРАВОЧНИК!$M$9+('ФАКТ ЧИСТ К2'!D25)*СПРАВОЧНИК!$N$9+('ФАКТ ЧИСТ К2'!E25)*СПРАВОЧНИК!$O$9+('ФАКТ ЧИСТ К2'!F25)*СПРАВОЧНИК!$L$10+('ФАКТ ЧИСТ К2'!G25)*СПРАВОЧНИК!$M$10+('ФАКТ ЧИСТ К2'!H25)*СПРАВОЧНИК!$N$10+('ФАКТ ЧИСТ К2'!I25)*СПРАВОЧНИК!$L$11+('ФАКТ ЧИСТ К2'!J25)*СПРАВОЧНИК!$M$11+('ФАКТ ЧИСТ К2'!K25)*СПРАВОЧНИК!$N$11+('ФАКТ ЧИСТ К2'!L25)*СПРАВОЧНИК!$L$12+('ФАКТ ЧИСТ К2'!M25)*СПРАВОЧНИК!$M$12+('ФАКТ ЧИСТ К2'!N25)*СПРАВОЧНИК!$N$12+('ФАКТ ЧИСТ К2'!O25)*СПРАВОЧНИК!$L$13+('ФАКТ ЧИСТ К2'!P25)*СПРАВОЧНИК!$M$13+('ФАКТ ЧИСТ К2'!Q25)*СПРАВОЧНИК!$N$13+('ФАКТ ЧИСТ К2'!R25)*СПРАВОЧНИК!$L$14+('ФАКТ ЧИСТ К2'!S25)*СПРАВОЧНИК!$M$14+('ФАКТ ЧИСТ К2'!T25)*СПРАВОЧНИК!$N$14+('ФАКТ ЧИСТ К2'!U25)*СПРАВОЧНИК!$L$15+('ФАКТ ЧИСТ К2'!V25)*СПРАВОЧНИК!$M$15+('ФАКТ ЧИСТ К2'!W25)*СПРАВОЧНИК!$N$15</f>
        <v>0</v>
      </c>
      <c r="BE34" s="18">
        <f t="shared" si="21"/>
        <v>46314</v>
      </c>
      <c r="BF34" s="37">
        <f>СПРАВОЧНИК!$E$9*('ПЛАН ЧЕРН К3'!B25*СПРАВОЧНИК!$H$9+'ПЛАН ЧЕРН К3'!C25*СПРАВОЧНИК!$I$9+'ПЛАН ЧЕРН К3'!D25*СПРАВОЧНИК!$J$9)+СПРАВОЧНИК!$E$10*('ПЛАН ЧЕРН К3'!E25*СПРАВОЧНИК!$H$10+'ПЛАН ЧЕРН К3'!F25*СПРАВОЧНИК!$I$10+'ПЛАН ЧЕРН К3'!G25*СПРАВОЧНИК!$J$10)+СПРАВОЧНИК!$E$11*('ПЛАН ЧЕРН К3'!H25*СПРАВОЧНИК!$H$11+'ПЛАН ЧЕРН К3'!I25*СПРАВОЧНИК!$I$11+'ПЛАН ЧЕРН К3'!J25*СПРАВОЧНИК!$J$11)+СПРАВОЧНИК!$E$12*('ПЛАН ЧЕРН К3'!K25*СПРАВОЧНИК!$H$12+'ПЛАН ЧЕРН К3'!L25*СПРАВОЧНИК!$I$12+'ПЛАН ЧЕРН К3'!M25*СПРАВОЧНИК!$J$12)+СПРАВОЧНИК!$E$13*('ПЛАН ЧЕРН К3'!N25*СПРАВОЧНИК!$H$13+'ПЛАН ЧЕРН К3'!O25*СПРАВОЧНИК!$I$13+'ПЛАН ЧЕРН К3'!P25*СПРАВОЧНИК!$J$13)+СПРАВОЧНИК!$E$14*('ПЛАН ЧЕРН К3'!Q25*СПРАВОЧНИК!$H$14+'ПЛАН ЧЕРН К3'!R25*СПРАВОЧНИК!$I$14+'ПЛАН ЧЕРН К3'!S25*СПРАВОЧНИК!$J$14)+СПРАВОЧНИК!$E$15*('ПЛАН ЧЕРН К3'!T25*СПРАВОЧНИК!$H$15+'ПЛАН ЧЕРН К3'!U25*СПРАВОЧНИК!$I$15+'ПЛАН ЧЕРН К3'!V25*СПРАВОЧНИК!$J$15)+СПРАВОЧНИК!$F$9*('ПЛАН ЧИСТ К3'!B25*СПРАВОЧНИК!$L$9+'ПЛАН ЧИСТ К3'!C25*СПРАВОЧНИК!$M$9+'ПЛАН ЧИСТ К3'!D25*СПРАВОЧНИК!$N$9+'ПЛАН ЧИСТ К3'!E25*СПРАВОЧНИК!$O$9)+СПРАВОЧНИК!$F$10*('ПЛАН ЧИСТ К3'!F25*СПРАВОЧНИК!$L$10+'ПЛАН ЧИСТ К3'!G25*СПРАВОЧНИК!$M$10+'ПЛАН ЧИСТ К3'!H25*СПРАВОЧНИК!$N$10)+СПРАВОЧНИК!$F$11*('ПЛАН ЧИСТ К3'!I25*СПРАВОЧНИК!$L$11+'ПЛАН ЧИСТ К3'!J25*СПРАВОЧНИК!$M$11+'ПЛАН ЧИСТ К3'!K25*СПРАВОЧНИК!$N$11)+СПРАВОЧНИК!$F$12*('ПЛАН ЧИСТ К3'!L25*СПРАВОЧНИК!$L$12+'ПЛАН ЧИСТ К3'!M25*СПРАВОЧНИК!$M$12+'ПЛАН ЧИСТ К3'!N25*СПРАВОЧНИК!$N$12)+СПРАВОЧНИК!$F$13*('ПЛАН ЧИСТ К3'!O25*СПРАВОЧНИК!$L$13+'ПЛАН ЧИСТ К3'!P25*СПРАВОЧНИК!$M$13+'ПЛАН ЧИСТ К3'!Q25*СПРАВОЧНИК!$N$13)+СПРАВОЧНИК!$F$14*('ПЛАН ЧИСТ К3'!R25*СПРАВОЧНИК!$L$14+'ПЛАН ЧИСТ К3'!S25*СПРАВОЧНИК!$M$14+'ПЛАН ЧИСТ К3'!T25*СПРАВОЧНИК!$N$14)+СПРАВОЧНИК!$F$15*('ПЛАН ЧИСТ К3'!U25*СПРАВОЧНИК!$L$15+'ПЛАН ЧИСТ К3'!V25*СПРАВОЧНИК!$M$15+'ПЛАН ЧИСТ К3'!W25*СПРАВОЧНИК!$N$15)</f>
        <v>0</v>
      </c>
      <c r="BG34" s="40">
        <f>СПРАВОЧНИК!$E$9*(('ФАКТ ЧЕРН К3'!B25)*СПРАВОЧНИК!$H$9+('ФАКТ ЧЕРН К3'!C25)*СПРАВОЧНИК!$I$9+('ФАКТ ЧЕРН К3'!D25)*СПРАВОЧНИК!$J$9)+СПРАВОЧНИК!$E$10*(('ФАКТ ЧЕРН К3'!E25)*СПРАВОЧНИК!$H$10+('ФАКТ ЧЕРН К3'!F25)*СПРАВОЧНИК!$I$10+('ФАКТ ЧЕРН К3'!G25)*СПРАВОЧНИК!$J$10)+СПРАВОЧНИК!$E$11*(('ФАКТ ЧЕРН К3'!H25)*СПРАВОЧНИК!$H$11+('ФАКТ ЧЕРН К3'!I25)*СПРАВОЧНИК!$I$11+('ФАКТ ЧЕРН К3'!J25)*СПРАВОЧНИК!$J$11)+СПРАВОЧНИК!$E$12*(('ФАКТ ЧЕРН К3'!K25)*СПРАВОЧНИК!$H$12+('ФАКТ ЧЕРН К3'!L25)*СПРАВОЧНИК!$I$12+('ФАКТ ЧЕРН К3'!M25)*СПРАВОЧНИК!$J$12)+СПРАВОЧНИК!$E$13*(('ФАКТ ЧЕРН К3'!N25)*СПРАВОЧНИК!$H$13+('ФАКТ ЧЕРН К3'!O25)*СПРАВОЧНИК!$I$13+('ФАКТ ЧЕРН К3'!P25)*СПРАВОЧНИК!$J$13)+СПРАВОЧНИК!$E$14*(('ФАКТ ЧЕРН К3'!Q25)*СПРАВОЧНИК!$H$14+('ФАКТ ЧЕРН К3'!R25)*СПРАВОЧНИК!$I$14+('ФАКТ ЧЕРН К3'!S25)*СПРАВОЧНИК!$J$14)+СПРАВОЧНИК!$E$15*(('ФАКТ ЧЕРН К3'!T25)*СПРАВОЧНИК!$H$15+('ФАКТ ЧЕРН К3'!U25)*СПРАВОЧНИК!$I$15+('ФАКТ ЧЕРН К3'!V25)*СПРАВОЧНИК!$J$15)+СПРАВОЧНИК!$F$9*(('ФАКТ ЧИСТ К3'!B25)*СПРАВОЧНИК!$L$9+('ФАКТ ЧИСТ К3'!C25)*СПРАВОЧНИК!$M$9+('ФАКТ ЧИСТ К3'!D25)*СПРАВОЧНИК!$N$9+('ФАКТ ЧИСТ К3'!E25)*СПРАВОЧНИК!$O$9)+СПРАВОЧНИК!$F$10*(('ФАКТ ЧИСТ К3'!F25)*СПРАВОЧНИК!$L$10+('ФАКТ ЧИСТ К3'!G25)*СПРАВОЧНИК!$M$10+('ФАКТ ЧИСТ К3'!H25)*СПРАВОЧНИК!$N$10)+СПРАВОЧНИК!$F$11*(('ФАКТ ЧИСТ К3'!I25)*СПРАВОЧНИК!$L$11+('ФАКТ ЧИСТ К3'!J25)*СПРАВОЧНИК!$M$11+('ФАКТ ЧИСТ К3'!K25)*СПРАВОЧНИК!$N$11)+СПРАВОЧНИК!$F$12*(('ФАКТ ЧИСТ К3'!L25)*СПРАВОЧНИК!$L$12+('ФАКТ ЧИСТ К3'!M25)*СПРАВОЧНИК!$M$12+('ФАКТ ЧИСТ К3'!N25)*СПРАВОЧНИК!$N$12)+СПРАВОЧНИК!$F$13*(('ФАКТ ЧИСТ К3'!O25)*СПРАВОЧНИК!$L$13+('ФАКТ ЧИСТ К3'!P25)*СПРАВОЧНИК!$M$13+('ФАКТ ЧИСТ К3'!Q25)*СПРАВОЧНИК!$N$13)+СПРАВОЧНИК!$F$14*(('ФАКТ ЧИСТ К3'!R25)*СПРАВОЧНИК!$L$14+('ФАКТ ЧИСТ К3'!S25)*СПРАВОЧНИК!$M$14+('ФАКТ ЧИСТ К3'!T25)*СПРАВОЧНИК!$N$14)+СПРАВОЧНИК!$F$15*(('ФАКТ ЧИСТ К3'!U25)*СПРАВОЧНИК!$L$15+('ФАКТ ЧИСТ К3'!V25)*СПРАВОЧНИК!$M$15+('ФАКТ ЧИСТ К3'!W25)*СПРАВОЧНИК!$N$15)</f>
        <v>0</v>
      </c>
      <c r="BK34" s="18">
        <f t="shared" si="22"/>
        <v>46314</v>
      </c>
      <c r="BL34" s="37">
        <f>'ПЛАН ЧЕРН К3'!B25*СПРАВОЧНИК!$H$9+'ПЛАН ЧЕРН К3'!C25*СПРАВОЧНИК!$I$9+'ПЛАН ЧЕРН К3'!D25*СПРАВОЧНИК!$J$9+'ПЛАН ЧЕРН К3'!E25*СПРАВОЧНИК!$H$10+'ПЛАН ЧЕРН К3'!F25*СПРАВОЧНИК!$I$10+'ПЛАН ЧЕРН К3'!G25*СПРАВОЧНИК!$J$10+'ПЛАН ЧЕРН К3'!H25*СПРАВОЧНИК!$H$11+'ПЛАН ЧЕРН К3'!I25*СПРАВОЧНИК!$I$11+'ПЛАН ЧЕРН К3'!J25*СПРАВОЧНИК!$J$11+'ПЛАН ЧЕРН К3'!K25*СПРАВОЧНИК!$H$12+'ПЛАН ЧЕРН К3'!L25*СПРАВОЧНИК!$I$12+'ПЛАН ЧЕРН К3'!M25*СПРАВОЧНИК!$J$12+'ПЛАН ЧЕРН К3'!N25*СПРАВОЧНИК!$H$13+'ПЛАН ЧЕРН К3'!O25*СПРАВОЧНИК!$I$13+'ПЛАН ЧЕРН К3'!P25*СПРАВОЧНИК!$J$13+'ПЛАН ЧЕРН К3'!Q25*СПРАВОЧНИК!$H$14+'ПЛАН ЧЕРН К3'!R25*СПРАВОЧНИК!$I$14+'ПЛАН ЧЕРН К3'!S25*СПРАВОЧНИК!$J$14+'ПЛАН ЧЕРН К3'!T25*СПРАВОЧНИК!$H$15+'ПЛАН ЧЕРН К3'!U25*СПРАВОЧНИК!$I$15+'ПЛАН ЧЕРН К3'!V25*СПРАВОЧНИК!$J$15</f>
        <v>0</v>
      </c>
      <c r="BM34" s="40">
        <f>('ФАКТ ЧЕРН К3'!B25)*СПРАВОЧНИК!$H$9+('ФАКТ ЧЕРН К3'!C25)*СПРАВОЧНИК!$I$9+('ФАКТ ЧЕРН К3'!D25)*СПРАВОЧНИК!$J$9+('ФАКТ ЧЕРН К3'!E25)*СПРАВОЧНИК!$H$10+('ФАКТ ЧЕРН К3'!F25)*СПРАВОЧНИК!$I$10+('ФАКТ ЧЕРН К3'!G25)*СПРАВОЧНИК!$J$10+('ФАКТ ЧЕРН К3'!H25)*СПРАВОЧНИК!$H$11+('ФАКТ ЧЕРН К3'!I25)*СПРАВОЧНИК!$I$11+('ФАКТ ЧЕРН К3'!J25)*СПРАВОЧНИК!$J$11+('ФАКТ ЧЕРН К3'!K25)*СПРАВОЧНИК!$H$12+('ФАКТ ЧЕРН К3'!L25)*СПРАВОЧНИК!$I$12+('ФАКТ ЧЕРН К3'!M25)*СПРАВОЧНИК!$J$12+('ФАКТ ЧЕРН К3'!N25)*СПРАВОЧНИК!$H$13+('ФАКТ ЧЕРН К3'!O25)*СПРАВОЧНИК!$I$13+('ФАКТ ЧЕРН К3'!P25)*СПРАВОЧНИК!$J$13+('ФАКТ ЧЕРН К3'!Q25)*СПРАВОЧНИК!$H$14+('ФАКТ ЧЕРН К3'!R25)*СПРАВОЧНИК!$I$14+('ФАКТ ЧЕРН К3'!S25)*СПРАВОЧНИК!$J$14+('ФАКТ ЧЕРН К3'!T25)*СПРАВОЧНИК!$H$15+('ФАКТ ЧЕРН К3'!U25)*СПРАВОЧНИК!$I$15+('ФАКТ ЧЕРН К3'!V25)*СПРАВОЧНИК!$J$15</f>
        <v>0</v>
      </c>
      <c r="BQ34" s="18">
        <f t="shared" si="23"/>
        <v>46314</v>
      </c>
      <c r="BR34" s="37">
        <f>'ПЛАН ЧИСТ К3'!B25*СПРАВОЧНИК!$L$9+'ПЛАН ЧИСТ К3'!C25*СПРАВОЧНИК!$M$9+'ПЛАН ЧИСТ К3'!D25*СПРАВОЧНИК!$N$9+'ПЛАН ЧИСТ К3'!E25*СПРАВОЧНИК!$O$9+'ПЛАН ЧИСТ К3'!F25*СПРАВОЧНИК!$L$10+'ПЛАН ЧИСТ К3'!G25*СПРАВОЧНИК!$M$10+'ПЛАН ЧИСТ К3'!H25*СПРАВОЧНИК!$N$10+'ПЛАН ЧИСТ К3'!I25*СПРАВОЧНИК!$L$11+'ПЛАН ЧИСТ К3'!J25*СПРАВОЧНИК!$M$11+'ПЛАН ЧИСТ К3'!K25*СПРАВОЧНИК!$N$11+'ПЛАН ЧИСТ К3'!L25*СПРАВОЧНИК!$L$12+'ПЛАН ЧИСТ К3'!M25*СПРАВОЧНИК!$M$12+'ПЛАН ЧИСТ К3'!N25*СПРАВОЧНИК!$N$12+'ПЛАН ЧИСТ К3'!O25*СПРАВОЧНИК!$L$13+'ПЛАН ЧИСТ К3'!P25*СПРАВОЧНИК!$M$13+'ПЛАН ЧИСТ К3'!Q25*СПРАВОЧНИК!$N$13+'ПЛАН ЧИСТ К3'!R25*СПРАВОЧНИК!$L$14+'ПЛАН ЧИСТ К3'!S25*СПРАВОЧНИК!$M$14+'ПЛАН ЧИСТ К3'!T25*СПРАВОЧНИК!$N$14+'ПЛАН ЧИСТ К3'!U25*СПРАВОЧНИК!$L$15+'ПЛАН ЧИСТ К3'!V25*СПРАВОЧНИК!$M$15+'ПЛАН ЧИСТ К3'!W25*СПРАВОЧНИК!$N$15</f>
        <v>0</v>
      </c>
      <c r="BS34" s="40">
        <f>('ФАКТ ЧИСТ К3'!B25)*СПРАВОЧНИК!$L$9+('ФАКТ ЧИСТ К3'!C25)*СПРАВОЧНИК!$M$9+('ФАКТ ЧИСТ К3'!D25)*СПРАВОЧНИК!$N$9+('ФАКТ ЧИСТ К3'!E25)*СПРАВОЧНИК!$O$9+('ФАКТ ЧИСТ К3'!F25)*СПРАВОЧНИК!$L$10+('ФАКТ ЧИСТ К3'!G25)*СПРАВОЧНИК!$M$10+('ФАКТ ЧИСТ К3'!H25)*СПРАВОЧНИК!$N$10+('ФАКТ ЧИСТ К3'!I25)*СПРАВОЧНИК!$L$11+('ФАКТ ЧИСТ К3'!J25)*СПРАВОЧНИК!$M$11+('ФАКТ ЧИСТ К3'!K25)*СПРАВОЧНИК!$N$11+('ФАКТ ЧИСТ К3'!L25)*СПРАВОЧНИК!$L$12+('ФАКТ ЧИСТ К3'!M25)*СПРАВОЧНИК!$M$12+('ФАКТ ЧИСТ К3'!N25)*СПРАВОЧНИК!$N$12+('ФАКТ ЧИСТ К3'!O25)*СПРАВОЧНИК!$L$13+('ФАКТ ЧИСТ К3'!P25)*СПРАВОЧНИК!$M$13+('ФАКТ ЧИСТ К3'!Q25)*СПРАВОЧНИК!$N$13+('ФАКТ ЧИСТ К3'!R25)*СПРАВОЧНИК!$L$14+('ФАКТ ЧИСТ К3'!S25)*СПРАВОЧНИК!$M$14+('ФАКТ ЧИСТ К3'!T25)*СПРАВОЧНИК!$N$14+('ФАКТ ЧИСТ К3'!U25)*СПРАВОЧНИК!$L$15+('ФАКТ ЧИСТ К3'!V25)*СПРАВОЧНИК!$M$15+('ФАКТ ЧИСТ К3'!W25)*СПРАВОЧНИК!$N$15</f>
        <v>0</v>
      </c>
      <c r="BW34" s="18">
        <f t="shared" si="24"/>
        <v>46314</v>
      </c>
      <c r="BX34" s="37">
        <f t="shared" si="0"/>
        <v>0</v>
      </c>
      <c r="BY34" s="40">
        <f t="shared" si="1"/>
        <v>0</v>
      </c>
      <c r="CC34" s="18">
        <f t="shared" si="25"/>
        <v>46314</v>
      </c>
      <c r="CD34" s="37">
        <f t="shared" si="2"/>
        <v>0</v>
      </c>
      <c r="CE34" s="40">
        <f t="shared" si="3"/>
        <v>0</v>
      </c>
      <c r="CI34" s="18">
        <f t="shared" si="26"/>
        <v>46314</v>
      </c>
      <c r="CJ34" s="37">
        <f t="shared" si="4"/>
        <v>0</v>
      </c>
      <c r="CK34" s="40">
        <f t="shared" si="5"/>
        <v>0</v>
      </c>
      <c r="CO34" s="18">
        <f t="shared" si="27"/>
        <v>46314</v>
      </c>
      <c r="CP34" s="37">
        <f t="shared" si="6"/>
        <v>0</v>
      </c>
      <c r="CQ34" s="40">
        <f t="shared" si="7"/>
        <v>0</v>
      </c>
      <c r="CU34" s="18">
        <f t="shared" si="28"/>
        <v>46314</v>
      </c>
      <c r="CV34" s="37">
        <f t="shared" si="8"/>
        <v>0</v>
      </c>
      <c r="CW34" s="40">
        <f t="shared" si="9"/>
        <v>0</v>
      </c>
      <c r="DA34" s="18">
        <f t="shared" si="29"/>
        <v>46314</v>
      </c>
      <c r="DB34" s="37">
        <f t="shared" si="10"/>
        <v>0</v>
      </c>
      <c r="DC34" s="40">
        <f t="shared" si="11"/>
        <v>0</v>
      </c>
    </row>
    <row r="35" spans="3:107" x14ac:dyDescent="0.25">
      <c r="C35" s="18">
        <f t="shared" si="12"/>
        <v>46321</v>
      </c>
      <c r="D35" s="37">
        <f>СПРАВОЧНИК!$E$3*('ПЛАН ЧЕРН ПОДЗЕМ'!B26*СПРАВОЧНИК!$H$3+'ПЛАН ЧЕРН ПОДЗЕМ'!C26*СПРАВОЧНИК!$I$3+'ПЛАН ЧЕРН ПОДЗЕМ'!D26*СПРАВОЧНИК!$J$3)+СПРАВОЧНИК!$E$4*('ПЛАН ЧЕРН ПОДЗЕМ'!E26*СПРАВОЧНИК!$H$4+'ПЛАН ЧЕРН ПОДЗЕМ'!F26*СПРАВОЧНИК!$I$4+'ПЛАН ЧЕРН ПОДЗЕМ'!G26*СПРАВОЧНИК!$J$4)+СПРАВОЧНИК!$E$5*('ПЛАН ЧЕРН ПОДЗЕМ'!H26*СПРАВОЧНИК!$H$5+'ПЛАН ЧЕРН ПОДЗЕМ'!I26*СПРАВОЧНИК!$I$5+'ПЛАН ЧЕРН ПОДЗЕМ'!J26*СПРАВОЧНИК!$J$5)+СПРАВОЧНИК!$E$6*('ПЛАН ЧЕРН ПОДЗЕМ'!K26*СПРАВОЧНИК!$H$6+'ПЛАН ЧЕРН ПОДЗЕМ'!L26*СПРАВОЧНИК!$I$6+'ПЛАН ЧЕРН ПОДЗЕМ'!M26*СПРАВОЧНИК!$J$6)+СПРАВОЧНИК!$E$7*('ПЛАН ЧЕРН ПОДЗЕМ'!N26*СПРАВОЧНИК!$H$7+'ПЛАН ЧЕРН ПОДЗЕМ'!O26*СПРАВОЧНИК!$I$7+'ПЛАН ЧЕРН ПОДЗЕМ'!P26*СПРАВОЧНИК!$J$7)+СПРАВОЧНИК!$E$8*('ПЛАН ЧЕРН ПОДЗЕМ'!Q26*СПРАВОЧНИК!$H$8+'ПЛАН ЧЕРН ПОДЗЕМ'!R26*СПРАВОЧНИК!$I$8+'ПЛАН ЧЕРН ПОДЗЕМ'!S26*СПРАВОЧНИК!$J$8)+СПРАВОЧНИК!$F$3*('ПЛАН ЧИСТ ПОДЗЕМ'!B26*СПРАВОЧНИК!$L$3+'ПЛАН ЧИСТ ПОДЗЕМ'!C26*СПРАВОЧНИК!$M$3+'ПЛАН ЧИСТ ПОДЗЕМ'!D26*СПРАВОЧНИК!$N$3)+СПРАВОЧНИК!$F$4*('ПЛАН ЧИСТ ПОДЗЕМ'!E26*СПРАВОЧНИК!$L$4+'ПЛАН ЧИСТ ПОДЗЕМ'!F26*СПРАВОЧНИК!$M$4+'ПЛАН ЧИСТ ПОДЗЕМ'!G26*СПРАВОЧНИК!$N$4)+СПРАВОЧНИК!$F$5*('ПЛАН ЧИСТ ПОДЗЕМ'!H26*СПРАВОЧНИК!$L$5+'ПЛАН ЧИСТ ПОДЗЕМ'!I26*СПРАВОЧНИК!$M$5+'ПЛАН ЧИСТ ПОДЗЕМ'!J26*СПРАВОЧНИК!$N$5)+СПРАВОЧНИК!$F$6*('ПЛАН ЧИСТ ПОДЗЕМ'!K26*СПРАВОЧНИК!$L$6+'ПЛАН ЧИСТ ПОДЗЕМ'!L26*СПРАВОЧНИК!$M$6+'ПЛАН ЧИСТ ПОДЗЕМ'!M26*СПРАВОЧНИК!$N$6)+СПРАВОЧНИК!$F$7*('ПЛАН ЧИСТ ПОДЗЕМ'!N26*СПРАВОЧНИК!$L$7+'ПЛАН ЧИСТ ПОДЗЕМ'!O26*СПРАВОЧНИК!$M$7+'ПЛАН ЧИСТ ПОДЗЕМ'!P26*СПРАВОЧНИК!$N$7)+СПРАВОЧНИК!$F$8*('ПЛАН ЧИСТ ПОДЗЕМ'!Q26*СПРАВОЧНИК!$L$8+'ПЛАН ЧИСТ ПОДЗЕМ'!R26*СПРАВОЧНИК!$M$8+'ПЛАН ЧИСТ ПОДЗЕМ'!S26*СПРАВОЧНИК!$N$8)</f>
        <v>0</v>
      </c>
      <c r="E35" s="40">
        <f>СПРАВОЧНИК!$E$3*(('ФАКТ ЧЕРН ПОДЗЕМ'!B26)*СПРАВОЧНИК!$H$3+('ФАКТ ЧЕРН ПОДЗЕМ'!C26)*СПРАВОЧНИК!$I$3+('ФАКТ ЧЕРН ПОДЗЕМ'!D26)*СПРАВОЧНИК!$J$3)+СПРАВОЧНИК!$E$4*(('ФАКТ ЧЕРН ПОДЗЕМ'!E26)*СПРАВОЧНИК!$H$4+('ФАКТ ЧЕРН ПОДЗЕМ'!F26)*СПРАВОЧНИК!$I$4+('ФАКТ ЧЕРН ПОДЗЕМ'!G26)*СПРАВОЧНИК!$J$4)+СПРАВОЧНИК!$E$5*(('ФАКТ ЧЕРН ПОДЗЕМ'!H26)*СПРАВОЧНИК!$H$5+('ФАКТ ЧЕРН ПОДЗЕМ'!I26)*СПРАВОЧНИК!$I$5+('ФАКТ ЧЕРН ПОДЗЕМ'!J26)*СПРАВОЧНИК!$J$5)+СПРАВОЧНИК!$E$6*(('ФАКТ ЧЕРН ПОДЗЕМ'!K26)*СПРАВОЧНИК!$H$6+('ФАКТ ЧЕРН ПОДЗЕМ'!L26)*СПРАВОЧНИК!$I$6+('ФАКТ ЧЕРН ПОДЗЕМ'!M26)*СПРАВОЧНИК!$J$6)+СПРАВОЧНИК!$E$7*(('ФАКТ ЧЕРН ПОДЗЕМ'!N26)*СПРАВОЧНИК!$H$7+('ФАКТ ЧЕРН ПОДЗЕМ'!O26)*СПРАВОЧНИК!$I$7+('ФАКТ ЧЕРН ПОДЗЕМ'!P26)*СПРАВОЧНИК!$J$7)+СПРАВОЧНИК!$E$8*(('ФАКТ ЧЕРН ПОДЗЕМ'!Q26)*СПРАВОЧНИК!$H$8+('ФАКТ ЧЕРН ПОДЗЕМ'!R26)*СПРАВОЧНИК!$I$8+('ФАКТ ЧЕРН ПОДЗЕМ'!S26)*СПРАВОЧНИК!$J$8)+СПРАВОЧНИК!$F$3*(('ФАКТ ЧИСТ ПОДЗЕМ'!B26)*СПРАВОЧНИК!$L$3+('ФАКТ ЧИСТ ПОДЗЕМ'!C26)*СПРАВОЧНИК!$M$3+('ФАКТ ЧИСТ ПОДЗЕМ'!D26)*СПРАВОЧНИК!$N$3)+СПРАВОЧНИК!$F$4*(('ФАКТ ЧИСТ ПОДЗЕМ'!E26)*СПРАВОЧНИК!$L$4+('ФАКТ ЧИСТ ПОДЗЕМ'!F26)*СПРАВОЧНИК!$M$4+('ФАКТ ЧИСТ ПОДЗЕМ'!G26)*СПРАВОЧНИК!$N$4)+СПРАВОЧНИК!$F$5*(('ФАКТ ЧИСТ ПОДЗЕМ'!H26)*СПРАВОЧНИК!$L$5+('ФАКТ ЧИСТ ПОДЗЕМ'!I26)*СПРАВОЧНИК!$M$5+('ФАКТ ЧИСТ ПОДЗЕМ'!J26)*СПРАВОЧНИК!$N$5)+СПРАВОЧНИК!$F$6*(('ФАКТ ЧИСТ ПОДЗЕМ'!K26)*СПРАВОЧНИК!$L$6+('ФАКТ ЧИСТ ПОДЗЕМ'!L26)*СПРАВОЧНИК!$M$6+('ФАКТ ЧИСТ ПОДЗЕМ'!M26)*СПРАВОЧНИК!$N$6)+СПРАВОЧНИК!$F$7*(('ФАКТ ЧИСТ ПОДЗЕМ'!N26)*СПРАВОЧНИК!$L$7+('ФАКТ ЧИСТ ПОДЗЕМ'!O26)*СПРАВОЧНИК!$M$7+('ФАКТ ЧИСТ ПОДЗЕМ'!P26)*СПРАВОЧНИК!$N$7)+СПРАВОЧНИК!$F$8*(('ФАКТ ЧИСТ ПОДЗЕМ'!Q26)*СПРАВОЧНИК!$L$8+('ФАКТ ЧИСТ ПОДЗЕМ'!R26)*СПРАВОЧНИК!$M$8+('ФАКТ ЧИСТ ПОДЗЕМ'!S26)*СПРАВОЧНИК!$N$8)</f>
        <v>0</v>
      </c>
      <c r="I35" s="18">
        <f t="shared" si="13"/>
        <v>46321</v>
      </c>
      <c r="J35" s="37">
        <f>'ПЛАН ЧЕРН ПОДЗЕМ'!B26*СПРАВОЧНИК!$H$3+'ПЛАН ЧЕРН ПОДЗЕМ'!C26*СПРАВОЧНИК!$I$3+'ПЛАН ЧЕРН ПОДЗЕМ'!D26*СПРАВОЧНИК!$J$3+'ПЛАН ЧЕРН ПОДЗЕМ'!E26*СПРАВОЧНИК!$H$4+'ПЛАН ЧЕРН ПОДЗЕМ'!F26*СПРАВОЧНИК!$I$4+'ПЛАН ЧЕРН ПОДЗЕМ'!G26*СПРАВОЧНИК!$J$4+'ПЛАН ЧЕРН ПОДЗЕМ'!H26*СПРАВОЧНИК!$H$5+'ПЛАН ЧЕРН ПОДЗЕМ'!I26*СПРАВОЧНИК!$I$5+'ПЛАН ЧЕРН ПОДЗЕМ'!J26*СПРАВОЧНИК!$J$5+'ПЛАН ЧЕРН ПОДЗЕМ'!K26*СПРАВОЧНИК!$H$6+'ПЛАН ЧЕРН ПОДЗЕМ'!L26*СПРАВОЧНИК!$I$6+'ПЛАН ЧЕРН ПОДЗЕМ'!M26*СПРАВОЧНИК!$J$6+'ПЛАН ЧЕРН ПОДЗЕМ'!N26*СПРАВОЧНИК!$H$7+'ПЛАН ЧЕРН ПОДЗЕМ'!O26*СПРАВОЧНИК!$I$7+'ПЛАН ЧЕРН ПОДЗЕМ'!P26*СПРАВОЧНИК!$J$7+'ПЛАН ЧЕРН ПОДЗЕМ'!Q26*СПРАВОЧНИК!$H$8+'ПЛАН ЧЕРН ПОДЗЕМ'!R26*СПРАВОЧНИК!$I$8+'ПЛАН ЧЕРН ПОДЗЕМ'!S26*СПРАВОЧНИК!$J$8</f>
        <v>0</v>
      </c>
      <c r="K35" s="40">
        <f>('ФАКТ ЧЕРН ПОДЗЕМ'!B26)*СПРАВОЧНИК!$H$3+('ФАКТ ЧЕРН ПОДЗЕМ'!C26)*СПРАВОЧНИК!$I$3+('ФАКТ ЧЕРН ПОДЗЕМ'!D26)*СПРАВОЧНИК!$J$3+('ФАКТ ЧЕРН ПОДЗЕМ'!E26)*СПРАВОЧНИК!$H$4+('ФАКТ ЧЕРН ПОДЗЕМ'!F26)*СПРАВОЧНИК!$I$4+('ФАКТ ЧЕРН ПОДЗЕМ'!G26)*СПРАВОЧНИК!$J$4+('ФАКТ ЧЕРН ПОДЗЕМ'!H26)*СПРАВОЧНИК!$H$5+('ФАКТ ЧЕРН ПОДЗЕМ'!I26)*СПРАВОЧНИК!$I$5+('ФАКТ ЧЕРН ПОДЗЕМ'!J26)*СПРАВОЧНИК!$J$5+('ФАКТ ЧЕРН ПОДЗЕМ'!K26)*СПРАВОЧНИК!$H$6+('ФАКТ ЧЕРН ПОДЗЕМ'!L26)*СПРАВОЧНИК!$I$6+('ФАКТ ЧЕРН ПОДЗЕМ'!M26)*СПРАВОЧНИК!$J$6+('ФАКТ ЧЕРН ПОДЗЕМ'!N26)*СПРАВОЧНИК!$H$7+('ФАКТ ЧЕРН ПОДЗЕМ'!O26)*СПРАВОЧНИК!$I$7+('ФАКТ ЧЕРН ПОДЗЕМ'!P26)*СПРАВОЧНИК!$J$7+('ФАКТ ЧЕРН ПОДЗЕМ'!Q26)*СПРАВОЧНИК!$H$8+('ФАКТ ЧЕРН ПОДЗЕМ'!R26)*СПРАВОЧНИК!$I$8+('ФАКТ ЧЕРН ПОДЗЕМ'!S26)*СПРАВОЧНИК!$J$8</f>
        <v>0</v>
      </c>
      <c r="O35" s="18">
        <f t="shared" si="14"/>
        <v>46321</v>
      </c>
      <c r="P35" s="37">
        <f>'ПЛАН ЧИСТ ПОДЗЕМ'!B26*СПРАВОЧНИК!$L$3+'ПЛАН ЧИСТ ПОДЗЕМ'!C26*СПРАВОЧНИК!$M$3+'ПЛАН ЧИСТ ПОДЗЕМ'!D26*СПРАВОЧНИК!$N$3+'ПЛАН ЧИСТ ПОДЗЕМ'!E26*СПРАВОЧНИК!$L$4+'ПЛАН ЧИСТ ПОДЗЕМ'!F26*СПРАВОЧНИК!$M$4+'ПЛАН ЧИСТ ПОДЗЕМ'!G26*СПРАВОЧНИК!$N$4+'ПЛАН ЧИСТ ПОДЗЕМ'!H26*СПРАВОЧНИК!$L$5+'ПЛАН ЧИСТ ПОДЗЕМ'!I26*СПРАВОЧНИК!$M$5+'ПЛАН ЧИСТ ПОДЗЕМ'!J26*СПРАВОЧНИК!$N$5+'ПЛАН ЧИСТ ПОДЗЕМ'!K26*СПРАВОЧНИК!$L$6+'ПЛАН ЧИСТ ПОДЗЕМ'!L26*СПРАВОЧНИК!$M$6+'ПЛАН ЧИСТ ПОДЗЕМ'!M26*СПРАВОЧНИК!$N$6+'ПЛАН ЧИСТ ПОДЗЕМ'!N26*СПРАВОЧНИК!$L$7+'ПЛАН ЧИСТ ПОДЗЕМ'!O26*СПРАВОЧНИК!$M$7+'ПЛАН ЧИСТ ПОДЗЕМ'!P26*СПРАВОЧНИК!$N$7+'ПЛАН ЧИСТ ПОДЗЕМ'!Q26*СПРАВОЧНИК!$L$8+'ПЛАН ЧИСТ ПОДЗЕМ'!R26*СПРАВОЧНИК!$M$8+'ПЛАН ЧИСТ ПОДЗЕМ'!S26*СПРАВОЧНИК!$N$8</f>
        <v>0</v>
      </c>
      <c r="Q35" s="40">
        <f>('ФАКТ ЧИСТ ПОДЗЕМ'!B26)*СПРАВОЧНИК!$L$3+('ФАКТ ЧИСТ ПОДЗЕМ'!C26)*СПРАВОЧНИК!$M$3+('ФАКТ ЧИСТ ПОДЗЕМ'!D26)*СПРАВОЧНИК!$N$3+('ФАКТ ЧИСТ ПОДЗЕМ'!E26)*СПРАВОЧНИК!$L$4+('ФАКТ ЧИСТ ПОДЗЕМ'!F26)*СПРАВОЧНИК!$M$4+('ФАКТ ЧИСТ ПОДЗЕМ'!G26)*СПРАВОЧНИК!$N$4+('ФАКТ ЧИСТ ПОДЗЕМ'!H26)*СПРАВОЧНИК!$L$5+('ФАКТ ЧИСТ ПОДЗЕМ'!I26)*СПРАВОЧНИК!$M$5+('ФАКТ ЧИСТ ПОДЗЕМ'!J26)*СПРАВОЧНИК!$N$5+('ФАКТ ЧИСТ ПОДЗЕМ'!K26)*СПРАВОЧНИК!$L$6+('ФАКТ ЧИСТ ПОДЗЕМ'!L26)*СПРАВОЧНИК!$M$6+('ФАКТ ЧИСТ ПОДЗЕМ'!M26)*СПРАВОЧНИК!$N$6+('ФАКТ ЧИСТ ПОДЗЕМ'!N26)*СПРАВОЧНИК!$L$7+('ФАКТ ЧИСТ ПОДЗЕМ'!O26)*СПРАВОЧНИК!$M$7+('ФАКТ ЧИСТ ПОДЗЕМ'!P26)*СПРАВОЧНИК!$N$7+('ФАКТ ЧИСТ ПОДЗЕМ'!Q26)*СПРАВОЧНИК!$L$8+('ФАКТ ЧИСТ ПОДЗЕМ'!R26)*СПРАВОЧНИК!$M$8+('ФАКТ ЧИСТ ПОДЗЕМ'!S26)*СПРАВОЧНИК!$N$8</f>
        <v>0</v>
      </c>
      <c r="U35" s="18">
        <f t="shared" si="15"/>
        <v>46321</v>
      </c>
      <c r="V35" s="37">
        <f>СПРАВОЧНИК!$E$9*('ПЛАН ЧЕРН К1'!B26*СПРАВОЧНИК!$H$9+'ПЛАН ЧЕРН К1'!C26*СПРАВОЧНИК!$I$9+'ПЛАН ЧЕРН К1'!D26*СПРАВОЧНИК!$J$9)+СПРАВОЧНИК!$E$10*('ПЛАН ЧЕРН К1'!E26*СПРАВОЧНИК!$H$10+'ПЛАН ЧЕРН К1'!F26*СПРАВОЧНИК!$I$10+'ПЛАН ЧЕРН К1'!G26*СПРАВОЧНИК!$J$10)+СПРАВОЧНИК!$E$11*('ПЛАН ЧЕРН К1'!H26*СПРАВОЧНИК!$H$11+'ПЛАН ЧЕРН К1'!I26*СПРАВОЧНИК!$I$11+'ПЛАН ЧЕРН К1'!J26*СПРАВОЧНИК!$J$11)+СПРАВОЧНИК!$E$12*('ПЛАН ЧЕРН К1'!K26*СПРАВОЧНИК!$H$12+'ПЛАН ЧЕРН К1'!L26*СПРАВОЧНИК!$I$12+'ПЛАН ЧЕРН К1'!M26*СПРАВОЧНИК!$J$12)+СПРАВОЧНИК!$E$13*('ПЛАН ЧЕРН К1'!N26*СПРАВОЧНИК!$H$13+'ПЛАН ЧЕРН К1'!O26*СПРАВОЧНИК!$I$13+'ПЛАН ЧЕРН К1'!P26*СПРАВОЧНИК!$J$13)+СПРАВОЧНИК!$E$14*('ПЛАН ЧЕРН К1'!Q26*СПРАВОЧНИК!$H$14+'ПЛАН ЧЕРН К1'!R26*СПРАВОЧНИК!$I$14+'ПЛАН ЧЕРН К1'!S26*СПРАВОЧНИК!$J$14)+СПРАВОЧНИК!$E$15*('ПЛАН ЧЕРН К1'!T26*СПРАВОЧНИК!$H$15+'ПЛАН ЧЕРН К1'!U26*СПРАВОЧНИК!$I$15+'ПЛАН ЧЕРН К1'!V26*СПРАВОЧНИК!$J$15)+СПРАВОЧНИК!$F$9*('ПЛАН ЧИСТ К1'!B26*СПРАВОЧНИК!$L$9+'ПЛАН ЧИСТ К1'!C26*СПРАВОЧНИК!$M$9+'ПЛАН ЧИСТ К1'!D26*СПРАВОЧНИК!$N$9+'ПЛАН ЧИСТ К1'!E26*СПРАВОЧНИК!$O$9)+СПРАВОЧНИК!$F$10*('ПЛАН ЧИСТ К1'!F26*СПРАВОЧНИК!$L$10+'ПЛАН ЧИСТ К1'!G26*СПРАВОЧНИК!$M$10+'ПЛАН ЧИСТ К1'!H26*СПРАВОЧНИК!$N$10)+СПРАВОЧНИК!$F$11*('ПЛАН ЧИСТ К1'!I26*СПРАВОЧНИК!$L$11+'ПЛАН ЧИСТ К1'!J26*СПРАВОЧНИК!$M$11+'ПЛАН ЧИСТ К1'!K26*СПРАВОЧНИК!$N$11)+СПРАВОЧНИК!$F$12*('ПЛАН ЧИСТ К1'!L26*СПРАВОЧНИК!$L$12+'ПЛАН ЧИСТ К1'!M26*СПРАВОЧНИК!$M$12+'ПЛАН ЧИСТ К1'!N26*СПРАВОЧНИК!$N$12)+СПРАВОЧНИК!$F$13*('ПЛАН ЧИСТ К1'!O26*СПРАВОЧНИК!$L$13+'ПЛАН ЧИСТ К1'!P26*СПРАВОЧНИК!$M$13+'ПЛАН ЧИСТ К1'!Q26*СПРАВОЧНИК!$N$13)+СПРАВОЧНИК!$F$14*('ПЛАН ЧИСТ К1'!R26*СПРАВОЧНИК!$L$14+'ПЛАН ЧИСТ К1'!S26*СПРАВОЧНИК!$M$14+'ПЛАН ЧИСТ К1'!T26*СПРАВОЧНИК!$N$14)+СПРАВОЧНИК!$F$15*('ПЛАН ЧИСТ К1'!U26*СПРАВОЧНИК!$L$15+'ПЛАН ЧИСТ К1'!V26*СПРАВОЧНИК!$M$15+'ПЛАН ЧИСТ К1'!W26*СПРАВОЧНИК!$N$15)</f>
        <v>0</v>
      </c>
      <c r="W35" s="40">
        <f>СПРАВОЧНИК!$E$9*(('ФАКТ ЧЕРН К1'!B26)*СПРАВОЧНИК!$H$9+('ФАКТ ЧЕРН К1'!C26)*СПРАВОЧНИК!$I$9+('ФАКТ ЧЕРН К1'!D26)*СПРАВОЧНИК!$J$9)+СПРАВОЧНИК!$E$10*(('ФАКТ ЧЕРН К1'!E26)*СПРАВОЧНИК!$H$10+('ФАКТ ЧЕРН К1'!F26)*СПРАВОЧНИК!$I$10+('ФАКТ ЧЕРН К1'!G26)*СПРАВОЧНИК!$J$10)+СПРАВОЧНИК!$E$11*(('ФАКТ ЧЕРН К1'!H26)*СПРАВОЧНИК!$H$11+('ФАКТ ЧЕРН К1'!I26)*СПРАВОЧНИК!$I$11+('ФАКТ ЧЕРН К1'!J26)*СПРАВОЧНИК!$J$11)+СПРАВОЧНИК!$E$12*(('ФАКТ ЧЕРН К1'!K26)*СПРАВОЧНИК!$H$12+('ФАКТ ЧЕРН К1'!L26)*СПРАВОЧНИК!$I$12+('ФАКТ ЧЕРН К1'!M26)*СПРАВОЧНИК!$J$12)+СПРАВОЧНИК!$E$13*(('ФАКТ ЧЕРН К1'!N26)*СПРАВОЧНИК!$H$13+('ФАКТ ЧЕРН К1'!O26)*СПРАВОЧНИК!$I$13+('ФАКТ ЧЕРН К1'!P26)*СПРАВОЧНИК!$J$13)+СПРАВОЧНИК!$E$14*(('ФАКТ ЧЕРН К1'!Q26)*СПРАВОЧНИК!$H$14+('ФАКТ ЧЕРН К1'!R26)*СПРАВОЧНИК!$I$14+('ФАКТ ЧЕРН К1'!S26)*СПРАВОЧНИК!$J$14)+СПРАВОЧНИК!$E$15*(('ФАКТ ЧЕРН К1'!T26)*СПРАВОЧНИК!$H$15+('ФАКТ ЧЕРН К1'!U26)*СПРАВОЧНИК!$I$15+('ФАКТ ЧЕРН К1'!V26)*СПРАВОЧНИК!$J$15)+СПРАВОЧНИК!$F$9*(('ФАКТ ЧИСТ К1'!B26)*СПРАВОЧНИК!$L$9+('ФАКТ ЧИСТ К1'!C26)*СПРАВОЧНИК!$M$9+('ФАКТ ЧИСТ К1'!D26)*СПРАВОЧНИК!$N$9+('ФАКТ ЧИСТ К1'!E26)*СПРАВОЧНИК!$O$9)+СПРАВОЧНИК!$F$10*(('ФАКТ ЧИСТ К1'!F26)*СПРАВОЧНИК!$L$10+('ФАКТ ЧИСТ К1'!G26)*СПРАВОЧНИК!$M$10+('ФАКТ ЧИСТ К1'!H26)*СПРАВОЧНИК!$N$10)+СПРАВОЧНИК!$F$11*(('ФАКТ ЧИСТ К1'!I26)*СПРАВОЧНИК!$L$11+('ФАКТ ЧИСТ К1'!J26)*СПРАВОЧНИК!$M$11+('ФАКТ ЧИСТ К1'!K26)*СПРАВОЧНИК!$N$11)+СПРАВОЧНИК!$F$12*(('ФАКТ ЧИСТ К1'!L26)*СПРАВОЧНИК!$L$12+('ФАКТ ЧИСТ К1'!M26)*СПРАВОЧНИК!$M$12+('ФАКТ ЧИСТ К1'!N26)*СПРАВОЧНИК!$N$12)+СПРАВОЧНИК!$F$13*(('ФАКТ ЧИСТ К1'!O26)*СПРАВОЧНИК!$L$13+('ФАКТ ЧИСТ К1'!P26)*СПРАВОЧНИК!$M$13+('ФАКТ ЧИСТ К1'!Q26)*СПРАВОЧНИК!$N$13)+СПРАВОЧНИК!$F$14*(('ФАКТ ЧИСТ К1'!R26)*СПРАВОЧНИК!$L$14+('ФАКТ ЧИСТ К1'!S26)*СПРАВОЧНИК!$M$14+('ФАКТ ЧИСТ К1'!T26)*СПРАВОЧНИК!$N$14)+СПРАВОЧНИК!$F$15*(('ФАКТ ЧИСТ К1'!U26)*СПРАВОЧНИК!$L$15+('ФАКТ ЧИСТ К1'!V26)*СПРАВОЧНИК!$M$15+('ФАКТ ЧИСТ К1'!W26)*СПРАВОЧНИК!$N$15)</f>
        <v>0</v>
      </c>
      <c r="AA35" s="18">
        <f t="shared" si="16"/>
        <v>46321</v>
      </c>
      <c r="AB35" s="37">
        <f>'ПЛАН ЧЕРН К1'!B26*СПРАВОЧНИК!$H$9+'ПЛАН ЧЕРН К1'!C26*СПРАВОЧНИК!$I$9+'ПЛАН ЧЕРН К1'!D26*СПРАВОЧНИК!$J$9+'ПЛАН ЧЕРН К1'!E26*СПРАВОЧНИК!$H$10+'ПЛАН ЧЕРН К1'!F26*СПРАВОЧНИК!$I$10+'ПЛАН ЧЕРН К1'!G26*СПРАВОЧНИК!$J$10+'ПЛАН ЧЕРН К1'!H26*СПРАВОЧНИК!$H$11+'ПЛАН ЧЕРН К1'!I26*СПРАВОЧНИК!$I$11+'ПЛАН ЧЕРН К1'!J26*СПРАВОЧНИК!$J$11+'ПЛАН ЧЕРН К1'!K26*СПРАВОЧНИК!$H$12+'ПЛАН ЧЕРН К1'!L26*СПРАВОЧНИК!$I$12+'ПЛАН ЧЕРН К1'!M26*СПРАВОЧНИК!$J$12+'ПЛАН ЧЕРН К1'!N26*СПРАВОЧНИК!$H$13+'ПЛАН ЧЕРН К1'!O26*СПРАВОЧНИК!$I$13+'ПЛАН ЧЕРН К1'!P26*СПРАВОЧНИК!$J$13+'ПЛАН ЧЕРН К1'!Q26*СПРАВОЧНИК!$H$14+'ПЛАН ЧЕРН К1'!R26*СПРАВОЧНИК!$I$14+'ПЛАН ЧЕРН К1'!S26*СПРАВОЧНИК!$J$14+'ПЛАН ЧЕРН К1'!T26*СПРАВОЧНИК!$H$15+'ПЛАН ЧЕРН К1'!U26*СПРАВОЧНИК!$I$15+'ПЛАН ЧЕРН К1'!V26*СПРАВОЧНИК!$J$15</f>
        <v>0</v>
      </c>
      <c r="AC35" s="40">
        <f>('ФАКТ ЧЕРН К1'!B26)*СПРАВОЧНИК!$H$9+('ФАКТ ЧЕРН К1'!C26)*СПРАВОЧНИК!$I$9+('ФАКТ ЧЕРН К1'!D26)*СПРАВОЧНИК!$J$9+('ФАКТ ЧЕРН К1'!E26)*СПРАВОЧНИК!$H$10+('ФАКТ ЧЕРН К1'!F26)*СПРАВОЧНИК!$I$10+('ФАКТ ЧЕРН К1'!G26)*СПРАВОЧНИК!$J$10+('ФАКТ ЧЕРН К1'!H26)*СПРАВОЧНИК!$H$11+('ФАКТ ЧЕРН К1'!I26)*СПРАВОЧНИК!$I$11+('ФАКТ ЧЕРН К1'!J26)*СПРАВОЧНИК!$J$11+('ФАКТ ЧЕРН К1'!K26)*СПРАВОЧНИК!$H$12+('ФАКТ ЧЕРН К1'!L26)*СПРАВОЧНИК!$I$12+('ФАКТ ЧЕРН К1'!M26)*СПРАВОЧНИК!$J$12+('ФАКТ ЧЕРН К1'!N26)*СПРАВОЧНИК!$H$13+('ФАКТ ЧЕРН К1'!O26)*СПРАВОЧНИК!$I$13+('ФАКТ ЧЕРН К1'!P26)*СПРАВОЧНИК!$J$13+('ФАКТ ЧЕРН К1'!Q26)*СПРАВОЧНИК!$H$14+('ФАКТ ЧЕРН К1'!R26)*СПРАВОЧНИК!$I$14+('ФАКТ ЧЕРН К1'!S26)*СПРАВОЧНИК!$J$14+('ФАКТ ЧЕРН К1'!T26)*СПРАВОЧНИК!$H$15+('ФАКТ ЧЕРН К1'!U26)*СПРАВОЧНИК!$I$15+('ФАКТ ЧЕРН К1'!V26)*СПРАВОЧНИК!$J$15</f>
        <v>0</v>
      </c>
      <c r="AG35" s="18">
        <f t="shared" si="17"/>
        <v>46321</v>
      </c>
      <c r="AH35" s="37">
        <f>'ПЛАН ЧИСТ К1'!B26*СПРАВОЧНИК!$L$9+'ПЛАН ЧИСТ К1'!C26*СПРАВОЧНИК!$M$9+'ПЛАН ЧИСТ К1'!D26*СПРАВОЧНИК!$N$9+'ПЛАН ЧИСТ К1'!E26*СПРАВОЧНИК!$O$9+'ПЛАН ЧИСТ К1'!F26*СПРАВОЧНИК!$L$10+'ПЛАН ЧИСТ К1'!G26*СПРАВОЧНИК!$M$10+'ПЛАН ЧИСТ К1'!H26*СПРАВОЧНИК!$N$10+'ПЛАН ЧИСТ К1'!I26*СПРАВОЧНИК!$L$11+'ПЛАН ЧИСТ К1'!J26*СПРАВОЧНИК!$M$11+'ПЛАН ЧИСТ К1'!K26*СПРАВОЧНИК!$N$11+'ПЛАН ЧИСТ К1'!L26*СПРАВОЧНИК!$L$12+'ПЛАН ЧИСТ К1'!M26*СПРАВОЧНИК!$M$12+'ПЛАН ЧИСТ К1'!N26*СПРАВОЧНИК!$N$12+'ПЛАН ЧИСТ К1'!O26*СПРАВОЧНИК!$L$13+'ПЛАН ЧИСТ К1'!P26*СПРАВОЧНИК!$M$13+'ПЛАН ЧИСТ К1'!Q26*СПРАВОЧНИК!$N$13+'ПЛАН ЧИСТ К1'!R26*СПРАВОЧНИК!$L$14+'ПЛАН ЧИСТ К1'!S26*СПРАВОЧНИК!$M$14+'ПЛАН ЧИСТ К1'!T26*СПРАВОЧНИК!$N$14+'ПЛАН ЧИСТ К1'!U26*СПРАВОЧНИК!$L$15+'ПЛАН ЧИСТ К1'!V26*СПРАВОЧНИК!$M$15+'ПЛАН ЧИСТ К1'!W26*СПРАВОЧНИК!$N$15</f>
        <v>0</v>
      </c>
      <c r="AI35" s="40">
        <f>('ФАКТ ЧИСТ К1'!B26)*СПРАВОЧНИК!$L$9+('ФАКТ ЧИСТ К1'!C26)*СПРАВОЧНИК!$M$9+('ФАКТ ЧИСТ К1'!D26)*СПРАВОЧНИК!$N$9+('ФАКТ ЧИСТ К1'!E26)*СПРАВОЧНИК!$O$9+('ФАКТ ЧИСТ К1'!F26)*СПРАВОЧНИК!$L$10+('ФАКТ ЧИСТ К1'!G26)*СПРАВОЧНИК!$M$10+('ФАКТ ЧИСТ К1'!H26)*СПРАВОЧНИК!$N$10+('ФАКТ ЧИСТ К1'!I26)*СПРАВОЧНИК!$L$11+('ФАКТ ЧИСТ К1'!J26)*СПРАВОЧНИК!$M$11+('ФАКТ ЧИСТ К1'!K26)*СПРАВОЧНИК!$N$11+('ФАКТ ЧИСТ К1'!L26)*СПРАВОЧНИК!$L$12+('ФАКТ ЧИСТ К1'!M26)*СПРАВОЧНИК!$M$12+('ФАКТ ЧИСТ К1'!N26)*СПРАВОЧНИК!$N$12+('ФАКТ ЧИСТ К1'!O26)*СПРАВОЧНИК!$L$13+('ФАКТ ЧИСТ К1'!P26)*СПРАВОЧНИК!$M$13+('ФАКТ ЧИСТ К1'!Q26)*СПРАВОЧНИК!$N$13+('ФАКТ ЧИСТ К1'!R26)*СПРАВОЧНИК!$L$14+('ФАКТ ЧИСТ К1'!S26)*СПРАВОЧНИК!$M$14+('ФАКТ ЧИСТ К1'!T26)*СПРАВОЧНИК!$N$14+('ФАКТ ЧИСТ К1'!U26)*СПРАВОЧНИК!$L$15+('ФАКТ ЧИСТ К1'!V26)*СПРАВОЧНИК!$M$15+('ФАКТ ЧИСТ К1'!W26)*СПРАВОЧНИК!$N$15</f>
        <v>0</v>
      </c>
      <c r="AM35" s="18">
        <f t="shared" si="18"/>
        <v>46321</v>
      </c>
      <c r="AN35" s="37">
        <f>СПРАВОЧНИК!$E$9*('ПЛАН ЧЕРН К2'!B26*СПРАВОЧНИК!$H$9+'ПЛАН ЧЕРН К2'!C26*СПРАВОЧНИК!$I$9+'ПЛАН ЧЕРН К2'!D26*СПРАВОЧНИК!$J$9)+СПРАВОЧНИК!$E$10*('ПЛАН ЧЕРН К2'!E26*СПРАВОЧНИК!$H$10+'ПЛАН ЧЕРН К2'!F26*СПРАВОЧНИК!$I$10+'ПЛАН ЧЕРН К2'!G26*СПРАВОЧНИК!$J$10)+СПРАВОЧНИК!$E$11*('ПЛАН ЧЕРН К2'!H26*СПРАВОЧНИК!$H$11+'ПЛАН ЧЕРН К2'!I26*СПРАВОЧНИК!$I$11+'ПЛАН ЧЕРН К2'!J26*СПРАВОЧНИК!$J$11)+СПРАВОЧНИК!$E$12*('ПЛАН ЧЕРН К2'!K26*СПРАВОЧНИК!$H$12+'ПЛАН ЧЕРН К2'!L26*СПРАВОЧНИК!$I$12+'ПЛАН ЧЕРН К2'!M26*СПРАВОЧНИК!$J$12)+СПРАВОЧНИК!$E$13*('ПЛАН ЧЕРН К2'!N26*СПРАВОЧНИК!$H$13+'ПЛАН ЧЕРН К2'!O26*СПРАВОЧНИК!$I$13+'ПЛАН ЧЕРН К2'!P26*СПРАВОЧНИК!$J$13)+СПРАВОЧНИК!$E$14*('ПЛАН ЧЕРН К2'!Q26*СПРАВОЧНИК!$H$14+'ПЛАН ЧЕРН К2'!R26*СПРАВОЧНИК!$I$14+'ПЛАН ЧЕРН К2'!S26*СПРАВОЧНИК!$J$14)+СПРАВОЧНИК!$E$15*('ПЛАН ЧЕРН К2'!T26*СПРАВОЧНИК!$H$15+'ПЛАН ЧЕРН К2'!U26*СПРАВОЧНИК!$I$15+'ПЛАН ЧЕРН К2'!V26*СПРАВОЧНИК!$J$15)+СПРАВОЧНИК!$F$9*('ПЛАН ЧИСТ К2'!B26*СПРАВОЧНИК!$L$9+'ПЛАН ЧИСТ К2'!C26*СПРАВОЧНИК!$M$9+'ПЛАН ЧИСТ К2'!D26*СПРАВОЧНИК!$N$9+'ПЛАН ЧИСТ К2'!E26*СПРАВОЧНИК!$O$9)+СПРАВОЧНИК!$F$10*('ПЛАН ЧИСТ К2'!F26*СПРАВОЧНИК!$L$10+'ПЛАН ЧИСТ К2'!G26*СПРАВОЧНИК!$M$10+'ПЛАН ЧИСТ К2'!H26*СПРАВОЧНИК!$N$10)+СПРАВОЧНИК!$F$11*('ПЛАН ЧИСТ К2'!I26*СПРАВОЧНИК!$L$11+'ПЛАН ЧИСТ К2'!J26*СПРАВОЧНИК!$M$11+'ПЛАН ЧИСТ К2'!K26*СПРАВОЧНИК!$N$11)+СПРАВОЧНИК!$F$12*('ПЛАН ЧИСТ К2'!L26*СПРАВОЧНИК!$L$12+'ПЛАН ЧИСТ К2'!M26*СПРАВОЧНИК!$M$12+'ПЛАН ЧИСТ К2'!N26*СПРАВОЧНИК!$N$12)+СПРАВОЧНИК!$F$13*('ПЛАН ЧИСТ К2'!O26*СПРАВОЧНИК!$L$13+'ПЛАН ЧИСТ К2'!P26*СПРАВОЧНИК!$M$13+'ПЛАН ЧИСТ К2'!Q26*СПРАВОЧНИК!$N$13)+СПРАВОЧНИК!$F$14*('ПЛАН ЧИСТ К2'!R26*СПРАВОЧНИК!$L$14+'ПЛАН ЧИСТ К2'!S26*СПРАВОЧНИК!$M$14+'ПЛАН ЧИСТ К2'!T26*СПРАВОЧНИК!$N$14)+СПРАВОЧНИК!$F$15*('ПЛАН ЧИСТ К2'!U26*СПРАВОЧНИК!$L$15+'ПЛАН ЧИСТ К2'!V26*СПРАВОЧНИК!$M$15+'ПЛАН ЧИСТ К2'!W26*СПРАВОЧНИК!$N$15)</f>
        <v>0</v>
      </c>
      <c r="AO35" s="40">
        <f>СПРАВОЧНИК!$E$9*(('ФАКТ ЧЕРН К2'!B26)*СПРАВОЧНИК!$H$9+('ФАКТ ЧЕРН К2'!C26)*СПРАВОЧНИК!$I$9+('ФАКТ ЧЕРН К2'!D26)*СПРАВОЧНИК!$J$9)+СПРАВОЧНИК!$E$10*(('ФАКТ ЧЕРН К2'!E26)*СПРАВОЧНИК!$H$10+('ФАКТ ЧЕРН К2'!F26)*СПРАВОЧНИК!$I$10+('ФАКТ ЧЕРН К2'!G26)*СПРАВОЧНИК!$J$10)+СПРАВОЧНИК!$E$11*(('ФАКТ ЧЕРН К2'!H26)*СПРАВОЧНИК!$H$11+('ФАКТ ЧЕРН К2'!I26)*СПРАВОЧНИК!$I$11+('ФАКТ ЧЕРН К2'!J26)*СПРАВОЧНИК!$J$11)+СПРАВОЧНИК!$E$12*(('ФАКТ ЧЕРН К2'!K26)*СПРАВОЧНИК!$H$12+('ФАКТ ЧЕРН К2'!L26)*СПРАВОЧНИК!$I$12+('ФАКТ ЧЕРН К2'!M26)*СПРАВОЧНИК!$J$12)+СПРАВОЧНИК!$E$13*(('ФАКТ ЧЕРН К2'!N26)*СПРАВОЧНИК!$H$13+('ФАКТ ЧЕРН К2'!O26)*СПРАВОЧНИК!$I$13+('ФАКТ ЧЕРН К2'!P26)*СПРАВОЧНИК!$J$13)+СПРАВОЧНИК!$E$14*(('ФАКТ ЧЕРН К2'!Q26)*СПРАВОЧНИК!$H$14+('ФАКТ ЧЕРН К2'!R26)*СПРАВОЧНИК!$I$14+('ФАКТ ЧЕРН К2'!S26)*СПРАВОЧНИК!$J$14)+СПРАВОЧНИК!$E$15*(('ФАКТ ЧЕРН К2'!T26)*СПРАВОЧНИК!$H$15+('ФАКТ ЧЕРН К2'!U26)*СПРАВОЧНИК!$I$15+('ФАКТ ЧЕРН К2'!V26)*СПРАВОЧНИК!$J$15)+СПРАВОЧНИК!$F$9*(('ФАКТ ЧИСТ К2'!B26)*СПРАВОЧНИК!$L$9+('ФАКТ ЧИСТ К2'!C26)*СПРАВОЧНИК!$M$9+('ФАКТ ЧИСТ К2'!D26)*СПРАВОЧНИК!$N$9+('ФАКТ ЧИСТ К2'!E26)*СПРАВОЧНИК!$O$9)+СПРАВОЧНИК!$F$10*(('ФАКТ ЧИСТ К2'!F26)*СПРАВОЧНИК!$L$10+('ФАКТ ЧИСТ К2'!G26)*СПРАВОЧНИК!$M$10+('ФАКТ ЧИСТ К2'!H26)*СПРАВОЧНИК!$N$10)+СПРАВОЧНИК!$F$11*(('ФАКТ ЧИСТ К2'!I26)*СПРАВОЧНИК!$L$11+('ФАКТ ЧИСТ К2'!J26)*СПРАВОЧНИК!$M$11+('ФАКТ ЧИСТ К2'!K26)*СПРАВОЧНИК!$N$11)+СПРАВОЧНИК!$F$12*(('ФАКТ ЧИСТ К2'!L26)*СПРАВОЧНИК!$L$12+('ФАКТ ЧИСТ К2'!M26)*СПРАВОЧНИК!$M$12+('ФАКТ ЧИСТ К2'!N26)*СПРАВОЧНИК!$N$12)+СПРАВОЧНИК!$F$13*(('ФАКТ ЧИСТ К2'!O26)*СПРАВОЧНИК!$L$13+('ФАКТ ЧИСТ К2'!P26)*СПРАВОЧНИК!$M$13+('ФАКТ ЧИСТ К2'!Q26)*СПРАВОЧНИК!$N$13)+СПРАВОЧНИК!$F$14*(('ФАКТ ЧИСТ К2'!R26)*СПРАВОЧНИК!$L$14+('ФАКТ ЧИСТ К2'!S26)*СПРАВОЧНИК!$M$14+('ФАКТ ЧИСТ К2'!T26)*СПРАВОЧНИК!$N$14)+СПРАВОЧНИК!$F$15*(('ФАКТ ЧИСТ К2'!U26)*СПРАВОЧНИК!$L$15+('ФАКТ ЧИСТ К2'!V26)*СПРАВОЧНИК!$M$15+('ФАКТ ЧИСТ К2'!W26)*СПРАВОЧНИК!$N$15)</f>
        <v>0</v>
      </c>
      <c r="AS35" s="18">
        <f t="shared" si="19"/>
        <v>46321</v>
      </c>
      <c r="AT35" s="37">
        <f>'ПЛАН ЧЕРН К2'!B26*СПРАВОЧНИК!$H$9+'ПЛАН ЧЕРН К2'!C26*СПРАВОЧНИК!$I$9+'ПЛАН ЧЕРН К2'!D26*СПРАВОЧНИК!$J$9+'ПЛАН ЧЕРН К2'!E26*СПРАВОЧНИК!$H$10+'ПЛАН ЧЕРН К2'!F26*СПРАВОЧНИК!$I$10+'ПЛАН ЧЕРН К2'!G26*СПРАВОЧНИК!$J$10+'ПЛАН ЧЕРН К2'!H26*СПРАВОЧНИК!$H$11+'ПЛАН ЧЕРН К2'!I26*СПРАВОЧНИК!$I$11+'ПЛАН ЧЕРН К2'!J26*СПРАВОЧНИК!$J$11+'ПЛАН ЧЕРН К2'!K26*СПРАВОЧНИК!$H$12+'ПЛАН ЧЕРН К2'!L26*СПРАВОЧНИК!$I$12+'ПЛАН ЧЕРН К2'!M26*СПРАВОЧНИК!$J$12+'ПЛАН ЧЕРН К2'!N26*СПРАВОЧНИК!$H$13+'ПЛАН ЧЕРН К2'!O26*СПРАВОЧНИК!$I$13+'ПЛАН ЧЕРН К2'!P26*СПРАВОЧНИК!$J$13+'ПЛАН ЧЕРН К2'!Q26*СПРАВОЧНИК!$H$14+'ПЛАН ЧЕРН К2'!R26*СПРАВОЧНИК!$I$14+'ПЛАН ЧЕРН К2'!S26*СПРАВОЧНИК!$J$14+'ПЛАН ЧЕРН К2'!T26*СПРАВОЧНИК!$H$15+'ПЛАН ЧЕРН К2'!U26*СПРАВОЧНИК!$I$15+'ПЛАН ЧЕРН К2'!V26*СПРАВОЧНИК!$J$15</f>
        <v>0</v>
      </c>
      <c r="AU35" s="40">
        <f>('ФАКТ ЧЕРН К2'!B26)*СПРАВОЧНИК!$H$9+('ФАКТ ЧЕРН К2'!C26)*СПРАВОЧНИК!$I$9+('ФАКТ ЧЕРН К2'!D26)*СПРАВОЧНИК!$J$9+('ФАКТ ЧЕРН К2'!E26)*СПРАВОЧНИК!$H$10+('ФАКТ ЧЕРН К2'!F26)*СПРАВОЧНИК!$I$10+('ФАКТ ЧЕРН К2'!G26)*СПРАВОЧНИК!$J$10+('ФАКТ ЧЕРН К2'!H26)*СПРАВОЧНИК!$H$11+('ФАКТ ЧЕРН К2'!I26)*СПРАВОЧНИК!$I$11+('ФАКТ ЧЕРН К2'!J26)*СПРАВОЧНИК!$J$11+('ФАКТ ЧЕРН К2'!K26)*СПРАВОЧНИК!$H$12+('ФАКТ ЧЕРН К2'!L26)*СПРАВОЧНИК!$I$12+('ФАКТ ЧЕРН К2'!M26)*СПРАВОЧНИК!$J$12+('ФАКТ ЧЕРН К2'!N26)*СПРАВОЧНИК!$H$13+('ФАКТ ЧЕРН К2'!O26)*СПРАВОЧНИК!$I$13+('ФАКТ ЧЕРН К2'!P26)*СПРАВОЧНИК!$J$13+('ФАКТ ЧЕРН К2'!Q26)*СПРАВОЧНИК!$H$14+('ФАКТ ЧЕРН К2'!R26)*СПРАВОЧНИК!$I$14+('ФАКТ ЧЕРН К2'!S26)*СПРАВОЧНИК!$J$14+('ФАКТ ЧЕРН К2'!T26)*СПРАВОЧНИК!$H$15+('ФАКТ ЧЕРН К2'!U26)*СПРАВОЧНИК!$I$15+('ФАКТ ЧЕРН К2'!V26)*СПРАВОЧНИК!$J$15</f>
        <v>0</v>
      </c>
      <c r="AY35" s="18">
        <f t="shared" si="20"/>
        <v>46321</v>
      </c>
      <c r="AZ35" s="37">
        <f>'ПЛАН ЧИСТ К2'!B26*СПРАВОЧНИК!$L$9+'ПЛАН ЧИСТ К2'!C26*СПРАВОЧНИК!$M$9+'ПЛАН ЧИСТ К2'!D26*СПРАВОЧНИК!$N$9+'ПЛАН ЧИСТ К2'!E26*СПРАВОЧНИК!$O$9+'ПЛАН ЧИСТ К2'!F26*СПРАВОЧНИК!$L$10+'ПЛАН ЧИСТ К2'!G26*СПРАВОЧНИК!$M$10+'ПЛАН ЧИСТ К2'!H26*СПРАВОЧНИК!$N$10+'ПЛАН ЧИСТ К2'!I26*СПРАВОЧНИК!$L$11+'ПЛАН ЧИСТ К2'!J26*СПРАВОЧНИК!$M$11+'ПЛАН ЧИСТ К2'!K26*СПРАВОЧНИК!$N$11+'ПЛАН ЧИСТ К2'!L26*СПРАВОЧНИК!$L$12+'ПЛАН ЧИСТ К2'!M26*СПРАВОЧНИК!$M$12+'ПЛАН ЧИСТ К2'!N26*СПРАВОЧНИК!$N$12+'ПЛАН ЧИСТ К2'!O26*СПРАВОЧНИК!$L$13+'ПЛАН ЧИСТ К2'!P26*СПРАВОЧНИК!$M$13+'ПЛАН ЧИСТ К2'!Q26*СПРАВОЧНИК!$N$13+'ПЛАН ЧИСТ К2'!R26*СПРАВОЧНИК!$L$14+'ПЛАН ЧИСТ К2'!S26*СПРАВОЧНИК!$M$14+'ПЛАН ЧИСТ К2'!T26*СПРАВОЧНИК!$N$14+'ПЛАН ЧИСТ К2'!U26*СПРАВОЧНИК!$L$15+'ПЛАН ЧИСТ К2'!V26*СПРАВОЧНИК!$M$15+'ПЛАН ЧИСТ К2'!W26*СПРАВОЧНИК!$N$15</f>
        <v>0</v>
      </c>
      <c r="BA35" s="40">
        <f>('ФАКТ ЧИСТ К2'!B26)*СПРАВОЧНИК!$L$9+('ФАКТ ЧИСТ К2'!C26)*СПРАВОЧНИК!$M$9+('ФАКТ ЧИСТ К2'!D26)*СПРАВОЧНИК!$N$9+('ФАКТ ЧИСТ К2'!E26)*СПРАВОЧНИК!$O$9+('ФАКТ ЧИСТ К2'!F26)*СПРАВОЧНИК!$L$10+('ФАКТ ЧИСТ К2'!G26)*СПРАВОЧНИК!$M$10+('ФАКТ ЧИСТ К2'!H26)*СПРАВОЧНИК!$N$10+('ФАКТ ЧИСТ К2'!I26)*СПРАВОЧНИК!$L$11+('ФАКТ ЧИСТ К2'!J26)*СПРАВОЧНИК!$M$11+('ФАКТ ЧИСТ К2'!K26)*СПРАВОЧНИК!$N$11+('ФАКТ ЧИСТ К2'!L26)*СПРАВОЧНИК!$L$12+('ФАКТ ЧИСТ К2'!M26)*СПРАВОЧНИК!$M$12+('ФАКТ ЧИСТ К2'!N26)*СПРАВОЧНИК!$N$12+('ФАКТ ЧИСТ К2'!O26)*СПРАВОЧНИК!$L$13+('ФАКТ ЧИСТ К2'!P26)*СПРАВОЧНИК!$M$13+('ФАКТ ЧИСТ К2'!Q26)*СПРАВОЧНИК!$N$13+('ФАКТ ЧИСТ К2'!R26)*СПРАВОЧНИК!$L$14+('ФАКТ ЧИСТ К2'!S26)*СПРАВОЧНИК!$M$14+('ФАКТ ЧИСТ К2'!T26)*СПРАВОЧНИК!$N$14+('ФАКТ ЧИСТ К2'!U26)*СПРАВОЧНИК!$L$15+('ФАКТ ЧИСТ К2'!V26)*СПРАВОЧНИК!$M$15+('ФАКТ ЧИСТ К2'!W26)*СПРАВОЧНИК!$N$15</f>
        <v>0</v>
      </c>
      <c r="BE35" s="18">
        <f t="shared" si="21"/>
        <v>46321</v>
      </c>
      <c r="BF35" s="37">
        <f>СПРАВОЧНИК!$E$9*('ПЛАН ЧЕРН К3'!B26*СПРАВОЧНИК!$H$9+'ПЛАН ЧЕРН К3'!C26*СПРАВОЧНИК!$I$9+'ПЛАН ЧЕРН К3'!D26*СПРАВОЧНИК!$J$9)+СПРАВОЧНИК!$E$10*('ПЛАН ЧЕРН К3'!E26*СПРАВОЧНИК!$H$10+'ПЛАН ЧЕРН К3'!F26*СПРАВОЧНИК!$I$10+'ПЛАН ЧЕРН К3'!G26*СПРАВОЧНИК!$J$10)+СПРАВОЧНИК!$E$11*('ПЛАН ЧЕРН К3'!H26*СПРАВОЧНИК!$H$11+'ПЛАН ЧЕРН К3'!I26*СПРАВОЧНИК!$I$11+'ПЛАН ЧЕРН К3'!J26*СПРАВОЧНИК!$J$11)+СПРАВОЧНИК!$E$12*('ПЛАН ЧЕРН К3'!K26*СПРАВОЧНИК!$H$12+'ПЛАН ЧЕРН К3'!L26*СПРАВОЧНИК!$I$12+'ПЛАН ЧЕРН К3'!M26*СПРАВОЧНИК!$J$12)+СПРАВОЧНИК!$E$13*('ПЛАН ЧЕРН К3'!N26*СПРАВОЧНИК!$H$13+'ПЛАН ЧЕРН К3'!O26*СПРАВОЧНИК!$I$13+'ПЛАН ЧЕРН К3'!P26*СПРАВОЧНИК!$J$13)+СПРАВОЧНИК!$E$14*('ПЛАН ЧЕРН К3'!Q26*СПРАВОЧНИК!$H$14+'ПЛАН ЧЕРН К3'!R26*СПРАВОЧНИК!$I$14+'ПЛАН ЧЕРН К3'!S26*СПРАВОЧНИК!$J$14)+СПРАВОЧНИК!$E$15*('ПЛАН ЧЕРН К3'!T26*СПРАВОЧНИК!$H$15+'ПЛАН ЧЕРН К3'!U26*СПРАВОЧНИК!$I$15+'ПЛАН ЧЕРН К3'!V26*СПРАВОЧНИК!$J$15)+СПРАВОЧНИК!$F$9*('ПЛАН ЧИСТ К3'!B26*СПРАВОЧНИК!$L$9+'ПЛАН ЧИСТ К3'!C26*СПРАВОЧНИК!$M$9+'ПЛАН ЧИСТ К3'!D26*СПРАВОЧНИК!$N$9+'ПЛАН ЧИСТ К3'!E26*СПРАВОЧНИК!$O$9)+СПРАВОЧНИК!$F$10*('ПЛАН ЧИСТ К3'!F26*СПРАВОЧНИК!$L$10+'ПЛАН ЧИСТ К3'!G26*СПРАВОЧНИК!$M$10+'ПЛАН ЧИСТ К3'!H26*СПРАВОЧНИК!$N$10)+СПРАВОЧНИК!$F$11*('ПЛАН ЧИСТ К3'!I26*СПРАВОЧНИК!$L$11+'ПЛАН ЧИСТ К3'!J26*СПРАВОЧНИК!$M$11+'ПЛАН ЧИСТ К3'!K26*СПРАВОЧНИК!$N$11)+СПРАВОЧНИК!$F$12*('ПЛАН ЧИСТ К3'!L26*СПРАВОЧНИК!$L$12+'ПЛАН ЧИСТ К3'!M26*СПРАВОЧНИК!$M$12+'ПЛАН ЧИСТ К3'!N26*СПРАВОЧНИК!$N$12)+СПРАВОЧНИК!$F$13*('ПЛАН ЧИСТ К3'!O26*СПРАВОЧНИК!$L$13+'ПЛАН ЧИСТ К3'!P26*СПРАВОЧНИК!$M$13+'ПЛАН ЧИСТ К3'!Q26*СПРАВОЧНИК!$N$13)+СПРАВОЧНИК!$F$14*('ПЛАН ЧИСТ К3'!R26*СПРАВОЧНИК!$L$14+'ПЛАН ЧИСТ К3'!S26*СПРАВОЧНИК!$M$14+'ПЛАН ЧИСТ К3'!T26*СПРАВОЧНИК!$N$14)+СПРАВОЧНИК!$F$15*('ПЛАН ЧИСТ К3'!U26*СПРАВОЧНИК!$L$15+'ПЛАН ЧИСТ К3'!V26*СПРАВОЧНИК!$M$15+'ПЛАН ЧИСТ К3'!W26*СПРАВОЧНИК!$N$15)</f>
        <v>0</v>
      </c>
      <c r="BG35" s="40">
        <f>СПРАВОЧНИК!$E$9*(('ФАКТ ЧЕРН К3'!B26)*СПРАВОЧНИК!$H$9+('ФАКТ ЧЕРН К3'!C26)*СПРАВОЧНИК!$I$9+('ФАКТ ЧЕРН К3'!D26)*СПРАВОЧНИК!$J$9)+СПРАВОЧНИК!$E$10*(('ФАКТ ЧЕРН К3'!E26)*СПРАВОЧНИК!$H$10+('ФАКТ ЧЕРН К3'!F26)*СПРАВОЧНИК!$I$10+('ФАКТ ЧЕРН К3'!G26)*СПРАВОЧНИК!$J$10)+СПРАВОЧНИК!$E$11*(('ФАКТ ЧЕРН К3'!H26)*СПРАВОЧНИК!$H$11+('ФАКТ ЧЕРН К3'!I26)*СПРАВОЧНИК!$I$11+('ФАКТ ЧЕРН К3'!J26)*СПРАВОЧНИК!$J$11)+СПРАВОЧНИК!$E$12*(('ФАКТ ЧЕРН К3'!K26)*СПРАВОЧНИК!$H$12+('ФАКТ ЧЕРН К3'!L26)*СПРАВОЧНИК!$I$12+('ФАКТ ЧЕРН К3'!M26)*СПРАВОЧНИК!$J$12)+СПРАВОЧНИК!$E$13*(('ФАКТ ЧЕРН К3'!N26)*СПРАВОЧНИК!$H$13+('ФАКТ ЧЕРН К3'!O26)*СПРАВОЧНИК!$I$13+('ФАКТ ЧЕРН К3'!P26)*СПРАВОЧНИК!$J$13)+СПРАВОЧНИК!$E$14*(('ФАКТ ЧЕРН К3'!Q26)*СПРАВОЧНИК!$H$14+('ФАКТ ЧЕРН К3'!R26)*СПРАВОЧНИК!$I$14+('ФАКТ ЧЕРН К3'!S26)*СПРАВОЧНИК!$J$14)+СПРАВОЧНИК!$E$15*(('ФАКТ ЧЕРН К3'!T26)*СПРАВОЧНИК!$H$15+('ФАКТ ЧЕРН К3'!U26)*СПРАВОЧНИК!$I$15+('ФАКТ ЧЕРН К3'!V26)*СПРАВОЧНИК!$J$15)+СПРАВОЧНИК!$F$9*(('ФАКТ ЧИСТ К3'!B26)*СПРАВОЧНИК!$L$9+('ФАКТ ЧИСТ К3'!C26)*СПРАВОЧНИК!$M$9+('ФАКТ ЧИСТ К3'!D26)*СПРАВОЧНИК!$N$9+('ФАКТ ЧИСТ К3'!E26)*СПРАВОЧНИК!$O$9)+СПРАВОЧНИК!$F$10*(('ФАКТ ЧИСТ К3'!F26)*СПРАВОЧНИК!$L$10+('ФАКТ ЧИСТ К3'!G26)*СПРАВОЧНИК!$M$10+('ФАКТ ЧИСТ К3'!H26)*СПРАВОЧНИК!$N$10)+СПРАВОЧНИК!$F$11*(('ФАКТ ЧИСТ К3'!I26)*СПРАВОЧНИК!$L$11+('ФАКТ ЧИСТ К3'!J26)*СПРАВОЧНИК!$M$11+('ФАКТ ЧИСТ К3'!K26)*СПРАВОЧНИК!$N$11)+СПРАВОЧНИК!$F$12*(('ФАКТ ЧИСТ К3'!L26)*СПРАВОЧНИК!$L$12+('ФАКТ ЧИСТ К3'!M26)*СПРАВОЧНИК!$M$12+('ФАКТ ЧИСТ К3'!N26)*СПРАВОЧНИК!$N$12)+СПРАВОЧНИК!$F$13*(('ФАКТ ЧИСТ К3'!O26)*СПРАВОЧНИК!$L$13+('ФАКТ ЧИСТ К3'!P26)*СПРАВОЧНИК!$M$13+('ФАКТ ЧИСТ К3'!Q26)*СПРАВОЧНИК!$N$13)+СПРАВОЧНИК!$F$14*(('ФАКТ ЧИСТ К3'!R26)*СПРАВОЧНИК!$L$14+('ФАКТ ЧИСТ К3'!S26)*СПРАВОЧНИК!$M$14+('ФАКТ ЧИСТ К3'!T26)*СПРАВОЧНИК!$N$14)+СПРАВОЧНИК!$F$15*(('ФАКТ ЧИСТ К3'!U26)*СПРАВОЧНИК!$L$15+('ФАКТ ЧИСТ К3'!V26)*СПРАВОЧНИК!$M$15+('ФАКТ ЧИСТ К3'!W26)*СПРАВОЧНИК!$N$15)</f>
        <v>0</v>
      </c>
      <c r="BK35" s="18">
        <f t="shared" si="22"/>
        <v>46321</v>
      </c>
      <c r="BL35" s="37">
        <f>'ПЛАН ЧЕРН К3'!B26*СПРАВОЧНИК!$H$9+'ПЛАН ЧЕРН К3'!C26*СПРАВОЧНИК!$I$9+'ПЛАН ЧЕРН К3'!D26*СПРАВОЧНИК!$J$9+'ПЛАН ЧЕРН К3'!E26*СПРАВОЧНИК!$H$10+'ПЛАН ЧЕРН К3'!F26*СПРАВОЧНИК!$I$10+'ПЛАН ЧЕРН К3'!G26*СПРАВОЧНИК!$J$10+'ПЛАН ЧЕРН К3'!H26*СПРАВОЧНИК!$H$11+'ПЛАН ЧЕРН К3'!I26*СПРАВОЧНИК!$I$11+'ПЛАН ЧЕРН К3'!J26*СПРАВОЧНИК!$J$11+'ПЛАН ЧЕРН К3'!K26*СПРАВОЧНИК!$H$12+'ПЛАН ЧЕРН К3'!L26*СПРАВОЧНИК!$I$12+'ПЛАН ЧЕРН К3'!M26*СПРАВОЧНИК!$J$12+'ПЛАН ЧЕРН К3'!N26*СПРАВОЧНИК!$H$13+'ПЛАН ЧЕРН К3'!O26*СПРАВОЧНИК!$I$13+'ПЛАН ЧЕРН К3'!P26*СПРАВОЧНИК!$J$13+'ПЛАН ЧЕРН К3'!Q26*СПРАВОЧНИК!$H$14+'ПЛАН ЧЕРН К3'!R26*СПРАВОЧНИК!$I$14+'ПЛАН ЧЕРН К3'!S26*СПРАВОЧНИК!$J$14+'ПЛАН ЧЕРН К3'!T26*СПРАВОЧНИК!$H$15+'ПЛАН ЧЕРН К3'!U26*СПРАВОЧНИК!$I$15+'ПЛАН ЧЕРН К3'!V26*СПРАВОЧНИК!$J$15</f>
        <v>0</v>
      </c>
      <c r="BM35" s="40">
        <f>('ФАКТ ЧЕРН К3'!B26)*СПРАВОЧНИК!$H$9+('ФАКТ ЧЕРН К3'!C26)*СПРАВОЧНИК!$I$9+('ФАКТ ЧЕРН К3'!D26)*СПРАВОЧНИК!$J$9+('ФАКТ ЧЕРН К3'!E26)*СПРАВОЧНИК!$H$10+('ФАКТ ЧЕРН К3'!F26)*СПРАВОЧНИК!$I$10+('ФАКТ ЧЕРН К3'!G26)*СПРАВОЧНИК!$J$10+('ФАКТ ЧЕРН К3'!H26)*СПРАВОЧНИК!$H$11+('ФАКТ ЧЕРН К3'!I26)*СПРАВОЧНИК!$I$11+('ФАКТ ЧЕРН К3'!J26)*СПРАВОЧНИК!$J$11+('ФАКТ ЧЕРН К3'!K26)*СПРАВОЧНИК!$H$12+('ФАКТ ЧЕРН К3'!L26)*СПРАВОЧНИК!$I$12+('ФАКТ ЧЕРН К3'!M26)*СПРАВОЧНИК!$J$12+('ФАКТ ЧЕРН К3'!N26)*СПРАВОЧНИК!$H$13+('ФАКТ ЧЕРН К3'!O26)*СПРАВОЧНИК!$I$13+('ФАКТ ЧЕРН К3'!P26)*СПРАВОЧНИК!$J$13+('ФАКТ ЧЕРН К3'!Q26)*СПРАВОЧНИК!$H$14+('ФАКТ ЧЕРН К3'!R26)*СПРАВОЧНИК!$I$14+('ФАКТ ЧЕРН К3'!S26)*СПРАВОЧНИК!$J$14+('ФАКТ ЧЕРН К3'!T26)*СПРАВОЧНИК!$H$15+('ФАКТ ЧЕРН К3'!U26)*СПРАВОЧНИК!$I$15+('ФАКТ ЧЕРН К3'!V26)*СПРАВОЧНИК!$J$15</f>
        <v>0</v>
      </c>
      <c r="BQ35" s="18">
        <f t="shared" si="23"/>
        <v>46321</v>
      </c>
      <c r="BR35" s="37">
        <f>'ПЛАН ЧИСТ К3'!B26*СПРАВОЧНИК!$L$9+'ПЛАН ЧИСТ К3'!C26*СПРАВОЧНИК!$M$9+'ПЛАН ЧИСТ К3'!D26*СПРАВОЧНИК!$N$9+'ПЛАН ЧИСТ К3'!E26*СПРАВОЧНИК!$O$9+'ПЛАН ЧИСТ К3'!F26*СПРАВОЧНИК!$L$10+'ПЛАН ЧИСТ К3'!G26*СПРАВОЧНИК!$M$10+'ПЛАН ЧИСТ К3'!H26*СПРАВОЧНИК!$N$10+'ПЛАН ЧИСТ К3'!I26*СПРАВОЧНИК!$L$11+'ПЛАН ЧИСТ К3'!J26*СПРАВОЧНИК!$M$11+'ПЛАН ЧИСТ К3'!K26*СПРАВОЧНИК!$N$11+'ПЛАН ЧИСТ К3'!L26*СПРАВОЧНИК!$L$12+'ПЛАН ЧИСТ К3'!M26*СПРАВОЧНИК!$M$12+'ПЛАН ЧИСТ К3'!N26*СПРАВОЧНИК!$N$12+'ПЛАН ЧИСТ К3'!O26*СПРАВОЧНИК!$L$13+'ПЛАН ЧИСТ К3'!P26*СПРАВОЧНИК!$M$13+'ПЛАН ЧИСТ К3'!Q26*СПРАВОЧНИК!$N$13+'ПЛАН ЧИСТ К3'!R26*СПРАВОЧНИК!$L$14+'ПЛАН ЧИСТ К3'!S26*СПРАВОЧНИК!$M$14+'ПЛАН ЧИСТ К3'!T26*СПРАВОЧНИК!$N$14+'ПЛАН ЧИСТ К3'!U26*СПРАВОЧНИК!$L$15+'ПЛАН ЧИСТ К3'!V26*СПРАВОЧНИК!$M$15+'ПЛАН ЧИСТ К3'!W26*СПРАВОЧНИК!$N$15</f>
        <v>0</v>
      </c>
      <c r="BS35" s="40">
        <f>('ФАКТ ЧИСТ К3'!B26)*СПРАВОЧНИК!$L$9+('ФАКТ ЧИСТ К3'!C26)*СПРАВОЧНИК!$M$9+('ФАКТ ЧИСТ К3'!D26)*СПРАВОЧНИК!$N$9+('ФАКТ ЧИСТ К3'!E26)*СПРАВОЧНИК!$O$9+('ФАКТ ЧИСТ К3'!F26)*СПРАВОЧНИК!$L$10+('ФАКТ ЧИСТ К3'!G26)*СПРАВОЧНИК!$M$10+('ФАКТ ЧИСТ К3'!H26)*СПРАВОЧНИК!$N$10+('ФАКТ ЧИСТ К3'!I26)*СПРАВОЧНИК!$L$11+('ФАКТ ЧИСТ К3'!J26)*СПРАВОЧНИК!$M$11+('ФАКТ ЧИСТ К3'!K26)*СПРАВОЧНИК!$N$11+('ФАКТ ЧИСТ К3'!L26)*СПРАВОЧНИК!$L$12+('ФАКТ ЧИСТ К3'!M26)*СПРАВОЧНИК!$M$12+('ФАКТ ЧИСТ К3'!N26)*СПРАВОЧНИК!$N$12+('ФАКТ ЧИСТ К3'!O26)*СПРАВОЧНИК!$L$13+('ФАКТ ЧИСТ К3'!P26)*СПРАВОЧНИК!$M$13+('ФАКТ ЧИСТ К3'!Q26)*СПРАВОЧНИК!$N$13+('ФАКТ ЧИСТ К3'!R26)*СПРАВОЧНИК!$L$14+('ФАКТ ЧИСТ К3'!S26)*СПРАВОЧНИК!$M$14+('ФАКТ ЧИСТ К3'!T26)*СПРАВОЧНИК!$N$14+('ФАКТ ЧИСТ К3'!U26)*СПРАВОЧНИК!$L$15+('ФАКТ ЧИСТ К3'!V26)*СПРАВОЧНИК!$M$15+('ФАКТ ЧИСТ К3'!W26)*СПРАВОЧНИК!$N$15</f>
        <v>0</v>
      </c>
      <c r="BW35" s="18">
        <f t="shared" si="24"/>
        <v>46321</v>
      </c>
      <c r="BX35" s="37">
        <f t="shared" si="0"/>
        <v>0</v>
      </c>
      <c r="BY35" s="40">
        <f t="shared" si="1"/>
        <v>0</v>
      </c>
      <c r="CC35" s="18">
        <f t="shared" si="25"/>
        <v>46321</v>
      </c>
      <c r="CD35" s="37">
        <f t="shared" si="2"/>
        <v>0</v>
      </c>
      <c r="CE35" s="40">
        <f t="shared" si="3"/>
        <v>0</v>
      </c>
      <c r="CI35" s="18">
        <f t="shared" si="26"/>
        <v>46321</v>
      </c>
      <c r="CJ35" s="37">
        <f t="shared" si="4"/>
        <v>0</v>
      </c>
      <c r="CK35" s="40">
        <f t="shared" si="5"/>
        <v>0</v>
      </c>
      <c r="CO35" s="18">
        <f t="shared" si="27"/>
        <v>46321</v>
      </c>
      <c r="CP35" s="37">
        <f t="shared" si="6"/>
        <v>0</v>
      </c>
      <c r="CQ35" s="40">
        <f t="shared" si="7"/>
        <v>0</v>
      </c>
      <c r="CU35" s="18">
        <f t="shared" si="28"/>
        <v>46321</v>
      </c>
      <c r="CV35" s="37">
        <f t="shared" si="8"/>
        <v>0</v>
      </c>
      <c r="CW35" s="40">
        <f t="shared" si="9"/>
        <v>0</v>
      </c>
      <c r="DA35" s="18">
        <f t="shared" si="29"/>
        <v>46321</v>
      </c>
      <c r="DB35" s="37">
        <f t="shared" si="10"/>
        <v>0</v>
      </c>
      <c r="DC35" s="40">
        <f t="shared" si="11"/>
        <v>0</v>
      </c>
    </row>
    <row r="36" spans="3:107" x14ac:dyDescent="0.25">
      <c r="C36" s="18">
        <f t="shared" si="12"/>
        <v>46328</v>
      </c>
      <c r="D36" s="37">
        <f>СПРАВОЧНИК!$E$3*('ПЛАН ЧЕРН ПОДЗЕМ'!B27*СПРАВОЧНИК!$H$3+'ПЛАН ЧЕРН ПОДЗЕМ'!C27*СПРАВОЧНИК!$I$3+'ПЛАН ЧЕРН ПОДЗЕМ'!D27*СПРАВОЧНИК!$J$3)+СПРАВОЧНИК!$E$4*('ПЛАН ЧЕРН ПОДЗЕМ'!E27*СПРАВОЧНИК!$H$4+'ПЛАН ЧЕРН ПОДЗЕМ'!F27*СПРАВОЧНИК!$I$4+'ПЛАН ЧЕРН ПОДЗЕМ'!G27*СПРАВОЧНИК!$J$4)+СПРАВОЧНИК!$E$5*('ПЛАН ЧЕРН ПОДЗЕМ'!H27*СПРАВОЧНИК!$H$5+'ПЛАН ЧЕРН ПОДЗЕМ'!I27*СПРАВОЧНИК!$I$5+'ПЛАН ЧЕРН ПОДЗЕМ'!J27*СПРАВОЧНИК!$J$5)+СПРАВОЧНИК!$E$6*('ПЛАН ЧЕРН ПОДЗЕМ'!K27*СПРАВОЧНИК!$H$6+'ПЛАН ЧЕРН ПОДЗЕМ'!L27*СПРАВОЧНИК!$I$6+'ПЛАН ЧЕРН ПОДЗЕМ'!M27*СПРАВОЧНИК!$J$6)+СПРАВОЧНИК!$E$7*('ПЛАН ЧЕРН ПОДЗЕМ'!N27*СПРАВОЧНИК!$H$7+'ПЛАН ЧЕРН ПОДЗЕМ'!O27*СПРАВОЧНИК!$I$7+'ПЛАН ЧЕРН ПОДЗЕМ'!P27*СПРАВОЧНИК!$J$7)+СПРАВОЧНИК!$E$8*('ПЛАН ЧЕРН ПОДЗЕМ'!Q27*СПРАВОЧНИК!$H$8+'ПЛАН ЧЕРН ПОДЗЕМ'!R27*СПРАВОЧНИК!$I$8+'ПЛАН ЧЕРН ПОДЗЕМ'!S27*СПРАВОЧНИК!$J$8)+СПРАВОЧНИК!$F$3*('ПЛАН ЧИСТ ПОДЗЕМ'!B27*СПРАВОЧНИК!$L$3+'ПЛАН ЧИСТ ПОДЗЕМ'!C27*СПРАВОЧНИК!$M$3+'ПЛАН ЧИСТ ПОДЗЕМ'!D27*СПРАВОЧНИК!$N$3)+СПРАВОЧНИК!$F$4*('ПЛАН ЧИСТ ПОДЗЕМ'!E27*СПРАВОЧНИК!$L$4+'ПЛАН ЧИСТ ПОДЗЕМ'!F27*СПРАВОЧНИК!$M$4+'ПЛАН ЧИСТ ПОДЗЕМ'!G27*СПРАВОЧНИК!$N$4)+СПРАВОЧНИК!$F$5*('ПЛАН ЧИСТ ПОДЗЕМ'!H27*СПРАВОЧНИК!$L$5+'ПЛАН ЧИСТ ПОДЗЕМ'!I27*СПРАВОЧНИК!$M$5+'ПЛАН ЧИСТ ПОДЗЕМ'!J27*СПРАВОЧНИК!$N$5)+СПРАВОЧНИК!$F$6*('ПЛАН ЧИСТ ПОДЗЕМ'!K27*СПРАВОЧНИК!$L$6+'ПЛАН ЧИСТ ПОДЗЕМ'!L27*СПРАВОЧНИК!$M$6+'ПЛАН ЧИСТ ПОДЗЕМ'!M27*СПРАВОЧНИК!$N$6)+СПРАВОЧНИК!$F$7*('ПЛАН ЧИСТ ПОДЗЕМ'!N27*СПРАВОЧНИК!$L$7+'ПЛАН ЧИСТ ПОДЗЕМ'!O27*СПРАВОЧНИК!$M$7+'ПЛАН ЧИСТ ПОДЗЕМ'!P27*СПРАВОЧНИК!$N$7)+СПРАВОЧНИК!$F$8*('ПЛАН ЧИСТ ПОДЗЕМ'!Q27*СПРАВОЧНИК!$L$8+'ПЛАН ЧИСТ ПОДЗЕМ'!R27*СПРАВОЧНИК!$M$8+'ПЛАН ЧИСТ ПОДЗЕМ'!S27*СПРАВОЧНИК!$N$8)</f>
        <v>0</v>
      </c>
      <c r="E36" s="40">
        <f>СПРАВОЧНИК!$E$3*(('ФАКТ ЧЕРН ПОДЗЕМ'!B27)*СПРАВОЧНИК!$H$3+('ФАКТ ЧЕРН ПОДЗЕМ'!C27)*СПРАВОЧНИК!$I$3+('ФАКТ ЧЕРН ПОДЗЕМ'!D27)*СПРАВОЧНИК!$J$3)+СПРАВОЧНИК!$E$4*(('ФАКТ ЧЕРН ПОДЗЕМ'!E27)*СПРАВОЧНИК!$H$4+('ФАКТ ЧЕРН ПОДЗЕМ'!F27)*СПРАВОЧНИК!$I$4+('ФАКТ ЧЕРН ПОДЗЕМ'!G27)*СПРАВОЧНИК!$J$4)+СПРАВОЧНИК!$E$5*(('ФАКТ ЧЕРН ПОДЗЕМ'!H27)*СПРАВОЧНИК!$H$5+('ФАКТ ЧЕРН ПОДЗЕМ'!I27)*СПРАВОЧНИК!$I$5+('ФАКТ ЧЕРН ПОДЗЕМ'!J27)*СПРАВОЧНИК!$J$5)+СПРАВОЧНИК!$E$6*(('ФАКТ ЧЕРН ПОДЗЕМ'!K27)*СПРАВОЧНИК!$H$6+('ФАКТ ЧЕРН ПОДЗЕМ'!L27)*СПРАВОЧНИК!$I$6+('ФАКТ ЧЕРН ПОДЗЕМ'!M27)*СПРАВОЧНИК!$J$6)+СПРАВОЧНИК!$E$7*(('ФАКТ ЧЕРН ПОДЗЕМ'!N27)*СПРАВОЧНИК!$H$7+('ФАКТ ЧЕРН ПОДЗЕМ'!O27)*СПРАВОЧНИК!$I$7+('ФАКТ ЧЕРН ПОДЗЕМ'!P27)*СПРАВОЧНИК!$J$7)+СПРАВОЧНИК!$E$8*(('ФАКТ ЧЕРН ПОДЗЕМ'!Q27)*СПРАВОЧНИК!$H$8+('ФАКТ ЧЕРН ПОДЗЕМ'!R27)*СПРАВОЧНИК!$I$8+('ФАКТ ЧЕРН ПОДЗЕМ'!S27)*СПРАВОЧНИК!$J$8)+СПРАВОЧНИК!$F$3*(('ФАКТ ЧИСТ ПОДЗЕМ'!B27)*СПРАВОЧНИК!$L$3+('ФАКТ ЧИСТ ПОДЗЕМ'!C27)*СПРАВОЧНИК!$M$3+('ФАКТ ЧИСТ ПОДЗЕМ'!D27)*СПРАВОЧНИК!$N$3)+СПРАВОЧНИК!$F$4*(('ФАКТ ЧИСТ ПОДЗЕМ'!E27)*СПРАВОЧНИК!$L$4+('ФАКТ ЧИСТ ПОДЗЕМ'!F27)*СПРАВОЧНИК!$M$4+('ФАКТ ЧИСТ ПОДЗЕМ'!G27)*СПРАВОЧНИК!$N$4)+СПРАВОЧНИК!$F$5*(('ФАКТ ЧИСТ ПОДЗЕМ'!H27)*СПРАВОЧНИК!$L$5+('ФАКТ ЧИСТ ПОДЗЕМ'!I27)*СПРАВОЧНИК!$M$5+('ФАКТ ЧИСТ ПОДЗЕМ'!J27)*СПРАВОЧНИК!$N$5)+СПРАВОЧНИК!$F$6*(('ФАКТ ЧИСТ ПОДЗЕМ'!K27)*СПРАВОЧНИК!$L$6+('ФАКТ ЧИСТ ПОДЗЕМ'!L27)*СПРАВОЧНИК!$M$6+('ФАКТ ЧИСТ ПОДЗЕМ'!M27)*СПРАВОЧНИК!$N$6)+СПРАВОЧНИК!$F$7*(('ФАКТ ЧИСТ ПОДЗЕМ'!N27)*СПРАВОЧНИК!$L$7+('ФАКТ ЧИСТ ПОДЗЕМ'!O27)*СПРАВОЧНИК!$M$7+('ФАКТ ЧИСТ ПОДЗЕМ'!P27)*СПРАВОЧНИК!$N$7)+СПРАВОЧНИК!$F$8*(('ФАКТ ЧИСТ ПОДЗЕМ'!Q27)*СПРАВОЧНИК!$L$8+('ФАКТ ЧИСТ ПОДЗЕМ'!R27)*СПРАВОЧНИК!$M$8+('ФАКТ ЧИСТ ПОДЗЕМ'!S27)*СПРАВОЧНИК!$N$8)</f>
        <v>0</v>
      </c>
      <c r="I36" s="18">
        <f t="shared" si="13"/>
        <v>46328</v>
      </c>
      <c r="J36" s="37">
        <f>'ПЛАН ЧЕРН ПОДЗЕМ'!B27*СПРАВОЧНИК!$H$3+'ПЛАН ЧЕРН ПОДЗЕМ'!C27*СПРАВОЧНИК!$I$3+'ПЛАН ЧЕРН ПОДЗЕМ'!D27*СПРАВОЧНИК!$J$3+'ПЛАН ЧЕРН ПОДЗЕМ'!E27*СПРАВОЧНИК!$H$4+'ПЛАН ЧЕРН ПОДЗЕМ'!F27*СПРАВОЧНИК!$I$4+'ПЛАН ЧЕРН ПОДЗЕМ'!G27*СПРАВОЧНИК!$J$4+'ПЛАН ЧЕРН ПОДЗЕМ'!H27*СПРАВОЧНИК!$H$5+'ПЛАН ЧЕРН ПОДЗЕМ'!I27*СПРАВОЧНИК!$I$5+'ПЛАН ЧЕРН ПОДЗЕМ'!J27*СПРАВОЧНИК!$J$5+'ПЛАН ЧЕРН ПОДЗЕМ'!K27*СПРАВОЧНИК!$H$6+'ПЛАН ЧЕРН ПОДЗЕМ'!L27*СПРАВОЧНИК!$I$6+'ПЛАН ЧЕРН ПОДЗЕМ'!M27*СПРАВОЧНИК!$J$6+'ПЛАН ЧЕРН ПОДЗЕМ'!N27*СПРАВОЧНИК!$H$7+'ПЛАН ЧЕРН ПОДЗЕМ'!O27*СПРАВОЧНИК!$I$7+'ПЛАН ЧЕРН ПОДЗЕМ'!P27*СПРАВОЧНИК!$J$7+'ПЛАН ЧЕРН ПОДЗЕМ'!Q27*СПРАВОЧНИК!$H$8+'ПЛАН ЧЕРН ПОДЗЕМ'!R27*СПРАВОЧНИК!$I$8+'ПЛАН ЧЕРН ПОДЗЕМ'!S27*СПРАВОЧНИК!$J$8</f>
        <v>0</v>
      </c>
      <c r="K36" s="40">
        <f>('ФАКТ ЧЕРН ПОДЗЕМ'!B27)*СПРАВОЧНИК!$H$3+('ФАКТ ЧЕРН ПОДЗЕМ'!C27)*СПРАВОЧНИК!$I$3+('ФАКТ ЧЕРН ПОДЗЕМ'!D27)*СПРАВОЧНИК!$J$3+('ФАКТ ЧЕРН ПОДЗЕМ'!E27)*СПРАВОЧНИК!$H$4+('ФАКТ ЧЕРН ПОДЗЕМ'!F27)*СПРАВОЧНИК!$I$4+('ФАКТ ЧЕРН ПОДЗЕМ'!G27)*СПРАВОЧНИК!$J$4+('ФАКТ ЧЕРН ПОДЗЕМ'!H27)*СПРАВОЧНИК!$H$5+('ФАКТ ЧЕРН ПОДЗЕМ'!I27)*СПРАВОЧНИК!$I$5+('ФАКТ ЧЕРН ПОДЗЕМ'!J27)*СПРАВОЧНИК!$J$5+('ФАКТ ЧЕРН ПОДЗЕМ'!K27)*СПРАВОЧНИК!$H$6+('ФАКТ ЧЕРН ПОДЗЕМ'!L27)*СПРАВОЧНИК!$I$6+('ФАКТ ЧЕРН ПОДЗЕМ'!M27)*СПРАВОЧНИК!$J$6+('ФАКТ ЧЕРН ПОДЗЕМ'!N27)*СПРАВОЧНИК!$H$7+('ФАКТ ЧЕРН ПОДЗЕМ'!O27)*СПРАВОЧНИК!$I$7+('ФАКТ ЧЕРН ПОДЗЕМ'!P27)*СПРАВОЧНИК!$J$7+('ФАКТ ЧЕРН ПОДЗЕМ'!Q27)*СПРАВОЧНИК!$H$8+('ФАКТ ЧЕРН ПОДЗЕМ'!R27)*СПРАВОЧНИК!$I$8+('ФАКТ ЧЕРН ПОДЗЕМ'!S27)*СПРАВОЧНИК!$J$8</f>
        <v>0</v>
      </c>
      <c r="O36" s="18">
        <f t="shared" si="14"/>
        <v>46328</v>
      </c>
      <c r="P36" s="37">
        <f>'ПЛАН ЧИСТ ПОДЗЕМ'!B27*СПРАВОЧНИК!$L$3+'ПЛАН ЧИСТ ПОДЗЕМ'!C27*СПРАВОЧНИК!$M$3+'ПЛАН ЧИСТ ПОДЗЕМ'!D27*СПРАВОЧНИК!$N$3+'ПЛАН ЧИСТ ПОДЗЕМ'!E27*СПРАВОЧНИК!$L$4+'ПЛАН ЧИСТ ПОДЗЕМ'!F27*СПРАВОЧНИК!$M$4+'ПЛАН ЧИСТ ПОДЗЕМ'!G27*СПРАВОЧНИК!$N$4+'ПЛАН ЧИСТ ПОДЗЕМ'!H27*СПРАВОЧНИК!$L$5+'ПЛАН ЧИСТ ПОДЗЕМ'!I27*СПРАВОЧНИК!$M$5+'ПЛАН ЧИСТ ПОДЗЕМ'!J27*СПРАВОЧНИК!$N$5+'ПЛАН ЧИСТ ПОДЗЕМ'!K27*СПРАВОЧНИК!$L$6+'ПЛАН ЧИСТ ПОДЗЕМ'!L27*СПРАВОЧНИК!$M$6+'ПЛАН ЧИСТ ПОДЗЕМ'!M27*СПРАВОЧНИК!$N$6+'ПЛАН ЧИСТ ПОДЗЕМ'!N27*СПРАВОЧНИК!$L$7+'ПЛАН ЧИСТ ПОДЗЕМ'!O27*СПРАВОЧНИК!$M$7+'ПЛАН ЧИСТ ПОДЗЕМ'!P27*СПРАВОЧНИК!$N$7+'ПЛАН ЧИСТ ПОДЗЕМ'!Q27*СПРАВОЧНИК!$L$8+'ПЛАН ЧИСТ ПОДЗЕМ'!R27*СПРАВОЧНИК!$M$8+'ПЛАН ЧИСТ ПОДЗЕМ'!S27*СПРАВОЧНИК!$N$8</f>
        <v>0</v>
      </c>
      <c r="Q36" s="40">
        <f>('ФАКТ ЧИСТ ПОДЗЕМ'!B27)*СПРАВОЧНИК!$L$3+('ФАКТ ЧИСТ ПОДЗЕМ'!C27)*СПРАВОЧНИК!$M$3+('ФАКТ ЧИСТ ПОДЗЕМ'!D27)*СПРАВОЧНИК!$N$3+('ФАКТ ЧИСТ ПОДЗЕМ'!E27)*СПРАВОЧНИК!$L$4+('ФАКТ ЧИСТ ПОДЗЕМ'!F27)*СПРАВОЧНИК!$M$4+('ФАКТ ЧИСТ ПОДЗЕМ'!G27)*СПРАВОЧНИК!$N$4+('ФАКТ ЧИСТ ПОДЗЕМ'!H27)*СПРАВОЧНИК!$L$5+('ФАКТ ЧИСТ ПОДЗЕМ'!I27)*СПРАВОЧНИК!$M$5+('ФАКТ ЧИСТ ПОДЗЕМ'!J27)*СПРАВОЧНИК!$N$5+('ФАКТ ЧИСТ ПОДЗЕМ'!K27)*СПРАВОЧНИК!$L$6+('ФАКТ ЧИСТ ПОДЗЕМ'!L27)*СПРАВОЧНИК!$M$6+('ФАКТ ЧИСТ ПОДЗЕМ'!M27)*СПРАВОЧНИК!$N$6+('ФАКТ ЧИСТ ПОДЗЕМ'!N27)*СПРАВОЧНИК!$L$7+('ФАКТ ЧИСТ ПОДЗЕМ'!O27)*СПРАВОЧНИК!$M$7+('ФАКТ ЧИСТ ПОДЗЕМ'!P27)*СПРАВОЧНИК!$N$7+('ФАКТ ЧИСТ ПОДЗЕМ'!Q27)*СПРАВОЧНИК!$L$8+('ФАКТ ЧИСТ ПОДЗЕМ'!R27)*СПРАВОЧНИК!$M$8+('ФАКТ ЧИСТ ПОДЗЕМ'!S27)*СПРАВОЧНИК!$N$8</f>
        <v>0</v>
      </c>
      <c r="U36" s="18">
        <f t="shared" si="15"/>
        <v>46328</v>
      </c>
      <c r="V36" s="37">
        <f>СПРАВОЧНИК!$E$9*('ПЛАН ЧЕРН К1'!B27*СПРАВОЧНИК!$H$9+'ПЛАН ЧЕРН К1'!C27*СПРАВОЧНИК!$I$9+'ПЛАН ЧЕРН К1'!D27*СПРАВОЧНИК!$J$9)+СПРАВОЧНИК!$E$10*('ПЛАН ЧЕРН К1'!E27*СПРАВОЧНИК!$H$10+'ПЛАН ЧЕРН К1'!F27*СПРАВОЧНИК!$I$10+'ПЛАН ЧЕРН К1'!G27*СПРАВОЧНИК!$J$10)+СПРАВОЧНИК!$E$11*('ПЛАН ЧЕРН К1'!H27*СПРАВОЧНИК!$H$11+'ПЛАН ЧЕРН К1'!I27*СПРАВОЧНИК!$I$11+'ПЛАН ЧЕРН К1'!J27*СПРАВОЧНИК!$J$11)+СПРАВОЧНИК!$E$12*('ПЛАН ЧЕРН К1'!K27*СПРАВОЧНИК!$H$12+'ПЛАН ЧЕРН К1'!L27*СПРАВОЧНИК!$I$12+'ПЛАН ЧЕРН К1'!M27*СПРАВОЧНИК!$J$12)+СПРАВОЧНИК!$E$13*('ПЛАН ЧЕРН К1'!N27*СПРАВОЧНИК!$H$13+'ПЛАН ЧЕРН К1'!O27*СПРАВОЧНИК!$I$13+'ПЛАН ЧЕРН К1'!P27*СПРАВОЧНИК!$J$13)+СПРАВОЧНИК!$E$14*('ПЛАН ЧЕРН К1'!Q27*СПРАВОЧНИК!$H$14+'ПЛАН ЧЕРН К1'!R27*СПРАВОЧНИК!$I$14+'ПЛАН ЧЕРН К1'!S27*СПРАВОЧНИК!$J$14)+СПРАВОЧНИК!$E$15*('ПЛАН ЧЕРН К1'!T27*СПРАВОЧНИК!$H$15+'ПЛАН ЧЕРН К1'!U27*СПРАВОЧНИК!$I$15+'ПЛАН ЧЕРН К1'!V27*СПРАВОЧНИК!$J$15)+СПРАВОЧНИК!$F$9*('ПЛАН ЧИСТ К1'!B27*СПРАВОЧНИК!$L$9+'ПЛАН ЧИСТ К1'!C27*СПРАВОЧНИК!$M$9+'ПЛАН ЧИСТ К1'!D27*СПРАВОЧНИК!$N$9+'ПЛАН ЧИСТ К1'!E27*СПРАВОЧНИК!$O$9)+СПРАВОЧНИК!$F$10*('ПЛАН ЧИСТ К1'!F27*СПРАВОЧНИК!$L$10+'ПЛАН ЧИСТ К1'!G27*СПРАВОЧНИК!$M$10+'ПЛАН ЧИСТ К1'!H27*СПРАВОЧНИК!$N$10)+СПРАВОЧНИК!$F$11*('ПЛАН ЧИСТ К1'!I27*СПРАВОЧНИК!$L$11+'ПЛАН ЧИСТ К1'!J27*СПРАВОЧНИК!$M$11+'ПЛАН ЧИСТ К1'!K27*СПРАВОЧНИК!$N$11)+СПРАВОЧНИК!$F$12*('ПЛАН ЧИСТ К1'!L27*СПРАВОЧНИК!$L$12+'ПЛАН ЧИСТ К1'!M27*СПРАВОЧНИК!$M$12+'ПЛАН ЧИСТ К1'!N27*СПРАВОЧНИК!$N$12)+СПРАВОЧНИК!$F$13*('ПЛАН ЧИСТ К1'!O27*СПРАВОЧНИК!$L$13+'ПЛАН ЧИСТ К1'!P27*СПРАВОЧНИК!$M$13+'ПЛАН ЧИСТ К1'!Q27*СПРАВОЧНИК!$N$13)+СПРАВОЧНИК!$F$14*('ПЛАН ЧИСТ К1'!R27*СПРАВОЧНИК!$L$14+'ПЛАН ЧИСТ К1'!S27*СПРАВОЧНИК!$M$14+'ПЛАН ЧИСТ К1'!T27*СПРАВОЧНИК!$N$14)+СПРАВОЧНИК!$F$15*('ПЛАН ЧИСТ К1'!U27*СПРАВОЧНИК!$L$15+'ПЛАН ЧИСТ К1'!V27*СПРАВОЧНИК!$M$15+'ПЛАН ЧИСТ К1'!W27*СПРАВОЧНИК!$N$15)</f>
        <v>0</v>
      </c>
      <c r="W36" s="40">
        <f>СПРАВОЧНИК!$E$9*(('ФАКТ ЧЕРН К1'!B27)*СПРАВОЧНИК!$H$9+('ФАКТ ЧЕРН К1'!C27)*СПРАВОЧНИК!$I$9+('ФАКТ ЧЕРН К1'!D27)*СПРАВОЧНИК!$J$9)+СПРАВОЧНИК!$E$10*(('ФАКТ ЧЕРН К1'!E27)*СПРАВОЧНИК!$H$10+('ФАКТ ЧЕРН К1'!F27)*СПРАВОЧНИК!$I$10+('ФАКТ ЧЕРН К1'!G27)*СПРАВОЧНИК!$J$10)+СПРАВОЧНИК!$E$11*(('ФАКТ ЧЕРН К1'!H27)*СПРАВОЧНИК!$H$11+('ФАКТ ЧЕРН К1'!I27)*СПРАВОЧНИК!$I$11+('ФАКТ ЧЕРН К1'!J27)*СПРАВОЧНИК!$J$11)+СПРАВОЧНИК!$E$12*(('ФАКТ ЧЕРН К1'!K27)*СПРАВОЧНИК!$H$12+('ФАКТ ЧЕРН К1'!L27)*СПРАВОЧНИК!$I$12+('ФАКТ ЧЕРН К1'!M27)*СПРАВОЧНИК!$J$12)+СПРАВОЧНИК!$E$13*(('ФАКТ ЧЕРН К1'!N27)*СПРАВОЧНИК!$H$13+('ФАКТ ЧЕРН К1'!O27)*СПРАВОЧНИК!$I$13+('ФАКТ ЧЕРН К1'!P27)*СПРАВОЧНИК!$J$13)+СПРАВОЧНИК!$E$14*(('ФАКТ ЧЕРН К1'!Q27)*СПРАВОЧНИК!$H$14+('ФАКТ ЧЕРН К1'!R27)*СПРАВОЧНИК!$I$14+('ФАКТ ЧЕРН К1'!S27)*СПРАВОЧНИК!$J$14)+СПРАВОЧНИК!$E$15*(('ФАКТ ЧЕРН К1'!T27)*СПРАВОЧНИК!$H$15+('ФАКТ ЧЕРН К1'!U27)*СПРАВОЧНИК!$I$15+('ФАКТ ЧЕРН К1'!V27)*СПРАВОЧНИК!$J$15)+СПРАВОЧНИК!$F$9*(('ФАКТ ЧИСТ К1'!B27)*СПРАВОЧНИК!$L$9+('ФАКТ ЧИСТ К1'!C27)*СПРАВОЧНИК!$M$9+('ФАКТ ЧИСТ К1'!D27)*СПРАВОЧНИК!$N$9+('ФАКТ ЧИСТ К1'!E27)*СПРАВОЧНИК!$O$9)+СПРАВОЧНИК!$F$10*(('ФАКТ ЧИСТ К1'!F27)*СПРАВОЧНИК!$L$10+('ФАКТ ЧИСТ К1'!G27)*СПРАВОЧНИК!$M$10+('ФАКТ ЧИСТ К1'!H27)*СПРАВОЧНИК!$N$10)+СПРАВОЧНИК!$F$11*(('ФАКТ ЧИСТ К1'!I27)*СПРАВОЧНИК!$L$11+('ФАКТ ЧИСТ К1'!J27)*СПРАВОЧНИК!$M$11+('ФАКТ ЧИСТ К1'!K27)*СПРАВОЧНИК!$N$11)+СПРАВОЧНИК!$F$12*(('ФАКТ ЧИСТ К1'!L27)*СПРАВОЧНИК!$L$12+('ФАКТ ЧИСТ К1'!M27)*СПРАВОЧНИК!$M$12+('ФАКТ ЧИСТ К1'!N27)*СПРАВОЧНИК!$N$12)+СПРАВОЧНИК!$F$13*(('ФАКТ ЧИСТ К1'!O27)*СПРАВОЧНИК!$L$13+('ФАКТ ЧИСТ К1'!P27)*СПРАВОЧНИК!$M$13+('ФАКТ ЧИСТ К1'!Q27)*СПРАВОЧНИК!$N$13)+СПРАВОЧНИК!$F$14*(('ФАКТ ЧИСТ К1'!R27)*СПРАВОЧНИК!$L$14+('ФАКТ ЧИСТ К1'!S27)*СПРАВОЧНИК!$M$14+('ФАКТ ЧИСТ К1'!T27)*СПРАВОЧНИК!$N$14)+СПРАВОЧНИК!$F$15*(('ФАКТ ЧИСТ К1'!U27)*СПРАВОЧНИК!$L$15+('ФАКТ ЧИСТ К1'!V27)*СПРАВОЧНИК!$M$15+('ФАКТ ЧИСТ К1'!W27)*СПРАВОЧНИК!$N$15)</f>
        <v>0</v>
      </c>
      <c r="AA36" s="18">
        <f t="shared" si="16"/>
        <v>46328</v>
      </c>
      <c r="AB36" s="37">
        <f>'ПЛАН ЧЕРН К1'!B27*СПРАВОЧНИК!$H$9+'ПЛАН ЧЕРН К1'!C27*СПРАВОЧНИК!$I$9+'ПЛАН ЧЕРН К1'!D27*СПРАВОЧНИК!$J$9+'ПЛАН ЧЕРН К1'!E27*СПРАВОЧНИК!$H$10+'ПЛАН ЧЕРН К1'!F27*СПРАВОЧНИК!$I$10+'ПЛАН ЧЕРН К1'!G27*СПРАВОЧНИК!$J$10+'ПЛАН ЧЕРН К1'!H27*СПРАВОЧНИК!$H$11+'ПЛАН ЧЕРН К1'!I27*СПРАВОЧНИК!$I$11+'ПЛАН ЧЕРН К1'!J27*СПРАВОЧНИК!$J$11+'ПЛАН ЧЕРН К1'!K27*СПРАВОЧНИК!$H$12+'ПЛАН ЧЕРН К1'!L27*СПРАВОЧНИК!$I$12+'ПЛАН ЧЕРН К1'!M27*СПРАВОЧНИК!$J$12+'ПЛАН ЧЕРН К1'!N27*СПРАВОЧНИК!$H$13+'ПЛАН ЧЕРН К1'!O27*СПРАВОЧНИК!$I$13+'ПЛАН ЧЕРН К1'!P27*СПРАВОЧНИК!$J$13+'ПЛАН ЧЕРН К1'!Q27*СПРАВОЧНИК!$H$14+'ПЛАН ЧЕРН К1'!R27*СПРАВОЧНИК!$I$14+'ПЛАН ЧЕРН К1'!S27*СПРАВОЧНИК!$J$14+'ПЛАН ЧЕРН К1'!T27*СПРАВОЧНИК!$H$15+'ПЛАН ЧЕРН К1'!U27*СПРАВОЧНИК!$I$15+'ПЛАН ЧЕРН К1'!V27*СПРАВОЧНИК!$J$15</f>
        <v>0</v>
      </c>
      <c r="AC36" s="40">
        <f>('ФАКТ ЧЕРН К1'!B27)*СПРАВОЧНИК!$H$9+('ФАКТ ЧЕРН К1'!C27)*СПРАВОЧНИК!$I$9+('ФАКТ ЧЕРН К1'!D27)*СПРАВОЧНИК!$J$9+('ФАКТ ЧЕРН К1'!E27)*СПРАВОЧНИК!$H$10+('ФАКТ ЧЕРН К1'!F27)*СПРАВОЧНИК!$I$10+('ФАКТ ЧЕРН К1'!G27)*СПРАВОЧНИК!$J$10+('ФАКТ ЧЕРН К1'!H27)*СПРАВОЧНИК!$H$11+('ФАКТ ЧЕРН К1'!I27)*СПРАВОЧНИК!$I$11+('ФАКТ ЧЕРН К1'!J27)*СПРАВОЧНИК!$J$11+('ФАКТ ЧЕРН К1'!K27)*СПРАВОЧНИК!$H$12+('ФАКТ ЧЕРН К1'!L27)*СПРАВОЧНИК!$I$12+('ФАКТ ЧЕРН К1'!M27)*СПРАВОЧНИК!$J$12+('ФАКТ ЧЕРН К1'!N27)*СПРАВОЧНИК!$H$13+('ФАКТ ЧЕРН К1'!O27)*СПРАВОЧНИК!$I$13+('ФАКТ ЧЕРН К1'!P27)*СПРАВОЧНИК!$J$13+('ФАКТ ЧЕРН К1'!Q27)*СПРАВОЧНИК!$H$14+('ФАКТ ЧЕРН К1'!R27)*СПРАВОЧНИК!$I$14+('ФАКТ ЧЕРН К1'!S27)*СПРАВОЧНИК!$J$14+('ФАКТ ЧЕРН К1'!T27)*СПРАВОЧНИК!$H$15+('ФАКТ ЧЕРН К1'!U27)*СПРАВОЧНИК!$I$15+('ФАКТ ЧЕРН К1'!V27)*СПРАВОЧНИК!$J$15</f>
        <v>0</v>
      </c>
      <c r="AG36" s="18">
        <f t="shared" si="17"/>
        <v>46328</v>
      </c>
      <c r="AH36" s="37">
        <f>'ПЛАН ЧИСТ К1'!B27*СПРАВОЧНИК!$L$9+'ПЛАН ЧИСТ К1'!C27*СПРАВОЧНИК!$M$9+'ПЛАН ЧИСТ К1'!D27*СПРАВОЧНИК!$N$9+'ПЛАН ЧИСТ К1'!E27*СПРАВОЧНИК!$O$9+'ПЛАН ЧИСТ К1'!F27*СПРАВОЧНИК!$L$10+'ПЛАН ЧИСТ К1'!G27*СПРАВОЧНИК!$M$10+'ПЛАН ЧИСТ К1'!H27*СПРАВОЧНИК!$N$10+'ПЛАН ЧИСТ К1'!I27*СПРАВОЧНИК!$L$11+'ПЛАН ЧИСТ К1'!J27*СПРАВОЧНИК!$M$11+'ПЛАН ЧИСТ К1'!K27*СПРАВОЧНИК!$N$11+'ПЛАН ЧИСТ К1'!L27*СПРАВОЧНИК!$L$12+'ПЛАН ЧИСТ К1'!M27*СПРАВОЧНИК!$M$12+'ПЛАН ЧИСТ К1'!N27*СПРАВОЧНИК!$N$12+'ПЛАН ЧИСТ К1'!O27*СПРАВОЧНИК!$L$13+'ПЛАН ЧИСТ К1'!P27*СПРАВОЧНИК!$M$13+'ПЛАН ЧИСТ К1'!Q27*СПРАВОЧНИК!$N$13+'ПЛАН ЧИСТ К1'!R27*СПРАВОЧНИК!$L$14+'ПЛАН ЧИСТ К1'!S27*СПРАВОЧНИК!$M$14+'ПЛАН ЧИСТ К1'!T27*СПРАВОЧНИК!$N$14+'ПЛАН ЧИСТ К1'!U27*СПРАВОЧНИК!$L$15+'ПЛАН ЧИСТ К1'!V27*СПРАВОЧНИК!$M$15+'ПЛАН ЧИСТ К1'!W27*СПРАВОЧНИК!$N$15</f>
        <v>0</v>
      </c>
      <c r="AI36" s="40">
        <f>('ФАКТ ЧИСТ К1'!B27)*СПРАВОЧНИК!$L$9+('ФАКТ ЧИСТ К1'!C27)*СПРАВОЧНИК!$M$9+('ФАКТ ЧИСТ К1'!D27)*СПРАВОЧНИК!$N$9+('ФАКТ ЧИСТ К1'!E27)*СПРАВОЧНИК!$O$9+('ФАКТ ЧИСТ К1'!F27)*СПРАВОЧНИК!$L$10+('ФАКТ ЧИСТ К1'!G27)*СПРАВОЧНИК!$M$10+('ФАКТ ЧИСТ К1'!H27)*СПРАВОЧНИК!$N$10+('ФАКТ ЧИСТ К1'!I27)*СПРАВОЧНИК!$L$11+('ФАКТ ЧИСТ К1'!J27)*СПРАВОЧНИК!$M$11+('ФАКТ ЧИСТ К1'!K27)*СПРАВОЧНИК!$N$11+('ФАКТ ЧИСТ К1'!L27)*СПРАВОЧНИК!$L$12+('ФАКТ ЧИСТ К1'!M27)*СПРАВОЧНИК!$M$12+('ФАКТ ЧИСТ К1'!N27)*СПРАВОЧНИК!$N$12+('ФАКТ ЧИСТ К1'!O27)*СПРАВОЧНИК!$L$13+('ФАКТ ЧИСТ К1'!P27)*СПРАВОЧНИК!$M$13+('ФАКТ ЧИСТ К1'!Q27)*СПРАВОЧНИК!$N$13+('ФАКТ ЧИСТ К1'!R27)*СПРАВОЧНИК!$L$14+('ФАКТ ЧИСТ К1'!S27)*СПРАВОЧНИК!$M$14+('ФАКТ ЧИСТ К1'!T27)*СПРАВОЧНИК!$N$14+('ФАКТ ЧИСТ К1'!U27)*СПРАВОЧНИК!$L$15+('ФАКТ ЧИСТ К1'!V27)*СПРАВОЧНИК!$M$15+('ФАКТ ЧИСТ К1'!W27)*СПРАВОЧНИК!$N$15</f>
        <v>0</v>
      </c>
      <c r="AM36" s="18">
        <f t="shared" si="18"/>
        <v>46328</v>
      </c>
      <c r="AN36" s="37">
        <f>СПРАВОЧНИК!$E$9*('ПЛАН ЧЕРН К2'!B27*СПРАВОЧНИК!$H$9+'ПЛАН ЧЕРН К2'!C27*СПРАВОЧНИК!$I$9+'ПЛАН ЧЕРН К2'!D27*СПРАВОЧНИК!$J$9)+СПРАВОЧНИК!$E$10*('ПЛАН ЧЕРН К2'!E27*СПРАВОЧНИК!$H$10+'ПЛАН ЧЕРН К2'!F27*СПРАВОЧНИК!$I$10+'ПЛАН ЧЕРН К2'!G27*СПРАВОЧНИК!$J$10)+СПРАВОЧНИК!$E$11*('ПЛАН ЧЕРН К2'!H27*СПРАВОЧНИК!$H$11+'ПЛАН ЧЕРН К2'!I27*СПРАВОЧНИК!$I$11+'ПЛАН ЧЕРН К2'!J27*СПРАВОЧНИК!$J$11)+СПРАВОЧНИК!$E$12*('ПЛАН ЧЕРН К2'!K27*СПРАВОЧНИК!$H$12+'ПЛАН ЧЕРН К2'!L27*СПРАВОЧНИК!$I$12+'ПЛАН ЧЕРН К2'!M27*СПРАВОЧНИК!$J$12)+СПРАВОЧНИК!$E$13*('ПЛАН ЧЕРН К2'!N27*СПРАВОЧНИК!$H$13+'ПЛАН ЧЕРН К2'!O27*СПРАВОЧНИК!$I$13+'ПЛАН ЧЕРН К2'!P27*СПРАВОЧНИК!$J$13)+СПРАВОЧНИК!$E$14*('ПЛАН ЧЕРН К2'!Q27*СПРАВОЧНИК!$H$14+'ПЛАН ЧЕРН К2'!R27*СПРАВОЧНИК!$I$14+'ПЛАН ЧЕРН К2'!S27*СПРАВОЧНИК!$J$14)+СПРАВОЧНИК!$E$15*('ПЛАН ЧЕРН К2'!T27*СПРАВОЧНИК!$H$15+'ПЛАН ЧЕРН К2'!U27*СПРАВОЧНИК!$I$15+'ПЛАН ЧЕРН К2'!V27*СПРАВОЧНИК!$J$15)+СПРАВОЧНИК!$F$9*('ПЛАН ЧИСТ К2'!B27*СПРАВОЧНИК!$L$9+'ПЛАН ЧИСТ К2'!C27*СПРАВОЧНИК!$M$9+'ПЛАН ЧИСТ К2'!D27*СПРАВОЧНИК!$N$9+'ПЛАН ЧИСТ К2'!E27*СПРАВОЧНИК!$O$9)+СПРАВОЧНИК!$F$10*('ПЛАН ЧИСТ К2'!F27*СПРАВОЧНИК!$L$10+'ПЛАН ЧИСТ К2'!G27*СПРАВОЧНИК!$M$10+'ПЛАН ЧИСТ К2'!H27*СПРАВОЧНИК!$N$10)+СПРАВОЧНИК!$F$11*('ПЛАН ЧИСТ К2'!I27*СПРАВОЧНИК!$L$11+'ПЛАН ЧИСТ К2'!J27*СПРАВОЧНИК!$M$11+'ПЛАН ЧИСТ К2'!K27*СПРАВОЧНИК!$N$11)+СПРАВОЧНИК!$F$12*('ПЛАН ЧИСТ К2'!L27*СПРАВОЧНИК!$L$12+'ПЛАН ЧИСТ К2'!M27*СПРАВОЧНИК!$M$12+'ПЛАН ЧИСТ К2'!N27*СПРАВОЧНИК!$N$12)+СПРАВОЧНИК!$F$13*('ПЛАН ЧИСТ К2'!O27*СПРАВОЧНИК!$L$13+'ПЛАН ЧИСТ К2'!P27*СПРАВОЧНИК!$M$13+'ПЛАН ЧИСТ К2'!Q27*СПРАВОЧНИК!$N$13)+СПРАВОЧНИК!$F$14*('ПЛАН ЧИСТ К2'!R27*СПРАВОЧНИК!$L$14+'ПЛАН ЧИСТ К2'!S27*СПРАВОЧНИК!$M$14+'ПЛАН ЧИСТ К2'!T27*СПРАВОЧНИК!$N$14)+СПРАВОЧНИК!$F$15*('ПЛАН ЧИСТ К2'!U27*СПРАВОЧНИК!$L$15+'ПЛАН ЧИСТ К2'!V27*СПРАВОЧНИК!$M$15+'ПЛАН ЧИСТ К2'!W27*СПРАВОЧНИК!$N$15)</f>
        <v>0</v>
      </c>
      <c r="AO36" s="40">
        <f>СПРАВОЧНИК!$E$9*(('ФАКТ ЧЕРН К2'!B27)*СПРАВОЧНИК!$H$9+('ФАКТ ЧЕРН К2'!C27)*СПРАВОЧНИК!$I$9+('ФАКТ ЧЕРН К2'!D27)*СПРАВОЧНИК!$J$9)+СПРАВОЧНИК!$E$10*(('ФАКТ ЧЕРН К2'!E27)*СПРАВОЧНИК!$H$10+('ФАКТ ЧЕРН К2'!F27)*СПРАВОЧНИК!$I$10+('ФАКТ ЧЕРН К2'!G27)*СПРАВОЧНИК!$J$10)+СПРАВОЧНИК!$E$11*(('ФАКТ ЧЕРН К2'!H27)*СПРАВОЧНИК!$H$11+('ФАКТ ЧЕРН К2'!I27)*СПРАВОЧНИК!$I$11+('ФАКТ ЧЕРН К2'!J27)*СПРАВОЧНИК!$J$11)+СПРАВОЧНИК!$E$12*(('ФАКТ ЧЕРН К2'!K27)*СПРАВОЧНИК!$H$12+('ФАКТ ЧЕРН К2'!L27)*СПРАВОЧНИК!$I$12+('ФАКТ ЧЕРН К2'!M27)*СПРАВОЧНИК!$J$12)+СПРАВОЧНИК!$E$13*(('ФАКТ ЧЕРН К2'!N27)*СПРАВОЧНИК!$H$13+('ФАКТ ЧЕРН К2'!O27)*СПРАВОЧНИК!$I$13+('ФАКТ ЧЕРН К2'!P27)*СПРАВОЧНИК!$J$13)+СПРАВОЧНИК!$E$14*(('ФАКТ ЧЕРН К2'!Q27)*СПРАВОЧНИК!$H$14+('ФАКТ ЧЕРН К2'!R27)*СПРАВОЧНИК!$I$14+('ФАКТ ЧЕРН К2'!S27)*СПРАВОЧНИК!$J$14)+СПРАВОЧНИК!$E$15*(('ФАКТ ЧЕРН К2'!T27)*СПРАВОЧНИК!$H$15+('ФАКТ ЧЕРН К2'!U27)*СПРАВОЧНИК!$I$15+('ФАКТ ЧЕРН К2'!V27)*СПРАВОЧНИК!$J$15)+СПРАВОЧНИК!$F$9*(('ФАКТ ЧИСТ К2'!B27)*СПРАВОЧНИК!$L$9+('ФАКТ ЧИСТ К2'!C27)*СПРАВОЧНИК!$M$9+('ФАКТ ЧИСТ К2'!D27)*СПРАВОЧНИК!$N$9+('ФАКТ ЧИСТ К2'!E27)*СПРАВОЧНИК!$O$9)+СПРАВОЧНИК!$F$10*(('ФАКТ ЧИСТ К2'!F27)*СПРАВОЧНИК!$L$10+('ФАКТ ЧИСТ К2'!G27)*СПРАВОЧНИК!$M$10+('ФАКТ ЧИСТ К2'!H27)*СПРАВОЧНИК!$N$10)+СПРАВОЧНИК!$F$11*(('ФАКТ ЧИСТ К2'!I27)*СПРАВОЧНИК!$L$11+('ФАКТ ЧИСТ К2'!J27)*СПРАВОЧНИК!$M$11+('ФАКТ ЧИСТ К2'!K27)*СПРАВОЧНИК!$N$11)+СПРАВОЧНИК!$F$12*(('ФАКТ ЧИСТ К2'!L27)*СПРАВОЧНИК!$L$12+('ФАКТ ЧИСТ К2'!M27)*СПРАВОЧНИК!$M$12+('ФАКТ ЧИСТ К2'!N27)*СПРАВОЧНИК!$N$12)+СПРАВОЧНИК!$F$13*(('ФАКТ ЧИСТ К2'!O27)*СПРАВОЧНИК!$L$13+('ФАКТ ЧИСТ К2'!P27)*СПРАВОЧНИК!$M$13+('ФАКТ ЧИСТ К2'!Q27)*СПРАВОЧНИК!$N$13)+СПРАВОЧНИК!$F$14*(('ФАКТ ЧИСТ К2'!R27)*СПРАВОЧНИК!$L$14+('ФАКТ ЧИСТ К2'!S27)*СПРАВОЧНИК!$M$14+('ФАКТ ЧИСТ К2'!T27)*СПРАВОЧНИК!$N$14)+СПРАВОЧНИК!$F$15*(('ФАКТ ЧИСТ К2'!U27)*СПРАВОЧНИК!$L$15+('ФАКТ ЧИСТ К2'!V27)*СПРАВОЧНИК!$M$15+('ФАКТ ЧИСТ К2'!W27)*СПРАВОЧНИК!$N$15)</f>
        <v>0</v>
      </c>
      <c r="AS36" s="18">
        <f t="shared" si="19"/>
        <v>46328</v>
      </c>
      <c r="AT36" s="37">
        <f>'ПЛАН ЧЕРН К2'!B27*СПРАВОЧНИК!$H$9+'ПЛАН ЧЕРН К2'!C27*СПРАВОЧНИК!$I$9+'ПЛАН ЧЕРН К2'!D27*СПРАВОЧНИК!$J$9+'ПЛАН ЧЕРН К2'!E27*СПРАВОЧНИК!$H$10+'ПЛАН ЧЕРН К2'!F27*СПРАВОЧНИК!$I$10+'ПЛАН ЧЕРН К2'!G27*СПРАВОЧНИК!$J$10+'ПЛАН ЧЕРН К2'!H27*СПРАВОЧНИК!$H$11+'ПЛАН ЧЕРН К2'!I27*СПРАВОЧНИК!$I$11+'ПЛАН ЧЕРН К2'!J27*СПРАВОЧНИК!$J$11+'ПЛАН ЧЕРН К2'!K27*СПРАВОЧНИК!$H$12+'ПЛАН ЧЕРН К2'!L27*СПРАВОЧНИК!$I$12+'ПЛАН ЧЕРН К2'!M27*СПРАВОЧНИК!$J$12+'ПЛАН ЧЕРН К2'!N27*СПРАВОЧНИК!$H$13+'ПЛАН ЧЕРН К2'!O27*СПРАВОЧНИК!$I$13+'ПЛАН ЧЕРН К2'!P27*СПРАВОЧНИК!$J$13+'ПЛАН ЧЕРН К2'!Q27*СПРАВОЧНИК!$H$14+'ПЛАН ЧЕРН К2'!R27*СПРАВОЧНИК!$I$14+'ПЛАН ЧЕРН К2'!S27*СПРАВОЧНИК!$J$14+'ПЛАН ЧЕРН К2'!T27*СПРАВОЧНИК!$H$15+'ПЛАН ЧЕРН К2'!U27*СПРАВОЧНИК!$I$15+'ПЛАН ЧЕРН К2'!V27*СПРАВОЧНИК!$J$15</f>
        <v>0</v>
      </c>
      <c r="AU36" s="40">
        <f>('ФАКТ ЧЕРН К2'!B27)*СПРАВОЧНИК!$H$9+('ФАКТ ЧЕРН К2'!C27)*СПРАВОЧНИК!$I$9+('ФАКТ ЧЕРН К2'!D27)*СПРАВОЧНИК!$J$9+('ФАКТ ЧЕРН К2'!E27)*СПРАВОЧНИК!$H$10+('ФАКТ ЧЕРН К2'!F27)*СПРАВОЧНИК!$I$10+('ФАКТ ЧЕРН К2'!G27)*СПРАВОЧНИК!$J$10+('ФАКТ ЧЕРН К2'!H27)*СПРАВОЧНИК!$H$11+('ФАКТ ЧЕРН К2'!I27)*СПРАВОЧНИК!$I$11+('ФАКТ ЧЕРН К2'!J27)*СПРАВОЧНИК!$J$11+('ФАКТ ЧЕРН К2'!K27)*СПРАВОЧНИК!$H$12+('ФАКТ ЧЕРН К2'!L27)*СПРАВОЧНИК!$I$12+('ФАКТ ЧЕРН К2'!M27)*СПРАВОЧНИК!$J$12+('ФАКТ ЧЕРН К2'!N27)*СПРАВОЧНИК!$H$13+('ФАКТ ЧЕРН К2'!O27)*СПРАВОЧНИК!$I$13+('ФАКТ ЧЕРН К2'!P27)*СПРАВОЧНИК!$J$13+('ФАКТ ЧЕРН К2'!Q27)*СПРАВОЧНИК!$H$14+('ФАКТ ЧЕРН К2'!R27)*СПРАВОЧНИК!$I$14+('ФАКТ ЧЕРН К2'!S27)*СПРАВОЧНИК!$J$14+('ФАКТ ЧЕРН К2'!T27)*СПРАВОЧНИК!$H$15+('ФАКТ ЧЕРН К2'!U27)*СПРАВОЧНИК!$I$15+('ФАКТ ЧЕРН К2'!V27)*СПРАВОЧНИК!$J$15</f>
        <v>0</v>
      </c>
      <c r="AY36" s="18">
        <f t="shared" si="20"/>
        <v>46328</v>
      </c>
      <c r="AZ36" s="37">
        <f>'ПЛАН ЧИСТ К2'!B27*СПРАВОЧНИК!$L$9+'ПЛАН ЧИСТ К2'!C27*СПРАВОЧНИК!$M$9+'ПЛАН ЧИСТ К2'!D27*СПРАВОЧНИК!$N$9+'ПЛАН ЧИСТ К2'!E27*СПРАВОЧНИК!$O$9+'ПЛАН ЧИСТ К2'!F27*СПРАВОЧНИК!$L$10+'ПЛАН ЧИСТ К2'!G27*СПРАВОЧНИК!$M$10+'ПЛАН ЧИСТ К2'!H27*СПРАВОЧНИК!$N$10+'ПЛАН ЧИСТ К2'!I27*СПРАВОЧНИК!$L$11+'ПЛАН ЧИСТ К2'!J27*СПРАВОЧНИК!$M$11+'ПЛАН ЧИСТ К2'!K27*СПРАВОЧНИК!$N$11+'ПЛАН ЧИСТ К2'!L27*СПРАВОЧНИК!$L$12+'ПЛАН ЧИСТ К2'!M27*СПРАВОЧНИК!$M$12+'ПЛАН ЧИСТ К2'!N27*СПРАВОЧНИК!$N$12+'ПЛАН ЧИСТ К2'!O27*СПРАВОЧНИК!$L$13+'ПЛАН ЧИСТ К2'!P27*СПРАВОЧНИК!$M$13+'ПЛАН ЧИСТ К2'!Q27*СПРАВОЧНИК!$N$13+'ПЛАН ЧИСТ К2'!R27*СПРАВОЧНИК!$L$14+'ПЛАН ЧИСТ К2'!S27*СПРАВОЧНИК!$M$14+'ПЛАН ЧИСТ К2'!T27*СПРАВОЧНИК!$N$14+'ПЛАН ЧИСТ К2'!U27*СПРАВОЧНИК!$L$15+'ПЛАН ЧИСТ К2'!V27*СПРАВОЧНИК!$M$15+'ПЛАН ЧИСТ К2'!W27*СПРАВОЧНИК!$N$15</f>
        <v>0</v>
      </c>
      <c r="BA36" s="40">
        <f>('ФАКТ ЧИСТ К2'!B27)*СПРАВОЧНИК!$L$9+('ФАКТ ЧИСТ К2'!C27)*СПРАВОЧНИК!$M$9+('ФАКТ ЧИСТ К2'!D27)*СПРАВОЧНИК!$N$9+('ФАКТ ЧИСТ К2'!E27)*СПРАВОЧНИК!$O$9+('ФАКТ ЧИСТ К2'!F27)*СПРАВОЧНИК!$L$10+('ФАКТ ЧИСТ К2'!G27)*СПРАВОЧНИК!$M$10+('ФАКТ ЧИСТ К2'!H27)*СПРАВОЧНИК!$N$10+('ФАКТ ЧИСТ К2'!I27)*СПРАВОЧНИК!$L$11+('ФАКТ ЧИСТ К2'!J27)*СПРАВОЧНИК!$M$11+('ФАКТ ЧИСТ К2'!K27)*СПРАВОЧНИК!$N$11+('ФАКТ ЧИСТ К2'!L27)*СПРАВОЧНИК!$L$12+('ФАКТ ЧИСТ К2'!M27)*СПРАВОЧНИК!$M$12+('ФАКТ ЧИСТ К2'!N27)*СПРАВОЧНИК!$N$12+('ФАКТ ЧИСТ К2'!O27)*СПРАВОЧНИК!$L$13+('ФАКТ ЧИСТ К2'!P27)*СПРАВОЧНИК!$M$13+('ФАКТ ЧИСТ К2'!Q27)*СПРАВОЧНИК!$N$13+('ФАКТ ЧИСТ К2'!R27)*СПРАВОЧНИК!$L$14+('ФАКТ ЧИСТ К2'!S27)*СПРАВОЧНИК!$M$14+('ФАКТ ЧИСТ К2'!T27)*СПРАВОЧНИК!$N$14+('ФАКТ ЧИСТ К2'!U27)*СПРАВОЧНИК!$L$15+('ФАКТ ЧИСТ К2'!V27)*СПРАВОЧНИК!$M$15+('ФАКТ ЧИСТ К2'!W27)*СПРАВОЧНИК!$N$15</f>
        <v>0</v>
      </c>
      <c r="BE36" s="18">
        <f t="shared" si="21"/>
        <v>46328</v>
      </c>
      <c r="BF36" s="37">
        <f>СПРАВОЧНИК!$E$9*('ПЛАН ЧЕРН К3'!B27*СПРАВОЧНИК!$H$9+'ПЛАН ЧЕРН К3'!C27*СПРАВОЧНИК!$I$9+'ПЛАН ЧЕРН К3'!D27*СПРАВОЧНИК!$J$9)+СПРАВОЧНИК!$E$10*('ПЛАН ЧЕРН К3'!E27*СПРАВОЧНИК!$H$10+'ПЛАН ЧЕРН К3'!F27*СПРАВОЧНИК!$I$10+'ПЛАН ЧЕРН К3'!G27*СПРАВОЧНИК!$J$10)+СПРАВОЧНИК!$E$11*('ПЛАН ЧЕРН К3'!H27*СПРАВОЧНИК!$H$11+'ПЛАН ЧЕРН К3'!I27*СПРАВОЧНИК!$I$11+'ПЛАН ЧЕРН К3'!J27*СПРАВОЧНИК!$J$11)+СПРАВОЧНИК!$E$12*('ПЛАН ЧЕРН К3'!K27*СПРАВОЧНИК!$H$12+'ПЛАН ЧЕРН К3'!L27*СПРАВОЧНИК!$I$12+'ПЛАН ЧЕРН К3'!M27*СПРАВОЧНИК!$J$12)+СПРАВОЧНИК!$E$13*('ПЛАН ЧЕРН К3'!N27*СПРАВОЧНИК!$H$13+'ПЛАН ЧЕРН К3'!O27*СПРАВОЧНИК!$I$13+'ПЛАН ЧЕРН К3'!P27*СПРАВОЧНИК!$J$13)+СПРАВОЧНИК!$E$14*('ПЛАН ЧЕРН К3'!Q27*СПРАВОЧНИК!$H$14+'ПЛАН ЧЕРН К3'!R27*СПРАВОЧНИК!$I$14+'ПЛАН ЧЕРН К3'!S27*СПРАВОЧНИК!$J$14)+СПРАВОЧНИК!$E$15*('ПЛАН ЧЕРН К3'!T27*СПРАВОЧНИК!$H$15+'ПЛАН ЧЕРН К3'!U27*СПРАВОЧНИК!$I$15+'ПЛАН ЧЕРН К3'!V27*СПРАВОЧНИК!$J$15)+СПРАВОЧНИК!$F$9*('ПЛАН ЧИСТ К3'!B27*СПРАВОЧНИК!$L$9+'ПЛАН ЧИСТ К3'!C27*СПРАВОЧНИК!$M$9+'ПЛАН ЧИСТ К3'!D27*СПРАВОЧНИК!$N$9+'ПЛАН ЧИСТ К3'!E27*СПРАВОЧНИК!$O$9)+СПРАВОЧНИК!$F$10*('ПЛАН ЧИСТ К3'!F27*СПРАВОЧНИК!$L$10+'ПЛАН ЧИСТ К3'!G27*СПРАВОЧНИК!$M$10+'ПЛАН ЧИСТ К3'!H27*СПРАВОЧНИК!$N$10)+СПРАВОЧНИК!$F$11*('ПЛАН ЧИСТ К3'!I27*СПРАВОЧНИК!$L$11+'ПЛАН ЧИСТ К3'!J27*СПРАВОЧНИК!$M$11+'ПЛАН ЧИСТ К3'!K27*СПРАВОЧНИК!$N$11)+СПРАВОЧНИК!$F$12*('ПЛАН ЧИСТ К3'!L27*СПРАВОЧНИК!$L$12+'ПЛАН ЧИСТ К3'!M27*СПРАВОЧНИК!$M$12+'ПЛАН ЧИСТ К3'!N27*СПРАВОЧНИК!$N$12)+СПРАВОЧНИК!$F$13*('ПЛАН ЧИСТ К3'!O27*СПРАВОЧНИК!$L$13+'ПЛАН ЧИСТ К3'!P27*СПРАВОЧНИК!$M$13+'ПЛАН ЧИСТ К3'!Q27*СПРАВОЧНИК!$N$13)+СПРАВОЧНИК!$F$14*('ПЛАН ЧИСТ К3'!R27*СПРАВОЧНИК!$L$14+'ПЛАН ЧИСТ К3'!S27*СПРАВОЧНИК!$M$14+'ПЛАН ЧИСТ К3'!T27*СПРАВОЧНИК!$N$14)+СПРАВОЧНИК!$F$15*('ПЛАН ЧИСТ К3'!U27*СПРАВОЧНИК!$L$15+'ПЛАН ЧИСТ К3'!V27*СПРАВОЧНИК!$M$15+'ПЛАН ЧИСТ К3'!W27*СПРАВОЧНИК!$N$15)</f>
        <v>0</v>
      </c>
      <c r="BG36" s="40">
        <f>СПРАВОЧНИК!$E$9*(('ФАКТ ЧЕРН К3'!B27)*СПРАВОЧНИК!$H$9+('ФАКТ ЧЕРН К3'!C27)*СПРАВОЧНИК!$I$9+('ФАКТ ЧЕРН К3'!D27)*СПРАВОЧНИК!$J$9)+СПРАВОЧНИК!$E$10*(('ФАКТ ЧЕРН К3'!E27)*СПРАВОЧНИК!$H$10+('ФАКТ ЧЕРН К3'!F27)*СПРАВОЧНИК!$I$10+('ФАКТ ЧЕРН К3'!G27)*СПРАВОЧНИК!$J$10)+СПРАВОЧНИК!$E$11*(('ФАКТ ЧЕРН К3'!H27)*СПРАВОЧНИК!$H$11+('ФАКТ ЧЕРН К3'!I27)*СПРАВОЧНИК!$I$11+('ФАКТ ЧЕРН К3'!J27)*СПРАВОЧНИК!$J$11)+СПРАВОЧНИК!$E$12*(('ФАКТ ЧЕРН К3'!K27)*СПРАВОЧНИК!$H$12+('ФАКТ ЧЕРН К3'!L27)*СПРАВОЧНИК!$I$12+('ФАКТ ЧЕРН К3'!M27)*СПРАВОЧНИК!$J$12)+СПРАВОЧНИК!$E$13*(('ФАКТ ЧЕРН К3'!N27)*СПРАВОЧНИК!$H$13+('ФАКТ ЧЕРН К3'!O27)*СПРАВОЧНИК!$I$13+('ФАКТ ЧЕРН К3'!P27)*СПРАВОЧНИК!$J$13)+СПРАВОЧНИК!$E$14*(('ФАКТ ЧЕРН К3'!Q27)*СПРАВОЧНИК!$H$14+('ФАКТ ЧЕРН К3'!R27)*СПРАВОЧНИК!$I$14+('ФАКТ ЧЕРН К3'!S27)*СПРАВОЧНИК!$J$14)+СПРАВОЧНИК!$E$15*(('ФАКТ ЧЕРН К3'!T27)*СПРАВОЧНИК!$H$15+('ФАКТ ЧЕРН К3'!U27)*СПРАВОЧНИК!$I$15+('ФАКТ ЧЕРН К3'!V27)*СПРАВОЧНИК!$J$15)+СПРАВОЧНИК!$F$9*(('ФАКТ ЧИСТ К3'!B27)*СПРАВОЧНИК!$L$9+('ФАКТ ЧИСТ К3'!C27)*СПРАВОЧНИК!$M$9+('ФАКТ ЧИСТ К3'!D27)*СПРАВОЧНИК!$N$9+('ФАКТ ЧИСТ К3'!E27)*СПРАВОЧНИК!$O$9)+СПРАВОЧНИК!$F$10*(('ФАКТ ЧИСТ К3'!F27)*СПРАВОЧНИК!$L$10+('ФАКТ ЧИСТ К3'!G27)*СПРАВОЧНИК!$M$10+('ФАКТ ЧИСТ К3'!H27)*СПРАВОЧНИК!$N$10)+СПРАВОЧНИК!$F$11*(('ФАКТ ЧИСТ К3'!I27)*СПРАВОЧНИК!$L$11+('ФАКТ ЧИСТ К3'!J27)*СПРАВОЧНИК!$M$11+('ФАКТ ЧИСТ К3'!K27)*СПРАВОЧНИК!$N$11)+СПРАВОЧНИК!$F$12*(('ФАКТ ЧИСТ К3'!L27)*СПРАВОЧНИК!$L$12+('ФАКТ ЧИСТ К3'!M27)*СПРАВОЧНИК!$M$12+('ФАКТ ЧИСТ К3'!N27)*СПРАВОЧНИК!$N$12)+СПРАВОЧНИК!$F$13*(('ФАКТ ЧИСТ К3'!O27)*СПРАВОЧНИК!$L$13+('ФАКТ ЧИСТ К3'!P27)*СПРАВОЧНИК!$M$13+('ФАКТ ЧИСТ К3'!Q27)*СПРАВОЧНИК!$N$13)+СПРАВОЧНИК!$F$14*(('ФАКТ ЧИСТ К3'!R27)*СПРАВОЧНИК!$L$14+('ФАКТ ЧИСТ К3'!S27)*СПРАВОЧНИК!$M$14+('ФАКТ ЧИСТ К3'!T27)*СПРАВОЧНИК!$N$14)+СПРАВОЧНИК!$F$15*(('ФАКТ ЧИСТ К3'!U27)*СПРАВОЧНИК!$L$15+('ФАКТ ЧИСТ К3'!V27)*СПРАВОЧНИК!$M$15+('ФАКТ ЧИСТ К3'!W27)*СПРАВОЧНИК!$N$15)</f>
        <v>0</v>
      </c>
      <c r="BK36" s="18">
        <f t="shared" si="22"/>
        <v>46328</v>
      </c>
      <c r="BL36" s="37">
        <f>'ПЛАН ЧЕРН К3'!B27*СПРАВОЧНИК!$H$9+'ПЛАН ЧЕРН К3'!C27*СПРАВОЧНИК!$I$9+'ПЛАН ЧЕРН К3'!D27*СПРАВОЧНИК!$J$9+'ПЛАН ЧЕРН К3'!E27*СПРАВОЧНИК!$H$10+'ПЛАН ЧЕРН К3'!F27*СПРАВОЧНИК!$I$10+'ПЛАН ЧЕРН К3'!G27*СПРАВОЧНИК!$J$10+'ПЛАН ЧЕРН К3'!H27*СПРАВОЧНИК!$H$11+'ПЛАН ЧЕРН К3'!I27*СПРАВОЧНИК!$I$11+'ПЛАН ЧЕРН К3'!J27*СПРАВОЧНИК!$J$11+'ПЛАН ЧЕРН К3'!K27*СПРАВОЧНИК!$H$12+'ПЛАН ЧЕРН К3'!L27*СПРАВОЧНИК!$I$12+'ПЛАН ЧЕРН К3'!M27*СПРАВОЧНИК!$J$12+'ПЛАН ЧЕРН К3'!N27*СПРАВОЧНИК!$H$13+'ПЛАН ЧЕРН К3'!O27*СПРАВОЧНИК!$I$13+'ПЛАН ЧЕРН К3'!P27*СПРАВОЧНИК!$J$13+'ПЛАН ЧЕРН К3'!Q27*СПРАВОЧНИК!$H$14+'ПЛАН ЧЕРН К3'!R27*СПРАВОЧНИК!$I$14+'ПЛАН ЧЕРН К3'!S27*СПРАВОЧНИК!$J$14+'ПЛАН ЧЕРН К3'!T27*СПРАВОЧНИК!$H$15+'ПЛАН ЧЕРН К3'!U27*СПРАВОЧНИК!$I$15+'ПЛАН ЧЕРН К3'!V27*СПРАВОЧНИК!$J$15</f>
        <v>0</v>
      </c>
      <c r="BM36" s="40">
        <f>('ФАКТ ЧЕРН К3'!B27)*СПРАВОЧНИК!$H$9+('ФАКТ ЧЕРН К3'!C27)*СПРАВОЧНИК!$I$9+('ФАКТ ЧЕРН К3'!D27)*СПРАВОЧНИК!$J$9+('ФАКТ ЧЕРН К3'!E27)*СПРАВОЧНИК!$H$10+('ФАКТ ЧЕРН К3'!F27)*СПРАВОЧНИК!$I$10+('ФАКТ ЧЕРН К3'!G27)*СПРАВОЧНИК!$J$10+('ФАКТ ЧЕРН К3'!H27)*СПРАВОЧНИК!$H$11+('ФАКТ ЧЕРН К3'!I27)*СПРАВОЧНИК!$I$11+('ФАКТ ЧЕРН К3'!J27)*СПРАВОЧНИК!$J$11+('ФАКТ ЧЕРН К3'!K27)*СПРАВОЧНИК!$H$12+('ФАКТ ЧЕРН К3'!L27)*СПРАВОЧНИК!$I$12+('ФАКТ ЧЕРН К3'!M27)*СПРАВОЧНИК!$J$12+('ФАКТ ЧЕРН К3'!N27)*СПРАВОЧНИК!$H$13+('ФАКТ ЧЕРН К3'!O27)*СПРАВОЧНИК!$I$13+('ФАКТ ЧЕРН К3'!P27)*СПРАВОЧНИК!$J$13+('ФАКТ ЧЕРН К3'!Q27)*СПРАВОЧНИК!$H$14+('ФАКТ ЧЕРН К3'!R27)*СПРАВОЧНИК!$I$14+('ФАКТ ЧЕРН К3'!S27)*СПРАВОЧНИК!$J$14+('ФАКТ ЧЕРН К3'!T27)*СПРАВОЧНИК!$H$15+('ФАКТ ЧЕРН К3'!U27)*СПРАВОЧНИК!$I$15+('ФАКТ ЧЕРН К3'!V27)*СПРАВОЧНИК!$J$15</f>
        <v>0</v>
      </c>
      <c r="BQ36" s="18">
        <f t="shared" si="23"/>
        <v>46328</v>
      </c>
      <c r="BR36" s="37">
        <f>'ПЛАН ЧИСТ К3'!B27*СПРАВОЧНИК!$L$9+'ПЛАН ЧИСТ К3'!C27*СПРАВОЧНИК!$M$9+'ПЛАН ЧИСТ К3'!D27*СПРАВОЧНИК!$N$9+'ПЛАН ЧИСТ К3'!E27*СПРАВОЧНИК!$O$9+'ПЛАН ЧИСТ К3'!F27*СПРАВОЧНИК!$L$10+'ПЛАН ЧИСТ К3'!G27*СПРАВОЧНИК!$M$10+'ПЛАН ЧИСТ К3'!H27*СПРАВОЧНИК!$N$10+'ПЛАН ЧИСТ К3'!I27*СПРАВОЧНИК!$L$11+'ПЛАН ЧИСТ К3'!J27*СПРАВОЧНИК!$M$11+'ПЛАН ЧИСТ К3'!K27*СПРАВОЧНИК!$N$11+'ПЛАН ЧИСТ К3'!L27*СПРАВОЧНИК!$L$12+'ПЛАН ЧИСТ К3'!M27*СПРАВОЧНИК!$M$12+'ПЛАН ЧИСТ К3'!N27*СПРАВОЧНИК!$N$12+'ПЛАН ЧИСТ К3'!O27*СПРАВОЧНИК!$L$13+'ПЛАН ЧИСТ К3'!P27*СПРАВОЧНИК!$M$13+'ПЛАН ЧИСТ К3'!Q27*СПРАВОЧНИК!$N$13+'ПЛАН ЧИСТ К3'!R27*СПРАВОЧНИК!$L$14+'ПЛАН ЧИСТ К3'!S27*СПРАВОЧНИК!$M$14+'ПЛАН ЧИСТ К3'!T27*СПРАВОЧНИК!$N$14+'ПЛАН ЧИСТ К3'!U27*СПРАВОЧНИК!$L$15+'ПЛАН ЧИСТ К3'!V27*СПРАВОЧНИК!$M$15+'ПЛАН ЧИСТ К3'!W27*СПРАВОЧНИК!$N$15</f>
        <v>0</v>
      </c>
      <c r="BS36" s="40">
        <f>('ФАКТ ЧИСТ К3'!B27)*СПРАВОЧНИК!$L$9+('ФАКТ ЧИСТ К3'!C27)*СПРАВОЧНИК!$M$9+('ФАКТ ЧИСТ К3'!D27)*СПРАВОЧНИК!$N$9+('ФАКТ ЧИСТ К3'!E27)*СПРАВОЧНИК!$O$9+('ФАКТ ЧИСТ К3'!F27)*СПРАВОЧНИК!$L$10+('ФАКТ ЧИСТ К3'!G27)*СПРАВОЧНИК!$M$10+('ФАКТ ЧИСТ К3'!H27)*СПРАВОЧНИК!$N$10+('ФАКТ ЧИСТ К3'!I27)*СПРАВОЧНИК!$L$11+('ФАКТ ЧИСТ К3'!J27)*СПРАВОЧНИК!$M$11+('ФАКТ ЧИСТ К3'!K27)*СПРАВОЧНИК!$N$11+('ФАКТ ЧИСТ К3'!L27)*СПРАВОЧНИК!$L$12+('ФАКТ ЧИСТ К3'!M27)*СПРАВОЧНИК!$M$12+('ФАКТ ЧИСТ К3'!N27)*СПРАВОЧНИК!$N$12+('ФАКТ ЧИСТ К3'!O27)*СПРАВОЧНИК!$L$13+('ФАКТ ЧИСТ К3'!P27)*СПРАВОЧНИК!$M$13+('ФАКТ ЧИСТ К3'!Q27)*СПРАВОЧНИК!$N$13+('ФАКТ ЧИСТ К3'!R27)*СПРАВОЧНИК!$L$14+('ФАКТ ЧИСТ К3'!S27)*СПРАВОЧНИК!$M$14+('ФАКТ ЧИСТ К3'!T27)*СПРАВОЧНИК!$N$14+('ФАКТ ЧИСТ К3'!U27)*СПРАВОЧНИК!$L$15+('ФАКТ ЧИСТ К3'!V27)*СПРАВОЧНИК!$M$15+('ФАКТ ЧИСТ К3'!W27)*СПРАВОЧНИК!$N$15</f>
        <v>0</v>
      </c>
      <c r="BW36" s="18">
        <f t="shared" si="24"/>
        <v>46328</v>
      </c>
      <c r="BX36" s="37">
        <f t="shared" si="0"/>
        <v>0</v>
      </c>
      <c r="BY36" s="40">
        <f t="shared" si="1"/>
        <v>0</v>
      </c>
      <c r="CC36" s="18">
        <f t="shared" si="25"/>
        <v>46328</v>
      </c>
      <c r="CD36" s="37">
        <f t="shared" si="2"/>
        <v>0</v>
      </c>
      <c r="CE36" s="40">
        <f t="shared" si="3"/>
        <v>0</v>
      </c>
      <c r="CI36" s="18">
        <f t="shared" si="26"/>
        <v>46328</v>
      </c>
      <c r="CJ36" s="37">
        <f t="shared" si="4"/>
        <v>0</v>
      </c>
      <c r="CK36" s="40">
        <f t="shared" si="5"/>
        <v>0</v>
      </c>
      <c r="CO36" s="18">
        <f t="shared" si="27"/>
        <v>46328</v>
      </c>
      <c r="CP36" s="37">
        <f t="shared" si="6"/>
        <v>0</v>
      </c>
      <c r="CQ36" s="40">
        <f t="shared" si="7"/>
        <v>0</v>
      </c>
      <c r="CU36" s="18">
        <f t="shared" si="28"/>
        <v>46328</v>
      </c>
      <c r="CV36" s="37">
        <f t="shared" si="8"/>
        <v>0</v>
      </c>
      <c r="CW36" s="40">
        <f t="shared" si="9"/>
        <v>0</v>
      </c>
      <c r="DA36" s="18">
        <f t="shared" si="29"/>
        <v>46328</v>
      </c>
      <c r="DB36" s="37">
        <f t="shared" si="10"/>
        <v>0</v>
      </c>
      <c r="DC36" s="40">
        <f t="shared" si="11"/>
        <v>0</v>
      </c>
    </row>
    <row r="37" spans="3:107" x14ac:dyDescent="0.25">
      <c r="C37" s="18">
        <f t="shared" si="12"/>
        <v>46335</v>
      </c>
      <c r="D37" s="37">
        <f>СПРАВОЧНИК!$E$3*('ПЛАН ЧЕРН ПОДЗЕМ'!B28*СПРАВОЧНИК!$H$3+'ПЛАН ЧЕРН ПОДЗЕМ'!C28*СПРАВОЧНИК!$I$3+'ПЛАН ЧЕРН ПОДЗЕМ'!D28*СПРАВОЧНИК!$J$3)+СПРАВОЧНИК!$E$4*('ПЛАН ЧЕРН ПОДЗЕМ'!E28*СПРАВОЧНИК!$H$4+'ПЛАН ЧЕРН ПОДЗЕМ'!F28*СПРАВОЧНИК!$I$4+'ПЛАН ЧЕРН ПОДЗЕМ'!G28*СПРАВОЧНИК!$J$4)+СПРАВОЧНИК!$E$5*('ПЛАН ЧЕРН ПОДЗЕМ'!H28*СПРАВОЧНИК!$H$5+'ПЛАН ЧЕРН ПОДЗЕМ'!I28*СПРАВОЧНИК!$I$5+'ПЛАН ЧЕРН ПОДЗЕМ'!J28*СПРАВОЧНИК!$J$5)+СПРАВОЧНИК!$E$6*('ПЛАН ЧЕРН ПОДЗЕМ'!K28*СПРАВОЧНИК!$H$6+'ПЛАН ЧЕРН ПОДЗЕМ'!L28*СПРАВОЧНИК!$I$6+'ПЛАН ЧЕРН ПОДЗЕМ'!M28*СПРАВОЧНИК!$J$6)+СПРАВОЧНИК!$E$7*('ПЛАН ЧЕРН ПОДЗЕМ'!N28*СПРАВОЧНИК!$H$7+'ПЛАН ЧЕРН ПОДЗЕМ'!O28*СПРАВОЧНИК!$I$7+'ПЛАН ЧЕРН ПОДЗЕМ'!P28*СПРАВОЧНИК!$J$7)+СПРАВОЧНИК!$E$8*('ПЛАН ЧЕРН ПОДЗЕМ'!Q28*СПРАВОЧНИК!$H$8+'ПЛАН ЧЕРН ПОДЗЕМ'!R28*СПРАВОЧНИК!$I$8+'ПЛАН ЧЕРН ПОДЗЕМ'!S28*СПРАВОЧНИК!$J$8)+СПРАВОЧНИК!$F$3*('ПЛАН ЧИСТ ПОДЗЕМ'!B28*СПРАВОЧНИК!$L$3+'ПЛАН ЧИСТ ПОДЗЕМ'!C28*СПРАВОЧНИК!$M$3+'ПЛАН ЧИСТ ПОДЗЕМ'!D28*СПРАВОЧНИК!$N$3)+СПРАВОЧНИК!$F$4*('ПЛАН ЧИСТ ПОДЗЕМ'!E28*СПРАВОЧНИК!$L$4+'ПЛАН ЧИСТ ПОДЗЕМ'!F28*СПРАВОЧНИК!$M$4+'ПЛАН ЧИСТ ПОДЗЕМ'!G28*СПРАВОЧНИК!$N$4)+СПРАВОЧНИК!$F$5*('ПЛАН ЧИСТ ПОДЗЕМ'!H28*СПРАВОЧНИК!$L$5+'ПЛАН ЧИСТ ПОДЗЕМ'!I28*СПРАВОЧНИК!$M$5+'ПЛАН ЧИСТ ПОДЗЕМ'!J28*СПРАВОЧНИК!$N$5)+СПРАВОЧНИК!$F$6*('ПЛАН ЧИСТ ПОДЗЕМ'!K28*СПРАВОЧНИК!$L$6+'ПЛАН ЧИСТ ПОДЗЕМ'!L28*СПРАВОЧНИК!$M$6+'ПЛАН ЧИСТ ПОДЗЕМ'!M28*СПРАВОЧНИК!$N$6)+СПРАВОЧНИК!$F$7*('ПЛАН ЧИСТ ПОДЗЕМ'!N28*СПРАВОЧНИК!$L$7+'ПЛАН ЧИСТ ПОДЗЕМ'!O28*СПРАВОЧНИК!$M$7+'ПЛАН ЧИСТ ПОДЗЕМ'!P28*СПРАВОЧНИК!$N$7)+СПРАВОЧНИК!$F$8*('ПЛАН ЧИСТ ПОДЗЕМ'!Q28*СПРАВОЧНИК!$L$8+'ПЛАН ЧИСТ ПОДЗЕМ'!R28*СПРАВОЧНИК!$M$8+'ПЛАН ЧИСТ ПОДЗЕМ'!S28*СПРАВОЧНИК!$N$8)</f>
        <v>0</v>
      </c>
      <c r="E37" s="40">
        <f>СПРАВОЧНИК!$E$3*(('ФАКТ ЧЕРН ПОДЗЕМ'!B28)*СПРАВОЧНИК!$H$3+('ФАКТ ЧЕРН ПОДЗЕМ'!C28)*СПРАВОЧНИК!$I$3+('ФАКТ ЧЕРН ПОДЗЕМ'!D28)*СПРАВОЧНИК!$J$3)+СПРАВОЧНИК!$E$4*(('ФАКТ ЧЕРН ПОДЗЕМ'!E28)*СПРАВОЧНИК!$H$4+('ФАКТ ЧЕРН ПОДЗЕМ'!F28)*СПРАВОЧНИК!$I$4+('ФАКТ ЧЕРН ПОДЗЕМ'!G28)*СПРАВОЧНИК!$J$4)+СПРАВОЧНИК!$E$5*(('ФАКТ ЧЕРН ПОДЗЕМ'!H28)*СПРАВОЧНИК!$H$5+('ФАКТ ЧЕРН ПОДЗЕМ'!I28)*СПРАВОЧНИК!$I$5+('ФАКТ ЧЕРН ПОДЗЕМ'!J28)*СПРАВОЧНИК!$J$5)+СПРАВОЧНИК!$E$6*(('ФАКТ ЧЕРН ПОДЗЕМ'!K28)*СПРАВОЧНИК!$H$6+('ФАКТ ЧЕРН ПОДЗЕМ'!L28)*СПРАВОЧНИК!$I$6+('ФАКТ ЧЕРН ПОДЗЕМ'!M28)*СПРАВОЧНИК!$J$6)+СПРАВОЧНИК!$E$7*(('ФАКТ ЧЕРН ПОДЗЕМ'!N28)*СПРАВОЧНИК!$H$7+('ФАКТ ЧЕРН ПОДЗЕМ'!O28)*СПРАВОЧНИК!$I$7+('ФАКТ ЧЕРН ПОДЗЕМ'!P28)*СПРАВОЧНИК!$J$7)+СПРАВОЧНИК!$E$8*(('ФАКТ ЧЕРН ПОДЗЕМ'!Q28)*СПРАВОЧНИК!$H$8+('ФАКТ ЧЕРН ПОДЗЕМ'!R28)*СПРАВОЧНИК!$I$8+('ФАКТ ЧЕРН ПОДЗЕМ'!S28)*СПРАВОЧНИК!$J$8)+СПРАВОЧНИК!$F$3*(('ФАКТ ЧИСТ ПОДЗЕМ'!B28)*СПРАВОЧНИК!$L$3+('ФАКТ ЧИСТ ПОДЗЕМ'!C28)*СПРАВОЧНИК!$M$3+('ФАКТ ЧИСТ ПОДЗЕМ'!D28)*СПРАВОЧНИК!$N$3)+СПРАВОЧНИК!$F$4*(('ФАКТ ЧИСТ ПОДЗЕМ'!E28)*СПРАВОЧНИК!$L$4+('ФАКТ ЧИСТ ПОДЗЕМ'!F28)*СПРАВОЧНИК!$M$4+('ФАКТ ЧИСТ ПОДЗЕМ'!G28)*СПРАВОЧНИК!$N$4)+СПРАВОЧНИК!$F$5*(('ФАКТ ЧИСТ ПОДЗЕМ'!H28)*СПРАВОЧНИК!$L$5+('ФАКТ ЧИСТ ПОДЗЕМ'!I28)*СПРАВОЧНИК!$M$5+('ФАКТ ЧИСТ ПОДЗЕМ'!J28)*СПРАВОЧНИК!$N$5)+СПРАВОЧНИК!$F$6*(('ФАКТ ЧИСТ ПОДЗЕМ'!K28)*СПРАВОЧНИК!$L$6+('ФАКТ ЧИСТ ПОДЗЕМ'!L28)*СПРАВОЧНИК!$M$6+('ФАКТ ЧИСТ ПОДЗЕМ'!M28)*СПРАВОЧНИК!$N$6)+СПРАВОЧНИК!$F$7*(('ФАКТ ЧИСТ ПОДЗЕМ'!N28)*СПРАВОЧНИК!$L$7+('ФАКТ ЧИСТ ПОДЗЕМ'!O28)*СПРАВОЧНИК!$M$7+('ФАКТ ЧИСТ ПОДЗЕМ'!P28)*СПРАВОЧНИК!$N$7)+СПРАВОЧНИК!$F$8*(('ФАКТ ЧИСТ ПОДЗЕМ'!Q28)*СПРАВОЧНИК!$L$8+('ФАКТ ЧИСТ ПОДЗЕМ'!R28)*СПРАВОЧНИК!$M$8+('ФАКТ ЧИСТ ПОДЗЕМ'!S28)*СПРАВОЧНИК!$N$8)</f>
        <v>0</v>
      </c>
      <c r="I37" s="18">
        <f t="shared" si="13"/>
        <v>46335</v>
      </c>
      <c r="J37" s="37">
        <f>'ПЛАН ЧЕРН ПОДЗЕМ'!B28*СПРАВОЧНИК!$H$3+'ПЛАН ЧЕРН ПОДЗЕМ'!C28*СПРАВОЧНИК!$I$3+'ПЛАН ЧЕРН ПОДЗЕМ'!D28*СПРАВОЧНИК!$J$3+'ПЛАН ЧЕРН ПОДЗЕМ'!E28*СПРАВОЧНИК!$H$4+'ПЛАН ЧЕРН ПОДЗЕМ'!F28*СПРАВОЧНИК!$I$4+'ПЛАН ЧЕРН ПОДЗЕМ'!G28*СПРАВОЧНИК!$J$4+'ПЛАН ЧЕРН ПОДЗЕМ'!H28*СПРАВОЧНИК!$H$5+'ПЛАН ЧЕРН ПОДЗЕМ'!I28*СПРАВОЧНИК!$I$5+'ПЛАН ЧЕРН ПОДЗЕМ'!J28*СПРАВОЧНИК!$J$5+'ПЛАН ЧЕРН ПОДЗЕМ'!K28*СПРАВОЧНИК!$H$6+'ПЛАН ЧЕРН ПОДЗЕМ'!L28*СПРАВОЧНИК!$I$6+'ПЛАН ЧЕРН ПОДЗЕМ'!M28*СПРАВОЧНИК!$J$6+'ПЛАН ЧЕРН ПОДЗЕМ'!N28*СПРАВОЧНИК!$H$7+'ПЛАН ЧЕРН ПОДЗЕМ'!O28*СПРАВОЧНИК!$I$7+'ПЛАН ЧЕРН ПОДЗЕМ'!P28*СПРАВОЧНИК!$J$7+'ПЛАН ЧЕРН ПОДЗЕМ'!Q28*СПРАВОЧНИК!$H$8+'ПЛАН ЧЕРН ПОДЗЕМ'!R28*СПРАВОЧНИК!$I$8+'ПЛАН ЧЕРН ПОДЗЕМ'!S28*СПРАВОЧНИК!$J$8</f>
        <v>0</v>
      </c>
      <c r="K37" s="40">
        <f>('ФАКТ ЧЕРН ПОДЗЕМ'!B28)*СПРАВОЧНИК!$H$3+('ФАКТ ЧЕРН ПОДЗЕМ'!C28)*СПРАВОЧНИК!$I$3+('ФАКТ ЧЕРН ПОДЗЕМ'!D28)*СПРАВОЧНИК!$J$3+('ФАКТ ЧЕРН ПОДЗЕМ'!E28)*СПРАВОЧНИК!$H$4+('ФАКТ ЧЕРН ПОДЗЕМ'!F28)*СПРАВОЧНИК!$I$4+('ФАКТ ЧЕРН ПОДЗЕМ'!G28)*СПРАВОЧНИК!$J$4+('ФАКТ ЧЕРН ПОДЗЕМ'!H28)*СПРАВОЧНИК!$H$5+('ФАКТ ЧЕРН ПОДЗЕМ'!I28)*СПРАВОЧНИК!$I$5+('ФАКТ ЧЕРН ПОДЗЕМ'!J28)*СПРАВОЧНИК!$J$5+('ФАКТ ЧЕРН ПОДЗЕМ'!K28)*СПРАВОЧНИК!$H$6+('ФАКТ ЧЕРН ПОДЗЕМ'!L28)*СПРАВОЧНИК!$I$6+('ФАКТ ЧЕРН ПОДЗЕМ'!M28)*СПРАВОЧНИК!$J$6+('ФАКТ ЧЕРН ПОДЗЕМ'!N28)*СПРАВОЧНИК!$H$7+('ФАКТ ЧЕРН ПОДЗЕМ'!O28)*СПРАВОЧНИК!$I$7+('ФАКТ ЧЕРН ПОДЗЕМ'!P28)*СПРАВОЧНИК!$J$7+('ФАКТ ЧЕРН ПОДЗЕМ'!Q28)*СПРАВОЧНИК!$H$8+('ФАКТ ЧЕРН ПОДЗЕМ'!R28)*СПРАВОЧНИК!$I$8+('ФАКТ ЧЕРН ПОДЗЕМ'!S28)*СПРАВОЧНИК!$J$8</f>
        <v>0</v>
      </c>
      <c r="O37" s="18">
        <f t="shared" si="14"/>
        <v>46335</v>
      </c>
      <c r="P37" s="37">
        <f>'ПЛАН ЧИСТ ПОДЗЕМ'!B28*СПРАВОЧНИК!$L$3+'ПЛАН ЧИСТ ПОДЗЕМ'!C28*СПРАВОЧНИК!$M$3+'ПЛАН ЧИСТ ПОДЗЕМ'!D28*СПРАВОЧНИК!$N$3+'ПЛАН ЧИСТ ПОДЗЕМ'!E28*СПРАВОЧНИК!$L$4+'ПЛАН ЧИСТ ПОДЗЕМ'!F28*СПРАВОЧНИК!$M$4+'ПЛАН ЧИСТ ПОДЗЕМ'!G28*СПРАВОЧНИК!$N$4+'ПЛАН ЧИСТ ПОДЗЕМ'!H28*СПРАВОЧНИК!$L$5+'ПЛАН ЧИСТ ПОДЗЕМ'!I28*СПРАВОЧНИК!$M$5+'ПЛАН ЧИСТ ПОДЗЕМ'!J28*СПРАВОЧНИК!$N$5+'ПЛАН ЧИСТ ПОДЗЕМ'!K28*СПРАВОЧНИК!$L$6+'ПЛАН ЧИСТ ПОДЗЕМ'!L28*СПРАВОЧНИК!$M$6+'ПЛАН ЧИСТ ПОДЗЕМ'!M28*СПРАВОЧНИК!$N$6+'ПЛАН ЧИСТ ПОДЗЕМ'!N28*СПРАВОЧНИК!$L$7+'ПЛАН ЧИСТ ПОДЗЕМ'!O28*СПРАВОЧНИК!$M$7+'ПЛАН ЧИСТ ПОДЗЕМ'!P28*СПРАВОЧНИК!$N$7+'ПЛАН ЧИСТ ПОДЗЕМ'!Q28*СПРАВОЧНИК!$L$8+'ПЛАН ЧИСТ ПОДЗЕМ'!R28*СПРАВОЧНИК!$M$8+'ПЛАН ЧИСТ ПОДЗЕМ'!S28*СПРАВОЧНИК!$N$8</f>
        <v>0</v>
      </c>
      <c r="Q37" s="40">
        <f>('ФАКТ ЧИСТ ПОДЗЕМ'!B28)*СПРАВОЧНИК!$L$3+('ФАКТ ЧИСТ ПОДЗЕМ'!C28)*СПРАВОЧНИК!$M$3+('ФАКТ ЧИСТ ПОДЗЕМ'!D28)*СПРАВОЧНИК!$N$3+('ФАКТ ЧИСТ ПОДЗЕМ'!E28)*СПРАВОЧНИК!$L$4+('ФАКТ ЧИСТ ПОДЗЕМ'!F28)*СПРАВОЧНИК!$M$4+('ФАКТ ЧИСТ ПОДЗЕМ'!G28)*СПРАВОЧНИК!$N$4+('ФАКТ ЧИСТ ПОДЗЕМ'!H28)*СПРАВОЧНИК!$L$5+('ФАКТ ЧИСТ ПОДЗЕМ'!I28)*СПРАВОЧНИК!$M$5+('ФАКТ ЧИСТ ПОДЗЕМ'!J28)*СПРАВОЧНИК!$N$5+('ФАКТ ЧИСТ ПОДЗЕМ'!K28)*СПРАВОЧНИК!$L$6+('ФАКТ ЧИСТ ПОДЗЕМ'!L28)*СПРАВОЧНИК!$M$6+('ФАКТ ЧИСТ ПОДЗЕМ'!M28)*СПРАВОЧНИК!$N$6+('ФАКТ ЧИСТ ПОДЗЕМ'!N28)*СПРАВОЧНИК!$L$7+('ФАКТ ЧИСТ ПОДЗЕМ'!O28)*СПРАВОЧНИК!$M$7+('ФАКТ ЧИСТ ПОДЗЕМ'!P28)*СПРАВОЧНИК!$N$7+('ФАКТ ЧИСТ ПОДЗЕМ'!Q28)*СПРАВОЧНИК!$L$8+('ФАКТ ЧИСТ ПОДЗЕМ'!R28)*СПРАВОЧНИК!$M$8+('ФАКТ ЧИСТ ПОДЗЕМ'!S28)*СПРАВОЧНИК!$N$8</f>
        <v>0</v>
      </c>
      <c r="U37" s="18">
        <f t="shared" si="15"/>
        <v>46335</v>
      </c>
      <c r="V37" s="37">
        <f>СПРАВОЧНИК!$E$9*('ПЛАН ЧЕРН К1'!B28*СПРАВОЧНИК!$H$9+'ПЛАН ЧЕРН К1'!C28*СПРАВОЧНИК!$I$9+'ПЛАН ЧЕРН К1'!D28*СПРАВОЧНИК!$J$9)+СПРАВОЧНИК!$E$10*('ПЛАН ЧЕРН К1'!E28*СПРАВОЧНИК!$H$10+'ПЛАН ЧЕРН К1'!F28*СПРАВОЧНИК!$I$10+'ПЛАН ЧЕРН К1'!G28*СПРАВОЧНИК!$J$10)+СПРАВОЧНИК!$E$11*('ПЛАН ЧЕРН К1'!H28*СПРАВОЧНИК!$H$11+'ПЛАН ЧЕРН К1'!I28*СПРАВОЧНИК!$I$11+'ПЛАН ЧЕРН К1'!J28*СПРАВОЧНИК!$J$11)+СПРАВОЧНИК!$E$12*('ПЛАН ЧЕРН К1'!K28*СПРАВОЧНИК!$H$12+'ПЛАН ЧЕРН К1'!L28*СПРАВОЧНИК!$I$12+'ПЛАН ЧЕРН К1'!M28*СПРАВОЧНИК!$J$12)+СПРАВОЧНИК!$E$13*('ПЛАН ЧЕРН К1'!N28*СПРАВОЧНИК!$H$13+'ПЛАН ЧЕРН К1'!O28*СПРАВОЧНИК!$I$13+'ПЛАН ЧЕРН К1'!P28*СПРАВОЧНИК!$J$13)+СПРАВОЧНИК!$E$14*('ПЛАН ЧЕРН К1'!Q28*СПРАВОЧНИК!$H$14+'ПЛАН ЧЕРН К1'!R28*СПРАВОЧНИК!$I$14+'ПЛАН ЧЕРН К1'!S28*СПРАВОЧНИК!$J$14)+СПРАВОЧНИК!$E$15*('ПЛАН ЧЕРН К1'!T28*СПРАВОЧНИК!$H$15+'ПЛАН ЧЕРН К1'!U28*СПРАВОЧНИК!$I$15+'ПЛАН ЧЕРН К1'!V28*СПРАВОЧНИК!$J$15)+СПРАВОЧНИК!$F$9*('ПЛАН ЧИСТ К1'!B28*СПРАВОЧНИК!$L$9+'ПЛАН ЧИСТ К1'!C28*СПРАВОЧНИК!$M$9+'ПЛАН ЧИСТ К1'!D28*СПРАВОЧНИК!$N$9+'ПЛАН ЧИСТ К1'!E28*СПРАВОЧНИК!$O$9)+СПРАВОЧНИК!$F$10*('ПЛАН ЧИСТ К1'!F28*СПРАВОЧНИК!$L$10+'ПЛАН ЧИСТ К1'!G28*СПРАВОЧНИК!$M$10+'ПЛАН ЧИСТ К1'!H28*СПРАВОЧНИК!$N$10)+СПРАВОЧНИК!$F$11*('ПЛАН ЧИСТ К1'!I28*СПРАВОЧНИК!$L$11+'ПЛАН ЧИСТ К1'!J28*СПРАВОЧНИК!$M$11+'ПЛАН ЧИСТ К1'!K28*СПРАВОЧНИК!$N$11)+СПРАВОЧНИК!$F$12*('ПЛАН ЧИСТ К1'!L28*СПРАВОЧНИК!$L$12+'ПЛАН ЧИСТ К1'!M28*СПРАВОЧНИК!$M$12+'ПЛАН ЧИСТ К1'!N28*СПРАВОЧНИК!$N$12)+СПРАВОЧНИК!$F$13*('ПЛАН ЧИСТ К1'!O28*СПРАВОЧНИК!$L$13+'ПЛАН ЧИСТ К1'!P28*СПРАВОЧНИК!$M$13+'ПЛАН ЧИСТ К1'!Q28*СПРАВОЧНИК!$N$13)+СПРАВОЧНИК!$F$14*('ПЛАН ЧИСТ К1'!R28*СПРАВОЧНИК!$L$14+'ПЛАН ЧИСТ К1'!S28*СПРАВОЧНИК!$M$14+'ПЛАН ЧИСТ К1'!T28*СПРАВОЧНИК!$N$14)+СПРАВОЧНИК!$F$15*('ПЛАН ЧИСТ К1'!U28*СПРАВОЧНИК!$L$15+'ПЛАН ЧИСТ К1'!V28*СПРАВОЧНИК!$M$15+'ПЛАН ЧИСТ К1'!W28*СПРАВОЧНИК!$N$15)</f>
        <v>0</v>
      </c>
      <c r="W37" s="40">
        <f>СПРАВОЧНИК!$E$9*(('ФАКТ ЧЕРН К1'!B28)*СПРАВОЧНИК!$H$9+('ФАКТ ЧЕРН К1'!C28)*СПРАВОЧНИК!$I$9+('ФАКТ ЧЕРН К1'!D28)*СПРАВОЧНИК!$J$9)+СПРАВОЧНИК!$E$10*(('ФАКТ ЧЕРН К1'!E28)*СПРАВОЧНИК!$H$10+('ФАКТ ЧЕРН К1'!F28)*СПРАВОЧНИК!$I$10+('ФАКТ ЧЕРН К1'!G28)*СПРАВОЧНИК!$J$10)+СПРАВОЧНИК!$E$11*(('ФАКТ ЧЕРН К1'!H28)*СПРАВОЧНИК!$H$11+('ФАКТ ЧЕРН К1'!I28)*СПРАВОЧНИК!$I$11+('ФАКТ ЧЕРН К1'!J28)*СПРАВОЧНИК!$J$11)+СПРАВОЧНИК!$E$12*(('ФАКТ ЧЕРН К1'!K28)*СПРАВОЧНИК!$H$12+('ФАКТ ЧЕРН К1'!L28)*СПРАВОЧНИК!$I$12+('ФАКТ ЧЕРН К1'!M28)*СПРАВОЧНИК!$J$12)+СПРАВОЧНИК!$E$13*(('ФАКТ ЧЕРН К1'!N28)*СПРАВОЧНИК!$H$13+('ФАКТ ЧЕРН К1'!O28)*СПРАВОЧНИК!$I$13+('ФАКТ ЧЕРН К1'!P28)*СПРАВОЧНИК!$J$13)+СПРАВОЧНИК!$E$14*(('ФАКТ ЧЕРН К1'!Q28)*СПРАВОЧНИК!$H$14+('ФАКТ ЧЕРН К1'!R28)*СПРАВОЧНИК!$I$14+('ФАКТ ЧЕРН К1'!S28)*СПРАВОЧНИК!$J$14)+СПРАВОЧНИК!$E$15*(('ФАКТ ЧЕРН К1'!T28)*СПРАВОЧНИК!$H$15+('ФАКТ ЧЕРН К1'!U28)*СПРАВОЧНИК!$I$15+('ФАКТ ЧЕРН К1'!V28)*СПРАВОЧНИК!$J$15)+СПРАВОЧНИК!$F$9*(('ФАКТ ЧИСТ К1'!B28)*СПРАВОЧНИК!$L$9+('ФАКТ ЧИСТ К1'!C28)*СПРАВОЧНИК!$M$9+('ФАКТ ЧИСТ К1'!D28)*СПРАВОЧНИК!$N$9+('ФАКТ ЧИСТ К1'!E28)*СПРАВОЧНИК!$O$9)+СПРАВОЧНИК!$F$10*(('ФАКТ ЧИСТ К1'!F28)*СПРАВОЧНИК!$L$10+('ФАКТ ЧИСТ К1'!G28)*СПРАВОЧНИК!$M$10+('ФАКТ ЧИСТ К1'!H28)*СПРАВОЧНИК!$N$10)+СПРАВОЧНИК!$F$11*(('ФАКТ ЧИСТ К1'!I28)*СПРАВОЧНИК!$L$11+('ФАКТ ЧИСТ К1'!J28)*СПРАВОЧНИК!$M$11+('ФАКТ ЧИСТ К1'!K28)*СПРАВОЧНИК!$N$11)+СПРАВОЧНИК!$F$12*(('ФАКТ ЧИСТ К1'!L28)*СПРАВОЧНИК!$L$12+('ФАКТ ЧИСТ К1'!M28)*СПРАВОЧНИК!$M$12+('ФАКТ ЧИСТ К1'!N28)*СПРАВОЧНИК!$N$12)+СПРАВОЧНИК!$F$13*(('ФАКТ ЧИСТ К1'!O28)*СПРАВОЧНИК!$L$13+('ФАКТ ЧИСТ К1'!P28)*СПРАВОЧНИК!$M$13+('ФАКТ ЧИСТ К1'!Q28)*СПРАВОЧНИК!$N$13)+СПРАВОЧНИК!$F$14*(('ФАКТ ЧИСТ К1'!R28)*СПРАВОЧНИК!$L$14+('ФАКТ ЧИСТ К1'!S28)*СПРАВОЧНИК!$M$14+('ФАКТ ЧИСТ К1'!T28)*СПРАВОЧНИК!$N$14)+СПРАВОЧНИК!$F$15*(('ФАКТ ЧИСТ К1'!U28)*СПРАВОЧНИК!$L$15+('ФАКТ ЧИСТ К1'!V28)*СПРАВОЧНИК!$M$15+('ФАКТ ЧИСТ К1'!W28)*СПРАВОЧНИК!$N$15)</f>
        <v>0</v>
      </c>
      <c r="AA37" s="18">
        <f t="shared" si="16"/>
        <v>46335</v>
      </c>
      <c r="AB37" s="37">
        <f>'ПЛАН ЧЕРН К1'!B28*СПРАВОЧНИК!$H$9+'ПЛАН ЧЕРН К1'!C28*СПРАВОЧНИК!$I$9+'ПЛАН ЧЕРН К1'!D28*СПРАВОЧНИК!$J$9+'ПЛАН ЧЕРН К1'!E28*СПРАВОЧНИК!$H$10+'ПЛАН ЧЕРН К1'!F28*СПРАВОЧНИК!$I$10+'ПЛАН ЧЕРН К1'!G28*СПРАВОЧНИК!$J$10+'ПЛАН ЧЕРН К1'!H28*СПРАВОЧНИК!$H$11+'ПЛАН ЧЕРН К1'!I28*СПРАВОЧНИК!$I$11+'ПЛАН ЧЕРН К1'!J28*СПРАВОЧНИК!$J$11+'ПЛАН ЧЕРН К1'!K28*СПРАВОЧНИК!$H$12+'ПЛАН ЧЕРН К1'!L28*СПРАВОЧНИК!$I$12+'ПЛАН ЧЕРН К1'!M28*СПРАВОЧНИК!$J$12+'ПЛАН ЧЕРН К1'!N28*СПРАВОЧНИК!$H$13+'ПЛАН ЧЕРН К1'!O28*СПРАВОЧНИК!$I$13+'ПЛАН ЧЕРН К1'!P28*СПРАВОЧНИК!$J$13+'ПЛАН ЧЕРН К1'!Q28*СПРАВОЧНИК!$H$14+'ПЛАН ЧЕРН К1'!R28*СПРАВОЧНИК!$I$14+'ПЛАН ЧЕРН К1'!S28*СПРАВОЧНИК!$J$14+'ПЛАН ЧЕРН К1'!T28*СПРАВОЧНИК!$H$15+'ПЛАН ЧЕРН К1'!U28*СПРАВОЧНИК!$I$15+'ПЛАН ЧЕРН К1'!V28*СПРАВОЧНИК!$J$15</f>
        <v>0</v>
      </c>
      <c r="AC37" s="40">
        <f>('ФАКТ ЧЕРН К1'!B28)*СПРАВОЧНИК!$H$9+('ФАКТ ЧЕРН К1'!C28)*СПРАВОЧНИК!$I$9+('ФАКТ ЧЕРН К1'!D28)*СПРАВОЧНИК!$J$9+('ФАКТ ЧЕРН К1'!E28)*СПРАВОЧНИК!$H$10+('ФАКТ ЧЕРН К1'!F28)*СПРАВОЧНИК!$I$10+('ФАКТ ЧЕРН К1'!G28)*СПРАВОЧНИК!$J$10+('ФАКТ ЧЕРН К1'!H28)*СПРАВОЧНИК!$H$11+('ФАКТ ЧЕРН К1'!I28)*СПРАВОЧНИК!$I$11+('ФАКТ ЧЕРН К1'!J28)*СПРАВОЧНИК!$J$11+('ФАКТ ЧЕРН К1'!K28)*СПРАВОЧНИК!$H$12+('ФАКТ ЧЕРН К1'!L28)*СПРАВОЧНИК!$I$12+('ФАКТ ЧЕРН К1'!M28)*СПРАВОЧНИК!$J$12+('ФАКТ ЧЕРН К1'!N28)*СПРАВОЧНИК!$H$13+('ФАКТ ЧЕРН К1'!O28)*СПРАВОЧНИК!$I$13+('ФАКТ ЧЕРН К1'!P28)*СПРАВОЧНИК!$J$13+('ФАКТ ЧЕРН К1'!Q28)*СПРАВОЧНИК!$H$14+('ФАКТ ЧЕРН К1'!R28)*СПРАВОЧНИК!$I$14+('ФАКТ ЧЕРН К1'!S28)*СПРАВОЧНИК!$J$14+('ФАКТ ЧЕРН К1'!T28)*СПРАВОЧНИК!$H$15+('ФАКТ ЧЕРН К1'!U28)*СПРАВОЧНИК!$I$15+('ФАКТ ЧЕРН К1'!V28)*СПРАВОЧНИК!$J$15</f>
        <v>0</v>
      </c>
      <c r="AG37" s="18">
        <f t="shared" si="17"/>
        <v>46335</v>
      </c>
      <c r="AH37" s="37">
        <f>'ПЛАН ЧИСТ К1'!B28*СПРАВОЧНИК!$L$9+'ПЛАН ЧИСТ К1'!C28*СПРАВОЧНИК!$M$9+'ПЛАН ЧИСТ К1'!D28*СПРАВОЧНИК!$N$9+'ПЛАН ЧИСТ К1'!E28*СПРАВОЧНИК!$O$9+'ПЛАН ЧИСТ К1'!F28*СПРАВОЧНИК!$L$10+'ПЛАН ЧИСТ К1'!G28*СПРАВОЧНИК!$M$10+'ПЛАН ЧИСТ К1'!H28*СПРАВОЧНИК!$N$10+'ПЛАН ЧИСТ К1'!I28*СПРАВОЧНИК!$L$11+'ПЛАН ЧИСТ К1'!J28*СПРАВОЧНИК!$M$11+'ПЛАН ЧИСТ К1'!K28*СПРАВОЧНИК!$N$11+'ПЛАН ЧИСТ К1'!L28*СПРАВОЧНИК!$L$12+'ПЛАН ЧИСТ К1'!M28*СПРАВОЧНИК!$M$12+'ПЛАН ЧИСТ К1'!N28*СПРАВОЧНИК!$N$12+'ПЛАН ЧИСТ К1'!O28*СПРАВОЧНИК!$L$13+'ПЛАН ЧИСТ К1'!P28*СПРАВОЧНИК!$M$13+'ПЛАН ЧИСТ К1'!Q28*СПРАВОЧНИК!$N$13+'ПЛАН ЧИСТ К1'!R28*СПРАВОЧНИК!$L$14+'ПЛАН ЧИСТ К1'!S28*СПРАВОЧНИК!$M$14+'ПЛАН ЧИСТ К1'!T28*СПРАВОЧНИК!$N$14+'ПЛАН ЧИСТ К1'!U28*СПРАВОЧНИК!$L$15+'ПЛАН ЧИСТ К1'!V28*СПРАВОЧНИК!$M$15+'ПЛАН ЧИСТ К1'!W28*СПРАВОЧНИК!$N$15</f>
        <v>0</v>
      </c>
      <c r="AI37" s="40">
        <f>('ФАКТ ЧИСТ К1'!B28)*СПРАВОЧНИК!$L$9+('ФАКТ ЧИСТ К1'!C28)*СПРАВОЧНИК!$M$9+('ФАКТ ЧИСТ К1'!D28)*СПРАВОЧНИК!$N$9+('ФАКТ ЧИСТ К1'!E28)*СПРАВОЧНИК!$O$9+('ФАКТ ЧИСТ К1'!F28)*СПРАВОЧНИК!$L$10+('ФАКТ ЧИСТ К1'!G28)*СПРАВОЧНИК!$M$10+('ФАКТ ЧИСТ К1'!H28)*СПРАВОЧНИК!$N$10+('ФАКТ ЧИСТ К1'!I28)*СПРАВОЧНИК!$L$11+('ФАКТ ЧИСТ К1'!J28)*СПРАВОЧНИК!$M$11+('ФАКТ ЧИСТ К1'!K28)*СПРАВОЧНИК!$N$11+('ФАКТ ЧИСТ К1'!L28)*СПРАВОЧНИК!$L$12+('ФАКТ ЧИСТ К1'!M28)*СПРАВОЧНИК!$M$12+('ФАКТ ЧИСТ К1'!N28)*СПРАВОЧНИК!$N$12+('ФАКТ ЧИСТ К1'!O28)*СПРАВОЧНИК!$L$13+('ФАКТ ЧИСТ К1'!P28)*СПРАВОЧНИК!$M$13+('ФАКТ ЧИСТ К1'!Q28)*СПРАВОЧНИК!$N$13+('ФАКТ ЧИСТ К1'!R28)*СПРАВОЧНИК!$L$14+('ФАКТ ЧИСТ К1'!S28)*СПРАВОЧНИК!$M$14+('ФАКТ ЧИСТ К1'!T28)*СПРАВОЧНИК!$N$14+('ФАКТ ЧИСТ К1'!U28)*СПРАВОЧНИК!$L$15+('ФАКТ ЧИСТ К1'!V28)*СПРАВОЧНИК!$M$15+('ФАКТ ЧИСТ К1'!W28)*СПРАВОЧНИК!$N$15</f>
        <v>0</v>
      </c>
      <c r="AM37" s="18">
        <f t="shared" si="18"/>
        <v>46335</v>
      </c>
      <c r="AN37" s="37">
        <f>СПРАВОЧНИК!$E$9*('ПЛАН ЧЕРН К2'!B28*СПРАВОЧНИК!$H$9+'ПЛАН ЧЕРН К2'!C28*СПРАВОЧНИК!$I$9+'ПЛАН ЧЕРН К2'!D28*СПРАВОЧНИК!$J$9)+СПРАВОЧНИК!$E$10*('ПЛАН ЧЕРН К2'!E28*СПРАВОЧНИК!$H$10+'ПЛАН ЧЕРН К2'!F28*СПРАВОЧНИК!$I$10+'ПЛАН ЧЕРН К2'!G28*СПРАВОЧНИК!$J$10)+СПРАВОЧНИК!$E$11*('ПЛАН ЧЕРН К2'!H28*СПРАВОЧНИК!$H$11+'ПЛАН ЧЕРН К2'!I28*СПРАВОЧНИК!$I$11+'ПЛАН ЧЕРН К2'!J28*СПРАВОЧНИК!$J$11)+СПРАВОЧНИК!$E$12*('ПЛАН ЧЕРН К2'!K28*СПРАВОЧНИК!$H$12+'ПЛАН ЧЕРН К2'!L28*СПРАВОЧНИК!$I$12+'ПЛАН ЧЕРН К2'!M28*СПРАВОЧНИК!$J$12)+СПРАВОЧНИК!$E$13*('ПЛАН ЧЕРН К2'!N28*СПРАВОЧНИК!$H$13+'ПЛАН ЧЕРН К2'!O28*СПРАВОЧНИК!$I$13+'ПЛАН ЧЕРН К2'!P28*СПРАВОЧНИК!$J$13)+СПРАВОЧНИК!$E$14*('ПЛАН ЧЕРН К2'!Q28*СПРАВОЧНИК!$H$14+'ПЛАН ЧЕРН К2'!R28*СПРАВОЧНИК!$I$14+'ПЛАН ЧЕРН К2'!S28*СПРАВОЧНИК!$J$14)+СПРАВОЧНИК!$E$15*('ПЛАН ЧЕРН К2'!T28*СПРАВОЧНИК!$H$15+'ПЛАН ЧЕРН К2'!U28*СПРАВОЧНИК!$I$15+'ПЛАН ЧЕРН К2'!V28*СПРАВОЧНИК!$J$15)+СПРАВОЧНИК!$F$9*('ПЛАН ЧИСТ К2'!B28*СПРАВОЧНИК!$L$9+'ПЛАН ЧИСТ К2'!C28*СПРАВОЧНИК!$M$9+'ПЛАН ЧИСТ К2'!D28*СПРАВОЧНИК!$N$9+'ПЛАН ЧИСТ К2'!E28*СПРАВОЧНИК!$O$9)+СПРАВОЧНИК!$F$10*('ПЛАН ЧИСТ К2'!F28*СПРАВОЧНИК!$L$10+'ПЛАН ЧИСТ К2'!G28*СПРАВОЧНИК!$M$10+'ПЛАН ЧИСТ К2'!H28*СПРАВОЧНИК!$N$10)+СПРАВОЧНИК!$F$11*('ПЛАН ЧИСТ К2'!I28*СПРАВОЧНИК!$L$11+'ПЛАН ЧИСТ К2'!J28*СПРАВОЧНИК!$M$11+'ПЛАН ЧИСТ К2'!K28*СПРАВОЧНИК!$N$11)+СПРАВОЧНИК!$F$12*('ПЛАН ЧИСТ К2'!L28*СПРАВОЧНИК!$L$12+'ПЛАН ЧИСТ К2'!M28*СПРАВОЧНИК!$M$12+'ПЛАН ЧИСТ К2'!N28*СПРАВОЧНИК!$N$12)+СПРАВОЧНИК!$F$13*('ПЛАН ЧИСТ К2'!O28*СПРАВОЧНИК!$L$13+'ПЛАН ЧИСТ К2'!P28*СПРАВОЧНИК!$M$13+'ПЛАН ЧИСТ К2'!Q28*СПРАВОЧНИК!$N$13)+СПРАВОЧНИК!$F$14*('ПЛАН ЧИСТ К2'!R28*СПРАВОЧНИК!$L$14+'ПЛАН ЧИСТ К2'!S28*СПРАВОЧНИК!$M$14+'ПЛАН ЧИСТ К2'!T28*СПРАВОЧНИК!$N$14)+СПРАВОЧНИК!$F$15*('ПЛАН ЧИСТ К2'!U28*СПРАВОЧНИК!$L$15+'ПЛАН ЧИСТ К2'!V28*СПРАВОЧНИК!$M$15+'ПЛАН ЧИСТ К2'!W28*СПРАВОЧНИК!$N$15)</f>
        <v>0</v>
      </c>
      <c r="AO37" s="40">
        <f>СПРАВОЧНИК!$E$9*(('ФАКТ ЧЕРН К2'!B28)*СПРАВОЧНИК!$H$9+('ФАКТ ЧЕРН К2'!C28)*СПРАВОЧНИК!$I$9+('ФАКТ ЧЕРН К2'!D28)*СПРАВОЧНИК!$J$9)+СПРАВОЧНИК!$E$10*(('ФАКТ ЧЕРН К2'!E28)*СПРАВОЧНИК!$H$10+('ФАКТ ЧЕРН К2'!F28)*СПРАВОЧНИК!$I$10+('ФАКТ ЧЕРН К2'!G28)*СПРАВОЧНИК!$J$10)+СПРАВОЧНИК!$E$11*(('ФАКТ ЧЕРН К2'!H28)*СПРАВОЧНИК!$H$11+('ФАКТ ЧЕРН К2'!I28)*СПРАВОЧНИК!$I$11+('ФАКТ ЧЕРН К2'!J28)*СПРАВОЧНИК!$J$11)+СПРАВОЧНИК!$E$12*(('ФАКТ ЧЕРН К2'!K28)*СПРАВОЧНИК!$H$12+('ФАКТ ЧЕРН К2'!L28)*СПРАВОЧНИК!$I$12+('ФАКТ ЧЕРН К2'!M28)*СПРАВОЧНИК!$J$12)+СПРАВОЧНИК!$E$13*(('ФАКТ ЧЕРН К2'!N28)*СПРАВОЧНИК!$H$13+('ФАКТ ЧЕРН К2'!O28)*СПРАВОЧНИК!$I$13+('ФАКТ ЧЕРН К2'!P28)*СПРАВОЧНИК!$J$13)+СПРАВОЧНИК!$E$14*(('ФАКТ ЧЕРН К2'!Q28)*СПРАВОЧНИК!$H$14+('ФАКТ ЧЕРН К2'!R28)*СПРАВОЧНИК!$I$14+('ФАКТ ЧЕРН К2'!S28)*СПРАВОЧНИК!$J$14)+СПРАВОЧНИК!$E$15*(('ФАКТ ЧЕРН К2'!T28)*СПРАВОЧНИК!$H$15+('ФАКТ ЧЕРН К2'!U28)*СПРАВОЧНИК!$I$15+('ФАКТ ЧЕРН К2'!V28)*СПРАВОЧНИК!$J$15)+СПРАВОЧНИК!$F$9*(('ФАКТ ЧИСТ К2'!B28)*СПРАВОЧНИК!$L$9+('ФАКТ ЧИСТ К2'!C28)*СПРАВОЧНИК!$M$9+('ФАКТ ЧИСТ К2'!D28)*СПРАВОЧНИК!$N$9+('ФАКТ ЧИСТ К2'!E28)*СПРАВОЧНИК!$O$9)+СПРАВОЧНИК!$F$10*(('ФАКТ ЧИСТ К2'!F28)*СПРАВОЧНИК!$L$10+('ФАКТ ЧИСТ К2'!G28)*СПРАВОЧНИК!$M$10+('ФАКТ ЧИСТ К2'!H28)*СПРАВОЧНИК!$N$10)+СПРАВОЧНИК!$F$11*(('ФАКТ ЧИСТ К2'!I28)*СПРАВОЧНИК!$L$11+('ФАКТ ЧИСТ К2'!J28)*СПРАВОЧНИК!$M$11+('ФАКТ ЧИСТ К2'!K28)*СПРАВОЧНИК!$N$11)+СПРАВОЧНИК!$F$12*(('ФАКТ ЧИСТ К2'!L28)*СПРАВОЧНИК!$L$12+('ФАКТ ЧИСТ К2'!M28)*СПРАВОЧНИК!$M$12+('ФАКТ ЧИСТ К2'!N28)*СПРАВОЧНИК!$N$12)+СПРАВОЧНИК!$F$13*(('ФАКТ ЧИСТ К2'!O28)*СПРАВОЧНИК!$L$13+('ФАКТ ЧИСТ К2'!P28)*СПРАВОЧНИК!$M$13+('ФАКТ ЧИСТ К2'!Q28)*СПРАВОЧНИК!$N$13)+СПРАВОЧНИК!$F$14*(('ФАКТ ЧИСТ К2'!R28)*СПРАВОЧНИК!$L$14+('ФАКТ ЧИСТ К2'!S28)*СПРАВОЧНИК!$M$14+('ФАКТ ЧИСТ К2'!T28)*СПРАВОЧНИК!$N$14)+СПРАВОЧНИК!$F$15*(('ФАКТ ЧИСТ К2'!U28)*СПРАВОЧНИК!$L$15+('ФАКТ ЧИСТ К2'!V28)*СПРАВОЧНИК!$M$15+('ФАКТ ЧИСТ К2'!W28)*СПРАВОЧНИК!$N$15)</f>
        <v>0</v>
      </c>
      <c r="AS37" s="18">
        <f t="shared" si="19"/>
        <v>46335</v>
      </c>
      <c r="AT37" s="37">
        <f>'ПЛАН ЧЕРН К2'!B28*СПРАВОЧНИК!$H$9+'ПЛАН ЧЕРН К2'!C28*СПРАВОЧНИК!$I$9+'ПЛАН ЧЕРН К2'!D28*СПРАВОЧНИК!$J$9+'ПЛАН ЧЕРН К2'!E28*СПРАВОЧНИК!$H$10+'ПЛАН ЧЕРН К2'!F28*СПРАВОЧНИК!$I$10+'ПЛАН ЧЕРН К2'!G28*СПРАВОЧНИК!$J$10+'ПЛАН ЧЕРН К2'!H28*СПРАВОЧНИК!$H$11+'ПЛАН ЧЕРН К2'!I28*СПРАВОЧНИК!$I$11+'ПЛАН ЧЕРН К2'!J28*СПРАВОЧНИК!$J$11+'ПЛАН ЧЕРН К2'!K28*СПРАВОЧНИК!$H$12+'ПЛАН ЧЕРН К2'!L28*СПРАВОЧНИК!$I$12+'ПЛАН ЧЕРН К2'!M28*СПРАВОЧНИК!$J$12+'ПЛАН ЧЕРН К2'!N28*СПРАВОЧНИК!$H$13+'ПЛАН ЧЕРН К2'!O28*СПРАВОЧНИК!$I$13+'ПЛАН ЧЕРН К2'!P28*СПРАВОЧНИК!$J$13+'ПЛАН ЧЕРН К2'!Q28*СПРАВОЧНИК!$H$14+'ПЛАН ЧЕРН К2'!R28*СПРАВОЧНИК!$I$14+'ПЛАН ЧЕРН К2'!S28*СПРАВОЧНИК!$J$14+'ПЛАН ЧЕРН К2'!T28*СПРАВОЧНИК!$H$15+'ПЛАН ЧЕРН К2'!U28*СПРАВОЧНИК!$I$15+'ПЛАН ЧЕРН К2'!V28*СПРАВОЧНИК!$J$15</f>
        <v>0</v>
      </c>
      <c r="AU37" s="40">
        <f>('ФАКТ ЧЕРН К2'!B28)*СПРАВОЧНИК!$H$9+('ФАКТ ЧЕРН К2'!C28)*СПРАВОЧНИК!$I$9+('ФАКТ ЧЕРН К2'!D28)*СПРАВОЧНИК!$J$9+('ФАКТ ЧЕРН К2'!E28)*СПРАВОЧНИК!$H$10+('ФАКТ ЧЕРН К2'!F28)*СПРАВОЧНИК!$I$10+('ФАКТ ЧЕРН К2'!G28)*СПРАВОЧНИК!$J$10+('ФАКТ ЧЕРН К2'!H28)*СПРАВОЧНИК!$H$11+('ФАКТ ЧЕРН К2'!I28)*СПРАВОЧНИК!$I$11+('ФАКТ ЧЕРН К2'!J28)*СПРАВОЧНИК!$J$11+('ФАКТ ЧЕРН К2'!K28)*СПРАВОЧНИК!$H$12+('ФАКТ ЧЕРН К2'!L28)*СПРАВОЧНИК!$I$12+('ФАКТ ЧЕРН К2'!M28)*СПРАВОЧНИК!$J$12+('ФАКТ ЧЕРН К2'!N28)*СПРАВОЧНИК!$H$13+('ФАКТ ЧЕРН К2'!O28)*СПРАВОЧНИК!$I$13+('ФАКТ ЧЕРН К2'!P28)*СПРАВОЧНИК!$J$13+('ФАКТ ЧЕРН К2'!Q28)*СПРАВОЧНИК!$H$14+('ФАКТ ЧЕРН К2'!R28)*СПРАВОЧНИК!$I$14+('ФАКТ ЧЕРН К2'!S28)*СПРАВОЧНИК!$J$14+('ФАКТ ЧЕРН К2'!T28)*СПРАВОЧНИК!$H$15+('ФАКТ ЧЕРН К2'!U28)*СПРАВОЧНИК!$I$15+('ФАКТ ЧЕРН К2'!V28)*СПРАВОЧНИК!$J$15</f>
        <v>0</v>
      </c>
      <c r="AY37" s="18">
        <f t="shared" si="20"/>
        <v>46335</v>
      </c>
      <c r="AZ37" s="37">
        <f>'ПЛАН ЧИСТ К2'!B28*СПРАВОЧНИК!$L$9+'ПЛАН ЧИСТ К2'!C28*СПРАВОЧНИК!$M$9+'ПЛАН ЧИСТ К2'!D28*СПРАВОЧНИК!$N$9+'ПЛАН ЧИСТ К2'!E28*СПРАВОЧНИК!$O$9+'ПЛАН ЧИСТ К2'!F28*СПРАВОЧНИК!$L$10+'ПЛАН ЧИСТ К2'!G28*СПРАВОЧНИК!$M$10+'ПЛАН ЧИСТ К2'!H28*СПРАВОЧНИК!$N$10+'ПЛАН ЧИСТ К2'!I28*СПРАВОЧНИК!$L$11+'ПЛАН ЧИСТ К2'!J28*СПРАВОЧНИК!$M$11+'ПЛАН ЧИСТ К2'!K28*СПРАВОЧНИК!$N$11+'ПЛАН ЧИСТ К2'!L28*СПРАВОЧНИК!$L$12+'ПЛАН ЧИСТ К2'!M28*СПРАВОЧНИК!$M$12+'ПЛАН ЧИСТ К2'!N28*СПРАВОЧНИК!$N$12+'ПЛАН ЧИСТ К2'!O28*СПРАВОЧНИК!$L$13+'ПЛАН ЧИСТ К2'!P28*СПРАВОЧНИК!$M$13+'ПЛАН ЧИСТ К2'!Q28*СПРАВОЧНИК!$N$13+'ПЛАН ЧИСТ К2'!R28*СПРАВОЧНИК!$L$14+'ПЛАН ЧИСТ К2'!S28*СПРАВОЧНИК!$M$14+'ПЛАН ЧИСТ К2'!T28*СПРАВОЧНИК!$N$14+'ПЛАН ЧИСТ К2'!U28*СПРАВОЧНИК!$L$15+'ПЛАН ЧИСТ К2'!V28*СПРАВОЧНИК!$M$15+'ПЛАН ЧИСТ К2'!W28*СПРАВОЧНИК!$N$15</f>
        <v>0</v>
      </c>
      <c r="BA37" s="40">
        <f>('ФАКТ ЧИСТ К2'!B28)*СПРАВОЧНИК!$L$9+('ФАКТ ЧИСТ К2'!C28)*СПРАВОЧНИК!$M$9+('ФАКТ ЧИСТ К2'!D28)*СПРАВОЧНИК!$N$9+('ФАКТ ЧИСТ К2'!E28)*СПРАВОЧНИК!$O$9+('ФАКТ ЧИСТ К2'!F28)*СПРАВОЧНИК!$L$10+('ФАКТ ЧИСТ К2'!G28)*СПРАВОЧНИК!$M$10+('ФАКТ ЧИСТ К2'!H28)*СПРАВОЧНИК!$N$10+('ФАКТ ЧИСТ К2'!I28)*СПРАВОЧНИК!$L$11+('ФАКТ ЧИСТ К2'!J28)*СПРАВОЧНИК!$M$11+('ФАКТ ЧИСТ К2'!K28)*СПРАВОЧНИК!$N$11+('ФАКТ ЧИСТ К2'!L28)*СПРАВОЧНИК!$L$12+('ФАКТ ЧИСТ К2'!M28)*СПРАВОЧНИК!$M$12+('ФАКТ ЧИСТ К2'!N28)*СПРАВОЧНИК!$N$12+('ФАКТ ЧИСТ К2'!O28)*СПРАВОЧНИК!$L$13+('ФАКТ ЧИСТ К2'!P28)*СПРАВОЧНИК!$M$13+('ФАКТ ЧИСТ К2'!Q28)*СПРАВОЧНИК!$N$13+('ФАКТ ЧИСТ К2'!R28)*СПРАВОЧНИК!$L$14+('ФАКТ ЧИСТ К2'!S28)*СПРАВОЧНИК!$M$14+('ФАКТ ЧИСТ К2'!T28)*СПРАВОЧНИК!$N$14+('ФАКТ ЧИСТ К2'!U28)*СПРАВОЧНИК!$L$15+('ФАКТ ЧИСТ К2'!V28)*СПРАВОЧНИК!$M$15+('ФАКТ ЧИСТ К2'!W28)*СПРАВОЧНИК!$N$15</f>
        <v>0</v>
      </c>
      <c r="BE37" s="18">
        <f t="shared" si="21"/>
        <v>46335</v>
      </c>
      <c r="BF37" s="37">
        <f>СПРАВОЧНИК!$E$9*('ПЛАН ЧЕРН К3'!B28*СПРАВОЧНИК!$H$9+'ПЛАН ЧЕРН К3'!C28*СПРАВОЧНИК!$I$9+'ПЛАН ЧЕРН К3'!D28*СПРАВОЧНИК!$J$9)+СПРАВОЧНИК!$E$10*('ПЛАН ЧЕРН К3'!E28*СПРАВОЧНИК!$H$10+'ПЛАН ЧЕРН К3'!F28*СПРАВОЧНИК!$I$10+'ПЛАН ЧЕРН К3'!G28*СПРАВОЧНИК!$J$10)+СПРАВОЧНИК!$E$11*('ПЛАН ЧЕРН К3'!H28*СПРАВОЧНИК!$H$11+'ПЛАН ЧЕРН К3'!I28*СПРАВОЧНИК!$I$11+'ПЛАН ЧЕРН К3'!J28*СПРАВОЧНИК!$J$11)+СПРАВОЧНИК!$E$12*('ПЛАН ЧЕРН К3'!K28*СПРАВОЧНИК!$H$12+'ПЛАН ЧЕРН К3'!L28*СПРАВОЧНИК!$I$12+'ПЛАН ЧЕРН К3'!M28*СПРАВОЧНИК!$J$12)+СПРАВОЧНИК!$E$13*('ПЛАН ЧЕРН К3'!N28*СПРАВОЧНИК!$H$13+'ПЛАН ЧЕРН К3'!O28*СПРАВОЧНИК!$I$13+'ПЛАН ЧЕРН К3'!P28*СПРАВОЧНИК!$J$13)+СПРАВОЧНИК!$E$14*('ПЛАН ЧЕРН К3'!Q28*СПРАВОЧНИК!$H$14+'ПЛАН ЧЕРН К3'!R28*СПРАВОЧНИК!$I$14+'ПЛАН ЧЕРН К3'!S28*СПРАВОЧНИК!$J$14)+СПРАВОЧНИК!$E$15*('ПЛАН ЧЕРН К3'!T28*СПРАВОЧНИК!$H$15+'ПЛАН ЧЕРН К3'!U28*СПРАВОЧНИК!$I$15+'ПЛАН ЧЕРН К3'!V28*СПРАВОЧНИК!$J$15)+СПРАВОЧНИК!$F$9*('ПЛАН ЧИСТ К3'!B28*СПРАВОЧНИК!$L$9+'ПЛАН ЧИСТ К3'!C28*СПРАВОЧНИК!$M$9+'ПЛАН ЧИСТ К3'!D28*СПРАВОЧНИК!$N$9+'ПЛАН ЧИСТ К3'!E28*СПРАВОЧНИК!$O$9)+СПРАВОЧНИК!$F$10*('ПЛАН ЧИСТ К3'!F28*СПРАВОЧНИК!$L$10+'ПЛАН ЧИСТ К3'!G28*СПРАВОЧНИК!$M$10+'ПЛАН ЧИСТ К3'!H28*СПРАВОЧНИК!$N$10)+СПРАВОЧНИК!$F$11*('ПЛАН ЧИСТ К3'!I28*СПРАВОЧНИК!$L$11+'ПЛАН ЧИСТ К3'!J28*СПРАВОЧНИК!$M$11+'ПЛАН ЧИСТ К3'!K28*СПРАВОЧНИК!$N$11)+СПРАВОЧНИК!$F$12*('ПЛАН ЧИСТ К3'!L28*СПРАВОЧНИК!$L$12+'ПЛАН ЧИСТ К3'!M28*СПРАВОЧНИК!$M$12+'ПЛАН ЧИСТ К3'!N28*СПРАВОЧНИК!$N$12)+СПРАВОЧНИК!$F$13*('ПЛАН ЧИСТ К3'!O28*СПРАВОЧНИК!$L$13+'ПЛАН ЧИСТ К3'!P28*СПРАВОЧНИК!$M$13+'ПЛАН ЧИСТ К3'!Q28*СПРАВОЧНИК!$N$13)+СПРАВОЧНИК!$F$14*('ПЛАН ЧИСТ К3'!R28*СПРАВОЧНИК!$L$14+'ПЛАН ЧИСТ К3'!S28*СПРАВОЧНИК!$M$14+'ПЛАН ЧИСТ К3'!T28*СПРАВОЧНИК!$N$14)+СПРАВОЧНИК!$F$15*('ПЛАН ЧИСТ К3'!U28*СПРАВОЧНИК!$L$15+'ПЛАН ЧИСТ К3'!V28*СПРАВОЧНИК!$M$15+'ПЛАН ЧИСТ К3'!W28*СПРАВОЧНИК!$N$15)</f>
        <v>0</v>
      </c>
      <c r="BG37" s="40">
        <f>СПРАВОЧНИК!$E$9*(('ФАКТ ЧЕРН К3'!B28)*СПРАВОЧНИК!$H$9+('ФАКТ ЧЕРН К3'!C28)*СПРАВОЧНИК!$I$9+('ФАКТ ЧЕРН К3'!D28)*СПРАВОЧНИК!$J$9)+СПРАВОЧНИК!$E$10*(('ФАКТ ЧЕРН К3'!E28)*СПРАВОЧНИК!$H$10+('ФАКТ ЧЕРН К3'!F28)*СПРАВОЧНИК!$I$10+('ФАКТ ЧЕРН К3'!G28)*СПРАВОЧНИК!$J$10)+СПРАВОЧНИК!$E$11*(('ФАКТ ЧЕРН К3'!H28)*СПРАВОЧНИК!$H$11+('ФАКТ ЧЕРН К3'!I28)*СПРАВОЧНИК!$I$11+('ФАКТ ЧЕРН К3'!J28)*СПРАВОЧНИК!$J$11)+СПРАВОЧНИК!$E$12*(('ФАКТ ЧЕРН К3'!K28)*СПРАВОЧНИК!$H$12+('ФАКТ ЧЕРН К3'!L28)*СПРАВОЧНИК!$I$12+('ФАКТ ЧЕРН К3'!M28)*СПРАВОЧНИК!$J$12)+СПРАВОЧНИК!$E$13*(('ФАКТ ЧЕРН К3'!N28)*СПРАВОЧНИК!$H$13+('ФАКТ ЧЕРН К3'!O28)*СПРАВОЧНИК!$I$13+('ФАКТ ЧЕРН К3'!P28)*СПРАВОЧНИК!$J$13)+СПРАВОЧНИК!$E$14*(('ФАКТ ЧЕРН К3'!Q28)*СПРАВОЧНИК!$H$14+('ФАКТ ЧЕРН К3'!R28)*СПРАВОЧНИК!$I$14+('ФАКТ ЧЕРН К3'!S28)*СПРАВОЧНИК!$J$14)+СПРАВОЧНИК!$E$15*(('ФАКТ ЧЕРН К3'!T28)*СПРАВОЧНИК!$H$15+('ФАКТ ЧЕРН К3'!U28)*СПРАВОЧНИК!$I$15+('ФАКТ ЧЕРН К3'!V28)*СПРАВОЧНИК!$J$15)+СПРАВОЧНИК!$F$9*(('ФАКТ ЧИСТ К3'!B28)*СПРАВОЧНИК!$L$9+('ФАКТ ЧИСТ К3'!C28)*СПРАВОЧНИК!$M$9+('ФАКТ ЧИСТ К3'!D28)*СПРАВОЧНИК!$N$9+('ФАКТ ЧИСТ К3'!E28)*СПРАВОЧНИК!$O$9)+СПРАВОЧНИК!$F$10*(('ФАКТ ЧИСТ К3'!F28)*СПРАВОЧНИК!$L$10+('ФАКТ ЧИСТ К3'!G28)*СПРАВОЧНИК!$M$10+('ФАКТ ЧИСТ К3'!H28)*СПРАВОЧНИК!$N$10)+СПРАВОЧНИК!$F$11*(('ФАКТ ЧИСТ К3'!I28)*СПРАВОЧНИК!$L$11+('ФАКТ ЧИСТ К3'!J28)*СПРАВОЧНИК!$M$11+('ФАКТ ЧИСТ К3'!K28)*СПРАВОЧНИК!$N$11)+СПРАВОЧНИК!$F$12*(('ФАКТ ЧИСТ К3'!L28)*СПРАВОЧНИК!$L$12+('ФАКТ ЧИСТ К3'!M28)*СПРАВОЧНИК!$M$12+('ФАКТ ЧИСТ К3'!N28)*СПРАВОЧНИК!$N$12)+СПРАВОЧНИК!$F$13*(('ФАКТ ЧИСТ К3'!O28)*СПРАВОЧНИК!$L$13+('ФАКТ ЧИСТ К3'!P28)*СПРАВОЧНИК!$M$13+('ФАКТ ЧИСТ К3'!Q28)*СПРАВОЧНИК!$N$13)+СПРАВОЧНИК!$F$14*(('ФАКТ ЧИСТ К3'!R28)*СПРАВОЧНИК!$L$14+('ФАКТ ЧИСТ К3'!S28)*СПРАВОЧНИК!$M$14+('ФАКТ ЧИСТ К3'!T28)*СПРАВОЧНИК!$N$14)+СПРАВОЧНИК!$F$15*(('ФАКТ ЧИСТ К3'!U28)*СПРАВОЧНИК!$L$15+('ФАКТ ЧИСТ К3'!V28)*СПРАВОЧНИК!$M$15+('ФАКТ ЧИСТ К3'!W28)*СПРАВОЧНИК!$N$15)</f>
        <v>0</v>
      </c>
      <c r="BK37" s="18">
        <f t="shared" si="22"/>
        <v>46335</v>
      </c>
      <c r="BL37" s="37">
        <f>'ПЛАН ЧЕРН К3'!B28*СПРАВОЧНИК!$H$9+'ПЛАН ЧЕРН К3'!C28*СПРАВОЧНИК!$I$9+'ПЛАН ЧЕРН К3'!D28*СПРАВОЧНИК!$J$9+'ПЛАН ЧЕРН К3'!E28*СПРАВОЧНИК!$H$10+'ПЛАН ЧЕРН К3'!F28*СПРАВОЧНИК!$I$10+'ПЛАН ЧЕРН К3'!G28*СПРАВОЧНИК!$J$10+'ПЛАН ЧЕРН К3'!H28*СПРАВОЧНИК!$H$11+'ПЛАН ЧЕРН К3'!I28*СПРАВОЧНИК!$I$11+'ПЛАН ЧЕРН К3'!J28*СПРАВОЧНИК!$J$11+'ПЛАН ЧЕРН К3'!K28*СПРАВОЧНИК!$H$12+'ПЛАН ЧЕРН К3'!L28*СПРАВОЧНИК!$I$12+'ПЛАН ЧЕРН К3'!M28*СПРАВОЧНИК!$J$12+'ПЛАН ЧЕРН К3'!N28*СПРАВОЧНИК!$H$13+'ПЛАН ЧЕРН К3'!O28*СПРАВОЧНИК!$I$13+'ПЛАН ЧЕРН К3'!P28*СПРАВОЧНИК!$J$13+'ПЛАН ЧЕРН К3'!Q28*СПРАВОЧНИК!$H$14+'ПЛАН ЧЕРН К3'!R28*СПРАВОЧНИК!$I$14+'ПЛАН ЧЕРН К3'!S28*СПРАВОЧНИК!$J$14+'ПЛАН ЧЕРН К3'!T28*СПРАВОЧНИК!$H$15+'ПЛАН ЧЕРН К3'!U28*СПРАВОЧНИК!$I$15+'ПЛАН ЧЕРН К3'!V28*СПРАВОЧНИК!$J$15</f>
        <v>0</v>
      </c>
      <c r="BM37" s="40">
        <f>('ФАКТ ЧЕРН К3'!B28)*СПРАВОЧНИК!$H$9+('ФАКТ ЧЕРН К3'!C28)*СПРАВОЧНИК!$I$9+('ФАКТ ЧЕРН К3'!D28)*СПРАВОЧНИК!$J$9+('ФАКТ ЧЕРН К3'!E28)*СПРАВОЧНИК!$H$10+('ФАКТ ЧЕРН К3'!F28)*СПРАВОЧНИК!$I$10+('ФАКТ ЧЕРН К3'!G28)*СПРАВОЧНИК!$J$10+('ФАКТ ЧЕРН К3'!H28)*СПРАВОЧНИК!$H$11+('ФАКТ ЧЕРН К3'!I28)*СПРАВОЧНИК!$I$11+('ФАКТ ЧЕРН К3'!J28)*СПРАВОЧНИК!$J$11+('ФАКТ ЧЕРН К3'!K28)*СПРАВОЧНИК!$H$12+('ФАКТ ЧЕРН К3'!L28)*СПРАВОЧНИК!$I$12+('ФАКТ ЧЕРН К3'!M28)*СПРАВОЧНИК!$J$12+('ФАКТ ЧЕРН К3'!N28)*СПРАВОЧНИК!$H$13+('ФАКТ ЧЕРН К3'!O28)*СПРАВОЧНИК!$I$13+('ФАКТ ЧЕРН К3'!P28)*СПРАВОЧНИК!$J$13+('ФАКТ ЧЕРН К3'!Q28)*СПРАВОЧНИК!$H$14+('ФАКТ ЧЕРН К3'!R28)*СПРАВОЧНИК!$I$14+('ФАКТ ЧЕРН К3'!S28)*СПРАВОЧНИК!$J$14+('ФАКТ ЧЕРН К3'!T28)*СПРАВОЧНИК!$H$15+('ФАКТ ЧЕРН К3'!U28)*СПРАВОЧНИК!$I$15+('ФАКТ ЧЕРН К3'!V28)*СПРАВОЧНИК!$J$15</f>
        <v>0</v>
      </c>
      <c r="BQ37" s="18">
        <f t="shared" si="23"/>
        <v>46335</v>
      </c>
      <c r="BR37" s="37">
        <f>'ПЛАН ЧИСТ К3'!B28*СПРАВОЧНИК!$L$9+'ПЛАН ЧИСТ К3'!C28*СПРАВОЧНИК!$M$9+'ПЛАН ЧИСТ К3'!D28*СПРАВОЧНИК!$N$9+'ПЛАН ЧИСТ К3'!E28*СПРАВОЧНИК!$O$9+'ПЛАН ЧИСТ К3'!F28*СПРАВОЧНИК!$L$10+'ПЛАН ЧИСТ К3'!G28*СПРАВОЧНИК!$M$10+'ПЛАН ЧИСТ К3'!H28*СПРАВОЧНИК!$N$10+'ПЛАН ЧИСТ К3'!I28*СПРАВОЧНИК!$L$11+'ПЛАН ЧИСТ К3'!J28*СПРАВОЧНИК!$M$11+'ПЛАН ЧИСТ К3'!K28*СПРАВОЧНИК!$N$11+'ПЛАН ЧИСТ К3'!L28*СПРАВОЧНИК!$L$12+'ПЛАН ЧИСТ К3'!M28*СПРАВОЧНИК!$M$12+'ПЛАН ЧИСТ К3'!N28*СПРАВОЧНИК!$N$12+'ПЛАН ЧИСТ К3'!O28*СПРАВОЧНИК!$L$13+'ПЛАН ЧИСТ К3'!P28*СПРАВОЧНИК!$M$13+'ПЛАН ЧИСТ К3'!Q28*СПРАВОЧНИК!$N$13+'ПЛАН ЧИСТ К3'!R28*СПРАВОЧНИК!$L$14+'ПЛАН ЧИСТ К3'!S28*СПРАВОЧНИК!$M$14+'ПЛАН ЧИСТ К3'!T28*СПРАВОЧНИК!$N$14+'ПЛАН ЧИСТ К3'!U28*СПРАВОЧНИК!$L$15+'ПЛАН ЧИСТ К3'!V28*СПРАВОЧНИК!$M$15+'ПЛАН ЧИСТ К3'!W28*СПРАВОЧНИК!$N$15</f>
        <v>0</v>
      </c>
      <c r="BS37" s="40">
        <f>('ФАКТ ЧИСТ К3'!B28)*СПРАВОЧНИК!$L$9+('ФАКТ ЧИСТ К3'!C28)*СПРАВОЧНИК!$M$9+('ФАКТ ЧИСТ К3'!D28)*СПРАВОЧНИК!$N$9+('ФАКТ ЧИСТ К3'!E28)*СПРАВОЧНИК!$O$9+('ФАКТ ЧИСТ К3'!F28)*СПРАВОЧНИК!$L$10+('ФАКТ ЧИСТ К3'!G28)*СПРАВОЧНИК!$M$10+('ФАКТ ЧИСТ К3'!H28)*СПРАВОЧНИК!$N$10+('ФАКТ ЧИСТ К3'!I28)*СПРАВОЧНИК!$L$11+('ФАКТ ЧИСТ К3'!J28)*СПРАВОЧНИК!$M$11+('ФАКТ ЧИСТ К3'!K28)*СПРАВОЧНИК!$N$11+('ФАКТ ЧИСТ К3'!L28)*СПРАВОЧНИК!$L$12+('ФАКТ ЧИСТ К3'!M28)*СПРАВОЧНИК!$M$12+('ФАКТ ЧИСТ К3'!N28)*СПРАВОЧНИК!$N$12+('ФАКТ ЧИСТ К3'!O28)*СПРАВОЧНИК!$L$13+('ФАКТ ЧИСТ К3'!P28)*СПРАВОЧНИК!$M$13+('ФАКТ ЧИСТ К3'!Q28)*СПРАВОЧНИК!$N$13+('ФАКТ ЧИСТ К3'!R28)*СПРАВОЧНИК!$L$14+('ФАКТ ЧИСТ К3'!S28)*СПРАВОЧНИК!$M$14+('ФАКТ ЧИСТ К3'!T28)*СПРАВОЧНИК!$N$14+('ФАКТ ЧИСТ К3'!U28)*СПРАВОЧНИК!$L$15+('ФАКТ ЧИСТ К3'!V28)*СПРАВОЧНИК!$M$15+('ФАКТ ЧИСТ К3'!W28)*СПРАВОЧНИК!$N$15</f>
        <v>0</v>
      </c>
      <c r="BW37" s="18">
        <f t="shared" si="24"/>
        <v>46335</v>
      </c>
      <c r="BX37" s="37">
        <f t="shared" si="0"/>
        <v>0</v>
      </c>
      <c r="BY37" s="40">
        <f t="shared" si="1"/>
        <v>0</v>
      </c>
      <c r="CC37" s="18">
        <f t="shared" si="25"/>
        <v>46335</v>
      </c>
      <c r="CD37" s="37">
        <f t="shared" si="2"/>
        <v>0</v>
      </c>
      <c r="CE37" s="40">
        <f t="shared" si="3"/>
        <v>0</v>
      </c>
      <c r="CI37" s="18">
        <f t="shared" si="26"/>
        <v>46335</v>
      </c>
      <c r="CJ37" s="37">
        <f t="shared" si="4"/>
        <v>0</v>
      </c>
      <c r="CK37" s="40">
        <f t="shared" si="5"/>
        <v>0</v>
      </c>
      <c r="CO37" s="18">
        <f t="shared" si="27"/>
        <v>46335</v>
      </c>
      <c r="CP37" s="37">
        <f t="shared" si="6"/>
        <v>0</v>
      </c>
      <c r="CQ37" s="40">
        <f t="shared" si="7"/>
        <v>0</v>
      </c>
      <c r="CU37" s="18">
        <f t="shared" si="28"/>
        <v>46335</v>
      </c>
      <c r="CV37" s="37">
        <f t="shared" si="8"/>
        <v>0</v>
      </c>
      <c r="CW37" s="40">
        <f t="shared" si="9"/>
        <v>0</v>
      </c>
      <c r="DA37" s="18">
        <f t="shared" si="29"/>
        <v>46335</v>
      </c>
      <c r="DB37" s="37">
        <f t="shared" si="10"/>
        <v>0</v>
      </c>
      <c r="DC37" s="40">
        <f t="shared" si="11"/>
        <v>0</v>
      </c>
    </row>
    <row r="38" spans="3:107" x14ac:dyDescent="0.25">
      <c r="C38" s="18">
        <f t="shared" si="12"/>
        <v>46342</v>
      </c>
      <c r="D38" s="37">
        <f>СПРАВОЧНИК!$E$3*('ПЛАН ЧЕРН ПОДЗЕМ'!B29*СПРАВОЧНИК!$H$3+'ПЛАН ЧЕРН ПОДЗЕМ'!C29*СПРАВОЧНИК!$I$3+'ПЛАН ЧЕРН ПОДЗЕМ'!D29*СПРАВОЧНИК!$J$3)+СПРАВОЧНИК!$E$4*('ПЛАН ЧЕРН ПОДЗЕМ'!E29*СПРАВОЧНИК!$H$4+'ПЛАН ЧЕРН ПОДЗЕМ'!F29*СПРАВОЧНИК!$I$4+'ПЛАН ЧЕРН ПОДЗЕМ'!G29*СПРАВОЧНИК!$J$4)+СПРАВОЧНИК!$E$5*('ПЛАН ЧЕРН ПОДЗЕМ'!H29*СПРАВОЧНИК!$H$5+'ПЛАН ЧЕРН ПОДЗЕМ'!I29*СПРАВОЧНИК!$I$5+'ПЛАН ЧЕРН ПОДЗЕМ'!J29*СПРАВОЧНИК!$J$5)+СПРАВОЧНИК!$E$6*('ПЛАН ЧЕРН ПОДЗЕМ'!K29*СПРАВОЧНИК!$H$6+'ПЛАН ЧЕРН ПОДЗЕМ'!L29*СПРАВОЧНИК!$I$6+'ПЛАН ЧЕРН ПОДЗЕМ'!M29*СПРАВОЧНИК!$J$6)+СПРАВОЧНИК!$E$7*('ПЛАН ЧЕРН ПОДЗЕМ'!N29*СПРАВОЧНИК!$H$7+'ПЛАН ЧЕРН ПОДЗЕМ'!O29*СПРАВОЧНИК!$I$7+'ПЛАН ЧЕРН ПОДЗЕМ'!P29*СПРАВОЧНИК!$J$7)+СПРАВОЧНИК!$E$8*('ПЛАН ЧЕРН ПОДЗЕМ'!Q29*СПРАВОЧНИК!$H$8+'ПЛАН ЧЕРН ПОДЗЕМ'!R29*СПРАВОЧНИК!$I$8+'ПЛАН ЧЕРН ПОДЗЕМ'!S29*СПРАВОЧНИК!$J$8)+СПРАВОЧНИК!$F$3*('ПЛАН ЧИСТ ПОДЗЕМ'!B29*СПРАВОЧНИК!$L$3+'ПЛАН ЧИСТ ПОДЗЕМ'!C29*СПРАВОЧНИК!$M$3+'ПЛАН ЧИСТ ПОДЗЕМ'!D29*СПРАВОЧНИК!$N$3)+СПРАВОЧНИК!$F$4*('ПЛАН ЧИСТ ПОДЗЕМ'!E29*СПРАВОЧНИК!$L$4+'ПЛАН ЧИСТ ПОДЗЕМ'!F29*СПРАВОЧНИК!$M$4+'ПЛАН ЧИСТ ПОДЗЕМ'!G29*СПРАВОЧНИК!$N$4)+СПРАВОЧНИК!$F$5*('ПЛАН ЧИСТ ПОДЗЕМ'!H29*СПРАВОЧНИК!$L$5+'ПЛАН ЧИСТ ПОДЗЕМ'!I29*СПРАВОЧНИК!$M$5+'ПЛАН ЧИСТ ПОДЗЕМ'!J29*СПРАВОЧНИК!$N$5)+СПРАВОЧНИК!$F$6*('ПЛАН ЧИСТ ПОДЗЕМ'!K29*СПРАВОЧНИК!$L$6+'ПЛАН ЧИСТ ПОДЗЕМ'!L29*СПРАВОЧНИК!$M$6+'ПЛАН ЧИСТ ПОДЗЕМ'!M29*СПРАВОЧНИК!$N$6)+СПРАВОЧНИК!$F$7*('ПЛАН ЧИСТ ПОДЗЕМ'!N29*СПРАВОЧНИК!$L$7+'ПЛАН ЧИСТ ПОДЗЕМ'!O29*СПРАВОЧНИК!$M$7+'ПЛАН ЧИСТ ПОДЗЕМ'!P29*СПРАВОЧНИК!$N$7)+СПРАВОЧНИК!$F$8*('ПЛАН ЧИСТ ПОДЗЕМ'!Q29*СПРАВОЧНИК!$L$8+'ПЛАН ЧИСТ ПОДЗЕМ'!R29*СПРАВОЧНИК!$M$8+'ПЛАН ЧИСТ ПОДЗЕМ'!S29*СПРАВОЧНИК!$N$8)</f>
        <v>0</v>
      </c>
      <c r="E38" s="40">
        <f>СПРАВОЧНИК!$E$3*(('ФАКТ ЧЕРН ПОДЗЕМ'!B29)*СПРАВОЧНИК!$H$3+('ФАКТ ЧЕРН ПОДЗЕМ'!C29)*СПРАВОЧНИК!$I$3+('ФАКТ ЧЕРН ПОДЗЕМ'!D29)*СПРАВОЧНИК!$J$3)+СПРАВОЧНИК!$E$4*(('ФАКТ ЧЕРН ПОДЗЕМ'!E29)*СПРАВОЧНИК!$H$4+('ФАКТ ЧЕРН ПОДЗЕМ'!F29)*СПРАВОЧНИК!$I$4+('ФАКТ ЧЕРН ПОДЗЕМ'!G29)*СПРАВОЧНИК!$J$4)+СПРАВОЧНИК!$E$5*(('ФАКТ ЧЕРН ПОДЗЕМ'!H29)*СПРАВОЧНИК!$H$5+('ФАКТ ЧЕРН ПОДЗЕМ'!I29)*СПРАВОЧНИК!$I$5+('ФАКТ ЧЕРН ПОДЗЕМ'!J29)*СПРАВОЧНИК!$J$5)+СПРАВОЧНИК!$E$6*(('ФАКТ ЧЕРН ПОДЗЕМ'!K29)*СПРАВОЧНИК!$H$6+('ФАКТ ЧЕРН ПОДЗЕМ'!L29)*СПРАВОЧНИК!$I$6+('ФАКТ ЧЕРН ПОДЗЕМ'!M29)*СПРАВОЧНИК!$J$6)+СПРАВОЧНИК!$E$7*(('ФАКТ ЧЕРН ПОДЗЕМ'!N29)*СПРАВОЧНИК!$H$7+('ФАКТ ЧЕРН ПОДЗЕМ'!O29)*СПРАВОЧНИК!$I$7+('ФАКТ ЧЕРН ПОДЗЕМ'!P29)*СПРАВОЧНИК!$J$7)+СПРАВОЧНИК!$E$8*(('ФАКТ ЧЕРН ПОДЗЕМ'!Q29)*СПРАВОЧНИК!$H$8+('ФАКТ ЧЕРН ПОДЗЕМ'!R29)*СПРАВОЧНИК!$I$8+('ФАКТ ЧЕРН ПОДЗЕМ'!S29)*СПРАВОЧНИК!$J$8)+СПРАВОЧНИК!$F$3*(('ФАКТ ЧИСТ ПОДЗЕМ'!B29)*СПРАВОЧНИК!$L$3+('ФАКТ ЧИСТ ПОДЗЕМ'!C29)*СПРАВОЧНИК!$M$3+('ФАКТ ЧИСТ ПОДЗЕМ'!D29)*СПРАВОЧНИК!$N$3)+СПРАВОЧНИК!$F$4*(('ФАКТ ЧИСТ ПОДЗЕМ'!E29)*СПРАВОЧНИК!$L$4+('ФАКТ ЧИСТ ПОДЗЕМ'!F29)*СПРАВОЧНИК!$M$4+('ФАКТ ЧИСТ ПОДЗЕМ'!G29)*СПРАВОЧНИК!$N$4)+СПРАВОЧНИК!$F$5*(('ФАКТ ЧИСТ ПОДЗЕМ'!H29)*СПРАВОЧНИК!$L$5+('ФАКТ ЧИСТ ПОДЗЕМ'!I29)*СПРАВОЧНИК!$M$5+('ФАКТ ЧИСТ ПОДЗЕМ'!J29)*СПРАВОЧНИК!$N$5)+СПРАВОЧНИК!$F$6*(('ФАКТ ЧИСТ ПОДЗЕМ'!K29)*СПРАВОЧНИК!$L$6+('ФАКТ ЧИСТ ПОДЗЕМ'!L29)*СПРАВОЧНИК!$M$6+('ФАКТ ЧИСТ ПОДЗЕМ'!M29)*СПРАВОЧНИК!$N$6)+СПРАВОЧНИК!$F$7*(('ФАКТ ЧИСТ ПОДЗЕМ'!N29)*СПРАВОЧНИК!$L$7+('ФАКТ ЧИСТ ПОДЗЕМ'!O29)*СПРАВОЧНИК!$M$7+('ФАКТ ЧИСТ ПОДЗЕМ'!P29)*СПРАВОЧНИК!$N$7)+СПРАВОЧНИК!$F$8*(('ФАКТ ЧИСТ ПОДЗЕМ'!Q29)*СПРАВОЧНИК!$L$8+('ФАКТ ЧИСТ ПОДЗЕМ'!R29)*СПРАВОЧНИК!$M$8+('ФАКТ ЧИСТ ПОДЗЕМ'!S29)*СПРАВОЧНИК!$N$8)</f>
        <v>0</v>
      </c>
      <c r="I38" s="18">
        <f t="shared" si="13"/>
        <v>46342</v>
      </c>
      <c r="J38" s="37">
        <f>'ПЛАН ЧЕРН ПОДЗЕМ'!B29*СПРАВОЧНИК!$H$3+'ПЛАН ЧЕРН ПОДЗЕМ'!C29*СПРАВОЧНИК!$I$3+'ПЛАН ЧЕРН ПОДЗЕМ'!D29*СПРАВОЧНИК!$J$3+'ПЛАН ЧЕРН ПОДЗЕМ'!E29*СПРАВОЧНИК!$H$4+'ПЛАН ЧЕРН ПОДЗЕМ'!F29*СПРАВОЧНИК!$I$4+'ПЛАН ЧЕРН ПОДЗЕМ'!G29*СПРАВОЧНИК!$J$4+'ПЛАН ЧЕРН ПОДЗЕМ'!H29*СПРАВОЧНИК!$H$5+'ПЛАН ЧЕРН ПОДЗЕМ'!I29*СПРАВОЧНИК!$I$5+'ПЛАН ЧЕРН ПОДЗЕМ'!J29*СПРАВОЧНИК!$J$5+'ПЛАН ЧЕРН ПОДЗЕМ'!K29*СПРАВОЧНИК!$H$6+'ПЛАН ЧЕРН ПОДЗЕМ'!L29*СПРАВОЧНИК!$I$6+'ПЛАН ЧЕРН ПОДЗЕМ'!M29*СПРАВОЧНИК!$J$6+'ПЛАН ЧЕРН ПОДЗЕМ'!N29*СПРАВОЧНИК!$H$7+'ПЛАН ЧЕРН ПОДЗЕМ'!O29*СПРАВОЧНИК!$I$7+'ПЛАН ЧЕРН ПОДЗЕМ'!P29*СПРАВОЧНИК!$J$7+'ПЛАН ЧЕРН ПОДЗЕМ'!Q29*СПРАВОЧНИК!$H$8+'ПЛАН ЧЕРН ПОДЗЕМ'!R29*СПРАВОЧНИК!$I$8+'ПЛАН ЧЕРН ПОДЗЕМ'!S29*СПРАВОЧНИК!$J$8</f>
        <v>0</v>
      </c>
      <c r="K38" s="40">
        <f>('ФАКТ ЧЕРН ПОДЗЕМ'!B29)*СПРАВОЧНИК!$H$3+('ФАКТ ЧЕРН ПОДЗЕМ'!C29)*СПРАВОЧНИК!$I$3+('ФАКТ ЧЕРН ПОДЗЕМ'!D29)*СПРАВОЧНИК!$J$3+('ФАКТ ЧЕРН ПОДЗЕМ'!E29)*СПРАВОЧНИК!$H$4+('ФАКТ ЧЕРН ПОДЗЕМ'!F29)*СПРАВОЧНИК!$I$4+('ФАКТ ЧЕРН ПОДЗЕМ'!G29)*СПРАВОЧНИК!$J$4+('ФАКТ ЧЕРН ПОДЗЕМ'!H29)*СПРАВОЧНИК!$H$5+('ФАКТ ЧЕРН ПОДЗЕМ'!I29)*СПРАВОЧНИК!$I$5+('ФАКТ ЧЕРН ПОДЗЕМ'!J29)*СПРАВОЧНИК!$J$5+('ФАКТ ЧЕРН ПОДЗЕМ'!K29)*СПРАВОЧНИК!$H$6+('ФАКТ ЧЕРН ПОДЗЕМ'!L29)*СПРАВОЧНИК!$I$6+('ФАКТ ЧЕРН ПОДЗЕМ'!M29)*СПРАВОЧНИК!$J$6+('ФАКТ ЧЕРН ПОДЗЕМ'!N29)*СПРАВОЧНИК!$H$7+('ФАКТ ЧЕРН ПОДЗЕМ'!O29)*СПРАВОЧНИК!$I$7+('ФАКТ ЧЕРН ПОДЗЕМ'!P29)*СПРАВОЧНИК!$J$7+('ФАКТ ЧЕРН ПОДЗЕМ'!Q29)*СПРАВОЧНИК!$H$8+('ФАКТ ЧЕРН ПОДЗЕМ'!R29)*СПРАВОЧНИК!$I$8+('ФАКТ ЧЕРН ПОДЗЕМ'!S29)*СПРАВОЧНИК!$J$8</f>
        <v>0</v>
      </c>
      <c r="O38" s="18">
        <f t="shared" si="14"/>
        <v>46342</v>
      </c>
      <c r="P38" s="37">
        <f>'ПЛАН ЧИСТ ПОДЗЕМ'!B29*СПРАВОЧНИК!$L$3+'ПЛАН ЧИСТ ПОДЗЕМ'!C29*СПРАВОЧНИК!$M$3+'ПЛАН ЧИСТ ПОДЗЕМ'!D29*СПРАВОЧНИК!$N$3+'ПЛАН ЧИСТ ПОДЗЕМ'!E29*СПРАВОЧНИК!$L$4+'ПЛАН ЧИСТ ПОДЗЕМ'!F29*СПРАВОЧНИК!$M$4+'ПЛАН ЧИСТ ПОДЗЕМ'!G29*СПРАВОЧНИК!$N$4+'ПЛАН ЧИСТ ПОДЗЕМ'!H29*СПРАВОЧНИК!$L$5+'ПЛАН ЧИСТ ПОДЗЕМ'!I29*СПРАВОЧНИК!$M$5+'ПЛАН ЧИСТ ПОДЗЕМ'!J29*СПРАВОЧНИК!$N$5+'ПЛАН ЧИСТ ПОДЗЕМ'!K29*СПРАВОЧНИК!$L$6+'ПЛАН ЧИСТ ПОДЗЕМ'!L29*СПРАВОЧНИК!$M$6+'ПЛАН ЧИСТ ПОДЗЕМ'!M29*СПРАВОЧНИК!$N$6+'ПЛАН ЧИСТ ПОДЗЕМ'!N29*СПРАВОЧНИК!$L$7+'ПЛАН ЧИСТ ПОДЗЕМ'!O29*СПРАВОЧНИК!$M$7+'ПЛАН ЧИСТ ПОДЗЕМ'!P29*СПРАВОЧНИК!$N$7+'ПЛАН ЧИСТ ПОДЗЕМ'!Q29*СПРАВОЧНИК!$L$8+'ПЛАН ЧИСТ ПОДЗЕМ'!R29*СПРАВОЧНИК!$M$8+'ПЛАН ЧИСТ ПОДЗЕМ'!S29*СПРАВОЧНИК!$N$8</f>
        <v>0</v>
      </c>
      <c r="Q38" s="40">
        <f>('ФАКТ ЧИСТ ПОДЗЕМ'!B29)*СПРАВОЧНИК!$L$3+('ФАКТ ЧИСТ ПОДЗЕМ'!C29)*СПРАВОЧНИК!$M$3+('ФАКТ ЧИСТ ПОДЗЕМ'!D29)*СПРАВОЧНИК!$N$3+('ФАКТ ЧИСТ ПОДЗЕМ'!E29)*СПРАВОЧНИК!$L$4+('ФАКТ ЧИСТ ПОДЗЕМ'!F29)*СПРАВОЧНИК!$M$4+('ФАКТ ЧИСТ ПОДЗЕМ'!G29)*СПРАВОЧНИК!$N$4+('ФАКТ ЧИСТ ПОДЗЕМ'!H29)*СПРАВОЧНИК!$L$5+('ФАКТ ЧИСТ ПОДЗЕМ'!I29)*СПРАВОЧНИК!$M$5+('ФАКТ ЧИСТ ПОДЗЕМ'!J29)*СПРАВОЧНИК!$N$5+('ФАКТ ЧИСТ ПОДЗЕМ'!K29)*СПРАВОЧНИК!$L$6+('ФАКТ ЧИСТ ПОДЗЕМ'!L29)*СПРАВОЧНИК!$M$6+('ФАКТ ЧИСТ ПОДЗЕМ'!M29)*СПРАВОЧНИК!$N$6+('ФАКТ ЧИСТ ПОДЗЕМ'!N29)*СПРАВОЧНИК!$L$7+('ФАКТ ЧИСТ ПОДЗЕМ'!O29)*СПРАВОЧНИК!$M$7+('ФАКТ ЧИСТ ПОДЗЕМ'!P29)*СПРАВОЧНИК!$N$7+('ФАКТ ЧИСТ ПОДЗЕМ'!Q29)*СПРАВОЧНИК!$L$8+('ФАКТ ЧИСТ ПОДЗЕМ'!R29)*СПРАВОЧНИК!$M$8+('ФАКТ ЧИСТ ПОДЗЕМ'!S29)*СПРАВОЧНИК!$N$8</f>
        <v>0</v>
      </c>
      <c r="U38" s="18">
        <f t="shared" si="15"/>
        <v>46342</v>
      </c>
      <c r="V38" s="37">
        <f>СПРАВОЧНИК!$E$9*('ПЛАН ЧЕРН К1'!B29*СПРАВОЧНИК!$H$9+'ПЛАН ЧЕРН К1'!C29*СПРАВОЧНИК!$I$9+'ПЛАН ЧЕРН К1'!D29*СПРАВОЧНИК!$J$9)+СПРАВОЧНИК!$E$10*('ПЛАН ЧЕРН К1'!E29*СПРАВОЧНИК!$H$10+'ПЛАН ЧЕРН К1'!F29*СПРАВОЧНИК!$I$10+'ПЛАН ЧЕРН К1'!G29*СПРАВОЧНИК!$J$10)+СПРАВОЧНИК!$E$11*('ПЛАН ЧЕРН К1'!H29*СПРАВОЧНИК!$H$11+'ПЛАН ЧЕРН К1'!I29*СПРАВОЧНИК!$I$11+'ПЛАН ЧЕРН К1'!J29*СПРАВОЧНИК!$J$11)+СПРАВОЧНИК!$E$12*('ПЛАН ЧЕРН К1'!K29*СПРАВОЧНИК!$H$12+'ПЛАН ЧЕРН К1'!L29*СПРАВОЧНИК!$I$12+'ПЛАН ЧЕРН К1'!M29*СПРАВОЧНИК!$J$12)+СПРАВОЧНИК!$E$13*('ПЛАН ЧЕРН К1'!N29*СПРАВОЧНИК!$H$13+'ПЛАН ЧЕРН К1'!O29*СПРАВОЧНИК!$I$13+'ПЛАН ЧЕРН К1'!P29*СПРАВОЧНИК!$J$13)+СПРАВОЧНИК!$E$14*('ПЛАН ЧЕРН К1'!Q29*СПРАВОЧНИК!$H$14+'ПЛАН ЧЕРН К1'!R29*СПРАВОЧНИК!$I$14+'ПЛАН ЧЕРН К1'!S29*СПРАВОЧНИК!$J$14)+СПРАВОЧНИК!$E$15*('ПЛАН ЧЕРН К1'!T29*СПРАВОЧНИК!$H$15+'ПЛАН ЧЕРН К1'!U29*СПРАВОЧНИК!$I$15+'ПЛАН ЧЕРН К1'!V29*СПРАВОЧНИК!$J$15)+СПРАВОЧНИК!$F$9*('ПЛАН ЧИСТ К1'!B29*СПРАВОЧНИК!$L$9+'ПЛАН ЧИСТ К1'!C29*СПРАВОЧНИК!$M$9+'ПЛАН ЧИСТ К1'!D29*СПРАВОЧНИК!$N$9+'ПЛАН ЧИСТ К1'!E29*СПРАВОЧНИК!$O$9)+СПРАВОЧНИК!$F$10*('ПЛАН ЧИСТ К1'!F29*СПРАВОЧНИК!$L$10+'ПЛАН ЧИСТ К1'!G29*СПРАВОЧНИК!$M$10+'ПЛАН ЧИСТ К1'!H29*СПРАВОЧНИК!$N$10)+СПРАВОЧНИК!$F$11*('ПЛАН ЧИСТ К1'!I29*СПРАВОЧНИК!$L$11+'ПЛАН ЧИСТ К1'!J29*СПРАВОЧНИК!$M$11+'ПЛАН ЧИСТ К1'!K29*СПРАВОЧНИК!$N$11)+СПРАВОЧНИК!$F$12*('ПЛАН ЧИСТ К1'!L29*СПРАВОЧНИК!$L$12+'ПЛАН ЧИСТ К1'!M29*СПРАВОЧНИК!$M$12+'ПЛАН ЧИСТ К1'!N29*СПРАВОЧНИК!$N$12)+СПРАВОЧНИК!$F$13*('ПЛАН ЧИСТ К1'!O29*СПРАВОЧНИК!$L$13+'ПЛАН ЧИСТ К1'!P29*СПРАВОЧНИК!$M$13+'ПЛАН ЧИСТ К1'!Q29*СПРАВОЧНИК!$N$13)+СПРАВОЧНИК!$F$14*('ПЛАН ЧИСТ К1'!R29*СПРАВОЧНИК!$L$14+'ПЛАН ЧИСТ К1'!S29*СПРАВОЧНИК!$M$14+'ПЛАН ЧИСТ К1'!T29*СПРАВОЧНИК!$N$14)+СПРАВОЧНИК!$F$15*('ПЛАН ЧИСТ К1'!U29*СПРАВОЧНИК!$L$15+'ПЛАН ЧИСТ К1'!V29*СПРАВОЧНИК!$M$15+'ПЛАН ЧИСТ К1'!W29*СПРАВОЧНИК!$N$15)</f>
        <v>0</v>
      </c>
      <c r="W38" s="40">
        <f>СПРАВОЧНИК!$E$9*(('ФАКТ ЧЕРН К1'!B29)*СПРАВОЧНИК!$H$9+('ФАКТ ЧЕРН К1'!C29)*СПРАВОЧНИК!$I$9+('ФАКТ ЧЕРН К1'!D29)*СПРАВОЧНИК!$J$9)+СПРАВОЧНИК!$E$10*(('ФАКТ ЧЕРН К1'!E29)*СПРАВОЧНИК!$H$10+('ФАКТ ЧЕРН К1'!F29)*СПРАВОЧНИК!$I$10+('ФАКТ ЧЕРН К1'!G29)*СПРАВОЧНИК!$J$10)+СПРАВОЧНИК!$E$11*(('ФАКТ ЧЕРН К1'!H29)*СПРАВОЧНИК!$H$11+('ФАКТ ЧЕРН К1'!I29)*СПРАВОЧНИК!$I$11+('ФАКТ ЧЕРН К1'!J29)*СПРАВОЧНИК!$J$11)+СПРАВОЧНИК!$E$12*(('ФАКТ ЧЕРН К1'!K29)*СПРАВОЧНИК!$H$12+('ФАКТ ЧЕРН К1'!L29)*СПРАВОЧНИК!$I$12+('ФАКТ ЧЕРН К1'!M29)*СПРАВОЧНИК!$J$12)+СПРАВОЧНИК!$E$13*(('ФАКТ ЧЕРН К1'!N29)*СПРАВОЧНИК!$H$13+('ФАКТ ЧЕРН К1'!O29)*СПРАВОЧНИК!$I$13+('ФАКТ ЧЕРН К1'!P29)*СПРАВОЧНИК!$J$13)+СПРАВОЧНИК!$E$14*(('ФАКТ ЧЕРН К1'!Q29)*СПРАВОЧНИК!$H$14+('ФАКТ ЧЕРН К1'!R29)*СПРАВОЧНИК!$I$14+('ФАКТ ЧЕРН К1'!S29)*СПРАВОЧНИК!$J$14)+СПРАВОЧНИК!$E$15*(('ФАКТ ЧЕРН К1'!T29)*СПРАВОЧНИК!$H$15+('ФАКТ ЧЕРН К1'!U29)*СПРАВОЧНИК!$I$15+('ФАКТ ЧЕРН К1'!V29)*СПРАВОЧНИК!$J$15)+СПРАВОЧНИК!$F$9*(('ФАКТ ЧИСТ К1'!B29)*СПРАВОЧНИК!$L$9+('ФАКТ ЧИСТ К1'!C29)*СПРАВОЧНИК!$M$9+('ФАКТ ЧИСТ К1'!D29)*СПРАВОЧНИК!$N$9+('ФАКТ ЧИСТ К1'!E29)*СПРАВОЧНИК!$O$9)+СПРАВОЧНИК!$F$10*(('ФАКТ ЧИСТ К1'!F29)*СПРАВОЧНИК!$L$10+('ФАКТ ЧИСТ К1'!G29)*СПРАВОЧНИК!$M$10+('ФАКТ ЧИСТ К1'!H29)*СПРАВОЧНИК!$N$10)+СПРАВОЧНИК!$F$11*(('ФАКТ ЧИСТ К1'!I29)*СПРАВОЧНИК!$L$11+('ФАКТ ЧИСТ К1'!J29)*СПРАВОЧНИК!$M$11+('ФАКТ ЧИСТ К1'!K29)*СПРАВОЧНИК!$N$11)+СПРАВОЧНИК!$F$12*(('ФАКТ ЧИСТ К1'!L29)*СПРАВОЧНИК!$L$12+('ФАКТ ЧИСТ К1'!M29)*СПРАВОЧНИК!$M$12+('ФАКТ ЧИСТ К1'!N29)*СПРАВОЧНИК!$N$12)+СПРАВОЧНИК!$F$13*(('ФАКТ ЧИСТ К1'!O29)*СПРАВОЧНИК!$L$13+('ФАКТ ЧИСТ К1'!P29)*СПРАВОЧНИК!$M$13+('ФАКТ ЧИСТ К1'!Q29)*СПРАВОЧНИК!$N$13)+СПРАВОЧНИК!$F$14*(('ФАКТ ЧИСТ К1'!R29)*СПРАВОЧНИК!$L$14+('ФАКТ ЧИСТ К1'!S29)*СПРАВОЧНИК!$M$14+('ФАКТ ЧИСТ К1'!T29)*СПРАВОЧНИК!$N$14)+СПРАВОЧНИК!$F$15*(('ФАКТ ЧИСТ К1'!U29)*СПРАВОЧНИК!$L$15+('ФАКТ ЧИСТ К1'!V29)*СПРАВОЧНИК!$M$15+('ФАКТ ЧИСТ К1'!W29)*СПРАВОЧНИК!$N$15)</f>
        <v>0</v>
      </c>
      <c r="AA38" s="18">
        <f t="shared" si="16"/>
        <v>46342</v>
      </c>
      <c r="AB38" s="37">
        <f>'ПЛАН ЧЕРН К1'!B29*СПРАВОЧНИК!$H$9+'ПЛАН ЧЕРН К1'!C29*СПРАВОЧНИК!$I$9+'ПЛАН ЧЕРН К1'!D29*СПРАВОЧНИК!$J$9+'ПЛАН ЧЕРН К1'!E29*СПРАВОЧНИК!$H$10+'ПЛАН ЧЕРН К1'!F29*СПРАВОЧНИК!$I$10+'ПЛАН ЧЕРН К1'!G29*СПРАВОЧНИК!$J$10+'ПЛАН ЧЕРН К1'!H29*СПРАВОЧНИК!$H$11+'ПЛАН ЧЕРН К1'!I29*СПРАВОЧНИК!$I$11+'ПЛАН ЧЕРН К1'!J29*СПРАВОЧНИК!$J$11+'ПЛАН ЧЕРН К1'!K29*СПРАВОЧНИК!$H$12+'ПЛАН ЧЕРН К1'!L29*СПРАВОЧНИК!$I$12+'ПЛАН ЧЕРН К1'!M29*СПРАВОЧНИК!$J$12+'ПЛАН ЧЕРН К1'!N29*СПРАВОЧНИК!$H$13+'ПЛАН ЧЕРН К1'!O29*СПРАВОЧНИК!$I$13+'ПЛАН ЧЕРН К1'!P29*СПРАВОЧНИК!$J$13+'ПЛАН ЧЕРН К1'!Q29*СПРАВОЧНИК!$H$14+'ПЛАН ЧЕРН К1'!R29*СПРАВОЧНИК!$I$14+'ПЛАН ЧЕРН К1'!S29*СПРАВОЧНИК!$J$14+'ПЛАН ЧЕРН К1'!T29*СПРАВОЧНИК!$H$15+'ПЛАН ЧЕРН К1'!U29*СПРАВОЧНИК!$I$15+'ПЛАН ЧЕРН К1'!V29*СПРАВОЧНИК!$J$15</f>
        <v>0</v>
      </c>
      <c r="AC38" s="40">
        <f>('ФАКТ ЧЕРН К1'!B29)*СПРАВОЧНИК!$H$9+('ФАКТ ЧЕРН К1'!C29)*СПРАВОЧНИК!$I$9+('ФАКТ ЧЕРН К1'!D29)*СПРАВОЧНИК!$J$9+('ФАКТ ЧЕРН К1'!E29)*СПРАВОЧНИК!$H$10+('ФАКТ ЧЕРН К1'!F29)*СПРАВОЧНИК!$I$10+('ФАКТ ЧЕРН К1'!G29)*СПРАВОЧНИК!$J$10+('ФАКТ ЧЕРН К1'!H29)*СПРАВОЧНИК!$H$11+('ФАКТ ЧЕРН К1'!I29)*СПРАВОЧНИК!$I$11+('ФАКТ ЧЕРН К1'!J29)*СПРАВОЧНИК!$J$11+('ФАКТ ЧЕРН К1'!K29)*СПРАВОЧНИК!$H$12+('ФАКТ ЧЕРН К1'!L29)*СПРАВОЧНИК!$I$12+('ФАКТ ЧЕРН К1'!M29)*СПРАВОЧНИК!$J$12+('ФАКТ ЧЕРН К1'!N29)*СПРАВОЧНИК!$H$13+('ФАКТ ЧЕРН К1'!O29)*СПРАВОЧНИК!$I$13+('ФАКТ ЧЕРН К1'!P29)*СПРАВОЧНИК!$J$13+('ФАКТ ЧЕРН К1'!Q29)*СПРАВОЧНИК!$H$14+('ФАКТ ЧЕРН К1'!R29)*СПРАВОЧНИК!$I$14+('ФАКТ ЧЕРН К1'!S29)*СПРАВОЧНИК!$J$14+('ФАКТ ЧЕРН К1'!T29)*СПРАВОЧНИК!$H$15+('ФАКТ ЧЕРН К1'!U29)*СПРАВОЧНИК!$I$15+('ФАКТ ЧЕРН К1'!V29)*СПРАВОЧНИК!$J$15</f>
        <v>0</v>
      </c>
      <c r="AG38" s="18">
        <f t="shared" si="17"/>
        <v>46342</v>
      </c>
      <c r="AH38" s="37">
        <f>'ПЛАН ЧИСТ К1'!B29*СПРАВОЧНИК!$L$9+'ПЛАН ЧИСТ К1'!C29*СПРАВОЧНИК!$M$9+'ПЛАН ЧИСТ К1'!D29*СПРАВОЧНИК!$N$9+'ПЛАН ЧИСТ К1'!E29*СПРАВОЧНИК!$O$9+'ПЛАН ЧИСТ К1'!F29*СПРАВОЧНИК!$L$10+'ПЛАН ЧИСТ К1'!G29*СПРАВОЧНИК!$M$10+'ПЛАН ЧИСТ К1'!H29*СПРАВОЧНИК!$N$10+'ПЛАН ЧИСТ К1'!I29*СПРАВОЧНИК!$L$11+'ПЛАН ЧИСТ К1'!J29*СПРАВОЧНИК!$M$11+'ПЛАН ЧИСТ К1'!K29*СПРАВОЧНИК!$N$11+'ПЛАН ЧИСТ К1'!L29*СПРАВОЧНИК!$L$12+'ПЛАН ЧИСТ К1'!M29*СПРАВОЧНИК!$M$12+'ПЛАН ЧИСТ К1'!N29*СПРАВОЧНИК!$N$12+'ПЛАН ЧИСТ К1'!O29*СПРАВОЧНИК!$L$13+'ПЛАН ЧИСТ К1'!P29*СПРАВОЧНИК!$M$13+'ПЛАН ЧИСТ К1'!Q29*СПРАВОЧНИК!$N$13+'ПЛАН ЧИСТ К1'!R29*СПРАВОЧНИК!$L$14+'ПЛАН ЧИСТ К1'!S29*СПРАВОЧНИК!$M$14+'ПЛАН ЧИСТ К1'!T29*СПРАВОЧНИК!$N$14+'ПЛАН ЧИСТ К1'!U29*СПРАВОЧНИК!$L$15+'ПЛАН ЧИСТ К1'!V29*СПРАВОЧНИК!$M$15+'ПЛАН ЧИСТ К1'!W29*СПРАВОЧНИК!$N$15</f>
        <v>0</v>
      </c>
      <c r="AI38" s="40">
        <f>('ФАКТ ЧИСТ К1'!B29)*СПРАВОЧНИК!$L$9+('ФАКТ ЧИСТ К1'!C29)*СПРАВОЧНИК!$M$9+('ФАКТ ЧИСТ К1'!D29)*СПРАВОЧНИК!$N$9+('ФАКТ ЧИСТ К1'!E29)*СПРАВОЧНИК!$O$9+('ФАКТ ЧИСТ К1'!F29)*СПРАВОЧНИК!$L$10+('ФАКТ ЧИСТ К1'!G29)*СПРАВОЧНИК!$M$10+('ФАКТ ЧИСТ К1'!H29)*СПРАВОЧНИК!$N$10+('ФАКТ ЧИСТ К1'!I29)*СПРАВОЧНИК!$L$11+('ФАКТ ЧИСТ К1'!J29)*СПРАВОЧНИК!$M$11+('ФАКТ ЧИСТ К1'!K29)*СПРАВОЧНИК!$N$11+('ФАКТ ЧИСТ К1'!L29)*СПРАВОЧНИК!$L$12+('ФАКТ ЧИСТ К1'!M29)*СПРАВОЧНИК!$M$12+('ФАКТ ЧИСТ К1'!N29)*СПРАВОЧНИК!$N$12+('ФАКТ ЧИСТ К1'!O29)*СПРАВОЧНИК!$L$13+('ФАКТ ЧИСТ К1'!P29)*СПРАВОЧНИК!$M$13+('ФАКТ ЧИСТ К1'!Q29)*СПРАВОЧНИК!$N$13+('ФАКТ ЧИСТ К1'!R29)*СПРАВОЧНИК!$L$14+('ФАКТ ЧИСТ К1'!S29)*СПРАВОЧНИК!$M$14+('ФАКТ ЧИСТ К1'!T29)*СПРАВОЧНИК!$N$14+('ФАКТ ЧИСТ К1'!U29)*СПРАВОЧНИК!$L$15+('ФАКТ ЧИСТ К1'!V29)*СПРАВОЧНИК!$M$15+('ФАКТ ЧИСТ К1'!W29)*СПРАВОЧНИК!$N$15</f>
        <v>0</v>
      </c>
      <c r="AM38" s="18">
        <f t="shared" si="18"/>
        <v>46342</v>
      </c>
      <c r="AN38" s="37">
        <f>СПРАВОЧНИК!$E$9*('ПЛАН ЧЕРН К2'!B29*СПРАВОЧНИК!$H$9+'ПЛАН ЧЕРН К2'!C29*СПРАВОЧНИК!$I$9+'ПЛАН ЧЕРН К2'!D29*СПРАВОЧНИК!$J$9)+СПРАВОЧНИК!$E$10*('ПЛАН ЧЕРН К2'!E29*СПРАВОЧНИК!$H$10+'ПЛАН ЧЕРН К2'!F29*СПРАВОЧНИК!$I$10+'ПЛАН ЧЕРН К2'!G29*СПРАВОЧНИК!$J$10)+СПРАВОЧНИК!$E$11*('ПЛАН ЧЕРН К2'!H29*СПРАВОЧНИК!$H$11+'ПЛАН ЧЕРН К2'!I29*СПРАВОЧНИК!$I$11+'ПЛАН ЧЕРН К2'!J29*СПРАВОЧНИК!$J$11)+СПРАВОЧНИК!$E$12*('ПЛАН ЧЕРН К2'!K29*СПРАВОЧНИК!$H$12+'ПЛАН ЧЕРН К2'!L29*СПРАВОЧНИК!$I$12+'ПЛАН ЧЕРН К2'!M29*СПРАВОЧНИК!$J$12)+СПРАВОЧНИК!$E$13*('ПЛАН ЧЕРН К2'!N29*СПРАВОЧНИК!$H$13+'ПЛАН ЧЕРН К2'!O29*СПРАВОЧНИК!$I$13+'ПЛАН ЧЕРН К2'!P29*СПРАВОЧНИК!$J$13)+СПРАВОЧНИК!$E$14*('ПЛАН ЧЕРН К2'!Q29*СПРАВОЧНИК!$H$14+'ПЛАН ЧЕРН К2'!R29*СПРАВОЧНИК!$I$14+'ПЛАН ЧЕРН К2'!S29*СПРАВОЧНИК!$J$14)+СПРАВОЧНИК!$E$15*('ПЛАН ЧЕРН К2'!T29*СПРАВОЧНИК!$H$15+'ПЛАН ЧЕРН К2'!U29*СПРАВОЧНИК!$I$15+'ПЛАН ЧЕРН К2'!V29*СПРАВОЧНИК!$J$15)+СПРАВОЧНИК!$F$9*('ПЛАН ЧИСТ К2'!B29*СПРАВОЧНИК!$L$9+'ПЛАН ЧИСТ К2'!C29*СПРАВОЧНИК!$M$9+'ПЛАН ЧИСТ К2'!D29*СПРАВОЧНИК!$N$9+'ПЛАН ЧИСТ К2'!E29*СПРАВОЧНИК!$O$9)+СПРАВОЧНИК!$F$10*('ПЛАН ЧИСТ К2'!F29*СПРАВОЧНИК!$L$10+'ПЛАН ЧИСТ К2'!G29*СПРАВОЧНИК!$M$10+'ПЛАН ЧИСТ К2'!H29*СПРАВОЧНИК!$N$10)+СПРАВОЧНИК!$F$11*('ПЛАН ЧИСТ К2'!I29*СПРАВОЧНИК!$L$11+'ПЛАН ЧИСТ К2'!J29*СПРАВОЧНИК!$M$11+'ПЛАН ЧИСТ К2'!K29*СПРАВОЧНИК!$N$11)+СПРАВОЧНИК!$F$12*('ПЛАН ЧИСТ К2'!L29*СПРАВОЧНИК!$L$12+'ПЛАН ЧИСТ К2'!M29*СПРАВОЧНИК!$M$12+'ПЛАН ЧИСТ К2'!N29*СПРАВОЧНИК!$N$12)+СПРАВОЧНИК!$F$13*('ПЛАН ЧИСТ К2'!O29*СПРАВОЧНИК!$L$13+'ПЛАН ЧИСТ К2'!P29*СПРАВОЧНИК!$M$13+'ПЛАН ЧИСТ К2'!Q29*СПРАВОЧНИК!$N$13)+СПРАВОЧНИК!$F$14*('ПЛАН ЧИСТ К2'!R29*СПРАВОЧНИК!$L$14+'ПЛАН ЧИСТ К2'!S29*СПРАВОЧНИК!$M$14+'ПЛАН ЧИСТ К2'!T29*СПРАВОЧНИК!$N$14)+СПРАВОЧНИК!$F$15*('ПЛАН ЧИСТ К2'!U29*СПРАВОЧНИК!$L$15+'ПЛАН ЧИСТ К2'!V29*СПРАВОЧНИК!$M$15+'ПЛАН ЧИСТ К2'!W29*СПРАВОЧНИК!$N$15)</f>
        <v>0</v>
      </c>
      <c r="AO38" s="40">
        <f>СПРАВОЧНИК!$E$9*(('ФАКТ ЧЕРН К2'!B29)*СПРАВОЧНИК!$H$9+('ФАКТ ЧЕРН К2'!C29)*СПРАВОЧНИК!$I$9+('ФАКТ ЧЕРН К2'!D29)*СПРАВОЧНИК!$J$9)+СПРАВОЧНИК!$E$10*(('ФАКТ ЧЕРН К2'!E29)*СПРАВОЧНИК!$H$10+('ФАКТ ЧЕРН К2'!F29)*СПРАВОЧНИК!$I$10+('ФАКТ ЧЕРН К2'!G29)*СПРАВОЧНИК!$J$10)+СПРАВОЧНИК!$E$11*(('ФАКТ ЧЕРН К2'!H29)*СПРАВОЧНИК!$H$11+('ФАКТ ЧЕРН К2'!I29)*СПРАВОЧНИК!$I$11+('ФАКТ ЧЕРН К2'!J29)*СПРАВОЧНИК!$J$11)+СПРАВОЧНИК!$E$12*(('ФАКТ ЧЕРН К2'!K29)*СПРАВОЧНИК!$H$12+('ФАКТ ЧЕРН К2'!L29)*СПРАВОЧНИК!$I$12+('ФАКТ ЧЕРН К2'!M29)*СПРАВОЧНИК!$J$12)+СПРАВОЧНИК!$E$13*(('ФАКТ ЧЕРН К2'!N29)*СПРАВОЧНИК!$H$13+('ФАКТ ЧЕРН К2'!O29)*СПРАВОЧНИК!$I$13+('ФАКТ ЧЕРН К2'!P29)*СПРАВОЧНИК!$J$13)+СПРАВОЧНИК!$E$14*(('ФАКТ ЧЕРН К2'!Q29)*СПРАВОЧНИК!$H$14+('ФАКТ ЧЕРН К2'!R29)*СПРАВОЧНИК!$I$14+('ФАКТ ЧЕРН К2'!S29)*СПРАВОЧНИК!$J$14)+СПРАВОЧНИК!$E$15*(('ФАКТ ЧЕРН К2'!T29)*СПРАВОЧНИК!$H$15+('ФАКТ ЧЕРН К2'!U29)*СПРАВОЧНИК!$I$15+('ФАКТ ЧЕРН К2'!V29)*СПРАВОЧНИК!$J$15)+СПРАВОЧНИК!$F$9*(('ФАКТ ЧИСТ К2'!B29)*СПРАВОЧНИК!$L$9+('ФАКТ ЧИСТ К2'!C29)*СПРАВОЧНИК!$M$9+('ФАКТ ЧИСТ К2'!D29)*СПРАВОЧНИК!$N$9+('ФАКТ ЧИСТ К2'!E29)*СПРАВОЧНИК!$O$9)+СПРАВОЧНИК!$F$10*(('ФАКТ ЧИСТ К2'!F29)*СПРАВОЧНИК!$L$10+('ФАКТ ЧИСТ К2'!G29)*СПРАВОЧНИК!$M$10+('ФАКТ ЧИСТ К2'!H29)*СПРАВОЧНИК!$N$10)+СПРАВОЧНИК!$F$11*(('ФАКТ ЧИСТ К2'!I29)*СПРАВОЧНИК!$L$11+('ФАКТ ЧИСТ К2'!J29)*СПРАВОЧНИК!$M$11+('ФАКТ ЧИСТ К2'!K29)*СПРАВОЧНИК!$N$11)+СПРАВОЧНИК!$F$12*(('ФАКТ ЧИСТ К2'!L29)*СПРАВОЧНИК!$L$12+('ФАКТ ЧИСТ К2'!M29)*СПРАВОЧНИК!$M$12+('ФАКТ ЧИСТ К2'!N29)*СПРАВОЧНИК!$N$12)+СПРАВОЧНИК!$F$13*(('ФАКТ ЧИСТ К2'!O29)*СПРАВОЧНИК!$L$13+('ФАКТ ЧИСТ К2'!P29)*СПРАВОЧНИК!$M$13+('ФАКТ ЧИСТ К2'!Q29)*СПРАВОЧНИК!$N$13)+СПРАВОЧНИК!$F$14*(('ФАКТ ЧИСТ К2'!R29)*СПРАВОЧНИК!$L$14+('ФАКТ ЧИСТ К2'!S29)*СПРАВОЧНИК!$M$14+('ФАКТ ЧИСТ К2'!T29)*СПРАВОЧНИК!$N$14)+СПРАВОЧНИК!$F$15*(('ФАКТ ЧИСТ К2'!U29)*СПРАВОЧНИК!$L$15+('ФАКТ ЧИСТ К2'!V29)*СПРАВОЧНИК!$M$15+('ФАКТ ЧИСТ К2'!W29)*СПРАВОЧНИК!$N$15)</f>
        <v>0</v>
      </c>
      <c r="AS38" s="18">
        <f t="shared" si="19"/>
        <v>46342</v>
      </c>
      <c r="AT38" s="37">
        <f>'ПЛАН ЧЕРН К2'!B29*СПРАВОЧНИК!$H$9+'ПЛАН ЧЕРН К2'!C29*СПРАВОЧНИК!$I$9+'ПЛАН ЧЕРН К2'!D29*СПРАВОЧНИК!$J$9+'ПЛАН ЧЕРН К2'!E29*СПРАВОЧНИК!$H$10+'ПЛАН ЧЕРН К2'!F29*СПРАВОЧНИК!$I$10+'ПЛАН ЧЕРН К2'!G29*СПРАВОЧНИК!$J$10+'ПЛАН ЧЕРН К2'!H29*СПРАВОЧНИК!$H$11+'ПЛАН ЧЕРН К2'!I29*СПРАВОЧНИК!$I$11+'ПЛАН ЧЕРН К2'!J29*СПРАВОЧНИК!$J$11+'ПЛАН ЧЕРН К2'!K29*СПРАВОЧНИК!$H$12+'ПЛАН ЧЕРН К2'!L29*СПРАВОЧНИК!$I$12+'ПЛАН ЧЕРН К2'!M29*СПРАВОЧНИК!$J$12+'ПЛАН ЧЕРН К2'!N29*СПРАВОЧНИК!$H$13+'ПЛАН ЧЕРН К2'!O29*СПРАВОЧНИК!$I$13+'ПЛАН ЧЕРН К2'!P29*СПРАВОЧНИК!$J$13+'ПЛАН ЧЕРН К2'!Q29*СПРАВОЧНИК!$H$14+'ПЛАН ЧЕРН К2'!R29*СПРАВОЧНИК!$I$14+'ПЛАН ЧЕРН К2'!S29*СПРАВОЧНИК!$J$14+'ПЛАН ЧЕРН К2'!T29*СПРАВОЧНИК!$H$15+'ПЛАН ЧЕРН К2'!U29*СПРАВОЧНИК!$I$15+'ПЛАН ЧЕРН К2'!V29*СПРАВОЧНИК!$J$15</f>
        <v>0</v>
      </c>
      <c r="AU38" s="40">
        <f>('ФАКТ ЧЕРН К2'!B29)*СПРАВОЧНИК!$H$9+('ФАКТ ЧЕРН К2'!C29)*СПРАВОЧНИК!$I$9+('ФАКТ ЧЕРН К2'!D29)*СПРАВОЧНИК!$J$9+('ФАКТ ЧЕРН К2'!E29)*СПРАВОЧНИК!$H$10+('ФАКТ ЧЕРН К2'!F29)*СПРАВОЧНИК!$I$10+('ФАКТ ЧЕРН К2'!G29)*СПРАВОЧНИК!$J$10+('ФАКТ ЧЕРН К2'!H29)*СПРАВОЧНИК!$H$11+('ФАКТ ЧЕРН К2'!I29)*СПРАВОЧНИК!$I$11+('ФАКТ ЧЕРН К2'!J29)*СПРАВОЧНИК!$J$11+('ФАКТ ЧЕРН К2'!K29)*СПРАВОЧНИК!$H$12+('ФАКТ ЧЕРН К2'!L29)*СПРАВОЧНИК!$I$12+('ФАКТ ЧЕРН К2'!M29)*СПРАВОЧНИК!$J$12+('ФАКТ ЧЕРН К2'!N29)*СПРАВОЧНИК!$H$13+('ФАКТ ЧЕРН К2'!O29)*СПРАВОЧНИК!$I$13+('ФАКТ ЧЕРН К2'!P29)*СПРАВОЧНИК!$J$13+('ФАКТ ЧЕРН К2'!Q29)*СПРАВОЧНИК!$H$14+('ФАКТ ЧЕРН К2'!R29)*СПРАВОЧНИК!$I$14+('ФАКТ ЧЕРН К2'!S29)*СПРАВОЧНИК!$J$14+('ФАКТ ЧЕРН К2'!T29)*СПРАВОЧНИК!$H$15+('ФАКТ ЧЕРН К2'!U29)*СПРАВОЧНИК!$I$15+('ФАКТ ЧЕРН К2'!V29)*СПРАВОЧНИК!$J$15</f>
        <v>0</v>
      </c>
      <c r="AY38" s="18">
        <f t="shared" si="20"/>
        <v>46342</v>
      </c>
      <c r="AZ38" s="37">
        <f>'ПЛАН ЧИСТ К2'!B29*СПРАВОЧНИК!$L$9+'ПЛАН ЧИСТ К2'!C29*СПРАВОЧНИК!$M$9+'ПЛАН ЧИСТ К2'!D29*СПРАВОЧНИК!$N$9+'ПЛАН ЧИСТ К2'!E29*СПРАВОЧНИК!$O$9+'ПЛАН ЧИСТ К2'!F29*СПРАВОЧНИК!$L$10+'ПЛАН ЧИСТ К2'!G29*СПРАВОЧНИК!$M$10+'ПЛАН ЧИСТ К2'!H29*СПРАВОЧНИК!$N$10+'ПЛАН ЧИСТ К2'!I29*СПРАВОЧНИК!$L$11+'ПЛАН ЧИСТ К2'!J29*СПРАВОЧНИК!$M$11+'ПЛАН ЧИСТ К2'!K29*СПРАВОЧНИК!$N$11+'ПЛАН ЧИСТ К2'!L29*СПРАВОЧНИК!$L$12+'ПЛАН ЧИСТ К2'!M29*СПРАВОЧНИК!$M$12+'ПЛАН ЧИСТ К2'!N29*СПРАВОЧНИК!$N$12+'ПЛАН ЧИСТ К2'!O29*СПРАВОЧНИК!$L$13+'ПЛАН ЧИСТ К2'!P29*СПРАВОЧНИК!$M$13+'ПЛАН ЧИСТ К2'!Q29*СПРАВОЧНИК!$N$13+'ПЛАН ЧИСТ К2'!R29*СПРАВОЧНИК!$L$14+'ПЛАН ЧИСТ К2'!S29*СПРАВОЧНИК!$M$14+'ПЛАН ЧИСТ К2'!T29*СПРАВОЧНИК!$N$14+'ПЛАН ЧИСТ К2'!U29*СПРАВОЧНИК!$L$15+'ПЛАН ЧИСТ К2'!V29*СПРАВОЧНИК!$M$15+'ПЛАН ЧИСТ К2'!W29*СПРАВОЧНИК!$N$15</f>
        <v>0</v>
      </c>
      <c r="BA38" s="40">
        <f>('ФАКТ ЧИСТ К2'!B29)*СПРАВОЧНИК!$L$9+('ФАКТ ЧИСТ К2'!C29)*СПРАВОЧНИК!$M$9+('ФАКТ ЧИСТ К2'!D29)*СПРАВОЧНИК!$N$9+('ФАКТ ЧИСТ К2'!E29)*СПРАВОЧНИК!$O$9+('ФАКТ ЧИСТ К2'!F29)*СПРАВОЧНИК!$L$10+('ФАКТ ЧИСТ К2'!G29)*СПРАВОЧНИК!$M$10+('ФАКТ ЧИСТ К2'!H29)*СПРАВОЧНИК!$N$10+('ФАКТ ЧИСТ К2'!I29)*СПРАВОЧНИК!$L$11+('ФАКТ ЧИСТ К2'!J29)*СПРАВОЧНИК!$M$11+('ФАКТ ЧИСТ К2'!K29)*СПРАВОЧНИК!$N$11+('ФАКТ ЧИСТ К2'!L29)*СПРАВОЧНИК!$L$12+('ФАКТ ЧИСТ К2'!M29)*СПРАВОЧНИК!$M$12+('ФАКТ ЧИСТ К2'!N29)*СПРАВОЧНИК!$N$12+('ФАКТ ЧИСТ К2'!O29)*СПРАВОЧНИК!$L$13+('ФАКТ ЧИСТ К2'!P29)*СПРАВОЧНИК!$M$13+('ФАКТ ЧИСТ К2'!Q29)*СПРАВОЧНИК!$N$13+('ФАКТ ЧИСТ К2'!R29)*СПРАВОЧНИК!$L$14+('ФАКТ ЧИСТ К2'!S29)*СПРАВОЧНИК!$M$14+('ФАКТ ЧИСТ К2'!T29)*СПРАВОЧНИК!$N$14+('ФАКТ ЧИСТ К2'!U29)*СПРАВОЧНИК!$L$15+('ФАКТ ЧИСТ К2'!V29)*СПРАВОЧНИК!$M$15+('ФАКТ ЧИСТ К2'!W29)*СПРАВОЧНИК!$N$15</f>
        <v>0</v>
      </c>
      <c r="BE38" s="18">
        <f t="shared" si="21"/>
        <v>46342</v>
      </c>
      <c r="BF38" s="37">
        <f>СПРАВОЧНИК!$E$9*('ПЛАН ЧЕРН К3'!B29*СПРАВОЧНИК!$H$9+'ПЛАН ЧЕРН К3'!C29*СПРАВОЧНИК!$I$9+'ПЛАН ЧЕРН К3'!D29*СПРАВОЧНИК!$J$9)+СПРАВОЧНИК!$E$10*('ПЛАН ЧЕРН К3'!E29*СПРАВОЧНИК!$H$10+'ПЛАН ЧЕРН К3'!F29*СПРАВОЧНИК!$I$10+'ПЛАН ЧЕРН К3'!G29*СПРАВОЧНИК!$J$10)+СПРАВОЧНИК!$E$11*('ПЛАН ЧЕРН К3'!H29*СПРАВОЧНИК!$H$11+'ПЛАН ЧЕРН К3'!I29*СПРАВОЧНИК!$I$11+'ПЛАН ЧЕРН К3'!J29*СПРАВОЧНИК!$J$11)+СПРАВОЧНИК!$E$12*('ПЛАН ЧЕРН К3'!K29*СПРАВОЧНИК!$H$12+'ПЛАН ЧЕРН К3'!L29*СПРАВОЧНИК!$I$12+'ПЛАН ЧЕРН К3'!M29*СПРАВОЧНИК!$J$12)+СПРАВОЧНИК!$E$13*('ПЛАН ЧЕРН К3'!N29*СПРАВОЧНИК!$H$13+'ПЛАН ЧЕРН К3'!O29*СПРАВОЧНИК!$I$13+'ПЛАН ЧЕРН К3'!P29*СПРАВОЧНИК!$J$13)+СПРАВОЧНИК!$E$14*('ПЛАН ЧЕРН К3'!Q29*СПРАВОЧНИК!$H$14+'ПЛАН ЧЕРН К3'!R29*СПРАВОЧНИК!$I$14+'ПЛАН ЧЕРН К3'!S29*СПРАВОЧНИК!$J$14)+СПРАВОЧНИК!$E$15*('ПЛАН ЧЕРН К3'!T29*СПРАВОЧНИК!$H$15+'ПЛАН ЧЕРН К3'!U29*СПРАВОЧНИК!$I$15+'ПЛАН ЧЕРН К3'!V29*СПРАВОЧНИК!$J$15)+СПРАВОЧНИК!$F$9*('ПЛАН ЧИСТ К3'!B29*СПРАВОЧНИК!$L$9+'ПЛАН ЧИСТ К3'!C29*СПРАВОЧНИК!$M$9+'ПЛАН ЧИСТ К3'!D29*СПРАВОЧНИК!$N$9+'ПЛАН ЧИСТ К3'!E29*СПРАВОЧНИК!$O$9)+СПРАВОЧНИК!$F$10*('ПЛАН ЧИСТ К3'!F29*СПРАВОЧНИК!$L$10+'ПЛАН ЧИСТ К3'!G29*СПРАВОЧНИК!$M$10+'ПЛАН ЧИСТ К3'!H29*СПРАВОЧНИК!$N$10)+СПРАВОЧНИК!$F$11*('ПЛАН ЧИСТ К3'!I29*СПРАВОЧНИК!$L$11+'ПЛАН ЧИСТ К3'!J29*СПРАВОЧНИК!$M$11+'ПЛАН ЧИСТ К3'!K29*СПРАВОЧНИК!$N$11)+СПРАВОЧНИК!$F$12*('ПЛАН ЧИСТ К3'!L29*СПРАВОЧНИК!$L$12+'ПЛАН ЧИСТ К3'!M29*СПРАВОЧНИК!$M$12+'ПЛАН ЧИСТ К3'!N29*СПРАВОЧНИК!$N$12)+СПРАВОЧНИК!$F$13*('ПЛАН ЧИСТ К3'!O29*СПРАВОЧНИК!$L$13+'ПЛАН ЧИСТ К3'!P29*СПРАВОЧНИК!$M$13+'ПЛАН ЧИСТ К3'!Q29*СПРАВОЧНИК!$N$13)+СПРАВОЧНИК!$F$14*('ПЛАН ЧИСТ К3'!R29*СПРАВОЧНИК!$L$14+'ПЛАН ЧИСТ К3'!S29*СПРАВОЧНИК!$M$14+'ПЛАН ЧИСТ К3'!T29*СПРАВОЧНИК!$N$14)+СПРАВОЧНИК!$F$15*('ПЛАН ЧИСТ К3'!U29*СПРАВОЧНИК!$L$15+'ПЛАН ЧИСТ К3'!V29*СПРАВОЧНИК!$M$15+'ПЛАН ЧИСТ К3'!W29*СПРАВОЧНИК!$N$15)</f>
        <v>0</v>
      </c>
      <c r="BG38" s="40">
        <f>СПРАВОЧНИК!$E$9*(('ФАКТ ЧЕРН К3'!B29)*СПРАВОЧНИК!$H$9+('ФАКТ ЧЕРН К3'!C29)*СПРАВОЧНИК!$I$9+('ФАКТ ЧЕРН К3'!D29)*СПРАВОЧНИК!$J$9)+СПРАВОЧНИК!$E$10*(('ФАКТ ЧЕРН К3'!E29)*СПРАВОЧНИК!$H$10+('ФАКТ ЧЕРН К3'!F29)*СПРАВОЧНИК!$I$10+('ФАКТ ЧЕРН К3'!G29)*СПРАВОЧНИК!$J$10)+СПРАВОЧНИК!$E$11*(('ФАКТ ЧЕРН К3'!H29)*СПРАВОЧНИК!$H$11+('ФАКТ ЧЕРН К3'!I29)*СПРАВОЧНИК!$I$11+('ФАКТ ЧЕРН К3'!J29)*СПРАВОЧНИК!$J$11)+СПРАВОЧНИК!$E$12*(('ФАКТ ЧЕРН К3'!K29)*СПРАВОЧНИК!$H$12+('ФАКТ ЧЕРН К3'!L29)*СПРАВОЧНИК!$I$12+('ФАКТ ЧЕРН К3'!M29)*СПРАВОЧНИК!$J$12)+СПРАВОЧНИК!$E$13*(('ФАКТ ЧЕРН К3'!N29)*СПРАВОЧНИК!$H$13+('ФАКТ ЧЕРН К3'!O29)*СПРАВОЧНИК!$I$13+('ФАКТ ЧЕРН К3'!P29)*СПРАВОЧНИК!$J$13)+СПРАВОЧНИК!$E$14*(('ФАКТ ЧЕРН К3'!Q29)*СПРАВОЧНИК!$H$14+('ФАКТ ЧЕРН К3'!R29)*СПРАВОЧНИК!$I$14+('ФАКТ ЧЕРН К3'!S29)*СПРАВОЧНИК!$J$14)+СПРАВОЧНИК!$E$15*(('ФАКТ ЧЕРН К3'!T29)*СПРАВОЧНИК!$H$15+('ФАКТ ЧЕРН К3'!U29)*СПРАВОЧНИК!$I$15+('ФАКТ ЧЕРН К3'!V29)*СПРАВОЧНИК!$J$15)+СПРАВОЧНИК!$F$9*(('ФАКТ ЧИСТ К3'!B29)*СПРАВОЧНИК!$L$9+('ФАКТ ЧИСТ К3'!C29)*СПРАВОЧНИК!$M$9+('ФАКТ ЧИСТ К3'!D29)*СПРАВОЧНИК!$N$9+('ФАКТ ЧИСТ К3'!E29)*СПРАВОЧНИК!$O$9)+СПРАВОЧНИК!$F$10*(('ФАКТ ЧИСТ К3'!F29)*СПРАВОЧНИК!$L$10+('ФАКТ ЧИСТ К3'!G29)*СПРАВОЧНИК!$M$10+('ФАКТ ЧИСТ К3'!H29)*СПРАВОЧНИК!$N$10)+СПРАВОЧНИК!$F$11*(('ФАКТ ЧИСТ К3'!I29)*СПРАВОЧНИК!$L$11+('ФАКТ ЧИСТ К3'!J29)*СПРАВОЧНИК!$M$11+('ФАКТ ЧИСТ К3'!K29)*СПРАВОЧНИК!$N$11)+СПРАВОЧНИК!$F$12*(('ФАКТ ЧИСТ К3'!L29)*СПРАВОЧНИК!$L$12+('ФАКТ ЧИСТ К3'!M29)*СПРАВОЧНИК!$M$12+('ФАКТ ЧИСТ К3'!N29)*СПРАВОЧНИК!$N$12)+СПРАВОЧНИК!$F$13*(('ФАКТ ЧИСТ К3'!O29)*СПРАВОЧНИК!$L$13+('ФАКТ ЧИСТ К3'!P29)*СПРАВОЧНИК!$M$13+('ФАКТ ЧИСТ К3'!Q29)*СПРАВОЧНИК!$N$13)+СПРАВОЧНИК!$F$14*(('ФАКТ ЧИСТ К3'!R29)*СПРАВОЧНИК!$L$14+('ФАКТ ЧИСТ К3'!S29)*СПРАВОЧНИК!$M$14+('ФАКТ ЧИСТ К3'!T29)*СПРАВОЧНИК!$N$14)+СПРАВОЧНИК!$F$15*(('ФАКТ ЧИСТ К3'!U29)*СПРАВОЧНИК!$L$15+('ФАКТ ЧИСТ К3'!V29)*СПРАВОЧНИК!$M$15+('ФАКТ ЧИСТ К3'!W29)*СПРАВОЧНИК!$N$15)</f>
        <v>0</v>
      </c>
      <c r="BK38" s="18">
        <f t="shared" si="22"/>
        <v>46342</v>
      </c>
      <c r="BL38" s="37">
        <f>'ПЛАН ЧЕРН К3'!B29*СПРАВОЧНИК!$H$9+'ПЛАН ЧЕРН К3'!C29*СПРАВОЧНИК!$I$9+'ПЛАН ЧЕРН К3'!D29*СПРАВОЧНИК!$J$9+'ПЛАН ЧЕРН К3'!E29*СПРАВОЧНИК!$H$10+'ПЛАН ЧЕРН К3'!F29*СПРАВОЧНИК!$I$10+'ПЛАН ЧЕРН К3'!G29*СПРАВОЧНИК!$J$10+'ПЛАН ЧЕРН К3'!H29*СПРАВОЧНИК!$H$11+'ПЛАН ЧЕРН К3'!I29*СПРАВОЧНИК!$I$11+'ПЛАН ЧЕРН К3'!J29*СПРАВОЧНИК!$J$11+'ПЛАН ЧЕРН К3'!K29*СПРАВОЧНИК!$H$12+'ПЛАН ЧЕРН К3'!L29*СПРАВОЧНИК!$I$12+'ПЛАН ЧЕРН К3'!M29*СПРАВОЧНИК!$J$12+'ПЛАН ЧЕРН К3'!N29*СПРАВОЧНИК!$H$13+'ПЛАН ЧЕРН К3'!O29*СПРАВОЧНИК!$I$13+'ПЛАН ЧЕРН К3'!P29*СПРАВОЧНИК!$J$13+'ПЛАН ЧЕРН К3'!Q29*СПРАВОЧНИК!$H$14+'ПЛАН ЧЕРН К3'!R29*СПРАВОЧНИК!$I$14+'ПЛАН ЧЕРН К3'!S29*СПРАВОЧНИК!$J$14+'ПЛАН ЧЕРН К3'!T29*СПРАВОЧНИК!$H$15+'ПЛАН ЧЕРН К3'!U29*СПРАВОЧНИК!$I$15+'ПЛАН ЧЕРН К3'!V29*СПРАВОЧНИК!$J$15</f>
        <v>0</v>
      </c>
      <c r="BM38" s="40">
        <f>('ФАКТ ЧЕРН К3'!B29)*СПРАВОЧНИК!$H$9+('ФАКТ ЧЕРН К3'!C29)*СПРАВОЧНИК!$I$9+('ФАКТ ЧЕРН К3'!D29)*СПРАВОЧНИК!$J$9+('ФАКТ ЧЕРН К3'!E29)*СПРАВОЧНИК!$H$10+('ФАКТ ЧЕРН К3'!F29)*СПРАВОЧНИК!$I$10+('ФАКТ ЧЕРН К3'!G29)*СПРАВОЧНИК!$J$10+('ФАКТ ЧЕРН К3'!H29)*СПРАВОЧНИК!$H$11+('ФАКТ ЧЕРН К3'!I29)*СПРАВОЧНИК!$I$11+('ФАКТ ЧЕРН К3'!J29)*СПРАВОЧНИК!$J$11+('ФАКТ ЧЕРН К3'!K29)*СПРАВОЧНИК!$H$12+('ФАКТ ЧЕРН К3'!L29)*СПРАВОЧНИК!$I$12+('ФАКТ ЧЕРН К3'!M29)*СПРАВОЧНИК!$J$12+('ФАКТ ЧЕРН К3'!N29)*СПРАВОЧНИК!$H$13+('ФАКТ ЧЕРН К3'!O29)*СПРАВОЧНИК!$I$13+('ФАКТ ЧЕРН К3'!P29)*СПРАВОЧНИК!$J$13+('ФАКТ ЧЕРН К3'!Q29)*СПРАВОЧНИК!$H$14+('ФАКТ ЧЕРН К3'!R29)*СПРАВОЧНИК!$I$14+('ФАКТ ЧЕРН К3'!S29)*СПРАВОЧНИК!$J$14+('ФАКТ ЧЕРН К3'!T29)*СПРАВОЧНИК!$H$15+('ФАКТ ЧЕРН К3'!U29)*СПРАВОЧНИК!$I$15+('ФАКТ ЧЕРН К3'!V29)*СПРАВОЧНИК!$J$15</f>
        <v>0</v>
      </c>
      <c r="BQ38" s="18">
        <f t="shared" si="23"/>
        <v>46342</v>
      </c>
      <c r="BR38" s="37">
        <f>'ПЛАН ЧИСТ К3'!B29*СПРАВОЧНИК!$L$9+'ПЛАН ЧИСТ К3'!C29*СПРАВОЧНИК!$M$9+'ПЛАН ЧИСТ К3'!D29*СПРАВОЧНИК!$N$9+'ПЛАН ЧИСТ К3'!E29*СПРАВОЧНИК!$O$9+'ПЛАН ЧИСТ К3'!F29*СПРАВОЧНИК!$L$10+'ПЛАН ЧИСТ К3'!G29*СПРАВОЧНИК!$M$10+'ПЛАН ЧИСТ К3'!H29*СПРАВОЧНИК!$N$10+'ПЛАН ЧИСТ К3'!I29*СПРАВОЧНИК!$L$11+'ПЛАН ЧИСТ К3'!J29*СПРАВОЧНИК!$M$11+'ПЛАН ЧИСТ К3'!K29*СПРАВОЧНИК!$N$11+'ПЛАН ЧИСТ К3'!L29*СПРАВОЧНИК!$L$12+'ПЛАН ЧИСТ К3'!M29*СПРАВОЧНИК!$M$12+'ПЛАН ЧИСТ К3'!N29*СПРАВОЧНИК!$N$12+'ПЛАН ЧИСТ К3'!O29*СПРАВОЧНИК!$L$13+'ПЛАН ЧИСТ К3'!P29*СПРАВОЧНИК!$M$13+'ПЛАН ЧИСТ К3'!Q29*СПРАВОЧНИК!$N$13+'ПЛАН ЧИСТ К3'!R29*СПРАВОЧНИК!$L$14+'ПЛАН ЧИСТ К3'!S29*СПРАВОЧНИК!$M$14+'ПЛАН ЧИСТ К3'!T29*СПРАВОЧНИК!$N$14+'ПЛАН ЧИСТ К3'!U29*СПРАВОЧНИК!$L$15+'ПЛАН ЧИСТ К3'!V29*СПРАВОЧНИК!$M$15+'ПЛАН ЧИСТ К3'!W29*СПРАВОЧНИК!$N$15</f>
        <v>0</v>
      </c>
      <c r="BS38" s="40">
        <f>('ФАКТ ЧИСТ К3'!B29)*СПРАВОЧНИК!$L$9+('ФАКТ ЧИСТ К3'!C29)*СПРАВОЧНИК!$M$9+('ФАКТ ЧИСТ К3'!D29)*СПРАВОЧНИК!$N$9+('ФАКТ ЧИСТ К3'!E29)*СПРАВОЧНИК!$O$9+('ФАКТ ЧИСТ К3'!F29)*СПРАВОЧНИК!$L$10+('ФАКТ ЧИСТ К3'!G29)*СПРАВОЧНИК!$M$10+('ФАКТ ЧИСТ К3'!H29)*СПРАВОЧНИК!$N$10+('ФАКТ ЧИСТ К3'!I29)*СПРАВОЧНИК!$L$11+('ФАКТ ЧИСТ К3'!J29)*СПРАВОЧНИК!$M$11+('ФАКТ ЧИСТ К3'!K29)*СПРАВОЧНИК!$N$11+('ФАКТ ЧИСТ К3'!L29)*СПРАВОЧНИК!$L$12+('ФАКТ ЧИСТ К3'!M29)*СПРАВОЧНИК!$M$12+('ФАКТ ЧИСТ К3'!N29)*СПРАВОЧНИК!$N$12+('ФАКТ ЧИСТ К3'!O29)*СПРАВОЧНИК!$L$13+('ФАКТ ЧИСТ К3'!P29)*СПРАВОЧНИК!$M$13+('ФАКТ ЧИСТ К3'!Q29)*СПРАВОЧНИК!$N$13+('ФАКТ ЧИСТ К3'!R29)*СПРАВОЧНИК!$L$14+('ФАКТ ЧИСТ К3'!S29)*СПРАВОЧНИК!$M$14+('ФАКТ ЧИСТ К3'!T29)*СПРАВОЧНИК!$N$14+('ФАКТ ЧИСТ К3'!U29)*СПРАВОЧНИК!$L$15+('ФАКТ ЧИСТ К3'!V29)*СПРАВОЧНИК!$M$15+('ФАКТ ЧИСТ К3'!W29)*СПРАВОЧНИК!$N$15</f>
        <v>0</v>
      </c>
      <c r="BW38" s="18">
        <f t="shared" si="24"/>
        <v>46342</v>
      </c>
      <c r="BX38" s="37">
        <f t="shared" si="0"/>
        <v>0</v>
      </c>
      <c r="BY38" s="40">
        <f t="shared" si="1"/>
        <v>0</v>
      </c>
      <c r="CC38" s="18">
        <f t="shared" si="25"/>
        <v>46342</v>
      </c>
      <c r="CD38" s="37">
        <f t="shared" si="2"/>
        <v>0</v>
      </c>
      <c r="CE38" s="40">
        <f t="shared" si="3"/>
        <v>0</v>
      </c>
      <c r="CI38" s="18">
        <f t="shared" si="26"/>
        <v>46342</v>
      </c>
      <c r="CJ38" s="37">
        <f t="shared" si="4"/>
        <v>0</v>
      </c>
      <c r="CK38" s="40">
        <f t="shared" si="5"/>
        <v>0</v>
      </c>
      <c r="CO38" s="18">
        <f t="shared" si="27"/>
        <v>46342</v>
      </c>
      <c r="CP38" s="37">
        <f t="shared" si="6"/>
        <v>0</v>
      </c>
      <c r="CQ38" s="40">
        <f t="shared" si="7"/>
        <v>0</v>
      </c>
      <c r="CU38" s="18">
        <f t="shared" si="28"/>
        <v>46342</v>
      </c>
      <c r="CV38" s="37">
        <f t="shared" si="8"/>
        <v>0</v>
      </c>
      <c r="CW38" s="40">
        <f t="shared" si="9"/>
        <v>0</v>
      </c>
      <c r="DA38" s="18">
        <f t="shared" si="29"/>
        <v>46342</v>
      </c>
      <c r="DB38" s="37">
        <f t="shared" si="10"/>
        <v>0</v>
      </c>
      <c r="DC38" s="40">
        <f t="shared" si="11"/>
        <v>0</v>
      </c>
    </row>
    <row r="39" spans="3:107" x14ac:dyDescent="0.25">
      <c r="C39" s="18">
        <f t="shared" si="12"/>
        <v>46349</v>
      </c>
      <c r="D39" s="37">
        <f>СПРАВОЧНИК!$E$3*('ПЛАН ЧЕРН ПОДЗЕМ'!B30*СПРАВОЧНИК!$H$3+'ПЛАН ЧЕРН ПОДЗЕМ'!C30*СПРАВОЧНИК!$I$3+'ПЛАН ЧЕРН ПОДЗЕМ'!D30*СПРАВОЧНИК!$J$3)+СПРАВОЧНИК!$E$4*('ПЛАН ЧЕРН ПОДЗЕМ'!E30*СПРАВОЧНИК!$H$4+'ПЛАН ЧЕРН ПОДЗЕМ'!F30*СПРАВОЧНИК!$I$4+'ПЛАН ЧЕРН ПОДЗЕМ'!G30*СПРАВОЧНИК!$J$4)+СПРАВОЧНИК!$E$5*('ПЛАН ЧЕРН ПОДЗЕМ'!H30*СПРАВОЧНИК!$H$5+'ПЛАН ЧЕРН ПОДЗЕМ'!I30*СПРАВОЧНИК!$I$5+'ПЛАН ЧЕРН ПОДЗЕМ'!J30*СПРАВОЧНИК!$J$5)+СПРАВОЧНИК!$E$6*('ПЛАН ЧЕРН ПОДЗЕМ'!K30*СПРАВОЧНИК!$H$6+'ПЛАН ЧЕРН ПОДЗЕМ'!L30*СПРАВОЧНИК!$I$6+'ПЛАН ЧЕРН ПОДЗЕМ'!M30*СПРАВОЧНИК!$J$6)+СПРАВОЧНИК!$E$7*('ПЛАН ЧЕРН ПОДЗЕМ'!N30*СПРАВОЧНИК!$H$7+'ПЛАН ЧЕРН ПОДЗЕМ'!O30*СПРАВОЧНИК!$I$7+'ПЛАН ЧЕРН ПОДЗЕМ'!P30*СПРАВОЧНИК!$J$7)+СПРАВОЧНИК!$E$8*('ПЛАН ЧЕРН ПОДЗЕМ'!Q30*СПРАВОЧНИК!$H$8+'ПЛАН ЧЕРН ПОДЗЕМ'!R30*СПРАВОЧНИК!$I$8+'ПЛАН ЧЕРН ПОДЗЕМ'!S30*СПРАВОЧНИК!$J$8)+СПРАВОЧНИК!$F$3*('ПЛАН ЧИСТ ПОДЗЕМ'!B30*СПРАВОЧНИК!$L$3+'ПЛАН ЧИСТ ПОДЗЕМ'!C30*СПРАВОЧНИК!$M$3+'ПЛАН ЧИСТ ПОДЗЕМ'!D30*СПРАВОЧНИК!$N$3)+СПРАВОЧНИК!$F$4*('ПЛАН ЧИСТ ПОДЗЕМ'!E30*СПРАВОЧНИК!$L$4+'ПЛАН ЧИСТ ПОДЗЕМ'!F30*СПРАВОЧНИК!$M$4+'ПЛАН ЧИСТ ПОДЗЕМ'!G30*СПРАВОЧНИК!$N$4)+СПРАВОЧНИК!$F$5*('ПЛАН ЧИСТ ПОДЗЕМ'!H30*СПРАВОЧНИК!$L$5+'ПЛАН ЧИСТ ПОДЗЕМ'!I30*СПРАВОЧНИК!$M$5+'ПЛАН ЧИСТ ПОДЗЕМ'!J30*СПРАВОЧНИК!$N$5)+СПРАВОЧНИК!$F$6*('ПЛАН ЧИСТ ПОДЗЕМ'!K30*СПРАВОЧНИК!$L$6+'ПЛАН ЧИСТ ПОДЗЕМ'!L30*СПРАВОЧНИК!$M$6+'ПЛАН ЧИСТ ПОДЗЕМ'!M30*СПРАВОЧНИК!$N$6)+СПРАВОЧНИК!$F$7*('ПЛАН ЧИСТ ПОДЗЕМ'!N30*СПРАВОЧНИК!$L$7+'ПЛАН ЧИСТ ПОДЗЕМ'!O30*СПРАВОЧНИК!$M$7+'ПЛАН ЧИСТ ПОДЗЕМ'!P30*СПРАВОЧНИК!$N$7)+СПРАВОЧНИК!$F$8*('ПЛАН ЧИСТ ПОДЗЕМ'!Q30*СПРАВОЧНИК!$L$8+'ПЛАН ЧИСТ ПОДЗЕМ'!R30*СПРАВОЧНИК!$M$8+'ПЛАН ЧИСТ ПОДЗЕМ'!S30*СПРАВОЧНИК!$N$8)</f>
        <v>0</v>
      </c>
      <c r="E39" s="40">
        <f>СПРАВОЧНИК!$E$3*(('ФАКТ ЧЕРН ПОДЗЕМ'!B30)*СПРАВОЧНИК!$H$3+('ФАКТ ЧЕРН ПОДЗЕМ'!C30)*СПРАВОЧНИК!$I$3+('ФАКТ ЧЕРН ПОДЗЕМ'!D30)*СПРАВОЧНИК!$J$3)+СПРАВОЧНИК!$E$4*(('ФАКТ ЧЕРН ПОДЗЕМ'!E30)*СПРАВОЧНИК!$H$4+('ФАКТ ЧЕРН ПОДЗЕМ'!F30)*СПРАВОЧНИК!$I$4+('ФАКТ ЧЕРН ПОДЗЕМ'!G30)*СПРАВОЧНИК!$J$4)+СПРАВОЧНИК!$E$5*(('ФАКТ ЧЕРН ПОДЗЕМ'!H30)*СПРАВОЧНИК!$H$5+('ФАКТ ЧЕРН ПОДЗЕМ'!I30)*СПРАВОЧНИК!$I$5+('ФАКТ ЧЕРН ПОДЗЕМ'!J30)*СПРАВОЧНИК!$J$5)+СПРАВОЧНИК!$E$6*(('ФАКТ ЧЕРН ПОДЗЕМ'!K30)*СПРАВОЧНИК!$H$6+('ФАКТ ЧЕРН ПОДЗЕМ'!L30)*СПРАВОЧНИК!$I$6+('ФАКТ ЧЕРН ПОДЗЕМ'!M30)*СПРАВОЧНИК!$J$6)+СПРАВОЧНИК!$E$7*(('ФАКТ ЧЕРН ПОДЗЕМ'!N30)*СПРАВОЧНИК!$H$7+('ФАКТ ЧЕРН ПОДЗЕМ'!O30)*СПРАВОЧНИК!$I$7+('ФАКТ ЧЕРН ПОДЗЕМ'!P30)*СПРАВОЧНИК!$J$7)+СПРАВОЧНИК!$E$8*(('ФАКТ ЧЕРН ПОДЗЕМ'!Q30)*СПРАВОЧНИК!$H$8+('ФАКТ ЧЕРН ПОДЗЕМ'!R30)*СПРАВОЧНИК!$I$8+('ФАКТ ЧЕРН ПОДЗЕМ'!S30)*СПРАВОЧНИК!$J$8)+СПРАВОЧНИК!$F$3*(('ФАКТ ЧИСТ ПОДЗЕМ'!B30)*СПРАВОЧНИК!$L$3+('ФАКТ ЧИСТ ПОДЗЕМ'!C30)*СПРАВОЧНИК!$M$3+('ФАКТ ЧИСТ ПОДЗЕМ'!D30)*СПРАВОЧНИК!$N$3)+СПРАВОЧНИК!$F$4*(('ФАКТ ЧИСТ ПОДЗЕМ'!E30)*СПРАВОЧНИК!$L$4+('ФАКТ ЧИСТ ПОДЗЕМ'!F30)*СПРАВОЧНИК!$M$4+('ФАКТ ЧИСТ ПОДЗЕМ'!G30)*СПРАВОЧНИК!$N$4)+СПРАВОЧНИК!$F$5*(('ФАКТ ЧИСТ ПОДЗЕМ'!H30)*СПРАВОЧНИК!$L$5+('ФАКТ ЧИСТ ПОДЗЕМ'!I30)*СПРАВОЧНИК!$M$5+('ФАКТ ЧИСТ ПОДЗЕМ'!J30)*СПРАВОЧНИК!$N$5)+СПРАВОЧНИК!$F$6*(('ФАКТ ЧИСТ ПОДЗЕМ'!K30)*СПРАВОЧНИК!$L$6+('ФАКТ ЧИСТ ПОДЗЕМ'!L30)*СПРАВОЧНИК!$M$6+('ФАКТ ЧИСТ ПОДЗЕМ'!M30)*СПРАВОЧНИК!$N$6)+СПРАВОЧНИК!$F$7*(('ФАКТ ЧИСТ ПОДЗЕМ'!N30)*СПРАВОЧНИК!$L$7+('ФАКТ ЧИСТ ПОДЗЕМ'!O30)*СПРАВОЧНИК!$M$7+('ФАКТ ЧИСТ ПОДЗЕМ'!P30)*СПРАВОЧНИК!$N$7)+СПРАВОЧНИК!$F$8*(('ФАКТ ЧИСТ ПОДЗЕМ'!Q30)*СПРАВОЧНИК!$L$8+('ФАКТ ЧИСТ ПОДЗЕМ'!R30)*СПРАВОЧНИК!$M$8+('ФАКТ ЧИСТ ПОДЗЕМ'!S30)*СПРАВОЧНИК!$N$8)</f>
        <v>0</v>
      </c>
      <c r="I39" s="18">
        <f t="shared" si="13"/>
        <v>46349</v>
      </c>
      <c r="J39" s="37">
        <f>'ПЛАН ЧЕРН ПОДЗЕМ'!B30*СПРАВОЧНИК!$H$3+'ПЛАН ЧЕРН ПОДЗЕМ'!C30*СПРАВОЧНИК!$I$3+'ПЛАН ЧЕРН ПОДЗЕМ'!D30*СПРАВОЧНИК!$J$3+'ПЛАН ЧЕРН ПОДЗЕМ'!E30*СПРАВОЧНИК!$H$4+'ПЛАН ЧЕРН ПОДЗЕМ'!F30*СПРАВОЧНИК!$I$4+'ПЛАН ЧЕРН ПОДЗЕМ'!G30*СПРАВОЧНИК!$J$4+'ПЛАН ЧЕРН ПОДЗЕМ'!H30*СПРАВОЧНИК!$H$5+'ПЛАН ЧЕРН ПОДЗЕМ'!I30*СПРАВОЧНИК!$I$5+'ПЛАН ЧЕРН ПОДЗЕМ'!J30*СПРАВОЧНИК!$J$5+'ПЛАН ЧЕРН ПОДЗЕМ'!K30*СПРАВОЧНИК!$H$6+'ПЛАН ЧЕРН ПОДЗЕМ'!L30*СПРАВОЧНИК!$I$6+'ПЛАН ЧЕРН ПОДЗЕМ'!M30*СПРАВОЧНИК!$J$6+'ПЛАН ЧЕРН ПОДЗЕМ'!N30*СПРАВОЧНИК!$H$7+'ПЛАН ЧЕРН ПОДЗЕМ'!O30*СПРАВОЧНИК!$I$7+'ПЛАН ЧЕРН ПОДЗЕМ'!P30*СПРАВОЧНИК!$J$7+'ПЛАН ЧЕРН ПОДЗЕМ'!Q30*СПРАВОЧНИК!$H$8+'ПЛАН ЧЕРН ПОДЗЕМ'!R30*СПРАВОЧНИК!$I$8+'ПЛАН ЧЕРН ПОДЗЕМ'!S30*СПРАВОЧНИК!$J$8</f>
        <v>0</v>
      </c>
      <c r="K39" s="40">
        <f>('ФАКТ ЧЕРН ПОДЗЕМ'!B30)*СПРАВОЧНИК!$H$3+('ФАКТ ЧЕРН ПОДЗЕМ'!C30)*СПРАВОЧНИК!$I$3+('ФАКТ ЧЕРН ПОДЗЕМ'!D30)*СПРАВОЧНИК!$J$3+('ФАКТ ЧЕРН ПОДЗЕМ'!E30)*СПРАВОЧНИК!$H$4+('ФАКТ ЧЕРН ПОДЗЕМ'!F30)*СПРАВОЧНИК!$I$4+('ФАКТ ЧЕРН ПОДЗЕМ'!G30)*СПРАВОЧНИК!$J$4+('ФАКТ ЧЕРН ПОДЗЕМ'!H30)*СПРАВОЧНИК!$H$5+('ФАКТ ЧЕРН ПОДЗЕМ'!I30)*СПРАВОЧНИК!$I$5+('ФАКТ ЧЕРН ПОДЗЕМ'!J30)*СПРАВОЧНИК!$J$5+('ФАКТ ЧЕРН ПОДЗЕМ'!K30)*СПРАВОЧНИК!$H$6+('ФАКТ ЧЕРН ПОДЗЕМ'!L30)*СПРАВОЧНИК!$I$6+('ФАКТ ЧЕРН ПОДЗЕМ'!M30)*СПРАВОЧНИК!$J$6+('ФАКТ ЧЕРН ПОДЗЕМ'!N30)*СПРАВОЧНИК!$H$7+('ФАКТ ЧЕРН ПОДЗЕМ'!O30)*СПРАВОЧНИК!$I$7+('ФАКТ ЧЕРН ПОДЗЕМ'!P30)*СПРАВОЧНИК!$J$7+('ФАКТ ЧЕРН ПОДЗЕМ'!Q30)*СПРАВОЧНИК!$H$8+('ФАКТ ЧЕРН ПОДЗЕМ'!R30)*СПРАВОЧНИК!$I$8+('ФАКТ ЧЕРН ПОДЗЕМ'!S30)*СПРАВОЧНИК!$J$8</f>
        <v>0</v>
      </c>
      <c r="O39" s="18">
        <f t="shared" si="14"/>
        <v>46349</v>
      </c>
      <c r="P39" s="37">
        <f>'ПЛАН ЧИСТ ПОДЗЕМ'!B30*СПРАВОЧНИК!$L$3+'ПЛАН ЧИСТ ПОДЗЕМ'!C30*СПРАВОЧНИК!$M$3+'ПЛАН ЧИСТ ПОДЗЕМ'!D30*СПРАВОЧНИК!$N$3+'ПЛАН ЧИСТ ПОДЗЕМ'!E30*СПРАВОЧНИК!$L$4+'ПЛАН ЧИСТ ПОДЗЕМ'!F30*СПРАВОЧНИК!$M$4+'ПЛАН ЧИСТ ПОДЗЕМ'!G30*СПРАВОЧНИК!$N$4+'ПЛАН ЧИСТ ПОДЗЕМ'!H30*СПРАВОЧНИК!$L$5+'ПЛАН ЧИСТ ПОДЗЕМ'!I30*СПРАВОЧНИК!$M$5+'ПЛАН ЧИСТ ПОДЗЕМ'!J30*СПРАВОЧНИК!$N$5+'ПЛАН ЧИСТ ПОДЗЕМ'!K30*СПРАВОЧНИК!$L$6+'ПЛАН ЧИСТ ПОДЗЕМ'!L30*СПРАВОЧНИК!$M$6+'ПЛАН ЧИСТ ПОДЗЕМ'!M30*СПРАВОЧНИК!$N$6+'ПЛАН ЧИСТ ПОДЗЕМ'!N30*СПРАВОЧНИК!$L$7+'ПЛАН ЧИСТ ПОДЗЕМ'!O30*СПРАВОЧНИК!$M$7+'ПЛАН ЧИСТ ПОДЗЕМ'!P30*СПРАВОЧНИК!$N$7+'ПЛАН ЧИСТ ПОДЗЕМ'!Q30*СПРАВОЧНИК!$L$8+'ПЛАН ЧИСТ ПОДЗЕМ'!R30*СПРАВОЧНИК!$M$8+'ПЛАН ЧИСТ ПОДЗЕМ'!S30*СПРАВОЧНИК!$N$8</f>
        <v>0</v>
      </c>
      <c r="Q39" s="40">
        <f>('ФАКТ ЧИСТ ПОДЗЕМ'!B30)*СПРАВОЧНИК!$L$3+('ФАКТ ЧИСТ ПОДЗЕМ'!C30)*СПРАВОЧНИК!$M$3+('ФАКТ ЧИСТ ПОДЗЕМ'!D30)*СПРАВОЧНИК!$N$3+('ФАКТ ЧИСТ ПОДЗЕМ'!E30)*СПРАВОЧНИК!$L$4+('ФАКТ ЧИСТ ПОДЗЕМ'!F30)*СПРАВОЧНИК!$M$4+('ФАКТ ЧИСТ ПОДЗЕМ'!G30)*СПРАВОЧНИК!$N$4+('ФАКТ ЧИСТ ПОДЗЕМ'!H30)*СПРАВОЧНИК!$L$5+('ФАКТ ЧИСТ ПОДЗЕМ'!I30)*СПРАВОЧНИК!$M$5+('ФАКТ ЧИСТ ПОДЗЕМ'!J30)*СПРАВОЧНИК!$N$5+('ФАКТ ЧИСТ ПОДЗЕМ'!K30)*СПРАВОЧНИК!$L$6+('ФАКТ ЧИСТ ПОДЗЕМ'!L30)*СПРАВОЧНИК!$M$6+('ФАКТ ЧИСТ ПОДЗЕМ'!M30)*СПРАВОЧНИК!$N$6+('ФАКТ ЧИСТ ПОДЗЕМ'!N30)*СПРАВОЧНИК!$L$7+('ФАКТ ЧИСТ ПОДЗЕМ'!O30)*СПРАВОЧНИК!$M$7+('ФАКТ ЧИСТ ПОДЗЕМ'!P30)*СПРАВОЧНИК!$N$7+('ФАКТ ЧИСТ ПОДЗЕМ'!Q30)*СПРАВОЧНИК!$L$8+('ФАКТ ЧИСТ ПОДЗЕМ'!R30)*СПРАВОЧНИК!$M$8+('ФАКТ ЧИСТ ПОДЗЕМ'!S30)*СПРАВОЧНИК!$N$8</f>
        <v>0</v>
      </c>
      <c r="U39" s="18">
        <f t="shared" si="15"/>
        <v>46349</v>
      </c>
      <c r="V39" s="37">
        <f>СПРАВОЧНИК!$E$9*('ПЛАН ЧЕРН К1'!B30*СПРАВОЧНИК!$H$9+'ПЛАН ЧЕРН К1'!C30*СПРАВОЧНИК!$I$9+'ПЛАН ЧЕРН К1'!D30*СПРАВОЧНИК!$J$9)+СПРАВОЧНИК!$E$10*('ПЛАН ЧЕРН К1'!E30*СПРАВОЧНИК!$H$10+'ПЛАН ЧЕРН К1'!F30*СПРАВОЧНИК!$I$10+'ПЛАН ЧЕРН К1'!G30*СПРАВОЧНИК!$J$10)+СПРАВОЧНИК!$E$11*('ПЛАН ЧЕРН К1'!H30*СПРАВОЧНИК!$H$11+'ПЛАН ЧЕРН К1'!I30*СПРАВОЧНИК!$I$11+'ПЛАН ЧЕРН К1'!J30*СПРАВОЧНИК!$J$11)+СПРАВОЧНИК!$E$12*('ПЛАН ЧЕРН К1'!K30*СПРАВОЧНИК!$H$12+'ПЛАН ЧЕРН К1'!L30*СПРАВОЧНИК!$I$12+'ПЛАН ЧЕРН К1'!M30*СПРАВОЧНИК!$J$12)+СПРАВОЧНИК!$E$13*('ПЛАН ЧЕРН К1'!N30*СПРАВОЧНИК!$H$13+'ПЛАН ЧЕРН К1'!O30*СПРАВОЧНИК!$I$13+'ПЛАН ЧЕРН К1'!P30*СПРАВОЧНИК!$J$13)+СПРАВОЧНИК!$E$14*('ПЛАН ЧЕРН К1'!Q30*СПРАВОЧНИК!$H$14+'ПЛАН ЧЕРН К1'!R30*СПРАВОЧНИК!$I$14+'ПЛАН ЧЕРН К1'!S30*СПРАВОЧНИК!$J$14)+СПРАВОЧНИК!$E$15*('ПЛАН ЧЕРН К1'!T30*СПРАВОЧНИК!$H$15+'ПЛАН ЧЕРН К1'!U30*СПРАВОЧНИК!$I$15+'ПЛАН ЧЕРН К1'!V30*СПРАВОЧНИК!$J$15)+СПРАВОЧНИК!$F$9*('ПЛАН ЧИСТ К1'!B30*СПРАВОЧНИК!$L$9+'ПЛАН ЧИСТ К1'!C30*СПРАВОЧНИК!$M$9+'ПЛАН ЧИСТ К1'!D30*СПРАВОЧНИК!$N$9+'ПЛАН ЧИСТ К1'!E30*СПРАВОЧНИК!$O$9)+СПРАВОЧНИК!$F$10*('ПЛАН ЧИСТ К1'!F30*СПРАВОЧНИК!$L$10+'ПЛАН ЧИСТ К1'!G30*СПРАВОЧНИК!$M$10+'ПЛАН ЧИСТ К1'!H30*СПРАВОЧНИК!$N$10)+СПРАВОЧНИК!$F$11*('ПЛАН ЧИСТ К1'!I30*СПРАВОЧНИК!$L$11+'ПЛАН ЧИСТ К1'!J30*СПРАВОЧНИК!$M$11+'ПЛАН ЧИСТ К1'!K30*СПРАВОЧНИК!$N$11)+СПРАВОЧНИК!$F$12*('ПЛАН ЧИСТ К1'!L30*СПРАВОЧНИК!$L$12+'ПЛАН ЧИСТ К1'!M30*СПРАВОЧНИК!$M$12+'ПЛАН ЧИСТ К1'!N30*СПРАВОЧНИК!$N$12)+СПРАВОЧНИК!$F$13*('ПЛАН ЧИСТ К1'!O30*СПРАВОЧНИК!$L$13+'ПЛАН ЧИСТ К1'!P30*СПРАВОЧНИК!$M$13+'ПЛАН ЧИСТ К1'!Q30*СПРАВОЧНИК!$N$13)+СПРАВОЧНИК!$F$14*('ПЛАН ЧИСТ К1'!R30*СПРАВОЧНИК!$L$14+'ПЛАН ЧИСТ К1'!S30*СПРАВОЧНИК!$M$14+'ПЛАН ЧИСТ К1'!T30*СПРАВОЧНИК!$N$14)+СПРАВОЧНИК!$F$15*('ПЛАН ЧИСТ К1'!U30*СПРАВОЧНИК!$L$15+'ПЛАН ЧИСТ К1'!V30*СПРАВОЧНИК!$M$15+'ПЛАН ЧИСТ К1'!W30*СПРАВОЧНИК!$N$15)</f>
        <v>0</v>
      </c>
      <c r="W39" s="40">
        <f>СПРАВОЧНИК!$E$9*(('ФАКТ ЧЕРН К1'!B30)*СПРАВОЧНИК!$H$9+('ФАКТ ЧЕРН К1'!C30)*СПРАВОЧНИК!$I$9+('ФАКТ ЧЕРН К1'!D30)*СПРАВОЧНИК!$J$9)+СПРАВОЧНИК!$E$10*(('ФАКТ ЧЕРН К1'!E30)*СПРАВОЧНИК!$H$10+('ФАКТ ЧЕРН К1'!F30)*СПРАВОЧНИК!$I$10+('ФАКТ ЧЕРН К1'!G30)*СПРАВОЧНИК!$J$10)+СПРАВОЧНИК!$E$11*(('ФАКТ ЧЕРН К1'!H30)*СПРАВОЧНИК!$H$11+('ФАКТ ЧЕРН К1'!I30)*СПРАВОЧНИК!$I$11+('ФАКТ ЧЕРН К1'!J30)*СПРАВОЧНИК!$J$11)+СПРАВОЧНИК!$E$12*(('ФАКТ ЧЕРН К1'!K30)*СПРАВОЧНИК!$H$12+('ФАКТ ЧЕРН К1'!L30)*СПРАВОЧНИК!$I$12+('ФАКТ ЧЕРН К1'!M30)*СПРАВОЧНИК!$J$12)+СПРАВОЧНИК!$E$13*(('ФАКТ ЧЕРН К1'!N30)*СПРАВОЧНИК!$H$13+('ФАКТ ЧЕРН К1'!O30)*СПРАВОЧНИК!$I$13+('ФАКТ ЧЕРН К1'!P30)*СПРАВОЧНИК!$J$13)+СПРАВОЧНИК!$E$14*(('ФАКТ ЧЕРН К1'!Q30)*СПРАВОЧНИК!$H$14+('ФАКТ ЧЕРН К1'!R30)*СПРАВОЧНИК!$I$14+('ФАКТ ЧЕРН К1'!S30)*СПРАВОЧНИК!$J$14)+СПРАВОЧНИК!$E$15*(('ФАКТ ЧЕРН К1'!T30)*СПРАВОЧНИК!$H$15+('ФАКТ ЧЕРН К1'!U30)*СПРАВОЧНИК!$I$15+('ФАКТ ЧЕРН К1'!V30)*СПРАВОЧНИК!$J$15)+СПРАВОЧНИК!$F$9*(('ФАКТ ЧИСТ К1'!B30)*СПРАВОЧНИК!$L$9+('ФАКТ ЧИСТ К1'!C30)*СПРАВОЧНИК!$M$9+('ФАКТ ЧИСТ К1'!D30)*СПРАВОЧНИК!$N$9+('ФАКТ ЧИСТ К1'!E30)*СПРАВОЧНИК!$O$9)+СПРАВОЧНИК!$F$10*(('ФАКТ ЧИСТ К1'!F30)*СПРАВОЧНИК!$L$10+('ФАКТ ЧИСТ К1'!G30)*СПРАВОЧНИК!$M$10+('ФАКТ ЧИСТ К1'!H30)*СПРАВОЧНИК!$N$10)+СПРАВОЧНИК!$F$11*(('ФАКТ ЧИСТ К1'!I30)*СПРАВОЧНИК!$L$11+('ФАКТ ЧИСТ К1'!J30)*СПРАВОЧНИК!$M$11+('ФАКТ ЧИСТ К1'!K30)*СПРАВОЧНИК!$N$11)+СПРАВОЧНИК!$F$12*(('ФАКТ ЧИСТ К1'!L30)*СПРАВОЧНИК!$L$12+('ФАКТ ЧИСТ К1'!M30)*СПРАВОЧНИК!$M$12+('ФАКТ ЧИСТ К1'!N30)*СПРАВОЧНИК!$N$12)+СПРАВОЧНИК!$F$13*(('ФАКТ ЧИСТ К1'!O30)*СПРАВОЧНИК!$L$13+('ФАКТ ЧИСТ К1'!P30)*СПРАВОЧНИК!$M$13+('ФАКТ ЧИСТ К1'!Q30)*СПРАВОЧНИК!$N$13)+СПРАВОЧНИК!$F$14*(('ФАКТ ЧИСТ К1'!R30)*СПРАВОЧНИК!$L$14+('ФАКТ ЧИСТ К1'!S30)*СПРАВОЧНИК!$M$14+('ФАКТ ЧИСТ К1'!T30)*СПРАВОЧНИК!$N$14)+СПРАВОЧНИК!$F$15*(('ФАКТ ЧИСТ К1'!U30)*СПРАВОЧНИК!$L$15+('ФАКТ ЧИСТ К1'!V30)*СПРАВОЧНИК!$M$15+('ФАКТ ЧИСТ К1'!W30)*СПРАВОЧНИК!$N$15)</f>
        <v>0</v>
      </c>
      <c r="AA39" s="18">
        <f t="shared" si="16"/>
        <v>46349</v>
      </c>
      <c r="AB39" s="37">
        <f>'ПЛАН ЧЕРН К1'!B30*СПРАВОЧНИК!$H$9+'ПЛАН ЧЕРН К1'!C30*СПРАВОЧНИК!$I$9+'ПЛАН ЧЕРН К1'!D30*СПРАВОЧНИК!$J$9+'ПЛАН ЧЕРН К1'!E30*СПРАВОЧНИК!$H$10+'ПЛАН ЧЕРН К1'!F30*СПРАВОЧНИК!$I$10+'ПЛАН ЧЕРН К1'!G30*СПРАВОЧНИК!$J$10+'ПЛАН ЧЕРН К1'!H30*СПРАВОЧНИК!$H$11+'ПЛАН ЧЕРН К1'!I30*СПРАВОЧНИК!$I$11+'ПЛАН ЧЕРН К1'!J30*СПРАВОЧНИК!$J$11+'ПЛАН ЧЕРН К1'!K30*СПРАВОЧНИК!$H$12+'ПЛАН ЧЕРН К1'!L30*СПРАВОЧНИК!$I$12+'ПЛАН ЧЕРН К1'!M30*СПРАВОЧНИК!$J$12+'ПЛАН ЧЕРН К1'!N30*СПРАВОЧНИК!$H$13+'ПЛАН ЧЕРН К1'!O30*СПРАВОЧНИК!$I$13+'ПЛАН ЧЕРН К1'!P30*СПРАВОЧНИК!$J$13+'ПЛАН ЧЕРН К1'!Q30*СПРАВОЧНИК!$H$14+'ПЛАН ЧЕРН К1'!R30*СПРАВОЧНИК!$I$14+'ПЛАН ЧЕРН К1'!S30*СПРАВОЧНИК!$J$14+'ПЛАН ЧЕРН К1'!T30*СПРАВОЧНИК!$H$15+'ПЛАН ЧЕРН К1'!U30*СПРАВОЧНИК!$I$15+'ПЛАН ЧЕРН К1'!V30*СПРАВОЧНИК!$J$15</f>
        <v>0</v>
      </c>
      <c r="AC39" s="40">
        <f>('ФАКТ ЧЕРН К1'!B30)*СПРАВОЧНИК!$H$9+('ФАКТ ЧЕРН К1'!C30)*СПРАВОЧНИК!$I$9+('ФАКТ ЧЕРН К1'!D30)*СПРАВОЧНИК!$J$9+('ФАКТ ЧЕРН К1'!E30)*СПРАВОЧНИК!$H$10+('ФАКТ ЧЕРН К1'!F30)*СПРАВОЧНИК!$I$10+('ФАКТ ЧЕРН К1'!G30)*СПРАВОЧНИК!$J$10+('ФАКТ ЧЕРН К1'!H30)*СПРАВОЧНИК!$H$11+('ФАКТ ЧЕРН К1'!I30)*СПРАВОЧНИК!$I$11+('ФАКТ ЧЕРН К1'!J30)*СПРАВОЧНИК!$J$11+('ФАКТ ЧЕРН К1'!K30)*СПРАВОЧНИК!$H$12+('ФАКТ ЧЕРН К1'!L30)*СПРАВОЧНИК!$I$12+('ФАКТ ЧЕРН К1'!M30)*СПРАВОЧНИК!$J$12+('ФАКТ ЧЕРН К1'!N30)*СПРАВОЧНИК!$H$13+('ФАКТ ЧЕРН К1'!O30)*СПРАВОЧНИК!$I$13+('ФАКТ ЧЕРН К1'!P30)*СПРАВОЧНИК!$J$13+('ФАКТ ЧЕРН К1'!Q30)*СПРАВОЧНИК!$H$14+('ФАКТ ЧЕРН К1'!R30)*СПРАВОЧНИК!$I$14+('ФАКТ ЧЕРН К1'!S30)*СПРАВОЧНИК!$J$14+('ФАКТ ЧЕРН К1'!T30)*СПРАВОЧНИК!$H$15+('ФАКТ ЧЕРН К1'!U30)*СПРАВОЧНИК!$I$15+('ФАКТ ЧЕРН К1'!V30)*СПРАВОЧНИК!$J$15</f>
        <v>0</v>
      </c>
      <c r="AG39" s="18">
        <f t="shared" si="17"/>
        <v>46349</v>
      </c>
      <c r="AH39" s="37">
        <f>'ПЛАН ЧИСТ К1'!B30*СПРАВОЧНИК!$L$9+'ПЛАН ЧИСТ К1'!C30*СПРАВОЧНИК!$M$9+'ПЛАН ЧИСТ К1'!D30*СПРАВОЧНИК!$N$9+'ПЛАН ЧИСТ К1'!E30*СПРАВОЧНИК!$O$9+'ПЛАН ЧИСТ К1'!F30*СПРАВОЧНИК!$L$10+'ПЛАН ЧИСТ К1'!G30*СПРАВОЧНИК!$M$10+'ПЛАН ЧИСТ К1'!H30*СПРАВОЧНИК!$N$10+'ПЛАН ЧИСТ К1'!I30*СПРАВОЧНИК!$L$11+'ПЛАН ЧИСТ К1'!J30*СПРАВОЧНИК!$M$11+'ПЛАН ЧИСТ К1'!K30*СПРАВОЧНИК!$N$11+'ПЛАН ЧИСТ К1'!L30*СПРАВОЧНИК!$L$12+'ПЛАН ЧИСТ К1'!M30*СПРАВОЧНИК!$M$12+'ПЛАН ЧИСТ К1'!N30*СПРАВОЧНИК!$N$12+'ПЛАН ЧИСТ К1'!O30*СПРАВОЧНИК!$L$13+'ПЛАН ЧИСТ К1'!P30*СПРАВОЧНИК!$M$13+'ПЛАН ЧИСТ К1'!Q30*СПРАВОЧНИК!$N$13+'ПЛАН ЧИСТ К1'!R30*СПРАВОЧНИК!$L$14+'ПЛАН ЧИСТ К1'!S30*СПРАВОЧНИК!$M$14+'ПЛАН ЧИСТ К1'!T30*СПРАВОЧНИК!$N$14+'ПЛАН ЧИСТ К1'!U30*СПРАВОЧНИК!$L$15+'ПЛАН ЧИСТ К1'!V30*СПРАВОЧНИК!$M$15+'ПЛАН ЧИСТ К1'!W30*СПРАВОЧНИК!$N$15</f>
        <v>0</v>
      </c>
      <c r="AI39" s="40">
        <f>('ФАКТ ЧИСТ К1'!B30)*СПРАВОЧНИК!$L$9+('ФАКТ ЧИСТ К1'!C30)*СПРАВОЧНИК!$M$9+('ФАКТ ЧИСТ К1'!D30)*СПРАВОЧНИК!$N$9+('ФАКТ ЧИСТ К1'!E30)*СПРАВОЧНИК!$O$9+('ФАКТ ЧИСТ К1'!F30)*СПРАВОЧНИК!$L$10+('ФАКТ ЧИСТ К1'!G30)*СПРАВОЧНИК!$M$10+('ФАКТ ЧИСТ К1'!H30)*СПРАВОЧНИК!$N$10+('ФАКТ ЧИСТ К1'!I30)*СПРАВОЧНИК!$L$11+('ФАКТ ЧИСТ К1'!J30)*СПРАВОЧНИК!$M$11+('ФАКТ ЧИСТ К1'!K30)*СПРАВОЧНИК!$N$11+('ФАКТ ЧИСТ К1'!L30)*СПРАВОЧНИК!$L$12+('ФАКТ ЧИСТ К1'!M30)*СПРАВОЧНИК!$M$12+('ФАКТ ЧИСТ К1'!N30)*СПРАВОЧНИК!$N$12+('ФАКТ ЧИСТ К1'!O30)*СПРАВОЧНИК!$L$13+('ФАКТ ЧИСТ К1'!P30)*СПРАВОЧНИК!$M$13+('ФАКТ ЧИСТ К1'!Q30)*СПРАВОЧНИК!$N$13+('ФАКТ ЧИСТ К1'!R30)*СПРАВОЧНИК!$L$14+('ФАКТ ЧИСТ К1'!S30)*СПРАВОЧНИК!$M$14+('ФАКТ ЧИСТ К1'!T30)*СПРАВОЧНИК!$N$14+('ФАКТ ЧИСТ К1'!U30)*СПРАВОЧНИК!$L$15+('ФАКТ ЧИСТ К1'!V30)*СПРАВОЧНИК!$M$15+('ФАКТ ЧИСТ К1'!W30)*СПРАВОЧНИК!$N$15</f>
        <v>0</v>
      </c>
      <c r="AM39" s="18">
        <f t="shared" si="18"/>
        <v>46349</v>
      </c>
      <c r="AN39" s="37">
        <f>СПРАВОЧНИК!$E$9*('ПЛАН ЧЕРН К2'!B30*СПРАВОЧНИК!$H$9+'ПЛАН ЧЕРН К2'!C30*СПРАВОЧНИК!$I$9+'ПЛАН ЧЕРН К2'!D30*СПРАВОЧНИК!$J$9)+СПРАВОЧНИК!$E$10*('ПЛАН ЧЕРН К2'!E30*СПРАВОЧНИК!$H$10+'ПЛАН ЧЕРН К2'!F30*СПРАВОЧНИК!$I$10+'ПЛАН ЧЕРН К2'!G30*СПРАВОЧНИК!$J$10)+СПРАВОЧНИК!$E$11*('ПЛАН ЧЕРН К2'!H30*СПРАВОЧНИК!$H$11+'ПЛАН ЧЕРН К2'!I30*СПРАВОЧНИК!$I$11+'ПЛАН ЧЕРН К2'!J30*СПРАВОЧНИК!$J$11)+СПРАВОЧНИК!$E$12*('ПЛАН ЧЕРН К2'!K30*СПРАВОЧНИК!$H$12+'ПЛАН ЧЕРН К2'!L30*СПРАВОЧНИК!$I$12+'ПЛАН ЧЕРН К2'!M30*СПРАВОЧНИК!$J$12)+СПРАВОЧНИК!$E$13*('ПЛАН ЧЕРН К2'!N30*СПРАВОЧНИК!$H$13+'ПЛАН ЧЕРН К2'!O30*СПРАВОЧНИК!$I$13+'ПЛАН ЧЕРН К2'!P30*СПРАВОЧНИК!$J$13)+СПРАВОЧНИК!$E$14*('ПЛАН ЧЕРН К2'!Q30*СПРАВОЧНИК!$H$14+'ПЛАН ЧЕРН К2'!R30*СПРАВОЧНИК!$I$14+'ПЛАН ЧЕРН К2'!S30*СПРАВОЧНИК!$J$14)+СПРАВОЧНИК!$E$15*('ПЛАН ЧЕРН К2'!T30*СПРАВОЧНИК!$H$15+'ПЛАН ЧЕРН К2'!U30*СПРАВОЧНИК!$I$15+'ПЛАН ЧЕРН К2'!V30*СПРАВОЧНИК!$J$15)+СПРАВОЧНИК!$F$9*('ПЛАН ЧИСТ К2'!B30*СПРАВОЧНИК!$L$9+'ПЛАН ЧИСТ К2'!C30*СПРАВОЧНИК!$M$9+'ПЛАН ЧИСТ К2'!D30*СПРАВОЧНИК!$N$9+'ПЛАН ЧИСТ К2'!E30*СПРАВОЧНИК!$O$9)+СПРАВОЧНИК!$F$10*('ПЛАН ЧИСТ К2'!F30*СПРАВОЧНИК!$L$10+'ПЛАН ЧИСТ К2'!G30*СПРАВОЧНИК!$M$10+'ПЛАН ЧИСТ К2'!H30*СПРАВОЧНИК!$N$10)+СПРАВОЧНИК!$F$11*('ПЛАН ЧИСТ К2'!I30*СПРАВОЧНИК!$L$11+'ПЛАН ЧИСТ К2'!J30*СПРАВОЧНИК!$M$11+'ПЛАН ЧИСТ К2'!K30*СПРАВОЧНИК!$N$11)+СПРАВОЧНИК!$F$12*('ПЛАН ЧИСТ К2'!L30*СПРАВОЧНИК!$L$12+'ПЛАН ЧИСТ К2'!M30*СПРАВОЧНИК!$M$12+'ПЛАН ЧИСТ К2'!N30*СПРАВОЧНИК!$N$12)+СПРАВОЧНИК!$F$13*('ПЛАН ЧИСТ К2'!O30*СПРАВОЧНИК!$L$13+'ПЛАН ЧИСТ К2'!P30*СПРАВОЧНИК!$M$13+'ПЛАН ЧИСТ К2'!Q30*СПРАВОЧНИК!$N$13)+СПРАВОЧНИК!$F$14*('ПЛАН ЧИСТ К2'!R30*СПРАВОЧНИК!$L$14+'ПЛАН ЧИСТ К2'!S30*СПРАВОЧНИК!$M$14+'ПЛАН ЧИСТ К2'!T30*СПРАВОЧНИК!$N$14)+СПРАВОЧНИК!$F$15*('ПЛАН ЧИСТ К2'!U30*СПРАВОЧНИК!$L$15+'ПЛАН ЧИСТ К2'!V30*СПРАВОЧНИК!$M$15+'ПЛАН ЧИСТ К2'!W30*СПРАВОЧНИК!$N$15)</f>
        <v>0</v>
      </c>
      <c r="AO39" s="40">
        <f>СПРАВОЧНИК!$E$9*(('ФАКТ ЧЕРН К2'!B30)*СПРАВОЧНИК!$H$9+('ФАКТ ЧЕРН К2'!C30)*СПРАВОЧНИК!$I$9+('ФАКТ ЧЕРН К2'!D30)*СПРАВОЧНИК!$J$9)+СПРАВОЧНИК!$E$10*(('ФАКТ ЧЕРН К2'!E30)*СПРАВОЧНИК!$H$10+('ФАКТ ЧЕРН К2'!F30)*СПРАВОЧНИК!$I$10+('ФАКТ ЧЕРН К2'!G30)*СПРАВОЧНИК!$J$10)+СПРАВОЧНИК!$E$11*(('ФАКТ ЧЕРН К2'!H30)*СПРАВОЧНИК!$H$11+('ФАКТ ЧЕРН К2'!I30)*СПРАВОЧНИК!$I$11+('ФАКТ ЧЕРН К2'!J30)*СПРАВОЧНИК!$J$11)+СПРАВОЧНИК!$E$12*(('ФАКТ ЧЕРН К2'!K30)*СПРАВОЧНИК!$H$12+('ФАКТ ЧЕРН К2'!L30)*СПРАВОЧНИК!$I$12+('ФАКТ ЧЕРН К2'!M30)*СПРАВОЧНИК!$J$12)+СПРАВОЧНИК!$E$13*(('ФАКТ ЧЕРН К2'!N30)*СПРАВОЧНИК!$H$13+('ФАКТ ЧЕРН К2'!O30)*СПРАВОЧНИК!$I$13+('ФАКТ ЧЕРН К2'!P30)*СПРАВОЧНИК!$J$13)+СПРАВОЧНИК!$E$14*(('ФАКТ ЧЕРН К2'!Q30)*СПРАВОЧНИК!$H$14+('ФАКТ ЧЕРН К2'!R30)*СПРАВОЧНИК!$I$14+('ФАКТ ЧЕРН К2'!S30)*СПРАВОЧНИК!$J$14)+СПРАВОЧНИК!$E$15*(('ФАКТ ЧЕРН К2'!T30)*СПРАВОЧНИК!$H$15+('ФАКТ ЧЕРН К2'!U30)*СПРАВОЧНИК!$I$15+('ФАКТ ЧЕРН К2'!V30)*СПРАВОЧНИК!$J$15)+СПРАВОЧНИК!$F$9*(('ФАКТ ЧИСТ К2'!B30)*СПРАВОЧНИК!$L$9+('ФАКТ ЧИСТ К2'!C30)*СПРАВОЧНИК!$M$9+('ФАКТ ЧИСТ К2'!D30)*СПРАВОЧНИК!$N$9+('ФАКТ ЧИСТ К2'!E30)*СПРАВОЧНИК!$O$9)+СПРАВОЧНИК!$F$10*(('ФАКТ ЧИСТ К2'!F30)*СПРАВОЧНИК!$L$10+('ФАКТ ЧИСТ К2'!G30)*СПРАВОЧНИК!$M$10+('ФАКТ ЧИСТ К2'!H30)*СПРАВОЧНИК!$N$10)+СПРАВОЧНИК!$F$11*(('ФАКТ ЧИСТ К2'!I30)*СПРАВОЧНИК!$L$11+('ФАКТ ЧИСТ К2'!J30)*СПРАВОЧНИК!$M$11+('ФАКТ ЧИСТ К2'!K30)*СПРАВОЧНИК!$N$11)+СПРАВОЧНИК!$F$12*(('ФАКТ ЧИСТ К2'!L30)*СПРАВОЧНИК!$L$12+('ФАКТ ЧИСТ К2'!M30)*СПРАВОЧНИК!$M$12+('ФАКТ ЧИСТ К2'!N30)*СПРАВОЧНИК!$N$12)+СПРАВОЧНИК!$F$13*(('ФАКТ ЧИСТ К2'!O30)*СПРАВОЧНИК!$L$13+('ФАКТ ЧИСТ К2'!P30)*СПРАВОЧНИК!$M$13+('ФАКТ ЧИСТ К2'!Q30)*СПРАВОЧНИК!$N$13)+СПРАВОЧНИК!$F$14*(('ФАКТ ЧИСТ К2'!R30)*СПРАВОЧНИК!$L$14+('ФАКТ ЧИСТ К2'!S30)*СПРАВОЧНИК!$M$14+('ФАКТ ЧИСТ К2'!T30)*СПРАВОЧНИК!$N$14)+СПРАВОЧНИК!$F$15*(('ФАКТ ЧИСТ К2'!U30)*СПРАВОЧНИК!$L$15+('ФАКТ ЧИСТ К2'!V30)*СПРАВОЧНИК!$M$15+('ФАКТ ЧИСТ К2'!W30)*СПРАВОЧНИК!$N$15)</f>
        <v>0</v>
      </c>
      <c r="AS39" s="18">
        <f t="shared" si="19"/>
        <v>46349</v>
      </c>
      <c r="AT39" s="37">
        <f>'ПЛАН ЧЕРН К2'!B30*СПРАВОЧНИК!$H$9+'ПЛАН ЧЕРН К2'!C30*СПРАВОЧНИК!$I$9+'ПЛАН ЧЕРН К2'!D30*СПРАВОЧНИК!$J$9+'ПЛАН ЧЕРН К2'!E30*СПРАВОЧНИК!$H$10+'ПЛАН ЧЕРН К2'!F30*СПРАВОЧНИК!$I$10+'ПЛАН ЧЕРН К2'!G30*СПРАВОЧНИК!$J$10+'ПЛАН ЧЕРН К2'!H30*СПРАВОЧНИК!$H$11+'ПЛАН ЧЕРН К2'!I30*СПРАВОЧНИК!$I$11+'ПЛАН ЧЕРН К2'!J30*СПРАВОЧНИК!$J$11+'ПЛАН ЧЕРН К2'!K30*СПРАВОЧНИК!$H$12+'ПЛАН ЧЕРН К2'!L30*СПРАВОЧНИК!$I$12+'ПЛАН ЧЕРН К2'!M30*СПРАВОЧНИК!$J$12+'ПЛАН ЧЕРН К2'!N30*СПРАВОЧНИК!$H$13+'ПЛАН ЧЕРН К2'!O30*СПРАВОЧНИК!$I$13+'ПЛАН ЧЕРН К2'!P30*СПРАВОЧНИК!$J$13+'ПЛАН ЧЕРН К2'!Q30*СПРАВОЧНИК!$H$14+'ПЛАН ЧЕРН К2'!R30*СПРАВОЧНИК!$I$14+'ПЛАН ЧЕРН К2'!S30*СПРАВОЧНИК!$J$14+'ПЛАН ЧЕРН К2'!T30*СПРАВОЧНИК!$H$15+'ПЛАН ЧЕРН К2'!U30*СПРАВОЧНИК!$I$15+'ПЛАН ЧЕРН К2'!V30*СПРАВОЧНИК!$J$15</f>
        <v>0</v>
      </c>
      <c r="AU39" s="40">
        <f>('ФАКТ ЧЕРН К2'!B30)*СПРАВОЧНИК!$H$9+('ФАКТ ЧЕРН К2'!C30)*СПРАВОЧНИК!$I$9+('ФАКТ ЧЕРН К2'!D30)*СПРАВОЧНИК!$J$9+('ФАКТ ЧЕРН К2'!E30)*СПРАВОЧНИК!$H$10+('ФАКТ ЧЕРН К2'!F30)*СПРАВОЧНИК!$I$10+('ФАКТ ЧЕРН К2'!G30)*СПРАВОЧНИК!$J$10+('ФАКТ ЧЕРН К2'!H30)*СПРАВОЧНИК!$H$11+('ФАКТ ЧЕРН К2'!I30)*СПРАВОЧНИК!$I$11+('ФАКТ ЧЕРН К2'!J30)*СПРАВОЧНИК!$J$11+('ФАКТ ЧЕРН К2'!K30)*СПРАВОЧНИК!$H$12+('ФАКТ ЧЕРН К2'!L30)*СПРАВОЧНИК!$I$12+('ФАКТ ЧЕРН К2'!M30)*СПРАВОЧНИК!$J$12+('ФАКТ ЧЕРН К2'!N30)*СПРАВОЧНИК!$H$13+('ФАКТ ЧЕРН К2'!O30)*СПРАВОЧНИК!$I$13+('ФАКТ ЧЕРН К2'!P30)*СПРАВОЧНИК!$J$13+('ФАКТ ЧЕРН К2'!Q30)*СПРАВОЧНИК!$H$14+('ФАКТ ЧЕРН К2'!R30)*СПРАВОЧНИК!$I$14+('ФАКТ ЧЕРН К2'!S30)*СПРАВОЧНИК!$J$14+('ФАКТ ЧЕРН К2'!T30)*СПРАВОЧНИК!$H$15+('ФАКТ ЧЕРН К2'!U30)*СПРАВОЧНИК!$I$15+('ФАКТ ЧЕРН К2'!V30)*СПРАВОЧНИК!$J$15</f>
        <v>0</v>
      </c>
      <c r="AY39" s="18">
        <f t="shared" si="20"/>
        <v>46349</v>
      </c>
      <c r="AZ39" s="37">
        <f>'ПЛАН ЧИСТ К2'!B30*СПРАВОЧНИК!$L$9+'ПЛАН ЧИСТ К2'!C30*СПРАВОЧНИК!$M$9+'ПЛАН ЧИСТ К2'!D30*СПРАВОЧНИК!$N$9+'ПЛАН ЧИСТ К2'!E30*СПРАВОЧНИК!$O$9+'ПЛАН ЧИСТ К2'!F30*СПРАВОЧНИК!$L$10+'ПЛАН ЧИСТ К2'!G30*СПРАВОЧНИК!$M$10+'ПЛАН ЧИСТ К2'!H30*СПРАВОЧНИК!$N$10+'ПЛАН ЧИСТ К2'!I30*СПРАВОЧНИК!$L$11+'ПЛАН ЧИСТ К2'!J30*СПРАВОЧНИК!$M$11+'ПЛАН ЧИСТ К2'!K30*СПРАВОЧНИК!$N$11+'ПЛАН ЧИСТ К2'!L30*СПРАВОЧНИК!$L$12+'ПЛАН ЧИСТ К2'!M30*СПРАВОЧНИК!$M$12+'ПЛАН ЧИСТ К2'!N30*СПРАВОЧНИК!$N$12+'ПЛАН ЧИСТ К2'!O30*СПРАВОЧНИК!$L$13+'ПЛАН ЧИСТ К2'!P30*СПРАВОЧНИК!$M$13+'ПЛАН ЧИСТ К2'!Q30*СПРАВОЧНИК!$N$13+'ПЛАН ЧИСТ К2'!R30*СПРАВОЧНИК!$L$14+'ПЛАН ЧИСТ К2'!S30*СПРАВОЧНИК!$M$14+'ПЛАН ЧИСТ К2'!T30*СПРАВОЧНИК!$N$14+'ПЛАН ЧИСТ К2'!U30*СПРАВОЧНИК!$L$15+'ПЛАН ЧИСТ К2'!V30*СПРАВОЧНИК!$M$15+'ПЛАН ЧИСТ К2'!W30*СПРАВОЧНИК!$N$15</f>
        <v>0</v>
      </c>
      <c r="BA39" s="40">
        <f>('ФАКТ ЧИСТ К2'!B30)*СПРАВОЧНИК!$L$9+('ФАКТ ЧИСТ К2'!C30)*СПРАВОЧНИК!$M$9+('ФАКТ ЧИСТ К2'!D30)*СПРАВОЧНИК!$N$9+('ФАКТ ЧИСТ К2'!E30)*СПРАВОЧНИК!$O$9+('ФАКТ ЧИСТ К2'!F30)*СПРАВОЧНИК!$L$10+('ФАКТ ЧИСТ К2'!G30)*СПРАВОЧНИК!$M$10+('ФАКТ ЧИСТ К2'!H30)*СПРАВОЧНИК!$N$10+('ФАКТ ЧИСТ К2'!I30)*СПРАВОЧНИК!$L$11+('ФАКТ ЧИСТ К2'!J30)*СПРАВОЧНИК!$M$11+('ФАКТ ЧИСТ К2'!K30)*СПРАВОЧНИК!$N$11+('ФАКТ ЧИСТ К2'!L30)*СПРАВОЧНИК!$L$12+('ФАКТ ЧИСТ К2'!M30)*СПРАВОЧНИК!$M$12+('ФАКТ ЧИСТ К2'!N30)*СПРАВОЧНИК!$N$12+('ФАКТ ЧИСТ К2'!O30)*СПРАВОЧНИК!$L$13+('ФАКТ ЧИСТ К2'!P30)*СПРАВОЧНИК!$M$13+('ФАКТ ЧИСТ К2'!Q30)*СПРАВОЧНИК!$N$13+('ФАКТ ЧИСТ К2'!R30)*СПРАВОЧНИК!$L$14+('ФАКТ ЧИСТ К2'!S30)*СПРАВОЧНИК!$M$14+('ФАКТ ЧИСТ К2'!T30)*СПРАВОЧНИК!$N$14+('ФАКТ ЧИСТ К2'!U30)*СПРАВОЧНИК!$L$15+('ФАКТ ЧИСТ К2'!V30)*СПРАВОЧНИК!$M$15+('ФАКТ ЧИСТ К2'!W30)*СПРАВОЧНИК!$N$15</f>
        <v>0</v>
      </c>
      <c r="BE39" s="18">
        <f t="shared" si="21"/>
        <v>46349</v>
      </c>
      <c r="BF39" s="37">
        <f>СПРАВОЧНИК!$E$9*('ПЛАН ЧЕРН К3'!B30*СПРАВОЧНИК!$H$9+'ПЛАН ЧЕРН К3'!C30*СПРАВОЧНИК!$I$9+'ПЛАН ЧЕРН К3'!D30*СПРАВОЧНИК!$J$9)+СПРАВОЧНИК!$E$10*('ПЛАН ЧЕРН К3'!E30*СПРАВОЧНИК!$H$10+'ПЛАН ЧЕРН К3'!F30*СПРАВОЧНИК!$I$10+'ПЛАН ЧЕРН К3'!G30*СПРАВОЧНИК!$J$10)+СПРАВОЧНИК!$E$11*('ПЛАН ЧЕРН К3'!H30*СПРАВОЧНИК!$H$11+'ПЛАН ЧЕРН К3'!I30*СПРАВОЧНИК!$I$11+'ПЛАН ЧЕРН К3'!J30*СПРАВОЧНИК!$J$11)+СПРАВОЧНИК!$E$12*('ПЛАН ЧЕРН К3'!K30*СПРАВОЧНИК!$H$12+'ПЛАН ЧЕРН К3'!L30*СПРАВОЧНИК!$I$12+'ПЛАН ЧЕРН К3'!M30*СПРАВОЧНИК!$J$12)+СПРАВОЧНИК!$E$13*('ПЛАН ЧЕРН К3'!N30*СПРАВОЧНИК!$H$13+'ПЛАН ЧЕРН К3'!O30*СПРАВОЧНИК!$I$13+'ПЛАН ЧЕРН К3'!P30*СПРАВОЧНИК!$J$13)+СПРАВОЧНИК!$E$14*('ПЛАН ЧЕРН К3'!Q30*СПРАВОЧНИК!$H$14+'ПЛАН ЧЕРН К3'!R30*СПРАВОЧНИК!$I$14+'ПЛАН ЧЕРН К3'!S30*СПРАВОЧНИК!$J$14)+СПРАВОЧНИК!$E$15*('ПЛАН ЧЕРН К3'!T30*СПРАВОЧНИК!$H$15+'ПЛАН ЧЕРН К3'!U30*СПРАВОЧНИК!$I$15+'ПЛАН ЧЕРН К3'!V30*СПРАВОЧНИК!$J$15)+СПРАВОЧНИК!$F$9*('ПЛАН ЧИСТ К3'!B30*СПРАВОЧНИК!$L$9+'ПЛАН ЧИСТ К3'!C30*СПРАВОЧНИК!$M$9+'ПЛАН ЧИСТ К3'!D30*СПРАВОЧНИК!$N$9+'ПЛАН ЧИСТ К3'!E30*СПРАВОЧНИК!$O$9)+СПРАВОЧНИК!$F$10*('ПЛАН ЧИСТ К3'!F30*СПРАВОЧНИК!$L$10+'ПЛАН ЧИСТ К3'!G30*СПРАВОЧНИК!$M$10+'ПЛАН ЧИСТ К3'!H30*СПРАВОЧНИК!$N$10)+СПРАВОЧНИК!$F$11*('ПЛАН ЧИСТ К3'!I30*СПРАВОЧНИК!$L$11+'ПЛАН ЧИСТ К3'!J30*СПРАВОЧНИК!$M$11+'ПЛАН ЧИСТ К3'!K30*СПРАВОЧНИК!$N$11)+СПРАВОЧНИК!$F$12*('ПЛАН ЧИСТ К3'!L30*СПРАВОЧНИК!$L$12+'ПЛАН ЧИСТ К3'!M30*СПРАВОЧНИК!$M$12+'ПЛАН ЧИСТ К3'!N30*СПРАВОЧНИК!$N$12)+СПРАВОЧНИК!$F$13*('ПЛАН ЧИСТ К3'!O30*СПРАВОЧНИК!$L$13+'ПЛАН ЧИСТ К3'!P30*СПРАВОЧНИК!$M$13+'ПЛАН ЧИСТ К3'!Q30*СПРАВОЧНИК!$N$13)+СПРАВОЧНИК!$F$14*('ПЛАН ЧИСТ К3'!R30*СПРАВОЧНИК!$L$14+'ПЛАН ЧИСТ К3'!S30*СПРАВОЧНИК!$M$14+'ПЛАН ЧИСТ К3'!T30*СПРАВОЧНИК!$N$14)+СПРАВОЧНИК!$F$15*('ПЛАН ЧИСТ К3'!U30*СПРАВОЧНИК!$L$15+'ПЛАН ЧИСТ К3'!V30*СПРАВОЧНИК!$M$15+'ПЛАН ЧИСТ К3'!W30*СПРАВОЧНИК!$N$15)</f>
        <v>0</v>
      </c>
      <c r="BG39" s="40">
        <f>СПРАВОЧНИК!$E$9*(('ФАКТ ЧЕРН К3'!B30)*СПРАВОЧНИК!$H$9+('ФАКТ ЧЕРН К3'!C30)*СПРАВОЧНИК!$I$9+('ФАКТ ЧЕРН К3'!D30)*СПРАВОЧНИК!$J$9)+СПРАВОЧНИК!$E$10*(('ФАКТ ЧЕРН К3'!E30)*СПРАВОЧНИК!$H$10+('ФАКТ ЧЕРН К3'!F30)*СПРАВОЧНИК!$I$10+('ФАКТ ЧЕРН К3'!G30)*СПРАВОЧНИК!$J$10)+СПРАВОЧНИК!$E$11*(('ФАКТ ЧЕРН К3'!H30)*СПРАВОЧНИК!$H$11+('ФАКТ ЧЕРН К3'!I30)*СПРАВОЧНИК!$I$11+('ФАКТ ЧЕРН К3'!J30)*СПРАВОЧНИК!$J$11)+СПРАВОЧНИК!$E$12*(('ФАКТ ЧЕРН К3'!K30)*СПРАВОЧНИК!$H$12+('ФАКТ ЧЕРН К3'!L30)*СПРАВОЧНИК!$I$12+('ФАКТ ЧЕРН К3'!M30)*СПРАВОЧНИК!$J$12)+СПРАВОЧНИК!$E$13*(('ФАКТ ЧЕРН К3'!N30)*СПРАВОЧНИК!$H$13+('ФАКТ ЧЕРН К3'!O30)*СПРАВОЧНИК!$I$13+('ФАКТ ЧЕРН К3'!P30)*СПРАВОЧНИК!$J$13)+СПРАВОЧНИК!$E$14*(('ФАКТ ЧЕРН К3'!Q30)*СПРАВОЧНИК!$H$14+('ФАКТ ЧЕРН К3'!R30)*СПРАВОЧНИК!$I$14+('ФАКТ ЧЕРН К3'!S30)*СПРАВОЧНИК!$J$14)+СПРАВОЧНИК!$E$15*(('ФАКТ ЧЕРН К3'!T30)*СПРАВОЧНИК!$H$15+('ФАКТ ЧЕРН К3'!U30)*СПРАВОЧНИК!$I$15+('ФАКТ ЧЕРН К3'!V30)*СПРАВОЧНИК!$J$15)+СПРАВОЧНИК!$F$9*(('ФАКТ ЧИСТ К3'!B30)*СПРАВОЧНИК!$L$9+('ФАКТ ЧИСТ К3'!C30)*СПРАВОЧНИК!$M$9+('ФАКТ ЧИСТ К3'!D30)*СПРАВОЧНИК!$N$9+('ФАКТ ЧИСТ К3'!E30)*СПРАВОЧНИК!$O$9)+СПРАВОЧНИК!$F$10*(('ФАКТ ЧИСТ К3'!F30)*СПРАВОЧНИК!$L$10+('ФАКТ ЧИСТ К3'!G30)*СПРАВОЧНИК!$M$10+('ФАКТ ЧИСТ К3'!H30)*СПРАВОЧНИК!$N$10)+СПРАВОЧНИК!$F$11*(('ФАКТ ЧИСТ К3'!I30)*СПРАВОЧНИК!$L$11+('ФАКТ ЧИСТ К3'!J30)*СПРАВОЧНИК!$M$11+('ФАКТ ЧИСТ К3'!K30)*СПРАВОЧНИК!$N$11)+СПРАВОЧНИК!$F$12*(('ФАКТ ЧИСТ К3'!L30)*СПРАВОЧНИК!$L$12+('ФАКТ ЧИСТ К3'!M30)*СПРАВОЧНИК!$M$12+('ФАКТ ЧИСТ К3'!N30)*СПРАВОЧНИК!$N$12)+СПРАВОЧНИК!$F$13*(('ФАКТ ЧИСТ К3'!O30)*СПРАВОЧНИК!$L$13+('ФАКТ ЧИСТ К3'!P30)*СПРАВОЧНИК!$M$13+('ФАКТ ЧИСТ К3'!Q30)*СПРАВОЧНИК!$N$13)+СПРАВОЧНИК!$F$14*(('ФАКТ ЧИСТ К3'!R30)*СПРАВОЧНИК!$L$14+('ФАКТ ЧИСТ К3'!S30)*СПРАВОЧНИК!$M$14+('ФАКТ ЧИСТ К3'!T30)*СПРАВОЧНИК!$N$14)+СПРАВОЧНИК!$F$15*(('ФАКТ ЧИСТ К3'!U30)*СПРАВОЧНИК!$L$15+('ФАКТ ЧИСТ К3'!V30)*СПРАВОЧНИК!$M$15+('ФАКТ ЧИСТ К3'!W30)*СПРАВОЧНИК!$N$15)</f>
        <v>0</v>
      </c>
      <c r="BK39" s="18">
        <f t="shared" si="22"/>
        <v>46349</v>
      </c>
      <c r="BL39" s="37">
        <f>'ПЛАН ЧЕРН К3'!B30*СПРАВОЧНИК!$H$9+'ПЛАН ЧЕРН К3'!C30*СПРАВОЧНИК!$I$9+'ПЛАН ЧЕРН К3'!D30*СПРАВОЧНИК!$J$9+'ПЛАН ЧЕРН К3'!E30*СПРАВОЧНИК!$H$10+'ПЛАН ЧЕРН К3'!F30*СПРАВОЧНИК!$I$10+'ПЛАН ЧЕРН К3'!G30*СПРАВОЧНИК!$J$10+'ПЛАН ЧЕРН К3'!H30*СПРАВОЧНИК!$H$11+'ПЛАН ЧЕРН К3'!I30*СПРАВОЧНИК!$I$11+'ПЛАН ЧЕРН К3'!J30*СПРАВОЧНИК!$J$11+'ПЛАН ЧЕРН К3'!K30*СПРАВОЧНИК!$H$12+'ПЛАН ЧЕРН К3'!L30*СПРАВОЧНИК!$I$12+'ПЛАН ЧЕРН К3'!M30*СПРАВОЧНИК!$J$12+'ПЛАН ЧЕРН К3'!N30*СПРАВОЧНИК!$H$13+'ПЛАН ЧЕРН К3'!O30*СПРАВОЧНИК!$I$13+'ПЛАН ЧЕРН К3'!P30*СПРАВОЧНИК!$J$13+'ПЛАН ЧЕРН К3'!Q30*СПРАВОЧНИК!$H$14+'ПЛАН ЧЕРН К3'!R30*СПРАВОЧНИК!$I$14+'ПЛАН ЧЕРН К3'!S30*СПРАВОЧНИК!$J$14+'ПЛАН ЧЕРН К3'!T30*СПРАВОЧНИК!$H$15+'ПЛАН ЧЕРН К3'!U30*СПРАВОЧНИК!$I$15+'ПЛАН ЧЕРН К3'!V30*СПРАВОЧНИК!$J$15</f>
        <v>0</v>
      </c>
      <c r="BM39" s="40">
        <f>('ФАКТ ЧЕРН К3'!B30)*СПРАВОЧНИК!$H$9+('ФАКТ ЧЕРН К3'!C30)*СПРАВОЧНИК!$I$9+('ФАКТ ЧЕРН К3'!D30)*СПРАВОЧНИК!$J$9+('ФАКТ ЧЕРН К3'!E30)*СПРАВОЧНИК!$H$10+('ФАКТ ЧЕРН К3'!F30)*СПРАВОЧНИК!$I$10+('ФАКТ ЧЕРН К3'!G30)*СПРАВОЧНИК!$J$10+('ФАКТ ЧЕРН К3'!H30)*СПРАВОЧНИК!$H$11+('ФАКТ ЧЕРН К3'!I30)*СПРАВОЧНИК!$I$11+('ФАКТ ЧЕРН К3'!J30)*СПРАВОЧНИК!$J$11+('ФАКТ ЧЕРН К3'!K30)*СПРАВОЧНИК!$H$12+('ФАКТ ЧЕРН К3'!L30)*СПРАВОЧНИК!$I$12+('ФАКТ ЧЕРН К3'!M30)*СПРАВОЧНИК!$J$12+('ФАКТ ЧЕРН К3'!N30)*СПРАВОЧНИК!$H$13+('ФАКТ ЧЕРН К3'!O30)*СПРАВОЧНИК!$I$13+('ФАКТ ЧЕРН К3'!P30)*СПРАВОЧНИК!$J$13+('ФАКТ ЧЕРН К3'!Q30)*СПРАВОЧНИК!$H$14+('ФАКТ ЧЕРН К3'!R30)*СПРАВОЧНИК!$I$14+('ФАКТ ЧЕРН К3'!S30)*СПРАВОЧНИК!$J$14+('ФАКТ ЧЕРН К3'!T30)*СПРАВОЧНИК!$H$15+('ФАКТ ЧЕРН К3'!U30)*СПРАВОЧНИК!$I$15+('ФАКТ ЧЕРН К3'!V30)*СПРАВОЧНИК!$J$15</f>
        <v>0</v>
      </c>
      <c r="BQ39" s="18">
        <f t="shared" si="23"/>
        <v>46349</v>
      </c>
      <c r="BR39" s="37">
        <f>'ПЛАН ЧИСТ К3'!B30*СПРАВОЧНИК!$L$9+'ПЛАН ЧИСТ К3'!C30*СПРАВОЧНИК!$M$9+'ПЛАН ЧИСТ К3'!D30*СПРАВОЧНИК!$N$9+'ПЛАН ЧИСТ К3'!E30*СПРАВОЧНИК!$O$9+'ПЛАН ЧИСТ К3'!F30*СПРАВОЧНИК!$L$10+'ПЛАН ЧИСТ К3'!G30*СПРАВОЧНИК!$M$10+'ПЛАН ЧИСТ К3'!H30*СПРАВОЧНИК!$N$10+'ПЛАН ЧИСТ К3'!I30*СПРАВОЧНИК!$L$11+'ПЛАН ЧИСТ К3'!J30*СПРАВОЧНИК!$M$11+'ПЛАН ЧИСТ К3'!K30*СПРАВОЧНИК!$N$11+'ПЛАН ЧИСТ К3'!L30*СПРАВОЧНИК!$L$12+'ПЛАН ЧИСТ К3'!M30*СПРАВОЧНИК!$M$12+'ПЛАН ЧИСТ К3'!N30*СПРАВОЧНИК!$N$12+'ПЛАН ЧИСТ К3'!O30*СПРАВОЧНИК!$L$13+'ПЛАН ЧИСТ К3'!P30*СПРАВОЧНИК!$M$13+'ПЛАН ЧИСТ К3'!Q30*СПРАВОЧНИК!$N$13+'ПЛАН ЧИСТ К3'!R30*СПРАВОЧНИК!$L$14+'ПЛАН ЧИСТ К3'!S30*СПРАВОЧНИК!$M$14+'ПЛАН ЧИСТ К3'!T30*СПРАВОЧНИК!$N$14+'ПЛАН ЧИСТ К3'!U30*СПРАВОЧНИК!$L$15+'ПЛАН ЧИСТ К3'!V30*СПРАВОЧНИК!$M$15+'ПЛАН ЧИСТ К3'!W30*СПРАВОЧНИК!$N$15</f>
        <v>0</v>
      </c>
      <c r="BS39" s="40">
        <f>('ФАКТ ЧИСТ К3'!B30)*СПРАВОЧНИК!$L$9+('ФАКТ ЧИСТ К3'!C30)*СПРАВОЧНИК!$M$9+('ФАКТ ЧИСТ К3'!D30)*СПРАВОЧНИК!$N$9+('ФАКТ ЧИСТ К3'!E30)*СПРАВОЧНИК!$O$9+('ФАКТ ЧИСТ К3'!F30)*СПРАВОЧНИК!$L$10+('ФАКТ ЧИСТ К3'!G30)*СПРАВОЧНИК!$M$10+('ФАКТ ЧИСТ К3'!H30)*СПРАВОЧНИК!$N$10+('ФАКТ ЧИСТ К3'!I30)*СПРАВОЧНИК!$L$11+('ФАКТ ЧИСТ К3'!J30)*СПРАВОЧНИК!$M$11+('ФАКТ ЧИСТ К3'!K30)*СПРАВОЧНИК!$N$11+('ФАКТ ЧИСТ К3'!L30)*СПРАВОЧНИК!$L$12+('ФАКТ ЧИСТ К3'!M30)*СПРАВОЧНИК!$M$12+('ФАКТ ЧИСТ К3'!N30)*СПРАВОЧНИК!$N$12+('ФАКТ ЧИСТ К3'!O30)*СПРАВОЧНИК!$L$13+('ФАКТ ЧИСТ К3'!P30)*СПРАВОЧНИК!$M$13+('ФАКТ ЧИСТ К3'!Q30)*СПРАВОЧНИК!$N$13+('ФАКТ ЧИСТ К3'!R30)*СПРАВОЧНИК!$L$14+('ФАКТ ЧИСТ К3'!S30)*СПРАВОЧНИК!$M$14+('ФАКТ ЧИСТ К3'!T30)*СПРАВОЧНИК!$N$14+('ФАКТ ЧИСТ К3'!U30)*СПРАВОЧНИК!$L$15+('ФАКТ ЧИСТ К3'!V30)*СПРАВОЧНИК!$M$15+('ФАКТ ЧИСТ К3'!W30)*СПРАВОЧНИК!$N$15</f>
        <v>0</v>
      </c>
      <c r="BW39" s="18">
        <f t="shared" si="24"/>
        <v>46349</v>
      </c>
      <c r="BX39" s="37">
        <f t="shared" si="0"/>
        <v>0</v>
      </c>
      <c r="BY39" s="40">
        <f t="shared" si="1"/>
        <v>0</v>
      </c>
      <c r="CC39" s="18">
        <f t="shared" si="25"/>
        <v>46349</v>
      </c>
      <c r="CD39" s="37">
        <f t="shared" si="2"/>
        <v>0</v>
      </c>
      <c r="CE39" s="40">
        <f t="shared" si="3"/>
        <v>0</v>
      </c>
      <c r="CI39" s="18">
        <f t="shared" si="26"/>
        <v>46349</v>
      </c>
      <c r="CJ39" s="37">
        <f t="shared" si="4"/>
        <v>0</v>
      </c>
      <c r="CK39" s="40">
        <f t="shared" si="5"/>
        <v>0</v>
      </c>
      <c r="CO39" s="18">
        <f t="shared" si="27"/>
        <v>46349</v>
      </c>
      <c r="CP39" s="37">
        <f t="shared" si="6"/>
        <v>0</v>
      </c>
      <c r="CQ39" s="40">
        <f t="shared" si="7"/>
        <v>0</v>
      </c>
      <c r="CU39" s="18">
        <f t="shared" si="28"/>
        <v>46349</v>
      </c>
      <c r="CV39" s="37">
        <f t="shared" si="8"/>
        <v>0</v>
      </c>
      <c r="CW39" s="40">
        <f t="shared" si="9"/>
        <v>0</v>
      </c>
      <c r="DA39" s="18">
        <f t="shared" si="29"/>
        <v>46349</v>
      </c>
      <c r="DB39" s="37">
        <f t="shared" si="10"/>
        <v>0</v>
      </c>
      <c r="DC39" s="40">
        <f t="shared" si="11"/>
        <v>0</v>
      </c>
    </row>
    <row r="40" spans="3:107" x14ac:dyDescent="0.25">
      <c r="C40" s="18">
        <f t="shared" si="12"/>
        <v>46356</v>
      </c>
      <c r="D40" s="37">
        <f>СПРАВОЧНИК!$E$3*('ПЛАН ЧЕРН ПОДЗЕМ'!B31*СПРАВОЧНИК!$H$3+'ПЛАН ЧЕРН ПОДЗЕМ'!C31*СПРАВОЧНИК!$I$3+'ПЛАН ЧЕРН ПОДЗЕМ'!D31*СПРАВОЧНИК!$J$3)+СПРАВОЧНИК!$E$4*('ПЛАН ЧЕРН ПОДЗЕМ'!E31*СПРАВОЧНИК!$H$4+'ПЛАН ЧЕРН ПОДЗЕМ'!F31*СПРАВОЧНИК!$I$4+'ПЛАН ЧЕРН ПОДЗЕМ'!G31*СПРАВОЧНИК!$J$4)+СПРАВОЧНИК!$E$5*('ПЛАН ЧЕРН ПОДЗЕМ'!H31*СПРАВОЧНИК!$H$5+'ПЛАН ЧЕРН ПОДЗЕМ'!I31*СПРАВОЧНИК!$I$5+'ПЛАН ЧЕРН ПОДЗЕМ'!J31*СПРАВОЧНИК!$J$5)+СПРАВОЧНИК!$E$6*('ПЛАН ЧЕРН ПОДЗЕМ'!K31*СПРАВОЧНИК!$H$6+'ПЛАН ЧЕРН ПОДЗЕМ'!L31*СПРАВОЧНИК!$I$6+'ПЛАН ЧЕРН ПОДЗЕМ'!M31*СПРАВОЧНИК!$J$6)+СПРАВОЧНИК!$E$7*('ПЛАН ЧЕРН ПОДЗЕМ'!N31*СПРАВОЧНИК!$H$7+'ПЛАН ЧЕРН ПОДЗЕМ'!O31*СПРАВОЧНИК!$I$7+'ПЛАН ЧЕРН ПОДЗЕМ'!P31*СПРАВОЧНИК!$J$7)+СПРАВОЧНИК!$E$8*('ПЛАН ЧЕРН ПОДЗЕМ'!Q31*СПРАВОЧНИК!$H$8+'ПЛАН ЧЕРН ПОДЗЕМ'!R31*СПРАВОЧНИК!$I$8+'ПЛАН ЧЕРН ПОДЗЕМ'!S31*СПРАВОЧНИК!$J$8)+СПРАВОЧНИК!$F$3*('ПЛАН ЧИСТ ПОДЗЕМ'!B31*СПРАВОЧНИК!$L$3+'ПЛАН ЧИСТ ПОДЗЕМ'!C31*СПРАВОЧНИК!$M$3+'ПЛАН ЧИСТ ПОДЗЕМ'!D31*СПРАВОЧНИК!$N$3)+СПРАВОЧНИК!$F$4*('ПЛАН ЧИСТ ПОДЗЕМ'!E31*СПРАВОЧНИК!$L$4+'ПЛАН ЧИСТ ПОДЗЕМ'!F31*СПРАВОЧНИК!$M$4+'ПЛАН ЧИСТ ПОДЗЕМ'!G31*СПРАВОЧНИК!$N$4)+СПРАВОЧНИК!$F$5*('ПЛАН ЧИСТ ПОДЗЕМ'!H31*СПРАВОЧНИК!$L$5+'ПЛАН ЧИСТ ПОДЗЕМ'!I31*СПРАВОЧНИК!$M$5+'ПЛАН ЧИСТ ПОДЗЕМ'!J31*СПРАВОЧНИК!$N$5)+СПРАВОЧНИК!$F$6*('ПЛАН ЧИСТ ПОДЗЕМ'!K31*СПРАВОЧНИК!$L$6+'ПЛАН ЧИСТ ПОДЗЕМ'!L31*СПРАВОЧНИК!$M$6+'ПЛАН ЧИСТ ПОДЗЕМ'!M31*СПРАВОЧНИК!$N$6)+СПРАВОЧНИК!$F$7*('ПЛАН ЧИСТ ПОДЗЕМ'!N31*СПРАВОЧНИК!$L$7+'ПЛАН ЧИСТ ПОДЗЕМ'!O31*СПРАВОЧНИК!$M$7+'ПЛАН ЧИСТ ПОДЗЕМ'!P31*СПРАВОЧНИК!$N$7)+СПРАВОЧНИК!$F$8*('ПЛАН ЧИСТ ПОДЗЕМ'!Q31*СПРАВОЧНИК!$L$8+'ПЛАН ЧИСТ ПОДЗЕМ'!R31*СПРАВОЧНИК!$M$8+'ПЛАН ЧИСТ ПОДЗЕМ'!S31*СПРАВОЧНИК!$N$8)</f>
        <v>0</v>
      </c>
      <c r="E40" s="40">
        <f>СПРАВОЧНИК!$E$3*(('ФАКТ ЧЕРН ПОДЗЕМ'!B31)*СПРАВОЧНИК!$H$3+('ФАКТ ЧЕРН ПОДЗЕМ'!C31)*СПРАВОЧНИК!$I$3+('ФАКТ ЧЕРН ПОДЗЕМ'!D31)*СПРАВОЧНИК!$J$3)+СПРАВОЧНИК!$E$4*(('ФАКТ ЧЕРН ПОДЗЕМ'!E31)*СПРАВОЧНИК!$H$4+('ФАКТ ЧЕРН ПОДЗЕМ'!F31)*СПРАВОЧНИК!$I$4+('ФАКТ ЧЕРН ПОДЗЕМ'!G31)*СПРАВОЧНИК!$J$4)+СПРАВОЧНИК!$E$5*(('ФАКТ ЧЕРН ПОДЗЕМ'!H31)*СПРАВОЧНИК!$H$5+('ФАКТ ЧЕРН ПОДЗЕМ'!I31)*СПРАВОЧНИК!$I$5+('ФАКТ ЧЕРН ПОДЗЕМ'!J31)*СПРАВОЧНИК!$J$5)+СПРАВОЧНИК!$E$6*(('ФАКТ ЧЕРН ПОДЗЕМ'!K31)*СПРАВОЧНИК!$H$6+('ФАКТ ЧЕРН ПОДЗЕМ'!L31)*СПРАВОЧНИК!$I$6+('ФАКТ ЧЕРН ПОДЗЕМ'!M31)*СПРАВОЧНИК!$J$6)+СПРАВОЧНИК!$E$7*(('ФАКТ ЧЕРН ПОДЗЕМ'!N31)*СПРАВОЧНИК!$H$7+('ФАКТ ЧЕРН ПОДЗЕМ'!O31)*СПРАВОЧНИК!$I$7+('ФАКТ ЧЕРН ПОДЗЕМ'!P31)*СПРАВОЧНИК!$J$7)+СПРАВОЧНИК!$E$8*(('ФАКТ ЧЕРН ПОДЗЕМ'!Q31)*СПРАВОЧНИК!$H$8+('ФАКТ ЧЕРН ПОДЗЕМ'!R31)*СПРАВОЧНИК!$I$8+('ФАКТ ЧЕРН ПОДЗЕМ'!S31)*СПРАВОЧНИК!$J$8)+СПРАВОЧНИК!$F$3*(('ФАКТ ЧИСТ ПОДЗЕМ'!B31)*СПРАВОЧНИК!$L$3+('ФАКТ ЧИСТ ПОДЗЕМ'!C31)*СПРАВОЧНИК!$M$3+('ФАКТ ЧИСТ ПОДЗЕМ'!D31)*СПРАВОЧНИК!$N$3)+СПРАВОЧНИК!$F$4*(('ФАКТ ЧИСТ ПОДЗЕМ'!E31)*СПРАВОЧНИК!$L$4+('ФАКТ ЧИСТ ПОДЗЕМ'!F31)*СПРАВОЧНИК!$M$4+('ФАКТ ЧИСТ ПОДЗЕМ'!G31)*СПРАВОЧНИК!$N$4)+СПРАВОЧНИК!$F$5*(('ФАКТ ЧИСТ ПОДЗЕМ'!H31)*СПРАВОЧНИК!$L$5+('ФАКТ ЧИСТ ПОДЗЕМ'!I31)*СПРАВОЧНИК!$M$5+('ФАКТ ЧИСТ ПОДЗЕМ'!J31)*СПРАВОЧНИК!$N$5)+СПРАВОЧНИК!$F$6*(('ФАКТ ЧИСТ ПОДЗЕМ'!K31)*СПРАВОЧНИК!$L$6+('ФАКТ ЧИСТ ПОДЗЕМ'!L31)*СПРАВОЧНИК!$M$6+('ФАКТ ЧИСТ ПОДЗЕМ'!M31)*СПРАВОЧНИК!$N$6)+СПРАВОЧНИК!$F$7*(('ФАКТ ЧИСТ ПОДЗЕМ'!N31)*СПРАВОЧНИК!$L$7+('ФАКТ ЧИСТ ПОДЗЕМ'!O31)*СПРАВОЧНИК!$M$7+('ФАКТ ЧИСТ ПОДЗЕМ'!P31)*СПРАВОЧНИК!$N$7)+СПРАВОЧНИК!$F$8*(('ФАКТ ЧИСТ ПОДЗЕМ'!Q31)*СПРАВОЧНИК!$L$8+('ФАКТ ЧИСТ ПОДЗЕМ'!R31)*СПРАВОЧНИК!$M$8+('ФАКТ ЧИСТ ПОДЗЕМ'!S31)*СПРАВОЧНИК!$N$8)</f>
        <v>0</v>
      </c>
      <c r="I40" s="18">
        <f t="shared" si="13"/>
        <v>46356</v>
      </c>
      <c r="J40" s="37">
        <f>'ПЛАН ЧЕРН ПОДЗЕМ'!B31*СПРАВОЧНИК!$H$3+'ПЛАН ЧЕРН ПОДЗЕМ'!C31*СПРАВОЧНИК!$I$3+'ПЛАН ЧЕРН ПОДЗЕМ'!D31*СПРАВОЧНИК!$J$3+'ПЛАН ЧЕРН ПОДЗЕМ'!E31*СПРАВОЧНИК!$H$4+'ПЛАН ЧЕРН ПОДЗЕМ'!F31*СПРАВОЧНИК!$I$4+'ПЛАН ЧЕРН ПОДЗЕМ'!G31*СПРАВОЧНИК!$J$4+'ПЛАН ЧЕРН ПОДЗЕМ'!H31*СПРАВОЧНИК!$H$5+'ПЛАН ЧЕРН ПОДЗЕМ'!I31*СПРАВОЧНИК!$I$5+'ПЛАН ЧЕРН ПОДЗЕМ'!J31*СПРАВОЧНИК!$J$5+'ПЛАН ЧЕРН ПОДЗЕМ'!K31*СПРАВОЧНИК!$H$6+'ПЛАН ЧЕРН ПОДЗЕМ'!L31*СПРАВОЧНИК!$I$6+'ПЛАН ЧЕРН ПОДЗЕМ'!M31*СПРАВОЧНИК!$J$6+'ПЛАН ЧЕРН ПОДЗЕМ'!N31*СПРАВОЧНИК!$H$7+'ПЛАН ЧЕРН ПОДЗЕМ'!O31*СПРАВОЧНИК!$I$7+'ПЛАН ЧЕРН ПОДЗЕМ'!P31*СПРАВОЧНИК!$J$7+'ПЛАН ЧЕРН ПОДЗЕМ'!Q31*СПРАВОЧНИК!$H$8+'ПЛАН ЧЕРН ПОДЗЕМ'!R31*СПРАВОЧНИК!$I$8+'ПЛАН ЧЕРН ПОДЗЕМ'!S31*СПРАВОЧНИК!$J$8</f>
        <v>0</v>
      </c>
      <c r="K40" s="40">
        <f>('ФАКТ ЧЕРН ПОДЗЕМ'!B31)*СПРАВОЧНИК!$H$3+('ФАКТ ЧЕРН ПОДЗЕМ'!C31)*СПРАВОЧНИК!$I$3+('ФАКТ ЧЕРН ПОДЗЕМ'!D31)*СПРАВОЧНИК!$J$3+('ФАКТ ЧЕРН ПОДЗЕМ'!E31)*СПРАВОЧНИК!$H$4+('ФАКТ ЧЕРН ПОДЗЕМ'!F31)*СПРАВОЧНИК!$I$4+('ФАКТ ЧЕРН ПОДЗЕМ'!G31)*СПРАВОЧНИК!$J$4+('ФАКТ ЧЕРН ПОДЗЕМ'!H31)*СПРАВОЧНИК!$H$5+('ФАКТ ЧЕРН ПОДЗЕМ'!I31)*СПРАВОЧНИК!$I$5+('ФАКТ ЧЕРН ПОДЗЕМ'!J31)*СПРАВОЧНИК!$J$5+('ФАКТ ЧЕРН ПОДЗЕМ'!K31)*СПРАВОЧНИК!$H$6+('ФАКТ ЧЕРН ПОДЗЕМ'!L31)*СПРАВОЧНИК!$I$6+('ФАКТ ЧЕРН ПОДЗЕМ'!M31)*СПРАВОЧНИК!$J$6+('ФАКТ ЧЕРН ПОДЗЕМ'!N31)*СПРАВОЧНИК!$H$7+('ФАКТ ЧЕРН ПОДЗЕМ'!O31)*СПРАВОЧНИК!$I$7+('ФАКТ ЧЕРН ПОДЗЕМ'!P31)*СПРАВОЧНИК!$J$7+('ФАКТ ЧЕРН ПОДЗЕМ'!Q31)*СПРАВОЧНИК!$H$8+('ФАКТ ЧЕРН ПОДЗЕМ'!R31)*СПРАВОЧНИК!$I$8+('ФАКТ ЧЕРН ПОДЗЕМ'!S31)*СПРАВОЧНИК!$J$8</f>
        <v>0</v>
      </c>
      <c r="O40" s="18">
        <f t="shared" si="14"/>
        <v>46356</v>
      </c>
      <c r="P40" s="37">
        <f>'ПЛАН ЧИСТ ПОДЗЕМ'!B31*СПРАВОЧНИК!$L$3+'ПЛАН ЧИСТ ПОДЗЕМ'!C31*СПРАВОЧНИК!$M$3+'ПЛАН ЧИСТ ПОДЗЕМ'!D31*СПРАВОЧНИК!$N$3+'ПЛАН ЧИСТ ПОДЗЕМ'!E31*СПРАВОЧНИК!$L$4+'ПЛАН ЧИСТ ПОДЗЕМ'!F31*СПРАВОЧНИК!$M$4+'ПЛАН ЧИСТ ПОДЗЕМ'!G31*СПРАВОЧНИК!$N$4+'ПЛАН ЧИСТ ПОДЗЕМ'!H31*СПРАВОЧНИК!$L$5+'ПЛАН ЧИСТ ПОДЗЕМ'!I31*СПРАВОЧНИК!$M$5+'ПЛАН ЧИСТ ПОДЗЕМ'!J31*СПРАВОЧНИК!$N$5+'ПЛАН ЧИСТ ПОДЗЕМ'!K31*СПРАВОЧНИК!$L$6+'ПЛАН ЧИСТ ПОДЗЕМ'!L31*СПРАВОЧНИК!$M$6+'ПЛАН ЧИСТ ПОДЗЕМ'!M31*СПРАВОЧНИК!$N$6+'ПЛАН ЧИСТ ПОДЗЕМ'!N31*СПРАВОЧНИК!$L$7+'ПЛАН ЧИСТ ПОДЗЕМ'!O31*СПРАВОЧНИК!$M$7+'ПЛАН ЧИСТ ПОДЗЕМ'!P31*СПРАВОЧНИК!$N$7+'ПЛАН ЧИСТ ПОДЗЕМ'!Q31*СПРАВОЧНИК!$L$8+'ПЛАН ЧИСТ ПОДЗЕМ'!R31*СПРАВОЧНИК!$M$8+'ПЛАН ЧИСТ ПОДЗЕМ'!S31*СПРАВОЧНИК!$N$8</f>
        <v>0</v>
      </c>
      <c r="Q40" s="40">
        <f>('ФАКТ ЧИСТ ПОДЗЕМ'!B31)*СПРАВОЧНИК!$L$3+('ФАКТ ЧИСТ ПОДЗЕМ'!C31)*СПРАВОЧНИК!$M$3+('ФАКТ ЧИСТ ПОДЗЕМ'!D31)*СПРАВОЧНИК!$N$3+('ФАКТ ЧИСТ ПОДЗЕМ'!E31)*СПРАВОЧНИК!$L$4+('ФАКТ ЧИСТ ПОДЗЕМ'!F31)*СПРАВОЧНИК!$M$4+('ФАКТ ЧИСТ ПОДЗЕМ'!G31)*СПРАВОЧНИК!$N$4+('ФАКТ ЧИСТ ПОДЗЕМ'!H31)*СПРАВОЧНИК!$L$5+('ФАКТ ЧИСТ ПОДЗЕМ'!I31)*СПРАВОЧНИК!$M$5+('ФАКТ ЧИСТ ПОДЗЕМ'!J31)*СПРАВОЧНИК!$N$5+('ФАКТ ЧИСТ ПОДЗЕМ'!K31)*СПРАВОЧНИК!$L$6+('ФАКТ ЧИСТ ПОДЗЕМ'!L31)*СПРАВОЧНИК!$M$6+('ФАКТ ЧИСТ ПОДЗЕМ'!M31)*СПРАВОЧНИК!$N$6+('ФАКТ ЧИСТ ПОДЗЕМ'!N31)*СПРАВОЧНИК!$L$7+('ФАКТ ЧИСТ ПОДЗЕМ'!O31)*СПРАВОЧНИК!$M$7+('ФАКТ ЧИСТ ПОДЗЕМ'!P31)*СПРАВОЧНИК!$N$7+('ФАКТ ЧИСТ ПОДЗЕМ'!Q31)*СПРАВОЧНИК!$L$8+('ФАКТ ЧИСТ ПОДЗЕМ'!R31)*СПРАВОЧНИК!$M$8+('ФАКТ ЧИСТ ПОДЗЕМ'!S31)*СПРАВОЧНИК!$N$8</f>
        <v>0</v>
      </c>
      <c r="U40" s="18">
        <f t="shared" si="15"/>
        <v>46356</v>
      </c>
      <c r="V40" s="37">
        <f>СПРАВОЧНИК!$E$9*('ПЛАН ЧЕРН К1'!B31*СПРАВОЧНИК!$H$9+'ПЛАН ЧЕРН К1'!C31*СПРАВОЧНИК!$I$9+'ПЛАН ЧЕРН К1'!D31*СПРАВОЧНИК!$J$9)+СПРАВОЧНИК!$E$10*('ПЛАН ЧЕРН К1'!E31*СПРАВОЧНИК!$H$10+'ПЛАН ЧЕРН К1'!F31*СПРАВОЧНИК!$I$10+'ПЛАН ЧЕРН К1'!G31*СПРАВОЧНИК!$J$10)+СПРАВОЧНИК!$E$11*('ПЛАН ЧЕРН К1'!H31*СПРАВОЧНИК!$H$11+'ПЛАН ЧЕРН К1'!I31*СПРАВОЧНИК!$I$11+'ПЛАН ЧЕРН К1'!J31*СПРАВОЧНИК!$J$11)+СПРАВОЧНИК!$E$12*('ПЛАН ЧЕРН К1'!K31*СПРАВОЧНИК!$H$12+'ПЛАН ЧЕРН К1'!L31*СПРАВОЧНИК!$I$12+'ПЛАН ЧЕРН К1'!M31*СПРАВОЧНИК!$J$12)+СПРАВОЧНИК!$E$13*('ПЛАН ЧЕРН К1'!N31*СПРАВОЧНИК!$H$13+'ПЛАН ЧЕРН К1'!O31*СПРАВОЧНИК!$I$13+'ПЛАН ЧЕРН К1'!P31*СПРАВОЧНИК!$J$13)+СПРАВОЧНИК!$E$14*('ПЛАН ЧЕРН К1'!Q31*СПРАВОЧНИК!$H$14+'ПЛАН ЧЕРН К1'!R31*СПРАВОЧНИК!$I$14+'ПЛАН ЧЕРН К1'!S31*СПРАВОЧНИК!$J$14)+СПРАВОЧНИК!$E$15*('ПЛАН ЧЕРН К1'!T31*СПРАВОЧНИК!$H$15+'ПЛАН ЧЕРН К1'!U31*СПРАВОЧНИК!$I$15+'ПЛАН ЧЕРН К1'!V31*СПРАВОЧНИК!$J$15)+СПРАВОЧНИК!$F$9*('ПЛАН ЧИСТ К1'!B31*СПРАВОЧНИК!$L$9+'ПЛАН ЧИСТ К1'!C31*СПРАВОЧНИК!$M$9+'ПЛАН ЧИСТ К1'!D31*СПРАВОЧНИК!$N$9+'ПЛАН ЧИСТ К1'!E31*СПРАВОЧНИК!$O$9)+СПРАВОЧНИК!$F$10*('ПЛАН ЧИСТ К1'!F31*СПРАВОЧНИК!$L$10+'ПЛАН ЧИСТ К1'!G31*СПРАВОЧНИК!$M$10+'ПЛАН ЧИСТ К1'!H31*СПРАВОЧНИК!$N$10)+СПРАВОЧНИК!$F$11*('ПЛАН ЧИСТ К1'!I31*СПРАВОЧНИК!$L$11+'ПЛАН ЧИСТ К1'!J31*СПРАВОЧНИК!$M$11+'ПЛАН ЧИСТ К1'!K31*СПРАВОЧНИК!$N$11)+СПРАВОЧНИК!$F$12*('ПЛАН ЧИСТ К1'!L31*СПРАВОЧНИК!$L$12+'ПЛАН ЧИСТ К1'!M31*СПРАВОЧНИК!$M$12+'ПЛАН ЧИСТ К1'!N31*СПРАВОЧНИК!$N$12)+СПРАВОЧНИК!$F$13*('ПЛАН ЧИСТ К1'!O31*СПРАВОЧНИК!$L$13+'ПЛАН ЧИСТ К1'!P31*СПРАВОЧНИК!$M$13+'ПЛАН ЧИСТ К1'!Q31*СПРАВОЧНИК!$N$13)+СПРАВОЧНИК!$F$14*('ПЛАН ЧИСТ К1'!R31*СПРАВОЧНИК!$L$14+'ПЛАН ЧИСТ К1'!S31*СПРАВОЧНИК!$M$14+'ПЛАН ЧИСТ К1'!T31*СПРАВОЧНИК!$N$14)+СПРАВОЧНИК!$F$15*('ПЛАН ЧИСТ К1'!U31*СПРАВОЧНИК!$L$15+'ПЛАН ЧИСТ К1'!V31*СПРАВОЧНИК!$M$15+'ПЛАН ЧИСТ К1'!W31*СПРАВОЧНИК!$N$15)</f>
        <v>0</v>
      </c>
      <c r="W40" s="40">
        <f>СПРАВОЧНИК!$E$9*(('ФАКТ ЧЕРН К1'!B31)*СПРАВОЧНИК!$H$9+('ФАКТ ЧЕРН К1'!C31)*СПРАВОЧНИК!$I$9+('ФАКТ ЧЕРН К1'!D31)*СПРАВОЧНИК!$J$9)+СПРАВОЧНИК!$E$10*(('ФАКТ ЧЕРН К1'!E31)*СПРАВОЧНИК!$H$10+('ФАКТ ЧЕРН К1'!F31)*СПРАВОЧНИК!$I$10+('ФАКТ ЧЕРН К1'!G31)*СПРАВОЧНИК!$J$10)+СПРАВОЧНИК!$E$11*(('ФАКТ ЧЕРН К1'!H31)*СПРАВОЧНИК!$H$11+('ФАКТ ЧЕРН К1'!I31)*СПРАВОЧНИК!$I$11+('ФАКТ ЧЕРН К1'!J31)*СПРАВОЧНИК!$J$11)+СПРАВОЧНИК!$E$12*(('ФАКТ ЧЕРН К1'!K31)*СПРАВОЧНИК!$H$12+('ФАКТ ЧЕРН К1'!L31)*СПРАВОЧНИК!$I$12+('ФАКТ ЧЕРН К1'!M31)*СПРАВОЧНИК!$J$12)+СПРАВОЧНИК!$E$13*(('ФАКТ ЧЕРН К1'!N31)*СПРАВОЧНИК!$H$13+('ФАКТ ЧЕРН К1'!O31)*СПРАВОЧНИК!$I$13+('ФАКТ ЧЕРН К1'!P31)*СПРАВОЧНИК!$J$13)+СПРАВОЧНИК!$E$14*(('ФАКТ ЧЕРН К1'!Q31)*СПРАВОЧНИК!$H$14+('ФАКТ ЧЕРН К1'!R31)*СПРАВОЧНИК!$I$14+('ФАКТ ЧЕРН К1'!S31)*СПРАВОЧНИК!$J$14)+СПРАВОЧНИК!$E$15*(('ФАКТ ЧЕРН К1'!T31)*СПРАВОЧНИК!$H$15+('ФАКТ ЧЕРН К1'!U31)*СПРАВОЧНИК!$I$15+('ФАКТ ЧЕРН К1'!V31)*СПРАВОЧНИК!$J$15)+СПРАВОЧНИК!$F$9*(('ФАКТ ЧИСТ К1'!B31)*СПРАВОЧНИК!$L$9+('ФАКТ ЧИСТ К1'!C31)*СПРАВОЧНИК!$M$9+('ФАКТ ЧИСТ К1'!D31)*СПРАВОЧНИК!$N$9+('ФАКТ ЧИСТ К1'!E31)*СПРАВОЧНИК!$O$9)+СПРАВОЧНИК!$F$10*(('ФАКТ ЧИСТ К1'!F31)*СПРАВОЧНИК!$L$10+('ФАКТ ЧИСТ К1'!G31)*СПРАВОЧНИК!$M$10+('ФАКТ ЧИСТ К1'!H31)*СПРАВОЧНИК!$N$10)+СПРАВОЧНИК!$F$11*(('ФАКТ ЧИСТ К1'!I31)*СПРАВОЧНИК!$L$11+('ФАКТ ЧИСТ К1'!J31)*СПРАВОЧНИК!$M$11+('ФАКТ ЧИСТ К1'!K31)*СПРАВОЧНИК!$N$11)+СПРАВОЧНИК!$F$12*(('ФАКТ ЧИСТ К1'!L31)*СПРАВОЧНИК!$L$12+('ФАКТ ЧИСТ К1'!M31)*СПРАВОЧНИК!$M$12+('ФАКТ ЧИСТ К1'!N31)*СПРАВОЧНИК!$N$12)+СПРАВОЧНИК!$F$13*(('ФАКТ ЧИСТ К1'!O31)*СПРАВОЧНИК!$L$13+('ФАКТ ЧИСТ К1'!P31)*СПРАВОЧНИК!$M$13+('ФАКТ ЧИСТ К1'!Q31)*СПРАВОЧНИК!$N$13)+СПРАВОЧНИК!$F$14*(('ФАКТ ЧИСТ К1'!R31)*СПРАВОЧНИК!$L$14+('ФАКТ ЧИСТ К1'!S31)*СПРАВОЧНИК!$M$14+('ФАКТ ЧИСТ К1'!T31)*СПРАВОЧНИК!$N$14)+СПРАВОЧНИК!$F$15*(('ФАКТ ЧИСТ К1'!U31)*СПРАВОЧНИК!$L$15+('ФАКТ ЧИСТ К1'!V31)*СПРАВОЧНИК!$M$15+('ФАКТ ЧИСТ К1'!W31)*СПРАВОЧНИК!$N$15)</f>
        <v>0</v>
      </c>
      <c r="AA40" s="18">
        <f t="shared" si="16"/>
        <v>46356</v>
      </c>
      <c r="AB40" s="37">
        <f>'ПЛАН ЧЕРН К1'!B31*СПРАВОЧНИК!$H$9+'ПЛАН ЧЕРН К1'!C31*СПРАВОЧНИК!$I$9+'ПЛАН ЧЕРН К1'!D31*СПРАВОЧНИК!$J$9+'ПЛАН ЧЕРН К1'!E31*СПРАВОЧНИК!$H$10+'ПЛАН ЧЕРН К1'!F31*СПРАВОЧНИК!$I$10+'ПЛАН ЧЕРН К1'!G31*СПРАВОЧНИК!$J$10+'ПЛАН ЧЕРН К1'!H31*СПРАВОЧНИК!$H$11+'ПЛАН ЧЕРН К1'!I31*СПРАВОЧНИК!$I$11+'ПЛАН ЧЕРН К1'!J31*СПРАВОЧНИК!$J$11+'ПЛАН ЧЕРН К1'!K31*СПРАВОЧНИК!$H$12+'ПЛАН ЧЕРН К1'!L31*СПРАВОЧНИК!$I$12+'ПЛАН ЧЕРН К1'!M31*СПРАВОЧНИК!$J$12+'ПЛАН ЧЕРН К1'!N31*СПРАВОЧНИК!$H$13+'ПЛАН ЧЕРН К1'!O31*СПРАВОЧНИК!$I$13+'ПЛАН ЧЕРН К1'!P31*СПРАВОЧНИК!$J$13+'ПЛАН ЧЕРН К1'!Q31*СПРАВОЧНИК!$H$14+'ПЛАН ЧЕРН К1'!R31*СПРАВОЧНИК!$I$14+'ПЛАН ЧЕРН К1'!S31*СПРАВОЧНИК!$J$14+'ПЛАН ЧЕРН К1'!T31*СПРАВОЧНИК!$H$15+'ПЛАН ЧЕРН К1'!U31*СПРАВОЧНИК!$I$15+'ПЛАН ЧЕРН К1'!V31*СПРАВОЧНИК!$J$15</f>
        <v>0</v>
      </c>
      <c r="AC40" s="40">
        <f>('ФАКТ ЧЕРН К1'!B31)*СПРАВОЧНИК!$H$9+('ФАКТ ЧЕРН К1'!C31)*СПРАВОЧНИК!$I$9+('ФАКТ ЧЕРН К1'!D31)*СПРАВОЧНИК!$J$9+('ФАКТ ЧЕРН К1'!E31)*СПРАВОЧНИК!$H$10+('ФАКТ ЧЕРН К1'!F31)*СПРАВОЧНИК!$I$10+('ФАКТ ЧЕРН К1'!G31)*СПРАВОЧНИК!$J$10+('ФАКТ ЧЕРН К1'!H31)*СПРАВОЧНИК!$H$11+('ФАКТ ЧЕРН К1'!I31)*СПРАВОЧНИК!$I$11+('ФАКТ ЧЕРН К1'!J31)*СПРАВОЧНИК!$J$11+('ФАКТ ЧЕРН К1'!K31)*СПРАВОЧНИК!$H$12+('ФАКТ ЧЕРН К1'!L31)*СПРАВОЧНИК!$I$12+('ФАКТ ЧЕРН К1'!M31)*СПРАВОЧНИК!$J$12+('ФАКТ ЧЕРН К1'!N31)*СПРАВОЧНИК!$H$13+('ФАКТ ЧЕРН К1'!O31)*СПРАВОЧНИК!$I$13+('ФАКТ ЧЕРН К1'!P31)*СПРАВОЧНИК!$J$13+('ФАКТ ЧЕРН К1'!Q31)*СПРАВОЧНИК!$H$14+('ФАКТ ЧЕРН К1'!R31)*СПРАВОЧНИК!$I$14+('ФАКТ ЧЕРН К1'!S31)*СПРАВОЧНИК!$J$14+('ФАКТ ЧЕРН К1'!T31)*СПРАВОЧНИК!$H$15+('ФАКТ ЧЕРН К1'!U31)*СПРАВОЧНИК!$I$15+('ФАКТ ЧЕРН К1'!V31)*СПРАВОЧНИК!$J$15</f>
        <v>0</v>
      </c>
      <c r="AG40" s="18">
        <f t="shared" si="17"/>
        <v>46356</v>
      </c>
      <c r="AH40" s="37">
        <f>'ПЛАН ЧИСТ К1'!B31*СПРАВОЧНИК!$L$9+'ПЛАН ЧИСТ К1'!C31*СПРАВОЧНИК!$M$9+'ПЛАН ЧИСТ К1'!D31*СПРАВОЧНИК!$N$9+'ПЛАН ЧИСТ К1'!E31*СПРАВОЧНИК!$O$9+'ПЛАН ЧИСТ К1'!F31*СПРАВОЧНИК!$L$10+'ПЛАН ЧИСТ К1'!G31*СПРАВОЧНИК!$M$10+'ПЛАН ЧИСТ К1'!H31*СПРАВОЧНИК!$N$10+'ПЛАН ЧИСТ К1'!I31*СПРАВОЧНИК!$L$11+'ПЛАН ЧИСТ К1'!J31*СПРАВОЧНИК!$M$11+'ПЛАН ЧИСТ К1'!K31*СПРАВОЧНИК!$N$11+'ПЛАН ЧИСТ К1'!L31*СПРАВОЧНИК!$L$12+'ПЛАН ЧИСТ К1'!M31*СПРАВОЧНИК!$M$12+'ПЛАН ЧИСТ К1'!N31*СПРАВОЧНИК!$N$12+'ПЛАН ЧИСТ К1'!O31*СПРАВОЧНИК!$L$13+'ПЛАН ЧИСТ К1'!P31*СПРАВОЧНИК!$M$13+'ПЛАН ЧИСТ К1'!Q31*СПРАВОЧНИК!$N$13+'ПЛАН ЧИСТ К1'!R31*СПРАВОЧНИК!$L$14+'ПЛАН ЧИСТ К1'!S31*СПРАВОЧНИК!$M$14+'ПЛАН ЧИСТ К1'!T31*СПРАВОЧНИК!$N$14+'ПЛАН ЧИСТ К1'!U31*СПРАВОЧНИК!$L$15+'ПЛАН ЧИСТ К1'!V31*СПРАВОЧНИК!$M$15+'ПЛАН ЧИСТ К1'!W31*СПРАВОЧНИК!$N$15</f>
        <v>0</v>
      </c>
      <c r="AI40" s="40">
        <f>('ФАКТ ЧИСТ К1'!B31)*СПРАВОЧНИК!$L$9+('ФАКТ ЧИСТ К1'!C31)*СПРАВОЧНИК!$M$9+('ФАКТ ЧИСТ К1'!D31)*СПРАВОЧНИК!$N$9+('ФАКТ ЧИСТ К1'!E31)*СПРАВОЧНИК!$O$9+('ФАКТ ЧИСТ К1'!F31)*СПРАВОЧНИК!$L$10+('ФАКТ ЧИСТ К1'!G31)*СПРАВОЧНИК!$M$10+('ФАКТ ЧИСТ К1'!H31)*СПРАВОЧНИК!$N$10+('ФАКТ ЧИСТ К1'!I31)*СПРАВОЧНИК!$L$11+('ФАКТ ЧИСТ К1'!J31)*СПРАВОЧНИК!$M$11+('ФАКТ ЧИСТ К1'!K31)*СПРАВОЧНИК!$N$11+('ФАКТ ЧИСТ К1'!L31)*СПРАВОЧНИК!$L$12+('ФАКТ ЧИСТ К1'!M31)*СПРАВОЧНИК!$M$12+('ФАКТ ЧИСТ К1'!N31)*СПРАВОЧНИК!$N$12+('ФАКТ ЧИСТ К1'!O31)*СПРАВОЧНИК!$L$13+('ФАКТ ЧИСТ К1'!P31)*СПРАВОЧНИК!$M$13+('ФАКТ ЧИСТ К1'!Q31)*СПРАВОЧНИК!$N$13+('ФАКТ ЧИСТ К1'!R31)*СПРАВОЧНИК!$L$14+('ФАКТ ЧИСТ К1'!S31)*СПРАВОЧНИК!$M$14+('ФАКТ ЧИСТ К1'!T31)*СПРАВОЧНИК!$N$14+('ФАКТ ЧИСТ К1'!U31)*СПРАВОЧНИК!$L$15+('ФАКТ ЧИСТ К1'!V31)*СПРАВОЧНИК!$M$15+('ФАКТ ЧИСТ К1'!W31)*СПРАВОЧНИК!$N$15</f>
        <v>0</v>
      </c>
      <c r="AM40" s="18">
        <f t="shared" si="18"/>
        <v>46356</v>
      </c>
      <c r="AN40" s="37">
        <f>СПРАВОЧНИК!$E$9*('ПЛАН ЧЕРН К2'!B31*СПРАВОЧНИК!$H$9+'ПЛАН ЧЕРН К2'!C31*СПРАВОЧНИК!$I$9+'ПЛАН ЧЕРН К2'!D31*СПРАВОЧНИК!$J$9)+СПРАВОЧНИК!$E$10*('ПЛАН ЧЕРН К2'!E31*СПРАВОЧНИК!$H$10+'ПЛАН ЧЕРН К2'!F31*СПРАВОЧНИК!$I$10+'ПЛАН ЧЕРН К2'!G31*СПРАВОЧНИК!$J$10)+СПРАВОЧНИК!$E$11*('ПЛАН ЧЕРН К2'!H31*СПРАВОЧНИК!$H$11+'ПЛАН ЧЕРН К2'!I31*СПРАВОЧНИК!$I$11+'ПЛАН ЧЕРН К2'!J31*СПРАВОЧНИК!$J$11)+СПРАВОЧНИК!$E$12*('ПЛАН ЧЕРН К2'!K31*СПРАВОЧНИК!$H$12+'ПЛАН ЧЕРН К2'!L31*СПРАВОЧНИК!$I$12+'ПЛАН ЧЕРН К2'!M31*СПРАВОЧНИК!$J$12)+СПРАВОЧНИК!$E$13*('ПЛАН ЧЕРН К2'!N31*СПРАВОЧНИК!$H$13+'ПЛАН ЧЕРН К2'!O31*СПРАВОЧНИК!$I$13+'ПЛАН ЧЕРН К2'!P31*СПРАВОЧНИК!$J$13)+СПРАВОЧНИК!$E$14*('ПЛАН ЧЕРН К2'!Q31*СПРАВОЧНИК!$H$14+'ПЛАН ЧЕРН К2'!R31*СПРАВОЧНИК!$I$14+'ПЛАН ЧЕРН К2'!S31*СПРАВОЧНИК!$J$14)+СПРАВОЧНИК!$E$15*('ПЛАН ЧЕРН К2'!T31*СПРАВОЧНИК!$H$15+'ПЛАН ЧЕРН К2'!U31*СПРАВОЧНИК!$I$15+'ПЛАН ЧЕРН К2'!V31*СПРАВОЧНИК!$J$15)+СПРАВОЧНИК!$F$9*('ПЛАН ЧИСТ К2'!B31*СПРАВОЧНИК!$L$9+'ПЛАН ЧИСТ К2'!C31*СПРАВОЧНИК!$M$9+'ПЛАН ЧИСТ К2'!D31*СПРАВОЧНИК!$N$9+'ПЛАН ЧИСТ К2'!E31*СПРАВОЧНИК!$O$9)+СПРАВОЧНИК!$F$10*('ПЛАН ЧИСТ К2'!F31*СПРАВОЧНИК!$L$10+'ПЛАН ЧИСТ К2'!G31*СПРАВОЧНИК!$M$10+'ПЛАН ЧИСТ К2'!H31*СПРАВОЧНИК!$N$10)+СПРАВОЧНИК!$F$11*('ПЛАН ЧИСТ К2'!I31*СПРАВОЧНИК!$L$11+'ПЛАН ЧИСТ К2'!J31*СПРАВОЧНИК!$M$11+'ПЛАН ЧИСТ К2'!K31*СПРАВОЧНИК!$N$11)+СПРАВОЧНИК!$F$12*('ПЛАН ЧИСТ К2'!L31*СПРАВОЧНИК!$L$12+'ПЛАН ЧИСТ К2'!M31*СПРАВОЧНИК!$M$12+'ПЛАН ЧИСТ К2'!N31*СПРАВОЧНИК!$N$12)+СПРАВОЧНИК!$F$13*('ПЛАН ЧИСТ К2'!O31*СПРАВОЧНИК!$L$13+'ПЛАН ЧИСТ К2'!P31*СПРАВОЧНИК!$M$13+'ПЛАН ЧИСТ К2'!Q31*СПРАВОЧНИК!$N$13)+СПРАВОЧНИК!$F$14*('ПЛАН ЧИСТ К2'!R31*СПРАВОЧНИК!$L$14+'ПЛАН ЧИСТ К2'!S31*СПРАВОЧНИК!$M$14+'ПЛАН ЧИСТ К2'!T31*СПРАВОЧНИК!$N$14)+СПРАВОЧНИК!$F$15*('ПЛАН ЧИСТ К2'!U31*СПРАВОЧНИК!$L$15+'ПЛАН ЧИСТ К2'!V31*СПРАВОЧНИК!$M$15+'ПЛАН ЧИСТ К2'!W31*СПРАВОЧНИК!$N$15)</f>
        <v>0</v>
      </c>
      <c r="AO40" s="40">
        <f>СПРАВОЧНИК!$E$9*(('ФАКТ ЧЕРН К2'!B31)*СПРАВОЧНИК!$H$9+('ФАКТ ЧЕРН К2'!C31)*СПРАВОЧНИК!$I$9+('ФАКТ ЧЕРН К2'!D31)*СПРАВОЧНИК!$J$9)+СПРАВОЧНИК!$E$10*(('ФАКТ ЧЕРН К2'!E31)*СПРАВОЧНИК!$H$10+('ФАКТ ЧЕРН К2'!F31)*СПРАВОЧНИК!$I$10+('ФАКТ ЧЕРН К2'!G31)*СПРАВОЧНИК!$J$10)+СПРАВОЧНИК!$E$11*(('ФАКТ ЧЕРН К2'!H31)*СПРАВОЧНИК!$H$11+('ФАКТ ЧЕРН К2'!I31)*СПРАВОЧНИК!$I$11+('ФАКТ ЧЕРН К2'!J31)*СПРАВОЧНИК!$J$11)+СПРАВОЧНИК!$E$12*(('ФАКТ ЧЕРН К2'!K31)*СПРАВОЧНИК!$H$12+('ФАКТ ЧЕРН К2'!L31)*СПРАВОЧНИК!$I$12+('ФАКТ ЧЕРН К2'!M31)*СПРАВОЧНИК!$J$12)+СПРАВОЧНИК!$E$13*(('ФАКТ ЧЕРН К2'!N31)*СПРАВОЧНИК!$H$13+('ФАКТ ЧЕРН К2'!O31)*СПРАВОЧНИК!$I$13+('ФАКТ ЧЕРН К2'!P31)*СПРАВОЧНИК!$J$13)+СПРАВОЧНИК!$E$14*(('ФАКТ ЧЕРН К2'!Q31)*СПРАВОЧНИК!$H$14+('ФАКТ ЧЕРН К2'!R31)*СПРАВОЧНИК!$I$14+('ФАКТ ЧЕРН К2'!S31)*СПРАВОЧНИК!$J$14)+СПРАВОЧНИК!$E$15*(('ФАКТ ЧЕРН К2'!T31)*СПРАВОЧНИК!$H$15+('ФАКТ ЧЕРН К2'!U31)*СПРАВОЧНИК!$I$15+('ФАКТ ЧЕРН К2'!V31)*СПРАВОЧНИК!$J$15)+СПРАВОЧНИК!$F$9*(('ФАКТ ЧИСТ К2'!B31)*СПРАВОЧНИК!$L$9+('ФАКТ ЧИСТ К2'!C31)*СПРАВОЧНИК!$M$9+('ФАКТ ЧИСТ К2'!D31)*СПРАВОЧНИК!$N$9+('ФАКТ ЧИСТ К2'!E31)*СПРАВОЧНИК!$O$9)+СПРАВОЧНИК!$F$10*(('ФАКТ ЧИСТ К2'!F31)*СПРАВОЧНИК!$L$10+('ФАКТ ЧИСТ К2'!G31)*СПРАВОЧНИК!$M$10+('ФАКТ ЧИСТ К2'!H31)*СПРАВОЧНИК!$N$10)+СПРАВОЧНИК!$F$11*(('ФАКТ ЧИСТ К2'!I31)*СПРАВОЧНИК!$L$11+('ФАКТ ЧИСТ К2'!J31)*СПРАВОЧНИК!$M$11+('ФАКТ ЧИСТ К2'!K31)*СПРАВОЧНИК!$N$11)+СПРАВОЧНИК!$F$12*(('ФАКТ ЧИСТ К2'!L31)*СПРАВОЧНИК!$L$12+('ФАКТ ЧИСТ К2'!M31)*СПРАВОЧНИК!$M$12+('ФАКТ ЧИСТ К2'!N31)*СПРАВОЧНИК!$N$12)+СПРАВОЧНИК!$F$13*(('ФАКТ ЧИСТ К2'!O31)*СПРАВОЧНИК!$L$13+('ФАКТ ЧИСТ К2'!P31)*СПРАВОЧНИК!$M$13+('ФАКТ ЧИСТ К2'!Q31)*СПРАВОЧНИК!$N$13)+СПРАВОЧНИК!$F$14*(('ФАКТ ЧИСТ К2'!R31)*СПРАВОЧНИК!$L$14+('ФАКТ ЧИСТ К2'!S31)*СПРАВОЧНИК!$M$14+('ФАКТ ЧИСТ К2'!T31)*СПРАВОЧНИК!$N$14)+СПРАВОЧНИК!$F$15*(('ФАКТ ЧИСТ К2'!U31)*СПРАВОЧНИК!$L$15+('ФАКТ ЧИСТ К2'!V31)*СПРАВОЧНИК!$M$15+('ФАКТ ЧИСТ К2'!W31)*СПРАВОЧНИК!$N$15)</f>
        <v>0</v>
      </c>
      <c r="AS40" s="18">
        <f t="shared" si="19"/>
        <v>46356</v>
      </c>
      <c r="AT40" s="37">
        <f>'ПЛАН ЧЕРН К2'!B31*СПРАВОЧНИК!$H$9+'ПЛАН ЧЕРН К2'!C31*СПРАВОЧНИК!$I$9+'ПЛАН ЧЕРН К2'!D31*СПРАВОЧНИК!$J$9+'ПЛАН ЧЕРН К2'!E31*СПРАВОЧНИК!$H$10+'ПЛАН ЧЕРН К2'!F31*СПРАВОЧНИК!$I$10+'ПЛАН ЧЕРН К2'!G31*СПРАВОЧНИК!$J$10+'ПЛАН ЧЕРН К2'!H31*СПРАВОЧНИК!$H$11+'ПЛАН ЧЕРН К2'!I31*СПРАВОЧНИК!$I$11+'ПЛАН ЧЕРН К2'!J31*СПРАВОЧНИК!$J$11+'ПЛАН ЧЕРН К2'!K31*СПРАВОЧНИК!$H$12+'ПЛАН ЧЕРН К2'!L31*СПРАВОЧНИК!$I$12+'ПЛАН ЧЕРН К2'!M31*СПРАВОЧНИК!$J$12+'ПЛАН ЧЕРН К2'!N31*СПРАВОЧНИК!$H$13+'ПЛАН ЧЕРН К2'!O31*СПРАВОЧНИК!$I$13+'ПЛАН ЧЕРН К2'!P31*СПРАВОЧНИК!$J$13+'ПЛАН ЧЕРН К2'!Q31*СПРАВОЧНИК!$H$14+'ПЛАН ЧЕРН К2'!R31*СПРАВОЧНИК!$I$14+'ПЛАН ЧЕРН К2'!S31*СПРАВОЧНИК!$J$14+'ПЛАН ЧЕРН К2'!T31*СПРАВОЧНИК!$H$15+'ПЛАН ЧЕРН К2'!U31*СПРАВОЧНИК!$I$15+'ПЛАН ЧЕРН К2'!V31*СПРАВОЧНИК!$J$15</f>
        <v>0</v>
      </c>
      <c r="AU40" s="40">
        <f>('ФАКТ ЧЕРН К2'!B31)*СПРАВОЧНИК!$H$9+('ФАКТ ЧЕРН К2'!C31)*СПРАВОЧНИК!$I$9+('ФАКТ ЧЕРН К2'!D31)*СПРАВОЧНИК!$J$9+('ФАКТ ЧЕРН К2'!E31)*СПРАВОЧНИК!$H$10+('ФАКТ ЧЕРН К2'!F31)*СПРАВОЧНИК!$I$10+('ФАКТ ЧЕРН К2'!G31)*СПРАВОЧНИК!$J$10+('ФАКТ ЧЕРН К2'!H31)*СПРАВОЧНИК!$H$11+('ФАКТ ЧЕРН К2'!I31)*СПРАВОЧНИК!$I$11+('ФАКТ ЧЕРН К2'!J31)*СПРАВОЧНИК!$J$11+('ФАКТ ЧЕРН К2'!K31)*СПРАВОЧНИК!$H$12+('ФАКТ ЧЕРН К2'!L31)*СПРАВОЧНИК!$I$12+('ФАКТ ЧЕРН К2'!M31)*СПРАВОЧНИК!$J$12+('ФАКТ ЧЕРН К2'!N31)*СПРАВОЧНИК!$H$13+('ФАКТ ЧЕРН К2'!O31)*СПРАВОЧНИК!$I$13+('ФАКТ ЧЕРН К2'!P31)*СПРАВОЧНИК!$J$13+('ФАКТ ЧЕРН К2'!Q31)*СПРАВОЧНИК!$H$14+('ФАКТ ЧЕРН К2'!R31)*СПРАВОЧНИК!$I$14+('ФАКТ ЧЕРН К2'!S31)*СПРАВОЧНИК!$J$14+('ФАКТ ЧЕРН К2'!T31)*СПРАВОЧНИК!$H$15+('ФАКТ ЧЕРН К2'!U31)*СПРАВОЧНИК!$I$15+('ФАКТ ЧЕРН К2'!V31)*СПРАВОЧНИК!$J$15</f>
        <v>0</v>
      </c>
      <c r="AY40" s="18">
        <f t="shared" si="20"/>
        <v>46356</v>
      </c>
      <c r="AZ40" s="37">
        <f>'ПЛАН ЧИСТ К2'!B31*СПРАВОЧНИК!$L$9+'ПЛАН ЧИСТ К2'!C31*СПРАВОЧНИК!$M$9+'ПЛАН ЧИСТ К2'!D31*СПРАВОЧНИК!$N$9+'ПЛАН ЧИСТ К2'!E31*СПРАВОЧНИК!$O$9+'ПЛАН ЧИСТ К2'!F31*СПРАВОЧНИК!$L$10+'ПЛАН ЧИСТ К2'!G31*СПРАВОЧНИК!$M$10+'ПЛАН ЧИСТ К2'!H31*СПРАВОЧНИК!$N$10+'ПЛАН ЧИСТ К2'!I31*СПРАВОЧНИК!$L$11+'ПЛАН ЧИСТ К2'!J31*СПРАВОЧНИК!$M$11+'ПЛАН ЧИСТ К2'!K31*СПРАВОЧНИК!$N$11+'ПЛАН ЧИСТ К2'!L31*СПРАВОЧНИК!$L$12+'ПЛАН ЧИСТ К2'!M31*СПРАВОЧНИК!$M$12+'ПЛАН ЧИСТ К2'!N31*СПРАВОЧНИК!$N$12+'ПЛАН ЧИСТ К2'!O31*СПРАВОЧНИК!$L$13+'ПЛАН ЧИСТ К2'!P31*СПРАВОЧНИК!$M$13+'ПЛАН ЧИСТ К2'!Q31*СПРАВОЧНИК!$N$13+'ПЛАН ЧИСТ К2'!R31*СПРАВОЧНИК!$L$14+'ПЛАН ЧИСТ К2'!S31*СПРАВОЧНИК!$M$14+'ПЛАН ЧИСТ К2'!T31*СПРАВОЧНИК!$N$14+'ПЛАН ЧИСТ К2'!U31*СПРАВОЧНИК!$L$15+'ПЛАН ЧИСТ К2'!V31*СПРАВОЧНИК!$M$15+'ПЛАН ЧИСТ К2'!W31*СПРАВОЧНИК!$N$15</f>
        <v>0</v>
      </c>
      <c r="BA40" s="40">
        <f>('ФАКТ ЧИСТ К2'!B31)*СПРАВОЧНИК!$L$9+('ФАКТ ЧИСТ К2'!C31)*СПРАВОЧНИК!$M$9+('ФАКТ ЧИСТ К2'!D31)*СПРАВОЧНИК!$N$9+('ФАКТ ЧИСТ К2'!E31)*СПРАВОЧНИК!$O$9+('ФАКТ ЧИСТ К2'!F31)*СПРАВОЧНИК!$L$10+('ФАКТ ЧИСТ К2'!G31)*СПРАВОЧНИК!$M$10+('ФАКТ ЧИСТ К2'!H31)*СПРАВОЧНИК!$N$10+('ФАКТ ЧИСТ К2'!I31)*СПРАВОЧНИК!$L$11+('ФАКТ ЧИСТ К2'!J31)*СПРАВОЧНИК!$M$11+('ФАКТ ЧИСТ К2'!K31)*СПРАВОЧНИК!$N$11+('ФАКТ ЧИСТ К2'!L31)*СПРАВОЧНИК!$L$12+('ФАКТ ЧИСТ К2'!M31)*СПРАВОЧНИК!$M$12+('ФАКТ ЧИСТ К2'!N31)*СПРАВОЧНИК!$N$12+('ФАКТ ЧИСТ К2'!O31)*СПРАВОЧНИК!$L$13+('ФАКТ ЧИСТ К2'!P31)*СПРАВОЧНИК!$M$13+('ФАКТ ЧИСТ К2'!Q31)*СПРАВОЧНИК!$N$13+('ФАКТ ЧИСТ К2'!R31)*СПРАВОЧНИК!$L$14+('ФАКТ ЧИСТ К2'!S31)*СПРАВОЧНИК!$M$14+('ФАКТ ЧИСТ К2'!T31)*СПРАВОЧНИК!$N$14+('ФАКТ ЧИСТ К2'!U31)*СПРАВОЧНИК!$L$15+('ФАКТ ЧИСТ К2'!V31)*СПРАВОЧНИК!$M$15+('ФАКТ ЧИСТ К2'!W31)*СПРАВОЧНИК!$N$15</f>
        <v>0</v>
      </c>
      <c r="BE40" s="18">
        <f t="shared" si="21"/>
        <v>46356</v>
      </c>
      <c r="BF40" s="37">
        <f>СПРАВОЧНИК!$E$9*('ПЛАН ЧЕРН К3'!B31*СПРАВОЧНИК!$H$9+'ПЛАН ЧЕРН К3'!C31*СПРАВОЧНИК!$I$9+'ПЛАН ЧЕРН К3'!D31*СПРАВОЧНИК!$J$9)+СПРАВОЧНИК!$E$10*('ПЛАН ЧЕРН К3'!E31*СПРАВОЧНИК!$H$10+'ПЛАН ЧЕРН К3'!F31*СПРАВОЧНИК!$I$10+'ПЛАН ЧЕРН К3'!G31*СПРАВОЧНИК!$J$10)+СПРАВОЧНИК!$E$11*('ПЛАН ЧЕРН К3'!H31*СПРАВОЧНИК!$H$11+'ПЛАН ЧЕРН К3'!I31*СПРАВОЧНИК!$I$11+'ПЛАН ЧЕРН К3'!J31*СПРАВОЧНИК!$J$11)+СПРАВОЧНИК!$E$12*('ПЛАН ЧЕРН К3'!K31*СПРАВОЧНИК!$H$12+'ПЛАН ЧЕРН К3'!L31*СПРАВОЧНИК!$I$12+'ПЛАН ЧЕРН К3'!M31*СПРАВОЧНИК!$J$12)+СПРАВОЧНИК!$E$13*('ПЛАН ЧЕРН К3'!N31*СПРАВОЧНИК!$H$13+'ПЛАН ЧЕРН К3'!O31*СПРАВОЧНИК!$I$13+'ПЛАН ЧЕРН К3'!P31*СПРАВОЧНИК!$J$13)+СПРАВОЧНИК!$E$14*('ПЛАН ЧЕРН К3'!Q31*СПРАВОЧНИК!$H$14+'ПЛАН ЧЕРН К3'!R31*СПРАВОЧНИК!$I$14+'ПЛАН ЧЕРН К3'!S31*СПРАВОЧНИК!$J$14)+СПРАВОЧНИК!$E$15*('ПЛАН ЧЕРН К3'!T31*СПРАВОЧНИК!$H$15+'ПЛАН ЧЕРН К3'!U31*СПРАВОЧНИК!$I$15+'ПЛАН ЧЕРН К3'!V31*СПРАВОЧНИК!$J$15)+СПРАВОЧНИК!$F$9*('ПЛАН ЧИСТ К3'!B31*СПРАВОЧНИК!$L$9+'ПЛАН ЧИСТ К3'!C31*СПРАВОЧНИК!$M$9+'ПЛАН ЧИСТ К3'!D31*СПРАВОЧНИК!$N$9+'ПЛАН ЧИСТ К3'!E31*СПРАВОЧНИК!$O$9)+СПРАВОЧНИК!$F$10*('ПЛАН ЧИСТ К3'!F31*СПРАВОЧНИК!$L$10+'ПЛАН ЧИСТ К3'!G31*СПРАВОЧНИК!$M$10+'ПЛАН ЧИСТ К3'!H31*СПРАВОЧНИК!$N$10)+СПРАВОЧНИК!$F$11*('ПЛАН ЧИСТ К3'!I31*СПРАВОЧНИК!$L$11+'ПЛАН ЧИСТ К3'!J31*СПРАВОЧНИК!$M$11+'ПЛАН ЧИСТ К3'!K31*СПРАВОЧНИК!$N$11)+СПРАВОЧНИК!$F$12*('ПЛАН ЧИСТ К3'!L31*СПРАВОЧНИК!$L$12+'ПЛАН ЧИСТ К3'!M31*СПРАВОЧНИК!$M$12+'ПЛАН ЧИСТ К3'!N31*СПРАВОЧНИК!$N$12)+СПРАВОЧНИК!$F$13*('ПЛАН ЧИСТ К3'!O31*СПРАВОЧНИК!$L$13+'ПЛАН ЧИСТ К3'!P31*СПРАВОЧНИК!$M$13+'ПЛАН ЧИСТ К3'!Q31*СПРАВОЧНИК!$N$13)+СПРАВОЧНИК!$F$14*('ПЛАН ЧИСТ К3'!R31*СПРАВОЧНИК!$L$14+'ПЛАН ЧИСТ К3'!S31*СПРАВОЧНИК!$M$14+'ПЛАН ЧИСТ К3'!T31*СПРАВОЧНИК!$N$14)+СПРАВОЧНИК!$F$15*('ПЛАН ЧИСТ К3'!U31*СПРАВОЧНИК!$L$15+'ПЛАН ЧИСТ К3'!V31*СПРАВОЧНИК!$M$15+'ПЛАН ЧИСТ К3'!W31*СПРАВОЧНИК!$N$15)</f>
        <v>0</v>
      </c>
      <c r="BG40" s="40">
        <f>СПРАВОЧНИК!$E$9*(('ФАКТ ЧЕРН К3'!B31)*СПРАВОЧНИК!$H$9+('ФАКТ ЧЕРН К3'!C31)*СПРАВОЧНИК!$I$9+('ФАКТ ЧЕРН К3'!D31)*СПРАВОЧНИК!$J$9)+СПРАВОЧНИК!$E$10*(('ФАКТ ЧЕРН К3'!E31)*СПРАВОЧНИК!$H$10+('ФАКТ ЧЕРН К3'!F31)*СПРАВОЧНИК!$I$10+('ФАКТ ЧЕРН К3'!G31)*СПРАВОЧНИК!$J$10)+СПРАВОЧНИК!$E$11*(('ФАКТ ЧЕРН К3'!H31)*СПРАВОЧНИК!$H$11+('ФАКТ ЧЕРН К3'!I31)*СПРАВОЧНИК!$I$11+('ФАКТ ЧЕРН К3'!J31)*СПРАВОЧНИК!$J$11)+СПРАВОЧНИК!$E$12*(('ФАКТ ЧЕРН К3'!K31)*СПРАВОЧНИК!$H$12+('ФАКТ ЧЕРН К3'!L31)*СПРАВОЧНИК!$I$12+('ФАКТ ЧЕРН К3'!M31)*СПРАВОЧНИК!$J$12)+СПРАВОЧНИК!$E$13*(('ФАКТ ЧЕРН К3'!N31)*СПРАВОЧНИК!$H$13+('ФАКТ ЧЕРН К3'!O31)*СПРАВОЧНИК!$I$13+('ФАКТ ЧЕРН К3'!P31)*СПРАВОЧНИК!$J$13)+СПРАВОЧНИК!$E$14*(('ФАКТ ЧЕРН К3'!Q31)*СПРАВОЧНИК!$H$14+('ФАКТ ЧЕРН К3'!R31)*СПРАВОЧНИК!$I$14+('ФАКТ ЧЕРН К3'!S31)*СПРАВОЧНИК!$J$14)+СПРАВОЧНИК!$E$15*(('ФАКТ ЧЕРН К3'!T31)*СПРАВОЧНИК!$H$15+('ФАКТ ЧЕРН К3'!U31)*СПРАВОЧНИК!$I$15+('ФАКТ ЧЕРН К3'!V31)*СПРАВОЧНИК!$J$15)+СПРАВОЧНИК!$F$9*(('ФАКТ ЧИСТ К3'!B31)*СПРАВОЧНИК!$L$9+('ФАКТ ЧИСТ К3'!C31)*СПРАВОЧНИК!$M$9+('ФАКТ ЧИСТ К3'!D31)*СПРАВОЧНИК!$N$9+('ФАКТ ЧИСТ К3'!E31)*СПРАВОЧНИК!$O$9)+СПРАВОЧНИК!$F$10*(('ФАКТ ЧИСТ К3'!F31)*СПРАВОЧНИК!$L$10+('ФАКТ ЧИСТ К3'!G31)*СПРАВОЧНИК!$M$10+('ФАКТ ЧИСТ К3'!H31)*СПРАВОЧНИК!$N$10)+СПРАВОЧНИК!$F$11*(('ФАКТ ЧИСТ К3'!I31)*СПРАВОЧНИК!$L$11+('ФАКТ ЧИСТ К3'!J31)*СПРАВОЧНИК!$M$11+('ФАКТ ЧИСТ К3'!K31)*СПРАВОЧНИК!$N$11)+СПРАВОЧНИК!$F$12*(('ФАКТ ЧИСТ К3'!L31)*СПРАВОЧНИК!$L$12+('ФАКТ ЧИСТ К3'!M31)*СПРАВОЧНИК!$M$12+('ФАКТ ЧИСТ К3'!N31)*СПРАВОЧНИК!$N$12)+СПРАВОЧНИК!$F$13*(('ФАКТ ЧИСТ К3'!O31)*СПРАВОЧНИК!$L$13+('ФАКТ ЧИСТ К3'!P31)*СПРАВОЧНИК!$M$13+('ФАКТ ЧИСТ К3'!Q31)*СПРАВОЧНИК!$N$13)+СПРАВОЧНИК!$F$14*(('ФАКТ ЧИСТ К3'!R31)*СПРАВОЧНИК!$L$14+('ФАКТ ЧИСТ К3'!S31)*СПРАВОЧНИК!$M$14+('ФАКТ ЧИСТ К3'!T31)*СПРАВОЧНИК!$N$14)+СПРАВОЧНИК!$F$15*(('ФАКТ ЧИСТ К3'!U31)*СПРАВОЧНИК!$L$15+('ФАКТ ЧИСТ К3'!V31)*СПРАВОЧНИК!$M$15+('ФАКТ ЧИСТ К3'!W31)*СПРАВОЧНИК!$N$15)</f>
        <v>0</v>
      </c>
      <c r="BK40" s="18">
        <f t="shared" si="22"/>
        <v>46356</v>
      </c>
      <c r="BL40" s="37">
        <f>'ПЛАН ЧЕРН К3'!B31*СПРАВОЧНИК!$H$9+'ПЛАН ЧЕРН К3'!C31*СПРАВОЧНИК!$I$9+'ПЛАН ЧЕРН К3'!D31*СПРАВОЧНИК!$J$9+'ПЛАН ЧЕРН К3'!E31*СПРАВОЧНИК!$H$10+'ПЛАН ЧЕРН К3'!F31*СПРАВОЧНИК!$I$10+'ПЛАН ЧЕРН К3'!G31*СПРАВОЧНИК!$J$10+'ПЛАН ЧЕРН К3'!H31*СПРАВОЧНИК!$H$11+'ПЛАН ЧЕРН К3'!I31*СПРАВОЧНИК!$I$11+'ПЛАН ЧЕРН К3'!J31*СПРАВОЧНИК!$J$11+'ПЛАН ЧЕРН К3'!K31*СПРАВОЧНИК!$H$12+'ПЛАН ЧЕРН К3'!L31*СПРАВОЧНИК!$I$12+'ПЛАН ЧЕРН К3'!M31*СПРАВОЧНИК!$J$12+'ПЛАН ЧЕРН К3'!N31*СПРАВОЧНИК!$H$13+'ПЛАН ЧЕРН К3'!O31*СПРАВОЧНИК!$I$13+'ПЛАН ЧЕРН К3'!P31*СПРАВОЧНИК!$J$13+'ПЛАН ЧЕРН К3'!Q31*СПРАВОЧНИК!$H$14+'ПЛАН ЧЕРН К3'!R31*СПРАВОЧНИК!$I$14+'ПЛАН ЧЕРН К3'!S31*СПРАВОЧНИК!$J$14+'ПЛАН ЧЕРН К3'!T31*СПРАВОЧНИК!$H$15+'ПЛАН ЧЕРН К3'!U31*СПРАВОЧНИК!$I$15+'ПЛАН ЧЕРН К3'!V31*СПРАВОЧНИК!$J$15</f>
        <v>0</v>
      </c>
      <c r="BM40" s="40">
        <f>('ФАКТ ЧЕРН К3'!B31)*СПРАВОЧНИК!$H$9+('ФАКТ ЧЕРН К3'!C31)*СПРАВОЧНИК!$I$9+('ФАКТ ЧЕРН К3'!D31)*СПРАВОЧНИК!$J$9+('ФАКТ ЧЕРН К3'!E31)*СПРАВОЧНИК!$H$10+('ФАКТ ЧЕРН К3'!F31)*СПРАВОЧНИК!$I$10+('ФАКТ ЧЕРН К3'!G31)*СПРАВОЧНИК!$J$10+('ФАКТ ЧЕРН К3'!H31)*СПРАВОЧНИК!$H$11+('ФАКТ ЧЕРН К3'!I31)*СПРАВОЧНИК!$I$11+('ФАКТ ЧЕРН К3'!J31)*СПРАВОЧНИК!$J$11+('ФАКТ ЧЕРН К3'!K31)*СПРАВОЧНИК!$H$12+('ФАКТ ЧЕРН К3'!L31)*СПРАВОЧНИК!$I$12+('ФАКТ ЧЕРН К3'!M31)*СПРАВОЧНИК!$J$12+('ФАКТ ЧЕРН К3'!N31)*СПРАВОЧНИК!$H$13+('ФАКТ ЧЕРН К3'!O31)*СПРАВОЧНИК!$I$13+('ФАКТ ЧЕРН К3'!P31)*СПРАВОЧНИК!$J$13+('ФАКТ ЧЕРН К3'!Q31)*СПРАВОЧНИК!$H$14+('ФАКТ ЧЕРН К3'!R31)*СПРАВОЧНИК!$I$14+('ФАКТ ЧЕРН К3'!S31)*СПРАВОЧНИК!$J$14+('ФАКТ ЧЕРН К3'!T31)*СПРАВОЧНИК!$H$15+('ФАКТ ЧЕРН К3'!U31)*СПРАВОЧНИК!$I$15+('ФАКТ ЧЕРН К3'!V31)*СПРАВОЧНИК!$J$15</f>
        <v>0</v>
      </c>
      <c r="BQ40" s="18">
        <f t="shared" si="23"/>
        <v>46356</v>
      </c>
      <c r="BR40" s="37">
        <f>'ПЛАН ЧИСТ К3'!B31*СПРАВОЧНИК!$L$9+'ПЛАН ЧИСТ К3'!C31*СПРАВОЧНИК!$M$9+'ПЛАН ЧИСТ К3'!D31*СПРАВОЧНИК!$N$9+'ПЛАН ЧИСТ К3'!E31*СПРАВОЧНИК!$O$9+'ПЛАН ЧИСТ К3'!F31*СПРАВОЧНИК!$L$10+'ПЛАН ЧИСТ К3'!G31*СПРАВОЧНИК!$M$10+'ПЛАН ЧИСТ К3'!H31*СПРАВОЧНИК!$N$10+'ПЛАН ЧИСТ К3'!I31*СПРАВОЧНИК!$L$11+'ПЛАН ЧИСТ К3'!J31*СПРАВОЧНИК!$M$11+'ПЛАН ЧИСТ К3'!K31*СПРАВОЧНИК!$N$11+'ПЛАН ЧИСТ К3'!L31*СПРАВОЧНИК!$L$12+'ПЛАН ЧИСТ К3'!M31*СПРАВОЧНИК!$M$12+'ПЛАН ЧИСТ К3'!N31*СПРАВОЧНИК!$N$12+'ПЛАН ЧИСТ К3'!O31*СПРАВОЧНИК!$L$13+'ПЛАН ЧИСТ К3'!P31*СПРАВОЧНИК!$M$13+'ПЛАН ЧИСТ К3'!Q31*СПРАВОЧНИК!$N$13+'ПЛАН ЧИСТ К3'!R31*СПРАВОЧНИК!$L$14+'ПЛАН ЧИСТ К3'!S31*СПРАВОЧНИК!$M$14+'ПЛАН ЧИСТ К3'!T31*СПРАВОЧНИК!$N$14+'ПЛАН ЧИСТ К3'!U31*СПРАВОЧНИК!$L$15+'ПЛАН ЧИСТ К3'!V31*СПРАВОЧНИК!$M$15+'ПЛАН ЧИСТ К3'!W31*СПРАВОЧНИК!$N$15</f>
        <v>0</v>
      </c>
      <c r="BS40" s="40">
        <f>('ФАКТ ЧИСТ К3'!B31)*СПРАВОЧНИК!$L$9+('ФАКТ ЧИСТ К3'!C31)*СПРАВОЧНИК!$M$9+('ФАКТ ЧИСТ К3'!D31)*СПРАВОЧНИК!$N$9+('ФАКТ ЧИСТ К3'!E31)*СПРАВОЧНИК!$O$9+('ФАКТ ЧИСТ К3'!F31)*СПРАВОЧНИК!$L$10+('ФАКТ ЧИСТ К3'!G31)*СПРАВОЧНИК!$M$10+('ФАКТ ЧИСТ К3'!H31)*СПРАВОЧНИК!$N$10+('ФАКТ ЧИСТ К3'!I31)*СПРАВОЧНИК!$L$11+('ФАКТ ЧИСТ К3'!J31)*СПРАВОЧНИК!$M$11+('ФАКТ ЧИСТ К3'!K31)*СПРАВОЧНИК!$N$11+('ФАКТ ЧИСТ К3'!L31)*СПРАВОЧНИК!$L$12+('ФАКТ ЧИСТ К3'!M31)*СПРАВОЧНИК!$M$12+('ФАКТ ЧИСТ К3'!N31)*СПРАВОЧНИК!$N$12+('ФАКТ ЧИСТ К3'!O31)*СПРАВОЧНИК!$L$13+('ФАКТ ЧИСТ К3'!P31)*СПРАВОЧНИК!$M$13+('ФАКТ ЧИСТ К3'!Q31)*СПРАВОЧНИК!$N$13+('ФАКТ ЧИСТ К3'!R31)*СПРАВОЧНИК!$L$14+('ФАКТ ЧИСТ К3'!S31)*СПРАВОЧНИК!$M$14+('ФАКТ ЧИСТ К3'!T31)*СПРАВОЧНИК!$N$14+('ФАКТ ЧИСТ К3'!U31)*СПРАВОЧНИК!$L$15+('ФАКТ ЧИСТ К3'!V31)*СПРАВОЧНИК!$M$15+('ФАКТ ЧИСТ К3'!W31)*СПРАВОЧНИК!$N$15</f>
        <v>0</v>
      </c>
      <c r="BW40" s="18">
        <f t="shared" si="24"/>
        <v>46356</v>
      </c>
      <c r="BX40" s="37">
        <f t="shared" si="0"/>
        <v>0</v>
      </c>
      <c r="BY40" s="40">
        <f t="shared" si="1"/>
        <v>0</v>
      </c>
      <c r="CC40" s="18">
        <f t="shared" si="25"/>
        <v>46356</v>
      </c>
      <c r="CD40" s="37">
        <f t="shared" si="2"/>
        <v>0</v>
      </c>
      <c r="CE40" s="40">
        <f t="shared" si="3"/>
        <v>0</v>
      </c>
      <c r="CI40" s="18">
        <f t="shared" si="26"/>
        <v>46356</v>
      </c>
      <c r="CJ40" s="37">
        <f t="shared" si="4"/>
        <v>0</v>
      </c>
      <c r="CK40" s="40">
        <f t="shared" si="5"/>
        <v>0</v>
      </c>
      <c r="CO40" s="18">
        <f t="shared" si="27"/>
        <v>46356</v>
      </c>
      <c r="CP40" s="37">
        <f t="shared" si="6"/>
        <v>0</v>
      </c>
      <c r="CQ40" s="40">
        <f t="shared" si="7"/>
        <v>0</v>
      </c>
      <c r="CU40" s="18">
        <f t="shared" si="28"/>
        <v>46356</v>
      </c>
      <c r="CV40" s="37">
        <f t="shared" si="8"/>
        <v>0</v>
      </c>
      <c r="CW40" s="40">
        <f t="shared" si="9"/>
        <v>0</v>
      </c>
      <c r="DA40" s="18">
        <f t="shared" si="29"/>
        <v>46356</v>
      </c>
      <c r="DB40" s="37">
        <f t="shared" si="10"/>
        <v>0</v>
      </c>
      <c r="DC40" s="40">
        <f t="shared" si="11"/>
        <v>0</v>
      </c>
    </row>
    <row r="41" spans="3:107" x14ac:dyDescent="0.25">
      <c r="C41" s="18">
        <f t="shared" si="12"/>
        <v>46363</v>
      </c>
      <c r="D41" s="37">
        <f>СПРАВОЧНИК!$E$3*('ПЛАН ЧЕРН ПОДЗЕМ'!B32*СПРАВОЧНИК!$H$3+'ПЛАН ЧЕРН ПОДЗЕМ'!C32*СПРАВОЧНИК!$I$3+'ПЛАН ЧЕРН ПОДЗЕМ'!D32*СПРАВОЧНИК!$J$3)+СПРАВОЧНИК!$E$4*('ПЛАН ЧЕРН ПОДЗЕМ'!E32*СПРАВОЧНИК!$H$4+'ПЛАН ЧЕРН ПОДЗЕМ'!F32*СПРАВОЧНИК!$I$4+'ПЛАН ЧЕРН ПОДЗЕМ'!G32*СПРАВОЧНИК!$J$4)+СПРАВОЧНИК!$E$5*('ПЛАН ЧЕРН ПОДЗЕМ'!H32*СПРАВОЧНИК!$H$5+'ПЛАН ЧЕРН ПОДЗЕМ'!I32*СПРАВОЧНИК!$I$5+'ПЛАН ЧЕРН ПОДЗЕМ'!J32*СПРАВОЧНИК!$J$5)+СПРАВОЧНИК!$E$6*('ПЛАН ЧЕРН ПОДЗЕМ'!K32*СПРАВОЧНИК!$H$6+'ПЛАН ЧЕРН ПОДЗЕМ'!L32*СПРАВОЧНИК!$I$6+'ПЛАН ЧЕРН ПОДЗЕМ'!M32*СПРАВОЧНИК!$J$6)+СПРАВОЧНИК!$E$7*('ПЛАН ЧЕРН ПОДЗЕМ'!N32*СПРАВОЧНИК!$H$7+'ПЛАН ЧЕРН ПОДЗЕМ'!O32*СПРАВОЧНИК!$I$7+'ПЛАН ЧЕРН ПОДЗЕМ'!P32*СПРАВОЧНИК!$J$7)+СПРАВОЧНИК!$E$8*('ПЛАН ЧЕРН ПОДЗЕМ'!Q32*СПРАВОЧНИК!$H$8+'ПЛАН ЧЕРН ПОДЗЕМ'!R32*СПРАВОЧНИК!$I$8+'ПЛАН ЧЕРН ПОДЗЕМ'!S32*СПРАВОЧНИК!$J$8)+СПРАВОЧНИК!$F$3*('ПЛАН ЧИСТ ПОДЗЕМ'!B32*СПРАВОЧНИК!$L$3+'ПЛАН ЧИСТ ПОДЗЕМ'!C32*СПРАВОЧНИК!$M$3+'ПЛАН ЧИСТ ПОДЗЕМ'!D32*СПРАВОЧНИК!$N$3)+СПРАВОЧНИК!$F$4*('ПЛАН ЧИСТ ПОДЗЕМ'!E32*СПРАВОЧНИК!$L$4+'ПЛАН ЧИСТ ПОДЗЕМ'!F32*СПРАВОЧНИК!$M$4+'ПЛАН ЧИСТ ПОДЗЕМ'!G32*СПРАВОЧНИК!$N$4)+СПРАВОЧНИК!$F$5*('ПЛАН ЧИСТ ПОДЗЕМ'!H32*СПРАВОЧНИК!$L$5+'ПЛАН ЧИСТ ПОДЗЕМ'!I32*СПРАВОЧНИК!$M$5+'ПЛАН ЧИСТ ПОДЗЕМ'!J32*СПРАВОЧНИК!$N$5)+СПРАВОЧНИК!$F$6*('ПЛАН ЧИСТ ПОДЗЕМ'!K32*СПРАВОЧНИК!$L$6+'ПЛАН ЧИСТ ПОДЗЕМ'!L32*СПРАВОЧНИК!$M$6+'ПЛАН ЧИСТ ПОДЗЕМ'!M32*СПРАВОЧНИК!$N$6)+СПРАВОЧНИК!$F$7*('ПЛАН ЧИСТ ПОДЗЕМ'!N32*СПРАВОЧНИК!$L$7+'ПЛАН ЧИСТ ПОДЗЕМ'!O32*СПРАВОЧНИК!$M$7+'ПЛАН ЧИСТ ПОДЗЕМ'!P32*СПРАВОЧНИК!$N$7)+СПРАВОЧНИК!$F$8*('ПЛАН ЧИСТ ПОДЗЕМ'!Q32*СПРАВОЧНИК!$L$8+'ПЛАН ЧИСТ ПОДЗЕМ'!R32*СПРАВОЧНИК!$M$8+'ПЛАН ЧИСТ ПОДЗЕМ'!S32*СПРАВОЧНИК!$N$8)</f>
        <v>0</v>
      </c>
      <c r="E41" s="40">
        <f>СПРАВОЧНИК!$E$3*(('ФАКТ ЧЕРН ПОДЗЕМ'!B32)*СПРАВОЧНИК!$H$3+('ФАКТ ЧЕРН ПОДЗЕМ'!C32)*СПРАВОЧНИК!$I$3+('ФАКТ ЧЕРН ПОДЗЕМ'!D32)*СПРАВОЧНИК!$J$3)+СПРАВОЧНИК!$E$4*(('ФАКТ ЧЕРН ПОДЗЕМ'!E32)*СПРАВОЧНИК!$H$4+('ФАКТ ЧЕРН ПОДЗЕМ'!F32)*СПРАВОЧНИК!$I$4+('ФАКТ ЧЕРН ПОДЗЕМ'!G32)*СПРАВОЧНИК!$J$4)+СПРАВОЧНИК!$E$5*(('ФАКТ ЧЕРН ПОДЗЕМ'!H32)*СПРАВОЧНИК!$H$5+('ФАКТ ЧЕРН ПОДЗЕМ'!I32)*СПРАВОЧНИК!$I$5+('ФАКТ ЧЕРН ПОДЗЕМ'!J32)*СПРАВОЧНИК!$J$5)+СПРАВОЧНИК!$E$6*(('ФАКТ ЧЕРН ПОДЗЕМ'!K32)*СПРАВОЧНИК!$H$6+('ФАКТ ЧЕРН ПОДЗЕМ'!L32)*СПРАВОЧНИК!$I$6+('ФАКТ ЧЕРН ПОДЗЕМ'!M32)*СПРАВОЧНИК!$J$6)+СПРАВОЧНИК!$E$7*(('ФАКТ ЧЕРН ПОДЗЕМ'!N32)*СПРАВОЧНИК!$H$7+('ФАКТ ЧЕРН ПОДЗЕМ'!O32)*СПРАВОЧНИК!$I$7+('ФАКТ ЧЕРН ПОДЗЕМ'!P32)*СПРАВОЧНИК!$J$7)+СПРАВОЧНИК!$E$8*(('ФАКТ ЧЕРН ПОДЗЕМ'!Q32)*СПРАВОЧНИК!$H$8+('ФАКТ ЧЕРН ПОДЗЕМ'!R32)*СПРАВОЧНИК!$I$8+('ФАКТ ЧЕРН ПОДЗЕМ'!S32)*СПРАВОЧНИК!$J$8)+СПРАВОЧНИК!$F$3*(('ФАКТ ЧИСТ ПОДЗЕМ'!B32)*СПРАВОЧНИК!$L$3+('ФАКТ ЧИСТ ПОДЗЕМ'!C32)*СПРАВОЧНИК!$M$3+('ФАКТ ЧИСТ ПОДЗЕМ'!D32)*СПРАВОЧНИК!$N$3)+СПРАВОЧНИК!$F$4*(('ФАКТ ЧИСТ ПОДЗЕМ'!E32)*СПРАВОЧНИК!$L$4+('ФАКТ ЧИСТ ПОДЗЕМ'!F32)*СПРАВОЧНИК!$M$4+('ФАКТ ЧИСТ ПОДЗЕМ'!G32)*СПРАВОЧНИК!$N$4)+СПРАВОЧНИК!$F$5*(('ФАКТ ЧИСТ ПОДЗЕМ'!H32)*СПРАВОЧНИК!$L$5+('ФАКТ ЧИСТ ПОДЗЕМ'!I32)*СПРАВОЧНИК!$M$5+('ФАКТ ЧИСТ ПОДЗЕМ'!J32)*СПРАВОЧНИК!$N$5)+СПРАВОЧНИК!$F$6*(('ФАКТ ЧИСТ ПОДЗЕМ'!K32)*СПРАВОЧНИК!$L$6+('ФАКТ ЧИСТ ПОДЗЕМ'!L32)*СПРАВОЧНИК!$M$6+('ФАКТ ЧИСТ ПОДЗЕМ'!M32)*СПРАВОЧНИК!$N$6)+СПРАВОЧНИК!$F$7*(('ФАКТ ЧИСТ ПОДЗЕМ'!N32)*СПРАВОЧНИК!$L$7+('ФАКТ ЧИСТ ПОДЗЕМ'!O32)*СПРАВОЧНИК!$M$7+('ФАКТ ЧИСТ ПОДЗЕМ'!P32)*СПРАВОЧНИК!$N$7)+СПРАВОЧНИК!$F$8*(('ФАКТ ЧИСТ ПОДЗЕМ'!Q32)*СПРАВОЧНИК!$L$8+('ФАКТ ЧИСТ ПОДЗЕМ'!R32)*СПРАВОЧНИК!$M$8+('ФАКТ ЧИСТ ПОДЗЕМ'!S32)*СПРАВОЧНИК!$N$8)</f>
        <v>0</v>
      </c>
      <c r="I41" s="18">
        <f t="shared" si="13"/>
        <v>46363</v>
      </c>
      <c r="J41" s="37">
        <f>'ПЛАН ЧЕРН ПОДЗЕМ'!B32*СПРАВОЧНИК!$H$3+'ПЛАН ЧЕРН ПОДЗЕМ'!C32*СПРАВОЧНИК!$I$3+'ПЛАН ЧЕРН ПОДЗЕМ'!D32*СПРАВОЧНИК!$J$3+'ПЛАН ЧЕРН ПОДЗЕМ'!E32*СПРАВОЧНИК!$H$4+'ПЛАН ЧЕРН ПОДЗЕМ'!F32*СПРАВОЧНИК!$I$4+'ПЛАН ЧЕРН ПОДЗЕМ'!G32*СПРАВОЧНИК!$J$4+'ПЛАН ЧЕРН ПОДЗЕМ'!H32*СПРАВОЧНИК!$H$5+'ПЛАН ЧЕРН ПОДЗЕМ'!I32*СПРАВОЧНИК!$I$5+'ПЛАН ЧЕРН ПОДЗЕМ'!J32*СПРАВОЧНИК!$J$5+'ПЛАН ЧЕРН ПОДЗЕМ'!K32*СПРАВОЧНИК!$H$6+'ПЛАН ЧЕРН ПОДЗЕМ'!L32*СПРАВОЧНИК!$I$6+'ПЛАН ЧЕРН ПОДЗЕМ'!M32*СПРАВОЧНИК!$J$6+'ПЛАН ЧЕРН ПОДЗЕМ'!N32*СПРАВОЧНИК!$H$7+'ПЛАН ЧЕРН ПОДЗЕМ'!O32*СПРАВОЧНИК!$I$7+'ПЛАН ЧЕРН ПОДЗЕМ'!P32*СПРАВОЧНИК!$J$7+'ПЛАН ЧЕРН ПОДЗЕМ'!Q32*СПРАВОЧНИК!$H$8+'ПЛАН ЧЕРН ПОДЗЕМ'!R32*СПРАВОЧНИК!$I$8+'ПЛАН ЧЕРН ПОДЗЕМ'!S32*СПРАВОЧНИК!$J$8</f>
        <v>0</v>
      </c>
      <c r="K41" s="40">
        <f>('ФАКТ ЧЕРН ПОДЗЕМ'!B32)*СПРАВОЧНИК!$H$3+('ФАКТ ЧЕРН ПОДЗЕМ'!C32)*СПРАВОЧНИК!$I$3+('ФАКТ ЧЕРН ПОДЗЕМ'!D32)*СПРАВОЧНИК!$J$3+('ФАКТ ЧЕРН ПОДЗЕМ'!E32)*СПРАВОЧНИК!$H$4+('ФАКТ ЧЕРН ПОДЗЕМ'!F32)*СПРАВОЧНИК!$I$4+('ФАКТ ЧЕРН ПОДЗЕМ'!G32)*СПРАВОЧНИК!$J$4+('ФАКТ ЧЕРН ПОДЗЕМ'!H32)*СПРАВОЧНИК!$H$5+('ФАКТ ЧЕРН ПОДЗЕМ'!I32)*СПРАВОЧНИК!$I$5+('ФАКТ ЧЕРН ПОДЗЕМ'!J32)*СПРАВОЧНИК!$J$5+('ФАКТ ЧЕРН ПОДЗЕМ'!K32)*СПРАВОЧНИК!$H$6+('ФАКТ ЧЕРН ПОДЗЕМ'!L32)*СПРАВОЧНИК!$I$6+('ФАКТ ЧЕРН ПОДЗЕМ'!M32)*СПРАВОЧНИК!$J$6+('ФАКТ ЧЕРН ПОДЗЕМ'!N32)*СПРАВОЧНИК!$H$7+('ФАКТ ЧЕРН ПОДЗЕМ'!O32)*СПРАВОЧНИК!$I$7+('ФАКТ ЧЕРН ПОДЗЕМ'!P32)*СПРАВОЧНИК!$J$7+('ФАКТ ЧЕРН ПОДЗЕМ'!Q32)*СПРАВОЧНИК!$H$8+('ФАКТ ЧЕРН ПОДЗЕМ'!R32)*СПРАВОЧНИК!$I$8+('ФАКТ ЧЕРН ПОДЗЕМ'!S32)*СПРАВОЧНИК!$J$8</f>
        <v>0</v>
      </c>
      <c r="O41" s="18">
        <f t="shared" si="14"/>
        <v>46363</v>
      </c>
      <c r="P41" s="37">
        <f>'ПЛАН ЧИСТ ПОДЗЕМ'!B32*СПРАВОЧНИК!$L$3+'ПЛАН ЧИСТ ПОДЗЕМ'!C32*СПРАВОЧНИК!$M$3+'ПЛАН ЧИСТ ПОДЗЕМ'!D32*СПРАВОЧНИК!$N$3+'ПЛАН ЧИСТ ПОДЗЕМ'!E32*СПРАВОЧНИК!$L$4+'ПЛАН ЧИСТ ПОДЗЕМ'!F32*СПРАВОЧНИК!$M$4+'ПЛАН ЧИСТ ПОДЗЕМ'!G32*СПРАВОЧНИК!$N$4+'ПЛАН ЧИСТ ПОДЗЕМ'!H32*СПРАВОЧНИК!$L$5+'ПЛАН ЧИСТ ПОДЗЕМ'!I32*СПРАВОЧНИК!$M$5+'ПЛАН ЧИСТ ПОДЗЕМ'!J32*СПРАВОЧНИК!$N$5+'ПЛАН ЧИСТ ПОДЗЕМ'!K32*СПРАВОЧНИК!$L$6+'ПЛАН ЧИСТ ПОДЗЕМ'!L32*СПРАВОЧНИК!$M$6+'ПЛАН ЧИСТ ПОДЗЕМ'!M32*СПРАВОЧНИК!$N$6+'ПЛАН ЧИСТ ПОДЗЕМ'!N32*СПРАВОЧНИК!$L$7+'ПЛАН ЧИСТ ПОДЗЕМ'!O32*СПРАВОЧНИК!$M$7+'ПЛАН ЧИСТ ПОДЗЕМ'!P32*СПРАВОЧНИК!$N$7+'ПЛАН ЧИСТ ПОДЗЕМ'!Q32*СПРАВОЧНИК!$L$8+'ПЛАН ЧИСТ ПОДЗЕМ'!R32*СПРАВОЧНИК!$M$8+'ПЛАН ЧИСТ ПОДЗЕМ'!S32*СПРАВОЧНИК!$N$8</f>
        <v>0</v>
      </c>
      <c r="Q41" s="40">
        <f>('ФАКТ ЧИСТ ПОДЗЕМ'!B32)*СПРАВОЧНИК!$L$3+('ФАКТ ЧИСТ ПОДЗЕМ'!C32)*СПРАВОЧНИК!$M$3+('ФАКТ ЧИСТ ПОДЗЕМ'!D32)*СПРАВОЧНИК!$N$3+('ФАКТ ЧИСТ ПОДЗЕМ'!E32)*СПРАВОЧНИК!$L$4+('ФАКТ ЧИСТ ПОДЗЕМ'!F32)*СПРАВОЧНИК!$M$4+('ФАКТ ЧИСТ ПОДЗЕМ'!G32)*СПРАВОЧНИК!$N$4+('ФАКТ ЧИСТ ПОДЗЕМ'!H32)*СПРАВОЧНИК!$L$5+('ФАКТ ЧИСТ ПОДЗЕМ'!I32)*СПРАВОЧНИК!$M$5+('ФАКТ ЧИСТ ПОДЗЕМ'!J32)*СПРАВОЧНИК!$N$5+('ФАКТ ЧИСТ ПОДЗЕМ'!K32)*СПРАВОЧНИК!$L$6+('ФАКТ ЧИСТ ПОДЗЕМ'!L32)*СПРАВОЧНИК!$M$6+('ФАКТ ЧИСТ ПОДЗЕМ'!M32)*СПРАВОЧНИК!$N$6+('ФАКТ ЧИСТ ПОДЗЕМ'!N32)*СПРАВОЧНИК!$L$7+('ФАКТ ЧИСТ ПОДЗЕМ'!O32)*СПРАВОЧНИК!$M$7+('ФАКТ ЧИСТ ПОДЗЕМ'!P32)*СПРАВОЧНИК!$N$7+('ФАКТ ЧИСТ ПОДЗЕМ'!Q32)*СПРАВОЧНИК!$L$8+('ФАКТ ЧИСТ ПОДЗЕМ'!R32)*СПРАВОЧНИК!$M$8+('ФАКТ ЧИСТ ПОДЗЕМ'!S32)*СПРАВОЧНИК!$N$8</f>
        <v>0</v>
      </c>
      <c r="U41" s="18">
        <f t="shared" si="15"/>
        <v>46363</v>
      </c>
      <c r="V41" s="37">
        <f>СПРАВОЧНИК!$E$9*('ПЛАН ЧЕРН К1'!B32*СПРАВОЧНИК!$H$9+'ПЛАН ЧЕРН К1'!C32*СПРАВОЧНИК!$I$9+'ПЛАН ЧЕРН К1'!D32*СПРАВОЧНИК!$J$9)+СПРАВОЧНИК!$E$10*('ПЛАН ЧЕРН К1'!E32*СПРАВОЧНИК!$H$10+'ПЛАН ЧЕРН К1'!F32*СПРАВОЧНИК!$I$10+'ПЛАН ЧЕРН К1'!G32*СПРАВОЧНИК!$J$10)+СПРАВОЧНИК!$E$11*('ПЛАН ЧЕРН К1'!H32*СПРАВОЧНИК!$H$11+'ПЛАН ЧЕРН К1'!I32*СПРАВОЧНИК!$I$11+'ПЛАН ЧЕРН К1'!J32*СПРАВОЧНИК!$J$11)+СПРАВОЧНИК!$E$12*('ПЛАН ЧЕРН К1'!K32*СПРАВОЧНИК!$H$12+'ПЛАН ЧЕРН К1'!L32*СПРАВОЧНИК!$I$12+'ПЛАН ЧЕРН К1'!M32*СПРАВОЧНИК!$J$12)+СПРАВОЧНИК!$E$13*('ПЛАН ЧЕРН К1'!N32*СПРАВОЧНИК!$H$13+'ПЛАН ЧЕРН К1'!O32*СПРАВОЧНИК!$I$13+'ПЛАН ЧЕРН К1'!P32*СПРАВОЧНИК!$J$13)+СПРАВОЧНИК!$E$14*('ПЛАН ЧЕРН К1'!Q32*СПРАВОЧНИК!$H$14+'ПЛАН ЧЕРН К1'!R32*СПРАВОЧНИК!$I$14+'ПЛАН ЧЕРН К1'!S32*СПРАВОЧНИК!$J$14)+СПРАВОЧНИК!$E$15*('ПЛАН ЧЕРН К1'!T32*СПРАВОЧНИК!$H$15+'ПЛАН ЧЕРН К1'!U32*СПРАВОЧНИК!$I$15+'ПЛАН ЧЕРН К1'!V32*СПРАВОЧНИК!$J$15)+СПРАВОЧНИК!$F$9*('ПЛАН ЧИСТ К1'!B32*СПРАВОЧНИК!$L$9+'ПЛАН ЧИСТ К1'!C32*СПРАВОЧНИК!$M$9+'ПЛАН ЧИСТ К1'!D32*СПРАВОЧНИК!$N$9+'ПЛАН ЧИСТ К1'!E32*СПРАВОЧНИК!$O$9)+СПРАВОЧНИК!$F$10*('ПЛАН ЧИСТ К1'!F32*СПРАВОЧНИК!$L$10+'ПЛАН ЧИСТ К1'!G32*СПРАВОЧНИК!$M$10+'ПЛАН ЧИСТ К1'!H32*СПРАВОЧНИК!$N$10)+СПРАВОЧНИК!$F$11*('ПЛАН ЧИСТ К1'!I32*СПРАВОЧНИК!$L$11+'ПЛАН ЧИСТ К1'!J32*СПРАВОЧНИК!$M$11+'ПЛАН ЧИСТ К1'!K32*СПРАВОЧНИК!$N$11)+СПРАВОЧНИК!$F$12*('ПЛАН ЧИСТ К1'!L32*СПРАВОЧНИК!$L$12+'ПЛАН ЧИСТ К1'!M32*СПРАВОЧНИК!$M$12+'ПЛАН ЧИСТ К1'!N32*СПРАВОЧНИК!$N$12)+СПРАВОЧНИК!$F$13*('ПЛАН ЧИСТ К1'!O32*СПРАВОЧНИК!$L$13+'ПЛАН ЧИСТ К1'!P32*СПРАВОЧНИК!$M$13+'ПЛАН ЧИСТ К1'!Q32*СПРАВОЧНИК!$N$13)+СПРАВОЧНИК!$F$14*('ПЛАН ЧИСТ К1'!R32*СПРАВОЧНИК!$L$14+'ПЛАН ЧИСТ К1'!S32*СПРАВОЧНИК!$M$14+'ПЛАН ЧИСТ К1'!T32*СПРАВОЧНИК!$N$14)+СПРАВОЧНИК!$F$15*('ПЛАН ЧИСТ К1'!U32*СПРАВОЧНИК!$L$15+'ПЛАН ЧИСТ К1'!V32*СПРАВОЧНИК!$M$15+'ПЛАН ЧИСТ К1'!W32*СПРАВОЧНИК!$N$15)</f>
        <v>0</v>
      </c>
      <c r="W41" s="40">
        <f>СПРАВОЧНИК!$E$9*(('ФАКТ ЧЕРН К1'!B32)*СПРАВОЧНИК!$H$9+('ФАКТ ЧЕРН К1'!C32)*СПРАВОЧНИК!$I$9+('ФАКТ ЧЕРН К1'!D32)*СПРАВОЧНИК!$J$9)+СПРАВОЧНИК!$E$10*(('ФАКТ ЧЕРН К1'!E32)*СПРАВОЧНИК!$H$10+('ФАКТ ЧЕРН К1'!F32)*СПРАВОЧНИК!$I$10+('ФАКТ ЧЕРН К1'!G32)*СПРАВОЧНИК!$J$10)+СПРАВОЧНИК!$E$11*(('ФАКТ ЧЕРН К1'!H32)*СПРАВОЧНИК!$H$11+('ФАКТ ЧЕРН К1'!I32)*СПРАВОЧНИК!$I$11+('ФАКТ ЧЕРН К1'!J32)*СПРАВОЧНИК!$J$11)+СПРАВОЧНИК!$E$12*(('ФАКТ ЧЕРН К1'!K32)*СПРАВОЧНИК!$H$12+('ФАКТ ЧЕРН К1'!L32)*СПРАВОЧНИК!$I$12+('ФАКТ ЧЕРН К1'!M32)*СПРАВОЧНИК!$J$12)+СПРАВОЧНИК!$E$13*(('ФАКТ ЧЕРН К1'!N32)*СПРАВОЧНИК!$H$13+('ФАКТ ЧЕРН К1'!O32)*СПРАВОЧНИК!$I$13+('ФАКТ ЧЕРН К1'!P32)*СПРАВОЧНИК!$J$13)+СПРАВОЧНИК!$E$14*(('ФАКТ ЧЕРН К1'!Q32)*СПРАВОЧНИК!$H$14+('ФАКТ ЧЕРН К1'!R32)*СПРАВОЧНИК!$I$14+('ФАКТ ЧЕРН К1'!S32)*СПРАВОЧНИК!$J$14)+СПРАВОЧНИК!$E$15*(('ФАКТ ЧЕРН К1'!T32)*СПРАВОЧНИК!$H$15+('ФАКТ ЧЕРН К1'!U32)*СПРАВОЧНИК!$I$15+('ФАКТ ЧЕРН К1'!V32)*СПРАВОЧНИК!$J$15)+СПРАВОЧНИК!$F$9*(('ФАКТ ЧИСТ К1'!B32)*СПРАВОЧНИК!$L$9+('ФАКТ ЧИСТ К1'!C32)*СПРАВОЧНИК!$M$9+('ФАКТ ЧИСТ К1'!D32)*СПРАВОЧНИК!$N$9+('ФАКТ ЧИСТ К1'!E32)*СПРАВОЧНИК!$O$9)+СПРАВОЧНИК!$F$10*(('ФАКТ ЧИСТ К1'!F32)*СПРАВОЧНИК!$L$10+('ФАКТ ЧИСТ К1'!G32)*СПРАВОЧНИК!$M$10+('ФАКТ ЧИСТ К1'!H32)*СПРАВОЧНИК!$N$10)+СПРАВОЧНИК!$F$11*(('ФАКТ ЧИСТ К1'!I32)*СПРАВОЧНИК!$L$11+('ФАКТ ЧИСТ К1'!J32)*СПРАВОЧНИК!$M$11+('ФАКТ ЧИСТ К1'!K32)*СПРАВОЧНИК!$N$11)+СПРАВОЧНИК!$F$12*(('ФАКТ ЧИСТ К1'!L32)*СПРАВОЧНИК!$L$12+('ФАКТ ЧИСТ К1'!M32)*СПРАВОЧНИК!$M$12+('ФАКТ ЧИСТ К1'!N32)*СПРАВОЧНИК!$N$12)+СПРАВОЧНИК!$F$13*(('ФАКТ ЧИСТ К1'!O32)*СПРАВОЧНИК!$L$13+('ФАКТ ЧИСТ К1'!P32)*СПРАВОЧНИК!$M$13+('ФАКТ ЧИСТ К1'!Q32)*СПРАВОЧНИК!$N$13)+СПРАВОЧНИК!$F$14*(('ФАКТ ЧИСТ К1'!R32)*СПРАВОЧНИК!$L$14+('ФАКТ ЧИСТ К1'!S32)*СПРАВОЧНИК!$M$14+('ФАКТ ЧИСТ К1'!T32)*СПРАВОЧНИК!$N$14)+СПРАВОЧНИК!$F$15*(('ФАКТ ЧИСТ К1'!U32)*СПРАВОЧНИК!$L$15+('ФАКТ ЧИСТ К1'!V32)*СПРАВОЧНИК!$M$15+('ФАКТ ЧИСТ К1'!W32)*СПРАВОЧНИК!$N$15)</f>
        <v>0</v>
      </c>
      <c r="AA41" s="18">
        <f t="shared" si="16"/>
        <v>46363</v>
      </c>
      <c r="AB41" s="37">
        <f>'ПЛАН ЧЕРН К1'!B32*СПРАВОЧНИК!$H$9+'ПЛАН ЧЕРН К1'!C32*СПРАВОЧНИК!$I$9+'ПЛАН ЧЕРН К1'!D32*СПРАВОЧНИК!$J$9+'ПЛАН ЧЕРН К1'!E32*СПРАВОЧНИК!$H$10+'ПЛАН ЧЕРН К1'!F32*СПРАВОЧНИК!$I$10+'ПЛАН ЧЕРН К1'!G32*СПРАВОЧНИК!$J$10+'ПЛАН ЧЕРН К1'!H32*СПРАВОЧНИК!$H$11+'ПЛАН ЧЕРН К1'!I32*СПРАВОЧНИК!$I$11+'ПЛАН ЧЕРН К1'!J32*СПРАВОЧНИК!$J$11+'ПЛАН ЧЕРН К1'!K32*СПРАВОЧНИК!$H$12+'ПЛАН ЧЕРН К1'!L32*СПРАВОЧНИК!$I$12+'ПЛАН ЧЕРН К1'!M32*СПРАВОЧНИК!$J$12+'ПЛАН ЧЕРН К1'!N32*СПРАВОЧНИК!$H$13+'ПЛАН ЧЕРН К1'!O32*СПРАВОЧНИК!$I$13+'ПЛАН ЧЕРН К1'!P32*СПРАВОЧНИК!$J$13+'ПЛАН ЧЕРН К1'!Q32*СПРАВОЧНИК!$H$14+'ПЛАН ЧЕРН К1'!R32*СПРАВОЧНИК!$I$14+'ПЛАН ЧЕРН К1'!S32*СПРАВОЧНИК!$J$14+'ПЛАН ЧЕРН К1'!T32*СПРАВОЧНИК!$H$15+'ПЛАН ЧЕРН К1'!U32*СПРАВОЧНИК!$I$15+'ПЛАН ЧЕРН К1'!V32*СПРАВОЧНИК!$J$15</f>
        <v>0</v>
      </c>
      <c r="AC41" s="40">
        <f>('ФАКТ ЧЕРН К1'!B32)*СПРАВОЧНИК!$H$9+('ФАКТ ЧЕРН К1'!C32)*СПРАВОЧНИК!$I$9+('ФАКТ ЧЕРН К1'!D32)*СПРАВОЧНИК!$J$9+('ФАКТ ЧЕРН К1'!E32)*СПРАВОЧНИК!$H$10+('ФАКТ ЧЕРН К1'!F32)*СПРАВОЧНИК!$I$10+('ФАКТ ЧЕРН К1'!G32)*СПРАВОЧНИК!$J$10+('ФАКТ ЧЕРН К1'!H32)*СПРАВОЧНИК!$H$11+('ФАКТ ЧЕРН К1'!I32)*СПРАВОЧНИК!$I$11+('ФАКТ ЧЕРН К1'!J32)*СПРАВОЧНИК!$J$11+('ФАКТ ЧЕРН К1'!K32)*СПРАВОЧНИК!$H$12+('ФАКТ ЧЕРН К1'!L32)*СПРАВОЧНИК!$I$12+('ФАКТ ЧЕРН К1'!M32)*СПРАВОЧНИК!$J$12+('ФАКТ ЧЕРН К1'!N32)*СПРАВОЧНИК!$H$13+('ФАКТ ЧЕРН К1'!O32)*СПРАВОЧНИК!$I$13+('ФАКТ ЧЕРН К1'!P32)*СПРАВОЧНИК!$J$13+('ФАКТ ЧЕРН К1'!Q32)*СПРАВОЧНИК!$H$14+('ФАКТ ЧЕРН К1'!R32)*СПРАВОЧНИК!$I$14+('ФАКТ ЧЕРН К1'!S32)*СПРАВОЧНИК!$J$14+('ФАКТ ЧЕРН К1'!T32)*СПРАВОЧНИК!$H$15+('ФАКТ ЧЕРН К1'!U32)*СПРАВОЧНИК!$I$15+('ФАКТ ЧЕРН К1'!V32)*СПРАВОЧНИК!$J$15</f>
        <v>0</v>
      </c>
      <c r="AG41" s="18">
        <f t="shared" si="17"/>
        <v>46363</v>
      </c>
      <c r="AH41" s="37">
        <f>'ПЛАН ЧИСТ К1'!B32*СПРАВОЧНИК!$L$9+'ПЛАН ЧИСТ К1'!C32*СПРАВОЧНИК!$M$9+'ПЛАН ЧИСТ К1'!D32*СПРАВОЧНИК!$N$9+'ПЛАН ЧИСТ К1'!E32*СПРАВОЧНИК!$O$9+'ПЛАН ЧИСТ К1'!F32*СПРАВОЧНИК!$L$10+'ПЛАН ЧИСТ К1'!G32*СПРАВОЧНИК!$M$10+'ПЛАН ЧИСТ К1'!H32*СПРАВОЧНИК!$N$10+'ПЛАН ЧИСТ К1'!I32*СПРАВОЧНИК!$L$11+'ПЛАН ЧИСТ К1'!J32*СПРАВОЧНИК!$M$11+'ПЛАН ЧИСТ К1'!K32*СПРАВОЧНИК!$N$11+'ПЛАН ЧИСТ К1'!L32*СПРАВОЧНИК!$L$12+'ПЛАН ЧИСТ К1'!M32*СПРАВОЧНИК!$M$12+'ПЛАН ЧИСТ К1'!N32*СПРАВОЧНИК!$N$12+'ПЛАН ЧИСТ К1'!O32*СПРАВОЧНИК!$L$13+'ПЛАН ЧИСТ К1'!P32*СПРАВОЧНИК!$M$13+'ПЛАН ЧИСТ К1'!Q32*СПРАВОЧНИК!$N$13+'ПЛАН ЧИСТ К1'!R32*СПРАВОЧНИК!$L$14+'ПЛАН ЧИСТ К1'!S32*СПРАВОЧНИК!$M$14+'ПЛАН ЧИСТ К1'!T32*СПРАВОЧНИК!$N$14+'ПЛАН ЧИСТ К1'!U32*СПРАВОЧНИК!$L$15+'ПЛАН ЧИСТ К1'!V32*СПРАВОЧНИК!$M$15+'ПЛАН ЧИСТ К1'!W32*СПРАВОЧНИК!$N$15</f>
        <v>0</v>
      </c>
      <c r="AI41" s="40">
        <f>('ФАКТ ЧИСТ К1'!B32)*СПРАВОЧНИК!$L$9+('ФАКТ ЧИСТ К1'!C32)*СПРАВОЧНИК!$M$9+('ФАКТ ЧИСТ К1'!D32)*СПРАВОЧНИК!$N$9+('ФАКТ ЧИСТ К1'!E32)*СПРАВОЧНИК!$O$9+('ФАКТ ЧИСТ К1'!F32)*СПРАВОЧНИК!$L$10+('ФАКТ ЧИСТ К1'!G32)*СПРАВОЧНИК!$M$10+('ФАКТ ЧИСТ К1'!H32)*СПРАВОЧНИК!$N$10+('ФАКТ ЧИСТ К1'!I32)*СПРАВОЧНИК!$L$11+('ФАКТ ЧИСТ К1'!J32)*СПРАВОЧНИК!$M$11+('ФАКТ ЧИСТ К1'!K32)*СПРАВОЧНИК!$N$11+('ФАКТ ЧИСТ К1'!L32)*СПРАВОЧНИК!$L$12+('ФАКТ ЧИСТ К1'!M32)*СПРАВОЧНИК!$M$12+('ФАКТ ЧИСТ К1'!N32)*СПРАВОЧНИК!$N$12+('ФАКТ ЧИСТ К1'!O32)*СПРАВОЧНИК!$L$13+('ФАКТ ЧИСТ К1'!P32)*СПРАВОЧНИК!$M$13+('ФАКТ ЧИСТ К1'!Q32)*СПРАВОЧНИК!$N$13+('ФАКТ ЧИСТ К1'!R32)*СПРАВОЧНИК!$L$14+('ФАКТ ЧИСТ К1'!S32)*СПРАВОЧНИК!$M$14+('ФАКТ ЧИСТ К1'!T32)*СПРАВОЧНИК!$N$14+('ФАКТ ЧИСТ К1'!U32)*СПРАВОЧНИК!$L$15+('ФАКТ ЧИСТ К1'!V32)*СПРАВОЧНИК!$M$15+('ФАКТ ЧИСТ К1'!W32)*СПРАВОЧНИК!$N$15</f>
        <v>0</v>
      </c>
      <c r="AM41" s="18">
        <f t="shared" si="18"/>
        <v>46363</v>
      </c>
      <c r="AN41" s="37">
        <f>СПРАВОЧНИК!$E$9*('ПЛАН ЧЕРН К2'!B32*СПРАВОЧНИК!$H$9+'ПЛАН ЧЕРН К2'!C32*СПРАВОЧНИК!$I$9+'ПЛАН ЧЕРН К2'!D32*СПРАВОЧНИК!$J$9)+СПРАВОЧНИК!$E$10*('ПЛАН ЧЕРН К2'!E32*СПРАВОЧНИК!$H$10+'ПЛАН ЧЕРН К2'!F32*СПРАВОЧНИК!$I$10+'ПЛАН ЧЕРН К2'!G32*СПРАВОЧНИК!$J$10)+СПРАВОЧНИК!$E$11*('ПЛАН ЧЕРН К2'!H32*СПРАВОЧНИК!$H$11+'ПЛАН ЧЕРН К2'!I32*СПРАВОЧНИК!$I$11+'ПЛАН ЧЕРН К2'!J32*СПРАВОЧНИК!$J$11)+СПРАВОЧНИК!$E$12*('ПЛАН ЧЕРН К2'!K32*СПРАВОЧНИК!$H$12+'ПЛАН ЧЕРН К2'!L32*СПРАВОЧНИК!$I$12+'ПЛАН ЧЕРН К2'!M32*СПРАВОЧНИК!$J$12)+СПРАВОЧНИК!$E$13*('ПЛАН ЧЕРН К2'!N32*СПРАВОЧНИК!$H$13+'ПЛАН ЧЕРН К2'!O32*СПРАВОЧНИК!$I$13+'ПЛАН ЧЕРН К2'!P32*СПРАВОЧНИК!$J$13)+СПРАВОЧНИК!$E$14*('ПЛАН ЧЕРН К2'!Q32*СПРАВОЧНИК!$H$14+'ПЛАН ЧЕРН К2'!R32*СПРАВОЧНИК!$I$14+'ПЛАН ЧЕРН К2'!S32*СПРАВОЧНИК!$J$14)+СПРАВОЧНИК!$E$15*('ПЛАН ЧЕРН К2'!T32*СПРАВОЧНИК!$H$15+'ПЛАН ЧЕРН К2'!U32*СПРАВОЧНИК!$I$15+'ПЛАН ЧЕРН К2'!V32*СПРАВОЧНИК!$J$15)+СПРАВОЧНИК!$F$9*('ПЛАН ЧИСТ К2'!B32*СПРАВОЧНИК!$L$9+'ПЛАН ЧИСТ К2'!C32*СПРАВОЧНИК!$M$9+'ПЛАН ЧИСТ К2'!D32*СПРАВОЧНИК!$N$9+'ПЛАН ЧИСТ К2'!E32*СПРАВОЧНИК!$O$9)+СПРАВОЧНИК!$F$10*('ПЛАН ЧИСТ К2'!F32*СПРАВОЧНИК!$L$10+'ПЛАН ЧИСТ К2'!G32*СПРАВОЧНИК!$M$10+'ПЛАН ЧИСТ К2'!H32*СПРАВОЧНИК!$N$10)+СПРАВОЧНИК!$F$11*('ПЛАН ЧИСТ К2'!I32*СПРАВОЧНИК!$L$11+'ПЛАН ЧИСТ К2'!J32*СПРАВОЧНИК!$M$11+'ПЛАН ЧИСТ К2'!K32*СПРАВОЧНИК!$N$11)+СПРАВОЧНИК!$F$12*('ПЛАН ЧИСТ К2'!L32*СПРАВОЧНИК!$L$12+'ПЛАН ЧИСТ К2'!M32*СПРАВОЧНИК!$M$12+'ПЛАН ЧИСТ К2'!N32*СПРАВОЧНИК!$N$12)+СПРАВОЧНИК!$F$13*('ПЛАН ЧИСТ К2'!O32*СПРАВОЧНИК!$L$13+'ПЛАН ЧИСТ К2'!P32*СПРАВОЧНИК!$M$13+'ПЛАН ЧИСТ К2'!Q32*СПРАВОЧНИК!$N$13)+СПРАВОЧНИК!$F$14*('ПЛАН ЧИСТ К2'!R32*СПРАВОЧНИК!$L$14+'ПЛАН ЧИСТ К2'!S32*СПРАВОЧНИК!$M$14+'ПЛАН ЧИСТ К2'!T32*СПРАВОЧНИК!$N$14)+СПРАВОЧНИК!$F$15*('ПЛАН ЧИСТ К2'!U32*СПРАВОЧНИК!$L$15+'ПЛАН ЧИСТ К2'!V32*СПРАВОЧНИК!$M$15+'ПЛАН ЧИСТ К2'!W32*СПРАВОЧНИК!$N$15)</f>
        <v>0</v>
      </c>
      <c r="AO41" s="40">
        <f>СПРАВОЧНИК!$E$9*(('ФАКТ ЧЕРН К2'!B32)*СПРАВОЧНИК!$H$9+('ФАКТ ЧЕРН К2'!C32)*СПРАВОЧНИК!$I$9+('ФАКТ ЧЕРН К2'!D32)*СПРАВОЧНИК!$J$9)+СПРАВОЧНИК!$E$10*(('ФАКТ ЧЕРН К2'!E32)*СПРАВОЧНИК!$H$10+('ФАКТ ЧЕРН К2'!F32)*СПРАВОЧНИК!$I$10+('ФАКТ ЧЕРН К2'!G32)*СПРАВОЧНИК!$J$10)+СПРАВОЧНИК!$E$11*(('ФАКТ ЧЕРН К2'!H32)*СПРАВОЧНИК!$H$11+('ФАКТ ЧЕРН К2'!I32)*СПРАВОЧНИК!$I$11+('ФАКТ ЧЕРН К2'!J32)*СПРАВОЧНИК!$J$11)+СПРАВОЧНИК!$E$12*(('ФАКТ ЧЕРН К2'!K32)*СПРАВОЧНИК!$H$12+('ФАКТ ЧЕРН К2'!L32)*СПРАВОЧНИК!$I$12+('ФАКТ ЧЕРН К2'!M32)*СПРАВОЧНИК!$J$12)+СПРАВОЧНИК!$E$13*(('ФАКТ ЧЕРН К2'!N32)*СПРАВОЧНИК!$H$13+('ФАКТ ЧЕРН К2'!O32)*СПРАВОЧНИК!$I$13+('ФАКТ ЧЕРН К2'!P32)*СПРАВОЧНИК!$J$13)+СПРАВОЧНИК!$E$14*(('ФАКТ ЧЕРН К2'!Q32)*СПРАВОЧНИК!$H$14+('ФАКТ ЧЕРН К2'!R32)*СПРАВОЧНИК!$I$14+('ФАКТ ЧЕРН К2'!S32)*СПРАВОЧНИК!$J$14)+СПРАВОЧНИК!$E$15*(('ФАКТ ЧЕРН К2'!T32)*СПРАВОЧНИК!$H$15+('ФАКТ ЧЕРН К2'!U32)*СПРАВОЧНИК!$I$15+('ФАКТ ЧЕРН К2'!V32)*СПРАВОЧНИК!$J$15)+СПРАВОЧНИК!$F$9*(('ФАКТ ЧИСТ К2'!B32)*СПРАВОЧНИК!$L$9+('ФАКТ ЧИСТ К2'!C32)*СПРАВОЧНИК!$M$9+('ФАКТ ЧИСТ К2'!D32)*СПРАВОЧНИК!$N$9+('ФАКТ ЧИСТ К2'!E32)*СПРАВОЧНИК!$O$9)+СПРАВОЧНИК!$F$10*(('ФАКТ ЧИСТ К2'!F32)*СПРАВОЧНИК!$L$10+('ФАКТ ЧИСТ К2'!G32)*СПРАВОЧНИК!$M$10+('ФАКТ ЧИСТ К2'!H32)*СПРАВОЧНИК!$N$10)+СПРАВОЧНИК!$F$11*(('ФАКТ ЧИСТ К2'!I32)*СПРАВОЧНИК!$L$11+('ФАКТ ЧИСТ К2'!J32)*СПРАВОЧНИК!$M$11+('ФАКТ ЧИСТ К2'!K32)*СПРАВОЧНИК!$N$11)+СПРАВОЧНИК!$F$12*(('ФАКТ ЧИСТ К2'!L32)*СПРАВОЧНИК!$L$12+('ФАКТ ЧИСТ К2'!M32)*СПРАВОЧНИК!$M$12+('ФАКТ ЧИСТ К2'!N32)*СПРАВОЧНИК!$N$12)+СПРАВОЧНИК!$F$13*(('ФАКТ ЧИСТ К2'!O32)*СПРАВОЧНИК!$L$13+('ФАКТ ЧИСТ К2'!P32)*СПРАВОЧНИК!$M$13+('ФАКТ ЧИСТ К2'!Q32)*СПРАВОЧНИК!$N$13)+СПРАВОЧНИК!$F$14*(('ФАКТ ЧИСТ К2'!R32)*СПРАВОЧНИК!$L$14+('ФАКТ ЧИСТ К2'!S32)*СПРАВОЧНИК!$M$14+('ФАКТ ЧИСТ К2'!T32)*СПРАВОЧНИК!$N$14)+СПРАВОЧНИК!$F$15*(('ФАКТ ЧИСТ К2'!U32)*СПРАВОЧНИК!$L$15+('ФАКТ ЧИСТ К2'!V32)*СПРАВОЧНИК!$M$15+('ФАКТ ЧИСТ К2'!W32)*СПРАВОЧНИК!$N$15)</f>
        <v>0</v>
      </c>
      <c r="AS41" s="18">
        <f t="shared" si="19"/>
        <v>46363</v>
      </c>
      <c r="AT41" s="37">
        <f>'ПЛАН ЧЕРН К2'!B32*СПРАВОЧНИК!$H$9+'ПЛАН ЧЕРН К2'!C32*СПРАВОЧНИК!$I$9+'ПЛАН ЧЕРН К2'!D32*СПРАВОЧНИК!$J$9+'ПЛАН ЧЕРН К2'!E32*СПРАВОЧНИК!$H$10+'ПЛАН ЧЕРН К2'!F32*СПРАВОЧНИК!$I$10+'ПЛАН ЧЕРН К2'!G32*СПРАВОЧНИК!$J$10+'ПЛАН ЧЕРН К2'!H32*СПРАВОЧНИК!$H$11+'ПЛАН ЧЕРН К2'!I32*СПРАВОЧНИК!$I$11+'ПЛАН ЧЕРН К2'!J32*СПРАВОЧНИК!$J$11+'ПЛАН ЧЕРН К2'!K32*СПРАВОЧНИК!$H$12+'ПЛАН ЧЕРН К2'!L32*СПРАВОЧНИК!$I$12+'ПЛАН ЧЕРН К2'!M32*СПРАВОЧНИК!$J$12+'ПЛАН ЧЕРН К2'!N32*СПРАВОЧНИК!$H$13+'ПЛАН ЧЕРН К2'!O32*СПРАВОЧНИК!$I$13+'ПЛАН ЧЕРН К2'!P32*СПРАВОЧНИК!$J$13+'ПЛАН ЧЕРН К2'!Q32*СПРАВОЧНИК!$H$14+'ПЛАН ЧЕРН К2'!R32*СПРАВОЧНИК!$I$14+'ПЛАН ЧЕРН К2'!S32*СПРАВОЧНИК!$J$14+'ПЛАН ЧЕРН К2'!T32*СПРАВОЧНИК!$H$15+'ПЛАН ЧЕРН К2'!U32*СПРАВОЧНИК!$I$15+'ПЛАН ЧЕРН К2'!V32*СПРАВОЧНИК!$J$15</f>
        <v>0</v>
      </c>
      <c r="AU41" s="40">
        <f>('ФАКТ ЧЕРН К2'!B32)*СПРАВОЧНИК!$H$9+('ФАКТ ЧЕРН К2'!C32)*СПРАВОЧНИК!$I$9+('ФАКТ ЧЕРН К2'!D32)*СПРАВОЧНИК!$J$9+('ФАКТ ЧЕРН К2'!E32)*СПРАВОЧНИК!$H$10+('ФАКТ ЧЕРН К2'!F32)*СПРАВОЧНИК!$I$10+('ФАКТ ЧЕРН К2'!G32)*СПРАВОЧНИК!$J$10+('ФАКТ ЧЕРН К2'!H32)*СПРАВОЧНИК!$H$11+('ФАКТ ЧЕРН К2'!I32)*СПРАВОЧНИК!$I$11+('ФАКТ ЧЕРН К2'!J32)*СПРАВОЧНИК!$J$11+('ФАКТ ЧЕРН К2'!K32)*СПРАВОЧНИК!$H$12+('ФАКТ ЧЕРН К2'!L32)*СПРАВОЧНИК!$I$12+('ФАКТ ЧЕРН К2'!M32)*СПРАВОЧНИК!$J$12+('ФАКТ ЧЕРН К2'!N32)*СПРАВОЧНИК!$H$13+('ФАКТ ЧЕРН К2'!O32)*СПРАВОЧНИК!$I$13+('ФАКТ ЧЕРН К2'!P32)*СПРАВОЧНИК!$J$13+('ФАКТ ЧЕРН К2'!Q32)*СПРАВОЧНИК!$H$14+('ФАКТ ЧЕРН К2'!R32)*СПРАВОЧНИК!$I$14+('ФАКТ ЧЕРН К2'!S32)*СПРАВОЧНИК!$J$14+('ФАКТ ЧЕРН К2'!T32)*СПРАВОЧНИК!$H$15+('ФАКТ ЧЕРН К2'!U32)*СПРАВОЧНИК!$I$15+('ФАКТ ЧЕРН К2'!V32)*СПРАВОЧНИК!$J$15</f>
        <v>0</v>
      </c>
      <c r="AY41" s="18">
        <f t="shared" si="20"/>
        <v>46363</v>
      </c>
      <c r="AZ41" s="37">
        <f>'ПЛАН ЧИСТ К2'!B32*СПРАВОЧНИК!$L$9+'ПЛАН ЧИСТ К2'!C32*СПРАВОЧНИК!$M$9+'ПЛАН ЧИСТ К2'!D32*СПРАВОЧНИК!$N$9+'ПЛАН ЧИСТ К2'!E32*СПРАВОЧНИК!$O$9+'ПЛАН ЧИСТ К2'!F32*СПРАВОЧНИК!$L$10+'ПЛАН ЧИСТ К2'!G32*СПРАВОЧНИК!$M$10+'ПЛАН ЧИСТ К2'!H32*СПРАВОЧНИК!$N$10+'ПЛАН ЧИСТ К2'!I32*СПРАВОЧНИК!$L$11+'ПЛАН ЧИСТ К2'!J32*СПРАВОЧНИК!$M$11+'ПЛАН ЧИСТ К2'!K32*СПРАВОЧНИК!$N$11+'ПЛАН ЧИСТ К2'!L32*СПРАВОЧНИК!$L$12+'ПЛАН ЧИСТ К2'!M32*СПРАВОЧНИК!$M$12+'ПЛАН ЧИСТ К2'!N32*СПРАВОЧНИК!$N$12+'ПЛАН ЧИСТ К2'!O32*СПРАВОЧНИК!$L$13+'ПЛАН ЧИСТ К2'!P32*СПРАВОЧНИК!$M$13+'ПЛАН ЧИСТ К2'!Q32*СПРАВОЧНИК!$N$13+'ПЛАН ЧИСТ К2'!R32*СПРАВОЧНИК!$L$14+'ПЛАН ЧИСТ К2'!S32*СПРАВОЧНИК!$M$14+'ПЛАН ЧИСТ К2'!T32*СПРАВОЧНИК!$N$14+'ПЛАН ЧИСТ К2'!U32*СПРАВОЧНИК!$L$15+'ПЛАН ЧИСТ К2'!V32*СПРАВОЧНИК!$M$15+'ПЛАН ЧИСТ К2'!W32*СПРАВОЧНИК!$N$15</f>
        <v>0</v>
      </c>
      <c r="BA41" s="40">
        <f>('ФАКТ ЧИСТ К2'!B32)*СПРАВОЧНИК!$L$9+('ФАКТ ЧИСТ К2'!C32)*СПРАВОЧНИК!$M$9+('ФАКТ ЧИСТ К2'!D32)*СПРАВОЧНИК!$N$9+('ФАКТ ЧИСТ К2'!E32)*СПРАВОЧНИК!$O$9+('ФАКТ ЧИСТ К2'!F32)*СПРАВОЧНИК!$L$10+('ФАКТ ЧИСТ К2'!G32)*СПРАВОЧНИК!$M$10+('ФАКТ ЧИСТ К2'!H32)*СПРАВОЧНИК!$N$10+('ФАКТ ЧИСТ К2'!I32)*СПРАВОЧНИК!$L$11+('ФАКТ ЧИСТ К2'!J32)*СПРАВОЧНИК!$M$11+('ФАКТ ЧИСТ К2'!K32)*СПРАВОЧНИК!$N$11+('ФАКТ ЧИСТ К2'!L32)*СПРАВОЧНИК!$L$12+('ФАКТ ЧИСТ К2'!M32)*СПРАВОЧНИК!$M$12+('ФАКТ ЧИСТ К2'!N32)*СПРАВОЧНИК!$N$12+('ФАКТ ЧИСТ К2'!O32)*СПРАВОЧНИК!$L$13+('ФАКТ ЧИСТ К2'!P32)*СПРАВОЧНИК!$M$13+('ФАКТ ЧИСТ К2'!Q32)*СПРАВОЧНИК!$N$13+('ФАКТ ЧИСТ К2'!R32)*СПРАВОЧНИК!$L$14+('ФАКТ ЧИСТ К2'!S32)*СПРАВОЧНИК!$M$14+('ФАКТ ЧИСТ К2'!T32)*СПРАВОЧНИК!$N$14+('ФАКТ ЧИСТ К2'!U32)*СПРАВОЧНИК!$L$15+('ФАКТ ЧИСТ К2'!V32)*СПРАВОЧНИК!$M$15+('ФАКТ ЧИСТ К2'!W32)*СПРАВОЧНИК!$N$15</f>
        <v>0</v>
      </c>
      <c r="BE41" s="18">
        <f t="shared" si="21"/>
        <v>46363</v>
      </c>
      <c r="BF41" s="37">
        <f>СПРАВОЧНИК!$E$9*('ПЛАН ЧЕРН К3'!B32*СПРАВОЧНИК!$H$9+'ПЛАН ЧЕРН К3'!C32*СПРАВОЧНИК!$I$9+'ПЛАН ЧЕРН К3'!D32*СПРАВОЧНИК!$J$9)+СПРАВОЧНИК!$E$10*('ПЛАН ЧЕРН К3'!E32*СПРАВОЧНИК!$H$10+'ПЛАН ЧЕРН К3'!F32*СПРАВОЧНИК!$I$10+'ПЛАН ЧЕРН К3'!G32*СПРАВОЧНИК!$J$10)+СПРАВОЧНИК!$E$11*('ПЛАН ЧЕРН К3'!H32*СПРАВОЧНИК!$H$11+'ПЛАН ЧЕРН К3'!I32*СПРАВОЧНИК!$I$11+'ПЛАН ЧЕРН К3'!J32*СПРАВОЧНИК!$J$11)+СПРАВОЧНИК!$E$12*('ПЛАН ЧЕРН К3'!K32*СПРАВОЧНИК!$H$12+'ПЛАН ЧЕРН К3'!L32*СПРАВОЧНИК!$I$12+'ПЛАН ЧЕРН К3'!M32*СПРАВОЧНИК!$J$12)+СПРАВОЧНИК!$E$13*('ПЛАН ЧЕРН К3'!N32*СПРАВОЧНИК!$H$13+'ПЛАН ЧЕРН К3'!O32*СПРАВОЧНИК!$I$13+'ПЛАН ЧЕРН К3'!P32*СПРАВОЧНИК!$J$13)+СПРАВОЧНИК!$E$14*('ПЛАН ЧЕРН К3'!Q32*СПРАВОЧНИК!$H$14+'ПЛАН ЧЕРН К3'!R32*СПРАВОЧНИК!$I$14+'ПЛАН ЧЕРН К3'!S32*СПРАВОЧНИК!$J$14)+СПРАВОЧНИК!$E$15*('ПЛАН ЧЕРН К3'!T32*СПРАВОЧНИК!$H$15+'ПЛАН ЧЕРН К3'!U32*СПРАВОЧНИК!$I$15+'ПЛАН ЧЕРН К3'!V32*СПРАВОЧНИК!$J$15)+СПРАВОЧНИК!$F$9*('ПЛАН ЧИСТ К3'!B32*СПРАВОЧНИК!$L$9+'ПЛАН ЧИСТ К3'!C32*СПРАВОЧНИК!$M$9+'ПЛАН ЧИСТ К3'!D32*СПРАВОЧНИК!$N$9+'ПЛАН ЧИСТ К3'!E32*СПРАВОЧНИК!$O$9)+СПРАВОЧНИК!$F$10*('ПЛАН ЧИСТ К3'!F32*СПРАВОЧНИК!$L$10+'ПЛАН ЧИСТ К3'!G32*СПРАВОЧНИК!$M$10+'ПЛАН ЧИСТ К3'!H32*СПРАВОЧНИК!$N$10)+СПРАВОЧНИК!$F$11*('ПЛАН ЧИСТ К3'!I32*СПРАВОЧНИК!$L$11+'ПЛАН ЧИСТ К3'!J32*СПРАВОЧНИК!$M$11+'ПЛАН ЧИСТ К3'!K32*СПРАВОЧНИК!$N$11)+СПРАВОЧНИК!$F$12*('ПЛАН ЧИСТ К3'!L32*СПРАВОЧНИК!$L$12+'ПЛАН ЧИСТ К3'!M32*СПРАВОЧНИК!$M$12+'ПЛАН ЧИСТ К3'!N32*СПРАВОЧНИК!$N$12)+СПРАВОЧНИК!$F$13*('ПЛАН ЧИСТ К3'!O32*СПРАВОЧНИК!$L$13+'ПЛАН ЧИСТ К3'!P32*СПРАВОЧНИК!$M$13+'ПЛАН ЧИСТ К3'!Q32*СПРАВОЧНИК!$N$13)+СПРАВОЧНИК!$F$14*('ПЛАН ЧИСТ К3'!R32*СПРАВОЧНИК!$L$14+'ПЛАН ЧИСТ К3'!S32*СПРАВОЧНИК!$M$14+'ПЛАН ЧИСТ К3'!T32*СПРАВОЧНИК!$N$14)+СПРАВОЧНИК!$F$15*('ПЛАН ЧИСТ К3'!U32*СПРАВОЧНИК!$L$15+'ПЛАН ЧИСТ К3'!V32*СПРАВОЧНИК!$M$15+'ПЛАН ЧИСТ К3'!W32*СПРАВОЧНИК!$N$15)</f>
        <v>0</v>
      </c>
      <c r="BG41" s="40">
        <f>СПРАВОЧНИК!$E$9*(('ФАКТ ЧЕРН К3'!B32)*СПРАВОЧНИК!$H$9+('ФАКТ ЧЕРН К3'!C32)*СПРАВОЧНИК!$I$9+('ФАКТ ЧЕРН К3'!D32)*СПРАВОЧНИК!$J$9)+СПРАВОЧНИК!$E$10*(('ФАКТ ЧЕРН К3'!E32)*СПРАВОЧНИК!$H$10+('ФАКТ ЧЕРН К3'!F32)*СПРАВОЧНИК!$I$10+('ФАКТ ЧЕРН К3'!G32)*СПРАВОЧНИК!$J$10)+СПРАВОЧНИК!$E$11*(('ФАКТ ЧЕРН К3'!H32)*СПРАВОЧНИК!$H$11+('ФАКТ ЧЕРН К3'!I32)*СПРАВОЧНИК!$I$11+('ФАКТ ЧЕРН К3'!J32)*СПРАВОЧНИК!$J$11)+СПРАВОЧНИК!$E$12*(('ФАКТ ЧЕРН К3'!K32)*СПРАВОЧНИК!$H$12+('ФАКТ ЧЕРН К3'!L32)*СПРАВОЧНИК!$I$12+('ФАКТ ЧЕРН К3'!M32)*СПРАВОЧНИК!$J$12)+СПРАВОЧНИК!$E$13*(('ФАКТ ЧЕРН К3'!N32)*СПРАВОЧНИК!$H$13+('ФАКТ ЧЕРН К3'!O32)*СПРАВОЧНИК!$I$13+('ФАКТ ЧЕРН К3'!P32)*СПРАВОЧНИК!$J$13)+СПРАВОЧНИК!$E$14*(('ФАКТ ЧЕРН К3'!Q32)*СПРАВОЧНИК!$H$14+('ФАКТ ЧЕРН К3'!R32)*СПРАВОЧНИК!$I$14+('ФАКТ ЧЕРН К3'!S32)*СПРАВОЧНИК!$J$14)+СПРАВОЧНИК!$E$15*(('ФАКТ ЧЕРН К3'!T32)*СПРАВОЧНИК!$H$15+('ФАКТ ЧЕРН К3'!U32)*СПРАВОЧНИК!$I$15+('ФАКТ ЧЕРН К3'!V32)*СПРАВОЧНИК!$J$15)+СПРАВОЧНИК!$F$9*(('ФАКТ ЧИСТ К3'!B32)*СПРАВОЧНИК!$L$9+('ФАКТ ЧИСТ К3'!C32)*СПРАВОЧНИК!$M$9+('ФАКТ ЧИСТ К3'!D32)*СПРАВОЧНИК!$N$9+('ФАКТ ЧИСТ К3'!E32)*СПРАВОЧНИК!$O$9)+СПРАВОЧНИК!$F$10*(('ФАКТ ЧИСТ К3'!F32)*СПРАВОЧНИК!$L$10+('ФАКТ ЧИСТ К3'!G32)*СПРАВОЧНИК!$M$10+('ФАКТ ЧИСТ К3'!H32)*СПРАВОЧНИК!$N$10)+СПРАВОЧНИК!$F$11*(('ФАКТ ЧИСТ К3'!I32)*СПРАВОЧНИК!$L$11+('ФАКТ ЧИСТ К3'!J32)*СПРАВОЧНИК!$M$11+('ФАКТ ЧИСТ К3'!K32)*СПРАВОЧНИК!$N$11)+СПРАВОЧНИК!$F$12*(('ФАКТ ЧИСТ К3'!L32)*СПРАВОЧНИК!$L$12+('ФАКТ ЧИСТ К3'!M32)*СПРАВОЧНИК!$M$12+('ФАКТ ЧИСТ К3'!N32)*СПРАВОЧНИК!$N$12)+СПРАВОЧНИК!$F$13*(('ФАКТ ЧИСТ К3'!O32)*СПРАВОЧНИК!$L$13+('ФАКТ ЧИСТ К3'!P32)*СПРАВОЧНИК!$M$13+('ФАКТ ЧИСТ К3'!Q32)*СПРАВОЧНИК!$N$13)+СПРАВОЧНИК!$F$14*(('ФАКТ ЧИСТ К3'!R32)*СПРАВОЧНИК!$L$14+('ФАКТ ЧИСТ К3'!S32)*СПРАВОЧНИК!$M$14+('ФАКТ ЧИСТ К3'!T32)*СПРАВОЧНИК!$N$14)+СПРАВОЧНИК!$F$15*(('ФАКТ ЧИСТ К3'!U32)*СПРАВОЧНИК!$L$15+('ФАКТ ЧИСТ К3'!V32)*СПРАВОЧНИК!$M$15+('ФАКТ ЧИСТ К3'!W32)*СПРАВОЧНИК!$N$15)</f>
        <v>0</v>
      </c>
      <c r="BK41" s="18">
        <f t="shared" si="22"/>
        <v>46363</v>
      </c>
      <c r="BL41" s="37">
        <f>'ПЛАН ЧЕРН К3'!B32*СПРАВОЧНИК!$H$9+'ПЛАН ЧЕРН К3'!C32*СПРАВОЧНИК!$I$9+'ПЛАН ЧЕРН К3'!D32*СПРАВОЧНИК!$J$9+'ПЛАН ЧЕРН К3'!E32*СПРАВОЧНИК!$H$10+'ПЛАН ЧЕРН К3'!F32*СПРАВОЧНИК!$I$10+'ПЛАН ЧЕРН К3'!G32*СПРАВОЧНИК!$J$10+'ПЛАН ЧЕРН К3'!H32*СПРАВОЧНИК!$H$11+'ПЛАН ЧЕРН К3'!I32*СПРАВОЧНИК!$I$11+'ПЛАН ЧЕРН К3'!J32*СПРАВОЧНИК!$J$11+'ПЛАН ЧЕРН К3'!K32*СПРАВОЧНИК!$H$12+'ПЛАН ЧЕРН К3'!L32*СПРАВОЧНИК!$I$12+'ПЛАН ЧЕРН К3'!M32*СПРАВОЧНИК!$J$12+'ПЛАН ЧЕРН К3'!N32*СПРАВОЧНИК!$H$13+'ПЛАН ЧЕРН К3'!O32*СПРАВОЧНИК!$I$13+'ПЛАН ЧЕРН К3'!P32*СПРАВОЧНИК!$J$13+'ПЛАН ЧЕРН К3'!Q32*СПРАВОЧНИК!$H$14+'ПЛАН ЧЕРН К3'!R32*СПРАВОЧНИК!$I$14+'ПЛАН ЧЕРН К3'!S32*СПРАВОЧНИК!$J$14+'ПЛАН ЧЕРН К3'!T32*СПРАВОЧНИК!$H$15+'ПЛАН ЧЕРН К3'!U32*СПРАВОЧНИК!$I$15+'ПЛАН ЧЕРН К3'!V32*СПРАВОЧНИК!$J$15</f>
        <v>0</v>
      </c>
      <c r="BM41" s="40">
        <f>('ФАКТ ЧЕРН К3'!B32)*СПРАВОЧНИК!$H$9+('ФАКТ ЧЕРН К3'!C32)*СПРАВОЧНИК!$I$9+('ФАКТ ЧЕРН К3'!D32)*СПРАВОЧНИК!$J$9+('ФАКТ ЧЕРН К3'!E32)*СПРАВОЧНИК!$H$10+('ФАКТ ЧЕРН К3'!F32)*СПРАВОЧНИК!$I$10+('ФАКТ ЧЕРН К3'!G32)*СПРАВОЧНИК!$J$10+('ФАКТ ЧЕРН К3'!H32)*СПРАВОЧНИК!$H$11+('ФАКТ ЧЕРН К3'!I32)*СПРАВОЧНИК!$I$11+('ФАКТ ЧЕРН К3'!J32)*СПРАВОЧНИК!$J$11+('ФАКТ ЧЕРН К3'!K32)*СПРАВОЧНИК!$H$12+('ФАКТ ЧЕРН К3'!L32)*СПРАВОЧНИК!$I$12+('ФАКТ ЧЕРН К3'!M32)*СПРАВОЧНИК!$J$12+('ФАКТ ЧЕРН К3'!N32)*СПРАВОЧНИК!$H$13+('ФАКТ ЧЕРН К3'!O32)*СПРАВОЧНИК!$I$13+('ФАКТ ЧЕРН К3'!P32)*СПРАВОЧНИК!$J$13+('ФАКТ ЧЕРН К3'!Q32)*СПРАВОЧНИК!$H$14+('ФАКТ ЧЕРН К3'!R32)*СПРАВОЧНИК!$I$14+('ФАКТ ЧЕРН К3'!S32)*СПРАВОЧНИК!$J$14+('ФАКТ ЧЕРН К3'!T32)*СПРАВОЧНИК!$H$15+('ФАКТ ЧЕРН К3'!U32)*СПРАВОЧНИК!$I$15+('ФАКТ ЧЕРН К3'!V32)*СПРАВОЧНИК!$J$15</f>
        <v>0</v>
      </c>
      <c r="BQ41" s="18">
        <f t="shared" si="23"/>
        <v>46363</v>
      </c>
      <c r="BR41" s="37">
        <f>'ПЛАН ЧИСТ К3'!B32*СПРАВОЧНИК!$L$9+'ПЛАН ЧИСТ К3'!C32*СПРАВОЧНИК!$M$9+'ПЛАН ЧИСТ К3'!D32*СПРАВОЧНИК!$N$9+'ПЛАН ЧИСТ К3'!E32*СПРАВОЧНИК!$O$9+'ПЛАН ЧИСТ К3'!F32*СПРАВОЧНИК!$L$10+'ПЛАН ЧИСТ К3'!G32*СПРАВОЧНИК!$M$10+'ПЛАН ЧИСТ К3'!H32*СПРАВОЧНИК!$N$10+'ПЛАН ЧИСТ К3'!I32*СПРАВОЧНИК!$L$11+'ПЛАН ЧИСТ К3'!J32*СПРАВОЧНИК!$M$11+'ПЛАН ЧИСТ К3'!K32*СПРАВОЧНИК!$N$11+'ПЛАН ЧИСТ К3'!L32*СПРАВОЧНИК!$L$12+'ПЛАН ЧИСТ К3'!M32*СПРАВОЧНИК!$M$12+'ПЛАН ЧИСТ К3'!N32*СПРАВОЧНИК!$N$12+'ПЛАН ЧИСТ К3'!O32*СПРАВОЧНИК!$L$13+'ПЛАН ЧИСТ К3'!P32*СПРАВОЧНИК!$M$13+'ПЛАН ЧИСТ К3'!Q32*СПРАВОЧНИК!$N$13+'ПЛАН ЧИСТ К3'!R32*СПРАВОЧНИК!$L$14+'ПЛАН ЧИСТ К3'!S32*СПРАВОЧНИК!$M$14+'ПЛАН ЧИСТ К3'!T32*СПРАВОЧНИК!$N$14+'ПЛАН ЧИСТ К3'!U32*СПРАВОЧНИК!$L$15+'ПЛАН ЧИСТ К3'!V32*СПРАВОЧНИК!$M$15+'ПЛАН ЧИСТ К3'!W32*СПРАВОЧНИК!$N$15</f>
        <v>0</v>
      </c>
      <c r="BS41" s="40">
        <f>('ФАКТ ЧИСТ К3'!B32)*СПРАВОЧНИК!$L$9+('ФАКТ ЧИСТ К3'!C32)*СПРАВОЧНИК!$M$9+('ФАКТ ЧИСТ К3'!D32)*СПРАВОЧНИК!$N$9+('ФАКТ ЧИСТ К3'!E32)*СПРАВОЧНИК!$O$9+('ФАКТ ЧИСТ К3'!F32)*СПРАВОЧНИК!$L$10+('ФАКТ ЧИСТ К3'!G32)*СПРАВОЧНИК!$M$10+('ФАКТ ЧИСТ К3'!H32)*СПРАВОЧНИК!$N$10+('ФАКТ ЧИСТ К3'!I32)*СПРАВОЧНИК!$L$11+('ФАКТ ЧИСТ К3'!J32)*СПРАВОЧНИК!$M$11+('ФАКТ ЧИСТ К3'!K32)*СПРАВОЧНИК!$N$11+('ФАКТ ЧИСТ К3'!L32)*СПРАВОЧНИК!$L$12+('ФАКТ ЧИСТ К3'!M32)*СПРАВОЧНИК!$M$12+('ФАКТ ЧИСТ К3'!N32)*СПРАВОЧНИК!$N$12+('ФАКТ ЧИСТ К3'!O32)*СПРАВОЧНИК!$L$13+('ФАКТ ЧИСТ К3'!P32)*СПРАВОЧНИК!$M$13+('ФАКТ ЧИСТ К3'!Q32)*СПРАВОЧНИК!$N$13+('ФАКТ ЧИСТ К3'!R32)*СПРАВОЧНИК!$L$14+('ФАКТ ЧИСТ К3'!S32)*СПРАВОЧНИК!$M$14+('ФАКТ ЧИСТ К3'!T32)*СПРАВОЧНИК!$N$14+('ФАКТ ЧИСТ К3'!U32)*СПРАВОЧНИК!$L$15+('ФАКТ ЧИСТ К3'!V32)*СПРАВОЧНИК!$M$15+('ФАКТ ЧИСТ К3'!W32)*СПРАВОЧНИК!$N$15</f>
        <v>0</v>
      </c>
      <c r="BW41" s="18">
        <f t="shared" si="24"/>
        <v>46363</v>
      </c>
      <c r="BX41" s="37">
        <f t="shared" si="0"/>
        <v>0</v>
      </c>
      <c r="BY41" s="40">
        <f t="shared" si="1"/>
        <v>0</v>
      </c>
      <c r="CC41" s="18">
        <f t="shared" si="25"/>
        <v>46363</v>
      </c>
      <c r="CD41" s="37">
        <f t="shared" si="2"/>
        <v>0</v>
      </c>
      <c r="CE41" s="40">
        <f t="shared" si="3"/>
        <v>0</v>
      </c>
      <c r="CI41" s="18">
        <f t="shared" si="26"/>
        <v>46363</v>
      </c>
      <c r="CJ41" s="37">
        <f t="shared" si="4"/>
        <v>0</v>
      </c>
      <c r="CK41" s="40">
        <f t="shared" si="5"/>
        <v>0</v>
      </c>
      <c r="CO41" s="18">
        <f t="shared" si="27"/>
        <v>46363</v>
      </c>
      <c r="CP41" s="37">
        <f t="shared" si="6"/>
        <v>0</v>
      </c>
      <c r="CQ41" s="40">
        <f t="shared" si="7"/>
        <v>0</v>
      </c>
      <c r="CU41" s="18">
        <f t="shared" si="28"/>
        <v>46363</v>
      </c>
      <c r="CV41" s="37">
        <f t="shared" si="8"/>
        <v>0</v>
      </c>
      <c r="CW41" s="40">
        <f t="shared" si="9"/>
        <v>0</v>
      </c>
      <c r="DA41" s="18">
        <f t="shared" si="29"/>
        <v>46363</v>
      </c>
      <c r="DB41" s="37">
        <f t="shared" si="10"/>
        <v>0</v>
      </c>
      <c r="DC41" s="40">
        <f t="shared" si="11"/>
        <v>0</v>
      </c>
    </row>
    <row r="42" spans="3:107" x14ac:dyDescent="0.25">
      <c r="C42" s="18">
        <f t="shared" si="12"/>
        <v>46370</v>
      </c>
      <c r="D42" s="37">
        <f>СПРАВОЧНИК!$E$3*('ПЛАН ЧЕРН ПОДЗЕМ'!B33*СПРАВОЧНИК!$H$3+'ПЛАН ЧЕРН ПОДЗЕМ'!C33*СПРАВОЧНИК!$I$3+'ПЛАН ЧЕРН ПОДЗЕМ'!D33*СПРАВОЧНИК!$J$3)+СПРАВОЧНИК!$E$4*('ПЛАН ЧЕРН ПОДЗЕМ'!E33*СПРАВОЧНИК!$H$4+'ПЛАН ЧЕРН ПОДЗЕМ'!F33*СПРАВОЧНИК!$I$4+'ПЛАН ЧЕРН ПОДЗЕМ'!G33*СПРАВОЧНИК!$J$4)+СПРАВОЧНИК!$E$5*('ПЛАН ЧЕРН ПОДЗЕМ'!H33*СПРАВОЧНИК!$H$5+'ПЛАН ЧЕРН ПОДЗЕМ'!I33*СПРАВОЧНИК!$I$5+'ПЛАН ЧЕРН ПОДЗЕМ'!J33*СПРАВОЧНИК!$J$5)+СПРАВОЧНИК!$E$6*('ПЛАН ЧЕРН ПОДЗЕМ'!K33*СПРАВОЧНИК!$H$6+'ПЛАН ЧЕРН ПОДЗЕМ'!L33*СПРАВОЧНИК!$I$6+'ПЛАН ЧЕРН ПОДЗЕМ'!M33*СПРАВОЧНИК!$J$6)+СПРАВОЧНИК!$E$7*('ПЛАН ЧЕРН ПОДЗЕМ'!N33*СПРАВОЧНИК!$H$7+'ПЛАН ЧЕРН ПОДЗЕМ'!O33*СПРАВОЧНИК!$I$7+'ПЛАН ЧЕРН ПОДЗЕМ'!P33*СПРАВОЧНИК!$J$7)+СПРАВОЧНИК!$E$8*('ПЛАН ЧЕРН ПОДЗЕМ'!Q33*СПРАВОЧНИК!$H$8+'ПЛАН ЧЕРН ПОДЗЕМ'!R33*СПРАВОЧНИК!$I$8+'ПЛАН ЧЕРН ПОДЗЕМ'!S33*СПРАВОЧНИК!$J$8)+СПРАВОЧНИК!$F$3*('ПЛАН ЧИСТ ПОДЗЕМ'!B33*СПРАВОЧНИК!$L$3+'ПЛАН ЧИСТ ПОДЗЕМ'!C33*СПРАВОЧНИК!$M$3+'ПЛАН ЧИСТ ПОДЗЕМ'!D33*СПРАВОЧНИК!$N$3)+СПРАВОЧНИК!$F$4*('ПЛАН ЧИСТ ПОДЗЕМ'!E33*СПРАВОЧНИК!$L$4+'ПЛАН ЧИСТ ПОДЗЕМ'!F33*СПРАВОЧНИК!$M$4+'ПЛАН ЧИСТ ПОДЗЕМ'!G33*СПРАВОЧНИК!$N$4)+СПРАВОЧНИК!$F$5*('ПЛАН ЧИСТ ПОДЗЕМ'!H33*СПРАВОЧНИК!$L$5+'ПЛАН ЧИСТ ПОДЗЕМ'!I33*СПРАВОЧНИК!$M$5+'ПЛАН ЧИСТ ПОДЗЕМ'!J33*СПРАВОЧНИК!$N$5)+СПРАВОЧНИК!$F$6*('ПЛАН ЧИСТ ПОДЗЕМ'!K33*СПРАВОЧНИК!$L$6+'ПЛАН ЧИСТ ПОДЗЕМ'!L33*СПРАВОЧНИК!$M$6+'ПЛАН ЧИСТ ПОДЗЕМ'!M33*СПРАВОЧНИК!$N$6)+СПРАВОЧНИК!$F$7*('ПЛАН ЧИСТ ПОДЗЕМ'!N33*СПРАВОЧНИК!$L$7+'ПЛАН ЧИСТ ПОДЗЕМ'!O33*СПРАВОЧНИК!$M$7+'ПЛАН ЧИСТ ПОДЗЕМ'!P33*СПРАВОЧНИК!$N$7)+СПРАВОЧНИК!$F$8*('ПЛАН ЧИСТ ПОДЗЕМ'!Q33*СПРАВОЧНИК!$L$8+'ПЛАН ЧИСТ ПОДЗЕМ'!R33*СПРАВОЧНИК!$M$8+'ПЛАН ЧИСТ ПОДЗЕМ'!S33*СПРАВОЧНИК!$N$8)</f>
        <v>0</v>
      </c>
      <c r="E42" s="40">
        <f>СПРАВОЧНИК!$E$3*(('ФАКТ ЧЕРН ПОДЗЕМ'!B33)*СПРАВОЧНИК!$H$3+('ФАКТ ЧЕРН ПОДЗЕМ'!C33)*СПРАВОЧНИК!$I$3+('ФАКТ ЧЕРН ПОДЗЕМ'!D33)*СПРАВОЧНИК!$J$3)+СПРАВОЧНИК!$E$4*(('ФАКТ ЧЕРН ПОДЗЕМ'!E33)*СПРАВОЧНИК!$H$4+('ФАКТ ЧЕРН ПОДЗЕМ'!F33)*СПРАВОЧНИК!$I$4+('ФАКТ ЧЕРН ПОДЗЕМ'!G33)*СПРАВОЧНИК!$J$4)+СПРАВОЧНИК!$E$5*(('ФАКТ ЧЕРН ПОДЗЕМ'!H33)*СПРАВОЧНИК!$H$5+('ФАКТ ЧЕРН ПОДЗЕМ'!I33)*СПРАВОЧНИК!$I$5+('ФАКТ ЧЕРН ПОДЗЕМ'!J33)*СПРАВОЧНИК!$J$5)+СПРАВОЧНИК!$E$6*(('ФАКТ ЧЕРН ПОДЗЕМ'!K33)*СПРАВОЧНИК!$H$6+('ФАКТ ЧЕРН ПОДЗЕМ'!L33)*СПРАВОЧНИК!$I$6+('ФАКТ ЧЕРН ПОДЗЕМ'!M33)*СПРАВОЧНИК!$J$6)+СПРАВОЧНИК!$E$7*(('ФАКТ ЧЕРН ПОДЗЕМ'!N33)*СПРАВОЧНИК!$H$7+('ФАКТ ЧЕРН ПОДЗЕМ'!O33)*СПРАВОЧНИК!$I$7+('ФАКТ ЧЕРН ПОДЗЕМ'!P33)*СПРАВОЧНИК!$J$7)+СПРАВОЧНИК!$E$8*(('ФАКТ ЧЕРН ПОДЗЕМ'!Q33)*СПРАВОЧНИК!$H$8+('ФАКТ ЧЕРН ПОДЗЕМ'!R33)*СПРАВОЧНИК!$I$8+('ФАКТ ЧЕРН ПОДЗЕМ'!S33)*СПРАВОЧНИК!$J$8)+СПРАВОЧНИК!$F$3*(('ФАКТ ЧИСТ ПОДЗЕМ'!B33)*СПРАВОЧНИК!$L$3+('ФАКТ ЧИСТ ПОДЗЕМ'!C33)*СПРАВОЧНИК!$M$3+('ФАКТ ЧИСТ ПОДЗЕМ'!D33)*СПРАВОЧНИК!$N$3)+СПРАВОЧНИК!$F$4*(('ФАКТ ЧИСТ ПОДЗЕМ'!E33)*СПРАВОЧНИК!$L$4+('ФАКТ ЧИСТ ПОДЗЕМ'!F33)*СПРАВОЧНИК!$M$4+('ФАКТ ЧИСТ ПОДЗЕМ'!G33)*СПРАВОЧНИК!$N$4)+СПРАВОЧНИК!$F$5*(('ФАКТ ЧИСТ ПОДЗЕМ'!H33)*СПРАВОЧНИК!$L$5+('ФАКТ ЧИСТ ПОДЗЕМ'!I33)*СПРАВОЧНИК!$M$5+('ФАКТ ЧИСТ ПОДЗЕМ'!J33)*СПРАВОЧНИК!$N$5)+СПРАВОЧНИК!$F$6*(('ФАКТ ЧИСТ ПОДЗЕМ'!K33)*СПРАВОЧНИК!$L$6+('ФАКТ ЧИСТ ПОДЗЕМ'!L33)*СПРАВОЧНИК!$M$6+('ФАКТ ЧИСТ ПОДЗЕМ'!M33)*СПРАВОЧНИК!$N$6)+СПРАВОЧНИК!$F$7*(('ФАКТ ЧИСТ ПОДЗЕМ'!N33)*СПРАВОЧНИК!$L$7+('ФАКТ ЧИСТ ПОДЗЕМ'!O33)*СПРАВОЧНИК!$M$7+('ФАКТ ЧИСТ ПОДЗЕМ'!P33)*СПРАВОЧНИК!$N$7)+СПРАВОЧНИК!$F$8*(('ФАКТ ЧИСТ ПОДЗЕМ'!Q33)*СПРАВОЧНИК!$L$8+('ФАКТ ЧИСТ ПОДЗЕМ'!R33)*СПРАВОЧНИК!$M$8+('ФАКТ ЧИСТ ПОДЗЕМ'!S33)*СПРАВОЧНИК!$N$8)</f>
        <v>0</v>
      </c>
      <c r="I42" s="18">
        <f t="shared" si="13"/>
        <v>46370</v>
      </c>
      <c r="J42" s="37">
        <f>'ПЛАН ЧЕРН ПОДЗЕМ'!B33*СПРАВОЧНИК!$H$3+'ПЛАН ЧЕРН ПОДЗЕМ'!C33*СПРАВОЧНИК!$I$3+'ПЛАН ЧЕРН ПОДЗЕМ'!D33*СПРАВОЧНИК!$J$3+'ПЛАН ЧЕРН ПОДЗЕМ'!E33*СПРАВОЧНИК!$H$4+'ПЛАН ЧЕРН ПОДЗЕМ'!F33*СПРАВОЧНИК!$I$4+'ПЛАН ЧЕРН ПОДЗЕМ'!G33*СПРАВОЧНИК!$J$4+'ПЛАН ЧЕРН ПОДЗЕМ'!H33*СПРАВОЧНИК!$H$5+'ПЛАН ЧЕРН ПОДЗЕМ'!I33*СПРАВОЧНИК!$I$5+'ПЛАН ЧЕРН ПОДЗЕМ'!J33*СПРАВОЧНИК!$J$5+'ПЛАН ЧЕРН ПОДЗЕМ'!K33*СПРАВОЧНИК!$H$6+'ПЛАН ЧЕРН ПОДЗЕМ'!L33*СПРАВОЧНИК!$I$6+'ПЛАН ЧЕРН ПОДЗЕМ'!M33*СПРАВОЧНИК!$J$6+'ПЛАН ЧЕРН ПОДЗЕМ'!N33*СПРАВОЧНИК!$H$7+'ПЛАН ЧЕРН ПОДЗЕМ'!O33*СПРАВОЧНИК!$I$7+'ПЛАН ЧЕРН ПОДЗЕМ'!P33*СПРАВОЧНИК!$J$7+'ПЛАН ЧЕРН ПОДЗЕМ'!Q33*СПРАВОЧНИК!$H$8+'ПЛАН ЧЕРН ПОДЗЕМ'!R33*СПРАВОЧНИК!$I$8+'ПЛАН ЧЕРН ПОДЗЕМ'!S33*СПРАВОЧНИК!$J$8</f>
        <v>0</v>
      </c>
      <c r="K42" s="40">
        <f>('ФАКТ ЧЕРН ПОДЗЕМ'!B33)*СПРАВОЧНИК!$H$3+('ФАКТ ЧЕРН ПОДЗЕМ'!C33)*СПРАВОЧНИК!$I$3+('ФАКТ ЧЕРН ПОДЗЕМ'!D33)*СПРАВОЧНИК!$J$3+('ФАКТ ЧЕРН ПОДЗЕМ'!E33)*СПРАВОЧНИК!$H$4+('ФАКТ ЧЕРН ПОДЗЕМ'!F33)*СПРАВОЧНИК!$I$4+('ФАКТ ЧЕРН ПОДЗЕМ'!G33)*СПРАВОЧНИК!$J$4+('ФАКТ ЧЕРН ПОДЗЕМ'!H33)*СПРАВОЧНИК!$H$5+('ФАКТ ЧЕРН ПОДЗЕМ'!I33)*СПРАВОЧНИК!$I$5+('ФАКТ ЧЕРН ПОДЗЕМ'!J33)*СПРАВОЧНИК!$J$5+('ФАКТ ЧЕРН ПОДЗЕМ'!K33)*СПРАВОЧНИК!$H$6+('ФАКТ ЧЕРН ПОДЗЕМ'!L33)*СПРАВОЧНИК!$I$6+('ФАКТ ЧЕРН ПОДЗЕМ'!M33)*СПРАВОЧНИК!$J$6+('ФАКТ ЧЕРН ПОДЗЕМ'!N33)*СПРАВОЧНИК!$H$7+('ФАКТ ЧЕРН ПОДЗЕМ'!O33)*СПРАВОЧНИК!$I$7+('ФАКТ ЧЕРН ПОДЗЕМ'!P33)*СПРАВОЧНИК!$J$7+('ФАКТ ЧЕРН ПОДЗЕМ'!Q33)*СПРАВОЧНИК!$H$8+('ФАКТ ЧЕРН ПОДЗЕМ'!R33)*СПРАВОЧНИК!$I$8+('ФАКТ ЧЕРН ПОДЗЕМ'!S33)*СПРАВОЧНИК!$J$8</f>
        <v>0</v>
      </c>
      <c r="O42" s="18">
        <f t="shared" si="14"/>
        <v>46370</v>
      </c>
      <c r="P42" s="37">
        <f>'ПЛАН ЧИСТ ПОДЗЕМ'!B33*СПРАВОЧНИК!$L$3+'ПЛАН ЧИСТ ПОДЗЕМ'!C33*СПРАВОЧНИК!$M$3+'ПЛАН ЧИСТ ПОДЗЕМ'!D33*СПРАВОЧНИК!$N$3+'ПЛАН ЧИСТ ПОДЗЕМ'!E33*СПРАВОЧНИК!$L$4+'ПЛАН ЧИСТ ПОДЗЕМ'!F33*СПРАВОЧНИК!$M$4+'ПЛАН ЧИСТ ПОДЗЕМ'!G33*СПРАВОЧНИК!$N$4+'ПЛАН ЧИСТ ПОДЗЕМ'!H33*СПРАВОЧНИК!$L$5+'ПЛАН ЧИСТ ПОДЗЕМ'!I33*СПРАВОЧНИК!$M$5+'ПЛАН ЧИСТ ПОДЗЕМ'!J33*СПРАВОЧНИК!$N$5+'ПЛАН ЧИСТ ПОДЗЕМ'!K33*СПРАВОЧНИК!$L$6+'ПЛАН ЧИСТ ПОДЗЕМ'!L33*СПРАВОЧНИК!$M$6+'ПЛАН ЧИСТ ПОДЗЕМ'!M33*СПРАВОЧНИК!$N$6+'ПЛАН ЧИСТ ПОДЗЕМ'!N33*СПРАВОЧНИК!$L$7+'ПЛАН ЧИСТ ПОДЗЕМ'!O33*СПРАВОЧНИК!$M$7+'ПЛАН ЧИСТ ПОДЗЕМ'!P33*СПРАВОЧНИК!$N$7+'ПЛАН ЧИСТ ПОДЗЕМ'!Q33*СПРАВОЧНИК!$L$8+'ПЛАН ЧИСТ ПОДЗЕМ'!R33*СПРАВОЧНИК!$M$8+'ПЛАН ЧИСТ ПОДЗЕМ'!S33*СПРАВОЧНИК!$N$8</f>
        <v>0</v>
      </c>
      <c r="Q42" s="40">
        <f>('ФАКТ ЧИСТ ПОДЗЕМ'!B33)*СПРАВОЧНИК!$L$3+('ФАКТ ЧИСТ ПОДЗЕМ'!C33)*СПРАВОЧНИК!$M$3+('ФАКТ ЧИСТ ПОДЗЕМ'!D33)*СПРАВОЧНИК!$N$3+('ФАКТ ЧИСТ ПОДЗЕМ'!E33)*СПРАВОЧНИК!$L$4+('ФАКТ ЧИСТ ПОДЗЕМ'!F33)*СПРАВОЧНИК!$M$4+('ФАКТ ЧИСТ ПОДЗЕМ'!G33)*СПРАВОЧНИК!$N$4+('ФАКТ ЧИСТ ПОДЗЕМ'!H33)*СПРАВОЧНИК!$L$5+('ФАКТ ЧИСТ ПОДЗЕМ'!I33)*СПРАВОЧНИК!$M$5+('ФАКТ ЧИСТ ПОДЗЕМ'!J33)*СПРАВОЧНИК!$N$5+('ФАКТ ЧИСТ ПОДЗЕМ'!K33)*СПРАВОЧНИК!$L$6+('ФАКТ ЧИСТ ПОДЗЕМ'!L33)*СПРАВОЧНИК!$M$6+('ФАКТ ЧИСТ ПОДЗЕМ'!M33)*СПРАВОЧНИК!$N$6+('ФАКТ ЧИСТ ПОДЗЕМ'!N33)*СПРАВОЧНИК!$L$7+('ФАКТ ЧИСТ ПОДЗЕМ'!O33)*СПРАВОЧНИК!$M$7+('ФАКТ ЧИСТ ПОДЗЕМ'!P33)*СПРАВОЧНИК!$N$7+('ФАКТ ЧИСТ ПОДЗЕМ'!Q33)*СПРАВОЧНИК!$L$8+('ФАКТ ЧИСТ ПОДЗЕМ'!R33)*СПРАВОЧНИК!$M$8+('ФАКТ ЧИСТ ПОДЗЕМ'!S33)*СПРАВОЧНИК!$N$8</f>
        <v>0</v>
      </c>
      <c r="U42" s="18">
        <f t="shared" si="15"/>
        <v>46370</v>
      </c>
      <c r="V42" s="37">
        <f>СПРАВОЧНИК!$E$9*('ПЛАН ЧЕРН К1'!B33*СПРАВОЧНИК!$H$9+'ПЛАН ЧЕРН К1'!C33*СПРАВОЧНИК!$I$9+'ПЛАН ЧЕРН К1'!D33*СПРАВОЧНИК!$J$9)+СПРАВОЧНИК!$E$10*('ПЛАН ЧЕРН К1'!E33*СПРАВОЧНИК!$H$10+'ПЛАН ЧЕРН К1'!F33*СПРАВОЧНИК!$I$10+'ПЛАН ЧЕРН К1'!G33*СПРАВОЧНИК!$J$10)+СПРАВОЧНИК!$E$11*('ПЛАН ЧЕРН К1'!H33*СПРАВОЧНИК!$H$11+'ПЛАН ЧЕРН К1'!I33*СПРАВОЧНИК!$I$11+'ПЛАН ЧЕРН К1'!J33*СПРАВОЧНИК!$J$11)+СПРАВОЧНИК!$E$12*('ПЛАН ЧЕРН К1'!K33*СПРАВОЧНИК!$H$12+'ПЛАН ЧЕРН К1'!L33*СПРАВОЧНИК!$I$12+'ПЛАН ЧЕРН К1'!M33*СПРАВОЧНИК!$J$12)+СПРАВОЧНИК!$E$13*('ПЛАН ЧЕРН К1'!N33*СПРАВОЧНИК!$H$13+'ПЛАН ЧЕРН К1'!O33*СПРАВОЧНИК!$I$13+'ПЛАН ЧЕРН К1'!P33*СПРАВОЧНИК!$J$13)+СПРАВОЧНИК!$E$14*('ПЛАН ЧЕРН К1'!Q33*СПРАВОЧНИК!$H$14+'ПЛАН ЧЕРН К1'!R33*СПРАВОЧНИК!$I$14+'ПЛАН ЧЕРН К1'!S33*СПРАВОЧНИК!$J$14)+СПРАВОЧНИК!$E$15*('ПЛАН ЧЕРН К1'!T33*СПРАВОЧНИК!$H$15+'ПЛАН ЧЕРН К1'!U33*СПРАВОЧНИК!$I$15+'ПЛАН ЧЕРН К1'!V33*СПРАВОЧНИК!$J$15)+СПРАВОЧНИК!$F$9*('ПЛАН ЧИСТ К1'!B33*СПРАВОЧНИК!$L$9+'ПЛАН ЧИСТ К1'!C33*СПРАВОЧНИК!$M$9+'ПЛАН ЧИСТ К1'!D33*СПРАВОЧНИК!$N$9+'ПЛАН ЧИСТ К1'!E33*СПРАВОЧНИК!$O$9)+СПРАВОЧНИК!$F$10*('ПЛАН ЧИСТ К1'!F33*СПРАВОЧНИК!$L$10+'ПЛАН ЧИСТ К1'!G33*СПРАВОЧНИК!$M$10+'ПЛАН ЧИСТ К1'!H33*СПРАВОЧНИК!$N$10)+СПРАВОЧНИК!$F$11*('ПЛАН ЧИСТ К1'!I33*СПРАВОЧНИК!$L$11+'ПЛАН ЧИСТ К1'!J33*СПРАВОЧНИК!$M$11+'ПЛАН ЧИСТ К1'!K33*СПРАВОЧНИК!$N$11)+СПРАВОЧНИК!$F$12*('ПЛАН ЧИСТ К1'!L33*СПРАВОЧНИК!$L$12+'ПЛАН ЧИСТ К1'!M33*СПРАВОЧНИК!$M$12+'ПЛАН ЧИСТ К1'!N33*СПРАВОЧНИК!$N$12)+СПРАВОЧНИК!$F$13*('ПЛАН ЧИСТ К1'!O33*СПРАВОЧНИК!$L$13+'ПЛАН ЧИСТ К1'!P33*СПРАВОЧНИК!$M$13+'ПЛАН ЧИСТ К1'!Q33*СПРАВОЧНИК!$N$13)+СПРАВОЧНИК!$F$14*('ПЛАН ЧИСТ К1'!R33*СПРАВОЧНИК!$L$14+'ПЛАН ЧИСТ К1'!S33*СПРАВОЧНИК!$M$14+'ПЛАН ЧИСТ К1'!T33*СПРАВОЧНИК!$N$14)+СПРАВОЧНИК!$F$15*('ПЛАН ЧИСТ К1'!U33*СПРАВОЧНИК!$L$15+'ПЛАН ЧИСТ К1'!V33*СПРАВОЧНИК!$M$15+'ПЛАН ЧИСТ К1'!W33*СПРАВОЧНИК!$N$15)</f>
        <v>0</v>
      </c>
      <c r="W42" s="40">
        <f>СПРАВОЧНИК!$E$9*(('ФАКТ ЧЕРН К1'!B33)*СПРАВОЧНИК!$H$9+('ФАКТ ЧЕРН К1'!C33)*СПРАВОЧНИК!$I$9+('ФАКТ ЧЕРН К1'!D33)*СПРАВОЧНИК!$J$9)+СПРАВОЧНИК!$E$10*(('ФАКТ ЧЕРН К1'!E33)*СПРАВОЧНИК!$H$10+('ФАКТ ЧЕРН К1'!F33)*СПРАВОЧНИК!$I$10+('ФАКТ ЧЕРН К1'!G33)*СПРАВОЧНИК!$J$10)+СПРАВОЧНИК!$E$11*(('ФАКТ ЧЕРН К1'!H33)*СПРАВОЧНИК!$H$11+('ФАКТ ЧЕРН К1'!I33)*СПРАВОЧНИК!$I$11+('ФАКТ ЧЕРН К1'!J33)*СПРАВОЧНИК!$J$11)+СПРАВОЧНИК!$E$12*(('ФАКТ ЧЕРН К1'!K33)*СПРАВОЧНИК!$H$12+('ФАКТ ЧЕРН К1'!L33)*СПРАВОЧНИК!$I$12+('ФАКТ ЧЕРН К1'!M33)*СПРАВОЧНИК!$J$12)+СПРАВОЧНИК!$E$13*(('ФАКТ ЧЕРН К1'!N33)*СПРАВОЧНИК!$H$13+('ФАКТ ЧЕРН К1'!O33)*СПРАВОЧНИК!$I$13+('ФАКТ ЧЕРН К1'!P33)*СПРАВОЧНИК!$J$13)+СПРАВОЧНИК!$E$14*(('ФАКТ ЧЕРН К1'!Q33)*СПРАВОЧНИК!$H$14+('ФАКТ ЧЕРН К1'!R33)*СПРАВОЧНИК!$I$14+('ФАКТ ЧЕРН К1'!S33)*СПРАВОЧНИК!$J$14)+СПРАВОЧНИК!$E$15*(('ФАКТ ЧЕРН К1'!T33)*СПРАВОЧНИК!$H$15+('ФАКТ ЧЕРН К1'!U33)*СПРАВОЧНИК!$I$15+('ФАКТ ЧЕРН К1'!V33)*СПРАВОЧНИК!$J$15)+СПРАВОЧНИК!$F$9*(('ФАКТ ЧИСТ К1'!B33)*СПРАВОЧНИК!$L$9+('ФАКТ ЧИСТ К1'!C33)*СПРАВОЧНИК!$M$9+('ФАКТ ЧИСТ К1'!D33)*СПРАВОЧНИК!$N$9+('ФАКТ ЧИСТ К1'!E33)*СПРАВОЧНИК!$O$9)+СПРАВОЧНИК!$F$10*(('ФАКТ ЧИСТ К1'!F33)*СПРАВОЧНИК!$L$10+('ФАКТ ЧИСТ К1'!G33)*СПРАВОЧНИК!$M$10+('ФАКТ ЧИСТ К1'!H33)*СПРАВОЧНИК!$N$10)+СПРАВОЧНИК!$F$11*(('ФАКТ ЧИСТ К1'!I33)*СПРАВОЧНИК!$L$11+('ФАКТ ЧИСТ К1'!J33)*СПРАВОЧНИК!$M$11+('ФАКТ ЧИСТ К1'!K33)*СПРАВОЧНИК!$N$11)+СПРАВОЧНИК!$F$12*(('ФАКТ ЧИСТ К1'!L33)*СПРАВОЧНИК!$L$12+('ФАКТ ЧИСТ К1'!M33)*СПРАВОЧНИК!$M$12+('ФАКТ ЧИСТ К1'!N33)*СПРАВОЧНИК!$N$12)+СПРАВОЧНИК!$F$13*(('ФАКТ ЧИСТ К1'!O33)*СПРАВОЧНИК!$L$13+('ФАКТ ЧИСТ К1'!P33)*СПРАВОЧНИК!$M$13+('ФАКТ ЧИСТ К1'!Q33)*СПРАВОЧНИК!$N$13)+СПРАВОЧНИК!$F$14*(('ФАКТ ЧИСТ К1'!R33)*СПРАВОЧНИК!$L$14+('ФАКТ ЧИСТ К1'!S33)*СПРАВОЧНИК!$M$14+('ФАКТ ЧИСТ К1'!T33)*СПРАВОЧНИК!$N$14)+СПРАВОЧНИК!$F$15*(('ФАКТ ЧИСТ К1'!U33)*СПРАВОЧНИК!$L$15+('ФАКТ ЧИСТ К1'!V33)*СПРАВОЧНИК!$M$15+('ФАКТ ЧИСТ К1'!W33)*СПРАВОЧНИК!$N$15)</f>
        <v>0</v>
      </c>
      <c r="AA42" s="18">
        <f t="shared" si="16"/>
        <v>46370</v>
      </c>
      <c r="AB42" s="37">
        <f>'ПЛАН ЧЕРН К1'!B33*СПРАВОЧНИК!$H$9+'ПЛАН ЧЕРН К1'!C33*СПРАВОЧНИК!$I$9+'ПЛАН ЧЕРН К1'!D33*СПРАВОЧНИК!$J$9+'ПЛАН ЧЕРН К1'!E33*СПРАВОЧНИК!$H$10+'ПЛАН ЧЕРН К1'!F33*СПРАВОЧНИК!$I$10+'ПЛАН ЧЕРН К1'!G33*СПРАВОЧНИК!$J$10+'ПЛАН ЧЕРН К1'!H33*СПРАВОЧНИК!$H$11+'ПЛАН ЧЕРН К1'!I33*СПРАВОЧНИК!$I$11+'ПЛАН ЧЕРН К1'!J33*СПРАВОЧНИК!$J$11+'ПЛАН ЧЕРН К1'!K33*СПРАВОЧНИК!$H$12+'ПЛАН ЧЕРН К1'!L33*СПРАВОЧНИК!$I$12+'ПЛАН ЧЕРН К1'!M33*СПРАВОЧНИК!$J$12+'ПЛАН ЧЕРН К1'!N33*СПРАВОЧНИК!$H$13+'ПЛАН ЧЕРН К1'!O33*СПРАВОЧНИК!$I$13+'ПЛАН ЧЕРН К1'!P33*СПРАВОЧНИК!$J$13+'ПЛАН ЧЕРН К1'!Q33*СПРАВОЧНИК!$H$14+'ПЛАН ЧЕРН К1'!R33*СПРАВОЧНИК!$I$14+'ПЛАН ЧЕРН К1'!S33*СПРАВОЧНИК!$J$14+'ПЛАН ЧЕРН К1'!T33*СПРАВОЧНИК!$H$15+'ПЛАН ЧЕРН К1'!U33*СПРАВОЧНИК!$I$15+'ПЛАН ЧЕРН К1'!V33*СПРАВОЧНИК!$J$15</f>
        <v>0</v>
      </c>
      <c r="AC42" s="40">
        <f>('ФАКТ ЧЕРН К1'!B33)*СПРАВОЧНИК!$H$9+('ФАКТ ЧЕРН К1'!C33)*СПРАВОЧНИК!$I$9+('ФАКТ ЧЕРН К1'!D33)*СПРАВОЧНИК!$J$9+('ФАКТ ЧЕРН К1'!E33)*СПРАВОЧНИК!$H$10+('ФАКТ ЧЕРН К1'!F33)*СПРАВОЧНИК!$I$10+('ФАКТ ЧЕРН К1'!G33)*СПРАВОЧНИК!$J$10+('ФАКТ ЧЕРН К1'!H33)*СПРАВОЧНИК!$H$11+('ФАКТ ЧЕРН К1'!I33)*СПРАВОЧНИК!$I$11+('ФАКТ ЧЕРН К1'!J33)*СПРАВОЧНИК!$J$11+('ФАКТ ЧЕРН К1'!K33)*СПРАВОЧНИК!$H$12+('ФАКТ ЧЕРН К1'!L33)*СПРАВОЧНИК!$I$12+('ФАКТ ЧЕРН К1'!M33)*СПРАВОЧНИК!$J$12+('ФАКТ ЧЕРН К1'!N33)*СПРАВОЧНИК!$H$13+('ФАКТ ЧЕРН К1'!O33)*СПРАВОЧНИК!$I$13+('ФАКТ ЧЕРН К1'!P33)*СПРАВОЧНИК!$J$13+('ФАКТ ЧЕРН К1'!Q33)*СПРАВОЧНИК!$H$14+('ФАКТ ЧЕРН К1'!R33)*СПРАВОЧНИК!$I$14+('ФАКТ ЧЕРН К1'!S33)*СПРАВОЧНИК!$J$14+('ФАКТ ЧЕРН К1'!T33)*СПРАВОЧНИК!$H$15+('ФАКТ ЧЕРН К1'!U33)*СПРАВОЧНИК!$I$15+('ФАКТ ЧЕРН К1'!V33)*СПРАВОЧНИК!$J$15</f>
        <v>0</v>
      </c>
      <c r="AG42" s="18">
        <f t="shared" si="17"/>
        <v>46370</v>
      </c>
      <c r="AH42" s="37">
        <f>'ПЛАН ЧИСТ К1'!B33*СПРАВОЧНИК!$L$9+'ПЛАН ЧИСТ К1'!C33*СПРАВОЧНИК!$M$9+'ПЛАН ЧИСТ К1'!D33*СПРАВОЧНИК!$N$9+'ПЛАН ЧИСТ К1'!E33*СПРАВОЧНИК!$O$9+'ПЛАН ЧИСТ К1'!F33*СПРАВОЧНИК!$L$10+'ПЛАН ЧИСТ К1'!G33*СПРАВОЧНИК!$M$10+'ПЛАН ЧИСТ К1'!H33*СПРАВОЧНИК!$N$10+'ПЛАН ЧИСТ К1'!I33*СПРАВОЧНИК!$L$11+'ПЛАН ЧИСТ К1'!J33*СПРАВОЧНИК!$M$11+'ПЛАН ЧИСТ К1'!K33*СПРАВОЧНИК!$N$11+'ПЛАН ЧИСТ К1'!L33*СПРАВОЧНИК!$L$12+'ПЛАН ЧИСТ К1'!M33*СПРАВОЧНИК!$M$12+'ПЛАН ЧИСТ К1'!N33*СПРАВОЧНИК!$N$12+'ПЛАН ЧИСТ К1'!O33*СПРАВОЧНИК!$L$13+'ПЛАН ЧИСТ К1'!P33*СПРАВОЧНИК!$M$13+'ПЛАН ЧИСТ К1'!Q33*СПРАВОЧНИК!$N$13+'ПЛАН ЧИСТ К1'!R33*СПРАВОЧНИК!$L$14+'ПЛАН ЧИСТ К1'!S33*СПРАВОЧНИК!$M$14+'ПЛАН ЧИСТ К1'!T33*СПРАВОЧНИК!$N$14+'ПЛАН ЧИСТ К1'!U33*СПРАВОЧНИК!$L$15+'ПЛАН ЧИСТ К1'!V33*СПРАВОЧНИК!$M$15+'ПЛАН ЧИСТ К1'!W33*СПРАВОЧНИК!$N$15</f>
        <v>0</v>
      </c>
      <c r="AI42" s="40">
        <f>('ФАКТ ЧИСТ К1'!B33)*СПРАВОЧНИК!$L$9+('ФАКТ ЧИСТ К1'!C33)*СПРАВОЧНИК!$M$9+('ФАКТ ЧИСТ К1'!D33)*СПРАВОЧНИК!$N$9+('ФАКТ ЧИСТ К1'!E33)*СПРАВОЧНИК!$O$9+('ФАКТ ЧИСТ К1'!F33)*СПРАВОЧНИК!$L$10+('ФАКТ ЧИСТ К1'!G33)*СПРАВОЧНИК!$M$10+('ФАКТ ЧИСТ К1'!H33)*СПРАВОЧНИК!$N$10+('ФАКТ ЧИСТ К1'!I33)*СПРАВОЧНИК!$L$11+('ФАКТ ЧИСТ К1'!J33)*СПРАВОЧНИК!$M$11+('ФАКТ ЧИСТ К1'!K33)*СПРАВОЧНИК!$N$11+('ФАКТ ЧИСТ К1'!L33)*СПРАВОЧНИК!$L$12+('ФАКТ ЧИСТ К1'!M33)*СПРАВОЧНИК!$M$12+('ФАКТ ЧИСТ К1'!N33)*СПРАВОЧНИК!$N$12+('ФАКТ ЧИСТ К1'!O33)*СПРАВОЧНИК!$L$13+('ФАКТ ЧИСТ К1'!P33)*СПРАВОЧНИК!$M$13+('ФАКТ ЧИСТ К1'!Q33)*СПРАВОЧНИК!$N$13+('ФАКТ ЧИСТ К1'!R33)*СПРАВОЧНИК!$L$14+('ФАКТ ЧИСТ К1'!S33)*СПРАВОЧНИК!$M$14+('ФАКТ ЧИСТ К1'!T33)*СПРАВОЧНИК!$N$14+('ФАКТ ЧИСТ К1'!U33)*СПРАВОЧНИК!$L$15+('ФАКТ ЧИСТ К1'!V33)*СПРАВОЧНИК!$M$15+('ФАКТ ЧИСТ К1'!W33)*СПРАВОЧНИК!$N$15</f>
        <v>0</v>
      </c>
      <c r="AM42" s="18">
        <f t="shared" si="18"/>
        <v>46370</v>
      </c>
      <c r="AN42" s="37">
        <f>СПРАВОЧНИК!$E$9*('ПЛАН ЧЕРН К2'!B33*СПРАВОЧНИК!$H$9+'ПЛАН ЧЕРН К2'!C33*СПРАВОЧНИК!$I$9+'ПЛАН ЧЕРН К2'!D33*СПРАВОЧНИК!$J$9)+СПРАВОЧНИК!$E$10*('ПЛАН ЧЕРН К2'!E33*СПРАВОЧНИК!$H$10+'ПЛАН ЧЕРН К2'!F33*СПРАВОЧНИК!$I$10+'ПЛАН ЧЕРН К2'!G33*СПРАВОЧНИК!$J$10)+СПРАВОЧНИК!$E$11*('ПЛАН ЧЕРН К2'!H33*СПРАВОЧНИК!$H$11+'ПЛАН ЧЕРН К2'!I33*СПРАВОЧНИК!$I$11+'ПЛАН ЧЕРН К2'!J33*СПРАВОЧНИК!$J$11)+СПРАВОЧНИК!$E$12*('ПЛАН ЧЕРН К2'!K33*СПРАВОЧНИК!$H$12+'ПЛАН ЧЕРН К2'!L33*СПРАВОЧНИК!$I$12+'ПЛАН ЧЕРН К2'!M33*СПРАВОЧНИК!$J$12)+СПРАВОЧНИК!$E$13*('ПЛАН ЧЕРН К2'!N33*СПРАВОЧНИК!$H$13+'ПЛАН ЧЕРН К2'!O33*СПРАВОЧНИК!$I$13+'ПЛАН ЧЕРН К2'!P33*СПРАВОЧНИК!$J$13)+СПРАВОЧНИК!$E$14*('ПЛАН ЧЕРН К2'!Q33*СПРАВОЧНИК!$H$14+'ПЛАН ЧЕРН К2'!R33*СПРАВОЧНИК!$I$14+'ПЛАН ЧЕРН К2'!S33*СПРАВОЧНИК!$J$14)+СПРАВОЧНИК!$E$15*('ПЛАН ЧЕРН К2'!T33*СПРАВОЧНИК!$H$15+'ПЛАН ЧЕРН К2'!U33*СПРАВОЧНИК!$I$15+'ПЛАН ЧЕРН К2'!V33*СПРАВОЧНИК!$J$15)+СПРАВОЧНИК!$F$9*('ПЛАН ЧИСТ К2'!B33*СПРАВОЧНИК!$L$9+'ПЛАН ЧИСТ К2'!C33*СПРАВОЧНИК!$M$9+'ПЛАН ЧИСТ К2'!D33*СПРАВОЧНИК!$N$9+'ПЛАН ЧИСТ К2'!E33*СПРАВОЧНИК!$O$9)+СПРАВОЧНИК!$F$10*('ПЛАН ЧИСТ К2'!F33*СПРАВОЧНИК!$L$10+'ПЛАН ЧИСТ К2'!G33*СПРАВОЧНИК!$M$10+'ПЛАН ЧИСТ К2'!H33*СПРАВОЧНИК!$N$10)+СПРАВОЧНИК!$F$11*('ПЛАН ЧИСТ К2'!I33*СПРАВОЧНИК!$L$11+'ПЛАН ЧИСТ К2'!J33*СПРАВОЧНИК!$M$11+'ПЛАН ЧИСТ К2'!K33*СПРАВОЧНИК!$N$11)+СПРАВОЧНИК!$F$12*('ПЛАН ЧИСТ К2'!L33*СПРАВОЧНИК!$L$12+'ПЛАН ЧИСТ К2'!M33*СПРАВОЧНИК!$M$12+'ПЛАН ЧИСТ К2'!N33*СПРАВОЧНИК!$N$12)+СПРАВОЧНИК!$F$13*('ПЛАН ЧИСТ К2'!O33*СПРАВОЧНИК!$L$13+'ПЛАН ЧИСТ К2'!P33*СПРАВОЧНИК!$M$13+'ПЛАН ЧИСТ К2'!Q33*СПРАВОЧНИК!$N$13)+СПРАВОЧНИК!$F$14*('ПЛАН ЧИСТ К2'!R33*СПРАВОЧНИК!$L$14+'ПЛАН ЧИСТ К2'!S33*СПРАВОЧНИК!$M$14+'ПЛАН ЧИСТ К2'!T33*СПРАВОЧНИК!$N$14)+СПРАВОЧНИК!$F$15*('ПЛАН ЧИСТ К2'!U33*СПРАВОЧНИК!$L$15+'ПЛАН ЧИСТ К2'!V33*СПРАВОЧНИК!$M$15+'ПЛАН ЧИСТ К2'!W33*СПРАВОЧНИК!$N$15)</f>
        <v>0</v>
      </c>
      <c r="AO42" s="40">
        <f>СПРАВОЧНИК!$E$9*(('ФАКТ ЧЕРН К2'!B33)*СПРАВОЧНИК!$H$9+('ФАКТ ЧЕРН К2'!C33)*СПРАВОЧНИК!$I$9+('ФАКТ ЧЕРН К2'!D33)*СПРАВОЧНИК!$J$9)+СПРАВОЧНИК!$E$10*(('ФАКТ ЧЕРН К2'!E33)*СПРАВОЧНИК!$H$10+('ФАКТ ЧЕРН К2'!F33)*СПРАВОЧНИК!$I$10+('ФАКТ ЧЕРН К2'!G33)*СПРАВОЧНИК!$J$10)+СПРАВОЧНИК!$E$11*(('ФАКТ ЧЕРН К2'!H33)*СПРАВОЧНИК!$H$11+('ФАКТ ЧЕРН К2'!I33)*СПРАВОЧНИК!$I$11+('ФАКТ ЧЕРН К2'!J33)*СПРАВОЧНИК!$J$11)+СПРАВОЧНИК!$E$12*(('ФАКТ ЧЕРН К2'!K33)*СПРАВОЧНИК!$H$12+('ФАКТ ЧЕРН К2'!L33)*СПРАВОЧНИК!$I$12+('ФАКТ ЧЕРН К2'!M33)*СПРАВОЧНИК!$J$12)+СПРАВОЧНИК!$E$13*(('ФАКТ ЧЕРН К2'!N33)*СПРАВОЧНИК!$H$13+('ФАКТ ЧЕРН К2'!O33)*СПРАВОЧНИК!$I$13+('ФАКТ ЧЕРН К2'!P33)*СПРАВОЧНИК!$J$13)+СПРАВОЧНИК!$E$14*(('ФАКТ ЧЕРН К2'!Q33)*СПРАВОЧНИК!$H$14+('ФАКТ ЧЕРН К2'!R33)*СПРАВОЧНИК!$I$14+('ФАКТ ЧЕРН К2'!S33)*СПРАВОЧНИК!$J$14)+СПРАВОЧНИК!$E$15*(('ФАКТ ЧЕРН К2'!T33)*СПРАВОЧНИК!$H$15+('ФАКТ ЧЕРН К2'!U33)*СПРАВОЧНИК!$I$15+('ФАКТ ЧЕРН К2'!V33)*СПРАВОЧНИК!$J$15)+СПРАВОЧНИК!$F$9*(('ФАКТ ЧИСТ К2'!B33)*СПРАВОЧНИК!$L$9+('ФАКТ ЧИСТ К2'!C33)*СПРАВОЧНИК!$M$9+('ФАКТ ЧИСТ К2'!D33)*СПРАВОЧНИК!$N$9+('ФАКТ ЧИСТ К2'!E33)*СПРАВОЧНИК!$O$9)+СПРАВОЧНИК!$F$10*(('ФАКТ ЧИСТ К2'!F33)*СПРАВОЧНИК!$L$10+('ФАКТ ЧИСТ К2'!G33)*СПРАВОЧНИК!$M$10+('ФАКТ ЧИСТ К2'!H33)*СПРАВОЧНИК!$N$10)+СПРАВОЧНИК!$F$11*(('ФАКТ ЧИСТ К2'!I33)*СПРАВОЧНИК!$L$11+('ФАКТ ЧИСТ К2'!J33)*СПРАВОЧНИК!$M$11+('ФАКТ ЧИСТ К2'!K33)*СПРАВОЧНИК!$N$11)+СПРАВОЧНИК!$F$12*(('ФАКТ ЧИСТ К2'!L33)*СПРАВОЧНИК!$L$12+('ФАКТ ЧИСТ К2'!M33)*СПРАВОЧНИК!$M$12+('ФАКТ ЧИСТ К2'!N33)*СПРАВОЧНИК!$N$12)+СПРАВОЧНИК!$F$13*(('ФАКТ ЧИСТ К2'!O33)*СПРАВОЧНИК!$L$13+('ФАКТ ЧИСТ К2'!P33)*СПРАВОЧНИК!$M$13+('ФАКТ ЧИСТ К2'!Q33)*СПРАВОЧНИК!$N$13)+СПРАВОЧНИК!$F$14*(('ФАКТ ЧИСТ К2'!R33)*СПРАВОЧНИК!$L$14+('ФАКТ ЧИСТ К2'!S33)*СПРАВОЧНИК!$M$14+('ФАКТ ЧИСТ К2'!T33)*СПРАВОЧНИК!$N$14)+СПРАВОЧНИК!$F$15*(('ФАКТ ЧИСТ К2'!U33)*СПРАВОЧНИК!$L$15+('ФАКТ ЧИСТ К2'!V33)*СПРАВОЧНИК!$M$15+('ФАКТ ЧИСТ К2'!W33)*СПРАВОЧНИК!$N$15)</f>
        <v>0</v>
      </c>
      <c r="AS42" s="18">
        <f t="shared" si="19"/>
        <v>46370</v>
      </c>
      <c r="AT42" s="37">
        <f>'ПЛАН ЧЕРН К2'!B33*СПРАВОЧНИК!$H$9+'ПЛАН ЧЕРН К2'!C33*СПРАВОЧНИК!$I$9+'ПЛАН ЧЕРН К2'!D33*СПРАВОЧНИК!$J$9+'ПЛАН ЧЕРН К2'!E33*СПРАВОЧНИК!$H$10+'ПЛАН ЧЕРН К2'!F33*СПРАВОЧНИК!$I$10+'ПЛАН ЧЕРН К2'!G33*СПРАВОЧНИК!$J$10+'ПЛАН ЧЕРН К2'!H33*СПРАВОЧНИК!$H$11+'ПЛАН ЧЕРН К2'!I33*СПРАВОЧНИК!$I$11+'ПЛАН ЧЕРН К2'!J33*СПРАВОЧНИК!$J$11+'ПЛАН ЧЕРН К2'!K33*СПРАВОЧНИК!$H$12+'ПЛАН ЧЕРН К2'!L33*СПРАВОЧНИК!$I$12+'ПЛАН ЧЕРН К2'!M33*СПРАВОЧНИК!$J$12+'ПЛАН ЧЕРН К2'!N33*СПРАВОЧНИК!$H$13+'ПЛАН ЧЕРН К2'!O33*СПРАВОЧНИК!$I$13+'ПЛАН ЧЕРН К2'!P33*СПРАВОЧНИК!$J$13+'ПЛАН ЧЕРН К2'!Q33*СПРАВОЧНИК!$H$14+'ПЛАН ЧЕРН К2'!R33*СПРАВОЧНИК!$I$14+'ПЛАН ЧЕРН К2'!S33*СПРАВОЧНИК!$J$14+'ПЛАН ЧЕРН К2'!T33*СПРАВОЧНИК!$H$15+'ПЛАН ЧЕРН К2'!U33*СПРАВОЧНИК!$I$15+'ПЛАН ЧЕРН К2'!V33*СПРАВОЧНИК!$J$15</f>
        <v>0</v>
      </c>
      <c r="AU42" s="40">
        <f>('ФАКТ ЧЕРН К2'!B33)*СПРАВОЧНИК!$H$9+('ФАКТ ЧЕРН К2'!C33)*СПРАВОЧНИК!$I$9+('ФАКТ ЧЕРН К2'!D33)*СПРАВОЧНИК!$J$9+('ФАКТ ЧЕРН К2'!E33)*СПРАВОЧНИК!$H$10+('ФАКТ ЧЕРН К2'!F33)*СПРАВОЧНИК!$I$10+('ФАКТ ЧЕРН К2'!G33)*СПРАВОЧНИК!$J$10+('ФАКТ ЧЕРН К2'!H33)*СПРАВОЧНИК!$H$11+('ФАКТ ЧЕРН К2'!I33)*СПРАВОЧНИК!$I$11+('ФАКТ ЧЕРН К2'!J33)*СПРАВОЧНИК!$J$11+('ФАКТ ЧЕРН К2'!K33)*СПРАВОЧНИК!$H$12+('ФАКТ ЧЕРН К2'!L33)*СПРАВОЧНИК!$I$12+('ФАКТ ЧЕРН К2'!M33)*СПРАВОЧНИК!$J$12+('ФАКТ ЧЕРН К2'!N33)*СПРАВОЧНИК!$H$13+('ФАКТ ЧЕРН К2'!O33)*СПРАВОЧНИК!$I$13+('ФАКТ ЧЕРН К2'!P33)*СПРАВОЧНИК!$J$13+('ФАКТ ЧЕРН К2'!Q33)*СПРАВОЧНИК!$H$14+('ФАКТ ЧЕРН К2'!R33)*СПРАВОЧНИК!$I$14+('ФАКТ ЧЕРН К2'!S33)*СПРАВОЧНИК!$J$14+('ФАКТ ЧЕРН К2'!T33)*СПРАВОЧНИК!$H$15+('ФАКТ ЧЕРН К2'!U33)*СПРАВОЧНИК!$I$15+('ФАКТ ЧЕРН К2'!V33)*СПРАВОЧНИК!$J$15</f>
        <v>0</v>
      </c>
      <c r="AY42" s="18">
        <f t="shared" si="20"/>
        <v>46370</v>
      </c>
      <c r="AZ42" s="37">
        <f>'ПЛАН ЧИСТ К2'!B33*СПРАВОЧНИК!$L$9+'ПЛАН ЧИСТ К2'!C33*СПРАВОЧНИК!$M$9+'ПЛАН ЧИСТ К2'!D33*СПРАВОЧНИК!$N$9+'ПЛАН ЧИСТ К2'!E33*СПРАВОЧНИК!$O$9+'ПЛАН ЧИСТ К2'!F33*СПРАВОЧНИК!$L$10+'ПЛАН ЧИСТ К2'!G33*СПРАВОЧНИК!$M$10+'ПЛАН ЧИСТ К2'!H33*СПРАВОЧНИК!$N$10+'ПЛАН ЧИСТ К2'!I33*СПРАВОЧНИК!$L$11+'ПЛАН ЧИСТ К2'!J33*СПРАВОЧНИК!$M$11+'ПЛАН ЧИСТ К2'!K33*СПРАВОЧНИК!$N$11+'ПЛАН ЧИСТ К2'!L33*СПРАВОЧНИК!$L$12+'ПЛАН ЧИСТ К2'!M33*СПРАВОЧНИК!$M$12+'ПЛАН ЧИСТ К2'!N33*СПРАВОЧНИК!$N$12+'ПЛАН ЧИСТ К2'!O33*СПРАВОЧНИК!$L$13+'ПЛАН ЧИСТ К2'!P33*СПРАВОЧНИК!$M$13+'ПЛАН ЧИСТ К2'!Q33*СПРАВОЧНИК!$N$13+'ПЛАН ЧИСТ К2'!R33*СПРАВОЧНИК!$L$14+'ПЛАН ЧИСТ К2'!S33*СПРАВОЧНИК!$M$14+'ПЛАН ЧИСТ К2'!T33*СПРАВОЧНИК!$N$14+'ПЛАН ЧИСТ К2'!U33*СПРАВОЧНИК!$L$15+'ПЛАН ЧИСТ К2'!V33*СПРАВОЧНИК!$M$15+'ПЛАН ЧИСТ К2'!W33*СПРАВОЧНИК!$N$15</f>
        <v>0</v>
      </c>
      <c r="BA42" s="40">
        <f>('ФАКТ ЧИСТ К2'!B33)*СПРАВОЧНИК!$L$9+('ФАКТ ЧИСТ К2'!C33)*СПРАВОЧНИК!$M$9+('ФАКТ ЧИСТ К2'!D33)*СПРАВОЧНИК!$N$9+('ФАКТ ЧИСТ К2'!E33)*СПРАВОЧНИК!$O$9+('ФАКТ ЧИСТ К2'!F33)*СПРАВОЧНИК!$L$10+('ФАКТ ЧИСТ К2'!G33)*СПРАВОЧНИК!$M$10+('ФАКТ ЧИСТ К2'!H33)*СПРАВОЧНИК!$N$10+('ФАКТ ЧИСТ К2'!I33)*СПРАВОЧНИК!$L$11+('ФАКТ ЧИСТ К2'!J33)*СПРАВОЧНИК!$M$11+('ФАКТ ЧИСТ К2'!K33)*СПРАВОЧНИК!$N$11+('ФАКТ ЧИСТ К2'!L33)*СПРАВОЧНИК!$L$12+('ФАКТ ЧИСТ К2'!M33)*СПРАВОЧНИК!$M$12+('ФАКТ ЧИСТ К2'!N33)*СПРАВОЧНИК!$N$12+('ФАКТ ЧИСТ К2'!O33)*СПРАВОЧНИК!$L$13+('ФАКТ ЧИСТ К2'!P33)*СПРАВОЧНИК!$M$13+('ФАКТ ЧИСТ К2'!Q33)*СПРАВОЧНИК!$N$13+('ФАКТ ЧИСТ К2'!R33)*СПРАВОЧНИК!$L$14+('ФАКТ ЧИСТ К2'!S33)*СПРАВОЧНИК!$M$14+('ФАКТ ЧИСТ К2'!T33)*СПРАВОЧНИК!$N$14+('ФАКТ ЧИСТ К2'!U33)*СПРАВОЧНИК!$L$15+('ФАКТ ЧИСТ К2'!V33)*СПРАВОЧНИК!$M$15+('ФАКТ ЧИСТ К2'!W33)*СПРАВОЧНИК!$N$15</f>
        <v>0</v>
      </c>
      <c r="BE42" s="18">
        <f t="shared" si="21"/>
        <v>46370</v>
      </c>
      <c r="BF42" s="37">
        <f>СПРАВОЧНИК!$E$9*('ПЛАН ЧЕРН К3'!B33*СПРАВОЧНИК!$H$9+'ПЛАН ЧЕРН К3'!C33*СПРАВОЧНИК!$I$9+'ПЛАН ЧЕРН К3'!D33*СПРАВОЧНИК!$J$9)+СПРАВОЧНИК!$E$10*('ПЛАН ЧЕРН К3'!E33*СПРАВОЧНИК!$H$10+'ПЛАН ЧЕРН К3'!F33*СПРАВОЧНИК!$I$10+'ПЛАН ЧЕРН К3'!G33*СПРАВОЧНИК!$J$10)+СПРАВОЧНИК!$E$11*('ПЛАН ЧЕРН К3'!H33*СПРАВОЧНИК!$H$11+'ПЛАН ЧЕРН К3'!I33*СПРАВОЧНИК!$I$11+'ПЛАН ЧЕРН К3'!J33*СПРАВОЧНИК!$J$11)+СПРАВОЧНИК!$E$12*('ПЛАН ЧЕРН К3'!K33*СПРАВОЧНИК!$H$12+'ПЛАН ЧЕРН К3'!L33*СПРАВОЧНИК!$I$12+'ПЛАН ЧЕРН К3'!M33*СПРАВОЧНИК!$J$12)+СПРАВОЧНИК!$E$13*('ПЛАН ЧЕРН К3'!N33*СПРАВОЧНИК!$H$13+'ПЛАН ЧЕРН К3'!O33*СПРАВОЧНИК!$I$13+'ПЛАН ЧЕРН К3'!P33*СПРАВОЧНИК!$J$13)+СПРАВОЧНИК!$E$14*('ПЛАН ЧЕРН К3'!Q33*СПРАВОЧНИК!$H$14+'ПЛАН ЧЕРН К3'!R33*СПРАВОЧНИК!$I$14+'ПЛАН ЧЕРН К3'!S33*СПРАВОЧНИК!$J$14)+СПРАВОЧНИК!$E$15*('ПЛАН ЧЕРН К3'!T33*СПРАВОЧНИК!$H$15+'ПЛАН ЧЕРН К3'!U33*СПРАВОЧНИК!$I$15+'ПЛАН ЧЕРН К3'!V33*СПРАВОЧНИК!$J$15)+СПРАВОЧНИК!$F$9*('ПЛАН ЧИСТ К3'!B33*СПРАВОЧНИК!$L$9+'ПЛАН ЧИСТ К3'!C33*СПРАВОЧНИК!$M$9+'ПЛАН ЧИСТ К3'!D33*СПРАВОЧНИК!$N$9+'ПЛАН ЧИСТ К3'!E33*СПРАВОЧНИК!$O$9)+СПРАВОЧНИК!$F$10*('ПЛАН ЧИСТ К3'!F33*СПРАВОЧНИК!$L$10+'ПЛАН ЧИСТ К3'!G33*СПРАВОЧНИК!$M$10+'ПЛАН ЧИСТ К3'!H33*СПРАВОЧНИК!$N$10)+СПРАВОЧНИК!$F$11*('ПЛАН ЧИСТ К3'!I33*СПРАВОЧНИК!$L$11+'ПЛАН ЧИСТ К3'!J33*СПРАВОЧНИК!$M$11+'ПЛАН ЧИСТ К3'!K33*СПРАВОЧНИК!$N$11)+СПРАВОЧНИК!$F$12*('ПЛАН ЧИСТ К3'!L33*СПРАВОЧНИК!$L$12+'ПЛАН ЧИСТ К3'!M33*СПРАВОЧНИК!$M$12+'ПЛАН ЧИСТ К3'!N33*СПРАВОЧНИК!$N$12)+СПРАВОЧНИК!$F$13*('ПЛАН ЧИСТ К3'!O33*СПРАВОЧНИК!$L$13+'ПЛАН ЧИСТ К3'!P33*СПРАВОЧНИК!$M$13+'ПЛАН ЧИСТ К3'!Q33*СПРАВОЧНИК!$N$13)+СПРАВОЧНИК!$F$14*('ПЛАН ЧИСТ К3'!R33*СПРАВОЧНИК!$L$14+'ПЛАН ЧИСТ К3'!S33*СПРАВОЧНИК!$M$14+'ПЛАН ЧИСТ К3'!T33*СПРАВОЧНИК!$N$14)+СПРАВОЧНИК!$F$15*('ПЛАН ЧИСТ К3'!U33*СПРАВОЧНИК!$L$15+'ПЛАН ЧИСТ К3'!V33*СПРАВОЧНИК!$M$15+'ПЛАН ЧИСТ К3'!W33*СПРАВОЧНИК!$N$15)</f>
        <v>0</v>
      </c>
      <c r="BG42" s="40">
        <f>СПРАВОЧНИК!$E$9*(('ФАКТ ЧЕРН К3'!B33)*СПРАВОЧНИК!$H$9+('ФАКТ ЧЕРН К3'!C33)*СПРАВОЧНИК!$I$9+('ФАКТ ЧЕРН К3'!D33)*СПРАВОЧНИК!$J$9)+СПРАВОЧНИК!$E$10*(('ФАКТ ЧЕРН К3'!E33)*СПРАВОЧНИК!$H$10+('ФАКТ ЧЕРН К3'!F33)*СПРАВОЧНИК!$I$10+('ФАКТ ЧЕРН К3'!G33)*СПРАВОЧНИК!$J$10)+СПРАВОЧНИК!$E$11*(('ФАКТ ЧЕРН К3'!H33)*СПРАВОЧНИК!$H$11+('ФАКТ ЧЕРН К3'!I33)*СПРАВОЧНИК!$I$11+('ФАКТ ЧЕРН К3'!J33)*СПРАВОЧНИК!$J$11)+СПРАВОЧНИК!$E$12*(('ФАКТ ЧЕРН К3'!K33)*СПРАВОЧНИК!$H$12+('ФАКТ ЧЕРН К3'!L33)*СПРАВОЧНИК!$I$12+('ФАКТ ЧЕРН К3'!M33)*СПРАВОЧНИК!$J$12)+СПРАВОЧНИК!$E$13*(('ФАКТ ЧЕРН К3'!N33)*СПРАВОЧНИК!$H$13+('ФАКТ ЧЕРН К3'!O33)*СПРАВОЧНИК!$I$13+('ФАКТ ЧЕРН К3'!P33)*СПРАВОЧНИК!$J$13)+СПРАВОЧНИК!$E$14*(('ФАКТ ЧЕРН К3'!Q33)*СПРАВОЧНИК!$H$14+('ФАКТ ЧЕРН К3'!R33)*СПРАВОЧНИК!$I$14+('ФАКТ ЧЕРН К3'!S33)*СПРАВОЧНИК!$J$14)+СПРАВОЧНИК!$E$15*(('ФАКТ ЧЕРН К3'!T33)*СПРАВОЧНИК!$H$15+('ФАКТ ЧЕРН К3'!U33)*СПРАВОЧНИК!$I$15+('ФАКТ ЧЕРН К3'!V33)*СПРАВОЧНИК!$J$15)+СПРАВОЧНИК!$F$9*(('ФАКТ ЧИСТ К3'!B33)*СПРАВОЧНИК!$L$9+('ФАКТ ЧИСТ К3'!C33)*СПРАВОЧНИК!$M$9+('ФАКТ ЧИСТ К3'!D33)*СПРАВОЧНИК!$N$9+('ФАКТ ЧИСТ К3'!E33)*СПРАВОЧНИК!$O$9)+СПРАВОЧНИК!$F$10*(('ФАКТ ЧИСТ К3'!F33)*СПРАВОЧНИК!$L$10+('ФАКТ ЧИСТ К3'!G33)*СПРАВОЧНИК!$M$10+('ФАКТ ЧИСТ К3'!H33)*СПРАВОЧНИК!$N$10)+СПРАВОЧНИК!$F$11*(('ФАКТ ЧИСТ К3'!I33)*СПРАВОЧНИК!$L$11+('ФАКТ ЧИСТ К3'!J33)*СПРАВОЧНИК!$M$11+('ФАКТ ЧИСТ К3'!K33)*СПРАВОЧНИК!$N$11)+СПРАВОЧНИК!$F$12*(('ФАКТ ЧИСТ К3'!L33)*СПРАВОЧНИК!$L$12+('ФАКТ ЧИСТ К3'!M33)*СПРАВОЧНИК!$M$12+('ФАКТ ЧИСТ К3'!N33)*СПРАВОЧНИК!$N$12)+СПРАВОЧНИК!$F$13*(('ФАКТ ЧИСТ К3'!O33)*СПРАВОЧНИК!$L$13+('ФАКТ ЧИСТ К3'!P33)*СПРАВОЧНИК!$M$13+('ФАКТ ЧИСТ К3'!Q33)*СПРАВОЧНИК!$N$13)+СПРАВОЧНИК!$F$14*(('ФАКТ ЧИСТ К3'!R33)*СПРАВОЧНИК!$L$14+('ФАКТ ЧИСТ К3'!S33)*СПРАВОЧНИК!$M$14+('ФАКТ ЧИСТ К3'!T33)*СПРАВОЧНИК!$N$14)+СПРАВОЧНИК!$F$15*(('ФАКТ ЧИСТ К3'!U33)*СПРАВОЧНИК!$L$15+('ФАКТ ЧИСТ К3'!V33)*СПРАВОЧНИК!$M$15+('ФАКТ ЧИСТ К3'!W33)*СПРАВОЧНИК!$N$15)</f>
        <v>0</v>
      </c>
      <c r="BK42" s="18">
        <f t="shared" si="22"/>
        <v>46370</v>
      </c>
      <c r="BL42" s="37">
        <f>'ПЛАН ЧЕРН К3'!B33*СПРАВОЧНИК!$H$9+'ПЛАН ЧЕРН К3'!C33*СПРАВОЧНИК!$I$9+'ПЛАН ЧЕРН К3'!D33*СПРАВОЧНИК!$J$9+'ПЛАН ЧЕРН К3'!E33*СПРАВОЧНИК!$H$10+'ПЛАН ЧЕРН К3'!F33*СПРАВОЧНИК!$I$10+'ПЛАН ЧЕРН К3'!G33*СПРАВОЧНИК!$J$10+'ПЛАН ЧЕРН К3'!H33*СПРАВОЧНИК!$H$11+'ПЛАН ЧЕРН К3'!I33*СПРАВОЧНИК!$I$11+'ПЛАН ЧЕРН К3'!J33*СПРАВОЧНИК!$J$11+'ПЛАН ЧЕРН К3'!K33*СПРАВОЧНИК!$H$12+'ПЛАН ЧЕРН К3'!L33*СПРАВОЧНИК!$I$12+'ПЛАН ЧЕРН К3'!M33*СПРАВОЧНИК!$J$12+'ПЛАН ЧЕРН К3'!N33*СПРАВОЧНИК!$H$13+'ПЛАН ЧЕРН К3'!O33*СПРАВОЧНИК!$I$13+'ПЛАН ЧЕРН К3'!P33*СПРАВОЧНИК!$J$13+'ПЛАН ЧЕРН К3'!Q33*СПРАВОЧНИК!$H$14+'ПЛАН ЧЕРН К3'!R33*СПРАВОЧНИК!$I$14+'ПЛАН ЧЕРН К3'!S33*СПРАВОЧНИК!$J$14+'ПЛАН ЧЕРН К3'!T33*СПРАВОЧНИК!$H$15+'ПЛАН ЧЕРН К3'!U33*СПРАВОЧНИК!$I$15+'ПЛАН ЧЕРН К3'!V33*СПРАВОЧНИК!$J$15</f>
        <v>0</v>
      </c>
      <c r="BM42" s="40">
        <f>('ФАКТ ЧЕРН К3'!B33)*СПРАВОЧНИК!$H$9+('ФАКТ ЧЕРН К3'!C33)*СПРАВОЧНИК!$I$9+('ФАКТ ЧЕРН К3'!D33)*СПРАВОЧНИК!$J$9+('ФАКТ ЧЕРН К3'!E33)*СПРАВОЧНИК!$H$10+('ФАКТ ЧЕРН К3'!F33)*СПРАВОЧНИК!$I$10+('ФАКТ ЧЕРН К3'!G33)*СПРАВОЧНИК!$J$10+('ФАКТ ЧЕРН К3'!H33)*СПРАВОЧНИК!$H$11+('ФАКТ ЧЕРН К3'!I33)*СПРАВОЧНИК!$I$11+('ФАКТ ЧЕРН К3'!J33)*СПРАВОЧНИК!$J$11+('ФАКТ ЧЕРН К3'!K33)*СПРАВОЧНИК!$H$12+('ФАКТ ЧЕРН К3'!L33)*СПРАВОЧНИК!$I$12+('ФАКТ ЧЕРН К3'!M33)*СПРАВОЧНИК!$J$12+('ФАКТ ЧЕРН К3'!N33)*СПРАВОЧНИК!$H$13+('ФАКТ ЧЕРН К3'!O33)*СПРАВОЧНИК!$I$13+('ФАКТ ЧЕРН К3'!P33)*СПРАВОЧНИК!$J$13+('ФАКТ ЧЕРН К3'!Q33)*СПРАВОЧНИК!$H$14+('ФАКТ ЧЕРН К3'!R33)*СПРАВОЧНИК!$I$14+('ФАКТ ЧЕРН К3'!S33)*СПРАВОЧНИК!$J$14+('ФАКТ ЧЕРН К3'!T33)*СПРАВОЧНИК!$H$15+('ФАКТ ЧЕРН К3'!U33)*СПРАВОЧНИК!$I$15+('ФАКТ ЧЕРН К3'!V33)*СПРАВОЧНИК!$J$15</f>
        <v>0</v>
      </c>
      <c r="BQ42" s="18">
        <f t="shared" si="23"/>
        <v>46370</v>
      </c>
      <c r="BR42" s="37">
        <f>'ПЛАН ЧИСТ К3'!B33*СПРАВОЧНИК!$L$9+'ПЛАН ЧИСТ К3'!C33*СПРАВОЧНИК!$M$9+'ПЛАН ЧИСТ К3'!D33*СПРАВОЧНИК!$N$9+'ПЛАН ЧИСТ К3'!E33*СПРАВОЧНИК!$O$9+'ПЛАН ЧИСТ К3'!F33*СПРАВОЧНИК!$L$10+'ПЛАН ЧИСТ К3'!G33*СПРАВОЧНИК!$M$10+'ПЛАН ЧИСТ К3'!H33*СПРАВОЧНИК!$N$10+'ПЛАН ЧИСТ К3'!I33*СПРАВОЧНИК!$L$11+'ПЛАН ЧИСТ К3'!J33*СПРАВОЧНИК!$M$11+'ПЛАН ЧИСТ К3'!K33*СПРАВОЧНИК!$N$11+'ПЛАН ЧИСТ К3'!L33*СПРАВОЧНИК!$L$12+'ПЛАН ЧИСТ К3'!M33*СПРАВОЧНИК!$M$12+'ПЛАН ЧИСТ К3'!N33*СПРАВОЧНИК!$N$12+'ПЛАН ЧИСТ К3'!O33*СПРАВОЧНИК!$L$13+'ПЛАН ЧИСТ К3'!P33*СПРАВОЧНИК!$M$13+'ПЛАН ЧИСТ К3'!Q33*СПРАВОЧНИК!$N$13+'ПЛАН ЧИСТ К3'!R33*СПРАВОЧНИК!$L$14+'ПЛАН ЧИСТ К3'!S33*СПРАВОЧНИК!$M$14+'ПЛАН ЧИСТ К3'!T33*СПРАВОЧНИК!$N$14+'ПЛАН ЧИСТ К3'!U33*СПРАВОЧНИК!$L$15+'ПЛАН ЧИСТ К3'!V33*СПРАВОЧНИК!$M$15+'ПЛАН ЧИСТ К3'!W33*СПРАВОЧНИК!$N$15</f>
        <v>0</v>
      </c>
      <c r="BS42" s="40">
        <f>('ФАКТ ЧИСТ К3'!B33)*СПРАВОЧНИК!$L$9+('ФАКТ ЧИСТ К3'!C33)*СПРАВОЧНИК!$M$9+('ФАКТ ЧИСТ К3'!D33)*СПРАВОЧНИК!$N$9+('ФАКТ ЧИСТ К3'!E33)*СПРАВОЧНИК!$O$9+('ФАКТ ЧИСТ К3'!F33)*СПРАВОЧНИК!$L$10+('ФАКТ ЧИСТ К3'!G33)*СПРАВОЧНИК!$M$10+('ФАКТ ЧИСТ К3'!H33)*СПРАВОЧНИК!$N$10+('ФАКТ ЧИСТ К3'!I33)*СПРАВОЧНИК!$L$11+('ФАКТ ЧИСТ К3'!J33)*СПРАВОЧНИК!$M$11+('ФАКТ ЧИСТ К3'!K33)*СПРАВОЧНИК!$N$11+('ФАКТ ЧИСТ К3'!L33)*СПРАВОЧНИК!$L$12+('ФАКТ ЧИСТ К3'!M33)*СПРАВОЧНИК!$M$12+('ФАКТ ЧИСТ К3'!N33)*СПРАВОЧНИК!$N$12+('ФАКТ ЧИСТ К3'!O33)*СПРАВОЧНИК!$L$13+('ФАКТ ЧИСТ К3'!P33)*СПРАВОЧНИК!$M$13+('ФАКТ ЧИСТ К3'!Q33)*СПРАВОЧНИК!$N$13+('ФАКТ ЧИСТ К3'!R33)*СПРАВОЧНИК!$L$14+('ФАКТ ЧИСТ К3'!S33)*СПРАВОЧНИК!$M$14+('ФАКТ ЧИСТ К3'!T33)*СПРАВОЧНИК!$N$14+('ФАКТ ЧИСТ К3'!U33)*СПРАВОЧНИК!$L$15+('ФАКТ ЧИСТ К3'!V33)*СПРАВОЧНИК!$M$15+('ФАКТ ЧИСТ К3'!W33)*СПРАВОЧНИК!$N$15</f>
        <v>0</v>
      </c>
      <c r="BW42" s="18">
        <f t="shared" si="24"/>
        <v>46370</v>
      </c>
      <c r="BX42" s="37">
        <f t="shared" si="0"/>
        <v>0</v>
      </c>
      <c r="BY42" s="40">
        <f t="shared" si="1"/>
        <v>0</v>
      </c>
      <c r="CC42" s="18">
        <f t="shared" si="25"/>
        <v>46370</v>
      </c>
      <c r="CD42" s="37">
        <f t="shared" si="2"/>
        <v>0</v>
      </c>
      <c r="CE42" s="40">
        <f t="shared" si="3"/>
        <v>0</v>
      </c>
      <c r="CI42" s="18">
        <f t="shared" si="26"/>
        <v>46370</v>
      </c>
      <c r="CJ42" s="37">
        <f t="shared" si="4"/>
        <v>0</v>
      </c>
      <c r="CK42" s="40">
        <f t="shared" si="5"/>
        <v>0</v>
      </c>
      <c r="CO42" s="18">
        <f t="shared" si="27"/>
        <v>46370</v>
      </c>
      <c r="CP42" s="37">
        <f t="shared" si="6"/>
        <v>0</v>
      </c>
      <c r="CQ42" s="40">
        <f t="shared" si="7"/>
        <v>0</v>
      </c>
      <c r="CU42" s="18">
        <f t="shared" si="28"/>
        <v>46370</v>
      </c>
      <c r="CV42" s="37">
        <f t="shared" si="8"/>
        <v>0</v>
      </c>
      <c r="CW42" s="40">
        <f t="shared" si="9"/>
        <v>0</v>
      </c>
      <c r="DA42" s="18">
        <f t="shared" si="29"/>
        <v>46370</v>
      </c>
      <c r="DB42" s="37">
        <f t="shared" si="10"/>
        <v>0</v>
      </c>
      <c r="DC42" s="40">
        <f t="shared" si="11"/>
        <v>0</v>
      </c>
    </row>
    <row r="43" spans="3:107" x14ac:dyDescent="0.25">
      <c r="C43" s="18">
        <f t="shared" si="12"/>
        <v>46377</v>
      </c>
      <c r="D43" s="37">
        <f>СПРАВОЧНИК!$E$3*('ПЛАН ЧЕРН ПОДЗЕМ'!B34*СПРАВОЧНИК!$H$3+'ПЛАН ЧЕРН ПОДЗЕМ'!C34*СПРАВОЧНИК!$I$3+'ПЛАН ЧЕРН ПОДЗЕМ'!D34*СПРАВОЧНИК!$J$3)+СПРАВОЧНИК!$E$4*('ПЛАН ЧЕРН ПОДЗЕМ'!E34*СПРАВОЧНИК!$H$4+'ПЛАН ЧЕРН ПОДЗЕМ'!F34*СПРАВОЧНИК!$I$4+'ПЛАН ЧЕРН ПОДЗЕМ'!G34*СПРАВОЧНИК!$J$4)+СПРАВОЧНИК!$E$5*('ПЛАН ЧЕРН ПОДЗЕМ'!H34*СПРАВОЧНИК!$H$5+'ПЛАН ЧЕРН ПОДЗЕМ'!I34*СПРАВОЧНИК!$I$5+'ПЛАН ЧЕРН ПОДЗЕМ'!J34*СПРАВОЧНИК!$J$5)+СПРАВОЧНИК!$E$6*('ПЛАН ЧЕРН ПОДЗЕМ'!K34*СПРАВОЧНИК!$H$6+'ПЛАН ЧЕРН ПОДЗЕМ'!L34*СПРАВОЧНИК!$I$6+'ПЛАН ЧЕРН ПОДЗЕМ'!M34*СПРАВОЧНИК!$J$6)+СПРАВОЧНИК!$E$7*('ПЛАН ЧЕРН ПОДЗЕМ'!N34*СПРАВОЧНИК!$H$7+'ПЛАН ЧЕРН ПОДЗЕМ'!O34*СПРАВОЧНИК!$I$7+'ПЛАН ЧЕРН ПОДЗЕМ'!P34*СПРАВОЧНИК!$J$7)+СПРАВОЧНИК!$E$8*('ПЛАН ЧЕРН ПОДЗЕМ'!Q34*СПРАВОЧНИК!$H$8+'ПЛАН ЧЕРН ПОДЗЕМ'!R34*СПРАВОЧНИК!$I$8+'ПЛАН ЧЕРН ПОДЗЕМ'!S34*СПРАВОЧНИК!$J$8)+СПРАВОЧНИК!$F$3*('ПЛАН ЧИСТ ПОДЗЕМ'!B34*СПРАВОЧНИК!$L$3+'ПЛАН ЧИСТ ПОДЗЕМ'!C34*СПРАВОЧНИК!$M$3+'ПЛАН ЧИСТ ПОДЗЕМ'!D34*СПРАВОЧНИК!$N$3)+СПРАВОЧНИК!$F$4*('ПЛАН ЧИСТ ПОДЗЕМ'!E34*СПРАВОЧНИК!$L$4+'ПЛАН ЧИСТ ПОДЗЕМ'!F34*СПРАВОЧНИК!$M$4+'ПЛАН ЧИСТ ПОДЗЕМ'!G34*СПРАВОЧНИК!$N$4)+СПРАВОЧНИК!$F$5*('ПЛАН ЧИСТ ПОДЗЕМ'!H34*СПРАВОЧНИК!$L$5+'ПЛАН ЧИСТ ПОДЗЕМ'!I34*СПРАВОЧНИК!$M$5+'ПЛАН ЧИСТ ПОДЗЕМ'!J34*СПРАВОЧНИК!$N$5)+СПРАВОЧНИК!$F$6*('ПЛАН ЧИСТ ПОДЗЕМ'!K34*СПРАВОЧНИК!$L$6+'ПЛАН ЧИСТ ПОДЗЕМ'!L34*СПРАВОЧНИК!$M$6+'ПЛАН ЧИСТ ПОДЗЕМ'!M34*СПРАВОЧНИК!$N$6)+СПРАВОЧНИК!$F$7*('ПЛАН ЧИСТ ПОДЗЕМ'!N34*СПРАВОЧНИК!$L$7+'ПЛАН ЧИСТ ПОДЗЕМ'!O34*СПРАВОЧНИК!$M$7+'ПЛАН ЧИСТ ПОДЗЕМ'!P34*СПРАВОЧНИК!$N$7)+СПРАВОЧНИК!$F$8*('ПЛАН ЧИСТ ПОДЗЕМ'!Q34*СПРАВОЧНИК!$L$8+'ПЛАН ЧИСТ ПОДЗЕМ'!R34*СПРАВОЧНИК!$M$8+'ПЛАН ЧИСТ ПОДЗЕМ'!S34*СПРАВОЧНИК!$N$8)</f>
        <v>0</v>
      </c>
      <c r="E43" s="40">
        <f>СПРАВОЧНИК!$E$3*(('ФАКТ ЧЕРН ПОДЗЕМ'!B34)*СПРАВОЧНИК!$H$3+('ФАКТ ЧЕРН ПОДЗЕМ'!C34)*СПРАВОЧНИК!$I$3+('ФАКТ ЧЕРН ПОДЗЕМ'!D34)*СПРАВОЧНИК!$J$3)+СПРАВОЧНИК!$E$4*(('ФАКТ ЧЕРН ПОДЗЕМ'!E34)*СПРАВОЧНИК!$H$4+('ФАКТ ЧЕРН ПОДЗЕМ'!F34)*СПРАВОЧНИК!$I$4+('ФАКТ ЧЕРН ПОДЗЕМ'!G34)*СПРАВОЧНИК!$J$4)+СПРАВОЧНИК!$E$5*(('ФАКТ ЧЕРН ПОДЗЕМ'!H34)*СПРАВОЧНИК!$H$5+('ФАКТ ЧЕРН ПОДЗЕМ'!I34)*СПРАВОЧНИК!$I$5+('ФАКТ ЧЕРН ПОДЗЕМ'!J34)*СПРАВОЧНИК!$J$5)+СПРАВОЧНИК!$E$6*(('ФАКТ ЧЕРН ПОДЗЕМ'!K34)*СПРАВОЧНИК!$H$6+('ФАКТ ЧЕРН ПОДЗЕМ'!L34)*СПРАВОЧНИК!$I$6+('ФАКТ ЧЕРН ПОДЗЕМ'!M34)*СПРАВОЧНИК!$J$6)+СПРАВОЧНИК!$E$7*(('ФАКТ ЧЕРН ПОДЗЕМ'!N34)*СПРАВОЧНИК!$H$7+('ФАКТ ЧЕРН ПОДЗЕМ'!O34)*СПРАВОЧНИК!$I$7+('ФАКТ ЧЕРН ПОДЗЕМ'!P34)*СПРАВОЧНИК!$J$7)+СПРАВОЧНИК!$E$8*(('ФАКТ ЧЕРН ПОДЗЕМ'!Q34)*СПРАВОЧНИК!$H$8+('ФАКТ ЧЕРН ПОДЗЕМ'!R34)*СПРАВОЧНИК!$I$8+('ФАКТ ЧЕРН ПОДЗЕМ'!S34)*СПРАВОЧНИК!$J$8)+СПРАВОЧНИК!$F$3*(('ФАКТ ЧИСТ ПОДЗЕМ'!B34)*СПРАВОЧНИК!$L$3+('ФАКТ ЧИСТ ПОДЗЕМ'!C34)*СПРАВОЧНИК!$M$3+('ФАКТ ЧИСТ ПОДЗЕМ'!D34)*СПРАВОЧНИК!$N$3)+СПРАВОЧНИК!$F$4*(('ФАКТ ЧИСТ ПОДЗЕМ'!E34)*СПРАВОЧНИК!$L$4+('ФАКТ ЧИСТ ПОДЗЕМ'!F34)*СПРАВОЧНИК!$M$4+('ФАКТ ЧИСТ ПОДЗЕМ'!G34)*СПРАВОЧНИК!$N$4)+СПРАВОЧНИК!$F$5*(('ФАКТ ЧИСТ ПОДЗЕМ'!H34)*СПРАВОЧНИК!$L$5+('ФАКТ ЧИСТ ПОДЗЕМ'!I34)*СПРАВОЧНИК!$M$5+('ФАКТ ЧИСТ ПОДЗЕМ'!J34)*СПРАВОЧНИК!$N$5)+СПРАВОЧНИК!$F$6*(('ФАКТ ЧИСТ ПОДЗЕМ'!K34)*СПРАВОЧНИК!$L$6+('ФАКТ ЧИСТ ПОДЗЕМ'!L34)*СПРАВОЧНИК!$M$6+('ФАКТ ЧИСТ ПОДЗЕМ'!M34)*СПРАВОЧНИК!$N$6)+СПРАВОЧНИК!$F$7*(('ФАКТ ЧИСТ ПОДЗЕМ'!N34)*СПРАВОЧНИК!$L$7+('ФАКТ ЧИСТ ПОДЗЕМ'!O34)*СПРАВОЧНИК!$M$7+('ФАКТ ЧИСТ ПОДЗЕМ'!P34)*СПРАВОЧНИК!$N$7)+СПРАВОЧНИК!$F$8*(('ФАКТ ЧИСТ ПОДЗЕМ'!Q34)*СПРАВОЧНИК!$L$8+('ФАКТ ЧИСТ ПОДЗЕМ'!R34)*СПРАВОЧНИК!$M$8+('ФАКТ ЧИСТ ПОДЗЕМ'!S34)*СПРАВОЧНИК!$N$8)</f>
        <v>0</v>
      </c>
      <c r="I43" s="18">
        <f t="shared" si="13"/>
        <v>46377</v>
      </c>
      <c r="J43" s="37">
        <f>'ПЛАН ЧЕРН ПОДЗЕМ'!B34*СПРАВОЧНИК!$H$3+'ПЛАН ЧЕРН ПОДЗЕМ'!C34*СПРАВОЧНИК!$I$3+'ПЛАН ЧЕРН ПОДЗЕМ'!D34*СПРАВОЧНИК!$J$3+'ПЛАН ЧЕРН ПОДЗЕМ'!E34*СПРАВОЧНИК!$H$4+'ПЛАН ЧЕРН ПОДЗЕМ'!F34*СПРАВОЧНИК!$I$4+'ПЛАН ЧЕРН ПОДЗЕМ'!G34*СПРАВОЧНИК!$J$4+'ПЛАН ЧЕРН ПОДЗЕМ'!H34*СПРАВОЧНИК!$H$5+'ПЛАН ЧЕРН ПОДЗЕМ'!I34*СПРАВОЧНИК!$I$5+'ПЛАН ЧЕРН ПОДЗЕМ'!J34*СПРАВОЧНИК!$J$5+'ПЛАН ЧЕРН ПОДЗЕМ'!K34*СПРАВОЧНИК!$H$6+'ПЛАН ЧЕРН ПОДЗЕМ'!L34*СПРАВОЧНИК!$I$6+'ПЛАН ЧЕРН ПОДЗЕМ'!M34*СПРАВОЧНИК!$J$6+'ПЛАН ЧЕРН ПОДЗЕМ'!N34*СПРАВОЧНИК!$H$7+'ПЛАН ЧЕРН ПОДЗЕМ'!O34*СПРАВОЧНИК!$I$7+'ПЛАН ЧЕРН ПОДЗЕМ'!P34*СПРАВОЧНИК!$J$7+'ПЛАН ЧЕРН ПОДЗЕМ'!Q34*СПРАВОЧНИК!$H$8+'ПЛАН ЧЕРН ПОДЗЕМ'!R34*СПРАВОЧНИК!$I$8+'ПЛАН ЧЕРН ПОДЗЕМ'!S34*СПРАВОЧНИК!$J$8</f>
        <v>0</v>
      </c>
      <c r="K43" s="40">
        <f>('ФАКТ ЧЕРН ПОДЗЕМ'!B34)*СПРАВОЧНИК!$H$3+('ФАКТ ЧЕРН ПОДЗЕМ'!C34)*СПРАВОЧНИК!$I$3+('ФАКТ ЧЕРН ПОДЗЕМ'!D34)*СПРАВОЧНИК!$J$3+('ФАКТ ЧЕРН ПОДЗЕМ'!E34)*СПРАВОЧНИК!$H$4+('ФАКТ ЧЕРН ПОДЗЕМ'!F34)*СПРАВОЧНИК!$I$4+('ФАКТ ЧЕРН ПОДЗЕМ'!G34)*СПРАВОЧНИК!$J$4+('ФАКТ ЧЕРН ПОДЗЕМ'!H34)*СПРАВОЧНИК!$H$5+('ФАКТ ЧЕРН ПОДЗЕМ'!I34)*СПРАВОЧНИК!$I$5+('ФАКТ ЧЕРН ПОДЗЕМ'!J34)*СПРАВОЧНИК!$J$5+('ФАКТ ЧЕРН ПОДЗЕМ'!K34)*СПРАВОЧНИК!$H$6+('ФАКТ ЧЕРН ПОДЗЕМ'!L34)*СПРАВОЧНИК!$I$6+('ФАКТ ЧЕРН ПОДЗЕМ'!M34)*СПРАВОЧНИК!$J$6+('ФАКТ ЧЕРН ПОДЗЕМ'!N34)*СПРАВОЧНИК!$H$7+('ФАКТ ЧЕРН ПОДЗЕМ'!O34)*СПРАВОЧНИК!$I$7+('ФАКТ ЧЕРН ПОДЗЕМ'!P34)*СПРАВОЧНИК!$J$7+('ФАКТ ЧЕРН ПОДЗЕМ'!Q34)*СПРАВОЧНИК!$H$8+('ФАКТ ЧЕРН ПОДЗЕМ'!R34)*СПРАВОЧНИК!$I$8+('ФАКТ ЧЕРН ПОДЗЕМ'!S34)*СПРАВОЧНИК!$J$8</f>
        <v>0</v>
      </c>
      <c r="O43" s="18">
        <f t="shared" si="14"/>
        <v>46377</v>
      </c>
      <c r="P43" s="37">
        <f>'ПЛАН ЧИСТ ПОДЗЕМ'!B34*СПРАВОЧНИК!$L$3+'ПЛАН ЧИСТ ПОДЗЕМ'!C34*СПРАВОЧНИК!$M$3+'ПЛАН ЧИСТ ПОДЗЕМ'!D34*СПРАВОЧНИК!$N$3+'ПЛАН ЧИСТ ПОДЗЕМ'!E34*СПРАВОЧНИК!$L$4+'ПЛАН ЧИСТ ПОДЗЕМ'!F34*СПРАВОЧНИК!$M$4+'ПЛАН ЧИСТ ПОДЗЕМ'!G34*СПРАВОЧНИК!$N$4+'ПЛАН ЧИСТ ПОДЗЕМ'!H34*СПРАВОЧНИК!$L$5+'ПЛАН ЧИСТ ПОДЗЕМ'!I34*СПРАВОЧНИК!$M$5+'ПЛАН ЧИСТ ПОДЗЕМ'!J34*СПРАВОЧНИК!$N$5+'ПЛАН ЧИСТ ПОДЗЕМ'!K34*СПРАВОЧНИК!$L$6+'ПЛАН ЧИСТ ПОДЗЕМ'!L34*СПРАВОЧНИК!$M$6+'ПЛАН ЧИСТ ПОДЗЕМ'!M34*СПРАВОЧНИК!$N$6+'ПЛАН ЧИСТ ПОДЗЕМ'!N34*СПРАВОЧНИК!$L$7+'ПЛАН ЧИСТ ПОДЗЕМ'!O34*СПРАВОЧНИК!$M$7+'ПЛАН ЧИСТ ПОДЗЕМ'!P34*СПРАВОЧНИК!$N$7+'ПЛАН ЧИСТ ПОДЗЕМ'!Q34*СПРАВОЧНИК!$L$8+'ПЛАН ЧИСТ ПОДЗЕМ'!R34*СПРАВОЧНИК!$M$8+'ПЛАН ЧИСТ ПОДЗЕМ'!S34*СПРАВОЧНИК!$N$8</f>
        <v>0</v>
      </c>
      <c r="Q43" s="40">
        <f>('ФАКТ ЧИСТ ПОДЗЕМ'!B34)*СПРАВОЧНИК!$L$3+('ФАКТ ЧИСТ ПОДЗЕМ'!C34)*СПРАВОЧНИК!$M$3+('ФАКТ ЧИСТ ПОДЗЕМ'!D34)*СПРАВОЧНИК!$N$3+('ФАКТ ЧИСТ ПОДЗЕМ'!E34)*СПРАВОЧНИК!$L$4+('ФАКТ ЧИСТ ПОДЗЕМ'!F34)*СПРАВОЧНИК!$M$4+('ФАКТ ЧИСТ ПОДЗЕМ'!G34)*СПРАВОЧНИК!$N$4+('ФАКТ ЧИСТ ПОДЗЕМ'!H34)*СПРАВОЧНИК!$L$5+('ФАКТ ЧИСТ ПОДЗЕМ'!I34)*СПРАВОЧНИК!$M$5+('ФАКТ ЧИСТ ПОДЗЕМ'!J34)*СПРАВОЧНИК!$N$5+('ФАКТ ЧИСТ ПОДЗЕМ'!K34)*СПРАВОЧНИК!$L$6+('ФАКТ ЧИСТ ПОДЗЕМ'!L34)*СПРАВОЧНИК!$M$6+('ФАКТ ЧИСТ ПОДЗЕМ'!M34)*СПРАВОЧНИК!$N$6+('ФАКТ ЧИСТ ПОДЗЕМ'!N34)*СПРАВОЧНИК!$L$7+('ФАКТ ЧИСТ ПОДЗЕМ'!O34)*СПРАВОЧНИК!$M$7+('ФАКТ ЧИСТ ПОДЗЕМ'!P34)*СПРАВОЧНИК!$N$7+('ФАКТ ЧИСТ ПОДЗЕМ'!Q34)*СПРАВОЧНИК!$L$8+('ФАКТ ЧИСТ ПОДЗЕМ'!R34)*СПРАВОЧНИК!$M$8+('ФАКТ ЧИСТ ПОДЗЕМ'!S34)*СПРАВОЧНИК!$N$8</f>
        <v>0</v>
      </c>
      <c r="U43" s="18">
        <f t="shared" si="15"/>
        <v>46377</v>
      </c>
      <c r="V43" s="37">
        <f>СПРАВОЧНИК!$E$9*('ПЛАН ЧЕРН К1'!B34*СПРАВОЧНИК!$H$9+'ПЛАН ЧЕРН К1'!C34*СПРАВОЧНИК!$I$9+'ПЛАН ЧЕРН К1'!D34*СПРАВОЧНИК!$J$9)+СПРАВОЧНИК!$E$10*('ПЛАН ЧЕРН К1'!E34*СПРАВОЧНИК!$H$10+'ПЛАН ЧЕРН К1'!F34*СПРАВОЧНИК!$I$10+'ПЛАН ЧЕРН К1'!G34*СПРАВОЧНИК!$J$10)+СПРАВОЧНИК!$E$11*('ПЛАН ЧЕРН К1'!H34*СПРАВОЧНИК!$H$11+'ПЛАН ЧЕРН К1'!I34*СПРАВОЧНИК!$I$11+'ПЛАН ЧЕРН К1'!J34*СПРАВОЧНИК!$J$11)+СПРАВОЧНИК!$E$12*('ПЛАН ЧЕРН К1'!K34*СПРАВОЧНИК!$H$12+'ПЛАН ЧЕРН К1'!L34*СПРАВОЧНИК!$I$12+'ПЛАН ЧЕРН К1'!M34*СПРАВОЧНИК!$J$12)+СПРАВОЧНИК!$E$13*('ПЛАН ЧЕРН К1'!N34*СПРАВОЧНИК!$H$13+'ПЛАН ЧЕРН К1'!O34*СПРАВОЧНИК!$I$13+'ПЛАН ЧЕРН К1'!P34*СПРАВОЧНИК!$J$13)+СПРАВОЧНИК!$E$14*('ПЛАН ЧЕРН К1'!Q34*СПРАВОЧНИК!$H$14+'ПЛАН ЧЕРН К1'!R34*СПРАВОЧНИК!$I$14+'ПЛАН ЧЕРН К1'!S34*СПРАВОЧНИК!$J$14)+СПРАВОЧНИК!$E$15*('ПЛАН ЧЕРН К1'!T34*СПРАВОЧНИК!$H$15+'ПЛАН ЧЕРН К1'!U34*СПРАВОЧНИК!$I$15+'ПЛАН ЧЕРН К1'!V34*СПРАВОЧНИК!$J$15)+СПРАВОЧНИК!$F$9*('ПЛАН ЧИСТ К1'!B34*СПРАВОЧНИК!$L$9+'ПЛАН ЧИСТ К1'!C34*СПРАВОЧНИК!$M$9+'ПЛАН ЧИСТ К1'!D34*СПРАВОЧНИК!$N$9+'ПЛАН ЧИСТ К1'!E34*СПРАВОЧНИК!$O$9)+СПРАВОЧНИК!$F$10*('ПЛАН ЧИСТ К1'!F34*СПРАВОЧНИК!$L$10+'ПЛАН ЧИСТ К1'!G34*СПРАВОЧНИК!$M$10+'ПЛАН ЧИСТ К1'!H34*СПРАВОЧНИК!$N$10)+СПРАВОЧНИК!$F$11*('ПЛАН ЧИСТ К1'!I34*СПРАВОЧНИК!$L$11+'ПЛАН ЧИСТ К1'!J34*СПРАВОЧНИК!$M$11+'ПЛАН ЧИСТ К1'!K34*СПРАВОЧНИК!$N$11)+СПРАВОЧНИК!$F$12*('ПЛАН ЧИСТ К1'!L34*СПРАВОЧНИК!$L$12+'ПЛАН ЧИСТ К1'!M34*СПРАВОЧНИК!$M$12+'ПЛАН ЧИСТ К1'!N34*СПРАВОЧНИК!$N$12)+СПРАВОЧНИК!$F$13*('ПЛАН ЧИСТ К1'!O34*СПРАВОЧНИК!$L$13+'ПЛАН ЧИСТ К1'!P34*СПРАВОЧНИК!$M$13+'ПЛАН ЧИСТ К1'!Q34*СПРАВОЧНИК!$N$13)+СПРАВОЧНИК!$F$14*('ПЛАН ЧИСТ К1'!R34*СПРАВОЧНИК!$L$14+'ПЛАН ЧИСТ К1'!S34*СПРАВОЧНИК!$M$14+'ПЛАН ЧИСТ К1'!T34*СПРАВОЧНИК!$N$14)+СПРАВОЧНИК!$F$15*('ПЛАН ЧИСТ К1'!U34*СПРАВОЧНИК!$L$15+'ПЛАН ЧИСТ К1'!V34*СПРАВОЧНИК!$M$15+'ПЛАН ЧИСТ К1'!W34*СПРАВОЧНИК!$N$15)</f>
        <v>0</v>
      </c>
      <c r="W43" s="40">
        <f>СПРАВОЧНИК!$E$9*(('ФАКТ ЧЕРН К1'!B34)*СПРАВОЧНИК!$H$9+('ФАКТ ЧЕРН К1'!C34)*СПРАВОЧНИК!$I$9+('ФАКТ ЧЕРН К1'!D34)*СПРАВОЧНИК!$J$9)+СПРАВОЧНИК!$E$10*(('ФАКТ ЧЕРН К1'!E34)*СПРАВОЧНИК!$H$10+('ФАКТ ЧЕРН К1'!F34)*СПРАВОЧНИК!$I$10+('ФАКТ ЧЕРН К1'!G34)*СПРАВОЧНИК!$J$10)+СПРАВОЧНИК!$E$11*(('ФАКТ ЧЕРН К1'!H34)*СПРАВОЧНИК!$H$11+('ФАКТ ЧЕРН К1'!I34)*СПРАВОЧНИК!$I$11+('ФАКТ ЧЕРН К1'!J34)*СПРАВОЧНИК!$J$11)+СПРАВОЧНИК!$E$12*(('ФАКТ ЧЕРН К1'!K34)*СПРАВОЧНИК!$H$12+('ФАКТ ЧЕРН К1'!L34)*СПРАВОЧНИК!$I$12+('ФАКТ ЧЕРН К1'!M34)*СПРАВОЧНИК!$J$12)+СПРАВОЧНИК!$E$13*(('ФАКТ ЧЕРН К1'!N34)*СПРАВОЧНИК!$H$13+('ФАКТ ЧЕРН К1'!O34)*СПРАВОЧНИК!$I$13+('ФАКТ ЧЕРН К1'!P34)*СПРАВОЧНИК!$J$13)+СПРАВОЧНИК!$E$14*(('ФАКТ ЧЕРН К1'!Q34)*СПРАВОЧНИК!$H$14+('ФАКТ ЧЕРН К1'!R34)*СПРАВОЧНИК!$I$14+('ФАКТ ЧЕРН К1'!S34)*СПРАВОЧНИК!$J$14)+СПРАВОЧНИК!$E$15*(('ФАКТ ЧЕРН К1'!T34)*СПРАВОЧНИК!$H$15+('ФАКТ ЧЕРН К1'!U34)*СПРАВОЧНИК!$I$15+('ФАКТ ЧЕРН К1'!V34)*СПРАВОЧНИК!$J$15)+СПРАВОЧНИК!$F$9*(('ФАКТ ЧИСТ К1'!B34)*СПРАВОЧНИК!$L$9+('ФАКТ ЧИСТ К1'!C34)*СПРАВОЧНИК!$M$9+('ФАКТ ЧИСТ К1'!D34)*СПРАВОЧНИК!$N$9+('ФАКТ ЧИСТ К1'!E34)*СПРАВОЧНИК!$O$9)+СПРАВОЧНИК!$F$10*(('ФАКТ ЧИСТ К1'!F34)*СПРАВОЧНИК!$L$10+('ФАКТ ЧИСТ К1'!G34)*СПРАВОЧНИК!$M$10+('ФАКТ ЧИСТ К1'!H34)*СПРАВОЧНИК!$N$10)+СПРАВОЧНИК!$F$11*(('ФАКТ ЧИСТ К1'!I34)*СПРАВОЧНИК!$L$11+('ФАКТ ЧИСТ К1'!J34)*СПРАВОЧНИК!$M$11+('ФАКТ ЧИСТ К1'!K34)*СПРАВОЧНИК!$N$11)+СПРАВОЧНИК!$F$12*(('ФАКТ ЧИСТ К1'!L34)*СПРАВОЧНИК!$L$12+('ФАКТ ЧИСТ К1'!M34)*СПРАВОЧНИК!$M$12+('ФАКТ ЧИСТ К1'!N34)*СПРАВОЧНИК!$N$12)+СПРАВОЧНИК!$F$13*(('ФАКТ ЧИСТ К1'!O34)*СПРАВОЧНИК!$L$13+('ФАКТ ЧИСТ К1'!P34)*СПРАВОЧНИК!$M$13+('ФАКТ ЧИСТ К1'!Q34)*СПРАВОЧНИК!$N$13)+СПРАВОЧНИК!$F$14*(('ФАКТ ЧИСТ К1'!R34)*СПРАВОЧНИК!$L$14+('ФАКТ ЧИСТ К1'!S34)*СПРАВОЧНИК!$M$14+('ФАКТ ЧИСТ К1'!T34)*СПРАВОЧНИК!$N$14)+СПРАВОЧНИК!$F$15*(('ФАКТ ЧИСТ К1'!U34)*СПРАВОЧНИК!$L$15+('ФАКТ ЧИСТ К1'!V34)*СПРАВОЧНИК!$M$15+('ФАКТ ЧИСТ К1'!W34)*СПРАВОЧНИК!$N$15)</f>
        <v>0</v>
      </c>
      <c r="AA43" s="18">
        <f t="shared" si="16"/>
        <v>46377</v>
      </c>
      <c r="AB43" s="37">
        <f>'ПЛАН ЧЕРН К1'!B34*СПРАВОЧНИК!$H$9+'ПЛАН ЧЕРН К1'!C34*СПРАВОЧНИК!$I$9+'ПЛАН ЧЕРН К1'!D34*СПРАВОЧНИК!$J$9+'ПЛАН ЧЕРН К1'!E34*СПРАВОЧНИК!$H$10+'ПЛАН ЧЕРН К1'!F34*СПРАВОЧНИК!$I$10+'ПЛАН ЧЕРН К1'!G34*СПРАВОЧНИК!$J$10+'ПЛАН ЧЕРН К1'!H34*СПРАВОЧНИК!$H$11+'ПЛАН ЧЕРН К1'!I34*СПРАВОЧНИК!$I$11+'ПЛАН ЧЕРН К1'!J34*СПРАВОЧНИК!$J$11+'ПЛАН ЧЕРН К1'!K34*СПРАВОЧНИК!$H$12+'ПЛАН ЧЕРН К1'!L34*СПРАВОЧНИК!$I$12+'ПЛАН ЧЕРН К1'!M34*СПРАВОЧНИК!$J$12+'ПЛАН ЧЕРН К1'!N34*СПРАВОЧНИК!$H$13+'ПЛАН ЧЕРН К1'!O34*СПРАВОЧНИК!$I$13+'ПЛАН ЧЕРН К1'!P34*СПРАВОЧНИК!$J$13+'ПЛАН ЧЕРН К1'!Q34*СПРАВОЧНИК!$H$14+'ПЛАН ЧЕРН К1'!R34*СПРАВОЧНИК!$I$14+'ПЛАН ЧЕРН К1'!S34*СПРАВОЧНИК!$J$14+'ПЛАН ЧЕРН К1'!T34*СПРАВОЧНИК!$H$15+'ПЛАН ЧЕРН К1'!U34*СПРАВОЧНИК!$I$15+'ПЛАН ЧЕРН К1'!V34*СПРАВОЧНИК!$J$15</f>
        <v>0</v>
      </c>
      <c r="AC43" s="40">
        <f>('ФАКТ ЧЕРН К1'!B34)*СПРАВОЧНИК!$H$9+('ФАКТ ЧЕРН К1'!C34)*СПРАВОЧНИК!$I$9+('ФАКТ ЧЕРН К1'!D34)*СПРАВОЧНИК!$J$9+('ФАКТ ЧЕРН К1'!E34)*СПРАВОЧНИК!$H$10+('ФАКТ ЧЕРН К1'!F34)*СПРАВОЧНИК!$I$10+('ФАКТ ЧЕРН К1'!G34)*СПРАВОЧНИК!$J$10+('ФАКТ ЧЕРН К1'!H34)*СПРАВОЧНИК!$H$11+('ФАКТ ЧЕРН К1'!I34)*СПРАВОЧНИК!$I$11+('ФАКТ ЧЕРН К1'!J34)*СПРАВОЧНИК!$J$11+('ФАКТ ЧЕРН К1'!K34)*СПРАВОЧНИК!$H$12+('ФАКТ ЧЕРН К1'!L34)*СПРАВОЧНИК!$I$12+('ФАКТ ЧЕРН К1'!M34)*СПРАВОЧНИК!$J$12+('ФАКТ ЧЕРН К1'!N34)*СПРАВОЧНИК!$H$13+('ФАКТ ЧЕРН К1'!O34)*СПРАВОЧНИК!$I$13+('ФАКТ ЧЕРН К1'!P34)*СПРАВОЧНИК!$J$13+('ФАКТ ЧЕРН К1'!Q34)*СПРАВОЧНИК!$H$14+('ФАКТ ЧЕРН К1'!R34)*СПРАВОЧНИК!$I$14+('ФАКТ ЧЕРН К1'!S34)*СПРАВОЧНИК!$J$14+('ФАКТ ЧЕРН К1'!T34)*СПРАВОЧНИК!$H$15+('ФАКТ ЧЕРН К1'!U34)*СПРАВОЧНИК!$I$15+('ФАКТ ЧЕРН К1'!V34)*СПРАВОЧНИК!$J$15</f>
        <v>0</v>
      </c>
      <c r="AG43" s="18">
        <f t="shared" si="17"/>
        <v>46377</v>
      </c>
      <c r="AH43" s="37">
        <f>'ПЛАН ЧИСТ К1'!B34*СПРАВОЧНИК!$L$9+'ПЛАН ЧИСТ К1'!C34*СПРАВОЧНИК!$M$9+'ПЛАН ЧИСТ К1'!D34*СПРАВОЧНИК!$N$9+'ПЛАН ЧИСТ К1'!E34*СПРАВОЧНИК!$O$9+'ПЛАН ЧИСТ К1'!F34*СПРАВОЧНИК!$L$10+'ПЛАН ЧИСТ К1'!G34*СПРАВОЧНИК!$M$10+'ПЛАН ЧИСТ К1'!H34*СПРАВОЧНИК!$N$10+'ПЛАН ЧИСТ К1'!I34*СПРАВОЧНИК!$L$11+'ПЛАН ЧИСТ К1'!J34*СПРАВОЧНИК!$M$11+'ПЛАН ЧИСТ К1'!K34*СПРАВОЧНИК!$N$11+'ПЛАН ЧИСТ К1'!L34*СПРАВОЧНИК!$L$12+'ПЛАН ЧИСТ К1'!M34*СПРАВОЧНИК!$M$12+'ПЛАН ЧИСТ К1'!N34*СПРАВОЧНИК!$N$12+'ПЛАН ЧИСТ К1'!O34*СПРАВОЧНИК!$L$13+'ПЛАН ЧИСТ К1'!P34*СПРАВОЧНИК!$M$13+'ПЛАН ЧИСТ К1'!Q34*СПРАВОЧНИК!$N$13+'ПЛАН ЧИСТ К1'!R34*СПРАВОЧНИК!$L$14+'ПЛАН ЧИСТ К1'!S34*СПРАВОЧНИК!$M$14+'ПЛАН ЧИСТ К1'!T34*СПРАВОЧНИК!$N$14+'ПЛАН ЧИСТ К1'!U34*СПРАВОЧНИК!$L$15+'ПЛАН ЧИСТ К1'!V34*СПРАВОЧНИК!$M$15+'ПЛАН ЧИСТ К1'!W34*СПРАВОЧНИК!$N$15</f>
        <v>0</v>
      </c>
      <c r="AI43" s="40">
        <f>('ФАКТ ЧИСТ К1'!B34)*СПРАВОЧНИК!$L$9+('ФАКТ ЧИСТ К1'!C34)*СПРАВОЧНИК!$M$9+('ФАКТ ЧИСТ К1'!D34)*СПРАВОЧНИК!$N$9+('ФАКТ ЧИСТ К1'!E34)*СПРАВОЧНИК!$O$9+('ФАКТ ЧИСТ К1'!F34)*СПРАВОЧНИК!$L$10+('ФАКТ ЧИСТ К1'!G34)*СПРАВОЧНИК!$M$10+('ФАКТ ЧИСТ К1'!H34)*СПРАВОЧНИК!$N$10+('ФАКТ ЧИСТ К1'!I34)*СПРАВОЧНИК!$L$11+('ФАКТ ЧИСТ К1'!J34)*СПРАВОЧНИК!$M$11+('ФАКТ ЧИСТ К1'!K34)*СПРАВОЧНИК!$N$11+('ФАКТ ЧИСТ К1'!L34)*СПРАВОЧНИК!$L$12+('ФАКТ ЧИСТ К1'!M34)*СПРАВОЧНИК!$M$12+('ФАКТ ЧИСТ К1'!N34)*СПРАВОЧНИК!$N$12+('ФАКТ ЧИСТ К1'!O34)*СПРАВОЧНИК!$L$13+('ФАКТ ЧИСТ К1'!P34)*СПРАВОЧНИК!$M$13+('ФАКТ ЧИСТ К1'!Q34)*СПРАВОЧНИК!$N$13+('ФАКТ ЧИСТ К1'!R34)*СПРАВОЧНИК!$L$14+('ФАКТ ЧИСТ К1'!S34)*СПРАВОЧНИК!$M$14+('ФАКТ ЧИСТ К1'!T34)*СПРАВОЧНИК!$N$14+('ФАКТ ЧИСТ К1'!U34)*СПРАВОЧНИК!$L$15+('ФАКТ ЧИСТ К1'!V34)*СПРАВОЧНИК!$M$15+('ФАКТ ЧИСТ К1'!W34)*СПРАВОЧНИК!$N$15</f>
        <v>0</v>
      </c>
      <c r="AM43" s="18">
        <f t="shared" si="18"/>
        <v>46377</v>
      </c>
      <c r="AN43" s="37">
        <f>СПРАВОЧНИК!$E$9*('ПЛАН ЧЕРН К2'!B34*СПРАВОЧНИК!$H$9+'ПЛАН ЧЕРН К2'!C34*СПРАВОЧНИК!$I$9+'ПЛАН ЧЕРН К2'!D34*СПРАВОЧНИК!$J$9)+СПРАВОЧНИК!$E$10*('ПЛАН ЧЕРН К2'!E34*СПРАВОЧНИК!$H$10+'ПЛАН ЧЕРН К2'!F34*СПРАВОЧНИК!$I$10+'ПЛАН ЧЕРН К2'!G34*СПРАВОЧНИК!$J$10)+СПРАВОЧНИК!$E$11*('ПЛАН ЧЕРН К2'!H34*СПРАВОЧНИК!$H$11+'ПЛАН ЧЕРН К2'!I34*СПРАВОЧНИК!$I$11+'ПЛАН ЧЕРН К2'!J34*СПРАВОЧНИК!$J$11)+СПРАВОЧНИК!$E$12*('ПЛАН ЧЕРН К2'!K34*СПРАВОЧНИК!$H$12+'ПЛАН ЧЕРН К2'!L34*СПРАВОЧНИК!$I$12+'ПЛАН ЧЕРН К2'!M34*СПРАВОЧНИК!$J$12)+СПРАВОЧНИК!$E$13*('ПЛАН ЧЕРН К2'!N34*СПРАВОЧНИК!$H$13+'ПЛАН ЧЕРН К2'!O34*СПРАВОЧНИК!$I$13+'ПЛАН ЧЕРН К2'!P34*СПРАВОЧНИК!$J$13)+СПРАВОЧНИК!$E$14*('ПЛАН ЧЕРН К2'!Q34*СПРАВОЧНИК!$H$14+'ПЛАН ЧЕРН К2'!R34*СПРАВОЧНИК!$I$14+'ПЛАН ЧЕРН К2'!S34*СПРАВОЧНИК!$J$14)+СПРАВОЧНИК!$E$15*('ПЛАН ЧЕРН К2'!T34*СПРАВОЧНИК!$H$15+'ПЛАН ЧЕРН К2'!U34*СПРАВОЧНИК!$I$15+'ПЛАН ЧЕРН К2'!V34*СПРАВОЧНИК!$J$15)+СПРАВОЧНИК!$F$9*('ПЛАН ЧИСТ К2'!B34*СПРАВОЧНИК!$L$9+'ПЛАН ЧИСТ К2'!C34*СПРАВОЧНИК!$M$9+'ПЛАН ЧИСТ К2'!D34*СПРАВОЧНИК!$N$9+'ПЛАН ЧИСТ К2'!E34*СПРАВОЧНИК!$O$9)+СПРАВОЧНИК!$F$10*('ПЛАН ЧИСТ К2'!F34*СПРАВОЧНИК!$L$10+'ПЛАН ЧИСТ К2'!G34*СПРАВОЧНИК!$M$10+'ПЛАН ЧИСТ К2'!H34*СПРАВОЧНИК!$N$10)+СПРАВОЧНИК!$F$11*('ПЛАН ЧИСТ К2'!I34*СПРАВОЧНИК!$L$11+'ПЛАН ЧИСТ К2'!J34*СПРАВОЧНИК!$M$11+'ПЛАН ЧИСТ К2'!K34*СПРАВОЧНИК!$N$11)+СПРАВОЧНИК!$F$12*('ПЛАН ЧИСТ К2'!L34*СПРАВОЧНИК!$L$12+'ПЛАН ЧИСТ К2'!M34*СПРАВОЧНИК!$M$12+'ПЛАН ЧИСТ К2'!N34*СПРАВОЧНИК!$N$12)+СПРАВОЧНИК!$F$13*('ПЛАН ЧИСТ К2'!O34*СПРАВОЧНИК!$L$13+'ПЛАН ЧИСТ К2'!P34*СПРАВОЧНИК!$M$13+'ПЛАН ЧИСТ К2'!Q34*СПРАВОЧНИК!$N$13)+СПРАВОЧНИК!$F$14*('ПЛАН ЧИСТ К2'!R34*СПРАВОЧНИК!$L$14+'ПЛАН ЧИСТ К2'!S34*СПРАВОЧНИК!$M$14+'ПЛАН ЧИСТ К2'!T34*СПРАВОЧНИК!$N$14)+СПРАВОЧНИК!$F$15*('ПЛАН ЧИСТ К2'!U34*СПРАВОЧНИК!$L$15+'ПЛАН ЧИСТ К2'!V34*СПРАВОЧНИК!$M$15+'ПЛАН ЧИСТ К2'!W34*СПРАВОЧНИК!$N$15)</f>
        <v>0</v>
      </c>
      <c r="AO43" s="40">
        <f>СПРАВОЧНИК!$E$9*(('ФАКТ ЧЕРН К2'!B34)*СПРАВОЧНИК!$H$9+('ФАКТ ЧЕРН К2'!C34)*СПРАВОЧНИК!$I$9+('ФАКТ ЧЕРН К2'!D34)*СПРАВОЧНИК!$J$9)+СПРАВОЧНИК!$E$10*(('ФАКТ ЧЕРН К2'!E34)*СПРАВОЧНИК!$H$10+('ФАКТ ЧЕРН К2'!F34)*СПРАВОЧНИК!$I$10+('ФАКТ ЧЕРН К2'!G34)*СПРАВОЧНИК!$J$10)+СПРАВОЧНИК!$E$11*(('ФАКТ ЧЕРН К2'!H34)*СПРАВОЧНИК!$H$11+('ФАКТ ЧЕРН К2'!I34)*СПРАВОЧНИК!$I$11+('ФАКТ ЧЕРН К2'!J34)*СПРАВОЧНИК!$J$11)+СПРАВОЧНИК!$E$12*(('ФАКТ ЧЕРН К2'!K34)*СПРАВОЧНИК!$H$12+('ФАКТ ЧЕРН К2'!L34)*СПРАВОЧНИК!$I$12+('ФАКТ ЧЕРН К2'!M34)*СПРАВОЧНИК!$J$12)+СПРАВОЧНИК!$E$13*(('ФАКТ ЧЕРН К2'!N34)*СПРАВОЧНИК!$H$13+('ФАКТ ЧЕРН К2'!O34)*СПРАВОЧНИК!$I$13+('ФАКТ ЧЕРН К2'!P34)*СПРАВОЧНИК!$J$13)+СПРАВОЧНИК!$E$14*(('ФАКТ ЧЕРН К2'!Q34)*СПРАВОЧНИК!$H$14+('ФАКТ ЧЕРН К2'!R34)*СПРАВОЧНИК!$I$14+('ФАКТ ЧЕРН К2'!S34)*СПРАВОЧНИК!$J$14)+СПРАВОЧНИК!$E$15*(('ФАКТ ЧЕРН К2'!T34)*СПРАВОЧНИК!$H$15+('ФАКТ ЧЕРН К2'!U34)*СПРАВОЧНИК!$I$15+('ФАКТ ЧЕРН К2'!V34)*СПРАВОЧНИК!$J$15)+СПРАВОЧНИК!$F$9*(('ФАКТ ЧИСТ К2'!B34)*СПРАВОЧНИК!$L$9+('ФАКТ ЧИСТ К2'!C34)*СПРАВОЧНИК!$M$9+('ФАКТ ЧИСТ К2'!D34)*СПРАВОЧНИК!$N$9+('ФАКТ ЧИСТ К2'!E34)*СПРАВОЧНИК!$O$9)+СПРАВОЧНИК!$F$10*(('ФАКТ ЧИСТ К2'!F34)*СПРАВОЧНИК!$L$10+('ФАКТ ЧИСТ К2'!G34)*СПРАВОЧНИК!$M$10+('ФАКТ ЧИСТ К2'!H34)*СПРАВОЧНИК!$N$10)+СПРАВОЧНИК!$F$11*(('ФАКТ ЧИСТ К2'!I34)*СПРАВОЧНИК!$L$11+('ФАКТ ЧИСТ К2'!J34)*СПРАВОЧНИК!$M$11+('ФАКТ ЧИСТ К2'!K34)*СПРАВОЧНИК!$N$11)+СПРАВОЧНИК!$F$12*(('ФАКТ ЧИСТ К2'!L34)*СПРАВОЧНИК!$L$12+('ФАКТ ЧИСТ К2'!M34)*СПРАВОЧНИК!$M$12+('ФАКТ ЧИСТ К2'!N34)*СПРАВОЧНИК!$N$12)+СПРАВОЧНИК!$F$13*(('ФАКТ ЧИСТ К2'!O34)*СПРАВОЧНИК!$L$13+('ФАКТ ЧИСТ К2'!P34)*СПРАВОЧНИК!$M$13+('ФАКТ ЧИСТ К2'!Q34)*СПРАВОЧНИК!$N$13)+СПРАВОЧНИК!$F$14*(('ФАКТ ЧИСТ К2'!R34)*СПРАВОЧНИК!$L$14+('ФАКТ ЧИСТ К2'!S34)*СПРАВОЧНИК!$M$14+('ФАКТ ЧИСТ К2'!T34)*СПРАВОЧНИК!$N$14)+СПРАВОЧНИК!$F$15*(('ФАКТ ЧИСТ К2'!U34)*СПРАВОЧНИК!$L$15+('ФАКТ ЧИСТ К2'!V34)*СПРАВОЧНИК!$M$15+('ФАКТ ЧИСТ К2'!W34)*СПРАВОЧНИК!$N$15)</f>
        <v>0</v>
      </c>
      <c r="AS43" s="18">
        <f t="shared" si="19"/>
        <v>46377</v>
      </c>
      <c r="AT43" s="37">
        <f>'ПЛАН ЧЕРН К2'!B34*СПРАВОЧНИК!$H$9+'ПЛАН ЧЕРН К2'!C34*СПРАВОЧНИК!$I$9+'ПЛАН ЧЕРН К2'!D34*СПРАВОЧНИК!$J$9+'ПЛАН ЧЕРН К2'!E34*СПРАВОЧНИК!$H$10+'ПЛАН ЧЕРН К2'!F34*СПРАВОЧНИК!$I$10+'ПЛАН ЧЕРН К2'!G34*СПРАВОЧНИК!$J$10+'ПЛАН ЧЕРН К2'!H34*СПРАВОЧНИК!$H$11+'ПЛАН ЧЕРН К2'!I34*СПРАВОЧНИК!$I$11+'ПЛАН ЧЕРН К2'!J34*СПРАВОЧНИК!$J$11+'ПЛАН ЧЕРН К2'!K34*СПРАВОЧНИК!$H$12+'ПЛАН ЧЕРН К2'!L34*СПРАВОЧНИК!$I$12+'ПЛАН ЧЕРН К2'!M34*СПРАВОЧНИК!$J$12+'ПЛАН ЧЕРН К2'!N34*СПРАВОЧНИК!$H$13+'ПЛАН ЧЕРН К2'!O34*СПРАВОЧНИК!$I$13+'ПЛАН ЧЕРН К2'!P34*СПРАВОЧНИК!$J$13+'ПЛАН ЧЕРН К2'!Q34*СПРАВОЧНИК!$H$14+'ПЛАН ЧЕРН К2'!R34*СПРАВОЧНИК!$I$14+'ПЛАН ЧЕРН К2'!S34*СПРАВОЧНИК!$J$14+'ПЛАН ЧЕРН К2'!T34*СПРАВОЧНИК!$H$15+'ПЛАН ЧЕРН К2'!U34*СПРАВОЧНИК!$I$15+'ПЛАН ЧЕРН К2'!V34*СПРАВОЧНИК!$J$15</f>
        <v>0</v>
      </c>
      <c r="AU43" s="40">
        <f>('ФАКТ ЧЕРН К2'!B34)*СПРАВОЧНИК!$H$9+('ФАКТ ЧЕРН К2'!C34)*СПРАВОЧНИК!$I$9+('ФАКТ ЧЕРН К2'!D34)*СПРАВОЧНИК!$J$9+('ФАКТ ЧЕРН К2'!E34)*СПРАВОЧНИК!$H$10+('ФАКТ ЧЕРН К2'!F34)*СПРАВОЧНИК!$I$10+('ФАКТ ЧЕРН К2'!G34)*СПРАВОЧНИК!$J$10+('ФАКТ ЧЕРН К2'!H34)*СПРАВОЧНИК!$H$11+('ФАКТ ЧЕРН К2'!I34)*СПРАВОЧНИК!$I$11+('ФАКТ ЧЕРН К2'!J34)*СПРАВОЧНИК!$J$11+('ФАКТ ЧЕРН К2'!K34)*СПРАВОЧНИК!$H$12+('ФАКТ ЧЕРН К2'!L34)*СПРАВОЧНИК!$I$12+('ФАКТ ЧЕРН К2'!M34)*СПРАВОЧНИК!$J$12+('ФАКТ ЧЕРН К2'!N34)*СПРАВОЧНИК!$H$13+('ФАКТ ЧЕРН К2'!O34)*СПРАВОЧНИК!$I$13+('ФАКТ ЧЕРН К2'!P34)*СПРАВОЧНИК!$J$13+('ФАКТ ЧЕРН К2'!Q34)*СПРАВОЧНИК!$H$14+('ФАКТ ЧЕРН К2'!R34)*СПРАВОЧНИК!$I$14+('ФАКТ ЧЕРН К2'!S34)*СПРАВОЧНИК!$J$14+('ФАКТ ЧЕРН К2'!T34)*СПРАВОЧНИК!$H$15+('ФАКТ ЧЕРН К2'!U34)*СПРАВОЧНИК!$I$15+('ФАКТ ЧЕРН К2'!V34)*СПРАВОЧНИК!$J$15</f>
        <v>0</v>
      </c>
      <c r="AY43" s="18">
        <f t="shared" si="20"/>
        <v>46377</v>
      </c>
      <c r="AZ43" s="37">
        <f>'ПЛАН ЧИСТ К2'!B34*СПРАВОЧНИК!$L$9+'ПЛАН ЧИСТ К2'!C34*СПРАВОЧНИК!$M$9+'ПЛАН ЧИСТ К2'!D34*СПРАВОЧНИК!$N$9+'ПЛАН ЧИСТ К2'!E34*СПРАВОЧНИК!$O$9+'ПЛАН ЧИСТ К2'!F34*СПРАВОЧНИК!$L$10+'ПЛАН ЧИСТ К2'!G34*СПРАВОЧНИК!$M$10+'ПЛАН ЧИСТ К2'!H34*СПРАВОЧНИК!$N$10+'ПЛАН ЧИСТ К2'!I34*СПРАВОЧНИК!$L$11+'ПЛАН ЧИСТ К2'!J34*СПРАВОЧНИК!$M$11+'ПЛАН ЧИСТ К2'!K34*СПРАВОЧНИК!$N$11+'ПЛАН ЧИСТ К2'!L34*СПРАВОЧНИК!$L$12+'ПЛАН ЧИСТ К2'!M34*СПРАВОЧНИК!$M$12+'ПЛАН ЧИСТ К2'!N34*СПРАВОЧНИК!$N$12+'ПЛАН ЧИСТ К2'!O34*СПРАВОЧНИК!$L$13+'ПЛАН ЧИСТ К2'!P34*СПРАВОЧНИК!$M$13+'ПЛАН ЧИСТ К2'!Q34*СПРАВОЧНИК!$N$13+'ПЛАН ЧИСТ К2'!R34*СПРАВОЧНИК!$L$14+'ПЛАН ЧИСТ К2'!S34*СПРАВОЧНИК!$M$14+'ПЛАН ЧИСТ К2'!T34*СПРАВОЧНИК!$N$14+'ПЛАН ЧИСТ К2'!U34*СПРАВОЧНИК!$L$15+'ПЛАН ЧИСТ К2'!V34*СПРАВОЧНИК!$M$15+'ПЛАН ЧИСТ К2'!W34*СПРАВОЧНИК!$N$15</f>
        <v>0</v>
      </c>
      <c r="BA43" s="40">
        <f>('ФАКТ ЧИСТ К2'!B34)*СПРАВОЧНИК!$L$9+('ФАКТ ЧИСТ К2'!C34)*СПРАВОЧНИК!$M$9+('ФАКТ ЧИСТ К2'!D34)*СПРАВОЧНИК!$N$9+('ФАКТ ЧИСТ К2'!E34)*СПРАВОЧНИК!$O$9+('ФАКТ ЧИСТ К2'!F34)*СПРАВОЧНИК!$L$10+('ФАКТ ЧИСТ К2'!G34)*СПРАВОЧНИК!$M$10+('ФАКТ ЧИСТ К2'!H34)*СПРАВОЧНИК!$N$10+('ФАКТ ЧИСТ К2'!I34)*СПРАВОЧНИК!$L$11+('ФАКТ ЧИСТ К2'!J34)*СПРАВОЧНИК!$M$11+('ФАКТ ЧИСТ К2'!K34)*СПРАВОЧНИК!$N$11+('ФАКТ ЧИСТ К2'!L34)*СПРАВОЧНИК!$L$12+('ФАКТ ЧИСТ К2'!M34)*СПРАВОЧНИК!$M$12+('ФАКТ ЧИСТ К2'!N34)*СПРАВОЧНИК!$N$12+('ФАКТ ЧИСТ К2'!O34)*СПРАВОЧНИК!$L$13+('ФАКТ ЧИСТ К2'!P34)*СПРАВОЧНИК!$M$13+('ФАКТ ЧИСТ К2'!Q34)*СПРАВОЧНИК!$N$13+('ФАКТ ЧИСТ К2'!R34)*СПРАВОЧНИК!$L$14+('ФАКТ ЧИСТ К2'!S34)*СПРАВОЧНИК!$M$14+('ФАКТ ЧИСТ К2'!T34)*СПРАВОЧНИК!$N$14+('ФАКТ ЧИСТ К2'!U34)*СПРАВОЧНИК!$L$15+('ФАКТ ЧИСТ К2'!V34)*СПРАВОЧНИК!$M$15+('ФАКТ ЧИСТ К2'!W34)*СПРАВОЧНИК!$N$15</f>
        <v>0</v>
      </c>
      <c r="BE43" s="18">
        <f t="shared" si="21"/>
        <v>46377</v>
      </c>
      <c r="BF43" s="37">
        <f>СПРАВОЧНИК!$E$9*('ПЛАН ЧЕРН К3'!B34*СПРАВОЧНИК!$H$9+'ПЛАН ЧЕРН К3'!C34*СПРАВОЧНИК!$I$9+'ПЛАН ЧЕРН К3'!D34*СПРАВОЧНИК!$J$9)+СПРАВОЧНИК!$E$10*('ПЛАН ЧЕРН К3'!E34*СПРАВОЧНИК!$H$10+'ПЛАН ЧЕРН К3'!F34*СПРАВОЧНИК!$I$10+'ПЛАН ЧЕРН К3'!G34*СПРАВОЧНИК!$J$10)+СПРАВОЧНИК!$E$11*('ПЛАН ЧЕРН К3'!H34*СПРАВОЧНИК!$H$11+'ПЛАН ЧЕРН К3'!I34*СПРАВОЧНИК!$I$11+'ПЛАН ЧЕРН К3'!J34*СПРАВОЧНИК!$J$11)+СПРАВОЧНИК!$E$12*('ПЛАН ЧЕРН К3'!K34*СПРАВОЧНИК!$H$12+'ПЛАН ЧЕРН К3'!L34*СПРАВОЧНИК!$I$12+'ПЛАН ЧЕРН К3'!M34*СПРАВОЧНИК!$J$12)+СПРАВОЧНИК!$E$13*('ПЛАН ЧЕРН К3'!N34*СПРАВОЧНИК!$H$13+'ПЛАН ЧЕРН К3'!O34*СПРАВОЧНИК!$I$13+'ПЛАН ЧЕРН К3'!P34*СПРАВОЧНИК!$J$13)+СПРАВОЧНИК!$E$14*('ПЛАН ЧЕРН К3'!Q34*СПРАВОЧНИК!$H$14+'ПЛАН ЧЕРН К3'!R34*СПРАВОЧНИК!$I$14+'ПЛАН ЧЕРН К3'!S34*СПРАВОЧНИК!$J$14)+СПРАВОЧНИК!$E$15*('ПЛАН ЧЕРН К3'!T34*СПРАВОЧНИК!$H$15+'ПЛАН ЧЕРН К3'!U34*СПРАВОЧНИК!$I$15+'ПЛАН ЧЕРН К3'!V34*СПРАВОЧНИК!$J$15)+СПРАВОЧНИК!$F$9*('ПЛАН ЧИСТ К3'!B34*СПРАВОЧНИК!$L$9+'ПЛАН ЧИСТ К3'!C34*СПРАВОЧНИК!$M$9+'ПЛАН ЧИСТ К3'!D34*СПРАВОЧНИК!$N$9+'ПЛАН ЧИСТ К3'!E34*СПРАВОЧНИК!$O$9)+СПРАВОЧНИК!$F$10*('ПЛАН ЧИСТ К3'!F34*СПРАВОЧНИК!$L$10+'ПЛАН ЧИСТ К3'!G34*СПРАВОЧНИК!$M$10+'ПЛАН ЧИСТ К3'!H34*СПРАВОЧНИК!$N$10)+СПРАВОЧНИК!$F$11*('ПЛАН ЧИСТ К3'!I34*СПРАВОЧНИК!$L$11+'ПЛАН ЧИСТ К3'!J34*СПРАВОЧНИК!$M$11+'ПЛАН ЧИСТ К3'!K34*СПРАВОЧНИК!$N$11)+СПРАВОЧНИК!$F$12*('ПЛАН ЧИСТ К3'!L34*СПРАВОЧНИК!$L$12+'ПЛАН ЧИСТ К3'!M34*СПРАВОЧНИК!$M$12+'ПЛАН ЧИСТ К3'!N34*СПРАВОЧНИК!$N$12)+СПРАВОЧНИК!$F$13*('ПЛАН ЧИСТ К3'!O34*СПРАВОЧНИК!$L$13+'ПЛАН ЧИСТ К3'!P34*СПРАВОЧНИК!$M$13+'ПЛАН ЧИСТ К3'!Q34*СПРАВОЧНИК!$N$13)+СПРАВОЧНИК!$F$14*('ПЛАН ЧИСТ К3'!R34*СПРАВОЧНИК!$L$14+'ПЛАН ЧИСТ К3'!S34*СПРАВОЧНИК!$M$14+'ПЛАН ЧИСТ К3'!T34*СПРАВОЧНИК!$N$14)+СПРАВОЧНИК!$F$15*('ПЛАН ЧИСТ К3'!U34*СПРАВОЧНИК!$L$15+'ПЛАН ЧИСТ К3'!V34*СПРАВОЧНИК!$M$15+'ПЛАН ЧИСТ К3'!W34*СПРАВОЧНИК!$N$15)</f>
        <v>0</v>
      </c>
      <c r="BG43" s="40">
        <f>СПРАВОЧНИК!$E$9*(('ФАКТ ЧЕРН К3'!B34)*СПРАВОЧНИК!$H$9+('ФАКТ ЧЕРН К3'!C34)*СПРАВОЧНИК!$I$9+('ФАКТ ЧЕРН К3'!D34)*СПРАВОЧНИК!$J$9)+СПРАВОЧНИК!$E$10*(('ФАКТ ЧЕРН К3'!E34)*СПРАВОЧНИК!$H$10+('ФАКТ ЧЕРН К3'!F34)*СПРАВОЧНИК!$I$10+('ФАКТ ЧЕРН К3'!G34)*СПРАВОЧНИК!$J$10)+СПРАВОЧНИК!$E$11*(('ФАКТ ЧЕРН К3'!H34)*СПРАВОЧНИК!$H$11+('ФАКТ ЧЕРН К3'!I34)*СПРАВОЧНИК!$I$11+('ФАКТ ЧЕРН К3'!J34)*СПРАВОЧНИК!$J$11)+СПРАВОЧНИК!$E$12*(('ФАКТ ЧЕРН К3'!K34)*СПРАВОЧНИК!$H$12+('ФАКТ ЧЕРН К3'!L34)*СПРАВОЧНИК!$I$12+('ФАКТ ЧЕРН К3'!M34)*СПРАВОЧНИК!$J$12)+СПРАВОЧНИК!$E$13*(('ФАКТ ЧЕРН К3'!N34)*СПРАВОЧНИК!$H$13+('ФАКТ ЧЕРН К3'!O34)*СПРАВОЧНИК!$I$13+('ФАКТ ЧЕРН К3'!P34)*СПРАВОЧНИК!$J$13)+СПРАВОЧНИК!$E$14*(('ФАКТ ЧЕРН К3'!Q34)*СПРАВОЧНИК!$H$14+('ФАКТ ЧЕРН К3'!R34)*СПРАВОЧНИК!$I$14+('ФАКТ ЧЕРН К3'!S34)*СПРАВОЧНИК!$J$14)+СПРАВОЧНИК!$E$15*(('ФАКТ ЧЕРН К3'!T34)*СПРАВОЧНИК!$H$15+('ФАКТ ЧЕРН К3'!U34)*СПРАВОЧНИК!$I$15+('ФАКТ ЧЕРН К3'!V34)*СПРАВОЧНИК!$J$15)+СПРАВОЧНИК!$F$9*(('ФАКТ ЧИСТ К3'!B34)*СПРАВОЧНИК!$L$9+('ФАКТ ЧИСТ К3'!C34)*СПРАВОЧНИК!$M$9+('ФАКТ ЧИСТ К3'!D34)*СПРАВОЧНИК!$N$9+('ФАКТ ЧИСТ К3'!E34)*СПРАВОЧНИК!$O$9)+СПРАВОЧНИК!$F$10*(('ФАКТ ЧИСТ К3'!F34)*СПРАВОЧНИК!$L$10+('ФАКТ ЧИСТ К3'!G34)*СПРАВОЧНИК!$M$10+('ФАКТ ЧИСТ К3'!H34)*СПРАВОЧНИК!$N$10)+СПРАВОЧНИК!$F$11*(('ФАКТ ЧИСТ К3'!I34)*СПРАВОЧНИК!$L$11+('ФАКТ ЧИСТ К3'!J34)*СПРАВОЧНИК!$M$11+('ФАКТ ЧИСТ К3'!K34)*СПРАВОЧНИК!$N$11)+СПРАВОЧНИК!$F$12*(('ФАКТ ЧИСТ К3'!L34)*СПРАВОЧНИК!$L$12+('ФАКТ ЧИСТ К3'!M34)*СПРАВОЧНИК!$M$12+('ФАКТ ЧИСТ К3'!N34)*СПРАВОЧНИК!$N$12)+СПРАВОЧНИК!$F$13*(('ФАКТ ЧИСТ К3'!O34)*СПРАВОЧНИК!$L$13+('ФАКТ ЧИСТ К3'!P34)*СПРАВОЧНИК!$M$13+('ФАКТ ЧИСТ К3'!Q34)*СПРАВОЧНИК!$N$13)+СПРАВОЧНИК!$F$14*(('ФАКТ ЧИСТ К3'!R34)*СПРАВОЧНИК!$L$14+('ФАКТ ЧИСТ К3'!S34)*СПРАВОЧНИК!$M$14+('ФАКТ ЧИСТ К3'!T34)*СПРАВОЧНИК!$N$14)+СПРАВОЧНИК!$F$15*(('ФАКТ ЧИСТ К3'!U34)*СПРАВОЧНИК!$L$15+('ФАКТ ЧИСТ К3'!V34)*СПРАВОЧНИК!$M$15+('ФАКТ ЧИСТ К3'!W34)*СПРАВОЧНИК!$N$15)</f>
        <v>0</v>
      </c>
      <c r="BK43" s="18">
        <f t="shared" si="22"/>
        <v>46377</v>
      </c>
      <c r="BL43" s="37">
        <f>'ПЛАН ЧЕРН К3'!B34*СПРАВОЧНИК!$H$9+'ПЛАН ЧЕРН К3'!C34*СПРАВОЧНИК!$I$9+'ПЛАН ЧЕРН К3'!D34*СПРАВОЧНИК!$J$9+'ПЛАН ЧЕРН К3'!E34*СПРАВОЧНИК!$H$10+'ПЛАН ЧЕРН К3'!F34*СПРАВОЧНИК!$I$10+'ПЛАН ЧЕРН К3'!G34*СПРАВОЧНИК!$J$10+'ПЛАН ЧЕРН К3'!H34*СПРАВОЧНИК!$H$11+'ПЛАН ЧЕРН К3'!I34*СПРАВОЧНИК!$I$11+'ПЛАН ЧЕРН К3'!J34*СПРАВОЧНИК!$J$11+'ПЛАН ЧЕРН К3'!K34*СПРАВОЧНИК!$H$12+'ПЛАН ЧЕРН К3'!L34*СПРАВОЧНИК!$I$12+'ПЛАН ЧЕРН К3'!M34*СПРАВОЧНИК!$J$12+'ПЛАН ЧЕРН К3'!N34*СПРАВОЧНИК!$H$13+'ПЛАН ЧЕРН К3'!O34*СПРАВОЧНИК!$I$13+'ПЛАН ЧЕРН К3'!P34*СПРАВОЧНИК!$J$13+'ПЛАН ЧЕРН К3'!Q34*СПРАВОЧНИК!$H$14+'ПЛАН ЧЕРН К3'!R34*СПРАВОЧНИК!$I$14+'ПЛАН ЧЕРН К3'!S34*СПРАВОЧНИК!$J$14+'ПЛАН ЧЕРН К3'!T34*СПРАВОЧНИК!$H$15+'ПЛАН ЧЕРН К3'!U34*СПРАВОЧНИК!$I$15+'ПЛАН ЧЕРН К3'!V34*СПРАВОЧНИК!$J$15</f>
        <v>0</v>
      </c>
      <c r="BM43" s="40">
        <f>('ФАКТ ЧЕРН К3'!B34)*СПРАВОЧНИК!$H$9+('ФАКТ ЧЕРН К3'!C34)*СПРАВОЧНИК!$I$9+('ФАКТ ЧЕРН К3'!D34)*СПРАВОЧНИК!$J$9+('ФАКТ ЧЕРН К3'!E34)*СПРАВОЧНИК!$H$10+('ФАКТ ЧЕРН К3'!F34)*СПРАВОЧНИК!$I$10+('ФАКТ ЧЕРН К3'!G34)*СПРАВОЧНИК!$J$10+('ФАКТ ЧЕРН К3'!H34)*СПРАВОЧНИК!$H$11+('ФАКТ ЧЕРН К3'!I34)*СПРАВОЧНИК!$I$11+('ФАКТ ЧЕРН К3'!J34)*СПРАВОЧНИК!$J$11+('ФАКТ ЧЕРН К3'!K34)*СПРАВОЧНИК!$H$12+('ФАКТ ЧЕРН К3'!L34)*СПРАВОЧНИК!$I$12+('ФАКТ ЧЕРН К3'!M34)*СПРАВОЧНИК!$J$12+('ФАКТ ЧЕРН К3'!N34)*СПРАВОЧНИК!$H$13+('ФАКТ ЧЕРН К3'!O34)*СПРАВОЧНИК!$I$13+('ФАКТ ЧЕРН К3'!P34)*СПРАВОЧНИК!$J$13+('ФАКТ ЧЕРН К3'!Q34)*СПРАВОЧНИК!$H$14+('ФАКТ ЧЕРН К3'!R34)*СПРАВОЧНИК!$I$14+('ФАКТ ЧЕРН К3'!S34)*СПРАВОЧНИК!$J$14+('ФАКТ ЧЕРН К3'!T34)*СПРАВОЧНИК!$H$15+('ФАКТ ЧЕРН К3'!U34)*СПРАВОЧНИК!$I$15+('ФАКТ ЧЕРН К3'!V34)*СПРАВОЧНИК!$J$15</f>
        <v>0</v>
      </c>
      <c r="BQ43" s="18">
        <f t="shared" si="23"/>
        <v>46377</v>
      </c>
      <c r="BR43" s="37">
        <f>'ПЛАН ЧИСТ К3'!B34*СПРАВОЧНИК!$L$9+'ПЛАН ЧИСТ К3'!C34*СПРАВОЧНИК!$M$9+'ПЛАН ЧИСТ К3'!D34*СПРАВОЧНИК!$N$9+'ПЛАН ЧИСТ К3'!E34*СПРАВОЧНИК!$O$9+'ПЛАН ЧИСТ К3'!F34*СПРАВОЧНИК!$L$10+'ПЛАН ЧИСТ К3'!G34*СПРАВОЧНИК!$M$10+'ПЛАН ЧИСТ К3'!H34*СПРАВОЧНИК!$N$10+'ПЛАН ЧИСТ К3'!I34*СПРАВОЧНИК!$L$11+'ПЛАН ЧИСТ К3'!J34*СПРАВОЧНИК!$M$11+'ПЛАН ЧИСТ К3'!K34*СПРАВОЧНИК!$N$11+'ПЛАН ЧИСТ К3'!L34*СПРАВОЧНИК!$L$12+'ПЛАН ЧИСТ К3'!M34*СПРАВОЧНИК!$M$12+'ПЛАН ЧИСТ К3'!N34*СПРАВОЧНИК!$N$12+'ПЛАН ЧИСТ К3'!O34*СПРАВОЧНИК!$L$13+'ПЛАН ЧИСТ К3'!P34*СПРАВОЧНИК!$M$13+'ПЛАН ЧИСТ К3'!Q34*СПРАВОЧНИК!$N$13+'ПЛАН ЧИСТ К3'!R34*СПРАВОЧНИК!$L$14+'ПЛАН ЧИСТ К3'!S34*СПРАВОЧНИК!$M$14+'ПЛАН ЧИСТ К3'!T34*СПРАВОЧНИК!$N$14+'ПЛАН ЧИСТ К3'!U34*СПРАВОЧНИК!$L$15+'ПЛАН ЧИСТ К3'!V34*СПРАВОЧНИК!$M$15+'ПЛАН ЧИСТ К3'!W34*СПРАВОЧНИК!$N$15</f>
        <v>0</v>
      </c>
      <c r="BS43" s="40">
        <f>('ФАКТ ЧИСТ К3'!B34)*СПРАВОЧНИК!$L$9+('ФАКТ ЧИСТ К3'!C34)*СПРАВОЧНИК!$M$9+('ФАКТ ЧИСТ К3'!D34)*СПРАВОЧНИК!$N$9+('ФАКТ ЧИСТ К3'!E34)*СПРАВОЧНИК!$O$9+('ФАКТ ЧИСТ К3'!F34)*СПРАВОЧНИК!$L$10+('ФАКТ ЧИСТ К3'!G34)*СПРАВОЧНИК!$M$10+('ФАКТ ЧИСТ К3'!H34)*СПРАВОЧНИК!$N$10+('ФАКТ ЧИСТ К3'!I34)*СПРАВОЧНИК!$L$11+('ФАКТ ЧИСТ К3'!J34)*СПРАВОЧНИК!$M$11+('ФАКТ ЧИСТ К3'!K34)*СПРАВОЧНИК!$N$11+('ФАКТ ЧИСТ К3'!L34)*СПРАВОЧНИК!$L$12+('ФАКТ ЧИСТ К3'!M34)*СПРАВОЧНИК!$M$12+('ФАКТ ЧИСТ К3'!N34)*СПРАВОЧНИК!$N$12+('ФАКТ ЧИСТ К3'!O34)*СПРАВОЧНИК!$L$13+('ФАКТ ЧИСТ К3'!P34)*СПРАВОЧНИК!$M$13+('ФАКТ ЧИСТ К3'!Q34)*СПРАВОЧНИК!$N$13+('ФАКТ ЧИСТ К3'!R34)*СПРАВОЧНИК!$L$14+('ФАКТ ЧИСТ К3'!S34)*СПРАВОЧНИК!$M$14+('ФАКТ ЧИСТ К3'!T34)*СПРАВОЧНИК!$N$14+('ФАКТ ЧИСТ К3'!U34)*СПРАВОЧНИК!$L$15+('ФАКТ ЧИСТ К3'!V34)*СПРАВОЧНИК!$M$15+('ФАКТ ЧИСТ К3'!W34)*СПРАВОЧНИК!$N$15</f>
        <v>0</v>
      </c>
      <c r="BW43" s="18">
        <f t="shared" si="24"/>
        <v>46377</v>
      </c>
      <c r="BX43" s="37">
        <f t="shared" si="0"/>
        <v>0</v>
      </c>
      <c r="BY43" s="40">
        <f t="shared" si="1"/>
        <v>0</v>
      </c>
      <c r="CC43" s="18">
        <f t="shared" si="25"/>
        <v>46377</v>
      </c>
      <c r="CD43" s="37">
        <f t="shared" si="2"/>
        <v>0</v>
      </c>
      <c r="CE43" s="40">
        <f t="shared" si="3"/>
        <v>0</v>
      </c>
      <c r="CI43" s="18">
        <f t="shared" si="26"/>
        <v>46377</v>
      </c>
      <c r="CJ43" s="37">
        <f t="shared" si="4"/>
        <v>0</v>
      </c>
      <c r="CK43" s="40">
        <f t="shared" si="5"/>
        <v>0</v>
      </c>
      <c r="CO43" s="18">
        <f t="shared" si="27"/>
        <v>46377</v>
      </c>
      <c r="CP43" s="37">
        <f t="shared" si="6"/>
        <v>0</v>
      </c>
      <c r="CQ43" s="40">
        <f t="shared" si="7"/>
        <v>0</v>
      </c>
      <c r="CU43" s="18">
        <f t="shared" si="28"/>
        <v>46377</v>
      </c>
      <c r="CV43" s="37">
        <f t="shared" si="8"/>
        <v>0</v>
      </c>
      <c r="CW43" s="40">
        <f t="shared" si="9"/>
        <v>0</v>
      </c>
      <c r="DA43" s="18">
        <f t="shared" si="29"/>
        <v>46377</v>
      </c>
      <c r="DB43" s="37">
        <f t="shared" si="10"/>
        <v>0</v>
      </c>
      <c r="DC43" s="40">
        <f t="shared" si="11"/>
        <v>0</v>
      </c>
    </row>
    <row r="44" spans="3:107" x14ac:dyDescent="0.25">
      <c r="C44" s="18">
        <f t="shared" si="12"/>
        <v>46384</v>
      </c>
      <c r="D44" s="37">
        <f>СПРАВОЧНИК!$E$3*('ПЛАН ЧЕРН ПОДЗЕМ'!B35*СПРАВОЧНИК!$H$3+'ПЛАН ЧЕРН ПОДЗЕМ'!C35*СПРАВОЧНИК!$I$3+'ПЛАН ЧЕРН ПОДЗЕМ'!D35*СПРАВОЧНИК!$J$3)+СПРАВОЧНИК!$E$4*('ПЛАН ЧЕРН ПОДЗЕМ'!E35*СПРАВОЧНИК!$H$4+'ПЛАН ЧЕРН ПОДЗЕМ'!F35*СПРАВОЧНИК!$I$4+'ПЛАН ЧЕРН ПОДЗЕМ'!G35*СПРАВОЧНИК!$J$4)+СПРАВОЧНИК!$E$5*('ПЛАН ЧЕРН ПОДЗЕМ'!H35*СПРАВОЧНИК!$H$5+'ПЛАН ЧЕРН ПОДЗЕМ'!I35*СПРАВОЧНИК!$I$5+'ПЛАН ЧЕРН ПОДЗЕМ'!J35*СПРАВОЧНИК!$J$5)+СПРАВОЧНИК!$E$6*('ПЛАН ЧЕРН ПОДЗЕМ'!K35*СПРАВОЧНИК!$H$6+'ПЛАН ЧЕРН ПОДЗЕМ'!L35*СПРАВОЧНИК!$I$6+'ПЛАН ЧЕРН ПОДЗЕМ'!M35*СПРАВОЧНИК!$J$6)+СПРАВОЧНИК!$E$7*('ПЛАН ЧЕРН ПОДЗЕМ'!N35*СПРАВОЧНИК!$H$7+'ПЛАН ЧЕРН ПОДЗЕМ'!O35*СПРАВОЧНИК!$I$7+'ПЛАН ЧЕРН ПОДЗЕМ'!P35*СПРАВОЧНИК!$J$7)+СПРАВОЧНИК!$E$8*('ПЛАН ЧЕРН ПОДЗЕМ'!Q35*СПРАВОЧНИК!$H$8+'ПЛАН ЧЕРН ПОДЗЕМ'!R35*СПРАВОЧНИК!$I$8+'ПЛАН ЧЕРН ПОДЗЕМ'!S35*СПРАВОЧНИК!$J$8)+СПРАВОЧНИК!$F$3*('ПЛАН ЧИСТ ПОДЗЕМ'!B35*СПРАВОЧНИК!$L$3+'ПЛАН ЧИСТ ПОДЗЕМ'!C35*СПРАВОЧНИК!$M$3+'ПЛАН ЧИСТ ПОДЗЕМ'!D35*СПРАВОЧНИК!$N$3)+СПРАВОЧНИК!$F$4*('ПЛАН ЧИСТ ПОДЗЕМ'!E35*СПРАВОЧНИК!$L$4+'ПЛАН ЧИСТ ПОДЗЕМ'!F35*СПРАВОЧНИК!$M$4+'ПЛАН ЧИСТ ПОДЗЕМ'!G35*СПРАВОЧНИК!$N$4)+СПРАВОЧНИК!$F$5*('ПЛАН ЧИСТ ПОДЗЕМ'!H35*СПРАВОЧНИК!$L$5+'ПЛАН ЧИСТ ПОДЗЕМ'!I35*СПРАВОЧНИК!$M$5+'ПЛАН ЧИСТ ПОДЗЕМ'!J35*СПРАВОЧНИК!$N$5)+СПРАВОЧНИК!$F$6*('ПЛАН ЧИСТ ПОДЗЕМ'!K35*СПРАВОЧНИК!$L$6+'ПЛАН ЧИСТ ПОДЗЕМ'!L35*СПРАВОЧНИК!$M$6+'ПЛАН ЧИСТ ПОДЗЕМ'!M35*СПРАВОЧНИК!$N$6)+СПРАВОЧНИК!$F$7*('ПЛАН ЧИСТ ПОДЗЕМ'!N35*СПРАВОЧНИК!$L$7+'ПЛАН ЧИСТ ПОДЗЕМ'!O35*СПРАВОЧНИК!$M$7+'ПЛАН ЧИСТ ПОДЗЕМ'!P35*СПРАВОЧНИК!$N$7)+СПРАВОЧНИК!$F$8*('ПЛАН ЧИСТ ПОДЗЕМ'!Q35*СПРАВОЧНИК!$L$8+'ПЛАН ЧИСТ ПОДЗЕМ'!R35*СПРАВОЧНИК!$M$8+'ПЛАН ЧИСТ ПОДЗЕМ'!S35*СПРАВОЧНИК!$N$8)</f>
        <v>0</v>
      </c>
      <c r="E44" s="40">
        <f>СПРАВОЧНИК!$E$3*(('ФАКТ ЧЕРН ПОДЗЕМ'!B35)*СПРАВОЧНИК!$H$3+('ФАКТ ЧЕРН ПОДЗЕМ'!C35)*СПРАВОЧНИК!$I$3+('ФАКТ ЧЕРН ПОДЗЕМ'!D35)*СПРАВОЧНИК!$J$3)+СПРАВОЧНИК!$E$4*(('ФАКТ ЧЕРН ПОДЗЕМ'!E35)*СПРАВОЧНИК!$H$4+('ФАКТ ЧЕРН ПОДЗЕМ'!F35)*СПРАВОЧНИК!$I$4+('ФАКТ ЧЕРН ПОДЗЕМ'!G35)*СПРАВОЧНИК!$J$4)+СПРАВОЧНИК!$E$5*(('ФАКТ ЧЕРН ПОДЗЕМ'!H35)*СПРАВОЧНИК!$H$5+('ФАКТ ЧЕРН ПОДЗЕМ'!I35)*СПРАВОЧНИК!$I$5+('ФАКТ ЧЕРН ПОДЗЕМ'!J35)*СПРАВОЧНИК!$J$5)+СПРАВОЧНИК!$E$6*(('ФАКТ ЧЕРН ПОДЗЕМ'!K35)*СПРАВОЧНИК!$H$6+('ФАКТ ЧЕРН ПОДЗЕМ'!L35)*СПРАВОЧНИК!$I$6+('ФАКТ ЧЕРН ПОДЗЕМ'!M35)*СПРАВОЧНИК!$J$6)+СПРАВОЧНИК!$E$7*(('ФАКТ ЧЕРН ПОДЗЕМ'!N35)*СПРАВОЧНИК!$H$7+('ФАКТ ЧЕРН ПОДЗЕМ'!O35)*СПРАВОЧНИК!$I$7+('ФАКТ ЧЕРН ПОДЗЕМ'!P35)*СПРАВОЧНИК!$J$7)+СПРАВОЧНИК!$E$8*(('ФАКТ ЧЕРН ПОДЗЕМ'!Q35)*СПРАВОЧНИК!$H$8+('ФАКТ ЧЕРН ПОДЗЕМ'!R35)*СПРАВОЧНИК!$I$8+('ФАКТ ЧЕРН ПОДЗЕМ'!S35)*СПРАВОЧНИК!$J$8)+СПРАВОЧНИК!$F$3*(('ФАКТ ЧИСТ ПОДЗЕМ'!B35)*СПРАВОЧНИК!$L$3+('ФАКТ ЧИСТ ПОДЗЕМ'!C35)*СПРАВОЧНИК!$M$3+('ФАКТ ЧИСТ ПОДЗЕМ'!D35)*СПРАВОЧНИК!$N$3)+СПРАВОЧНИК!$F$4*(('ФАКТ ЧИСТ ПОДЗЕМ'!E35)*СПРАВОЧНИК!$L$4+('ФАКТ ЧИСТ ПОДЗЕМ'!F35)*СПРАВОЧНИК!$M$4+('ФАКТ ЧИСТ ПОДЗЕМ'!G35)*СПРАВОЧНИК!$N$4)+СПРАВОЧНИК!$F$5*(('ФАКТ ЧИСТ ПОДЗЕМ'!H35)*СПРАВОЧНИК!$L$5+('ФАКТ ЧИСТ ПОДЗЕМ'!I35)*СПРАВОЧНИК!$M$5+('ФАКТ ЧИСТ ПОДЗЕМ'!J35)*СПРАВОЧНИК!$N$5)+СПРАВОЧНИК!$F$6*(('ФАКТ ЧИСТ ПОДЗЕМ'!K35)*СПРАВОЧНИК!$L$6+('ФАКТ ЧИСТ ПОДЗЕМ'!L35)*СПРАВОЧНИК!$M$6+('ФАКТ ЧИСТ ПОДЗЕМ'!M35)*СПРАВОЧНИК!$N$6)+СПРАВОЧНИК!$F$7*(('ФАКТ ЧИСТ ПОДЗЕМ'!N35)*СПРАВОЧНИК!$L$7+('ФАКТ ЧИСТ ПОДЗЕМ'!O35)*СПРАВОЧНИК!$M$7+('ФАКТ ЧИСТ ПОДЗЕМ'!P35)*СПРАВОЧНИК!$N$7)+СПРАВОЧНИК!$F$8*(('ФАКТ ЧИСТ ПОДЗЕМ'!Q35)*СПРАВОЧНИК!$L$8+('ФАКТ ЧИСТ ПОДЗЕМ'!R35)*СПРАВОЧНИК!$M$8+('ФАКТ ЧИСТ ПОДЗЕМ'!S35)*СПРАВОЧНИК!$N$8)</f>
        <v>0</v>
      </c>
      <c r="I44" s="18">
        <f t="shared" si="13"/>
        <v>46384</v>
      </c>
      <c r="J44" s="37">
        <f>'ПЛАН ЧЕРН ПОДЗЕМ'!B35*СПРАВОЧНИК!$H$3+'ПЛАН ЧЕРН ПОДЗЕМ'!C35*СПРАВОЧНИК!$I$3+'ПЛАН ЧЕРН ПОДЗЕМ'!D35*СПРАВОЧНИК!$J$3+'ПЛАН ЧЕРН ПОДЗЕМ'!E35*СПРАВОЧНИК!$H$4+'ПЛАН ЧЕРН ПОДЗЕМ'!F35*СПРАВОЧНИК!$I$4+'ПЛАН ЧЕРН ПОДЗЕМ'!G35*СПРАВОЧНИК!$J$4+'ПЛАН ЧЕРН ПОДЗЕМ'!H35*СПРАВОЧНИК!$H$5+'ПЛАН ЧЕРН ПОДЗЕМ'!I35*СПРАВОЧНИК!$I$5+'ПЛАН ЧЕРН ПОДЗЕМ'!J35*СПРАВОЧНИК!$J$5+'ПЛАН ЧЕРН ПОДЗЕМ'!K35*СПРАВОЧНИК!$H$6+'ПЛАН ЧЕРН ПОДЗЕМ'!L35*СПРАВОЧНИК!$I$6+'ПЛАН ЧЕРН ПОДЗЕМ'!M35*СПРАВОЧНИК!$J$6+'ПЛАН ЧЕРН ПОДЗЕМ'!N35*СПРАВОЧНИК!$H$7+'ПЛАН ЧЕРН ПОДЗЕМ'!O35*СПРАВОЧНИК!$I$7+'ПЛАН ЧЕРН ПОДЗЕМ'!P35*СПРАВОЧНИК!$J$7+'ПЛАН ЧЕРН ПОДЗЕМ'!Q35*СПРАВОЧНИК!$H$8+'ПЛАН ЧЕРН ПОДЗЕМ'!R35*СПРАВОЧНИК!$I$8+'ПЛАН ЧЕРН ПОДЗЕМ'!S35*СПРАВОЧНИК!$J$8</f>
        <v>0</v>
      </c>
      <c r="K44" s="40">
        <f>('ФАКТ ЧЕРН ПОДЗЕМ'!B35)*СПРАВОЧНИК!$H$3+('ФАКТ ЧЕРН ПОДЗЕМ'!C35)*СПРАВОЧНИК!$I$3+('ФАКТ ЧЕРН ПОДЗЕМ'!D35)*СПРАВОЧНИК!$J$3+('ФАКТ ЧЕРН ПОДЗЕМ'!E35)*СПРАВОЧНИК!$H$4+('ФАКТ ЧЕРН ПОДЗЕМ'!F35)*СПРАВОЧНИК!$I$4+('ФАКТ ЧЕРН ПОДЗЕМ'!G35)*СПРАВОЧНИК!$J$4+('ФАКТ ЧЕРН ПОДЗЕМ'!H35)*СПРАВОЧНИК!$H$5+('ФАКТ ЧЕРН ПОДЗЕМ'!I35)*СПРАВОЧНИК!$I$5+('ФАКТ ЧЕРН ПОДЗЕМ'!J35)*СПРАВОЧНИК!$J$5+('ФАКТ ЧЕРН ПОДЗЕМ'!K35)*СПРАВОЧНИК!$H$6+('ФАКТ ЧЕРН ПОДЗЕМ'!L35)*СПРАВОЧНИК!$I$6+('ФАКТ ЧЕРН ПОДЗЕМ'!M35)*СПРАВОЧНИК!$J$6+('ФАКТ ЧЕРН ПОДЗЕМ'!N35)*СПРАВОЧНИК!$H$7+('ФАКТ ЧЕРН ПОДЗЕМ'!O35)*СПРАВОЧНИК!$I$7+('ФАКТ ЧЕРН ПОДЗЕМ'!P35)*СПРАВОЧНИК!$J$7+('ФАКТ ЧЕРН ПОДЗЕМ'!Q35)*СПРАВОЧНИК!$H$8+('ФАКТ ЧЕРН ПОДЗЕМ'!R35)*СПРАВОЧНИК!$I$8+('ФАКТ ЧЕРН ПОДЗЕМ'!S35)*СПРАВОЧНИК!$J$8</f>
        <v>0</v>
      </c>
      <c r="O44" s="18">
        <f t="shared" si="14"/>
        <v>46384</v>
      </c>
      <c r="P44" s="37">
        <f>'ПЛАН ЧИСТ ПОДЗЕМ'!B35*СПРАВОЧНИК!$L$3+'ПЛАН ЧИСТ ПОДЗЕМ'!C35*СПРАВОЧНИК!$M$3+'ПЛАН ЧИСТ ПОДЗЕМ'!D35*СПРАВОЧНИК!$N$3+'ПЛАН ЧИСТ ПОДЗЕМ'!E35*СПРАВОЧНИК!$L$4+'ПЛАН ЧИСТ ПОДЗЕМ'!F35*СПРАВОЧНИК!$M$4+'ПЛАН ЧИСТ ПОДЗЕМ'!G35*СПРАВОЧНИК!$N$4+'ПЛАН ЧИСТ ПОДЗЕМ'!H35*СПРАВОЧНИК!$L$5+'ПЛАН ЧИСТ ПОДЗЕМ'!I35*СПРАВОЧНИК!$M$5+'ПЛАН ЧИСТ ПОДЗЕМ'!J35*СПРАВОЧНИК!$N$5+'ПЛАН ЧИСТ ПОДЗЕМ'!K35*СПРАВОЧНИК!$L$6+'ПЛАН ЧИСТ ПОДЗЕМ'!L35*СПРАВОЧНИК!$M$6+'ПЛАН ЧИСТ ПОДЗЕМ'!M35*СПРАВОЧНИК!$N$6+'ПЛАН ЧИСТ ПОДЗЕМ'!N35*СПРАВОЧНИК!$L$7+'ПЛАН ЧИСТ ПОДЗЕМ'!O35*СПРАВОЧНИК!$M$7+'ПЛАН ЧИСТ ПОДЗЕМ'!P35*СПРАВОЧНИК!$N$7+'ПЛАН ЧИСТ ПОДЗЕМ'!Q35*СПРАВОЧНИК!$L$8+'ПЛАН ЧИСТ ПОДЗЕМ'!R35*СПРАВОЧНИК!$M$8+'ПЛАН ЧИСТ ПОДЗЕМ'!S35*СПРАВОЧНИК!$N$8</f>
        <v>0</v>
      </c>
      <c r="Q44" s="40">
        <f>('ФАКТ ЧИСТ ПОДЗЕМ'!B35)*СПРАВОЧНИК!$L$3+('ФАКТ ЧИСТ ПОДЗЕМ'!C35)*СПРАВОЧНИК!$M$3+('ФАКТ ЧИСТ ПОДЗЕМ'!D35)*СПРАВОЧНИК!$N$3+('ФАКТ ЧИСТ ПОДЗЕМ'!E35)*СПРАВОЧНИК!$L$4+('ФАКТ ЧИСТ ПОДЗЕМ'!F35)*СПРАВОЧНИК!$M$4+('ФАКТ ЧИСТ ПОДЗЕМ'!G35)*СПРАВОЧНИК!$N$4+('ФАКТ ЧИСТ ПОДЗЕМ'!H35)*СПРАВОЧНИК!$L$5+('ФАКТ ЧИСТ ПОДЗЕМ'!I35)*СПРАВОЧНИК!$M$5+('ФАКТ ЧИСТ ПОДЗЕМ'!J35)*СПРАВОЧНИК!$N$5+('ФАКТ ЧИСТ ПОДЗЕМ'!K35)*СПРАВОЧНИК!$L$6+('ФАКТ ЧИСТ ПОДЗЕМ'!L35)*СПРАВОЧНИК!$M$6+('ФАКТ ЧИСТ ПОДЗЕМ'!M35)*СПРАВОЧНИК!$N$6+('ФАКТ ЧИСТ ПОДЗЕМ'!N35)*СПРАВОЧНИК!$L$7+('ФАКТ ЧИСТ ПОДЗЕМ'!O35)*СПРАВОЧНИК!$M$7+('ФАКТ ЧИСТ ПОДЗЕМ'!P35)*СПРАВОЧНИК!$N$7+('ФАКТ ЧИСТ ПОДЗЕМ'!Q35)*СПРАВОЧНИК!$L$8+('ФАКТ ЧИСТ ПОДЗЕМ'!R35)*СПРАВОЧНИК!$M$8+('ФАКТ ЧИСТ ПОДЗЕМ'!S35)*СПРАВОЧНИК!$N$8</f>
        <v>0</v>
      </c>
      <c r="U44" s="18">
        <f t="shared" si="15"/>
        <v>46384</v>
      </c>
      <c r="V44" s="37">
        <f>СПРАВОЧНИК!$E$9*('ПЛАН ЧЕРН К1'!B35*СПРАВОЧНИК!$H$9+'ПЛАН ЧЕРН К1'!C35*СПРАВОЧНИК!$I$9+'ПЛАН ЧЕРН К1'!D35*СПРАВОЧНИК!$J$9)+СПРАВОЧНИК!$E$10*('ПЛАН ЧЕРН К1'!E35*СПРАВОЧНИК!$H$10+'ПЛАН ЧЕРН К1'!F35*СПРАВОЧНИК!$I$10+'ПЛАН ЧЕРН К1'!G35*СПРАВОЧНИК!$J$10)+СПРАВОЧНИК!$E$11*('ПЛАН ЧЕРН К1'!H35*СПРАВОЧНИК!$H$11+'ПЛАН ЧЕРН К1'!I35*СПРАВОЧНИК!$I$11+'ПЛАН ЧЕРН К1'!J35*СПРАВОЧНИК!$J$11)+СПРАВОЧНИК!$E$12*('ПЛАН ЧЕРН К1'!K35*СПРАВОЧНИК!$H$12+'ПЛАН ЧЕРН К1'!L35*СПРАВОЧНИК!$I$12+'ПЛАН ЧЕРН К1'!M35*СПРАВОЧНИК!$J$12)+СПРАВОЧНИК!$E$13*('ПЛАН ЧЕРН К1'!N35*СПРАВОЧНИК!$H$13+'ПЛАН ЧЕРН К1'!O35*СПРАВОЧНИК!$I$13+'ПЛАН ЧЕРН К1'!P35*СПРАВОЧНИК!$J$13)+СПРАВОЧНИК!$E$14*('ПЛАН ЧЕРН К1'!Q35*СПРАВОЧНИК!$H$14+'ПЛАН ЧЕРН К1'!R35*СПРАВОЧНИК!$I$14+'ПЛАН ЧЕРН К1'!S35*СПРАВОЧНИК!$J$14)+СПРАВОЧНИК!$E$15*('ПЛАН ЧЕРН К1'!T35*СПРАВОЧНИК!$H$15+'ПЛАН ЧЕРН К1'!U35*СПРАВОЧНИК!$I$15+'ПЛАН ЧЕРН К1'!V35*СПРАВОЧНИК!$J$15)+СПРАВОЧНИК!$F$9*('ПЛАН ЧИСТ К1'!B35*СПРАВОЧНИК!$L$9+'ПЛАН ЧИСТ К1'!C35*СПРАВОЧНИК!$M$9+'ПЛАН ЧИСТ К1'!D35*СПРАВОЧНИК!$N$9+'ПЛАН ЧИСТ К1'!E35*СПРАВОЧНИК!$O$9)+СПРАВОЧНИК!$F$10*('ПЛАН ЧИСТ К1'!F35*СПРАВОЧНИК!$L$10+'ПЛАН ЧИСТ К1'!G35*СПРАВОЧНИК!$M$10+'ПЛАН ЧИСТ К1'!H35*СПРАВОЧНИК!$N$10)+СПРАВОЧНИК!$F$11*('ПЛАН ЧИСТ К1'!I35*СПРАВОЧНИК!$L$11+'ПЛАН ЧИСТ К1'!J35*СПРАВОЧНИК!$M$11+'ПЛАН ЧИСТ К1'!K35*СПРАВОЧНИК!$N$11)+СПРАВОЧНИК!$F$12*('ПЛАН ЧИСТ К1'!L35*СПРАВОЧНИК!$L$12+'ПЛАН ЧИСТ К1'!M35*СПРАВОЧНИК!$M$12+'ПЛАН ЧИСТ К1'!N35*СПРАВОЧНИК!$N$12)+СПРАВОЧНИК!$F$13*('ПЛАН ЧИСТ К1'!O35*СПРАВОЧНИК!$L$13+'ПЛАН ЧИСТ К1'!P35*СПРАВОЧНИК!$M$13+'ПЛАН ЧИСТ К1'!Q35*СПРАВОЧНИК!$N$13)+СПРАВОЧНИК!$F$14*('ПЛАН ЧИСТ К1'!R35*СПРАВОЧНИК!$L$14+'ПЛАН ЧИСТ К1'!S35*СПРАВОЧНИК!$M$14+'ПЛАН ЧИСТ К1'!T35*СПРАВОЧНИК!$N$14)+СПРАВОЧНИК!$F$15*('ПЛАН ЧИСТ К1'!U35*СПРАВОЧНИК!$L$15+'ПЛАН ЧИСТ К1'!V35*СПРАВОЧНИК!$M$15+'ПЛАН ЧИСТ К1'!W35*СПРАВОЧНИК!$N$15)</f>
        <v>0</v>
      </c>
      <c r="W44" s="40">
        <f>СПРАВОЧНИК!$E$9*(('ФАКТ ЧЕРН К1'!B35)*СПРАВОЧНИК!$H$9+('ФАКТ ЧЕРН К1'!C35)*СПРАВОЧНИК!$I$9+('ФАКТ ЧЕРН К1'!D35)*СПРАВОЧНИК!$J$9)+СПРАВОЧНИК!$E$10*(('ФАКТ ЧЕРН К1'!E35)*СПРАВОЧНИК!$H$10+('ФАКТ ЧЕРН К1'!F35)*СПРАВОЧНИК!$I$10+('ФАКТ ЧЕРН К1'!G35)*СПРАВОЧНИК!$J$10)+СПРАВОЧНИК!$E$11*(('ФАКТ ЧЕРН К1'!H35)*СПРАВОЧНИК!$H$11+('ФАКТ ЧЕРН К1'!I35)*СПРАВОЧНИК!$I$11+('ФАКТ ЧЕРН К1'!J35)*СПРАВОЧНИК!$J$11)+СПРАВОЧНИК!$E$12*(('ФАКТ ЧЕРН К1'!K35)*СПРАВОЧНИК!$H$12+('ФАКТ ЧЕРН К1'!L35)*СПРАВОЧНИК!$I$12+('ФАКТ ЧЕРН К1'!M35)*СПРАВОЧНИК!$J$12)+СПРАВОЧНИК!$E$13*(('ФАКТ ЧЕРН К1'!N35)*СПРАВОЧНИК!$H$13+('ФАКТ ЧЕРН К1'!O35)*СПРАВОЧНИК!$I$13+('ФАКТ ЧЕРН К1'!P35)*СПРАВОЧНИК!$J$13)+СПРАВОЧНИК!$E$14*(('ФАКТ ЧЕРН К1'!Q35)*СПРАВОЧНИК!$H$14+('ФАКТ ЧЕРН К1'!R35)*СПРАВОЧНИК!$I$14+('ФАКТ ЧЕРН К1'!S35)*СПРАВОЧНИК!$J$14)+СПРАВОЧНИК!$E$15*(('ФАКТ ЧЕРН К1'!T35)*СПРАВОЧНИК!$H$15+('ФАКТ ЧЕРН К1'!U35)*СПРАВОЧНИК!$I$15+('ФАКТ ЧЕРН К1'!V35)*СПРАВОЧНИК!$J$15)+СПРАВОЧНИК!$F$9*(('ФАКТ ЧИСТ К1'!B35)*СПРАВОЧНИК!$L$9+('ФАКТ ЧИСТ К1'!C35)*СПРАВОЧНИК!$M$9+('ФАКТ ЧИСТ К1'!D35)*СПРАВОЧНИК!$N$9+('ФАКТ ЧИСТ К1'!E35)*СПРАВОЧНИК!$O$9)+СПРАВОЧНИК!$F$10*(('ФАКТ ЧИСТ К1'!F35)*СПРАВОЧНИК!$L$10+('ФАКТ ЧИСТ К1'!G35)*СПРАВОЧНИК!$M$10+('ФАКТ ЧИСТ К1'!H35)*СПРАВОЧНИК!$N$10)+СПРАВОЧНИК!$F$11*(('ФАКТ ЧИСТ К1'!I35)*СПРАВОЧНИК!$L$11+('ФАКТ ЧИСТ К1'!J35)*СПРАВОЧНИК!$M$11+('ФАКТ ЧИСТ К1'!K35)*СПРАВОЧНИК!$N$11)+СПРАВОЧНИК!$F$12*(('ФАКТ ЧИСТ К1'!L35)*СПРАВОЧНИК!$L$12+('ФАКТ ЧИСТ К1'!M35)*СПРАВОЧНИК!$M$12+('ФАКТ ЧИСТ К1'!N35)*СПРАВОЧНИК!$N$12)+СПРАВОЧНИК!$F$13*(('ФАКТ ЧИСТ К1'!O35)*СПРАВОЧНИК!$L$13+('ФАКТ ЧИСТ К1'!P35)*СПРАВОЧНИК!$M$13+('ФАКТ ЧИСТ К1'!Q35)*СПРАВОЧНИК!$N$13)+СПРАВОЧНИК!$F$14*(('ФАКТ ЧИСТ К1'!R35)*СПРАВОЧНИК!$L$14+('ФАКТ ЧИСТ К1'!S35)*СПРАВОЧНИК!$M$14+('ФАКТ ЧИСТ К1'!T35)*СПРАВОЧНИК!$N$14)+СПРАВОЧНИК!$F$15*(('ФАКТ ЧИСТ К1'!U35)*СПРАВОЧНИК!$L$15+('ФАКТ ЧИСТ К1'!V35)*СПРАВОЧНИК!$M$15+('ФАКТ ЧИСТ К1'!W35)*СПРАВОЧНИК!$N$15)</f>
        <v>0</v>
      </c>
      <c r="AA44" s="18">
        <f t="shared" si="16"/>
        <v>46384</v>
      </c>
      <c r="AB44" s="37">
        <f>'ПЛАН ЧЕРН К1'!B35*СПРАВОЧНИК!$H$9+'ПЛАН ЧЕРН К1'!C35*СПРАВОЧНИК!$I$9+'ПЛАН ЧЕРН К1'!D35*СПРАВОЧНИК!$J$9+'ПЛАН ЧЕРН К1'!E35*СПРАВОЧНИК!$H$10+'ПЛАН ЧЕРН К1'!F35*СПРАВОЧНИК!$I$10+'ПЛАН ЧЕРН К1'!G35*СПРАВОЧНИК!$J$10+'ПЛАН ЧЕРН К1'!H35*СПРАВОЧНИК!$H$11+'ПЛАН ЧЕРН К1'!I35*СПРАВОЧНИК!$I$11+'ПЛАН ЧЕРН К1'!J35*СПРАВОЧНИК!$J$11+'ПЛАН ЧЕРН К1'!K35*СПРАВОЧНИК!$H$12+'ПЛАН ЧЕРН К1'!L35*СПРАВОЧНИК!$I$12+'ПЛАН ЧЕРН К1'!M35*СПРАВОЧНИК!$J$12+'ПЛАН ЧЕРН К1'!N35*СПРАВОЧНИК!$H$13+'ПЛАН ЧЕРН К1'!O35*СПРАВОЧНИК!$I$13+'ПЛАН ЧЕРН К1'!P35*СПРАВОЧНИК!$J$13+'ПЛАН ЧЕРН К1'!Q35*СПРАВОЧНИК!$H$14+'ПЛАН ЧЕРН К1'!R35*СПРАВОЧНИК!$I$14+'ПЛАН ЧЕРН К1'!S35*СПРАВОЧНИК!$J$14+'ПЛАН ЧЕРН К1'!T35*СПРАВОЧНИК!$H$15+'ПЛАН ЧЕРН К1'!U35*СПРАВОЧНИК!$I$15+'ПЛАН ЧЕРН К1'!V35*СПРАВОЧНИК!$J$15</f>
        <v>0</v>
      </c>
      <c r="AC44" s="40">
        <f>('ФАКТ ЧЕРН К1'!B35)*СПРАВОЧНИК!$H$9+('ФАКТ ЧЕРН К1'!C35)*СПРАВОЧНИК!$I$9+('ФАКТ ЧЕРН К1'!D35)*СПРАВОЧНИК!$J$9+('ФАКТ ЧЕРН К1'!E35)*СПРАВОЧНИК!$H$10+('ФАКТ ЧЕРН К1'!F35)*СПРАВОЧНИК!$I$10+('ФАКТ ЧЕРН К1'!G35)*СПРАВОЧНИК!$J$10+('ФАКТ ЧЕРН К1'!H35)*СПРАВОЧНИК!$H$11+('ФАКТ ЧЕРН К1'!I35)*СПРАВОЧНИК!$I$11+('ФАКТ ЧЕРН К1'!J35)*СПРАВОЧНИК!$J$11+('ФАКТ ЧЕРН К1'!K35)*СПРАВОЧНИК!$H$12+('ФАКТ ЧЕРН К1'!L35)*СПРАВОЧНИК!$I$12+('ФАКТ ЧЕРН К1'!M35)*СПРАВОЧНИК!$J$12+('ФАКТ ЧЕРН К1'!N35)*СПРАВОЧНИК!$H$13+('ФАКТ ЧЕРН К1'!O35)*СПРАВОЧНИК!$I$13+('ФАКТ ЧЕРН К1'!P35)*СПРАВОЧНИК!$J$13+('ФАКТ ЧЕРН К1'!Q35)*СПРАВОЧНИК!$H$14+('ФАКТ ЧЕРН К1'!R35)*СПРАВОЧНИК!$I$14+('ФАКТ ЧЕРН К1'!S35)*СПРАВОЧНИК!$J$14+('ФАКТ ЧЕРН К1'!T35)*СПРАВОЧНИК!$H$15+('ФАКТ ЧЕРН К1'!U35)*СПРАВОЧНИК!$I$15+('ФАКТ ЧЕРН К1'!V35)*СПРАВОЧНИК!$J$15</f>
        <v>0</v>
      </c>
      <c r="AG44" s="18">
        <f t="shared" si="17"/>
        <v>46384</v>
      </c>
      <c r="AH44" s="37">
        <f>'ПЛАН ЧИСТ К1'!B35*СПРАВОЧНИК!$L$9+'ПЛАН ЧИСТ К1'!C35*СПРАВОЧНИК!$M$9+'ПЛАН ЧИСТ К1'!D35*СПРАВОЧНИК!$N$9+'ПЛАН ЧИСТ К1'!E35*СПРАВОЧНИК!$O$9+'ПЛАН ЧИСТ К1'!F35*СПРАВОЧНИК!$L$10+'ПЛАН ЧИСТ К1'!G35*СПРАВОЧНИК!$M$10+'ПЛАН ЧИСТ К1'!H35*СПРАВОЧНИК!$N$10+'ПЛАН ЧИСТ К1'!I35*СПРАВОЧНИК!$L$11+'ПЛАН ЧИСТ К1'!J35*СПРАВОЧНИК!$M$11+'ПЛАН ЧИСТ К1'!K35*СПРАВОЧНИК!$N$11+'ПЛАН ЧИСТ К1'!L35*СПРАВОЧНИК!$L$12+'ПЛАН ЧИСТ К1'!M35*СПРАВОЧНИК!$M$12+'ПЛАН ЧИСТ К1'!N35*СПРАВОЧНИК!$N$12+'ПЛАН ЧИСТ К1'!O35*СПРАВОЧНИК!$L$13+'ПЛАН ЧИСТ К1'!P35*СПРАВОЧНИК!$M$13+'ПЛАН ЧИСТ К1'!Q35*СПРАВОЧНИК!$N$13+'ПЛАН ЧИСТ К1'!R35*СПРАВОЧНИК!$L$14+'ПЛАН ЧИСТ К1'!S35*СПРАВОЧНИК!$M$14+'ПЛАН ЧИСТ К1'!T35*СПРАВОЧНИК!$N$14+'ПЛАН ЧИСТ К1'!U35*СПРАВОЧНИК!$L$15+'ПЛАН ЧИСТ К1'!V35*СПРАВОЧНИК!$M$15+'ПЛАН ЧИСТ К1'!W35*СПРАВОЧНИК!$N$15</f>
        <v>0</v>
      </c>
      <c r="AI44" s="40">
        <f>('ФАКТ ЧИСТ К1'!B35)*СПРАВОЧНИК!$L$9+('ФАКТ ЧИСТ К1'!C35)*СПРАВОЧНИК!$M$9+('ФАКТ ЧИСТ К1'!D35)*СПРАВОЧНИК!$N$9+('ФАКТ ЧИСТ К1'!E35)*СПРАВОЧНИК!$O$9+('ФАКТ ЧИСТ К1'!F35)*СПРАВОЧНИК!$L$10+('ФАКТ ЧИСТ К1'!G35)*СПРАВОЧНИК!$M$10+('ФАКТ ЧИСТ К1'!H35)*СПРАВОЧНИК!$N$10+('ФАКТ ЧИСТ К1'!I35)*СПРАВОЧНИК!$L$11+('ФАКТ ЧИСТ К1'!J35)*СПРАВОЧНИК!$M$11+('ФАКТ ЧИСТ К1'!K35)*СПРАВОЧНИК!$N$11+('ФАКТ ЧИСТ К1'!L35)*СПРАВОЧНИК!$L$12+('ФАКТ ЧИСТ К1'!M35)*СПРАВОЧНИК!$M$12+('ФАКТ ЧИСТ К1'!N35)*СПРАВОЧНИК!$N$12+('ФАКТ ЧИСТ К1'!O35)*СПРАВОЧНИК!$L$13+('ФАКТ ЧИСТ К1'!P35)*СПРАВОЧНИК!$M$13+('ФАКТ ЧИСТ К1'!Q35)*СПРАВОЧНИК!$N$13+('ФАКТ ЧИСТ К1'!R35)*СПРАВОЧНИК!$L$14+('ФАКТ ЧИСТ К1'!S35)*СПРАВОЧНИК!$M$14+('ФАКТ ЧИСТ К1'!T35)*СПРАВОЧНИК!$N$14+('ФАКТ ЧИСТ К1'!U35)*СПРАВОЧНИК!$L$15+('ФАКТ ЧИСТ К1'!V35)*СПРАВОЧНИК!$M$15+('ФАКТ ЧИСТ К1'!W35)*СПРАВОЧНИК!$N$15</f>
        <v>0</v>
      </c>
      <c r="AM44" s="18">
        <f t="shared" si="18"/>
        <v>46384</v>
      </c>
      <c r="AN44" s="37">
        <f>СПРАВОЧНИК!$E$9*('ПЛАН ЧЕРН К2'!B35*СПРАВОЧНИК!$H$9+'ПЛАН ЧЕРН К2'!C35*СПРАВОЧНИК!$I$9+'ПЛАН ЧЕРН К2'!D35*СПРАВОЧНИК!$J$9)+СПРАВОЧНИК!$E$10*('ПЛАН ЧЕРН К2'!E35*СПРАВОЧНИК!$H$10+'ПЛАН ЧЕРН К2'!F35*СПРАВОЧНИК!$I$10+'ПЛАН ЧЕРН К2'!G35*СПРАВОЧНИК!$J$10)+СПРАВОЧНИК!$E$11*('ПЛАН ЧЕРН К2'!H35*СПРАВОЧНИК!$H$11+'ПЛАН ЧЕРН К2'!I35*СПРАВОЧНИК!$I$11+'ПЛАН ЧЕРН К2'!J35*СПРАВОЧНИК!$J$11)+СПРАВОЧНИК!$E$12*('ПЛАН ЧЕРН К2'!K35*СПРАВОЧНИК!$H$12+'ПЛАН ЧЕРН К2'!L35*СПРАВОЧНИК!$I$12+'ПЛАН ЧЕРН К2'!M35*СПРАВОЧНИК!$J$12)+СПРАВОЧНИК!$E$13*('ПЛАН ЧЕРН К2'!N35*СПРАВОЧНИК!$H$13+'ПЛАН ЧЕРН К2'!O35*СПРАВОЧНИК!$I$13+'ПЛАН ЧЕРН К2'!P35*СПРАВОЧНИК!$J$13)+СПРАВОЧНИК!$E$14*('ПЛАН ЧЕРН К2'!Q35*СПРАВОЧНИК!$H$14+'ПЛАН ЧЕРН К2'!R35*СПРАВОЧНИК!$I$14+'ПЛАН ЧЕРН К2'!S35*СПРАВОЧНИК!$J$14)+СПРАВОЧНИК!$E$15*('ПЛАН ЧЕРН К2'!T35*СПРАВОЧНИК!$H$15+'ПЛАН ЧЕРН К2'!U35*СПРАВОЧНИК!$I$15+'ПЛАН ЧЕРН К2'!V35*СПРАВОЧНИК!$J$15)+СПРАВОЧНИК!$F$9*('ПЛАН ЧИСТ К2'!B35*СПРАВОЧНИК!$L$9+'ПЛАН ЧИСТ К2'!C35*СПРАВОЧНИК!$M$9+'ПЛАН ЧИСТ К2'!D35*СПРАВОЧНИК!$N$9+'ПЛАН ЧИСТ К2'!E35*СПРАВОЧНИК!$O$9)+СПРАВОЧНИК!$F$10*('ПЛАН ЧИСТ К2'!F35*СПРАВОЧНИК!$L$10+'ПЛАН ЧИСТ К2'!G35*СПРАВОЧНИК!$M$10+'ПЛАН ЧИСТ К2'!H35*СПРАВОЧНИК!$N$10)+СПРАВОЧНИК!$F$11*('ПЛАН ЧИСТ К2'!I35*СПРАВОЧНИК!$L$11+'ПЛАН ЧИСТ К2'!J35*СПРАВОЧНИК!$M$11+'ПЛАН ЧИСТ К2'!K35*СПРАВОЧНИК!$N$11)+СПРАВОЧНИК!$F$12*('ПЛАН ЧИСТ К2'!L35*СПРАВОЧНИК!$L$12+'ПЛАН ЧИСТ К2'!M35*СПРАВОЧНИК!$M$12+'ПЛАН ЧИСТ К2'!N35*СПРАВОЧНИК!$N$12)+СПРАВОЧНИК!$F$13*('ПЛАН ЧИСТ К2'!O35*СПРАВОЧНИК!$L$13+'ПЛАН ЧИСТ К2'!P35*СПРАВОЧНИК!$M$13+'ПЛАН ЧИСТ К2'!Q35*СПРАВОЧНИК!$N$13)+СПРАВОЧНИК!$F$14*('ПЛАН ЧИСТ К2'!R35*СПРАВОЧНИК!$L$14+'ПЛАН ЧИСТ К2'!S35*СПРАВОЧНИК!$M$14+'ПЛАН ЧИСТ К2'!T35*СПРАВОЧНИК!$N$14)+СПРАВОЧНИК!$F$15*('ПЛАН ЧИСТ К2'!U35*СПРАВОЧНИК!$L$15+'ПЛАН ЧИСТ К2'!V35*СПРАВОЧНИК!$M$15+'ПЛАН ЧИСТ К2'!W35*СПРАВОЧНИК!$N$15)</f>
        <v>0</v>
      </c>
      <c r="AO44" s="40">
        <f>СПРАВОЧНИК!$E$9*(('ФАКТ ЧЕРН К2'!B35)*СПРАВОЧНИК!$H$9+('ФАКТ ЧЕРН К2'!C35)*СПРАВОЧНИК!$I$9+('ФАКТ ЧЕРН К2'!D35)*СПРАВОЧНИК!$J$9)+СПРАВОЧНИК!$E$10*(('ФАКТ ЧЕРН К2'!E35)*СПРАВОЧНИК!$H$10+('ФАКТ ЧЕРН К2'!F35)*СПРАВОЧНИК!$I$10+('ФАКТ ЧЕРН К2'!G35)*СПРАВОЧНИК!$J$10)+СПРАВОЧНИК!$E$11*(('ФАКТ ЧЕРН К2'!H35)*СПРАВОЧНИК!$H$11+('ФАКТ ЧЕРН К2'!I35)*СПРАВОЧНИК!$I$11+('ФАКТ ЧЕРН К2'!J35)*СПРАВОЧНИК!$J$11)+СПРАВОЧНИК!$E$12*(('ФАКТ ЧЕРН К2'!K35)*СПРАВОЧНИК!$H$12+('ФАКТ ЧЕРН К2'!L35)*СПРАВОЧНИК!$I$12+('ФАКТ ЧЕРН К2'!M35)*СПРАВОЧНИК!$J$12)+СПРАВОЧНИК!$E$13*(('ФАКТ ЧЕРН К2'!N35)*СПРАВОЧНИК!$H$13+('ФАКТ ЧЕРН К2'!O35)*СПРАВОЧНИК!$I$13+('ФАКТ ЧЕРН К2'!P35)*СПРАВОЧНИК!$J$13)+СПРАВОЧНИК!$E$14*(('ФАКТ ЧЕРН К2'!Q35)*СПРАВОЧНИК!$H$14+('ФАКТ ЧЕРН К2'!R35)*СПРАВОЧНИК!$I$14+('ФАКТ ЧЕРН К2'!S35)*СПРАВОЧНИК!$J$14)+СПРАВОЧНИК!$E$15*(('ФАКТ ЧЕРН К2'!T35)*СПРАВОЧНИК!$H$15+('ФАКТ ЧЕРН К2'!U35)*СПРАВОЧНИК!$I$15+('ФАКТ ЧЕРН К2'!V35)*СПРАВОЧНИК!$J$15)+СПРАВОЧНИК!$F$9*(('ФАКТ ЧИСТ К2'!B35)*СПРАВОЧНИК!$L$9+('ФАКТ ЧИСТ К2'!C35)*СПРАВОЧНИК!$M$9+('ФАКТ ЧИСТ К2'!D35)*СПРАВОЧНИК!$N$9+('ФАКТ ЧИСТ К2'!E35)*СПРАВОЧНИК!$O$9)+СПРАВОЧНИК!$F$10*(('ФАКТ ЧИСТ К2'!F35)*СПРАВОЧНИК!$L$10+('ФАКТ ЧИСТ К2'!G35)*СПРАВОЧНИК!$M$10+('ФАКТ ЧИСТ К2'!H35)*СПРАВОЧНИК!$N$10)+СПРАВОЧНИК!$F$11*(('ФАКТ ЧИСТ К2'!I35)*СПРАВОЧНИК!$L$11+('ФАКТ ЧИСТ К2'!J35)*СПРАВОЧНИК!$M$11+('ФАКТ ЧИСТ К2'!K35)*СПРАВОЧНИК!$N$11)+СПРАВОЧНИК!$F$12*(('ФАКТ ЧИСТ К2'!L35)*СПРАВОЧНИК!$L$12+('ФАКТ ЧИСТ К2'!M35)*СПРАВОЧНИК!$M$12+('ФАКТ ЧИСТ К2'!N35)*СПРАВОЧНИК!$N$12)+СПРАВОЧНИК!$F$13*(('ФАКТ ЧИСТ К2'!O35)*СПРАВОЧНИК!$L$13+('ФАКТ ЧИСТ К2'!P35)*СПРАВОЧНИК!$M$13+('ФАКТ ЧИСТ К2'!Q35)*СПРАВОЧНИК!$N$13)+СПРАВОЧНИК!$F$14*(('ФАКТ ЧИСТ К2'!R35)*СПРАВОЧНИК!$L$14+('ФАКТ ЧИСТ К2'!S35)*СПРАВОЧНИК!$M$14+('ФАКТ ЧИСТ К2'!T35)*СПРАВОЧНИК!$N$14)+СПРАВОЧНИК!$F$15*(('ФАКТ ЧИСТ К2'!U35)*СПРАВОЧНИК!$L$15+('ФАКТ ЧИСТ К2'!V35)*СПРАВОЧНИК!$M$15+('ФАКТ ЧИСТ К2'!W35)*СПРАВОЧНИК!$N$15)</f>
        <v>0</v>
      </c>
      <c r="AS44" s="18">
        <f t="shared" si="19"/>
        <v>46384</v>
      </c>
      <c r="AT44" s="37">
        <f>'ПЛАН ЧЕРН К2'!B35*СПРАВОЧНИК!$H$9+'ПЛАН ЧЕРН К2'!C35*СПРАВОЧНИК!$I$9+'ПЛАН ЧЕРН К2'!D35*СПРАВОЧНИК!$J$9+'ПЛАН ЧЕРН К2'!E35*СПРАВОЧНИК!$H$10+'ПЛАН ЧЕРН К2'!F35*СПРАВОЧНИК!$I$10+'ПЛАН ЧЕРН К2'!G35*СПРАВОЧНИК!$J$10+'ПЛАН ЧЕРН К2'!H35*СПРАВОЧНИК!$H$11+'ПЛАН ЧЕРН К2'!I35*СПРАВОЧНИК!$I$11+'ПЛАН ЧЕРН К2'!J35*СПРАВОЧНИК!$J$11+'ПЛАН ЧЕРН К2'!K35*СПРАВОЧНИК!$H$12+'ПЛАН ЧЕРН К2'!L35*СПРАВОЧНИК!$I$12+'ПЛАН ЧЕРН К2'!M35*СПРАВОЧНИК!$J$12+'ПЛАН ЧЕРН К2'!N35*СПРАВОЧНИК!$H$13+'ПЛАН ЧЕРН К2'!O35*СПРАВОЧНИК!$I$13+'ПЛАН ЧЕРН К2'!P35*СПРАВОЧНИК!$J$13+'ПЛАН ЧЕРН К2'!Q35*СПРАВОЧНИК!$H$14+'ПЛАН ЧЕРН К2'!R35*СПРАВОЧНИК!$I$14+'ПЛАН ЧЕРН К2'!S35*СПРАВОЧНИК!$J$14+'ПЛАН ЧЕРН К2'!T35*СПРАВОЧНИК!$H$15+'ПЛАН ЧЕРН К2'!U35*СПРАВОЧНИК!$I$15+'ПЛАН ЧЕРН К2'!V35*СПРАВОЧНИК!$J$15</f>
        <v>0</v>
      </c>
      <c r="AU44" s="40">
        <f>('ФАКТ ЧЕРН К2'!B35)*СПРАВОЧНИК!$H$9+('ФАКТ ЧЕРН К2'!C35)*СПРАВОЧНИК!$I$9+('ФАКТ ЧЕРН К2'!D35)*СПРАВОЧНИК!$J$9+('ФАКТ ЧЕРН К2'!E35)*СПРАВОЧНИК!$H$10+('ФАКТ ЧЕРН К2'!F35)*СПРАВОЧНИК!$I$10+('ФАКТ ЧЕРН К2'!G35)*СПРАВОЧНИК!$J$10+('ФАКТ ЧЕРН К2'!H35)*СПРАВОЧНИК!$H$11+('ФАКТ ЧЕРН К2'!I35)*СПРАВОЧНИК!$I$11+('ФАКТ ЧЕРН К2'!J35)*СПРАВОЧНИК!$J$11+('ФАКТ ЧЕРН К2'!K35)*СПРАВОЧНИК!$H$12+('ФАКТ ЧЕРН К2'!L35)*СПРАВОЧНИК!$I$12+('ФАКТ ЧЕРН К2'!M35)*СПРАВОЧНИК!$J$12+('ФАКТ ЧЕРН К2'!N35)*СПРАВОЧНИК!$H$13+('ФАКТ ЧЕРН К2'!O35)*СПРАВОЧНИК!$I$13+('ФАКТ ЧЕРН К2'!P35)*СПРАВОЧНИК!$J$13+('ФАКТ ЧЕРН К2'!Q35)*СПРАВОЧНИК!$H$14+('ФАКТ ЧЕРН К2'!R35)*СПРАВОЧНИК!$I$14+('ФАКТ ЧЕРН К2'!S35)*СПРАВОЧНИК!$J$14+('ФАКТ ЧЕРН К2'!T35)*СПРАВОЧНИК!$H$15+('ФАКТ ЧЕРН К2'!U35)*СПРАВОЧНИК!$I$15+('ФАКТ ЧЕРН К2'!V35)*СПРАВОЧНИК!$J$15</f>
        <v>0</v>
      </c>
      <c r="AY44" s="18">
        <f t="shared" si="20"/>
        <v>46384</v>
      </c>
      <c r="AZ44" s="37">
        <f>'ПЛАН ЧИСТ К2'!B35*СПРАВОЧНИК!$L$9+'ПЛАН ЧИСТ К2'!C35*СПРАВОЧНИК!$M$9+'ПЛАН ЧИСТ К2'!D35*СПРАВОЧНИК!$N$9+'ПЛАН ЧИСТ К2'!E35*СПРАВОЧНИК!$O$9+'ПЛАН ЧИСТ К2'!F35*СПРАВОЧНИК!$L$10+'ПЛАН ЧИСТ К2'!G35*СПРАВОЧНИК!$M$10+'ПЛАН ЧИСТ К2'!H35*СПРАВОЧНИК!$N$10+'ПЛАН ЧИСТ К2'!I35*СПРАВОЧНИК!$L$11+'ПЛАН ЧИСТ К2'!J35*СПРАВОЧНИК!$M$11+'ПЛАН ЧИСТ К2'!K35*СПРАВОЧНИК!$N$11+'ПЛАН ЧИСТ К2'!L35*СПРАВОЧНИК!$L$12+'ПЛАН ЧИСТ К2'!M35*СПРАВОЧНИК!$M$12+'ПЛАН ЧИСТ К2'!N35*СПРАВОЧНИК!$N$12+'ПЛАН ЧИСТ К2'!O35*СПРАВОЧНИК!$L$13+'ПЛАН ЧИСТ К2'!P35*СПРАВОЧНИК!$M$13+'ПЛАН ЧИСТ К2'!Q35*СПРАВОЧНИК!$N$13+'ПЛАН ЧИСТ К2'!R35*СПРАВОЧНИК!$L$14+'ПЛАН ЧИСТ К2'!S35*СПРАВОЧНИК!$M$14+'ПЛАН ЧИСТ К2'!T35*СПРАВОЧНИК!$N$14+'ПЛАН ЧИСТ К2'!U35*СПРАВОЧНИК!$L$15+'ПЛАН ЧИСТ К2'!V35*СПРАВОЧНИК!$M$15+'ПЛАН ЧИСТ К2'!W35*СПРАВОЧНИК!$N$15</f>
        <v>0</v>
      </c>
      <c r="BA44" s="40">
        <f>('ФАКТ ЧИСТ К2'!B35)*СПРАВОЧНИК!$L$9+('ФАКТ ЧИСТ К2'!C35)*СПРАВОЧНИК!$M$9+('ФАКТ ЧИСТ К2'!D35)*СПРАВОЧНИК!$N$9+('ФАКТ ЧИСТ К2'!E35)*СПРАВОЧНИК!$O$9+('ФАКТ ЧИСТ К2'!F35)*СПРАВОЧНИК!$L$10+('ФАКТ ЧИСТ К2'!G35)*СПРАВОЧНИК!$M$10+('ФАКТ ЧИСТ К2'!H35)*СПРАВОЧНИК!$N$10+('ФАКТ ЧИСТ К2'!I35)*СПРАВОЧНИК!$L$11+('ФАКТ ЧИСТ К2'!J35)*СПРАВОЧНИК!$M$11+('ФАКТ ЧИСТ К2'!K35)*СПРАВОЧНИК!$N$11+('ФАКТ ЧИСТ К2'!L35)*СПРАВОЧНИК!$L$12+('ФАКТ ЧИСТ К2'!M35)*СПРАВОЧНИК!$M$12+('ФАКТ ЧИСТ К2'!N35)*СПРАВОЧНИК!$N$12+('ФАКТ ЧИСТ К2'!O35)*СПРАВОЧНИК!$L$13+('ФАКТ ЧИСТ К2'!P35)*СПРАВОЧНИК!$M$13+('ФАКТ ЧИСТ К2'!Q35)*СПРАВОЧНИК!$N$13+('ФАКТ ЧИСТ К2'!R35)*СПРАВОЧНИК!$L$14+('ФАКТ ЧИСТ К2'!S35)*СПРАВОЧНИК!$M$14+('ФАКТ ЧИСТ К2'!T35)*СПРАВОЧНИК!$N$14+('ФАКТ ЧИСТ К2'!U35)*СПРАВОЧНИК!$L$15+('ФАКТ ЧИСТ К2'!V35)*СПРАВОЧНИК!$M$15+('ФАКТ ЧИСТ К2'!W35)*СПРАВОЧНИК!$N$15</f>
        <v>0</v>
      </c>
      <c r="BE44" s="18">
        <f t="shared" si="21"/>
        <v>46384</v>
      </c>
      <c r="BF44" s="37">
        <f>СПРАВОЧНИК!$E$9*('ПЛАН ЧЕРН К3'!B35*СПРАВОЧНИК!$H$9+'ПЛАН ЧЕРН К3'!C35*СПРАВОЧНИК!$I$9+'ПЛАН ЧЕРН К3'!D35*СПРАВОЧНИК!$J$9)+СПРАВОЧНИК!$E$10*('ПЛАН ЧЕРН К3'!E35*СПРАВОЧНИК!$H$10+'ПЛАН ЧЕРН К3'!F35*СПРАВОЧНИК!$I$10+'ПЛАН ЧЕРН К3'!G35*СПРАВОЧНИК!$J$10)+СПРАВОЧНИК!$E$11*('ПЛАН ЧЕРН К3'!H35*СПРАВОЧНИК!$H$11+'ПЛАН ЧЕРН К3'!I35*СПРАВОЧНИК!$I$11+'ПЛАН ЧЕРН К3'!J35*СПРАВОЧНИК!$J$11)+СПРАВОЧНИК!$E$12*('ПЛАН ЧЕРН К3'!K35*СПРАВОЧНИК!$H$12+'ПЛАН ЧЕРН К3'!L35*СПРАВОЧНИК!$I$12+'ПЛАН ЧЕРН К3'!M35*СПРАВОЧНИК!$J$12)+СПРАВОЧНИК!$E$13*('ПЛАН ЧЕРН К3'!N35*СПРАВОЧНИК!$H$13+'ПЛАН ЧЕРН К3'!O35*СПРАВОЧНИК!$I$13+'ПЛАН ЧЕРН К3'!P35*СПРАВОЧНИК!$J$13)+СПРАВОЧНИК!$E$14*('ПЛАН ЧЕРН К3'!Q35*СПРАВОЧНИК!$H$14+'ПЛАН ЧЕРН К3'!R35*СПРАВОЧНИК!$I$14+'ПЛАН ЧЕРН К3'!S35*СПРАВОЧНИК!$J$14)+СПРАВОЧНИК!$E$15*('ПЛАН ЧЕРН К3'!T35*СПРАВОЧНИК!$H$15+'ПЛАН ЧЕРН К3'!U35*СПРАВОЧНИК!$I$15+'ПЛАН ЧЕРН К3'!V35*СПРАВОЧНИК!$J$15)+СПРАВОЧНИК!$F$9*('ПЛАН ЧИСТ К3'!B35*СПРАВОЧНИК!$L$9+'ПЛАН ЧИСТ К3'!C35*СПРАВОЧНИК!$M$9+'ПЛАН ЧИСТ К3'!D35*СПРАВОЧНИК!$N$9+'ПЛАН ЧИСТ К3'!E35*СПРАВОЧНИК!$O$9)+СПРАВОЧНИК!$F$10*('ПЛАН ЧИСТ К3'!F35*СПРАВОЧНИК!$L$10+'ПЛАН ЧИСТ К3'!G35*СПРАВОЧНИК!$M$10+'ПЛАН ЧИСТ К3'!H35*СПРАВОЧНИК!$N$10)+СПРАВОЧНИК!$F$11*('ПЛАН ЧИСТ К3'!I35*СПРАВОЧНИК!$L$11+'ПЛАН ЧИСТ К3'!J35*СПРАВОЧНИК!$M$11+'ПЛАН ЧИСТ К3'!K35*СПРАВОЧНИК!$N$11)+СПРАВОЧНИК!$F$12*('ПЛАН ЧИСТ К3'!L35*СПРАВОЧНИК!$L$12+'ПЛАН ЧИСТ К3'!M35*СПРАВОЧНИК!$M$12+'ПЛАН ЧИСТ К3'!N35*СПРАВОЧНИК!$N$12)+СПРАВОЧНИК!$F$13*('ПЛАН ЧИСТ К3'!O35*СПРАВОЧНИК!$L$13+'ПЛАН ЧИСТ К3'!P35*СПРАВОЧНИК!$M$13+'ПЛАН ЧИСТ К3'!Q35*СПРАВОЧНИК!$N$13)+СПРАВОЧНИК!$F$14*('ПЛАН ЧИСТ К3'!R35*СПРАВОЧНИК!$L$14+'ПЛАН ЧИСТ К3'!S35*СПРАВОЧНИК!$M$14+'ПЛАН ЧИСТ К3'!T35*СПРАВОЧНИК!$N$14)+СПРАВОЧНИК!$F$15*('ПЛАН ЧИСТ К3'!U35*СПРАВОЧНИК!$L$15+'ПЛАН ЧИСТ К3'!V35*СПРАВОЧНИК!$M$15+'ПЛАН ЧИСТ К3'!W35*СПРАВОЧНИК!$N$15)</f>
        <v>0</v>
      </c>
      <c r="BG44" s="40">
        <f>СПРАВОЧНИК!$E$9*(('ФАКТ ЧЕРН К3'!B35)*СПРАВОЧНИК!$H$9+('ФАКТ ЧЕРН К3'!C35)*СПРАВОЧНИК!$I$9+('ФАКТ ЧЕРН К3'!D35)*СПРАВОЧНИК!$J$9)+СПРАВОЧНИК!$E$10*(('ФАКТ ЧЕРН К3'!E35)*СПРАВОЧНИК!$H$10+('ФАКТ ЧЕРН К3'!F35)*СПРАВОЧНИК!$I$10+('ФАКТ ЧЕРН К3'!G35)*СПРАВОЧНИК!$J$10)+СПРАВОЧНИК!$E$11*(('ФАКТ ЧЕРН К3'!H35)*СПРАВОЧНИК!$H$11+('ФАКТ ЧЕРН К3'!I35)*СПРАВОЧНИК!$I$11+('ФАКТ ЧЕРН К3'!J35)*СПРАВОЧНИК!$J$11)+СПРАВОЧНИК!$E$12*(('ФАКТ ЧЕРН К3'!K35)*СПРАВОЧНИК!$H$12+('ФАКТ ЧЕРН К3'!L35)*СПРАВОЧНИК!$I$12+('ФАКТ ЧЕРН К3'!M35)*СПРАВОЧНИК!$J$12)+СПРАВОЧНИК!$E$13*(('ФАКТ ЧЕРН К3'!N35)*СПРАВОЧНИК!$H$13+('ФАКТ ЧЕРН К3'!O35)*СПРАВОЧНИК!$I$13+('ФАКТ ЧЕРН К3'!P35)*СПРАВОЧНИК!$J$13)+СПРАВОЧНИК!$E$14*(('ФАКТ ЧЕРН К3'!Q35)*СПРАВОЧНИК!$H$14+('ФАКТ ЧЕРН К3'!R35)*СПРАВОЧНИК!$I$14+('ФАКТ ЧЕРН К3'!S35)*СПРАВОЧНИК!$J$14)+СПРАВОЧНИК!$E$15*(('ФАКТ ЧЕРН К3'!T35)*СПРАВОЧНИК!$H$15+('ФАКТ ЧЕРН К3'!U35)*СПРАВОЧНИК!$I$15+('ФАКТ ЧЕРН К3'!V35)*СПРАВОЧНИК!$J$15)+СПРАВОЧНИК!$F$9*(('ФАКТ ЧИСТ К3'!B35)*СПРАВОЧНИК!$L$9+('ФАКТ ЧИСТ К3'!C35)*СПРАВОЧНИК!$M$9+('ФАКТ ЧИСТ К3'!D35)*СПРАВОЧНИК!$N$9+('ФАКТ ЧИСТ К3'!E35)*СПРАВОЧНИК!$O$9)+СПРАВОЧНИК!$F$10*(('ФАКТ ЧИСТ К3'!F35)*СПРАВОЧНИК!$L$10+('ФАКТ ЧИСТ К3'!G35)*СПРАВОЧНИК!$M$10+('ФАКТ ЧИСТ К3'!H35)*СПРАВОЧНИК!$N$10)+СПРАВОЧНИК!$F$11*(('ФАКТ ЧИСТ К3'!I35)*СПРАВОЧНИК!$L$11+('ФАКТ ЧИСТ К3'!J35)*СПРАВОЧНИК!$M$11+('ФАКТ ЧИСТ К3'!K35)*СПРАВОЧНИК!$N$11)+СПРАВОЧНИК!$F$12*(('ФАКТ ЧИСТ К3'!L35)*СПРАВОЧНИК!$L$12+('ФАКТ ЧИСТ К3'!M35)*СПРАВОЧНИК!$M$12+('ФАКТ ЧИСТ К3'!N35)*СПРАВОЧНИК!$N$12)+СПРАВОЧНИК!$F$13*(('ФАКТ ЧИСТ К3'!O35)*СПРАВОЧНИК!$L$13+('ФАКТ ЧИСТ К3'!P35)*СПРАВОЧНИК!$M$13+('ФАКТ ЧИСТ К3'!Q35)*СПРАВОЧНИК!$N$13)+СПРАВОЧНИК!$F$14*(('ФАКТ ЧИСТ К3'!R35)*СПРАВОЧНИК!$L$14+('ФАКТ ЧИСТ К3'!S35)*СПРАВОЧНИК!$M$14+('ФАКТ ЧИСТ К3'!T35)*СПРАВОЧНИК!$N$14)+СПРАВОЧНИК!$F$15*(('ФАКТ ЧИСТ К3'!U35)*СПРАВОЧНИК!$L$15+('ФАКТ ЧИСТ К3'!V35)*СПРАВОЧНИК!$M$15+('ФАКТ ЧИСТ К3'!W35)*СПРАВОЧНИК!$N$15)</f>
        <v>0</v>
      </c>
      <c r="BK44" s="18">
        <f t="shared" si="22"/>
        <v>46384</v>
      </c>
      <c r="BL44" s="37">
        <f>'ПЛАН ЧЕРН К3'!B35*СПРАВОЧНИК!$H$9+'ПЛАН ЧЕРН К3'!C35*СПРАВОЧНИК!$I$9+'ПЛАН ЧЕРН К3'!D35*СПРАВОЧНИК!$J$9+'ПЛАН ЧЕРН К3'!E35*СПРАВОЧНИК!$H$10+'ПЛАН ЧЕРН К3'!F35*СПРАВОЧНИК!$I$10+'ПЛАН ЧЕРН К3'!G35*СПРАВОЧНИК!$J$10+'ПЛАН ЧЕРН К3'!H35*СПРАВОЧНИК!$H$11+'ПЛАН ЧЕРН К3'!I35*СПРАВОЧНИК!$I$11+'ПЛАН ЧЕРН К3'!J35*СПРАВОЧНИК!$J$11+'ПЛАН ЧЕРН К3'!K35*СПРАВОЧНИК!$H$12+'ПЛАН ЧЕРН К3'!L35*СПРАВОЧНИК!$I$12+'ПЛАН ЧЕРН К3'!M35*СПРАВОЧНИК!$J$12+'ПЛАН ЧЕРН К3'!N35*СПРАВОЧНИК!$H$13+'ПЛАН ЧЕРН К3'!O35*СПРАВОЧНИК!$I$13+'ПЛАН ЧЕРН К3'!P35*СПРАВОЧНИК!$J$13+'ПЛАН ЧЕРН К3'!Q35*СПРАВОЧНИК!$H$14+'ПЛАН ЧЕРН К3'!R35*СПРАВОЧНИК!$I$14+'ПЛАН ЧЕРН К3'!S35*СПРАВОЧНИК!$J$14+'ПЛАН ЧЕРН К3'!T35*СПРАВОЧНИК!$H$15+'ПЛАН ЧЕРН К3'!U35*СПРАВОЧНИК!$I$15+'ПЛАН ЧЕРН К3'!V35*СПРАВОЧНИК!$J$15</f>
        <v>0</v>
      </c>
      <c r="BM44" s="40">
        <f>('ФАКТ ЧЕРН К3'!B35)*СПРАВОЧНИК!$H$9+('ФАКТ ЧЕРН К3'!C35)*СПРАВОЧНИК!$I$9+('ФАКТ ЧЕРН К3'!D35)*СПРАВОЧНИК!$J$9+('ФАКТ ЧЕРН К3'!E35)*СПРАВОЧНИК!$H$10+('ФАКТ ЧЕРН К3'!F35)*СПРАВОЧНИК!$I$10+('ФАКТ ЧЕРН К3'!G35)*СПРАВОЧНИК!$J$10+('ФАКТ ЧЕРН К3'!H35)*СПРАВОЧНИК!$H$11+('ФАКТ ЧЕРН К3'!I35)*СПРАВОЧНИК!$I$11+('ФАКТ ЧЕРН К3'!J35)*СПРАВОЧНИК!$J$11+('ФАКТ ЧЕРН К3'!K35)*СПРАВОЧНИК!$H$12+('ФАКТ ЧЕРН К3'!L35)*СПРАВОЧНИК!$I$12+('ФАКТ ЧЕРН К3'!M35)*СПРАВОЧНИК!$J$12+('ФАКТ ЧЕРН К3'!N35)*СПРАВОЧНИК!$H$13+('ФАКТ ЧЕРН К3'!O35)*СПРАВОЧНИК!$I$13+('ФАКТ ЧЕРН К3'!P35)*СПРАВОЧНИК!$J$13+('ФАКТ ЧЕРН К3'!Q35)*СПРАВОЧНИК!$H$14+('ФАКТ ЧЕРН К3'!R35)*СПРАВОЧНИК!$I$14+('ФАКТ ЧЕРН К3'!S35)*СПРАВОЧНИК!$J$14+('ФАКТ ЧЕРН К3'!T35)*СПРАВОЧНИК!$H$15+('ФАКТ ЧЕРН К3'!U35)*СПРАВОЧНИК!$I$15+('ФАКТ ЧЕРН К3'!V35)*СПРАВОЧНИК!$J$15</f>
        <v>0</v>
      </c>
      <c r="BQ44" s="18">
        <f t="shared" si="23"/>
        <v>46384</v>
      </c>
      <c r="BR44" s="37">
        <f>'ПЛАН ЧИСТ К3'!B35*СПРАВОЧНИК!$L$9+'ПЛАН ЧИСТ К3'!C35*СПРАВОЧНИК!$M$9+'ПЛАН ЧИСТ К3'!D35*СПРАВОЧНИК!$N$9+'ПЛАН ЧИСТ К3'!E35*СПРАВОЧНИК!$O$9+'ПЛАН ЧИСТ К3'!F35*СПРАВОЧНИК!$L$10+'ПЛАН ЧИСТ К3'!G35*СПРАВОЧНИК!$M$10+'ПЛАН ЧИСТ К3'!H35*СПРАВОЧНИК!$N$10+'ПЛАН ЧИСТ К3'!I35*СПРАВОЧНИК!$L$11+'ПЛАН ЧИСТ К3'!J35*СПРАВОЧНИК!$M$11+'ПЛАН ЧИСТ К3'!K35*СПРАВОЧНИК!$N$11+'ПЛАН ЧИСТ К3'!L35*СПРАВОЧНИК!$L$12+'ПЛАН ЧИСТ К3'!M35*СПРАВОЧНИК!$M$12+'ПЛАН ЧИСТ К3'!N35*СПРАВОЧНИК!$N$12+'ПЛАН ЧИСТ К3'!O35*СПРАВОЧНИК!$L$13+'ПЛАН ЧИСТ К3'!P35*СПРАВОЧНИК!$M$13+'ПЛАН ЧИСТ К3'!Q35*СПРАВОЧНИК!$N$13+'ПЛАН ЧИСТ К3'!R35*СПРАВОЧНИК!$L$14+'ПЛАН ЧИСТ К3'!S35*СПРАВОЧНИК!$M$14+'ПЛАН ЧИСТ К3'!T35*СПРАВОЧНИК!$N$14+'ПЛАН ЧИСТ К3'!U35*СПРАВОЧНИК!$L$15+'ПЛАН ЧИСТ К3'!V35*СПРАВОЧНИК!$M$15+'ПЛАН ЧИСТ К3'!W35*СПРАВОЧНИК!$N$15</f>
        <v>0</v>
      </c>
      <c r="BS44" s="40">
        <f>('ФАКТ ЧИСТ К3'!B35)*СПРАВОЧНИК!$L$9+('ФАКТ ЧИСТ К3'!C35)*СПРАВОЧНИК!$M$9+('ФАКТ ЧИСТ К3'!D35)*СПРАВОЧНИК!$N$9+('ФАКТ ЧИСТ К3'!E35)*СПРАВОЧНИК!$O$9+('ФАКТ ЧИСТ К3'!F35)*СПРАВОЧНИК!$L$10+('ФАКТ ЧИСТ К3'!G35)*СПРАВОЧНИК!$M$10+('ФАКТ ЧИСТ К3'!H35)*СПРАВОЧНИК!$N$10+('ФАКТ ЧИСТ К3'!I35)*СПРАВОЧНИК!$L$11+('ФАКТ ЧИСТ К3'!J35)*СПРАВОЧНИК!$M$11+('ФАКТ ЧИСТ К3'!K35)*СПРАВОЧНИК!$N$11+('ФАКТ ЧИСТ К3'!L35)*СПРАВОЧНИК!$L$12+('ФАКТ ЧИСТ К3'!M35)*СПРАВОЧНИК!$M$12+('ФАКТ ЧИСТ К3'!N35)*СПРАВОЧНИК!$N$12+('ФАКТ ЧИСТ К3'!O35)*СПРАВОЧНИК!$L$13+('ФАКТ ЧИСТ К3'!P35)*СПРАВОЧНИК!$M$13+('ФАКТ ЧИСТ К3'!Q35)*СПРАВОЧНИК!$N$13+('ФАКТ ЧИСТ К3'!R35)*СПРАВОЧНИК!$L$14+('ФАКТ ЧИСТ К3'!S35)*СПРАВОЧНИК!$M$14+('ФАКТ ЧИСТ К3'!T35)*СПРАВОЧНИК!$N$14+('ФАКТ ЧИСТ К3'!U35)*СПРАВОЧНИК!$L$15+('ФАКТ ЧИСТ К3'!V35)*СПРАВОЧНИК!$M$15+('ФАКТ ЧИСТ К3'!W35)*СПРАВОЧНИК!$N$15</f>
        <v>0</v>
      </c>
      <c r="BW44" s="18">
        <f t="shared" si="24"/>
        <v>46384</v>
      </c>
      <c r="BX44" s="37">
        <f t="shared" si="0"/>
        <v>0</v>
      </c>
      <c r="BY44" s="40">
        <f t="shared" si="1"/>
        <v>0</v>
      </c>
      <c r="CC44" s="18">
        <f t="shared" si="25"/>
        <v>46384</v>
      </c>
      <c r="CD44" s="37">
        <f t="shared" si="2"/>
        <v>0</v>
      </c>
      <c r="CE44" s="40">
        <f t="shared" si="3"/>
        <v>0</v>
      </c>
      <c r="CI44" s="18">
        <f t="shared" si="26"/>
        <v>46384</v>
      </c>
      <c r="CJ44" s="37">
        <f t="shared" si="4"/>
        <v>0</v>
      </c>
      <c r="CK44" s="40">
        <f t="shared" si="5"/>
        <v>0</v>
      </c>
      <c r="CO44" s="18">
        <f t="shared" si="27"/>
        <v>46384</v>
      </c>
      <c r="CP44" s="37">
        <f t="shared" si="6"/>
        <v>0</v>
      </c>
      <c r="CQ44" s="40">
        <f t="shared" si="7"/>
        <v>0</v>
      </c>
      <c r="CU44" s="18">
        <f t="shared" si="28"/>
        <v>46384</v>
      </c>
      <c r="CV44" s="37">
        <f t="shared" si="8"/>
        <v>0</v>
      </c>
      <c r="CW44" s="40">
        <f t="shared" si="9"/>
        <v>0</v>
      </c>
      <c r="DA44" s="18">
        <f t="shared" si="29"/>
        <v>46384</v>
      </c>
      <c r="DB44" s="37">
        <f t="shared" si="10"/>
        <v>0</v>
      </c>
      <c r="DC44" s="40">
        <f t="shared" si="11"/>
        <v>0</v>
      </c>
    </row>
    <row r="45" spans="3:107" x14ac:dyDescent="0.25">
      <c r="C45" s="18">
        <f t="shared" si="12"/>
        <v>46391</v>
      </c>
      <c r="D45" s="37">
        <f>СПРАВОЧНИК!$E$3*('ПЛАН ЧЕРН ПОДЗЕМ'!B36*СПРАВОЧНИК!$H$3+'ПЛАН ЧЕРН ПОДЗЕМ'!C36*СПРАВОЧНИК!$I$3+'ПЛАН ЧЕРН ПОДЗЕМ'!D36*СПРАВОЧНИК!$J$3)+СПРАВОЧНИК!$E$4*('ПЛАН ЧЕРН ПОДЗЕМ'!E36*СПРАВОЧНИК!$H$4+'ПЛАН ЧЕРН ПОДЗЕМ'!F36*СПРАВОЧНИК!$I$4+'ПЛАН ЧЕРН ПОДЗЕМ'!G36*СПРАВОЧНИК!$J$4)+СПРАВОЧНИК!$E$5*('ПЛАН ЧЕРН ПОДЗЕМ'!H36*СПРАВОЧНИК!$H$5+'ПЛАН ЧЕРН ПОДЗЕМ'!I36*СПРАВОЧНИК!$I$5+'ПЛАН ЧЕРН ПОДЗЕМ'!J36*СПРАВОЧНИК!$J$5)+СПРАВОЧНИК!$E$6*('ПЛАН ЧЕРН ПОДЗЕМ'!K36*СПРАВОЧНИК!$H$6+'ПЛАН ЧЕРН ПОДЗЕМ'!L36*СПРАВОЧНИК!$I$6+'ПЛАН ЧЕРН ПОДЗЕМ'!M36*СПРАВОЧНИК!$J$6)+СПРАВОЧНИК!$E$7*('ПЛАН ЧЕРН ПОДЗЕМ'!N36*СПРАВОЧНИК!$H$7+'ПЛАН ЧЕРН ПОДЗЕМ'!O36*СПРАВОЧНИК!$I$7+'ПЛАН ЧЕРН ПОДЗЕМ'!P36*СПРАВОЧНИК!$J$7)+СПРАВОЧНИК!$E$8*('ПЛАН ЧЕРН ПОДЗЕМ'!Q36*СПРАВОЧНИК!$H$8+'ПЛАН ЧЕРН ПОДЗЕМ'!R36*СПРАВОЧНИК!$I$8+'ПЛАН ЧЕРН ПОДЗЕМ'!S36*СПРАВОЧНИК!$J$8)+СПРАВОЧНИК!$F$3*('ПЛАН ЧИСТ ПОДЗЕМ'!B36*СПРАВОЧНИК!$L$3+'ПЛАН ЧИСТ ПОДЗЕМ'!C36*СПРАВОЧНИК!$M$3+'ПЛАН ЧИСТ ПОДЗЕМ'!D36*СПРАВОЧНИК!$N$3)+СПРАВОЧНИК!$F$4*('ПЛАН ЧИСТ ПОДЗЕМ'!E36*СПРАВОЧНИК!$L$4+'ПЛАН ЧИСТ ПОДЗЕМ'!F36*СПРАВОЧНИК!$M$4+'ПЛАН ЧИСТ ПОДЗЕМ'!G36*СПРАВОЧНИК!$N$4)+СПРАВОЧНИК!$F$5*('ПЛАН ЧИСТ ПОДЗЕМ'!H36*СПРАВОЧНИК!$L$5+'ПЛАН ЧИСТ ПОДЗЕМ'!I36*СПРАВОЧНИК!$M$5+'ПЛАН ЧИСТ ПОДЗЕМ'!J36*СПРАВОЧНИК!$N$5)+СПРАВОЧНИК!$F$6*('ПЛАН ЧИСТ ПОДЗЕМ'!K36*СПРАВОЧНИК!$L$6+'ПЛАН ЧИСТ ПОДЗЕМ'!L36*СПРАВОЧНИК!$M$6+'ПЛАН ЧИСТ ПОДЗЕМ'!M36*СПРАВОЧНИК!$N$6)+СПРАВОЧНИК!$F$7*('ПЛАН ЧИСТ ПОДЗЕМ'!N36*СПРАВОЧНИК!$L$7+'ПЛАН ЧИСТ ПОДЗЕМ'!O36*СПРАВОЧНИК!$M$7+'ПЛАН ЧИСТ ПОДЗЕМ'!P36*СПРАВОЧНИК!$N$7)+СПРАВОЧНИК!$F$8*('ПЛАН ЧИСТ ПОДЗЕМ'!Q36*СПРАВОЧНИК!$L$8+'ПЛАН ЧИСТ ПОДЗЕМ'!R36*СПРАВОЧНИК!$M$8+'ПЛАН ЧИСТ ПОДЗЕМ'!S36*СПРАВОЧНИК!$N$8)</f>
        <v>0</v>
      </c>
      <c r="E45" s="40">
        <f>СПРАВОЧНИК!$E$3*(('ФАКТ ЧЕРН ПОДЗЕМ'!B36)*СПРАВОЧНИК!$H$3+('ФАКТ ЧЕРН ПОДЗЕМ'!C36)*СПРАВОЧНИК!$I$3+('ФАКТ ЧЕРН ПОДЗЕМ'!D36)*СПРАВОЧНИК!$J$3)+СПРАВОЧНИК!$E$4*(('ФАКТ ЧЕРН ПОДЗЕМ'!E36)*СПРАВОЧНИК!$H$4+('ФАКТ ЧЕРН ПОДЗЕМ'!F36)*СПРАВОЧНИК!$I$4+('ФАКТ ЧЕРН ПОДЗЕМ'!G36)*СПРАВОЧНИК!$J$4)+СПРАВОЧНИК!$E$5*(('ФАКТ ЧЕРН ПОДЗЕМ'!H36)*СПРАВОЧНИК!$H$5+('ФАКТ ЧЕРН ПОДЗЕМ'!I36)*СПРАВОЧНИК!$I$5+('ФАКТ ЧЕРН ПОДЗЕМ'!J36)*СПРАВОЧНИК!$J$5)+СПРАВОЧНИК!$E$6*(('ФАКТ ЧЕРН ПОДЗЕМ'!K36)*СПРАВОЧНИК!$H$6+('ФАКТ ЧЕРН ПОДЗЕМ'!L36)*СПРАВОЧНИК!$I$6+('ФАКТ ЧЕРН ПОДЗЕМ'!M36)*СПРАВОЧНИК!$J$6)+СПРАВОЧНИК!$E$7*(('ФАКТ ЧЕРН ПОДЗЕМ'!N36)*СПРАВОЧНИК!$H$7+('ФАКТ ЧЕРН ПОДЗЕМ'!O36)*СПРАВОЧНИК!$I$7+('ФАКТ ЧЕРН ПОДЗЕМ'!P36)*СПРАВОЧНИК!$J$7)+СПРАВОЧНИК!$E$8*(('ФАКТ ЧЕРН ПОДЗЕМ'!Q36)*СПРАВОЧНИК!$H$8+('ФАКТ ЧЕРН ПОДЗЕМ'!R36)*СПРАВОЧНИК!$I$8+('ФАКТ ЧЕРН ПОДЗЕМ'!S36)*СПРАВОЧНИК!$J$8)+СПРАВОЧНИК!$F$3*(('ФАКТ ЧИСТ ПОДЗЕМ'!B36)*СПРАВОЧНИК!$L$3+('ФАКТ ЧИСТ ПОДЗЕМ'!C36)*СПРАВОЧНИК!$M$3+('ФАКТ ЧИСТ ПОДЗЕМ'!D36)*СПРАВОЧНИК!$N$3)+СПРАВОЧНИК!$F$4*(('ФАКТ ЧИСТ ПОДЗЕМ'!E36)*СПРАВОЧНИК!$L$4+('ФАКТ ЧИСТ ПОДЗЕМ'!F36)*СПРАВОЧНИК!$M$4+('ФАКТ ЧИСТ ПОДЗЕМ'!G36)*СПРАВОЧНИК!$N$4)+СПРАВОЧНИК!$F$5*(('ФАКТ ЧИСТ ПОДЗЕМ'!H36)*СПРАВОЧНИК!$L$5+('ФАКТ ЧИСТ ПОДЗЕМ'!I36)*СПРАВОЧНИК!$M$5+('ФАКТ ЧИСТ ПОДЗЕМ'!J36)*СПРАВОЧНИК!$N$5)+СПРАВОЧНИК!$F$6*(('ФАКТ ЧИСТ ПОДЗЕМ'!K36)*СПРАВОЧНИК!$L$6+('ФАКТ ЧИСТ ПОДЗЕМ'!L36)*СПРАВОЧНИК!$M$6+('ФАКТ ЧИСТ ПОДЗЕМ'!M36)*СПРАВОЧНИК!$N$6)+СПРАВОЧНИК!$F$7*(('ФАКТ ЧИСТ ПОДЗЕМ'!N36)*СПРАВОЧНИК!$L$7+('ФАКТ ЧИСТ ПОДЗЕМ'!O36)*СПРАВОЧНИК!$M$7+('ФАКТ ЧИСТ ПОДЗЕМ'!P36)*СПРАВОЧНИК!$N$7)+СПРАВОЧНИК!$F$8*(('ФАКТ ЧИСТ ПОДЗЕМ'!Q36)*СПРАВОЧНИК!$L$8+('ФАКТ ЧИСТ ПОДЗЕМ'!R36)*СПРАВОЧНИК!$M$8+('ФАКТ ЧИСТ ПОДЗЕМ'!S36)*СПРАВОЧНИК!$N$8)</f>
        <v>0</v>
      </c>
      <c r="I45" s="18">
        <f t="shared" si="13"/>
        <v>46391</v>
      </c>
      <c r="J45" s="37">
        <f>'ПЛАН ЧЕРН ПОДЗЕМ'!B36*СПРАВОЧНИК!$H$3+'ПЛАН ЧЕРН ПОДЗЕМ'!C36*СПРАВОЧНИК!$I$3+'ПЛАН ЧЕРН ПОДЗЕМ'!D36*СПРАВОЧНИК!$J$3+'ПЛАН ЧЕРН ПОДЗЕМ'!E36*СПРАВОЧНИК!$H$4+'ПЛАН ЧЕРН ПОДЗЕМ'!F36*СПРАВОЧНИК!$I$4+'ПЛАН ЧЕРН ПОДЗЕМ'!G36*СПРАВОЧНИК!$J$4+'ПЛАН ЧЕРН ПОДЗЕМ'!H36*СПРАВОЧНИК!$H$5+'ПЛАН ЧЕРН ПОДЗЕМ'!I36*СПРАВОЧНИК!$I$5+'ПЛАН ЧЕРН ПОДЗЕМ'!J36*СПРАВОЧНИК!$J$5+'ПЛАН ЧЕРН ПОДЗЕМ'!K36*СПРАВОЧНИК!$H$6+'ПЛАН ЧЕРН ПОДЗЕМ'!L36*СПРАВОЧНИК!$I$6+'ПЛАН ЧЕРН ПОДЗЕМ'!M36*СПРАВОЧНИК!$J$6+'ПЛАН ЧЕРН ПОДЗЕМ'!N36*СПРАВОЧНИК!$H$7+'ПЛАН ЧЕРН ПОДЗЕМ'!O36*СПРАВОЧНИК!$I$7+'ПЛАН ЧЕРН ПОДЗЕМ'!P36*СПРАВОЧНИК!$J$7+'ПЛАН ЧЕРН ПОДЗЕМ'!Q36*СПРАВОЧНИК!$H$8+'ПЛАН ЧЕРН ПОДЗЕМ'!R36*СПРАВОЧНИК!$I$8+'ПЛАН ЧЕРН ПОДЗЕМ'!S36*СПРАВОЧНИК!$J$8</f>
        <v>0</v>
      </c>
      <c r="K45" s="40">
        <f>('ФАКТ ЧЕРН ПОДЗЕМ'!B36)*СПРАВОЧНИК!$H$3+('ФАКТ ЧЕРН ПОДЗЕМ'!C36)*СПРАВОЧНИК!$I$3+('ФАКТ ЧЕРН ПОДЗЕМ'!D36)*СПРАВОЧНИК!$J$3+('ФАКТ ЧЕРН ПОДЗЕМ'!E36)*СПРАВОЧНИК!$H$4+('ФАКТ ЧЕРН ПОДЗЕМ'!F36)*СПРАВОЧНИК!$I$4+('ФАКТ ЧЕРН ПОДЗЕМ'!G36)*СПРАВОЧНИК!$J$4+('ФАКТ ЧЕРН ПОДЗЕМ'!H36)*СПРАВОЧНИК!$H$5+('ФАКТ ЧЕРН ПОДЗЕМ'!I36)*СПРАВОЧНИК!$I$5+('ФАКТ ЧЕРН ПОДЗЕМ'!J36)*СПРАВОЧНИК!$J$5+('ФАКТ ЧЕРН ПОДЗЕМ'!K36)*СПРАВОЧНИК!$H$6+('ФАКТ ЧЕРН ПОДЗЕМ'!L36)*СПРАВОЧНИК!$I$6+('ФАКТ ЧЕРН ПОДЗЕМ'!M36)*СПРАВОЧНИК!$J$6+('ФАКТ ЧЕРН ПОДЗЕМ'!N36)*СПРАВОЧНИК!$H$7+('ФАКТ ЧЕРН ПОДЗЕМ'!O36)*СПРАВОЧНИК!$I$7+('ФАКТ ЧЕРН ПОДЗЕМ'!P36)*СПРАВОЧНИК!$J$7+('ФАКТ ЧЕРН ПОДЗЕМ'!Q36)*СПРАВОЧНИК!$H$8+('ФАКТ ЧЕРН ПОДЗЕМ'!R36)*СПРАВОЧНИК!$I$8+('ФАКТ ЧЕРН ПОДЗЕМ'!S36)*СПРАВОЧНИК!$J$8</f>
        <v>0</v>
      </c>
      <c r="O45" s="18">
        <f t="shared" si="14"/>
        <v>46391</v>
      </c>
      <c r="P45" s="37">
        <f>'ПЛАН ЧИСТ ПОДЗЕМ'!B36*СПРАВОЧНИК!$L$3+'ПЛАН ЧИСТ ПОДЗЕМ'!C36*СПРАВОЧНИК!$M$3+'ПЛАН ЧИСТ ПОДЗЕМ'!D36*СПРАВОЧНИК!$N$3+'ПЛАН ЧИСТ ПОДЗЕМ'!E36*СПРАВОЧНИК!$L$4+'ПЛАН ЧИСТ ПОДЗЕМ'!F36*СПРАВОЧНИК!$M$4+'ПЛАН ЧИСТ ПОДЗЕМ'!G36*СПРАВОЧНИК!$N$4+'ПЛАН ЧИСТ ПОДЗЕМ'!H36*СПРАВОЧНИК!$L$5+'ПЛАН ЧИСТ ПОДЗЕМ'!I36*СПРАВОЧНИК!$M$5+'ПЛАН ЧИСТ ПОДЗЕМ'!J36*СПРАВОЧНИК!$N$5+'ПЛАН ЧИСТ ПОДЗЕМ'!K36*СПРАВОЧНИК!$L$6+'ПЛАН ЧИСТ ПОДЗЕМ'!L36*СПРАВОЧНИК!$M$6+'ПЛАН ЧИСТ ПОДЗЕМ'!M36*СПРАВОЧНИК!$N$6+'ПЛАН ЧИСТ ПОДЗЕМ'!N36*СПРАВОЧНИК!$L$7+'ПЛАН ЧИСТ ПОДЗЕМ'!O36*СПРАВОЧНИК!$M$7+'ПЛАН ЧИСТ ПОДЗЕМ'!P36*СПРАВОЧНИК!$N$7+'ПЛАН ЧИСТ ПОДЗЕМ'!Q36*СПРАВОЧНИК!$L$8+'ПЛАН ЧИСТ ПОДЗЕМ'!R36*СПРАВОЧНИК!$M$8+'ПЛАН ЧИСТ ПОДЗЕМ'!S36*СПРАВОЧНИК!$N$8</f>
        <v>0</v>
      </c>
      <c r="Q45" s="40">
        <f>('ФАКТ ЧИСТ ПОДЗЕМ'!B36)*СПРАВОЧНИК!$L$3+('ФАКТ ЧИСТ ПОДЗЕМ'!C36)*СПРАВОЧНИК!$M$3+('ФАКТ ЧИСТ ПОДЗЕМ'!D36)*СПРАВОЧНИК!$N$3+('ФАКТ ЧИСТ ПОДЗЕМ'!E36)*СПРАВОЧНИК!$L$4+('ФАКТ ЧИСТ ПОДЗЕМ'!F36)*СПРАВОЧНИК!$M$4+('ФАКТ ЧИСТ ПОДЗЕМ'!G36)*СПРАВОЧНИК!$N$4+('ФАКТ ЧИСТ ПОДЗЕМ'!H36)*СПРАВОЧНИК!$L$5+('ФАКТ ЧИСТ ПОДЗЕМ'!I36)*СПРАВОЧНИК!$M$5+('ФАКТ ЧИСТ ПОДЗЕМ'!J36)*СПРАВОЧНИК!$N$5+('ФАКТ ЧИСТ ПОДЗЕМ'!K36)*СПРАВОЧНИК!$L$6+('ФАКТ ЧИСТ ПОДЗЕМ'!L36)*СПРАВОЧНИК!$M$6+('ФАКТ ЧИСТ ПОДЗЕМ'!M36)*СПРАВОЧНИК!$N$6+('ФАКТ ЧИСТ ПОДЗЕМ'!N36)*СПРАВОЧНИК!$L$7+('ФАКТ ЧИСТ ПОДЗЕМ'!O36)*СПРАВОЧНИК!$M$7+('ФАКТ ЧИСТ ПОДЗЕМ'!P36)*СПРАВОЧНИК!$N$7+('ФАКТ ЧИСТ ПОДЗЕМ'!Q36)*СПРАВОЧНИК!$L$8+('ФАКТ ЧИСТ ПОДЗЕМ'!R36)*СПРАВОЧНИК!$M$8+('ФАКТ ЧИСТ ПОДЗЕМ'!S36)*СПРАВОЧНИК!$N$8</f>
        <v>0</v>
      </c>
      <c r="U45" s="18">
        <f t="shared" si="15"/>
        <v>46391</v>
      </c>
      <c r="V45" s="37">
        <f>СПРАВОЧНИК!$E$9*('ПЛАН ЧЕРН К1'!B36*СПРАВОЧНИК!$H$9+'ПЛАН ЧЕРН К1'!C36*СПРАВОЧНИК!$I$9+'ПЛАН ЧЕРН К1'!D36*СПРАВОЧНИК!$J$9)+СПРАВОЧНИК!$E$10*('ПЛАН ЧЕРН К1'!E36*СПРАВОЧНИК!$H$10+'ПЛАН ЧЕРН К1'!F36*СПРАВОЧНИК!$I$10+'ПЛАН ЧЕРН К1'!G36*СПРАВОЧНИК!$J$10)+СПРАВОЧНИК!$E$11*('ПЛАН ЧЕРН К1'!H36*СПРАВОЧНИК!$H$11+'ПЛАН ЧЕРН К1'!I36*СПРАВОЧНИК!$I$11+'ПЛАН ЧЕРН К1'!J36*СПРАВОЧНИК!$J$11)+СПРАВОЧНИК!$E$12*('ПЛАН ЧЕРН К1'!K36*СПРАВОЧНИК!$H$12+'ПЛАН ЧЕРН К1'!L36*СПРАВОЧНИК!$I$12+'ПЛАН ЧЕРН К1'!M36*СПРАВОЧНИК!$J$12)+СПРАВОЧНИК!$E$13*('ПЛАН ЧЕРН К1'!N36*СПРАВОЧНИК!$H$13+'ПЛАН ЧЕРН К1'!O36*СПРАВОЧНИК!$I$13+'ПЛАН ЧЕРН К1'!P36*СПРАВОЧНИК!$J$13)+СПРАВОЧНИК!$E$14*('ПЛАН ЧЕРН К1'!Q36*СПРАВОЧНИК!$H$14+'ПЛАН ЧЕРН К1'!R36*СПРАВОЧНИК!$I$14+'ПЛАН ЧЕРН К1'!S36*СПРАВОЧНИК!$J$14)+СПРАВОЧНИК!$E$15*('ПЛАН ЧЕРН К1'!T36*СПРАВОЧНИК!$H$15+'ПЛАН ЧЕРН К1'!U36*СПРАВОЧНИК!$I$15+'ПЛАН ЧЕРН К1'!V36*СПРАВОЧНИК!$J$15)+СПРАВОЧНИК!$F$9*('ПЛАН ЧИСТ К1'!B36*СПРАВОЧНИК!$L$9+'ПЛАН ЧИСТ К1'!C36*СПРАВОЧНИК!$M$9+'ПЛАН ЧИСТ К1'!D36*СПРАВОЧНИК!$N$9+'ПЛАН ЧИСТ К1'!E36*СПРАВОЧНИК!$O$9)+СПРАВОЧНИК!$F$10*('ПЛАН ЧИСТ К1'!F36*СПРАВОЧНИК!$L$10+'ПЛАН ЧИСТ К1'!G36*СПРАВОЧНИК!$M$10+'ПЛАН ЧИСТ К1'!H36*СПРАВОЧНИК!$N$10)+СПРАВОЧНИК!$F$11*('ПЛАН ЧИСТ К1'!I36*СПРАВОЧНИК!$L$11+'ПЛАН ЧИСТ К1'!J36*СПРАВОЧНИК!$M$11+'ПЛАН ЧИСТ К1'!K36*СПРАВОЧНИК!$N$11)+СПРАВОЧНИК!$F$12*('ПЛАН ЧИСТ К1'!L36*СПРАВОЧНИК!$L$12+'ПЛАН ЧИСТ К1'!M36*СПРАВОЧНИК!$M$12+'ПЛАН ЧИСТ К1'!N36*СПРАВОЧНИК!$N$12)+СПРАВОЧНИК!$F$13*('ПЛАН ЧИСТ К1'!O36*СПРАВОЧНИК!$L$13+'ПЛАН ЧИСТ К1'!P36*СПРАВОЧНИК!$M$13+'ПЛАН ЧИСТ К1'!Q36*СПРАВОЧНИК!$N$13)+СПРАВОЧНИК!$F$14*('ПЛАН ЧИСТ К1'!R36*СПРАВОЧНИК!$L$14+'ПЛАН ЧИСТ К1'!S36*СПРАВОЧНИК!$M$14+'ПЛАН ЧИСТ К1'!T36*СПРАВОЧНИК!$N$14)+СПРАВОЧНИК!$F$15*('ПЛАН ЧИСТ К1'!U36*СПРАВОЧНИК!$L$15+'ПЛАН ЧИСТ К1'!V36*СПРАВОЧНИК!$M$15+'ПЛАН ЧИСТ К1'!W36*СПРАВОЧНИК!$N$15)</f>
        <v>0</v>
      </c>
      <c r="W45" s="40">
        <f>СПРАВОЧНИК!$E$9*(('ФАКТ ЧЕРН К1'!B36)*СПРАВОЧНИК!$H$9+('ФАКТ ЧЕРН К1'!C36)*СПРАВОЧНИК!$I$9+('ФАКТ ЧЕРН К1'!D36)*СПРАВОЧНИК!$J$9)+СПРАВОЧНИК!$E$10*(('ФАКТ ЧЕРН К1'!E36)*СПРАВОЧНИК!$H$10+('ФАКТ ЧЕРН К1'!F36)*СПРАВОЧНИК!$I$10+('ФАКТ ЧЕРН К1'!G36)*СПРАВОЧНИК!$J$10)+СПРАВОЧНИК!$E$11*(('ФАКТ ЧЕРН К1'!H36)*СПРАВОЧНИК!$H$11+('ФАКТ ЧЕРН К1'!I36)*СПРАВОЧНИК!$I$11+('ФАКТ ЧЕРН К1'!J36)*СПРАВОЧНИК!$J$11)+СПРАВОЧНИК!$E$12*(('ФАКТ ЧЕРН К1'!K36)*СПРАВОЧНИК!$H$12+('ФАКТ ЧЕРН К1'!L36)*СПРАВОЧНИК!$I$12+('ФАКТ ЧЕРН К1'!M36)*СПРАВОЧНИК!$J$12)+СПРАВОЧНИК!$E$13*(('ФАКТ ЧЕРН К1'!N36)*СПРАВОЧНИК!$H$13+('ФАКТ ЧЕРН К1'!O36)*СПРАВОЧНИК!$I$13+('ФАКТ ЧЕРН К1'!P36)*СПРАВОЧНИК!$J$13)+СПРАВОЧНИК!$E$14*(('ФАКТ ЧЕРН К1'!Q36)*СПРАВОЧНИК!$H$14+('ФАКТ ЧЕРН К1'!R36)*СПРАВОЧНИК!$I$14+('ФАКТ ЧЕРН К1'!S36)*СПРАВОЧНИК!$J$14)+СПРАВОЧНИК!$E$15*(('ФАКТ ЧЕРН К1'!T36)*СПРАВОЧНИК!$H$15+('ФАКТ ЧЕРН К1'!U36)*СПРАВОЧНИК!$I$15+('ФАКТ ЧЕРН К1'!V36)*СПРАВОЧНИК!$J$15)+СПРАВОЧНИК!$F$9*(('ФАКТ ЧИСТ К1'!B36)*СПРАВОЧНИК!$L$9+('ФАКТ ЧИСТ К1'!C36)*СПРАВОЧНИК!$M$9+('ФАКТ ЧИСТ К1'!D36)*СПРАВОЧНИК!$N$9+('ФАКТ ЧИСТ К1'!E36)*СПРАВОЧНИК!$O$9)+СПРАВОЧНИК!$F$10*(('ФАКТ ЧИСТ К1'!F36)*СПРАВОЧНИК!$L$10+('ФАКТ ЧИСТ К1'!G36)*СПРАВОЧНИК!$M$10+('ФАКТ ЧИСТ К1'!H36)*СПРАВОЧНИК!$N$10)+СПРАВОЧНИК!$F$11*(('ФАКТ ЧИСТ К1'!I36)*СПРАВОЧНИК!$L$11+('ФАКТ ЧИСТ К1'!J36)*СПРАВОЧНИК!$M$11+('ФАКТ ЧИСТ К1'!K36)*СПРАВОЧНИК!$N$11)+СПРАВОЧНИК!$F$12*(('ФАКТ ЧИСТ К1'!L36)*СПРАВОЧНИК!$L$12+('ФАКТ ЧИСТ К1'!M36)*СПРАВОЧНИК!$M$12+('ФАКТ ЧИСТ К1'!N36)*СПРАВОЧНИК!$N$12)+СПРАВОЧНИК!$F$13*(('ФАКТ ЧИСТ К1'!O36)*СПРАВОЧНИК!$L$13+('ФАКТ ЧИСТ К1'!P36)*СПРАВОЧНИК!$M$13+('ФАКТ ЧИСТ К1'!Q36)*СПРАВОЧНИК!$N$13)+СПРАВОЧНИК!$F$14*(('ФАКТ ЧИСТ К1'!R36)*СПРАВОЧНИК!$L$14+('ФАКТ ЧИСТ К1'!S36)*СПРАВОЧНИК!$M$14+('ФАКТ ЧИСТ К1'!T36)*СПРАВОЧНИК!$N$14)+СПРАВОЧНИК!$F$15*(('ФАКТ ЧИСТ К1'!U36)*СПРАВОЧНИК!$L$15+('ФАКТ ЧИСТ К1'!V36)*СПРАВОЧНИК!$M$15+('ФАКТ ЧИСТ К1'!W36)*СПРАВОЧНИК!$N$15)</f>
        <v>0</v>
      </c>
      <c r="AA45" s="18">
        <f t="shared" si="16"/>
        <v>46391</v>
      </c>
      <c r="AB45" s="37">
        <f>'ПЛАН ЧЕРН К1'!B36*СПРАВОЧНИК!$H$9+'ПЛАН ЧЕРН К1'!C36*СПРАВОЧНИК!$I$9+'ПЛАН ЧЕРН К1'!D36*СПРАВОЧНИК!$J$9+'ПЛАН ЧЕРН К1'!E36*СПРАВОЧНИК!$H$10+'ПЛАН ЧЕРН К1'!F36*СПРАВОЧНИК!$I$10+'ПЛАН ЧЕРН К1'!G36*СПРАВОЧНИК!$J$10+'ПЛАН ЧЕРН К1'!H36*СПРАВОЧНИК!$H$11+'ПЛАН ЧЕРН К1'!I36*СПРАВОЧНИК!$I$11+'ПЛАН ЧЕРН К1'!J36*СПРАВОЧНИК!$J$11+'ПЛАН ЧЕРН К1'!K36*СПРАВОЧНИК!$H$12+'ПЛАН ЧЕРН К1'!L36*СПРАВОЧНИК!$I$12+'ПЛАН ЧЕРН К1'!M36*СПРАВОЧНИК!$J$12+'ПЛАН ЧЕРН К1'!N36*СПРАВОЧНИК!$H$13+'ПЛАН ЧЕРН К1'!O36*СПРАВОЧНИК!$I$13+'ПЛАН ЧЕРН К1'!P36*СПРАВОЧНИК!$J$13+'ПЛАН ЧЕРН К1'!Q36*СПРАВОЧНИК!$H$14+'ПЛАН ЧЕРН К1'!R36*СПРАВОЧНИК!$I$14+'ПЛАН ЧЕРН К1'!S36*СПРАВОЧНИК!$J$14+'ПЛАН ЧЕРН К1'!T36*СПРАВОЧНИК!$H$15+'ПЛАН ЧЕРН К1'!U36*СПРАВОЧНИК!$I$15+'ПЛАН ЧЕРН К1'!V36*СПРАВОЧНИК!$J$15</f>
        <v>0</v>
      </c>
      <c r="AC45" s="40">
        <f>('ФАКТ ЧЕРН К1'!B36)*СПРАВОЧНИК!$H$9+('ФАКТ ЧЕРН К1'!C36)*СПРАВОЧНИК!$I$9+('ФАКТ ЧЕРН К1'!D36)*СПРАВОЧНИК!$J$9+('ФАКТ ЧЕРН К1'!E36)*СПРАВОЧНИК!$H$10+('ФАКТ ЧЕРН К1'!F36)*СПРАВОЧНИК!$I$10+('ФАКТ ЧЕРН К1'!G36)*СПРАВОЧНИК!$J$10+('ФАКТ ЧЕРН К1'!H36)*СПРАВОЧНИК!$H$11+('ФАКТ ЧЕРН К1'!I36)*СПРАВОЧНИК!$I$11+('ФАКТ ЧЕРН К1'!J36)*СПРАВОЧНИК!$J$11+('ФАКТ ЧЕРН К1'!K36)*СПРАВОЧНИК!$H$12+('ФАКТ ЧЕРН К1'!L36)*СПРАВОЧНИК!$I$12+('ФАКТ ЧЕРН К1'!M36)*СПРАВОЧНИК!$J$12+('ФАКТ ЧЕРН К1'!N36)*СПРАВОЧНИК!$H$13+('ФАКТ ЧЕРН К1'!O36)*СПРАВОЧНИК!$I$13+('ФАКТ ЧЕРН К1'!P36)*СПРАВОЧНИК!$J$13+('ФАКТ ЧЕРН К1'!Q36)*СПРАВОЧНИК!$H$14+('ФАКТ ЧЕРН К1'!R36)*СПРАВОЧНИК!$I$14+('ФАКТ ЧЕРН К1'!S36)*СПРАВОЧНИК!$J$14+('ФАКТ ЧЕРН К1'!T36)*СПРАВОЧНИК!$H$15+('ФАКТ ЧЕРН К1'!U36)*СПРАВОЧНИК!$I$15+('ФАКТ ЧЕРН К1'!V36)*СПРАВОЧНИК!$J$15</f>
        <v>0</v>
      </c>
      <c r="AG45" s="18">
        <f t="shared" si="17"/>
        <v>46391</v>
      </c>
      <c r="AH45" s="37">
        <f>'ПЛАН ЧИСТ К1'!B36*СПРАВОЧНИК!$L$9+'ПЛАН ЧИСТ К1'!C36*СПРАВОЧНИК!$M$9+'ПЛАН ЧИСТ К1'!D36*СПРАВОЧНИК!$N$9+'ПЛАН ЧИСТ К1'!E36*СПРАВОЧНИК!$O$9+'ПЛАН ЧИСТ К1'!F36*СПРАВОЧНИК!$L$10+'ПЛАН ЧИСТ К1'!G36*СПРАВОЧНИК!$M$10+'ПЛАН ЧИСТ К1'!H36*СПРАВОЧНИК!$N$10+'ПЛАН ЧИСТ К1'!I36*СПРАВОЧНИК!$L$11+'ПЛАН ЧИСТ К1'!J36*СПРАВОЧНИК!$M$11+'ПЛАН ЧИСТ К1'!K36*СПРАВОЧНИК!$N$11+'ПЛАН ЧИСТ К1'!L36*СПРАВОЧНИК!$L$12+'ПЛАН ЧИСТ К1'!M36*СПРАВОЧНИК!$M$12+'ПЛАН ЧИСТ К1'!N36*СПРАВОЧНИК!$N$12+'ПЛАН ЧИСТ К1'!O36*СПРАВОЧНИК!$L$13+'ПЛАН ЧИСТ К1'!P36*СПРАВОЧНИК!$M$13+'ПЛАН ЧИСТ К1'!Q36*СПРАВОЧНИК!$N$13+'ПЛАН ЧИСТ К1'!R36*СПРАВОЧНИК!$L$14+'ПЛАН ЧИСТ К1'!S36*СПРАВОЧНИК!$M$14+'ПЛАН ЧИСТ К1'!T36*СПРАВОЧНИК!$N$14+'ПЛАН ЧИСТ К1'!U36*СПРАВОЧНИК!$L$15+'ПЛАН ЧИСТ К1'!V36*СПРАВОЧНИК!$M$15+'ПЛАН ЧИСТ К1'!W36*СПРАВОЧНИК!$N$15</f>
        <v>0</v>
      </c>
      <c r="AI45" s="40">
        <f>('ФАКТ ЧИСТ К1'!B36)*СПРАВОЧНИК!$L$9+('ФАКТ ЧИСТ К1'!C36)*СПРАВОЧНИК!$M$9+('ФАКТ ЧИСТ К1'!D36)*СПРАВОЧНИК!$N$9+('ФАКТ ЧИСТ К1'!E36)*СПРАВОЧНИК!$O$9+('ФАКТ ЧИСТ К1'!F36)*СПРАВОЧНИК!$L$10+('ФАКТ ЧИСТ К1'!G36)*СПРАВОЧНИК!$M$10+('ФАКТ ЧИСТ К1'!H36)*СПРАВОЧНИК!$N$10+('ФАКТ ЧИСТ К1'!I36)*СПРАВОЧНИК!$L$11+('ФАКТ ЧИСТ К1'!J36)*СПРАВОЧНИК!$M$11+('ФАКТ ЧИСТ К1'!K36)*СПРАВОЧНИК!$N$11+('ФАКТ ЧИСТ К1'!L36)*СПРАВОЧНИК!$L$12+('ФАКТ ЧИСТ К1'!M36)*СПРАВОЧНИК!$M$12+('ФАКТ ЧИСТ К1'!N36)*СПРАВОЧНИК!$N$12+('ФАКТ ЧИСТ К1'!O36)*СПРАВОЧНИК!$L$13+('ФАКТ ЧИСТ К1'!P36)*СПРАВОЧНИК!$M$13+('ФАКТ ЧИСТ К1'!Q36)*СПРАВОЧНИК!$N$13+('ФАКТ ЧИСТ К1'!R36)*СПРАВОЧНИК!$L$14+('ФАКТ ЧИСТ К1'!S36)*СПРАВОЧНИК!$M$14+('ФАКТ ЧИСТ К1'!T36)*СПРАВОЧНИК!$N$14+('ФАКТ ЧИСТ К1'!U36)*СПРАВОЧНИК!$L$15+('ФАКТ ЧИСТ К1'!V36)*СПРАВОЧНИК!$M$15+('ФАКТ ЧИСТ К1'!W36)*СПРАВОЧНИК!$N$15</f>
        <v>0</v>
      </c>
      <c r="AM45" s="18">
        <f t="shared" si="18"/>
        <v>46391</v>
      </c>
      <c r="AN45" s="37">
        <f>СПРАВОЧНИК!$E$9*('ПЛАН ЧЕРН К2'!B36*СПРАВОЧНИК!$H$9+'ПЛАН ЧЕРН К2'!C36*СПРАВОЧНИК!$I$9+'ПЛАН ЧЕРН К2'!D36*СПРАВОЧНИК!$J$9)+СПРАВОЧНИК!$E$10*('ПЛАН ЧЕРН К2'!E36*СПРАВОЧНИК!$H$10+'ПЛАН ЧЕРН К2'!F36*СПРАВОЧНИК!$I$10+'ПЛАН ЧЕРН К2'!G36*СПРАВОЧНИК!$J$10)+СПРАВОЧНИК!$E$11*('ПЛАН ЧЕРН К2'!H36*СПРАВОЧНИК!$H$11+'ПЛАН ЧЕРН К2'!I36*СПРАВОЧНИК!$I$11+'ПЛАН ЧЕРН К2'!J36*СПРАВОЧНИК!$J$11)+СПРАВОЧНИК!$E$12*('ПЛАН ЧЕРН К2'!K36*СПРАВОЧНИК!$H$12+'ПЛАН ЧЕРН К2'!L36*СПРАВОЧНИК!$I$12+'ПЛАН ЧЕРН К2'!M36*СПРАВОЧНИК!$J$12)+СПРАВОЧНИК!$E$13*('ПЛАН ЧЕРН К2'!N36*СПРАВОЧНИК!$H$13+'ПЛАН ЧЕРН К2'!O36*СПРАВОЧНИК!$I$13+'ПЛАН ЧЕРН К2'!P36*СПРАВОЧНИК!$J$13)+СПРАВОЧНИК!$E$14*('ПЛАН ЧЕРН К2'!Q36*СПРАВОЧНИК!$H$14+'ПЛАН ЧЕРН К2'!R36*СПРАВОЧНИК!$I$14+'ПЛАН ЧЕРН К2'!S36*СПРАВОЧНИК!$J$14)+СПРАВОЧНИК!$E$15*('ПЛАН ЧЕРН К2'!T36*СПРАВОЧНИК!$H$15+'ПЛАН ЧЕРН К2'!U36*СПРАВОЧНИК!$I$15+'ПЛАН ЧЕРН К2'!V36*СПРАВОЧНИК!$J$15)+СПРАВОЧНИК!$F$9*('ПЛАН ЧИСТ К2'!B36*СПРАВОЧНИК!$L$9+'ПЛАН ЧИСТ К2'!C36*СПРАВОЧНИК!$M$9+'ПЛАН ЧИСТ К2'!D36*СПРАВОЧНИК!$N$9+'ПЛАН ЧИСТ К2'!E36*СПРАВОЧНИК!$O$9)+СПРАВОЧНИК!$F$10*('ПЛАН ЧИСТ К2'!F36*СПРАВОЧНИК!$L$10+'ПЛАН ЧИСТ К2'!G36*СПРАВОЧНИК!$M$10+'ПЛАН ЧИСТ К2'!H36*СПРАВОЧНИК!$N$10)+СПРАВОЧНИК!$F$11*('ПЛАН ЧИСТ К2'!I36*СПРАВОЧНИК!$L$11+'ПЛАН ЧИСТ К2'!J36*СПРАВОЧНИК!$M$11+'ПЛАН ЧИСТ К2'!K36*СПРАВОЧНИК!$N$11)+СПРАВОЧНИК!$F$12*('ПЛАН ЧИСТ К2'!L36*СПРАВОЧНИК!$L$12+'ПЛАН ЧИСТ К2'!M36*СПРАВОЧНИК!$M$12+'ПЛАН ЧИСТ К2'!N36*СПРАВОЧНИК!$N$12)+СПРАВОЧНИК!$F$13*('ПЛАН ЧИСТ К2'!O36*СПРАВОЧНИК!$L$13+'ПЛАН ЧИСТ К2'!P36*СПРАВОЧНИК!$M$13+'ПЛАН ЧИСТ К2'!Q36*СПРАВОЧНИК!$N$13)+СПРАВОЧНИК!$F$14*('ПЛАН ЧИСТ К2'!R36*СПРАВОЧНИК!$L$14+'ПЛАН ЧИСТ К2'!S36*СПРАВОЧНИК!$M$14+'ПЛАН ЧИСТ К2'!T36*СПРАВОЧНИК!$N$14)+СПРАВОЧНИК!$F$15*('ПЛАН ЧИСТ К2'!U36*СПРАВОЧНИК!$L$15+'ПЛАН ЧИСТ К2'!V36*СПРАВОЧНИК!$M$15+'ПЛАН ЧИСТ К2'!W36*СПРАВОЧНИК!$N$15)</f>
        <v>0</v>
      </c>
      <c r="AO45" s="40">
        <f>СПРАВОЧНИК!$E$9*(('ФАКТ ЧЕРН К2'!B36)*СПРАВОЧНИК!$H$9+('ФАКТ ЧЕРН К2'!C36)*СПРАВОЧНИК!$I$9+('ФАКТ ЧЕРН К2'!D36)*СПРАВОЧНИК!$J$9)+СПРАВОЧНИК!$E$10*(('ФАКТ ЧЕРН К2'!E36)*СПРАВОЧНИК!$H$10+('ФАКТ ЧЕРН К2'!F36)*СПРАВОЧНИК!$I$10+('ФАКТ ЧЕРН К2'!G36)*СПРАВОЧНИК!$J$10)+СПРАВОЧНИК!$E$11*(('ФАКТ ЧЕРН К2'!H36)*СПРАВОЧНИК!$H$11+('ФАКТ ЧЕРН К2'!I36)*СПРАВОЧНИК!$I$11+('ФАКТ ЧЕРН К2'!J36)*СПРАВОЧНИК!$J$11)+СПРАВОЧНИК!$E$12*(('ФАКТ ЧЕРН К2'!K36)*СПРАВОЧНИК!$H$12+('ФАКТ ЧЕРН К2'!L36)*СПРАВОЧНИК!$I$12+('ФАКТ ЧЕРН К2'!M36)*СПРАВОЧНИК!$J$12)+СПРАВОЧНИК!$E$13*(('ФАКТ ЧЕРН К2'!N36)*СПРАВОЧНИК!$H$13+('ФАКТ ЧЕРН К2'!O36)*СПРАВОЧНИК!$I$13+('ФАКТ ЧЕРН К2'!P36)*СПРАВОЧНИК!$J$13)+СПРАВОЧНИК!$E$14*(('ФАКТ ЧЕРН К2'!Q36)*СПРАВОЧНИК!$H$14+('ФАКТ ЧЕРН К2'!R36)*СПРАВОЧНИК!$I$14+('ФАКТ ЧЕРН К2'!S36)*СПРАВОЧНИК!$J$14)+СПРАВОЧНИК!$E$15*(('ФАКТ ЧЕРН К2'!T36)*СПРАВОЧНИК!$H$15+('ФАКТ ЧЕРН К2'!U36)*СПРАВОЧНИК!$I$15+('ФАКТ ЧЕРН К2'!V36)*СПРАВОЧНИК!$J$15)+СПРАВОЧНИК!$F$9*(('ФАКТ ЧИСТ К2'!B36)*СПРАВОЧНИК!$L$9+('ФАКТ ЧИСТ К2'!C36)*СПРАВОЧНИК!$M$9+('ФАКТ ЧИСТ К2'!D36)*СПРАВОЧНИК!$N$9+('ФАКТ ЧИСТ К2'!E36)*СПРАВОЧНИК!$O$9)+СПРАВОЧНИК!$F$10*(('ФАКТ ЧИСТ К2'!F36)*СПРАВОЧНИК!$L$10+('ФАКТ ЧИСТ К2'!G36)*СПРАВОЧНИК!$M$10+('ФАКТ ЧИСТ К2'!H36)*СПРАВОЧНИК!$N$10)+СПРАВОЧНИК!$F$11*(('ФАКТ ЧИСТ К2'!I36)*СПРАВОЧНИК!$L$11+('ФАКТ ЧИСТ К2'!J36)*СПРАВОЧНИК!$M$11+('ФАКТ ЧИСТ К2'!K36)*СПРАВОЧНИК!$N$11)+СПРАВОЧНИК!$F$12*(('ФАКТ ЧИСТ К2'!L36)*СПРАВОЧНИК!$L$12+('ФАКТ ЧИСТ К2'!M36)*СПРАВОЧНИК!$M$12+('ФАКТ ЧИСТ К2'!N36)*СПРАВОЧНИК!$N$12)+СПРАВОЧНИК!$F$13*(('ФАКТ ЧИСТ К2'!O36)*СПРАВОЧНИК!$L$13+('ФАКТ ЧИСТ К2'!P36)*СПРАВОЧНИК!$M$13+('ФАКТ ЧИСТ К2'!Q36)*СПРАВОЧНИК!$N$13)+СПРАВОЧНИК!$F$14*(('ФАКТ ЧИСТ К2'!R36)*СПРАВОЧНИК!$L$14+('ФАКТ ЧИСТ К2'!S36)*СПРАВОЧНИК!$M$14+('ФАКТ ЧИСТ К2'!T36)*СПРАВОЧНИК!$N$14)+СПРАВОЧНИК!$F$15*(('ФАКТ ЧИСТ К2'!U36)*СПРАВОЧНИК!$L$15+('ФАКТ ЧИСТ К2'!V36)*СПРАВОЧНИК!$M$15+('ФАКТ ЧИСТ К2'!W36)*СПРАВОЧНИК!$N$15)</f>
        <v>0</v>
      </c>
      <c r="AS45" s="18">
        <f t="shared" si="19"/>
        <v>46391</v>
      </c>
      <c r="AT45" s="37">
        <f>'ПЛАН ЧЕРН К2'!B36*СПРАВОЧНИК!$H$9+'ПЛАН ЧЕРН К2'!C36*СПРАВОЧНИК!$I$9+'ПЛАН ЧЕРН К2'!D36*СПРАВОЧНИК!$J$9+'ПЛАН ЧЕРН К2'!E36*СПРАВОЧНИК!$H$10+'ПЛАН ЧЕРН К2'!F36*СПРАВОЧНИК!$I$10+'ПЛАН ЧЕРН К2'!G36*СПРАВОЧНИК!$J$10+'ПЛАН ЧЕРН К2'!H36*СПРАВОЧНИК!$H$11+'ПЛАН ЧЕРН К2'!I36*СПРАВОЧНИК!$I$11+'ПЛАН ЧЕРН К2'!J36*СПРАВОЧНИК!$J$11+'ПЛАН ЧЕРН К2'!K36*СПРАВОЧНИК!$H$12+'ПЛАН ЧЕРН К2'!L36*СПРАВОЧНИК!$I$12+'ПЛАН ЧЕРН К2'!M36*СПРАВОЧНИК!$J$12+'ПЛАН ЧЕРН К2'!N36*СПРАВОЧНИК!$H$13+'ПЛАН ЧЕРН К2'!O36*СПРАВОЧНИК!$I$13+'ПЛАН ЧЕРН К2'!P36*СПРАВОЧНИК!$J$13+'ПЛАН ЧЕРН К2'!Q36*СПРАВОЧНИК!$H$14+'ПЛАН ЧЕРН К2'!R36*СПРАВОЧНИК!$I$14+'ПЛАН ЧЕРН К2'!S36*СПРАВОЧНИК!$J$14+'ПЛАН ЧЕРН К2'!T36*СПРАВОЧНИК!$H$15+'ПЛАН ЧЕРН К2'!U36*СПРАВОЧНИК!$I$15+'ПЛАН ЧЕРН К2'!V36*СПРАВОЧНИК!$J$15</f>
        <v>0</v>
      </c>
      <c r="AU45" s="40">
        <f>('ФАКТ ЧЕРН К2'!B36)*СПРАВОЧНИК!$H$9+('ФАКТ ЧЕРН К2'!C36)*СПРАВОЧНИК!$I$9+('ФАКТ ЧЕРН К2'!D36)*СПРАВОЧНИК!$J$9+('ФАКТ ЧЕРН К2'!E36)*СПРАВОЧНИК!$H$10+('ФАКТ ЧЕРН К2'!F36)*СПРАВОЧНИК!$I$10+('ФАКТ ЧЕРН К2'!G36)*СПРАВОЧНИК!$J$10+('ФАКТ ЧЕРН К2'!H36)*СПРАВОЧНИК!$H$11+('ФАКТ ЧЕРН К2'!I36)*СПРАВОЧНИК!$I$11+('ФАКТ ЧЕРН К2'!J36)*СПРАВОЧНИК!$J$11+('ФАКТ ЧЕРН К2'!K36)*СПРАВОЧНИК!$H$12+('ФАКТ ЧЕРН К2'!L36)*СПРАВОЧНИК!$I$12+('ФАКТ ЧЕРН К2'!M36)*СПРАВОЧНИК!$J$12+('ФАКТ ЧЕРН К2'!N36)*СПРАВОЧНИК!$H$13+('ФАКТ ЧЕРН К2'!O36)*СПРАВОЧНИК!$I$13+('ФАКТ ЧЕРН К2'!P36)*СПРАВОЧНИК!$J$13+('ФАКТ ЧЕРН К2'!Q36)*СПРАВОЧНИК!$H$14+('ФАКТ ЧЕРН К2'!R36)*СПРАВОЧНИК!$I$14+('ФАКТ ЧЕРН К2'!S36)*СПРАВОЧНИК!$J$14+('ФАКТ ЧЕРН К2'!T36)*СПРАВОЧНИК!$H$15+('ФАКТ ЧЕРН К2'!U36)*СПРАВОЧНИК!$I$15+('ФАКТ ЧЕРН К2'!V36)*СПРАВОЧНИК!$J$15</f>
        <v>0</v>
      </c>
      <c r="AY45" s="18">
        <f t="shared" si="20"/>
        <v>46391</v>
      </c>
      <c r="AZ45" s="37">
        <f>'ПЛАН ЧИСТ К2'!B36*СПРАВОЧНИК!$L$9+'ПЛАН ЧИСТ К2'!C36*СПРАВОЧНИК!$M$9+'ПЛАН ЧИСТ К2'!D36*СПРАВОЧНИК!$N$9+'ПЛАН ЧИСТ К2'!E36*СПРАВОЧНИК!$O$9+'ПЛАН ЧИСТ К2'!F36*СПРАВОЧНИК!$L$10+'ПЛАН ЧИСТ К2'!G36*СПРАВОЧНИК!$M$10+'ПЛАН ЧИСТ К2'!H36*СПРАВОЧНИК!$N$10+'ПЛАН ЧИСТ К2'!I36*СПРАВОЧНИК!$L$11+'ПЛАН ЧИСТ К2'!J36*СПРАВОЧНИК!$M$11+'ПЛАН ЧИСТ К2'!K36*СПРАВОЧНИК!$N$11+'ПЛАН ЧИСТ К2'!L36*СПРАВОЧНИК!$L$12+'ПЛАН ЧИСТ К2'!M36*СПРАВОЧНИК!$M$12+'ПЛАН ЧИСТ К2'!N36*СПРАВОЧНИК!$N$12+'ПЛАН ЧИСТ К2'!O36*СПРАВОЧНИК!$L$13+'ПЛАН ЧИСТ К2'!P36*СПРАВОЧНИК!$M$13+'ПЛАН ЧИСТ К2'!Q36*СПРАВОЧНИК!$N$13+'ПЛАН ЧИСТ К2'!R36*СПРАВОЧНИК!$L$14+'ПЛАН ЧИСТ К2'!S36*СПРАВОЧНИК!$M$14+'ПЛАН ЧИСТ К2'!T36*СПРАВОЧНИК!$N$14+'ПЛАН ЧИСТ К2'!U36*СПРАВОЧНИК!$L$15+'ПЛАН ЧИСТ К2'!V36*СПРАВОЧНИК!$M$15+'ПЛАН ЧИСТ К2'!W36*СПРАВОЧНИК!$N$15</f>
        <v>0</v>
      </c>
      <c r="BA45" s="40">
        <f>('ФАКТ ЧИСТ К2'!B36)*СПРАВОЧНИК!$L$9+('ФАКТ ЧИСТ К2'!C36)*СПРАВОЧНИК!$M$9+('ФАКТ ЧИСТ К2'!D36)*СПРАВОЧНИК!$N$9+('ФАКТ ЧИСТ К2'!E36)*СПРАВОЧНИК!$O$9+('ФАКТ ЧИСТ К2'!F36)*СПРАВОЧНИК!$L$10+('ФАКТ ЧИСТ К2'!G36)*СПРАВОЧНИК!$M$10+('ФАКТ ЧИСТ К2'!H36)*СПРАВОЧНИК!$N$10+('ФАКТ ЧИСТ К2'!I36)*СПРАВОЧНИК!$L$11+('ФАКТ ЧИСТ К2'!J36)*СПРАВОЧНИК!$M$11+('ФАКТ ЧИСТ К2'!K36)*СПРАВОЧНИК!$N$11+('ФАКТ ЧИСТ К2'!L36)*СПРАВОЧНИК!$L$12+('ФАКТ ЧИСТ К2'!M36)*СПРАВОЧНИК!$M$12+('ФАКТ ЧИСТ К2'!N36)*СПРАВОЧНИК!$N$12+('ФАКТ ЧИСТ К2'!O36)*СПРАВОЧНИК!$L$13+('ФАКТ ЧИСТ К2'!P36)*СПРАВОЧНИК!$M$13+('ФАКТ ЧИСТ К2'!Q36)*СПРАВОЧНИК!$N$13+('ФАКТ ЧИСТ К2'!R36)*СПРАВОЧНИК!$L$14+('ФАКТ ЧИСТ К2'!S36)*СПРАВОЧНИК!$M$14+('ФАКТ ЧИСТ К2'!T36)*СПРАВОЧНИК!$N$14+('ФАКТ ЧИСТ К2'!U36)*СПРАВОЧНИК!$L$15+('ФАКТ ЧИСТ К2'!V36)*СПРАВОЧНИК!$M$15+('ФАКТ ЧИСТ К2'!W36)*СПРАВОЧНИК!$N$15</f>
        <v>0</v>
      </c>
      <c r="BE45" s="18">
        <f t="shared" si="21"/>
        <v>46391</v>
      </c>
      <c r="BF45" s="37">
        <f>СПРАВОЧНИК!$E$9*('ПЛАН ЧЕРН К3'!B36*СПРАВОЧНИК!$H$9+'ПЛАН ЧЕРН К3'!C36*СПРАВОЧНИК!$I$9+'ПЛАН ЧЕРН К3'!D36*СПРАВОЧНИК!$J$9)+СПРАВОЧНИК!$E$10*('ПЛАН ЧЕРН К3'!E36*СПРАВОЧНИК!$H$10+'ПЛАН ЧЕРН К3'!F36*СПРАВОЧНИК!$I$10+'ПЛАН ЧЕРН К3'!G36*СПРАВОЧНИК!$J$10)+СПРАВОЧНИК!$E$11*('ПЛАН ЧЕРН К3'!H36*СПРАВОЧНИК!$H$11+'ПЛАН ЧЕРН К3'!I36*СПРАВОЧНИК!$I$11+'ПЛАН ЧЕРН К3'!J36*СПРАВОЧНИК!$J$11)+СПРАВОЧНИК!$E$12*('ПЛАН ЧЕРН К3'!K36*СПРАВОЧНИК!$H$12+'ПЛАН ЧЕРН К3'!L36*СПРАВОЧНИК!$I$12+'ПЛАН ЧЕРН К3'!M36*СПРАВОЧНИК!$J$12)+СПРАВОЧНИК!$E$13*('ПЛАН ЧЕРН К3'!N36*СПРАВОЧНИК!$H$13+'ПЛАН ЧЕРН К3'!O36*СПРАВОЧНИК!$I$13+'ПЛАН ЧЕРН К3'!P36*СПРАВОЧНИК!$J$13)+СПРАВОЧНИК!$E$14*('ПЛАН ЧЕРН К3'!Q36*СПРАВОЧНИК!$H$14+'ПЛАН ЧЕРН К3'!R36*СПРАВОЧНИК!$I$14+'ПЛАН ЧЕРН К3'!S36*СПРАВОЧНИК!$J$14)+СПРАВОЧНИК!$E$15*('ПЛАН ЧЕРН К3'!T36*СПРАВОЧНИК!$H$15+'ПЛАН ЧЕРН К3'!U36*СПРАВОЧНИК!$I$15+'ПЛАН ЧЕРН К3'!V36*СПРАВОЧНИК!$J$15)+СПРАВОЧНИК!$F$9*('ПЛАН ЧИСТ К3'!B36*СПРАВОЧНИК!$L$9+'ПЛАН ЧИСТ К3'!C36*СПРАВОЧНИК!$M$9+'ПЛАН ЧИСТ К3'!D36*СПРАВОЧНИК!$N$9+'ПЛАН ЧИСТ К3'!E36*СПРАВОЧНИК!$O$9)+СПРАВОЧНИК!$F$10*('ПЛАН ЧИСТ К3'!F36*СПРАВОЧНИК!$L$10+'ПЛАН ЧИСТ К3'!G36*СПРАВОЧНИК!$M$10+'ПЛАН ЧИСТ К3'!H36*СПРАВОЧНИК!$N$10)+СПРАВОЧНИК!$F$11*('ПЛАН ЧИСТ К3'!I36*СПРАВОЧНИК!$L$11+'ПЛАН ЧИСТ К3'!J36*СПРАВОЧНИК!$M$11+'ПЛАН ЧИСТ К3'!K36*СПРАВОЧНИК!$N$11)+СПРАВОЧНИК!$F$12*('ПЛАН ЧИСТ К3'!L36*СПРАВОЧНИК!$L$12+'ПЛАН ЧИСТ К3'!M36*СПРАВОЧНИК!$M$12+'ПЛАН ЧИСТ К3'!N36*СПРАВОЧНИК!$N$12)+СПРАВОЧНИК!$F$13*('ПЛАН ЧИСТ К3'!O36*СПРАВОЧНИК!$L$13+'ПЛАН ЧИСТ К3'!P36*СПРАВОЧНИК!$M$13+'ПЛАН ЧИСТ К3'!Q36*СПРАВОЧНИК!$N$13)+СПРАВОЧНИК!$F$14*('ПЛАН ЧИСТ К3'!R36*СПРАВОЧНИК!$L$14+'ПЛАН ЧИСТ К3'!S36*СПРАВОЧНИК!$M$14+'ПЛАН ЧИСТ К3'!T36*СПРАВОЧНИК!$N$14)+СПРАВОЧНИК!$F$15*('ПЛАН ЧИСТ К3'!U36*СПРАВОЧНИК!$L$15+'ПЛАН ЧИСТ К3'!V36*СПРАВОЧНИК!$M$15+'ПЛАН ЧИСТ К3'!W36*СПРАВОЧНИК!$N$15)</f>
        <v>0</v>
      </c>
      <c r="BG45" s="40">
        <f>СПРАВОЧНИК!$E$9*(('ФАКТ ЧЕРН К3'!B36)*СПРАВОЧНИК!$H$9+('ФАКТ ЧЕРН К3'!C36)*СПРАВОЧНИК!$I$9+('ФАКТ ЧЕРН К3'!D36)*СПРАВОЧНИК!$J$9)+СПРАВОЧНИК!$E$10*(('ФАКТ ЧЕРН К3'!E36)*СПРАВОЧНИК!$H$10+('ФАКТ ЧЕРН К3'!F36)*СПРАВОЧНИК!$I$10+('ФАКТ ЧЕРН К3'!G36)*СПРАВОЧНИК!$J$10)+СПРАВОЧНИК!$E$11*(('ФАКТ ЧЕРН К3'!H36)*СПРАВОЧНИК!$H$11+('ФАКТ ЧЕРН К3'!I36)*СПРАВОЧНИК!$I$11+('ФАКТ ЧЕРН К3'!J36)*СПРАВОЧНИК!$J$11)+СПРАВОЧНИК!$E$12*(('ФАКТ ЧЕРН К3'!K36)*СПРАВОЧНИК!$H$12+('ФАКТ ЧЕРН К3'!L36)*СПРАВОЧНИК!$I$12+('ФАКТ ЧЕРН К3'!M36)*СПРАВОЧНИК!$J$12)+СПРАВОЧНИК!$E$13*(('ФАКТ ЧЕРН К3'!N36)*СПРАВОЧНИК!$H$13+('ФАКТ ЧЕРН К3'!O36)*СПРАВОЧНИК!$I$13+('ФАКТ ЧЕРН К3'!P36)*СПРАВОЧНИК!$J$13)+СПРАВОЧНИК!$E$14*(('ФАКТ ЧЕРН К3'!Q36)*СПРАВОЧНИК!$H$14+('ФАКТ ЧЕРН К3'!R36)*СПРАВОЧНИК!$I$14+('ФАКТ ЧЕРН К3'!S36)*СПРАВОЧНИК!$J$14)+СПРАВОЧНИК!$E$15*(('ФАКТ ЧЕРН К3'!T36)*СПРАВОЧНИК!$H$15+('ФАКТ ЧЕРН К3'!U36)*СПРАВОЧНИК!$I$15+('ФАКТ ЧЕРН К3'!V36)*СПРАВОЧНИК!$J$15)+СПРАВОЧНИК!$F$9*(('ФАКТ ЧИСТ К3'!B36)*СПРАВОЧНИК!$L$9+('ФАКТ ЧИСТ К3'!C36)*СПРАВОЧНИК!$M$9+('ФАКТ ЧИСТ К3'!D36)*СПРАВОЧНИК!$N$9+('ФАКТ ЧИСТ К3'!E36)*СПРАВОЧНИК!$O$9)+СПРАВОЧНИК!$F$10*(('ФАКТ ЧИСТ К3'!F36)*СПРАВОЧНИК!$L$10+('ФАКТ ЧИСТ К3'!G36)*СПРАВОЧНИК!$M$10+('ФАКТ ЧИСТ К3'!H36)*СПРАВОЧНИК!$N$10)+СПРАВОЧНИК!$F$11*(('ФАКТ ЧИСТ К3'!I36)*СПРАВОЧНИК!$L$11+('ФАКТ ЧИСТ К3'!J36)*СПРАВОЧНИК!$M$11+('ФАКТ ЧИСТ К3'!K36)*СПРАВОЧНИК!$N$11)+СПРАВОЧНИК!$F$12*(('ФАКТ ЧИСТ К3'!L36)*СПРАВОЧНИК!$L$12+('ФАКТ ЧИСТ К3'!M36)*СПРАВОЧНИК!$M$12+('ФАКТ ЧИСТ К3'!N36)*СПРАВОЧНИК!$N$12)+СПРАВОЧНИК!$F$13*(('ФАКТ ЧИСТ К3'!O36)*СПРАВОЧНИК!$L$13+('ФАКТ ЧИСТ К3'!P36)*СПРАВОЧНИК!$M$13+('ФАКТ ЧИСТ К3'!Q36)*СПРАВОЧНИК!$N$13)+СПРАВОЧНИК!$F$14*(('ФАКТ ЧИСТ К3'!R36)*СПРАВОЧНИК!$L$14+('ФАКТ ЧИСТ К3'!S36)*СПРАВОЧНИК!$M$14+('ФАКТ ЧИСТ К3'!T36)*СПРАВОЧНИК!$N$14)+СПРАВОЧНИК!$F$15*(('ФАКТ ЧИСТ К3'!U36)*СПРАВОЧНИК!$L$15+('ФАКТ ЧИСТ К3'!V36)*СПРАВОЧНИК!$M$15+('ФАКТ ЧИСТ К3'!W36)*СПРАВОЧНИК!$N$15)</f>
        <v>0</v>
      </c>
      <c r="BK45" s="18">
        <f t="shared" si="22"/>
        <v>46391</v>
      </c>
      <c r="BL45" s="37">
        <f>'ПЛАН ЧЕРН К3'!B36*СПРАВОЧНИК!$H$9+'ПЛАН ЧЕРН К3'!C36*СПРАВОЧНИК!$I$9+'ПЛАН ЧЕРН К3'!D36*СПРАВОЧНИК!$J$9+'ПЛАН ЧЕРН К3'!E36*СПРАВОЧНИК!$H$10+'ПЛАН ЧЕРН К3'!F36*СПРАВОЧНИК!$I$10+'ПЛАН ЧЕРН К3'!G36*СПРАВОЧНИК!$J$10+'ПЛАН ЧЕРН К3'!H36*СПРАВОЧНИК!$H$11+'ПЛАН ЧЕРН К3'!I36*СПРАВОЧНИК!$I$11+'ПЛАН ЧЕРН К3'!J36*СПРАВОЧНИК!$J$11+'ПЛАН ЧЕРН К3'!K36*СПРАВОЧНИК!$H$12+'ПЛАН ЧЕРН К3'!L36*СПРАВОЧНИК!$I$12+'ПЛАН ЧЕРН К3'!M36*СПРАВОЧНИК!$J$12+'ПЛАН ЧЕРН К3'!N36*СПРАВОЧНИК!$H$13+'ПЛАН ЧЕРН К3'!O36*СПРАВОЧНИК!$I$13+'ПЛАН ЧЕРН К3'!P36*СПРАВОЧНИК!$J$13+'ПЛАН ЧЕРН К3'!Q36*СПРАВОЧНИК!$H$14+'ПЛАН ЧЕРН К3'!R36*СПРАВОЧНИК!$I$14+'ПЛАН ЧЕРН К3'!S36*СПРАВОЧНИК!$J$14+'ПЛАН ЧЕРН К3'!T36*СПРАВОЧНИК!$H$15+'ПЛАН ЧЕРН К3'!U36*СПРАВОЧНИК!$I$15+'ПЛАН ЧЕРН К3'!V36*СПРАВОЧНИК!$J$15</f>
        <v>0</v>
      </c>
      <c r="BM45" s="40">
        <f>('ФАКТ ЧЕРН К3'!B36)*СПРАВОЧНИК!$H$9+('ФАКТ ЧЕРН К3'!C36)*СПРАВОЧНИК!$I$9+('ФАКТ ЧЕРН К3'!D36)*СПРАВОЧНИК!$J$9+('ФАКТ ЧЕРН К3'!E36)*СПРАВОЧНИК!$H$10+('ФАКТ ЧЕРН К3'!F36)*СПРАВОЧНИК!$I$10+('ФАКТ ЧЕРН К3'!G36)*СПРАВОЧНИК!$J$10+('ФАКТ ЧЕРН К3'!H36)*СПРАВОЧНИК!$H$11+('ФАКТ ЧЕРН К3'!I36)*СПРАВОЧНИК!$I$11+('ФАКТ ЧЕРН К3'!J36)*СПРАВОЧНИК!$J$11+('ФАКТ ЧЕРН К3'!K36)*СПРАВОЧНИК!$H$12+('ФАКТ ЧЕРН К3'!L36)*СПРАВОЧНИК!$I$12+('ФАКТ ЧЕРН К3'!M36)*СПРАВОЧНИК!$J$12+('ФАКТ ЧЕРН К3'!N36)*СПРАВОЧНИК!$H$13+('ФАКТ ЧЕРН К3'!O36)*СПРАВОЧНИК!$I$13+('ФАКТ ЧЕРН К3'!P36)*СПРАВОЧНИК!$J$13+('ФАКТ ЧЕРН К3'!Q36)*СПРАВОЧНИК!$H$14+('ФАКТ ЧЕРН К3'!R36)*СПРАВОЧНИК!$I$14+('ФАКТ ЧЕРН К3'!S36)*СПРАВОЧНИК!$J$14+('ФАКТ ЧЕРН К3'!T36)*СПРАВОЧНИК!$H$15+('ФАКТ ЧЕРН К3'!U36)*СПРАВОЧНИК!$I$15+('ФАКТ ЧЕРН К3'!V36)*СПРАВОЧНИК!$J$15</f>
        <v>0</v>
      </c>
      <c r="BQ45" s="18">
        <f t="shared" si="23"/>
        <v>46391</v>
      </c>
      <c r="BR45" s="37">
        <f>'ПЛАН ЧИСТ К3'!B36*СПРАВОЧНИК!$L$9+'ПЛАН ЧИСТ К3'!C36*СПРАВОЧНИК!$M$9+'ПЛАН ЧИСТ К3'!D36*СПРАВОЧНИК!$N$9+'ПЛАН ЧИСТ К3'!E36*СПРАВОЧНИК!$O$9+'ПЛАН ЧИСТ К3'!F36*СПРАВОЧНИК!$L$10+'ПЛАН ЧИСТ К3'!G36*СПРАВОЧНИК!$M$10+'ПЛАН ЧИСТ К3'!H36*СПРАВОЧНИК!$N$10+'ПЛАН ЧИСТ К3'!I36*СПРАВОЧНИК!$L$11+'ПЛАН ЧИСТ К3'!J36*СПРАВОЧНИК!$M$11+'ПЛАН ЧИСТ К3'!K36*СПРАВОЧНИК!$N$11+'ПЛАН ЧИСТ К3'!L36*СПРАВОЧНИК!$L$12+'ПЛАН ЧИСТ К3'!M36*СПРАВОЧНИК!$M$12+'ПЛАН ЧИСТ К3'!N36*СПРАВОЧНИК!$N$12+'ПЛАН ЧИСТ К3'!O36*СПРАВОЧНИК!$L$13+'ПЛАН ЧИСТ К3'!P36*СПРАВОЧНИК!$M$13+'ПЛАН ЧИСТ К3'!Q36*СПРАВОЧНИК!$N$13+'ПЛАН ЧИСТ К3'!R36*СПРАВОЧНИК!$L$14+'ПЛАН ЧИСТ К3'!S36*СПРАВОЧНИК!$M$14+'ПЛАН ЧИСТ К3'!T36*СПРАВОЧНИК!$N$14+'ПЛАН ЧИСТ К3'!U36*СПРАВОЧНИК!$L$15+'ПЛАН ЧИСТ К3'!V36*СПРАВОЧНИК!$M$15+'ПЛАН ЧИСТ К3'!W36*СПРАВОЧНИК!$N$15</f>
        <v>0</v>
      </c>
      <c r="BS45" s="40">
        <f>('ФАКТ ЧИСТ К3'!B36)*СПРАВОЧНИК!$L$9+('ФАКТ ЧИСТ К3'!C36)*СПРАВОЧНИК!$M$9+('ФАКТ ЧИСТ К3'!D36)*СПРАВОЧНИК!$N$9+('ФАКТ ЧИСТ К3'!E36)*СПРАВОЧНИК!$O$9+('ФАКТ ЧИСТ К3'!F36)*СПРАВОЧНИК!$L$10+('ФАКТ ЧИСТ К3'!G36)*СПРАВОЧНИК!$M$10+('ФАКТ ЧИСТ К3'!H36)*СПРАВОЧНИК!$N$10+('ФАКТ ЧИСТ К3'!I36)*СПРАВОЧНИК!$L$11+('ФАКТ ЧИСТ К3'!J36)*СПРАВОЧНИК!$M$11+('ФАКТ ЧИСТ К3'!K36)*СПРАВОЧНИК!$N$11+('ФАКТ ЧИСТ К3'!L36)*СПРАВОЧНИК!$L$12+('ФАКТ ЧИСТ К3'!M36)*СПРАВОЧНИК!$M$12+('ФАКТ ЧИСТ К3'!N36)*СПРАВОЧНИК!$N$12+('ФАКТ ЧИСТ К3'!O36)*СПРАВОЧНИК!$L$13+('ФАКТ ЧИСТ К3'!P36)*СПРАВОЧНИК!$M$13+('ФАКТ ЧИСТ К3'!Q36)*СПРАВОЧНИК!$N$13+('ФАКТ ЧИСТ К3'!R36)*СПРАВОЧНИК!$L$14+('ФАКТ ЧИСТ К3'!S36)*СПРАВОЧНИК!$M$14+('ФАКТ ЧИСТ К3'!T36)*СПРАВОЧНИК!$N$14+('ФАКТ ЧИСТ К3'!U36)*СПРАВОЧНИК!$L$15+('ФАКТ ЧИСТ К3'!V36)*СПРАВОЧНИК!$M$15+('ФАКТ ЧИСТ К3'!W36)*СПРАВОЧНИК!$N$15</f>
        <v>0</v>
      </c>
      <c r="BW45" s="18">
        <f t="shared" si="24"/>
        <v>46391</v>
      </c>
      <c r="BX45" s="37">
        <f t="shared" si="0"/>
        <v>0</v>
      </c>
      <c r="BY45" s="40">
        <f t="shared" si="1"/>
        <v>0</v>
      </c>
      <c r="CC45" s="18">
        <f t="shared" si="25"/>
        <v>46391</v>
      </c>
      <c r="CD45" s="37">
        <f t="shared" si="2"/>
        <v>0</v>
      </c>
      <c r="CE45" s="40">
        <f t="shared" si="3"/>
        <v>0</v>
      </c>
      <c r="CI45" s="18">
        <f t="shared" si="26"/>
        <v>46391</v>
      </c>
      <c r="CJ45" s="37">
        <f t="shared" si="4"/>
        <v>0</v>
      </c>
      <c r="CK45" s="40">
        <f t="shared" si="5"/>
        <v>0</v>
      </c>
      <c r="CO45" s="18">
        <f t="shared" si="27"/>
        <v>46391</v>
      </c>
      <c r="CP45" s="37">
        <f t="shared" si="6"/>
        <v>0</v>
      </c>
      <c r="CQ45" s="40">
        <f t="shared" si="7"/>
        <v>0</v>
      </c>
      <c r="CU45" s="18">
        <f t="shared" si="28"/>
        <v>46391</v>
      </c>
      <c r="CV45" s="37">
        <f t="shared" si="8"/>
        <v>0</v>
      </c>
      <c r="CW45" s="40">
        <f t="shared" si="9"/>
        <v>0</v>
      </c>
      <c r="DA45" s="18">
        <f t="shared" si="29"/>
        <v>46391</v>
      </c>
      <c r="DB45" s="37">
        <f t="shared" si="10"/>
        <v>0</v>
      </c>
      <c r="DC45" s="40">
        <f t="shared" si="11"/>
        <v>0</v>
      </c>
    </row>
    <row r="46" spans="3:107" x14ac:dyDescent="0.25">
      <c r="C46" s="18">
        <f t="shared" si="12"/>
        <v>46398</v>
      </c>
      <c r="D46" s="37">
        <f>СПРАВОЧНИК!$E$3*('ПЛАН ЧЕРН ПОДЗЕМ'!B37*СПРАВОЧНИК!$H$3+'ПЛАН ЧЕРН ПОДЗЕМ'!C37*СПРАВОЧНИК!$I$3+'ПЛАН ЧЕРН ПОДЗЕМ'!D37*СПРАВОЧНИК!$J$3)+СПРАВОЧНИК!$E$4*('ПЛАН ЧЕРН ПОДЗЕМ'!E37*СПРАВОЧНИК!$H$4+'ПЛАН ЧЕРН ПОДЗЕМ'!F37*СПРАВОЧНИК!$I$4+'ПЛАН ЧЕРН ПОДЗЕМ'!G37*СПРАВОЧНИК!$J$4)+СПРАВОЧНИК!$E$5*('ПЛАН ЧЕРН ПОДЗЕМ'!H37*СПРАВОЧНИК!$H$5+'ПЛАН ЧЕРН ПОДЗЕМ'!I37*СПРАВОЧНИК!$I$5+'ПЛАН ЧЕРН ПОДЗЕМ'!J37*СПРАВОЧНИК!$J$5)+СПРАВОЧНИК!$E$6*('ПЛАН ЧЕРН ПОДЗЕМ'!K37*СПРАВОЧНИК!$H$6+'ПЛАН ЧЕРН ПОДЗЕМ'!L37*СПРАВОЧНИК!$I$6+'ПЛАН ЧЕРН ПОДЗЕМ'!M37*СПРАВОЧНИК!$J$6)+СПРАВОЧНИК!$E$7*('ПЛАН ЧЕРН ПОДЗЕМ'!N37*СПРАВОЧНИК!$H$7+'ПЛАН ЧЕРН ПОДЗЕМ'!O37*СПРАВОЧНИК!$I$7+'ПЛАН ЧЕРН ПОДЗЕМ'!P37*СПРАВОЧНИК!$J$7)+СПРАВОЧНИК!$E$8*('ПЛАН ЧЕРН ПОДЗЕМ'!Q37*СПРАВОЧНИК!$H$8+'ПЛАН ЧЕРН ПОДЗЕМ'!R37*СПРАВОЧНИК!$I$8+'ПЛАН ЧЕРН ПОДЗЕМ'!S37*СПРАВОЧНИК!$J$8)+СПРАВОЧНИК!$F$3*('ПЛАН ЧИСТ ПОДЗЕМ'!B37*СПРАВОЧНИК!$L$3+'ПЛАН ЧИСТ ПОДЗЕМ'!C37*СПРАВОЧНИК!$M$3+'ПЛАН ЧИСТ ПОДЗЕМ'!D37*СПРАВОЧНИК!$N$3)+СПРАВОЧНИК!$F$4*('ПЛАН ЧИСТ ПОДЗЕМ'!E37*СПРАВОЧНИК!$L$4+'ПЛАН ЧИСТ ПОДЗЕМ'!F37*СПРАВОЧНИК!$M$4+'ПЛАН ЧИСТ ПОДЗЕМ'!G37*СПРАВОЧНИК!$N$4)+СПРАВОЧНИК!$F$5*('ПЛАН ЧИСТ ПОДЗЕМ'!H37*СПРАВОЧНИК!$L$5+'ПЛАН ЧИСТ ПОДЗЕМ'!I37*СПРАВОЧНИК!$M$5+'ПЛАН ЧИСТ ПОДЗЕМ'!J37*СПРАВОЧНИК!$N$5)+СПРАВОЧНИК!$F$6*('ПЛАН ЧИСТ ПОДЗЕМ'!K37*СПРАВОЧНИК!$L$6+'ПЛАН ЧИСТ ПОДЗЕМ'!L37*СПРАВОЧНИК!$M$6+'ПЛАН ЧИСТ ПОДЗЕМ'!M37*СПРАВОЧНИК!$N$6)+СПРАВОЧНИК!$F$7*('ПЛАН ЧИСТ ПОДЗЕМ'!N37*СПРАВОЧНИК!$L$7+'ПЛАН ЧИСТ ПОДЗЕМ'!O37*СПРАВОЧНИК!$M$7+'ПЛАН ЧИСТ ПОДЗЕМ'!P37*СПРАВОЧНИК!$N$7)+СПРАВОЧНИК!$F$8*('ПЛАН ЧИСТ ПОДЗЕМ'!Q37*СПРАВОЧНИК!$L$8+'ПЛАН ЧИСТ ПОДЗЕМ'!R37*СПРАВОЧНИК!$M$8+'ПЛАН ЧИСТ ПОДЗЕМ'!S37*СПРАВОЧНИК!$N$8)</f>
        <v>0</v>
      </c>
      <c r="E46" s="40">
        <f>СПРАВОЧНИК!$E$3*(('ФАКТ ЧЕРН ПОДЗЕМ'!B37)*СПРАВОЧНИК!$H$3+('ФАКТ ЧЕРН ПОДЗЕМ'!C37)*СПРАВОЧНИК!$I$3+('ФАКТ ЧЕРН ПОДЗЕМ'!D37)*СПРАВОЧНИК!$J$3)+СПРАВОЧНИК!$E$4*(('ФАКТ ЧЕРН ПОДЗЕМ'!E37)*СПРАВОЧНИК!$H$4+('ФАКТ ЧЕРН ПОДЗЕМ'!F37)*СПРАВОЧНИК!$I$4+('ФАКТ ЧЕРН ПОДЗЕМ'!G37)*СПРАВОЧНИК!$J$4)+СПРАВОЧНИК!$E$5*(('ФАКТ ЧЕРН ПОДЗЕМ'!H37)*СПРАВОЧНИК!$H$5+('ФАКТ ЧЕРН ПОДЗЕМ'!I37)*СПРАВОЧНИК!$I$5+('ФАКТ ЧЕРН ПОДЗЕМ'!J37)*СПРАВОЧНИК!$J$5)+СПРАВОЧНИК!$E$6*(('ФАКТ ЧЕРН ПОДЗЕМ'!K37)*СПРАВОЧНИК!$H$6+('ФАКТ ЧЕРН ПОДЗЕМ'!L37)*СПРАВОЧНИК!$I$6+('ФАКТ ЧЕРН ПОДЗЕМ'!M37)*СПРАВОЧНИК!$J$6)+СПРАВОЧНИК!$E$7*(('ФАКТ ЧЕРН ПОДЗЕМ'!N37)*СПРАВОЧНИК!$H$7+('ФАКТ ЧЕРН ПОДЗЕМ'!O37)*СПРАВОЧНИК!$I$7+('ФАКТ ЧЕРН ПОДЗЕМ'!P37)*СПРАВОЧНИК!$J$7)+СПРАВОЧНИК!$E$8*(('ФАКТ ЧЕРН ПОДЗЕМ'!Q37)*СПРАВОЧНИК!$H$8+('ФАКТ ЧЕРН ПОДЗЕМ'!R37)*СПРАВОЧНИК!$I$8+('ФАКТ ЧЕРН ПОДЗЕМ'!S37)*СПРАВОЧНИК!$J$8)+СПРАВОЧНИК!$F$3*(('ФАКТ ЧИСТ ПОДЗЕМ'!B37)*СПРАВОЧНИК!$L$3+('ФАКТ ЧИСТ ПОДЗЕМ'!C37)*СПРАВОЧНИК!$M$3+('ФАКТ ЧИСТ ПОДЗЕМ'!D37)*СПРАВОЧНИК!$N$3)+СПРАВОЧНИК!$F$4*(('ФАКТ ЧИСТ ПОДЗЕМ'!E37)*СПРАВОЧНИК!$L$4+('ФАКТ ЧИСТ ПОДЗЕМ'!F37)*СПРАВОЧНИК!$M$4+('ФАКТ ЧИСТ ПОДЗЕМ'!G37)*СПРАВОЧНИК!$N$4)+СПРАВОЧНИК!$F$5*(('ФАКТ ЧИСТ ПОДЗЕМ'!H37)*СПРАВОЧНИК!$L$5+('ФАКТ ЧИСТ ПОДЗЕМ'!I37)*СПРАВОЧНИК!$M$5+('ФАКТ ЧИСТ ПОДЗЕМ'!J37)*СПРАВОЧНИК!$N$5)+СПРАВОЧНИК!$F$6*(('ФАКТ ЧИСТ ПОДЗЕМ'!K37)*СПРАВОЧНИК!$L$6+('ФАКТ ЧИСТ ПОДЗЕМ'!L37)*СПРАВОЧНИК!$M$6+('ФАКТ ЧИСТ ПОДЗЕМ'!M37)*СПРАВОЧНИК!$N$6)+СПРАВОЧНИК!$F$7*(('ФАКТ ЧИСТ ПОДЗЕМ'!N37)*СПРАВОЧНИК!$L$7+('ФАКТ ЧИСТ ПОДЗЕМ'!O37)*СПРАВОЧНИК!$M$7+('ФАКТ ЧИСТ ПОДЗЕМ'!P37)*СПРАВОЧНИК!$N$7)+СПРАВОЧНИК!$F$8*(('ФАКТ ЧИСТ ПОДЗЕМ'!Q37)*СПРАВОЧНИК!$L$8+('ФАКТ ЧИСТ ПОДЗЕМ'!R37)*СПРАВОЧНИК!$M$8+('ФАКТ ЧИСТ ПОДЗЕМ'!S37)*СПРАВОЧНИК!$N$8)</f>
        <v>0</v>
      </c>
      <c r="I46" s="18">
        <f t="shared" si="13"/>
        <v>46398</v>
      </c>
      <c r="J46" s="37">
        <f>'ПЛАН ЧЕРН ПОДЗЕМ'!B37*СПРАВОЧНИК!$H$3+'ПЛАН ЧЕРН ПОДЗЕМ'!C37*СПРАВОЧНИК!$I$3+'ПЛАН ЧЕРН ПОДЗЕМ'!D37*СПРАВОЧНИК!$J$3+'ПЛАН ЧЕРН ПОДЗЕМ'!E37*СПРАВОЧНИК!$H$4+'ПЛАН ЧЕРН ПОДЗЕМ'!F37*СПРАВОЧНИК!$I$4+'ПЛАН ЧЕРН ПОДЗЕМ'!G37*СПРАВОЧНИК!$J$4+'ПЛАН ЧЕРН ПОДЗЕМ'!H37*СПРАВОЧНИК!$H$5+'ПЛАН ЧЕРН ПОДЗЕМ'!I37*СПРАВОЧНИК!$I$5+'ПЛАН ЧЕРН ПОДЗЕМ'!J37*СПРАВОЧНИК!$J$5+'ПЛАН ЧЕРН ПОДЗЕМ'!K37*СПРАВОЧНИК!$H$6+'ПЛАН ЧЕРН ПОДЗЕМ'!L37*СПРАВОЧНИК!$I$6+'ПЛАН ЧЕРН ПОДЗЕМ'!M37*СПРАВОЧНИК!$J$6+'ПЛАН ЧЕРН ПОДЗЕМ'!N37*СПРАВОЧНИК!$H$7+'ПЛАН ЧЕРН ПОДЗЕМ'!O37*СПРАВОЧНИК!$I$7+'ПЛАН ЧЕРН ПОДЗЕМ'!P37*СПРАВОЧНИК!$J$7+'ПЛАН ЧЕРН ПОДЗЕМ'!Q37*СПРАВОЧНИК!$H$8+'ПЛАН ЧЕРН ПОДЗЕМ'!R37*СПРАВОЧНИК!$I$8+'ПЛАН ЧЕРН ПОДЗЕМ'!S37*СПРАВОЧНИК!$J$8</f>
        <v>0</v>
      </c>
      <c r="K46" s="40">
        <f>('ФАКТ ЧЕРН ПОДЗЕМ'!B37)*СПРАВОЧНИК!$H$3+('ФАКТ ЧЕРН ПОДЗЕМ'!C37)*СПРАВОЧНИК!$I$3+('ФАКТ ЧЕРН ПОДЗЕМ'!D37)*СПРАВОЧНИК!$J$3+('ФАКТ ЧЕРН ПОДЗЕМ'!E37)*СПРАВОЧНИК!$H$4+('ФАКТ ЧЕРН ПОДЗЕМ'!F37)*СПРАВОЧНИК!$I$4+('ФАКТ ЧЕРН ПОДЗЕМ'!G37)*СПРАВОЧНИК!$J$4+('ФАКТ ЧЕРН ПОДЗЕМ'!H37)*СПРАВОЧНИК!$H$5+('ФАКТ ЧЕРН ПОДЗЕМ'!I37)*СПРАВОЧНИК!$I$5+('ФАКТ ЧЕРН ПОДЗЕМ'!J37)*СПРАВОЧНИК!$J$5+('ФАКТ ЧЕРН ПОДЗЕМ'!K37)*СПРАВОЧНИК!$H$6+('ФАКТ ЧЕРН ПОДЗЕМ'!L37)*СПРАВОЧНИК!$I$6+('ФАКТ ЧЕРН ПОДЗЕМ'!M37)*СПРАВОЧНИК!$J$6+('ФАКТ ЧЕРН ПОДЗЕМ'!N37)*СПРАВОЧНИК!$H$7+('ФАКТ ЧЕРН ПОДЗЕМ'!O37)*СПРАВОЧНИК!$I$7+('ФАКТ ЧЕРН ПОДЗЕМ'!P37)*СПРАВОЧНИК!$J$7+('ФАКТ ЧЕРН ПОДЗЕМ'!Q37)*СПРАВОЧНИК!$H$8+('ФАКТ ЧЕРН ПОДЗЕМ'!R37)*СПРАВОЧНИК!$I$8+('ФАКТ ЧЕРН ПОДЗЕМ'!S37)*СПРАВОЧНИК!$J$8</f>
        <v>0</v>
      </c>
      <c r="O46" s="18">
        <f t="shared" si="14"/>
        <v>46398</v>
      </c>
      <c r="P46" s="37">
        <f>'ПЛАН ЧИСТ ПОДЗЕМ'!B37*СПРАВОЧНИК!$L$3+'ПЛАН ЧИСТ ПОДЗЕМ'!C37*СПРАВОЧНИК!$M$3+'ПЛАН ЧИСТ ПОДЗЕМ'!D37*СПРАВОЧНИК!$N$3+'ПЛАН ЧИСТ ПОДЗЕМ'!E37*СПРАВОЧНИК!$L$4+'ПЛАН ЧИСТ ПОДЗЕМ'!F37*СПРАВОЧНИК!$M$4+'ПЛАН ЧИСТ ПОДЗЕМ'!G37*СПРАВОЧНИК!$N$4+'ПЛАН ЧИСТ ПОДЗЕМ'!H37*СПРАВОЧНИК!$L$5+'ПЛАН ЧИСТ ПОДЗЕМ'!I37*СПРАВОЧНИК!$M$5+'ПЛАН ЧИСТ ПОДЗЕМ'!J37*СПРАВОЧНИК!$N$5+'ПЛАН ЧИСТ ПОДЗЕМ'!K37*СПРАВОЧНИК!$L$6+'ПЛАН ЧИСТ ПОДЗЕМ'!L37*СПРАВОЧНИК!$M$6+'ПЛАН ЧИСТ ПОДЗЕМ'!M37*СПРАВОЧНИК!$N$6+'ПЛАН ЧИСТ ПОДЗЕМ'!N37*СПРАВОЧНИК!$L$7+'ПЛАН ЧИСТ ПОДЗЕМ'!O37*СПРАВОЧНИК!$M$7+'ПЛАН ЧИСТ ПОДЗЕМ'!P37*СПРАВОЧНИК!$N$7+'ПЛАН ЧИСТ ПОДЗЕМ'!Q37*СПРАВОЧНИК!$L$8+'ПЛАН ЧИСТ ПОДЗЕМ'!R37*СПРАВОЧНИК!$M$8+'ПЛАН ЧИСТ ПОДЗЕМ'!S37*СПРАВОЧНИК!$N$8</f>
        <v>0</v>
      </c>
      <c r="Q46" s="40">
        <f>('ФАКТ ЧИСТ ПОДЗЕМ'!B37)*СПРАВОЧНИК!$L$3+('ФАКТ ЧИСТ ПОДЗЕМ'!C37)*СПРАВОЧНИК!$M$3+('ФАКТ ЧИСТ ПОДЗЕМ'!D37)*СПРАВОЧНИК!$N$3+('ФАКТ ЧИСТ ПОДЗЕМ'!E37)*СПРАВОЧНИК!$L$4+('ФАКТ ЧИСТ ПОДЗЕМ'!F37)*СПРАВОЧНИК!$M$4+('ФАКТ ЧИСТ ПОДЗЕМ'!G37)*СПРАВОЧНИК!$N$4+('ФАКТ ЧИСТ ПОДЗЕМ'!H37)*СПРАВОЧНИК!$L$5+('ФАКТ ЧИСТ ПОДЗЕМ'!I37)*СПРАВОЧНИК!$M$5+('ФАКТ ЧИСТ ПОДЗЕМ'!J37)*СПРАВОЧНИК!$N$5+('ФАКТ ЧИСТ ПОДЗЕМ'!K37)*СПРАВОЧНИК!$L$6+('ФАКТ ЧИСТ ПОДЗЕМ'!L37)*СПРАВОЧНИК!$M$6+('ФАКТ ЧИСТ ПОДЗЕМ'!M37)*СПРАВОЧНИК!$N$6+('ФАКТ ЧИСТ ПОДЗЕМ'!N37)*СПРАВОЧНИК!$L$7+('ФАКТ ЧИСТ ПОДЗЕМ'!O37)*СПРАВОЧНИК!$M$7+('ФАКТ ЧИСТ ПОДЗЕМ'!P37)*СПРАВОЧНИК!$N$7+('ФАКТ ЧИСТ ПОДЗЕМ'!Q37)*СПРАВОЧНИК!$L$8+('ФАКТ ЧИСТ ПОДЗЕМ'!R37)*СПРАВОЧНИК!$M$8+('ФАКТ ЧИСТ ПОДЗЕМ'!S37)*СПРАВОЧНИК!$N$8</f>
        <v>0</v>
      </c>
      <c r="U46" s="18">
        <f t="shared" si="15"/>
        <v>46398</v>
      </c>
      <c r="V46" s="37">
        <f>СПРАВОЧНИК!$E$9*('ПЛАН ЧЕРН К1'!B37*СПРАВОЧНИК!$H$9+'ПЛАН ЧЕРН К1'!C37*СПРАВОЧНИК!$I$9+'ПЛАН ЧЕРН К1'!D37*СПРАВОЧНИК!$J$9)+СПРАВОЧНИК!$E$10*('ПЛАН ЧЕРН К1'!E37*СПРАВОЧНИК!$H$10+'ПЛАН ЧЕРН К1'!F37*СПРАВОЧНИК!$I$10+'ПЛАН ЧЕРН К1'!G37*СПРАВОЧНИК!$J$10)+СПРАВОЧНИК!$E$11*('ПЛАН ЧЕРН К1'!H37*СПРАВОЧНИК!$H$11+'ПЛАН ЧЕРН К1'!I37*СПРАВОЧНИК!$I$11+'ПЛАН ЧЕРН К1'!J37*СПРАВОЧНИК!$J$11)+СПРАВОЧНИК!$E$12*('ПЛАН ЧЕРН К1'!K37*СПРАВОЧНИК!$H$12+'ПЛАН ЧЕРН К1'!L37*СПРАВОЧНИК!$I$12+'ПЛАН ЧЕРН К1'!M37*СПРАВОЧНИК!$J$12)+СПРАВОЧНИК!$E$13*('ПЛАН ЧЕРН К1'!N37*СПРАВОЧНИК!$H$13+'ПЛАН ЧЕРН К1'!O37*СПРАВОЧНИК!$I$13+'ПЛАН ЧЕРН К1'!P37*СПРАВОЧНИК!$J$13)+СПРАВОЧНИК!$E$14*('ПЛАН ЧЕРН К1'!Q37*СПРАВОЧНИК!$H$14+'ПЛАН ЧЕРН К1'!R37*СПРАВОЧНИК!$I$14+'ПЛАН ЧЕРН К1'!S37*СПРАВОЧНИК!$J$14)+СПРАВОЧНИК!$E$15*('ПЛАН ЧЕРН К1'!T37*СПРАВОЧНИК!$H$15+'ПЛАН ЧЕРН К1'!U37*СПРАВОЧНИК!$I$15+'ПЛАН ЧЕРН К1'!V37*СПРАВОЧНИК!$J$15)+СПРАВОЧНИК!$F$9*('ПЛАН ЧИСТ К1'!B37*СПРАВОЧНИК!$L$9+'ПЛАН ЧИСТ К1'!C37*СПРАВОЧНИК!$M$9+'ПЛАН ЧИСТ К1'!D37*СПРАВОЧНИК!$N$9+'ПЛАН ЧИСТ К1'!E37*СПРАВОЧНИК!$O$9)+СПРАВОЧНИК!$F$10*('ПЛАН ЧИСТ К1'!F37*СПРАВОЧНИК!$L$10+'ПЛАН ЧИСТ К1'!G37*СПРАВОЧНИК!$M$10+'ПЛАН ЧИСТ К1'!H37*СПРАВОЧНИК!$N$10)+СПРАВОЧНИК!$F$11*('ПЛАН ЧИСТ К1'!I37*СПРАВОЧНИК!$L$11+'ПЛАН ЧИСТ К1'!J37*СПРАВОЧНИК!$M$11+'ПЛАН ЧИСТ К1'!K37*СПРАВОЧНИК!$N$11)+СПРАВОЧНИК!$F$12*('ПЛАН ЧИСТ К1'!L37*СПРАВОЧНИК!$L$12+'ПЛАН ЧИСТ К1'!M37*СПРАВОЧНИК!$M$12+'ПЛАН ЧИСТ К1'!N37*СПРАВОЧНИК!$N$12)+СПРАВОЧНИК!$F$13*('ПЛАН ЧИСТ К1'!O37*СПРАВОЧНИК!$L$13+'ПЛАН ЧИСТ К1'!P37*СПРАВОЧНИК!$M$13+'ПЛАН ЧИСТ К1'!Q37*СПРАВОЧНИК!$N$13)+СПРАВОЧНИК!$F$14*('ПЛАН ЧИСТ К1'!R37*СПРАВОЧНИК!$L$14+'ПЛАН ЧИСТ К1'!S37*СПРАВОЧНИК!$M$14+'ПЛАН ЧИСТ К1'!T37*СПРАВОЧНИК!$N$14)+СПРАВОЧНИК!$F$15*('ПЛАН ЧИСТ К1'!U37*СПРАВОЧНИК!$L$15+'ПЛАН ЧИСТ К1'!V37*СПРАВОЧНИК!$M$15+'ПЛАН ЧИСТ К1'!W37*СПРАВОЧНИК!$N$15)</f>
        <v>0</v>
      </c>
      <c r="W46" s="40">
        <f>СПРАВОЧНИК!$E$9*(('ФАКТ ЧЕРН К1'!B37)*СПРАВОЧНИК!$H$9+('ФАКТ ЧЕРН К1'!C37)*СПРАВОЧНИК!$I$9+('ФАКТ ЧЕРН К1'!D37)*СПРАВОЧНИК!$J$9)+СПРАВОЧНИК!$E$10*(('ФАКТ ЧЕРН К1'!E37)*СПРАВОЧНИК!$H$10+('ФАКТ ЧЕРН К1'!F37)*СПРАВОЧНИК!$I$10+('ФАКТ ЧЕРН К1'!G37)*СПРАВОЧНИК!$J$10)+СПРАВОЧНИК!$E$11*(('ФАКТ ЧЕРН К1'!H37)*СПРАВОЧНИК!$H$11+('ФАКТ ЧЕРН К1'!I37)*СПРАВОЧНИК!$I$11+('ФАКТ ЧЕРН К1'!J37)*СПРАВОЧНИК!$J$11)+СПРАВОЧНИК!$E$12*(('ФАКТ ЧЕРН К1'!K37)*СПРАВОЧНИК!$H$12+('ФАКТ ЧЕРН К1'!L37)*СПРАВОЧНИК!$I$12+('ФАКТ ЧЕРН К1'!M37)*СПРАВОЧНИК!$J$12)+СПРАВОЧНИК!$E$13*(('ФАКТ ЧЕРН К1'!N37)*СПРАВОЧНИК!$H$13+('ФАКТ ЧЕРН К1'!O37)*СПРАВОЧНИК!$I$13+('ФАКТ ЧЕРН К1'!P37)*СПРАВОЧНИК!$J$13)+СПРАВОЧНИК!$E$14*(('ФАКТ ЧЕРН К1'!Q37)*СПРАВОЧНИК!$H$14+('ФАКТ ЧЕРН К1'!R37)*СПРАВОЧНИК!$I$14+('ФАКТ ЧЕРН К1'!S37)*СПРАВОЧНИК!$J$14)+СПРАВОЧНИК!$E$15*(('ФАКТ ЧЕРН К1'!T37)*СПРАВОЧНИК!$H$15+('ФАКТ ЧЕРН К1'!U37)*СПРАВОЧНИК!$I$15+('ФАКТ ЧЕРН К1'!V37)*СПРАВОЧНИК!$J$15)+СПРАВОЧНИК!$F$9*(('ФАКТ ЧИСТ К1'!B37)*СПРАВОЧНИК!$L$9+('ФАКТ ЧИСТ К1'!C37)*СПРАВОЧНИК!$M$9+('ФАКТ ЧИСТ К1'!D37)*СПРАВОЧНИК!$N$9+('ФАКТ ЧИСТ К1'!E37)*СПРАВОЧНИК!$O$9)+СПРАВОЧНИК!$F$10*(('ФАКТ ЧИСТ К1'!F37)*СПРАВОЧНИК!$L$10+('ФАКТ ЧИСТ К1'!G37)*СПРАВОЧНИК!$M$10+('ФАКТ ЧИСТ К1'!H37)*СПРАВОЧНИК!$N$10)+СПРАВОЧНИК!$F$11*(('ФАКТ ЧИСТ К1'!I37)*СПРАВОЧНИК!$L$11+('ФАКТ ЧИСТ К1'!J37)*СПРАВОЧНИК!$M$11+('ФАКТ ЧИСТ К1'!K37)*СПРАВОЧНИК!$N$11)+СПРАВОЧНИК!$F$12*(('ФАКТ ЧИСТ К1'!L37)*СПРАВОЧНИК!$L$12+('ФАКТ ЧИСТ К1'!M37)*СПРАВОЧНИК!$M$12+('ФАКТ ЧИСТ К1'!N37)*СПРАВОЧНИК!$N$12)+СПРАВОЧНИК!$F$13*(('ФАКТ ЧИСТ К1'!O37)*СПРАВОЧНИК!$L$13+('ФАКТ ЧИСТ К1'!P37)*СПРАВОЧНИК!$M$13+('ФАКТ ЧИСТ К1'!Q37)*СПРАВОЧНИК!$N$13)+СПРАВОЧНИК!$F$14*(('ФАКТ ЧИСТ К1'!R37)*СПРАВОЧНИК!$L$14+('ФАКТ ЧИСТ К1'!S37)*СПРАВОЧНИК!$M$14+('ФАКТ ЧИСТ К1'!T37)*СПРАВОЧНИК!$N$14)+СПРАВОЧНИК!$F$15*(('ФАКТ ЧИСТ К1'!U37)*СПРАВОЧНИК!$L$15+('ФАКТ ЧИСТ К1'!V37)*СПРАВОЧНИК!$M$15+('ФАКТ ЧИСТ К1'!W37)*СПРАВОЧНИК!$N$15)</f>
        <v>0</v>
      </c>
      <c r="AA46" s="18">
        <f t="shared" si="16"/>
        <v>46398</v>
      </c>
      <c r="AB46" s="37">
        <f>'ПЛАН ЧЕРН К1'!B37*СПРАВОЧНИК!$H$9+'ПЛАН ЧЕРН К1'!C37*СПРАВОЧНИК!$I$9+'ПЛАН ЧЕРН К1'!D37*СПРАВОЧНИК!$J$9+'ПЛАН ЧЕРН К1'!E37*СПРАВОЧНИК!$H$10+'ПЛАН ЧЕРН К1'!F37*СПРАВОЧНИК!$I$10+'ПЛАН ЧЕРН К1'!G37*СПРАВОЧНИК!$J$10+'ПЛАН ЧЕРН К1'!H37*СПРАВОЧНИК!$H$11+'ПЛАН ЧЕРН К1'!I37*СПРАВОЧНИК!$I$11+'ПЛАН ЧЕРН К1'!J37*СПРАВОЧНИК!$J$11+'ПЛАН ЧЕРН К1'!K37*СПРАВОЧНИК!$H$12+'ПЛАН ЧЕРН К1'!L37*СПРАВОЧНИК!$I$12+'ПЛАН ЧЕРН К1'!M37*СПРАВОЧНИК!$J$12+'ПЛАН ЧЕРН К1'!N37*СПРАВОЧНИК!$H$13+'ПЛАН ЧЕРН К1'!O37*СПРАВОЧНИК!$I$13+'ПЛАН ЧЕРН К1'!P37*СПРАВОЧНИК!$J$13+'ПЛАН ЧЕРН К1'!Q37*СПРАВОЧНИК!$H$14+'ПЛАН ЧЕРН К1'!R37*СПРАВОЧНИК!$I$14+'ПЛАН ЧЕРН К1'!S37*СПРАВОЧНИК!$J$14+'ПЛАН ЧЕРН К1'!T37*СПРАВОЧНИК!$H$15+'ПЛАН ЧЕРН К1'!U37*СПРАВОЧНИК!$I$15+'ПЛАН ЧЕРН К1'!V37*СПРАВОЧНИК!$J$15</f>
        <v>0</v>
      </c>
      <c r="AC46" s="40">
        <f>('ФАКТ ЧЕРН К1'!B37)*СПРАВОЧНИК!$H$9+('ФАКТ ЧЕРН К1'!C37)*СПРАВОЧНИК!$I$9+('ФАКТ ЧЕРН К1'!D37)*СПРАВОЧНИК!$J$9+('ФАКТ ЧЕРН К1'!E37)*СПРАВОЧНИК!$H$10+('ФАКТ ЧЕРН К1'!F37)*СПРАВОЧНИК!$I$10+('ФАКТ ЧЕРН К1'!G37)*СПРАВОЧНИК!$J$10+('ФАКТ ЧЕРН К1'!H37)*СПРАВОЧНИК!$H$11+('ФАКТ ЧЕРН К1'!I37)*СПРАВОЧНИК!$I$11+('ФАКТ ЧЕРН К1'!J37)*СПРАВОЧНИК!$J$11+('ФАКТ ЧЕРН К1'!K37)*СПРАВОЧНИК!$H$12+('ФАКТ ЧЕРН К1'!L37)*СПРАВОЧНИК!$I$12+('ФАКТ ЧЕРН К1'!M37)*СПРАВОЧНИК!$J$12+('ФАКТ ЧЕРН К1'!N37)*СПРАВОЧНИК!$H$13+('ФАКТ ЧЕРН К1'!O37)*СПРАВОЧНИК!$I$13+('ФАКТ ЧЕРН К1'!P37)*СПРАВОЧНИК!$J$13+('ФАКТ ЧЕРН К1'!Q37)*СПРАВОЧНИК!$H$14+('ФАКТ ЧЕРН К1'!R37)*СПРАВОЧНИК!$I$14+('ФАКТ ЧЕРН К1'!S37)*СПРАВОЧНИК!$J$14+('ФАКТ ЧЕРН К1'!T37)*СПРАВОЧНИК!$H$15+('ФАКТ ЧЕРН К1'!U37)*СПРАВОЧНИК!$I$15+('ФАКТ ЧЕРН К1'!V37)*СПРАВОЧНИК!$J$15</f>
        <v>0</v>
      </c>
      <c r="AG46" s="18">
        <f t="shared" si="17"/>
        <v>46398</v>
      </c>
      <c r="AH46" s="37">
        <f>'ПЛАН ЧИСТ К1'!B37*СПРАВОЧНИК!$L$9+'ПЛАН ЧИСТ К1'!C37*СПРАВОЧНИК!$M$9+'ПЛАН ЧИСТ К1'!D37*СПРАВОЧНИК!$N$9+'ПЛАН ЧИСТ К1'!E37*СПРАВОЧНИК!$O$9+'ПЛАН ЧИСТ К1'!F37*СПРАВОЧНИК!$L$10+'ПЛАН ЧИСТ К1'!G37*СПРАВОЧНИК!$M$10+'ПЛАН ЧИСТ К1'!H37*СПРАВОЧНИК!$N$10+'ПЛАН ЧИСТ К1'!I37*СПРАВОЧНИК!$L$11+'ПЛАН ЧИСТ К1'!J37*СПРАВОЧНИК!$M$11+'ПЛАН ЧИСТ К1'!K37*СПРАВОЧНИК!$N$11+'ПЛАН ЧИСТ К1'!L37*СПРАВОЧНИК!$L$12+'ПЛАН ЧИСТ К1'!M37*СПРАВОЧНИК!$M$12+'ПЛАН ЧИСТ К1'!N37*СПРАВОЧНИК!$N$12+'ПЛАН ЧИСТ К1'!O37*СПРАВОЧНИК!$L$13+'ПЛАН ЧИСТ К1'!P37*СПРАВОЧНИК!$M$13+'ПЛАН ЧИСТ К1'!Q37*СПРАВОЧНИК!$N$13+'ПЛАН ЧИСТ К1'!R37*СПРАВОЧНИК!$L$14+'ПЛАН ЧИСТ К1'!S37*СПРАВОЧНИК!$M$14+'ПЛАН ЧИСТ К1'!T37*СПРАВОЧНИК!$N$14+'ПЛАН ЧИСТ К1'!U37*СПРАВОЧНИК!$L$15+'ПЛАН ЧИСТ К1'!V37*СПРАВОЧНИК!$M$15+'ПЛАН ЧИСТ К1'!W37*СПРАВОЧНИК!$N$15</f>
        <v>0</v>
      </c>
      <c r="AI46" s="40">
        <f>('ФАКТ ЧИСТ К1'!B37)*СПРАВОЧНИК!$L$9+('ФАКТ ЧИСТ К1'!C37)*СПРАВОЧНИК!$M$9+('ФАКТ ЧИСТ К1'!D37)*СПРАВОЧНИК!$N$9+('ФАКТ ЧИСТ К1'!E37)*СПРАВОЧНИК!$O$9+('ФАКТ ЧИСТ К1'!F37)*СПРАВОЧНИК!$L$10+('ФАКТ ЧИСТ К1'!G37)*СПРАВОЧНИК!$M$10+('ФАКТ ЧИСТ К1'!H37)*СПРАВОЧНИК!$N$10+('ФАКТ ЧИСТ К1'!I37)*СПРАВОЧНИК!$L$11+('ФАКТ ЧИСТ К1'!J37)*СПРАВОЧНИК!$M$11+('ФАКТ ЧИСТ К1'!K37)*СПРАВОЧНИК!$N$11+('ФАКТ ЧИСТ К1'!L37)*СПРАВОЧНИК!$L$12+('ФАКТ ЧИСТ К1'!M37)*СПРАВОЧНИК!$M$12+('ФАКТ ЧИСТ К1'!N37)*СПРАВОЧНИК!$N$12+('ФАКТ ЧИСТ К1'!O37)*СПРАВОЧНИК!$L$13+('ФАКТ ЧИСТ К1'!P37)*СПРАВОЧНИК!$M$13+('ФАКТ ЧИСТ К1'!Q37)*СПРАВОЧНИК!$N$13+('ФАКТ ЧИСТ К1'!R37)*СПРАВОЧНИК!$L$14+('ФАКТ ЧИСТ К1'!S37)*СПРАВОЧНИК!$M$14+('ФАКТ ЧИСТ К1'!T37)*СПРАВОЧНИК!$N$14+('ФАКТ ЧИСТ К1'!U37)*СПРАВОЧНИК!$L$15+('ФАКТ ЧИСТ К1'!V37)*СПРАВОЧНИК!$M$15+('ФАКТ ЧИСТ К1'!W37)*СПРАВОЧНИК!$N$15</f>
        <v>0</v>
      </c>
      <c r="AM46" s="18">
        <f t="shared" si="18"/>
        <v>46398</v>
      </c>
      <c r="AN46" s="37">
        <f>СПРАВОЧНИК!$E$9*('ПЛАН ЧЕРН К2'!B37*СПРАВОЧНИК!$H$9+'ПЛАН ЧЕРН К2'!C37*СПРАВОЧНИК!$I$9+'ПЛАН ЧЕРН К2'!D37*СПРАВОЧНИК!$J$9)+СПРАВОЧНИК!$E$10*('ПЛАН ЧЕРН К2'!E37*СПРАВОЧНИК!$H$10+'ПЛАН ЧЕРН К2'!F37*СПРАВОЧНИК!$I$10+'ПЛАН ЧЕРН К2'!G37*СПРАВОЧНИК!$J$10)+СПРАВОЧНИК!$E$11*('ПЛАН ЧЕРН К2'!H37*СПРАВОЧНИК!$H$11+'ПЛАН ЧЕРН К2'!I37*СПРАВОЧНИК!$I$11+'ПЛАН ЧЕРН К2'!J37*СПРАВОЧНИК!$J$11)+СПРАВОЧНИК!$E$12*('ПЛАН ЧЕРН К2'!K37*СПРАВОЧНИК!$H$12+'ПЛАН ЧЕРН К2'!L37*СПРАВОЧНИК!$I$12+'ПЛАН ЧЕРН К2'!M37*СПРАВОЧНИК!$J$12)+СПРАВОЧНИК!$E$13*('ПЛАН ЧЕРН К2'!N37*СПРАВОЧНИК!$H$13+'ПЛАН ЧЕРН К2'!O37*СПРАВОЧНИК!$I$13+'ПЛАН ЧЕРН К2'!P37*СПРАВОЧНИК!$J$13)+СПРАВОЧНИК!$E$14*('ПЛАН ЧЕРН К2'!Q37*СПРАВОЧНИК!$H$14+'ПЛАН ЧЕРН К2'!R37*СПРАВОЧНИК!$I$14+'ПЛАН ЧЕРН К2'!S37*СПРАВОЧНИК!$J$14)+СПРАВОЧНИК!$E$15*('ПЛАН ЧЕРН К2'!T37*СПРАВОЧНИК!$H$15+'ПЛАН ЧЕРН К2'!U37*СПРАВОЧНИК!$I$15+'ПЛАН ЧЕРН К2'!V37*СПРАВОЧНИК!$J$15)+СПРАВОЧНИК!$F$9*('ПЛАН ЧИСТ К2'!B37*СПРАВОЧНИК!$L$9+'ПЛАН ЧИСТ К2'!C37*СПРАВОЧНИК!$M$9+'ПЛАН ЧИСТ К2'!D37*СПРАВОЧНИК!$N$9+'ПЛАН ЧИСТ К2'!E37*СПРАВОЧНИК!$O$9)+СПРАВОЧНИК!$F$10*('ПЛАН ЧИСТ К2'!F37*СПРАВОЧНИК!$L$10+'ПЛАН ЧИСТ К2'!G37*СПРАВОЧНИК!$M$10+'ПЛАН ЧИСТ К2'!H37*СПРАВОЧНИК!$N$10)+СПРАВОЧНИК!$F$11*('ПЛАН ЧИСТ К2'!I37*СПРАВОЧНИК!$L$11+'ПЛАН ЧИСТ К2'!J37*СПРАВОЧНИК!$M$11+'ПЛАН ЧИСТ К2'!K37*СПРАВОЧНИК!$N$11)+СПРАВОЧНИК!$F$12*('ПЛАН ЧИСТ К2'!L37*СПРАВОЧНИК!$L$12+'ПЛАН ЧИСТ К2'!M37*СПРАВОЧНИК!$M$12+'ПЛАН ЧИСТ К2'!N37*СПРАВОЧНИК!$N$12)+СПРАВОЧНИК!$F$13*('ПЛАН ЧИСТ К2'!O37*СПРАВОЧНИК!$L$13+'ПЛАН ЧИСТ К2'!P37*СПРАВОЧНИК!$M$13+'ПЛАН ЧИСТ К2'!Q37*СПРАВОЧНИК!$N$13)+СПРАВОЧНИК!$F$14*('ПЛАН ЧИСТ К2'!R37*СПРАВОЧНИК!$L$14+'ПЛАН ЧИСТ К2'!S37*СПРАВОЧНИК!$M$14+'ПЛАН ЧИСТ К2'!T37*СПРАВОЧНИК!$N$14)+СПРАВОЧНИК!$F$15*('ПЛАН ЧИСТ К2'!U37*СПРАВОЧНИК!$L$15+'ПЛАН ЧИСТ К2'!V37*СПРАВОЧНИК!$M$15+'ПЛАН ЧИСТ К2'!W37*СПРАВОЧНИК!$N$15)</f>
        <v>0</v>
      </c>
      <c r="AO46" s="40">
        <f>СПРАВОЧНИК!$E$9*(('ФАКТ ЧЕРН К2'!B37)*СПРАВОЧНИК!$H$9+('ФАКТ ЧЕРН К2'!C37)*СПРАВОЧНИК!$I$9+('ФАКТ ЧЕРН К2'!D37)*СПРАВОЧНИК!$J$9)+СПРАВОЧНИК!$E$10*(('ФАКТ ЧЕРН К2'!E37)*СПРАВОЧНИК!$H$10+('ФАКТ ЧЕРН К2'!F37)*СПРАВОЧНИК!$I$10+('ФАКТ ЧЕРН К2'!G37)*СПРАВОЧНИК!$J$10)+СПРАВОЧНИК!$E$11*(('ФАКТ ЧЕРН К2'!H37)*СПРАВОЧНИК!$H$11+('ФАКТ ЧЕРН К2'!I37)*СПРАВОЧНИК!$I$11+('ФАКТ ЧЕРН К2'!J37)*СПРАВОЧНИК!$J$11)+СПРАВОЧНИК!$E$12*(('ФАКТ ЧЕРН К2'!K37)*СПРАВОЧНИК!$H$12+('ФАКТ ЧЕРН К2'!L37)*СПРАВОЧНИК!$I$12+('ФАКТ ЧЕРН К2'!M37)*СПРАВОЧНИК!$J$12)+СПРАВОЧНИК!$E$13*(('ФАКТ ЧЕРН К2'!N37)*СПРАВОЧНИК!$H$13+('ФАКТ ЧЕРН К2'!O37)*СПРАВОЧНИК!$I$13+('ФАКТ ЧЕРН К2'!P37)*СПРАВОЧНИК!$J$13)+СПРАВОЧНИК!$E$14*(('ФАКТ ЧЕРН К2'!Q37)*СПРАВОЧНИК!$H$14+('ФАКТ ЧЕРН К2'!R37)*СПРАВОЧНИК!$I$14+('ФАКТ ЧЕРН К2'!S37)*СПРАВОЧНИК!$J$14)+СПРАВОЧНИК!$E$15*(('ФАКТ ЧЕРН К2'!T37)*СПРАВОЧНИК!$H$15+('ФАКТ ЧЕРН К2'!U37)*СПРАВОЧНИК!$I$15+('ФАКТ ЧЕРН К2'!V37)*СПРАВОЧНИК!$J$15)+СПРАВОЧНИК!$F$9*(('ФАКТ ЧИСТ К2'!B37)*СПРАВОЧНИК!$L$9+('ФАКТ ЧИСТ К2'!C37)*СПРАВОЧНИК!$M$9+('ФАКТ ЧИСТ К2'!D37)*СПРАВОЧНИК!$N$9+('ФАКТ ЧИСТ К2'!E37)*СПРАВОЧНИК!$O$9)+СПРАВОЧНИК!$F$10*(('ФАКТ ЧИСТ К2'!F37)*СПРАВОЧНИК!$L$10+('ФАКТ ЧИСТ К2'!G37)*СПРАВОЧНИК!$M$10+('ФАКТ ЧИСТ К2'!H37)*СПРАВОЧНИК!$N$10)+СПРАВОЧНИК!$F$11*(('ФАКТ ЧИСТ К2'!I37)*СПРАВОЧНИК!$L$11+('ФАКТ ЧИСТ К2'!J37)*СПРАВОЧНИК!$M$11+('ФАКТ ЧИСТ К2'!K37)*СПРАВОЧНИК!$N$11)+СПРАВОЧНИК!$F$12*(('ФАКТ ЧИСТ К2'!L37)*СПРАВОЧНИК!$L$12+('ФАКТ ЧИСТ К2'!M37)*СПРАВОЧНИК!$M$12+('ФАКТ ЧИСТ К2'!N37)*СПРАВОЧНИК!$N$12)+СПРАВОЧНИК!$F$13*(('ФАКТ ЧИСТ К2'!O37)*СПРАВОЧНИК!$L$13+('ФАКТ ЧИСТ К2'!P37)*СПРАВОЧНИК!$M$13+('ФАКТ ЧИСТ К2'!Q37)*СПРАВОЧНИК!$N$13)+СПРАВОЧНИК!$F$14*(('ФАКТ ЧИСТ К2'!R37)*СПРАВОЧНИК!$L$14+('ФАКТ ЧИСТ К2'!S37)*СПРАВОЧНИК!$M$14+('ФАКТ ЧИСТ К2'!T37)*СПРАВОЧНИК!$N$14)+СПРАВОЧНИК!$F$15*(('ФАКТ ЧИСТ К2'!U37)*СПРАВОЧНИК!$L$15+('ФАКТ ЧИСТ К2'!V37)*СПРАВОЧНИК!$M$15+('ФАКТ ЧИСТ К2'!W37)*СПРАВОЧНИК!$N$15)</f>
        <v>0</v>
      </c>
      <c r="AS46" s="18">
        <f t="shared" si="19"/>
        <v>46398</v>
      </c>
      <c r="AT46" s="37">
        <f>'ПЛАН ЧЕРН К2'!B37*СПРАВОЧНИК!$H$9+'ПЛАН ЧЕРН К2'!C37*СПРАВОЧНИК!$I$9+'ПЛАН ЧЕРН К2'!D37*СПРАВОЧНИК!$J$9+'ПЛАН ЧЕРН К2'!E37*СПРАВОЧНИК!$H$10+'ПЛАН ЧЕРН К2'!F37*СПРАВОЧНИК!$I$10+'ПЛАН ЧЕРН К2'!G37*СПРАВОЧНИК!$J$10+'ПЛАН ЧЕРН К2'!H37*СПРАВОЧНИК!$H$11+'ПЛАН ЧЕРН К2'!I37*СПРАВОЧНИК!$I$11+'ПЛАН ЧЕРН К2'!J37*СПРАВОЧНИК!$J$11+'ПЛАН ЧЕРН К2'!K37*СПРАВОЧНИК!$H$12+'ПЛАН ЧЕРН К2'!L37*СПРАВОЧНИК!$I$12+'ПЛАН ЧЕРН К2'!M37*СПРАВОЧНИК!$J$12+'ПЛАН ЧЕРН К2'!N37*СПРАВОЧНИК!$H$13+'ПЛАН ЧЕРН К2'!O37*СПРАВОЧНИК!$I$13+'ПЛАН ЧЕРН К2'!P37*СПРАВОЧНИК!$J$13+'ПЛАН ЧЕРН К2'!Q37*СПРАВОЧНИК!$H$14+'ПЛАН ЧЕРН К2'!R37*СПРАВОЧНИК!$I$14+'ПЛАН ЧЕРН К2'!S37*СПРАВОЧНИК!$J$14+'ПЛАН ЧЕРН К2'!T37*СПРАВОЧНИК!$H$15+'ПЛАН ЧЕРН К2'!U37*СПРАВОЧНИК!$I$15+'ПЛАН ЧЕРН К2'!V37*СПРАВОЧНИК!$J$15</f>
        <v>0</v>
      </c>
      <c r="AU46" s="40">
        <f>('ФАКТ ЧЕРН К2'!B37)*СПРАВОЧНИК!$H$9+('ФАКТ ЧЕРН К2'!C37)*СПРАВОЧНИК!$I$9+('ФАКТ ЧЕРН К2'!D37)*СПРАВОЧНИК!$J$9+('ФАКТ ЧЕРН К2'!E37)*СПРАВОЧНИК!$H$10+('ФАКТ ЧЕРН К2'!F37)*СПРАВОЧНИК!$I$10+('ФАКТ ЧЕРН К2'!G37)*СПРАВОЧНИК!$J$10+('ФАКТ ЧЕРН К2'!H37)*СПРАВОЧНИК!$H$11+('ФАКТ ЧЕРН К2'!I37)*СПРАВОЧНИК!$I$11+('ФАКТ ЧЕРН К2'!J37)*СПРАВОЧНИК!$J$11+('ФАКТ ЧЕРН К2'!K37)*СПРАВОЧНИК!$H$12+('ФАКТ ЧЕРН К2'!L37)*СПРАВОЧНИК!$I$12+('ФАКТ ЧЕРН К2'!M37)*СПРАВОЧНИК!$J$12+('ФАКТ ЧЕРН К2'!N37)*СПРАВОЧНИК!$H$13+('ФАКТ ЧЕРН К2'!O37)*СПРАВОЧНИК!$I$13+('ФАКТ ЧЕРН К2'!P37)*СПРАВОЧНИК!$J$13+('ФАКТ ЧЕРН К2'!Q37)*СПРАВОЧНИК!$H$14+('ФАКТ ЧЕРН К2'!R37)*СПРАВОЧНИК!$I$14+('ФАКТ ЧЕРН К2'!S37)*СПРАВОЧНИК!$J$14+('ФАКТ ЧЕРН К2'!T37)*СПРАВОЧНИК!$H$15+('ФАКТ ЧЕРН К2'!U37)*СПРАВОЧНИК!$I$15+('ФАКТ ЧЕРН К2'!V37)*СПРАВОЧНИК!$J$15</f>
        <v>0</v>
      </c>
      <c r="AY46" s="18">
        <f t="shared" si="20"/>
        <v>46398</v>
      </c>
      <c r="AZ46" s="37">
        <f>'ПЛАН ЧИСТ К2'!B37*СПРАВОЧНИК!$L$9+'ПЛАН ЧИСТ К2'!C37*СПРАВОЧНИК!$M$9+'ПЛАН ЧИСТ К2'!D37*СПРАВОЧНИК!$N$9+'ПЛАН ЧИСТ К2'!E37*СПРАВОЧНИК!$O$9+'ПЛАН ЧИСТ К2'!F37*СПРАВОЧНИК!$L$10+'ПЛАН ЧИСТ К2'!G37*СПРАВОЧНИК!$M$10+'ПЛАН ЧИСТ К2'!H37*СПРАВОЧНИК!$N$10+'ПЛАН ЧИСТ К2'!I37*СПРАВОЧНИК!$L$11+'ПЛАН ЧИСТ К2'!J37*СПРАВОЧНИК!$M$11+'ПЛАН ЧИСТ К2'!K37*СПРАВОЧНИК!$N$11+'ПЛАН ЧИСТ К2'!L37*СПРАВОЧНИК!$L$12+'ПЛАН ЧИСТ К2'!M37*СПРАВОЧНИК!$M$12+'ПЛАН ЧИСТ К2'!N37*СПРАВОЧНИК!$N$12+'ПЛАН ЧИСТ К2'!O37*СПРАВОЧНИК!$L$13+'ПЛАН ЧИСТ К2'!P37*СПРАВОЧНИК!$M$13+'ПЛАН ЧИСТ К2'!Q37*СПРАВОЧНИК!$N$13+'ПЛАН ЧИСТ К2'!R37*СПРАВОЧНИК!$L$14+'ПЛАН ЧИСТ К2'!S37*СПРАВОЧНИК!$M$14+'ПЛАН ЧИСТ К2'!T37*СПРАВОЧНИК!$N$14+'ПЛАН ЧИСТ К2'!U37*СПРАВОЧНИК!$L$15+'ПЛАН ЧИСТ К2'!V37*СПРАВОЧНИК!$M$15+'ПЛАН ЧИСТ К2'!W37*СПРАВОЧНИК!$N$15</f>
        <v>0</v>
      </c>
      <c r="BA46" s="40">
        <f>('ФАКТ ЧИСТ К2'!B37)*СПРАВОЧНИК!$L$9+('ФАКТ ЧИСТ К2'!C37)*СПРАВОЧНИК!$M$9+('ФАКТ ЧИСТ К2'!D37)*СПРАВОЧНИК!$N$9+('ФАКТ ЧИСТ К2'!E37)*СПРАВОЧНИК!$O$9+('ФАКТ ЧИСТ К2'!F37)*СПРАВОЧНИК!$L$10+('ФАКТ ЧИСТ К2'!G37)*СПРАВОЧНИК!$M$10+('ФАКТ ЧИСТ К2'!H37)*СПРАВОЧНИК!$N$10+('ФАКТ ЧИСТ К2'!I37)*СПРАВОЧНИК!$L$11+('ФАКТ ЧИСТ К2'!J37)*СПРАВОЧНИК!$M$11+('ФАКТ ЧИСТ К2'!K37)*СПРАВОЧНИК!$N$11+('ФАКТ ЧИСТ К2'!L37)*СПРАВОЧНИК!$L$12+('ФАКТ ЧИСТ К2'!M37)*СПРАВОЧНИК!$M$12+('ФАКТ ЧИСТ К2'!N37)*СПРАВОЧНИК!$N$12+('ФАКТ ЧИСТ К2'!O37)*СПРАВОЧНИК!$L$13+('ФАКТ ЧИСТ К2'!P37)*СПРАВОЧНИК!$M$13+('ФАКТ ЧИСТ К2'!Q37)*СПРАВОЧНИК!$N$13+('ФАКТ ЧИСТ К2'!R37)*СПРАВОЧНИК!$L$14+('ФАКТ ЧИСТ К2'!S37)*СПРАВОЧНИК!$M$14+('ФАКТ ЧИСТ К2'!T37)*СПРАВОЧНИК!$N$14+('ФАКТ ЧИСТ К2'!U37)*СПРАВОЧНИК!$L$15+('ФАКТ ЧИСТ К2'!V37)*СПРАВОЧНИК!$M$15+('ФАКТ ЧИСТ К2'!W37)*СПРАВОЧНИК!$N$15</f>
        <v>0</v>
      </c>
      <c r="BE46" s="18">
        <f t="shared" si="21"/>
        <v>46398</v>
      </c>
      <c r="BF46" s="37">
        <f>СПРАВОЧНИК!$E$9*('ПЛАН ЧЕРН К3'!B37*СПРАВОЧНИК!$H$9+'ПЛАН ЧЕРН К3'!C37*СПРАВОЧНИК!$I$9+'ПЛАН ЧЕРН К3'!D37*СПРАВОЧНИК!$J$9)+СПРАВОЧНИК!$E$10*('ПЛАН ЧЕРН К3'!E37*СПРАВОЧНИК!$H$10+'ПЛАН ЧЕРН К3'!F37*СПРАВОЧНИК!$I$10+'ПЛАН ЧЕРН К3'!G37*СПРАВОЧНИК!$J$10)+СПРАВОЧНИК!$E$11*('ПЛАН ЧЕРН К3'!H37*СПРАВОЧНИК!$H$11+'ПЛАН ЧЕРН К3'!I37*СПРАВОЧНИК!$I$11+'ПЛАН ЧЕРН К3'!J37*СПРАВОЧНИК!$J$11)+СПРАВОЧНИК!$E$12*('ПЛАН ЧЕРН К3'!K37*СПРАВОЧНИК!$H$12+'ПЛАН ЧЕРН К3'!L37*СПРАВОЧНИК!$I$12+'ПЛАН ЧЕРН К3'!M37*СПРАВОЧНИК!$J$12)+СПРАВОЧНИК!$E$13*('ПЛАН ЧЕРН К3'!N37*СПРАВОЧНИК!$H$13+'ПЛАН ЧЕРН К3'!O37*СПРАВОЧНИК!$I$13+'ПЛАН ЧЕРН К3'!P37*СПРАВОЧНИК!$J$13)+СПРАВОЧНИК!$E$14*('ПЛАН ЧЕРН К3'!Q37*СПРАВОЧНИК!$H$14+'ПЛАН ЧЕРН К3'!R37*СПРАВОЧНИК!$I$14+'ПЛАН ЧЕРН К3'!S37*СПРАВОЧНИК!$J$14)+СПРАВОЧНИК!$E$15*('ПЛАН ЧЕРН К3'!T37*СПРАВОЧНИК!$H$15+'ПЛАН ЧЕРН К3'!U37*СПРАВОЧНИК!$I$15+'ПЛАН ЧЕРН К3'!V37*СПРАВОЧНИК!$J$15)+СПРАВОЧНИК!$F$9*('ПЛАН ЧИСТ К3'!B37*СПРАВОЧНИК!$L$9+'ПЛАН ЧИСТ К3'!C37*СПРАВОЧНИК!$M$9+'ПЛАН ЧИСТ К3'!D37*СПРАВОЧНИК!$N$9+'ПЛАН ЧИСТ К3'!E37*СПРАВОЧНИК!$O$9)+СПРАВОЧНИК!$F$10*('ПЛАН ЧИСТ К3'!F37*СПРАВОЧНИК!$L$10+'ПЛАН ЧИСТ К3'!G37*СПРАВОЧНИК!$M$10+'ПЛАН ЧИСТ К3'!H37*СПРАВОЧНИК!$N$10)+СПРАВОЧНИК!$F$11*('ПЛАН ЧИСТ К3'!I37*СПРАВОЧНИК!$L$11+'ПЛАН ЧИСТ К3'!J37*СПРАВОЧНИК!$M$11+'ПЛАН ЧИСТ К3'!K37*СПРАВОЧНИК!$N$11)+СПРАВОЧНИК!$F$12*('ПЛАН ЧИСТ К3'!L37*СПРАВОЧНИК!$L$12+'ПЛАН ЧИСТ К3'!M37*СПРАВОЧНИК!$M$12+'ПЛАН ЧИСТ К3'!N37*СПРАВОЧНИК!$N$12)+СПРАВОЧНИК!$F$13*('ПЛАН ЧИСТ К3'!O37*СПРАВОЧНИК!$L$13+'ПЛАН ЧИСТ К3'!P37*СПРАВОЧНИК!$M$13+'ПЛАН ЧИСТ К3'!Q37*СПРАВОЧНИК!$N$13)+СПРАВОЧНИК!$F$14*('ПЛАН ЧИСТ К3'!R37*СПРАВОЧНИК!$L$14+'ПЛАН ЧИСТ К3'!S37*СПРАВОЧНИК!$M$14+'ПЛАН ЧИСТ К3'!T37*СПРАВОЧНИК!$N$14)+СПРАВОЧНИК!$F$15*('ПЛАН ЧИСТ К3'!U37*СПРАВОЧНИК!$L$15+'ПЛАН ЧИСТ К3'!V37*СПРАВОЧНИК!$M$15+'ПЛАН ЧИСТ К3'!W37*СПРАВОЧНИК!$N$15)</f>
        <v>0</v>
      </c>
      <c r="BG46" s="40">
        <f>СПРАВОЧНИК!$E$9*(('ФАКТ ЧЕРН К3'!B37)*СПРАВОЧНИК!$H$9+('ФАКТ ЧЕРН К3'!C37)*СПРАВОЧНИК!$I$9+('ФАКТ ЧЕРН К3'!D37)*СПРАВОЧНИК!$J$9)+СПРАВОЧНИК!$E$10*(('ФАКТ ЧЕРН К3'!E37)*СПРАВОЧНИК!$H$10+('ФАКТ ЧЕРН К3'!F37)*СПРАВОЧНИК!$I$10+('ФАКТ ЧЕРН К3'!G37)*СПРАВОЧНИК!$J$10)+СПРАВОЧНИК!$E$11*(('ФАКТ ЧЕРН К3'!H37)*СПРАВОЧНИК!$H$11+('ФАКТ ЧЕРН К3'!I37)*СПРАВОЧНИК!$I$11+('ФАКТ ЧЕРН К3'!J37)*СПРАВОЧНИК!$J$11)+СПРАВОЧНИК!$E$12*(('ФАКТ ЧЕРН К3'!K37)*СПРАВОЧНИК!$H$12+('ФАКТ ЧЕРН К3'!L37)*СПРАВОЧНИК!$I$12+('ФАКТ ЧЕРН К3'!M37)*СПРАВОЧНИК!$J$12)+СПРАВОЧНИК!$E$13*(('ФАКТ ЧЕРН К3'!N37)*СПРАВОЧНИК!$H$13+('ФАКТ ЧЕРН К3'!O37)*СПРАВОЧНИК!$I$13+('ФАКТ ЧЕРН К3'!P37)*СПРАВОЧНИК!$J$13)+СПРАВОЧНИК!$E$14*(('ФАКТ ЧЕРН К3'!Q37)*СПРАВОЧНИК!$H$14+('ФАКТ ЧЕРН К3'!R37)*СПРАВОЧНИК!$I$14+('ФАКТ ЧЕРН К3'!S37)*СПРАВОЧНИК!$J$14)+СПРАВОЧНИК!$E$15*(('ФАКТ ЧЕРН К3'!T37)*СПРАВОЧНИК!$H$15+('ФАКТ ЧЕРН К3'!U37)*СПРАВОЧНИК!$I$15+('ФАКТ ЧЕРН К3'!V37)*СПРАВОЧНИК!$J$15)+СПРАВОЧНИК!$F$9*(('ФАКТ ЧИСТ К3'!B37)*СПРАВОЧНИК!$L$9+('ФАКТ ЧИСТ К3'!C37)*СПРАВОЧНИК!$M$9+('ФАКТ ЧИСТ К3'!D37)*СПРАВОЧНИК!$N$9+('ФАКТ ЧИСТ К3'!E37)*СПРАВОЧНИК!$O$9)+СПРАВОЧНИК!$F$10*(('ФАКТ ЧИСТ К3'!F37)*СПРАВОЧНИК!$L$10+('ФАКТ ЧИСТ К3'!G37)*СПРАВОЧНИК!$M$10+('ФАКТ ЧИСТ К3'!H37)*СПРАВОЧНИК!$N$10)+СПРАВОЧНИК!$F$11*(('ФАКТ ЧИСТ К3'!I37)*СПРАВОЧНИК!$L$11+('ФАКТ ЧИСТ К3'!J37)*СПРАВОЧНИК!$M$11+('ФАКТ ЧИСТ К3'!K37)*СПРАВОЧНИК!$N$11)+СПРАВОЧНИК!$F$12*(('ФАКТ ЧИСТ К3'!L37)*СПРАВОЧНИК!$L$12+('ФАКТ ЧИСТ К3'!M37)*СПРАВОЧНИК!$M$12+('ФАКТ ЧИСТ К3'!N37)*СПРАВОЧНИК!$N$12)+СПРАВОЧНИК!$F$13*(('ФАКТ ЧИСТ К3'!O37)*СПРАВОЧНИК!$L$13+('ФАКТ ЧИСТ К3'!P37)*СПРАВОЧНИК!$M$13+('ФАКТ ЧИСТ К3'!Q37)*СПРАВОЧНИК!$N$13)+СПРАВОЧНИК!$F$14*(('ФАКТ ЧИСТ К3'!R37)*СПРАВОЧНИК!$L$14+('ФАКТ ЧИСТ К3'!S37)*СПРАВОЧНИК!$M$14+('ФАКТ ЧИСТ К3'!T37)*СПРАВОЧНИК!$N$14)+СПРАВОЧНИК!$F$15*(('ФАКТ ЧИСТ К3'!U37)*СПРАВОЧНИК!$L$15+('ФАКТ ЧИСТ К3'!V37)*СПРАВОЧНИК!$M$15+('ФАКТ ЧИСТ К3'!W37)*СПРАВОЧНИК!$N$15)</f>
        <v>0</v>
      </c>
      <c r="BK46" s="18">
        <f t="shared" si="22"/>
        <v>46398</v>
      </c>
      <c r="BL46" s="37">
        <f>'ПЛАН ЧЕРН К3'!B37*СПРАВОЧНИК!$H$9+'ПЛАН ЧЕРН К3'!C37*СПРАВОЧНИК!$I$9+'ПЛАН ЧЕРН К3'!D37*СПРАВОЧНИК!$J$9+'ПЛАН ЧЕРН К3'!E37*СПРАВОЧНИК!$H$10+'ПЛАН ЧЕРН К3'!F37*СПРАВОЧНИК!$I$10+'ПЛАН ЧЕРН К3'!G37*СПРАВОЧНИК!$J$10+'ПЛАН ЧЕРН К3'!H37*СПРАВОЧНИК!$H$11+'ПЛАН ЧЕРН К3'!I37*СПРАВОЧНИК!$I$11+'ПЛАН ЧЕРН К3'!J37*СПРАВОЧНИК!$J$11+'ПЛАН ЧЕРН К3'!K37*СПРАВОЧНИК!$H$12+'ПЛАН ЧЕРН К3'!L37*СПРАВОЧНИК!$I$12+'ПЛАН ЧЕРН К3'!M37*СПРАВОЧНИК!$J$12+'ПЛАН ЧЕРН К3'!N37*СПРАВОЧНИК!$H$13+'ПЛАН ЧЕРН К3'!O37*СПРАВОЧНИК!$I$13+'ПЛАН ЧЕРН К3'!P37*СПРАВОЧНИК!$J$13+'ПЛАН ЧЕРН К3'!Q37*СПРАВОЧНИК!$H$14+'ПЛАН ЧЕРН К3'!R37*СПРАВОЧНИК!$I$14+'ПЛАН ЧЕРН К3'!S37*СПРАВОЧНИК!$J$14+'ПЛАН ЧЕРН К3'!T37*СПРАВОЧНИК!$H$15+'ПЛАН ЧЕРН К3'!U37*СПРАВОЧНИК!$I$15+'ПЛАН ЧЕРН К3'!V37*СПРАВОЧНИК!$J$15</f>
        <v>0</v>
      </c>
      <c r="BM46" s="40">
        <f>('ФАКТ ЧЕРН К3'!B37)*СПРАВОЧНИК!$H$9+('ФАКТ ЧЕРН К3'!C37)*СПРАВОЧНИК!$I$9+('ФАКТ ЧЕРН К3'!D37)*СПРАВОЧНИК!$J$9+('ФАКТ ЧЕРН К3'!E37)*СПРАВОЧНИК!$H$10+('ФАКТ ЧЕРН К3'!F37)*СПРАВОЧНИК!$I$10+('ФАКТ ЧЕРН К3'!G37)*СПРАВОЧНИК!$J$10+('ФАКТ ЧЕРН К3'!H37)*СПРАВОЧНИК!$H$11+('ФАКТ ЧЕРН К3'!I37)*СПРАВОЧНИК!$I$11+('ФАКТ ЧЕРН К3'!J37)*СПРАВОЧНИК!$J$11+('ФАКТ ЧЕРН К3'!K37)*СПРАВОЧНИК!$H$12+('ФАКТ ЧЕРН К3'!L37)*СПРАВОЧНИК!$I$12+('ФАКТ ЧЕРН К3'!M37)*СПРАВОЧНИК!$J$12+('ФАКТ ЧЕРН К3'!N37)*СПРАВОЧНИК!$H$13+('ФАКТ ЧЕРН К3'!O37)*СПРАВОЧНИК!$I$13+('ФАКТ ЧЕРН К3'!P37)*СПРАВОЧНИК!$J$13+('ФАКТ ЧЕРН К3'!Q37)*СПРАВОЧНИК!$H$14+('ФАКТ ЧЕРН К3'!R37)*СПРАВОЧНИК!$I$14+('ФАКТ ЧЕРН К3'!S37)*СПРАВОЧНИК!$J$14+('ФАКТ ЧЕРН К3'!T37)*СПРАВОЧНИК!$H$15+('ФАКТ ЧЕРН К3'!U37)*СПРАВОЧНИК!$I$15+('ФАКТ ЧЕРН К3'!V37)*СПРАВОЧНИК!$J$15</f>
        <v>0</v>
      </c>
      <c r="BQ46" s="18">
        <f t="shared" si="23"/>
        <v>46398</v>
      </c>
      <c r="BR46" s="37">
        <f>'ПЛАН ЧИСТ К3'!B37*СПРАВОЧНИК!$L$9+'ПЛАН ЧИСТ К3'!C37*СПРАВОЧНИК!$M$9+'ПЛАН ЧИСТ К3'!D37*СПРАВОЧНИК!$N$9+'ПЛАН ЧИСТ К3'!E37*СПРАВОЧНИК!$O$9+'ПЛАН ЧИСТ К3'!F37*СПРАВОЧНИК!$L$10+'ПЛАН ЧИСТ К3'!G37*СПРАВОЧНИК!$M$10+'ПЛАН ЧИСТ К3'!H37*СПРАВОЧНИК!$N$10+'ПЛАН ЧИСТ К3'!I37*СПРАВОЧНИК!$L$11+'ПЛАН ЧИСТ К3'!J37*СПРАВОЧНИК!$M$11+'ПЛАН ЧИСТ К3'!K37*СПРАВОЧНИК!$N$11+'ПЛАН ЧИСТ К3'!L37*СПРАВОЧНИК!$L$12+'ПЛАН ЧИСТ К3'!M37*СПРАВОЧНИК!$M$12+'ПЛАН ЧИСТ К3'!N37*СПРАВОЧНИК!$N$12+'ПЛАН ЧИСТ К3'!O37*СПРАВОЧНИК!$L$13+'ПЛАН ЧИСТ К3'!P37*СПРАВОЧНИК!$M$13+'ПЛАН ЧИСТ К3'!Q37*СПРАВОЧНИК!$N$13+'ПЛАН ЧИСТ К3'!R37*СПРАВОЧНИК!$L$14+'ПЛАН ЧИСТ К3'!S37*СПРАВОЧНИК!$M$14+'ПЛАН ЧИСТ К3'!T37*СПРАВОЧНИК!$N$14+'ПЛАН ЧИСТ К3'!U37*СПРАВОЧНИК!$L$15+'ПЛАН ЧИСТ К3'!V37*СПРАВОЧНИК!$M$15+'ПЛАН ЧИСТ К3'!W37*СПРАВОЧНИК!$N$15</f>
        <v>0</v>
      </c>
      <c r="BS46" s="40">
        <f>('ФАКТ ЧИСТ К3'!B37)*СПРАВОЧНИК!$L$9+('ФАКТ ЧИСТ К3'!C37)*СПРАВОЧНИК!$M$9+('ФАКТ ЧИСТ К3'!D37)*СПРАВОЧНИК!$N$9+('ФАКТ ЧИСТ К3'!E37)*СПРАВОЧНИК!$O$9+('ФАКТ ЧИСТ К3'!F37)*СПРАВОЧНИК!$L$10+('ФАКТ ЧИСТ К3'!G37)*СПРАВОЧНИК!$M$10+('ФАКТ ЧИСТ К3'!H37)*СПРАВОЧНИК!$N$10+('ФАКТ ЧИСТ К3'!I37)*СПРАВОЧНИК!$L$11+('ФАКТ ЧИСТ К3'!J37)*СПРАВОЧНИК!$M$11+('ФАКТ ЧИСТ К3'!K37)*СПРАВОЧНИК!$N$11+('ФАКТ ЧИСТ К3'!L37)*СПРАВОЧНИК!$L$12+('ФАКТ ЧИСТ К3'!M37)*СПРАВОЧНИК!$M$12+('ФАКТ ЧИСТ К3'!N37)*СПРАВОЧНИК!$N$12+('ФАКТ ЧИСТ К3'!O37)*СПРАВОЧНИК!$L$13+('ФАКТ ЧИСТ К3'!P37)*СПРАВОЧНИК!$M$13+('ФАКТ ЧИСТ К3'!Q37)*СПРАВОЧНИК!$N$13+('ФАКТ ЧИСТ К3'!R37)*СПРАВОЧНИК!$L$14+('ФАКТ ЧИСТ К3'!S37)*СПРАВОЧНИК!$M$14+('ФАКТ ЧИСТ К3'!T37)*СПРАВОЧНИК!$N$14+('ФАКТ ЧИСТ К3'!U37)*СПРАВОЧНИК!$L$15+('ФАКТ ЧИСТ К3'!V37)*СПРАВОЧНИК!$M$15+('ФАКТ ЧИСТ К3'!W37)*СПРАВОЧНИК!$N$15</f>
        <v>0</v>
      </c>
      <c r="BW46" s="18">
        <f t="shared" si="24"/>
        <v>46398</v>
      </c>
      <c r="BX46" s="37">
        <f t="shared" si="0"/>
        <v>0</v>
      </c>
      <c r="BY46" s="40">
        <f t="shared" si="1"/>
        <v>0</v>
      </c>
      <c r="CC46" s="18">
        <f t="shared" si="25"/>
        <v>46398</v>
      </c>
      <c r="CD46" s="37">
        <f t="shared" si="2"/>
        <v>0</v>
      </c>
      <c r="CE46" s="40">
        <f t="shared" si="3"/>
        <v>0</v>
      </c>
      <c r="CI46" s="18">
        <f t="shared" si="26"/>
        <v>46398</v>
      </c>
      <c r="CJ46" s="37">
        <f t="shared" si="4"/>
        <v>0</v>
      </c>
      <c r="CK46" s="40">
        <f t="shared" si="5"/>
        <v>0</v>
      </c>
      <c r="CO46" s="18">
        <f t="shared" si="27"/>
        <v>46398</v>
      </c>
      <c r="CP46" s="37">
        <f t="shared" si="6"/>
        <v>0</v>
      </c>
      <c r="CQ46" s="40">
        <f t="shared" si="7"/>
        <v>0</v>
      </c>
      <c r="CU46" s="18">
        <f t="shared" si="28"/>
        <v>46398</v>
      </c>
      <c r="CV46" s="37">
        <f t="shared" si="8"/>
        <v>0</v>
      </c>
      <c r="CW46" s="40">
        <f t="shared" si="9"/>
        <v>0</v>
      </c>
      <c r="DA46" s="18">
        <f t="shared" si="29"/>
        <v>46398</v>
      </c>
      <c r="DB46" s="37">
        <f t="shared" si="10"/>
        <v>0</v>
      </c>
      <c r="DC46" s="40">
        <f t="shared" si="11"/>
        <v>0</v>
      </c>
    </row>
    <row r="47" spans="3:107" x14ac:dyDescent="0.25">
      <c r="C47" s="18">
        <f t="shared" si="12"/>
        <v>46405</v>
      </c>
      <c r="D47" s="37">
        <f>СПРАВОЧНИК!$E$3*('ПЛАН ЧЕРН ПОДЗЕМ'!B38*СПРАВОЧНИК!$H$3+'ПЛАН ЧЕРН ПОДЗЕМ'!C38*СПРАВОЧНИК!$I$3+'ПЛАН ЧЕРН ПОДЗЕМ'!D38*СПРАВОЧНИК!$J$3)+СПРАВОЧНИК!$E$4*('ПЛАН ЧЕРН ПОДЗЕМ'!E38*СПРАВОЧНИК!$H$4+'ПЛАН ЧЕРН ПОДЗЕМ'!F38*СПРАВОЧНИК!$I$4+'ПЛАН ЧЕРН ПОДЗЕМ'!G38*СПРАВОЧНИК!$J$4)+СПРАВОЧНИК!$E$5*('ПЛАН ЧЕРН ПОДЗЕМ'!H38*СПРАВОЧНИК!$H$5+'ПЛАН ЧЕРН ПОДЗЕМ'!I38*СПРАВОЧНИК!$I$5+'ПЛАН ЧЕРН ПОДЗЕМ'!J38*СПРАВОЧНИК!$J$5)+СПРАВОЧНИК!$E$6*('ПЛАН ЧЕРН ПОДЗЕМ'!K38*СПРАВОЧНИК!$H$6+'ПЛАН ЧЕРН ПОДЗЕМ'!L38*СПРАВОЧНИК!$I$6+'ПЛАН ЧЕРН ПОДЗЕМ'!M38*СПРАВОЧНИК!$J$6)+СПРАВОЧНИК!$E$7*('ПЛАН ЧЕРН ПОДЗЕМ'!N38*СПРАВОЧНИК!$H$7+'ПЛАН ЧЕРН ПОДЗЕМ'!O38*СПРАВОЧНИК!$I$7+'ПЛАН ЧЕРН ПОДЗЕМ'!P38*СПРАВОЧНИК!$J$7)+СПРАВОЧНИК!$E$8*('ПЛАН ЧЕРН ПОДЗЕМ'!Q38*СПРАВОЧНИК!$H$8+'ПЛАН ЧЕРН ПОДЗЕМ'!R38*СПРАВОЧНИК!$I$8+'ПЛАН ЧЕРН ПОДЗЕМ'!S38*СПРАВОЧНИК!$J$8)+СПРАВОЧНИК!$F$3*('ПЛАН ЧИСТ ПОДЗЕМ'!B38*СПРАВОЧНИК!$L$3+'ПЛАН ЧИСТ ПОДЗЕМ'!C38*СПРАВОЧНИК!$M$3+'ПЛАН ЧИСТ ПОДЗЕМ'!D38*СПРАВОЧНИК!$N$3)+СПРАВОЧНИК!$F$4*('ПЛАН ЧИСТ ПОДЗЕМ'!E38*СПРАВОЧНИК!$L$4+'ПЛАН ЧИСТ ПОДЗЕМ'!F38*СПРАВОЧНИК!$M$4+'ПЛАН ЧИСТ ПОДЗЕМ'!G38*СПРАВОЧНИК!$N$4)+СПРАВОЧНИК!$F$5*('ПЛАН ЧИСТ ПОДЗЕМ'!H38*СПРАВОЧНИК!$L$5+'ПЛАН ЧИСТ ПОДЗЕМ'!I38*СПРАВОЧНИК!$M$5+'ПЛАН ЧИСТ ПОДЗЕМ'!J38*СПРАВОЧНИК!$N$5)+СПРАВОЧНИК!$F$6*('ПЛАН ЧИСТ ПОДЗЕМ'!K38*СПРАВОЧНИК!$L$6+'ПЛАН ЧИСТ ПОДЗЕМ'!L38*СПРАВОЧНИК!$M$6+'ПЛАН ЧИСТ ПОДЗЕМ'!M38*СПРАВОЧНИК!$N$6)+СПРАВОЧНИК!$F$7*('ПЛАН ЧИСТ ПОДЗЕМ'!N38*СПРАВОЧНИК!$L$7+'ПЛАН ЧИСТ ПОДЗЕМ'!O38*СПРАВОЧНИК!$M$7+'ПЛАН ЧИСТ ПОДЗЕМ'!P38*СПРАВОЧНИК!$N$7)+СПРАВОЧНИК!$F$8*('ПЛАН ЧИСТ ПОДЗЕМ'!Q38*СПРАВОЧНИК!$L$8+'ПЛАН ЧИСТ ПОДЗЕМ'!R38*СПРАВОЧНИК!$M$8+'ПЛАН ЧИСТ ПОДЗЕМ'!S38*СПРАВОЧНИК!$N$8)</f>
        <v>0</v>
      </c>
      <c r="E47" s="40">
        <f>СПРАВОЧНИК!$E$3*(('ФАКТ ЧЕРН ПОДЗЕМ'!B38)*СПРАВОЧНИК!$H$3+('ФАКТ ЧЕРН ПОДЗЕМ'!C38)*СПРАВОЧНИК!$I$3+('ФАКТ ЧЕРН ПОДЗЕМ'!D38)*СПРАВОЧНИК!$J$3)+СПРАВОЧНИК!$E$4*(('ФАКТ ЧЕРН ПОДЗЕМ'!E38)*СПРАВОЧНИК!$H$4+('ФАКТ ЧЕРН ПОДЗЕМ'!F38)*СПРАВОЧНИК!$I$4+('ФАКТ ЧЕРН ПОДЗЕМ'!G38)*СПРАВОЧНИК!$J$4)+СПРАВОЧНИК!$E$5*(('ФАКТ ЧЕРН ПОДЗЕМ'!H38)*СПРАВОЧНИК!$H$5+('ФАКТ ЧЕРН ПОДЗЕМ'!I38)*СПРАВОЧНИК!$I$5+('ФАКТ ЧЕРН ПОДЗЕМ'!J38)*СПРАВОЧНИК!$J$5)+СПРАВОЧНИК!$E$6*(('ФАКТ ЧЕРН ПОДЗЕМ'!K38)*СПРАВОЧНИК!$H$6+('ФАКТ ЧЕРН ПОДЗЕМ'!L38)*СПРАВОЧНИК!$I$6+('ФАКТ ЧЕРН ПОДЗЕМ'!M38)*СПРАВОЧНИК!$J$6)+СПРАВОЧНИК!$E$7*(('ФАКТ ЧЕРН ПОДЗЕМ'!N38)*СПРАВОЧНИК!$H$7+('ФАКТ ЧЕРН ПОДЗЕМ'!O38)*СПРАВОЧНИК!$I$7+('ФАКТ ЧЕРН ПОДЗЕМ'!P38)*СПРАВОЧНИК!$J$7)+СПРАВОЧНИК!$E$8*(('ФАКТ ЧЕРН ПОДЗЕМ'!Q38)*СПРАВОЧНИК!$H$8+('ФАКТ ЧЕРН ПОДЗЕМ'!R38)*СПРАВОЧНИК!$I$8+('ФАКТ ЧЕРН ПОДЗЕМ'!S38)*СПРАВОЧНИК!$J$8)+СПРАВОЧНИК!$F$3*(('ФАКТ ЧИСТ ПОДЗЕМ'!B38)*СПРАВОЧНИК!$L$3+('ФАКТ ЧИСТ ПОДЗЕМ'!C38)*СПРАВОЧНИК!$M$3+('ФАКТ ЧИСТ ПОДЗЕМ'!D38)*СПРАВОЧНИК!$N$3)+СПРАВОЧНИК!$F$4*(('ФАКТ ЧИСТ ПОДЗЕМ'!E38)*СПРАВОЧНИК!$L$4+('ФАКТ ЧИСТ ПОДЗЕМ'!F38)*СПРАВОЧНИК!$M$4+('ФАКТ ЧИСТ ПОДЗЕМ'!G38)*СПРАВОЧНИК!$N$4)+СПРАВОЧНИК!$F$5*(('ФАКТ ЧИСТ ПОДЗЕМ'!H38)*СПРАВОЧНИК!$L$5+('ФАКТ ЧИСТ ПОДЗЕМ'!I38)*СПРАВОЧНИК!$M$5+('ФАКТ ЧИСТ ПОДЗЕМ'!J38)*СПРАВОЧНИК!$N$5)+СПРАВОЧНИК!$F$6*(('ФАКТ ЧИСТ ПОДЗЕМ'!K38)*СПРАВОЧНИК!$L$6+('ФАКТ ЧИСТ ПОДЗЕМ'!L38)*СПРАВОЧНИК!$M$6+('ФАКТ ЧИСТ ПОДЗЕМ'!M38)*СПРАВОЧНИК!$N$6)+СПРАВОЧНИК!$F$7*(('ФАКТ ЧИСТ ПОДЗЕМ'!N38)*СПРАВОЧНИК!$L$7+('ФАКТ ЧИСТ ПОДЗЕМ'!O38)*СПРАВОЧНИК!$M$7+('ФАКТ ЧИСТ ПОДЗЕМ'!P38)*СПРАВОЧНИК!$N$7)+СПРАВОЧНИК!$F$8*(('ФАКТ ЧИСТ ПОДЗЕМ'!Q38)*СПРАВОЧНИК!$L$8+('ФАКТ ЧИСТ ПОДЗЕМ'!R38)*СПРАВОЧНИК!$M$8+('ФАКТ ЧИСТ ПОДЗЕМ'!S38)*СПРАВОЧНИК!$N$8)</f>
        <v>0</v>
      </c>
      <c r="I47" s="18">
        <f t="shared" si="13"/>
        <v>46405</v>
      </c>
      <c r="J47" s="37">
        <f>'ПЛАН ЧЕРН ПОДЗЕМ'!B38*СПРАВОЧНИК!$H$3+'ПЛАН ЧЕРН ПОДЗЕМ'!C38*СПРАВОЧНИК!$I$3+'ПЛАН ЧЕРН ПОДЗЕМ'!D38*СПРАВОЧНИК!$J$3+'ПЛАН ЧЕРН ПОДЗЕМ'!E38*СПРАВОЧНИК!$H$4+'ПЛАН ЧЕРН ПОДЗЕМ'!F38*СПРАВОЧНИК!$I$4+'ПЛАН ЧЕРН ПОДЗЕМ'!G38*СПРАВОЧНИК!$J$4+'ПЛАН ЧЕРН ПОДЗЕМ'!H38*СПРАВОЧНИК!$H$5+'ПЛАН ЧЕРН ПОДЗЕМ'!I38*СПРАВОЧНИК!$I$5+'ПЛАН ЧЕРН ПОДЗЕМ'!J38*СПРАВОЧНИК!$J$5+'ПЛАН ЧЕРН ПОДЗЕМ'!K38*СПРАВОЧНИК!$H$6+'ПЛАН ЧЕРН ПОДЗЕМ'!L38*СПРАВОЧНИК!$I$6+'ПЛАН ЧЕРН ПОДЗЕМ'!M38*СПРАВОЧНИК!$J$6+'ПЛАН ЧЕРН ПОДЗЕМ'!N38*СПРАВОЧНИК!$H$7+'ПЛАН ЧЕРН ПОДЗЕМ'!O38*СПРАВОЧНИК!$I$7+'ПЛАН ЧЕРН ПОДЗЕМ'!P38*СПРАВОЧНИК!$J$7+'ПЛАН ЧЕРН ПОДЗЕМ'!Q38*СПРАВОЧНИК!$H$8+'ПЛАН ЧЕРН ПОДЗЕМ'!R38*СПРАВОЧНИК!$I$8+'ПЛАН ЧЕРН ПОДЗЕМ'!S38*СПРАВОЧНИК!$J$8</f>
        <v>0</v>
      </c>
      <c r="K47" s="40">
        <f>('ФАКТ ЧЕРН ПОДЗЕМ'!B38)*СПРАВОЧНИК!$H$3+('ФАКТ ЧЕРН ПОДЗЕМ'!C38)*СПРАВОЧНИК!$I$3+('ФАКТ ЧЕРН ПОДЗЕМ'!D38)*СПРАВОЧНИК!$J$3+('ФАКТ ЧЕРН ПОДЗЕМ'!E38)*СПРАВОЧНИК!$H$4+('ФАКТ ЧЕРН ПОДЗЕМ'!F38)*СПРАВОЧНИК!$I$4+('ФАКТ ЧЕРН ПОДЗЕМ'!G38)*СПРАВОЧНИК!$J$4+('ФАКТ ЧЕРН ПОДЗЕМ'!H38)*СПРАВОЧНИК!$H$5+('ФАКТ ЧЕРН ПОДЗЕМ'!I38)*СПРАВОЧНИК!$I$5+('ФАКТ ЧЕРН ПОДЗЕМ'!J38)*СПРАВОЧНИК!$J$5+('ФАКТ ЧЕРН ПОДЗЕМ'!K38)*СПРАВОЧНИК!$H$6+('ФАКТ ЧЕРН ПОДЗЕМ'!L38)*СПРАВОЧНИК!$I$6+('ФАКТ ЧЕРН ПОДЗЕМ'!M38)*СПРАВОЧНИК!$J$6+('ФАКТ ЧЕРН ПОДЗЕМ'!N38)*СПРАВОЧНИК!$H$7+('ФАКТ ЧЕРН ПОДЗЕМ'!O38)*СПРАВОЧНИК!$I$7+('ФАКТ ЧЕРН ПОДЗЕМ'!P38)*СПРАВОЧНИК!$J$7+('ФАКТ ЧЕРН ПОДЗЕМ'!Q38)*СПРАВОЧНИК!$H$8+('ФАКТ ЧЕРН ПОДЗЕМ'!R38)*СПРАВОЧНИК!$I$8+('ФАКТ ЧЕРН ПОДЗЕМ'!S38)*СПРАВОЧНИК!$J$8</f>
        <v>0</v>
      </c>
      <c r="O47" s="18">
        <f t="shared" si="14"/>
        <v>46405</v>
      </c>
      <c r="P47" s="37">
        <f>'ПЛАН ЧИСТ ПОДЗЕМ'!B38*СПРАВОЧНИК!$L$3+'ПЛАН ЧИСТ ПОДЗЕМ'!C38*СПРАВОЧНИК!$M$3+'ПЛАН ЧИСТ ПОДЗЕМ'!D38*СПРАВОЧНИК!$N$3+'ПЛАН ЧИСТ ПОДЗЕМ'!E38*СПРАВОЧНИК!$L$4+'ПЛАН ЧИСТ ПОДЗЕМ'!F38*СПРАВОЧНИК!$M$4+'ПЛАН ЧИСТ ПОДЗЕМ'!G38*СПРАВОЧНИК!$N$4+'ПЛАН ЧИСТ ПОДЗЕМ'!H38*СПРАВОЧНИК!$L$5+'ПЛАН ЧИСТ ПОДЗЕМ'!I38*СПРАВОЧНИК!$M$5+'ПЛАН ЧИСТ ПОДЗЕМ'!J38*СПРАВОЧНИК!$N$5+'ПЛАН ЧИСТ ПОДЗЕМ'!K38*СПРАВОЧНИК!$L$6+'ПЛАН ЧИСТ ПОДЗЕМ'!L38*СПРАВОЧНИК!$M$6+'ПЛАН ЧИСТ ПОДЗЕМ'!M38*СПРАВОЧНИК!$N$6+'ПЛАН ЧИСТ ПОДЗЕМ'!N38*СПРАВОЧНИК!$L$7+'ПЛАН ЧИСТ ПОДЗЕМ'!O38*СПРАВОЧНИК!$M$7+'ПЛАН ЧИСТ ПОДЗЕМ'!P38*СПРАВОЧНИК!$N$7+'ПЛАН ЧИСТ ПОДЗЕМ'!Q38*СПРАВОЧНИК!$L$8+'ПЛАН ЧИСТ ПОДЗЕМ'!R38*СПРАВОЧНИК!$M$8+'ПЛАН ЧИСТ ПОДЗЕМ'!S38*СПРАВОЧНИК!$N$8</f>
        <v>0</v>
      </c>
      <c r="Q47" s="40">
        <f>('ФАКТ ЧИСТ ПОДЗЕМ'!B38)*СПРАВОЧНИК!$L$3+('ФАКТ ЧИСТ ПОДЗЕМ'!C38)*СПРАВОЧНИК!$M$3+('ФАКТ ЧИСТ ПОДЗЕМ'!D38)*СПРАВОЧНИК!$N$3+('ФАКТ ЧИСТ ПОДЗЕМ'!E38)*СПРАВОЧНИК!$L$4+('ФАКТ ЧИСТ ПОДЗЕМ'!F38)*СПРАВОЧНИК!$M$4+('ФАКТ ЧИСТ ПОДЗЕМ'!G38)*СПРАВОЧНИК!$N$4+('ФАКТ ЧИСТ ПОДЗЕМ'!H38)*СПРАВОЧНИК!$L$5+('ФАКТ ЧИСТ ПОДЗЕМ'!I38)*СПРАВОЧНИК!$M$5+('ФАКТ ЧИСТ ПОДЗЕМ'!J38)*СПРАВОЧНИК!$N$5+('ФАКТ ЧИСТ ПОДЗЕМ'!K38)*СПРАВОЧНИК!$L$6+('ФАКТ ЧИСТ ПОДЗЕМ'!L38)*СПРАВОЧНИК!$M$6+('ФАКТ ЧИСТ ПОДЗЕМ'!M38)*СПРАВОЧНИК!$N$6+('ФАКТ ЧИСТ ПОДЗЕМ'!N38)*СПРАВОЧНИК!$L$7+('ФАКТ ЧИСТ ПОДЗЕМ'!O38)*СПРАВОЧНИК!$M$7+('ФАКТ ЧИСТ ПОДЗЕМ'!P38)*СПРАВОЧНИК!$N$7+('ФАКТ ЧИСТ ПОДЗЕМ'!Q38)*СПРАВОЧНИК!$L$8+('ФАКТ ЧИСТ ПОДЗЕМ'!R38)*СПРАВОЧНИК!$M$8+('ФАКТ ЧИСТ ПОДЗЕМ'!S38)*СПРАВОЧНИК!$N$8</f>
        <v>0</v>
      </c>
      <c r="U47" s="18">
        <f t="shared" si="15"/>
        <v>46405</v>
      </c>
      <c r="V47" s="37">
        <f>СПРАВОЧНИК!$E$9*('ПЛАН ЧЕРН К1'!B38*СПРАВОЧНИК!$H$9+'ПЛАН ЧЕРН К1'!C38*СПРАВОЧНИК!$I$9+'ПЛАН ЧЕРН К1'!D38*СПРАВОЧНИК!$J$9)+СПРАВОЧНИК!$E$10*('ПЛАН ЧЕРН К1'!E38*СПРАВОЧНИК!$H$10+'ПЛАН ЧЕРН К1'!F38*СПРАВОЧНИК!$I$10+'ПЛАН ЧЕРН К1'!G38*СПРАВОЧНИК!$J$10)+СПРАВОЧНИК!$E$11*('ПЛАН ЧЕРН К1'!H38*СПРАВОЧНИК!$H$11+'ПЛАН ЧЕРН К1'!I38*СПРАВОЧНИК!$I$11+'ПЛАН ЧЕРН К1'!J38*СПРАВОЧНИК!$J$11)+СПРАВОЧНИК!$E$12*('ПЛАН ЧЕРН К1'!K38*СПРАВОЧНИК!$H$12+'ПЛАН ЧЕРН К1'!L38*СПРАВОЧНИК!$I$12+'ПЛАН ЧЕРН К1'!M38*СПРАВОЧНИК!$J$12)+СПРАВОЧНИК!$E$13*('ПЛАН ЧЕРН К1'!N38*СПРАВОЧНИК!$H$13+'ПЛАН ЧЕРН К1'!O38*СПРАВОЧНИК!$I$13+'ПЛАН ЧЕРН К1'!P38*СПРАВОЧНИК!$J$13)+СПРАВОЧНИК!$E$14*('ПЛАН ЧЕРН К1'!Q38*СПРАВОЧНИК!$H$14+'ПЛАН ЧЕРН К1'!R38*СПРАВОЧНИК!$I$14+'ПЛАН ЧЕРН К1'!S38*СПРАВОЧНИК!$J$14)+СПРАВОЧНИК!$E$15*('ПЛАН ЧЕРН К1'!T38*СПРАВОЧНИК!$H$15+'ПЛАН ЧЕРН К1'!U38*СПРАВОЧНИК!$I$15+'ПЛАН ЧЕРН К1'!V38*СПРАВОЧНИК!$J$15)+СПРАВОЧНИК!$F$9*('ПЛАН ЧИСТ К1'!B38*СПРАВОЧНИК!$L$9+'ПЛАН ЧИСТ К1'!C38*СПРАВОЧНИК!$M$9+'ПЛАН ЧИСТ К1'!D38*СПРАВОЧНИК!$N$9+'ПЛАН ЧИСТ К1'!E38*СПРАВОЧНИК!$O$9)+СПРАВОЧНИК!$F$10*('ПЛАН ЧИСТ К1'!F38*СПРАВОЧНИК!$L$10+'ПЛАН ЧИСТ К1'!G38*СПРАВОЧНИК!$M$10+'ПЛАН ЧИСТ К1'!H38*СПРАВОЧНИК!$N$10)+СПРАВОЧНИК!$F$11*('ПЛАН ЧИСТ К1'!I38*СПРАВОЧНИК!$L$11+'ПЛАН ЧИСТ К1'!J38*СПРАВОЧНИК!$M$11+'ПЛАН ЧИСТ К1'!K38*СПРАВОЧНИК!$N$11)+СПРАВОЧНИК!$F$12*('ПЛАН ЧИСТ К1'!L38*СПРАВОЧНИК!$L$12+'ПЛАН ЧИСТ К1'!M38*СПРАВОЧНИК!$M$12+'ПЛАН ЧИСТ К1'!N38*СПРАВОЧНИК!$N$12)+СПРАВОЧНИК!$F$13*('ПЛАН ЧИСТ К1'!O38*СПРАВОЧНИК!$L$13+'ПЛАН ЧИСТ К1'!P38*СПРАВОЧНИК!$M$13+'ПЛАН ЧИСТ К1'!Q38*СПРАВОЧНИК!$N$13)+СПРАВОЧНИК!$F$14*('ПЛАН ЧИСТ К1'!R38*СПРАВОЧНИК!$L$14+'ПЛАН ЧИСТ К1'!S38*СПРАВОЧНИК!$M$14+'ПЛАН ЧИСТ К1'!T38*СПРАВОЧНИК!$N$14)+СПРАВОЧНИК!$F$15*('ПЛАН ЧИСТ К1'!U38*СПРАВОЧНИК!$L$15+'ПЛАН ЧИСТ К1'!V38*СПРАВОЧНИК!$M$15+'ПЛАН ЧИСТ К1'!W38*СПРАВОЧНИК!$N$15)</f>
        <v>0</v>
      </c>
      <c r="W47" s="40">
        <f>СПРАВОЧНИК!$E$9*(('ФАКТ ЧЕРН К1'!B38)*СПРАВОЧНИК!$H$9+('ФАКТ ЧЕРН К1'!C38)*СПРАВОЧНИК!$I$9+('ФАКТ ЧЕРН К1'!D38)*СПРАВОЧНИК!$J$9)+СПРАВОЧНИК!$E$10*(('ФАКТ ЧЕРН К1'!E38)*СПРАВОЧНИК!$H$10+('ФАКТ ЧЕРН К1'!F38)*СПРАВОЧНИК!$I$10+('ФАКТ ЧЕРН К1'!G38)*СПРАВОЧНИК!$J$10)+СПРАВОЧНИК!$E$11*(('ФАКТ ЧЕРН К1'!H38)*СПРАВОЧНИК!$H$11+('ФАКТ ЧЕРН К1'!I38)*СПРАВОЧНИК!$I$11+('ФАКТ ЧЕРН К1'!J38)*СПРАВОЧНИК!$J$11)+СПРАВОЧНИК!$E$12*(('ФАКТ ЧЕРН К1'!K38)*СПРАВОЧНИК!$H$12+('ФАКТ ЧЕРН К1'!L38)*СПРАВОЧНИК!$I$12+('ФАКТ ЧЕРН К1'!M38)*СПРАВОЧНИК!$J$12)+СПРАВОЧНИК!$E$13*(('ФАКТ ЧЕРН К1'!N38)*СПРАВОЧНИК!$H$13+('ФАКТ ЧЕРН К1'!O38)*СПРАВОЧНИК!$I$13+('ФАКТ ЧЕРН К1'!P38)*СПРАВОЧНИК!$J$13)+СПРАВОЧНИК!$E$14*(('ФАКТ ЧЕРН К1'!Q38)*СПРАВОЧНИК!$H$14+('ФАКТ ЧЕРН К1'!R38)*СПРАВОЧНИК!$I$14+('ФАКТ ЧЕРН К1'!S38)*СПРАВОЧНИК!$J$14)+СПРАВОЧНИК!$E$15*(('ФАКТ ЧЕРН К1'!T38)*СПРАВОЧНИК!$H$15+('ФАКТ ЧЕРН К1'!U38)*СПРАВОЧНИК!$I$15+('ФАКТ ЧЕРН К1'!V38)*СПРАВОЧНИК!$J$15)+СПРАВОЧНИК!$F$9*(('ФАКТ ЧИСТ К1'!B38)*СПРАВОЧНИК!$L$9+('ФАКТ ЧИСТ К1'!C38)*СПРАВОЧНИК!$M$9+('ФАКТ ЧИСТ К1'!D38)*СПРАВОЧНИК!$N$9+('ФАКТ ЧИСТ К1'!E38)*СПРАВОЧНИК!$O$9)+СПРАВОЧНИК!$F$10*(('ФАКТ ЧИСТ К1'!F38)*СПРАВОЧНИК!$L$10+('ФАКТ ЧИСТ К1'!G38)*СПРАВОЧНИК!$M$10+('ФАКТ ЧИСТ К1'!H38)*СПРАВОЧНИК!$N$10)+СПРАВОЧНИК!$F$11*(('ФАКТ ЧИСТ К1'!I38)*СПРАВОЧНИК!$L$11+('ФАКТ ЧИСТ К1'!J38)*СПРАВОЧНИК!$M$11+('ФАКТ ЧИСТ К1'!K38)*СПРАВОЧНИК!$N$11)+СПРАВОЧНИК!$F$12*(('ФАКТ ЧИСТ К1'!L38)*СПРАВОЧНИК!$L$12+('ФАКТ ЧИСТ К1'!M38)*СПРАВОЧНИК!$M$12+('ФАКТ ЧИСТ К1'!N38)*СПРАВОЧНИК!$N$12)+СПРАВОЧНИК!$F$13*(('ФАКТ ЧИСТ К1'!O38)*СПРАВОЧНИК!$L$13+('ФАКТ ЧИСТ К1'!P38)*СПРАВОЧНИК!$M$13+('ФАКТ ЧИСТ К1'!Q38)*СПРАВОЧНИК!$N$13)+СПРАВОЧНИК!$F$14*(('ФАКТ ЧИСТ К1'!R38)*СПРАВОЧНИК!$L$14+('ФАКТ ЧИСТ К1'!S38)*СПРАВОЧНИК!$M$14+('ФАКТ ЧИСТ К1'!T38)*СПРАВОЧНИК!$N$14)+СПРАВОЧНИК!$F$15*(('ФАКТ ЧИСТ К1'!U38)*СПРАВОЧНИК!$L$15+('ФАКТ ЧИСТ К1'!V38)*СПРАВОЧНИК!$M$15+('ФАКТ ЧИСТ К1'!W38)*СПРАВОЧНИК!$N$15)</f>
        <v>0</v>
      </c>
      <c r="AA47" s="18">
        <f t="shared" si="16"/>
        <v>46405</v>
      </c>
      <c r="AB47" s="37">
        <f>'ПЛАН ЧЕРН К1'!B38*СПРАВОЧНИК!$H$9+'ПЛАН ЧЕРН К1'!C38*СПРАВОЧНИК!$I$9+'ПЛАН ЧЕРН К1'!D38*СПРАВОЧНИК!$J$9+'ПЛАН ЧЕРН К1'!E38*СПРАВОЧНИК!$H$10+'ПЛАН ЧЕРН К1'!F38*СПРАВОЧНИК!$I$10+'ПЛАН ЧЕРН К1'!G38*СПРАВОЧНИК!$J$10+'ПЛАН ЧЕРН К1'!H38*СПРАВОЧНИК!$H$11+'ПЛАН ЧЕРН К1'!I38*СПРАВОЧНИК!$I$11+'ПЛАН ЧЕРН К1'!J38*СПРАВОЧНИК!$J$11+'ПЛАН ЧЕРН К1'!K38*СПРАВОЧНИК!$H$12+'ПЛАН ЧЕРН К1'!L38*СПРАВОЧНИК!$I$12+'ПЛАН ЧЕРН К1'!M38*СПРАВОЧНИК!$J$12+'ПЛАН ЧЕРН К1'!N38*СПРАВОЧНИК!$H$13+'ПЛАН ЧЕРН К1'!O38*СПРАВОЧНИК!$I$13+'ПЛАН ЧЕРН К1'!P38*СПРАВОЧНИК!$J$13+'ПЛАН ЧЕРН К1'!Q38*СПРАВОЧНИК!$H$14+'ПЛАН ЧЕРН К1'!R38*СПРАВОЧНИК!$I$14+'ПЛАН ЧЕРН К1'!S38*СПРАВОЧНИК!$J$14+'ПЛАН ЧЕРН К1'!T38*СПРАВОЧНИК!$H$15+'ПЛАН ЧЕРН К1'!U38*СПРАВОЧНИК!$I$15+'ПЛАН ЧЕРН К1'!V38*СПРАВОЧНИК!$J$15</f>
        <v>0</v>
      </c>
      <c r="AC47" s="40">
        <f>('ФАКТ ЧЕРН К1'!B38)*СПРАВОЧНИК!$H$9+('ФАКТ ЧЕРН К1'!C38)*СПРАВОЧНИК!$I$9+('ФАКТ ЧЕРН К1'!D38)*СПРАВОЧНИК!$J$9+('ФАКТ ЧЕРН К1'!E38)*СПРАВОЧНИК!$H$10+('ФАКТ ЧЕРН К1'!F38)*СПРАВОЧНИК!$I$10+('ФАКТ ЧЕРН К1'!G38)*СПРАВОЧНИК!$J$10+('ФАКТ ЧЕРН К1'!H38)*СПРАВОЧНИК!$H$11+('ФАКТ ЧЕРН К1'!I38)*СПРАВОЧНИК!$I$11+('ФАКТ ЧЕРН К1'!J38)*СПРАВОЧНИК!$J$11+('ФАКТ ЧЕРН К1'!K38)*СПРАВОЧНИК!$H$12+('ФАКТ ЧЕРН К1'!L38)*СПРАВОЧНИК!$I$12+('ФАКТ ЧЕРН К1'!M38)*СПРАВОЧНИК!$J$12+('ФАКТ ЧЕРН К1'!N38)*СПРАВОЧНИК!$H$13+('ФАКТ ЧЕРН К1'!O38)*СПРАВОЧНИК!$I$13+('ФАКТ ЧЕРН К1'!P38)*СПРАВОЧНИК!$J$13+('ФАКТ ЧЕРН К1'!Q38)*СПРАВОЧНИК!$H$14+('ФАКТ ЧЕРН К1'!R38)*СПРАВОЧНИК!$I$14+('ФАКТ ЧЕРН К1'!S38)*СПРАВОЧНИК!$J$14+('ФАКТ ЧЕРН К1'!T38)*СПРАВОЧНИК!$H$15+('ФАКТ ЧЕРН К1'!U38)*СПРАВОЧНИК!$I$15+('ФАКТ ЧЕРН К1'!V38)*СПРАВОЧНИК!$J$15</f>
        <v>0</v>
      </c>
      <c r="AG47" s="18">
        <f t="shared" si="17"/>
        <v>46405</v>
      </c>
      <c r="AH47" s="37">
        <f>'ПЛАН ЧИСТ К1'!B38*СПРАВОЧНИК!$L$9+'ПЛАН ЧИСТ К1'!C38*СПРАВОЧНИК!$M$9+'ПЛАН ЧИСТ К1'!D38*СПРАВОЧНИК!$N$9+'ПЛАН ЧИСТ К1'!E38*СПРАВОЧНИК!$O$9+'ПЛАН ЧИСТ К1'!F38*СПРАВОЧНИК!$L$10+'ПЛАН ЧИСТ К1'!G38*СПРАВОЧНИК!$M$10+'ПЛАН ЧИСТ К1'!H38*СПРАВОЧНИК!$N$10+'ПЛАН ЧИСТ К1'!I38*СПРАВОЧНИК!$L$11+'ПЛАН ЧИСТ К1'!J38*СПРАВОЧНИК!$M$11+'ПЛАН ЧИСТ К1'!K38*СПРАВОЧНИК!$N$11+'ПЛАН ЧИСТ К1'!L38*СПРАВОЧНИК!$L$12+'ПЛАН ЧИСТ К1'!M38*СПРАВОЧНИК!$M$12+'ПЛАН ЧИСТ К1'!N38*СПРАВОЧНИК!$N$12+'ПЛАН ЧИСТ К1'!O38*СПРАВОЧНИК!$L$13+'ПЛАН ЧИСТ К1'!P38*СПРАВОЧНИК!$M$13+'ПЛАН ЧИСТ К1'!Q38*СПРАВОЧНИК!$N$13+'ПЛАН ЧИСТ К1'!R38*СПРАВОЧНИК!$L$14+'ПЛАН ЧИСТ К1'!S38*СПРАВОЧНИК!$M$14+'ПЛАН ЧИСТ К1'!T38*СПРАВОЧНИК!$N$14+'ПЛАН ЧИСТ К1'!U38*СПРАВОЧНИК!$L$15+'ПЛАН ЧИСТ К1'!V38*СПРАВОЧНИК!$M$15+'ПЛАН ЧИСТ К1'!W38*СПРАВОЧНИК!$N$15</f>
        <v>0</v>
      </c>
      <c r="AI47" s="40">
        <f>('ФАКТ ЧИСТ К1'!B38)*СПРАВОЧНИК!$L$9+('ФАКТ ЧИСТ К1'!C38)*СПРАВОЧНИК!$M$9+('ФАКТ ЧИСТ К1'!D38)*СПРАВОЧНИК!$N$9+('ФАКТ ЧИСТ К1'!E38)*СПРАВОЧНИК!$O$9+('ФАКТ ЧИСТ К1'!F38)*СПРАВОЧНИК!$L$10+('ФАКТ ЧИСТ К1'!G38)*СПРАВОЧНИК!$M$10+('ФАКТ ЧИСТ К1'!H38)*СПРАВОЧНИК!$N$10+('ФАКТ ЧИСТ К1'!I38)*СПРАВОЧНИК!$L$11+('ФАКТ ЧИСТ К1'!J38)*СПРАВОЧНИК!$M$11+('ФАКТ ЧИСТ К1'!K38)*СПРАВОЧНИК!$N$11+('ФАКТ ЧИСТ К1'!L38)*СПРАВОЧНИК!$L$12+('ФАКТ ЧИСТ К1'!M38)*СПРАВОЧНИК!$M$12+('ФАКТ ЧИСТ К1'!N38)*СПРАВОЧНИК!$N$12+('ФАКТ ЧИСТ К1'!O38)*СПРАВОЧНИК!$L$13+('ФАКТ ЧИСТ К1'!P38)*СПРАВОЧНИК!$M$13+('ФАКТ ЧИСТ К1'!Q38)*СПРАВОЧНИК!$N$13+('ФАКТ ЧИСТ К1'!R38)*СПРАВОЧНИК!$L$14+('ФАКТ ЧИСТ К1'!S38)*СПРАВОЧНИК!$M$14+('ФАКТ ЧИСТ К1'!T38)*СПРАВОЧНИК!$N$14+('ФАКТ ЧИСТ К1'!U38)*СПРАВОЧНИК!$L$15+('ФАКТ ЧИСТ К1'!V38)*СПРАВОЧНИК!$M$15+('ФАКТ ЧИСТ К1'!W38)*СПРАВОЧНИК!$N$15</f>
        <v>0</v>
      </c>
      <c r="AM47" s="18">
        <f t="shared" si="18"/>
        <v>46405</v>
      </c>
      <c r="AN47" s="37">
        <f>СПРАВОЧНИК!$E$9*('ПЛАН ЧЕРН К2'!B38*СПРАВОЧНИК!$H$9+'ПЛАН ЧЕРН К2'!C38*СПРАВОЧНИК!$I$9+'ПЛАН ЧЕРН К2'!D38*СПРАВОЧНИК!$J$9)+СПРАВОЧНИК!$E$10*('ПЛАН ЧЕРН К2'!E38*СПРАВОЧНИК!$H$10+'ПЛАН ЧЕРН К2'!F38*СПРАВОЧНИК!$I$10+'ПЛАН ЧЕРН К2'!G38*СПРАВОЧНИК!$J$10)+СПРАВОЧНИК!$E$11*('ПЛАН ЧЕРН К2'!H38*СПРАВОЧНИК!$H$11+'ПЛАН ЧЕРН К2'!I38*СПРАВОЧНИК!$I$11+'ПЛАН ЧЕРН К2'!J38*СПРАВОЧНИК!$J$11)+СПРАВОЧНИК!$E$12*('ПЛАН ЧЕРН К2'!K38*СПРАВОЧНИК!$H$12+'ПЛАН ЧЕРН К2'!L38*СПРАВОЧНИК!$I$12+'ПЛАН ЧЕРН К2'!M38*СПРАВОЧНИК!$J$12)+СПРАВОЧНИК!$E$13*('ПЛАН ЧЕРН К2'!N38*СПРАВОЧНИК!$H$13+'ПЛАН ЧЕРН К2'!O38*СПРАВОЧНИК!$I$13+'ПЛАН ЧЕРН К2'!P38*СПРАВОЧНИК!$J$13)+СПРАВОЧНИК!$E$14*('ПЛАН ЧЕРН К2'!Q38*СПРАВОЧНИК!$H$14+'ПЛАН ЧЕРН К2'!R38*СПРАВОЧНИК!$I$14+'ПЛАН ЧЕРН К2'!S38*СПРАВОЧНИК!$J$14)+СПРАВОЧНИК!$E$15*('ПЛАН ЧЕРН К2'!T38*СПРАВОЧНИК!$H$15+'ПЛАН ЧЕРН К2'!U38*СПРАВОЧНИК!$I$15+'ПЛАН ЧЕРН К2'!V38*СПРАВОЧНИК!$J$15)+СПРАВОЧНИК!$F$9*('ПЛАН ЧИСТ К2'!B38*СПРАВОЧНИК!$L$9+'ПЛАН ЧИСТ К2'!C38*СПРАВОЧНИК!$M$9+'ПЛАН ЧИСТ К2'!D38*СПРАВОЧНИК!$N$9+'ПЛАН ЧИСТ К2'!E38*СПРАВОЧНИК!$O$9)+СПРАВОЧНИК!$F$10*('ПЛАН ЧИСТ К2'!F38*СПРАВОЧНИК!$L$10+'ПЛАН ЧИСТ К2'!G38*СПРАВОЧНИК!$M$10+'ПЛАН ЧИСТ К2'!H38*СПРАВОЧНИК!$N$10)+СПРАВОЧНИК!$F$11*('ПЛАН ЧИСТ К2'!I38*СПРАВОЧНИК!$L$11+'ПЛАН ЧИСТ К2'!J38*СПРАВОЧНИК!$M$11+'ПЛАН ЧИСТ К2'!K38*СПРАВОЧНИК!$N$11)+СПРАВОЧНИК!$F$12*('ПЛАН ЧИСТ К2'!L38*СПРАВОЧНИК!$L$12+'ПЛАН ЧИСТ К2'!M38*СПРАВОЧНИК!$M$12+'ПЛАН ЧИСТ К2'!N38*СПРАВОЧНИК!$N$12)+СПРАВОЧНИК!$F$13*('ПЛАН ЧИСТ К2'!O38*СПРАВОЧНИК!$L$13+'ПЛАН ЧИСТ К2'!P38*СПРАВОЧНИК!$M$13+'ПЛАН ЧИСТ К2'!Q38*СПРАВОЧНИК!$N$13)+СПРАВОЧНИК!$F$14*('ПЛАН ЧИСТ К2'!R38*СПРАВОЧНИК!$L$14+'ПЛАН ЧИСТ К2'!S38*СПРАВОЧНИК!$M$14+'ПЛАН ЧИСТ К2'!T38*СПРАВОЧНИК!$N$14)+СПРАВОЧНИК!$F$15*('ПЛАН ЧИСТ К2'!U38*СПРАВОЧНИК!$L$15+'ПЛАН ЧИСТ К2'!V38*СПРАВОЧНИК!$M$15+'ПЛАН ЧИСТ К2'!W38*СПРАВОЧНИК!$N$15)</f>
        <v>0</v>
      </c>
      <c r="AO47" s="40">
        <f>СПРАВОЧНИК!$E$9*(('ФАКТ ЧЕРН К2'!B38)*СПРАВОЧНИК!$H$9+('ФАКТ ЧЕРН К2'!C38)*СПРАВОЧНИК!$I$9+('ФАКТ ЧЕРН К2'!D38)*СПРАВОЧНИК!$J$9)+СПРАВОЧНИК!$E$10*(('ФАКТ ЧЕРН К2'!E38)*СПРАВОЧНИК!$H$10+('ФАКТ ЧЕРН К2'!F38)*СПРАВОЧНИК!$I$10+('ФАКТ ЧЕРН К2'!G38)*СПРАВОЧНИК!$J$10)+СПРАВОЧНИК!$E$11*(('ФАКТ ЧЕРН К2'!H38)*СПРАВОЧНИК!$H$11+('ФАКТ ЧЕРН К2'!I38)*СПРАВОЧНИК!$I$11+('ФАКТ ЧЕРН К2'!J38)*СПРАВОЧНИК!$J$11)+СПРАВОЧНИК!$E$12*(('ФАКТ ЧЕРН К2'!K38)*СПРАВОЧНИК!$H$12+('ФАКТ ЧЕРН К2'!L38)*СПРАВОЧНИК!$I$12+('ФАКТ ЧЕРН К2'!M38)*СПРАВОЧНИК!$J$12)+СПРАВОЧНИК!$E$13*(('ФАКТ ЧЕРН К2'!N38)*СПРАВОЧНИК!$H$13+('ФАКТ ЧЕРН К2'!O38)*СПРАВОЧНИК!$I$13+('ФАКТ ЧЕРН К2'!P38)*СПРАВОЧНИК!$J$13)+СПРАВОЧНИК!$E$14*(('ФАКТ ЧЕРН К2'!Q38)*СПРАВОЧНИК!$H$14+('ФАКТ ЧЕРН К2'!R38)*СПРАВОЧНИК!$I$14+('ФАКТ ЧЕРН К2'!S38)*СПРАВОЧНИК!$J$14)+СПРАВОЧНИК!$E$15*(('ФАКТ ЧЕРН К2'!T38)*СПРАВОЧНИК!$H$15+('ФАКТ ЧЕРН К2'!U38)*СПРАВОЧНИК!$I$15+('ФАКТ ЧЕРН К2'!V38)*СПРАВОЧНИК!$J$15)+СПРАВОЧНИК!$F$9*(('ФАКТ ЧИСТ К2'!B38)*СПРАВОЧНИК!$L$9+('ФАКТ ЧИСТ К2'!C38)*СПРАВОЧНИК!$M$9+('ФАКТ ЧИСТ К2'!D38)*СПРАВОЧНИК!$N$9+('ФАКТ ЧИСТ К2'!E38)*СПРАВОЧНИК!$O$9)+СПРАВОЧНИК!$F$10*(('ФАКТ ЧИСТ К2'!F38)*СПРАВОЧНИК!$L$10+('ФАКТ ЧИСТ К2'!G38)*СПРАВОЧНИК!$M$10+('ФАКТ ЧИСТ К2'!H38)*СПРАВОЧНИК!$N$10)+СПРАВОЧНИК!$F$11*(('ФАКТ ЧИСТ К2'!I38)*СПРАВОЧНИК!$L$11+('ФАКТ ЧИСТ К2'!J38)*СПРАВОЧНИК!$M$11+('ФАКТ ЧИСТ К2'!K38)*СПРАВОЧНИК!$N$11)+СПРАВОЧНИК!$F$12*(('ФАКТ ЧИСТ К2'!L38)*СПРАВОЧНИК!$L$12+('ФАКТ ЧИСТ К2'!M38)*СПРАВОЧНИК!$M$12+('ФАКТ ЧИСТ К2'!N38)*СПРАВОЧНИК!$N$12)+СПРАВОЧНИК!$F$13*(('ФАКТ ЧИСТ К2'!O38)*СПРАВОЧНИК!$L$13+('ФАКТ ЧИСТ К2'!P38)*СПРАВОЧНИК!$M$13+('ФАКТ ЧИСТ К2'!Q38)*СПРАВОЧНИК!$N$13)+СПРАВОЧНИК!$F$14*(('ФАКТ ЧИСТ К2'!R38)*СПРАВОЧНИК!$L$14+('ФАКТ ЧИСТ К2'!S38)*СПРАВОЧНИК!$M$14+('ФАКТ ЧИСТ К2'!T38)*СПРАВОЧНИК!$N$14)+СПРАВОЧНИК!$F$15*(('ФАКТ ЧИСТ К2'!U38)*СПРАВОЧНИК!$L$15+('ФАКТ ЧИСТ К2'!V38)*СПРАВОЧНИК!$M$15+('ФАКТ ЧИСТ К2'!W38)*СПРАВОЧНИК!$N$15)</f>
        <v>0</v>
      </c>
      <c r="AS47" s="18">
        <f t="shared" si="19"/>
        <v>46405</v>
      </c>
      <c r="AT47" s="37">
        <f>'ПЛАН ЧЕРН К2'!B38*СПРАВОЧНИК!$H$9+'ПЛАН ЧЕРН К2'!C38*СПРАВОЧНИК!$I$9+'ПЛАН ЧЕРН К2'!D38*СПРАВОЧНИК!$J$9+'ПЛАН ЧЕРН К2'!E38*СПРАВОЧНИК!$H$10+'ПЛАН ЧЕРН К2'!F38*СПРАВОЧНИК!$I$10+'ПЛАН ЧЕРН К2'!G38*СПРАВОЧНИК!$J$10+'ПЛАН ЧЕРН К2'!H38*СПРАВОЧНИК!$H$11+'ПЛАН ЧЕРН К2'!I38*СПРАВОЧНИК!$I$11+'ПЛАН ЧЕРН К2'!J38*СПРАВОЧНИК!$J$11+'ПЛАН ЧЕРН К2'!K38*СПРАВОЧНИК!$H$12+'ПЛАН ЧЕРН К2'!L38*СПРАВОЧНИК!$I$12+'ПЛАН ЧЕРН К2'!M38*СПРАВОЧНИК!$J$12+'ПЛАН ЧЕРН К2'!N38*СПРАВОЧНИК!$H$13+'ПЛАН ЧЕРН К2'!O38*СПРАВОЧНИК!$I$13+'ПЛАН ЧЕРН К2'!P38*СПРАВОЧНИК!$J$13+'ПЛАН ЧЕРН К2'!Q38*СПРАВОЧНИК!$H$14+'ПЛАН ЧЕРН К2'!R38*СПРАВОЧНИК!$I$14+'ПЛАН ЧЕРН К2'!S38*СПРАВОЧНИК!$J$14+'ПЛАН ЧЕРН К2'!T38*СПРАВОЧНИК!$H$15+'ПЛАН ЧЕРН К2'!U38*СПРАВОЧНИК!$I$15+'ПЛАН ЧЕРН К2'!V38*СПРАВОЧНИК!$J$15</f>
        <v>0</v>
      </c>
      <c r="AU47" s="40">
        <f>('ФАКТ ЧЕРН К2'!B38)*СПРАВОЧНИК!$H$9+('ФАКТ ЧЕРН К2'!C38)*СПРАВОЧНИК!$I$9+('ФАКТ ЧЕРН К2'!D38)*СПРАВОЧНИК!$J$9+('ФАКТ ЧЕРН К2'!E38)*СПРАВОЧНИК!$H$10+('ФАКТ ЧЕРН К2'!F38)*СПРАВОЧНИК!$I$10+('ФАКТ ЧЕРН К2'!G38)*СПРАВОЧНИК!$J$10+('ФАКТ ЧЕРН К2'!H38)*СПРАВОЧНИК!$H$11+('ФАКТ ЧЕРН К2'!I38)*СПРАВОЧНИК!$I$11+('ФАКТ ЧЕРН К2'!J38)*СПРАВОЧНИК!$J$11+('ФАКТ ЧЕРН К2'!K38)*СПРАВОЧНИК!$H$12+('ФАКТ ЧЕРН К2'!L38)*СПРАВОЧНИК!$I$12+('ФАКТ ЧЕРН К2'!M38)*СПРАВОЧНИК!$J$12+('ФАКТ ЧЕРН К2'!N38)*СПРАВОЧНИК!$H$13+('ФАКТ ЧЕРН К2'!O38)*СПРАВОЧНИК!$I$13+('ФАКТ ЧЕРН К2'!P38)*СПРАВОЧНИК!$J$13+('ФАКТ ЧЕРН К2'!Q38)*СПРАВОЧНИК!$H$14+('ФАКТ ЧЕРН К2'!R38)*СПРАВОЧНИК!$I$14+('ФАКТ ЧЕРН К2'!S38)*СПРАВОЧНИК!$J$14+('ФАКТ ЧЕРН К2'!T38)*СПРАВОЧНИК!$H$15+('ФАКТ ЧЕРН К2'!U38)*СПРАВОЧНИК!$I$15+('ФАКТ ЧЕРН К2'!V38)*СПРАВОЧНИК!$J$15</f>
        <v>0</v>
      </c>
      <c r="AY47" s="18">
        <f t="shared" si="20"/>
        <v>46405</v>
      </c>
      <c r="AZ47" s="37">
        <f>'ПЛАН ЧИСТ К2'!B38*СПРАВОЧНИК!$L$9+'ПЛАН ЧИСТ К2'!C38*СПРАВОЧНИК!$M$9+'ПЛАН ЧИСТ К2'!D38*СПРАВОЧНИК!$N$9+'ПЛАН ЧИСТ К2'!E38*СПРАВОЧНИК!$O$9+'ПЛАН ЧИСТ К2'!F38*СПРАВОЧНИК!$L$10+'ПЛАН ЧИСТ К2'!G38*СПРАВОЧНИК!$M$10+'ПЛАН ЧИСТ К2'!H38*СПРАВОЧНИК!$N$10+'ПЛАН ЧИСТ К2'!I38*СПРАВОЧНИК!$L$11+'ПЛАН ЧИСТ К2'!J38*СПРАВОЧНИК!$M$11+'ПЛАН ЧИСТ К2'!K38*СПРАВОЧНИК!$N$11+'ПЛАН ЧИСТ К2'!L38*СПРАВОЧНИК!$L$12+'ПЛАН ЧИСТ К2'!M38*СПРАВОЧНИК!$M$12+'ПЛАН ЧИСТ К2'!N38*СПРАВОЧНИК!$N$12+'ПЛАН ЧИСТ К2'!O38*СПРАВОЧНИК!$L$13+'ПЛАН ЧИСТ К2'!P38*СПРАВОЧНИК!$M$13+'ПЛАН ЧИСТ К2'!Q38*СПРАВОЧНИК!$N$13+'ПЛАН ЧИСТ К2'!R38*СПРАВОЧНИК!$L$14+'ПЛАН ЧИСТ К2'!S38*СПРАВОЧНИК!$M$14+'ПЛАН ЧИСТ К2'!T38*СПРАВОЧНИК!$N$14+'ПЛАН ЧИСТ К2'!U38*СПРАВОЧНИК!$L$15+'ПЛАН ЧИСТ К2'!V38*СПРАВОЧНИК!$M$15+'ПЛАН ЧИСТ К2'!W38*СПРАВОЧНИК!$N$15</f>
        <v>0</v>
      </c>
      <c r="BA47" s="40">
        <f>('ФАКТ ЧИСТ К2'!B38)*СПРАВОЧНИК!$L$9+('ФАКТ ЧИСТ К2'!C38)*СПРАВОЧНИК!$M$9+('ФАКТ ЧИСТ К2'!D38)*СПРАВОЧНИК!$N$9+('ФАКТ ЧИСТ К2'!E38)*СПРАВОЧНИК!$O$9+('ФАКТ ЧИСТ К2'!F38)*СПРАВОЧНИК!$L$10+('ФАКТ ЧИСТ К2'!G38)*СПРАВОЧНИК!$M$10+('ФАКТ ЧИСТ К2'!H38)*СПРАВОЧНИК!$N$10+('ФАКТ ЧИСТ К2'!I38)*СПРАВОЧНИК!$L$11+('ФАКТ ЧИСТ К2'!J38)*СПРАВОЧНИК!$M$11+('ФАКТ ЧИСТ К2'!K38)*СПРАВОЧНИК!$N$11+('ФАКТ ЧИСТ К2'!L38)*СПРАВОЧНИК!$L$12+('ФАКТ ЧИСТ К2'!M38)*СПРАВОЧНИК!$M$12+('ФАКТ ЧИСТ К2'!N38)*СПРАВОЧНИК!$N$12+('ФАКТ ЧИСТ К2'!O38)*СПРАВОЧНИК!$L$13+('ФАКТ ЧИСТ К2'!P38)*СПРАВОЧНИК!$M$13+('ФАКТ ЧИСТ К2'!Q38)*СПРАВОЧНИК!$N$13+('ФАКТ ЧИСТ К2'!R38)*СПРАВОЧНИК!$L$14+('ФАКТ ЧИСТ К2'!S38)*СПРАВОЧНИК!$M$14+('ФАКТ ЧИСТ К2'!T38)*СПРАВОЧНИК!$N$14+('ФАКТ ЧИСТ К2'!U38)*СПРАВОЧНИК!$L$15+('ФАКТ ЧИСТ К2'!V38)*СПРАВОЧНИК!$M$15+('ФАКТ ЧИСТ К2'!W38)*СПРАВОЧНИК!$N$15</f>
        <v>0</v>
      </c>
      <c r="BE47" s="18">
        <f t="shared" si="21"/>
        <v>46405</v>
      </c>
      <c r="BF47" s="37">
        <f>СПРАВОЧНИК!$E$9*('ПЛАН ЧЕРН К3'!B38*СПРАВОЧНИК!$H$9+'ПЛАН ЧЕРН К3'!C38*СПРАВОЧНИК!$I$9+'ПЛАН ЧЕРН К3'!D38*СПРАВОЧНИК!$J$9)+СПРАВОЧНИК!$E$10*('ПЛАН ЧЕРН К3'!E38*СПРАВОЧНИК!$H$10+'ПЛАН ЧЕРН К3'!F38*СПРАВОЧНИК!$I$10+'ПЛАН ЧЕРН К3'!G38*СПРАВОЧНИК!$J$10)+СПРАВОЧНИК!$E$11*('ПЛАН ЧЕРН К3'!H38*СПРАВОЧНИК!$H$11+'ПЛАН ЧЕРН К3'!I38*СПРАВОЧНИК!$I$11+'ПЛАН ЧЕРН К3'!J38*СПРАВОЧНИК!$J$11)+СПРАВОЧНИК!$E$12*('ПЛАН ЧЕРН К3'!K38*СПРАВОЧНИК!$H$12+'ПЛАН ЧЕРН К3'!L38*СПРАВОЧНИК!$I$12+'ПЛАН ЧЕРН К3'!M38*СПРАВОЧНИК!$J$12)+СПРАВОЧНИК!$E$13*('ПЛАН ЧЕРН К3'!N38*СПРАВОЧНИК!$H$13+'ПЛАН ЧЕРН К3'!O38*СПРАВОЧНИК!$I$13+'ПЛАН ЧЕРН К3'!P38*СПРАВОЧНИК!$J$13)+СПРАВОЧНИК!$E$14*('ПЛАН ЧЕРН К3'!Q38*СПРАВОЧНИК!$H$14+'ПЛАН ЧЕРН К3'!R38*СПРАВОЧНИК!$I$14+'ПЛАН ЧЕРН К3'!S38*СПРАВОЧНИК!$J$14)+СПРАВОЧНИК!$E$15*('ПЛАН ЧЕРН К3'!T38*СПРАВОЧНИК!$H$15+'ПЛАН ЧЕРН К3'!U38*СПРАВОЧНИК!$I$15+'ПЛАН ЧЕРН К3'!V38*СПРАВОЧНИК!$J$15)+СПРАВОЧНИК!$F$9*('ПЛАН ЧИСТ К3'!B38*СПРАВОЧНИК!$L$9+'ПЛАН ЧИСТ К3'!C38*СПРАВОЧНИК!$M$9+'ПЛАН ЧИСТ К3'!D38*СПРАВОЧНИК!$N$9+'ПЛАН ЧИСТ К3'!E38*СПРАВОЧНИК!$O$9)+СПРАВОЧНИК!$F$10*('ПЛАН ЧИСТ К3'!F38*СПРАВОЧНИК!$L$10+'ПЛАН ЧИСТ К3'!G38*СПРАВОЧНИК!$M$10+'ПЛАН ЧИСТ К3'!H38*СПРАВОЧНИК!$N$10)+СПРАВОЧНИК!$F$11*('ПЛАН ЧИСТ К3'!I38*СПРАВОЧНИК!$L$11+'ПЛАН ЧИСТ К3'!J38*СПРАВОЧНИК!$M$11+'ПЛАН ЧИСТ К3'!K38*СПРАВОЧНИК!$N$11)+СПРАВОЧНИК!$F$12*('ПЛАН ЧИСТ К3'!L38*СПРАВОЧНИК!$L$12+'ПЛАН ЧИСТ К3'!M38*СПРАВОЧНИК!$M$12+'ПЛАН ЧИСТ К3'!N38*СПРАВОЧНИК!$N$12)+СПРАВОЧНИК!$F$13*('ПЛАН ЧИСТ К3'!O38*СПРАВОЧНИК!$L$13+'ПЛАН ЧИСТ К3'!P38*СПРАВОЧНИК!$M$13+'ПЛАН ЧИСТ К3'!Q38*СПРАВОЧНИК!$N$13)+СПРАВОЧНИК!$F$14*('ПЛАН ЧИСТ К3'!R38*СПРАВОЧНИК!$L$14+'ПЛАН ЧИСТ К3'!S38*СПРАВОЧНИК!$M$14+'ПЛАН ЧИСТ К3'!T38*СПРАВОЧНИК!$N$14)+СПРАВОЧНИК!$F$15*('ПЛАН ЧИСТ К3'!U38*СПРАВОЧНИК!$L$15+'ПЛАН ЧИСТ К3'!V38*СПРАВОЧНИК!$M$15+'ПЛАН ЧИСТ К3'!W38*СПРАВОЧНИК!$N$15)</f>
        <v>0</v>
      </c>
      <c r="BG47" s="40">
        <f>СПРАВОЧНИК!$E$9*(('ФАКТ ЧЕРН К3'!B38)*СПРАВОЧНИК!$H$9+('ФАКТ ЧЕРН К3'!C38)*СПРАВОЧНИК!$I$9+('ФАКТ ЧЕРН К3'!D38)*СПРАВОЧНИК!$J$9)+СПРАВОЧНИК!$E$10*(('ФАКТ ЧЕРН К3'!E38)*СПРАВОЧНИК!$H$10+('ФАКТ ЧЕРН К3'!F38)*СПРАВОЧНИК!$I$10+('ФАКТ ЧЕРН К3'!G38)*СПРАВОЧНИК!$J$10)+СПРАВОЧНИК!$E$11*(('ФАКТ ЧЕРН К3'!H38)*СПРАВОЧНИК!$H$11+('ФАКТ ЧЕРН К3'!I38)*СПРАВОЧНИК!$I$11+('ФАКТ ЧЕРН К3'!J38)*СПРАВОЧНИК!$J$11)+СПРАВОЧНИК!$E$12*(('ФАКТ ЧЕРН К3'!K38)*СПРАВОЧНИК!$H$12+('ФАКТ ЧЕРН К3'!L38)*СПРАВОЧНИК!$I$12+('ФАКТ ЧЕРН К3'!M38)*СПРАВОЧНИК!$J$12)+СПРАВОЧНИК!$E$13*(('ФАКТ ЧЕРН К3'!N38)*СПРАВОЧНИК!$H$13+('ФАКТ ЧЕРН К3'!O38)*СПРАВОЧНИК!$I$13+('ФАКТ ЧЕРН К3'!P38)*СПРАВОЧНИК!$J$13)+СПРАВОЧНИК!$E$14*(('ФАКТ ЧЕРН К3'!Q38)*СПРАВОЧНИК!$H$14+('ФАКТ ЧЕРН К3'!R38)*СПРАВОЧНИК!$I$14+('ФАКТ ЧЕРН К3'!S38)*СПРАВОЧНИК!$J$14)+СПРАВОЧНИК!$E$15*(('ФАКТ ЧЕРН К3'!T38)*СПРАВОЧНИК!$H$15+('ФАКТ ЧЕРН К3'!U38)*СПРАВОЧНИК!$I$15+('ФАКТ ЧЕРН К3'!V38)*СПРАВОЧНИК!$J$15)+СПРАВОЧНИК!$F$9*(('ФАКТ ЧИСТ К3'!B38)*СПРАВОЧНИК!$L$9+('ФАКТ ЧИСТ К3'!C38)*СПРАВОЧНИК!$M$9+('ФАКТ ЧИСТ К3'!D38)*СПРАВОЧНИК!$N$9+('ФАКТ ЧИСТ К3'!E38)*СПРАВОЧНИК!$O$9)+СПРАВОЧНИК!$F$10*(('ФАКТ ЧИСТ К3'!F38)*СПРАВОЧНИК!$L$10+('ФАКТ ЧИСТ К3'!G38)*СПРАВОЧНИК!$M$10+('ФАКТ ЧИСТ К3'!H38)*СПРАВОЧНИК!$N$10)+СПРАВОЧНИК!$F$11*(('ФАКТ ЧИСТ К3'!I38)*СПРАВОЧНИК!$L$11+('ФАКТ ЧИСТ К3'!J38)*СПРАВОЧНИК!$M$11+('ФАКТ ЧИСТ К3'!K38)*СПРАВОЧНИК!$N$11)+СПРАВОЧНИК!$F$12*(('ФАКТ ЧИСТ К3'!L38)*СПРАВОЧНИК!$L$12+('ФАКТ ЧИСТ К3'!M38)*СПРАВОЧНИК!$M$12+('ФАКТ ЧИСТ К3'!N38)*СПРАВОЧНИК!$N$12)+СПРАВОЧНИК!$F$13*(('ФАКТ ЧИСТ К3'!O38)*СПРАВОЧНИК!$L$13+('ФАКТ ЧИСТ К3'!P38)*СПРАВОЧНИК!$M$13+('ФАКТ ЧИСТ К3'!Q38)*СПРАВОЧНИК!$N$13)+СПРАВОЧНИК!$F$14*(('ФАКТ ЧИСТ К3'!R38)*СПРАВОЧНИК!$L$14+('ФАКТ ЧИСТ К3'!S38)*СПРАВОЧНИК!$M$14+('ФАКТ ЧИСТ К3'!T38)*СПРАВОЧНИК!$N$14)+СПРАВОЧНИК!$F$15*(('ФАКТ ЧИСТ К3'!U38)*СПРАВОЧНИК!$L$15+('ФАКТ ЧИСТ К3'!V38)*СПРАВОЧНИК!$M$15+('ФАКТ ЧИСТ К3'!W38)*СПРАВОЧНИК!$N$15)</f>
        <v>0</v>
      </c>
      <c r="BK47" s="18">
        <f t="shared" si="22"/>
        <v>46405</v>
      </c>
      <c r="BL47" s="37">
        <f>'ПЛАН ЧЕРН К3'!B38*СПРАВОЧНИК!$H$9+'ПЛАН ЧЕРН К3'!C38*СПРАВОЧНИК!$I$9+'ПЛАН ЧЕРН К3'!D38*СПРАВОЧНИК!$J$9+'ПЛАН ЧЕРН К3'!E38*СПРАВОЧНИК!$H$10+'ПЛАН ЧЕРН К3'!F38*СПРАВОЧНИК!$I$10+'ПЛАН ЧЕРН К3'!G38*СПРАВОЧНИК!$J$10+'ПЛАН ЧЕРН К3'!H38*СПРАВОЧНИК!$H$11+'ПЛАН ЧЕРН К3'!I38*СПРАВОЧНИК!$I$11+'ПЛАН ЧЕРН К3'!J38*СПРАВОЧНИК!$J$11+'ПЛАН ЧЕРН К3'!K38*СПРАВОЧНИК!$H$12+'ПЛАН ЧЕРН К3'!L38*СПРАВОЧНИК!$I$12+'ПЛАН ЧЕРН К3'!M38*СПРАВОЧНИК!$J$12+'ПЛАН ЧЕРН К3'!N38*СПРАВОЧНИК!$H$13+'ПЛАН ЧЕРН К3'!O38*СПРАВОЧНИК!$I$13+'ПЛАН ЧЕРН К3'!P38*СПРАВОЧНИК!$J$13+'ПЛАН ЧЕРН К3'!Q38*СПРАВОЧНИК!$H$14+'ПЛАН ЧЕРН К3'!R38*СПРАВОЧНИК!$I$14+'ПЛАН ЧЕРН К3'!S38*СПРАВОЧНИК!$J$14+'ПЛАН ЧЕРН К3'!T38*СПРАВОЧНИК!$H$15+'ПЛАН ЧЕРН К3'!U38*СПРАВОЧНИК!$I$15+'ПЛАН ЧЕРН К3'!V38*СПРАВОЧНИК!$J$15</f>
        <v>0</v>
      </c>
      <c r="BM47" s="40">
        <f>('ФАКТ ЧЕРН К3'!B38)*СПРАВОЧНИК!$H$9+('ФАКТ ЧЕРН К3'!C38)*СПРАВОЧНИК!$I$9+('ФАКТ ЧЕРН К3'!D38)*СПРАВОЧНИК!$J$9+('ФАКТ ЧЕРН К3'!E38)*СПРАВОЧНИК!$H$10+('ФАКТ ЧЕРН К3'!F38)*СПРАВОЧНИК!$I$10+('ФАКТ ЧЕРН К3'!G38)*СПРАВОЧНИК!$J$10+('ФАКТ ЧЕРН К3'!H38)*СПРАВОЧНИК!$H$11+('ФАКТ ЧЕРН К3'!I38)*СПРАВОЧНИК!$I$11+('ФАКТ ЧЕРН К3'!J38)*СПРАВОЧНИК!$J$11+('ФАКТ ЧЕРН К3'!K38)*СПРАВОЧНИК!$H$12+('ФАКТ ЧЕРН К3'!L38)*СПРАВОЧНИК!$I$12+('ФАКТ ЧЕРН К3'!M38)*СПРАВОЧНИК!$J$12+('ФАКТ ЧЕРН К3'!N38)*СПРАВОЧНИК!$H$13+('ФАКТ ЧЕРН К3'!O38)*СПРАВОЧНИК!$I$13+('ФАКТ ЧЕРН К3'!P38)*СПРАВОЧНИК!$J$13+('ФАКТ ЧЕРН К3'!Q38)*СПРАВОЧНИК!$H$14+('ФАКТ ЧЕРН К3'!R38)*СПРАВОЧНИК!$I$14+('ФАКТ ЧЕРН К3'!S38)*СПРАВОЧНИК!$J$14+('ФАКТ ЧЕРН К3'!T38)*СПРАВОЧНИК!$H$15+('ФАКТ ЧЕРН К3'!U38)*СПРАВОЧНИК!$I$15+('ФАКТ ЧЕРН К3'!V38)*СПРАВОЧНИК!$J$15</f>
        <v>0</v>
      </c>
      <c r="BQ47" s="18">
        <f t="shared" si="23"/>
        <v>46405</v>
      </c>
      <c r="BR47" s="37">
        <f>'ПЛАН ЧИСТ К3'!B38*СПРАВОЧНИК!$L$9+'ПЛАН ЧИСТ К3'!C38*СПРАВОЧНИК!$M$9+'ПЛАН ЧИСТ К3'!D38*СПРАВОЧНИК!$N$9+'ПЛАН ЧИСТ К3'!E38*СПРАВОЧНИК!$O$9+'ПЛАН ЧИСТ К3'!F38*СПРАВОЧНИК!$L$10+'ПЛАН ЧИСТ К3'!G38*СПРАВОЧНИК!$M$10+'ПЛАН ЧИСТ К3'!H38*СПРАВОЧНИК!$N$10+'ПЛАН ЧИСТ К3'!I38*СПРАВОЧНИК!$L$11+'ПЛАН ЧИСТ К3'!J38*СПРАВОЧНИК!$M$11+'ПЛАН ЧИСТ К3'!K38*СПРАВОЧНИК!$N$11+'ПЛАН ЧИСТ К3'!L38*СПРАВОЧНИК!$L$12+'ПЛАН ЧИСТ К3'!M38*СПРАВОЧНИК!$M$12+'ПЛАН ЧИСТ К3'!N38*СПРАВОЧНИК!$N$12+'ПЛАН ЧИСТ К3'!O38*СПРАВОЧНИК!$L$13+'ПЛАН ЧИСТ К3'!P38*СПРАВОЧНИК!$M$13+'ПЛАН ЧИСТ К3'!Q38*СПРАВОЧНИК!$N$13+'ПЛАН ЧИСТ К3'!R38*СПРАВОЧНИК!$L$14+'ПЛАН ЧИСТ К3'!S38*СПРАВОЧНИК!$M$14+'ПЛАН ЧИСТ К3'!T38*СПРАВОЧНИК!$N$14+'ПЛАН ЧИСТ К3'!U38*СПРАВОЧНИК!$L$15+'ПЛАН ЧИСТ К3'!V38*СПРАВОЧНИК!$M$15+'ПЛАН ЧИСТ К3'!W38*СПРАВОЧНИК!$N$15</f>
        <v>0</v>
      </c>
      <c r="BS47" s="40">
        <f>('ФАКТ ЧИСТ К3'!B38)*СПРАВОЧНИК!$L$9+('ФАКТ ЧИСТ К3'!C38)*СПРАВОЧНИК!$M$9+('ФАКТ ЧИСТ К3'!D38)*СПРАВОЧНИК!$N$9+('ФАКТ ЧИСТ К3'!E38)*СПРАВОЧНИК!$O$9+('ФАКТ ЧИСТ К3'!F38)*СПРАВОЧНИК!$L$10+('ФАКТ ЧИСТ К3'!G38)*СПРАВОЧНИК!$M$10+('ФАКТ ЧИСТ К3'!H38)*СПРАВОЧНИК!$N$10+('ФАКТ ЧИСТ К3'!I38)*СПРАВОЧНИК!$L$11+('ФАКТ ЧИСТ К3'!J38)*СПРАВОЧНИК!$M$11+('ФАКТ ЧИСТ К3'!K38)*СПРАВОЧНИК!$N$11+('ФАКТ ЧИСТ К3'!L38)*СПРАВОЧНИК!$L$12+('ФАКТ ЧИСТ К3'!M38)*СПРАВОЧНИК!$M$12+('ФАКТ ЧИСТ К3'!N38)*СПРАВОЧНИК!$N$12+('ФАКТ ЧИСТ К3'!O38)*СПРАВОЧНИК!$L$13+('ФАКТ ЧИСТ К3'!P38)*СПРАВОЧНИК!$M$13+('ФАКТ ЧИСТ К3'!Q38)*СПРАВОЧНИК!$N$13+('ФАКТ ЧИСТ К3'!R38)*СПРАВОЧНИК!$L$14+('ФАКТ ЧИСТ К3'!S38)*СПРАВОЧНИК!$M$14+('ФАКТ ЧИСТ К3'!T38)*СПРАВОЧНИК!$N$14+('ФАКТ ЧИСТ К3'!U38)*СПРАВОЧНИК!$L$15+('ФАКТ ЧИСТ К3'!V38)*СПРАВОЧНИК!$M$15+('ФАКТ ЧИСТ К3'!W38)*СПРАВОЧНИК!$N$15</f>
        <v>0</v>
      </c>
      <c r="BW47" s="18">
        <f t="shared" si="24"/>
        <v>46405</v>
      </c>
      <c r="BX47" s="37">
        <f t="shared" si="0"/>
        <v>0</v>
      </c>
      <c r="BY47" s="40">
        <f t="shared" si="1"/>
        <v>0</v>
      </c>
      <c r="CC47" s="18">
        <f t="shared" si="25"/>
        <v>46405</v>
      </c>
      <c r="CD47" s="37">
        <f t="shared" si="2"/>
        <v>0</v>
      </c>
      <c r="CE47" s="40">
        <f t="shared" si="3"/>
        <v>0</v>
      </c>
      <c r="CI47" s="18">
        <f t="shared" si="26"/>
        <v>46405</v>
      </c>
      <c r="CJ47" s="37">
        <f t="shared" si="4"/>
        <v>0</v>
      </c>
      <c r="CK47" s="40">
        <f t="shared" si="5"/>
        <v>0</v>
      </c>
      <c r="CO47" s="18">
        <f t="shared" si="27"/>
        <v>46405</v>
      </c>
      <c r="CP47" s="37">
        <f t="shared" si="6"/>
        <v>0</v>
      </c>
      <c r="CQ47" s="40">
        <f t="shared" si="7"/>
        <v>0</v>
      </c>
      <c r="CU47" s="18">
        <f t="shared" si="28"/>
        <v>46405</v>
      </c>
      <c r="CV47" s="37">
        <f t="shared" si="8"/>
        <v>0</v>
      </c>
      <c r="CW47" s="40">
        <f t="shared" si="9"/>
        <v>0</v>
      </c>
      <c r="DA47" s="18">
        <f t="shared" si="29"/>
        <v>46405</v>
      </c>
      <c r="DB47" s="37">
        <f t="shared" si="10"/>
        <v>0</v>
      </c>
      <c r="DC47" s="40">
        <f t="shared" si="11"/>
        <v>0</v>
      </c>
    </row>
    <row r="48" spans="3:107" x14ac:dyDescent="0.25">
      <c r="C48" s="18">
        <f t="shared" si="12"/>
        <v>46412</v>
      </c>
      <c r="D48" s="37">
        <f>СПРАВОЧНИК!$E$3*('ПЛАН ЧЕРН ПОДЗЕМ'!B39*СПРАВОЧНИК!$H$3+'ПЛАН ЧЕРН ПОДЗЕМ'!C39*СПРАВОЧНИК!$I$3+'ПЛАН ЧЕРН ПОДЗЕМ'!D39*СПРАВОЧНИК!$J$3)+СПРАВОЧНИК!$E$4*('ПЛАН ЧЕРН ПОДЗЕМ'!E39*СПРАВОЧНИК!$H$4+'ПЛАН ЧЕРН ПОДЗЕМ'!F39*СПРАВОЧНИК!$I$4+'ПЛАН ЧЕРН ПОДЗЕМ'!G39*СПРАВОЧНИК!$J$4)+СПРАВОЧНИК!$E$5*('ПЛАН ЧЕРН ПОДЗЕМ'!H39*СПРАВОЧНИК!$H$5+'ПЛАН ЧЕРН ПОДЗЕМ'!I39*СПРАВОЧНИК!$I$5+'ПЛАН ЧЕРН ПОДЗЕМ'!J39*СПРАВОЧНИК!$J$5)+СПРАВОЧНИК!$E$6*('ПЛАН ЧЕРН ПОДЗЕМ'!K39*СПРАВОЧНИК!$H$6+'ПЛАН ЧЕРН ПОДЗЕМ'!L39*СПРАВОЧНИК!$I$6+'ПЛАН ЧЕРН ПОДЗЕМ'!M39*СПРАВОЧНИК!$J$6)+СПРАВОЧНИК!$E$7*('ПЛАН ЧЕРН ПОДЗЕМ'!N39*СПРАВОЧНИК!$H$7+'ПЛАН ЧЕРН ПОДЗЕМ'!O39*СПРАВОЧНИК!$I$7+'ПЛАН ЧЕРН ПОДЗЕМ'!P39*СПРАВОЧНИК!$J$7)+СПРАВОЧНИК!$E$8*('ПЛАН ЧЕРН ПОДЗЕМ'!Q39*СПРАВОЧНИК!$H$8+'ПЛАН ЧЕРН ПОДЗЕМ'!R39*СПРАВОЧНИК!$I$8+'ПЛАН ЧЕРН ПОДЗЕМ'!S39*СПРАВОЧНИК!$J$8)+СПРАВОЧНИК!$F$3*('ПЛАН ЧИСТ ПОДЗЕМ'!B39*СПРАВОЧНИК!$L$3+'ПЛАН ЧИСТ ПОДЗЕМ'!C39*СПРАВОЧНИК!$M$3+'ПЛАН ЧИСТ ПОДЗЕМ'!D39*СПРАВОЧНИК!$N$3)+СПРАВОЧНИК!$F$4*('ПЛАН ЧИСТ ПОДЗЕМ'!E39*СПРАВОЧНИК!$L$4+'ПЛАН ЧИСТ ПОДЗЕМ'!F39*СПРАВОЧНИК!$M$4+'ПЛАН ЧИСТ ПОДЗЕМ'!G39*СПРАВОЧНИК!$N$4)+СПРАВОЧНИК!$F$5*('ПЛАН ЧИСТ ПОДЗЕМ'!H39*СПРАВОЧНИК!$L$5+'ПЛАН ЧИСТ ПОДЗЕМ'!I39*СПРАВОЧНИК!$M$5+'ПЛАН ЧИСТ ПОДЗЕМ'!J39*СПРАВОЧНИК!$N$5)+СПРАВОЧНИК!$F$6*('ПЛАН ЧИСТ ПОДЗЕМ'!K39*СПРАВОЧНИК!$L$6+'ПЛАН ЧИСТ ПОДЗЕМ'!L39*СПРАВОЧНИК!$M$6+'ПЛАН ЧИСТ ПОДЗЕМ'!M39*СПРАВОЧНИК!$N$6)+СПРАВОЧНИК!$F$7*('ПЛАН ЧИСТ ПОДЗЕМ'!N39*СПРАВОЧНИК!$L$7+'ПЛАН ЧИСТ ПОДЗЕМ'!O39*СПРАВОЧНИК!$M$7+'ПЛАН ЧИСТ ПОДЗЕМ'!P39*СПРАВОЧНИК!$N$7)+СПРАВОЧНИК!$F$8*('ПЛАН ЧИСТ ПОДЗЕМ'!Q39*СПРАВОЧНИК!$L$8+'ПЛАН ЧИСТ ПОДЗЕМ'!R39*СПРАВОЧНИК!$M$8+'ПЛАН ЧИСТ ПОДЗЕМ'!S39*СПРАВОЧНИК!$N$8)</f>
        <v>0</v>
      </c>
      <c r="E48" s="40">
        <f>СПРАВОЧНИК!$E$3*(('ФАКТ ЧЕРН ПОДЗЕМ'!B39)*СПРАВОЧНИК!$H$3+('ФАКТ ЧЕРН ПОДЗЕМ'!C39)*СПРАВОЧНИК!$I$3+('ФАКТ ЧЕРН ПОДЗЕМ'!D39)*СПРАВОЧНИК!$J$3)+СПРАВОЧНИК!$E$4*(('ФАКТ ЧЕРН ПОДЗЕМ'!E39)*СПРАВОЧНИК!$H$4+('ФАКТ ЧЕРН ПОДЗЕМ'!F39)*СПРАВОЧНИК!$I$4+('ФАКТ ЧЕРН ПОДЗЕМ'!G39)*СПРАВОЧНИК!$J$4)+СПРАВОЧНИК!$E$5*(('ФАКТ ЧЕРН ПОДЗЕМ'!H39)*СПРАВОЧНИК!$H$5+('ФАКТ ЧЕРН ПОДЗЕМ'!I39)*СПРАВОЧНИК!$I$5+('ФАКТ ЧЕРН ПОДЗЕМ'!J39)*СПРАВОЧНИК!$J$5)+СПРАВОЧНИК!$E$6*(('ФАКТ ЧЕРН ПОДЗЕМ'!K39)*СПРАВОЧНИК!$H$6+('ФАКТ ЧЕРН ПОДЗЕМ'!L39)*СПРАВОЧНИК!$I$6+('ФАКТ ЧЕРН ПОДЗЕМ'!M39)*СПРАВОЧНИК!$J$6)+СПРАВОЧНИК!$E$7*(('ФАКТ ЧЕРН ПОДЗЕМ'!N39)*СПРАВОЧНИК!$H$7+('ФАКТ ЧЕРН ПОДЗЕМ'!O39)*СПРАВОЧНИК!$I$7+('ФАКТ ЧЕРН ПОДЗЕМ'!P39)*СПРАВОЧНИК!$J$7)+СПРАВОЧНИК!$E$8*(('ФАКТ ЧЕРН ПОДЗЕМ'!Q39)*СПРАВОЧНИК!$H$8+('ФАКТ ЧЕРН ПОДЗЕМ'!R39)*СПРАВОЧНИК!$I$8+('ФАКТ ЧЕРН ПОДЗЕМ'!S39)*СПРАВОЧНИК!$J$8)+СПРАВОЧНИК!$F$3*(('ФАКТ ЧИСТ ПОДЗЕМ'!B39)*СПРАВОЧНИК!$L$3+('ФАКТ ЧИСТ ПОДЗЕМ'!C39)*СПРАВОЧНИК!$M$3+('ФАКТ ЧИСТ ПОДЗЕМ'!D39)*СПРАВОЧНИК!$N$3)+СПРАВОЧНИК!$F$4*(('ФАКТ ЧИСТ ПОДЗЕМ'!E39)*СПРАВОЧНИК!$L$4+('ФАКТ ЧИСТ ПОДЗЕМ'!F39)*СПРАВОЧНИК!$M$4+('ФАКТ ЧИСТ ПОДЗЕМ'!G39)*СПРАВОЧНИК!$N$4)+СПРАВОЧНИК!$F$5*(('ФАКТ ЧИСТ ПОДЗЕМ'!H39)*СПРАВОЧНИК!$L$5+('ФАКТ ЧИСТ ПОДЗЕМ'!I39)*СПРАВОЧНИК!$M$5+('ФАКТ ЧИСТ ПОДЗЕМ'!J39)*СПРАВОЧНИК!$N$5)+СПРАВОЧНИК!$F$6*(('ФАКТ ЧИСТ ПОДЗЕМ'!K39)*СПРАВОЧНИК!$L$6+('ФАКТ ЧИСТ ПОДЗЕМ'!L39)*СПРАВОЧНИК!$M$6+('ФАКТ ЧИСТ ПОДЗЕМ'!M39)*СПРАВОЧНИК!$N$6)+СПРАВОЧНИК!$F$7*(('ФАКТ ЧИСТ ПОДЗЕМ'!N39)*СПРАВОЧНИК!$L$7+('ФАКТ ЧИСТ ПОДЗЕМ'!O39)*СПРАВОЧНИК!$M$7+('ФАКТ ЧИСТ ПОДЗЕМ'!P39)*СПРАВОЧНИК!$N$7)+СПРАВОЧНИК!$F$8*(('ФАКТ ЧИСТ ПОДЗЕМ'!Q39)*СПРАВОЧНИК!$L$8+('ФАКТ ЧИСТ ПОДЗЕМ'!R39)*СПРАВОЧНИК!$M$8+('ФАКТ ЧИСТ ПОДЗЕМ'!S39)*СПРАВОЧНИК!$N$8)</f>
        <v>0</v>
      </c>
      <c r="I48" s="18">
        <f t="shared" si="13"/>
        <v>46412</v>
      </c>
      <c r="J48" s="37">
        <f>'ПЛАН ЧЕРН ПОДЗЕМ'!B39*СПРАВОЧНИК!$H$3+'ПЛАН ЧЕРН ПОДЗЕМ'!C39*СПРАВОЧНИК!$I$3+'ПЛАН ЧЕРН ПОДЗЕМ'!D39*СПРАВОЧНИК!$J$3+'ПЛАН ЧЕРН ПОДЗЕМ'!E39*СПРАВОЧНИК!$H$4+'ПЛАН ЧЕРН ПОДЗЕМ'!F39*СПРАВОЧНИК!$I$4+'ПЛАН ЧЕРН ПОДЗЕМ'!G39*СПРАВОЧНИК!$J$4+'ПЛАН ЧЕРН ПОДЗЕМ'!H39*СПРАВОЧНИК!$H$5+'ПЛАН ЧЕРН ПОДЗЕМ'!I39*СПРАВОЧНИК!$I$5+'ПЛАН ЧЕРН ПОДЗЕМ'!J39*СПРАВОЧНИК!$J$5+'ПЛАН ЧЕРН ПОДЗЕМ'!K39*СПРАВОЧНИК!$H$6+'ПЛАН ЧЕРН ПОДЗЕМ'!L39*СПРАВОЧНИК!$I$6+'ПЛАН ЧЕРН ПОДЗЕМ'!M39*СПРАВОЧНИК!$J$6+'ПЛАН ЧЕРН ПОДЗЕМ'!N39*СПРАВОЧНИК!$H$7+'ПЛАН ЧЕРН ПОДЗЕМ'!O39*СПРАВОЧНИК!$I$7+'ПЛАН ЧЕРН ПОДЗЕМ'!P39*СПРАВОЧНИК!$J$7+'ПЛАН ЧЕРН ПОДЗЕМ'!Q39*СПРАВОЧНИК!$H$8+'ПЛАН ЧЕРН ПОДЗЕМ'!R39*СПРАВОЧНИК!$I$8+'ПЛАН ЧЕРН ПОДЗЕМ'!S39*СПРАВОЧНИК!$J$8</f>
        <v>0</v>
      </c>
      <c r="K48" s="40">
        <f>('ФАКТ ЧЕРН ПОДЗЕМ'!B39)*СПРАВОЧНИК!$H$3+('ФАКТ ЧЕРН ПОДЗЕМ'!C39)*СПРАВОЧНИК!$I$3+('ФАКТ ЧЕРН ПОДЗЕМ'!D39)*СПРАВОЧНИК!$J$3+('ФАКТ ЧЕРН ПОДЗЕМ'!E39)*СПРАВОЧНИК!$H$4+('ФАКТ ЧЕРН ПОДЗЕМ'!F39)*СПРАВОЧНИК!$I$4+('ФАКТ ЧЕРН ПОДЗЕМ'!G39)*СПРАВОЧНИК!$J$4+('ФАКТ ЧЕРН ПОДЗЕМ'!H39)*СПРАВОЧНИК!$H$5+('ФАКТ ЧЕРН ПОДЗЕМ'!I39)*СПРАВОЧНИК!$I$5+('ФАКТ ЧЕРН ПОДЗЕМ'!J39)*СПРАВОЧНИК!$J$5+('ФАКТ ЧЕРН ПОДЗЕМ'!K39)*СПРАВОЧНИК!$H$6+('ФАКТ ЧЕРН ПОДЗЕМ'!L39)*СПРАВОЧНИК!$I$6+('ФАКТ ЧЕРН ПОДЗЕМ'!M39)*СПРАВОЧНИК!$J$6+('ФАКТ ЧЕРН ПОДЗЕМ'!N39)*СПРАВОЧНИК!$H$7+('ФАКТ ЧЕРН ПОДЗЕМ'!O39)*СПРАВОЧНИК!$I$7+('ФАКТ ЧЕРН ПОДЗЕМ'!P39)*СПРАВОЧНИК!$J$7+('ФАКТ ЧЕРН ПОДЗЕМ'!Q39)*СПРАВОЧНИК!$H$8+('ФАКТ ЧЕРН ПОДЗЕМ'!R39)*СПРАВОЧНИК!$I$8+('ФАКТ ЧЕРН ПОДЗЕМ'!S39)*СПРАВОЧНИК!$J$8</f>
        <v>0</v>
      </c>
      <c r="O48" s="18">
        <f t="shared" si="14"/>
        <v>46412</v>
      </c>
      <c r="P48" s="37">
        <f>'ПЛАН ЧИСТ ПОДЗЕМ'!B39*СПРАВОЧНИК!$L$3+'ПЛАН ЧИСТ ПОДЗЕМ'!C39*СПРАВОЧНИК!$M$3+'ПЛАН ЧИСТ ПОДЗЕМ'!D39*СПРАВОЧНИК!$N$3+'ПЛАН ЧИСТ ПОДЗЕМ'!E39*СПРАВОЧНИК!$L$4+'ПЛАН ЧИСТ ПОДЗЕМ'!F39*СПРАВОЧНИК!$M$4+'ПЛАН ЧИСТ ПОДЗЕМ'!G39*СПРАВОЧНИК!$N$4+'ПЛАН ЧИСТ ПОДЗЕМ'!H39*СПРАВОЧНИК!$L$5+'ПЛАН ЧИСТ ПОДЗЕМ'!I39*СПРАВОЧНИК!$M$5+'ПЛАН ЧИСТ ПОДЗЕМ'!J39*СПРАВОЧНИК!$N$5+'ПЛАН ЧИСТ ПОДЗЕМ'!K39*СПРАВОЧНИК!$L$6+'ПЛАН ЧИСТ ПОДЗЕМ'!L39*СПРАВОЧНИК!$M$6+'ПЛАН ЧИСТ ПОДЗЕМ'!M39*СПРАВОЧНИК!$N$6+'ПЛАН ЧИСТ ПОДЗЕМ'!N39*СПРАВОЧНИК!$L$7+'ПЛАН ЧИСТ ПОДЗЕМ'!O39*СПРАВОЧНИК!$M$7+'ПЛАН ЧИСТ ПОДЗЕМ'!P39*СПРАВОЧНИК!$N$7+'ПЛАН ЧИСТ ПОДЗЕМ'!Q39*СПРАВОЧНИК!$L$8+'ПЛАН ЧИСТ ПОДЗЕМ'!R39*СПРАВОЧНИК!$M$8+'ПЛАН ЧИСТ ПОДЗЕМ'!S39*СПРАВОЧНИК!$N$8</f>
        <v>0</v>
      </c>
      <c r="Q48" s="40">
        <f>('ФАКТ ЧИСТ ПОДЗЕМ'!B39)*СПРАВОЧНИК!$L$3+('ФАКТ ЧИСТ ПОДЗЕМ'!C39)*СПРАВОЧНИК!$M$3+('ФАКТ ЧИСТ ПОДЗЕМ'!D39)*СПРАВОЧНИК!$N$3+('ФАКТ ЧИСТ ПОДЗЕМ'!E39)*СПРАВОЧНИК!$L$4+('ФАКТ ЧИСТ ПОДЗЕМ'!F39)*СПРАВОЧНИК!$M$4+('ФАКТ ЧИСТ ПОДЗЕМ'!G39)*СПРАВОЧНИК!$N$4+('ФАКТ ЧИСТ ПОДЗЕМ'!H39)*СПРАВОЧНИК!$L$5+('ФАКТ ЧИСТ ПОДЗЕМ'!I39)*СПРАВОЧНИК!$M$5+('ФАКТ ЧИСТ ПОДЗЕМ'!J39)*СПРАВОЧНИК!$N$5+('ФАКТ ЧИСТ ПОДЗЕМ'!K39)*СПРАВОЧНИК!$L$6+('ФАКТ ЧИСТ ПОДЗЕМ'!L39)*СПРАВОЧНИК!$M$6+('ФАКТ ЧИСТ ПОДЗЕМ'!M39)*СПРАВОЧНИК!$N$6+('ФАКТ ЧИСТ ПОДЗЕМ'!N39)*СПРАВОЧНИК!$L$7+('ФАКТ ЧИСТ ПОДЗЕМ'!O39)*СПРАВОЧНИК!$M$7+('ФАКТ ЧИСТ ПОДЗЕМ'!P39)*СПРАВОЧНИК!$N$7+('ФАКТ ЧИСТ ПОДЗЕМ'!Q39)*СПРАВОЧНИК!$L$8+('ФАКТ ЧИСТ ПОДЗЕМ'!R39)*СПРАВОЧНИК!$M$8+('ФАКТ ЧИСТ ПОДЗЕМ'!S39)*СПРАВОЧНИК!$N$8</f>
        <v>0</v>
      </c>
      <c r="U48" s="18">
        <f t="shared" si="15"/>
        <v>46412</v>
      </c>
      <c r="V48" s="37">
        <f>СПРАВОЧНИК!$E$9*('ПЛАН ЧЕРН К1'!B39*СПРАВОЧНИК!$H$9+'ПЛАН ЧЕРН К1'!C39*СПРАВОЧНИК!$I$9+'ПЛАН ЧЕРН К1'!D39*СПРАВОЧНИК!$J$9)+СПРАВОЧНИК!$E$10*('ПЛАН ЧЕРН К1'!E39*СПРАВОЧНИК!$H$10+'ПЛАН ЧЕРН К1'!F39*СПРАВОЧНИК!$I$10+'ПЛАН ЧЕРН К1'!G39*СПРАВОЧНИК!$J$10)+СПРАВОЧНИК!$E$11*('ПЛАН ЧЕРН К1'!H39*СПРАВОЧНИК!$H$11+'ПЛАН ЧЕРН К1'!I39*СПРАВОЧНИК!$I$11+'ПЛАН ЧЕРН К1'!J39*СПРАВОЧНИК!$J$11)+СПРАВОЧНИК!$E$12*('ПЛАН ЧЕРН К1'!K39*СПРАВОЧНИК!$H$12+'ПЛАН ЧЕРН К1'!L39*СПРАВОЧНИК!$I$12+'ПЛАН ЧЕРН К1'!M39*СПРАВОЧНИК!$J$12)+СПРАВОЧНИК!$E$13*('ПЛАН ЧЕРН К1'!N39*СПРАВОЧНИК!$H$13+'ПЛАН ЧЕРН К1'!O39*СПРАВОЧНИК!$I$13+'ПЛАН ЧЕРН К1'!P39*СПРАВОЧНИК!$J$13)+СПРАВОЧНИК!$E$14*('ПЛАН ЧЕРН К1'!Q39*СПРАВОЧНИК!$H$14+'ПЛАН ЧЕРН К1'!R39*СПРАВОЧНИК!$I$14+'ПЛАН ЧЕРН К1'!S39*СПРАВОЧНИК!$J$14)+СПРАВОЧНИК!$E$15*('ПЛАН ЧЕРН К1'!T39*СПРАВОЧНИК!$H$15+'ПЛАН ЧЕРН К1'!U39*СПРАВОЧНИК!$I$15+'ПЛАН ЧЕРН К1'!V39*СПРАВОЧНИК!$J$15)+СПРАВОЧНИК!$F$9*('ПЛАН ЧИСТ К1'!B39*СПРАВОЧНИК!$L$9+'ПЛАН ЧИСТ К1'!C39*СПРАВОЧНИК!$M$9+'ПЛАН ЧИСТ К1'!D39*СПРАВОЧНИК!$N$9+'ПЛАН ЧИСТ К1'!E39*СПРАВОЧНИК!$O$9)+СПРАВОЧНИК!$F$10*('ПЛАН ЧИСТ К1'!F39*СПРАВОЧНИК!$L$10+'ПЛАН ЧИСТ К1'!G39*СПРАВОЧНИК!$M$10+'ПЛАН ЧИСТ К1'!H39*СПРАВОЧНИК!$N$10)+СПРАВОЧНИК!$F$11*('ПЛАН ЧИСТ К1'!I39*СПРАВОЧНИК!$L$11+'ПЛАН ЧИСТ К1'!J39*СПРАВОЧНИК!$M$11+'ПЛАН ЧИСТ К1'!K39*СПРАВОЧНИК!$N$11)+СПРАВОЧНИК!$F$12*('ПЛАН ЧИСТ К1'!L39*СПРАВОЧНИК!$L$12+'ПЛАН ЧИСТ К1'!M39*СПРАВОЧНИК!$M$12+'ПЛАН ЧИСТ К1'!N39*СПРАВОЧНИК!$N$12)+СПРАВОЧНИК!$F$13*('ПЛАН ЧИСТ К1'!O39*СПРАВОЧНИК!$L$13+'ПЛАН ЧИСТ К1'!P39*СПРАВОЧНИК!$M$13+'ПЛАН ЧИСТ К1'!Q39*СПРАВОЧНИК!$N$13)+СПРАВОЧНИК!$F$14*('ПЛАН ЧИСТ К1'!R39*СПРАВОЧНИК!$L$14+'ПЛАН ЧИСТ К1'!S39*СПРАВОЧНИК!$M$14+'ПЛАН ЧИСТ К1'!T39*СПРАВОЧНИК!$N$14)+СПРАВОЧНИК!$F$15*('ПЛАН ЧИСТ К1'!U39*СПРАВОЧНИК!$L$15+'ПЛАН ЧИСТ К1'!V39*СПРАВОЧНИК!$M$15+'ПЛАН ЧИСТ К1'!W39*СПРАВОЧНИК!$N$15)</f>
        <v>0</v>
      </c>
      <c r="W48" s="40">
        <f>СПРАВОЧНИК!$E$9*(('ФАКТ ЧЕРН К1'!B39)*СПРАВОЧНИК!$H$9+('ФАКТ ЧЕРН К1'!C39)*СПРАВОЧНИК!$I$9+('ФАКТ ЧЕРН К1'!D39)*СПРАВОЧНИК!$J$9)+СПРАВОЧНИК!$E$10*(('ФАКТ ЧЕРН К1'!E39)*СПРАВОЧНИК!$H$10+('ФАКТ ЧЕРН К1'!F39)*СПРАВОЧНИК!$I$10+('ФАКТ ЧЕРН К1'!G39)*СПРАВОЧНИК!$J$10)+СПРАВОЧНИК!$E$11*(('ФАКТ ЧЕРН К1'!H39)*СПРАВОЧНИК!$H$11+('ФАКТ ЧЕРН К1'!I39)*СПРАВОЧНИК!$I$11+('ФАКТ ЧЕРН К1'!J39)*СПРАВОЧНИК!$J$11)+СПРАВОЧНИК!$E$12*(('ФАКТ ЧЕРН К1'!K39)*СПРАВОЧНИК!$H$12+('ФАКТ ЧЕРН К1'!L39)*СПРАВОЧНИК!$I$12+('ФАКТ ЧЕРН К1'!M39)*СПРАВОЧНИК!$J$12)+СПРАВОЧНИК!$E$13*(('ФАКТ ЧЕРН К1'!N39)*СПРАВОЧНИК!$H$13+('ФАКТ ЧЕРН К1'!O39)*СПРАВОЧНИК!$I$13+('ФАКТ ЧЕРН К1'!P39)*СПРАВОЧНИК!$J$13)+СПРАВОЧНИК!$E$14*(('ФАКТ ЧЕРН К1'!Q39)*СПРАВОЧНИК!$H$14+('ФАКТ ЧЕРН К1'!R39)*СПРАВОЧНИК!$I$14+('ФАКТ ЧЕРН К1'!S39)*СПРАВОЧНИК!$J$14)+СПРАВОЧНИК!$E$15*(('ФАКТ ЧЕРН К1'!T39)*СПРАВОЧНИК!$H$15+('ФАКТ ЧЕРН К1'!U39)*СПРАВОЧНИК!$I$15+('ФАКТ ЧЕРН К1'!V39)*СПРАВОЧНИК!$J$15)+СПРАВОЧНИК!$F$9*(('ФАКТ ЧИСТ К1'!B39)*СПРАВОЧНИК!$L$9+('ФАКТ ЧИСТ К1'!C39)*СПРАВОЧНИК!$M$9+('ФАКТ ЧИСТ К1'!D39)*СПРАВОЧНИК!$N$9+('ФАКТ ЧИСТ К1'!E39)*СПРАВОЧНИК!$O$9)+СПРАВОЧНИК!$F$10*(('ФАКТ ЧИСТ К1'!F39)*СПРАВОЧНИК!$L$10+('ФАКТ ЧИСТ К1'!G39)*СПРАВОЧНИК!$M$10+('ФАКТ ЧИСТ К1'!H39)*СПРАВОЧНИК!$N$10)+СПРАВОЧНИК!$F$11*(('ФАКТ ЧИСТ К1'!I39)*СПРАВОЧНИК!$L$11+('ФАКТ ЧИСТ К1'!J39)*СПРАВОЧНИК!$M$11+('ФАКТ ЧИСТ К1'!K39)*СПРАВОЧНИК!$N$11)+СПРАВОЧНИК!$F$12*(('ФАКТ ЧИСТ К1'!L39)*СПРАВОЧНИК!$L$12+('ФАКТ ЧИСТ К1'!M39)*СПРАВОЧНИК!$M$12+('ФАКТ ЧИСТ К1'!N39)*СПРАВОЧНИК!$N$12)+СПРАВОЧНИК!$F$13*(('ФАКТ ЧИСТ К1'!O39)*СПРАВОЧНИК!$L$13+('ФАКТ ЧИСТ К1'!P39)*СПРАВОЧНИК!$M$13+('ФАКТ ЧИСТ К1'!Q39)*СПРАВОЧНИК!$N$13)+СПРАВОЧНИК!$F$14*(('ФАКТ ЧИСТ К1'!R39)*СПРАВОЧНИК!$L$14+('ФАКТ ЧИСТ К1'!S39)*СПРАВОЧНИК!$M$14+('ФАКТ ЧИСТ К1'!T39)*СПРАВОЧНИК!$N$14)+СПРАВОЧНИК!$F$15*(('ФАКТ ЧИСТ К1'!U39)*СПРАВОЧНИК!$L$15+('ФАКТ ЧИСТ К1'!V39)*СПРАВОЧНИК!$M$15+('ФАКТ ЧИСТ К1'!W39)*СПРАВОЧНИК!$N$15)</f>
        <v>0</v>
      </c>
      <c r="AA48" s="18">
        <f t="shared" si="16"/>
        <v>46412</v>
      </c>
      <c r="AB48" s="37">
        <f>'ПЛАН ЧЕРН К1'!B39*СПРАВОЧНИК!$H$9+'ПЛАН ЧЕРН К1'!C39*СПРАВОЧНИК!$I$9+'ПЛАН ЧЕРН К1'!D39*СПРАВОЧНИК!$J$9+'ПЛАН ЧЕРН К1'!E39*СПРАВОЧНИК!$H$10+'ПЛАН ЧЕРН К1'!F39*СПРАВОЧНИК!$I$10+'ПЛАН ЧЕРН К1'!G39*СПРАВОЧНИК!$J$10+'ПЛАН ЧЕРН К1'!H39*СПРАВОЧНИК!$H$11+'ПЛАН ЧЕРН К1'!I39*СПРАВОЧНИК!$I$11+'ПЛАН ЧЕРН К1'!J39*СПРАВОЧНИК!$J$11+'ПЛАН ЧЕРН К1'!K39*СПРАВОЧНИК!$H$12+'ПЛАН ЧЕРН К1'!L39*СПРАВОЧНИК!$I$12+'ПЛАН ЧЕРН К1'!M39*СПРАВОЧНИК!$J$12+'ПЛАН ЧЕРН К1'!N39*СПРАВОЧНИК!$H$13+'ПЛАН ЧЕРН К1'!O39*СПРАВОЧНИК!$I$13+'ПЛАН ЧЕРН К1'!P39*СПРАВОЧНИК!$J$13+'ПЛАН ЧЕРН К1'!Q39*СПРАВОЧНИК!$H$14+'ПЛАН ЧЕРН К1'!R39*СПРАВОЧНИК!$I$14+'ПЛАН ЧЕРН К1'!S39*СПРАВОЧНИК!$J$14+'ПЛАН ЧЕРН К1'!T39*СПРАВОЧНИК!$H$15+'ПЛАН ЧЕРН К1'!U39*СПРАВОЧНИК!$I$15+'ПЛАН ЧЕРН К1'!V39*СПРАВОЧНИК!$J$15</f>
        <v>0</v>
      </c>
      <c r="AC48" s="40">
        <f>('ФАКТ ЧЕРН К1'!B39)*СПРАВОЧНИК!$H$9+('ФАКТ ЧЕРН К1'!C39)*СПРАВОЧНИК!$I$9+('ФАКТ ЧЕРН К1'!D39)*СПРАВОЧНИК!$J$9+('ФАКТ ЧЕРН К1'!E39)*СПРАВОЧНИК!$H$10+('ФАКТ ЧЕРН К1'!F39)*СПРАВОЧНИК!$I$10+('ФАКТ ЧЕРН К1'!G39)*СПРАВОЧНИК!$J$10+('ФАКТ ЧЕРН К1'!H39)*СПРАВОЧНИК!$H$11+('ФАКТ ЧЕРН К1'!I39)*СПРАВОЧНИК!$I$11+('ФАКТ ЧЕРН К1'!J39)*СПРАВОЧНИК!$J$11+('ФАКТ ЧЕРН К1'!K39)*СПРАВОЧНИК!$H$12+('ФАКТ ЧЕРН К1'!L39)*СПРАВОЧНИК!$I$12+('ФАКТ ЧЕРН К1'!M39)*СПРАВОЧНИК!$J$12+('ФАКТ ЧЕРН К1'!N39)*СПРАВОЧНИК!$H$13+('ФАКТ ЧЕРН К1'!O39)*СПРАВОЧНИК!$I$13+('ФАКТ ЧЕРН К1'!P39)*СПРАВОЧНИК!$J$13+('ФАКТ ЧЕРН К1'!Q39)*СПРАВОЧНИК!$H$14+('ФАКТ ЧЕРН К1'!R39)*СПРАВОЧНИК!$I$14+('ФАКТ ЧЕРН К1'!S39)*СПРАВОЧНИК!$J$14+('ФАКТ ЧЕРН К1'!T39)*СПРАВОЧНИК!$H$15+('ФАКТ ЧЕРН К1'!U39)*СПРАВОЧНИК!$I$15+('ФАКТ ЧЕРН К1'!V39)*СПРАВОЧНИК!$J$15</f>
        <v>0</v>
      </c>
      <c r="AG48" s="18">
        <f t="shared" si="17"/>
        <v>46412</v>
      </c>
      <c r="AH48" s="37">
        <f>'ПЛАН ЧИСТ К1'!B39*СПРАВОЧНИК!$L$9+'ПЛАН ЧИСТ К1'!C39*СПРАВОЧНИК!$M$9+'ПЛАН ЧИСТ К1'!D39*СПРАВОЧНИК!$N$9+'ПЛАН ЧИСТ К1'!E39*СПРАВОЧНИК!$O$9+'ПЛАН ЧИСТ К1'!F39*СПРАВОЧНИК!$L$10+'ПЛАН ЧИСТ К1'!G39*СПРАВОЧНИК!$M$10+'ПЛАН ЧИСТ К1'!H39*СПРАВОЧНИК!$N$10+'ПЛАН ЧИСТ К1'!I39*СПРАВОЧНИК!$L$11+'ПЛАН ЧИСТ К1'!J39*СПРАВОЧНИК!$M$11+'ПЛАН ЧИСТ К1'!K39*СПРАВОЧНИК!$N$11+'ПЛАН ЧИСТ К1'!L39*СПРАВОЧНИК!$L$12+'ПЛАН ЧИСТ К1'!M39*СПРАВОЧНИК!$M$12+'ПЛАН ЧИСТ К1'!N39*СПРАВОЧНИК!$N$12+'ПЛАН ЧИСТ К1'!O39*СПРАВОЧНИК!$L$13+'ПЛАН ЧИСТ К1'!P39*СПРАВОЧНИК!$M$13+'ПЛАН ЧИСТ К1'!Q39*СПРАВОЧНИК!$N$13+'ПЛАН ЧИСТ К1'!R39*СПРАВОЧНИК!$L$14+'ПЛАН ЧИСТ К1'!S39*СПРАВОЧНИК!$M$14+'ПЛАН ЧИСТ К1'!T39*СПРАВОЧНИК!$N$14+'ПЛАН ЧИСТ К1'!U39*СПРАВОЧНИК!$L$15+'ПЛАН ЧИСТ К1'!V39*СПРАВОЧНИК!$M$15+'ПЛАН ЧИСТ К1'!W39*СПРАВОЧНИК!$N$15</f>
        <v>0</v>
      </c>
      <c r="AI48" s="40">
        <f>('ФАКТ ЧИСТ К1'!B39)*СПРАВОЧНИК!$L$9+('ФАКТ ЧИСТ К1'!C39)*СПРАВОЧНИК!$M$9+('ФАКТ ЧИСТ К1'!D39)*СПРАВОЧНИК!$N$9+('ФАКТ ЧИСТ К1'!E39)*СПРАВОЧНИК!$O$9+('ФАКТ ЧИСТ К1'!F39)*СПРАВОЧНИК!$L$10+('ФАКТ ЧИСТ К1'!G39)*СПРАВОЧНИК!$M$10+('ФАКТ ЧИСТ К1'!H39)*СПРАВОЧНИК!$N$10+('ФАКТ ЧИСТ К1'!I39)*СПРАВОЧНИК!$L$11+('ФАКТ ЧИСТ К1'!J39)*СПРАВОЧНИК!$M$11+('ФАКТ ЧИСТ К1'!K39)*СПРАВОЧНИК!$N$11+('ФАКТ ЧИСТ К1'!L39)*СПРАВОЧНИК!$L$12+('ФАКТ ЧИСТ К1'!M39)*СПРАВОЧНИК!$M$12+('ФАКТ ЧИСТ К1'!N39)*СПРАВОЧНИК!$N$12+('ФАКТ ЧИСТ К1'!O39)*СПРАВОЧНИК!$L$13+('ФАКТ ЧИСТ К1'!P39)*СПРАВОЧНИК!$M$13+('ФАКТ ЧИСТ К1'!Q39)*СПРАВОЧНИК!$N$13+('ФАКТ ЧИСТ К1'!R39)*СПРАВОЧНИК!$L$14+('ФАКТ ЧИСТ К1'!S39)*СПРАВОЧНИК!$M$14+('ФАКТ ЧИСТ К1'!T39)*СПРАВОЧНИК!$N$14+('ФАКТ ЧИСТ К1'!U39)*СПРАВОЧНИК!$L$15+('ФАКТ ЧИСТ К1'!V39)*СПРАВОЧНИК!$M$15+('ФАКТ ЧИСТ К1'!W39)*СПРАВОЧНИК!$N$15</f>
        <v>0</v>
      </c>
      <c r="AM48" s="18">
        <f t="shared" si="18"/>
        <v>46412</v>
      </c>
      <c r="AN48" s="37">
        <f>СПРАВОЧНИК!$E$9*('ПЛАН ЧЕРН К2'!B39*СПРАВОЧНИК!$H$9+'ПЛАН ЧЕРН К2'!C39*СПРАВОЧНИК!$I$9+'ПЛАН ЧЕРН К2'!D39*СПРАВОЧНИК!$J$9)+СПРАВОЧНИК!$E$10*('ПЛАН ЧЕРН К2'!E39*СПРАВОЧНИК!$H$10+'ПЛАН ЧЕРН К2'!F39*СПРАВОЧНИК!$I$10+'ПЛАН ЧЕРН К2'!G39*СПРАВОЧНИК!$J$10)+СПРАВОЧНИК!$E$11*('ПЛАН ЧЕРН К2'!H39*СПРАВОЧНИК!$H$11+'ПЛАН ЧЕРН К2'!I39*СПРАВОЧНИК!$I$11+'ПЛАН ЧЕРН К2'!J39*СПРАВОЧНИК!$J$11)+СПРАВОЧНИК!$E$12*('ПЛАН ЧЕРН К2'!K39*СПРАВОЧНИК!$H$12+'ПЛАН ЧЕРН К2'!L39*СПРАВОЧНИК!$I$12+'ПЛАН ЧЕРН К2'!M39*СПРАВОЧНИК!$J$12)+СПРАВОЧНИК!$E$13*('ПЛАН ЧЕРН К2'!N39*СПРАВОЧНИК!$H$13+'ПЛАН ЧЕРН К2'!O39*СПРАВОЧНИК!$I$13+'ПЛАН ЧЕРН К2'!P39*СПРАВОЧНИК!$J$13)+СПРАВОЧНИК!$E$14*('ПЛАН ЧЕРН К2'!Q39*СПРАВОЧНИК!$H$14+'ПЛАН ЧЕРН К2'!R39*СПРАВОЧНИК!$I$14+'ПЛАН ЧЕРН К2'!S39*СПРАВОЧНИК!$J$14)+СПРАВОЧНИК!$E$15*('ПЛАН ЧЕРН К2'!T39*СПРАВОЧНИК!$H$15+'ПЛАН ЧЕРН К2'!U39*СПРАВОЧНИК!$I$15+'ПЛАН ЧЕРН К2'!V39*СПРАВОЧНИК!$J$15)+СПРАВОЧНИК!$F$9*('ПЛАН ЧИСТ К2'!B39*СПРАВОЧНИК!$L$9+'ПЛАН ЧИСТ К2'!C39*СПРАВОЧНИК!$M$9+'ПЛАН ЧИСТ К2'!D39*СПРАВОЧНИК!$N$9+'ПЛАН ЧИСТ К2'!E39*СПРАВОЧНИК!$O$9)+СПРАВОЧНИК!$F$10*('ПЛАН ЧИСТ К2'!F39*СПРАВОЧНИК!$L$10+'ПЛАН ЧИСТ К2'!G39*СПРАВОЧНИК!$M$10+'ПЛАН ЧИСТ К2'!H39*СПРАВОЧНИК!$N$10)+СПРАВОЧНИК!$F$11*('ПЛАН ЧИСТ К2'!I39*СПРАВОЧНИК!$L$11+'ПЛАН ЧИСТ К2'!J39*СПРАВОЧНИК!$M$11+'ПЛАН ЧИСТ К2'!K39*СПРАВОЧНИК!$N$11)+СПРАВОЧНИК!$F$12*('ПЛАН ЧИСТ К2'!L39*СПРАВОЧНИК!$L$12+'ПЛАН ЧИСТ К2'!M39*СПРАВОЧНИК!$M$12+'ПЛАН ЧИСТ К2'!N39*СПРАВОЧНИК!$N$12)+СПРАВОЧНИК!$F$13*('ПЛАН ЧИСТ К2'!O39*СПРАВОЧНИК!$L$13+'ПЛАН ЧИСТ К2'!P39*СПРАВОЧНИК!$M$13+'ПЛАН ЧИСТ К2'!Q39*СПРАВОЧНИК!$N$13)+СПРАВОЧНИК!$F$14*('ПЛАН ЧИСТ К2'!R39*СПРАВОЧНИК!$L$14+'ПЛАН ЧИСТ К2'!S39*СПРАВОЧНИК!$M$14+'ПЛАН ЧИСТ К2'!T39*СПРАВОЧНИК!$N$14)+СПРАВОЧНИК!$F$15*('ПЛАН ЧИСТ К2'!U39*СПРАВОЧНИК!$L$15+'ПЛАН ЧИСТ К2'!V39*СПРАВОЧНИК!$M$15+'ПЛАН ЧИСТ К2'!W39*СПРАВОЧНИК!$N$15)</f>
        <v>0</v>
      </c>
      <c r="AO48" s="40">
        <f>СПРАВОЧНИК!$E$9*(('ФАКТ ЧЕРН К2'!B39)*СПРАВОЧНИК!$H$9+('ФАКТ ЧЕРН К2'!C39)*СПРАВОЧНИК!$I$9+('ФАКТ ЧЕРН К2'!D39)*СПРАВОЧНИК!$J$9)+СПРАВОЧНИК!$E$10*(('ФАКТ ЧЕРН К2'!E39)*СПРАВОЧНИК!$H$10+('ФАКТ ЧЕРН К2'!F39)*СПРАВОЧНИК!$I$10+('ФАКТ ЧЕРН К2'!G39)*СПРАВОЧНИК!$J$10)+СПРАВОЧНИК!$E$11*(('ФАКТ ЧЕРН К2'!H39)*СПРАВОЧНИК!$H$11+('ФАКТ ЧЕРН К2'!I39)*СПРАВОЧНИК!$I$11+('ФАКТ ЧЕРН К2'!J39)*СПРАВОЧНИК!$J$11)+СПРАВОЧНИК!$E$12*(('ФАКТ ЧЕРН К2'!K39)*СПРАВОЧНИК!$H$12+('ФАКТ ЧЕРН К2'!L39)*СПРАВОЧНИК!$I$12+('ФАКТ ЧЕРН К2'!M39)*СПРАВОЧНИК!$J$12)+СПРАВОЧНИК!$E$13*(('ФАКТ ЧЕРН К2'!N39)*СПРАВОЧНИК!$H$13+('ФАКТ ЧЕРН К2'!O39)*СПРАВОЧНИК!$I$13+('ФАКТ ЧЕРН К2'!P39)*СПРАВОЧНИК!$J$13)+СПРАВОЧНИК!$E$14*(('ФАКТ ЧЕРН К2'!Q39)*СПРАВОЧНИК!$H$14+('ФАКТ ЧЕРН К2'!R39)*СПРАВОЧНИК!$I$14+('ФАКТ ЧЕРН К2'!S39)*СПРАВОЧНИК!$J$14)+СПРАВОЧНИК!$E$15*(('ФАКТ ЧЕРН К2'!T39)*СПРАВОЧНИК!$H$15+('ФАКТ ЧЕРН К2'!U39)*СПРАВОЧНИК!$I$15+('ФАКТ ЧЕРН К2'!V39)*СПРАВОЧНИК!$J$15)+СПРАВОЧНИК!$F$9*(('ФАКТ ЧИСТ К2'!B39)*СПРАВОЧНИК!$L$9+('ФАКТ ЧИСТ К2'!C39)*СПРАВОЧНИК!$M$9+('ФАКТ ЧИСТ К2'!D39)*СПРАВОЧНИК!$N$9+('ФАКТ ЧИСТ К2'!E39)*СПРАВОЧНИК!$O$9)+СПРАВОЧНИК!$F$10*(('ФАКТ ЧИСТ К2'!F39)*СПРАВОЧНИК!$L$10+('ФАКТ ЧИСТ К2'!G39)*СПРАВОЧНИК!$M$10+('ФАКТ ЧИСТ К2'!H39)*СПРАВОЧНИК!$N$10)+СПРАВОЧНИК!$F$11*(('ФАКТ ЧИСТ К2'!I39)*СПРАВОЧНИК!$L$11+('ФАКТ ЧИСТ К2'!J39)*СПРАВОЧНИК!$M$11+('ФАКТ ЧИСТ К2'!K39)*СПРАВОЧНИК!$N$11)+СПРАВОЧНИК!$F$12*(('ФАКТ ЧИСТ К2'!L39)*СПРАВОЧНИК!$L$12+('ФАКТ ЧИСТ К2'!M39)*СПРАВОЧНИК!$M$12+('ФАКТ ЧИСТ К2'!N39)*СПРАВОЧНИК!$N$12)+СПРАВОЧНИК!$F$13*(('ФАКТ ЧИСТ К2'!O39)*СПРАВОЧНИК!$L$13+('ФАКТ ЧИСТ К2'!P39)*СПРАВОЧНИК!$M$13+('ФАКТ ЧИСТ К2'!Q39)*СПРАВОЧНИК!$N$13)+СПРАВОЧНИК!$F$14*(('ФАКТ ЧИСТ К2'!R39)*СПРАВОЧНИК!$L$14+('ФАКТ ЧИСТ К2'!S39)*СПРАВОЧНИК!$M$14+('ФАКТ ЧИСТ К2'!T39)*СПРАВОЧНИК!$N$14)+СПРАВОЧНИК!$F$15*(('ФАКТ ЧИСТ К2'!U39)*СПРАВОЧНИК!$L$15+('ФАКТ ЧИСТ К2'!V39)*СПРАВОЧНИК!$M$15+('ФАКТ ЧИСТ К2'!W39)*СПРАВОЧНИК!$N$15)</f>
        <v>0</v>
      </c>
      <c r="AS48" s="18">
        <f t="shared" si="19"/>
        <v>46412</v>
      </c>
      <c r="AT48" s="37">
        <f>'ПЛАН ЧЕРН К2'!B39*СПРАВОЧНИК!$H$9+'ПЛАН ЧЕРН К2'!C39*СПРАВОЧНИК!$I$9+'ПЛАН ЧЕРН К2'!D39*СПРАВОЧНИК!$J$9+'ПЛАН ЧЕРН К2'!E39*СПРАВОЧНИК!$H$10+'ПЛАН ЧЕРН К2'!F39*СПРАВОЧНИК!$I$10+'ПЛАН ЧЕРН К2'!G39*СПРАВОЧНИК!$J$10+'ПЛАН ЧЕРН К2'!H39*СПРАВОЧНИК!$H$11+'ПЛАН ЧЕРН К2'!I39*СПРАВОЧНИК!$I$11+'ПЛАН ЧЕРН К2'!J39*СПРАВОЧНИК!$J$11+'ПЛАН ЧЕРН К2'!K39*СПРАВОЧНИК!$H$12+'ПЛАН ЧЕРН К2'!L39*СПРАВОЧНИК!$I$12+'ПЛАН ЧЕРН К2'!M39*СПРАВОЧНИК!$J$12+'ПЛАН ЧЕРН К2'!N39*СПРАВОЧНИК!$H$13+'ПЛАН ЧЕРН К2'!O39*СПРАВОЧНИК!$I$13+'ПЛАН ЧЕРН К2'!P39*СПРАВОЧНИК!$J$13+'ПЛАН ЧЕРН К2'!Q39*СПРАВОЧНИК!$H$14+'ПЛАН ЧЕРН К2'!R39*СПРАВОЧНИК!$I$14+'ПЛАН ЧЕРН К2'!S39*СПРАВОЧНИК!$J$14+'ПЛАН ЧЕРН К2'!T39*СПРАВОЧНИК!$H$15+'ПЛАН ЧЕРН К2'!U39*СПРАВОЧНИК!$I$15+'ПЛАН ЧЕРН К2'!V39*СПРАВОЧНИК!$J$15</f>
        <v>0</v>
      </c>
      <c r="AU48" s="40">
        <f>('ФАКТ ЧЕРН К2'!B39)*СПРАВОЧНИК!$H$9+('ФАКТ ЧЕРН К2'!C39)*СПРАВОЧНИК!$I$9+('ФАКТ ЧЕРН К2'!D39)*СПРАВОЧНИК!$J$9+('ФАКТ ЧЕРН К2'!E39)*СПРАВОЧНИК!$H$10+('ФАКТ ЧЕРН К2'!F39)*СПРАВОЧНИК!$I$10+('ФАКТ ЧЕРН К2'!G39)*СПРАВОЧНИК!$J$10+('ФАКТ ЧЕРН К2'!H39)*СПРАВОЧНИК!$H$11+('ФАКТ ЧЕРН К2'!I39)*СПРАВОЧНИК!$I$11+('ФАКТ ЧЕРН К2'!J39)*СПРАВОЧНИК!$J$11+('ФАКТ ЧЕРН К2'!K39)*СПРАВОЧНИК!$H$12+('ФАКТ ЧЕРН К2'!L39)*СПРАВОЧНИК!$I$12+('ФАКТ ЧЕРН К2'!M39)*СПРАВОЧНИК!$J$12+('ФАКТ ЧЕРН К2'!N39)*СПРАВОЧНИК!$H$13+('ФАКТ ЧЕРН К2'!O39)*СПРАВОЧНИК!$I$13+('ФАКТ ЧЕРН К2'!P39)*СПРАВОЧНИК!$J$13+('ФАКТ ЧЕРН К2'!Q39)*СПРАВОЧНИК!$H$14+('ФАКТ ЧЕРН К2'!R39)*СПРАВОЧНИК!$I$14+('ФАКТ ЧЕРН К2'!S39)*СПРАВОЧНИК!$J$14+('ФАКТ ЧЕРН К2'!T39)*СПРАВОЧНИК!$H$15+('ФАКТ ЧЕРН К2'!U39)*СПРАВОЧНИК!$I$15+('ФАКТ ЧЕРН К2'!V39)*СПРАВОЧНИК!$J$15</f>
        <v>0</v>
      </c>
      <c r="AY48" s="18">
        <f t="shared" si="20"/>
        <v>46412</v>
      </c>
      <c r="AZ48" s="37">
        <f>'ПЛАН ЧИСТ К2'!B39*СПРАВОЧНИК!$L$9+'ПЛАН ЧИСТ К2'!C39*СПРАВОЧНИК!$M$9+'ПЛАН ЧИСТ К2'!D39*СПРАВОЧНИК!$N$9+'ПЛАН ЧИСТ К2'!E39*СПРАВОЧНИК!$O$9+'ПЛАН ЧИСТ К2'!F39*СПРАВОЧНИК!$L$10+'ПЛАН ЧИСТ К2'!G39*СПРАВОЧНИК!$M$10+'ПЛАН ЧИСТ К2'!H39*СПРАВОЧНИК!$N$10+'ПЛАН ЧИСТ К2'!I39*СПРАВОЧНИК!$L$11+'ПЛАН ЧИСТ К2'!J39*СПРАВОЧНИК!$M$11+'ПЛАН ЧИСТ К2'!K39*СПРАВОЧНИК!$N$11+'ПЛАН ЧИСТ К2'!L39*СПРАВОЧНИК!$L$12+'ПЛАН ЧИСТ К2'!M39*СПРАВОЧНИК!$M$12+'ПЛАН ЧИСТ К2'!N39*СПРАВОЧНИК!$N$12+'ПЛАН ЧИСТ К2'!O39*СПРАВОЧНИК!$L$13+'ПЛАН ЧИСТ К2'!P39*СПРАВОЧНИК!$M$13+'ПЛАН ЧИСТ К2'!Q39*СПРАВОЧНИК!$N$13+'ПЛАН ЧИСТ К2'!R39*СПРАВОЧНИК!$L$14+'ПЛАН ЧИСТ К2'!S39*СПРАВОЧНИК!$M$14+'ПЛАН ЧИСТ К2'!T39*СПРАВОЧНИК!$N$14+'ПЛАН ЧИСТ К2'!U39*СПРАВОЧНИК!$L$15+'ПЛАН ЧИСТ К2'!V39*СПРАВОЧНИК!$M$15+'ПЛАН ЧИСТ К2'!W39*СПРАВОЧНИК!$N$15</f>
        <v>0</v>
      </c>
      <c r="BA48" s="40">
        <f>('ФАКТ ЧИСТ К2'!B39)*СПРАВОЧНИК!$L$9+('ФАКТ ЧИСТ К2'!C39)*СПРАВОЧНИК!$M$9+('ФАКТ ЧИСТ К2'!D39)*СПРАВОЧНИК!$N$9+('ФАКТ ЧИСТ К2'!E39)*СПРАВОЧНИК!$O$9+('ФАКТ ЧИСТ К2'!F39)*СПРАВОЧНИК!$L$10+('ФАКТ ЧИСТ К2'!G39)*СПРАВОЧНИК!$M$10+('ФАКТ ЧИСТ К2'!H39)*СПРАВОЧНИК!$N$10+('ФАКТ ЧИСТ К2'!I39)*СПРАВОЧНИК!$L$11+('ФАКТ ЧИСТ К2'!J39)*СПРАВОЧНИК!$M$11+('ФАКТ ЧИСТ К2'!K39)*СПРАВОЧНИК!$N$11+('ФАКТ ЧИСТ К2'!L39)*СПРАВОЧНИК!$L$12+('ФАКТ ЧИСТ К2'!M39)*СПРАВОЧНИК!$M$12+('ФАКТ ЧИСТ К2'!N39)*СПРАВОЧНИК!$N$12+('ФАКТ ЧИСТ К2'!O39)*СПРАВОЧНИК!$L$13+('ФАКТ ЧИСТ К2'!P39)*СПРАВОЧНИК!$M$13+('ФАКТ ЧИСТ К2'!Q39)*СПРАВОЧНИК!$N$13+('ФАКТ ЧИСТ К2'!R39)*СПРАВОЧНИК!$L$14+('ФАКТ ЧИСТ К2'!S39)*СПРАВОЧНИК!$M$14+('ФАКТ ЧИСТ К2'!T39)*СПРАВОЧНИК!$N$14+('ФАКТ ЧИСТ К2'!U39)*СПРАВОЧНИК!$L$15+('ФАКТ ЧИСТ К2'!V39)*СПРАВОЧНИК!$M$15+('ФАКТ ЧИСТ К2'!W39)*СПРАВОЧНИК!$N$15</f>
        <v>0</v>
      </c>
      <c r="BE48" s="18">
        <f t="shared" si="21"/>
        <v>46412</v>
      </c>
      <c r="BF48" s="37">
        <f>СПРАВОЧНИК!$E$9*('ПЛАН ЧЕРН К3'!B39*СПРАВОЧНИК!$H$9+'ПЛАН ЧЕРН К3'!C39*СПРАВОЧНИК!$I$9+'ПЛАН ЧЕРН К3'!D39*СПРАВОЧНИК!$J$9)+СПРАВОЧНИК!$E$10*('ПЛАН ЧЕРН К3'!E39*СПРАВОЧНИК!$H$10+'ПЛАН ЧЕРН К3'!F39*СПРАВОЧНИК!$I$10+'ПЛАН ЧЕРН К3'!G39*СПРАВОЧНИК!$J$10)+СПРАВОЧНИК!$E$11*('ПЛАН ЧЕРН К3'!H39*СПРАВОЧНИК!$H$11+'ПЛАН ЧЕРН К3'!I39*СПРАВОЧНИК!$I$11+'ПЛАН ЧЕРН К3'!J39*СПРАВОЧНИК!$J$11)+СПРАВОЧНИК!$E$12*('ПЛАН ЧЕРН К3'!K39*СПРАВОЧНИК!$H$12+'ПЛАН ЧЕРН К3'!L39*СПРАВОЧНИК!$I$12+'ПЛАН ЧЕРН К3'!M39*СПРАВОЧНИК!$J$12)+СПРАВОЧНИК!$E$13*('ПЛАН ЧЕРН К3'!N39*СПРАВОЧНИК!$H$13+'ПЛАН ЧЕРН К3'!O39*СПРАВОЧНИК!$I$13+'ПЛАН ЧЕРН К3'!P39*СПРАВОЧНИК!$J$13)+СПРАВОЧНИК!$E$14*('ПЛАН ЧЕРН К3'!Q39*СПРАВОЧНИК!$H$14+'ПЛАН ЧЕРН К3'!R39*СПРАВОЧНИК!$I$14+'ПЛАН ЧЕРН К3'!S39*СПРАВОЧНИК!$J$14)+СПРАВОЧНИК!$E$15*('ПЛАН ЧЕРН К3'!T39*СПРАВОЧНИК!$H$15+'ПЛАН ЧЕРН К3'!U39*СПРАВОЧНИК!$I$15+'ПЛАН ЧЕРН К3'!V39*СПРАВОЧНИК!$J$15)+СПРАВОЧНИК!$F$9*('ПЛАН ЧИСТ К3'!B39*СПРАВОЧНИК!$L$9+'ПЛАН ЧИСТ К3'!C39*СПРАВОЧНИК!$M$9+'ПЛАН ЧИСТ К3'!D39*СПРАВОЧНИК!$N$9+'ПЛАН ЧИСТ К3'!E39*СПРАВОЧНИК!$O$9)+СПРАВОЧНИК!$F$10*('ПЛАН ЧИСТ К3'!F39*СПРАВОЧНИК!$L$10+'ПЛАН ЧИСТ К3'!G39*СПРАВОЧНИК!$M$10+'ПЛАН ЧИСТ К3'!H39*СПРАВОЧНИК!$N$10)+СПРАВОЧНИК!$F$11*('ПЛАН ЧИСТ К3'!I39*СПРАВОЧНИК!$L$11+'ПЛАН ЧИСТ К3'!J39*СПРАВОЧНИК!$M$11+'ПЛАН ЧИСТ К3'!K39*СПРАВОЧНИК!$N$11)+СПРАВОЧНИК!$F$12*('ПЛАН ЧИСТ К3'!L39*СПРАВОЧНИК!$L$12+'ПЛАН ЧИСТ К3'!M39*СПРАВОЧНИК!$M$12+'ПЛАН ЧИСТ К3'!N39*СПРАВОЧНИК!$N$12)+СПРАВОЧНИК!$F$13*('ПЛАН ЧИСТ К3'!O39*СПРАВОЧНИК!$L$13+'ПЛАН ЧИСТ К3'!P39*СПРАВОЧНИК!$M$13+'ПЛАН ЧИСТ К3'!Q39*СПРАВОЧНИК!$N$13)+СПРАВОЧНИК!$F$14*('ПЛАН ЧИСТ К3'!R39*СПРАВОЧНИК!$L$14+'ПЛАН ЧИСТ К3'!S39*СПРАВОЧНИК!$M$14+'ПЛАН ЧИСТ К3'!T39*СПРАВОЧНИК!$N$14)+СПРАВОЧНИК!$F$15*('ПЛАН ЧИСТ К3'!U39*СПРАВОЧНИК!$L$15+'ПЛАН ЧИСТ К3'!V39*СПРАВОЧНИК!$M$15+'ПЛАН ЧИСТ К3'!W39*СПРАВОЧНИК!$N$15)</f>
        <v>0</v>
      </c>
      <c r="BG48" s="40">
        <f>СПРАВОЧНИК!$E$9*(('ФАКТ ЧЕРН К3'!B39)*СПРАВОЧНИК!$H$9+('ФАКТ ЧЕРН К3'!C39)*СПРАВОЧНИК!$I$9+('ФАКТ ЧЕРН К3'!D39)*СПРАВОЧНИК!$J$9)+СПРАВОЧНИК!$E$10*(('ФАКТ ЧЕРН К3'!E39)*СПРАВОЧНИК!$H$10+('ФАКТ ЧЕРН К3'!F39)*СПРАВОЧНИК!$I$10+('ФАКТ ЧЕРН К3'!G39)*СПРАВОЧНИК!$J$10)+СПРАВОЧНИК!$E$11*(('ФАКТ ЧЕРН К3'!H39)*СПРАВОЧНИК!$H$11+('ФАКТ ЧЕРН К3'!I39)*СПРАВОЧНИК!$I$11+('ФАКТ ЧЕРН К3'!J39)*СПРАВОЧНИК!$J$11)+СПРАВОЧНИК!$E$12*(('ФАКТ ЧЕРН К3'!K39)*СПРАВОЧНИК!$H$12+('ФАКТ ЧЕРН К3'!L39)*СПРАВОЧНИК!$I$12+('ФАКТ ЧЕРН К3'!M39)*СПРАВОЧНИК!$J$12)+СПРАВОЧНИК!$E$13*(('ФАКТ ЧЕРН К3'!N39)*СПРАВОЧНИК!$H$13+('ФАКТ ЧЕРН К3'!O39)*СПРАВОЧНИК!$I$13+('ФАКТ ЧЕРН К3'!P39)*СПРАВОЧНИК!$J$13)+СПРАВОЧНИК!$E$14*(('ФАКТ ЧЕРН К3'!Q39)*СПРАВОЧНИК!$H$14+('ФАКТ ЧЕРН К3'!R39)*СПРАВОЧНИК!$I$14+('ФАКТ ЧЕРН К3'!S39)*СПРАВОЧНИК!$J$14)+СПРАВОЧНИК!$E$15*(('ФАКТ ЧЕРН К3'!T39)*СПРАВОЧНИК!$H$15+('ФАКТ ЧЕРН К3'!U39)*СПРАВОЧНИК!$I$15+('ФАКТ ЧЕРН К3'!V39)*СПРАВОЧНИК!$J$15)+СПРАВОЧНИК!$F$9*(('ФАКТ ЧИСТ К3'!B39)*СПРАВОЧНИК!$L$9+('ФАКТ ЧИСТ К3'!C39)*СПРАВОЧНИК!$M$9+('ФАКТ ЧИСТ К3'!D39)*СПРАВОЧНИК!$N$9+('ФАКТ ЧИСТ К3'!E39)*СПРАВОЧНИК!$O$9)+СПРАВОЧНИК!$F$10*(('ФАКТ ЧИСТ К3'!F39)*СПРАВОЧНИК!$L$10+('ФАКТ ЧИСТ К3'!G39)*СПРАВОЧНИК!$M$10+('ФАКТ ЧИСТ К3'!H39)*СПРАВОЧНИК!$N$10)+СПРАВОЧНИК!$F$11*(('ФАКТ ЧИСТ К3'!I39)*СПРАВОЧНИК!$L$11+('ФАКТ ЧИСТ К3'!J39)*СПРАВОЧНИК!$M$11+('ФАКТ ЧИСТ К3'!K39)*СПРАВОЧНИК!$N$11)+СПРАВОЧНИК!$F$12*(('ФАКТ ЧИСТ К3'!L39)*СПРАВОЧНИК!$L$12+('ФАКТ ЧИСТ К3'!M39)*СПРАВОЧНИК!$M$12+('ФАКТ ЧИСТ К3'!N39)*СПРАВОЧНИК!$N$12)+СПРАВОЧНИК!$F$13*(('ФАКТ ЧИСТ К3'!O39)*СПРАВОЧНИК!$L$13+('ФАКТ ЧИСТ К3'!P39)*СПРАВОЧНИК!$M$13+('ФАКТ ЧИСТ К3'!Q39)*СПРАВОЧНИК!$N$13)+СПРАВОЧНИК!$F$14*(('ФАКТ ЧИСТ К3'!R39)*СПРАВОЧНИК!$L$14+('ФАКТ ЧИСТ К3'!S39)*СПРАВОЧНИК!$M$14+('ФАКТ ЧИСТ К3'!T39)*СПРАВОЧНИК!$N$14)+СПРАВОЧНИК!$F$15*(('ФАКТ ЧИСТ К3'!U39)*СПРАВОЧНИК!$L$15+('ФАКТ ЧИСТ К3'!V39)*СПРАВОЧНИК!$M$15+('ФАКТ ЧИСТ К3'!W39)*СПРАВОЧНИК!$N$15)</f>
        <v>0</v>
      </c>
      <c r="BK48" s="18">
        <f t="shared" si="22"/>
        <v>46412</v>
      </c>
      <c r="BL48" s="37">
        <f>'ПЛАН ЧЕРН К3'!B39*СПРАВОЧНИК!$H$9+'ПЛАН ЧЕРН К3'!C39*СПРАВОЧНИК!$I$9+'ПЛАН ЧЕРН К3'!D39*СПРАВОЧНИК!$J$9+'ПЛАН ЧЕРН К3'!E39*СПРАВОЧНИК!$H$10+'ПЛАН ЧЕРН К3'!F39*СПРАВОЧНИК!$I$10+'ПЛАН ЧЕРН К3'!G39*СПРАВОЧНИК!$J$10+'ПЛАН ЧЕРН К3'!H39*СПРАВОЧНИК!$H$11+'ПЛАН ЧЕРН К3'!I39*СПРАВОЧНИК!$I$11+'ПЛАН ЧЕРН К3'!J39*СПРАВОЧНИК!$J$11+'ПЛАН ЧЕРН К3'!K39*СПРАВОЧНИК!$H$12+'ПЛАН ЧЕРН К3'!L39*СПРАВОЧНИК!$I$12+'ПЛАН ЧЕРН К3'!M39*СПРАВОЧНИК!$J$12+'ПЛАН ЧЕРН К3'!N39*СПРАВОЧНИК!$H$13+'ПЛАН ЧЕРН К3'!O39*СПРАВОЧНИК!$I$13+'ПЛАН ЧЕРН К3'!P39*СПРАВОЧНИК!$J$13+'ПЛАН ЧЕРН К3'!Q39*СПРАВОЧНИК!$H$14+'ПЛАН ЧЕРН К3'!R39*СПРАВОЧНИК!$I$14+'ПЛАН ЧЕРН К3'!S39*СПРАВОЧНИК!$J$14+'ПЛАН ЧЕРН К3'!T39*СПРАВОЧНИК!$H$15+'ПЛАН ЧЕРН К3'!U39*СПРАВОЧНИК!$I$15+'ПЛАН ЧЕРН К3'!V39*СПРАВОЧНИК!$J$15</f>
        <v>0</v>
      </c>
      <c r="BM48" s="40">
        <f>('ФАКТ ЧЕРН К3'!B39)*СПРАВОЧНИК!$H$9+('ФАКТ ЧЕРН К3'!C39)*СПРАВОЧНИК!$I$9+('ФАКТ ЧЕРН К3'!D39)*СПРАВОЧНИК!$J$9+('ФАКТ ЧЕРН К3'!E39)*СПРАВОЧНИК!$H$10+('ФАКТ ЧЕРН К3'!F39)*СПРАВОЧНИК!$I$10+('ФАКТ ЧЕРН К3'!G39)*СПРАВОЧНИК!$J$10+('ФАКТ ЧЕРН К3'!H39)*СПРАВОЧНИК!$H$11+('ФАКТ ЧЕРН К3'!I39)*СПРАВОЧНИК!$I$11+('ФАКТ ЧЕРН К3'!J39)*СПРАВОЧНИК!$J$11+('ФАКТ ЧЕРН К3'!K39)*СПРАВОЧНИК!$H$12+('ФАКТ ЧЕРН К3'!L39)*СПРАВОЧНИК!$I$12+('ФАКТ ЧЕРН К3'!M39)*СПРАВОЧНИК!$J$12+('ФАКТ ЧЕРН К3'!N39)*СПРАВОЧНИК!$H$13+('ФАКТ ЧЕРН К3'!O39)*СПРАВОЧНИК!$I$13+('ФАКТ ЧЕРН К3'!P39)*СПРАВОЧНИК!$J$13+('ФАКТ ЧЕРН К3'!Q39)*СПРАВОЧНИК!$H$14+('ФАКТ ЧЕРН К3'!R39)*СПРАВОЧНИК!$I$14+('ФАКТ ЧЕРН К3'!S39)*СПРАВОЧНИК!$J$14+('ФАКТ ЧЕРН К3'!T39)*СПРАВОЧНИК!$H$15+('ФАКТ ЧЕРН К3'!U39)*СПРАВОЧНИК!$I$15+('ФАКТ ЧЕРН К3'!V39)*СПРАВОЧНИК!$J$15</f>
        <v>0</v>
      </c>
      <c r="BQ48" s="18">
        <f t="shared" si="23"/>
        <v>46412</v>
      </c>
      <c r="BR48" s="37">
        <f>'ПЛАН ЧИСТ К3'!B39*СПРАВОЧНИК!$L$9+'ПЛАН ЧИСТ К3'!C39*СПРАВОЧНИК!$M$9+'ПЛАН ЧИСТ К3'!D39*СПРАВОЧНИК!$N$9+'ПЛАН ЧИСТ К3'!E39*СПРАВОЧНИК!$O$9+'ПЛАН ЧИСТ К3'!F39*СПРАВОЧНИК!$L$10+'ПЛАН ЧИСТ К3'!G39*СПРАВОЧНИК!$M$10+'ПЛАН ЧИСТ К3'!H39*СПРАВОЧНИК!$N$10+'ПЛАН ЧИСТ К3'!I39*СПРАВОЧНИК!$L$11+'ПЛАН ЧИСТ К3'!J39*СПРАВОЧНИК!$M$11+'ПЛАН ЧИСТ К3'!K39*СПРАВОЧНИК!$N$11+'ПЛАН ЧИСТ К3'!L39*СПРАВОЧНИК!$L$12+'ПЛАН ЧИСТ К3'!M39*СПРАВОЧНИК!$M$12+'ПЛАН ЧИСТ К3'!N39*СПРАВОЧНИК!$N$12+'ПЛАН ЧИСТ К3'!O39*СПРАВОЧНИК!$L$13+'ПЛАН ЧИСТ К3'!P39*СПРАВОЧНИК!$M$13+'ПЛАН ЧИСТ К3'!Q39*СПРАВОЧНИК!$N$13+'ПЛАН ЧИСТ К3'!R39*СПРАВОЧНИК!$L$14+'ПЛАН ЧИСТ К3'!S39*СПРАВОЧНИК!$M$14+'ПЛАН ЧИСТ К3'!T39*СПРАВОЧНИК!$N$14+'ПЛАН ЧИСТ К3'!U39*СПРАВОЧНИК!$L$15+'ПЛАН ЧИСТ К3'!V39*СПРАВОЧНИК!$M$15+'ПЛАН ЧИСТ К3'!W39*СПРАВОЧНИК!$N$15</f>
        <v>0</v>
      </c>
      <c r="BS48" s="40">
        <f>('ФАКТ ЧИСТ К3'!B39)*СПРАВОЧНИК!$L$9+('ФАКТ ЧИСТ К3'!C39)*СПРАВОЧНИК!$M$9+('ФАКТ ЧИСТ К3'!D39)*СПРАВОЧНИК!$N$9+('ФАКТ ЧИСТ К3'!E39)*СПРАВОЧНИК!$O$9+('ФАКТ ЧИСТ К3'!F39)*СПРАВОЧНИК!$L$10+('ФАКТ ЧИСТ К3'!G39)*СПРАВОЧНИК!$M$10+('ФАКТ ЧИСТ К3'!H39)*СПРАВОЧНИК!$N$10+('ФАКТ ЧИСТ К3'!I39)*СПРАВОЧНИК!$L$11+('ФАКТ ЧИСТ К3'!J39)*СПРАВОЧНИК!$M$11+('ФАКТ ЧИСТ К3'!K39)*СПРАВОЧНИК!$N$11+('ФАКТ ЧИСТ К3'!L39)*СПРАВОЧНИК!$L$12+('ФАКТ ЧИСТ К3'!M39)*СПРАВОЧНИК!$M$12+('ФАКТ ЧИСТ К3'!N39)*СПРАВОЧНИК!$N$12+('ФАКТ ЧИСТ К3'!O39)*СПРАВОЧНИК!$L$13+('ФАКТ ЧИСТ К3'!P39)*СПРАВОЧНИК!$M$13+('ФАКТ ЧИСТ К3'!Q39)*СПРАВОЧНИК!$N$13+('ФАКТ ЧИСТ К3'!R39)*СПРАВОЧНИК!$L$14+('ФАКТ ЧИСТ К3'!S39)*СПРАВОЧНИК!$M$14+('ФАКТ ЧИСТ К3'!T39)*СПРАВОЧНИК!$N$14+('ФАКТ ЧИСТ К3'!U39)*СПРАВОЧНИК!$L$15+('ФАКТ ЧИСТ К3'!V39)*СПРАВОЧНИК!$M$15+('ФАКТ ЧИСТ К3'!W39)*СПРАВОЧНИК!$N$15</f>
        <v>0</v>
      </c>
      <c r="BW48" s="18">
        <f t="shared" si="24"/>
        <v>46412</v>
      </c>
      <c r="BX48" s="37">
        <f t="shared" si="0"/>
        <v>0</v>
      </c>
      <c r="BY48" s="40">
        <f t="shared" si="1"/>
        <v>0</v>
      </c>
      <c r="CC48" s="18">
        <f t="shared" si="25"/>
        <v>46412</v>
      </c>
      <c r="CD48" s="37">
        <f t="shared" si="2"/>
        <v>0</v>
      </c>
      <c r="CE48" s="40">
        <f t="shared" si="3"/>
        <v>0</v>
      </c>
      <c r="CI48" s="18">
        <f t="shared" si="26"/>
        <v>46412</v>
      </c>
      <c r="CJ48" s="37">
        <f t="shared" si="4"/>
        <v>0</v>
      </c>
      <c r="CK48" s="40">
        <f t="shared" si="5"/>
        <v>0</v>
      </c>
      <c r="CO48" s="18">
        <f t="shared" si="27"/>
        <v>46412</v>
      </c>
      <c r="CP48" s="37">
        <f t="shared" si="6"/>
        <v>0</v>
      </c>
      <c r="CQ48" s="40">
        <f t="shared" si="7"/>
        <v>0</v>
      </c>
      <c r="CU48" s="18">
        <f t="shared" si="28"/>
        <v>46412</v>
      </c>
      <c r="CV48" s="37">
        <f t="shared" si="8"/>
        <v>0</v>
      </c>
      <c r="CW48" s="40">
        <f t="shared" si="9"/>
        <v>0</v>
      </c>
      <c r="DA48" s="18">
        <f t="shared" si="29"/>
        <v>46412</v>
      </c>
      <c r="DB48" s="37">
        <f t="shared" si="10"/>
        <v>0</v>
      </c>
      <c r="DC48" s="40">
        <f t="shared" si="11"/>
        <v>0</v>
      </c>
    </row>
    <row r="49" spans="3:107" x14ac:dyDescent="0.25">
      <c r="C49" s="18">
        <f t="shared" si="12"/>
        <v>46419</v>
      </c>
      <c r="D49" s="37">
        <f>СПРАВОЧНИК!$E$3*('ПЛАН ЧЕРН ПОДЗЕМ'!B40*СПРАВОЧНИК!$H$3+'ПЛАН ЧЕРН ПОДЗЕМ'!C40*СПРАВОЧНИК!$I$3+'ПЛАН ЧЕРН ПОДЗЕМ'!D40*СПРАВОЧНИК!$J$3)+СПРАВОЧНИК!$E$4*('ПЛАН ЧЕРН ПОДЗЕМ'!E40*СПРАВОЧНИК!$H$4+'ПЛАН ЧЕРН ПОДЗЕМ'!F40*СПРАВОЧНИК!$I$4+'ПЛАН ЧЕРН ПОДЗЕМ'!G40*СПРАВОЧНИК!$J$4)+СПРАВОЧНИК!$E$5*('ПЛАН ЧЕРН ПОДЗЕМ'!H40*СПРАВОЧНИК!$H$5+'ПЛАН ЧЕРН ПОДЗЕМ'!I40*СПРАВОЧНИК!$I$5+'ПЛАН ЧЕРН ПОДЗЕМ'!J40*СПРАВОЧНИК!$J$5)+СПРАВОЧНИК!$E$6*('ПЛАН ЧЕРН ПОДЗЕМ'!K40*СПРАВОЧНИК!$H$6+'ПЛАН ЧЕРН ПОДЗЕМ'!L40*СПРАВОЧНИК!$I$6+'ПЛАН ЧЕРН ПОДЗЕМ'!M40*СПРАВОЧНИК!$J$6)+СПРАВОЧНИК!$E$7*('ПЛАН ЧЕРН ПОДЗЕМ'!N40*СПРАВОЧНИК!$H$7+'ПЛАН ЧЕРН ПОДЗЕМ'!O40*СПРАВОЧНИК!$I$7+'ПЛАН ЧЕРН ПОДЗЕМ'!P40*СПРАВОЧНИК!$J$7)+СПРАВОЧНИК!$E$8*('ПЛАН ЧЕРН ПОДЗЕМ'!Q40*СПРАВОЧНИК!$H$8+'ПЛАН ЧЕРН ПОДЗЕМ'!R40*СПРАВОЧНИК!$I$8+'ПЛАН ЧЕРН ПОДЗЕМ'!S40*СПРАВОЧНИК!$J$8)+СПРАВОЧНИК!$F$3*('ПЛАН ЧИСТ ПОДЗЕМ'!B40*СПРАВОЧНИК!$L$3+'ПЛАН ЧИСТ ПОДЗЕМ'!C40*СПРАВОЧНИК!$M$3+'ПЛАН ЧИСТ ПОДЗЕМ'!D40*СПРАВОЧНИК!$N$3)+СПРАВОЧНИК!$F$4*('ПЛАН ЧИСТ ПОДЗЕМ'!E40*СПРАВОЧНИК!$L$4+'ПЛАН ЧИСТ ПОДЗЕМ'!F40*СПРАВОЧНИК!$M$4+'ПЛАН ЧИСТ ПОДЗЕМ'!G40*СПРАВОЧНИК!$N$4)+СПРАВОЧНИК!$F$5*('ПЛАН ЧИСТ ПОДЗЕМ'!H40*СПРАВОЧНИК!$L$5+'ПЛАН ЧИСТ ПОДЗЕМ'!I40*СПРАВОЧНИК!$M$5+'ПЛАН ЧИСТ ПОДЗЕМ'!J40*СПРАВОЧНИК!$N$5)+СПРАВОЧНИК!$F$6*('ПЛАН ЧИСТ ПОДЗЕМ'!K40*СПРАВОЧНИК!$L$6+'ПЛАН ЧИСТ ПОДЗЕМ'!L40*СПРАВОЧНИК!$M$6+'ПЛАН ЧИСТ ПОДЗЕМ'!M40*СПРАВОЧНИК!$N$6)+СПРАВОЧНИК!$F$7*('ПЛАН ЧИСТ ПОДЗЕМ'!N40*СПРАВОЧНИК!$L$7+'ПЛАН ЧИСТ ПОДЗЕМ'!O40*СПРАВОЧНИК!$M$7+'ПЛАН ЧИСТ ПОДЗЕМ'!P40*СПРАВОЧНИК!$N$7)+СПРАВОЧНИК!$F$8*('ПЛАН ЧИСТ ПОДЗЕМ'!Q40*СПРАВОЧНИК!$L$8+'ПЛАН ЧИСТ ПОДЗЕМ'!R40*СПРАВОЧНИК!$M$8+'ПЛАН ЧИСТ ПОДЗЕМ'!S40*СПРАВОЧНИК!$N$8)</f>
        <v>0</v>
      </c>
      <c r="E49" s="40">
        <f>СПРАВОЧНИК!$E$3*(('ФАКТ ЧЕРН ПОДЗЕМ'!B40)*СПРАВОЧНИК!$H$3+('ФАКТ ЧЕРН ПОДЗЕМ'!C40)*СПРАВОЧНИК!$I$3+('ФАКТ ЧЕРН ПОДЗЕМ'!D40)*СПРАВОЧНИК!$J$3)+СПРАВОЧНИК!$E$4*(('ФАКТ ЧЕРН ПОДЗЕМ'!E40)*СПРАВОЧНИК!$H$4+('ФАКТ ЧЕРН ПОДЗЕМ'!F40)*СПРАВОЧНИК!$I$4+('ФАКТ ЧЕРН ПОДЗЕМ'!G40)*СПРАВОЧНИК!$J$4)+СПРАВОЧНИК!$E$5*(('ФАКТ ЧЕРН ПОДЗЕМ'!H40)*СПРАВОЧНИК!$H$5+('ФАКТ ЧЕРН ПОДЗЕМ'!I40)*СПРАВОЧНИК!$I$5+('ФАКТ ЧЕРН ПОДЗЕМ'!J40)*СПРАВОЧНИК!$J$5)+СПРАВОЧНИК!$E$6*(('ФАКТ ЧЕРН ПОДЗЕМ'!K40)*СПРАВОЧНИК!$H$6+('ФАКТ ЧЕРН ПОДЗЕМ'!L40)*СПРАВОЧНИК!$I$6+('ФАКТ ЧЕРН ПОДЗЕМ'!M40)*СПРАВОЧНИК!$J$6)+СПРАВОЧНИК!$E$7*(('ФАКТ ЧЕРН ПОДЗЕМ'!N40)*СПРАВОЧНИК!$H$7+('ФАКТ ЧЕРН ПОДЗЕМ'!O40)*СПРАВОЧНИК!$I$7+('ФАКТ ЧЕРН ПОДЗЕМ'!P40)*СПРАВОЧНИК!$J$7)+СПРАВОЧНИК!$E$8*(('ФАКТ ЧЕРН ПОДЗЕМ'!Q40)*СПРАВОЧНИК!$H$8+('ФАКТ ЧЕРН ПОДЗЕМ'!R40)*СПРАВОЧНИК!$I$8+('ФАКТ ЧЕРН ПОДЗЕМ'!S40)*СПРАВОЧНИК!$J$8)+СПРАВОЧНИК!$F$3*(('ФАКТ ЧИСТ ПОДЗЕМ'!B40)*СПРАВОЧНИК!$L$3+('ФАКТ ЧИСТ ПОДЗЕМ'!C40)*СПРАВОЧНИК!$M$3+('ФАКТ ЧИСТ ПОДЗЕМ'!D40)*СПРАВОЧНИК!$N$3)+СПРАВОЧНИК!$F$4*(('ФАКТ ЧИСТ ПОДЗЕМ'!E40)*СПРАВОЧНИК!$L$4+('ФАКТ ЧИСТ ПОДЗЕМ'!F40)*СПРАВОЧНИК!$M$4+('ФАКТ ЧИСТ ПОДЗЕМ'!G40)*СПРАВОЧНИК!$N$4)+СПРАВОЧНИК!$F$5*(('ФАКТ ЧИСТ ПОДЗЕМ'!H40)*СПРАВОЧНИК!$L$5+('ФАКТ ЧИСТ ПОДЗЕМ'!I40)*СПРАВОЧНИК!$M$5+('ФАКТ ЧИСТ ПОДЗЕМ'!J40)*СПРАВОЧНИК!$N$5)+СПРАВОЧНИК!$F$6*(('ФАКТ ЧИСТ ПОДЗЕМ'!K40)*СПРАВОЧНИК!$L$6+('ФАКТ ЧИСТ ПОДЗЕМ'!L40)*СПРАВОЧНИК!$M$6+('ФАКТ ЧИСТ ПОДЗЕМ'!M40)*СПРАВОЧНИК!$N$6)+СПРАВОЧНИК!$F$7*(('ФАКТ ЧИСТ ПОДЗЕМ'!N40)*СПРАВОЧНИК!$L$7+('ФАКТ ЧИСТ ПОДЗЕМ'!O40)*СПРАВОЧНИК!$M$7+('ФАКТ ЧИСТ ПОДЗЕМ'!P40)*СПРАВОЧНИК!$N$7)+СПРАВОЧНИК!$F$8*(('ФАКТ ЧИСТ ПОДЗЕМ'!Q40)*СПРАВОЧНИК!$L$8+('ФАКТ ЧИСТ ПОДЗЕМ'!R40)*СПРАВОЧНИК!$M$8+('ФАКТ ЧИСТ ПОДЗЕМ'!S40)*СПРАВОЧНИК!$N$8)</f>
        <v>0</v>
      </c>
      <c r="I49" s="18">
        <f t="shared" si="13"/>
        <v>46419</v>
      </c>
      <c r="J49" s="37">
        <f>'ПЛАН ЧЕРН ПОДЗЕМ'!B40*СПРАВОЧНИК!$H$3+'ПЛАН ЧЕРН ПОДЗЕМ'!C40*СПРАВОЧНИК!$I$3+'ПЛАН ЧЕРН ПОДЗЕМ'!D40*СПРАВОЧНИК!$J$3+'ПЛАН ЧЕРН ПОДЗЕМ'!E40*СПРАВОЧНИК!$H$4+'ПЛАН ЧЕРН ПОДЗЕМ'!F40*СПРАВОЧНИК!$I$4+'ПЛАН ЧЕРН ПОДЗЕМ'!G40*СПРАВОЧНИК!$J$4+'ПЛАН ЧЕРН ПОДЗЕМ'!H40*СПРАВОЧНИК!$H$5+'ПЛАН ЧЕРН ПОДЗЕМ'!I40*СПРАВОЧНИК!$I$5+'ПЛАН ЧЕРН ПОДЗЕМ'!J40*СПРАВОЧНИК!$J$5+'ПЛАН ЧЕРН ПОДЗЕМ'!K40*СПРАВОЧНИК!$H$6+'ПЛАН ЧЕРН ПОДЗЕМ'!L40*СПРАВОЧНИК!$I$6+'ПЛАН ЧЕРН ПОДЗЕМ'!M40*СПРАВОЧНИК!$J$6+'ПЛАН ЧЕРН ПОДЗЕМ'!N40*СПРАВОЧНИК!$H$7+'ПЛАН ЧЕРН ПОДЗЕМ'!O40*СПРАВОЧНИК!$I$7+'ПЛАН ЧЕРН ПОДЗЕМ'!P40*СПРАВОЧНИК!$J$7+'ПЛАН ЧЕРН ПОДЗЕМ'!Q40*СПРАВОЧНИК!$H$8+'ПЛАН ЧЕРН ПОДЗЕМ'!R40*СПРАВОЧНИК!$I$8+'ПЛАН ЧЕРН ПОДЗЕМ'!S40*СПРАВОЧНИК!$J$8</f>
        <v>0</v>
      </c>
      <c r="K49" s="40">
        <f>('ФАКТ ЧЕРН ПОДЗЕМ'!B40)*СПРАВОЧНИК!$H$3+('ФАКТ ЧЕРН ПОДЗЕМ'!C40)*СПРАВОЧНИК!$I$3+('ФАКТ ЧЕРН ПОДЗЕМ'!D40)*СПРАВОЧНИК!$J$3+('ФАКТ ЧЕРН ПОДЗЕМ'!E40)*СПРАВОЧНИК!$H$4+('ФАКТ ЧЕРН ПОДЗЕМ'!F40)*СПРАВОЧНИК!$I$4+('ФАКТ ЧЕРН ПОДЗЕМ'!G40)*СПРАВОЧНИК!$J$4+('ФАКТ ЧЕРН ПОДЗЕМ'!H40)*СПРАВОЧНИК!$H$5+('ФАКТ ЧЕРН ПОДЗЕМ'!I40)*СПРАВОЧНИК!$I$5+('ФАКТ ЧЕРН ПОДЗЕМ'!J40)*СПРАВОЧНИК!$J$5+('ФАКТ ЧЕРН ПОДЗЕМ'!K40)*СПРАВОЧНИК!$H$6+('ФАКТ ЧЕРН ПОДЗЕМ'!L40)*СПРАВОЧНИК!$I$6+('ФАКТ ЧЕРН ПОДЗЕМ'!M40)*СПРАВОЧНИК!$J$6+('ФАКТ ЧЕРН ПОДЗЕМ'!N40)*СПРАВОЧНИК!$H$7+('ФАКТ ЧЕРН ПОДЗЕМ'!O40)*СПРАВОЧНИК!$I$7+('ФАКТ ЧЕРН ПОДЗЕМ'!P40)*СПРАВОЧНИК!$J$7+('ФАКТ ЧЕРН ПОДЗЕМ'!Q40)*СПРАВОЧНИК!$H$8+('ФАКТ ЧЕРН ПОДЗЕМ'!R40)*СПРАВОЧНИК!$I$8+('ФАКТ ЧЕРН ПОДЗЕМ'!S40)*СПРАВОЧНИК!$J$8</f>
        <v>0</v>
      </c>
      <c r="O49" s="18">
        <f t="shared" si="14"/>
        <v>46419</v>
      </c>
      <c r="P49" s="37">
        <f>'ПЛАН ЧИСТ ПОДЗЕМ'!B40*СПРАВОЧНИК!$L$3+'ПЛАН ЧИСТ ПОДЗЕМ'!C40*СПРАВОЧНИК!$M$3+'ПЛАН ЧИСТ ПОДЗЕМ'!D40*СПРАВОЧНИК!$N$3+'ПЛАН ЧИСТ ПОДЗЕМ'!E40*СПРАВОЧНИК!$L$4+'ПЛАН ЧИСТ ПОДЗЕМ'!F40*СПРАВОЧНИК!$M$4+'ПЛАН ЧИСТ ПОДЗЕМ'!G40*СПРАВОЧНИК!$N$4+'ПЛАН ЧИСТ ПОДЗЕМ'!H40*СПРАВОЧНИК!$L$5+'ПЛАН ЧИСТ ПОДЗЕМ'!I40*СПРАВОЧНИК!$M$5+'ПЛАН ЧИСТ ПОДЗЕМ'!J40*СПРАВОЧНИК!$N$5+'ПЛАН ЧИСТ ПОДЗЕМ'!K40*СПРАВОЧНИК!$L$6+'ПЛАН ЧИСТ ПОДЗЕМ'!L40*СПРАВОЧНИК!$M$6+'ПЛАН ЧИСТ ПОДЗЕМ'!M40*СПРАВОЧНИК!$N$6+'ПЛАН ЧИСТ ПОДЗЕМ'!N40*СПРАВОЧНИК!$L$7+'ПЛАН ЧИСТ ПОДЗЕМ'!O40*СПРАВОЧНИК!$M$7+'ПЛАН ЧИСТ ПОДЗЕМ'!P40*СПРАВОЧНИК!$N$7+'ПЛАН ЧИСТ ПОДЗЕМ'!Q40*СПРАВОЧНИК!$L$8+'ПЛАН ЧИСТ ПОДЗЕМ'!R40*СПРАВОЧНИК!$M$8+'ПЛАН ЧИСТ ПОДЗЕМ'!S40*СПРАВОЧНИК!$N$8</f>
        <v>0</v>
      </c>
      <c r="Q49" s="40">
        <f>('ФАКТ ЧИСТ ПОДЗЕМ'!B40)*СПРАВОЧНИК!$L$3+('ФАКТ ЧИСТ ПОДЗЕМ'!C40)*СПРАВОЧНИК!$M$3+('ФАКТ ЧИСТ ПОДЗЕМ'!D40)*СПРАВОЧНИК!$N$3+('ФАКТ ЧИСТ ПОДЗЕМ'!E40)*СПРАВОЧНИК!$L$4+('ФАКТ ЧИСТ ПОДЗЕМ'!F40)*СПРАВОЧНИК!$M$4+('ФАКТ ЧИСТ ПОДЗЕМ'!G40)*СПРАВОЧНИК!$N$4+('ФАКТ ЧИСТ ПОДЗЕМ'!H40)*СПРАВОЧНИК!$L$5+('ФАКТ ЧИСТ ПОДЗЕМ'!I40)*СПРАВОЧНИК!$M$5+('ФАКТ ЧИСТ ПОДЗЕМ'!J40)*СПРАВОЧНИК!$N$5+('ФАКТ ЧИСТ ПОДЗЕМ'!K40)*СПРАВОЧНИК!$L$6+('ФАКТ ЧИСТ ПОДЗЕМ'!L40)*СПРАВОЧНИК!$M$6+('ФАКТ ЧИСТ ПОДЗЕМ'!M40)*СПРАВОЧНИК!$N$6+('ФАКТ ЧИСТ ПОДЗЕМ'!N40)*СПРАВОЧНИК!$L$7+('ФАКТ ЧИСТ ПОДЗЕМ'!O40)*СПРАВОЧНИК!$M$7+('ФАКТ ЧИСТ ПОДЗЕМ'!P40)*СПРАВОЧНИК!$N$7+('ФАКТ ЧИСТ ПОДЗЕМ'!Q40)*СПРАВОЧНИК!$L$8+('ФАКТ ЧИСТ ПОДЗЕМ'!R40)*СПРАВОЧНИК!$M$8+('ФАКТ ЧИСТ ПОДЗЕМ'!S40)*СПРАВОЧНИК!$N$8</f>
        <v>0</v>
      </c>
      <c r="U49" s="18">
        <f t="shared" si="15"/>
        <v>46419</v>
      </c>
      <c r="V49" s="37">
        <f>СПРАВОЧНИК!$E$9*('ПЛАН ЧЕРН К1'!B40*СПРАВОЧНИК!$H$9+'ПЛАН ЧЕРН К1'!C40*СПРАВОЧНИК!$I$9+'ПЛАН ЧЕРН К1'!D40*СПРАВОЧНИК!$J$9)+СПРАВОЧНИК!$E$10*('ПЛАН ЧЕРН К1'!E40*СПРАВОЧНИК!$H$10+'ПЛАН ЧЕРН К1'!F40*СПРАВОЧНИК!$I$10+'ПЛАН ЧЕРН К1'!G40*СПРАВОЧНИК!$J$10)+СПРАВОЧНИК!$E$11*('ПЛАН ЧЕРН К1'!H40*СПРАВОЧНИК!$H$11+'ПЛАН ЧЕРН К1'!I40*СПРАВОЧНИК!$I$11+'ПЛАН ЧЕРН К1'!J40*СПРАВОЧНИК!$J$11)+СПРАВОЧНИК!$E$12*('ПЛАН ЧЕРН К1'!K40*СПРАВОЧНИК!$H$12+'ПЛАН ЧЕРН К1'!L40*СПРАВОЧНИК!$I$12+'ПЛАН ЧЕРН К1'!M40*СПРАВОЧНИК!$J$12)+СПРАВОЧНИК!$E$13*('ПЛАН ЧЕРН К1'!N40*СПРАВОЧНИК!$H$13+'ПЛАН ЧЕРН К1'!O40*СПРАВОЧНИК!$I$13+'ПЛАН ЧЕРН К1'!P40*СПРАВОЧНИК!$J$13)+СПРАВОЧНИК!$E$14*('ПЛАН ЧЕРН К1'!Q40*СПРАВОЧНИК!$H$14+'ПЛАН ЧЕРН К1'!R40*СПРАВОЧНИК!$I$14+'ПЛАН ЧЕРН К1'!S40*СПРАВОЧНИК!$J$14)+СПРАВОЧНИК!$E$15*('ПЛАН ЧЕРН К1'!T40*СПРАВОЧНИК!$H$15+'ПЛАН ЧЕРН К1'!U40*СПРАВОЧНИК!$I$15+'ПЛАН ЧЕРН К1'!V40*СПРАВОЧНИК!$J$15)+СПРАВОЧНИК!$F$9*('ПЛАН ЧИСТ К1'!B40*СПРАВОЧНИК!$L$9+'ПЛАН ЧИСТ К1'!C40*СПРАВОЧНИК!$M$9+'ПЛАН ЧИСТ К1'!D40*СПРАВОЧНИК!$N$9+'ПЛАН ЧИСТ К1'!E40*СПРАВОЧНИК!$O$9)+СПРАВОЧНИК!$F$10*('ПЛАН ЧИСТ К1'!F40*СПРАВОЧНИК!$L$10+'ПЛАН ЧИСТ К1'!G40*СПРАВОЧНИК!$M$10+'ПЛАН ЧИСТ К1'!H40*СПРАВОЧНИК!$N$10)+СПРАВОЧНИК!$F$11*('ПЛАН ЧИСТ К1'!I40*СПРАВОЧНИК!$L$11+'ПЛАН ЧИСТ К1'!J40*СПРАВОЧНИК!$M$11+'ПЛАН ЧИСТ К1'!K40*СПРАВОЧНИК!$N$11)+СПРАВОЧНИК!$F$12*('ПЛАН ЧИСТ К1'!L40*СПРАВОЧНИК!$L$12+'ПЛАН ЧИСТ К1'!M40*СПРАВОЧНИК!$M$12+'ПЛАН ЧИСТ К1'!N40*СПРАВОЧНИК!$N$12)+СПРАВОЧНИК!$F$13*('ПЛАН ЧИСТ К1'!O40*СПРАВОЧНИК!$L$13+'ПЛАН ЧИСТ К1'!P40*СПРАВОЧНИК!$M$13+'ПЛАН ЧИСТ К1'!Q40*СПРАВОЧНИК!$N$13)+СПРАВОЧНИК!$F$14*('ПЛАН ЧИСТ К1'!R40*СПРАВОЧНИК!$L$14+'ПЛАН ЧИСТ К1'!S40*СПРАВОЧНИК!$M$14+'ПЛАН ЧИСТ К1'!T40*СПРАВОЧНИК!$N$14)+СПРАВОЧНИК!$F$15*('ПЛАН ЧИСТ К1'!U40*СПРАВОЧНИК!$L$15+'ПЛАН ЧИСТ К1'!V40*СПРАВОЧНИК!$M$15+'ПЛАН ЧИСТ К1'!W40*СПРАВОЧНИК!$N$15)</f>
        <v>0</v>
      </c>
      <c r="W49" s="40">
        <f>СПРАВОЧНИК!$E$9*(('ФАКТ ЧЕРН К1'!B40)*СПРАВОЧНИК!$H$9+('ФАКТ ЧЕРН К1'!C40)*СПРАВОЧНИК!$I$9+('ФАКТ ЧЕРН К1'!D40)*СПРАВОЧНИК!$J$9)+СПРАВОЧНИК!$E$10*(('ФАКТ ЧЕРН К1'!E40)*СПРАВОЧНИК!$H$10+('ФАКТ ЧЕРН К1'!F40)*СПРАВОЧНИК!$I$10+('ФАКТ ЧЕРН К1'!G40)*СПРАВОЧНИК!$J$10)+СПРАВОЧНИК!$E$11*(('ФАКТ ЧЕРН К1'!H40)*СПРАВОЧНИК!$H$11+('ФАКТ ЧЕРН К1'!I40)*СПРАВОЧНИК!$I$11+('ФАКТ ЧЕРН К1'!J40)*СПРАВОЧНИК!$J$11)+СПРАВОЧНИК!$E$12*(('ФАКТ ЧЕРН К1'!K40)*СПРАВОЧНИК!$H$12+('ФАКТ ЧЕРН К1'!L40)*СПРАВОЧНИК!$I$12+('ФАКТ ЧЕРН К1'!M40)*СПРАВОЧНИК!$J$12)+СПРАВОЧНИК!$E$13*(('ФАКТ ЧЕРН К1'!N40)*СПРАВОЧНИК!$H$13+('ФАКТ ЧЕРН К1'!O40)*СПРАВОЧНИК!$I$13+('ФАКТ ЧЕРН К1'!P40)*СПРАВОЧНИК!$J$13)+СПРАВОЧНИК!$E$14*(('ФАКТ ЧЕРН К1'!Q40)*СПРАВОЧНИК!$H$14+('ФАКТ ЧЕРН К1'!R40)*СПРАВОЧНИК!$I$14+('ФАКТ ЧЕРН К1'!S40)*СПРАВОЧНИК!$J$14)+СПРАВОЧНИК!$E$15*(('ФАКТ ЧЕРН К1'!T40)*СПРАВОЧНИК!$H$15+('ФАКТ ЧЕРН К1'!U40)*СПРАВОЧНИК!$I$15+('ФАКТ ЧЕРН К1'!V40)*СПРАВОЧНИК!$J$15)+СПРАВОЧНИК!$F$9*(('ФАКТ ЧИСТ К1'!B40)*СПРАВОЧНИК!$L$9+('ФАКТ ЧИСТ К1'!C40)*СПРАВОЧНИК!$M$9+('ФАКТ ЧИСТ К1'!D40)*СПРАВОЧНИК!$N$9+('ФАКТ ЧИСТ К1'!E40)*СПРАВОЧНИК!$O$9)+СПРАВОЧНИК!$F$10*(('ФАКТ ЧИСТ К1'!F40)*СПРАВОЧНИК!$L$10+('ФАКТ ЧИСТ К1'!G40)*СПРАВОЧНИК!$M$10+('ФАКТ ЧИСТ К1'!H40)*СПРАВОЧНИК!$N$10)+СПРАВОЧНИК!$F$11*(('ФАКТ ЧИСТ К1'!I40)*СПРАВОЧНИК!$L$11+('ФАКТ ЧИСТ К1'!J40)*СПРАВОЧНИК!$M$11+('ФАКТ ЧИСТ К1'!K40)*СПРАВОЧНИК!$N$11)+СПРАВОЧНИК!$F$12*(('ФАКТ ЧИСТ К1'!L40)*СПРАВОЧНИК!$L$12+('ФАКТ ЧИСТ К1'!M40)*СПРАВОЧНИК!$M$12+('ФАКТ ЧИСТ К1'!N40)*СПРАВОЧНИК!$N$12)+СПРАВОЧНИК!$F$13*(('ФАКТ ЧИСТ К1'!O40)*СПРАВОЧНИК!$L$13+('ФАКТ ЧИСТ К1'!P40)*СПРАВОЧНИК!$M$13+('ФАКТ ЧИСТ К1'!Q40)*СПРАВОЧНИК!$N$13)+СПРАВОЧНИК!$F$14*(('ФАКТ ЧИСТ К1'!R40)*СПРАВОЧНИК!$L$14+('ФАКТ ЧИСТ К1'!S40)*СПРАВОЧНИК!$M$14+('ФАКТ ЧИСТ К1'!T40)*СПРАВОЧНИК!$N$14)+СПРАВОЧНИК!$F$15*(('ФАКТ ЧИСТ К1'!U40)*СПРАВОЧНИК!$L$15+('ФАКТ ЧИСТ К1'!V40)*СПРАВОЧНИК!$M$15+('ФАКТ ЧИСТ К1'!W40)*СПРАВОЧНИК!$N$15)</f>
        <v>0</v>
      </c>
      <c r="AA49" s="18">
        <f t="shared" si="16"/>
        <v>46419</v>
      </c>
      <c r="AB49" s="37">
        <f>'ПЛАН ЧЕРН К1'!B40*СПРАВОЧНИК!$H$9+'ПЛАН ЧЕРН К1'!C40*СПРАВОЧНИК!$I$9+'ПЛАН ЧЕРН К1'!D40*СПРАВОЧНИК!$J$9+'ПЛАН ЧЕРН К1'!E40*СПРАВОЧНИК!$H$10+'ПЛАН ЧЕРН К1'!F40*СПРАВОЧНИК!$I$10+'ПЛАН ЧЕРН К1'!G40*СПРАВОЧНИК!$J$10+'ПЛАН ЧЕРН К1'!H40*СПРАВОЧНИК!$H$11+'ПЛАН ЧЕРН К1'!I40*СПРАВОЧНИК!$I$11+'ПЛАН ЧЕРН К1'!J40*СПРАВОЧНИК!$J$11+'ПЛАН ЧЕРН К1'!K40*СПРАВОЧНИК!$H$12+'ПЛАН ЧЕРН К1'!L40*СПРАВОЧНИК!$I$12+'ПЛАН ЧЕРН К1'!M40*СПРАВОЧНИК!$J$12+'ПЛАН ЧЕРН К1'!N40*СПРАВОЧНИК!$H$13+'ПЛАН ЧЕРН К1'!O40*СПРАВОЧНИК!$I$13+'ПЛАН ЧЕРН К1'!P40*СПРАВОЧНИК!$J$13+'ПЛАН ЧЕРН К1'!Q40*СПРАВОЧНИК!$H$14+'ПЛАН ЧЕРН К1'!R40*СПРАВОЧНИК!$I$14+'ПЛАН ЧЕРН К1'!S40*СПРАВОЧНИК!$J$14+'ПЛАН ЧЕРН К1'!T40*СПРАВОЧНИК!$H$15+'ПЛАН ЧЕРН К1'!U40*СПРАВОЧНИК!$I$15+'ПЛАН ЧЕРН К1'!V40*СПРАВОЧНИК!$J$15</f>
        <v>0</v>
      </c>
      <c r="AC49" s="40">
        <f>('ФАКТ ЧЕРН К1'!B40)*СПРАВОЧНИК!$H$9+('ФАКТ ЧЕРН К1'!C40)*СПРАВОЧНИК!$I$9+('ФАКТ ЧЕРН К1'!D40)*СПРАВОЧНИК!$J$9+('ФАКТ ЧЕРН К1'!E40)*СПРАВОЧНИК!$H$10+('ФАКТ ЧЕРН К1'!F40)*СПРАВОЧНИК!$I$10+('ФАКТ ЧЕРН К1'!G40)*СПРАВОЧНИК!$J$10+('ФАКТ ЧЕРН К1'!H40)*СПРАВОЧНИК!$H$11+('ФАКТ ЧЕРН К1'!I40)*СПРАВОЧНИК!$I$11+('ФАКТ ЧЕРН К1'!J40)*СПРАВОЧНИК!$J$11+('ФАКТ ЧЕРН К1'!K40)*СПРАВОЧНИК!$H$12+('ФАКТ ЧЕРН К1'!L40)*СПРАВОЧНИК!$I$12+('ФАКТ ЧЕРН К1'!M40)*СПРАВОЧНИК!$J$12+('ФАКТ ЧЕРН К1'!N40)*СПРАВОЧНИК!$H$13+('ФАКТ ЧЕРН К1'!O40)*СПРАВОЧНИК!$I$13+('ФАКТ ЧЕРН К1'!P40)*СПРАВОЧНИК!$J$13+('ФАКТ ЧЕРН К1'!Q40)*СПРАВОЧНИК!$H$14+('ФАКТ ЧЕРН К1'!R40)*СПРАВОЧНИК!$I$14+('ФАКТ ЧЕРН К1'!S40)*СПРАВОЧНИК!$J$14+('ФАКТ ЧЕРН К1'!T40)*СПРАВОЧНИК!$H$15+('ФАКТ ЧЕРН К1'!U40)*СПРАВОЧНИК!$I$15+('ФАКТ ЧЕРН К1'!V40)*СПРАВОЧНИК!$J$15</f>
        <v>0</v>
      </c>
      <c r="AG49" s="18">
        <f t="shared" si="17"/>
        <v>46419</v>
      </c>
      <c r="AH49" s="37">
        <f>'ПЛАН ЧИСТ К1'!B40*СПРАВОЧНИК!$L$9+'ПЛАН ЧИСТ К1'!C40*СПРАВОЧНИК!$M$9+'ПЛАН ЧИСТ К1'!D40*СПРАВОЧНИК!$N$9+'ПЛАН ЧИСТ К1'!E40*СПРАВОЧНИК!$O$9+'ПЛАН ЧИСТ К1'!F40*СПРАВОЧНИК!$L$10+'ПЛАН ЧИСТ К1'!G40*СПРАВОЧНИК!$M$10+'ПЛАН ЧИСТ К1'!H40*СПРАВОЧНИК!$N$10+'ПЛАН ЧИСТ К1'!I40*СПРАВОЧНИК!$L$11+'ПЛАН ЧИСТ К1'!J40*СПРАВОЧНИК!$M$11+'ПЛАН ЧИСТ К1'!K40*СПРАВОЧНИК!$N$11+'ПЛАН ЧИСТ К1'!L40*СПРАВОЧНИК!$L$12+'ПЛАН ЧИСТ К1'!M40*СПРАВОЧНИК!$M$12+'ПЛАН ЧИСТ К1'!N40*СПРАВОЧНИК!$N$12+'ПЛАН ЧИСТ К1'!O40*СПРАВОЧНИК!$L$13+'ПЛАН ЧИСТ К1'!P40*СПРАВОЧНИК!$M$13+'ПЛАН ЧИСТ К1'!Q40*СПРАВОЧНИК!$N$13+'ПЛАН ЧИСТ К1'!R40*СПРАВОЧНИК!$L$14+'ПЛАН ЧИСТ К1'!S40*СПРАВОЧНИК!$M$14+'ПЛАН ЧИСТ К1'!T40*СПРАВОЧНИК!$N$14+'ПЛАН ЧИСТ К1'!U40*СПРАВОЧНИК!$L$15+'ПЛАН ЧИСТ К1'!V40*СПРАВОЧНИК!$M$15+'ПЛАН ЧИСТ К1'!W40*СПРАВОЧНИК!$N$15</f>
        <v>0</v>
      </c>
      <c r="AI49" s="40">
        <f>('ФАКТ ЧИСТ К1'!B40)*СПРАВОЧНИК!$L$9+('ФАКТ ЧИСТ К1'!C40)*СПРАВОЧНИК!$M$9+('ФАКТ ЧИСТ К1'!D40)*СПРАВОЧНИК!$N$9+('ФАКТ ЧИСТ К1'!E40)*СПРАВОЧНИК!$O$9+('ФАКТ ЧИСТ К1'!F40)*СПРАВОЧНИК!$L$10+('ФАКТ ЧИСТ К1'!G40)*СПРАВОЧНИК!$M$10+('ФАКТ ЧИСТ К1'!H40)*СПРАВОЧНИК!$N$10+('ФАКТ ЧИСТ К1'!I40)*СПРАВОЧНИК!$L$11+('ФАКТ ЧИСТ К1'!J40)*СПРАВОЧНИК!$M$11+('ФАКТ ЧИСТ К1'!K40)*СПРАВОЧНИК!$N$11+('ФАКТ ЧИСТ К1'!L40)*СПРАВОЧНИК!$L$12+('ФАКТ ЧИСТ К1'!M40)*СПРАВОЧНИК!$M$12+('ФАКТ ЧИСТ К1'!N40)*СПРАВОЧНИК!$N$12+('ФАКТ ЧИСТ К1'!O40)*СПРАВОЧНИК!$L$13+('ФАКТ ЧИСТ К1'!P40)*СПРАВОЧНИК!$M$13+('ФАКТ ЧИСТ К1'!Q40)*СПРАВОЧНИК!$N$13+('ФАКТ ЧИСТ К1'!R40)*СПРАВОЧНИК!$L$14+('ФАКТ ЧИСТ К1'!S40)*СПРАВОЧНИК!$M$14+('ФАКТ ЧИСТ К1'!T40)*СПРАВОЧНИК!$N$14+('ФАКТ ЧИСТ К1'!U40)*СПРАВОЧНИК!$L$15+('ФАКТ ЧИСТ К1'!V40)*СПРАВОЧНИК!$M$15+('ФАКТ ЧИСТ К1'!W40)*СПРАВОЧНИК!$N$15</f>
        <v>0</v>
      </c>
      <c r="AM49" s="18">
        <f t="shared" si="18"/>
        <v>46419</v>
      </c>
      <c r="AN49" s="37">
        <f>СПРАВОЧНИК!$E$9*('ПЛАН ЧЕРН К2'!B40*СПРАВОЧНИК!$H$9+'ПЛАН ЧЕРН К2'!C40*СПРАВОЧНИК!$I$9+'ПЛАН ЧЕРН К2'!D40*СПРАВОЧНИК!$J$9)+СПРАВОЧНИК!$E$10*('ПЛАН ЧЕРН К2'!E40*СПРАВОЧНИК!$H$10+'ПЛАН ЧЕРН К2'!F40*СПРАВОЧНИК!$I$10+'ПЛАН ЧЕРН К2'!G40*СПРАВОЧНИК!$J$10)+СПРАВОЧНИК!$E$11*('ПЛАН ЧЕРН К2'!H40*СПРАВОЧНИК!$H$11+'ПЛАН ЧЕРН К2'!I40*СПРАВОЧНИК!$I$11+'ПЛАН ЧЕРН К2'!J40*СПРАВОЧНИК!$J$11)+СПРАВОЧНИК!$E$12*('ПЛАН ЧЕРН К2'!K40*СПРАВОЧНИК!$H$12+'ПЛАН ЧЕРН К2'!L40*СПРАВОЧНИК!$I$12+'ПЛАН ЧЕРН К2'!M40*СПРАВОЧНИК!$J$12)+СПРАВОЧНИК!$E$13*('ПЛАН ЧЕРН К2'!N40*СПРАВОЧНИК!$H$13+'ПЛАН ЧЕРН К2'!O40*СПРАВОЧНИК!$I$13+'ПЛАН ЧЕРН К2'!P40*СПРАВОЧНИК!$J$13)+СПРАВОЧНИК!$E$14*('ПЛАН ЧЕРН К2'!Q40*СПРАВОЧНИК!$H$14+'ПЛАН ЧЕРН К2'!R40*СПРАВОЧНИК!$I$14+'ПЛАН ЧЕРН К2'!S40*СПРАВОЧНИК!$J$14)+СПРАВОЧНИК!$E$15*('ПЛАН ЧЕРН К2'!T40*СПРАВОЧНИК!$H$15+'ПЛАН ЧЕРН К2'!U40*СПРАВОЧНИК!$I$15+'ПЛАН ЧЕРН К2'!V40*СПРАВОЧНИК!$J$15)+СПРАВОЧНИК!$F$9*('ПЛАН ЧИСТ К2'!B40*СПРАВОЧНИК!$L$9+'ПЛАН ЧИСТ К2'!C40*СПРАВОЧНИК!$M$9+'ПЛАН ЧИСТ К2'!D40*СПРАВОЧНИК!$N$9+'ПЛАН ЧИСТ К2'!E40*СПРАВОЧНИК!$O$9)+СПРАВОЧНИК!$F$10*('ПЛАН ЧИСТ К2'!F40*СПРАВОЧНИК!$L$10+'ПЛАН ЧИСТ К2'!G40*СПРАВОЧНИК!$M$10+'ПЛАН ЧИСТ К2'!H40*СПРАВОЧНИК!$N$10)+СПРАВОЧНИК!$F$11*('ПЛАН ЧИСТ К2'!I40*СПРАВОЧНИК!$L$11+'ПЛАН ЧИСТ К2'!J40*СПРАВОЧНИК!$M$11+'ПЛАН ЧИСТ К2'!K40*СПРАВОЧНИК!$N$11)+СПРАВОЧНИК!$F$12*('ПЛАН ЧИСТ К2'!L40*СПРАВОЧНИК!$L$12+'ПЛАН ЧИСТ К2'!M40*СПРАВОЧНИК!$M$12+'ПЛАН ЧИСТ К2'!N40*СПРАВОЧНИК!$N$12)+СПРАВОЧНИК!$F$13*('ПЛАН ЧИСТ К2'!O40*СПРАВОЧНИК!$L$13+'ПЛАН ЧИСТ К2'!P40*СПРАВОЧНИК!$M$13+'ПЛАН ЧИСТ К2'!Q40*СПРАВОЧНИК!$N$13)+СПРАВОЧНИК!$F$14*('ПЛАН ЧИСТ К2'!R40*СПРАВОЧНИК!$L$14+'ПЛАН ЧИСТ К2'!S40*СПРАВОЧНИК!$M$14+'ПЛАН ЧИСТ К2'!T40*СПРАВОЧНИК!$N$14)+СПРАВОЧНИК!$F$15*('ПЛАН ЧИСТ К2'!U40*СПРАВОЧНИК!$L$15+'ПЛАН ЧИСТ К2'!V40*СПРАВОЧНИК!$M$15+'ПЛАН ЧИСТ К2'!W40*СПРАВОЧНИК!$N$15)</f>
        <v>0</v>
      </c>
      <c r="AO49" s="40">
        <f>СПРАВОЧНИК!$E$9*(('ФАКТ ЧЕРН К2'!B40)*СПРАВОЧНИК!$H$9+('ФАКТ ЧЕРН К2'!C40)*СПРАВОЧНИК!$I$9+('ФАКТ ЧЕРН К2'!D40)*СПРАВОЧНИК!$J$9)+СПРАВОЧНИК!$E$10*(('ФАКТ ЧЕРН К2'!E40)*СПРАВОЧНИК!$H$10+('ФАКТ ЧЕРН К2'!F40)*СПРАВОЧНИК!$I$10+('ФАКТ ЧЕРН К2'!G40)*СПРАВОЧНИК!$J$10)+СПРАВОЧНИК!$E$11*(('ФАКТ ЧЕРН К2'!H40)*СПРАВОЧНИК!$H$11+('ФАКТ ЧЕРН К2'!I40)*СПРАВОЧНИК!$I$11+('ФАКТ ЧЕРН К2'!J40)*СПРАВОЧНИК!$J$11)+СПРАВОЧНИК!$E$12*(('ФАКТ ЧЕРН К2'!K40)*СПРАВОЧНИК!$H$12+('ФАКТ ЧЕРН К2'!L40)*СПРАВОЧНИК!$I$12+('ФАКТ ЧЕРН К2'!M40)*СПРАВОЧНИК!$J$12)+СПРАВОЧНИК!$E$13*(('ФАКТ ЧЕРН К2'!N40)*СПРАВОЧНИК!$H$13+('ФАКТ ЧЕРН К2'!O40)*СПРАВОЧНИК!$I$13+('ФАКТ ЧЕРН К2'!P40)*СПРАВОЧНИК!$J$13)+СПРАВОЧНИК!$E$14*(('ФАКТ ЧЕРН К2'!Q40)*СПРАВОЧНИК!$H$14+('ФАКТ ЧЕРН К2'!R40)*СПРАВОЧНИК!$I$14+('ФАКТ ЧЕРН К2'!S40)*СПРАВОЧНИК!$J$14)+СПРАВОЧНИК!$E$15*(('ФАКТ ЧЕРН К2'!T40)*СПРАВОЧНИК!$H$15+('ФАКТ ЧЕРН К2'!U40)*СПРАВОЧНИК!$I$15+('ФАКТ ЧЕРН К2'!V40)*СПРАВОЧНИК!$J$15)+СПРАВОЧНИК!$F$9*(('ФАКТ ЧИСТ К2'!B40)*СПРАВОЧНИК!$L$9+('ФАКТ ЧИСТ К2'!C40)*СПРАВОЧНИК!$M$9+('ФАКТ ЧИСТ К2'!D40)*СПРАВОЧНИК!$N$9+('ФАКТ ЧИСТ К2'!E40)*СПРАВОЧНИК!$O$9)+СПРАВОЧНИК!$F$10*(('ФАКТ ЧИСТ К2'!F40)*СПРАВОЧНИК!$L$10+('ФАКТ ЧИСТ К2'!G40)*СПРАВОЧНИК!$M$10+('ФАКТ ЧИСТ К2'!H40)*СПРАВОЧНИК!$N$10)+СПРАВОЧНИК!$F$11*(('ФАКТ ЧИСТ К2'!I40)*СПРАВОЧНИК!$L$11+('ФАКТ ЧИСТ К2'!J40)*СПРАВОЧНИК!$M$11+('ФАКТ ЧИСТ К2'!K40)*СПРАВОЧНИК!$N$11)+СПРАВОЧНИК!$F$12*(('ФАКТ ЧИСТ К2'!L40)*СПРАВОЧНИК!$L$12+('ФАКТ ЧИСТ К2'!M40)*СПРАВОЧНИК!$M$12+('ФАКТ ЧИСТ К2'!N40)*СПРАВОЧНИК!$N$12)+СПРАВОЧНИК!$F$13*(('ФАКТ ЧИСТ К2'!O40)*СПРАВОЧНИК!$L$13+('ФАКТ ЧИСТ К2'!P40)*СПРАВОЧНИК!$M$13+('ФАКТ ЧИСТ К2'!Q40)*СПРАВОЧНИК!$N$13)+СПРАВОЧНИК!$F$14*(('ФАКТ ЧИСТ К2'!R40)*СПРАВОЧНИК!$L$14+('ФАКТ ЧИСТ К2'!S40)*СПРАВОЧНИК!$M$14+('ФАКТ ЧИСТ К2'!T40)*СПРАВОЧНИК!$N$14)+СПРАВОЧНИК!$F$15*(('ФАКТ ЧИСТ К2'!U40)*СПРАВОЧНИК!$L$15+('ФАКТ ЧИСТ К2'!V40)*СПРАВОЧНИК!$M$15+('ФАКТ ЧИСТ К2'!W40)*СПРАВОЧНИК!$N$15)</f>
        <v>0</v>
      </c>
      <c r="AS49" s="18">
        <f t="shared" si="19"/>
        <v>46419</v>
      </c>
      <c r="AT49" s="37">
        <f>'ПЛАН ЧЕРН К2'!B40*СПРАВОЧНИК!$H$9+'ПЛАН ЧЕРН К2'!C40*СПРАВОЧНИК!$I$9+'ПЛАН ЧЕРН К2'!D40*СПРАВОЧНИК!$J$9+'ПЛАН ЧЕРН К2'!E40*СПРАВОЧНИК!$H$10+'ПЛАН ЧЕРН К2'!F40*СПРАВОЧНИК!$I$10+'ПЛАН ЧЕРН К2'!G40*СПРАВОЧНИК!$J$10+'ПЛАН ЧЕРН К2'!H40*СПРАВОЧНИК!$H$11+'ПЛАН ЧЕРН К2'!I40*СПРАВОЧНИК!$I$11+'ПЛАН ЧЕРН К2'!J40*СПРАВОЧНИК!$J$11+'ПЛАН ЧЕРН К2'!K40*СПРАВОЧНИК!$H$12+'ПЛАН ЧЕРН К2'!L40*СПРАВОЧНИК!$I$12+'ПЛАН ЧЕРН К2'!M40*СПРАВОЧНИК!$J$12+'ПЛАН ЧЕРН К2'!N40*СПРАВОЧНИК!$H$13+'ПЛАН ЧЕРН К2'!O40*СПРАВОЧНИК!$I$13+'ПЛАН ЧЕРН К2'!P40*СПРАВОЧНИК!$J$13+'ПЛАН ЧЕРН К2'!Q40*СПРАВОЧНИК!$H$14+'ПЛАН ЧЕРН К2'!R40*СПРАВОЧНИК!$I$14+'ПЛАН ЧЕРН К2'!S40*СПРАВОЧНИК!$J$14+'ПЛАН ЧЕРН К2'!T40*СПРАВОЧНИК!$H$15+'ПЛАН ЧЕРН К2'!U40*СПРАВОЧНИК!$I$15+'ПЛАН ЧЕРН К2'!V40*СПРАВОЧНИК!$J$15</f>
        <v>0</v>
      </c>
      <c r="AU49" s="40">
        <f>('ФАКТ ЧЕРН К2'!B40)*СПРАВОЧНИК!$H$9+('ФАКТ ЧЕРН К2'!C40)*СПРАВОЧНИК!$I$9+('ФАКТ ЧЕРН К2'!D40)*СПРАВОЧНИК!$J$9+('ФАКТ ЧЕРН К2'!E40)*СПРАВОЧНИК!$H$10+('ФАКТ ЧЕРН К2'!F40)*СПРАВОЧНИК!$I$10+('ФАКТ ЧЕРН К2'!G40)*СПРАВОЧНИК!$J$10+('ФАКТ ЧЕРН К2'!H40)*СПРАВОЧНИК!$H$11+('ФАКТ ЧЕРН К2'!I40)*СПРАВОЧНИК!$I$11+('ФАКТ ЧЕРН К2'!J40)*СПРАВОЧНИК!$J$11+('ФАКТ ЧЕРН К2'!K40)*СПРАВОЧНИК!$H$12+('ФАКТ ЧЕРН К2'!L40)*СПРАВОЧНИК!$I$12+('ФАКТ ЧЕРН К2'!M40)*СПРАВОЧНИК!$J$12+('ФАКТ ЧЕРН К2'!N40)*СПРАВОЧНИК!$H$13+('ФАКТ ЧЕРН К2'!O40)*СПРАВОЧНИК!$I$13+('ФАКТ ЧЕРН К2'!P40)*СПРАВОЧНИК!$J$13+('ФАКТ ЧЕРН К2'!Q40)*СПРАВОЧНИК!$H$14+('ФАКТ ЧЕРН К2'!R40)*СПРАВОЧНИК!$I$14+('ФАКТ ЧЕРН К2'!S40)*СПРАВОЧНИК!$J$14+('ФАКТ ЧЕРН К2'!T40)*СПРАВОЧНИК!$H$15+('ФАКТ ЧЕРН К2'!U40)*СПРАВОЧНИК!$I$15+('ФАКТ ЧЕРН К2'!V40)*СПРАВОЧНИК!$J$15</f>
        <v>0</v>
      </c>
      <c r="AY49" s="18">
        <f t="shared" si="20"/>
        <v>46419</v>
      </c>
      <c r="AZ49" s="37">
        <f>'ПЛАН ЧИСТ К2'!B40*СПРАВОЧНИК!$L$9+'ПЛАН ЧИСТ К2'!C40*СПРАВОЧНИК!$M$9+'ПЛАН ЧИСТ К2'!D40*СПРАВОЧНИК!$N$9+'ПЛАН ЧИСТ К2'!E40*СПРАВОЧНИК!$O$9+'ПЛАН ЧИСТ К2'!F40*СПРАВОЧНИК!$L$10+'ПЛАН ЧИСТ К2'!G40*СПРАВОЧНИК!$M$10+'ПЛАН ЧИСТ К2'!H40*СПРАВОЧНИК!$N$10+'ПЛАН ЧИСТ К2'!I40*СПРАВОЧНИК!$L$11+'ПЛАН ЧИСТ К2'!J40*СПРАВОЧНИК!$M$11+'ПЛАН ЧИСТ К2'!K40*СПРАВОЧНИК!$N$11+'ПЛАН ЧИСТ К2'!L40*СПРАВОЧНИК!$L$12+'ПЛАН ЧИСТ К2'!M40*СПРАВОЧНИК!$M$12+'ПЛАН ЧИСТ К2'!N40*СПРАВОЧНИК!$N$12+'ПЛАН ЧИСТ К2'!O40*СПРАВОЧНИК!$L$13+'ПЛАН ЧИСТ К2'!P40*СПРАВОЧНИК!$M$13+'ПЛАН ЧИСТ К2'!Q40*СПРАВОЧНИК!$N$13+'ПЛАН ЧИСТ К2'!R40*СПРАВОЧНИК!$L$14+'ПЛАН ЧИСТ К2'!S40*СПРАВОЧНИК!$M$14+'ПЛАН ЧИСТ К2'!T40*СПРАВОЧНИК!$N$14+'ПЛАН ЧИСТ К2'!U40*СПРАВОЧНИК!$L$15+'ПЛАН ЧИСТ К2'!V40*СПРАВОЧНИК!$M$15+'ПЛАН ЧИСТ К2'!W40*СПРАВОЧНИК!$N$15</f>
        <v>0</v>
      </c>
      <c r="BA49" s="40">
        <f>('ФАКТ ЧИСТ К2'!B40)*СПРАВОЧНИК!$L$9+('ФАКТ ЧИСТ К2'!C40)*СПРАВОЧНИК!$M$9+('ФАКТ ЧИСТ К2'!D40)*СПРАВОЧНИК!$N$9+('ФАКТ ЧИСТ К2'!E40)*СПРАВОЧНИК!$O$9+('ФАКТ ЧИСТ К2'!F40)*СПРАВОЧНИК!$L$10+('ФАКТ ЧИСТ К2'!G40)*СПРАВОЧНИК!$M$10+('ФАКТ ЧИСТ К2'!H40)*СПРАВОЧНИК!$N$10+('ФАКТ ЧИСТ К2'!I40)*СПРАВОЧНИК!$L$11+('ФАКТ ЧИСТ К2'!J40)*СПРАВОЧНИК!$M$11+('ФАКТ ЧИСТ К2'!K40)*СПРАВОЧНИК!$N$11+('ФАКТ ЧИСТ К2'!L40)*СПРАВОЧНИК!$L$12+('ФАКТ ЧИСТ К2'!M40)*СПРАВОЧНИК!$M$12+('ФАКТ ЧИСТ К2'!N40)*СПРАВОЧНИК!$N$12+('ФАКТ ЧИСТ К2'!O40)*СПРАВОЧНИК!$L$13+('ФАКТ ЧИСТ К2'!P40)*СПРАВОЧНИК!$M$13+('ФАКТ ЧИСТ К2'!Q40)*СПРАВОЧНИК!$N$13+('ФАКТ ЧИСТ К2'!R40)*СПРАВОЧНИК!$L$14+('ФАКТ ЧИСТ К2'!S40)*СПРАВОЧНИК!$M$14+('ФАКТ ЧИСТ К2'!T40)*СПРАВОЧНИК!$N$14+('ФАКТ ЧИСТ К2'!U40)*СПРАВОЧНИК!$L$15+('ФАКТ ЧИСТ К2'!V40)*СПРАВОЧНИК!$M$15+('ФАКТ ЧИСТ К2'!W40)*СПРАВОЧНИК!$N$15</f>
        <v>0</v>
      </c>
      <c r="BE49" s="18">
        <f t="shared" si="21"/>
        <v>46419</v>
      </c>
      <c r="BF49" s="37">
        <f>СПРАВОЧНИК!$E$9*('ПЛАН ЧЕРН К3'!B40*СПРАВОЧНИК!$H$9+'ПЛАН ЧЕРН К3'!C40*СПРАВОЧНИК!$I$9+'ПЛАН ЧЕРН К3'!D40*СПРАВОЧНИК!$J$9)+СПРАВОЧНИК!$E$10*('ПЛАН ЧЕРН К3'!E40*СПРАВОЧНИК!$H$10+'ПЛАН ЧЕРН К3'!F40*СПРАВОЧНИК!$I$10+'ПЛАН ЧЕРН К3'!G40*СПРАВОЧНИК!$J$10)+СПРАВОЧНИК!$E$11*('ПЛАН ЧЕРН К3'!H40*СПРАВОЧНИК!$H$11+'ПЛАН ЧЕРН К3'!I40*СПРАВОЧНИК!$I$11+'ПЛАН ЧЕРН К3'!J40*СПРАВОЧНИК!$J$11)+СПРАВОЧНИК!$E$12*('ПЛАН ЧЕРН К3'!K40*СПРАВОЧНИК!$H$12+'ПЛАН ЧЕРН К3'!L40*СПРАВОЧНИК!$I$12+'ПЛАН ЧЕРН К3'!M40*СПРАВОЧНИК!$J$12)+СПРАВОЧНИК!$E$13*('ПЛАН ЧЕРН К3'!N40*СПРАВОЧНИК!$H$13+'ПЛАН ЧЕРН К3'!O40*СПРАВОЧНИК!$I$13+'ПЛАН ЧЕРН К3'!P40*СПРАВОЧНИК!$J$13)+СПРАВОЧНИК!$E$14*('ПЛАН ЧЕРН К3'!Q40*СПРАВОЧНИК!$H$14+'ПЛАН ЧЕРН К3'!R40*СПРАВОЧНИК!$I$14+'ПЛАН ЧЕРН К3'!S40*СПРАВОЧНИК!$J$14)+СПРАВОЧНИК!$E$15*('ПЛАН ЧЕРН К3'!T40*СПРАВОЧНИК!$H$15+'ПЛАН ЧЕРН К3'!U40*СПРАВОЧНИК!$I$15+'ПЛАН ЧЕРН К3'!V40*СПРАВОЧНИК!$J$15)+СПРАВОЧНИК!$F$9*('ПЛАН ЧИСТ К3'!B40*СПРАВОЧНИК!$L$9+'ПЛАН ЧИСТ К3'!C40*СПРАВОЧНИК!$M$9+'ПЛАН ЧИСТ К3'!D40*СПРАВОЧНИК!$N$9+'ПЛАН ЧИСТ К3'!E40*СПРАВОЧНИК!$O$9)+СПРАВОЧНИК!$F$10*('ПЛАН ЧИСТ К3'!F40*СПРАВОЧНИК!$L$10+'ПЛАН ЧИСТ К3'!G40*СПРАВОЧНИК!$M$10+'ПЛАН ЧИСТ К3'!H40*СПРАВОЧНИК!$N$10)+СПРАВОЧНИК!$F$11*('ПЛАН ЧИСТ К3'!I40*СПРАВОЧНИК!$L$11+'ПЛАН ЧИСТ К3'!J40*СПРАВОЧНИК!$M$11+'ПЛАН ЧИСТ К3'!K40*СПРАВОЧНИК!$N$11)+СПРАВОЧНИК!$F$12*('ПЛАН ЧИСТ К3'!L40*СПРАВОЧНИК!$L$12+'ПЛАН ЧИСТ К3'!M40*СПРАВОЧНИК!$M$12+'ПЛАН ЧИСТ К3'!N40*СПРАВОЧНИК!$N$12)+СПРАВОЧНИК!$F$13*('ПЛАН ЧИСТ К3'!O40*СПРАВОЧНИК!$L$13+'ПЛАН ЧИСТ К3'!P40*СПРАВОЧНИК!$M$13+'ПЛАН ЧИСТ К3'!Q40*СПРАВОЧНИК!$N$13)+СПРАВОЧНИК!$F$14*('ПЛАН ЧИСТ К3'!R40*СПРАВОЧНИК!$L$14+'ПЛАН ЧИСТ К3'!S40*СПРАВОЧНИК!$M$14+'ПЛАН ЧИСТ К3'!T40*СПРАВОЧНИК!$N$14)+СПРАВОЧНИК!$F$15*('ПЛАН ЧИСТ К3'!U40*СПРАВОЧНИК!$L$15+'ПЛАН ЧИСТ К3'!V40*СПРАВОЧНИК!$M$15+'ПЛАН ЧИСТ К3'!W40*СПРАВОЧНИК!$N$15)</f>
        <v>0</v>
      </c>
      <c r="BG49" s="40">
        <f>СПРАВОЧНИК!$E$9*(('ФАКТ ЧЕРН К3'!B40)*СПРАВОЧНИК!$H$9+('ФАКТ ЧЕРН К3'!C40)*СПРАВОЧНИК!$I$9+('ФАКТ ЧЕРН К3'!D40)*СПРАВОЧНИК!$J$9)+СПРАВОЧНИК!$E$10*(('ФАКТ ЧЕРН К3'!E40)*СПРАВОЧНИК!$H$10+('ФАКТ ЧЕРН К3'!F40)*СПРАВОЧНИК!$I$10+('ФАКТ ЧЕРН К3'!G40)*СПРАВОЧНИК!$J$10)+СПРАВОЧНИК!$E$11*(('ФАКТ ЧЕРН К3'!H40)*СПРАВОЧНИК!$H$11+('ФАКТ ЧЕРН К3'!I40)*СПРАВОЧНИК!$I$11+('ФАКТ ЧЕРН К3'!J40)*СПРАВОЧНИК!$J$11)+СПРАВОЧНИК!$E$12*(('ФАКТ ЧЕРН К3'!K40)*СПРАВОЧНИК!$H$12+('ФАКТ ЧЕРН К3'!L40)*СПРАВОЧНИК!$I$12+('ФАКТ ЧЕРН К3'!M40)*СПРАВОЧНИК!$J$12)+СПРАВОЧНИК!$E$13*(('ФАКТ ЧЕРН К3'!N40)*СПРАВОЧНИК!$H$13+('ФАКТ ЧЕРН К3'!O40)*СПРАВОЧНИК!$I$13+('ФАКТ ЧЕРН К3'!P40)*СПРАВОЧНИК!$J$13)+СПРАВОЧНИК!$E$14*(('ФАКТ ЧЕРН К3'!Q40)*СПРАВОЧНИК!$H$14+('ФАКТ ЧЕРН К3'!R40)*СПРАВОЧНИК!$I$14+('ФАКТ ЧЕРН К3'!S40)*СПРАВОЧНИК!$J$14)+СПРАВОЧНИК!$E$15*(('ФАКТ ЧЕРН К3'!T40)*СПРАВОЧНИК!$H$15+('ФАКТ ЧЕРН К3'!U40)*СПРАВОЧНИК!$I$15+('ФАКТ ЧЕРН К3'!V40)*СПРАВОЧНИК!$J$15)+СПРАВОЧНИК!$F$9*(('ФАКТ ЧИСТ К3'!B40)*СПРАВОЧНИК!$L$9+('ФАКТ ЧИСТ К3'!C40)*СПРАВОЧНИК!$M$9+('ФАКТ ЧИСТ К3'!D40)*СПРАВОЧНИК!$N$9+('ФАКТ ЧИСТ К3'!E40)*СПРАВОЧНИК!$O$9)+СПРАВОЧНИК!$F$10*(('ФАКТ ЧИСТ К3'!F40)*СПРАВОЧНИК!$L$10+('ФАКТ ЧИСТ К3'!G40)*СПРАВОЧНИК!$M$10+('ФАКТ ЧИСТ К3'!H40)*СПРАВОЧНИК!$N$10)+СПРАВОЧНИК!$F$11*(('ФАКТ ЧИСТ К3'!I40)*СПРАВОЧНИК!$L$11+('ФАКТ ЧИСТ К3'!J40)*СПРАВОЧНИК!$M$11+('ФАКТ ЧИСТ К3'!K40)*СПРАВОЧНИК!$N$11)+СПРАВОЧНИК!$F$12*(('ФАКТ ЧИСТ К3'!L40)*СПРАВОЧНИК!$L$12+('ФАКТ ЧИСТ К3'!M40)*СПРАВОЧНИК!$M$12+('ФАКТ ЧИСТ К3'!N40)*СПРАВОЧНИК!$N$12)+СПРАВОЧНИК!$F$13*(('ФАКТ ЧИСТ К3'!O40)*СПРАВОЧНИК!$L$13+('ФАКТ ЧИСТ К3'!P40)*СПРАВОЧНИК!$M$13+('ФАКТ ЧИСТ К3'!Q40)*СПРАВОЧНИК!$N$13)+СПРАВОЧНИК!$F$14*(('ФАКТ ЧИСТ К3'!R40)*СПРАВОЧНИК!$L$14+('ФАКТ ЧИСТ К3'!S40)*СПРАВОЧНИК!$M$14+('ФАКТ ЧИСТ К3'!T40)*СПРАВОЧНИК!$N$14)+СПРАВОЧНИК!$F$15*(('ФАКТ ЧИСТ К3'!U40)*СПРАВОЧНИК!$L$15+('ФАКТ ЧИСТ К3'!V40)*СПРАВОЧНИК!$M$15+('ФАКТ ЧИСТ К3'!W40)*СПРАВОЧНИК!$N$15)</f>
        <v>0</v>
      </c>
      <c r="BK49" s="18">
        <f t="shared" si="22"/>
        <v>46419</v>
      </c>
      <c r="BL49" s="37">
        <f>'ПЛАН ЧЕРН К3'!B40*СПРАВОЧНИК!$H$9+'ПЛАН ЧЕРН К3'!C40*СПРАВОЧНИК!$I$9+'ПЛАН ЧЕРН К3'!D40*СПРАВОЧНИК!$J$9+'ПЛАН ЧЕРН К3'!E40*СПРАВОЧНИК!$H$10+'ПЛАН ЧЕРН К3'!F40*СПРАВОЧНИК!$I$10+'ПЛАН ЧЕРН К3'!G40*СПРАВОЧНИК!$J$10+'ПЛАН ЧЕРН К3'!H40*СПРАВОЧНИК!$H$11+'ПЛАН ЧЕРН К3'!I40*СПРАВОЧНИК!$I$11+'ПЛАН ЧЕРН К3'!J40*СПРАВОЧНИК!$J$11+'ПЛАН ЧЕРН К3'!K40*СПРАВОЧНИК!$H$12+'ПЛАН ЧЕРН К3'!L40*СПРАВОЧНИК!$I$12+'ПЛАН ЧЕРН К3'!M40*СПРАВОЧНИК!$J$12+'ПЛАН ЧЕРН К3'!N40*СПРАВОЧНИК!$H$13+'ПЛАН ЧЕРН К3'!O40*СПРАВОЧНИК!$I$13+'ПЛАН ЧЕРН К3'!P40*СПРАВОЧНИК!$J$13+'ПЛАН ЧЕРН К3'!Q40*СПРАВОЧНИК!$H$14+'ПЛАН ЧЕРН К3'!R40*СПРАВОЧНИК!$I$14+'ПЛАН ЧЕРН К3'!S40*СПРАВОЧНИК!$J$14+'ПЛАН ЧЕРН К3'!T40*СПРАВОЧНИК!$H$15+'ПЛАН ЧЕРН К3'!U40*СПРАВОЧНИК!$I$15+'ПЛАН ЧЕРН К3'!V40*СПРАВОЧНИК!$J$15</f>
        <v>0</v>
      </c>
      <c r="BM49" s="40">
        <f>('ФАКТ ЧЕРН К3'!B40)*СПРАВОЧНИК!$H$9+('ФАКТ ЧЕРН К3'!C40)*СПРАВОЧНИК!$I$9+('ФАКТ ЧЕРН К3'!D40)*СПРАВОЧНИК!$J$9+('ФАКТ ЧЕРН К3'!E40)*СПРАВОЧНИК!$H$10+('ФАКТ ЧЕРН К3'!F40)*СПРАВОЧНИК!$I$10+('ФАКТ ЧЕРН К3'!G40)*СПРАВОЧНИК!$J$10+('ФАКТ ЧЕРН К3'!H40)*СПРАВОЧНИК!$H$11+('ФАКТ ЧЕРН К3'!I40)*СПРАВОЧНИК!$I$11+('ФАКТ ЧЕРН К3'!J40)*СПРАВОЧНИК!$J$11+('ФАКТ ЧЕРН К3'!K40)*СПРАВОЧНИК!$H$12+('ФАКТ ЧЕРН К3'!L40)*СПРАВОЧНИК!$I$12+('ФАКТ ЧЕРН К3'!M40)*СПРАВОЧНИК!$J$12+('ФАКТ ЧЕРН К3'!N40)*СПРАВОЧНИК!$H$13+('ФАКТ ЧЕРН К3'!O40)*СПРАВОЧНИК!$I$13+('ФАКТ ЧЕРН К3'!P40)*СПРАВОЧНИК!$J$13+('ФАКТ ЧЕРН К3'!Q40)*СПРАВОЧНИК!$H$14+('ФАКТ ЧЕРН К3'!R40)*СПРАВОЧНИК!$I$14+('ФАКТ ЧЕРН К3'!S40)*СПРАВОЧНИК!$J$14+('ФАКТ ЧЕРН К3'!T40)*СПРАВОЧНИК!$H$15+('ФАКТ ЧЕРН К3'!U40)*СПРАВОЧНИК!$I$15+('ФАКТ ЧЕРН К3'!V40)*СПРАВОЧНИК!$J$15</f>
        <v>0</v>
      </c>
      <c r="BQ49" s="18">
        <f t="shared" si="23"/>
        <v>46419</v>
      </c>
      <c r="BR49" s="37">
        <f>'ПЛАН ЧИСТ К3'!B40*СПРАВОЧНИК!$L$9+'ПЛАН ЧИСТ К3'!C40*СПРАВОЧНИК!$M$9+'ПЛАН ЧИСТ К3'!D40*СПРАВОЧНИК!$N$9+'ПЛАН ЧИСТ К3'!E40*СПРАВОЧНИК!$O$9+'ПЛАН ЧИСТ К3'!F40*СПРАВОЧНИК!$L$10+'ПЛАН ЧИСТ К3'!G40*СПРАВОЧНИК!$M$10+'ПЛАН ЧИСТ К3'!H40*СПРАВОЧНИК!$N$10+'ПЛАН ЧИСТ К3'!I40*СПРАВОЧНИК!$L$11+'ПЛАН ЧИСТ К3'!J40*СПРАВОЧНИК!$M$11+'ПЛАН ЧИСТ К3'!K40*СПРАВОЧНИК!$N$11+'ПЛАН ЧИСТ К3'!L40*СПРАВОЧНИК!$L$12+'ПЛАН ЧИСТ К3'!M40*СПРАВОЧНИК!$M$12+'ПЛАН ЧИСТ К3'!N40*СПРАВОЧНИК!$N$12+'ПЛАН ЧИСТ К3'!O40*СПРАВОЧНИК!$L$13+'ПЛАН ЧИСТ К3'!P40*СПРАВОЧНИК!$M$13+'ПЛАН ЧИСТ К3'!Q40*СПРАВОЧНИК!$N$13+'ПЛАН ЧИСТ К3'!R40*СПРАВОЧНИК!$L$14+'ПЛАН ЧИСТ К3'!S40*СПРАВОЧНИК!$M$14+'ПЛАН ЧИСТ К3'!T40*СПРАВОЧНИК!$N$14+'ПЛАН ЧИСТ К3'!U40*СПРАВОЧНИК!$L$15+'ПЛАН ЧИСТ К3'!V40*СПРАВОЧНИК!$M$15+'ПЛАН ЧИСТ К3'!W40*СПРАВОЧНИК!$N$15</f>
        <v>0</v>
      </c>
      <c r="BS49" s="40">
        <f>('ФАКТ ЧИСТ К3'!B40)*СПРАВОЧНИК!$L$9+('ФАКТ ЧИСТ К3'!C40)*СПРАВОЧНИК!$M$9+('ФАКТ ЧИСТ К3'!D40)*СПРАВОЧНИК!$N$9+('ФАКТ ЧИСТ К3'!E40)*СПРАВОЧНИК!$O$9+('ФАКТ ЧИСТ К3'!F40)*СПРАВОЧНИК!$L$10+('ФАКТ ЧИСТ К3'!G40)*СПРАВОЧНИК!$M$10+('ФАКТ ЧИСТ К3'!H40)*СПРАВОЧНИК!$N$10+('ФАКТ ЧИСТ К3'!I40)*СПРАВОЧНИК!$L$11+('ФАКТ ЧИСТ К3'!J40)*СПРАВОЧНИК!$M$11+('ФАКТ ЧИСТ К3'!K40)*СПРАВОЧНИК!$N$11+('ФАКТ ЧИСТ К3'!L40)*СПРАВОЧНИК!$L$12+('ФАКТ ЧИСТ К3'!M40)*СПРАВОЧНИК!$M$12+('ФАКТ ЧИСТ К3'!N40)*СПРАВОЧНИК!$N$12+('ФАКТ ЧИСТ К3'!O40)*СПРАВОЧНИК!$L$13+('ФАКТ ЧИСТ К3'!P40)*СПРАВОЧНИК!$M$13+('ФАКТ ЧИСТ К3'!Q40)*СПРАВОЧНИК!$N$13+('ФАКТ ЧИСТ К3'!R40)*СПРАВОЧНИК!$L$14+('ФАКТ ЧИСТ К3'!S40)*СПРАВОЧНИК!$M$14+('ФАКТ ЧИСТ К3'!T40)*СПРАВОЧНИК!$N$14+('ФАКТ ЧИСТ К3'!U40)*СПРАВОЧНИК!$L$15+('ФАКТ ЧИСТ К3'!V40)*СПРАВОЧНИК!$M$15+('ФАКТ ЧИСТ К3'!W40)*СПРАВОЧНИК!$N$15</f>
        <v>0</v>
      </c>
      <c r="BW49" s="18">
        <f t="shared" si="24"/>
        <v>46419</v>
      </c>
      <c r="BX49" s="37">
        <f t="shared" si="0"/>
        <v>0</v>
      </c>
      <c r="BY49" s="40">
        <f t="shared" si="1"/>
        <v>0</v>
      </c>
      <c r="CC49" s="18">
        <f t="shared" si="25"/>
        <v>46419</v>
      </c>
      <c r="CD49" s="37">
        <f t="shared" si="2"/>
        <v>0</v>
      </c>
      <c r="CE49" s="40">
        <f t="shared" si="3"/>
        <v>0</v>
      </c>
      <c r="CI49" s="18">
        <f t="shared" si="26"/>
        <v>46419</v>
      </c>
      <c r="CJ49" s="37">
        <f t="shared" si="4"/>
        <v>0</v>
      </c>
      <c r="CK49" s="40">
        <f t="shared" si="5"/>
        <v>0</v>
      </c>
      <c r="CO49" s="18">
        <f t="shared" si="27"/>
        <v>46419</v>
      </c>
      <c r="CP49" s="37">
        <f t="shared" si="6"/>
        <v>0</v>
      </c>
      <c r="CQ49" s="40">
        <f t="shared" si="7"/>
        <v>0</v>
      </c>
      <c r="CU49" s="18">
        <f t="shared" si="28"/>
        <v>46419</v>
      </c>
      <c r="CV49" s="37">
        <f t="shared" si="8"/>
        <v>0</v>
      </c>
      <c r="CW49" s="40">
        <f t="shared" si="9"/>
        <v>0</v>
      </c>
      <c r="DA49" s="18">
        <f t="shared" si="29"/>
        <v>46419</v>
      </c>
      <c r="DB49" s="37">
        <f t="shared" si="10"/>
        <v>0</v>
      </c>
      <c r="DC49" s="40">
        <f t="shared" si="11"/>
        <v>0</v>
      </c>
    </row>
    <row r="50" spans="3:107" x14ac:dyDescent="0.25">
      <c r="C50" s="18">
        <f t="shared" si="12"/>
        <v>46426</v>
      </c>
      <c r="D50" s="37">
        <f>СПРАВОЧНИК!$E$3*('ПЛАН ЧЕРН ПОДЗЕМ'!B41*СПРАВОЧНИК!$H$3+'ПЛАН ЧЕРН ПОДЗЕМ'!C41*СПРАВОЧНИК!$I$3+'ПЛАН ЧЕРН ПОДЗЕМ'!D41*СПРАВОЧНИК!$J$3)+СПРАВОЧНИК!$E$4*('ПЛАН ЧЕРН ПОДЗЕМ'!E41*СПРАВОЧНИК!$H$4+'ПЛАН ЧЕРН ПОДЗЕМ'!F41*СПРАВОЧНИК!$I$4+'ПЛАН ЧЕРН ПОДЗЕМ'!G41*СПРАВОЧНИК!$J$4)+СПРАВОЧНИК!$E$5*('ПЛАН ЧЕРН ПОДЗЕМ'!H41*СПРАВОЧНИК!$H$5+'ПЛАН ЧЕРН ПОДЗЕМ'!I41*СПРАВОЧНИК!$I$5+'ПЛАН ЧЕРН ПОДЗЕМ'!J41*СПРАВОЧНИК!$J$5)+СПРАВОЧНИК!$E$6*('ПЛАН ЧЕРН ПОДЗЕМ'!K41*СПРАВОЧНИК!$H$6+'ПЛАН ЧЕРН ПОДЗЕМ'!L41*СПРАВОЧНИК!$I$6+'ПЛАН ЧЕРН ПОДЗЕМ'!M41*СПРАВОЧНИК!$J$6)+СПРАВОЧНИК!$E$7*('ПЛАН ЧЕРН ПОДЗЕМ'!N41*СПРАВОЧНИК!$H$7+'ПЛАН ЧЕРН ПОДЗЕМ'!O41*СПРАВОЧНИК!$I$7+'ПЛАН ЧЕРН ПОДЗЕМ'!P41*СПРАВОЧНИК!$J$7)+СПРАВОЧНИК!$E$8*('ПЛАН ЧЕРН ПОДЗЕМ'!Q41*СПРАВОЧНИК!$H$8+'ПЛАН ЧЕРН ПОДЗЕМ'!R41*СПРАВОЧНИК!$I$8+'ПЛАН ЧЕРН ПОДЗЕМ'!S41*СПРАВОЧНИК!$J$8)+СПРАВОЧНИК!$F$3*('ПЛАН ЧИСТ ПОДЗЕМ'!B41*СПРАВОЧНИК!$L$3+'ПЛАН ЧИСТ ПОДЗЕМ'!C41*СПРАВОЧНИК!$M$3+'ПЛАН ЧИСТ ПОДЗЕМ'!D41*СПРАВОЧНИК!$N$3)+СПРАВОЧНИК!$F$4*('ПЛАН ЧИСТ ПОДЗЕМ'!E41*СПРАВОЧНИК!$L$4+'ПЛАН ЧИСТ ПОДЗЕМ'!F41*СПРАВОЧНИК!$M$4+'ПЛАН ЧИСТ ПОДЗЕМ'!G41*СПРАВОЧНИК!$N$4)+СПРАВОЧНИК!$F$5*('ПЛАН ЧИСТ ПОДЗЕМ'!H41*СПРАВОЧНИК!$L$5+'ПЛАН ЧИСТ ПОДЗЕМ'!I41*СПРАВОЧНИК!$M$5+'ПЛАН ЧИСТ ПОДЗЕМ'!J41*СПРАВОЧНИК!$N$5)+СПРАВОЧНИК!$F$6*('ПЛАН ЧИСТ ПОДЗЕМ'!K41*СПРАВОЧНИК!$L$6+'ПЛАН ЧИСТ ПОДЗЕМ'!L41*СПРАВОЧНИК!$M$6+'ПЛАН ЧИСТ ПОДЗЕМ'!M41*СПРАВОЧНИК!$N$6)+СПРАВОЧНИК!$F$7*('ПЛАН ЧИСТ ПОДЗЕМ'!N41*СПРАВОЧНИК!$L$7+'ПЛАН ЧИСТ ПОДЗЕМ'!O41*СПРАВОЧНИК!$M$7+'ПЛАН ЧИСТ ПОДЗЕМ'!P41*СПРАВОЧНИК!$N$7)+СПРАВОЧНИК!$F$8*('ПЛАН ЧИСТ ПОДЗЕМ'!Q41*СПРАВОЧНИК!$L$8+'ПЛАН ЧИСТ ПОДЗЕМ'!R41*СПРАВОЧНИК!$M$8+'ПЛАН ЧИСТ ПОДЗЕМ'!S41*СПРАВОЧНИК!$N$8)</f>
        <v>0</v>
      </c>
      <c r="E50" s="40">
        <f>СПРАВОЧНИК!$E$3*(('ФАКТ ЧЕРН ПОДЗЕМ'!B41)*СПРАВОЧНИК!$H$3+('ФАКТ ЧЕРН ПОДЗЕМ'!C41)*СПРАВОЧНИК!$I$3+('ФАКТ ЧЕРН ПОДЗЕМ'!D41)*СПРАВОЧНИК!$J$3)+СПРАВОЧНИК!$E$4*(('ФАКТ ЧЕРН ПОДЗЕМ'!E41)*СПРАВОЧНИК!$H$4+('ФАКТ ЧЕРН ПОДЗЕМ'!F41)*СПРАВОЧНИК!$I$4+('ФАКТ ЧЕРН ПОДЗЕМ'!G41)*СПРАВОЧНИК!$J$4)+СПРАВОЧНИК!$E$5*(('ФАКТ ЧЕРН ПОДЗЕМ'!H41)*СПРАВОЧНИК!$H$5+('ФАКТ ЧЕРН ПОДЗЕМ'!I41)*СПРАВОЧНИК!$I$5+('ФАКТ ЧЕРН ПОДЗЕМ'!J41)*СПРАВОЧНИК!$J$5)+СПРАВОЧНИК!$E$6*(('ФАКТ ЧЕРН ПОДЗЕМ'!K41)*СПРАВОЧНИК!$H$6+('ФАКТ ЧЕРН ПОДЗЕМ'!L41)*СПРАВОЧНИК!$I$6+('ФАКТ ЧЕРН ПОДЗЕМ'!M41)*СПРАВОЧНИК!$J$6)+СПРАВОЧНИК!$E$7*(('ФАКТ ЧЕРН ПОДЗЕМ'!N41)*СПРАВОЧНИК!$H$7+('ФАКТ ЧЕРН ПОДЗЕМ'!O41)*СПРАВОЧНИК!$I$7+('ФАКТ ЧЕРН ПОДЗЕМ'!P41)*СПРАВОЧНИК!$J$7)+СПРАВОЧНИК!$E$8*(('ФАКТ ЧЕРН ПОДЗЕМ'!Q41)*СПРАВОЧНИК!$H$8+('ФАКТ ЧЕРН ПОДЗЕМ'!R41)*СПРАВОЧНИК!$I$8+('ФАКТ ЧЕРН ПОДЗЕМ'!S41)*СПРАВОЧНИК!$J$8)+СПРАВОЧНИК!$F$3*(('ФАКТ ЧИСТ ПОДЗЕМ'!B41)*СПРАВОЧНИК!$L$3+('ФАКТ ЧИСТ ПОДЗЕМ'!C41)*СПРАВОЧНИК!$M$3+('ФАКТ ЧИСТ ПОДЗЕМ'!D41)*СПРАВОЧНИК!$N$3)+СПРАВОЧНИК!$F$4*(('ФАКТ ЧИСТ ПОДЗЕМ'!E41)*СПРАВОЧНИК!$L$4+('ФАКТ ЧИСТ ПОДЗЕМ'!F41)*СПРАВОЧНИК!$M$4+('ФАКТ ЧИСТ ПОДЗЕМ'!G41)*СПРАВОЧНИК!$N$4)+СПРАВОЧНИК!$F$5*(('ФАКТ ЧИСТ ПОДЗЕМ'!H41)*СПРАВОЧНИК!$L$5+('ФАКТ ЧИСТ ПОДЗЕМ'!I41)*СПРАВОЧНИК!$M$5+('ФАКТ ЧИСТ ПОДЗЕМ'!J41)*СПРАВОЧНИК!$N$5)+СПРАВОЧНИК!$F$6*(('ФАКТ ЧИСТ ПОДЗЕМ'!K41)*СПРАВОЧНИК!$L$6+('ФАКТ ЧИСТ ПОДЗЕМ'!L41)*СПРАВОЧНИК!$M$6+('ФАКТ ЧИСТ ПОДЗЕМ'!M41)*СПРАВОЧНИК!$N$6)+СПРАВОЧНИК!$F$7*(('ФАКТ ЧИСТ ПОДЗЕМ'!N41)*СПРАВОЧНИК!$L$7+('ФАКТ ЧИСТ ПОДЗЕМ'!O41)*СПРАВОЧНИК!$M$7+('ФАКТ ЧИСТ ПОДЗЕМ'!P41)*СПРАВОЧНИК!$N$7)+СПРАВОЧНИК!$F$8*(('ФАКТ ЧИСТ ПОДЗЕМ'!Q41)*СПРАВОЧНИК!$L$8+('ФАКТ ЧИСТ ПОДЗЕМ'!R41)*СПРАВОЧНИК!$M$8+('ФАКТ ЧИСТ ПОДЗЕМ'!S41)*СПРАВОЧНИК!$N$8)</f>
        <v>0</v>
      </c>
      <c r="I50" s="18">
        <f t="shared" si="13"/>
        <v>46426</v>
      </c>
      <c r="J50" s="37">
        <f>'ПЛАН ЧЕРН ПОДЗЕМ'!B41*СПРАВОЧНИК!$H$3+'ПЛАН ЧЕРН ПОДЗЕМ'!C41*СПРАВОЧНИК!$I$3+'ПЛАН ЧЕРН ПОДЗЕМ'!D41*СПРАВОЧНИК!$J$3+'ПЛАН ЧЕРН ПОДЗЕМ'!E41*СПРАВОЧНИК!$H$4+'ПЛАН ЧЕРН ПОДЗЕМ'!F41*СПРАВОЧНИК!$I$4+'ПЛАН ЧЕРН ПОДЗЕМ'!G41*СПРАВОЧНИК!$J$4+'ПЛАН ЧЕРН ПОДЗЕМ'!H41*СПРАВОЧНИК!$H$5+'ПЛАН ЧЕРН ПОДЗЕМ'!I41*СПРАВОЧНИК!$I$5+'ПЛАН ЧЕРН ПОДЗЕМ'!J41*СПРАВОЧНИК!$J$5+'ПЛАН ЧЕРН ПОДЗЕМ'!K41*СПРАВОЧНИК!$H$6+'ПЛАН ЧЕРН ПОДЗЕМ'!L41*СПРАВОЧНИК!$I$6+'ПЛАН ЧЕРН ПОДЗЕМ'!M41*СПРАВОЧНИК!$J$6+'ПЛАН ЧЕРН ПОДЗЕМ'!N41*СПРАВОЧНИК!$H$7+'ПЛАН ЧЕРН ПОДЗЕМ'!O41*СПРАВОЧНИК!$I$7+'ПЛАН ЧЕРН ПОДЗЕМ'!P41*СПРАВОЧНИК!$J$7+'ПЛАН ЧЕРН ПОДЗЕМ'!Q41*СПРАВОЧНИК!$H$8+'ПЛАН ЧЕРН ПОДЗЕМ'!R41*СПРАВОЧНИК!$I$8+'ПЛАН ЧЕРН ПОДЗЕМ'!S41*СПРАВОЧНИК!$J$8</f>
        <v>0</v>
      </c>
      <c r="K50" s="40">
        <f>('ФАКТ ЧЕРН ПОДЗЕМ'!B41)*СПРАВОЧНИК!$H$3+('ФАКТ ЧЕРН ПОДЗЕМ'!C41)*СПРАВОЧНИК!$I$3+('ФАКТ ЧЕРН ПОДЗЕМ'!D41)*СПРАВОЧНИК!$J$3+('ФАКТ ЧЕРН ПОДЗЕМ'!E41)*СПРАВОЧНИК!$H$4+('ФАКТ ЧЕРН ПОДЗЕМ'!F41)*СПРАВОЧНИК!$I$4+('ФАКТ ЧЕРН ПОДЗЕМ'!G41)*СПРАВОЧНИК!$J$4+('ФАКТ ЧЕРН ПОДЗЕМ'!H41)*СПРАВОЧНИК!$H$5+('ФАКТ ЧЕРН ПОДЗЕМ'!I41)*СПРАВОЧНИК!$I$5+('ФАКТ ЧЕРН ПОДЗЕМ'!J41)*СПРАВОЧНИК!$J$5+('ФАКТ ЧЕРН ПОДЗЕМ'!K41)*СПРАВОЧНИК!$H$6+('ФАКТ ЧЕРН ПОДЗЕМ'!L41)*СПРАВОЧНИК!$I$6+('ФАКТ ЧЕРН ПОДЗЕМ'!M41)*СПРАВОЧНИК!$J$6+('ФАКТ ЧЕРН ПОДЗЕМ'!N41)*СПРАВОЧНИК!$H$7+('ФАКТ ЧЕРН ПОДЗЕМ'!O41)*СПРАВОЧНИК!$I$7+('ФАКТ ЧЕРН ПОДЗЕМ'!P41)*СПРАВОЧНИК!$J$7+('ФАКТ ЧЕРН ПОДЗЕМ'!Q41)*СПРАВОЧНИК!$H$8+('ФАКТ ЧЕРН ПОДЗЕМ'!R41)*СПРАВОЧНИК!$I$8+('ФАКТ ЧЕРН ПОДЗЕМ'!S41)*СПРАВОЧНИК!$J$8</f>
        <v>0</v>
      </c>
      <c r="O50" s="18">
        <f t="shared" si="14"/>
        <v>46426</v>
      </c>
      <c r="P50" s="37">
        <f>'ПЛАН ЧИСТ ПОДЗЕМ'!B41*СПРАВОЧНИК!$L$3+'ПЛАН ЧИСТ ПОДЗЕМ'!C41*СПРАВОЧНИК!$M$3+'ПЛАН ЧИСТ ПОДЗЕМ'!D41*СПРАВОЧНИК!$N$3+'ПЛАН ЧИСТ ПОДЗЕМ'!E41*СПРАВОЧНИК!$L$4+'ПЛАН ЧИСТ ПОДЗЕМ'!F41*СПРАВОЧНИК!$M$4+'ПЛАН ЧИСТ ПОДЗЕМ'!G41*СПРАВОЧНИК!$N$4+'ПЛАН ЧИСТ ПОДЗЕМ'!H41*СПРАВОЧНИК!$L$5+'ПЛАН ЧИСТ ПОДЗЕМ'!I41*СПРАВОЧНИК!$M$5+'ПЛАН ЧИСТ ПОДЗЕМ'!J41*СПРАВОЧНИК!$N$5+'ПЛАН ЧИСТ ПОДЗЕМ'!K41*СПРАВОЧНИК!$L$6+'ПЛАН ЧИСТ ПОДЗЕМ'!L41*СПРАВОЧНИК!$M$6+'ПЛАН ЧИСТ ПОДЗЕМ'!M41*СПРАВОЧНИК!$N$6+'ПЛАН ЧИСТ ПОДЗЕМ'!N41*СПРАВОЧНИК!$L$7+'ПЛАН ЧИСТ ПОДЗЕМ'!O41*СПРАВОЧНИК!$M$7+'ПЛАН ЧИСТ ПОДЗЕМ'!P41*СПРАВОЧНИК!$N$7+'ПЛАН ЧИСТ ПОДЗЕМ'!Q41*СПРАВОЧНИК!$L$8+'ПЛАН ЧИСТ ПОДЗЕМ'!R41*СПРАВОЧНИК!$M$8+'ПЛАН ЧИСТ ПОДЗЕМ'!S41*СПРАВОЧНИК!$N$8</f>
        <v>0</v>
      </c>
      <c r="Q50" s="40">
        <f>('ФАКТ ЧИСТ ПОДЗЕМ'!B41)*СПРАВОЧНИК!$L$3+('ФАКТ ЧИСТ ПОДЗЕМ'!C41)*СПРАВОЧНИК!$M$3+('ФАКТ ЧИСТ ПОДЗЕМ'!D41)*СПРАВОЧНИК!$N$3+('ФАКТ ЧИСТ ПОДЗЕМ'!E41)*СПРАВОЧНИК!$L$4+('ФАКТ ЧИСТ ПОДЗЕМ'!F41)*СПРАВОЧНИК!$M$4+('ФАКТ ЧИСТ ПОДЗЕМ'!G41)*СПРАВОЧНИК!$N$4+('ФАКТ ЧИСТ ПОДЗЕМ'!H41)*СПРАВОЧНИК!$L$5+('ФАКТ ЧИСТ ПОДЗЕМ'!I41)*СПРАВОЧНИК!$M$5+('ФАКТ ЧИСТ ПОДЗЕМ'!J41)*СПРАВОЧНИК!$N$5+('ФАКТ ЧИСТ ПОДЗЕМ'!K41)*СПРАВОЧНИК!$L$6+('ФАКТ ЧИСТ ПОДЗЕМ'!L41)*СПРАВОЧНИК!$M$6+('ФАКТ ЧИСТ ПОДЗЕМ'!M41)*СПРАВОЧНИК!$N$6+('ФАКТ ЧИСТ ПОДЗЕМ'!N41)*СПРАВОЧНИК!$L$7+('ФАКТ ЧИСТ ПОДЗЕМ'!O41)*СПРАВОЧНИК!$M$7+('ФАКТ ЧИСТ ПОДЗЕМ'!P41)*СПРАВОЧНИК!$N$7+('ФАКТ ЧИСТ ПОДЗЕМ'!Q41)*СПРАВОЧНИК!$L$8+('ФАКТ ЧИСТ ПОДЗЕМ'!R41)*СПРАВОЧНИК!$M$8+('ФАКТ ЧИСТ ПОДЗЕМ'!S41)*СПРАВОЧНИК!$N$8</f>
        <v>0</v>
      </c>
      <c r="U50" s="18">
        <f t="shared" si="15"/>
        <v>46426</v>
      </c>
      <c r="V50" s="37">
        <f>СПРАВОЧНИК!$E$9*('ПЛАН ЧЕРН К1'!B41*СПРАВОЧНИК!$H$9+'ПЛАН ЧЕРН К1'!C41*СПРАВОЧНИК!$I$9+'ПЛАН ЧЕРН К1'!D41*СПРАВОЧНИК!$J$9)+СПРАВОЧНИК!$E$10*('ПЛАН ЧЕРН К1'!E41*СПРАВОЧНИК!$H$10+'ПЛАН ЧЕРН К1'!F41*СПРАВОЧНИК!$I$10+'ПЛАН ЧЕРН К1'!G41*СПРАВОЧНИК!$J$10)+СПРАВОЧНИК!$E$11*('ПЛАН ЧЕРН К1'!H41*СПРАВОЧНИК!$H$11+'ПЛАН ЧЕРН К1'!I41*СПРАВОЧНИК!$I$11+'ПЛАН ЧЕРН К1'!J41*СПРАВОЧНИК!$J$11)+СПРАВОЧНИК!$E$12*('ПЛАН ЧЕРН К1'!K41*СПРАВОЧНИК!$H$12+'ПЛАН ЧЕРН К1'!L41*СПРАВОЧНИК!$I$12+'ПЛАН ЧЕРН К1'!M41*СПРАВОЧНИК!$J$12)+СПРАВОЧНИК!$E$13*('ПЛАН ЧЕРН К1'!N41*СПРАВОЧНИК!$H$13+'ПЛАН ЧЕРН К1'!O41*СПРАВОЧНИК!$I$13+'ПЛАН ЧЕРН К1'!P41*СПРАВОЧНИК!$J$13)+СПРАВОЧНИК!$E$14*('ПЛАН ЧЕРН К1'!Q41*СПРАВОЧНИК!$H$14+'ПЛАН ЧЕРН К1'!R41*СПРАВОЧНИК!$I$14+'ПЛАН ЧЕРН К1'!S41*СПРАВОЧНИК!$J$14)+СПРАВОЧНИК!$E$15*('ПЛАН ЧЕРН К1'!T41*СПРАВОЧНИК!$H$15+'ПЛАН ЧЕРН К1'!U41*СПРАВОЧНИК!$I$15+'ПЛАН ЧЕРН К1'!V41*СПРАВОЧНИК!$J$15)+СПРАВОЧНИК!$F$9*('ПЛАН ЧИСТ К1'!B41*СПРАВОЧНИК!$L$9+'ПЛАН ЧИСТ К1'!C41*СПРАВОЧНИК!$M$9+'ПЛАН ЧИСТ К1'!D41*СПРАВОЧНИК!$N$9+'ПЛАН ЧИСТ К1'!E41*СПРАВОЧНИК!$O$9)+СПРАВОЧНИК!$F$10*('ПЛАН ЧИСТ К1'!F41*СПРАВОЧНИК!$L$10+'ПЛАН ЧИСТ К1'!G41*СПРАВОЧНИК!$M$10+'ПЛАН ЧИСТ К1'!H41*СПРАВОЧНИК!$N$10)+СПРАВОЧНИК!$F$11*('ПЛАН ЧИСТ К1'!I41*СПРАВОЧНИК!$L$11+'ПЛАН ЧИСТ К1'!J41*СПРАВОЧНИК!$M$11+'ПЛАН ЧИСТ К1'!K41*СПРАВОЧНИК!$N$11)+СПРАВОЧНИК!$F$12*('ПЛАН ЧИСТ К1'!L41*СПРАВОЧНИК!$L$12+'ПЛАН ЧИСТ К1'!M41*СПРАВОЧНИК!$M$12+'ПЛАН ЧИСТ К1'!N41*СПРАВОЧНИК!$N$12)+СПРАВОЧНИК!$F$13*('ПЛАН ЧИСТ К1'!O41*СПРАВОЧНИК!$L$13+'ПЛАН ЧИСТ К1'!P41*СПРАВОЧНИК!$M$13+'ПЛАН ЧИСТ К1'!Q41*СПРАВОЧНИК!$N$13)+СПРАВОЧНИК!$F$14*('ПЛАН ЧИСТ К1'!R41*СПРАВОЧНИК!$L$14+'ПЛАН ЧИСТ К1'!S41*СПРАВОЧНИК!$M$14+'ПЛАН ЧИСТ К1'!T41*СПРАВОЧНИК!$N$14)+СПРАВОЧНИК!$F$15*('ПЛАН ЧИСТ К1'!U41*СПРАВОЧНИК!$L$15+'ПЛАН ЧИСТ К1'!V41*СПРАВОЧНИК!$M$15+'ПЛАН ЧИСТ К1'!W41*СПРАВОЧНИК!$N$15)</f>
        <v>0</v>
      </c>
      <c r="W50" s="40">
        <f>СПРАВОЧНИК!$E$9*(('ФАКТ ЧЕРН К1'!B41)*СПРАВОЧНИК!$H$9+('ФАКТ ЧЕРН К1'!C41)*СПРАВОЧНИК!$I$9+('ФАКТ ЧЕРН К1'!D41)*СПРАВОЧНИК!$J$9)+СПРАВОЧНИК!$E$10*(('ФАКТ ЧЕРН К1'!E41)*СПРАВОЧНИК!$H$10+('ФАКТ ЧЕРН К1'!F41)*СПРАВОЧНИК!$I$10+('ФАКТ ЧЕРН К1'!G41)*СПРАВОЧНИК!$J$10)+СПРАВОЧНИК!$E$11*(('ФАКТ ЧЕРН К1'!H41)*СПРАВОЧНИК!$H$11+('ФАКТ ЧЕРН К1'!I41)*СПРАВОЧНИК!$I$11+('ФАКТ ЧЕРН К1'!J41)*СПРАВОЧНИК!$J$11)+СПРАВОЧНИК!$E$12*(('ФАКТ ЧЕРН К1'!K41)*СПРАВОЧНИК!$H$12+('ФАКТ ЧЕРН К1'!L41)*СПРАВОЧНИК!$I$12+('ФАКТ ЧЕРН К1'!M41)*СПРАВОЧНИК!$J$12)+СПРАВОЧНИК!$E$13*(('ФАКТ ЧЕРН К1'!N41)*СПРАВОЧНИК!$H$13+('ФАКТ ЧЕРН К1'!O41)*СПРАВОЧНИК!$I$13+('ФАКТ ЧЕРН К1'!P41)*СПРАВОЧНИК!$J$13)+СПРАВОЧНИК!$E$14*(('ФАКТ ЧЕРН К1'!Q41)*СПРАВОЧНИК!$H$14+('ФАКТ ЧЕРН К1'!R41)*СПРАВОЧНИК!$I$14+('ФАКТ ЧЕРН К1'!S41)*СПРАВОЧНИК!$J$14)+СПРАВОЧНИК!$E$15*(('ФАКТ ЧЕРН К1'!T41)*СПРАВОЧНИК!$H$15+('ФАКТ ЧЕРН К1'!U41)*СПРАВОЧНИК!$I$15+('ФАКТ ЧЕРН К1'!V41)*СПРАВОЧНИК!$J$15)+СПРАВОЧНИК!$F$9*(('ФАКТ ЧИСТ К1'!B41)*СПРАВОЧНИК!$L$9+('ФАКТ ЧИСТ К1'!C41)*СПРАВОЧНИК!$M$9+('ФАКТ ЧИСТ К1'!D41)*СПРАВОЧНИК!$N$9+('ФАКТ ЧИСТ К1'!E41)*СПРАВОЧНИК!$O$9)+СПРАВОЧНИК!$F$10*(('ФАКТ ЧИСТ К1'!F41)*СПРАВОЧНИК!$L$10+('ФАКТ ЧИСТ К1'!G41)*СПРАВОЧНИК!$M$10+('ФАКТ ЧИСТ К1'!H41)*СПРАВОЧНИК!$N$10)+СПРАВОЧНИК!$F$11*(('ФАКТ ЧИСТ К1'!I41)*СПРАВОЧНИК!$L$11+('ФАКТ ЧИСТ К1'!J41)*СПРАВОЧНИК!$M$11+('ФАКТ ЧИСТ К1'!K41)*СПРАВОЧНИК!$N$11)+СПРАВОЧНИК!$F$12*(('ФАКТ ЧИСТ К1'!L41)*СПРАВОЧНИК!$L$12+('ФАКТ ЧИСТ К1'!M41)*СПРАВОЧНИК!$M$12+('ФАКТ ЧИСТ К1'!N41)*СПРАВОЧНИК!$N$12)+СПРАВОЧНИК!$F$13*(('ФАКТ ЧИСТ К1'!O41)*СПРАВОЧНИК!$L$13+('ФАКТ ЧИСТ К1'!P41)*СПРАВОЧНИК!$M$13+('ФАКТ ЧИСТ К1'!Q41)*СПРАВОЧНИК!$N$13)+СПРАВОЧНИК!$F$14*(('ФАКТ ЧИСТ К1'!R41)*СПРАВОЧНИК!$L$14+('ФАКТ ЧИСТ К1'!S41)*СПРАВОЧНИК!$M$14+('ФАКТ ЧИСТ К1'!T41)*СПРАВОЧНИК!$N$14)+СПРАВОЧНИК!$F$15*(('ФАКТ ЧИСТ К1'!U41)*СПРАВОЧНИК!$L$15+('ФАКТ ЧИСТ К1'!V41)*СПРАВОЧНИК!$M$15+('ФАКТ ЧИСТ К1'!W41)*СПРАВОЧНИК!$N$15)</f>
        <v>0</v>
      </c>
      <c r="AA50" s="18">
        <f t="shared" si="16"/>
        <v>46426</v>
      </c>
      <c r="AB50" s="37">
        <f>'ПЛАН ЧЕРН К1'!B41*СПРАВОЧНИК!$H$9+'ПЛАН ЧЕРН К1'!C41*СПРАВОЧНИК!$I$9+'ПЛАН ЧЕРН К1'!D41*СПРАВОЧНИК!$J$9+'ПЛАН ЧЕРН К1'!E41*СПРАВОЧНИК!$H$10+'ПЛАН ЧЕРН К1'!F41*СПРАВОЧНИК!$I$10+'ПЛАН ЧЕРН К1'!G41*СПРАВОЧНИК!$J$10+'ПЛАН ЧЕРН К1'!H41*СПРАВОЧНИК!$H$11+'ПЛАН ЧЕРН К1'!I41*СПРАВОЧНИК!$I$11+'ПЛАН ЧЕРН К1'!J41*СПРАВОЧНИК!$J$11+'ПЛАН ЧЕРН К1'!K41*СПРАВОЧНИК!$H$12+'ПЛАН ЧЕРН К1'!L41*СПРАВОЧНИК!$I$12+'ПЛАН ЧЕРН К1'!M41*СПРАВОЧНИК!$J$12+'ПЛАН ЧЕРН К1'!N41*СПРАВОЧНИК!$H$13+'ПЛАН ЧЕРН К1'!O41*СПРАВОЧНИК!$I$13+'ПЛАН ЧЕРН К1'!P41*СПРАВОЧНИК!$J$13+'ПЛАН ЧЕРН К1'!Q41*СПРАВОЧНИК!$H$14+'ПЛАН ЧЕРН К1'!R41*СПРАВОЧНИК!$I$14+'ПЛАН ЧЕРН К1'!S41*СПРАВОЧНИК!$J$14+'ПЛАН ЧЕРН К1'!T41*СПРАВОЧНИК!$H$15+'ПЛАН ЧЕРН К1'!U41*СПРАВОЧНИК!$I$15+'ПЛАН ЧЕРН К1'!V41*СПРАВОЧНИК!$J$15</f>
        <v>0</v>
      </c>
      <c r="AC50" s="40">
        <f>('ФАКТ ЧЕРН К1'!B41)*СПРАВОЧНИК!$H$9+('ФАКТ ЧЕРН К1'!C41)*СПРАВОЧНИК!$I$9+('ФАКТ ЧЕРН К1'!D41)*СПРАВОЧНИК!$J$9+('ФАКТ ЧЕРН К1'!E41)*СПРАВОЧНИК!$H$10+('ФАКТ ЧЕРН К1'!F41)*СПРАВОЧНИК!$I$10+('ФАКТ ЧЕРН К1'!G41)*СПРАВОЧНИК!$J$10+('ФАКТ ЧЕРН К1'!H41)*СПРАВОЧНИК!$H$11+('ФАКТ ЧЕРН К1'!I41)*СПРАВОЧНИК!$I$11+('ФАКТ ЧЕРН К1'!J41)*СПРАВОЧНИК!$J$11+('ФАКТ ЧЕРН К1'!K41)*СПРАВОЧНИК!$H$12+('ФАКТ ЧЕРН К1'!L41)*СПРАВОЧНИК!$I$12+('ФАКТ ЧЕРН К1'!M41)*СПРАВОЧНИК!$J$12+('ФАКТ ЧЕРН К1'!N41)*СПРАВОЧНИК!$H$13+('ФАКТ ЧЕРН К1'!O41)*СПРАВОЧНИК!$I$13+('ФАКТ ЧЕРН К1'!P41)*СПРАВОЧНИК!$J$13+('ФАКТ ЧЕРН К1'!Q41)*СПРАВОЧНИК!$H$14+('ФАКТ ЧЕРН К1'!R41)*СПРАВОЧНИК!$I$14+('ФАКТ ЧЕРН К1'!S41)*СПРАВОЧНИК!$J$14+('ФАКТ ЧЕРН К1'!T41)*СПРАВОЧНИК!$H$15+('ФАКТ ЧЕРН К1'!U41)*СПРАВОЧНИК!$I$15+('ФАКТ ЧЕРН К1'!V41)*СПРАВОЧНИК!$J$15</f>
        <v>0</v>
      </c>
      <c r="AG50" s="18">
        <f t="shared" si="17"/>
        <v>46426</v>
      </c>
      <c r="AH50" s="37">
        <f>'ПЛАН ЧИСТ К1'!B41*СПРАВОЧНИК!$L$9+'ПЛАН ЧИСТ К1'!C41*СПРАВОЧНИК!$M$9+'ПЛАН ЧИСТ К1'!D41*СПРАВОЧНИК!$N$9+'ПЛАН ЧИСТ К1'!E41*СПРАВОЧНИК!$O$9+'ПЛАН ЧИСТ К1'!F41*СПРАВОЧНИК!$L$10+'ПЛАН ЧИСТ К1'!G41*СПРАВОЧНИК!$M$10+'ПЛАН ЧИСТ К1'!H41*СПРАВОЧНИК!$N$10+'ПЛАН ЧИСТ К1'!I41*СПРАВОЧНИК!$L$11+'ПЛАН ЧИСТ К1'!J41*СПРАВОЧНИК!$M$11+'ПЛАН ЧИСТ К1'!K41*СПРАВОЧНИК!$N$11+'ПЛАН ЧИСТ К1'!L41*СПРАВОЧНИК!$L$12+'ПЛАН ЧИСТ К1'!M41*СПРАВОЧНИК!$M$12+'ПЛАН ЧИСТ К1'!N41*СПРАВОЧНИК!$N$12+'ПЛАН ЧИСТ К1'!O41*СПРАВОЧНИК!$L$13+'ПЛАН ЧИСТ К1'!P41*СПРАВОЧНИК!$M$13+'ПЛАН ЧИСТ К1'!Q41*СПРАВОЧНИК!$N$13+'ПЛАН ЧИСТ К1'!R41*СПРАВОЧНИК!$L$14+'ПЛАН ЧИСТ К1'!S41*СПРАВОЧНИК!$M$14+'ПЛАН ЧИСТ К1'!T41*СПРАВОЧНИК!$N$14+'ПЛАН ЧИСТ К1'!U41*СПРАВОЧНИК!$L$15+'ПЛАН ЧИСТ К1'!V41*СПРАВОЧНИК!$M$15+'ПЛАН ЧИСТ К1'!W41*СПРАВОЧНИК!$N$15</f>
        <v>0</v>
      </c>
      <c r="AI50" s="40">
        <f>('ФАКТ ЧИСТ К1'!B41)*СПРАВОЧНИК!$L$9+('ФАКТ ЧИСТ К1'!C41)*СПРАВОЧНИК!$M$9+('ФАКТ ЧИСТ К1'!D41)*СПРАВОЧНИК!$N$9+('ФАКТ ЧИСТ К1'!E41)*СПРАВОЧНИК!$O$9+('ФАКТ ЧИСТ К1'!F41)*СПРАВОЧНИК!$L$10+('ФАКТ ЧИСТ К1'!G41)*СПРАВОЧНИК!$M$10+('ФАКТ ЧИСТ К1'!H41)*СПРАВОЧНИК!$N$10+('ФАКТ ЧИСТ К1'!I41)*СПРАВОЧНИК!$L$11+('ФАКТ ЧИСТ К1'!J41)*СПРАВОЧНИК!$M$11+('ФАКТ ЧИСТ К1'!K41)*СПРАВОЧНИК!$N$11+('ФАКТ ЧИСТ К1'!L41)*СПРАВОЧНИК!$L$12+('ФАКТ ЧИСТ К1'!M41)*СПРАВОЧНИК!$M$12+('ФАКТ ЧИСТ К1'!N41)*СПРАВОЧНИК!$N$12+('ФАКТ ЧИСТ К1'!O41)*СПРАВОЧНИК!$L$13+('ФАКТ ЧИСТ К1'!P41)*СПРАВОЧНИК!$M$13+('ФАКТ ЧИСТ К1'!Q41)*СПРАВОЧНИК!$N$13+('ФАКТ ЧИСТ К1'!R41)*СПРАВОЧНИК!$L$14+('ФАКТ ЧИСТ К1'!S41)*СПРАВОЧНИК!$M$14+('ФАКТ ЧИСТ К1'!T41)*СПРАВОЧНИК!$N$14+('ФАКТ ЧИСТ К1'!U41)*СПРАВОЧНИК!$L$15+('ФАКТ ЧИСТ К1'!V41)*СПРАВОЧНИК!$M$15+('ФАКТ ЧИСТ К1'!W41)*СПРАВОЧНИК!$N$15</f>
        <v>0</v>
      </c>
      <c r="AM50" s="18">
        <f t="shared" si="18"/>
        <v>46426</v>
      </c>
      <c r="AN50" s="37">
        <f>СПРАВОЧНИК!$E$9*('ПЛАН ЧЕРН К2'!B41*СПРАВОЧНИК!$H$9+'ПЛАН ЧЕРН К2'!C41*СПРАВОЧНИК!$I$9+'ПЛАН ЧЕРН К2'!D41*СПРАВОЧНИК!$J$9)+СПРАВОЧНИК!$E$10*('ПЛАН ЧЕРН К2'!E41*СПРАВОЧНИК!$H$10+'ПЛАН ЧЕРН К2'!F41*СПРАВОЧНИК!$I$10+'ПЛАН ЧЕРН К2'!G41*СПРАВОЧНИК!$J$10)+СПРАВОЧНИК!$E$11*('ПЛАН ЧЕРН К2'!H41*СПРАВОЧНИК!$H$11+'ПЛАН ЧЕРН К2'!I41*СПРАВОЧНИК!$I$11+'ПЛАН ЧЕРН К2'!J41*СПРАВОЧНИК!$J$11)+СПРАВОЧНИК!$E$12*('ПЛАН ЧЕРН К2'!K41*СПРАВОЧНИК!$H$12+'ПЛАН ЧЕРН К2'!L41*СПРАВОЧНИК!$I$12+'ПЛАН ЧЕРН К2'!M41*СПРАВОЧНИК!$J$12)+СПРАВОЧНИК!$E$13*('ПЛАН ЧЕРН К2'!N41*СПРАВОЧНИК!$H$13+'ПЛАН ЧЕРН К2'!O41*СПРАВОЧНИК!$I$13+'ПЛАН ЧЕРН К2'!P41*СПРАВОЧНИК!$J$13)+СПРАВОЧНИК!$E$14*('ПЛАН ЧЕРН К2'!Q41*СПРАВОЧНИК!$H$14+'ПЛАН ЧЕРН К2'!R41*СПРАВОЧНИК!$I$14+'ПЛАН ЧЕРН К2'!S41*СПРАВОЧНИК!$J$14)+СПРАВОЧНИК!$E$15*('ПЛАН ЧЕРН К2'!T41*СПРАВОЧНИК!$H$15+'ПЛАН ЧЕРН К2'!U41*СПРАВОЧНИК!$I$15+'ПЛАН ЧЕРН К2'!V41*СПРАВОЧНИК!$J$15)+СПРАВОЧНИК!$F$9*('ПЛАН ЧИСТ К2'!B41*СПРАВОЧНИК!$L$9+'ПЛАН ЧИСТ К2'!C41*СПРАВОЧНИК!$M$9+'ПЛАН ЧИСТ К2'!D41*СПРАВОЧНИК!$N$9+'ПЛАН ЧИСТ К2'!E41*СПРАВОЧНИК!$O$9)+СПРАВОЧНИК!$F$10*('ПЛАН ЧИСТ К2'!F41*СПРАВОЧНИК!$L$10+'ПЛАН ЧИСТ К2'!G41*СПРАВОЧНИК!$M$10+'ПЛАН ЧИСТ К2'!H41*СПРАВОЧНИК!$N$10)+СПРАВОЧНИК!$F$11*('ПЛАН ЧИСТ К2'!I41*СПРАВОЧНИК!$L$11+'ПЛАН ЧИСТ К2'!J41*СПРАВОЧНИК!$M$11+'ПЛАН ЧИСТ К2'!K41*СПРАВОЧНИК!$N$11)+СПРАВОЧНИК!$F$12*('ПЛАН ЧИСТ К2'!L41*СПРАВОЧНИК!$L$12+'ПЛАН ЧИСТ К2'!M41*СПРАВОЧНИК!$M$12+'ПЛАН ЧИСТ К2'!N41*СПРАВОЧНИК!$N$12)+СПРАВОЧНИК!$F$13*('ПЛАН ЧИСТ К2'!O41*СПРАВОЧНИК!$L$13+'ПЛАН ЧИСТ К2'!P41*СПРАВОЧНИК!$M$13+'ПЛАН ЧИСТ К2'!Q41*СПРАВОЧНИК!$N$13)+СПРАВОЧНИК!$F$14*('ПЛАН ЧИСТ К2'!R41*СПРАВОЧНИК!$L$14+'ПЛАН ЧИСТ К2'!S41*СПРАВОЧНИК!$M$14+'ПЛАН ЧИСТ К2'!T41*СПРАВОЧНИК!$N$14)+СПРАВОЧНИК!$F$15*('ПЛАН ЧИСТ К2'!U41*СПРАВОЧНИК!$L$15+'ПЛАН ЧИСТ К2'!V41*СПРАВОЧНИК!$M$15+'ПЛАН ЧИСТ К2'!W41*СПРАВОЧНИК!$N$15)</f>
        <v>0</v>
      </c>
      <c r="AO50" s="40">
        <f>СПРАВОЧНИК!$E$9*(('ФАКТ ЧЕРН К2'!B41)*СПРАВОЧНИК!$H$9+('ФАКТ ЧЕРН К2'!C41)*СПРАВОЧНИК!$I$9+('ФАКТ ЧЕРН К2'!D41)*СПРАВОЧНИК!$J$9)+СПРАВОЧНИК!$E$10*(('ФАКТ ЧЕРН К2'!E41)*СПРАВОЧНИК!$H$10+('ФАКТ ЧЕРН К2'!F41)*СПРАВОЧНИК!$I$10+('ФАКТ ЧЕРН К2'!G41)*СПРАВОЧНИК!$J$10)+СПРАВОЧНИК!$E$11*(('ФАКТ ЧЕРН К2'!H41)*СПРАВОЧНИК!$H$11+('ФАКТ ЧЕРН К2'!I41)*СПРАВОЧНИК!$I$11+('ФАКТ ЧЕРН К2'!J41)*СПРАВОЧНИК!$J$11)+СПРАВОЧНИК!$E$12*(('ФАКТ ЧЕРН К2'!K41)*СПРАВОЧНИК!$H$12+('ФАКТ ЧЕРН К2'!L41)*СПРАВОЧНИК!$I$12+('ФАКТ ЧЕРН К2'!M41)*СПРАВОЧНИК!$J$12)+СПРАВОЧНИК!$E$13*(('ФАКТ ЧЕРН К2'!N41)*СПРАВОЧНИК!$H$13+('ФАКТ ЧЕРН К2'!O41)*СПРАВОЧНИК!$I$13+('ФАКТ ЧЕРН К2'!P41)*СПРАВОЧНИК!$J$13)+СПРАВОЧНИК!$E$14*(('ФАКТ ЧЕРН К2'!Q41)*СПРАВОЧНИК!$H$14+('ФАКТ ЧЕРН К2'!R41)*СПРАВОЧНИК!$I$14+('ФАКТ ЧЕРН К2'!S41)*СПРАВОЧНИК!$J$14)+СПРАВОЧНИК!$E$15*(('ФАКТ ЧЕРН К2'!T41)*СПРАВОЧНИК!$H$15+('ФАКТ ЧЕРН К2'!U41)*СПРАВОЧНИК!$I$15+('ФАКТ ЧЕРН К2'!V41)*СПРАВОЧНИК!$J$15)+СПРАВОЧНИК!$F$9*(('ФАКТ ЧИСТ К2'!B41)*СПРАВОЧНИК!$L$9+('ФАКТ ЧИСТ К2'!C41)*СПРАВОЧНИК!$M$9+('ФАКТ ЧИСТ К2'!D41)*СПРАВОЧНИК!$N$9+('ФАКТ ЧИСТ К2'!E41)*СПРАВОЧНИК!$O$9)+СПРАВОЧНИК!$F$10*(('ФАКТ ЧИСТ К2'!F41)*СПРАВОЧНИК!$L$10+('ФАКТ ЧИСТ К2'!G41)*СПРАВОЧНИК!$M$10+('ФАКТ ЧИСТ К2'!H41)*СПРАВОЧНИК!$N$10)+СПРАВОЧНИК!$F$11*(('ФАКТ ЧИСТ К2'!I41)*СПРАВОЧНИК!$L$11+('ФАКТ ЧИСТ К2'!J41)*СПРАВОЧНИК!$M$11+('ФАКТ ЧИСТ К2'!K41)*СПРАВОЧНИК!$N$11)+СПРАВОЧНИК!$F$12*(('ФАКТ ЧИСТ К2'!L41)*СПРАВОЧНИК!$L$12+('ФАКТ ЧИСТ К2'!M41)*СПРАВОЧНИК!$M$12+('ФАКТ ЧИСТ К2'!N41)*СПРАВОЧНИК!$N$12)+СПРАВОЧНИК!$F$13*(('ФАКТ ЧИСТ К2'!O41)*СПРАВОЧНИК!$L$13+('ФАКТ ЧИСТ К2'!P41)*СПРАВОЧНИК!$M$13+('ФАКТ ЧИСТ К2'!Q41)*СПРАВОЧНИК!$N$13)+СПРАВОЧНИК!$F$14*(('ФАКТ ЧИСТ К2'!R41)*СПРАВОЧНИК!$L$14+('ФАКТ ЧИСТ К2'!S41)*СПРАВОЧНИК!$M$14+('ФАКТ ЧИСТ К2'!T41)*СПРАВОЧНИК!$N$14)+СПРАВОЧНИК!$F$15*(('ФАКТ ЧИСТ К2'!U41)*СПРАВОЧНИК!$L$15+('ФАКТ ЧИСТ К2'!V41)*СПРАВОЧНИК!$M$15+('ФАКТ ЧИСТ К2'!W41)*СПРАВОЧНИК!$N$15)</f>
        <v>0</v>
      </c>
      <c r="AS50" s="18">
        <f t="shared" si="19"/>
        <v>46426</v>
      </c>
      <c r="AT50" s="37">
        <f>'ПЛАН ЧЕРН К2'!B41*СПРАВОЧНИК!$H$9+'ПЛАН ЧЕРН К2'!C41*СПРАВОЧНИК!$I$9+'ПЛАН ЧЕРН К2'!D41*СПРАВОЧНИК!$J$9+'ПЛАН ЧЕРН К2'!E41*СПРАВОЧНИК!$H$10+'ПЛАН ЧЕРН К2'!F41*СПРАВОЧНИК!$I$10+'ПЛАН ЧЕРН К2'!G41*СПРАВОЧНИК!$J$10+'ПЛАН ЧЕРН К2'!H41*СПРАВОЧНИК!$H$11+'ПЛАН ЧЕРН К2'!I41*СПРАВОЧНИК!$I$11+'ПЛАН ЧЕРН К2'!J41*СПРАВОЧНИК!$J$11+'ПЛАН ЧЕРН К2'!K41*СПРАВОЧНИК!$H$12+'ПЛАН ЧЕРН К2'!L41*СПРАВОЧНИК!$I$12+'ПЛАН ЧЕРН К2'!M41*СПРАВОЧНИК!$J$12+'ПЛАН ЧЕРН К2'!N41*СПРАВОЧНИК!$H$13+'ПЛАН ЧЕРН К2'!O41*СПРАВОЧНИК!$I$13+'ПЛАН ЧЕРН К2'!P41*СПРАВОЧНИК!$J$13+'ПЛАН ЧЕРН К2'!Q41*СПРАВОЧНИК!$H$14+'ПЛАН ЧЕРН К2'!R41*СПРАВОЧНИК!$I$14+'ПЛАН ЧЕРН К2'!S41*СПРАВОЧНИК!$J$14+'ПЛАН ЧЕРН К2'!T41*СПРАВОЧНИК!$H$15+'ПЛАН ЧЕРН К2'!U41*СПРАВОЧНИК!$I$15+'ПЛАН ЧЕРН К2'!V41*СПРАВОЧНИК!$J$15</f>
        <v>0</v>
      </c>
      <c r="AU50" s="40">
        <f>('ФАКТ ЧЕРН К2'!B41)*СПРАВОЧНИК!$H$9+('ФАКТ ЧЕРН К2'!C41)*СПРАВОЧНИК!$I$9+('ФАКТ ЧЕРН К2'!D41)*СПРАВОЧНИК!$J$9+('ФАКТ ЧЕРН К2'!E41)*СПРАВОЧНИК!$H$10+('ФАКТ ЧЕРН К2'!F41)*СПРАВОЧНИК!$I$10+('ФАКТ ЧЕРН К2'!G41)*СПРАВОЧНИК!$J$10+('ФАКТ ЧЕРН К2'!H41)*СПРАВОЧНИК!$H$11+('ФАКТ ЧЕРН К2'!I41)*СПРАВОЧНИК!$I$11+('ФАКТ ЧЕРН К2'!J41)*СПРАВОЧНИК!$J$11+('ФАКТ ЧЕРН К2'!K41)*СПРАВОЧНИК!$H$12+('ФАКТ ЧЕРН К2'!L41)*СПРАВОЧНИК!$I$12+('ФАКТ ЧЕРН К2'!M41)*СПРАВОЧНИК!$J$12+('ФАКТ ЧЕРН К2'!N41)*СПРАВОЧНИК!$H$13+('ФАКТ ЧЕРН К2'!O41)*СПРАВОЧНИК!$I$13+('ФАКТ ЧЕРН К2'!P41)*СПРАВОЧНИК!$J$13+('ФАКТ ЧЕРН К2'!Q41)*СПРАВОЧНИК!$H$14+('ФАКТ ЧЕРН К2'!R41)*СПРАВОЧНИК!$I$14+('ФАКТ ЧЕРН К2'!S41)*СПРАВОЧНИК!$J$14+('ФАКТ ЧЕРН К2'!T41)*СПРАВОЧНИК!$H$15+('ФАКТ ЧЕРН К2'!U41)*СПРАВОЧНИК!$I$15+('ФАКТ ЧЕРН К2'!V41)*СПРАВОЧНИК!$J$15</f>
        <v>0</v>
      </c>
      <c r="AY50" s="18">
        <f t="shared" si="20"/>
        <v>46426</v>
      </c>
      <c r="AZ50" s="37">
        <f>'ПЛАН ЧИСТ К2'!B41*СПРАВОЧНИК!$L$9+'ПЛАН ЧИСТ К2'!C41*СПРАВОЧНИК!$M$9+'ПЛАН ЧИСТ К2'!D41*СПРАВОЧНИК!$N$9+'ПЛАН ЧИСТ К2'!E41*СПРАВОЧНИК!$O$9+'ПЛАН ЧИСТ К2'!F41*СПРАВОЧНИК!$L$10+'ПЛАН ЧИСТ К2'!G41*СПРАВОЧНИК!$M$10+'ПЛАН ЧИСТ К2'!H41*СПРАВОЧНИК!$N$10+'ПЛАН ЧИСТ К2'!I41*СПРАВОЧНИК!$L$11+'ПЛАН ЧИСТ К2'!J41*СПРАВОЧНИК!$M$11+'ПЛАН ЧИСТ К2'!K41*СПРАВОЧНИК!$N$11+'ПЛАН ЧИСТ К2'!L41*СПРАВОЧНИК!$L$12+'ПЛАН ЧИСТ К2'!M41*СПРАВОЧНИК!$M$12+'ПЛАН ЧИСТ К2'!N41*СПРАВОЧНИК!$N$12+'ПЛАН ЧИСТ К2'!O41*СПРАВОЧНИК!$L$13+'ПЛАН ЧИСТ К2'!P41*СПРАВОЧНИК!$M$13+'ПЛАН ЧИСТ К2'!Q41*СПРАВОЧНИК!$N$13+'ПЛАН ЧИСТ К2'!R41*СПРАВОЧНИК!$L$14+'ПЛАН ЧИСТ К2'!S41*СПРАВОЧНИК!$M$14+'ПЛАН ЧИСТ К2'!T41*СПРАВОЧНИК!$N$14+'ПЛАН ЧИСТ К2'!U41*СПРАВОЧНИК!$L$15+'ПЛАН ЧИСТ К2'!V41*СПРАВОЧНИК!$M$15+'ПЛАН ЧИСТ К2'!W41*СПРАВОЧНИК!$N$15</f>
        <v>0</v>
      </c>
      <c r="BA50" s="40">
        <f>('ФАКТ ЧИСТ К2'!B41)*СПРАВОЧНИК!$L$9+('ФАКТ ЧИСТ К2'!C41)*СПРАВОЧНИК!$M$9+('ФАКТ ЧИСТ К2'!D41)*СПРАВОЧНИК!$N$9+('ФАКТ ЧИСТ К2'!E41)*СПРАВОЧНИК!$O$9+('ФАКТ ЧИСТ К2'!F41)*СПРАВОЧНИК!$L$10+('ФАКТ ЧИСТ К2'!G41)*СПРАВОЧНИК!$M$10+('ФАКТ ЧИСТ К2'!H41)*СПРАВОЧНИК!$N$10+('ФАКТ ЧИСТ К2'!I41)*СПРАВОЧНИК!$L$11+('ФАКТ ЧИСТ К2'!J41)*СПРАВОЧНИК!$M$11+('ФАКТ ЧИСТ К2'!K41)*СПРАВОЧНИК!$N$11+('ФАКТ ЧИСТ К2'!L41)*СПРАВОЧНИК!$L$12+('ФАКТ ЧИСТ К2'!M41)*СПРАВОЧНИК!$M$12+('ФАКТ ЧИСТ К2'!N41)*СПРАВОЧНИК!$N$12+('ФАКТ ЧИСТ К2'!O41)*СПРАВОЧНИК!$L$13+('ФАКТ ЧИСТ К2'!P41)*СПРАВОЧНИК!$M$13+('ФАКТ ЧИСТ К2'!Q41)*СПРАВОЧНИК!$N$13+('ФАКТ ЧИСТ К2'!R41)*СПРАВОЧНИК!$L$14+('ФАКТ ЧИСТ К2'!S41)*СПРАВОЧНИК!$M$14+('ФАКТ ЧИСТ К2'!T41)*СПРАВОЧНИК!$N$14+('ФАКТ ЧИСТ К2'!U41)*СПРАВОЧНИК!$L$15+('ФАКТ ЧИСТ К2'!V41)*СПРАВОЧНИК!$M$15+('ФАКТ ЧИСТ К2'!W41)*СПРАВОЧНИК!$N$15</f>
        <v>0</v>
      </c>
      <c r="BE50" s="18">
        <f t="shared" si="21"/>
        <v>46426</v>
      </c>
      <c r="BF50" s="37">
        <f>СПРАВОЧНИК!$E$9*('ПЛАН ЧЕРН К3'!B41*СПРАВОЧНИК!$H$9+'ПЛАН ЧЕРН К3'!C41*СПРАВОЧНИК!$I$9+'ПЛАН ЧЕРН К3'!D41*СПРАВОЧНИК!$J$9)+СПРАВОЧНИК!$E$10*('ПЛАН ЧЕРН К3'!E41*СПРАВОЧНИК!$H$10+'ПЛАН ЧЕРН К3'!F41*СПРАВОЧНИК!$I$10+'ПЛАН ЧЕРН К3'!G41*СПРАВОЧНИК!$J$10)+СПРАВОЧНИК!$E$11*('ПЛАН ЧЕРН К3'!H41*СПРАВОЧНИК!$H$11+'ПЛАН ЧЕРН К3'!I41*СПРАВОЧНИК!$I$11+'ПЛАН ЧЕРН К3'!J41*СПРАВОЧНИК!$J$11)+СПРАВОЧНИК!$E$12*('ПЛАН ЧЕРН К3'!K41*СПРАВОЧНИК!$H$12+'ПЛАН ЧЕРН К3'!L41*СПРАВОЧНИК!$I$12+'ПЛАН ЧЕРН К3'!M41*СПРАВОЧНИК!$J$12)+СПРАВОЧНИК!$E$13*('ПЛАН ЧЕРН К3'!N41*СПРАВОЧНИК!$H$13+'ПЛАН ЧЕРН К3'!O41*СПРАВОЧНИК!$I$13+'ПЛАН ЧЕРН К3'!P41*СПРАВОЧНИК!$J$13)+СПРАВОЧНИК!$E$14*('ПЛАН ЧЕРН К3'!Q41*СПРАВОЧНИК!$H$14+'ПЛАН ЧЕРН К3'!R41*СПРАВОЧНИК!$I$14+'ПЛАН ЧЕРН К3'!S41*СПРАВОЧНИК!$J$14)+СПРАВОЧНИК!$E$15*('ПЛАН ЧЕРН К3'!T41*СПРАВОЧНИК!$H$15+'ПЛАН ЧЕРН К3'!U41*СПРАВОЧНИК!$I$15+'ПЛАН ЧЕРН К3'!V41*СПРАВОЧНИК!$J$15)+СПРАВОЧНИК!$F$9*('ПЛАН ЧИСТ К3'!B41*СПРАВОЧНИК!$L$9+'ПЛАН ЧИСТ К3'!C41*СПРАВОЧНИК!$M$9+'ПЛАН ЧИСТ К3'!D41*СПРАВОЧНИК!$N$9+'ПЛАН ЧИСТ К3'!E41*СПРАВОЧНИК!$O$9)+СПРАВОЧНИК!$F$10*('ПЛАН ЧИСТ К3'!F41*СПРАВОЧНИК!$L$10+'ПЛАН ЧИСТ К3'!G41*СПРАВОЧНИК!$M$10+'ПЛАН ЧИСТ К3'!H41*СПРАВОЧНИК!$N$10)+СПРАВОЧНИК!$F$11*('ПЛАН ЧИСТ К3'!I41*СПРАВОЧНИК!$L$11+'ПЛАН ЧИСТ К3'!J41*СПРАВОЧНИК!$M$11+'ПЛАН ЧИСТ К3'!K41*СПРАВОЧНИК!$N$11)+СПРАВОЧНИК!$F$12*('ПЛАН ЧИСТ К3'!L41*СПРАВОЧНИК!$L$12+'ПЛАН ЧИСТ К3'!M41*СПРАВОЧНИК!$M$12+'ПЛАН ЧИСТ К3'!N41*СПРАВОЧНИК!$N$12)+СПРАВОЧНИК!$F$13*('ПЛАН ЧИСТ К3'!O41*СПРАВОЧНИК!$L$13+'ПЛАН ЧИСТ К3'!P41*СПРАВОЧНИК!$M$13+'ПЛАН ЧИСТ К3'!Q41*СПРАВОЧНИК!$N$13)+СПРАВОЧНИК!$F$14*('ПЛАН ЧИСТ К3'!R41*СПРАВОЧНИК!$L$14+'ПЛАН ЧИСТ К3'!S41*СПРАВОЧНИК!$M$14+'ПЛАН ЧИСТ К3'!T41*СПРАВОЧНИК!$N$14)+СПРАВОЧНИК!$F$15*('ПЛАН ЧИСТ К3'!U41*СПРАВОЧНИК!$L$15+'ПЛАН ЧИСТ К3'!V41*СПРАВОЧНИК!$M$15+'ПЛАН ЧИСТ К3'!W41*СПРАВОЧНИК!$N$15)</f>
        <v>0</v>
      </c>
      <c r="BG50" s="40">
        <f>СПРАВОЧНИК!$E$9*(('ФАКТ ЧЕРН К3'!B41)*СПРАВОЧНИК!$H$9+('ФАКТ ЧЕРН К3'!C41)*СПРАВОЧНИК!$I$9+('ФАКТ ЧЕРН К3'!D41)*СПРАВОЧНИК!$J$9)+СПРАВОЧНИК!$E$10*(('ФАКТ ЧЕРН К3'!E41)*СПРАВОЧНИК!$H$10+('ФАКТ ЧЕРН К3'!F41)*СПРАВОЧНИК!$I$10+('ФАКТ ЧЕРН К3'!G41)*СПРАВОЧНИК!$J$10)+СПРАВОЧНИК!$E$11*(('ФАКТ ЧЕРН К3'!H41)*СПРАВОЧНИК!$H$11+('ФАКТ ЧЕРН К3'!I41)*СПРАВОЧНИК!$I$11+('ФАКТ ЧЕРН К3'!J41)*СПРАВОЧНИК!$J$11)+СПРАВОЧНИК!$E$12*(('ФАКТ ЧЕРН К3'!K41)*СПРАВОЧНИК!$H$12+('ФАКТ ЧЕРН К3'!L41)*СПРАВОЧНИК!$I$12+('ФАКТ ЧЕРН К3'!M41)*СПРАВОЧНИК!$J$12)+СПРАВОЧНИК!$E$13*(('ФАКТ ЧЕРН К3'!N41)*СПРАВОЧНИК!$H$13+('ФАКТ ЧЕРН К3'!O41)*СПРАВОЧНИК!$I$13+('ФАКТ ЧЕРН К3'!P41)*СПРАВОЧНИК!$J$13)+СПРАВОЧНИК!$E$14*(('ФАКТ ЧЕРН К3'!Q41)*СПРАВОЧНИК!$H$14+('ФАКТ ЧЕРН К3'!R41)*СПРАВОЧНИК!$I$14+('ФАКТ ЧЕРН К3'!S41)*СПРАВОЧНИК!$J$14)+СПРАВОЧНИК!$E$15*(('ФАКТ ЧЕРН К3'!T41)*СПРАВОЧНИК!$H$15+('ФАКТ ЧЕРН К3'!U41)*СПРАВОЧНИК!$I$15+('ФАКТ ЧЕРН К3'!V41)*СПРАВОЧНИК!$J$15)+СПРАВОЧНИК!$F$9*(('ФАКТ ЧИСТ К3'!B41)*СПРАВОЧНИК!$L$9+('ФАКТ ЧИСТ К3'!C41)*СПРАВОЧНИК!$M$9+('ФАКТ ЧИСТ К3'!D41)*СПРАВОЧНИК!$N$9+('ФАКТ ЧИСТ К3'!E41)*СПРАВОЧНИК!$O$9)+СПРАВОЧНИК!$F$10*(('ФАКТ ЧИСТ К3'!F41)*СПРАВОЧНИК!$L$10+('ФАКТ ЧИСТ К3'!G41)*СПРАВОЧНИК!$M$10+('ФАКТ ЧИСТ К3'!H41)*СПРАВОЧНИК!$N$10)+СПРАВОЧНИК!$F$11*(('ФАКТ ЧИСТ К3'!I41)*СПРАВОЧНИК!$L$11+('ФАКТ ЧИСТ К3'!J41)*СПРАВОЧНИК!$M$11+('ФАКТ ЧИСТ К3'!K41)*СПРАВОЧНИК!$N$11)+СПРАВОЧНИК!$F$12*(('ФАКТ ЧИСТ К3'!L41)*СПРАВОЧНИК!$L$12+('ФАКТ ЧИСТ К3'!M41)*СПРАВОЧНИК!$M$12+('ФАКТ ЧИСТ К3'!N41)*СПРАВОЧНИК!$N$12)+СПРАВОЧНИК!$F$13*(('ФАКТ ЧИСТ К3'!O41)*СПРАВОЧНИК!$L$13+('ФАКТ ЧИСТ К3'!P41)*СПРАВОЧНИК!$M$13+('ФАКТ ЧИСТ К3'!Q41)*СПРАВОЧНИК!$N$13)+СПРАВОЧНИК!$F$14*(('ФАКТ ЧИСТ К3'!R41)*СПРАВОЧНИК!$L$14+('ФАКТ ЧИСТ К3'!S41)*СПРАВОЧНИК!$M$14+('ФАКТ ЧИСТ К3'!T41)*СПРАВОЧНИК!$N$14)+СПРАВОЧНИК!$F$15*(('ФАКТ ЧИСТ К3'!U41)*СПРАВОЧНИК!$L$15+('ФАКТ ЧИСТ К3'!V41)*СПРАВОЧНИК!$M$15+('ФАКТ ЧИСТ К3'!W41)*СПРАВОЧНИК!$N$15)</f>
        <v>0</v>
      </c>
      <c r="BK50" s="18">
        <f t="shared" si="22"/>
        <v>46426</v>
      </c>
      <c r="BL50" s="37">
        <f>'ПЛАН ЧЕРН К3'!B41*СПРАВОЧНИК!$H$9+'ПЛАН ЧЕРН К3'!C41*СПРАВОЧНИК!$I$9+'ПЛАН ЧЕРН К3'!D41*СПРАВОЧНИК!$J$9+'ПЛАН ЧЕРН К3'!E41*СПРАВОЧНИК!$H$10+'ПЛАН ЧЕРН К3'!F41*СПРАВОЧНИК!$I$10+'ПЛАН ЧЕРН К3'!G41*СПРАВОЧНИК!$J$10+'ПЛАН ЧЕРН К3'!H41*СПРАВОЧНИК!$H$11+'ПЛАН ЧЕРН К3'!I41*СПРАВОЧНИК!$I$11+'ПЛАН ЧЕРН К3'!J41*СПРАВОЧНИК!$J$11+'ПЛАН ЧЕРН К3'!K41*СПРАВОЧНИК!$H$12+'ПЛАН ЧЕРН К3'!L41*СПРАВОЧНИК!$I$12+'ПЛАН ЧЕРН К3'!M41*СПРАВОЧНИК!$J$12+'ПЛАН ЧЕРН К3'!N41*СПРАВОЧНИК!$H$13+'ПЛАН ЧЕРН К3'!O41*СПРАВОЧНИК!$I$13+'ПЛАН ЧЕРН К3'!P41*СПРАВОЧНИК!$J$13+'ПЛАН ЧЕРН К3'!Q41*СПРАВОЧНИК!$H$14+'ПЛАН ЧЕРН К3'!R41*СПРАВОЧНИК!$I$14+'ПЛАН ЧЕРН К3'!S41*СПРАВОЧНИК!$J$14+'ПЛАН ЧЕРН К3'!T41*СПРАВОЧНИК!$H$15+'ПЛАН ЧЕРН К3'!U41*СПРАВОЧНИК!$I$15+'ПЛАН ЧЕРН К3'!V41*СПРАВОЧНИК!$J$15</f>
        <v>0</v>
      </c>
      <c r="BM50" s="40">
        <f>('ФАКТ ЧЕРН К3'!B41)*СПРАВОЧНИК!$H$9+('ФАКТ ЧЕРН К3'!C41)*СПРАВОЧНИК!$I$9+('ФАКТ ЧЕРН К3'!D41)*СПРАВОЧНИК!$J$9+('ФАКТ ЧЕРН К3'!E41)*СПРАВОЧНИК!$H$10+('ФАКТ ЧЕРН К3'!F41)*СПРАВОЧНИК!$I$10+('ФАКТ ЧЕРН К3'!G41)*СПРАВОЧНИК!$J$10+('ФАКТ ЧЕРН К3'!H41)*СПРАВОЧНИК!$H$11+('ФАКТ ЧЕРН К3'!I41)*СПРАВОЧНИК!$I$11+('ФАКТ ЧЕРН К3'!J41)*СПРАВОЧНИК!$J$11+('ФАКТ ЧЕРН К3'!K41)*СПРАВОЧНИК!$H$12+('ФАКТ ЧЕРН К3'!L41)*СПРАВОЧНИК!$I$12+('ФАКТ ЧЕРН К3'!M41)*СПРАВОЧНИК!$J$12+('ФАКТ ЧЕРН К3'!N41)*СПРАВОЧНИК!$H$13+('ФАКТ ЧЕРН К3'!O41)*СПРАВОЧНИК!$I$13+('ФАКТ ЧЕРН К3'!P41)*СПРАВОЧНИК!$J$13+('ФАКТ ЧЕРН К3'!Q41)*СПРАВОЧНИК!$H$14+('ФАКТ ЧЕРН К3'!R41)*СПРАВОЧНИК!$I$14+('ФАКТ ЧЕРН К3'!S41)*СПРАВОЧНИК!$J$14+('ФАКТ ЧЕРН К3'!T41)*СПРАВОЧНИК!$H$15+('ФАКТ ЧЕРН К3'!U41)*СПРАВОЧНИК!$I$15+('ФАКТ ЧЕРН К3'!V41)*СПРАВОЧНИК!$J$15</f>
        <v>0</v>
      </c>
      <c r="BQ50" s="18">
        <f t="shared" si="23"/>
        <v>46426</v>
      </c>
      <c r="BR50" s="37">
        <f>'ПЛАН ЧИСТ К3'!B41*СПРАВОЧНИК!$L$9+'ПЛАН ЧИСТ К3'!C41*СПРАВОЧНИК!$M$9+'ПЛАН ЧИСТ К3'!D41*СПРАВОЧНИК!$N$9+'ПЛАН ЧИСТ К3'!E41*СПРАВОЧНИК!$O$9+'ПЛАН ЧИСТ К3'!F41*СПРАВОЧНИК!$L$10+'ПЛАН ЧИСТ К3'!G41*СПРАВОЧНИК!$M$10+'ПЛАН ЧИСТ К3'!H41*СПРАВОЧНИК!$N$10+'ПЛАН ЧИСТ К3'!I41*СПРАВОЧНИК!$L$11+'ПЛАН ЧИСТ К3'!J41*СПРАВОЧНИК!$M$11+'ПЛАН ЧИСТ К3'!K41*СПРАВОЧНИК!$N$11+'ПЛАН ЧИСТ К3'!L41*СПРАВОЧНИК!$L$12+'ПЛАН ЧИСТ К3'!M41*СПРАВОЧНИК!$M$12+'ПЛАН ЧИСТ К3'!N41*СПРАВОЧНИК!$N$12+'ПЛАН ЧИСТ К3'!O41*СПРАВОЧНИК!$L$13+'ПЛАН ЧИСТ К3'!P41*СПРАВОЧНИК!$M$13+'ПЛАН ЧИСТ К3'!Q41*СПРАВОЧНИК!$N$13+'ПЛАН ЧИСТ К3'!R41*СПРАВОЧНИК!$L$14+'ПЛАН ЧИСТ К3'!S41*СПРАВОЧНИК!$M$14+'ПЛАН ЧИСТ К3'!T41*СПРАВОЧНИК!$N$14+'ПЛАН ЧИСТ К3'!U41*СПРАВОЧНИК!$L$15+'ПЛАН ЧИСТ К3'!V41*СПРАВОЧНИК!$M$15+'ПЛАН ЧИСТ К3'!W41*СПРАВОЧНИК!$N$15</f>
        <v>0</v>
      </c>
      <c r="BS50" s="40">
        <f>('ФАКТ ЧИСТ К3'!B41)*СПРАВОЧНИК!$L$9+('ФАКТ ЧИСТ К3'!C41)*СПРАВОЧНИК!$M$9+('ФАКТ ЧИСТ К3'!D41)*СПРАВОЧНИК!$N$9+('ФАКТ ЧИСТ К3'!E41)*СПРАВОЧНИК!$O$9+('ФАКТ ЧИСТ К3'!F41)*СПРАВОЧНИК!$L$10+('ФАКТ ЧИСТ К3'!G41)*СПРАВОЧНИК!$M$10+('ФАКТ ЧИСТ К3'!H41)*СПРАВОЧНИК!$N$10+('ФАКТ ЧИСТ К3'!I41)*СПРАВОЧНИК!$L$11+('ФАКТ ЧИСТ К3'!J41)*СПРАВОЧНИК!$M$11+('ФАКТ ЧИСТ К3'!K41)*СПРАВОЧНИК!$N$11+('ФАКТ ЧИСТ К3'!L41)*СПРАВОЧНИК!$L$12+('ФАКТ ЧИСТ К3'!M41)*СПРАВОЧНИК!$M$12+('ФАКТ ЧИСТ К3'!N41)*СПРАВОЧНИК!$N$12+('ФАКТ ЧИСТ К3'!O41)*СПРАВОЧНИК!$L$13+('ФАКТ ЧИСТ К3'!P41)*СПРАВОЧНИК!$M$13+('ФАКТ ЧИСТ К3'!Q41)*СПРАВОЧНИК!$N$13+('ФАКТ ЧИСТ К3'!R41)*СПРАВОЧНИК!$L$14+('ФАКТ ЧИСТ К3'!S41)*СПРАВОЧНИК!$M$14+('ФАКТ ЧИСТ К3'!T41)*СПРАВОЧНИК!$N$14+('ФАКТ ЧИСТ К3'!U41)*СПРАВОЧНИК!$L$15+('ФАКТ ЧИСТ К3'!V41)*СПРАВОЧНИК!$M$15+('ФАКТ ЧИСТ К3'!W41)*СПРАВОЧНИК!$N$15</f>
        <v>0</v>
      </c>
      <c r="BW50" s="18">
        <f t="shared" si="24"/>
        <v>46426</v>
      </c>
      <c r="BX50" s="37">
        <f t="shared" si="0"/>
        <v>0</v>
      </c>
      <c r="BY50" s="40">
        <f t="shared" si="1"/>
        <v>0</v>
      </c>
      <c r="CC50" s="18">
        <f t="shared" si="25"/>
        <v>46426</v>
      </c>
      <c r="CD50" s="37">
        <f t="shared" si="2"/>
        <v>0</v>
      </c>
      <c r="CE50" s="40">
        <f t="shared" si="3"/>
        <v>0</v>
      </c>
      <c r="CI50" s="18">
        <f t="shared" si="26"/>
        <v>46426</v>
      </c>
      <c r="CJ50" s="37">
        <f t="shared" si="4"/>
        <v>0</v>
      </c>
      <c r="CK50" s="40">
        <f t="shared" si="5"/>
        <v>0</v>
      </c>
      <c r="CO50" s="18">
        <f t="shared" si="27"/>
        <v>46426</v>
      </c>
      <c r="CP50" s="37">
        <f t="shared" si="6"/>
        <v>0</v>
      </c>
      <c r="CQ50" s="40">
        <f t="shared" si="7"/>
        <v>0</v>
      </c>
      <c r="CU50" s="18">
        <f t="shared" si="28"/>
        <v>46426</v>
      </c>
      <c r="CV50" s="37">
        <f t="shared" si="8"/>
        <v>0</v>
      </c>
      <c r="CW50" s="40">
        <f t="shared" si="9"/>
        <v>0</v>
      </c>
      <c r="DA50" s="18">
        <f t="shared" si="29"/>
        <v>46426</v>
      </c>
      <c r="DB50" s="37">
        <f t="shared" si="10"/>
        <v>0</v>
      </c>
      <c r="DC50" s="40">
        <f t="shared" si="11"/>
        <v>0</v>
      </c>
    </row>
    <row r="51" spans="3:107" x14ac:dyDescent="0.25">
      <c r="C51" s="18">
        <f t="shared" si="12"/>
        <v>46433</v>
      </c>
      <c r="D51" s="37">
        <f>СПРАВОЧНИК!$E$3*('ПЛАН ЧЕРН ПОДЗЕМ'!B42*СПРАВОЧНИК!$H$3+'ПЛАН ЧЕРН ПОДЗЕМ'!C42*СПРАВОЧНИК!$I$3+'ПЛАН ЧЕРН ПОДЗЕМ'!D42*СПРАВОЧНИК!$J$3)+СПРАВОЧНИК!$E$4*('ПЛАН ЧЕРН ПОДЗЕМ'!E42*СПРАВОЧНИК!$H$4+'ПЛАН ЧЕРН ПОДЗЕМ'!F42*СПРАВОЧНИК!$I$4+'ПЛАН ЧЕРН ПОДЗЕМ'!G42*СПРАВОЧНИК!$J$4)+СПРАВОЧНИК!$E$5*('ПЛАН ЧЕРН ПОДЗЕМ'!H42*СПРАВОЧНИК!$H$5+'ПЛАН ЧЕРН ПОДЗЕМ'!I42*СПРАВОЧНИК!$I$5+'ПЛАН ЧЕРН ПОДЗЕМ'!J42*СПРАВОЧНИК!$J$5)+СПРАВОЧНИК!$E$6*('ПЛАН ЧЕРН ПОДЗЕМ'!K42*СПРАВОЧНИК!$H$6+'ПЛАН ЧЕРН ПОДЗЕМ'!L42*СПРАВОЧНИК!$I$6+'ПЛАН ЧЕРН ПОДЗЕМ'!M42*СПРАВОЧНИК!$J$6)+СПРАВОЧНИК!$E$7*('ПЛАН ЧЕРН ПОДЗЕМ'!N42*СПРАВОЧНИК!$H$7+'ПЛАН ЧЕРН ПОДЗЕМ'!O42*СПРАВОЧНИК!$I$7+'ПЛАН ЧЕРН ПОДЗЕМ'!P42*СПРАВОЧНИК!$J$7)+СПРАВОЧНИК!$E$8*('ПЛАН ЧЕРН ПОДЗЕМ'!Q42*СПРАВОЧНИК!$H$8+'ПЛАН ЧЕРН ПОДЗЕМ'!R42*СПРАВОЧНИК!$I$8+'ПЛАН ЧЕРН ПОДЗЕМ'!S42*СПРАВОЧНИК!$J$8)+СПРАВОЧНИК!$F$3*('ПЛАН ЧИСТ ПОДЗЕМ'!B42*СПРАВОЧНИК!$L$3+'ПЛАН ЧИСТ ПОДЗЕМ'!C42*СПРАВОЧНИК!$M$3+'ПЛАН ЧИСТ ПОДЗЕМ'!D42*СПРАВОЧНИК!$N$3)+СПРАВОЧНИК!$F$4*('ПЛАН ЧИСТ ПОДЗЕМ'!E42*СПРАВОЧНИК!$L$4+'ПЛАН ЧИСТ ПОДЗЕМ'!F42*СПРАВОЧНИК!$M$4+'ПЛАН ЧИСТ ПОДЗЕМ'!G42*СПРАВОЧНИК!$N$4)+СПРАВОЧНИК!$F$5*('ПЛАН ЧИСТ ПОДЗЕМ'!H42*СПРАВОЧНИК!$L$5+'ПЛАН ЧИСТ ПОДЗЕМ'!I42*СПРАВОЧНИК!$M$5+'ПЛАН ЧИСТ ПОДЗЕМ'!J42*СПРАВОЧНИК!$N$5)+СПРАВОЧНИК!$F$6*('ПЛАН ЧИСТ ПОДЗЕМ'!K42*СПРАВОЧНИК!$L$6+'ПЛАН ЧИСТ ПОДЗЕМ'!L42*СПРАВОЧНИК!$M$6+'ПЛАН ЧИСТ ПОДЗЕМ'!M42*СПРАВОЧНИК!$N$6)+СПРАВОЧНИК!$F$7*('ПЛАН ЧИСТ ПОДЗЕМ'!N42*СПРАВОЧНИК!$L$7+'ПЛАН ЧИСТ ПОДЗЕМ'!O42*СПРАВОЧНИК!$M$7+'ПЛАН ЧИСТ ПОДЗЕМ'!P42*СПРАВОЧНИК!$N$7)+СПРАВОЧНИК!$F$8*('ПЛАН ЧИСТ ПОДЗЕМ'!Q42*СПРАВОЧНИК!$L$8+'ПЛАН ЧИСТ ПОДЗЕМ'!R42*СПРАВОЧНИК!$M$8+'ПЛАН ЧИСТ ПОДЗЕМ'!S42*СПРАВОЧНИК!$N$8)</f>
        <v>0</v>
      </c>
      <c r="E51" s="40">
        <f>СПРАВОЧНИК!$E$3*(('ФАКТ ЧЕРН ПОДЗЕМ'!B42)*СПРАВОЧНИК!$H$3+('ФАКТ ЧЕРН ПОДЗЕМ'!C42)*СПРАВОЧНИК!$I$3+('ФАКТ ЧЕРН ПОДЗЕМ'!D42)*СПРАВОЧНИК!$J$3)+СПРАВОЧНИК!$E$4*(('ФАКТ ЧЕРН ПОДЗЕМ'!E42)*СПРАВОЧНИК!$H$4+('ФАКТ ЧЕРН ПОДЗЕМ'!F42)*СПРАВОЧНИК!$I$4+('ФАКТ ЧЕРН ПОДЗЕМ'!G42)*СПРАВОЧНИК!$J$4)+СПРАВОЧНИК!$E$5*(('ФАКТ ЧЕРН ПОДЗЕМ'!H42)*СПРАВОЧНИК!$H$5+('ФАКТ ЧЕРН ПОДЗЕМ'!I42)*СПРАВОЧНИК!$I$5+('ФАКТ ЧЕРН ПОДЗЕМ'!J42)*СПРАВОЧНИК!$J$5)+СПРАВОЧНИК!$E$6*(('ФАКТ ЧЕРН ПОДЗЕМ'!K42)*СПРАВОЧНИК!$H$6+('ФАКТ ЧЕРН ПОДЗЕМ'!L42)*СПРАВОЧНИК!$I$6+('ФАКТ ЧЕРН ПОДЗЕМ'!M42)*СПРАВОЧНИК!$J$6)+СПРАВОЧНИК!$E$7*(('ФАКТ ЧЕРН ПОДЗЕМ'!N42)*СПРАВОЧНИК!$H$7+('ФАКТ ЧЕРН ПОДЗЕМ'!O42)*СПРАВОЧНИК!$I$7+('ФАКТ ЧЕРН ПОДЗЕМ'!P42)*СПРАВОЧНИК!$J$7)+СПРАВОЧНИК!$E$8*(('ФАКТ ЧЕРН ПОДЗЕМ'!Q42)*СПРАВОЧНИК!$H$8+('ФАКТ ЧЕРН ПОДЗЕМ'!R42)*СПРАВОЧНИК!$I$8+('ФАКТ ЧЕРН ПОДЗЕМ'!S42)*СПРАВОЧНИК!$J$8)+СПРАВОЧНИК!$F$3*(('ФАКТ ЧИСТ ПОДЗЕМ'!B42)*СПРАВОЧНИК!$L$3+('ФАКТ ЧИСТ ПОДЗЕМ'!C42)*СПРАВОЧНИК!$M$3+('ФАКТ ЧИСТ ПОДЗЕМ'!D42)*СПРАВОЧНИК!$N$3)+СПРАВОЧНИК!$F$4*(('ФАКТ ЧИСТ ПОДЗЕМ'!E42)*СПРАВОЧНИК!$L$4+('ФАКТ ЧИСТ ПОДЗЕМ'!F42)*СПРАВОЧНИК!$M$4+('ФАКТ ЧИСТ ПОДЗЕМ'!G42)*СПРАВОЧНИК!$N$4)+СПРАВОЧНИК!$F$5*(('ФАКТ ЧИСТ ПОДЗЕМ'!H42)*СПРАВОЧНИК!$L$5+('ФАКТ ЧИСТ ПОДЗЕМ'!I42)*СПРАВОЧНИК!$M$5+('ФАКТ ЧИСТ ПОДЗЕМ'!J42)*СПРАВОЧНИК!$N$5)+СПРАВОЧНИК!$F$6*(('ФАКТ ЧИСТ ПОДЗЕМ'!K42)*СПРАВОЧНИК!$L$6+('ФАКТ ЧИСТ ПОДЗЕМ'!L42)*СПРАВОЧНИК!$M$6+('ФАКТ ЧИСТ ПОДЗЕМ'!M42)*СПРАВОЧНИК!$N$6)+СПРАВОЧНИК!$F$7*(('ФАКТ ЧИСТ ПОДЗЕМ'!N42)*СПРАВОЧНИК!$L$7+('ФАКТ ЧИСТ ПОДЗЕМ'!O42)*СПРАВОЧНИК!$M$7+('ФАКТ ЧИСТ ПОДЗЕМ'!P42)*СПРАВОЧНИК!$N$7)+СПРАВОЧНИК!$F$8*(('ФАКТ ЧИСТ ПОДЗЕМ'!Q42)*СПРАВОЧНИК!$L$8+('ФАКТ ЧИСТ ПОДЗЕМ'!R42)*СПРАВОЧНИК!$M$8+('ФАКТ ЧИСТ ПОДЗЕМ'!S42)*СПРАВОЧНИК!$N$8)</f>
        <v>0</v>
      </c>
      <c r="I51" s="18">
        <f t="shared" si="13"/>
        <v>46433</v>
      </c>
      <c r="J51" s="37">
        <f>'ПЛАН ЧЕРН ПОДЗЕМ'!B42*СПРАВОЧНИК!$H$3+'ПЛАН ЧЕРН ПОДЗЕМ'!C42*СПРАВОЧНИК!$I$3+'ПЛАН ЧЕРН ПОДЗЕМ'!D42*СПРАВОЧНИК!$J$3+'ПЛАН ЧЕРН ПОДЗЕМ'!E42*СПРАВОЧНИК!$H$4+'ПЛАН ЧЕРН ПОДЗЕМ'!F42*СПРАВОЧНИК!$I$4+'ПЛАН ЧЕРН ПОДЗЕМ'!G42*СПРАВОЧНИК!$J$4+'ПЛАН ЧЕРН ПОДЗЕМ'!H42*СПРАВОЧНИК!$H$5+'ПЛАН ЧЕРН ПОДЗЕМ'!I42*СПРАВОЧНИК!$I$5+'ПЛАН ЧЕРН ПОДЗЕМ'!J42*СПРАВОЧНИК!$J$5+'ПЛАН ЧЕРН ПОДЗЕМ'!K42*СПРАВОЧНИК!$H$6+'ПЛАН ЧЕРН ПОДЗЕМ'!L42*СПРАВОЧНИК!$I$6+'ПЛАН ЧЕРН ПОДЗЕМ'!M42*СПРАВОЧНИК!$J$6+'ПЛАН ЧЕРН ПОДЗЕМ'!N42*СПРАВОЧНИК!$H$7+'ПЛАН ЧЕРН ПОДЗЕМ'!O42*СПРАВОЧНИК!$I$7+'ПЛАН ЧЕРН ПОДЗЕМ'!P42*СПРАВОЧНИК!$J$7+'ПЛАН ЧЕРН ПОДЗЕМ'!Q42*СПРАВОЧНИК!$H$8+'ПЛАН ЧЕРН ПОДЗЕМ'!R42*СПРАВОЧНИК!$I$8+'ПЛАН ЧЕРН ПОДЗЕМ'!S42*СПРАВОЧНИК!$J$8</f>
        <v>0</v>
      </c>
      <c r="K51" s="40">
        <f>('ФАКТ ЧЕРН ПОДЗЕМ'!B42)*СПРАВОЧНИК!$H$3+('ФАКТ ЧЕРН ПОДЗЕМ'!C42)*СПРАВОЧНИК!$I$3+('ФАКТ ЧЕРН ПОДЗЕМ'!D42)*СПРАВОЧНИК!$J$3+('ФАКТ ЧЕРН ПОДЗЕМ'!E42)*СПРАВОЧНИК!$H$4+('ФАКТ ЧЕРН ПОДЗЕМ'!F42)*СПРАВОЧНИК!$I$4+('ФАКТ ЧЕРН ПОДЗЕМ'!G42)*СПРАВОЧНИК!$J$4+('ФАКТ ЧЕРН ПОДЗЕМ'!H42)*СПРАВОЧНИК!$H$5+('ФАКТ ЧЕРН ПОДЗЕМ'!I42)*СПРАВОЧНИК!$I$5+('ФАКТ ЧЕРН ПОДЗЕМ'!J42)*СПРАВОЧНИК!$J$5+('ФАКТ ЧЕРН ПОДЗЕМ'!K42)*СПРАВОЧНИК!$H$6+('ФАКТ ЧЕРН ПОДЗЕМ'!L42)*СПРАВОЧНИК!$I$6+('ФАКТ ЧЕРН ПОДЗЕМ'!M42)*СПРАВОЧНИК!$J$6+('ФАКТ ЧЕРН ПОДЗЕМ'!N42)*СПРАВОЧНИК!$H$7+('ФАКТ ЧЕРН ПОДЗЕМ'!O42)*СПРАВОЧНИК!$I$7+('ФАКТ ЧЕРН ПОДЗЕМ'!P42)*СПРАВОЧНИК!$J$7+('ФАКТ ЧЕРН ПОДЗЕМ'!Q42)*СПРАВОЧНИК!$H$8+('ФАКТ ЧЕРН ПОДЗЕМ'!R42)*СПРАВОЧНИК!$I$8+('ФАКТ ЧЕРН ПОДЗЕМ'!S42)*СПРАВОЧНИК!$J$8</f>
        <v>0</v>
      </c>
      <c r="O51" s="18">
        <f t="shared" si="14"/>
        <v>46433</v>
      </c>
      <c r="P51" s="37">
        <f>'ПЛАН ЧИСТ ПОДЗЕМ'!B42*СПРАВОЧНИК!$L$3+'ПЛАН ЧИСТ ПОДЗЕМ'!C42*СПРАВОЧНИК!$M$3+'ПЛАН ЧИСТ ПОДЗЕМ'!D42*СПРАВОЧНИК!$N$3+'ПЛАН ЧИСТ ПОДЗЕМ'!E42*СПРАВОЧНИК!$L$4+'ПЛАН ЧИСТ ПОДЗЕМ'!F42*СПРАВОЧНИК!$M$4+'ПЛАН ЧИСТ ПОДЗЕМ'!G42*СПРАВОЧНИК!$N$4+'ПЛАН ЧИСТ ПОДЗЕМ'!H42*СПРАВОЧНИК!$L$5+'ПЛАН ЧИСТ ПОДЗЕМ'!I42*СПРАВОЧНИК!$M$5+'ПЛАН ЧИСТ ПОДЗЕМ'!J42*СПРАВОЧНИК!$N$5+'ПЛАН ЧИСТ ПОДЗЕМ'!K42*СПРАВОЧНИК!$L$6+'ПЛАН ЧИСТ ПОДЗЕМ'!L42*СПРАВОЧНИК!$M$6+'ПЛАН ЧИСТ ПОДЗЕМ'!M42*СПРАВОЧНИК!$N$6+'ПЛАН ЧИСТ ПОДЗЕМ'!N42*СПРАВОЧНИК!$L$7+'ПЛАН ЧИСТ ПОДЗЕМ'!O42*СПРАВОЧНИК!$M$7+'ПЛАН ЧИСТ ПОДЗЕМ'!P42*СПРАВОЧНИК!$N$7+'ПЛАН ЧИСТ ПОДЗЕМ'!Q42*СПРАВОЧНИК!$L$8+'ПЛАН ЧИСТ ПОДЗЕМ'!R42*СПРАВОЧНИК!$M$8+'ПЛАН ЧИСТ ПОДЗЕМ'!S42*СПРАВОЧНИК!$N$8</f>
        <v>0</v>
      </c>
      <c r="Q51" s="40">
        <f>('ФАКТ ЧИСТ ПОДЗЕМ'!B42)*СПРАВОЧНИК!$L$3+('ФАКТ ЧИСТ ПОДЗЕМ'!C42)*СПРАВОЧНИК!$M$3+('ФАКТ ЧИСТ ПОДЗЕМ'!D42)*СПРАВОЧНИК!$N$3+('ФАКТ ЧИСТ ПОДЗЕМ'!E42)*СПРАВОЧНИК!$L$4+('ФАКТ ЧИСТ ПОДЗЕМ'!F42)*СПРАВОЧНИК!$M$4+('ФАКТ ЧИСТ ПОДЗЕМ'!G42)*СПРАВОЧНИК!$N$4+('ФАКТ ЧИСТ ПОДЗЕМ'!H42)*СПРАВОЧНИК!$L$5+('ФАКТ ЧИСТ ПОДЗЕМ'!I42)*СПРАВОЧНИК!$M$5+('ФАКТ ЧИСТ ПОДЗЕМ'!J42)*СПРАВОЧНИК!$N$5+('ФАКТ ЧИСТ ПОДЗЕМ'!K42)*СПРАВОЧНИК!$L$6+('ФАКТ ЧИСТ ПОДЗЕМ'!L42)*СПРАВОЧНИК!$M$6+('ФАКТ ЧИСТ ПОДЗЕМ'!M42)*СПРАВОЧНИК!$N$6+('ФАКТ ЧИСТ ПОДЗЕМ'!N42)*СПРАВОЧНИК!$L$7+('ФАКТ ЧИСТ ПОДЗЕМ'!O42)*СПРАВОЧНИК!$M$7+('ФАКТ ЧИСТ ПОДЗЕМ'!P42)*СПРАВОЧНИК!$N$7+('ФАКТ ЧИСТ ПОДЗЕМ'!Q42)*СПРАВОЧНИК!$L$8+('ФАКТ ЧИСТ ПОДЗЕМ'!R42)*СПРАВОЧНИК!$M$8+('ФАКТ ЧИСТ ПОДЗЕМ'!S42)*СПРАВОЧНИК!$N$8</f>
        <v>0</v>
      </c>
      <c r="U51" s="18">
        <f t="shared" si="15"/>
        <v>46433</v>
      </c>
      <c r="V51" s="37">
        <f>СПРАВОЧНИК!$E$9*('ПЛАН ЧЕРН К1'!B42*СПРАВОЧНИК!$H$9+'ПЛАН ЧЕРН К1'!C42*СПРАВОЧНИК!$I$9+'ПЛАН ЧЕРН К1'!D42*СПРАВОЧНИК!$J$9)+СПРАВОЧНИК!$E$10*('ПЛАН ЧЕРН К1'!E42*СПРАВОЧНИК!$H$10+'ПЛАН ЧЕРН К1'!F42*СПРАВОЧНИК!$I$10+'ПЛАН ЧЕРН К1'!G42*СПРАВОЧНИК!$J$10)+СПРАВОЧНИК!$E$11*('ПЛАН ЧЕРН К1'!H42*СПРАВОЧНИК!$H$11+'ПЛАН ЧЕРН К1'!I42*СПРАВОЧНИК!$I$11+'ПЛАН ЧЕРН К1'!J42*СПРАВОЧНИК!$J$11)+СПРАВОЧНИК!$E$12*('ПЛАН ЧЕРН К1'!K42*СПРАВОЧНИК!$H$12+'ПЛАН ЧЕРН К1'!L42*СПРАВОЧНИК!$I$12+'ПЛАН ЧЕРН К1'!M42*СПРАВОЧНИК!$J$12)+СПРАВОЧНИК!$E$13*('ПЛАН ЧЕРН К1'!N42*СПРАВОЧНИК!$H$13+'ПЛАН ЧЕРН К1'!O42*СПРАВОЧНИК!$I$13+'ПЛАН ЧЕРН К1'!P42*СПРАВОЧНИК!$J$13)+СПРАВОЧНИК!$E$14*('ПЛАН ЧЕРН К1'!Q42*СПРАВОЧНИК!$H$14+'ПЛАН ЧЕРН К1'!R42*СПРАВОЧНИК!$I$14+'ПЛАН ЧЕРН К1'!S42*СПРАВОЧНИК!$J$14)+СПРАВОЧНИК!$E$15*('ПЛАН ЧЕРН К1'!T42*СПРАВОЧНИК!$H$15+'ПЛАН ЧЕРН К1'!U42*СПРАВОЧНИК!$I$15+'ПЛАН ЧЕРН К1'!V42*СПРАВОЧНИК!$J$15)+СПРАВОЧНИК!$F$9*('ПЛАН ЧИСТ К1'!B42*СПРАВОЧНИК!$L$9+'ПЛАН ЧИСТ К1'!C42*СПРАВОЧНИК!$M$9+'ПЛАН ЧИСТ К1'!D42*СПРАВОЧНИК!$N$9+'ПЛАН ЧИСТ К1'!E42*СПРАВОЧНИК!$O$9)+СПРАВОЧНИК!$F$10*('ПЛАН ЧИСТ К1'!F42*СПРАВОЧНИК!$L$10+'ПЛАН ЧИСТ К1'!G42*СПРАВОЧНИК!$M$10+'ПЛАН ЧИСТ К1'!H42*СПРАВОЧНИК!$N$10)+СПРАВОЧНИК!$F$11*('ПЛАН ЧИСТ К1'!I42*СПРАВОЧНИК!$L$11+'ПЛАН ЧИСТ К1'!J42*СПРАВОЧНИК!$M$11+'ПЛАН ЧИСТ К1'!K42*СПРАВОЧНИК!$N$11)+СПРАВОЧНИК!$F$12*('ПЛАН ЧИСТ К1'!L42*СПРАВОЧНИК!$L$12+'ПЛАН ЧИСТ К1'!M42*СПРАВОЧНИК!$M$12+'ПЛАН ЧИСТ К1'!N42*СПРАВОЧНИК!$N$12)+СПРАВОЧНИК!$F$13*('ПЛАН ЧИСТ К1'!O42*СПРАВОЧНИК!$L$13+'ПЛАН ЧИСТ К1'!P42*СПРАВОЧНИК!$M$13+'ПЛАН ЧИСТ К1'!Q42*СПРАВОЧНИК!$N$13)+СПРАВОЧНИК!$F$14*('ПЛАН ЧИСТ К1'!R42*СПРАВОЧНИК!$L$14+'ПЛАН ЧИСТ К1'!S42*СПРАВОЧНИК!$M$14+'ПЛАН ЧИСТ К1'!T42*СПРАВОЧНИК!$N$14)+СПРАВОЧНИК!$F$15*('ПЛАН ЧИСТ К1'!U42*СПРАВОЧНИК!$L$15+'ПЛАН ЧИСТ К1'!V42*СПРАВОЧНИК!$M$15+'ПЛАН ЧИСТ К1'!W42*СПРАВОЧНИК!$N$15)</f>
        <v>0</v>
      </c>
      <c r="W51" s="40">
        <f>СПРАВОЧНИК!$E$9*(('ФАКТ ЧЕРН К1'!B42)*СПРАВОЧНИК!$H$9+('ФАКТ ЧЕРН К1'!C42)*СПРАВОЧНИК!$I$9+('ФАКТ ЧЕРН К1'!D42)*СПРАВОЧНИК!$J$9)+СПРАВОЧНИК!$E$10*(('ФАКТ ЧЕРН К1'!E42)*СПРАВОЧНИК!$H$10+('ФАКТ ЧЕРН К1'!F42)*СПРАВОЧНИК!$I$10+('ФАКТ ЧЕРН К1'!G42)*СПРАВОЧНИК!$J$10)+СПРАВОЧНИК!$E$11*(('ФАКТ ЧЕРН К1'!H42)*СПРАВОЧНИК!$H$11+('ФАКТ ЧЕРН К1'!I42)*СПРАВОЧНИК!$I$11+('ФАКТ ЧЕРН К1'!J42)*СПРАВОЧНИК!$J$11)+СПРАВОЧНИК!$E$12*(('ФАКТ ЧЕРН К1'!K42)*СПРАВОЧНИК!$H$12+('ФАКТ ЧЕРН К1'!L42)*СПРАВОЧНИК!$I$12+('ФАКТ ЧЕРН К1'!M42)*СПРАВОЧНИК!$J$12)+СПРАВОЧНИК!$E$13*(('ФАКТ ЧЕРН К1'!N42)*СПРАВОЧНИК!$H$13+('ФАКТ ЧЕРН К1'!O42)*СПРАВОЧНИК!$I$13+('ФАКТ ЧЕРН К1'!P42)*СПРАВОЧНИК!$J$13)+СПРАВОЧНИК!$E$14*(('ФАКТ ЧЕРН К1'!Q42)*СПРАВОЧНИК!$H$14+('ФАКТ ЧЕРН К1'!R42)*СПРАВОЧНИК!$I$14+('ФАКТ ЧЕРН К1'!S42)*СПРАВОЧНИК!$J$14)+СПРАВОЧНИК!$E$15*(('ФАКТ ЧЕРН К1'!T42)*СПРАВОЧНИК!$H$15+('ФАКТ ЧЕРН К1'!U42)*СПРАВОЧНИК!$I$15+('ФАКТ ЧЕРН К1'!V42)*СПРАВОЧНИК!$J$15)+СПРАВОЧНИК!$F$9*(('ФАКТ ЧИСТ К1'!B42)*СПРАВОЧНИК!$L$9+('ФАКТ ЧИСТ К1'!C42)*СПРАВОЧНИК!$M$9+('ФАКТ ЧИСТ К1'!D42)*СПРАВОЧНИК!$N$9+('ФАКТ ЧИСТ К1'!E42)*СПРАВОЧНИК!$O$9)+СПРАВОЧНИК!$F$10*(('ФАКТ ЧИСТ К1'!F42)*СПРАВОЧНИК!$L$10+('ФАКТ ЧИСТ К1'!G42)*СПРАВОЧНИК!$M$10+('ФАКТ ЧИСТ К1'!H42)*СПРАВОЧНИК!$N$10)+СПРАВОЧНИК!$F$11*(('ФАКТ ЧИСТ К1'!I42)*СПРАВОЧНИК!$L$11+('ФАКТ ЧИСТ К1'!J42)*СПРАВОЧНИК!$M$11+('ФАКТ ЧИСТ К1'!K42)*СПРАВОЧНИК!$N$11)+СПРАВОЧНИК!$F$12*(('ФАКТ ЧИСТ К1'!L42)*СПРАВОЧНИК!$L$12+('ФАКТ ЧИСТ К1'!M42)*СПРАВОЧНИК!$M$12+('ФАКТ ЧИСТ К1'!N42)*СПРАВОЧНИК!$N$12)+СПРАВОЧНИК!$F$13*(('ФАКТ ЧИСТ К1'!O42)*СПРАВОЧНИК!$L$13+('ФАКТ ЧИСТ К1'!P42)*СПРАВОЧНИК!$M$13+('ФАКТ ЧИСТ К1'!Q42)*СПРАВОЧНИК!$N$13)+СПРАВОЧНИК!$F$14*(('ФАКТ ЧИСТ К1'!R42)*СПРАВОЧНИК!$L$14+('ФАКТ ЧИСТ К1'!S42)*СПРАВОЧНИК!$M$14+('ФАКТ ЧИСТ К1'!T42)*СПРАВОЧНИК!$N$14)+СПРАВОЧНИК!$F$15*(('ФАКТ ЧИСТ К1'!U42)*СПРАВОЧНИК!$L$15+('ФАКТ ЧИСТ К1'!V42)*СПРАВОЧНИК!$M$15+('ФАКТ ЧИСТ К1'!W42)*СПРАВОЧНИК!$N$15)</f>
        <v>0</v>
      </c>
      <c r="AA51" s="18">
        <f t="shared" si="16"/>
        <v>46433</v>
      </c>
      <c r="AB51" s="37">
        <f>'ПЛАН ЧЕРН К1'!B42*СПРАВОЧНИК!$H$9+'ПЛАН ЧЕРН К1'!C42*СПРАВОЧНИК!$I$9+'ПЛАН ЧЕРН К1'!D42*СПРАВОЧНИК!$J$9+'ПЛАН ЧЕРН К1'!E42*СПРАВОЧНИК!$H$10+'ПЛАН ЧЕРН К1'!F42*СПРАВОЧНИК!$I$10+'ПЛАН ЧЕРН К1'!G42*СПРАВОЧНИК!$J$10+'ПЛАН ЧЕРН К1'!H42*СПРАВОЧНИК!$H$11+'ПЛАН ЧЕРН К1'!I42*СПРАВОЧНИК!$I$11+'ПЛАН ЧЕРН К1'!J42*СПРАВОЧНИК!$J$11+'ПЛАН ЧЕРН К1'!K42*СПРАВОЧНИК!$H$12+'ПЛАН ЧЕРН К1'!L42*СПРАВОЧНИК!$I$12+'ПЛАН ЧЕРН К1'!M42*СПРАВОЧНИК!$J$12+'ПЛАН ЧЕРН К1'!N42*СПРАВОЧНИК!$H$13+'ПЛАН ЧЕРН К1'!O42*СПРАВОЧНИК!$I$13+'ПЛАН ЧЕРН К1'!P42*СПРАВОЧНИК!$J$13+'ПЛАН ЧЕРН К1'!Q42*СПРАВОЧНИК!$H$14+'ПЛАН ЧЕРН К1'!R42*СПРАВОЧНИК!$I$14+'ПЛАН ЧЕРН К1'!S42*СПРАВОЧНИК!$J$14+'ПЛАН ЧЕРН К1'!T42*СПРАВОЧНИК!$H$15+'ПЛАН ЧЕРН К1'!U42*СПРАВОЧНИК!$I$15+'ПЛАН ЧЕРН К1'!V42*СПРАВОЧНИК!$J$15</f>
        <v>0</v>
      </c>
      <c r="AC51" s="40">
        <f>('ФАКТ ЧЕРН К1'!B42)*СПРАВОЧНИК!$H$9+('ФАКТ ЧЕРН К1'!C42)*СПРАВОЧНИК!$I$9+('ФАКТ ЧЕРН К1'!D42)*СПРАВОЧНИК!$J$9+('ФАКТ ЧЕРН К1'!E42)*СПРАВОЧНИК!$H$10+('ФАКТ ЧЕРН К1'!F42)*СПРАВОЧНИК!$I$10+('ФАКТ ЧЕРН К1'!G42)*СПРАВОЧНИК!$J$10+('ФАКТ ЧЕРН К1'!H42)*СПРАВОЧНИК!$H$11+('ФАКТ ЧЕРН К1'!I42)*СПРАВОЧНИК!$I$11+('ФАКТ ЧЕРН К1'!J42)*СПРАВОЧНИК!$J$11+('ФАКТ ЧЕРН К1'!K42)*СПРАВОЧНИК!$H$12+('ФАКТ ЧЕРН К1'!L42)*СПРАВОЧНИК!$I$12+('ФАКТ ЧЕРН К1'!M42)*СПРАВОЧНИК!$J$12+('ФАКТ ЧЕРН К1'!N42)*СПРАВОЧНИК!$H$13+('ФАКТ ЧЕРН К1'!O42)*СПРАВОЧНИК!$I$13+('ФАКТ ЧЕРН К1'!P42)*СПРАВОЧНИК!$J$13+('ФАКТ ЧЕРН К1'!Q42)*СПРАВОЧНИК!$H$14+('ФАКТ ЧЕРН К1'!R42)*СПРАВОЧНИК!$I$14+('ФАКТ ЧЕРН К1'!S42)*СПРАВОЧНИК!$J$14+('ФАКТ ЧЕРН К1'!T42)*СПРАВОЧНИК!$H$15+('ФАКТ ЧЕРН К1'!U42)*СПРАВОЧНИК!$I$15+('ФАКТ ЧЕРН К1'!V42)*СПРАВОЧНИК!$J$15</f>
        <v>0</v>
      </c>
      <c r="AG51" s="18">
        <f t="shared" si="17"/>
        <v>46433</v>
      </c>
      <c r="AH51" s="37">
        <f>'ПЛАН ЧИСТ К1'!B42*СПРАВОЧНИК!$L$9+'ПЛАН ЧИСТ К1'!C42*СПРАВОЧНИК!$M$9+'ПЛАН ЧИСТ К1'!D42*СПРАВОЧНИК!$N$9+'ПЛАН ЧИСТ К1'!E42*СПРАВОЧНИК!$O$9+'ПЛАН ЧИСТ К1'!F42*СПРАВОЧНИК!$L$10+'ПЛАН ЧИСТ К1'!G42*СПРАВОЧНИК!$M$10+'ПЛАН ЧИСТ К1'!H42*СПРАВОЧНИК!$N$10+'ПЛАН ЧИСТ К1'!I42*СПРАВОЧНИК!$L$11+'ПЛАН ЧИСТ К1'!J42*СПРАВОЧНИК!$M$11+'ПЛАН ЧИСТ К1'!K42*СПРАВОЧНИК!$N$11+'ПЛАН ЧИСТ К1'!L42*СПРАВОЧНИК!$L$12+'ПЛАН ЧИСТ К1'!M42*СПРАВОЧНИК!$M$12+'ПЛАН ЧИСТ К1'!N42*СПРАВОЧНИК!$N$12+'ПЛАН ЧИСТ К1'!O42*СПРАВОЧНИК!$L$13+'ПЛАН ЧИСТ К1'!P42*СПРАВОЧНИК!$M$13+'ПЛАН ЧИСТ К1'!Q42*СПРАВОЧНИК!$N$13+'ПЛАН ЧИСТ К1'!R42*СПРАВОЧНИК!$L$14+'ПЛАН ЧИСТ К1'!S42*СПРАВОЧНИК!$M$14+'ПЛАН ЧИСТ К1'!T42*СПРАВОЧНИК!$N$14+'ПЛАН ЧИСТ К1'!U42*СПРАВОЧНИК!$L$15+'ПЛАН ЧИСТ К1'!V42*СПРАВОЧНИК!$M$15+'ПЛАН ЧИСТ К1'!W42*СПРАВОЧНИК!$N$15</f>
        <v>0</v>
      </c>
      <c r="AI51" s="40">
        <f>('ФАКТ ЧИСТ К1'!B42)*СПРАВОЧНИК!$L$9+('ФАКТ ЧИСТ К1'!C42)*СПРАВОЧНИК!$M$9+('ФАКТ ЧИСТ К1'!D42)*СПРАВОЧНИК!$N$9+('ФАКТ ЧИСТ К1'!E42)*СПРАВОЧНИК!$O$9+('ФАКТ ЧИСТ К1'!F42)*СПРАВОЧНИК!$L$10+('ФАКТ ЧИСТ К1'!G42)*СПРАВОЧНИК!$M$10+('ФАКТ ЧИСТ К1'!H42)*СПРАВОЧНИК!$N$10+('ФАКТ ЧИСТ К1'!I42)*СПРАВОЧНИК!$L$11+('ФАКТ ЧИСТ К1'!J42)*СПРАВОЧНИК!$M$11+('ФАКТ ЧИСТ К1'!K42)*СПРАВОЧНИК!$N$11+('ФАКТ ЧИСТ К1'!L42)*СПРАВОЧНИК!$L$12+('ФАКТ ЧИСТ К1'!M42)*СПРАВОЧНИК!$M$12+('ФАКТ ЧИСТ К1'!N42)*СПРАВОЧНИК!$N$12+('ФАКТ ЧИСТ К1'!O42)*СПРАВОЧНИК!$L$13+('ФАКТ ЧИСТ К1'!P42)*СПРАВОЧНИК!$M$13+('ФАКТ ЧИСТ К1'!Q42)*СПРАВОЧНИК!$N$13+('ФАКТ ЧИСТ К1'!R42)*СПРАВОЧНИК!$L$14+('ФАКТ ЧИСТ К1'!S42)*СПРАВОЧНИК!$M$14+('ФАКТ ЧИСТ К1'!T42)*СПРАВОЧНИК!$N$14+('ФАКТ ЧИСТ К1'!U42)*СПРАВОЧНИК!$L$15+('ФАКТ ЧИСТ К1'!V42)*СПРАВОЧНИК!$M$15+('ФАКТ ЧИСТ К1'!W42)*СПРАВОЧНИК!$N$15</f>
        <v>0</v>
      </c>
      <c r="AM51" s="18">
        <f t="shared" si="18"/>
        <v>46433</v>
      </c>
      <c r="AN51" s="37">
        <f>СПРАВОЧНИК!$E$9*('ПЛАН ЧЕРН К2'!B42*СПРАВОЧНИК!$H$9+'ПЛАН ЧЕРН К2'!C42*СПРАВОЧНИК!$I$9+'ПЛАН ЧЕРН К2'!D42*СПРАВОЧНИК!$J$9)+СПРАВОЧНИК!$E$10*('ПЛАН ЧЕРН К2'!E42*СПРАВОЧНИК!$H$10+'ПЛАН ЧЕРН К2'!F42*СПРАВОЧНИК!$I$10+'ПЛАН ЧЕРН К2'!G42*СПРАВОЧНИК!$J$10)+СПРАВОЧНИК!$E$11*('ПЛАН ЧЕРН К2'!H42*СПРАВОЧНИК!$H$11+'ПЛАН ЧЕРН К2'!I42*СПРАВОЧНИК!$I$11+'ПЛАН ЧЕРН К2'!J42*СПРАВОЧНИК!$J$11)+СПРАВОЧНИК!$E$12*('ПЛАН ЧЕРН К2'!K42*СПРАВОЧНИК!$H$12+'ПЛАН ЧЕРН К2'!L42*СПРАВОЧНИК!$I$12+'ПЛАН ЧЕРН К2'!M42*СПРАВОЧНИК!$J$12)+СПРАВОЧНИК!$E$13*('ПЛАН ЧЕРН К2'!N42*СПРАВОЧНИК!$H$13+'ПЛАН ЧЕРН К2'!O42*СПРАВОЧНИК!$I$13+'ПЛАН ЧЕРН К2'!P42*СПРАВОЧНИК!$J$13)+СПРАВОЧНИК!$E$14*('ПЛАН ЧЕРН К2'!Q42*СПРАВОЧНИК!$H$14+'ПЛАН ЧЕРН К2'!R42*СПРАВОЧНИК!$I$14+'ПЛАН ЧЕРН К2'!S42*СПРАВОЧНИК!$J$14)+СПРАВОЧНИК!$E$15*('ПЛАН ЧЕРН К2'!T42*СПРАВОЧНИК!$H$15+'ПЛАН ЧЕРН К2'!U42*СПРАВОЧНИК!$I$15+'ПЛАН ЧЕРН К2'!V42*СПРАВОЧНИК!$J$15)+СПРАВОЧНИК!$F$9*('ПЛАН ЧИСТ К2'!B42*СПРАВОЧНИК!$L$9+'ПЛАН ЧИСТ К2'!C42*СПРАВОЧНИК!$M$9+'ПЛАН ЧИСТ К2'!D42*СПРАВОЧНИК!$N$9+'ПЛАН ЧИСТ К2'!E42*СПРАВОЧНИК!$O$9)+СПРАВОЧНИК!$F$10*('ПЛАН ЧИСТ К2'!F42*СПРАВОЧНИК!$L$10+'ПЛАН ЧИСТ К2'!G42*СПРАВОЧНИК!$M$10+'ПЛАН ЧИСТ К2'!H42*СПРАВОЧНИК!$N$10)+СПРАВОЧНИК!$F$11*('ПЛАН ЧИСТ К2'!I42*СПРАВОЧНИК!$L$11+'ПЛАН ЧИСТ К2'!J42*СПРАВОЧНИК!$M$11+'ПЛАН ЧИСТ К2'!K42*СПРАВОЧНИК!$N$11)+СПРАВОЧНИК!$F$12*('ПЛАН ЧИСТ К2'!L42*СПРАВОЧНИК!$L$12+'ПЛАН ЧИСТ К2'!M42*СПРАВОЧНИК!$M$12+'ПЛАН ЧИСТ К2'!N42*СПРАВОЧНИК!$N$12)+СПРАВОЧНИК!$F$13*('ПЛАН ЧИСТ К2'!O42*СПРАВОЧНИК!$L$13+'ПЛАН ЧИСТ К2'!P42*СПРАВОЧНИК!$M$13+'ПЛАН ЧИСТ К2'!Q42*СПРАВОЧНИК!$N$13)+СПРАВОЧНИК!$F$14*('ПЛАН ЧИСТ К2'!R42*СПРАВОЧНИК!$L$14+'ПЛАН ЧИСТ К2'!S42*СПРАВОЧНИК!$M$14+'ПЛАН ЧИСТ К2'!T42*СПРАВОЧНИК!$N$14)+СПРАВОЧНИК!$F$15*('ПЛАН ЧИСТ К2'!U42*СПРАВОЧНИК!$L$15+'ПЛАН ЧИСТ К2'!V42*СПРАВОЧНИК!$M$15+'ПЛАН ЧИСТ К2'!W42*СПРАВОЧНИК!$N$15)</f>
        <v>0</v>
      </c>
      <c r="AO51" s="40">
        <f>СПРАВОЧНИК!$E$9*(('ФАКТ ЧЕРН К2'!B42)*СПРАВОЧНИК!$H$9+('ФАКТ ЧЕРН К2'!C42)*СПРАВОЧНИК!$I$9+('ФАКТ ЧЕРН К2'!D42)*СПРАВОЧНИК!$J$9)+СПРАВОЧНИК!$E$10*(('ФАКТ ЧЕРН К2'!E42)*СПРАВОЧНИК!$H$10+('ФАКТ ЧЕРН К2'!F42)*СПРАВОЧНИК!$I$10+('ФАКТ ЧЕРН К2'!G42)*СПРАВОЧНИК!$J$10)+СПРАВОЧНИК!$E$11*(('ФАКТ ЧЕРН К2'!H42)*СПРАВОЧНИК!$H$11+('ФАКТ ЧЕРН К2'!I42)*СПРАВОЧНИК!$I$11+('ФАКТ ЧЕРН К2'!J42)*СПРАВОЧНИК!$J$11)+СПРАВОЧНИК!$E$12*(('ФАКТ ЧЕРН К2'!K42)*СПРАВОЧНИК!$H$12+('ФАКТ ЧЕРН К2'!L42)*СПРАВОЧНИК!$I$12+('ФАКТ ЧЕРН К2'!M42)*СПРАВОЧНИК!$J$12)+СПРАВОЧНИК!$E$13*(('ФАКТ ЧЕРН К2'!N42)*СПРАВОЧНИК!$H$13+('ФАКТ ЧЕРН К2'!O42)*СПРАВОЧНИК!$I$13+('ФАКТ ЧЕРН К2'!P42)*СПРАВОЧНИК!$J$13)+СПРАВОЧНИК!$E$14*(('ФАКТ ЧЕРН К2'!Q42)*СПРАВОЧНИК!$H$14+('ФАКТ ЧЕРН К2'!R42)*СПРАВОЧНИК!$I$14+('ФАКТ ЧЕРН К2'!S42)*СПРАВОЧНИК!$J$14)+СПРАВОЧНИК!$E$15*(('ФАКТ ЧЕРН К2'!T42)*СПРАВОЧНИК!$H$15+('ФАКТ ЧЕРН К2'!U42)*СПРАВОЧНИК!$I$15+('ФАКТ ЧЕРН К2'!V42)*СПРАВОЧНИК!$J$15)+СПРАВОЧНИК!$F$9*(('ФАКТ ЧИСТ К2'!B42)*СПРАВОЧНИК!$L$9+('ФАКТ ЧИСТ К2'!C42)*СПРАВОЧНИК!$M$9+('ФАКТ ЧИСТ К2'!D42)*СПРАВОЧНИК!$N$9+('ФАКТ ЧИСТ К2'!E42)*СПРАВОЧНИК!$O$9)+СПРАВОЧНИК!$F$10*(('ФАКТ ЧИСТ К2'!F42)*СПРАВОЧНИК!$L$10+('ФАКТ ЧИСТ К2'!G42)*СПРАВОЧНИК!$M$10+('ФАКТ ЧИСТ К2'!H42)*СПРАВОЧНИК!$N$10)+СПРАВОЧНИК!$F$11*(('ФАКТ ЧИСТ К2'!I42)*СПРАВОЧНИК!$L$11+('ФАКТ ЧИСТ К2'!J42)*СПРАВОЧНИК!$M$11+('ФАКТ ЧИСТ К2'!K42)*СПРАВОЧНИК!$N$11)+СПРАВОЧНИК!$F$12*(('ФАКТ ЧИСТ К2'!L42)*СПРАВОЧНИК!$L$12+('ФАКТ ЧИСТ К2'!M42)*СПРАВОЧНИК!$M$12+('ФАКТ ЧИСТ К2'!N42)*СПРАВОЧНИК!$N$12)+СПРАВОЧНИК!$F$13*(('ФАКТ ЧИСТ К2'!O42)*СПРАВОЧНИК!$L$13+('ФАКТ ЧИСТ К2'!P42)*СПРАВОЧНИК!$M$13+('ФАКТ ЧИСТ К2'!Q42)*СПРАВОЧНИК!$N$13)+СПРАВОЧНИК!$F$14*(('ФАКТ ЧИСТ К2'!R42)*СПРАВОЧНИК!$L$14+('ФАКТ ЧИСТ К2'!S42)*СПРАВОЧНИК!$M$14+('ФАКТ ЧИСТ К2'!T42)*СПРАВОЧНИК!$N$14)+СПРАВОЧНИК!$F$15*(('ФАКТ ЧИСТ К2'!U42)*СПРАВОЧНИК!$L$15+('ФАКТ ЧИСТ К2'!V42)*СПРАВОЧНИК!$M$15+('ФАКТ ЧИСТ К2'!W42)*СПРАВОЧНИК!$N$15)</f>
        <v>0</v>
      </c>
      <c r="AS51" s="18">
        <f t="shared" si="19"/>
        <v>46433</v>
      </c>
      <c r="AT51" s="37">
        <f>'ПЛАН ЧЕРН К2'!B42*СПРАВОЧНИК!$H$9+'ПЛАН ЧЕРН К2'!C42*СПРАВОЧНИК!$I$9+'ПЛАН ЧЕРН К2'!D42*СПРАВОЧНИК!$J$9+'ПЛАН ЧЕРН К2'!E42*СПРАВОЧНИК!$H$10+'ПЛАН ЧЕРН К2'!F42*СПРАВОЧНИК!$I$10+'ПЛАН ЧЕРН К2'!G42*СПРАВОЧНИК!$J$10+'ПЛАН ЧЕРН К2'!H42*СПРАВОЧНИК!$H$11+'ПЛАН ЧЕРН К2'!I42*СПРАВОЧНИК!$I$11+'ПЛАН ЧЕРН К2'!J42*СПРАВОЧНИК!$J$11+'ПЛАН ЧЕРН К2'!K42*СПРАВОЧНИК!$H$12+'ПЛАН ЧЕРН К2'!L42*СПРАВОЧНИК!$I$12+'ПЛАН ЧЕРН К2'!M42*СПРАВОЧНИК!$J$12+'ПЛАН ЧЕРН К2'!N42*СПРАВОЧНИК!$H$13+'ПЛАН ЧЕРН К2'!O42*СПРАВОЧНИК!$I$13+'ПЛАН ЧЕРН К2'!P42*СПРАВОЧНИК!$J$13+'ПЛАН ЧЕРН К2'!Q42*СПРАВОЧНИК!$H$14+'ПЛАН ЧЕРН К2'!R42*СПРАВОЧНИК!$I$14+'ПЛАН ЧЕРН К2'!S42*СПРАВОЧНИК!$J$14+'ПЛАН ЧЕРН К2'!T42*СПРАВОЧНИК!$H$15+'ПЛАН ЧЕРН К2'!U42*СПРАВОЧНИК!$I$15+'ПЛАН ЧЕРН К2'!V42*СПРАВОЧНИК!$J$15</f>
        <v>0</v>
      </c>
      <c r="AU51" s="40">
        <f>('ФАКТ ЧЕРН К2'!B42)*СПРАВОЧНИК!$H$9+('ФАКТ ЧЕРН К2'!C42)*СПРАВОЧНИК!$I$9+('ФАКТ ЧЕРН К2'!D42)*СПРАВОЧНИК!$J$9+('ФАКТ ЧЕРН К2'!E42)*СПРАВОЧНИК!$H$10+('ФАКТ ЧЕРН К2'!F42)*СПРАВОЧНИК!$I$10+('ФАКТ ЧЕРН К2'!G42)*СПРАВОЧНИК!$J$10+('ФАКТ ЧЕРН К2'!H42)*СПРАВОЧНИК!$H$11+('ФАКТ ЧЕРН К2'!I42)*СПРАВОЧНИК!$I$11+('ФАКТ ЧЕРН К2'!J42)*СПРАВОЧНИК!$J$11+('ФАКТ ЧЕРН К2'!K42)*СПРАВОЧНИК!$H$12+('ФАКТ ЧЕРН К2'!L42)*СПРАВОЧНИК!$I$12+('ФАКТ ЧЕРН К2'!M42)*СПРАВОЧНИК!$J$12+('ФАКТ ЧЕРН К2'!N42)*СПРАВОЧНИК!$H$13+('ФАКТ ЧЕРН К2'!O42)*СПРАВОЧНИК!$I$13+('ФАКТ ЧЕРН К2'!P42)*СПРАВОЧНИК!$J$13+('ФАКТ ЧЕРН К2'!Q42)*СПРАВОЧНИК!$H$14+('ФАКТ ЧЕРН К2'!R42)*СПРАВОЧНИК!$I$14+('ФАКТ ЧЕРН К2'!S42)*СПРАВОЧНИК!$J$14+('ФАКТ ЧЕРН К2'!T42)*СПРАВОЧНИК!$H$15+('ФАКТ ЧЕРН К2'!U42)*СПРАВОЧНИК!$I$15+('ФАКТ ЧЕРН К2'!V42)*СПРАВОЧНИК!$J$15</f>
        <v>0</v>
      </c>
      <c r="AY51" s="18">
        <f t="shared" si="20"/>
        <v>46433</v>
      </c>
      <c r="AZ51" s="37">
        <f>'ПЛАН ЧИСТ К2'!B42*СПРАВОЧНИК!$L$9+'ПЛАН ЧИСТ К2'!C42*СПРАВОЧНИК!$M$9+'ПЛАН ЧИСТ К2'!D42*СПРАВОЧНИК!$N$9+'ПЛАН ЧИСТ К2'!E42*СПРАВОЧНИК!$O$9+'ПЛАН ЧИСТ К2'!F42*СПРАВОЧНИК!$L$10+'ПЛАН ЧИСТ К2'!G42*СПРАВОЧНИК!$M$10+'ПЛАН ЧИСТ К2'!H42*СПРАВОЧНИК!$N$10+'ПЛАН ЧИСТ К2'!I42*СПРАВОЧНИК!$L$11+'ПЛАН ЧИСТ К2'!J42*СПРАВОЧНИК!$M$11+'ПЛАН ЧИСТ К2'!K42*СПРАВОЧНИК!$N$11+'ПЛАН ЧИСТ К2'!L42*СПРАВОЧНИК!$L$12+'ПЛАН ЧИСТ К2'!M42*СПРАВОЧНИК!$M$12+'ПЛАН ЧИСТ К2'!N42*СПРАВОЧНИК!$N$12+'ПЛАН ЧИСТ К2'!O42*СПРАВОЧНИК!$L$13+'ПЛАН ЧИСТ К2'!P42*СПРАВОЧНИК!$M$13+'ПЛАН ЧИСТ К2'!Q42*СПРАВОЧНИК!$N$13+'ПЛАН ЧИСТ К2'!R42*СПРАВОЧНИК!$L$14+'ПЛАН ЧИСТ К2'!S42*СПРАВОЧНИК!$M$14+'ПЛАН ЧИСТ К2'!T42*СПРАВОЧНИК!$N$14+'ПЛАН ЧИСТ К2'!U42*СПРАВОЧНИК!$L$15+'ПЛАН ЧИСТ К2'!V42*СПРАВОЧНИК!$M$15+'ПЛАН ЧИСТ К2'!W42*СПРАВОЧНИК!$N$15</f>
        <v>0</v>
      </c>
      <c r="BA51" s="40">
        <f>('ФАКТ ЧИСТ К2'!B42)*СПРАВОЧНИК!$L$9+('ФАКТ ЧИСТ К2'!C42)*СПРАВОЧНИК!$M$9+('ФАКТ ЧИСТ К2'!D42)*СПРАВОЧНИК!$N$9+('ФАКТ ЧИСТ К2'!E42)*СПРАВОЧНИК!$O$9+('ФАКТ ЧИСТ К2'!F42)*СПРАВОЧНИК!$L$10+('ФАКТ ЧИСТ К2'!G42)*СПРАВОЧНИК!$M$10+('ФАКТ ЧИСТ К2'!H42)*СПРАВОЧНИК!$N$10+('ФАКТ ЧИСТ К2'!I42)*СПРАВОЧНИК!$L$11+('ФАКТ ЧИСТ К2'!J42)*СПРАВОЧНИК!$M$11+('ФАКТ ЧИСТ К2'!K42)*СПРАВОЧНИК!$N$11+('ФАКТ ЧИСТ К2'!L42)*СПРАВОЧНИК!$L$12+('ФАКТ ЧИСТ К2'!M42)*СПРАВОЧНИК!$M$12+('ФАКТ ЧИСТ К2'!N42)*СПРАВОЧНИК!$N$12+('ФАКТ ЧИСТ К2'!O42)*СПРАВОЧНИК!$L$13+('ФАКТ ЧИСТ К2'!P42)*СПРАВОЧНИК!$M$13+('ФАКТ ЧИСТ К2'!Q42)*СПРАВОЧНИК!$N$13+('ФАКТ ЧИСТ К2'!R42)*СПРАВОЧНИК!$L$14+('ФАКТ ЧИСТ К2'!S42)*СПРАВОЧНИК!$M$14+('ФАКТ ЧИСТ К2'!T42)*СПРАВОЧНИК!$N$14+('ФАКТ ЧИСТ К2'!U42)*СПРАВОЧНИК!$L$15+('ФАКТ ЧИСТ К2'!V42)*СПРАВОЧНИК!$M$15+('ФАКТ ЧИСТ К2'!W42)*СПРАВОЧНИК!$N$15</f>
        <v>0</v>
      </c>
      <c r="BE51" s="18">
        <f t="shared" si="21"/>
        <v>46433</v>
      </c>
      <c r="BF51" s="37">
        <f>СПРАВОЧНИК!$E$9*('ПЛАН ЧЕРН К3'!B42*СПРАВОЧНИК!$H$9+'ПЛАН ЧЕРН К3'!C42*СПРАВОЧНИК!$I$9+'ПЛАН ЧЕРН К3'!D42*СПРАВОЧНИК!$J$9)+СПРАВОЧНИК!$E$10*('ПЛАН ЧЕРН К3'!E42*СПРАВОЧНИК!$H$10+'ПЛАН ЧЕРН К3'!F42*СПРАВОЧНИК!$I$10+'ПЛАН ЧЕРН К3'!G42*СПРАВОЧНИК!$J$10)+СПРАВОЧНИК!$E$11*('ПЛАН ЧЕРН К3'!H42*СПРАВОЧНИК!$H$11+'ПЛАН ЧЕРН К3'!I42*СПРАВОЧНИК!$I$11+'ПЛАН ЧЕРН К3'!J42*СПРАВОЧНИК!$J$11)+СПРАВОЧНИК!$E$12*('ПЛАН ЧЕРН К3'!K42*СПРАВОЧНИК!$H$12+'ПЛАН ЧЕРН К3'!L42*СПРАВОЧНИК!$I$12+'ПЛАН ЧЕРН К3'!M42*СПРАВОЧНИК!$J$12)+СПРАВОЧНИК!$E$13*('ПЛАН ЧЕРН К3'!N42*СПРАВОЧНИК!$H$13+'ПЛАН ЧЕРН К3'!O42*СПРАВОЧНИК!$I$13+'ПЛАН ЧЕРН К3'!P42*СПРАВОЧНИК!$J$13)+СПРАВОЧНИК!$E$14*('ПЛАН ЧЕРН К3'!Q42*СПРАВОЧНИК!$H$14+'ПЛАН ЧЕРН К3'!R42*СПРАВОЧНИК!$I$14+'ПЛАН ЧЕРН К3'!S42*СПРАВОЧНИК!$J$14)+СПРАВОЧНИК!$E$15*('ПЛАН ЧЕРН К3'!T42*СПРАВОЧНИК!$H$15+'ПЛАН ЧЕРН К3'!U42*СПРАВОЧНИК!$I$15+'ПЛАН ЧЕРН К3'!V42*СПРАВОЧНИК!$J$15)+СПРАВОЧНИК!$F$9*('ПЛАН ЧИСТ К3'!B42*СПРАВОЧНИК!$L$9+'ПЛАН ЧИСТ К3'!C42*СПРАВОЧНИК!$M$9+'ПЛАН ЧИСТ К3'!D42*СПРАВОЧНИК!$N$9+'ПЛАН ЧИСТ К3'!E42*СПРАВОЧНИК!$O$9)+СПРАВОЧНИК!$F$10*('ПЛАН ЧИСТ К3'!F42*СПРАВОЧНИК!$L$10+'ПЛАН ЧИСТ К3'!G42*СПРАВОЧНИК!$M$10+'ПЛАН ЧИСТ К3'!H42*СПРАВОЧНИК!$N$10)+СПРАВОЧНИК!$F$11*('ПЛАН ЧИСТ К3'!I42*СПРАВОЧНИК!$L$11+'ПЛАН ЧИСТ К3'!J42*СПРАВОЧНИК!$M$11+'ПЛАН ЧИСТ К3'!K42*СПРАВОЧНИК!$N$11)+СПРАВОЧНИК!$F$12*('ПЛАН ЧИСТ К3'!L42*СПРАВОЧНИК!$L$12+'ПЛАН ЧИСТ К3'!M42*СПРАВОЧНИК!$M$12+'ПЛАН ЧИСТ К3'!N42*СПРАВОЧНИК!$N$12)+СПРАВОЧНИК!$F$13*('ПЛАН ЧИСТ К3'!O42*СПРАВОЧНИК!$L$13+'ПЛАН ЧИСТ К3'!P42*СПРАВОЧНИК!$M$13+'ПЛАН ЧИСТ К3'!Q42*СПРАВОЧНИК!$N$13)+СПРАВОЧНИК!$F$14*('ПЛАН ЧИСТ К3'!R42*СПРАВОЧНИК!$L$14+'ПЛАН ЧИСТ К3'!S42*СПРАВОЧНИК!$M$14+'ПЛАН ЧИСТ К3'!T42*СПРАВОЧНИК!$N$14)+СПРАВОЧНИК!$F$15*('ПЛАН ЧИСТ К3'!U42*СПРАВОЧНИК!$L$15+'ПЛАН ЧИСТ К3'!V42*СПРАВОЧНИК!$M$15+'ПЛАН ЧИСТ К3'!W42*СПРАВОЧНИК!$N$15)</f>
        <v>0</v>
      </c>
      <c r="BG51" s="40">
        <f>СПРАВОЧНИК!$E$9*(('ФАКТ ЧЕРН К3'!B42)*СПРАВОЧНИК!$H$9+('ФАКТ ЧЕРН К3'!C42)*СПРАВОЧНИК!$I$9+('ФАКТ ЧЕРН К3'!D42)*СПРАВОЧНИК!$J$9)+СПРАВОЧНИК!$E$10*(('ФАКТ ЧЕРН К3'!E42)*СПРАВОЧНИК!$H$10+('ФАКТ ЧЕРН К3'!F42)*СПРАВОЧНИК!$I$10+('ФАКТ ЧЕРН К3'!G42)*СПРАВОЧНИК!$J$10)+СПРАВОЧНИК!$E$11*(('ФАКТ ЧЕРН К3'!H42)*СПРАВОЧНИК!$H$11+('ФАКТ ЧЕРН К3'!I42)*СПРАВОЧНИК!$I$11+('ФАКТ ЧЕРН К3'!J42)*СПРАВОЧНИК!$J$11)+СПРАВОЧНИК!$E$12*(('ФАКТ ЧЕРН К3'!K42)*СПРАВОЧНИК!$H$12+('ФАКТ ЧЕРН К3'!L42)*СПРАВОЧНИК!$I$12+('ФАКТ ЧЕРН К3'!M42)*СПРАВОЧНИК!$J$12)+СПРАВОЧНИК!$E$13*(('ФАКТ ЧЕРН К3'!N42)*СПРАВОЧНИК!$H$13+('ФАКТ ЧЕРН К3'!O42)*СПРАВОЧНИК!$I$13+('ФАКТ ЧЕРН К3'!P42)*СПРАВОЧНИК!$J$13)+СПРАВОЧНИК!$E$14*(('ФАКТ ЧЕРН К3'!Q42)*СПРАВОЧНИК!$H$14+('ФАКТ ЧЕРН К3'!R42)*СПРАВОЧНИК!$I$14+('ФАКТ ЧЕРН К3'!S42)*СПРАВОЧНИК!$J$14)+СПРАВОЧНИК!$E$15*(('ФАКТ ЧЕРН К3'!T42)*СПРАВОЧНИК!$H$15+('ФАКТ ЧЕРН К3'!U42)*СПРАВОЧНИК!$I$15+('ФАКТ ЧЕРН К3'!V42)*СПРАВОЧНИК!$J$15)+СПРАВОЧНИК!$F$9*(('ФАКТ ЧИСТ К3'!B42)*СПРАВОЧНИК!$L$9+('ФАКТ ЧИСТ К3'!C42)*СПРАВОЧНИК!$M$9+('ФАКТ ЧИСТ К3'!D42)*СПРАВОЧНИК!$N$9+('ФАКТ ЧИСТ К3'!E42)*СПРАВОЧНИК!$O$9)+СПРАВОЧНИК!$F$10*(('ФАКТ ЧИСТ К3'!F42)*СПРАВОЧНИК!$L$10+('ФАКТ ЧИСТ К3'!G42)*СПРАВОЧНИК!$M$10+('ФАКТ ЧИСТ К3'!H42)*СПРАВОЧНИК!$N$10)+СПРАВОЧНИК!$F$11*(('ФАКТ ЧИСТ К3'!I42)*СПРАВОЧНИК!$L$11+('ФАКТ ЧИСТ К3'!J42)*СПРАВОЧНИК!$M$11+('ФАКТ ЧИСТ К3'!K42)*СПРАВОЧНИК!$N$11)+СПРАВОЧНИК!$F$12*(('ФАКТ ЧИСТ К3'!L42)*СПРАВОЧНИК!$L$12+('ФАКТ ЧИСТ К3'!M42)*СПРАВОЧНИК!$M$12+('ФАКТ ЧИСТ К3'!N42)*СПРАВОЧНИК!$N$12)+СПРАВОЧНИК!$F$13*(('ФАКТ ЧИСТ К3'!O42)*СПРАВОЧНИК!$L$13+('ФАКТ ЧИСТ К3'!P42)*СПРАВОЧНИК!$M$13+('ФАКТ ЧИСТ К3'!Q42)*СПРАВОЧНИК!$N$13)+СПРАВОЧНИК!$F$14*(('ФАКТ ЧИСТ К3'!R42)*СПРАВОЧНИК!$L$14+('ФАКТ ЧИСТ К3'!S42)*СПРАВОЧНИК!$M$14+('ФАКТ ЧИСТ К3'!T42)*СПРАВОЧНИК!$N$14)+СПРАВОЧНИК!$F$15*(('ФАКТ ЧИСТ К3'!U42)*СПРАВОЧНИК!$L$15+('ФАКТ ЧИСТ К3'!V42)*СПРАВОЧНИК!$M$15+('ФАКТ ЧИСТ К3'!W42)*СПРАВОЧНИК!$N$15)</f>
        <v>0</v>
      </c>
      <c r="BK51" s="18">
        <f t="shared" si="22"/>
        <v>46433</v>
      </c>
      <c r="BL51" s="37">
        <f>'ПЛАН ЧЕРН К3'!B42*СПРАВОЧНИК!$H$9+'ПЛАН ЧЕРН К3'!C42*СПРАВОЧНИК!$I$9+'ПЛАН ЧЕРН К3'!D42*СПРАВОЧНИК!$J$9+'ПЛАН ЧЕРН К3'!E42*СПРАВОЧНИК!$H$10+'ПЛАН ЧЕРН К3'!F42*СПРАВОЧНИК!$I$10+'ПЛАН ЧЕРН К3'!G42*СПРАВОЧНИК!$J$10+'ПЛАН ЧЕРН К3'!H42*СПРАВОЧНИК!$H$11+'ПЛАН ЧЕРН К3'!I42*СПРАВОЧНИК!$I$11+'ПЛАН ЧЕРН К3'!J42*СПРАВОЧНИК!$J$11+'ПЛАН ЧЕРН К3'!K42*СПРАВОЧНИК!$H$12+'ПЛАН ЧЕРН К3'!L42*СПРАВОЧНИК!$I$12+'ПЛАН ЧЕРН К3'!M42*СПРАВОЧНИК!$J$12+'ПЛАН ЧЕРН К3'!N42*СПРАВОЧНИК!$H$13+'ПЛАН ЧЕРН К3'!O42*СПРАВОЧНИК!$I$13+'ПЛАН ЧЕРН К3'!P42*СПРАВОЧНИК!$J$13+'ПЛАН ЧЕРН К3'!Q42*СПРАВОЧНИК!$H$14+'ПЛАН ЧЕРН К3'!R42*СПРАВОЧНИК!$I$14+'ПЛАН ЧЕРН К3'!S42*СПРАВОЧНИК!$J$14+'ПЛАН ЧЕРН К3'!T42*СПРАВОЧНИК!$H$15+'ПЛАН ЧЕРН К3'!U42*СПРАВОЧНИК!$I$15+'ПЛАН ЧЕРН К3'!V42*СПРАВОЧНИК!$J$15</f>
        <v>0</v>
      </c>
      <c r="BM51" s="40">
        <f>('ФАКТ ЧЕРН К3'!B42)*СПРАВОЧНИК!$H$9+('ФАКТ ЧЕРН К3'!C42)*СПРАВОЧНИК!$I$9+('ФАКТ ЧЕРН К3'!D42)*СПРАВОЧНИК!$J$9+('ФАКТ ЧЕРН К3'!E42)*СПРАВОЧНИК!$H$10+('ФАКТ ЧЕРН К3'!F42)*СПРАВОЧНИК!$I$10+('ФАКТ ЧЕРН К3'!G42)*СПРАВОЧНИК!$J$10+('ФАКТ ЧЕРН К3'!H42)*СПРАВОЧНИК!$H$11+('ФАКТ ЧЕРН К3'!I42)*СПРАВОЧНИК!$I$11+('ФАКТ ЧЕРН К3'!J42)*СПРАВОЧНИК!$J$11+('ФАКТ ЧЕРН К3'!K42)*СПРАВОЧНИК!$H$12+('ФАКТ ЧЕРН К3'!L42)*СПРАВОЧНИК!$I$12+('ФАКТ ЧЕРН К3'!M42)*СПРАВОЧНИК!$J$12+('ФАКТ ЧЕРН К3'!N42)*СПРАВОЧНИК!$H$13+('ФАКТ ЧЕРН К3'!O42)*СПРАВОЧНИК!$I$13+('ФАКТ ЧЕРН К3'!P42)*СПРАВОЧНИК!$J$13+('ФАКТ ЧЕРН К3'!Q42)*СПРАВОЧНИК!$H$14+('ФАКТ ЧЕРН К3'!R42)*СПРАВОЧНИК!$I$14+('ФАКТ ЧЕРН К3'!S42)*СПРАВОЧНИК!$J$14+('ФАКТ ЧЕРН К3'!T42)*СПРАВОЧНИК!$H$15+('ФАКТ ЧЕРН К3'!U42)*СПРАВОЧНИК!$I$15+('ФАКТ ЧЕРН К3'!V42)*СПРАВОЧНИК!$J$15</f>
        <v>0</v>
      </c>
      <c r="BQ51" s="18">
        <f t="shared" si="23"/>
        <v>46433</v>
      </c>
      <c r="BR51" s="37">
        <f>'ПЛАН ЧИСТ К3'!B42*СПРАВОЧНИК!$L$9+'ПЛАН ЧИСТ К3'!C42*СПРАВОЧНИК!$M$9+'ПЛАН ЧИСТ К3'!D42*СПРАВОЧНИК!$N$9+'ПЛАН ЧИСТ К3'!E42*СПРАВОЧНИК!$O$9+'ПЛАН ЧИСТ К3'!F42*СПРАВОЧНИК!$L$10+'ПЛАН ЧИСТ К3'!G42*СПРАВОЧНИК!$M$10+'ПЛАН ЧИСТ К3'!H42*СПРАВОЧНИК!$N$10+'ПЛАН ЧИСТ К3'!I42*СПРАВОЧНИК!$L$11+'ПЛАН ЧИСТ К3'!J42*СПРАВОЧНИК!$M$11+'ПЛАН ЧИСТ К3'!K42*СПРАВОЧНИК!$N$11+'ПЛАН ЧИСТ К3'!L42*СПРАВОЧНИК!$L$12+'ПЛАН ЧИСТ К3'!M42*СПРАВОЧНИК!$M$12+'ПЛАН ЧИСТ К3'!N42*СПРАВОЧНИК!$N$12+'ПЛАН ЧИСТ К3'!O42*СПРАВОЧНИК!$L$13+'ПЛАН ЧИСТ К3'!P42*СПРАВОЧНИК!$M$13+'ПЛАН ЧИСТ К3'!Q42*СПРАВОЧНИК!$N$13+'ПЛАН ЧИСТ К3'!R42*СПРАВОЧНИК!$L$14+'ПЛАН ЧИСТ К3'!S42*СПРАВОЧНИК!$M$14+'ПЛАН ЧИСТ К3'!T42*СПРАВОЧНИК!$N$14+'ПЛАН ЧИСТ К3'!U42*СПРАВОЧНИК!$L$15+'ПЛАН ЧИСТ К3'!V42*СПРАВОЧНИК!$M$15+'ПЛАН ЧИСТ К3'!W42*СПРАВОЧНИК!$N$15</f>
        <v>0</v>
      </c>
      <c r="BS51" s="40">
        <f>('ФАКТ ЧИСТ К3'!B42)*СПРАВОЧНИК!$L$9+('ФАКТ ЧИСТ К3'!C42)*СПРАВОЧНИК!$M$9+('ФАКТ ЧИСТ К3'!D42)*СПРАВОЧНИК!$N$9+('ФАКТ ЧИСТ К3'!E42)*СПРАВОЧНИК!$O$9+('ФАКТ ЧИСТ К3'!F42)*СПРАВОЧНИК!$L$10+('ФАКТ ЧИСТ К3'!G42)*СПРАВОЧНИК!$M$10+('ФАКТ ЧИСТ К3'!H42)*СПРАВОЧНИК!$N$10+('ФАКТ ЧИСТ К3'!I42)*СПРАВОЧНИК!$L$11+('ФАКТ ЧИСТ К3'!J42)*СПРАВОЧНИК!$M$11+('ФАКТ ЧИСТ К3'!K42)*СПРАВОЧНИК!$N$11+('ФАКТ ЧИСТ К3'!L42)*СПРАВОЧНИК!$L$12+('ФАКТ ЧИСТ К3'!M42)*СПРАВОЧНИК!$M$12+('ФАКТ ЧИСТ К3'!N42)*СПРАВОЧНИК!$N$12+('ФАКТ ЧИСТ К3'!O42)*СПРАВОЧНИК!$L$13+('ФАКТ ЧИСТ К3'!P42)*СПРАВОЧНИК!$M$13+('ФАКТ ЧИСТ К3'!Q42)*СПРАВОЧНИК!$N$13+('ФАКТ ЧИСТ К3'!R42)*СПРАВОЧНИК!$L$14+('ФАКТ ЧИСТ К3'!S42)*СПРАВОЧНИК!$M$14+('ФАКТ ЧИСТ К3'!T42)*СПРАВОЧНИК!$N$14+('ФАКТ ЧИСТ К3'!U42)*СПРАВОЧНИК!$L$15+('ФАКТ ЧИСТ К3'!V42)*СПРАВОЧНИК!$M$15+('ФАКТ ЧИСТ К3'!W42)*СПРАВОЧНИК!$N$15</f>
        <v>0</v>
      </c>
      <c r="BW51" s="18">
        <f t="shared" si="24"/>
        <v>46433</v>
      </c>
      <c r="BX51" s="37">
        <f t="shared" si="0"/>
        <v>0</v>
      </c>
      <c r="BY51" s="40">
        <f t="shared" si="1"/>
        <v>0</v>
      </c>
      <c r="CC51" s="18">
        <f t="shared" si="25"/>
        <v>46433</v>
      </c>
      <c r="CD51" s="37">
        <f t="shared" si="2"/>
        <v>0</v>
      </c>
      <c r="CE51" s="40">
        <f t="shared" si="3"/>
        <v>0</v>
      </c>
      <c r="CI51" s="18">
        <f t="shared" si="26"/>
        <v>46433</v>
      </c>
      <c r="CJ51" s="37">
        <f t="shared" si="4"/>
        <v>0</v>
      </c>
      <c r="CK51" s="40">
        <f t="shared" si="5"/>
        <v>0</v>
      </c>
      <c r="CO51" s="18">
        <f t="shared" si="27"/>
        <v>46433</v>
      </c>
      <c r="CP51" s="37">
        <f t="shared" si="6"/>
        <v>0</v>
      </c>
      <c r="CQ51" s="40">
        <f t="shared" si="7"/>
        <v>0</v>
      </c>
      <c r="CU51" s="18">
        <f t="shared" si="28"/>
        <v>46433</v>
      </c>
      <c r="CV51" s="37">
        <f t="shared" si="8"/>
        <v>0</v>
      </c>
      <c r="CW51" s="40">
        <f t="shared" si="9"/>
        <v>0</v>
      </c>
      <c r="DA51" s="18">
        <f t="shared" si="29"/>
        <v>46433</v>
      </c>
      <c r="DB51" s="37">
        <f t="shared" si="10"/>
        <v>0</v>
      </c>
      <c r="DC51" s="40">
        <f t="shared" si="11"/>
        <v>0</v>
      </c>
    </row>
    <row r="52" spans="3:107" x14ac:dyDescent="0.25">
      <c r="C52" s="18">
        <f t="shared" si="12"/>
        <v>46440</v>
      </c>
      <c r="D52" s="37">
        <f>СПРАВОЧНИК!$E$3*('ПЛАН ЧЕРН ПОДЗЕМ'!B43*СПРАВОЧНИК!$H$3+'ПЛАН ЧЕРН ПОДЗЕМ'!C43*СПРАВОЧНИК!$I$3+'ПЛАН ЧЕРН ПОДЗЕМ'!D43*СПРАВОЧНИК!$J$3)+СПРАВОЧНИК!$E$4*('ПЛАН ЧЕРН ПОДЗЕМ'!E43*СПРАВОЧНИК!$H$4+'ПЛАН ЧЕРН ПОДЗЕМ'!F43*СПРАВОЧНИК!$I$4+'ПЛАН ЧЕРН ПОДЗЕМ'!G43*СПРАВОЧНИК!$J$4)+СПРАВОЧНИК!$E$5*('ПЛАН ЧЕРН ПОДЗЕМ'!H43*СПРАВОЧНИК!$H$5+'ПЛАН ЧЕРН ПОДЗЕМ'!I43*СПРАВОЧНИК!$I$5+'ПЛАН ЧЕРН ПОДЗЕМ'!J43*СПРАВОЧНИК!$J$5)+СПРАВОЧНИК!$E$6*('ПЛАН ЧЕРН ПОДЗЕМ'!K43*СПРАВОЧНИК!$H$6+'ПЛАН ЧЕРН ПОДЗЕМ'!L43*СПРАВОЧНИК!$I$6+'ПЛАН ЧЕРН ПОДЗЕМ'!M43*СПРАВОЧНИК!$J$6)+СПРАВОЧНИК!$E$7*('ПЛАН ЧЕРН ПОДЗЕМ'!N43*СПРАВОЧНИК!$H$7+'ПЛАН ЧЕРН ПОДЗЕМ'!O43*СПРАВОЧНИК!$I$7+'ПЛАН ЧЕРН ПОДЗЕМ'!P43*СПРАВОЧНИК!$J$7)+СПРАВОЧНИК!$E$8*('ПЛАН ЧЕРН ПОДЗЕМ'!Q43*СПРАВОЧНИК!$H$8+'ПЛАН ЧЕРН ПОДЗЕМ'!R43*СПРАВОЧНИК!$I$8+'ПЛАН ЧЕРН ПОДЗЕМ'!S43*СПРАВОЧНИК!$J$8)+СПРАВОЧНИК!$F$3*('ПЛАН ЧИСТ ПОДЗЕМ'!B43*СПРАВОЧНИК!$L$3+'ПЛАН ЧИСТ ПОДЗЕМ'!C43*СПРАВОЧНИК!$M$3+'ПЛАН ЧИСТ ПОДЗЕМ'!D43*СПРАВОЧНИК!$N$3)+СПРАВОЧНИК!$F$4*('ПЛАН ЧИСТ ПОДЗЕМ'!E43*СПРАВОЧНИК!$L$4+'ПЛАН ЧИСТ ПОДЗЕМ'!F43*СПРАВОЧНИК!$M$4+'ПЛАН ЧИСТ ПОДЗЕМ'!G43*СПРАВОЧНИК!$N$4)+СПРАВОЧНИК!$F$5*('ПЛАН ЧИСТ ПОДЗЕМ'!H43*СПРАВОЧНИК!$L$5+'ПЛАН ЧИСТ ПОДЗЕМ'!I43*СПРАВОЧНИК!$M$5+'ПЛАН ЧИСТ ПОДЗЕМ'!J43*СПРАВОЧНИК!$N$5)+СПРАВОЧНИК!$F$6*('ПЛАН ЧИСТ ПОДЗЕМ'!K43*СПРАВОЧНИК!$L$6+'ПЛАН ЧИСТ ПОДЗЕМ'!L43*СПРАВОЧНИК!$M$6+'ПЛАН ЧИСТ ПОДЗЕМ'!M43*СПРАВОЧНИК!$N$6)+СПРАВОЧНИК!$F$7*('ПЛАН ЧИСТ ПОДЗЕМ'!N43*СПРАВОЧНИК!$L$7+'ПЛАН ЧИСТ ПОДЗЕМ'!O43*СПРАВОЧНИК!$M$7+'ПЛАН ЧИСТ ПОДЗЕМ'!P43*СПРАВОЧНИК!$N$7)+СПРАВОЧНИК!$F$8*('ПЛАН ЧИСТ ПОДЗЕМ'!Q43*СПРАВОЧНИК!$L$8+'ПЛАН ЧИСТ ПОДЗЕМ'!R43*СПРАВОЧНИК!$M$8+'ПЛАН ЧИСТ ПОДЗЕМ'!S43*СПРАВОЧНИК!$N$8)</f>
        <v>0</v>
      </c>
      <c r="E52" s="40">
        <f>СПРАВОЧНИК!$E$3*(('ФАКТ ЧЕРН ПОДЗЕМ'!B43)*СПРАВОЧНИК!$H$3+('ФАКТ ЧЕРН ПОДЗЕМ'!C43)*СПРАВОЧНИК!$I$3+('ФАКТ ЧЕРН ПОДЗЕМ'!D43)*СПРАВОЧНИК!$J$3)+СПРАВОЧНИК!$E$4*(('ФАКТ ЧЕРН ПОДЗЕМ'!E43)*СПРАВОЧНИК!$H$4+('ФАКТ ЧЕРН ПОДЗЕМ'!F43)*СПРАВОЧНИК!$I$4+('ФАКТ ЧЕРН ПОДЗЕМ'!G43)*СПРАВОЧНИК!$J$4)+СПРАВОЧНИК!$E$5*(('ФАКТ ЧЕРН ПОДЗЕМ'!H43)*СПРАВОЧНИК!$H$5+('ФАКТ ЧЕРН ПОДЗЕМ'!I43)*СПРАВОЧНИК!$I$5+('ФАКТ ЧЕРН ПОДЗЕМ'!J43)*СПРАВОЧНИК!$J$5)+СПРАВОЧНИК!$E$6*(('ФАКТ ЧЕРН ПОДЗЕМ'!K43)*СПРАВОЧНИК!$H$6+('ФАКТ ЧЕРН ПОДЗЕМ'!L43)*СПРАВОЧНИК!$I$6+('ФАКТ ЧЕРН ПОДЗЕМ'!M43)*СПРАВОЧНИК!$J$6)+СПРАВОЧНИК!$E$7*(('ФАКТ ЧЕРН ПОДЗЕМ'!N43)*СПРАВОЧНИК!$H$7+('ФАКТ ЧЕРН ПОДЗЕМ'!O43)*СПРАВОЧНИК!$I$7+('ФАКТ ЧЕРН ПОДЗЕМ'!P43)*СПРАВОЧНИК!$J$7)+СПРАВОЧНИК!$E$8*(('ФАКТ ЧЕРН ПОДЗЕМ'!Q43)*СПРАВОЧНИК!$H$8+('ФАКТ ЧЕРН ПОДЗЕМ'!R43)*СПРАВОЧНИК!$I$8+('ФАКТ ЧЕРН ПОДЗЕМ'!S43)*СПРАВОЧНИК!$J$8)+СПРАВОЧНИК!$F$3*(('ФАКТ ЧИСТ ПОДЗЕМ'!B43)*СПРАВОЧНИК!$L$3+('ФАКТ ЧИСТ ПОДЗЕМ'!C43)*СПРАВОЧНИК!$M$3+('ФАКТ ЧИСТ ПОДЗЕМ'!D43)*СПРАВОЧНИК!$N$3)+СПРАВОЧНИК!$F$4*(('ФАКТ ЧИСТ ПОДЗЕМ'!E43)*СПРАВОЧНИК!$L$4+('ФАКТ ЧИСТ ПОДЗЕМ'!F43)*СПРАВОЧНИК!$M$4+('ФАКТ ЧИСТ ПОДЗЕМ'!G43)*СПРАВОЧНИК!$N$4)+СПРАВОЧНИК!$F$5*(('ФАКТ ЧИСТ ПОДЗЕМ'!H43)*СПРАВОЧНИК!$L$5+('ФАКТ ЧИСТ ПОДЗЕМ'!I43)*СПРАВОЧНИК!$M$5+('ФАКТ ЧИСТ ПОДЗЕМ'!J43)*СПРАВОЧНИК!$N$5)+СПРАВОЧНИК!$F$6*(('ФАКТ ЧИСТ ПОДЗЕМ'!K43)*СПРАВОЧНИК!$L$6+('ФАКТ ЧИСТ ПОДЗЕМ'!L43)*СПРАВОЧНИК!$M$6+('ФАКТ ЧИСТ ПОДЗЕМ'!M43)*СПРАВОЧНИК!$N$6)+СПРАВОЧНИК!$F$7*(('ФАКТ ЧИСТ ПОДЗЕМ'!N43)*СПРАВОЧНИК!$L$7+('ФАКТ ЧИСТ ПОДЗЕМ'!O43)*СПРАВОЧНИК!$M$7+('ФАКТ ЧИСТ ПОДЗЕМ'!P43)*СПРАВОЧНИК!$N$7)+СПРАВОЧНИК!$F$8*(('ФАКТ ЧИСТ ПОДЗЕМ'!Q43)*СПРАВОЧНИК!$L$8+('ФАКТ ЧИСТ ПОДЗЕМ'!R43)*СПРАВОЧНИК!$M$8+('ФАКТ ЧИСТ ПОДЗЕМ'!S43)*СПРАВОЧНИК!$N$8)</f>
        <v>0</v>
      </c>
      <c r="I52" s="18">
        <f t="shared" si="13"/>
        <v>46440</v>
      </c>
      <c r="J52" s="37">
        <f>'ПЛАН ЧЕРН ПОДЗЕМ'!B43*СПРАВОЧНИК!$H$3+'ПЛАН ЧЕРН ПОДЗЕМ'!C43*СПРАВОЧНИК!$I$3+'ПЛАН ЧЕРН ПОДЗЕМ'!D43*СПРАВОЧНИК!$J$3+'ПЛАН ЧЕРН ПОДЗЕМ'!E43*СПРАВОЧНИК!$H$4+'ПЛАН ЧЕРН ПОДЗЕМ'!F43*СПРАВОЧНИК!$I$4+'ПЛАН ЧЕРН ПОДЗЕМ'!G43*СПРАВОЧНИК!$J$4+'ПЛАН ЧЕРН ПОДЗЕМ'!H43*СПРАВОЧНИК!$H$5+'ПЛАН ЧЕРН ПОДЗЕМ'!I43*СПРАВОЧНИК!$I$5+'ПЛАН ЧЕРН ПОДЗЕМ'!J43*СПРАВОЧНИК!$J$5+'ПЛАН ЧЕРН ПОДЗЕМ'!K43*СПРАВОЧНИК!$H$6+'ПЛАН ЧЕРН ПОДЗЕМ'!L43*СПРАВОЧНИК!$I$6+'ПЛАН ЧЕРН ПОДЗЕМ'!M43*СПРАВОЧНИК!$J$6+'ПЛАН ЧЕРН ПОДЗЕМ'!N43*СПРАВОЧНИК!$H$7+'ПЛАН ЧЕРН ПОДЗЕМ'!O43*СПРАВОЧНИК!$I$7+'ПЛАН ЧЕРН ПОДЗЕМ'!P43*СПРАВОЧНИК!$J$7+'ПЛАН ЧЕРН ПОДЗЕМ'!Q43*СПРАВОЧНИК!$H$8+'ПЛАН ЧЕРН ПОДЗЕМ'!R43*СПРАВОЧНИК!$I$8+'ПЛАН ЧЕРН ПОДЗЕМ'!S43*СПРАВОЧНИК!$J$8</f>
        <v>0</v>
      </c>
      <c r="K52" s="40">
        <f>('ФАКТ ЧЕРН ПОДЗЕМ'!B43)*СПРАВОЧНИК!$H$3+('ФАКТ ЧЕРН ПОДЗЕМ'!C43)*СПРАВОЧНИК!$I$3+('ФАКТ ЧЕРН ПОДЗЕМ'!D43)*СПРАВОЧНИК!$J$3+('ФАКТ ЧЕРН ПОДЗЕМ'!E43)*СПРАВОЧНИК!$H$4+('ФАКТ ЧЕРН ПОДЗЕМ'!F43)*СПРАВОЧНИК!$I$4+('ФАКТ ЧЕРН ПОДЗЕМ'!G43)*СПРАВОЧНИК!$J$4+('ФАКТ ЧЕРН ПОДЗЕМ'!H43)*СПРАВОЧНИК!$H$5+('ФАКТ ЧЕРН ПОДЗЕМ'!I43)*СПРАВОЧНИК!$I$5+('ФАКТ ЧЕРН ПОДЗЕМ'!J43)*СПРАВОЧНИК!$J$5+('ФАКТ ЧЕРН ПОДЗЕМ'!K43)*СПРАВОЧНИК!$H$6+('ФАКТ ЧЕРН ПОДЗЕМ'!L43)*СПРАВОЧНИК!$I$6+('ФАКТ ЧЕРН ПОДЗЕМ'!M43)*СПРАВОЧНИК!$J$6+('ФАКТ ЧЕРН ПОДЗЕМ'!N43)*СПРАВОЧНИК!$H$7+('ФАКТ ЧЕРН ПОДЗЕМ'!O43)*СПРАВОЧНИК!$I$7+('ФАКТ ЧЕРН ПОДЗЕМ'!P43)*СПРАВОЧНИК!$J$7+('ФАКТ ЧЕРН ПОДЗЕМ'!Q43)*СПРАВОЧНИК!$H$8+('ФАКТ ЧЕРН ПОДЗЕМ'!R43)*СПРАВОЧНИК!$I$8+('ФАКТ ЧЕРН ПОДЗЕМ'!S43)*СПРАВОЧНИК!$J$8</f>
        <v>0</v>
      </c>
      <c r="O52" s="18">
        <f t="shared" si="14"/>
        <v>46440</v>
      </c>
      <c r="P52" s="37">
        <f>'ПЛАН ЧИСТ ПОДЗЕМ'!B43*СПРАВОЧНИК!$L$3+'ПЛАН ЧИСТ ПОДЗЕМ'!C43*СПРАВОЧНИК!$M$3+'ПЛАН ЧИСТ ПОДЗЕМ'!D43*СПРАВОЧНИК!$N$3+'ПЛАН ЧИСТ ПОДЗЕМ'!E43*СПРАВОЧНИК!$L$4+'ПЛАН ЧИСТ ПОДЗЕМ'!F43*СПРАВОЧНИК!$M$4+'ПЛАН ЧИСТ ПОДЗЕМ'!G43*СПРАВОЧНИК!$N$4+'ПЛАН ЧИСТ ПОДЗЕМ'!H43*СПРАВОЧНИК!$L$5+'ПЛАН ЧИСТ ПОДЗЕМ'!I43*СПРАВОЧНИК!$M$5+'ПЛАН ЧИСТ ПОДЗЕМ'!J43*СПРАВОЧНИК!$N$5+'ПЛАН ЧИСТ ПОДЗЕМ'!K43*СПРАВОЧНИК!$L$6+'ПЛАН ЧИСТ ПОДЗЕМ'!L43*СПРАВОЧНИК!$M$6+'ПЛАН ЧИСТ ПОДЗЕМ'!M43*СПРАВОЧНИК!$N$6+'ПЛАН ЧИСТ ПОДЗЕМ'!N43*СПРАВОЧНИК!$L$7+'ПЛАН ЧИСТ ПОДЗЕМ'!O43*СПРАВОЧНИК!$M$7+'ПЛАН ЧИСТ ПОДЗЕМ'!P43*СПРАВОЧНИК!$N$7+'ПЛАН ЧИСТ ПОДЗЕМ'!Q43*СПРАВОЧНИК!$L$8+'ПЛАН ЧИСТ ПОДЗЕМ'!R43*СПРАВОЧНИК!$M$8+'ПЛАН ЧИСТ ПОДЗЕМ'!S43*СПРАВОЧНИК!$N$8</f>
        <v>0</v>
      </c>
      <c r="Q52" s="40">
        <f>('ФАКТ ЧИСТ ПОДЗЕМ'!B43)*СПРАВОЧНИК!$L$3+('ФАКТ ЧИСТ ПОДЗЕМ'!C43)*СПРАВОЧНИК!$M$3+('ФАКТ ЧИСТ ПОДЗЕМ'!D43)*СПРАВОЧНИК!$N$3+('ФАКТ ЧИСТ ПОДЗЕМ'!E43)*СПРАВОЧНИК!$L$4+('ФАКТ ЧИСТ ПОДЗЕМ'!F43)*СПРАВОЧНИК!$M$4+('ФАКТ ЧИСТ ПОДЗЕМ'!G43)*СПРАВОЧНИК!$N$4+('ФАКТ ЧИСТ ПОДЗЕМ'!H43)*СПРАВОЧНИК!$L$5+('ФАКТ ЧИСТ ПОДЗЕМ'!I43)*СПРАВОЧНИК!$M$5+('ФАКТ ЧИСТ ПОДЗЕМ'!J43)*СПРАВОЧНИК!$N$5+('ФАКТ ЧИСТ ПОДЗЕМ'!K43)*СПРАВОЧНИК!$L$6+('ФАКТ ЧИСТ ПОДЗЕМ'!L43)*СПРАВОЧНИК!$M$6+('ФАКТ ЧИСТ ПОДЗЕМ'!M43)*СПРАВОЧНИК!$N$6+('ФАКТ ЧИСТ ПОДЗЕМ'!N43)*СПРАВОЧНИК!$L$7+('ФАКТ ЧИСТ ПОДЗЕМ'!O43)*СПРАВОЧНИК!$M$7+('ФАКТ ЧИСТ ПОДЗЕМ'!P43)*СПРАВОЧНИК!$N$7+('ФАКТ ЧИСТ ПОДЗЕМ'!Q43)*СПРАВОЧНИК!$L$8+('ФАКТ ЧИСТ ПОДЗЕМ'!R43)*СПРАВОЧНИК!$M$8+('ФАКТ ЧИСТ ПОДЗЕМ'!S43)*СПРАВОЧНИК!$N$8</f>
        <v>0</v>
      </c>
      <c r="U52" s="18">
        <f t="shared" si="15"/>
        <v>46440</v>
      </c>
      <c r="V52" s="37">
        <f>СПРАВОЧНИК!$E$9*('ПЛАН ЧЕРН К1'!B43*СПРАВОЧНИК!$H$9+'ПЛАН ЧЕРН К1'!C43*СПРАВОЧНИК!$I$9+'ПЛАН ЧЕРН К1'!D43*СПРАВОЧНИК!$J$9)+СПРАВОЧНИК!$E$10*('ПЛАН ЧЕРН К1'!E43*СПРАВОЧНИК!$H$10+'ПЛАН ЧЕРН К1'!F43*СПРАВОЧНИК!$I$10+'ПЛАН ЧЕРН К1'!G43*СПРАВОЧНИК!$J$10)+СПРАВОЧНИК!$E$11*('ПЛАН ЧЕРН К1'!H43*СПРАВОЧНИК!$H$11+'ПЛАН ЧЕРН К1'!I43*СПРАВОЧНИК!$I$11+'ПЛАН ЧЕРН К1'!J43*СПРАВОЧНИК!$J$11)+СПРАВОЧНИК!$E$12*('ПЛАН ЧЕРН К1'!K43*СПРАВОЧНИК!$H$12+'ПЛАН ЧЕРН К1'!L43*СПРАВОЧНИК!$I$12+'ПЛАН ЧЕРН К1'!M43*СПРАВОЧНИК!$J$12)+СПРАВОЧНИК!$E$13*('ПЛАН ЧЕРН К1'!N43*СПРАВОЧНИК!$H$13+'ПЛАН ЧЕРН К1'!O43*СПРАВОЧНИК!$I$13+'ПЛАН ЧЕРН К1'!P43*СПРАВОЧНИК!$J$13)+СПРАВОЧНИК!$E$14*('ПЛАН ЧЕРН К1'!Q43*СПРАВОЧНИК!$H$14+'ПЛАН ЧЕРН К1'!R43*СПРАВОЧНИК!$I$14+'ПЛАН ЧЕРН К1'!S43*СПРАВОЧНИК!$J$14)+СПРАВОЧНИК!$E$15*('ПЛАН ЧЕРН К1'!T43*СПРАВОЧНИК!$H$15+'ПЛАН ЧЕРН К1'!U43*СПРАВОЧНИК!$I$15+'ПЛАН ЧЕРН К1'!V43*СПРАВОЧНИК!$J$15)+СПРАВОЧНИК!$F$9*('ПЛАН ЧИСТ К1'!B43*СПРАВОЧНИК!$L$9+'ПЛАН ЧИСТ К1'!C43*СПРАВОЧНИК!$M$9+'ПЛАН ЧИСТ К1'!D43*СПРАВОЧНИК!$N$9+'ПЛАН ЧИСТ К1'!E43*СПРАВОЧНИК!$O$9)+СПРАВОЧНИК!$F$10*('ПЛАН ЧИСТ К1'!F43*СПРАВОЧНИК!$L$10+'ПЛАН ЧИСТ К1'!G43*СПРАВОЧНИК!$M$10+'ПЛАН ЧИСТ К1'!H43*СПРАВОЧНИК!$N$10)+СПРАВОЧНИК!$F$11*('ПЛАН ЧИСТ К1'!I43*СПРАВОЧНИК!$L$11+'ПЛАН ЧИСТ К1'!J43*СПРАВОЧНИК!$M$11+'ПЛАН ЧИСТ К1'!K43*СПРАВОЧНИК!$N$11)+СПРАВОЧНИК!$F$12*('ПЛАН ЧИСТ К1'!L43*СПРАВОЧНИК!$L$12+'ПЛАН ЧИСТ К1'!M43*СПРАВОЧНИК!$M$12+'ПЛАН ЧИСТ К1'!N43*СПРАВОЧНИК!$N$12)+СПРАВОЧНИК!$F$13*('ПЛАН ЧИСТ К1'!O43*СПРАВОЧНИК!$L$13+'ПЛАН ЧИСТ К1'!P43*СПРАВОЧНИК!$M$13+'ПЛАН ЧИСТ К1'!Q43*СПРАВОЧНИК!$N$13)+СПРАВОЧНИК!$F$14*('ПЛАН ЧИСТ К1'!R43*СПРАВОЧНИК!$L$14+'ПЛАН ЧИСТ К1'!S43*СПРАВОЧНИК!$M$14+'ПЛАН ЧИСТ К1'!T43*СПРАВОЧНИК!$N$14)+СПРАВОЧНИК!$F$15*('ПЛАН ЧИСТ К1'!U43*СПРАВОЧНИК!$L$15+'ПЛАН ЧИСТ К1'!V43*СПРАВОЧНИК!$M$15+'ПЛАН ЧИСТ К1'!W43*СПРАВОЧНИК!$N$15)</f>
        <v>0</v>
      </c>
      <c r="W52" s="40">
        <f>СПРАВОЧНИК!$E$9*(('ФАКТ ЧЕРН К1'!B43)*СПРАВОЧНИК!$H$9+('ФАКТ ЧЕРН К1'!C43)*СПРАВОЧНИК!$I$9+('ФАКТ ЧЕРН К1'!D43)*СПРАВОЧНИК!$J$9)+СПРАВОЧНИК!$E$10*(('ФАКТ ЧЕРН К1'!E43)*СПРАВОЧНИК!$H$10+('ФАКТ ЧЕРН К1'!F43)*СПРАВОЧНИК!$I$10+('ФАКТ ЧЕРН К1'!G43)*СПРАВОЧНИК!$J$10)+СПРАВОЧНИК!$E$11*(('ФАКТ ЧЕРН К1'!H43)*СПРАВОЧНИК!$H$11+('ФАКТ ЧЕРН К1'!I43)*СПРАВОЧНИК!$I$11+('ФАКТ ЧЕРН К1'!J43)*СПРАВОЧНИК!$J$11)+СПРАВОЧНИК!$E$12*(('ФАКТ ЧЕРН К1'!K43)*СПРАВОЧНИК!$H$12+('ФАКТ ЧЕРН К1'!L43)*СПРАВОЧНИК!$I$12+('ФАКТ ЧЕРН К1'!M43)*СПРАВОЧНИК!$J$12)+СПРАВОЧНИК!$E$13*(('ФАКТ ЧЕРН К1'!N43)*СПРАВОЧНИК!$H$13+('ФАКТ ЧЕРН К1'!O43)*СПРАВОЧНИК!$I$13+('ФАКТ ЧЕРН К1'!P43)*СПРАВОЧНИК!$J$13)+СПРАВОЧНИК!$E$14*(('ФАКТ ЧЕРН К1'!Q43)*СПРАВОЧНИК!$H$14+('ФАКТ ЧЕРН К1'!R43)*СПРАВОЧНИК!$I$14+('ФАКТ ЧЕРН К1'!S43)*СПРАВОЧНИК!$J$14)+СПРАВОЧНИК!$E$15*(('ФАКТ ЧЕРН К1'!T43)*СПРАВОЧНИК!$H$15+('ФАКТ ЧЕРН К1'!U43)*СПРАВОЧНИК!$I$15+('ФАКТ ЧЕРН К1'!V43)*СПРАВОЧНИК!$J$15)+СПРАВОЧНИК!$F$9*(('ФАКТ ЧИСТ К1'!B43)*СПРАВОЧНИК!$L$9+('ФАКТ ЧИСТ К1'!C43)*СПРАВОЧНИК!$M$9+('ФАКТ ЧИСТ К1'!D43)*СПРАВОЧНИК!$N$9+('ФАКТ ЧИСТ К1'!E43)*СПРАВОЧНИК!$O$9)+СПРАВОЧНИК!$F$10*(('ФАКТ ЧИСТ К1'!F43)*СПРАВОЧНИК!$L$10+('ФАКТ ЧИСТ К1'!G43)*СПРАВОЧНИК!$M$10+('ФАКТ ЧИСТ К1'!H43)*СПРАВОЧНИК!$N$10)+СПРАВОЧНИК!$F$11*(('ФАКТ ЧИСТ К1'!I43)*СПРАВОЧНИК!$L$11+('ФАКТ ЧИСТ К1'!J43)*СПРАВОЧНИК!$M$11+('ФАКТ ЧИСТ К1'!K43)*СПРАВОЧНИК!$N$11)+СПРАВОЧНИК!$F$12*(('ФАКТ ЧИСТ К1'!L43)*СПРАВОЧНИК!$L$12+('ФАКТ ЧИСТ К1'!M43)*СПРАВОЧНИК!$M$12+('ФАКТ ЧИСТ К1'!N43)*СПРАВОЧНИК!$N$12)+СПРАВОЧНИК!$F$13*(('ФАКТ ЧИСТ К1'!O43)*СПРАВОЧНИК!$L$13+('ФАКТ ЧИСТ К1'!P43)*СПРАВОЧНИК!$M$13+('ФАКТ ЧИСТ К1'!Q43)*СПРАВОЧНИК!$N$13)+СПРАВОЧНИК!$F$14*(('ФАКТ ЧИСТ К1'!R43)*СПРАВОЧНИК!$L$14+('ФАКТ ЧИСТ К1'!S43)*СПРАВОЧНИК!$M$14+('ФАКТ ЧИСТ К1'!T43)*СПРАВОЧНИК!$N$14)+СПРАВОЧНИК!$F$15*(('ФАКТ ЧИСТ К1'!U43)*СПРАВОЧНИК!$L$15+('ФАКТ ЧИСТ К1'!V43)*СПРАВОЧНИК!$M$15+('ФАКТ ЧИСТ К1'!W43)*СПРАВОЧНИК!$N$15)</f>
        <v>0</v>
      </c>
      <c r="AA52" s="18">
        <f t="shared" si="16"/>
        <v>46440</v>
      </c>
      <c r="AB52" s="37">
        <f>'ПЛАН ЧЕРН К1'!B43*СПРАВОЧНИК!$H$9+'ПЛАН ЧЕРН К1'!C43*СПРАВОЧНИК!$I$9+'ПЛАН ЧЕРН К1'!D43*СПРАВОЧНИК!$J$9+'ПЛАН ЧЕРН К1'!E43*СПРАВОЧНИК!$H$10+'ПЛАН ЧЕРН К1'!F43*СПРАВОЧНИК!$I$10+'ПЛАН ЧЕРН К1'!G43*СПРАВОЧНИК!$J$10+'ПЛАН ЧЕРН К1'!H43*СПРАВОЧНИК!$H$11+'ПЛАН ЧЕРН К1'!I43*СПРАВОЧНИК!$I$11+'ПЛАН ЧЕРН К1'!J43*СПРАВОЧНИК!$J$11+'ПЛАН ЧЕРН К1'!K43*СПРАВОЧНИК!$H$12+'ПЛАН ЧЕРН К1'!L43*СПРАВОЧНИК!$I$12+'ПЛАН ЧЕРН К1'!M43*СПРАВОЧНИК!$J$12+'ПЛАН ЧЕРН К1'!N43*СПРАВОЧНИК!$H$13+'ПЛАН ЧЕРН К1'!O43*СПРАВОЧНИК!$I$13+'ПЛАН ЧЕРН К1'!P43*СПРАВОЧНИК!$J$13+'ПЛАН ЧЕРН К1'!Q43*СПРАВОЧНИК!$H$14+'ПЛАН ЧЕРН К1'!R43*СПРАВОЧНИК!$I$14+'ПЛАН ЧЕРН К1'!S43*СПРАВОЧНИК!$J$14+'ПЛАН ЧЕРН К1'!T43*СПРАВОЧНИК!$H$15+'ПЛАН ЧЕРН К1'!U43*СПРАВОЧНИК!$I$15+'ПЛАН ЧЕРН К1'!V43*СПРАВОЧНИК!$J$15</f>
        <v>0</v>
      </c>
      <c r="AC52" s="40">
        <f>('ФАКТ ЧЕРН К1'!B43)*СПРАВОЧНИК!$H$9+('ФАКТ ЧЕРН К1'!C43)*СПРАВОЧНИК!$I$9+('ФАКТ ЧЕРН К1'!D43)*СПРАВОЧНИК!$J$9+('ФАКТ ЧЕРН К1'!E43)*СПРАВОЧНИК!$H$10+('ФАКТ ЧЕРН К1'!F43)*СПРАВОЧНИК!$I$10+('ФАКТ ЧЕРН К1'!G43)*СПРАВОЧНИК!$J$10+('ФАКТ ЧЕРН К1'!H43)*СПРАВОЧНИК!$H$11+('ФАКТ ЧЕРН К1'!I43)*СПРАВОЧНИК!$I$11+('ФАКТ ЧЕРН К1'!J43)*СПРАВОЧНИК!$J$11+('ФАКТ ЧЕРН К1'!K43)*СПРАВОЧНИК!$H$12+('ФАКТ ЧЕРН К1'!L43)*СПРАВОЧНИК!$I$12+('ФАКТ ЧЕРН К1'!M43)*СПРАВОЧНИК!$J$12+('ФАКТ ЧЕРН К1'!N43)*СПРАВОЧНИК!$H$13+('ФАКТ ЧЕРН К1'!O43)*СПРАВОЧНИК!$I$13+('ФАКТ ЧЕРН К1'!P43)*СПРАВОЧНИК!$J$13+('ФАКТ ЧЕРН К1'!Q43)*СПРАВОЧНИК!$H$14+('ФАКТ ЧЕРН К1'!R43)*СПРАВОЧНИК!$I$14+('ФАКТ ЧЕРН К1'!S43)*СПРАВОЧНИК!$J$14+('ФАКТ ЧЕРН К1'!T43)*СПРАВОЧНИК!$H$15+('ФАКТ ЧЕРН К1'!U43)*СПРАВОЧНИК!$I$15+('ФАКТ ЧЕРН К1'!V43)*СПРАВОЧНИК!$J$15</f>
        <v>0</v>
      </c>
      <c r="AG52" s="18">
        <f t="shared" si="17"/>
        <v>46440</v>
      </c>
      <c r="AH52" s="37">
        <f>'ПЛАН ЧИСТ К1'!B43*СПРАВОЧНИК!$L$9+'ПЛАН ЧИСТ К1'!C43*СПРАВОЧНИК!$M$9+'ПЛАН ЧИСТ К1'!D43*СПРАВОЧНИК!$N$9+'ПЛАН ЧИСТ К1'!E43*СПРАВОЧНИК!$O$9+'ПЛАН ЧИСТ К1'!F43*СПРАВОЧНИК!$L$10+'ПЛАН ЧИСТ К1'!G43*СПРАВОЧНИК!$M$10+'ПЛАН ЧИСТ К1'!H43*СПРАВОЧНИК!$N$10+'ПЛАН ЧИСТ К1'!I43*СПРАВОЧНИК!$L$11+'ПЛАН ЧИСТ К1'!J43*СПРАВОЧНИК!$M$11+'ПЛАН ЧИСТ К1'!K43*СПРАВОЧНИК!$N$11+'ПЛАН ЧИСТ К1'!L43*СПРАВОЧНИК!$L$12+'ПЛАН ЧИСТ К1'!M43*СПРАВОЧНИК!$M$12+'ПЛАН ЧИСТ К1'!N43*СПРАВОЧНИК!$N$12+'ПЛАН ЧИСТ К1'!O43*СПРАВОЧНИК!$L$13+'ПЛАН ЧИСТ К1'!P43*СПРАВОЧНИК!$M$13+'ПЛАН ЧИСТ К1'!Q43*СПРАВОЧНИК!$N$13+'ПЛАН ЧИСТ К1'!R43*СПРАВОЧНИК!$L$14+'ПЛАН ЧИСТ К1'!S43*СПРАВОЧНИК!$M$14+'ПЛАН ЧИСТ К1'!T43*СПРАВОЧНИК!$N$14+'ПЛАН ЧИСТ К1'!U43*СПРАВОЧНИК!$L$15+'ПЛАН ЧИСТ К1'!V43*СПРАВОЧНИК!$M$15+'ПЛАН ЧИСТ К1'!W43*СПРАВОЧНИК!$N$15</f>
        <v>0</v>
      </c>
      <c r="AI52" s="40">
        <f>('ФАКТ ЧИСТ К1'!B43)*СПРАВОЧНИК!$L$9+('ФАКТ ЧИСТ К1'!C43)*СПРАВОЧНИК!$M$9+('ФАКТ ЧИСТ К1'!D43)*СПРАВОЧНИК!$N$9+('ФАКТ ЧИСТ К1'!E43)*СПРАВОЧНИК!$O$9+('ФАКТ ЧИСТ К1'!F43)*СПРАВОЧНИК!$L$10+('ФАКТ ЧИСТ К1'!G43)*СПРАВОЧНИК!$M$10+('ФАКТ ЧИСТ К1'!H43)*СПРАВОЧНИК!$N$10+('ФАКТ ЧИСТ К1'!I43)*СПРАВОЧНИК!$L$11+('ФАКТ ЧИСТ К1'!J43)*СПРАВОЧНИК!$M$11+('ФАКТ ЧИСТ К1'!K43)*СПРАВОЧНИК!$N$11+('ФАКТ ЧИСТ К1'!L43)*СПРАВОЧНИК!$L$12+('ФАКТ ЧИСТ К1'!M43)*СПРАВОЧНИК!$M$12+('ФАКТ ЧИСТ К1'!N43)*СПРАВОЧНИК!$N$12+('ФАКТ ЧИСТ К1'!O43)*СПРАВОЧНИК!$L$13+('ФАКТ ЧИСТ К1'!P43)*СПРАВОЧНИК!$M$13+('ФАКТ ЧИСТ К1'!Q43)*СПРАВОЧНИК!$N$13+('ФАКТ ЧИСТ К1'!R43)*СПРАВОЧНИК!$L$14+('ФАКТ ЧИСТ К1'!S43)*СПРАВОЧНИК!$M$14+('ФАКТ ЧИСТ К1'!T43)*СПРАВОЧНИК!$N$14+('ФАКТ ЧИСТ К1'!U43)*СПРАВОЧНИК!$L$15+('ФАКТ ЧИСТ К1'!V43)*СПРАВОЧНИК!$M$15+('ФАКТ ЧИСТ К1'!W43)*СПРАВОЧНИК!$N$15</f>
        <v>0</v>
      </c>
      <c r="AM52" s="18">
        <f t="shared" si="18"/>
        <v>46440</v>
      </c>
      <c r="AN52" s="37">
        <f>СПРАВОЧНИК!$E$9*('ПЛАН ЧЕРН К2'!B43*СПРАВОЧНИК!$H$9+'ПЛАН ЧЕРН К2'!C43*СПРАВОЧНИК!$I$9+'ПЛАН ЧЕРН К2'!D43*СПРАВОЧНИК!$J$9)+СПРАВОЧНИК!$E$10*('ПЛАН ЧЕРН К2'!E43*СПРАВОЧНИК!$H$10+'ПЛАН ЧЕРН К2'!F43*СПРАВОЧНИК!$I$10+'ПЛАН ЧЕРН К2'!G43*СПРАВОЧНИК!$J$10)+СПРАВОЧНИК!$E$11*('ПЛАН ЧЕРН К2'!H43*СПРАВОЧНИК!$H$11+'ПЛАН ЧЕРН К2'!I43*СПРАВОЧНИК!$I$11+'ПЛАН ЧЕРН К2'!J43*СПРАВОЧНИК!$J$11)+СПРАВОЧНИК!$E$12*('ПЛАН ЧЕРН К2'!K43*СПРАВОЧНИК!$H$12+'ПЛАН ЧЕРН К2'!L43*СПРАВОЧНИК!$I$12+'ПЛАН ЧЕРН К2'!M43*СПРАВОЧНИК!$J$12)+СПРАВОЧНИК!$E$13*('ПЛАН ЧЕРН К2'!N43*СПРАВОЧНИК!$H$13+'ПЛАН ЧЕРН К2'!O43*СПРАВОЧНИК!$I$13+'ПЛАН ЧЕРН К2'!P43*СПРАВОЧНИК!$J$13)+СПРАВОЧНИК!$E$14*('ПЛАН ЧЕРН К2'!Q43*СПРАВОЧНИК!$H$14+'ПЛАН ЧЕРН К2'!R43*СПРАВОЧНИК!$I$14+'ПЛАН ЧЕРН К2'!S43*СПРАВОЧНИК!$J$14)+СПРАВОЧНИК!$E$15*('ПЛАН ЧЕРН К2'!T43*СПРАВОЧНИК!$H$15+'ПЛАН ЧЕРН К2'!U43*СПРАВОЧНИК!$I$15+'ПЛАН ЧЕРН К2'!V43*СПРАВОЧНИК!$J$15)+СПРАВОЧНИК!$F$9*('ПЛАН ЧИСТ К2'!B43*СПРАВОЧНИК!$L$9+'ПЛАН ЧИСТ К2'!C43*СПРАВОЧНИК!$M$9+'ПЛАН ЧИСТ К2'!D43*СПРАВОЧНИК!$N$9+'ПЛАН ЧИСТ К2'!E43*СПРАВОЧНИК!$O$9)+СПРАВОЧНИК!$F$10*('ПЛАН ЧИСТ К2'!F43*СПРАВОЧНИК!$L$10+'ПЛАН ЧИСТ К2'!G43*СПРАВОЧНИК!$M$10+'ПЛАН ЧИСТ К2'!H43*СПРАВОЧНИК!$N$10)+СПРАВОЧНИК!$F$11*('ПЛАН ЧИСТ К2'!I43*СПРАВОЧНИК!$L$11+'ПЛАН ЧИСТ К2'!J43*СПРАВОЧНИК!$M$11+'ПЛАН ЧИСТ К2'!K43*СПРАВОЧНИК!$N$11)+СПРАВОЧНИК!$F$12*('ПЛАН ЧИСТ К2'!L43*СПРАВОЧНИК!$L$12+'ПЛАН ЧИСТ К2'!M43*СПРАВОЧНИК!$M$12+'ПЛАН ЧИСТ К2'!N43*СПРАВОЧНИК!$N$12)+СПРАВОЧНИК!$F$13*('ПЛАН ЧИСТ К2'!O43*СПРАВОЧНИК!$L$13+'ПЛАН ЧИСТ К2'!P43*СПРАВОЧНИК!$M$13+'ПЛАН ЧИСТ К2'!Q43*СПРАВОЧНИК!$N$13)+СПРАВОЧНИК!$F$14*('ПЛАН ЧИСТ К2'!R43*СПРАВОЧНИК!$L$14+'ПЛАН ЧИСТ К2'!S43*СПРАВОЧНИК!$M$14+'ПЛАН ЧИСТ К2'!T43*СПРАВОЧНИК!$N$14)+СПРАВОЧНИК!$F$15*('ПЛАН ЧИСТ К2'!U43*СПРАВОЧНИК!$L$15+'ПЛАН ЧИСТ К2'!V43*СПРАВОЧНИК!$M$15+'ПЛАН ЧИСТ К2'!W43*СПРАВОЧНИК!$N$15)</f>
        <v>0</v>
      </c>
      <c r="AO52" s="40">
        <f>СПРАВОЧНИК!$E$9*(('ФАКТ ЧЕРН К2'!B43)*СПРАВОЧНИК!$H$9+('ФАКТ ЧЕРН К2'!C43)*СПРАВОЧНИК!$I$9+('ФАКТ ЧЕРН К2'!D43)*СПРАВОЧНИК!$J$9)+СПРАВОЧНИК!$E$10*(('ФАКТ ЧЕРН К2'!E43)*СПРАВОЧНИК!$H$10+('ФАКТ ЧЕРН К2'!F43)*СПРАВОЧНИК!$I$10+('ФАКТ ЧЕРН К2'!G43)*СПРАВОЧНИК!$J$10)+СПРАВОЧНИК!$E$11*(('ФАКТ ЧЕРН К2'!H43)*СПРАВОЧНИК!$H$11+('ФАКТ ЧЕРН К2'!I43)*СПРАВОЧНИК!$I$11+('ФАКТ ЧЕРН К2'!J43)*СПРАВОЧНИК!$J$11)+СПРАВОЧНИК!$E$12*(('ФАКТ ЧЕРН К2'!K43)*СПРАВОЧНИК!$H$12+('ФАКТ ЧЕРН К2'!L43)*СПРАВОЧНИК!$I$12+('ФАКТ ЧЕРН К2'!M43)*СПРАВОЧНИК!$J$12)+СПРАВОЧНИК!$E$13*(('ФАКТ ЧЕРН К2'!N43)*СПРАВОЧНИК!$H$13+('ФАКТ ЧЕРН К2'!O43)*СПРАВОЧНИК!$I$13+('ФАКТ ЧЕРН К2'!P43)*СПРАВОЧНИК!$J$13)+СПРАВОЧНИК!$E$14*(('ФАКТ ЧЕРН К2'!Q43)*СПРАВОЧНИК!$H$14+('ФАКТ ЧЕРН К2'!R43)*СПРАВОЧНИК!$I$14+('ФАКТ ЧЕРН К2'!S43)*СПРАВОЧНИК!$J$14)+СПРАВОЧНИК!$E$15*(('ФАКТ ЧЕРН К2'!T43)*СПРАВОЧНИК!$H$15+('ФАКТ ЧЕРН К2'!U43)*СПРАВОЧНИК!$I$15+('ФАКТ ЧЕРН К2'!V43)*СПРАВОЧНИК!$J$15)+СПРАВОЧНИК!$F$9*(('ФАКТ ЧИСТ К2'!B43)*СПРАВОЧНИК!$L$9+('ФАКТ ЧИСТ К2'!C43)*СПРАВОЧНИК!$M$9+('ФАКТ ЧИСТ К2'!D43)*СПРАВОЧНИК!$N$9+('ФАКТ ЧИСТ К2'!E43)*СПРАВОЧНИК!$O$9)+СПРАВОЧНИК!$F$10*(('ФАКТ ЧИСТ К2'!F43)*СПРАВОЧНИК!$L$10+('ФАКТ ЧИСТ К2'!G43)*СПРАВОЧНИК!$M$10+('ФАКТ ЧИСТ К2'!H43)*СПРАВОЧНИК!$N$10)+СПРАВОЧНИК!$F$11*(('ФАКТ ЧИСТ К2'!I43)*СПРАВОЧНИК!$L$11+('ФАКТ ЧИСТ К2'!J43)*СПРАВОЧНИК!$M$11+('ФАКТ ЧИСТ К2'!K43)*СПРАВОЧНИК!$N$11)+СПРАВОЧНИК!$F$12*(('ФАКТ ЧИСТ К2'!L43)*СПРАВОЧНИК!$L$12+('ФАКТ ЧИСТ К2'!M43)*СПРАВОЧНИК!$M$12+('ФАКТ ЧИСТ К2'!N43)*СПРАВОЧНИК!$N$12)+СПРАВОЧНИК!$F$13*(('ФАКТ ЧИСТ К2'!O43)*СПРАВОЧНИК!$L$13+('ФАКТ ЧИСТ К2'!P43)*СПРАВОЧНИК!$M$13+('ФАКТ ЧИСТ К2'!Q43)*СПРАВОЧНИК!$N$13)+СПРАВОЧНИК!$F$14*(('ФАКТ ЧИСТ К2'!R43)*СПРАВОЧНИК!$L$14+('ФАКТ ЧИСТ К2'!S43)*СПРАВОЧНИК!$M$14+('ФАКТ ЧИСТ К2'!T43)*СПРАВОЧНИК!$N$14)+СПРАВОЧНИК!$F$15*(('ФАКТ ЧИСТ К2'!U43)*СПРАВОЧНИК!$L$15+('ФАКТ ЧИСТ К2'!V43)*СПРАВОЧНИК!$M$15+('ФАКТ ЧИСТ К2'!W43)*СПРАВОЧНИК!$N$15)</f>
        <v>0</v>
      </c>
      <c r="AS52" s="18">
        <f t="shared" si="19"/>
        <v>46440</v>
      </c>
      <c r="AT52" s="37">
        <f>'ПЛАН ЧЕРН К2'!B43*СПРАВОЧНИК!$H$9+'ПЛАН ЧЕРН К2'!C43*СПРАВОЧНИК!$I$9+'ПЛАН ЧЕРН К2'!D43*СПРАВОЧНИК!$J$9+'ПЛАН ЧЕРН К2'!E43*СПРАВОЧНИК!$H$10+'ПЛАН ЧЕРН К2'!F43*СПРАВОЧНИК!$I$10+'ПЛАН ЧЕРН К2'!G43*СПРАВОЧНИК!$J$10+'ПЛАН ЧЕРН К2'!H43*СПРАВОЧНИК!$H$11+'ПЛАН ЧЕРН К2'!I43*СПРАВОЧНИК!$I$11+'ПЛАН ЧЕРН К2'!J43*СПРАВОЧНИК!$J$11+'ПЛАН ЧЕРН К2'!K43*СПРАВОЧНИК!$H$12+'ПЛАН ЧЕРН К2'!L43*СПРАВОЧНИК!$I$12+'ПЛАН ЧЕРН К2'!M43*СПРАВОЧНИК!$J$12+'ПЛАН ЧЕРН К2'!N43*СПРАВОЧНИК!$H$13+'ПЛАН ЧЕРН К2'!O43*СПРАВОЧНИК!$I$13+'ПЛАН ЧЕРН К2'!P43*СПРАВОЧНИК!$J$13+'ПЛАН ЧЕРН К2'!Q43*СПРАВОЧНИК!$H$14+'ПЛАН ЧЕРН К2'!R43*СПРАВОЧНИК!$I$14+'ПЛАН ЧЕРН К2'!S43*СПРАВОЧНИК!$J$14+'ПЛАН ЧЕРН К2'!T43*СПРАВОЧНИК!$H$15+'ПЛАН ЧЕРН К2'!U43*СПРАВОЧНИК!$I$15+'ПЛАН ЧЕРН К2'!V43*СПРАВОЧНИК!$J$15</f>
        <v>0</v>
      </c>
      <c r="AU52" s="40">
        <f>('ФАКТ ЧЕРН К2'!B43)*СПРАВОЧНИК!$H$9+('ФАКТ ЧЕРН К2'!C43)*СПРАВОЧНИК!$I$9+('ФАКТ ЧЕРН К2'!D43)*СПРАВОЧНИК!$J$9+('ФАКТ ЧЕРН К2'!E43)*СПРАВОЧНИК!$H$10+('ФАКТ ЧЕРН К2'!F43)*СПРАВОЧНИК!$I$10+('ФАКТ ЧЕРН К2'!G43)*СПРАВОЧНИК!$J$10+('ФАКТ ЧЕРН К2'!H43)*СПРАВОЧНИК!$H$11+('ФАКТ ЧЕРН К2'!I43)*СПРАВОЧНИК!$I$11+('ФАКТ ЧЕРН К2'!J43)*СПРАВОЧНИК!$J$11+('ФАКТ ЧЕРН К2'!K43)*СПРАВОЧНИК!$H$12+('ФАКТ ЧЕРН К2'!L43)*СПРАВОЧНИК!$I$12+('ФАКТ ЧЕРН К2'!M43)*СПРАВОЧНИК!$J$12+('ФАКТ ЧЕРН К2'!N43)*СПРАВОЧНИК!$H$13+('ФАКТ ЧЕРН К2'!O43)*СПРАВОЧНИК!$I$13+('ФАКТ ЧЕРН К2'!P43)*СПРАВОЧНИК!$J$13+('ФАКТ ЧЕРН К2'!Q43)*СПРАВОЧНИК!$H$14+('ФАКТ ЧЕРН К2'!R43)*СПРАВОЧНИК!$I$14+('ФАКТ ЧЕРН К2'!S43)*СПРАВОЧНИК!$J$14+('ФАКТ ЧЕРН К2'!T43)*СПРАВОЧНИК!$H$15+('ФАКТ ЧЕРН К2'!U43)*СПРАВОЧНИК!$I$15+('ФАКТ ЧЕРН К2'!V43)*СПРАВОЧНИК!$J$15</f>
        <v>0</v>
      </c>
      <c r="AY52" s="18">
        <f t="shared" si="20"/>
        <v>46440</v>
      </c>
      <c r="AZ52" s="37">
        <f>'ПЛАН ЧИСТ К2'!B43*СПРАВОЧНИК!$L$9+'ПЛАН ЧИСТ К2'!C43*СПРАВОЧНИК!$M$9+'ПЛАН ЧИСТ К2'!D43*СПРАВОЧНИК!$N$9+'ПЛАН ЧИСТ К2'!E43*СПРАВОЧНИК!$O$9+'ПЛАН ЧИСТ К2'!F43*СПРАВОЧНИК!$L$10+'ПЛАН ЧИСТ К2'!G43*СПРАВОЧНИК!$M$10+'ПЛАН ЧИСТ К2'!H43*СПРАВОЧНИК!$N$10+'ПЛАН ЧИСТ К2'!I43*СПРАВОЧНИК!$L$11+'ПЛАН ЧИСТ К2'!J43*СПРАВОЧНИК!$M$11+'ПЛАН ЧИСТ К2'!K43*СПРАВОЧНИК!$N$11+'ПЛАН ЧИСТ К2'!L43*СПРАВОЧНИК!$L$12+'ПЛАН ЧИСТ К2'!M43*СПРАВОЧНИК!$M$12+'ПЛАН ЧИСТ К2'!N43*СПРАВОЧНИК!$N$12+'ПЛАН ЧИСТ К2'!O43*СПРАВОЧНИК!$L$13+'ПЛАН ЧИСТ К2'!P43*СПРАВОЧНИК!$M$13+'ПЛАН ЧИСТ К2'!Q43*СПРАВОЧНИК!$N$13+'ПЛАН ЧИСТ К2'!R43*СПРАВОЧНИК!$L$14+'ПЛАН ЧИСТ К2'!S43*СПРАВОЧНИК!$M$14+'ПЛАН ЧИСТ К2'!T43*СПРАВОЧНИК!$N$14+'ПЛАН ЧИСТ К2'!U43*СПРАВОЧНИК!$L$15+'ПЛАН ЧИСТ К2'!V43*СПРАВОЧНИК!$M$15+'ПЛАН ЧИСТ К2'!W43*СПРАВОЧНИК!$N$15</f>
        <v>0</v>
      </c>
      <c r="BA52" s="40">
        <f>('ФАКТ ЧИСТ К2'!B43)*СПРАВОЧНИК!$L$9+('ФАКТ ЧИСТ К2'!C43)*СПРАВОЧНИК!$M$9+('ФАКТ ЧИСТ К2'!D43)*СПРАВОЧНИК!$N$9+('ФАКТ ЧИСТ К2'!E43)*СПРАВОЧНИК!$O$9+('ФАКТ ЧИСТ К2'!F43)*СПРАВОЧНИК!$L$10+('ФАКТ ЧИСТ К2'!G43)*СПРАВОЧНИК!$M$10+('ФАКТ ЧИСТ К2'!H43)*СПРАВОЧНИК!$N$10+('ФАКТ ЧИСТ К2'!I43)*СПРАВОЧНИК!$L$11+('ФАКТ ЧИСТ К2'!J43)*СПРАВОЧНИК!$M$11+('ФАКТ ЧИСТ К2'!K43)*СПРАВОЧНИК!$N$11+('ФАКТ ЧИСТ К2'!L43)*СПРАВОЧНИК!$L$12+('ФАКТ ЧИСТ К2'!M43)*СПРАВОЧНИК!$M$12+('ФАКТ ЧИСТ К2'!N43)*СПРАВОЧНИК!$N$12+('ФАКТ ЧИСТ К2'!O43)*СПРАВОЧНИК!$L$13+('ФАКТ ЧИСТ К2'!P43)*СПРАВОЧНИК!$M$13+('ФАКТ ЧИСТ К2'!Q43)*СПРАВОЧНИК!$N$13+('ФАКТ ЧИСТ К2'!R43)*СПРАВОЧНИК!$L$14+('ФАКТ ЧИСТ К2'!S43)*СПРАВОЧНИК!$M$14+('ФАКТ ЧИСТ К2'!T43)*СПРАВОЧНИК!$N$14+('ФАКТ ЧИСТ К2'!U43)*СПРАВОЧНИК!$L$15+('ФАКТ ЧИСТ К2'!V43)*СПРАВОЧНИК!$M$15+('ФАКТ ЧИСТ К2'!W43)*СПРАВОЧНИК!$N$15</f>
        <v>0</v>
      </c>
      <c r="BE52" s="18">
        <f t="shared" si="21"/>
        <v>46440</v>
      </c>
      <c r="BF52" s="37">
        <f>СПРАВОЧНИК!$E$9*('ПЛАН ЧЕРН К3'!B43*СПРАВОЧНИК!$H$9+'ПЛАН ЧЕРН К3'!C43*СПРАВОЧНИК!$I$9+'ПЛАН ЧЕРН К3'!D43*СПРАВОЧНИК!$J$9)+СПРАВОЧНИК!$E$10*('ПЛАН ЧЕРН К3'!E43*СПРАВОЧНИК!$H$10+'ПЛАН ЧЕРН К3'!F43*СПРАВОЧНИК!$I$10+'ПЛАН ЧЕРН К3'!G43*СПРАВОЧНИК!$J$10)+СПРАВОЧНИК!$E$11*('ПЛАН ЧЕРН К3'!H43*СПРАВОЧНИК!$H$11+'ПЛАН ЧЕРН К3'!I43*СПРАВОЧНИК!$I$11+'ПЛАН ЧЕРН К3'!J43*СПРАВОЧНИК!$J$11)+СПРАВОЧНИК!$E$12*('ПЛАН ЧЕРН К3'!K43*СПРАВОЧНИК!$H$12+'ПЛАН ЧЕРН К3'!L43*СПРАВОЧНИК!$I$12+'ПЛАН ЧЕРН К3'!M43*СПРАВОЧНИК!$J$12)+СПРАВОЧНИК!$E$13*('ПЛАН ЧЕРН К3'!N43*СПРАВОЧНИК!$H$13+'ПЛАН ЧЕРН К3'!O43*СПРАВОЧНИК!$I$13+'ПЛАН ЧЕРН К3'!P43*СПРАВОЧНИК!$J$13)+СПРАВОЧНИК!$E$14*('ПЛАН ЧЕРН К3'!Q43*СПРАВОЧНИК!$H$14+'ПЛАН ЧЕРН К3'!R43*СПРАВОЧНИК!$I$14+'ПЛАН ЧЕРН К3'!S43*СПРАВОЧНИК!$J$14)+СПРАВОЧНИК!$E$15*('ПЛАН ЧЕРН К3'!T43*СПРАВОЧНИК!$H$15+'ПЛАН ЧЕРН К3'!U43*СПРАВОЧНИК!$I$15+'ПЛАН ЧЕРН К3'!V43*СПРАВОЧНИК!$J$15)+СПРАВОЧНИК!$F$9*('ПЛАН ЧИСТ К3'!B43*СПРАВОЧНИК!$L$9+'ПЛАН ЧИСТ К3'!C43*СПРАВОЧНИК!$M$9+'ПЛАН ЧИСТ К3'!D43*СПРАВОЧНИК!$N$9+'ПЛАН ЧИСТ К3'!E43*СПРАВОЧНИК!$O$9)+СПРАВОЧНИК!$F$10*('ПЛАН ЧИСТ К3'!F43*СПРАВОЧНИК!$L$10+'ПЛАН ЧИСТ К3'!G43*СПРАВОЧНИК!$M$10+'ПЛАН ЧИСТ К3'!H43*СПРАВОЧНИК!$N$10)+СПРАВОЧНИК!$F$11*('ПЛАН ЧИСТ К3'!I43*СПРАВОЧНИК!$L$11+'ПЛАН ЧИСТ К3'!J43*СПРАВОЧНИК!$M$11+'ПЛАН ЧИСТ К3'!K43*СПРАВОЧНИК!$N$11)+СПРАВОЧНИК!$F$12*('ПЛАН ЧИСТ К3'!L43*СПРАВОЧНИК!$L$12+'ПЛАН ЧИСТ К3'!M43*СПРАВОЧНИК!$M$12+'ПЛАН ЧИСТ К3'!N43*СПРАВОЧНИК!$N$12)+СПРАВОЧНИК!$F$13*('ПЛАН ЧИСТ К3'!O43*СПРАВОЧНИК!$L$13+'ПЛАН ЧИСТ К3'!P43*СПРАВОЧНИК!$M$13+'ПЛАН ЧИСТ К3'!Q43*СПРАВОЧНИК!$N$13)+СПРАВОЧНИК!$F$14*('ПЛАН ЧИСТ К3'!R43*СПРАВОЧНИК!$L$14+'ПЛАН ЧИСТ К3'!S43*СПРАВОЧНИК!$M$14+'ПЛАН ЧИСТ К3'!T43*СПРАВОЧНИК!$N$14)+СПРАВОЧНИК!$F$15*('ПЛАН ЧИСТ К3'!U43*СПРАВОЧНИК!$L$15+'ПЛАН ЧИСТ К3'!V43*СПРАВОЧНИК!$M$15+'ПЛАН ЧИСТ К3'!W43*СПРАВОЧНИК!$N$15)</f>
        <v>0</v>
      </c>
      <c r="BG52" s="40">
        <f>СПРАВОЧНИК!$E$9*(('ФАКТ ЧЕРН К3'!B43)*СПРАВОЧНИК!$H$9+('ФАКТ ЧЕРН К3'!C43)*СПРАВОЧНИК!$I$9+('ФАКТ ЧЕРН К3'!D43)*СПРАВОЧНИК!$J$9)+СПРАВОЧНИК!$E$10*(('ФАКТ ЧЕРН К3'!E43)*СПРАВОЧНИК!$H$10+('ФАКТ ЧЕРН К3'!F43)*СПРАВОЧНИК!$I$10+('ФАКТ ЧЕРН К3'!G43)*СПРАВОЧНИК!$J$10)+СПРАВОЧНИК!$E$11*(('ФАКТ ЧЕРН К3'!H43)*СПРАВОЧНИК!$H$11+('ФАКТ ЧЕРН К3'!I43)*СПРАВОЧНИК!$I$11+('ФАКТ ЧЕРН К3'!J43)*СПРАВОЧНИК!$J$11)+СПРАВОЧНИК!$E$12*(('ФАКТ ЧЕРН К3'!K43)*СПРАВОЧНИК!$H$12+('ФАКТ ЧЕРН К3'!L43)*СПРАВОЧНИК!$I$12+('ФАКТ ЧЕРН К3'!M43)*СПРАВОЧНИК!$J$12)+СПРАВОЧНИК!$E$13*(('ФАКТ ЧЕРН К3'!N43)*СПРАВОЧНИК!$H$13+('ФАКТ ЧЕРН К3'!O43)*СПРАВОЧНИК!$I$13+('ФАКТ ЧЕРН К3'!P43)*СПРАВОЧНИК!$J$13)+СПРАВОЧНИК!$E$14*(('ФАКТ ЧЕРН К3'!Q43)*СПРАВОЧНИК!$H$14+('ФАКТ ЧЕРН К3'!R43)*СПРАВОЧНИК!$I$14+('ФАКТ ЧЕРН К3'!S43)*СПРАВОЧНИК!$J$14)+СПРАВОЧНИК!$E$15*(('ФАКТ ЧЕРН К3'!T43)*СПРАВОЧНИК!$H$15+('ФАКТ ЧЕРН К3'!U43)*СПРАВОЧНИК!$I$15+('ФАКТ ЧЕРН К3'!V43)*СПРАВОЧНИК!$J$15)+СПРАВОЧНИК!$F$9*(('ФАКТ ЧИСТ К3'!B43)*СПРАВОЧНИК!$L$9+('ФАКТ ЧИСТ К3'!C43)*СПРАВОЧНИК!$M$9+('ФАКТ ЧИСТ К3'!D43)*СПРАВОЧНИК!$N$9+('ФАКТ ЧИСТ К3'!E43)*СПРАВОЧНИК!$O$9)+СПРАВОЧНИК!$F$10*(('ФАКТ ЧИСТ К3'!F43)*СПРАВОЧНИК!$L$10+('ФАКТ ЧИСТ К3'!G43)*СПРАВОЧНИК!$M$10+('ФАКТ ЧИСТ К3'!H43)*СПРАВОЧНИК!$N$10)+СПРАВОЧНИК!$F$11*(('ФАКТ ЧИСТ К3'!I43)*СПРАВОЧНИК!$L$11+('ФАКТ ЧИСТ К3'!J43)*СПРАВОЧНИК!$M$11+('ФАКТ ЧИСТ К3'!K43)*СПРАВОЧНИК!$N$11)+СПРАВОЧНИК!$F$12*(('ФАКТ ЧИСТ К3'!L43)*СПРАВОЧНИК!$L$12+('ФАКТ ЧИСТ К3'!M43)*СПРАВОЧНИК!$M$12+('ФАКТ ЧИСТ К3'!N43)*СПРАВОЧНИК!$N$12)+СПРАВОЧНИК!$F$13*(('ФАКТ ЧИСТ К3'!O43)*СПРАВОЧНИК!$L$13+('ФАКТ ЧИСТ К3'!P43)*СПРАВОЧНИК!$M$13+('ФАКТ ЧИСТ К3'!Q43)*СПРАВОЧНИК!$N$13)+СПРАВОЧНИК!$F$14*(('ФАКТ ЧИСТ К3'!R43)*СПРАВОЧНИК!$L$14+('ФАКТ ЧИСТ К3'!S43)*СПРАВОЧНИК!$M$14+('ФАКТ ЧИСТ К3'!T43)*СПРАВОЧНИК!$N$14)+СПРАВОЧНИК!$F$15*(('ФАКТ ЧИСТ К3'!U43)*СПРАВОЧНИК!$L$15+('ФАКТ ЧИСТ К3'!V43)*СПРАВОЧНИК!$M$15+('ФАКТ ЧИСТ К3'!W43)*СПРАВОЧНИК!$N$15)</f>
        <v>0</v>
      </c>
      <c r="BK52" s="18">
        <f t="shared" si="22"/>
        <v>46440</v>
      </c>
      <c r="BL52" s="37">
        <f>'ПЛАН ЧЕРН К3'!B43*СПРАВОЧНИК!$H$9+'ПЛАН ЧЕРН К3'!C43*СПРАВОЧНИК!$I$9+'ПЛАН ЧЕРН К3'!D43*СПРАВОЧНИК!$J$9+'ПЛАН ЧЕРН К3'!E43*СПРАВОЧНИК!$H$10+'ПЛАН ЧЕРН К3'!F43*СПРАВОЧНИК!$I$10+'ПЛАН ЧЕРН К3'!G43*СПРАВОЧНИК!$J$10+'ПЛАН ЧЕРН К3'!H43*СПРАВОЧНИК!$H$11+'ПЛАН ЧЕРН К3'!I43*СПРАВОЧНИК!$I$11+'ПЛАН ЧЕРН К3'!J43*СПРАВОЧНИК!$J$11+'ПЛАН ЧЕРН К3'!K43*СПРАВОЧНИК!$H$12+'ПЛАН ЧЕРН К3'!L43*СПРАВОЧНИК!$I$12+'ПЛАН ЧЕРН К3'!M43*СПРАВОЧНИК!$J$12+'ПЛАН ЧЕРН К3'!N43*СПРАВОЧНИК!$H$13+'ПЛАН ЧЕРН К3'!O43*СПРАВОЧНИК!$I$13+'ПЛАН ЧЕРН К3'!P43*СПРАВОЧНИК!$J$13+'ПЛАН ЧЕРН К3'!Q43*СПРАВОЧНИК!$H$14+'ПЛАН ЧЕРН К3'!R43*СПРАВОЧНИК!$I$14+'ПЛАН ЧЕРН К3'!S43*СПРАВОЧНИК!$J$14+'ПЛАН ЧЕРН К3'!T43*СПРАВОЧНИК!$H$15+'ПЛАН ЧЕРН К3'!U43*СПРАВОЧНИК!$I$15+'ПЛАН ЧЕРН К3'!V43*СПРАВОЧНИК!$J$15</f>
        <v>0</v>
      </c>
      <c r="BM52" s="40">
        <f>('ФАКТ ЧЕРН К3'!B43)*СПРАВОЧНИК!$H$9+('ФАКТ ЧЕРН К3'!C43)*СПРАВОЧНИК!$I$9+('ФАКТ ЧЕРН К3'!D43)*СПРАВОЧНИК!$J$9+('ФАКТ ЧЕРН К3'!E43)*СПРАВОЧНИК!$H$10+('ФАКТ ЧЕРН К3'!F43)*СПРАВОЧНИК!$I$10+('ФАКТ ЧЕРН К3'!G43)*СПРАВОЧНИК!$J$10+('ФАКТ ЧЕРН К3'!H43)*СПРАВОЧНИК!$H$11+('ФАКТ ЧЕРН К3'!I43)*СПРАВОЧНИК!$I$11+('ФАКТ ЧЕРН К3'!J43)*СПРАВОЧНИК!$J$11+('ФАКТ ЧЕРН К3'!K43)*СПРАВОЧНИК!$H$12+('ФАКТ ЧЕРН К3'!L43)*СПРАВОЧНИК!$I$12+('ФАКТ ЧЕРН К3'!M43)*СПРАВОЧНИК!$J$12+('ФАКТ ЧЕРН К3'!N43)*СПРАВОЧНИК!$H$13+('ФАКТ ЧЕРН К3'!O43)*СПРАВОЧНИК!$I$13+('ФАКТ ЧЕРН К3'!P43)*СПРАВОЧНИК!$J$13+('ФАКТ ЧЕРН К3'!Q43)*СПРАВОЧНИК!$H$14+('ФАКТ ЧЕРН К3'!R43)*СПРАВОЧНИК!$I$14+('ФАКТ ЧЕРН К3'!S43)*СПРАВОЧНИК!$J$14+('ФАКТ ЧЕРН К3'!T43)*СПРАВОЧНИК!$H$15+('ФАКТ ЧЕРН К3'!U43)*СПРАВОЧНИК!$I$15+('ФАКТ ЧЕРН К3'!V43)*СПРАВОЧНИК!$J$15</f>
        <v>0</v>
      </c>
      <c r="BQ52" s="18">
        <f t="shared" si="23"/>
        <v>46440</v>
      </c>
      <c r="BR52" s="37">
        <f>'ПЛАН ЧИСТ К3'!B43*СПРАВОЧНИК!$L$9+'ПЛАН ЧИСТ К3'!C43*СПРАВОЧНИК!$M$9+'ПЛАН ЧИСТ К3'!D43*СПРАВОЧНИК!$N$9+'ПЛАН ЧИСТ К3'!E43*СПРАВОЧНИК!$O$9+'ПЛАН ЧИСТ К3'!F43*СПРАВОЧНИК!$L$10+'ПЛАН ЧИСТ К3'!G43*СПРАВОЧНИК!$M$10+'ПЛАН ЧИСТ К3'!H43*СПРАВОЧНИК!$N$10+'ПЛАН ЧИСТ К3'!I43*СПРАВОЧНИК!$L$11+'ПЛАН ЧИСТ К3'!J43*СПРАВОЧНИК!$M$11+'ПЛАН ЧИСТ К3'!K43*СПРАВОЧНИК!$N$11+'ПЛАН ЧИСТ К3'!L43*СПРАВОЧНИК!$L$12+'ПЛАН ЧИСТ К3'!M43*СПРАВОЧНИК!$M$12+'ПЛАН ЧИСТ К3'!N43*СПРАВОЧНИК!$N$12+'ПЛАН ЧИСТ К3'!O43*СПРАВОЧНИК!$L$13+'ПЛАН ЧИСТ К3'!P43*СПРАВОЧНИК!$M$13+'ПЛАН ЧИСТ К3'!Q43*СПРАВОЧНИК!$N$13+'ПЛАН ЧИСТ К3'!R43*СПРАВОЧНИК!$L$14+'ПЛАН ЧИСТ К3'!S43*СПРАВОЧНИК!$M$14+'ПЛАН ЧИСТ К3'!T43*СПРАВОЧНИК!$N$14+'ПЛАН ЧИСТ К3'!U43*СПРАВОЧНИК!$L$15+'ПЛАН ЧИСТ К3'!V43*СПРАВОЧНИК!$M$15+'ПЛАН ЧИСТ К3'!W43*СПРАВОЧНИК!$N$15</f>
        <v>0</v>
      </c>
      <c r="BS52" s="40">
        <f>('ФАКТ ЧИСТ К3'!B43)*СПРАВОЧНИК!$L$9+('ФАКТ ЧИСТ К3'!C43)*СПРАВОЧНИК!$M$9+('ФАКТ ЧИСТ К3'!D43)*СПРАВОЧНИК!$N$9+('ФАКТ ЧИСТ К3'!E43)*СПРАВОЧНИК!$O$9+('ФАКТ ЧИСТ К3'!F43)*СПРАВОЧНИК!$L$10+('ФАКТ ЧИСТ К3'!G43)*СПРАВОЧНИК!$M$10+('ФАКТ ЧИСТ К3'!H43)*СПРАВОЧНИК!$N$10+('ФАКТ ЧИСТ К3'!I43)*СПРАВОЧНИК!$L$11+('ФАКТ ЧИСТ К3'!J43)*СПРАВОЧНИК!$M$11+('ФАКТ ЧИСТ К3'!K43)*СПРАВОЧНИК!$N$11+('ФАКТ ЧИСТ К3'!L43)*СПРАВОЧНИК!$L$12+('ФАКТ ЧИСТ К3'!M43)*СПРАВОЧНИК!$M$12+('ФАКТ ЧИСТ К3'!N43)*СПРАВОЧНИК!$N$12+('ФАКТ ЧИСТ К3'!O43)*СПРАВОЧНИК!$L$13+('ФАКТ ЧИСТ К3'!P43)*СПРАВОЧНИК!$M$13+('ФАКТ ЧИСТ К3'!Q43)*СПРАВОЧНИК!$N$13+('ФАКТ ЧИСТ К3'!R43)*СПРАВОЧНИК!$L$14+('ФАКТ ЧИСТ К3'!S43)*СПРАВОЧНИК!$M$14+('ФАКТ ЧИСТ К3'!T43)*СПРАВОЧНИК!$N$14+('ФАКТ ЧИСТ К3'!U43)*СПРАВОЧНИК!$L$15+('ФАКТ ЧИСТ К3'!V43)*СПРАВОЧНИК!$M$15+('ФАКТ ЧИСТ К3'!W43)*СПРАВОЧНИК!$N$15</f>
        <v>0</v>
      </c>
      <c r="BW52" s="18">
        <f t="shared" si="24"/>
        <v>46440</v>
      </c>
      <c r="BX52" s="37">
        <f t="shared" si="0"/>
        <v>0</v>
      </c>
      <c r="BY52" s="40">
        <f t="shared" si="1"/>
        <v>0</v>
      </c>
      <c r="CC52" s="18">
        <f t="shared" si="25"/>
        <v>46440</v>
      </c>
      <c r="CD52" s="37">
        <f t="shared" si="2"/>
        <v>0</v>
      </c>
      <c r="CE52" s="40">
        <f t="shared" si="3"/>
        <v>0</v>
      </c>
      <c r="CI52" s="18">
        <f t="shared" si="26"/>
        <v>46440</v>
      </c>
      <c r="CJ52" s="37">
        <f t="shared" si="4"/>
        <v>0</v>
      </c>
      <c r="CK52" s="40">
        <f t="shared" si="5"/>
        <v>0</v>
      </c>
      <c r="CO52" s="18">
        <f t="shared" si="27"/>
        <v>46440</v>
      </c>
      <c r="CP52" s="37">
        <f t="shared" si="6"/>
        <v>0</v>
      </c>
      <c r="CQ52" s="40">
        <f t="shared" si="7"/>
        <v>0</v>
      </c>
      <c r="CU52" s="18">
        <f t="shared" si="28"/>
        <v>46440</v>
      </c>
      <c r="CV52" s="37">
        <f t="shared" si="8"/>
        <v>0</v>
      </c>
      <c r="CW52" s="40">
        <f t="shared" si="9"/>
        <v>0</v>
      </c>
      <c r="DA52" s="18">
        <f t="shared" si="29"/>
        <v>46440</v>
      </c>
      <c r="DB52" s="37">
        <f t="shared" si="10"/>
        <v>0</v>
      </c>
      <c r="DC52" s="40">
        <f t="shared" si="11"/>
        <v>0</v>
      </c>
    </row>
    <row r="53" spans="3:107" x14ac:dyDescent="0.25">
      <c r="C53" s="18">
        <f t="shared" si="12"/>
        <v>46447</v>
      </c>
      <c r="D53" s="37">
        <f>СПРАВОЧНИК!$E$3*('ПЛАН ЧЕРН ПОДЗЕМ'!B44*СПРАВОЧНИК!$H$3+'ПЛАН ЧЕРН ПОДЗЕМ'!C44*СПРАВОЧНИК!$I$3+'ПЛАН ЧЕРН ПОДЗЕМ'!D44*СПРАВОЧНИК!$J$3)+СПРАВОЧНИК!$E$4*('ПЛАН ЧЕРН ПОДЗЕМ'!E44*СПРАВОЧНИК!$H$4+'ПЛАН ЧЕРН ПОДЗЕМ'!F44*СПРАВОЧНИК!$I$4+'ПЛАН ЧЕРН ПОДЗЕМ'!G44*СПРАВОЧНИК!$J$4)+СПРАВОЧНИК!$E$5*('ПЛАН ЧЕРН ПОДЗЕМ'!H44*СПРАВОЧНИК!$H$5+'ПЛАН ЧЕРН ПОДЗЕМ'!I44*СПРАВОЧНИК!$I$5+'ПЛАН ЧЕРН ПОДЗЕМ'!J44*СПРАВОЧНИК!$J$5)+СПРАВОЧНИК!$E$6*('ПЛАН ЧЕРН ПОДЗЕМ'!K44*СПРАВОЧНИК!$H$6+'ПЛАН ЧЕРН ПОДЗЕМ'!L44*СПРАВОЧНИК!$I$6+'ПЛАН ЧЕРН ПОДЗЕМ'!M44*СПРАВОЧНИК!$J$6)+СПРАВОЧНИК!$E$7*('ПЛАН ЧЕРН ПОДЗЕМ'!N44*СПРАВОЧНИК!$H$7+'ПЛАН ЧЕРН ПОДЗЕМ'!O44*СПРАВОЧНИК!$I$7+'ПЛАН ЧЕРН ПОДЗЕМ'!P44*СПРАВОЧНИК!$J$7)+СПРАВОЧНИК!$E$8*('ПЛАН ЧЕРН ПОДЗЕМ'!Q44*СПРАВОЧНИК!$H$8+'ПЛАН ЧЕРН ПОДЗЕМ'!R44*СПРАВОЧНИК!$I$8+'ПЛАН ЧЕРН ПОДЗЕМ'!S44*СПРАВОЧНИК!$J$8)+СПРАВОЧНИК!$F$3*('ПЛАН ЧИСТ ПОДЗЕМ'!B44*СПРАВОЧНИК!$L$3+'ПЛАН ЧИСТ ПОДЗЕМ'!C44*СПРАВОЧНИК!$M$3+'ПЛАН ЧИСТ ПОДЗЕМ'!D44*СПРАВОЧНИК!$N$3)+СПРАВОЧНИК!$F$4*('ПЛАН ЧИСТ ПОДЗЕМ'!E44*СПРАВОЧНИК!$L$4+'ПЛАН ЧИСТ ПОДЗЕМ'!F44*СПРАВОЧНИК!$M$4+'ПЛАН ЧИСТ ПОДЗЕМ'!G44*СПРАВОЧНИК!$N$4)+СПРАВОЧНИК!$F$5*('ПЛАН ЧИСТ ПОДЗЕМ'!H44*СПРАВОЧНИК!$L$5+'ПЛАН ЧИСТ ПОДЗЕМ'!I44*СПРАВОЧНИК!$M$5+'ПЛАН ЧИСТ ПОДЗЕМ'!J44*СПРАВОЧНИК!$N$5)+СПРАВОЧНИК!$F$6*('ПЛАН ЧИСТ ПОДЗЕМ'!K44*СПРАВОЧНИК!$L$6+'ПЛАН ЧИСТ ПОДЗЕМ'!L44*СПРАВОЧНИК!$M$6+'ПЛАН ЧИСТ ПОДЗЕМ'!M44*СПРАВОЧНИК!$N$6)+СПРАВОЧНИК!$F$7*('ПЛАН ЧИСТ ПОДЗЕМ'!N44*СПРАВОЧНИК!$L$7+'ПЛАН ЧИСТ ПОДЗЕМ'!O44*СПРАВОЧНИК!$M$7+'ПЛАН ЧИСТ ПОДЗЕМ'!P44*СПРАВОЧНИК!$N$7)+СПРАВОЧНИК!$F$8*('ПЛАН ЧИСТ ПОДЗЕМ'!Q44*СПРАВОЧНИК!$L$8+'ПЛАН ЧИСТ ПОДЗЕМ'!R44*СПРАВОЧНИК!$M$8+'ПЛАН ЧИСТ ПОДЗЕМ'!S44*СПРАВОЧНИК!$N$8)</f>
        <v>0</v>
      </c>
      <c r="E53" s="40">
        <f>СПРАВОЧНИК!$E$3*(('ФАКТ ЧЕРН ПОДЗЕМ'!B44)*СПРАВОЧНИК!$H$3+('ФАКТ ЧЕРН ПОДЗЕМ'!C44)*СПРАВОЧНИК!$I$3+('ФАКТ ЧЕРН ПОДЗЕМ'!D44)*СПРАВОЧНИК!$J$3)+СПРАВОЧНИК!$E$4*(('ФАКТ ЧЕРН ПОДЗЕМ'!E44)*СПРАВОЧНИК!$H$4+('ФАКТ ЧЕРН ПОДЗЕМ'!F44)*СПРАВОЧНИК!$I$4+('ФАКТ ЧЕРН ПОДЗЕМ'!G44)*СПРАВОЧНИК!$J$4)+СПРАВОЧНИК!$E$5*(('ФАКТ ЧЕРН ПОДЗЕМ'!H44)*СПРАВОЧНИК!$H$5+('ФАКТ ЧЕРН ПОДЗЕМ'!I44)*СПРАВОЧНИК!$I$5+('ФАКТ ЧЕРН ПОДЗЕМ'!J44)*СПРАВОЧНИК!$J$5)+СПРАВОЧНИК!$E$6*(('ФАКТ ЧЕРН ПОДЗЕМ'!K44)*СПРАВОЧНИК!$H$6+('ФАКТ ЧЕРН ПОДЗЕМ'!L44)*СПРАВОЧНИК!$I$6+('ФАКТ ЧЕРН ПОДЗЕМ'!M44)*СПРАВОЧНИК!$J$6)+СПРАВОЧНИК!$E$7*(('ФАКТ ЧЕРН ПОДЗЕМ'!N44)*СПРАВОЧНИК!$H$7+('ФАКТ ЧЕРН ПОДЗЕМ'!O44)*СПРАВОЧНИК!$I$7+('ФАКТ ЧЕРН ПОДЗЕМ'!P44)*СПРАВОЧНИК!$J$7)+СПРАВОЧНИК!$E$8*(('ФАКТ ЧЕРН ПОДЗЕМ'!Q44)*СПРАВОЧНИК!$H$8+('ФАКТ ЧЕРН ПОДЗЕМ'!R44)*СПРАВОЧНИК!$I$8+('ФАКТ ЧЕРН ПОДЗЕМ'!S44)*СПРАВОЧНИК!$J$8)+СПРАВОЧНИК!$F$3*(('ФАКТ ЧИСТ ПОДЗЕМ'!B44)*СПРАВОЧНИК!$L$3+('ФАКТ ЧИСТ ПОДЗЕМ'!C44)*СПРАВОЧНИК!$M$3+('ФАКТ ЧИСТ ПОДЗЕМ'!D44)*СПРАВОЧНИК!$N$3)+СПРАВОЧНИК!$F$4*(('ФАКТ ЧИСТ ПОДЗЕМ'!E44)*СПРАВОЧНИК!$L$4+('ФАКТ ЧИСТ ПОДЗЕМ'!F44)*СПРАВОЧНИК!$M$4+('ФАКТ ЧИСТ ПОДЗЕМ'!G44)*СПРАВОЧНИК!$N$4)+СПРАВОЧНИК!$F$5*(('ФАКТ ЧИСТ ПОДЗЕМ'!H44)*СПРАВОЧНИК!$L$5+('ФАКТ ЧИСТ ПОДЗЕМ'!I44)*СПРАВОЧНИК!$M$5+('ФАКТ ЧИСТ ПОДЗЕМ'!J44)*СПРАВОЧНИК!$N$5)+СПРАВОЧНИК!$F$6*(('ФАКТ ЧИСТ ПОДЗЕМ'!K44)*СПРАВОЧНИК!$L$6+('ФАКТ ЧИСТ ПОДЗЕМ'!L44)*СПРАВОЧНИК!$M$6+('ФАКТ ЧИСТ ПОДЗЕМ'!M44)*СПРАВОЧНИК!$N$6)+СПРАВОЧНИК!$F$7*(('ФАКТ ЧИСТ ПОДЗЕМ'!N44)*СПРАВОЧНИК!$L$7+('ФАКТ ЧИСТ ПОДЗЕМ'!O44)*СПРАВОЧНИК!$M$7+('ФАКТ ЧИСТ ПОДЗЕМ'!P44)*СПРАВОЧНИК!$N$7)+СПРАВОЧНИК!$F$8*(('ФАКТ ЧИСТ ПОДЗЕМ'!Q44)*СПРАВОЧНИК!$L$8+('ФАКТ ЧИСТ ПОДЗЕМ'!R44)*СПРАВОЧНИК!$M$8+('ФАКТ ЧИСТ ПОДЗЕМ'!S44)*СПРАВОЧНИК!$N$8)</f>
        <v>0</v>
      </c>
      <c r="I53" s="18">
        <f t="shared" si="13"/>
        <v>46447</v>
      </c>
      <c r="J53" s="37">
        <f>'ПЛАН ЧЕРН ПОДЗЕМ'!B44*СПРАВОЧНИК!$H$3+'ПЛАН ЧЕРН ПОДЗЕМ'!C44*СПРАВОЧНИК!$I$3+'ПЛАН ЧЕРН ПОДЗЕМ'!D44*СПРАВОЧНИК!$J$3+'ПЛАН ЧЕРН ПОДЗЕМ'!E44*СПРАВОЧНИК!$H$4+'ПЛАН ЧЕРН ПОДЗЕМ'!F44*СПРАВОЧНИК!$I$4+'ПЛАН ЧЕРН ПОДЗЕМ'!G44*СПРАВОЧНИК!$J$4+'ПЛАН ЧЕРН ПОДЗЕМ'!H44*СПРАВОЧНИК!$H$5+'ПЛАН ЧЕРН ПОДЗЕМ'!I44*СПРАВОЧНИК!$I$5+'ПЛАН ЧЕРН ПОДЗЕМ'!J44*СПРАВОЧНИК!$J$5+'ПЛАН ЧЕРН ПОДЗЕМ'!K44*СПРАВОЧНИК!$H$6+'ПЛАН ЧЕРН ПОДЗЕМ'!L44*СПРАВОЧНИК!$I$6+'ПЛАН ЧЕРН ПОДЗЕМ'!M44*СПРАВОЧНИК!$J$6+'ПЛАН ЧЕРН ПОДЗЕМ'!N44*СПРАВОЧНИК!$H$7+'ПЛАН ЧЕРН ПОДЗЕМ'!O44*СПРАВОЧНИК!$I$7+'ПЛАН ЧЕРН ПОДЗЕМ'!P44*СПРАВОЧНИК!$J$7+'ПЛАН ЧЕРН ПОДЗЕМ'!Q44*СПРАВОЧНИК!$H$8+'ПЛАН ЧЕРН ПОДЗЕМ'!R44*СПРАВОЧНИК!$I$8+'ПЛАН ЧЕРН ПОДЗЕМ'!S44*СПРАВОЧНИК!$J$8</f>
        <v>0</v>
      </c>
      <c r="K53" s="40">
        <f>('ФАКТ ЧЕРН ПОДЗЕМ'!B44)*СПРАВОЧНИК!$H$3+('ФАКТ ЧЕРН ПОДЗЕМ'!C44)*СПРАВОЧНИК!$I$3+('ФАКТ ЧЕРН ПОДЗЕМ'!D44)*СПРАВОЧНИК!$J$3+('ФАКТ ЧЕРН ПОДЗЕМ'!E44)*СПРАВОЧНИК!$H$4+('ФАКТ ЧЕРН ПОДЗЕМ'!F44)*СПРАВОЧНИК!$I$4+('ФАКТ ЧЕРН ПОДЗЕМ'!G44)*СПРАВОЧНИК!$J$4+('ФАКТ ЧЕРН ПОДЗЕМ'!H44)*СПРАВОЧНИК!$H$5+('ФАКТ ЧЕРН ПОДЗЕМ'!I44)*СПРАВОЧНИК!$I$5+('ФАКТ ЧЕРН ПОДЗЕМ'!J44)*СПРАВОЧНИК!$J$5+('ФАКТ ЧЕРН ПОДЗЕМ'!K44)*СПРАВОЧНИК!$H$6+('ФАКТ ЧЕРН ПОДЗЕМ'!L44)*СПРАВОЧНИК!$I$6+('ФАКТ ЧЕРН ПОДЗЕМ'!M44)*СПРАВОЧНИК!$J$6+('ФАКТ ЧЕРН ПОДЗЕМ'!N44)*СПРАВОЧНИК!$H$7+('ФАКТ ЧЕРН ПОДЗЕМ'!O44)*СПРАВОЧНИК!$I$7+('ФАКТ ЧЕРН ПОДЗЕМ'!P44)*СПРАВОЧНИК!$J$7+('ФАКТ ЧЕРН ПОДЗЕМ'!Q44)*СПРАВОЧНИК!$H$8+('ФАКТ ЧЕРН ПОДЗЕМ'!R44)*СПРАВОЧНИК!$I$8+('ФАКТ ЧЕРН ПОДЗЕМ'!S44)*СПРАВОЧНИК!$J$8</f>
        <v>0</v>
      </c>
      <c r="O53" s="18">
        <f t="shared" si="14"/>
        <v>46447</v>
      </c>
      <c r="P53" s="37">
        <f>'ПЛАН ЧИСТ ПОДЗЕМ'!B44*СПРАВОЧНИК!$L$3+'ПЛАН ЧИСТ ПОДЗЕМ'!C44*СПРАВОЧНИК!$M$3+'ПЛАН ЧИСТ ПОДЗЕМ'!D44*СПРАВОЧНИК!$N$3+'ПЛАН ЧИСТ ПОДЗЕМ'!E44*СПРАВОЧНИК!$L$4+'ПЛАН ЧИСТ ПОДЗЕМ'!F44*СПРАВОЧНИК!$M$4+'ПЛАН ЧИСТ ПОДЗЕМ'!G44*СПРАВОЧНИК!$N$4+'ПЛАН ЧИСТ ПОДЗЕМ'!H44*СПРАВОЧНИК!$L$5+'ПЛАН ЧИСТ ПОДЗЕМ'!I44*СПРАВОЧНИК!$M$5+'ПЛАН ЧИСТ ПОДЗЕМ'!J44*СПРАВОЧНИК!$N$5+'ПЛАН ЧИСТ ПОДЗЕМ'!K44*СПРАВОЧНИК!$L$6+'ПЛАН ЧИСТ ПОДЗЕМ'!L44*СПРАВОЧНИК!$M$6+'ПЛАН ЧИСТ ПОДЗЕМ'!M44*СПРАВОЧНИК!$N$6+'ПЛАН ЧИСТ ПОДЗЕМ'!N44*СПРАВОЧНИК!$L$7+'ПЛАН ЧИСТ ПОДЗЕМ'!O44*СПРАВОЧНИК!$M$7+'ПЛАН ЧИСТ ПОДЗЕМ'!P44*СПРАВОЧНИК!$N$7+'ПЛАН ЧИСТ ПОДЗЕМ'!Q44*СПРАВОЧНИК!$L$8+'ПЛАН ЧИСТ ПОДЗЕМ'!R44*СПРАВОЧНИК!$M$8+'ПЛАН ЧИСТ ПОДЗЕМ'!S44*СПРАВОЧНИК!$N$8</f>
        <v>0</v>
      </c>
      <c r="Q53" s="40">
        <f>('ФАКТ ЧИСТ ПОДЗЕМ'!B44)*СПРАВОЧНИК!$L$3+('ФАКТ ЧИСТ ПОДЗЕМ'!C44)*СПРАВОЧНИК!$M$3+('ФАКТ ЧИСТ ПОДЗЕМ'!D44)*СПРАВОЧНИК!$N$3+('ФАКТ ЧИСТ ПОДЗЕМ'!E44)*СПРАВОЧНИК!$L$4+('ФАКТ ЧИСТ ПОДЗЕМ'!F44)*СПРАВОЧНИК!$M$4+('ФАКТ ЧИСТ ПОДЗЕМ'!G44)*СПРАВОЧНИК!$N$4+('ФАКТ ЧИСТ ПОДЗЕМ'!H44)*СПРАВОЧНИК!$L$5+('ФАКТ ЧИСТ ПОДЗЕМ'!I44)*СПРАВОЧНИК!$M$5+('ФАКТ ЧИСТ ПОДЗЕМ'!J44)*СПРАВОЧНИК!$N$5+('ФАКТ ЧИСТ ПОДЗЕМ'!K44)*СПРАВОЧНИК!$L$6+('ФАКТ ЧИСТ ПОДЗЕМ'!L44)*СПРАВОЧНИК!$M$6+('ФАКТ ЧИСТ ПОДЗЕМ'!M44)*СПРАВОЧНИК!$N$6+('ФАКТ ЧИСТ ПОДЗЕМ'!N44)*СПРАВОЧНИК!$L$7+('ФАКТ ЧИСТ ПОДЗЕМ'!O44)*СПРАВОЧНИК!$M$7+('ФАКТ ЧИСТ ПОДЗЕМ'!P44)*СПРАВОЧНИК!$N$7+('ФАКТ ЧИСТ ПОДЗЕМ'!Q44)*СПРАВОЧНИК!$L$8+('ФАКТ ЧИСТ ПОДЗЕМ'!R44)*СПРАВОЧНИК!$M$8+('ФАКТ ЧИСТ ПОДЗЕМ'!S44)*СПРАВОЧНИК!$N$8</f>
        <v>0</v>
      </c>
      <c r="U53" s="18">
        <f t="shared" si="15"/>
        <v>46447</v>
      </c>
      <c r="V53" s="37">
        <f>СПРАВОЧНИК!$E$9*('ПЛАН ЧЕРН К1'!B44*СПРАВОЧНИК!$H$9+'ПЛАН ЧЕРН К1'!C44*СПРАВОЧНИК!$I$9+'ПЛАН ЧЕРН К1'!D44*СПРАВОЧНИК!$J$9)+СПРАВОЧНИК!$E$10*('ПЛАН ЧЕРН К1'!E44*СПРАВОЧНИК!$H$10+'ПЛАН ЧЕРН К1'!F44*СПРАВОЧНИК!$I$10+'ПЛАН ЧЕРН К1'!G44*СПРАВОЧНИК!$J$10)+СПРАВОЧНИК!$E$11*('ПЛАН ЧЕРН К1'!H44*СПРАВОЧНИК!$H$11+'ПЛАН ЧЕРН К1'!I44*СПРАВОЧНИК!$I$11+'ПЛАН ЧЕРН К1'!J44*СПРАВОЧНИК!$J$11)+СПРАВОЧНИК!$E$12*('ПЛАН ЧЕРН К1'!K44*СПРАВОЧНИК!$H$12+'ПЛАН ЧЕРН К1'!L44*СПРАВОЧНИК!$I$12+'ПЛАН ЧЕРН К1'!M44*СПРАВОЧНИК!$J$12)+СПРАВОЧНИК!$E$13*('ПЛАН ЧЕРН К1'!N44*СПРАВОЧНИК!$H$13+'ПЛАН ЧЕРН К1'!O44*СПРАВОЧНИК!$I$13+'ПЛАН ЧЕРН К1'!P44*СПРАВОЧНИК!$J$13)+СПРАВОЧНИК!$E$14*('ПЛАН ЧЕРН К1'!Q44*СПРАВОЧНИК!$H$14+'ПЛАН ЧЕРН К1'!R44*СПРАВОЧНИК!$I$14+'ПЛАН ЧЕРН К1'!S44*СПРАВОЧНИК!$J$14)+СПРАВОЧНИК!$E$15*('ПЛАН ЧЕРН К1'!T44*СПРАВОЧНИК!$H$15+'ПЛАН ЧЕРН К1'!U44*СПРАВОЧНИК!$I$15+'ПЛАН ЧЕРН К1'!V44*СПРАВОЧНИК!$J$15)+СПРАВОЧНИК!$F$9*('ПЛАН ЧИСТ К1'!B44*СПРАВОЧНИК!$L$9+'ПЛАН ЧИСТ К1'!C44*СПРАВОЧНИК!$M$9+'ПЛАН ЧИСТ К1'!D44*СПРАВОЧНИК!$N$9+'ПЛАН ЧИСТ К1'!E44*СПРАВОЧНИК!$O$9)+СПРАВОЧНИК!$F$10*('ПЛАН ЧИСТ К1'!F44*СПРАВОЧНИК!$L$10+'ПЛАН ЧИСТ К1'!G44*СПРАВОЧНИК!$M$10+'ПЛАН ЧИСТ К1'!H44*СПРАВОЧНИК!$N$10)+СПРАВОЧНИК!$F$11*('ПЛАН ЧИСТ К1'!I44*СПРАВОЧНИК!$L$11+'ПЛАН ЧИСТ К1'!J44*СПРАВОЧНИК!$M$11+'ПЛАН ЧИСТ К1'!K44*СПРАВОЧНИК!$N$11)+СПРАВОЧНИК!$F$12*('ПЛАН ЧИСТ К1'!L44*СПРАВОЧНИК!$L$12+'ПЛАН ЧИСТ К1'!M44*СПРАВОЧНИК!$M$12+'ПЛАН ЧИСТ К1'!N44*СПРАВОЧНИК!$N$12)+СПРАВОЧНИК!$F$13*('ПЛАН ЧИСТ К1'!O44*СПРАВОЧНИК!$L$13+'ПЛАН ЧИСТ К1'!P44*СПРАВОЧНИК!$M$13+'ПЛАН ЧИСТ К1'!Q44*СПРАВОЧНИК!$N$13)+СПРАВОЧНИК!$F$14*('ПЛАН ЧИСТ К1'!R44*СПРАВОЧНИК!$L$14+'ПЛАН ЧИСТ К1'!S44*СПРАВОЧНИК!$M$14+'ПЛАН ЧИСТ К1'!T44*СПРАВОЧНИК!$N$14)+СПРАВОЧНИК!$F$15*('ПЛАН ЧИСТ К1'!U44*СПРАВОЧНИК!$L$15+'ПЛАН ЧИСТ К1'!V44*СПРАВОЧНИК!$M$15+'ПЛАН ЧИСТ К1'!W44*СПРАВОЧНИК!$N$15)</f>
        <v>0</v>
      </c>
      <c r="W53" s="40">
        <f>СПРАВОЧНИК!$E$9*(('ФАКТ ЧЕРН К1'!B44)*СПРАВОЧНИК!$H$9+('ФАКТ ЧЕРН К1'!C44)*СПРАВОЧНИК!$I$9+('ФАКТ ЧЕРН К1'!D44)*СПРАВОЧНИК!$J$9)+СПРАВОЧНИК!$E$10*(('ФАКТ ЧЕРН К1'!E44)*СПРАВОЧНИК!$H$10+('ФАКТ ЧЕРН К1'!F44)*СПРАВОЧНИК!$I$10+('ФАКТ ЧЕРН К1'!G44)*СПРАВОЧНИК!$J$10)+СПРАВОЧНИК!$E$11*(('ФАКТ ЧЕРН К1'!H44)*СПРАВОЧНИК!$H$11+('ФАКТ ЧЕРН К1'!I44)*СПРАВОЧНИК!$I$11+('ФАКТ ЧЕРН К1'!J44)*СПРАВОЧНИК!$J$11)+СПРАВОЧНИК!$E$12*(('ФАКТ ЧЕРН К1'!K44)*СПРАВОЧНИК!$H$12+('ФАКТ ЧЕРН К1'!L44)*СПРАВОЧНИК!$I$12+('ФАКТ ЧЕРН К1'!M44)*СПРАВОЧНИК!$J$12)+СПРАВОЧНИК!$E$13*(('ФАКТ ЧЕРН К1'!N44)*СПРАВОЧНИК!$H$13+('ФАКТ ЧЕРН К1'!O44)*СПРАВОЧНИК!$I$13+('ФАКТ ЧЕРН К1'!P44)*СПРАВОЧНИК!$J$13)+СПРАВОЧНИК!$E$14*(('ФАКТ ЧЕРН К1'!Q44)*СПРАВОЧНИК!$H$14+('ФАКТ ЧЕРН К1'!R44)*СПРАВОЧНИК!$I$14+('ФАКТ ЧЕРН К1'!S44)*СПРАВОЧНИК!$J$14)+СПРАВОЧНИК!$E$15*(('ФАКТ ЧЕРН К1'!T44)*СПРАВОЧНИК!$H$15+('ФАКТ ЧЕРН К1'!U44)*СПРАВОЧНИК!$I$15+('ФАКТ ЧЕРН К1'!V44)*СПРАВОЧНИК!$J$15)+СПРАВОЧНИК!$F$9*(('ФАКТ ЧИСТ К1'!B44)*СПРАВОЧНИК!$L$9+('ФАКТ ЧИСТ К1'!C44)*СПРАВОЧНИК!$M$9+('ФАКТ ЧИСТ К1'!D44)*СПРАВОЧНИК!$N$9+('ФАКТ ЧИСТ К1'!E44)*СПРАВОЧНИК!$O$9)+СПРАВОЧНИК!$F$10*(('ФАКТ ЧИСТ К1'!F44)*СПРАВОЧНИК!$L$10+('ФАКТ ЧИСТ К1'!G44)*СПРАВОЧНИК!$M$10+('ФАКТ ЧИСТ К1'!H44)*СПРАВОЧНИК!$N$10)+СПРАВОЧНИК!$F$11*(('ФАКТ ЧИСТ К1'!I44)*СПРАВОЧНИК!$L$11+('ФАКТ ЧИСТ К1'!J44)*СПРАВОЧНИК!$M$11+('ФАКТ ЧИСТ К1'!K44)*СПРАВОЧНИК!$N$11)+СПРАВОЧНИК!$F$12*(('ФАКТ ЧИСТ К1'!L44)*СПРАВОЧНИК!$L$12+('ФАКТ ЧИСТ К1'!M44)*СПРАВОЧНИК!$M$12+('ФАКТ ЧИСТ К1'!N44)*СПРАВОЧНИК!$N$12)+СПРАВОЧНИК!$F$13*(('ФАКТ ЧИСТ К1'!O44)*СПРАВОЧНИК!$L$13+('ФАКТ ЧИСТ К1'!P44)*СПРАВОЧНИК!$M$13+('ФАКТ ЧИСТ К1'!Q44)*СПРАВОЧНИК!$N$13)+СПРАВОЧНИК!$F$14*(('ФАКТ ЧИСТ К1'!R44)*СПРАВОЧНИК!$L$14+('ФАКТ ЧИСТ К1'!S44)*СПРАВОЧНИК!$M$14+('ФАКТ ЧИСТ К1'!T44)*СПРАВОЧНИК!$N$14)+СПРАВОЧНИК!$F$15*(('ФАКТ ЧИСТ К1'!U44)*СПРАВОЧНИК!$L$15+('ФАКТ ЧИСТ К1'!V44)*СПРАВОЧНИК!$M$15+('ФАКТ ЧИСТ К1'!W44)*СПРАВОЧНИК!$N$15)</f>
        <v>0</v>
      </c>
      <c r="AA53" s="18">
        <f t="shared" si="16"/>
        <v>46447</v>
      </c>
      <c r="AB53" s="37">
        <f>'ПЛАН ЧЕРН К1'!B44*СПРАВОЧНИК!$H$9+'ПЛАН ЧЕРН К1'!C44*СПРАВОЧНИК!$I$9+'ПЛАН ЧЕРН К1'!D44*СПРАВОЧНИК!$J$9+'ПЛАН ЧЕРН К1'!E44*СПРАВОЧНИК!$H$10+'ПЛАН ЧЕРН К1'!F44*СПРАВОЧНИК!$I$10+'ПЛАН ЧЕРН К1'!G44*СПРАВОЧНИК!$J$10+'ПЛАН ЧЕРН К1'!H44*СПРАВОЧНИК!$H$11+'ПЛАН ЧЕРН К1'!I44*СПРАВОЧНИК!$I$11+'ПЛАН ЧЕРН К1'!J44*СПРАВОЧНИК!$J$11+'ПЛАН ЧЕРН К1'!K44*СПРАВОЧНИК!$H$12+'ПЛАН ЧЕРН К1'!L44*СПРАВОЧНИК!$I$12+'ПЛАН ЧЕРН К1'!M44*СПРАВОЧНИК!$J$12+'ПЛАН ЧЕРН К1'!N44*СПРАВОЧНИК!$H$13+'ПЛАН ЧЕРН К1'!O44*СПРАВОЧНИК!$I$13+'ПЛАН ЧЕРН К1'!P44*СПРАВОЧНИК!$J$13+'ПЛАН ЧЕРН К1'!Q44*СПРАВОЧНИК!$H$14+'ПЛАН ЧЕРН К1'!R44*СПРАВОЧНИК!$I$14+'ПЛАН ЧЕРН К1'!S44*СПРАВОЧНИК!$J$14+'ПЛАН ЧЕРН К1'!T44*СПРАВОЧНИК!$H$15+'ПЛАН ЧЕРН К1'!U44*СПРАВОЧНИК!$I$15+'ПЛАН ЧЕРН К1'!V44*СПРАВОЧНИК!$J$15</f>
        <v>0</v>
      </c>
      <c r="AC53" s="40">
        <f>('ФАКТ ЧЕРН К1'!B44)*СПРАВОЧНИК!$H$9+('ФАКТ ЧЕРН К1'!C44)*СПРАВОЧНИК!$I$9+('ФАКТ ЧЕРН К1'!D44)*СПРАВОЧНИК!$J$9+('ФАКТ ЧЕРН К1'!E44)*СПРАВОЧНИК!$H$10+('ФАКТ ЧЕРН К1'!F44)*СПРАВОЧНИК!$I$10+('ФАКТ ЧЕРН К1'!G44)*СПРАВОЧНИК!$J$10+('ФАКТ ЧЕРН К1'!H44)*СПРАВОЧНИК!$H$11+('ФАКТ ЧЕРН К1'!I44)*СПРАВОЧНИК!$I$11+('ФАКТ ЧЕРН К1'!J44)*СПРАВОЧНИК!$J$11+('ФАКТ ЧЕРН К1'!K44)*СПРАВОЧНИК!$H$12+('ФАКТ ЧЕРН К1'!L44)*СПРАВОЧНИК!$I$12+('ФАКТ ЧЕРН К1'!M44)*СПРАВОЧНИК!$J$12+('ФАКТ ЧЕРН К1'!N44)*СПРАВОЧНИК!$H$13+('ФАКТ ЧЕРН К1'!O44)*СПРАВОЧНИК!$I$13+('ФАКТ ЧЕРН К1'!P44)*СПРАВОЧНИК!$J$13+('ФАКТ ЧЕРН К1'!Q44)*СПРАВОЧНИК!$H$14+('ФАКТ ЧЕРН К1'!R44)*СПРАВОЧНИК!$I$14+('ФАКТ ЧЕРН К1'!S44)*СПРАВОЧНИК!$J$14+('ФАКТ ЧЕРН К1'!T44)*СПРАВОЧНИК!$H$15+('ФАКТ ЧЕРН К1'!U44)*СПРАВОЧНИК!$I$15+('ФАКТ ЧЕРН К1'!V44)*СПРАВОЧНИК!$J$15</f>
        <v>0</v>
      </c>
      <c r="AG53" s="18">
        <f t="shared" si="17"/>
        <v>46447</v>
      </c>
      <c r="AH53" s="37">
        <f>'ПЛАН ЧИСТ К1'!B44*СПРАВОЧНИК!$L$9+'ПЛАН ЧИСТ К1'!C44*СПРАВОЧНИК!$M$9+'ПЛАН ЧИСТ К1'!D44*СПРАВОЧНИК!$N$9+'ПЛАН ЧИСТ К1'!E44*СПРАВОЧНИК!$O$9+'ПЛАН ЧИСТ К1'!F44*СПРАВОЧНИК!$L$10+'ПЛАН ЧИСТ К1'!G44*СПРАВОЧНИК!$M$10+'ПЛАН ЧИСТ К1'!H44*СПРАВОЧНИК!$N$10+'ПЛАН ЧИСТ К1'!I44*СПРАВОЧНИК!$L$11+'ПЛАН ЧИСТ К1'!J44*СПРАВОЧНИК!$M$11+'ПЛАН ЧИСТ К1'!K44*СПРАВОЧНИК!$N$11+'ПЛАН ЧИСТ К1'!L44*СПРАВОЧНИК!$L$12+'ПЛАН ЧИСТ К1'!M44*СПРАВОЧНИК!$M$12+'ПЛАН ЧИСТ К1'!N44*СПРАВОЧНИК!$N$12+'ПЛАН ЧИСТ К1'!O44*СПРАВОЧНИК!$L$13+'ПЛАН ЧИСТ К1'!P44*СПРАВОЧНИК!$M$13+'ПЛАН ЧИСТ К1'!Q44*СПРАВОЧНИК!$N$13+'ПЛАН ЧИСТ К1'!R44*СПРАВОЧНИК!$L$14+'ПЛАН ЧИСТ К1'!S44*СПРАВОЧНИК!$M$14+'ПЛАН ЧИСТ К1'!T44*СПРАВОЧНИК!$N$14+'ПЛАН ЧИСТ К1'!U44*СПРАВОЧНИК!$L$15+'ПЛАН ЧИСТ К1'!V44*СПРАВОЧНИК!$M$15+'ПЛАН ЧИСТ К1'!W44*СПРАВОЧНИК!$N$15</f>
        <v>0</v>
      </c>
      <c r="AI53" s="40">
        <f>('ФАКТ ЧИСТ К1'!B44)*СПРАВОЧНИК!$L$9+('ФАКТ ЧИСТ К1'!C44)*СПРАВОЧНИК!$M$9+('ФАКТ ЧИСТ К1'!D44)*СПРАВОЧНИК!$N$9+('ФАКТ ЧИСТ К1'!E44)*СПРАВОЧНИК!$O$9+('ФАКТ ЧИСТ К1'!F44)*СПРАВОЧНИК!$L$10+('ФАКТ ЧИСТ К1'!G44)*СПРАВОЧНИК!$M$10+('ФАКТ ЧИСТ К1'!H44)*СПРАВОЧНИК!$N$10+('ФАКТ ЧИСТ К1'!I44)*СПРАВОЧНИК!$L$11+('ФАКТ ЧИСТ К1'!J44)*СПРАВОЧНИК!$M$11+('ФАКТ ЧИСТ К1'!K44)*СПРАВОЧНИК!$N$11+('ФАКТ ЧИСТ К1'!L44)*СПРАВОЧНИК!$L$12+('ФАКТ ЧИСТ К1'!M44)*СПРАВОЧНИК!$M$12+('ФАКТ ЧИСТ К1'!N44)*СПРАВОЧНИК!$N$12+('ФАКТ ЧИСТ К1'!O44)*СПРАВОЧНИК!$L$13+('ФАКТ ЧИСТ К1'!P44)*СПРАВОЧНИК!$M$13+('ФАКТ ЧИСТ К1'!Q44)*СПРАВОЧНИК!$N$13+('ФАКТ ЧИСТ К1'!R44)*СПРАВОЧНИК!$L$14+('ФАКТ ЧИСТ К1'!S44)*СПРАВОЧНИК!$M$14+('ФАКТ ЧИСТ К1'!T44)*СПРАВОЧНИК!$N$14+('ФАКТ ЧИСТ К1'!U44)*СПРАВОЧНИК!$L$15+('ФАКТ ЧИСТ К1'!V44)*СПРАВОЧНИК!$M$15+('ФАКТ ЧИСТ К1'!W44)*СПРАВОЧНИК!$N$15</f>
        <v>0</v>
      </c>
      <c r="AM53" s="18">
        <f t="shared" si="18"/>
        <v>46447</v>
      </c>
      <c r="AN53" s="37">
        <f>СПРАВОЧНИК!$E$9*('ПЛАН ЧЕРН К2'!B44*СПРАВОЧНИК!$H$9+'ПЛАН ЧЕРН К2'!C44*СПРАВОЧНИК!$I$9+'ПЛАН ЧЕРН К2'!D44*СПРАВОЧНИК!$J$9)+СПРАВОЧНИК!$E$10*('ПЛАН ЧЕРН К2'!E44*СПРАВОЧНИК!$H$10+'ПЛАН ЧЕРН К2'!F44*СПРАВОЧНИК!$I$10+'ПЛАН ЧЕРН К2'!G44*СПРАВОЧНИК!$J$10)+СПРАВОЧНИК!$E$11*('ПЛАН ЧЕРН К2'!H44*СПРАВОЧНИК!$H$11+'ПЛАН ЧЕРН К2'!I44*СПРАВОЧНИК!$I$11+'ПЛАН ЧЕРН К2'!J44*СПРАВОЧНИК!$J$11)+СПРАВОЧНИК!$E$12*('ПЛАН ЧЕРН К2'!K44*СПРАВОЧНИК!$H$12+'ПЛАН ЧЕРН К2'!L44*СПРАВОЧНИК!$I$12+'ПЛАН ЧЕРН К2'!M44*СПРАВОЧНИК!$J$12)+СПРАВОЧНИК!$E$13*('ПЛАН ЧЕРН К2'!N44*СПРАВОЧНИК!$H$13+'ПЛАН ЧЕРН К2'!O44*СПРАВОЧНИК!$I$13+'ПЛАН ЧЕРН К2'!P44*СПРАВОЧНИК!$J$13)+СПРАВОЧНИК!$E$14*('ПЛАН ЧЕРН К2'!Q44*СПРАВОЧНИК!$H$14+'ПЛАН ЧЕРН К2'!R44*СПРАВОЧНИК!$I$14+'ПЛАН ЧЕРН К2'!S44*СПРАВОЧНИК!$J$14)+СПРАВОЧНИК!$E$15*('ПЛАН ЧЕРН К2'!T44*СПРАВОЧНИК!$H$15+'ПЛАН ЧЕРН К2'!U44*СПРАВОЧНИК!$I$15+'ПЛАН ЧЕРН К2'!V44*СПРАВОЧНИК!$J$15)+СПРАВОЧНИК!$F$9*('ПЛАН ЧИСТ К2'!B44*СПРАВОЧНИК!$L$9+'ПЛАН ЧИСТ К2'!C44*СПРАВОЧНИК!$M$9+'ПЛАН ЧИСТ К2'!D44*СПРАВОЧНИК!$N$9+'ПЛАН ЧИСТ К2'!E44*СПРАВОЧНИК!$O$9)+СПРАВОЧНИК!$F$10*('ПЛАН ЧИСТ К2'!F44*СПРАВОЧНИК!$L$10+'ПЛАН ЧИСТ К2'!G44*СПРАВОЧНИК!$M$10+'ПЛАН ЧИСТ К2'!H44*СПРАВОЧНИК!$N$10)+СПРАВОЧНИК!$F$11*('ПЛАН ЧИСТ К2'!I44*СПРАВОЧНИК!$L$11+'ПЛАН ЧИСТ К2'!J44*СПРАВОЧНИК!$M$11+'ПЛАН ЧИСТ К2'!K44*СПРАВОЧНИК!$N$11)+СПРАВОЧНИК!$F$12*('ПЛАН ЧИСТ К2'!L44*СПРАВОЧНИК!$L$12+'ПЛАН ЧИСТ К2'!M44*СПРАВОЧНИК!$M$12+'ПЛАН ЧИСТ К2'!N44*СПРАВОЧНИК!$N$12)+СПРАВОЧНИК!$F$13*('ПЛАН ЧИСТ К2'!O44*СПРАВОЧНИК!$L$13+'ПЛАН ЧИСТ К2'!P44*СПРАВОЧНИК!$M$13+'ПЛАН ЧИСТ К2'!Q44*СПРАВОЧНИК!$N$13)+СПРАВОЧНИК!$F$14*('ПЛАН ЧИСТ К2'!R44*СПРАВОЧНИК!$L$14+'ПЛАН ЧИСТ К2'!S44*СПРАВОЧНИК!$M$14+'ПЛАН ЧИСТ К2'!T44*СПРАВОЧНИК!$N$14)+СПРАВОЧНИК!$F$15*('ПЛАН ЧИСТ К2'!U44*СПРАВОЧНИК!$L$15+'ПЛАН ЧИСТ К2'!V44*СПРАВОЧНИК!$M$15+'ПЛАН ЧИСТ К2'!W44*СПРАВОЧНИК!$N$15)</f>
        <v>0</v>
      </c>
      <c r="AO53" s="40">
        <f>СПРАВОЧНИК!$E$9*(('ФАКТ ЧЕРН К2'!B44)*СПРАВОЧНИК!$H$9+('ФАКТ ЧЕРН К2'!C44)*СПРАВОЧНИК!$I$9+('ФАКТ ЧЕРН К2'!D44)*СПРАВОЧНИК!$J$9)+СПРАВОЧНИК!$E$10*(('ФАКТ ЧЕРН К2'!E44)*СПРАВОЧНИК!$H$10+('ФАКТ ЧЕРН К2'!F44)*СПРАВОЧНИК!$I$10+('ФАКТ ЧЕРН К2'!G44)*СПРАВОЧНИК!$J$10)+СПРАВОЧНИК!$E$11*(('ФАКТ ЧЕРН К2'!H44)*СПРАВОЧНИК!$H$11+('ФАКТ ЧЕРН К2'!I44)*СПРАВОЧНИК!$I$11+('ФАКТ ЧЕРН К2'!J44)*СПРАВОЧНИК!$J$11)+СПРАВОЧНИК!$E$12*(('ФАКТ ЧЕРН К2'!K44)*СПРАВОЧНИК!$H$12+('ФАКТ ЧЕРН К2'!L44)*СПРАВОЧНИК!$I$12+('ФАКТ ЧЕРН К2'!M44)*СПРАВОЧНИК!$J$12)+СПРАВОЧНИК!$E$13*(('ФАКТ ЧЕРН К2'!N44)*СПРАВОЧНИК!$H$13+('ФАКТ ЧЕРН К2'!O44)*СПРАВОЧНИК!$I$13+('ФАКТ ЧЕРН К2'!P44)*СПРАВОЧНИК!$J$13)+СПРАВОЧНИК!$E$14*(('ФАКТ ЧЕРН К2'!Q44)*СПРАВОЧНИК!$H$14+('ФАКТ ЧЕРН К2'!R44)*СПРАВОЧНИК!$I$14+('ФАКТ ЧЕРН К2'!S44)*СПРАВОЧНИК!$J$14)+СПРАВОЧНИК!$E$15*(('ФАКТ ЧЕРН К2'!T44)*СПРАВОЧНИК!$H$15+('ФАКТ ЧЕРН К2'!U44)*СПРАВОЧНИК!$I$15+('ФАКТ ЧЕРН К2'!V44)*СПРАВОЧНИК!$J$15)+СПРАВОЧНИК!$F$9*(('ФАКТ ЧИСТ К2'!B44)*СПРАВОЧНИК!$L$9+('ФАКТ ЧИСТ К2'!C44)*СПРАВОЧНИК!$M$9+('ФАКТ ЧИСТ К2'!D44)*СПРАВОЧНИК!$N$9+('ФАКТ ЧИСТ К2'!E44)*СПРАВОЧНИК!$O$9)+СПРАВОЧНИК!$F$10*(('ФАКТ ЧИСТ К2'!F44)*СПРАВОЧНИК!$L$10+('ФАКТ ЧИСТ К2'!G44)*СПРАВОЧНИК!$M$10+('ФАКТ ЧИСТ К2'!H44)*СПРАВОЧНИК!$N$10)+СПРАВОЧНИК!$F$11*(('ФАКТ ЧИСТ К2'!I44)*СПРАВОЧНИК!$L$11+('ФАКТ ЧИСТ К2'!J44)*СПРАВОЧНИК!$M$11+('ФАКТ ЧИСТ К2'!K44)*СПРАВОЧНИК!$N$11)+СПРАВОЧНИК!$F$12*(('ФАКТ ЧИСТ К2'!L44)*СПРАВОЧНИК!$L$12+('ФАКТ ЧИСТ К2'!M44)*СПРАВОЧНИК!$M$12+('ФАКТ ЧИСТ К2'!N44)*СПРАВОЧНИК!$N$12)+СПРАВОЧНИК!$F$13*(('ФАКТ ЧИСТ К2'!O44)*СПРАВОЧНИК!$L$13+('ФАКТ ЧИСТ К2'!P44)*СПРАВОЧНИК!$M$13+('ФАКТ ЧИСТ К2'!Q44)*СПРАВОЧНИК!$N$13)+СПРАВОЧНИК!$F$14*(('ФАКТ ЧИСТ К2'!R44)*СПРАВОЧНИК!$L$14+('ФАКТ ЧИСТ К2'!S44)*СПРАВОЧНИК!$M$14+('ФАКТ ЧИСТ К2'!T44)*СПРАВОЧНИК!$N$14)+СПРАВОЧНИК!$F$15*(('ФАКТ ЧИСТ К2'!U44)*СПРАВОЧНИК!$L$15+('ФАКТ ЧИСТ К2'!V44)*СПРАВОЧНИК!$M$15+('ФАКТ ЧИСТ К2'!W44)*СПРАВОЧНИК!$N$15)</f>
        <v>0</v>
      </c>
      <c r="AS53" s="18">
        <f t="shared" si="19"/>
        <v>46447</v>
      </c>
      <c r="AT53" s="37">
        <f>'ПЛАН ЧЕРН К2'!B44*СПРАВОЧНИК!$H$9+'ПЛАН ЧЕРН К2'!C44*СПРАВОЧНИК!$I$9+'ПЛАН ЧЕРН К2'!D44*СПРАВОЧНИК!$J$9+'ПЛАН ЧЕРН К2'!E44*СПРАВОЧНИК!$H$10+'ПЛАН ЧЕРН К2'!F44*СПРАВОЧНИК!$I$10+'ПЛАН ЧЕРН К2'!G44*СПРАВОЧНИК!$J$10+'ПЛАН ЧЕРН К2'!H44*СПРАВОЧНИК!$H$11+'ПЛАН ЧЕРН К2'!I44*СПРАВОЧНИК!$I$11+'ПЛАН ЧЕРН К2'!J44*СПРАВОЧНИК!$J$11+'ПЛАН ЧЕРН К2'!K44*СПРАВОЧНИК!$H$12+'ПЛАН ЧЕРН К2'!L44*СПРАВОЧНИК!$I$12+'ПЛАН ЧЕРН К2'!M44*СПРАВОЧНИК!$J$12+'ПЛАН ЧЕРН К2'!N44*СПРАВОЧНИК!$H$13+'ПЛАН ЧЕРН К2'!O44*СПРАВОЧНИК!$I$13+'ПЛАН ЧЕРН К2'!P44*СПРАВОЧНИК!$J$13+'ПЛАН ЧЕРН К2'!Q44*СПРАВОЧНИК!$H$14+'ПЛАН ЧЕРН К2'!R44*СПРАВОЧНИК!$I$14+'ПЛАН ЧЕРН К2'!S44*СПРАВОЧНИК!$J$14+'ПЛАН ЧЕРН К2'!T44*СПРАВОЧНИК!$H$15+'ПЛАН ЧЕРН К2'!U44*СПРАВОЧНИК!$I$15+'ПЛАН ЧЕРН К2'!V44*СПРАВОЧНИК!$J$15</f>
        <v>0</v>
      </c>
      <c r="AU53" s="40">
        <f>('ФАКТ ЧЕРН К2'!B44)*СПРАВОЧНИК!$H$9+('ФАКТ ЧЕРН К2'!C44)*СПРАВОЧНИК!$I$9+('ФАКТ ЧЕРН К2'!D44)*СПРАВОЧНИК!$J$9+('ФАКТ ЧЕРН К2'!E44)*СПРАВОЧНИК!$H$10+('ФАКТ ЧЕРН К2'!F44)*СПРАВОЧНИК!$I$10+('ФАКТ ЧЕРН К2'!G44)*СПРАВОЧНИК!$J$10+('ФАКТ ЧЕРН К2'!H44)*СПРАВОЧНИК!$H$11+('ФАКТ ЧЕРН К2'!I44)*СПРАВОЧНИК!$I$11+('ФАКТ ЧЕРН К2'!J44)*СПРАВОЧНИК!$J$11+('ФАКТ ЧЕРН К2'!K44)*СПРАВОЧНИК!$H$12+('ФАКТ ЧЕРН К2'!L44)*СПРАВОЧНИК!$I$12+('ФАКТ ЧЕРН К2'!M44)*СПРАВОЧНИК!$J$12+('ФАКТ ЧЕРН К2'!N44)*СПРАВОЧНИК!$H$13+('ФАКТ ЧЕРН К2'!O44)*СПРАВОЧНИК!$I$13+('ФАКТ ЧЕРН К2'!P44)*СПРАВОЧНИК!$J$13+('ФАКТ ЧЕРН К2'!Q44)*СПРАВОЧНИК!$H$14+('ФАКТ ЧЕРН К2'!R44)*СПРАВОЧНИК!$I$14+('ФАКТ ЧЕРН К2'!S44)*СПРАВОЧНИК!$J$14+('ФАКТ ЧЕРН К2'!T44)*СПРАВОЧНИК!$H$15+('ФАКТ ЧЕРН К2'!U44)*СПРАВОЧНИК!$I$15+('ФАКТ ЧЕРН К2'!V44)*СПРАВОЧНИК!$J$15</f>
        <v>0</v>
      </c>
      <c r="AY53" s="18">
        <f t="shared" si="20"/>
        <v>46447</v>
      </c>
      <c r="AZ53" s="37">
        <f>'ПЛАН ЧИСТ К2'!B44*СПРАВОЧНИК!$L$9+'ПЛАН ЧИСТ К2'!C44*СПРАВОЧНИК!$M$9+'ПЛАН ЧИСТ К2'!D44*СПРАВОЧНИК!$N$9+'ПЛАН ЧИСТ К2'!E44*СПРАВОЧНИК!$O$9+'ПЛАН ЧИСТ К2'!F44*СПРАВОЧНИК!$L$10+'ПЛАН ЧИСТ К2'!G44*СПРАВОЧНИК!$M$10+'ПЛАН ЧИСТ К2'!H44*СПРАВОЧНИК!$N$10+'ПЛАН ЧИСТ К2'!I44*СПРАВОЧНИК!$L$11+'ПЛАН ЧИСТ К2'!J44*СПРАВОЧНИК!$M$11+'ПЛАН ЧИСТ К2'!K44*СПРАВОЧНИК!$N$11+'ПЛАН ЧИСТ К2'!L44*СПРАВОЧНИК!$L$12+'ПЛАН ЧИСТ К2'!M44*СПРАВОЧНИК!$M$12+'ПЛАН ЧИСТ К2'!N44*СПРАВОЧНИК!$N$12+'ПЛАН ЧИСТ К2'!O44*СПРАВОЧНИК!$L$13+'ПЛАН ЧИСТ К2'!P44*СПРАВОЧНИК!$M$13+'ПЛАН ЧИСТ К2'!Q44*СПРАВОЧНИК!$N$13+'ПЛАН ЧИСТ К2'!R44*СПРАВОЧНИК!$L$14+'ПЛАН ЧИСТ К2'!S44*СПРАВОЧНИК!$M$14+'ПЛАН ЧИСТ К2'!T44*СПРАВОЧНИК!$N$14+'ПЛАН ЧИСТ К2'!U44*СПРАВОЧНИК!$L$15+'ПЛАН ЧИСТ К2'!V44*СПРАВОЧНИК!$M$15+'ПЛАН ЧИСТ К2'!W44*СПРАВОЧНИК!$N$15</f>
        <v>0</v>
      </c>
      <c r="BA53" s="40">
        <f>('ФАКТ ЧИСТ К2'!B44)*СПРАВОЧНИК!$L$9+('ФАКТ ЧИСТ К2'!C44)*СПРАВОЧНИК!$M$9+('ФАКТ ЧИСТ К2'!D44)*СПРАВОЧНИК!$N$9+('ФАКТ ЧИСТ К2'!E44)*СПРАВОЧНИК!$O$9+('ФАКТ ЧИСТ К2'!F44)*СПРАВОЧНИК!$L$10+('ФАКТ ЧИСТ К2'!G44)*СПРАВОЧНИК!$M$10+('ФАКТ ЧИСТ К2'!H44)*СПРАВОЧНИК!$N$10+('ФАКТ ЧИСТ К2'!I44)*СПРАВОЧНИК!$L$11+('ФАКТ ЧИСТ К2'!J44)*СПРАВОЧНИК!$M$11+('ФАКТ ЧИСТ К2'!K44)*СПРАВОЧНИК!$N$11+('ФАКТ ЧИСТ К2'!L44)*СПРАВОЧНИК!$L$12+('ФАКТ ЧИСТ К2'!M44)*СПРАВОЧНИК!$M$12+('ФАКТ ЧИСТ К2'!N44)*СПРАВОЧНИК!$N$12+('ФАКТ ЧИСТ К2'!O44)*СПРАВОЧНИК!$L$13+('ФАКТ ЧИСТ К2'!P44)*СПРАВОЧНИК!$M$13+('ФАКТ ЧИСТ К2'!Q44)*СПРАВОЧНИК!$N$13+('ФАКТ ЧИСТ К2'!R44)*СПРАВОЧНИК!$L$14+('ФАКТ ЧИСТ К2'!S44)*СПРАВОЧНИК!$M$14+('ФАКТ ЧИСТ К2'!T44)*СПРАВОЧНИК!$N$14+('ФАКТ ЧИСТ К2'!U44)*СПРАВОЧНИК!$L$15+('ФАКТ ЧИСТ К2'!V44)*СПРАВОЧНИК!$M$15+('ФАКТ ЧИСТ К2'!W44)*СПРАВОЧНИК!$N$15</f>
        <v>0</v>
      </c>
      <c r="BE53" s="18">
        <f t="shared" si="21"/>
        <v>46447</v>
      </c>
      <c r="BF53" s="37">
        <f>СПРАВОЧНИК!$E$9*('ПЛАН ЧЕРН К3'!B44*СПРАВОЧНИК!$H$9+'ПЛАН ЧЕРН К3'!C44*СПРАВОЧНИК!$I$9+'ПЛАН ЧЕРН К3'!D44*СПРАВОЧНИК!$J$9)+СПРАВОЧНИК!$E$10*('ПЛАН ЧЕРН К3'!E44*СПРАВОЧНИК!$H$10+'ПЛАН ЧЕРН К3'!F44*СПРАВОЧНИК!$I$10+'ПЛАН ЧЕРН К3'!G44*СПРАВОЧНИК!$J$10)+СПРАВОЧНИК!$E$11*('ПЛАН ЧЕРН К3'!H44*СПРАВОЧНИК!$H$11+'ПЛАН ЧЕРН К3'!I44*СПРАВОЧНИК!$I$11+'ПЛАН ЧЕРН К3'!J44*СПРАВОЧНИК!$J$11)+СПРАВОЧНИК!$E$12*('ПЛАН ЧЕРН К3'!K44*СПРАВОЧНИК!$H$12+'ПЛАН ЧЕРН К3'!L44*СПРАВОЧНИК!$I$12+'ПЛАН ЧЕРН К3'!M44*СПРАВОЧНИК!$J$12)+СПРАВОЧНИК!$E$13*('ПЛАН ЧЕРН К3'!N44*СПРАВОЧНИК!$H$13+'ПЛАН ЧЕРН К3'!O44*СПРАВОЧНИК!$I$13+'ПЛАН ЧЕРН К3'!P44*СПРАВОЧНИК!$J$13)+СПРАВОЧНИК!$E$14*('ПЛАН ЧЕРН К3'!Q44*СПРАВОЧНИК!$H$14+'ПЛАН ЧЕРН К3'!R44*СПРАВОЧНИК!$I$14+'ПЛАН ЧЕРН К3'!S44*СПРАВОЧНИК!$J$14)+СПРАВОЧНИК!$E$15*('ПЛАН ЧЕРН К3'!T44*СПРАВОЧНИК!$H$15+'ПЛАН ЧЕРН К3'!U44*СПРАВОЧНИК!$I$15+'ПЛАН ЧЕРН К3'!V44*СПРАВОЧНИК!$J$15)+СПРАВОЧНИК!$F$9*('ПЛАН ЧИСТ К3'!B44*СПРАВОЧНИК!$L$9+'ПЛАН ЧИСТ К3'!C44*СПРАВОЧНИК!$M$9+'ПЛАН ЧИСТ К3'!D44*СПРАВОЧНИК!$N$9+'ПЛАН ЧИСТ К3'!E44*СПРАВОЧНИК!$O$9)+СПРАВОЧНИК!$F$10*('ПЛАН ЧИСТ К3'!F44*СПРАВОЧНИК!$L$10+'ПЛАН ЧИСТ К3'!G44*СПРАВОЧНИК!$M$10+'ПЛАН ЧИСТ К3'!H44*СПРАВОЧНИК!$N$10)+СПРАВОЧНИК!$F$11*('ПЛАН ЧИСТ К3'!I44*СПРАВОЧНИК!$L$11+'ПЛАН ЧИСТ К3'!J44*СПРАВОЧНИК!$M$11+'ПЛАН ЧИСТ К3'!K44*СПРАВОЧНИК!$N$11)+СПРАВОЧНИК!$F$12*('ПЛАН ЧИСТ К3'!L44*СПРАВОЧНИК!$L$12+'ПЛАН ЧИСТ К3'!M44*СПРАВОЧНИК!$M$12+'ПЛАН ЧИСТ К3'!N44*СПРАВОЧНИК!$N$12)+СПРАВОЧНИК!$F$13*('ПЛАН ЧИСТ К3'!O44*СПРАВОЧНИК!$L$13+'ПЛАН ЧИСТ К3'!P44*СПРАВОЧНИК!$M$13+'ПЛАН ЧИСТ К3'!Q44*СПРАВОЧНИК!$N$13)+СПРАВОЧНИК!$F$14*('ПЛАН ЧИСТ К3'!R44*СПРАВОЧНИК!$L$14+'ПЛАН ЧИСТ К3'!S44*СПРАВОЧНИК!$M$14+'ПЛАН ЧИСТ К3'!T44*СПРАВОЧНИК!$N$14)+СПРАВОЧНИК!$F$15*('ПЛАН ЧИСТ К3'!U44*СПРАВОЧНИК!$L$15+'ПЛАН ЧИСТ К3'!V44*СПРАВОЧНИК!$M$15+'ПЛАН ЧИСТ К3'!W44*СПРАВОЧНИК!$N$15)</f>
        <v>0</v>
      </c>
      <c r="BG53" s="40">
        <f>СПРАВОЧНИК!$E$9*(('ФАКТ ЧЕРН К3'!B44)*СПРАВОЧНИК!$H$9+('ФАКТ ЧЕРН К3'!C44)*СПРАВОЧНИК!$I$9+('ФАКТ ЧЕРН К3'!D44)*СПРАВОЧНИК!$J$9)+СПРАВОЧНИК!$E$10*(('ФАКТ ЧЕРН К3'!E44)*СПРАВОЧНИК!$H$10+('ФАКТ ЧЕРН К3'!F44)*СПРАВОЧНИК!$I$10+('ФАКТ ЧЕРН К3'!G44)*СПРАВОЧНИК!$J$10)+СПРАВОЧНИК!$E$11*(('ФАКТ ЧЕРН К3'!H44)*СПРАВОЧНИК!$H$11+('ФАКТ ЧЕРН К3'!I44)*СПРАВОЧНИК!$I$11+('ФАКТ ЧЕРН К3'!J44)*СПРАВОЧНИК!$J$11)+СПРАВОЧНИК!$E$12*(('ФАКТ ЧЕРН К3'!K44)*СПРАВОЧНИК!$H$12+('ФАКТ ЧЕРН К3'!L44)*СПРАВОЧНИК!$I$12+('ФАКТ ЧЕРН К3'!M44)*СПРАВОЧНИК!$J$12)+СПРАВОЧНИК!$E$13*(('ФАКТ ЧЕРН К3'!N44)*СПРАВОЧНИК!$H$13+('ФАКТ ЧЕРН К3'!O44)*СПРАВОЧНИК!$I$13+('ФАКТ ЧЕРН К3'!P44)*СПРАВОЧНИК!$J$13)+СПРАВОЧНИК!$E$14*(('ФАКТ ЧЕРН К3'!Q44)*СПРАВОЧНИК!$H$14+('ФАКТ ЧЕРН К3'!R44)*СПРАВОЧНИК!$I$14+('ФАКТ ЧЕРН К3'!S44)*СПРАВОЧНИК!$J$14)+СПРАВОЧНИК!$E$15*(('ФАКТ ЧЕРН К3'!T44)*СПРАВОЧНИК!$H$15+('ФАКТ ЧЕРН К3'!U44)*СПРАВОЧНИК!$I$15+('ФАКТ ЧЕРН К3'!V44)*СПРАВОЧНИК!$J$15)+СПРАВОЧНИК!$F$9*(('ФАКТ ЧИСТ К3'!B44)*СПРАВОЧНИК!$L$9+('ФАКТ ЧИСТ К3'!C44)*СПРАВОЧНИК!$M$9+('ФАКТ ЧИСТ К3'!D44)*СПРАВОЧНИК!$N$9+('ФАКТ ЧИСТ К3'!E44)*СПРАВОЧНИК!$O$9)+СПРАВОЧНИК!$F$10*(('ФАКТ ЧИСТ К3'!F44)*СПРАВОЧНИК!$L$10+('ФАКТ ЧИСТ К3'!G44)*СПРАВОЧНИК!$M$10+('ФАКТ ЧИСТ К3'!H44)*СПРАВОЧНИК!$N$10)+СПРАВОЧНИК!$F$11*(('ФАКТ ЧИСТ К3'!I44)*СПРАВОЧНИК!$L$11+('ФАКТ ЧИСТ К3'!J44)*СПРАВОЧНИК!$M$11+('ФАКТ ЧИСТ К3'!K44)*СПРАВОЧНИК!$N$11)+СПРАВОЧНИК!$F$12*(('ФАКТ ЧИСТ К3'!L44)*СПРАВОЧНИК!$L$12+('ФАКТ ЧИСТ К3'!M44)*СПРАВОЧНИК!$M$12+('ФАКТ ЧИСТ К3'!N44)*СПРАВОЧНИК!$N$12)+СПРАВОЧНИК!$F$13*(('ФАКТ ЧИСТ К3'!O44)*СПРАВОЧНИК!$L$13+('ФАКТ ЧИСТ К3'!P44)*СПРАВОЧНИК!$M$13+('ФАКТ ЧИСТ К3'!Q44)*СПРАВОЧНИК!$N$13)+СПРАВОЧНИК!$F$14*(('ФАКТ ЧИСТ К3'!R44)*СПРАВОЧНИК!$L$14+('ФАКТ ЧИСТ К3'!S44)*СПРАВОЧНИК!$M$14+('ФАКТ ЧИСТ К3'!T44)*СПРАВОЧНИК!$N$14)+СПРАВОЧНИК!$F$15*(('ФАКТ ЧИСТ К3'!U44)*СПРАВОЧНИК!$L$15+('ФАКТ ЧИСТ К3'!V44)*СПРАВОЧНИК!$M$15+('ФАКТ ЧИСТ К3'!W44)*СПРАВОЧНИК!$N$15)</f>
        <v>0</v>
      </c>
      <c r="BK53" s="18">
        <f t="shared" si="22"/>
        <v>46447</v>
      </c>
      <c r="BL53" s="37">
        <f>'ПЛАН ЧЕРН К3'!B44*СПРАВОЧНИК!$H$9+'ПЛАН ЧЕРН К3'!C44*СПРАВОЧНИК!$I$9+'ПЛАН ЧЕРН К3'!D44*СПРАВОЧНИК!$J$9+'ПЛАН ЧЕРН К3'!E44*СПРАВОЧНИК!$H$10+'ПЛАН ЧЕРН К3'!F44*СПРАВОЧНИК!$I$10+'ПЛАН ЧЕРН К3'!G44*СПРАВОЧНИК!$J$10+'ПЛАН ЧЕРН К3'!H44*СПРАВОЧНИК!$H$11+'ПЛАН ЧЕРН К3'!I44*СПРАВОЧНИК!$I$11+'ПЛАН ЧЕРН К3'!J44*СПРАВОЧНИК!$J$11+'ПЛАН ЧЕРН К3'!K44*СПРАВОЧНИК!$H$12+'ПЛАН ЧЕРН К3'!L44*СПРАВОЧНИК!$I$12+'ПЛАН ЧЕРН К3'!M44*СПРАВОЧНИК!$J$12+'ПЛАН ЧЕРН К3'!N44*СПРАВОЧНИК!$H$13+'ПЛАН ЧЕРН К3'!O44*СПРАВОЧНИК!$I$13+'ПЛАН ЧЕРН К3'!P44*СПРАВОЧНИК!$J$13+'ПЛАН ЧЕРН К3'!Q44*СПРАВОЧНИК!$H$14+'ПЛАН ЧЕРН К3'!R44*СПРАВОЧНИК!$I$14+'ПЛАН ЧЕРН К3'!S44*СПРАВОЧНИК!$J$14+'ПЛАН ЧЕРН К3'!T44*СПРАВОЧНИК!$H$15+'ПЛАН ЧЕРН К3'!U44*СПРАВОЧНИК!$I$15+'ПЛАН ЧЕРН К3'!V44*СПРАВОЧНИК!$J$15</f>
        <v>0</v>
      </c>
      <c r="BM53" s="40">
        <f>('ФАКТ ЧЕРН К3'!B44)*СПРАВОЧНИК!$H$9+('ФАКТ ЧЕРН К3'!C44)*СПРАВОЧНИК!$I$9+('ФАКТ ЧЕРН К3'!D44)*СПРАВОЧНИК!$J$9+('ФАКТ ЧЕРН К3'!E44)*СПРАВОЧНИК!$H$10+('ФАКТ ЧЕРН К3'!F44)*СПРАВОЧНИК!$I$10+('ФАКТ ЧЕРН К3'!G44)*СПРАВОЧНИК!$J$10+('ФАКТ ЧЕРН К3'!H44)*СПРАВОЧНИК!$H$11+('ФАКТ ЧЕРН К3'!I44)*СПРАВОЧНИК!$I$11+('ФАКТ ЧЕРН К3'!J44)*СПРАВОЧНИК!$J$11+('ФАКТ ЧЕРН К3'!K44)*СПРАВОЧНИК!$H$12+('ФАКТ ЧЕРН К3'!L44)*СПРАВОЧНИК!$I$12+('ФАКТ ЧЕРН К3'!M44)*СПРАВОЧНИК!$J$12+('ФАКТ ЧЕРН К3'!N44)*СПРАВОЧНИК!$H$13+('ФАКТ ЧЕРН К3'!O44)*СПРАВОЧНИК!$I$13+('ФАКТ ЧЕРН К3'!P44)*СПРАВОЧНИК!$J$13+('ФАКТ ЧЕРН К3'!Q44)*СПРАВОЧНИК!$H$14+('ФАКТ ЧЕРН К3'!R44)*СПРАВОЧНИК!$I$14+('ФАКТ ЧЕРН К3'!S44)*СПРАВОЧНИК!$J$14+('ФАКТ ЧЕРН К3'!T44)*СПРАВОЧНИК!$H$15+('ФАКТ ЧЕРН К3'!U44)*СПРАВОЧНИК!$I$15+('ФАКТ ЧЕРН К3'!V44)*СПРАВОЧНИК!$J$15</f>
        <v>0</v>
      </c>
      <c r="BQ53" s="18">
        <f t="shared" si="23"/>
        <v>46447</v>
      </c>
      <c r="BR53" s="37">
        <f>'ПЛАН ЧИСТ К3'!B44*СПРАВОЧНИК!$L$9+'ПЛАН ЧИСТ К3'!C44*СПРАВОЧНИК!$M$9+'ПЛАН ЧИСТ К3'!D44*СПРАВОЧНИК!$N$9+'ПЛАН ЧИСТ К3'!E44*СПРАВОЧНИК!$O$9+'ПЛАН ЧИСТ К3'!F44*СПРАВОЧНИК!$L$10+'ПЛАН ЧИСТ К3'!G44*СПРАВОЧНИК!$M$10+'ПЛАН ЧИСТ К3'!H44*СПРАВОЧНИК!$N$10+'ПЛАН ЧИСТ К3'!I44*СПРАВОЧНИК!$L$11+'ПЛАН ЧИСТ К3'!J44*СПРАВОЧНИК!$M$11+'ПЛАН ЧИСТ К3'!K44*СПРАВОЧНИК!$N$11+'ПЛАН ЧИСТ К3'!L44*СПРАВОЧНИК!$L$12+'ПЛАН ЧИСТ К3'!M44*СПРАВОЧНИК!$M$12+'ПЛАН ЧИСТ К3'!N44*СПРАВОЧНИК!$N$12+'ПЛАН ЧИСТ К3'!O44*СПРАВОЧНИК!$L$13+'ПЛАН ЧИСТ К3'!P44*СПРАВОЧНИК!$M$13+'ПЛАН ЧИСТ К3'!Q44*СПРАВОЧНИК!$N$13+'ПЛАН ЧИСТ К3'!R44*СПРАВОЧНИК!$L$14+'ПЛАН ЧИСТ К3'!S44*СПРАВОЧНИК!$M$14+'ПЛАН ЧИСТ К3'!T44*СПРАВОЧНИК!$N$14+'ПЛАН ЧИСТ К3'!U44*СПРАВОЧНИК!$L$15+'ПЛАН ЧИСТ К3'!V44*СПРАВОЧНИК!$M$15+'ПЛАН ЧИСТ К3'!W44*СПРАВОЧНИК!$N$15</f>
        <v>0</v>
      </c>
      <c r="BS53" s="40">
        <f>('ФАКТ ЧИСТ К3'!B44)*СПРАВОЧНИК!$L$9+('ФАКТ ЧИСТ К3'!C44)*СПРАВОЧНИК!$M$9+('ФАКТ ЧИСТ К3'!D44)*СПРАВОЧНИК!$N$9+('ФАКТ ЧИСТ К3'!E44)*СПРАВОЧНИК!$O$9+('ФАКТ ЧИСТ К3'!F44)*СПРАВОЧНИК!$L$10+('ФАКТ ЧИСТ К3'!G44)*СПРАВОЧНИК!$M$10+('ФАКТ ЧИСТ К3'!H44)*СПРАВОЧНИК!$N$10+('ФАКТ ЧИСТ К3'!I44)*СПРАВОЧНИК!$L$11+('ФАКТ ЧИСТ К3'!J44)*СПРАВОЧНИК!$M$11+('ФАКТ ЧИСТ К3'!K44)*СПРАВОЧНИК!$N$11+('ФАКТ ЧИСТ К3'!L44)*СПРАВОЧНИК!$L$12+('ФАКТ ЧИСТ К3'!M44)*СПРАВОЧНИК!$M$12+('ФАКТ ЧИСТ К3'!N44)*СПРАВОЧНИК!$N$12+('ФАКТ ЧИСТ К3'!O44)*СПРАВОЧНИК!$L$13+('ФАКТ ЧИСТ К3'!P44)*СПРАВОЧНИК!$M$13+('ФАКТ ЧИСТ К3'!Q44)*СПРАВОЧНИК!$N$13+('ФАКТ ЧИСТ К3'!R44)*СПРАВОЧНИК!$L$14+('ФАКТ ЧИСТ К3'!S44)*СПРАВОЧНИК!$M$14+('ФАКТ ЧИСТ К3'!T44)*СПРАВОЧНИК!$N$14+('ФАКТ ЧИСТ К3'!U44)*СПРАВОЧНИК!$L$15+('ФАКТ ЧИСТ К3'!V44)*СПРАВОЧНИК!$M$15+('ФАКТ ЧИСТ К3'!W44)*СПРАВОЧНИК!$N$15</f>
        <v>0</v>
      </c>
      <c r="BW53" s="18">
        <f t="shared" si="24"/>
        <v>46447</v>
      </c>
      <c r="BX53" s="37">
        <f t="shared" si="0"/>
        <v>0</v>
      </c>
      <c r="BY53" s="40">
        <f t="shared" si="1"/>
        <v>0</v>
      </c>
      <c r="CC53" s="18">
        <f t="shared" si="25"/>
        <v>46447</v>
      </c>
      <c r="CD53" s="37">
        <f t="shared" si="2"/>
        <v>0</v>
      </c>
      <c r="CE53" s="40">
        <f t="shared" si="3"/>
        <v>0</v>
      </c>
      <c r="CI53" s="18">
        <f t="shared" si="26"/>
        <v>46447</v>
      </c>
      <c r="CJ53" s="37">
        <f t="shared" si="4"/>
        <v>0</v>
      </c>
      <c r="CK53" s="40">
        <f t="shared" si="5"/>
        <v>0</v>
      </c>
      <c r="CO53" s="18">
        <f t="shared" si="27"/>
        <v>46447</v>
      </c>
      <c r="CP53" s="37">
        <f t="shared" si="6"/>
        <v>0</v>
      </c>
      <c r="CQ53" s="40">
        <f t="shared" si="7"/>
        <v>0</v>
      </c>
      <c r="CU53" s="18">
        <f t="shared" si="28"/>
        <v>46447</v>
      </c>
      <c r="CV53" s="37">
        <f t="shared" si="8"/>
        <v>0</v>
      </c>
      <c r="CW53" s="40">
        <f t="shared" si="9"/>
        <v>0</v>
      </c>
      <c r="DA53" s="18">
        <f t="shared" si="29"/>
        <v>46447</v>
      </c>
      <c r="DB53" s="37">
        <f t="shared" si="10"/>
        <v>0</v>
      </c>
      <c r="DC53" s="40">
        <f t="shared" si="11"/>
        <v>0</v>
      </c>
    </row>
    <row r="54" spans="3:107" x14ac:dyDescent="0.25">
      <c r="C54" s="18">
        <f t="shared" si="12"/>
        <v>46454</v>
      </c>
      <c r="D54" s="37">
        <f>СПРАВОЧНИК!$E$3*('ПЛАН ЧЕРН ПОДЗЕМ'!B45*СПРАВОЧНИК!$H$3+'ПЛАН ЧЕРН ПОДЗЕМ'!C45*СПРАВОЧНИК!$I$3+'ПЛАН ЧЕРН ПОДЗЕМ'!D45*СПРАВОЧНИК!$J$3)+СПРАВОЧНИК!$E$4*('ПЛАН ЧЕРН ПОДЗЕМ'!E45*СПРАВОЧНИК!$H$4+'ПЛАН ЧЕРН ПОДЗЕМ'!F45*СПРАВОЧНИК!$I$4+'ПЛАН ЧЕРН ПОДЗЕМ'!G45*СПРАВОЧНИК!$J$4)+СПРАВОЧНИК!$E$5*('ПЛАН ЧЕРН ПОДЗЕМ'!H45*СПРАВОЧНИК!$H$5+'ПЛАН ЧЕРН ПОДЗЕМ'!I45*СПРАВОЧНИК!$I$5+'ПЛАН ЧЕРН ПОДЗЕМ'!J45*СПРАВОЧНИК!$J$5)+СПРАВОЧНИК!$E$6*('ПЛАН ЧЕРН ПОДЗЕМ'!K45*СПРАВОЧНИК!$H$6+'ПЛАН ЧЕРН ПОДЗЕМ'!L45*СПРАВОЧНИК!$I$6+'ПЛАН ЧЕРН ПОДЗЕМ'!M45*СПРАВОЧНИК!$J$6)+СПРАВОЧНИК!$E$7*('ПЛАН ЧЕРН ПОДЗЕМ'!N45*СПРАВОЧНИК!$H$7+'ПЛАН ЧЕРН ПОДЗЕМ'!O45*СПРАВОЧНИК!$I$7+'ПЛАН ЧЕРН ПОДЗЕМ'!P45*СПРАВОЧНИК!$J$7)+СПРАВОЧНИК!$E$8*('ПЛАН ЧЕРН ПОДЗЕМ'!Q45*СПРАВОЧНИК!$H$8+'ПЛАН ЧЕРН ПОДЗЕМ'!R45*СПРАВОЧНИК!$I$8+'ПЛАН ЧЕРН ПОДЗЕМ'!S45*СПРАВОЧНИК!$J$8)+СПРАВОЧНИК!$F$3*('ПЛАН ЧИСТ ПОДЗЕМ'!B45*СПРАВОЧНИК!$L$3+'ПЛАН ЧИСТ ПОДЗЕМ'!C45*СПРАВОЧНИК!$M$3+'ПЛАН ЧИСТ ПОДЗЕМ'!D45*СПРАВОЧНИК!$N$3)+СПРАВОЧНИК!$F$4*('ПЛАН ЧИСТ ПОДЗЕМ'!E45*СПРАВОЧНИК!$L$4+'ПЛАН ЧИСТ ПОДЗЕМ'!F45*СПРАВОЧНИК!$M$4+'ПЛАН ЧИСТ ПОДЗЕМ'!G45*СПРАВОЧНИК!$N$4)+СПРАВОЧНИК!$F$5*('ПЛАН ЧИСТ ПОДЗЕМ'!H45*СПРАВОЧНИК!$L$5+'ПЛАН ЧИСТ ПОДЗЕМ'!I45*СПРАВОЧНИК!$M$5+'ПЛАН ЧИСТ ПОДЗЕМ'!J45*СПРАВОЧНИК!$N$5)+СПРАВОЧНИК!$F$6*('ПЛАН ЧИСТ ПОДЗЕМ'!K45*СПРАВОЧНИК!$L$6+'ПЛАН ЧИСТ ПОДЗЕМ'!L45*СПРАВОЧНИК!$M$6+'ПЛАН ЧИСТ ПОДЗЕМ'!M45*СПРАВОЧНИК!$N$6)+СПРАВОЧНИК!$F$7*('ПЛАН ЧИСТ ПОДЗЕМ'!N45*СПРАВОЧНИК!$L$7+'ПЛАН ЧИСТ ПОДЗЕМ'!O45*СПРАВОЧНИК!$M$7+'ПЛАН ЧИСТ ПОДЗЕМ'!P45*СПРАВОЧНИК!$N$7)+СПРАВОЧНИК!$F$8*('ПЛАН ЧИСТ ПОДЗЕМ'!Q45*СПРАВОЧНИК!$L$8+'ПЛАН ЧИСТ ПОДЗЕМ'!R45*СПРАВОЧНИК!$M$8+'ПЛАН ЧИСТ ПОДЗЕМ'!S45*СПРАВОЧНИК!$N$8)</f>
        <v>0</v>
      </c>
      <c r="E54" s="40">
        <f>СПРАВОЧНИК!$E$3*(('ФАКТ ЧЕРН ПОДЗЕМ'!B45)*СПРАВОЧНИК!$H$3+('ФАКТ ЧЕРН ПОДЗЕМ'!C45)*СПРАВОЧНИК!$I$3+('ФАКТ ЧЕРН ПОДЗЕМ'!D45)*СПРАВОЧНИК!$J$3)+СПРАВОЧНИК!$E$4*(('ФАКТ ЧЕРН ПОДЗЕМ'!E45)*СПРАВОЧНИК!$H$4+('ФАКТ ЧЕРН ПОДЗЕМ'!F45)*СПРАВОЧНИК!$I$4+('ФАКТ ЧЕРН ПОДЗЕМ'!G45)*СПРАВОЧНИК!$J$4)+СПРАВОЧНИК!$E$5*(('ФАКТ ЧЕРН ПОДЗЕМ'!H45)*СПРАВОЧНИК!$H$5+('ФАКТ ЧЕРН ПОДЗЕМ'!I45)*СПРАВОЧНИК!$I$5+('ФАКТ ЧЕРН ПОДЗЕМ'!J45)*СПРАВОЧНИК!$J$5)+СПРАВОЧНИК!$E$6*(('ФАКТ ЧЕРН ПОДЗЕМ'!K45)*СПРАВОЧНИК!$H$6+('ФАКТ ЧЕРН ПОДЗЕМ'!L45)*СПРАВОЧНИК!$I$6+('ФАКТ ЧЕРН ПОДЗЕМ'!M45)*СПРАВОЧНИК!$J$6)+СПРАВОЧНИК!$E$7*(('ФАКТ ЧЕРН ПОДЗЕМ'!N45)*СПРАВОЧНИК!$H$7+('ФАКТ ЧЕРН ПОДЗЕМ'!O45)*СПРАВОЧНИК!$I$7+('ФАКТ ЧЕРН ПОДЗЕМ'!P45)*СПРАВОЧНИК!$J$7)+СПРАВОЧНИК!$E$8*(('ФАКТ ЧЕРН ПОДЗЕМ'!Q45)*СПРАВОЧНИК!$H$8+('ФАКТ ЧЕРН ПОДЗЕМ'!R45)*СПРАВОЧНИК!$I$8+('ФАКТ ЧЕРН ПОДЗЕМ'!S45)*СПРАВОЧНИК!$J$8)+СПРАВОЧНИК!$F$3*(('ФАКТ ЧИСТ ПОДЗЕМ'!B45)*СПРАВОЧНИК!$L$3+('ФАКТ ЧИСТ ПОДЗЕМ'!C45)*СПРАВОЧНИК!$M$3+('ФАКТ ЧИСТ ПОДЗЕМ'!D45)*СПРАВОЧНИК!$N$3)+СПРАВОЧНИК!$F$4*(('ФАКТ ЧИСТ ПОДЗЕМ'!E45)*СПРАВОЧНИК!$L$4+('ФАКТ ЧИСТ ПОДЗЕМ'!F45)*СПРАВОЧНИК!$M$4+('ФАКТ ЧИСТ ПОДЗЕМ'!G45)*СПРАВОЧНИК!$N$4)+СПРАВОЧНИК!$F$5*(('ФАКТ ЧИСТ ПОДЗЕМ'!H45)*СПРАВОЧНИК!$L$5+('ФАКТ ЧИСТ ПОДЗЕМ'!I45)*СПРАВОЧНИК!$M$5+('ФАКТ ЧИСТ ПОДЗЕМ'!J45)*СПРАВОЧНИК!$N$5)+СПРАВОЧНИК!$F$6*(('ФАКТ ЧИСТ ПОДЗЕМ'!K45)*СПРАВОЧНИК!$L$6+('ФАКТ ЧИСТ ПОДЗЕМ'!L45)*СПРАВОЧНИК!$M$6+('ФАКТ ЧИСТ ПОДЗЕМ'!M45)*СПРАВОЧНИК!$N$6)+СПРАВОЧНИК!$F$7*(('ФАКТ ЧИСТ ПОДЗЕМ'!N45)*СПРАВОЧНИК!$L$7+('ФАКТ ЧИСТ ПОДЗЕМ'!O45)*СПРАВОЧНИК!$M$7+('ФАКТ ЧИСТ ПОДЗЕМ'!P45)*СПРАВОЧНИК!$N$7)+СПРАВОЧНИК!$F$8*(('ФАКТ ЧИСТ ПОДЗЕМ'!Q45)*СПРАВОЧНИК!$L$8+('ФАКТ ЧИСТ ПОДЗЕМ'!R45)*СПРАВОЧНИК!$M$8+('ФАКТ ЧИСТ ПОДЗЕМ'!S45)*СПРАВОЧНИК!$N$8)</f>
        <v>0</v>
      </c>
      <c r="I54" s="18">
        <f t="shared" si="13"/>
        <v>46454</v>
      </c>
      <c r="J54" s="37">
        <f>'ПЛАН ЧЕРН ПОДЗЕМ'!B45*СПРАВОЧНИК!$H$3+'ПЛАН ЧЕРН ПОДЗЕМ'!C45*СПРАВОЧНИК!$I$3+'ПЛАН ЧЕРН ПОДЗЕМ'!D45*СПРАВОЧНИК!$J$3+'ПЛАН ЧЕРН ПОДЗЕМ'!E45*СПРАВОЧНИК!$H$4+'ПЛАН ЧЕРН ПОДЗЕМ'!F45*СПРАВОЧНИК!$I$4+'ПЛАН ЧЕРН ПОДЗЕМ'!G45*СПРАВОЧНИК!$J$4+'ПЛАН ЧЕРН ПОДЗЕМ'!H45*СПРАВОЧНИК!$H$5+'ПЛАН ЧЕРН ПОДЗЕМ'!I45*СПРАВОЧНИК!$I$5+'ПЛАН ЧЕРН ПОДЗЕМ'!J45*СПРАВОЧНИК!$J$5+'ПЛАН ЧЕРН ПОДЗЕМ'!K45*СПРАВОЧНИК!$H$6+'ПЛАН ЧЕРН ПОДЗЕМ'!L45*СПРАВОЧНИК!$I$6+'ПЛАН ЧЕРН ПОДЗЕМ'!M45*СПРАВОЧНИК!$J$6+'ПЛАН ЧЕРН ПОДЗЕМ'!N45*СПРАВОЧНИК!$H$7+'ПЛАН ЧЕРН ПОДЗЕМ'!O45*СПРАВОЧНИК!$I$7+'ПЛАН ЧЕРН ПОДЗЕМ'!P45*СПРАВОЧНИК!$J$7+'ПЛАН ЧЕРН ПОДЗЕМ'!Q45*СПРАВОЧНИК!$H$8+'ПЛАН ЧЕРН ПОДЗЕМ'!R45*СПРАВОЧНИК!$I$8+'ПЛАН ЧЕРН ПОДЗЕМ'!S45*СПРАВОЧНИК!$J$8</f>
        <v>0</v>
      </c>
      <c r="K54" s="40">
        <f>('ФАКТ ЧЕРН ПОДЗЕМ'!B45)*СПРАВОЧНИК!$H$3+('ФАКТ ЧЕРН ПОДЗЕМ'!C45)*СПРАВОЧНИК!$I$3+('ФАКТ ЧЕРН ПОДЗЕМ'!D45)*СПРАВОЧНИК!$J$3+('ФАКТ ЧЕРН ПОДЗЕМ'!E45)*СПРАВОЧНИК!$H$4+('ФАКТ ЧЕРН ПОДЗЕМ'!F45)*СПРАВОЧНИК!$I$4+('ФАКТ ЧЕРН ПОДЗЕМ'!G45)*СПРАВОЧНИК!$J$4+('ФАКТ ЧЕРН ПОДЗЕМ'!H45)*СПРАВОЧНИК!$H$5+('ФАКТ ЧЕРН ПОДЗЕМ'!I45)*СПРАВОЧНИК!$I$5+('ФАКТ ЧЕРН ПОДЗЕМ'!J45)*СПРАВОЧНИК!$J$5+('ФАКТ ЧЕРН ПОДЗЕМ'!K45)*СПРАВОЧНИК!$H$6+('ФАКТ ЧЕРН ПОДЗЕМ'!L45)*СПРАВОЧНИК!$I$6+('ФАКТ ЧЕРН ПОДЗЕМ'!M45)*СПРАВОЧНИК!$J$6+('ФАКТ ЧЕРН ПОДЗЕМ'!N45)*СПРАВОЧНИК!$H$7+('ФАКТ ЧЕРН ПОДЗЕМ'!O45)*СПРАВОЧНИК!$I$7+('ФАКТ ЧЕРН ПОДЗЕМ'!P45)*СПРАВОЧНИК!$J$7+('ФАКТ ЧЕРН ПОДЗЕМ'!Q45)*СПРАВОЧНИК!$H$8+('ФАКТ ЧЕРН ПОДЗЕМ'!R45)*СПРАВОЧНИК!$I$8+('ФАКТ ЧЕРН ПОДЗЕМ'!S45)*СПРАВОЧНИК!$J$8</f>
        <v>0</v>
      </c>
      <c r="O54" s="18">
        <f t="shared" si="14"/>
        <v>46454</v>
      </c>
      <c r="P54" s="37">
        <f>'ПЛАН ЧИСТ ПОДЗЕМ'!B45*СПРАВОЧНИК!$L$3+'ПЛАН ЧИСТ ПОДЗЕМ'!C45*СПРАВОЧНИК!$M$3+'ПЛАН ЧИСТ ПОДЗЕМ'!D45*СПРАВОЧНИК!$N$3+'ПЛАН ЧИСТ ПОДЗЕМ'!E45*СПРАВОЧНИК!$L$4+'ПЛАН ЧИСТ ПОДЗЕМ'!F45*СПРАВОЧНИК!$M$4+'ПЛАН ЧИСТ ПОДЗЕМ'!G45*СПРАВОЧНИК!$N$4+'ПЛАН ЧИСТ ПОДЗЕМ'!H45*СПРАВОЧНИК!$L$5+'ПЛАН ЧИСТ ПОДЗЕМ'!I45*СПРАВОЧНИК!$M$5+'ПЛАН ЧИСТ ПОДЗЕМ'!J45*СПРАВОЧНИК!$N$5+'ПЛАН ЧИСТ ПОДЗЕМ'!K45*СПРАВОЧНИК!$L$6+'ПЛАН ЧИСТ ПОДЗЕМ'!L45*СПРАВОЧНИК!$M$6+'ПЛАН ЧИСТ ПОДЗЕМ'!M45*СПРАВОЧНИК!$N$6+'ПЛАН ЧИСТ ПОДЗЕМ'!N45*СПРАВОЧНИК!$L$7+'ПЛАН ЧИСТ ПОДЗЕМ'!O45*СПРАВОЧНИК!$M$7+'ПЛАН ЧИСТ ПОДЗЕМ'!P45*СПРАВОЧНИК!$N$7+'ПЛАН ЧИСТ ПОДЗЕМ'!Q45*СПРАВОЧНИК!$L$8+'ПЛАН ЧИСТ ПОДЗЕМ'!R45*СПРАВОЧНИК!$M$8+'ПЛАН ЧИСТ ПОДЗЕМ'!S45*СПРАВОЧНИК!$N$8</f>
        <v>0</v>
      </c>
      <c r="Q54" s="40">
        <f>('ФАКТ ЧИСТ ПОДЗЕМ'!B45)*СПРАВОЧНИК!$L$3+('ФАКТ ЧИСТ ПОДЗЕМ'!C45)*СПРАВОЧНИК!$M$3+('ФАКТ ЧИСТ ПОДЗЕМ'!D45)*СПРАВОЧНИК!$N$3+('ФАКТ ЧИСТ ПОДЗЕМ'!E45)*СПРАВОЧНИК!$L$4+('ФАКТ ЧИСТ ПОДЗЕМ'!F45)*СПРАВОЧНИК!$M$4+('ФАКТ ЧИСТ ПОДЗЕМ'!G45)*СПРАВОЧНИК!$N$4+('ФАКТ ЧИСТ ПОДЗЕМ'!H45)*СПРАВОЧНИК!$L$5+('ФАКТ ЧИСТ ПОДЗЕМ'!I45)*СПРАВОЧНИК!$M$5+('ФАКТ ЧИСТ ПОДЗЕМ'!J45)*СПРАВОЧНИК!$N$5+('ФАКТ ЧИСТ ПОДЗЕМ'!K45)*СПРАВОЧНИК!$L$6+('ФАКТ ЧИСТ ПОДЗЕМ'!L45)*СПРАВОЧНИК!$M$6+('ФАКТ ЧИСТ ПОДЗЕМ'!M45)*СПРАВОЧНИК!$N$6+('ФАКТ ЧИСТ ПОДЗЕМ'!N45)*СПРАВОЧНИК!$L$7+('ФАКТ ЧИСТ ПОДЗЕМ'!O45)*СПРАВОЧНИК!$M$7+('ФАКТ ЧИСТ ПОДЗЕМ'!P45)*СПРАВОЧНИК!$N$7+('ФАКТ ЧИСТ ПОДЗЕМ'!Q45)*СПРАВОЧНИК!$L$8+('ФАКТ ЧИСТ ПОДЗЕМ'!R45)*СПРАВОЧНИК!$M$8+('ФАКТ ЧИСТ ПОДЗЕМ'!S45)*СПРАВОЧНИК!$N$8</f>
        <v>0</v>
      </c>
      <c r="U54" s="18">
        <f t="shared" si="15"/>
        <v>46454</v>
      </c>
      <c r="V54" s="37">
        <f>СПРАВОЧНИК!$E$9*('ПЛАН ЧЕРН К1'!B45*СПРАВОЧНИК!$H$9+'ПЛАН ЧЕРН К1'!C45*СПРАВОЧНИК!$I$9+'ПЛАН ЧЕРН К1'!D45*СПРАВОЧНИК!$J$9)+СПРАВОЧНИК!$E$10*('ПЛАН ЧЕРН К1'!E45*СПРАВОЧНИК!$H$10+'ПЛАН ЧЕРН К1'!F45*СПРАВОЧНИК!$I$10+'ПЛАН ЧЕРН К1'!G45*СПРАВОЧНИК!$J$10)+СПРАВОЧНИК!$E$11*('ПЛАН ЧЕРН К1'!H45*СПРАВОЧНИК!$H$11+'ПЛАН ЧЕРН К1'!I45*СПРАВОЧНИК!$I$11+'ПЛАН ЧЕРН К1'!J45*СПРАВОЧНИК!$J$11)+СПРАВОЧНИК!$E$12*('ПЛАН ЧЕРН К1'!K45*СПРАВОЧНИК!$H$12+'ПЛАН ЧЕРН К1'!L45*СПРАВОЧНИК!$I$12+'ПЛАН ЧЕРН К1'!M45*СПРАВОЧНИК!$J$12)+СПРАВОЧНИК!$E$13*('ПЛАН ЧЕРН К1'!N45*СПРАВОЧНИК!$H$13+'ПЛАН ЧЕРН К1'!O45*СПРАВОЧНИК!$I$13+'ПЛАН ЧЕРН К1'!P45*СПРАВОЧНИК!$J$13)+СПРАВОЧНИК!$E$14*('ПЛАН ЧЕРН К1'!Q45*СПРАВОЧНИК!$H$14+'ПЛАН ЧЕРН К1'!R45*СПРАВОЧНИК!$I$14+'ПЛАН ЧЕРН К1'!S45*СПРАВОЧНИК!$J$14)+СПРАВОЧНИК!$E$15*('ПЛАН ЧЕРН К1'!T45*СПРАВОЧНИК!$H$15+'ПЛАН ЧЕРН К1'!U45*СПРАВОЧНИК!$I$15+'ПЛАН ЧЕРН К1'!V45*СПРАВОЧНИК!$J$15)+СПРАВОЧНИК!$F$9*('ПЛАН ЧИСТ К1'!B45*СПРАВОЧНИК!$L$9+'ПЛАН ЧИСТ К1'!C45*СПРАВОЧНИК!$M$9+'ПЛАН ЧИСТ К1'!D45*СПРАВОЧНИК!$N$9+'ПЛАН ЧИСТ К1'!E45*СПРАВОЧНИК!$O$9)+СПРАВОЧНИК!$F$10*('ПЛАН ЧИСТ К1'!F45*СПРАВОЧНИК!$L$10+'ПЛАН ЧИСТ К1'!G45*СПРАВОЧНИК!$M$10+'ПЛАН ЧИСТ К1'!H45*СПРАВОЧНИК!$N$10)+СПРАВОЧНИК!$F$11*('ПЛАН ЧИСТ К1'!I45*СПРАВОЧНИК!$L$11+'ПЛАН ЧИСТ К1'!J45*СПРАВОЧНИК!$M$11+'ПЛАН ЧИСТ К1'!K45*СПРАВОЧНИК!$N$11)+СПРАВОЧНИК!$F$12*('ПЛАН ЧИСТ К1'!L45*СПРАВОЧНИК!$L$12+'ПЛАН ЧИСТ К1'!M45*СПРАВОЧНИК!$M$12+'ПЛАН ЧИСТ К1'!N45*СПРАВОЧНИК!$N$12)+СПРАВОЧНИК!$F$13*('ПЛАН ЧИСТ К1'!O45*СПРАВОЧНИК!$L$13+'ПЛАН ЧИСТ К1'!P45*СПРАВОЧНИК!$M$13+'ПЛАН ЧИСТ К1'!Q45*СПРАВОЧНИК!$N$13)+СПРАВОЧНИК!$F$14*('ПЛАН ЧИСТ К1'!R45*СПРАВОЧНИК!$L$14+'ПЛАН ЧИСТ К1'!S45*СПРАВОЧНИК!$M$14+'ПЛАН ЧИСТ К1'!T45*СПРАВОЧНИК!$N$14)+СПРАВОЧНИК!$F$15*('ПЛАН ЧИСТ К1'!U45*СПРАВОЧНИК!$L$15+'ПЛАН ЧИСТ К1'!V45*СПРАВОЧНИК!$M$15+'ПЛАН ЧИСТ К1'!W45*СПРАВОЧНИК!$N$15)</f>
        <v>0</v>
      </c>
      <c r="W54" s="40">
        <f>СПРАВОЧНИК!$E$9*(('ФАКТ ЧЕРН К1'!B45)*СПРАВОЧНИК!$H$9+('ФАКТ ЧЕРН К1'!C45)*СПРАВОЧНИК!$I$9+('ФАКТ ЧЕРН К1'!D45)*СПРАВОЧНИК!$J$9)+СПРАВОЧНИК!$E$10*(('ФАКТ ЧЕРН К1'!E45)*СПРАВОЧНИК!$H$10+('ФАКТ ЧЕРН К1'!F45)*СПРАВОЧНИК!$I$10+('ФАКТ ЧЕРН К1'!G45)*СПРАВОЧНИК!$J$10)+СПРАВОЧНИК!$E$11*(('ФАКТ ЧЕРН К1'!H45)*СПРАВОЧНИК!$H$11+('ФАКТ ЧЕРН К1'!I45)*СПРАВОЧНИК!$I$11+('ФАКТ ЧЕРН К1'!J45)*СПРАВОЧНИК!$J$11)+СПРАВОЧНИК!$E$12*(('ФАКТ ЧЕРН К1'!K45)*СПРАВОЧНИК!$H$12+('ФАКТ ЧЕРН К1'!L45)*СПРАВОЧНИК!$I$12+('ФАКТ ЧЕРН К1'!M45)*СПРАВОЧНИК!$J$12)+СПРАВОЧНИК!$E$13*(('ФАКТ ЧЕРН К1'!N45)*СПРАВОЧНИК!$H$13+('ФАКТ ЧЕРН К1'!O45)*СПРАВОЧНИК!$I$13+('ФАКТ ЧЕРН К1'!P45)*СПРАВОЧНИК!$J$13)+СПРАВОЧНИК!$E$14*(('ФАКТ ЧЕРН К1'!Q45)*СПРАВОЧНИК!$H$14+('ФАКТ ЧЕРН К1'!R45)*СПРАВОЧНИК!$I$14+('ФАКТ ЧЕРН К1'!S45)*СПРАВОЧНИК!$J$14)+СПРАВОЧНИК!$E$15*(('ФАКТ ЧЕРН К1'!T45)*СПРАВОЧНИК!$H$15+('ФАКТ ЧЕРН К1'!U45)*СПРАВОЧНИК!$I$15+('ФАКТ ЧЕРН К1'!V45)*СПРАВОЧНИК!$J$15)+СПРАВОЧНИК!$F$9*(('ФАКТ ЧИСТ К1'!B45)*СПРАВОЧНИК!$L$9+('ФАКТ ЧИСТ К1'!C45)*СПРАВОЧНИК!$M$9+('ФАКТ ЧИСТ К1'!D45)*СПРАВОЧНИК!$N$9+('ФАКТ ЧИСТ К1'!E45)*СПРАВОЧНИК!$O$9)+СПРАВОЧНИК!$F$10*(('ФАКТ ЧИСТ К1'!F45)*СПРАВОЧНИК!$L$10+('ФАКТ ЧИСТ К1'!G45)*СПРАВОЧНИК!$M$10+('ФАКТ ЧИСТ К1'!H45)*СПРАВОЧНИК!$N$10)+СПРАВОЧНИК!$F$11*(('ФАКТ ЧИСТ К1'!I45)*СПРАВОЧНИК!$L$11+('ФАКТ ЧИСТ К1'!J45)*СПРАВОЧНИК!$M$11+('ФАКТ ЧИСТ К1'!K45)*СПРАВОЧНИК!$N$11)+СПРАВОЧНИК!$F$12*(('ФАКТ ЧИСТ К1'!L45)*СПРАВОЧНИК!$L$12+('ФАКТ ЧИСТ К1'!M45)*СПРАВОЧНИК!$M$12+('ФАКТ ЧИСТ К1'!N45)*СПРАВОЧНИК!$N$12)+СПРАВОЧНИК!$F$13*(('ФАКТ ЧИСТ К1'!O45)*СПРАВОЧНИК!$L$13+('ФАКТ ЧИСТ К1'!P45)*СПРАВОЧНИК!$M$13+('ФАКТ ЧИСТ К1'!Q45)*СПРАВОЧНИК!$N$13)+СПРАВОЧНИК!$F$14*(('ФАКТ ЧИСТ К1'!R45)*СПРАВОЧНИК!$L$14+('ФАКТ ЧИСТ К1'!S45)*СПРАВОЧНИК!$M$14+('ФАКТ ЧИСТ К1'!T45)*СПРАВОЧНИК!$N$14)+СПРАВОЧНИК!$F$15*(('ФАКТ ЧИСТ К1'!U45)*СПРАВОЧНИК!$L$15+('ФАКТ ЧИСТ К1'!V45)*СПРАВОЧНИК!$M$15+('ФАКТ ЧИСТ К1'!W45)*СПРАВОЧНИК!$N$15)</f>
        <v>0</v>
      </c>
      <c r="AA54" s="18">
        <f t="shared" si="16"/>
        <v>46454</v>
      </c>
      <c r="AB54" s="37">
        <f>'ПЛАН ЧЕРН К1'!B45*СПРАВОЧНИК!$H$9+'ПЛАН ЧЕРН К1'!C45*СПРАВОЧНИК!$I$9+'ПЛАН ЧЕРН К1'!D45*СПРАВОЧНИК!$J$9+'ПЛАН ЧЕРН К1'!E45*СПРАВОЧНИК!$H$10+'ПЛАН ЧЕРН К1'!F45*СПРАВОЧНИК!$I$10+'ПЛАН ЧЕРН К1'!G45*СПРАВОЧНИК!$J$10+'ПЛАН ЧЕРН К1'!H45*СПРАВОЧНИК!$H$11+'ПЛАН ЧЕРН К1'!I45*СПРАВОЧНИК!$I$11+'ПЛАН ЧЕРН К1'!J45*СПРАВОЧНИК!$J$11+'ПЛАН ЧЕРН К1'!K45*СПРАВОЧНИК!$H$12+'ПЛАН ЧЕРН К1'!L45*СПРАВОЧНИК!$I$12+'ПЛАН ЧЕРН К1'!M45*СПРАВОЧНИК!$J$12+'ПЛАН ЧЕРН К1'!N45*СПРАВОЧНИК!$H$13+'ПЛАН ЧЕРН К1'!O45*СПРАВОЧНИК!$I$13+'ПЛАН ЧЕРН К1'!P45*СПРАВОЧНИК!$J$13+'ПЛАН ЧЕРН К1'!Q45*СПРАВОЧНИК!$H$14+'ПЛАН ЧЕРН К1'!R45*СПРАВОЧНИК!$I$14+'ПЛАН ЧЕРН К1'!S45*СПРАВОЧНИК!$J$14+'ПЛАН ЧЕРН К1'!T45*СПРАВОЧНИК!$H$15+'ПЛАН ЧЕРН К1'!U45*СПРАВОЧНИК!$I$15+'ПЛАН ЧЕРН К1'!V45*СПРАВОЧНИК!$J$15</f>
        <v>0</v>
      </c>
      <c r="AC54" s="40">
        <f>('ФАКТ ЧЕРН К1'!B45)*СПРАВОЧНИК!$H$9+('ФАКТ ЧЕРН К1'!C45)*СПРАВОЧНИК!$I$9+('ФАКТ ЧЕРН К1'!D45)*СПРАВОЧНИК!$J$9+('ФАКТ ЧЕРН К1'!E45)*СПРАВОЧНИК!$H$10+('ФАКТ ЧЕРН К1'!F45)*СПРАВОЧНИК!$I$10+('ФАКТ ЧЕРН К1'!G45)*СПРАВОЧНИК!$J$10+('ФАКТ ЧЕРН К1'!H45)*СПРАВОЧНИК!$H$11+('ФАКТ ЧЕРН К1'!I45)*СПРАВОЧНИК!$I$11+('ФАКТ ЧЕРН К1'!J45)*СПРАВОЧНИК!$J$11+('ФАКТ ЧЕРН К1'!K45)*СПРАВОЧНИК!$H$12+('ФАКТ ЧЕРН К1'!L45)*СПРАВОЧНИК!$I$12+('ФАКТ ЧЕРН К1'!M45)*СПРАВОЧНИК!$J$12+('ФАКТ ЧЕРН К1'!N45)*СПРАВОЧНИК!$H$13+('ФАКТ ЧЕРН К1'!O45)*СПРАВОЧНИК!$I$13+('ФАКТ ЧЕРН К1'!P45)*СПРАВОЧНИК!$J$13+('ФАКТ ЧЕРН К1'!Q45)*СПРАВОЧНИК!$H$14+('ФАКТ ЧЕРН К1'!R45)*СПРАВОЧНИК!$I$14+('ФАКТ ЧЕРН К1'!S45)*СПРАВОЧНИК!$J$14+('ФАКТ ЧЕРН К1'!T45)*СПРАВОЧНИК!$H$15+('ФАКТ ЧЕРН К1'!U45)*СПРАВОЧНИК!$I$15+('ФАКТ ЧЕРН К1'!V45)*СПРАВОЧНИК!$J$15</f>
        <v>0</v>
      </c>
      <c r="AG54" s="18">
        <f t="shared" si="17"/>
        <v>46454</v>
      </c>
      <c r="AH54" s="37">
        <f>'ПЛАН ЧИСТ К1'!B45*СПРАВОЧНИК!$L$9+'ПЛАН ЧИСТ К1'!C45*СПРАВОЧНИК!$M$9+'ПЛАН ЧИСТ К1'!D45*СПРАВОЧНИК!$N$9+'ПЛАН ЧИСТ К1'!E45*СПРАВОЧНИК!$O$9+'ПЛАН ЧИСТ К1'!F45*СПРАВОЧНИК!$L$10+'ПЛАН ЧИСТ К1'!G45*СПРАВОЧНИК!$M$10+'ПЛАН ЧИСТ К1'!H45*СПРАВОЧНИК!$N$10+'ПЛАН ЧИСТ К1'!I45*СПРАВОЧНИК!$L$11+'ПЛАН ЧИСТ К1'!J45*СПРАВОЧНИК!$M$11+'ПЛАН ЧИСТ К1'!K45*СПРАВОЧНИК!$N$11+'ПЛАН ЧИСТ К1'!L45*СПРАВОЧНИК!$L$12+'ПЛАН ЧИСТ К1'!M45*СПРАВОЧНИК!$M$12+'ПЛАН ЧИСТ К1'!N45*СПРАВОЧНИК!$N$12+'ПЛАН ЧИСТ К1'!O45*СПРАВОЧНИК!$L$13+'ПЛАН ЧИСТ К1'!P45*СПРАВОЧНИК!$M$13+'ПЛАН ЧИСТ К1'!Q45*СПРАВОЧНИК!$N$13+'ПЛАН ЧИСТ К1'!R45*СПРАВОЧНИК!$L$14+'ПЛАН ЧИСТ К1'!S45*СПРАВОЧНИК!$M$14+'ПЛАН ЧИСТ К1'!T45*СПРАВОЧНИК!$N$14+'ПЛАН ЧИСТ К1'!U45*СПРАВОЧНИК!$L$15+'ПЛАН ЧИСТ К1'!V45*СПРАВОЧНИК!$M$15+'ПЛАН ЧИСТ К1'!W45*СПРАВОЧНИК!$N$15</f>
        <v>0</v>
      </c>
      <c r="AI54" s="40">
        <f>('ФАКТ ЧИСТ К1'!B45)*СПРАВОЧНИК!$L$9+('ФАКТ ЧИСТ К1'!C45)*СПРАВОЧНИК!$M$9+('ФАКТ ЧИСТ К1'!D45)*СПРАВОЧНИК!$N$9+('ФАКТ ЧИСТ К1'!E45)*СПРАВОЧНИК!$O$9+('ФАКТ ЧИСТ К1'!F45)*СПРАВОЧНИК!$L$10+('ФАКТ ЧИСТ К1'!G45)*СПРАВОЧНИК!$M$10+('ФАКТ ЧИСТ К1'!H45)*СПРАВОЧНИК!$N$10+('ФАКТ ЧИСТ К1'!I45)*СПРАВОЧНИК!$L$11+('ФАКТ ЧИСТ К1'!J45)*СПРАВОЧНИК!$M$11+('ФАКТ ЧИСТ К1'!K45)*СПРАВОЧНИК!$N$11+('ФАКТ ЧИСТ К1'!L45)*СПРАВОЧНИК!$L$12+('ФАКТ ЧИСТ К1'!M45)*СПРАВОЧНИК!$M$12+('ФАКТ ЧИСТ К1'!N45)*СПРАВОЧНИК!$N$12+('ФАКТ ЧИСТ К1'!O45)*СПРАВОЧНИК!$L$13+('ФАКТ ЧИСТ К1'!P45)*СПРАВОЧНИК!$M$13+('ФАКТ ЧИСТ К1'!Q45)*СПРАВОЧНИК!$N$13+('ФАКТ ЧИСТ К1'!R45)*СПРАВОЧНИК!$L$14+('ФАКТ ЧИСТ К1'!S45)*СПРАВОЧНИК!$M$14+('ФАКТ ЧИСТ К1'!T45)*СПРАВОЧНИК!$N$14+('ФАКТ ЧИСТ К1'!U45)*СПРАВОЧНИК!$L$15+('ФАКТ ЧИСТ К1'!V45)*СПРАВОЧНИК!$M$15+('ФАКТ ЧИСТ К1'!W45)*СПРАВОЧНИК!$N$15</f>
        <v>0</v>
      </c>
      <c r="AM54" s="18">
        <f t="shared" si="18"/>
        <v>46454</v>
      </c>
      <c r="AN54" s="37">
        <f>СПРАВОЧНИК!$E$9*('ПЛАН ЧЕРН К2'!B45*СПРАВОЧНИК!$H$9+'ПЛАН ЧЕРН К2'!C45*СПРАВОЧНИК!$I$9+'ПЛАН ЧЕРН К2'!D45*СПРАВОЧНИК!$J$9)+СПРАВОЧНИК!$E$10*('ПЛАН ЧЕРН К2'!E45*СПРАВОЧНИК!$H$10+'ПЛАН ЧЕРН К2'!F45*СПРАВОЧНИК!$I$10+'ПЛАН ЧЕРН К2'!G45*СПРАВОЧНИК!$J$10)+СПРАВОЧНИК!$E$11*('ПЛАН ЧЕРН К2'!H45*СПРАВОЧНИК!$H$11+'ПЛАН ЧЕРН К2'!I45*СПРАВОЧНИК!$I$11+'ПЛАН ЧЕРН К2'!J45*СПРАВОЧНИК!$J$11)+СПРАВОЧНИК!$E$12*('ПЛАН ЧЕРН К2'!K45*СПРАВОЧНИК!$H$12+'ПЛАН ЧЕРН К2'!L45*СПРАВОЧНИК!$I$12+'ПЛАН ЧЕРН К2'!M45*СПРАВОЧНИК!$J$12)+СПРАВОЧНИК!$E$13*('ПЛАН ЧЕРН К2'!N45*СПРАВОЧНИК!$H$13+'ПЛАН ЧЕРН К2'!O45*СПРАВОЧНИК!$I$13+'ПЛАН ЧЕРН К2'!P45*СПРАВОЧНИК!$J$13)+СПРАВОЧНИК!$E$14*('ПЛАН ЧЕРН К2'!Q45*СПРАВОЧНИК!$H$14+'ПЛАН ЧЕРН К2'!R45*СПРАВОЧНИК!$I$14+'ПЛАН ЧЕРН К2'!S45*СПРАВОЧНИК!$J$14)+СПРАВОЧНИК!$E$15*('ПЛАН ЧЕРН К2'!T45*СПРАВОЧНИК!$H$15+'ПЛАН ЧЕРН К2'!U45*СПРАВОЧНИК!$I$15+'ПЛАН ЧЕРН К2'!V45*СПРАВОЧНИК!$J$15)+СПРАВОЧНИК!$F$9*('ПЛАН ЧИСТ К2'!B45*СПРАВОЧНИК!$L$9+'ПЛАН ЧИСТ К2'!C45*СПРАВОЧНИК!$M$9+'ПЛАН ЧИСТ К2'!D45*СПРАВОЧНИК!$N$9+'ПЛАН ЧИСТ К2'!E45*СПРАВОЧНИК!$O$9)+СПРАВОЧНИК!$F$10*('ПЛАН ЧИСТ К2'!F45*СПРАВОЧНИК!$L$10+'ПЛАН ЧИСТ К2'!G45*СПРАВОЧНИК!$M$10+'ПЛАН ЧИСТ К2'!H45*СПРАВОЧНИК!$N$10)+СПРАВОЧНИК!$F$11*('ПЛАН ЧИСТ К2'!I45*СПРАВОЧНИК!$L$11+'ПЛАН ЧИСТ К2'!J45*СПРАВОЧНИК!$M$11+'ПЛАН ЧИСТ К2'!K45*СПРАВОЧНИК!$N$11)+СПРАВОЧНИК!$F$12*('ПЛАН ЧИСТ К2'!L45*СПРАВОЧНИК!$L$12+'ПЛАН ЧИСТ К2'!M45*СПРАВОЧНИК!$M$12+'ПЛАН ЧИСТ К2'!N45*СПРАВОЧНИК!$N$12)+СПРАВОЧНИК!$F$13*('ПЛАН ЧИСТ К2'!O45*СПРАВОЧНИК!$L$13+'ПЛАН ЧИСТ К2'!P45*СПРАВОЧНИК!$M$13+'ПЛАН ЧИСТ К2'!Q45*СПРАВОЧНИК!$N$13)+СПРАВОЧНИК!$F$14*('ПЛАН ЧИСТ К2'!R45*СПРАВОЧНИК!$L$14+'ПЛАН ЧИСТ К2'!S45*СПРАВОЧНИК!$M$14+'ПЛАН ЧИСТ К2'!T45*СПРАВОЧНИК!$N$14)+СПРАВОЧНИК!$F$15*('ПЛАН ЧИСТ К2'!U45*СПРАВОЧНИК!$L$15+'ПЛАН ЧИСТ К2'!V45*СПРАВОЧНИК!$M$15+'ПЛАН ЧИСТ К2'!W45*СПРАВОЧНИК!$N$15)</f>
        <v>0</v>
      </c>
      <c r="AO54" s="40">
        <f>СПРАВОЧНИК!$E$9*(('ФАКТ ЧЕРН К2'!B45)*СПРАВОЧНИК!$H$9+('ФАКТ ЧЕРН К2'!C45)*СПРАВОЧНИК!$I$9+('ФАКТ ЧЕРН К2'!D45)*СПРАВОЧНИК!$J$9)+СПРАВОЧНИК!$E$10*(('ФАКТ ЧЕРН К2'!E45)*СПРАВОЧНИК!$H$10+('ФАКТ ЧЕРН К2'!F45)*СПРАВОЧНИК!$I$10+('ФАКТ ЧЕРН К2'!G45)*СПРАВОЧНИК!$J$10)+СПРАВОЧНИК!$E$11*(('ФАКТ ЧЕРН К2'!H45)*СПРАВОЧНИК!$H$11+('ФАКТ ЧЕРН К2'!I45)*СПРАВОЧНИК!$I$11+('ФАКТ ЧЕРН К2'!J45)*СПРАВОЧНИК!$J$11)+СПРАВОЧНИК!$E$12*(('ФАКТ ЧЕРН К2'!K45)*СПРАВОЧНИК!$H$12+('ФАКТ ЧЕРН К2'!L45)*СПРАВОЧНИК!$I$12+('ФАКТ ЧЕРН К2'!M45)*СПРАВОЧНИК!$J$12)+СПРАВОЧНИК!$E$13*(('ФАКТ ЧЕРН К2'!N45)*СПРАВОЧНИК!$H$13+('ФАКТ ЧЕРН К2'!O45)*СПРАВОЧНИК!$I$13+('ФАКТ ЧЕРН К2'!P45)*СПРАВОЧНИК!$J$13)+СПРАВОЧНИК!$E$14*(('ФАКТ ЧЕРН К2'!Q45)*СПРАВОЧНИК!$H$14+('ФАКТ ЧЕРН К2'!R45)*СПРАВОЧНИК!$I$14+('ФАКТ ЧЕРН К2'!S45)*СПРАВОЧНИК!$J$14)+СПРАВОЧНИК!$E$15*(('ФАКТ ЧЕРН К2'!T45)*СПРАВОЧНИК!$H$15+('ФАКТ ЧЕРН К2'!U45)*СПРАВОЧНИК!$I$15+('ФАКТ ЧЕРН К2'!V45)*СПРАВОЧНИК!$J$15)+СПРАВОЧНИК!$F$9*(('ФАКТ ЧИСТ К2'!B45)*СПРАВОЧНИК!$L$9+('ФАКТ ЧИСТ К2'!C45)*СПРАВОЧНИК!$M$9+('ФАКТ ЧИСТ К2'!D45)*СПРАВОЧНИК!$N$9+('ФАКТ ЧИСТ К2'!E45)*СПРАВОЧНИК!$O$9)+СПРАВОЧНИК!$F$10*(('ФАКТ ЧИСТ К2'!F45)*СПРАВОЧНИК!$L$10+('ФАКТ ЧИСТ К2'!G45)*СПРАВОЧНИК!$M$10+('ФАКТ ЧИСТ К2'!H45)*СПРАВОЧНИК!$N$10)+СПРАВОЧНИК!$F$11*(('ФАКТ ЧИСТ К2'!I45)*СПРАВОЧНИК!$L$11+('ФАКТ ЧИСТ К2'!J45)*СПРАВОЧНИК!$M$11+('ФАКТ ЧИСТ К2'!K45)*СПРАВОЧНИК!$N$11)+СПРАВОЧНИК!$F$12*(('ФАКТ ЧИСТ К2'!L45)*СПРАВОЧНИК!$L$12+('ФАКТ ЧИСТ К2'!M45)*СПРАВОЧНИК!$M$12+('ФАКТ ЧИСТ К2'!N45)*СПРАВОЧНИК!$N$12)+СПРАВОЧНИК!$F$13*(('ФАКТ ЧИСТ К2'!O45)*СПРАВОЧНИК!$L$13+('ФАКТ ЧИСТ К2'!P45)*СПРАВОЧНИК!$M$13+('ФАКТ ЧИСТ К2'!Q45)*СПРАВОЧНИК!$N$13)+СПРАВОЧНИК!$F$14*(('ФАКТ ЧИСТ К2'!R45)*СПРАВОЧНИК!$L$14+('ФАКТ ЧИСТ К2'!S45)*СПРАВОЧНИК!$M$14+('ФАКТ ЧИСТ К2'!T45)*СПРАВОЧНИК!$N$14)+СПРАВОЧНИК!$F$15*(('ФАКТ ЧИСТ К2'!U45)*СПРАВОЧНИК!$L$15+('ФАКТ ЧИСТ К2'!V45)*СПРАВОЧНИК!$M$15+('ФАКТ ЧИСТ К2'!W45)*СПРАВОЧНИК!$N$15)</f>
        <v>0</v>
      </c>
      <c r="AS54" s="18">
        <f t="shared" si="19"/>
        <v>46454</v>
      </c>
      <c r="AT54" s="37">
        <f>'ПЛАН ЧЕРН К2'!B45*СПРАВОЧНИК!$H$9+'ПЛАН ЧЕРН К2'!C45*СПРАВОЧНИК!$I$9+'ПЛАН ЧЕРН К2'!D45*СПРАВОЧНИК!$J$9+'ПЛАН ЧЕРН К2'!E45*СПРАВОЧНИК!$H$10+'ПЛАН ЧЕРН К2'!F45*СПРАВОЧНИК!$I$10+'ПЛАН ЧЕРН К2'!G45*СПРАВОЧНИК!$J$10+'ПЛАН ЧЕРН К2'!H45*СПРАВОЧНИК!$H$11+'ПЛАН ЧЕРН К2'!I45*СПРАВОЧНИК!$I$11+'ПЛАН ЧЕРН К2'!J45*СПРАВОЧНИК!$J$11+'ПЛАН ЧЕРН К2'!K45*СПРАВОЧНИК!$H$12+'ПЛАН ЧЕРН К2'!L45*СПРАВОЧНИК!$I$12+'ПЛАН ЧЕРН К2'!M45*СПРАВОЧНИК!$J$12+'ПЛАН ЧЕРН К2'!N45*СПРАВОЧНИК!$H$13+'ПЛАН ЧЕРН К2'!O45*СПРАВОЧНИК!$I$13+'ПЛАН ЧЕРН К2'!P45*СПРАВОЧНИК!$J$13+'ПЛАН ЧЕРН К2'!Q45*СПРАВОЧНИК!$H$14+'ПЛАН ЧЕРН К2'!R45*СПРАВОЧНИК!$I$14+'ПЛАН ЧЕРН К2'!S45*СПРАВОЧНИК!$J$14+'ПЛАН ЧЕРН К2'!T45*СПРАВОЧНИК!$H$15+'ПЛАН ЧЕРН К2'!U45*СПРАВОЧНИК!$I$15+'ПЛАН ЧЕРН К2'!V45*СПРАВОЧНИК!$J$15</f>
        <v>0</v>
      </c>
      <c r="AU54" s="40">
        <f>('ФАКТ ЧЕРН К2'!B45)*СПРАВОЧНИК!$H$9+('ФАКТ ЧЕРН К2'!C45)*СПРАВОЧНИК!$I$9+('ФАКТ ЧЕРН К2'!D45)*СПРАВОЧНИК!$J$9+('ФАКТ ЧЕРН К2'!E45)*СПРАВОЧНИК!$H$10+('ФАКТ ЧЕРН К2'!F45)*СПРАВОЧНИК!$I$10+('ФАКТ ЧЕРН К2'!G45)*СПРАВОЧНИК!$J$10+('ФАКТ ЧЕРН К2'!H45)*СПРАВОЧНИК!$H$11+('ФАКТ ЧЕРН К2'!I45)*СПРАВОЧНИК!$I$11+('ФАКТ ЧЕРН К2'!J45)*СПРАВОЧНИК!$J$11+('ФАКТ ЧЕРН К2'!K45)*СПРАВОЧНИК!$H$12+('ФАКТ ЧЕРН К2'!L45)*СПРАВОЧНИК!$I$12+('ФАКТ ЧЕРН К2'!M45)*СПРАВОЧНИК!$J$12+('ФАКТ ЧЕРН К2'!N45)*СПРАВОЧНИК!$H$13+('ФАКТ ЧЕРН К2'!O45)*СПРАВОЧНИК!$I$13+('ФАКТ ЧЕРН К2'!P45)*СПРАВОЧНИК!$J$13+('ФАКТ ЧЕРН К2'!Q45)*СПРАВОЧНИК!$H$14+('ФАКТ ЧЕРН К2'!R45)*СПРАВОЧНИК!$I$14+('ФАКТ ЧЕРН К2'!S45)*СПРАВОЧНИК!$J$14+('ФАКТ ЧЕРН К2'!T45)*СПРАВОЧНИК!$H$15+('ФАКТ ЧЕРН К2'!U45)*СПРАВОЧНИК!$I$15+('ФАКТ ЧЕРН К2'!V45)*СПРАВОЧНИК!$J$15</f>
        <v>0</v>
      </c>
      <c r="AY54" s="18">
        <f t="shared" si="20"/>
        <v>46454</v>
      </c>
      <c r="AZ54" s="37">
        <f>'ПЛАН ЧИСТ К2'!B45*СПРАВОЧНИК!$L$9+'ПЛАН ЧИСТ К2'!C45*СПРАВОЧНИК!$M$9+'ПЛАН ЧИСТ К2'!D45*СПРАВОЧНИК!$N$9+'ПЛАН ЧИСТ К2'!E45*СПРАВОЧНИК!$O$9+'ПЛАН ЧИСТ К2'!F45*СПРАВОЧНИК!$L$10+'ПЛАН ЧИСТ К2'!G45*СПРАВОЧНИК!$M$10+'ПЛАН ЧИСТ К2'!H45*СПРАВОЧНИК!$N$10+'ПЛАН ЧИСТ К2'!I45*СПРАВОЧНИК!$L$11+'ПЛАН ЧИСТ К2'!J45*СПРАВОЧНИК!$M$11+'ПЛАН ЧИСТ К2'!K45*СПРАВОЧНИК!$N$11+'ПЛАН ЧИСТ К2'!L45*СПРАВОЧНИК!$L$12+'ПЛАН ЧИСТ К2'!M45*СПРАВОЧНИК!$M$12+'ПЛАН ЧИСТ К2'!N45*СПРАВОЧНИК!$N$12+'ПЛАН ЧИСТ К2'!O45*СПРАВОЧНИК!$L$13+'ПЛАН ЧИСТ К2'!P45*СПРАВОЧНИК!$M$13+'ПЛАН ЧИСТ К2'!Q45*СПРАВОЧНИК!$N$13+'ПЛАН ЧИСТ К2'!R45*СПРАВОЧНИК!$L$14+'ПЛАН ЧИСТ К2'!S45*СПРАВОЧНИК!$M$14+'ПЛАН ЧИСТ К2'!T45*СПРАВОЧНИК!$N$14+'ПЛАН ЧИСТ К2'!U45*СПРАВОЧНИК!$L$15+'ПЛАН ЧИСТ К2'!V45*СПРАВОЧНИК!$M$15+'ПЛАН ЧИСТ К2'!W45*СПРАВОЧНИК!$N$15</f>
        <v>0</v>
      </c>
      <c r="BA54" s="40">
        <f>('ФАКТ ЧИСТ К2'!B45)*СПРАВОЧНИК!$L$9+('ФАКТ ЧИСТ К2'!C45)*СПРАВОЧНИК!$M$9+('ФАКТ ЧИСТ К2'!D45)*СПРАВОЧНИК!$N$9+('ФАКТ ЧИСТ К2'!E45)*СПРАВОЧНИК!$O$9+('ФАКТ ЧИСТ К2'!F45)*СПРАВОЧНИК!$L$10+('ФАКТ ЧИСТ К2'!G45)*СПРАВОЧНИК!$M$10+('ФАКТ ЧИСТ К2'!H45)*СПРАВОЧНИК!$N$10+('ФАКТ ЧИСТ К2'!I45)*СПРАВОЧНИК!$L$11+('ФАКТ ЧИСТ К2'!J45)*СПРАВОЧНИК!$M$11+('ФАКТ ЧИСТ К2'!K45)*СПРАВОЧНИК!$N$11+('ФАКТ ЧИСТ К2'!L45)*СПРАВОЧНИК!$L$12+('ФАКТ ЧИСТ К2'!M45)*СПРАВОЧНИК!$M$12+('ФАКТ ЧИСТ К2'!N45)*СПРАВОЧНИК!$N$12+('ФАКТ ЧИСТ К2'!O45)*СПРАВОЧНИК!$L$13+('ФАКТ ЧИСТ К2'!P45)*СПРАВОЧНИК!$M$13+('ФАКТ ЧИСТ К2'!Q45)*СПРАВОЧНИК!$N$13+('ФАКТ ЧИСТ К2'!R45)*СПРАВОЧНИК!$L$14+('ФАКТ ЧИСТ К2'!S45)*СПРАВОЧНИК!$M$14+('ФАКТ ЧИСТ К2'!T45)*СПРАВОЧНИК!$N$14+('ФАКТ ЧИСТ К2'!U45)*СПРАВОЧНИК!$L$15+('ФАКТ ЧИСТ К2'!V45)*СПРАВОЧНИК!$M$15+('ФАКТ ЧИСТ К2'!W45)*СПРАВОЧНИК!$N$15</f>
        <v>0</v>
      </c>
      <c r="BE54" s="18">
        <f t="shared" si="21"/>
        <v>46454</v>
      </c>
      <c r="BF54" s="37">
        <f>СПРАВОЧНИК!$E$9*('ПЛАН ЧЕРН К3'!B45*СПРАВОЧНИК!$H$9+'ПЛАН ЧЕРН К3'!C45*СПРАВОЧНИК!$I$9+'ПЛАН ЧЕРН К3'!D45*СПРАВОЧНИК!$J$9)+СПРАВОЧНИК!$E$10*('ПЛАН ЧЕРН К3'!E45*СПРАВОЧНИК!$H$10+'ПЛАН ЧЕРН К3'!F45*СПРАВОЧНИК!$I$10+'ПЛАН ЧЕРН К3'!G45*СПРАВОЧНИК!$J$10)+СПРАВОЧНИК!$E$11*('ПЛАН ЧЕРН К3'!H45*СПРАВОЧНИК!$H$11+'ПЛАН ЧЕРН К3'!I45*СПРАВОЧНИК!$I$11+'ПЛАН ЧЕРН К3'!J45*СПРАВОЧНИК!$J$11)+СПРАВОЧНИК!$E$12*('ПЛАН ЧЕРН К3'!K45*СПРАВОЧНИК!$H$12+'ПЛАН ЧЕРН К3'!L45*СПРАВОЧНИК!$I$12+'ПЛАН ЧЕРН К3'!M45*СПРАВОЧНИК!$J$12)+СПРАВОЧНИК!$E$13*('ПЛАН ЧЕРН К3'!N45*СПРАВОЧНИК!$H$13+'ПЛАН ЧЕРН К3'!O45*СПРАВОЧНИК!$I$13+'ПЛАН ЧЕРН К3'!P45*СПРАВОЧНИК!$J$13)+СПРАВОЧНИК!$E$14*('ПЛАН ЧЕРН К3'!Q45*СПРАВОЧНИК!$H$14+'ПЛАН ЧЕРН К3'!R45*СПРАВОЧНИК!$I$14+'ПЛАН ЧЕРН К3'!S45*СПРАВОЧНИК!$J$14)+СПРАВОЧНИК!$E$15*('ПЛАН ЧЕРН К3'!T45*СПРАВОЧНИК!$H$15+'ПЛАН ЧЕРН К3'!U45*СПРАВОЧНИК!$I$15+'ПЛАН ЧЕРН К3'!V45*СПРАВОЧНИК!$J$15)+СПРАВОЧНИК!$F$9*('ПЛАН ЧИСТ К3'!B45*СПРАВОЧНИК!$L$9+'ПЛАН ЧИСТ К3'!C45*СПРАВОЧНИК!$M$9+'ПЛАН ЧИСТ К3'!D45*СПРАВОЧНИК!$N$9+'ПЛАН ЧИСТ К3'!E45*СПРАВОЧНИК!$O$9)+СПРАВОЧНИК!$F$10*('ПЛАН ЧИСТ К3'!F45*СПРАВОЧНИК!$L$10+'ПЛАН ЧИСТ К3'!G45*СПРАВОЧНИК!$M$10+'ПЛАН ЧИСТ К3'!H45*СПРАВОЧНИК!$N$10)+СПРАВОЧНИК!$F$11*('ПЛАН ЧИСТ К3'!I45*СПРАВОЧНИК!$L$11+'ПЛАН ЧИСТ К3'!J45*СПРАВОЧНИК!$M$11+'ПЛАН ЧИСТ К3'!K45*СПРАВОЧНИК!$N$11)+СПРАВОЧНИК!$F$12*('ПЛАН ЧИСТ К3'!L45*СПРАВОЧНИК!$L$12+'ПЛАН ЧИСТ К3'!M45*СПРАВОЧНИК!$M$12+'ПЛАН ЧИСТ К3'!N45*СПРАВОЧНИК!$N$12)+СПРАВОЧНИК!$F$13*('ПЛАН ЧИСТ К3'!O45*СПРАВОЧНИК!$L$13+'ПЛАН ЧИСТ К3'!P45*СПРАВОЧНИК!$M$13+'ПЛАН ЧИСТ К3'!Q45*СПРАВОЧНИК!$N$13)+СПРАВОЧНИК!$F$14*('ПЛАН ЧИСТ К3'!R45*СПРАВОЧНИК!$L$14+'ПЛАН ЧИСТ К3'!S45*СПРАВОЧНИК!$M$14+'ПЛАН ЧИСТ К3'!T45*СПРАВОЧНИК!$N$14)+СПРАВОЧНИК!$F$15*('ПЛАН ЧИСТ К3'!U45*СПРАВОЧНИК!$L$15+'ПЛАН ЧИСТ К3'!V45*СПРАВОЧНИК!$M$15+'ПЛАН ЧИСТ К3'!W45*СПРАВОЧНИК!$N$15)</f>
        <v>0</v>
      </c>
      <c r="BG54" s="40">
        <f>СПРАВОЧНИК!$E$9*(('ФАКТ ЧЕРН К3'!B45)*СПРАВОЧНИК!$H$9+('ФАКТ ЧЕРН К3'!C45)*СПРАВОЧНИК!$I$9+('ФАКТ ЧЕРН К3'!D45)*СПРАВОЧНИК!$J$9)+СПРАВОЧНИК!$E$10*(('ФАКТ ЧЕРН К3'!E45)*СПРАВОЧНИК!$H$10+('ФАКТ ЧЕРН К3'!F45)*СПРАВОЧНИК!$I$10+('ФАКТ ЧЕРН К3'!G45)*СПРАВОЧНИК!$J$10)+СПРАВОЧНИК!$E$11*(('ФАКТ ЧЕРН К3'!H45)*СПРАВОЧНИК!$H$11+('ФАКТ ЧЕРН К3'!I45)*СПРАВОЧНИК!$I$11+('ФАКТ ЧЕРН К3'!J45)*СПРАВОЧНИК!$J$11)+СПРАВОЧНИК!$E$12*(('ФАКТ ЧЕРН К3'!K45)*СПРАВОЧНИК!$H$12+('ФАКТ ЧЕРН К3'!L45)*СПРАВОЧНИК!$I$12+('ФАКТ ЧЕРН К3'!M45)*СПРАВОЧНИК!$J$12)+СПРАВОЧНИК!$E$13*(('ФАКТ ЧЕРН К3'!N45)*СПРАВОЧНИК!$H$13+('ФАКТ ЧЕРН К3'!O45)*СПРАВОЧНИК!$I$13+('ФАКТ ЧЕРН К3'!P45)*СПРАВОЧНИК!$J$13)+СПРАВОЧНИК!$E$14*(('ФАКТ ЧЕРН К3'!Q45)*СПРАВОЧНИК!$H$14+('ФАКТ ЧЕРН К3'!R45)*СПРАВОЧНИК!$I$14+('ФАКТ ЧЕРН К3'!S45)*СПРАВОЧНИК!$J$14)+СПРАВОЧНИК!$E$15*(('ФАКТ ЧЕРН К3'!T45)*СПРАВОЧНИК!$H$15+('ФАКТ ЧЕРН К3'!U45)*СПРАВОЧНИК!$I$15+('ФАКТ ЧЕРН К3'!V45)*СПРАВОЧНИК!$J$15)+СПРАВОЧНИК!$F$9*(('ФАКТ ЧИСТ К3'!B45)*СПРАВОЧНИК!$L$9+('ФАКТ ЧИСТ К3'!C45)*СПРАВОЧНИК!$M$9+('ФАКТ ЧИСТ К3'!D45)*СПРАВОЧНИК!$N$9+('ФАКТ ЧИСТ К3'!E45)*СПРАВОЧНИК!$O$9)+СПРАВОЧНИК!$F$10*(('ФАКТ ЧИСТ К3'!F45)*СПРАВОЧНИК!$L$10+('ФАКТ ЧИСТ К3'!G45)*СПРАВОЧНИК!$M$10+('ФАКТ ЧИСТ К3'!H45)*СПРАВОЧНИК!$N$10)+СПРАВОЧНИК!$F$11*(('ФАКТ ЧИСТ К3'!I45)*СПРАВОЧНИК!$L$11+('ФАКТ ЧИСТ К3'!J45)*СПРАВОЧНИК!$M$11+('ФАКТ ЧИСТ К3'!K45)*СПРАВОЧНИК!$N$11)+СПРАВОЧНИК!$F$12*(('ФАКТ ЧИСТ К3'!L45)*СПРАВОЧНИК!$L$12+('ФАКТ ЧИСТ К3'!M45)*СПРАВОЧНИК!$M$12+('ФАКТ ЧИСТ К3'!N45)*СПРАВОЧНИК!$N$12)+СПРАВОЧНИК!$F$13*(('ФАКТ ЧИСТ К3'!O45)*СПРАВОЧНИК!$L$13+('ФАКТ ЧИСТ К3'!P45)*СПРАВОЧНИК!$M$13+('ФАКТ ЧИСТ К3'!Q45)*СПРАВОЧНИК!$N$13)+СПРАВОЧНИК!$F$14*(('ФАКТ ЧИСТ К3'!R45)*СПРАВОЧНИК!$L$14+('ФАКТ ЧИСТ К3'!S45)*СПРАВОЧНИК!$M$14+('ФАКТ ЧИСТ К3'!T45)*СПРАВОЧНИК!$N$14)+СПРАВОЧНИК!$F$15*(('ФАКТ ЧИСТ К3'!U45)*СПРАВОЧНИК!$L$15+('ФАКТ ЧИСТ К3'!V45)*СПРАВОЧНИК!$M$15+('ФАКТ ЧИСТ К3'!W45)*СПРАВОЧНИК!$N$15)</f>
        <v>0</v>
      </c>
      <c r="BK54" s="18">
        <f t="shared" si="22"/>
        <v>46454</v>
      </c>
      <c r="BL54" s="37">
        <f>'ПЛАН ЧЕРН К3'!B45*СПРАВОЧНИК!$H$9+'ПЛАН ЧЕРН К3'!C45*СПРАВОЧНИК!$I$9+'ПЛАН ЧЕРН К3'!D45*СПРАВОЧНИК!$J$9+'ПЛАН ЧЕРН К3'!E45*СПРАВОЧНИК!$H$10+'ПЛАН ЧЕРН К3'!F45*СПРАВОЧНИК!$I$10+'ПЛАН ЧЕРН К3'!G45*СПРАВОЧНИК!$J$10+'ПЛАН ЧЕРН К3'!H45*СПРАВОЧНИК!$H$11+'ПЛАН ЧЕРН К3'!I45*СПРАВОЧНИК!$I$11+'ПЛАН ЧЕРН К3'!J45*СПРАВОЧНИК!$J$11+'ПЛАН ЧЕРН К3'!K45*СПРАВОЧНИК!$H$12+'ПЛАН ЧЕРН К3'!L45*СПРАВОЧНИК!$I$12+'ПЛАН ЧЕРН К3'!M45*СПРАВОЧНИК!$J$12+'ПЛАН ЧЕРН К3'!N45*СПРАВОЧНИК!$H$13+'ПЛАН ЧЕРН К3'!O45*СПРАВОЧНИК!$I$13+'ПЛАН ЧЕРН К3'!P45*СПРАВОЧНИК!$J$13+'ПЛАН ЧЕРН К3'!Q45*СПРАВОЧНИК!$H$14+'ПЛАН ЧЕРН К3'!R45*СПРАВОЧНИК!$I$14+'ПЛАН ЧЕРН К3'!S45*СПРАВОЧНИК!$J$14+'ПЛАН ЧЕРН К3'!T45*СПРАВОЧНИК!$H$15+'ПЛАН ЧЕРН К3'!U45*СПРАВОЧНИК!$I$15+'ПЛАН ЧЕРН К3'!V45*СПРАВОЧНИК!$J$15</f>
        <v>0</v>
      </c>
      <c r="BM54" s="40">
        <f>('ФАКТ ЧЕРН К3'!B45)*СПРАВОЧНИК!$H$9+('ФАКТ ЧЕРН К3'!C45)*СПРАВОЧНИК!$I$9+('ФАКТ ЧЕРН К3'!D45)*СПРАВОЧНИК!$J$9+('ФАКТ ЧЕРН К3'!E45)*СПРАВОЧНИК!$H$10+('ФАКТ ЧЕРН К3'!F45)*СПРАВОЧНИК!$I$10+('ФАКТ ЧЕРН К3'!G45)*СПРАВОЧНИК!$J$10+('ФАКТ ЧЕРН К3'!H45)*СПРАВОЧНИК!$H$11+('ФАКТ ЧЕРН К3'!I45)*СПРАВОЧНИК!$I$11+('ФАКТ ЧЕРН К3'!J45)*СПРАВОЧНИК!$J$11+('ФАКТ ЧЕРН К3'!K45)*СПРАВОЧНИК!$H$12+('ФАКТ ЧЕРН К3'!L45)*СПРАВОЧНИК!$I$12+('ФАКТ ЧЕРН К3'!M45)*СПРАВОЧНИК!$J$12+('ФАКТ ЧЕРН К3'!N45)*СПРАВОЧНИК!$H$13+('ФАКТ ЧЕРН К3'!O45)*СПРАВОЧНИК!$I$13+('ФАКТ ЧЕРН К3'!P45)*СПРАВОЧНИК!$J$13+('ФАКТ ЧЕРН К3'!Q45)*СПРАВОЧНИК!$H$14+('ФАКТ ЧЕРН К3'!R45)*СПРАВОЧНИК!$I$14+('ФАКТ ЧЕРН К3'!S45)*СПРАВОЧНИК!$J$14+('ФАКТ ЧЕРН К3'!T45)*СПРАВОЧНИК!$H$15+('ФАКТ ЧЕРН К3'!U45)*СПРАВОЧНИК!$I$15+('ФАКТ ЧЕРН К3'!V45)*СПРАВОЧНИК!$J$15</f>
        <v>0</v>
      </c>
      <c r="BQ54" s="18">
        <f t="shared" si="23"/>
        <v>46454</v>
      </c>
      <c r="BR54" s="37">
        <f>'ПЛАН ЧИСТ К3'!B45*СПРАВОЧНИК!$L$9+'ПЛАН ЧИСТ К3'!C45*СПРАВОЧНИК!$M$9+'ПЛАН ЧИСТ К3'!D45*СПРАВОЧНИК!$N$9+'ПЛАН ЧИСТ К3'!E45*СПРАВОЧНИК!$O$9+'ПЛАН ЧИСТ К3'!F45*СПРАВОЧНИК!$L$10+'ПЛАН ЧИСТ К3'!G45*СПРАВОЧНИК!$M$10+'ПЛАН ЧИСТ К3'!H45*СПРАВОЧНИК!$N$10+'ПЛАН ЧИСТ К3'!I45*СПРАВОЧНИК!$L$11+'ПЛАН ЧИСТ К3'!J45*СПРАВОЧНИК!$M$11+'ПЛАН ЧИСТ К3'!K45*СПРАВОЧНИК!$N$11+'ПЛАН ЧИСТ К3'!L45*СПРАВОЧНИК!$L$12+'ПЛАН ЧИСТ К3'!M45*СПРАВОЧНИК!$M$12+'ПЛАН ЧИСТ К3'!N45*СПРАВОЧНИК!$N$12+'ПЛАН ЧИСТ К3'!O45*СПРАВОЧНИК!$L$13+'ПЛАН ЧИСТ К3'!P45*СПРАВОЧНИК!$M$13+'ПЛАН ЧИСТ К3'!Q45*СПРАВОЧНИК!$N$13+'ПЛАН ЧИСТ К3'!R45*СПРАВОЧНИК!$L$14+'ПЛАН ЧИСТ К3'!S45*СПРАВОЧНИК!$M$14+'ПЛАН ЧИСТ К3'!T45*СПРАВОЧНИК!$N$14+'ПЛАН ЧИСТ К3'!U45*СПРАВОЧНИК!$L$15+'ПЛАН ЧИСТ К3'!V45*СПРАВОЧНИК!$M$15+'ПЛАН ЧИСТ К3'!W45*СПРАВОЧНИК!$N$15</f>
        <v>0</v>
      </c>
      <c r="BS54" s="40">
        <f>('ФАКТ ЧИСТ К3'!B45)*СПРАВОЧНИК!$L$9+('ФАКТ ЧИСТ К3'!C45)*СПРАВОЧНИК!$M$9+('ФАКТ ЧИСТ К3'!D45)*СПРАВОЧНИК!$N$9+('ФАКТ ЧИСТ К3'!E45)*СПРАВОЧНИК!$O$9+('ФАКТ ЧИСТ К3'!F45)*СПРАВОЧНИК!$L$10+('ФАКТ ЧИСТ К3'!G45)*СПРАВОЧНИК!$M$10+('ФАКТ ЧИСТ К3'!H45)*СПРАВОЧНИК!$N$10+('ФАКТ ЧИСТ К3'!I45)*СПРАВОЧНИК!$L$11+('ФАКТ ЧИСТ К3'!J45)*СПРАВОЧНИК!$M$11+('ФАКТ ЧИСТ К3'!K45)*СПРАВОЧНИК!$N$11+('ФАКТ ЧИСТ К3'!L45)*СПРАВОЧНИК!$L$12+('ФАКТ ЧИСТ К3'!M45)*СПРАВОЧНИК!$M$12+('ФАКТ ЧИСТ К3'!N45)*СПРАВОЧНИК!$N$12+('ФАКТ ЧИСТ К3'!O45)*СПРАВОЧНИК!$L$13+('ФАКТ ЧИСТ К3'!P45)*СПРАВОЧНИК!$M$13+('ФАКТ ЧИСТ К3'!Q45)*СПРАВОЧНИК!$N$13+('ФАКТ ЧИСТ К3'!R45)*СПРАВОЧНИК!$L$14+('ФАКТ ЧИСТ К3'!S45)*СПРАВОЧНИК!$M$14+('ФАКТ ЧИСТ К3'!T45)*СПРАВОЧНИК!$N$14+('ФАКТ ЧИСТ К3'!U45)*СПРАВОЧНИК!$L$15+('ФАКТ ЧИСТ К3'!V45)*СПРАВОЧНИК!$M$15+('ФАКТ ЧИСТ К3'!W45)*СПРАВОЧНИК!$N$15</f>
        <v>0</v>
      </c>
      <c r="BW54" s="18">
        <f t="shared" si="24"/>
        <v>46454</v>
      </c>
      <c r="BX54" s="37">
        <f t="shared" si="0"/>
        <v>0</v>
      </c>
      <c r="BY54" s="40">
        <f t="shared" si="1"/>
        <v>0</v>
      </c>
      <c r="CC54" s="18">
        <f t="shared" si="25"/>
        <v>46454</v>
      </c>
      <c r="CD54" s="37">
        <f t="shared" si="2"/>
        <v>0</v>
      </c>
      <c r="CE54" s="40">
        <f t="shared" si="3"/>
        <v>0</v>
      </c>
      <c r="CI54" s="18">
        <f t="shared" si="26"/>
        <v>46454</v>
      </c>
      <c r="CJ54" s="37">
        <f t="shared" si="4"/>
        <v>0</v>
      </c>
      <c r="CK54" s="40">
        <f t="shared" si="5"/>
        <v>0</v>
      </c>
      <c r="CO54" s="18">
        <f t="shared" si="27"/>
        <v>46454</v>
      </c>
      <c r="CP54" s="37">
        <f t="shared" si="6"/>
        <v>0</v>
      </c>
      <c r="CQ54" s="40">
        <f t="shared" si="7"/>
        <v>0</v>
      </c>
      <c r="CU54" s="18">
        <f t="shared" si="28"/>
        <v>46454</v>
      </c>
      <c r="CV54" s="37">
        <f t="shared" si="8"/>
        <v>0</v>
      </c>
      <c r="CW54" s="40">
        <f t="shared" si="9"/>
        <v>0</v>
      </c>
      <c r="DA54" s="18">
        <f t="shared" si="29"/>
        <v>46454</v>
      </c>
      <c r="DB54" s="37">
        <f t="shared" si="10"/>
        <v>0</v>
      </c>
      <c r="DC54" s="40">
        <f t="shared" si="11"/>
        <v>0</v>
      </c>
    </row>
    <row r="55" spans="3:107" x14ac:dyDescent="0.25">
      <c r="C55" s="18">
        <f t="shared" si="12"/>
        <v>46461</v>
      </c>
      <c r="D55" s="37">
        <f>СПРАВОЧНИК!$E$3*('ПЛАН ЧЕРН ПОДЗЕМ'!B46*СПРАВОЧНИК!$H$3+'ПЛАН ЧЕРН ПОДЗЕМ'!C46*СПРАВОЧНИК!$I$3+'ПЛАН ЧЕРН ПОДЗЕМ'!D46*СПРАВОЧНИК!$J$3)+СПРАВОЧНИК!$E$4*('ПЛАН ЧЕРН ПОДЗЕМ'!E46*СПРАВОЧНИК!$H$4+'ПЛАН ЧЕРН ПОДЗЕМ'!F46*СПРАВОЧНИК!$I$4+'ПЛАН ЧЕРН ПОДЗЕМ'!G46*СПРАВОЧНИК!$J$4)+СПРАВОЧНИК!$E$5*('ПЛАН ЧЕРН ПОДЗЕМ'!H46*СПРАВОЧНИК!$H$5+'ПЛАН ЧЕРН ПОДЗЕМ'!I46*СПРАВОЧНИК!$I$5+'ПЛАН ЧЕРН ПОДЗЕМ'!J46*СПРАВОЧНИК!$J$5)+СПРАВОЧНИК!$E$6*('ПЛАН ЧЕРН ПОДЗЕМ'!K46*СПРАВОЧНИК!$H$6+'ПЛАН ЧЕРН ПОДЗЕМ'!L46*СПРАВОЧНИК!$I$6+'ПЛАН ЧЕРН ПОДЗЕМ'!M46*СПРАВОЧНИК!$J$6)+СПРАВОЧНИК!$E$7*('ПЛАН ЧЕРН ПОДЗЕМ'!N46*СПРАВОЧНИК!$H$7+'ПЛАН ЧЕРН ПОДЗЕМ'!O46*СПРАВОЧНИК!$I$7+'ПЛАН ЧЕРН ПОДЗЕМ'!P46*СПРАВОЧНИК!$J$7)+СПРАВОЧНИК!$E$8*('ПЛАН ЧЕРН ПОДЗЕМ'!Q46*СПРАВОЧНИК!$H$8+'ПЛАН ЧЕРН ПОДЗЕМ'!R46*СПРАВОЧНИК!$I$8+'ПЛАН ЧЕРН ПОДЗЕМ'!S46*СПРАВОЧНИК!$J$8)+СПРАВОЧНИК!$F$3*('ПЛАН ЧИСТ ПОДЗЕМ'!B46*СПРАВОЧНИК!$L$3+'ПЛАН ЧИСТ ПОДЗЕМ'!C46*СПРАВОЧНИК!$M$3+'ПЛАН ЧИСТ ПОДЗЕМ'!D46*СПРАВОЧНИК!$N$3)+СПРАВОЧНИК!$F$4*('ПЛАН ЧИСТ ПОДЗЕМ'!E46*СПРАВОЧНИК!$L$4+'ПЛАН ЧИСТ ПОДЗЕМ'!F46*СПРАВОЧНИК!$M$4+'ПЛАН ЧИСТ ПОДЗЕМ'!G46*СПРАВОЧНИК!$N$4)+СПРАВОЧНИК!$F$5*('ПЛАН ЧИСТ ПОДЗЕМ'!H46*СПРАВОЧНИК!$L$5+'ПЛАН ЧИСТ ПОДЗЕМ'!I46*СПРАВОЧНИК!$M$5+'ПЛАН ЧИСТ ПОДЗЕМ'!J46*СПРАВОЧНИК!$N$5)+СПРАВОЧНИК!$F$6*('ПЛАН ЧИСТ ПОДЗЕМ'!K46*СПРАВОЧНИК!$L$6+'ПЛАН ЧИСТ ПОДЗЕМ'!L46*СПРАВОЧНИК!$M$6+'ПЛАН ЧИСТ ПОДЗЕМ'!M46*СПРАВОЧНИК!$N$6)+СПРАВОЧНИК!$F$7*('ПЛАН ЧИСТ ПОДЗЕМ'!N46*СПРАВОЧНИК!$L$7+'ПЛАН ЧИСТ ПОДЗЕМ'!O46*СПРАВОЧНИК!$M$7+'ПЛАН ЧИСТ ПОДЗЕМ'!P46*СПРАВОЧНИК!$N$7)+СПРАВОЧНИК!$F$8*('ПЛАН ЧИСТ ПОДЗЕМ'!Q46*СПРАВОЧНИК!$L$8+'ПЛАН ЧИСТ ПОДЗЕМ'!R46*СПРАВОЧНИК!$M$8+'ПЛАН ЧИСТ ПОДЗЕМ'!S46*СПРАВОЧНИК!$N$8)</f>
        <v>0</v>
      </c>
      <c r="E55" s="40">
        <f>СПРАВОЧНИК!$E$3*(('ФАКТ ЧЕРН ПОДЗЕМ'!B46)*СПРАВОЧНИК!$H$3+('ФАКТ ЧЕРН ПОДЗЕМ'!C46)*СПРАВОЧНИК!$I$3+('ФАКТ ЧЕРН ПОДЗЕМ'!D46)*СПРАВОЧНИК!$J$3)+СПРАВОЧНИК!$E$4*(('ФАКТ ЧЕРН ПОДЗЕМ'!E46)*СПРАВОЧНИК!$H$4+('ФАКТ ЧЕРН ПОДЗЕМ'!F46)*СПРАВОЧНИК!$I$4+('ФАКТ ЧЕРН ПОДЗЕМ'!G46)*СПРАВОЧНИК!$J$4)+СПРАВОЧНИК!$E$5*(('ФАКТ ЧЕРН ПОДЗЕМ'!H46)*СПРАВОЧНИК!$H$5+('ФАКТ ЧЕРН ПОДЗЕМ'!I46)*СПРАВОЧНИК!$I$5+('ФАКТ ЧЕРН ПОДЗЕМ'!J46)*СПРАВОЧНИК!$J$5)+СПРАВОЧНИК!$E$6*(('ФАКТ ЧЕРН ПОДЗЕМ'!K46)*СПРАВОЧНИК!$H$6+('ФАКТ ЧЕРН ПОДЗЕМ'!L46)*СПРАВОЧНИК!$I$6+('ФАКТ ЧЕРН ПОДЗЕМ'!M46)*СПРАВОЧНИК!$J$6)+СПРАВОЧНИК!$E$7*(('ФАКТ ЧЕРН ПОДЗЕМ'!N46)*СПРАВОЧНИК!$H$7+('ФАКТ ЧЕРН ПОДЗЕМ'!O46)*СПРАВОЧНИК!$I$7+('ФАКТ ЧЕРН ПОДЗЕМ'!P46)*СПРАВОЧНИК!$J$7)+СПРАВОЧНИК!$E$8*(('ФАКТ ЧЕРН ПОДЗЕМ'!Q46)*СПРАВОЧНИК!$H$8+('ФАКТ ЧЕРН ПОДЗЕМ'!R46)*СПРАВОЧНИК!$I$8+('ФАКТ ЧЕРН ПОДЗЕМ'!S46)*СПРАВОЧНИК!$J$8)+СПРАВОЧНИК!$F$3*(('ФАКТ ЧИСТ ПОДЗЕМ'!B46)*СПРАВОЧНИК!$L$3+('ФАКТ ЧИСТ ПОДЗЕМ'!C46)*СПРАВОЧНИК!$M$3+('ФАКТ ЧИСТ ПОДЗЕМ'!D46)*СПРАВОЧНИК!$N$3)+СПРАВОЧНИК!$F$4*(('ФАКТ ЧИСТ ПОДЗЕМ'!E46)*СПРАВОЧНИК!$L$4+('ФАКТ ЧИСТ ПОДЗЕМ'!F46)*СПРАВОЧНИК!$M$4+('ФАКТ ЧИСТ ПОДЗЕМ'!G46)*СПРАВОЧНИК!$N$4)+СПРАВОЧНИК!$F$5*(('ФАКТ ЧИСТ ПОДЗЕМ'!H46)*СПРАВОЧНИК!$L$5+('ФАКТ ЧИСТ ПОДЗЕМ'!I46)*СПРАВОЧНИК!$M$5+('ФАКТ ЧИСТ ПОДЗЕМ'!J46)*СПРАВОЧНИК!$N$5)+СПРАВОЧНИК!$F$6*(('ФАКТ ЧИСТ ПОДЗЕМ'!K46)*СПРАВОЧНИК!$L$6+('ФАКТ ЧИСТ ПОДЗЕМ'!L46)*СПРАВОЧНИК!$M$6+('ФАКТ ЧИСТ ПОДЗЕМ'!M46)*СПРАВОЧНИК!$N$6)+СПРАВОЧНИК!$F$7*(('ФАКТ ЧИСТ ПОДЗЕМ'!N46)*СПРАВОЧНИК!$L$7+('ФАКТ ЧИСТ ПОДЗЕМ'!O46)*СПРАВОЧНИК!$M$7+('ФАКТ ЧИСТ ПОДЗЕМ'!P46)*СПРАВОЧНИК!$N$7)+СПРАВОЧНИК!$F$8*(('ФАКТ ЧИСТ ПОДЗЕМ'!Q46)*СПРАВОЧНИК!$L$8+('ФАКТ ЧИСТ ПОДЗЕМ'!R46)*СПРАВОЧНИК!$M$8+('ФАКТ ЧИСТ ПОДЗЕМ'!S46)*СПРАВОЧНИК!$N$8)</f>
        <v>0</v>
      </c>
      <c r="I55" s="18">
        <f t="shared" si="13"/>
        <v>46461</v>
      </c>
      <c r="J55" s="37">
        <f>'ПЛАН ЧЕРН ПОДЗЕМ'!B46*СПРАВОЧНИК!$H$3+'ПЛАН ЧЕРН ПОДЗЕМ'!C46*СПРАВОЧНИК!$I$3+'ПЛАН ЧЕРН ПОДЗЕМ'!D46*СПРАВОЧНИК!$J$3+'ПЛАН ЧЕРН ПОДЗЕМ'!E46*СПРАВОЧНИК!$H$4+'ПЛАН ЧЕРН ПОДЗЕМ'!F46*СПРАВОЧНИК!$I$4+'ПЛАН ЧЕРН ПОДЗЕМ'!G46*СПРАВОЧНИК!$J$4+'ПЛАН ЧЕРН ПОДЗЕМ'!H46*СПРАВОЧНИК!$H$5+'ПЛАН ЧЕРН ПОДЗЕМ'!I46*СПРАВОЧНИК!$I$5+'ПЛАН ЧЕРН ПОДЗЕМ'!J46*СПРАВОЧНИК!$J$5+'ПЛАН ЧЕРН ПОДЗЕМ'!K46*СПРАВОЧНИК!$H$6+'ПЛАН ЧЕРН ПОДЗЕМ'!L46*СПРАВОЧНИК!$I$6+'ПЛАН ЧЕРН ПОДЗЕМ'!M46*СПРАВОЧНИК!$J$6+'ПЛАН ЧЕРН ПОДЗЕМ'!N46*СПРАВОЧНИК!$H$7+'ПЛАН ЧЕРН ПОДЗЕМ'!O46*СПРАВОЧНИК!$I$7+'ПЛАН ЧЕРН ПОДЗЕМ'!P46*СПРАВОЧНИК!$J$7+'ПЛАН ЧЕРН ПОДЗЕМ'!Q46*СПРАВОЧНИК!$H$8+'ПЛАН ЧЕРН ПОДЗЕМ'!R46*СПРАВОЧНИК!$I$8+'ПЛАН ЧЕРН ПОДЗЕМ'!S46*СПРАВОЧНИК!$J$8</f>
        <v>0</v>
      </c>
      <c r="K55" s="40">
        <f>('ФАКТ ЧЕРН ПОДЗЕМ'!B46)*СПРАВОЧНИК!$H$3+('ФАКТ ЧЕРН ПОДЗЕМ'!C46)*СПРАВОЧНИК!$I$3+('ФАКТ ЧЕРН ПОДЗЕМ'!D46)*СПРАВОЧНИК!$J$3+('ФАКТ ЧЕРН ПОДЗЕМ'!E46)*СПРАВОЧНИК!$H$4+('ФАКТ ЧЕРН ПОДЗЕМ'!F46)*СПРАВОЧНИК!$I$4+('ФАКТ ЧЕРН ПОДЗЕМ'!G46)*СПРАВОЧНИК!$J$4+('ФАКТ ЧЕРН ПОДЗЕМ'!H46)*СПРАВОЧНИК!$H$5+('ФАКТ ЧЕРН ПОДЗЕМ'!I46)*СПРАВОЧНИК!$I$5+('ФАКТ ЧЕРН ПОДЗЕМ'!J46)*СПРАВОЧНИК!$J$5+('ФАКТ ЧЕРН ПОДЗЕМ'!K46)*СПРАВОЧНИК!$H$6+('ФАКТ ЧЕРН ПОДЗЕМ'!L46)*СПРАВОЧНИК!$I$6+('ФАКТ ЧЕРН ПОДЗЕМ'!M46)*СПРАВОЧНИК!$J$6+('ФАКТ ЧЕРН ПОДЗЕМ'!N46)*СПРАВОЧНИК!$H$7+('ФАКТ ЧЕРН ПОДЗЕМ'!O46)*СПРАВОЧНИК!$I$7+('ФАКТ ЧЕРН ПОДЗЕМ'!P46)*СПРАВОЧНИК!$J$7+('ФАКТ ЧЕРН ПОДЗЕМ'!Q46)*СПРАВОЧНИК!$H$8+('ФАКТ ЧЕРН ПОДЗЕМ'!R46)*СПРАВОЧНИК!$I$8+('ФАКТ ЧЕРН ПОДЗЕМ'!S46)*СПРАВОЧНИК!$J$8</f>
        <v>0</v>
      </c>
      <c r="O55" s="18">
        <f t="shared" si="14"/>
        <v>46461</v>
      </c>
      <c r="P55" s="37">
        <f>'ПЛАН ЧИСТ ПОДЗЕМ'!B46*СПРАВОЧНИК!$L$3+'ПЛАН ЧИСТ ПОДЗЕМ'!C46*СПРАВОЧНИК!$M$3+'ПЛАН ЧИСТ ПОДЗЕМ'!D46*СПРАВОЧНИК!$N$3+'ПЛАН ЧИСТ ПОДЗЕМ'!E46*СПРАВОЧНИК!$L$4+'ПЛАН ЧИСТ ПОДЗЕМ'!F46*СПРАВОЧНИК!$M$4+'ПЛАН ЧИСТ ПОДЗЕМ'!G46*СПРАВОЧНИК!$N$4+'ПЛАН ЧИСТ ПОДЗЕМ'!H46*СПРАВОЧНИК!$L$5+'ПЛАН ЧИСТ ПОДЗЕМ'!I46*СПРАВОЧНИК!$M$5+'ПЛАН ЧИСТ ПОДЗЕМ'!J46*СПРАВОЧНИК!$N$5+'ПЛАН ЧИСТ ПОДЗЕМ'!K46*СПРАВОЧНИК!$L$6+'ПЛАН ЧИСТ ПОДЗЕМ'!L46*СПРАВОЧНИК!$M$6+'ПЛАН ЧИСТ ПОДЗЕМ'!M46*СПРАВОЧНИК!$N$6+'ПЛАН ЧИСТ ПОДЗЕМ'!N46*СПРАВОЧНИК!$L$7+'ПЛАН ЧИСТ ПОДЗЕМ'!O46*СПРАВОЧНИК!$M$7+'ПЛАН ЧИСТ ПОДЗЕМ'!P46*СПРАВОЧНИК!$N$7+'ПЛАН ЧИСТ ПОДЗЕМ'!Q46*СПРАВОЧНИК!$L$8+'ПЛАН ЧИСТ ПОДЗЕМ'!R46*СПРАВОЧНИК!$M$8+'ПЛАН ЧИСТ ПОДЗЕМ'!S46*СПРАВОЧНИК!$N$8</f>
        <v>0</v>
      </c>
      <c r="Q55" s="40">
        <f>('ФАКТ ЧИСТ ПОДЗЕМ'!B46)*СПРАВОЧНИК!$L$3+('ФАКТ ЧИСТ ПОДЗЕМ'!C46)*СПРАВОЧНИК!$M$3+('ФАКТ ЧИСТ ПОДЗЕМ'!D46)*СПРАВОЧНИК!$N$3+('ФАКТ ЧИСТ ПОДЗЕМ'!E46)*СПРАВОЧНИК!$L$4+('ФАКТ ЧИСТ ПОДЗЕМ'!F46)*СПРАВОЧНИК!$M$4+('ФАКТ ЧИСТ ПОДЗЕМ'!G46)*СПРАВОЧНИК!$N$4+('ФАКТ ЧИСТ ПОДЗЕМ'!H46)*СПРАВОЧНИК!$L$5+('ФАКТ ЧИСТ ПОДЗЕМ'!I46)*СПРАВОЧНИК!$M$5+('ФАКТ ЧИСТ ПОДЗЕМ'!J46)*СПРАВОЧНИК!$N$5+('ФАКТ ЧИСТ ПОДЗЕМ'!K46)*СПРАВОЧНИК!$L$6+('ФАКТ ЧИСТ ПОДЗЕМ'!L46)*СПРАВОЧНИК!$M$6+('ФАКТ ЧИСТ ПОДЗЕМ'!M46)*СПРАВОЧНИК!$N$6+('ФАКТ ЧИСТ ПОДЗЕМ'!N46)*СПРАВОЧНИК!$L$7+('ФАКТ ЧИСТ ПОДЗЕМ'!O46)*СПРАВОЧНИК!$M$7+('ФАКТ ЧИСТ ПОДЗЕМ'!P46)*СПРАВОЧНИК!$N$7+('ФАКТ ЧИСТ ПОДЗЕМ'!Q46)*СПРАВОЧНИК!$L$8+('ФАКТ ЧИСТ ПОДЗЕМ'!R46)*СПРАВОЧНИК!$M$8+('ФАКТ ЧИСТ ПОДЗЕМ'!S46)*СПРАВОЧНИК!$N$8</f>
        <v>0</v>
      </c>
      <c r="U55" s="18">
        <f t="shared" si="15"/>
        <v>46461</v>
      </c>
      <c r="V55" s="37">
        <f>СПРАВОЧНИК!$E$9*('ПЛАН ЧЕРН К1'!B46*СПРАВОЧНИК!$H$9+'ПЛАН ЧЕРН К1'!C46*СПРАВОЧНИК!$I$9+'ПЛАН ЧЕРН К1'!D46*СПРАВОЧНИК!$J$9)+СПРАВОЧНИК!$E$10*('ПЛАН ЧЕРН К1'!E46*СПРАВОЧНИК!$H$10+'ПЛАН ЧЕРН К1'!F46*СПРАВОЧНИК!$I$10+'ПЛАН ЧЕРН К1'!G46*СПРАВОЧНИК!$J$10)+СПРАВОЧНИК!$E$11*('ПЛАН ЧЕРН К1'!H46*СПРАВОЧНИК!$H$11+'ПЛАН ЧЕРН К1'!I46*СПРАВОЧНИК!$I$11+'ПЛАН ЧЕРН К1'!J46*СПРАВОЧНИК!$J$11)+СПРАВОЧНИК!$E$12*('ПЛАН ЧЕРН К1'!K46*СПРАВОЧНИК!$H$12+'ПЛАН ЧЕРН К1'!L46*СПРАВОЧНИК!$I$12+'ПЛАН ЧЕРН К1'!M46*СПРАВОЧНИК!$J$12)+СПРАВОЧНИК!$E$13*('ПЛАН ЧЕРН К1'!N46*СПРАВОЧНИК!$H$13+'ПЛАН ЧЕРН К1'!O46*СПРАВОЧНИК!$I$13+'ПЛАН ЧЕРН К1'!P46*СПРАВОЧНИК!$J$13)+СПРАВОЧНИК!$E$14*('ПЛАН ЧЕРН К1'!Q46*СПРАВОЧНИК!$H$14+'ПЛАН ЧЕРН К1'!R46*СПРАВОЧНИК!$I$14+'ПЛАН ЧЕРН К1'!S46*СПРАВОЧНИК!$J$14)+СПРАВОЧНИК!$E$15*('ПЛАН ЧЕРН К1'!T46*СПРАВОЧНИК!$H$15+'ПЛАН ЧЕРН К1'!U46*СПРАВОЧНИК!$I$15+'ПЛАН ЧЕРН К1'!V46*СПРАВОЧНИК!$J$15)+СПРАВОЧНИК!$F$9*('ПЛАН ЧИСТ К1'!B46*СПРАВОЧНИК!$L$9+'ПЛАН ЧИСТ К1'!C46*СПРАВОЧНИК!$M$9+'ПЛАН ЧИСТ К1'!D46*СПРАВОЧНИК!$N$9+'ПЛАН ЧИСТ К1'!E46*СПРАВОЧНИК!$O$9)+СПРАВОЧНИК!$F$10*('ПЛАН ЧИСТ К1'!F46*СПРАВОЧНИК!$L$10+'ПЛАН ЧИСТ К1'!G46*СПРАВОЧНИК!$M$10+'ПЛАН ЧИСТ К1'!H46*СПРАВОЧНИК!$N$10)+СПРАВОЧНИК!$F$11*('ПЛАН ЧИСТ К1'!I46*СПРАВОЧНИК!$L$11+'ПЛАН ЧИСТ К1'!J46*СПРАВОЧНИК!$M$11+'ПЛАН ЧИСТ К1'!K46*СПРАВОЧНИК!$N$11)+СПРАВОЧНИК!$F$12*('ПЛАН ЧИСТ К1'!L46*СПРАВОЧНИК!$L$12+'ПЛАН ЧИСТ К1'!M46*СПРАВОЧНИК!$M$12+'ПЛАН ЧИСТ К1'!N46*СПРАВОЧНИК!$N$12)+СПРАВОЧНИК!$F$13*('ПЛАН ЧИСТ К1'!O46*СПРАВОЧНИК!$L$13+'ПЛАН ЧИСТ К1'!P46*СПРАВОЧНИК!$M$13+'ПЛАН ЧИСТ К1'!Q46*СПРАВОЧНИК!$N$13)+СПРАВОЧНИК!$F$14*('ПЛАН ЧИСТ К1'!R46*СПРАВОЧНИК!$L$14+'ПЛАН ЧИСТ К1'!S46*СПРАВОЧНИК!$M$14+'ПЛАН ЧИСТ К1'!T46*СПРАВОЧНИК!$N$14)+СПРАВОЧНИК!$F$15*('ПЛАН ЧИСТ К1'!U46*СПРАВОЧНИК!$L$15+'ПЛАН ЧИСТ К1'!V46*СПРАВОЧНИК!$M$15+'ПЛАН ЧИСТ К1'!W46*СПРАВОЧНИК!$N$15)</f>
        <v>0</v>
      </c>
      <c r="W55" s="40">
        <f>СПРАВОЧНИК!$E$9*(('ФАКТ ЧЕРН К1'!B46)*СПРАВОЧНИК!$H$9+('ФАКТ ЧЕРН К1'!C46)*СПРАВОЧНИК!$I$9+('ФАКТ ЧЕРН К1'!D46)*СПРАВОЧНИК!$J$9)+СПРАВОЧНИК!$E$10*(('ФАКТ ЧЕРН К1'!E46)*СПРАВОЧНИК!$H$10+('ФАКТ ЧЕРН К1'!F46)*СПРАВОЧНИК!$I$10+('ФАКТ ЧЕРН К1'!G46)*СПРАВОЧНИК!$J$10)+СПРАВОЧНИК!$E$11*(('ФАКТ ЧЕРН К1'!H46)*СПРАВОЧНИК!$H$11+('ФАКТ ЧЕРН К1'!I46)*СПРАВОЧНИК!$I$11+('ФАКТ ЧЕРН К1'!J46)*СПРАВОЧНИК!$J$11)+СПРАВОЧНИК!$E$12*(('ФАКТ ЧЕРН К1'!K46)*СПРАВОЧНИК!$H$12+('ФАКТ ЧЕРН К1'!L46)*СПРАВОЧНИК!$I$12+('ФАКТ ЧЕРН К1'!M46)*СПРАВОЧНИК!$J$12)+СПРАВОЧНИК!$E$13*(('ФАКТ ЧЕРН К1'!N46)*СПРАВОЧНИК!$H$13+('ФАКТ ЧЕРН К1'!O46)*СПРАВОЧНИК!$I$13+('ФАКТ ЧЕРН К1'!P46)*СПРАВОЧНИК!$J$13)+СПРАВОЧНИК!$E$14*(('ФАКТ ЧЕРН К1'!Q46)*СПРАВОЧНИК!$H$14+('ФАКТ ЧЕРН К1'!R46)*СПРАВОЧНИК!$I$14+('ФАКТ ЧЕРН К1'!S46)*СПРАВОЧНИК!$J$14)+СПРАВОЧНИК!$E$15*(('ФАКТ ЧЕРН К1'!T46)*СПРАВОЧНИК!$H$15+('ФАКТ ЧЕРН К1'!U46)*СПРАВОЧНИК!$I$15+('ФАКТ ЧЕРН К1'!V46)*СПРАВОЧНИК!$J$15)+СПРАВОЧНИК!$F$9*(('ФАКТ ЧИСТ К1'!B46)*СПРАВОЧНИК!$L$9+('ФАКТ ЧИСТ К1'!C46)*СПРАВОЧНИК!$M$9+('ФАКТ ЧИСТ К1'!D46)*СПРАВОЧНИК!$N$9+('ФАКТ ЧИСТ К1'!E46)*СПРАВОЧНИК!$O$9)+СПРАВОЧНИК!$F$10*(('ФАКТ ЧИСТ К1'!F46)*СПРАВОЧНИК!$L$10+('ФАКТ ЧИСТ К1'!G46)*СПРАВОЧНИК!$M$10+('ФАКТ ЧИСТ К1'!H46)*СПРАВОЧНИК!$N$10)+СПРАВОЧНИК!$F$11*(('ФАКТ ЧИСТ К1'!I46)*СПРАВОЧНИК!$L$11+('ФАКТ ЧИСТ К1'!J46)*СПРАВОЧНИК!$M$11+('ФАКТ ЧИСТ К1'!K46)*СПРАВОЧНИК!$N$11)+СПРАВОЧНИК!$F$12*(('ФАКТ ЧИСТ К1'!L46)*СПРАВОЧНИК!$L$12+('ФАКТ ЧИСТ К1'!M46)*СПРАВОЧНИК!$M$12+('ФАКТ ЧИСТ К1'!N46)*СПРАВОЧНИК!$N$12)+СПРАВОЧНИК!$F$13*(('ФАКТ ЧИСТ К1'!O46)*СПРАВОЧНИК!$L$13+('ФАКТ ЧИСТ К1'!P46)*СПРАВОЧНИК!$M$13+('ФАКТ ЧИСТ К1'!Q46)*СПРАВОЧНИК!$N$13)+СПРАВОЧНИК!$F$14*(('ФАКТ ЧИСТ К1'!R46)*СПРАВОЧНИК!$L$14+('ФАКТ ЧИСТ К1'!S46)*СПРАВОЧНИК!$M$14+('ФАКТ ЧИСТ К1'!T46)*СПРАВОЧНИК!$N$14)+СПРАВОЧНИК!$F$15*(('ФАКТ ЧИСТ К1'!U46)*СПРАВОЧНИК!$L$15+('ФАКТ ЧИСТ К1'!V46)*СПРАВОЧНИК!$M$15+('ФАКТ ЧИСТ К1'!W46)*СПРАВОЧНИК!$N$15)</f>
        <v>0</v>
      </c>
      <c r="AA55" s="18">
        <f t="shared" si="16"/>
        <v>46461</v>
      </c>
      <c r="AB55" s="37">
        <f>'ПЛАН ЧЕРН К1'!B46*СПРАВОЧНИК!$H$9+'ПЛАН ЧЕРН К1'!C46*СПРАВОЧНИК!$I$9+'ПЛАН ЧЕРН К1'!D46*СПРАВОЧНИК!$J$9+'ПЛАН ЧЕРН К1'!E46*СПРАВОЧНИК!$H$10+'ПЛАН ЧЕРН К1'!F46*СПРАВОЧНИК!$I$10+'ПЛАН ЧЕРН К1'!G46*СПРАВОЧНИК!$J$10+'ПЛАН ЧЕРН К1'!H46*СПРАВОЧНИК!$H$11+'ПЛАН ЧЕРН К1'!I46*СПРАВОЧНИК!$I$11+'ПЛАН ЧЕРН К1'!J46*СПРАВОЧНИК!$J$11+'ПЛАН ЧЕРН К1'!K46*СПРАВОЧНИК!$H$12+'ПЛАН ЧЕРН К1'!L46*СПРАВОЧНИК!$I$12+'ПЛАН ЧЕРН К1'!M46*СПРАВОЧНИК!$J$12+'ПЛАН ЧЕРН К1'!N46*СПРАВОЧНИК!$H$13+'ПЛАН ЧЕРН К1'!O46*СПРАВОЧНИК!$I$13+'ПЛАН ЧЕРН К1'!P46*СПРАВОЧНИК!$J$13+'ПЛАН ЧЕРН К1'!Q46*СПРАВОЧНИК!$H$14+'ПЛАН ЧЕРН К1'!R46*СПРАВОЧНИК!$I$14+'ПЛАН ЧЕРН К1'!S46*СПРАВОЧНИК!$J$14+'ПЛАН ЧЕРН К1'!T46*СПРАВОЧНИК!$H$15+'ПЛАН ЧЕРН К1'!U46*СПРАВОЧНИК!$I$15+'ПЛАН ЧЕРН К1'!V46*СПРАВОЧНИК!$J$15</f>
        <v>0</v>
      </c>
      <c r="AC55" s="40">
        <f>('ФАКТ ЧЕРН К1'!B46)*СПРАВОЧНИК!$H$9+('ФАКТ ЧЕРН К1'!C46)*СПРАВОЧНИК!$I$9+('ФАКТ ЧЕРН К1'!D46)*СПРАВОЧНИК!$J$9+('ФАКТ ЧЕРН К1'!E46)*СПРАВОЧНИК!$H$10+('ФАКТ ЧЕРН К1'!F46)*СПРАВОЧНИК!$I$10+('ФАКТ ЧЕРН К1'!G46)*СПРАВОЧНИК!$J$10+('ФАКТ ЧЕРН К1'!H46)*СПРАВОЧНИК!$H$11+('ФАКТ ЧЕРН К1'!I46)*СПРАВОЧНИК!$I$11+('ФАКТ ЧЕРН К1'!J46)*СПРАВОЧНИК!$J$11+('ФАКТ ЧЕРН К1'!K46)*СПРАВОЧНИК!$H$12+('ФАКТ ЧЕРН К1'!L46)*СПРАВОЧНИК!$I$12+('ФАКТ ЧЕРН К1'!M46)*СПРАВОЧНИК!$J$12+('ФАКТ ЧЕРН К1'!N46)*СПРАВОЧНИК!$H$13+('ФАКТ ЧЕРН К1'!O46)*СПРАВОЧНИК!$I$13+('ФАКТ ЧЕРН К1'!P46)*СПРАВОЧНИК!$J$13+('ФАКТ ЧЕРН К1'!Q46)*СПРАВОЧНИК!$H$14+('ФАКТ ЧЕРН К1'!R46)*СПРАВОЧНИК!$I$14+('ФАКТ ЧЕРН К1'!S46)*СПРАВОЧНИК!$J$14+('ФАКТ ЧЕРН К1'!T46)*СПРАВОЧНИК!$H$15+('ФАКТ ЧЕРН К1'!U46)*СПРАВОЧНИК!$I$15+('ФАКТ ЧЕРН К1'!V46)*СПРАВОЧНИК!$J$15</f>
        <v>0</v>
      </c>
      <c r="AG55" s="18">
        <f t="shared" si="17"/>
        <v>46461</v>
      </c>
      <c r="AH55" s="37">
        <f>'ПЛАН ЧИСТ К1'!B46*СПРАВОЧНИК!$L$9+'ПЛАН ЧИСТ К1'!C46*СПРАВОЧНИК!$M$9+'ПЛАН ЧИСТ К1'!D46*СПРАВОЧНИК!$N$9+'ПЛАН ЧИСТ К1'!E46*СПРАВОЧНИК!$O$9+'ПЛАН ЧИСТ К1'!F46*СПРАВОЧНИК!$L$10+'ПЛАН ЧИСТ К1'!G46*СПРАВОЧНИК!$M$10+'ПЛАН ЧИСТ К1'!H46*СПРАВОЧНИК!$N$10+'ПЛАН ЧИСТ К1'!I46*СПРАВОЧНИК!$L$11+'ПЛАН ЧИСТ К1'!J46*СПРАВОЧНИК!$M$11+'ПЛАН ЧИСТ К1'!K46*СПРАВОЧНИК!$N$11+'ПЛАН ЧИСТ К1'!L46*СПРАВОЧНИК!$L$12+'ПЛАН ЧИСТ К1'!M46*СПРАВОЧНИК!$M$12+'ПЛАН ЧИСТ К1'!N46*СПРАВОЧНИК!$N$12+'ПЛАН ЧИСТ К1'!O46*СПРАВОЧНИК!$L$13+'ПЛАН ЧИСТ К1'!P46*СПРАВОЧНИК!$M$13+'ПЛАН ЧИСТ К1'!Q46*СПРАВОЧНИК!$N$13+'ПЛАН ЧИСТ К1'!R46*СПРАВОЧНИК!$L$14+'ПЛАН ЧИСТ К1'!S46*СПРАВОЧНИК!$M$14+'ПЛАН ЧИСТ К1'!T46*СПРАВОЧНИК!$N$14+'ПЛАН ЧИСТ К1'!U46*СПРАВОЧНИК!$L$15+'ПЛАН ЧИСТ К1'!V46*СПРАВОЧНИК!$M$15+'ПЛАН ЧИСТ К1'!W46*СПРАВОЧНИК!$N$15</f>
        <v>0</v>
      </c>
      <c r="AI55" s="40">
        <f>('ФАКТ ЧИСТ К1'!B46)*СПРАВОЧНИК!$L$9+('ФАКТ ЧИСТ К1'!C46)*СПРАВОЧНИК!$M$9+('ФАКТ ЧИСТ К1'!D46)*СПРАВОЧНИК!$N$9+('ФАКТ ЧИСТ К1'!E46)*СПРАВОЧНИК!$O$9+('ФАКТ ЧИСТ К1'!F46)*СПРАВОЧНИК!$L$10+('ФАКТ ЧИСТ К1'!G46)*СПРАВОЧНИК!$M$10+('ФАКТ ЧИСТ К1'!H46)*СПРАВОЧНИК!$N$10+('ФАКТ ЧИСТ К1'!I46)*СПРАВОЧНИК!$L$11+('ФАКТ ЧИСТ К1'!J46)*СПРАВОЧНИК!$M$11+('ФАКТ ЧИСТ К1'!K46)*СПРАВОЧНИК!$N$11+('ФАКТ ЧИСТ К1'!L46)*СПРАВОЧНИК!$L$12+('ФАКТ ЧИСТ К1'!M46)*СПРАВОЧНИК!$M$12+('ФАКТ ЧИСТ К1'!N46)*СПРАВОЧНИК!$N$12+('ФАКТ ЧИСТ К1'!O46)*СПРАВОЧНИК!$L$13+('ФАКТ ЧИСТ К1'!P46)*СПРАВОЧНИК!$M$13+('ФАКТ ЧИСТ К1'!Q46)*СПРАВОЧНИК!$N$13+('ФАКТ ЧИСТ К1'!R46)*СПРАВОЧНИК!$L$14+('ФАКТ ЧИСТ К1'!S46)*СПРАВОЧНИК!$M$14+('ФАКТ ЧИСТ К1'!T46)*СПРАВОЧНИК!$N$14+('ФАКТ ЧИСТ К1'!U46)*СПРАВОЧНИК!$L$15+('ФАКТ ЧИСТ К1'!V46)*СПРАВОЧНИК!$M$15+('ФАКТ ЧИСТ К1'!W46)*СПРАВОЧНИК!$N$15</f>
        <v>0</v>
      </c>
      <c r="AM55" s="18">
        <f t="shared" si="18"/>
        <v>46461</v>
      </c>
      <c r="AN55" s="37">
        <f>СПРАВОЧНИК!$E$9*('ПЛАН ЧЕРН К2'!B46*СПРАВОЧНИК!$H$9+'ПЛАН ЧЕРН К2'!C46*СПРАВОЧНИК!$I$9+'ПЛАН ЧЕРН К2'!D46*СПРАВОЧНИК!$J$9)+СПРАВОЧНИК!$E$10*('ПЛАН ЧЕРН К2'!E46*СПРАВОЧНИК!$H$10+'ПЛАН ЧЕРН К2'!F46*СПРАВОЧНИК!$I$10+'ПЛАН ЧЕРН К2'!G46*СПРАВОЧНИК!$J$10)+СПРАВОЧНИК!$E$11*('ПЛАН ЧЕРН К2'!H46*СПРАВОЧНИК!$H$11+'ПЛАН ЧЕРН К2'!I46*СПРАВОЧНИК!$I$11+'ПЛАН ЧЕРН К2'!J46*СПРАВОЧНИК!$J$11)+СПРАВОЧНИК!$E$12*('ПЛАН ЧЕРН К2'!K46*СПРАВОЧНИК!$H$12+'ПЛАН ЧЕРН К2'!L46*СПРАВОЧНИК!$I$12+'ПЛАН ЧЕРН К2'!M46*СПРАВОЧНИК!$J$12)+СПРАВОЧНИК!$E$13*('ПЛАН ЧЕРН К2'!N46*СПРАВОЧНИК!$H$13+'ПЛАН ЧЕРН К2'!O46*СПРАВОЧНИК!$I$13+'ПЛАН ЧЕРН К2'!P46*СПРАВОЧНИК!$J$13)+СПРАВОЧНИК!$E$14*('ПЛАН ЧЕРН К2'!Q46*СПРАВОЧНИК!$H$14+'ПЛАН ЧЕРН К2'!R46*СПРАВОЧНИК!$I$14+'ПЛАН ЧЕРН К2'!S46*СПРАВОЧНИК!$J$14)+СПРАВОЧНИК!$E$15*('ПЛАН ЧЕРН К2'!T46*СПРАВОЧНИК!$H$15+'ПЛАН ЧЕРН К2'!U46*СПРАВОЧНИК!$I$15+'ПЛАН ЧЕРН К2'!V46*СПРАВОЧНИК!$J$15)+СПРАВОЧНИК!$F$9*('ПЛАН ЧИСТ К2'!B46*СПРАВОЧНИК!$L$9+'ПЛАН ЧИСТ К2'!C46*СПРАВОЧНИК!$M$9+'ПЛАН ЧИСТ К2'!D46*СПРАВОЧНИК!$N$9+'ПЛАН ЧИСТ К2'!E46*СПРАВОЧНИК!$O$9)+СПРАВОЧНИК!$F$10*('ПЛАН ЧИСТ К2'!F46*СПРАВОЧНИК!$L$10+'ПЛАН ЧИСТ К2'!G46*СПРАВОЧНИК!$M$10+'ПЛАН ЧИСТ К2'!H46*СПРАВОЧНИК!$N$10)+СПРАВОЧНИК!$F$11*('ПЛАН ЧИСТ К2'!I46*СПРАВОЧНИК!$L$11+'ПЛАН ЧИСТ К2'!J46*СПРАВОЧНИК!$M$11+'ПЛАН ЧИСТ К2'!K46*СПРАВОЧНИК!$N$11)+СПРАВОЧНИК!$F$12*('ПЛАН ЧИСТ К2'!L46*СПРАВОЧНИК!$L$12+'ПЛАН ЧИСТ К2'!M46*СПРАВОЧНИК!$M$12+'ПЛАН ЧИСТ К2'!N46*СПРАВОЧНИК!$N$12)+СПРАВОЧНИК!$F$13*('ПЛАН ЧИСТ К2'!O46*СПРАВОЧНИК!$L$13+'ПЛАН ЧИСТ К2'!P46*СПРАВОЧНИК!$M$13+'ПЛАН ЧИСТ К2'!Q46*СПРАВОЧНИК!$N$13)+СПРАВОЧНИК!$F$14*('ПЛАН ЧИСТ К2'!R46*СПРАВОЧНИК!$L$14+'ПЛАН ЧИСТ К2'!S46*СПРАВОЧНИК!$M$14+'ПЛАН ЧИСТ К2'!T46*СПРАВОЧНИК!$N$14)+СПРАВОЧНИК!$F$15*('ПЛАН ЧИСТ К2'!U46*СПРАВОЧНИК!$L$15+'ПЛАН ЧИСТ К2'!V46*СПРАВОЧНИК!$M$15+'ПЛАН ЧИСТ К2'!W46*СПРАВОЧНИК!$N$15)</f>
        <v>0</v>
      </c>
      <c r="AO55" s="40">
        <f>СПРАВОЧНИК!$E$9*(('ФАКТ ЧЕРН К2'!B46)*СПРАВОЧНИК!$H$9+('ФАКТ ЧЕРН К2'!C46)*СПРАВОЧНИК!$I$9+('ФАКТ ЧЕРН К2'!D46)*СПРАВОЧНИК!$J$9)+СПРАВОЧНИК!$E$10*(('ФАКТ ЧЕРН К2'!E46)*СПРАВОЧНИК!$H$10+('ФАКТ ЧЕРН К2'!F46)*СПРАВОЧНИК!$I$10+('ФАКТ ЧЕРН К2'!G46)*СПРАВОЧНИК!$J$10)+СПРАВОЧНИК!$E$11*(('ФАКТ ЧЕРН К2'!H46)*СПРАВОЧНИК!$H$11+('ФАКТ ЧЕРН К2'!I46)*СПРАВОЧНИК!$I$11+('ФАКТ ЧЕРН К2'!J46)*СПРАВОЧНИК!$J$11)+СПРАВОЧНИК!$E$12*(('ФАКТ ЧЕРН К2'!K46)*СПРАВОЧНИК!$H$12+('ФАКТ ЧЕРН К2'!L46)*СПРАВОЧНИК!$I$12+('ФАКТ ЧЕРН К2'!M46)*СПРАВОЧНИК!$J$12)+СПРАВОЧНИК!$E$13*(('ФАКТ ЧЕРН К2'!N46)*СПРАВОЧНИК!$H$13+('ФАКТ ЧЕРН К2'!O46)*СПРАВОЧНИК!$I$13+('ФАКТ ЧЕРН К2'!P46)*СПРАВОЧНИК!$J$13)+СПРАВОЧНИК!$E$14*(('ФАКТ ЧЕРН К2'!Q46)*СПРАВОЧНИК!$H$14+('ФАКТ ЧЕРН К2'!R46)*СПРАВОЧНИК!$I$14+('ФАКТ ЧЕРН К2'!S46)*СПРАВОЧНИК!$J$14)+СПРАВОЧНИК!$E$15*(('ФАКТ ЧЕРН К2'!T46)*СПРАВОЧНИК!$H$15+('ФАКТ ЧЕРН К2'!U46)*СПРАВОЧНИК!$I$15+('ФАКТ ЧЕРН К2'!V46)*СПРАВОЧНИК!$J$15)+СПРАВОЧНИК!$F$9*(('ФАКТ ЧИСТ К2'!B46)*СПРАВОЧНИК!$L$9+('ФАКТ ЧИСТ К2'!C46)*СПРАВОЧНИК!$M$9+('ФАКТ ЧИСТ К2'!D46)*СПРАВОЧНИК!$N$9+('ФАКТ ЧИСТ К2'!E46)*СПРАВОЧНИК!$O$9)+СПРАВОЧНИК!$F$10*(('ФАКТ ЧИСТ К2'!F46)*СПРАВОЧНИК!$L$10+('ФАКТ ЧИСТ К2'!G46)*СПРАВОЧНИК!$M$10+('ФАКТ ЧИСТ К2'!H46)*СПРАВОЧНИК!$N$10)+СПРАВОЧНИК!$F$11*(('ФАКТ ЧИСТ К2'!I46)*СПРАВОЧНИК!$L$11+('ФАКТ ЧИСТ К2'!J46)*СПРАВОЧНИК!$M$11+('ФАКТ ЧИСТ К2'!K46)*СПРАВОЧНИК!$N$11)+СПРАВОЧНИК!$F$12*(('ФАКТ ЧИСТ К2'!L46)*СПРАВОЧНИК!$L$12+('ФАКТ ЧИСТ К2'!M46)*СПРАВОЧНИК!$M$12+('ФАКТ ЧИСТ К2'!N46)*СПРАВОЧНИК!$N$12)+СПРАВОЧНИК!$F$13*(('ФАКТ ЧИСТ К2'!O46)*СПРАВОЧНИК!$L$13+('ФАКТ ЧИСТ К2'!P46)*СПРАВОЧНИК!$M$13+('ФАКТ ЧИСТ К2'!Q46)*СПРАВОЧНИК!$N$13)+СПРАВОЧНИК!$F$14*(('ФАКТ ЧИСТ К2'!R46)*СПРАВОЧНИК!$L$14+('ФАКТ ЧИСТ К2'!S46)*СПРАВОЧНИК!$M$14+('ФАКТ ЧИСТ К2'!T46)*СПРАВОЧНИК!$N$14)+СПРАВОЧНИК!$F$15*(('ФАКТ ЧИСТ К2'!U46)*СПРАВОЧНИК!$L$15+('ФАКТ ЧИСТ К2'!V46)*СПРАВОЧНИК!$M$15+('ФАКТ ЧИСТ К2'!W46)*СПРАВОЧНИК!$N$15)</f>
        <v>0</v>
      </c>
      <c r="AS55" s="18">
        <f t="shared" si="19"/>
        <v>46461</v>
      </c>
      <c r="AT55" s="37">
        <f>'ПЛАН ЧЕРН К2'!B46*СПРАВОЧНИК!$H$9+'ПЛАН ЧЕРН К2'!C46*СПРАВОЧНИК!$I$9+'ПЛАН ЧЕРН К2'!D46*СПРАВОЧНИК!$J$9+'ПЛАН ЧЕРН К2'!E46*СПРАВОЧНИК!$H$10+'ПЛАН ЧЕРН К2'!F46*СПРАВОЧНИК!$I$10+'ПЛАН ЧЕРН К2'!G46*СПРАВОЧНИК!$J$10+'ПЛАН ЧЕРН К2'!H46*СПРАВОЧНИК!$H$11+'ПЛАН ЧЕРН К2'!I46*СПРАВОЧНИК!$I$11+'ПЛАН ЧЕРН К2'!J46*СПРАВОЧНИК!$J$11+'ПЛАН ЧЕРН К2'!K46*СПРАВОЧНИК!$H$12+'ПЛАН ЧЕРН К2'!L46*СПРАВОЧНИК!$I$12+'ПЛАН ЧЕРН К2'!M46*СПРАВОЧНИК!$J$12+'ПЛАН ЧЕРН К2'!N46*СПРАВОЧНИК!$H$13+'ПЛАН ЧЕРН К2'!O46*СПРАВОЧНИК!$I$13+'ПЛАН ЧЕРН К2'!P46*СПРАВОЧНИК!$J$13+'ПЛАН ЧЕРН К2'!Q46*СПРАВОЧНИК!$H$14+'ПЛАН ЧЕРН К2'!R46*СПРАВОЧНИК!$I$14+'ПЛАН ЧЕРН К2'!S46*СПРАВОЧНИК!$J$14+'ПЛАН ЧЕРН К2'!T46*СПРАВОЧНИК!$H$15+'ПЛАН ЧЕРН К2'!U46*СПРАВОЧНИК!$I$15+'ПЛАН ЧЕРН К2'!V46*СПРАВОЧНИК!$J$15</f>
        <v>0</v>
      </c>
      <c r="AU55" s="40">
        <f>('ФАКТ ЧЕРН К2'!B46)*СПРАВОЧНИК!$H$9+('ФАКТ ЧЕРН К2'!C46)*СПРАВОЧНИК!$I$9+('ФАКТ ЧЕРН К2'!D46)*СПРАВОЧНИК!$J$9+('ФАКТ ЧЕРН К2'!E46)*СПРАВОЧНИК!$H$10+('ФАКТ ЧЕРН К2'!F46)*СПРАВОЧНИК!$I$10+('ФАКТ ЧЕРН К2'!G46)*СПРАВОЧНИК!$J$10+('ФАКТ ЧЕРН К2'!H46)*СПРАВОЧНИК!$H$11+('ФАКТ ЧЕРН К2'!I46)*СПРАВОЧНИК!$I$11+('ФАКТ ЧЕРН К2'!J46)*СПРАВОЧНИК!$J$11+('ФАКТ ЧЕРН К2'!K46)*СПРАВОЧНИК!$H$12+('ФАКТ ЧЕРН К2'!L46)*СПРАВОЧНИК!$I$12+('ФАКТ ЧЕРН К2'!M46)*СПРАВОЧНИК!$J$12+('ФАКТ ЧЕРН К2'!N46)*СПРАВОЧНИК!$H$13+('ФАКТ ЧЕРН К2'!O46)*СПРАВОЧНИК!$I$13+('ФАКТ ЧЕРН К2'!P46)*СПРАВОЧНИК!$J$13+('ФАКТ ЧЕРН К2'!Q46)*СПРАВОЧНИК!$H$14+('ФАКТ ЧЕРН К2'!R46)*СПРАВОЧНИК!$I$14+('ФАКТ ЧЕРН К2'!S46)*СПРАВОЧНИК!$J$14+('ФАКТ ЧЕРН К2'!T46)*СПРАВОЧНИК!$H$15+('ФАКТ ЧЕРН К2'!U46)*СПРАВОЧНИК!$I$15+('ФАКТ ЧЕРН К2'!V46)*СПРАВОЧНИК!$J$15</f>
        <v>0</v>
      </c>
      <c r="AY55" s="18">
        <f t="shared" si="20"/>
        <v>46461</v>
      </c>
      <c r="AZ55" s="37">
        <f>'ПЛАН ЧИСТ К2'!B46*СПРАВОЧНИК!$L$9+'ПЛАН ЧИСТ К2'!C46*СПРАВОЧНИК!$M$9+'ПЛАН ЧИСТ К2'!D46*СПРАВОЧНИК!$N$9+'ПЛАН ЧИСТ К2'!E46*СПРАВОЧНИК!$O$9+'ПЛАН ЧИСТ К2'!F46*СПРАВОЧНИК!$L$10+'ПЛАН ЧИСТ К2'!G46*СПРАВОЧНИК!$M$10+'ПЛАН ЧИСТ К2'!H46*СПРАВОЧНИК!$N$10+'ПЛАН ЧИСТ К2'!I46*СПРАВОЧНИК!$L$11+'ПЛАН ЧИСТ К2'!J46*СПРАВОЧНИК!$M$11+'ПЛАН ЧИСТ К2'!K46*СПРАВОЧНИК!$N$11+'ПЛАН ЧИСТ К2'!L46*СПРАВОЧНИК!$L$12+'ПЛАН ЧИСТ К2'!M46*СПРАВОЧНИК!$M$12+'ПЛАН ЧИСТ К2'!N46*СПРАВОЧНИК!$N$12+'ПЛАН ЧИСТ К2'!O46*СПРАВОЧНИК!$L$13+'ПЛАН ЧИСТ К2'!P46*СПРАВОЧНИК!$M$13+'ПЛАН ЧИСТ К2'!Q46*СПРАВОЧНИК!$N$13+'ПЛАН ЧИСТ К2'!R46*СПРАВОЧНИК!$L$14+'ПЛАН ЧИСТ К2'!S46*СПРАВОЧНИК!$M$14+'ПЛАН ЧИСТ К2'!T46*СПРАВОЧНИК!$N$14+'ПЛАН ЧИСТ К2'!U46*СПРАВОЧНИК!$L$15+'ПЛАН ЧИСТ К2'!V46*СПРАВОЧНИК!$M$15+'ПЛАН ЧИСТ К2'!W46*СПРАВОЧНИК!$N$15</f>
        <v>0</v>
      </c>
      <c r="BA55" s="40">
        <f>('ФАКТ ЧИСТ К2'!B46)*СПРАВОЧНИК!$L$9+('ФАКТ ЧИСТ К2'!C46)*СПРАВОЧНИК!$M$9+('ФАКТ ЧИСТ К2'!D46)*СПРАВОЧНИК!$N$9+('ФАКТ ЧИСТ К2'!E46)*СПРАВОЧНИК!$O$9+('ФАКТ ЧИСТ К2'!F46)*СПРАВОЧНИК!$L$10+('ФАКТ ЧИСТ К2'!G46)*СПРАВОЧНИК!$M$10+('ФАКТ ЧИСТ К2'!H46)*СПРАВОЧНИК!$N$10+('ФАКТ ЧИСТ К2'!I46)*СПРАВОЧНИК!$L$11+('ФАКТ ЧИСТ К2'!J46)*СПРАВОЧНИК!$M$11+('ФАКТ ЧИСТ К2'!K46)*СПРАВОЧНИК!$N$11+('ФАКТ ЧИСТ К2'!L46)*СПРАВОЧНИК!$L$12+('ФАКТ ЧИСТ К2'!M46)*СПРАВОЧНИК!$M$12+('ФАКТ ЧИСТ К2'!N46)*СПРАВОЧНИК!$N$12+('ФАКТ ЧИСТ К2'!O46)*СПРАВОЧНИК!$L$13+('ФАКТ ЧИСТ К2'!P46)*СПРАВОЧНИК!$M$13+('ФАКТ ЧИСТ К2'!Q46)*СПРАВОЧНИК!$N$13+('ФАКТ ЧИСТ К2'!R46)*СПРАВОЧНИК!$L$14+('ФАКТ ЧИСТ К2'!S46)*СПРАВОЧНИК!$M$14+('ФАКТ ЧИСТ К2'!T46)*СПРАВОЧНИК!$N$14+('ФАКТ ЧИСТ К2'!U46)*СПРАВОЧНИК!$L$15+('ФАКТ ЧИСТ К2'!V46)*СПРАВОЧНИК!$M$15+('ФАКТ ЧИСТ К2'!W46)*СПРАВОЧНИК!$N$15</f>
        <v>0</v>
      </c>
      <c r="BE55" s="18">
        <f t="shared" si="21"/>
        <v>46461</v>
      </c>
      <c r="BF55" s="37">
        <f>СПРАВОЧНИК!$E$9*('ПЛАН ЧЕРН К3'!B46*СПРАВОЧНИК!$H$9+'ПЛАН ЧЕРН К3'!C46*СПРАВОЧНИК!$I$9+'ПЛАН ЧЕРН К3'!D46*СПРАВОЧНИК!$J$9)+СПРАВОЧНИК!$E$10*('ПЛАН ЧЕРН К3'!E46*СПРАВОЧНИК!$H$10+'ПЛАН ЧЕРН К3'!F46*СПРАВОЧНИК!$I$10+'ПЛАН ЧЕРН К3'!G46*СПРАВОЧНИК!$J$10)+СПРАВОЧНИК!$E$11*('ПЛАН ЧЕРН К3'!H46*СПРАВОЧНИК!$H$11+'ПЛАН ЧЕРН К3'!I46*СПРАВОЧНИК!$I$11+'ПЛАН ЧЕРН К3'!J46*СПРАВОЧНИК!$J$11)+СПРАВОЧНИК!$E$12*('ПЛАН ЧЕРН К3'!K46*СПРАВОЧНИК!$H$12+'ПЛАН ЧЕРН К3'!L46*СПРАВОЧНИК!$I$12+'ПЛАН ЧЕРН К3'!M46*СПРАВОЧНИК!$J$12)+СПРАВОЧНИК!$E$13*('ПЛАН ЧЕРН К3'!N46*СПРАВОЧНИК!$H$13+'ПЛАН ЧЕРН К3'!O46*СПРАВОЧНИК!$I$13+'ПЛАН ЧЕРН К3'!P46*СПРАВОЧНИК!$J$13)+СПРАВОЧНИК!$E$14*('ПЛАН ЧЕРН К3'!Q46*СПРАВОЧНИК!$H$14+'ПЛАН ЧЕРН К3'!R46*СПРАВОЧНИК!$I$14+'ПЛАН ЧЕРН К3'!S46*СПРАВОЧНИК!$J$14)+СПРАВОЧНИК!$E$15*('ПЛАН ЧЕРН К3'!T46*СПРАВОЧНИК!$H$15+'ПЛАН ЧЕРН К3'!U46*СПРАВОЧНИК!$I$15+'ПЛАН ЧЕРН К3'!V46*СПРАВОЧНИК!$J$15)+СПРАВОЧНИК!$F$9*('ПЛАН ЧИСТ К3'!B46*СПРАВОЧНИК!$L$9+'ПЛАН ЧИСТ К3'!C46*СПРАВОЧНИК!$M$9+'ПЛАН ЧИСТ К3'!D46*СПРАВОЧНИК!$N$9+'ПЛАН ЧИСТ К3'!E46*СПРАВОЧНИК!$O$9)+СПРАВОЧНИК!$F$10*('ПЛАН ЧИСТ К3'!F46*СПРАВОЧНИК!$L$10+'ПЛАН ЧИСТ К3'!G46*СПРАВОЧНИК!$M$10+'ПЛАН ЧИСТ К3'!H46*СПРАВОЧНИК!$N$10)+СПРАВОЧНИК!$F$11*('ПЛАН ЧИСТ К3'!I46*СПРАВОЧНИК!$L$11+'ПЛАН ЧИСТ К3'!J46*СПРАВОЧНИК!$M$11+'ПЛАН ЧИСТ К3'!K46*СПРАВОЧНИК!$N$11)+СПРАВОЧНИК!$F$12*('ПЛАН ЧИСТ К3'!L46*СПРАВОЧНИК!$L$12+'ПЛАН ЧИСТ К3'!M46*СПРАВОЧНИК!$M$12+'ПЛАН ЧИСТ К3'!N46*СПРАВОЧНИК!$N$12)+СПРАВОЧНИК!$F$13*('ПЛАН ЧИСТ К3'!O46*СПРАВОЧНИК!$L$13+'ПЛАН ЧИСТ К3'!P46*СПРАВОЧНИК!$M$13+'ПЛАН ЧИСТ К3'!Q46*СПРАВОЧНИК!$N$13)+СПРАВОЧНИК!$F$14*('ПЛАН ЧИСТ К3'!R46*СПРАВОЧНИК!$L$14+'ПЛАН ЧИСТ К3'!S46*СПРАВОЧНИК!$M$14+'ПЛАН ЧИСТ К3'!T46*СПРАВОЧНИК!$N$14)+СПРАВОЧНИК!$F$15*('ПЛАН ЧИСТ К3'!U46*СПРАВОЧНИК!$L$15+'ПЛАН ЧИСТ К3'!V46*СПРАВОЧНИК!$M$15+'ПЛАН ЧИСТ К3'!W46*СПРАВОЧНИК!$N$15)</f>
        <v>0</v>
      </c>
      <c r="BG55" s="40">
        <f>СПРАВОЧНИК!$E$9*(('ФАКТ ЧЕРН К3'!B46)*СПРАВОЧНИК!$H$9+('ФАКТ ЧЕРН К3'!C46)*СПРАВОЧНИК!$I$9+('ФАКТ ЧЕРН К3'!D46)*СПРАВОЧНИК!$J$9)+СПРАВОЧНИК!$E$10*(('ФАКТ ЧЕРН К3'!E46)*СПРАВОЧНИК!$H$10+('ФАКТ ЧЕРН К3'!F46)*СПРАВОЧНИК!$I$10+('ФАКТ ЧЕРН К3'!G46)*СПРАВОЧНИК!$J$10)+СПРАВОЧНИК!$E$11*(('ФАКТ ЧЕРН К3'!H46)*СПРАВОЧНИК!$H$11+('ФАКТ ЧЕРН К3'!I46)*СПРАВОЧНИК!$I$11+('ФАКТ ЧЕРН К3'!J46)*СПРАВОЧНИК!$J$11)+СПРАВОЧНИК!$E$12*(('ФАКТ ЧЕРН К3'!K46)*СПРАВОЧНИК!$H$12+('ФАКТ ЧЕРН К3'!L46)*СПРАВОЧНИК!$I$12+('ФАКТ ЧЕРН К3'!M46)*СПРАВОЧНИК!$J$12)+СПРАВОЧНИК!$E$13*(('ФАКТ ЧЕРН К3'!N46)*СПРАВОЧНИК!$H$13+('ФАКТ ЧЕРН К3'!O46)*СПРАВОЧНИК!$I$13+('ФАКТ ЧЕРН К3'!P46)*СПРАВОЧНИК!$J$13)+СПРАВОЧНИК!$E$14*(('ФАКТ ЧЕРН К3'!Q46)*СПРАВОЧНИК!$H$14+('ФАКТ ЧЕРН К3'!R46)*СПРАВОЧНИК!$I$14+('ФАКТ ЧЕРН К3'!S46)*СПРАВОЧНИК!$J$14)+СПРАВОЧНИК!$E$15*(('ФАКТ ЧЕРН К3'!T46)*СПРАВОЧНИК!$H$15+('ФАКТ ЧЕРН К3'!U46)*СПРАВОЧНИК!$I$15+('ФАКТ ЧЕРН К3'!V46)*СПРАВОЧНИК!$J$15)+СПРАВОЧНИК!$F$9*(('ФАКТ ЧИСТ К3'!B46)*СПРАВОЧНИК!$L$9+('ФАКТ ЧИСТ К3'!C46)*СПРАВОЧНИК!$M$9+('ФАКТ ЧИСТ К3'!D46)*СПРАВОЧНИК!$N$9+('ФАКТ ЧИСТ К3'!E46)*СПРАВОЧНИК!$O$9)+СПРАВОЧНИК!$F$10*(('ФАКТ ЧИСТ К3'!F46)*СПРАВОЧНИК!$L$10+('ФАКТ ЧИСТ К3'!G46)*СПРАВОЧНИК!$M$10+('ФАКТ ЧИСТ К3'!H46)*СПРАВОЧНИК!$N$10)+СПРАВОЧНИК!$F$11*(('ФАКТ ЧИСТ К3'!I46)*СПРАВОЧНИК!$L$11+('ФАКТ ЧИСТ К3'!J46)*СПРАВОЧНИК!$M$11+('ФАКТ ЧИСТ К3'!K46)*СПРАВОЧНИК!$N$11)+СПРАВОЧНИК!$F$12*(('ФАКТ ЧИСТ К3'!L46)*СПРАВОЧНИК!$L$12+('ФАКТ ЧИСТ К3'!M46)*СПРАВОЧНИК!$M$12+('ФАКТ ЧИСТ К3'!N46)*СПРАВОЧНИК!$N$12)+СПРАВОЧНИК!$F$13*(('ФАКТ ЧИСТ К3'!O46)*СПРАВОЧНИК!$L$13+('ФАКТ ЧИСТ К3'!P46)*СПРАВОЧНИК!$M$13+('ФАКТ ЧИСТ К3'!Q46)*СПРАВОЧНИК!$N$13)+СПРАВОЧНИК!$F$14*(('ФАКТ ЧИСТ К3'!R46)*СПРАВОЧНИК!$L$14+('ФАКТ ЧИСТ К3'!S46)*СПРАВОЧНИК!$M$14+('ФАКТ ЧИСТ К3'!T46)*СПРАВОЧНИК!$N$14)+СПРАВОЧНИК!$F$15*(('ФАКТ ЧИСТ К3'!U46)*СПРАВОЧНИК!$L$15+('ФАКТ ЧИСТ К3'!V46)*СПРАВОЧНИК!$M$15+('ФАКТ ЧИСТ К3'!W46)*СПРАВОЧНИК!$N$15)</f>
        <v>0</v>
      </c>
      <c r="BK55" s="18">
        <f t="shared" si="22"/>
        <v>46461</v>
      </c>
      <c r="BL55" s="37">
        <f>'ПЛАН ЧЕРН К3'!B46*СПРАВОЧНИК!$H$9+'ПЛАН ЧЕРН К3'!C46*СПРАВОЧНИК!$I$9+'ПЛАН ЧЕРН К3'!D46*СПРАВОЧНИК!$J$9+'ПЛАН ЧЕРН К3'!E46*СПРАВОЧНИК!$H$10+'ПЛАН ЧЕРН К3'!F46*СПРАВОЧНИК!$I$10+'ПЛАН ЧЕРН К3'!G46*СПРАВОЧНИК!$J$10+'ПЛАН ЧЕРН К3'!H46*СПРАВОЧНИК!$H$11+'ПЛАН ЧЕРН К3'!I46*СПРАВОЧНИК!$I$11+'ПЛАН ЧЕРН К3'!J46*СПРАВОЧНИК!$J$11+'ПЛАН ЧЕРН К3'!K46*СПРАВОЧНИК!$H$12+'ПЛАН ЧЕРН К3'!L46*СПРАВОЧНИК!$I$12+'ПЛАН ЧЕРН К3'!M46*СПРАВОЧНИК!$J$12+'ПЛАН ЧЕРН К3'!N46*СПРАВОЧНИК!$H$13+'ПЛАН ЧЕРН К3'!O46*СПРАВОЧНИК!$I$13+'ПЛАН ЧЕРН К3'!P46*СПРАВОЧНИК!$J$13+'ПЛАН ЧЕРН К3'!Q46*СПРАВОЧНИК!$H$14+'ПЛАН ЧЕРН К3'!R46*СПРАВОЧНИК!$I$14+'ПЛАН ЧЕРН К3'!S46*СПРАВОЧНИК!$J$14+'ПЛАН ЧЕРН К3'!T46*СПРАВОЧНИК!$H$15+'ПЛАН ЧЕРН К3'!U46*СПРАВОЧНИК!$I$15+'ПЛАН ЧЕРН К3'!V46*СПРАВОЧНИК!$J$15</f>
        <v>0</v>
      </c>
      <c r="BM55" s="40">
        <f>('ФАКТ ЧЕРН К3'!B46)*СПРАВОЧНИК!$H$9+('ФАКТ ЧЕРН К3'!C46)*СПРАВОЧНИК!$I$9+('ФАКТ ЧЕРН К3'!D46)*СПРАВОЧНИК!$J$9+('ФАКТ ЧЕРН К3'!E46)*СПРАВОЧНИК!$H$10+('ФАКТ ЧЕРН К3'!F46)*СПРАВОЧНИК!$I$10+('ФАКТ ЧЕРН К3'!G46)*СПРАВОЧНИК!$J$10+('ФАКТ ЧЕРН К3'!H46)*СПРАВОЧНИК!$H$11+('ФАКТ ЧЕРН К3'!I46)*СПРАВОЧНИК!$I$11+('ФАКТ ЧЕРН К3'!J46)*СПРАВОЧНИК!$J$11+('ФАКТ ЧЕРН К3'!K46)*СПРАВОЧНИК!$H$12+('ФАКТ ЧЕРН К3'!L46)*СПРАВОЧНИК!$I$12+('ФАКТ ЧЕРН К3'!M46)*СПРАВОЧНИК!$J$12+('ФАКТ ЧЕРН К3'!N46)*СПРАВОЧНИК!$H$13+('ФАКТ ЧЕРН К3'!O46)*СПРАВОЧНИК!$I$13+('ФАКТ ЧЕРН К3'!P46)*СПРАВОЧНИК!$J$13+('ФАКТ ЧЕРН К3'!Q46)*СПРАВОЧНИК!$H$14+('ФАКТ ЧЕРН К3'!R46)*СПРАВОЧНИК!$I$14+('ФАКТ ЧЕРН К3'!S46)*СПРАВОЧНИК!$J$14+('ФАКТ ЧЕРН К3'!T46)*СПРАВОЧНИК!$H$15+('ФАКТ ЧЕРН К3'!U46)*СПРАВОЧНИК!$I$15+('ФАКТ ЧЕРН К3'!V46)*СПРАВОЧНИК!$J$15</f>
        <v>0</v>
      </c>
      <c r="BQ55" s="18">
        <f t="shared" si="23"/>
        <v>46461</v>
      </c>
      <c r="BR55" s="37">
        <f>'ПЛАН ЧИСТ К3'!B46*СПРАВОЧНИК!$L$9+'ПЛАН ЧИСТ К3'!C46*СПРАВОЧНИК!$M$9+'ПЛАН ЧИСТ К3'!D46*СПРАВОЧНИК!$N$9+'ПЛАН ЧИСТ К3'!E46*СПРАВОЧНИК!$O$9+'ПЛАН ЧИСТ К3'!F46*СПРАВОЧНИК!$L$10+'ПЛАН ЧИСТ К3'!G46*СПРАВОЧНИК!$M$10+'ПЛАН ЧИСТ К3'!H46*СПРАВОЧНИК!$N$10+'ПЛАН ЧИСТ К3'!I46*СПРАВОЧНИК!$L$11+'ПЛАН ЧИСТ К3'!J46*СПРАВОЧНИК!$M$11+'ПЛАН ЧИСТ К3'!K46*СПРАВОЧНИК!$N$11+'ПЛАН ЧИСТ К3'!L46*СПРАВОЧНИК!$L$12+'ПЛАН ЧИСТ К3'!M46*СПРАВОЧНИК!$M$12+'ПЛАН ЧИСТ К3'!N46*СПРАВОЧНИК!$N$12+'ПЛАН ЧИСТ К3'!O46*СПРАВОЧНИК!$L$13+'ПЛАН ЧИСТ К3'!P46*СПРАВОЧНИК!$M$13+'ПЛАН ЧИСТ К3'!Q46*СПРАВОЧНИК!$N$13+'ПЛАН ЧИСТ К3'!R46*СПРАВОЧНИК!$L$14+'ПЛАН ЧИСТ К3'!S46*СПРАВОЧНИК!$M$14+'ПЛАН ЧИСТ К3'!T46*СПРАВОЧНИК!$N$14+'ПЛАН ЧИСТ К3'!U46*СПРАВОЧНИК!$L$15+'ПЛАН ЧИСТ К3'!V46*СПРАВОЧНИК!$M$15+'ПЛАН ЧИСТ К3'!W46*СПРАВОЧНИК!$N$15</f>
        <v>0</v>
      </c>
      <c r="BS55" s="40">
        <f>('ФАКТ ЧИСТ К3'!B46)*СПРАВОЧНИК!$L$9+('ФАКТ ЧИСТ К3'!C46)*СПРАВОЧНИК!$M$9+('ФАКТ ЧИСТ К3'!D46)*СПРАВОЧНИК!$N$9+('ФАКТ ЧИСТ К3'!E46)*СПРАВОЧНИК!$O$9+('ФАКТ ЧИСТ К3'!F46)*СПРАВОЧНИК!$L$10+('ФАКТ ЧИСТ К3'!G46)*СПРАВОЧНИК!$M$10+('ФАКТ ЧИСТ К3'!H46)*СПРАВОЧНИК!$N$10+('ФАКТ ЧИСТ К3'!I46)*СПРАВОЧНИК!$L$11+('ФАКТ ЧИСТ К3'!J46)*СПРАВОЧНИК!$M$11+('ФАКТ ЧИСТ К3'!K46)*СПРАВОЧНИК!$N$11+('ФАКТ ЧИСТ К3'!L46)*СПРАВОЧНИК!$L$12+('ФАКТ ЧИСТ К3'!M46)*СПРАВОЧНИК!$M$12+('ФАКТ ЧИСТ К3'!N46)*СПРАВОЧНИК!$N$12+('ФАКТ ЧИСТ К3'!O46)*СПРАВОЧНИК!$L$13+('ФАКТ ЧИСТ К3'!P46)*СПРАВОЧНИК!$M$13+('ФАКТ ЧИСТ К3'!Q46)*СПРАВОЧНИК!$N$13+('ФАКТ ЧИСТ К3'!R46)*СПРАВОЧНИК!$L$14+('ФАКТ ЧИСТ К3'!S46)*СПРАВОЧНИК!$M$14+('ФАКТ ЧИСТ К3'!T46)*СПРАВОЧНИК!$N$14+('ФАКТ ЧИСТ К3'!U46)*СПРАВОЧНИК!$L$15+('ФАКТ ЧИСТ К3'!V46)*СПРАВОЧНИК!$M$15+('ФАКТ ЧИСТ К3'!W46)*СПРАВОЧНИК!$N$15</f>
        <v>0</v>
      </c>
      <c r="BW55" s="18">
        <f t="shared" si="24"/>
        <v>46461</v>
      </c>
      <c r="BX55" s="37">
        <f t="shared" si="0"/>
        <v>0</v>
      </c>
      <c r="BY55" s="40">
        <f t="shared" si="1"/>
        <v>0</v>
      </c>
      <c r="CC55" s="18">
        <f t="shared" si="25"/>
        <v>46461</v>
      </c>
      <c r="CD55" s="37">
        <f t="shared" si="2"/>
        <v>0</v>
      </c>
      <c r="CE55" s="40">
        <f t="shared" si="3"/>
        <v>0</v>
      </c>
      <c r="CI55" s="18">
        <f t="shared" si="26"/>
        <v>46461</v>
      </c>
      <c r="CJ55" s="37">
        <f t="shared" si="4"/>
        <v>0</v>
      </c>
      <c r="CK55" s="40">
        <f t="shared" si="5"/>
        <v>0</v>
      </c>
      <c r="CO55" s="18">
        <f t="shared" si="27"/>
        <v>46461</v>
      </c>
      <c r="CP55" s="37">
        <f t="shared" si="6"/>
        <v>0</v>
      </c>
      <c r="CQ55" s="40">
        <f t="shared" si="7"/>
        <v>0</v>
      </c>
      <c r="CU55" s="18">
        <f t="shared" si="28"/>
        <v>46461</v>
      </c>
      <c r="CV55" s="37">
        <f t="shared" si="8"/>
        <v>0</v>
      </c>
      <c r="CW55" s="40">
        <f t="shared" si="9"/>
        <v>0</v>
      </c>
      <c r="DA55" s="18">
        <f t="shared" si="29"/>
        <v>46461</v>
      </c>
      <c r="DB55" s="37">
        <f t="shared" si="10"/>
        <v>0</v>
      </c>
      <c r="DC55" s="40">
        <f t="shared" si="11"/>
        <v>0</v>
      </c>
    </row>
    <row r="56" spans="3:107" x14ac:dyDescent="0.25">
      <c r="C56" s="18">
        <f t="shared" si="12"/>
        <v>46468</v>
      </c>
      <c r="D56" s="37">
        <f>СПРАВОЧНИК!$E$3*('ПЛАН ЧЕРН ПОДЗЕМ'!B47*СПРАВОЧНИК!$H$3+'ПЛАН ЧЕРН ПОДЗЕМ'!C47*СПРАВОЧНИК!$I$3+'ПЛАН ЧЕРН ПОДЗЕМ'!D47*СПРАВОЧНИК!$J$3)+СПРАВОЧНИК!$E$4*('ПЛАН ЧЕРН ПОДЗЕМ'!E47*СПРАВОЧНИК!$H$4+'ПЛАН ЧЕРН ПОДЗЕМ'!F47*СПРАВОЧНИК!$I$4+'ПЛАН ЧЕРН ПОДЗЕМ'!G47*СПРАВОЧНИК!$J$4)+СПРАВОЧНИК!$E$5*('ПЛАН ЧЕРН ПОДЗЕМ'!H47*СПРАВОЧНИК!$H$5+'ПЛАН ЧЕРН ПОДЗЕМ'!I47*СПРАВОЧНИК!$I$5+'ПЛАН ЧЕРН ПОДЗЕМ'!J47*СПРАВОЧНИК!$J$5)+СПРАВОЧНИК!$E$6*('ПЛАН ЧЕРН ПОДЗЕМ'!K47*СПРАВОЧНИК!$H$6+'ПЛАН ЧЕРН ПОДЗЕМ'!L47*СПРАВОЧНИК!$I$6+'ПЛАН ЧЕРН ПОДЗЕМ'!M47*СПРАВОЧНИК!$J$6)+СПРАВОЧНИК!$E$7*('ПЛАН ЧЕРН ПОДЗЕМ'!N47*СПРАВОЧНИК!$H$7+'ПЛАН ЧЕРН ПОДЗЕМ'!O47*СПРАВОЧНИК!$I$7+'ПЛАН ЧЕРН ПОДЗЕМ'!P47*СПРАВОЧНИК!$J$7)+СПРАВОЧНИК!$E$8*('ПЛАН ЧЕРН ПОДЗЕМ'!Q47*СПРАВОЧНИК!$H$8+'ПЛАН ЧЕРН ПОДЗЕМ'!R47*СПРАВОЧНИК!$I$8+'ПЛАН ЧЕРН ПОДЗЕМ'!S47*СПРАВОЧНИК!$J$8)+СПРАВОЧНИК!$F$3*('ПЛАН ЧИСТ ПОДЗЕМ'!B47*СПРАВОЧНИК!$L$3+'ПЛАН ЧИСТ ПОДЗЕМ'!C47*СПРАВОЧНИК!$M$3+'ПЛАН ЧИСТ ПОДЗЕМ'!D47*СПРАВОЧНИК!$N$3)+СПРАВОЧНИК!$F$4*('ПЛАН ЧИСТ ПОДЗЕМ'!E47*СПРАВОЧНИК!$L$4+'ПЛАН ЧИСТ ПОДЗЕМ'!F47*СПРАВОЧНИК!$M$4+'ПЛАН ЧИСТ ПОДЗЕМ'!G47*СПРАВОЧНИК!$N$4)+СПРАВОЧНИК!$F$5*('ПЛАН ЧИСТ ПОДЗЕМ'!H47*СПРАВОЧНИК!$L$5+'ПЛАН ЧИСТ ПОДЗЕМ'!I47*СПРАВОЧНИК!$M$5+'ПЛАН ЧИСТ ПОДЗЕМ'!J47*СПРАВОЧНИК!$N$5)+СПРАВОЧНИК!$F$6*('ПЛАН ЧИСТ ПОДЗЕМ'!K47*СПРАВОЧНИК!$L$6+'ПЛАН ЧИСТ ПОДЗЕМ'!L47*СПРАВОЧНИК!$M$6+'ПЛАН ЧИСТ ПОДЗЕМ'!M47*СПРАВОЧНИК!$N$6)+СПРАВОЧНИК!$F$7*('ПЛАН ЧИСТ ПОДЗЕМ'!N47*СПРАВОЧНИК!$L$7+'ПЛАН ЧИСТ ПОДЗЕМ'!O47*СПРАВОЧНИК!$M$7+'ПЛАН ЧИСТ ПОДЗЕМ'!P47*СПРАВОЧНИК!$N$7)+СПРАВОЧНИК!$F$8*('ПЛАН ЧИСТ ПОДЗЕМ'!Q47*СПРАВОЧНИК!$L$8+'ПЛАН ЧИСТ ПОДЗЕМ'!R47*СПРАВОЧНИК!$M$8+'ПЛАН ЧИСТ ПОДЗЕМ'!S47*СПРАВОЧНИК!$N$8)</f>
        <v>0</v>
      </c>
      <c r="E56" s="40">
        <f>СПРАВОЧНИК!$E$3*(('ФАКТ ЧЕРН ПОДЗЕМ'!B47)*СПРАВОЧНИК!$H$3+('ФАКТ ЧЕРН ПОДЗЕМ'!C47)*СПРАВОЧНИК!$I$3+('ФАКТ ЧЕРН ПОДЗЕМ'!D47)*СПРАВОЧНИК!$J$3)+СПРАВОЧНИК!$E$4*(('ФАКТ ЧЕРН ПОДЗЕМ'!E47)*СПРАВОЧНИК!$H$4+('ФАКТ ЧЕРН ПОДЗЕМ'!F47)*СПРАВОЧНИК!$I$4+('ФАКТ ЧЕРН ПОДЗЕМ'!G47)*СПРАВОЧНИК!$J$4)+СПРАВОЧНИК!$E$5*(('ФАКТ ЧЕРН ПОДЗЕМ'!H47)*СПРАВОЧНИК!$H$5+('ФАКТ ЧЕРН ПОДЗЕМ'!I47)*СПРАВОЧНИК!$I$5+('ФАКТ ЧЕРН ПОДЗЕМ'!J47)*СПРАВОЧНИК!$J$5)+СПРАВОЧНИК!$E$6*(('ФАКТ ЧЕРН ПОДЗЕМ'!K47)*СПРАВОЧНИК!$H$6+('ФАКТ ЧЕРН ПОДЗЕМ'!L47)*СПРАВОЧНИК!$I$6+('ФАКТ ЧЕРН ПОДЗЕМ'!M47)*СПРАВОЧНИК!$J$6)+СПРАВОЧНИК!$E$7*(('ФАКТ ЧЕРН ПОДЗЕМ'!N47)*СПРАВОЧНИК!$H$7+('ФАКТ ЧЕРН ПОДЗЕМ'!O47)*СПРАВОЧНИК!$I$7+('ФАКТ ЧЕРН ПОДЗЕМ'!P47)*СПРАВОЧНИК!$J$7)+СПРАВОЧНИК!$E$8*(('ФАКТ ЧЕРН ПОДЗЕМ'!Q47)*СПРАВОЧНИК!$H$8+('ФАКТ ЧЕРН ПОДЗЕМ'!R47)*СПРАВОЧНИК!$I$8+('ФАКТ ЧЕРН ПОДЗЕМ'!S47)*СПРАВОЧНИК!$J$8)+СПРАВОЧНИК!$F$3*(('ФАКТ ЧИСТ ПОДЗЕМ'!B47)*СПРАВОЧНИК!$L$3+('ФАКТ ЧИСТ ПОДЗЕМ'!C47)*СПРАВОЧНИК!$M$3+('ФАКТ ЧИСТ ПОДЗЕМ'!D47)*СПРАВОЧНИК!$N$3)+СПРАВОЧНИК!$F$4*(('ФАКТ ЧИСТ ПОДЗЕМ'!E47)*СПРАВОЧНИК!$L$4+('ФАКТ ЧИСТ ПОДЗЕМ'!F47)*СПРАВОЧНИК!$M$4+('ФАКТ ЧИСТ ПОДЗЕМ'!G47)*СПРАВОЧНИК!$N$4)+СПРАВОЧНИК!$F$5*(('ФАКТ ЧИСТ ПОДЗЕМ'!H47)*СПРАВОЧНИК!$L$5+('ФАКТ ЧИСТ ПОДЗЕМ'!I47)*СПРАВОЧНИК!$M$5+('ФАКТ ЧИСТ ПОДЗЕМ'!J47)*СПРАВОЧНИК!$N$5)+СПРАВОЧНИК!$F$6*(('ФАКТ ЧИСТ ПОДЗЕМ'!K47)*СПРАВОЧНИК!$L$6+('ФАКТ ЧИСТ ПОДЗЕМ'!L47)*СПРАВОЧНИК!$M$6+('ФАКТ ЧИСТ ПОДЗЕМ'!M47)*СПРАВОЧНИК!$N$6)+СПРАВОЧНИК!$F$7*(('ФАКТ ЧИСТ ПОДЗЕМ'!N47)*СПРАВОЧНИК!$L$7+('ФАКТ ЧИСТ ПОДЗЕМ'!O47)*СПРАВОЧНИК!$M$7+('ФАКТ ЧИСТ ПОДЗЕМ'!P47)*СПРАВОЧНИК!$N$7)+СПРАВОЧНИК!$F$8*(('ФАКТ ЧИСТ ПОДЗЕМ'!Q47)*СПРАВОЧНИК!$L$8+('ФАКТ ЧИСТ ПОДЗЕМ'!R47)*СПРАВОЧНИК!$M$8+('ФАКТ ЧИСТ ПОДЗЕМ'!S47)*СПРАВОЧНИК!$N$8)</f>
        <v>0</v>
      </c>
      <c r="I56" s="18">
        <f t="shared" si="13"/>
        <v>46468</v>
      </c>
      <c r="J56" s="37">
        <f>'ПЛАН ЧЕРН ПОДЗЕМ'!B47*СПРАВОЧНИК!$H$3+'ПЛАН ЧЕРН ПОДЗЕМ'!C47*СПРАВОЧНИК!$I$3+'ПЛАН ЧЕРН ПОДЗЕМ'!D47*СПРАВОЧНИК!$J$3+'ПЛАН ЧЕРН ПОДЗЕМ'!E47*СПРАВОЧНИК!$H$4+'ПЛАН ЧЕРН ПОДЗЕМ'!F47*СПРАВОЧНИК!$I$4+'ПЛАН ЧЕРН ПОДЗЕМ'!G47*СПРАВОЧНИК!$J$4+'ПЛАН ЧЕРН ПОДЗЕМ'!H47*СПРАВОЧНИК!$H$5+'ПЛАН ЧЕРН ПОДЗЕМ'!I47*СПРАВОЧНИК!$I$5+'ПЛАН ЧЕРН ПОДЗЕМ'!J47*СПРАВОЧНИК!$J$5+'ПЛАН ЧЕРН ПОДЗЕМ'!K47*СПРАВОЧНИК!$H$6+'ПЛАН ЧЕРН ПОДЗЕМ'!L47*СПРАВОЧНИК!$I$6+'ПЛАН ЧЕРН ПОДЗЕМ'!M47*СПРАВОЧНИК!$J$6+'ПЛАН ЧЕРН ПОДЗЕМ'!N47*СПРАВОЧНИК!$H$7+'ПЛАН ЧЕРН ПОДЗЕМ'!O47*СПРАВОЧНИК!$I$7+'ПЛАН ЧЕРН ПОДЗЕМ'!P47*СПРАВОЧНИК!$J$7+'ПЛАН ЧЕРН ПОДЗЕМ'!Q47*СПРАВОЧНИК!$H$8+'ПЛАН ЧЕРН ПОДЗЕМ'!R47*СПРАВОЧНИК!$I$8+'ПЛАН ЧЕРН ПОДЗЕМ'!S47*СПРАВОЧНИК!$J$8</f>
        <v>0</v>
      </c>
      <c r="K56" s="40">
        <f>('ФАКТ ЧЕРН ПОДЗЕМ'!B47)*СПРАВОЧНИК!$H$3+('ФАКТ ЧЕРН ПОДЗЕМ'!C47)*СПРАВОЧНИК!$I$3+('ФАКТ ЧЕРН ПОДЗЕМ'!D47)*СПРАВОЧНИК!$J$3+('ФАКТ ЧЕРН ПОДЗЕМ'!E47)*СПРАВОЧНИК!$H$4+('ФАКТ ЧЕРН ПОДЗЕМ'!F47)*СПРАВОЧНИК!$I$4+('ФАКТ ЧЕРН ПОДЗЕМ'!G47)*СПРАВОЧНИК!$J$4+('ФАКТ ЧЕРН ПОДЗЕМ'!H47)*СПРАВОЧНИК!$H$5+('ФАКТ ЧЕРН ПОДЗЕМ'!I47)*СПРАВОЧНИК!$I$5+('ФАКТ ЧЕРН ПОДЗЕМ'!J47)*СПРАВОЧНИК!$J$5+('ФАКТ ЧЕРН ПОДЗЕМ'!K47)*СПРАВОЧНИК!$H$6+('ФАКТ ЧЕРН ПОДЗЕМ'!L47)*СПРАВОЧНИК!$I$6+('ФАКТ ЧЕРН ПОДЗЕМ'!M47)*СПРАВОЧНИК!$J$6+('ФАКТ ЧЕРН ПОДЗЕМ'!N47)*СПРАВОЧНИК!$H$7+('ФАКТ ЧЕРН ПОДЗЕМ'!O47)*СПРАВОЧНИК!$I$7+('ФАКТ ЧЕРН ПОДЗЕМ'!P47)*СПРАВОЧНИК!$J$7+('ФАКТ ЧЕРН ПОДЗЕМ'!Q47)*СПРАВОЧНИК!$H$8+('ФАКТ ЧЕРН ПОДЗЕМ'!R47)*СПРАВОЧНИК!$I$8+('ФАКТ ЧЕРН ПОДЗЕМ'!S47)*СПРАВОЧНИК!$J$8</f>
        <v>0</v>
      </c>
      <c r="O56" s="18">
        <f t="shared" si="14"/>
        <v>46468</v>
      </c>
      <c r="P56" s="37">
        <f>'ПЛАН ЧИСТ ПОДЗЕМ'!B47*СПРАВОЧНИК!$L$3+'ПЛАН ЧИСТ ПОДЗЕМ'!C47*СПРАВОЧНИК!$M$3+'ПЛАН ЧИСТ ПОДЗЕМ'!D47*СПРАВОЧНИК!$N$3+'ПЛАН ЧИСТ ПОДЗЕМ'!E47*СПРАВОЧНИК!$L$4+'ПЛАН ЧИСТ ПОДЗЕМ'!F47*СПРАВОЧНИК!$M$4+'ПЛАН ЧИСТ ПОДЗЕМ'!G47*СПРАВОЧНИК!$N$4+'ПЛАН ЧИСТ ПОДЗЕМ'!H47*СПРАВОЧНИК!$L$5+'ПЛАН ЧИСТ ПОДЗЕМ'!I47*СПРАВОЧНИК!$M$5+'ПЛАН ЧИСТ ПОДЗЕМ'!J47*СПРАВОЧНИК!$N$5+'ПЛАН ЧИСТ ПОДЗЕМ'!K47*СПРАВОЧНИК!$L$6+'ПЛАН ЧИСТ ПОДЗЕМ'!L47*СПРАВОЧНИК!$M$6+'ПЛАН ЧИСТ ПОДЗЕМ'!M47*СПРАВОЧНИК!$N$6+'ПЛАН ЧИСТ ПОДЗЕМ'!N47*СПРАВОЧНИК!$L$7+'ПЛАН ЧИСТ ПОДЗЕМ'!O47*СПРАВОЧНИК!$M$7+'ПЛАН ЧИСТ ПОДЗЕМ'!P47*СПРАВОЧНИК!$N$7+'ПЛАН ЧИСТ ПОДЗЕМ'!Q47*СПРАВОЧНИК!$L$8+'ПЛАН ЧИСТ ПОДЗЕМ'!R47*СПРАВОЧНИК!$M$8+'ПЛАН ЧИСТ ПОДЗЕМ'!S47*СПРАВОЧНИК!$N$8</f>
        <v>0</v>
      </c>
      <c r="Q56" s="40">
        <f>('ФАКТ ЧИСТ ПОДЗЕМ'!B47)*СПРАВОЧНИК!$L$3+('ФАКТ ЧИСТ ПОДЗЕМ'!C47)*СПРАВОЧНИК!$M$3+('ФАКТ ЧИСТ ПОДЗЕМ'!D47)*СПРАВОЧНИК!$N$3+('ФАКТ ЧИСТ ПОДЗЕМ'!E47)*СПРАВОЧНИК!$L$4+('ФАКТ ЧИСТ ПОДЗЕМ'!F47)*СПРАВОЧНИК!$M$4+('ФАКТ ЧИСТ ПОДЗЕМ'!G47)*СПРАВОЧНИК!$N$4+('ФАКТ ЧИСТ ПОДЗЕМ'!H47)*СПРАВОЧНИК!$L$5+('ФАКТ ЧИСТ ПОДЗЕМ'!I47)*СПРАВОЧНИК!$M$5+('ФАКТ ЧИСТ ПОДЗЕМ'!J47)*СПРАВОЧНИК!$N$5+('ФАКТ ЧИСТ ПОДЗЕМ'!K47)*СПРАВОЧНИК!$L$6+('ФАКТ ЧИСТ ПОДЗЕМ'!L47)*СПРАВОЧНИК!$M$6+('ФАКТ ЧИСТ ПОДЗЕМ'!M47)*СПРАВОЧНИК!$N$6+('ФАКТ ЧИСТ ПОДЗЕМ'!N47)*СПРАВОЧНИК!$L$7+('ФАКТ ЧИСТ ПОДЗЕМ'!O47)*СПРАВОЧНИК!$M$7+('ФАКТ ЧИСТ ПОДЗЕМ'!P47)*СПРАВОЧНИК!$N$7+('ФАКТ ЧИСТ ПОДЗЕМ'!Q47)*СПРАВОЧНИК!$L$8+('ФАКТ ЧИСТ ПОДЗЕМ'!R47)*СПРАВОЧНИК!$M$8+('ФАКТ ЧИСТ ПОДЗЕМ'!S47)*СПРАВОЧНИК!$N$8</f>
        <v>0</v>
      </c>
      <c r="U56" s="18">
        <f t="shared" si="15"/>
        <v>46468</v>
      </c>
      <c r="V56" s="37">
        <f>СПРАВОЧНИК!$E$9*('ПЛАН ЧЕРН К1'!B47*СПРАВОЧНИК!$H$9+'ПЛАН ЧЕРН К1'!C47*СПРАВОЧНИК!$I$9+'ПЛАН ЧЕРН К1'!D47*СПРАВОЧНИК!$J$9)+СПРАВОЧНИК!$E$10*('ПЛАН ЧЕРН К1'!E47*СПРАВОЧНИК!$H$10+'ПЛАН ЧЕРН К1'!F47*СПРАВОЧНИК!$I$10+'ПЛАН ЧЕРН К1'!G47*СПРАВОЧНИК!$J$10)+СПРАВОЧНИК!$E$11*('ПЛАН ЧЕРН К1'!H47*СПРАВОЧНИК!$H$11+'ПЛАН ЧЕРН К1'!I47*СПРАВОЧНИК!$I$11+'ПЛАН ЧЕРН К1'!J47*СПРАВОЧНИК!$J$11)+СПРАВОЧНИК!$E$12*('ПЛАН ЧЕРН К1'!K47*СПРАВОЧНИК!$H$12+'ПЛАН ЧЕРН К1'!L47*СПРАВОЧНИК!$I$12+'ПЛАН ЧЕРН К1'!M47*СПРАВОЧНИК!$J$12)+СПРАВОЧНИК!$E$13*('ПЛАН ЧЕРН К1'!N47*СПРАВОЧНИК!$H$13+'ПЛАН ЧЕРН К1'!O47*СПРАВОЧНИК!$I$13+'ПЛАН ЧЕРН К1'!P47*СПРАВОЧНИК!$J$13)+СПРАВОЧНИК!$E$14*('ПЛАН ЧЕРН К1'!Q47*СПРАВОЧНИК!$H$14+'ПЛАН ЧЕРН К1'!R47*СПРАВОЧНИК!$I$14+'ПЛАН ЧЕРН К1'!S47*СПРАВОЧНИК!$J$14)+СПРАВОЧНИК!$E$15*('ПЛАН ЧЕРН К1'!T47*СПРАВОЧНИК!$H$15+'ПЛАН ЧЕРН К1'!U47*СПРАВОЧНИК!$I$15+'ПЛАН ЧЕРН К1'!V47*СПРАВОЧНИК!$J$15)+СПРАВОЧНИК!$F$9*('ПЛАН ЧИСТ К1'!B47*СПРАВОЧНИК!$L$9+'ПЛАН ЧИСТ К1'!C47*СПРАВОЧНИК!$M$9+'ПЛАН ЧИСТ К1'!D47*СПРАВОЧНИК!$N$9+'ПЛАН ЧИСТ К1'!E47*СПРАВОЧНИК!$O$9)+СПРАВОЧНИК!$F$10*('ПЛАН ЧИСТ К1'!F47*СПРАВОЧНИК!$L$10+'ПЛАН ЧИСТ К1'!G47*СПРАВОЧНИК!$M$10+'ПЛАН ЧИСТ К1'!H47*СПРАВОЧНИК!$N$10)+СПРАВОЧНИК!$F$11*('ПЛАН ЧИСТ К1'!I47*СПРАВОЧНИК!$L$11+'ПЛАН ЧИСТ К1'!J47*СПРАВОЧНИК!$M$11+'ПЛАН ЧИСТ К1'!K47*СПРАВОЧНИК!$N$11)+СПРАВОЧНИК!$F$12*('ПЛАН ЧИСТ К1'!L47*СПРАВОЧНИК!$L$12+'ПЛАН ЧИСТ К1'!M47*СПРАВОЧНИК!$M$12+'ПЛАН ЧИСТ К1'!N47*СПРАВОЧНИК!$N$12)+СПРАВОЧНИК!$F$13*('ПЛАН ЧИСТ К1'!O47*СПРАВОЧНИК!$L$13+'ПЛАН ЧИСТ К1'!P47*СПРАВОЧНИК!$M$13+'ПЛАН ЧИСТ К1'!Q47*СПРАВОЧНИК!$N$13)+СПРАВОЧНИК!$F$14*('ПЛАН ЧИСТ К1'!R47*СПРАВОЧНИК!$L$14+'ПЛАН ЧИСТ К1'!S47*СПРАВОЧНИК!$M$14+'ПЛАН ЧИСТ К1'!T47*СПРАВОЧНИК!$N$14)+СПРАВОЧНИК!$F$15*('ПЛАН ЧИСТ К1'!U47*СПРАВОЧНИК!$L$15+'ПЛАН ЧИСТ К1'!V47*СПРАВОЧНИК!$M$15+'ПЛАН ЧИСТ К1'!W47*СПРАВОЧНИК!$N$15)</f>
        <v>0</v>
      </c>
      <c r="W56" s="40">
        <f>СПРАВОЧНИК!$E$9*(('ФАКТ ЧЕРН К1'!B47)*СПРАВОЧНИК!$H$9+('ФАКТ ЧЕРН К1'!C47)*СПРАВОЧНИК!$I$9+('ФАКТ ЧЕРН К1'!D47)*СПРАВОЧНИК!$J$9)+СПРАВОЧНИК!$E$10*(('ФАКТ ЧЕРН К1'!E47)*СПРАВОЧНИК!$H$10+('ФАКТ ЧЕРН К1'!F47)*СПРАВОЧНИК!$I$10+('ФАКТ ЧЕРН К1'!G47)*СПРАВОЧНИК!$J$10)+СПРАВОЧНИК!$E$11*(('ФАКТ ЧЕРН К1'!H47)*СПРАВОЧНИК!$H$11+('ФАКТ ЧЕРН К1'!I47)*СПРАВОЧНИК!$I$11+('ФАКТ ЧЕРН К1'!J47)*СПРАВОЧНИК!$J$11)+СПРАВОЧНИК!$E$12*(('ФАКТ ЧЕРН К1'!K47)*СПРАВОЧНИК!$H$12+('ФАКТ ЧЕРН К1'!L47)*СПРАВОЧНИК!$I$12+('ФАКТ ЧЕРН К1'!M47)*СПРАВОЧНИК!$J$12)+СПРАВОЧНИК!$E$13*(('ФАКТ ЧЕРН К1'!N47)*СПРАВОЧНИК!$H$13+('ФАКТ ЧЕРН К1'!O47)*СПРАВОЧНИК!$I$13+('ФАКТ ЧЕРН К1'!P47)*СПРАВОЧНИК!$J$13)+СПРАВОЧНИК!$E$14*(('ФАКТ ЧЕРН К1'!Q47)*СПРАВОЧНИК!$H$14+('ФАКТ ЧЕРН К1'!R47)*СПРАВОЧНИК!$I$14+('ФАКТ ЧЕРН К1'!S47)*СПРАВОЧНИК!$J$14)+СПРАВОЧНИК!$E$15*(('ФАКТ ЧЕРН К1'!T47)*СПРАВОЧНИК!$H$15+('ФАКТ ЧЕРН К1'!U47)*СПРАВОЧНИК!$I$15+('ФАКТ ЧЕРН К1'!V47)*СПРАВОЧНИК!$J$15)+СПРАВОЧНИК!$F$9*(('ФАКТ ЧИСТ К1'!B47)*СПРАВОЧНИК!$L$9+('ФАКТ ЧИСТ К1'!C47)*СПРАВОЧНИК!$M$9+('ФАКТ ЧИСТ К1'!D47)*СПРАВОЧНИК!$N$9+('ФАКТ ЧИСТ К1'!E47)*СПРАВОЧНИК!$O$9)+СПРАВОЧНИК!$F$10*(('ФАКТ ЧИСТ К1'!F47)*СПРАВОЧНИК!$L$10+('ФАКТ ЧИСТ К1'!G47)*СПРАВОЧНИК!$M$10+('ФАКТ ЧИСТ К1'!H47)*СПРАВОЧНИК!$N$10)+СПРАВОЧНИК!$F$11*(('ФАКТ ЧИСТ К1'!I47)*СПРАВОЧНИК!$L$11+('ФАКТ ЧИСТ К1'!J47)*СПРАВОЧНИК!$M$11+('ФАКТ ЧИСТ К1'!K47)*СПРАВОЧНИК!$N$11)+СПРАВОЧНИК!$F$12*(('ФАКТ ЧИСТ К1'!L47)*СПРАВОЧНИК!$L$12+('ФАКТ ЧИСТ К1'!M47)*СПРАВОЧНИК!$M$12+('ФАКТ ЧИСТ К1'!N47)*СПРАВОЧНИК!$N$12)+СПРАВОЧНИК!$F$13*(('ФАКТ ЧИСТ К1'!O47)*СПРАВОЧНИК!$L$13+('ФАКТ ЧИСТ К1'!P47)*СПРАВОЧНИК!$M$13+('ФАКТ ЧИСТ К1'!Q47)*СПРАВОЧНИК!$N$13)+СПРАВОЧНИК!$F$14*(('ФАКТ ЧИСТ К1'!R47)*СПРАВОЧНИК!$L$14+('ФАКТ ЧИСТ К1'!S47)*СПРАВОЧНИК!$M$14+('ФАКТ ЧИСТ К1'!T47)*СПРАВОЧНИК!$N$14)+СПРАВОЧНИК!$F$15*(('ФАКТ ЧИСТ К1'!U47)*СПРАВОЧНИК!$L$15+('ФАКТ ЧИСТ К1'!V47)*СПРАВОЧНИК!$M$15+('ФАКТ ЧИСТ К1'!W47)*СПРАВОЧНИК!$N$15)</f>
        <v>0</v>
      </c>
      <c r="AA56" s="18">
        <f t="shared" si="16"/>
        <v>46468</v>
      </c>
      <c r="AB56" s="37">
        <f>'ПЛАН ЧЕРН К1'!B47*СПРАВОЧНИК!$H$9+'ПЛАН ЧЕРН К1'!C47*СПРАВОЧНИК!$I$9+'ПЛАН ЧЕРН К1'!D47*СПРАВОЧНИК!$J$9+'ПЛАН ЧЕРН К1'!E47*СПРАВОЧНИК!$H$10+'ПЛАН ЧЕРН К1'!F47*СПРАВОЧНИК!$I$10+'ПЛАН ЧЕРН К1'!G47*СПРАВОЧНИК!$J$10+'ПЛАН ЧЕРН К1'!H47*СПРАВОЧНИК!$H$11+'ПЛАН ЧЕРН К1'!I47*СПРАВОЧНИК!$I$11+'ПЛАН ЧЕРН К1'!J47*СПРАВОЧНИК!$J$11+'ПЛАН ЧЕРН К1'!K47*СПРАВОЧНИК!$H$12+'ПЛАН ЧЕРН К1'!L47*СПРАВОЧНИК!$I$12+'ПЛАН ЧЕРН К1'!M47*СПРАВОЧНИК!$J$12+'ПЛАН ЧЕРН К1'!N47*СПРАВОЧНИК!$H$13+'ПЛАН ЧЕРН К1'!O47*СПРАВОЧНИК!$I$13+'ПЛАН ЧЕРН К1'!P47*СПРАВОЧНИК!$J$13+'ПЛАН ЧЕРН К1'!Q47*СПРАВОЧНИК!$H$14+'ПЛАН ЧЕРН К1'!R47*СПРАВОЧНИК!$I$14+'ПЛАН ЧЕРН К1'!S47*СПРАВОЧНИК!$J$14+'ПЛАН ЧЕРН К1'!T47*СПРАВОЧНИК!$H$15+'ПЛАН ЧЕРН К1'!U47*СПРАВОЧНИК!$I$15+'ПЛАН ЧЕРН К1'!V47*СПРАВОЧНИК!$J$15</f>
        <v>0</v>
      </c>
      <c r="AC56" s="40">
        <f>('ФАКТ ЧЕРН К1'!B47)*СПРАВОЧНИК!$H$9+('ФАКТ ЧЕРН К1'!C47)*СПРАВОЧНИК!$I$9+('ФАКТ ЧЕРН К1'!D47)*СПРАВОЧНИК!$J$9+('ФАКТ ЧЕРН К1'!E47)*СПРАВОЧНИК!$H$10+('ФАКТ ЧЕРН К1'!F47)*СПРАВОЧНИК!$I$10+('ФАКТ ЧЕРН К1'!G47)*СПРАВОЧНИК!$J$10+('ФАКТ ЧЕРН К1'!H47)*СПРАВОЧНИК!$H$11+('ФАКТ ЧЕРН К1'!I47)*СПРАВОЧНИК!$I$11+('ФАКТ ЧЕРН К1'!J47)*СПРАВОЧНИК!$J$11+('ФАКТ ЧЕРН К1'!K47)*СПРАВОЧНИК!$H$12+('ФАКТ ЧЕРН К1'!L47)*СПРАВОЧНИК!$I$12+('ФАКТ ЧЕРН К1'!M47)*СПРАВОЧНИК!$J$12+('ФАКТ ЧЕРН К1'!N47)*СПРАВОЧНИК!$H$13+('ФАКТ ЧЕРН К1'!O47)*СПРАВОЧНИК!$I$13+('ФАКТ ЧЕРН К1'!P47)*СПРАВОЧНИК!$J$13+('ФАКТ ЧЕРН К1'!Q47)*СПРАВОЧНИК!$H$14+('ФАКТ ЧЕРН К1'!R47)*СПРАВОЧНИК!$I$14+('ФАКТ ЧЕРН К1'!S47)*СПРАВОЧНИК!$J$14+('ФАКТ ЧЕРН К1'!T47)*СПРАВОЧНИК!$H$15+('ФАКТ ЧЕРН К1'!U47)*СПРАВОЧНИК!$I$15+('ФАКТ ЧЕРН К1'!V47)*СПРАВОЧНИК!$J$15</f>
        <v>0</v>
      </c>
      <c r="AG56" s="18">
        <f t="shared" si="17"/>
        <v>46468</v>
      </c>
      <c r="AH56" s="37">
        <f>'ПЛАН ЧИСТ К1'!B47*СПРАВОЧНИК!$L$9+'ПЛАН ЧИСТ К1'!C47*СПРАВОЧНИК!$M$9+'ПЛАН ЧИСТ К1'!D47*СПРАВОЧНИК!$N$9+'ПЛАН ЧИСТ К1'!E47*СПРАВОЧНИК!$O$9+'ПЛАН ЧИСТ К1'!F47*СПРАВОЧНИК!$L$10+'ПЛАН ЧИСТ К1'!G47*СПРАВОЧНИК!$M$10+'ПЛАН ЧИСТ К1'!H47*СПРАВОЧНИК!$N$10+'ПЛАН ЧИСТ К1'!I47*СПРАВОЧНИК!$L$11+'ПЛАН ЧИСТ К1'!J47*СПРАВОЧНИК!$M$11+'ПЛАН ЧИСТ К1'!K47*СПРАВОЧНИК!$N$11+'ПЛАН ЧИСТ К1'!L47*СПРАВОЧНИК!$L$12+'ПЛАН ЧИСТ К1'!M47*СПРАВОЧНИК!$M$12+'ПЛАН ЧИСТ К1'!N47*СПРАВОЧНИК!$N$12+'ПЛАН ЧИСТ К1'!O47*СПРАВОЧНИК!$L$13+'ПЛАН ЧИСТ К1'!P47*СПРАВОЧНИК!$M$13+'ПЛАН ЧИСТ К1'!Q47*СПРАВОЧНИК!$N$13+'ПЛАН ЧИСТ К1'!R47*СПРАВОЧНИК!$L$14+'ПЛАН ЧИСТ К1'!S47*СПРАВОЧНИК!$M$14+'ПЛАН ЧИСТ К1'!T47*СПРАВОЧНИК!$N$14+'ПЛАН ЧИСТ К1'!U47*СПРАВОЧНИК!$L$15+'ПЛАН ЧИСТ К1'!V47*СПРАВОЧНИК!$M$15+'ПЛАН ЧИСТ К1'!W47*СПРАВОЧНИК!$N$15</f>
        <v>0</v>
      </c>
      <c r="AI56" s="40">
        <f>('ФАКТ ЧИСТ К1'!B47)*СПРАВОЧНИК!$L$9+('ФАКТ ЧИСТ К1'!C47)*СПРАВОЧНИК!$M$9+('ФАКТ ЧИСТ К1'!D47)*СПРАВОЧНИК!$N$9+('ФАКТ ЧИСТ К1'!E47)*СПРАВОЧНИК!$O$9+('ФАКТ ЧИСТ К1'!F47)*СПРАВОЧНИК!$L$10+('ФАКТ ЧИСТ К1'!G47)*СПРАВОЧНИК!$M$10+('ФАКТ ЧИСТ К1'!H47)*СПРАВОЧНИК!$N$10+('ФАКТ ЧИСТ К1'!I47)*СПРАВОЧНИК!$L$11+('ФАКТ ЧИСТ К1'!J47)*СПРАВОЧНИК!$M$11+('ФАКТ ЧИСТ К1'!K47)*СПРАВОЧНИК!$N$11+('ФАКТ ЧИСТ К1'!L47)*СПРАВОЧНИК!$L$12+('ФАКТ ЧИСТ К1'!M47)*СПРАВОЧНИК!$M$12+('ФАКТ ЧИСТ К1'!N47)*СПРАВОЧНИК!$N$12+('ФАКТ ЧИСТ К1'!O47)*СПРАВОЧНИК!$L$13+('ФАКТ ЧИСТ К1'!P47)*СПРАВОЧНИК!$M$13+('ФАКТ ЧИСТ К1'!Q47)*СПРАВОЧНИК!$N$13+('ФАКТ ЧИСТ К1'!R47)*СПРАВОЧНИК!$L$14+('ФАКТ ЧИСТ К1'!S47)*СПРАВОЧНИК!$M$14+('ФАКТ ЧИСТ К1'!T47)*СПРАВОЧНИК!$N$14+('ФАКТ ЧИСТ К1'!U47)*СПРАВОЧНИК!$L$15+('ФАКТ ЧИСТ К1'!V47)*СПРАВОЧНИК!$M$15+('ФАКТ ЧИСТ К1'!W47)*СПРАВОЧНИК!$N$15</f>
        <v>0</v>
      </c>
      <c r="AM56" s="18">
        <f t="shared" si="18"/>
        <v>46468</v>
      </c>
      <c r="AN56" s="37">
        <f>СПРАВОЧНИК!$E$9*('ПЛАН ЧЕРН К2'!B47*СПРАВОЧНИК!$H$9+'ПЛАН ЧЕРН К2'!C47*СПРАВОЧНИК!$I$9+'ПЛАН ЧЕРН К2'!D47*СПРАВОЧНИК!$J$9)+СПРАВОЧНИК!$E$10*('ПЛАН ЧЕРН К2'!E47*СПРАВОЧНИК!$H$10+'ПЛАН ЧЕРН К2'!F47*СПРАВОЧНИК!$I$10+'ПЛАН ЧЕРН К2'!G47*СПРАВОЧНИК!$J$10)+СПРАВОЧНИК!$E$11*('ПЛАН ЧЕРН К2'!H47*СПРАВОЧНИК!$H$11+'ПЛАН ЧЕРН К2'!I47*СПРАВОЧНИК!$I$11+'ПЛАН ЧЕРН К2'!J47*СПРАВОЧНИК!$J$11)+СПРАВОЧНИК!$E$12*('ПЛАН ЧЕРН К2'!K47*СПРАВОЧНИК!$H$12+'ПЛАН ЧЕРН К2'!L47*СПРАВОЧНИК!$I$12+'ПЛАН ЧЕРН К2'!M47*СПРАВОЧНИК!$J$12)+СПРАВОЧНИК!$E$13*('ПЛАН ЧЕРН К2'!N47*СПРАВОЧНИК!$H$13+'ПЛАН ЧЕРН К2'!O47*СПРАВОЧНИК!$I$13+'ПЛАН ЧЕРН К2'!P47*СПРАВОЧНИК!$J$13)+СПРАВОЧНИК!$E$14*('ПЛАН ЧЕРН К2'!Q47*СПРАВОЧНИК!$H$14+'ПЛАН ЧЕРН К2'!R47*СПРАВОЧНИК!$I$14+'ПЛАН ЧЕРН К2'!S47*СПРАВОЧНИК!$J$14)+СПРАВОЧНИК!$E$15*('ПЛАН ЧЕРН К2'!T47*СПРАВОЧНИК!$H$15+'ПЛАН ЧЕРН К2'!U47*СПРАВОЧНИК!$I$15+'ПЛАН ЧЕРН К2'!V47*СПРАВОЧНИК!$J$15)+СПРАВОЧНИК!$F$9*('ПЛАН ЧИСТ К2'!B47*СПРАВОЧНИК!$L$9+'ПЛАН ЧИСТ К2'!C47*СПРАВОЧНИК!$M$9+'ПЛАН ЧИСТ К2'!D47*СПРАВОЧНИК!$N$9+'ПЛАН ЧИСТ К2'!E47*СПРАВОЧНИК!$O$9)+СПРАВОЧНИК!$F$10*('ПЛАН ЧИСТ К2'!F47*СПРАВОЧНИК!$L$10+'ПЛАН ЧИСТ К2'!G47*СПРАВОЧНИК!$M$10+'ПЛАН ЧИСТ К2'!H47*СПРАВОЧНИК!$N$10)+СПРАВОЧНИК!$F$11*('ПЛАН ЧИСТ К2'!I47*СПРАВОЧНИК!$L$11+'ПЛАН ЧИСТ К2'!J47*СПРАВОЧНИК!$M$11+'ПЛАН ЧИСТ К2'!K47*СПРАВОЧНИК!$N$11)+СПРАВОЧНИК!$F$12*('ПЛАН ЧИСТ К2'!L47*СПРАВОЧНИК!$L$12+'ПЛАН ЧИСТ К2'!M47*СПРАВОЧНИК!$M$12+'ПЛАН ЧИСТ К2'!N47*СПРАВОЧНИК!$N$12)+СПРАВОЧНИК!$F$13*('ПЛАН ЧИСТ К2'!O47*СПРАВОЧНИК!$L$13+'ПЛАН ЧИСТ К2'!P47*СПРАВОЧНИК!$M$13+'ПЛАН ЧИСТ К2'!Q47*СПРАВОЧНИК!$N$13)+СПРАВОЧНИК!$F$14*('ПЛАН ЧИСТ К2'!R47*СПРАВОЧНИК!$L$14+'ПЛАН ЧИСТ К2'!S47*СПРАВОЧНИК!$M$14+'ПЛАН ЧИСТ К2'!T47*СПРАВОЧНИК!$N$14)+СПРАВОЧНИК!$F$15*('ПЛАН ЧИСТ К2'!U47*СПРАВОЧНИК!$L$15+'ПЛАН ЧИСТ К2'!V47*СПРАВОЧНИК!$M$15+'ПЛАН ЧИСТ К2'!W47*СПРАВОЧНИК!$N$15)</f>
        <v>0</v>
      </c>
      <c r="AO56" s="40">
        <f>СПРАВОЧНИК!$E$9*(('ФАКТ ЧЕРН К2'!B47)*СПРАВОЧНИК!$H$9+('ФАКТ ЧЕРН К2'!C47)*СПРАВОЧНИК!$I$9+('ФАКТ ЧЕРН К2'!D47)*СПРАВОЧНИК!$J$9)+СПРАВОЧНИК!$E$10*(('ФАКТ ЧЕРН К2'!E47)*СПРАВОЧНИК!$H$10+('ФАКТ ЧЕРН К2'!F47)*СПРАВОЧНИК!$I$10+('ФАКТ ЧЕРН К2'!G47)*СПРАВОЧНИК!$J$10)+СПРАВОЧНИК!$E$11*(('ФАКТ ЧЕРН К2'!H47)*СПРАВОЧНИК!$H$11+('ФАКТ ЧЕРН К2'!I47)*СПРАВОЧНИК!$I$11+('ФАКТ ЧЕРН К2'!J47)*СПРАВОЧНИК!$J$11)+СПРАВОЧНИК!$E$12*(('ФАКТ ЧЕРН К2'!K47)*СПРАВОЧНИК!$H$12+('ФАКТ ЧЕРН К2'!L47)*СПРАВОЧНИК!$I$12+('ФАКТ ЧЕРН К2'!M47)*СПРАВОЧНИК!$J$12)+СПРАВОЧНИК!$E$13*(('ФАКТ ЧЕРН К2'!N47)*СПРАВОЧНИК!$H$13+('ФАКТ ЧЕРН К2'!O47)*СПРАВОЧНИК!$I$13+('ФАКТ ЧЕРН К2'!P47)*СПРАВОЧНИК!$J$13)+СПРАВОЧНИК!$E$14*(('ФАКТ ЧЕРН К2'!Q47)*СПРАВОЧНИК!$H$14+('ФАКТ ЧЕРН К2'!R47)*СПРАВОЧНИК!$I$14+('ФАКТ ЧЕРН К2'!S47)*СПРАВОЧНИК!$J$14)+СПРАВОЧНИК!$E$15*(('ФАКТ ЧЕРН К2'!T47)*СПРАВОЧНИК!$H$15+('ФАКТ ЧЕРН К2'!U47)*СПРАВОЧНИК!$I$15+('ФАКТ ЧЕРН К2'!V47)*СПРАВОЧНИК!$J$15)+СПРАВОЧНИК!$F$9*(('ФАКТ ЧИСТ К2'!B47)*СПРАВОЧНИК!$L$9+('ФАКТ ЧИСТ К2'!C47)*СПРАВОЧНИК!$M$9+('ФАКТ ЧИСТ К2'!D47)*СПРАВОЧНИК!$N$9+('ФАКТ ЧИСТ К2'!E47)*СПРАВОЧНИК!$O$9)+СПРАВОЧНИК!$F$10*(('ФАКТ ЧИСТ К2'!F47)*СПРАВОЧНИК!$L$10+('ФАКТ ЧИСТ К2'!G47)*СПРАВОЧНИК!$M$10+('ФАКТ ЧИСТ К2'!H47)*СПРАВОЧНИК!$N$10)+СПРАВОЧНИК!$F$11*(('ФАКТ ЧИСТ К2'!I47)*СПРАВОЧНИК!$L$11+('ФАКТ ЧИСТ К2'!J47)*СПРАВОЧНИК!$M$11+('ФАКТ ЧИСТ К2'!K47)*СПРАВОЧНИК!$N$11)+СПРАВОЧНИК!$F$12*(('ФАКТ ЧИСТ К2'!L47)*СПРАВОЧНИК!$L$12+('ФАКТ ЧИСТ К2'!M47)*СПРАВОЧНИК!$M$12+('ФАКТ ЧИСТ К2'!N47)*СПРАВОЧНИК!$N$12)+СПРАВОЧНИК!$F$13*(('ФАКТ ЧИСТ К2'!O47)*СПРАВОЧНИК!$L$13+('ФАКТ ЧИСТ К2'!P47)*СПРАВОЧНИК!$M$13+('ФАКТ ЧИСТ К2'!Q47)*СПРАВОЧНИК!$N$13)+СПРАВОЧНИК!$F$14*(('ФАКТ ЧИСТ К2'!R47)*СПРАВОЧНИК!$L$14+('ФАКТ ЧИСТ К2'!S47)*СПРАВОЧНИК!$M$14+('ФАКТ ЧИСТ К2'!T47)*СПРАВОЧНИК!$N$14)+СПРАВОЧНИК!$F$15*(('ФАКТ ЧИСТ К2'!U47)*СПРАВОЧНИК!$L$15+('ФАКТ ЧИСТ К2'!V47)*СПРАВОЧНИК!$M$15+('ФАКТ ЧИСТ К2'!W47)*СПРАВОЧНИК!$N$15)</f>
        <v>0</v>
      </c>
      <c r="AS56" s="18">
        <f t="shared" si="19"/>
        <v>46468</v>
      </c>
      <c r="AT56" s="37">
        <f>'ПЛАН ЧЕРН К2'!B47*СПРАВОЧНИК!$H$9+'ПЛАН ЧЕРН К2'!C47*СПРАВОЧНИК!$I$9+'ПЛАН ЧЕРН К2'!D47*СПРАВОЧНИК!$J$9+'ПЛАН ЧЕРН К2'!E47*СПРАВОЧНИК!$H$10+'ПЛАН ЧЕРН К2'!F47*СПРАВОЧНИК!$I$10+'ПЛАН ЧЕРН К2'!G47*СПРАВОЧНИК!$J$10+'ПЛАН ЧЕРН К2'!H47*СПРАВОЧНИК!$H$11+'ПЛАН ЧЕРН К2'!I47*СПРАВОЧНИК!$I$11+'ПЛАН ЧЕРН К2'!J47*СПРАВОЧНИК!$J$11+'ПЛАН ЧЕРН К2'!K47*СПРАВОЧНИК!$H$12+'ПЛАН ЧЕРН К2'!L47*СПРАВОЧНИК!$I$12+'ПЛАН ЧЕРН К2'!M47*СПРАВОЧНИК!$J$12+'ПЛАН ЧЕРН К2'!N47*СПРАВОЧНИК!$H$13+'ПЛАН ЧЕРН К2'!O47*СПРАВОЧНИК!$I$13+'ПЛАН ЧЕРН К2'!P47*СПРАВОЧНИК!$J$13+'ПЛАН ЧЕРН К2'!Q47*СПРАВОЧНИК!$H$14+'ПЛАН ЧЕРН К2'!R47*СПРАВОЧНИК!$I$14+'ПЛАН ЧЕРН К2'!S47*СПРАВОЧНИК!$J$14+'ПЛАН ЧЕРН К2'!T47*СПРАВОЧНИК!$H$15+'ПЛАН ЧЕРН К2'!U47*СПРАВОЧНИК!$I$15+'ПЛАН ЧЕРН К2'!V47*СПРАВОЧНИК!$J$15</f>
        <v>0</v>
      </c>
      <c r="AU56" s="40">
        <f>('ФАКТ ЧЕРН К2'!B47)*СПРАВОЧНИК!$H$9+('ФАКТ ЧЕРН К2'!C47)*СПРАВОЧНИК!$I$9+('ФАКТ ЧЕРН К2'!D47)*СПРАВОЧНИК!$J$9+('ФАКТ ЧЕРН К2'!E47)*СПРАВОЧНИК!$H$10+('ФАКТ ЧЕРН К2'!F47)*СПРАВОЧНИК!$I$10+('ФАКТ ЧЕРН К2'!G47)*СПРАВОЧНИК!$J$10+('ФАКТ ЧЕРН К2'!H47)*СПРАВОЧНИК!$H$11+('ФАКТ ЧЕРН К2'!I47)*СПРАВОЧНИК!$I$11+('ФАКТ ЧЕРН К2'!J47)*СПРАВОЧНИК!$J$11+('ФАКТ ЧЕРН К2'!K47)*СПРАВОЧНИК!$H$12+('ФАКТ ЧЕРН К2'!L47)*СПРАВОЧНИК!$I$12+('ФАКТ ЧЕРН К2'!M47)*СПРАВОЧНИК!$J$12+('ФАКТ ЧЕРН К2'!N47)*СПРАВОЧНИК!$H$13+('ФАКТ ЧЕРН К2'!O47)*СПРАВОЧНИК!$I$13+('ФАКТ ЧЕРН К2'!P47)*СПРАВОЧНИК!$J$13+('ФАКТ ЧЕРН К2'!Q47)*СПРАВОЧНИК!$H$14+('ФАКТ ЧЕРН К2'!R47)*СПРАВОЧНИК!$I$14+('ФАКТ ЧЕРН К2'!S47)*СПРАВОЧНИК!$J$14+('ФАКТ ЧЕРН К2'!T47)*СПРАВОЧНИК!$H$15+('ФАКТ ЧЕРН К2'!U47)*СПРАВОЧНИК!$I$15+('ФАКТ ЧЕРН К2'!V47)*СПРАВОЧНИК!$J$15</f>
        <v>0</v>
      </c>
      <c r="AY56" s="18">
        <f t="shared" si="20"/>
        <v>46468</v>
      </c>
      <c r="AZ56" s="37">
        <f>'ПЛАН ЧИСТ К2'!B47*СПРАВОЧНИК!$L$9+'ПЛАН ЧИСТ К2'!C47*СПРАВОЧНИК!$M$9+'ПЛАН ЧИСТ К2'!D47*СПРАВОЧНИК!$N$9+'ПЛАН ЧИСТ К2'!E47*СПРАВОЧНИК!$O$9+'ПЛАН ЧИСТ К2'!F47*СПРАВОЧНИК!$L$10+'ПЛАН ЧИСТ К2'!G47*СПРАВОЧНИК!$M$10+'ПЛАН ЧИСТ К2'!H47*СПРАВОЧНИК!$N$10+'ПЛАН ЧИСТ К2'!I47*СПРАВОЧНИК!$L$11+'ПЛАН ЧИСТ К2'!J47*СПРАВОЧНИК!$M$11+'ПЛАН ЧИСТ К2'!K47*СПРАВОЧНИК!$N$11+'ПЛАН ЧИСТ К2'!L47*СПРАВОЧНИК!$L$12+'ПЛАН ЧИСТ К2'!M47*СПРАВОЧНИК!$M$12+'ПЛАН ЧИСТ К2'!N47*СПРАВОЧНИК!$N$12+'ПЛАН ЧИСТ К2'!O47*СПРАВОЧНИК!$L$13+'ПЛАН ЧИСТ К2'!P47*СПРАВОЧНИК!$M$13+'ПЛАН ЧИСТ К2'!Q47*СПРАВОЧНИК!$N$13+'ПЛАН ЧИСТ К2'!R47*СПРАВОЧНИК!$L$14+'ПЛАН ЧИСТ К2'!S47*СПРАВОЧНИК!$M$14+'ПЛАН ЧИСТ К2'!T47*СПРАВОЧНИК!$N$14+'ПЛАН ЧИСТ К2'!U47*СПРАВОЧНИК!$L$15+'ПЛАН ЧИСТ К2'!V47*СПРАВОЧНИК!$M$15+'ПЛАН ЧИСТ К2'!W47*СПРАВОЧНИК!$N$15</f>
        <v>0</v>
      </c>
      <c r="BA56" s="40">
        <f>('ФАКТ ЧИСТ К2'!B47)*СПРАВОЧНИК!$L$9+('ФАКТ ЧИСТ К2'!C47)*СПРАВОЧНИК!$M$9+('ФАКТ ЧИСТ К2'!D47)*СПРАВОЧНИК!$N$9+('ФАКТ ЧИСТ К2'!E47)*СПРАВОЧНИК!$O$9+('ФАКТ ЧИСТ К2'!F47)*СПРАВОЧНИК!$L$10+('ФАКТ ЧИСТ К2'!G47)*СПРАВОЧНИК!$M$10+('ФАКТ ЧИСТ К2'!H47)*СПРАВОЧНИК!$N$10+('ФАКТ ЧИСТ К2'!I47)*СПРАВОЧНИК!$L$11+('ФАКТ ЧИСТ К2'!J47)*СПРАВОЧНИК!$M$11+('ФАКТ ЧИСТ К2'!K47)*СПРАВОЧНИК!$N$11+('ФАКТ ЧИСТ К2'!L47)*СПРАВОЧНИК!$L$12+('ФАКТ ЧИСТ К2'!M47)*СПРАВОЧНИК!$M$12+('ФАКТ ЧИСТ К2'!N47)*СПРАВОЧНИК!$N$12+('ФАКТ ЧИСТ К2'!O47)*СПРАВОЧНИК!$L$13+('ФАКТ ЧИСТ К2'!P47)*СПРАВОЧНИК!$M$13+('ФАКТ ЧИСТ К2'!Q47)*СПРАВОЧНИК!$N$13+('ФАКТ ЧИСТ К2'!R47)*СПРАВОЧНИК!$L$14+('ФАКТ ЧИСТ К2'!S47)*СПРАВОЧНИК!$M$14+('ФАКТ ЧИСТ К2'!T47)*СПРАВОЧНИК!$N$14+('ФАКТ ЧИСТ К2'!U47)*СПРАВОЧНИК!$L$15+('ФАКТ ЧИСТ К2'!V47)*СПРАВОЧНИК!$M$15+('ФАКТ ЧИСТ К2'!W47)*СПРАВОЧНИК!$N$15</f>
        <v>0</v>
      </c>
      <c r="BE56" s="18">
        <f t="shared" si="21"/>
        <v>46468</v>
      </c>
      <c r="BF56" s="37">
        <f>СПРАВОЧНИК!$E$9*('ПЛАН ЧЕРН К3'!B47*СПРАВОЧНИК!$H$9+'ПЛАН ЧЕРН К3'!C47*СПРАВОЧНИК!$I$9+'ПЛАН ЧЕРН К3'!D47*СПРАВОЧНИК!$J$9)+СПРАВОЧНИК!$E$10*('ПЛАН ЧЕРН К3'!E47*СПРАВОЧНИК!$H$10+'ПЛАН ЧЕРН К3'!F47*СПРАВОЧНИК!$I$10+'ПЛАН ЧЕРН К3'!G47*СПРАВОЧНИК!$J$10)+СПРАВОЧНИК!$E$11*('ПЛАН ЧЕРН К3'!H47*СПРАВОЧНИК!$H$11+'ПЛАН ЧЕРН К3'!I47*СПРАВОЧНИК!$I$11+'ПЛАН ЧЕРН К3'!J47*СПРАВОЧНИК!$J$11)+СПРАВОЧНИК!$E$12*('ПЛАН ЧЕРН К3'!K47*СПРАВОЧНИК!$H$12+'ПЛАН ЧЕРН К3'!L47*СПРАВОЧНИК!$I$12+'ПЛАН ЧЕРН К3'!M47*СПРАВОЧНИК!$J$12)+СПРАВОЧНИК!$E$13*('ПЛАН ЧЕРН К3'!N47*СПРАВОЧНИК!$H$13+'ПЛАН ЧЕРН К3'!O47*СПРАВОЧНИК!$I$13+'ПЛАН ЧЕРН К3'!P47*СПРАВОЧНИК!$J$13)+СПРАВОЧНИК!$E$14*('ПЛАН ЧЕРН К3'!Q47*СПРАВОЧНИК!$H$14+'ПЛАН ЧЕРН К3'!R47*СПРАВОЧНИК!$I$14+'ПЛАН ЧЕРН К3'!S47*СПРАВОЧНИК!$J$14)+СПРАВОЧНИК!$E$15*('ПЛАН ЧЕРН К3'!T47*СПРАВОЧНИК!$H$15+'ПЛАН ЧЕРН К3'!U47*СПРАВОЧНИК!$I$15+'ПЛАН ЧЕРН К3'!V47*СПРАВОЧНИК!$J$15)+СПРАВОЧНИК!$F$9*('ПЛАН ЧИСТ К3'!B47*СПРАВОЧНИК!$L$9+'ПЛАН ЧИСТ К3'!C47*СПРАВОЧНИК!$M$9+'ПЛАН ЧИСТ К3'!D47*СПРАВОЧНИК!$N$9+'ПЛАН ЧИСТ К3'!E47*СПРАВОЧНИК!$O$9)+СПРАВОЧНИК!$F$10*('ПЛАН ЧИСТ К3'!F47*СПРАВОЧНИК!$L$10+'ПЛАН ЧИСТ К3'!G47*СПРАВОЧНИК!$M$10+'ПЛАН ЧИСТ К3'!H47*СПРАВОЧНИК!$N$10)+СПРАВОЧНИК!$F$11*('ПЛАН ЧИСТ К3'!I47*СПРАВОЧНИК!$L$11+'ПЛАН ЧИСТ К3'!J47*СПРАВОЧНИК!$M$11+'ПЛАН ЧИСТ К3'!K47*СПРАВОЧНИК!$N$11)+СПРАВОЧНИК!$F$12*('ПЛАН ЧИСТ К3'!L47*СПРАВОЧНИК!$L$12+'ПЛАН ЧИСТ К3'!M47*СПРАВОЧНИК!$M$12+'ПЛАН ЧИСТ К3'!N47*СПРАВОЧНИК!$N$12)+СПРАВОЧНИК!$F$13*('ПЛАН ЧИСТ К3'!O47*СПРАВОЧНИК!$L$13+'ПЛАН ЧИСТ К3'!P47*СПРАВОЧНИК!$M$13+'ПЛАН ЧИСТ К3'!Q47*СПРАВОЧНИК!$N$13)+СПРАВОЧНИК!$F$14*('ПЛАН ЧИСТ К3'!R47*СПРАВОЧНИК!$L$14+'ПЛАН ЧИСТ К3'!S47*СПРАВОЧНИК!$M$14+'ПЛАН ЧИСТ К3'!T47*СПРАВОЧНИК!$N$14)+СПРАВОЧНИК!$F$15*('ПЛАН ЧИСТ К3'!U47*СПРАВОЧНИК!$L$15+'ПЛАН ЧИСТ К3'!V47*СПРАВОЧНИК!$M$15+'ПЛАН ЧИСТ К3'!W47*СПРАВОЧНИК!$N$15)</f>
        <v>0</v>
      </c>
      <c r="BG56" s="40">
        <f>СПРАВОЧНИК!$E$9*(('ФАКТ ЧЕРН К3'!B47)*СПРАВОЧНИК!$H$9+('ФАКТ ЧЕРН К3'!C47)*СПРАВОЧНИК!$I$9+('ФАКТ ЧЕРН К3'!D47)*СПРАВОЧНИК!$J$9)+СПРАВОЧНИК!$E$10*(('ФАКТ ЧЕРН К3'!E47)*СПРАВОЧНИК!$H$10+('ФАКТ ЧЕРН К3'!F47)*СПРАВОЧНИК!$I$10+('ФАКТ ЧЕРН К3'!G47)*СПРАВОЧНИК!$J$10)+СПРАВОЧНИК!$E$11*(('ФАКТ ЧЕРН К3'!H47)*СПРАВОЧНИК!$H$11+('ФАКТ ЧЕРН К3'!I47)*СПРАВОЧНИК!$I$11+('ФАКТ ЧЕРН К3'!J47)*СПРАВОЧНИК!$J$11)+СПРАВОЧНИК!$E$12*(('ФАКТ ЧЕРН К3'!K47)*СПРАВОЧНИК!$H$12+('ФАКТ ЧЕРН К3'!L47)*СПРАВОЧНИК!$I$12+('ФАКТ ЧЕРН К3'!M47)*СПРАВОЧНИК!$J$12)+СПРАВОЧНИК!$E$13*(('ФАКТ ЧЕРН К3'!N47)*СПРАВОЧНИК!$H$13+('ФАКТ ЧЕРН К3'!O47)*СПРАВОЧНИК!$I$13+('ФАКТ ЧЕРН К3'!P47)*СПРАВОЧНИК!$J$13)+СПРАВОЧНИК!$E$14*(('ФАКТ ЧЕРН К3'!Q47)*СПРАВОЧНИК!$H$14+('ФАКТ ЧЕРН К3'!R47)*СПРАВОЧНИК!$I$14+('ФАКТ ЧЕРН К3'!S47)*СПРАВОЧНИК!$J$14)+СПРАВОЧНИК!$E$15*(('ФАКТ ЧЕРН К3'!T47)*СПРАВОЧНИК!$H$15+('ФАКТ ЧЕРН К3'!U47)*СПРАВОЧНИК!$I$15+('ФАКТ ЧЕРН К3'!V47)*СПРАВОЧНИК!$J$15)+СПРАВОЧНИК!$F$9*(('ФАКТ ЧИСТ К3'!B47)*СПРАВОЧНИК!$L$9+('ФАКТ ЧИСТ К3'!C47)*СПРАВОЧНИК!$M$9+('ФАКТ ЧИСТ К3'!D47)*СПРАВОЧНИК!$N$9+('ФАКТ ЧИСТ К3'!E47)*СПРАВОЧНИК!$O$9)+СПРАВОЧНИК!$F$10*(('ФАКТ ЧИСТ К3'!F47)*СПРАВОЧНИК!$L$10+('ФАКТ ЧИСТ К3'!G47)*СПРАВОЧНИК!$M$10+('ФАКТ ЧИСТ К3'!H47)*СПРАВОЧНИК!$N$10)+СПРАВОЧНИК!$F$11*(('ФАКТ ЧИСТ К3'!I47)*СПРАВОЧНИК!$L$11+('ФАКТ ЧИСТ К3'!J47)*СПРАВОЧНИК!$M$11+('ФАКТ ЧИСТ К3'!K47)*СПРАВОЧНИК!$N$11)+СПРАВОЧНИК!$F$12*(('ФАКТ ЧИСТ К3'!L47)*СПРАВОЧНИК!$L$12+('ФАКТ ЧИСТ К3'!M47)*СПРАВОЧНИК!$M$12+('ФАКТ ЧИСТ К3'!N47)*СПРАВОЧНИК!$N$12)+СПРАВОЧНИК!$F$13*(('ФАКТ ЧИСТ К3'!O47)*СПРАВОЧНИК!$L$13+('ФАКТ ЧИСТ К3'!P47)*СПРАВОЧНИК!$M$13+('ФАКТ ЧИСТ К3'!Q47)*СПРАВОЧНИК!$N$13)+СПРАВОЧНИК!$F$14*(('ФАКТ ЧИСТ К3'!R47)*СПРАВОЧНИК!$L$14+('ФАКТ ЧИСТ К3'!S47)*СПРАВОЧНИК!$M$14+('ФАКТ ЧИСТ К3'!T47)*СПРАВОЧНИК!$N$14)+СПРАВОЧНИК!$F$15*(('ФАКТ ЧИСТ К3'!U47)*СПРАВОЧНИК!$L$15+('ФАКТ ЧИСТ К3'!V47)*СПРАВОЧНИК!$M$15+('ФАКТ ЧИСТ К3'!W47)*СПРАВОЧНИК!$N$15)</f>
        <v>0</v>
      </c>
      <c r="BK56" s="18">
        <f t="shared" si="22"/>
        <v>46468</v>
      </c>
      <c r="BL56" s="37">
        <f>'ПЛАН ЧЕРН К3'!B47*СПРАВОЧНИК!$H$9+'ПЛАН ЧЕРН К3'!C47*СПРАВОЧНИК!$I$9+'ПЛАН ЧЕРН К3'!D47*СПРАВОЧНИК!$J$9+'ПЛАН ЧЕРН К3'!E47*СПРАВОЧНИК!$H$10+'ПЛАН ЧЕРН К3'!F47*СПРАВОЧНИК!$I$10+'ПЛАН ЧЕРН К3'!G47*СПРАВОЧНИК!$J$10+'ПЛАН ЧЕРН К3'!H47*СПРАВОЧНИК!$H$11+'ПЛАН ЧЕРН К3'!I47*СПРАВОЧНИК!$I$11+'ПЛАН ЧЕРН К3'!J47*СПРАВОЧНИК!$J$11+'ПЛАН ЧЕРН К3'!K47*СПРАВОЧНИК!$H$12+'ПЛАН ЧЕРН К3'!L47*СПРАВОЧНИК!$I$12+'ПЛАН ЧЕРН К3'!M47*СПРАВОЧНИК!$J$12+'ПЛАН ЧЕРН К3'!N47*СПРАВОЧНИК!$H$13+'ПЛАН ЧЕРН К3'!O47*СПРАВОЧНИК!$I$13+'ПЛАН ЧЕРН К3'!P47*СПРАВОЧНИК!$J$13+'ПЛАН ЧЕРН К3'!Q47*СПРАВОЧНИК!$H$14+'ПЛАН ЧЕРН К3'!R47*СПРАВОЧНИК!$I$14+'ПЛАН ЧЕРН К3'!S47*СПРАВОЧНИК!$J$14+'ПЛАН ЧЕРН К3'!T47*СПРАВОЧНИК!$H$15+'ПЛАН ЧЕРН К3'!U47*СПРАВОЧНИК!$I$15+'ПЛАН ЧЕРН К3'!V47*СПРАВОЧНИК!$J$15</f>
        <v>0</v>
      </c>
      <c r="BM56" s="40">
        <f>('ФАКТ ЧЕРН К3'!B47)*СПРАВОЧНИК!$H$9+('ФАКТ ЧЕРН К3'!C47)*СПРАВОЧНИК!$I$9+('ФАКТ ЧЕРН К3'!D47)*СПРАВОЧНИК!$J$9+('ФАКТ ЧЕРН К3'!E47)*СПРАВОЧНИК!$H$10+('ФАКТ ЧЕРН К3'!F47)*СПРАВОЧНИК!$I$10+('ФАКТ ЧЕРН К3'!G47)*СПРАВОЧНИК!$J$10+('ФАКТ ЧЕРН К3'!H47)*СПРАВОЧНИК!$H$11+('ФАКТ ЧЕРН К3'!I47)*СПРАВОЧНИК!$I$11+('ФАКТ ЧЕРН К3'!J47)*СПРАВОЧНИК!$J$11+('ФАКТ ЧЕРН К3'!K47)*СПРАВОЧНИК!$H$12+('ФАКТ ЧЕРН К3'!L47)*СПРАВОЧНИК!$I$12+('ФАКТ ЧЕРН К3'!M47)*СПРАВОЧНИК!$J$12+('ФАКТ ЧЕРН К3'!N47)*СПРАВОЧНИК!$H$13+('ФАКТ ЧЕРН К3'!O47)*СПРАВОЧНИК!$I$13+('ФАКТ ЧЕРН К3'!P47)*СПРАВОЧНИК!$J$13+('ФАКТ ЧЕРН К3'!Q47)*СПРАВОЧНИК!$H$14+('ФАКТ ЧЕРН К3'!R47)*СПРАВОЧНИК!$I$14+('ФАКТ ЧЕРН К3'!S47)*СПРАВОЧНИК!$J$14+('ФАКТ ЧЕРН К3'!T47)*СПРАВОЧНИК!$H$15+('ФАКТ ЧЕРН К3'!U47)*СПРАВОЧНИК!$I$15+('ФАКТ ЧЕРН К3'!V47)*СПРАВОЧНИК!$J$15</f>
        <v>0</v>
      </c>
      <c r="BQ56" s="18">
        <f t="shared" si="23"/>
        <v>46468</v>
      </c>
      <c r="BR56" s="37">
        <f>'ПЛАН ЧИСТ К3'!B47*СПРАВОЧНИК!$L$9+'ПЛАН ЧИСТ К3'!C47*СПРАВОЧНИК!$M$9+'ПЛАН ЧИСТ К3'!D47*СПРАВОЧНИК!$N$9+'ПЛАН ЧИСТ К3'!E47*СПРАВОЧНИК!$O$9+'ПЛАН ЧИСТ К3'!F47*СПРАВОЧНИК!$L$10+'ПЛАН ЧИСТ К3'!G47*СПРАВОЧНИК!$M$10+'ПЛАН ЧИСТ К3'!H47*СПРАВОЧНИК!$N$10+'ПЛАН ЧИСТ К3'!I47*СПРАВОЧНИК!$L$11+'ПЛАН ЧИСТ К3'!J47*СПРАВОЧНИК!$M$11+'ПЛАН ЧИСТ К3'!K47*СПРАВОЧНИК!$N$11+'ПЛАН ЧИСТ К3'!L47*СПРАВОЧНИК!$L$12+'ПЛАН ЧИСТ К3'!M47*СПРАВОЧНИК!$M$12+'ПЛАН ЧИСТ К3'!N47*СПРАВОЧНИК!$N$12+'ПЛАН ЧИСТ К3'!O47*СПРАВОЧНИК!$L$13+'ПЛАН ЧИСТ К3'!P47*СПРАВОЧНИК!$M$13+'ПЛАН ЧИСТ К3'!Q47*СПРАВОЧНИК!$N$13+'ПЛАН ЧИСТ К3'!R47*СПРАВОЧНИК!$L$14+'ПЛАН ЧИСТ К3'!S47*СПРАВОЧНИК!$M$14+'ПЛАН ЧИСТ К3'!T47*СПРАВОЧНИК!$N$14+'ПЛАН ЧИСТ К3'!U47*СПРАВОЧНИК!$L$15+'ПЛАН ЧИСТ К3'!V47*СПРАВОЧНИК!$M$15+'ПЛАН ЧИСТ К3'!W47*СПРАВОЧНИК!$N$15</f>
        <v>0</v>
      </c>
      <c r="BS56" s="40">
        <f>('ФАКТ ЧИСТ К3'!B47)*СПРАВОЧНИК!$L$9+('ФАКТ ЧИСТ К3'!C47)*СПРАВОЧНИК!$M$9+('ФАКТ ЧИСТ К3'!D47)*СПРАВОЧНИК!$N$9+('ФАКТ ЧИСТ К3'!E47)*СПРАВОЧНИК!$O$9+('ФАКТ ЧИСТ К3'!F47)*СПРАВОЧНИК!$L$10+('ФАКТ ЧИСТ К3'!G47)*СПРАВОЧНИК!$M$10+('ФАКТ ЧИСТ К3'!H47)*СПРАВОЧНИК!$N$10+('ФАКТ ЧИСТ К3'!I47)*СПРАВОЧНИК!$L$11+('ФАКТ ЧИСТ К3'!J47)*СПРАВОЧНИК!$M$11+('ФАКТ ЧИСТ К3'!K47)*СПРАВОЧНИК!$N$11+('ФАКТ ЧИСТ К3'!L47)*СПРАВОЧНИК!$L$12+('ФАКТ ЧИСТ К3'!M47)*СПРАВОЧНИК!$M$12+('ФАКТ ЧИСТ К3'!N47)*СПРАВОЧНИК!$N$12+('ФАКТ ЧИСТ К3'!O47)*СПРАВОЧНИК!$L$13+('ФАКТ ЧИСТ К3'!P47)*СПРАВОЧНИК!$M$13+('ФАКТ ЧИСТ К3'!Q47)*СПРАВОЧНИК!$N$13+('ФАКТ ЧИСТ К3'!R47)*СПРАВОЧНИК!$L$14+('ФАКТ ЧИСТ К3'!S47)*СПРАВОЧНИК!$M$14+('ФАКТ ЧИСТ К3'!T47)*СПРАВОЧНИК!$N$14+('ФАКТ ЧИСТ К3'!U47)*СПРАВОЧНИК!$L$15+('ФАКТ ЧИСТ К3'!V47)*СПРАВОЧНИК!$M$15+('ФАКТ ЧИСТ К3'!W47)*СПРАВОЧНИК!$N$15</f>
        <v>0</v>
      </c>
      <c r="BW56" s="18">
        <f t="shared" si="24"/>
        <v>46468</v>
      </c>
      <c r="BX56" s="37">
        <f t="shared" si="0"/>
        <v>0</v>
      </c>
      <c r="BY56" s="40">
        <f t="shared" si="1"/>
        <v>0</v>
      </c>
      <c r="CC56" s="18">
        <f t="shared" si="25"/>
        <v>46468</v>
      </c>
      <c r="CD56" s="37">
        <f t="shared" si="2"/>
        <v>0</v>
      </c>
      <c r="CE56" s="40">
        <f t="shared" si="3"/>
        <v>0</v>
      </c>
      <c r="CI56" s="18">
        <f t="shared" si="26"/>
        <v>46468</v>
      </c>
      <c r="CJ56" s="37">
        <f t="shared" si="4"/>
        <v>0</v>
      </c>
      <c r="CK56" s="40">
        <f t="shared" si="5"/>
        <v>0</v>
      </c>
      <c r="CO56" s="18">
        <f t="shared" si="27"/>
        <v>46468</v>
      </c>
      <c r="CP56" s="37">
        <f t="shared" si="6"/>
        <v>0</v>
      </c>
      <c r="CQ56" s="40">
        <f t="shared" si="7"/>
        <v>0</v>
      </c>
      <c r="CU56" s="18">
        <f t="shared" si="28"/>
        <v>46468</v>
      </c>
      <c r="CV56" s="37">
        <f t="shared" si="8"/>
        <v>0</v>
      </c>
      <c r="CW56" s="40">
        <f t="shared" si="9"/>
        <v>0</v>
      </c>
      <c r="DA56" s="18">
        <f t="shared" si="29"/>
        <v>46468</v>
      </c>
      <c r="DB56" s="37">
        <f t="shared" si="10"/>
        <v>0</v>
      </c>
      <c r="DC56" s="40">
        <f t="shared" si="11"/>
        <v>0</v>
      </c>
    </row>
    <row r="57" spans="3:107" x14ac:dyDescent="0.25">
      <c r="C57" s="18">
        <f t="shared" si="12"/>
        <v>46475</v>
      </c>
      <c r="D57" s="37">
        <f>СПРАВОЧНИК!$E$3*('ПЛАН ЧЕРН ПОДЗЕМ'!B48*СПРАВОЧНИК!$H$3+'ПЛАН ЧЕРН ПОДЗЕМ'!C48*СПРАВОЧНИК!$I$3+'ПЛАН ЧЕРН ПОДЗЕМ'!D48*СПРАВОЧНИК!$J$3)+СПРАВОЧНИК!$E$4*('ПЛАН ЧЕРН ПОДЗЕМ'!E48*СПРАВОЧНИК!$H$4+'ПЛАН ЧЕРН ПОДЗЕМ'!F48*СПРАВОЧНИК!$I$4+'ПЛАН ЧЕРН ПОДЗЕМ'!G48*СПРАВОЧНИК!$J$4)+СПРАВОЧНИК!$E$5*('ПЛАН ЧЕРН ПОДЗЕМ'!H48*СПРАВОЧНИК!$H$5+'ПЛАН ЧЕРН ПОДЗЕМ'!I48*СПРАВОЧНИК!$I$5+'ПЛАН ЧЕРН ПОДЗЕМ'!J48*СПРАВОЧНИК!$J$5)+СПРАВОЧНИК!$E$6*('ПЛАН ЧЕРН ПОДЗЕМ'!K48*СПРАВОЧНИК!$H$6+'ПЛАН ЧЕРН ПОДЗЕМ'!L48*СПРАВОЧНИК!$I$6+'ПЛАН ЧЕРН ПОДЗЕМ'!M48*СПРАВОЧНИК!$J$6)+СПРАВОЧНИК!$E$7*('ПЛАН ЧЕРН ПОДЗЕМ'!N48*СПРАВОЧНИК!$H$7+'ПЛАН ЧЕРН ПОДЗЕМ'!O48*СПРАВОЧНИК!$I$7+'ПЛАН ЧЕРН ПОДЗЕМ'!P48*СПРАВОЧНИК!$J$7)+СПРАВОЧНИК!$E$8*('ПЛАН ЧЕРН ПОДЗЕМ'!Q48*СПРАВОЧНИК!$H$8+'ПЛАН ЧЕРН ПОДЗЕМ'!R48*СПРАВОЧНИК!$I$8+'ПЛАН ЧЕРН ПОДЗЕМ'!S48*СПРАВОЧНИК!$J$8)+СПРАВОЧНИК!$F$3*('ПЛАН ЧИСТ ПОДЗЕМ'!B48*СПРАВОЧНИК!$L$3+'ПЛАН ЧИСТ ПОДЗЕМ'!C48*СПРАВОЧНИК!$M$3+'ПЛАН ЧИСТ ПОДЗЕМ'!D48*СПРАВОЧНИК!$N$3)+СПРАВОЧНИК!$F$4*('ПЛАН ЧИСТ ПОДЗЕМ'!E48*СПРАВОЧНИК!$L$4+'ПЛАН ЧИСТ ПОДЗЕМ'!F48*СПРАВОЧНИК!$M$4+'ПЛАН ЧИСТ ПОДЗЕМ'!G48*СПРАВОЧНИК!$N$4)+СПРАВОЧНИК!$F$5*('ПЛАН ЧИСТ ПОДЗЕМ'!H48*СПРАВОЧНИК!$L$5+'ПЛАН ЧИСТ ПОДЗЕМ'!I48*СПРАВОЧНИК!$M$5+'ПЛАН ЧИСТ ПОДЗЕМ'!J48*СПРАВОЧНИК!$N$5)+СПРАВОЧНИК!$F$6*('ПЛАН ЧИСТ ПОДЗЕМ'!K48*СПРАВОЧНИК!$L$6+'ПЛАН ЧИСТ ПОДЗЕМ'!L48*СПРАВОЧНИК!$M$6+'ПЛАН ЧИСТ ПОДЗЕМ'!M48*СПРАВОЧНИК!$N$6)+СПРАВОЧНИК!$F$7*('ПЛАН ЧИСТ ПОДЗЕМ'!N48*СПРАВОЧНИК!$L$7+'ПЛАН ЧИСТ ПОДЗЕМ'!O48*СПРАВОЧНИК!$M$7+'ПЛАН ЧИСТ ПОДЗЕМ'!P48*СПРАВОЧНИК!$N$7)+СПРАВОЧНИК!$F$8*('ПЛАН ЧИСТ ПОДЗЕМ'!Q48*СПРАВОЧНИК!$L$8+'ПЛАН ЧИСТ ПОДЗЕМ'!R48*СПРАВОЧНИК!$M$8+'ПЛАН ЧИСТ ПОДЗЕМ'!S48*СПРАВОЧНИК!$N$8)</f>
        <v>0</v>
      </c>
      <c r="E57" s="40">
        <f>СПРАВОЧНИК!$E$3*(('ФАКТ ЧЕРН ПОДЗЕМ'!B48)*СПРАВОЧНИК!$H$3+('ФАКТ ЧЕРН ПОДЗЕМ'!C48)*СПРАВОЧНИК!$I$3+('ФАКТ ЧЕРН ПОДЗЕМ'!D48)*СПРАВОЧНИК!$J$3)+СПРАВОЧНИК!$E$4*(('ФАКТ ЧЕРН ПОДЗЕМ'!E48)*СПРАВОЧНИК!$H$4+('ФАКТ ЧЕРН ПОДЗЕМ'!F48)*СПРАВОЧНИК!$I$4+('ФАКТ ЧЕРН ПОДЗЕМ'!G48)*СПРАВОЧНИК!$J$4)+СПРАВОЧНИК!$E$5*(('ФАКТ ЧЕРН ПОДЗЕМ'!H48)*СПРАВОЧНИК!$H$5+('ФАКТ ЧЕРН ПОДЗЕМ'!I48)*СПРАВОЧНИК!$I$5+('ФАКТ ЧЕРН ПОДЗЕМ'!J48)*СПРАВОЧНИК!$J$5)+СПРАВОЧНИК!$E$6*(('ФАКТ ЧЕРН ПОДЗЕМ'!K48)*СПРАВОЧНИК!$H$6+('ФАКТ ЧЕРН ПОДЗЕМ'!L48)*СПРАВОЧНИК!$I$6+('ФАКТ ЧЕРН ПОДЗЕМ'!M48)*СПРАВОЧНИК!$J$6)+СПРАВОЧНИК!$E$7*(('ФАКТ ЧЕРН ПОДЗЕМ'!N48)*СПРАВОЧНИК!$H$7+('ФАКТ ЧЕРН ПОДЗЕМ'!O48)*СПРАВОЧНИК!$I$7+('ФАКТ ЧЕРН ПОДЗЕМ'!P48)*СПРАВОЧНИК!$J$7)+СПРАВОЧНИК!$E$8*(('ФАКТ ЧЕРН ПОДЗЕМ'!Q48)*СПРАВОЧНИК!$H$8+('ФАКТ ЧЕРН ПОДЗЕМ'!R48)*СПРАВОЧНИК!$I$8+('ФАКТ ЧЕРН ПОДЗЕМ'!S48)*СПРАВОЧНИК!$J$8)+СПРАВОЧНИК!$F$3*(('ФАКТ ЧИСТ ПОДЗЕМ'!B48)*СПРАВОЧНИК!$L$3+('ФАКТ ЧИСТ ПОДЗЕМ'!C48)*СПРАВОЧНИК!$M$3+('ФАКТ ЧИСТ ПОДЗЕМ'!D48)*СПРАВОЧНИК!$N$3)+СПРАВОЧНИК!$F$4*(('ФАКТ ЧИСТ ПОДЗЕМ'!E48)*СПРАВОЧНИК!$L$4+('ФАКТ ЧИСТ ПОДЗЕМ'!F48)*СПРАВОЧНИК!$M$4+('ФАКТ ЧИСТ ПОДЗЕМ'!G48)*СПРАВОЧНИК!$N$4)+СПРАВОЧНИК!$F$5*(('ФАКТ ЧИСТ ПОДЗЕМ'!H48)*СПРАВОЧНИК!$L$5+('ФАКТ ЧИСТ ПОДЗЕМ'!I48)*СПРАВОЧНИК!$M$5+('ФАКТ ЧИСТ ПОДЗЕМ'!J48)*СПРАВОЧНИК!$N$5)+СПРАВОЧНИК!$F$6*(('ФАКТ ЧИСТ ПОДЗЕМ'!K48)*СПРАВОЧНИК!$L$6+('ФАКТ ЧИСТ ПОДЗЕМ'!L48)*СПРАВОЧНИК!$M$6+('ФАКТ ЧИСТ ПОДЗЕМ'!M48)*СПРАВОЧНИК!$N$6)+СПРАВОЧНИК!$F$7*(('ФАКТ ЧИСТ ПОДЗЕМ'!N48)*СПРАВОЧНИК!$L$7+('ФАКТ ЧИСТ ПОДЗЕМ'!O48)*СПРАВОЧНИК!$M$7+('ФАКТ ЧИСТ ПОДЗЕМ'!P48)*СПРАВОЧНИК!$N$7)+СПРАВОЧНИК!$F$8*(('ФАКТ ЧИСТ ПОДЗЕМ'!Q48)*СПРАВОЧНИК!$L$8+('ФАКТ ЧИСТ ПОДЗЕМ'!R48)*СПРАВОЧНИК!$M$8+('ФАКТ ЧИСТ ПОДЗЕМ'!S48)*СПРАВОЧНИК!$N$8)</f>
        <v>0</v>
      </c>
      <c r="I57" s="18">
        <f t="shared" si="13"/>
        <v>46475</v>
      </c>
      <c r="J57" s="37">
        <f>'ПЛАН ЧЕРН ПОДЗЕМ'!B48*СПРАВОЧНИК!$H$3+'ПЛАН ЧЕРН ПОДЗЕМ'!C48*СПРАВОЧНИК!$I$3+'ПЛАН ЧЕРН ПОДЗЕМ'!D48*СПРАВОЧНИК!$J$3+'ПЛАН ЧЕРН ПОДЗЕМ'!E48*СПРАВОЧНИК!$H$4+'ПЛАН ЧЕРН ПОДЗЕМ'!F48*СПРАВОЧНИК!$I$4+'ПЛАН ЧЕРН ПОДЗЕМ'!G48*СПРАВОЧНИК!$J$4+'ПЛАН ЧЕРН ПОДЗЕМ'!H48*СПРАВОЧНИК!$H$5+'ПЛАН ЧЕРН ПОДЗЕМ'!I48*СПРАВОЧНИК!$I$5+'ПЛАН ЧЕРН ПОДЗЕМ'!J48*СПРАВОЧНИК!$J$5+'ПЛАН ЧЕРН ПОДЗЕМ'!K48*СПРАВОЧНИК!$H$6+'ПЛАН ЧЕРН ПОДЗЕМ'!L48*СПРАВОЧНИК!$I$6+'ПЛАН ЧЕРН ПОДЗЕМ'!M48*СПРАВОЧНИК!$J$6+'ПЛАН ЧЕРН ПОДЗЕМ'!N48*СПРАВОЧНИК!$H$7+'ПЛАН ЧЕРН ПОДЗЕМ'!O48*СПРАВОЧНИК!$I$7+'ПЛАН ЧЕРН ПОДЗЕМ'!P48*СПРАВОЧНИК!$J$7+'ПЛАН ЧЕРН ПОДЗЕМ'!Q48*СПРАВОЧНИК!$H$8+'ПЛАН ЧЕРН ПОДЗЕМ'!R48*СПРАВОЧНИК!$I$8+'ПЛАН ЧЕРН ПОДЗЕМ'!S48*СПРАВОЧНИК!$J$8</f>
        <v>0</v>
      </c>
      <c r="K57" s="40">
        <f>('ФАКТ ЧЕРН ПОДЗЕМ'!B48)*СПРАВОЧНИК!$H$3+('ФАКТ ЧЕРН ПОДЗЕМ'!C48)*СПРАВОЧНИК!$I$3+('ФАКТ ЧЕРН ПОДЗЕМ'!D48)*СПРАВОЧНИК!$J$3+('ФАКТ ЧЕРН ПОДЗЕМ'!E48)*СПРАВОЧНИК!$H$4+('ФАКТ ЧЕРН ПОДЗЕМ'!F48)*СПРАВОЧНИК!$I$4+('ФАКТ ЧЕРН ПОДЗЕМ'!G48)*СПРАВОЧНИК!$J$4+('ФАКТ ЧЕРН ПОДЗЕМ'!H48)*СПРАВОЧНИК!$H$5+('ФАКТ ЧЕРН ПОДЗЕМ'!I48)*СПРАВОЧНИК!$I$5+('ФАКТ ЧЕРН ПОДЗЕМ'!J48)*СПРАВОЧНИК!$J$5+('ФАКТ ЧЕРН ПОДЗЕМ'!K48)*СПРАВОЧНИК!$H$6+('ФАКТ ЧЕРН ПОДЗЕМ'!L48)*СПРАВОЧНИК!$I$6+('ФАКТ ЧЕРН ПОДЗЕМ'!M48)*СПРАВОЧНИК!$J$6+('ФАКТ ЧЕРН ПОДЗЕМ'!N48)*СПРАВОЧНИК!$H$7+('ФАКТ ЧЕРН ПОДЗЕМ'!O48)*СПРАВОЧНИК!$I$7+('ФАКТ ЧЕРН ПОДЗЕМ'!P48)*СПРАВОЧНИК!$J$7+('ФАКТ ЧЕРН ПОДЗЕМ'!Q48)*СПРАВОЧНИК!$H$8+('ФАКТ ЧЕРН ПОДЗЕМ'!R48)*СПРАВОЧНИК!$I$8+('ФАКТ ЧЕРН ПОДЗЕМ'!S48)*СПРАВОЧНИК!$J$8</f>
        <v>0</v>
      </c>
      <c r="O57" s="18">
        <f t="shared" si="14"/>
        <v>46475</v>
      </c>
      <c r="P57" s="37">
        <f>'ПЛАН ЧИСТ ПОДЗЕМ'!B48*СПРАВОЧНИК!$L$3+'ПЛАН ЧИСТ ПОДЗЕМ'!C48*СПРАВОЧНИК!$M$3+'ПЛАН ЧИСТ ПОДЗЕМ'!D48*СПРАВОЧНИК!$N$3+'ПЛАН ЧИСТ ПОДЗЕМ'!E48*СПРАВОЧНИК!$L$4+'ПЛАН ЧИСТ ПОДЗЕМ'!F48*СПРАВОЧНИК!$M$4+'ПЛАН ЧИСТ ПОДЗЕМ'!G48*СПРАВОЧНИК!$N$4+'ПЛАН ЧИСТ ПОДЗЕМ'!H48*СПРАВОЧНИК!$L$5+'ПЛАН ЧИСТ ПОДЗЕМ'!I48*СПРАВОЧНИК!$M$5+'ПЛАН ЧИСТ ПОДЗЕМ'!J48*СПРАВОЧНИК!$N$5+'ПЛАН ЧИСТ ПОДЗЕМ'!K48*СПРАВОЧНИК!$L$6+'ПЛАН ЧИСТ ПОДЗЕМ'!L48*СПРАВОЧНИК!$M$6+'ПЛАН ЧИСТ ПОДЗЕМ'!M48*СПРАВОЧНИК!$N$6+'ПЛАН ЧИСТ ПОДЗЕМ'!N48*СПРАВОЧНИК!$L$7+'ПЛАН ЧИСТ ПОДЗЕМ'!O48*СПРАВОЧНИК!$M$7+'ПЛАН ЧИСТ ПОДЗЕМ'!P48*СПРАВОЧНИК!$N$7+'ПЛАН ЧИСТ ПОДЗЕМ'!Q48*СПРАВОЧНИК!$L$8+'ПЛАН ЧИСТ ПОДЗЕМ'!R48*СПРАВОЧНИК!$M$8+'ПЛАН ЧИСТ ПОДЗЕМ'!S48*СПРАВОЧНИК!$N$8</f>
        <v>0</v>
      </c>
      <c r="Q57" s="40">
        <f>('ФАКТ ЧИСТ ПОДЗЕМ'!B48)*СПРАВОЧНИК!$L$3+('ФАКТ ЧИСТ ПОДЗЕМ'!C48)*СПРАВОЧНИК!$M$3+('ФАКТ ЧИСТ ПОДЗЕМ'!D48)*СПРАВОЧНИК!$N$3+('ФАКТ ЧИСТ ПОДЗЕМ'!E48)*СПРАВОЧНИК!$L$4+('ФАКТ ЧИСТ ПОДЗЕМ'!F48)*СПРАВОЧНИК!$M$4+('ФАКТ ЧИСТ ПОДЗЕМ'!G48)*СПРАВОЧНИК!$N$4+('ФАКТ ЧИСТ ПОДЗЕМ'!H48)*СПРАВОЧНИК!$L$5+('ФАКТ ЧИСТ ПОДЗЕМ'!I48)*СПРАВОЧНИК!$M$5+('ФАКТ ЧИСТ ПОДЗЕМ'!J48)*СПРАВОЧНИК!$N$5+('ФАКТ ЧИСТ ПОДЗЕМ'!K48)*СПРАВОЧНИК!$L$6+('ФАКТ ЧИСТ ПОДЗЕМ'!L48)*СПРАВОЧНИК!$M$6+('ФАКТ ЧИСТ ПОДЗЕМ'!M48)*СПРАВОЧНИК!$N$6+('ФАКТ ЧИСТ ПОДЗЕМ'!N48)*СПРАВОЧНИК!$L$7+('ФАКТ ЧИСТ ПОДЗЕМ'!O48)*СПРАВОЧНИК!$M$7+('ФАКТ ЧИСТ ПОДЗЕМ'!P48)*СПРАВОЧНИК!$N$7+('ФАКТ ЧИСТ ПОДЗЕМ'!Q48)*СПРАВОЧНИК!$L$8+('ФАКТ ЧИСТ ПОДЗЕМ'!R48)*СПРАВОЧНИК!$M$8+('ФАКТ ЧИСТ ПОДЗЕМ'!S48)*СПРАВОЧНИК!$N$8</f>
        <v>0</v>
      </c>
      <c r="U57" s="18">
        <f t="shared" si="15"/>
        <v>46475</v>
      </c>
      <c r="V57" s="37">
        <f>СПРАВОЧНИК!$E$9*('ПЛАН ЧЕРН К1'!B48*СПРАВОЧНИК!$H$9+'ПЛАН ЧЕРН К1'!C48*СПРАВОЧНИК!$I$9+'ПЛАН ЧЕРН К1'!D48*СПРАВОЧНИК!$J$9)+СПРАВОЧНИК!$E$10*('ПЛАН ЧЕРН К1'!E48*СПРАВОЧНИК!$H$10+'ПЛАН ЧЕРН К1'!F48*СПРАВОЧНИК!$I$10+'ПЛАН ЧЕРН К1'!G48*СПРАВОЧНИК!$J$10)+СПРАВОЧНИК!$E$11*('ПЛАН ЧЕРН К1'!H48*СПРАВОЧНИК!$H$11+'ПЛАН ЧЕРН К1'!I48*СПРАВОЧНИК!$I$11+'ПЛАН ЧЕРН К1'!J48*СПРАВОЧНИК!$J$11)+СПРАВОЧНИК!$E$12*('ПЛАН ЧЕРН К1'!K48*СПРАВОЧНИК!$H$12+'ПЛАН ЧЕРН К1'!L48*СПРАВОЧНИК!$I$12+'ПЛАН ЧЕРН К1'!M48*СПРАВОЧНИК!$J$12)+СПРАВОЧНИК!$E$13*('ПЛАН ЧЕРН К1'!N48*СПРАВОЧНИК!$H$13+'ПЛАН ЧЕРН К1'!O48*СПРАВОЧНИК!$I$13+'ПЛАН ЧЕРН К1'!P48*СПРАВОЧНИК!$J$13)+СПРАВОЧНИК!$E$14*('ПЛАН ЧЕРН К1'!Q48*СПРАВОЧНИК!$H$14+'ПЛАН ЧЕРН К1'!R48*СПРАВОЧНИК!$I$14+'ПЛАН ЧЕРН К1'!S48*СПРАВОЧНИК!$J$14)+СПРАВОЧНИК!$E$15*('ПЛАН ЧЕРН К1'!T48*СПРАВОЧНИК!$H$15+'ПЛАН ЧЕРН К1'!U48*СПРАВОЧНИК!$I$15+'ПЛАН ЧЕРН К1'!V48*СПРАВОЧНИК!$J$15)+СПРАВОЧНИК!$F$9*('ПЛАН ЧИСТ К1'!B48*СПРАВОЧНИК!$L$9+'ПЛАН ЧИСТ К1'!C48*СПРАВОЧНИК!$M$9+'ПЛАН ЧИСТ К1'!D48*СПРАВОЧНИК!$N$9+'ПЛАН ЧИСТ К1'!E48*СПРАВОЧНИК!$O$9)+СПРАВОЧНИК!$F$10*('ПЛАН ЧИСТ К1'!F48*СПРАВОЧНИК!$L$10+'ПЛАН ЧИСТ К1'!G48*СПРАВОЧНИК!$M$10+'ПЛАН ЧИСТ К1'!H48*СПРАВОЧНИК!$N$10)+СПРАВОЧНИК!$F$11*('ПЛАН ЧИСТ К1'!I48*СПРАВОЧНИК!$L$11+'ПЛАН ЧИСТ К1'!J48*СПРАВОЧНИК!$M$11+'ПЛАН ЧИСТ К1'!K48*СПРАВОЧНИК!$N$11)+СПРАВОЧНИК!$F$12*('ПЛАН ЧИСТ К1'!L48*СПРАВОЧНИК!$L$12+'ПЛАН ЧИСТ К1'!M48*СПРАВОЧНИК!$M$12+'ПЛАН ЧИСТ К1'!N48*СПРАВОЧНИК!$N$12)+СПРАВОЧНИК!$F$13*('ПЛАН ЧИСТ К1'!O48*СПРАВОЧНИК!$L$13+'ПЛАН ЧИСТ К1'!P48*СПРАВОЧНИК!$M$13+'ПЛАН ЧИСТ К1'!Q48*СПРАВОЧНИК!$N$13)+СПРАВОЧНИК!$F$14*('ПЛАН ЧИСТ К1'!R48*СПРАВОЧНИК!$L$14+'ПЛАН ЧИСТ К1'!S48*СПРАВОЧНИК!$M$14+'ПЛАН ЧИСТ К1'!T48*СПРАВОЧНИК!$N$14)+СПРАВОЧНИК!$F$15*('ПЛАН ЧИСТ К1'!U48*СПРАВОЧНИК!$L$15+'ПЛАН ЧИСТ К1'!V48*СПРАВОЧНИК!$M$15+'ПЛАН ЧИСТ К1'!W48*СПРАВОЧНИК!$N$15)</f>
        <v>0</v>
      </c>
      <c r="W57" s="40">
        <f>СПРАВОЧНИК!$E$9*(('ФАКТ ЧЕРН К1'!B48)*СПРАВОЧНИК!$H$9+('ФАКТ ЧЕРН К1'!C48)*СПРАВОЧНИК!$I$9+('ФАКТ ЧЕРН К1'!D48)*СПРАВОЧНИК!$J$9)+СПРАВОЧНИК!$E$10*(('ФАКТ ЧЕРН К1'!E48)*СПРАВОЧНИК!$H$10+('ФАКТ ЧЕРН К1'!F48)*СПРАВОЧНИК!$I$10+('ФАКТ ЧЕРН К1'!G48)*СПРАВОЧНИК!$J$10)+СПРАВОЧНИК!$E$11*(('ФАКТ ЧЕРН К1'!H48)*СПРАВОЧНИК!$H$11+('ФАКТ ЧЕРН К1'!I48)*СПРАВОЧНИК!$I$11+('ФАКТ ЧЕРН К1'!J48)*СПРАВОЧНИК!$J$11)+СПРАВОЧНИК!$E$12*(('ФАКТ ЧЕРН К1'!K48)*СПРАВОЧНИК!$H$12+('ФАКТ ЧЕРН К1'!L48)*СПРАВОЧНИК!$I$12+('ФАКТ ЧЕРН К1'!M48)*СПРАВОЧНИК!$J$12)+СПРАВОЧНИК!$E$13*(('ФАКТ ЧЕРН К1'!N48)*СПРАВОЧНИК!$H$13+('ФАКТ ЧЕРН К1'!O48)*СПРАВОЧНИК!$I$13+('ФАКТ ЧЕРН К1'!P48)*СПРАВОЧНИК!$J$13)+СПРАВОЧНИК!$E$14*(('ФАКТ ЧЕРН К1'!Q48)*СПРАВОЧНИК!$H$14+('ФАКТ ЧЕРН К1'!R48)*СПРАВОЧНИК!$I$14+('ФАКТ ЧЕРН К1'!S48)*СПРАВОЧНИК!$J$14)+СПРАВОЧНИК!$E$15*(('ФАКТ ЧЕРН К1'!T48)*СПРАВОЧНИК!$H$15+('ФАКТ ЧЕРН К1'!U48)*СПРАВОЧНИК!$I$15+('ФАКТ ЧЕРН К1'!V48)*СПРАВОЧНИК!$J$15)+СПРАВОЧНИК!$F$9*(('ФАКТ ЧИСТ К1'!B48)*СПРАВОЧНИК!$L$9+('ФАКТ ЧИСТ К1'!C48)*СПРАВОЧНИК!$M$9+('ФАКТ ЧИСТ К1'!D48)*СПРАВОЧНИК!$N$9+('ФАКТ ЧИСТ К1'!E48)*СПРАВОЧНИК!$O$9)+СПРАВОЧНИК!$F$10*(('ФАКТ ЧИСТ К1'!F48)*СПРАВОЧНИК!$L$10+('ФАКТ ЧИСТ К1'!G48)*СПРАВОЧНИК!$M$10+('ФАКТ ЧИСТ К1'!H48)*СПРАВОЧНИК!$N$10)+СПРАВОЧНИК!$F$11*(('ФАКТ ЧИСТ К1'!I48)*СПРАВОЧНИК!$L$11+('ФАКТ ЧИСТ К1'!J48)*СПРАВОЧНИК!$M$11+('ФАКТ ЧИСТ К1'!K48)*СПРАВОЧНИК!$N$11)+СПРАВОЧНИК!$F$12*(('ФАКТ ЧИСТ К1'!L48)*СПРАВОЧНИК!$L$12+('ФАКТ ЧИСТ К1'!M48)*СПРАВОЧНИК!$M$12+('ФАКТ ЧИСТ К1'!N48)*СПРАВОЧНИК!$N$12)+СПРАВОЧНИК!$F$13*(('ФАКТ ЧИСТ К1'!O48)*СПРАВОЧНИК!$L$13+('ФАКТ ЧИСТ К1'!P48)*СПРАВОЧНИК!$M$13+('ФАКТ ЧИСТ К1'!Q48)*СПРАВОЧНИК!$N$13)+СПРАВОЧНИК!$F$14*(('ФАКТ ЧИСТ К1'!R48)*СПРАВОЧНИК!$L$14+('ФАКТ ЧИСТ К1'!S48)*СПРАВОЧНИК!$M$14+('ФАКТ ЧИСТ К1'!T48)*СПРАВОЧНИК!$N$14)+СПРАВОЧНИК!$F$15*(('ФАКТ ЧИСТ К1'!U48)*СПРАВОЧНИК!$L$15+('ФАКТ ЧИСТ К1'!V48)*СПРАВОЧНИК!$M$15+('ФАКТ ЧИСТ К1'!W48)*СПРАВОЧНИК!$N$15)</f>
        <v>0</v>
      </c>
      <c r="AA57" s="18">
        <f t="shared" si="16"/>
        <v>46475</v>
      </c>
      <c r="AB57" s="37">
        <f>'ПЛАН ЧЕРН К1'!B48*СПРАВОЧНИК!$H$9+'ПЛАН ЧЕРН К1'!C48*СПРАВОЧНИК!$I$9+'ПЛАН ЧЕРН К1'!D48*СПРАВОЧНИК!$J$9+'ПЛАН ЧЕРН К1'!E48*СПРАВОЧНИК!$H$10+'ПЛАН ЧЕРН К1'!F48*СПРАВОЧНИК!$I$10+'ПЛАН ЧЕРН К1'!G48*СПРАВОЧНИК!$J$10+'ПЛАН ЧЕРН К1'!H48*СПРАВОЧНИК!$H$11+'ПЛАН ЧЕРН К1'!I48*СПРАВОЧНИК!$I$11+'ПЛАН ЧЕРН К1'!J48*СПРАВОЧНИК!$J$11+'ПЛАН ЧЕРН К1'!K48*СПРАВОЧНИК!$H$12+'ПЛАН ЧЕРН К1'!L48*СПРАВОЧНИК!$I$12+'ПЛАН ЧЕРН К1'!M48*СПРАВОЧНИК!$J$12+'ПЛАН ЧЕРН К1'!N48*СПРАВОЧНИК!$H$13+'ПЛАН ЧЕРН К1'!O48*СПРАВОЧНИК!$I$13+'ПЛАН ЧЕРН К1'!P48*СПРАВОЧНИК!$J$13+'ПЛАН ЧЕРН К1'!Q48*СПРАВОЧНИК!$H$14+'ПЛАН ЧЕРН К1'!R48*СПРАВОЧНИК!$I$14+'ПЛАН ЧЕРН К1'!S48*СПРАВОЧНИК!$J$14+'ПЛАН ЧЕРН К1'!T48*СПРАВОЧНИК!$H$15+'ПЛАН ЧЕРН К1'!U48*СПРАВОЧНИК!$I$15+'ПЛАН ЧЕРН К1'!V48*СПРАВОЧНИК!$J$15</f>
        <v>0</v>
      </c>
      <c r="AC57" s="40">
        <f>('ФАКТ ЧЕРН К1'!B48)*СПРАВОЧНИК!$H$9+('ФАКТ ЧЕРН К1'!C48)*СПРАВОЧНИК!$I$9+('ФАКТ ЧЕРН К1'!D48)*СПРАВОЧНИК!$J$9+('ФАКТ ЧЕРН К1'!E48)*СПРАВОЧНИК!$H$10+('ФАКТ ЧЕРН К1'!F48)*СПРАВОЧНИК!$I$10+('ФАКТ ЧЕРН К1'!G48)*СПРАВОЧНИК!$J$10+('ФАКТ ЧЕРН К1'!H48)*СПРАВОЧНИК!$H$11+('ФАКТ ЧЕРН К1'!I48)*СПРАВОЧНИК!$I$11+('ФАКТ ЧЕРН К1'!J48)*СПРАВОЧНИК!$J$11+('ФАКТ ЧЕРН К1'!K48)*СПРАВОЧНИК!$H$12+('ФАКТ ЧЕРН К1'!L48)*СПРАВОЧНИК!$I$12+('ФАКТ ЧЕРН К1'!M48)*СПРАВОЧНИК!$J$12+('ФАКТ ЧЕРН К1'!N48)*СПРАВОЧНИК!$H$13+('ФАКТ ЧЕРН К1'!O48)*СПРАВОЧНИК!$I$13+('ФАКТ ЧЕРН К1'!P48)*СПРАВОЧНИК!$J$13+('ФАКТ ЧЕРН К1'!Q48)*СПРАВОЧНИК!$H$14+('ФАКТ ЧЕРН К1'!R48)*СПРАВОЧНИК!$I$14+('ФАКТ ЧЕРН К1'!S48)*СПРАВОЧНИК!$J$14+('ФАКТ ЧЕРН К1'!T48)*СПРАВОЧНИК!$H$15+('ФАКТ ЧЕРН К1'!U48)*СПРАВОЧНИК!$I$15+('ФАКТ ЧЕРН К1'!V48)*СПРАВОЧНИК!$J$15</f>
        <v>0</v>
      </c>
      <c r="AG57" s="18">
        <f t="shared" si="17"/>
        <v>46475</v>
      </c>
      <c r="AH57" s="37">
        <f>'ПЛАН ЧИСТ К1'!B48*СПРАВОЧНИК!$L$9+'ПЛАН ЧИСТ К1'!C48*СПРАВОЧНИК!$M$9+'ПЛАН ЧИСТ К1'!D48*СПРАВОЧНИК!$N$9+'ПЛАН ЧИСТ К1'!E48*СПРАВОЧНИК!$O$9+'ПЛАН ЧИСТ К1'!F48*СПРАВОЧНИК!$L$10+'ПЛАН ЧИСТ К1'!G48*СПРАВОЧНИК!$M$10+'ПЛАН ЧИСТ К1'!H48*СПРАВОЧНИК!$N$10+'ПЛАН ЧИСТ К1'!I48*СПРАВОЧНИК!$L$11+'ПЛАН ЧИСТ К1'!J48*СПРАВОЧНИК!$M$11+'ПЛАН ЧИСТ К1'!K48*СПРАВОЧНИК!$N$11+'ПЛАН ЧИСТ К1'!L48*СПРАВОЧНИК!$L$12+'ПЛАН ЧИСТ К1'!M48*СПРАВОЧНИК!$M$12+'ПЛАН ЧИСТ К1'!N48*СПРАВОЧНИК!$N$12+'ПЛАН ЧИСТ К1'!O48*СПРАВОЧНИК!$L$13+'ПЛАН ЧИСТ К1'!P48*СПРАВОЧНИК!$M$13+'ПЛАН ЧИСТ К1'!Q48*СПРАВОЧНИК!$N$13+'ПЛАН ЧИСТ К1'!R48*СПРАВОЧНИК!$L$14+'ПЛАН ЧИСТ К1'!S48*СПРАВОЧНИК!$M$14+'ПЛАН ЧИСТ К1'!T48*СПРАВОЧНИК!$N$14+'ПЛАН ЧИСТ К1'!U48*СПРАВОЧНИК!$L$15+'ПЛАН ЧИСТ К1'!V48*СПРАВОЧНИК!$M$15+'ПЛАН ЧИСТ К1'!W48*СПРАВОЧНИК!$N$15</f>
        <v>0</v>
      </c>
      <c r="AI57" s="40">
        <f>('ФАКТ ЧИСТ К1'!B48)*СПРАВОЧНИК!$L$9+('ФАКТ ЧИСТ К1'!C48)*СПРАВОЧНИК!$M$9+('ФАКТ ЧИСТ К1'!D48)*СПРАВОЧНИК!$N$9+('ФАКТ ЧИСТ К1'!E48)*СПРАВОЧНИК!$O$9+('ФАКТ ЧИСТ К1'!F48)*СПРАВОЧНИК!$L$10+('ФАКТ ЧИСТ К1'!G48)*СПРАВОЧНИК!$M$10+('ФАКТ ЧИСТ К1'!H48)*СПРАВОЧНИК!$N$10+('ФАКТ ЧИСТ К1'!I48)*СПРАВОЧНИК!$L$11+('ФАКТ ЧИСТ К1'!J48)*СПРАВОЧНИК!$M$11+('ФАКТ ЧИСТ К1'!K48)*СПРАВОЧНИК!$N$11+('ФАКТ ЧИСТ К1'!L48)*СПРАВОЧНИК!$L$12+('ФАКТ ЧИСТ К1'!M48)*СПРАВОЧНИК!$M$12+('ФАКТ ЧИСТ К1'!N48)*СПРАВОЧНИК!$N$12+('ФАКТ ЧИСТ К1'!O48)*СПРАВОЧНИК!$L$13+('ФАКТ ЧИСТ К1'!P48)*СПРАВОЧНИК!$M$13+('ФАКТ ЧИСТ К1'!Q48)*СПРАВОЧНИК!$N$13+('ФАКТ ЧИСТ К1'!R48)*СПРАВОЧНИК!$L$14+('ФАКТ ЧИСТ К1'!S48)*СПРАВОЧНИК!$M$14+('ФАКТ ЧИСТ К1'!T48)*СПРАВОЧНИК!$N$14+('ФАКТ ЧИСТ К1'!U48)*СПРАВОЧНИК!$L$15+('ФАКТ ЧИСТ К1'!V48)*СПРАВОЧНИК!$M$15+('ФАКТ ЧИСТ К1'!W48)*СПРАВОЧНИК!$N$15</f>
        <v>0</v>
      </c>
      <c r="AM57" s="18">
        <f t="shared" si="18"/>
        <v>46475</v>
      </c>
      <c r="AN57" s="37">
        <f>СПРАВОЧНИК!$E$9*('ПЛАН ЧЕРН К2'!B48*СПРАВОЧНИК!$H$9+'ПЛАН ЧЕРН К2'!C48*СПРАВОЧНИК!$I$9+'ПЛАН ЧЕРН К2'!D48*СПРАВОЧНИК!$J$9)+СПРАВОЧНИК!$E$10*('ПЛАН ЧЕРН К2'!E48*СПРАВОЧНИК!$H$10+'ПЛАН ЧЕРН К2'!F48*СПРАВОЧНИК!$I$10+'ПЛАН ЧЕРН К2'!G48*СПРАВОЧНИК!$J$10)+СПРАВОЧНИК!$E$11*('ПЛАН ЧЕРН К2'!H48*СПРАВОЧНИК!$H$11+'ПЛАН ЧЕРН К2'!I48*СПРАВОЧНИК!$I$11+'ПЛАН ЧЕРН К2'!J48*СПРАВОЧНИК!$J$11)+СПРАВОЧНИК!$E$12*('ПЛАН ЧЕРН К2'!K48*СПРАВОЧНИК!$H$12+'ПЛАН ЧЕРН К2'!L48*СПРАВОЧНИК!$I$12+'ПЛАН ЧЕРН К2'!M48*СПРАВОЧНИК!$J$12)+СПРАВОЧНИК!$E$13*('ПЛАН ЧЕРН К2'!N48*СПРАВОЧНИК!$H$13+'ПЛАН ЧЕРН К2'!O48*СПРАВОЧНИК!$I$13+'ПЛАН ЧЕРН К2'!P48*СПРАВОЧНИК!$J$13)+СПРАВОЧНИК!$E$14*('ПЛАН ЧЕРН К2'!Q48*СПРАВОЧНИК!$H$14+'ПЛАН ЧЕРН К2'!R48*СПРАВОЧНИК!$I$14+'ПЛАН ЧЕРН К2'!S48*СПРАВОЧНИК!$J$14)+СПРАВОЧНИК!$E$15*('ПЛАН ЧЕРН К2'!T48*СПРАВОЧНИК!$H$15+'ПЛАН ЧЕРН К2'!U48*СПРАВОЧНИК!$I$15+'ПЛАН ЧЕРН К2'!V48*СПРАВОЧНИК!$J$15)+СПРАВОЧНИК!$F$9*('ПЛАН ЧИСТ К2'!B48*СПРАВОЧНИК!$L$9+'ПЛАН ЧИСТ К2'!C48*СПРАВОЧНИК!$M$9+'ПЛАН ЧИСТ К2'!D48*СПРАВОЧНИК!$N$9+'ПЛАН ЧИСТ К2'!E48*СПРАВОЧНИК!$O$9)+СПРАВОЧНИК!$F$10*('ПЛАН ЧИСТ К2'!F48*СПРАВОЧНИК!$L$10+'ПЛАН ЧИСТ К2'!G48*СПРАВОЧНИК!$M$10+'ПЛАН ЧИСТ К2'!H48*СПРАВОЧНИК!$N$10)+СПРАВОЧНИК!$F$11*('ПЛАН ЧИСТ К2'!I48*СПРАВОЧНИК!$L$11+'ПЛАН ЧИСТ К2'!J48*СПРАВОЧНИК!$M$11+'ПЛАН ЧИСТ К2'!K48*СПРАВОЧНИК!$N$11)+СПРАВОЧНИК!$F$12*('ПЛАН ЧИСТ К2'!L48*СПРАВОЧНИК!$L$12+'ПЛАН ЧИСТ К2'!M48*СПРАВОЧНИК!$M$12+'ПЛАН ЧИСТ К2'!N48*СПРАВОЧНИК!$N$12)+СПРАВОЧНИК!$F$13*('ПЛАН ЧИСТ К2'!O48*СПРАВОЧНИК!$L$13+'ПЛАН ЧИСТ К2'!P48*СПРАВОЧНИК!$M$13+'ПЛАН ЧИСТ К2'!Q48*СПРАВОЧНИК!$N$13)+СПРАВОЧНИК!$F$14*('ПЛАН ЧИСТ К2'!R48*СПРАВОЧНИК!$L$14+'ПЛАН ЧИСТ К2'!S48*СПРАВОЧНИК!$M$14+'ПЛАН ЧИСТ К2'!T48*СПРАВОЧНИК!$N$14)+СПРАВОЧНИК!$F$15*('ПЛАН ЧИСТ К2'!U48*СПРАВОЧНИК!$L$15+'ПЛАН ЧИСТ К2'!V48*СПРАВОЧНИК!$M$15+'ПЛАН ЧИСТ К2'!W48*СПРАВОЧНИК!$N$15)</f>
        <v>0</v>
      </c>
      <c r="AO57" s="40">
        <f>СПРАВОЧНИК!$E$9*(('ФАКТ ЧЕРН К2'!B48)*СПРАВОЧНИК!$H$9+('ФАКТ ЧЕРН К2'!C48)*СПРАВОЧНИК!$I$9+('ФАКТ ЧЕРН К2'!D48)*СПРАВОЧНИК!$J$9)+СПРАВОЧНИК!$E$10*(('ФАКТ ЧЕРН К2'!E48)*СПРАВОЧНИК!$H$10+('ФАКТ ЧЕРН К2'!F48)*СПРАВОЧНИК!$I$10+('ФАКТ ЧЕРН К2'!G48)*СПРАВОЧНИК!$J$10)+СПРАВОЧНИК!$E$11*(('ФАКТ ЧЕРН К2'!H48)*СПРАВОЧНИК!$H$11+('ФАКТ ЧЕРН К2'!I48)*СПРАВОЧНИК!$I$11+('ФАКТ ЧЕРН К2'!J48)*СПРАВОЧНИК!$J$11)+СПРАВОЧНИК!$E$12*(('ФАКТ ЧЕРН К2'!K48)*СПРАВОЧНИК!$H$12+('ФАКТ ЧЕРН К2'!L48)*СПРАВОЧНИК!$I$12+('ФАКТ ЧЕРН К2'!M48)*СПРАВОЧНИК!$J$12)+СПРАВОЧНИК!$E$13*(('ФАКТ ЧЕРН К2'!N48)*СПРАВОЧНИК!$H$13+('ФАКТ ЧЕРН К2'!O48)*СПРАВОЧНИК!$I$13+('ФАКТ ЧЕРН К2'!P48)*СПРАВОЧНИК!$J$13)+СПРАВОЧНИК!$E$14*(('ФАКТ ЧЕРН К2'!Q48)*СПРАВОЧНИК!$H$14+('ФАКТ ЧЕРН К2'!R48)*СПРАВОЧНИК!$I$14+('ФАКТ ЧЕРН К2'!S48)*СПРАВОЧНИК!$J$14)+СПРАВОЧНИК!$E$15*(('ФАКТ ЧЕРН К2'!T48)*СПРАВОЧНИК!$H$15+('ФАКТ ЧЕРН К2'!U48)*СПРАВОЧНИК!$I$15+('ФАКТ ЧЕРН К2'!V48)*СПРАВОЧНИК!$J$15)+СПРАВОЧНИК!$F$9*(('ФАКТ ЧИСТ К2'!B48)*СПРАВОЧНИК!$L$9+('ФАКТ ЧИСТ К2'!C48)*СПРАВОЧНИК!$M$9+('ФАКТ ЧИСТ К2'!D48)*СПРАВОЧНИК!$N$9+('ФАКТ ЧИСТ К2'!E48)*СПРАВОЧНИК!$O$9)+СПРАВОЧНИК!$F$10*(('ФАКТ ЧИСТ К2'!F48)*СПРАВОЧНИК!$L$10+('ФАКТ ЧИСТ К2'!G48)*СПРАВОЧНИК!$M$10+('ФАКТ ЧИСТ К2'!H48)*СПРАВОЧНИК!$N$10)+СПРАВОЧНИК!$F$11*(('ФАКТ ЧИСТ К2'!I48)*СПРАВОЧНИК!$L$11+('ФАКТ ЧИСТ К2'!J48)*СПРАВОЧНИК!$M$11+('ФАКТ ЧИСТ К2'!K48)*СПРАВОЧНИК!$N$11)+СПРАВОЧНИК!$F$12*(('ФАКТ ЧИСТ К2'!L48)*СПРАВОЧНИК!$L$12+('ФАКТ ЧИСТ К2'!M48)*СПРАВОЧНИК!$M$12+('ФАКТ ЧИСТ К2'!N48)*СПРАВОЧНИК!$N$12)+СПРАВОЧНИК!$F$13*(('ФАКТ ЧИСТ К2'!O48)*СПРАВОЧНИК!$L$13+('ФАКТ ЧИСТ К2'!P48)*СПРАВОЧНИК!$M$13+('ФАКТ ЧИСТ К2'!Q48)*СПРАВОЧНИК!$N$13)+СПРАВОЧНИК!$F$14*(('ФАКТ ЧИСТ К2'!R48)*СПРАВОЧНИК!$L$14+('ФАКТ ЧИСТ К2'!S48)*СПРАВОЧНИК!$M$14+('ФАКТ ЧИСТ К2'!T48)*СПРАВОЧНИК!$N$14)+СПРАВОЧНИК!$F$15*(('ФАКТ ЧИСТ К2'!U48)*СПРАВОЧНИК!$L$15+('ФАКТ ЧИСТ К2'!V48)*СПРАВОЧНИК!$M$15+('ФАКТ ЧИСТ К2'!W48)*СПРАВОЧНИК!$N$15)</f>
        <v>0</v>
      </c>
      <c r="AS57" s="18">
        <f t="shared" si="19"/>
        <v>46475</v>
      </c>
      <c r="AT57" s="37">
        <f>'ПЛАН ЧЕРН К2'!B48*СПРАВОЧНИК!$H$9+'ПЛАН ЧЕРН К2'!C48*СПРАВОЧНИК!$I$9+'ПЛАН ЧЕРН К2'!D48*СПРАВОЧНИК!$J$9+'ПЛАН ЧЕРН К2'!E48*СПРАВОЧНИК!$H$10+'ПЛАН ЧЕРН К2'!F48*СПРАВОЧНИК!$I$10+'ПЛАН ЧЕРН К2'!G48*СПРАВОЧНИК!$J$10+'ПЛАН ЧЕРН К2'!H48*СПРАВОЧНИК!$H$11+'ПЛАН ЧЕРН К2'!I48*СПРАВОЧНИК!$I$11+'ПЛАН ЧЕРН К2'!J48*СПРАВОЧНИК!$J$11+'ПЛАН ЧЕРН К2'!K48*СПРАВОЧНИК!$H$12+'ПЛАН ЧЕРН К2'!L48*СПРАВОЧНИК!$I$12+'ПЛАН ЧЕРН К2'!M48*СПРАВОЧНИК!$J$12+'ПЛАН ЧЕРН К2'!N48*СПРАВОЧНИК!$H$13+'ПЛАН ЧЕРН К2'!O48*СПРАВОЧНИК!$I$13+'ПЛАН ЧЕРН К2'!P48*СПРАВОЧНИК!$J$13+'ПЛАН ЧЕРН К2'!Q48*СПРАВОЧНИК!$H$14+'ПЛАН ЧЕРН К2'!R48*СПРАВОЧНИК!$I$14+'ПЛАН ЧЕРН К2'!S48*СПРАВОЧНИК!$J$14+'ПЛАН ЧЕРН К2'!T48*СПРАВОЧНИК!$H$15+'ПЛАН ЧЕРН К2'!U48*СПРАВОЧНИК!$I$15+'ПЛАН ЧЕРН К2'!V48*СПРАВОЧНИК!$J$15</f>
        <v>0</v>
      </c>
      <c r="AU57" s="40">
        <f>('ФАКТ ЧЕРН К2'!B48)*СПРАВОЧНИК!$H$9+('ФАКТ ЧЕРН К2'!C48)*СПРАВОЧНИК!$I$9+('ФАКТ ЧЕРН К2'!D48)*СПРАВОЧНИК!$J$9+('ФАКТ ЧЕРН К2'!E48)*СПРАВОЧНИК!$H$10+('ФАКТ ЧЕРН К2'!F48)*СПРАВОЧНИК!$I$10+('ФАКТ ЧЕРН К2'!G48)*СПРАВОЧНИК!$J$10+('ФАКТ ЧЕРН К2'!H48)*СПРАВОЧНИК!$H$11+('ФАКТ ЧЕРН К2'!I48)*СПРАВОЧНИК!$I$11+('ФАКТ ЧЕРН К2'!J48)*СПРАВОЧНИК!$J$11+('ФАКТ ЧЕРН К2'!K48)*СПРАВОЧНИК!$H$12+('ФАКТ ЧЕРН К2'!L48)*СПРАВОЧНИК!$I$12+('ФАКТ ЧЕРН К2'!M48)*СПРАВОЧНИК!$J$12+('ФАКТ ЧЕРН К2'!N48)*СПРАВОЧНИК!$H$13+('ФАКТ ЧЕРН К2'!O48)*СПРАВОЧНИК!$I$13+('ФАКТ ЧЕРН К2'!P48)*СПРАВОЧНИК!$J$13+('ФАКТ ЧЕРН К2'!Q48)*СПРАВОЧНИК!$H$14+('ФАКТ ЧЕРН К2'!R48)*СПРАВОЧНИК!$I$14+('ФАКТ ЧЕРН К2'!S48)*СПРАВОЧНИК!$J$14+('ФАКТ ЧЕРН К2'!T48)*СПРАВОЧНИК!$H$15+('ФАКТ ЧЕРН К2'!U48)*СПРАВОЧНИК!$I$15+('ФАКТ ЧЕРН К2'!V48)*СПРАВОЧНИК!$J$15</f>
        <v>0</v>
      </c>
      <c r="AY57" s="18">
        <f t="shared" si="20"/>
        <v>46475</v>
      </c>
      <c r="AZ57" s="37">
        <f>'ПЛАН ЧИСТ К2'!B48*СПРАВОЧНИК!$L$9+'ПЛАН ЧИСТ К2'!C48*СПРАВОЧНИК!$M$9+'ПЛАН ЧИСТ К2'!D48*СПРАВОЧНИК!$N$9+'ПЛАН ЧИСТ К2'!E48*СПРАВОЧНИК!$O$9+'ПЛАН ЧИСТ К2'!F48*СПРАВОЧНИК!$L$10+'ПЛАН ЧИСТ К2'!G48*СПРАВОЧНИК!$M$10+'ПЛАН ЧИСТ К2'!H48*СПРАВОЧНИК!$N$10+'ПЛАН ЧИСТ К2'!I48*СПРАВОЧНИК!$L$11+'ПЛАН ЧИСТ К2'!J48*СПРАВОЧНИК!$M$11+'ПЛАН ЧИСТ К2'!K48*СПРАВОЧНИК!$N$11+'ПЛАН ЧИСТ К2'!L48*СПРАВОЧНИК!$L$12+'ПЛАН ЧИСТ К2'!M48*СПРАВОЧНИК!$M$12+'ПЛАН ЧИСТ К2'!N48*СПРАВОЧНИК!$N$12+'ПЛАН ЧИСТ К2'!O48*СПРАВОЧНИК!$L$13+'ПЛАН ЧИСТ К2'!P48*СПРАВОЧНИК!$M$13+'ПЛАН ЧИСТ К2'!Q48*СПРАВОЧНИК!$N$13+'ПЛАН ЧИСТ К2'!R48*СПРАВОЧНИК!$L$14+'ПЛАН ЧИСТ К2'!S48*СПРАВОЧНИК!$M$14+'ПЛАН ЧИСТ К2'!T48*СПРАВОЧНИК!$N$14+'ПЛАН ЧИСТ К2'!U48*СПРАВОЧНИК!$L$15+'ПЛАН ЧИСТ К2'!V48*СПРАВОЧНИК!$M$15+'ПЛАН ЧИСТ К2'!W48*СПРАВОЧНИК!$N$15</f>
        <v>0</v>
      </c>
      <c r="BA57" s="40">
        <f>('ФАКТ ЧИСТ К2'!B48)*СПРАВОЧНИК!$L$9+('ФАКТ ЧИСТ К2'!C48)*СПРАВОЧНИК!$M$9+('ФАКТ ЧИСТ К2'!D48)*СПРАВОЧНИК!$N$9+('ФАКТ ЧИСТ К2'!E48)*СПРАВОЧНИК!$O$9+('ФАКТ ЧИСТ К2'!F48)*СПРАВОЧНИК!$L$10+('ФАКТ ЧИСТ К2'!G48)*СПРАВОЧНИК!$M$10+('ФАКТ ЧИСТ К2'!H48)*СПРАВОЧНИК!$N$10+('ФАКТ ЧИСТ К2'!I48)*СПРАВОЧНИК!$L$11+('ФАКТ ЧИСТ К2'!J48)*СПРАВОЧНИК!$M$11+('ФАКТ ЧИСТ К2'!K48)*СПРАВОЧНИК!$N$11+('ФАКТ ЧИСТ К2'!L48)*СПРАВОЧНИК!$L$12+('ФАКТ ЧИСТ К2'!M48)*СПРАВОЧНИК!$M$12+('ФАКТ ЧИСТ К2'!N48)*СПРАВОЧНИК!$N$12+('ФАКТ ЧИСТ К2'!O48)*СПРАВОЧНИК!$L$13+('ФАКТ ЧИСТ К2'!P48)*СПРАВОЧНИК!$M$13+('ФАКТ ЧИСТ К2'!Q48)*СПРАВОЧНИК!$N$13+('ФАКТ ЧИСТ К2'!R48)*СПРАВОЧНИК!$L$14+('ФАКТ ЧИСТ К2'!S48)*СПРАВОЧНИК!$M$14+('ФАКТ ЧИСТ К2'!T48)*СПРАВОЧНИК!$N$14+('ФАКТ ЧИСТ К2'!U48)*СПРАВОЧНИК!$L$15+('ФАКТ ЧИСТ К2'!V48)*СПРАВОЧНИК!$M$15+('ФАКТ ЧИСТ К2'!W48)*СПРАВОЧНИК!$N$15</f>
        <v>0</v>
      </c>
      <c r="BE57" s="18">
        <f t="shared" si="21"/>
        <v>46475</v>
      </c>
      <c r="BF57" s="37">
        <f>СПРАВОЧНИК!$E$9*('ПЛАН ЧЕРН К3'!B48*СПРАВОЧНИК!$H$9+'ПЛАН ЧЕРН К3'!C48*СПРАВОЧНИК!$I$9+'ПЛАН ЧЕРН К3'!D48*СПРАВОЧНИК!$J$9)+СПРАВОЧНИК!$E$10*('ПЛАН ЧЕРН К3'!E48*СПРАВОЧНИК!$H$10+'ПЛАН ЧЕРН К3'!F48*СПРАВОЧНИК!$I$10+'ПЛАН ЧЕРН К3'!G48*СПРАВОЧНИК!$J$10)+СПРАВОЧНИК!$E$11*('ПЛАН ЧЕРН К3'!H48*СПРАВОЧНИК!$H$11+'ПЛАН ЧЕРН К3'!I48*СПРАВОЧНИК!$I$11+'ПЛАН ЧЕРН К3'!J48*СПРАВОЧНИК!$J$11)+СПРАВОЧНИК!$E$12*('ПЛАН ЧЕРН К3'!K48*СПРАВОЧНИК!$H$12+'ПЛАН ЧЕРН К3'!L48*СПРАВОЧНИК!$I$12+'ПЛАН ЧЕРН К3'!M48*СПРАВОЧНИК!$J$12)+СПРАВОЧНИК!$E$13*('ПЛАН ЧЕРН К3'!N48*СПРАВОЧНИК!$H$13+'ПЛАН ЧЕРН К3'!O48*СПРАВОЧНИК!$I$13+'ПЛАН ЧЕРН К3'!P48*СПРАВОЧНИК!$J$13)+СПРАВОЧНИК!$E$14*('ПЛАН ЧЕРН К3'!Q48*СПРАВОЧНИК!$H$14+'ПЛАН ЧЕРН К3'!R48*СПРАВОЧНИК!$I$14+'ПЛАН ЧЕРН К3'!S48*СПРАВОЧНИК!$J$14)+СПРАВОЧНИК!$E$15*('ПЛАН ЧЕРН К3'!T48*СПРАВОЧНИК!$H$15+'ПЛАН ЧЕРН К3'!U48*СПРАВОЧНИК!$I$15+'ПЛАН ЧЕРН К3'!V48*СПРАВОЧНИК!$J$15)+СПРАВОЧНИК!$F$9*('ПЛАН ЧИСТ К3'!B48*СПРАВОЧНИК!$L$9+'ПЛАН ЧИСТ К3'!C48*СПРАВОЧНИК!$M$9+'ПЛАН ЧИСТ К3'!D48*СПРАВОЧНИК!$N$9+'ПЛАН ЧИСТ К3'!E48*СПРАВОЧНИК!$O$9)+СПРАВОЧНИК!$F$10*('ПЛАН ЧИСТ К3'!F48*СПРАВОЧНИК!$L$10+'ПЛАН ЧИСТ К3'!G48*СПРАВОЧНИК!$M$10+'ПЛАН ЧИСТ К3'!H48*СПРАВОЧНИК!$N$10)+СПРАВОЧНИК!$F$11*('ПЛАН ЧИСТ К3'!I48*СПРАВОЧНИК!$L$11+'ПЛАН ЧИСТ К3'!J48*СПРАВОЧНИК!$M$11+'ПЛАН ЧИСТ К3'!K48*СПРАВОЧНИК!$N$11)+СПРАВОЧНИК!$F$12*('ПЛАН ЧИСТ К3'!L48*СПРАВОЧНИК!$L$12+'ПЛАН ЧИСТ К3'!M48*СПРАВОЧНИК!$M$12+'ПЛАН ЧИСТ К3'!N48*СПРАВОЧНИК!$N$12)+СПРАВОЧНИК!$F$13*('ПЛАН ЧИСТ К3'!O48*СПРАВОЧНИК!$L$13+'ПЛАН ЧИСТ К3'!P48*СПРАВОЧНИК!$M$13+'ПЛАН ЧИСТ К3'!Q48*СПРАВОЧНИК!$N$13)+СПРАВОЧНИК!$F$14*('ПЛАН ЧИСТ К3'!R48*СПРАВОЧНИК!$L$14+'ПЛАН ЧИСТ К3'!S48*СПРАВОЧНИК!$M$14+'ПЛАН ЧИСТ К3'!T48*СПРАВОЧНИК!$N$14)+СПРАВОЧНИК!$F$15*('ПЛАН ЧИСТ К3'!U48*СПРАВОЧНИК!$L$15+'ПЛАН ЧИСТ К3'!V48*СПРАВОЧНИК!$M$15+'ПЛАН ЧИСТ К3'!W48*СПРАВОЧНИК!$N$15)</f>
        <v>0</v>
      </c>
      <c r="BG57" s="40">
        <f>СПРАВОЧНИК!$E$9*(('ФАКТ ЧЕРН К3'!B48)*СПРАВОЧНИК!$H$9+('ФАКТ ЧЕРН К3'!C48)*СПРАВОЧНИК!$I$9+('ФАКТ ЧЕРН К3'!D48)*СПРАВОЧНИК!$J$9)+СПРАВОЧНИК!$E$10*(('ФАКТ ЧЕРН К3'!E48)*СПРАВОЧНИК!$H$10+('ФАКТ ЧЕРН К3'!F48)*СПРАВОЧНИК!$I$10+('ФАКТ ЧЕРН К3'!G48)*СПРАВОЧНИК!$J$10)+СПРАВОЧНИК!$E$11*(('ФАКТ ЧЕРН К3'!H48)*СПРАВОЧНИК!$H$11+('ФАКТ ЧЕРН К3'!I48)*СПРАВОЧНИК!$I$11+('ФАКТ ЧЕРН К3'!J48)*СПРАВОЧНИК!$J$11)+СПРАВОЧНИК!$E$12*(('ФАКТ ЧЕРН К3'!K48)*СПРАВОЧНИК!$H$12+('ФАКТ ЧЕРН К3'!L48)*СПРАВОЧНИК!$I$12+('ФАКТ ЧЕРН К3'!M48)*СПРАВОЧНИК!$J$12)+СПРАВОЧНИК!$E$13*(('ФАКТ ЧЕРН К3'!N48)*СПРАВОЧНИК!$H$13+('ФАКТ ЧЕРН К3'!O48)*СПРАВОЧНИК!$I$13+('ФАКТ ЧЕРН К3'!P48)*СПРАВОЧНИК!$J$13)+СПРАВОЧНИК!$E$14*(('ФАКТ ЧЕРН К3'!Q48)*СПРАВОЧНИК!$H$14+('ФАКТ ЧЕРН К3'!R48)*СПРАВОЧНИК!$I$14+('ФАКТ ЧЕРН К3'!S48)*СПРАВОЧНИК!$J$14)+СПРАВОЧНИК!$E$15*(('ФАКТ ЧЕРН К3'!T48)*СПРАВОЧНИК!$H$15+('ФАКТ ЧЕРН К3'!U48)*СПРАВОЧНИК!$I$15+('ФАКТ ЧЕРН К3'!V48)*СПРАВОЧНИК!$J$15)+СПРАВОЧНИК!$F$9*(('ФАКТ ЧИСТ К3'!B48)*СПРАВОЧНИК!$L$9+('ФАКТ ЧИСТ К3'!C48)*СПРАВОЧНИК!$M$9+('ФАКТ ЧИСТ К3'!D48)*СПРАВОЧНИК!$N$9+('ФАКТ ЧИСТ К3'!E48)*СПРАВОЧНИК!$O$9)+СПРАВОЧНИК!$F$10*(('ФАКТ ЧИСТ К3'!F48)*СПРАВОЧНИК!$L$10+('ФАКТ ЧИСТ К3'!G48)*СПРАВОЧНИК!$M$10+('ФАКТ ЧИСТ К3'!H48)*СПРАВОЧНИК!$N$10)+СПРАВОЧНИК!$F$11*(('ФАКТ ЧИСТ К3'!I48)*СПРАВОЧНИК!$L$11+('ФАКТ ЧИСТ К3'!J48)*СПРАВОЧНИК!$M$11+('ФАКТ ЧИСТ К3'!K48)*СПРАВОЧНИК!$N$11)+СПРАВОЧНИК!$F$12*(('ФАКТ ЧИСТ К3'!L48)*СПРАВОЧНИК!$L$12+('ФАКТ ЧИСТ К3'!M48)*СПРАВОЧНИК!$M$12+('ФАКТ ЧИСТ К3'!N48)*СПРАВОЧНИК!$N$12)+СПРАВОЧНИК!$F$13*(('ФАКТ ЧИСТ К3'!O48)*СПРАВОЧНИК!$L$13+('ФАКТ ЧИСТ К3'!P48)*СПРАВОЧНИК!$M$13+('ФАКТ ЧИСТ К3'!Q48)*СПРАВОЧНИК!$N$13)+СПРАВОЧНИК!$F$14*(('ФАКТ ЧИСТ К3'!R48)*СПРАВОЧНИК!$L$14+('ФАКТ ЧИСТ К3'!S48)*СПРАВОЧНИК!$M$14+('ФАКТ ЧИСТ К3'!T48)*СПРАВОЧНИК!$N$14)+СПРАВОЧНИК!$F$15*(('ФАКТ ЧИСТ К3'!U48)*СПРАВОЧНИК!$L$15+('ФАКТ ЧИСТ К3'!V48)*СПРАВОЧНИК!$M$15+('ФАКТ ЧИСТ К3'!W48)*СПРАВОЧНИК!$N$15)</f>
        <v>0</v>
      </c>
      <c r="BK57" s="18">
        <f t="shared" si="22"/>
        <v>46475</v>
      </c>
      <c r="BL57" s="37">
        <f>'ПЛАН ЧЕРН К3'!B48*СПРАВОЧНИК!$H$9+'ПЛАН ЧЕРН К3'!C48*СПРАВОЧНИК!$I$9+'ПЛАН ЧЕРН К3'!D48*СПРАВОЧНИК!$J$9+'ПЛАН ЧЕРН К3'!E48*СПРАВОЧНИК!$H$10+'ПЛАН ЧЕРН К3'!F48*СПРАВОЧНИК!$I$10+'ПЛАН ЧЕРН К3'!G48*СПРАВОЧНИК!$J$10+'ПЛАН ЧЕРН К3'!H48*СПРАВОЧНИК!$H$11+'ПЛАН ЧЕРН К3'!I48*СПРАВОЧНИК!$I$11+'ПЛАН ЧЕРН К3'!J48*СПРАВОЧНИК!$J$11+'ПЛАН ЧЕРН К3'!K48*СПРАВОЧНИК!$H$12+'ПЛАН ЧЕРН К3'!L48*СПРАВОЧНИК!$I$12+'ПЛАН ЧЕРН К3'!M48*СПРАВОЧНИК!$J$12+'ПЛАН ЧЕРН К3'!N48*СПРАВОЧНИК!$H$13+'ПЛАН ЧЕРН К3'!O48*СПРАВОЧНИК!$I$13+'ПЛАН ЧЕРН К3'!P48*СПРАВОЧНИК!$J$13+'ПЛАН ЧЕРН К3'!Q48*СПРАВОЧНИК!$H$14+'ПЛАН ЧЕРН К3'!R48*СПРАВОЧНИК!$I$14+'ПЛАН ЧЕРН К3'!S48*СПРАВОЧНИК!$J$14+'ПЛАН ЧЕРН К3'!T48*СПРАВОЧНИК!$H$15+'ПЛАН ЧЕРН К3'!U48*СПРАВОЧНИК!$I$15+'ПЛАН ЧЕРН К3'!V48*СПРАВОЧНИК!$J$15</f>
        <v>0</v>
      </c>
      <c r="BM57" s="40">
        <f>('ФАКТ ЧЕРН К3'!B48)*СПРАВОЧНИК!$H$9+('ФАКТ ЧЕРН К3'!C48)*СПРАВОЧНИК!$I$9+('ФАКТ ЧЕРН К3'!D48)*СПРАВОЧНИК!$J$9+('ФАКТ ЧЕРН К3'!E48)*СПРАВОЧНИК!$H$10+('ФАКТ ЧЕРН К3'!F48)*СПРАВОЧНИК!$I$10+('ФАКТ ЧЕРН К3'!G48)*СПРАВОЧНИК!$J$10+('ФАКТ ЧЕРН К3'!H48)*СПРАВОЧНИК!$H$11+('ФАКТ ЧЕРН К3'!I48)*СПРАВОЧНИК!$I$11+('ФАКТ ЧЕРН К3'!J48)*СПРАВОЧНИК!$J$11+('ФАКТ ЧЕРН К3'!K48)*СПРАВОЧНИК!$H$12+('ФАКТ ЧЕРН К3'!L48)*СПРАВОЧНИК!$I$12+('ФАКТ ЧЕРН К3'!M48)*СПРАВОЧНИК!$J$12+('ФАКТ ЧЕРН К3'!N48)*СПРАВОЧНИК!$H$13+('ФАКТ ЧЕРН К3'!O48)*СПРАВОЧНИК!$I$13+('ФАКТ ЧЕРН К3'!P48)*СПРАВОЧНИК!$J$13+('ФАКТ ЧЕРН К3'!Q48)*СПРАВОЧНИК!$H$14+('ФАКТ ЧЕРН К3'!R48)*СПРАВОЧНИК!$I$14+('ФАКТ ЧЕРН К3'!S48)*СПРАВОЧНИК!$J$14+('ФАКТ ЧЕРН К3'!T48)*СПРАВОЧНИК!$H$15+('ФАКТ ЧЕРН К3'!U48)*СПРАВОЧНИК!$I$15+('ФАКТ ЧЕРН К3'!V48)*СПРАВОЧНИК!$J$15</f>
        <v>0</v>
      </c>
      <c r="BQ57" s="18">
        <f t="shared" si="23"/>
        <v>46475</v>
      </c>
      <c r="BR57" s="37">
        <f>'ПЛАН ЧИСТ К3'!B48*СПРАВОЧНИК!$L$9+'ПЛАН ЧИСТ К3'!C48*СПРАВОЧНИК!$M$9+'ПЛАН ЧИСТ К3'!D48*СПРАВОЧНИК!$N$9+'ПЛАН ЧИСТ К3'!E48*СПРАВОЧНИК!$O$9+'ПЛАН ЧИСТ К3'!F48*СПРАВОЧНИК!$L$10+'ПЛАН ЧИСТ К3'!G48*СПРАВОЧНИК!$M$10+'ПЛАН ЧИСТ К3'!H48*СПРАВОЧНИК!$N$10+'ПЛАН ЧИСТ К3'!I48*СПРАВОЧНИК!$L$11+'ПЛАН ЧИСТ К3'!J48*СПРАВОЧНИК!$M$11+'ПЛАН ЧИСТ К3'!K48*СПРАВОЧНИК!$N$11+'ПЛАН ЧИСТ К3'!L48*СПРАВОЧНИК!$L$12+'ПЛАН ЧИСТ К3'!M48*СПРАВОЧНИК!$M$12+'ПЛАН ЧИСТ К3'!N48*СПРАВОЧНИК!$N$12+'ПЛАН ЧИСТ К3'!O48*СПРАВОЧНИК!$L$13+'ПЛАН ЧИСТ К3'!P48*СПРАВОЧНИК!$M$13+'ПЛАН ЧИСТ К3'!Q48*СПРАВОЧНИК!$N$13+'ПЛАН ЧИСТ К3'!R48*СПРАВОЧНИК!$L$14+'ПЛАН ЧИСТ К3'!S48*СПРАВОЧНИК!$M$14+'ПЛАН ЧИСТ К3'!T48*СПРАВОЧНИК!$N$14+'ПЛАН ЧИСТ К3'!U48*СПРАВОЧНИК!$L$15+'ПЛАН ЧИСТ К3'!V48*СПРАВОЧНИК!$M$15+'ПЛАН ЧИСТ К3'!W48*СПРАВОЧНИК!$N$15</f>
        <v>0</v>
      </c>
      <c r="BS57" s="40">
        <f>('ФАКТ ЧИСТ К3'!B48)*СПРАВОЧНИК!$L$9+('ФАКТ ЧИСТ К3'!C48)*СПРАВОЧНИК!$M$9+('ФАКТ ЧИСТ К3'!D48)*СПРАВОЧНИК!$N$9+('ФАКТ ЧИСТ К3'!E48)*СПРАВОЧНИК!$O$9+('ФАКТ ЧИСТ К3'!F48)*СПРАВОЧНИК!$L$10+('ФАКТ ЧИСТ К3'!G48)*СПРАВОЧНИК!$M$10+('ФАКТ ЧИСТ К3'!H48)*СПРАВОЧНИК!$N$10+('ФАКТ ЧИСТ К3'!I48)*СПРАВОЧНИК!$L$11+('ФАКТ ЧИСТ К3'!J48)*СПРАВОЧНИК!$M$11+('ФАКТ ЧИСТ К3'!K48)*СПРАВОЧНИК!$N$11+('ФАКТ ЧИСТ К3'!L48)*СПРАВОЧНИК!$L$12+('ФАКТ ЧИСТ К3'!M48)*СПРАВОЧНИК!$M$12+('ФАКТ ЧИСТ К3'!N48)*СПРАВОЧНИК!$N$12+('ФАКТ ЧИСТ К3'!O48)*СПРАВОЧНИК!$L$13+('ФАКТ ЧИСТ К3'!P48)*СПРАВОЧНИК!$M$13+('ФАКТ ЧИСТ К3'!Q48)*СПРАВОЧНИК!$N$13+('ФАКТ ЧИСТ К3'!R48)*СПРАВОЧНИК!$L$14+('ФАКТ ЧИСТ К3'!S48)*СПРАВОЧНИК!$M$14+('ФАКТ ЧИСТ К3'!T48)*СПРАВОЧНИК!$N$14+('ФАКТ ЧИСТ К3'!U48)*СПРАВОЧНИК!$L$15+('ФАКТ ЧИСТ К3'!V48)*СПРАВОЧНИК!$M$15+('ФАКТ ЧИСТ К3'!W48)*СПРАВОЧНИК!$N$15</f>
        <v>0</v>
      </c>
      <c r="BW57" s="18">
        <f t="shared" si="24"/>
        <v>46475</v>
      </c>
      <c r="BX57" s="37">
        <f t="shared" si="0"/>
        <v>0</v>
      </c>
      <c r="BY57" s="40">
        <f t="shared" si="1"/>
        <v>0</v>
      </c>
      <c r="CC57" s="18">
        <f t="shared" si="25"/>
        <v>46475</v>
      </c>
      <c r="CD57" s="37">
        <f t="shared" si="2"/>
        <v>0</v>
      </c>
      <c r="CE57" s="40">
        <f t="shared" si="3"/>
        <v>0</v>
      </c>
      <c r="CI57" s="18">
        <f t="shared" si="26"/>
        <v>46475</v>
      </c>
      <c r="CJ57" s="37">
        <f t="shared" si="4"/>
        <v>0</v>
      </c>
      <c r="CK57" s="40">
        <f t="shared" si="5"/>
        <v>0</v>
      </c>
      <c r="CO57" s="18">
        <f t="shared" si="27"/>
        <v>46475</v>
      </c>
      <c r="CP57" s="37">
        <f t="shared" si="6"/>
        <v>0</v>
      </c>
      <c r="CQ57" s="40">
        <f t="shared" si="7"/>
        <v>0</v>
      </c>
      <c r="CU57" s="18">
        <f t="shared" si="28"/>
        <v>46475</v>
      </c>
      <c r="CV57" s="37">
        <f t="shared" si="8"/>
        <v>0</v>
      </c>
      <c r="CW57" s="40">
        <f t="shared" si="9"/>
        <v>0</v>
      </c>
      <c r="DA57" s="18">
        <f t="shared" si="29"/>
        <v>46475</v>
      </c>
      <c r="DB57" s="37">
        <f t="shared" si="10"/>
        <v>0</v>
      </c>
      <c r="DC57" s="40">
        <f t="shared" si="11"/>
        <v>0</v>
      </c>
    </row>
    <row r="58" spans="3:107" x14ac:dyDescent="0.25">
      <c r="C58" s="18">
        <f t="shared" si="12"/>
        <v>46482</v>
      </c>
      <c r="D58" s="37">
        <f>СПРАВОЧНИК!$E$3*('ПЛАН ЧЕРН ПОДЗЕМ'!B49*СПРАВОЧНИК!$H$3+'ПЛАН ЧЕРН ПОДЗЕМ'!C49*СПРАВОЧНИК!$I$3+'ПЛАН ЧЕРН ПОДЗЕМ'!D49*СПРАВОЧНИК!$J$3)+СПРАВОЧНИК!$E$4*('ПЛАН ЧЕРН ПОДЗЕМ'!E49*СПРАВОЧНИК!$H$4+'ПЛАН ЧЕРН ПОДЗЕМ'!F49*СПРАВОЧНИК!$I$4+'ПЛАН ЧЕРН ПОДЗЕМ'!G49*СПРАВОЧНИК!$J$4)+СПРАВОЧНИК!$E$5*('ПЛАН ЧЕРН ПОДЗЕМ'!H49*СПРАВОЧНИК!$H$5+'ПЛАН ЧЕРН ПОДЗЕМ'!I49*СПРАВОЧНИК!$I$5+'ПЛАН ЧЕРН ПОДЗЕМ'!J49*СПРАВОЧНИК!$J$5)+СПРАВОЧНИК!$E$6*('ПЛАН ЧЕРН ПОДЗЕМ'!K49*СПРАВОЧНИК!$H$6+'ПЛАН ЧЕРН ПОДЗЕМ'!L49*СПРАВОЧНИК!$I$6+'ПЛАН ЧЕРН ПОДЗЕМ'!M49*СПРАВОЧНИК!$J$6)+СПРАВОЧНИК!$E$7*('ПЛАН ЧЕРН ПОДЗЕМ'!N49*СПРАВОЧНИК!$H$7+'ПЛАН ЧЕРН ПОДЗЕМ'!O49*СПРАВОЧНИК!$I$7+'ПЛАН ЧЕРН ПОДЗЕМ'!P49*СПРАВОЧНИК!$J$7)+СПРАВОЧНИК!$E$8*('ПЛАН ЧЕРН ПОДЗЕМ'!Q49*СПРАВОЧНИК!$H$8+'ПЛАН ЧЕРН ПОДЗЕМ'!R49*СПРАВОЧНИК!$I$8+'ПЛАН ЧЕРН ПОДЗЕМ'!S49*СПРАВОЧНИК!$J$8)+СПРАВОЧНИК!$F$3*('ПЛАН ЧИСТ ПОДЗЕМ'!B49*СПРАВОЧНИК!$L$3+'ПЛАН ЧИСТ ПОДЗЕМ'!C49*СПРАВОЧНИК!$M$3+'ПЛАН ЧИСТ ПОДЗЕМ'!D49*СПРАВОЧНИК!$N$3)+СПРАВОЧНИК!$F$4*('ПЛАН ЧИСТ ПОДЗЕМ'!E49*СПРАВОЧНИК!$L$4+'ПЛАН ЧИСТ ПОДЗЕМ'!F49*СПРАВОЧНИК!$M$4+'ПЛАН ЧИСТ ПОДЗЕМ'!G49*СПРАВОЧНИК!$N$4)+СПРАВОЧНИК!$F$5*('ПЛАН ЧИСТ ПОДЗЕМ'!H49*СПРАВОЧНИК!$L$5+'ПЛАН ЧИСТ ПОДЗЕМ'!I49*СПРАВОЧНИК!$M$5+'ПЛАН ЧИСТ ПОДЗЕМ'!J49*СПРАВОЧНИК!$N$5)+СПРАВОЧНИК!$F$6*('ПЛАН ЧИСТ ПОДЗЕМ'!K49*СПРАВОЧНИК!$L$6+'ПЛАН ЧИСТ ПОДЗЕМ'!L49*СПРАВОЧНИК!$M$6+'ПЛАН ЧИСТ ПОДЗЕМ'!M49*СПРАВОЧНИК!$N$6)+СПРАВОЧНИК!$F$7*('ПЛАН ЧИСТ ПОДЗЕМ'!N49*СПРАВОЧНИК!$L$7+'ПЛАН ЧИСТ ПОДЗЕМ'!O49*СПРАВОЧНИК!$M$7+'ПЛАН ЧИСТ ПОДЗЕМ'!P49*СПРАВОЧНИК!$N$7)+СПРАВОЧНИК!$F$8*('ПЛАН ЧИСТ ПОДЗЕМ'!Q49*СПРАВОЧНИК!$L$8+'ПЛАН ЧИСТ ПОДЗЕМ'!R49*СПРАВОЧНИК!$M$8+'ПЛАН ЧИСТ ПОДЗЕМ'!S49*СПРАВОЧНИК!$N$8)</f>
        <v>0</v>
      </c>
      <c r="E58" s="40">
        <f>СПРАВОЧНИК!$E$3*(('ФАКТ ЧЕРН ПОДЗЕМ'!B49)*СПРАВОЧНИК!$H$3+('ФАКТ ЧЕРН ПОДЗЕМ'!C49)*СПРАВОЧНИК!$I$3+('ФАКТ ЧЕРН ПОДЗЕМ'!D49)*СПРАВОЧНИК!$J$3)+СПРАВОЧНИК!$E$4*(('ФАКТ ЧЕРН ПОДЗЕМ'!E49)*СПРАВОЧНИК!$H$4+('ФАКТ ЧЕРН ПОДЗЕМ'!F49)*СПРАВОЧНИК!$I$4+('ФАКТ ЧЕРН ПОДЗЕМ'!G49)*СПРАВОЧНИК!$J$4)+СПРАВОЧНИК!$E$5*(('ФАКТ ЧЕРН ПОДЗЕМ'!H49)*СПРАВОЧНИК!$H$5+('ФАКТ ЧЕРН ПОДЗЕМ'!I49)*СПРАВОЧНИК!$I$5+('ФАКТ ЧЕРН ПОДЗЕМ'!J49)*СПРАВОЧНИК!$J$5)+СПРАВОЧНИК!$E$6*(('ФАКТ ЧЕРН ПОДЗЕМ'!K49)*СПРАВОЧНИК!$H$6+('ФАКТ ЧЕРН ПОДЗЕМ'!L49)*СПРАВОЧНИК!$I$6+('ФАКТ ЧЕРН ПОДЗЕМ'!M49)*СПРАВОЧНИК!$J$6)+СПРАВОЧНИК!$E$7*(('ФАКТ ЧЕРН ПОДЗЕМ'!N49)*СПРАВОЧНИК!$H$7+('ФАКТ ЧЕРН ПОДЗЕМ'!O49)*СПРАВОЧНИК!$I$7+('ФАКТ ЧЕРН ПОДЗЕМ'!P49)*СПРАВОЧНИК!$J$7)+СПРАВОЧНИК!$E$8*(('ФАКТ ЧЕРН ПОДЗЕМ'!Q49)*СПРАВОЧНИК!$H$8+('ФАКТ ЧЕРН ПОДЗЕМ'!R49)*СПРАВОЧНИК!$I$8+('ФАКТ ЧЕРН ПОДЗЕМ'!S49)*СПРАВОЧНИК!$J$8)+СПРАВОЧНИК!$F$3*(('ФАКТ ЧИСТ ПОДЗЕМ'!B49)*СПРАВОЧНИК!$L$3+('ФАКТ ЧИСТ ПОДЗЕМ'!C49)*СПРАВОЧНИК!$M$3+('ФАКТ ЧИСТ ПОДЗЕМ'!D49)*СПРАВОЧНИК!$N$3)+СПРАВОЧНИК!$F$4*(('ФАКТ ЧИСТ ПОДЗЕМ'!E49)*СПРАВОЧНИК!$L$4+('ФАКТ ЧИСТ ПОДЗЕМ'!F49)*СПРАВОЧНИК!$M$4+('ФАКТ ЧИСТ ПОДЗЕМ'!G49)*СПРАВОЧНИК!$N$4)+СПРАВОЧНИК!$F$5*(('ФАКТ ЧИСТ ПОДЗЕМ'!H49)*СПРАВОЧНИК!$L$5+('ФАКТ ЧИСТ ПОДЗЕМ'!I49)*СПРАВОЧНИК!$M$5+('ФАКТ ЧИСТ ПОДЗЕМ'!J49)*СПРАВОЧНИК!$N$5)+СПРАВОЧНИК!$F$6*(('ФАКТ ЧИСТ ПОДЗЕМ'!K49)*СПРАВОЧНИК!$L$6+('ФАКТ ЧИСТ ПОДЗЕМ'!L49)*СПРАВОЧНИК!$M$6+('ФАКТ ЧИСТ ПОДЗЕМ'!M49)*СПРАВОЧНИК!$N$6)+СПРАВОЧНИК!$F$7*(('ФАКТ ЧИСТ ПОДЗЕМ'!N49)*СПРАВОЧНИК!$L$7+('ФАКТ ЧИСТ ПОДЗЕМ'!O49)*СПРАВОЧНИК!$M$7+('ФАКТ ЧИСТ ПОДЗЕМ'!P49)*СПРАВОЧНИК!$N$7)+СПРАВОЧНИК!$F$8*(('ФАКТ ЧИСТ ПОДЗЕМ'!Q49)*СПРАВОЧНИК!$L$8+('ФАКТ ЧИСТ ПОДЗЕМ'!R49)*СПРАВОЧНИК!$M$8+('ФАКТ ЧИСТ ПОДЗЕМ'!S49)*СПРАВОЧНИК!$N$8)</f>
        <v>0</v>
      </c>
      <c r="I58" s="18">
        <f t="shared" si="13"/>
        <v>46482</v>
      </c>
      <c r="J58" s="37">
        <f>'ПЛАН ЧЕРН ПОДЗЕМ'!B49*СПРАВОЧНИК!$H$3+'ПЛАН ЧЕРН ПОДЗЕМ'!C49*СПРАВОЧНИК!$I$3+'ПЛАН ЧЕРН ПОДЗЕМ'!D49*СПРАВОЧНИК!$J$3+'ПЛАН ЧЕРН ПОДЗЕМ'!E49*СПРАВОЧНИК!$H$4+'ПЛАН ЧЕРН ПОДЗЕМ'!F49*СПРАВОЧНИК!$I$4+'ПЛАН ЧЕРН ПОДЗЕМ'!G49*СПРАВОЧНИК!$J$4+'ПЛАН ЧЕРН ПОДЗЕМ'!H49*СПРАВОЧНИК!$H$5+'ПЛАН ЧЕРН ПОДЗЕМ'!I49*СПРАВОЧНИК!$I$5+'ПЛАН ЧЕРН ПОДЗЕМ'!J49*СПРАВОЧНИК!$J$5+'ПЛАН ЧЕРН ПОДЗЕМ'!K49*СПРАВОЧНИК!$H$6+'ПЛАН ЧЕРН ПОДЗЕМ'!L49*СПРАВОЧНИК!$I$6+'ПЛАН ЧЕРН ПОДЗЕМ'!M49*СПРАВОЧНИК!$J$6+'ПЛАН ЧЕРН ПОДЗЕМ'!N49*СПРАВОЧНИК!$H$7+'ПЛАН ЧЕРН ПОДЗЕМ'!O49*СПРАВОЧНИК!$I$7+'ПЛАН ЧЕРН ПОДЗЕМ'!P49*СПРАВОЧНИК!$J$7+'ПЛАН ЧЕРН ПОДЗЕМ'!Q49*СПРАВОЧНИК!$H$8+'ПЛАН ЧЕРН ПОДЗЕМ'!R49*СПРАВОЧНИК!$I$8+'ПЛАН ЧЕРН ПОДЗЕМ'!S49*СПРАВОЧНИК!$J$8</f>
        <v>0</v>
      </c>
      <c r="K58" s="40">
        <f>('ФАКТ ЧЕРН ПОДЗЕМ'!B49)*СПРАВОЧНИК!$H$3+('ФАКТ ЧЕРН ПОДЗЕМ'!C49)*СПРАВОЧНИК!$I$3+('ФАКТ ЧЕРН ПОДЗЕМ'!D49)*СПРАВОЧНИК!$J$3+('ФАКТ ЧЕРН ПОДЗЕМ'!E49)*СПРАВОЧНИК!$H$4+('ФАКТ ЧЕРН ПОДЗЕМ'!F49)*СПРАВОЧНИК!$I$4+('ФАКТ ЧЕРН ПОДЗЕМ'!G49)*СПРАВОЧНИК!$J$4+('ФАКТ ЧЕРН ПОДЗЕМ'!H49)*СПРАВОЧНИК!$H$5+('ФАКТ ЧЕРН ПОДЗЕМ'!I49)*СПРАВОЧНИК!$I$5+('ФАКТ ЧЕРН ПОДЗЕМ'!J49)*СПРАВОЧНИК!$J$5+('ФАКТ ЧЕРН ПОДЗЕМ'!K49)*СПРАВОЧНИК!$H$6+('ФАКТ ЧЕРН ПОДЗЕМ'!L49)*СПРАВОЧНИК!$I$6+('ФАКТ ЧЕРН ПОДЗЕМ'!M49)*СПРАВОЧНИК!$J$6+('ФАКТ ЧЕРН ПОДЗЕМ'!N49)*СПРАВОЧНИК!$H$7+('ФАКТ ЧЕРН ПОДЗЕМ'!O49)*СПРАВОЧНИК!$I$7+('ФАКТ ЧЕРН ПОДЗЕМ'!P49)*СПРАВОЧНИК!$J$7+('ФАКТ ЧЕРН ПОДЗЕМ'!Q49)*СПРАВОЧНИК!$H$8+('ФАКТ ЧЕРН ПОДЗЕМ'!R49)*СПРАВОЧНИК!$I$8+('ФАКТ ЧЕРН ПОДЗЕМ'!S49)*СПРАВОЧНИК!$J$8</f>
        <v>0</v>
      </c>
      <c r="O58" s="18">
        <f t="shared" si="14"/>
        <v>46482</v>
      </c>
      <c r="P58" s="37">
        <f>'ПЛАН ЧИСТ ПОДЗЕМ'!B49*СПРАВОЧНИК!$L$3+'ПЛАН ЧИСТ ПОДЗЕМ'!C49*СПРАВОЧНИК!$M$3+'ПЛАН ЧИСТ ПОДЗЕМ'!D49*СПРАВОЧНИК!$N$3+'ПЛАН ЧИСТ ПОДЗЕМ'!E49*СПРАВОЧНИК!$L$4+'ПЛАН ЧИСТ ПОДЗЕМ'!F49*СПРАВОЧНИК!$M$4+'ПЛАН ЧИСТ ПОДЗЕМ'!G49*СПРАВОЧНИК!$N$4+'ПЛАН ЧИСТ ПОДЗЕМ'!H49*СПРАВОЧНИК!$L$5+'ПЛАН ЧИСТ ПОДЗЕМ'!I49*СПРАВОЧНИК!$M$5+'ПЛАН ЧИСТ ПОДЗЕМ'!J49*СПРАВОЧНИК!$N$5+'ПЛАН ЧИСТ ПОДЗЕМ'!K49*СПРАВОЧНИК!$L$6+'ПЛАН ЧИСТ ПОДЗЕМ'!L49*СПРАВОЧНИК!$M$6+'ПЛАН ЧИСТ ПОДЗЕМ'!M49*СПРАВОЧНИК!$N$6+'ПЛАН ЧИСТ ПОДЗЕМ'!N49*СПРАВОЧНИК!$L$7+'ПЛАН ЧИСТ ПОДЗЕМ'!O49*СПРАВОЧНИК!$M$7+'ПЛАН ЧИСТ ПОДЗЕМ'!P49*СПРАВОЧНИК!$N$7+'ПЛАН ЧИСТ ПОДЗЕМ'!Q49*СПРАВОЧНИК!$L$8+'ПЛАН ЧИСТ ПОДЗЕМ'!R49*СПРАВОЧНИК!$M$8+'ПЛАН ЧИСТ ПОДЗЕМ'!S49*СПРАВОЧНИК!$N$8</f>
        <v>0</v>
      </c>
      <c r="Q58" s="40">
        <f>('ФАКТ ЧИСТ ПОДЗЕМ'!B49)*СПРАВОЧНИК!$L$3+('ФАКТ ЧИСТ ПОДЗЕМ'!C49)*СПРАВОЧНИК!$M$3+('ФАКТ ЧИСТ ПОДЗЕМ'!D49)*СПРАВОЧНИК!$N$3+('ФАКТ ЧИСТ ПОДЗЕМ'!E49)*СПРАВОЧНИК!$L$4+('ФАКТ ЧИСТ ПОДЗЕМ'!F49)*СПРАВОЧНИК!$M$4+('ФАКТ ЧИСТ ПОДЗЕМ'!G49)*СПРАВОЧНИК!$N$4+('ФАКТ ЧИСТ ПОДЗЕМ'!H49)*СПРАВОЧНИК!$L$5+('ФАКТ ЧИСТ ПОДЗЕМ'!I49)*СПРАВОЧНИК!$M$5+('ФАКТ ЧИСТ ПОДЗЕМ'!J49)*СПРАВОЧНИК!$N$5+('ФАКТ ЧИСТ ПОДЗЕМ'!K49)*СПРАВОЧНИК!$L$6+('ФАКТ ЧИСТ ПОДЗЕМ'!L49)*СПРАВОЧНИК!$M$6+('ФАКТ ЧИСТ ПОДЗЕМ'!M49)*СПРАВОЧНИК!$N$6+('ФАКТ ЧИСТ ПОДЗЕМ'!N49)*СПРАВОЧНИК!$L$7+('ФАКТ ЧИСТ ПОДЗЕМ'!O49)*СПРАВОЧНИК!$M$7+('ФАКТ ЧИСТ ПОДЗЕМ'!P49)*СПРАВОЧНИК!$N$7+('ФАКТ ЧИСТ ПОДЗЕМ'!Q49)*СПРАВОЧНИК!$L$8+('ФАКТ ЧИСТ ПОДЗЕМ'!R49)*СПРАВОЧНИК!$M$8+('ФАКТ ЧИСТ ПОДЗЕМ'!S49)*СПРАВОЧНИК!$N$8</f>
        <v>0</v>
      </c>
      <c r="U58" s="18">
        <f t="shared" si="15"/>
        <v>46482</v>
      </c>
      <c r="V58" s="37">
        <f>СПРАВОЧНИК!$E$9*('ПЛАН ЧЕРН К1'!B49*СПРАВОЧНИК!$H$9+'ПЛАН ЧЕРН К1'!C49*СПРАВОЧНИК!$I$9+'ПЛАН ЧЕРН К1'!D49*СПРАВОЧНИК!$J$9)+СПРАВОЧНИК!$E$10*('ПЛАН ЧЕРН К1'!E49*СПРАВОЧНИК!$H$10+'ПЛАН ЧЕРН К1'!F49*СПРАВОЧНИК!$I$10+'ПЛАН ЧЕРН К1'!G49*СПРАВОЧНИК!$J$10)+СПРАВОЧНИК!$E$11*('ПЛАН ЧЕРН К1'!H49*СПРАВОЧНИК!$H$11+'ПЛАН ЧЕРН К1'!I49*СПРАВОЧНИК!$I$11+'ПЛАН ЧЕРН К1'!J49*СПРАВОЧНИК!$J$11)+СПРАВОЧНИК!$E$12*('ПЛАН ЧЕРН К1'!K49*СПРАВОЧНИК!$H$12+'ПЛАН ЧЕРН К1'!L49*СПРАВОЧНИК!$I$12+'ПЛАН ЧЕРН К1'!M49*СПРАВОЧНИК!$J$12)+СПРАВОЧНИК!$E$13*('ПЛАН ЧЕРН К1'!N49*СПРАВОЧНИК!$H$13+'ПЛАН ЧЕРН К1'!O49*СПРАВОЧНИК!$I$13+'ПЛАН ЧЕРН К1'!P49*СПРАВОЧНИК!$J$13)+СПРАВОЧНИК!$E$14*('ПЛАН ЧЕРН К1'!Q49*СПРАВОЧНИК!$H$14+'ПЛАН ЧЕРН К1'!R49*СПРАВОЧНИК!$I$14+'ПЛАН ЧЕРН К1'!S49*СПРАВОЧНИК!$J$14)+СПРАВОЧНИК!$E$15*('ПЛАН ЧЕРН К1'!T49*СПРАВОЧНИК!$H$15+'ПЛАН ЧЕРН К1'!U49*СПРАВОЧНИК!$I$15+'ПЛАН ЧЕРН К1'!V49*СПРАВОЧНИК!$J$15)+СПРАВОЧНИК!$F$9*('ПЛАН ЧИСТ К1'!B49*СПРАВОЧНИК!$L$9+'ПЛАН ЧИСТ К1'!C49*СПРАВОЧНИК!$M$9+'ПЛАН ЧИСТ К1'!D49*СПРАВОЧНИК!$N$9+'ПЛАН ЧИСТ К1'!E49*СПРАВОЧНИК!$O$9)+СПРАВОЧНИК!$F$10*('ПЛАН ЧИСТ К1'!F49*СПРАВОЧНИК!$L$10+'ПЛАН ЧИСТ К1'!G49*СПРАВОЧНИК!$M$10+'ПЛАН ЧИСТ К1'!H49*СПРАВОЧНИК!$N$10)+СПРАВОЧНИК!$F$11*('ПЛАН ЧИСТ К1'!I49*СПРАВОЧНИК!$L$11+'ПЛАН ЧИСТ К1'!J49*СПРАВОЧНИК!$M$11+'ПЛАН ЧИСТ К1'!K49*СПРАВОЧНИК!$N$11)+СПРАВОЧНИК!$F$12*('ПЛАН ЧИСТ К1'!L49*СПРАВОЧНИК!$L$12+'ПЛАН ЧИСТ К1'!M49*СПРАВОЧНИК!$M$12+'ПЛАН ЧИСТ К1'!N49*СПРАВОЧНИК!$N$12)+СПРАВОЧНИК!$F$13*('ПЛАН ЧИСТ К1'!O49*СПРАВОЧНИК!$L$13+'ПЛАН ЧИСТ К1'!P49*СПРАВОЧНИК!$M$13+'ПЛАН ЧИСТ К1'!Q49*СПРАВОЧНИК!$N$13)+СПРАВОЧНИК!$F$14*('ПЛАН ЧИСТ К1'!R49*СПРАВОЧНИК!$L$14+'ПЛАН ЧИСТ К1'!S49*СПРАВОЧНИК!$M$14+'ПЛАН ЧИСТ К1'!T49*СПРАВОЧНИК!$N$14)+СПРАВОЧНИК!$F$15*('ПЛАН ЧИСТ К1'!U49*СПРАВОЧНИК!$L$15+'ПЛАН ЧИСТ К1'!V49*СПРАВОЧНИК!$M$15+'ПЛАН ЧИСТ К1'!W49*СПРАВОЧНИК!$N$15)</f>
        <v>0</v>
      </c>
      <c r="W58" s="40">
        <f>СПРАВОЧНИК!$E$9*(('ФАКТ ЧЕРН К1'!B49)*СПРАВОЧНИК!$H$9+('ФАКТ ЧЕРН К1'!C49)*СПРАВОЧНИК!$I$9+('ФАКТ ЧЕРН К1'!D49)*СПРАВОЧНИК!$J$9)+СПРАВОЧНИК!$E$10*(('ФАКТ ЧЕРН К1'!E49)*СПРАВОЧНИК!$H$10+('ФАКТ ЧЕРН К1'!F49)*СПРАВОЧНИК!$I$10+('ФАКТ ЧЕРН К1'!G49)*СПРАВОЧНИК!$J$10)+СПРАВОЧНИК!$E$11*(('ФАКТ ЧЕРН К1'!H49)*СПРАВОЧНИК!$H$11+('ФАКТ ЧЕРН К1'!I49)*СПРАВОЧНИК!$I$11+('ФАКТ ЧЕРН К1'!J49)*СПРАВОЧНИК!$J$11)+СПРАВОЧНИК!$E$12*(('ФАКТ ЧЕРН К1'!K49)*СПРАВОЧНИК!$H$12+('ФАКТ ЧЕРН К1'!L49)*СПРАВОЧНИК!$I$12+('ФАКТ ЧЕРН К1'!M49)*СПРАВОЧНИК!$J$12)+СПРАВОЧНИК!$E$13*(('ФАКТ ЧЕРН К1'!N49)*СПРАВОЧНИК!$H$13+('ФАКТ ЧЕРН К1'!O49)*СПРАВОЧНИК!$I$13+('ФАКТ ЧЕРН К1'!P49)*СПРАВОЧНИК!$J$13)+СПРАВОЧНИК!$E$14*(('ФАКТ ЧЕРН К1'!Q49)*СПРАВОЧНИК!$H$14+('ФАКТ ЧЕРН К1'!R49)*СПРАВОЧНИК!$I$14+('ФАКТ ЧЕРН К1'!S49)*СПРАВОЧНИК!$J$14)+СПРАВОЧНИК!$E$15*(('ФАКТ ЧЕРН К1'!T49)*СПРАВОЧНИК!$H$15+('ФАКТ ЧЕРН К1'!U49)*СПРАВОЧНИК!$I$15+('ФАКТ ЧЕРН К1'!V49)*СПРАВОЧНИК!$J$15)+СПРАВОЧНИК!$F$9*(('ФАКТ ЧИСТ К1'!B49)*СПРАВОЧНИК!$L$9+('ФАКТ ЧИСТ К1'!C49)*СПРАВОЧНИК!$M$9+('ФАКТ ЧИСТ К1'!D49)*СПРАВОЧНИК!$N$9+('ФАКТ ЧИСТ К1'!E49)*СПРАВОЧНИК!$O$9)+СПРАВОЧНИК!$F$10*(('ФАКТ ЧИСТ К1'!F49)*СПРАВОЧНИК!$L$10+('ФАКТ ЧИСТ К1'!G49)*СПРАВОЧНИК!$M$10+('ФАКТ ЧИСТ К1'!H49)*СПРАВОЧНИК!$N$10)+СПРАВОЧНИК!$F$11*(('ФАКТ ЧИСТ К1'!I49)*СПРАВОЧНИК!$L$11+('ФАКТ ЧИСТ К1'!J49)*СПРАВОЧНИК!$M$11+('ФАКТ ЧИСТ К1'!K49)*СПРАВОЧНИК!$N$11)+СПРАВОЧНИК!$F$12*(('ФАКТ ЧИСТ К1'!L49)*СПРАВОЧНИК!$L$12+('ФАКТ ЧИСТ К1'!M49)*СПРАВОЧНИК!$M$12+('ФАКТ ЧИСТ К1'!N49)*СПРАВОЧНИК!$N$12)+СПРАВОЧНИК!$F$13*(('ФАКТ ЧИСТ К1'!O49)*СПРАВОЧНИК!$L$13+('ФАКТ ЧИСТ К1'!P49)*СПРАВОЧНИК!$M$13+('ФАКТ ЧИСТ К1'!Q49)*СПРАВОЧНИК!$N$13)+СПРАВОЧНИК!$F$14*(('ФАКТ ЧИСТ К1'!R49)*СПРАВОЧНИК!$L$14+('ФАКТ ЧИСТ К1'!S49)*СПРАВОЧНИК!$M$14+('ФАКТ ЧИСТ К1'!T49)*СПРАВОЧНИК!$N$14)+СПРАВОЧНИК!$F$15*(('ФАКТ ЧИСТ К1'!U49)*СПРАВОЧНИК!$L$15+('ФАКТ ЧИСТ К1'!V49)*СПРАВОЧНИК!$M$15+('ФАКТ ЧИСТ К1'!W49)*СПРАВОЧНИК!$N$15)</f>
        <v>0</v>
      </c>
      <c r="AA58" s="18">
        <f t="shared" si="16"/>
        <v>46482</v>
      </c>
      <c r="AB58" s="37">
        <f>'ПЛАН ЧЕРН К1'!B49*СПРАВОЧНИК!$H$9+'ПЛАН ЧЕРН К1'!C49*СПРАВОЧНИК!$I$9+'ПЛАН ЧЕРН К1'!D49*СПРАВОЧНИК!$J$9+'ПЛАН ЧЕРН К1'!E49*СПРАВОЧНИК!$H$10+'ПЛАН ЧЕРН К1'!F49*СПРАВОЧНИК!$I$10+'ПЛАН ЧЕРН К1'!G49*СПРАВОЧНИК!$J$10+'ПЛАН ЧЕРН К1'!H49*СПРАВОЧНИК!$H$11+'ПЛАН ЧЕРН К1'!I49*СПРАВОЧНИК!$I$11+'ПЛАН ЧЕРН К1'!J49*СПРАВОЧНИК!$J$11+'ПЛАН ЧЕРН К1'!K49*СПРАВОЧНИК!$H$12+'ПЛАН ЧЕРН К1'!L49*СПРАВОЧНИК!$I$12+'ПЛАН ЧЕРН К1'!M49*СПРАВОЧНИК!$J$12+'ПЛАН ЧЕРН К1'!N49*СПРАВОЧНИК!$H$13+'ПЛАН ЧЕРН К1'!O49*СПРАВОЧНИК!$I$13+'ПЛАН ЧЕРН К1'!P49*СПРАВОЧНИК!$J$13+'ПЛАН ЧЕРН К1'!Q49*СПРАВОЧНИК!$H$14+'ПЛАН ЧЕРН К1'!R49*СПРАВОЧНИК!$I$14+'ПЛАН ЧЕРН К1'!S49*СПРАВОЧНИК!$J$14+'ПЛАН ЧЕРН К1'!T49*СПРАВОЧНИК!$H$15+'ПЛАН ЧЕРН К1'!U49*СПРАВОЧНИК!$I$15+'ПЛАН ЧЕРН К1'!V49*СПРАВОЧНИК!$J$15</f>
        <v>0</v>
      </c>
      <c r="AC58" s="40">
        <f>('ФАКТ ЧЕРН К1'!B49)*СПРАВОЧНИК!$H$9+('ФАКТ ЧЕРН К1'!C49)*СПРАВОЧНИК!$I$9+('ФАКТ ЧЕРН К1'!D49)*СПРАВОЧНИК!$J$9+('ФАКТ ЧЕРН К1'!E49)*СПРАВОЧНИК!$H$10+('ФАКТ ЧЕРН К1'!F49)*СПРАВОЧНИК!$I$10+('ФАКТ ЧЕРН К1'!G49)*СПРАВОЧНИК!$J$10+('ФАКТ ЧЕРН К1'!H49)*СПРАВОЧНИК!$H$11+('ФАКТ ЧЕРН К1'!I49)*СПРАВОЧНИК!$I$11+('ФАКТ ЧЕРН К1'!J49)*СПРАВОЧНИК!$J$11+('ФАКТ ЧЕРН К1'!K49)*СПРАВОЧНИК!$H$12+('ФАКТ ЧЕРН К1'!L49)*СПРАВОЧНИК!$I$12+('ФАКТ ЧЕРН К1'!M49)*СПРАВОЧНИК!$J$12+('ФАКТ ЧЕРН К1'!N49)*СПРАВОЧНИК!$H$13+('ФАКТ ЧЕРН К1'!O49)*СПРАВОЧНИК!$I$13+('ФАКТ ЧЕРН К1'!P49)*СПРАВОЧНИК!$J$13+('ФАКТ ЧЕРН К1'!Q49)*СПРАВОЧНИК!$H$14+('ФАКТ ЧЕРН К1'!R49)*СПРАВОЧНИК!$I$14+('ФАКТ ЧЕРН К1'!S49)*СПРАВОЧНИК!$J$14+('ФАКТ ЧЕРН К1'!T49)*СПРАВОЧНИК!$H$15+('ФАКТ ЧЕРН К1'!U49)*СПРАВОЧНИК!$I$15+('ФАКТ ЧЕРН К1'!V49)*СПРАВОЧНИК!$J$15</f>
        <v>0</v>
      </c>
      <c r="AG58" s="18">
        <f t="shared" si="17"/>
        <v>46482</v>
      </c>
      <c r="AH58" s="37">
        <f>'ПЛАН ЧИСТ К1'!B49*СПРАВОЧНИК!$L$9+'ПЛАН ЧИСТ К1'!C49*СПРАВОЧНИК!$M$9+'ПЛАН ЧИСТ К1'!D49*СПРАВОЧНИК!$N$9+'ПЛАН ЧИСТ К1'!E49*СПРАВОЧНИК!$O$9+'ПЛАН ЧИСТ К1'!F49*СПРАВОЧНИК!$L$10+'ПЛАН ЧИСТ К1'!G49*СПРАВОЧНИК!$M$10+'ПЛАН ЧИСТ К1'!H49*СПРАВОЧНИК!$N$10+'ПЛАН ЧИСТ К1'!I49*СПРАВОЧНИК!$L$11+'ПЛАН ЧИСТ К1'!J49*СПРАВОЧНИК!$M$11+'ПЛАН ЧИСТ К1'!K49*СПРАВОЧНИК!$N$11+'ПЛАН ЧИСТ К1'!L49*СПРАВОЧНИК!$L$12+'ПЛАН ЧИСТ К1'!M49*СПРАВОЧНИК!$M$12+'ПЛАН ЧИСТ К1'!N49*СПРАВОЧНИК!$N$12+'ПЛАН ЧИСТ К1'!O49*СПРАВОЧНИК!$L$13+'ПЛАН ЧИСТ К1'!P49*СПРАВОЧНИК!$M$13+'ПЛАН ЧИСТ К1'!Q49*СПРАВОЧНИК!$N$13+'ПЛАН ЧИСТ К1'!R49*СПРАВОЧНИК!$L$14+'ПЛАН ЧИСТ К1'!S49*СПРАВОЧНИК!$M$14+'ПЛАН ЧИСТ К1'!T49*СПРАВОЧНИК!$N$14+'ПЛАН ЧИСТ К1'!U49*СПРАВОЧНИК!$L$15+'ПЛАН ЧИСТ К1'!V49*СПРАВОЧНИК!$M$15+'ПЛАН ЧИСТ К1'!W49*СПРАВОЧНИК!$N$15</f>
        <v>0</v>
      </c>
      <c r="AI58" s="40">
        <f>('ФАКТ ЧИСТ К1'!B49)*СПРАВОЧНИК!$L$9+('ФАКТ ЧИСТ К1'!C49)*СПРАВОЧНИК!$M$9+('ФАКТ ЧИСТ К1'!D49)*СПРАВОЧНИК!$N$9+('ФАКТ ЧИСТ К1'!E49)*СПРАВОЧНИК!$O$9+('ФАКТ ЧИСТ К1'!F49)*СПРАВОЧНИК!$L$10+('ФАКТ ЧИСТ К1'!G49)*СПРАВОЧНИК!$M$10+('ФАКТ ЧИСТ К1'!H49)*СПРАВОЧНИК!$N$10+('ФАКТ ЧИСТ К1'!I49)*СПРАВОЧНИК!$L$11+('ФАКТ ЧИСТ К1'!J49)*СПРАВОЧНИК!$M$11+('ФАКТ ЧИСТ К1'!K49)*СПРАВОЧНИК!$N$11+('ФАКТ ЧИСТ К1'!L49)*СПРАВОЧНИК!$L$12+('ФАКТ ЧИСТ К1'!M49)*СПРАВОЧНИК!$M$12+('ФАКТ ЧИСТ К1'!N49)*СПРАВОЧНИК!$N$12+('ФАКТ ЧИСТ К1'!O49)*СПРАВОЧНИК!$L$13+('ФАКТ ЧИСТ К1'!P49)*СПРАВОЧНИК!$M$13+('ФАКТ ЧИСТ К1'!Q49)*СПРАВОЧНИК!$N$13+('ФАКТ ЧИСТ К1'!R49)*СПРАВОЧНИК!$L$14+('ФАКТ ЧИСТ К1'!S49)*СПРАВОЧНИК!$M$14+('ФАКТ ЧИСТ К1'!T49)*СПРАВОЧНИК!$N$14+('ФАКТ ЧИСТ К1'!U49)*СПРАВОЧНИК!$L$15+('ФАКТ ЧИСТ К1'!V49)*СПРАВОЧНИК!$M$15+('ФАКТ ЧИСТ К1'!W49)*СПРАВОЧНИК!$N$15</f>
        <v>0</v>
      </c>
      <c r="AM58" s="18">
        <f t="shared" si="18"/>
        <v>46482</v>
      </c>
      <c r="AN58" s="37">
        <f>СПРАВОЧНИК!$E$9*('ПЛАН ЧЕРН К2'!B49*СПРАВОЧНИК!$H$9+'ПЛАН ЧЕРН К2'!C49*СПРАВОЧНИК!$I$9+'ПЛАН ЧЕРН К2'!D49*СПРАВОЧНИК!$J$9)+СПРАВОЧНИК!$E$10*('ПЛАН ЧЕРН К2'!E49*СПРАВОЧНИК!$H$10+'ПЛАН ЧЕРН К2'!F49*СПРАВОЧНИК!$I$10+'ПЛАН ЧЕРН К2'!G49*СПРАВОЧНИК!$J$10)+СПРАВОЧНИК!$E$11*('ПЛАН ЧЕРН К2'!H49*СПРАВОЧНИК!$H$11+'ПЛАН ЧЕРН К2'!I49*СПРАВОЧНИК!$I$11+'ПЛАН ЧЕРН К2'!J49*СПРАВОЧНИК!$J$11)+СПРАВОЧНИК!$E$12*('ПЛАН ЧЕРН К2'!K49*СПРАВОЧНИК!$H$12+'ПЛАН ЧЕРН К2'!L49*СПРАВОЧНИК!$I$12+'ПЛАН ЧЕРН К2'!M49*СПРАВОЧНИК!$J$12)+СПРАВОЧНИК!$E$13*('ПЛАН ЧЕРН К2'!N49*СПРАВОЧНИК!$H$13+'ПЛАН ЧЕРН К2'!O49*СПРАВОЧНИК!$I$13+'ПЛАН ЧЕРН К2'!P49*СПРАВОЧНИК!$J$13)+СПРАВОЧНИК!$E$14*('ПЛАН ЧЕРН К2'!Q49*СПРАВОЧНИК!$H$14+'ПЛАН ЧЕРН К2'!R49*СПРАВОЧНИК!$I$14+'ПЛАН ЧЕРН К2'!S49*СПРАВОЧНИК!$J$14)+СПРАВОЧНИК!$E$15*('ПЛАН ЧЕРН К2'!T49*СПРАВОЧНИК!$H$15+'ПЛАН ЧЕРН К2'!U49*СПРАВОЧНИК!$I$15+'ПЛАН ЧЕРН К2'!V49*СПРАВОЧНИК!$J$15)+СПРАВОЧНИК!$F$9*('ПЛАН ЧИСТ К2'!B49*СПРАВОЧНИК!$L$9+'ПЛАН ЧИСТ К2'!C49*СПРАВОЧНИК!$M$9+'ПЛАН ЧИСТ К2'!D49*СПРАВОЧНИК!$N$9+'ПЛАН ЧИСТ К2'!E49*СПРАВОЧНИК!$O$9)+СПРАВОЧНИК!$F$10*('ПЛАН ЧИСТ К2'!F49*СПРАВОЧНИК!$L$10+'ПЛАН ЧИСТ К2'!G49*СПРАВОЧНИК!$M$10+'ПЛАН ЧИСТ К2'!H49*СПРАВОЧНИК!$N$10)+СПРАВОЧНИК!$F$11*('ПЛАН ЧИСТ К2'!I49*СПРАВОЧНИК!$L$11+'ПЛАН ЧИСТ К2'!J49*СПРАВОЧНИК!$M$11+'ПЛАН ЧИСТ К2'!K49*СПРАВОЧНИК!$N$11)+СПРАВОЧНИК!$F$12*('ПЛАН ЧИСТ К2'!L49*СПРАВОЧНИК!$L$12+'ПЛАН ЧИСТ К2'!M49*СПРАВОЧНИК!$M$12+'ПЛАН ЧИСТ К2'!N49*СПРАВОЧНИК!$N$12)+СПРАВОЧНИК!$F$13*('ПЛАН ЧИСТ К2'!O49*СПРАВОЧНИК!$L$13+'ПЛАН ЧИСТ К2'!P49*СПРАВОЧНИК!$M$13+'ПЛАН ЧИСТ К2'!Q49*СПРАВОЧНИК!$N$13)+СПРАВОЧНИК!$F$14*('ПЛАН ЧИСТ К2'!R49*СПРАВОЧНИК!$L$14+'ПЛАН ЧИСТ К2'!S49*СПРАВОЧНИК!$M$14+'ПЛАН ЧИСТ К2'!T49*СПРАВОЧНИК!$N$14)+СПРАВОЧНИК!$F$15*('ПЛАН ЧИСТ К2'!U49*СПРАВОЧНИК!$L$15+'ПЛАН ЧИСТ К2'!V49*СПРАВОЧНИК!$M$15+'ПЛАН ЧИСТ К2'!W49*СПРАВОЧНИК!$N$15)</f>
        <v>0</v>
      </c>
      <c r="AO58" s="40">
        <f>СПРАВОЧНИК!$E$9*(('ФАКТ ЧЕРН К2'!B49)*СПРАВОЧНИК!$H$9+('ФАКТ ЧЕРН К2'!C49)*СПРАВОЧНИК!$I$9+('ФАКТ ЧЕРН К2'!D49)*СПРАВОЧНИК!$J$9)+СПРАВОЧНИК!$E$10*(('ФАКТ ЧЕРН К2'!E49)*СПРАВОЧНИК!$H$10+('ФАКТ ЧЕРН К2'!F49)*СПРАВОЧНИК!$I$10+('ФАКТ ЧЕРН К2'!G49)*СПРАВОЧНИК!$J$10)+СПРАВОЧНИК!$E$11*(('ФАКТ ЧЕРН К2'!H49)*СПРАВОЧНИК!$H$11+('ФАКТ ЧЕРН К2'!I49)*СПРАВОЧНИК!$I$11+('ФАКТ ЧЕРН К2'!J49)*СПРАВОЧНИК!$J$11)+СПРАВОЧНИК!$E$12*(('ФАКТ ЧЕРН К2'!K49)*СПРАВОЧНИК!$H$12+('ФАКТ ЧЕРН К2'!L49)*СПРАВОЧНИК!$I$12+('ФАКТ ЧЕРН К2'!M49)*СПРАВОЧНИК!$J$12)+СПРАВОЧНИК!$E$13*(('ФАКТ ЧЕРН К2'!N49)*СПРАВОЧНИК!$H$13+('ФАКТ ЧЕРН К2'!O49)*СПРАВОЧНИК!$I$13+('ФАКТ ЧЕРН К2'!P49)*СПРАВОЧНИК!$J$13)+СПРАВОЧНИК!$E$14*(('ФАКТ ЧЕРН К2'!Q49)*СПРАВОЧНИК!$H$14+('ФАКТ ЧЕРН К2'!R49)*СПРАВОЧНИК!$I$14+('ФАКТ ЧЕРН К2'!S49)*СПРАВОЧНИК!$J$14)+СПРАВОЧНИК!$E$15*(('ФАКТ ЧЕРН К2'!T49)*СПРАВОЧНИК!$H$15+('ФАКТ ЧЕРН К2'!U49)*СПРАВОЧНИК!$I$15+('ФАКТ ЧЕРН К2'!V49)*СПРАВОЧНИК!$J$15)+СПРАВОЧНИК!$F$9*(('ФАКТ ЧИСТ К2'!B49)*СПРАВОЧНИК!$L$9+('ФАКТ ЧИСТ К2'!C49)*СПРАВОЧНИК!$M$9+('ФАКТ ЧИСТ К2'!D49)*СПРАВОЧНИК!$N$9+('ФАКТ ЧИСТ К2'!E49)*СПРАВОЧНИК!$O$9)+СПРАВОЧНИК!$F$10*(('ФАКТ ЧИСТ К2'!F49)*СПРАВОЧНИК!$L$10+('ФАКТ ЧИСТ К2'!G49)*СПРАВОЧНИК!$M$10+('ФАКТ ЧИСТ К2'!H49)*СПРАВОЧНИК!$N$10)+СПРАВОЧНИК!$F$11*(('ФАКТ ЧИСТ К2'!I49)*СПРАВОЧНИК!$L$11+('ФАКТ ЧИСТ К2'!J49)*СПРАВОЧНИК!$M$11+('ФАКТ ЧИСТ К2'!K49)*СПРАВОЧНИК!$N$11)+СПРАВОЧНИК!$F$12*(('ФАКТ ЧИСТ К2'!L49)*СПРАВОЧНИК!$L$12+('ФАКТ ЧИСТ К2'!M49)*СПРАВОЧНИК!$M$12+('ФАКТ ЧИСТ К2'!N49)*СПРАВОЧНИК!$N$12)+СПРАВОЧНИК!$F$13*(('ФАКТ ЧИСТ К2'!O49)*СПРАВОЧНИК!$L$13+('ФАКТ ЧИСТ К2'!P49)*СПРАВОЧНИК!$M$13+('ФАКТ ЧИСТ К2'!Q49)*СПРАВОЧНИК!$N$13)+СПРАВОЧНИК!$F$14*(('ФАКТ ЧИСТ К2'!R49)*СПРАВОЧНИК!$L$14+('ФАКТ ЧИСТ К2'!S49)*СПРАВОЧНИК!$M$14+('ФАКТ ЧИСТ К2'!T49)*СПРАВОЧНИК!$N$14)+СПРАВОЧНИК!$F$15*(('ФАКТ ЧИСТ К2'!U49)*СПРАВОЧНИК!$L$15+('ФАКТ ЧИСТ К2'!V49)*СПРАВОЧНИК!$M$15+('ФАКТ ЧИСТ К2'!W49)*СПРАВОЧНИК!$N$15)</f>
        <v>0</v>
      </c>
      <c r="AS58" s="18">
        <f t="shared" si="19"/>
        <v>46482</v>
      </c>
      <c r="AT58" s="37">
        <f>'ПЛАН ЧЕРН К2'!B49*СПРАВОЧНИК!$H$9+'ПЛАН ЧЕРН К2'!C49*СПРАВОЧНИК!$I$9+'ПЛАН ЧЕРН К2'!D49*СПРАВОЧНИК!$J$9+'ПЛАН ЧЕРН К2'!E49*СПРАВОЧНИК!$H$10+'ПЛАН ЧЕРН К2'!F49*СПРАВОЧНИК!$I$10+'ПЛАН ЧЕРН К2'!G49*СПРАВОЧНИК!$J$10+'ПЛАН ЧЕРН К2'!H49*СПРАВОЧНИК!$H$11+'ПЛАН ЧЕРН К2'!I49*СПРАВОЧНИК!$I$11+'ПЛАН ЧЕРН К2'!J49*СПРАВОЧНИК!$J$11+'ПЛАН ЧЕРН К2'!K49*СПРАВОЧНИК!$H$12+'ПЛАН ЧЕРН К2'!L49*СПРАВОЧНИК!$I$12+'ПЛАН ЧЕРН К2'!M49*СПРАВОЧНИК!$J$12+'ПЛАН ЧЕРН К2'!N49*СПРАВОЧНИК!$H$13+'ПЛАН ЧЕРН К2'!O49*СПРАВОЧНИК!$I$13+'ПЛАН ЧЕРН К2'!P49*СПРАВОЧНИК!$J$13+'ПЛАН ЧЕРН К2'!Q49*СПРАВОЧНИК!$H$14+'ПЛАН ЧЕРН К2'!R49*СПРАВОЧНИК!$I$14+'ПЛАН ЧЕРН К2'!S49*СПРАВОЧНИК!$J$14+'ПЛАН ЧЕРН К2'!T49*СПРАВОЧНИК!$H$15+'ПЛАН ЧЕРН К2'!U49*СПРАВОЧНИК!$I$15+'ПЛАН ЧЕРН К2'!V49*СПРАВОЧНИК!$J$15</f>
        <v>0</v>
      </c>
      <c r="AU58" s="40">
        <f>('ФАКТ ЧЕРН К2'!B49)*СПРАВОЧНИК!$H$9+('ФАКТ ЧЕРН К2'!C49)*СПРАВОЧНИК!$I$9+('ФАКТ ЧЕРН К2'!D49)*СПРАВОЧНИК!$J$9+('ФАКТ ЧЕРН К2'!E49)*СПРАВОЧНИК!$H$10+('ФАКТ ЧЕРН К2'!F49)*СПРАВОЧНИК!$I$10+('ФАКТ ЧЕРН К2'!G49)*СПРАВОЧНИК!$J$10+('ФАКТ ЧЕРН К2'!H49)*СПРАВОЧНИК!$H$11+('ФАКТ ЧЕРН К2'!I49)*СПРАВОЧНИК!$I$11+('ФАКТ ЧЕРН К2'!J49)*СПРАВОЧНИК!$J$11+('ФАКТ ЧЕРН К2'!K49)*СПРАВОЧНИК!$H$12+('ФАКТ ЧЕРН К2'!L49)*СПРАВОЧНИК!$I$12+('ФАКТ ЧЕРН К2'!M49)*СПРАВОЧНИК!$J$12+('ФАКТ ЧЕРН К2'!N49)*СПРАВОЧНИК!$H$13+('ФАКТ ЧЕРН К2'!O49)*СПРАВОЧНИК!$I$13+('ФАКТ ЧЕРН К2'!P49)*СПРАВОЧНИК!$J$13+('ФАКТ ЧЕРН К2'!Q49)*СПРАВОЧНИК!$H$14+('ФАКТ ЧЕРН К2'!R49)*СПРАВОЧНИК!$I$14+('ФАКТ ЧЕРН К2'!S49)*СПРАВОЧНИК!$J$14+('ФАКТ ЧЕРН К2'!T49)*СПРАВОЧНИК!$H$15+('ФАКТ ЧЕРН К2'!U49)*СПРАВОЧНИК!$I$15+('ФАКТ ЧЕРН К2'!V49)*СПРАВОЧНИК!$J$15</f>
        <v>0</v>
      </c>
      <c r="AY58" s="18">
        <f t="shared" si="20"/>
        <v>46482</v>
      </c>
      <c r="AZ58" s="37">
        <f>'ПЛАН ЧИСТ К2'!B49*СПРАВОЧНИК!$L$9+'ПЛАН ЧИСТ К2'!C49*СПРАВОЧНИК!$M$9+'ПЛАН ЧИСТ К2'!D49*СПРАВОЧНИК!$N$9+'ПЛАН ЧИСТ К2'!E49*СПРАВОЧНИК!$O$9+'ПЛАН ЧИСТ К2'!F49*СПРАВОЧНИК!$L$10+'ПЛАН ЧИСТ К2'!G49*СПРАВОЧНИК!$M$10+'ПЛАН ЧИСТ К2'!H49*СПРАВОЧНИК!$N$10+'ПЛАН ЧИСТ К2'!I49*СПРАВОЧНИК!$L$11+'ПЛАН ЧИСТ К2'!J49*СПРАВОЧНИК!$M$11+'ПЛАН ЧИСТ К2'!K49*СПРАВОЧНИК!$N$11+'ПЛАН ЧИСТ К2'!L49*СПРАВОЧНИК!$L$12+'ПЛАН ЧИСТ К2'!M49*СПРАВОЧНИК!$M$12+'ПЛАН ЧИСТ К2'!N49*СПРАВОЧНИК!$N$12+'ПЛАН ЧИСТ К2'!O49*СПРАВОЧНИК!$L$13+'ПЛАН ЧИСТ К2'!P49*СПРАВОЧНИК!$M$13+'ПЛАН ЧИСТ К2'!Q49*СПРАВОЧНИК!$N$13+'ПЛАН ЧИСТ К2'!R49*СПРАВОЧНИК!$L$14+'ПЛАН ЧИСТ К2'!S49*СПРАВОЧНИК!$M$14+'ПЛАН ЧИСТ К2'!T49*СПРАВОЧНИК!$N$14+'ПЛАН ЧИСТ К2'!U49*СПРАВОЧНИК!$L$15+'ПЛАН ЧИСТ К2'!V49*СПРАВОЧНИК!$M$15+'ПЛАН ЧИСТ К2'!W49*СПРАВОЧНИК!$N$15</f>
        <v>0</v>
      </c>
      <c r="BA58" s="40">
        <f>('ФАКТ ЧИСТ К2'!B49)*СПРАВОЧНИК!$L$9+('ФАКТ ЧИСТ К2'!C49)*СПРАВОЧНИК!$M$9+('ФАКТ ЧИСТ К2'!D49)*СПРАВОЧНИК!$N$9+('ФАКТ ЧИСТ К2'!E49)*СПРАВОЧНИК!$O$9+('ФАКТ ЧИСТ К2'!F49)*СПРАВОЧНИК!$L$10+('ФАКТ ЧИСТ К2'!G49)*СПРАВОЧНИК!$M$10+('ФАКТ ЧИСТ К2'!H49)*СПРАВОЧНИК!$N$10+('ФАКТ ЧИСТ К2'!I49)*СПРАВОЧНИК!$L$11+('ФАКТ ЧИСТ К2'!J49)*СПРАВОЧНИК!$M$11+('ФАКТ ЧИСТ К2'!K49)*СПРАВОЧНИК!$N$11+('ФАКТ ЧИСТ К2'!L49)*СПРАВОЧНИК!$L$12+('ФАКТ ЧИСТ К2'!M49)*СПРАВОЧНИК!$M$12+('ФАКТ ЧИСТ К2'!N49)*СПРАВОЧНИК!$N$12+('ФАКТ ЧИСТ К2'!O49)*СПРАВОЧНИК!$L$13+('ФАКТ ЧИСТ К2'!P49)*СПРАВОЧНИК!$M$13+('ФАКТ ЧИСТ К2'!Q49)*СПРАВОЧНИК!$N$13+('ФАКТ ЧИСТ К2'!R49)*СПРАВОЧНИК!$L$14+('ФАКТ ЧИСТ К2'!S49)*СПРАВОЧНИК!$M$14+('ФАКТ ЧИСТ К2'!T49)*СПРАВОЧНИК!$N$14+('ФАКТ ЧИСТ К2'!U49)*СПРАВОЧНИК!$L$15+('ФАКТ ЧИСТ К2'!V49)*СПРАВОЧНИК!$M$15+('ФАКТ ЧИСТ К2'!W49)*СПРАВОЧНИК!$N$15</f>
        <v>0</v>
      </c>
      <c r="BE58" s="18">
        <f t="shared" si="21"/>
        <v>46482</v>
      </c>
      <c r="BF58" s="37">
        <f>СПРАВОЧНИК!$E$9*('ПЛАН ЧЕРН К3'!B49*СПРАВОЧНИК!$H$9+'ПЛАН ЧЕРН К3'!C49*СПРАВОЧНИК!$I$9+'ПЛАН ЧЕРН К3'!D49*СПРАВОЧНИК!$J$9)+СПРАВОЧНИК!$E$10*('ПЛАН ЧЕРН К3'!E49*СПРАВОЧНИК!$H$10+'ПЛАН ЧЕРН К3'!F49*СПРАВОЧНИК!$I$10+'ПЛАН ЧЕРН К3'!G49*СПРАВОЧНИК!$J$10)+СПРАВОЧНИК!$E$11*('ПЛАН ЧЕРН К3'!H49*СПРАВОЧНИК!$H$11+'ПЛАН ЧЕРН К3'!I49*СПРАВОЧНИК!$I$11+'ПЛАН ЧЕРН К3'!J49*СПРАВОЧНИК!$J$11)+СПРАВОЧНИК!$E$12*('ПЛАН ЧЕРН К3'!K49*СПРАВОЧНИК!$H$12+'ПЛАН ЧЕРН К3'!L49*СПРАВОЧНИК!$I$12+'ПЛАН ЧЕРН К3'!M49*СПРАВОЧНИК!$J$12)+СПРАВОЧНИК!$E$13*('ПЛАН ЧЕРН К3'!N49*СПРАВОЧНИК!$H$13+'ПЛАН ЧЕРН К3'!O49*СПРАВОЧНИК!$I$13+'ПЛАН ЧЕРН К3'!P49*СПРАВОЧНИК!$J$13)+СПРАВОЧНИК!$E$14*('ПЛАН ЧЕРН К3'!Q49*СПРАВОЧНИК!$H$14+'ПЛАН ЧЕРН К3'!R49*СПРАВОЧНИК!$I$14+'ПЛАН ЧЕРН К3'!S49*СПРАВОЧНИК!$J$14)+СПРАВОЧНИК!$E$15*('ПЛАН ЧЕРН К3'!T49*СПРАВОЧНИК!$H$15+'ПЛАН ЧЕРН К3'!U49*СПРАВОЧНИК!$I$15+'ПЛАН ЧЕРН К3'!V49*СПРАВОЧНИК!$J$15)+СПРАВОЧНИК!$F$9*('ПЛАН ЧИСТ К3'!B49*СПРАВОЧНИК!$L$9+'ПЛАН ЧИСТ К3'!C49*СПРАВОЧНИК!$M$9+'ПЛАН ЧИСТ К3'!D49*СПРАВОЧНИК!$N$9+'ПЛАН ЧИСТ К3'!E49*СПРАВОЧНИК!$O$9)+СПРАВОЧНИК!$F$10*('ПЛАН ЧИСТ К3'!F49*СПРАВОЧНИК!$L$10+'ПЛАН ЧИСТ К3'!G49*СПРАВОЧНИК!$M$10+'ПЛАН ЧИСТ К3'!H49*СПРАВОЧНИК!$N$10)+СПРАВОЧНИК!$F$11*('ПЛАН ЧИСТ К3'!I49*СПРАВОЧНИК!$L$11+'ПЛАН ЧИСТ К3'!J49*СПРАВОЧНИК!$M$11+'ПЛАН ЧИСТ К3'!K49*СПРАВОЧНИК!$N$11)+СПРАВОЧНИК!$F$12*('ПЛАН ЧИСТ К3'!L49*СПРАВОЧНИК!$L$12+'ПЛАН ЧИСТ К3'!M49*СПРАВОЧНИК!$M$12+'ПЛАН ЧИСТ К3'!N49*СПРАВОЧНИК!$N$12)+СПРАВОЧНИК!$F$13*('ПЛАН ЧИСТ К3'!O49*СПРАВОЧНИК!$L$13+'ПЛАН ЧИСТ К3'!P49*СПРАВОЧНИК!$M$13+'ПЛАН ЧИСТ К3'!Q49*СПРАВОЧНИК!$N$13)+СПРАВОЧНИК!$F$14*('ПЛАН ЧИСТ К3'!R49*СПРАВОЧНИК!$L$14+'ПЛАН ЧИСТ К3'!S49*СПРАВОЧНИК!$M$14+'ПЛАН ЧИСТ К3'!T49*СПРАВОЧНИК!$N$14)+СПРАВОЧНИК!$F$15*('ПЛАН ЧИСТ К3'!U49*СПРАВОЧНИК!$L$15+'ПЛАН ЧИСТ К3'!V49*СПРАВОЧНИК!$M$15+'ПЛАН ЧИСТ К3'!W49*СПРАВОЧНИК!$N$15)</f>
        <v>0</v>
      </c>
      <c r="BG58" s="40">
        <f>СПРАВОЧНИК!$E$9*(('ФАКТ ЧЕРН К3'!B49)*СПРАВОЧНИК!$H$9+('ФАКТ ЧЕРН К3'!C49)*СПРАВОЧНИК!$I$9+('ФАКТ ЧЕРН К3'!D49)*СПРАВОЧНИК!$J$9)+СПРАВОЧНИК!$E$10*(('ФАКТ ЧЕРН К3'!E49)*СПРАВОЧНИК!$H$10+('ФАКТ ЧЕРН К3'!F49)*СПРАВОЧНИК!$I$10+('ФАКТ ЧЕРН К3'!G49)*СПРАВОЧНИК!$J$10)+СПРАВОЧНИК!$E$11*(('ФАКТ ЧЕРН К3'!H49)*СПРАВОЧНИК!$H$11+('ФАКТ ЧЕРН К3'!I49)*СПРАВОЧНИК!$I$11+('ФАКТ ЧЕРН К3'!J49)*СПРАВОЧНИК!$J$11)+СПРАВОЧНИК!$E$12*(('ФАКТ ЧЕРН К3'!K49)*СПРАВОЧНИК!$H$12+('ФАКТ ЧЕРН К3'!L49)*СПРАВОЧНИК!$I$12+('ФАКТ ЧЕРН К3'!M49)*СПРАВОЧНИК!$J$12)+СПРАВОЧНИК!$E$13*(('ФАКТ ЧЕРН К3'!N49)*СПРАВОЧНИК!$H$13+('ФАКТ ЧЕРН К3'!O49)*СПРАВОЧНИК!$I$13+('ФАКТ ЧЕРН К3'!P49)*СПРАВОЧНИК!$J$13)+СПРАВОЧНИК!$E$14*(('ФАКТ ЧЕРН К3'!Q49)*СПРАВОЧНИК!$H$14+('ФАКТ ЧЕРН К3'!R49)*СПРАВОЧНИК!$I$14+('ФАКТ ЧЕРН К3'!S49)*СПРАВОЧНИК!$J$14)+СПРАВОЧНИК!$E$15*(('ФАКТ ЧЕРН К3'!T49)*СПРАВОЧНИК!$H$15+('ФАКТ ЧЕРН К3'!U49)*СПРАВОЧНИК!$I$15+('ФАКТ ЧЕРН К3'!V49)*СПРАВОЧНИК!$J$15)+СПРАВОЧНИК!$F$9*(('ФАКТ ЧИСТ К3'!B49)*СПРАВОЧНИК!$L$9+('ФАКТ ЧИСТ К3'!C49)*СПРАВОЧНИК!$M$9+('ФАКТ ЧИСТ К3'!D49)*СПРАВОЧНИК!$N$9+('ФАКТ ЧИСТ К3'!E49)*СПРАВОЧНИК!$O$9)+СПРАВОЧНИК!$F$10*(('ФАКТ ЧИСТ К3'!F49)*СПРАВОЧНИК!$L$10+('ФАКТ ЧИСТ К3'!G49)*СПРАВОЧНИК!$M$10+('ФАКТ ЧИСТ К3'!H49)*СПРАВОЧНИК!$N$10)+СПРАВОЧНИК!$F$11*(('ФАКТ ЧИСТ К3'!I49)*СПРАВОЧНИК!$L$11+('ФАКТ ЧИСТ К3'!J49)*СПРАВОЧНИК!$M$11+('ФАКТ ЧИСТ К3'!K49)*СПРАВОЧНИК!$N$11)+СПРАВОЧНИК!$F$12*(('ФАКТ ЧИСТ К3'!L49)*СПРАВОЧНИК!$L$12+('ФАКТ ЧИСТ К3'!M49)*СПРАВОЧНИК!$M$12+('ФАКТ ЧИСТ К3'!N49)*СПРАВОЧНИК!$N$12)+СПРАВОЧНИК!$F$13*(('ФАКТ ЧИСТ К3'!O49)*СПРАВОЧНИК!$L$13+('ФАКТ ЧИСТ К3'!P49)*СПРАВОЧНИК!$M$13+('ФАКТ ЧИСТ К3'!Q49)*СПРАВОЧНИК!$N$13)+СПРАВОЧНИК!$F$14*(('ФАКТ ЧИСТ К3'!R49)*СПРАВОЧНИК!$L$14+('ФАКТ ЧИСТ К3'!S49)*СПРАВОЧНИК!$M$14+('ФАКТ ЧИСТ К3'!T49)*СПРАВОЧНИК!$N$14)+СПРАВОЧНИК!$F$15*(('ФАКТ ЧИСТ К3'!U49)*СПРАВОЧНИК!$L$15+('ФАКТ ЧИСТ К3'!V49)*СПРАВОЧНИК!$M$15+('ФАКТ ЧИСТ К3'!W49)*СПРАВОЧНИК!$N$15)</f>
        <v>0</v>
      </c>
      <c r="BK58" s="18">
        <f t="shared" si="22"/>
        <v>46482</v>
      </c>
      <c r="BL58" s="37">
        <f>'ПЛАН ЧЕРН К3'!B49*СПРАВОЧНИК!$H$9+'ПЛАН ЧЕРН К3'!C49*СПРАВОЧНИК!$I$9+'ПЛАН ЧЕРН К3'!D49*СПРАВОЧНИК!$J$9+'ПЛАН ЧЕРН К3'!E49*СПРАВОЧНИК!$H$10+'ПЛАН ЧЕРН К3'!F49*СПРАВОЧНИК!$I$10+'ПЛАН ЧЕРН К3'!G49*СПРАВОЧНИК!$J$10+'ПЛАН ЧЕРН К3'!H49*СПРАВОЧНИК!$H$11+'ПЛАН ЧЕРН К3'!I49*СПРАВОЧНИК!$I$11+'ПЛАН ЧЕРН К3'!J49*СПРАВОЧНИК!$J$11+'ПЛАН ЧЕРН К3'!K49*СПРАВОЧНИК!$H$12+'ПЛАН ЧЕРН К3'!L49*СПРАВОЧНИК!$I$12+'ПЛАН ЧЕРН К3'!M49*СПРАВОЧНИК!$J$12+'ПЛАН ЧЕРН К3'!N49*СПРАВОЧНИК!$H$13+'ПЛАН ЧЕРН К3'!O49*СПРАВОЧНИК!$I$13+'ПЛАН ЧЕРН К3'!P49*СПРАВОЧНИК!$J$13+'ПЛАН ЧЕРН К3'!Q49*СПРАВОЧНИК!$H$14+'ПЛАН ЧЕРН К3'!R49*СПРАВОЧНИК!$I$14+'ПЛАН ЧЕРН К3'!S49*СПРАВОЧНИК!$J$14+'ПЛАН ЧЕРН К3'!T49*СПРАВОЧНИК!$H$15+'ПЛАН ЧЕРН К3'!U49*СПРАВОЧНИК!$I$15+'ПЛАН ЧЕРН К3'!V49*СПРАВОЧНИК!$J$15</f>
        <v>0</v>
      </c>
      <c r="BM58" s="40">
        <f>('ФАКТ ЧЕРН К3'!B49)*СПРАВОЧНИК!$H$9+('ФАКТ ЧЕРН К3'!C49)*СПРАВОЧНИК!$I$9+('ФАКТ ЧЕРН К3'!D49)*СПРАВОЧНИК!$J$9+('ФАКТ ЧЕРН К3'!E49)*СПРАВОЧНИК!$H$10+('ФАКТ ЧЕРН К3'!F49)*СПРАВОЧНИК!$I$10+('ФАКТ ЧЕРН К3'!G49)*СПРАВОЧНИК!$J$10+('ФАКТ ЧЕРН К3'!H49)*СПРАВОЧНИК!$H$11+('ФАКТ ЧЕРН К3'!I49)*СПРАВОЧНИК!$I$11+('ФАКТ ЧЕРН К3'!J49)*СПРАВОЧНИК!$J$11+('ФАКТ ЧЕРН К3'!K49)*СПРАВОЧНИК!$H$12+('ФАКТ ЧЕРН К3'!L49)*СПРАВОЧНИК!$I$12+('ФАКТ ЧЕРН К3'!M49)*СПРАВОЧНИК!$J$12+('ФАКТ ЧЕРН К3'!N49)*СПРАВОЧНИК!$H$13+('ФАКТ ЧЕРН К3'!O49)*СПРАВОЧНИК!$I$13+('ФАКТ ЧЕРН К3'!P49)*СПРАВОЧНИК!$J$13+('ФАКТ ЧЕРН К3'!Q49)*СПРАВОЧНИК!$H$14+('ФАКТ ЧЕРН К3'!R49)*СПРАВОЧНИК!$I$14+('ФАКТ ЧЕРН К3'!S49)*СПРАВОЧНИК!$J$14+('ФАКТ ЧЕРН К3'!T49)*СПРАВОЧНИК!$H$15+('ФАКТ ЧЕРН К3'!U49)*СПРАВОЧНИК!$I$15+('ФАКТ ЧЕРН К3'!V49)*СПРАВОЧНИК!$J$15</f>
        <v>0</v>
      </c>
      <c r="BQ58" s="18">
        <f t="shared" si="23"/>
        <v>46482</v>
      </c>
      <c r="BR58" s="37">
        <f>'ПЛАН ЧИСТ К3'!B49*СПРАВОЧНИК!$L$9+'ПЛАН ЧИСТ К3'!C49*СПРАВОЧНИК!$M$9+'ПЛАН ЧИСТ К3'!D49*СПРАВОЧНИК!$N$9+'ПЛАН ЧИСТ К3'!E49*СПРАВОЧНИК!$O$9+'ПЛАН ЧИСТ К3'!F49*СПРАВОЧНИК!$L$10+'ПЛАН ЧИСТ К3'!G49*СПРАВОЧНИК!$M$10+'ПЛАН ЧИСТ К3'!H49*СПРАВОЧНИК!$N$10+'ПЛАН ЧИСТ К3'!I49*СПРАВОЧНИК!$L$11+'ПЛАН ЧИСТ К3'!J49*СПРАВОЧНИК!$M$11+'ПЛАН ЧИСТ К3'!K49*СПРАВОЧНИК!$N$11+'ПЛАН ЧИСТ К3'!L49*СПРАВОЧНИК!$L$12+'ПЛАН ЧИСТ К3'!M49*СПРАВОЧНИК!$M$12+'ПЛАН ЧИСТ К3'!N49*СПРАВОЧНИК!$N$12+'ПЛАН ЧИСТ К3'!O49*СПРАВОЧНИК!$L$13+'ПЛАН ЧИСТ К3'!P49*СПРАВОЧНИК!$M$13+'ПЛАН ЧИСТ К3'!Q49*СПРАВОЧНИК!$N$13+'ПЛАН ЧИСТ К3'!R49*СПРАВОЧНИК!$L$14+'ПЛАН ЧИСТ К3'!S49*СПРАВОЧНИК!$M$14+'ПЛАН ЧИСТ К3'!T49*СПРАВОЧНИК!$N$14+'ПЛАН ЧИСТ К3'!U49*СПРАВОЧНИК!$L$15+'ПЛАН ЧИСТ К3'!V49*СПРАВОЧНИК!$M$15+'ПЛАН ЧИСТ К3'!W49*СПРАВОЧНИК!$N$15</f>
        <v>0</v>
      </c>
      <c r="BS58" s="40">
        <f>('ФАКТ ЧИСТ К3'!B49)*СПРАВОЧНИК!$L$9+('ФАКТ ЧИСТ К3'!C49)*СПРАВОЧНИК!$M$9+('ФАКТ ЧИСТ К3'!D49)*СПРАВОЧНИК!$N$9+('ФАКТ ЧИСТ К3'!E49)*СПРАВОЧНИК!$O$9+('ФАКТ ЧИСТ К3'!F49)*СПРАВОЧНИК!$L$10+('ФАКТ ЧИСТ К3'!G49)*СПРАВОЧНИК!$M$10+('ФАКТ ЧИСТ К3'!H49)*СПРАВОЧНИК!$N$10+('ФАКТ ЧИСТ К3'!I49)*СПРАВОЧНИК!$L$11+('ФАКТ ЧИСТ К3'!J49)*СПРАВОЧНИК!$M$11+('ФАКТ ЧИСТ К3'!K49)*СПРАВОЧНИК!$N$11+('ФАКТ ЧИСТ К3'!L49)*СПРАВОЧНИК!$L$12+('ФАКТ ЧИСТ К3'!M49)*СПРАВОЧНИК!$M$12+('ФАКТ ЧИСТ К3'!N49)*СПРАВОЧНИК!$N$12+('ФАКТ ЧИСТ К3'!O49)*СПРАВОЧНИК!$L$13+('ФАКТ ЧИСТ К3'!P49)*СПРАВОЧНИК!$M$13+('ФАКТ ЧИСТ К3'!Q49)*СПРАВОЧНИК!$N$13+('ФАКТ ЧИСТ К3'!R49)*СПРАВОЧНИК!$L$14+('ФАКТ ЧИСТ К3'!S49)*СПРАВОЧНИК!$M$14+('ФАКТ ЧИСТ К3'!T49)*СПРАВОЧНИК!$N$14+('ФАКТ ЧИСТ К3'!U49)*СПРАВОЧНИК!$L$15+('ФАКТ ЧИСТ К3'!V49)*СПРАВОЧНИК!$M$15+('ФАКТ ЧИСТ К3'!W49)*СПРАВОЧНИК!$N$15</f>
        <v>0</v>
      </c>
      <c r="BW58" s="18">
        <f t="shared" si="24"/>
        <v>46482</v>
      </c>
      <c r="BX58" s="37">
        <f t="shared" si="0"/>
        <v>0</v>
      </c>
      <c r="BY58" s="40">
        <f t="shared" si="1"/>
        <v>0</v>
      </c>
      <c r="CC58" s="18">
        <f t="shared" si="25"/>
        <v>46482</v>
      </c>
      <c r="CD58" s="37">
        <f t="shared" si="2"/>
        <v>0</v>
      </c>
      <c r="CE58" s="40">
        <f t="shared" si="3"/>
        <v>0</v>
      </c>
      <c r="CI58" s="18">
        <f t="shared" si="26"/>
        <v>46482</v>
      </c>
      <c r="CJ58" s="37">
        <f t="shared" si="4"/>
        <v>0</v>
      </c>
      <c r="CK58" s="40">
        <f t="shared" si="5"/>
        <v>0</v>
      </c>
      <c r="CO58" s="18">
        <f t="shared" si="27"/>
        <v>46482</v>
      </c>
      <c r="CP58" s="37">
        <f t="shared" si="6"/>
        <v>0</v>
      </c>
      <c r="CQ58" s="40">
        <f t="shared" si="7"/>
        <v>0</v>
      </c>
      <c r="CU58" s="18">
        <f t="shared" si="28"/>
        <v>46482</v>
      </c>
      <c r="CV58" s="37">
        <f t="shared" si="8"/>
        <v>0</v>
      </c>
      <c r="CW58" s="40">
        <f t="shared" si="9"/>
        <v>0</v>
      </c>
      <c r="DA58" s="18">
        <f t="shared" si="29"/>
        <v>46482</v>
      </c>
      <c r="DB58" s="37">
        <f t="shared" si="10"/>
        <v>0</v>
      </c>
      <c r="DC58" s="40">
        <f t="shared" si="11"/>
        <v>0</v>
      </c>
    </row>
    <row r="59" spans="3:107" x14ac:dyDescent="0.25">
      <c r="C59" s="18">
        <f t="shared" si="12"/>
        <v>46489</v>
      </c>
      <c r="D59" s="37">
        <f>СПРАВОЧНИК!$E$3*('ПЛАН ЧЕРН ПОДЗЕМ'!B50*СПРАВОЧНИК!$H$3+'ПЛАН ЧЕРН ПОДЗЕМ'!C50*СПРАВОЧНИК!$I$3+'ПЛАН ЧЕРН ПОДЗЕМ'!D50*СПРАВОЧНИК!$J$3)+СПРАВОЧНИК!$E$4*('ПЛАН ЧЕРН ПОДЗЕМ'!E50*СПРАВОЧНИК!$H$4+'ПЛАН ЧЕРН ПОДЗЕМ'!F50*СПРАВОЧНИК!$I$4+'ПЛАН ЧЕРН ПОДЗЕМ'!G50*СПРАВОЧНИК!$J$4)+СПРАВОЧНИК!$E$5*('ПЛАН ЧЕРН ПОДЗЕМ'!H50*СПРАВОЧНИК!$H$5+'ПЛАН ЧЕРН ПОДЗЕМ'!I50*СПРАВОЧНИК!$I$5+'ПЛАН ЧЕРН ПОДЗЕМ'!J50*СПРАВОЧНИК!$J$5)+СПРАВОЧНИК!$E$6*('ПЛАН ЧЕРН ПОДЗЕМ'!K50*СПРАВОЧНИК!$H$6+'ПЛАН ЧЕРН ПОДЗЕМ'!L50*СПРАВОЧНИК!$I$6+'ПЛАН ЧЕРН ПОДЗЕМ'!M50*СПРАВОЧНИК!$J$6)+СПРАВОЧНИК!$E$7*('ПЛАН ЧЕРН ПОДЗЕМ'!N50*СПРАВОЧНИК!$H$7+'ПЛАН ЧЕРН ПОДЗЕМ'!O50*СПРАВОЧНИК!$I$7+'ПЛАН ЧЕРН ПОДЗЕМ'!P50*СПРАВОЧНИК!$J$7)+СПРАВОЧНИК!$E$8*('ПЛАН ЧЕРН ПОДЗЕМ'!Q50*СПРАВОЧНИК!$H$8+'ПЛАН ЧЕРН ПОДЗЕМ'!R50*СПРАВОЧНИК!$I$8+'ПЛАН ЧЕРН ПОДЗЕМ'!S50*СПРАВОЧНИК!$J$8)+СПРАВОЧНИК!$F$3*('ПЛАН ЧИСТ ПОДЗЕМ'!B50*СПРАВОЧНИК!$L$3+'ПЛАН ЧИСТ ПОДЗЕМ'!C50*СПРАВОЧНИК!$M$3+'ПЛАН ЧИСТ ПОДЗЕМ'!D50*СПРАВОЧНИК!$N$3)+СПРАВОЧНИК!$F$4*('ПЛАН ЧИСТ ПОДЗЕМ'!E50*СПРАВОЧНИК!$L$4+'ПЛАН ЧИСТ ПОДЗЕМ'!F50*СПРАВОЧНИК!$M$4+'ПЛАН ЧИСТ ПОДЗЕМ'!G50*СПРАВОЧНИК!$N$4)+СПРАВОЧНИК!$F$5*('ПЛАН ЧИСТ ПОДЗЕМ'!H50*СПРАВОЧНИК!$L$5+'ПЛАН ЧИСТ ПОДЗЕМ'!I50*СПРАВОЧНИК!$M$5+'ПЛАН ЧИСТ ПОДЗЕМ'!J50*СПРАВОЧНИК!$N$5)+СПРАВОЧНИК!$F$6*('ПЛАН ЧИСТ ПОДЗЕМ'!K50*СПРАВОЧНИК!$L$6+'ПЛАН ЧИСТ ПОДЗЕМ'!L50*СПРАВОЧНИК!$M$6+'ПЛАН ЧИСТ ПОДЗЕМ'!M50*СПРАВОЧНИК!$N$6)+СПРАВОЧНИК!$F$7*('ПЛАН ЧИСТ ПОДЗЕМ'!N50*СПРАВОЧНИК!$L$7+'ПЛАН ЧИСТ ПОДЗЕМ'!O50*СПРАВОЧНИК!$M$7+'ПЛАН ЧИСТ ПОДЗЕМ'!P50*СПРАВОЧНИК!$N$7)+СПРАВОЧНИК!$F$8*('ПЛАН ЧИСТ ПОДЗЕМ'!Q50*СПРАВОЧНИК!$L$8+'ПЛАН ЧИСТ ПОДЗЕМ'!R50*СПРАВОЧНИК!$M$8+'ПЛАН ЧИСТ ПОДЗЕМ'!S50*СПРАВОЧНИК!$N$8)</f>
        <v>0</v>
      </c>
      <c r="E59" s="40">
        <f>СПРАВОЧНИК!$E$3*(('ФАКТ ЧЕРН ПОДЗЕМ'!B50)*СПРАВОЧНИК!$H$3+('ФАКТ ЧЕРН ПОДЗЕМ'!C50)*СПРАВОЧНИК!$I$3+('ФАКТ ЧЕРН ПОДЗЕМ'!D50)*СПРАВОЧНИК!$J$3)+СПРАВОЧНИК!$E$4*(('ФАКТ ЧЕРН ПОДЗЕМ'!E50)*СПРАВОЧНИК!$H$4+('ФАКТ ЧЕРН ПОДЗЕМ'!F50)*СПРАВОЧНИК!$I$4+('ФАКТ ЧЕРН ПОДЗЕМ'!G50)*СПРАВОЧНИК!$J$4)+СПРАВОЧНИК!$E$5*(('ФАКТ ЧЕРН ПОДЗЕМ'!H50)*СПРАВОЧНИК!$H$5+('ФАКТ ЧЕРН ПОДЗЕМ'!I50)*СПРАВОЧНИК!$I$5+('ФАКТ ЧЕРН ПОДЗЕМ'!J50)*СПРАВОЧНИК!$J$5)+СПРАВОЧНИК!$E$6*(('ФАКТ ЧЕРН ПОДЗЕМ'!K50)*СПРАВОЧНИК!$H$6+('ФАКТ ЧЕРН ПОДЗЕМ'!L50)*СПРАВОЧНИК!$I$6+('ФАКТ ЧЕРН ПОДЗЕМ'!M50)*СПРАВОЧНИК!$J$6)+СПРАВОЧНИК!$E$7*(('ФАКТ ЧЕРН ПОДЗЕМ'!N50)*СПРАВОЧНИК!$H$7+('ФАКТ ЧЕРН ПОДЗЕМ'!O50)*СПРАВОЧНИК!$I$7+('ФАКТ ЧЕРН ПОДЗЕМ'!P50)*СПРАВОЧНИК!$J$7)+СПРАВОЧНИК!$E$8*(('ФАКТ ЧЕРН ПОДЗЕМ'!Q50)*СПРАВОЧНИК!$H$8+('ФАКТ ЧЕРН ПОДЗЕМ'!R50)*СПРАВОЧНИК!$I$8+('ФАКТ ЧЕРН ПОДЗЕМ'!S50)*СПРАВОЧНИК!$J$8)+СПРАВОЧНИК!$F$3*(('ФАКТ ЧИСТ ПОДЗЕМ'!B50)*СПРАВОЧНИК!$L$3+('ФАКТ ЧИСТ ПОДЗЕМ'!C50)*СПРАВОЧНИК!$M$3+('ФАКТ ЧИСТ ПОДЗЕМ'!D50)*СПРАВОЧНИК!$N$3)+СПРАВОЧНИК!$F$4*(('ФАКТ ЧИСТ ПОДЗЕМ'!E50)*СПРАВОЧНИК!$L$4+('ФАКТ ЧИСТ ПОДЗЕМ'!F50)*СПРАВОЧНИК!$M$4+('ФАКТ ЧИСТ ПОДЗЕМ'!G50)*СПРАВОЧНИК!$N$4)+СПРАВОЧНИК!$F$5*(('ФАКТ ЧИСТ ПОДЗЕМ'!H50)*СПРАВОЧНИК!$L$5+('ФАКТ ЧИСТ ПОДЗЕМ'!I50)*СПРАВОЧНИК!$M$5+('ФАКТ ЧИСТ ПОДЗЕМ'!J50)*СПРАВОЧНИК!$N$5)+СПРАВОЧНИК!$F$6*(('ФАКТ ЧИСТ ПОДЗЕМ'!K50)*СПРАВОЧНИК!$L$6+('ФАКТ ЧИСТ ПОДЗЕМ'!L50)*СПРАВОЧНИК!$M$6+('ФАКТ ЧИСТ ПОДЗЕМ'!M50)*СПРАВОЧНИК!$N$6)+СПРАВОЧНИК!$F$7*(('ФАКТ ЧИСТ ПОДЗЕМ'!N50)*СПРАВОЧНИК!$L$7+('ФАКТ ЧИСТ ПОДЗЕМ'!O50)*СПРАВОЧНИК!$M$7+('ФАКТ ЧИСТ ПОДЗЕМ'!P50)*СПРАВОЧНИК!$N$7)+СПРАВОЧНИК!$F$8*(('ФАКТ ЧИСТ ПОДЗЕМ'!Q50)*СПРАВОЧНИК!$L$8+('ФАКТ ЧИСТ ПОДЗЕМ'!R50)*СПРАВОЧНИК!$M$8+('ФАКТ ЧИСТ ПОДЗЕМ'!S50)*СПРАВОЧНИК!$N$8)</f>
        <v>0</v>
      </c>
      <c r="I59" s="18">
        <f t="shared" si="13"/>
        <v>46489</v>
      </c>
      <c r="J59" s="37">
        <f>'ПЛАН ЧЕРН ПОДЗЕМ'!B50*СПРАВОЧНИК!$H$3+'ПЛАН ЧЕРН ПОДЗЕМ'!C50*СПРАВОЧНИК!$I$3+'ПЛАН ЧЕРН ПОДЗЕМ'!D50*СПРАВОЧНИК!$J$3+'ПЛАН ЧЕРН ПОДЗЕМ'!E50*СПРАВОЧНИК!$H$4+'ПЛАН ЧЕРН ПОДЗЕМ'!F50*СПРАВОЧНИК!$I$4+'ПЛАН ЧЕРН ПОДЗЕМ'!G50*СПРАВОЧНИК!$J$4+'ПЛАН ЧЕРН ПОДЗЕМ'!H50*СПРАВОЧНИК!$H$5+'ПЛАН ЧЕРН ПОДЗЕМ'!I50*СПРАВОЧНИК!$I$5+'ПЛАН ЧЕРН ПОДЗЕМ'!J50*СПРАВОЧНИК!$J$5+'ПЛАН ЧЕРН ПОДЗЕМ'!K50*СПРАВОЧНИК!$H$6+'ПЛАН ЧЕРН ПОДЗЕМ'!L50*СПРАВОЧНИК!$I$6+'ПЛАН ЧЕРН ПОДЗЕМ'!M50*СПРАВОЧНИК!$J$6+'ПЛАН ЧЕРН ПОДЗЕМ'!N50*СПРАВОЧНИК!$H$7+'ПЛАН ЧЕРН ПОДЗЕМ'!O50*СПРАВОЧНИК!$I$7+'ПЛАН ЧЕРН ПОДЗЕМ'!P50*СПРАВОЧНИК!$J$7+'ПЛАН ЧЕРН ПОДЗЕМ'!Q50*СПРАВОЧНИК!$H$8+'ПЛАН ЧЕРН ПОДЗЕМ'!R50*СПРАВОЧНИК!$I$8+'ПЛАН ЧЕРН ПОДЗЕМ'!S50*СПРАВОЧНИК!$J$8</f>
        <v>0</v>
      </c>
      <c r="K59" s="40">
        <f>('ФАКТ ЧЕРН ПОДЗЕМ'!B50)*СПРАВОЧНИК!$H$3+('ФАКТ ЧЕРН ПОДЗЕМ'!C50)*СПРАВОЧНИК!$I$3+('ФАКТ ЧЕРН ПОДЗЕМ'!D50)*СПРАВОЧНИК!$J$3+('ФАКТ ЧЕРН ПОДЗЕМ'!E50)*СПРАВОЧНИК!$H$4+('ФАКТ ЧЕРН ПОДЗЕМ'!F50)*СПРАВОЧНИК!$I$4+('ФАКТ ЧЕРН ПОДЗЕМ'!G50)*СПРАВОЧНИК!$J$4+('ФАКТ ЧЕРН ПОДЗЕМ'!H50)*СПРАВОЧНИК!$H$5+('ФАКТ ЧЕРН ПОДЗЕМ'!I50)*СПРАВОЧНИК!$I$5+('ФАКТ ЧЕРН ПОДЗЕМ'!J50)*СПРАВОЧНИК!$J$5+('ФАКТ ЧЕРН ПОДЗЕМ'!K50)*СПРАВОЧНИК!$H$6+('ФАКТ ЧЕРН ПОДЗЕМ'!L50)*СПРАВОЧНИК!$I$6+('ФАКТ ЧЕРН ПОДЗЕМ'!M50)*СПРАВОЧНИК!$J$6+('ФАКТ ЧЕРН ПОДЗЕМ'!N50)*СПРАВОЧНИК!$H$7+('ФАКТ ЧЕРН ПОДЗЕМ'!O50)*СПРАВОЧНИК!$I$7+('ФАКТ ЧЕРН ПОДЗЕМ'!P50)*СПРАВОЧНИК!$J$7+('ФАКТ ЧЕРН ПОДЗЕМ'!Q50)*СПРАВОЧНИК!$H$8+('ФАКТ ЧЕРН ПОДЗЕМ'!R50)*СПРАВОЧНИК!$I$8+('ФАКТ ЧЕРН ПОДЗЕМ'!S50)*СПРАВОЧНИК!$J$8</f>
        <v>0</v>
      </c>
      <c r="O59" s="18">
        <f t="shared" si="14"/>
        <v>46489</v>
      </c>
      <c r="P59" s="37">
        <f>'ПЛАН ЧИСТ ПОДЗЕМ'!B50*СПРАВОЧНИК!$L$3+'ПЛАН ЧИСТ ПОДЗЕМ'!C50*СПРАВОЧНИК!$M$3+'ПЛАН ЧИСТ ПОДЗЕМ'!D50*СПРАВОЧНИК!$N$3+'ПЛАН ЧИСТ ПОДЗЕМ'!E50*СПРАВОЧНИК!$L$4+'ПЛАН ЧИСТ ПОДЗЕМ'!F50*СПРАВОЧНИК!$M$4+'ПЛАН ЧИСТ ПОДЗЕМ'!G50*СПРАВОЧНИК!$N$4+'ПЛАН ЧИСТ ПОДЗЕМ'!H50*СПРАВОЧНИК!$L$5+'ПЛАН ЧИСТ ПОДЗЕМ'!I50*СПРАВОЧНИК!$M$5+'ПЛАН ЧИСТ ПОДЗЕМ'!J50*СПРАВОЧНИК!$N$5+'ПЛАН ЧИСТ ПОДЗЕМ'!K50*СПРАВОЧНИК!$L$6+'ПЛАН ЧИСТ ПОДЗЕМ'!L50*СПРАВОЧНИК!$M$6+'ПЛАН ЧИСТ ПОДЗЕМ'!M50*СПРАВОЧНИК!$N$6+'ПЛАН ЧИСТ ПОДЗЕМ'!N50*СПРАВОЧНИК!$L$7+'ПЛАН ЧИСТ ПОДЗЕМ'!O50*СПРАВОЧНИК!$M$7+'ПЛАН ЧИСТ ПОДЗЕМ'!P50*СПРАВОЧНИК!$N$7+'ПЛАН ЧИСТ ПОДЗЕМ'!Q50*СПРАВОЧНИК!$L$8+'ПЛАН ЧИСТ ПОДЗЕМ'!R50*СПРАВОЧНИК!$M$8+'ПЛАН ЧИСТ ПОДЗЕМ'!S50*СПРАВОЧНИК!$N$8</f>
        <v>0</v>
      </c>
      <c r="Q59" s="40">
        <f>('ФАКТ ЧИСТ ПОДЗЕМ'!B50)*СПРАВОЧНИК!$L$3+('ФАКТ ЧИСТ ПОДЗЕМ'!C50)*СПРАВОЧНИК!$M$3+('ФАКТ ЧИСТ ПОДЗЕМ'!D50)*СПРАВОЧНИК!$N$3+('ФАКТ ЧИСТ ПОДЗЕМ'!E50)*СПРАВОЧНИК!$L$4+('ФАКТ ЧИСТ ПОДЗЕМ'!F50)*СПРАВОЧНИК!$M$4+('ФАКТ ЧИСТ ПОДЗЕМ'!G50)*СПРАВОЧНИК!$N$4+('ФАКТ ЧИСТ ПОДЗЕМ'!H50)*СПРАВОЧНИК!$L$5+('ФАКТ ЧИСТ ПОДЗЕМ'!I50)*СПРАВОЧНИК!$M$5+('ФАКТ ЧИСТ ПОДЗЕМ'!J50)*СПРАВОЧНИК!$N$5+('ФАКТ ЧИСТ ПОДЗЕМ'!K50)*СПРАВОЧНИК!$L$6+('ФАКТ ЧИСТ ПОДЗЕМ'!L50)*СПРАВОЧНИК!$M$6+('ФАКТ ЧИСТ ПОДЗЕМ'!M50)*СПРАВОЧНИК!$N$6+('ФАКТ ЧИСТ ПОДЗЕМ'!N50)*СПРАВОЧНИК!$L$7+('ФАКТ ЧИСТ ПОДЗЕМ'!O50)*СПРАВОЧНИК!$M$7+('ФАКТ ЧИСТ ПОДЗЕМ'!P50)*СПРАВОЧНИК!$N$7+('ФАКТ ЧИСТ ПОДЗЕМ'!Q50)*СПРАВОЧНИК!$L$8+('ФАКТ ЧИСТ ПОДЗЕМ'!R50)*СПРАВОЧНИК!$M$8+('ФАКТ ЧИСТ ПОДЗЕМ'!S50)*СПРАВОЧНИК!$N$8</f>
        <v>0</v>
      </c>
      <c r="U59" s="18">
        <f t="shared" si="15"/>
        <v>46489</v>
      </c>
      <c r="V59" s="37">
        <f>СПРАВОЧНИК!$E$9*('ПЛАН ЧЕРН К1'!B50*СПРАВОЧНИК!$H$9+'ПЛАН ЧЕРН К1'!C50*СПРАВОЧНИК!$I$9+'ПЛАН ЧЕРН К1'!D50*СПРАВОЧНИК!$J$9)+СПРАВОЧНИК!$E$10*('ПЛАН ЧЕРН К1'!E50*СПРАВОЧНИК!$H$10+'ПЛАН ЧЕРН К1'!F50*СПРАВОЧНИК!$I$10+'ПЛАН ЧЕРН К1'!G50*СПРАВОЧНИК!$J$10)+СПРАВОЧНИК!$E$11*('ПЛАН ЧЕРН К1'!H50*СПРАВОЧНИК!$H$11+'ПЛАН ЧЕРН К1'!I50*СПРАВОЧНИК!$I$11+'ПЛАН ЧЕРН К1'!J50*СПРАВОЧНИК!$J$11)+СПРАВОЧНИК!$E$12*('ПЛАН ЧЕРН К1'!K50*СПРАВОЧНИК!$H$12+'ПЛАН ЧЕРН К1'!L50*СПРАВОЧНИК!$I$12+'ПЛАН ЧЕРН К1'!M50*СПРАВОЧНИК!$J$12)+СПРАВОЧНИК!$E$13*('ПЛАН ЧЕРН К1'!N50*СПРАВОЧНИК!$H$13+'ПЛАН ЧЕРН К1'!O50*СПРАВОЧНИК!$I$13+'ПЛАН ЧЕРН К1'!P50*СПРАВОЧНИК!$J$13)+СПРАВОЧНИК!$E$14*('ПЛАН ЧЕРН К1'!Q50*СПРАВОЧНИК!$H$14+'ПЛАН ЧЕРН К1'!R50*СПРАВОЧНИК!$I$14+'ПЛАН ЧЕРН К1'!S50*СПРАВОЧНИК!$J$14)+СПРАВОЧНИК!$E$15*('ПЛАН ЧЕРН К1'!T50*СПРАВОЧНИК!$H$15+'ПЛАН ЧЕРН К1'!U50*СПРАВОЧНИК!$I$15+'ПЛАН ЧЕРН К1'!V50*СПРАВОЧНИК!$J$15)+СПРАВОЧНИК!$F$9*('ПЛАН ЧИСТ К1'!B50*СПРАВОЧНИК!$L$9+'ПЛАН ЧИСТ К1'!C50*СПРАВОЧНИК!$M$9+'ПЛАН ЧИСТ К1'!D50*СПРАВОЧНИК!$N$9+'ПЛАН ЧИСТ К1'!E50*СПРАВОЧНИК!$O$9)+СПРАВОЧНИК!$F$10*('ПЛАН ЧИСТ К1'!F50*СПРАВОЧНИК!$L$10+'ПЛАН ЧИСТ К1'!G50*СПРАВОЧНИК!$M$10+'ПЛАН ЧИСТ К1'!H50*СПРАВОЧНИК!$N$10)+СПРАВОЧНИК!$F$11*('ПЛАН ЧИСТ К1'!I50*СПРАВОЧНИК!$L$11+'ПЛАН ЧИСТ К1'!J50*СПРАВОЧНИК!$M$11+'ПЛАН ЧИСТ К1'!K50*СПРАВОЧНИК!$N$11)+СПРАВОЧНИК!$F$12*('ПЛАН ЧИСТ К1'!L50*СПРАВОЧНИК!$L$12+'ПЛАН ЧИСТ К1'!M50*СПРАВОЧНИК!$M$12+'ПЛАН ЧИСТ К1'!N50*СПРАВОЧНИК!$N$12)+СПРАВОЧНИК!$F$13*('ПЛАН ЧИСТ К1'!O50*СПРАВОЧНИК!$L$13+'ПЛАН ЧИСТ К1'!P50*СПРАВОЧНИК!$M$13+'ПЛАН ЧИСТ К1'!Q50*СПРАВОЧНИК!$N$13)+СПРАВОЧНИК!$F$14*('ПЛАН ЧИСТ К1'!R50*СПРАВОЧНИК!$L$14+'ПЛАН ЧИСТ К1'!S50*СПРАВОЧНИК!$M$14+'ПЛАН ЧИСТ К1'!T50*СПРАВОЧНИК!$N$14)+СПРАВОЧНИК!$F$15*('ПЛАН ЧИСТ К1'!U50*СПРАВОЧНИК!$L$15+'ПЛАН ЧИСТ К1'!V50*СПРАВОЧНИК!$M$15+'ПЛАН ЧИСТ К1'!W50*СПРАВОЧНИК!$N$15)</f>
        <v>0</v>
      </c>
      <c r="W59" s="40">
        <f>СПРАВОЧНИК!$E$9*(('ФАКТ ЧЕРН К1'!B50)*СПРАВОЧНИК!$H$9+('ФАКТ ЧЕРН К1'!C50)*СПРАВОЧНИК!$I$9+('ФАКТ ЧЕРН К1'!D50)*СПРАВОЧНИК!$J$9)+СПРАВОЧНИК!$E$10*(('ФАКТ ЧЕРН К1'!E50)*СПРАВОЧНИК!$H$10+('ФАКТ ЧЕРН К1'!F50)*СПРАВОЧНИК!$I$10+('ФАКТ ЧЕРН К1'!G50)*СПРАВОЧНИК!$J$10)+СПРАВОЧНИК!$E$11*(('ФАКТ ЧЕРН К1'!H50)*СПРАВОЧНИК!$H$11+('ФАКТ ЧЕРН К1'!I50)*СПРАВОЧНИК!$I$11+('ФАКТ ЧЕРН К1'!J50)*СПРАВОЧНИК!$J$11)+СПРАВОЧНИК!$E$12*(('ФАКТ ЧЕРН К1'!K50)*СПРАВОЧНИК!$H$12+('ФАКТ ЧЕРН К1'!L50)*СПРАВОЧНИК!$I$12+('ФАКТ ЧЕРН К1'!M50)*СПРАВОЧНИК!$J$12)+СПРАВОЧНИК!$E$13*(('ФАКТ ЧЕРН К1'!N50)*СПРАВОЧНИК!$H$13+('ФАКТ ЧЕРН К1'!O50)*СПРАВОЧНИК!$I$13+('ФАКТ ЧЕРН К1'!P50)*СПРАВОЧНИК!$J$13)+СПРАВОЧНИК!$E$14*(('ФАКТ ЧЕРН К1'!Q50)*СПРАВОЧНИК!$H$14+('ФАКТ ЧЕРН К1'!R50)*СПРАВОЧНИК!$I$14+('ФАКТ ЧЕРН К1'!S50)*СПРАВОЧНИК!$J$14)+СПРАВОЧНИК!$E$15*(('ФАКТ ЧЕРН К1'!T50)*СПРАВОЧНИК!$H$15+('ФАКТ ЧЕРН К1'!U50)*СПРАВОЧНИК!$I$15+('ФАКТ ЧЕРН К1'!V50)*СПРАВОЧНИК!$J$15)+СПРАВОЧНИК!$F$9*(('ФАКТ ЧИСТ К1'!B50)*СПРАВОЧНИК!$L$9+('ФАКТ ЧИСТ К1'!C50)*СПРАВОЧНИК!$M$9+('ФАКТ ЧИСТ К1'!D50)*СПРАВОЧНИК!$N$9+('ФАКТ ЧИСТ К1'!E50)*СПРАВОЧНИК!$O$9)+СПРАВОЧНИК!$F$10*(('ФАКТ ЧИСТ К1'!F50)*СПРАВОЧНИК!$L$10+('ФАКТ ЧИСТ К1'!G50)*СПРАВОЧНИК!$M$10+('ФАКТ ЧИСТ К1'!H50)*СПРАВОЧНИК!$N$10)+СПРАВОЧНИК!$F$11*(('ФАКТ ЧИСТ К1'!I50)*СПРАВОЧНИК!$L$11+('ФАКТ ЧИСТ К1'!J50)*СПРАВОЧНИК!$M$11+('ФАКТ ЧИСТ К1'!K50)*СПРАВОЧНИК!$N$11)+СПРАВОЧНИК!$F$12*(('ФАКТ ЧИСТ К1'!L50)*СПРАВОЧНИК!$L$12+('ФАКТ ЧИСТ К1'!M50)*СПРАВОЧНИК!$M$12+('ФАКТ ЧИСТ К1'!N50)*СПРАВОЧНИК!$N$12)+СПРАВОЧНИК!$F$13*(('ФАКТ ЧИСТ К1'!O50)*СПРАВОЧНИК!$L$13+('ФАКТ ЧИСТ К1'!P50)*СПРАВОЧНИК!$M$13+('ФАКТ ЧИСТ К1'!Q50)*СПРАВОЧНИК!$N$13)+СПРАВОЧНИК!$F$14*(('ФАКТ ЧИСТ К1'!R50)*СПРАВОЧНИК!$L$14+('ФАКТ ЧИСТ К1'!S50)*СПРАВОЧНИК!$M$14+('ФАКТ ЧИСТ К1'!T50)*СПРАВОЧНИК!$N$14)+СПРАВОЧНИК!$F$15*(('ФАКТ ЧИСТ К1'!U50)*СПРАВОЧНИК!$L$15+('ФАКТ ЧИСТ К1'!V50)*СПРАВОЧНИК!$M$15+('ФАКТ ЧИСТ К1'!W50)*СПРАВОЧНИК!$N$15)</f>
        <v>0</v>
      </c>
      <c r="AA59" s="18">
        <f t="shared" si="16"/>
        <v>46489</v>
      </c>
      <c r="AB59" s="37">
        <f>'ПЛАН ЧЕРН К1'!B50*СПРАВОЧНИК!$H$9+'ПЛАН ЧЕРН К1'!C50*СПРАВОЧНИК!$I$9+'ПЛАН ЧЕРН К1'!D50*СПРАВОЧНИК!$J$9+'ПЛАН ЧЕРН К1'!E50*СПРАВОЧНИК!$H$10+'ПЛАН ЧЕРН К1'!F50*СПРАВОЧНИК!$I$10+'ПЛАН ЧЕРН К1'!G50*СПРАВОЧНИК!$J$10+'ПЛАН ЧЕРН К1'!H50*СПРАВОЧНИК!$H$11+'ПЛАН ЧЕРН К1'!I50*СПРАВОЧНИК!$I$11+'ПЛАН ЧЕРН К1'!J50*СПРАВОЧНИК!$J$11+'ПЛАН ЧЕРН К1'!K50*СПРАВОЧНИК!$H$12+'ПЛАН ЧЕРН К1'!L50*СПРАВОЧНИК!$I$12+'ПЛАН ЧЕРН К1'!M50*СПРАВОЧНИК!$J$12+'ПЛАН ЧЕРН К1'!N50*СПРАВОЧНИК!$H$13+'ПЛАН ЧЕРН К1'!O50*СПРАВОЧНИК!$I$13+'ПЛАН ЧЕРН К1'!P50*СПРАВОЧНИК!$J$13+'ПЛАН ЧЕРН К1'!Q50*СПРАВОЧНИК!$H$14+'ПЛАН ЧЕРН К1'!R50*СПРАВОЧНИК!$I$14+'ПЛАН ЧЕРН К1'!S50*СПРАВОЧНИК!$J$14+'ПЛАН ЧЕРН К1'!T50*СПРАВОЧНИК!$H$15+'ПЛАН ЧЕРН К1'!U50*СПРАВОЧНИК!$I$15+'ПЛАН ЧЕРН К1'!V50*СПРАВОЧНИК!$J$15</f>
        <v>0</v>
      </c>
      <c r="AC59" s="40">
        <f>('ФАКТ ЧЕРН К1'!B50)*СПРАВОЧНИК!$H$9+('ФАКТ ЧЕРН К1'!C50)*СПРАВОЧНИК!$I$9+('ФАКТ ЧЕРН К1'!D50)*СПРАВОЧНИК!$J$9+('ФАКТ ЧЕРН К1'!E50)*СПРАВОЧНИК!$H$10+('ФАКТ ЧЕРН К1'!F50)*СПРАВОЧНИК!$I$10+('ФАКТ ЧЕРН К1'!G50)*СПРАВОЧНИК!$J$10+('ФАКТ ЧЕРН К1'!H50)*СПРАВОЧНИК!$H$11+('ФАКТ ЧЕРН К1'!I50)*СПРАВОЧНИК!$I$11+('ФАКТ ЧЕРН К1'!J50)*СПРАВОЧНИК!$J$11+('ФАКТ ЧЕРН К1'!K50)*СПРАВОЧНИК!$H$12+('ФАКТ ЧЕРН К1'!L50)*СПРАВОЧНИК!$I$12+('ФАКТ ЧЕРН К1'!M50)*СПРАВОЧНИК!$J$12+('ФАКТ ЧЕРН К1'!N50)*СПРАВОЧНИК!$H$13+('ФАКТ ЧЕРН К1'!O50)*СПРАВОЧНИК!$I$13+('ФАКТ ЧЕРН К1'!P50)*СПРАВОЧНИК!$J$13+('ФАКТ ЧЕРН К1'!Q50)*СПРАВОЧНИК!$H$14+('ФАКТ ЧЕРН К1'!R50)*СПРАВОЧНИК!$I$14+('ФАКТ ЧЕРН К1'!S50)*СПРАВОЧНИК!$J$14+('ФАКТ ЧЕРН К1'!T50)*СПРАВОЧНИК!$H$15+('ФАКТ ЧЕРН К1'!U50)*СПРАВОЧНИК!$I$15+('ФАКТ ЧЕРН К1'!V50)*СПРАВОЧНИК!$J$15</f>
        <v>0</v>
      </c>
      <c r="AG59" s="18">
        <f t="shared" si="17"/>
        <v>46489</v>
      </c>
      <c r="AH59" s="37">
        <f>'ПЛАН ЧИСТ К1'!B50*СПРАВОЧНИК!$L$9+'ПЛАН ЧИСТ К1'!C50*СПРАВОЧНИК!$M$9+'ПЛАН ЧИСТ К1'!D50*СПРАВОЧНИК!$N$9+'ПЛАН ЧИСТ К1'!E50*СПРАВОЧНИК!$O$9+'ПЛАН ЧИСТ К1'!F50*СПРАВОЧНИК!$L$10+'ПЛАН ЧИСТ К1'!G50*СПРАВОЧНИК!$M$10+'ПЛАН ЧИСТ К1'!H50*СПРАВОЧНИК!$N$10+'ПЛАН ЧИСТ К1'!I50*СПРАВОЧНИК!$L$11+'ПЛАН ЧИСТ К1'!J50*СПРАВОЧНИК!$M$11+'ПЛАН ЧИСТ К1'!K50*СПРАВОЧНИК!$N$11+'ПЛАН ЧИСТ К1'!L50*СПРАВОЧНИК!$L$12+'ПЛАН ЧИСТ К1'!M50*СПРАВОЧНИК!$M$12+'ПЛАН ЧИСТ К1'!N50*СПРАВОЧНИК!$N$12+'ПЛАН ЧИСТ К1'!O50*СПРАВОЧНИК!$L$13+'ПЛАН ЧИСТ К1'!P50*СПРАВОЧНИК!$M$13+'ПЛАН ЧИСТ К1'!Q50*СПРАВОЧНИК!$N$13+'ПЛАН ЧИСТ К1'!R50*СПРАВОЧНИК!$L$14+'ПЛАН ЧИСТ К1'!S50*СПРАВОЧНИК!$M$14+'ПЛАН ЧИСТ К1'!T50*СПРАВОЧНИК!$N$14+'ПЛАН ЧИСТ К1'!U50*СПРАВОЧНИК!$L$15+'ПЛАН ЧИСТ К1'!V50*СПРАВОЧНИК!$M$15+'ПЛАН ЧИСТ К1'!W50*СПРАВОЧНИК!$N$15</f>
        <v>0</v>
      </c>
      <c r="AI59" s="40">
        <f>('ФАКТ ЧИСТ К1'!B50)*СПРАВОЧНИК!$L$9+('ФАКТ ЧИСТ К1'!C50)*СПРАВОЧНИК!$M$9+('ФАКТ ЧИСТ К1'!D50)*СПРАВОЧНИК!$N$9+('ФАКТ ЧИСТ К1'!E50)*СПРАВОЧНИК!$O$9+('ФАКТ ЧИСТ К1'!F50)*СПРАВОЧНИК!$L$10+('ФАКТ ЧИСТ К1'!G50)*СПРАВОЧНИК!$M$10+('ФАКТ ЧИСТ К1'!H50)*СПРАВОЧНИК!$N$10+('ФАКТ ЧИСТ К1'!I50)*СПРАВОЧНИК!$L$11+('ФАКТ ЧИСТ К1'!J50)*СПРАВОЧНИК!$M$11+('ФАКТ ЧИСТ К1'!K50)*СПРАВОЧНИК!$N$11+('ФАКТ ЧИСТ К1'!L50)*СПРАВОЧНИК!$L$12+('ФАКТ ЧИСТ К1'!M50)*СПРАВОЧНИК!$M$12+('ФАКТ ЧИСТ К1'!N50)*СПРАВОЧНИК!$N$12+('ФАКТ ЧИСТ К1'!O50)*СПРАВОЧНИК!$L$13+('ФАКТ ЧИСТ К1'!P50)*СПРАВОЧНИК!$M$13+('ФАКТ ЧИСТ К1'!Q50)*СПРАВОЧНИК!$N$13+('ФАКТ ЧИСТ К1'!R50)*СПРАВОЧНИК!$L$14+('ФАКТ ЧИСТ К1'!S50)*СПРАВОЧНИК!$M$14+('ФАКТ ЧИСТ К1'!T50)*СПРАВОЧНИК!$N$14+('ФАКТ ЧИСТ К1'!U50)*СПРАВОЧНИК!$L$15+('ФАКТ ЧИСТ К1'!V50)*СПРАВОЧНИК!$M$15+('ФАКТ ЧИСТ К1'!W50)*СПРАВОЧНИК!$N$15</f>
        <v>0</v>
      </c>
      <c r="AM59" s="18">
        <f t="shared" si="18"/>
        <v>46489</v>
      </c>
      <c r="AN59" s="37">
        <f>СПРАВОЧНИК!$E$9*('ПЛАН ЧЕРН К2'!B50*СПРАВОЧНИК!$H$9+'ПЛАН ЧЕРН К2'!C50*СПРАВОЧНИК!$I$9+'ПЛАН ЧЕРН К2'!D50*СПРАВОЧНИК!$J$9)+СПРАВОЧНИК!$E$10*('ПЛАН ЧЕРН К2'!E50*СПРАВОЧНИК!$H$10+'ПЛАН ЧЕРН К2'!F50*СПРАВОЧНИК!$I$10+'ПЛАН ЧЕРН К2'!G50*СПРАВОЧНИК!$J$10)+СПРАВОЧНИК!$E$11*('ПЛАН ЧЕРН К2'!H50*СПРАВОЧНИК!$H$11+'ПЛАН ЧЕРН К2'!I50*СПРАВОЧНИК!$I$11+'ПЛАН ЧЕРН К2'!J50*СПРАВОЧНИК!$J$11)+СПРАВОЧНИК!$E$12*('ПЛАН ЧЕРН К2'!K50*СПРАВОЧНИК!$H$12+'ПЛАН ЧЕРН К2'!L50*СПРАВОЧНИК!$I$12+'ПЛАН ЧЕРН К2'!M50*СПРАВОЧНИК!$J$12)+СПРАВОЧНИК!$E$13*('ПЛАН ЧЕРН К2'!N50*СПРАВОЧНИК!$H$13+'ПЛАН ЧЕРН К2'!O50*СПРАВОЧНИК!$I$13+'ПЛАН ЧЕРН К2'!P50*СПРАВОЧНИК!$J$13)+СПРАВОЧНИК!$E$14*('ПЛАН ЧЕРН К2'!Q50*СПРАВОЧНИК!$H$14+'ПЛАН ЧЕРН К2'!R50*СПРАВОЧНИК!$I$14+'ПЛАН ЧЕРН К2'!S50*СПРАВОЧНИК!$J$14)+СПРАВОЧНИК!$E$15*('ПЛАН ЧЕРН К2'!T50*СПРАВОЧНИК!$H$15+'ПЛАН ЧЕРН К2'!U50*СПРАВОЧНИК!$I$15+'ПЛАН ЧЕРН К2'!V50*СПРАВОЧНИК!$J$15)+СПРАВОЧНИК!$F$9*('ПЛАН ЧИСТ К2'!B50*СПРАВОЧНИК!$L$9+'ПЛАН ЧИСТ К2'!C50*СПРАВОЧНИК!$M$9+'ПЛАН ЧИСТ К2'!D50*СПРАВОЧНИК!$N$9+'ПЛАН ЧИСТ К2'!E50*СПРАВОЧНИК!$O$9)+СПРАВОЧНИК!$F$10*('ПЛАН ЧИСТ К2'!F50*СПРАВОЧНИК!$L$10+'ПЛАН ЧИСТ К2'!G50*СПРАВОЧНИК!$M$10+'ПЛАН ЧИСТ К2'!H50*СПРАВОЧНИК!$N$10)+СПРАВОЧНИК!$F$11*('ПЛАН ЧИСТ К2'!I50*СПРАВОЧНИК!$L$11+'ПЛАН ЧИСТ К2'!J50*СПРАВОЧНИК!$M$11+'ПЛАН ЧИСТ К2'!K50*СПРАВОЧНИК!$N$11)+СПРАВОЧНИК!$F$12*('ПЛАН ЧИСТ К2'!L50*СПРАВОЧНИК!$L$12+'ПЛАН ЧИСТ К2'!M50*СПРАВОЧНИК!$M$12+'ПЛАН ЧИСТ К2'!N50*СПРАВОЧНИК!$N$12)+СПРАВОЧНИК!$F$13*('ПЛАН ЧИСТ К2'!O50*СПРАВОЧНИК!$L$13+'ПЛАН ЧИСТ К2'!P50*СПРАВОЧНИК!$M$13+'ПЛАН ЧИСТ К2'!Q50*СПРАВОЧНИК!$N$13)+СПРАВОЧНИК!$F$14*('ПЛАН ЧИСТ К2'!R50*СПРАВОЧНИК!$L$14+'ПЛАН ЧИСТ К2'!S50*СПРАВОЧНИК!$M$14+'ПЛАН ЧИСТ К2'!T50*СПРАВОЧНИК!$N$14)+СПРАВОЧНИК!$F$15*('ПЛАН ЧИСТ К2'!U50*СПРАВОЧНИК!$L$15+'ПЛАН ЧИСТ К2'!V50*СПРАВОЧНИК!$M$15+'ПЛАН ЧИСТ К2'!W50*СПРАВОЧНИК!$N$15)</f>
        <v>0</v>
      </c>
      <c r="AO59" s="40">
        <f>СПРАВОЧНИК!$E$9*(('ФАКТ ЧЕРН К2'!B50)*СПРАВОЧНИК!$H$9+('ФАКТ ЧЕРН К2'!C50)*СПРАВОЧНИК!$I$9+('ФАКТ ЧЕРН К2'!D50)*СПРАВОЧНИК!$J$9)+СПРАВОЧНИК!$E$10*(('ФАКТ ЧЕРН К2'!E50)*СПРАВОЧНИК!$H$10+('ФАКТ ЧЕРН К2'!F50)*СПРАВОЧНИК!$I$10+('ФАКТ ЧЕРН К2'!G50)*СПРАВОЧНИК!$J$10)+СПРАВОЧНИК!$E$11*(('ФАКТ ЧЕРН К2'!H50)*СПРАВОЧНИК!$H$11+('ФАКТ ЧЕРН К2'!I50)*СПРАВОЧНИК!$I$11+('ФАКТ ЧЕРН К2'!J50)*СПРАВОЧНИК!$J$11)+СПРАВОЧНИК!$E$12*(('ФАКТ ЧЕРН К2'!K50)*СПРАВОЧНИК!$H$12+('ФАКТ ЧЕРН К2'!L50)*СПРАВОЧНИК!$I$12+('ФАКТ ЧЕРН К2'!M50)*СПРАВОЧНИК!$J$12)+СПРАВОЧНИК!$E$13*(('ФАКТ ЧЕРН К2'!N50)*СПРАВОЧНИК!$H$13+('ФАКТ ЧЕРН К2'!O50)*СПРАВОЧНИК!$I$13+('ФАКТ ЧЕРН К2'!P50)*СПРАВОЧНИК!$J$13)+СПРАВОЧНИК!$E$14*(('ФАКТ ЧЕРН К2'!Q50)*СПРАВОЧНИК!$H$14+('ФАКТ ЧЕРН К2'!R50)*СПРАВОЧНИК!$I$14+('ФАКТ ЧЕРН К2'!S50)*СПРАВОЧНИК!$J$14)+СПРАВОЧНИК!$E$15*(('ФАКТ ЧЕРН К2'!T50)*СПРАВОЧНИК!$H$15+('ФАКТ ЧЕРН К2'!U50)*СПРАВОЧНИК!$I$15+('ФАКТ ЧЕРН К2'!V50)*СПРАВОЧНИК!$J$15)+СПРАВОЧНИК!$F$9*(('ФАКТ ЧИСТ К2'!B50)*СПРАВОЧНИК!$L$9+('ФАКТ ЧИСТ К2'!C50)*СПРАВОЧНИК!$M$9+('ФАКТ ЧИСТ К2'!D50)*СПРАВОЧНИК!$N$9+('ФАКТ ЧИСТ К2'!E50)*СПРАВОЧНИК!$O$9)+СПРАВОЧНИК!$F$10*(('ФАКТ ЧИСТ К2'!F50)*СПРАВОЧНИК!$L$10+('ФАКТ ЧИСТ К2'!G50)*СПРАВОЧНИК!$M$10+('ФАКТ ЧИСТ К2'!H50)*СПРАВОЧНИК!$N$10)+СПРАВОЧНИК!$F$11*(('ФАКТ ЧИСТ К2'!I50)*СПРАВОЧНИК!$L$11+('ФАКТ ЧИСТ К2'!J50)*СПРАВОЧНИК!$M$11+('ФАКТ ЧИСТ К2'!K50)*СПРАВОЧНИК!$N$11)+СПРАВОЧНИК!$F$12*(('ФАКТ ЧИСТ К2'!L50)*СПРАВОЧНИК!$L$12+('ФАКТ ЧИСТ К2'!M50)*СПРАВОЧНИК!$M$12+('ФАКТ ЧИСТ К2'!N50)*СПРАВОЧНИК!$N$12)+СПРАВОЧНИК!$F$13*(('ФАКТ ЧИСТ К2'!O50)*СПРАВОЧНИК!$L$13+('ФАКТ ЧИСТ К2'!P50)*СПРАВОЧНИК!$M$13+('ФАКТ ЧИСТ К2'!Q50)*СПРАВОЧНИК!$N$13)+СПРАВОЧНИК!$F$14*(('ФАКТ ЧИСТ К2'!R50)*СПРАВОЧНИК!$L$14+('ФАКТ ЧИСТ К2'!S50)*СПРАВОЧНИК!$M$14+('ФАКТ ЧИСТ К2'!T50)*СПРАВОЧНИК!$N$14)+СПРАВОЧНИК!$F$15*(('ФАКТ ЧИСТ К2'!U50)*СПРАВОЧНИК!$L$15+('ФАКТ ЧИСТ К2'!V50)*СПРАВОЧНИК!$M$15+('ФАКТ ЧИСТ К2'!W50)*СПРАВОЧНИК!$N$15)</f>
        <v>0</v>
      </c>
      <c r="AS59" s="18">
        <f t="shared" si="19"/>
        <v>46489</v>
      </c>
      <c r="AT59" s="37">
        <f>'ПЛАН ЧЕРН К2'!B50*СПРАВОЧНИК!$H$9+'ПЛАН ЧЕРН К2'!C50*СПРАВОЧНИК!$I$9+'ПЛАН ЧЕРН К2'!D50*СПРАВОЧНИК!$J$9+'ПЛАН ЧЕРН К2'!E50*СПРАВОЧНИК!$H$10+'ПЛАН ЧЕРН К2'!F50*СПРАВОЧНИК!$I$10+'ПЛАН ЧЕРН К2'!G50*СПРАВОЧНИК!$J$10+'ПЛАН ЧЕРН К2'!H50*СПРАВОЧНИК!$H$11+'ПЛАН ЧЕРН К2'!I50*СПРАВОЧНИК!$I$11+'ПЛАН ЧЕРН К2'!J50*СПРАВОЧНИК!$J$11+'ПЛАН ЧЕРН К2'!K50*СПРАВОЧНИК!$H$12+'ПЛАН ЧЕРН К2'!L50*СПРАВОЧНИК!$I$12+'ПЛАН ЧЕРН К2'!M50*СПРАВОЧНИК!$J$12+'ПЛАН ЧЕРН К2'!N50*СПРАВОЧНИК!$H$13+'ПЛАН ЧЕРН К2'!O50*СПРАВОЧНИК!$I$13+'ПЛАН ЧЕРН К2'!P50*СПРАВОЧНИК!$J$13+'ПЛАН ЧЕРН К2'!Q50*СПРАВОЧНИК!$H$14+'ПЛАН ЧЕРН К2'!R50*СПРАВОЧНИК!$I$14+'ПЛАН ЧЕРН К2'!S50*СПРАВОЧНИК!$J$14+'ПЛАН ЧЕРН К2'!T50*СПРАВОЧНИК!$H$15+'ПЛАН ЧЕРН К2'!U50*СПРАВОЧНИК!$I$15+'ПЛАН ЧЕРН К2'!V50*СПРАВОЧНИК!$J$15</f>
        <v>0</v>
      </c>
      <c r="AU59" s="40">
        <f>('ФАКТ ЧЕРН К2'!B50)*СПРАВОЧНИК!$H$9+('ФАКТ ЧЕРН К2'!C50)*СПРАВОЧНИК!$I$9+('ФАКТ ЧЕРН К2'!D50)*СПРАВОЧНИК!$J$9+('ФАКТ ЧЕРН К2'!E50)*СПРАВОЧНИК!$H$10+('ФАКТ ЧЕРН К2'!F50)*СПРАВОЧНИК!$I$10+('ФАКТ ЧЕРН К2'!G50)*СПРАВОЧНИК!$J$10+('ФАКТ ЧЕРН К2'!H50)*СПРАВОЧНИК!$H$11+('ФАКТ ЧЕРН К2'!I50)*СПРАВОЧНИК!$I$11+('ФАКТ ЧЕРН К2'!J50)*СПРАВОЧНИК!$J$11+('ФАКТ ЧЕРН К2'!K50)*СПРАВОЧНИК!$H$12+('ФАКТ ЧЕРН К2'!L50)*СПРАВОЧНИК!$I$12+('ФАКТ ЧЕРН К2'!M50)*СПРАВОЧНИК!$J$12+('ФАКТ ЧЕРН К2'!N50)*СПРАВОЧНИК!$H$13+('ФАКТ ЧЕРН К2'!O50)*СПРАВОЧНИК!$I$13+('ФАКТ ЧЕРН К2'!P50)*СПРАВОЧНИК!$J$13+('ФАКТ ЧЕРН К2'!Q50)*СПРАВОЧНИК!$H$14+('ФАКТ ЧЕРН К2'!R50)*СПРАВОЧНИК!$I$14+('ФАКТ ЧЕРН К2'!S50)*СПРАВОЧНИК!$J$14+('ФАКТ ЧЕРН К2'!T50)*СПРАВОЧНИК!$H$15+('ФАКТ ЧЕРН К2'!U50)*СПРАВОЧНИК!$I$15+('ФАКТ ЧЕРН К2'!V50)*СПРАВОЧНИК!$J$15</f>
        <v>0</v>
      </c>
      <c r="AY59" s="18">
        <f t="shared" si="20"/>
        <v>46489</v>
      </c>
      <c r="AZ59" s="37">
        <f>'ПЛАН ЧИСТ К2'!B50*СПРАВОЧНИК!$L$9+'ПЛАН ЧИСТ К2'!C50*СПРАВОЧНИК!$M$9+'ПЛАН ЧИСТ К2'!D50*СПРАВОЧНИК!$N$9+'ПЛАН ЧИСТ К2'!E50*СПРАВОЧНИК!$O$9+'ПЛАН ЧИСТ К2'!F50*СПРАВОЧНИК!$L$10+'ПЛАН ЧИСТ К2'!G50*СПРАВОЧНИК!$M$10+'ПЛАН ЧИСТ К2'!H50*СПРАВОЧНИК!$N$10+'ПЛАН ЧИСТ К2'!I50*СПРАВОЧНИК!$L$11+'ПЛАН ЧИСТ К2'!J50*СПРАВОЧНИК!$M$11+'ПЛАН ЧИСТ К2'!K50*СПРАВОЧНИК!$N$11+'ПЛАН ЧИСТ К2'!L50*СПРАВОЧНИК!$L$12+'ПЛАН ЧИСТ К2'!M50*СПРАВОЧНИК!$M$12+'ПЛАН ЧИСТ К2'!N50*СПРАВОЧНИК!$N$12+'ПЛАН ЧИСТ К2'!O50*СПРАВОЧНИК!$L$13+'ПЛАН ЧИСТ К2'!P50*СПРАВОЧНИК!$M$13+'ПЛАН ЧИСТ К2'!Q50*СПРАВОЧНИК!$N$13+'ПЛАН ЧИСТ К2'!R50*СПРАВОЧНИК!$L$14+'ПЛАН ЧИСТ К2'!S50*СПРАВОЧНИК!$M$14+'ПЛАН ЧИСТ К2'!T50*СПРАВОЧНИК!$N$14+'ПЛАН ЧИСТ К2'!U50*СПРАВОЧНИК!$L$15+'ПЛАН ЧИСТ К2'!V50*СПРАВОЧНИК!$M$15+'ПЛАН ЧИСТ К2'!W50*СПРАВОЧНИК!$N$15</f>
        <v>0</v>
      </c>
      <c r="BA59" s="40">
        <f>('ФАКТ ЧИСТ К2'!B50)*СПРАВОЧНИК!$L$9+('ФАКТ ЧИСТ К2'!C50)*СПРАВОЧНИК!$M$9+('ФАКТ ЧИСТ К2'!D50)*СПРАВОЧНИК!$N$9+('ФАКТ ЧИСТ К2'!E50)*СПРАВОЧНИК!$O$9+('ФАКТ ЧИСТ К2'!F50)*СПРАВОЧНИК!$L$10+('ФАКТ ЧИСТ К2'!G50)*СПРАВОЧНИК!$M$10+('ФАКТ ЧИСТ К2'!H50)*СПРАВОЧНИК!$N$10+('ФАКТ ЧИСТ К2'!I50)*СПРАВОЧНИК!$L$11+('ФАКТ ЧИСТ К2'!J50)*СПРАВОЧНИК!$M$11+('ФАКТ ЧИСТ К2'!K50)*СПРАВОЧНИК!$N$11+('ФАКТ ЧИСТ К2'!L50)*СПРАВОЧНИК!$L$12+('ФАКТ ЧИСТ К2'!M50)*СПРАВОЧНИК!$M$12+('ФАКТ ЧИСТ К2'!N50)*СПРАВОЧНИК!$N$12+('ФАКТ ЧИСТ К2'!O50)*СПРАВОЧНИК!$L$13+('ФАКТ ЧИСТ К2'!P50)*СПРАВОЧНИК!$M$13+('ФАКТ ЧИСТ К2'!Q50)*СПРАВОЧНИК!$N$13+('ФАКТ ЧИСТ К2'!R50)*СПРАВОЧНИК!$L$14+('ФАКТ ЧИСТ К2'!S50)*СПРАВОЧНИК!$M$14+('ФАКТ ЧИСТ К2'!T50)*СПРАВОЧНИК!$N$14+('ФАКТ ЧИСТ К2'!U50)*СПРАВОЧНИК!$L$15+('ФАКТ ЧИСТ К2'!V50)*СПРАВОЧНИК!$M$15+('ФАКТ ЧИСТ К2'!W50)*СПРАВОЧНИК!$N$15</f>
        <v>0</v>
      </c>
      <c r="BE59" s="18">
        <f t="shared" si="21"/>
        <v>46489</v>
      </c>
      <c r="BF59" s="37">
        <f>СПРАВОЧНИК!$E$9*('ПЛАН ЧЕРН К3'!B50*СПРАВОЧНИК!$H$9+'ПЛАН ЧЕРН К3'!C50*СПРАВОЧНИК!$I$9+'ПЛАН ЧЕРН К3'!D50*СПРАВОЧНИК!$J$9)+СПРАВОЧНИК!$E$10*('ПЛАН ЧЕРН К3'!E50*СПРАВОЧНИК!$H$10+'ПЛАН ЧЕРН К3'!F50*СПРАВОЧНИК!$I$10+'ПЛАН ЧЕРН К3'!G50*СПРАВОЧНИК!$J$10)+СПРАВОЧНИК!$E$11*('ПЛАН ЧЕРН К3'!H50*СПРАВОЧНИК!$H$11+'ПЛАН ЧЕРН К3'!I50*СПРАВОЧНИК!$I$11+'ПЛАН ЧЕРН К3'!J50*СПРАВОЧНИК!$J$11)+СПРАВОЧНИК!$E$12*('ПЛАН ЧЕРН К3'!K50*СПРАВОЧНИК!$H$12+'ПЛАН ЧЕРН К3'!L50*СПРАВОЧНИК!$I$12+'ПЛАН ЧЕРН К3'!M50*СПРАВОЧНИК!$J$12)+СПРАВОЧНИК!$E$13*('ПЛАН ЧЕРН К3'!N50*СПРАВОЧНИК!$H$13+'ПЛАН ЧЕРН К3'!O50*СПРАВОЧНИК!$I$13+'ПЛАН ЧЕРН К3'!P50*СПРАВОЧНИК!$J$13)+СПРАВОЧНИК!$E$14*('ПЛАН ЧЕРН К3'!Q50*СПРАВОЧНИК!$H$14+'ПЛАН ЧЕРН К3'!R50*СПРАВОЧНИК!$I$14+'ПЛАН ЧЕРН К3'!S50*СПРАВОЧНИК!$J$14)+СПРАВОЧНИК!$E$15*('ПЛАН ЧЕРН К3'!T50*СПРАВОЧНИК!$H$15+'ПЛАН ЧЕРН К3'!U50*СПРАВОЧНИК!$I$15+'ПЛАН ЧЕРН К3'!V50*СПРАВОЧНИК!$J$15)+СПРАВОЧНИК!$F$9*('ПЛАН ЧИСТ К3'!B50*СПРАВОЧНИК!$L$9+'ПЛАН ЧИСТ К3'!C50*СПРАВОЧНИК!$M$9+'ПЛАН ЧИСТ К3'!D50*СПРАВОЧНИК!$N$9+'ПЛАН ЧИСТ К3'!E50*СПРАВОЧНИК!$O$9)+СПРАВОЧНИК!$F$10*('ПЛАН ЧИСТ К3'!F50*СПРАВОЧНИК!$L$10+'ПЛАН ЧИСТ К3'!G50*СПРАВОЧНИК!$M$10+'ПЛАН ЧИСТ К3'!H50*СПРАВОЧНИК!$N$10)+СПРАВОЧНИК!$F$11*('ПЛАН ЧИСТ К3'!I50*СПРАВОЧНИК!$L$11+'ПЛАН ЧИСТ К3'!J50*СПРАВОЧНИК!$M$11+'ПЛАН ЧИСТ К3'!K50*СПРАВОЧНИК!$N$11)+СПРАВОЧНИК!$F$12*('ПЛАН ЧИСТ К3'!L50*СПРАВОЧНИК!$L$12+'ПЛАН ЧИСТ К3'!M50*СПРАВОЧНИК!$M$12+'ПЛАН ЧИСТ К3'!N50*СПРАВОЧНИК!$N$12)+СПРАВОЧНИК!$F$13*('ПЛАН ЧИСТ К3'!O50*СПРАВОЧНИК!$L$13+'ПЛАН ЧИСТ К3'!P50*СПРАВОЧНИК!$M$13+'ПЛАН ЧИСТ К3'!Q50*СПРАВОЧНИК!$N$13)+СПРАВОЧНИК!$F$14*('ПЛАН ЧИСТ К3'!R50*СПРАВОЧНИК!$L$14+'ПЛАН ЧИСТ К3'!S50*СПРАВОЧНИК!$M$14+'ПЛАН ЧИСТ К3'!T50*СПРАВОЧНИК!$N$14)+СПРАВОЧНИК!$F$15*('ПЛАН ЧИСТ К3'!U50*СПРАВОЧНИК!$L$15+'ПЛАН ЧИСТ К3'!V50*СПРАВОЧНИК!$M$15+'ПЛАН ЧИСТ К3'!W50*СПРАВОЧНИК!$N$15)</f>
        <v>0</v>
      </c>
      <c r="BG59" s="40">
        <f>СПРАВОЧНИК!$E$9*(('ФАКТ ЧЕРН К3'!B50)*СПРАВОЧНИК!$H$9+('ФАКТ ЧЕРН К3'!C50)*СПРАВОЧНИК!$I$9+('ФАКТ ЧЕРН К3'!D50)*СПРАВОЧНИК!$J$9)+СПРАВОЧНИК!$E$10*(('ФАКТ ЧЕРН К3'!E50)*СПРАВОЧНИК!$H$10+('ФАКТ ЧЕРН К3'!F50)*СПРАВОЧНИК!$I$10+('ФАКТ ЧЕРН К3'!G50)*СПРАВОЧНИК!$J$10)+СПРАВОЧНИК!$E$11*(('ФАКТ ЧЕРН К3'!H50)*СПРАВОЧНИК!$H$11+('ФАКТ ЧЕРН К3'!I50)*СПРАВОЧНИК!$I$11+('ФАКТ ЧЕРН К3'!J50)*СПРАВОЧНИК!$J$11)+СПРАВОЧНИК!$E$12*(('ФАКТ ЧЕРН К3'!K50)*СПРАВОЧНИК!$H$12+('ФАКТ ЧЕРН К3'!L50)*СПРАВОЧНИК!$I$12+('ФАКТ ЧЕРН К3'!M50)*СПРАВОЧНИК!$J$12)+СПРАВОЧНИК!$E$13*(('ФАКТ ЧЕРН К3'!N50)*СПРАВОЧНИК!$H$13+('ФАКТ ЧЕРН К3'!O50)*СПРАВОЧНИК!$I$13+('ФАКТ ЧЕРН К3'!P50)*СПРАВОЧНИК!$J$13)+СПРАВОЧНИК!$E$14*(('ФАКТ ЧЕРН К3'!Q50)*СПРАВОЧНИК!$H$14+('ФАКТ ЧЕРН К3'!R50)*СПРАВОЧНИК!$I$14+('ФАКТ ЧЕРН К3'!S50)*СПРАВОЧНИК!$J$14)+СПРАВОЧНИК!$E$15*(('ФАКТ ЧЕРН К3'!T50)*СПРАВОЧНИК!$H$15+('ФАКТ ЧЕРН К3'!U50)*СПРАВОЧНИК!$I$15+('ФАКТ ЧЕРН К3'!V50)*СПРАВОЧНИК!$J$15)+СПРАВОЧНИК!$F$9*(('ФАКТ ЧИСТ К3'!B50)*СПРАВОЧНИК!$L$9+('ФАКТ ЧИСТ К3'!C50)*СПРАВОЧНИК!$M$9+('ФАКТ ЧИСТ К3'!D50)*СПРАВОЧНИК!$N$9+('ФАКТ ЧИСТ К3'!E50)*СПРАВОЧНИК!$O$9)+СПРАВОЧНИК!$F$10*(('ФАКТ ЧИСТ К3'!F50)*СПРАВОЧНИК!$L$10+('ФАКТ ЧИСТ К3'!G50)*СПРАВОЧНИК!$M$10+('ФАКТ ЧИСТ К3'!H50)*СПРАВОЧНИК!$N$10)+СПРАВОЧНИК!$F$11*(('ФАКТ ЧИСТ К3'!I50)*СПРАВОЧНИК!$L$11+('ФАКТ ЧИСТ К3'!J50)*СПРАВОЧНИК!$M$11+('ФАКТ ЧИСТ К3'!K50)*СПРАВОЧНИК!$N$11)+СПРАВОЧНИК!$F$12*(('ФАКТ ЧИСТ К3'!L50)*СПРАВОЧНИК!$L$12+('ФАКТ ЧИСТ К3'!M50)*СПРАВОЧНИК!$M$12+('ФАКТ ЧИСТ К3'!N50)*СПРАВОЧНИК!$N$12)+СПРАВОЧНИК!$F$13*(('ФАКТ ЧИСТ К3'!O50)*СПРАВОЧНИК!$L$13+('ФАКТ ЧИСТ К3'!P50)*СПРАВОЧНИК!$M$13+('ФАКТ ЧИСТ К3'!Q50)*СПРАВОЧНИК!$N$13)+СПРАВОЧНИК!$F$14*(('ФАКТ ЧИСТ К3'!R50)*СПРАВОЧНИК!$L$14+('ФАКТ ЧИСТ К3'!S50)*СПРАВОЧНИК!$M$14+('ФАКТ ЧИСТ К3'!T50)*СПРАВОЧНИК!$N$14)+СПРАВОЧНИК!$F$15*(('ФАКТ ЧИСТ К3'!U50)*СПРАВОЧНИК!$L$15+('ФАКТ ЧИСТ К3'!V50)*СПРАВОЧНИК!$M$15+('ФАКТ ЧИСТ К3'!W50)*СПРАВОЧНИК!$N$15)</f>
        <v>0</v>
      </c>
      <c r="BK59" s="18">
        <f t="shared" si="22"/>
        <v>46489</v>
      </c>
      <c r="BL59" s="37">
        <f>'ПЛАН ЧЕРН К3'!B50*СПРАВОЧНИК!$H$9+'ПЛАН ЧЕРН К3'!C50*СПРАВОЧНИК!$I$9+'ПЛАН ЧЕРН К3'!D50*СПРАВОЧНИК!$J$9+'ПЛАН ЧЕРН К3'!E50*СПРАВОЧНИК!$H$10+'ПЛАН ЧЕРН К3'!F50*СПРАВОЧНИК!$I$10+'ПЛАН ЧЕРН К3'!G50*СПРАВОЧНИК!$J$10+'ПЛАН ЧЕРН К3'!H50*СПРАВОЧНИК!$H$11+'ПЛАН ЧЕРН К3'!I50*СПРАВОЧНИК!$I$11+'ПЛАН ЧЕРН К3'!J50*СПРАВОЧНИК!$J$11+'ПЛАН ЧЕРН К3'!K50*СПРАВОЧНИК!$H$12+'ПЛАН ЧЕРН К3'!L50*СПРАВОЧНИК!$I$12+'ПЛАН ЧЕРН К3'!M50*СПРАВОЧНИК!$J$12+'ПЛАН ЧЕРН К3'!N50*СПРАВОЧНИК!$H$13+'ПЛАН ЧЕРН К3'!O50*СПРАВОЧНИК!$I$13+'ПЛАН ЧЕРН К3'!P50*СПРАВОЧНИК!$J$13+'ПЛАН ЧЕРН К3'!Q50*СПРАВОЧНИК!$H$14+'ПЛАН ЧЕРН К3'!R50*СПРАВОЧНИК!$I$14+'ПЛАН ЧЕРН К3'!S50*СПРАВОЧНИК!$J$14+'ПЛАН ЧЕРН К3'!T50*СПРАВОЧНИК!$H$15+'ПЛАН ЧЕРН К3'!U50*СПРАВОЧНИК!$I$15+'ПЛАН ЧЕРН К3'!V50*СПРАВОЧНИК!$J$15</f>
        <v>0</v>
      </c>
      <c r="BM59" s="40">
        <f>('ФАКТ ЧЕРН К3'!B50)*СПРАВОЧНИК!$H$9+('ФАКТ ЧЕРН К3'!C50)*СПРАВОЧНИК!$I$9+('ФАКТ ЧЕРН К3'!D50)*СПРАВОЧНИК!$J$9+('ФАКТ ЧЕРН К3'!E50)*СПРАВОЧНИК!$H$10+('ФАКТ ЧЕРН К3'!F50)*СПРАВОЧНИК!$I$10+('ФАКТ ЧЕРН К3'!G50)*СПРАВОЧНИК!$J$10+('ФАКТ ЧЕРН К3'!H50)*СПРАВОЧНИК!$H$11+('ФАКТ ЧЕРН К3'!I50)*СПРАВОЧНИК!$I$11+('ФАКТ ЧЕРН К3'!J50)*СПРАВОЧНИК!$J$11+('ФАКТ ЧЕРН К3'!K50)*СПРАВОЧНИК!$H$12+('ФАКТ ЧЕРН К3'!L50)*СПРАВОЧНИК!$I$12+('ФАКТ ЧЕРН К3'!M50)*СПРАВОЧНИК!$J$12+('ФАКТ ЧЕРН К3'!N50)*СПРАВОЧНИК!$H$13+('ФАКТ ЧЕРН К3'!O50)*СПРАВОЧНИК!$I$13+('ФАКТ ЧЕРН К3'!P50)*СПРАВОЧНИК!$J$13+('ФАКТ ЧЕРН К3'!Q50)*СПРАВОЧНИК!$H$14+('ФАКТ ЧЕРН К3'!R50)*СПРАВОЧНИК!$I$14+('ФАКТ ЧЕРН К3'!S50)*СПРАВОЧНИК!$J$14+('ФАКТ ЧЕРН К3'!T50)*СПРАВОЧНИК!$H$15+('ФАКТ ЧЕРН К3'!U50)*СПРАВОЧНИК!$I$15+('ФАКТ ЧЕРН К3'!V50)*СПРАВОЧНИК!$J$15</f>
        <v>0</v>
      </c>
      <c r="BQ59" s="18">
        <f t="shared" si="23"/>
        <v>46489</v>
      </c>
      <c r="BR59" s="37">
        <f>'ПЛАН ЧИСТ К3'!B50*СПРАВОЧНИК!$L$9+'ПЛАН ЧИСТ К3'!C50*СПРАВОЧНИК!$M$9+'ПЛАН ЧИСТ К3'!D50*СПРАВОЧНИК!$N$9+'ПЛАН ЧИСТ К3'!E50*СПРАВОЧНИК!$O$9+'ПЛАН ЧИСТ К3'!F50*СПРАВОЧНИК!$L$10+'ПЛАН ЧИСТ К3'!G50*СПРАВОЧНИК!$M$10+'ПЛАН ЧИСТ К3'!H50*СПРАВОЧНИК!$N$10+'ПЛАН ЧИСТ К3'!I50*СПРАВОЧНИК!$L$11+'ПЛАН ЧИСТ К3'!J50*СПРАВОЧНИК!$M$11+'ПЛАН ЧИСТ К3'!K50*СПРАВОЧНИК!$N$11+'ПЛАН ЧИСТ К3'!L50*СПРАВОЧНИК!$L$12+'ПЛАН ЧИСТ К3'!M50*СПРАВОЧНИК!$M$12+'ПЛАН ЧИСТ К3'!N50*СПРАВОЧНИК!$N$12+'ПЛАН ЧИСТ К3'!O50*СПРАВОЧНИК!$L$13+'ПЛАН ЧИСТ К3'!P50*СПРАВОЧНИК!$M$13+'ПЛАН ЧИСТ К3'!Q50*СПРАВОЧНИК!$N$13+'ПЛАН ЧИСТ К3'!R50*СПРАВОЧНИК!$L$14+'ПЛАН ЧИСТ К3'!S50*СПРАВОЧНИК!$M$14+'ПЛАН ЧИСТ К3'!T50*СПРАВОЧНИК!$N$14+'ПЛАН ЧИСТ К3'!U50*СПРАВОЧНИК!$L$15+'ПЛАН ЧИСТ К3'!V50*СПРАВОЧНИК!$M$15+'ПЛАН ЧИСТ К3'!W50*СПРАВОЧНИК!$N$15</f>
        <v>0</v>
      </c>
      <c r="BS59" s="40">
        <f>('ФАКТ ЧИСТ К3'!B50)*СПРАВОЧНИК!$L$9+('ФАКТ ЧИСТ К3'!C50)*СПРАВОЧНИК!$M$9+('ФАКТ ЧИСТ К3'!D50)*СПРАВОЧНИК!$N$9+('ФАКТ ЧИСТ К3'!E50)*СПРАВОЧНИК!$O$9+('ФАКТ ЧИСТ К3'!F50)*СПРАВОЧНИК!$L$10+('ФАКТ ЧИСТ К3'!G50)*СПРАВОЧНИК!$M$10+('ФАКТ ЧИСТ К3'!H50)*СПРАВОЧНИК!$N$10+('ФАКТ ЧИСТ К3'!I50)*СПРАВОЧНИК!$L$11+('ФАКТ ЧИСТ К3'!J50)*СПРАВОЧНИК!$M$11+('ФАКТ ЧИСТ К3'!K50)*СПРАВОЧНИК!$N$11+('ФАКТ ЧИСТ К3'!L50)*СПРАВОЧНИК!$L$12+('ФАКТ ЧИСТ К3'!M50)*СПРАВОЧНИК!$M$12+('ФАКТ ЧИСТ К3'!N50)*СПРАВОЧНИК!$N$12+('ФАКТ ЧИСТ К3'!O50)*СПРАВОЧНИК!$L$13+('ФАКТ ЧИСТ К3'!P50)*СПРАВОЧНИК!$M$13+('ФАКТ ЧИСТ К3'!Q50)*СПРАВОЧНИК!$N$13+('ФАКТ ЧИСТ К3'!R50)*СПРАВОЧНИК!$L$14+('ФАКТ ЧИСТ К3'!S50)*СПРАВОЧНИК!$M$14+('ФАКТ ЧИСТ К3'!T50)*СПРАВОЧНИК!$N$14+('ФАКТ ЧИСТ К3'!U50)*СПРАВОЧНИК!$L$15+('ФАКТ ЧИСТ К3'!V50)*СПРАВОЧНИК!$M$15+('ФАКТ ЧИСТ К3'!W50)*СПРАВОЧНИК!$N$15</f>
        <v>0</v>
      </c>
      <c r="BW59" s="18">
        <f t="shared" si="24"/>
        <v>46489</v>
      </c>
      <c r="BX59" s="37">
        <f t="shared" si="0"/>
        <v>0</v>
      </c>
      <c r="BY59" s="40">
        <f t="shared" si="1"/>
        <v>0</v>
      </c>
      <c r="CC59" s="18">
        <f t="shared" si="25"/>
        <v>46489</v>
      </c>
      <c r="CD59" s="37">
        <f t="shared" si="2"/>
        <v>0</v>
      </c>
      <c r="CE59" s="40">
        <f t="shared" si="3"/>
        <v>0</v>
      </c>
      <c r="CI59" s="18">
        <f t="shared" si="26"/>
        <v>46489</v>
      </c>
      <c r="CJ59" s="37">
        <f t="shared" si="4"/>
        <v>0</v>
      </c>
      <c r="CK59" s="40">
        <f t="shared" si="5"/>
        <v>0</v>
      </c>
      <c r="CO59" s="18">
        <f t="shared" si="27"/>
        <v>46489</v>
      </c>
      <c r="CP59" s="37">
        <f t="shared" si="6"/>
        <v>0</v>
      </c>
      <c r="CQ59" s="40">
        <f t="shared" si="7"/>
        <v>0</v>
      </c>
      <c r="CU59" s="18">
        <f t="shared" si="28"/>
        <v>46489</v>
      </c>
      <c r="CV59" s="37">
        <f t="shared" si="8"/>
        <v>0</v>
      </c>
      <c r="CW59" s="40">
        <f t="shared" si="9"/>
        <v>0</v>
      </c>
      <c r="DA59" s="18">
        <f t="shared" si="29"/>
        <v>46489</v>
      </c>
      <c r="DB59" s="37">
        <f t="shared" si="10"/>
        <v>0</v>
      </c>
      <c r="DC59" s="40">
        <f t="shared" si="11"/>
        <v>0</v>
      </c>
    </row>
    <row r="60" spans="3:107" x14ac:dyDescent="0.25">
      <c r="C60" s="18">
        <f t="shared" si="12"/>
        <v>46496</v>
      </c>
      <c r="D60" s="37">
        <f>СПРАВОЧНИК!$E$3*('ПЛАН ЧЕРН ПОДЗЕМ'!B51*СПРАВОЧНИК!$H$3+'ПЛАН ЧЕРН ПОДЗЕМ'!C51*СПРАВОЧНИК!$I$3+'ПЛАН ЧЕРН ПОДЗЕМ'!D51*СПРАВОЧНИК!$J$3)+СПРАВОЧНИК!$E$4*('ПЛАН ЧЕРН ПОДЗЕМ'!E51*СПРАВОЧНИК!$H$4+'ПЛАН ЧЕРН ПОДЗЕМ'!F51*СПРАВОЧНИК!$I$4+'ПЛАН ЧЕРН ПОДЗЕМ'!G51*СПРАВОЧНИК!$J$4)+СПРАВОЧНИК!$E$5*('ПЛАН ЧЕРН ПОДЗЕМ'!H51*СПРАВОЧНИК!$H$5+'ПЛАН ЧЕРН ПОДЗЕМ'!I51*СПРАВОЧНИК!$I$5+'ПЛАН ЧЕРН ПОДЗЕМ'!J51*СПРАВОЧНИК!$J$5)+СПРАВОЧНИК!$E$6*('ПЛАН ЧЕРН ПОДЗЕМ'!K51*СПРАВОЧНИК!$H$6+'ПЛАН ЧЕРН ПОДЗЕМ'!L51*СПРАВОЧНИК!$I$6+'ПЛАН ЧЕРН ПОДЗЕМ'!M51*СПРАВОЧНИК!$J$6)+СПРАВОЧНИК!$E$7*('ПЛАН ЧЕРН ПОДЗЕМ'!N51*СПРАВОЧНИК!$H$7+'ПЛАН ЧЕРН ПОДЗЕМ'!O51*СПРАВОЧНИК!$I$7+'ПЛАН ЧЕРН ПОДЗЕМ'!P51*СПРАВОЧНИК!$J$7)+СПРАВОЧНИК!$E$8*('ПЛАН ЧЕРН ПОДЗЕМ'!Q51*СПРАВОЧНИК!$H$8+'ПЛАН ЧЕРН ПОДЗЕМ'!R51*СПРАВОЧНИК!$I$8+'ПЛАН ЧЕРН ПОДЗЕМ'!S51*СПРАВОЧНИК!$J$8)+СПРАВОЧНИК!$F$3*('ПЛАН ЧИСТ ПОДЗЕМ'!B51*СПРАВОЧНИК!$L$3+'ПЛАН ЧИСТ ПОДЗЕМ'!C51*СПРАВОЧНИК!$M$3+'ПЛАН ЧИСТ ПОДЗЕМ'!D51*СПРАВОЧНИК!$N$3)+СПРАВОЧНИК!$F$4*('ПЛАН ЧИСТ ПОДЗЕМ'!E51*СПРАВОЧНИК!$L$4+'ПЛАН ЧИСТ ПОДЗЕМ'!F51*СПРАВОЧНИК!$M$4+'ПЛАН ЧИСТ ПОДЗЕМ'!G51*СПРАВОЧНИК!$N$4)+СПРАВОЧНИК!$F$5*('ПЛАН ЧИСТ ПОДЗЕМ'!H51*СПРАВОЧНИК!$L$5+'ПЛАН ЧИСТ ПОДЗЕМ'!I51*СПРАВОЧНИК!$M$5+'ПЛАН ЧИСТ ПОДЗЕМ'!J51*СПРАВОЧНИК!$N$5)+СПРАВОЧНИК!$F$6*('ПЛАН ЧИСТ ПОДЗЕМ'!K51*СПРАВОЧНИК!$L$6+'ПЛАН ЧИСТ ПОДЗЕМ'!L51*СПРАВОЧНИК!$M$6+'ПЛАН ЧИСТ ПОДЗЕМ'!M51*СПРАВОЧНИК!$N$6)+СПРАВОЧНИК!$F$7*('ПЛАН ЧИСТ ПОДЗЕМ'!N51*СПРАВОЧНИК!$L$7+'ПЛАН ЧИСТ ПОДЗЕМ'!O51*СПРАВОЧНИК!$M$7+'ПЛАН ЧИСТ ПОДЗЕМ'!P51*СПРАВОЧНИК!$N$7)+СПРАВОЧНИК!$F$8*('ПЛАН ЧИСТ ПОДЗЕМ'!Q51*СПРАВОЧНИК!$L$8+'ПЛАН ЧИСТ ПОДЗЕМ'!R51*СПРАВОЧНИК!$M$8+'ПЛАН ЧИСТ ПОДЗЕМ'!S51*СПРАВОЧНИК!$N$8)</f>
        <v>0</v>
      </c>
      <c r="E60" s="40">
        <f>СПРАВОЧНИК!$E$3*(('ФАКТ ЧЕРН ПОДЗЕМ'!B51)*СПРАВОЧНИК!$H$3+('ФАКТ ЧЕРН ПОДЗЕМ'!C51)*СПРАВОЧНИК!$I$3+('ФАКТ ЧЕРН ПОДЗЕМ'!D51)*СПРАВОЧНИК!$J$3)+СПРАВОЧНИК!$E$4*(('ФАКТ ЧЕРН ПОДЗЕМ'!E51)*СПРАВОЧНИК!$H$4+('ФАКТ ЧЕРН ПОДЗЕМ'!F51)*СПРАВОЧНИК!$I$4+('ФАКТ ЧЕРН ПОДЗЕМ'!G51)*СПРАВОЧНИК!$J$4)+СПРАВОЧНИК!$E$5*(('ФАКТ ЧЕРН ПОДЗЕМ'!H51)*СПРАВОЧНИК!$H$5+('ФАКТ ЧЕРН ПОДЗЕМ'!I51)*СПРАВОЧНИК!$I$5+('ФАКТ ЧЕРН ПОДЗЕМ'!J51)*СПРАВОЧНИК!$J$5)+СПРАВОЧНИК!$E$6*(('ФАКТ ЧЕРН ПОДЗЕМ'!K51)*СПРАВОЧНИК!$H$6+('ФАКТ ЧЕРН ПОДЗЕМ'!L51)*СПРАВОЧНИК!$I$6+('ФАКТ ЧЕРН ПОДЗЕМ'!M51)*СПРАВОЧНИК!$J$6)+СПРАВОЧНИК!$E$7*(('ФАКТ ЧЕРН ПОДЗЕМ'!N51)*СПРАВОЧНИК!$H$7+('ФАКТ ЧЕРН ПОДЗЕМ'!O51)*СПРАВОЧНИК!$I$7+('ФАКТ ЧЕРН ПОДЗЕМ'!P51)*СПРАВОЧНИК!$J$7)+СПРАВОЧНИК!$E$8*(('ФАКТ ЧЕРН ПОДЗЕМ'!Q51)*СПРАВОЧНИК!$H$8+('ФАКТ ЧЕРН ПОДЗЕМ'!R51)*СПРАВОЧНИК!$I$8+('ФАКТ ЧЕРН ПОДЗЕМ'!S51)*СПРАВОЧНИК!$J$8)+СПРАВОЧНИК!$F$3*(('ФАКТ ЧИСТ ПОДЗЕМ'!B51)*СПРАВОЧНИК!$L$3+('ФАКТ ЧИСТ ПОДЗЕМ'!C51)*СПРАВОЧНИК!$M$3+('ФАКТ ЧИСТ ПОДЗЕМ'!D51)*СПРАВОЧНИК!$N$3)+СПРАВОЧНИК!$F$4*(('ФАКТ ЧИСТ ПОДЗЕМ'!E51)*СПРАВОЧНИК!$L$4+('ФАКТ ЧИСТ ПОДЗЕМ'!F51)*СПРАВОЧНИК!$M$4+('ФАКТ ЧИСТ ПОДЗЕМ'!G51)*СПРАВОЧНИК!$N$4)+СПРАВОЧНИК!$F$5*(('ФАКТ ЧИСТ ПОДЗЕМ'!H51)*СПРАВОЧНИК!$L$5+('ФАКТ ЧИСТ ПОДЗЕМ'!I51)*СПРАВОЧНИК!$M$5+('ФАКТ ЧИСТ ПОДЗЕМ'!J51)*СПРАВОЧНИК!$N$5)+СПРАВОЧНИК!$F$6*(('ФАКТ ЧИСТ ПОДЗЕМ'!K51)*СПРАВОЧНИК!$L$6+('ФАКТ ЧИСТ ПОДЗЕМ'!L51)*СПРАВОЧНИК!$M$6+('ФАКТ ЧИСТ ПОДЗЕМ'!M51)*СПРАВОЧНИК!$N$6)+СПРАВОЧНИК!$F$7*(('ФАКТ ЧИСТ ПОДЗЕМ'!N51)*СПРАВОЧНИК!$L$7+('ФАКТ ЧИСТ ПОДЗЕМ'!O51)*СПРАВОЧНИК!$M$7+('ФАКТ ЧИСТ ПОДЗЕМ'!P51)*СПРАВОЧНИК!$N$7)+СПРАВОЧНИК!$F$8*(('ФАКТ ЧИСТ ПОДЗЕМ'!Q51)*СПРАВОЧНИК!$L$8+('ФАКТ ЧИСТ ПОДЗЕМ'!R51)*СПРАВОЧНИК!$M$8+('ФАКТ ЧИСТ ПОДЗЕМ'!S51)*СПРАВОЧНИК!$N$8)</f>
        <v>0</v>
      </c>
      <c r="I60" s="18">
        <f t="shared" si="13"/>
        <v>46496</v>
      </c>
      <c r="J60" s="37">
        <f>'ПЛАН ЧЕРН ПОДЗЕМ'!B51*СПРАВОЧНИК!$H$3+'ПЛАН ЧЕРН ПОДЗЕМ'!C51*СПРАВОЧНИК!$I$3+'ПЛАН ЧЕРН ПОДЗЕМ'!D51*СПРАВОЧНИК!$J$3+'ПЛАН ЧЕРН ПОДЗЕМ'!E51*СПРАВОЧНИК!$H$4+'ПЛАН ЧЕРН ПОДЗЕМ'!F51*СПРАВОЧНИК!$I$4+'ПЛАН ЧЕРН ПОДЗЕМ'!G51*СПРАВОЧНИК!$J$4+'ПЛАН ЧЕРН ПОДЗЕМ'!H51*СПРАВОЧНИК!$H$5+'ПЛАН ЧЕРН ПОДЗЕМ'!I51*СПРАВОЧНИК!$I$5+'ПЛАН ЧЕРН ПОДЗЕМ'!J51*СПРАВОЧНИК!$J$5+'ПЛАН ЧЕРН ПОДЗЕМ'!K51*СПРАВОЧНИК!$H$6+'ПЛАН ЧЕРН ПОДЗЕМ'!L51*СПРАВОЧНИК!$I$6+'ПЛАН ЧЕРН ПОДЗЕМ'!M51*СПРАВОЧНИК!$J$6+'ПЛАН ЧЕРН ПОДЗЕМ'!N51*СПРАВОЧНИК!$H$7+'ПЛАН ЧЕРН ПОДЗЕМ'!O51*СПРАВОЧНИК!$I$7+'ПЛАН ЧЕРН ПОДЗЕМ'!P51*СПРАВОЧНИК!$J$7+'ПЛАН ЧЕРН ПОДЗЕМ'!Q51*СПРАВОЧНИК!$H$8+'ПЛАН ЧЕРН ПОДЗЕМ'!R51*СПРАВОЧНИК!$I$8+'ПЛАН ЧЕРН ПОДЗЕМ'!S51*СПРАВОЧНИК!$J$8</f>
        <v>0</v>
      </c>
      <c r="K60" s="40">
        <f>('ФАКТ ЧЕРН ПОДЗЕМ'!B51)*СПРАВОЧНИК!$H$3+('ФАКТ ЧЕРН ПОДЗЕМ'!C51)*СПРАВОЧНИК!$I$3+('ФАКТ ЧЕРН ПОДЗЕМ'!D51)*СПРАВОЧНИК!$J$3+('ФАКТ ЧЕРН ПОДЗЕМ'!E51)*СПРАВОЧНИК!$H$4+('ФАКТ ЧЕРН ПОДЗЕМ'!F51)*СПРАВОЧНИК!$I$4+('ФАКТ ЧЕРН ПОДЗЕМ'!G51)*СПРАВОЧНИК!$J$4+('ФАКТ ЧЕРН ПОДЗЕМ'!H51)*СПРАВОЧНИК!$H$5+('ФАКТ ЧЕРН ПОДЗЕМ'!I51)*СПРАВОЧНИК!$I$5+('ФАКТ ЧЕРН ПОДЗЕМ'!J51)*СПРАВОЧНИК!$J$5+('ФАКТ ЧЕРН ПОДЗЕМ'!K51)*СПРАВОЧНИК!$H$6+('ФАКТ ЧЕРН ПОДЗЕМ'!L51)*СПРАВОЧНИК!$I$6+('ФАКТ ЧЕРН ПОДЗЕМ'!M51)*СПРАВОЧНИК!$J$6+('ФАКТ ЧЕРН ПОДЗЕМ'!N51)*СПРАВОЧНИК!$H$7+('ФАКТ ЧЕРН ПОДЗЕМ'!O51)*СПРАВОЧНИК!$I$7+('ФАКТ ЧЕРН ПОДЗЕМ'!P51)*СПРАВОЧНИК!$J$7+('ФАКТ ЧЕРН ПОДЗЕМ'!Q51)*СПРАВОЧНИК!$H$8+('ФАКТ ЧЕРН ПОДЗЕМ'!R51)*СПРАВОЧНИК!$I$8+('ФАКТ ЧЕРН ПОДЗЕМ'!S51)*СПРАВОЧНИК!$J$8</f>
        <v>0</v>
      </c>
      <c r="O60" s="18">
        <f t="shared" si="14"/>
        <v>46496</v>
      </c>
      <c r="P60" s="37">
        <f>'ПЛАН ЧИСТ ПОДЗЕМ'!B51*СПРАВОЧНИК!$L$3+'ПЛАН ЧИСТ ПОДЗЕМ'!C51*СПРАВОЧНИК!$M$3+'ПЛАН ЧИСТ ПОДЗЕМ'!D51*СПРАВОЧНИК!$N$3+'ПЛАН ЧИСТ ПОДЗЕМ'!E51*СПРАВОЧНИК!$L$4+'ПЛАН ЧИСТ ПОДЗЕМ'!F51*СПРАВОЧНИК!$M$4+'ПЛАН ЧИСТ ПОДЗЕМ'!G51*СПРАВОЧНИК!$N$4+'ПЛАН ЧИСТ ПОДЗЕМ'!H51*СПРАВОЧНИК!$L$5+'ПЛАН ЧИСТ ПОДЗЕМ'!I51*СПРАВОЧНИК!$M$5+'ПЛАН ЧИСТ ПОДЗЕМ'!J51*СПРАВОЧНИК!$N$5+'ПЛАН ЧИСТ ПОДЗЕМ'!K51*СПРАВОЧНИК!$L$6+'ПЛАН ЧИСТ ПОДЗЕМ'!L51*СПРАВОЧНИК!$M$6+'ПЛАН ЧИСТ ПОДЗЕМ'!M51*СПРАВОЧНИК!$N$6+'ПЛАН ЧИСТ ПОДЗЕМ'!N51*СПРАВОЧНИК!$L$7+'ПЛАН ЧИСТ ПОДЗЕМ'!O51*СПРАВОЧНИК!$M$7+'ПЛАН ЧИСТ ПОДЗЕМ'!P51*СПРАВОЧНИК!$N$7+'ПЛАН ЧИСТ ПОДЗЕМ'!Q51*СПРАВОЧНИК!$L$8+'ПЛАН ЧИСТ ПОДЗЕМ'!R51*СПРАВОЧНИК!$M$8+'ПЛАН ЧИСТ ПОДЗЕМ'!S51*СПРАВОЧНИК!$N$8</f>
        <v>0</v>
      </c>
      <c r="Q60" s="40">
        <f>('ФАКТ ЧИСТ ПОДЗЕМ'!B51)*СПРАВОЧНИК!$L$3+('ФАКТ ЧИСТ ПОДЗЕМ'!C51)*СПРАВОЧНИК!$M$3+('ФАКТ ЧИСТ ПОДЗЕМ'!D51)*СПРАВОЧНИК!$N$3+('ФАКТ ЧИСТ ПОДЗЕМ'!E51)*СПРАВОЧНИК!$L$4+('ФАКТ ЧИСТ ПОДЗЕМ'!F51)*СПРАВОЧНИК!$M$4+('ФАКТ ЧИСТ ПОДЗЕМ'!G51)*СПРАВОЧНИК!$N$4+('ФАКТ ЧИСТ ПОДЗЕМ'!H51)*СПРАВОЧНИК!$L$5+('ФАКТ ЧИСТ ПОДЗЕМ'!I51)*СПРАВОЧНИК!$M$5+('ФАКТ ЧИСТ ПОДЗЕМ'!J51)*СПРАВОЧНИК!$N$5+('ФАКТ ЧИСТ ПОДЗЕМ'!K51)*СПРАВОЧНИК!$L$6+('ФАКТ ЧИСТ ПОДЗЕМ'!L51)*СПРАВОЧНИК!$M$6+('ФАКТ ЧИСТ ПОДЗЕМ'!M51)*СПРАВОЧНИК!$N$6+('ФАКТ ЧИСТ ПОДЗЕМ'!N51)*СПРАВОЧНИК!$L$7+('ФАКТ ЧИСТ ПОДЗЕМ'!O51)*СПРАВОЧНИК!$M$7+('ФАКТ ЧИСТ ПОДЗЕМ'!P51)*СПРАВОЧНИК!$N$7+('ФАКТ ЧИСТ ПОДЗЕМ'!Q51)*СПРАВОЧНИК!$L$8+('ФАКТ ЧИСТ ПОДЗЕМ'!R51)*СПРАВОЧНИК!$M$8+('ФАКТ ЧИСТ ПОДЗЕМ'!S51)*СПРАВОЧНИК!$N$8</f>
        <v>0</v>
      </c>
      <c r="U60" s="18">
        <f t="shared" si="15"/>
        <v>46496</v>
      </c>
      <c r="V60" s="37">
        <f>СПРАВОЧНИК!$E$9*('ПЛАН ЧЕРН К1'!B51*СПРАВОЧНИК!$H$9+'ПЛАН ЧЕРН К1'!C51*СПРАВОЧНИК!$I$9+'ПЛАН ЧЕРН К1'!D51*СПРАВОЧНИК!$J$9)+СПРАВОЧНИК!$E$10*('ПЛАН ЧЕРН К1'!E51*СПРАВОЧНИК!$H$10+'ПЛАН ЧЕРН К1'!F51*СПРАВОЧНИК!$I$10+'ПЛАН ЧЕРН К1'!G51*СПРАВОЧНИК!$J$10)+СПРАВОЧНИК!$E$11*('ПЛАН ЧЕРН К1'!H51*СПРАВОЧНИК!$H$11+'ПЛАН ЧЕРН К1'!I51*СПРАВОЧНИК!$I$11+'ПЛАН ЧЕРН К1'!J51*СПРАВОЧНИК!$J$11)+СПРАВОЧНИК!$E$12*('ПЛАН ЧЕРН К1'!K51*СПРАВОЧНИК!$H$12+'ПЛАН ЧЕРН К1'!L51*СПРАВОЧНИК!$I$12+'ПЛАН ЧЕРН К1'!M51*СПРАВОЧНИК!$J$12)+СПРАВОЧНИК!$E$13*('ПЛАН ЧЕРН К1'!N51*СПРАВОЧНИК!$H$13+'ПЛАН ЧЕРН К1'!O51*СПРАВОЧНИК!$I$13+'ПЛАН ЧЕРН К1'!P51*СПРАВОЧНИК!$J$13)+СПРАВОЧНИК!$E$14*('ПЛАН ЧЕРН К1'!Q51*СПРАВОЧНИК!$H$14+'ПЛАН ЧЕРН К1'!R51*СПРАВОЧНИК!$I$14+'ПЛАН ЧЕРН К1'!S51*СПРАВОЧНИК!$J$14)+СПРАВОЧНИК!$E$15*('ПЛАН ЧЕРН К1'!T51*СПРАВОЧНИК!$H$15+'ПЛАН ЧЕРН К1'!U51*СПРАВОЧНИК!$I$15+'ПЛАН ЧЕРН К1'!V51*СПРАВОЧНИК!$J$15)+СПРАВОЧНИК!$F$9*('ПЛАН ЧИСТ К1'!B51*СПРАВОЧНИК!$L$9+'ПЛАН ЧИСТ К1'!C51*СПРАВОЧНИК!$M$9+'ПЛАН ЧИСТ К1'!D51*СПРАВОЧНИК!$N$9+'ПЛАН ЧИСТ К1'!E51*СПРАВОЧНИК!$O$9)+СПРАВОЧНИК!$F$10*('ПЛАН ЧИСТ К1'!F51*СПРАВОЧНИК!$L$10+'ПЛАН ЧИСТ К1'!G51*СПРАВОЧНИК!$M$10+'ПЛАН ЧИСТ К1'!H51*СПРАВОЧНИК!$N$10)+СПРАВОЧНИК!$F$11*('ПЛАН ЧИСТ К1'!I51*СПРАВОЧНИК!$L$11+'ПЛАН ЧИСТ К1'!J51*СПРАВОЧНИК!$M$11+'ПЛАН ЧИСТ К1'!K51*СПРАВОЧНИК!$N$11)+СПРАВОЧНИК!$F$12*('ПЛАН ЧИСТ К1'!L51*СПРАВОЧНИК!$L$12+'ПЛАН ЧИСТ К1'!M51*СПРАВОЧНИК!$M$12+'ПЛАН ЧИСТ К1'!N51*СПРАВОЧНИК!$N$12)+СПРАВОЧНИК!$F$13*('ПЛАН ЧИСТ К1'!O51*СПРАВОЧНИК!$L$13+'ПЛАН ЧИСТ К1'!P51*СПРАВОЧНИК!$M$13+'ПЛАН ЧИСТ К1'!Q51*СПРАВОЧНИК!$N$13)+СПРАВОЧНИК!$F$14*('ПЛАН ЧИСТ К1'!R51*СПРАВОЧНИК!$L$14+'ПЛАН ЧИСТ К1'!S51*СПРАВОЧНИК!$M$14+'ПЛАН ЧИСТ К1'!T51*СПРАВОЧНИК!$N$14)+СПРАВОЧНИК!$F$15*('ПЛАН ЧИСТ К1'!U51*СПРАВОЧНИК!$L$15+'ПЛАН ЧИСТ К1'!V51*СПРАВОЧНИК!$M$15+'ПЛАН ЧИСТ К1'!W51*СПРАВОЧНИК!$N$15)</f>
        <v>0</v>
      </c>
      <c r="W60" s="40">
        <f>СПРАВОЧНИК!$E$9*(('ФАКТ ЧЕРН К1'!B51)*СПРАВОЧНИК!$H$9+('ФАКТ ЧЕРН К1'!C51)*СПРАВОЧНИК!$I$9+('ФАКТ ЧЕРН К1'!D51)*СПРАВОЧНИК!$J$9)+СПРАВОЧНИК!$E$10*(('ФАКТ ЧЕРН К1'!E51)*СПРАВОЧНИК!$H$10+('ФАКТ ЧЕРН К1'!F51)*СПРАВОЧНИК!$I$10+('ФАКТ ЧЕРН К1'!G51)*СПРАВОЧНИК!$J$10)+СПРАВОЧНИК!$E$11*(('ФАКТ ЧЕРН К1'!H51)*СПРАВОЧНИК!$H$11+('ФАКТ ЧЕРН К1'!I51)*СПРАВОЧНИК!$I$11+('ФАКТ ЧЕРН К1'!J51)*СПРАВОЧНИК!$J$11)+СПРАВОЧНИК!$E$12*(('ФАКТ ЧЕРН К1'!K51)*СПРАВОЧНИК!$H$12+('ФАКТ ЧЕРН К1'!L51)*СПРАВОЧНИК!$I$12+('ФАКТ ЧЕРН К1'!M51)*СПРАВОЧНИК!$J$12)+СПРАВОЧНИК!$E$13*(('ФАКТ ЧЕРН К1'!N51)*СПРАВОЧНИК!$H$13+('ФАКТ ЧЕРН К1'!O51)*СПРАВОЧНИК!$I$13+('ФАКТ ЧЕРН К1'!P51)*СПРАВОЧНИК!$J$13)+СПРАВОЧНИК!$E$14*(('ФАКТ ЧЕРН К1'!Q51)*СПРАВОЧНИК!$H$14+('ФАКТ ЧЕРН К1'!R51)*СПРАВОЧНИК!$I$14+('ФАКТ ЧЕРН К1'!S51)*СПРАВОЧНИК!$J$14)+СПРАВОЧНИК!$E$15*(('ФАКТ ЧЕРН К1'!T51)*СПРАВОЧНИК!$H$15+('ФАКТ ЧЕРН К1'!U51)*СПРАВОЧНИК!$I$15+('ФАКТ ЧЕРН К1'!V51)*СПРАВОЧНИК!$J$15)+СПРАВОЧНИК!$F$9*(('ФАКТ ЧИСТ К1'!B51)*СПРАВОЧНИК!$L$9+('ФАКТ ЧИСТ К1'!C51)*СПРАВОЧНИК!$M$9+('ФАКТ ЧИСТ К1'!D51)*СПРАВОЧНИК!$N$9+('ФАКТ ЧИСТ К1'!E51)*СПРАВОЧНИК!$O$9)+СПРАВОЧНИК!$F$10*(('ФАКТ ЧИСТ К1'!F51)*СПРАВОЧНИК!$L$10+('ФАКТ ЧИСТ К1'!G51)*СПРАВОЧНИК!$M$10+('ФАКТ ЧИСТ К1'!H51)*СПРАВОЧНИК!$N$10)+СПРАВОЧНИК!$F$11*(('ФАКТ ЧИСТ К1'!I51)*СПРАВОЧНИК!$L$11+('ФАКТ ЧИСТ К1'!J51)*СПРАВОЧНИК!$M$11+('ФАКТ ЧИСТ К1'!K51)*СПРАВОЧНИК!$N$11)+СПРАВОЧНИК!$F$12*(('ФАКТ ЧИСТ К1'!L51)*СПРАВОЧНИК!$L$12+('ФАКТ ЧИСТ К1'!M51)*СПРАВОЧНИК!$M$12+('ФАКТ ЧИСТ К1'!N51)*СПРАВОЧНИК!$N$12)+СПРАВОЧНИК!$F$13*(('ФАКТ ЧИСТ К1'!O51)*СПРАВОЧНИК!$L$13+('ФАКТ ЧИСТ К1'!P51)*СПРАВОЧНИК!$M$13+('ФАКТ ЧИСТ К1'!Q51)*СПРАВОЧНИК!$N$13)+СПРАВОЧНИК!$F$14*(('ФАКТ ЧИСТ К1'!R51)*СПРАВОЧНИК!$L$14+('ФАКТ ЧИСТ К1'!S51)*СПРАВОЧНИК!$M$14+('ФАКТ ЧИСТ К1'!T51)*СПРАВОЧНИК!$N$14)+СПРАВОЧНИК!$F$15*(('ФАКТ ЧИСТ К1'!U51)*СПРАВОЧНИК!$L$15+('ФАКТ ЧИСТ К1'!V51)*СПРАВОЧНИК!$M$15+('ФАКТ ЧИСТ К1'!W51)*СПРАВОЧНИК!$N$15)</f>
        <v>0</v>
      </c>
      <c r="AA60" s="18">
        <f t="shared" si="16"/>
        <v>46496</v>
      </c>
      <c r="AB60" s="37">
        <f>'ПЛАН ЧЕРН К1'!B51*СПРАВОЧНИК!$H$9+'ПЛАН ЧЕРН К1'!C51*СПРАВОЧНИК!$I$9+'ПЛАН ЧЕРН К1'!D51*СПРАВОЧНИК!$J$9+'ПЛАН ЧЕРН К1'!E51*СПРАВОЧНИК!$H$10+'ПЛАН ЧЕРН К1'!F51*СПРАВОЧНИК!$I$10+'ПЛАН ЧЕРН К1'!G51*СПРАВОЧНИК!$J$10+'ПЛАН ЧЕРН К1'!H51*СПРАВОЧНИК!$H$11+'ПЛАН ЧЕРН К1'!I51*СПРАВОЧНИК!$I$11+'ПЛАН ЧЕРН К1'!J51*СПРАВОЧНИК!$J$11+'ПЛАН ЧЕРН К1'!K51*СПРАВОЧНИК!$H$12+'ПЛАН ЧЕРН К1'!L51*СПРАВОЧНИК!$I$12+'ПЛАН ЧЕРН К1'!M51*СПРАВОЧНИК!$J$12+'ПЛАН ЧЕРН К1'!N51*СПРАВОЧНИК!$H$13+'ПЛАН ЧЕРН К1'!O51*СПРАВОЧНИК!$I$13+'ПЛАН ЧЕРН К1'!P51*СПРАВОЧНИК!$J$13+'ПЛАН ЧЕРН К1'!Q51*СПРАВОЧНИК!$H$14+'ПЛАН ЧЕРН К1'!R51*СПРАВОЧНИК!$I$14+'ПЛАН ЧЕРН К1'!S51*СПРАВОЧНИК!$J$14+'ПЛАН ЧЕРН К1'!T51*СПРАВОЧНИК!$H$15+'ПЛАН ЧЕРН К1'!U51*СПРАВОЧНИК!$I$15+'ПЛАН ЧЕРН К1'!V51*СПРАВОЧНИК!$J$15</f>
        <v>0</v>
      </c>
      <c r="AC60" s="40">
        <f>('ФАКТ ЧЕРН К1'!B51)*СПРАВОЧНИК!$H$9+('ФАКТ ЧЕРН К1'!C51)*СПРАВОЧНИК!$I$9+('ФАКТ ЧЕРН К1'!D51)*СПРАВОЧНИК!$J$9+('ФАКТ ЧЕРН К1'!E51)*СПРАВОЧНИК!$H$10+('ФАКТ ЧЕРН К1'!F51)*СПРАВОЧНИК!$I$10+('ФАКТ ЧЕРН К1'!G51)*СПРАВОЧНИК!$J$10+('ФАКТ ЧЕРН К1'!H51)*СПРАВОЧНИК!$H$11+('ФАКТ ЧЕРН К1'!I51)*СПРАВОЧНИК!$I$11+('ФАКТ ЧЕРН К1'!J51)*СПРАВОЧНИК!$J$11+('ФАКТ ЧЕРН К1'!K51)*СПРАВОЧНИК!$H$12+('ФАКТ ЧЕРН К1'!L51)*СПРАВОЧНИК!$I$12+('ФАКТ ЧЕРН К1'!M51)*СПРАВОЧНИК!$J$12+('ФАКТ ЧЕРН К1'!N51)*СПРАВОЧНИК!$H$13+('ФАКТ ЧЕРН К1'!O51)*СПРАВОЧНИК!$I$13+('ФАКТ ЧЕРН К1'!P51)*СПРАВОЧНИК!$J$13+('ФАКТ ЧЕРН К1'!Q51)*СПРАВОЧНИК!$H$14+('ФАКТ ЧЕРН К1'!R51)*СПРАВОЧНИК!$I$14+('ФАКТ ЧЕРН К1'!S51)*СПРАВОЧНИК!$J$14+('ФАКТ ЧЕРН К1'!T51)*СПРАВОЧНИК!$H$15+('ФАКТ ЧЕРН К1'!U51)*СПРАВОЧНИК!$I$15+('ФАКТ ЧЕРН К1'!V51)*СПРАВОЧНИК!$J$15</f>
        <v>0</v>
      </c>
      <c r="AG60" s="18">
        <f t="shared" si="17"/>
        <v>46496</v>
      </c>
      <c r="AH60" s="37">
        <f>'ПЛАН ЧИСТ К1'!B51*СПРАВОЧНИК!$L$9+'ПЛАН ЧИСТ К1'!C51*СПРАВОЧНИК!$M$9+'ПЛАН ЧИСТ К1'!D51*СПРАВОЧНИК!$N$9+'ПЛАН ЧИСТ К1'!E51*СПРАВОЧНИК!$O$9+'ПЛАН ЧИСТ К1'!F51*СПРАВОЧНИК!$L$10+'ПЛАН ЧИСТ К1'!G51*СПРАВОЧНИК!$M$10+'ПЛАН ЧИСТ К1'!H51*СПРАВОЧНИК!$N$10+'ПЛАН ЧИСТ К1'!I51*СПРАВОЧНИК!$L$11+'ПЛАН ЧИСТ К1'!J51*СПРАВОЧНИК!$M$11+'ПЛАН ЧИСТ К1'!K51*СПРАВОЧНИК!$N$11+'ПЛАН ЧИСТ К1'!L51*СПРАВОЧНИК!$L$12+'ПЛАН ЧИСТ К1'!M51*СПРАВОЧНИК!$M$12+'ПЛАН ЧИСТ К1'!N51*СПРАВОЧНИК!$N$12+'ПЛАН ЧИСТ К1'!O51*СПРАВОЧНИК!$L$13+'ПЛАН ЧИСТ К1'!P51*СПРАВОЧНИК!$M$13+'ПЛАН ЧИСТ К1'!Q51*СПРАВОЧНИК!$N$13+'ПЛАН ЧИСТ К1'!R51*СПРАВОЧНИК!$L$14+'ПЛАН ЧИСТ К1'!S51*СПРАВОЧНИК!$M$14+'ПЛАН ЧИСТ К1'!T51*СПРАВОЧНИК!$N$14+'ПЛАН ЧИСТ К1'!U51*СПРАВОЧНИК!$L$15+'ПЛАН ЧИСТ К1'!V51*СПРАВОЧНИК!$M$15+'ПЛАН ЧИСТ К1'!W51*СПРАВОЧНИК!$N$15</f>
        <v>0</v>
      </c>
      <c r="AI60" s="40">
        <f>('ФАКТ ЧИСТ К1'!B51)*СПРАВОЧНИК!$L$9+('ФАКТ ЧИСТ К1'!C51)*СПРАВОЧНИК!$M$9+('ФАКТ ЧИСТ К1'!D51)*СПРАВОЧНИК!$N$9+('ФАКТ ЧИСТ К1'!E51)*СПРАВОЧНИК!$O$9+('ФАКТ ЧИСТ К1'!F51)*СПРАВОЧНИК!$L$10+('ФАКТ ЧИСТ К1'!G51)*СПРАВОЧНИК!$M$10+('ФАКТ ЧИСТ К1'!H51)*СПРАВОЧНИК!$N$10+('ФАКТ ЧИСТ К1'!I51)*СПРАВОЧНИК!$L$11+('ФАКТ ЧИСТ К1'!J51)*СПРАВОЧНИК!$M$11+('ФАКТ ЧИСТ К1'!K51)*СПРАВОЧНИК!$N$11+('ФАКТ ЧИСТ К1'!L51)*СПРАВОЧНИК!$L$12+('ФАКТ ЧИСТ К1'!M51)*СПРАВОЧНИК!$M$12+('ФАКТ ЧИСТ К1'!N51)*СПРАВОЧНИК!$N$12+('ФАКТ ЧИСТ К1'!O51)*СПРАВОЧНИК!$L$13+('ФАКТ ЧИСТ К1'!P51)*СПРАВОЧНИК!$M$13+('ФАКТ ЧИСТ К1'!Q51)*СПРАВОЧНИК!$N$13+('ФАКТ ЧИСТ К1'!R51)*СПРАВОЧНИК!$L$14+('ФАКТ ЧИСТ К1'!S51)*СПРАВОЧНИК!$M$14+('ФАКТ ЧИСТ К1'!T51)*СПРАВОЧНИК!$N$14+('ФАКТ ЧИСТ К1'!U51)*СПРАВОЧНИК!$L$15+('ФАКТ ЧИСТ К1'!V51)*СПРАВОЧНИК!$M$15+('ФАКТ ЧИСТ К1'!W51)*СПРАВОЧНИК!$N$15</f>
        <v>0</v>
      </c>
      <c r="AM60" s="18">
        <f t="shared" si="18"/>
        <v>46496</v>
      </c>
      <c r="AN60" s="37">
        <f>СПРАВОЧНИК!$E$9*('ПЛАН ЧЕРН К2'!B51*СПРАВОЧНИК!$H$9+'ПЛАН ЧЕРН К2'!C51*СПРАВОЧНИК!$I$9+'ПЛАН ЧЕРН К2'!D51*СПРАВОЧНИК!$J$9)+СПРАВОЧНИК!$E$10*('ПЛАН ЧЕРН К2'!E51*СПРАВОЧНИК!$H$10+'ПЛАН ЧЕРН К2'!F51*СПРАВОЧНИК!$I$10+'ПЛАН ЧЕРН К2'!G51*СПРАВОЧНИК!$J$10)+СПРАВОЧНИК!$E$11*('ПЛАН ЧЕРН К2'!H51*СПРАВОЧНИК!$H$11+'ПЛАН ЧЕРН К2'!I51*СПРАВОЧНИК!$I$11+'ПЛАН ЧЕРН К2'!J51*СПРАВОЧНИК!$J$11)+СПРАВОЧНИК!$E$12*('ПЛАН ЧЕРН К2'!K51*СПРАВОЧНИК!$H$12+'ПЛАН ЧЕРН К2'!L51*СПРАВОЧНИК!$I$12+'ПЛАН ЧЕРН К2'!M51*СПРАВОЧНИК!$J$12)+СПРАВОЧНИК!$E$13*('ПЛАН ЧЕРН К2'!N51*СПРАВОЧНИК!$H$13+'ПЛАН ЧЕРН К2'!O51*СПРАВОЧНИК!$I$13+'ПЛАН ЧЕРН К2'!P51*СПРАВОЧНИК!$J$13)+СПРАВОЧНИК!$E$14*('ПЛАН ЧЕРН К2'!Q51*СПРАВОЧНИК!$H$14+'ПЛАН ЧЕРН К2'!R51*СПРАВОЧНИК!$I$14+'ПЛАН ЧЕРН К2'!S51*СПРАВОЧНИК!$J$14)+СПРАВОЧНИК!$E$15*('ПЛАН ЧЕРН К2'!T51*СПРАВОЧНИК!$H$15+'ПЛАН ЧЕРН К2'!U51*СПРАВОЧНИК!$I$15+'ПЛАН ЧЕРН К2'!V51*СПРАВОЧНИК!$J$15)+СПРАВОЧНИК!$F$9*('ПЛАН ЧИСТ К2'!B51*СПРАВОЧНИК!$L$9+'ПЛАН ЧИСТ К2'!C51*СПРАВОЧНИК!$M$9+'ПЛАН ЧИСТ К2'!D51*СПРАВОЧНИК!$N$9+'ПЛАН ЧИСТ К2'!E51*СПРАВОЧНИК!$O$9)+СПРАВОЧНИК!$F$10*('ПЛАН ЧИСТ К2'!F51*СПРАВОЧНИК!$L$10+'ПЛАН ЧИСТ К2'!G51*СПРАВОЧНИК!$M$10+'ПЛАН ЧИСТ К2'!H51*СПРАВОЧНИК!$N$10)+СПРАВОЧНИК!$F$11*('ПЛАН ЧИСТ К2'!I51*СПРАВОЧНИК!$L$11+'ПЛАН ЧИСТ К2'!J51*СПРАВОЧНИК!$M$11+'ПЛАН ЧИСТ К2'!K51*СПРАВОЧНИК!$N$11)+СПРАВОЧНИК!$F$12*('ПЛАН ЧИСТ К2'!L51*СПРАВОЧНИК!$L$12+'ПЛАН ЧИСТ К2'!M51*СПРАВОЧНИК!$M$12+'ПЛАН ЧИСТ К2'!N51*СПРАВОЧНИК!$N$12)+СПРАВОЧНИК!$F$13*('ПЛАН ЧИСТ К2'!O51*СПРАВОЧНИК!$L$13+'ПЛАН ЧИСТ К2'!P51*СПРАВОЧНИК!$M$13+'ПЛАН ЧИСТ К2'!Q51*СПРАВОЧНИК!$N$13)+СПРАВОЧНИК!$F$14*('ПЛАН ЧИСТ К2'!R51*СПРАВОЧНИК!$L$14+'ПЛАН ЧИСТ К2'!S51*СПРАВОЧНИК!$M$14+'ПЛАН ЧИСТ К2'!T51*СПРАВОЧНИК!$N$14)+СПРАВОЧНИК!$F$15*('ПЛАН ЧИСТ К2'!U51*СПРАВОЧНИК!$L$15+'ПЛАН ЧИСТ К2'!V51*СПРАВОЧНИК!$M$15+'ПЛАН ЧИСТ К2'!W51*СПРАВОЧНИК!$N$15)</f>
        <v>0</v>
      </c>
      <c r="AO60" s="40">
        <f>СПРАВОЧНИК!$E$9*(('ФАКТ ЧЕРН К2'!B51)*СПРАВОЧНИК!$H$9+('ФАКТ ЧЕРН К2'!C51)*СПРАВОЧНИК!$I$9+('ФАКТ ЧЕРН К2'!D51)*СПРАВОЧНИК!$J$9)+СПРАВОЧНИК!$E$10*(('ФАКТ ЧЕРН К2'!E51)*СПРАВОЧНИК!$H$10+('ФАКТ ЧЕРН К2'!F51)*СПРАВОЧНИК!$I$10+('ФАКТ ЧЕРН К2'!G51)*СПРАВОЧНИК!$J$10)+СПРАВОЧНИК!$E$11*(('ФАКТ ЧЕРН К2'!H51)*СПРАВОЧНИК!$H$11+('ФАКТ ЧЕРН К2'!I51)*СПРАВОЧНИК!$I$11+('ФАКТ ЧЕРН К2'!J51)*СПРАВОЧНИК!$J$11)+СПРАВОЧНИК!$E$12*(('ФАКТ ЧЕРН К2'!K51)*СПРАВОЧНИК!$H$12+('ФАКТ ЧЕРН К2'!L51)*СПРАВОЧНИК!$I$12+('ФАКТ ЧЕРН К2'!M51)*СПРАВОЧНИК!$J$12)+СПРАВОЧНИК!$E$13*(('ФАКТ ЧЕРН К2'!N51)*СПРАВОЧНИК!$H$13+('ФАКТ ЧЕРН К2'!O51)*СПРАВОЧНИК!$I$13+('ФАКТ ЧЕРН К2'!P51)*СПРАВОЧНИК!$J$13)+СПРАВОЧНИК!$E$14*(('ФАКТ ЧЕРН К2'!Q51)*СПРАВОЧНИК!$H$14+('ФАКТ ЧЕРН К2'!R51)*СПРАВОЧНИК!$I$14+('ФАКТ ЧЕРН К2'!S51)*СПРАВОЧНИК!$J$14)+СПРАВОЧНИК!$E$15*(('ФАКТ ЧЕРН К2'!T51)*СПРАВОЧНИК!$H$15+('ФАКТ ЧЕРН К2'!U51)*СПРАВОЧНИК!$I$15+('ФАКТ ЧЕРН К2'!V51)*СПРАВОЧНИК!$J$15)+СПРАВОЧНИК!$F$9*(('ФАКТ ЧИСТ К2'!B51)*СПРАВОЧНИК!$L$9+('ФАКТ ЧИСТ К2'!C51)*СПРАВОЧНИК!$M$9+('ФАКТ ЧИСТ К2'!D51)*СПРАВОЧНИК!$N$9+('ФАКТ ЧИСТ К2'!E51)*СПРАВОЧНИК!$O$9)+СПРАВОЧНИК!$F$10*(('ФАКТ ЧИСТ К2'!F51)*СПРАВОЧНИК!$L$10+('ФАКТ ЧИСТ К2'!G51)*СПРАВОЧНИК!$M$10+('ФАКТ ЧИСТ К2'!H51)*СПРАВОЧНИК!$N$10)+СПРАВОЧНИК!$F$11*(('ФАКТ ЧИСТ К2'!I51)*СПРАВОЧНИК!$L$11+('ФАКТ ЧИСТ К2'!J51)*СПРАВОЧНИК!$M$11+('ФАКТ ЧИСТ К2'!K51)*СПРАВОЧНИК!$N$11)+СПРАВОЧНИК!$F$12*(('ФАКТ ЧИСТ К2'!L51)*СПРАВОЧНИК!$L$12+('ФАКТ ЧИСТ К2'!M51)*СПРАВОЧНИК!$M$12+('ФАКТ ЧИСТ К2'!N51)*СПРАВОЧНИК!$N$12)+СПРАВОЧНИК!$F$13*(('ФАКТ ЧИСТ К2'!O51)*СПРАВОЧНИК!$L$13+('ФАКТ ЧИСТ К2'!P51)*СПРАВОЧНИК!$M$13+('ФАКТ ЧИСТ К2'!Q51)*СПРАВОЧНИК!$N$13)+СПРАВОЧНИК!$F$14*(('ФАКТ ЧИСТ К2'!R51)*СПРАВОЧНИК!$L$14+('ФАКТ ЧИСТ К2'!S51)*СПРАВОЧНИК!$M$14+('ФАКТ ЧИСТ К2'!T51)*СПРАВОЧНИК!$N$14)+СПРАВОЧНИК!$F$15*(('ФАКТ ЧИСТ К2'!U51)*СПРАВОЧНИК!$L$15+('ФАКТ ЧИСТ К2'!V51)*СПРАВОЧНИК!$M$15+('ФАКТ ЧИСТ К2'!W51)*СПРАВОЧНИК!$N$15)</f>
        <v>0</v>
      </c>
      <c r="AS60" s="18">
        <f t="shared" si="19"/>
        <v>46496</v>
      </c>
      <c r="AT60" s="37">
        <f>'ПЛАН ЧЕРН К2'!B51*СПРАВОЧНИК!$H$9+'ПЛАН ЧЕРН К2'!C51*СПРАВОЧНИК!$I$9+'ПЛАН ЧЕРН К2'!D51*СПРАВОЧНИК!$J$9+'ПЛАН ЧЕРН К2'!E51*СПРАВОЧНИК!$H$10+'ПЛАН ЧЕРН К2'!F51*СПРАВОЧНИК!$I$10+'ПЛАН ЧЕРН К2'!G51*СПРАВОЧНИК!$J$10+'ПЛАН ЧЕРН К2'!H51*СПРАВОЧНИК!$H$11+'ПЛАН ЧЕРН К2'!I51*СПРАВОЧНИК!$I$11+'ПЛАН ЧЕРН К2'!J51*СПРАВОЧНИК!$J$11+'ПЛАН ЧЕРН К2'!K51*СПРАВОЧНИК!$H$12+'ПЛАН ЧЕРН К2'!L51*СПРАВОЧНИК!$I$12+'ПЛАН ЧЕРН К2'!M51*СПРАВОЧНИК!$J$12+'ПЛАН ЧЕРН К2'!N51*СПРАВОЧНИК!$H$13+'ПЛАН ЧЕРН К2'!O51*СПРАВОЧНИК!$I$13+'ПЛАН ЧЕРН К2'!P51*СПРАВОЧНИК!$J$13+'ПЛАН ЧЕРН К2'!Q51*СПРАВОЧНИК!$H$14+'ПЛАН ЧЕРН К2'!R51*СПРАВОЧНИК!$I$14+'ПЛАН ЧЕРН К2'!S51*СПРАВОЧНИК!$J$14+'ПЛАН ЧЕРН К2'!T51*СПРАВОЧНИК!$H$15+'ПЛАН ЧЕРН К2'!U51*СПРАВОЧНИК!$I$15+'ПЛАН ЧЕРН К2'!V51*СПРАВОЧНИК!$J$15</f>
        <v>0</v>
      </c>
      <c r="AU60" s="40">
        <f>('ФАКТ ЧЕРН К2'!B51)*СПРАВОЧНИК!$H$9+('ФАКТ ЧЕРН К2'!C51)*СПРАВОЧНИК!$I$9+('ФАКТ ЧЕРН К2'!D51)*СПРАВОЧНИК!$J$9+('ФАКТ ЧЕРН К2'!E51)*СПРАВОЧНИК!$H$10+('ФАКТ ЧЕРН К2'!F51)*СПРАВОЧНИК!$I$10+('ФАКТ ЧЕРН К2'!G51)*СПРАВОЧНИК!$J$10+('ФАКТ ЧЕРН К2'!H51)*СПРАВОЧНИК!$H$11+('ФАКТ ЧЕРН К2'!I51)*СПРАВОЧНИК!$I$11+('ФАКТ ЧЕРН К2'!J51)*СПРАВОЧНИК!$J$11+('ФАКТ ЧЕРН К2'!K51)*СПРАВОЧНИК!$H$12+('ФАКТ ЧЕРН К2'!L51)*СПРАВОЧНИК!$I$12+('ФАКТ ЧЕРН К2'!M51)*СПРАВОЧНИК!$J$12+('ФАКТ ЧЕРН К2'!N51)*СПРАВОЧНИК!$H$13+('ФАКТ ЧЕРН К2'!O51)*СПРАВОЧНИК!$I$13+('ФАКТ ЧЕРН К2'!P51)*СПРАВОЧНИК!$J$13+('ФАКТ ЧЕРН К2'!Q51)*СПРАВОЧНИК!$H$14+('ФАКТ ЧЕРН К2'!R51)*СПРАВОЧНИК!$I$14+('ФАКТ ЧЕРН К2'!S51)*СПРАВОЧНИК!$J$14+('ФАКТ ЧЕРН К2'!T51)*СПРАВОЧНИК!$H$15+('ФАКТ ЧЕРН К2'!U51)*СПРАВОЧНИК!$I$15+('ФАКТ ЧЕРН К2'!V51)*СПРАВОЧНИК!$J$15</f>
        <v>0</v>
      </c>
      <c r="AY60" s="18">
        <f t="shared" si="20"/>
        <v>46496</v>
      </c>
      <c r="AZ60" s="37">
        <f>'ПЛАН ЧИСТ К2'!B51*СПРАВОЧНИК!$L$9+'ПЛАН ЧИСТ К2'!C51*СПРАВОЧНИК!$M$9+'ПЛАН ЧИСТ К2'!D51*СПРАВОЧНИК!$N$9+'ПЛАН ЧИСТ К2'!E51*СПРАВОЧНИК!$O$9+'ПЛАН ЧИСТ К2'!F51*СПРАВОЧНИК!$L$10+'ПЛАН ЧИСТ К2'!G51*СПРАВОЧНИК!$M$10+'ПЛАН ЧИСТ К2'!H51*СПРАВОЧНИК!$N$10+'ПЛАН ЧИСТ К2'!I51*СПРАВОЧНИК!$L$11+'ПЛАН ЧИСТ К2'!J51*СПРАВОЧНИК!$M$11+'ПЛАН ЧИСТ К2'!K51*СПРАВОЧНИК!$N$11+'ПЛАН ЧИСТ К2'!L51*СПРАВОЧНИК!$L$12+'ПЛАН ЧИСТ К2'!M51*СПРАВОЧНИК!$M$12+'ПЛАН ЧИСТ К2'!N51*СПРАВОЧНИК!$N$12+'ПЛАН ЧИСТ К2'!O51*СПРАВОЧНИК!$L$13+'ПЛАН ЧИСТ К2'!P51*СПРАВОЧНИК!$M$13+'ПЛАН ЧИСТ К2'!Q51*СПРАВОЧНИК!$N$13+'ПЛАН ЧИСТ К2'!R51*СПРАВОЧНИК!$L$14+'ПЛАН ЧИСТ К2'!S51*СПРАВОЧНИК!$M$14+'ПЛАН ЧИСТ К2'!T51*СПРАВОЧНИК!$N$14+'ПЛАН ЧИСТ К2'!U51*СПРАВОЧНИК!$L$15+'ПЛАН ЧИСТ К2'!V51*СПРАВОЧНИК!$M$15+'ПЛАН ЧИСТ К2'!W51*СПРАВОЧНИК!$N$15</f>
        <v>0</v>
      </c>
      <c r="BA60" s="40">
        <f>('ФАКТ ЧИСТ К2'!B51)*СПРАВОЧНИК!$L$9+('ФАКТ ЧИСТ К2'!C51)*СПРАВОЧНИК!$M$9+('ФАКТ ЧИСТ К2'!D51)*СПРАВОЧНИК!$N$9+('ФАКТ ЧИСТ К2'!E51)*СПРАВОЧНИК!$O$9+('ФАКТ ЧИСТ К2'!F51)*СПРАВОЧНИК!$L$10+('ФАКТ ЧИСТ К2'!G51)*СПРАВОЧНИК!$M$10+('ФАКТ ЧИСТ К2'!H51)*СПРАВОЧНИК!$N$10+('ФАКТ ЧИСТ К2'!I51)*СПРАВОЧНИК!$L$11+('ФАКТ ЧИСТ К2'!J51)*СПРАВОЧНИК!$M$11+('ФАКТ ЧИСТ К2'!K51)*СПРАВОЧНИК!$N$11+('ФАКТ ЧИСТ К2'!L51)*СПРАВОЧНИК!$L$12+('ФАКТ ЧИСТ К2'!M51)*СПРАВОЧНИК!$M$12+('ФАКТ ЧИСТ К2'!N51)*СПРАВОЧНИК!$N$12+('ФАКТ ЧИСТ К2'!O51)*СПРАВОЧНИК!$L$13+('ФАКТ ЧИСТ К2'!P51)*СПРАВОЧНИК!$M$13+('ФАКТ ЧИСТ К2'!Q51)*СПРАВОЧНИК!$N$13+('ФАКТ ЧИСТ К2'!R51)*СПРАВОЧНИК!$L$14+('ФАКТ ЧИСТ К2'!S51)*СПРАВОЧНИК!$M$14+('ФАКТ ЧИСТ К2'!T51)*СПРАВОЧНИК!$N$14+('ФАКТ ЧИСТ К2'!U51)*СПРАВОЧНИК!$L$15+('ФАКТ ЧИСТ К2'!V51)*СПРАВОЧНИК!$M$15+('ФАКТ ЧИСТ К2'!W51)*СПРАВОЧНИК!$N$15</f>
        <v>0</v>
      </c>
      <c r="BE60" s="18">
        <f t="shared" si="21"/>
        <v>46496</v>
      </c>
      <c r="BF60" s="37">
        <f>СПРАВОЧНИК!$E$9*('ПЛАН ЧЕРН К3'!B51*СПРАВОЧНИК!$H$9+'ПЛАН ЧЕРН К3'!C51*СПРАВОЧНИК!$I$9+'ПЛАН ЧЕРН К3'!D51*СПРАВОЧНИК!$J$9)+СПРАВОЧНИК!$E$10*('ПЛАН ЧЕРН К3'!E51*СПРАВОЧНИК!$H$10+'ПЛАН ЧЕРН К3'!F51*СПРАВОЧНИК!$I$10+'ПЛАН ЧЕРН К3'!G51*СПРАВОЧНИК!$J$10)+СПРАВОЧНИК!$E$11*('ПЛАН ЧЕРН К3'!H51*СПРАВОЧНИК!$H$11+'ПЛАН ЧЕРН К3'!I51*СПРАВОЧНИК!$I$11+'ПЛАН ЧЕРН К3'!J51*СПРАВОЧНИК!$J$11)+СПРАВОЧНИК!$E$12*('ПЛАН ЧЕРН К3'!K51*СПРАВОЧНИК!$H$12+'ПЛАН ЧЕРН К3'!L51*СПРАВОЧНИК!$I$12+'ПЛАН ЧЕРН К3'!M51*СПРАВОЧНИК!$J$12)+СПРАВОЧНИК!$E$13*('ПЛАН ЧЕРН К3'!N51*СПРАВОЧНИК!$H$13+'ПЛАН ЧЕРН К3'!O51*СПРАВОЧНИК!$I$13+'ПЛАН ЧЕРН К3'!P51*СПРАВОЧНИК!$J$13)+СПРАВОЧНИК!$E$14*('ПЛАН ЧЕРН К3'!Q51*СПРАВОЧНИК!$H$14+'ПЛАН ЧЕРН К3'!R51*СПРАВОЧНИК!$I$14+'ПЛАН ЧЕРН К3'!S51*СПРАВОЧНИК!$J$14)+СПРАВОЧНИК!$E$15*('ПЛАН ЧЕРН К3'!T51*СПРАВОЧНИК!$H$15+'ПЛАН ЧЕРН К3'!U51*СПРАВОЧНИК!$I$15+'ПЛАН ЧЕРН К3'!V51*СПРАВОЧНИК!$J$15)+СПРАВОЧНИК!$F$9*('ПЛАН ЧИСТ К3'!B51*СПРАВОЧНИК!$L$9+'ПЛАН ЧИСТ К3'!C51*СПРАВОЧНИК!$M$9+'ПЛАН ЧИСТ К3'!D51*СПРАВОЧНИК!$N$9+'ПЛАН ЧИСТ К3'!E51*СПРАВОЧНИК!$O$9)+СПРАВОЧНИК!$F$10*('ПЛАН ЧИСТ К3'!F51*СПРАВОЧНИК!$L$10+'ПЛАН ЧИСТ К3'!G51*СПРАВОЧНИК!$M$10+'ПЛАН ЧИСТ К3'!H51*СПРАВОЧНИК!$N$10)+СПРАВОЧНИК!$F$11*('ПЛАН ЧИСТ К3'!I51*СПРАВОЧНИК!$L$11+'ПЛАН ЧИСТ К3'!J51*СПРАВОЧНИК!$M$11+'ПЛАН ЧИСТ К3'!K51*СПРАВОЧНИК!$N$11)+СПРАВОЧНИК!$F$12*('ПЛАН ЧИСТ К3'!L51*СПРАВОЧНИК!$L$12+'ПЛАН ЧИСТ К3'!M51*СПРАВОЧНИК!$M$12+'ПЛАН ЧИСТ К3'!N51*СПРАВОЧНИК!$N$12)+СПРАВОЧНИК!$F$13*('ПЛАН ЧИСТ К3'!O51*СПРАВОЧНИК!$L$13+'ПЛАН ЧИСТ К3'!P51*СПРАВОЧНИК!$M$13+'ПЛАН ЧИСТ К3'!Q51*СПРАВОЧНИК!$N$13)+СПРАВОЧНИК!$F$14*('ПЛАН ЧИСТ К3'!R51*СПРАВОЧНИК!$L$14+'ПЛАН ЧИСТ К3'!S51*СПРАВОЧНИК!$M$14+'ПЛАН ЧИСТ К3'!T51*СПРАВОЧНИК!$N$14)+СПРАВОЧНИК!$F$15*('ПЛАН ЧИСТ К3'!U51*СПРАВОЧНИК!$L$15+'ПЛАН ЧИСТ К3'!V51*СПРАВОЧНИК!$M$15+'ПЛАН ЧИСТ К3'!W51*СПРАВОЧНИК!$N$15)</f>
        <v>0</v>
      </c>
      <c r="BG60" s="40">
        <f>СПРАВОЧНИК!$E$9*(('ФАКТ ЧЕРН К3'!B51)*СПРАВОЧНИК!$H$9+('ФАКТ ЧЕРН К3'!C51)*СПРАВОЧНИК!$I$9+('ФАКТ ЧЕРН К3'!D51)*СПРАВОЧНИК!$J$9)+СПРАВОЧНИК!$E$10*(('ФАКТ ЧЕРН К3'!E51)*СПРАВОЧНИК!$H$10+('ФАКТ ЧЕРН К3'!F51)*СПРАВОЧНИК!$I$10+('ФАКТ ЧЕРН К3'!G51)*СПРАВОЧНИК!$J$10)+СПРАВОЧНИК!$E$11*(('ФАКТ ЧЕРН К3'!H51)*СПРАВОЧНИК!$H$11+('ФАКТ ЧЕРН К3'!I51)*СПРАВОЧНИК!$I$11+('ФАКТ ЧЕРН К3'!J51)*СПРАВОЧНИК!$J$11)+СПРАВОЧНИК!$E$12*(('ФАКТ ЧЕРН К3'!K51)*СПРАВОЧНИК!$H$12+('ФАКТ ЧЕРН К3'!L51)*СПРАВОЧНИК!$I$12+('ФАКТ ЧЕРН К3'!M51)*СПРАВОЧНИК!$J$12)+СПРАВОЧНИК!$E$13*(('ФАКТ ЧЕРН К3'!N51)*СПРАВОЧНИК!$H$13+('ФАКТ ЧЕРН К3'!O51)*СПРАВОЧНИК!$I$13+('ФАКТ ЧЕРН К3'!P51)*СПРАВОЧНИК!$J$13)+СПРАВОЧНИК!$E$14*(('ФАКТ ЧЕРН К3'!Q51)*СПРАВОЧНИК!$H$14+('ФАКТ ЧЕРН К3'!R51)*СПРАВОЧНИК!$I$14+('ФАКТ ЧЕРН К3'!S51)*СПРАВОЧНИК!$J$14)+СПРАВОЧНИК!$E$15*(('ФАКТ ЧЕРН К3'!T51)*СПРАВОЧНИК!$H$15+('ФАКТ ЧЕРН К3'!U51)*СПРАВОЧНИК!$I$15+('ФАКТ ЧЕРН К3'!V51)*СПРАВОЧНИК!$J$15)+СПРАВОЧНИК!$F$9*(('ФАКТ ЧИСТ К3'!B51)*СПРАВОЧНИК!$L$9+('ФАКТ ЧИСТ К3'!C51)*СПРАВОЧНИК!$M$9+('ФАКТ ЧИСТ К3'!D51)*СПРАВОЧНИК!$N$9+('ФАКТ ЧИСТ К3'!E51)*СПРАВОЧНИК!$O$9)+СПРАВОЧНИК!$F$10*(('ФАКТ ЧИСТ К3'!F51)*СПРАВОЧНИК!$L$10+('ФАКТ ЧИСТ К3'!G51)*СПРАВОЧНИК!$M$10+('ФАКТ ЧИСТ К3'!H51)*СПРАВОЧНИК!$N$10)+СПРАВОЧНИК!$F$11*(('ФАКТ ЧИСТ К3'!I51)*СПРАВОЧНИК!$L$11+('ФАКТ ЧИСТ К3'!J51)*СПРАВОЧНИК!$M$11+('ФАКТ ЧИСТ К3'!K51)*СПРАВОЧНИК!$N$11)+СПРАВОЧНИК!$F$12*(('ФАКТ ЧИСТ К3'!L51)*СПРАВОЧНИК!$L$12+('ФАКТ ЧИСТ К3'!M51)*СПРАВОЧНИК!$M$12+('ФАКТ ЧИСТ К3'!N51)*СПРАВОЧНИК!$N$12)+СПРАВОЧНИК!$F$13*(('ФАКТ ЧИСТ К3'!O51)*СПРАВОЧНИК!$L$13+('ФАКТ ЧИСТ К3'!P51)*СПРАВОЧНИК!$M$13+('ФАКТ ЧИСТ К3'!Q51)*СПРАВОЧНИК!$N$13)+СПРАВОЧНИК!$F$14*(('ФАКТ ЧИСТ К3'!R51)*СПРАВОЧНИК!$L$14+('ФАКТ ЧИСТ К3'!S51)*СПРАВОЧНИК!$M$14+('ФАКТ ЧИСТ К3'!T51)*СПРАВОЧНИК!$N$14)+СПРАВОЧНИК!$F$15*(('ФАКТ ЧИСТ К3'!U51)*СПРАВОЧНИК!$L$15+('ФАКТ ЧИСТ К3'!V51)*СПРАВОЧНИК!$M$15+('ФАКТ ЧИСТ К3'!W51)*СПРАВОЧНИК!$N$15)</f>
        <v>0</v>
      </c>
      <c r="BK60" s="18">
        <f t="shared" si="22"/>
        <v>46496</v>
      </c>
      <c r="BL60" s="37">
        <f>'ПЛАН ЧЕРН К3'!B51*СПРАВОЧНИК!$H$9+'ПЛАН ЧЕРН К3'!C51*СПРАВОЧНИК!$I$9+'ПЛАН ЧЕРН К3'!D51*СПРАВОЧНИК!$J$9+'ПЛАН ЧЕРН К3'!E51*СПРАВОЧНИК!$H$10+'ПЛАН ЧЕРН К3'!F51*СПРАВОЧНИК!$I$10+'ПЛАН ЧЕРН К3'!G51*СПРАВОЧНИК!$J$10+'ПЛАН ЧЕРН К3'!H51*СПРАВОЧНИК!$H$11+'ПЛАН ЧЕРН К3'!I51*СПРАВОЧНИК!$I$11+'ПЛАН ЧЕРН К3'!J51*СПРАВОЧНИК!$J$11+'ПЛАН ЧЕРН К3'!K51*СПРАВОЧНИК!$H$12+'ПЛАН ЧЕРН К3'!L51*СПРАВОЧНИК!$I$12+'ПЛАН ЧЕРН К3'!M51*СПРАВОЧНИК!$J$12+'ПЛАН ЧЕРН К3'!N51*СПРАВОЧНИК!$H$13+'ПЛАН ЧЕРН К3'!O51*СПРАВОЧНИК!$I$13+'ПЛАН ЧЕРН К3'!P51*СПРАВОЧНИК!$J$13+'ПЛАН ЧЕРН К3'!Q51*СПРАВОЧНИК!$H$14+'ПЛАН ЧЕРН К3'!R51*СПРАВОЧНИК!$I$14+'ПЛАН ЧЕРН К3'!S51*СПРАВОЧНИК!$J$14+'ПЛАН ЧЕРН К3'!T51*СПРАВОЧНИК!$H$15+'ПЛАН ЧЕРН К3'!U51*СПРАВОЧНИК!$I$15+'ПЛАН ЧЕРН К3'!V51*СПРАВОЧНИК!$J$15</f>
        <v>0</v>
      </c>
      <c r="BM60" s="40">
        <f>('ФАКТ ЧЕРН К3'!B51)*СПРАВОЧНИК!$H$9+('ФАКТ ЧЕРН К3'!C51)*СПРАВОЧНИК!$I$9+('ФАКТ ЧЕРН К3'!D51)*СПРАВОЧНИК!$J$9+('ФАКТ ЧЕРН К3'!E51)*СПРАВОЧНИК!$H$10+('ФАКТ ЧЕРН К3'!F51)*СПРАВОЧНИК!$I$10+('ФАКТ ЧЕРН К3'!G51)*СПРАВОЧНИК!$J$10+('ФАКТ ЧЕРН К3'!H51)*СПРАВОЧНИК!$H$11+('ФАКТ ЧЕРН К3'!I51)*СПРАВОЧНИК!$I$11+('ФАКТ ЧЕРН К3'!J51)*СПРАВОЧНИК!$J$11+('ФАКТ ЧЕРН К3'!K51)*СПРАВОЧНИК!$H$12+('ФАКТ ЧЕРН К3'!L51)*СПРАВОЧНИК!$I$12+('ФАКТ ЧЕРН К3'!M51)*СПРАВОЧНИК!$J$12+('ФАКТ ЧЕРН К3'!N51)*СПРАВОЧНИК!$H$13+('ФАКТ ЧЕРН К3'!O51)*СПРАВОЧНИК!$I$13+('ФАКТ ЧЕРН К3'!P51)*СПРАВОЧНИК!$J$13+('ФАКТ ЧЕРН К3'!Q51)*СПРАВОЧНИК!$H$14+('ФАКТ ЧЕРН К3'!R51)*СПРАВОЧНИК!$I$14+('ФАКТ ЧЕРН К3'!S51)*СПРАВОЧНИК!$J$14+('ФАКТ ЧЕРН К3'!T51)*СПРАВОЧНИК!$H$15+('ФАКТ ЧЕРН К3'!U51)*СПРАВОЧНИК!$I$15+('ФАКТ ЧЕРН К3'!V51)*СПРАВОЧНИК!$J$15</f>
        <v>0</v>
      </c>
      <c r="BQ60" s="18">
        <f t="shared" si="23"/>
        <v>46496</v>
      </c>
      <c r="BR60" s="37">
        <f>'ПЛАН ЧИСТ К3'!B51*СПРАВОЧНИК!$L$9+'ПЛАН ЧИСТ К3'!C51*СПРАВОЧНИК!$M$9+'ПЛАН ЧИСТ К3'!D51*СПРАВОЧНИК!$N$9+'ПЛАН ЧИСТ К3'!E51*СПРАВОЧНИК!$O$9+'ПЛАН ЧИСТ К3'!F51*СПРАВОЧНИК!$L$10+'ПЛАН ЧИСТ К3'!G51*СПРАВОЧНИК!$M$10+'ПЛАН ЧИСТ К3'!H51*СПРАВОЧНИК!$N$10+'ПЛАН ЧИСТ К3'!I51*СПРАВОЧНИК!$L$11+'ПЛАН ЧИСТ К3'!J51*СПРАВОЧНИК!$M$11+'ПЛАН ЧИСТ К3'!K51*СПРАВОЧНИК!$N$11+'ПЛАН ЧИСТ К3'!L51*СПРАВОЧНИК!$L$12+'ПЛАН ЧИСТ К3'!M51*СПРАВОЧНИК!$M$12+'ПЛАН ЧИСТ К3'!N51*СПРАВОЧНИК!$N$12+'ПЛАН ЧИСТ К3'!O51*СПРАВОЧНИК!$L$13+'ПЛАН ЧИСТ К3'!P51*СПРАВОЧНИК!$M$13+'ПЛАН ЧИСТ К3'!Q51*СПРАВОЧНИК!$N$13+'ПЛАН ЧИСТ К3'!R51*СПРАВОЧНИК!$L$14+'ПЛАН ЧИСТ К3'!S51*СПРАВОЧНИК!$M$14+'ПЛАН ЧИСТ К3'!T51*СПРАВОЧНИК!$N$14+'ПЛАН ЧИСТ К3'!U51*СПРАВОЧНИК!$L$15+'ПЛАН ЧИСТ К3'!V51*СПРАВОЧНИК!$M$15+'ПЛАН ЧИСТ К3'!W51*СПРАВОЧНИК!$N$15</f>
        <v>0</v>
      </c>
      <c r="BS60" s="40">
        <f>('ФАКТ ЧИСТ К3'!B51)*СПРАВОЧНИК!$L$9+('ФАКТ ЧИСТ К3'!C51)*СПРАВОЧНИК!$M$9+('ФАКТ ЧИСТ К3'!D51)*СПРАВОЧНИК!$N$9+('ФАКТ ЧИСТ К3'!E51)*СПРАВОЧНИК!$O$9+('ФАКТ ЧИСТ К3'!F51)*СПРАВОЧНИК!$L$10+('ФАКТ ЧИСТ К3'!G51)*СПРАВОЧНИК!$M$10+('ФАКТ ЧИСТ К3'!H51)*СПРАВОЧНИК!$N$10+('ФАКТ ЧИСТ К3'!I51)*СПРАВОЧНИК!$L$11+('ФАКТ ЧИСТ К3'!J51)*СПРАВОЧНИК!$M$11+('ФАКТ ЧИСТ К3'!K51)*СПРАВОЧНИК!$N$11+('ФАКТ ЧИСТ К3'!L51)*СПРАВОЧНИК!$L$12+('ФАКТ ЧИСТ К3'!M51)*СПРАВОЧНИК!$M$12+('ФАКТ ЧИСТ К3'!N51)*СПРАВОЧНИК!$N$12+('ФАКТ ЧИСТ К3'!O51)*СПРАВОЧНИК!$L$13+('ФАКТ ЧИСТ К3'!P51)*СПРАВОЧНИК!$M$13+('ФАКТ ЧИСТ К3'!Q51)*СПРАВОЧНИК!$N$13+('ФАКТ ЧИСТ К3'!R51)*СПРАВОЧНИК!$L$14+('ФАКТ ЧИСТ К3'!S51)*СПРАВОЧНИК!$M$14+('ФАКТ ЧИСТ К3'!T51)*СПРАВОЧНИК!$N$14+('ФАКТ ЧИСТ К3'!U51)*СПРАВОЧНИК!$L$15+('ФАКТ ЧИСТ К3'!V51)*СПРАВОЧНИК!$M$15+('ФАКТ ЧИСТ К3'!W51)*СПРАВОЧНИК!$N$15</f>
        <v>0</v>
      </c>
      <c r="BW60" s="18">
        <f t="shared" si="24"/>
        <v>46496</v>
      </c>
      <c r="BX60" s="37">
        <f t="shared" si="0"/>
        <v>0</v>
      </c>
      <c r="BY60" s="40">
        <f t="shared" si="1"/>
        <v>0</v>
      </c>
      <c r="CC60" s="18">
        <f t="shared" si="25"/>
        <v>46496</v>
      </c>
      <c r="CD60" s="37">
        <f t="shared" si="2"/>
        <v>0</v>
      </c>
      <c r="CE60" s="40">
        <f t="shared" si="3"/>
        <v>0</v>
      </c>
      <c r="CI60" s="18">
        <f t="shared" si="26"/>
        <v>46496</v>
      </c>
      <c r="CJ60" s="37">
        <f t="shared" si="4"/>
        <v>0</v>
      </c>
      <c r="CK60" s="40">
        <f t="shared" si="5"/>
        <v>0</v>
      </c>
      <c r="CO60" s="18">
        <f t="shared" si="27"/>
        <v>46496</v>
      </c>
      <c r="CP60" s="37">
        <f t="shared" si="6"/>
        <v>0</v>
      </c>
      <c r="CQ60" s="40">
        <f t="shared" si="7"/>
        <v>0</v>
      </c>
      <c r="CU60" s="18">
        <f t="shared" si="28"/>
        <v>46496</v>
      </c>
      <c r="CV60" s="37">
        <f t="shared" si="8"/>
        <v>0</v>
      </c>
      <c r="CW60" s="40">
        <f t="shared" si="9"/>
        <v>0</v>
      </c>
      <c r="DA60" s="18">
        <f t="shared" si="29"/>
        <v>46496</v>
      </c>
      <c r="DB60" s="37">
        <f t="shared" si="10"/>
        <v>0</v>
      </c>
      <c r="DC60" s="40">
        <f t="shared" si="11"/>
        <v>0</v>
      </c>
    </row>
    <row r="61" spans="3:107" x14ac:dyDescent="0.25">
      <c r="C61" s="18">
        <f t="shared" si="12"/>
        <v>46503</v>
      </c>
      <c r="D61" s="37">
        <f>СПРАВОЧНИК!$E$3*('ПЛАН ЧЕРН ПОДЗЕМ'!B52*СПРАВОЧНИК!$H$3+'ПЛАН ЧЕРН ПОДЗЕМ'!C52*СПРАВОЧНИК!$I$3+'ПЛАН ЧЕРН ПОДЗЕМ'!D52*СПРАВОЧНИК!$J$3)+СПРАВОЧНИК!$E$4*('ПЛАН ЧЕРН ПОДЗЕМ'!E52*СПРАВОЧНИК!$H$4+'ПЛАН ЧЕРН ПОДЗЕМ'!F52*СПРАВОЧНИК!$I$4+'ПЛАН ЧЕРН ПОДЗЕМ'!G52*СПРАВОЧНИК!$J$4)+СПРАВОЧНИК!$E$5*('ПЛАН ЧЕРН ПОДЗЕМ'!H52*СПРАВОЧНИК!$H$5+'ПЛАН ЧЕРН ПОДЗЕМ'!I52*СПРАВОЧНИК!$I$5+'ПЛАН ЧЕРН ПОДЗЕМ'!J52*СПРАВОЧНИК!$J$5)+СПРАВОЧНИК!$E$6*('ПЛАН ЧЕРН ПОДЗЕМ'!K52*СПРАВОЧНИК!$H$6+'ПЛАН ЧЕРН ПОДЗЕМ'!L52*СПРАВОЧНИК!$I$6+'ПЛАН ЧЕРН ПОДЗЕМ'!M52*СПРАВОЧНИК!$J$6)+СПРАВОЧНИК!$E$7*('ПЛАН ЧЕРН ПОДЗЕМ'!N52*СПРАВОЧНИК!$H$7+'ПЛАН ЧЕРН ПОДЗЕМ'!O52*СПРАВОЧНИК!$I$7+'ПЛАН ЧЕРН ПОДЗЕМ'!P52*СПРАВОЧНИК!$J$7)+СПРАВОЧНИК!$E$8*('ПЛАН ЧЕРН ПОДЗЕМ'!Q52*СПРАВОЧНИК!$H$8+'ПЛАН ЧЕРН ПОДЗЕМ'!R52*СПРАВОЧНИК!$I$8+'ПЛАН ЧЕРН ПОДЗЕМ'!S52*СПРАВОЧНИК!$J$8)+СПРАВОЧНИК!$F$3*('ПЛАН ЧИСТ ПОДЗЕМ'!B52*СПРАВОЧНИК!$L$3+'ПЛАН ЧИСТ ПОДЗЕМ'!C52*СПРАВОЧНИК!$M$3+'ПЛАН ЧИСТ ПОДЗЕМ'!D52*СПРАВОЧНИК!$N$3)+СПРАВОЧНИК!$F$4*('ПЛАН ЧИСТ ПОДЗЕМ'!E52*СПРАВОЧНИК!$L$4+'ПЛАН ЧИСТ ПОДЗЕМ'!F52*СПРАВОЧНИК!$M$4+'ПЛАН ЧИСТ ПОДЗЕМ'!G52*СПРАВОЧНИК!$N$4)+СПРАВОЧНИК!$F$5*('ПЛАН ЧИСТ ПОДЗЕМ'!H52*СПРАВОЧНИК!$L$5+'ПЛАН ЧИСТ ПОДЗЕМ'!I52*СПРАВОЧНИК!$M$5+'ПЛАН ЧИСТ ПОДЗЕМ'!J52*СПРАВОЧНИК!$N$5)+СПРАВОЧНИК!$F$6*('ПЛАН ЧИСТ ПОДЗЕМ'!K52*СПРАВОЧНИК!$L$6+'ПЛАН ЧИСТ ПОДЗЕМ'!L52*СПРАВОЧНИК!$M$6+'ПЛАН ЧИСТ ПОДЗЕМ'!M52*СПРАВОЧНИК!$N$6)+СПРАВОЧНИК!$F$7*('ПЛАН ЧИСТ ПОДЗЕМ'!N52*СПРАВОЧНИК!$L$7+'ПЛАН ЧИСТ ПОДЗЕМ'!O52*СПРАВОЧНИК!$M$7+'ПЛАН ЧИСТ ПОДЗЕМ'!P52*СПРАВОЧНИК!$N$7)+СПРАВОЧНИК!$F$8*('ПЛАН ЧИСТ ПОДЗЕМ'!Q52*СПРАВОЧНИК!$L$8+'ПЛАН ЧИСТ ПОДЗЕМ'!R52*СПРАВОЧНИК!$M$8+'ПЛАН ЧИСТ ПОДЗЕМ'!S52*СПРАВОЧНИК!$N$8)</f>
        <v>0</v>
      </c>
      <c r="E61" s="40">
        <f>СПРАВОЧНИК!$E$3*(('ФАКТ ЧЕРН ПОДЗЕМ'!B52)*СПРАВОЧНИК!$H$3+('ФАКТ ЧЕРН ПОДЗЕМ'!C52)*СПРАВОЧНИК!$I$3+('ФАКТ ЧЕРН ПОДЗЕМ'!D52)*СПРАВОЧНИК!$J$3)+СПРАВОЧНИК!$E$4*(('ФАКТ ЧЕРН ПОДЗЕМ'!E52)*СПРАВОЧНИК!$H$4+('ФАКТ ЧЕРН ПОДЗЕМ'!F52)*СПРАВОЧНИК!$I$4+('ФАКТ ЧЕРН ПОДЗЕМ'!G52)*СПРАВОЧНИК!$J$4)+СПРАВОЧНИК!$E$5*(('ФАКТ ЧЕРН ПОДЗЕМ'!H52)*СПРАВОЧНИК!$H$5+('ФАКТ ЧЕРН ПОДЗЕМ'!I52)*СПРАВОЧНИК!$I$5+('ФАКТ ЧЕРН ПОДЗЕМ'!J52)*СПРАВОЧНИК!$J$5)+СПРАВОЧНИК!$E$6*(('ФАКТ ЧЕРН ПОДЗЕМ'!K52)*СПРАВОЧНИК!$H$6+('ФАКТ ЧЕРН ПОДЗЕМ'!L52)*СПРАВОЧНИК!$I$6+('ФАКТ ЧЕРН ПОДЗЕМ'!M52)*СПРАВОЧНИК!$J$6)+СПРАВОЧНИК!$E$7*(('ФАКТ ЧЕРН ПОДЗЕМ'!N52)*СПРАВОЧНИК!$H$7+('ФАКТ ЧЕРН ПОДЗЕМ'!O52)*СПРАВОЧНИК!$I$7+('ФАКТ ЧЕРН ПОДЗЕМ'!P52)*СПРАВОЧНИК!$J$7)+СПРАВОЧНИК!$E$8*(('ФАКТ ЧЕРН ПОДЗЕМ'!Q52)*СПРАВОЧНИК!$H$8+('ФАКТ ЧЕРН ПОДЗЕМ'!R52)*СПРАВОЧНИК!$I$8+('ФАКТ ЧЕРН ПОДЗЕМ'!S52)*СПРАВОЧНИК!$J$8)+СПРАВОЧНИК!$F$3*(('ФАКТ ЧИСТ ПОДЗЕМ'!B52)*СПРАВОЧНИК!$L$3+('ФАКТ ЧИСТ ПОДЗЕМ'!C52)*СПРАВОЧНИК!$M$3+('ФАКТ ЧИСТ ПОДЗЕМ'!D52)*СПРАВОЧНИК!$N$3)+СПРАВОЧНИК!$F$4*(('ФАКТ ЧИСТ ПОДЗЕМ'!E52)*СПРАВОЧНИК!$L$4+('ФАКТ ЧИСТ ПОДЗЕМ'!F52)*СПРАВОЧНИК!$M$4+('ФАКТ ЧИСТ ПОДЗЕМ'!G52)*СПРАВОЧНИК!$N$4)+СПРАВОЧНИК!$F$5*(('ФАКТ ЧИСТ ПОДЗЕМ'!H52)*СПРАВОЧНИК!$L$5+('ФАКТ ЧИСТ ПОДЗЕМ'!I52)*СПРАВОЧНИК!$M$5+('ФАКТ ЧИСТ ПОДЗЕМ'!J52)*СПРАВОЧНИК!$N$5)+СПРАВОЧНИК!$F$6*(('ФАКТ ЧИСТ ПОДЗЕМ'!K52)*СПРАВОЧНИК!$L$6+('ФАКТ ЧИСТ ПОДЗЕМ'!L52)*СПРАВОЧНИК!$M$6+('ФАКТ ЧИСТ ПОДЗЕМ'!M52)*СПРАВОЧНИК!$N$6)+СПРАВОЧНИК!$F$7*(('ФАКТ ЧИСТ ПОДЗЕМ'!N52)*СПРАВОЧНИК!$L$7+('ФАКТ ЧИСТ ПОДЗЕМ'!O52)*СПРАВОЧНИК!$M$7+('ФАКТ ЧИСТ ПОДЗЕМ'!P52)*СПРАВОЧНИК!$N$7)+СПРАВОЧНИК!$F$8*(('ФАКТ ЧИСТ ПОДЗЕМ'!Q52)*СПРАВОЧНИК!$L$8+('ФАКТ ЧИСТ ПОДЗЕМ'!R52)*СПРАВОЧНИК!$M$8+('ФАКТ ЧИСТ ПОДЗЕМ'!S52)*СПРАВОЧНИК!$N$8)</f>
        <v>0</v>
      </c>
      <c r="I61" s="18">
        <f t="shared" si="13"/>
        <v>46503</v>
      </c>
      <c r="J61" s="37">
        <f>'ПЛАН ЧЕРН ПОДЗЕМ'!B52*СПРАВОЧНИК!$H$3+'ПЛАН ЧЕРН ПОДЗЕМ'!C52*СПРАВОЧНИК!$I$3+'ПЛАН ЧЕРН ПОДЗЕМ'!D52*СПРАВОЧНИК!$J$3+'ПЛАН ЧЕРН ПОДЗЕМ'!E52*СПРАВОЧНИК!$H$4+'ПЛАН ЧЕРН ПОДЗЕМ'!F52*СПРАВОЧНИК!$I$4+'ПЛАН ЧЕРН ПОДЗЕМ'!G52*СПРАВОЧНИК!$J$4+'ПЛАН ЧЕРН ПОДЗЕМ'!H52*СПРАВОЧНИК!$H$5+'ПЛАН ЧЕРН ПОДЗЕМ'!I52*СПРАВОЧНИК!$I$5+'ПЛАН ЧЕРН ПОДЗЕМ'!J52*СПРАВОЧНИК!$J$5+'ПЛАН ЧЕРН ПОДЗЕМ'!K52*СПРАВОЧНИК!$H$6+'ПЛАН ЧЕРН ПОДЗЕМ'!L52*СПРАВОЧНИК!$I$6+'ПЛАН ЧЕРН ПОДЗЕМ'!M52*СПРАВОЧНИК!$J$6+'ПЛАН ЧЕРН ПОДЗЕМ'!N52*СПРАВОЧНИК!$H$7+'ПЛАН ЧЕРН ПОДЗЕМ'!O52*СПРАВОЧНИК!$I$7+'ПЛАН ЧЕРН ПОДЗЕМ'!P52*СПРАВОЧНИК!$J$7+'ПЛАН ЧЕРН ПОДЗЕМ'!Q52*СПРАВОЧНИК!$H$8+'ПЛАН ЧЕРН ПОДЗЕМ'!R52*СПРАВОЧНИК!$I$8+'ПЛАН ЧЕРН ПОДЗЕМ'!S52*СПРАВОЧНИК!$J$8</f>
        <v>0</v>
      </c>
      <c r="K61" s="40">
        <f>('ФАКТ ЧЕРН ПОДЗЕМ'!B52)*СПРАВОЧНИК!$H$3+('ФАКТ ЧЕРН ПОДЗЕМ'!C52)*СПРАВОЧНИК!$I$3+('ФАКТ ЧЕРН ПОДЗЕМ'!D52)*СПРАВОЧНИК!$J$3+('ФАКТ ЧЕРН ПОДЗЕМ'!E52)*СПРАВОЧНИК!$H$4+('ФАКТ ЧЕРН ПОДЗЕМ'!F52)*СПРАВОЧНИК!$I$4+('ФАКТ ЧЕРН ПОДЗЕМ'!G52)*СПРАВОЧНИК!$J$4+('ФАКТ ЧЕРН ПОДЗЕМ'!H52)*СПРАВОЧНИК!$H$5+('ФАКТ ЧЕРН ПОДЗЕМ'!I52)*СПРАВОЧНИК!$I$5+('ФАКТ ЧЕРН ПОДЗЕМ'!J52)*СПРАВОЧНИК!$J$5+('ФАКТ ЧЕРН ПОДЗЕМ'!K52)*СПРАВОЧНИК!$H$6+('ФАКТ ЧЕРН ПОДЗЕМ'!L52)*СПРАВОЧНИК!$I$6+('ФАКТ ЧЕРН ПОДЗЕМ'!M52)*СПРАВОЧНИК!$J$6+('ФАКТ ЧЕРН ПОДЗЕМ'!N52)*СПРАВОЧНИК!$H$7+('ФАКТ ЧЕРН ПОДЗЕМ'!O52)*СПРАВОЧНИК!$I$7+('ФАКТ ЧЕРН ПОДЗЕМ'!P52)*СПРАВОЧНИК!$J$7+('ФАКТ ЧЕРН ПОДЗЕМ'!Q52)*СПРАВОЧНИК!$H$8+('ФАКТ ЧЕРН ПОДЗЕМ'!R52)*СПРАВОЧНИК!$I$8+('ФАКТ ЧЕРН ПОДЗЕМ'!S52)*СПРАВОЧНИК!$J$8</f>
        <v>0</v>
      </c>
      <c r="O61" s="18">
        <f t="shared" si="14"/>
        <v>46503</v>
      </c>
      <c r="P61" s="37">
        <f>'ПЛАН ЧИСТ ПОДЗЕМ'!B52*СПРАВОЧНИК!$L$3+'ПЛАН ЧИСТ ПОДЗЕМ'!C52*СПРАВОЧНИК!$M$3+'ПЛАН ЧИСТ ПОДЗЕМ'!D52*СПРАВОЧНИК!$N$3+'ПЛАН ЧИСТ ПОДЗЕМ'!E52*СПРАВОЧНИК!$L$4+'ПЛАН ЧИСТ ПОДЗЕМ'!F52*СПРАВОЧНИК!$M$4+'ПЛАН ЧИСТ ПОДЗЕМ'!G52*СПРАВОЧНИК!$N$4+'ПЛАН ЧИСТ ПОДЗЕМ'!H52*СПРАВОЧНИК!$L$5+'ПЛАН ЧИСТ ПОДЗЕМ'!I52*СПРАВОЧНИК!$M$5+'ПЛАН ЧИСТ ПОДЗЕМ'!J52*СПРАВОЧНИК!$N$5+'ПЛАН ЧИСТ ПОДЗЕМ'!K52*СПРАВОЧНИК!$L$6+'ПЛАН ЧИСТ ПОДЗЕМ'!L52*СПРАВОЧНИК!$M$6+'ПЛАН ЧИСТ ПОДЗЕМ'!M52*СПРАВОЧНИК!$N$6+'ПЛАН ЧИСТ ПОДЗЕМ'!N52*СПРАВОЧНИК!$L$7+'ПЛАН ЧИСТ ПОДЗЕМ'!O52*СПРАВОЧНИК!$M$7+'ПЛАН ЧИСТ ПОДЗЕМ'!P52*СПРАВОЧНИК!$N$7+'ПЛАН ЧИСТ ПОДЗЕМ'!Q52*СПРАВОЧНИК!$L$8+'ПЛАН ЧИСТ ПОДЗЕМ'!R52*СПРАВОЧНИК!$M$8+'ПЛАН ЧИСТ ПОДЗЕМ'!S52*СПРАВОЧНИК!$N$8</f>
        <v>0</v>
      </c>
      <c r="Q61" s="40">
        <f>('ФАКТ ЧИСТ ПОДЗЕМ'!B52)*СПРАВОЧНИК!$L$3+('ФАКТ ЧИСТ ПОДЗЕМ'!C52)*СПРАВОЧНИК!$M$3+('ФАКТ ЧИСТ ПОДЗЕМ'!D52)*СПРАВОЧНИК!$N$3+('ФАКТ ЧИСТ ПОДЗЕМ'!E52)*СПРАВОЧНИК!$L$4+('ФАКТ ЧИСТ ПОДЗЕМ'!F52)*СПРАВОЧНИК!$M$4+('ФАКТ ЧИСТ ПОДЗЕМ'!G52)*СПРАВОЧНИК!$N$4+('ФАКТ ЧИСТ ПОДЗЕМ'!H52)*СПРАВОЧНИК!$L$5+('ФАКТ ЧИСТ ПОДЗЕМ'!I52)*СПРАВОЧНИК!$M$5+('ФАКТ ЧИСТ ПОДЗЕМ'!J52)*СПРАВОЧНИК!$N$5+('ФАКТ ЧИСТ ПОДЗЕМ'!K52)*СПРАВОЧНИК!$L$6+('ФАКТ ЧИСТ ПОДЗЕМ'!L52)*СПРАВОЧНИК!$M$6+('ФАКТ ЧИСТ ПОДЗЕМ'!M52)*СПРАВОЧНИК!$N$6+('ФАКТ ЧИСТ ПОДЗЕМ'!N52)*СПРАВОЧНИК!$L$7+('ФАКТ ЧИСТ ПОДЗЕМ'!O52)*СПРАВОЧНИК!$M$7+('ФАКТ ЧИСТ ПОДЗЕМ'!P52)*СПРАВОЧНИК!$N$7+('ФАКТ ЧИСТ ПОДЗЕМ'!Q52)*СПРАВОЧНИК!$L$8+('ФАКТ ЧИСТ ПОДЗЕМ'!R52)*СПРАВОЧНИК!$M$8+('ФАКТ ЧИСТ ПОДЗЕМ'!S52)*СПРАВОЧНИК!$N$8</f>
        <v>0</v>
      </c>
      <c r="U61" s="18">
        <f t="shared" si="15"/>
        <v>46503</v>
      </c>
      <c r="V61" s="37">
        <f>СПРАВОЧНИК!$E$9*('ПЛАН ЧЕРН К1'!B52*СПРАВОЧНИК!$H$9+'ПЛАН ЧЕРН К1'!C52*СПРАВОЧНИК!$I$9+'ПЛАН ЧЕРН К1'!D52*СПРАВОЧНИК!$J$9)+СПРАВОЧНИК!$E$10*('ПЛАН ЧЕРН К1'!E52*СПРАВОЧНИК!$H$10+'ПЛАН ЧЕРН К1'!F52*СПРАВОЧНИК!$I$10+'ПЛАН ЧЕРН К1'!G52*СПРАВОЧНИК!$J$10)+СПРАВОЧНИК!$E$11*('ПЛАН ЧЕРН К1'!H52*СПРАВОЧНИК!$H$11+'ПЛАН ЧЕРН К1'!I52*СПРАВОЧНИК!$I$11+'ПЛАН ЧЕРН К1'!J52*СПРАВОЧНИК!$J$11)+СПРАВОЧНИК!$E$12*('ПЛАН ЧЕРН К1'!K52*СПРАВОЧНИК!$H$12+'ПЛАН ЧЕРН К1'!L52*СПРАВОЧНИК!$I$12+'ПЛАН ЧЕРН К1'!M52*СПРАВОЧНИК!$J$12)+СПРАВОЧНИК!$E$13*('ПЛАН ЧЕРН К1'!N52*СПРАВОЧНИК!$H$13+'ПЛАН ЧЕРН К1'!O52*СПРАВОЧНИК!$I$13+'ПЛАН ЧЕРН К1'!P52*СПРАВОЧНИК!$J$13)+СПРАВОЧНИК!$E$14*('ПЛАН ЧЕРН К1'!Q52*СПРАВОЧНИК!$H$14+'ПЛАН ЧЕРН К1'!R52*СПРАВОЧНИК!$I$14+'ПЛАН ЧЕРН К1'!S52*СПРАВОЧНИК!$J$14)+СПРАВОЧНИК!$E$15*('ПЛАН ЧЕРН К1'!T52*СПРАВОЧНИК!$H$15+'ПЛАН ЧЕРН К1'!U52*СПРАВОЧНИК!$I$15+'ПЛАН ЧЕРН К1'!V52*СПРАВОЧНИК!$J$15)+СПРАВОЧНИК!$F$9*('ПЛАН ЧИСТ К1'!B52*СПРАВОЧНИК!$L$9+'ПЛАН ЧИСТ К1'!C52*СПРАВОЧНИК!$M$9+'ПЛАН ЧИСТ К1'!D52*СПРАВОЧНИК!$N$9+'ПЛАН ЧИСТ К1'!E52*СПРАВОЧНИК!$O$9)+СПРАВОЧНИК!$F$10*('ПЛАН ЧИСТ К1'!F52*СПРАВОЧНИК!$L$10+'ПЛАН ЧИСТ К1'!G52*СПРАВОЧНИК!$M$10+'ПЛАН ЧИСТ К1'!H52*СПРАВОЧНИК!$N$10)+СПРАВОЧНИК!$F$11*('ПЛАН ЧИСТ К1'!I52*СПРАВОЧНИК!$L$11+'ПЛАН ЧИСТ К1'!J52*СПРАВОЧНИК!$M$11+'ПЛАН ЧИСТ К1'!K52*СПРАВОЧНИК!$N$11)+СПРАВОЧНИК!$F$12*('ПЛАН ЧИСТ К1'!L52*СПРАВОЧНИК!$L$12+'ПЛАН ЧИСТ К1'!M52*СПРАВОЧНИК!$M$12+'ПЛАН ЧИСТ К1'!N52*СПРАВОЧНИК!$N$12)+СПРАВОЧНИК!$F$13*('ПЛАН ЧИСТ К1'!O52*СПРАВОЧНИК!$L$13+'ПЛАН ЧИСТ К1'!P52*СПРАВОЧНИК!$M$13+'ПЛАН ЧИСТ К1'!Q52*СПРАВОЧНИК!$N$13)+СПРАВОЧНИК!$F$14*('ПЛАН ЧИСТ К1'!R52*СПРАВОЧНИК!$L$14+'ПЛАН ЧИСТ К1'!S52*СПРАВОЧНИК!$M$14+'ПЛАН ЧИСТ К1'!T52*СПРАВОЧНИК!$N$14)+СПРАВОЧНИК!$F$15*('ПЛАН ЧИСТ К1'!U52*СПРАВОЧНИК!$L$15+'ПЛАН ЧИСТ К1'!V52*СПРАВОЧНИК!$M$15+'ПЛАН ЧИСТ К1'!W52*СПРАВОЧНИК!$N$15)</f>
        <v>0</v>
      </c>
      <c r="W61" s="40">
        <f>СПРАВОЧНИК!$E$9*(('ФАКТ ЧЕРН К1'!B52)*СПРАВОЧНИК!$H$9+('ФАКТ ЧЕРН К1'!C52)*СПРАВОЧНИК!$I$9+('ФАКТ ЧЕРН К1'!D52)*СПРАВОЧНИК!$J$9)+СПРАВОЧНИК!$E$10*(('ФАКТ ЧЕРН К1'!E52)*СПРАВОЧНИК!$H$10+('ФАКТ ЧЕРН К1'!F52)*СПРАВОЧНИК!$I$10+('ФАКТ ЧЕРН К1'!G52)*СПРАВОЧНИК!$J$10)+СПРАВОЧНИК!$E$11*(('ФАКТ ЧЕРН К1'!H52)*СПРАВОЧНИК!$H$11+('ФАКТ ЧЕРН К1'!I52)*СПРАВОЧНИК!$I$11+('ФАКТ ЧЕРН К1'!J52)*СПРАВОЧНИК!$J$11)+СПРАВОЧНИК!$E$12*(('ФАКТ ЧЕРН К1'!K52)*СПРАВОЧНИК!$H$12+('ФАКТ ЧЕРН К1'!L52)*СПРАВОЧНИК!$I$12+('ФАКТ ЧЕРН К1'!M52)*СПРАВОЧНИК!$J$12)+СПРАВОЧНИК!$E$13*(('ФАКТ ЧЕРН К1'!N52)*СПРАВОЧНИК!$H$13+('ФАКТ ЧЕРН К1'!O52)*СПРАВОЧНИК!$I$13+('ФАКТ ЧЕРН К1'!P52)*СПРАВОЧНИК!$J$13)+СПРАВОЧНИК!$E$14*(('ФАКТ ЧЕРН К1'!Q52)*СПРАВОЧНИК!$H$14+('ФАКТ ЧЕРН К1'!R52)*СПРАВОЧНИК!$I$14+('ФАКТ ЧЕРН К1'!S52)*СПРАВОЧНИК!$J$14)+СПРАВОЧНИК!$E$15*(('ФАКТ ЧЕРН К1'!T52)*СПРАВОЧНИК!$H$15+('ФАКТ ЧЕРН К1'!U52)*СПРАВОЧНИК!$I$15+('ФАКТ ЧЕРН К1'!V52)*СПРАВОЧНИК!$J$15)+СПРАВОЧНИК!$F$9*(('ФАКТ ЧИСТ К1'!B52)*СПРАВОЧНИК!$L$9+('ФАКТ ЧИСТ К1'!C52)*СПРАВОЧНИК!$M$9+('ФАКТ ЧИСТ К1'!D52)*СПРАВОЧНИК!$N$9+('ФАКТ ЧИСТ К1'!E52)*СПРАВОЧНИК!$O$9)+СПРАВОЧНИК!$F$10*(('ФАКТ ЧИСТ К1'!F52)*СПРАВОЧНИК!$L$10+('ФАКТ ЧИСТ К1'!G52)*СПРАВОЧНИК!$M$10+('ФАКТ ЧИСТ К1'!H52)*СПРАВОЧНИК!$N$10)+СПРАВОЧНИК!$F$11*(('ФАКТ ЧИСТ К1'!I52)*СПРАВОЧНИК!$L$11+('ФАКТ ЧИСТ К1'!J52)*СПРАВОЧНИК!$M$11+('ФАКТ ЧИСТ К1'!K52)*СПРАВОЧНИК!$N$11)+СПРАВОЧНИК!$F$12*(('ФАКТ ЧИСТ К1'!L52)*СПРАВОЧНИК!$L$12+('ФАКТ ЧИСТ К1'!M52)*СПРАВОЧНИК!$M$12+('ФАКТ ЧИСТ К1'!N52)*СПРАВОЧНИК!$N$12)+СПРАВОЧНИК!$F$13*(('ФАКТ ЧИСТ К1'!O52)*СПРАВОЧНИК!$L$13+('ФАКТ ЧИСТ К1'!P52)*СПРАВОЧНИК!$M$13+('ФАКТ ЧИСТ К1'!Q52)*СПРАВОЧНИК!$N$13)+СПРАВОЧНИК!$F$14*(('ФАКТ ЧИСТ К1'!R52)*СПРАВОЧНИК!$L$14+('ФАКТ ЧИСТ К1'!S52)*СПРАВОЧНИК!$M$14+('ФАКТ ЧИСТ К1'!T52)*СПРАВОЧНИК!$N$14)+СПРАВОЧНИК!$F$15*(('ФАКТ ЧИСТ К1'!U52)*СПРАВОЧНИК!$L$15+('ФАКТ ЧИСТ К1'!V52)*СПРАВОЧНИК!$M$15+('ФАКТ ЧИСТ К1'!W52)*СПРАВОЧНИК!$N$15)</f>
        <v>0</v>
      </c>
      <c r="AA61" s="18">
        <f t="shared" si="16"/>
        <v>46503</v>
      </c>
      <c r="AB61" s="37">
        <f>'ПЛАН ЧЕРН К1'!B52*СПРАВОЧНИК!$H$9+'ПЛАН ЧЕРН К1'!C52*СПРАВОЧНИК!$I$9+'ПЛАН ЧЕРН К1'!D52*СПРАВОЧНИК!$J$9+'ПЛАН ЧЕРН К1'!E52*СПРАВОЧНИК!$H$10+'ПЛАН ЧЕРН К1'!F52*СПРАВОЧНИК!$I$10+'ПЛАН ЧЕРН К1'!G52*СПРАВОЧНИК!$J$10+'ПЛАН ЧЕРН К1'!H52*СПРАВОЧНИК!$H$11+'ПЛАН ЧЕРН К1'!I52*СПРАВОЧНИК!$I$11+'ПЛАН ЧЕРН К1'!J52*СПРАВОЧНИК!$J$11+'ПЛАН ЧЕРН К1'!K52*СПРАВОЧНИК!$H$12+'ПЛАН ЧЕРН К1'!L52*СПРАВОЧНИК!$I$12+'ПЛАН ЧЕРН К1'!M52*СПРАВОЧНИК!$J$12+'ПЛАН ЧЕРН К1'!N52*СПРАВОЧНИК!$H$13+'ПЛАН ЧЕРН К1'!O52*СПРАВОЧНИК!$I$13+'ПЛАН ЧЕРН К1'!P52*СПРАВОЧНИК!$J$13+'ПЛАН ЧЕРН К1'!Q52*СПРАВОЧНИК!$H$14+'ПЛАН ЧЕРН К1'!R52*СПРАВОЧНИК!$I$14+'ПЛАН ЧЕРН К1'!S52*СПРАВОЧНИК!$J$14+'ПЛАН ЧЕРН К1'!T52*СПРАВОЧНИК!$H$15+'ПЛАН ЧЕРН К1'!U52*СПРАВОЧНИК!$I$15+'ПЛАН ЧЕРН К1'!V52*СПРАВОЧНИК!$J$15</f>
        <v>0</v>
      </c>
      <c r="AC61" s="40">
        <f>('ФАКТ ЧЕРН К1'!B52)*СПРАВОЧНИК!$H$9+('ФАКТ ЧЕРН К1'!C52)*СПРАВОЧНИК!$I$9+('ФАКТ ЧЕРН К1'!D52)*СПРАВОЧНИК!$J$9+('ФАКТ ЧЕРН К1'!E52)*СПРАВОЧНИК!$H$10+('ФАКТ ЧЕРН К1'!F52)*СПРАВОЧНИК!$I$10+('ФАКТ ЧЕРН К1'!G52)*СПРАВОЧНИК!$J$10+('ФАКТ ЧЕРН К1'!H52)*СПРАВОЧНИК!$H$11+('ФАКТ ЧЕРН К1'!I52)*СПРАВОЧНИК!$I$11+('ФАКТ ЧЕРН К1'!J52)*СПРАВОЧНИК!$J$11+('ФАКТ ЧЕРН К1'!K52)*СПРАВОЧНИК!$H$12+('ФАКТ ЧЕРН К1'!L52)*СПРАВОЧНИК!$I$12+('ФАКТ ЧЕРН К1'!M52)*СПРАВОЧНИК!$J$12+('ФАКТ ЧЕРН К1'!N52)*СПРАВОЧНИК!$H$13+('ФАКТ ЧЕРН К1'!O52)*СПРАВОЧНИК!$I$13+('ФАКТ ЧЕРН К1'!P52)*СПРАВОЧНИК!$J$13+('ФАКТ ЧЕРН К1'!Q52)*СПРАВОЧНИК!$H$14+('ФАКТ ЧЕРН К1'!R52)*СПРАВОЧНИК!$I$14+('ФАКТ ЧЕРН К1'!S52)*СПРАВОЧНИК!$J$14+('ФАКТ ЧЕРН К1'!T52)*СПРАВОЧНИК!$H$15+('ФАКТ ЧЕРН К1'!U52)*СПРАВОЧНИК!$I$15+('ФАКТ ЧЕРН К1'!V52)*СПРАВОЧНИК!$J$15</f>
        <v>0</v>
      </c>
      <c r="AG61" s="18">
        <f t="shared" si="17"/>
        <v>46503</v>
      </c>
      <c r="AH61" s="37">
        <f>'ПЛАН ЧИСТ К1'!B52*СПРАВОЧНИК!$L$9+'ПЛАН ЧИСТ К1'!C52*СПРАВОЧНИК!$M$9+'ПЛАН ЧИСТ К1'!D52*СПРАВОЧНИК!$N$9+'ПЛАН ЧИСТ К1'!E52*СПРАВОЧНИК!$O$9+'ПЛАН ЧИСТ К1'!F52*СПРАВОЧНИК!$L$10+'ПЛАН ЧИСТ К1'!G52*СПРАВОЧНИК!$M$10+'ПЛАН ЧИСТ К1'!H52*СПРАВОЧНИК!$N$10+'ПЛАН ЧИСТ К1'!I52*СПРАВОЧНИК!$L$11+'ПЛАН ЧИСТ К1'!J52*СПРАВОЧНИК!$M$11+'ПЛАН ЧИСТ К1'!K52*СПРАВОЧНИК!$N$11+'ПЛАН ЧИСТ К1'!L52*СПРАВОЧНИК!$L$12+'ПЛАН ЧИСТ К1'!M52*СПРАВОЧНИК!$M$12+'ПЛАН ЧИСТ К1'!N52*СПРАВОЧНИК!$N$12+'ПЛАН ЧИСТ К1'!O52*СПРАВОЧНИК!$L$13+'ПЛАН ЧИСТ К1'!P52*СПРАВОЧНИК!$M$13+'ПЛАН ЧИСТ К1'!Q52*СПРАВОЧНИК!$N$13+'ПЛАН ЧИСТ К1'!R52*СПРАВОЧНИК!$L$14+'ПЛАН ЧИСТ К1'!S52*СПРАВОЧНИК!$M$14+'ПЛАН ЧИСТ К1'!T52*СПРАВОЧНИК!$N$14+'ПЛАН ЧИСТ К1'!U52*СПРАВОЧНИК!$L$15+'ПЛАН ЧИСТ К1'!V52*СПРАВОЧНИК!$M$15+'ПЛАН ЧИСТ К1'!W52*СПРАВОЧНИК!$N$15</f>
        <v>0</v>
      </c>
      <c r="AI61" s="40">
        <f>('ФАКТ ЧИСТ К1'!B52)*СПРАВОЧНИК!$L$9+('ФАКТ ЧИСТ К1'!C52)*СПРАВОЧНИК!$M$9+('ФАКТ ЧИСТ К1'!D52)*СПРАВОЧНИК!$N$9+('ФАКТ ЧИСТ К1'!E52)*СПРАВОЧНИК!$O$9+('ФАКТ ЧИСТ К1'!F52)*СПРАВОЧНИК!$L$10+('ФАКТ ЧИСТ К1'!G52)*СПРАВОЧНИК!$M$10+('ФАКТ ЧИСТ К1'!H52)*СПРАВОЧНИК!$N$10+('ФАКТ ЧИСТ К1'!I52)*СПРАВОЧНИК!$L$11+('ФАКТ ЧИСТ К1'!J52)*СПРАВОЧНИК!$M$11+('ФАКТ ЧИСТ К1'!K52)*СПРАВОЧНИК!$N$11+('ФАКТ ЧИСТ К1'!L52)*СПРАВОЧНИК!$L$12+('ФАКТ ЧИСТ К1'!M52)*СПРАВОЧНИК!$M$12+('ФАКТ ЧИСТ К1'!N52)*СПРАВОЧНИК!$N$12+('ФАКТ ЧИСТ К1'!O52)*СПРАВОЧНИК!$L$13+('ФАКТ ЧИСТ К1'!P52)*СПРАВОЧНИК!$M$13+('ФАКТ ЧИСТ К1'!Q52)*СПРАВОЧНИК!$N$13+('ФАКТ ЧИСТ К1'!R52)*СПРАВОЧНИК!$L$14+('ФАКТ ЧИСТ К1'!S52)*СПРАВОЧНИК!$M$14+('ФАКТ ЧИСТ К1'!T52)*СПРАВОЧНИК!$N$14+('ФАКТ ЧИСТ К1'!U52)*СПРАВОЧНИК!$L$15+('ФАКТ ЧИСТ К1'!V52)*СПРАВОЧНИК!$M$15+('ФАКТ ЧИСТ К1'!W52)*СПРАВОЧНИК!$N$15</f>
        <v>0</v>
      </c>
      <c r="AM61" s="18">
        <f t="shared" si="18"/>
        <v>46503</v>
      </c>
      <c r="AN61" s="37">
        <f>СПРАВОЧНИК!$E$9*('ПЛАН ЧЕРН К2'!B52*СПРАВОЧНИК!$H$9+'ПЛАН ЧЕРН К2'!C52*СПРАВОЧНИК!$I$9+'ПЛАН ЧЕРН К2'!D52*СПРАВОЧНИК!$J$9)+СПРАВОЧНИК!$E$10*('ПЛАН ЧЕРН К2'!E52*СПРАВОЧНИК!$H$10+'ПЛАН ЧЕРН К2'!F52*СПРАВОЧНИК!$I$10+'ПЛАН ЧЕРН К2'!G52*СПРАВОЧНИК!$J$10)+СПРАВОЧНИК!$E$11*('ПЛАН ЧЕРН К2'!H52*СПРАВОЧНИК!$H$11+'ПЛАН ЧЕРН К2'!I52*СПРАВОЧНИК!$I$11+'ПЛАН ЧЕРН К2'!J52*СПРАВОЧНИК!$J$11)+СПРАВОЧНИК!$E$12*('ПЛАН ЧЕРН К2'!K52*СПРАВОЧНИК!$H$12+'ПЛАН ЧЕРН К2'!L52*СПРАВОЧНИК!$I$12+'ПЛАН ЧЕРН К2'!M52*СПРАВОЧНИК!$J$12)+СПРАВОЧНИК!$E$13*('ПЛАН ЧЕРН К2'!N52*СПРАВОЧНИК!$H$13+'ПЛАН ЧЕРН К2'!O52*СПРАВОЧНИК!$I$13+'ПЛАН ЧЕРН К2'!P52*СПРАВОЧНИК!$J$13)+СПРАВОЧНИК!$E$14*('ПЛАН ЧЕРН К2'!Q52*СПРАВОЧНИК!$H$14+'ПЛАН ЧЕРН К2'!R52*СПРАВОЧНИК!$I$14+'ПЛАН ЧЕРН К2'!S52*СПРАВОЧНИК!$J$14)+СПРАВОЧНИК!$E$15*('ПЛАН ЧЕРН К2'!T52*СПРАВОЧНИК!$H$15+'ПЛАН ЧЕРН К2'!U52*СПРАВОЧНИК!$I$15+'ПЛАН ЧЕРН К2'!V52*СПРАВОЧНИК!$J$15)+СПРАВОЧНИК!$F$9*('ПЛАН ЧИСТ К2'!B52*СПРАВОЧНИК!$L$9+'ПЛАН ЧИСТ К2'!C52*СПРАВОЧНИК!$M$9+'ПЛАН ЧИСТ К2'!D52*СПРАВОЧНИК!$N$9+'ПЛАН ЧИСТ К2'!E52*СПРАВОЧНИК!$O$9)+СПРАВОЧНИК!$F$10*('ПЛАН ЧИСТ К2'!F52*СПРАВОЧНИК!$L$10+'ПЛАН ЧИСТ К2'!G52*СПРАВОЧНИК!$M$10+'ПЛАН ЧИСТ К2'!H52*СПРАВОЧНИК!$N$10)+СПРАВОЧНИК!$F$11*('ПЛАН ЧИСТ К2'!I52*СПРАВОЧНИК!$L$11+'ПЛАН ЧИСТ К2'!J52*СПРАВОЧНИК!$M$11+'ПЛАН ЧИСТ К2'!K52*СПРАВОЧНИК!$N$11)+СПРАВОЧНИК!$F$12*('ПЛАН ЧИСТ К2'!L52*СПРАВОЧНИК!$L$12+'ПЛАН ЧИСТ К2'!M52*СПРАВОЧНИК!$M$12+'ПЛАН ЧИСТ К2'!N52*СПРАВОЧНИК!$N$12)+СПРАВОЧНИК!$F$13*('ПЛАН ЧИСТ К2'!O52*СПРАВОЧНИК!$L$13+'ПЛАН ЧИСТ К2'!P52*СПРАВОЧНИК!$M$13+'ПЛАН ЧИСТ К2'!Q52*СПРАВОЧНИК!$N$13)+СПРАВОЧНИК!$F$14*('ПЛАН ЧИСТ К2'!R52*СПРАВОЧНИК!$L$14+'ПЛАН ЧИСТ К2'!S52*СПРАВОЧНИК!$M$14+'ПЛАН ЧИСТ К2'!T52*СПРАВОЧНИК!$N$14)+СПРАВОЧНИК!$F$15*('ПЛАН ЧИСТ К2'!U52*СПРАВОЧНИК!$L$15+'ПЛАН ЧИСТ К2'!V52*СПРАВОЧНИК!$M$15+'ПЛАН ЧИСТ К2'!W52*СПРАВОЧНИК!$N$15)</f>
        <v>0</v>
      </c>
      <c r="AO61" s="40">
        <f>СПРАВОЧНИК!$E$9*(('ФАКТ ЧЕРН К2'!B52)*СПРАВОЧНИК!$H$9+('ФАКТ ЧЕРН К2'!C52)*СПРАВОЧНИК!$I$9+('ФАКТ ЧЕРН К2'!D52)*СПРАВОЧНИК!$J$9)+СПРАВОЧНИК!$E$10*(('ФАКТ ЧЕРН К2'!E52)*СПРАВОЧНИК!$H$10+('ФАКТ ЧЕРН К2'!F52)*СПРАВОЧНИК!$I$10+('ФАКТ ЧЕРН К2'!G52)*СПРАВОЧНИК!$J$10)+СПРАВОЧНИК!$E$11*(('ФАКТ ЧЕРН К2'!H52)*СПРАВОЧНИК!$H$11+('ФАКТ ЧЕРН К2'!I52)*СПРАВОЧНИК!$I$11+('ФАКТ ЧЕРН К2'!J52)*СПРАВОЧНИК!$J$11)+СПРАВОЧНИК!$E$12*(('ФАКТ ЧЕРН К2'!K52)*СПРАВОЧНИК!$H$12+('ФАКТ ЧЕРН К2'!L52)*СПРАВОЧНИК!$I$12+('ФАКТ ЧЕРН К2'!M52)*СПРАВОЧНИК!$J$12)+СПРАВОЧНИК!$E$13*(('ФАКТ ЧЕРН К2'!N52)*СПРАВОЧНИК!$H$13+('ФАКТ ЧЕРН К2'!O52)*СПРАВОЧНИК!$I$13+('ФАКТ ЧЕРН К2'!P52)*СПРАВОЧНИК!$J$13)+СПРАВОЧНИК!$E$14*(('ФАКТ ЧЕРН К2'!Q52)*СПРАВОЧНИК!$H$14+('ФАКТ ЧЕРН К2'!R52)*СПРАВОЧНИК!$I$14+('ФАКТ ЧЕРН К2'!S52)*СПРАВОЧНИК!$J$14)+СПРАВОЧНИК!$E$15*(('ФАКТ ЧЕРН К2'!T52)*СПРАВОЧНИК!$H$15+('ФАКТ ЧЕРН К2'!U52)*СПРАВОЧНИК!$I$15+('ФАКТ ЧЕРН К2'!V52)*СПРАВОЧНИК!$J$15)+СПРАВОЧНИК!$F$9*(('ФАКТ ЧИСТ К2'!B52)*СПРАВОЧНИК!$L$9+('ФАКТ ЧИСТ К2'!C52)*СПРАВОЧНИК!$M$9+('ФАКТ ЧИСТ К2'!D52)*СПРАВОЧНИК!$N$9+('ФАКТ ЧИСТ К2'!E52)*СПРАВОЧНИК!$O$9)+СПРАВОЧНИК!$F$10*(('ФАКТ ЧИСТ К2'!F52)*СПРАВОЧНИК!$L$10+('ФАКТ ЧИСТ К2'!G52)*СПРАВОЧНИК!$M$10+('ФАКТ ЧИСТ К2'!H52)*СПРАВОЧНИК!$N$10)+СПРАВОЧНИК!$F$11*(('ФАКТ ЧИСТ К2'!I52)*СПРАВОЧНИК!$L$11+('ФАКТ ЧИСТ К2'!J52)*СПРАВОЧНИК!$M$11+('ФАКТ ЧИСТ К2'!K52)*СПРАВОЧНИК!$N$11)+СПРАВОЧНИК!$F$12*(('ФАКТ ЧИСТ К2'!L52)*СПРАВОЧНИК!$L$12+('ФАКТ ЧИСТ К2'!M52)*СПРАВОЧНИК!$M$12+('ФАКТ ЧИСТ К2'!N52)*СПРАВОЧНИК!$N$12)+СПРАВОЧНИК!$F$13*(('ФАКТ ЧИСТ К2'!O52)*СПРАВОЧНИК!$L$13+('ФАКТ ЧИСТ К2'!P52)*СПРАВОЧНИК!$M$13+('ФАКТ ЧИСТ К2'!Q52)*СПРАВОЧНИК!$N$13)+СПРАВОЧНИК!$F$14*(('ФАКТ ЧИСТ К2'!R52)*СПРАВОЧНИК!$L$14+('ФАКТ ЧИСТ К2'!S52)*СПРАВОЧНИК!$M$14+('ФАКТ ЧИСТ К2'!T52)*СПРАВОЧНИК!$N$14)+СПРАВОЧНИК!$F$15*(('ФАКТ ЧИСТ К2'!U52)*СПРАВОЧНИК!$L$15+('ФАКТ ЧИСТ К2'!V52)*СПРАВОЧНИК!$M$15+('ФАКТ ЧИСТ К2'!W52)*СПРАВОЧНИК!$N$15)</f>
        <v>0</v>
      </c>
      <c r="AS61" s="18">
        <f t="shared" si="19"/>
        <v>46503</v>
      </c>
      <c r="AT61" s="37">
        <f>'ПЛАН ЧЕРН К2'!B52*СПРАВОЧНИК!$H$9+'ПЛАН ЧЕРН К2'!C52*СПРАВОЧНИК!$I$9+'ПЛАН ЧЕРН К2'!D52*СПРАВОЧНИК!$J$9+'ПЛАН ЧЕРН К2'!E52*СПРАВОЧНИК!$H$10+'ПЛАН ЧЕРН К2'!F52*СПРАВОЧНИК!$I$10+'ПЛАН ЧЕРН К2'!G52*СПРАВОЧНИК!$J$10+'ПЛАН ЧЕРН К2'!H52*СПРАВОЧНИК!$H$11+'ПЛАН ЧЕРН К2'!I52*СПРАВОЧНИК!$I$11+'ПЛАН ЧЕРН К2'!J52*СПРАВОЧНИК!$J$11+'ПЛАН ЧЕРН К2'!K52*СПРАВОЧНИК!$H$12+'ПЛАН ЧЕРН К2'!L52*СПРАВОЧНИК!$I$12+'ПЛАН ЧЕРН К2'!M52*СПРАВОЧНИК!$J$12+'ПЛАН ЧЕРН К2'!N52*СПРАВОЧНИК!$H$13+'ПЛАН ЧЕРН К2'!O52*СПРАВОЧНИК!$I$13+'ПЛАН ЧЕРН К2'!P52*СПРАВОЧНИК!$J$13+'ПЛАН ЧЕРН К2'!Q52*СПРАВОЧНИК!$H$14+'ПЛАН ЧЕРН К2'!R52*СПРАВОЧНИК!$I$14+'ПЛАН ЧЕРН К2'!S52*СПРАВОЧНИК!$J$14+'ПЛАН ЧЕРН К2'!T52*СПРАВОЧНИК!$H$15+'ПЛАН ЧЕРН К2'!U52*СПРАВОЧНИК!$I$15+'ПЛАН ЧЕРН К2'!V52*СПРАВОЧНИК!$J$15</f>
        <v>0</v>
      </c>
      <c r="AU61" s="40">
        <f>('ФАКТ ЧЕРН К2'!B52)*СПРАВОЧНИК!$H$9+('ФАКТ ЧЕРН К2'!C52)*СПРАВОЧНИК!$I$9+('ФАКТ ЧЕРН К2'!D52)*СПРАВОЧНИК!$J$9+('ФАКТ ЧЕРН К2'!E52)*СПРАВОЧНИК!$H$10+('ФАКТ ЧЕРН К2'!F52)*СПРАВОЧНИК!$I$10+('ФАКТ ЧЕРН К2'!G52)*СПРАВОЧНИК!$J$10+('ФАКТ ЧЕРН К2'!H52)*СПРАВОЧНИК!$H$11+('ФАКТ ЧЕРН К2'!I52)*СПРАВОЧНИК!$I$11+('ФАКТ ЧЕРН К2'!J52)*СПРАВОЧНИК!$J$11+('ФАКТ ЧЕРН К2'!K52)*СПРАВОЧНИК!$H$12+('ФАКТ ЧЕРН К2'!L52)*СПРАВОЧНИК!$I$12+('ФАКТ ЧЕРН К2'!M52)*СПРАВОЧНИК!$J$12+('ФАКТ ЧЕРН К2'!N52)*СПРАВОЧНИК!$H$13+('ФАКТ ЧЕРН К2'!O52)*СПРАВОЧНИК!$I$13+('ФАКТ ЧЕРН К2'!P52)*СПРАВОЧНИК!$J$13+('ФАКТ ЧЕРН К2'!Q52)*СПРАВОЧНИК!$H$14+('ФАКТ ЧЕРН К2'!R52)*СПРАВОЧНИК!$I$14+('ФАКТ ЧЕРН К2'!S52)*СПРАВОЧНИК!$J$14+('ФАКТ ЧЕРН К2'!T52)*СПРАВОЧНИК!$H$15+('ФАКТ ЧЕРН К2'!U52)*СПРАВОЧНИК!$I$15+('ФАКТ ЧЕРН К2'!V52)*СПРАВОЧНИК!$J$15</f>
        <v>0</v>
      </c>
      <c r="AY61" s="18">
        <f t="shared" si="20"/>
        <v>46503</v>
      </c>
      <c r="AZ61" s="37">
        <f>'ПЛАН ЧИСТ К2'!B52*СПРАВОЧНИК!$L$9+'ПЛАН ЧИСТ К2'!C52*СПРАВОЧНИК!$M$9+'ПЛАН ЧИСТ К2'!D52*СПРАВОЧНИК!$N$9+'ПЛАН ЧИСТ К2'!E52*СПРАВОЧНИК!$O$9+'ПЛАН ЧИСТ К2'!F52*СПРАВОЧНИК!$L$10+'ПЛАН ЧИСТ К2'!G52*СПРАВОЧНИК!$M$10+'ПЛАН ЧИСТ К2'!H52*СПРАВОЧНИК!$N$10+'ПЛАН ЧИСТ К2'!I52*СПРАВОЧНИК!$L$11+'ПЛАН ЧИСТ К2'!J52*СПРАВОЧНИК!$M$11+'ПЛАН ЧИСТ К2'!K52*СПРАВОЧНИК!$N$11+'ПЛАН ЧИСТ К2'!L52*СПРАВОЧНИК!$L$12+'ПЛАН ЧИСТ К2'!M52*СПРАВОЧНИК!$M$12+'ПЛАН ЧИСТ К2'!N52*СПРАВОЧНИК!$N$12+'ПЛАН ЧИСТ К2'!O52*СПРАВОЧНИК!$L$13+'ПЛАН ЧИСТ К2'!P52*СПРАВОЧНИК!$M$13+'ПЛАН ЧИСТ К2'!Q52*СПРАВОЧНИК!$N$13+'ПЛАН ЧИСТ К2'!R52*СПРАВОЧНИК!$L$14+'ПЛАН ЧИСТ К2'!S52*СПРАВОЧНИК!$M$14+'ПЛАН ЧИСТ К2'!T52*СПРАВОЧНИК!$N$14+'ПЛАН ЧИСТ К2'!U52*СПРАВОЧНИК!$L$15+'ПЛАН ЧИСТ К2'!V52*СПРАВОЧНИК!$M$15+'ПЛАН ЧИСТ К2'!W52*СПРАВОЧНИК!$N$15</f>
        <v>0</v>
      </c>
      <c r="BA61" s="40">
        <f>('ФАКТ ЧИСТ К2'!B52)*СПРАВОЧНИК!$L$9+('ФАКТ ЧИСТ К2'!C52)*СПРАВОЧНИК!$M$9+('ФАКТ ЧИСТ К2'!D52)*СПРАВОЧНИК!$N$9+('ФАКТ ЧИСТ К2'!E52)*СПРАВОЧНИК!$O$9+('ФАКТ ЧИСТ К2'!F52)*СПРАВОЧНИК!$L$10+('ФАКТ ЧИСТ К2'!G52)*СПРАВОЧНИК!$M$10+('ФАКТ ЧИСТ К2'!H52)*СПРАВОЧНИК!$N$10+('ФАКТ ЧИСТ К2'!I52)*СПРАВОЧНИК!$L$11+('ФАКТ ЧИСТ К2'!J52)*СПРАВОЧНИК!$M$11+('ФАКТ ЧИСТ К2'!K52)*СПРАВОЧНИК!$N$11+('ФАКТ ЧИСТ К2'!L52)*СПРАВОЧНИК!$L$12+('ФАКТ ЧИСТ К2'!M52)*СПРАВОЧНИК!$M$12+('ФАКТ ЧИСТ К2'!N52)*СПРАВОЧНИК!$N$12+('ФАКТ ЧИСТ К2'!O52)*СПРАВОЧНИК!$L$13+('ФАКТ ЧИСТ К2'!P52)*СПРАВОЧНИК!$M$13+('ФАКТ ЧИСТ К2'!Q52)*СПРАВОЧНИК!$N$13+('ФАКТ ЧИСТ К2'!R52)*СПРАВОЧНИК!$L$14+('ФАКТ ЧИСТ К2'!S52)*СПРАВОЧНИК!$M$14+('ФАКТ ЧИСТ К2'!T52)*СПРАВОЧНИК!$N$14+('ФАКТ ЧИСТ К2'!U52)*СПРАВОЧНИК!$L$15+('ФАКТ ЧИСТ К2'!V52)*СПРАВОЧНИК!$M$15+('ФАКТ ЧИСТ К2'!W52)*СПРАВОЧНИК!$N$15</f>
        <v>0</v>
      </c>
      <c r="BE61" s="18">
        <f t="shared" si="21"/>
        <v>46503</v>
      </c>
      <c r="BF61" s="37">
        <f>СПРАВОЧНИК!$E$9*('ПЛАН ЧЕРН К3'!B52*СПРАВОЧНИК!$H$9+'ПЛАН ЧЕРН К3'!C52*СПРАВОЧНИК!$I$9+'ПЛАН ЧЕРН К3'!D52*СПРАВОЧНИК!$J$9)+СПРАВОЧНИК!$E$10*('ПЛАН ЧЕРН К3'!E52*СПРАВОЧНИК!$H$10+'ПЛАН ЧЕРН К3'!F52*СПРАВОЧНИК!$I$10+'ПЛАН ЧЕРН К3'!G52*СПРАВОЧНИК!$J$10)+СПРАВОЧНИК!$E$11*('ПЛАН ЧЕРН К3'!H52*СПРАВОЧНИК!$H$11+'ПЛАН ЧЕРН К3'!I52*СПРАВОЧНИК!$I$11+'ПЛАН ЧЕРН К3'!J52*СПРАВОЧНИК!$J$11)+СПРАВОЧНИК!$E$12*('ПЛАН ЧЕРН К3'!K52*СПРАВОЧНИК!$H$12+'ПЛАН ЧЕРН К3'!L52*СПРАВОЧНИК!$I$12+'ПЛАН ЧЕРН К3'!M52*СПРАВОЧНИК!$J$12)+СПРАВОЧНИК!$E$13*('ПЛАН ЧЕРН К3'!N52*СПРАВОЧНИК!$H$13+'ПЛАН ЧЕРН К3'!O52*СПРАВОЧНИК!$I$13+'ПЛАН ЧЕРН К3'!P52*СПРАВОЧНИК!$J$13)+СПРАВОЧНИК!$E$14*('ПЛАН ЧЕРН К3'!Q52*СПРАВОЧНИК!$H$14+'ПЛАН ЧЕРН К3'!R52*СПРАВОЧНИК!$I$14+'ПЛАН ЧЕРН К3'!S52*СПРАВОЧНИК!$J$14)+СПРАВОЧНИК!$E$15*('ПЛАН ЧЕРН К3'!T52*СПРАВОЧНИК!$H$15+'ПЛАН ЧЕРН К3'!U52*СПРАВОЧНИК!$I$15+'ПЛАН ЧЕРН К3'!V52*СПРАВОЧНИК!$J$15)+СПРАВОЧНИК!$F$9*('ПЛАН ЧИСТ К3'!B52*СПРАВОЧНИК!$L$9+'ПЛАН ЧИСТ К3'!C52*СПРАВОЧНИК!$M$9+'ПЛАН ЧИСТ К3'!D52*СПРАВОЧНИК!$N$9+'ПЛАН ЧИСТ К3'!E52*СПРАВОЧНИК!$O$9)+СПРАВОЧНИК!$F$10*('ПЛАН ЧИСТ К3'!F52*СПРАВОЧНИК!$L$10+'ПЛАН ЧИСТ К3'!G52*СПРАВОЧНИК!$M$10+'ПЛАН ЧИСТ К3'!H52*СПРАВОЧНИК!$N$10)+СПРАВОЧНИК!$F$11*('ПЛАН ЧИСТ К3'!I52*СПРАВОЧНИК!$L$11+'ПЛАН ЧИСТ К3'!J52*СПРАВОЧНИК!$M$11+'ПЛАН ЧИСТ К3'!K52*СПРАВОЧНИК!$N$11)+СПРАВОЧНИК!$F$12*('ПЛАН ЧИСТ К3'!L52*СПРАВОЧНИК!$L$12+'ПЛАН ЧИСТ К3'!M52*СПРАВОЧНИК!$M$12+'ПЛАН ЧИСТ К3'!N52*СПРАВОЧНИК!$N$12)+СПРАВОЧНИК!$F$13*('ПЛАН ЧИСТ К3'!O52*СПРАВОЧНИК!$L$13+'ПЛАН ЧИСТ К3'!P52*СПРАВОЧНИК!$M$13+'ПЛАН ЧИСТ К3'!Q52*СПРАВОЧНИК!$N$13)+СПРАВОЧНИК!$F$14*('ПЛАН ЧИСТ К3'!R52*СПРАВОЧНИК!$L$14+'ПЛАН ЧИСТ К3'!S52*СПРАВОЧНИК!$M$14+'ПЛАН ЧИСТ К3'!T52*СПРАВОЧНИК!$N$14)+СПРАВОЧНИК!$F$15*('ПЛАН ЧИСТ К3'!U52*СПРАВОЧНИК!$L$15+'ПЛАН ЧИСТ К3'!V52*СПРАВОЧНИК!$M$15+'ПЛАН ЧИСТ К3'!W52*СПРАВОЧНИК!$N$15)</f>
        <v>0</v>
      </c>
      <c r="BG61" s="40">
        <f>СПРАВОЧНИК!$E$9*(('ФАКТ ЧЕРН К3'!B52)*СПРАВОЧНИК!$H$9+('ФАКТ ЧЕРН К3'!C52)*СПРАВОЧНИК!$I$9+('ФАКТ ЧЕРН К3'!D52)*СПРАВОЧНИК!$J$9)+СПРАВОЧНИК!$E$10*(('ФАКТ ЧЕРН К3'!E52)*СПРАВОЧНИК!$H$10+('ФАКТ ЧЕРН К3'!F52)*СПРАВОЧНИК!$I$10+('ФАКТ ЧЕРН К3'!G52)*СПРАВОЧНИК!$J$10)+СПРАВОЧНИК!$E$11*(('ФАКТ ЧЕРН К3'!H52)*СПРАВОЧНИК!$H$11+('ФАКТ ЧЕРН К3'!I52)*СПРАВОЧНИК!$I$11+('ФАКТ ЧЕРН К3'!J52)*СПРАВОЧНИК!$J$11)+СПРАВОЧНИК!$E$12*(('ФАКТ ЧЕРН К3'!K52)*СПРАВОЧНИК!$H$12+('ФАКТ ЧЕРН К3'!L52)*СПРАВОЧНИК!$I$12+('ФАКТ ЧЕРН К3'!M52)*СПРАВОЧНИК!$J$12)+СПРАВОЧНИК!$E$13*(('ФАКТ ЧЕРН К3'!N52)*СПРАВОЧНИК!$H$13+('ФАКТ ЧЕРН К3'!O52)*СПРАВОЧНИК!$I$13+('ФАКТ ЧЕРН К3'!P52)*СПРАВОЧНИК!$J$13)+СПРАВОЧНИК!$E$14*(('ФАКТ ЧЕРН К3'!Q52)*СПРАВОЧНИК!$H$14+('ФАКТ ЧЕРН К3'!R52)*СПРАВОЧНИК!$I$14+('ФАКТ ЧЕРН К3'!S52)*СПРАВОЧНИК!$J$14)+СПРАВОЧНИК!$E$15*(('ФАКТ ЧЕРН К3'!T52)*СПРАВОЧНИК!$H$15+('ФАКТ ЧЕРН К3'!U52)*СПРАВОЧНИК!$I$15+('ФАКТ ЧЕРН К3'!V52)*СПРАВОЧНИК!$J$15)+СПРАВОЧНИК!$F$9*(('ФАКТ ЧИСТ К3'!B52)*СПРАВОЧНИК!$L$9+('ФАКТ ЧИСТ К3'!C52)*СПРАВОЧНИК!$M$9+('ФАКТ ЧИСТ К3'!D52)*СПРАВОЧНИК!$N$9+('ФАКТ ЧИСТ К3'!E52)*СПРАВОЧНИК!$O$9)+СПРАВОЧНИК!$F$10*(('ФАКТ ЧИСТ К3'!F52)*СПРАВОЧНИК!$L$10+('ФАКТ ЧИСТ К3'!G52)*СПРАВОЧНИК!$M$10+('ФАКТ ЧИСТ К3'!H52)*СПРАВОЧНИК!$N$10)+СПРАВОЧНИК!$F$11*(('ФАКТ ЧИСТ К3'!I52)*СПРАВОЧНИК!$L$11+('ФАКТ ЧИСТ К3'!J52)*СПРАВОЧНИК!$M$11+('ФАКТ ЧИСТ К3'!K52)*СПРАВОЧНИК!$N$11)+СПРАВОЧНИК!$F$12*(('ФАКТ ЧИСТ К3'!L52)*СПРАВОЧНИК!$L$12+('ФАКТ ЧИСТ К3'!M52)*СПРАВОЧНИК!$M$12+('ФАКТ ЧИСТ К3'!N52)*СПРАВОЧНИК!$N$12)+СПРАВОЧНИК!$F$13*(('ФАКТ ЧИСТ К3'!O52)*СПРАВОЧНИК!$L$13+('ФАКТ ЧИСТ К3'!P52)*СПРАВОЧНИК!$M$13+('ФАКТ ЧИСТ К3'!Q52)*СПРАВОЧНИК!$N$13)+СПРАВОЧНИК!$F$14*(('ФАКТ ЧИСТ К3'!R52)*СПРАВОЧНИК!$L$14+('ФАКТ ЧИСТ К3'!S52)*СПРАВОЧНИК!$M$14+('ФАКТ ЧИСТ К3'!T52)*СПРАВОЧНИК!$N$14)+СПРАВОЧНИК!$F$15*(('ФАКТ ЧИСТ К3'!U52)*СПРАВОЧНИК!$L$15+('ФАКТ ЧИСТ К3'!V52)*СПРАВОЧНИК!$M$15+('ФАКТ ЧИСТ К3'!W52)*СПРАВОЧНИК!$N$15)</f>
        <v>0</v>
      </c>
      <c r="BK61" s="18">
        <f t="shared" si="22"/>
        <v>46503</v>
      </c>
      <c r="BL61" s="37">
        <f>'ПЛАН ЧЕРН К3'!B52*СПРАВОЧНИК!$H$9+'ПЛАН ЧЕРН К3'!C52*СПРАВОЧНИК!$I$9+'ПЛАН ЧЕРН К3'!D52*СПРАВОЧНИК!$J$9+'ПЛАН ЧЕРН К3'!E52*СПРАВОЧНИК!$H$10+'ПЛАН ЧЕРН К3'!F52*СПРАВОЧНИК!$I$10+'ПЛАН ЧЕРН К3'!G52*СПРАВОЧНИК!$J$10+'ПЛАН ЧЕРН К3'!H52*СПРАВОЧНИК!$H$11+'ПЛАН ЧЕРН К3'!I52*СПРАВОЧНИК!$I$11+'ПЛАН ЧЕРН К3'!J52*СПРАВОЧНИК!$J$11+'ПЛАН ЧЕРН К3'!K52*СПРАВОЧНИК!$H$12+'ПЛАН ЧЕРН К3'!L52*СПРАВОЧНИК!$I$12+'ПЛАН ЧЕРН К3'!M52*СПРАВОЧНИК!$J$12+'ПЛАН ЧЕРН К3'!N52*СПРАВОЧНИК!$H$13+'ПЛАН ЧЕРН К3'!O52*СПРАВОЧНИК!$I$13+'ПЛАН ЧЕРН К3'!P52*СПРАВОЧНИК!$J$13+'ПЛАН ЧЕРН К3'!Q52*СПРАВОЧНИК!$H$14+'ПЛАН ЧЕРН К3'!R52*СПРАВОЧНИК!$I$14+'ПЛАН ЧЕРН К3'!S52*СПРАВОЧНИК!$J$14+'ПЛАН ЧЕРН К3'!T52*СПРАВОЧНИК!$H$15+'ПЛАН ЧЕРН К3'!U52*СПРАВОЧНИК!$I$15+'ПЛАН ЧЕРН К3'!V52*СПРАВОЧНИК!$J$15</f>
        <v>0</v>
      </c>
      <c r="BM61" s="40">
        <f>('ФАКТ ЧЕРН К3'!B52)*СПРАВОЧНИК!$H$9+('ФАКТ ЧЕРН К3'!C52)*СПРАВОЧНИК!$I$9+('ФАКТ ЧЕРН К3'!D52)*СПРАВОЧНИК!$J$9+('ФАКТ ЧЕРН К3'!E52)*СПРАВОЧНИК!$H$10+('ФАКТ ЧЕРН К3'!F52)*СПРАВОЧНИК!$I$10+('ФАКТ ЧЕРН К3'!G52)*СПРАВОЧНИК!$J$10+('ФАКТ ЧЕРН К3'!H52)*СПРАВОЧНИК!$H$11+('ФАКТ ЧЕРН К3'!I52)*СПРАВОЧНИК!$I$11+('ФАКТ ЧЕРН К3'!J52)*СПРАВОЧНИК!$J$11+('ФАКТ ЧЕРН К3'!K52)*СПРАВОЧНИК!$H$12+('ФАКТ ЧЕРН К3'!L52)*СПРАВОЧНИК!$I$12+('ФАКТ ЧЕРН К3'!M52)*СПРАВОЧНИК!$J$12+('ФАКТ ЧЕРН К3'!N52)*СПРАВОЧНИК!$H$13+('ФАКТ ЧЕРН К3'!O52)*СПРАВОЧНИК!$I$13+('ФАКТ ЧЕРН К3'!P52)*СПРАВОЧНИК!$J$13+('ФАКТ ЧЕРН К3'!Q52)*СПРАВОЧНИК!$H$14+('ФАКТ ЧЕРН К3'!R52)*СПРАВОЧНИК!$I$14+('ФАКТ ЧЕРН К3'!S52)*СПРАВОЧНИК!$J$14+('ФАКТ ЧЕРН К3'!T52)*СПРАВОЧНИК!$H$15+('ФАКТ ЧЕРН К3'!U52)*СПРАВОЧНИК!$I$15+('ФАКТ ЧЕРН К3'!V52)*СПРАВОЧНИК!$J$15</f>
        <v>0</v>
      </c>
      <c r="BQ61" s="18">
        <f t="shared" si="23"/>
        <v>46503</v>
      </c>
      <c r="BR61" s="37">
        <f>'ПЛАН ЧИСТ К3'!B52*СПРАВОЧНИК!$L$9+'ПЛАН ЧИСТ К3'!C52*СПРАВОЧНИК!$M$9+'ПЛАН ЧИСТ К3'!D52*СПРАВОЧНИК!$N$9+'ПЛАН ЧИСТ К3'!E52*СПРАВОЧНИК!$O$9+'ПЛАН ЧИСТ К3'!F52*СПРАВОЧНИК!$L$10+'ПЛАН ЧИСТ К3'!G52*СПРАВОЧНИК!$M$10+'ПЛАН ЧИСТ К3'!H52*СПРАВОЧНИК!$N$10+'ПЛАН ЧИСТ К3'!I52*СПРАВОЧНИК!$L$11+'ПЛАН ЧИСТ К3'!J52*СПРАВОЧНИК!$M$11+'ПЛАН ЧИСТ К3'!K52*СПРАВОЧНИК!$N$11+'ПЛАН ЧИСТ К3'!L52*СПРАВОЧНИК!$L$12+'ПЛАН ЧИСТ К3'!M52*СПРАВОЧНИК!$M$12+'ПЛАН ЧИСТ К3'!N52*СПРАВОЧНИК!$N$12+'ПЛАН ЧИСТ К3'!O52*СПРАВОЧНИК!$L$13+'ПЛАН ЧИСТ К3'!P52*СПРАВОЧНИК!$M$13+'ПЛАН ЧИСТ К3'!Q52*СПРАВОЧНИК!$N$13+'ПЛАН ЧИСТ К3'!R52*СПРАВОЧНИК!$L$14+'ПЛАН ЧИСТ К3'!S52*СПРАВОЧНИК!$M$14+'ПЛАН ЧИСТ К3'!T52*СПРАВОЧНИК!$N$14+'ПЛАН ЧИСТ К3'!U52*СПРАВОЧНИК!$L$15+'ПЛАН ЧИСТ К3'!V52*СПРАВОЧНИК!$M$15+'ПЛАН ЧИСТ К3'!W52*СПРАВОЧНИК!$N$15</f>
        <v>0</v>
      </c>
      <c r="BS61" s="40">
        <f>('ФАКТ ЧИСТ К3'!B52)*СПРАВОЧНИК!$L$9+('ФАКТ ЧИСТ К3'!C52)*СПРАВОЧНИК!$M$9+('ФАКТ ЧИСТ К3'!D52)*СПРАВОЧНИК!$N$9+('ФАКТ ЧИСТ К3'!E52)*СПРАВОЧНИК!$O$9+('ФАКТ ЧИСТ К3'!F52)*СПРАВОЧНИК!$L$10+('ФАКТ ЧИСТ К3'!G52)*СПРАВОЧНИК!$M$10+('ФАКТ ЧИСТ К3'!H52)*СПРАВОЧНИК!$N$10+('ФАКТ ЧИСТ К3'!I52)*СПРАВОЧНИК!$L$11+('ФАКТ ЧИСТ К3'!J52)*СПРАВОЧНИК!$M$11+('ФАКТ ЧИСТ К3'!K52)*СПРАВОЧНИК!$N$11+('ФАКТ ЧИСТ К3'!L52)*СПРАВОЧНИК!$L$12+('ФАКТ ЧИСТ К3'!M52)*СПРАВОЧНИК!$M$12+('ФАКТ ЧИСТ К3'!N52)*СПРАВОЧНИК!$N$12+('ФАКТ ЧИСТ К3'!O52)*СПРАВОЧНИК!$L$13+('ФАКТ ЧИСТ К3'!P52)*СПРАВОЧНИК!$M$13+('ФАКТ ЧИСТ К3'!Q52)*СПРАВОЧНИК!$N$13+('ФАКТ ЧИСТ К3'!R52)*СПРАВОЧНИК!$L$14+('ФАКТ ЧИСТ К3'!S52)*СПРАВОЧНИК!$M$14+('ФАКТ ЧИСТ К3'!T52)*СПРАВОЧНИК!$N$14+('ФАКТ ЧИСТ К3'!U52)*СПРАВОЧНИК!$L$15+('ФАКТ ЧИСТ К3'!V52)*СПРАВОЧНИК!$M$15+('ФАКТ ЧИСТ К3'!W52)*СПРАВОЧНИК!$N$15</f>
        <v>0</v>
      </c>
      <c r="BW61" s="18">
        <f t="shared" si="24"/>
        <v>46503</v>
      </c>
      <c r="BX61" s="37">
        <f t="shared" si="0"/>
        <v>0</v>
      </c>
      <c r="BY61" s="40">
        <f t="shared" si="1"/>
        <v>0</v>
      </c>
      <c r="CC61" s="18">
        <f t="shared" si="25"/>
        <v>46503</v>
      </c>
      <c r="CD61" s="37">
        <f t="shared" si="2"/>
        <v>0</v>
      </c>
      <c r="CE61" s="40">
        <f t="shared" si="3"/>
        <v>0</v>
      </c>
      <c r="CI61" s="18">
        <f t="shared" si="26"/>
        <v>46503</v>
      </c>
      <c r="CJ61" s="37">
        <f t="shared" si="4"/>
        <v>0</v>
      </c>
      <c r="CK61" s="40">
        <f t="shared" si="5"/>
        <v>0</v>
      </c>
      <c r="CO61" s="18">
        <f t="shared" si="27"/>
        <v>46503</v>
      </c>
      <c r="CP61" s="37">
        <f t="shared" si="6"/>
        <v>0</v>
      </c>
      <c r="CQ61" s="40">
        <f t="shared" si="7"/>
        <v>0</v>
      </c>
      <c r="CU61" s="18">
        <f t="shared" si="28"/>
        <v>46503</v>
      </c>
      <c r="CV61" s="37">
        <f t="shared" si="8"/>
        <v>0</v>
      </c>
      <c r="CW61" s="40">
        <f t="shared" si="9"/>
        <v>0</v>
      </c>
      <c r="DA61" s="18">
        <f t="shared" si="29"/>
        <v>46503</v>
      </c>
      <c r="DB61" s="37">
        <f t="shared" si="10"/>
        <v>0</v>
      </c>
      <c r="DC61" s="40">
        <f t="shared" si="11"/>
        <v>0</v>
      </c>
    </row>
  </sheetData>
  <conditionalFormatting sqref="C14:C61">
    <cfRule type="expression" dxfId="0" priority="1">
      <formula>AND(C14&lt;=TODAY(),C14+6&gt;=TODAY())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18</vt:i4>
      </vt:variant>
    </vt:vector>
  </HeadingPairs>
  <TitlesOfParts>
    <vt:vector size="42" baseType="lpstr">
      <vt:lpstr>СПРАВОЧНИК</vt:lpstr>
      <vt:lpstr>ВВОД ПОДЗЕМ</vt:lpstr>
      <vt:lpstr>ВВОД К1</vt:lpstr>
      <vt:lpstr>ВВОД К2</vt:lpstr>
      <vt:lpstr>ВВОД К3</vt:lpstr>
      <vt:lpstr>ПЛАН ЧЕРН ПОДЗЕМ</vt:lpstr>
      <vt:lpstr>ПЛАН ЧИСТ ПОДЗЕМ</vt:lpstr>
      <vt:lpstr>ПЛАН ЧЕРН К1</vt:lpstr>
      <vt:lpstr>ПЛАН ЧИСТ К1</vt:lpstr>
      <vt:lpstr>ПЛАН ЧЕРН К2</vt:lpstr>
      <vt:lpstr>ПЛАН ЧИСТ К2</vt:lpstr>
      <vt:lpstr>ПЛАН ЧЕРН К3</vt:lpstr>
      <vt:lpstr>ПЛАН ЧИСТ К3</vt:lpstr>
      <vt:lpstr>ФАКТ ЧЕРН ПОДЗЕМ</vt:lpstr>
      <vt:lpstr>ФАКТ ЧИСТ ПОДЗЕМ</vt:lpstr>
      <vt:lpstr>ФАКТ ЧЕРН К1</vt:lpstr>
      <vt:lpstr>ФАКТ ЧИСТ К1</vt:lpstr>
      <vt:lpstr>ФАКТ ЧЕРН К2</vt:lpstr>
      <vt:lpstr>ФАКТ ЧИСТ К2</vt:lpstr>
      <vt:lpstr>ФАКТ ЧЕРН К3</vt:lpstr>
      <vt:lpstr>ФАКТ ЧИСТ К3</vt:lpstr>
      <vt:lpstr>ОТЧЕТ</vt:lpstr>
      <vt:lpstr>Лист2</vt:lpstr>
      <vt:lpstr>SIGNAL</vt:lpstr>
      <vt:lpstr>К1_Общий_8_2</vt:lpstr>
      <vt:lpstr>К1_Черновая_8_2</vt:lpstr>
      <vt:lpstr>К1_Чистовая_8_2</vt:lpstr>
      <vt:lpstr>К2_Общий_8_2</vt:lpstr>
      <vt:lpstr>К2_Черновая_8_2</vt:lpstr>
      <vt:lpstr>К2_Чистовая_8_2</vt:lpstr>
      <vt:lpstr>К3_Общий_8_2</vt:lpstr>
      <vt:lpstr>К3_Черновая_8_2</vt:lpstr>
      <vt:lpstr>К3_Чистовая_8_2</vt:lpstr>
      <vt:lpstr>Общая</vt:lpstr>
      <vt:lpstr>Общий_8_1</vt:lpstr>
      <vt:lpstr>Общий_8_2</vt:lpstr>
      <vt:lpstr>Черновая</vt:lpstr>
      <vt:lpstr>Черновая_8_1</vt:lpstr>
      <vt:lpstr>Черновая_8_2</vt:lpstr>
      <vt:lpstr>Чистовая</vt:lpstr>
      <vt:lpstr>Чистовая_8_1</vt:lpstr>
      <vt:lpstr>Чистовая_8_2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Игнатов Игорь Сергеевич</cp:lastModifiedBy>
  <dcterms:created xsi:type="dcterms:W3CDTF">2026-08-10T15:39:40Z</dcterms:created>
  <dcterms:modified xsi:type="dcterms:W3CDTF">2026-08-13T15:39:29Z</dcterms:modified>
</cp:coreProperties>
</file>