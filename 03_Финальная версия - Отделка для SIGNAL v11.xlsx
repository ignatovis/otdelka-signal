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155" yWindow="-21840" windowWidth="38640" windowHeight="21240" tabRatio="909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СПРАВОЧНИК" sheetId="2" state="visible" r:id="rId2"/>
    <sheet xmlns:r="http://schemas.openxmlformats.org/officeDocument/2006/relationships" name="ПЛАН ЧЕРН ПОДЗЕМ" sheetId="3" state="visible" r:id="rId3"/>
    <sheet xmlns:r="http://schemas.openxmlformats.org/officeDocument/2006/relationships" name="ПЛАН ЧИСТ ПОДЗЕМ" sheetId="4" state="visible" r:id="rId4"/>
    <sheet xmlns:r="http://schemas.openxmlformats.org/officeDocument/2006/relationships" name="ПЛАН ЧЕРН К1" sheetId="5" state="visible" r:id="rId5"/>
    <sheet xmlns:r="http://schemas.openxmlformats.org/officeDocument/2006/relationships" name="ПЛАН ЧИСТ К1" sheetId="6" state="visible" r:id="rId6"/>
    <sheet xmlns:r="http://schemas.openxmlformats.org/officeDocument/2006/relationships" name="ПЛАН ЧЕРН К2" sheetId="7" state="visible" r:id="rId7"/>
    <sheet xmlns:r="http://schemas.openxmlformats.org/officeDocument/2006/relationships" name="ПЛАН ЧИСТ К2" sheetId="8" state="visible" r:id="rId8"/>
    <sheet xmlns:r="http://schemas.openxmlformats.org/officeDocument/2006/relationships" name="ПЛАН ЧЕРН К3" sheetId="9" state="visible" r:id="rId9"/>
    <sheet xmlns:r="http://schemas.openxmlformats.org/officeDocument/2006/relationships" name="ПЛАН ЧИСТ К3" sheetId="10" state="visible" r:id="rId10"/>
    <sheet xmlns:r="http://schemas.openxmlformats.org/officeDocument/2006/relationships" name="ФАКТ ЧЕРН ПОДЗЕМ" sheetId="11" state="visible" r:id="rId11"/>
    <sheet xmlns:r="http://schemas.openxmlformats.org/officeDocument/2006/relationships" name="ФАКТ ЧИСТ ПОДЗЕМ" sheetId="12" state="visible" r:id="rId12"/>
    <sheet xmlns:r="http://schemas.openxmlformats.org/officeDocument/2006/relationships" name="ФАКТ ЧЕРН К1" sheetId="13" state="visible" r:id="rId13"/>
    <sheet xmlns:r="http://schemas.openxmlformats.org/officeDocument/2006/relationships" name="ФАКТ ЧИСТ К1" sheetId="14" state="visible" r:id="rId14"/>
    <sheet xmlns:r="http://schemas.openxmlformats.org/officeDocument/2006/relationships" name="ФАКТ ЧЕРН К2" sheetId="15" state="visible" r:id="rId15"/>
    <sheet xmlns:r="http://schemas.openxmlformats.org/officeDocument/2006/relationships" name="ФАКТ ЧИСТ К2" sheetId="16" state="visible" r:id="rId16"/>
    <sheet xmlns:r="http://schemas.openxmlformats.org/officeDocument/2006/relationships" name="ФАКТ ЧЕРН К3" sheetId="17" state="visible" r:id="rId17"/>
    <sheet xmlns:r="http://schemas.openxmlformats.org/officeDocument/2006/relationships" name="ФАКТ ЧИСТ К3" sheetId="18" state="visible" r:id="rId18"/>
    <sheet xmlns:r="http://schemas.openxmlformats.org/officeDocument/2006/relationships" name="ОТЧЕТ" sheetId="19" state="visible" r:id="rId19"/>
    <sheet xmlns:r="http://schemas.openxmlformats.org/officeDocument/2006/relationships" name="SIGNAL" sheetId="20" state="visible" r:id="rId20"/>
  </sheets>
  <definedNames>
    <definedName name="К1_Общий_8_2">SIGNAL!$T:$W</definedName>
    <definedName name="К1_Черновая_8_2">SIGNAL!$Z:$AC</definedName>
    <definedName name="К1_Чистовая_8_2">SIGNAL!$AF:$AI</definedName>
    <definedName name="К2_Общий_8_2">SIGNAL!$AL:$AO</definedName>
    <definedName name="К2_Черновая_8_2">SIGNAL!$AR:$AU</definedName>
    <definedName name="К2_Чистовая_8_2">SIGNAL!$AX:$BA</definedName>
    <definedName name="К3_Общий_8_2">SIGNAL!$BD:$BG</definedName>
    <definedName name="К3_Черновая_8_2">SIGNAL!$BJ:$BM</definedName>
    <definedName name="К3_Чистовая_8_2">SIGNAL!$BP:$BS</definedName>
    <definedName name="Общая">SIGNAL!$CN:$CQ</definedName>
    <definedName name="Общий_8_1">SIGNAL!$B:$E</definedName>
    <definedName name="Общий_8_2">SIGNAL!$BV:$BY</definedName>
    <definedName name="Черновая">SIGNAL!$CT:$CW</definedName>
    <definedName name="Черновая_8_1">SIGNAL!$H:$K</definedName>
    <definedName name="Черновая_8_2">SIGNAL!$CB:$CE</definedName>
    <definedName name="Чистовая">SIGNAL!$CZ:$DC</definedName>
    <definedName name="Чистовая_8_1">SIGNAL!$N:$Q</definedName>
    <definedName name="Чистовая_8_2">SIGNAL!$CH:$CK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.mm\.yyyy"/>
    <numFmt numFmtId="165" formatCode="0.0000"/>
    <numFmt numFmtId="166" formatCode="yyyy\-mm\-dd\ h:mm:ss"/>
    <numFmt numFmtId="167" formatCode="DD.MM.YYYY"/>
  </numFmts>
  <fonts count="21">
    <font>
      <name val="Calibri"/>
      <family val="2"/>
      <color theme="1"/>
      <sz val="11"/>
      <scheme val="minor"/>
    </font>
    <font>
      <name val="Calibri"/>
      <charset val="204"/>
      <family val="2"/>
      <b val="1"/>
      <color rgb="FFFFFFFF"/>
      <sz val="14"/>
    </font>
    <font>
      <name val="Calibri"/>
      <charset val="204"/>
      <family val="2"/>
      <b val="1"/>
      <sz val="11"/>
    </font>
    <font>
      <name val="Calibri"/>
      <charset val="204"/>
      <family val="2"/>
      <b val="1"/>
      <color rgb="FFFFFFFF"/>
      <sz val="12"/>
    </font>
    <font>
      <name val="Calibri"/>
      <charset val="204"/>
      <family val="2"/>
      <b val="1"/>
      <sz val="11"/>
    </font>
    <font>
      <name val="Calibri"/>
      <charset val="204"/>
      <family val="2"/>
      <b val="1"/>
      <i val="1"/>
      <sz val="9"/>
    </font>
    <font>
      <name val="Calibri"/>
      <charset val="204"/>
      <family val="2"/>
      <b val="1"/>
      <color rgb="FFFFFFFF"/>
      <sz val="11"/>
    </font>
    <font>
      <name val="Calibri"/>
      <charset val="204"/>
      <family val="2"/>
      <b val="1"/>
      <i val="1"/>
      <color rgb="FFFF0000"/>
      <sz val="11"/>
    </font>
    <font>
      <name val="Calibri"/>
      <charset val="204"/>
      <family val="2"/>
      <b val="1"/>
      <sz val="12"/>
    </font>
    <font>
      <name val="Calibri"/>
      <charset val="204"/>
      <family val="2"/>
      <b val="1"/>
      <sz val="14"/>
    </font>
    <font>
      <name val="Calibri"/>
      <b val="1"/>
      <color rgb="FF1F4E79"/>
      <sz val="16"/>
    </font>
    <font>
      <name val="Calibri"/>
      <i val="1"/>
      <color rgb="FF666666"/>
      <sz val="10"/>
    </font>
    <font>
      <name val="Calibri"/>
      <b val="1"/>
      <color rgb="FF2E75B6"/>
      <sz val="13"/>
    </font>
    <font>
      <name val="Calibri"/>
      <color rgb="FF333333"/>
      <sz val="10"/>
    </font>
    <font>
      <name val="Calibri"/>
      <b val="1"/>
      <color rgb="FF404040"/>
      <sz val="11"/>
    </font>
    <font>
      <name val="Calibri"/>
      <b val="1"/>
      <color rgb="FFC00000"/>
      <sz val="10"/>
    </font>
    <font>
      <name val="Calibri"/>
      <b val="1"/>
      <color rgb="FF008000"/>
      <sz val="10"/>
    </font>
    <font>
      <name val="Calibri"/>
      <b val="1"/>
      <color rgb="00FFFFFF"/>
      <sz val="11"/>
    </font>
    <font/>
    <font>
      <name val="Calibri"/>
      <b val="1"/>
      <color rgb="00FFFFFF"/>
      <sz val="14"/>
    </font>
    <font>
      <name val="Calibri"/>
      <b val="1"/>
      <sz val="11"/>
    </font>
  </fonts>
  <fills count="22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B4C6E7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C5E0B4"/>
      </patternFill>
    </fill>
    <fill>
      <patternFill patternType="solid">
        <fgColor rgb="FFDAEEF3"/>
      </patternFill>
    </fill>
    <fill>
      <patternFill patternType="solid">
        <fgColor rgb="FFFFF2CC"/>
      </patternFill>
    </fill>
    <fill>
      <patternFill patternType="solid">
        <fgColor rgb="FFEAF0FB"/>
      </patternFill>
    </fill>
    <fill>
      <patternFill patternType="solid">
        <fgColor rgb="FFFFC7CE"/>
      </patternFill>
    </fill>
    <fill>
      <patternFill patternType="solid">
        <fgColor rgb="FFD9D2E9"/>
      </patternFill>
    </fill>
    <fill>
      <patternFill patternType="solid">
        <fgColor rgb="FFB4A7D6"/>
      </patternFill>
    </fill>
    <fill>
      <patternFill patternType="solid">
        <fgColor rgb="FFD6DCE4"/>
      </patternFill>
    </fill>
    <fill>
      <patternFill patternType="solid">
        <fgColor rgb="FFFF0000"/>
        <bgColor indexed="64"/>
      </patternFill>
    </fill>
    <fill>
      <patternFill patternType="solid">
        <fgColor rgb="FFD6E4F0"/>
        <bgColor rgb="FFD6E4F0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004472C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</border>
    <border/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3">
    <xf numFmtId="0" fontId="0" fillId="0" borderId="0" pivotButton="0" quotePrefix="0" xfId="0"/>
    <xf numFmtId="2" fontId="0" fillId="4" borderId="1" pivotButton="0" quotePrefix="0" xfId="0"/>
    <xf numFmtId="164" fontId="0" fillId="5" borderId="1" pivotButton="0" quotePrefix="0" xfId="0"/>
    <xf numFmtId="3" fontId="0" fillId="6" borderId="1" pivotButton="0" quotePrefix="0" xfId="0"/>
    <xf numFmtId="165" fontId="0" fillId="6" borderId="1" pivotButton="0" quotePrefix="0" xfId="0"/>
    <xf numFmtId="165" fontId="0" fillId="5" borderId="1" pivotButton="0" quotePrefix="0" xfId="0"/>
    <xf numFmtId="10" fontId="0" fillId="6" borderId="1" pivotButton="0" quotePrefix="0" xfId="0"/>
    <xf numFmtId="2" fontId="0" fillId="7" borderId="1" pivotButton="0" quotePrefix="0" xfId="0"/>
    <xf numFmtId="0" fontId="4" fillId="0" borderId="1" pivotButton="0" quotePrefix="0" xfId="0"/>
    <xf numFmtId="0" fontId="4" fillId="3" borderId="1" applyAlignment="1" pivotButton="0" quotePrefix="0" xfId="0">
      <alignment horizontal="left" vertical="center" wrapText="1"/>
    </xf>
    <xf numFmtId="3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 wrapText="1"/>
    </xf>
    <xf numFmtId="165" fontId="2" fillId="5" borderId="1" applyAlignment="1" pivotButton="0" quotePrefix="0" xfId="0">
      <alignment horizontal="center" vertical="center" wrapText="1"/>
    </xf>
    <xf numFmtId="10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2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2" fillId="0" borderId="1" pivotButton="0" quotePrefix="0" xfId="0"/>
    <xf numFmtId="165" fontId="2" fillId="5" borderId="1" pivotButton="0" quotePrefix="0" xfId="0"/>
    <xf numFmtId="10" fontId="2" fillId="0" borderId="1" pivotButton="0" quotePrefix="0" xfId="0"/>
    <xf numFmtId="0" fontId="5" fillId="0" borderId="0" applyAlignment="1" pivotButton="0" quotePrefix="0" xfId="0">
      <alignment horizontal="left" vertical="center" wrapText="1"/>
    </xf>
    <xf numFmtId="165" fontId="0" fillId="0" borderId="0" pivotButton="0" quotePrefix="0" xfId="0"/>
    <xf numFmtId="10" fontId="0" fillId="0" borderId="0" pivotButton="0" quotePrefix="0" xfId="0"/>
    <xf numFmtId="0" fontId="4" fillId="8" borderId="1" applyAlignment="1" pivotButton="0" quotePrefix="0" xfId="0">
      <alignment horizontal="center" vertical="center" wrapText="1"/>
    </xf>
    <xf numFmtId="3" fontId="0" fillId="5" borderId="1" pivotButton="0" quotePrefix="0" xfId="0"/>
    <xf numFmtId="3" fontId="2" fillId="6" borderId="1" pivotButton="0" quotePrefix="0" xfId="0"/>
    <xf numFmtId="165" fontId="2" fillId="6" borderId="1" pivotButton="0" quotePrefix="0" xfId="0"/>
    <xf numFmtId="0" fontId="2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4" fontId="0" fillId="11" borderId="1" pivotButton="0" quotePrefix="0" xfId="0"/>
    <xf numFmtId="4" fontId="0" fillId="10" borderId="1" pivotButton="0" quotePrefix="0" xfId="0"/>
    <xf numFmtId="4" fontId="0" fillId="0" borderId="1" pivotButton="0" quotePrefix="0" xfId="0"/>
    <xf numFmtId="4" fontId="0" fillId="6" borderId="1" pivotButton="0" quotePrefix="0" xfId="0"/>
    <xf numFmtId="0" fontId="2" fillId="0" borderId="1" applyAlignment="1" pivotButton="0" quotePrefix="0" xfId="0">
      <alignment horizontal="left" vertical="center" wrapText="1"/>
    </xf>
    <xf numFmtId="2" fontId="0" fillId="6" borderId="1" pivotButton="0" quotePrefix="0" xfId="0"/>
    <xf numFmtId="0" fontId="0" fillId="0" borderId="1" applyAlignment="1" pivotButton="0" quotePrefix="0" xfId="0">
      <alignment horizontal="left" vertical="center" wrapText="1"/>
    </xf>
    <xf numFmtId="2" fontId="0" fillId="0" borderId="0" pivotButton="0" quotePrefix="0" xfId="0"/>
    <xf numFmtId="0" fontId="0" fillId="3" borderId="1" pivotButton="0" quotePrefix="0" xfId="0"/>
    <xf numFmtId="0" fontId="4" fillId="13" borderId="1" pivotButton="0" quotePrefix="0" xfId="0"/>
    <xf numFmtId="0" fontId="4" fillId="13" borderId="1" applyAlignment="1" pivotButton="0" quotePrefix="0" xfId="0">
      <alignment horizontal="left" vertical="center" wrapText="1"/>
    </xf>
    <xf numFmtId="0" fontId="0" fillId="13" borderId="1" pivotButton="0" quotePrefix="0" xfId="0"/>
    <xf numFmtId="165" fontId="2" fillId="13" borderId="1" pivotButton="0" quotePrefix="0" xfId="0"/>
    <xf numFmtId="3" fontId="0" fillId="13" borderId="1" pivotButton="0" quotePrefix="0" xfId="0"/>
    <xf numFmtId="10" fontId="2" fillId="13" borderId="1" pivotButton="0" quotePrefix="0" xfId="0"/>
    <xf numFmtId="0" fontId="4" fillId="8" borderId="1" pivotButton="0" quotePrefix="0" xfId="0"/>
    <xf numFmtId="0" fontId="4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165" fontId="2" fillId="8" borderId="1" pivotButton="0" quotePrefix="0" xfId="0"/>
    <xf numFmtId="3" fontId="0" fillId="8" borderId="1" pivotButton="0" quotePrefix="0" xfId="0"/>
    <xf numFmtId="10" fontId="2" fillId="8" borderId="1" pivotButton="0" quotePrefix="0" xfId="0"/>
    <xf numFmtId="0" fontId="4" fillId="14" borderId="1" pivotButton="0" quotePrefix="0" xfId="0"/>
    <xf numFmtId="0" fontId="8" fillId="14" borderId="1" applyAlignment="1" pivotButton="0" quotePrefix="0" xfId="0">
      <alignment horizontal="left" vertical="center" wrapText="1"/>
    </xf>
    <xf numFmtId="0" fontId="0" fillId="14" borderId="1" pivotButton="0" quotePrefix="0" xfId="0"/>
    <xf numFmtId="3" fontId="8" fillId="14" borderId="1" pivotButton="0" quotePrefix="0" xfId="0"/>
    <xf numFmtId="10" fontId="9" fillId="14" borderId="1" pivotButton="0" quotePrefix="0" xfId="0"/>
    <xf numFmtId="0" fontId="2" fillId="9" borderId="1" applyAlignment="1" pivotButton="0" quotePrefix="0" xfId="0">
      <alignment horizontal="left" vertical="center" wrapText="1"/>
    </xf>
    <xf numFmtId="164" fontId="2" fillId="9" borderId="1" pivotButton="0" quotePrefix="0" xfId="0"/>
    <xf numFmtId="0" fontId="2" fillId="15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0" fillId="7" borderId="1" pivotButton="0" quotePrefix="0" xfId="0"/>
    <xf numFmtId="166" fontId="0" fillId="0" borderId="0" pivotButton="0" quotePrefix="0" xfId="0"/>
    <xf numFmtId="0" fontId="0" fillId="1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2" fontId="0" fillId="16" borderId="1" pivotButton="0" quotePrefix="0" xfId="0"/>
    <xf numFmtId="164" fontId="0" fillId="16" borderId="1" pivotButton="0" quotePrefix="0" xfId="0"/>
    <xf numFmtId="3" fontId="0" fillId="16" borderId="1" pivotButton="0" quotePrefix="0" xfId="0"/>
    <xf numFmtId="165" fontId="0" fillId="16" borderId="1" pivotButton="0" quotePrefix="0" xfId="0"/>
    <xf numFmtId="10" fontId="0" fillId="16" borderId="1" pivotButton="0" quotePrefix="0" xfId="0"/>
    <xf numFmtId="0" fontId="0" fillId="16" borderId="0" pivotButton="0" quotePrefix="0" xfId="0"/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3" fillId="0" borderId="5" applyAlignment="1" pivotButton="0" quotePrefix="0" xfId="0">
      <alignment vertical="top" wrapText="1"/>
    </xf>
    <xf numFmtId="0" fontId="14" fillId="0" borderId="5" applyAlignment="1" pivotButton="0" quotePrefix="0" xfId="0">
      <alignment vertical="top" wrapText="1"/>
    </xf>
    <xf numFmtId="0" fontId="15" fillId="0" borderId="5" applyAlignment="1" pivotButton="0" quotePrefix="0" xfId="0">
      <alignment vertical="top" wrapText="1"/>
    </xf>
    <xf numFmtId="0" fontId="16" fillId="0" borderId="5" applyAlignment="1" pivotButton="0" quotePrefix="0" xfId="0">
      <alignment vertical="top" wrapText="1"/>
    </xf>
    <xf numFmtId="0" fontId="11" fillId="0" borderId="5" applyAlignment="1" pivotButton="0" quotePrefix="0" xfId="0">
      <alignment vertical="top" wrapText="1"/>
    </xf>
    <xf numFmtId="0" fontId="13" fillId="0" borderId="5" applyAlignment="1" pivotButton="0" quotePrefix="0" xfId="0">
      <alignment vertical="top" wrapText="1"/>
    </xf>
    <xf numFmtId="0" fontId="0" fillId="0" borderId="5" pivotButton="0" quotePrefix="0" xfId="0"/>
    <xf numFmtId="0" fontId="11" fillId="19" borderId="5" applyAlignment="1" pivotButton="0" quotePrefix="0" xfId="0">
      <alignment vertical="top" wrapText="1"/>
    </xf>
    <xf numFmtId="0" fontId="0" fillId="19" borderId="5" pivotButton="0" quotePrefix="0" xfId="0"/>
    <xf numFmtId="0" fontId="12" fillId="18" borderId="5" applyAlignment="1" pivotButton="0" quotePrefix="0" xfId="0">
      <alignment vertical="top" wrapText="1"/>
    </xf>
    <xf numFmtId="0" fontId="0" fillId="18" borderId="5" pivotButton="0" quotePrefix="0" xfId="0"/>
    <xf numFmtId="0" fontId="13" fillId="20" borderId="5" applyAlignment="1" pivotButton="0" quotePrefix="0" xfId="0">
      <alignment vertical="top" wrapText="1"/>
    </xf>
    <xf numFmtId="0" fontId="0" fillId="20" borderId="5" pivotButton="0" quotePrefix="0" xfId="0"/>
    <xf numFmtId="0" fontId="15" fillId="0" borderId="5" applyAlignment="1" pivotButton="0" quotePrefix="0" xfId="0">
      <alignment vertical="top" wrapText="1"/>
    </xf>
    <xf numFmtId="0" fontId="11" fillId="17" borderId="5" applyAlignment="1" pivotButton="0" quotePrefix="0" xfId="0">
      <alignment vertical="top" wrapText="1"/>
    </xf>
    <xf numFmtId="0" fontId="0" fillId="17" borderId="5" pivotButton="0" quotePrefix="0" xfId="0"/>
    <xf numFmtId="0" fontId="14" fillId="0" borderId="5" applyAlignment="1" pivotButton="0" quotePrefix="0" xfId="0">
      <alignment vertical="top" wrapText="1"/>
    </xf>
    <xf numFmtId="0" fontId="10" fillId="17" borderId="5" applyAlignment="1" pivotButton="0" quotePrefix="0" xfId="0">
      <alignment vertical="top" wrapText="1"/>
    </xf>
    <xf numFmtId="0" fontId="16" fillId="0" borderId="5" applyAlignment="1" pivotButton="0" quotePrefix="0" xfId="0">
      <alignment vertical="top" wrapText="1"/>
    </xf>
    <xf numFmtId="0" fontId="12" fillId="20" borderId="5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12" borderId="0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17" fillId="21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7" borderId="14" applyAlignment="1" pivotButton="0" quotePrefix="0" xfId="0">
      <alignment horizontal="center" vertical="center"/>
    </xf>
    <xf numFmtId="0" fontId="19" fillId="21" borderId="15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0" fontId="18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167" fontId="18" fillId="0" borderId="14" applyAlignment="1" pivotButton="0" quotePrefix="0" xfId="0">
      <alignment horizontal="center" vertical="center"/>
    </xf>
    <xf numFmtId="0" fontId="18" fillId="0" borderId="14" applyAlignment="1" pivotButton="0" quotePrefix="0" xfId="0">
      <alignment horizontal="center" vertical="center"/>
    </xf>
    <xf numFmtId="0" fontId="19" fillId="21" borderId="0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/>
    </xf>
    <xf numFmtId="3" fontId="0" fillId="6" borderId="14" applyAlignment="1" pivotButton="0" quotePrefix="0" xfId="0">
      <alignment horizontal="center" vertical="center"/>
    </xf>
    <xf numFmtId="4" fontId="0" fillId="6" borderId="14" applyAlignment="1" pivotButton="0" quotePrefix="0" xfId="0">
      <alignment horizontal="center" vertical="center"/>
    </xf>
    <xf numFmtId="10" fontId="0" fillId="6" borderId="14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2" fontId="0" fillId="6" borderId="14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2" fontId="0" fillId="0" borderId="14" applyAlignment="1" pivotButton="0" quotePrefix="0" xfId="0">
      <alignment horizontal="center" vertical="center"/>
    </xf>
    <xf numFmtId="0" fontId="2" fillId="3" borderId="14" applyAlignment="1" pivotButton="0" quotePrefix="0" xfId="0">
      <alignment horizontal="center" vertical="center"/>
    </xf>
    <xf numFmtId="0" fontId="20" fillId="0" borderId="1" pivotButton="0" quotePrefix="0" xfId="0"/>
    <xf numFmtId="2" fontId="17" fillId="21" borderId="14" applyAlignment="1" pivotButton="0" quotePrefix="0" xfId="0">
      <alignment horizontal="center" vertical="center" wrapText="1"/>
    </xf>
    <xf numFmtId="3" fontId="17" fillId="21" borderId="14" applyAlignment="1" pivotButton="0" quotePrefix="0" xfId="0">
      <alignment horizontal="center" vertical="center" wrapText="1"/>
    </xf>
    <xf numFmtId="4" fontId="17" fillId="21" borderId="14" applyAlignment="1" pivotButton="0" quotePrefix="0" xfId="0">
      <alignment horizontal="center" vertical="center" wrapText="1"/>
    </xf>
    <xf numFmtId="10" fontId="17" fillId="21" borderId="14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/>
    </xf>
    <xf numFmtId="0" fontId="4" fillId="13" borderId="14" applyAlignment="1" pivotButton="0" quotePrefix="0" xfId="0">
      <alignment horizontal="center" vertical="center"/>
    </xf>
    <xf numFmtId="0" fontId="0" fillId="13" borderId="14" applyAlignment="1" pivotButton="0" quotePrefix="0" xfId="0">
      <alignment horizontal="center" vertical="center"/>
    </xf>
    <xf numFmtId="3" fontId="0" fillId="13" borderId="14" applyAlignment="1" pivotButton="0" quotePrefix="0" xfId="0">
      <alignment horizontal="center" vertical="center"/>
    </xf>
    <xf numFmtId="10" fontId="2" fillId="13" borderId="14" applyAlignment="1" pivotButton="0" quotePrefix="0" xfId="0">
      <alignment horizontal="center" vertical="center"/>
    </xf>
    <xf numFmtId="0" fontId="4" fillId="8" borderId="14" applyAlignment="1" pivotButton="0" quotePrefix="0" xfId="0">
      <alignment horizontal="center" vertical="center"/>
    </xf>
    <xf numFmtId="0" fontId="0" fillId="8" borderId="14" applyAlignment="1" pivotButton="0" quotePrefix="0" xfId="0">
      <alignment horizontal="center" vertical="center"/>
    </xf>
    <xf numFmtId="165" fontId="2" fillId="8" borderId="14" applyAlignment="1" pivotButton="0" quotePrefix="0" xfId="0">
      <alignment horizontal="center" vertical="center"/>
    </xf>
    <xf numFmtId="3" fontId="0" fillId="8" borderId="14" applyAlignment="1" pivotButton="0" quotePrefix="0" xfId="0">
      <alignment horizontal="center" vertical="center"/>
    </xf>
    <xf numFmtId="10" fontId="2" fillId="8" borderId="14" applyAlignment="1" pivotButton="0" quotePrefix="0" xfId="0">
      <alignment horizontal="center" vertical="center"/>
    </xf>
    <xf numFmtId="167" fontId="0" fillId="0" borderId="0" pivotButton="0" quotePrefix="0" xfId="0"/>
  </cellXfs>
  <cellStyles count="1">
    <cellStyle name="Обычный" xfId="0" builtinId="0"/>
  </cellStyles>
  <dxfs count="87">
    <dxf>
      <fill>
        <patternFill patternType="solid">
          <fgColor rgb="FFFFFF99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omments/comment1.xml><?xml version="1.0" encoding="utf-8"?>
<comments xmlns="http://schemas.openxmlformats.org/spreadsheetml/2006/main">
  <authors>
    <author>Шаблон</author>
  </authors>
  <commentList>
    <comment ref="O2" authorId="0" shapeId="0">
      <text>
        <t>Только для 8.2.1 лобби</t>
      </text>
    </comment>
    <comment ref="R2" authorId="0" shapeId="0">
      <text>
        <t>Введите дату начала работ</t>
      </text>
    </comment>
    <comment ref="S2" authorId="0" shapeId="0">
      <text>
        <t>Введите дату окончания работ</t>
      </text>
    </comment>
    <comment ref="W2" authorId="0" shapeId="0">
      <text>
        <t>По умолчанию = авто.
Можно перезаписать вручную.</t>
      </text>
    </comment>
  </commentList>
</comments>
</file>

<file path=xl/comments/comment2.xml><?xml version="1.0" encoding="utf-8"?>
<comments xmlns="http://schemas.openxmlformats.org/spreadsheetml/2006/main">
  <authors>
    <author>Шаблон</author>
    <author>SIGNAL</author>
  </authors>
  <commentList>
    <comment ref="A2" authorId="0" shapeId="0">
      <text>
        <t>Замените на =TODAY()</t>
      </text>
    </comment>
    <comment ref="B2" authorId="1" shapeId="0">
      <text>
        <t>ИСТИНА = карточка активна.
ЛОЖЬ = скрыта.</t>
      </text>
    </comment>
    <comment ref="B7" authorId="1" shapeId="0">
      <text>
        <t>ИСТИНА = гистограмма.
ЛОЖЬ = линейный график.</t>
      </text>
    </comment>
    <comment ref="B8" authorId="1" shapeId="0">
      <text>
        <t>ИСТИНА = по месяцам.
ЛОЖЬ = понедельно.</t>
      </text>
    </comment>
    <comment ref="B12" authorId="1" shapeId="0">
      <text>
        <t>ИСТИНА = фильтр по дате.
ЛОЖЬ = все данные.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tabColor rgb="FF2E75B6"/>
    <outlinePr summaryBelow="1" summaryRight="1"/>
    <pageSetUpPr/>
  </sheetPr>
  <dimension ref="A1:D166"/>
  <sheetViews>
    <sheetView tabSelected="1" workbookViewId="0">
      <selection activeCell="A1" sqref="A1:D1"/>
    </sheetView>
  </sheetViews>
  <sheetFormatPr baseColWidth="8" defaultRowHeight="15"/>
  <cols>
    <col width="5" customWidth="1" style="102" min="1" max="1"/>
    <col width="55" customWidth="1" style="102" min="2" max="2"/>
    <col width="45" customWidth="1" style="102" min="3" max="3"/>
    <col width="35" customWidth="1" style="102" min="4" max="4"/>
  </cols>
  <sheetData>
    <row r="1">
      <c r="A1" s="98" t="inlineStr">
        <is>
          <t>ИНСТРУКЦИЯ ПО ЗАПОЛНЕНИЮ</t>
        </is>
      </c>
      <c r="B1" s="113" t="n"/>
      <c r="C1" s="113" t="n"/>
      <c r="D1" s="114" t="n"/>
    </row>
    <row r="2">
      <c r="A2" s="95" t="inlineStr">
        <is>
          <t>Отделка для SIGNAL — Пошаговое руководство</t>
        </is>
      </c>
      <c r="B2" s="113" t="n"/>
      <c r="C2" s="113" t="n"/>
      <c r="D2" s="114" t="n"/>
    </row>
    <row r="4">
      <c r="A4" s="90" t="inlineStr">
        <is>
          <t>ОБЗОР СТРУКТУРЫ ФАЙЛА</t>
        </is>
      </c>
      <c r="B4" s="113" t="n"/>
      <c r="C4" s="113" t="n"/>
      <c r="D4" s="114" t="n"/>
    </row>
    <row r="5">
      <c r="A5" s="86" t="n"/>
      <c r="B5" s="97" t="inlineStr">
        <is>
          <t>Лист</t>
        </is>
      </c>
      <c r="C5" s="97" t="inlineStr">
        <is>
          <t>Назначение</t>
        </is>
      </c>
      <c r="D5" s="97" t="inlineStr">
        <is>
          <t>Действия пользователя</t>
        </is>
      </c>
    </row>
    <row r="6">
      <c r="B6" s="86" t="inlineStr">
        <is>
          <t>СПРАВОЧНИК</t>
        </is>
      </c>
      <c r="C6" s="86" t="inlineStr">
        <is>
          <t>Справочник категорий, весов, площадей</t>
        </is>
      </c>
      <c r="D6" s="86" t="inlineStr">
        <is>
          <t>Настроить развесовку и площади</t>
        </is>
      </c>
    </row>
    <row r="7">
      <c r="B7" s="86" t="inlineStr">
        <is>
          <t>ПЛАН ЧЕРН/ЧИСТ *</t>
        </is>
      </c>
      <c r="C7" s="86" t="inlineStr">
        <is>
          <t>Плановые м2 по неделям (сетка)</t>
        </is>
      </c>
      <c r="D7" s="86" t="inlineStr">
        <is>
          <t>Вносить плановые м2</t>
        </is>
      </c>
    </row>
    <row r="8">
      <c r="B8" s="86" t="inlineStr">
        <is>
          <t>ФАКТ ЧЕРН/ЧИСТ *</t>
        </is>
      </c>
      <c r="C8" s="86" t="inlineStr">
        <is>
          <t>Фактические м2 по неделям (сетка)</t>
        </is>
      </c>
      <c r="D8" s="86" t="inlineStr">
        <is>
          <t>Вносить фактические м2</t>
        </is>
      </c>
    </row>
    <row r="9">
      <c r="B9" s="86" t="inlineStr">
        <is>
          <t>ОТЧЕТ</t>
        </is>
      </c>
      <c r="C9" s="86" t="inlineStr">
        <is>
          <t>Сводный отчёт по % выполнения</t>
        </is>
      </c>
      <c r="D9" s="86" t="inlineStr">
        <is>
          <t>Только просмотр (авто)</t>
        </is>
      </c>
    </row>
    <row r="10">
      <c r="B10" s="86" t="inlineStr">
        <is>
          <t>SIGNAL</t>
        </is>
      </c>
      <c r="C10" s="86" t="inlineStr">
        <is>
          <t>Карточки для системы SIGNAL</t>
        </is>
      </c>
      <c r="D10" s="86" t="inlineStr">
        <is>
          <t>Только просмотр (авто)</t>
        </is>
      </c>
    </row>
    <row r="12">
      <c r="A12" s="90" t="inlineStr">
        <is>
          <t>ЭТАП 0: СТРУКТУРА ПРОЕКТА</t>
        </is>
      </c>
      <c r="B12" s="113" t="n"/>
      <c r="C12" s="113" t="n"/>
      <c r="D12" s="114" t="n"/>
    </row>
    <row r="13">
      <c r="A13" s="97" t="inlineStr">
        <is>
          <t>0.1</t>
        </is>
      </c>
      <c r="B13" s="97" t="inlineStr">
        <is>
          <t>Текущая конфигурация:</t>
        </is>
      </c>
      <c r="C13" s="113" t="n"/>
      <c r="D13" s="114" t="n"/>
    </row>
    <row r="14">
      <c r="B14" s="86" t="inlineStr">
        <is>
          <t>Проект рассчитан на фиксированную структуру:</t>
        </is>
      </c>
      <c r="C14" s="113" t="n"/>
      <c r="D14" s="114" t="n"/>
    </row>
    <row r="15">
      <c r="B15" s="86" t="inlineStr">
        <is>
          <t xml:space="preserve">  * ПОДЗЕМ — подземная часть (6 подкатегорий: 8.1.1 - 8.1.6)</t>
        </is>
      </c>
      <c r="C15" s="113" t="n"/>
      <c r="D15" s="114" t="n"/>
    </row>
    <row r="16">
      <c r="B16" s="86" t="inlineStr">
        <is>
          <t xml:space="preserve">  * К1 — корпус 1 (7 подкатегорий: 8.2.1 - 8.2.7)</t>
        </is>
      </c>
      <c r="C16" s="113" t="n"/>
      <c r="D16" s="114" t="n"/>
    </row>
    <row r="17">
      <c r="B17" s="86" t="inlineStr">
        <is>
          <t xml:space="preserve">  * К2 — корпус 2 (аналогично К1)</t>
        </is>
      </c>
      <c r="C17" s="113" t="n"/>
      <c r="D17" s="114" t="n"/>
    </row>
    <row r="18">
      <c r="B18" s="86" t="inlineStr">
        <is>
          <t xml:space="preserve">  * К3 — корпус 3 (аналогично К1)</t>
        </is>
      </c>
      <c r="C18" s="113" t="n"/>
      <c r="D18" s="114" t="n"/>
    </row>
    <row r="19">
      <c r="B19" s="88" t="inlineStr">
        <is>
          <t>Для изменения количества корпусов используйте конструктор (HTML-генератор).</t>
        </is>
      </c>
      <c r="C19" s="113" t="n"/>
      <c r="D19" s="114" t="n"/>
    </row>
    <row r="21">
      <c r="A21" s="90" t="inlineStr">
        <is>
          <t>КАК ОПРЕДЕЛИТЬ ВЕС: МЕТОДИКА</t>
        </is>
      </c>
      <c r="B21" s="113" t="n"/>
      <c r="C21" s="113" t="n"/>
      <c r="D21" s="114" t="n"/>
    </row>
    <row r="22">
      <c r="B22" s="86" t="inlineStr">
        <is>
          <t>Вес — это доля трудозатрат вида работ от общего объёма. Определяется экспертно в 3 шага.</t>
        </is>
      </c>
      <c r="C22" s="113" t="n"/>
      <c r="D22" s="114" t="n"/>
    </row>
    <row r="24">
      <c r="A24" s="97" t="n"/>
      <c r="B24" s="97" t="inlineStr">
        <is>
          <t>Шаг 1. Черновая / Чистовая (столбцы E и F)</t>
        </is>
      </c>
      <c r="C24" s="113" t="n"/>
      <c r="D24" s="114" t="n"/>
    </row>
    <row r="25">
      <c r="B25" s="86" t="inlineStr">
        <is>
          <t>Представьте: всё помещение = 100% работ по отделке.</t>
        </is>
      </c>
      <c r="C25" s="113" t="n"/>
      <c r="D25" s="114" t="n"/>
    </row>
    <row r="26">
      <c r="B26" s="86" t="inlineStr">
        <is>
          <t>Оцените: какую долю общих усилий занимает черновая, а какую чистовая?</t>
        </is>
      </c>
      <c r="C26" s="113" t="n"/>
      <c r="D26" s="114" t="n"/>
    </row>
    <row r="27">
      <c r="B27" s="88" t="inlineStr">
        <is>
          <t>Оценивайте по трудозатратам и длительности, не по стоимости материалов.</t>
        </is>
      </c>
      <c r="C27" s="113" t="n"/>
      <c r="D27" s="114" t="n"/>
    </row>
    <row r="28">
      <c r="B28" s="88" t="inlineStr">
        <is>
          <t>Черновая обычно тяжелее по трудоёмкости (стяжка, штукатурка),</t>
        </is>
      </c>
      <c r="C28" s="113" t="n"/>
      <c r="D28" s="114" t="n"/>
    </row>
    <row r="29">
      <c r="B29" s="88" t="inlineStr">
        <is>
          <t>но чистовая может быть дороже по материалам — это не влияет на вес.</t>
        </is>
      </c>
      <c r="C29" s="113" t="n"/>
      <c r="D29" s="114" t="n"/>
    </row>
    <row r="30">
      <c r="B30" s="94" t="inlineStr">
        <is>
          <t>Пример: Черновая = 0.60, Чистовая = 0.40.  Сумма = 1.00</t>
        </is>
      </c>
      <c r="C30" s="113" t="n"/>
      <c r="D30" s="114" t="n"/>
    </row>
    <row r="32">
      <c r="A32" s="97" t="n"/>
      <c r="B32" s="97" t="inlineStr">
        <is>
          <t>Шаг 2. Пол / Стены / Потолок внутри Черновой (столбцы H, I, J)</t>
        </is>
      </c>
      <c r="C32" s="113" t="n"/>
      <c r="D32" s="114" t="n"/>
    </row>
    <row r="33">
      <c r="B33" s="86" t="inlineStr">
        <is>
          <t>Теперь возьмите только черновую отделку = 100%. Распределите:</t>
        </is>
      </c>
      <c r="C33" s="113" t="n"/>
      <c r="D33" s="114" t="n"/>
    </row>
    <row r="34">
      <c r="B34" s="86" t="inlineStr">
        <is>
          <t xml:space="preserve">  Пол — стяжка, гидроизоляция, выравнивание</t>
        </is>
      </c>
      <c r="C34" s="113" t="n"/>
      <c r="D34" s="114" t="n"/>
    </row>
    <row r="35">
      <c r="B35" s="86" t="inlineStr">
        <is>
          <t xml:space="preserve">  Стены — штукатурка, грунтовка, выравнивание</t>
        </is>
      </c>
      <c r="C35" s="113" t="n"/>
      <c r="D35" s="114" t="n"/>
    </row>
    <row r="36">
      <c r="B36" s="86" t="inlineStr">
        <is>
          <t xml:space="preserve">  Потолок — разводка, выравнивание</t>
        </is>
      </c>
      <c r="C36" s="113" t="n"/>
      <c r="D36" s="114" t="n"/>
    </row>
    <row r="37">
      <c r="B37" s="88" t="inlineStr">
        <is>
          <t>Задайте вопрос: "Бригада работает N дней — сколько дней на пол? стены? потолок?"</t>
        </is>
      </c>
      <c r="C37" s="113" t="n"/>
      <c r="D37" s="114" t="n"/>
    </row>
    <row r="38">
      <c r="B38" s="94" t="inlineStr">
        <is>
          <t>Доля дней = вес. Пример: Пол=0.35, Стены=0.40, Потолок=0.25.  Сумма = 1.00</t>
        </is>
      </c>
      <c r="C38" s="113" t="n"/>
      <c r="D38" s="114" t="n"/>
    </row>
    <row r="40">
      <c r="A40" s="97" t="n"/>
      <c r="B40" s="97" t="inlineStr">
        <is>
          <t>Шаг 3. Пол / Стены / Потолок / Запол. внутри Чистовой (столбцы L, M, N, O)</t>
        </is>
      </c>
      <c r="C40" s="113" t="n"/>
      <c r="D40" s="114" t="n"/>
    </row>
    <row r="41">
      <c r="B41" s="86" t="inlineStr">
        <is>
          <t>Аналогично, чистовая отделка = 100%. Распределите:</t>
        </is>
      </c>
      <c r="C41" s="113" t="n"/>
      <c r="D41" s="114" t="n"/>
    </row>
    <row r="42">
      <c r="B42" s="86" t="inlineStr">
        <is>
          <t xml:space="preserve">  Пол — плитка, ламинат, наливной пол</t>
        </is>
      </c>
      <c r="C42" s="113" t="n"/>
      <c r="D42" s="114" t="n"/>
    </row>
    <row r="43">
      <c r="B43" s="86" t="inlineStr">
        <is>
          <t xml:space="preserve">  Стены — покраска, обои, панели, плитка</t>
        </is>
      </c>
      <c r="C43" s="113" t="n"/>
      <c r="D43" s="114" t="n"/>
    </row>
    <row r="44">
      <c r="B44" s="86" t="inlineStr">
        <is>
          <t xml:space="preserve">  Потолок — подвесной потолок, покраска</t>
        </is>
      </c>
      <c r="C44" s="113" t="n"/>
      <c r="D44" s="114" t="n"/>
    </row>
    <row r="45">
      <c r="B45" s="86" t="inlineStr">
        <is>
          <t xml:space="preserve">  Заполн. проемов — установка дверей, окон, витражей (если есть)</t>
        </is>
      </c>
      <c r="C45" s="113" t="n"/>
      <c r="D45" s="114" t="n"/>
    </row>
    <row r="46">
      <c r="B46" s="88" t="inlineStr">
        <is>
          <t>Если заполн. проемов нет — ставьте O=0, сумма L+M+N = 1.00</t>
        </is>
      </c>
      <c r="C46" s="113" t="n"/>
      <c r="D46" s="114" t="n"/>
    </row>
    <row r="47">
      <c r="B47" s="94" t="inlineStr">
        <is>
          <t>Пример: Пол=0.32, Стены=0.29, Потолок=0.23, Запол.=0.16.  Сумма = 1.00</t>
        </is>
      </c>
      <c r="C47" s="113" t="n"/>
      <c r="D47" s="114" t="n"/>
    </row>
    <row r="49">
      <c r="A49" s="97" t="n"/>
      <c r="B49" s="97" t="inlineStr">
        <is>
          <t>Принцип оценки</t>
        </is>
      </c>
      <c r="C49" s="113" t="n"/>
      <c r="D49" s="114" t="n"/>
    </row>
    <row r="50">
      <c r="B50" s="92" t="inlineStr">
        <is>
          <t>"Если бригада работает на этом помещении N дней,</t>
        </is>
      </c>
      <c r="C50" s="113" t="n"/>
      <c r="D50" s="114" t="n"/>
    </row>
    <row r="51">
      <c r="B51" s="92" t="inlineStr">
        <is>
          <t xml:space="preserve"> сколько дней уйдёт на пол? на стены? на потолок?"</t>
        </is>
      </c>
      <c r="C51" s="113" t="n"/>
      <c r="D51" s="114" t="n"/>
    </row>
    <row r="52">
      <c r="B52" s="92" t="inlineStr">
        <is>
          <t>Доля дней = вес.</t>
        </is>
      </c>
      <c r="C52" s="113" t="n"/>
      <c r="D52" s="114" t="n"/>
    </row>
    <row r="54">
      <c r="A54" s="90" t="inlineStr">
        <is>
          <t>ЭТАП 1: СПРАВОЧНИК — РАЗВЕСОВКА</t>
        </is>
      </c>
      <c r="B54" s="113" t="n"/>
      <c r="C54" s="113" t="n"/>
      <c r="D54" s="114" t="n"/>
    </row>
    <row r="55">
      <c r="A55" s="97" t="inlineStr">
        <is>
          <t>1.1</t>
        </is>
      </c>
      <c r="B55" s="97" t="inlineStr">
        <is>
          <t>Дата начала проекта</t>
        </is>
      </c>
      <c r="C55" s="94" t="inlineStr">
        <is>
          <t>Ячейка СПРАВОЧНИК!B35</t>
        </is>
      </c>
    </row>
    <row r="56">
      <c r="B56" s="86" t="inlineStr">
        <is>
          <t>Первая дата — это дата первого отчёта в SIGNAL, которая входит в период плановых сроков реализации.</t>
        </is>
      </c>
      <c r="C56" s="113" t="n"/>
      <c r="D56" s="114" t="n"/>
    </row>
    <row r="58">
      <c r="A58" s="97" t="inlineStr">
        <is>
          <t>1.2</t>
        </is>
      </c>
      <c r="B58" s="97" t="inlineStr">
        <is>
          <t>Плановые площади (м2)</t>
        </is>
      </c>
      <c r="C58" s="94" t="inlineStr">
        <is>
          <t>Столбец СПРАВОЧНИК!B, строки 3-15</t>
        </is>
      </c>
    </row>
    <row r="59">
      <c r="B59" s="86" t="inlineStr">
        <is>
          <t>Введите общую плановую площадь (м2) для каждой подкатегории отделки.</t>
        </is>
      </c>
      <c r="C59" s="113" t="n"/>
      <c r="D59" s="114" t="n"/>
    </row>
    <row r="60">
      <c r="B60" s="88" t="inlineStr">
        <is>
          <t>Пример: 8.1.1 Парковка = 12500 м2, 8.2.1 Лобби = 3200 м2</t>
        </is>
      </c>
      <c r="C60" s="113" t="n"/>
      <c r="D60" s="114" t="n"/>
    </row>
    <row r="61">
      <c r="B61" s="92" t="inlineStr">
        <is>
          <t>Если подкатегория не применяется в проекте (напр. 8.2.6, 8.2.7) — поставьте 0.</t>
        </is>
      </c>
      <c r="C61" s="113" t="n"/>
      <c r="D61" s="114" t="n"/>
    </row>
    <row r="62">
      <c r="B62" s="88" t="inlineStr">
        <is>
          <t>При плане = 0 все формулы ОТЧЕТ и SIGNAL по этой категории обнулятся автоматически.</t>
        </is>
      </c>
      <c r="C62" s="113" t="n"/>
      <c r="D62" s="114" t="n"/>
    </row>
    <row r="64">
      <c r="A64" s="97" t="inlineStr">
        <is>
          <t>1.3</t>
        </is>
      </c>
      <c r="B64" s="97" t="inlineStr">
        <is>
          <t>Веса черновой / чистовой</t>
        </is>
      </c>
      <c r="C64" s="94" t="inlineStr">
        <is>
          <t>Столбцы СПРАВОЧНИК!E-F, строки 3-15</t>
        </is>
      </c>
    </row>
    <row r="65">
      <c r="B65" s="86" t="inlineStr">
        <is>
          <t>Определите долю черновой (E) и чистовой (F) отделки для каждой подкатегории.</t>
        </is>
      </c>
      <c r="C65" s="113" t="n"/>
      <c r="D65" s="114" t="n"/>
    </row>
    <row r="66">
      <c r="B66" s="92" t="inlineStr">
        <is>
          <t>! Сумма E + F для каждой строки должна равняться 1.0</t>
        </is>
      </c>
      <c r="C66" s="113" t="n"/>
      <c r="D66" s="114" t="n"/>
    </row>
    <row r="67">
      <c r="B67" s="88" t="inlineStr">
        <is>
          <t>Пример: Черновая = 0.60, Чистовая = 0.40 -&gt; сумма = 1.00</t>
        </is>
      </c>
      <c r="C67" s="113" t="n"/>
      <c r="D67" s="114" t="n"/>
    </row>
    <row r="69">
      <c r="A69" s="97" t="inlineStr">
        <is>
          <t>1.4</t>
        </is>
      </c>
      <c r="B69" s="97" t="inlineStr">
        <is>
          <t>Развесовка черновой отделки</t>
        </is>
      </c>
      <c r="C69" s="94" t="inlineStr">
        <is>
          <t>Столбцы СПРАВОЧНИК!H-J, строки 3-15</t>
        </is>
      </c>
    </row>
    <row r="70">
      <c r="B70" s="86" t="inlineStr">
        <is>
          <t>Распределите вес черновой работы по видам:</t>
        </is>
      </c>
      <c r="C70" s="113" t="n"/>
      <c r="D70" s="114" t="n"/>
    </row>
    <row r="71">
      <c r="B71" s="94" t="inlineStr">
        <is>
          <t xml:space="preserve">  H = Пол,  I = Стены,  J = Потолок</t>
        </is>
      </c>
      <c r="C71" s="113" t="n"/>
      <c r="D71" s="114" t="n"/>
    </row>
    <row r="72">
      <c r="B72" s="92" t="inlineStr">
        <is>
          <t>! Сумма H + I + J для каждой строки должна равняться 1.0</t>
        </is>
      </c>
      <c r="C72" s="113" t="n"/>
      <c r="D72" s="114" t="n"/>
    </row>
    <row r="73">
      <c r="B73" s="88" t="inlineStr">
        <is>
          <t>Шаблон (если нет данных): Пол = 0.35, Стены = 0.40, Потолок = 0.25</t>
        </is>
      </c>
      <c r="C73" s="113" t="n"/>
      <c r="D73" s="114" t="n"/>
    </row>
    <row r="75">
      <c r="A75" s="97" t="inlineStr">
        <is>
          <t>1.5</t>
        </is>
      </c>
      <c r="B75" s="97" t="inlineStr">
        <is>
          <t>Развесовка чистовой отделки</t>
        </is>
      </c>
      <c r="C75" s="94" t="inlineStr">
        <is>
          <t>Столбцы СПРАВОЧНИК!L-O, строки 3-15</t>
        </is>
      </c>
    </row>
    <row r="76">
      <c r="B76" s="86" t="inlineStr">
        <is>
          <t>Распределите вес чистовой работы по видам:</t>
        </is>
      </c>
      <c r="C76" s="113" t="n"/>
      <c r="D76" s="114" t="n"/>
    </row>
    <row r="77">
      <c r="B77" s="94" t="inlineStr">
        <is>
          <t xml:space="preserve">  L = Пол,  M = Стены,  N = Потолок,  O = Заполн. проемов</t>
        </is>
      </c>
      <c r="C77" s="113" t="n"/>
      <c r="D77" s="114" t="n"/>
    </row>
    <row r="78">
      <c r="B78" s="92" t="inlineStr">
        <is>
          <t>! Сумма L + M + N + O для каждой строки должна равняться 1.0</t>
        </is>
      </c>
      <c r="C78" s="113" t="n"/>
      <c r="D78" s="114" t="n"/>
    </row>
    <row r="79">
      <c r="B79" s="88" t="inlineStr">
        <is>
          <t>Не все подкатегории имеют "Заполн. проемов". Если O = 0, то сумма L + M + N = 1.0</t>
        </is>
      </c>
      <c r="C79" s="113" t="n"/>
      <c r="D79" s="114" t="n"/>
    </row>
    <row r="80">
      <c r="B80" s="88" t="inlineStr">
        <is>
          <t>Подкатегории с Заполн. проемов: 8.1.1, 8.1.2, 8.1.4, 8.1.5, 8.2.1, 8.2.2, 8.2.4, 8.2.5</t>
        </is>
      </c>
      <c r="C80" s="113" t="n"/>
      <c r="D80" s="114" t="n"/>
    </row>
    <row r="82">
      <c r="A82" s="97" t="inlineStr">
        <is>
          <t>1.6</t>
        </is>
      </c>
      <c r="B82" s="97" t="inlineStr">
        <is>
          <t>Распределение по корпусам</t>
        </is>
      </c>
      <c r="C82" s="94" t="inlineStr">
        <is>
          <t>СПРАВОЧНИК строки 26-30, столбцы I-K</t>
        </is>
      </c>
    </row>
    <row r="83">
      <c r="B83" s="86" t="inlineStr">
        <is>
          <t>Задайте доли распределения надземных подкатегорий (8.2.x) между К1, К2, К3.</t>
        </is>
      </c>
      <c r="C83" s="113" t="n"/>
      <c r="D83" s="114" t="n"/>
    </row>
    <row r="84">
      <c r="B84" s="92" t="inlineStr">
        <is>
          <t>! Сумма долей К1 + К2 + К3 по каждой строке должна = 1.0</t>
        </is>
      </c>
      <c r="C84" s="113" t="n"/>
      <c r="D84" s="114" t="n"/>
    </row>
    <row r="86">
      <c r="A86" s="99" t="inlineStr">
        <is>
          <t>V</t>
        </is>
      </c>
      <c r="B86" s="99" t="inlineStr">
        <is>
          <t>Проверка этапа 1:</t>
        </is>
      </c>
      <c r="C86" s="113" t="n"/>
      <c r="D86" s="114" t="n"/>
    </row>
    <row r="87">
      <c r="B87" s="86" t="inlineStr">
        <is>
          <t xml:space="preserve">  * Строки 21-24 СПРАВОЧНИК: контрольные суммы весов (должны = 1.00)</t>
        </is>
      </c>
      <c r="C87" s="113" t="n"/>
      <c r="D87" s="114" t="n"/>
    </row>
    <row r="88">
      <c r="B88" s="86" t="inlineStr">
        <is>
          <t xml:space="preserve">  * Все площади &gt; 0 для активных категорий</t>
        </is>
      </c>
      <c r="C88" s="113" t="n"/>
      <c r="D88" s="114" t="n"/>
    </row>
    <row r="89">
      <c r="B89" s="86" t="inlineStr">
        <is>
          <t xml:space="preserve">  * Дата начала проекта указана корректно</t>
        </is>
      </c>
      <c r="C89" s="113" t="n"/>
      <c r="D89" s="114" t="n"/>
    </row>
    <row r="91">
      <c r="A91" s="90" t="inlineStr">
        <is>
          <t>ЭТАП 2: ВВОД ДАННЫХ</t>
        </is>
      </c>
      <c r="B91" s="113" t="n"/>
      <c r="C91" s="113" t="n"/>
      <c r="D91" s="114" t="n"/>
    </row>
    <row r="92">
      <c r="A92" s="97" t="inlineStr">
        <is>
          <t>2.1</t>
        </is>
      </c>
      <c r="B92" s="97" t="inlineStr">
        <is>
          <t>Куда вводить данные</t>
        </is>
      </c>
    </row>
    <row r="93">
      <c r="B93" s="86" t="inlineStr">
        <is>
          <t>Данные вводятся напрямую в листы ПЛАН и ФАКТ (по 8 листов: ЧЕРН/ЧИСТ x ПОДЗЕМ/К1/К2/К3).</t>
        </is>
      </c>
      <c r="C93" s="113" t="n"/>
      <c r="D93" s="114" t="n"/>
    </row>
    <row r="94">
      <c r="B94" s="86" t="inlineStr">
        <is>
          <t>ОТЧЕТ и SIGNAL читают данные именно из этих листов — заполняйте их напрямую.</t>
        </is>
      </c>
      <c r="C94" s="113" t="n"/>
      <c r="D94" s="114" t="n"/>
    </row>
    <row r="96">
      <c r="A96" s="97" t="inlineStr">
        <is>
          <t>2.2</t>
        </is>
      </c>
      <c r="B96" s="97" t="inlineStr">
        <is>
          <t>Структура листов ПЛАН / ФАКТ</t>
        </is>
      </c>
    </row>
    <row r="97">
      <c r="B97" s="86" t="inlineStr">
        <is>
          <t>Столбец A — дата недели (заполняется автоматически от даты старта из СПРАВОЧНИК!B35).</t>
        </is>
      </c>
      <c r="C97" s="113" t="n"/>
      <c r="D97" s="114" t="n"/>
    </row>
    <row r="98">
      <c r="B98" s="86" t="inlineStr">
        <is>
          <t>Столбцы B и далее — м2 по подкатегориям, сгруппированные по видам работ:</t>
        </is>
      </c>
      <c r="C98" s="113" t="n"/>
      <c r="D98" s="114" t="n"/>
    </row>
    <row r="99">
      <c r="B99" s="97" t="inlineStr">
        <is>
          <t>Элемент</t>
        </is>
      </c>
      <c r="C99" s="97" t="inlineStr">
        <is>
          <t>Описание</t>
        </is>
      </c>
      <c r="D99" s="97" t="inlineStr">
        <is>
          <t>Действие</t>
        </is>
      </c>
    </row>
    <row r="100">
      <c r="B100" s="86" t="inlineStr">
        <is>
          <t>A - Дата</t>
        </is>
      </c>
      <c r="C100" s="86" t="inlineStr">
        <is>
          <t>Дата недели (авто, +7 дней)</t>
        </is>
      </c>
      <c r="D100" s="85" t="inlineStr">
        <is>
          <t>Не трогать</t>
        </is>
      </c>
    </row>
    <row r="101">
      <c r="B101" s="86" t="inlineStr">
        <is>
          <t>Группа столбцов по категории</t>
        </is>
      </c>
      <c r="C101" s="86" t="inlineStr">
        <is>
          <t>Пол / Стены / Потолок (по 3 столбца на категорию)</t>
        </is>
      </c>
      <c r="D101" s="99" t="inlineStr">
        <is>
          <t>ЗАПОЛНЯТЬ м2</t>
        </is>
      </c>
    </row>
    <row r="102">
      <c r="B102" s="86" t="inlineStr">
        <is>
          <t>Чист: + Заполн. проемов</t>
        </is>
      </c>
      <c r="C102" s="86" t="inlineStr">
        <is>
          <t>Пол / Стены / Потолок / Запол. (по 4 столбца)</t>
        </is>
      </c>
      <c r="D102" s="99" t="inlineStr">
        <is>
          <t>ЗАПОЛНЯТЬ м2</t>
        </is>
      </c>
    </row>
    <row r="103">
      <c r="B103" s="86" t="inlineStr">
        <is>
          <t>Итоговые столбцы (справа)</t>
        </is>
      </c>
      <c r="C103" s="86" t="inlineStr">
        <is>
          <t>Суммы по видам работ</t>
        </is>
      </c>
      <c r="D103" s="85" t="inlineStr">
        <is>
          <t>Авто (формулы)</t>
        </is>
      </c>
    </row>
    <row r="105">
      <c r="A105" s="97" t="inlineStr">
        <is>
          <t>2.3</t>
        </is>
      </c>
      <c r="B105" s="97" t="inlineStr">
        <is>
          <t>Какой лист для чего</t>
        </is>
      </c>
    </row>
    <row r="106">
      <c r="B106" s="97" t="inlineStr">
        <is>
          <t>Лист</t>
        </is>
      </c>
      <c r="C106" s="97" t="inlineStr">
        <is>
          <t>Когда заполнять</t>
        </is>
      </c>
      <c r="D106" s="97" t="inlineStr">
        <is>
          <t>Что вносить</t>
        </is>
      </c>
    </row>
    <row r="107">
      <c r="B107" s="86" t="inlineStr">
        <is>
          <t>ПЛАН ЧЕРН ПОДЗЕМ</t>
        </is>
      </c>
      <c r="C107" s="86" t="inlineStr">
        <is>
          <t>До начала работ (планирование)</t>
        </is>
      </c>
      <c r="D107" s="86" t="inlineStr">
        <is>
          <t>Плановые м2 черновой отделки подзема</t>
        </is>
      </c>
    </row>
    <row r="108">
      <c r="B108" s="86" t="inlineStr">
        <is>
          <t>ПЛАН ЧИСТ ПОДЗЕМ</t>
        </is>
      </c>
      <c r="C108" s="86" t="inlineStr">
        <is>
          <t>До начала работ</t>
        </is>
      </c>
      <c r="D108" s="86" t="inlineStr">
        <is>
          <t>Плановые м2 чистовой отделки подзема</t>
        </is>
      </c>
    </row>
    <row r="109" ht="25.5" customHeight="1" s="102">
      <c r="B109" s="86" t="inlineStr">
        <is>
          <t>ПЛАН ЧЕРН К1/К2/К3</t>
        </is>
      </c>
      <c r="C109" s="86" t="inlineStr">
        <is>
          <t>До начала работ</t>
        </is>
      </c>
      <c r="D109" s="86" t="inlineStr">
        <is>
          <t>Плановые м2 черновой отделки по корпусам</t>
        </is>
      </c>
    </row>
    <row r="110" ht="25.5" customHeight="1" s="102">
      <c r="B110" s="86" t="inlineStr">
        <is>
          <t>ПЛАН ЧИСТ К1/К2/К3</t>
        </is>
      </c>
      <c r="C110" s="86" t="inlineStr">
        <is>
          <t>До начала работ</t>
        </is>
      </c>
      <c r="D110" s="86" t="inlineStr">
        <is>
          <t>Плановые м2 чистовой отделки по корпусам</t>
        </is>
      </c>
    </row>
    <row r="111" ht="25.5" customHeight="1" s="102">
      <c r="B111" s="86" t="inlineStr">
        <is>
          <t>ФАКТ ЧЕРН ПОДЗЕМ</t>
        </is>
      </c>
      <c r="C111" s="86" t="inlineStr">
        <is>
          <t>Еженедельно по факту</t>
        </is>
      </c>
      <c r="D111" s="86" t="inlineStr">
        <is>
          <t>Фактические м2 черновой отделки подзема</t>
        </is>
      </c>
    </row>
    <row r="112" ht="25.5" customHeight="1" s="102">
      <c r="B112" s="86" t="inlineStr">
        <is>
          <t>ФАКТ ЧИСТ ПОДЗЕМ</t>
        </is>
      </c>
      <c r="C112" s="86" t="inlineStr">
        <is>
          <t>Еженедельно по факту</t>
        </is>
      </c>
      <c r="D112" s="86" t="inlineStr">
        <is>
          <t>Фактические м2 чистовой отделки подзема</t>
        </is>
      </c>
    </row>
    <row r="113" ht="25.5" customHeight="1" s="102">
      <c r="B113" s="86" t="inlineStr">
        <is>
          <t>ФАКТ ЧЕРН К1/К2/К3</t>
        </is>
      </c>
      <c r="C113" s="86" t="inlineStr">
        <is>
          <t>Еженедельно по факту</t>
        </is>
      </c>
      <c r="D113" s="86" t="inlineStr">
        <is>
          <t>Фактические м2 черновой отделки по корпусам</t>
        </is>
      </c>
    </row>
    <row r="114" ht="25.5" customHeight="1" s="102">
      <c r="B114" s="86" t="inlineStr">
        <is>
          <t>ФАКТ ЧИСТ К1/К2/К3</t>
        </is>
      </c>
      <c r="C114" s="86" t="inlineStr">
        <is>
          <t>Еженедельно по факту</t>
        </is>
      </c>
      <c r="D114" s="86" t="inlineStr">
        <is>
          <t>Фактические м2 чистовой отделки по корпусам</t>
        </is>
      </c>
    </row>
    <row r="116">
      <c r="A116" s="97" t="inlineStr">
        <is>
          <t>2.4</t>
        </is>
      </c>
      <c r="B116" s="97" t="inlineStr">
        <is>
          <t>Порядок заполнения</t>
        </is>
      </c>
    </row>
    <row r="117">
      <c r="B117" s="86" t="inlineStr">
        <is>
          <t>1. Откройте нужный лист ПЛАН или ФАКТ (по секции и типу: ЧЕРН/ЧИСТ x ПОДЗЕМ/К1/К2/К3)</t>
        </is>
      </c>
      <c r="C117" s="113" t="n"/>
      <c r="D117" s="114" t="n"/>
    </row>
    <row r="118">
      <c r="B118" s="86" t="inlineStr">
        <is>
          <t>2. Найдите строку текущей недели (по дате в столбце A)</t>
        </is>
      </c>
      <c r="C118" s="113" t="n"/>
      <c r="D118" s="114" t="n"/>
    </row>
    <row r="119">
      <c r="B119" s="86" t="inlineStr">
        <is>
          <t>3. Введите м2 в ячейки соответствующих подкатегорий</t>
        </is>
      </c>
      <c r="C119" s="113" t="n"/>
      <c r="D119" s="114" t="n"/>
    </row>
    <row r="120">
      <c r="B120" s="86" t="inlineStr">
        <is>
          <t>4. Данные автоматически попадут в ОТЧЕТ (взвешенный %) и SIGNAL (карточки)</t>
        </is>
      </c>
      <c r="C120" s="113" t="n"/>
      <c r="D120" s="114" t="n"/>
    </row>
    <row r="122">
      <c r="A122" s="90" t="inlineStr">
        <is>
          <t>ЭТАП 3: КОНТРОЛЬ И ОТЧЁТНОСТЬ</t>
        </is>
      </c>
      <c r="B122" s="113" t="n"/>
      <c r="C122" s="113" t="n"/>
      <c r="D122" s="114" t="n"/>
    </row>
    <row r="123">
      <c r="A123" s="97" t="inlineStr">
        <is>
          <t>3.1</t>
        </is>
      </c>
      <c r="B123" s="97" t="inlineStr">
        <is>
          <t>Лист ОТЧЕТ</t>
        </is>
      </c>
    </row>
    <row r="124">
      <c r="B124" s="86" t="inlineStr">
        <is>
          <t>Автоматический сводный отчёт с трёхуровневой иерархией:</t>
        </is>
      </c>
      <c r="C124" s="113" t="n"/>
      <c r="D124" s="114" t="n"/>
    </row>
    <row r="125">
      <c r="B125" s="86" t="inlineStr">
        <is>
          <t xml:space="preserve">  Главная -&gt; Черновая / Чистовая -&gt; Пол / Стены / Потолок / Заполн. проемов</t>
        </is>
      </c>
      <c r="C125" s="113" t="n"/>
      <c r="D125" s="114" t="n"/>
    </row>
    <row r="126">
      <c r="B126" s="86" t="inlineStr">
        <is>
          <t>Столбцы отчёта:</t>
        </is>
      </c>
      <c r="C126" s="113" t="n"/>
      <c r="D126" s="114" t="n"/>
    </row>
    <row r="127">
      <c r="B127" s="86" t="inlineStr">
        <is>
          <t xml:space="preserve">  D = Вес уровня 4 (черн./чист.),  E = Вес уровня 5 (вид работ)</t>
        </is>
      </c>
      <c r="C127" s="113" t="n"/>
      <c r="D127" s="114" t="n"/>
    </row>
    <row r="128">
      <c r="B128" s="86" t="inlineStr">
        <is>
          <t xml:space="preserve">  F = План м2,  G = Факт м2,  H = Факт %,  I = Взвешенный %</t>
        </is>
      </c>
      <c r="C128" s="113" t="n"/>
      <c r="D128" s="114" t="n"/>
    </row>
    <row r="129">
      <c r="B129" s="88" t="inlineStr">
        <is>
          <t>Секция АГРЕГАЦИЯ (внизу): итоги по ПОДЗЕМ, К1, К2, К3 и общий итог проекта.</t>
        </is>
      </c>
      <c r="C129" s="113" t="n"/>
      <c r="D129" s="114" t="n"/>
    </row>
    <row r="131">
      <c r="A131" s="97" t="inlineStr">
        <is>
          <t>3.2</t>
        </is>
      </c>
      <c r="B131" s="97" t="inlineStr">
        <is>
          <t>Лист SIGNAL</t>
        </is>
      </c>
    </row>
    <row r="132">
      <c r="B132" s="86" t="inlineStr">
        <is>
          <t>Карточки формата planFact2 для выгрузки в систему SIGNAL.</t>
        </is>
      </c>
      <c r="C132" s="113" t="n"/>
      <c r="D132" s="114" t="n"/>
    </row>
    <row r="133">
      <c r="B133" s="86" t="inlineStr">
        <is>
          <t>5 блоков: Подзем Общий, Подзем Черн., Подзем Чист., Надзем К1 Общий, Надзем К1 Черн.</t>
        </is>
      </c>
      <c r="C133" s="113" t="n"/>
      <c r="D133" s="114" t="n"/>
    </row>
    <row r="134">
      <c r="B134" s="88" t="inlineStr">
        <is>
          <t>Данные обновляются автоматически при заполнении листов ВВОД.</t>
        </is>
      </c>
      <c r="C134" s="113" t="n"/>
      <c r="D134" s="114" t="n"/>
    </row>
    <row r="136">
      <c r="A136" s="90" t="inlineStr">
        <is>
          <t>СПРАВКА: СТАНДАРТНАЯ (ШАБЛОННАЯ) РАЗВЕСОВКА</t>
        </is>
      </c>
      <c r="B136" s="113" t="n"/>
      <c r="C136" s="113" t="n"/>
      <c r="D136" s="114" t="n"/>
    </row>
    <row r="137">
      <c r="B137" s="86" t="inlineStr">
        <is>
          <t>Если нет точных данных по развесовке, используйте следующие ориентировочные значения:</t>
        </is>
      </c>
      <c r="C137" s="113" t="n"/>
      <c r="D137" s="114" t="n"/>
    </row>
    <row r="139">
      <c r="B139" s="97" t="inlineStr">
        <is>
          <t>Параметр</t>
        </is>
      </c>
      <c r="C139" s="97" t="inlineStr">
        <is>
          <t>Стандартное значение</t>
        </is>
      </c>
      <c r="D139" s="97" t="inlineStr">
        <is>
          <t>Примечание</t>
        </is>
      </c>
    </row>
    <row r="140">
      <c r="B140" s="86" t="inlineStr">
        <is>
          <t>Вес черновой (E)</t>
        </is>
      </c>
      <c r="C140" s="94" t="inlineStr">
        <is>
          <t>0.55 - 0.65</t>
        </is>
      </c>
      <c r="D140" s="85" t="inlineStr">
        <is>
          <t>Зависит от типа помещения</t>
        </is>
      </c>
    </row>
    <row r="141">
      <c r="B141" s="86" t="inlineStr">
        <is>
          <t>Вес чистовой (F)</t>
        </is>
      </c>
      <c r="C141" s="94" t="inlineStr">
        <is>
          <t>0.35 - 0.45</t>
        </is>
      </c>
      <c r="D141" s="85" t="inlineStr">
        <is>
          <t>Дополняет до 1.0</t>
        </is>
      </c>
    </row>
    <row r="142">
      <c r="B142" s="86" t="inlineStr">
        <is>
          <t>Черн: Пол (H)</t>
        </is>
      </c>
      <c r="C142" s="94" t="inlineStr">
        <is>
          <t>0.30 - 0.40</t>
        </is>
      </c>
      <c r="D142" s="85" t="inlineStr">
        <is>
          <t>Стяжка, гидроизоляция</t>
        </is>
      </c>
    </row>
    <row r="143">
      <c r="B143" s="86" t="inlineStr">
        <is>
          <t>Черн: Стены (I)</t>
        </is>
      </c>
      <c r="C143" s="94" t="inlineStr">
        <is>
          <t>0.35 - 0.45</t>
        </is>
      </c>
      <c r="D143" s="85" t="inlineStr">
        <is>
          <t>Штукатурка, выравнивание</t>
        </is>
      </c>
    </row>
    <row r="144">
      <c r="B144" s="86" t="inlineStr">
        <is>
          <t>Черн: Потолок (J)</t>
        </is>
      </c>
      <c r="C144" s="94" t="inlineStr">
        <is>
          <t>0.20 - 0.30</t>
        </is>
      </c>
      <c r="D144" s="85" t="inlineStr">
        <is>
          <t>Выравнивание, разводка</t>
        </is>
      </c>
    </row>
    <row r="145">
      <c r="B145" s="86" t="inlineStr">
        <is>
          <t>Чист: Пол (L)</t>
        </is>
      </c>
      <c r="C145" s="94" t="inlineStr">
        <is>
          <t>0.30 - 0.46</t>
        </is>
      </c>
      <c r="D145" s="85" t="inlineStr">
        <is>
          <t>Плитка, ламинат, наливной</t>
        </is>
      </c>
    </row>
    <row r="146">
      <c r="B146" s="86" t="inlineStr">
        <is>
          <t>Чист: Стены (M)</t>
        </is>
      </c>
      <c r="C146" s="94" t="inlineStr">
        <is>
          <t>0.28 - 0.42</t>
        </is>
      </c>
      <c r="D146" s="85" t="inlineStr">
        <is>
          <t>Покраска, обои, плитка</t>
        </is>
      </c>
    </row>
    <row r="147">
      <c r="B147" s="86" t="inlineStr">
        <is>
          <t>Чист: Потолок (N)</t>
        </is>
      </c>
      <c r="C147" s="94" t="inlineStr">
        <is>
          <t>0.11 - 0.23</t>
        </is>
      </c>
      <c r="D147" s="85" t="inlineStr">
        <is>
          <t>Подвесной, покраска</t>
        </is>
      </c>
    </row>
    <row r="148">
      <c r="B148" s="86" t="inlineStr">
        <is>
          <t>Чист: Запол. проемов (O)</t>
        </is>
      </c>
      <c r="C148" s="94" t="inlineStr">
        <is>
          <t>0.00 - 0.16</t>
        </is>
      </c>
      <c r="D148" s="85" t="inlineStr">
        <is>
          <t>Двери, окна (не все категории)</t>
        </is>
      </c>
    </row>
    <row r="149">
      <c r="B149" s="86" t="inlineStr">
        <is>
          <t>К1 / К2 / К3 доли</t>
        </is>
      </c>
      <c r="C149" s="94" t="inlineStr">
        <is>
          <t>0.33 / 0.33 / 0.34</t>
        </is>
      </c>
      <c r="D149" s="85" t="inlineStr">
        <is>
          <t>Равномерное распределение</t>
        </is>
      </c>
    </row>
    <row r="151">
      <c r="A151" s="100" t="inlineStr">
        <is>
          <t>ЧАСТЫЕ ОШИБКИ</t>
        </is>
      </c>
      <c r="B151" s="113" t="n"/>
      <c r="C151" s="113" t="n"/>
      <c r="D151" s="114" t="n"/>
    </row>
    <row r="152">
      <c r="B152" s="86" t="inlineStr">
        <is>
          <t>X  Сумма весов не равна 1.0</t>
        </is>
      </c>
      <c r="C152" s="86" t="inlineStr">
        <is>
          <t>Проверьте строки 21-24 СПРАВОЧНИК. Все контрольные суммы должны быть 1.00.</t>
        </is>
      </c>
      <c r="D152" s="114" t="n"/>
    </row>
    <row r="153">
      <c r="B153" s="86" t="inlineStr">
        <is>
          <t>X  Ввод данных в ПЛАН/ФАКТ</t>
        </is>
      </c>
      <c r="C153" s="86" t="inlineStr">
        <is>
          <t>Эти листы заполняются формулами. Вводите данные только через листы ВВОД.</t>
        </is>
      </c>
      <c r="D153" s="114" t="n"/>
    </row>
    <row r="154">
      <c r="B154" s="86" t="inlineStr">
        <is>
          <t>X  Пустая дата начала</t>
        </is>
      </c>
      <c r="C154" s="86" t="inlineStr">
        <is>
          <t>Без даты в СПРАВОЧНИК!B35 не работают недельные периоды.</t>
        </is>
      </c>
      <c r="D154" s="114" t="n"/>
    </row>
    <row r="155">
      <c r="B155" s="86" t="inlineStr">
        <is>
          <t>X  Площадь = 0</t>
        </is>
      </c>
      <c r="C155" s="86" t="inlineStr">
        <is>
          <t>Если план м2 = 0, все формулы % выдадут 0. Проверьте столбец B СПРАВОЧНИК.</t>
        </is>
      </c>
      <c r="D155" s="114" t="n"/>
    </row>
    <row r="156">
      <c r="B156" s="86" t="inlineStr">
        <is>
          <t>X  Запол. для категорий без него</t>
        </is>
      </c>
      <c r="C156" s="86" t="inlineStr">
        <is>
          <t>Не все подкатегории имеют O &gt; 0. Проверьте таблицу в п. 1.5.</t>
        </is>
      </c>
      <c r="D156" s="114" t="n"/>
    </row>
    <row r="158">
      <c r="A158" s="90" t="inlineStr">
        <is>
          <t>ПОТОК ДАННЫХ (СХЕМА)</t>
        </is>
      </c>
      <c r="B158" s="113" t="n"/>
      <c r="C158" s="113" t="n"/>
      <c r="D158" s="114" t="n"/>
    </row>
    <row r="159">
      <c r="B159" s="86" t="inlineStr">
        <is>
          <t>СПРАВОЧНИК  (веса, площади, дата старта)</t>
        </is>
      </c>
      <c r="C159" s="113" t="n"/>
      <c r="D159" s="114" t="n"/>
    </row>
    <row r="160">
      <c r="B160" s="86" t="inlineStr">
        <is>
          <t xml:space="preserve">       |</t>
        </is>
      </c>
      <c r="C160" s="113" t="n"/>
      <c r="D160" s="114" t="n"/>
    </row>
    <row r="161">
      <c r="B161" s="86" t="inlineStr">
        <is>
          <t>ПЛАН ЧЕРН/ЧИСТ  (пользователь вносит плановые м2)</t>
        </is>
      </c>
      <c r="C161" s="113" t="n"/>
      <c r="D161" s="114" t="n"/>
    </row>
    <row r="162">
      <c r="B162" s="86" t="inlineStr">
        <is>
          <t>ФАКТ ЧЕРН/ЧИСТ  (пользователь вносит фактические м2)</t>
        </is>
      </c>
      <c r="C162" s="113" t="n"/>
      <c r="D162" s="114" t="n"/>
    </row>
    <row r="163">
      <c r="B163" s="86" t="inlineStr">
        <is>
          <t xml:space="preserve">       |</t>
        </is>
      </c>
      <c r="C163" s="113" t="n"/>
      <c r="D163" s="114" t="n"/>
    </row>
    <row r="164">
      <c r="B164" s="86" t="inlineStr">
        <is>
          <t>ОТЧЕТ  (авто: взвешенный % = ФАКТ / ПЛАН * вес)</t>
        </is>
      </c>
      <c r="C164" s="113" t="n"/>
      <c r="D164" s="114" t="n"/>
    </row>
    <row r="165">
      <c r="B165" s="86" t="inlineStr">
        <is>
          <t xml:space="preserve">       |</t>
        </is>
      </c>
      <c r="C165" s="113" t="n"/>
      <c r="D165" s="114" t="n"/>
    </row>
    <row r="166">
      <c r="B166" s="86" t="inlineStr">
        <is>
          <t>SIGNAL  (авто: карточки planFact2 для выгрузки)</t>
        </is>
      </c>
      <c r="C166" s="113" t="n"/>
      <c r="D166" s="114" t="n"/>
    </row>
  </sheetData>
  <mergeCells count="99">
    <mergeCell ref="B42:D42"/>
    <mergeCell ref="B60:D60"/>
    <mergeCell ref="A122:D122"/>
    <mergeCell ref="B166:D166"/>
    <mergeCell ref="B44:D44"/>
    <mergeCell ref="B34:D34"/>
    <mergeCell ref="B28:D28"/>
    <mergeCell ref="B37:D37"/>
    <mergeCell ref="B84:D84"/>
    <mergeCell ref="B30:D30"/>
    <mergeCell ref="B133:D133"/>
    <mergeCell ref="B80:D80"/>
    <mergeCell ref="B94:D94"/>
    <mergeCell ref="B160:D160"/>
    <mergeCell ref="A54:D54"/>
    <mergeCell ref="B62:D62"/>
    <mergeCell ref="B125:D125"/>
    <mergeCell ref="B72:D72"/>
    <mergeCell ref="B159:D159"/>
    <mergeCell ref="B134:D134"/>
    <mergeCell ref="B56:D56"/>
    <mergeCell ref="B70:D70"/>
    <mergeCell ref="A2:D2"/>
    <mergeCell ref="B43:D43"/>
    <mergeCell ref="B161:D161"/>
    <mergeCell ref="B120:D120"/>
    <mergeCell ref="B98:D98"/>
    <mergeCell ref="B17:D17"/>
    <mergeCell ref="B73:D73"/>
    <mergeCell ref="B88:D88"/>
    <mergeCell ref="B162:D162"/>
    <mergeCell ref="B137:D137"/>
    <mergeCell ref="B19:D19"/>
    <mergeCell ref="B83:D83"/>
    <mergeCell ref="B124:D124"/>
    <mergeCell ref="B36:D36"/>
    <mergeCell ref="B76:D76"/>
    <mergeCell ref="B45:D45"/>
    <mergeCell ref="B126:D126"/>
    <mergeCell ref="B47:D47"/>
    <mergeCell ref="B59:D59"/>
    <mergeCell ref="A136:D136"/>
    <mergeCell ref="B46:D46"/>
    <mergeCell ref="C155:D155"/>
    <mergeCell ref="B14:D14"/>
    <mergeCell ref="A91:D91"/>
    <mergeCell ref="B13:D13"/>
    <mergeCell ref="B78:D78"/>
    <mergeCell ref="B87:D87"/>
    <mergeCell ref="B128:D128"/>
    <mergeCell ref="C152:D152"/>
    <mergeCell ref="B49:D49"/>
    <mergeCell ref="B65:D65"/>
    <mergeCell ref="B164:D164"/>
    <mergeCell ref="B51:D51"/>
    <mergeCell ref="A1:D1"/>
    <mergeCell ref="B41:D41"/>
    <mergeCell ref="B35:D35"/>
    <mergeCell ref="B50:D50"/>
    <mergeCell ref="B163:D163"/>
    <mergeCell ref="B25:D25"/>
    <mergeCell ref="B165:D165"/>
    <mergeCell ref="B66:D66"/>
    <mergeCell ref="A12:D12"/>
    <mergeCell ref="B22:D22"/>
    <mergeCell ref="B93:D93"/>
    <mergeCell ref="A21:D21"/>
    <mergeCell ref="B77:D77"/>
    <mergeCell ref="C154:D154"/>
    <mergeCell ref="B117:D117"/>
    <mergeCell ref="B86:D86"/>
    <mergeCell ref="B67:D67"/>
    <mergeCell ref="B61:D61"/>
    <mergeCell ref="B132:D132"/>
    <mergeCell ref="A4:D4"/>
    <mergeCell ref="C156:D156"/>
    <mergeCell ref="B119:D119"/>
    <mergeCell ref="B29:D29"/>
    <mergeCell ref="B38:D38"/>
    <mergeCell ref="B118:D118"/>
    <mergeCell ref="B127:D127"/>
    <mergeCell ref="B40:D40"/>
    <mergeCell ref="B15:D15"/>
    <mergeCell ref="B24:D24"/>
    <mergeCell ref="B33:D33"/>
    <mergeCell ref="B89:D89"/>
    <mergeCell ref="B79:D79"/>
    <mergeCell ref="B32:D32"/>
    <mergeCell ref="B26:D26"/>
    <mergeCell ref="B97:D97"/>
    <mergeCell ref="B129:D129"/>
    <mergeCell ref="B16:D16"/>
    <mergeCell ref="C153:D153"/>
    <mergeCell ref="A158:D158"/>
    <mergeCell ref="B71:D71"/>
    <mergeCell ref="B18:D18"/>
    <mergeCell ref="B27:D27"/>
    <mergeCell ref="B52:D52"/>
    <mergeCell ref="A151:D1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F5496"/>
    <outlinePr summaryBelow="1" summaryRight="1"/>
    <pageSetUpPr/>
  </sheetPr>
  <dimension ref="A1:X35"/>
  <sheetViews>
    <sheetView workbookViewId="0">
      <pane ySplit="2" topLeftCell="A3" activePane="bottomLeft" state="frozen"/>
      <selection activeCell="A1" sqref="A1:D1"/>
      <selection pane="bottomLeft" activeCell="E37" sqref="E37"/>
    </sheetView>
  </sheetViews>
  <sheetFormatPr baseColWidth="8" defaultRowHeight="15"/>
  <cols>
    <col width="20.140625" bestFit="1" customWidth="1" style="102" min="1" max="1"/>
    <col width="21.7109375" customWidth="1" style="102" min="2" max="2"/>
    <col width="48" customWidth="1" style="102" min="3" max="3"/>
    <col width="14" customWidth="1" style="102" min="4" max="4"/>
    <col width="13" customWidth="1" style="102" min="5" max="16"/>
    <col width="14" customWidth="1" style="102" min="17" max="18"/>
    <col width="12" customWidth="1" style="102" min="19" max="19"/>
    <col width="14" customWidth="1" style="102" min="20" max="20"/>
    <col width="16" customWidth="1" style="102" min="21" max="21"/>
    <col width="13" customWidth="1" style="102" min="22" max="22"/>
    <col width="12" customWidth="1" style="102" min="23" max="23"/>
  </cols>
  <sheetData>
    <row r="1">
      <c r="A1" s="101" t="inlineStr">
        <is>
          <t>СПРАВОЧНИК КАТЕГОРИЙ ОТДЕЛКИ</t>
        </is>
      </c>
    </row>
    <row r="2" ht="29.1" customHeight="1" s="102">
      <c r="A2" s="108" t="inlineStr">
        <is>
          <t>Код</t>
        </is>
      </c>
      <c r="B2" s="108" t="inlineStr">
        <is>
          <t>Часть</t>
        </is>
      </c>
      <c r="C2" s="108" t="inlineStr">
        <is>
          <t>Название</t>
        </is>
      </c>
      <c r="D2" s="108" t="inlineStr">
        <is>
          <t>План м²</t>
        </is>
      </c>
      <c r="E2" s="108" t="inlineStr">
        <is>
          <t>Вес черн.</t>
        </is>
      </c>
      <c r="F2" s="108" t="inlineStr">
        <is>
          <t>Вес чист.</t>
        </is>
      </c>
      <c r="G2" s="108" t="inlineStr">
        <is>
          <t>∑ весов</t>
        </is>
      </c>
      <c r="H2" s="108" t="inlineStr">
        <is>
          <t>Черн:Пол</t>
        </is>
      </c>
      <c r="I2" s="108" t="inlineStr">
        <is>
          <t>Черн:Стены</t>
        </is>
      </c>
      <c r="J2" s="108" t="inlineStr">
        <is>
          <t>Черн:Потолок</t>
        </is>
      </c>
      <c r="K2" s="108" t="inlineStr">
        <is>
          <t>∑ черн.</t>
        </is>
      </c>
      <c r="L2" s="108" t="inlineStr">
        <is>
          <t>Чист:Пол</t>
        </is>
      </c>
      <c r="M2" s="108" t="inlineStr">
        <is>
          <t>Чист:Стены</t>
        </is>
      </c>
      <c r="N2" s="108" t="inlineStr">
        <is>
          <t>Чист:Потолок</t>
        </is>
      </c>
      <c r="O2" s="108" t="inlineStr">
        <is>
          <t>Чист:Запол.</t>
        </is>
      </c>
      <c r="P2" s="115" t="inlineStr">
        <is>
          <t>Чист:Мебл.</t>
        </is>
      </c>
      <c r="Q2" s="108" t="inlineStr">
        <is>
          <t>∑ чист.</t>
        </is>
      </c>
      <c r="R2" s="108" t="inlineStr">
        <is>
          <t>Начало</t>
        </is>
      </c>
      <c r="S2" s="108" t="inlineStr">
        <is>
          <t>Окончание</t>
        </is>
      </c>
      <c r="T2" s="108" t="inlineStr">
        <is>
          <t>Длит.(дни)</t>
        </is>
      </c>
      <c r="U2" s="108" t="inlineStr">
        <is>
          <t>Труд-proxy</t>
        </is>
      </c>
      <c r="V2" s="108" t="inlineStr">
        <is>
          <t>Вес ур.3 (авто)</t>
        </is>
      </c>
      <c r="W2" s="108" t="inlineStr">
        <is>
          <t>Вес ур.3</t>
        </is>
      </c>
      <c r="X2" s="108" t="inlineStr">
        <is>
          <t>Глоб. вес</t>
        </is>
      </c>
    </row>
    <row r="3">
      <c r="A3" s="60" t="inlineStr">
        <is>
          <t>8.1.1</t>
        </is>
      </c>
      <c r="B3" s="60" t="inlineStr">
        <is>
          <t>Подзем.</t>
        </is>
      </c>
      <c r="C3" s="60" t="inlineStr">
        <is>
          <t>Отделка паркинг и рампы</t>
        </is>
      </c>
      <c r="D3" s="60" t="n">
        <v>0</v>
      </c>
      <c r="E3" s="60" t="n">
        <v>0.45</v>
      </c>
      <c r="F3" s="60" t="n">
        <v>0.55</v>
      </c>
      <c r="G3" s="1">
        <f>E3+F3</f>
        <v/>
      </c>
      <c r="H3" s="60" t="n">
        <v>0.38</v>
      </c>
      <c r="I3" s="60" t="n">
        <v>0.41</v>
      </c>
      <c r="J3" s="60" t="n">
        <v>0.21</v>
      </c>
      <c r="K3" s="1">
        <f>SUM(H3:J3)</f>
        <v/>
      </c>
      <c r="L3" s="60" t="n">
        <v>0.46</v>
      </c>
      <c r="M3" s="60" t="n">
        <v>0.3</v>
      </c>
      <c r="N3" s="60" t="n">
        <v>0.12</v>
      </c>
      <c r="O3" s="60" t="n">
        <v>0.12</v>
      </c>
      <c r="P3" s="116" t="n">
        <v>0</v>
      </c>
      <c r="Q3" s="1">
        <f>SUM(L3:P3)</f>
        <v/>
      </c>
      <c r="R3" s="2" t="n"/>
      <c r="S3" s="2" t="n"/>
      <c r="T3" s="3">
        <f>IF(OR(Q3="",R3=""),0,R3-Q3)</f>
        <v/>
      </c>
      <c r="U3" s="3">
        <f>S3*D3</f>
        <v/>
      </c>
      <c r="V3" s="4">
        <f>IFERROR(T3/SUMIF($B$3:$B$15,$B3,$T$3:$T$15),0)</f>
        <v/>
      </c>
      <c r="W3" s="5">
        <f>U3</f>
        <v/>
      </c>
      <c r="X3" s="6">
        <f>V3*IF($B3="Подзем.",$V$18,$V$19)</f>
        <v/>
      </c>
    </row>
    <row r="4">
      <c r="A4" s="60" t="inlineStr">
        <is>
          <t>8.1.2</t>
        </is>
      </c>
      <c r="B4" s="60" t="inlineStr">
        <is>
          <t>Подзем.</t>
        </is>
      </c>
      <c r="C4" s="60" t="inlineStr">
        <is>
          <t>Отделка эвакуац. лестн. клетки подзем.</t>
        </is>
      </c>
      <c r="D4" s="60" t="n">
        <v>0</v>
      </c>
      <c r="E4" s="60" t="n">
        <v>0.33</v>
      </c>
      <c r="F4" s="60" t="n">
        <v>0.67</v>
      </c>
      <c r="G4" s="1">
        <f>E4+F4</f>
        <v/>
      </c>
      <c r="H4" s="60" t="n">
        <v>0.2</v>
      </c>
      <c r="I4" s="60" t="n">
        <v>0.61</v>
      </c>
      <c r="J4" s="60" t="n">
        <v>0.19</v>
      </c>
      <c r="K4" s="1">
        <f>SUM(H4:J4)</f>
        <v/>
      </c>
      <c r="L4" s="60" t="n">
        <v>0.32</v>
      </c>
      <c r="M4" s="60" t="n">
        <v>0.29</v>
      </c>
      <c r="N4" s="60" t="n">
        <v>0.23</v>
      </c>
      <c r="O4" s="60" t="n">
        <v>0.16</v>
      </c>
      <c r="P4" s="116" t="n">
        <v>0</v>
      </c>
      <c r="Q4" s="1">
        <f>SUM(L4:P4)</f>
        <v/>
      </c>
      <c r="R4" s="2" t="n"/>
      <c r="S4" s="2" t="n"/>
      <c r="T4" s="3">
        <f>IF(OR(Q4="",R4=""),0,R4-Q4)</f>
        <v/>
      </c>
      <c r="U4" s="3">
        <f>S4*D4</f>
        <v/>
      </c>
      <c r="V4" s="4">
        <f>IFERROR(T4/SUMIF($B$3:$B$15,$B4,$T$3:$T$15),0)</f>
        <v/>
      </c>
      <c r="W4" s="5">
        <f>U4</f>
        <v/>
      </c>
      <c r="X4" s="6">
        <f>V4*IF($B4="Подзем.",$V$18,$V$19)</f>
        <v/>
      </c>
    </row>
    <row r="5">
      <c r="A5" s="60" t="inlineStr">
        <is>
          <t>8.1.3</t>
        </is>
      </c>
      <c r="B5" s="60" t="inlineStr">
        <is>
          <t>Подзем.</t>
        </is>
      </c>
      <c r="C5" s="60" t="inlineStr">
        <is>
          <t>Лифт. холлы, тамбур-шлюзы подзем.</t>
        </is>
      </c>
      <c r="D5" s="60" t="n">
        <v>0</v>
      </c>
      <c r="E5" s="60" t="n">
        <v>0.4</v>
      </c>
      <c r="F5" s="60" t="n">
        <v>0.6</v>
      </c>
      <c r="G5" s="1">
        <f>E5+F5</f>
        <v/>
      </c>
      <c r="H5" s="60" t="n">
        <v>0.4</v>
      </c>
      <c r="I5" s="60" t="n">
        <v>0.3</v>
      </c>
      <c r="J5" s="60" t="n">
        <v>0.3</v>
      </c>
      <c r="K5" s="1">
        <f>SUM(H5:J5)</f>
        <v/>
      </c>
      <c r="L5" s="60" t="n">
        <v>0.2</v>
      </c>
      <c r="M5" s="60" t="n">
        <v>0.6</v>
      </c>
      <c r="N5" s="60" t="n">
        <v>0.2</v>
      </c>
      <c r="O5" s="60" t="n">
        <v>0</v>
      </c>
      <c r="P5" s="116" t="n">
        <v>0</v>
      </c>
      <c r="Q5" s="1">
        <f>SUM(L5:P5)</f>
        <v/>
      </c>
      <c r="R5" s="2" t="n"/>
      <c r="S5" s="2" t="n"/>
      <c r="T5" s="3">
        <f>IF(OR(Q5="",R5=""),0,R5-Q5)</f>
        <v/>
      </c>
      <c r="U5" s="3">
        <f>S5*D5</f>
        <v/>
      </c>
      <c r="V5" s="4">
        <f>IFERROR(T5/SUMIF($B$3:$B$15,$B5,$T$3:$T$15),0)</f>
        <v/>
      </c>
      <c r="W5" s="5">
        <f>U5</f>
        <v/>
      </c>
      <c r="X5" s="6">
        <f>V5*IF($B5="Подзем.",$V$18,$V$19)</f>
        <v/>
      </c>
    </row>
    <row r="6">
      <c r="A6" s="60" t="inlineStr">
        <is>
          <t>8.1.4</t>
        </is>
      </c>
      <c r="B6" s="60" t="inlineStr">
        <is>
          <t>Подзем.</t>
        </is>
      </c>
      <c r="C6" s="60" t="inlineStr">
        <is>
          <t>Технич. помещения подзем.</t>
        </is>
      </c>
      <c r="D6" s="60" t="n">
        <v>0</v>
      </c>
      <c r="E6" s="60" t="n">
        <v>0.32</v>
      </c>
      <c r="F6" s="60" t="n">
        <v>0.68</v>
      </c>
      <c r="G6" s="1">
        <f>E6+F6</f>
        <v/>
      </c>
      <c r="H6" s="60" t="n">
        <v>0.3</v>
      </c>
      <c r="I6" s="60" t="n">
        <v>0.52</v>
      </c>
      <c r="J6" s="60" t="n">
        <v>0.18</v>
      </c>
      <c r="K6" s="1">
        <f>SUM(H6:J6)</f>
        <v/>
      </c>
      <c r="L6" s="60" t="n">
        <v>0.33</v>
      </c>
      <c r="M6" s="60" t="n">
        <v>0.38</v>
      </c>
      <c r="N6" s="60" t="n">
        <v>0.13</v>
      </c>
      <c r="O6" s="60" t="n">
        <v>0.16</v>
      </c>
      <c r="P6" s="116" t="n">
        <v>0</v>
      </c>
      <c r="Q6" s="1">
        <f>SUM(L6:P6)</f>
        <v/>
      </c>
      <c r="R6" s="2" t="n"/>
      <c r="S6" s="2" t="n"/>
      <c r="T6" s="3">
        <f>IF(OR(Q6="",R6=""),0,R6-Q6)</f>
        <v/>
      </c>
      <c r="U6" s="3">
        <f>S6*D6</f>
        <v/>
      </c>
      <c r="V6" s="4">
        <f>IFERROR(T6/SUMIF($B$3:$B$15,$B6,$T$3:$T$15),0)</f>
        <v/>
      </c>
      <c r="W6" s="5">
        <f>U6</f>
        <v/>
      </c>
      <c r="X6" s="6">
        <f>V6*IF($B6="Подзем.",$V$18,$V$19)</f>
        <v/>
      </c>
    </row>
    <row r="7">
      <c r="A7" s="60" t="inlineStr">
        <is>
          <t>8.1.5</t>
        </is>
      </c>
      <c r="B7" s="60" t="inlineStr">
        <is>
          <t>Подзем.</t>
        </is>
      </c>
      <c r="C7" s="60" t="inlineStr">
        <is>
          <t>Прочие помещения подзем.</t>
        </is>
      </c>
      <c r="D7" s="60" t="n">
        <v>0</v>
      </c>
      <c r="E7" s="60" t="n">
        <v>0.4</v>
      </c>
      <c r="F7" s="60" t="n">
        <v>0.6</v>
      </c>
      <c r="G7" s="1">
        <f>E7+F7</f>
        <v/>
      </c>
      <c r="H7" s="60" t="n">
        <v>0.31</v>
      </c>
      <c r="I7" s="60" t="n">
        <v>0.49</v>
      </c>
      <c r="J7" s="60" t="n">
        <v>0.2</v>
      </c>
      <c r="K7" s="1">
        <f>SUM(H7:J7)</f>
        <v/>
      </c>
      <c r="L7" s="60" t="n">
        <v>0.35</v>
      </c>
      <c r="M7" s="60" t="n">
        <v>0.42</v>
      </c>
      <c r="N7" s="60" t="n">
        <v>0.11</v>
      </c>
      <c r="O7" s="60" t="n">
        <v>0.12</v>
      </c>
      <c r="P7" s="116" t="n">
        <v>0</v>
      </c>
      <c r="Q7" s="1">
        <f>SUM(L7:P7)</f>
        <v/>
      </c>
      <c r="R7" s="2" t="n"/>
      <c r="S7" s="2" t="n"/>
      <c r="T7" s="3">
        <f>IF(OR(Q7="",R7=""),0,R7-Q7)</f>
        <v/>
      </c>
      <c r="U7" s="3">
        <f>S7*D7</f>
        <v/>
      </c>
      <c r="V7" s="4">
        <f>IFERROR(T7/SUMIF($B$3:$B$15,$B7,$T$3:$T$15),0)</f>
        <v/>
      </c>
      <c r="W7" s="5">
        <f>U7</f>
        <v/>
      </c>
      <c r="X7" s="6">
        <f>V7*IF($B7="Подзем.",$V$18,$V$19)</f>
        <v/>
      </c>
    </row>
    <row r="8" customFormat="1" s="71">
      <c r="A8" s="63" t="inlineStr">
        <is>
          <t>8.1.6</t>
        </is>
      </c>
      <c r="B8" s="63" t="inlineStr">
        <is>
          <t>Подзем.</t>
        </is>
      </c>
      <c r="C8" s="63" t="inlineStr">
        <is>
          <t>Коммерч. помещения подзем.</t>
        </is>
      </c>
      <c r="D8" s="63" t="n">
        <v>0</v>
      </c>
      <c r="E8" s="63" t="n">
        <v>0.5</v>
      </c>
      <c r="F8" s="63" t="n">
        <v>0.5</v>
      </c>
      <c r="G8" s="66">
        <f>E8+F8</f>
        <v/>
      </c>
      <c r="H8" s="63" t="n">
        <v>0.3</v>
      </c>
      <c r="I8" s="63" t="n">
        <v>0.6899999999999999</v>
      </c>
      <c r="J8" s="63" t="n">
        <v>0.01</v>
      </c>
      <c r="K8" s="66">
        <f>SUM(H8:J8)</f>
        <v/>
      </c>
      <c r="L8" s="63" t="n">
        <v>0.2</v>
      </c>
      <c r="M8" s="63" t="n">
        <v>0.6</v>
      </c>
      <c r="N8" s="63" t="n">
        <v>0.2</v>
      </c>
      <c r="O8" s="63" t="n">
        <v>0</v>
      </c>
      <c r="P8" s="116" t="n">
        <v>0</v>
      </c>
      <c r="Q8" s="66">
        <f>SUM(L8:P8)</f>
        <v/>
      </c>
      <c r="R8" s="67" t="n"/>
      <c r="S8" s="67" t="n"/>
      <c r="T8" s="68">
        <f>IF(OR(Q8="",R8=""),0,R8-Q8)</f>
        <v/>
      </c>
      <c r="U8" s="68">
        <f>S8*D8</f>
        <v/>
      </c>
      <c r="V8" s="69">
        <f>IFERROR(T8/SUMIF($B$3:$B$15,$B8,$T$3:$T$15),0)</f>
        <v/>
      </c>
      <c r="W8" s="69">
        <f>U8</f>
        <v/>
      </c>
      <c r="X8" s="70">
        <f>V8*IF($B8="Подзем.",$V$18,$V$19)</f>
        <v/>
      </c>
    </row>
    <row r="9">
      <c r="A9" s="61" t="inlineStr">
        <is>
          <t>8.2.1</t>
        </is>
      </c>
      <c r="B9" s="61" t="inlineStr">
        <is>
          <t>Надзем.</t>
        </is>
      </c>
      <c r="C9" s="61" t="inlineStr">
        <is>
          <t>Отделка лобби/гранд-лобби</t>
        </is>
      </c>
      <c r="D9" s="61">
        <f>B28+B29+B30</f>
        <v/>
      </c>
      <c r="E9" s="61" t="n">
        <v>0.4</v>
      </c>
      <c r="F9" s="61" t="n">
        <v>0.6</v>
      </c>
      <c r="G9" s="7">
        <f>E9+F9</f>
        <v/>
      </c>
      <c r="H9" s="61" t="n">
        <v>0.2</v>
      </c>
      <c r="I9" s="61" t="n">
        <v>0.63</v>
      </c>
      <c r="J9" s="61" t="n">
        <v>0.17</v>
      </c>
      <c r="K9" s="7">
        <f>SUM(H9:J9)</f>
        <v/>
      </c>
      <c r="L9" s="61" t="n">
        <v>0.14</v>
      </c>
      <c r="M9" s="61" t="n">
        <v>0.41</v>
      </c>
      <c r="N9" s="61" t="n">
        <v>0.36</v>
      </c>
      <c r="O9" s="117" t="n">
        <v>0</v>
      </c>
      <c r="P9" s="116" t="n">
        <v>0.09</v>
      </c>
      <c r="Q9" s="7">
        <f>SUM(L9:P9)</f>
        <v/>
      </c>
      <c r="R9" s="2" t="n"/>
      <c r="S9" s="2" t="n"/>
      <c r="T9" s="3">
        <f>IF(OR(Q9="",R9=""),0,R9-Q9)</f>
        <v/>
      </c>
      <c r="U9" s="3">
        <f>S9*D9</f>
        <v/>
      </c>
      <c r="V9" s="4">
        <f>IFERROR(T9/SUMIF($B$3:$B$15,$B9,$T$3:$T$15),0)</f>
        <v/>
      </c>
      <c r="W9" s="5">
        <f>U9</f>
        <v/>
      </c>
      <c r="X9" s="6">
        <f>V9*IF($B9="Подзем.",$V$18,$V$19)</f>
        <v/>
      </c>
    </row>
    <row r="10">
      <c r="A10" s="61" t="inlineStr">
        <is>
          <t>8.2.2</t>
        </is>
      </c>
      <c r="B10" s="61" t="inlineStr">
        <is>
          <t>Надзем.</t>
        </is>
      </c>
      <c r="C10" s="61" t="inlineStr">
        <is>
          <t>Отделка эвакуац. лестн. клетки надзем.</t>
        </is>
      </c>
      <c r="D10" s="61">
        <f>C28+C29+C30</f>
        <v/>
      </c>
      <c r="E10" s="61" t="n">
        <v>0.33</v>
      </c>
      <c r="F10" s="61" t="n">
        <v>0.67</v>
      </c>
      <c r="G10" s="7">
        <f>E10+F10</f>
        <v/>
      </c>
      <c r="H10" s="61" t="n">
        <v>0.2</v>
      </c>
      <c r="I10" s="61" t="n">
        <v>0.61</v>
      </c>
      <c r="J10" s="61" t="n">
        <v>0.19</v>
      </c>
      <c r="K10" s="7">
        <f>SUM(H10:J10)</f>
        <v/>
      </c>
      <c r="L10" s="61" t="n">
        <v>0.32</v>
      </c>
      <c r="M10" s="61" t="n">
        <v>0.29</v>
      </c>
      <c r="N10" s="61" t="n">
        <v>0.23</v>
      </c>
      <c r="O10" s="61" t="n">
        <v>0.16</v>
      </c>
      <c r="P10" s="116" t="n">
        <v>0</v>
      </c>
      <c r="Q10" s="7">
        <f>SUM(L10:P10)</f>
        <v/>
      </c>
      <c r="R10" s="2" t="n"/>
      <c r="S10" s="2" t="n"/>
      <c r="T10" s="3">
        <f>IF(OR(Q10="",R10=""),0,R10-Q10)</f>
        <v/>
      </c>
      <c r="U10" s="3">
        <f>S10*D10</f>
        <v/>
      </c>
      <c r="V10" s="4">
        <f>IFERROR(T10/SUMIF($B$3:$B$15,$B10,$T$3:$T$15),0)</f>
        <v/>
      </c>
      <c r="W10" s="5">
        <f>U10</f>
        <v/>
      </c>
      <c r="X10" s="6">
        <f>V10*IF($B10="Подзем.",$V$18,$V$19)</f>
        <v/>
      </c>
    </row>
    <row r="11">
      <c r="A11" s="61" t="inlineStr">
        <is>
          <t>8.2.3</t>
        </is>
      </c>
      <c r="B11" s="61" t="inlineStr">
        <is>
          <t>Надзем.</t>
        </is>
      </c>
      <c r="C11" s="61" t="inlineStr">
        <is>
          <t>Лифт. холлы, тамбур-шлюзы надзем.</t>
        </is>
      </c>
      <c r="D11" s="61">
        <f>D28+D29+D30</f>
        <v/>
      </c>
      <c r="E11" s="61" t="n">
        <v>0.4</v>
      </c>
      <c r="F11" s="61" t="n">
        <v>0.6</v>
      </c>
      <c r="G11" s="7">
        <f>E11+F11</f>
        <v/>
      </c>
      <c r="H11" s="61" t="n">
        <v>0.4</v>
      </c>
      <c r="I11" s="61" t="n">
        <v>0.3</v>
      </c>
      <c r="J11" s="61" t="n">
        <v>0.3</v>
      </c>
      <c r="K11" s="7">
        <f>SUM(H11:J11)</f>
        <v/>
      </c>
      <c r="L11" s="61" t="n">
        <v>0.2</v>
      </c>
      <c r="M11" s="61" t="n">
        <v>0.6</v>
      </c>
      <c r="N11" s="61" t="n">
        <v>0.2</v>
      </c>
      <c r="O11" s="61" t="n">
        <v>0</v>
      </c>
      <c r="P11" s="116" t="n">
        <v>0</v>
      </c>
      <c r="Q11" s="7">
        <f>SUM(L11:P11)</f>
        <v/>
      </c>
      <c r="R11" s="2" t="n"/>
      <c r="S11" s="2" t="n"/>
      <c r="T11" s="3">
        <f>IF(OR(Q11="",R11=""),0,R11-Q11)</f>
        <v/>
      </c>
      <c r="U11" s="3">
        <f>S11*D11</f>
        <v/>
      </c>
      <c r="V11" s="4">
        <f>IFERROR(T11/SUMIF($B$3:$B$15,$B11,$T$3:$T$15),0)</f>
        <v/>
      </c>
      <c r="W11" s="5">
        <f>U11</f>
        <v/>
      </c>
      <c r="X11" s="6">
        <f>V11*IF($B11="Подзем.",$V$18,$V$19)</f>
        <v/>
      </c>
    </row>
    <row r="12">
      <c r="A12" s="61" t="inlineStr">
        <is>
          <t>8.2.4</t>
        </is>
      </c>
      <c r="B12" s="61" t="inlineStr">
        <is>
          <t>Надзем.</t>
        </is>
      </c>
      <c r="C12" s="61" t="inlineStr">
        <is>
          <t>Технич. помещения надзем.</t>
        </is>
      </c>
      <c r="D12" s="61">
        <f>E28+E29+E30</f>
        <v/>
      </c>
      <c r="E12" s="61" t="n">
        <v>0.32</v>
      </c>
      <c r="F12" s="61" t="n">
        <v>0.68</v>
      </c>
      <c r="G12" s="7">
        <f>E12+F12</f>
        <v/>
      </c>
      <c r="H12" s="61" t="n">
        <v>0.3</v>
      </c>
      <c r="I12" s="61" t="n">
        <v>0.52</v>
      </c>
      <c r="J12" s="61" t="n">
        <v>0.18</v>
      </c>
      <c r="K12" s="7">
        <f>SUM(H12:J12)</f>
        <v/>
      </c>
      <c r="L12" s="61" t="n">
        <v>0.33</v>
      </c>
      <c r="M12" s="61" t="n">
        <v>0.38</v>
      </c>
      <c r="N12" s="61" t="n">
        <v>0.13</v>
      </c>
      <c r="O12" s="61" t="n">
        <v>0.16</v>
      </c>
      <c r="P12" s="116" t="n">
        <v>0</v>
      </c>
      <c r="Q12" s="7">
        <f>SUM(L12:P12)</f>
        <v/>
      </c>
      <c r="R12" s="2" t="n"/>
      <c r="S12" s="2" t="n"/>
      <c r="T12" s="3">
        <f>IF(OR(Q12="",R12=""),0,R12-Q12)</f>
        <v/>
      </c>
      <c r="U12" s="3">
        <f>S12*D12</f>
        <v/>
      </c>
      <c r="V12" s="4">
        <f>IFERROR(T12/SUMIF($B$3:$B$15,$B12,$T$3:$T$15),0)</f>
        <v/>
      </c>
      <c r="W12" s="5">
        <f>U12</f>
        <v/>
      </c>
      <c r="X12" s="6">
        <f>V12*IF($B12="Подзем.",$V$18,$V$19)</f>
        <v/>
      </c>
    </row>
    <row r="13">
      <c r="A13" s="61" t="inlineStr">
        <is>
          <t>8.2.5</t>
        </is>
      </c>
      <c r="B13" s="61" t="inlineStr">
        <is>
          <t>Надзем.</t>
        </is>
      </c>
      <c r="C13" s="61" t="inlineStr">
        <is>
          <t>Прочие помещения надзем.</t>
        </is>
      </c>
      <c r="D13" s="61">
        <f>F28+F29+F30</f>
        <v/>
      </c>
      <c r="E13" s="61" t="n">
        <v>0.4</v>
      </c>
      <c r="F13" s="61" t="n">
        <v>0.6</v>
      </c>
      <c r="G13" s="7">
        <f>E13+F13</f>
        <v/>
      </c>
      <c r="H13" s="61" t="n">
        <v>0.31</v>
      </c>
      <c r="I13" s="61" t="n">
        <v>0.49</v>
      </c>
      <c r="J13" s="61" t="n">
        <v>0.2</v>
      </c>
      <c r="K13" s="7">
        <f>SUM(H13:J13)</f>
        <v/>
      </c>
      <c r="L13" s="61" t="n">
        <v>0.35</v>
      </c>
      <c r="M13" s="61" t="n">
        <v>0.42</v>
      </c>
      <c r="N13" s="61" t="n">
        <v>0.11</v>
      </c>
      <c r="O13" s="61" t="n">
        <v>0.12</v>
      </c>
      <c r="P13" s="116" t="n">
        <v>0</v>
      </c>
      <c r="Q13" s="7">
        <f>SUM(L13:P13)</f>
        <v/>
      </c>
      <c r="R13" s="2" t="n"/>
      <c r="S13" s="2" t="n"/>
      <c r="T13" s="3">
        <f>IF(OR(Q13="",R13=""),0,R13-Q13)</f>
        <v/>
      </c>
      <c r="U13" s="3">
        <f>S13*D13</f>
        <v/>
      </c>
      <c r="V13" s="4">
        <f>IFERROR(T13/SUMIF($B$3:$B$15,$B13,$T$3:$T$15),0)</f>
        <v/>
      </c>
      <c r="W13" s="5">
        <f>U13</f>
        <v/>
      </c>
      <c r="X13" s="6">
        <f>V13*IF($B13="Подзем.",$V$18,$V$19)</f>
        <v/>
      </c>
    </row>
    <row r="14" customFormat="1" s="71">
      <c r="A14" s="63" t="inlineStr">
        <is>
          <t>8.2.6</t>
        </is>
      </c>
      <c r="B14" s="63" t="inlineStr">
        <is>
          <t>Надзем.</t>
        </is>
      </c>
      <c r="C14" s="63" t="inlineStr">
        <is>
          <t>Коммерч. помещения надзем.</t>
        </is>
      </c>
      <c r="D14" s="63">
        <f>G28+G29+G30</f>
        <v/>
      </c>
      <c r="E14" s="63" t="n">
        <v>0.5</v>
      </c>
      <c r="F14" s="63" t="n">
        <v>0.5</v>
      </c>
      <c r="G14" s="66">
        <f>E14+F14</f>
        <v/>
      </c>
      <c r="H14" s="63" t="n">
        <v>0.3</v>
      </c>
      <c r="I14" s="63" t="n">
        <v>0.6899999999999999</v>
      </c>
      <c r="J14" s="63" t="n">
        <v>0.01</v>
      </c>
      <c r="K14" s="66">
        <f>SUM(H14:J14)</f>
        <v/>
      </c>
      <c r="L14" s="63" t="n">
        <v>0.2</v>
      </c>
      <c r="M14" s="63" t="n">
        <v>0.6</v>
      </c>
      <c r="N14" s="63" t="n">
        <v>0.2</v>
      </c>
      <c r="O14" s="63" t="n">
        <v>0</v>
      </c>
      <c r="P14" s="116" t="n">
        <v>0</v>
      </c>
      <c r="Q14" s="66">
        <f>SUM(L14:P14)</f>
        <v/>
      </c>
      <c r="R14" s="67" t="n"/>
      <c r="S14" s="67" t="n"/>
      <c r="T14" s="68">
        <f>IF(OR(Q14="",R14=""),0,R14-Q14)</f>
        <v/>
      </c>
      <c r="U14" s="68">
        <f>S14*D14</f>
        <v/>
      </c>
      <c r="V14" s="69">
        <f>IFERROR(T14/SUMIF($B$3:$B$15,$B14,$T$3:$T$15),0)</f>
        <v/>
      </c>
      <c r="W14" s="69">
        <f>U14</f>
        <v/>
      </c>
      <c r="X14" s="70">
        <f>V14*IF($B14="Подзем.",$V$18,$V$19)</f>
        <v/>
      </c>
    </row>
    <row r="15" customFormat="1" s="71">
      <c r="A15" s="63" t="inlineStr">
        <is>
          <t>8.2.7</t>
        </is>
      </c>
      <c r="B15" s="63" t="inlineStr">
        <is>
          <t>Надзем.</t>
        </is>
      </c>
      <c r="C15" s="63" t="inlineStr">
        <is>
          <t>Паркинг и рампы надзем.</t>
        </is>
      </c>
      <c r="D15" s="63">
        <f>H28+H29+H30</f>
        <v/>
      </c>
      <c r="E15" s="63" t="n">
        <v>0.5</v>
      </c>
      <c r="F15" s="63" t="n">
        <v>0.5</v>
      </c>
      <c r="G15" s="66">
        <f>E15+F15</f>
        <v/>
      </c>
      <c r="H15" s="63" t="n">
        <v>0.3</v>
      </c>
      <c r="I15" s="63" t="n">
        <v>0.6899999999999999</v>
      </c>
      <c r="J15" s="63" t="n">
        <v>0.01</v>
      </c>
      <c r="K15" s="66">
        <f>SUM(H15:J15)</f>
        <v/>
      </c>
      <c r="L15" s="63" t="n">
        <v>0.2</v>
      </c>
      <c r="M15" s="63" t="n">
        <v>0.6</v>
      </c>
      <c r="N15" s="63" t="n">
        <v>0.2</v>
      </c>
      <c r="O15" s="63" t="n">
        <v>0</v>
      </c>
      <c r="P15" s="116" t="n">
        <v>0</v>
      </c>
      <c r="Q15" s="66">
        <f>SUM(L15:P15)</f>
        <v/>
      </c>
      <c r="R15" s="67" t="n"/>
      <c r="S15" s="67" t="n"/>
      <c r="T15" s="68">
        <f>IF(OR(Q15="",R15=""),0,R15-Q15)</f>
        <v/>
      </c>
      <c r="U15" s="68">
        <f>S15*D15</f>
        <v/>
      </c>
      <c r="V15" s="69">
        <f>IFERROR(T15/SUMIF($B$3:$B$15,$B15,$T$3:$T$15),0)</f>
        <v/>
      </c>
      <c r="W15" s="69">
        <f>U15</f>
        <v/>
      </c>
      <c r="X15" s="70">
        <f>V15*IF($B15="Подзем.",$V$18,$V$19)</f>
        <v/>
      </c>
    </row>
    <row r="16"/>
    <row r="17">
      <c r="A17" s="103" t="inlineStr">
        <is>
          <t>АГРЕГАЦИЯ ПО УРОВНЯМ (ур.3 → ур.2 → ур.1)</t>
        </is>
      </c>
    </row>
    <row r="18">
      <c r="A18" s="8" t="inlineStr">
        <is>
          <t>8.1</t>
        </is>
      </c>
      <c r="B18" s="111" t="n"/>
      <c r="C18" s="9" t="inlineStr">
        <is>
          <t>Подземная часть</t>
        </is>
      </c>
      <c r="D18" s="10">
        <f>SUM(D3:D8)</f>
        <v/>
      </c>
      <c r="E18" s="111" t="n"/>
      <c r="F18" s="111" t="n"/>
      <c r="G18" s="111" t="n"/>
      <c r="H18" s="111" t="n"/>
      <c r="I18" s="111" t="n"/>
      <c r="J18" s="111" t="n"/>
      <c r="K18" s="111" t="n"/>
      <c r="L18" s="111" t="n"/>
      <c r="M18" s="111" t="n"/>
      <c r="N18" s="111" t="n"/>
      <c r="O18" s="111" t="n"/>
      <c r="Q18" s="111" t="n"/>
      <c r="R18" s="11">
        <f>MIN(Q3:Q8)</f>
        <v/>
      </c>
      <c r="S18" s="11">
        <f>MAX(R3:R8)</f>
        <v/>
      </c>
      <c r="T18" s="10">
        <f>IF(OR(Q18=0,R18=0),0,R18-Q18)</f>
        <v/>
      </c>
      <c r="U18" s="10">
        <f>SUM(T3:T8)</f>
        <v/>
      </c>
      <c r="V18" s="12">
        <f>IFERROR(T18/(T18+T19),0)</f>
        <v/>
      </c>
      <c r="W18" s="13">
        <f>U18</f>
        <v/>
      </c>
      <c r="X18" s="14">
        <f>V18</f>
        <v/>
      </c>
    </row>
    <row r="19">
      <c r="A19" s="8" t="inlineStr">
        <is>
          <t>8.2</t>
        </is>
      </c>
      <c r="B19" s="111" t="n"/>
      <c r="C19" s="15" t="inlineStr">
        <is>
          <t>Надземная часть</t>
        </is>
      </c>
      <c r="D19" s="16">
        <f>SUM(D9:D15)</f>
        <v/>
      </c>
      <c r="E19" s="111" t="n"/>
      <c r="F19" s="111" t="n"/>
      <c r="G19" s="111" t="n"/>
      <c r="H19" s="111" t="n"/>
      <c r="I19" s="111" t="n"/>
      <c r="J19" s="111" t="n"/>
      <c r="K19" s="111" t="n"/>
      <c r="L19" s="111" t="n"/>
      <c r="M19" s="111" t="n"/>
      <c r="N19" s="111" t="n"/>
      <c r="O19" s="111" t="n"/>
      <c r="Q19" s="111" t="n"/>
      <c r="R19" s="17">
        <f>MIN(Q9:Q15)</f>
        <v/>
      </c>
      <c r="S19" s="17">
        <f>MAX(R9:R15)</f>
        <v/>
      </c>
      <c r="T19" s="18">
        <f>IF(OR(Q19=0,R19=0),0,R19-Q19)</f>
        <v/>
      </c>
      <c r="U19" s="16">
        <f>SUM(T9:T15)</f>
        <v/>
      </c>
      <c r="V19" s="19">
        <f>IFERROR(T19/(T18+T19),0)</f>
        <v/>
      </c>
      <c r="W19" s="20">
        <f>U19</f>
        <v/>
      </c>
      <c r="X19" s="21">
        <f>V19</f>
        <v/>
      </c>
    </row>
    <row r="20"/>
    <row r="21">
      <c r="C21" s="22" t="inlineStr">
        <is>
          <t>✓ ∑ вес ур.3 подзем.</t>
        </is>
      </c>
      <c r="W21" s="23">
        <f>SUM(V3:V8)</f>
        <v/>
      </c>
    </row>
    <row r="22">
      <c r="C22" s="22" t="inlineStr">
        <is>
          <t>✓ ∑ вес ур.3 надзем.</t>
        </is>
      </c>
      <c r="W22" s="23">
        <f>SUM(V9:V15)</f>
        <v/>
      </c>
    </row>
    <row r="23">
      <c r="C23" s="22" t="inlineStr">
        <is>
          <t>✓ ∑ вес ур.2</t>
        </is>
      </c>
      <c r="W23" s="23">
        <f>V18+V19</f>
        <v/>
      </c>
    </row>
    <row r="24">
      <c r="C24" s="22" t="inlineStr">
        <is>
          <t>✓ ∑ глоб. вес</t>
        </is>
      </c>
      <c r="X24" s="24">
        <f>SUM(W3:W15)</f>
        <v/>
      </c>
    </row>
    <row r="25"/>
    <row r="26">
      <c r="A26" s="103" t="inlineStr">
        <is>
          <t>РАСПРЕДЕЛЕНИЕ НАДЗЕМНОЙ ЧАСТИ ПО КОРПУСАМ</t>
        </is>
      </c>
    </row>
    <row r="27" ht="29.1" customHeight="1" s="102">
      <c r="A27" s="108" t="inlineStr">
        <is>
          <t>Корпус</t>
        </is>
      </c>
      <c r="B27" s="108" t="inlineStr">
        <is>
          <t>8.2.1</t>
        </is>
      </c>
      <c r="C27" s="108" t="inlineStr">
        <is>
          <t>8.2.2</t>
        </is>
      </c>
      <c r="D27" s="108" t="inlineStr">
        <is>
          <t>8.2.3</t>
        </is>
      </c>
      <c r="E27" s="108" t="inlineStr">
        <is>
          <t>8.2.4</t>
        </is>
      </c>
      <c r="F27" s="108" t="inlineStr">
        <is>
          <t>8.2.5</t>
        </is>
      </c>
      <c r="G27" s="108" t="inlineStr">
        <is>
          <t>8.2.6</t>
        </is>
      </c>
      <c r="H27" s="108" t="inlineStr">
        <is>
          <t>8.2.7</t>
        </is>
      </c>
      <c r="I27" s="108" t="inlineStr">
        <is>
          <t>Σ план</t>
        </is>
      </c>
      <c r="J27" s="108" t="inlineStr">
        <is>
          <t>Вес корп.(авто)</t>
        </is>
      </c>
      <c r="K27" s="108" t="inlineStr">
        <is>
          <t>Вес корп.</t>
        </is>
      </c>
    </row>
    <row r="28">
      <c r="A28" s="25" t="inlineStr">
        <is>
          <t>К1</t>
        </is>
      </c>
      <c r="B28" s="26" t="n">
        <v>0</v>
      </c>
      <c r="C28" s="26" t="n">
        <v>0</v>
      </c>
      <c r="D28" s="26" t="n">
        <v>0</v>
      </c>
      <c r="E28" s="26" t="n">
        <v>0</v>
      </c>
      <c r="F28" s="26" t="n">
        <v>0</v>
      </c>
      <c r="G28" s="26" t="n">
        <v>0</v>
      </c>
      <c r="H28" s="26" t="n">
        <v>0</v>
      </c>
      <c r="I28" s="27">
        <f>SUM(B28:H28)</f>
        <v/>
      </c>
      <c r="J28" s="28">
        <f>IFERROR(I28/(I28+I29+I30),0)</f>
        <v/>
      </c>
      <c r="K28" s="20">
        <f>J28</f>
        <v/>
      </c>
    </row>
    <row r="29">
      <c r="A29" s="25" t="inlineStr">
        <is>
          <t>К2</t>
        </is>
      </c>
      <c r="B29" s="26" t="n">
        <v>0</v>
      </c>
      <c r="C29" s="26" t="n">
        <v>0</v>
      </c>
      <c r="D29" s="26" t="n">
        <v>0</v>
      </c>
      <c r="E29" s="26" t="n">
        <v>0</v>
      </c>
      <c r="F29" s="26" t="n">
        <v>0</v>
      </c>
      <c r="G29" s="26" t="n">
        <v>0</v>
      </c>
      <c r="H29" s="26" t="n">
        <v>0</v>
      </c>
      <c r="I29" s="27">
        <f>SUM(B29:H29)</f>
        <v/>
      </c>
      <c r="J29" s="28">
        <f>IFERROR(I29/(I28+I29+I30),0)</f>
        <v/>
      </c>
      <c r="K29" s="20">
        <f>J29</f>
        <v/>
      </c>
    </row>
    <row r="30">
      <c r="A30" s="25" t="inlineStr">
        <is>
          <t>К3</t>
        </is>
      </c>
      <c r="B30" s="26" t="n">
        <v>0</v>
      </c>
      <c r="C30" s="26" t="n">
        <v>0</v>
      </c>
      <c r="D30" s="26" t="n">
        <v>0</v>
      </c>
      <c r="E30" s="26" t="n">
        <v>0</v>
      </c>
      <c r="F30" s="26" t="n">
        <v>0</v>
      </c>
      <c r="G30" s="26" t="n">
        <v>0</v>
      </c>
      <c r="H30" s="26" t="n">
        <v>0</v>
      </c>
      <c r="I30" s="27">
        <f>SUM(B30:H30)</f>
        <v/>
      </c>
      <c r="J30" s="28">
        <f>IFERROR(I30/(I28+I29+I30),0)</f>
        <v/>
      </c>
      <c r="K30" s="20">
        <f>J30</f>
        <v/>
      </c>
    </row>
    <row r="31"/>
    <row r="32" ht="24" customHeight="1" s="102">
      <c r="A32" s="22" t="inlineStr">
        <is>
          <t>✓ ∑ вес корп.</t>
        </is>
      </c>
      <c r="K32" s="23">
        <f>K28+K29+K30</f>
        <v/>
      </c>
    </row>
    <row r="33"/>
    <row r="34"/>
    <row r="35">
      <c r="A35" t="inlineStr">
        <is>
          <t>Дата начала проекта</t>
        </is>
      </c>
      <c r="B35" s="62" t="n">
        <v>46174</v>
      </c>
    </row>
  </sheetData>
  <mergeCells count="3">
    <mergeCell ref="A1:W1"/>
    <mergeCell ref="A17:W17"/>
    <mergeCell ref="A26:K26"/>
  </mergeCells>
  <conditionalFormatting sqref="G3:G15">
    <cfRule type="cellIs" priority="1" operator="notEqual" dxfId="2">
      <formula>1</formula>
    </cfRule>
    <cfRule type="cellIs" priority="2" operator="equal" dxfId="1">
      <formula>1</formula>
    </cfRule>
  </conditionalFormatting>
  <conditionalFormatting sqref="K3:K15">
    <cfRule type="cellIs" priority="3" operator="notEqual" dxfId="2">
      <formula>1</formula>
    </cfRule>
    <cfRule type="cellIs" priority="4" operator="equal" dxfId="1">
      <formula>1</formula>
    </cfRule>
  </conditionalFormatting>
  <conditionalFormatting sqref="K32">
    <cfRule type="cellIs" priority="15" operator="notEqual" dxfId="2">
      <formula>1</formula>
    </cfRule>
    <cfRule type="cellIs" priority="16" operator="equal" dxfId="1">
      <formula>1</formula>
    </cfRule>
  </conditionalFormatting>
  <conditionalFormatting sqref="P3:P15">
    <cfRule type="cellIs" priority="5" operator="notEqual" dxfId="2">
      <formula>1</formula>
    </cfRule>
    <cfRule type="cellIs" priority="6" operator="equal" dxfId="1">
      <formula>1</formula>
    </cfRule>
  </conditionalFormatting>
  <conditionalFormatting sqref="V21:V23">
    <cfRule type="cellIs" priority="7" operator="notEqual" dxfId="2">
      <formula>1</formula>
    </cfRule>
    <cfRule type="cellIs" priority="8" operator="equal" dxfId="1">
      <formula>1</formula>
    </cfRule>
  </conditionalFormatting>
  <conditionalFormatting sqref="W24">
    <cfRule type="cellIs" priority="13" operator="notEqual" dxfId="2">
      <formula>1</formula>
    </cfRule>
    <cfRule type="cellIs" priority="14" operator="equal" dxfId="1">
      <formula>1</formula>
    </cfRule>
  </conditionalFormatting>
  <dataValidations count="2">
    <dataValidation sqref="E3:F15 H3:J15 L3:O15 V3:V15" showDropDown="0" showInputMessage="0" showErrorMessage="0" allowBlank="0" type="decimal">
      <formula1>0</formula1>
      <formula2>1</formula2>
    </dataValidation>
    <dataValidation sqref="D3:D15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W52"/>
  <sheetViews>
    <sheetView zoomScale="70" zoomScaleNormal="70" workbookViewId="0">
      <pane xSplit="1" ySplit="4" topLeftCell="B8" activePane="bottomRight" state="frozen"/>
      <selection pane="topRight" activeCell="A1" sqref="A1"/>
      <selection pane="bottomLeft" activeCell="A1" sqref="A1"/>
      <selection pane="bottomRight" activeCell="L20" sqref="L20"/>
    </sheetView>
  </sheetViews>
  <sheetFormatPr baseColWidth="8" defaultRowHeight="15"/>
  <cols>
    <col width="12" customWidth="1" style="102" min="1" max="1"/>
    <col width="10" customWidth="1" style="102" min="2" max="23"/>
  </cols>
  <sheetData>
    <row r="1">
      <c r="A1" s="101" t="inlineStr">
        <is>
          <t>ПЛАН ЧЕРН ПОДЗЕМ</t>
        </is>
      </c>
      <c r="U1" s="107" t="inlineStr">
        <is>
          <t>Итого подзем.</t>
        </is>
      </c>
    </row>
    <row r="2">
      <c r="A2" s="108" t="inlineStr">
        <is>
          <t>Дата</t>
        </is>
      </c>
      <c r="B2" s="104" t="inlineStr">
        <is>
          <t>Подземная часть</t>
        </is>
      </c>
      <c r="C2" s="105" t="n"/>
      <c r="D2" s="105" t="n"/>
      <c r="E2" s="105" t="n"/>
      <c r="F2" s="105" t="n"/>
      <c r="G2" s="105" t="n"/>
      <c r="H2" s="105" t="n"/>
      <c r="I2" s="105" t="n"/>
      <c r="J2" s="105" t="n"/>
      <c r="K2" s="105" t="n"/>
      <c r="L2" s="105" t="n"/>
      <c r="M2" s="105" t="n"/>
      <c r="N2" s="105" t="n"/>
      <c r="O2" s="105" t="n"/>
      <c r="P2" s="105" t="n"/>
      <c r="Q2" s="105" t="n"/>
      <c r="R2" s="105" t="n"/>
      <c r="S2" s="106" t="n"/>
    </row>
    <row r="3">
      <c r="A3" s="109" t="n"/>
      <c r="B3" s="104" t="inlineStr">
        <is>
          <t>8.1.1 Отделка паркинг и рампы</t>
        </is>
      </c>
      <c r="C3" s="105" t="n"/>
      <c r="D3" s="106" t="n"/>
      <c r="E3" s="104" t="inlineStr">
        <is>
          <t>8.1.2 Отделка эвакуац. лестн. клетки подзем.</t>
        </is>
      </c>
      <c r="F3" s="105" t="n"/>
      <c r="G3" s="106" t="n"/>
      <c r="H3" s="104" t="inlineStr">
        <is>
          <t>8.1.3 Лифт. холлы, тамбур-шлюзы подзем.</t>
        </is>
      </c>
      <c r="I3" s="105" t="n"/>
      <c r="J3" s="106" t="n"/>
      <c r="K3" s="104" t="inlineStr">
        <is>
          <t>8.1.4 Технич. помещения подзем.</t>
        </is>
      </c>
      <c r="L3" s="105" t="n"/>
      <c r="M3" s="106" t="n"/>
      <c r="N3" s="104" t="inlineStr">
        <is>
          <t>8.1.5 Прочие помещения подзем.</t>
        </is>
      </c>
      <c r="O3" s="105" t="n"/>
      <c r="P3" s="106" t="n"/>
      <c r="Q3" s="104" t="inlineStr">
        <is>
          <t>8.1.6 Коммерч. помещения подзем.</t>
        </is>
      </c>
      <c r="R3" s="105" t="n"/>
      <c r="S3" s="106" t="n"/>
      <c r="U3" s="29" t="inlineStr">
        <is>
          <t>Пол</t>
        </is>
      </c>
      <c r="V3" s="29" t="inlineStr">
        <is>
          <t>Стены</t>
        </is>
      </c>
      <c r="W3" s="29" t="inlineStr">
        <is>
          <t>Потолок</t>
        </is>
      </c>
    </row>
    <row r="4">
      <c r="B4" s="104" t="inlineStr">
        <is>
          <t>Пол</t>
        </is>
      </c>
      <c r="C4" s="104" t="inlineStr">
        <is>
          <t>Стены</t>
        </is>
      </c>
      <c r="D4" s="104" t="inlineStr">
        <is>
          <t>Потолок</t>
        </is>
      </c>
      <c r="E4" s="104" t="inlineStr">
        <is>
          <t>Пол</t>
        </is>
      </c>
      <c r="F4" s="104" t="inlineStr">
        <is>
          <t>Стены</t>
        </is>
      </c>
      <c r="G4" s="104" t="inlineStr">
        <is>
          <t>Потолок</t>
        </is>
      </c>
      <c r="H4" s="104" t="inlineStr">
        <is>
          <t>Пол</t>
        </is>
      </c>
      <c r="I4" s="104" t="inlineStr">
        <is>
          <t>Стены</t>
        </is>
      </c>
      <c r="J4" s="104" t="inlineStr">
        <is>
          <t>Потолок</t>
        </is>
      </c>
      <c r="K4" s="104" t="inlineStr">
        <is>
          <t>Пол</t>
        </is>
      </c>
      <c r="L4" s="104" t="inlineStr">
        <is>
          <t>Стены</t>
        </is>
      </c>
      <c r="M4" s="104" t="inlineStr">
        <is>
          <t>Потолок</t>
        </is>
      </c>
      <c r="N4" s="104" t="inlineStr">
        <is>
          <t>Пол</t>
        </is>
      </c>
      <c r="O4" s="104" t="inlineStr">
        <is>
          <t>Стены</t>
        </is>
      </c>
      <c r="P4" s="104" t="inlineStr">
        <is>
          <t>Потолок</t>
        </is>
      </c>
      <c r="Q4" s="104" t="inlineStr">
        <is>
          <t>Пол</t>
        </is>
      </c>
      <c r="R4" s="104" t="inlineStr">
        <is>
          <t>Стены</t>
        </is>
      </c>
      <c r="S4" s="104" t="inlineStr">
        <is>
          <t>Потолок</t>
        </is>
      </c>
      <c r="U4" s="30" t="n"/>
      <c r="V4" s="30" t="n"/>
      <c r="W4" s="30" t="n"/>
    </row>
    <row r="5">
      <c r="A5" s="17">
        <f>СПРАВОЧНИК!$B$35</f>
        <v/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U5" s="32">
        <f>B5+E5+H5+K5+N5+Q5</f>
        <v/>
      </c>
      <c r="V5" s="32">
        <f>C5+F5+I5+L5+O5+R5</f>
        <v/>
      </c>
      <c r="W5" s="32">
        <f>D5+G5+J5+M5+P5+S5</f>
        <v/>
      </c>
    </row>
    <row r="6">
      <c r="A6" s="17">
        <f>A5+7</f>
        <v/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U6" s="32">
        <f>B6+E6+H6+K6+N6+Q6</f>
        <v/>
      </c>
      <c r="V6" s="32">
        <f>C6+F6+I6+L6+O6+R6</f>
        <v/>
      </c>
      <c r="W6" s="32">
        <f>D6+G6+J6+M6+P6+S6</f>
        <v/>
      </c>
    </row>
    <row r="7">
      <c r="A7" s="17">
        <f>A6+7</f>
        <v/>
      </c>
      <c r="B7" s="31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U7" s="32">
        <f>B7+E7+H7+K7+N7+Q7</f>
        <v/>
      </c>
      <c r="V7" s="32">
        <f>C7+F7+I7+L7+O7+R7</f>
        <v/>
      </c>
      <c r="W7" s="32">
        <f>D7+G7+J7+M7+P7+S7</f>
        <v/>
      </c>
    </row>
    <row r="8">
      <c r="A8" s="17">
        <f>A7+7</f>
        <v/>
      </c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U8" s="32">
        <f>B8+E8+H8+K8+N8+Q8</f>
        <v/>
      </c>
      <c r="V8" s="32">
        <f>C8+F8+I8+L8+O8+R8</f>
        <v/>
      </c>
      <c r="W8" s="32">
        <f>D8+G8+J8+M8+P8+S8</f>
        <v/>
      </c>
    </row>
    <row r="9">
      <c r="A9" s="17">
        <f>A8+7</f>
        <v/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U9" s="32">
        <f>B9+E9+H9+K9+N9+Q9</f>
        <v/>
      </c>
      <c r="V9" s="32">
        <f>C9+F9+I9+L9+O9+R9</f>
        <v/>
      </c>
      <c r="W9" s="32">
        <f>D9+G9+J9+M9+P9+S9</f>
        <v/>
      </c>
    </row>
    <row r="10">
      <c r="A10" s="17">
        <f>A9+7</f>
        <v/>
      </c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U10" s="32">
        <f>B10+E10+H10+K10+N10+Q10</f>
        <v/>
      </c>
      <c r="V10" s="32">
        <f>C10+F10+I10+L10+O10+R10</f>
        <v/>
      </c>
      <c r="W10" s="32">
        <f>D10+G10+J10+M10+P10+S10</f>
        <v/>
      </c>
    </row>
    <row r="11">
      <c r="A11" s="17">
        <f>A10+7</f>
        <v/>
      </c>
      <c r="B11" s="31" t="n"/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  <c r="Q11" s="31" t="n"/>
      <c r="R11" s="31" t="n"/>
      <c r="S11" s="31" t="n"/>
      <c r="U11" s="32">
        <f>B11+E11+H11+K11+N11+Q11</f>
        <v/>
      </c>
      <c r="V11" s="32">
        <f>C11+F11+I11+L11+O11+R11</f>
        <v/>
      </c>
      <c r="W11" s="32">
        <f>D11+G11+J11+M11+P11+S11</f>
        <v/>
      </c>
    </row>
    <row r="12">
      <c r="A12" s="17">
        <f>A11+7</f>
        <v/>
      </c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U12" s="32">
        <f>B12+E12+H12+K12+N12+Q12</f>
        <v/>
      </c>
      <c r="V12" s="32">
        <f>C12+F12+I12+L12+O12+R12</f>
        <v/>
      </c>
      <c r="W12" s="32">
        <f>D12+G12+J12+M12+P12+S12</f>
        <v/>
      </c>
    </row>
    <row r="13">
      <c r="A13" s="17">
        <f>A12+7</f>
        <v/>
      </c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U13" s="32">
        <f>B13+E13+H13+K13+N13+Q13</f>
        <v/>
      </c>
      <c r="V13" s="32">
        <f>C13+F13+I13+L13+O13+R13</f>
        <v/>
      </c>
      <c r="W13" s="32">
        <f>D13+G13+J13+M13+P13+S13</f>
        <v/>
      </c>
    </row>
    <row r="14">
      <c r="A14" s="17">
        <f>A13+7</f>
        <v/>
      </c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U14" s="32">
        <f>B14+E14+H14+K14+N14+Q14</f>
        <v/>
      </c>
      <c r="V14" s="32">
        <f>C14+F14+I14+L14+O14+R14</f>
        <v/>
      </c>
      <c r="W14" s="32">
        <f>D14+G14+J14+M14+P14+S14</f>
        <v/>
      </c>
    </row>
    <row r="15">
      <c r="A15" s="17">
        <f>A14+7</f>
        <v/>
      </c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U15" s="32">
        <f>B15+E15+H15+K15+N15+Q15</f>
        <v/>
      </c>
      <c r="V15" s="32">
        <f>C15+F15+I15+L15+O15+R15</f>
        <v/>
      </c>
      <c r="W15" s="32">
        <f>D15+G15+J15+M15+P15+S15</f>
        <v/>
      </c>
    </row>
    <row r="16">
      <c r="A16" s="17">
        <f>A15+7</f>
        <v/>
      </c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U16" s="32">
        <f>B16+E16+H16+K16+N16+Q16</f>
        <v/>
      </c>
      <c r="V16" s="32">
        <f>C16+F16+I16+L16+O16+R16</f>
        <v/>
      </c>
      <c r="W16" s="32">
        <f>D16+G16+J16+M16+P16+S16</f>
        <v/>
      </c>
    </row>
    <row r="17">
      <c r="A17" s="17">
        <f>A16+7</f>
        <v/>
      </c>
      <c r="B17" s="31" t="n"/>
      <c r="C17" s="31" t="n"/>
      <c r="D17" s="31" t="n"/>
      <c r="E17" s="31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31" t="n"/>
      <c r="O17" s="31" t="n"/>
      <c r="P17" s="31" t="n"/>
      <c r="Q17" s="31" t="n"/>
      <c r="R17" s="31" t="n"/>
      <c r="S17" s="31" t="n"/>
      <c r="U17" s="32">
        <f>B17+E17+H17+K17+N17+Q17</f>
        <v/>
      </c>
      <c r="V17" s="32">
        <f>C17+F17+I17+L17+O17+R17</f>
        <v/>
      </c>
      <c r="W17" s="32">
        <f>D17+G17+J17+M17+P17+S17</f>
        <v/>
      </c>
    </row>
    <row r="18">
      <c r="A18" s="17">
        <f>A17+7</f>
        <v/>
      </c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  <c r="R18" s="31" t="n"/>
      <c r="S18" s="31" t="n"/>
      <c r="U18" s="32">
        <f>B18+E18+H18+K18+N18+Q18</f>
        <v/>
      </c>
      <c r="V18" s="32">
        <f>C18+F18+I18+L18+O18+R18</f>
        <v/>
      </c>
      <c r="W18" s="32">
        <f>D18+G18+J18+M18+P18+S18</f>
        <v/>
      </c>
    </row>
    <row r="19">
      <c r="A19" s="17">
        <f>A18+7</f>
        <v/>
      </c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U19" s="32">
        <f>B19+E19+H19+K19+N19+Q19</f>
        <v/>
      </c>
      <c r="V19" s="32">
        <f>C19+F19+I19+L19+O19+R19</f>
        <v/>
      </c>
      <c r="W19" s="32">
        <f>D19+G19+J19+M19+P19+S19</f>
        <v/>
      </c>
    </row>
    <row r="20">
      <c r="A20" s="17">
        <f>A19+7</f>
        <v/>
      </c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U20" s="32">
        <f>B20+E20+H20+K20+N20+Q20</f>
        <v/>
      </c>
      <c r="V20" s="32">
        <f>C20+F20+I20+L20+O20+R20</f>
        <v/>
      </c>
      <c r="W20" s="32">
        <f>D20+G20+J20+M20+P20+S20</f>
        <v/>
      </c>
    </row>
    <row r="21">
      <c r="A21" s="17">
        <f>A20+7</f>
        <v/>
      </c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U21" s="32">
        <f>B21+E21+H21+K21+N21+Q21</f>
        <v/>
      </c>
      <c r="V21" s="32">
        <f>C21+F21+I21+L21+O21+R21</f>
        <v/>
      </c>
      <c r="W21" s="32">
        <f>D21+G21+J21+M21+P21+S21</f>
        <v/>
      </c>
    </row>
    <row r="22">
      <c r="A22" s="17">
        <f>A21+7</f>
        <v/>
      </c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U22" s="32">
        <f>B22+E22+H22+K22+N22+Q22</f>
        <v/>
      </c>
      <c r="V22" s="32">
        <f>C22+F22+I22+L22+O22+R22</f>
        <v/>
      </c>
      <c r="W22" s="32">
        <f>D22+G22+J22+M22+P22+S22</f>
        <v/>
      </c>
    </row>
    <row r="23">
      <c r="A23" s="17">
        <f>A22+7</f>
        <v/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U23" s="32">
        <f>B23+E23+H23+K23+N23+Q23</f>
        <v/>
      </c>
      <c r="V23" s="32">
        <f>C23+F23+I23+L23+O23+R23</f>
        <v/>
      </c>
      <c r="W23" s="32">
        <f>D23+G23+J23+M23+P23+S23</f>
        <v/>
      </c>
    </row>
    <row r="24">
      <c r="A24" s="17">
        <f>A23+7</f>
        <v/>
      </c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U24" s="32">
        <f>B24+E24+H24+K24+N24+Q24</f>
        <v/>
      </c>
      <c r="V24" s="32">
        <f>C24+F24+I24+L24+O24+R24</f>
        <v/>
      </c>
      <c r="W24" s="32">
        <f>D24+G24+J24+M24+P24+S24</f>
        <v/>
      </c>
    </row>
    <row r="25">
      <c r="A25" s="17">
        <f>A24+7</f>
        <v/>
      </c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U25" s="32">
        <f>B25+E25+H25+K25+N25+Q25</f>
        <v/>
      </c>
      <c r="V25" s="32">
        <f>C25+F25+I25+L25+O25+R25</f>
        <v/>
      </c>
      <c r="W25" s="32">
        <f>D25+G25+J25+M25+P25+S25</f>
        <v/>
      </c>
    </row>
    <row r="26">
      <c r="A26" s="17">
        <f>A25+7</f>
        <v/>
      </c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U26" s="32">
        <f>B26+E26+H26+K26+N26+Q26</f>
        <v/>
      </c>
      <c r="V26" s="32">
        <f>C26+F26+I26+L26+O26+R26</f>
        <v/>
      </c>
      <c r="W26" s="32">
        <f>D26+G26+J26+M26+P26+S26</f>
        <v/>
      </c>
    </row>
    <row r="27">
      <c r="A27" s="17">
        <f>A26+7</f>
        <v/>
      </c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U27" s="32">
        <f>B27+E27+H27+K27+N27+Q27</f>
        <v/>
      </c>
      <c r="V27" s="32">
        <f>C27+F27+I27+L27+O27+R27</f>
        <v/>
      </c>
      <c r="W27" s="32">
        <f>D27+G27+J27+M27+P27+S27</f>
        <v/>
      </c>
    </row>
    <row r="28">
      <c r="A28" s="17">
        <f>A27+7</f>
        <v/>
      </c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U28" s="32">
        <f>B28+E28+H28+K28+N28+Q28</f>
        <v/>
      </c>
      <c r="V28" s="32">
        <f>C28+F28+I28+L28+O28+R28</f>
        <v/>
      </c>
      <c r="W28" s="32">
        <f>D28+G28+J28+M28+P28+S28</f>
        <v/>
      </c>
    </row>
    <row r="29">
      <c r="A29" s="17">
        <f>A28+7</f>
        <v/>
      </c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U29" s="32">
        <f>B29+E29+H29+K29+N29+Q29</f>
        <v/>
      </c>
      <c r="V29" s="32">
        <f>C29+F29+I29+L29+O29+R29</f>
        <v/>
      </c>
      <c r="W29" s="32">
        <f>D29+G29+J29+M29+P29+S29</f>
        <v/>
      </c>
    </row>
    <row r="30">
      <c r="A30" s="17">
        <f>A29+7</f>
        <v/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U30" s="32">
        <f>B30+E30+H30+K30+N30+Q30</f>
        <v/>
      </c>
      <c r="V30" s="32">
        <f>C30+F30+I30+L30+O30+R30</f>
        <v/>
      </c>
      <c r="W30" s="32">
        <f>D30+G30+J30+M30+P30+S30</f>
        <v/>
      </c>
    </row>
    <row r="31">
      <c r="A31" s="17">
        <f>A30+7</f>
        <v/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U31" s="32">
        <f>B31+E31+H31+K31+N31+Q31</f>
        <v/>
      </c>
      <c r="V31" s="32">
        <f>C31+F31+I31+L31+O31+R31</f>
        <v/>
      </c>
      <c r="W31" s="32">
        <f>D31+G31+J31+M31+P31+S31</f>
        <v/>
      </c>
    </row>
    <row r="32">
      <c r="A32" s="17">
        <f>A31+7</f>
        <v/>
      </c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U32" s="32">
        <f>B32+E32+H32+K32+N32+Q32</f>
        <v/>
      </c>
      <c r="V32" s="32">
        <f>C32+F32+I32+L32+O32+R32</f>
        <v/>
      </c>
      <c r="W32" s="32">
        <f>D32+G32+J32+M32+P32+S32</f>
        <v/>
      </c>
    </row>
    <row r="33">
      <c r="A33" s="17">
        <f>A32+7</f>
        <v/>
      </c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U33" s="32">
        <f>B33+E33+H33+K33+N33+Q33</f>
        <v/>
      </c>
      <c r="V33" s="32">
        <f>C33+F33+I33+L33+O33+R33</f>
        <v/>
      </c>
      <c r="W33" s="32">
        <f>D33+G33+J33+M33+P33+S33</f>
        <v/>
      </c>
    </row>
    <row r="34">
      <c r="A34" s="17">
        <f>A33+7</f>
        <v/>
      </c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U34" s="32">
        <f>B34+E34+H34+K34+N34+Q34</f>
        <v/>
      </c>
      <c r="V34" s="32">
        <f>C34+F34+I34+L34+O34+R34</f>
        <v/>
      </c>
      <c r="W34" s="32">
        <f>D34+G34+J34+M34+P34+S34</f>
        <v/>
      </c>
    </row>
    <row r="35">
      <c r="A35" s="17">
        <f>A34+7</f>
        <v/>
      </c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U35" s="32">
        <f>B35+E35+H35+K35+N35+Q35</f>
        <v/>
      </c>
      <c r="V35" s="32">
        <f>C35+F35+I35+L35+O35+R35</f>
        <v/>
      </c>
      <c r="W35" s="32">
        <f>D35+G35+J35+M35+P35+S35</f>
        <v/>
      </c>
    </row>
    <row r="36">
      <c r="A36" s="17">
        <f>A35+7</f>
        <v/>
      </c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U36" s="32">
        <f>B36+E36+H36+K36+N36+Q36</f>
        <v/>
      </c>
      <c r="V36" s="32">
        <f>C36+F36+I36+L36+O36+R36</f>
        <v/>
      </c>
      <c r="W36" s="32">
        <f>D36+G36+J36+M36+P36+S36</f>
        <v/>
      </c>
    </row>
    <row r="37">
      <c r="A37" s="17">
        <f>A36+7</f>
        <v/>
      </c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U37" s="32">
        <f>B37+E37+H37+K37+N37+Q37</f>
        <v/>
      </c>
      <c r="V37" s="32">
        <f>C37+F37+I37+L37+O37+R37</f>
        <v/>
      </c>
      <c r="W37" s="32">
        <f>D37+G37+J37+M37+P37+S37</f>
        <v/>
      </c>
    </row>
    <row r="38">
      <c r="A38" s="17">
        <f>A37+7</f>
        <v/>
      </c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U38" s="32">
        <f>B38+E38+H38+K38+N38+Q38</f>
        <v/>
      </c>
      <c r="V38" s="32">
        <f>C38+F38+I38+L38+O38+R38</f>
        <v/>
      </c>
      <c r="W38" s="32">
        <f>D38+G38+J38+M38+P38+S38</f>
        <v/>
      </c>
    </row>
    <row r="39">
      <c r="A39" s="17">
        <f>A38+7</f>
        <v/>
      </c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U39" s="32">
        <f>B39+E39+H39+K39+N39+Q39</f>
        <v/>
      </c>
      <c r="V39" s="32">
        <f>C39+F39+I39+L39+O39+R39</f>
        <v/>
      </c>
      <c r="W39" s="32">
        <f>D39+G39+J39+M39+P39+S39</f>
        <v/>
      </c>
    </row>
    <row r="40">
      <c r="A40" s="17">
        <f>A39+7</f>
        <v/>
      </c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U40" s="32">
        <f>B40+E40+H40+K40+N40+Q40</f>
        <v/>
      </c>
      <c r="V40" s="32">
        <f>C40+F40+I40+L40+O40+R40</f>
        <v/>
      </c>
      <c r="W40" s="32">
        <f>D40+G40+J40+M40+P40+S40</f>
        <v/>
      </c>
    </row>
    <row r="41">
      <c r="A41" s="17">
        <f>A40+7</f>
        <v/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U41" s="32">
        <f>B41+E41+H41+K41+N41+Q41</f>
        <v/>
      </c>
      <c r="V41" s="32">
        <f>C41+F41+I41+L41+O41+R41</f>
        <v/>
      </c>
      <c r="W41" s="32">
        <f>D41+G41+J41+M41+P41+S41</f>
        <v/>
      </c>
    </row>
    <row r="42">
      <c r="A42" s="17">
        <f>A41+7</f>
        <v/>
      </c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U42" s="32">
        <f>B42+E42+H42+K42+N42+Q42</f>
        <v/>
      </c>
      <c r="V42" s="32">
        <f>C42+F42+I42+L42+O42+R42</f>
        <v/>
      </c>
      <c r="W42" s="32">
        <f>D42+G42+J42+M42+P42+S42</f>
        <v/>
      </c>
    </row>
    <row r="43">
      <c r="A43" s="17">
        <f>A42+7</f>
        <v/>
      </c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U43" s="32">
        <f>B43+E43+H43+K43+N43+Q43</f>
        <v/>
      </c>
      <c r="V43" s="32">
        <f>C43+F43+I43+L43+O43+R43</f>
        <v/>
      </c>
      <c r="W43" s="32">
        <f>D43+G43+J43+M43+P43+S43</f>
        <v/>
      </c>
    </row>
    <row r="44">
      <c r="A44" s="17">
        <f>A43+7</f>
        <v/>
      </c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U44" s="32">
        <f>B44+E44+H44+K44+N44+Q44</f>
        <v/>
      </c>
      <c r="V44" s="32">
        <f>C44+F44+I44+L44+O44+R44</f>
        <v/>
      </c>
      <c r="W44" s="32">
        <f>D44+G44+J44+M44+P44+S44</f>
        <v/>
      </c>
    </row>
    <row r="45">
      <c r="A45" s="17">
        <f>A44+7</f>
        <v/>
      </c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U45" s="32">
        <f>B45+E45+H45+K45+N45+Q45</f>
        <v/>
      </c>
      <c r="V45" s="32">
        <f>C45+F45+I45+L45+O45+R45</f>
        <v/>
      </c>
      <c r="W45" s="32">
        <f>D45+G45+J45+M45+P45+S45</f>
        <v/>
      </c>
    </row>
    <row r="46">
      <c r="A46" s="17">
        <f>A45+7</f>
        <v/>
      </c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U46" s="32">
        <f>B46+E46+H46+K46+N46+Q46</f>
        <v/>
      </c>
      <c r="V46" s="32">
        <f>C46+F46+I46+L46+O46+R46</f>
        <v/>
      </c>
      <c r="W46" s="32">
        <f>D46+G46+J46+M46+P46+S46</f>
        <v/>
      </c>
    </row>
    <row r="47">
      <c r="A47" s="17">
        <f>A46+7</f>
        <v/>
      </c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U47" s="32">
        <f>B47+E47+H47+K47+N47+Q47</f>
        <v/>
      </c>
      <c r="V47" s="32">
        <f>C47+F47+I47+L47+O47+R47</f>
        <v/>
      </c>
      <c r="W47" s="32">
        <f>D47+G47+J47+M47+P47+S47</f>
        <v/>
      </c>
    </row>
    <row r="48">
      <c r="A48" s="17">
        <f>A47+7</f>
        <v/>
      </c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1" t="n"/>
      <c r="U48" s="32">
        <f>B48+E48+H48+K48+N48+Q48</f>
        <v/>
      </c>
      <c r="V48" s="32">
        <f>C48+F48+I48+L48+O48+R48</f>
        <v/>
      </c>
      <c r="W48" s="32">
        <f>D48+G48+J48+M48+P48+S48</f>
        <v/>
      </c>
    </row>
    <row r="49">
      <c r="A49" s="17">
        <f>A48+7</f>
        <v/>
      </c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U49" s="32">
        <f>B49+E49+H49+K49+N49+Q49</f>
        <v/>
      </c>
      <c r="V49" s="32">
        <f>C49+F49+I49+L49+O49+R49</f>
        <v/>
      </c>
      <c r="W49" s="32">
        <f>D49+G49+J49+M49+P49+S49</f>
        <v/>
      </c>
    </row>
    <row r="50">
      <c r="A50" s="17">
        <f>A49+7</f>
        <v/>
      </c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U50" s="32">
        <f>B50+E50+H50+K50+N50+Q50</f>
        <v/>
      </c>
      <c r="V50" s="32">
        <f>C50+F50+I50+L50+O50+R50</f>
        <v/>
      </c>
      <c r="W50" s="32">
        <f>D50+G50+J50+M50+P50+S50</f>
        <v/>
      </c>
    </row>
    <row r="51">
      <c r="A51" s="17">
        <f>A50+7</f>
        <v/>
      </c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1" t="n"/>
      <c r="U51" s="32">
        <f>B51+E51+H51+K51+N51+Q51</f>
        <v/>
      </c>
      <c r="V51" s="32">
        <f>C51+F51+I51+L51+O51+R51</f>
        <v/>
      </c>
      <c r="W51" s="32">
        <f>D51+G51+J51+M51+P51+S51</f>
        <v/>
      </c>
    </row>
    <row r="52">
      <c r="A52" s="17">
        <f>A51+7</f>
        <v/>
      </c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U52" s="32">
        <f>B52+E52+H52+K52+N52+Q52</f>
        <v/>
      </c>
      <c r="V52" s="32">
        <f>C52+F52+I52+L52+O52+R52</f>
        <v/>
      </c>
      <c r="W52" s="32">
        <f>D52+G52+J52+M52+P52+S52</f>
        <v/>
      </c>
    </row>
  </sheetData>
  <mergeCells count="10">
    <mergeCell ref="B3:D3"/>
    <mergeCell ref="U1:W1"/>
    <mergeCell ref="B2:S2"/>
    <mergeCell ref="A1:S1"/>
    <mergeCell ref="A2:A3"/>
    <mergeCell ref="E3:G3"/>
    <mergeCell ref="K3:M3"/>
    <mergeCell ref="H3:J3"/>
    <mergeCell ref="N3:P3"/>
    <mergeCell ref="Q3:S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S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4472C4"/>
    <outlinePr summaryBelow="1" summaryRight="1"/>
    <pageSetUpPr/>
  </sheetPr>
  <dimension ref="A1:AJ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I8" sqref="I8"/>
    </sheetView>
  </sheetViews>
  <sheetFormatPr baseColWidth="8" defaultRowHeight="15"/>
  <cols>
    <col width="14" customWidth="1" style="102" min="1" max="1"/>
    <col width="10" customWidth="1" style="102" min="2" max="23"/>
    <col width="10" customWidth="1" style="102" min="3" max="3"/>
    <col width="10" customWidth="1" style="102" min="4" max="4"/>
    <col width="10" customWidth="1" style="102" min="5" max="5"/>
    <col width="10" customWidth="1" style="102" min="6" max="6"/>
    <col width="10" customWidth="1" style="102" min="7" max="7"/>
    <col width="10" customWidth="1" style="102" min="8" max="8"/>
    <col width="10" customWidth="1" style="102" min="9" max="9"/>
    <col width="10" customWidth="1" style="102" min="10" max="10"/>
    <col width="10" customWidth="1" style="102" min="11" max="11"/>
    <col width="10" customWidth="1" style="102" min="12" max="12"/>
    <col width="10" customWidth="1" style="102" min="13" max="13"/>
    <col width="10" customWidth="1" style="102" min="14" max="14"/>
    <col width="10" customWidth="1" style="102" min="15" max="15"/>
    <col width="10" customWidth="1" style="102" min="16" max="16"/>
    <col width="10" customWidth="1" style="102" min="17" max="17"/>
    <col width="10" customWidth="1" style="102" min="18" max="18"/>
    <col width="10" customWidth="1" style="102" min="19" max="19"/>
    <col width="10" customWidth="1" style="102" min="20" max="20"/>
    <col width="10" customWidth="1" style="102" min="21" max="21"/>
    <col width="10" customWidth="1" style="102" min="22" max="22"/>
    <col width="10" customWidth="1" style="102" min="23" max="23"/>
    <col width="10" customWidth="1" style="102" min="24" max="24"/>
    <col width="10" customWidth="1" style="102" min="25" max="25"/>
    <col width="10" customWidth="1" style="102" min="26" max="26"/>
    <col width="10" customWidth="1" style="102" min="27" max="27"/>
    <col width="10" customWidth="1" style="102" min="28" max="28"/>
    <col width="10" customWidth="1" style="102" min="29" max="29"/>
    <col width="10" customWidth="1" style="102" min="30" max="30"/>
    <col width="10" customWidth="1" style="102" min="31" max="31"/>
    <col width="10" customWidth="1" style="102" min="32" max="32"/>
    <col width="10" customWidth="1" style="102" min="33" max="33"/>
    <col width="10" customWidth="1" style="102" min="34" max="34"/>
    <col width="10" customWidth="1" style="102" min="35" max="35"/>
    <col width="10" customWidth="1" style="102" min="36" max="36"/>
  </cols>
  <sheetData>
    <row r="1" ht="30" customHeight="1" s="102">
      <c r="A1" s="118" t="inlineStr">
        <is>
          <t>ПЛАН ЧИСТ ПОДЗЕМ</t>
        </is>
      </c>
    </row>
    <row r="2">
      <c r="A2" s="115" t="inlineStr">
        <is>
          <t>Дата</t>
        </is>
      </c>
      <c r="B2" s="115" t="inlineStr">
        <is>
          <t>Подземная часть</t>
        </is>
      </c>
      <c r="C2" s="119" t="n"/>
      <c r="D2" s="119" t="n"/>
      <c r="E2" s="119" t="n"/>
      <c r="F2" s="119" t="n"/>
      <c r="G2" s="119" t="n"/>
      <c r="H2" s="119" t="n"/>
      <c r="I2" s="119" t="n"/>
      <c r="J2" s="119" t="n"/>
      <c r="K2" s="119" t="n"/>
      <c r="L2" s="119" t="n"/>
      <c r="M2" s="119" t="n"/>
      <c r="N2" s="119" t="n"/>
      <c r="O2" s="119" t="n"/>
      <c r="P2" s="119" t="n"/>
      <c r="Q2" s="119" t="n"/>
      <c r="R2" s="119" t="n"/>
      <c r="S2" s="119" t="n"/>
      <c r="T2" s="119" t="n"/>
      <c r="U2" s="119" t="n"/>
      <c r="V2" s="119" t="n"/>
      <c r="W2" s="119" t="n"/>
      <c r="X2" s="119" t="n"/>
      <c r="Y2" s="119" t="n"/>
      <c r="Z2" s="119" t="n"/>
      <c r="AA2" s="119" t="n"/>
      <c r="AB2" s="119" t="n"/>
      <c r="AC2" s="119" t="n"/>
      <c r="AD2" s="119" t="n"/>
      <c r="AE2" s="120" t="n"/>
      <c r="AF2" s="121" t="n"/>
      <c r="AG2" s="121" t="n"/>
      <c r="AH2" s="121" t="n"/>
      <c r="AI2" s="121" t="n"/>
      <c r="AJ2" s="121" t="n"/>
    </row>
    <row r="3">
      <c r="A3" s="122" t="n"/>
      <c r="B3" s="115" t="inlineStr">
        <is>
          <t>8.1.1 Отделка паркинг и рампы</t>
        </is>
      </c>
      <c r="C3" s="119" t="n"/>
      <c r="D3" s="119" t="n"/>
      <c r="E3" s="119" t="n"/>
      <c r="F3" s="120" t="n"/>
      <c r="G3" s="115" t="inlineStr">
        <is>
          <t>8.1.2 Отделка эвакуац. лестн. клетки подзем.</t>
        </is>
      </c>
      <c r="H3" s="119" t="n"/>
      <c r="I3" s="119" t="n"/>
      <c r="J3" s="119" t="n"/>
      <c r="K3" s="120" t="n"/>
      <c r="L3" s="115" t="inlineStr">
        <is>
          <t>8.1.3 Лифт. холлы, тамбур-шлюзы подзем.</t>
        </is>
      </c>
      <c r="M3" s="119" t="n"/>
      <c r="N3" s="119" t="n"/>
      <c r="O3" s="119" t="n"/>
      <c r="P3" s="120" t="n"/>
      <c r="Q3" s="115" t="inlineStr">
        <is>
          <t>8.1.4 Технич. помещения подзем.</t>
        </is>
      </c>
      <c r="R3" s="119" t="n"/>
      <c r="S3" s="119" t="n"/>
      <c r="T3" s="119" t="n"/>
      <c r="U3" s="120" t="n"/>
      <c r="V3" s="115" t="inlineStr">
        <is>
          <t>8.1.5 Прочие помещения подзем.</t>
        </is>
      </c>
      <c r="W3" s="119" t="n"/>
      <c r="X3" s="119" t="n"/>
      <c r="Y3" s="119" t="n"/>
      <c r="Z3" s="120" t="n"/>
      <c r="AA3" s="115" t="inlineStr">
        <is>
          <t>8.1.6 Коммерч. помещения подзем.</t>
        </is>
      </c>
      <c r="AB3" s="119" t="n"/>
      <c r="AC3" s="119" t="n"/>
      <c r="AD3" s="119" t="n"/>
      <c r="AE3" s="120" t="n"/>
      <c r="AF3" s="115" t="inlineStr">
        <is>
          <t>Итого</t>
        </is>
      </c>
      <c r="AG3" s="119" t="n"/>
      <c r="AH3" s="119" t="n"/>
      <c r="AI3" s="119" t="n"/>
      <c r="AJ3" s="120" t="n"/>
    </row>
    <row r="4">
      <c r="A4" s="123" t="n"/>
      <c r="B4" s="115" t="inlineStr">
        <is>
          <t>Пол</t>
        </is>
      </c>
      <c r="C4" s="115" t="inlineStr">
        <is>
          <t>Стены</t>
        </is>
      </c>
      <c r="D4" s="115" t="inlineStr">
        <is>
          <t>Потолок</t>
        </is>
      </c>
      <c r="E4" s="115" t="inlineStr">
        <is>
          <t>Запол.</t>
        </is>
      </c>
      <c r="F4" s="115" t="inlineStr">
        <is>
          <t>Мебл.</t>
        </is>
      </c>
      <c r="G4" s="115" t="inlineStr">
        <is>
          <t>Пол</t>
        </is>
      </c>
      <c r="H4" s="115" t="inlineStr">
        <is>
          <t>Стены</t>
        </is>
      </c>
      <c r="I4" s="115" t="inlineStr">
        <is>
          <t>Потолок</t>
        </is>
      </c>
      <c r="J4" s="115" t="inlineStr">
        <is>
          <t>Запол.</t>
        </is>
      </c>
      <c r="K4" s="115" t="inlineStr">
        <is>
          <t>Мебл.</t>
        </is>
      </c>
      <c r="L4" s="115" t="inlineStr">
        <is>
          <t>Пол</t>
        </is>
      </c>
      <c r="M4" s="115" t="inlineStr">
        <is>
          <t>Стены</t>
        </is>
      </c>
      <c r="N4" s="115" t="inlineStr">
        <is>
          <t>Потолок</t>
        </is>
      </c>
      <c r="O4" s="115" t="inlineStr">
        <is>
          <t>Запол.</t>
        </is>
      </c>
      <c r="P4" s="115" t="inlineStr">
        <is>
          <t>Мебл.</t>
        </is>
      </c>
      <c r="Q4" s="115" t="inlineStr">
        <is>
          <t>Пол</t>
        </is>
      </c>
      <c r="R4" s="115" t="inlineStr">
        <is>
          <t>Стены</t>
        </is>
      </c>
      <c r="S4" s="115" t="inlineStr">
        <is>
          <t>Потолок</t>
        </is>
      </c>
      <c r="T4" s="115" t="inlineStr">
        <is>
          <t>Запол.</t>
        </is>
      </c>
      <c r="U4" s="115" t="inlineStr">
        <is>
          <t>Мебл.</t>
        </is>
      </c>
      <c r="V4" s="115" t="inlineStr">
        <is>
          <t>Пол</t>
        </is>
      </c>
      <c r="W4" s="115" t="inlineStr">
        <is>
          <t>Стены</t>
        </is>
      </c>
      <c r="X4" s="115" t="inlineStr">
        <is>
          <t>Потолок</t>
        </is>
      </c>
      <c r="Y4" s="115" t="inlineStr">
        <is>
          <t>Запол.</t>
        </is>
      </c>
      <c r="Z4" s="115" t="inlineStr">
        <is>
          <t>Мебл.</t>
        </is>
      </c>
      <c r="AA4" s="115" t="inlineStr">
        <is>
          <t>Пол</t>
        </is>
      </c>
      <c r="AB4" s="115" t="inlineStr">
        <is>
          <t>Стены</t>
        </is>
      </c>
      <c r="AC4" s="115" t="inlineStr">
        <is>
          <t>Потолок</t>
        </is>
      </c>
      <c r="AD4" s="115" t="inlineStr">
        <is>
          <t>Запол.</t>
        </is>
      </c>
      <c r="AE4" s="115" t="inlineStr">
        <is>
          <t>Мебл.</t>
        </is>
      </c>
      <c r="AF4" s="115" t="inlineStr">
        <is>
          <t>Пол</t>
        </is>
      </c>
      <c r="AG4" s="115" t="inlineStr">
        <is>
          <t>Стены</t>
        </is>
      </c>
      <c r="AH4" s="115" t="inlineStr">
        <is>
          <t>Потолок</t>
        </is>
      </c>
      <c r="AI4" s="115" t="inlineStr">
        <is>
          <t>Запол.</t>
        </is>
      </c>
      <c r="AJ4" s="115" t="inlineStr">
        <is>
          <t>Мебл.</t>
        </is>
      </c>
    </row>
    <row r="5">
      <c r="A5" s="124">
        <f>СПРАВОЧНИК!$B$35</f>
        <v/>
      </c>
      <c r="B5" s="125" t="n"/>
      <c r="C5" s="125" t="n"/>
      <c r="D5" s="125" t="n"/>
      <c r="E5" s="125" t="n"/>
      <c r="F5" s="125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>
        <f>B5+G5+L5+Q5+V5+AA5</f>
        <v/>
      </c>
      <c r="AG5" s="125">
        <f>C5+H5+M5+R5+W5+AB5</f>
        <v/>
      </c>
      <c r="AH5" s="125">
        <f>D5+I5+N5+S5+X5+AC5</f>
        <v/>
      </c>
      <c r="AI5" s="125">
        <f>E5+J5+O5+T5+Y5+AD5</f>
        <v/>
      </c>
      <c r="AJ5" s="125">
        <f>F5+K5+P5+U5+Z5+AE5</f>
        <v/>
      </c>
    </row>
    <row r="6">
      <c r="A6" s="124">
        <f>A5+7</f>
        <v/>
      </c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>
        <f>B6+G6+L6+Q6+V6+AA6</f>
        <v/>
      </c>
      <c r="AG6" s="125">
        <f>C6+H6+M6+R6+W6+AB6</f>
        <v/>
      </c>
      <c r="AH6" s="125">
        <f>D6+I6+N6+S6+X6+AC6</f>
        <v/>
      </c>
      <c r="AI6" s="125">
        <f>E6+J6+O6+T6+Y6+AD6</f>
        <v/>
      </c>
      <c r="AJ6" s="125">
        <f>F6+K6+P6+U6+Z6+AE6</f>
        <v/>
      </c>
    </row>
    <row r="7">
      <c r="A7" s="124">
        <f>A6+7</f>
        <v/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>
        <f>B7+G7+L7+Q7+V7+AA7</f>
        <v/>
      </c>
      <c r="AG7" s="125">
        <f>C7+H7+M7+R7+W7+AB7</f>
        <v/>
      </c>
      <c r="AH7" s="125">
        <f>D7+I7+N7+S7+X7+AC7</f>
        <v/>
      </c>
      <c r="AI7" s="125">
        <f>E7+J7+O7+T7+Y7+AD7</f>
        <v/>
      </c>
      <c r="AJ7" s="125">
        <f>F7+K7+P7+U7+Z7+AE7</f>
        <v/>
      </c>
    </row>
    <row r="8">
      <c r="A8" s="124">
        <f>A7+7</f>
        <v/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>
        <f>B8+G8+L8+Q8+V8+AA8</f>
        <v/>
      </c>
      <c r="AG8" s="125">
        <f>C8+H8+M8+R8+W8+AB8</f>
        <v/>
      </c>
      <c r="AH8" s="125">
        <f>D8+I8+N8+S8+X8+AC8</f>
        <v/>
      </c>
      <c r="AI8" s="125">
        <f>E8+J8+O8+T8+Y8+AD8</f>
        <v/>
      </c>
      <c r="AJ8" s="125">
        <f>F8+K8+P8+U8+Z8+AE8</f>
        <v/>
      </c>
    </row>
    <row r="9">
      <c r="A9" s="124">
        <f>A8+7</f>
        <v/>
      </c>
      <c r="B9" s="125" t="n"/>
      <c r="C9" s="125" t="n"/>
      <c r="D9" s="125" t="n"/>
      <c r="E9" s="125" t="n"/>
      <c r="F9" s="125" t="n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>
        <f>B9+G9+L9+Q9+V9+AA9</f>
        <v/>
      </c>
      <c r="AG9" s="125">
        <f>C9+H9+M9+R9+W9+AB9</f>
        <v/>
      </c>
      <c r="AH9" s="125">
        <f>D9+I9+N9+S9+X9+AC9</f>
        <v/>
      </c>
      <c r="AI9" s="125">
        <f>E9+J9+O9+T9+Y9+AD9</f>
        <v/>
      </c>
      <c r="AJ9" s="125">
        <f>F9+K9+P9+U9+Z9+AE9</f>
        <v/>
      </c>
    </row>
    <row r="10">
      <c r="A10" s="124">
        <f>A9+7</f>
        <v/>
      </c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>
        <f>B10+G10+L10+Q10+V10+AA10</f>
        <v/>
      </c>
      <c r="AG10" s="125">
        <f>C10+H10+M10+R10+W10+AB10</f>
        <v/>
      </c>
      <c r="AH10" s="125">
        <f>D10+I10+N10+S10+X10+AC10</f>
        <v/>
      </c>
      <c r="AI10" s="125">
        <f>E10+J10+O10+T10+Y10+AD10</f>
        <v/>
      </c>
      <c r="AJ10" s="125">
        <f>F10+K10+P10+U10+Z10+AE10</f>
        <v/>
      </c>
    </row>
    <row r="11">
      <c r="A11" s="124">
        <f>A10+7</f>
        <v/>
      </c>
      <c r="B11" s="125" t="n"/>
      <c r="C11" s="125" t="n"/>
      <c r="D11" s="125" t="n"/>
      <c r="E11" s="125" t="n"/>
      <c r="F11" s="125" t="n"/>
      <c r="G11" s="125" t="n"/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>
        <f>B11+G11+L11+Q11+V11+AA11</f>
        <v/>
      </c>
      <c r="AG11" s="125">
        <f>C11+H11+M11+R11+W11+AB11</f>
        <v/>
      </c>
      <c r="AH11" s="125">
        <f>D11+I11+N11+S11+X11+AC11</f>
        <v/>
      </c>
      <c r="AI11" s="125">
        <f>E11+J11+O11+T11+Y11+AD11</f>
        <v/>
      </c>
      <c r="AJ11" s="125">
        <f>F11+K11+P11+U11+Z11+AE11</f>
        <v/>
      </c>
    </row>
    <row r="12">
      <c r="A12" s="124">
        <f>A11+7</f>
        <v/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>
        <f>B12+G12+L12+Q12+V12+AA12</f>
        <v/>
      </c>
      <c r="AG12" s="125">
        <f>C12+H12+M12+R12+W12+AB12</f>
        <v/>
      </c>
      <c r="AH12" s="125">
        <f>D12+I12+N12+S12+X12+AC12</f>
        <v/>
      </c>
      <c r="AI12" s="125">
        <f>E12+J12+O12+T12+Y12+AD12</f>
        <v/>
      </c>
      <c r="AJ12" s="125">
        <f>F12+K12+P12+U12+Z12+AE12</f>
        <v/>
      </c>
    </row>
    <row r="13">
      <c r="A13" s="124">
        <f>A12+7</f>
        <v/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>
        <f>B13+G13+L13+Q13+V13+AA13</f>
        <v/>
      </c>
      <c r="AG13" s="125">
        <f>C13+H13+M13+R13+W13+AB13</f>
        <v/>
      </c>
      <c r="AH13" s="125">
        <f>D13+I13+N13+S13+X13+AC13</f>
        <v/>
      </c>
      <c r="AI13" s="125">
        <f>E13+J13+O13+T13+Y13+AD13</f>
        <v/>
      </c>
      <c r="AJ13" s="125">
        <f>F13+K13+P13+U13+Z13+AE13</f>
        <v/>
      </c>
    </row>
    <row r="14">
      <c r="A14" s="124">
        <f>A13+7</f>
        <v/>
      </c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>
        <f>B14+G14+L14+Q14+V14+AA14</f>
        <v/>
      </c>
      <c r="AG14" s="125">
        <f>C14+H14+M14+R14+W14+AB14</f>
        <v/>
      </c>
      <c r="AH14" s="125">
        <f>D14+I14+N14+S14+X14+AC14</f>
        <v/>
      </c>
      <c r="AI14" s="125">
        <f>E14+J14+O14+T14+Y14+AD14</f>
        <v/>
      </c>
      <c r="AJ14" s="125">
        <f>F14+K14+P14+U14+Z14+AE14</f>
        <v/>
      </c>
    </row>
    <row r="15">
      <c r="A15" s="124">
        <f>A14+7</f>
        <v/>
      </c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>
        <f>B15+G15+L15+Q15+V15+AA15</f>
        <v/>
      </c>
      <c r="AG15" s="125">
        <f>C15+H15+M15+R15+W15+AB15</f>
        <v/>
      </c>
      <c r="AH15" s="125">
        <f>D15+I15+N15+S15+X15+AC15</f>
        <v/>
      </c>
      <c r="AI15" s="125">
        <f>E15+J15+O15+T15+Y15+AD15</f>
        <v/>
      </c>
      <c r="AJ15" s="125">
        <f>F15+K15+P15+U15+Z15+AE15</f>
        <v/>
      </c>
    </row>
    <row r="16">
      <c r="A16" s="124">
        <f>A15+7</f>
        <v/>
      </c>
      <c r="B16" s="125" t="n"/>
      <c r="C16" s="125" t="n"/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>
        <f>B16+G16+L16+Q16+V16+AA16</f>
        <v/>
      </c>
      <c r="AG16" s="125">
        <f>C16+H16+M16+R16+W16+AB16</f>
        <v/>
      </c>
      <c r="AH16" s="125">
        <f>D16+I16+N16+S16+X16+AC16</f>
        <v/>
      </c>
      <c r="AI16" s="125">
        <f>E16+J16+O16+T16+Y16+AD16</f>
        <v/>
      </c>
      <c r="AJ16" s="125">
        <f>F16+K16+P16+U16+Z16+AE16</f>
        <v/>
      </c>
    </row>
    <row r="17">
      <c r="A17" s="124">
        <f>A16+7</f>
        <v/>
      </c>
      <c r="B17" s="125" t="n"/>
      <c r="C17" s="125" t="n"/>
      <c r="D17" s="125" t="n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>
        <f>B17+G17+L17+Q17+V17+AA17</f>
        <v/>
      </c>
      <c r="AG17" s="125">
        <f>C17+H17+M17+R17+W17+AB17</f>
        <v/>
      </c>
      <c r="AH17" s="125">
        <f>D17+I17+N17+S17+X17+AC17</f>
        <v/>
      </c>
      <c r="AI17" s="125">
        <f>E17+J17+O17+T17+Y17+AD17</f>
        <v/>
      </c>
      <c r="AJ17" s="125">
        <f>F17+K17+P17+U17+Z17+AE17</f>
        <v/>
      </c>
    </row>
    <row r="18">
      <c r="A18" s="124">
        <f>A17+7</f>
        <v/>
      </c>
      <c r="B18" s="125" t="n"/>
      <c r="C18" s="125" t="n"/>
      <c r="D18" s="125" t="n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>
        <f>B18+G18+L18+Q18+V18+AA18</f>
        <v/>
      </c>
      <c r="AG18" s="125">
        <f>C18+H18+M18+R18+W18+AB18</f>
        <v/>
      </c>
      <c r="AH18" s="125">
        <f>D18+I18+N18+S18+X18+AC18</f>
        <v/>
      </c>
      <c r="AI18" s="125">
        <f>E18+J18+O18+T18+Y18+AD18</f>
        <v/>
      </c>
      <c r="AJ18" s="125">
        <f>F18+K18+P18+U18+Z18+AE18</f>
        <v/>
      </c>
    </row>
    <row r="19">
      <c r="A19" s="124">
        <f>A18+7</f>
        <v/>
      </c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>
        <f>B19+G19+L19+Q19+V19+AA19</f>
        <v/>
      </c>
      <c r="AG19" s="125">
        <f>C19+H19+M19+R19+W19+AB19</f>
        <v/>
      </c>
      <c r="AH19" s="125">
        <f>D19+I19+N19+S19+X19+AC19</f>
        <v/>
      </c>
      <c r="AI19" s="125">
        <f>E19+J19+O19+T19+Y19+AD19</f>
        <v/>
      </c>
      <c r="AJ19" s="125">
        <f>F19+K19+P19+U19+Z19+AE19</f>
        <v/>
      </c>
    </row>
    <row r="20">
      <c r="A20" s="124">
        <f>A19+7</f>
        <v/>
      </c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>
        <f>B20+G20+L20+Q20+V20+AA20</f>
        <v/>
      </c>
      <c r="AG20" s="125">
        <f>C20+H20+M20+R20+W20+AB20</f>
        <v/>
      </c>
      <c r="AH20" s="125">
        <f>D20+I20+N20+S20+X20+AC20</f>
        <v/>
      </c>
      <c r="AI20" s="125">
        <f>E20+J20+O20+T20+Y20+AD20</f>
        <v/>
      </c>
      <c r="AJ20" s="125">
        <f>F20+K20+P20+U20+Z20+AE20</f>
        <v/>
      </c>
    </row>
    <row r="21">
      <c r="A21" s="124">
        <f>A20+7</f>
        <v/>
      </c>
      <c r="B21" s="125" t="n"/>
      <c r="C21" s="125" t="n"/>
      <c r="D21" s="125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>
        <f>B21+G21+L21+Q21+V21+AA21</f>
        <v/>
      </c>
      <c r="AG21" s="125">
        <f>C21+H21+M21+R21+W21+AB21</f>
        <v/>
      </c>
      <c r="AH21" s="125">
        <f>D21+I21+N21+S21+X21+AC21</f>
        <v/>
      </c>
      <c r="AI21" s="125">
        <f>E21+J21+O21+T21+Y21+AD21</f>
        <v/>
      </c>
      <c r="AJ21" s="125">
        <f>F21+K21+P21+U21+Z21+AE21</f>
        <v/>
      </c>
    </row>
    <row r="22">
      <c r="A22" s="124">
        <f>A21+7</f>
        <v/>
      </c>
      <c r="B22" s="125" t="n"/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>
        <f>B22+G22+L22+Q22+V22+AA22</f>
        <v/>
      </c>
      <c r="AG22" s="125">
        <f>C22+H22+M22+R22+W22+AB22</f>
        <v/>
      </c>
      <c r="AH22" s="125">
        <f>D22+I22+N22+S22+X22+AC22</f>
        <v/>
      </c>
      <c r="AI22" s="125">
        <f>E22+J22+O22+T22+Y22+AD22</f>
        <v/>
      </c>
      <c r="AJ22" s="125">
        <f>F22+K22+P22+U22+Z22+AE22</f>
        <v/>
      </c>
    </row>
    <row r="23">
      <c r="A23" s="124">
        <f>A22+7</f>
        <v/>
      </c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>
        <f>B23+G23+L23+Q23+V23+AA23</f>
        <v/>
      </c>
      <c r="AG23" s="125">
        <f>C23+H23+M23+R23+W23+AB23</f>
        <v/>
      </c>
      <c r="AH23" s="125">
        <f>D23+I23+N23+S23+X23+AC23</f>
        <v/>
      </c>
      <c r="AI23" s="125">
        <f>E23+J23+O23+T23+Y23+AD23</f>
        <v/>
      </c>
      <c r="AJ23" s="125">
        <f>F23+K23+P23+U23+Z23+AE23</f>
        <v/>
      </c>
    </row>
    <row r="24">
      <c r="A24" s="124">
        <f>A23+7</f>
        <v/>
      </c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>
        <f>B24+G24+L24+Q24+V24+AA24</f>
        <v/>
      </c>
      <c r="AG24" s="125">
        <f>C24+H24+M24+R24+W24+AB24</f>
        <v/>
      </c>
      <c r="AH24" s="125">
        <f>D24+I24+N24+S24+X24+AC24</f>
        <v/>
      </c>
      <c r="AI24" s="125">
        <f>E24+J24+O24+T24+Y24+AD24</f>
        <v/>
      </c>
      <c r="AJ24" s="125">
        <f>F24+K24+P24+U24+Z24+AE24</f>
        <v/>
      </c>
    </row>
    <row r="25">
      <c r="A25" s="124">
        <f>A24+7</f>
        <v/>
      </c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>
        <f>B25+G25+L25+Q25+V25+AA25</f>
        <v/>
      </c>
      <c r="AG25" s="125">
        <f>C25+H25+M25+R25+W25+AB25</f>
        <v/>
      </c>
      <c r="AH25" s="125">
        <f>D25+I25+N25+S25+X25+AC25</f>
        <v/>
      </c>
      <c r="AI25" s="125">
        <f>E25+J25+O25+T25+Y25+AD25</f>
        <v/>
      </c>
      <c r="AJ25" s="125">
        <f>F25+K25+P25+U25+Z25+AE25</f>
        <v/>
      </c>
    </row>
    <row r="26">
      <c r="A26" s="124">
        <f>A25+7</f>
        <v/>
      </c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>
        <f>B26+G26+L26+Q26+V26+AA26</f>
        <v/>
      </c>
      <c r="AG26" s="125">
        <f>C26+H26+M26+R26+W26+AB26</f>
        <v/>
      </c>
      <c r="AH26" s="125">
        <f>D26+I26+N26+S26+X26+AC26</f>
        <v/>
      </c>
      <c r="AI26" s="125">
        <f>E26+J26+O26+T26+Y26+AD26</f>
        <v/>
      </c>
      <c r="AJ26" s="125">
        <f>F26+K26+P26+U26+Z26+AE26</f>
        <v/>
      </c>
    </row>
    <row r="27">
      <c r="A27" s="124">
        <f>A26+7</f>
        <v/>
      </c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>
        <f>B27+G27+L27+Q27+V27+AA27</f>
        <v/>
      </c>
      <c r="AG27" s="125">
        <f>C27+H27+M27+R27+W27+AB27</f>
        <v/>
      </c>
      <c r="AH27" s="125">
        <f>D27+I27+N27+S27+X27+AC27</f>
        <v/>
      </c>
      <c r="AI27" s="125">
        <f>E27+J27+O27+T27+Y27+AD27</f>
        <v/>
      </c>
      <c r="AJ27" s="125">
        <f>F27+K27+P27+U27+Z27+AE27</f>
        <v/>
      </c>
    </row>
    <row r="28">
      <c r="A28" s="124">
        <f>A27+7</f>
        <v/>
      </c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>
        <f>B28+G28+L28+Q28+V28+AA28</f>
        <v/>
      </c>
      <c r="AG28" s="125">
        <f>C28+H28+M28+R28+W28+AB28</f>
        <v/>
      </c>
      <c r="AH28" s="125">
        <f>D28+I28+N28+S28+X28+AC28</f>
        <v/>
      </c>
      <c r="AI28" s="125">
        <f>E28+J28+O28+T28+Y28+AD28</f>
        <v/>
      </c>
      <c r="AJ28" s="125">
        <f>F28+K28+P28+U28+Z28+AE28</f>
        <v/>
      </c>
    </row>
    <row r="29">
      <c r="A29" s="124">
        <f>A28+7</f>
        <v/>
      </c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>
        <f>B29+G29+L29+Q29+V29+AA29</f>
        <v/>
      </c>
      <c r="AG29" s="125">
        <f>C29+H29+M29+R29+W29+AB29</f>
        <v/>
      </c>
      <c r="AH29" s="125">
        <f>D29+I29+N29+S29+X29+AC29</f>
        <v/>
      </c>
      <c r="AI29" s="125">
        <f>E29+J29+O29+T29+Y29+AD29</f>
        <v/>
      </c>
      <c r="AJ29" s="125">
        <f>F29+K29+P29+U29+Z29+AE29</f>
        <v/>
      </c>
    </row>
    <row r="30">
      <c r="A30" s="124">
        <f>A29+7</f>
        <v/>
      </c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>
        <f>B30+G30+L30+Q30+V30+AA30</f>
        <v/>
      </c>
      <c r="AG30" s="125">
        <f>C30+H30+M30+R30+W30+AB30</f>
        <v/>
      </c>
      <c r="AH30" s="125">
        <f>D30+I30+N30+S30+X30+AC30</f>
        <v/>
      </c>
      <c r="AI30" s="125">
        <f>E30+J30+O30+T30+Y30+AD30</f>
        <v/>
      </c>
      <c r="AJ30" s="125">
        <f>F30+K30+P30+U30+Z30+AE30</f>
        <v/>
      </c>
    </row>
    <row r="31">
      <c r="A31" s="124">
        <f>A30+7</f>
        <v/>
      </c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>
        <f>B31+G31+L31+Q31+V31+AA31</f>
        <v/>
      </c>
      <c r="AG31" s="125">
        <f>C31+H31+M31+R31+W31+AB31</f>
        <v/>
      </c>
      <c r="AH31" s="125">
        <f>D31+I31+N31+S31+X31+AC31</f>
        <v/>
      </c>
      <c r="AI31" s="125">
        <f>E31+J31+O31+T31+Y31+AD31</f>
        <v/>
      </c>
      <c r="AJ31" s="125">
        <f>F31+K31+P31+U31+Z31+AE31</f>
        <v/>
      </c>
    </row>
    <row r="32">
      <c r="A32" s="124">
        <f>A31+7</f>
        <v/>
      </c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>
        <f>B32+G32+L32+Q32+V32+AA32</f>
        <v/>
      </c>
      <c r="AG32" s="125">
        <f>C32+H32+M32+R32+W32+AB32</f>
        <v/>
      </c>
      <c r="AH32" s="125">
        <f>D32+I32+N32+S32+X32+AC32</f>
        <v/>
      </c>
      <c r="AI32" s="125">
        <f>E32+J32+O32+T32+Y32+AD32</f>
        <v/>
      </c>
      <c r="AJ32" s="125">
        <f>F32+K32+P32+U32+Z32+AE32</f>
        <v/>
      </c>
    </row>
    <row r="33">
      <c r="A33" s="124">
        <f>A32+7</f>
        <v/>
      </c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>
        <f>B33+G33+L33+Q33+V33+AA33</f>
        <v/>
      </c>
      <c r="AG33" s="125">
        <f>C33+H33+M33+R33+W33+AB33</f>
        <v/>
      </c>
      <c r="AH33" s="125">
        <f>D33+I33+N33+S33+X33+AC33</f>
        <v/>
      </c>
      <c r="AI33" s="125">
        <f>E33+J33+O33+T33+Y33+AD33</f>
        <v/>
      </c>
      <c r="AJ33" s="125">
        <f>F33+K33+P33+U33+Z33+AE33</f>
        <v/>
      </c>
    </row>
    <row r="34">
      <c r="A34" s="124">
        <f>A33+7</f>
        <v/>
      </c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>
        <f>B34+G34+L34+Q34+V34+AA34</f>
        <v/>
      </c>
      <c r="AG34" s="125">
        <f>C34+H34+M34+R34+W34+AB34</f>
        <v/>
      </c>
      <c r="AH34" s="125">
        <f>D34+I34+N34+S34+X34+AC34</f>
        <v/>
      </c>
      <c r="AI34" s="125">
        <f>E34+J34+O34+T34+Y34+AD34</f>
        <v/>
      </c>
      <c r="AJ34" s="125">
        <f>F34+K34+P34+U34+Z34+AE34</f>
        <v/>
      </c>
    </row>
    <row r="35">
      <c r="A35" s="124">
        <f>A34+7</f>
        <v/>
      </c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>
        <f>B35+G35+L35+Q35+V35+AA35</f>
        <v/>
      </c>
      <c r="AG35" s="125">
        <f>C35+H35+M35+R35+W35+AB35</f>
        <v/>
      </c>
      <c r="AH35" s="125">
        <f>D35+I35+N35+S35+X35+AC35</f>
        <v/>
      </c>
      <c r="AI35" s="125">
        <f>E35+J35+O35+T35+Y35+AD35</f>
        <v/>
      </c>
      <c r="AJ35" s="125">
        <f>F35+K35+P35+U35+Z35+AE35</f>
        <v/>
      </c>
    </row>
    <row r="36">
      <c r="A36" s="124">
        <f>A35+7</f>
        <v/>
      </c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>
        <f>B36+G36+L36+Q36+V36+AA36</f>
        <v/>
      </c>
      <c r="AG36" s="125">
        <f>C36+H36+M36+R36+W36+AB36</f>
        <v/>
      </c>
      <c r="AH36" s="125">
        <f>D36+I36+N36+S36+X36+AC36</f>
        <v/>
      </c>
      <c r="AI36" s="125">
        <f>E36+J36+O36+T36+Y36+AD36</f>
        <v/>
      </c>
      <c r="AJ36" s="125">
        <f>F36+K36+P36+U36+Z36+AE36</f>
        <v/>
      </c>
    </row>
    <row r="37">
      <c r="A37" s="124">
        <f>A36+7</f>
        <v/>
      </c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>
        <f>B37+G37+L37+Q37+V37+AA37</f>
        <v/>
      </c>
      <c r="AG37" s="125">
        <f>C37+H37+M37+R37+W37+AB37</f>
        <v/>
      </c>
      <c r="AH37" s="125">
        <f>D37+I37+N37+S37+X37+AC37</f>
        <v/>
      </c>
      <c r="AI37" s="125">
        <f>E37+J37+O37+T37+Y37+AD37</f>
        <v/>
      </c>
      <c r="AJ37" s="125">
        <f>F37+K37+P37+U37+Z37+AE37</f>
        <v/>
      </c>
    </row>
    <row r="38">
      <c r="A38" s="124">
        <f>A37+7</f>
        <v/>
      </c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>
        <f>B38+G38+L38+Q38+V38+AA38</f>
        <v/>
      </c>
      <c r="AG38" s="125">
        <f>C38+H38+M38+R38+W38+AB38</f>
        <v/>
      </c>
      <c r="AH38" s="125">
        <f>D38+I38+N38+S38+X38+AC38</f>
        <v/>
      </c>
      <c r="AI38" s="125">
        <f>E38+J38+O38+T38+Y38+AD38</f>
        <v/>
      </c>
      <c r="AJ38" s="125">
        <f>F38+K38+P38+U38+Z38+AE38</f>
        <v/>
      </c>
    </row>
    <row r="39">
      <c r="A39" s="124">
        <f>A38+7</f>
        <v/>
      </c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>
        <f>B39+G39+L39+Q39+V39+AA39</f>
        <v/>
      </c>
      <c r="AG39" s="125">
        <f>C39+H39+M39+R39+W39+AB39</f>
        <v/>
      </c>
      <c r="AH39" s="125">
        <f>D39+I39+N39+S39+X39+AC39</f>
        <v/>
      </c>
      <c r="AI39" s="125">
        <f>E39+J39+O39+T39+Y39+AD39</f>
        <v/>
      </c>
      <c r="AJ39" s="125">
        <f>F39+K39+P39+U39+Z39+AE39</f>
        <v/>
      </c>
    </row>
    <row r="40">
      <c r="A40" s="124">
        <f>A39+7</f>
        <v/>
      </c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>
        <f>B40+G40+L40+Q40+V40+AA40</f>
        <v/>
      </c>
      <c r="AG40" s="125">
        <f>C40+H40+M40+R40+W40+AB40</f>
        <v/>
      </c>
      <c r="AH40" s="125">
        <f>D40+I40+N40+S40+X40+AC40</f>
        <v/>
      </c>
      <c r="AI40" s="125">
        <f>E40+J40+O40+T40+Y40+AD40</f>
        <v/>
      </c>
      <c r="AJ40" s="125">
        <f>F40+K40+P40+U40+Z40+AE40</f>
        <v/>
      </c>
    </row>
    <row r="41">
      <c r="A41" s="124">
        <f>A40+7</f>
        <v/>
      </c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>
        <f>B41+G41+L41+Q41+V41+AA41</f>
        <v/>
      </c>
      <c r="AG41" s="125">
        <f>C41+H41+M41+R41+W41+AB41</f>
        <v/>
      </c>
      <c r="AH41" s="125">
        <f>D41+I41+N41+S41+X41+AC41</f>
        <v/>
      </c>
      <c r="AI41" s="125">
        <f>E41+J41+O41+T41+Y41+AD41</f>
        <v/>
      </c>
      <c r="AJ41" s="125">
        <f>F41+K41+P41+U41+Z41+AE41</f>
        <v/>
      </c>
    </row>
    <row r="42">
      <c r="A42" s="124">
        <f>A41+7</f>
        <v/>
      </c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>
        <f>B42+G42+L42+Q42+V42+AA42</f>
        <v/>
      </c>
      <c r="AG42" s="125">
        <f>C42+H42+M42+R42+W42+AB42</f>
        <v/>
      </c>
      <c r="AH42" s="125">
        <f>D42+I42+N42+S42+X42+AC42</f>
        <v/>
      </c>
      <c r="AI42" s="125">
        <f>E42+J42+O42+T42+Y42+AD42</f>
        <v/>
      </c>
      <c r="AJ42" s="125">
        <f>F42+K42+P42+U42+Z42+AE42</f>
        <v/>
      </c>
    </row>
    <row r="43">
      <c r="A43" s="124">
        <f>A42+7</f>
        <v/>
      </c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>
        <f>B43+G43+L43+Q43+V43+AA43</f>
        <v/>
      </c>
      <c r="AG43" s="125">
        <f>C43+H43+M43+R43+W43+AB43</f>
        <v/>
      </c>
      <c r="AH43" s="125">
        <f>D43+I43+N43+S43+X43+AC43</f>
        <v/>
      </c>
      <c r="AI43" s="125">
        <f>E43+J43+O43+T43+Y43+AD43</f>
        <v/>
      </c>
      <c r="AJ43" s="125">
        <f>F43+K43+P43+U43+Z43+AE43</f>
        <v/>
      </c>
    </row>
    <row r="44">
      <c r="A44" s="124">
        <f>A43+7</f>
        <v/>
      </c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>
        <f>B44+G44+L44+Q44+V44+AA44</f>
        <v/>
      </c>
      <c r="AG44" s="125">
        <f>C44+H44+M44+R44+W44+AB44</f>
        <v/>
      </c>
      <c r="AH44" s="125">
        <f>D44+I44+N44+S44+X44+AC44</f>
        <v/>
      </c>
      <c r="AI44" s="125">
        <f>E44+J44+O44+T44+Y44+AD44</f>
        <v/>
      </c>
      <c r="AJ44" s="125">
        <f>F44+K44+P44+U44+Z44+AE44</f>
        <v/>
      </c>
    </row>
    <row r="45">
      <c r="A45" s="124">
        <f>A44+7</f>
        <v/>
      </c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>
        <f>B45+G45+L45+Q45+V45+AA45</f>
        <v/>
      </c>
      <c r="AG45" s="125">
        <f>C45+H45+M45+R45+W45+AB45</f>
        <v/>
      </c>
      <c r="AH45" s="125">
        <f>D45+I45+N45+S45+X45+AC45</f>
        <v/>
      </c>
      <c r="AI45" s="125">
        <f>E45+J45+O45+T45+Y45+AD45</f>
        <v/>
      </c>
      <c r="AJ45" s="125">
        <f>F45+K45+P45+U45+Z45+AE45</f>
        <v/>
      </c>
    </row>
    <row r="46">
      <c r="A46" s="124">
        <f>A45+7</f>
        <v/>
      </c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>
        <f>B46+G46+L46+Q46+V46+AA46</f>
        <v/>
      </c>
      <c r="AG46" s="125">
        <f>C46+H46+M46+R46+W46+AB46</f>
        <v/>
      </c>
      <c r="AH46" s="125">
        <f>D46+I46+N46+S46+X46+AC46</f>
        <v/>
      </c>
      <c r="AI46" s="125">
        <f>E46+J46+O46+T46+Y46+AD46</f>
        <v/>
      </c>
      <c r="AJ46" s="125">
        <f>F46+K46+P46+U46+Z46+AE46</f>
        <v/>
      </c>
    </row>
    <row r="47">
      <c r="A47" s="124">
        <f>A46+7</f>
        <v/>
      </c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>
        <f>B47+G47+L47+Q47+V47+AA47</f>
        <v/>
      </c>
      <c r="AG47" s="125">
        <f>C47+H47+M47+R47+W47+AB47</f>
        <v/>
      </c>
      <c r="AH47" s="125">
        <f>D47+I47+N47+S47+X47+AC47</f>
        <v/>
      </c>
      <c r="AI47" s="125">
        <f>E47+J47+O47+T47+Y47+AD47</f>
        <v/>
      </c>
      <c r="AJ47" s="125">
        <f>F47+K47+P47+U47+Z47+AE47</f>
        <v/>
      </c>
    </row>
    <row r="48">
      <c r="A48" s="124">
        <f>A47+7</f>
        <v/>
      </c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>
        <f>B48+G48+L48+Q48+V48+AA48</f>
        <v/>
      </c>
      <c r="AG48" s="125">
        <f>C48+H48+M48+R48+W48+AB48</f>
        <v/>
      </c>
      <c r="AH48" s="125">
        <f>D48+I48+N48+S48+X48+AC48</f>
        <v/>
      </c>
      <c r="AI48" s="125">
        <f>E48+J48+O48+T48+Y48+AD48</f>
        <v/>
      </c>
      <c r="AJ48" s="125">
        <f>F48+K48+P48+U48+Z48+AE48</f>
        <v/>
      </c>
    </row>
    <row r="49">
      <c r="A49" s="124">
        <f>A48+7</f>
        <v/>
      </c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>
        <f>B49+G49+L49+Q49+V49+AA49</f>
        <v/>
      </c>
      <c r="AG49" s="125">
        <f>C49+H49+M49+R49+W49+AB49</f>
        <v/>
      </c>
      <c r="AH49" s="125">
        <f>D49+I49+N49+S49+X49+AC49</f>
        <v/>
      </c>
      <c r="AI49" s="125">
        <f>E49+J49+O49+T49+Y49+AD49</f>
        <v/>
      </c>
      <c r="AJ49" s="125">
        <f>F49+K49+P49+U49+Z49+AE49</f>
        <v/>
      </c>
    </row>
    <row r="50">
      <c r="A50" s="124">
        <f>A49+7</f>
        <v/>
      </c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>
        <f>B50+G50+L50+Q50+V50+AA50</f>
        <v/>
      </c>
      <c r="AG50" s="125">
        <f>C50+H50+M50+R50+W50+AB50</f>
        <v/>
      </c>
      <c r="AH50" s="125">
        <f>D50+I50+N50+S50+X50+AC50</f>
        <v/>
      </c>
      <c r="AI50" s="125">
        <f>E50+J50+O50+T50+Y50+AD50</f>
        <v/>
      </c>
      <c r="AJ50" s="125">
        <f>F50+K50+P50+U50+Z50+AE50</f>
        <v/>
      </c>
    </row>
    <row r="51">
      <c r="A51" s="124">
        <f>A50+7</f>
        <v/>
      </c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>
        <f>B51+G51+L51+Q51+V51+AA51</f>
        <v/>
      </c>
      <c r="AG51" s="125">
        <f>C51+H51+M51+R51+W51+AB51</f>
        <v/>
      </c>
      <c r="AH51" s="125">
        <f>D51+I51+N51+S51+X51+AC51</f>
        <v/>
      </c>
      <c r="AI51" s="125">
        <f>E51+J51+O51+T51+Y51+AD51</f>
        <v/>
      </c>
      <c r="AJ51" s="125">
        <f>F51+K51+P51+U51+Z51+AE51</f>
        <v/>
      </c>
    </row>
    <row r="52">
      <c r="A52" s="124">
        <f>A51+7</f>
        <v/>
      </c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>
        <f>B52+G52+L52+Q52+V52+AA52</f>
        <v/>
      </c>
      <c r="AG52" s="125">
        <f>C52+H52+M52+R52+W52+AB52</f>
        <v/>
      </c>
      <c r="AH52" s="125">
        <f>D52+I52+N52+S52+X52+AC52</f>
        <v/>
      </c>
      <c r="AI52" s="125">
        <f>E52+J52+O52+T52+Y52+AD52</f>
        <v/>
      </c>
      <c r="AJ52" s="125">
        <f>F52+K52+P52+U52+Z52+AE52</f>
        <v/>
      </c>
    </row>
  </sheetData>
  <mergeCells count="10">
    <mergeCell ref="G3:K3"/>
    <mergeCell ref="V3:Z3"/>
    <mergeCell ref="L3:P3"/>
    <mergeCell ref="AA3:AE3"/>
    <mergeCell ref="AF3:AJ3"/>
    <mergeCell ref="Q3:U3"/>
    <mergeCell ref="A2:A4"/>
    <mergeCell ref="B3:F3"/>
    <mergeCell ref="B2:AE2"/>
    <mergeCell ref="A1:AJ1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S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V1"/>
    </sheetView>
  </sheetViews>
  <sheetFormatPr baseColWidth="8" defaultRowHeight="15"/>
  <cols>
    <col width="12" customWidth="1" style="102" min="1" max="1"/>
    <col width="10" customWidth="1" style="102" min="2" max="26"/>
  </cols>
  <sheetData>
    <row r="1">
      <c r="A1" s="101" t="inlineStr">
        <is>
          <t>ПЛАН ЧЕРН К1</t>
        </is>
      </c>
      <c r="X1" s="107" t="inlineStr">
        <is>
          <t>Итого К1</t>
        </is>
      </c>
    </row>
    <row r="2">
      <c r="A2" s="108" t="inlineStr">
        <is>
          <t>Дата</t>
        </is>
      </c>
      <c r="B2" s="110" t="inlineStr">
        <is>
          <t>Надземная часть</t>
        </is>
      </c>
      <c r="C2" s="105" t="n"/>
      <c r="D2" s="105" t="n"/>
      <c r="E2" s="105" t="n"/>
      <c r="F2" s="105" t="n"/>
      <c r="G2" s="105" t="n"/>
      <c r="H2" s="105" t="n"/>
      <c r="I2" s="105" t="n"/>
      <c r="J2" s="105" t="n"/>
      <c r="K2" s="105" t="n"/>
      <c r="L2" s="105" t="n"/>
      <c r="M2" s="105" t="n"/>
      <c r="N2" s="105" t="n"/>
      <c r="O2" s="105" t="n"/>
      <c r="P2" s="105" t="n"/>
      <c r="Q2" s="105" t="n"/>
      <c r="R2" s="105" t="n"/>
      <c r="S2" s="105" t="n"/>
      <c r="T2" s="105" t="n"/>
      <c r="U2" s="105" t="n"/>
      <c r="V2" s="106" t="n"/>
    </row>
    <row r="3">
      <c r="A3" s="109" t="n"/>
      <c r="B3" s="110" t="inlineStr">
        <is>
          <t>8.2.1 Отделка лобби/гранд-лобби</t>
        </is>
      </c>
      <c r="C3" s="105" t="n"/>
      <c r="D3" s="106" t="n"/>
      <c r="E3" s="110" t="inlineStr">
        <is>
          <t>8.2.2 Отделка эвакуац. лестн. клетки надзем.</t>
        </is>
      </c>
      <c r="F3" s="105" t="n"/>
      <c r="G3" s="106" t="n"/>
      <c r="H3" s="110" t="inlineStr">
        <is>
          <t>8.2.3 Лифт. холлы, тамбур-шлюзы надзем.</t>
        </is>
      </c>
      <c r="I3" s="105" t="n"/>
      <c r="J3" s="106" t="n"/>
      <c r="K3" s="110" t="inlineStr">
        <is>
          <t>8.2.4 Технич. помещения надзем.</t>
        </is>
      </c>
      <c r="L3" s="105" t="n"/>
      <c r="M3" s="106" t="n"/>
      <c r="N3" s="110" t="inlineStr">
        <is>
          <t>8.2.5 Прочие помещения надзем.</t>
        </is>
      </c>
      <c r="O3" s="105" t="n"/>
      <c r="P3" s="106" t="n"/>
      <c r="Q3" s="110" t="inlineStr">
        <is>
          <t>8.2.6 Коммерч. помещения надзем.</t>
        </is>
      </c>
      <c r="R3" s="105" t="n"/>
      <c r="S3" s="106" t="n"/>
      <c r="T3" s="110" t="inlineStr">
        <is>
          <t>8.2.7 Паркинг и рампы надзем.</t>
        </is>
      </c>
      <c r="U3" s="105" t="n"/>
      <c r="V3" s="106" t="n"/>
      <c r="X3" s="29" t="inlineStr">
        <is>
          <t>Пол</t>
        </is>
      </c>
      <c r="Y3" s="29" t="inlineStr">
        <is>
          <t>Стены</t>
        </is>
      </c>
      <c r="Z3" s="29" t="inlineStr">
        <is>
          <t>Потолок</t>
        </is>
      </c>
    </row>
    <row r="4">
      <c r="B4" s="110" t="inlineStr">
        <is>
          <t>Пол</t>
        </is>
      </c>
      <c r="C4" s="110" t="inlineStr">
        <is>
          <t>Стены</t>
        </is>
      </c>
      <c r="D4" s="110" t="inlineStr">
        <is>
          <t>Потолок</t>
        </is>
      </c>
      <c r="E4" s="110" t="inlineStr">
        <is>
          <t>Пол</t>
        </is>
      </c>
      <c r="F4" s="110" t="inlineStr">
        <is>
          <t>Стены</t>
        </is>
      </c>
      <c r="G4" s="110" t="inlineStr">
        <is>
          <t>Потолок</t>
        </is>
      </c>
      <c r="H4" s="110" t="inlineStr">
        <is>
          <t>Пол</t>
        </is>
      </c>
      <c r="I4" s="110" t="inlineStr">
        <is>
          <t>Стены</t>
        </is>
      </c>
      <c r="J4" s="110" t="inlineStr">
        <is>
          <t>Потолок</t>
        </is>
      </c>
      <c r="K4" s="110" t="inlineStr">
        <is>
          <t>Пол</t>
        </is>
      </c>
      <c r="L4" s="110" t="inlineStr">
        <is>
          <t>Стены</t>
        </is>
      </c>
      <c r="M4" s="110" t="inlineStr">
        <is>
          <t>Потолок</t>
        </is>
      </c>
      <c r="N4" s="110" t="inlineStr">
        <is>
          <t>Пол</t>
        </is>
      </c>
      <c r="O4" s="110" t="inlineStr">
        <is>
          <t>Стены</t>
        </is>
      </c>
      <c r="P4" s="110" t="inlineStr">
        <is>
          <t>Потолок</t>
        </is>
      </c>
      <c r="Q4" s="110" t="inlineStr">
        <is>
          <t>Пол</t>
        </is>
      </c>
      <c r="R4" s="110" t="inlineStr">
        <is>
          <t>Стены</t>
        </is>
      </c>
      <c r="S4" s="110" t="inlineStr">
        <is>
          <t>Потолок</t>
        </is>
      </c>
      <c r="T4" s="110" t="inlineStr">
        <is>
          <t>Пол</t>
        </is>
      </c>
      <c r="U4" s="110" t="inlineStr">
        <is>
          <t>Стены</t>
        </is>
      </c>
      <c r="V4" s="110" t="inlineStr">
        <is>
          <t>Потолок</t>
        </is>
      </c>
      <c r="X4" s="30" t="n"/>
      <c r="Y4" s="30" t="n"/>
      <c r="Z4" s="30" t="n"/>
    </row>
    <row r="5">
      <c r="A5" s="17">
        <f>СПРАВОЧНИК!$B$35</f>
        <v/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X5" s="32">
        <f>B5+E5+H5+K5+N5+Q5+T5</f>
        <v/>
      </c>
      <c r="Y5" s="32">
        <f>C5+F5+I5+L5+O5+R5+U5</f>
        <v/>
      </c>
      <c r="Z5" s="32">
        <f>D5+G5+J5+M5+P5+S5+V5</f>
        <v/>
      </c>
    </row>
    <row r="6">
      <c r="A6" s="17">
        <f>A5+7</f>
        <v/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X6" s="32">
        <f>B6+E6+H6+K6+N6+Q6+T6</f>
        <v/>
      </c>
      <c r="Y6" s="32">
        <f>C6+F6+I6+L6+O6+R6+U6</f>
        <v/>
      </c>
      <c r="Z6" s="32">
        <f>D6+G6+J6+M6+P6+S6+V6</f>
        <v/>
      </c>
    </row>
    <row r="7">
      <c r="A7" s="17">
        <f>A6+7</f>
        <v/>
      </c>
      <c r="B7" s="31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X7" s="32">
        <f>B7+E7+H7+K7+N7+Q7+T7</f>
        <v/>
      </c>
      <c r="Y7" s="32">
        <f>C7+F7+I7+L7+O7+R7+U7</f>
        <v/>
      </c>
      <c r="Z7" s="32">
        <f>D7+G7+J7+M7+P7+S7+V7</f>
        <v/>
      </c>
    </row>
    <row r="8">
      <c r="A8" s="17">
        <f>A7+7</f>
        <v/>
      </c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X8" s="32">
        <f>B8+E8+H8+K8+N8+Q8+T8</f>
        <v/>
      </c>
      <c r="Y8" s="32">
        <f>C8+F8+I8+L8+O8+R8+U8</f>
        <v/>
      </c>
      <c r="Z8" s="32">
        <f>D8+G8+J8+M8+P8+S8+V8</f>
        <v/>
      </c>
    </row>
    <row r="9">
      <c r="A9" s="17">
        <f>A8+7</f>
        <v/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X9" s="32">
        <f>B9+E9+H9+K9+N9+Q9+T9</f>
        <v/>
      </c>
      <c r="Y9" s="32">
        <f>C9+F9+I9+L9+O9+R9+U9</f>
        <v/>
      </c>
      <c r="Z9" s="32">
        <f>D9+G9+J9+M9+P9+S9+V9</f>
        <v/>
      </c>
    </row>
    <row r="10">
      <c r="A10" s="17">
        <f>A9+7</f>
        <v/>
      </c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X10" s="32">
        <f>B10+E10+H10+K10+N10+Q10+T10</f>
        <v/>
      </c>
      <c r="Y10" s="32">
        <f>C10+F10+I10+L10+O10+R10+U10</f>
        <v/>
      </c>
      <c r="Z10" s="32">
        <f>D10+G10+J10+M10+P10+S10+V10</f>
        <v/>
      </c>
    </row>
    <row r="11">
      <c r="A11" s="17">
        <f>A10+7</f>
        <v/>
      </c>
      <c r="B11" s="31" t="n"/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  <c r="Q11" s="31" t="n"/>
      <c r="R11" s="31" t="n"/>
      <c r="S11" s="31" t="n"/>
      <c r="T11" s="31" t="n"/>
      <c r="U11" s="31" t="n"/>
      <c r="V11" s="31" t="n"/>
      <c r="X11" s="32">
        <f>B11+E11+H11+K11+N11+Q11+T11</f>
        <v/>
      </c>
      <c r="Y11" s="32">
        <f>C11+F11+I11+L11+O11+R11+U11</f>
        <v/>
      </c>
      <c r="Z11" s="32">
        <f>D11+G11+J11+M11+P11+S11+V11</f>
        <v/>
      </c>
    </row>
    <row r="12">
      <c r="A12" s="17">
        <f>A11+7</f>
        <v/>
      </c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X12" s="32">
        <f>B12+E12+H12+K12+N12+Q12+T12</f>
        <v/>
      </c>
      <c r="Y12" s="32">
        <f>C12+F12+I12+L12+O12+R12+U12</f>
        <v/>
      </c>
      <c r="Z12" s="32">
        <f>D12+G12+J12+M12+P12+S12+V12</f>
        <v/>
      </c>
    </row>
    <row r="13">
      <c r="A13" s="17">
        <f>A12+7</f>
        <v/>
      </c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X13" s="32">
        <f>B13+E13+H13+K13+N13+Q13+T13</f>
        <v/>
      </c>
      <c r="Y13" s="32">
        <f>C13+F13+I13+L13+O13+R13+U13</f>
        <v/>
      </c>
      <c r="Z13" s="32">
        <f>D13+G13+J13+M13+P13+S13+V13</f>
        <v/>
      </c>
    </row>
    <row r="14">
      <c r="A14" s="17">
        <f>A13+7</f>
        <v/>
      </c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X14" s="32">
        <f>B14+E14+H14+K14+N14+Q14+T14</f>
        <v/>
      </c>
      <c r="Y14" s="32">
        <f>C14+F14+I14+L14+O14+R14+U14</f>
        <v/>
      </c>
      <c r="Z14" s="32">
        <f>D14+G14+J14+M14+P14+S14+V14</f>
        <v/>
      </c>
    </row>
    <row r="15">
      <c r="A15" s="17">
        <f>A14+7</f>
        <v/>
      </c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X15" s="32">
        <f>B15+E15+H15+K15+N15+Q15+T15</f>
        <v/>
      </c>
      <c r="Y15" s="32">
        <f>C15+F15+I15+L15+O15+R15+U15</f>
        <v/>
      </c>
      <c r="Z15" s="32">
        <f>D15+G15+J15+M15+P15+S15+V15</f>
        <v/>
      </c>
    </row>
    <row r="16">
      <c r="A16" s="17">
        <f>A15+7</f>
        <v/>
      </c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X16" s="32">
        <f>B16+E16+H16+K16+N16+Q16+T16</f>
        <v/>
      </c>
      <c r="Y16" s="32">
        <f>C16+F16+I16+L16+O16+R16+U16</f>
        <v/>
      </c>
      <c r="Z16" s="32">
        <f>D16+G16+J16+M16+P16+S16+V16</f>
        <v/>
      </c>
    </row>
    <row r="17">
      <c r="A17" s="17">
        <f>A16+7</f>
        <v/>
      </c>
      <c r="B17" s="31" t="n"/>
      <c r="C17" s="31" t="n"/>
      <c r="D17" s="31" t="n"/>
      <c r="E17" s="31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31" t="n"/>
      <c r="O17" s="31" t="n"/>
      <c r="P17" s="31" t="n"/>
      <c r="Q17" s="31" t="n"/>
      <c r="R17" s="31" t="n"/>
      <c r="S17" s="31" t="n"/>
      <c r="T17" s="31" t="n"/>
      <c r="U17" s="31" t="n"/>
      <c r="V17" s="31" t="n"/>
      <c r="X17" s="32">
        <f>B17+E17+H17+K17+N17+Q17+T17</f>
        <v/>
      </c>
      <c r="Y17" s="32">
        <f>C17+F17+I17+L17+O17+R17+U17</f>
        <v/>
      </c>
      <c r="Z17" s="32">
        <f>D17+G17+J17+M17+P17+S17+V17</f>
        <v/>
      </c>
    </row>
    <row r="18">
      <c r="A18" s="17">
        <f>A17+7</f>
        <v/>
      </c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X18" s="32">
        <f>B18+E18+H18+K18+N18+Q18+T18</f>
        <v/>
      </c>
      <c r="Y18" s="32">
        <f>C18+F18+I18+L18+O18+R18+U18</f>
        <v/>
      </c>
      <c r="Z18" s="32">
        <f>D18+G18+J18+M18+P18+S18+V18</f>
        <v/>
      </c>
    </row>
    <row r="19">
      <c r="A19" s="17">
        <f>A18+7</f>
        <v/>
      </c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X19" s="32">
        <f>B19+E19+H19+K19+N19+Q19+T19</f>
        <v/>
      </c>
      <c r="Y19" s="32">
        <f>C19+F19+I19+L19+O19+R19+U19</f>
        <v/>
      </c>
      <c r="Z19" s="32">
        <f>D19+G19+J19+M19+P19+S19+V19</f>
        <v/>
      </c>
    </row>
    <row r="20">
      <c r="A20" s="17">
        <f>A19+7</f>
        <v/>
      </c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X20" s="32">
        <f>B20+E20+H20+K20+N20+Q20+T20</f>
        <v/>
      </c>
      <c r="Y20" s="32">
        <f>C20+F20+I20+L20+O20+R20+U20</f>
        <v/>
      </c>
      <c r="Z20" s="32">
        <f>D20+G20+J20+M20+P20+S20+V20</f>
        <v/>
      </c>
    </row>
    <row r="21">
      <c r="A21" s="17">
        <f>A20+7</f>
        <v/>
      </c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X21" s="32">
        <f>B21+E21+H21+K21+N21+Q21+T21</f>
        <v/>
      </c>
      <c r="Y21" s="32">
        <f>C21+F21+I21+L21+O21+R21+U21</f>
        <v/>
      </c>
      <c r="Z21" s="32">
        <f>D21+G21+J21+M21+P21+S21+V21</f>
        <v/>
      </c>
    </row>
    <row r="22">
      <c r="A22" s="17">
        <f>A21+7</f>
        <v/>
      </c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X22" s="32">
        <f>B22+E22+H22+K22+N22+Q22+T22</f>
        <v/>
      </c>
      <c r="Y22" s="32">
        <f>C22+F22+I22+L22+O22+R22+U22</f>
        <v/>
      </c>
      <c r="Z22" s="32">
        <f>D22+G22+J22+M22+P22+S22+V22</f>
        <v/>
      </c>
    </row>
    <row r="23">
      <c r="A23" s="17">
        <f>A22+7</f>
        <v/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X23" s="32">
        <f>B23+E23+H23+K23+N23+Q23+T23</f>
        <v/>
      </c>
      <c r="Y23" s="32">
        <f>C23+F23+I23+L23+O23+R23+U23</f>
        <v/>
      </c>
      <c r="Z23" s="32">
        <f>D23+G23+J23+M23+P23+S23+V23</f>
        <v/>
      </c>
    </row>
    <row r="24">
      <c r="A24" s="17">
        <f>A23+7</f>
        <v/>
      </c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X24" s="32">
        <f>B24+E24+H24+K24+N24+Q24+T24</f>
        <v/>
      </c>
      <c r="Y24" s="32">
        <f>C24+F24+I24+L24+O24+R24+U24</f>
        <v/>
      </c>
      <c r="Z24" s="32">
        <f>D24+G24+J24+M24+P24+S24+V24</f>
        <v/>
      </c>
    </row>
    <row r="25">
      <c r="A25" s="17">
        <f>A24+7</f>
        <v/>
      </c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X25" s="32">
        <f>B25+E25+H25+K25+N25+Q25+T25</f>
        <v/>
      </c>
      <c r="Y25" s="32">
        <f>C25+F25+I25+L25+O25+R25+U25</f>
        <v/>
      </c>
      <c r="Z25" s="32">
        <f>D25+G25+J25+M25+P25+S25+V25</f>
        <v/>
      </c>
    </row>
    <row r="26">
      <c r="A26" s="17">
        <f>A25+7</f>
        <v/>
      </c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X26" s="32">
        <f>B26+E26+H26+K26+N26+Q26+T26</f>
        <v/>
      </c>
      <c r="Y26" s="32">
        <f>C26+F26+I26+L26+O26+R26+U26</f>
        <v/>
      </c>
      <c r="Z26" s="32">
        <f>D26+G26+J26+M26+P26+S26+V26</f>
        <v/>
      </c>
    </row>
    <row r="27">
      <c r="A27" s="17">
        <f>A26+7</f>
        <v/>
      </c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X27" s="32">
        <f>B27+E27+H27+K27+N27+Q27+T27</f>
        <v/>
      </c>
      <c r="Y27" s="32">
        <f>C27+F27+I27+L27+O27+R27+U27</f>
        <v/>
      </c>
      <c r="Z27" s="32">
        <f>D27+G27+J27+M27+P27+S27+V27</f>
        <v/>
      </c>
    </row>
    <row r="28">
      <c r="A28" s="17">
        <f>A27+7</f>
        <v/>
      </c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X28" s="32">
        <f>B28+E28+H28+K28+N28+Q28+T28</f>
        <v/>
      </c>
      <c r="Y28" s="32">
        <f>C28+F28+I28+L28+O28+R28+U28</f>
        <v/>
      </c>
      <c r="Z28" s="32">
        <f>D28+G28+J28+M28+P28+S28+V28</f>
        <v/>
      </c>
    </row>
    <row r="29">
      <c r="A29" s="17">
        <f>A28+7</f>
        <v/>
      </c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X29" s="32">
        <f>B29+E29+H29+K29+N29+Q29+T29</f>
        <v/>
      </c>
      <c r="Y29" s="32">
        <f>C29+F29+I29+L29+O29+R29+U29</f>
        <v/>
      </c>
      <c r="Z29" s="32">
        <f>D29+G29+J29+M29+P29+S29+V29</f>
        <v/>
      </c>
    </row>
    <row r="30">
      <c r="A30" s="17">
        <f>A29+7</f>
        <v/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X30" s="32">
        <f>B30+E30+H30+K30+N30+Q30+T30</f>
        <v/>
      </c>
      <c r="Y30" s="32">
        <f>C30+F30+I30+L30+O30+R30+U30</f>
        <v/>
      </c>
      <c r="Z30" s="32">
        <f>D30+G30+J30+M30+P30+S30+V30</f>
        <v/>
      </c>
    </row>
    <row r="31">
      <c r="A31" s="17">
        <f>A30+7</f>
        <v/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X31" s="32">
        <f>B31+E31+H31+K31+N31+Q31+T31</f>
        <v/>
      </c>
      <c r="Y31" s="32">
        <f>C31+F31+I31+L31+O31+R31+U31</f>
        <v/>
      </c>
      <c r="Z31" s="32">
        <f>D31+G31+J31+M31+P31+S31+V31</f>
        <v/>
      </c>
    </row>
    <row r="32">
      <c r="A32" s="17">
        <f>A31+7</f>
        <v/>
      </c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X32" s="32">
        <f>B32+E32+H32+K32+N32+Q32+T32</f>
        <v/>
      </c>
      <c r="Y32" s="32">
        <f>C32+F32+I32+L32+O32+R32+U32</f>
        <v/>
      </c>
      <c r="Z32" s="32">
        <f>D32+G32+J32+M32+P32+S32+V32</f>
        <v/>
      </c>
    </row>
    <row r="33">
      <c r="A33" s="17">
        <f>A32+7</f>
        <v/>
      </c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X33" s="32">
        <f>B33+E33+H33+K33+N33+Q33+T33</f>
        <v/>
      </c>
      <c r="Y33" s="32">
        <f>C33+F33+I33+L33+O33+R33+U33</f>
        <v/>
      </c>
      <c r="Z33" s="32">
        <f>D33+G33+J33+M33+P33+S33+V33</f>
        <v/>
      </c>
    </row>
    <row r="34">
      <c r="A34" s="17">
        <f>A33+7</f>
        <v/>
      </c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X34" s="32">
        <f>B34+E34+H34+K34+N34+Q34+T34</f>
        <v/>
      </c>
      <c r="Y34" s="32">
        <f>C34+F34+I34+L34+O34+R34+U34</f>
        <v/>
      </c>
      <c r="Z34" s="32">
        <f>D34+G34+J34+M34+P34+S34+V34</f>
        <v/>
      </c>
    </row>
    <row r="35">
      <c r="A35" s="17">
        <f>A34+7</f>
        <v/>
      </c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X35" s="32">
        <f>B35+E35+H35+K35+N35+Q35+T35</f>
        <v/>
      </c>
      <c r="Y35" s="32">
        <f>C35+F35+I35+L35+O35+R35+U35</f>
        <v/>
      </c>
      <c r="Z35" s="32">
        <f>D35+G35+J35+M35+P35+S35+V35</f>
        <v/>
      </c>
    </row>
    <row r="36">
      <c r="A36" s="17">
        <f>A35+7</f>
        <v/>
      </c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X36" s="32">
        <f>B36+E36+H36+K36+N36+Q36+T36</f>
        <v/>
      </c>
      <c r="Y36" s="32">
        <f>C36+F36+I36+L36+O36+R36+U36</f>
        <v/>
      </c>
      <c r="Z36" s="32">
        <f>D36+G36+J36+M36+P36+S36+V36</f>
        <v/>
      </c>
    </row>
    <row r="37">
      <c r="A37" s="17">
        <f>A36+7</f>
        <v/>
      </c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X37" s="32">
        <f>B37+E37+H37+K37+N37+Q37+T37</f>
        <v/>
      </c>
      <c r="Y37" s="32">
        <f>C37+F37+I37+L37+O37+R37+U37</f>
        <v/>
      </c>
      <c r="Z37" s="32">
        <f>D37+G37+J37+M37+P37+S37+V37</f>
        <v/>
      </c>
    </row>
    <row r="38">
      <c r="A38" s="17">
        <f>A37+7</f>
        <v/>
      </c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X38" s="32">
        <f>B38+E38+H38+K38+N38+Q38+T38</f>
        <v/>
      </c>
      <c r="Y38" s="32">
        <f>C38+F38+I38+L38+O38+R38+U38</f>
        <v/>
      </c>
      <c r="Z38" s="32">
        <f>D38+G38+J38+M38+P38+S38+V38</f>
        <v/>
      </c>
    </row>
    <row r="39">
      <c r="A39" s="17">
        <f>A38+7</f>
        <v/>
      </c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X39" s="32">
        <f>B39+E39+H39+K39+N39+Q39+T39</f>
        <v/>
      </c>
      <c r="Y39" s="32">
        <f>C39+F39+I39+L39+O39+R39+U39</f>
        <v/>
      </c>
      <c r="Z39" s="32">
        <f>D39+G39+J39+M39+P39+S39+V39</f>
        <v/>
      </c>
    </row>
    <row r="40">
      <c r="A40" s="17">
        <f>A39+7</f>
        <v/>
      </c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X40" s="32">
        <f>B40+E40+H40+K40+N40+Q40+T40</f>
        <v/>
      </c>
      <c r="Y40" s="32">
        <f>C40+F40+I40+L40+O40+R40+U40</f>
        <v/>
      </c>
      <c r="Z40" s="32">
        <f>D40+G40+J40+M40+P40+S40+V40</f>
        <v/>
      </c>
    </row>
    <row r="41">
      <c r="A41" s="17">
        <f>A40+7</f>
        <v/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X41" s="32">
        <f>B41+E41+H41+K41+N41+Q41+T41</f>
        <v/>
      </c>
      <c r="Y41" s="32">
        <f>C41+F41+I41+L41+O41+R41+U41</f>
        <v/>
      </c>
      <c r="Z41" s="32">
        <f>D41+G41+J41+M41+P41+S41+V41</f>
        <v/>
      </c>
    </row>
    <row r="42">
      <c r="A42" s="17">
        <f>A41+7</f>
        <v/>
      </c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X42" s="32">
        <f>B42+E42+H42+K42+N42+Q42+T42</f>
        <v/>
      </c>
      <c r="Y42" s="32">
        <f>C42+F42+I42+L42+O42+R42+U42</f>
        <v/>
      </c>
      <c r="Z42" s="32">
        <f>D42+G42+J42+M42+P42+S42+V42</f>
        <v/>
      </c>
    </row>
    <row r="43">
      <c r="A43" s="17">
        <f>A42+7</f>
        <v/>
      </c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X43" s="32">
        <f>B43+E43+H43+K43+N43+Q43+T43</f>
        <v/>
      </c>
      <c r="Y43" s="32">
        <f>C43+F43+I43+L43+O43+R43+U43</f>
        <v/>
      </c>
      <c r="Z43" s="32">
        <f>D43+G43+J43+M43+P43+S43+V43</f>
        <v/>
      </c>
    </row>
    <row r="44">
      <c r="A44" s="17">
        <f>A43+7</f>
        <v/>
      </c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X44" s="32">
        <f>B44+E44+H44+K44+N44+Q44+T44</f>
        <v/>
      </c>
      <c r="Y44" s="32">
        <f>C44+F44+I44+L44+O44+R44+U44</f>
        <v/>
      </c>
      <c r="Z44" s="32">
        <f>D44+G44+J44+M44+P44+S44+V44</f>
        <v/>
      </c>
    </row>
    <row r="45">
      <c r="A45" s="17">
        <f>A44+7</f>
        <v/>
      </c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X45" s="32">
        <f>B45+E45+H45+K45+N45+Q45+T45</f>
        <v/>
      </c>
      <c r="Y45" s="32">
        <f>C45+F45+I45+L45+O45+R45+U45</f>
        <v/>
      </c>
      <c r="Z45" s="32">
        <f>D45+G45+J45+M45+P45+S45+V45</f>
        <v/>
      </c>
    </row>
    <row r="46">
      <c r="A46" s="17">
        <f>A45+7</f>
        <v/>
      </c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X46" s="32">
        <f>B46+E46+H46+K46+N46+Q46+T46</f>
        <v/>
      </c>
      <c r="Y46" s="32">
        <f>C46+F46+I46+L46+O46+R46+U46</f>
        <v/>
      </c>
      <c r="Z46" s="32">
        <f>D46+G46+J46+M46+P46+S46+V46</f>
        <v/>
      </c>
    </row>
    <row r="47">
      <c r="A47" s="17">
        <f>A46+7</f>
        <v/>
      </c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X47" s="32">
        <f>B47+E47+H47+K47+N47+Q47+T47</f>
        <v/>
      </c>
      <c r="Y47" s="32">
        <f>C47+F47+I47+L47+O47+R47+U47</f>
        <v/>
      </c>
      <c r="Z47" s="32">
        <f>D47+G47+J47+M47+P47+S47+V47</f>
        <v/>
      </c>
    </row>
    <row r="48">
      <c r="A48" s="17">
        <f>A47+7</f>
        <v/>
      </c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X48" s="32">
        <f>B48+E48+H48+K48+N48+Q48+T48</f>
        <v/>
      </c>
      <c r="Y48" s="32">
        <f>C48+F48+I48+L48+O48+R48+U48</f>
        <v/>
      </c>
      <c r="Z48" s="32">
        <f>D48+G48+J48+M48+P48+S48+V48</f>
        <v/>
      </c>
    </row>
    <row r="49">
      <c r="A49" s="17">
        <f>A48+7</f>
        <v/>
      </c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X49" s="32">
        <f>B49+E49+H49+K49+N49+Q49+T49</f>
        <v/>
      </c>
      <c r="Y49" s="32">
        <f>C49+F49+I49+L49+O49+R49+U49</f>
        <v/>
      </c>
      <c r="Z49" s="32">
        <f>D49+G49+J49+M49+P49+S49+V49</f>
        <v/>
      </c>
    </row>
    <row r="50">
      <c r="A50" s="17">
        <f>A49+7</f>
        <v/>
      </c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X50" s="32">
        <f>B50+E50+H50+K50+N50+Q50+T50</f>
        <v/>
      </c>
      <c r="Y50" s="32">
        <f>C50+F50+I50+L50+O50+R50+U50</f>
        <v/>
      </c>
      <c r="Z50" s="32">
        <f>D50+G50+J50+M50+P50+S50+V50</f>
        <v/>
      </c>
    </row>
    <row r="51">
      <c r="A51" s="17">
        <f>A50+7</f>
        <v/>
      </c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X51" s="32">
        <f>B51+E51+H51+K51+N51+Q51+T51</f>
        <v/>
      </c>
      <c r="Y51" s="32">
        <f>C51+F51+I51+L51+O51+R51+U51</f>
        <v/>
      </c>
      <c r="Z51" s="32">
        <f>D51+G51+J51+M51+P51+S51+V51</f>
        <v/>
      </c>
    </row>
    <row r="52">
      <c r="A52" s="17">
        <f>A51+7</f>
        <v/>
      </c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X52" s="32">
        <f>B52+E52+H52+K52+N52+Q52+T52</f>
        <v/>
      </c>
      <c r="Y52" s="32">
        <f>C52+F52+I52+L52+O52+R52+U52</f>
        <v/>
      </c>
      <c r="Z52" s="32">
        <f>D52+G52+J52+M52+P52+S52+V52</f>
        <v/>
      </c>
    </row>
  </sheetData>
  <mergeCells count="11">
    <mergeCell ref="B3:D3"/>
    <mergeCell ref="B2:V2"/>
    <mergeCell ref="A1:V1"/>
    <mergeCell ref="T3:V3"/>
    <mergeCell ref="A2:A3"/>
    <mergeCell ref="E3:G3"/>
    <mergeCell ref="K3:M3"/>
    <mergeCell ref="H3:J3"/>
    <mergeCell ref="X1:Z1"/>
    <mergeCell ref="N3:P3"/>
    <mergeCell ref="Q3:S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V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AO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W1"/>
    </sheetView>
  </sheetViews>
  <sheetFormatPr baseColWidth="8" defaultRowHeight="15"/>
  <cols>
    <col width="14" customWidth="1" style="102" min="1" max="1"/>
    <col width="10" customWidth="1" style="102" min="2" max="27"/>
    <col width="10" customWidth="1" style="102" min="3" max="3"/>
    <col width="10" customWidth="1" style="102" min="4" max="4"/>
    <col width="10" customWidth="1" style="102" min="5" max="5"/>
    <col width="10" customWidth="1" style="102" min="6" max="6"/>
    <col width="10" customWidth="1" style="102" min="7" max="7"/>
    <col width="10" customWidth="1" style="102" min="8" max="8"/>
    <col width="10" customWidth="1" style="102" min="9" max="9"/>
    <col width="10" customWidth="1" style="102" min="10" max="10"/>
    <col width="10" customWidth="1" style="102" min="11" max="11"/>
    <col width="10" customWidth="1" style="102" min="12" max="12"/>
    <col width="10" customWidth="1" style="102" min="13" max="13"/>
    <col width="10" customWidth="1" style="102" min="14" max="14"/>
    <col width="10" customWidth="1" style="102" min="15" max="15"/>
    <col width="10" customWidth="1" style="102" min="16" max="16"/>
    <col width="10" customWidth="1" style="102" min="17" max="17"/>
    <col width="10" customWidth="1" style="102" min="18" max="18"/>
    <col width="10" customWidth="1" style="102" min="19" max="19"/>
    <col width="10" customWidth="1" style="102" min="20" max="20"/>
    <col width="10" customWidth="1" style="102" min="21" max="21"/>
    <col width="10" customWidth="1" style="102" min="22" max="22"/>
    <col width="10" customWidth="1" style="102" min="23" max="23"/>
    <col width="10" customWidth="1" style="102" min="24" max="24"/>
    <col width="10" customWidth="1" style="102" min="25" max="25"/>
    <col width="10" customWidth="1" style="102" min="26" max="26"/>
    <col width="10" customWidth="1" style="102" min="27" max="27"/>
    <col width="10" customWidth="1" style="102" min="28" max="28"/>
    <col width="10" customWidth="1" style="102" min="29" max="29"/>
    <col width="10" customWidth="1" style="102" min="30" max="30"/>
    <col width="10" customWidth="1" style="102" min="31" max="31"/>
    <col width="10" customWidth="1" style="102" min="32" max="32"/>
    <col width="10" customWidth="1" style="102" min="33" max="33"/>
    <col width="10" customWidth="1" style="102" min="34" max="34"/>
    <col width="10" customWidth="1" style="102" min="35" max="35"/>
    <col width="10" customWidth="1" style="102" min="36" max="36"/>
    <col width="10" customWidth="1" style="102" min="37" max="37"/>
    <col width="10" customWidth="1" style="102" min="38" max="38"/>
    <col width="10" customWidth="1" style="102" min="39" max="39"/>
    <col width="10" customWidth="1" style="102" min="40" max="40"/>
    <col width="10" customWidth="1" style="102" min="41" max="41"/>
  </cols>
  <sheetData>
    <row r="1">
      <c r="A1" s="118" t="inlineStr">
        <is>
          <t>ПЛАН ЧИСТ К1</t>
        </is>
      </c>
    </row>
    <row r="2">
      <c r="A2" s="115" t="inlineStr">
        <is>
          <t>Дата</t>
        </is>
      </c>
      <c r="B2" s="115" t="inlineStr">
        <is>
          <t>Надземная часть</t>
        </is>
      </c>
      <c r="C2" s="119" t="n"/>
      <c r="D2" s="119" t="n"/>
      <c r="E2" s="119" t="n"/>
      <c r="F2" s="119" t="n"/>
      <c r="G2" s="119" t="n"/>
      <c r="H2" s="119" t="n"/>
      <c r="I2" s="119" t="n"/>
      <c r="J2" s="119" t="n"/>
      <c r="K2" s="119" t="n"/>
      <c r="L2" s="119" t="n"/>
      <c r="M2" s="119" t="n"/>
      <c r="N2" s="119" t="n"/>
      <c r="O2" s="119" t="n"/>
      <c r="P2" s="119" t="n"/>
      <c r="Q2" s="119" t="n"/>
      <c r="R2" s="119" t="n"/>
      <c r="S2" s="119" t="n"/>
      <c r="T2" s="119" t="n"/>
      <c r="U2" s="119" t="n"/>
      <c r="V2" s="119" t="n"/>
      <c r="W2" s="119" t="n"/>
      <c r="X2" s="119" t="n"/>
      <c r="Y2" s="119" t="n"/>
      <c r="Z2" s="119" t="n"/>
      <c r="AA2" s="119" t="n"/>
      <c r="AB2" s="119" t="n"/>
      <c r="AC2" s="119" t="n"/>
      <c r="AD2" s="119" t="n"/>
      <c r="AE2" s="119" t="n"/>
      <c r="AF2" s="119" t="n"/>
      <c r="AG2" s="119" t="n"/>
      <c r="AH2" s="119" t="n"/>
      <c r="AI2" s="119" t="n"/>
      <c r="AJ2" s="120" t="n"/>
      <c r="AK2" s="121" t="n"/>
      <c r="AL2" s="121" t="n"/>
      <c r="AM2" s="121" t="n"/>
      <c r="AN2" s="121" t="n"/>
      <c r="AO2" s="121" t="n"/>
    </row>
    <row r="3">
      <c r="A3" s="122" t="n"/>
      <c r="B3" s="115" t="inlineStr">
        <is>
          <t>8.2.1 Отделка лобби/гранд-лобби</t>
        </is>
      </c>
      <c r="C3" s="119" t="n"/>
      <c r="D3" s="119" t="n"/>
      <c r="E3" s="119" t="n"/>
      <c r="F3" s="120" t="n"/>
      <c r="G3" s="115" t="inlineStr">
        <is>
          <t>8.2.2 Отделка эвакуац. лестн. клетки надзем.</t>
        </is>
      </c>
      <c r="H3" s="119" t="n"/>
      <c r="I3" s="119" t="n"/>
      <c r="J3" s="119" t="n"/>
      <c r="K3" s="120" t="n"/>
      <c r="L3" s="115" t="inlineStr">
        <is>
          <t>8.2.3 Лифт. холлы, тамбур-шлюзы надзем.</t>
        </is>
      </c>
      <c r="M3" s="119" t="n"/>
      <c r="N3" s="119" t="n"/>
      <c r="O3" s="119" t="n"/>
      <c r="P3" s="120" t="n"/>
      <c r="Q3" s="115" t="inlineStr">
        <is>
          <t>8.2.4 Технич. помещения надзем.</t>
        </is>
      </c>
      <c r="R3" s="119" t="n"/>
      <c r="S3" s="119" t="n"/>
      <c r="T3" s="119" t="n"/>
      <c r="U3" s="120" t="n"/>
      <c r="V3" s="115" t="inlineStr">
        <is>
          <t>8.2.5 Прочие помещения надзем.</t>
        </is>
      </c>
      <c r="W3" s="119" t="n"/>
      <c r="X3" s="119" t="n"/>
      <c r="Y3" s="119" t="n"/>
      <c r="Z3" s="120" t="n"/>
      <c r="AA3" s="115" t="inlineStr">
        <is>
          <t>8.2.6 Коммерч. помещения надзем.</t>
        </is>
      </c>
      <c r="AB3" s="119" t="n"/>
      <c r="AC3" s="119" t="n"/>
      <c r="AD3" s="119" t="n"/>
      <c r="AE3" s="120" t="n"/>
      <c r="AF3" s="115" t="inlineStr">
        <is>
          <t>8.2.7 Паркинг и рампы надзем.</t>
        </is>
      </c>
      <c r="AG3" s="119" t="n"/>
      <c r="AH3" s="119" t="n"/>
      <c r="AI3" s="119" t="n"/>
      <c r="AJ3" s="120" t="n"/>
      <c r="AK3" s="115" t="inlineStr">
        <is>
          <t>Итого</t>
        </is>
      </c>
      <c r="AL3" s="119" t="n"/>
      <c r="AM3" s="119" t="n"/>
      <c r="AN3" s="119" t="n"/>
      <c r="AO3" s="120" t="n"/>
    </row>
    <row r="4">
      <c r="A4" s="123" t="n"/>
      <c r="B4" s="115" t="inlineStr">
        <is>
          <t>Пол</t>
        </is>
      </c>
      <c r="C4" s="115" t="inlineStr">
        <is>
          <t>Стены</t>
        </is>
      </c>
      <c r="D4" s="115" t="inlineStr">
        <is>
          <t>Потолок</t>
        </is>
      </c>
      <c r="E4" s="115" t="inlineStr">
        <is>
          <t>Запол.</t>
        </is>
      </c>
      <c r="F4" s="115" t="inlineStr">
        <is>
          <t>Мебл.</t>
        </is>
      </c>
      <c r="G4" s="115" t="inlineStr">
        <is>
          <t>Пол</t>
        </is>
      </c>
      <c r="H4" s="115" t="inlineStr">
        <is>
          <t>Стены</t>
        </is>
      </c>
      <c r="I4" s="115" t="inlineStr">
        <is>
          <t>Потолок</t>
        </is>
      </c>
      <c r="J4" s="115" t="inlineStr">
        <is>
          <t>Запол.</t>
        </is>
      </c>
      <c r="K4" s="115" t="inlineStr">
        <is>
          <t>Мебл.</t>
        </is>
      </c>
      <c r="L4" s="115" t="inlineStr">
        <is>
          <t>Пол</t>
        </is>
      </c>
      <c r="M4" s="115" t="inlineStr">
        <is>
          <t>Стены</t>
        </is>
      </c>
      <c r="N4" s="115" t="inlineStr">
        <is>
          <t>Потолок</t>
        </is>
      </c>
      <c r="O4" s="115" t="inlineStr">
        <is>
          <t>Запол.</t>
        </is>
      </c>
      <c r="P4" s="115" t="inlineStr">
        <is>
          <t>Мебл.</t>
        </is>
      </c>
      <c r="Q4" s="115" t="inlineStr">
        <is>
          <t>Пол</t>
        </is>
      </c>
      <c r="R4" s="115" t="inlineStr">
        <is>
          <t>Стены</t>
        </is>
      </c>
      <c r="S4" s="115" t="inlineStr">
        <is>
          <t>Потолок</t>
        </is>
      </c>
      <c r="T4" s="115" t="inlineStr">
        <is>
          <t>Запол.</t>
        </is>
      </c>
      <c r="U4" s="115" t="inlineStr">
        <is>
          <t>Мебл.</t>
        </is>
      </c>
      <c r="V4" s="115" t="inlineStr">
        <is>
          <t>Пол</t>
        </is>
      </c>
      <c r="W4" s="115" t="inlineStr">
        <is>
          <t>Стены</t>
        </is>
      </c>
      <c r="X4" s="115" t="inlineStr">
        <is>
          <t>Потолок</t>
        </is>
      </c>
      <c r="Y4" s="115" t="inlineStr">
        <is>
          <t>Запол.</t>
        </is>
      </c>
      <c r="Z4" s="115" t="inlineStr">
        <is>
          <t>Мебл.</t>
        </is>
      </c>
      <c r="AA4" s="115" t="inlineStr">
        <is>
          <t>Пол</t>
        </is>
      </c>
      <c r="AB4" s="115" t="inlineStr">
        <is>
          <t>Стены</t>
        </is>
      </c>
      <c r="AC4" s="115" t="inlineStr">
        <is>
          <t>Потолок</t>
        </is>
      </c>
      <c r="AD4" s="115" t="inlineStr">
        <is>
          <t>Запол.</t>
        </is>
      </c>
      <c r="AE4" s="115" t="inlineStr">
        <is>
          <t>Мебл.</t>
        </is>
      </c>
      <c r="AF4" s="115" t="inlineStr">
        <is>
          <t>Пол</t>
        </is>
      </c>
      <c r="AG4" s="115" t="inlineStr">
        <is>
          <t>Стены</t>
        </is>
      </c>
      <c r="AH4" s="115" t="inlineStr">
        <is>
          <t>Потолок</t>
        </is>
      </c>
      <c r="AI4" s="115" t="inlineStr">
        <is>
          <t>Запол.</t>
        </is>
      </c>
      <c r="AJ4" s="115" t="inlineStr">
        <is>
          <t>Мебл.</t>
        </is>
      </c>
      <c r="AK4" s="115" t="inlineStr">
        <is>
          <t>Пол</t>
        </is>
      </c>
      <c r="AL4" s="115" t="inlineStr">
        <is>
          <t>Стены</t>
        </is>
      </c>
      <c r="AM4" s="115" t="inlineStr">
        <is>
          <t>Потолок</t>
        </is>
      </c>
      <c r="AN4" s="115" t="inlineStr">
        <is>
          <t>Запол.</t>
        </is>
      </c>
      <c r="AO4" s="115" t="inlineStr">
        <is>
          <t>Мебл.</t>
        </is>
      </c>
    </row>
    <row r="5">
      <c r="A5" s="124">
        <f>СПРАВОЧНИК!$B$35</f>
        <v/>
      </c>
      <c r="B5" s="125" t="n"/>
      <c r="C5" s="125" t="n"/>
      <c r="D5" s="125" t="n"/>
      <c r="E5" s="125" t="n"/>
      <c r="F5" s="125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 t="n"/>
      <c r="AG5" s="125" t="n"/>
      <c r="AH5" s="125" t="n"/>
      <c r="AI5" s="125" t="n"/>
      <c r="AJ5" s="125" t="n"/>
      <c r="AK5" s="125">
        <f>B5+G5+L5+Q5+V5+AA5+AF5</f>
        <v/>
      </c>
      <c r="AL5" s="125">
        <f>C5+H5+M5+R5+W5+AB5+AG5</f>
        <v/>
      </c>
      <c r="AM5" s="125">
        <f>D5+I5+N5+S5+X5+AC5+AH5</f>
        <v/>
      </c>
      <c r="AN5" s="125">
        <f>E5+J5+O5+T5+Y5+AD5+AI5</f>
        <v/>
      </c>
      <c r="AO5" s="125">
        <f>F5+K5+P5+U5+Z5+AE5+AJ5</f>
        <v/>
      </c>
    </row>
    <row r="6">
      <c r="A6" s="124">
        <f>A5+7</f>
        <v/>
      </c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  <c r="AG6" s="125" t="n"/>
      <c r="AH6" s="125" t="n"/>
      <c r="AI6" s="125" t="n"/>
      <c r="AJ6" s="125" t="n"/>
      <c r="AK6" s="125">
        <f>B6+G6+L6+Q6+V6+AA6+AF6</f>
        <v/>
      </c>
      <c r="AL6" s="125">
        <f>C6+H6+M6+R6+W6+AB6+AG6</f>
        <v/>
      </c>
      <c r="AM6" s="125">
        <f>D6+I6+N6+S6+X6+AC6+AH6</f>
        <v/>
      </c>
      <c r="AN6" s="125">
        <f>E6+J6+O6+T6+Y6+AD6+AI6</f>
        <v/>
      </c>
      <c r="AO6" s="125">
        <f>F6+K6+P6+U6+Z6+AE6+AJ6</f>
        <v/>
      </c>
    </row>
    <row r="7">
      <c r="A7" s="124">
        <f>A6+7</f>
        <v/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 t="n"/>
      <c r="AG7" s="125" t="n"/>
      <c r="AH7" s="125" t="n"/>
      <c r="AI7" s="125" t="n"/>
      <c r="AJ7" s="125" t="n"/>
      <c r="AK7" s="125">
        <f>B7+G7+L7+Q7+V7+AA7+AF7</f>
        <v/>
      </c>
      <c r="AL7" s="125">
        <f>C7+H7+M7+R7+W7+AB7+AG7</f>
        <v/>
      </c>
      <c r="AM7" s="125">
        <f>D7+I7+N7+S7+X7+AC7+AH7</f>
        <v/>
      </c>
      <c r="AN7" s="125">
        <f>E7+J7+O7+T7+Y7+AD7+AI7</f>
        <v/>
      </c>
      <c r="AO7" s="125">
        <f>F7+K7+P7+U7+Z7+AE7+AJ7</f>
        <v/>
      </c>
    </row>
    <row r="8">
      <c r="A8" s="124">
        <f>A7+7</f>
        <v/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  <c r="AG8" s="125" t="n"/>
      <c r="AH8" s="125" t="n"/>
      <c r="AI8" s="125" t="n"/>
      <c r="AJ8" s="125" t="n"/>
      <c r="AK8" s="125">
        <f>B8+G8+L8+Q8+V8+AA8+AF8</f>
        <v/>
      </c>
      <c r="AL8" s="125">
        <f>C8+H8+M8+R8+W8+AB8+AG8</f>
        <v/>
      </c>
      <c r="AM8" s="125">
        <f>D8+I8+N8+S8+X8+AC8+AH8</f>
        <v/>
      </c>
      <c r="AN8" s="125">
        <f>E8+J8+O8+T8+Y8+AD8+AI8</f>
        <v/>
      </c>
      <c r="AO8" s="125">
        <f>F8+K8+P8+U8+Z8+AE8+AJ8</f>
        <v/>
      </c>
    </row>
    <row r="9">
      <c r="A9" s="124">
        <f>A8+7</f>
        <v/>
      </c>
      <c r="B9" s="125" t="n"/>
      <c r="C9" s="125" t="n"/>
      <c r="D9" s="125" t="n"/>
      <c r="E9" s="125" t="n"/>
      <c r="F9" s="125" t="n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  <c r="AG9" s="125" t="n"/>
      <c r="AH9" s="125" t="n"/>
      <c r="AI9" s="125" t="n"/>
      <c r="AJ9" s="125" t="n"/>
      <c r="AK9" s="125">
        <f>B9+G9+L9+Q9+V9+AA9+AF9</f>
        <v/>
      </c>
      <c r="AL9" s="125">
        <f>C9+H9+M9+R9+W9+AB9+AG9</f>
        <v/>
      </c>
      <c r="AM9" s="125">
        <f>D9+I9+N9+S9+X9+AC9+AH9</f>
        <v/>
      </c>
      <c r="AN9" s="125">
        <f>E9+J9+O9+T9+Y9+AD9+AI9</f>
        <v/>
      </c>
      <c r="AO9" s="125">
        <f>F9+K9+P9+U9+Z9+AE9+AJ9</f>
        <v/>
      </c>
    </row>
    <row r="10">
      <c r="A10" s="124">
        <f>A9+7</f>
        <v/>
      </c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  <c r="AG10" s="125" t="n"/>
      <c r="AH10" s="125" t="n"/>
      <c r="AI10" s="125" t="n"/>
      <c r="AJ10" s="125" t="n"/>
      <c r="AK10" s="125">
        <f>B10+G10+L10+Q10+V10+AA10+AF10</f>
        <v/>
      </c>
      <c r="AL10" s="125">
        <f>C10+H10+M10+R10+W10+AB10+AG10</f>
        <v/>
      </c>
      <c r="AM10" s="125">
        <f>D10+I10+N10+S10+X10+AC10+AH10</f>
        <v/>
      </c>
      <c r="AN10" s="125">
        <f>E10+J10+O10+T10+Y10+AD10+AI10</f>
        <v/>
      </c>
      <c r="AO10" s="125">
        <f>F10+K10+P10+U10+Z10+AE10+AJ10</f>
        <v/>
      </c>
    </row>
    <row r="11">
      <c r="A11" s="124">
        <f>A10+7</f>
        <v/>
      </c>
      <c r="B11" s="125" t="n"/>
      <c r="C11" s="125" t="n"/>
      <c r="D11" s="125" t="n"/>
      <c r="E11" s="125" t="n"/>
      <c r="F11" s="125" t="n"/>
      <c r="G11" s="125" t="n"/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  <c r="AG11" s="125" t="n"/>
      <c r="AH11" s="125" t="n"/>
      <c r="AI11" s="125" t="n"/>
      <c r="AJ11" s="125" t="n"/>
      <c r="AK11" s="125">
        <f>B11+G11+L11+Q11+V11+AA11+AF11</f>
        <v/>
      </c>
      <c r="AL11" s="125">
        <f>C11+H11+M11+R11+W11+AB11+AG11</f>
        <v/>
      </c>
      <c r="AM11" s="125">
        <f>D11+I11+N11+S11+X11+AC11+AH11</f>
        <v/>
      </c>
      <c r="AN11" s="125">
        <f>E11+J11+O11+T11+Y11+AD11+AI11</f>
        <v/>
      </c>
      <c r="AO11" s="125">
        <f>F11+K11+P11+U11+Z11+AE11+AJ11</f>
        <v/>
      </c>
    </row>
    <row r="12">
      <c r="A12" s="124">
        <f>A11+7</f>
        <v/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  <c r="AG12" s="125" t="n"/>
      <c r="AH12" s="125" t="n"/>
      <c r="AI12" s="125" t="n"/>
      <c r="AJ12" s="125" t="n"/>
      <c r="AK12" s="125">
        <f>B12+G12+L12+Q12+V12+AA12+AF12</f>
        <v/>
      </c>
      <c r="AL12" s="125">
        <f>C12+H12+M12+R12+W12+AB12+AG12</f>
        <v/>
      </c>
      <c r="AM12" s="125">
        <f>D12+I12+N12+S12+X12+AC12+AH12</f>
        <v/>
      </c>
      <c r="AN12" s="125">
        <f>E12+J12+O12+T12+Y12+AD12+AI12</f>
        <v/>
      </c>
      <c r="AO12" s="125">
        <f>F12+K12+P12+U12+Z12+AE12+AJ12</f>
        <v/>
      </c>
    </row>
    <row r="13">
      <c r="A13" s="124">
        <f>A12+7</f>
        <v/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  <c r="AG13" s="125" t="n"/>
      <c r="AH13" s="125" t="n"/>
      <c r="AI13" s="125" t="n"/>
      <c r="AJ13" s="125" t="n"/>
      <c r="AK13" s="125">
        <f>B13+G13+L13+Q13+V13+AA13+AF13</f>
        <v/>
      </c>
      <c r="AL13" s="125">
        <f>C13+H13+M13+R13+W13+AB13+AG13</f>
        <v/>
      </c>
      <c r="AM13" s="125">
        <f>D13+I13+N13+S13+X13+AC13+AH13</f>
        <v/>
      </c>
      <c r="AN13" s="125">
        <f>E13+J13+O13+T13+Y13+AD13+AI13</f>
        <v/>
      </c>
      <c r="AO13" s="125">
        <f>F13+K13+P13+U13+Z13+AE13+AJ13</f>
        <v/>
      </c>
    </row>
    <row r="14">
      <c r="A14" s="124">
        <f>A13+7</f>
        <v/>
      </c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 t="n"/>
      <c r="AG14" s="125" t="n"/>
      <c r="AH14" s="125" t="n"/>
      <c r="AI14" s="125" t="n"/>
      <c r="AJ14" s="125" t="n"/>
      <c r="AK14" s="125">
        <f>B14+G14+L14+Q14+V14+AA14+AF14</f>
        <v/>
      </c>
      <c r="AL14" s="125">
        <f>C14+H14+M14+R14+W14+AB14+AG14</f>
        <v/>
      </c>
      <c r="AM14" s="125">
        <f>D14+I14+N14+S14+X14+AC14+AH14</f>
        <v/>
      </c>
      <c r="AN14" s="125">
        <f>E14+J14+O14+T14+Y14+AD14+AI14</f>
        <v/>
      </c>
      <c r="AO14" s="125">
        <f>F14+K14+P14+U14+Z14+AE14+AJ14</f>
        <v/>
      </c>
    </row>
    <row r="15">
      <c r="A15" s="124">
        <f>A14+7</f>
        <v/>
      </c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 t="n"/>
      <c r="AG15" s="125" t="n"/>
      <c r="AH15" s="125" t="n"/>
      <c r="AI15" s="125" t="n"/>
      <c r="AJ15" s="125" t="n"/>
      <c r="AK15" s="125">
        <f>B15+G15+L15+Q15+V15+AA15+AF15</f>
        <v/>
      </c>
      <c r="AL15" s="125">
        <f>C15+H15+M15+R15+W15+AB15+AG15</f>
        <v/>
      </c>
      <c r="AM15" s="125">
        <f>D15+I15+N15+S15+X15+AC15+AH15</f>
        <v/>
      </c>
      <c r="AN15" s="125">
        <f>E15+J15+O15+T15+Y15+AD15+AI15</f>
        <v/>
      </c>
      <c r="AO15" s="125">
        <f>F15+K15+P15+U15+Z15+AE15+AJ15</f>
        <v/>
      </c>
    </row>
    <row r="16">
      <c r="A16" s="124">
        <f>A15+7</f>
        <v/>
      </c>
      <c r="B16" s="125" t="n"/>
      <c r="C16" s="125" t="n"/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 t="n"/>
      <c r="AG16" s="125" t="n"/>
      <c r="AH16" s="125" t="n"/>
      <c r="AI16" s="125" t="n"/>
      <c r="AJ16" s="125" t="n"/>
      <c r="AK16" s="125">
        <f>B16+G16+L16+Q16+V16+AA16+AF16</f>
        <v/>
      </c>
      <c r="AL16" s="125">
        <f>C16+H16+M16+R16+W16+AB16+AG16</f>
        <v/>
      </c>
      <c r="AM16" s="125">
        <f>D16+I16+N16+S16+X16+AC16+AH16</f>
        <v/>
      </c>
      <c r="AN16" s="125">
        <f>E16+J16+O16+T16+Y16+AD16+AI16</f>
        <v/>
      </c>
      <c r="AO16" s="125">
        <f>F16+K16+P16+U16+Z16+AE16+AJ16</f>
        <v/>
      </c>
    </row>
    <row r="17">
      <c r="A17" s="124">
        <f>A16+7</f>
        <v/>
      </c>
      <c r="B17" s="125" t="n"/>
      <c r="C17" s="125" t="n"/>
      <c r="D17" s="125" t="n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 t="n"/>
      <c r="AG17" s="125" t="n"/>
      <c r="AH17" s="125" t="n"/>
      <c r="AI17" s="125" t="n"/>
      <c r="AJ17" s="125" t="n"/>
      <c r="AK17" s="125">
        <f>B17+G17+L17+Q17+V17+AA17+AF17</f>
        <v/>
      </c>
      <c r="AL17" s="125">
        <f>C17+H17+M17+R17+W17+AB17+AG17</f>
        <v/>
      </c>
      <c r="AM17" s="125">
        <f>D17+I17+N17+S17+X17+AC17+AH17</f>
        <v/>
      </c>
      <c r="AN17" s="125">
        <f>E17+J17+O17+T17+Y17+AD17+AI17</f>
        <v/>
      </c>
      <c r="AO17" s="125">
        <f>F17+K17+P17+U17+Z17+AE17+AJ17</f>
        <v/>
      </c>
    </row>
    <row r="18">
      <c r="A18" s="124">
        <f>A17+7</f>
        <v/>
      </c>
      <c r="B18" s="125" t="n"/>
      <c r="C18" s="125" t="n"/>
      <c r="D18" s="125" t="n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 t="n"/>
      <c r="AG18" s="125" t="n"/>
      <c r="AH18" s="125" t="n"/>
      <c r="AI18" s="125" t="n"/>
      <c r="AJ18" s="125" t="n"/>
      <c r="AK18" s="125">
        <f>B18+G18+L18+Q18+V18+AA18+AF18</f>
        <v/>
      </c>
      <c r="AL18" s="125">
        <f>C18+H18+M18+R18+W18+AB18+AG18</f>
        <v/>
      </c>
      <c r="AM18" s="125">
        <f>D18+I18+N18+S18+X18+AC18+AH18</f>
        <v/>
      </c>
      <c r="AN18" s="125">
        <f>E18+J18+O18+T18+Y18+AD18+AI18</f>
        <v/>
      </c>
      <c r="AO18" s="125">
        <f>F18+K18+P18+U18+Z18+AE18+AJ18</f>
        <v/>
      </c>
    </row>
    <row r="19">
      <c r="A19" s="124">
        <f>A18+7</f>
        <v/>
      </c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  <c r="AG19" s="125" t="n"/>
      <c r="AH19" s="125" t="n"/>
      <c r="AI19" s="125" t="n"/>
      <c r="AJ19" s="125" t="n"/>
      <c r="AK19" s="125">
        <f>B19+G19+L19+Q19+V19+AA19+AF19</f>
        <v/>
      </c>
      <c r="AL19" s="125">
        <f>C19+H19+M19+R19+W19+AB19+AG19</f>
        <v/>
      </c>
      <c r="AM19" s="125">
        <f>D19+I19+N19+S19+X19+AC19+AH19</f>
        <v/>
      </c>
      <c r="AN19" s="125">
        <f>E19+J19+O19+T19+Y19+AD19+AI19</f>
        <v/>
      </c>
      <c r="AO19" s="125">
        <f>F19+K19+P19+U19+Z19+AE19+AJ19</f>
        <v/>
      </c>
    </row>
    <row r="20">
      <c r="A20" s="124">
        <f>A19+7</f>
        <v/>
      </c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 t="n"/>
      <c r="AG20" s="125" t="n"/>
      <c r="AH20" s="125" t="n"/>
      <c r="AI20" s="125" t="n"/>
      <c r="AJ20" s="125" t="n"/>
      <c r="AK20" s="125">
        <f>B20+G20+L20+Q20+V20+AA20+AF20</f>
        <v/>
      </c>
      <c r="AL20" s="125">
        <f>C20+H20+M20+R20+W20+AB20+AG20</f>
        <v/>
      </c>
      <c r="AM20" s="125">
        <f>D20+I20+N20+S20+X20+AC20+AH20</f>
        <v/>
      </c>
      <c r="AN20" s="125">
        <f>E20+J20+O20+T20+Y20+AD20+AI20</f>
        <v/>
      </c>
      <c r="AO20" s="125">
        <f>F20+K20+P20+U20+Z20+AE20+AJ20</f>
        <v/>
      </c>
    </row>
    <row r="21">
      <c r="A21" s="124">
        <f>A20+7</f>
        <v/>
      </c>
      <c r="B21" s="125" t="n"/>
      <c r="C21" s="125" t="n"/>
      <c r="D21" s="125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  <c r="AG21" s="125" t="n"/>
      <c r="AH21" s="125" t="n"/>
      <c r="AI21" s="125" t="n"/>
      <c r="AJ21" s="125" t="n"/>
      <c r="AK21" s="125">
        <f>B21+G21+L21+Q21+V21+AA21+AF21</f>
        <v/>
      </c>
      <c r="AL21" s="125">
        <f>C21+H21+M21+R21+W21+AB21+AG21</f>
        <v/>
      </c>
      <c r="AM21" s="125">
        <f>D21+I21+N21+S21+X21+AC21+AH21</f>
        <v/>
      </c>
      <c r="AN21" s="125">
        <f>E21+J21+O21+T21+Y21+AD21+AI21</f>
        <v/>
      </c>
      <c r="AO21" s="125">
        <f>F21+K21+P21+U21+Z21+AE21+AJ21</f>
        <v/>
      </c>
    </row>
    <row r="22">
      <c r="A22" s="124">
        <f>A21+7</f>
        <v/>
      </c>
      <c r="B22" s="125" t="n"/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  <c r="AG22" s="125" t="n"/>
      <c r="AH22" s="125" t="n"/>
      <c r="AI22" s="125" t="n"/>
      <c r="AJ22" s="125" t="n"/>
      <c r="AK22" s="125">
        <f>B22+G22+L22+Q22+V22+AA22+AF22</f>
        <v/>
      </c>
      <c r="AL22" s="125">
        <f>C22+H22+M22+R22+W22+AB22+AG22</f>
        <v/>
      </c>
      <c r="AM22" s="125">
        <f>D22+I22+N22+S22+X22+AC22+AH22</f>
        <v/>
      </c>
      <c r="AN22" s="125">
        <f>E22+J22+O22+T22+Y22+AD22+AI22</f>
        <v/>
      </c>
      <c r="AO22" s="125">
        <f>F22+K22+P22+U22+Z22+AE22+AJ22</f>
        <v/>
      </c>
    </row>
    <row r="23">
      <c r="A23" s="124">
        <f>A22+7</f>
        <v/>
      </c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  <c r="AG23" s="125" t="n"/>
      <c r="AH23" s="125" t="n"/>
      <c r="AI23" s="125" t="n"/>
      <c r="AJ23" s="125" t="n"/>
      <c r="AK23" s="125">
        <f>B23+G23+L23+Q23+V23+AA23+AF23</f>
        <v/>
      </c>
      <c r="AL23" s="125">
        <f>C23+H23+M23+R23+W23+AB23+AG23</f>
        <v/>
      </c>
      <c r="AM23" s="125">
        <f>D23+I23+N23+S23+X23+AC23+AH23</f>
        <v/>
      </c>
      <c r="AN23" s="125">
        <f>E23+J23+O23+T23+Y23+AD23+AI23</f>
        <v/>
      </c>
      <c r="AO23" s="125">
        <f>F23+K23+P23+U23+Z23+AE23+AJ23</f>
        <v/>
      </c>
    </row>
    <row r="24">
      <c r="A24" s="124">
        <f>A23+7</f>
        <v/>
      </c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 t="n"/>
      <c r="AG24" s="125" t="n"/>
      <c r="AH24" s="125" t="n"/>
      <c r="AI24" s="125" t="n"/>
      <c r="AJ24" s="125" t="n"/>
      <c r="AK24" s="125">
        <f>B24+G24+L24+Q24+V24+AA24+AF24</f>
        <v/>
      </c>
      <c r="AL24" s="125">
        <f>C24+H24+M24+R24+W24+AB24+AG24</f>
        <v/>
      </c>
      <c r="AM24" s="125">
        <f>D24+I24+N24+S24+X24+AC24+AH24</f>
        <v/>
      </c>
      <c r="AN24" s="125">
        <f>E24+J24+O24+T24+Y24+AD24+AI24</f>
        <v/>
      </c>
      <c r="AO24" s="125">
        <f>F24+K24+P24+U24+Z24+AE24+AJ24</f>
        <v/>
      </c>
    </row>
    <row r="25">
      <c r="A25" s="124">
        <f>A24+7</f>
        <v/>
      </c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  <c r="AG25" s="125" t="n"/>
      <c r="AH25" s="125" t="n"/>
      <c r="AI25" s="125" t="n"/>
      <c r="AJ25" s="125" t="n"/>
      <c r="AK25" s="125">
        <f>B25+G25+L25+Q25+V25+AA25+AF25</f>
        <v/>
      </c>
      <c r="AL25" s="125">
        <f>C25+H25+M25+R25+W25+AB25+AG25</f>
        <v/>
      </c>
      <c r="AM25" s="125">
        <f>D25+I25+N25+S25+X25+AC25+AH25</f>
        <v/>
      </c>
      <c r="AN25" s="125">
        <f>E25+J25+O25+T25+Y25+AD25+AI25</f>
        <v/>
      </c>
      <c r="AO25" s="125">
        <f>F25+K25+P25+U25+Z25+AE25+AJ25</f>
        <v/>
      </c>
    </row>
    <row r="26">
      <c r="A26" s="124">
        <f>A25+7</f>
        <v/>
      </c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 t="n"/>
      <c r="AG26" s="125" t="n"/>
      <c r="AH26" s="125" t="n"/>
      <c r="AI26" s="125" t="n"/>
      <c r="AJ26" s="125" t="n"/>
      <c r="AK26" s="125">
        <f>B26+G26+L26+Q26+V26+AA26+AF26</f>
        <v/>
      </c>
      <c r="AL26" s="125">
        <f>C26+H26+M26+R26+W26+AB26+AG26</f>
        <v/>
      </c>
      <c r="AM26" s="125">
        <f>D26+I26+N26+S26+X26+AC26+AH26</f>
        <v/>
      </c>
      <c r="AN26" s="125">
        <f>E26+J26+O26+T26+Y26+AD26+AI26</f>
        <v/>
      </c>
      <c r="AO26" s="125">
        <f>F26+K26+P26+U26+Z26+AE26+AJ26</f>
        <v/>
      </c>
    </row>
    <row r="27">
      <c r="A27" s="124">
        <f>A26+7</f>
        <v/>
      </c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 t="n"/>
      <c r="AG27" s="125" t="n"/>
      <c r="AH27" s="125" t="n"/>
      <c r="AI27" s="125" t="n"/>
      <c r="AJ27" s="125" t="n"/>
      <c r="AK27" s="125">
        <f>B27+G27+L27+Q27+V27+AA27+AF27</f>
        <v/>
      </c>
      <c r="AL27" s="125">
        <f>C27+H27+M27+R27+W27+AB27+AG27</f>
        <v/>
      </c>
      <c r="AM27" s="125">
        <f>D27+I27+N27+S27+X27+AC27+AH27</f>
        <v/>
      </c>
      <c r="AN27" s="125">
        <f>E27+J27+O27+T27+Y27+AD27+AI27</f>
        <v/>
      </c>
      <c r="AO27" s="125">
        <f>F27+K27+P27+U27+Z27+AE27+AJ27</f>
        <v/>
      </c>
    </row>
    <row r="28">
      <c r="A28" s="124">
        <f>A27+7</f>
        <v/>
      </c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 t="n"/>
      <c r="AG28" s="125" t="n"/>
      <c r="AH28" s="125" t="n"/>
      <c r="AI28" s="125" t="n"/>
      <c r="AJ28" s="125" t="n"/>
      <c r="AK28" s="125">
        <f>B28+G28+L28+Q28+V28+AA28+AF28</f>
        <v/>
      </c>
      <c r="AL28" s="125">
        <f>C28+H28+M28+R28+W28+AB28+AG28</f>
        <v/>
      </c>
      <c r="AM28" s="125">
        <f>D28+I28+N28+S28+X28+AC28+AH28</f>
        <v/>
      </c>
      <c r="AN28" s="125">
        <f>E28+J28+O28+T28+Y28+AD28+AI28</f>
        <v/>
      </c>
      <c r="AO28" s="125">
        <f>F28+K28+P28+U28+Z28+AE28+AJ28</f>
        <v/>
      </c>
    </row>
    <row r="29">
      <c r="A29" s="124">
        <f>A28+7</f>
        <v/>
      </c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 t="n"/>
      <c r="AG29" s="125" t="n"/>
      <c r="AH29" s="125" t="n"/>
      <c r="AI29" s="125" t="n"/>
      <c r="AJ29" s="125" t="n"/>
      <c r="AK29" s="125">
        <f>B29+G29+L29+Q29+V29+AA29+AF29</f>
        <v/>
      </c>
      <c r="AL29" s="125">
        <f>C29+H29+M29+R29+W29+AB29+AG29</f>
        <v/>
      </c>
      <c r="AM29" s="125">
        <f>D29+I29+N29+S29+X29+AC29+AH29</f>
        <v/>
      </c>
      <c r="AN29" s="125">
        <f>E29+J29+O29+T29+Y29+AD29+AI29</f>
        <v/>
      </c>
      <c r="AO29" s="125">
        <f>F29+K29+P29+U29+Z29+AE29+AJ29</f>
        <v/>
      </c>
    </row>
    <row r="30">
      <c r="A30" s="124">
        <f>A29+7</f>
        <v/>
      </c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 t="n"/>
      <c r="AG30" s="125" t="n"/>
      <c r="AH30" s="125" t="n"/>
      <c r="AI30" s="125" t="n"/>
      <c r="AJ30" s="125" t="n"/>
      <c r="AK30" s="125">
        <f>B30+G30+L30+Q30+V30+AA30+AF30</f>
        <v/>
      </c>
      <c r="AL30" s="125">
        <f>C30+H30+M30+R30+W30+AB30+AG30</f>
        <v/>
      </c>
      <c r="AM30" s="125">
        <f>D30+I30+N30+S30+X30+AC30+AH30</f>
        <v/>
      </c>
      <c r="AN30" s="125">
        <f>E30+J30+O30+T30+Y30+AD30+AI30</f>
        <v/>
      </c>
      <c r="AO30" s="125">
        <f>F30+K30+P30+U30+Z30+AE30+AJ30</f>
        <v/>
      </c>
    </row>
    <row r="31">
      <c r="A31" s="124">
        <f>A30+7</f>
        <v/>
      </c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 t="n"/>
      <c r="AG31" s="125" t="n"/>
      <c r="AH31" s="125" t="n"/>
      <c r="AI31" s="125" t="n"/>
      <c r="AJ31" s="125" t="n"/>
      <c r="AK31" s="125">
        <f>B31+G31+L31+Q31+V31+AA31+AF31</f>
        <v/>
      </c>
      <c r="AL31" s="125">
        <f>C31+H31+M31+R31+W31+AB31+AG31</f>
        <v/>
      </c>
      <c r="AM31" s="125">
        <f>D31+I31+N31+S31+X31+AC31+AH31</f>
        <v/>
      </c>
      <c r="AN31" s="125">
        <f>E31+J31+O31+T31+Y31+AD31+AI31</f>
        <v/>
      </c>
      <c r="AO31" s="125">
        <f>F31+K31+P31+U31+Z31+AE31+AJ31</f>
        <v/>
      </c>
    </row>
    <row r="32">
      <c r="A32" s="124">
        <f>A31+7</f>
        <v/>
      </c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 t="n"/>
      <c r="AG32" s="125" t="n"/>
      <c r="AH32" s="125" t="n"/>
      <c r="AI32" s="125" t="n"/>
      <c r="AJ32" s="125" t="n"/>
      <c r="AK32" s="125">
        <f>B32+G32+L32+Q32+V32+AA32+AF32</f>
        <v/>
      </c>
      <c r="AL32" s="125">
        <f>C32+H32+M32+R32+W32+AB32+AG32</f>
        <v/>
      </c>
      <c r="AM32" s="125">
        <f>D32+I32+N32+S32+X32+AC32+AH32</f>
        <v/>
      </c>
      <c r="AN32" s="125">
        <f>E32+J32+O32+T32+Y32+AD32+AI32</f>
        <v/>
      </c>
      <c r="AO32" s="125">
        <f>F32+K32+P32+U32+Z32+AE32+AJ32</f>
        <v/>
      </c>
    </row>
    <row r="33">
      <c r="A33" s="124">
        <f>A32+7</f>
        <v/>
      </c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 t="n"/>
      <c r="AG33" s="125" t="n"/>
      <c r="AH33" s="125" t="n"/>
      <c r="AI33" s="125" t="n"/>
      <c r="AJ33" s="125" t="n"/>
      <c r="AK33" s="125">
        <f>B33+G33+L33+Q33+V33+AA33+AF33</f>
        <v/>
      </c>
      <c r="AL33" s="125">
        <f>C33+H33+M33+R33+W33+AB33+AG33</f>
        <v/>
      </c>
      <c r="AM33" s="125">
        <f>D33+I33+N33+S33+X33+AC33+AH33</f>
        <v/>
      </c>
      <c r="AN33" s="125">
        <f>E33+J33+O33+T33+Y33+AD33+AI33</f>
        <v/>
      </c>
      <c r="AO33" s="125">
        <f>F33+K33+P33+U33+Z33+AE33+AJ33</f>
        <v/>
      </c>
    </row>
    <row r="34">
      <c r="A34" s="124">
        <f>A33+7</f>
        <v/>
      </c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 t="n"/>
      <c r="AG34" s="125" t="n"/>
      <c r="AH34" s="125" t="n"/>
      <c r="AI34" s="125" t="n"/>
      <c r="AJ34" s="125" t="n"/>
      <c r="AK34" s="125">
        <f>B34+G34+L34+Q34+V34+AA34+AF34</f>
        <v/>
      </c>
      <c r="AL34" s="125">
        <f>C34+H34+M34+R34+W34+AB34+AG34</f>
        <v/>
      </c>
      <c r="AM34" s="125">
        <f>D34+I34+N34+S34+X34+AC34+AH34</f>
        <v/>
      </c>
      <c r="AN34" s="125">
        <f>E34+J34+O34+T34+Y34+AD34+AI34</f>
        <v/>
      </c>
      <c r="AO34" s="125">
        <f>F34+K34+P34+U34+Z34+AE34+AJ34</f>
        <v/>
      </c>
    </row>
    <row r="35">
      <c r="A35" s="124">
        <f>A34+7</f>
        <v/>
      </c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 t="n"/>
      <c r="AG35" s="125" t="n"/>
      <c r="AH35" s="125" t="n"/>
      <c r="AI35" s="125" t="n"/>
      <c r="AJ35" s="125" t="n"/>
      <c r="AK35" s="125">
        <f>B35+G35+L35+Q35+V35+AA35+AF35</f>
        <v/>
      </c>
      <c r="AL35" s="125">
        <f>C35+H35+M35+R35+W35+AB35+AG35</f>
        <v/>
      </c>
      <c r="AM35" s="125">
        <f>D35+I35+N35+S35+X35+AC35+AH35</f>
        <v/>
      </c>
      <c r="AN35" s="125">
        <f>E35+J35+O35+T35+Y35+AD35+AI35</f>
        <v/>
      </c>
      <c r="AO35" s="125">
        <f>F35+K35+P35+U35+Z35+AE35+AJ35</f>
        <v/>
      </c>
    </row>
    <row r="36">
      <c r="A36" s="124">
        <f>A35+7</f>
        <v/>
      </c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  <c r="AG36" s="125" t="n"/>
      <c r="AH36" s="125" t="n"/>
      <c r="AI36" s="125" t="n"/>
      <c r="AJ36" s="125" t="n"/>
      <c r="AK36" s="125">
        <f>B36+G36+L36+Q36+V36+AA36+AF36</f>
        <v/>
      </c>
      <c r="AL36" s="125">
        <f>C36+H36+M36+R36+W36+AB36+AG36</f>
        <v/>
      </c>
      <c r="AM36" s="125">
        <f>D36+I36+N36+S36+X36+AC36+AH36</f>
        <v/>
      </c>
      <c r="AN36" s="125">
        <f>E36+J36+O36+T36+Y36+AD36+AI36</f>
        <v/>
      </c>
      <c r="AO36" s="125">
        <f>F36+K36+P36+U36+Z36+AE36+AJ36</f>
        <v/>
      </c>
    </row>
    <row r="37">
      <c r="A37" s="124">
        <f>A36+7</f>
        <v/>
      </c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  <c r="AG37" s="125" t="n"/>
      <c r="AH37" s="125" t="n"/>
      <c r="AI37" s="125" t="n"/>
      <c r="AJ37" s="125" t="n"/>
      <c r="AK37" s="125">
        <f>B37+G37+L37+Q37+V37+AA37+AF37</f>
        <v/>
      </c>
      <c r="AL37" s="125">
        <f>C37+H37+M37+R37+W37+AB37+AG37</f>
        <v/>
      </c>
      <c r="AM37" s="125">
        <f>D37+I37+N37+S37+X37+AC37+AH37</f>
        <v/>
      </c>
      <c r="AN37" s="125">
        <f>E37+J37+O37+T37+Y37+AD37+AI37</f>
        <v/>
      </c>
      <c r="AO37" s="125">
        <f>F37+K37+P37+U37+Z37+AE37+AJ37</f>
        <v/>
      </c>
    </row>
    <row r="38">
      <c r="A38" s="124">
        <f>A37+7</f>
        <v/>
      </c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  <c r="AG38" s="125" t="n"/>
      <c r="AH38" s="125" t="n"/>
      <c r="AI38" s="125" t="n"/>
      <c r="AJ38" s="125" t="n"/>
      <c r="AK38" s="125">
        <f>B38+G38+L38+Q38+V38+AA38+AF38</f>
        <v/>
      </c>
      <c r="AL38" s="125">
        <f>C38+H38+M38+R38+W38+AB38+AG38</f>
        <v/>
      </c>
      <c r="AM38" s="125">
        <f>D38+I38+N38+S38+X38+AC38+AH38</f>
        <v/>
      </c>
      <c r="AN38" s="125">
        <f>E38+J38+O38+T38+Y38+AD38+AI38</f>
        <v/>
      </c>
      <c r="AO38" s="125">
        <f>F38+K38+P38+U38+Z38+AE38+AJ38</f>
        <v/>
      </c>
    </row>
    <row r="39">
      <c r="A39" s="124">
        <f>A38+7</f>
        <v/>
      </c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  <c r="AG39" s="125" t="n"/>
      <c r="AH39" s="125" t="n"/>
      <c r="AI39" s="125" t="n"/>
      <c r="AJ39" s="125" t="n"/>
      <c r="AK39" s="125">
        <f>B39+G39+L39+Q39+V39+AA39+AF39</f>
        <v/>
      </c>
      <c r="AL39" s="125">
        <f>C39+H39+M39+R39+W39+AB39+AG39</f>
        <v/>
      </c>
      <c r="AM39" s="125">
        <f>D39+I39+N39+S39+X39+AC39+AH39</f>
        <v/>
      </c>
      <c r="AN39" s="125">
        <f>E39+J39+O39+T39+Y39+AD39+AI39</f>
        <v/>
      </c>
      <c r="AO39" s="125">
        <f>F39+K39+P39+U39+Z39+AE39+AJ39</f>
        <v/>
      </c>
    </row>
    <row r="40">
      <c r="A40" s="124">
        <f>A39+7</f>
        <v/>
      </c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  <c r="AG40" s="125" t="n"/>
      <c r="AH40" s="125" t="n"/>
      <c r="AI40" s="125" t="n"/>
      <c r="AJ40" s="125" t="n"/>
      <c r="AK40" s="125">
        <f>B40+G40+L40+Q40+V40+AA40+AF40</f>
        <v/>
      </c>
      <c r="AL40" s="125">
        <f>C40+H40+M40+R40+W40+AB40+AG40</f>
        <v/>
      </c>
      <c r="AM40" s="125">
        <f>D40+I40+N40+S40+X40+AC40+AH40</f>
        <v/>
      </c>
      <c r="AN40" s="125">
        <f>E40+J40+O40+T40+Y40+AD40+AI40</f>
        <v/>
      </c>
      <c r="AO40" s="125">
        <f>F40+K40+P40+U40+Z40+AE40+AJ40</f>
        <v/>
      </c>
    </row>
    <row r="41">
      <c r="A41" s="124">
        <f>A40+7</f>
        <v/>
      </c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 t="n"/>
      <c r="AG41" s="125" t="n"/>
      <c r="AH41" s="125" t="n"/>
      <c r="AI41" s="125" t="n"/>
      <c r="AJ41" s="125" t="n"/>
      <c r="AK41" s="125">
        <f>B41+G41+L41+Q41+V41+AA41+AF41</f>
        <v/>
      </c>
      <c r="AL41" s="125">
        <f>C41+H41+M41+R41+W41+AB41+AG41</f>
        <v/>
      </c>
      <c r="AM41" s="125">
        <f>D41+I41+N41+S41+X41+AC41+AH41</f>
        <v/>
      </c>
      <c r="AN41" s="125">
        <f>E41+J41+O41+T41+Y41+AD41+AI41</f>
        <v/>
      </c>
      <c r="AO41" s="125">
        <f>F41+K41+P41+U41+Z41+AE41+AJ41</f>
        <v/>
      </c>
    </row>
    <row r="42">
      <c r="A42" s="124">
        <f>A41+7</f>
        <v/>
      </c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  <c r="AG42" s="125" t="n"/>
      <c r="AH42" s="125" t="n"/>
      <c r="AI42" s="125" t="n"/>
      <c r="AJ42" s="125" t="n"/>
      <c r="AK42" s="125">
        <f>B42+G42+L42+Q42+V42+AA42+AF42</f>
        <v/>
      </c>
      <c r="AL42" s="125">
        <f>C42+H42+M42+R42+W42+AB42+AG42</f>
        <v/>
      </c>
      <c r="AM42" s="125">
        <f>D42+I42+N42+S42+X42+AC42+AH42</f>
        <v/>
      </c>
      <c r="AN42" s="125">
        <f>E42+J42+O42+T42+Y42+AD42+AI42</f>
        <v/>
      </c>
      <c r="AO42" s="125">
        <f>F42+K42+P42+U42+Z42+AE42+AJ42</f>
        <v/>
      </c>
    </row>
    <row r="43">
      <c r="A43" s="124">
        <f>A42+7</f>
        <v/>
      </c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  <c r="AG43" s="125" t="n"/>
      <c r="AH43" s="125" t="n"/>
      <c r="AI43" s="125" t="n"/>
      <c r="AJ43" s="125" t="n"/>
      <c r="AK43" s="125">
        <f>B43+G43+L43+Q43+V43+AA43+AF43</f>
        <v/>
      </c>
      <c r="AL43" s="125">
        <f>C43+H43+M43+R43+W43+AB43+AG43</f>
        <v/>
      </c>
      <c r="AM43" s="125">
        <f>D43+I43+N43+S43+X43+AC43+AH43</f>
        <v/>
      </c>
      <c r="AN43" s="125">
        <f>E43+J43+O43+T43+Y43+AD43+AI43</f>
        <v/>
      </c>
      <c r="AO43" s="125">
        <f>F43+K43+P43+U43+Z43+AE43+AJ43</f>
        <v/>
      </c>
    </row>
    <row r="44">
      <c r="A44" s="124">
        <f>A43+7</f>
        <v/>
      </c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  <c r="AG44" s="125" t="n"/>
      <c r="AH44" s="125" t="n"/>
      <c r="AI44" s="125" t="n"/>
      <c r="AJ44" s="125" t="n"/>
      <c r="AK44" s="125">
        <f>B44+G44+L44+Q44+V44+AA44+AF44</f>
        <v/>
      </c>
      <c r="AL44" s="125">
        <f>C44+H44+M44+R44+W44+AB44+AG44</f>
        <v/>
      </c>
      <c r="AM44" s="125">
        <f>D44+I44+N44+S44+X44+AC44+AH44</f>
        <v/>
      </c>
      <c r="AN44" s="125">
        <f>E44+J44+O44+T44+Y44+AD44+AI44</f>
        <v/>
      </c>
      <c r="AO44" s="125">
        <f>F44+K44+P44+U44+Z44+AE44+AJ44</f>
        <v/>
      </c>
    </row>
    <row r="45">
      <c r="A45" s="124">
        <f>A44+7</f>
        <v/>
      </c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 t="n"/>
      <c r="AG45" s="125" t="n"/>
      <c r="AH45" s="125" t="n"/>
      <c r="AI45" s="125" t="n"/>
      <c r="AJ45" s="125" t="n"/>
      <c r="AK45" s="125">
        <f>B45+G45+L45+Q45+V45+AA45+AF45</f>
        <v/>
      </c>
      <c r="AL45" s="125">
        <f>C45+H45+M45+R45+W45+AB45+AG45</f>
        <v/>
      </c>
      <c r="AM45" s="125">
        <f>D45+I45+N45+S45+X45+AC45+AH45</f>
        <v/>
      </c>
      <c r="AN45" s="125">
        <f>E45+J45+O45+T45+Y45+AD45+AI45</f>
        <v/>
      </c>
      <c r="AO45" s="125">
        <f>F45+K45+P45+U45+Z45+AE45+AJ45</f>
        <v/>
      </c>
    </row>
    <row r="46">
      <c r="A46" s="124">
        <f>A45+7</f>
        <v/>
      </c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 t="n"/>
      <c r="AG46" s="125" t="n"/>
      <c r="AH46" s="125" t="n"/>
      <c r="AI46" s="125" t="n"/>
      <c r="AJ46" s="125" t="n"/>
      <c r="AK46" s="125">
        <f>B46+G46+L46+Q46+V46+AA46+AF46</f>
        <v/>
      </c>
      <c r="AL46" s="125">
        <f>C46+H46+M46+R46+W46+AB46+AG46</f>
        <v/>
      </c>
      <c r="AM46" s="125">
        <f>D46+I46+N46+S46+X46+AC46+AH46</f>
        <v/>
      </c>
      <c r="AN46" s="125">
        <f>E46+J46+O46+T46+Y46+AD46+AI46</f>
        <v/>
      </c>
      <c r="AO46" s="125">
        <f>F46+K46+P46+U46+Z46+AE46+AJ46</f>
        <v/>
      </c>
    </row>
    <row r="47">
      <c r="A47" s="124">
        <f>A46+7</f>
        <v/>
      </c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 t="n"/>
      <c r="AG47" s="125" t="n"/>
      <c r="AH47" s="125" t="n"/>
      <c r="AI47" s="125" t="n"/>
      <c r="AJ47" s="125" t="n"/>
      <c r="AK47" s="125">
        <f>B47+G47+L47+Q47+V47+AA47+AF47</f>
        <v/>
      </c>
      <c r="AL47" s="125">
        <f>C47+H47+M47+R47+W47+AB47+AG47</f>
        <v/>
      </c>
      <c r="AM47" s="125">
        <f>D47+I47+N47+S47+X47+AC47+AH47</f>
        <v/>
      </c>
      <c r="AN47" s="125">
        <f>E47+J47+O47+T47+Y47+AD47+AI47</f>
        <v/>
      </c>
      <c r="AO47" s="125">
        <f>F47+K47+P47+U47+Z47+AE47+AJ47</f>
        <v/>
      </c>
    </row>
    <row r="48">
      <c r="A48" s="124">
        <f>A47+7</f>
        <v/>
      </c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  <c r="AG48" s="125" t="n"/>
      <c r="AH48" s="125" t="n"/>
      <c r="AI48" s="125" t="n"/>
      <c r="AJ48" s="125" t="n"/>
      <c r="AK48" s="125">
        <f>B48+G48+L48+Q48+V48+AA48+AF48</f>
        <v/>
      </c>
      <c r="AL48" s="125">
        <f>C48+H48+M48+R48+W48+AB48+AG48</f>
        <v/>
      </c>
      <c r="AM48" s="125">
        <f>D48+I48+N48+S48+X48+AC48+AH48</f>
        <v/>
      </c>
      <c r="AN48" s="125">
        <f>E48+J48+O48+T48+Y48+AD48+AI48</f>
        <v/>
      </c>
      <c r="AO48" s="125">
        <f>F48+K48+P48+U48+Z48+AE48+AJ48</f>
        <v/>
      </c>
    </row>
    <row r="49">
      <c r="A49" s="124">
        <f>A48+7</f>
        <v/>
      </c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 t="n"/>
      <c r="AG49" s="125" t="n"/>
      <c r="AH49" s="125" t="n"/>
      <c r="AI49" s="125" t="n"/>
      <c r="AJ49" s="125" t="n"/>
      <c r="AK49" s="125">
        <f>B49+G49+L49+Q49+V49+AA49+AF49</f>
        <v/>
      </c>
      <c r="AL49" s="125">
        <f>C49+H49+M49+R49+W49+AB49+AG49</f>
        <v/>
      </c>
      <c r="AM49" s="125">
        <f>D49+I49+N49+S49+X49+AC49+AH49</f>
        <v/>
      </c>
      <c r="AN49" s="125">
        <f>E49+J49+O49+T49+Y49+AD49+AI49</f>
        <v/>
      </c>
      <c r="AO49" s="125">
        <f>F49+K49+P49+U49+Z49+AE49+AJ49</f>
        <v/>
      </c>
    </row>
    <row r="50">
      <c r="A50" s="124">
        <f>A49+7</f>
        <v/>
      </c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 t="n"/>
      <c r="AG50" s="125" t="n"/>
      <c r="AH50" s="125" t="n"/>
      <c r="AI50" s="125" t="n"/>
      <c r="AJ50" s="125" t="n"/>
      <c r="AK50" s="125">
        <f>B50+G50+L50+Q50+V50+AA50+AF50</f>
        <v/>
      </c>
      <c r="AL50" s="125">
        <f>C50+H50+M50+R50+W50+AB50+AG50</f>
        <v/>
      </c>
      <c r="AM50" s="125">
        <f>D50+I50+N50+S50+X50+AC50+AH50</f>
        <v/>
      </c>
      <c r="AN50" s="125">
        <f>E50+J50+O50+T50+Y50+AD50+AI50</f>
        <v/>
      </c>
      <c r="AO50" s="125">
        <f>F50+K50+P50+U50+Z50+AE50+AJ50</f>
        <v/>
      </c>
    </row>
    <row r="51">
      <c r="A51" s="124">
        <f>A50+7</f>
        <v/>
      </c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 t="n"/>
      <c r="AG51" s="125" t="n"/>
      <c r="AH51" s="125" t="n"/>
      <c r="AI51" s="125" t="n"/>
      <c r="AJ51" s="125" t="n"/>
      <c r="AK51" s="125">
        <f>B51+G51+L51+Q51+V51+AA51+AF51</f>
        <v/>
      </c>
      <c r="AL51" s="125">
        <f>C51+H51+M51+R51+W51+AB51+AG51</f>
        <v/>
      </c>
      <c r="AM51" s="125">
        <f>D51+I51+N51+S51+X51+AC51+AH51</f>
        <v/>
      </c>
      <c r="AN51" s="125">
        <f>E51+J51+O51+T51+Y51+AD51+AI51</f>
        <v/>
      </c>
      <c r="AO51" s="125">
        <f>F51+K51+P51+U51+Z51+AE51+AJ51</f>
        <v/>
      </c>
    </row>
    <row r="52">
      <c r="A52" s="124">
        <f>A51+7</f>
        <v/>
      </c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 t="n"/>
      <c r="AG52" s="125" t="n"/>
      <c r="AH52" s="125" t="n"/>
      <c r="AI52" s="125" t="n"/>
      <c r="AJ52" s="125" t="n"/>
      <c r="AK52" s="125">
        <f>B52+G52+L52+Q52+V52+AA52+AF52</f>
        <v/>
      </c>
      <c r="AL52" s="125">
        <f>C52+H52+M52+R52+W52+AB52+AG52</f>
        <v/>
      </c>
      <c r="AM52" s="125">
        <f>D52+I52+N52+S52+X52+AC52+AH52</f>
        <v/>
      </c>
      <c r="AN52" s="125">
        <f>E52+J52+O52+T52+Y52+AD52+AI52</f>
        <v/>
      </c>
      <c r="AO52" s="125">
        <f>F52+K52+P52+U52+Z52+AE52+AJ52</f>
        <v/>
      </c>
    </row>
  </sheetData>
  <mergeCells count="11">
    <mergeCell ref="G3:K3"/>
    <mergeCell ref="V3:Z3"/>
    <mergeCell ref="AF3:AJ3"/>
    <mergeCell ref="A2:A4"/>
    <mergeCell ref="Q3:U3"/>
    <mergeCell ref="B3:F3"/>
    <mergeCell ref="AK3:AO3"/>
    <mergeCell ref="L3:P3"/>
    <mergeCell ref="AA3:AE3"/>
    <mergeCell ref="A1:AO1"/>
    <mergeCell ref="B2:AJ2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W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472C4"/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V1"/>
    </sheetView>
  </sheetViews>
  <sheetFormatPr baseColWidth="8" defaultRowHeight="15"/>
  <cols>
    <col width="12" customWidth="1" style="102" min="1" max="1"/>
    <col width="10" customWidth="1" style="102" min="2" max="26"/>
  </cols>
  <sheetData>
    <row r="1">
      <c r="A1" s="101" t="inlineStr">
        <is>
          <t>ПЛАН ЧЕРН К2</t>
        </is>
      </c>
      <c r="X1" s="107" t="inlineStr">
        <is>
          <t>Итого К2</t>
        </is>
      </c>
    </row>
    <row r="2">
      <c r="A2" s="108" t="inlineStr">
        <is>
          <t>Дата</t>
        </is>
      </c>
      <c r="B2" s="110" t="inlineStr">
        <is>
          <t>Надземная часть</t>
        </is>
      </c>
      <c r="C2" s="105" t="n"/>
      <c r="D2" s="105" t="n"/>
      <c r="E2" s="105" t="n"/>
      <c r="F2" s="105" t="n"/>
      <c r="G2" s="105" t="n"/>
      <c r="H2" s="105" t="n"/>
      <c r="I2" s="105" t="n"/>
      <c r="J2" s="105" t="n"/>
      <c r="K2" s="105" t="n"/>
      <c r="L2" s="105" t="n"/>
      <c r="M2" s="105" t="n"/>
      <c r="N2" s="105" t="n"/>
      <c r="O2" s="105" t="n"/>
      <c r="P2" s="105" t="n"/>
      <c r="Q2" s="105" t="n"/>
      <c r="R2" s="105" t="n"/>
      <c r="S2" s="105" t="n"/>
      <c r="T2" s="105" t="n"/>
      <c r="U2" s="105" t="n"/>
      <c r="V2" s="106" t="n"/>
    </row>
    <row r="3">
      <c r="A3" s="109" t="n"/>
      <c r="B3" s="110" t="inlineStr">
        <is>
          <t>8.2.1 Отделка лобби/гранд-лобби</t>
        </is>
      </c>
      <c r="C3" s="105" t="n"/>
      <c r="D3" s="106" t="n"/>
      <c r="E3" s="110" t="inlineStr">
        <is>
          <t>8.2.2 Отделка эвакуац. лестн. клетки надзем.</t>
        </is>
      </c>
      <c r="F3" s="105" t="n"/>
      <c r="G3" s="106" t="n"/>
      <c r="H3" s="110" t="inlineStr">
        <is>
          <t>8.2.3 Лифт. холлы, тамбур-шлюзы надзем.</t>
        </is>
      </c>
      <c r="I3" s="105" t="n"/>
      <c r="J3" s="106" t="n"/>
      <c r="K3" s="110" t="inlineStr">
        <is>
          <t>8.2.4 Технич. помещения надзем.</t>
        </is>
      </c>
      <c r="L3" s="105" t="n"/>
      <c r="M3" s="106" t="n"/>
      <c r="N3" s="110" t="inlineStr">
        <is>
          <t>8.2.5 Прочие помещения надзем.</t>
        </is>
      </c>
      <c r="O3" s="105" t="n"/>
      <c r="P3" s="106" t="n"/>
      <c r="Q3" s="110" t="inlineStr">
        <is>
          <t>8.2.6 Коммерч. помещения надзем.</t>
        </is>
      </c>
      <c r="R3" s="105" t="n"/>
      <c r="S3" s="106" t="n"/>
      <c r="T3" s="110" t="inlineStr">
        <is>
          <t>8.2.7 Паркинг и рампы надзем.</t>
        </is>
      </c>
      <c r="U3" s="105" t="n"/>
      <c r="V3" s="106" t="n"/>
      <c r="X3" s="29" t="inlineStr">
        <is>
          <t>Пол</t>
        </is>
      </c>
      <c r="Y3" s="29" t="inlineStr">
        <is>
          <t>Стены</t>
        </is>
      </c>
      <c r="Z3" s="29" t="inlineStr">
        <is>
          <t>Потолок</t>
        </is>
      </c>
    </row>
    <row r="4">
      <c r="B4" s="110" t="inlineStr">
        <is>
          <t>Пол</t>
        </is>
      </c>
      <c r="C4" s="110" t="inlineStr">
        <is>
          <t>Стены</t>
        </is>
      </c>
      <c r="D4" s="110" t="inlineStr">
        <is>
          <t>Потолок</t>
        </is>
      </c>
      <c r="E4" s="110" t="inlineStr">
        <is>
          <t>Пол</t>
        </is>
      </c>
      <c r="F4" s="110" t="inlineStr">
        <is>
          <t>Стены</t>
        </is>
      </c>
      <c r="G4" s="110" t="inlineStr">
        <is>
          <t>Потолок</t>
        </is>
      </c>
      <c r="H4" s="110" t="inlineStr">
        <is>
          <t>Пол</t>
        </is>
      </c>
      <c r="I4" s="110" t="inlineStr">
        <is>
          <t>Стены</t>
        </is>
      </c>
      <c r="J4" s="110" t="inlineStr">
        <is>
          <t>Потолок</t>
        </is>
      </c>
      <c r="K4" s="110" t="inlineStr">
        <is>
          <t>Пол</t>
        </is>
      </c>
      <c r="L4" s="110" t="inlineStr">
        <is>
          <t>Стены</t>
        </is>
      </c>
      <c r="M4" s="110" t="inlineStr">
        <is>
          <t>Потолок</t>
        </is>
      </c>
      <c r="N4" s="110" t="inlineStr">
        <is>
          <t>Пол</t>
        </is>
      </c>
      <c r="O4" s="110" t="inlineStr">
        <is>
          <t>Стены</t>
        </is>
      </c>
      <c r="P4" s="110" t="inlineStr">
        <is>
          <t>Потолок</t>
        </is>
      </c>
      <c r="Q4" s="110" t="inlineStr">
        <is>
          <t>Пол</t>
        </is>
      </c>
      <c r="R4" s="110" t="inlineStr">
        <is>
          <t>Стены</t>
        </is>
      </c>
      <c r="S4" s="110" t="inlineStr">
        <is>
          <t>Потолок</t>
        </is>
      </c>
      <c r="T4" s="110" t="inlineStr">
        <is>
          <t>Пол</t>
        </is>
      </c>
      <c r="U4" s="110" t="inlineStr">
        <is>
          <t>Стены</t>
        </is>
      </c>
      <c r="V4" s="110" t="inlineStr">
        <is>
          <t>Потолок</t>
        </is>
      </c>
      <c r="X4" s="30" t="n"/>
      <c r="Y4" s="30" t="n"/>
      <c r="Z4" s="30" t="n"/>
    </row>
    <row r="5">
      <c r="A5" s="17">
        <f>СПРАВОЧНИК!$B$35</f>
        <v/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X5" s="32">
        <f>B5+E5+H5+K5+N5+Q5+T5</f>
        <v/>
      </c>
      <c r="Y5" s="32">
        <f>C5+F5+I5+L5+O5+R5+U5</f>
        <v/>
      </c>
      <c r="Z5" s="32">
        <f>D5+G5+J5+M5+P5+S5+V5</f>
        <v/>
      </c>
    </row>
    <row r="6">
      <c r="A6" s="17">
        <f>A5+7</f>
        <v/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X6" s="32">
        <f>B6+E6+H6+K6+N6+Q6+T6</f>
        <v/>
      </c>
      <c r="Y6" s="32">
        <f>C6+F6+I6+L6+O6+R6+U6</f>
        <v/>
      </c>
      <c r="Z6" s="32">
        <f>D6+G6+J6+M6+P6+S6+V6</f>
        <v/>
      </c>
    </row>
    <row r="7">
      <c r="A7" s="17">
        <f>A6+7</f>
        <v/>
      </c>
      <c r="B7" s="31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X7" s="32">
        <f>B7+E7+H7+K7+N7+Q7+T7</f>
        <v/>
      </c>
      <c r="Y7" s="32">
        <f>C7+F7+I7+L7+O7+R7+U7</f>
        <v/>
      </c>
      <c r="Z7" s="32">
        <f>D7+G7+J7+M7+P7+S7+V7</f>
        <v/>
      </c>
    </row>
    <row r="8">
      <c r="A8" s="17">
        <f>A7+7</f>
        <v/>
      </c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X8" s="32">
        <f>B8+E8+H8+K8+N8+Q8+T8</f>
        <v/>
      </c>
      <c r="Y8" s="32">
        <f>C8+F8+I8+L8+O8+R8+U8</f>
        <v/>
      </c>
      <c r="Z8" s="32">
        <f>D8+G8+J8+M8+P8+S8+V8</f>
        <v/>
      </c>
    </row>
    <row r="9">
      <c r="A9" s="17">
        <f>A8+7</f>
        <v/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X9" s="32">
        <f>B9+E9+H9+K9+N9+Q9+T9</f>
        <v/>
      </c>
      <c r="Y9" s="32">
        <f>C9+F9+I9+L9+O9+R9+U9</f>
        <v/>
      </c>
      <c r="Z9" s="32">
        <f>D9+G9+J9+M9+P9+S9+V9</f>
        <v/>
      </c>
    </row>
    <row r="10">
      <c r="A10" s="17">
        <f>A9+7</f>
        <v/>
      </c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X10" s="32">
        <f>B10+E10+H10+K10+N10+Q10+T10</f>
        <v/>
      </c>
      <c r="Y10" s="32">
        <f>C10+F10+I10+L10+O10+R10+U10</f>
        <v/>
      </c>
      <c r="Z10" s="32">
        <f>D10+G10+J10+M10+P10+S10+V10</f>
        <v/>
      </c>
    </row>
    <row r="11">
      <c r="A11" s="17">
        <f>A10+7</f>
        <v/>
      </c>
      <c r="B11" s="31" t="n"/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  <c r="Q11" s="31" t="n"/>
      <c r="R11" s="31" t="n"/>
      <c r="S11" s="31" t="n"/>
      <c r="T11" s="31" t="n"/>
      <c r="U11" s="31" t="n"/>
      <c r="V11" s="31" t="n"/>
      <c r="X11" s="32">
        <f>B11+E11+H11+K11+N11+Q11+T11</f>
        <v/>
      </c>
      <c r="Y11" s="32">
        <f>C11+F11+I11+L11+O11+R11+U11</f>
        <v/>
      </c>
      <c r="Z11" s="32">
        <f>D11+G11+J11+M11+P11+S11+V11</f>
        <v/>
      </c>
    </row>
    <row r="12">
      <c r="A12" s="17">
        <f>A11+7</f>
        <v/>
      </c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X12" s="32">
        <f>B12+E12+H12+K12+N12+Q12+T12</f>
        <v/>
      </c>
      <c r="Y12" s="32">
        <f>C12+F12+I12+L12+O12+R12+U12</f>
        <v/>
      </c>
      <c r="Z12" s="32">
        <f>D12+G12+J12+M12+P12+S12+V12</f>
        <v/>
      </c>
    </row>
    <row r="13">
      <c r="A13" s="17">
        <f>A12+7</f>
        <v/>
      </c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X13" s="32">
        <f>B13+E13+H13+K13+N13+Q13+T13</f>
        <v/>
      </c>
      <c r="Y13" s="32">
        <f>C13+F13+I13+L13+O13+R13+U13</f>
        <v/>
      </c>
      <c r="Z13" s="32">
        <f>D13+G13+J13+M13+P13+S13+V13</f>
        <v/>
      </c>
    </row>
    <row r="14">
      <c r="A14" s="17">
        <f>A13+7</f>
        <v/>
      </c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X14" s="32">
        <f>B14+E14+H14+K14+N14+Q14+T14</f>
        <v/>
      </c>
      <c r="Y14" s="32">
        <f>C14+F14+I14+L14+O14+R14+U14</f>
        <v/>
      </c>
      <c r="Z14" s="32">
        <f>D14+G14+J14+M14+P14+S14+V14</f>
        <v/>
      </c>
    </row>
    <row r="15">
      <c r="A15" s="17">
        <f>A14+7</f>
        <v/>
      </c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X15" s="32">
        <f>B15+E15+H15+K15+N15+Q15+T15</f>
        <v/>
      </c>
      <c r="Y15" s="32">
        <f>C15+F15+I15+L15+O15+R15+U15</f>
        <v/>
      </c>
      <c r="Z15" s="32">
        <f>D15+G15+J15+M15+P15+S15+V15</f>
        <v/>
      </c>
    </row>
    <row r="16">
      <c r="A16" s="17">
        <f>A15+7</f>
        <v/>
      </c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X16" s="32">
        <f>B16+E16+H16+K16+N16+Q16+T16</f>
        <v/>
      </c>
      <c r="Y16" s="32">
        <f>C16+F16+I16+L16+O16+R16+U16</f>
        <v/>
      </c>
      <c r="Z16" s="32">
        <f>D16+G16+J16+M16+P16+S16+V16</f>
        <v/>
      </c>
    </row>
    <row r="17">
      <c r="A17" s="17">
        <f>A16+7</f>
        <v/>
      </c>
      <c r="B17" s="31" t="n"/>
      <c r="C17" s="31" t="n"/>
      <c r="D17" s="31" t="n"/>
      <c r="E17" s="31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31" t="n"/>
      <c r="O17" s="31" t="n"/>
      <c r="P17" s="31" t="n"/>
      <c r="Q17" s="31" t="n"/>
      <c r="R17" s="31" t="n"/>
      <c r="S17" s="31" t="n"/>
      <c r="T17" s="31" t="n"/>
      <c r="U17" s="31" t="n"/>
      <c r="V17" s="31" t="n"/>
      <c r="X17" s="32">
        <f>B17+E17+H17+K17+N17+Q17+T17</f>
        <v/>
      </c>
      <c r="Y17" s="32">
        <f>C17+F17+I17+L17+O17+R17+U17</f>
        <v/>
      </c>
      <c r="Z17" s="32">
        <f>D17+G17+J17+M17+P17+S17+V17</f>
        <v/>
      </c>
    </row>
    <row r="18">
      <c r="A18" s="17">
        <f>A17+7</f>
        <v/>
      </c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X18" s="32">
        <f>B18+E18+H18+K18+N18+Q18+T18</f>
        <v/>
      </c>
      <c r="Y18" s="32">
        <f>C18+F18+I18+L18+O18+R18+U18</f>
        <v/>
      </c>
      <c r="Z18" s="32">
        <f>D18+G18+J18+M18+P18+S18+V18</f>
        <v/>
      </c>
    </row>
    <row r="19">
      <c r="A19" s="17">
        <f>A18+7</f>
        <v/>
      </c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X19" s="32">
        <f>B19+E19+H19+K19+N19+Q19+T19</f>
        <v/>
      </c>
      <c r="Y19" s="32">
        <f>C19+F19+I19+L19+O19+R19+U19</f>
        <v/>
      </c>
      <c r="Z19" s="32">
        <f>D19+G19+J19+M19+P19+S19+V19</f>
        <v/>
      </c>
    </row>
    <row r="20">
      <c r="A20" s="17">
        <f>A19+7</f>
        <v/>
      </c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X20" s="32">
        <f>B20+E20+H20+K20+N20+Q20+T20</f>
        <v/>
      </c>
      <c r="Y20" s="32">
        <f>C20+F20+I20+L20+O20+R20+U20</f>
        <v/>
      </c>
      <c r="Z20" s="32">
        <f>D20+G20+J20+M20+P20+S20+V20</f>
        <v/>
      </c>
    </row>
    <row r="21">
      <c r="A21" s="17">
        <f>A20+7</f>
        <v/>
      </c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X21" s="32">
        <f>B21+E21+H21+K21+N21+Q21+T21</f>
        <v/>
      </c>
      <c r="Y21" s="32">
        <f>C21+F21+I21+L21+O21+R21+U21</f>
        <v/>
      </c>
      <c r="Z21" s="32">
        <f>D21+G21+J21+M21+P21+S21+V21</f>
        <v/>
      </c>
    </row>
    <row r="22">
      <c r="A22" s="17">
        <f>A21+7</f>
        <v/>
      </c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X22" s="32">
        <f>B22+E22+H22+K22+N22+Q22+T22</f>
        <v/>
      </c>
      <c r="Y22" s="32">
        <f>C22+F22+I22+L22+O22+R22+U22</f>
        <v/>
      </c>
      <c r="Z22" s="32">
        <f>D22+G22+J22+M22+P22+S22+V22</f>
        <v/>
      </c>
    </row>
    <row r="23">
      <c r="A23" s="17">
        <f>A22+7</f>
        <v/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X23" s="32">
        <f>B23+E23+H23+K23+N23+Q23+T23</f>
        <v/>
      </c>
      <c r="Y23" s="32">
        <f>C23+F23+I23+L23+O23+R23+U23</f>
        <v/>
      </c>
      <c r="Z23" s="32">
        <f>D23+G23+J23+M23+P23+S23+V23</f>
        <v/>
      </c>
    </row>
    <row r="24">
      <c r="A24" s="17">
        <f>A23+7</f>
        <v/>
      </c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X24" s="32">
        <f>B24+E24+H24+K24+N24+Q24+T24</f>
        <v/>
      </c>
      <c r="Y24" s="32">
        <f>C24+F24+I24+L24+O24+R24+U24</f>
        <v/>
      </c>
      <c r="Z24" s="32">
        <f>D24+G24+J24+M24+P24+S24+V24</f>
        <v/>
      </c>
    </row>
    <row r="25">
      <c r="A25" s="17">
        <f>A24+7</f>
        <v/>
      </c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X25" s="32">
        <f>B25+E25+H25+K25+N25+Q25+T25</f>
        <v/>
      </c>
      <c r="Y25" s="32">
        <f>C25+F25+I25+L25+O25+R25+U25</f>
        <v/>
      </c>
      <c r="Z25" s="32">
        <f>D25+G25+J25+M25+P25+S25+V25</f>
        <v/>
      </c>
    </row>
    <row r="26">
      <c r="A26" s="17">
        <f>A25+7</f>
        <v/>
      </c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X26" s="32">
        <f>B26+E26+H26+K26+N26+Q26+T26</f>
        <v/>
      </c>
      <c r="Y26" s="32">
        <f>C26+F26+I26+L26+O26+R26+U26</f>
        <v/>
      </c>
      <c r="Z26" s="32">
        <f>D26+G26+J26+M26+P26+S26+V26</f>
        <v/>
      </c>
    </row>
    <row r="27">
      <c r="A27" s="17">
        <f>A26+7</f>
        <v/>
      </c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X27" s="32">
        <f>B27+E27+H27+K27+N27+Q27+T27</f>
        <v/>
      </c>
      <c r="Y27" s="32">
        <f>C27+F27+I27+L27+O27+R27+U27</f>
        <v/>
      </c>
      <c r="Z27" s="32">
        <f>D27+G27+J27+M27+P27+S27+V27</f>
        <v/>
      </c>
    </row>
    <row r="28">
      <c r="A28" s="17">
        <f>A27+7</f>
        <v/>
      </c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X28" s="32">
        <f>B28+E28+H28+K28+N28+Q28+T28</f>
        <v/>
      </c>
      <c r="Y28" s="32">
        <f>C28+F28+I28+L28+O28+R28+U28</f>
        <v/>
      </c>
      <c r="Z28" s="32">
        <f>D28+G28+J28+M28+P28+S28+V28</f>
        <v/>
      </c>
    </row>
    <row r="29">
      <c r="A29" s="17">
        <f>A28+7</f>
        <v/>
      </c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X29" s="32">
        <f>B29+E29+H29+K29+N29+Q29+T29</f>
        <v/>
      </c>
      <c r="Y29" s="32">
        <f>C29+F29+I29+L29+O29+R29+U29</f>
        <v/>
      </c>
      <c r="Z29" s="32">
        <f>D29+G29+J29+M29+P29+S29+V29</f>
        <v/>
      </c>
    </row>
    <row r="30">
      <c r="A30" s="17">
        <f>A29+7</f>
        <v/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X30" s="32">
        <f>B30+E30+H30+K30+N30+Q30+T30</f>
        <v/>
      </c>
      <c r="Y30" s="32">
        <f>C30+F30+I30+L30+O30+R30+U30</f>
        <v/>
      </c>
      <c r="Z30" s="32">
        <f>D30+G30+J30+M30+P30+S30+V30</f>
        <v/>
      </c>
    </row>
    <row r="31">
      <c r="A31" s="17">
        <f>A30+7</f>
        <v/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X31" s="32">
        <f>B31+E31+H31+K31+N31+Q31+T31</f>
        <v/>
      </c>
      <c r="Y31" s="32">
        <f>C31+F31+I31+L31+O31+R31+U31</f>
        <v/>
      </c>
      <c r="Z31" s="32">
        <f>D31+G31+J31+M31+P31+S31+V31</f>
        <v/>
      </c>
    </row>
    <row r="32">
      <c r="A32" s="17">
        <f>A31+7</f>
        <v/>
      </c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X32" s="32">
        <f>B32+E32+H32+K32+N32+Q32+T32</f>
        <v/>
      </c>
      <c r="Y32" s="32">
        <f>C32+F32+I32+L32+O32+R32+U32</f>
        <v/>
      </c>
      <c r="Z32" s="32">
        <f>D32+G32+J32+M32+P32+S32+V32</f>
        <v/>
      </c>
    </row>
    <row r="33">
      <c r="A33" s="17">
        <f>A32+7</f>
        <v/>
      </c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X33" s="32">
        <f>B33+E33+H33+K33+N33+Q33+T33</f>
        <v/>
      </c>
      <c r="Y33" s="32">
        <f>C33+F33+I33+L33+O33+R33+U33</f>
        <v/>
      </c>
      <c r="Z33" s="32">
        <f>D33+G33+J33+M33+P33+S33+V33</f>
        <v/>
      </c>
    </row>
    <row r="34">
      <c r="A34" s="17">
        <f>A33+7</f>
        <v/>
      </c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X34" s="32">
        <f>B34+E34+H34+K34+N34+Q34+T34</f>
        <v/>
      </c>
      <c r="Y34" s="32">
        <f>C34+F34+I34+L34+O34+R34+U34</f>
        <v/>
      </c>
      <c r="Z34" s="32">
        <f>D34+G34+J34+M34+P34+S34+V34</f>
        <v/>
      </c>
    </row>
    <row r="35">
      <c r="A35" s="17">
        <f>A34+7</f>
        <v/>
      </c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X35" s="32">
        <f>B35+E35+H35+K35+N35+Q35+T35</f>
        <v/>
      </c>
      <c r="Y35" s="32">
        <f>C35+F35+I35+L35+O35+R35+U35</f>
        <v/>
      </c>
      <c r="Z35" s="32">
        <f>D35+G35+J35+M35+P35+S35+V35</f>
        <v/>
      </c>
    </row>
    <row r="36">
      <c r="A36" s="17">
        <f>A35+7</f>
        <v/>
      </c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X36" s="32">
        <f>B36+E36+H36+K36+N36+Q36+T36</f>
        <v/>
      </c>
      <c r="Y36" s="32">
        <f>C36+F36+I36+L36+O36+R36+U36</f>
        <v/>
      </c>
      <c r="Z36" s="32">
        <f>D36+G36+J36+M36+P36+S36+V36</f>
        <v/>
      </c>
    </row>
    <row r="37">
      <c r="A37" s="17">
        <f>A36+7</f>
        <v/>
      </c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X37" s="32">
        <f>B37+E37+H37+K37+N37+Q37+T37</f>
        <v/>
      </c>
      <c r="Y37" s="32">
        <f>C37+F37+I37+L37+O37+R37+U37</f>
        <v/>
      </c>
      <c r="Z37" s="32">
        <f>D37+G37+J37+M37+P37+S37+V37</f>
        <v/>
      </c>
    </row>
    <row r="38">
      <c r="A38" s="17">
        <f>A37+7</f>
        <v/>
      </c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X38" s="32">
        <f>B38+E38+H38+K38+N38+Q38+T38</f>
        <v/>
      </c>
      <c r="Y38" s="32">
        <f>C38+F38+I38+L38+O38+R38+U38</f>
        <v/>
      </c>
      <c r="Z38" s="32">
        <f>D38+G38+J38+M38+P38+S38+V38</f>
        <v/>
      </c>
    </row>
    <row r="39">
      <c r="A39" s="17">
        <f>A38+7</f>
        <v/>
      </c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X39" s="32">
        <f>B39+E39+H39+K39+N39+Q39+T39</f>
        <v/>
      </c>
      <c r="Y39" s="32">
        <f>C39+F39+I39+L39+O39+R39+U39</f>
        <v/>
      </c>
      <c r="Z39" s="32">
        <f>D39+G39+J39+M39+P39+S39+V39</f>
        <v/>
      </c>
    </row>
    <row r="40">
      <c r="A40" s="17">
        <f>A39+7</f>
        <v/>
      </c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X40" s="32">
        <f>B40+E40+H40+K40+N40+Q40+T40</f>
        <v/>
      </c>
      <c r="Y40" s="32">
        <f>C40+F40+I40+L40+O40+R40+U40</f>
        <v/>
      </c>
      <c r="Z40" s="32">
        <f>D40+G40+J40+M40+P40+S40+V40</f>
        <v/>
      </c>
    </row>
    <row r="41">
      <c r="A41" s="17">
        <f>A40+7</f>
        <v/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X41" s="32">
        <f>B41+E41+H41+K41+N41+Q41+T41</f>
        <v/>
      </c>
      <c r="Y41" s="32">
        <f>C41+F41+I41+L41+O41+R41+U41</f>
        <v/>
      </c>
      <c r="Z41" s="32">
        <f>D41+G41+J41+M41+P41+S41+V41</f>
        <v/>
      </c>
    </row>
    <row r="42">
      <c r="A42" s="17">
        <f>A41+7</f>
        <v/>
      </c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X42" s="32">
        <f>B42+E42+H42+K42+N42+Q42+T42</f>
        <v/>
      </c>
      <c r="Y42" s="32">
        <f>C42+F42+I42+L42+O42+R42+U42</f>
        <v/>
      </c>
      <c r="Z42" s="32">
        <f>D42+G42+J42+M42+P42+S42+V42</f>
        <v/>
      </c>
    </row>
    <row r="43">
      <c r="A43" s="17">
        <f>A42+7</f>
        <v/>
      </c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X43" s="32">
        <f>B43+E43+H43+K43+N43+Q43+T43</f>
        <v/>
      </c>
      <c r="Y43" s="32">
        <f>C43+F43+I43+L43+O43+R43+U43</f>
        <v/>
      </c>
      <c r="Z43" s="32">
        <f>D43+G43+J43+M43+P43+S43+V43</f>
        <v/>
      </c>
    </row>
    <row r="44">
      <c r="A44" s="17">
        <f>A43+7</f>
        <v/>
      </c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X44" s="32">
        <f>B44+E44+H44+K44+N44+Q44+T44</f>
        <v/>
      </c>
      <c r="Y44" s="32">
        <f>C44+F44+I44+L44+O44+R44+U44</f>
        <v/>
      </c>
      <c r="Z44" s="32">
        <f>D44+G44+J44+M44+P44+S44+V44</f>
        <v/>
      </c>
    </row>
    <row r="45">
      <c r="A45" s="17">
        <f>A44+7</f>
        <v/>
      </c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X45" s="32">
        <f>B45+E45+H45+K45+N45+Q45+T45</f>
        <v/>
      </c>
      <c r="Y45" s="32">
        <f>C45+F45+I45+L45+O45+R45+U45</f>
        <v/>
      </c>
      <c r="Z45" s="32">
        <f>D45+G45+J45+M45+P45+S45+V45</f>
        <v/>
      </c>
    </row>
    <row r="46">
      <c r="A46" s="17">
        <f>A45+7</f>
        <v/>
      </c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X46" s="32">
        <f>B46+E46+H46+K46+N46+Q46+T46</f>
        <v/>
      </c>
      <c r="Y46" s="32">
        <f>C46+F46+I46+L46+O46+R46+U46</f>
        <v/>
      </c>
      <c r="Z46" s="32">
        <f>D46+G46+J46+M46+P46+S46+V46</f>
        <v/>
      </c>
    </row>
    <row r="47">
      <c r="A47" s="17">
        <f>A46+7</f>
        <v/>
      </c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X47" s="32">
        <f>B47+E47+H47+K47+N47+Q47+T47</f>
        <v/>
      </c>
      <c r="Y47" s="32">
        <f>C47+F47+I47+L47+O47+R47+U47</f>
        <v/>
      </c>
      <c r="Z47" s="32">
        <f>D47+G47+J47+M47+P47+S47+V47</f>
        <v/>
      </c>
    </row>
    <row r="48">
      <c r="A48" s="17">
        <f>A47+7</f>
        <v/>
      </c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X48" s="32">
        <f>B48+E48+H48+K48+N48+Q48+T48</f>
        <v/>
      </c>
      <c r="Y48" s="32">
        <f>C48+F48+I48+L48+O48+R48+U48</f>
        <v/>
      </c>
      <c r="Z48" s="32">
        <f>D48+G48+J48+M48+P48+S48+V48</f>
        <v/>
      </c>
    </row>
    <row r="49">
      <c r="A49" s="17">
        <f>A48+7</f>
        <v/>
      </c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X49" s="32">
        <f>B49+E49+H49+K49+N49+Q49+T49</f>
        <v/>
      </c>
      <c r="Y49" s="32">
        <f>C49+F49+I49+L49+O49+R49+U49</f>
        <v/>
      </c>
      <c r="Z49" s="32">
        <f>D49+G49+J49+M49+P49+S49+V49</f>
        <v/>
      </c>
    </row>
    <row r="50">
      <c r="A50" s="17">
        <f>A49+7</f>
        <v/>
      </c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X50" s="32">
        <f>B50+E50+H50+K50+N50+Q50+T50</f>
        <v/>
      </c>
      <c r="Y50" s="32">
        <f>C50+F50+I50+L50+O50+R50+U50</f>
        <v/>
      </c>
      <c r="Z50" s="32">
        <f>D50+G50+J50+M50+P50+S50+V50</f>
        <v/>
      </c>
    </row>
    <row r="51">
      <c r="A51" s="17">
        <f>A50+7</f>
        <v/>
      </c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X51" s="32">
        <f>B51+E51+H51+K51+N51+Q51+T51</f>
        <v/>
      </c>
      <c r="Y51" s="32">
        <f>C51+F51+I51+L51+O51+R51+U51</f>
        <v/>
      </c>
      <c r="Z51" s="32">
        <f>D51+G51+J51+M51+P51+S51+V51</f>
        <v/>
      </c>
    </row>
    <row r="52">
      <c r="A52" s="17">
        <f>A51+7</f>
        <v/>
      </c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X52" s="32">
        <f>B52+E52+H52+K52+N52+Q52+T52</f>
        <v/>
      </c>
      <c r="Y52" s="32">
        <f>C52+F52+I52+L52+O52+R52+U52</f>
        <v/>
      </c>
      <c r="Z52" s="32">
        <f>D52+G52+J52+M52+P52+S52+V52</f>
        <v/>
      </c>
    </row>
  </sheetData>
  <mergeCells count="11">
    <mergeCell ref="B3:D3"/>
    <mergeCell ref="B2:V2"/>
    <mergeCell ref="A1:V1"/>
    <mergeCell ref="T3:V3"/>
    <mergeCell ref="A2:A3"/>
    <mergeCell ref="E3:G3"/>
    <mergeCell ref="K3:M3"/>
    <mergeCell ref="H3:J3"/>
    <mergeCell ref="X1:Z1"/>
    <mergeCell ref="N3:P3"/>
    <mergeCell ref="Q3:S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V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AO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W1"/>
    </sheetView>
  </sheetViews>
  <sheetFormatPr baseColWidth="8" defaultRowHeight="15"/>
  <cols>
    <col width="14" customWidth="1" style="102" min="1" max="1"/>
    <col width="10" customWidth="1" style="102" min="2" max="27"/>
    <col width="10" customWidth="1" style="102" min="3" max="3"/>
    <col width="10" customWidth="1" style="102" min="4" max="4"/>
    <col width="10" customWidth="1" style="102" min="5" max="5"/>
    <col width="10" customWidth="1" style="102" min="6" max="6"/>
    <col width="10" customWidth="1" style="102" min="7" max="7"/>
    <col width="10" customWidth="1" style="102" min="8" max="8"/>
    <col width="10" customWidth="1" style="102" min="9" max="9"/>
    <col width="10" customWidth="1" style="102" min="10" max="10"/>
    <col width="10" customWidth="1" style="102" min="11" max="11"/>
    <col width="10" customWidth="1" style="102" min="12" max="12"/>
    <col width="10" customWidth="1" style="102" min="13" max="13"/>
    <col width="10" customWidth="1" style="102" min="14" max="14"/>
    <col width="10" customWidth="1" style="102" min="15" max="15"/>
    <col width="10" customWidth="1" style="102" min="16" max="16"/>
    <col width="10" customWidth="1" style="102" min="17" max="17"/>
    <col width="10" customWidth="1" style="102" min="18" max="18"/>
    <col width="10" customWidth="1" style="102" min="19" max="19"/>
    <col width="10" customWidth="1" style="102" min="20" max="20"/>
    <col width="10" customWidth="1" style="102" min="21" max="21"/>
    <col width="10" customWidth="1" style="102" min="22" max="22"/>
    <col width="10" customWidth="1" style="102" min="23" max="23"/>
    <col width="10" customWidth="1" style="102" min="24" max="24"/>
    <col width="10" customWidth="1" style="102" min="25" max="25"/>
    <col width="10" customWidth="1" style="102" min="26" max="26"/>
    <col width="10" customWidth="1" style="102" min="27" max="27"/>
    <col width="10" customWidth="1" style="102" min="28" max="28"/>
    <col width="10" customWidth="1" style="102" min="29" max="29"/>
    <col width="10" customWidth="1" style="102" min="30" max="30"/>
    <col width="10" customWidth="1" style="102" min="31" max="31"/>
    <col width="10" customWidth="1" style="102" min="32" max="32"/>
    <col width="10" customWidth="1" style="102" min="33" max="33"/>
    <col width="10" customWidth="1" style="102" min="34" max="34"/>
    <col width="10" customWidth="1" style="102" min="35" max="35"/>
    <col width="10" customWidth="1" style="102" min="36" max="36"/>
    <col width="10" customWidth="1" style="102" min="37" max="37"/>
    <col width="10" customWidth="1" style="102" min="38" max="38"/>
    <col width="10" customWidth="1" style="102" min="39" max="39"/>
    <col width="10" customWidth="1" style="102" min="40" max="40"/>
    <col width="10" customWidth="1" style="102" min="41" max="41"/>
  </cols>
  <sheetData>
    <row r="1">
      <c r="A1" s="118" t="inlineStr">
        <is>
          <t>ПЛАН ЧИСТ К2</t>
        </is>
      </c>
    </row>
    <row r="2">
      <c r="A2" s="115" t="inlineStr">
        <is>
          <t>Дата</t>
        </is>
      </c>
      <c r="B2" s="115" t="inlineStr">
        <is>
          <t>Надземная часть</t>
        </is>
      </c>
      <c r="C2" s="119" t="n"/>
      <c r="D2" s="119" t="n"/>
      <c r="E2" s="119" t="n"/>
      <c r="F2" s="119" t="n"/>
      <c r="G2" s="119" t="n"/>
      <c r="H2" s="119" t="n"/>
      <c r="I2" s="119" t="n"/>
      <c r="J2" s="119" t="n"/>
      <c r="K2" s="119" t="n"/>
      <c r="L2" s="119" t="n"/>
      <c r="M2" s="119" t="n"/>
      <c r="N2" s="119" t="n"/>
      <c r="O2" s="119" t="n"/>
      <c r="P2" s="119" t="n"/>
      <c r="Q2" s="119" t="n"/>
      <c r="R2" s="119" t="n"/>
      <c r="S2" s="119" t="n"/>
      <c r="T2" s="119" t="n"/>
      <c r="U2" s="119" t="n"/>
      <c r="V2" s="119" t="n"/>
      <c r="W2" s="119" t="n"/>
      <c r="X2" s="119" t="n"/>
      <c r="Y2" s="119" t="n"/>
      <c r="Z2" s="119" t="n"/>
      <c r="AA2" s="119" t="n"/>
      <c r="AB2" s="119" t="n"/>
      <c r="AC2" s="119" t="n"/>
      <c r="AD2" s="119" t="n"/>
      <c r="AE2" s="119" t="n"/>
      <c r="AF2" s="119" t="n"/>
      <c r="AG2" s="119" t="n"/>
      <c r="AH2" s="119" t="n"/>
      <c r="AI2" s="119" t="n"/>
      <c r="AJ2" s="120" t="n"/>
      <c r="AK2" s="121" t="n"/>
      <c r="AL2" s="121" t="n"/>
      <c r="AM2" s="121" t="n"/>
      <c r="AN2" s="121" t="n"/>
      <c r="AO2" s="121" t="n"/>
    </row>
    <row r="3">
      <c r="A3" s="122" t="n"/>
      <c r="B3" s="115" t="inlineStr">
        <is>
          <t>8.2.1 Отделка лобби/гранд-лобби</t>
        </is>
      </c>
      <c r="C3" s="119" t="n"/>
      <c r="D3" s="119" t="n"/>
      <c r="E3" s="119" t="n"/>
      <c r="F3" s="120" t="n"/>
      <c r="G3" s="115" t="inlineStr">
        <is>
          <t>8.2.2 Отделка эвакуац. лестн. клетки надзем.</t>
        </is>
      </c>
      <c r="H3" s="119" t="n"/>
      <c r="I3" s="119" t="n"/>
      <c r="J3" s="119" t="n"/>
      <c r="K3" s="120" t="n"/>
      <c r="L3" s="115" t="inlineStr">
        <is>
          <t>8.2.3 Лифт. холлы, тамбур-шлюзы надзем.</t>
        </is>
      </c>
      <c r="M3" s="119" t="n"/>
      <c r="N3" s="119" t="n"/>
      <c r="O3" s="119" t="n"/>
      <c r="P3" s="120" t="n"/>
      <c r="Q3" s="115" t="inlineStr">
        <is>
          <t>8.2.4 Технич. помещения надзем.</t>
        </is>
      </c>
      <c r="R3" s="119" t="n"/>
      <c r="S3" s="119" t="n"/>
      <c r="T3" s="119" t="n"/>
      <c r="U3" s="120" t="n"/>
      <c r="V3" s="115" t="inlineStr">
        <is>
          <t>8.2.5 Прочие помещения надзем.</t>
        </is>
      </c>
      <c r="W3" s="119" t="n"/>
      <c r="X3" s="119" t="n"/>
      <c r="Y3" s="119" t="n"/>
      <c r="Z3" s="120" t="n"/>
      <c r="AA3" s="115" t="inlineStr">
        <is>
          <t>8.2.6 Коммерч. помещения надзем.</t>
        </is>
      </c>
      <c r="AB3" s="119" t="n"/>
      <c r="AC3" s="119" t="n"/>
      <c r="AD3" s="119" t="n"/>
      <c r="AE3" s="120" t="n"/>
      <c r="AF3" s="115" t="inlineStr">
        <is>
          <t>8.2.7 Паркинг и рампы надзем.</t>
        </is>
      </c>
      <c r="AG3" s="119" t="n"/>
      <c r="AH3" s="119" t="n"/>
      <c r="AI3" s="119" t="n"/>
      <c r="AJ3" s="120" t="n"/>
      <c r="AK3" s="115" t="inlineStr">
        <is>
          <t>Итого</t>
        </is>
      </c>
      <c r="AL3" s="119" t="n"/>
      <c r="AM3" s="119" t="n"/>
      <c r="AN3" s="119" t="n"/>
      <c r="AO3" s="120" t="n"/>
    </row>
    <row r="4">
      <c r="A4" s="123" t="n"/>
      <c r="B4" s="115" t="inlineStr">
        <is>
          <t>Пол</t>
        </is>
      </c>
      <c r="C4" s="115" t="inlineStr">
        <is>
          <t>Стены</t>
        </is>
      </c>
      <c r="D4" s="115" t="inlineStr">
        <is>
          <t>Потолок</t>
        </is>
      </c>
      <c r="E4" s="115" t="inlineStr">
        <is>
          <t>Запол.</t>
        </is>
      </c>
      <c r="F4" s="115" t="inlineStr">
        <is>
          <t>Мебл.</t>
        </is>
      </c>
      <c r="G4" s="115" t="inlineStr">
        <is>
          <t>Пол</t>
        </is>
      </c>
      <c r="H4" s="115" t="inlineStr">
        <is>
          <t>Стены</t>
        </is>
      </c>
      <c r="I4" s="115" t="inlineStr">
        <is>
          <t>Потолок</t>
        </is>
      </c>
      <c r="J4" s="115" t="inlineStr">
        <is>
          <t>Запол.</t>
        </is>
      </c>
      <c r="K4" s="115" t="inlineStr">
        <is>
          <t>Мебл.</t>
        </is>
      </c>
      <c r="L4" s="115" t="inlineStr">
        <is>
          <t>Пол</t>
        </is>
      </c>
      <c r="M4" s="115" t="inlineStr">
        <is>
          <t>Стены</t>
        </is>
      </c>
      <c r="N4" s="115" t="inlineStr">
        <is>
          <t>Потолок</t>
        </is>
      </c>
      <c r="O4" s="115" t="inlineStr">
        <is>
          <t>Запол.</t>
        </is>
      </c>
      <c r="P4" s="115" t="inlineStr">
        <is>
          <t>Мебл.</t>
        </is>
      </c>
      <c r="Q4" s="115" t="inlineStr">
        <is>
          <t>Пол</t>
        </is>
      </c>
      <c r="R4" s="115" t="inlineStr">
        <is>
          <t>Стены</t>
        </is>
      </c>
      <c r="S4" s="115" t="inlineStr">
        <is>
          <t>Потолок</t>
        </is>
      </c>
      <c r="T4" s="115" t="inlineStr">
        <is>
          <t>Запол.</t>
        </is>
      </c>
      <c r="U4" s="115" t="inlineStr">
        <is>
          <t>Мебл.</t>
        </is>
      </c>
      <c r="V4" s="115" t="inlineStr">
        <is>
          <t>Пол</t>
        </is>
      </c>
      <c r="W4" s="115" t="inlineStr">
        <is>
          <t>Стены</t>
        </is>
      </c>
      <c r="X4" s="115" t="inlineStr">
        <is>
          <t>Потолок</t>
        </is>
      </c>
      <c r="Y4" s="115" t="inlineStr">
        <is>
          <t>Запол.</t>
        </is>
      </c>
      <c r="Z4" s="115" t="inlineStr">
        <is>
          <t>Мебл.</t>
        </is>
      </c>
      <c r="AA4" s="115" t="inlineStr">
        <is>
          <t>Пол</t>
        </is>
      </c>
      <c r="AB4" s="115" t="inlineStr">
        <is>
          <t>Стены</t>
        </is>
      </c>
      <c r="AC4" s="115" t="inlineStr">
        <is>
          <t>Потолок</t>
        </is>
      </c>
      <c r="AD4" s="115" t="inlineStr">
        <is>
          <t>Запол.</t>
        </is>
      </c>
      <c r="AE4" s="115" t="inlineStr">
        <is>
          <t>Мебл.</t>
        </is>
      </c>
      <c r="AF4" s="115" t="inlineStr">
        <is>
          <t>Пол</t>
        </is>
      </c>
      <c r="AG4" s="115" t="inlineStr">
        <is>
          <t>Стены</t>
        </is>
      </c>
      <c r="AH4" s="115" t="inlineStr">
        <is>
          <t>Потолок</t>
        </is>
      </c>
      <c r="AI4" s="115" t="inlineStr">
        <is>
          <t>Запол.</t>
        </is>
      </c>
      <c r="AJ4" s="115" t="inlineStr">
        <is>
          <t>Мебл.</t>
        </is>
      </c>
      <c r="AK4" s="115" t="inlineStr">
        <is>
          <t>Пол</t>
        </is>
      </c>
      <c r="AL4" s="115" t="inlineStr">
        <is>
          <t>Стены</t>
        </is>
      </c>
      <c r="AM4" s="115" t="inlineStr">
        <is>
          <t>Потолок</t>
        </is>
      </c>
      <c r="AN4" s="115" t="inlineStr">
        <is>
          <t>Запол.</t>
        </is>
      </c>
      <c r="AO4" s="115" t="inlineStr">
        <is>
          <t>Мебл.</t>
        </is>
      </c>
    </row>
    <row r="5">
      <c r="A5" s="124">
        <f>СПРАВОЧНИК!$B$35</f>
        <v/>
      </c>
      <c r="B5" s="125" t="n"/>
      <c r="C5" s="125" t="n"/>
      <c r="D5" s="125" t="n"/>
      <c r="E5" s="125" t="n"/>
      <c r="F5" s="125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 t="n"/>
      <c r="AG5" s="125" t="n"/>
      <c r="AH5" s="125" t="n"/>
      <c r="AI5" s="125" t="n"/>
      <c r="AJ5" s="125" t="n"/>
      <c r="AK5" s="125">
        <f>B5+G5+L5+Q5+V5+AA5+AF5</f>
        <v/>
      </c>
      <c r="AL5" s="125">
        <f>C5+H5+M5+R5+W5+AB5+AG5</f>
        <v/>
      </c>
      <c r="AM5" s="125">
        <f>D5+I5+N5+S5+X5+AC5+AH5</f>
        <v/>
      </c>
      <c r="AN5" s="125">
        <f>E5+J5+O5+T5+Y5+AD5+AI5</f>
        <v/>
      </c>
      <c r="AO5" s="125">
        <f>F5+K5+P5+U5+Z5+AE5+AJ5</f>
        <v/>
      </c>
    </row>
    <row r="6">
      <c r="A6" s="124">
        <f>A5+7</f>
        <v/>
      </c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  <c r="AG6" s="125" t="n"/>
      <c r="AH6" s="125" t="n"/>
      <c r="AI6" s="125" t="n"/>
      <c r="AJ6" s="125" t="n"/>
      <c r="AK6" s="125">
        <f>B6+G6+L6+Q6+V6+AA6+AF6</f>
        <v/>
      </c>
      <c r="AL6" s="125">
        <f>C6+H6+M6+R6+W6+AB6+AG6</f>
        <v/>
      </c>
      <c r="AM6" s="125">
        <f>D6+I6+N6+S6+X6+AC6+AH6</f>
        <v/>
      </c>
      <c r="AN6" s="125">
        <f>E6+J6+O6+T6+Y6+AD6+AI6</f>
        <v/>
      </c>
      <c r="AO6" s="125">
        <f>F6+K6+P6+U6+Z6+AE6+AJ6</f>
        <v/>
      </c>
    </row>
    <row r="7">
      <c r="A7" s="124">
        <f>A6+7</f>
        <v/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 t="n"/>
      <c r="AG7" s="125" t="n"/>
      <c r="AH7" s="125" t="n"/>
      <c r="AI7" s="125" t="n"/>
      <c r="AJ7" s="125" t="n"/>
      <c r="AK7" s="125">
        <f>B7+G7+L7+Q7+V7+AA7+AF7</f>
        <v/>
      </c>
      <c r="AL7" s="125">
        <f>C7+H7+M7+R7+W7+AB7+AG7</f>
        <v/>
      </c>
      <c r="AM7" s="125">
        <f>D7+I7+N7+S7+X7+AC7+AH7</f>
        <v/>
      </c>
      <c r="AN7" s="125">
        <f>E7+J7+O7+T7+Y7+AD7+AI7</f>
        <v/>
      </c>
      <c r="AO7" s="125">
        <f>F7+K7+P7+U7+Z7+AE7+AJ7</f>
        <v/>
      </c>
    </row>
    <row r="8">
      <c r="A8" s="124">
        <f>A7+7</f>
        <v/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  <c r="AG8" s="125" t="n"/>
      <c r="AH8" s="125" t="n"/>
      <c r="AI8" s="125" t="n"/>
      <c r="AJ8" s="125" t="n"/>
      <c r="AK8" s="125">
        <f>B8+G8+L8+Q8+V8+AA8+AF8</f>
        <v/>
      </c>
      <c r="AL8" s="125">
        <f>C8+H8+M8+R8+W8+AB8+AG8</f>
        <v/>
      </c>
      <c r="AM8" s="125">
        <f>D8+I8+N8+S8+X8+AC8+AH8</f>
        <v/>
      </c>
      <c r="AN8" s="125">
        <f>E8+J8+O8+T8+Y8+AD8+AI8</f>
        <v/>
      </c>
      <c r="AO8" s="125">
        <f>F8+K8+P8+U8+Z8+AE8+AJ8</f>
        <v/>
      </c>
    </row>
    <row r="9">
      <c r="A9" s="124">
        <f>A8+7</f>
        <v/>
      </c>
      <c r="B9" s="125" t="n"/>
      <c r="C9" s="125" t="n"/>
      <c r="D9" s="125" t="n"/>
      <c r="E9" s="125" t="n"/>
      <c r="F9" s="125" t="n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  <c r="AG9" s="125" t="n"/>
      <c r="AH9" s="125" t="n"/>
      <c r="AI9" s="125" t="n"/>
      <c r="AJ9" s="125" t="n"/>
      <c r="AK9" s="125">
        <f>B9+G9+L9+Q9+V9+AA9+AF9</f>
        <v/>
      </c>
      <c r="AL9" s="125">
        <f>C9+H9+M9+R9+W9+AB9+AG9</f>
        <v/>
      </c>
      <c r="AM9" s="125">
        <f>D9+I9+N9+S9+X9+AC9+AH9</f>
        <v/>
      </c>
      <c r="AN9" s="125">
        <f>E9+J9+O9+T9+Y9+AD9+AI9</f>
        <v/>
      </c>
      <c r="AO9" s="125">
        <f>F9+K9+P9+U9+Z9+AE9+AJ9</f>
        <v/>
      </c>
    </row>
    <row r="10">
      <c r="A10" s="124">
        <f>A9+7</f>
        <v/>
      </c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  <c r="AG10" s="125" t="n"/>
      <c r="AH10" s="125" t="n"/>
      <c r="AI10" s="125" t="n"/>
      <c r="AJ10" s="125" t="n"/>
      <c r="AK10" s="125">
        <f>B10+G10+L10+Q10+V10+AA10+AF10</f>
        <v/>
      </c>
      <c r="AL10" s="125">
        <f>C10+H10+M10+R10+W10+AB10+AG10</f>
        <v/>
      </c>
      <c r="AM10" s="125">
        <f>D10+I10+N10+S10+X10+AC10+AH10</f>
        <v/>
      </c>
      <c r="AN10" s="125">
        <f>E10+J10+O10+T10+Y10+AD10+AI10</f>
        <v/>
      </c>
      <c r="AO10" s="125">
        <f>F10+K10+P10+U10+Z10+AE10+AJ10</f>
        <v/>
      </c>
    </row>
    <row r="11">
      <c r="A11" s="124">
        <f>A10+7</f>
        <v/>
      </c>
      <c r="B11" s="125" t="n"/>
      <c r="C11" s="125" t="n"/>
      <c r="D11" s="125" t="n"/>
      <c r="E11" s="125" t="n"/>
      <c r="F11" s="125" t="n"/>
      <c r="G11" s="125" t="n"/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  <c r="AG11" s="125" t="n"/>
      <c r="AH11" s="125" t="n"/>
      <c r="AI11" s="125" t="n"/>
      <c r="AJ11" s="125" t="n"/>
      <c r="AK11" s="125">
        <f>B11+G11+L11+Q11+V11+AA11+AF11</f>
        <v/>
      </c>
      <c r="AL11" s="125">
        <f>C11+H11+M11+R11+W11+AB11+AG11</f>
        <v/>
      </c>
      <c r="AM11" s="125">
        <f>D11+I11+N11+S11+X11+AC11+AH11</f>
        <v/>
      </c>
      <c r="AN11" s="125">
        <f>E11+J11+O11+T11+Y11+AD11+AI11</f>
        <v/>
      </c>
      <c r="AO11" s="125">
        <f>F11+K11+P11+U11+Z11+AE11+AJ11</f>
        <v/>
      </c>
    </row>
    <row r="12">
      <c r="A12" s="124">
        <f>A11+7</f>
        <v/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  <c r="AG12" s="125" t="n"/>
      <c r="AH12" s="125" t="n"/>
      <c r="AI12" s="125" t="n"/>
      <c r="AJ12" s="125" t="n"/>
      <c r="AK12" s="125">
        <f>B12+G12+L12+Q12+V12+AA12+AF12</f>
        <v/>
      </c>
      <c r="AL12" s="125">
        <f>C12+H12+M12+R12+W12+AB12+AG12</f>
        <v/>
      </c>
      <c r="AM12" s="125">
        <f>D12+I12+N12+S12+X12+AC12+AH12</f>
        <v/>
      </c>
      <c r="AN12" s="125">
        <f>E12+J12+O12+T12+Y12+AD12+AI12</f>
        <v/>
      </c>
      <c r="AO12" s="125">
        <f>F12+K12+P12+U12+Z12+AE12+AJ12</f>
        <v/>
      </c>
    </row>
    <row r="13">
      <c r="A13" s="124">
        <f>A12+7</f>
        <v/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  <c r="AG13" s="125" t="n"/>
      <c r="AH13" s="125" t="n"/>
      <c r="AI13" s="125" t="n"/>
      <c r="AJ13" s="125" t="n"/>
      <c r="AK13" s="125">
        <f>B13+G13+L13+Q13+V13+AA13+AF13</f>
        <v/>
      </c>
      <c r="AL13" s="125">
        <f>C13+H13+M13+R13+W13+AB13+AG13</f>
        <v/>
      </c>
      <c r="AM13" s="125">
        <f>D13+I13+N13+S13+X13+AC13+AH13</f>
        <v/>
      </c>
      <c r="AN13" s="125">
        <f>E13+J13+O13+T13+Y13+AD13+AI13</f>
        <v/>
      </c>
      <c r="AO13" s="125">
        <f>F13+K13+P13+U13+Z13+AE13+AJ13</f>
        <v/>
      </c>
    </row>
    <row r="14">
      <c r="A14" s="124">
        <f>A13+7</f>
        <v/>
      </c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 t="n"/>
      <c r="AG14" s="125" t="n"/>
      <c r="AH14" s="125" t="n"/>
      <c r="AI14" s="125" t="n"/>
      <c r="AJ14" s="125" t="n"/>
      <c r="AK14" s="125">
        <f>B14+G14+L14+Q14+V14+AA14+AF14</f>
        <v/>
      </c>
      <c r="AL14" s="125">
        <f>C14+H14+M14+R14+W14+AB14+AG14</f>
        <v/>
      </c>
      <c r="AM14" s="125">
        <f>D14+I14+N14+S14+X14+AC14+AH14</f>
        <v/>
      </c>
      <c r="AN14" s="125">
        <f>E14+J14+O14+T14+Y14+AD14+AI14</f>
        <v/>
      </c>
      <c r="AO14" s="125">
        <f>F14+K14+P14+U14+Z14+AE14+AJ14</f>
        <v/>
      </c>
    </row>
    <row r="15">
      <c r="A15" s="124">
        <f>A14+7</f>
        <v/>
      </c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 t="n"/>
      <c r="AG15" s="125" t="n"/>
      <c r="AH15" s="125" t="n"/>
      <c r="AI15" s="125" t="n"/>
      <c r="AJ15" s="125" t="n"/>
      <c r="AK15" s="125">
        <f>B15+G15+L15+Q15+V15+AA15+AF15</f>
        <v/>
      </c>
      <c r="AL15" s="125">
        <f>C15+H15+M15+R15+W15+AB15+AG15</f>
        <v/>
      </c>
      <c r="AM15" s="125">
        <f>D15+I15+N15+S15+X15+AC15+AH15</f>
        <v/>
      </c>
      <c r="AN15" s="125">
        <f>E15+J15+O15+T15+Y15+AD15+AI15</f>
        <v/>
      </c>
      <c r="AO15" s="125">
        <f>F15+K15+P15+U15+Z15+AE15+AJ15</f>
        <v/>
      </c>
    </row>
    <row r="16">
      <c r="A16" s="124">
        <f>A15+7</f>
        <v/>
      </c>
      <c r="B16" s="125" t="n"/>
      <c r="C16" s="125" t="n"/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 t="n"/>
      <c r="AG16" s="125" t="n"/>
      <c r="AH16" s="125" t="n"/>
      <c r="AI16" s="125" t="n"/>
      <c r="AJ16" s="125" t="n"/>
      <c r="AK16" s="125">
        <f>B16+G16+L16+Q16+V16+AA16+AF16</f>
        <v/>
      </c>
      <c r="AL16" s="125">
        <f>C16+H16+M16+R16+W16+AB16+AG16</f>
        <v/>
      </c>
      <c r="AM16" s="125">
        <f>D16+I16+N16+S16+X16+AC16+AH16</f>
        <v/>
      </c>
      <c r="AN16" s="125">
        <f>E16+J16+O16+T16+Y16+AD16+AI16</f>
        <v/>
      </c>
      <c r="AO16" s="125">
        <f>F16+K16+P16+U16+Z16+AE16+AJ16</f>
        <v/>
      </c>
    </row>
    <row r="17">
      <c r="A17" s="124">
        <f>A16+7</f>
        <v/>
      </c>
      <c r="B17" s="125" t="n"/>
      <c r="C17" s="125" t="n"/>
      <c r="D17" s="125" t="n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 t="n"/>
      <c r="AG17" s="125" t="n"/>
      <c r="AH17" s="125" t="n"/>
      <c r="AI17" s="125" t="n"/>
      <c r="AJ17" s="125" t="n"/>
      <c r="AK17" s="125">
        <f>B17+G17+L17+Q17+V17+AA17+AF17</f>
        <v/>
      </c>
      <c r="AL17" s="125">
        <f>C17+H17+M17+R17+W17+AB17+AG17</f>
        <v/>
      </c>
      <c r="AM17" s="125">
        <f>D17+I17+N17+S17+X17+AC17+AH17</f>
        <v/>
      </c>
      <c r="AN17" s="125">
        <f>E17+J17+O17+T17+Y17+AD17+AI17</f>
        <v/>
      </c>
      <c r="AO17" s="125">
        <f>F17+K17+P17+U17+Z17+AE17+AJ17</f>
        <v/>
      </c>
    </row>
    <row r="18">
      <c r="A18" s="124">
        <f>A17+7</f>
        <v/>
      </c>
      <c r="B18" s="125" t="n"/>
      <c r="C18" s="125" t="n"/>
      <c r="D18" s="125" t="n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 t="n"/>
      <c r="AG18" s="125" t="n"/>
      <c r="AH18" s="125" t="n"/>
      <c r="AI18" s="125" t="n"/>
      <c r="AJ18" s="125" t="n"/>
      <c r="AK18" s="125">
        <f>B18+G18+L18+Q18+V18+AA18+AF18</f>
        <v/>
      </c>
      <c r="AL18" s="125">
        <f>C18+H18+M18+R18+W18+AB18+AG18</f>
        <v/>
      </c>
      <c r="AM18" s="125">
        <f>D18+I18+N18+S18+X18+AC18+AH18</f>
        <v/>
      </c>
      <c r="AN18" s="125">
        <f>E18+J18+O18+T18+Y18+AD18+AI18</f>
        <v/>
      </c>
      <c r="AO18" s="125">
        <f>F18+K18+P18+U18+Z18+AE18+AJ18</f>
        <v/>
      </c>
    </row>
    <row r="19">
      <c r="A19" s="124">
        <f>A18+7</f>
        <v/>
      </c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  <c r="AG19" s="125" t="n"/>
      <c r="AH19" s="125" t="n"/>
      <c r="AI19" s="125" t="n"/>
      <c r="AJ19" s="125" t="n"/>
      <c r="AK19" s="125">
        <f>B19+G19+L19+Q19+V19+AA19+AF19</f>
        <v/>
      </c>
      <c r="AL19" s="125">
        <f>C19+H19+M19+R19+W19+AB19+AG19</f>
        <v/>
      </c>
      <c r="AM19" s="125">
        <f>D19+I19+N19+S19+X19+AC19+AH19</f>
        <v/>
      </c>
      <c r="AN19" s="125">
        <f>E19+J19+O19+T19+Y19+AD19+AI19</f>
        <v/>
      </c>
      <c r="AO19" s="125">
        <f>F19+K19+P19+U19+Z19+AE19+AJ19</f>
        <v/>
      </c>
    </row>
    <row r="20">
      <c r="A20" s="124">
        <f>A19+7</f>
        <v/>
      </c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 t="n"/>
      <c r="AG20" s="125" t="n"/>
      <c r="AH20" s="125" t="n"/>
      <c r="AI20" s="125" t="n"/>
      <c r="AJ20" s="125" t="n"/>
      <c r="AK20" s="125">
        <f>B20+G20+L20+Q20+V20+AA20+AF20</f>
        <v/>
      </c>
      <c r="AL20" s="125">
        <f>C20+H20+M20+R20+W20+AB20+AG20</f>
        <v/>
      </c>
      <c r="AM20" s="125">
        <f>D20+I20+N20+S20+X20+AC20+AH20</f>
        <v/>
      </c>
      <c r="AN20" s="125">
        <f>E20+J20+O20+T20+Y20+AD20+AI20</f>
        <v/>
      </c>
      <c r="AO20" s="125">
        <f>F20+K20+P20+U20+Z20+AE20+AJ20</f>
        <v/>
      </c>
    </row>
    <row r="21">
      <c r="A21" s="124">
        <f>A20+7</f>
        <v/>
      </c>
      <c r="B21" s="125" t="n"/>
      <c r="C21" s="125" t="n"/>
      <c r="D21" s="125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  <c r="AG21" s="125" t="n"/>
      <c r="AH21" s="125" t="n"/>
      <c r="AI21" s="125" t="n"/>
      <c r="AJ21" s="125" t="n"/>
      <c r="AK21" s="125">
        <f>B21+G21+L21+Q21+V21+AA21+AF21</f>
        <v/>
      </c>
      <c r="AL21" s="125">
        <f>C21+H21+M21+R21+W21+AB21+AG21</f>
        <v/>
      </c>
      <c r="AM21" s="125">
        <f>D21+I21+N21+S21+X21+AC21+AH21</f>
        <v/>
      </c>
      <c r="AN21" s="125">
        <f>E21+J21+O21+T21+Y21+AD21+AI21</f>
        <v/>
      </c>
      <c r="AO21" s="125">
        <f>F21+K21+P21+U21+Z21+AE21+AJ21</f>
        <v/>
      </c>
    </row>
    <row r="22">
      <c r="A22" s="124">
        <f>A21+7</f>
        <v/>
      </c>
      <c r="B22" s="125" t="n"/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  <c r="AG22" s="125" t="n"/>
      <c r="AH22" s="125" t="n"/>
      <c r="AI22" s="125" t="n"/>
      <c r="AJ22" s="125" t="n"/>
      <c r="AK22" s="125">
        <f>B22+G22+L22+Q22+V22+AA22+AF22</f>
        <v/>
      </c>
      <c r="AL22" s="125">
        <f>C22+H22+M22+R22+W22+AB22+AG22</f>
        <v/>
      </c>
      <c r="AM22" s="125">
        <f>D22+I22+N22+S22+X22+AC22+AH22</f>
        <v/>
      </c>
      <c r="AN22" s="125">
        <f>E22+J22+O22+T22+Y22+AD22+AI22</f>
        <v/>
      </c>
      <c r="AO22" s="125">
        <f>F22+K22+P22+U22+Z22+AE22+AJ22</f>
        <v/>
      </c>
    </row>
    <row r="23">
      <c r="A23" s="124">
        <f>A22+7</f>
        <v/>
      </c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  <c r="AG23" s="125" t="n"/>
      <c r="AH23" s="125" t="n"/>
      <c r="AI23" s="125" t="n"/>
      <c r="AJ23" s="125" t="n"/>
      <c r="AK23" s="125">
        <f>B23+G23+L23+Q23+V23+AA23+AF23</f>
        <v/>
      </c>
      <c r="AL23" s="125">
        <f>C23+H23+M23+R23+W23+AB23+AG23</f>
        <v/>
      </c>
      <c r="AM23" s="125">
        <f>D23+I23+N23+S23+X23+AC23+AH23</f>
        <v/>
      </c>
      <c r="AN23" s="125">
        <f>E23+J23+O23+T23+Y23+AD23+AI23</f>
        <v/>
      </c>
      <c r="AO23" s="125">
        <f>F23+K23+P23+U23+Z23+AE23+AJ23</f>
        <v/>
      </c>
    </row>
    <row r="24">
      <c r="A24" s="124">
        <f>A23+7</f>
        <v/>
      </c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 t="n"/>
      <c r="AG24" s="125" t="n"/>
      <c r="AH24" s="125" t="n"/>
      <c r="AI24" s="125" t="n"/>
      <c r="AJ24" s="125" t="n"/>
      <c r="AK24" s="125">
        <f>B24+G24+L24+Q24+V24+AA24+AF24</f>
        <v/>
      </c>
      <c r="AL24" s="125">
        <f>C24+H24+M24+R24+W24+AB24+AG24</f>
        <v/>
      </c>
      <c r="AM24" s="125">
        <f>D24+I24+N24+S24+X24+AC24+AH24</f>
        <v/>
      </c>
      <c r="AN24" s="125">
        <f>E24+J24+O24+T24+Y24+AD24+AI24</f>
        <v/>
      </c>
      <c r="AO24" s="125">
        <f>F24+K24+P24+U24+Z24+AE24+AJ24</f>
        <v/>
      </c>
    </row>
    <row r="25">
      <c r="A25" s="124">
        <f>A24+7</f>
        <v/>
      </c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  <c r="AG25" s="125" t="n"/>
      <c r="AH25" s="125" t="n"/>
      <c r="AI25" s="125" t="n"/>
      <c r="AJ25" s="125" t="n"/>
      <c r="AK25" s="125">
        <f>B25+G25+L25+Q25+V25+AA25+AF25</f>
        <v/>
      </c>
      <c r="AL25" s="125">
        <f>C25+H25+M25+R25+W25+AB25+AG25</f>
        <v/>
      </c>
      <c r="AM25" s="125">
        <f>D25+I25+N25+S25+X25+AC25+AH25</f>
        <v/>
      </c>
      <c r="AN25" s="125">
        <f>E25+J25+O25+T25+Y25+AD25+AI25</f>
        <v/>
      </c>
      <c r="AO25" s="125">
        <f>F25+K25+P25+U25+Z25+AE25+AJ25</f>
        <v/>
      </c>
    </row>
    <row r="26">
      <c r="A26" s="124">
        <f>A25+7</f>
        <v/>
      </c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 t="n"/>
      <c r="AG26" s="125" t="n"/>
      <c r="AH26" s="125" t="n"/>
      <c r="AI26" s="125" t="n"/>
      <c r="AJ26" s="125" t="n"/>
      <c r="AK26" s="125">
        <f>B26+G26+L26+Q26+V26+AA26+AF26</f>
        <v/>
      </c>
      <c r="AL26" s="125">
        <f>C26+H26+M26+R26+W26+AB26+AG26</f>
        <v/>
      </c>
      <c r="AM26" s="125">
        <f>D26+I26+N26+S26+X26+AC26+AH26</f>
        <v/>
      </c>
      <c r="AN26" s="125">
        <f>E26+J26+O26+T26+Y26+AD26+AI26</f>
        <v/>
      </c>
      <c r="AO26" s="125">
        <f>F26+K26+P26+U26+Z26+AE26+AJ26</f>
        <v/>
      </c>
    </row>
    <row r="27">
      <c r="A27" s="124">
        <f>A26+7</f>
        <v/>
      </c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 t="n"/>
      <c r="AG27" s="125" t="n"/>
      <c r="AH27" s="125" t="n"/>
      <c r="AI27" s="125" t="n"/>
      <c r="AJ27" s="125" t="n"/>
      <c r="AK27" s="125">
        <f>B27+G27+L27+Q27+V27+AA27+AF27</f>
        <v/>
      </c>
      <c r="AL27" s="125">
        <f>C27+H27+M27+R27+W27+AB27+AG27</f>
        <v/>
      </c>
      <c r="AM27" s="125">
        <f>D27+I27+N27+S27+X27+AC27+AH27</f>
        <v/>
      </c>
      <c r="AN27" s="125">
        <f>E27+J27+O27+T27+Y27+AD27+AI27</f>
        <v/>
      </c>
      <c r="AO27" s="125">
        <f>F27+K27+P27+U27+Z27+AE27+AJ27</f>
        <v/>
      </c>
    </row>
    <row r="28">
      <c r="A28" s="124">
        <f>A27+7</f>
        <v/>
      </c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 t="n"/>
      <c r="AG28" s="125" t="n"/>
      <c r="AH28" s="125" t="n"/>
      <c r="AI28" s="125" t="n"/>
      <c r="AJ28" s="125" t="n"/>
      <c r="AK28" s="125">
        <f>B28+G28+L28+Q28+V28+AA28+AF28</f>
        <v/>
      </c>
      <c r="AL28" s="125">
        <f>C28+H28+M28+R28+W28+AB28+AG28</f>
        <v/>
      </c>
      <c r="AM28" s="125">
        <f>D28+I28+N28+S28+X28+AC28+AH28</f>
        <v/>
      </c>
      <c r="AN28" s="125">
        <f>E28+J28+O28+T28+Y28+AD28+AI28</f>
        <v/>
      </c>
      <c r="AO28" s="125">
        <f>F28+K28+P28+U28+Z28+AE28+AJ28</f>
        <v/>
      </c>
    </row>
    <row r="29">
      <c r="A29" s="124">
        <f>A28+7</f>
        <v/>
      </c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 t="n"/>
      <c r="AG29" s="125" t="n"/>
      <c r="AH29" s="125" t="n"/>
      <c r="AI29" s="125" t="n"/>
      <c r="AJ29" s="125" t="n"/>
      <c r="AK29" s="125">
        <f>B29+G29+L29+Q29+V29+AA29+AF29</f>
        <v/>
      </c>
      <c r="AL29" s="125">
        <f>C29+H29+M29+R29+W29+AB29+AG29</f>
        <v/>
      </c>
      <c r="AM29" s="125">
        <f>D29+I29+N29+S29+X29+AC29+AH29</f>
        <v/>
      </c>
      <c r="AN29" s="125">
        <f>E29+J29+O29+T29+Y29+AD29+AI29</f>
        <v/>
      </c>
      <c r="AO29" s="125">
        <f>F29+K29+P29+U29+Z29+AE29+AJ29</f>
        <v/>
      </c>
    </row>
    <row r="30">
      <c r="A30" s="124">
        <f>A29+7</f>
        <v/>
      </c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 t="n"/>
      <c r="AG30" s="125" t="n"/>
      <c r="AH30" s="125" t="n"/>
      <c r="AI30" s="125" t="n"/>
      <c r="AJ30" s="125" t="n"/>
      <c r="AK30" s="125">
        <f>B30+G30+L30+Q30+V30+AA30+AF30</f>
        <v/>
      </c>
      <c r="AL30" s="125">
        <f>C30+H30+M30+R30+W30+AB30+AG30</f>
        <v/>
      </c>
      <c r="AM30" s="125">
        <f>D30+I30+N30+S30+X30+AC30+AH30</f>
        <v/>
      </c>
      <c r="AN30" s="125">
        <f>E30+J30+O30+T30+Y30+AD30+AI30</f>
        <v/>
      </c>
      <c r="AO30" s="125">
        <f>F30+K30+P30+U30+Z30+AE30+AJ30</f>
        <v/>
      </c>
    </row>
    <row r="31">
      <c r="A31" s="124">
        <f>A30+7</f>
        <v/>
      </c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 t="n"/>
      <c r="AG31" s="125" t="n"/>
      <c r="AH31" s="125" t="n"/>
      <c r="AI31" s="125" t="n"/>
      <c r="AJ31" s="125" t="n"/>
      <c r="AK31" s="125">
        <f>B31+G31+L31+Q31+V31+AA31+AF31</f>
        <v/>
      </c>
      <c r="AL31" s="125">
        <f>C31+H31+M31+R31+W31+AB31+AG31</f>
        <v/>
      </c>
      <c r="AM31" s="125">
        <f>D31+I31+N31+S31+X31+AC31+AH31</f>
        <v/>
      </c>
      <c r="AN31" s="125">
        <f>E31+J31+O31+T31+Y31+AD31+AI31</f>
        <v/>
      </c>
      <c r="AO31" s="125">
        <f>F31+K31+P31+U31+Z31+AE31+AJ31</f>
        <v/>
      </c>
    </row>
    <row r="32">
      <c r="A32" s="124">
        <f>A31+7</f>
        <v/>
      </c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 t="n"/>
      <c r="AG32" s="125" t="n"/>
      <c r="AH32" s="125" t="n"/>
      <c r="AI32" s="125" t="n"/>
      <c r="AJ32" s="125" t="n"/>
      <c r="AK32" s="125">
        <f>B32+G32+L32+Q32+V32+AA32+AF32</f>
        <v/>
      </c>
      <c r="AL32" s="125">
        <f>C32+H32+M32+R32+W32+AB32+AG32</f>
        <v/>
      </c>
      <c r="AM32" s="125">
        <f>D32+I32+N32+S32+X32+AC32+AH32</f>
        <v/>
      </c>
      <c r="AN32" s="125">
        <f>E32+J32+O32+T32+Y32+AD32+AI32</f>
        <v/>
      </c>
      <c r="AO32" s="125">
        <f>F32+K32+P32+U32+Z32+AE32+AJ32</f>
        <v/>
      </c>
    </row>
    <row r="33">
      <c r="A33" s="124">
        <f>A32+7</f>
        <v/>
      </c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 t="n"/>
      <c r="AG33" s="125" t="n"/>
      <c r="AH33" s="125" t="n"/>
      <c r="AI33" s="125" t="n"/>
      <c r="AJ33" s="125" t="n"/>
      <c r="AK33" s="125">
        <f>B33+G33+L33+Q33+V33+AA33+AF33</f>
        <v/>
      </c>
      <c r="AL33" s="125">
        <f>C33+H33+M33+R33+W33+AB33+AG33</f>
        <v/>
      </c>
      <c r="AM33" s="125">
        <f>D33+I33+N33+S33+X33+AC33+AH33</f>
        <v/>
      </c>
      <c r="AN33" s="125">
        <f>E33+J33+O33+T33+Y33+AD33+AI33</f>
        <v/>
      </c>
      <c r="AO33" s="125">
        <f>F33+K33+P33+U33+Z33+AE33+AJ33</f>
        <v/>
      </c>
    </row>
    <row r="34">
      <c r="A34" s="124">
        <f>A33+7</f>
        <v/>
      </c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 t="n"/>
      <c r="AG34" s="125" t="n"/>
      <c r="AH34" s="125" t="n"/>
      <c r="AI34" s="125" t="n"/>
      <c r="AJ34" s="125" t="n"/>
      <c r="AK34" s="125">
        <f>B34+G34+L34+Q34+V34+AA34+AF34</f>
        <v/>
      </c>
      <c r="AL34" s="125">
        <f>C34+H34+M34+R34+W34+AB34+AG34</f>
        <v/>
      </c>
      <c r="AM34" s="125">
        <f>D34+I34+N34+S34+X34+AC34+AH34</f>
        <v/>
      </c>
      <c r="AN34" s="125">
        <f>E34+J34+O34+T34+Y34+AD34+AI34</f>
        <v/>
      </c>
      <c r="AO34" s="125">
        <f>F34+K34+P34+U34+Z34+AE34+AJ34</f>
        <v/>
      </c>
    </row>
    <row r="35">
      <c r="A35" s="124">
        <f>A34+7</f>
        <v/>
      </c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 t="n"/>
      <c r="AG35" s="125" t="n"/>
      <c r="AH35" s="125" t="n"/>
      <c r="AI35" s="125" t="n"/>
      <c r="AJ35" s="125" t="n"/>
      <c r="AK35" s="125">
        <f>B35+G35+L35+Q35+V35+AA35+AF35</f>
        <v/>
      </c>
      <c r="AL35" s="125">
        <f>C35+H35+M35+R35+W35+AB35+AG35</f>
        <v/>
      </c>
      <c r="AM35" s="125">
        <f>D35+I35+N35+S35+X35+AC35+AH35</f>
        <v/>
      </c>
      <c r="AN35" s="125">
        <f>E35+J35+O35+T35+Y35+AD35+AI35</f>
        <v/>
      </c>
      <c r="AO35" s="125">
        <f>F35+K35+P35+U35+Z35+AE35+AJ35</f>
        <v/>
      </c>
    </row>
    <row r="36">
      <c r="A36" s="124">
        <f>A35+7</f>
        <v/>
      </c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  <c r="AG36" s="125" t="n"/>
      <c r="AH36" s="125" t="n"/>
      <c r="AI36" s="125" t="n"/>
      <c r="AJ36" s="125" t="n"/>
      <c r="AK36" s="125">
        <f>B36+G36+L36+Q36+V36+AA36+AF36</f>
        <v/>
      </c>
      <c r="AL36" s="125">
        <f>C36+H36+M36+R36+W36+AB36+AG36</f>
        <v/>
      </c>
      <c r="AM36" s="125">
        <f>D36+I36+N36+S36+X36+AC36+AH36</f>
        <v/>
      </c>
      <c r="AN36" s="125">
        <f>E36+J36+O36+T36+Y36+AD36+AI36</f>
        <v/>
      </c>
      <c r="AO36" s="125">
        <f>F36+K36+P36+U36+Z36+AE36+AJ36</f>
        <v/>
      </c>
    </row>
    <row r="37">
      <c r="A37" s="124">
        <f>A36+7</f>
        <v/>
      </c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  <c r="AG37" s="125" t="n"/>
      <c r="AH37" s="125" t="n"/>
      <c r="AI37" s="125" t="n"/>
      <c r="AJ37" s="125" t="n"/>
      <c r="AK37" s="125">
        <f>B37+G37+L37+Q37+V37+AA37+AF37</f>
        <v/>
      </c>
      <c r="AL37" s="125">
        <f>C37+H37+M37+R37+W37+AB37+AG37</f>
        <v/>
      </c>
      <c r="AM37" s="125">
        <f>D37+I37+N37+S37+X37+AC37+AH37</f>
        <v/>
      </c>
      <c r="AN37" s="125">
        <f>E37+J37+O37+T37+Y37+AD37+AI37</f>
        <v/>
      </c>
      <c r="AO37" s="125">
        <f>F37+K37+P37+U37+Z37+AE37+AJ37</f>
        <v/>
      </c>
    </row>
    <row r="38">
      <c r="A38" s="124">
        <f>A37+7</f>
        <v/>
      </c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  <c r="AG38" s="125" t="n"/>
      <c r="AH38" s="125" t="n"/>
      <c r="AI38" s="125" t="n"/>
      <c r="AJ38" s="125" t="n"/>
      <c r="AK38" s="125">
        <f>B38+G38+L38+Q38+V38+AA38+AF38</f>
        <v/>
      </c>
      <c r="AL38" s="125">
        <f>C38+H38+M38+R38+W38+AB38+AG38</f>
        <v/>
      </c>
      <c r="AM38" s="125">
        <f>D38+I38+N38+S38+X38+AC38+AH38</f>
        <v/>
      </c>
      <c r="AN38" s="125">
        <f>E38+J38+O38+T38+Y38+AD38+AI38</f>
        <v/>
      </c>
      <c r="AO38" s="125">
        <f>F38+K38+P38+U38+Z38+AE38+AJ38</f>
        <v/>
      </c>
    </row>
    <row r="39">
      <c r="A39" s="124">
        <f>A38+7</f>
        <v/>
      </c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  <c r="AG39" s="125" t="n"/>
      <c r="AH39" s="125" t="n"/>
      <c r="AI39" s="125" t="n"/>
      <c r="AJ39" s="125" t="n"/>
      <c r="AK39" s="125">
        <f>B39+G39+L39+Q39+V39+AA39+AF39</f>
        <v/>
      </c>
      <c r="AL39" s="125">
        <f>C39+H39+M39+R39+W39+AB39+AG39</f>
        <v/>
      </c>
      <c r="AM39" s="125">
        <f>D39+I39+N39+S39+X39+AC39+AH39</f>
        <v/>
      </c>
      <c r="AN39" s="125">
        <f>E39+J39+O39+T39+Y39+AD39+AI39</f>
        <v/>
      </c>
      <c r="AO39" s="125">
        <f>F39+K39+P39+U39+Z39+AE39+AJ39</f>
        <v/>
      </c>
    </row>
    <row r="40">
      <c r="A40" s="124">
        <f>A39+7</f>
        <v/>
      </c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  <c r="AG40" s="125" t="n"/>
      <c r="AH40" s="125" t="n"/>
      <c r="AI40" s="125" t="n"/>
      <c r="AJ40" s="125" t="n"/>
      <c r="AK40" s="125">
        <f>B40+G40+L40+Q40+V40+AA40+AF40</f>
        <v/>
      </c>
      <c r="AL40" s="125">
        <f>C40+H40+M40+R40+W40+AB40+AG40</f>
        <v/>
      </c>
      <c r="AM40" s="125">
        <f>D40+I40+N40+S40+X40+AC40+AH40</f>
        <v/>
      </c>
      <c r="AN40" s="125">
        <f>E40+J40+O40+T40+Y40+AD40+AI40</f>
        <v/>
      </c>
      <c r="AO40" s="125">
        <f>F40+K40+P40+U40+Z40+AE40+AJ40</f>
        <v/>
      </c>
    </row>
    <row r="41">
      <c r="A41" s="124">
        <f>A40+7</f>
        <v/>
      </c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 t="n"/>
      <c r="AG41" s="125" t="n"/>
      <c r="AH41" s="125" t="n"/>
      <c r="AI41" s="125" t="n"/>
      <c r="AJ41" s="125" t="n"/>
      <c r="AK41" s="125">
        <f>B41+G41+L41+Q41+V41+AA41+AF41</f>
        <v/>
      </c>
      <c r="AL41" s="125">
        <f>C41+H41+M41+R41+W41+AB41+AG41</f>
        <v/>
      </c>
      <c r="AM41" s="125">
        <f>D41+I41+N41+S41+X41+AC41+AH41</f>
        <v/>
      </c>
      <c r="AN41" s="125">
        <f>E41+J41+O41+T41+Y41+AD41+AI41</f>
        <v/>
      </c>
      <c r="AO41" s="125">
        <f>F41+K41+P41+U41+Z41+AE41+AJ41</f>
        <v/>
      </c>
    </row>
    <row r="42">
      <c r="A42" s="124">
        <f>A41+7</f>
        <v/>
      </c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  <c r="AG42" s="125" t="n"/>
      <c r="AH42" s="125" t="n"/>
      <c r="AI42" s="125" t="n"/>
      <c r="AJ42" s="125" t="n"/>
      <c r="AK42" s="125">
        <f>B42+G42+L42+Q42+V42+AA42+AF42</f>
        <v/>
      </c>
      <c r="AL42" s="125">
        <f>C42+H42+M42+R42+W42+AB42+AG42</f>
        <v/>
      </c>
      <c r="AM42" s="125">
        <f>D42+I42+N42+S42+X42+AC42+AH42</f>
        <v/>
      </c>
      <c r="AN42" s="125">
        <f>E42+J42+O42+T42+Y42+AD42+AI42</f>
        <v/>
      </c>
      <c r="AO42" s="125">
        <f>F42+K42+P42+U42+Z42+AE42+AJ42</f>
        <v/>
      </c>
    </row>
    <row r="43">
      <c r="A43" s="124">
        <f>A42+7</f>
        <v/>
      </c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  <c r="AG43" s="125" t="n"/>
      <c r="AH43" s="125" t="n"/>
      <c r="AI43" s="125" t="n"/>
      <c r="AJ43" s="125" t="n"/>
      <c r="AK43" s="125">
        <f>B43+G43+L43+Q43+V43+AA43+AF43</f>
        <v/>
      </c>
      <c r="AL43" s="125">
        <f>C43+H43+M43+R43+W43+AB43+AG43</f>
        <v/>
      </c>
      <c r="AM43" s="125">
        <f>D43+I43+N43+S43+X43+AC43+AH43</f>
        <v/>
      </c>
      <c r="AN43" s="125">
        <f>E43+J43+O43+T43+Y43+AD43+AI43</f>
        <v/>
      </c>
      <c r="AO43" s="125">
        <f>F43+K43+P43+U43+Z43+AE43+AJ43</f>
        <v/>
      </c>
    </row>
    <row r="44">
      <c r="A44" s="124">
        <f>A43+7</f>
        <v/>
      </c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  <c r="AG44" s="125" t="n"/>
      <c r="AH44" s="125" t="n"/>
      <c r="AI44" s="125" t="n"/>
      <c r="AJ44" s="125" t="n"/>
      <c r="AK44" s="125">
        <f>B44+G44+L44+Q44+V44+AA44+AF44</f>
        <v/>
      </c>
      <c r="AL44" s="125">
        <f>C44+H44+M44+R44+W44+AB44+AG44</f>
        <v/>
      </c>
      <c r="AM44" s="125">
        <f>D44+I44+N44+S44+X44+AC44+AH44</f>
        <v/>
      </c>
      <c r="AN44" s="125">
        <f>E44+J44+O44+T44+Y44+AD44+AI44</f>
        <v/>
      </c>
      <c r="AO44" s="125">
        <f>F44+K44+P44+U44+Z44+AE44+AJ44</f>
        <v/>
      </c>
    </row>
    <row r="45">
      <c r="A45" s="124">
        <f>A44+7</f>
        <v/>
      </c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 t="n"/>
      <c r="AG45" s="125" t="n"/>
      <c r="AH45" s="125" t="n"/>
      <c r="AI45" s="125" t="n"/>
      <c r="AJ45" s="125" t="n"/>
      <c r="AK45" s="125">
        <f>B45+G45+L45+Q45+V45+AA45+AF45</f>
        <v/>
      </c>
      <c r="AL45" s="125">
        <f>C45+H45+M45+R45+W45+AB45+AG45</f>
        <v/>
      </c>
      <c r="AM45" s="125">
        <f>D45+I45+N45+S45+X45+AC45+AH45</f>
        <v/>
      </c>
      <c r="AN45" s="125">
        <f>E45+J45+O45+T45+Y45+AD45+AI45</f>
        <v/>
      </c>
      <c r="AO45" s="125">
        <f>F45+K45+P45+U45+Z45+AE45+AJ45</f>
        <v/>
      </c>
    </row>
    <row r="46">
      <c r="A46" s="124">
        <f>A45+7</f>
        <v/>
      </c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 t="n"/>
      <c r="AG46" s="125" t="n"/>
      <c r="AH46" s="125" t="n"/>
      <c r="AI46" s="125" t="n"/>
      <c r="AJ46" s="125" t="n"/>
      <c r="AK46" s="125">
        <f>B46+G46+L46+Q46+V46+AA46+AF46</f>
        <v/>
      </c>
      <c r="AL46" s="125">
        <f>C46+H46+M46+R46+W46+AB46+AG46</f>
        <v/>
      </c>
      <c r="AM46" s="125">
        <f>D46+I46+N46+S46+X46+AC46+AH46</f>
        <v/>
      </c>
      <c r="AN46" s="125">
        <f>E46+J46+O46+T46+Y46+AD46+AI46</f>
        <v/>
      </c>
      <c r="AO46" s="125">
        <f>F46+K46+P46+U46+Z46+AE46+AJ46</f>
        <v/>
      </c>
    </row>
    <row r="47">
      <c r="A47" s="124">
        <f>A46+7</f>
        <v/>
      </c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 t="n"/>
      <c r="AG47" s="125" t="n"/>
      <c r="AH47" s="125" t="n"/>
      <c r="AI47" s="125" t="n"/>
      <c r="AJ47" s="125" t="n"/>
      <c r="AK47" s="125">
        <f>B47+G47+L47+Q47+V47+AA47+AF47</f>
        <v/>
      </c>
      <c r="AL47" s="125">
        <f>C47+H47+M47+R47+W47+AB47+AG47</f>
        <v/>
      </c>
      <c r="AM47" s="125">
        <f>D47+I47+N47+S47+X47+AC47+AH47</f>
        <v/>
      </c>
      <c r="AN47" s="125">
        <f>E47+J47+O47+T47+Y47+AD47+AI47</f>
        <v/>
      </c>
      <c r="AO47" s="125">
        <f>F47+K47+P47+U47+Z47+AE47+AJ47</f>
        <v/>
      </c>
    </row>
    <row r="48">
      <c r="A48" s="124">
        <f>A47+7</f>
        <v/>
      </c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  <c r="AG48" s="125" t="n"/>
      <c r="AH48" s="125" t="n"/>
      <c r="AI48" s="125" t="n"/>
      <c r="AJ48" s="125" t="n"/>
      <c r="AK48" s="125">
        <f>B48+G48+L48+Q48+V48+AA48+AF48</f>
        <v/>
      </c>
      <c r="AL48" s="125">
        <f>C48+H48+M48+R48+W48+AB48+AG48</f>
        <v/>
      </c>
      <c r="AM48" s="125">
        <f>D48+I48+N48+S48+X48+AC48+AH48</f>
        <v/>
      </c>
      <c r="AN48" s="125">
        <f>E48+J48+O48+T48+Y48+AD48+AI48</f>
        <v/>
      </c>
      <c r="AO48" s="125">
        <f>F48+K48+P48+U48+Z48+AE48+AJ48</f>
        <v/>
      </c>
    </row>
    <row r="49">
      <c r="A49" s="124">
        <f>A48+7</f>
        <v/>
      </c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 t="n"/>
      <c r="AG49" s="125" t="n"/>
      <c r="AH49" s="125" t="n"/>
      <c r="AI49" s="125" t="n"/>
      <c r="AJ49" s="125" t="n"/>
      <c r="AK49" s="125">
        <f>B49+G49+L49+Q49+V49+AA49+AF49</f>
        <v/>
      </c>
      <c r="AL49" s="125">
        <f>C49+H49+M49+R49+W49+AB49+AG49</f>
        <v/>
      </c>
      <c r="AM49" s="125">
        <f>D49+I49+N49+S49+X49+AC49+AH49</f>
        <v/>
      </c>
      <c r="AN49" s="125">
        <f>E49+J49+O49+T49+Y49+AD49+AI49</f>
        <v/>
      </c>
      <c r="AO49" s="125">
        <f>F49+K49+P49+U49+Z49+AE49+AJ49</f>
        <v/>
      </c>
    </row>
    <row r="50">
      <c r="A50" s="124">
        <f>A49+7</f>
        <v/>
      </c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 t="n"/>
      <c r="AG50" s="125" t="n"/>
      <c r="AH50" s="125" t="n"/>
      <c r="AI50" s="125" t="n"/>
      <c r="AJ50" s="125" t="n"/>
      <c r="AK50" s="125">
        <f>B50+G50+L50+Q50+V50+AA50+AF50</f>
        <v/>
      </c>
      <c r="AL50" s="125">
        <f>C50+H50+M50+R50+W50+AB50+AG50</f>
        <v/>
      </c>
      <c r="AM50" s="125">
        <f>D50+I50+N50+S50+X50+AC50+AH50</f>
        <v/>
      </c>
      <c r="AN50" s="125">
        <f>E50+J50+O50+T50+Y50+AD50+AI50</f>
        <v/>
      </c>
      <c r="AO50" s="125">
        <f>F50+K50+P50+U50+Z50+AE50+AJ50</f>
        <v/>
      </c>
    </row>
    <row r="51">
      <c r="A51" s="124">
        <f>A50+7</f>
        <v/>
      </c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 t="n"/>
      <c r="AG51" s="125" t="n"/>
      <c r="AH51" s="125" t="n"/>
      <c r="AI51" s="125" t="n"/>
      <c r="AJ51" s="125" t="n"/>
      <c r="AK51" s="125">
        <f>B51+G51+L51+Q51+V51+AA51+AF51</f>
        <v/>
      </c>
      <c r="AL51" s="125">
        <f>C51+H51+M51+R51+W51+AB51+AG51</f>
        <v/>
      </c>
      <c r="AM51" s="125">
        <f>D51+I51+N51+S51+X51+AC51+AH51</f>
        <v/>
      </c>
      <c r="AN51" s="125">
        <f>E51+J51+O51+T51+Y51+AD51+AI51</f>
        <v/>
      </c>
      <c r="AO51" s="125">
        <f>F51+K51+P51+U51+Z51+AE51+AJ51</f>
        <v/>
      </c>
    </row>
    <row r="52">
      <c r="A52" s="124">
        <f>A51+7</f>
        <v/>
      </c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 t="n"/>
      <c r="AG52" s="125" t="n"/>
      <c r="AH52" s="125" t="n"/>
      <c r="AI52" s="125" t="n"/>
      <c r="AJ52" s="125" t="n"/>
      <c r="AK52" s="125">
        <f>B52+G52+L52+Q52+V52+AA52+AF52</f>
        <v/>
      </c>
      <c r="AL52" s="125">
        <f>C52+H52+M52+R52+W52+AB52+AG52</f>
        <v/>
      </c>
      <c r="AM52" s="125">
        <f>D52+I52+N52+S52+X52+AC52+AH52</f>
        <v/>
      </c>
      <c r="AN52" s="125">
        <f>E52+J52+O52+T52+Y52+AD52+AI52</f>
        <v/>
      </c>
      <c r="AO52" s="125">
        <f>F52+K52+P52+U52+Z52+AE52+AJ52</f>
        <v/>
      </c>
    </row>
  </sheetData>
  <mergeCells count="11">
    <mergeCell ref="G3:K3"/>
    <mergeCell ref="V3:Z3"/>
    <mergeCell ref="AF3:AJ3"/>
    <mergeCell ref="A2:A4"/>
    <mergeCell ref="Q3:U3"/>
    <mergeCell ref="B3:F3"/>
    <mergeCell ref="AK3:AO3"/>
    <mergeCell ref="L3:P3"/>
    <mergeCell ref="AA3:AE3"/>
    <mergeCell ref="A1:AO1"/>
    <mergeCell ref="B2:AJ2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W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V1"/>
    </sheetView>
  </sheetViews>
  <sheetFormatPr baseColWidth="8" defaultRowHeight="15"/>
  <cols>
    <col width="12" customWidth="1" style="102" min="1" max="1"/>
    <col width="10" customWidth="1" style="102" min="2" max="26"/>
  </cols>
  <sheetData>
    <row r="1">
      <c r="A1" s="101" t="inlineStr">
        <is>
          <t>ПЛАН ЧЕРН К3</t>
        </is>
      </c>
      <c r="X1" s="107" t="inlineStr">
        <is>
          <t>Итого К3</t>
        </is>
      </c>
    </row>
    <row r="2">
      <c r="A2" s="108" t="inlineStr">
        <is>
          <t>Дата</t>
        </is>
      </c>
      <c r="B2" s="110" t="inlineStr">
        <is>
          <t>Надземная часть</t>
        </is>
      </c>
      <c r="C2" s="105" t="n"/>
      <c r="D2" s="105" t="n"/>
      <c r="E2" s="105" t="n"/>
      <c r="F2" s="105" t="n"/>
      <c r="G2" s="105" t="n"/>
      <c r="H2" s="105" t="n"/>
      <c r="I2" s="105" t="n"/>
      <c r="J2" s="105" t="n"/>
      <c r="K2" s="105" t="n"/>
      <c r="L2" s="105" t="n"/>
      <c r="M2" s="105" t="n"/>
      <c r="N2" s="105" t="n"/>
      <c r="O2" s="105" t="n"/>
      <c r="P2" s="105" t="n"/>
      <c r="Q2" s="105" t="n"/>
      <c r="R2" s="105" t="n"/>
      <c r="S2" s="105" t="n"/>
      <c r="T2" s="105" t="n"/>
      <c r="U2" s="105" t="n"/>
      <c r="V2" s="106" t="n"/>
    </row>
    <row r="3">
      <c r="A3" s="109" t="n"/>
      <c r="B3" s="110" t="inlineStr">
        <is>
          <t>8.2.1 Отделка лобби/гранд-лобби</t>
        </is>
      </c>
      <c r="C3" s="105" t="n"/>
      <c r="D3" s="106" t="n"/>
      <c r="E3" s="110" t="inlineStr">
        <is>
          <t>8.2.2 Отделка эвакуац. лестн. клетки надзем.</t>
        </is>
      </c>
      <c r="F3" s="105" t="n"/>
      <c r="G3" s="106" t="n"/>
      <c r="H3" s="110" t="inlineStr">
        <is>
          <t>8.2.3 Лифт. холлы, тамбур-шлюзы надзем.</t>
        </is>
      </c>
      <c r="I3" s="105" t="n"/>
      <c r="J3" s="106" t="n"/>
      <c r="K3" s="110" t="inlineStr">
        <is>
          <t>8.2.4 Технич. помещения надзем.</t>
        </is>
      </c>
      <c r="L3" s="105" t="n"/>
      <c r="M3" s="106" t="n"/>
      <c r="N3" s="110" t="inlineStr">
        <is>
          <t>8.2.5 Прочие помещения надзем.</t>
        </is>
      </c>
      <c r="O3" s="105" t="n"/>
      <c r="P3" s="106" t="n"/>
      <c r="Q3" s="110" t="inlineStr">
        <is>
          <t>8.2.6 Коммерч. помещения надзем.</t>
        </is>
      </c>
      <c r="R3" s="105" t="n"/>
      <c r="S3" s="106" t="n"/>
      <c r="T3" s="110" t="inlineStr">
        <is>
          <t>8.2.7 Паркинг и рампы надзем.</t>
        </is>
      </c>
      <c r="U3" s="105" t="n"/>
      <c r="V3" s="106" t="n"/>
      <c r="X3" s="29" t="inlineStr">
        <is>
          <t>Пол</t>
        </is>
      </c>
      <c r="Y3" s="29" t="inlineStr">
        <is>
          <t>Стены</t>
        </is>
      </c>
      <c r="Z3" s="29" t="inlineStr">
        <is>
          <t>Потолок</t>
        </is>
      </c>
    </row>
    <row r="4">
      <c r="B4" s="110" t="inlineStr">
        <is>
          <t>Пол</t>
        </is>
      </c>
      <c r="C4" s="110" t="inlineStr">
        <is>
          <t>Стены</t>
        </is>
      </c>
      <c r="D4" s="110" t="inlineStr">
        <is>
          <t>Потолок</t>
        </is>
      </c>
      <c r="E4" s="110" t="inlineStr">
        <is>
          <t>Пол</t>
        </is>
      </c>
      <c r="F4" s="110" t="inlineStr">
        <is>
          <t>Стены</t>
        </is>
      </c>
      <c r="G4" s="110" t="inlineStr">
        <is>
          <t>Потолок</t>
        </is>
      </c>
      <c r="H4" s="110" t="inlineStr">
        <is>
          <t>Пол</t>
        </is>
      </c>
      <c r="I4" s="110" t="inlineStr">
        <is>
          <t>Стены</t>
        </is>
      </c>
      <c r="J4" s="110" t="inlineStr">
        <is>
          <t>Потолок</t>
        </is>
      </c>
      <c r="K4" s="110" t="inlineStr">
        <is>
          <t>Пол</t>
        </is>
      </c>
      <c r="L4" s="110" t="inlineStr">
        <is>
          <t>Стены</t>
        </is>
      </c>
      <c r="M4" s="110" t="inlineStr">
        <is>
          <t>Потолок</t>
        </is>
      </c>
      <c r="N4" s="110" t="inlineStr">
        <is>
          <t>Пол</t>
        </is>
      </c>
      <c r="O4" s="110" t="inlineStr">
        <is>
          <t>Стены</t>
        </is>
      </c>
      <c r="P4" s="110" t="inlineStr">
        <is>
          <t>Потолок</t>
        </is>
      </c>
      <c r="Q4" s="110" t="inlineStr">
        <is>
          <t>Пол</t>
        </is>
      </c>
      <c r="R4" s="110" t="inlineStr">
        <is>
          <t>Стены</t>
        </is>
      </c>
      <c r="S4" s="110" t="inlineStr">
        <is>
          <t>Потолок</t>
        </is>
      </c>
      <c r="T4" s="110" t="inlineStr">
        <is>
          <t>Пол</t>
        </is>
      </c>
      <c r="U4" s="110" t="inlineStr">
        <is>
          <t>Стены</t>
        </is>
      </c>
      <c r="V4" s="110" t="inlineStr">
        <is>
          <t>Потолок</t>
        </is>
      </c>
      <c r="X4" s="30" t="n"/>
      <c r="Y4" s="30" t="n"/>
      <c r="Z4" s="30" t="n"/>
    </row>
    <row r="5">
      <c r="A5" s="17">
        <f>СПРАВОЧНИК!$B$35</f>
        <v/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1" t="n"/>
      <c r="P5" s="31" t="n"/>
      <c r="Q5" s="31" t="n"/>
      <c r="R5" s="31" t="n"/>
      <c r="S5" s="31" t="n"/>
      <c r="T5" s="31" t="n"/>
      <c r="U5" s="31" t="n"/>
      <c r="V5" s="31" t="n"/>
      <c r="X5" s="32">
        <f>B5+E5+H5+K5+N5+Q5+T5</f>
        <v/>
      </c>
      <c r="Y5" s="32">
        <f>C5+F5+I5+L5+O5+R5+U5</f>
        <v/>
      </c>
      <c r="Z5" s="32">
        <f>D5+G5+J5+M5+P5+S5+V5</f>
        <v/>
      </c>
    </row>
    <row r="6">
      <c r="A6" s="17">
        <f>A5+7</f>
        <v/>
      </c>
      <c r="B6" s="31" t="n"/>
      <c r="C6" s="31" t="n"/>
      <c r="D6" s="31" t="n"/>
      <c r="E6" s="31" t="n"/>
      <c r="F6" s="31" t="n"/>
      <c r="G6" s="31" t="n"/>
      <c r="H6" s="31" t="n"/>
      <c r="I6" s="31" t="n"/>
      <c r="J6" s="31" t="n"/>
      <c r="K6" s="31" t="n"/>
      <c r="L6" s="31" t="n"/>
      <c r="M6" s="31" t="n"/>
      <c r="N6" s="31" t="n"/>
      <c r="O6" s="31" t="n"/>
      <c r="P6" s="31" t="n"/>
      <c r="Q6" s="31" t="n"/>
      <c r="R6" s="31" t="n"/>
      <c r="S6" s="31" t="n"/>
      <c r="T6" s="31" t="n"/>
      <c r="U6" s="31" t="n"/>
      <c r="V6" s="31" t="n"/>
      <c r="X6" s="32">
        <f>B6+E6+H6+K6+N6+Q6+T6</f>
        <v/>
      </c>
      <c r="Y6" s="32">
        <f>C6+F6+I6+L6+O6+R6+U6</f>
        <v/>
      </c>
      <c r="Z6" s="32">
        <f>D6+G6+J6+M6+P6+S6+V6</f>
        <v/>
      </c>
    </row>
    <row r="7">
      <c r="A7" s="17">
        <f>A6+7</f>
        <v/>
      </c>
      <c r="B7" s="31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X7" s="32">
        <f>B7+E7+H7+K7+N7+Q7+T7</f>
        <v/>
      </c>
      <c r="Y7" s="32">
        <f>C7+F7+I7+L7+O7+R7+U7</f>
        <v/>
      </c>
      <c r="Z7" s="32">
        <f>D7+G7+J7+M7+P7+S7+V7</f>
        <v/>
      </c>
    </row>
    <row r="8">
      <c r="A8" s="17">
        <f>A7+7</f>
        <v/>
      </c>
      <c r="B8" s="31" t="n"/>
      <c r="C8" s="31" t="n"/>
      <c r="D8" s="31" t="n"/>
      <c r="E8" s="31" t="n"/>
      <c r="F8" s="31" t="n"/>
      <c r="G8" s="31" t="n"/>
      <c r="H8" s="31" t="n"/>
      <c r="I8" s="31" t="n"/>
      <c r="J8" s="31" t="n"/>
      <c r="K8" s="31" t="n"/>
      <c r="L8" s="31" t="n"/>
      <c r="M8" s="31" t="n"/>
      <c r="N8" s="31" t="n"/>
      <c r="O8" s="31" t="n"/>
      <c r="P8" s="31" t="n"/>
      <c r="Q8" s="31" t="n"/>
      <c r="R8" s="31" t="n"/>
      <c r="S8" s="31" t="n"/>
      <c r="T8" s="31" t="n"/>
      <c r="U8" s="31" t="n"/>
      <c r="V8" s="31" t="n"/>
      <c r="X8" s="32">
        <f>B8+E8+H8+K8+N8+Q8+T8</f>
        <v/>
      </c>
      <c r="Y8" s="32">
        <f>C8+F8+I8+L8+O8+R8+U8</f>
        <v/>
      </c>
      <c r="Z8" s="32">
        <f>D8+G8+J8+M8+P8+S8+V8</f>
        <v/>
      </c>
    </row>
    <row r="9">
      <c r="A9" s="17">
        <f>A8+7</f>
        <v/>
      </c>
      <c r="B9" s="31" t="n"/>
      <c r="C9" s="31" t="n"/>
      <c r="D9" s="31" t="n"/>
      <c r="E9" s="31" t="n"/>
      <c r="F9" s="31" t="n"/>
      <c r="G9" s="31" t="n"/>
      <c r="H9" s="31" t="n"/>
      <c r="I9" s="31" t="n"/>
      <c r="J9" s="31" t="n"/>
      <c r="K9" s="31" t="n"/>
      <c r="L9" s="31" t="n"/>
      <c r="M9" s="31" t="n"/>
      <c r="N9" s="31" t="n"/>
      <c r="O9" s="31" t="n"/>
      <c r="P9" s="31" t="n"/>
      <c r="Q9" s="31" t="n"/>
      <c r="R9" s="31" t="n"/>
      <c r="S9" s="31" t="n"/>
      <c r="T9" s="31" t="n"/>
      <c r="U9" s="31" t="n"/>
      <c r="V9" s="31" t="n"/>
      <c r="X9" s="32">
        <f>B9+E9+H9+K9+N9+Q9+T9</f>
        <v/>
      </c>
      <c r="Y9" s="32">
        <f>C9+F9+I9+L9+O9+R9+U9</f>
        <v/>
      </c>
      <c r="Z9" s="32">
        <f>D9+G9+J9+M9+P9+S9+V9</f>
        <v/>
      </c>
    </row>
    <row r="10">
      <c r="A10" s="17">
        <f>A9+7</f>
        <v/>
      </c>
      <c r="B10" s="31" t="n"/>
      <c r="C10" s="31" t="n"/>
      <c r="D10" s="31" t="n"/>
      <c r="E10" s="31" t="n"/>
      <c r="F10" s="31" t="n"/>
      <c r="G10" s="31" t="n"/>
      <c r="H10" s="31" t="n"/>
      <c r="I10" s="31" t="n"/>
      <c r="J10" s="31" t="n"/>
      <c r="K10" s="31" t="n"/>
      <c r="L10" s="31" t="n"/>
      <c r="M10" s="31" t="n"/>
      <c r="N10" s="31" t="n"/>
      <c r="O10" s="31" t="n"/>
      <c r="P10" s="31" t="n"/>
      <c r="Q10" s="31" t="n"/>
      <c r="R10" s="31" t="n"/>
      <c r="S10" s="31" t="n"/>
      <c r="T10" s="31" t="n"/>
      <c r="U10" s="31" t="n"/>
      <c r="V10" s="31" t="n"/>
      <c r="X10" s="32">
        <f>B10+E10+H10+K10+N10+Q10+T10</f>
        <v/>
      </c>
      <c r="Y10" s="32">
        <f>C10+F10+I10+L10+O10+R10+U10</f>
        <v/>
      </c>
      <c r="Z10" s="32">
        <f>D10+G10+J10+M10+P10+S10+V10</f>
        <v/>
      </c>
    </row>
    <row r="11">
      <c r="A11" s="17">
        <f>A10+7</f>
        <v/>
      </c>
      <c r="B11" s="31" t="n"/>
      <c r="C11" s="31" t="n"/>
      <c r="D11" s="31" t="n"/>
      <c r="E11" s="31" t="n"/>
      <c r="F11" s="31" t="n"/>
      <c r="G11" s="31" t="n"/>
      <c r="H11" s="31" t="n"/>
      <c r="I11" s="31" t="n"/>
      <c r="J11" s="31" t="n"/>
      <c r="K11" s="31" t="n"/>
      <c r="L11" s="31" t="n"/>
      <c r="M11" s="31" t="n"/>
      <c r="N11" s="31" t="n"/>
      <c r="O11" s="31" t="n"/>
      <c r="P11" s="31" t="n"/>
      <c r="Q11" s="31" t="n"/>
      <c r="R11" s="31" t="n"/>
      <c r="S11" s="31" t="n"/>
      <c r="T11" s="31" t="n"/>
      <c r="U11" s="31" t="n"/>
      <c r="V11" s="31" t="n"/>
      <c r="X11" s="32">
        <f>B11+E11+H11+K11+N11+Q11+T11</f>
        <v/>
      </c>
      <c r="Y11" s="32">
        <f>C11+F11+I11+L11+O11+R11+U11</f>
        <v/>
      </c>
      <c r="Z11" s="32">
        <f>D11+G11+J11+M11+P11+S11+V11</f>
        <v/>
      </c>
    </row>
    <row r="12">
      <c r="A12" s="17">
        <f>A11+7</f>
        <v/>
      </c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31" t="n"/>
      <c r="P12" s="31" t="n"/>
      <c r="Q12" s="31" t="n"/>
      <c r="R12" s="31" t="n"/>
      <c r="S12" s="31" t="n"/>
      <c r="T12" s="31" t="n"/>
      <c r="U12" s="31" t="n"/>
      <c r="V12" s="31" t="n"/>
      <c r="X12" s="32">
        <f>B12+E12+H12+K12+N12+Q12+T12</f>
        <v/>
      </c>
      <c r="Y12" s="32">
        <f>C12+F12+I12+L12+O12+R12+U12</f>
        <v/>
      </c>
      <c r="Z12" s="32">
        <f>D12+G12+J12+M12+P12+S12+V12</f>
        <v/>
      </c>
    </row>
    <row r="13">
      <c r="A13" s="17">
        <f>A12+7</f>
        <v/>
      </c>
      <c r="B13" s="31" t="n"/>
      <c r="C13" s="31" t="n"/>
      <c r="D13" s="31" t="n"/>
      <c r="E13" s="31" t="n"/>
      <c r="F13" s="31" t="n"/>
      <c r="G13" s="31" t="n"/>
      <c r="H13" s="31" t="n"/>
      <c r="I13" s="31" t="n"/>
      <c r="J13" s="3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31" t="n"/>
      <c r="T13" s="31" t="n"/>
      <c r="U13" s="31" t="n"/>
      <c r="V13" s="31" t="n"/>
      <c r="X13" s="32">
        <f>B13+E13+H13+K13+N13+Q13+T13</f>
        <v/>
      </c>
      <c r="Y13" s="32">
        <f>C13+F13+I13+L13+O13+R13+U13</f>
        <v/>
      </c>
      <c r="Z13" s="32">
        <f>D13+G13+J13+M13+P13+S13+V13</f>
        <v/>
      </c>
    </row>
    <row r="14">
      <c r="A14" s="17">
        <f>A13+7</f>
        <v/>
      </c>
      <c r="B14" s="31" t="n"/>
      <c r="C14" s="31" t="n"/>
      <c r="D14" s="31" t="n"/>
      <c r="E14" s="31" t="n"/>
      <c r="F14" s="31" t="n"/>
      <c r="G14" s="31" t="n"/>
      <c r="H14" s="31" t="n"/>
      <c r="I14" s="31" t="n"/>
      <c r="J14" s="3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31" t="n"/>
      <c r="T14" s="31" t="n"/>
      <c r="U14" s="31" t="n"/>
      <c r="V14" s="31" t="n"/>
      <c r="X14" s="32">
        <f>B14+E14+H14+K14+N14+Q14+T14</f>
        <v/>
      </c>
      <c r="Y14" s="32">
        <f>C14+F14+I14+L14+O14+R14+U14</f>
        <v/>
      </c>
      <c r="Z14" s="32">
        <f>D14+G14+J14+M14+P14+S14+V14</f>
        <v/>
      </c>
    </row>
    <row r="15">
      <c r="A15" s="17">
        <f>A14+7</f>
        <v/>
      </c>
      <c r="B15" s="31" t="n"/>
      <c r="C15" s="31" t="n"/>
      <c r="D15" s="31" t="n"/>
      <c r="E15" s="31" t="n"/>
      <c r="F15" s="31" t="n"/>
      <c r="G15" s="31" t="n"/>
      <c r="H15" s="31" t="n"/>
      <c r="I15" s="31" t="n"/>
      <c r="J15" s="31" t="n"/>
      <c r="K15" s="31" t="n"/>
      <c r="L15" s="31" t="n"/>
      <c r="M15" s="31" t="n"/>
      <c r="N15" s="31" t="n"/>
      <c r="O15" s="31" t="n"/>
      <c r="P15" s="31" t="n"/>
      <c r="Q15" s="31" t="n"/>
      <c r="R15" s="31" t="n"/>
      <c r="S15" s="31" t="n"/>
      <c r="T15" s="31" t="n"/>
      <c r="U15" s="31" t="n"/>
      <c r="V15" s="31" t="n"/>
      <c r="X15" s="32">
        <f>B15+E15+H15+K15+N15+Q15+T15</f>
        <v/>
      </c>
      <c r="Y15" s="32">
        <f>C15+F15+I15+L15+O15+R15+U15</f>
        <v/>
      </c>
      <c r="Z15" s="32">
        <f>D15+G15+J15+M15+P15+S15+V15</f>
        <v/>
      </c>
    </row>
    <row r="16">
      <c r="A16" s="17">
        <f>A15+7</f>
        <v/>
      </c>
      <c r="B16" s="31" t="n"/>
      <c r="C16" s="31" t="n"/>
      <c r="D16" s="31" t="n"/>
      <c r="E16" s="31" t="n"/>
      <c r="F16" s="31" t="n"/>
      <c r="G16" s="31" t="n"/>
      <c r="H16" s="31" t="n"/>
      <c r="I16" s="31" t="n"/>
      <c r="J16" s="31" t="n"/>
      <c r="K16" s="31" t="n"/>
      <c r="L16" s="31" t="n"/>
      <c r="M16" s="31" t="n"/>
      <c r="N16" s="31" t="n"/>
      <c r="O16" s="31" t="n"/>
      <c r="P16" s="31" t="n"/>
      <c r="Q16" s="31" t="n"/>
      <c r="R16" s="31" t="n"/>
      <c r="S16" s="31" t="n"/>
      <c r="T16" s="31" t="n"/>
      <c r="U16" s="31" t="n"/>
      <c r="V16" s="31" t="n"/>
      <c r="X16" s="32">
        <f>B16+E16+H16+K16+N16+Q16+T16</f>
        <v/>
      </c>
      <c r="Y16" s="32">
        <f>C16+F16+I16+L16+O16+R16+U16</f>
        <v/>
      </c>
      <c r="Z16" s="32">
        <f>D16+G16+J16+M16+P16+S16+V16</f>
        <v/>
      </c>
    </row>
    <row r="17">
      <c r="A17" s="17">
        <f>A16+7</f>
        <v/>
      </c>
      <c r="B17" s="31" t="n"/>
      <c r="C17" s="31" t="n"/>
      <c r="D17" s="31" t="n"/>
      <c r="E17" s="31" t="n"/>
      <c r="F17" s="31" t="n"/>
      <c r="G17" s="31" t="n"/>
      <c r="H17" s="31" t="n"/>
      <c r="I17" s="31" t="n"/>
      <c r="J17" s="31" t="n"/>
      <c r="K17" s="31" t="n"/>
      <c r="L17" s="31" t="n"/>
      <c r="M17" s="31" t="n"/>
      <c r="N17" s="31" t="n"/>
      <c r="O17" s="31" t="n"/>
      <c r="P17" s="31" t="n"/>
      <c r="Q17" s="31" t="n"/>
      <c r="R17" s="31" t="n"/>
      <c r="S17" s="31" t="n"/>
      <c r="T17" s="31" t="n"/>
      <c r="U17" s="31" t="n"/>
      <c r="V17" s="31" t="n"/>
      <c r="X17" s="32">
        <f>B17+E17+H17+K17+N17+Q17+T17</f>
        <v/>
      </c>
      <c r="Y17" s="32">
        <f>C17+F17+I17+L17+O17+R17+U17</f>
        <v/>
      </c>
      <c r="Z17" s="32">
        <f>D17+G17+J17+M17+P17+S17+V17</f>
        <v/>
      </c>
    </row>
    <row r="18">
      <c r="A18" s="17">
        <f>A17+7</f>
        <v/>
      </c>
      <c r="B18" s="31" t="n"/>
      <c r="C18" s="31" t="n"/>
      <c r="D18" s="31" t="n"/>
      <c r="E18" s="31" t="n"/>
      <c r="F18" s="31" t="n"/>
      <c r="G18" s="31" t="n"/>
      <c r="H18" s="31" t="n"/>
      <c r="I18" s="31" t="n"/>
      <c r="J18" s="31" t="n"/>
      <c r="K18" s="31" t="n"/>
      <c r="L18" s="31" t="n"/>
      <c r="M18" s="31" t="n"/>
      <c r="N18" s="31" t="n"/>
      <c r="O18" s="31" t="n"/>
      <c r="P18" s="31" t="n"/>
      <c r="Q18" s="31" t="n"/>
      <c r="R18" s="31" t="n"/>
      <c r="S18" s="31" t="n"/>
      <c r="T18" s="31" t="n"/>
      <c r="U18" s="31" t="n"/>
      <c r="V18" s="31" t="n"/>
      <c r="X18" s="32">
        <f>B18+E18+H18+K18+N18+Q18+T18</f>
        <v/>
      </c>
      <c r="Y18" s="32">
        <f>C18+F18+I18+L18+O18+R18+U18</f>
        <v/>
      </c>
      <c r="Z18" s="32">
        <f>D18+G18+J18+M18+P18+S18+V18</f>
        <v/>
      </c>
    </row>
    <row r="19">
      <c r="A19" s="17">
        <f>A18+7</f>
        <v/>
      </c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1" t="n"/>
      <c r="N19" s="31" t="n"/>
      <c r="O19" s="31" t="n"/>
      <c r="P19" s="31" t="n"/>
      <c r="Q19" s="31" t="n"/>
      <c r="R19" s="31" t="n"/>
      <c r="S19" s="31" t="n"/>
      <c r="T19" s="31" t="n"/>
      <c r="U19" s="31" t="n"/>
      <c r="V19" s="31" t="n"/>
      <c r="X19" s="32">
        <f>B19+E19+H19+K19+N19+Q19+T19</f>
        <v/>
      </c>
      <c r="Y19" s="32">
        <f>C19+F19+I19+L19+O19+R19+U19</f>
        <v/>
      </c>
      <c r="Z19" s="32">
        <f>D19+G19+J19+M19+P19+S19+V19</f>
        <v/>
      </c>
    </row>
    <row r="20">
      <c r="A20" s="17">
        <f>A19+7</f>
        <v/>
      </c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1" t="n"/>
      <c r="N20" s="31" t="n"/>
      <c r="O20" s="31" t="n"/>
      <c r="P20" s="31" t="n"/>
      <c r="Q20" s="31" t="n"/>
      <c r="R20" s="31" t="n"/>
      <c r="S20" s="31" t="n"/>
      <c r="T20" s="31" t="n"/>
      <c r="U20" s="31" t="n"/>
      <c r="V20" s="31" t="n"/>
      <c r="X20" s="32">
        <f>B20+E20+H20+K20+N20+Q20+T20</f>
        <v/>
      </c>
      <c r="Y20" s="32">
        <f>C20+F20+I20+L20+O20+R20+U20</f>
        <v/>
      </c>
      <c r="Z20" s="32">
        <f>D20+G20+J20+M20+P20+S20+V20</f>
        <v/>
      </c>
    </row>
    <row r="21">
      <c r="A21" s="17">
        <f>A20+7</f>
        <v/>
      </c>
      <c r="B21" s="31" t="n"/>
      <c r="C21" s="31" t="n"/>
      <c r="D21" s="31" t="n"/>
      <c r="E21" s="31" t="n"/>
      <c r="F21" s="31" t="n"/>
      <c r="G21" s="31" t="n"/>
      <c r="H21" s="31" t="n"/>
      <c r="I21" s="31" t="n"/>
      <c r="J21" s="31" t="n"/>
      <c r="K21" s="31" t="n"/>
      <c r="L21" s="31" t="n"/>
      <c r="M21" s="31" t="n"/>
      <c r="N21" s="31" t="n"/>
      <c r="O21" s="31" t="n"/>
      <c r="P21" s="31" t="n"/>
      <c r="Q21" s="31" t="n"/>
      <c r="R21" s="31" t="n"/>
      <c r="S21" s="31" t="n"/>
      <c r="T21" s="31" t="n"/>
      <c r="U21" s="31" t="n"/>
      <c r="V21" s="31" t="n"/>
      <c r="X21" s="32">
        <f>B21+E21+H21+K21+N21+Q21+T21</f>
        <v/>
      </c>
      <c r="Y21" s="32">
        <f>C21+F21+I21+L21+O21+R21+U21</f>
        <v/>
      </c>
      <c r="Z21" s="32">
        <f>D21+G21+J21+M21+P21+S21+V21</f>
        <v/>
      </c>
    </row>
    <row r="22">
      <c r="A22" s="17">
        <f>A21+7</f>
        <v/>
      </c>
      <c r="B22" s="31" t="n"/>
      <c r="C22" s="31" t="n"/>
      <c r="D22" s="31" t="n"/>
      <c r="E22" s="31" t="n"/>
      <c r="F22" s="31" t="n"/>
      <c r="G22" s="31" t="n"/>
      <c r="H22" s="31" t="n"/>
      <c r="I22" s="31" t="n"/>
      <c r="J22" s="31" t="n"/>
      <c r="K22" s="31" t="n"/>
      <c r="L22" s="31" t="n"/>
      <c r="M22" s="31" t="n"/>
      <c r="N22" s="31" t="n"/>
      <c r="O22" s="31" t="n"/>
      <c r="P22" s="31" t="n"/>
      <c r="Q22" s="31" t="n"/>
      <c r="R22" s="31" t="n"/>
      <c r="S22" s="31" t="n"/>
      <c r="T22" s="31" t="n"/>
      <c r="U22" s="31" t="n"/>
      <c r="V22" s="31" t="n"/>
      <c r="X22" s="32">
        <f>B22+E22+H22+K22+N22+Q22+T22</f>
        <v/>
      </c>
      <c r="Y22" s="32">
        <f>C22+F22+I22+L22+O22+R22+U22</f>
        <v/>
      </c>
      <c r="Z22" s="32">
        <f>D22+G22+J22+M22+P22+S22+V22</f>
        <v/>
      </c>
    </row>
    <row r="23">
      <c r="A23" s="17">
        <f>A22+7</f>
        <v/>
      </c>
      <c r="B23" s="31" t="n"/>
      <c r="C23" s="31" t="n"/>
      <c r="D23" s="31" t="n"/>
      <c r="E23" s="31" t="n"/>
      <c r="F23" s="31" t="n"/>
      <c r="G23" s="31" t="n"/>
      <c r="H23" s="31" t="n"/>
      <c r="I23" s="31" t="n"/>
      <c r="J23" s="31" t="n"/>
      <c r="K23" s="31" t="n"/>
      <c r="L23" s="31" t="n"/>
      <c r="M23" s="31" t="n"/>
      <c r="N23" s="31" t="n"/>
      <c r="O23" s="31" t="n"/>
      <c r="P23" s="31" t="n"/>
      <c r="Q23" s="31" t="n"/>
      <c r="R23" s="31" t="n"/>
      <c r="S23" s="31" t="n"/>
      <c r="T23" s="31" t="n"/>
      <c r="U23" s="31" t="n"/>
      <c r="V23" s="31" t="n"/>
      <c r="X23" s="32">
        <f>B23+E23+H23+K23+N23+Q23+T23</f>
        <v/>
      </c>
      <c r="Y23" s="32">
        <f>C23+F23+I23+L23+O23+R23+U23</f>
        <v/>
      </c>
      <c r="Z23" s="32">
        <f>D23+G23+J23+M23+P23+S23+V23</f>
        <v/>
      </c>
    </row>
    <row r="24">
      <c r="A24" s="17">
        <f>A23+7</f>
        <v/>
      </c>
      <c r="B24" s="31" t="n"/>
      <c r="C24" s="31" t="n"/>
      <c r="D24" s="31" t="n"/>
      <c r="E24" s="31" t="n"/>
      <c r="F24" s="31" t="n"/>
      <c r="G24" s="31" t="n"/>
      <c r="H24" s="31" t="n"/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X24" s="32">
        <f>B24+E24+H24+K24+N24+Q24+T24</f>
        <v/>
      </c>
      <c r="Y24" s="32">
        <f>C24+F24+I24+L24+O24+R24+U24</f>
        <v/>
      </c>
      <c r="Z24" s="32">
        <f>D24+G24+J24+M24+P24+S24+V24</f>
        <v/>
      </c>
    </row>
    <row r="25">
      <c r="A25" s="17">
        <f>A24+7</f>
        <v/>
      </c>
      <c r="B25" s="31" t="n"/>
      <c r="C25" s="31" t="n"/>
      <c r="D25" s="31" t="n"/>
      <c r="E25" s="31" t="n"/>
      <c r="F25" s="31" t="n"/>
      <c r="G25" s="31" t="n"/>
      <c r="H25" s="31" t="n"/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X25" s="32">
        <f>B25+E25+H25+K25+N25+Q25+T25</f>
        <v/>
      </c>
      <c r="Y25" s="32">
        <f>C25+F25+I25+L25+O25+R25+U25</f>
        <v/>
      </c>
      <c r="Z25" s="32">
        <f>D25+G25+J25+M25+P25+S25+V25</f>
        <v/>
      </c>
    </row>
    <row r="26">
      <c r="A26" s="17">
        <f>A25+7</f>
        <v/>
      </c>
      <c r="B26" s="31" t="n"/>
      <c r="C26" s="31" t="n"/>
      <c r="D26" s="31" t="n"/>
      <c r="E26" s="31" t="n"/>
      <c r="F26" s="31" t="n"/>
      <c r="G26" s="31" t="n"/>
      <c r="H26" s="31" t="n"/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X26" s="32">
        <f>B26+E26+H26+K26+N26+Q26+T26</f>
        <v/>
      </c>
      <c r="Y26" s="32">
        <f>C26+F26+I26+L26+O26+R26+U26</f>
        <v/>
      </c>
      <c r="Z26" s="32">
        <f>D26+G26+J26+M26+P26+S26+V26</f>
        <v/>
      </c>
    </row>
    <row r="27">
      <c r="A27" s="17">
        <f>A26+7</f>
        <v/>
      </c>
      <c r="B27" s="31" t="n"/>
      <c r="C27" s="31" t="n"/>
      <c r="D27" s="31" t="n"/>
      <c r="E27" s="31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X27" s="32">
        <f>B27+E27+H27+K27+N27+Q27+T27</f>
        <v/>
      </c>
      <c r="Y27" s="32">
        <f>C27+F27+I27+L27+O27+R27+U27</f>
        <v/>
      </c>
      <c r="Z27" s="32">
        <f>D27+G27+J27+M27+P27+S27+V27</f>
        <v/>
      </c>
    </row>
    <row r="28">
      <c r="A28" s="17">
        <f>A27+7</f>
        <v/>
      </c>
      <c r="B28" s="31" t="n"/>
      <c r="C28" s="31" t="n"/>
      <c r="D28" s="31" t="n"/>
      <c r="E28" s="31" t="n"/>
      <c r="F28" s="31" t="n"/>
      <c r="G28" s="31" t="n"/>
      <c r="H28" s="31" t="n"/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X28" s="32">
        <f>B28+E28+H28+K28+N28+Q28+T28</f>
        <v/>
      </c>
      <c r="Y28" s="32">
        <f>C28+F28+I28+L28+O28+R28+U28</f>
        <v/>
      </c>
      <c r="Z28" s="32">
        <f>D28+G28+J28+M28+P28+S28+V28</f>
        <v/>
      </c>
    </row>
    <row r="29">
      <c r="A29" s="17">
        <f>A28+7</f>
        <v/>
      </c>
      <c r="B29" s="31" t="n"/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X29" s="32">
        <f>B29+E29+H29+K29+N29+Q29+T29</f>
        <v/>
      </c>
      <c r="Y29" s="32">
        <f>C29+F29+I29+L29+O29+R29+U29</f>
        <v/>
      </c>
      <c r="Z29" s="32">
        <f>D29+G29+J29+M29+P29+S29+V29</f>
        <v/>
      </c>
    </row>
    <row r="30">
      <c r="A30" s="17">
        <f>A29+7</f>
        <v/>
      </c>
      <c r="B30" s="31" t="n"/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X30" s="32">
        <f>B30+E30+H30+K30+N30+Q30+T30</f>
        <v/>
      </c>
      <c r="Y30" s="32">
        <f>C30+F30+I30+L30+O30+R30+U30</f>
        <v/>
      </c>
      <c r="Z30" s="32">
        <f>D30+G30+J30+M30+P30+S30+V30</f>
        <v/>
      </c>
    </row>
    <row r="31">
      <c r="A31" s="17">
        <f>A30+7</f>
        <v/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X31" s="32">
        <f>B31+E31+H31+K31+N31+Q31+T31</f>
        <v/>
      </c>
      <c r="Y31" s="32">
        <f>C31+F31+I31+L31+O31+R31+U31</f>
        <v/>
      </c>
      <c r="Z31" s="32">
        <f>D31+G31+J31+M31+P31+S31+V31</f>
        <v/>
      </c>
    </row>
    <row r="32">
      <c r="A32" s="17">
        <f>A31+7</f>
        <v/>
      </c>
      <c r="B32" s="31" t="n"/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X32" s="32">
        <f>B32+E32+H32+K32+N32+Q32+T32</f>
        <v/>
      </c>
      <c r="Y32" s="32">
        <f>C32+F32+I32+L32+O32+R32+U32</f>
        <v/>
      </c>
      <c r="Z32" s="32">
        <f>D32+G32+J32+M32+P32+S32+V32</f>
        <v/>
      </c>
    </row>
    <row r="33">
      <c r="A33" s="17">
        <f>A32+7</f>
        <v/>
      </c>
      <c r="B33" s="31" t="n"/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X33" s="32">
        <f>B33+E33+H33+K33+N33+Q33+T33</f>
        <v/>
      </c>
      <c r="Y33" s="32">
        <f>C33+F33+I33+L33+O33+R33+U33</f>
        <v/>
      </c>
      <c r="Z33" s="32">
        <f>D33+G33+J33+M33+P33+S33+V33</f>
        <v/>
      </c>
    </row>
    <row r="34">
      <c r="A34" s="17">
        <f>A33+7</f>
        <v/>
      </c>
      <c r="B34" s="31" t="n"/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X34" s="32">
        <f>B34+E34+H34+K34+N34+Q34+T34</f>
        <v/>
      </c>
      <c r="Y34" s="32">
        <f>C34+F34+I34+L34+O34+R34+U34</f>
        <v/>
      </c>
      <c r="Z34" s="32">
        <f>D34+G34+J34+M34+P34+S34+V34</f>
        <v/>
      </c>
    </row>
    <row r="35">
      <c r="A35" s="17">
        <f>A34+7</f>
        <v/>
      </c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X35" s="32">
        <f>B35+E35+H35+K35+N35+Q35+T35</f>
        <v/>
      </c>
      <c r="Y35" s="32">
        <f>C35+F35+I35+L35+O35+R35+U35</f>
        <v/>
      </c>
      <c r="Z35" s="32">
        <f>D35+G35+J35+M35+P35+S35+V35</f>
        <v/>
      </c>
    </row>
    <row r="36">
      <c r="A36" s="17">
        <f>A35+7</f>
        <v/>
      </c>
      <c r="B36" s="31" t="n"/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X36" s="32">
        <f>B36+E36+H36+K36+N36+Q36+T36</f>
        <v/>
      </c>
      <c r="Y36" s="32">
        <f>C36+F36+I36+L36+O36+R36+U36</f>
        <v/>
      </c>
      <c r="Z36" s="32">
        <f>D36+G36+J36+M36+P36+S36+V36</f>
        <v/>
      </c>
    </row>
    <row r="37">
      <c r="A37" s="17">
        <f>A36+7</f>
        <v/>
      </c>
      <c r="B37" s="31" t="n"/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X37" s="32">
        <f>B37+E37+H37+K37+N37+Q37+T37</f>
        <v/>
      </c>
      <c r="Y37" s="32">
        <f>C37+F37+I37+L37+O37+R37+U37</f>
        <v/>
      </c>
      <c r="Z37" s="32">
        <f>D37+G37+J37+M37+P37+S37+V37</f>
        <v/>
      </c>
    </row>
    <row r="38">
      <c r="A38" s="17">
        <f>A37+7</f>
        <v/>
      </c>
      <c r="B38" s="31" t="n"/>
      <c r="C38" s="31" t="n"/>
      <c r="D38" s="31" t="n"/>
      <c r="E38" s="31" t="n"/>
      <c r="F38" s="31" t="n"/>
      <c r="G38" s="31" t="n"/>
      <c r="H38" s="31" t="n"/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X38" s="32">
        <f>B38+E38+H38+K38+N38+Q38+T38</f>
        <v/>
      </c>
      <c r="Y38" s="32">
        <f>C38+F38+I38+L38+O38+R38+U38</f>
        <v/>
      </c>
      <c r="Z38" s="32">
        <f>D38+G38+J38+M38+P38+S38+V38</f>
        <v/>
      </c>
    </row>
    <row r="39">
      <c r="A39" s="17">
        <f>A38+7</f>
        <v/>
      </c>
      <c r="B39" s="31" t="n"/>
      <c r="C39" s="31" t="n"/>
      <c r="D39" s="31" t="n"/>
      <c r="E39" s="31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X39" s="32">
        <f>B39+E39+H39+K39+N39+Q39+T39</f>
        <v/>
      </c>
      <c r="Y39" s="32">
        <f>C39+F39+I39+L39+O39+R39+U39</f>
        <v/>
      </c>
      <c r="Z39" s="32">
        <f>D39+G39+J39+M39+P39+S39+V39</f>
        <v/>
      </c>
    </row>
    <row r="40">
      <c r="A40" s="17">
        <f>A39+7</f>
        <v/>
      </c>
      <c r="B40" s="31" t="n"/>
      <c r="C40" s="31" t="n"/>
      <c r="D40" s="31" t="n"/>
      <c r="E40" s="31" t="n"/>
      <c r="F40" s="31" t="n"/>
      <c r="G40" s="31" t="n"/>
      <c r="H40" s="31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X40" s="32">
        <f>B40+E40+H40+K40+N40+Q40+T40</f>
        <v/>
      </c>
      <c r="Y40" s="32">
        <f>C40+F40+I40+L40+O40+R40+U40</f>
        <v/>
      </c>
      <c r="Z40" s="32">
        <f>D40+G40+J40+M40+P40+S40+V40</f>
        <v/>
      </c>
    </row>
    <row r="41">
      <c r="A41" s="17">
        <f>A40+7</f>
        <v/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X41" s="32">
        <f>B41+E41+H41+K41+N41+Q41+T41</f>
        <v/>
      </c>
      <c r="Y41" s="32">
        <f>C41+F41+I41+L41+O41+R41+U41</f>
        <v/>
      </c>
      <c r="Z41" s="32">
        <f>D41+G41+J41+M41+P41+S41+V41</f>
        <v/>
      </c>
    </row>
    <row r="42">
      <c r="A42" s="17">
        <f>A41+7</f>
        <v/>
      </c>
      <c r="B42" s="31" t="n"/>
      <c r="C42" s="31" t="n"/>
      <c r="D42" s="31" t="n"/>
      <c r="E42" s="31" t="n"/>
      <c r="F42" s="31" t="n"/>
      <c r="G42" s="31" t="n"/>
      <c r="H42" s="31" t="n"/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X42" s="32">
        <f>B42+E42+H42+K42+N42+Q42+T42</f>
        <v/>
      </c>
      <c r="Y42" s="32">
        <f>C42+F42+I42+L42+O42+R42+U42</f>
        <v/>
      </c>
      <c r="Z42" s="32">
        <f>D42+G42+J42+M42+P42+S42+V42</f>
        <v/>
      </c>
    </row>
    <row r="43">
      <c r="A43" s="17">
        <f>A42+7</f>
        <v/>
      </c>
      <c r="B43" s="31" t="n"/>
      <c r="C43" s="31" t="n"/>
      <c r="D43" s="31" t="n"/>
      <c r="E43" s="31" t="n"/>
      <c r="F43" s="31" t="n"/>
      <c r="G43" s="31" t="n"/>
      <c r="H43" s="31" t="n"/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X43" s="32">
        <f>B43+E43+H43+K43+N43+Q43+T43</f>
        <v/>
      </c>
      <c r="Y43" s="32">
        <f>C43+F43+I43+L43+O43+R43+U43</f>
        <v/>
      </c>
      <c r="Z43" s="32">
        <f>D43+G43+J43+M43+P43+S43+V43</f>
        <v/>
      </c>
    </row>
    <row r="44">
      <c r="A44" s="17">
        <f>A43+7</f>
        <v/>
      </c>
      <c r="B44" s="31" t="n"/>
      <c r="C44" s="31" t="n"/>
      <c r="D44" s="31" t="n"/>
      <c r="E44" s="31" t="n"/>
      <c r="F44" s="31" t="n"/>
      <c r="G44" s="31" t="n"/>
      <c r="H44" s="31" t="n"/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X44" s="32">
        <f>B44+E44+H44+K44+N44+Q44+T44</f>
        <v/>
      </c>
      <c r="Y44" s="32">
        <f>C44+F44+I44+L44+O44+R44+U44</f>
        <v/>
      </c>
      <c r="Z44" s="32">
        <f>D44+G44+J44+M44+P44+S44+V44</f>
        <v/>
      </c>
    </row>
    <row r="45">
      <c r="A45" s="17">
        <f>A44+7</f>
        <v/>
      </c>
      <c r="B45" s="31" t="n"/>
      <c r="C45" s="31" t="n"/>
      <c r="D45" s="31" t="n"/>
      <c r="E45" s="31" t="n"/>
      <c r="F45" s="31" t="n"/>
      <c r="G45" s="31" t="n"/>
      <c r="H45" s="31" t="n"/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X45" s="32">
        <f>B45+E45+H45+K45+N45+Q45+T45</f>
        <v/>
      </c>
      <c r="Y45" s="32">
        <f>C45+F45+I45+L45+O45+R45+U45</f>
        <v/>
      </c>
      <c r="Z45" s="32">
        <f>D45+G45+J45+M45+P45+S45+V45</f>
        <v/>
      </c>
    </row>
    <row r="46">
      <c r="A46" s="17">
        <f>A45+7</f>
        <v/>
      </c>
      <c r="B46" s="31" t="n"/>
      <c r="C46" s="31" t="n"/>
      <c r="D46" s="31" t="n"/>
      <c r="E46" s="31" t="n"/>
      <c r="F46" s="31" t="n"/>
      <c r="G46" s="31" t="n"/>
      <c r="H46" s="31" t="n"/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X46" s="32">
        <f>B46+E46+H46+K46+N46+Q46+T46</f>
        <v/>
      </c>
      <c r="Y46" s="32">
        <f>C46+F46+I46+L46+O46+R46+U46</f>
        <v/>
      </c>
      <c r="Z46" s="32">
        <f>D46+G46+J46+M46+P46+S46+V46</f>
        <v/>
      </c>
    </row>
    <row r="47">
      <c r="A47" s="17">
        <f>A46+7</f>
        <v/>
      </c>
      <c r="B47" s="31" t="n"/>
      <c r="C47" s="31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1" t="n"/>
      <c r="P47" s="31" t="n"/>
      <c r="Q47" s="31" t="n"/>
      <c r="R47" s="31" t="n"/>
      <c r="S47" s="31" t="n"/>
      <c r="T47" s="31" t="n"/>
      <c r="U47" s="31" t="n"/>
      <c r="V47" s="31" t="n"/>
      <c r="X47" s="32">
        <f>B47+E47+H47+K47+N47+Q47+T47</f>
        <v/>
      </c>
      <c r="Y47" s="32">
        <f>C47+F47+I47+L47+O47+R47+U47</f>
        <v/>
      </c>
      <c r="Z47" s="32">
        <f>D47+G47+J47+M47+P47+S47+V47</f>
        <v/>
      </c>
    </row>
    <row r="48">
      <c r="A48" s="17">
        <f>A47+7</f>
        <v/>
      </c>
      <c r="B48" s="31" t="n"/>
      <c r="C48" s="31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1" t="n"/>
      <c r="P48" s="31" t="n"/>
      <c r="Q48" s="31" t="n"/>
      <c r="R48" s="31" t="n"/>
      <c r="S48" s="31" t="n"/>
      <c r="T48" s="31" t="n"/>
      <c r="U48" s="31" t="n"/>
      <c r="V48" s="31" t="n"/>
      <c r="X48" s="32">
        <f>B48+E48+H48+K48+N48+Q48+T48</f>
        <v/>
      </c>
      <c r="Y48" s="32">
        <f>C48+F48+I48+L48+O48+R48+U48</f>
        <v/>
      </c>
      <c r="Z48" s="32">
        <f>D48+G48+J48+M48+P48+S48+V48</f>
        <v/>
      </c>
    </row>
    <row r="49">
      <c r="A49" s="17">
        <f>A48+7</f>
        <v/>
      </c>
      <c r="B49" s="31" t="n"/>
      <c r="C49" s="31" t="n"/>
      <c r="D49" s="31" t="n"/>
      <c r="E49" s="31" t="n"/>
      <c r="F49" s="31" t="n"/>
      <c r="G49" s="31" t="n"/>
      <c r="H49" s="31" t="n"/>
      <c r="I49" s="31" t="n"/>
      <c r="J49" s="31" t="n"/>
      <c r="K49" s="31" t="n"/>
      <c r="L49" s="31" t="n"/>
      <c r="M49" s="31" t="n"/>
      <c r="N49" s="31" t="n"/>
      <c r="O49" s="31" t="n"/>
      <c r="P49" s="31" t="n"/>
      <c r="Q49" s="31" t="n"/>
      <c r="R49" s="31" t="n"/>
      <c r="S49" s="31" t="n"/>
      <c r="T49" s="31" t="n"/>
      <c r="U49" s="31" t="n"/>
      <c r="V49" s="31" t="n"/>
      <c r="X49" s="32">
        <f>B49+E49+H49+K49+N49+Q49+T49</f>
        <v/>
      </c>
      <c r="Y49" s="32">
        <f>C49+F49+I49+L49+O49+R49+U49</f>
        <v/>
      </c>
      <c r="Z49" s="32">
        <f>D49+G49+J49+M49+P49+S49+V49</f>
        <v/>
      </c>
    </row>
    <row r="50">
      <c r="A50" s="17">
        <f>A49+7</f>
        <v/>
      </c>
      <c r="B50" s="31" t="n"/>
      <c r="C50" s="31" t="n"/>
      <c r="D50" s="31" t="n"/>
      <c r="E50" s="31" t="n"/>
      <c r="F50" s="31" t="n"/>
      <c r="G50" s="31" t="n"/>
      <c r="H50" s="31" t="n"/>
      <c r="I50" s="31" t="n"/>
      <c r="J50" s="31" t="n"/>
      <c r="K50" s="31" t="n"/>
      <c r="L50" s="31" t="n"/>
      <c r="M50" s="31" t="n"/>
      <c r="N50" s="31" t="n"/>
      <c r="O50" s="31" t="n"/>
      <c r="P50" s="31" t="n"/>
      <c r="Q50" s="31" t="n"/>
      <c r="R50" s="31" t="n"/>
      <c r="S50" s="31" t="n"/>
      <c r="T50" s="31" t="n"/>
      <c r="U50" s="31" t="n"/>
      <c r="V50" s="31" t="n"/>
      <c r="X50" s="32">
        <f>B50+E50+H50+K50+N50+Q50+T50</f>
        <v/>
      </c>
      <c r="Y50" s="32">
        <f>C50+F50+I50+L50+O50+R50+U50</f>
        <v/>
      </c>
      <c r="Z50" s="32">
        <f>D50+G50+J50+M50+P50+S50+V50</f>
        <v/>
      </c>
    </row>
    <row r="51">
      <c r="A51" s="17">
        <f>A50+7</f>
        <v/>
      </c>
      <c r="B51" s="31" t="n"/>
      <c r="C51" s="31" t="n"/>
      <c r="D51" s="31" t="n"/>
      <c r="E51" s="31" t="n"/>
      <c r="F51" s="31" t="n"/>
      <c r="G51" s="31" t="n"/>
      <c r="H51" s="31" t="n"/>
      <c r="I51" s="31" t="n"/>
      <c r="J51" s="31" t="n"/>
      <c r="K51" s="31" t="n"/>
      <c r="L51" s="31" t="n"/>
      <c r="M51" s="31" t="n"/>
      <c r="N51" s="31" t="n"/>
      <c r="O51" s="31" t="n"/>
      <c r="P51" s="31" t="n"/>
      <c r="Q51" s="31" t="n"/>
      <c r="R51" s="31" t="n"/>
      <c r="S51" s="31" t="n"/>
      <c r="T51" s="31" t="n"/>
      <c r="U51" s="31" t="n"/>
      <c r="V51" s="31" t="n"/>
      <c r="X51" s="32">
        <f>B51+E51+H51+K51+N51+Q51+T51</f>
        <v/>
      </c>
      <c r="Y51" s="32">
        <f>C51+F51+I51+L51+O51+R51+U51</f>
        <v/>
      </c>
      <c r="Z51" s="32">
        <f>D51+G51+J51+M51+P51+S51+V51</f>
        <v/>
      </c>
    </row>
    <row r="52">
      <c r="A52" s="17">
        <f>A51+7</f>
        <v/>
      </c>
      <c r="B52" s="31" t="n"/>
      <c r="C52" s="31" t="n"/>
      <c r="D52" s="31" t="n"/>
      <c r="E52" s="31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31" t="n"/>
      <c r="Q52" s="31" t="n"/>
      <c r="R52" s="31" t="n"/>
      <c r="S52" s="31" t="n"/>
      <c r="T52" s="31" t="n"/>
      <c r="U52" s="31" t="n"/>
      <c r="V52" s="31" t="n"/>
      <c r="X52" s="32">
        <f>B52+E52+H52+K52+N52+Q52+T52</f>
        <v/>
      </c>
      <c r="Y52" s="32">
        <f>C52+F52+I52+L52+O52+R52+U52</f>
        <v/>
      </c>
      <c r="Z52" s="32">
        <f>D52+G52+J52+M52+P52+S52+V52</f>
        <v/>
      </c>
    </row>
  </sheetData>
  <mergeCells count="11">
    <mergeCell ref="B3:D3"/>
    <mergeCell ref="B2:V2"/>
    <mergeCell ref="A1:V1"/>
    <mergeCell ref="T3:V3"/>
    <mergeCell ref="A2:A3"/>
    <mergeCell ref="E3:G3"/>
    <mergeCell ref="K3:M3"/>
    <mergeCell ref="H3:J3"/>
    <mergeCell ref="X1:Z1"/>
    <mergeCell ref="N3:P3"/>
    <mergeCell ref="Q3:S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V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AO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W1"/>
    </sheetView>
  </sheetViews>
  <sheetFormatPr baseColWidth="8" defaultRowHeight="15"/>
  <cols>
    <col width="14" customWidth="1" style="102" min="1" max="1"/>
    <col width="10" customWidth="1" style="102" min="2" max="27"/>
    <col width="10" customWidth="1" style="102" min="3" max="3"/>
    <col width="10" customWidth="1" style="102" min="4" max="4"/>
    <col width="10" customWidth="1" style="102" min="5" max="5"/>
    <col width="10" customWidth="1" style="102" min="6" max="6"/>
    <col width="10" customWidth="1" style="102" min="7" max="7"/>
    <col width="10" customWidth="1" style="102" min="8" max="8"/>
    <col width="10" customWidth="1" style="102" min="9" max="9"/>
    <col width="10" customWidth="1" style="102" min="10" max="10"/>
    <col width="10" customWidth="1" style="102" min="11" max="11"/>
    <col width="10" customWidth="1" style="102" min="12" max="12"/>
    <col width="10" customWidth="1" style="102" min="13" max="13"/>
    <col width="10" customWidth="1" style="102" min="14" max="14"/>
    <col width="10" customWidth="1" style="102" min="15" max="15"/>
    <col width="10" customWidth="1" style="102" min="16" max="16"/>
    <col width="10" customWidth="1" style="102" min="17" max="17"/>
    <col width="10" customWidth="1" style="102" min="18" max="18"/>
    <col width="10" customWidth="1" style="102" min="19" max="19"/>
    <col width="10" customWidth="1" style="102" min="20" max="20"/>
    <col width="10" customWidth="1" style="102" min="21" max="21"/>
    <col width="10" customWidth="1" style="102" min="22" max="22"/>
    <col width="10" customWidth="1" style="102" min="23" max="23"/>
    <col width="10" customWidth="1" style="102" min="24" max="24"/>
    <col width="10" customWidth="1" style="102" min="25" max="25"/>
    <col width="10" customWidth="1" style="102" min="26" max="26"/>
    <col width="10" customWidth="1" style="102" min="27" max="27"/>
    <col width="10" customWidth="1" style="102" min="28" max="28"/>
    <col width="10" customWidth="1" style="102" min="29" max="29"/>
    <col width="10" customWidth="1" style="102" min="30" max="30"/>
    <col width="10" customWidth="1" style="102" min="31" max="31"/>
    <col width="10" customWidth="1" style="102" min="32" max="32"/>
    <col width="10" customWidth="1" style="102" min="33" max="33"/>
    <col width="10" customWidth="1" style="102" min="34" max="34"/>
    <col width="10" customWidth="1" style="102" min="35" max="35"/>
    <col width="10" customWidth="1" style="102" min="36" max="36"/>
    <col width="10" customWidth="1" style="102" min="37" max="37"/>
    <col width="10" customWidth="1" style="102" min="38" max="38"/>
    <col width="10" customWidth="1" style="102" min="39" max="39"/>
    <col width="10" customWidth="1" style="102" min="40" max="40"/>
    <col width="10" customWidth="1" style="102" min="41" max="41"/>
  </cols>
  <sheetData>
    <row r="1">
      <c r="A1" s="118" t="inlineStr">
        <is>
          <t>ПЛАН ЧИСТ К3</t>
        </is>
      </c>
    </row>
    <row r="2">
      <c r="A2" s="115" t="inlineStr">
        <is>
          <t>Дата</t>
        </is>
      </c>
      <c r="B2" s="115" t="inlineStr">
        <is>
          <t>Надземная часть</t>
        </is>
      </c>
      <c r="C2" s="119" t="n"/>
      <c r="D2" s="119" t="n"/>
      <c r="E2" s="119" t="n"/>
      <c r="F2" s="119" t="n"/>
      <c r="G2" s="119" t="n"/>
      <c r="H2" s="119" t="n"/>
      <c r="I2" s="119" t="n"/>
      <c r="J2" s="119" t="n"/>
      <c r="K2" s="119" t="n"/>
      <c r="L2" s="119" t="n"/>
      <c r="M2" s="119" t="n"/>
      <c r="N2" s="119" t="n"/>
      <c r="O2" s="119" t="n"/>
      <c r="P2" s="119" t="n"/>
      <c r="Q2" s="119" t="n"/>
      <c r="R2" s="119" t="n"/>
      <c r="S2" s="119" t="n"/>
      <c r="T2" s="119" t="n"/>
      <c r="U2" s="119" t="n"/>
      <c r="V2" s="119" t="n"/>
      <c r="W2" s="119" t="n"/>
      <c r="X2" s="119" t="n"/>
      <c r="Y2" s="119" t="n"/>
      <c r="Z2" s="119" t="n"/>
      <c r="AA2" s="119" t="n"/>
      <c r="AB2" s="119" t="n"/>
      <c r="AC2" s="119" t="n"/>
      <c r="AD2" s="119" t="n"/>
      <c r="AE2" s="119" t="n"/>
      <c r="AF2" s="119" t="n"/>
      <c r="AG2" s="119" t="n"/>
      <c r="AH2" s="119" t="n"/>
      <c r="AI2" s="119" t="n"/>
      <c r="AJ2" s="120" t="n"/>
      <c r="AK2" s="121" t="n"/>
      <c r="AL2" s="121" t="n"/>
      <c r="AM2" s="121" t="n"/>
      <c r="AN2" s="121" t="n"/>
      <c r="AO2" s="121" t="n"/>
    </row>
    <row r="3">
      <c r="A3" s="122" t="n"/>
      <c r="B3" s="115" t="inlineStr">
        <is>
          <t>8.2.1 Отделка лобби/гранд-лобби</t>
        </is>
      </c>
      <c r="C3" s="119" t="n"/>
      <c r="D3" s="119" t="n"/>
      <c r="E3" s="119" t="n"/>
      <c r="F3" s="120" t="n"/>
      <c r="G3" s="115" t="inlineStr">
        <is>
          <t>8.2.2 Отделка эвакуац. лестн. клетки надзем.</t>
        </is>
      </c>
      <c r="H3" s="119" t="n"/>
      <c r="I3" s="119" t="n"/>
      <c r="J3" s="119" t="n"/>
      <c r="K3" s="120" t="n"/>
      <c r="L3" s="115" t="inlineStr">
        <is>
          <t>8.2.3 Лифт. холлы, тамбур-шлюзы надзем.</t>
        </is>
      </c>
      <c r="M3" s="119" t="n"/>
      <c r="N3" s="119" t="n"/>
      <c r="O3" s="119" t="n"/>
      <c r="P3" s="120" t="n"/>
      <c r="Q3" s="115" t="inlineStr">
        <is>
          <t>8.2.4 Технич. помещения надзем.</t>
        </is>
      </c>
      <c r="R3" s="119" t="n"/>
      <c r="S3" s="119" t="n"/>
      <c r="T3" s="119" t="n"/>
      <c r="U3" s="120" t="n"/>
      <c r="V3" s="115" t="inlineStr">
        <is>
          <t>8.2.5 Прочие помещения надзем.</t>
        </is>
      </c>
      <c r="W3" s="119" t="n"/>
      <c r="X3" s="119" t="n"/>
      <c r="Y3" s="119" t="n"/>
      <c r="Z3" s="120" t="n"/>
      <c r="AA3" s="115" t="inlineStr">
        <is>
          <t>8.2.6 Коммерч. помещения надзем.</t>
        </is>
      </c>
      <c r="AB3" s="119" t="n"/>
      <c r="AC3" s="119" t="n"/>
      <c r="AD3" s="119" t="n"/>
      <c r="AE3" s="120" t="n"/>
      <c r="AF3" s="115" t="inlineStr">
        <is>
          <t>8.2.7 Паркинг и рампы надзем.</t>
        </is>
      </c>
      <c r="AG3" s="119" t="n"/>
      <c r="AH3" s="119" t="n"/>
      <c r="AI3" s="119" t="n"/>
      <c r="AJ3" s="120" t="n"/>
      <c r="AK3" s="115" t="inlineStr">
        <is>
          <t>Итого</t>
        </is>
      </c>
      <c r="AL3" s="119" t="n"/>
      <c r="AM3" s="119" t="n"/>
      <c r="AN3" s="119" t="n"/>
      <c r="AO3" s="120" t="n"/>
    </row>
    <row r="4">
      <c r="A4" s="123" t="n"/>
      <c r="B4" s="115" t="inlineStr">
        <is>
          <t>Пол</t>
        </is>
      </c>
      <c r="C4" s="115" t="inlineStr">
        <is>
          <t>Стены</t>
        </is>
      </c>
      <c r="D4" s="115" t="inlineStr">
        <is>
          <t>Потолок</t>
        </is>
      </c>
      <c r="E4" s="115" t="inlineStr">
        <is>
          <t>Запол.</t>
        </is>
      </c>
      <c r="F4" s="115" t="inlineStr">
        <is>
          <t>Мебл.</t>
        </is>
      </c>
      <c r="G4" s="115" t="inlineStr">
        <is>
          <t>Пол</t>
        </is>
      </c>
      <c r="H4" s="115" t="inlineStr">
        <is>
          <t>Стены</t>
        </is>
      </c>
      <c r="I4" s="115" t="inlineStr">
        <is>
          <t>Потолок</t>
        </is>
      </c>
      <c r="J4" s="115" t="inlineStr">
        <is>
          <t>Запол.</t>
        </is>
      </c>
      <c r="K4" s="115" t="inlineStr">
        <is>
          <t>Мебл.</t>
        </is>
      </c>
      <c r="L4" s="115" t="inlineStr">
        <is>
          <t>Пол</t>
        </is>
      </c>
      <c r="M4" s="115" t="inlineStr">
        <is>
          <t>Стены</t>
        </is>
      </c>
      <c r="N4" s="115" t="inlineStr">
        <is>
          <t>Потолок</t>
        </is>
      </c>
      <c r="O4" s="115" t="inlineStr">
        <is>
          <t>Запол.</t>
        </is>
      </c>
      <c r="P4" s="115" t="inlineStr">
        <is>
          <t>Мебл.</t>
        </is>
      </c>
      <c r="Q4" s="115" t="inlineStr">
        <is>
          <t>Пол</t>
        </is>
      </c>
      <c r="R4" s="115" t="inlineStr">
        <is>
          <t>Стены</t>
        </is>
      </c>
      <c r="S4" s="115" t="inlineStr">
        <is>
          <t>Потолок</t>
        </is>
      </c>
      <c r="T4" s="115" t="inlineStr">
        <is>
          <t>Запол.</t>
        </is>
      </c>
      <c r="U4" s="115" t="inlineStr">
        <is>
          <t>Мебл.</t>
        </is>
      </c>
      <c r="V4" s="115" t="inlineStr">
        <is>
          <t>Пол</t>
        </is>
      </c>
      <c r="W4" s="115" t="inlineStr">
        <is>
          <t>Стены</t>
        </is>
      </c>
      <c r="X4" s="115" t="inlineStr">
        <is>
          <t>Потолок</t>
        </is>
      </c>
      <c r="Y4" s="115" t="inlineStr">
        <is>
          <t>Запол.</t>
        </is>
      </c>
      <c r="Z4" s="115" t="inlineStr">
        <is>
          <t>Мебл.</t>
        </is>
      </c>
      <c r="AA4" s="115" t="inlineStr">
        <is>
          <t>Пол</t>
        </is>
      </c>
      <c r="AB4" s="115" t="inlineStr">
        <is>
          <t>Стены</t>
        </is>
      </c>
      <c r="AC4" s="115" t="inlineStr">
        <is>
          <t>Потолок</t>
        </is>
      </c>
      <c r="AD4" s="115" t="inlineStr">
        <is>
          <t>Запол.</t>
        </is>
      </c>
      <c r="AE4" s="115" t="inlineStr">
        <is>
          <t>Мебл.</t>
        </is>
      </c>
      <c r="AF4" s="115" t="inlineStr">
        <is>
          <t>Пол</t>
        </is>
      </c>
      <c r="AG4" s="115" t="inlineStr">
        <is>
          <t>Стены</t>
        </is>
      </c>
      <c r="AH4" s="115" t="inlineStr">
        <is>
          <t>Потолок</t>
        </is>
      </c>
      <c r="AI4" s="115" t="inlineStr">
        <is>
          <t>Запол.</t>
        </is>
      </c>
      <c r="AJ4" s="115" t="inlineStr">
        <is>
          <t>Мебл.</t>
        </is>
      </c>
      <c r="AK4" s="115" t="inlineStr">
        <is>
          <t>Пол</t>
        </is>
      </c>
      <c r="AL4" s="115" t="inlineStr">
        <is>
          <t>Стены</t>
        </is>
      </c>
      <c r="AM4" s="115" t="inlineStr">
        <is>
          <t>Потолок</t>
        </is>
      </c>
      <c r="AN4" s="115" t="inlineStr">
        <is>
          <t>Запол.</t>
        </is>
      </c>
      <c r="AO4" s="115" t="inlineStr">
        <is>
          <t>Мебл.</t>
        </is>
      </c>
    </row>
    <row r="5">
      <c r="A5" s="124">
        <f>СПРАВОЧНИК!$B$35</f>
        <v/>
      </c>
      <c r="B5" s="125" t="n"/>
      <c r="C5" s="125" t="n"/>
      <c r="D5" s="125" t="n"/>
      <c r="E5" s="125" t="n"/>
      <c r="F5" s="125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 t="n"/>
      <c r="AG5" s="125" t="n"/>
      <c r="AH5" s="125" t="n"/>
      <c r="AI5" s="125" t="n"/>
      <c r="AJ5" s="125" t="n"/>
      <c r="AK5" s="125">
        <f>B5+G5+L5+Q5+V5+AA5+AF5</f>
        <v/>
      </c>
      <c r="AL5" s="125">
        <f>C5+H5+M5+R5+W5+AB5+AG5</f>
        <v/>
      </c>
      <c r="AM5" s="125">
        <f>D5+I5+N5+S5+X5+AC5+AH5</f>
        <v/>
      </c>
      <c r="AN5" s="125">
        <f>E5+J5+O5+T5+Y5+AD5+AI5</f>
        <v/>
      </c>
      <c r="AO5" s="125">
        <f>F5+K5+P5+U5+Z5+AE5+AJ5</f>
        <v/>
      </c>
    </row>
    <row r="6">
      <c r="A6" s="124">
        <f>A5+7</f>
        <v/>
      </c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  <c r="AG6" s="125" t="n"/>
      <c r="AH6" s="125" t="n"/>
      <c r="AI6" s="125" t="n"/>
      <c r="AJ6" s="125" t="n"/>
      <c r="AK6" s="125">
        <f>B6+G6+L6+Q6+V6+AA6+AF6</f>
        <v/>
      </c>
      <c r="AL6" s="125">
        <f>C6+H6+M6+R6+W6+AB6+AG6</f>
        <v/>
      </c>
      <c r="AM6" s="125">
        <f>D6+I6+N6+S6+X6+AC6+AH6</f>
        <v/>
      </c>
      <c r="AN6" s="125">
        <f>E6+J6+O6+T6+Y6+AD6+AI6</f>
        <v/>
      </c>
      <c r="AO6" s="125">
        <f>F6+K6+P6+U6+Z6+AE6+AJ6</f>
        <v/>
      </c>
    </row>
    <row r="7">
      <c r="A7" s="124">
        <f>A6+7</f>
        <v/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 t="n"/>
      <c r="AG7" s="125" t="n"/>
      <c r="AH7" s="125" t="n"/>
      <c r="AI7" s="125" t="n"/>
      <c r="AJ7" s="125" t="n"/>
      <c r="AK7" s="125">
        <f>B7+G7+L7+Q7+V7+AA7+AF7</f>
        <v/>
      </c>
      <c r="AL7" s="125">
        <f>C7+H7+M7+R7+W7+AB7+AG7</f>
        <v/>
      </c>
      <c r="AM7" s="125">
        <f>D7+I7+N7+S7+X7+AC7+AH7</f>
        <v/>
      </c>
      <c r="AN7" s="125">
        <f>E7+J7+O7+T7+Y7+AD7+AI7</f>
        <v/>
      </c>
      <c r="AO7" s="125">
        <f>F7+K7+P7+U7+Z7+AE7+AJ7</f>
        <v/>
      </c>
    </row>
    <row r="8">
      <c r="A8" s="124">
        <f>A7+7</f>
        <v/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  <c r="AG8" s="125" t="n"/>
      <c r="AH8" s="125" t="n"/>
      <c r="AI8" s="125" t="n"/>
      <c r="AJ8" s="125" t="n"/>
      <c r="AK8" s="125">
        <f>B8+G8+L8+Q8+V8+AA8+AF8</f>
        <v/>
      </c>
      <c r="AL8" s="125">
        <f>C8+H8+M8+R8+W8+AB8+AG8</f>
        <v/>
      </c>
      <c r="AM8" s="125">
        <f>D8+I8+N8+S8+X8+AC8+AH8</f>
        <v/>
      </c>
      <c r="AN8" s="125">
        <f>E8+J8+O8+T8+Y8+AD8+AI8</f>
        <v/>
      </c>
      <c r="AO8" s="125">
        <f>F8+K8+P8+U8+Z8+AE8+AJ8</f>
        <v/>
      </c>
    </row>
    <row r="9">
      <c r="A9" s="124">
        <f>A8+7</f>
        <v/>
      </c>
      <c r="B9" s="125" t="n"/>
      <c r="C9" s="125" t="n"/>
      <c r="D9" s="125" t="n"/>
      <c r="E9" s="125" t="n"/>
      <c r="F9" s="125" t="n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  <c r="AG9" s="125" t="n"/>
      <c r="AH9" s="125" t="n"/>
      <c r="AI9" s="125" t="n"/>
      <c r="AJ9" s="125" t="n"/>
      <c r="AK9" s="125">
        <f>B9+G9+L9+Q9+V9+AA9+AF9</f>
        <v/>
      </c>
      <c r="AL9" s="125">
        <f>C9+H9+M9+R9+W9+AB9+AG9</f>
        <v/>
      </c>
      <c r="AM9" s="125">
        <f>D9+I9+N9+S9+X9+AC9+AH9</f>
        <v/>
      </c>
      <c r="AN9" s="125">
        <f>E9+J9+O9+T9+Y9+AD9+AI9</f>
        <v/>
      </c>
      <c r="AO9" s="125">
        <f>F9+K9+P9+U9+Z9+AE9+AJ9</f>
        <v/>
      </c>
    </row>
    <row r="10">
      <c r="A10" s="124">
        <f>A9+7</f>
        <v/>
      </c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  <c r="AG10" s="125" t="n"/>
      <c r="AH10" s="125" t="n"/>
      <c r="AI10" s="125" t="n"/>
      <c r="AJ10" s="125" t="n"/>
      <c r="AK10" s="125">
        <f>B10+G10+L10+Q10+V10+AA10+AF10</f>
        <v/>
      </c>
      <c r="AL10" s="125">
        <f>C10+H10+M10+R10+W10+AB10+AG10</f>
        <v/>
      </c>
      <c r="AM10" s="125">
        <f>D10+I10+N10+S10+X10+AC10+AH10</f>
        <v/>
      </c>
      <c r="AN10" s="125">
        <f>E10+J10+O10+T10+Y10+AD10+AI10</f>
        <v/>
      </c>
      <c r="AO10" s="125">
        <f>F10+K10+P10+U10+Z10+AE10+AJ10</f>
        <v/>
      </c>
    </row>
    <row r="11">
      <c r="A11" s="124">
        <f>A10+7</f>
        <v/>
      </c>
      <c r="B11" s="125" t="n"/>
      <c r="C11" s="125" t="n"/>
      <c r="D11" s="125" t="n"/>
      <c r="E11" s="125" t="n"/>
      <c r="F11" s="125" t="n"/>
      <c r="G11" s="125" t="n"/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  <c r="AG11" s="125" t="n"/>
      <c r="AH11" s="125" t="n"/>
      <c r="AI11" s="125" t="n"/>
      <c r="AJ11" s="125" t="n"/>
      <c r="AK11" s="125">
        <f>B11+G11+L11+Q11+V11+AA11+AF11</f>
        <v/>
      </c>
      <c r="AL11" s="125">
        <f>C11+H11+M11+R11+W11+AB11+AG11</f>
        <v/>
      </c>
      <c r="AM11" s="125">
        <f>D11+I11+N11+S11+X11+AC11+AH11</f>
        <v/>
      </c>
      <c r="AN11" s="125">
        <f>E11+J11+O11+T11+Y11+AD11+AI11</f>
        <v/>
      </c>
      <c r="AO11" s="125">
        <f>F11+K11+P11+U11+Z11+AE11+AJ11</f>
        <v/>
      </c>
    </row>
    <row r="12">
      <c r="A12" s="124">
        <f>A11+7</f>
        <v/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  <c r="AG12" s="125" t="n"/>
      <c r="AH12" s="125" t="n"/>
      <c r="AI12" s="125" t="n"/>
      <c r="AJ12" s="125" t="n"/>
      <c r="AK12" s="125">
        <f>B12+G12+L12+Q12+V12+AA12+AF12</f>
        <v/>
      </c>
      <c r="AL12" s="125">
        <f>C12+H12+M12+R12+W12+AB12+AG12</f>
        <v/>
      </c>
      <c r="AM12" s="125">
        <f>D12+I12+N12+S12+X12+AC12+AH12</f>
        <v/>
      </c>
      <c r="AN12" s="125">
        <f>E12+J12+O12+T12+Y12+AD12+AI12</f>
        <v/>
      </c>
      <c r="AO12" s="125">
        <f>F12+K12+P12+U12+Z12+AE12+AJ12</f>
        <v/>
      </c>
    </row>
    <row r="13">
      <c r="A13" s="124">
        <f>A12+7</f>
        <v/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  <c r="AG13" s="125" t="n"/>
      <c r="AH13" s="125" t="n"/>
      <c r="AI13" s="125" t="n"/>
      <c r="AJ13" s="125" t="n"/>
      <c r="AK13" s="125">
        <f>B13+G13+L13+Q13+V13+AA13+AF13</f>
        <v/>
      </c>
      <c r="AL13" s="125">
        <f>C13+H13+M13+R13+W13+AB13+AG13</f>
        <v/>
      </c>
      <c r="AM13" s="125">
        <f>D13+I13+N13+S13+X13+AC13+AH13</f>
        <v/>
      </c>
      <c r="AN13" s="125">
        <f>E13+J13+O13+T13+Y13+AD13+AI13</f>
        <v/>
      </c>
      <c r="AO13" s="125">
        <f>F13+K13+P13+U13+Z13+AE13+AJ13</f>
        <v/>
      </c>
    </row>
    <row r="14">
      <c r="A14" s="124">
        <f>A13+7</f>
        <v/>
      </c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 t="n"/>
      <c r="AG14" s="125" t="n"/>
      <c r="AH14" s="125" t="n"/>
      <c r="AI14" s="125" t="n"/>
      <c r="AJ14" s="125" t="n"/>
      <c r="AK14" s="125">
        <f>B14+G14+L14+Q14+V14+AA14+AF14</f>
        <v/>
      </c>
      <c r="AL14" s="125">
        <f>C14+H14+M14+R14+W14+AB14+AG14</f>
        <v/>
      </c>
      <c r="AM14" s="125">
        <f>D14+I14+N14+S14+X14+AC14+AH14</f>
        <v/>
      </c>
      <c r="AN14" s="125">
        <f>E14+J14+O14+T14+Y14+AD14+AI14</f>
        <v/>
      </c>
      <c r="AO14" s="125">
        <f>F14+K14+P14+U14+Z14+AE14+AJ14</f>
        <v/>
      </c>
    </row>
    <row r="15">
      <c r="A15" s="124">
        <f>A14+7</f>
        <v/>
      </c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 t="n"/>
      <c r="AG15" s="125" t="n"/>
      <c r="AH15" s="125" t="n"/>
      <c r="AI15" s="125" t="n"/>
      <c r="AJ15" s="125" t="n"/>
      <c r="AK15" s="125">
        <f>B15+G15+L15+Q15+V15+AA15+AF15</f>
        <v/>
      </c>
      <c r="AL15" s="125">
        <f>C15+H15+M15+R15+W15+AB15+AG15</f>
        <v/>
      </c>
      <c r="AM15" s="125">
        <f>D15+I15+N15+S15+X15+AC15+AH15</f>
        <v/>
      </c>
      <c r="AN15" s="125">
        <f>E15+J15+O15+T15+Y15+AD15+AI15</f>
        <v/>
      </c>
      <c r="AO15" s="125">
        <f>F15+K15+P15+U15+Z15+AE15+AJ15</f>
        <v/>
      </c>
    </row>
    <row r="16">
      <c r="A16" s="124">
        <f>A15+7</f>
        <v/>
      </c>
      <c r="B16" s="125" t="n"/>
      <c r="C16" s="125" t="n"/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 t="n"/>
      <c r="AG16" s="125" t="n"/>
      <c r="AH16" s="125" t="n"/>
      <c r="AI16" s="125" t="n"/>
      <c r="AJ16" s="125" t="n"/>
      <c r="AK16" s="125">
        <f>B16+G16+L16+Q16+V16+AA16+AF16</f>
        <v/>
      </c>
      <c r="AL16" s="125">
        <f>C16+H16+M16+R16+W16+AB16+AG16</f>
        <v/>
      </c>
      <c r="AM16" s="125">
        <f>D16+I16+N16+S16+X16+AC16+AH16</f>
        <v/>
      </c>
      <c r="AN16" s="125">
        <f>E16+J16+O16+T16+Y16+AD16+AI16</f>
        <v/>
      </c>
      <c r="AO16" s="125">
        <f>F16+K16+P16+U16+Z16+AE16+AJ16</f>
        <v/>
      </c>
    </row>
    <row r="17">
      <c r="A17" s="124">
        <f>A16+7</f>
        <v/>
      </c>
      <c r="B17" s="125" t="n"/>
      <c r="C17" s="125" t="n"/>
      <c r="D17" s="125" t="n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 t="n"/>
      <c r="AG17" s="125" t="n"/>
      <c r="AH17" s="125" t="n"/>
      <c r="AI17" s="125" t="n"/>
      <c r="AJ17" s="125" t="n"/>
      <c r="AK17" s="125">
        <f>B17+G17+L17+Q17+V17+AA17+AF17</f>
        <v/>
      </c>
      <c r="AL17" s="125">
        <f>C17+H17+M17+R17+W17+AB17+AG17</f>
        <v/>
      </c>
      <c r="AM17" s="125">
        <f>D17+I17+N17+S17+X17+AC17+AH17</f>
        <v/>
      </c>
      <c r="AN17" s="125">
        <f>E17+J17+O17+T17+Y17+AD17+AI17</f>
        <v/>
      </c>
      <c r="AO17" s="125">
        <f>F17+K17+P17+U17+Z17+AE17+AJ17</f>
        <v/>
      </c>
    </row>
    <row r="18">
      <c r="A18" s="124">
        <f>A17+7</f>
        <v/>
      </c>
      <c r="B18" s="125" t="n"/>
      <c r="C18" s="125" t="n"/>
      <c r="D18" s="125" t="n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 t="n"/>
      <c r="AG18" s="125" t="n"/>
      <c r="AH18" s="125" t="n"/>
      <c r="AI18" s="125" t="n"/>
      <c r="AJ18" s="125" t="n"/>
      <c r="AK18" s="125">
        <f>B18+G18+L18+Q18+V18+AA18+AF18</f>
        <v/>
      </c>
      <c r="AL18" s="125">
        <f>C18+H18+M18+R18+W18+AB18+AG18</f>
        <v/>
      </c>
      <c r="AM18" s="125">
        <f>D18+I18+N18+S18+X18+AC18+AH18</f>
        <v/>
      </c>
      <c r="AN18" s="125">
        <f>E18+J18+O18+T18+Y18+AD18+AI18</f>
        <v/>
      </c>
      <c r="AO18" s="125">
        <f>F18+K18+P18+U18+Z18+AE18+AJ18</f>
        <v/>
      </c>
    </row>
    <row r="19">
      <c r="A19" s="124">
        <f>A18+7</f>
        <v/>
      </c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  <c r="AG19" s="125" t="n"/>
      <c r="AH19" s="125" t="n"/>
      <c r="AI19" s="125" t="n"/>
      <c r="AJ19" s="125" t="n"/>
      <c r="AK19" s="125">
        <f>B19+G19+L19+Q19+V19+AA19+AF19</f>
        <v/>
      </c>
      <c r="AL19" s="125">
        <f>C19+H19+M19+R19+W19+AB19+AG19</f>
        <v/>
      </c>
      <c r="AM19" s="125">
        <f>D19+I19+N19+S19+X19+AC19+AH19</f>
        <v/>
      </c>
      <c r="AN19" s="125">
        <f>E19+J19+O19+T19+Y19+AD19+AI19</f>
        <v/>
      </c>
      <c r="AO19" s="125">
        <f>F19+K19+P19+U19+Z19+AE19+AJ19</f>
        <v/>
      </c>
    </row>
    <row r="20">
      <c r="A20" s="124">
        <f>A19+7</f>
        <v/>
      </c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 t="n"/>
      <c r="AG20" s="125" t="n"/>
      <c r="AH20" s="125" t="n"/>
      <c r="AI20" s="125" t="n"/>
      <c r="AJ20" s="125" t="n"/>
      <c r="AK20" s="125">
        <f>B20+G20+L20+Q20+V20+AA20+AF20</f>
        <v/>
      </c>
      <c r="AL20" s="125">
        <f>C20+H20+M20+R20+W20+AB20+AG20</f>
        <v/>
      </c>
      <c r="AM20" s="125">
        <f>D20+I20+N20+S20+X20+AC20+AH20</f>
        <v/>
      </c>
      <c r="AN20" s="125">
        <f>E20+J20+O20+T20+Y20+AD20+AI20</f>
        <v/>
      </c>
      <c r="AO20" s="125">
        <f>F20+K20+P20+U20+Z20+AE20+AJ20</f>
        <v/>
      </c>
    </row>
    <row r="21">
      <c r="A21" s="124">
        <f>A20+7</f>
        <v/>
      </c>
      <c r="B21" s="125" t="n"/>
      <c r="C21" s="125" t="n"/>
      <c r="D21" s="125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  <c r="AG21" s="125" t="n"/>
      <c r="AH21" s="125" t="n"/>
      <c r="AI21" s="125" t="n"/>
      <c r="AJ21" s="125" t="n"/>
      <c r="AK21" s="125">
        <f>B21+G21+L21+Q21+V21+AA21+AF21</f>
        <v/>
      </c>
      <c r="AL21" s="125">
        <f>C21+H21+M21+R21+W21+AB21+AG21</f>
        <v/>
      </c>
      <c r="AM21" s="125">
        <f>D21+I21+N21+S21+X21+AC21+AH21</f>
        <v/>
      </c>
      <c r="AN21" s="125">
        <f>E21+J21+O21+T21+Y21+AD21+AI21</f>
        <v/>
      </c>
      <c r="AO21" s="125">
        <f>F21+K21+P21+U21+Z21+AE21+AJ21</f>
        <v/>
      </c>
    </row>
    <row r="22">
      <c r="A22" s="124">
        <f>A21+7</f>
        <v/>
      </c>
      <c r="B22" s="125" t="n"/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  <c r="AG22" s="125" t="n"/>
      <c r="AH22" s="125" t="n"/>
      <c r="AI22" s="125" t="n"/>
      <c r="AJ22" s="125" t="n"/>
      <c r="AK22" s="125">
        <f>B22+G22+L22+Q22+V22+AA22+AF22</f>
        <v/>
      </c>
      <c r="AL22" s="125">
        <f>C22+H22+M22+R22+W22+AB22+AG22</f>
        <v/>
      </c>
      <c r="AM22" s="125">
        <f>D22+I22+N22+S22+X22+AC22+AH22</f>
        <v/>
      </c>
      <c r="AN22" s="125">
        <f>E22+J22+O22+T22+Y22+AD22+AI22</f>
        <v/>
      </c>
      <c r="AO22" s="125">
        <f>F22+K22+P22+U22+Z22+AE22+AJ22</f>
        <v/>
      </c>
    </row>
    <row r="23">
      <c r="A23" s="124">
        <f>A22+7</f>
        <v/>
      </c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  <c r="AG23" s="125" t="n"/>
      <c r="AH23" s="125" t="n"/>
      <c r="AI23" s="125" t="n"/>
      <c r="AJ23" s="125" t="n"/>
      <c r="AK23" s="125">
        <f>B23+G23+L23+Q23+V23+AA23+AF23</f>
        <v/>
      </c>
      <c r="AL23" s="125">
        <f>C23+H23+M23+R23+W23+AB23+AG23</f>
        <v/>
      </c>
      <c r="AM23" s="125">
        <f>D23+I23+N23+S23+X23+AC23+AH23</f>
        <v/>
      </c>
      <c r="AN23" s="125">
        <f>E23+J23+O23+T23+Y23+AD23+AI23</f>
        <v/>
      </c>
      <c r="AO23" s="125">
        <f>F23+K23+P23+U23+Z23+AE23+AJ23</f>
        <v/>
      </c>
    </row>
    <row r="24">
      <c r="A24" s="124">
        <f>A23+7</f>
        <v/>
      </c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 t="n"/>
      <c r="AG24" s="125" t="n"/>
      <c r="AH24" s="125" t="n"/>
      <c r="AI24" s="125" t="n"/>
      <c r="AJ24" s="125" t="n"/>
      <c r="AK24" s="125">
        <f>B24+G24+L24+Q24+V24+AA24+AF24</f>
        <v/>
      </c>
      <c r="AL24" s="125">
        <f>C24+H24+M24+R24+W24+AB24+AG24</f>
        <v/>
      </c>
      <c r="AM24" s="125">
        <f>D24+I24+N24+S24+X24+AC24+AH24</f>
        <v/>
      </c>
      <c r="AN24" s="125">
        <f>E24+J24+O24+T24+Y24+AD24+AI24</f>
        <v/>
      </c>
      <c r="AO24" s="125">
        <f>F24+K24+P24+U24+Z24+AE24+AJ24</f>
        <v/>
      </c>
    </row>
    <row r="25">
      <c r="A25" s="124">
        <f>A24+7</f>
        <v/>
      </c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  <c r="AG25" s="125" t="n"/>
      <c r="AH25" s="125" t="n"/>
      <c r="AI25" s="125" t="n"/>
      <c r="AJ25" s="125" t="n"/>
      <c r="AK25" s="125">
        <f>B25+G25+L25+Q25+V25+AA25+AF25</f>
        <v/>
      </c>
      <c r="AL25" s="125">
        <f>C25+H25+M25+R25+W25+AB25+AG25</f>
        <v/>
      </c>
      <c r="AM25" s="125">
        <f>D25+I25+N25+S25+X25+AC25+AH25</f>
        <v/>
      </c>
      <c r="AN25" s="125">
        <f>E25+J25+O25+T25+Y25+AD25+AI25</f>
        <v/>
      </c>
      <c r="AO25" s="125">
        <f>F25+K25+P25+U25+Z25+AE25+AJ25</f>
        <v/>
      </c>
    </row>
    <row r="26">
      <c r="A26" s="124">
        <f>A25+7</f>
        <v/>
      </c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 t="n"/>
      <c r="AG26" s="125" t="n"/>
      <c r="AH26" s="125" t="n"/>
      <c r="AI26" s="125" t="n"/>
      <c r="AJ26" s="125" t="n"/>
      <c r="AK26" s="125">
        <f>B26+G26+L26+Q26+V26+AA26+AF26</f>
        <v/>
      </c>
      <c r="AL26" s="125">
        <f>C26+H26+M26+R26+W26+AB26+AG26</f>
        <v/>
      </c>
      <c r="AM26" s="125">
        <f>D26+I26+N26+S26+X26+AC26+AH26</f>
        <v/>
      </c>
      <c r="AN26" s="125">
        <f>E26+J26+O26+T26+Y26+AD26+AI26</f>
        <v/>
      </c>
      <c r="AO26" s="125">
        <f>F26+K26+P26+U26+Z26+AE26+AJ26</f>
        <v/>
      </c>
    </row>
    <row r="27">
      <c r="A27" s="124">
        <f>A26+7</f>
        <v/>
      </c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 t="n"/>
      <c r="AG27" s="125" t="n"/>
      <c r="AH27" s="125" t="n"/>
      <c r="AI27" s="125" t="n"/>
      <c r="AJ27" s="125" t="n"/>
      <c r="AK27" s="125">
        <f>B27+G27+L27+Q27+V27+AA27+AF27</f>
        <v/>
      </c>
      <c r="AL27" s="125">
        <f>C27+H27+M27+R27+W27+AB27+AG27</f>
        <v/>
      </c>
      <c r="AM27" s="125">
        <f>D27+I27+N27+S27+X27+AC27+AH27</f>
        <v/>
      </c>
      <c r="AN27" s="125">
        <f>E27+J27+O27+T27+Y27+AD27+AI27</f>
        <v/>
      </c>
      <c r="AO27" s="125">
        <f>F27+K27+P27+U27+Z27+AE27+AJ27</f>
        <v/>
      </c>
    </row>
    <row r="28">
      <c r="A28" s="124">
        <f>A27+7</f>
        <v/>
      </c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 t="n"/>
      <c r="AG28" s="125" t="n"/>
      <c r="AH28" s="125" t="n"/>
      <c r="AI28" s="125" t="n"/>
      <c r="AJ28" s="125" t="n"/>
      <c r="AK28" s="125">
        <f>B28+G28+L28+Q28+V28+AA28+AF28</f>
        <v/>
      </c>
      <c r="AL28" s="125">
        <f>C28+H28+M28+R28+W28+AB28+AG28</f>
        <v/>
      </c>
      <c r="AM28" s="125">
        <f>D28+I28+N28+S28+X28+AC28+AH28</f>
        <v/>
      </c>
      <c r="AN28" s="125">
        <f>E28+J28+O28+T28+Y28+AD28+AI28</f>
        <v/>
      </c>
      <c r="AO28" s="125">
        <f>F28+K28+P28+U28+Z28+AE28+AJ28</f>
        <v/>
      </c>
    </row>
    <row r="29">
      <c r="A29" s="124">
        <f>A28+7</f>
        <v/>
      </c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 t="n"/>
      <c r="AG29" s="125" t="n"/>
      <c r="AH29" s="125" t="n"/>
      <c r="AI29" s="125" t="n"/>
      <c r="AJ29" s="125" t="n"/>
      <c r="AK29" s="125">
        <f>B29+G29+L29+Q29+V29+AA29+AF29</f>
        <v/>
      </c>
      <c r="AL29" s="125">
        <f>C29+H29+M29+R29+W29+AB29+AG29</f>
        <v/>
      </c>
      <c r="AM29" s="125">
        <f>D29+I29+N29+S29+X29+AC29+AH29</f>
        <v/>
      </c>
      <c r="AN29" s="125">
        <f>E29+J29+O29+T29+Y29+AD29+AI29</f>
        <v/>
      </c>
      <c r="AO29" s="125">
        <f>F29+K29+P29+U29+Z29+AE29+AJ29</f>
        <v/>
      </c>
    </row>
    <row r="30">
      <c r="A30" s="124">
        <f>A29+7</f>
        <v/>
      </c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 t="n"/>
      <c r="AG30" s="125" t="n"/>
      <c r="AH30" s="125" t="n"/>
      <c r="AI30" s="125" t="n"/>
      <c r="AJ30" s="125" t="n"/>
      <c r="AK30" s="125">
        <f>B30+G30+L30+Q30+V30+AA30+AF30</f>
        <v/>
      </c>
      <c r="AL30" s="125">
        <f>C30+H30+M30+R30+W30+AB30+AG30</f>
        <v/>
      </c>
      <c r="AM30" s="125">
        <f>D30+I30+N30+S30+X30+AC30+AH30</f>
        <v/>
      </c>
      <c r="AN30" s="125">
        <f>E30+J30+O30+T30+Y30+AD30+AI30</f>
        <v/>
      </c>
      <c r="AO30" s="125">
        <f>F30+K30+P30+U30+Z30+AE30+AJ30</f>
        <v/>
      </c>
    </row>
    <row r="31">
      <c r="A31" s="124">
        <f>A30+7</f>
        <v/>
      </c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 t="n"/>
      <c r="AG31" s="125" t="n"/>
      <c r="AH31" s="125" t="n"/>
      <c r="AI31" s="125" t="n"/>
      <c r="AJ31" s="125" t="n"/>
      <c r="AK31" s="125">
        <f>B31+G31+L31+Q31+V31+AA31+AF31</f>
        <v/>
      </c>
      <c r="AL31" s="125">
        <f>C31+H31+M31+R31+W31+AB31+AG31</f>
        <v/>
      </c>
      <c r="AM31" s="125">
        <f>D31+I31+N31+S31+X31+AC31+AH31</f>
        <v/>
      </c>
      <c r="AN31" s="125">
        <f>E31+J31+O31+T31+Y31+AD31+AI31</f>
        <v/>
      </c>
      <c r="AO31" s="125">
        <f>F31+K31+P31+U31+Z31+AE31+AJ31</f>
        <v/>
      </c>
    </row>
    <row r="32">
      <c r="A32" s="124">
        <f>A31+7</f>
        <v/>
      </c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 t="n"/>
      <c r="AG32" s="125" t="n"/>
      <c r="AH32" s="125" t="n"/>
      <c r="AI32" s="125" t="n"/>
      <c r="AJ32" s="125" t="n"/>
      <c r="AK32" s="125">
        <f>B32+G32+L32+Q32+V32+AA32+AF32</f>
        <v/>
      </c>
      <c r="AL32" s="125">
        <f>C32+H32+M32+R32+W32+AB32+AG32</f>
        <v/>
      </c>
      <c r="AM32" s="125">
        <f>D32+I32+N32+S32+X32+AC32+AH32</f>
        <v/>
      </c>
      <c r="AN32" s="125">
        <f>E32+J32+O32+T32+Y32+AD32+AI32</f>
        <v/>
      </c>
      <c r="AO32" s="125">
        <f>F32+K32+P32+U32+Z32+AE32+AJ32</f>
        <v/>
      </c>
    </row>
    <row r="33">
      <c r="A33" s="124">
        <f>A32+7</f>
        <v/>
      </c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 t="n"/>
      <c r="AG33" s="125" t="n"/>
      <c r="AH33" s="125" t="n"/>
      <c r="AI33" s="125" t="n"/>
      <c r="AJ33" s="125" t="n"/>
      <c r="AK33" s="125">
        <f>B33+G33+L33+Q33+V33+AA33+AF33</f>
        <v/>
      </c>
      <c r="AL33" s="125">
        <f>C33+H33+M33+R33+W33+AB33+AG33</f>
        <v/>
      </c>
      <c r="AM33" s="125">
        <f>D33+I33+N33+S33+X33+AC33+AH33</f>
        <v/>
      </c>
      <c r="AN33" s="125">
        <f>E33+J33+O33+T33+Y33+AD33+AI33</f>
        <v/>
      </c>
      <c r="AO33" s="125">
        <f>F33+K33+P33+U33+Z33+AE33+AJ33</f>
        <v/>
      </c>
    </row>
    <row r="34">
      <c r="A34" s="124">
        <f>A33+7</f>
        <v/>
      </c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 t="n"/>
      <c r="AG34" s="125" t="n"/>
      <c r="AH34" s="125" t="n"/>
      <c r="AI34" s="125" t="n"/>
      <c r="AJ34" s="125" t="n"/>
      <c r="AK34" s="125">
        <f>B34+G34+L34+Q34+V34+AA34+AF34</f>
        <v/>
      </c>
      <c r="AL34" s="125">
        <f>C34+H34+M34+R34+W34+AB34+AG34</f>
        <v/>
      </c>
      <c r="AM34" s="125">
        <f>D34+I34+N34+S34+X34+AC34+AH34</f>
        <v/>
      </c>
      <c r="AN34" s="125">
        <f>E34+J34+O34+T34+Y34+AD34+AI34</f>
        <v/>
      </c>
      <c r="AO34" s="125">
        <f>F34+K34+P34+U34+Z34+AE34+AJ34</f>
        <v/>
      </c>
    </row>
    <row r="35">
      <c r="A35" s="124">
        <f>A34+7</f>
        <v/>
      </c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 t="n"/>
      <c r="AG35" s="125" t="n"/>
      <c r="AH35" s="125" t="n"/>
      <c r="AI35" s="125" t="n"/>
      <c r="AJ35" s="125" t="n"/>
      <c r="AK35" s="125">
        <f>B35+G35+L35+Q35+V35+AA35+AF35</f>
        <v/>
      </c>
      <c r="AL35" s="125">
        <f>C35+H35+M35+R35+W35+AB35+AG35</f>
        <v/>
      </c>
      <c r="AM35" s="125">
        <f>D35+I35+N35+S35+X35+AC35+AH35</f>
        <v/>
      </c>
      <c r="AN35" s="125">
        <f>E35+J35+O35+T35+Y35+AD35+AI35</f>
        <v/>
      </c>
      <c r="AO35" s="125">
        <f>F35+K35+P35+U35+Z35+AE35+AJ35</f>
        <v/>
      </c>
    </row>
    <row r="36">
      <c r="A36" s="124">
        <f>A35+7</f>
        <v/>
      </c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  <c r="AG36" s="125" t="n"/>
      <c r="AH36" s="125" t="n"/>
      <c r="AI36" s="125" t="n"/>
      <c r="AJ36" s="125" t="n"/>
      <c r="AK36" s="125">
        <f>B36+G36+L36+Q36+V36+AA36+AF36</f>
        <v/>
      </c>
      <c r="AL36" s="125">
        <f>C36+H36+M36+R36+W36+AB36+AG36</f>
        <v/>
      </c>
      <c r="AM36" s="125">
        <f>D36+I36+N36+S36+X36+AC36+AH36</f>
        <v/>
      </c>
      <c r="AN36" s="125">
        <f>E36+J36+O36+T36+Y36+AD36+AI36</f>
        <v/>
      </c>
      <c r="AO36" s="125">
        <f>F36+K36+P36+U36+Z36+AE36+AJ36</f>
        <v/>
      </c>
    </row>
    <row r="37">
      <c r="A37" s="124">
        <f>A36+7</f>
        <v/>
      </c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  <c r="AG37" s="125" t="n"/>
      <c r="AH37" s="125" t="n"/>
      <c r="AI37" s="125" t="n"/>
      <c r="AJ37" s="125" t="n"/>
      <c r="AK37" s="125">
        <f>B37+G37+L37+Q37+V37+AA37+AF37</f>
        <v/>
      </c>
      <c r="AL37" s="125">
        <f>C37+H37+M37+R37+W37+AB37+AG37</f>
        <v/>
      </c>
      <c r="AM37" s="125">
        <f>D37+I37+N37+S37+X37+AC37+AH37</f>
        <v/>
      </c>
      <c r="AN37" s="125">
        <f>E37+J37+O37+T37+Y37+AD37+AI37</f>
        <v/>
      </c>
      <c r="AO37" s="125">
        <f>F37+K37+P37+U37+Z37+AE37+AJ37</f>
        <v/>
      </c>
    </row>
    <row r="38">
      <c r="A38" s="124">
        <f>A37+7</f>
        <v/>
      </c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  <c r="AG38" s="125" t="n"/>
      <c r="AH38" s="125" t="n"/>
      <c r="AI38" s="125" t="n"/>
      <c r="AJ38" s="125" t="n"/>
      <c r="AK38" s="125">
        <f>B38+G38+L38+Q38+V38+AA38+AF38</f>
        <v/>
      </c>
      <c r="AL38" s="125">
        <f>C38+H38+M38+R38+W38+AB38+AG38</f>
        <v/>
      </c>
      <c r="AM38" s="125">
        <f>D38+I38+N38+S38+X38+AC38+AH38</f>
        <v/>
      </c>
      <c r="AN38" s="125">
        <f>E38+J38+O38+T38+Y38+AD38+AI38</f>
        <v/>
      </c>
      <c r="AO38" s="125">
        <f>F38+K38+P38+U38+Z38+AE38+AJ38</f>
        <v/>
      </c>
    </row>
    <row r="39">
      <c r="A39" s="124">
        <f>A38+7</f>
        <v/>
      </c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  <c r="AG39" s="125" t="n"/>
      <c r="AH39" s="125" t="n"/>
      <c r="AI39" s="125" t="n"/>
      <c r="AJ39" s="125" t="n"/>
      <c r="AK39" s="125">
        <f>B39+G39+L39+Q39+V39+AA39+AF39</f>
        <v/>
      </c>
      <c r="AL39" s="125">
        <f>C39+H39+M39+R39+W39+AB39+AG39</f>
        <v/>
      </c>
      <c r="AM39" s="125">
        <f>D39+I39+N39+S39+X39+AC39+AH39</f>
        <v/>
      </c>
      <c r="AN39" s="125">
        <f>E39+J39+O39+T39+Y39+AD39+AI39</f>
        <v/>
      </c>
      <c r="AO39" s="125">
        <f>F39+K39+P39+U39+Z39+AE39+AJ39</f>
        <v/>
      </c>
    </row>
    <row r="40">
      <c r="A40" s="124">
        <f>A39+7</f>
        <v/>
      </c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  <c r="AG40" s="125" t="n"/>
      <c r="AH40" s="125" t="n"/>
      <c r="AI40" s="125" t="n"/>
      <c r="AJ40" s="125" t="n"/>
      <c r="AK40" s="125">
        <f>B40+G40+L40+Q40+V40+AA40+AF40</f>
        <v/>
      </c>
      <c r="AL40" s="125">
        <f>C40+H40+M40+R40+W40+AB40+AG40</f>
        <v/>
      </c>
      <c r="AM40" s="125">
        <f>D40+I40+N40+S40+X40+AC40+AH40</f>
        <v/>
      </c>
      <c r="AN40" s="125">
        <f>E40+J40+O40+T40+Y40+AD40+AI40</f>
        <v/>
      </c>
      <c r="AO40" s="125">
        <f>F40+K40+P40+U40+Z40+AE40+AJ40</f>
        <v/>
      </c>
    </row>
    <row r="41">
      <c r="A41" s="124">
        <f>A40+7</f>
        <v/>
      </c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 t="n"/>
      <c r="AG41" s="125" t="n"/>
      <c r="AH41" s="125" t="n"/>
      <c r="AI41" s="125" t="n"/>
      <c r="AJ41" s="125" t="n"/>
      <c r="AK41" s="125">
        <f>B41+G41+L41+Q41+V41+AA41+AF41</f>
        <v/>
      </c>
      <c r="AL41" s="125">
        <f>C41+H41+M41+R41+W41+AB41+AG41</f>
        <v/>
      </c>
      <c r="AM41" s="125">
        <f>D41+I41+N41+S41+X41+AC41+AH41</f>
        <v/>
      </c>
      <c r="AN41" s="125">
        <f>E41+J41+O41+T41+Y41+AD41+AI41</f>
        <v/>
      </c>
      <c r="AO41" s="125">
        <f>F41+K41+P41+U41+Z41+AE41+AJ41</f>
        <v/>
      </c>
    </row>
    <row r="42">
      <c r="A42" s="124">
        <f>A41+7</f>
        <v/>
      </c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  <c r="AG42" s="125" t="n"/>
      <c r="AH42" s="125" t="n"/>
      <c r="AI42" s="125" t="n"/>
      <c r="AJ42" s="125" t="n"/>
      <c r="AK42" s="125">
        <f>B42+G42+L42+Q42+V42+AA42+AF42</f>
        <v/>
      </c>
      <c r="AL42" s="125">
        <f>C42+H42+M42+R42+W42+AB42+AG42</f>
        <v/>
      </c>
      <c r="AM42" s="125">
        <f>D42+I42+N42+S42+X42+AC42+AH42</f>
        <v/>
      </c>
      <c r="AN42" s="125">
        <f>E42+J42+O42+T42+Y42+AD42+AI42</f>
        <v/>
      </c>
      <c r="AO42" s="125">
        <f>F42+K42+P42+U42+Z42+AE42+AJ42</f>
        <v/>
      </c>
    </row>
    <row r="43">
      <c r="A43" s="124">
        <f>A42+7</f>
        <v/>
      </c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  <c r="AG43" s="125" t="n"/>
      <c r="AH43" s="125" t="n"/>
      <c r="AI43" s="125" t="n"/>
      <c r="AJ43" s="125" t="n"/>
      <c r="AK43" s="125">
        <f>B43+G43+L43+Q43+V43+AA43+AF43</f>
        <v/>
      </c>
      <c r="AL43" s="125">
        <f>C43+H43+M43+R43+W43+AB43+AG43</f>
        <v/>
      </c>
      <c r="AM43" s="125">
        <f>D43+I43+N43+S43+X43+AC43+AH43</f>
        <v/>
      </c>
      <c r="AN43" s="125">
        <f>E43+J43+O43+T43+Y43+AD43+AI43</f>
        <v/>
      </c>
      <c r="AO43" s="125">
        <f>F43+K43+P43+U43+Z43+AE43+AJ43</f>
        <v/>
      </c>
    </row>
    <row r="44">
      <c r="A44" s="124">
        <f>A43+7</f>
        <v/>
      </c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  <c r="AG44" s="125" t="n"/>
      <c r="AH44" s="125" t="n"/>
      <c r="AI44" s="125" t="n"/>
      <c r="AJ44" s="125" t="n"/>
      <c r="AK44" s="125">
        <f>B44+G44+L44+Q44+V44+AA44+AF44</f>
        <v/>
      </c>
      <c r="AL44" s="125">
        <f>C44+H44+M44+R44+W44+AB44+AG44</f>
        <v/>
      </c>
      <c r="AM44" s="125">
        <f>D44+I44+N44+S44+X44+AC44+AH44</f>
        <v/>
      </c>
      <c r="AN44" s="125">
        <f>E44+J44+O44+T44+Y44+AD44+AI44</f>
        <v/>
      </c>
      <c r="AO44" s="125">
        <f>F44+K44+P44+U44+Z44+AE44+AJ44</f>
        <v/>
      </c>
    </row>
    <row r="45">
      <c r="A45" s="124">
        <f>A44+7</f>
        <v/>
      </c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 t="n"/>
      <c r="AG45" s="125" t="n"/>
      <c r="AH45" s="125" t="n"/>
      <c r="AI45" s="125" t="n"/>
      <c r="AJ45" s="125" t="n"/>
      <c r="AK45" s="125">
        <f>B45+G45+L45+Q45+V45+AA45+AF45</f>
        <v/>
      </c>
      <c r="AL45" s="125">
        <f>C45+H45+M45+R45+W45+AB45+AG45</f>
        <v/>
      </c>
      <c r="AM45" s="125">
        <f>D45+I45+N45+S45+X45+AC45+AH45</f>
        <v/>
      </c>
      <c r="AN45" s="125">
        <f>E45+J45+O45+T45+Y45+AD45+AI45</f>
        <v/>
      </c>
      <c r="AO45" s="125">
        <f>F45+K45+P45+U45+Z45+AE45+AJ45</f>
        <v/>
      </c>
    </row>
    <row r="46">
      <c r="A46" s="124">
        <f>A45+7</f>
        <v/>
      </c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 t="n"/>
      <c r="AG46" s="125" t="n"/>
      <c r="AH46" s="125" t="n"/>
      <c r="AI46" s="125" t="n"/>
      <c r="AJ46" s="125" t="n"/>
      <c r="AK46" s="125">
        <f>B46+G46+L46+Q46+V46+AA46+AF46</f>
        <v/>
      </c>
      <c r="AL46" s="125">
        <f>C46+H46+M46+R46+W46+AB46+AG46</f>
        <v/>
      </c>
      <c r="AM46" s="125">
        <f>D46+I46+N46+S46+X46+AC46+AH46</f>
        <v/>
      </c>
      <c r="AN46" s="125">
        <f>E46+J46+O46+T46+Y46+AD46+AI46</f>
        <v/>
      </c>
      <c r="AO46" s="125">
        <f>F46+K46+P46+U46+Z46+AE46+AJ46</f>
        <v/>
      </c>
    </row>
    <row r="47">
      <c r="A47" s="124">
        <f>A46+7</f>
        <v/>
      </c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 t="n"/>
      <c r="AG47" s="125" t="n"/>
      <c r="AH47" s="125" t="n"/>
      <c r="AI47" s="125" t="n"/>
      <c r="AJ47" s="125" t="n"/>
      <c r="AK47" s="125">
        <f>B47+G47+L47+Q47+V47+AA47+AF47</f>
        <v/>
      </c>
      <c r="AL47" s="125">
        <f>C47+H47+M47+R47+W47+AB47+AG47</f>
        <v/>
      </c>
      <c r="AM47" s="125">
        <f>D47+I47+N47+S47+X47+AC47+AH47</f>
        <v/>
      </c>
      <c r="AN47" s="125">
        <f>E47+J47+O47+T47+Y47+AD47+AI47</f>
        <v/>
      </c>
      <c r="AO47" s="125">
        <f>F47+K47+P47+U47+Z47+AE47+AJ47</f>
        <v/>
      </c>
    </row>
    <row r="48">
      <c r="A48" s="124">
        <f>A47+7</f>
        <v/>
      </c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  <c r="AG48" s="125" t="n"/>
      <c r="AH48" s="125" t="n"/>
      <c r="AI48" s="125" t="n"/>
      <c r="AJ48" s="125" t="n"/>
      <c r="AK48" s="125">
        <f>B48+G48+L48+Q48+V48+AA48+AF48</f>
        <v/>
      </c>
      <c r="AL48" s="125">
        <f>C48+H48+M48+R48+W48+AB48+AG48</f>
        <v/>
      </c>
      <c r="AM48" s="125">
        <f>D48+I48+N48+S48+X48+AC48+AH48</f>
        <v/>
      </c>
      <c r="AN48" s="125">
        <f>E48+J48+O48+T48+Y48+AD48+AI48</f>
        <v/>
      </c>
      <c r="AO48" s="125">
        <f>F48+K48+P48+U48+Z48+AE48+AJ48</f>
        <v/>
      </c>
    </row>
    <row r="49">
      <c r="A49" s="124">
        <f>A48+7</f>
        <v/>
      </c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 t="n"/>
      <c r="AG49" s="125" t="n"/>
      <c r="AH49" s="125" t="n"/>
      <c r="AI49" s="125" t="n"/>
      <c r="AJ49" s="125" t="n"/>
      <c r="AK49" s="125">
        <f>B49+G49+L49+Q49+V49+AA49+AF49</f>
        <v/>
      </c>
      <c r="AL49" s="125">
        <f>C49+H49+M49+R49+W49+AB49+AG49</f>
        <v/>
      </c>
      <c r="AM49" s="125">
        <f>D49+I49+N49+S49+X49+AC49+AH49</f>
        <v/>
      </c>
      <c r="AN49" s="125">
        <f>E49+J49+O49+T49+Y49+AD49+AI49</f>
        <v/>
      </c>
      <c r="AO49" s="125">
        <f>F49+K49+P49+U49+Z49+AE49+AJ49</f>
        <v/>
      </c>
    </row>
    <row r="50">
      <c r="A50" s="124">
        <f>A49+7</f>
        <v/>
      </c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 t="n"/>
      <c r="AG50" s="125" t="n"/>
      <c r="AH50" s="125" t="n"/>
      <c r="AI50" s="125" t="n"/>
      <c r="AJ50" s="125" t="n"/>
      <c r="AK50" s="125">
        <f>B50+G50+L50+Q50+V50+AA50+AF50</f>
        <v/>
      </c>
      <c r="AL50" s="125">
        <f>C50+H50+M50+R50+W50+AB50+AG50</f>
        <v/>
      </c>
      <c r="AM50" s="125">
        <f>D50+I50+N50+S50+X50+AC50+AH50</f>
        <v/>
      </c>
      <c r="AN50" s="125">
        <f>E50+J50+O50+T50+Y50+AD50+AI50</f>
        <v/>
      </c>
      <c r="AO50" s="125">
        <f>F50+K50+P50+U50+Z50+AE50+AJ50</f>
        <v/>
      </c>
    </row>
    <row r="51">
      <c r="A51" s="124">
        <f>A50+7</f>
        <v/>
      </c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 t="n"/>
      <c r="AG51" s="125" t="n"/>
      <c r="AH51" s="125" t="n"/>
      <c r="AI51" s="125" t="n"/>
      <c r="AJ51" s="125" t="n"/>
      <c r="AK51" s="125">
        <f>B51+G51+L51+Q51+V51+AA51+AF51</f>
        <v/>
      </c>
      <c r="AL51" s="125">
        <f>C51+H51+M51+R51+W51+AB51+AG51</f>
        <v/>
      </c>
      <c r="AM51" s="125">
        <f>D51+I51+N51+S51+X51+AC51+AH51</f>
        <v/>
      </c>
      <c r="AN51" s="125">
        <f>E51+J51+O51+T51+Y51+AD51+AI51</f>
        <v/>
      </c>
      <c r="AO51" s="125">
        <f>F51+K51+P51+U51+Z51+AE51+AJ51</f>
        <v/>
      </c>
    </row>
    <row r="52">
      <c r="A52" s="124">
        <f>A51+7</f>
        <v/>
      </c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 t="n"/>
      <c r="AG52" s="125" t="n"/>
      <c r="AH52" s="125" t="n"/>
      <c r="AI52" s="125" t="n"/>
      <c r="AJ52" s="125" t="n"/>
      <c r="AK52" s="125">
        <f>B52+G52+L52+Q52+V52+AA52+AF52</f>
        <v/>
      </c>
      <c r="AL52" s="125">
        <f>C52+H52+M52+R52+W52+AB52+AG52</f>
        <v/>
      </c>
      <c r="AM52" s="125">
        <f>D52+I52+N52+S52+X52+AC52+AH52</f>
        <v/>
      </c>
      <c r="AN52" s="125">
        <f>E52+J52+O52+T52+Y52+AD52+AI52</f>
        <v/>
      </c>
      <c r="AO52" s="125">
        <f>F52+K52+P52+U52+Z52+AE52+AJ52</f>
        <v/>
      </c>
    </row>
  </sheetData>
  <mergeCells count="11">
    <mergeCell ref="G3:K3"/>
    <mergeCell ref="V3:Z3"/>
    <mergeCell ref="AF3:AJ3"/>
    <mergeCell ref="A2:A4"/>
    <mergeCell ref="Q3:U3"/>
    <mergeCell ref="B3:F3"/>
    <mergeCell ref="AK3:AO3"/>
    <mergeCell ref="L3:P3"/>
    <mergeCell ref="AA3:AE3"/>
    <mergeCell ref="A1:AO1"/>
    <mergeCell ref="B2:AJ2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W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BF8F00"/>
    <outlinePr summaryBelow="1" summaryRight="1"/>
    <pageSetUpPr/>
  </sheetPr>
  <dimension ref="A1:W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S1"/>
    </sheetView>
  </sheetViews>
  <sheetFormatPr baseColWidth="8" defaultRowHeight="15"/>
  <cols>
    <col width="12" customWidth="1" style="102" min="1" max="1"/>
    <col width="10" customWidth="1" style="102" min="2" max="23"/>
  </cols>
  <sheetData>
    <row r="1">
      <c r="A1" s="101" t="inlineStr">
        <is>
          <t>ФАКТ ЧЕРН ПОДЗЕМ</t>
        </is>
      </c>
      <c r="U1" s="107" t="inlineStr">
        <is>
          <t>Итого подзем.</t>
        </is>
      </c>
    </row>
    <row r="2">
      <c r="A2" s="108" t="inlineStr">
        <is>
          <t>Дата</t>
        </is>
      </c>
      <c r="B2" s="104" t="inlineStr">
        <is>
          <t>Подземная часть</t>
        </is>
      </c>
      <c r="C2" s="105" t="n"/>
      <c r="D2" s="105" t="n"/>
      <c r="E2" s="105" t="n"/>
      <c r="F2" s="105" t="n"/>
      <c r="G2" s="105" t="n"/>
      <c r="H2" s="105" t="n"/>
      <c r="I2" s="105" t="n"/>
      <c r="J2" s="105" t="n"/>
      <c r="K2" s="105" t="n"/>
      <c r="L2" s="105" t="n"/>
      <c r="M2" s="105" t="n"/>
      <c r="N2" s="105" t="n"/>
      <c r="O2" s="105" t="n"/>
      <c r="P2" s="105" t="n"/>
      <c r="Q2" s="105" t="n"/>
      <c r="R2" s="105" t="n"/>
      <c r="S2" s="106" t="n"/>
    </row>
    <row r="3">
      <c r="A3" s="109" t="n"/>
      <c r="B3" s="104" t="inlineStr">
        <is>
          <t>8.1.1 Отделка паркинг и рампы</t>
        </is>
      </c>
      <c r="C3" s="105" t="n"/>
      <c r="D3" s="106" t="n"/>
      <c r="E3" s="104" t="inlineStr">
        <is>
          <t>8.1.2 Отделка эвакуац. лестн. клетки подзем.</t>
        </is>
      </c>
      <c r="F3" s="105" t="n"/>
      <c r="G3" s="106" t="n"/>
      <c r="H3" s="104" t="inlineStr">
        <is>
          <t>8.1.3 Лифт. холлы, тамбур-шлюзы подзем.</t>
        </is>
      </c>
      <c r="I3" s="105" t="n"/>
      <c r="J3" s="106" t="n"/>
      <c r="K3" s="104" t="inlineStr">
        <is>
          <t>8.1.4 Технич. помещения подзем.</t>
        </is>
      </c>
      <c r="L3" s="105" t="n"/>
      <c r="M3" s="106" t="n"/>
      <c r="N3" s="104" t="inlineStr">
        <is>
          <t>8.1.5 Прочие помещения подзем.</t>
        </is>
      </c>
      <c r="O3" s="105" t="n"/>
      <c r="P3" s="106" t="n"/>
      <c r="Q3" s="104" t="inlineStr">
        <is>
          <t>8.1.6 Коммерч. помещения подзем.</t>
        </is>
      </c>
      <c r="R3" s="105" t="n"/>
      <c r="S3" s="106" t="n"/>
      <c r="U3" s="29" t="inlineStr">
        <is>
          <t>Пол</t>
        </is>
      </c>
      <c r="V3" s="29" t="inlineStr">
        <is>
          <t>Стены</t>
        </is>
      </c>
      <c r="W3" s="29" t="inlineStr">
        <is>
          <t>Потолок</t>
        </is>
      </c>
    </row>
    <row r="4">
      <c r="B4" s="104" t="inlineStr">
        <is>
          <t>Пол</t>
        </is>
      </c>
      <c r="C4" s="104" t="inlineStr">
        <is>
          <t>Стены</t>
        </is>
      </c>
      <c r="D4" s="104" t="inlineStr">
        <is>
          <t>Потолок</t>
        </is>
      </c>
      <c r="E4" s="104" t="inlineStr">
        <is>
          <t>Пол</t>
        </is>
      </c>
      <c r="F4" s="104" t="inlineStr">
        <is>
          <t>Стены</t>
        </is>
      </c>
      <c r="G4" s="104" t="inlineStr">
        <is>
          <t>Потолок</t>
        </is>
      </c>
      <c r="H4" s="104" t="inlineStr">
        <is>
          <t>Пол</t>
        </is>
      </c>
      <c r="I4" s="104" t="inlineStr">
        <is>
          <t>Стены</t>
        </is>
      </c>
      <c r="J4" s="104" t="inlineStr">
        <is>
          <t>Потолок</t>
        </is>
      </c>
      <c r="K4" s="104" t="inlineStr">
        <is>
          <t>Пол</t>
        </is>
      </c>
      <c r="L4" s="104" t="inlineStr">
        <is>
          <t>Стены</t>
        </is>
      </c>
      <c r="M4" s="104" t="inlineStr">
        <is>
          <t>Потолок</t>
        </is>
      </c>
      <c r="N4" s="104" t="inlineStr">
        <is>
          <t>Пол</t>
        </is>
      </c>
      <c r="O4" s="104" t="inlineStr">
        <is>
          <t>Стены</t>
        </is>
      </c>
      <c r="P4" s="104" t="inlineStr">
        <is>
          <t>Потолок</t>
        </is>
      </c>
      <c r="Q4" s="104" t="inlineStr">
        <is>
          <t>Пол</t>
        </is>
      </c>
      <c r="R4" s="104" t="inlineStr">
        <is>
          <t>Стены</t>
        </is>
      </c>
      <c r="S4" s="104" t="inlineStr">
        <is>
          <t>Потолок</t>
        </is>
      </c>
      <c r="U4" s="30" t="n"/>
      <c r="V4" s="30" t="n"/>
      <c r="W4" s="30" t="n"/>
    </row>
    <row r="5">
      <c r="A5" s="17">
        <f>СПРАВОЧНИК!$B$35</f>
        <v/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U5" s="32">
        <f>B5+E5+H5+K5+N5+Q5</f>
        <v/>
      </c>
      <c r="V5" s="32">
        <f>C5+F5+I5+L5+O5+R5</f>
        <v/>
      </c>
      <c r="W5" s="32">
        <f>D5+G5+J5+M5+P5+S5</f>
        <v/>
      </c>
    </row>
    <row r="6">
      <c r="A6" s="17">
        <f>A5+7</f>
        <v/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U6" s="32">
        <f>B6+E6+H6+K6+N6+Q6</f>
        <v/>
      </c>
      <c r="V6" s="32">
        <f>C6+F6+I6+L6+O6+R6</f>
        <v/>
      </c>
      <c r="W6" s="32">
        <f>D6+G6+J6+M6+P6+S6</f>
        <v/>
      </c>
    </row>
    <row r="7">
      <c r="A7" s="17">
        <f>A6+7</f>
        <v/>
      </c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U7" s="32">
        <f>B7+E7+H7+K7+N7+Q7</f>
        <v/>
      </c>
      <c r="V7" s="32">
        <f>C7+F7+I7+L7+O7+R7</f>
        <v/>
      </c>
      <c r="W7" s="32">
        <f>D7+G7+J7+M7+P7+S7</f>
        <v/>
      </c>
    </row>
    <row r="8">
      <c r="A8" s="17">
        <f>A7+7</f>
        <v/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U8" s="32">
        <f>B8+E8+H8+K8+N8+Q8</f>
        <v/>
      </c>
      <c r="V8" s="32">
        <f>C8+F8+I8+L8+O8+R8</f>
        <v/>
      </c>
      <c r="W8" s="32">
        <f>D8+G8+J8+M8+P8+S8</f>
        <v/>
      </c>
    </row>
    <row r="9">
      <c r="A9" s="17">
        <f>A8+7</f>
        <v/>
      </c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U9" s="32">
        <f>B9+E9+H9+K9+N9+Q9</f>
        <v/>
      </c>
      <c r="V9" s="32">
        <f>C9+F9+I9+L9+O9+R9</f>
        <v/>
      </c>
      <c r="W9" s="32">
        <f>D9+G9+J9+M9+P9+S9</f>
        <v/>
      </c>
    </row>
    <row r="10">
      <c r="A10" s="17">
        <f>A9+7</f>
        <v/>
      </c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U10" s="32">
        <f>B10+E10+H10+K10+N10+Q10</f>
        <v/>
      </c>
      <c r="V10" s="32">
        <f>C10+F10+I10+L10+O10+R10</f>
        <v/>
      </c>
      <c r="W10" s="32">
        <f>D10+G10+J10+M10+P10+S10</f>
        <v/>
      </c>
    </row>
    <row r="11">
      <c r="A11" s="17">
        <f>A10+7</f>
        <v/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U11" s="32">
        <f>B11+E11+H11+K11+N11+Q11</f>
        <v/>
      </c>
      <c r="V11" s="32">
        <f>C11+F11+I11+L11+O11+R11</f>
        <v/>
      </c>
      <c r="W11" s="32">
        <f>D11+G11+J11+M11+P11+S11</f>
        <v/>
      </c>
    </row>
    <row r="12">
      <c r="A12" s="17">
        <f>A11+7</f>
        <v/>
      </c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U12" s="32">
        <f>B12+E12+H12+K12+N12+Q12</f>
        <v/>
      </c>
      <c r="V12" s="32">
        <f>C12+F12+I12+L12+O12+R12</f>
        <v/>
      </c>
      <c r="W12" s="32">
        <f>D12+G12+J12+M12+P12+S12</f>
        <v/>
      </c>
    </row>
    <row r="13">
      <c r="A13" s="17">
        <f>A12+7</f>
        <v/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U13" s="32">
        <f>B13+E13+H13+K13+N13+Q13</f>
        <v/>
      </c>
      <c r="V13" s="32">
        <f>C13+F13+I13+L13+O13+R13</f>
        <v/>
      </c>
      <c r="W13" s="32">
        <f>D13+G13+J13+M13+P13+S13</f>
        <v/>
      </c>
    </row>
    <row r="14">
      <c r="A14" s="17">
        <f>A13+7</f>
        <v/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U14" s="32">
        <f>B14+E14+H14+K14+N14+Q14</f>
        <v/>
      </c>
      <c r="V14" s="32">
        <f>C14+F14+I14+L14+O14+R14</f>
        <v/>
      </c>
      <c r="W14" s="32">
        <f>D14+G14+J14+M14+P14+S14</f>
        <v/>
      </c>
    </row>
    <row r="15">
      <c r="A15" s="17">
        <f>A14+7</f>
        <v/>
      </c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U15" s="32">
        <f>B15+E15+H15+K15+N15+Q15</f>
        <v/>
      </c>
      <c r="V15" s="32">
        <f>C15+F15+I15+L15+O15+R15</f>
        <v/>
      </c>
      <c r="W15" s="32">
        <f>D15+G15+J15+M15+P15+S15</f>
        <v/>
      </c>
    </row>
    <row r="16">
      <c r="A16" s="17">
        <f>A15+7</f>
        <v/>
      </c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U16" s="32">
        <f>B16+E16+H16+K16+N16+Q16</f>
        <v/>
      </c>
      <c r="V16" s="32">
        <f>C16+F16+I16+L16+O16+R16</f>
        <v/>
      </c>
      <c r="W16" s="32">
        <f>D16+G16+J16+M16+P16+S16</f>
        <v/>
      </c>
    </row>
    <row r="17">
      <c r="A17" s="17">
        <f>A16+7</f>
        <v/>
      </c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U17" s="32">
        <f>B17+E17+H17+K17+N17+Q17</f>
        <v/>
      </c>
      <c r="V17" s="32">
        <f>C17+F17+I17+L17+O17+R17</f>
        <v/>
      </c>
      <c r="W17" s="32">
        <f>D17+G17+J17+M17+P17+S17</f>
        <v/>
      </c>
    </row>
    <row r="18">
      <c r="A18" s="17">
        <f>A17+7</f>
        <v/>
      </c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U18" s="32">
        <f>B18+E18+H18+K18+N18+Q18</f>
        <v/>
      </c>
      <c r="V18" s="32">
        <f>C18+F18+I18+L18+O18+R18</f>
        <v/>
      </c>
      <c r="W18" s="32">
        <f>D18+G18+J18+M18+P18+S18</f>
        <v/>
      </c>
    </row>
    <row r="19">
      <c r="A19" s="17">
        <f>A18+7</f>
        <v/>
      </c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U19" s="32">
        <f>B19+E19+H19+K19+N19+Q19</f>
        <v/>
      </c>
      <c r="V19" s="32">
        <f>C19+F19+I19+L19+O19+R19</f>
        <v/>
      </c>
      <c r="W19" s="32">
        <f>D19+G19+J19+M19+P19+S19</f>
        <v/>
      </c>
    </row>
    <row r="20">
      <c r="A20" s="17">
        <f>A19+7</f>
        <v/>
      </c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U20" s="32">
        <f>B20+E20+H20+K20+N20+Q20</f>
        <v/>
      </c>
      <c r="V20" s="32">
        <f>C20+F20+I20+L20+O20+R20</f>
        <v/>
      </c>
      <c r="W20" s="32">
        <f>D20+G20+J20+M20+P20+S20</f>
        <v/>
      </c>
    </row>
    <row r="21">
      <c r="A21" s="17">
        <f>A20+7</f>
        <v/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U21" s="32">
        <f>B21+E21+H21+K21+N21+Q21</f>
        <v/>
      </c>
      <c r="V21" s="32">
        <f>C21+F21+I21+L21+O21+R21</f>
        <v/>
      </c>
      <c r="W21" s="32">
        <f>D21+G21+J21+M21+P21+S21</f>
        <v/>
      </c>
    </row>
    <row r="22">
      <c r="A22" s="17">
        <f>A21+7</f>
        <v/>
      </c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U22" s="32">
        <f>B22+E22+H22+K22+N22+Q22</f>
        <v/>
      </c>
      <c r="V22" s="32">
        <f>C22+F22+I22+L22+O22+R22</f>
        <v/>
      </c>
      <c r="W22" s="32">
        <f>D22+G22+J22+M22+P22+S22</f>
        <v/>
      </c>
    </row>
    <row r="23">
      <c r="A23" s="17">
        <f>A22+7</f>
        <v/>
      </c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U23" s="32">
        <f>B23+E23+H23+K23+N23+Q23</f>
        <v/>
      </c>
      <c r="V23" s="32">
        <f>C23+F23+I23+L23+O23+R23</f>
        <v/>
      </c>
      <c r="W23" s="32">
        <f>D23+G23+J23+M23+P23+S23</f>
        <v/>
      </c>
    </row>
    <row r="24">
      <c r="A24" s="17">
        <f>A23+7</f>
        <v/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U24" s="32">
        <f>B24+E24+H24+K24+N24+Q24</f>
        <v/>
      </c>
      <c r="V24" s="32">
        <f>C24+F24+I24+L24+O24+R24</f>
        <v/>
      </c>
      <c r="W24" s="32">
        <f>D24+G24+J24+M24+P24+S24</f>
        <v/>
      </c>
    </row>
    <row r="25">
      <c r="A25" s="17">
        <f>A24+7</f>
        <v/>
      </c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U25" s="32">
        <f>B25+E25+H25+K25+N25+Q25</f>
        <v/>
      </c>
      <c r="V25" s="32">
        <f>C25+F25+I25+L25+O25+R25</f>
        <v/>
      </c>
      <c r="W25" s="32">
        <f>D25+G25+J25+M25+P25+S25</f>
        <v/>
      </c>
    </row>
    <row r="26">
      <c r="A26" s="17">
        <f>A25+7</f>
        <v/>
      </c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U26" s="32">
        <f>B26+E26+H26+K26+N26+Q26</f>
        <v/>
      </c>
      <c r="V26" s="32">
        <f>C26+F26+I26+L26+O26+R26</f>
        <v/>
      </c>
      <c r="W26" s="32">
        <f>D26+G26+J26+M26+P26+S26</f>
        <v/>
      </c>
    </row>
    <row r="27">
      <c r="A27" s="17">
        <f>A26+7</f>
        <v/>
      </c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U27" s="32">
        <f>B27+E27+H27+K27+N27+Q27</f>
        <v/>
      </c>
      <c r="V27" s="32">
        <f>C27+F27+I27+L27+O27+R27</f>
        <v/>
      </c>
      <c r="W27" s="32">
        <f>D27+G27+J27+M27+P27+S27</f>
        <v/>
      </c>
    </row>
    <row r="28">
      <c r="A28" s="17">
        <f>A27+7</f>
        <v/>
      </c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U28" s="32">
        <f>B28+E28+H28+K28+N28+Q28</f>
        <v/>
      </c>
      <c r="V28" s="32">
        <f>C28+F28+I28+L28+O28+R28</f>
        <v/>
      </c>
      <c r="W28" s="32">
        <f>D28+G28+J28+M28+P28+S28</f>
        <v/>
      </c>
    </row>
    <row r="29">
      <c r="A29" s="17">
        <f>A28+7</f>
        <v/>
      </c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U29" s="32">
        <f>B29+E29+H29+K29+N29+Q29</f>
        <v/>
      </c>
      <c r="V29" s="32">
        <f>C29+F29+I29+L29+O29+R29</f>
        <v/>
      </c>
      <c r="W29" s="32">
        <f>D29+G29+J29+M29+P29+S29</f>
        <v/>
      </c>
    </row>
    <row r="30">
      <c r="A30" s="17">
        <f>A29+7</f>
        <v/>
      </c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U30" s="32">
        <f>B30+E30+H30+K30+N30+Q30</f>
        <v/>
      </c>
      <c r="V30" s="32">
        <f>C30+F30+I30+L30+O30+R30</f>
        <v/>
      </c>
      <c r="W30" s="32">
        <f>D30+G30+J30+M30+P30+S30</f>
        <v/>
      </c>
    </row>
    <row r="31">
      <c r="A31" s="17">
        <f>A30+7</f>
        <v/>
      </c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U31" s="32">
        <f>B31+E31+H31+K31+N31+Q31</f>
        <v/>
      </c>
      <c r="V31" s="32">
        <f>C31+F31+I31+L31+O31+R31</f>
        <v/>
      </c>
      <c r="W31" s="32">
        <f>D31+G31+J31+M31+P31+S31</f>
        <v/>
      </c>
    </row>
    <row r="32">
      <c r="A32" s="17">
        <f>A31+7</f>
        <v/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U32" s="32">
        <f>B32+E32+H32+K32+N32+Q32</f>
        <v/>
      </c>
      <c r="V32" s="32">
        <f>C32+F32+I32+L32+O32+R32</f>
        <v/>
      </c>
      <c r="W32" s="32">
        <f>D32+G32+J32+M32+P32+S32</f>
        <v/>
      </c>
    </row>
    <row r="33">
      <c r="A33" s="17">
        <f>A32+7</f>
        <v/>
      </c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U33" s="32">
        <f>B33+E33+H33+K33+N33+Q33</f>
        <v/>
      </c>
      <c r="V33" s="32">
        <f>C33+F33+I33+L33+O33+R33</f>
        <v/>
      </c>
      <c r="W33" s="32">
        <f>D33+G33+J33+M33+P33+S33</f>
        <v/>
      </c>
    </row>
    <row r="34">
      <c r="A34" s="17">
        <f>A33+7</f>
        <v/>
      </c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U34" s="32">
        <f>B34+E34+H34+K34+N34+Q34</f>
        <v/>
      </c>
      <c r="V34" s="32">
        <f>C34+F34+I34+L34+O34+R34</f>
        <v/>
      </c>
      <c r="W34" s="32">
        <f>D34+G34+J34+M34+P34+S34</f>
        <v/>
      </c>
    </row>
    <row r="35">
      <c r="A35" s="17">
        <f>A34+7</f>
        <v/>
      </c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U35" s="32">
        <f>B35+E35+H35+K35+N35+Q35</f>
        <v/>
      </c>
      <c r="V35" s="32">
        <f>C35+F35+I35+L35+O35+R35</f>
        <v/>
      </c>
      <c r="W35" s="32">
        <f>D35+G35+J35+M35+P35+S35</f>
        <v/>
      </c>
    </row>
    <row r="36">
      <c r="A36" s="17">
        <f>A35+7</f>
        <v/>
      </c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U36" s="32">
        <f>B36+E36+H36+K36+N36+Q36</f>
        <v/>
      </c>
      <c r="V36" s="32">
        <f>C36+F36+I36+L36+O36+R36</f>
        <v/>
      </c>
      <c r="W36" s="32">
        <f>D36+G36+J36+M36+P36+S36</f>
        <v/>
      </c>
    </row>
    <row r="37">
      <c r="A37" s="17">
        <f>A36+7</f>
        <v/>
      </c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U37" s="32">
        <f>B37+E37+H37+K37+N37+Q37</f>
        <v/>
      </c>
      <c r="V37" s="32">
        <f>C37+F37+I37+L37+O37+R37</f>
        <v/>
      </c>
      <c r="W37" s="32">
        <f>D37+G37+J37+M37+P37+S37</f>
        <v/>
      </c>
    </row>
    <row r="38">
      <c r="A38" s="17">
        <f>A37+7</f>
        <v/>
      </c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U38" s="32">
        <f>B38+E38+H38+K38+N38+Q38</f>
        <v/>
      </c>
      <c r="V38" s="32">
        <f>C38+F38+I38+L38+O38+R38</f>
        <v/>
      </c>
      <c r="W38" s="32">
        <f>D38+G38+J38+M38+P38+S38</f>
        <v/>
      </c>
    </row>
    <row r="39">
      <c r="A39" s="17">
        <f>A38+7</f>
        <v/>
      </c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U39" s="32">
        <f>B39+E39+H39+K39+N39+Q39</f>
        <v/>
      </c>
      <c r="V39" s="32">
        <f>C39+F39+I39+L39+O39+R39</f>
        <v/>
      </c>
      <c r="W39" s="32">
        <f>D39+G39+J39+M39+P39+S39</f>
        <v/>
      </c>
    </row>
    <row r="40">
      <c r="A40" s="17">
        <f>A39+7</f>
        <v/>
      </c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U40" s="32">
        <f>B40+E40+H40+K40+N40+Q40</f>
        <v/>
      </c>
      <c r="V40" s="32">
        <f>C40+F40+I40+L40+O40+R40</f>
        <v/>
      </c>
      <c r="W40" s="32">
        <f>D40+G40+J40+M40+P40+S40</f>
        <v/>
      </c>
    </row>
    <row r="41">
      <c r="A41" s="17">
        <f>A40+7</f>
        <v/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U41" s="32">
        <f>B41+E41+H41+K41+N41+Q41</f>
        <v/>
      </c>
      <c r="V41" s="32">
        <f>C41+F41+I41+L41+O41+R41</f>
        <v/>
      </c>
      <c r="W41" s="32">
        <f>D41+G41+J41+M41+P41+S41</f>
        <v/>
      </c>
    </row>
    <row r="42">
      <c r="A42" s="17">
        <f>A41+7</f>
        <v/>
      </c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U42" s="32">
        <f>B42+E42+H42+K42+N42+Q42</f>
        <v/>
      </c>
      <c r="V42" s="32">
        <f>C42+F42+I42+L42+O42+R42</f>
        <v/>
      </c>
      <c r="W42" s="32">
        <f>D42+G42+J42+M42+P42+S42</f>
        <v/>
      </c>
    </row>
    <row r="43">
      <c r="A43" s="17">
        <f>A42+7</f>
        <v/>
      </c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U43" s="32">
        <f>B43+E43+H43+K43+N43+Q43</f>
        <v/>
      </c>
      <c r="V43" s="32">
        <f>C43+F43+I43+L43+O43+R43</f>
        <v/>
      </c>
      <c r="W43" s="32">
        <f>D43+G43+J43+M43+P43+S43</f>
        <v/>
      </c>
    </row>
    <row r="44">
      <c r="A44" s="17">
        <f>A43+7</f>
        <v/>
      </c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U44" s="32">
        <f>B44+E44+H44+K44+N44+Q44</f>
        <v/>
      </c>
      <c r="V44" s="32">
        <f>C44+F44+I44+L44+O44+R44</f>
        <v/>
      </c>
      <c r="W44" s="32">
        <f>D44+G44+J44+M44+P44+S44</f>
        <v/>
      </c>
    </row>
    <row r="45">
      <c r="A45" s="17">
        <f>A44+7</f>
        <v/>
      </c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U45" s="32">
        <f>B45+E45+H45+K45+N45+Q45</f>
        <v/>
      </c>
      <c r="V45" s="32">
        <f>C45+F45+I45+L45+O45+R45</f>
        <v/>
      </c>
      <c r="W45" s="32">
        <f>D45+G45+J45+M45+P45+S45</f>
        <v/>
      </c>
    </row>
    <row r="46">
      <c r="A46" s="17">
        <f>A45+7</f>
        <v/>
      </c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U46" s="32">
        <f>B46+E46+H46+K46+N46+Q46</f>
        <v/>
      </c>
      <c r="V46" s="32">
        <f>C46+F46+I46+L46+O46+R46</f>
        <v/>
      </c>
      <c r="W46" s="32">
        <f>D46+G46+J46+M46+P46+S46</f>
        <v/>
      </c>
    </row>
    <row r="47">
      <c r="A47" s="17">
        <f>A46+7</f>
        <v/>
      </c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U47" s="32">
        <f>B47+E47+H47+K47+N47+Q47</f>
        <v/>
      </c>
      <c r="V47" s="32">
        <f>C47+F47+I47+L47+O47+R47</f>
        <v/>
      </c>
      <c r="W47" s="32">
        <f>D47+G47+J47+M47+P47+S47</f>
        <v/>
      </c>
    </row>
    <row r="48">
      <c r="A48" s="17">
        <f>A47+7</f>
        <v/>
      </c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U48" s="32">
        <f>B48+E48+H48+K48+N48+Q48</f>
        <v/>
      </c>
      <c r="V48" s="32">
        <f>C48+F48+I48+L48+O48+R48</f>
        <v/>
      </c>
      <c r="W48" s="32">
        <f>D48+G48+J48+M48+P48+S48</f>
        <v/>
      </c>
    </row>
    <row r="49">
      <c r="A49" s="17">
        <f>A48+7</f>
        <v/>
      </c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U49" s="32">
        <f>B49+E49+H49+K49+N49+Q49</f>
        <v/>
      </c>
      <c r="V49" s="32">
        <f>C49+F49+I49+L49+O49+R49</f>
        <v/>
      </c>
      <c r="W49" s="32">
        <f>D49+G49+J49+M49+P49+S49</f>
        <v/>
      </c>
    </row>
    <row r="50">
      <c r="A50" s="17">
        <f>A49+7</f>
        <v/>
      </c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U50" s="32">
        <f>B50+E50+H50+K50+N50+Q50</f>
        <v/>
      </c>
      <c r="V50" s="32">
        <f>C50+F50+I50+L50+O50+R50</f>
        <v/>
      </c>
      <c r="W50" s="32">
        <f>D50+G50+J50+M50+P50+S50</f>
        <v/>
      </c>
    </row>
    <row r="51">
      <c r="A51" s="17">
        <f>A50+7</f>
        <v/>
      </c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U51" s="32">
        <f>B51+E51+H51+K51+N51+Q51</f>
        <v/>
      </c>
      <c r="V51" s="32">
        <f>C51+F51+I51+L51+O51+R51</f>
        <v/>
      </c>
      <c r="W51" s="32">
        <f>D51+G51+J51+M51+P51+S51</f>
        <v/>
      </c>
    </row>
    <row r="52">
      <c r="A52" s="17">
        <f>A51+7</f>
        <v/>
      </c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U52" s="32">
        <f>B52+E52+H52+K52+N52+Q52</f>
        <v/>
      </c>
      <c r="V52" s="32">
        <f>C52+F52+I52+L52+O52+R52</f>
        <v/>
      </c>
      <c r="W52" s="32">
        <f>D52+G52+J52+M52+P52+S52</f>
        <v/>
      </c>
    </row>
  </sheetData>
  <mergeCells count="10">
    <mergeCell ref="B3:D3"/>
    <mergeCell ref="U1:W1"/>
    <mergeCell ref="B2:S2"/>
    <mergeCell ref="A1:S1"/>
    <mergeCell ref="A2:A3"/>
    <mergeCell ref="E3:G3"/>
    <mergeCell ref="K3:M3"/>
    <mergeCell ref="H3:J3"/>
    <mergeCell ref="N3:P3"/>
    <mergeCell ref="Q3:S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S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548235"/>
    <outlinePr summaryBelow="1" summaryRight="1"/>
    <pageSetUpPr/>
  </sheetPr>
  <dimension ref="A1:AJ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S1"/>
    </sheetView>
  </sheetViews>
  <sheetFormatPr baseColWidth="8" defaultRowHeight="15"/>
  <cols>
    <col width="14" customWidth="1" style="102" min="1" max="1"/>
    <col width="10" customWidth="1" style="102" min="2" max="23"/>
    <col width="10" customWidth="1" style="102" min="3" max="3"/>
    <col width="10" customWidth="1" style="102" min="4" max="4"/>
    <col width="10" customWidth="1" style="102" min="5" max="5"/>
    <col width="10" customWidth="1" style="102" min="6" max="6"/>
    <col width="10" customWidth="1" style="102" min="7" max="7"/>
    <col width="10" customWidth="1" style="102" min="8" max="8"/>
    <col width="10" customWidth="1" style="102" min="9" max="9"/>
    <col width="10" customWidth="1" style="102" min="10" max="10"/>
    <col width="10" customWidth="1" style="102" min="11" max="11"/>
    <col width="10" customWidth="1" style="102" min="12" max="12"/>
    <col width="10" customWidth="1" style="102" min="13" max="13"/>
    <col width="10" customWidth="1" style="102" min="14" max="14"/>
    <col width="10" customWidth="1" style="102" min="15" max="15"/>
    <col width="10" customWidth="1" style="102" min="16" max="16"/>
    <col width="10" customWidth="1" style="102" min="17" max="17"/>
    <col width="10" customWidth="1" style="102" min="18" max="18"/>
    <col width="10" customWidth="1" style="102" min="19" max="19"/>
    <col width="10" customWidth="1" style="102" min="20" max="20"/>
    <col width="10" customWidth="1" style="102" min="21" max="21"/>
    <col width="10" customWidth="1" style="102" min="22" max="22"/>
    <col width="10" customWidth="1" style="102" min="23" max="23"/>
    <col width="10" customWidth="1" style="102" min="24" max="24"/>
    <col width="10" customWidth="1" style="102" min="25" max="25"/>
    <col width="10" customWidth="1" style="102" min="26" max="26"/>
    <col width="10" customWidth="1" style="102" min="27" max="27"/>
    <col width="10" customWidth="1" style="102" min="28" max="28"/>
    <col width="10" customWidth="1" style="102" min="29" max="29"/>
    <col width="10" customWidth="1" style="102" min="30" max="30"/>
    <col width="10" customWidth="1" style="102" min="31" max="31"/>
    <col width="10" customWidth="1" style="102" min="32" max="32"/>
    <col width="10" customWidth="1" style="102" min="33" max="33"/>
    <col width="10" customWidth="1" style="102" min="34" max="34"/>
    <col width="10" customWidth="1" style="102" min="35" max="35"/>
    <col width="10" customWidth="1" style="102" min="36" max="36"/>
  </cols>
  <sheetData>
    <row r="1" ht="30" customHeight="1" s="102">
      <c r="A1" s="118" t="inlineStr">
        <is>
          <t>ФАКТ ЧИСТ ПОДЗЕМ</t>
        </is>
      </c>
    </row>
    <row r="2">
      <c r="A2" s="115" t="inlineStr">
        <is>
          <t>Дата</t>
        </is>
      </c>
      <c r="B2" s="115" t="inlineStr">
        <is>
          <t>Подземная часть</t>
        </is>
      </c>
      <c r="C2" s="119" t="n"/>
      <c r="D2" s="119" t="n"/>
      <c r="E2" s="119" t="n"/>
      <c r="F2" s="119" t="n"/>
      <c r="G2" s="119" t="n"/>
      <c r="H2" s="119" t="n"/>
      <c r="I2" s="119" t="n"/>
      <c r="J2" s="119" t="n"/>
      <c r="K2" s="119" t="n"/>
      <c r="L2" s="119" t="n"/>
      <c r="M2" s="119" t="n"/>
      <c r="N2" s="119" t="n"/>
      <c r="O2" s="119" t="n"/>
      <c r="P2" s="119" t="n"/>
      <c r="Q2" s="119" t="n"/>
      <c r="R2" s="119" t="n"/>
      <c r="S2" s="119" t="n"/>
      <c r="T2" s="119" t="n"/>
      <c r="U2" s="119" t="n"/>
      <c r="V2" s="119" t="n"/>
      <c r="W2" s="119" t="n"/>
      <c r="X2" s="119" t="n"/>
      <c r="Y2" s="119" t="n"/>
      <c r="Z2" s="119" t="n"/>
      <c r="AA2" s="119" t="n"/>
      <c r="AB2" s="119" t="n"/>
      <c r="AC2" s="119" t="n"/>
      <c r="AD2" s="119" t="n"/>
      <c r="AE2" s="120" t="n"/>
      <c r="AF2" s="121" t="n"/>
      <c r="AG2" s="121" t="n"/>
      <c r="AH2" s="121" t="n"/>
      <c r="AI2" s="121" t="n"/>
      <c r="AJ2" s="121" t="n"/>
    </row>
    <row r="3">
      <c r="A3" s="122" t="n"/>
      <c r="B3" s="115" t="inlineStr">
        <is>
          <t>8.1.1 Отделка паркинг и рампы</t>
        </is>
      </c>
      <c r="C3" s="119" t="n"/>
      <c r="D3" s="119" t="n"/>
      <c r="E3" s="119" t="n"/>
      <c r="F3" s="120" t="n"/>
      <c r="G3" s="115" t="inlineStr">
        <is>
          <t>8.1.2 Отделка эвакуац. лестн. клетки подзем.</t>
        </is>
      </c>
      <c r="H3" s="119" t="n"/>
      <c r="I3" s="119" t="n"/>
      <c r="J3" s="119" t="n"/>
      <c r="K3" s="120" t="n"/>
      <c r="L3" s="115" t="inlineStr">
        <is>
          <t>8.1.3 Лифт. холлы, тамбур-шлюзы подзем.</t>
        </is>
      </c>
      <c r="M3" s="119" t="n"/>
      <c r="N3" s="119" t="n"/>
      <c r="O3" s="119" t="n"/>
      <c r="P3" s="120" t="n"/>
      <c r="Q3" s="115" t="inlineStr">
        <is>
          <t>8.1.4 Технич. помещения подзем.</t>
        </is>
      </c>
      <c r="R3" s="119" t="n"/>
      <c r="S3" s="119" t="n"/>
      <c r="T3" s="119" t="n"/>
      <c r="U3" s="120" t="n"/>
      <c r="V3" s="115" t="inlineStr">
        <is>
          <t>8.1.5 Прочие помещения подзем.</t>
        </is>
      </c>
      <c r="W3" s="119" t="n"/>
      <c r="X3" s="119" t="n"/>
      <c r="Y3" s="119" t="n"/>
      <c r="Z3" s="120" t="n"/>
      <c r="AA3" s="115" t="inlineStr">
        <is>
          <t>8.1.6 Коммерч. помещения подзем.</t>
        </is>
      </c>
      <c r="AB3" s="119" t="n"/>
      <c r="AC3" s="119" t="n"/>
      <c r="AD3" s="119" t="n"/>
      <c r="AE3" s="120" t="n"/>
      <c r="AF3" s="115" t="inlineStr">
        <is>
          <t>Итого</t>
        </is>
      </c>
      <c r="AG3" s="119" t="n"/>
      <c r="AH3" s="119" t="n"/>
      <c r="AI3" s="119" t="n"/>
      <c r="AJ3" s="120" t="n"/>
    </row>
    <row r="4">
      <c r="A4" s="123" t="n"/>
      <c r="B4" s="115" t="inlineStr">
        <is>
          <t>Пол</t>
        </is>
      </c>
      <c r="C4" s="115" t="inlineStr">
        <is>
          <t>Стены</t>
        </is>
      </c>
      <c r="D4" s="115" t="inlineStr">
        <is>
          <t>Потолок</t>
        </is>
      </c>
      <c r="E4" s="115" t="inlineStr">
        <is>
          <t>Запол.</t>
        </is>
      </c>
      <c r="F4" s="115" t="inlineStr">
        <is>
          <t>Мебл.</t>
        </is>
      </c>
      <c r="G4" s="115" t="inlineStr">
        <is>
          <t>Пол</t>
        </is>
      </c>
      <c r="H4" s="115" t="inlineStr">
        <is>
          <t>Стены</t>
        </is>
      </c>
      <c r="I4" s="115" t="inlineStr">
        <is>
          <t>Потолок</t>
        </is>
      </c>
      <c r="J4" s="115" t="inlineStr">
        <is>
          <t>Запол.</t>
        </is>
      </c>
      <c r="K4" s="115" t="inlineStr">
        <is>
          <t>Мебл.</t>
        </is>
      </c>
      <c r="L4" s="115" t="inlineStr">
        <is>
          <t>Пол</t>
        </is>
      </c>
      <c r="M4" s="115" t="inlineStr">
        <is>
          <t>Стены</t>
        </is>
      </c>
      <c r="N4" s="115" t="inlineStr">
        <is>
          <t>Потолок</t>
        </is>
      </c>
      <c r="O4" s="115" t="inlineStr">
        <is>
          <t>Запол.</t>
        </is>
      </c>
      <c r="P4" s="115" t="inlineStr">
        <is>
          <t>Мебл.</t>
        </is>
      </c>
      <c r="Q4" s="115" t="inlineStr">
        <is>
          <t>Пол</t>
        </is>
      </c>
      <c r="R4" s="115" t="inlineStr">
        <is>
          <t>Стены</t>
        </is>
      </c>
      <c r="S4" s="115" t="inlineStr">
        <is>
          <t>Потолок</t>
        </is>
      </c>
      <c r="T4" s="115" t="inlineStr">
        <is>
          <t>Запол.</t>
        </is>
      </c>
      <c r="U4" s="115" t="inlineStr">
        <is>
          <t>Мебл.</t>
        </is>
      </c>
      <c r="V4" s="115" t="inlineStr">
        <is>
          <t>Пол</t>
        </is>
      </c>
      <c r="W4" s="115" t="inlineStr">
        <is>
          <t>Стены</t>
        </is>
      </c>
      <c r="X4" s="115" t="inlineStr">
        <is>
          <t>Потолок</t>
        </is>
      </c>
      <c r="Y4" s="115" t="inlineStr">
        <is>
          <t>Запол.</t>
        </is>
      </c>
      <c r="Z4" s="115" t="inlineStr">
        <is>
          <t>Мебл.</t>
        </is>
      </c>
      <c r="AA4" s="115" t="inlineStr">
        <is>
          <t>Пол</t>
        </is>
      </c>
      <c r="AB4" s="115" t="inlineStr">
        <is>
          <t>Стены</t>
        </is>
      </c>
      <c r="AC4" s="115" t="inlineStr">
        <is>
          <t>Потолок</t>
        </is>
      </c>
      <c r="AD4" s="115" t="inlineStr">
        <is>
          <t>Запол.</t>
        </is>
      </c>
      <c r="AE4" s="115" t="inlineStr">
        <is>
          <t>Мебл.</t>
        </is>
      </c>
      <c r="AF4" s="115" t="inlineStr">
        <is>
          <t>Пол</t>
        </is>
      </c>
      <c r="AG4" s="115" t="inlineStr">
        <is>
          <t>Стены</t>
        </is>
      </c>
      <c r="AH4" s="115" t="inlineStr">
        <is>
          <t>Потолок</t>
        </is>
      </c>
      <c r="AI4" s="115" t="inlineStr">
        <is>
          <t>Запол.</t>
        </is>
      </c>
      <c r="AJ4" s="115" t="inlineStr">
        <is>
          <t>Мебл.</t>
        </is>
      </c>
    </row>
    <row r="5">
      <c r="A5" s="124">
        <f>СПРАВОЧНИК!$B$35</f>
        <v/>
      </c>
      <c r="B5" s="125" t="n"/>
      <c r="C5" s="125" t="n"/>
      <c r="D5" s="125" t="n"/>
      <c r="E5" s="125" t="n"/>
      <c r="F5" s="125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>
        <f>B5+G5+L5+Q5+V5+AA5</f>
        <v/>
      </c>
      <c r="AG5" s="125">
        <f>C5+H5+M5+R5+W5+AB5</f>
        <v/>
      </c>
      <c r="AH5" s="125">
        <f>D5+I5+N5+S5+X5+AC5</f>
        <v/>
      </c>
      <c r="AI5" s="125">
        <f>E5+J5+O5+T5+Y5+AD5</f>
        <v/>
      </c>
      <c r="AJ5" s="125">
        <f>F5+K5+P5+U5+Z5+AE5</f>
        <v/>
      </c>
    </row>
    <row r="6">
      <c r="A6" s="124">
        <f>A5+7</f>
        <v/>
      </c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>
        <f>B6+G6+L6+Q6+V6+AA6</f>
        <v/>
      </c>
      <c r="AG6" s="125">
        <f>C6+H6+M6+R6+W6+AB6</f>
        <v/>
      </c>
      <c r="AH6" s="125">
        <f>D6+I6+N6+S6+X6+AC6</f>
        <v/>
      </c>
      <c r="AI6" s="125">
        <f>E6+J6+O6+T6+Y6+AD6</f>
        <v/>
      </c>
      <c r="AJ6" s="125">
        <f>F6+K6+P6+U6+Z6+AE6</f>
        <v/>
      </c>
    </row>
    <row r="7">
      <c r="A7" s="124">
        <f>A6+7</f>
        <v/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>
        <f>B7+G7+L7+Q7+V7+AA7</f>
        <v/>
      </c>
      <c r="AG7" s="125">
        <f>C7+H7+M7+R7+W7+AB7</f>
        <v/>
      </c>
      <c r="AH7" s="125">
        <f>D7+I7+N7+S7+X7+AC7</f>
        <v/>
      </c>
      <c r="AI7" s="125">
        <f>E7+J7+O7+T7+Y7+AD7</f>
        <v/>
      </c>
      <c r="AJ7" s="125">
        <f>F7+K7+P7+U7+Z7+AE7</f>
        <v/>
      </c>
    </row>
    <row r="8">
      <c r="A8" s="124">
        <f>A7+7</f>
        <v/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>
        <f>B8+G8+L8+Q8+V8+AA8</f>
        <v/>
      </c>
      <c r="AG8" s="125">
        <f>C8+H8+M8+R8+W8+AB8</f>
        <v/>
      </c>
      <c r="AH8" s="125">
        <f>D8+I8+N8+S8+X8+AC8</f>
        <v/>
      </c>
      <c r="AI8" s="125">
        <f>E8+J8+O8+T8+Y8+AD8</f>
        <v/>
      </c>
      <c r="AJ8" s="125">
        <f>F8+K8+P8+U8+Z8+AE8</f>
        <v/>
      </c>
    </row>
    <row r="9">
      <c r="A9" s="124">
        <f>A8+7</f>
        <v/>
      </c>
      <c r="B9" s="125" t="n"/>
      <c r="C9" s="125" t="n"/>
      <c r="D9" s="125" t="n"/>
      <c r="E9" s="125" t="n"/>
      <c r="F9" s="125" t="n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>
        <f>B9+G9+L9+Q9+V9+AA9</f>
        <v/>
      </c>
      <c r="AG9" s="125">
        <f>C9+H9+M9+R9+W9+AB9</f>
        <v/>
      </c>
      <c r="AH9" s="125">
        <f>D9+I9+N9+S9+X9+AC9</f>
        <v/>
      </c>
      <c r="AI9" s="125">
        <f>E9+J9+O9+T9+Y9+AD9</f>
        <v/>
      </c>
      <c r="AJ9" s="125">
        <f>F9+K9+P9+U9+Z9+AE9</f>
        <v/>
      </c>
    </row>
    <row r="10">
      <c r="A10" s="124">
        <f>A9+7</f>
        <v/>
      </c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>
        <f>B10+G10+L10+Q10+V10+AA10</f>
        <v/>
      </c>
      <c r="AG10" s="125">
        <f>C10+H10+M10+R10+W10+AB10</f>
        <v/>
      </c>
      <c r="AH10" s="125">
        <f>D10+I10+N10+S10+X10+AC10</f>
        <v/>
      </c>
      <c r="AI10" s="125">
        <f>E10+J10+O10+T10+Y10+AD10</f>
        <v/>
      </c>
      <c r="AJ10" s="125">
        <f>F10+K10+P10+U10+Z10+AE10</f>
        <v/>
      </c>
    </row>
    <row r="11">
      <c r="A11" s="124">
        <f>A10+7</f>
        <v/>
      </c>
      <c r="B11" s="125" t="n"/>
      <c r="C11" s="125" t="n"/>
      <c r="D11" s="125" t="n"/>
      <c r="E11" s="125" t="n"/>
      <c r="F11" s="125" t="n"/>
      <c r="G11" s="125" t="n"/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>
        <f>B11+G11+L11+Q11+V11+AA11</f>
        <v/>
      </c>
      <c r="AG11" s="125">
        <f>C11+H11+M11+R11+W11+AB11</f>
        <v/>
      </c>
      <c r="AH11" s="125">
        <f>D11+I11+N11+S11+X11+AC11</f>
        <v/>
      </c>
      <c r="AI11" s="125">
        <f>E11+J11+O11+T11+Y11+AD11</f>
        <v/>
      </c>
      <c r="AJ11" s="125">
        <f>F11+K11+P11+U11+Z11+AE11</f>
        <v/>
      </c>
    </row>
    <row r="12">
      <c r="A12" s="124">
        <f>A11+7</f>
        <v/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>
        <f>B12+G12+L12+Q12+V12+AA12</f>
        <v/>
      </c>
      <c r="AG12" s="125">
        <f>C12+H12+M12+R12+W12+AB12</f>
        <v/>
      </c>
      <c r="AH12" s="125">
        <f>D12+I12+N12+S12+X12+AC12</f>
        <v/>
      </c>
      <c r="AI12" s="125">
        <f>E12+J12+O12+T12+Y12+AD12</f>
        <v/>
      </c>
      <c r="AJ12" s="125">
        <f>F12+K12+P12+U12+Z12+AE12</f>
        <v/>
      </c>
    </row>
    <row r="13">
      <c r="A13" s="124">
        <f>A12+7</f>
        <v/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>
        <f>B13+G13+L13+Q13+V13+AA13</f>
        <v/>
      </c>
      <c r="AG13" s="125">
        <f>C13+H13+M13+R13+W13+AB13</f>
        <v/>
      </c>
      <c r="AH13" s="125">
        <f>D13+I13+N13+S13+X13+AC13</f>
        <v/>
      </c>
      <c r="AI13" s="125">
        <f>E13+J13+O13+T13+Y13+AD13</f>
        <v/>
      </c>
      <c r="AJ13" s="125">
        <f>F13+K13+P13+U13+Z13+AE13</f>
        <v/>
      </c>
    </row>
    <row r="14">
      <c r="A14" s="124">
        <f>A13+7</f>
        <v/>
      </c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>
        <f>B14+G14+L14+Q14+V14+AA14</f>
        <v/>
      </c>
      <c r="AG14" s="125">
        <f>C14+H14+M14+R14+W14+AB14</f>
        <v/>
      </c>
      <c r="AH14" s="125">
        <f>D14+I14+N14+S14+X14+AC14</f>
        <v/>
      </c>
      <c r="AI14" s="125">
        <f>E14+J14+O14+T14+Y14+AD14</f>
        <v/>
      </c>
      <c r="AJ14" s="125">
        <f>F14+K14+P14+U14+Z14+AE14</f>
        <v/>
      </c>
    </row>
    <row r="15">
      <c r="A15" s="124">
        <f>A14+7</f>
        <v/>
      </c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>
        <f>B15+G15+L15+Q15+V15+AA15</f>
        <v/>
      </c>
      <c r="AG15" s="125">
        <f>C15+H15+M15+R15+W15+AB15</f>
        <v/>
      </c>
      <c r="AH15" s="125">
        <f>D15+I15+N15+S15+X15+AC15</f>
        <v/>
      </c>
      <c r="AI15" s="125">
        <f>E15+J15+O15+T15+Y15+AD15</f>
        <v/>
      </c>
      <c r="AJ15" s="125">
        <f>F15+K15+P15+U15+Z15+AE15</f>
        <v/>
      </c>
    </row>
    <row r="16">
      <c r="A16" s="124">
        <f>A15+7</f>
        <v/>
      </c>
      <c r="B16" s="125" t="n"/>
      <c r="C16" s="125" t="n"/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>
        <f>B16+G16+L16+Q16+V16+AA16</f>
        <v/>
      </c>
      <c r="AG16" s="125">
        <f>C16+H16+M16+R16+W16+AB16</f>
        <v/>
      </c>
      <c r="AH16" s="125">
        <f>D16+I16+N16+S16+X16+AC16</f>
        <v/>
      </c>
      <c r="AI16" s="125">
        <f>E16+J16+O16+T16+Y16+AD16</f>
        <v/>
      </c>
      <c r="AJ16" s="125">
        <f>F16+K16+P16+U16+Z16+AE16</f>
        <v/>
      </c>
    </row>
    <row r="17">
      <c r="A17" s="124">
        <f>A16+7</f>
        <v/>
      </c>
      <c r="B17" s="125" t="n"/>
      <c r="C17" s="125" t="n"/>
      <c r="D17" s="125" t="n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>
        <f>B17+G17+L17+Q17+V17+AA17</f>
        <v/>
      </c>
      <c r="AG17" s="125">
        <f>C17+H17+M17+R17+W17+AB17</f>
        <v/>
      </c>
      <c r="AH17" s="125">
        <f>D17+I17+N17+S17+X17+AC17</f>
        <v/>
      </c>
      <c r="AI17" s="125">
        <f>E17+J17+O17+T17+Y17+AD17</f>
        <v/>
      </c>
      <c r="AJ17" s="125">
        <f>F17+K17+P17+U17+Z17+AE17</f>
        <v/>
      </c>
    </row>
    <row r="18">
      <c r="A18" s="124">
        <f>A17+7</f>
        <v/>
      </c>
      <c r="B18" s="125" t="n"/>
      <c r="C18" s="125" t="n"/>
      <c r="D18" s="125" t="n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>
        <f>B18+G18+L18+Q18+V18+AA18</f>
        <v/>
      </c>
      <c r="AG18" s="125">
        <f>C18+H18+M18+R18+W18+AB18</f>
        <v/>
      </c>
      <c r="AH18" s="125">
        <f>D18+I18+N18+S18+X18+AC18</f>
        <v/>
      </c>
      <c r="AI18" s="125">
        <f>E18+J18+O18+T18+Y18+AD18</f>
        <v/>
      </c>
      <c r="AJ18" s="125">
        <f>F18+K18+P18+U18+Z18+AE18</f>
        <v/>
      </c>
    </row>
    <row r="19">
      <c r="A19" s="124">
        <f>A18+7</f>
        <v/>
      </c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>
        <f>B19+G19+L19+Q19+V19+AA19</f>
        <v/>
      </c>
      <c r="AG19" s="125">
        <f>C19+H19+M19+R19+W19+AB19</f>
        <v/>
      </c>
      <c r="AH19" s="125">
        <f>D19+I19+N19+S19+X19+AC19</f>
        <v/>
      </c>
      <c r="AI19" s="125">
        <f>E19+J19+O19+T19+Y19+AD19</f>
        <v/>
      </c>
      <c r="AJ19" s="125">
        <f>F19+K19+P19+U19+Z19+AE19</f>
        <v/>
      </c>
    </row>
    <row r="20">
      <c r="A20" s="124">
        <f>A19+7</f>
        <v/>
      </c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>
        <f>B20+G20+L20+Q20+V20+AA20</f>
        <v/>
      </c>
      <c r="AG20" s="125">
        <f>C20+H20+M20+R20+W20+AB20</f>
        <v/>
      </c>
      <c r="AH20" s="125">
        <f>D20+I20+N20+S20+X20+AC20</f>
        <v/>
      </c>
      <c r="AI20" s="125">
        <f>E20+J20+O20+T20+Y20+AD20</f>
        <v/>
      </c>
      <c r="AJ20" s="125">
        <f>F20+K20+P20+U20+Z20+AE20</f>
        <v/>
      </c>
    </row>
    <row r="21">
      <c r="A21" s="124">
        <f>A20+7</f>
        <v/>
      </c>
      <c r="B21" s="125" t="n"/>
      <c r="C21" s="125" t="n"/>
      <c r="D21" s="125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>
        <f>B21+G21+L21+Q21+V21+AA21</f>
        <v/>
      </c>
      <c r="AG21" s="125">
        <f>C21+H21+M21+R21+W21+AB21</f>
        <v/>
      </c>
      <c r="AH21" s="125">
        <f>D21+I21+N21+S21+X21+AC21</f>
        <v/>
      </c>
      <c r="AI21" s="125">
        <f>E21+J21+O21+T21+Y21+AD21</f>
        <v/>
      </c>
      <c r="AJ21" s="125">
        <f>F21+K21+P21+U21+Z21+AE21</f>
        <v/>
      </c>
    </row>
    <row r="22">
      <c r="A22" s="124">
        <f>A21+7</f>
        <v/>
      </c>
      <c r="B22" s="125" t="n"/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>
        <f>B22+G22+L22+Q22+V22+AA22</f>
        <v/>
      </c>
      <c r="AG22" s="125">
        <f>C22+H22+M22+R22+W22+AB22</f>
        <v/>
      </c>
      <c r="AH22" s="125">
        <f>D22+I22+N22+S22+X22+AC22</f>
        <v/>
      </c>
      <c r="AI22" s="125">
        <f>E22+J22+O22+T22+Y22+AD22</f>
        <v/>
      </c>
      <c r="AJ22" s="125">
        <f>F22+K22+P22+U22+Z22+AE22</f>
        <v/>
      </c>
    </row>
    <row r="23">
      <c r="A23" s="124">
        <f>A22+7</f>
        <v/>
      </c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>
        <f>B23+G23+L23+Q23+V23+AA23</f>
        <v/>
      </c>
      <c r="AG23" s="125">
        <f>C23+H23+M23+R23+W23+AB23</f>
        <v/>
      </c>
      <c r="AH23" s="125">
        <f>D23+I23+N23+S23+X23+AC23</f>
        <v/>
      </c>
      <c r="AI23" s="125">
        <f>E23+J23+O23+T23+Y23+AD23</f>
        <v/>
      </c>
      <c r="AJ23" s="125">
        <f>F23+K23+P23+U23+Z23+AE23</f>
        <v/>
      </c>
    </row>
    <row r="24">
      <c r="A24" s="124">
        <f>A23+7</f>
        <v/>
      </c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>
        <f>B24+G24+L24+Q24+V24+AA24</f>
        <v/>
      </c>
      <c r="AG24" s="125">
        <f>C24+H24+M24+R24+W24+AB24</f>
        <v/>
      </c>
      <c r="AH24" s="125">
        <f>D24+I24+N24+S24+X24+AC24</f>
        <v/>
      </c>
      <c r="AI24" s="125">
        <f>E24+J24+O24+T24+Y24+AD24</f>
        <v/>
      </c>
      <c r="AJ24" s="125">
        <f>F24+K24+P24+U24+Z24+AE24</f>
        <v/>
      </c>
    </row>
    <row r="25">
      <c r="A25" s="124">
        <f>A24+7</f>
        <v/>
      </c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>
        <f>B25+G25+L25+Q25+V25+AA25</f>
        <v/>
      </c>
      <c r="AG25" s="125">
        <f>C25+H25+M25+R25+W25+AB25</f>
        <v/>
      </c>
      <c r="AH25" s="125">
        <f>D25+I25+N25+S25+X25+AC25</f>
        <v/>
      </c>
      <c r="AI25" s="125">
        <f>E25+J25+O25+T25+Y25+AD25</f>
        <v/>
      </c>
      <c r="AJ25" s="125">
        <f>F25+K25+P25+U25+Z25+AE25</f>
        <v/>
      </c>
    </row>
    <row r="26">
      <c r="A26" s="124">
        <f>A25+7</f>
        <v/>
      </c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>
        <f>B26+G26+L26+Q26+V26+AA26</f>
        <v/>
      </c>
      <c r="AG26" s="125">
        <f>C26+H26+M26+R26+W26+AB26</f>
        <v/>
      </c>
      <c r="AH26" s="125">
        <f>D26+I26+N26+S26+X26+AC26</f>
        <v/>
      </c>
      <c r="AI26" s="125">
        <f>E26+J26+O26+T26+Y26+AD26</f>
        <v/>
      </c>
      <c r="AJ26" s="125">
        <f>F26+K26+P26+U26+Z26+AE26</f>
        <v/>
      </c>
    </row>
    <row r="27">
      <c r="A27" s="124">
        <f>A26+7</f>
        <v/>
      </c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>
        <f>B27+G27+L27+Q27+V27+AA27</f>
        <v/>
      </c>
      <c r="AG27" s="125">
        <f>C27+H27+M27+R27+W27+AB27</f>
        <v/>
      </c>
      <c r="AH27" s="125">
        <f>D27+I27+N27+S27+X27+AC27</f>
        <v/>
      </c>
      <c r="AI27" s="125">
        <f>E27+J27+O27+T27+Y27+AD27</f>
        <v/>
      </c>
      <c r="AJ27" s="125">
        <f>F27+K27+P27+U27+Z27+AE27</f>
        <v/>
      </c>
    </row>
    <row r="28">
      <c r="A28" s="124">
        <f>A27+7</f>
        <v/>
      </c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>
        <f>B28+G28+L28+Q28+V28+AA28</f>
        <v/>
      </c>
      <c r="AG28" s="125">
        <f>C28+H28+M28+R28+W28+AB28</f>
        <v/>
      </c>
      <c r="AH28" s="125">
        <f>D28+I28+N28+S28+X28+AC28</f>
        <v/>
      </c>
      <c r="AI28" s="125">
        <f>E28+J28+O28+T28+Y28+AD28</f>
        <v/>
      </c>
      <c r="AJ28" s="125">
        <f>F28+K28+P28+U28+Z28+AE28</f>
        <v/>
      </c>
    </row>
    <row r="29">
      <c r="A29" s="124">
        <f>A28+7</f>
        <v/>
      </c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>
        <f>B29+G29+L29+Q29+V29+AA29</f>
        <v/>
      </c>
      <c r="AG29" s="125">
        <f>C29+H29+M29+R29+W29+AB29</f>
        <v/>
      </c>
      <c r="AH29" s="125">
        <f>D29+I29+N29+S29+X29+AC29</f>
        <v/>
      </c>
      <c r="AI29" s="125">
        <f>E29+J29+O29+T29+Y29+AD29</f>
        <v/>
      </c>
      <c r="AJ29" s="125">
        <f>F29+K29+P29+U29+Z29+AE29</f>
        <v/>
      </c>
    </row>
    <row r="30">
      <c r="A30" s="124">
        <f>A29+7</f>
        <v/>
      </c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>
        <f>B30+G30+L30+Q30+V30+AA30</f>
        <v/>
      </c>
      <c r="AG30" s="125">
        <f>C30+H30+M30+R30+W30+AB30</f>
        <v/>
      </c>
      <c r="AH30" s="125">
        <f>D30+I30+N30+S30+X30+AC30</f>
        <v/>
      </c>
      <c r="AI30" s="125">
        <f>E30+J30+O30+T30+Y30+AD30</f>
        <v/>
      </c>
      <c r="AJ30" s="125">
        <f>F30+K30+P30+U30+Z30+AE30</f>
        <v/>
      </c>
    </row>
    <row r="31">
      <c r="A31" s="124">
        <f>A30+7</f>
        <v/>
      </c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>
        <f>B31+G31+L31+Q31+V31+AA31</f>
        <v/>
      </c>
      <c r="AG31" s="125">
        <f>C31+H31+M31+R31+W31+AB31</f>
        <v/>
      </c>
      <c r="AH31" s="125">
        <f>D31+I31+N31+S31+X31+AC31</f>
        <v/>
      </c>
      <c r="AI31" s="125">
        <f>E31+J31+O31+T31+Y31+AD31</f>
        <v/>
      </c>
      <c r="AJ31" s="125">
        <f>F31+K31+P31+U31+Z31+AE31</f>
        <v/>
      </c>
    </row>
    <row r="32">
      <c r="A32" s="124">
        <f>A31+7</f>
        <v/>
      </c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>
        <f>B32+G32+L32+Q32+V32+AA32</f>
        <v/>
      </c>
      <c r="AG32" s="125">
        <f>C32+H32+M32+R32+W32+AB32</f>
        <v/>
      </c>
      <c r="AH32" s="125">
        <f>D32+I32+N32+S32+X32+AC32</f>
        <v/>
      </c>
      <c r="AI32" s="125">
        <f>E32+J32+O32+T32+Y32+AD32</f>
        <v/>
      </c>
      <c r="AJ32" s="125">
        <f>F32+K32+P32+U32+Z32+AE32</f>
        <v/>
      </c>
    </row>
    <row r="33">
      <c r="A33" s="124">
        <f>A32+7</f>
        <v/>
      </c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>
        <f>B33+G33+L33+Q33+V33+AA33</f>
        <v/>
      </c>
      <c r="AG33" s="125">
        <f>C33+H33+M33+R33+W33+AB33</f>
        <v/>
      </c>
      <c r="AH33" s="125">
        <f>D33+I33+N33+S33+X33+AC33</f>
        <v/>
      </c>
      <c r="AI33" s="125">
        <f>E33+J33+O33+T33+Y33+AD33</f>
        <v/>
      </c>
      <c r="AJ33" s="125">
        <f>F33+K33+P33+U33+Z33+AE33</f>
        <v/>
      </c>
    </row>
    <row r="34">
      <c r="A34" s="124">
        <f>A33+7</f>
        <v/>
      </c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>
        <f>B34+G34+L34+Q34+V34+AA34</f>
        <v/>
      </c>
      <c r="AG34" s="125">
        <f>C34+H34+M34+R34+W34+AB34</f>
        <v/>
      </c>
      <c r="AH34" s="125">
        <f>D34+I34+N34+S34+X34+AC34</f>
        <v/>
      </c>
      <c r="AI34" s="125">
        <f>E34+J34+O34+T34+Y34+AD34</f>
        <v/>
      </c>
      <c r="AJ34" s="125">
        <f>F34+K34+P34+U34+Z34+AE34</f>
        <v/>
      </c>
    </row>
    <row r="35">
      <c r="A35" s="124">
        <f>A34+7</f>
        <v/>
      </c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>
        <f>B35+G35+L35+Q35+V35+AA35</f>
        <v/>
      </c>
      <c r="AG35" s="125">
        <f>C35+H35+M35+R35+W35+AB35</f>
        <v/>
      </c>
      <c r="AH35" s="125">
        <f>D35+I35+N35+S35+X35+AC35</f>
        <v/>
      </c>
      <c r="AI35" s="125">
        <f>E35+J35+O35+T35+Y35+AD35</f>
        <v/>
      </c>
      <c r="AJ35" s="125">
        <f>F35+K35+P35+U35+Z35+AE35</f>
        <v/>
      </c>
    </row>
    <row r="36">
      <c r="A36" s="124">
        <f>A35+7</f>
        <v/>
      </c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>
        <f>B36+G36+L36+Q36+V36+AA36</f>
        <v/>
      </c>
      <c r="AG36" s="125">
        <f>C36+H36+M36+R36+W36+AB36</f>
        <v/>
      </c>
      <c r="AH36" s="125">
        <f>D36+I36+N36+S36+X36+AC36</f>
        <v/>
      </c>
      <c r="AI36" s="125">
        <f>E36+J36+O36+T36+Y36+AD36</f>
        <v/>
      </c>
      <c r="AJ36" s="125">
        <f>F36+K36+P36+U36+Z36+AE36</f>
        <v/>
      </c>
    </row>
    <row r="37">
      <c r="A37" s="124">
        <f>A36+7</f>
        <v/>
      </c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>
        <f>B37+G37+L37+Q37+V37+AA37</f>
        <v/>
      </c>
      <c r="AG37" s="125">
        <f>C37+H37+M37+R37+W37+AB37</f>
        <v/>
      </c>
      <c r="AH37" s="125">
        <f>D37+I37+N37+S37+X37+AC37</f>
        <v/>
      </c>
      <c r="AI37" s="125">
        <f>E37+J37+O37+T37+Y37+AD37</f>
        <v/>
      </c>
      <c r="AJ37" s="125">
        <f>F37+K37+P37+U37+Z37+AE37</f>
        <v/>
      </c>
    </row>
    <row r="38">
      <c r="A38" s="124">
        <f>A37+7</f>
        <v/>
      </c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>
        <f>B38+G38+L38+Q38+V38+AA38</f>
        <v/>
      </c>
      <c r="AG38" s="125">
        <f>C38+H38+M38+R38+W38+AB38</f>
        <v/>
      </c>
      <c r="AH38" s="125">
        <f>D38+I38+N38+S38+X38+AC38</f>
        <v/>
      </c>
      <c r="AI38" s="125">
        <f>E38+J38+O38+T38+Y38+AD38</f>
        <v/>
      </c>
      <c r="AJ38" s="125">
        <f>F38+K38+P38+U38+Z38+AE38</f>
        <v/>
      </c>
    </row>
    <row r="39">
      <c r="A39" s="124">
        <f>A38+7</f>
        <v/>
      </c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>
        <f>B39+G39+L39+Q39+V39+AA39</f>
        <v/>
      </c>
      <c r="AG39" s="125">
        <f>C39+H39+M39+R39+W39+AB39</f>
        <v/>
      </c>
      <c r="AH39" s="125">
        <f>D39+I39+N39+S39+X39+AC39</f>
        <v/>
      </c>
      <c r="AI39" s="125">
        <f>E39+J39+O39+T39+Y39+AD39</f>
        <v/>
      </c>
      <c r="AJ39" s="125">
        <f>F39+K39+P39+U39+Z39+AE39</f>
        <v/>
      </c>
    </row>
    <row r="40">
      <c r="A40" s="124">
        <f>A39+7</f>
        <v/>
      </c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>
        <f>B40+G40+L40+Q40+V40+AA40</f>
        <v/>
      </c>
      <c r="AG40" s="125">
        <f>C40+H40+M40+R40+W40+AB40</f>
        <v/>
      </c>
      <c r="AH40" s="125">
        <f>D40+I40+N40+S40+X40+AC40</f>
        <v/>
      </c>
      <c r="AI40" s="125">
        <f>E40+J40+O40+T40+Y40+AD40</f>
        <v/>
      </c>
      <c r="AJ40" s="125">
        <f>F40+K40+P40+U40+Z40+AE40</f>
        <v/>
      </c>
    </row>
    <row r="41">
      <c r="A41" s="124">
        <f>A40+7</f>
        <v/>
      </c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>
        <f>B41+G41+L41+Q41+V41+AA41</f>
        <v/>
      </c>
      <c r="AG41" s="125">
        <f>C41+H41+M41+R41+W41+AB41</f>
        <v/>
      </c>
      <c r="AH41" s="125">
        <f>D41+I41+N41+S41+X41+AC41</f>
        <v/>
      </c>
      <c r="AI41" s="125">
        <f>E41+J41+O41+T41+Y41+AD41</f>
        <v/>
      </c>
      <c r="AJ41" s="125">
        <f>F41+K41+P41+U41+Z41+AE41</f>
        <v/>
      </c>
    </row>
    <row r="42">
      <c r="A42" s="124">
        <f>A41+7</f>
        <v/>
      </c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>
        <f>B42+G42+L42+Q42+V42+AA42</f>
        <v/>
      </c>
      <c r="AG42" s="125">
        <f>C42+H42+M42+R42+W42+AB42</f>
        <v/>
      </c>
      <c r="AH42" s="125">
        <f>D42+I42+N42+S42+X42+AC42</f>
        <v/>
      </c>
      <c r="AI42" s="125">
        <f>E42+J42+O42+T42+Y42+AD42</f>
        <v/>
      </c>
      <c r="AJ42" s="125">
        <f>F42+K42+P42+U42+Z42+AE42</f>
        <v/>
      </c>
    </row>
    <row r="43">
      <c r="A43" s="124">
        <f>A42+7</f>
        <v/>
      </c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>
        <f>B43+G43+L43+Q43+V43+AA43</f>
        <v/>
      </c>
      <c r="AG43" s="125">
        <f>C43+H43+M43+R43+W43+AB43</f>
        <v/>
      </c>
      <c r="AH43" s="125">
        <f>D43+I43+N43+S43+X43+AC43</f>
        <v/>
      </c>
      <c r="AI43" s="125">
        <f>E43+J43+O43+T43+Y43+AD43</f>
        <v/>
      </c>
      <c r="AJ43" s="125">
        <f>F43+K43+P43+U43+Z43+AE43</f>
        <v/>
      </c>
    </row>
    <row r="44">
      <c r="A44" s="124">
        <f>A43+7</f>
        <v/>
      </c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>
        <f>B44+G44+L44+Q44+V44+AA44</f>
        <v/>
      </c>
      <c r="AG44" s="125">
        <f>C44+H44+M44+R44+W44+AB44</f>
        <v/>
      </c>
      <c r="AH44" s="125">
        <f>D44+I44+N44+S44+X44+AC44</f>
        <v/>
      </c>
      <c r="AI44" s="125">
        <f>E44+J44+O44+T44+Y44+AD44</f>
        <v/>
      </c>
      <c r="AJ44" s="125">
        <f>F44+K44+P44+U44+Z44+AE44</f>
        <v/>
      </c>
    </row>
    <row r="45">
      <c r="A45" s="124">
        <f>A44+7</f>
        <v/>
      </c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>
        <f>B45+G45+L45+Q45+V45+AA45</f>
        <v/>
      </c>
      <c r="AG45" s="125">
        <f>C45+H45+M45+R45+W45+AB45</f>
        <v/>
      </c>
      <c r="AH45" s="125">
        <f>D45+I45+N45+S45+X45+AC45</f>
        <v/>
      </c>
      <c r="AI45" s="125">
        <f>E45+J45+O45+T45+Y45+AD45</f>
        <v/>
      </c>
      <c r="AJ45" s="125">
        <f>F45+K45+P45+U45+Z45+AE45</f>
        <v/>
      </c>
    </row>
    <row r="46">
      <c r="A46" s="124">
        <f>A45+7</f>
        <v/>
      </c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>
        <f>B46+G46+L46+Q46+V46+AA46</f>
        <v/>
      </c>
      <c r="AG46" s="125">
        <f>C46+H46+M46+R46+W46+AB46</f>
        <v/>
      </c>
      <c r="AH46" s="125">
        <f>D46+I46+N46+S46+X46+AC46</f>
        <v/>
      </c>
      <c r="AI46" s="125">
        <f>E46+J46+O46+T46+Y46+AD46</f>
        <v/>
      </c>
      <c r="AJ46" s="125">
        <f>F46+K46+P46+U46+Z46+AE46</f>
        <v/>
      </c>
    </row>
    <row r="47">
      <c r="A47" s="124">
        <f>A46+7</f>
        <v/>
      </c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>
        <f>B47+G47+L47+Q47+V47+AA47</f>
        <v/>
      </c>
      <c r="AG47" s="125">
        <f>C47+H47+M47+R47+W47+AB47</f>
        <v/>
      </c>
      <c r="AH47" s="125">
        <f>D47+I47+N47+S47+X47+AC47</f>
        <v/>
      </c>
      <c r="AI47" s="125">
        <f>E47+J47+O47+T47+Y47+AD47</f>
        <v/>
      </c>
      <c r="AJ47" s="125">
        <f>F47+K47+P47+U47+Z47+AE47</f>
        <v/>
      </c>
    </row>
    <row r="48">
      <c r="A48" s="124">
        <f>A47+7</f>
        <v/>
      </c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>
        <f>B48+G48+L48+Q48+V48+AA48</f>
        <v/>
      </c>
      <c r="AG48" s="125">
        <f>C48+H48+M48+R48+W48+AB48</f>
        <v/>
      </c>
      <c r="AH48" s="125">
        <f>D48+I48+N48+S48+X48+AC48</f>
        <v/>
      </c>
      <c r="AI48" s="125">
        <f>E48+J48+O48+T48+Y48+AD48</f>
        <v/>
      </c>
      <c r="AJ48" s="125">
        <f>F48+K48+P48+U48+Z48+AE48</f>
        <v/>
      </c>
    </row>
    <row r="49">
      <c r="A49" s="124">
        <f>A48+7</f>
        <v/>
      </c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>
        <f>B49+G49+L49+Q49+V49+AA49</f>
        <v/>
      </c>
      <c r="AG49" s="125">
        <f>C49+H49+M49+R49+W49+AB49</f>
        <v/>
      </c>
      <c r="AH49" s="125">
        <f>D49+I49+N49+S49+X49+AC49</f>
        <v/>
      </c>
      <c r="AI49" s="125">
        <f>E49+J49+O49+T49+Y49+AD49</f>
        <v/>
      </c>
      <c r="AJ49" s="125">
        <f>F49+K49+P49+U49+Z49+AE49</f>
        <v/>
      </c>
    </row>
    <row r="50">
      <c r="A50" s="124">
        <f>A49+7</f>
        <v/>
      </c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>
        <f>B50+G50+L50+Q50+V50+AA50</f>
        <v/>
      </c>
      <c r="AG50" s="125">
        <f>C50+H50+M50+R50+W50+AB50</f>
        <v/>
      </c>
      <c r="AH50" s="125">
        <f>D50+I50+N50+S50+X50+AC50</f>
        <v/>
      </c>
      <c r="AI50" s="125">
        <f>E50+J50+O50+T50+Y50+AD50</f>
        <v/>
      </c>
      <c r="AJ50" s="125">
        <f>F50+K50+P50+U50+Z50+AE50</f>
        <v/>
      </c>
    </row>
    <row r="51">
      <c r="A51" s="124">
        <f>A50+7</f>
        <v/>
      </c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>
        <f>B51+G51+L51+Q51+V51+AA51</f>
        <v/>
      </c>
      <c r="AG51" s="125">
        <f>C51+H51+M51+R51+W51+AB51</f>
        <v/>
      </c>
      <c r="AH51" s="125">
        <f>D51+I51+N51+S51+X51+AC51</f>
        <v/>
      </c>
      <c r="AI51" s="125">
        <f>E51+J51+O51+T51+Y51+AD51</f>
        <v/>
      </c>
      <c r="AJ51" s="125">
        <f>F51+K51+P51+U51+Z51+AE51</f>
        <v/>
      </c>
    </row>
    <row r="52">
      <c r="A52" s="124">
        <f>A51+7</f>
        <v/>
      </c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>
        <f>B52+G52+L52+Q52+V52+AA52</f>
        <v/>
      </c>
      <c r="AG52" s="125">
        <f>C52+H52+M52+R52+W52+AB52</f>
        <v/>
      </c>
      <c r="AH52" s="125">
        <f>D52+I52+N52+S52+X52+AC52</f>
        <v/>
      </c>
      <c r="AI52" s="125">
        <f>E52+J52+O52+T52+Y52+AD52</f>
        <v/>
      </c>
      <c r="AJ52" s="125">
        <f>F52+K52+P52+U52+Z52+AE52</f>
        <v/>
      </c>
    </row>
  </sheetData>
  <mergeCells count="10">
    <mergeCell ref="G3:K3"/>
    <mergeCell ref="V3:Z3"/>
    <mergeCell ref="L3:P3"/>
    <mergeCell ref="AA3:AE3"/>
    <mergeCell ref="AF3:AJ3"/>
    <mergeCell ref="Q3:U3"/>
    <mergeCell ref="A2:A4"/>
    <mergeCell ref="B3:F3"/>
    <mergeCell ref="B2:AE2"/>
    <mergeCell ref="A1:AJ1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S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BF8F00"/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H13" sqref="H13"/>
    </sheetView>
  </sheetViews>
  <sheetFormatPr baseColWidth="8" defaultRowHeight="15"/>
  <cols>
    <col width="12" customWidth="1" style="102" min="1" max="1"/>
    <col width="10" customWidth="1" style="102" min="2" max="26"/>
  </cols>
  <sheetData>
    <row r="1">
      <c r="A1" s="101" t="inlineStr">
        <is>
          <t>ФАКТ ЧЕРН К1</t>
        </is>
      </c>
      <c r="X1" s="107" t="inlineStr">
        <is>
          <t>Итого К1</t>
        </is>
      </c>
    </row>
    <row r="2">
      <c r="A2" s="108" t="inlineStr">
        <is>
          <t>Дата</t>
        </is>
      </c>
      <c r="B2" s="110" t="inlineStr">
        <is>
          <t>Надземная часть</t>
        </is>
      </c>
      <c r="C2" s="105" t="n"/>
      <c r="D2" s="105" t="n"/>
      <c r="E2" s="105" t="n"/>
      <c r="F2" s="105" t="n"/>
      <c r="G2" s="105" t="n"/>
      <c r="H2" s="105" t="n"/>
      <c r="I2" s="105" t="n"/>
      <c r="J2" s="105" t="n"/>
      <c r="K2" s="105" t="n"/>
      <c r="L2" s="105" t="n"/>
      <c r="M2" s="105" t="n"/>
      <c r="N2" s="105" t="n"/>
      <c r="O2" s="105" t="n"/>
      <c r="P2" s="105" t="n"/>
      <c r="Q2" s="105" t="n"/>
      <c r="R2" s="105" t="n"/>
      <c r="S2" s="105" t="n"/>
      <c r="T2" s="105" t="n"/>
      <c r="U2" s="105" t="n"/>
      <c r="V2" s="106" t="n"/>
    </row>
    <row r="3">
      <c r="A3" s="109" t="n"/>
      <c r="B3" s="110" t="inlineStr">
        <is>
          <t>8.2.1 Отделка лобби/гранд-лобби</t>
        </is>
      </c>
      <c r="C3" s="105" t="n"/>
      <c r="D3" s="106" t="n"/>
      <c r="E3" s="110" t="inlineStr">
        <is>
          <t>8.2.2 Отделка эвакуац. лестн. клетки надзем.</t>
        </is>
      </c>
      <c r="F3" s="105" t="n"/>
      <c r="G3" s="106" t="n"/>
      <c r="H3" s="110" t="inlineStr">
        <is>
          <t>8.2.3 Лифт. холлы, тамбур-шлюзы надзем.</t>
        </is>
      </c>
      <c r="I3" s="105" t="n"/>
      <c r="J3" s="106" t="n"/>
      <c r="K3" s="110" t="inlineStr">
        <is>
          <t>8.2.4 Технич. помещения надзем.</t>
        </is>
      </c>
      <c r="L3" s="105" t="n"/>
      <c r="M3" s="106" t="n"/>
      <c r="N3" s="110" t="inlineStr">
        <is>
          <t>8.2.5 Прочие помещения надзем.</t>
        </is>
      </c>
      <c r="O3" s="105" t="n"/>
      <c r="P3" s="106" t="n"/>
      <c r="Q3" s="110" t="inlineStr">
        <is>
          <t>8.2.6 Коммерч. помещения надзем.</t>
        </is>
      </c>
      <c r="R3" s="105" t="n"/>
      <c r="S3" s="106" t="n"/>
      <c r="T3" s="110" t="inlineStr">
        <is>
          <t>8.2.7 Паркинг и рампы надзем.</t>
        </is>
      </c>
      <c r="U3" s="105" t="n"/>
      <c r="V3" s="106" t="n"/>
      <c r="X3" s="29" t="inlineStr">
        <is>
          <t>Пол</t>
        </is>
      </c>
      <c r="Y3" s="29" t="inlineStr">
        <is>
          <t>Стены</t>
        </is>
      </c>
      <c r="Z3" s="29" t="inlineStr">
        <is>
          <t>Потолок</t>
        </is>
      </c>
    </row>
    <row r="4">
      <c r="B4" s="110" t="inlineStr">
        <is>
          <t>Пол</t>
        </is>
      </c>
      <c r="C4" s="110" t="inlineStr">
        <is>
          <t>Стены</t>
        </is>
      </c>
      <c r="D4" s="110" t="inlineStr">
        <is>
          <t>Потолок</t>
        </is>
      </c>
      <c r="E4" s="110" t="inlineStr">
        <is>
          <t>Пол</t>
        </is>
      </c>
      <c r="F4" s="110" t="inlineStr">
        <is>
          <t>Стены</t>
        </is>
      </c>
      <c r="G4" s="110" t="inlineStr">
        <is>
          <t>Потолок</t>
        </is>
      </c>
      <c r="H4" s="110" t="inlineStr">
        <is>
          <t>Пол</t>
        </is>
      </c>
      <c r="I4" s="110" t="inlineStr">
        <is>
          <t>Стены</t>
        </is>
      </c>
      <c r="J4" s="110" t="inlineStr">
        <is>
          <t>Потолок</t>
        </is>
      </c>
      <c r="K4" s="110" t="inlineStr">
        <is>
          <t>Пол</t>
        </is>
      </c>
      <c r="L4" s="110" t="inlineStr">
        <is>
          <t>Стены</t>
        </is>
      </c>
      <c r="M4" s="110" t="inlineStr">
        <is>
          <t>Потолок</t>
        </is>
      </c>
      <c r="N4" s="110" t="inlineStr">
        <is>
          <t>Пол</t>
        </is>
      </c>
      <c r="O4" s="110" t="inlineStr">
        <is>
          <t>Стены</t>
        </is>
      </c>
      <c r="P4" s="110" t="inlineStr">
        <is>
          <t>Потолок</t>
        </is>
      </c>
      <c r="Q4" s="110" t="inlineStr">
        <is>
          <t>Пол</t>
        </is>
      </c>
      <c r="R4" s="110" t="inlineStr">
        <is>
          <t>Стены</t>
        </is>
      </c>
      <c r="S4" s="110" t="inlineStr">
        <is>
          <t>Потолок</t>
        </is>
      </c>
      <c r="T4" s="110" t="inlineStr">
        <is>
          <t>Пол</t>
        </is>
      </c>
      <c r="U4" s="110" t="inlineStr">
        <is>
          <t>Стены</t>
        </is>
      </c>
      <c r="V4" s="110" t="inlineStr">
        <is>
          <t>Потолок</t>
        </is>
      </c>
      <c r="X4" s="30" t="n"/>
      <c r="Y4" s="30" t="n"/>
      <c r="Z4" s="30" t="n"/>
    </row>
    <row r="5">
      <c r="A5" s="17">
        <f>СПРАВОЧНИК!$B$35</f>
        <v/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X5" s="32">
        <f>B5+E5+H5+K5+N5+Q5+T5</f>
        <v/>
      </c>
      <c r="Y5" s="32">
        <f>C5+F5+I5+L5+O5+R5+U5</f>
        <v/>
      </c>
      <c r="Z5" s="32">
        <f>D5+G5+J5+M5+P5+S5+V5</f>
        <v/>
      </c>
    </row>
    <row r="6">
      <c r="A6" s="17">
        <f>A5+7</f>
        <v/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X6" s="32">
        <f>B6+E6+H6+K6+N6+Q6+T6</f>
        <v/>
      </c>
      <c r="Y6" s="32">
        <f>C6+F6+I6+L6+O6+R6+U6</f>
        <v/>
      </c>
      <c r="Z6" s="32">
        <f>D6+G6+J6+M6+P6+S6+V6</f>
        <v/>
      </c>
    </row>
    <row r="7">
      <c r="A7" s="17">
        <f>A6+7</f>
        <v/>
      </c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X7" s="32">
        <f>B7+E7+H7+K7+N7+Q7+T7</f>
        <v/>
      </c>
      <c r="Y7" s="32">
        <f>C7+F7+I7+L7+O7+R7+U7</f>
        <v/>
      </c>
      <c r="Z7" s="32">
        <f>D7+G7+J7+M7+P7+S7+V7</f>
        <v/>
      </c>
    </row>
    <row r="8">
      <c r="A8" s="17">
        <f>A7+7</f>
        <v/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X8" s="32">
        <f>B8+E8+H8+K8+N8+Q8+T8</f>
        <v/>
      </c>
      <c r="Y8" s="32">
        <f>C8+F8+I8+L8+O8+R8+U8</f>
        <v/>
      </c>
      <c r="Z8" s="32">
        <f>D8+G8+J8+M8+P8+S8+V8</f>
        <v/>
      </c>
    </row>
    <row r="9">
      <c r="A9" s="17">
        <f>A8+7</f>
        <v/>
      </c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X9" s="32">
        <f>B9+E9+H9+K9+N9+Q9+T9</f>
        <v/>
      </c>
      <c r="Y9" s="32">
        <f>C9+F9+I9+L9+O9+R9+U9</f>
        <v/>
      </c>
      <c r="Z9" s="32">
        <f>D9+G9+J9+M9+P9+S9+V9</f>
        <v/>
      </c>
    </row>
    <row r="10">
      <c r="A10" s="17">
        <f>A9+7</f>
        <v/>
      </c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X10" s="32">
        <f>B10+E10+H10+K10+N10+Q10+T10</f>
        <v/>
      </c>
      <c r="Y10" s="32">
        <f>C10+F10+I10+L10+O10+R10+U10</f>
        <v/>
      </c>
      <c r="Z10" s="32">
        <f>D10+G10+J10+M10+P10+S10+V10</f>
        <v/>
      </c>
    </row>
    <row r="11">
      <c r="A11" s="17">
        <f>A10+7</f>
        <v/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X11" s="32">
        <f>B11+E11+H11+K11+N11+Q11+T11</f>
        <v/>
      </c>
      <c r="Y11" s="32">
        <f>C11+F11+I11+L11+O11+R11+U11</f>
        <v/>
      </c>
      <c r="Z11" s="32">
        <f>D11+G11+J11+M11+P11+S11+V11</f>
        <v/>
      </c>
    </row>
    <row r="12">
      <c r="A12" s="17">
        <f>A11+7</f>
        <v/>
      </c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X12" s="32">
        <f>B12+E12+H12+K12+N12+Q12+T12</f>
        <v/>
      </c>
      <c r="Y12" s="32">
        <f>C12+F12+I12+L12+O12+R12+U12</f>
        <v/>
      </c>
      <c r="Z12" s="32">
        <f>D12+G12+J12+M12+P12+S12+V12</f>
        <v/>
      </c>
    </row>
    <row r="13">
      <c r="A13" s="17">
        <f>A12+7</f>
        <v/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X13" s="32">
        <f>B13+E13+H13+K13+N13+Q13+T13</f>
        <v/>
      </c>
      <c r="Y13" s="32">
        <f>C13+F13+I13+L13+O13+R13+U13</f>
        <v/>
      </c>
      <c r="Z13" s="32">
        <f>D13+G13+J13+M13+P13+S13+V13</f>
        <v/>
      </c>
    </row>
    <row r="14">
      <c r="A14" s="17">
        <f>A13+7</f>
        <v/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X14" s="32">
        <f>B14+E14+H14+K14+N14+Q14+T14</f>
        <v/>
      </c>
      <c r="Y14" s="32">
        <f>C14+F14+I14+L14+O14+R14+U14</f>
        <v/>
      </c>
      <c r="Z14" s="32">
        <f>D14+G14+J14+M14+P14+S14+V14</f>
        <v/>
      </c>
    </row>
    <row r="15">
      <c r="A15" s="17">
        <f>A14+7</f>
        <v/>
      </c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X15" s="32">
        <f>B15+E15+H15+K15+N15+Q15+T15</f>
        <v/>
      </c>
      <c r="Y15" s="32">
        <f>C15+F15+I15+L15+O15+R15+U15</f>
        <v/>
      </c>
      <c r="Z15" s="32">
        <f>D15+G15+J15+M15+P15+S15+V15</f>
        <v/>
      </c>
    </row>
    <row r="16">
      <c r="A16" s="17">
        <f>A15+7</f>
        <v/>
      </c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X16" s="32">
        <f>B16+E16+H16+K16+N16+Q16+T16</f>
        <v/>
      </c>
      <c r="Y16" s="32">
        <f>C16+F16+I16+L16+O16+R16+U16</f>
        <v/>
      </c>
      <c r="Z16" s="32">
        <f>D16+G16+J16+M16+P16+S16+V16</f>
        <v/>
      </c>
    </row>
    <row r="17">
      <c r="A17" s="17">
        <f>A16+7</f>
        <v/>
      </c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X17" s="32">
        <f>B17+E17+H17+K17+N17+Q17+T17</f>
        <v/>
      </c>
      <c r="Y17" s="32">
        <f>C17+F17+I17+L17+O17+R17+U17</f>
        <v/>
      </c>
      <c r="Z17" s="32">
        <f>D17+G17+J17+M17+P17+S17+V17</f>
        <v/>
      </c>
    </row>
    <row r="18">
      <c r="A18" s="17">
        <f>A17+7</f>
        <v/>
      </c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X18" s="32">
        <f>B18+E18+H18+K18+N18+Q18+T18</f>
        <v/>
      </c>
      <c r="Y18" s="32">
        <f>C18+F18+I18+L18+O18+R18+U18</f>
        <v/>
      </c>
      <c r="Z18" s="32">
        <f>D18+G18+J18+M18+P18+S18+V18</f>
        <v/>
      </c>
    </row>
    <row r="19">
      <c r="A19" s="17">
        <f>A18+7</f>
        <v/>
      </c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X19" s="32">
        <f>B19+E19+H19+K19+N19+Q19+T19</f>
        <v/>
      </c>
      <c r="Y19" s="32">
        <f>C19+F19+I19+L19+O19+R19+U19</f>
        <v/>
      </c>
      <c r="Z19" s="32">
        <f>D19+G19+J19+M19+P19+S19+V19</f>
        <v/>
      </c>
    </row>
    <row r="20">
      <c r="A20" s="17">
        <f>A19+7</f>
        <v/>
      </c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X20" s="32">
        <f>B20+E20+H20+K20+N20+Q20+T20</f>
        <v/>
      </c>
      <c r="Y20" s="32">
        <f>C20+F20+I20+L20+O20+R20+U20</f>
        <v/>
      </c>
      <c r="Z20" s="32">
        <f>D20+G20+J20+M20+P20+S20+V20</f>
        <v/>
      </c>
    </row>
    <row r="21">
      <c r="A21" s="17">
        <f>A20+7</f>
        <v/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X21" s="32">
        <f>B21+E21+H21+K21+N21+Q21+T21</f>
        <v/>
      </c>
      <c r="Y21" s="32">
        <f>C21+F21+I21+L21+O21+R21+U21</f>
        <v/>
      </c>
      <c r="Z21" s="32">
        <f>D21+G21+J21+M21+P21+S21+V21</f>
        <v/>
      </c>
    </row>
    <row r="22">
      <c r="A22" s="17">
        <f>A21+7</f>
        <v/>
      </c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X22" s="32">
        <f>B22+E22+H22+K22+N22+Q22+T22</f>
        <v/>
      </c>
      <c r="Y22" s="32">
        <f>C22+F22+I22+L22+O22+R22+U22</f>
        <v/>
      </c>
      <c r="Z22" s="32">
        <f>D22+G22+J22+M22+P22+S22+V22</f>
        <v/>
      </c>
    </row>
    <row r="23">
      <c r="A23" s="17">
        <f>A22+7</f>
        <v/>
      </c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X23" s="32">
        <f>B23+E23+H23+K23+N23+Q23+T23</f>
        <v/>
      </c>
      <c r="Y23" s="32">
        <f>C23+F23+I23+L23+O23+R23+U23</f>
        <v/>
      </c>
      <c r="Z23" s="32">
        <f>D23+G23+J23+M23+P23+S23+V23</f>
        <v/>
      </c>
    </row>
    <row r="24">
      <c r="A24" s="17">
        <f>A23+7</f>
        <v/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X24" s="32">
        <f>B24+E24+H24+K24+N24+Q24+T24</f>
        <v/>
      </c>
      <c r="Y24" s="32">
        <f>C24+F24+I24+L24+O24+R24+U24</f>
        <v/>
      </c>
      <c r="Z24" s="32">
        <f>D24+G24+J24+M24+P24+S24+V24</f>
        <v/>
      </c>
    </row>
    <row r="25">
      <c r="A25" s="17">
        <f>A24+7</f>
        <v/>
      </c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X25" s="32">
        <f>B25+E25+H25+K25+N25+Q25+T25</f>
        <v/>
      </c>
      <c r="Y25" s="32">
        <f>C25+F25+I25+L25+O25+R25+U25</f>
        <v/>
      </c>
      <c r="Z25" s="32">
        <f>D25+G25+J25+M25+P25+S25+V25</f>
        <v/>
      </c>
    </row>
    <row r="26">
      <c r="A26" s="17">
        <f>A25+7</f>
        <v/>
      </c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X26" s="32">
        <f>B26+E26+H26+K26+N26+Q26+T26</f>
        <v/>
      </c>
      <c r="Y26" s="32">
        <f>C26+F26+I26+L26+O26+R26+U26</f>
        <v/>
      </c>
      <c r="Z26" s="32">
        <f>D26+G26+J26+M26+P26+S26+V26</f>
        <v/>
      </c>
    </row>
    <row r="27">
      <c r="A27" s="17">
        <f>A26+7</f>
        <v/>
      </c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X27" s="32">
        <f>B27+E27+H27+K27+N27+Q27+T27</f>
        <v/>
      </c>
      <c r="Y27" s="32">
        <f>C27+F27+I27+L27+O27+R27+U27</f>
        <v/>
      </c>
      <c r="Z27" s="32">
        <f>D27+G27+J27+M27+P27+S27+V27</f>
        <v/>
      </c>
    </row>
    <row r="28">
      <c r="A28" s="17">
        <f>A27+7</f>
        <v/>
      </c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X28" s="32">
        <f>B28+E28+H28+K28+N28+Q28+T28</f>
        <v/>
      </c>
      <c r="Y28" s="32">
        <f>C28+F28+I28+L28+O28+R28+U28</f>
        <v/>
      </c>
      <c r="Z28" s="32">
        <f>D28+G28+J28+M28+P28+S28+V28</f>
        <v/>
      </c>
    </row>
    <row r="29">
      <c r="A29" s="17">
        <f>A28+7</f>
        <v/>
      </c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X29" s="32">
        <f>B29+E29+H29+K29+N29+Q29+T29</f>
        <v/>
      </c>
      <c r="Y29" s="32">
        <f>C29+F29+I29+L29+O29+R29+U29</f>
        <v/>
      </c>
      <c r="Z29" s="32">
        <f>D29+G29+J29+M29+P29+S29+V29</f>
        <v/>
      </c>
    </row>
    <row r="30">
      <c r="A30" s="17">
        <f>A29+7</f>
        <v/>
      </c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  <c r="X30" s="32">
        <f>B30+E30+H30+K30+N30+Q30+T30</f>
        <v/>
      </c>
      <c r="Y30" s="32">
        <f>C30+F30+I30+L30+O30+R30+U30</f>
        <v/>
      </c>
      <c r="Z30" s="32">
        <f>D30+G30+J30+M30+P30+S30+V30</f>
        <v/>
      </c>
    </row>
    <row r="31">
      <c r="A31" s="17">
        <f>A30+7</f>
        <v/>
      </c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X31" s="32">
        <f>B31+E31+H31+K31+N31+Q31+T31</f>
        <v/>
      </c>
      <c r="Y31" s="32">
        <f>C31+F31+I31+L31+O31+R31+U31</f>
        <v/>
      </c>
      <c r="Z31" s="32">
        <f>D31+G31+J31+M31+P31+S31+V31</f>
        <v/>
      </c>
    </row>
    <row r="32">
      <c r="A32" s="17">
        <f>A31+7</f>
        <v/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X32" s="32">
        <f>B32+E32+H32+K32+N32+Q32+T32</f>
        <v/>
      </c>
      <c r="Y32" s="32">
        <f>C32+F32+I32+L32+O32+R32+U32</f>
        <v/>
      </c>
      <c r="Z32" s="32">
        <f>D32+G32+J32+M32+P32+S32+V32</f>
        <v/>
      </c>
    </row>
    <row r="33">
      <c r="A33" s="17">
        <f>A32+7</f>
        <v/>
      </c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X33" s="32">
        <f>B33+E33+H33+K33+N33+Q33+T33</f>
        <v/>
      </c>
      <c r="Y33" s="32">
        <f>C33+F33+I33+L33+O33+R33+U33</f>
        <v/>
      </c>
      <c r="Z33" s="32">
        <f>D33+G33+J33+M33+P33+S33+V33</f>
        <v/>
      </c>
    </row>
    <row r="34">
      <c r="A34" s="17">
        <f>A33+7</f>
        <v/>
      </c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X34" s="32">
        <f>B34+E34+H34+K34+N34+Q34+T34</f>
        <v/>
      </c>
      <c r="Y34" s="32">
        <f>C34+F34+I34+L34+O34+R34+U34</f>
        <v/>
      </c>
      <c r="Z34" s="32">
        <f>D34+G34+J34+M34+P34+S34+V34</f>
        <v/>
      </c>
    </row>
    <row r="35">
      <c r="A35" s="17">
        <f>A34+7</f>
        <v/>
      </c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X35" s="32">
        <f>B35+E35+H35+K35+N35+Q35+T35</f>
        <v/>
      </c>
      <c r="Y35" s="32">
        <f>C35+F35+I35+L35+O35+R35+U35</f>
        <v/>
      </c>
      <c r="Z35" s="32">
        <f>D35+G35+J35+M35+P35+S35+V35</f>
        <v/>
      </c>
    </row>
    <row r="36">
      <c r="A36" s="17">
        <f>A35+7</f>
        <v/>
      </c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X36" s="32">
        <f>B36+E36+H36+K36+N36+Q36+T36</f>
        <v/>
      </c>
      <c r="Y36" s="32">
        <f>C36+F36+I36+L36+O36+R36+U36</f>
        <v/>
      </c>
      <c r="Z36" s="32">
        <f>D36+G36+J36+M36+P36+S36+V36</f>
        <v/>
      </c>
    </row>
    <row r="37">
      <c r="A37" s="17">
        <f>A36+7</f>
        <v/>
      </c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X37" s="32">
        <f>B37+E37+H37+K37+N37+Q37+T37</f>
        <v/>
      </c>
      <c r="Y37" s="32">
        <f>C37+F37+I37+L37+O37+R37+U37</f>
        <v/>
      </c>
      <c r="Z37" s="32">
        <f>D37+G37+J37+M37+P37+S37+V37</f>
        <v/>
      </c>
    </row>
    <row r="38">
      <c r="A38" s="17">
        <f>A37+7</f>
        <v/>
      </c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X38" s="32">
        <f>B38+E38+H38+K38+N38+Q38+T38</f>
        <v/>
      </c>
      <c r="Y38" s="32">
        <f>C38+F38+I38+L38+O38+R38+U38</f>
        <v/>
      </c>
      <c r="Z38" s="32">
        <f>D38+G38+J38+M38+P38+S38+V38</f>
        <v/>
      </c>
    </row>
    <row r="39">
      <c r="A39" s="17">
        <f>A38+7</f>
        <v/>
      </c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X39" s="32">
        <f>B39+E39+H39+K39+N39+Q39+T39</f>
        <v/>
      </c>
      <c r="Y39" s="32">
        <f>C39+F39+I39+L39+O39+R39+U39</f>
        <v/>
      </c>
      <c r="Z39" s="32">
        <f>D39+G39+J39+M39+P39+S39+V39</f>
        <v/>
      </c>
    </row>
    <row r="40">
      <c r="A40" s="17">
        <f>A39+7</f>
        <v/>
      </c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X40" s="32">
        <f>B40+E40+H40+K40+N40+Q40+T40</f>
        <v/>
      </c>
      <c r="Y40" s="32">
        <f>C40+F40+I40+L40+O40+R40+U40</f>
        <v/>
      </c>
      <c r="Z40" s="32">
        <f>D40+G40+J40+M40+P40+S40+V40</f>
        <v/>
      </c>
    </row>
    <row r="41">
      <c r="A41" s="17">
        <f>A40+7</f>
        <v/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X41" s="32">
        <f>B41+E41+H41+K41+N41+Q41+T41</f>
        <v/>
      </c>
      <c r="Y41" s="32">
        <f>C41+F41+I41+L41+O41+R41+U41</f>
        <v/>
      </c>
      <c r="Z41" s="32">
        <f>D41+G41+J41+M41+P41+S41+V41</f>
        <v/>
      </c>
    </row>
    <row r="42">
      <c r="A42" s="17">
        <f>A41+7</f>
        <v/>
      </c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X42" s="32">
        <f>B42+E42+H42+K42+N42+Q42+T42</f>
        <v/>
      </c>
      <c r="Y42" s="32">
        <f>C42+F42+I42+L42+O42+R42+U42</f>
        <v/>
      </c>
      <c r="Z42" s="32">
        <f>D42+G42+J42+M42+P42+S42+V42</f>
        <v/>
      </c>
    </row>
    <row r="43">
      <c r="A43" s="17">
        <f>A42+7</f>
        <v/>
      </c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33" t="n"/>
      <c r="X43" s="32">
        <f>B43+E43+H43+K43+N43+Q43+T43</f>
        <v/>
      </c>
      <c r="Y43" s="32">
        <f>C43+F43+I43+L43+O43+R43+U43</f>
        <v/>
      </c>
      <c r="Z43" s="32">
        <f>D43+G43+J43+M43+P43+S43+V43</f>
        <v/>
      </c>
    </row>
    <row r="44">
      <c r="A44" s="17">
        <f>A43+7</f>
        <v/>
      </c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33" t="n"/>
      <c r="X44" s="32">
        <f>B44+E44+H44+K44+N44+Q44+T44</f>
        <v/>
      </c>
      <c r="Y44" s="32">
        <f>C44+F44+I44+L44+O44+R44+U44</f>
        <v/>
      </c>
      <c r="Z44" s="32">
        <f>D44+G44+J44+M44+P44+S44+V44</f>
        <v/>
      </c>
    </row>
    <row r="45">
      <c r="A45" s="17">
        <f>A44+7</f>
        <v/>
      </c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33" t="n"/>
      <c r="X45" s="32">
        <f>B45+E45+H45+K45+N45+Q45+T45</f>
        <v/>
      </c>
      <c r="Y45" s="32">
        <f>C45+F45+I45+L45+O45+R45+U45</f>
        <v/>
      </c>
      <c r="Z45" s="32">
        <f>D45+G45+J45+M45+P45+S45+V45</f>
        <v/>
      </c>
    </row>
    <row r="46">
      <c r="A46" s="17">
        <f>A45+7</f>
        <v/>
      </c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  <c r="X46" s="32">
        <f>B46+E46+H46+K46+N46+Q46+T46</f>
        <v/>
      </c>
      <c r="Y46" s="32">
        <f>C46+F46+I46+L46+O46+R46+U46</f>
        <v/>
      </c>
      <c r="Z46" s="32">
        <f>D46+G46+J46+M46+P46+S46+V46</f>
        <v/>
      </c>
    </row>
    <row r="47">
      <c r="A47" s="17">
        <f>A46+7</f>
        <v/>
      </c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33" t="n"/>
      <c r="X47" s="32">
        <f>B47+E47+H47+K47+N47+Q47+T47</f>
        <v/>
      </c>
      <c r="Y47" s="32">
        <f>C47+F47+I47+L47+O47+R47+U47</f>
        <v/>
      </c>
      <c r="Z47" s="32">
        <f>D47+G47+J47+M47+P47+S47+V47</f>
        <v/>
      </c>
    </row>
    <row r="48">
      <c r="A48" s="17">
        <f>A47+7</f>
        <v/>
      </c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X48" s="32">
        <f>B48+E48+H48+K48+N48+Q48+T48</f>
        <v/>
      </c>
      <c r="Y48" s="32">
        <f>C48+F48+I48+L48+O48+R48+U48</f>
        <v/>
      </c>
      <c r="Z48" s="32">
        <f>D48+G48+J48+M48+P48+S48+V48</f>
        <v/>
      </c>
    </row>
    <row r="49">
      <c r="A49" s="17">
        <f>A48+7</f>
        <v/>
      </c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X49" s="32">
        <f>B49+E49+H49+K49+N49+Q49+T49</f>
        <v/>
      </c>
      <c r="Y49" s="32">
        <f>C49+F49+I49+L49+O49+R49+U49</f>
        <v/>
      </c>
      <c r="Z49" s="32">
        <f>D49+G49+J49+M49+P49+S49+V49</f>
        <v/>
      </c>
    </row>
    <row r="50">
      <c r="A50" s="17">
        <f>A49+7</f>
        <v/>
      </c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X50" s="32">
        <f>B50+E50+H50+K50+N50+Q50+T50</f>
        <v/>
      </c>
      <c r="Y50" s="32">
        <f>C50+F50+I50+L50+O50+R50+U50</f>
        <v/>
      </c>
      <c r="Z50" s="32">
        <f>D50+G50+J50+M50+P50+S50+V50</f>
        <v/>
      </c>
    </row>
    <row r="51">
      <c r="A51" s="17">
        <f>A50+7</f>
        <v/>
      </c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33" t="n"/>
      <c r="X51" s="32">
        <f>B51+E51+H51+K51+N51+Q51+T51</f>
        <v/>
      </c>
      <c r="Y51" s="32">
        <f>C51+F51+I51+L51+O51+R51+U51</f>
        <v/>
      </c>
      <c r="Z51" s="32">
        <f>D51+G51+J51+M51+P51+S51+V51</f>
        <v/>
      </c>
    </row>
    <row r="52">
      <c r="A52" s="17">
        <f>A51+7</f>
        <v/>
      </c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X52" s="32">
        <f>B52+E52+H52+K52+N52+Q52+T52</f>
        <v/>
      </c>
      <c r="Y52" s="32">
        <f>C52+F52+I52+L52+O52+R52+U52</f>
        <v/>
      </c>
      <c r="Z52" s="32">
        <f>D52+G52+J52+M52+P52+S52+V52</f>
        <v/>
      </c>
    </row>
  </sheetData>
  <mergeCells count="11">
    <mergeCell ref="B3:D3"/>
    <mergeCell ref="B2:V2"/>
    <mergeCell ref="A1:V1"/>
    <mergeCell ref="T3:V3"/>
    <mergeCell ref="A2:A3"/>
    <mergeCell ref="E3:G3"/>
    <mergeCell ref="K3:M3"/>
    <mergeCell ref="H3:J3"/>
    <mergeCell ref="X1:Z1"/>
    <mergeCell ref="N3:P3"/>
    <mergeCell ref="Q3:S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V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548235"/>
    <outlinePr summaryBelow="1" summaryRight="1"/>
    <pageSetUpPr/>
  </sheetPr>
  <dimension ref="A1:AO52"/>
  <sheetViews>
    <sheetView workbookViewId="0">
      <pane xSplit="1" ySplit="4" topLeftCell="B13" activePane="bottomRight" state="frozen"/>
      <selection pane="topRight" activeCell="A1" sqref="A1"/>
      <selection pane="bottomLeft" activeCell="A1" sqref="A1"/>
      <selection pane="bottomRight" activeCell="A20" sqref="A20"/>
    </sheetView>
  </sheetViews>
  <sheetFormatPr baseColWidth="8" defaultRowHeight="15"/>
  <cols>
    <col width="14" customWidth="1" style="102" min="1" max="1"/>
    <col width="10" customWidth="1" style="102" min="2" max="27"/>
    <col width="10" customWidth="1" style="102" min="3" max="3"/>
    <col width="10" customWidth="1" style="102" min="4" max="4"/>
    <col width="10" customWidth="1" style="102" min="5" max="5"/>
    <col width="10" customWidth="1" style="102" min="6" max="6"/>
    <col width="10" customWidth="1" style="102" min="7" max="7"/>
    <col width="10" customWidth="1" style="102" min="8" max="8"/>
    <col width="10" customWidth="1" style="102" min="9" max="9"/>
    <col width="10" customWidth="1" style="102" min="10" max="10"/>
    <col width="10" customWidth="1" style="102" min="11" max="11"/>
    <col width="10" customWidth="1" style="102" min="12" max="12"/>
    <col width="10" customWidth="1" style="102" min="13" max="13"/>
    <col width="10" customWidth="1" style="102" min="14" max="14"/>
    <col width="10" customWidth="1" style="102" min="15" max="15"/>
    <col width="10" customWidth="1" style="102" min="16" max="16"/>
    <col width="10" customWidth="1" style="102" min="17" max="17"/>
    <col width="10" customWidth="1" style="102" min="18" max="18"/>
    <col width="10" customWidth="1" style="102" min="19" max="19"/>
    <col width="10" customWidth="1" style="102" min="20" max="20"/>
    <col width="10" customWidth="1" style="102" min="21" max="21"/>
    <col width="10" customWidth="1" style="102" min="22" max="22"/>
    <col width="10" customWidth="1" style="102" min="23" max="23"/>
    <col width="10" customWidth="1" style="102" min="24" max="24"/>
    <col width="10" customWidth="1" style="102" min="25" max="25"/>
    <col width="10" customWidth="1" style="102" min="26" max="26"/>
    <col width="10" customWidth="1" style="102" min="27" max="27"/>
    <col width="10" customWidth="1" style="102" min="28" max="28"/>
    <col width="10" customWidth="1" style="102" min="29" max="29"/>
    <col width="10" customWidth="1" style="102" min="30" max="30"/>
    <col width="10" customWidth="1" style="102" min="31" max="31"/>
    <col width="10" customWidth="1" style="102" min="32" max="32"/>
    <col width="10" customWidth="1" style="102" min="33" max="33"/>
    <col width="10" customWidth="1" style="102" min="34" max="34"/>
    <col width="10" customWidth="1" style="102" min="35" max="35"/>
    <col width="10" customWidth="1" style="102" min="36" max="36"/>
    <col width="10" customWidth="1" style="102" min="37" max="37"/>
    <col width="10" customWidth="1" style="102" min="38" max="38"/>
    <col width="10" customWidth="1" style="102" min="39" max="39"/>
    <col width="10" customWidth="1" style="102" min="40" max="40"/>
    <col width="10" customWidth="1" style="102" min="41" max="41"/>
  </cols>
  <sheetData>
    <row r="1">
      <c r="A1" s="118" t="inlineStr">
        <is>
          <t>ФАКТ ЧИСТ К1</t>
        </is>
      </c>
    </row>
    <row r="2">
      <c r="A2" s="115" t="inlineStr">
        <is>
          <t>Дата</t>
        </is>
      </c>
      <c r="B2" s="115" t="inlineStr">
        <is>
          <t>Надземная часть</t>
        </is>
      </c>
      <c r="C2" s="119" t="n"/>
      <c r="D2" s="119" t="n"/>
      <c r="E2" s="119" t="n"/>
      <c r="F2" s="119" t="n"/>
      <c r="G2" s="119" t="n"/>
      <c r="H2" s="119" t="n"/>
      <c r="I2" s="119" t="n"/>
      <c r="J2" s="119" t="n"/>
      <c r="K2" s="119" t="n"/>
      <c r="L2" s="119" t="n"/>
      <c r="M2" s="119" t="n"/>
      <c r="N2" s="119" t="n"/>
      <c r="O2" s="119" t="n"/>
      <c r="P2" s="119" t="n"/>
      <c r="Q2" s="119" t="n"/>
      <c r="R2" s="119" t="n"/>
      <c r="S2" s="119" t="n"/>
      <c r="T2" s="119" t="n"/>
      <c r="U2" s="119" t="n"/>
      <c r="V2" s="119" t="n"/>
      <c r="W2" s="119" t="n"/>
      <c r="X2" s="119" t="n"/>
      <c r="Y2" s="119" t="n"/>
      <c r="Z2" s="119" t="n"/>
      <c r="AA2" s="119" t="n"/>
      <c r="AB2" s="119" t="n"/>
      <c r="AC2" s="119" t="n"/>
      <c r="AD2" s="119" t="n"/>
      <c r="AE2" s="119" t="n"/>
      <c r="AF2" s="119" t="n"/>
      <c r="AG2" s="119" t="n"/>
      <c r="AH2" s="119" t="n"/>
      <c r="AI2" s="119" t="n"/>
      <c r="AJ2" s="120" t="n"/>
      <c r="AK2" s="121" t="n"/>
      <c r="AL2" s="121" t="n"/>
      <c r="AM2" s="121" t="n"/>
      <c r="AN2" s="121" t="n"/>
      <c r="AO2" s="121" t="n"/>
    </row>
    <row r="3">
      <c r="A3" s="122" t="n"/>
      <c r="B3" s="115" t="inlineStr">
        <is>
          <t>8.2.1 Отделка лобби/гранд-лобби</t>
        </is>
      </c>
      <c r="C3" s="119" t="n"/>
      <c r="D3" s="119" t="n"/>
      <c r="E3" s="119" t="n"/>
      <c r="F3" s="120" t="n"/>
      <c r="G3" s="115" t="inlineStr">
        <is>
          <t>8.2.2 Отделка эвакуац. лестн. клетки надзем.</t>
        </is>
      </c>
      <c r="H3" s="119" t="n"/>
      <c r="I3" s="119" t="n"/>
      <c r="J3" s="119" t="n"/>
      <c r="K3" s="120" t="n"/>
      <c r="L3" s="115" t="inlineStr">
        <is>
          <t>8.2.3 Лифт. холлы, тамбур-шлюзы надзем.</t>
        </is>
      </c>
      <c r="M3" s="119" t="n"/>
      <c r="N3" s="119" t="n"/>
      <c r="O3" s="119" t="n"/>
      <c r="P3" s="120" t="n"/>
      <c r="Q3" s="115" t="inlineStr">
        <is>
          <t>8.2.4 Технич. помещения надзем.</t>
        </is>
      </c>
      <c r="R3" s="119" t="n"/>
      <c r="S3" s="119" t="n"/>
      <c r="T3" s="119" t="n"/>
      <c r="U3" s="120" t="n"/>
      <c r="V3" s="115" t="inlineStr">
        <is>
          <t>8.2.5 Прочие помещения надзем.</t>
        </is>
      </c>
      <c r="W3" s="119" t="n"/>
      <c r="X3" s="119" t="n"/>
      <c r="Y3" s="119" t="n"/>
      <c r="Z3" s="120" t="n"/>
      <c r="AA3" s="115" t="inlineStr">
        <is>
          <t>8.2.6 Коммерч. помещения надзем.</t>
        </is>
      </c>
      <c r="AB3" s="119" t="n"/>
      <c r="AC3" s="119" t="n"/>
      <c r="AD3" s="119" t="n"/>
      <c r="AE3" s="120" t="n"/>
      <c r="AF3" s="115" t="inlineStr">
        <is>
          <t>8.2.7 Паркинг и рампы надзем.</t>
        </is>
      </c>
      <c r="AG3" s="119" t="n"/>
      <c r="AH3" s="119" t="n"/>
      <c r="AI3" s="119" t="n"/>
      <c r="AJ3" s="120" t="n"/>
      <c r="AK3" s="115" t="inlineStr">
        <is>
          <t>Итого</t>
        </is>
      </c>
      <c r="AL3" s="119" t="n"/>
      <c r="AM3" s="119" t="n"/>
      <c r="AN3" s="119" t="n"/>
      <c r="AO3" s="120" t="n"/>
    </row>
    <row r="4">
      <c r="A4" s="123" t="n"/>
      <c r="B4" s="115" t="inlineStr">
        <is>
          <t>Пол</t>
        </is>
      </c>
      <c r="C4" s="115" t="inlineStr">
        <is>
          <t>Стены</t>
        </is>
      </c>
      <c r="D4" s="115" t="inlineStr">
        <is>
          <t>Потолок</t>
        </is>
      </c>
      <c r="E4" s="115" t="inlineStr">
        <is>
          <t>Запол.</t>
        </is>
      </c>
      <c r="F4" s="115" t="inlineStr">
        <is>
          <t>Мебл.</t>
        </is>
      </c>
      <c r="G4" s="115" t="inlineStr">
        <is>
          <t>Пол</t>
        </is>
      </c>
      <c r="H4" s="115" t="inlineStr">
        <is>
          <t>Стены</t>
        </is>
      </c>
      <c r="I4" s="115" t="inlineStr">
        <is>
          <t>Потолок</t>
        </is>
      </c>
      <c r="J4" s="115" t="inlineStr">
        <is>
          <t>Запол.</t>
        </is>
      </c>
      <c r="K4" s="115" t="inlineStr">
        <is>
          <t>Мебл.</t>
        </is>
      </c>
      <c r="L4" s="115" t="inlineStr">
        <is>
          <t>Пол</t>
        </is>
      </c>
      <c r="M4" s="115" t="inlineStr">
        <is>
          <t>Стены</t>
        </is>
      </c>
      <c r="N4" s="115" t="inlineStr">
        <is>
          <t>Потолок</t>
        </is>
      </c>
      <c r="O4" s="115" t="inlineStr">
        <is>
          <t>Запол.</t>
        </is>
      </c>
      <c r="P4" s="115" t="inlineStr">
        <is>
          <t>Мебл.</t>
        </is>
      </c>
      <c r="Q4" s="115" t="inlineStr">
        <is>
          <t>Пол</t>
        </is>
      </c>
      <c r="R4" s="115" t="inlineStr">
        <is>
          <t>Стены</t>
        </is>
      </c>
      <c r="S4" s="115" t="inlineStr">
        <is>
          <t>Потолок</t>
        </is>
      </c>
      <c r="T4" s="115" t="inlineStr">
        <is>
          <t>Запол.</t>
        </is>
      </c>
      <c r="U4" s="115" t="inlineStr">
        <is>
          <t>Мебл.</t>
        </is>
      </c>
      <c r="V4" s="115" t="inlineStr">
        <is>
          <t>Пол</t>
        </is>
      </c>
      <c r="W4" s="115" t="inlineStr">
        <is>
          <t>Стены</t>
        </is>
      </c>
      <c r="X4" s="115" t="inlineStr">
        <is>
          <t>Потолок</t>
        </is>
      </c>
      <c r="Y4" s="115" t="inlineStr">
        <is>
          <t>Запол.</t>
        </is>
      </c>
      <c r="Z4" s="115" t="inlineStr">
        <is>
          <t>Мебл.</t>
        </is>
      </c>
      <c r="AA4" s="115" t="inlineStr">
        <is>
          <t>Пол</t>
        </is>
      </c>
      <c r="AB4" s="115" t="inlineStr">
        <is>
          <t>Стены</t>
        </is>
      </c>
      <c r="AC4" s="115" t="inlineStr">
        <is>
          <t>Потолок</t>
        </is>
      </c>
      <c r="AD4" s="115" t="inlineStr">
        <is>
          <t>Запол.</t>
        </is>
      </c>
      <c r="AE4" s="115" t="inlineStr">
        <is>
          <t>Мебл.</t>
        </is>
      </c>
      <c r="AF4" s="115" t="inlineStr">
        <is>
          <t>Пол</t>
        </is>
      </c>
      <c r="AG4" s="115" t="inlineStr">
        <is>
          <t>Стены</t>
        </is>
      </c>
      <c r="AH4" s="115" t="inlineStr">
        <is>
          <t>Потолок</t>
        </is>
      </c>
      <c r="AI4" s="115" t="inlineStr">
        <is>
          <t>Запол.</t>
        </is>
      </c>
      <c r="AJ4" s="115" t="inlineStr">
        <is>
          <t>Мебл.</t>
        </is>
      </c>
      <c r="AK4" s="115" t="inlineStr">
        <is>
          <t>Пол</t>
        </is>
      </c>
      <c r="AL4" s="115" t="inlineStr">
        <is>
          <t>Стены</t>
        </is>
      </c>
      <c r="AM4" s="115" t="inlineStr">
        <is>
          <t>Потолок</t>
        </is>
      </c>
      <c r="AN4" s="115" t="inlineStr">
        <is>
          <t>Запол.</t>
        </is>
      </c>
      <c r="AO4" s="115" t="inlineStr">
        <is>
          <t>Мебл.</t>
        </is>
      </c>
    </row>
    <row r="5">
      <c r="A5" s="124">
        <f>СПРАВОЧНИК!$B$35</f>
        <v/>
      </c>
      <c r="B5" s="125" t="n"/>
      <c r="C5" s="125" t="n"/>
      <c r="D5" s="125" t="n"/>
      <c r="E5" s="125" t="n"/>
      <c r="F5" s="125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 t="n"/>
      <c r="AG5" s="125" t="n"/>
      <c r="AH5" s="125" t="n"/>
      <c r="AI5" s="125" t="n"/>
      <c r="AJ5" s="125" t="n"/>
      <c r="AK5" s="125">
        <f>B5+G5+L5+Q5+V5+AA5+AF5</f>
        <v/>
      </c>
      <c r="AL5" s="125">
        <f>C5+H5+M5+R5+W5+AB5+AG5</f>
        <v/>
      </c>
      <c r="AM5" s="125">
        <f>D5+I5+N5+S5+X5+AC5+AH5</f>
        <v/>
      </c>
      <c r="AN5" s="125">
        <f>E5+J5+O5+T5+Y5+AD5+AI5</f>
        <v/>
      </c>
      <c r="AO5" s="125">
        <f>F5+K5+P5+U5+Z5+AE5+AJ5</f>
        <v/>
      </c>
    </row>
    <row r="6">
      <c r="A6" s="124">
        <f>A5+7</f>
        <v/>
      </c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  <c r="AG6" s="125" t="n"/>
      <c r="AH6" s="125" t="n"/>
      <c r="AI6" s="125" t="n"/>
      <c r="AJ6" s="125" t="n"/>
      <c r="AK6" s="125">
        <f>B6+G6+L6+Q6+V6+AA6+AF6</f>
        <v/>
      </c>
      <c r="AL6" s="125">
        <f>C6+H6+M6+R6+W6+AB6+AG6</f>
        <v/>
      </c>
      <c r="AM6" s="125">
        <f>D6+I6+N6+S6+X6+AC6+AH6</f>
        <v/>
      </c>
      <c r="AN6" s="125">
        <f>E6+J6+O6+T6+Y6+AD6+AI6</f>
        <v/>
      </c>
      <c r="AO6" s="125">
        <f>F6+K6+P6+U6+Z6+AE6+AJ6</f>
        <v/>
      </c>
    </row>
    <row r="7">
      <c r="A7" s="124">
        <f>A6+7</f>
        <v/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 t="n"/>
      <c r="AG7" s="125" t="n"/>
      <c r="AH7" s="125" t="n"/>
      <c r="AI7" s="125" t="n"/>
      <c r="AJ7" s="125" t="n"/>
      <c r="AK7" s="125">
        <f>B7+G7+L7+Q7+V7+AA7+AF7</f>
        <v/>
      </c>
      <c r="AL7" s="125">
        <f>C7+H7+M7+R7+W7+AB7+AG7</f>
        <v/>
      </c>
      <c r="AM7" s="125">
        <f>D7+I7+N7+S7+X7+AC7+AH7</f>
        <v/>
      </c>
      <c r="AN7" s="125">
        <f>E7+J7+O7+T7+Y7+AD7+AI7</f>
        <v/>
      </c>
      <c r="AO7" s="125">
        <f>F7+K7+P7+U7+Z7+AE7+AJ7</f>
        <v/>
      </c>
    </row>
    <row r="8">
      <c r="A8" s="124">
        <f>A7+7</f>
        <v/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  <c r="AG8" s="125" t="n"/>
      <c r="AH8" s="125" t="n"/>
      <c r="AI8" s="125" t="n"/>
      <c r="AJ8" s="125" t="n"/>
      <c r="AK8" s="125">
        <f>B8+G8+L8+Q8+V8+AA8+AF8</f>
        <v/>
      </c>
      <c r="AL8" s="125">
        <f>C8+H8+M8+R8+W8+AB8+AG8</f>
        <v/>
      </c>
      <c r="AM8" s="125">
        <f>D8+I8+N8+S8+X8+AC8+AH8</f>
        <v/>
      </c>
      <c r="AN8" s="125">
        <f>E8+J8+O8+T8+Y8+AD8+AI8</f>
        <v/>
      </c>
      <c r="AO8" s="125">
        <f>F8+K8+P8+U8+Z8+AE8+AJ8</f>
        <v/>
      </c>
    </row>
    <row r="9">
      <c r="A9" s="124">
        <f>A8+7</f>
        <v/>
      </c>
      <c r="B9" s="125" t="n"/>
      <c r="C9" s="125" t="n"/>
      <c r="D9" s="125" t="n"/>
      <c r="E9" s="125" t="n"/>
      <c r="F9" s="125" t="n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  <c r="AG9" s="125" t="n"/>
      <c r="AH9" s="125" t="n"/>
      <c r="AI9" s="125" t="n"/>
      <c r="AJ9" s="125" t="n"/>
      <c r="AK9" s="125">
        <f>B9+G9+L9+Q9+V9+AA9+AF9</f>
        <v/>
      </c>
      <c r="AL9" s="125">
        <f>C9+H9+M9+R9+W9+AB9+AG9</f>
        <v/>
      </c>
      <c r="AM9" s="125">
        <f>D9+I9+N9+S9+X9+AC9+AH9</f>
        <v/>
      </c>
      <c r="AN9" s="125">
        <f>E9+J9+O9+T9+Y9+AD9+AI9</f>
        <v/>
      </c>
      <c r="AO9" s="125">
        <f>F9+K9+P9+U9+Z9+AE9+AJ9</f>
        <v/>
      </c>
    </row>
    <row r="10">
      <c r="A10" s="124">
        <f>A9+7</f>
        <v/>
      </c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  <c r="AG10" s="125" t="n"/>
      <c r="AH10" s="125" t="n"/>
      <c r="AI10" s="125" t="n"/>
      <c r="AJ10" s="125" t="n"/>
      <c r="AK10" s="125">
        <f>B10+G10+L10+Q10+V10+AA10+AF10</f>
        <v/>
      </c>
      <c r="AL10" s="125">
        <f>C10+H10+M10+R10+W10+AB10+AG10</f>
        <v/>
      </c>
      <c r="AM10" s="125">
        <f>D10+I10+N10+S10+X10+AC10+AH10</f>
        <v/>
      </c>
      <c r="AN10" s="125">
        <f>E10+J10+O10+T10+Y10+AD10+AI10</f>
        <v/>
      </c>
      <c r="AO10" s="125">
        <f>F10+K10+P10+U10+Z10+AE10+AJ10</f>
        <v/>
      </c>
    </row>
    <row r="11">
      <c r="A11" s="124">
        <f>A10+7</f>
        <v/>
      </c>
      <c r="B11" s="125" t="n"/>
      <c r="C11" s="125" t="n"/>
      <c r="D11" s="125" t="n"/>
      <c r="E11" s="125" t="n"/>
      <c r="F11" s="125" t="n"/>
      <c r="G11" s="125" t="n"/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  <c r="AG11" s="125" t="n"/>
      <c r="AH11" s="125" t="n"/>
      <c r="AI11" s="125" t="n"/>
      <c r="AJ11" s="125" t="n"/>
      <c r="AK11" s="125">
        <f>B11+G11+L11+Q11+V11+AA11+AF11</f>
        <v/>
      </c>
      <c r="AL11" s="125">
        <f>C11+H11+M11+R11+W11+AB11+AG11</f>
        <v/>
      </c>
      <c r="AM11" s="125">
        <f>D11+I11+N11+S11+X11+AC11+AH11</f>
        <v/>
      </c>
      <c r="AN11" s="125">
        <f>E11+J11+O11+T11+Y11+AD11+AI11</f>
        <v/>
      </c>
      <c r="AO11" s="125">
        <f>F11+K11+P11+U11+Z11+AE11+AJ11</f>
        <v/>
      </c>
    </row>
    <row r="12">
      <c r="A12" s="124">
        <f>A11+7</f>
        <v/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  <c r="AG12" s="125" t="n"/>
      <c r="AH12" s="125" t="n"/>
      <c r="AI12" s="125" t="n"/>
      <c r="AJ12" s="125" t="n"/>
      <c r="AK12" s="125">
        <f>B12+G12+L12+Q12+V12+AA12+AF12</f>
        <v/>
      </c>
      <c r="AL12" s="125">
        <f>C12+H12+M12+R12+W12+AB12+AG12</f>
        <v/>
      </c>
      <c r="AM12" s="125">
        <f>D12+I12+N12+S12+X12+AC12+AH12</f>
        <v/>
      </c>
      <c r="AN12" s="125">
        <f>E12+J12+O12+T12+Y12+AD12+AI12</f>
        <v/>
      </c>
      <c r="AO12" s="125">
        <f>F12+K12+P12+U12+Z12+AE12+AJ12</f>
        <v/>
      </c>
    </row>
    <row r="13">
      <c r="A13" s="124">
        <f>A12+7</f>
        <v/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  <c r="AG13" s="125" t="n"/>
      <c r="AH13" s="125" t="n"/>
      <c r="AI13" s="125" t="n"/>
      <c r="AJ13" s="125" t="n"/>
      <c r="AK13" s="125">
        <f>B13+G13+L13+Q13+V13+AA13+AF13</f>
        <v/>
      </c>
      <c r="AL13" s="125">
        <f>C13+H13+M13+R13+W13+AB13+AG13</f>
        <v/>
      </c>
      <c r="AM13" s="125">
        <f>D13+I13+N13+S13+X13+AC13+AH13</f>
        <v/>
      </c>
      <c r="AN13" s="125">
        <f>E13+J13+O13+T13+Y13+AD13+AI13</f>
        <v/>
      </c>
      <c r="AO13" s="125">
        <f>F13+K13+P13+U13+Z13+AE13+AJ13</f>
        <v/>
      </c>
    </row>
    <row r="14">
      <c r="A14" s="124">
        <f>A13+7</f>
        <v/>
      </c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 t="n"/>
      <c r="AG14" s="125" t="n"/>
      <c r="AH14" s="125" t="n"/>
      <c r="AI14" s="125" t="n"/>
      <c r="AJ14" s="125" t="n"/>
      <c r="AK14" s="125">
        <f>B14+G14+L14+Q14+V14+AA14+AF14</f>
        <v/>
      </c>
      <c r="AL14" s="125">
        <f>C14+H14+M14+R14+W14+AB14+AG14</f>
        <v/>
      </c>
      <c r="AM14" s="125">
        <f>D14+I14+N14+S14+X14+AC14+AH14</f>
        <v/>
      </c>
      <c r="AN14" s="125">
        <f>E14+J14+O14+T14+Y14+AD14+AI14</f>
        <v/>
      </c>
      <c r="AO14" s="125">
        <f>F14+K14+P14+U14+Z14+AE14+AJ14</f>
        <v/>
      </c>
    </row>
    <row r="15">
      <c r="A15" s="124">
        <f>A14+7</f>
        <v/>
      </c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 t="n"/>
      <c r="AG15" s="125" t="n"/>
      <c r="AH15" s="125" t="n"/>
      <c r="AI15" s="125" t="n"/>
      <c r="AJ15" s="125" t="n"/>
      <c r="AK15" s="125">
        <f>B15+G15+L15+Q15+V15+AA15+AF15</f>
        <v/>
      </c>
      <c r="AL15" s="125">
        <f>C15+H15+M15+R15+W15+AB15+AG15</f>
        <v/>
      </c>
      <c r="AM15" s="125">
        <f>D15+I15+N15+S15+X15+AC15+AH15</f>
        <v/>
      </c>
      <c r="AN15" s="125">
        <f>E15+J15+O15+T15+Y15+AD15+AI15</f>
        <v/>
      </c>
      <c r="AO15" s="125">
        <f>F15+K15+P15+U15+Z15+AE15+AJ15</f>
        <v/>
      </c>
    </row>
    <row r="16">
      <c r="A16" s="124">
        <f>A15+7</f>
        <v/>
      </c>
      <c r="B16" s="125" t="n"/>
      <c r="C16" s="125" t="n"/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 t="n"/>
      <c r="AG16" s="125" t="n"/>
      <c r="AH16" s="125" t="n"/>
      <c r="AI16" s="125" t="n"/>
      <c r="AJ16" s="125" t="n"/>
      <c r="AK16" s="125">
        <f>B16+G16+L16+Q16+V16+AA16+AF16</f>
        <v/>
      </c>
      <c r="AL16" s="125">
        <f>C16+H16+M16+R16+W16+AB16+AG16</f>
        <v/>
      </c>
      <c r="AM16" s="125">
        <f>D16+I16+N16+S16+X16+AC16+AH16</f>
        <v/>
      </c>
      <c r="AN16" s="125">
        <f>E16+J16+O16+T16+Y16+AD16+AI16</f>
        <v/>
      </c>
      <c r="AO16" s="125">
        <f>F16+K16+P16+U16+Z16+AE16+AJ16</f>
        <v/>
      </c>
    </row>
    <row r="17">
      <c r="A17" s="124">
        <f>A16+7</f>
        <v/>
      </c>
      <c r="B17" s="125" t="n"/>
      <c r="C17" s="125" t="n"/>
      <c r="D17" s="125" t="n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 t="n"/>
      <c r="AG17" s="125" t="n"/>
      <c r="AH17" s="125" t="n"/>
      <c r="AI17" s="125" t="n"/>
      <c r="AJ17" s="125" t="n"/>
      <c r="AK17" s="125">
        <f>B17+G17+L17+Q17+V17+AA17+AF17</f>
        <v/>
      </c>
      <c r="AL17" s="125">
        <f>C17+H17+M17+R17+W17+AB17+AG17</f>
        <v/>
      </c>
      <c r="AM17" s="125">
        <f>D17+I17+N17+S17+X17+AC17+AH17</f>
        <v/>
      </c>
      <c r="AN17" s="125">
        <f>E17+J17+O17+T17+Y17+AD17+AI17</f>
        <v/>
      </c>
      <c r="AO17" s="125">
        <f>F17+K17+P17+U17+Z17+AE17+AJ17</f>
        <v/>
      </c>
    </row>
    <row r="18">
      <c r="A18" s="124">
        <f>A17+7</f>
        <v/>
      </c>
      <c r="B18" s="125" t="n"/>
      <c r="C18" s="125" t="n"/>
      <c r="D18" s="125" t="n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 t="n"/>
      <c r="AG18" s="125" t="n"/>
      <c r="AH18" s="125" t="n"/>
      <c r="AI18" s="125" t="n"/>
      <c r="AJ18" s="125" t="n"/>
      <c r="AK18" s="125">
        <f>B18+G18+L18+Q18+V18+AA18+AF18</f>
        <v/>
      </c>
      <c r="AL18" s="125">
        <f>C18+H18+M18+R18+W18+AB18+AG18</f>
        <v/>
      </c>
      <c r="AM18" s="125">
        <f>D18+I18+N18+S18+X18+AC18+AH18</f>
        <v/>
      </c>
      <c r="AN18" s="125">
        <f>E18+J18+O18+T18+Y18+AD18+AI18</f>
        <v/>
      </c>
      <c r="AO18" s="125">
        <f>F18+K18+P18+U18+Z18+AE18+AJ18</f>
        <v/>
      </c>
    </row>
    <row r="19">
      <c r="A19" s="124">
        <f>A18+7</f>
        <v/>
      </c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  <c r="AG19" s="125" t="n"/>
      <c r="AH19" s="125" t="n"/>
      <c r="AI19" s="125" t="n"/>
      <c r="AJ19" s="125" t="n"/>
      <c r="AK19" s="125">
        <f>B19+G19+L19+Q19+V19+AA19+AF19</f>
        <v/>
      </c>
      <c r="AL19" s="125">
        <f>C19+H19+M19+R19+W19+AB19+AG19</f>
        <v/>
      </c>
      <c r="AM19" s="125">
        <f>D19+I19+N19+S19+X19+AC19+AH19</f>
        <v/>
      </c>
      <c r="AN19" s="125">
        <f>E19+J19+O19+T19+Y19+AD19+AI19</f>
        <v/>
      </c>
      <c r="AO19" s="125">
        <f>F19+K19+P19+U19+Z19+AE19+AJ19</f>
        <v/>
      </c>
    </row>
    <row r="20">
      <c r="A20" s="124">
        <f>A19+7</f>
        <v/>
      </c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 t="n"/>
      <c r="AG20" s="125" t="n"/>
      <c r="AH20" s="125" t="n"/>
      <c r="AI20" s="125" t="n"/>
      <c r="AJ20" s="125" t="n"/>
      <c r="AK20" s="125">
        <f>B20+G20+L20+Q20+V20+AA20+AF20</f>
        <v/>
      </c>
      <c r="AL20" s="125">
        <f>C20+H20+M20+R20+W20+AB20+AG20</f>
        <v/>
      </c>
      <c r="AM20" s="125">
        <f>D20+I20+N20+S20+X20+AC20+AH20</f>
        <v/>
      </c>
      <c r="AN20" s="125">
        <f>E20+J20+O20+T20+Y20+AD20+AI20</f>
        <v/>
      </c>
      <c r="AO20" s="125">
        <f>F20+K20+P20+U20+Z20+AE20+AJ20</f>
        <v/>
      </c>
    </row>
    <row r="21">
      <c r="A21" s="124">
        <f>A20+7</f>
        <v/>
      </c>
      <c r="B21" s="125" t="n"/>
      <c r="C21" s="125" t="n"/>
      <c r="D21" s="125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  <c r="AG21" s="125" t="n"/>
      <c r="AH21" s="125" t="n"/>
      <c r="AI21" s="125" t="n"/>
      <c r="AJ21" s="125" t="n"/>
      <c r="AK21" s="125">
        <f>B21+G21+L21+Q21+V21+AA21+AF21</f>
        <v/>
      </c>
      <c r="AL21" s="125">
        <f>C21+H21+M21+R21+W21+AB21+AG21</f>
        <v/>
      </c>
      <c r="AM21" s="125">
        <f>D21+I21+N21+S21+X21+AC21+AH21</f>
        <v/>
      </c>
      <c r="AN21" s="125">
        <f>E21+J21+O21+T21+Y21+AD21+AI21</f>
        <v/>
      </c>
      <c r="AO21" s="125">
        <f>F21+K21+P21+U21+Z21+AE21+AJ21</f>
        <v/>
      </c>
    </row>
    <row r="22">
      <c r="A22" s="124">
        <f>A21+7</f>
        <v/>
      </c>
      <c r="B22" s="125" t="n"/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  <c r="AG22" s="125" t="n"/>
      <c r="AH22" s="125" t="n"/>
      <c r="AI22" s="125" t="n"/>
      <c r="AJ22" s="125" t="n"/>
      <c r="AK22" s="125">
        <f>B22+G22+L22+Q22+V22+AA22+AF22</f>
        <v/>
      </c>
      <c r="AL22" s="125">
        <f>C22+H22+M22+R22+W22+AB22+AG22</f>
        <v/>
      </c>
      <c r="AM22" s="125">
        <f>D22+I22+N22+S22+X22+AC22+AH22</f>
        <v/>
      </c>
      <c r="AN22" s="125">
        <f>E22+J22+O22+T22+Y22+AD22+AI22</f>
        <v/>
      </c>
      <c r="AO22" s="125">
        <f>F22+K22+P22+U22+Z22+AE22+AJ22</f>
        <v/>
      </c>
    </row>
    <row r="23">
      <c r="A23" s="124">
        <f>A22+7</f>
        <v/>
      </c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  <c r="AG23" s="125" t="n"/>
      <c r="AH23" s="125" t="n"/>
      <c r="AI23" s="125" t="n"/>
      <c r="AJ23" s="125" t="n"/>
      <c r="AK23" s="125">
        <f>B23+G23+L23+Q23+V23+AA23+AF23</f>
        <v/>
      </c>
      <c r="AL23" s="125">
        <f>C23+H23+M23+R23+W23+AB23+AG23</f>
        <v/>
      </c>
      <c r="AM23" s="125">
        <f>D23+I23+N23+S23+X23+AC23+AH23</f>
        <v/>
      </c>
      <c r="AN23" s="125">
        <f>E23+J23+O23+T23+Y23+AD23+AI23</f>
        <v/>
      </c>
      <c r="AO23" s="125">
        <f>F23+K23+P23+U23+Z23+AE23+AJ23</f>
        <v/>
      </c>
    </row>
    <row r="24">
      <c r="A24" s="124">
        <f>A23+7</f>
        <v/>
      </c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 t="n"/>
      <c r="AG24" s="125" t="n"/>
      <c r="AH24" s="125" t="n"/>
      <c r="AI24" s="125" t="n"/>
      <c r="AJ24" s="125" t="n"/>
      <c r="AK24" s="125">
        <f>B24+G24+L24+Q24+V24+AA24+AF24</f>
        <v/>
      </c>
      <c r="AL24" s="125">
        <f>C24+H24+M24+R24+W24+AB24+AG24</f>
        <v/>
      </c>
      <c r="AM24" s="125">
        <f>D24+I24+N24+S24+X24+AC24+AH24</f>
        <v/>
      </c>
      <c r="AN24" s="125">
        <f>E24+J24+O24+T24+Y24+AD24+AI24</f>
        <v/>
      </c>
      <c r="AO24" s="125">
        <f>F24+K24+P24+U24+Z24+AE24+AJ24</f>
        <v/>
      </c>
    </row>
    <row r="25">
      <c r="A25" s="124">
        <f>A24+7</f>
        <v/>
      </c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  <c r="AG25" s="125" t="n"/>
      <c r="AH25" s="125" t="n"/>
      <c r="AI25" s="125" t="n"/>
      <c r="AJ25" s="125" t="n"/>
      <c r="AK25" s="125">
        <f>B25+G25+L25+Q25+V25+AA25+AF25</f>
        <v/>
      </c>
      <c r="AL25" s="125">
        <f>C25+H25+M25+R25+W25+AB25+AG25</f>
        <v/>
      </c>
      <c r="AM25" s="125">
        <f>D25+I25+N25+S25+X25+AC25+AH25</f>
        <v/>
      </c>
      <c r="AN25" s="125">
        <f>E25+J25+O25+T25+Y25+AD25+AI25</f>
        <v/>
      </c>
      <c r="AO25" s="125">
        <f>F25+K25+P25+U25+Z25+AE25+AJ25</f>
        <v/>
      </c>
    </row>
    <row r="26">
      <c r="A26" s="124">
        <f>A25+7</f>
        <v/>
      </c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 t="n"/>
      <c r="AG26" s="125" t="n"/>
      <c r="AH26" s="125" t="n"/>
      <c r="AI26" s="125" t="n"/>
      <c r="AJ26" s="125" t="n"/>
      <c r="AK26" s="125">
        <f>B26+G26+L26+Q26+V26+AA26+AF26</f>
        <v/>
      </c>
      <c r="AL26" s="125">
        <f>C26+H26+M26+R26+W26+AB26+AG26</f>
        <v/>
      </c>
      <c r="AM26" s="125">
        <f>D26+I26+N26+S26+X26+AC26+AH26</f>
        <v/>
      </c>
      <c r="AN26" s="125">
        <f>E26+J26+O26+T26+Y26+AD26+AI26</f>
        <v/>
      </c>
      <c r="AO26" s="125">
        <f>F26+K26+P26+U26+Z26+AE26+AJ26</f>
        <v/>
      </c>
    </row>
    <row r="27">
      <c r="A27" s="124">
        <f>A26+7</f>
        <v/>
      </c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 t="n"/>
      <c r="AG27" s="125" t="n"/>
      <c r="AH27" s="125" t="n"/>
      <c r="AI27" s="125" t="n"/>
      <c r="AJ27" s="125" t="n"/>
      <c r="AK27" s="125">
        <f>B27+G27+L27+Q27+V27+AA27+AF27</f>
        <v/>
      </c>
      <c r="AL27" s="125">
        <f>C27+H27+M27+R27+W27+AB27+AG27</f>
        <v/>
      </c>
      <c r="AM27" s="125">
        <f>D27+I27+N27+S27+X27+AC27+AH27</f>
        <v/>
      </c>
      <c r="AN27" s="125">
        <f>E27+J27+O27+T27+Y27+AD27+AI27</f>
        <v/>
      </c>
      <c r="AO27" s="125">
        <f>F27+K27+P27+U27+Z27+AE27+AJ27</f>
        <v/>
      </c>
    </row>
    <row r="28">
      <c r="A28" s="124">
        <f>A27+7</f>
        <v/>
      </c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 t="n"/>
      <c r="AG28" s="125" t="n"/>
      <c r="AH28" s="125" t="n"/>
      <c r="AI28" s="125" t="n"/>
      <c r="AJ28" s="125" t="n"/>
      <c r="AK28" s="125">
        <f>B28+G28+L28+Q28+V28+AA28+AF28</f>
        <v/>
      </c>
      <c r="AL28" s="125">
        <f>C28+H28+M28+R28+W28+AB28+AG28</f>
        <v/>
      </c>
      <c r="AM28" s="125">
        <f>D28+I28+N28+S28+X28+AC28+AH28</f>
        <v/>
      </c>
      <c r="AN28" s="125">
        <f>E28+J28+O28+T28+Y28+AD28+AI28</f>
        <v/>
      </c>
      <c r="AO28" s="125">
        <f>F28+K28+P28+U28+Z28+AE28+AJ28</f>
        <v/>
      </c>
    </row>
    <row r="29">
      <c r="A29" s="124">
        <f>A28+7</f>
        <v/>
      </c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 t="n"/>
      <c r="AG29" s="125" t="n"/>
      <c r="AH29" s="125" t="n"/>
      <c r="AI29" s="125" t="n"/>
      <c r="AJ29" s="125" t="n"/>
      <c r="AK29" s="125">
        <f>B29+G29+L29+Q29+V29+AA29+AF29</f>
        <v/>
      </c>
      <c r="AL29" s="125">
        <f>C29+H29+M29+R29+W29+AB29+AG29</f>
        <v/>
      </c>
      <c r="AM29" s="125">
        <f>D29+I29+N29+S29+X29+AC29+AH29</f>
        <v/>
      </c>
      <c r="AN29" s="125">
        <f>E29+J29+O29+T29+Y29+AD29+AI29</f>
        <v/>
      </c>
      <c r="AO29" s="125">
        <f>F29+K29+P29+U29+Z29+AE29+AJ29</f>
        <v/>
      </c>
    </row>
    <row r="30">
      <c r="A30" s="124">
        <f>A29+7</f>
        <v/>
      </c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 t="n"/>
      <c r="AG30" s="125" t="n"/>
      <c r="AH30" s="125" t="n"/>
      <c r="AI30" s="125" t="n"/>
      <c r="AJ30" s="125" t="n"/>
      <c r="AK30" s="125">
        <f>B30+G30+L30+Q30+V30+AA30+AF30</f>
        <v/>
      </c>
      <c r="AL30" s="125">
        <f>C30+H30+M30+R30+W30+AB30+AG30</f>
        <v/>
      </c>
      <c r="AM30" s="125">
        <f>D30+I30+N30+S30+X30+AC30+AH30</f>
        <v/>
      </c>
      <c r="AN30" s="125">
        <f>E30+J30+O30+T30+Y30+AD30+AI30</f>
        <v/>
      </c>
      <c r="AO30" s="125">
        <f>F30+K30+P30+U30+Z30+AE30+AJ30</f>
        <v/>
      </c>
    </row>
    <row r="31">
      <c r="A31" s="124">
        <f>A30+7</f>
        <v/>
      </c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 t="n"/>
      <c r="AG31" s="125" t="n"/>
      <c r="AH31" s="125" t="n"/>
      <c r="AI31" s="125" t="n"/>
      <c r="AJ31" s="125" t="n"/>
      <c r="AK31" s="125">
        <f>B31+G31+L31+Q31+V31+AA31+AF31</f>
        <v/>
      </c>
      <c r="AL31" s="125">
        <f>C31+H31+M31+R31+W31+AB31+AG31</f>
        <v/>
      </c>
      <c r="AM31" s="125">
        <f>D31+I31+N31+S31+X31+AC31+AH31</f>
        <v/>
      </c>
      <c r="AN31" s="125">
        <f>E31+J31+O31+T31+Y31+AD31+AI31</f>
        <v/>
      </c>
      <c r="AO31" s="125">
        <f>F31+K31+P31+U31+Z31+AE31+AJ31</f>
        <v/>
      </c>
    </row>
    <row r="32">
      <c r="A32" s="124">
        <f>A31+7</f>
        <v/>
      </c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 t="n"/>
      <c r="AG32" s="125" t="n"/>
      <c r="AH32" s="125" t="n"/>
      <c r="AI32" s="125" t="n"/>
      <c r="AJ32" s="125" t="n"/>
      <c r="AK32" s="125">
        <f>B32+G32+L32+Q32+V32+AA32+AF32</f>
        <v/>
      </c>
      <c r="AL32" s="125">
        <f>C32+H32+M32+R32+W32+AB32+AG32</f>
        <v/>
      </c>
      <c r="AM32" s="125">
        <f>D32+I32+N32+S32+X32+AC32+AH32</f>
        <v/>
      </c>
      <c r="AN32" s="125">
        <f>E32+J32+O32+T32+Y32+AD32+AI32</f>
        <v/>
      </c>
      <c r="AO32" s="125">
        <f>F32+K32+P32+U32+Z32+AE32+AJ32</f>
        <v/>
      </c>
    </row>
    <row r="33">
      <c r="A33" s="124">
        <f>A32+7</f>
        <v/>
      </c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 t="n"/>
      <c r="AG33" s="125" t="n"/>
      <c r="AH33" s="125" t="n"/>
      <c r="AI33" s="125" t="n"/>
      <c r="AJ33" s="125" t="n"/>
      <c r="AK33" s="125">
        <f>B33+G33+L33+Q33+V33+AA33+AF33</f>
        <v/>
      </c>
      <c r="AL33" s="125">
        <f>C33+H33+M33+R33+W33+AB33+AG33</f>
        <v/>
      </c>
      <c r="AM33" s="125">
        <f>D33+I33+N33+S33+X33+AC33+AH33</f>
        <v/>
      </c>
      <c r="AN33" s="125">
        <f>E33+J33+O33+T33+Y33+AD33+AI33</f>
        <v/>
      </c>
      <c r="AO33" s="125">
        <f>F33+K33+P33+U33+Z33+AE33+AJ33</f>
        <v/>
      </c>
    </row>
    <row r="34">
      <c r="A34" s="124">
        <f>A33+7</f>
        <v/>
      </c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 t="n"/>
      <c r="AG34" s="125" t="n"/>
      <c r="AH34" s="125" t="n"/>
      <c r="AI34" s="125" t="n"/>
      <c r="AJ34" s="125" t="n"/>
      <c r="AK34" s="125">
        <f>B34+G34+L34+Q34+V34+AA34+AF34</f>
        <v/>
      </c>
      <c r="AL34" s="125">
        <f>C34+H34+M34+R34+W34+AB34+AG34</f>
        <v/>
      </c>
      <c r="AM34" s="125">
        <f>D34+I34+N34+S34+X34+AC34+AH34</f>
        <v/>
      </c>
      <c r="AN34" s="125">
        <f>E34+J34+O34+T34+Y34+AD34+AI34</f>
        <v/>
      </c>
      <c r="AO34" s="125">
        <f>F34+K34+P34+U34+Z34+AE34+AJ34</f>
        <v/>
      </c>
    </row>
    <row r="35">
      <c r="A35" s="124">
        <f>A34+7</f>
        <v/>
      </c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 t="n"/>
      <c r="AG35" s="125" t="n"/>
      <c r="AH35" s="125" t="n"/>
      <c r="AI35" s="125" t="n"/>
      <c r="AJ35" s="125" t="n"/>
      <c r="AK35" s="125">
        <f>B35+G35+L35+Q35+V35+AA35+AF35</f>
        <v/>
      </c>
      <c r="AL35" s="125">
        <f>C35+H35+M35+R35+W35+AB35+AG35</f>
        <v/>
      </c>
      <c r="AM35" s="125">
        <f>D35+I35+N35+S35+X35+AC35+AH35</f>
        <v/>
      </c>
      <c r="AN35" s="125">
        <f>E35+J35+O35+T35+Y35+AD35+AI35</f>
        <v/>
      </c>
      <c r="AO35" s="125">
        <f>F35+K35+P35+U35+Z35+AE35+AJ35</f>
        <v/>
      </c>
    </row>
    <row r="36">
      <c r="A36" s="124">
        <f>A35+7</f>
        <v/>
      </c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  <c r="AG36" s="125" t="n"/>
      <c r="AH36" s="125" t="n"/>
      <c r="AI36" s="125" t="n"/>
      <c r="AJ36" s="125" t="n"/>
      <c r="AK36" s="125">
        <f>B36+G36+L36+Q36+V36+AA36+AF36</f>
        <v/>
      </c>
      <c r="AL36" s="125">
        <f>C36+H36+M36+R36+W36+AB36+AG36</f>
        <v/>
      </c>
      <c r="AM36" s="125">
        <f>D36+I36+N36+S36+X36+AC36+AH36</f>
        <v/>
      </c>
      <c r="AN36" s="125">
        <f>E36+J36+O36+T36+Y36+AD36+AI36</f>
        <v/>
      </c>
      <c r="AO36" s="125">
        <f>F36+K36+P36+U36+Z36+AE36+AJ36</f>
        <v/>
      </c>
    </row>
    <row r="37">
      <c r="A37" s="124">
        <f>A36+7</f>
        <v/>
      </c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  <c r="AG37" s="125" t="n"/>
      <c r="AH37" s="125" t="n"/>
      <c r="AI37" s="125" t="n"/>
      <c r="AJ37" s="125" t="n"/>
      <c r="AK37" s="125">
        <f>B37+G37+L37+Q37+V37+AA37+AF37</f>
        <v/>
      </c>
      <c r="AL37" s="125">
        <f>C37+H37+M37+R37+W37+AB37+AG37</f>
        <v/>
      </c>
      <c r="AM37" s="125">
        <f>D37+I37+N37+S37+X37+AC37+AH37</f>
        <v/>
      </c>
      <c r="AN37" s="125">
        <f>E37+J37+O37+T37+Y37+AD37+AI37</f>
        <v/>
      </c>
      <c r="AO37" s="125">
        <f>F37+K37+P37+U37+Z37+AE37+AJ37</f>
        <v/>
      </c>
    </row>
    <row r="38">
      <c r="A38" s="124">
        <f>A37+7</f>
        <v/>
      </c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  <c r="AG38" s="125" t="n"/>
      <c r="AH38" s="125" t="n"/>
      <c r="AI38" s="125" t="n"/>
      <c r="AJ38" s="125" t="n"/>
      <c r="AK38" s="125">
        <f>B38+G38+L38+Q38+V38+AA38+AF38</f>
        <v/>
      </c>
      <c r="AL38" s="125">
        <f>C38+H38+M38+R38+W38+AB38+AG38</f>
        <v/>
      </c>
      <c r="AM38" s="125">
        <f>D38+I38+N38+S38+X38+AC38+AH38</f>
        <v/>
      </c>
      <c r="AN38" s="125">
        <f>E38+J38+O38+T38+Y38+AD38+AI38</f>
        <v/>
      </c>
      <c r="AO38" s="125">
        <f>F38+K38+P38+U38+Z38+AE38+AJ38</f>
        <v/>
      </c>
    </row>
    <row r="39">
      <c r="A39" s="124">
        <f>A38+7</f>
        <v/>
      </c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  <c r="AG39" s="125" t="n"/>
      <c r="AH39" s="125" t="n"/>
      <c r="AI39" s="125" t="n"/>
      <c r="AJ39" s="125" t="n"/>
      <c r="AK39" s="125">
        <f>B39+G39+L39+Q39+V39+AA39+AF39</f>
        <v/>
      </c>
      <c r="AL39" s="125">
        <f>C39+H39+M39+R39+W39+AB39+AG39</f>
        <v/>
      </c>
      <c r="AM39" s="125">
        <f>D39+I39+N39+S39+X39+AC39+AH39</f>
        <v/>
      </c>
      <c r="AN39" s="125">
        <f>E39+J39+O39+T39+Y39+AD39+AI39</f>
        <v/>
      </c>
      <c r="AO39" s="125">
        <f>F39+K39+P39+U39+Z39+AE39+AJ39</f>
        <v/>
      </c>
    </row>
    <row r="40">
      <c r="A40" s="124">
        <f>A39+7</f>
        <v/>
      </c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  <c r="AG40" s="125" t="n"/>
      <c r="AH40" s="125" t="n"/>
      <c r="AI40" s="125" t="n"/>
      <c r="AJ40" s="125" t="n"/>
      <c r="AK40" s="125">
        <f>B40+G40+L40+Q40+V40+AA40+AF40</f>
        <v/>
      </c>
      <c r="AL40" s="125">
        <f>C40+H40+M40+R40+W40+AB40+AG40</f>
        <v/>
      </c>
      <c r="AM40" s="125">
        <f>D40+I40+N40+S40+X40+AC40+AH40</f>
        <v/>
      </c>
      <c r="AN40" s="125">
        <f>E40+J40+O40+T40+Y40+AD40+AI40</f>
        <v/>
      </c>
      <c r="AO40" s="125">
        <f>F40+K40+P40+U40+Z40+AE40+AJ40</f>
        <v/>
      </c>
    </row>
    <row r="41">
      <c r="A41" s="124">
        <f>A40+7</f>
        <v/>
      </c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 t="n"/>
      <c r="AG41" s="125" t="n"/>
      <c r="AH41" s="125" t="n"/>
      <c r="AI41" s="125" t="n"/>
      <c r="AJ41" s="125" t="n"/>
      <c r="AK41" s="125">
        <f>B41+G41+L41+Q41+V41+AA41+AF41</f>
        <v/>
      </c>
      <c r="AL41" s="125">
        <f>C41+H41+M41+R41+W41+AB41+AG41</f>
        <v/>
      </c>
      <c r="AM41" s="125">
        <f>D41+I41+N41+S41+X41+AC41+AH41</f>
        <v/>
      </c>
      <c r="AN41" s="125">
        <f>E41+J41+O41+T41+Y41+AD41+AI41</f>
        <v/>
      </c>
      <c r="AO41" s="125">
        <f>F41+K41+P41+U41+Z41+AE41+AJ41</f>
        <v/>
      </c>
    </row>
    <row r="42">
      <c r="A42" s="124">
        <f>A41+7</f>
        <v/>
      </c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  <c r="AG42" s="125" t="n"/>
      <c r="AH42" s="125" t="n"/>
      <c r="AI42" s="125" t="n"/>
      <c r="AJ42" s="125" t="n"/>
      <c r="AK42" s="125">
        <f>B42+G42+L42+Q42+V42+AA42+AF42</f>
        <v/>
      </c>
      <c r="AL42" s="125">
        <f>C42+H42+M42+R42+W42+AB42+AG42</f>
        <v/>
      </c>
      <c r="AM42" s="125">
        <f>D42+I42+N42+S42+X42+AC42+AH42</f>
        <v/>
      </c>
      <c r="AN42" s="125">
        <f>E42+J42+O42+T42+Y42+AD42+AI42</f>
        <v/>
      </c>
      <c r="AO42" s="125">
        <f>F42+K42+P42+U42+Z42+AE42+AJ42</f>
        <v/>
      </c>
    </row>
    <row r="43">
      <c r="A43" s="124">
        <f>A42+7</f>
        <v/>
      </c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  <c r="AG43" s="125" t="n"/>
      <c r="AH43" s="125" t="n"/>
      <c r="AI43" s="125" t="n"/>
      <c r="AJ43" s="125" t="n"/>
      <c r="AK43" s="125">
        <f>B43+G43+L43+Q43+V43+AA43+AF43</f>
        <v/>
      </c>
      <c r="AL43" s="125">
        <f>C43+H43+M43+R43+W43+AB43+AG43</f>
        <v/>
      </c>
      <c r="AM43" s="125">
        <f>D43+I43+N43+S43+X43+AC43+AH43</f>
        <v/>
      </c>
      <c r="AN43" s="125">
        <f>E43+J43+O43+T43+Y43+AD43+AI43</f>
        <v/>
      </c>
      <c r="AO43" s="125">
        <f>F43+K43+P43+U43+Z43+AE43+AJ43</f>
        <v/>
      </c>
    </row>
    <row r="44">
      <c r="A44" s="124">
        <f>A43+7</f>
        <v/>
      </c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  <c r="AG44" s="125" t="n"/>
      <c r="AH44" s="125" t="n"/>
      <c r="AI44" s="125" t="n"/>
      <c r="AJ44" s="125" t="n"/>
      <c r="AK44" s="125">
        <f>B44+G44+L44+Q44+V44+AA44+AF44</f>
        <v/>
      </c>
      <c r="AL44" s="125">
        <f>C44+H44+M44+R44+W44+AB44+AG44</f>
        <v/>
      </c>
      <c r="AM44" s="125">
        <f>D44+I44+N44+S44+X44+AC44+AH44</f>
        <v/>
      </c>
      <c r="AN44" s="125">
        <f>E44+J44+O44+T44+Y44+AD44+AI44</f>
        <v/>
      </c>
      <c r="AO44" s="125">
        <f>F44+K44+P44+U44+Z44+AE44+AJ44</f>
        <v/>
      </c>
    </row>
    <row r="45">
      <c r="A45" s="124">
        <f>A44+7</f>
        <v/>
      </c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 t="n"/>
      <c r="AG45" s="125" t="n"/>
      <c r="AH45" s="125" t="n"/>
      <c r="AI45" s="125" t="n"/>
      <c r="AJ45" s="125" t="n"/>
      <c r="AK45" s="125">
        <f>B45+G45+L45+Q45+V45+AA45+AF45</f>
        <v/>
      </c>
      <c r="AL45" s="125">
        <f>C45+H45+M45+R45+W45+AB45+AG45</f>
        <v/>
      </c>
      <c r="AM45" s="125">
        <f>D45+I45+N45+S45+X45+AC45+AH45</f>
        <v/>
      </c>
      <c r="AN45" s="125">
        <f>E45+J45+O45+T45+Y45+AD45+AI45</f>
        <v/>
      </c>
      <c r="AO45" s="125">
        <f>F45+K45+P45+U45+Z45+AE45+AJ45</f>
        <v/>
      </c>
    </row>
    <row r="46">
      <c r="A46" s="124">
        <f>A45+7</f>
        <v/>
      </c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 t="n"/>
      <c r="AG46" s="125" t="n"/>
      <c r="AH46" s="125" t="n"/>
      <c r="AI46" s="125" t="n"/>
      <c r="AJ46" s="125" t="n"/>
      <c r="AK46" s="125">
        <f>B46+G46+L46+Q46+V46+AA46+AF46</f>
        <v/>
      </c>
      <c r="AL46" s="125">
        <f>C46+H46+M46+R46+W46+AB46+AG46</f>
        <v/>
      </c>
      <c r="AM46" s="125">
        <f>D46+I46+N46+S46+X46+AC46+AH46</f>
        <v/>
      </c>
      <c r="AN46" s="125">
        <f>E46+J46+O46+T46+Y46+AD46+AI46</f>
        <v/>
      </c>
      <c r="AO46" s="125">
        <f>F46+K46+P46+U46+Z46+AE46+AJ46</f>
        <v/>
      </c>
    </row>
    <row r="47">
      <c r="A47" s="124">
        <f>A46+7</f>
        <v/>
      </c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 t="n"/>
      <c r="AG47" s="125" t="n"/>
      <c r="AH47" s="125" t="n"/>
      <c r="AI47" s="125" t="n"/>
      <c r="AJ47" s="125" t="n"/>
      <c r="AK47" s="125">
        <f>B47+G47+L47+Q47+V47+AA47+AF47</f>
        <v/>
      </c>
      <c r="AL47" s="125">
        <f>C47+H47+M47+R47+W47+AB47+AG47</f>
        <v/>
      </c>
      <c r="AM47" s="125">
        <f>D47+I47+N47+S47+X47+AC47+AH47</f>
        <v/>
      </c>
      <c r="AN47" s="125">
        <f>E47+J47+O47+T47+Y47+AD47+AI47</f>
        <v/>
      </c>
      <c r="AO47" s="125">
        <f>F47+K47+P47+U47+Z47+AE47+AJ47</f>
        <v/>
      </c>
    </row>
    <row r="48">
      <c r="A48" s="124">
        <f>A47+7</f>
        <v/>
      </c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  <c r="AG48" s="125" t="n"/>
      <c r="AH48" s="125" t="n"/>
      <c r="AI48" s="125" t="n"/>
      <c r="AJ48" s="125" t="n"/>
      <c r="AK48" s="125">
        <f>B48+G48+L48+Q48+V48+AA48+AF48</f>
        <v/>
      </c>
      <c r="AL48" s="125">
        <f>C48+H48+M48+R48+W48+AB48+AG48</f>
        <v/>
      </c>
      <c r="AM48" s="125">
        <f>D48+I48+N48+S48+X48+AC48+AH48</f>
        <v/>
      </c>
      <c r="AN48" s="125">
        <f>E48+J48+O48+T48+Y48+AD48+AI48</f>
        <v/>
      </c>
      <c r="AO48" s="125">
        <f>F48+K48+P48+U48+Z48+AE48+AJ48</f>
        <v/>
      </c>
    </row>
    <row r="49">
      <c r="A49" s="124">
        <f>A48+7</f>
        <v/>
      </c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 t="n"/>
      <c r="AG49" s="125" t="n"/>
      <c r="AH49" s="125" t="n"/>
      <c r="AI49" s="125" t="n"/>
      <c r="AJ49" s="125" t="n"/>
      <c r="AK49" s="125">
        <f>B49+G49+L49+Q49+V49+AA49+AF49</f>
        <v/>
      </c>
      <c r="AL49" s="125">
        <f>C49+H49+M49+R49+W49+AB49+AG49</f>
        <v/>
      </c>
      <c r="AM49" s="125">
        <f>D49+I49+N49+S49+X49+AC49+AH49</f>
        <v/>
      </c>
      <c r="AN49" s="125">
        <f>E49+J49+O49+T49+Y49+AD49+AI49</f>
        <v/>
      </c>
      <c r="AO49" s="125">
        <f>F49+K49+P49+U49+Z49+AE49+AJ49</f>
        <v/>
      </c>
    </row>
    <row r="50">
      <c r="A50" s="124">
        <f>A49+7</f>
        <v/>
      </c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 t="n"/>
      <c r="AG50" s="125" t="n"/>
      <c r="AH50" s="125" t="n"/>
      <c r="AI50" s="125" t="n"/>
      <c r="AJ50" s="125" t="n"/>
      <c r="AK50" s="125">
        <f>B50+G50+L50+Q50+V50+AA50+AF50</f>
        <v/>
      </c>
      <c r="AL50" s="125">
        <f>C50+H50+M50+R50+W50+AB50+AG50</f>
        <v/>
      </c>
      <c r="AM50" s="125">
        <f>D50+I50+N50+S50+X50+AC50+AH50</f>
        <v/>
      </c>
      <c r="AN50" s="125">
        <f>E50+J50+O50+T50+Y50+AD50+AI50</f>
        <v/>
      </c>
      <c r="AO50" s="125">
        <f>F50+K50+P50+U50+Z50+AE50+AJ50</f>
        <v/>
      </c>
    </row>
    <row r="51">
      <c r="A51" s="124">
        <f>A50+7</f>
        <v/>
      </c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 t="n"/>
      <c r="AG51" s="125" t="n"/>
      <c r="AH51" s="125" t="n"/>
      <c r="AI51" s="125" t="n"/>
      <c r="AJ51" s="125" t="n"/>
      <c r="AK51" s="125">
        <f>B51+G51+L51+Q51+V51+AA51+AF51</f>
        <v/>
      </c>
      <c r="AL51" s="125">
        <f>C51+H51+M51+R51+W51+AB51+AG51</f>
        <v/>
      </c>
      <c r="AM51" s="125">
        <f>D51+I51+N51+S51+X51+AC51+AH51</f>
        <v/>
      </c>
      <c r="AN51" s="125">
        <f>E51+J51+O51+T51+Y51+AD51+AI51</f>
        <v/>
      </c>
      <c r="AO51" s="125">
        <f>F51+K51+P51+U51+Z51+AE51+AJ51</f>
        <v/>
      </c>
    </row>
    <row r="52">
      <c r="A52" s="124">
        <f>A51+7</f>
        <v/>
      </c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 t="n"/>
      <c r="AG52" s="125" t="n"/>
      <c r="AH52" s="125" t="n"/>
      <c r="AI52" s="125" t="n"/>
      <c r="AJ52" s="125" t="n"/>
      <c r="AK52" s="125">
        <f>B52+G52+L52+Q52+V52+AA52+AF52</f>
        <v/>
      </c>
      <c r="AL52" s="125">
        <f>C52+H52+M52+R52+W52+AB52+AG52</f>
        <v/>
      </c>
      <c r="AM52" s="125">
        <f>D52+I52+N52+S52+X52+AC52+AH52</f>
        <v/>
      </c>
      <c r="AN52" s="125">
        <f>E52+J52+O52+T52+Y52+AD52+AI52</f>
        <v/>
      </c>
      <c r="AO52" s="125">
        <f>F52+K52+P52+U52+Z52+AE52+AJ52</f>
        <v/>
      </c>
    </row>
  </sheetData>
  <mergeCells count="11">
    <mergeCell ref="G3:K3"/>
    <mergeCell ref="V3:Z3"/>
    <mergeCell ref="AF3:AJ3"/>
    <mergeCell ref="A2:A4"/>
    <mergeCell ref="Q3:U3"/>
    <mergeCell ref="B3:F3"/>
    <mergeCell ref="AK3:AO3"/>
    <mergeCell ref="L3:P3"/>
    <mergeCell ref="AA3:AE3"/>
    <mergeCell ref="A1:AO1"/>
    <mergeCell ref="B2:AJ2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W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BF8F00"/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V1"/>
    </sheetView>
  </sheetViews>
  <sheetFormatPr baseColWidth="8" defaultRowHeight="15"/>
  <cols>
    <col width="12" customWidth="1" style="102" min="1" max="1"/>
    <col width="10" customWidth="1" style="102" min="2" max="26"/>
  </cols>
  <sheetData>
    <row r="1">
      <c r="A1" s="101" t="inlineStr">
        <is>
          <t>ФАКТ ЧЕРН К2</t>
        </is>
      </c>
      <c r="X1" s="107" t="inlineStr">
        <is>
          <t>Итого К2</t>
        </is>
      </c>
    </row>
    <row r="2">
      <c r="A2" s="108" t="inlineStr">
        <is>
          <t>Дата</t>
        </is>
      </c>
      <c r="B2" s="110" t="inlineStr">
        <is>
          <t>Надземная часть</t>
        </is>
      </c>
      <c r="C2" s="105" t="n"/>
      <c r="D2" s="105" t="n"/>
      <c r="E2" s="105" t="n"/>
      <c r="F2" s="105" t="n"/>
      <c r="G2" s="105" t="n"/>
      <c r="H2" s="105" t="n"/>
      <c r="I2" s="105" t="n"/>
      <c r="J2" s="105" t="n"/>
      <c r="K2" s="105" t="n"/>
      <c r="L2" s="105" t="n"/>
      <c r="M2" s="105" t="n"/>
      <c r="N2" s="105" t="n"/>
      <c r="O2" s="105" t="n"/>
      <c r="P2" s="105" t="n"/>
      <c r="Q2" s="105" t="n"/>
      <c r="R2" s="105" t="n"/>
      <c r="S2" s="105" t="n"/>
      <c r="T2" s="105" t="n"/>
      <c r="U2" s="105" t="n"/>
      <c r="V2" s="106" t="n"/>
    </row>
    <row r="3">
      <c r="A3" s="109" t="n"/>
      <c r="B3" s="110" t="inlineStr">
        <is>
          <t>8.2.1 Отделка лобби/гранд-лобби</t>
        </is>
      </c>
      <c r="C3" s="105" t="n"/>
      <c r="D3" s="106" t="n"/>
      <c r="E3" s="110" t="inlineStr">
        <is>
          <t>8.2.2 Отделка эвакуац. лестн. клетки надзем.</t>
        </is>
      </c>
      <c r="F3" s="105" t="n"/>
      <c r="G3" s="106" t="n"/>
      <c r="H3" s="110" t="inlineStr">
        <is>
          <t>8.2.3 Лифт. холлы, тамбур-шлюзы надзем.</t>
        </is>
      </c>
      <c r="I3" s="105" t="n"/>
      <c r="J3" s="106" t="n"/>
      <c r="K3" s="110" t="inlineStr">
        <is>
          <t>8.2.4 Технич. помещения надзем.</t>
        </is>
      </c>
      <c r="L3" s="105" t="n"/>
      <c r="M3" s="106" t="n"/>
      <c r="N3" s="110" t="inlineStr">
        <is>
          <t>8.2.5 Прочие помещения надзем.</t>
        </is>
      </c>
      <c r="O3" s="105" t="n"/>
      <c r="P3" s="106" t="n"/>
      <c r="Q3" s="110" t="inlineStr">
        <is>
          <t>8.2.6 Коммерч. помещения надзем.</t>
        </is>
      </c>
      <c r="R3" s="105" t="n"/>
      <c r="S3" s="106" t="n"/>
      <c r="T3" s="110" t="inlineStr">
        <is>
          <t>8.2.7 Паркинг и рампы надзем.</t>
        </is>
      </c>
      <c r="U3" s="105" t="n"/>
      <c r="V3" s="106" t="n"/>
      <c r="X3" s="29" t="inlineStr">
        <is>
          <t>Пол</t>
        </is>
      </c>
      <c r="Y3" s="29" t="inlineStr">
        <is>
          <t>Стены</t>
        </is>
      </c>
      <c r="Z3" s="29" t="inlineStr">
        <is>
          <t>Потолок</t>
        </is>
      </c>
    </row>
    <row r="4">
      <c r="B4" s="110" t="inlineStr">
        <is>
          <t>Пол</t>
        </is>
      </c>
      <c r="C4" s="110" t="inlineStr">
        <is>
          <t>Стены</t>
        </is>
      </c>
      <c r="D4" s="110" t="inlineStr">
        <is>
          <t>Потолок</t>
        </is>
      </c>
      <c r="E4" s="110" t="inlineStr">
        <is>
          <t>Пол</t>
        </is>
      </c>
      <c r="F4" s="110" t="inlineStr">
        <is>
          <t>Стены</t>
        </is>
      </c>
      <c r="G4" s="110" t="inlineStr">
        <is>
          <t>Потолок</t>
        </is>
      </c>
      <c r="H4" s="110" t="inlineStr">
        <is>
          <t>Пол</t>
        </is>
      </c>
      <c r="I4" s="110" t="inlineStr">
        <is>
          <t>Стены</t>
        </is>
      </c>
      <c r="J4" s="110" t="inlineStr">
        <is>
          <t>Потолок</t>
        </is>
      </c>
      <c r="K4" s="110" t="inlineStr">
        <is>
          <t>Пол</t>
        </is>
      </c>
      <c r="L4" s="110" t="inlineStr">
        <is>
          <t>Стены</t>
        </is>
      </c>
      <c r="M4" s="110" t="inlineStr">
        <is>
          <t>Потолок</t>
        </is>
      </c>
      <c r="N4" s="110" t="inlineStr">
        <is>
          <t>Пол</t>
        </is>
      </c>
      <c r="O4" s="110" t="inlineStr">
        <is>
          <t>Стены</t>
        </is>
      </c>
      <c r="P4" s="110" t="inlineStr">
        <is>
          <t>Потолок</t>
        </is>
      </c>
      <c r="Q4" s="110" t="inlineStr">
        <is>
          <t>Пол</t>
        </is>
      </c>
      <c r="R4" s="110" t="inlineStr">
        <is>
          <t>Стены</t>
        </is>
      </c>
      <c r="S4" s="110" t="inlineStr">
        <is>
          <t>Потолок</t>
        </is>
      </c>
      <c r="T4" s="110" t="inlineStr">
        <is>
          <t>Пол</t>
        </is>
      </c>
      <c r="U4" s="110" t="inlineStr">
        <is>
          <t>Стены</t>
        </is>
      </c>
      <c r="V4" s="110" t="inlineStr">
        <is>
          <t>Потолок</t>
        </is>
      </c>
      <c r="X4" s="30" t="n"/>
      <c r="Y4" s="30" t="n"/>
      <c r="Z4" s="30" t="n"/>
    </row>
    <row r="5">
      <c r="A5" s="17">
        <f>СПРАВОЧНИК!$B$35</f>
        <v/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X5" s="32">
        <f>B5+E5+H5+K5+N5+Q5+T5</f>
        <v/>
      </c>
      <c r="Y5" s="32">
        <f>C5+F5+I5+L5+O5+R5+U5</f>
        <v/>
      </c>
      <c r="Z5" s="32">
        <f>D5+G5+J5+M5+P5+S5+V5</f>
        <v/>
      </c>
    </row>
    <row r="6">
      <c r="A6" s="17">
        <f>A5+7</f>
        <v/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X6" s="32">
        <f>B6+E6+H6+K6+N6+Q6+T6</f>
        <v/>
      </c>
      <c r="Y6" s="32">
        <f>C6+F6+I6+L6+O6+R6+U6</f>
        <v/>
      </c>
      <c r="Z6" s="32">
        <f>D6+G6+J6+M6+P6+S6+V6</f>
        <v/>
      </c>
    </row>
    <row r="7">
      <c r="A7" s="17">
        <f>A6+7</f>
        <v/>
      </c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X7" s="32">
        <f>B7+E7+H7+K7+N7+Q7+T7</f>
        <v/>
      </c>
      <c r="Y7" s="32">
        <f>C7+F7+I7+L7+O7+R7+U7</f>
        <v/>
      </c>
      <c r="Z7" s="32">
        <f>D7+G7+J7+M7+P7+S7+V7</f>
        <v/>
      </c>
    </row>
    <row r="8">
      <c r="A8" s="17">
        <f>A7+7</f>
        <v/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X8" s="32">
        <f>B8+E8+H8+K8+N8+Q8+T8</f>
        <v/>
      </c>
      <c r="Y8" s="32">
        <f>C8+F8+I8+L8+O8+R8+U8</f>
        <v/>
      </c>
      <c r="Z8" s="32">
        <f>D8+G8+J8+M8+P8+S8+V8</f>
        <v/>
      </c>
    </row>
    <row r="9">
      <c r="A9" s="17">
        <f>A8+7</f>
        <v/>
      </c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X9" s="32">
        <f>B9+E9+H9+K9+N9+Q9+T9</f>
        <v/>
      </c>
      <c r="Y9" s="32">
        <f>C9+F9+I9+L9+O9+R9+U9</f>
        <v/>
      </c>
      <c r="Z9" s="32">
        <f>D9+G9+J9+M9+P9+S9+V9</f>
        <v/>
      </c>
    </row>
    <row r="10">
      <c r="A10" s="17">
        <f>A9+7</f>
        <v/>
      </c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X10" s="32">
        <f>B10+E10+H10+K10+N10+Q10+T10</f>
        <v/>
      </c>
      <c r="Y10" s="32">
        <f>C10+F10+I10+L10+O10+R10+U10</f>
        <v/>
      </c>
      <c r="Z10" s="32">
        <f>D10+G10+J10+M10+P10+S10+V10</f>
        <v/>
      </c>
    </row>
    <row r="11">
      <c r="A11" s="17">
        <f>A10+7</f>
        <v/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X11" s="32">
        <f>B11+E11+H11+K11+N11+Q11+T11</f>
        <v/>
      </c>
      <c r="Y11" s="32">
        <f>C11+F11+I11+L11+O11+R11+U11</f>
        <v/>
      </c>
      <c r="Z11" s="32">
        <f>D11+G11+J11+M11+P11+S11+V11</f>
        <v/>
      </c>
    </row>
    <row r="12">
      <c r="A12" s="17">
        <f>A11+7</f>
        <v/>
      </c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X12" s="32">
        <f>B12+E12+H12+K12+N12+Q12+T12</f>
        <v/>
      </c>
      <c r="Y12" s="32">
        <f>C12+F12+I12+L12+O12+R12+U12</f>
        <v/>
      </c>
      <c r="Z12" s="32">
        <f>D12+G12+J12+M12+P12+S12+V12</f>
        <v/>
      </c>
    </row>
    <row r="13">
      <c r="A13" s="17">
        <f>A12+7</f>
        <v/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X13" s="32">
        <f>B13+E13+H13+K13+N13+Q13+T13</f>
        <v/>
      </c>
      <c r="Y13" s="32">
        <f>C13+F13+I13+L13+O13+R13+U13</f>
        <v/>
      </c>
      <c r="Z13" s="32">
        <f>D13+G13+J13+M13+P13+S13+V13</f>
        <v/>
      </c>
    </row>
    <row r="14">
      <c r="A14" s="17">
        <f>A13+7</f>
        <v/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X14" s="32">
        <f>B14+E14+H14+K14+N14+Q14+T14</f>
        <v/>
      </c>
      <c r="Y14" s="32">
        <f>C14+F14+I14+L14+O14+R14+U14</f>
        <v/>
      </c>
      <c r="Z14" s="32">
        <f>D14+G14+J14+M14+P14+S14+V14</f>
        <v/>
      </c>
    </row>
    <row r="15">
      <c r="A15" s="17">
        <f>A14+7</f>
        <v/>
      </c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X15" s="32">
        <f>B15+E15+H15+K15+N15+Q15+T15</f>
        <v/>
      </c>
      <c r="Y15" s="32">
        <f>C15+F15+I15+L15+O15+R15+U15</f>
        <v/>
      </c>
      <c r="Z15" s="32">
        <f>D15+G15+J15+M15+P15+S15+V15</f>
        <v/>
      </c>
    </row>
    <row r="16">
      <c r="A16" s="17">
        <f>A15+7</f>
        <v/>
      </c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X16" s="32">
        <f>B16+E16+H16+K16+N16+Q16+T16</f>
        <v/>
      </c>
      <c r="Y16" s="32">
        <f>C16+F16+I16+L16+O16+R16+U16</f>
        <v/>
      </c>
      <c r="Z16" s="32">
        <f>D16+G16+J16+M16+P16+S16+V16</f>
        <v/>
      </c>
    </row>
    <row r="17">
      <c r="A17" s="17">
        <f>A16+7</f>
        <v/>
      </c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X17" s="32">
        <f>B17+E17+H17+K17+N17+Q17+T17</f>
        <v/>
      </c>
      <c r="Y17" s="32">
        <f>C17+F17+I17+L17+O17+R17+U17</f>
        <v/>
      </c>
      <c r="Z17" s="32">
        <f>D17+G17+J17+M17+P17+S17+V17</f>
        <v/>
      </c>
    </row>
    <row r="18">
      <c r="A18" s="17">
        <f>A17+7</f>
        <v/>
      </c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X18" s="32">
        <f>B18+E18+H18+K18+N18+Q18+T18</f>
        <v/>
      </c>
      <c r="Y18" s="32">
        <f>C18+F18+I18+L18+O18+R18+U18</f>
        <v/>
      </c>
      <c r="Z18" s="32">
        <f>D18+G18+J18+M18+P18+S18+V18</f>
        <v/>
      </c>
    </row>
    <row r="19">
      <c r="A19" s="17">
        <f>A18+7</f>
        <v/>
      </c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X19" s="32">
        <f>B19+E19+H19+K19+N19+Q19+T19</f>
        <v/>
      </c>
      <c r="Y19" s="32">
        <f>C19+F19+I19+L19+O19+R19+U19</f>
        <v/>
      </c>
      <c r="Z19" s="32">
        <f>D19+G19+J19+M19+P19+S19+V19</f>
        <v/>
      </c>
    </row>
    <row r="20">
      <c r="A20" s="17">
        <f>A19+7</f>
        <v/>
      </c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X20" s="32">
        <f>B20+E20+H20+K20+N20+Q20+T20</f>
        <v/>
      </c>
      <c r="Y20" s="32">
        <f>C20+F20+I20+L20+O20+R20+U20</f>
        <v/>
      </c>
      <c r="Z20" s="32">
        <f>D20+G20+J20+M20+P20+S20+V20</f>
        <v/>
      </c>
    </row>
    <row r="21">
      <c r="A21" s="17">
        <f>A20+7</f>
        <v/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X21" s="32">
        <f>B21+E21+H21+K21+N21+Q21+T21</f>
        <v/>
      </c>
      <c r="Y21" s="32">
        <f>C21+F21+I21+L21+O21+R21+U21</f>
        <v/>
      </c>
      <c r="Z21" s="32">
        <f>D21+G21+J21+M21+P21+S21+V21</f>
        <v/>
      </c>
    </row>
    <row r="22">
      <c r="A22" s="17">
        <f>A21+7</f>
        <v/>
      </c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X22" s="32">
        <f>B22+E22+H22+K22+N22+Q22+T22</f>
        <v/>
      </c>
      <c r="Y22" s="32">
        <f>C22+F22+I22+L22+O22+R22+U22</f>
        <v/>
      </c>
      <c r="Z22" s="32">
        <f>D22+G22+J22+M22+P22+S22+V22</f>
        <v/>
      </c>
    </row>
    <row r="23">
      <c r="A23" s="17">
        <f>A22+7</f>
        <v/>
      </c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X23" s="32">
        <f>B23+E23+H23+K23+N23+Q23+T23</f>
        <v/>
      </c>
      <c r="Y23" s="32">
        <f>C23+F23+I23+L23+O23+R23+U23</f>
        <v/>
      </c>
      <c r="Z23" s="32">
        <f>D23+G23+J23+M23+P23+S23+V23</f>
        <v/>
      </c>
    </row>
    <row r="24">
      <c r="A24" s="17">
        <f>A23+7</f>
        <v/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X24" s="32">
        <f>B24+E24+H24+K24+N24+Q24+T24</f>
        <v/>
      </c>
      <c r="Y24" s="32">
        <f>C24+F24+I24+L24+O24+R24+U24</f>
        <v/>
      </c>
      <c r="Z24" s="32">
        <f>D24+G24+J24+M24+P24+S24+V24</f>
        <v/>
      </c>
    </row>
    <row r="25">
      <c r="A25" s="17">
        <f>A24+7</f>
        <v/>
      </c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X25" s="32">
        <f>B25+E25+H25+K25+N25+Q25+T25</f>
        <v/>
      </c>
      <c r="Y25" s="32">
        <f>C25+F25+I25+L25+O25+R25+U25</f>
        <v/>
      </c>
      <c r="Z25" s="32">
        <f>D25+G25+J25+M25+P25+S25+V25</f>
        <v/>
      </c>
    </row>
    <row r="26">
      <c r="A26" s="17">
        <f>A25+7</f>
        <v/>
      </c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X26" s="32">
        <f>B26+E26+H26+K26+N26+Q26+T26</f>
        <v/>
      </c>
      <c r="Y26" s="32">
        <f>C26+F26+I26+L26+O26+R26+U26</f>
        <v/>
      </c>
      <c r="Z26" s="32">
        <f>D26+G26+J26+M26+P26+S26+V26</f>
        <v/>
      </c>
    </row>
    <row r="27">
      <c r="A27" s="17">
        <f>A26+7</f>
        <v/>
      </c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X27" s="32">
        <f>B27+E27+H27+K27+N27+Q27+T27</f>
        <v/>
      </c>
      <c r="Y27" s="32">
        <f>C27+F27+I27+L27+O27+R27+U27</f>
        <v/>
      </c>
      <c r="Z27" s="32">
        <f>D27+G27+J27+M27+P27+S27+V27</f>
        <v/>
      </c>
    </row>
    <row r="28">
      <c r="A28" s="17">
        <f>A27+7</f>
        <v/>
      </c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X28" s="32">
        <f>B28+E28+H28+K28+N28+Q28+T28</f>
        <v/>
      </c>
      <c r="Y28" s="32">
        <f>C28+F28+I28+L28+O28+R28+U28</f>
        <v/>
      </c>
      <c r="Z28" s="32">
        <f>D28+G28+J28+M28+P28+S28+V28</f>
        <v/>
      </c>
    </row>
    <row r="29">
      <c r="A29" s="17">
        <f>A28+7</f>
        <v/>
      </c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X29" s="32">
        <f>B29+E29+H29+K29+N29+Q29+T29</f>
        <v/>
      </c>
      <c r="Y29" s="32">
        <f>C29+F29+I29+L29+O29+R29+U29</f>
        <v/>
      </c>
      <c r="Z29" s="32">
        <f>D29+G29+J29+M29+P29+S29+V29</f>
        <v/>
      </c>
    </row>
    <row r="30">
      <c r="A30" s="17">
        <f>A29+7</f>
        <v/>
      </c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  <c r="X30" s="32">
        <f>B30+E30+H30+K30+N30+Q30+T30</f>
        <v/>
      </c>
      <c r="Y30" s="32">
        <f>C30+F30+I30+L30+O30+R30+U30</f>
        <v/>
      </c>
      <c r="Z30" s="32">
        <f>D30+G30+J30+M30+P30+S30+V30</f>
        <v/>
      </c>
    </row>
    <row r="31">
      <c r="A31" s="17">
        <f>A30+7</f>
        <v/>
      </c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X31" s="32">
        <f>B31+E31+H31+K31+N31+Q31+T31</f>
        <v/>
      </c>
      <c r="Y31" s="32">
        <f>C31+F31+I31+L31+O31+R31+U31</f>
        <v/>
      </c>
      <c r="Z31" s="32">
        <f>D31+G31+J31+M31+P31+S31+V31</f>
        <v/>
      </c>
    </row>
    <row r="32">
      <c r="A32" s="17">
        <f>A31+7</f>
        <v/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X32" s="32">
        <f>B32+E32+H32+K32+N32+Q32+T32</f>
        <v/>
      </c>
      <c r="Y32" s="32">
        <f>C32+F32+I32+L32+O32+R32+U32</f>
        <v/>
      </c>
      <c r="Z32" s="32">
        <f>D32+G32+J32+M32+P32+S32+V32</f>
        <v/>
      </c>
    </row>
    <row r="33">
      <c r="A33" s="17">
        <f>A32+7</f>
        <v/>
      </c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X33" s="32">
        <f>B33+E33+H33+K33+N33+Q33+T33</f>
        <v/>
      </c>
      <c r="Y33" s="32">
        <f>C33+F33+I33+L33+O33+R33+U33</f>
        <v/>
      </c>
      <c r="Z33" s="32">
        <f>D33+G33+J33+M33+P33+S33+V33</f>
        <v/>
      </c>
    </row>
    <row r="34">
      <c r="A34" s="17">
        <f>A33+7</f>
        <v/>
      </c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X34" s="32">
        <f>B34+E34+H34+K34+N34+Q34+T34</f>
        <v/>
      </c>
      <c r="Y34" s="32">
        <f>C34+F34+I34+L34+O34+R34+U34</f>
        <v/>
      </c>
      <c r="Z34" s="32">
        <f>D34+G34+J34+M34+P34+S34+V34</f>
        <v/>
      </c>
    </row>
    <row r="35">
      <c r="A35" s="17">
        <f>A34+7</f>
        <v/>
      </c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X35" s="32">
        <f>B35+E35+H35+K35+N35+Q35+T35</f>
        <v/>
      </c>
      <c r="Y35" s="32">
        <f>C35+F35+I35+L35+O35+R35+U35</f>
        <v/>
      </c>
      <c r="Z35" s="32">
        <f>D35+G35+J35+M35+P35+S35+V35</f>
        <v/>
      </c>
    </row>
    <row r="36">
      <c r="A36" s="17">
        <f>A35+7</f>
        <v/>
      </c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X36" s="32">
        <f>B36+E36+H36+K36+N36+Q36+T36</f>
        <v/>
      </c>
      <c r="Y36" s="32">
        <f>C36+F36+I36+L36+O36+R36+U36</f>
        <v/>
      </c>
      <c r="Z36" s="32">
        <f>D36+G36+J36+M36+P36+S36+V36</f>
        <v/>
      </c>
    </row>
    <row r="37">
      <c r="A37" s="17">
        <f>A36+7</f>
        <v/>
      </c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X37" s="32">
        <f>B37+E37+H37+K37+N37+Q37+T37</f>
        <v/>
      </c>
      <c r="Y37" s="32">
        <f>C37+F37+I37+L37+O37+R37+U37</f>
        <v/>
      </c>
      <c r="Z37" s="32">
        <f>D37+G37+J37+M37+P37+S37+V37</f>
        <v/>
      </c>
    </row>
    <row r="38">
      <c r="A38" s="17">
        <f>A37+7</f>
        <v/>
      </c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X38" s="32">
        <f>B38+E38+H38+K38+N38+Q38+T38</f>
        <v/>
      </c>
      <c r="Y38" s="32">
        <f>C38+F38+I38+L38+O38+R38+U38</f>
        <v/>
      </c>
      <c r="Z38" s="32">
        <f>D38+G38+J38+M38+P38+S38+V38</f>
        <v/>
      </c>
    </row>
    <row r="39">
      <c r="A39" s="17">
        <f>A38+7</f>
        <v/>
      </c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X39" s="32">
        <f>B39+E39+H39+K39+N39+Q39+T39</f>
        <v/>
      </c>
      <c r="Y39" s="32">
        <f>C39+F39+I39+L39+O39+R39+U39</f>
        <v/>
      </c>
      <c r="Z39" s="32">
        <f>D39+G39+J39+M39+P39+S39+V39</f>
        <v/>
      </c>
    </row>
    <row r="40">
      <c r="A40" s="17">
        <f>A39+7</f>
        <v/>
      </c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X40" s="32">
        <f>B40+E40+H40+K40+N40+Q40+T40</f>
        <v/>
      </c>
      <c r="Y40" s="32">
        <f>C40+F40+I40+L40+O40+R40+U40</f>
        <v/>
      </c>
      <c r="Z40" s="32">
        <f>D40+G40+J40+M40+P40+S40+V40</f>
        <v/>
      </c>
    </row>
    <row r="41">
      <c r="A41" s="17">
        <f>A40+7</f>
        <v/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X41" s="32">
        <f>B41+E41+H41+K41+N41+Q41+T41</f>
        <v/>
      </c>
      <c r="Y41" s="32">
        <f>C41+F41+I41+L41+O41+R41+U41</f>
        <v/>
      </c>
      <c r="Z41" s="32">
        <f>D41+G41+J41+M41+P41+S41+V41</f>
        <v/>
      </c>
    </row>
    <row r="42">
      <c r="A42" s="17">
        <f>A41+7</f>
        <v/>
      </c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X42" s="32">
        <f>B42+E42+H42+K42+N42+Q42+T42</f>
        <v/>
      </c>
      <c r="Y42" s="32">
        <f>C42+F42+I42+L42+O42+R42+U42</f>
        <v/>
      </c>
      <c r="Z42" s="32">
        <f>D42+G42+J42+M42+P42+S42+V42</f>
        <v/>
      </c>
    </row>
    <row r="43">
      <c r="A43" s="17">
        <f>A42+7</f>
        <v/>
      </c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33" t="n"/>
      <c r="X43" s="32">
        <f>B43+E43+H43+K43+N43+Q43+T43</f>
        <v/>
      </c>
      <c r="Y43" s="32">
        <f>C43+F43+I43+L43+O43+R43+U43</f>
        <v/>
      </c>
      <c r="Z43" s="32">
        <f>D43+G43+J43+M43+P43+S43+V43</f>
        <v/>
      </c>
    </row>
    <row r="44">
      <c r="A44" s="17">
        <f>A43+7</f>
        <v/>
      </c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33" t="n"/>
      <c r="X44" s="32">
        <f>B44+E44+H44+K44+N44+Q44+T44</f>
        <v/>
      </c>
      <c r="Y44" s="32">
        <f>C44+F44+I44+L44+O44+R44+U44</f>
        <v/>
      </c>
      <c r="Z44" s="32">
        <f>D44+G44+J44+M44+P44+S44+V44</f>
        <v/>
      </c>
    </row>
    <row r="45">
      <c r="A45" s="17">
        <f>A44+7</f>
        <v/>
      </c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33" t="n"/>
      <c r="X45" s="32">
        <f>B45+E45+H45+K45+N45+Q45+T45</f>
        <v/>
      </c>
      <c r="Y45" s="32">
        <f>C45+F45+I45+L45+O45+R45+U45</f>
        <v/>
      </c>
      <c r="Z45" s="32">
        <f>D45+G45+J45+M45+P45+S45+V45</f>
        <v/>
      </c>
    </row>
    <row r="46">
      <c r="A46" s="17">
        <f>A45+7</f>
        <v/>
      </c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  <c r="X46" s="32">
        <f>B46+E46+H46+K46+N46+Q46+T46</f>
        <v/>
      </c>
      <c r="Y46" s="32">
        <f>C46+F46+I46+L46+O46+R46+U46</f>
        <v/>
      </c>
      <c r="Z46" s="32">
        <f>D46+G46+J46+M46+P46+S46+V46</f>
        <v/>
      </c>
    </row>
    <row r="47">
      <c r="A47" s="17">
        <f>A46+7</f>
        <v/>
      </c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33" t="n"/>
      <c r="X47" s="32">
        <f>B47+E47+H47+K47+N47+Q47+T47</f>
        <v/>
      </c>
      <c r="Y47" s="32">
        <f>C47+F47+I47+L47+O47+R47+U47</f>
        <v/>
      </c>
      <c r="Z47" s="32">
        <f>D47+G47+J47+M47+P47+S47+V47</f>
        <v/>
      </c>
    </row>
    <row r="48">
      <c r="A48" s="17">
        <f>A47+7</f>
        <v/>
      </c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X48" s="32">
        <f>B48+E48+H48+K48+N48+Q48+T48</f>
        <v/>
      </c>
      <c r="Y48" s="32">
        <f>C48+F48+I48+L48+O48+R48+U48</f>
        <v/>
      </c>
      <c r="Z48" s="32">
        <f>D48+G48+J48+M48+P48+S48+V48</f>
        <v/>
      </c>
    </row>
    <row r="49">
      <c r="A49" s="17">
        <f>A48+7</f>
        <v/>
      </c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X49" s="32">
        <f>B49+E49+H49+K49+N49+Q49+T49</f>
        <v/>
      </c>
      <c r="Y49" s="32">
        <f>C49+F49+I49+L49+O49+R49+U49</f>
        <v/>
      </c>
      <c r="Z49" s="32">
        <f>D49+G49+J49+M49+P49+S49+V49</f>
        <v/>
      </c>
    </row>
    <row r="50">
      <c r="A50" s="17">
        <f>A49+7</f>
        <v/>
      </c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X50" s="32">
        <f>B50+E50+H50+K50+N50+Q50+T50</f>
        <v/>
      </c>
      <c r="Y50" s="32">
        <f>C50+F50+I50+L50+O50+R50+U50</f>
        <v/>
      </c>
      <c r="Z50" s="32">
        <f>D50+G50+J50+M50+P50+S50+V50</f>
        <v/>
      </c>
    </row>
    <row r="51">
      <c r="A51" s="17">
        <f>A50+7</f>
        <v/>
      </c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33" t="n"/>
      <c r="X51" s="32">
        <f>B51+E51+H51+K51+N51+Q51+T51</f>
        <v/>
      </c>
      <c r="Y51" s="32">
        <f>C51+F51+I51+L51+O51+R51+U51</f>
        <v/>
      </c>
      <c r="Z51" s="32">
        <f>D51+G51+J51+M51+P51+S51+V51</f>
        <v/>
      </c>
    </row>
    <row r="52">
      <c r="A52" s="17">
        <f>A51+7</f>
        <v/>
      </c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X52" s="32">
        <f>B52+E52+H52+K52+N52+Q52+T52</f>
        <v/>
      </c>
      <c r="Y52" s="32">
        <f>C52+F52+I52+L52+O52+R52+U52</f>
        <v/>
      </c>
      <c r="Z52" s="32">
        <f>D52+G52+J52+M52+P52+S52+V52</f>
        <v/>
      </c>
    </row>
  </sheetData>
  <mergeCells count="11">
    <mergeCell ref="B3:D3"/>
    <mergeCell ref="B2:V2"/>
    <mergeCell ref="A1:V1"/>
    <mergeCell ref="T3:V3"/>
    <mergeCell ref="A2:A3"/>
    <mergeCell ref="E3:G3"/>
    <mergeCell ref="K3:M3"/>
    <mergeCell ref="H3:J3"/>
    <mergeCell ref="X1:Z1"/>
    <mergeCell ref="N3:P3"/>
    <mergeCell ref="Q3:S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V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548235"/>
    <outlinePr summaryBelow="1" summaryRight="1"/>
    <pageSetUpPr/>
  </sheetPr>
  <dimension ref="A1:AO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W1"/>
    </sheetView>
  </sheetViews>
  <sheetFormatPr baseColWidth="8" defaultRowHeight="15"/>
  <cols>
    <col width="14" customWidth="1" style="102" min="1" max="1"/>
    <col width="10" customWidth="1" style="102" min="2" max="27"/>
    <col width="10" customWidth="1" style="102" min="3" max="3"/>
    <col width="10" customWidth="1" style="102" min="4" max="4"/>
    <col width="10" customWidth="1" style="102" min="5" max="5"/>
    <col width="10" customWidth="1" style="102" min="6" max="6"/>
    <col width="10" customWidth="1" style="102" min="7" max="7"/>
    <col width="10" customWidth="1" style="102" min="8" max="8"/>
    <col width="10" customWidth="1" style="102" min="9" max="9"/>
    <col width="10" customWidth="1" style="102" min="10" max="10"/>
    <col width="10" customWidth="1" style="102" min="11" max="11"/>
    <col width="10" customWidth="1" style="102" min="12" max="12"/>
    <col width="10" customWidth="1" style="102" min="13" max="13"/>
    <col width="10" customWidth="1" style="102" min="14" max="14"/>
    <col width="10" customWidth="1" style="102" min="15" max="15"/>
    <col width="10" customWidth="1" style="102" min="16" max="16"/>
    <col width="10" customWidth="1" style="102" min="17" max="17"/>
    <col width="10" customWidth="1" style="102" min="18" max="18"/>
    <col width="10" customWidth="1" style="102" min="19" max="19"/>
    <col width="10" customWidth="1" style="102" min="20" max="20"/>
    <col width="10" customWidth="1" style="102" min="21" max="21"/>
    <col width="10" customWidth="1" style="102" min="22" max="22"/>
    <col width="10" customWidth="1" style="102" min="23" max="23"/>
    <col width="10" customWidth="1" style="102" min="24" max="24"/>
    <col width="10" customWidth="1" style="102" min="25" max="25"/>
    <col width="10" customWidth="1" style="102" min="26" max="26"/>
    <col width="10" customWidth="1" style="102" min="27" max="27"/>
    <col width="10" customWidth="1" style="102" min="28" max="28"/>
    <col width="10" customWidth="1" style="102" min="29" max="29"/>
    <col width="10" customWidth="1" style="102" min="30" max="30"/>
    <col width="10" customWidth="1" style="102" min="31" max="31"/>
    <col width="10" customWidth="1" style="102" min="32" max="32"/>
    <col width="10" customWidth="1" style="102" min="33" max="33"/>
    <col width="10" customWidth="1" style="102" min="34" max="34"/>
    <col width="10" customWidth="1" style="102" min="35" max="35"/>
    <col width="10" customWidth="1" style="102" min="36" max="36"/>
    <col width="10" customWidth="1" style="102" min="37" max="37"/>
    <col width="10" customWidth="1" style="102" min="38" max="38"/>
    <col width="10" customWidth="1" style="102" min="39" max="39"/>
    <col width="10" customWidth="1" style="102" min="40" max="40"/>
    <col width="10" customWidth="1" style="102" min="41" max="41"/>
  </cols>
  <sheetData>
    <row r="1">
      <c r="A1" s="118" t="inlineStr">
        <is>
          <t>ФАКТ ЧИСТ К2</t>
        </is>
      </c>
    </row>
    <row r="2">
      <c r="A2" s="115" t="inlineStr">
        <is>
          <t>Дата</t>
        </is>
      </c>
      <c r="B2" s="115" t="inlineStr">
        <is>
          <t>Надземная часть</t>
        </is>
      </c>
      <c r="C2" s="119" t="n"/>
      <c r="D2" s="119" t="n"/>
      <c r="E2" s="119" t="n"/>
      <c r="F2" s="119" t="n"/>
      <c r="G2" s="119" t="n"/>
      <c r="H2" s="119" t="n"/>
      <c r="I2" s="119" t="n"/>
      <c r="J2" s="119" t="n"/>
      <c r="K2" s="119" t="n"/>
      <c r="L2" s="119" t="n"/>
      <c r="M2" s="119" t="n"/>
      <c r="N2" s="119" t="n"/>
      <c r="O2" s="119" t="n"/>
      <c r="P2" s="119" t="n"/>
      <c r="Q2" s="119" t="n"/>
      <c r="R2" s="119" t="n"/>
      <c r="S2" s="119" t="n"/>
      <c r="T2" s="119" t="n"/>
      <c r="U2" s="119" t="n"/>
      <c r="V2" s="119" t="n"/>
      <c r="W2" s="119" t="n"/>
      <c r="X2" s="119" t="n"/>
      <c r="Y2" s="119" t="n"/>
      <c r="Z2" s="119" t="n"/>
      <c r="AA2" s="119" t="n"/>
      <c r="AB2" s="119" t="n"/>
      <c r="AC2" s="119" t="n"/>
      <c r="AD2" s="119" t="n"/>
      <c r="AE2" s="119" t="n"/>
      <c r="AF2" s="119" t="n"/>
      <c r="AG2" s="119" t="n"/>
      <c r="AH2" s="119" t="n"/>
      <c r="AI2" s="119" t="n"/>
      <c r="AJ2" s="120" t="n"/>
      <c r="AK2" s="121" t="n"/>
      <c r="AL2" s="121" t="n"/>
      <c r="AM2" s="121" t="n"/>
      <c r="AN2" s="121" t="n"/>
      <c r="AO2" s="121" t="n"/>
    </row>
    <row r="3">
      <c r="A3" s="122" t="n"/>
      <c r="B3" s="115" t="inlineStr">
        <is>
          <t>8.2.1 Отделка лобби/гранд-лобби</t>
        </is>
      </c>
      <c r="C3" s="119" t="n"/>
      <c r="D3" s="119" t="n"/>
      <c r="E3" s="119" t="n"/>
      <c r="F3" s="120" t="n"/>
      <c r="G3" s="115" t="inlineStr">
        <is>
          <t>8.2.2 Отделка эвакуац. лестн. клетки надзем.</t>
        </is>
      </c>
      <c r="H3" s="119" t="n"/>
      <c r="I3" s="119" t="n"/>
      <c r="J3" s="119" t="n"/>
      <c r="K3" s="120" t="n"/>
      <c r="L3" s="115" t="inlineStr">
        <is>
          <t>8.2.3 Лифт. холлы, тамбур-шлюзы надзем.</t>
        </is>
      </c>
      <c r="M3" s="119" t="n"/>
      <c r="N3" s="119" t="n"/>
      <c r="O3" s="119" t="n"/>
      <c r="P3" s="120" t="n"/>
      <c r="Q3" s="115" t="inlineStr">
        <is>
          <t>8.2.4 Технич. помещения надзем.</t>
        </is>
      </c>
      <c r="R3" s="119" t="n"/>
      <c r="S3" s="119" t="n"/>
      <c r="T3" s="119" t="n"/>
      <c r="U3" s="120" t="n"/>
      <c r="V3" s="115" t="inlineStr">
        <is>
          <t>8.2.5 Прочие помещения надзем.</t>
        </is>
      </c>
      <c r="W3" s="119" t="n"/>
      <c r="X3" s="119" t="n"/>
      <c r="Y3" s="119" t="n"/>
      <c r="Z3" s="120" t="n"/>
      <c r="AA3" s="115" t="inlineStr">
        <is>
          <t>8.2.6 Коммерч. помещения надзем.</t>
        </is>
      </c>
      <c r="AB3" s="119" t="n"/>
      <c r="AC3" s="119" t="n"/>
      <c r="AD3" s="119" t="n"/>
      <c r="AE3" s="120" t="n"/>
      <c r="AF3" s="115" t="inlineStr">
        <is>
          <t>8.2.7 Паркинг и рампы надзем.</t>
        </is>
      </c>
      <c r="AG3" s="119" t="n"/>
      <c r="AH3" s="119" t="n"/>
      <c r="AI3" s="119" t="n"/>
      <c r="AJ3" s="120" t="n"/>
      <c r="AK3" s="115" t="inlineStr">
        <is>
          <t>Итого</t>
        </is>
      </c>
      <c r="AL3" s="119" t="n"/>
      <c r="AM3" s="119" t="n"/>
      <c r="AN3" s="119" t="n"/>
      <c r="AO3" s="120" t="n"/>
    </row>
    <row r="4">
      <c r="A4" s="123" t="n"/>
      <c r="B4" s="115" t="inlineStr">
        <is>
          <t>Пол</t>
        </is>
      </c>
      <c r="C4" s="115" t="inlineStr">
        <is>
          <t>Стены</t>
        </is>
      </c>
      <c r="D4" s="115" t="inlineStr">
        <is>
          <t>Потолок</t>
        </is>
      </c>
      <c r="E4" s="115" t="inlineStr">
        <is>
          <t>Запол.</t>
        </is>
      </c>
      <c r="F4" s="115" t="inlineStr">
        <is>
          <t>Мебл.</t>
        </is>
      </c>
      <c r="G4" s="115" t="inlineStr">
        <is>
          <t>Пол</t>
        </is>
      </c>
      <c r="H4" s="115" t="inlineStr">
        <is>
          <t>Стены</t>
        </is>
      </c>
      <c r="I4" s="115" t="inlineStr">
        <is>
          <t>Потолок</t>
        </is>
      </c>
      <c r="J4" s="115" t="inlineStr">
        <is>
          <t>Запол.</t>
        </is>
      </c>
      <c r="K4" s="115" t="inlineStr">
        <is>
          <t>Мебл.</t>
        </is>
      </c>
      <c r="L4" s="115" t="inlineStr">
        <is>
          <t>Пол</t>
        </is>
      </c>
      <c r="M4" s="115" t="inlineStr">
        <is>
          <t>Стены</t>
        </is>
      </c>
      <c r="N4" s="115" t="inlineStr">
        <is>
          <t>Потолок</t>
        </is>
      </c>
      <c r="O4" s="115" t="inlineStr">
        <is>
          <t>Запол.</t>
        </is>
      </c>
      <c r="P4" s="115" t="inlineStr">
        <is>
          <t>Мебл.</t>
        </is>
      </c>
      <c r="Q4" s="115" t="inlineStr">
        <is>
          <t>Пол</t>
        </is>
      </c>
      <c r="R4" s="115" t="inlineStr">
        <is>
          <t>Стены</t>
        </is>
      </c>
      <c r="S4" s="115" t="inlineStr">
        <is>
          <t>Потолок</t>
        </is>
      </c>
      <c r="T4" s="115" t="inlineStr">
        <is>
          <t>Запол.</t>
        </is>
      </c>
      <c r="U4" s="115" t="inlineStr">
        <is>
          <t>Мебл.</t>
        </is>
      </c>
      <c r="V4" s="115" t="inlineStr">
        <is>
          <t>Пол</t>
        </is>
      </c>
      <c r="W4" s="115" t="inlineStr">
        <is>
          <t>Стены</t>
        </is>
      </c>
      <c r="X4" s="115" t="inlineStr">
        <is>
          <t>Потолок</t>
        </is>
      </c>
      <c r="Y4" s="115" t="inlineStr">
        <is>
          <t>Запол.</t>
        </is>
      </c>
      <c r="Z4" s="115" t="inlineStr">
        <is>
          <t>Мебл.</t>
        </is>
      </c>
      <c r="AA4" s="115" t="inlineStr">
        <is>
          <t>Пол</t>
        </is>
      </c>
      <c r="AB4" s="115" t="inlineStr">
        <is>
          <t>Стены</t>
        </is>
      </c>
      <c r="AC4" s="115" t="inlineStr">
        <is>
          <t>Потолок</t>
        </is>
      </c>
      <c r="AD4" s="115" t="inlineStr">
        <is>
          <t>Запол.</t>
        </is>
      </c>
      <c r="AE4" s="115" t="inlineStr">
        <is>
          <t>Мебл.</t>
        </is>
      </c>
      <c r="AF4" s="115" t="inlineStr">
        <is>
          <t>Пол</t>
        </is>
      </c>
      <c r="AG4" s="115" t="inlineStr">
        <is>
          <t>Стены</t>
        </is>
      </c>
      <c r="AH4" s="115" t="inlineStr">
        <is>
          <t>Потолок</t>
        </is>
      </c>
      <c r="AI4" s="115" t="inlineStr">
        <is>
          <t>Запол.</t>
        </is>
      </c>
      <c r="AJ4" s="115" t="inlineStr">
        <is>
          <t>Мебл.</t>
        </is>
      </c>
      <c r="AK4" s="115" t="inlineStr">
        <is>
          <t>Пол</t>
        </is>
      </c>
      <c r="AL4" s="115" t="inlineStr">
        <is>
          <t>Стены</t>
        </is>
      </c>
      <c r="AM4" s="115" t="inlineStr">
        <is>
          <t>Потолок</t>
        </is>
      </c>
      <c r="AN4" s="115" t="inlineStr">
        <is>
          <t>Запол.</t>
        </is>
      </c>
      <c r="AO4" s="115" t="inlineStr">
        <is>
          <t>Мебл.</t>
        </is>
      </c>
    </row>
    <row r="5">
      <c r="A5" s="124">
        <f>СПРАВОЧНИК!$B$35</f>
        <v/>
      </c>
      <c r="B5" s="125" t="n"/>
      <c r="C5" s="125" t="n"/>
      <c r="D5" s="125" t="n"/>
      <c r="E5" s="125" t="n"/>
      <c r="F5" s="125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 t="n"/>
      <c r="AG5" s="125" t="n"/>
      <c r="AH5" s="125" t="n"/>
      <c r="AI5" s="125" t="n"/>
      <c r="AJ5" s="125" t="n"/>
      <c r="AK5" s="125">
        <f>B5+G5+L5+Q5+V5+AA5+AF5</f>
        <v/>
      </c>
      <c r="AL5" s="125">
        <f>C5+H5+M5+R5+W5+AB5+AG5</f>
        <v/>
      </c>
      <c r="AM5" s="125">
        <f>D5+I5+N5+S5+X5+AC5+AH5</f>
        <v/>
      </c>
      <c r="AN5" s="125">
        <f>E5+J5+O5+T5+Y5+AD5+AI5</f>
        <v/>
      </c>
      <c r="AO5" s="125">
        <f>F5+K5+P5+U5+Z5+AE5+AJ5</f>
        <v/>
      </c>
    </row>
    <row r="6">
      <c r="A6" s="124">
        <f>A5+7</f>
        <v/>
      </c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  <c r="AG6" s="125" t="n"/>
      <c r="AH6" s="125" t="n"/>
      <c r="AI6" s="125" t="n"/>
      <c r="AJ6" s="125" t="n"/>
      <c r="AK6" s="125">
        <f>B6+G6+L6+Q6+V6+AA6+AF6</f>
        <v/>
      </c>
      <c r="AL6" s="125">
        <f>C6+H6+M6+R6+W6+AB6+AG6</f>
        <v/>
      </c>
      <c r="AM6" s="125">
        <f>D6+I6+N6+S6+X6+AC6+AH6</f>
        <v/>
      </c>
      <c r="AN6" s="125">
        <f>E6+J6+O6+T6+Y6+AD6+AI6</f>
        <v/>
      </c>
      <c r="AO6" s="125">
        <f>F6+K6+P6+U6+Z6+AE6+AJ6</f>
        <v/>
      </c>
    </row>
    <row r="7">
      <c r="A7" s="124">
        <f>A6+7</f>
        <v/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 t="n"/>
      <c r="AG7" s="125" t="n"/>
      <c r="AH7" s="125" t="n"/>
      <c r="AI7" s="125" t="n"/>
      <c r="AJ7" s="125" t="n"/>
      <c r="AK7" s="125">
        <f>B7+G7+L7+Q7+V7+AA7+AF7</f>
        <v/>
      </c>
      <c r="AL7" s="125">
        <f>C7+H7+M7+R7+W7+AB7+AG7</f>
        <v/>
      </c>
      <c r="AM7" s="125">
        <f>D7+I7+N7+S7+X7+AC7+AH7</f>
        <v/>
      </c>
      <c r="AN7" s="125">
        <f>E7+J7+O7+T7+Y7+AD7+AI7</f>
        <v/>
      </c>
      <c r="AO7" s="125">
        <f>F7+K7+P7+U7+Z7+AE7+AJ7</f>
        <v/>
      </c>
    </row>
    <row r="8">
      <c r="A8" s="124">
        <f>A7+7</f>
        <v/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  <c r="AG8" s="125" t="n"/>
      <c r="AH8" s="125" t="n"/>
      <c r="AI8" s="125" t="n"/>
      <c r="AJ8" s="125" t="n"/>
      <c r="AK8" s="125">
        <f>B8+G8+L8+Q8+V8+AA8+AF8</f>
        <v/>
      </c>
      <c r="AL8" s="125">
        <f>C8+H8+M8+R8+W8+AB8+AG8</f>
        <v/>
      </c>
      <c r="AM8" s="125">
        <f>D8+I8+N8+S8+X8+AC8+AH8</f>
        <v/>
      </c>
      <c r="AN8" s="125">
        <f>E8+J8+O8+T8+Y8+AD8+AI8</f>
        <v/>
      </c>
      <c r="AO8" s="125">
        <f>F8+K8+P8+U8+Z8+AE8+AJ8</f>
        <v/>
      </c>
    </row>
    <row r="9">
      <c r="A9" s="124">
        <f>A8+7</f>
        <v/>
      </c>
      <c r="B9" s="125" t="n"/>
      <c r="C9" s="125" t="n"/>
      <c r="D9" s="125" t="n"/>
      <c r="E9" s="125" t="n"/>
      <c r="F9" s="125" t="n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  <c r="AG9" s="125" t="n"/>
      <c r="AH9" s="125" t="n"/>
      <c r="AI9" s="125" t="n"/>
      <c r="AJ9" s="125" t="n"/>
      <c r="AK9" s="125">
        <f>B9+G9+L9+Q9+V9+AA9+AF9</f>
        <v/>
      </c>
      <c r="AL9" s="125">
        <f>C9+H9+M9+R9+W9+AB9+AG9</f>
        <v/>
      </c>
      <c r="AM9" s="125">
        <f>D9+I9+N9+S9+X9+AC9+AH9</f>
        <v/>
      </c>
      <c r="AN9" s="125">
        <f>E9+J9+O9+T9+Y9+AD9+AI9</f>
        <v/>
      </c>
      <c r="AO9" s="125">
        <f>F9+K9+P9+U9+Z9+AE9+AJ9</f>
        <v/>
      </c>
    </row>
    <row r="10">
      <c r="A10" s="124">
        <f>A9+7</f>
        <v/>
      </c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  <c r="AG10" s="125" t="n"/>
      <c r="AH10" s="125" t="n"/>
      <c r="AI10" s="125" t="n"/>
      <c r="AJ10" s="125" t="n"/>
      <c r="AK10" s="125">
        <f>B10+G10+L10+Q10+V10+AA10+AF10</f>
        <v/>
      </c>
      <c r="AL10" s="125">
        <f>C10+H10+M10+R10+W10+AB10+AG10</f>
        <v/>
      </c>
      <c r="AM10" s="125">
        <f>D10+I10+N10+S10+X10+AC10+AH10</f>
        <v/>
      </c>
      <c r="AN10" s="125">
        <f>E10+J10+O10+T10+Y10+AD10+AI10</f>
        <v/>
      </c>
      <c r="AO10" s="125">
        <f>F10+K10+P10+U10+Z10+AE10+AJ10</f>
        <v/>
      </c>
    </row>
    <row r="11">
      <c r="A11" s="124">
        <f>A10+7</f>
        <v/>
      </c>
      <c r="B11" s="125" t="n"/>
      <c r="C11" s="125" t="n"/>
      <c r="D11" s="125" t="n"/>
      <c r="E11" s="125" t="n"/>
      <c r="F11" s="125" t="n"/>
      <c r="G11" s="125" t="n"/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  <c r="AG11" s="125" t="n"/>
      <c r="AH11" s="125" t="n"/>
      <c r="AI11" s="125" t="n"/>
      <c r="AJ11" s="125" t="n"/>
      <c r="AK11" s="125">
        <f>B11+G11+L11+Q11+V11+AA11+AF11</f>
        <v/>
      </c>
      <c r="AL11" s="125">
        <f>C11+H11+M11+R11+W11+AB11+AG11</f>
        <v/>
      </c>
      <c r="AM11" s="125">
        <f>D11+I11+N11+S11+X11+AC11+AH11</f>
        <v/>
      </c>
      <c r="AN11" s="125">
        <f>E11+J11+O11+T11+Y11+AD11+AI11</f>
        <v/>
      </c>
      <c r="AO11" s="125">
        <f>F11+K11+P11+U11+Z11+AE11+AJ11</f>
        <v/>
      </c>
    </row>
    <row r="12">
      <c r="A12" s="124">
        <f>A11+7</f>
        <v/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  <c r="AG12" s="125" t="n"/>
      <c r="AH12" s="125" t="n"/>
      <c r="AI12" s="125" t="n"/>
      <c r="AJ12" s="125" t="n"/>
      <c r="AK12" s="125">
        <f>B12+G12+L12+Q12+V12+AA12+AF12</f>
        <v/>
      </c>
      <c r="AL12" s="125">
        <f>C12+H12+M12+R12+W12+AB12+AG12</f>
        <v/>
      </c>
      <c r="AM12" s="125">
        <f>D12+I12+N12+S12+X12+AC12+AH12</f>
        <v/>
      </c>
      <c r="AN12" s="125">
        <f>E12+J12+O12+T12+Y12+AD12+AI12</f>
        <v/>
      </c>
      <c r="AO12" s="125">
        <f>F12+K12+P12+U12+Z12+AE12+AJ12</f>
        <v/>
      </c>
    </row>
    <row r="13">
      <c r="A13" s="124">
        <f>A12+7</f>
        <v/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  <c r="AG13" s="125" t="n"/>
      <c r="AH13" s="125" t="n"/>
      <c r="AI13" s="125" t="n"/>
      <c r="AJ13" s="125" t="n"/>
      <c r="AK13" s="125">
        <f>B13+G13+L13+Q13+V13+AA13+AF13</f>
        <v/>
      </c>
      <c r="AL13" s="125">
        <f>C13+H13+M13+R13+W13+AB13+AG13</f>
        <v/>
      </c>
      <c r="AM13" s="125">
        <f>D13+I13+N13+S13+X13+AC13+AH13</f>
        <v/>
      </c>
      <c r="AN13" s="125">
        <f>E13+J13+O13+T13+Y13+AD13+AI13</f>
        <v/>
      </c>
      <c r="AO13" s="125">
        <f>F13+K13+P13+U13+Z13+AE13+AJ13</f>
        <v/>
      </c>
    </row>
    <row r="14">
      <c r="A14" s="124">
        <f>A13+7</f>
        <v/>
      </c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 t="n"/>
      <c r="AG14" s="125" t="n"/>
      <c r="AH14" s="125" t="n"/>
      <c r="AI14" s="125" t="n"/>
      <c r="AJ14" s="125" t="n"/>
      <c r="AK14" s="125">
        <f>B14+G14+L14+Q14+V14+AA14+AF14</f>
        <v/>
      </c>
      <c r="AL14" s="125">
        <f>C14+H14+M14+R14+W14+AB14+AG14</f>
        <v/>
      </c>
      <c r="AM14" s="125">
        <f>D14+I14+N14+S14+X14+AC14+AH14</f>
        <v/>
      </c>
      <c r="AN14" s="125">
        <f>E14+J14+O14+T14+Y14+AD14+AI14</f>
        <v/>
      </c>
      <c r="AO14" s="125">
        <f>F14+K14+P14+U14+Z14+AE14+AJ14</f>
        <v/>
      </c>
    </row>
    <row r="15">
      <c r="A15" s="124">
        <f>A14+7</f>
        <v/>
      </c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 t="n"/>
      <c r="AG15" s="125" t="n"/>
      <c r="AH15" s="125" t="n"/>
      <c r="AI15" s="125" t="n"/>
      <c r="AJ15" s="125" t="n"/>
      <c r="AK15" s="125">
        <f>B15+G15+L15+Q15+V15+AA15+AF15</f>
        <v/>
      </c>
      <c r="AL15" s="125">
        <f>C15+H15+M15+R15+W15+AB15+AG15</f>
        <v/>
      </c>
      <c r="AM15" s="125">
        <f>D15+I15+N15+S15+X15+AC15+AH15</f>
        <v/>
      </c>
      <c r="AN15" s="125">
        <f>E15+J15+O15+T15+Y15+AD15+AI15</f>
        <v/>
      </c>
      <c r="AO15" s="125">
        <f>F15+K15+P15+U15+Z15+AE15+AJ15</f>
        <v/>
      </c>
    </row>
    <row r="16">
      <c r="A16" s="124">
        <f>A15+7</f>
        <v/>
      </c>
      <c r="B16" s="125" t="n"/>
      <c r="C16" s="125" t="n"/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 t="n"/>
      <c r="AG16" s="125" t="n"/>
      <c r="AH16" s="125" t="n"/>
      <c r="AI16" s="125" t="n"/>
      <c r="AJ16" s="125" t="n"/>
      <c r="AK16" s="125">
        <f>B16+G16+L16+Q16+V16+AA16+AF16</f>
        <v/>
      </c>
      <c r="AL16" s="125">
        <f>C16+H16+M16+R16+W16+AB16+AG16</f>
        <v/>
      </c>
      <c r="AM16" s="125">
        <f>D16+I16+N16+S16+X16+AC16+AH16</f>
        <v/>
      </c>
      <c r="AN16" s="125">
        <f>E16+J16+O16+T16+Y16+AD16+AI16</f>
        <v/>
      </c>
      <c r="AO16" s="125">
        <f>F16+K16+P16+U16+Z16+AE16+AJ16</f>
        <v/>
      </c>
    </row>
    <row r="17">
      <c r="A17" s="124">
        <f>A16+7</f>
        <v/>
      </c>
      <c r="B17" s="125" t="n"/>
      <c r="C17" s="125" t="n"/>
      <c r="D17" s="125" t="n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 t="n"/>
      <c r="AG17" s="125" t="n"/>
      <c r="AH17" s="125" t="n"/>
      <c r="AI17" s="125" t="n"/>
      <c r="AJ17" s="125" t="n"/>
      <c r="AK17" s="125">
        <f>B17+G17+L17+Q17+V17+AA17+AF17</f>
        <v/>
      </c>
      <c r="AL17" s="125">
        <f>C17+H17+M17+R17+W17+AB17+AG17</f>
        <v/>
      </c>
      <c r="AM17" s="125">
        <f>D17+I17+N17+S17+X17+AC17+AH17</f>
        <v/>
      </c>
      <c r="AN17" s="125">
        <f>E17+J17+O17+T17+Y17+AD17+AI17</f>
        <v/>
      </c>
      <c r="AO17" s="125">
        <f>F17+K17+P17+U17+Z17+AE17+AJ17</f>
        <v/>
      </c>
    </row>
    <row r="18">
      <c r="A18" s="124">
        <f>A17+7</f>
        <v/>
      </c>
      <c r="B18" s="125" t="n"/>
      <c r="C18" s="125" t="n"/>
      <c r="D18" s="125" t="n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 t="n"/>
      <c r="AG18" s="125" t="n"/>
      <c r="AH18" s="125" t="n"/>
      <c r="AI18" s="125" t="n"/>
      <c r="AJ18" s="125" t="n"/>
      <c r="AK18" s="125">
        <f>B18+G18+L18+Q18+V18+AA18+AF18</f>
        <v/>
      </c>
      <c r="AL18" s="125">
        <f>C18+H18+M18+R18+W18+AB18+AG18</f>
        <v/>
      </c>
      <c r="AM18" s="125">
        <f>D18+I18+N18+S18+X18+AC18+AH18</f>
        <v/>
      </c>
      <c r="AN18" s="125">
        <f>E18+J18+O18+T18+Y18+AD18+AI18</f>
        <v/>
      </c>
      <c r="AO18" s="125">
        <f>F18+K18+P18+U18+Z18+AE18+AJ18</f>
        <v/>
      </c>
    </row>
    <row r="19">
      <c r="A19" s="124">
        <f>A18+7</f>
        <v/>
      </c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  <c r="AG19" s="125" t="n"/>
      <c r="AH19" s="125" t="n"/>
      <c r="AI19" s="125" t="n"/>
      <c r="AJ19" s="125" t="n"/>
      <c r="AK19" s="125">
        <f>B19+G19+L19+Q19+V19+AA19+AF19</f>
        <v/>
      </c>
      <c r="AL19" s="125">
        <f>C19+H19+M19+R19+W19+AB19+AG19</f>
        <v/>
      </c>
      <c r="AM19" s="125">
        <f>D19+I19+N19+S19+X19+AC19+AH19</f>
        <v/>
      </c>
      <c r="AN19" s="125">
        <f>E19+J19+O19+T19+Y19+AD19+AI19</f>
        <v/>
      </c>
      <c r="AO19" s="125">
        <f>F19+K19+P19+U19+Z19+AE19+AJ19</f>
        <v/>
      </c>
    </row>
    <row r="20">
      <c r="A20" s="124">
        <f>A19+7</f>
        <v/>
      </c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 t="n"/>
      <c r="AG20" s="125" t="n"/>
      <c r="AH20" s="125" t="n"/>
      <c r="AI20" s="125" t="n"/>
      <c r="AJ20" s="125" t="n"/>
      <c r="AK20" s="125">
        <f>B20+G20+L20+Q20+V20+AA20+AF20</f>
        <v/>
      </c>
      <c r="AL20" s="125">
        <f>C20+H20+M20+R20+W20+AB20+AG20</f>
        <v/>
      </c>
      <c r="AM20" s="125">
        <f>D20+I20+N20+S20+X20+AC20+AH20</f>
        <v/>
      </c>
      <c r="AN20" s="125">
        <f>E20+J20+O20+T20+Y20+AD20+AI20</f>
        <v/>
      </c>
      <c r="AO20" s="125">
        <f>F20+K20+P20+U20+Z20+AE20+AJ20</f>
        <v/>
      </c>
    </row>
    <row r="21">
      <c r="A21" s="124">
        <f>A20+7</f>
        <v/>
      </c>
      <c r="B21" s="125" t="n"/>
      <c r="C21" s="125" t="n"/>
      <c r="D21" s="125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  <c r="AG21" s="125" t="n"/>
      <c r="AH21" s="125" t="n"/>
      <c r="AI21" s="125" t="n"/>
      <c r="AJ21" s="125" t="n"/>
      <c r="AK21" s="125">
        <f>B21+G21+L21+Q21+V21+AA21+AF21</f>
        <v/>
      </c>
      <c r="AL21" s="125">
        <f>C21+H21+M21+R21+W21+AB21+AG21</f>
        <v/>
      </c>
      <c r="AM21" s="125">
        <f>D21+I21+N21+S21+X21+AC21+AH21</f>
        <v/>
      </c>
      <c r="AN21" s="125">
        <f>E21+J21+O21+T21+Y21+AD21+AI21</f>
        <v/>
      </c>
      <c r="AO21" s="125">
        <f>F21+K21+P21+U21+Z21+AE21+AJ21</f>
        <v/>
      </c>
    </row>
    <row r="22">
      <c r="A22" s="124">
        <f>A21+7</f>
        <v/>
      </c>
      <c r="B22" s="125" t="n"/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  <c r="AG22" s="125" t="n"/>
      <c r="AH22" s="125" t="n"/>
      <c r="AI22" s="125" t="n"/>
      <c r="AJ22" s="125" t="n"/>
      <c r="AK22" s="125">
        <f>B22+G22+L22+Q22+V22+AA22+AF22</f>
        <v/>
      </c>
      <c r="AL22" s="125">
        <f>C22+H22+M22+R22+W22+AB22+AG22</f>
        <v/>
      </c>
      <c r="AM22" s="125">
        <f>D22+I22+N22+S22+X22+AC22+AH22</f>
        <v/>
      </c>
      <c r="AN22" s="125">
        <f>E22+J22+O22+T22+Y22+AD22+AI22</f>
        <v/>
      </c>
      <c r="AO22" s="125">
        <f>F22+K22+P22+U22+Z22+AE22+AJ22</f>
        <v/>
      </c>
    </row>
    <row r="23">
      <c r="A23" s="124">
        <f>A22+7</f>
        <v/>
      </c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  <c r="AG23" s="125" t="n"/>
      <c r="AH23" s="125" t="n"/>
      <c r="AI23" s="125" t="n"/>
      <c r="AJ23" s="125" t="n"/>
      <c r="AK23" s="125">
        <f>B23+G23+L23+Q23+V23+AA23+AF23</f>
        <v/>
      </c>
      <c r="AL23" s="125">
        <f>C23+H23+M23+R23+W23+AB23+AG23</f>
        <v/>
      </c>
      <c r="AM23" s="125">
        <f>D23+I23+N23+S23+X23+AC23+AH23</f>
        <v/>
      </c>
      <c r="AN23" s="125">
        <f>E23+J23+O23+T23+Y23+AD23+AI23</f>
        <v/>
      </c>
      <c r="AO23" s="125">
        <f>F23+K23+P23+U23+Z23+AE23+AJ23</f>
        <v/>
      </c>
    </row>
    <row r="24">
      <c r="A24" s="124">
        <f>A23+7</f>
        <v/>
      </c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 t="n"/>
      <c r="AG24" s="125" t="n"/>
      <c r="AH24" s="125" t="n"/>
      <c r="AI24" s="125" t="n"/>
      <c r="AJ24" s="125" t="n"/>
      <c r="AK24" s="125">
        <f>B24+G24+L24+Q24+V24+AA24+AF24</f>
        <v/>
      </c>
      <c r="AL24" s="125">
        <f>C24+H24+M24+R24+W24+AB24+AG24</f>
        <v/>
      </c>
      <c r="AM24" s="125">
        <f>D24+I24+N24+S24+X24+AC24+AH24</f>
        <v/>
      </c>
      <c r="AN24" s="125">
        <f>E24+J24+O24+T24+Y24+AD24+AI24</f>
        <v/>
      </c>
      <c r="AO24" s="125">
        <f>F24+K24+P24+U24+Z24+AE24+AJ24</f>
        <v/>
      </c>
    </row>
    <row r="25">
      <c r="A25" s="124">
        <f>A24+7</f>
        <v/>
      </c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  <c r="AG25" s="125" t="n"/>
      <c r="AH25" s="125" t="n"/>
      <c r="AI25" s="125" t="n"/>
      <c r="AJ25" s="125" t="n"/>
      <c r="AK25" s="125">
        <f>B25+G25+L25+Q25+V25+AA25+AF25</f>
        <v/>
      </c>
      <c r="AL25" s="125">
        <f>C25+H25+M25+R25+W25+AB25+AG25</f>
        <v/>
      </c>
      <c r="AM25" s="125">
        <f>D25+I25+N25+S25+X25+AC25+AH25</f>
        <v/>
      </c>
      <c r="AN25" s="125">
        <f>E25+J25+O25+T25+Y25+AD25+AI25</f>
        <v/>
      </c>
      <c r="AO25" s="125">
        <f>F25+K25+P25+U25+Z25+AE25+AJ25</f>
        <v/>
      </c>
    </row>
    <row r="26">
      <c r="A26" s="124">
        <f>A25+7</f>
        <v/>
      </c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 t="n"/>
      <c r="AG26" s="125" t="n"/>
      <c r="AH26" s="125" t="n"/>
      <c r="AI26" s="125" t="n"/>
      <c r="AJ26" s="125" t="n"/>
      <c r="AK26" s="125">
        <f>B26+G26+L26+Q26+V26+AA26+AF26</f>
        <v/>
      </c>
      <c r="AL26" s="125">
        <f>C26+H26+M26+R26+W26+AB26+AG26</f>
        <v/>
      </c>
      <c r="AM26" s="125">
        <f>D26+I26+N26+S26+X26+AC26+AH26</f>
        <v/>
      </c>
      <c r="AN26" s="125">
        <f>E26+J26+O26+T26+Y26+AD26+AI26</f>
        <v/>
      </c>
      <c r="AO26" s="125">
        <f>F26+K26+P26+U26+Z26+AE26+AJ26</f>
        <v/>
      </c>
    </row>
    <row r="27">
      <c r="A27" s="124">
        <f>A26+7</f>
        <v/>
      </c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 t="n"/>
      <c r="AG27" s="125" t="n"/>
      <c r="AH27" s="125" t="n"/>
      <c r="AI27" s="125" t="n"/>
      <c r="AJ27" s="125" t="n"/>
      <c r="AK27" s="125">
        <f>B27+G27+L27+Q27+V27+AA27+AF27</f>
        <v/>
      </c>
      <c r="AL27" s="125">
        <f>C27+H27+M27+R27+W27+AB27+AG27</f>
        <v/>
      </c>
      <c r="AM27" s="125">
        <f>D27+I27+N27+S27+X27+AC27+AH27</f>
        <v/>
      </c>
      <c r="AN27" s="125">
        <f>E27+J27+O27+T27+Y27+AD27+AI27</f>
        <v/>
      </c>
      <c r="AO27" s="125">
        <f>F27+K27+P27+U27+Z27+AE27+AJ27</f>
        <v/>
      </c>
    </row>
    <row r="28">
      <c r="A28" s="124">
        <f>A27+7</f>
        <v/>
      </c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 t="n"/>
      <c r="AG28" s="125" t="n"/>
      <c r="AH28" s="125" t="n"/>
      <c r="AI28" s="125" t="n"/>
      <c r="AJ28" s="125" t="n"/>
      <c r="AK28" s="125">
        <f>B28+G28+L28+Q28+V28+AA28+AF28</f>
        <v/>
      </c>
      <c r="AL28" s="125">
        <f>C28+H28+M28+R28+W28+AB28+AG28</f>
        <v/>
      </c>
      <c r="AM28" s="125">
        <f>D28+I28+N28+S28+X28+AC28+AH28</f>
        <v/>
      </c>
      <c r="AN28" s="125">
        <f>E28+J28+O28+T28+Y28+AD28+AI28</f>
        <v/>
      </c>
      <c r="AO28" s="125">
        <f>F28+K28+P28+U28+Z28+AE28+AJ28</f>
        <v/>
      </c>
    </row>
    <row r="29">
      <c r="A29" s="124">
        <f>A28+7</f>
        <v/>
      </c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 t="n"/>
      <c r="AG29" s="125" t="n"/>
      <c r="AH29" s="125" t="n"/>
      <c r="AI29" s="125" t="n"/>
      <c r="AJ29" s="125" t="n"/>
      <c r="AK29" s="125">
        <f>B29+G29+L29+Q29+V29+AA29+AF29</f>
        <v/>
      </c>
      <c r="AL29" s="125">
        <f>C29+H29+M29+R29+W29+AB29+AG29</f>
        <v/>
      </c>
      <c r="AM29" s="125">
        <f>D29+I29+N29+S29+X29+AC29+AH29</f>
        <v/>
      </c>
      <c r="AN29" s="125">
        <f>E29+J29+O29+T29+Y29+AD29+AI29</f>
        <v/>
      </c>
      <c r="AO29" s="125">
        <f>F29+K29+P29+U29+Z29+AE29+AJ29</f>
        <v/>
      </c>
    </row>
    <row r="30">
      <c r="A30" s="124">
        <f>A29+7</f>
        <v/>
      </c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 t="n"/>
      <c r="AG30" s="125" t="n"/>
      <c r="AH30" s="125" t="n"/>
      <c r="AI30" s="125" t="n"/>
      <c r="AJ30" s="125" t="n"/>
      <c r="AK30" s="125">
        <f>B30+G30+L30+Q30+V30+AA30+AF30</f>
        <v/>
      </c>
      <c r="AL30" s="125">
        <f>C30+H30+M30+R30+W30+AB30+AG30</f>
        <v/>
      </c>
      <c r="AM30" s="125">
        <f>D30+I30+N30+S30+X30+AC30+AH30</f>
        <v/>
      </c>
      <c r="AN30" s="125">
        <f>E30+J30+O30+T30+Y30+AD30+AI30</f>
        <v/>
      </c>
      <c r="AO30" s="125">
        <f>F30+K30+P30+U30+Z30+AE30+AJ30</f>
        <v/>
      </c>
    </row>
    <row r="31">
      <c r="A31" s="124">
        <f>A30+7</f>
        <v/>
      </c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 t="n"/>
      <c r="AG31" s="125" t="n"/>
      <c r="AH31" s="125" t="n"/>
      <c r="AI31" s="125" t="n"/>
      <c r="AJ31" s="125" t="n"/>
      <c r="AK31" s="125">
        <f>B31+G31+L31+Q31+V31+AA31+AF31</f>
        <v/>
      </c>
      <c r="AL31" s="125">
        <f>C31+H31+M31+R31+W31+AB31+AG31</f>
        <v/>
      </c>
      <c r="AM31" s="125">
        <f>D31+I31+N31+S31+X31+AC31+AH31</f>
        <v/>
      </c>
      <c r="AN31" s="125">
        <f>E31+J31+O31+T31+Y31+AD31+AI31</f>
        <v/>
      </c>
      <c r="AO31" s="125">
        <f>F31+K31+P31+U31+Z31+AE31+AJ31</f>
        <v/>
      </c>
    </row>
    <row r="32">
      <c r="A32" s="124">
        <f>A31+7</f>
        <v/>
      </c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 t="n"/>
      <c r="AG32" s="125" t="n"/>
      <c r="AH32" s="125" t="n"/>
      <c r="AI32" s="125" t="n"/>
      <c r="AJ32" s="125" t="n"/>
      <c r="AK32" s="125">
        <f>B32+G32+L32+Q32+V32+AA32+AF32</f>
        <v/>
      </c>
      <c r="AL32" s="125">
        <f>C32+H32+M32+R32+W32+AB32+AG32</f>
        <v/>
      </c>
      <c r="AM32" s="125">
        <f>D32+I32+N32+S32+X32+AC32+AH32</f>
        <v/>
      </c>
      <c r="AN32" s="125">
        <f>E32+J32+O32+T32+Y32+AD32+AI32</f>
        <v/>
      </c>
      <c r="AO32" s="125">
        <f>F32+K32+P32+U32+Z32+AE32+AJ32</f>
        <v/>
      </c>
    </row>
    <row r="33">
      <c r="A33" s="124">
        <f>A32+7</f>
        <v/>
      </c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 t="n"/>
      <c r="AG33" s="125" t="n"/>
      <c r="AH33" s="125" t="n"/>
      <c r="AI33" s="125" t="n"/>
      <c r="AJ33" s="125" t="n"/>
      <c r="AK33" s="125">
        <f>B33+G33+L33+Q33+V33+AA33+AF33</f>
        <v/>
      </c>
      <c r="AL33" s="125">
        <f>C33+H33+M33+R33+W33+AB33+AG33</f>
        <v/>
      </c>
      <c r="AM33" s="125">
        <f>D33+I33+N33+S33+X33+AC33+AH33</f>
        <v/>
      </c>
      <c r="AN33" s="125">
        <f>E33+J33+O33+T33+Y33+AD33+AI33</f>
        <v/>
      </c>
      <c r="AO33" s="125">
        <f>F33+K33+P33+U33+Z33+AE33+AJ33</f>
        <v/>
      </c>
    </row>
    <row r="34">
      <c r="A34" s="124">
        <f>A33+7</f>
        <v/>
      </c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 t="n"/>
      <c r="AG34" s="125" t="n"/>
      <c r="AH34" s="125" t="n"/>
      <c r="AI34" s="125" t="n"/>
      <c r="AJ34" s="125" t="n"/>
      <c r="AK34" s="125">
        <f>B34+G34+L34+Q34+V34+AA34+AF34</f>
        <v/>
      </c>
      <c r="AL34" s="125">
        <f>C34+H34+M34+R34+W34+AB34+AG34</f>
        <v/>
      </c>
      <c r="AM34" s="125">
        <f>D34+I34+N34+S34+X34+AC34+AH34</f>
        <v/>
      </c>
      <c r="AN34" s="125">
        <f>E34+J34+O34+T34+Y34+AD34+AI34</f>
        <v/>
      </c>
      <c r="AO34" s="125">
        <f>F34+K34+P34+U34+Z34+AE34+AJ34</f>
        <v/>
      </c>
    </row>
    <row r="35">
      <c r="A35" s="124">
        <f>A34+7</f>
        <v/>
      </c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 t="n"/>
      <c r="AG35" s="125" t="n"/>
      <c r="AH35" s="125" t="n"/>
      <c r="AI35" s="125" t="n"/>
      <c r="AJ35" s="125" t="n"/>
      <c r="AK35" s="125">
        <f>B35+G35+L35+Q35+V35+AA35+AF35</f>
        <v/>
      </c>
      <c r="AL35" s="125">
        <f>C35+H35+M35+R35+W35+AB35+AG35</f>
        <v/>
      </c>
      <c r="AM35" s="125">
        <f>D35+I35+N35+S35+X35+AC35+AH35</f>
        <v/>
      </c>
      <c r="AN35" s="125">
        <f>E35+J35+O35+T35+Y35+AD35+AI35</f>
        <v/>
      </c>
      <c r="AO35" s="125">
        <f>F35+K35+P35+U35+Z35+AE35+AJ35</f>
        <v/>
      </c>
    </row>
    <row r="36">
      <c r="A36" s="124">
        <f>A35+7</f>
        <v/>
      </c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  <c r="AG36" s="125" t="n"/>
      <c r="AH36" s="125" t="n"/>
      <c r="AI36" s="125" t="n"/>
      <c r="AJ36" s="125" t="n"/>
      <c r="AK36" s="125">
        <f>B36+G36+L36+Q36+V36+AA36+AF36</f>
        <v/>
      </c>
      <c r="AL36" s="125">
        <f>C36+H36+M36+R36+W36+AB36+AG36</f>
        <v/>
      </c>
      <c r="AM36" s="125">
        <f>D36+I36+N36+S36+X36+AC36+AH36</f>
        <v/>
      </c>
      <c r="AN36" s="125">
        <f>E36+J36+O36+T36+Y36+AD36+AI36</f>
        <v/>
      </c>
      <c r="AO36" s="125">
        <f>F36+K36+P36+U36+Z36+AE36+AJ36</f>
        <v/>
      </c>
    </row>
    <row r="37">
      <c r="A37" s="124">
        <f>A36+7</f>
        <v/>
      </c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  <c r="AG37" s="125" t="n"/>
      <c r="AH37" s="125" t="n"/>
      <c r="AI37" s="125" t="n"/>
      <c r="AJ37" s="125" t="n"/>
      <c r="AK37" s="125">
        <f>B37+G37+L37+Q37+V37+AA37+AF37</f>
        <v/>
      </c>
      <c r="AL37" s="125">
        <f>C37+H37+M37+R37+W37+AB37+AG37</f>
        <v/>
      </c>
      <c r="AM37" s="125">
        <f>D37+I37+N37+S37+X37+AC37+AH37</f>
        <v/>
      </c>
      <c r="AN37" s="125">
        <f>E37+J37+O37+T37+Y37+AD37+AI37</f>
        <v/>
      </c>
      <c r="AO37" s="125">
        <f>F37+K37+P37+U37+Z37+AE37+AJ37</f>
        <v/>
      </c>
    </row>
    <row r="38">
      <c r="A38" s="124">
        <f>A37+7</f>
        <v/>
      </c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  <c r="AG38" s="125" t="n"/>
      <c r="AH38" s="125" t="n"/>
      <c r="AI38" s="125" t="n"/>
      <c r="AJ38" s="125" t="n"/>
      <c r="AK38" s="125">
        <f>B38+G38+L38+Q38+V38+AA38+AF38</f>
        <v/>
      </c>
      <c r="AL38" s="125">
        <f>C38+H38+M38+R38+W38+AB38+AG38</f>
        <v/>
      </c>
      <c r="AM38" s="125">
        <f>D38+I38+N38+S38+X38+AC38+AH38</f>
        <v/>
      </c>
      <c r="AN38" s="125">
        <f>E38+J38+O38+T38+Y38+AD38+AI38</f>
        <v/>
      </c>
      <c r="AO38" s="125">
        <f>F38+K38+P38+U38+Z38+AE38+AJ38</f>
        <v/>
      </c>
    </row>
    <row r="39">
      <c r="A39" s="124">
        <f>A38+7</f>
        <v/>
      </c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  <c r="AG39" s="125" t="n"/>
      <c r="AH39" s="125" t="n"/>
      <c r="AI39" s="125" t="n"/>
      <c r="AJ39" s="125" t="n"/>
      <c r="AK39" s="125">
        <f>B39+G39+L39+Q39+V39+AA39+AF39</f>
        <v/>
      </c>
      <c r="AL39" s="125">
        <f>C39+H39+M39+R39+W39+AB39+AG39</f>
        <v/>
      </c>
      <c r="AM39" s="125">
        <f>D39+I39+N39+S39+X39+AC39+AH39</f>
        <v/>
      </c>
      <c r="AN39" s="125">
        <f>E39+J39+O39+T39+Y39+AD39+AI39</f>
        <v/>
      </c>
      <c r="AO39" s="125">
        <f>F39+K39+P39+U39+Z39+AE39+AJ39</f>
        <v/>
      </c>
    </row>
    <row r="40">
      <c r="A40" s="124">
        <f>A39+7</f>
        <v/>
      </c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  <c r="AG40" s="125" t="n"/>
      <c r="AH40" s="125" t="n"/>
      <c r="AI40" s="125" t="n"/>
      <c r="AJ40" s="125" t="n"/>
      <c r="AK40" s="125">
        <f>B40+G40+L40+Q40+V40+AA40+AF40</f>
        <v/>
      </c>
      <c r="AL40" s="125">
        <f>C40+H40+M40+R40+W40+AB40+AG40</f>
        <v/>
      </c>
      <c r="AM40" s="125">
        <f>D40+I40+N40+S40+X40+AC40+AH40</f>
        <v/>
      </c>
      <c r="AN40" s="125">
        <f>E40+J40+O40+T40+Y40+AD40+AI40</f>
        <v/>
      </c>
      <c r="AO40" s="125">
        <f>F40+K40+P40+U40+Z40+AE40+AJ40</f>
        <v/>
      </c>
    </row>
    <row r="41">
      <c r="A41" s="124">
        <f>A40+7</f>
        <v/>
      </c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 t="n"/>
      <c r="AG41" s="125" t="n"/>
      <c r="AH41" s="125" t="n"/>
      <c r="AI41" s="125" t="n"/>
      <c r="AJ41" s="125" t="n"/>
      <c r="AK41" s="125">
        <f>B41+G41+L41+Q41+V41+AA41+AF41</f>
        <v/>
      </c>
      <c r="AL41" s="125">
        <f>C41+H41+M41+R41+W41+AB41+AG41</f>
        <v/>
      </c>
      <c r="AM41" s="125">
        <f>D41+I41+N41+S41+X41+AC41+AH41</f>
        <v/>
      </c>
      <c r="AN41" s="125">
        <f>E41+J41+O41+T41+Y41+AD41+AI41</f>
        <v/>
      </c>
      <c r="AO41" s="125">
        <f>F41+K41+P41+U41+Z41+AE41+AJ41</f>
        <v/>
      </c>
    </row>
    <row r="42">
      <c r="A42" s="124">
        <f>A41+7</f>
        <v/>
      </c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  <c r="AG42" s="125" t="n"/>
      <c r="AH42" s="125" t="n"/>
      <c r="AI42" s="125" t="n"/>
      <c r="AJ42" s="125" t="n"/>
      <c r="AK42" s="125">
        <f>B42+G42+L42+Q42+V42+AA42+AF42</f>
        <v/>
      </c>
      <c r="AL42" s="125">
        <f>C42+H42+M42+R42+W42+AB42+AG42</f>
        <v/>
      </c>
      <c r="AM42" s="125">
        <f>D42+I42+N42+S42+X42+AC42+AH42</f>
        <v/>
      </c>
      <c r="AN42" s="125">
        <f>E42+J42+O42+T42+Y42+AD42+AI42</f>
        <v/>
      </c>
      <c r="AO42" s="125">
        <f>F42+K42+P42+U42+Z42+AE42+AJ42</f>
        <v/>
      </c>
    </row>
    <row r="43">
      <c r="A43" s="124">
        <f>A42+7</f>
        <v/>
      </c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  <c r="AG43" s="125" t="n"/>
      <c r="AH43" s="125" t="n"/>
      <c r="AI43" s="125" t="n"/>
      <c r="AJ43" s="125" t="n"/>
      <c r="AK43" s="125">
        <f>B43+G43+L43+Q43+V43+AA43+AF43</f>
        <v/>
      </c>
      <c r="AL43" s="125">
        <f>C43+H43+M43+R43+W43+AB43+AG43</f>
        <v/>
      </c>
      <c r="AM43" s="125">
        <f>D43+I43+N43+S43+X43+AC43+AH43</f>
        <v/>
      </c>
      <c r="AN43" s="125">
        <f>E43+J43+O43+T43+Y43+AD43+AI43</f>
        <v/>
      </c>
      <c r="AO43" s="125">
        <f>F43+K43+P43+U43+Z43+AE43+AJ43</f>
        <v/>
      </c>
    </row>
    <row r="44">
      <c r="A44" s="124">
        <f>A43+7</f>
        <v/>
      </c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  <c r="AG44" s="125" t="n"/>
      <c r="AH44" s="125" t="n"/>
      <c r="AI44" s="125" t="n"/>
      <c r="AJ44" s="125" t="n"/>
      <c r="AK44" s="125">
        <f>B44+G44+L44+Q44+V44+AA44+AF44</f>
        <v/>
      </c>
      <c r="AL44" s="125">
        <f>C44+H44+M44+R44+W44+AB44+AG44</f>
        <v/>
      </c>
      <c r="AM44" s="125">
        <f>D44+I44+N44+S44+X44+AC44+AH44</f>
        <v/>
      </c>
      <c r="AN44" s="125">
        <f>E44+J44+O44+T44+Y44+AD44+AI44</f>
        <v/>
      </c>
      <c r="AO44" s="125">
        <f>F44+K44+P44+U44+Z44+AE44+AJ44</f>
        <v/>
      </c>
    </row>
    <row r="45">
      <c r="A45" s="124">
        <f>A44+7</f>
        <v/>
      </c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 t="n"/>
      <c r="AG45" s="125" t="n"/>
      <c r="AH45" s="125" t="n"/>
      <c r="AI45" s="125" t="n"/>
      <c r="AJ45" s="125" t="n"/>
      <c r="AK45" s="125">
        <f>B45+G45+L45+Q45+V45+AA45+AF45</f>
        <v/>
      </c>
      <c r="AL45" s="125">
        <f>C45+H45+M45+R45+W45+AB45+AG45</f>
        <v/>
      </c>
      <c r="AM45" s="125">
        <f>D45+I45+N45+S45+X45+AC45+AH45</f>
        <v/>
      </c>
      <c r="AN45" s="125">
        <f>E45+J45+O45+T45+Y45+AD45+AI45</f>
        <v/>
      </c>
      <c r="AO45" s="125">
        <f>F45+K45+P45+U45+Z45+AE45+AJ45</f>
        <v/>
      </c>
    </row>
    <row r="46">
      <c r="A46" s="124">
        <f>A45+7</f>
        <v/>
      </c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 t="n"/>
      <c r="AG46" s="125" t="n"/>
      <c r="AH46" s="125" t="n"/>
      <c r="AI46" s="125" t="n"/>
      <c r="AJ46" s="125" t="n"/>
      <c r="AK46" s="125">
        <f>B46+G46+L46+Q46+V46+AA46+AF46</f>
        <v/>
      </c>
      <c r="AL46" s="125">
        <f>C46+H46+M46+R46+W46+AB46+AG46</f>
        <v/>
      </c>
      <c r="AM46" s="125">
        <f>D46+I46+N46+S46+X46+AC46+AH46</f>
        <v/>
      </c>
      <c r="AN46" s="125">
        <f>E46+J46+O46+T46+Y46+AD46+AI46</f>
        <v/>
      </c>
      <c r="AO46" s="125">
        <f>F46+K46+P46+U46+Z46+AE46+AJ46</f>
        <v/>
      </c>
    </row>
    <row r="47">
      <c r="A47" s="124">
        <f>A46+7</f>
        <v/>
      </c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 t="n"/>
      <c r="AG47" s="125" t="n"/>
      <c r="AH47" s="125" t="n"/>
      <c r="AI47" s="125" t="n"/>
      <c r="AJ47" s="125" t="n"/>
      <c r="AK47" s="125">
        <f>B47+G47+L47+Q47+V47+AA47+AF47</f>
        <v/>
      </c>
      <c r="AL47" s="125">
        <f>C47+H47+M47+R47+W47+AB47+AG47</f>
        <v/>
      </c>
      <c r="AM47" s="125">
        <f>D47+I47+N47+S47+X47+AC47+AH47</f>
        <v/>
      </c>
      <c r="AN47" s="125">
        <f>E47+J47+O47+T47+Y47+AD47+AI47</f>
        <v/>
      </c>
      <c r="AO47" s="125">
        <f>F47+K47+P47+U47+Z47+AE47+AJ47</f>
        <v/>
      </c>
    </row>
    <row r="48">
      <c r="A48" s="124">
        <f>A47+7</f>
        <v/>
      </c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  <c r="AG48" s="125" t="n"/>
      <c r="AH48" s="125" t="n"/>
      <c r="AI48" s="125" t="n"/>
      <c r="AJ48" s="125" t="n"/>
      <c r="AK48" s="125">
        <f>B48+G48+L48+Q48+V48+AA48+AF48</f>
        <v/>
      </c>
      <c r="AL48" s="125">
        <f>C48+H48+M48+R48+W48+AB48+AG48</f>
        <v/>
      </c>
      <c r="AM48" s="125">
        <f>D48+I48+N48+S48+X48+AC48+AH48</f>
        <v/>
      </c>
      <c r="AN48" s="125">
        <f>E48+J48+O48+T48+Y48+AD48+AI48</f>
        <v/>
      </c>
      <c r="AO48" s="125">
        <f>F48+K48+P48+U48+Z48+AE48+AJ48</f>
        <v/>
      </c>
    </row>
    <row r="49">
      <c r="A49" s="124">
        <f>A48+7</f>
        <v/>
      </c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 t="n"/>
      <c r="AG49" s="125" t="n"/>
      <c r="AH49" s="125" t="n"/>
      <c r="AI49" s="125" t="n"/>
      <c r="AJ49" s="125" t="n"/>
      <c r="AK49" s="125">
        <f>B49+G49+L49+Q49+V49+AA49+AF49</f>
        <v/>
      </c>
      <c r="AL49" s="125">
        <f>C49+H49+M49+R49+W49+AB49+AG49</f>
        <v/>
      </c>
      <c r="AM49" s="125">
        <f>D49+I49+N49+S49+X49+AC49+AH49</f>
        <v/>
      </c>
      <c r="AN49" s="125">
        <f>E49+J49+O49+T49+Y49+AD49+AI49</f>
        <v/>
      </c>
      <c r="AO49" s="125">
        <f>F49+K49+P49+U49+Z49+AE49+AJ49</f>
        <v/>
      </c>
    </row>
    <row r="50">
      <c r="A50" s="124">
        <f>A49+7</f>
        <v/>
      </c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 t="n"/>
      <c r="AG50" s="125" t="n"/>
      <c r="AH50" s="125" t="n"/>
      <c r="AI50" s="125" t="n"/>
      <c r="AJ50" s="125" t="n"/>
      <c r="AK50" s="125">
        <f>B50+G50+L50+Q50+V50+AA50+AF50</f>
        <v/>
      </c>
      <c r="AL50" s="125">
        <f>C50+H50+M50+R50+W50+AB50+AG50</f>
        <v/>
      </c>
      <c r="AM50" s="125">
        <f>D50+I50+N50+S50+X50+AC50+AH50</f>
        <v/>
      </c>
      <c r="AN50" s="125">
        <f>E50+J50+O50+T50+Y50+AD50+AI50</f>
        <v/>
      </c>
      <c r="AO50" s="125">
        <f>F50+K50+P50+U50+Z50+AE50+AJ50</f>
        <v/>
      </c>
    </row>
    <row r="51">
      <c r="A51" s="124">
        <f>A50+7</f>
        <v/>
      </c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 t="n"/>
      <c r="AG51" s="125" t="n"/>
      <c r="AH51" s="125" t="n"/>
      <c r="AI51" s="125" t="n"/>
      <c r="AJ51" s="125" t="n"/>
      <c r="AK51" s="125">
        <f>B51+G51+L51+Q51+V51+AA51+AF51</f>
        <v/>
      </c>
      <c r="AL51" s="125">
        <f>C51+H51+M51+R51+W51+AB51+AG51</f>
        <v/>
      </c>
      <c r="AM51" s="125">
        <f>D51+I51+N51+S51+X51+AC51+AH51</f>
        <v/>
      </c>
      <c r="AN51" s="125">
        <f>E51+J51+O51+T51+Y51+AD51+AI51</f>
        <v/>
      </c>
      <c r="AO51" s="125">
        <f>F51+K51+P51+U51+Z51+AE51+AJ51</f>
        <v/>
      </c>
    </row>
    <row r="52">
      <c r="A52" s="124">
        <f>A51+7</f>
        <v/>
      </c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 t="n"/>
      <c r="AG52" s="125" t="n"/>
      <c r="AH52" s="125" t="n"/>
      <c r="AI52" s="125" t="n"/>
      <c r="AJ52" s="125" t="n"/>
      <c r="AK52" s="125">
        <f>B52+G52+L52+Q52+V52+AA52+AF52</f>
        <v/>
      </c>
      <c r="AL52" s="125">
        <f>C52+H52+M52+R52+W52+AB52+AG52</f>
        <v/>
      </c>
      <c r="AM52" s="125">
        <f>D52+I52+N52+S52+X52+AC52+AH52</f>
        <v/>
      </c>
      <c r="AN52" s="125">
        <f>E52+J52+O52+T52+Y52+AD52+AI52</f>
        <v/>
      </c>
      <c r="AO52" s="125">
        <f>F52+K52+P52+U52+Z52+AE52+AJ52</f>
        <v/>
      </c>
    </row>
  </sheetData>
  <mergeCells count="11">
    <mergeCell ref="G3:K3"/>
    <mergeCell ref="V3:Z3"/>
    <mergeCell ref="AF3:AJ3"/>
    <mergeCell ref="A2:A4"/>
    <mergeCell ref="Q3:U3"/>
    <mergeCell ref="B3:F3"/>
    <mergeCell ref="AK3:AO3"/>
    <mergeCell ref="L3:P3"/>
    <mergeCell ref="AA3:AE3"/>
    <mergeCell ref="A1:AO1"/>
    <mergeCell ref="B2:AJ2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W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BF8F00"/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V1"/>
    </sheetView>
  </sheetViews>
  <sheetFormatPr baseColWidth="8" defaultRowHeight="15"/>
  <cols>
    <col width="12" customWidth="1" style="102" min="1" max="1"/>
    <col width="10" customWidth="1" style="102" min="2" max="26"/>
  </cols>
  <sheetData>
    <row r="1">
      <c r="A1" s="101" t="inlineStr">
        <is>
          <t>ФАКТ ЧЕРН К3</t>
        </is>
      </c>
      <c r="X1" s="107" t="inlineStr">
        <is>
          <t>Итого К3</t>
        </is>
      </c>
    </row>
    <row r="2">
      <c r="A2" s="108" t="inlineStr">
        <is>
          <t>Дата</t>
        </is>
      </c>
      <c r="B2" s="110" t="inlineStr">
        <is>
          <t>Надземная часть</t>
        </is>
      </c>
      <c r="C2" s="105" t="n"/>
      <c r="D2" s="105" t="n"/>
      <c r="E2" s="105" t="n"/>
      <c r="F2" s="105" t="n"/>
      <c r="G2" s="105" t="n"/>
      <c r="H2" s="105" t="n"/>
      <c r="I2" s="105" t="n"/>
      <c r="J2" s="105" t="n"/>
      <c r="K2" s="105" t="n"/>
      <c r="L2" s="105" t="n"/>
      <c r="M2" s="105" t="n"/>
      <c r="N2" s="105" t="n"/>
      <c r="O2" s="105" t="n"/>
      <c r="P2" s="105" t="n"/>
      <c r="Q2" s="105" t="n"/>
      <c r="R2" s="105" t="n"/>
      <c r="S2" s="105" t="n"/>
      <c r="T2" s="105" t="n"/>
      <c r="U2" s="105" t="n"/>
      <c r="V2" s="106" t="n"/>
    </row>
    <row r="3">
      <c r="A3" s="109" t="n"/>
      <c r="B3" s="110" t="inlineStr">
        <is>
          <t>8.2.1 Отделка лобби/гранд-лобби</t>
        </is>
      </c>
      <c r="C3" s="105" t="n"/>
      <c r="D3" s="106" t="n"/>
      <c r="E3" s="110" t="inlineStr">
        <is>
          <t>8.2.2 Отделка эвакуац. лестн. клетки надзем.</t>
        </is>
      </c>
      <c r="F3" s="105" t="n"/>
      <c r="G3" s="106" t="n"/>
      <c r="H3" s="110" t="inlineStr">
        <is>
          <t>8.2.3 Лифт. холлы, тамбур-шлюзы надзем.</t>
        </is>
      </c>
      <c r="I3" s="105" t="n"/>
      <c r="J3" s="106" t="n"/>
      <c r="K3" s="110" t="inlineStr">
        <is>
          <t>8.2.4 Технич. помещения надзем.</t>
        </is>
      </c>
      <c r="L3" s="105" t="n"/>
      <c r="M3" s="106" t="n"/>
      <c r="N3" s="110" t="inlineStr">
        <is>
          <t>8.2.5 Прочие помещения надзем.</t>
        </is>
      </c>
      <c r="O3" s="105" t="n"/>
      <c r="P3" s="106" t="n"/>
      <c r="Q3" s="110" t="inlineStr">
        <is>
          <t>8.2.6 Коммерч. помещения надзем.</t>
        </is>
      </c>
      <c r="R3" s="105" t="n"/>
      <c r="S3" s="106" t="n"/>
      <c r="T3" s="110" t="inlineStr">
        <is>
          <t>8.2.7 Паркинг и рампы надзем.</t>
        </is>
      </c>
      <c r="U3" s="105" t="n"/>
      <c r="V3" s="106" t="n"/>
      <c r="X3" s="29" t="inlineStr">
        <is>
          <t>Пол</t>
        </is>
      </c>
      <c r="Y3" s="29" t="inlineStr">
        <is>
          <t>Стены</t>
        </is>
      </c>
      <c r="Z3" s="29" t="inlineStr">
        <is>
          <t>Потолок</t>
        </is>
      </c>
    </row>
    <row r="4">
      <c r="B4" s="110" t="inlineStr">
        <is>
          <t>Пол</t>
        </is>
      </c>
      <c r="C4" s="110" t="inlineStr">
        <is>
          <t>Стены</t>
        </is>
      </c>
      <c r="D4" s="110" t="inlineStr">
        <is>
          <t>Потолок</t>
        </is>
      </c>
      <c r="E4" s="110" t="inlineStr">
        <is>
          <t>Пол</t>
        </is>
      </c>
      <c r="F4" s="110" t="inlineStr">
        <is>
          <t>Стены</t>
        </is>
      </c>
      <c r="G4" s="110" t="inlineStr">
        <is>
          <t>Потолок</t>
        </is>
      </c>
      <c r="H4" s="110" t="inlineStr">
        <is>
          <t>Пол</t>
        </is>
      </c>
      <c r="I4" s="110" t="inlineStr">
        <is>
          <t>Стены</t>
        </is>
      </c>
      <c r="J4" s="110" t="inlineStr">
        <is>
          <t>Потолок</t>
        </is>
      </c>
      <c r="K4" s="110" t="inlineStr">
        <is>
          <t>Пол</t>
        </is>
      </c>
      <c r="L4" s="110" t="inlineStr">
        <is>
          <t>Стены</t>
        </is>
      </c>
      <c r="M4" s="110" t="inlineStr">
        <is>
          <t>Потолок</t>
        </is>
      </c>
      <c r="N4" s="110" t="inlineStr">
        <is>
          <t>Пол</t>
        </is>
      </c>
      <c r="O4" s="110" t="inlineStr">
        <is>
          <t>Стены</t>
        </is>
      </c>
      <c r="P4" s="110" t="inlineStr">
        <is>
          <t>Потолок</t>
        </is>
      </c>
      <c r="Q4" s="110" t="inlineStr">
        <is>
          <t>Пол</t>
        </is>
      </c>
      <c r="R4" s="110" t="inlineStr">
        <is>
          <t>Стены</t>
        </is>
      </c>
      <c r="S4" s="110" t="inlineStr">
        <is>
          <t>Потолок</t>
        </is>
      </c>
      <c r="T4" s="110" t="inlineStr">
        <is>
          <t>Пол</t>
        </is>
      </c>
      <c r="U4" s="110" t="inlineStr">
        <is>
          <t>Стены</t>
        </is>
      </c>
      <c r="V4" s="110" t="inlineStr">
        <is>
          <t>Потолок</t>
        </is>
      </c>
      <c r="X4" s="30" t="n"/>
      <c r="Y4" s="30" t="n"/>
      <c r="Z4" s="30" t="n"/>
    </row>
    <row r="5">
      <c r="A5" s="17">
        <f>СПРАВОЧНИК!$B$35</f>
        <v/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X5" s="32">
        <f>B5+E5+H5+K5+N5+Q5+T5</f>
        <v/>
      </c>
      <c r="Y5" s="32">
        <f>C5+F5+I5+L5+O5+R5+U5</f>
        <v/>
      </c>
      <c r="Z5" s="32">
        <f>D5+G5+J5+M5+P5+S5+V5</f>
        <v/>
      </c>
    </row>
    <row r="6">
      <c r="A6" s="17">
        <f>A5+7</f>
        <v/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X6" s="32">
        <f>B6+E6+H6+K6+N6+Q6+T6</f>
        <v/>
      </c>
      <c r="Y6" s="32">
        <f>C6+F6+I6+L6+O6+R6+U6</f>
        <v/>
      </c>
      <c r="Z6" s="32">
        <f>D6+G6+J6+M6+P6+S6+V6</f>
        <v/>
      </c>
    </row>
    <row r="7">
      <c r="A7" s="17">
        <f>A6+7</f>
        <v/>
      </c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X7" s="32">
        <f>B7+E7+H7+K7+N7+Q7+T7</f>
        <v/>
      </c>
      <c r="Y7" s="32">
        <f>C7+F7+I7+L7+O7+R7+U7</f>
        <v/>
      </c>
      <c r="Z7" s="32">
        <f>D7+G7+J7+M7+P7+S7+V7</f>
        <v/>
      </c>
    </row>
    <row r="8">
      <c r="A8" s="17">
        <f>A7+7</f>
        <v/>
      </c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  <c r="V8" s="33" t="n"/>
      <c r="X8" s="32">
        <f>B8+E8+H8+K8+N8+Q8+T8</f>
        <v/>
      </c>
      <c r="Y8" s="32">
        <f>C8+F8+I8+L8+O8+R8+U8</f>
        <v/>
      </c>
      <c r="Z8" s="32">
        <f>D8+G8+J8+M8+P8+S8+V8</f>
        <v/>
      </c>
    </row>
    <row r="9">
      <c r="A9" s="17">
        <f>A8+7</f>
        <v/>
      </c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X9" s="32">
        <f>B9+E9+H9+K9+N9+Q9+T9</f>
        <v/>
      </c>
      <c r="Y9" s="32">
        <f>C9+F9+I9+L9+O9+R9+U9</f>
        <v/>
      </c>
      <c r="Z9" s="32">
        <f>D9+G9+J9+M9+P9+S9+V9</f>
        <v/>
      </c>
    </row>
    <row r="10">
      <c r="A10" s="17">
        <f>A9+7</f>
        <v/>
      </c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  <c r="V10" s="33" t="n"/>
      <c r="X10" s="32">
        <f>B10+E10+H10+K10+N10+Q10+T10</f>
        <v/>
      </c>
      <c r="Y10" s="32">
        <f>C10+F10+I10+L10+O10+R10+U10</f>
        <v/>
      </c>
      <c r="Z10" s="32">
        <f>D10+G10+J10+M10+P10+S10+V10</f>
        <v/>
      </c>
    </row>
    <row r="11">
      <c r="A11" s="17">
        <f>A10+7</f>
        <v/>
      </c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  <c r="V11" s="33" t="n"/>
      <c r="X11" s="32">
        <f>B11+E11+H11+K11+N11+Q11+T11</f>
        <v/>
      </c>
      <c r="Y11" s="32">
        <f>C11+F11+I11+L11+O11+R11+U11</f>
        <v/>
      </c>
      <c r="Z11" s="32">
        <f>D11+G11+J11+M11+P11+S11+V11</f>
        <v/>
      </c>
    </row>
    <row r="12">
      <c r="A12" s="17">
        <f>A11+7</f>
        <v/>
      </c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X12" s="32">
        <f>B12+E12+H12+K12+N12+Q12+T12</f>
        <v/>
      </c>
      <c r="Y12" s="32">
        <f>C12+F12+I12+L12+O12+R12+U12</f>
        <v/>
      </c>
      <c r="Z12" s="32">
        <f>D12+G12+J12+M12+P12+S12+V12</f>
        <v/>
      </c>
    </row>
    <row r="13">
      <c r="A13" s="17">
        <f>A12+7</f>
        <v/>
      </c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X13" s="32">
        <f>B13+E13+H13+K13+N13+Q13+T13</f>
        <v/>
      </c>
      <c r="Y13" s="32">
        <f>C13+F13+I13+L13+O13+R13+U13</f>
        <v/>
      </c>
      <c r="Z13" s="32">
        <f>D13+G13+J13+M13+P13+S13+V13</f>
        <v/>
      </c>
    </row>
    <row r="14">
      <c r="A14" s="17">
        <f>A13+7</f>
        <v/>
      </c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X14" s="32">
        <f>B14+E14+H14+K14+N14+Q14+T14</f>
        <v/>
      </c>
      <c r="Y14" s="32">
        <f>C14+F14+I14+L14+O14+R14+U14</f>
        <v/>
      </c>
      <c r="Z14" s="32">
        <f>D14+G14+J14+M14+P14+S14+V14</f>
        <v/>
      </c>
    </row>
    <row r="15">
      <c r="A15" s="17">
        <f>A14+7</f>
        <v/>
      </c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X15" s="32">
        <f>B15+E15+H15+K15+N15+Q15+T15</f>
        <v/>
      </c>
      <c r="Y15" s="32">
        <f>C15+F15+I15+L15+O15+R15+U15</f>
        <v/>
      </c>
      <c r="Z15" s="32">
        <f>D15+G15+J15+M15+P15+S15+V15</f>
        <v/>
      </c>
    </row>
    <row r="16">
      <c r="A16" s="17">
        <f>A15+7</f>
        <v/>
      </c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X16" s="32">
        <f>B16+E16+H16+K16+N16+Q16+T16</f>
        <v/>
      </c>
      <c r="Y16" s="32">
        <f>C16+F16+I16+L16+O16+R16+U16</f>
        <v/>
      </c>
      <c r="Z16" s="32">
        <f>D16+G16+J16+M16+P16+S16+V16</f>
        <v/>
      </c>
    </row>
    <row r="17">
      <c r="A17" s="17">
        <f>A16+7</f>
        <v/>
      </c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X17" s="32">
        <f>B17+E17+H17+K17+N17+Q17+T17</f>
        <v/>
      </c>
      <c r="Y17" s="32">
        <f>C17+F17+I17+L17+O17+R17+U17</f>
        <v/>
      </c>
      <c r="Z17" s="32">
        <f>D17+G17+J17+M17+P17+S17+V17</f>
        <v/>
      </c>
    </row>
    <row r="18">
      <c r="A18" s="17">
        <f>A17+7</f>
        <v/>
      </c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  <c r="V18" s="33" t="n"/>
      <c r="X18" s="32">
        <f>B18+E18+H18+K18+N18+Q18+T18</f>
        <v/>
      </c>
      <c r="Y18" s="32">
        <f>C18+F18+I18+L18+O18+R18+U18</f>
        <v/>
      </c>
      <c r="Z18" s="32">
        <f>D18+G18+J18+M18+P18+S18+V18</f>
        <v/>
      </c>
    </row>
    <row r="19">
      <c r="A19" s="17">
        <f>A18+7</f>
        <v/>
      </c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  <c r="V19" s="33" t="n"/>
      <c r="X19" s="32">
        <f>B19+E19+H19+K19+N19+Q19+T19</f>
        <v/>
      </c>
      <c r="Y19" s="32">
        <f>C19+F19+I19+L19+O19+R19+U19</f>
        <v/>
      </c>
      <c r="Z19" s="32">
        <f>D19+G19+J19+M19+P19+S19+V19</f>
        <v/>
      </c>
    </row>
    <row r="20">
      <c r="A20" s="17">
        <f>A19+7</f>
        <v/>
      </c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X20" s="32">
        <f>B20+E20+H20+K20+N20+Q20+T20</f>
        <v/>
      </c>
      <c r="Y20" s="32">
        <f>C20+F20+I20+L20+O20+R20+U20</f>
        <v/>
      </c>
      <c r="Z20" s="32">
        <f>D20+G20+J20+M20+P20+S20+V20</f>
        <v/>
      </c>
    </row>
    <row r="21">
      <c r="A21" s="17">
        <f>A20+7</f>
        <v/>
      </c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  <c r="V21" s="33" t="n"/>
      <c r="X21" s="32">
        <f>B21+E21+H21+K21+N21+Q21+T21</f>
        <v/>
      </c>
      <c r="Y21" s="32">
        <f>C21+F21+I21+L21+O21+R21+U21</f>
        <v/>
      </c>
      <c r="Z21" s="32">
        <f>D21+G21+J21+M21+P21+S21+V21</f>
        <v/>
      </c>
    </row>
    <row r="22">
      <c r="A22" s="17">
        <f>A21+7</f>
        <v/>
      </c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X22" s="32">
        <f>B22+E22+H22+K22+N22+Q22+T22</f>
        <v/>
      </c>
      <c r="Y22" s="32">
        <f>C22+F22+I22+L22+O22+R22+U22</f>
        <v/>
      </c>
      <c r="Z22" s="32">
        <f>D22+G22+J22+M22+P22+S22+V22</f>
        <v/>
      </c>
    </row>
    <row r="23">
      <c r="A23" s="17">
        <f>A22+7</f>
        <v/>
      </c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  <c r="V23" s="33" t="n"/>
      <c r="X23" s="32">
        <f>B23+E23+H23+K23+N23+Q23+T23</f>
        <v/>
      </c>
      <c r="Y23" s="32">
        <f>C23+F23+I23+L23+O23+R23+U23</f>
        <v/>
      </c>
      <c r="Z23" s="32">
        <f>D23+G23+J23+M23+P23+S23+V23</f>
        <v/>
      </c>
    </row>
    <row r="24">
      <c r="A24" s="17">
        <f>A23+7</f>
        <v/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  <c r="V24" s="33" t="n"/>
      <c r="X24" s="32">
        <f>B24+E24+H24+K24+N24+Q24+T24</f>
        <v/>
      </c>
      <c r="Y24" s="32">
        <f>C24+F24+I24+L24+O24+R24+U24</f>
        <v/>
      </c>
      <c r="Z24" s="32">
        <f>D24+G24+J24+M24+P24+S24+V24</f>
        <v/>
      </c>
    </row>
    <row r="25">
      <c r="A25" s="17">
        <f>A24+7</f>
        <v/>
      </c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  <c r="V25" s="33" t="n"/>
      <c r="X25" s="32">
        <f>B25+E25+H25+K25+N25+Q25+T25</f>
        <v/>
      </c>
      <c r="Y25" s="32">
        <f>C25+F25+I25+L25+O25+R25+U25</f>
        <v/>
      </c>
      <c r="Z25" s="32">
        <f>D25+G25+J25+M25+P25+S25+V25</f>
        <v/>
      </c>
    </row>
    <row r="26">
      <c r="A26" s="17">
        <f>A25+7</f>
        <v/>
      </c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  <c r="V26" s="33" t="n"/>
      <c r="X26" s="32">
        <f>B26+E26+H26+K26+N26+Q26+T26</f>
        <v/>
      </c>
      <c r="Y26" s="32">
        <f>C26+F26+I26+L26+O26+R26+U26</f>
        <v/>
      </c>
      <c r="Z26" s="32">
        <f>D26+G26+J26+M26+P26+S26+V26</f>
        <v/>
      </c>
    </row>
    <row r="27">
      <c r="A27" s="17">
        <f>A26+7</f>
        <v/>
      </c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  <c r="V27" s="33" t="n"/>
      <c r="X27" s="32">
        <f>B27+E27+H27+K27+N27+Q27+T27</f>
        <v/>
      </c>
      <c r="Y27" s="32">
        <f>C27+F27+I27+L27+O27+R27+U27</f>
        <v/>
      </c>
      <c r="Z27" s="32">
        <f>D27+G27+J27+M27+P27+S27+V27</f>
        <v/>
      </c>
    </row>
    <row r="28">
      <c r="A28" s="17">
        <f>A27+7</f>
        <v/>
      </c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  <c r="V28" s="33" t="n"/>
      <c r="X28" s="32">
        <f>B28+E28+H28+K28+N28+Q28+T28</f>
        <v/>
      </c>
      <c r="Y28" s="32">
        <f>C28+F28+I28+L28+O28+R28+U28</f>
        <v/>
      </c>
      <c r="Z28" s="32">
        <f>D28+G28+J28+M28+P28+S28+V28</f>
        <v/>
      </c>
    </row>
    <row r="29">
      <c r="A29" s="17">
        <f>A28+7</f>
        <v/>
      </c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  <c r="V29" s="33" t="n"/>
      <c r="X29" s="32">
        <f>B29+E29+H29+K29+N29+Q29+T29</f>
        <v/>
      </c>
      <c r="Y29" s="32">
        <f>C29+F29+I29+L29+O29+R29+U29</f>
        <v/>
      </c>
      <c r="Z29" s="32">
        <f>D29+G29+J29+M29+P29+S29+V29</f>
        <v/>
      </c>
    </row>
    <row r="30">
      <c r="A30" s="17">
        <f>A29+7</f>
        <v/>
      </c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  <c r="V30" s="33" t="n"/>
      <c r="X30" s="32">
        <f>B30+E30+H30+K30+N30+Q30+T30</f>
        <v/>
      </c>
      <c r="Y30" s="32">
        <f>C30+F30+I30+L30+O30+R30+U30</f>
        <v/>
      </c>
      <c r="Z30" s="32">
        <f>D30+G30+J30+M30+P30+S30+V30</f>
        <v/>
      </c>
    </row>
    <row r="31">
      <c r="A31" s="17">
        <f>A30+7</f>
        <v/>
      </c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  <c r="V31" s="33" t="n"/>
      <c r="X31" s="32">
        <f>B31+E31+H31+K31+N31+Q31+T31</f>
        <v/>
      </c>
      <c r="Y31" s="32">
        <f>C31+F31+I31+L31+O31+R31+U31</f>
        <v/>
      </c>
      <c r="Z31" s="32">
        <f>D31+G31+J31+M31+P31+S31+V31</f>
        <v/>
      </c>
    </row>
    <row r="32">
      <c r="A32" s="17">
        <f>A31+7</f>
        <v/>
      </c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  <c r="V32" s="33" t="n"/>
      <c r="X32" s="32">
        <f>B32+E32+H32+K32+N32+Q32+T32</f>
        <v/>
      </c>
      <c r="Y32" s="32">
        <f>C32+F32+I32+L32+O32+R32+U32</f>
        <v/>
      </c>
      <c r="Z32" s="32">
        <f>D32+G32+J32+M32+P32+S32+V32</f>
        <v/>
      </c>
    </row>
    <row r="33">
      <c r="A33" s="17">
        <f>A32+7</f>
        <v/>
      </c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  <c r="V33" s="33" t="n"/>
      <c r="X33" s="32">
        <f>B33+E33+H33+K33+N33+Q33+T33</f>
        <v/>
      </c>
      <c r="Y33" s="32">
        <f>C33+F33+I33+L33+O33+R33+U33</f>
        <v/>
      </c>
      <c r="Z33" s="32">
        <f>D33+G33+J33+M33+P33+S33+V33</f>
        <v/>
      </c>
    </row>
    <row r="34">
      <c r="A34" s="17">
        <f>A33+7</f>
        <v/>
      </c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  <c r="V34" s="33" t="n"/>
      <c r="X34" s="32">
        <f>B34+E34+H34+K34+N34+Q34+T34</f>
        <v/>
      </c>
      <c r="Y34" s="32">
        <f>C34+F34+I34+L34+O34+R34+U34</f>
        <v/>
      </c>
      <c r="Z34" s="32">
        <f>D34+G34+J34+M34+P34+S34+V34</f>
        <v/>
      </c>
    </row>
    <row r="35">
      <c r="A35" s="17">
        <f>A34+7</f>
        <v/>
      </c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  <c r="V35" s="33" t="n"/>
      <c r="X35" s="32">
        <f>B35+E35+H35+K35+N35+Q35+T35</f>
        <v/>
      </c>
      <c r="Y35" s="32">
        <f>C35+F35+I35+L35+O35+R35+U35</f>
        <v/>
      </c>
      <c r="Z35" s="32">
        <f>D35+G35+J35+M35+P35+S35+V35</f>
        <v/>
      </c>
    </row>
    <row r="36">
      <c r="A36" s="17">
        <f>A35+7</f>
        <v/>
      </c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  <c r="V36" s="33" t="n"/>
      <c r="X36" s="32">
        <f>B36+E36+H36+K36+N36+Q36+T36</f>
        <v/>
      </c>
      <c r="Y36" s="32">
        <f>C36+F36+I36+L36+O36+R36+U36</f>
        <v/>
      </c>
      <c r="Z36" s="32">
        <f>D36+G36+J36+M36+P36+S36+V36</f>
        <v/>
      </c>
    </row>
    <row r="37">
      <c r="A37" s="17">
        <f>A36+7</f>
        <v/>
      </c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  <c r="V37" s="33" t="n"/>
      <c r="X37" s="32">
        <f>B37+E37+H37+K37+N37+Q37+T37</f>
        <v/>
      </c>
      <c r="Y37" s="32">
        <f>C37+F37+I37+L37+O37+R37+U37</f>
        <v/>
      </c>
      <c r="Z37" s="32">
        <f>D37+G37+J37+M37+P37+S37+V37</f>
        <v/>
      </c>
    </row>
    <row r="38">
      <c r="A38" s="17">
        <f>A37+7</f>
        <v/>
      </c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  <c r="V38" s="33" t="n"/>
      <c r="X38" s="32">
        <f>B38+E38+H38+K38+N38+Q38+T38</f>
        <v/>
      </c>
      <c r="Y38" s="32">
        <f>C38+F38+I38+L38+O38+R38+U38</f>
        <v/>
      </c>
      <c r="Z38" s="32">
        <f>D38+G38+J38+M38+P38+S38+V38</f>
        <v/>
      </c>
    </row>
    <row r="39">
      <c r="A39" s="17">
        <f>A38+7</f>
        <v/>
      </c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  <c r="V39" s="33" t="n"/>
      <c r="X39" s="32">
        <f>B39+E39+H39+K39+N39+Q39+T39</f>
        <v/>
      </c>
      <c r="Y39" s="32">
        <f>C39+F39+I39+L39+O39+R39+U39</f>
        <v/>
      </c>
      <c r="Z39" s="32">
        <f>D39+G39+J39+M39+P39+S39+V39</f>
        <v/>
      </c>
    </row>
    <row r="40">
      <c r="A40" s="17">
        <f>A39+7</f>
        <v/>
      </c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  <c r="V40" s="33" t="n"/>
      <c r="X40" s="32">
        <f>B40+E40+H40+K40+N40+Q40+T40</f>
        <v/>
      </c>
      <c r="Y40" s="32">
        <f>C40+F40+I40+L40+O40+R40+U40</f>
        <v/>
      </c>
      <c r="Z40" s="32">
        <f>D40+G40+J40+M40+P40+S40+V40</f>
        <v/>
      </c>
    </row>
    <row r="41">
      <c r="A41" s="17">
        <f>A40+7</f>
        <v/>
      </c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  <c r="V41" s="33" t="n"/>
      <c r="X41" s="32">
        <f>B41+E41+H41+K41+N41+Q41+T41</f>
        <v/>
      </c>
      <c r="Y41" s="32">
        <f>C41+F41+I41+L41+O41+R41+U41</f>
        <v/>
      </c>
      <c r="Z41" s="32">
        <f>D41+G41+J41+M41+P41+S41+V41</f>
        <v/>
      </c>
    </row>
    <row r="42">
      <c r="A42" s="17">
        <f>A41+7</f>
        <v/>
      </c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  <c r="V42" s="33" t="n"/>
      <c r="X42" s="32">
        <f>B42+E42+H42+K42+N42+Q42+T42</f>
        <v/>
      </c>
      <c r="Y42" s="32">
        <f>C42+F42+I42+L42+O42+R42+U42</f>
        <v/>
      </c>
      <c r="Z42" s="32">
        <f>D42+G42+J42+M42+P42+S42+V42</f>
        <v/>
      </c>
    </row>
    <row r="43">
      <c r="A43" s="17">
        <f>A42+7</f>
        <v/>
      </c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  <c r="V43" s="33" t="n"/>
      <c r="X43" s="32">
        <f>B43+E43+H43+K43+N43+Q43+T43</f>
        <v/>
      </c>
      <c r="Y43" s="32">
        <f>C43+F43+I43+L43+O43+R43+U43</f>
        <v/>
      </c>
      <c r="Z43" s="32">
        <f>D43+G43+J43+M43+P43+S43+V43</f>
        <v/>
      </c>
    </row>
    <row r="44">
      <c r="A44" s="17">
        <f>A43+7</f>
        <v/>
      </c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  <c r="V44" s="33" t="n"/>
      <c r="X44" s="32">
        <f>B44+E44+H44+K44+N44+Q44+T44</f>
        <v/>
      </c>
      <c r="Y44" s="32">
        <f>C44+F44+I44+L44+O44+R44+U44</f>
        <v/>
      </c>
      <c r="Z44" s="32">
        <f>D44+G44+J44+M44+P44+S44+V44</f>
        <v/>
      </c>
    </row>
    <row r="45">
      <c r="A45" s="17">
        <f>A44+7</f>
        <v/>
      </c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  <c r="V45" s="33" t="n"/>
      <c r="X45" s="32">
        <f>B45+E45+H45+K45+N45+Q45+T45</f>
        <v/>
      </c>
      <c r="Y45" s="32">
        <f>C45+F45+I45+L45+O45+R45+U45</f>
        <v/>
      </c>
      <c r="Z45" s="32">
        <f>D45+G45+J45+M45+P45+S45+V45</f>
        <v/>
      </c>
    </row>
    <row r="46">
      <c r="A46" s="17">
        <f>A45+7</f>
        <v/>
      </c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  <c r="V46" s="33" t="n"/>
      <c r="X46" s="32">
        <f>B46+E46+H46+K46+N46+Q46+T46</f>
        <v/>
      </c>
      <c r="Y46" s="32">
        <f>C46+F46+I46+L46+O46+R46+U46</f>
        <v/>
      </c>
      <c r="Z46" s="32">
        <f>D46+G46+J46+M46+P46+S46+V46</f>
        <v/>
      </c>
    </row>
    <row r="47">
      <c r="A47" s="17">
        <f>A46+7</f>
        <v/>
      </c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  <c r="V47" s="33" t="n"/>
      <c r="X47" s="32">
        <f>B47+E47+H47+K47+N47+Q47+T47</f>
        <v/>
      </c>
      <c r="Y47" s="32">
        <f>C47+F47+I47+L47+O47+R47+U47</f>
        <v/>
      </c>
      <c r="Z47" s="32">
        <f>D47+G47+J47+M47+P47+S47+V47</f>
        <v/>
      </c>
    </row>
    <row r="48">
      <c r="A48" s="17">
        <f>A47+7</f>
        <v/>
      </c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  <c r="V48" s="33" t="n"/>
      <c r="X48" s="32">
        <f>B48+E48+H48+K48+N48+Q48+T48</f>
        <v/>
      </c>
      <c r="Y48" s="32">
        <f>C48+F48+I48+L48+O48+R48+U48</f>
        <v/>
      </c>
      <c r="Z48" s="32">
        <f>D48+G48+J48+M48+P48+S48+V48</f>
        <v/>
      </c>
    </row>
    <row r="49">
      <c r="A49" s="17">
        <f>A48+7</f>
        <v/>
      </c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  <c r="V49" s="33" t="n"/>
      <c r="X49" s="32">
        <f>B49+E49+H49+K49+N49+Q49+T49</f>
        <v/>
      </c>
      <c r="Y49" s="32">
        <f>C49+F49+I49+L49+O49+R49+U49</f>
        <v/>
      </c>
      <c r="Z49" s="32">
        <f>D49+G49+J49+M49+P49+S49+V49</f>
        <v/>
      </c>
    </row>
    <row r="50">
      <c r="A50" s="17">
        <f>A49+7</f>
        <v/>
      </c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  <c r="V50" s="33" t="n"/>
      <c r="X50" s="32">
        <f>B50+E50+H50+K50+N50+Q50+T50</f>
        <v/>
      </c>
      <c r="Y50" s="32">
        <f>C50+F50+I50+L50+O50+R50+U50</f>
        <v/>
      </c>
      <c r="Z50" s="32">
        <f>D50+G50+J50+M50+P50+S50+V50</f>
        <v/>
      </c>
    </row>
    <row r="51">
      <c r="A51" s="17">
        <f>A50+7</f>
        <v/>
      </c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  <c r="V51" s="33" t="n"/>
      <c r="X51" s="32">
        <f>B51+E51+H51+K51+N51+Q51+T51</f>
        <v/>
      </c>
      <c r="Y51" s="32">
        <f>C51+F51+I51+L51+O51+R51+U51</f>
        <v/>
      </c>
      <c r="Z51" s="32">
        <f>D51+G51+J51+M51+P51+S51+V51</f>
        <v/>
      </c>
    </row>
    <row r="52">
      <c r="A52" s="17">
        <f>A51+7</f>
        <v/>
      </c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X52" s="32">
        <f>B52+E52+H52+K52+N52+Q52+T52</f>
        <v/>
      </c>
      <c r="Y52" s="32">
        <f>C52+F52+I52+L52+O52+R52+U52</f>
        <v/>
      </c>
      <c r="Z52" s="32">
        <f>D52+G52+J52+M52+P52+S52+V52</f>
        <v/>
      </c>
    </row>
  </sheetData>
  <mergeCells count="11">
    <mergeCell ref="B3:D3"/>
    <mergeCell ref="B2:V2"/>
    <mergeCell ref="A1:V1"/>
    <mergeCell ref="T3:V3"/>
    <mergeCell ref="A2:A3"/>
    <mergeCell ref="E3:G3"/>
    <mergeCell ref="K3:M3"/>
    <mergeCell ref="H3:J3"/>
    <mergeCell ref="X1:Z1"/>
    <mergeCell ref="N3:P3"/>
    <mergeCell ref="Q3:S3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V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548235"/>
    <outlinePr summaryBelow="1" summaryRight="1"/>
    <pageSetUpPr/>
  </sheetPr>
  <dimension ref="A1:AO52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:W1"/>
    </sheetView>
  </sheetViews>
  <sheetFormatPr baseColWidth="8" defaultRowHeight="15"/>
  <cols>
    <col width="14" customWidth="1" style="102" min="1" max="1"/>
    <col width="10" customWidth="1" style="102" min="2" max="27"/>
    <col width="10" customWidth="1" style="102" min="3" max="3"/>
    <col width="10" customWidth="1" style="102" min="4" max="4"/>
    <col width="10" customWidth="1" style="102" min="5" max="5"/>
    <col width="10" customWidth="1" style="102" min="6" max="6"/>
    <col width="10" customWidth="1" style="102" min="7" max="7"/>
    <col width="10" customWidth="1" style="102" min="8" max="8"/>
    <col width="10" customWidth="1" style="102" min="9" max="9"/>
    <col width="10" customWidth="1" style="102" min="10" max="10"/>
    <col width="10" customWidth="1" style="102" min="11" max="11"/>
    <col width="10" customWidth="1" style="102" min="12" max="12"/>
    <col width="10" customWidth="1" style="102" min="13" max="13"/>
    <col width="10" customWidth="1" style="102" min="14" max="14"/>
    <col width="10" customWidth="1" style="102" min="15" max="15"/>
    <col width="10" customWidth="1" style="102" min="16" max="16"/>
    <col width="10" customWidth="1" style="102" min="17" max="17"/>
    <col width="10" customWidth="1" style="102" min="18" max="18"/>
    <col width="10" customWidth="1" style="102" min="19" max="19"/>
    <col width="10" customWidth="1" style="102" min="20" max="20"/>
    <col width="10" customWidth="1" style="102" min="21" max="21"/>
    <col width="10" customWidth="1" style="102" min="22" max="22"/>
    <col width="10" customWidth="1" style="102" min="23" max="23"/>
    <col width="10" customWidth="1" style="102" min="24" max="24"/>
    <col width="10" customWidth="1" style="102" min="25" max="25"/>
    <col width="10" customWidth="1" style="102" min="26" max="26"/>
    <col width="10" customWidth="1" style="102" min="27" max="27"/>
    <col width="10" customWidth="1" style="102" min="28" max="28"/>
    <col width="10" customWidth="1" style="102" min="29" max="29"/>
    <col width="10" customWidth="1" style="102" min="30" max="30"/>
    <col width="10" customWidth="1" style="102" min="31" max="31"/>
    <col width="10" customWidth="1" style="102" min="32" max="32"/>
    <col width="10" customWidth="1" style="102" min="33" max="33"/>
    <col width="10" customWidth="1" style="102" min="34" max="34"/>
    <col width="10" customWidth="1" style="102" min="35" max="35"/>
    <col width="10" customWidth="1" style="102" min="36" max="36"/>
    <col width="10" customWidth="1" style="102" min="37" max="37"/>
    <col width="10" customWidth="1" style="102" min="38" max="38"/>
    <col width="10" customWidth="1" style="102" min="39" max="39"/>
    <col width="10" customWidth="1" style="102" min="40" max="40"/>
    <col width="10" customWidth="1" style="102" min="41" max="41"/>
  </cols>
  <sheetData>
    <row r="1">
      <c r="A1" s="118" t="inlineStr">
        <is>
          <t>ФАКТ ЧИСТ К3</t>
        </is>
      </c>
    </row>
    <row r="2">
      <c r="A2" s="115" t="inlineStr">
        <is>
          <t>Дата</t>
        </is>
      </c>
      <c r="B2" s="115" t="inlineStr">
        <is>
          <t>Надземная часть</t>
        </is>
      </c>
      <c r="C2" s="119" t="n"/>
      <c r="D2" s="119" t="n"/>
      <c r="E2" s="119" t="n"/>
      <c r="F2" s="119" t="n"/>
      <c r="G2" s="119" t="n"/>
      <c r="H2" s="119" t="n"/>
      <c r="I2" s="119" t="n"/>
      <c r="J2" s="119" t="n"/>
      <c r="K2" s="119" t="n"/>
      <c r="L2" s="119" t="n"/>
      <c r="M2" s="119" t="n"/>
      <c r="N2" s="119" t="n"/>
      <c r="O2" s="119" t="n"/>
      <c r="P2" s="119" t="n"/>
      <c r="Q2" s="119" t="n"/>
      <c r="R2" s="119" t="n"/>
      <c r="S2" s="119" t="n"/>
      <c r="T2" s="119" t="n"/>
      <c r="U2" s="119" t="n"/>
      <c r="V2" s="119" t="n"/>
      <c r="W2" s="119" t="n"/>
      <c r="X2" s="119" t="n"/>
      <c r="Y2" s="119" t="n"/>
      <c r="Z2" s="119" t="n"/>
      <c r="AA2" s="119" t="n"/>
      <c r="AB2" s="119" t="n"/>
      <c r="AC2" s="119" t="n"/>
      <c r="AD2" s="119" t="n"/>
      <c r="AE2" s="119" t="n"/>
      <c r="AF2" s="119" t="n"/>
      <c r="AG2" s="119" t="n"/>
      <c r="AH2" s="119" t="n"/>
      <c r="AI2" s="119" t="n"/>
      <c r="AJ2" s="120" t="n"/>
      <c r="AK2" s="121" t="n"/>
      <c r="AL2" s="121" t="n"/>
      <c r="AM2" s="121" t="n"/>
      <c r="AN2" s="121" t="n"/>
      <c r="AO2" s="121" t="n"/>
    </row>
    <row r="3">
      <c r="A3" s="122" t="n"/>
      <c r="B3" s="115" t="inlineStr">
        <is>
          <t>8.2.1 Отделка лобби/гранд-лобби</t>
        </is>
      </c>
      <c r="C3" s="119" t="n"/>
      <c r="D3" s="119" t="n"/>
      <c r="E3" s="119" t="n"/>
      <c r="F3" s="120" t="n"/>
      <c r="G3" s="115" t="inlineStr">
        <is>
          <t>8.2.2 Отделка эвакуац. лестн. клетки надзем.</t>
        </is>
      </c>
      <c r="H3" s="119" t="n"/>
      <c r="I3" s="119" t="n"/>
      <c r="J3" s="119" t="n"/>
      <c r="K3" s="120" t="n"/>
      <c r="L3" s="115" t="inlineStr">
        <is>
          <t>8.2.3 Лифт. холлы, тамбур-шлюзы надзем.</t>
        </is>
      </c>
      <c r="M3" s="119" t="n"/>
      <c r="N3" s="119" t="n"/>
      <c r="O3" s="119" t="n"/>
      <c r="P3" s="120" t="n"/>
      <c r="Q3" s="115" t="inlineStr">
        <is>
          <t>8.2.4 Технич. помещения надзем.</t>
        </is>
      </c>
      <c r="R3" s="119" t="n"/>
      <c r="S3" s="119" t="n"/>
      <c r="T3" s="119" t="n"/>
      <c r="U3" s="120" t="n"/>
      <c r="V3" s="115" t="inlineStr">
        <is>
          <t>8.2.5 Прочие помещения надзем.</t>
        </is>
      </c>
      <c r="W3" s="119" t="n"/>
      <c r="X3" s="119" t="n"/>
      <c r="Y3" s="119" t="n"/>
      <c r="Z3" s="120" t="n"/>
      <c r="AA3" s="115" t="inlineStr">
        <is>
          <t>8.2.6 Коммерч. помещения надзем.</t>
        </is>
      </c>
      <c r="AB3" s="119" t="n"/>
      <c r="AC3" s="119" t="n"/>
      <c r="AD3" s="119" t="n"/>
      <c r="AE3" s="120" t="n"/>
      <c r="AF3" s="115" t="inlineStr">
        <is>
          <t>8.2.7 Паркинг и рампы надзем.</t>
        </is>
      </c>
      <c r="AG3" s="119" t="n"/>
      <c r="AH3" s="119" t="n"/>
      <c r="AI3" s="119" t="n"/>
      <c r="AJ3" s="120" t="n"/>
      <c r="AK3" s="115" t="inlineStr">
        <is>
          <t>Итого</t>
        </is>
      </c>
      <c r="AL3" s="119" t="n"/>
      <c r="AM3" s="119" t="n"/>
      <c r="AN3" s="119" t="n"/>
      <c r="AO3" s="120" t="n"/>
    </row>
    <row r="4">
      <c r="A4" s="123" t="n"/>
      <c r="B4" s="115" t="inlineStr">
        <is>
          <t>Пол</t>
        </is>
      </c>
      <c r="C4" s="115" t="inlineStr">
        <is>
          <t>Стены</t>
        </is>
      </c>
      <c r="D4" s="115" t="inlineStr">
        <is>
          <t>Потолок</t>
        </is>
      </c>
      <c r="E4" s="115" t="inlineStr">
        <is>
          <t>Запол.</t>
        </is>
      </c>
      <c r="F4" s="115" t="inlineStr">
        <is>
          <t>Мебл.</t>
        </is>
      </c>
      <c r="G4" s="115" t="inlineStr">
        <is>
          <t>Пол</t>
        </is>
      </c>
      <c r="H4" s="115" t="inlineStr">
        <is>
          <t>Стены</t>
        </is>
      </c>
      <c r="I4" s="115" t="inlineStr">
        <is>
          <t>Потолок</t>
        </is>
      </c>
      <c r="J4" s="115" t="inlineStr">
        <is>
          <t>Запол.</t>
        </is>
      </c>
      <c r="K4" s="115" t="inlineStr">
        <is>
          <t>Мебл.</t>
        </is>
      </c>
      <c r="L4" s="115" t="inlineStr">
        <is>
          <t>Пол</t>
        </is>
      </c>
      <c r="M4" s="115" t="inlineStr">
        <is>
          <t>Стены</t>
        </is>
      </c>
      <c r="N4" s="115" t="inlineStr">
        <is>
          <t>Потолок</t>
        </is>
      </c>
      <c r="O4" s="115" t="inlineStr">
        <is>
          <t>Запол.</t>
        </is>
      </c>
      <c r="P4" s="115" t="inlineStr">
        <is>
          <t>Мебл.</t>
        </is>
      </c>
      <c r="Q4" s="115" t="inlineStr">
        <is>
          <t>Пол</t>
        </is>
      </c>
      <c r="R4" s="115" t="inlineStr">
        <is>
          <t>Стены</t>
        </is>
      </c>
      <c r="S4" s="115" t="inlineStr">
        <is>
          <t>Потолок</t>
        </is>
      </c>
      <c r="T4" s="115" t="inlineStr">
        <is>
          <t>Запол.</t>
        </is>
      </c>
      <c r="U4" s="115" t="inlineStr">
        <is>
          <t>Мебл.</t>
        </is>
      </c>
      <c r="V4" s="115" t="inlineStr">
        <is>
          <t>Пол</t>
        </is>
      </c>
      <c r="W4" s="115" t="inlineStr">
        <is>
          <t>Стены</t>
        </is>
      </c>
      <c r="X4" s="115" t="inlineStr">
        <is>
          <t>Потолок</t>
        </is>
      </c>
      <c r="Y4" s="115" t="inlineStr">
        <is>
          <t>Запол.</t>
        </is>
      </c>
      <c r="Z4" s="115" t="inlineStr">
        <is>
          <t>Мебл.</t>
        </is>
      </c>
      <c r="AA4" s="115" t="inlineStr">
        <is>
          <t>Пол</t>
        </is>
      </c>
      <c r="AB4" s="115" t="inlineStr">
        <is>
          <t>Стены</t>
        </is>
      </c>
      <c r="AC4" s="115" t="inlineStr">
        <is>
          <t>Потолок</t>
        </is>
      </c>
      <c r="AD4" s="115" t="inlineStr">
        <is>
          <t>Запол.</t>
        </is>
      </c>
      <c r="AE4" s="115" t="inlineStr">
        <is>
          <t>Мебл.</t>
        </is>
      </c>
      <c r="AF4" s="115" t="inlineStr">
        <is>
          <t>Пол</t>
        </is>
      </c>
      <c r="AG4" s="115" t="inlineStr">
        <is>
          <t>Стены</t>
        </is>
      </c>
      <c r="AH4" s="115" t="inlineStr">
        <is>
          <t>Потолок</t>
        </is>
      </c>
      <c r="AI4" s="115" t="inlineStr">
        <is>
          <t>Запол.</t>
        </is>
      </c>
      <c r="AJ4" s="115" t="inlineStr">
        <is>
          <t>Мебл.</t>
        </is>
      </c>
      <c r="AK4" s="115" t="inlineStr">
        <is>
          <t>Пол</t>
        </is>
      </c>
      <c r="AL4" s="115" t="inlineStr">
        <is>
          <t>Стены</t>
        </is>
      </c>
      <c r="AM4" s="115" t="inlineStr">
        <is>
          <t>Потолок</t>
        </is>
      </c>
      <c r="AN4" s="115" t="inlineStr">
        <is>
          <t>Запол.</t>
        </is>
      </c>
      <c r="AO4" s="115" t="inlineStr">
        <is>
          <t>Мебл.</t>
        </is>
      </c>
    </row>
    <row r="5">
      <c r="A5" s="124">
        <f>СПРАВОЧНИК!$B$35</f>
        <v/>
      </c>
      <c r="B5" s="125" t="n"/>
      <c r="C5" s="125" t="n"/>
      <c r="D5" s="125" t="n"/>
      <c r="E5" s="125" t="n"/>
      <c r="F5" s="125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 t="n"/>
      <c r="AG5" s="125" t="n"/>
      <c r="AH5" s="125" t="n"/>
      <c r="AI5" s="125" t="n"/>
      <c r="AJ5" s="125" t="n"/>
      <c r="AK5" s="125">
        <f>B5+G5+L5+Q5+V5+AA5+AF5</f>
        <v/>
      </c>
      <c r="AL5" s="125">
        <f>C5+H5+M5+R5+W5+AB5+AG5</f>
        <v/>
      </c>
      <c r="AM5" s="125">
        <f>D5+I5+N5+S5+X5+AC5+AH5</f>
        <v/>
      </c>
      <c r="AN5" s="125">
        <f>E5+J5+O5+T5+Y5+AD5+AI5</f>
        <v/>
      </c>
      <c r="AO5" s="125">
        <f>F5+K5+P5+U5+Z5+AE5+AJ5</f>
        <v/>
      </c>
    </row>
    <row r="6">
      <c r="A6" s="124">
        <f>A5+7</f>
        <v/>
      </c>
      <c r="B6" s="125" t="n"/>
      <c r="C6" s="125" t="n"/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  <c r="AG6" s="125" t="n"/>
      <c r="AH6" s="125" t="n"/>
      <c r="AI6" s="125" t="n"/>
      <c r="AJ6" s="125" t="n"/>
      <c r="AK6" s="125">
        <f>B6+G6+L6+Q6+V6+AA6+AF6</f>
        <v/>
      </c>
      <c r="AL6" s="125">
        <f>C6+H6+M6+R6+W6+AB6+AG6</f>
        <v/>
      </c>
      <c r="AM6" s="125">
        <f>D6+I6+N6+S6+X6+AC6+AH6</f>
        <v/>
      </c>
      <c r="AN6" s="125">
        <f>E6+J6+O6+T6+Y6+AD6+AI6</f>
        <v/>
      </c>
      <c r="AO6" s="125">
        <f>F6+K6+P6+U6+Z6+AE6+AJ6</f>
        <v/>
      </c>
    </row>
    <row r="7">
      <c r="A7" s="124">
        <f>A6+7</f>
        <v/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 t="n"/>
      <c r="AG7" s="125" t="n"/>
      <c r="AH7" s="125" t="n"/>
      <c r="AI7" s="125" t="n"/>
      <c r="AJ7" s="125" t="n"/>
      <c r="AK7" s="125">
        <f>B7+G7+L7+Q7+V7+AA7+AF7</f>
        <v/>
      </c>
      <c r="AL7" s="125">
        <f>C7+H7+M7+R7+W7+AB7+AG7</f>
        <v/>
      </c>
      <c r="AM7" s="125">
        <f>D7+I7+N7+S7+X7+AC7+AH7</f>
        <v/>
      </c>
      <c r="AN7" s="125">
        <f>E7+J7+O7+T7+Y7+AD7+AI7</f>
        <v/>
      </c>
      <c r="AO7" s="125">
        <f>F7+K7+P7+U7+Z7+AE7+AJ7</f>
        <v/>
      </c>
    </row>
    <row r="8">
      <c r="A8" s="124">
        <f>A7+7</f>
        <v/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  <c r="AG8" s="125" t="n"/>
      <c r="AH8" s="125" t="n"/>
      <c r="AI8" s="125" t="n"/>
      <c r="AJ8" s="125" t="n"/>
      <c r="AK8" s="125">
        <f>B8+G8+L8+Q8+V8+AA8+AF8</f>
        <v/>
      </c>
      <c r="AL8" s="125">
        <f>C8+H8+M8+R8+W8+AB8+AG8</f>
        <v/>
      </c>
      <c r="AM8" s="125">
        <f>D8+I8+N8+S8+X8+AC8+AH8</f>
        <v/>
      </c>
      <c r="AN8" s="125">
        <f>E8+J8+O8+T8+Y8+AD8+AI8</f>
        <v/>
      </c>
      <c r="AO8" s="125">
        <f>F8+K8+P8+U8+Z8+AE8+AJ8</f>
        <v/>
      </c>
    </row>
    <row r="9">
      <c r="A9" s="124">
        <f>A8+7</f>
        <v/>
      </c>
      <c r="B9" s="125" t="n"/>
      <c r="C9" s="125" t="n"/>
      <c r="D9" s="125" t="n"/>
      <c r="E9" s="125" t="n"/>
      <c r="F9" s="125" t="n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  <c r="AG9" s="125" t="n"/>
      <c r="AH9" s="125" t="n"/>
      <c r="AI9" s="125" t="n"/>
      <c r="AJ9" s="125" t="n"/>
      <c r="AK9" s="125">
        <f>B9+G9+L9+Q9+V9+AA9+AF9</f>
        <v/>
      </c>
      <c r="AL9" s="125">
        <f>C9+H9+M9+R9+W9+AB9+AG9</f>
        <v/>
      </c>
      <c r="AM9" s="125">
        <f>D9+I9+N9+S9+X9+AC9+AH9</f>
        <v/>
      </c>
      <c r="AN9" s="125">
        <f>E9+J9+O9+T9+Y9+AD9+AI9</f>
        <v/>
      </c>
      <c r="AO9" s="125">
        <f>F9+K9+P9+U9+Z9+AE9+AJ9</f>
        <v/>
      </c>
    </row>
    <row r="10">
      <c r="A10" s="124">
        <f>A9+7</f>
        <v/>
      </c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  <c r="AG10" s="125" t="n"/>
      <c r="AH10" s="125" t="n"/>
      <c r="AI10" s="125" t="n"/>
      <c r="AJ10" s="125" t="n"/>
      <c r="AK10" s="125">
        <f>B10+G10+L10+Q10+V10+AA10+AF10</f>
        <v/>
      </c>
      <c r="AL10" s="125">
        <f>C10+H10+M10+R10+W10+AB10+AG10</f>
        <v/>
      </c>
      <c r="AM10" s="125">
        <f>D10+I10+N10+S10+X10+AC10+AH10</f>
        <v/>
      </c>
      <c r="AN10" s="125">
        <f>E10+J10+O10+T10+Y10+AD10+AI10</f>
        <v/>
      </c>
      <c r="AO10" s="125">
        <f>F10+K10+P10+U10+Z10+AE10+AJ10</f>
        <v/>
      </c>
    </row>
    <row r="11">
      <c r="A11" s="124">
        <f>A10+7</f>
        <v/>
      </c>
      <c r="B11" s="125" t="n"/>
      <c r="C11" s="125" t="n"/>
      <c r="D11" s="125" t="n"/>
      <c r="E11" s="125" t="n"/>
      <c r="F11" s="125" t="n"/>
      <c r="G11" s="125" t="n"/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  <c r="AG11" s="125" t="n"/>
      <c r="AH11" s="125" t="n"/>
      <c r="AI11" s="125" t="n"/>
      <c r="AJ11" s="125" t="n"/>
      <c r="AK11" s="125">
        <f>B11+G11+L11+Q11+V11+AA11+AF11</f>
        <v/>
      </c>
      <c r="AL11" s="125">
        <f>C11+H11+M11+R11+W11+AB11+AG11</f>
        <v/>
      </c>
      <c r="AM11" s="125">
        <f>D11+I11+N11+S11+X11+AC11+AH11</f>
        <v/>
      </c>
      <c r="AN11" s="125">
        <f>E11+J11+O11+T11+Y11+AD11+AI11</f>
        <v/>
      </c>
      <c r="AO11" s="125">
        <f>F11+K11+P11+U11+Z11+AE11+AJ11</f>
        <v/>
      </c>
    </row>
    <row r="12">
      <c r="A12" s="124">
        <f>A11+7</f>
        <v/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  <c r="AG12" s="125" t="n"/>
      <c r="AH12" s="125" t="n"/>
      <c r="AI12" s="125" t="n"/>
      <c r="AJ12" s="125" t="n"/>
      <c r="AK12" s="125">
        <f>B12+G12+L12+Q12+V12+AA12+AF12</f>
        <v/>
      </c>
      <c r="AL12" s="125">
        <f>C12+H12+M12+R12+W12+AB12+AG12</f>
        <v/>
      </c>
      <c r="AM12" s="125">
        <f>D12+I12+N12+S12+X12+AC12+AH12</f>
        <v/>
      </c>
      <c r="AN12" s="125">
        <f>E12+J12+O12+T12+Y12+AD12+AI12</f>
        <v/>
      </c>
      <c r="AO12" s="125">
        <f>F12+K12+P12+U12+Z12+AE12+AJ12</f>
        <v/>
      </c>
    </row>
    <row r="13">
      <c r="A13" s="124">
        <f>A12+7</f>
        <v/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  <c r="AG13" s="125" t="n"/>
      <c r="AH13" s="125" t="n"/>
      <c r="AI13" s="125" t="n"/>
      <c r="AJ13" s="125" t="n"/>
      <c r="AK13" s="125">
        <f>B13+G13+L13+Q13+V13+AA13+AF13</f>
        <v/>
      </c>
      <c r="AL13" s="125">
        <f>C13+H13+M13+R13+W13+AB13+AG13</f>
        <v/>
      </c>
      <c r="AM13" s="125">
        <f>D13+I13+N13+S13+X13+AC13+AH13</f>
        <v/>
      </c>
      <c r="AN13" s="125">
        <f>E13+J13+O13+T13+Y13+AD13+AI13</f>
        <v/>
      </c>
      <c r="AO13" s="125">
        <f>F13+K13+P13+U13+Z13+AE13+AJ13</f>
        <v/>
      </c>
    </row>
    <row r="14">
      <c r="A14" s="124">
        <f>A13+7</f>
        <v/>
      </c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 t="n"/>
      <c r="AG14" s="125" t="n"/>
      <c r="AH14" s="125" t="n"/>
      <c r="AI14" s="125" t="n"/>
      <c r="AJ14" s="125" t="n"/>
      <c r="AK14" s="125">
        <f>B14+G14+L14+Q14+V14+AA14+AF14</f>
        <v/>
      </c>
      <c r="AL14" s="125">
        <f>C14+H14+M14+R14+W14+AB14+AG14</f>
        <v/>
      </c>
      <c r="AM14" s="125">
        <f>D14+I14+N14+S14+X14+AC14+AH14</f>
        <v/>
      </c>
      <c r="AN14" s="125">
        <f>E14+J14+O14+T14+Y14+AD14+AI14</f>
        <v/>
      </c>
      <c r="AO14" s="125">
        <f>F14+K14+P14+U14+Z14+AE14+AJ14</f>
        <v/>
      </c>
    </row>
    <row r="15">
      <c r="A15" s="124">
        <f>A14+7</f>
        <v/>
      </c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 t="n"/>
      <c r="AG15" s="125" t="n"/>
      <c r="AH15" s="125" t="n"/>
      <c r="AI15" s="125" t="n"/>
      <c r="AJ15" s="125" t="n"/>
      <c r="AK15" s="125">
        <f>B15+G15+L15+Q15+V15+AA15+AF15</f>
        <v/>
      </c>
      <c r="AL15" s="125">
        <f>C15+H15+M15+R15+W15+AB15+AG15</f>
        <v/>
      </c>
      <c r="AM15" s="125">
        <f>D15+I15+N15+S15+X15+AC15+AH15</f>
        <v/>
      </c>
      <c r="AN15" s="125">
        <f>E15+J15+O15+T15+Y15+AD15+AI15</f>
        <v/>
      </c>
      <c r="AO15" s="125">
        <f>F15+K15+P15+U15+Z15+AE15+AJ15</f>
        <v/>
      </c>
    </row>
    <row r="16">
      <c r="A16" s="124">
        <f>A15+7</f>
        <v/>
      </c>
      <c r="B16" s="125" t="n"/>
      <c r="C16" s="125" t="n"/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 t="n"/>
      <c r="AG16" s="125" t="n"/>
      <c r="AH16" s="125" t="n"/>
      <c r="AI16" s="125" t="n"/>
      <c r="AJ16" s="125" t="n"/>
      <c r="AK16" s="125">
        <f>B16+G16+L16+Q16+V16+AA16+AF16</f>
        <v/>
      </c>
      <c r="AL16" s="125">
        <f>C16+H16+M16+R16+W16+AB16+AG16</f>
        <v/>
      </c>
      <c r="AM16" s="125">
        <f>D16+I16+N16+S16+X16+AC16+AH16</f>
        <v/>
      </c>
      <c r="AN16" s="125">
        <f>E16+J16+O16+T16+Y16+AD16+AI16</f>
        <v/>
      </c>
      <c r="AO16" s="125">
        <f>F16+K16+P16+U16+Z16+AE16+AJ16</f>
        <v/>
      </c>
    </row>
    <row r="17">
      <c r="A17" s="124">
        <f>A16+7</f>
        <v/>
      </c>
      <c r="B17" s="125" t="n"/>
      <c r="C17" s="125" t="n"/>
      <c r="D17" s="125" t="n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 t="n"/>
      <c r="AG17" s="125" t="n"/>
      <c r="AH17" s="125" t="n"/>
      <c r="AI17" s="125" t="n"/>
      <c r="AJ17" s="125" t="n"/>
      <c r="AK17" s="125">
        <f>B17+G17+L17+Q17+V17+AA17+AF17</f>
        <v/>
      </c>
      <c r="AL17" s="125">
        <f>C17+H17+M17+R17+W17+AB17+AG17</f>
        <v/>
      </c>
      <c r="AM17" s="125">
        <f>D17+I17+N17+S17+X17+AC17+AH17</f>
        <v/>
      </c>
      <c r="AN17" s="125">
        <f>E17+J17+O17+T17+Y17+AD17+AI17</f>
        <v/>
      </c>
      <c r="AO17" s="125">
        <f>F17+K17+P17+U17+Z17+AE17+AJ17</f>
        <v/>
      </c>
    </row>
    <row r="18">
      <c r="A18" s="124">
        <f>A17+7</f>
        <v/>
      </c>
      <c r="B18" s="125" t="n"/>
      <c r="C18" s="125" t="n"/>
      <c r="D18" s="125" t="n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 t="n"/>
      <c r="AG18" s="125" t="n"/>
      <c r="AH18" s="125" t="n"/>
      <c r="AI18" s="125" t="n"/>
      <c r="AJ18" s="125" t="n"/>
      <c r="AK18" s="125">
        <f>B18+G18+L18+Q18+V18+AA18+AF18</f>
        <v/>
      </c>
      <c r="AL18" s="125">
        <f>C18+H18+M18+R18+W18+AB18+AG18</f>
        <v/>
      </c>
      <c r="AM18" s="125">
        <f>D18+I18+N18+S18+X18+AC18+AH18</f>
        <v/>
      </c>
      <c r="AN18" s="125">
        <f>E18+J18+O18+T18+Y18+AD18+AI18</f>
        <v/>
      </c>
      <c r="AO18" s="125">
        <f>F18+K18+P18+U18+Z18+AE18+AJ18</f>
        <v/>
      </c>
    </row>
    <row r="19">
      <c r="A19" s="124">
        <f>A18+7</f>
        <v/>
      </c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  <c r="AG19" s="125" t="n"/>
      <c r="AH19" s="125" t="n"/>
      <c r="AI19" s="125" t="n"/>
      <c r="AJ19" s="125" t="n"/>
      <c r="AK19" s="125">
        <f>B19+G19+L19+Q19+V19+AA19+AF19</f>
        <v/>
      </c>
      <c r="AL19" s="125">
        <f>C19+H19+M19+R19+W19+AB19+AG19</f>
        <v/>
      </c>
      <c r="AM19" s="125">
        <f>D19+I19+N19+S19+X19+AC19+AH19</f>
        <v/>
      </c>
      <c r="AN19" s="125">
        <f>E19+J19+O19+T19+Y19+AD19+AI19</f>
        <v/>
      </c>
      <c r="AO19" s="125">
        <f>F19+K19+P19+U19+Z19+AE19+AJ19</f>
        <v/>
      </c>
    </row>
    <row r="20">
      <c r="A20" s="124">
        <f>A19+7</f>
        <v/>
      </c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 t="n"/>
      <c r="AG20" s="125" t="n"/>
      <c r="AH20" s="125" t="n"/>
      <c r="AI20" s="125" t="n"/>
      <c r="AJ20" s="125" t="n"/>
      <c r="AK20" s="125">
        <f>B20+G20+L20+Q20+V20+AA20+AF20</f>
        <v/>
      </c>
      <c r="AL20" s="125">
        <f>C20+H20+M20+R20+W20+AB20+AG20</f>
        <v/>
      </c>
      <c r="AM20" s="125">
        <f>D20+I20+N20+S20+X20+AC20+AH20</f>
        <v/>
      </c>
      <c r="AN20" s="125">
        <f>E20+J20+O20+T20+Y20+AD20+AI20</f>
        <v/>
      </c>
      <c r="AO20" s="125">
        <f>F20+K20+P20+U20+Z20+AE20+AJ20</f>
        <v/>
      </c>
    </row>
    <row r="21">
      <c r="A21" s="124">
        <f>A20+7</f>
        <v/>
      </c>
      <c r="B21" s="125" t="n"/>
      <c r="C21" s="125" t="n"/>
      <c r="D21" s="125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  <c r="AG21" s="125" t="n"/>
      <c r="AH21" s="125" t="n"/>
      <c r="AI21" s="125" t="n"/>
      <c r="AJ21" s="125" t="n"/>
      <c r="AK21" s="125">
        <f>B21+G21+L21+Q21+V21+AA21+AF21</f>
        <v/>
      </c>
      <c r="AL21" s="125">
        <f>C21+H21+M21+R21+W21+AB21+AG21</f>
        <v/>
      </c>
      <c r="AM21" s="125">
        <f>D21+I21+N21+S21+X21+AC21+AH21</f>
        <v/>
      </c>
      <c r="AN21" s="125">
        <f>E21+J21+O21+T21+Y21+AD21+AI21</f>
        <v/>
      </c>
      <c r="AO21" s="125">
        <f>F21+K21+P21+U21+Z21+AE21+AJ21</f>
        <v/>
      </c>
    </row>
    <row r="22">
      <c r="A22" s="124">
        <f>A21+7</f>
        <v/>
      </c>
      <c r="B22" s="125" t="n"/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  <c r="AG22" s="125" t="n"/>
      <c r="AH22" s="125" t="n"/>
      <c r="AI22" s="125" t="n"/>
      <c r="AJ22" s="125" t="n"/>
      <c r="AK22" s="125">
        <f>B22+G22+L22+Q22+V22+AA22+AF22</f>
        <v/>
      </c>
      <c r="AL22" s="125">
        <f>C22+H22+M22+R22+W22+AB22+AG22</f>
        <v/>
      </c>
      <c r="AM22" s="125">
        <f>D22+I22+N22+S22+X22+AC22+AH22</f>
        <v/>
      </c>
      <c r="AN22" s="125">
        <f>E22+J22+O22+T22+Y22+AD22+AI22</f>
        <v/>
      </c>
      <c r="AO22" s="125">
        <f>F22+K22+P22+U22+Z22+AE22+AJ22</f>
        <v/>
      </c>
    </row>
    <row r="23">
      <c r="A23" s="124">
        <f>A22+7</f>
        <v/>
      </c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  <c r="AG23" s="125" t="n"/>
      <c r="AH23" s="125" t="n"/>
      <c r="AI23" s="125" t="n"/>
      <c r="AJ23" s="125" t="n"/>
      <c r="AK23" s="125">
        <f>B23+G23+L23+Q23+V23+AA23+AF23</f>
        <v/>
      </c>
      <c r="AL23" s="125">
        <f>C23+H23+M23+R23+W23+AB23+AG23</f>
        <v/>
      </c>
      <c r="AM23" s="125">
        <f>D23+I23+N23+S23+X23+AC23+AH23</f>
        <v/>
      </c>
      <c r="AN23" s="125">
        <f>E23+J23+O23+T23+Y23+AD23+AI23</f>
        <v/>
      </c>
      <c r="AO23" s="125">
        <f>F23+K23+P23+U23+Z23+AE23+AJ23</f>
        <v/>
      </c>
    </row>
    <row r="24">
      <c r="A24" s="124">
        <f>A23+7</f>
        <v/>
      </c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 t="n"/>
      <c r="AG24" s="125" t="n"/>
      <c r="AH24" s="125" t="n"/>
      <c r="AI24" s="125" t="n"/>
      <c r="AJ24" s="125" t="n"/>
      <c r="AK24" s="125">
        <f>B24+G24+L24+Q24+V24+AA24+AF24</f>
        <v/>
      </c>
      <c r="AL24" s="125">
        <f>C24+H24+M24+R24+W24+AB24+AG24</f>
        <v/>
      </c>
      <c r="AM24" s="125">
        <f>D24+I24+N24+S24+X24+AC24+AH24</f>
        <v/>
      </c>
      <c r="AN24" s="125">
        <f>E24+J24+O24+T24+Y24+AD24+AI24</f>
        <v/>
      </c>
      <c r="AO24" s="125">
        <f>F24+K24+P24+U24+Z24+AE24+AJ24</f>
        <v/>
      </c>
    </row>
    <row r="25">
      <c r="A25" s="124">
        <f>A24+7</f>
        <v/>
      </c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  <c r="AG25" s="125" t="n"/>
      <c r="AH25" s="125" t="n"/>
      <c r="AI25" s="125" t="n"/>
      <c r="AJ25" s="125" t="n"/>
      <c r="AK25" s="125">
        <f>B25+G25+L25+Q25+V25+AA25+AF25</f>
        <v/>
      </c>
      <c r="AL25" s="125">
        <f>C25+H25+M25+R25+W25+AB25+AG25</f>
        <v/>
      </c>
      <c r="AM25" s="125">
        <f>D25+I25+N25+S25+X25+AC25+AH25</f>
        <v/>
      </c>
      <c r="AN25" s="125">
        <f>E25+J25+O25+T25+Y25+AD25+AI25</f>
        <v/>
      </c>
      <c r="AO25" s="125">
        <f>F25+K25+P25+U25+Z25+AE25+AJ25</f>
        <v/>
      </c>
    </row>
    <row r="26">
      <c r="A26" s="124">
        <f>A25+7</f>
        <v/>
      </c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 t="n"/>
      <c r="AG26" s="125" t="n"/>
      <c r="AH26" s="125" t="n"/>
      <c r="AI26" s="125" t="n"/>
      <c r="AJ26" s="125" t="n"/>
      <c r="AK26" s="125">
        <f>B26+G26+L26+Q26+V26+AA26+AF26</f>
        <v/>
      </c>
      <c r="AL26" s="125">
        <f>C26+H26+M26+R26+W26+AB26+AG26</f>
        <v/>
      </c>
      <c r="AM26" s="125">
        <f>D26+I26+N26+S26+X26+AC26+AH26</f>
        <v/>
      </c>
      <c r="AN26" s="125">
        <f>E26+J26+O26+T26+Y26+AD26+AI26</f>
        <v/>
      </c>
      <c r="AO26" s="125">
        <f>F26+K26+P26+U26+Z26+AE26+AJ26</f>
        <v/>
      </c>
    </row>
    <row r="27">
      <c r="A27" s="124">
        <f>A26+7</f>
        <v/>
      </c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 t="n"/>
      <c r="AG27" s="125" t="n"/>
      <c r="AH27" s="125" t="n"/>
      <c r="AI27" s="125" t="n"/>
      <c r="AJ27" s="125" t="n"/>
      <c r="AK27" s="125">
        <f>B27+G27+L27+Q27+V27+AA27+AF27</f>
        <v/>
      </c>
      <c r="AL27" s="125">
        <f>C27+H27+M27+R27+W27+AB27+AG27</f>
        <v/>
      </c>
      <c r="AM27" s="125">
        <f>D27+I27+N27+S27+X27+AC27+AH27</f>
        <v/>
      </c>
      <c r="AN27" s="125">
        <f>E27+J27+O27+T27+Y27+AD27+AI27</f>
        <v/>
      </c>
      <c r="AO27" s="125">
        <f>F27+K27+P27+U27+Z27+AE27+AJ27</f>
        <v/>
      </c>
    </row>
    <row r="28">
      <c r="A28" s="124">
        <f>A27+7</f>
        <v/>
      </c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 t="n"/>
      <c r="AG28" s="125" t="n"/>
      <c r="AH28" s="125" t="n"/>
      <c r="AI28" s="125" t="n"/>
      <c r="AJ28" s="125" t="n"/>
      <c r="AK28" s="125">
        <f>B28+G28+L28+Q28+V28+AA28+AF28</f>
        <v/>
      </c>
      <c r="AL28" s="125">
        <f>C28+H28+M28+R28+W28+AB28+AG28</f>
        <v/>
      </c>
      <c r="AM28" s="125">
        <f>D28+I28+N28+S28+X28+AC28+AH28</f>
        <v/>
      </c>
      <c r="AN28" s="125">
        <f>E28+J28+O28+T28+Y28+AD28+AI28</f>
        <v/>
      </c>
      <c r="AO28" s="125">
        <f>F28+K28+P28+U28+Z28+AE28+AJ28</f>
        <v/>
      </c>
    </row>
    <row r="29">
      <c r="A29" s="124">
        <f>A28+7</f>
        <v/>
      </c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 t="n"/>
      <c r="AG29" s="125" t="n"/>
      <c r="AH29" s="125" t="n"/>
      <c r="AI29" s="125" t="n"/>
      <c r="AJ29" s="125" t="n"/>
      <c r="AK29" s="125">
        <f>B29+G29+L29+Q29+V29+AA29+AF29</f>
        <v/>
      </c>
      <c r="AL29" s="125">
        <f>C29+H29+M29+R29+W29+AB29+AG29</f>
        <v/>
      </c>
      <c r="AM29" s="125">
        <f>D29+I29+N29+S29+X29+AC29+AH29</f>
        <v/>
      </c>
      <c r="AN29" s="125">
        <f>E29+J29+O29+T29+Y29+AD29+AI29</f>
        <v/>
      </c>
      <c r="AO29" s="125">
        <f>F29+K29+P29+U29+Z29+AE29+AJ29</f>
        <v/>
      </c>
    </row>
    <row r="30">
      <c r="A30" s="124">
        <f>A29+7</f>
        <v/>
      </c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 t="n"/>
      <c r="AG30" s="125" t="n"/>
      <c r="AH30" s="125" t="n"/>
      <c r="AI30" s="125" t="n"/>
      <c r="AJ30" s="125" t="n"/>
      <c r="AK30" s="125">
        <f>B30+G30+L30+Q30+V30+AA30+AF30</f>
        <v/>
      </c>
      <c r="AL30" s="125">
        <f>C30+H30+M30+R30+W30+AB30+AG30</f>
        <v/>
      </c>
      <c r="AM30" s="125">
        <f>D30+I30+N30+S30+X30+AC30+AH30</f>
        <v/>
      </c>
      <c r="AN30" s="125">
        <f>E30+J30+O30+T30+Y30+AD30+AI30</f>
        <v/>
      </c>
      <c r="AO30" s="125">
        <f>F30+K30+P30+U30+Z30+AE30+AJ30</f>
        <v/>
      </c>
    </row>
    <row r="31">
      <c r="A31" s="124">
        <f>A30+7</f>
        <v/>
      </c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 t="n"/>
      <c r="AG31" s="125" t="n"/>
      <c r="AH31" s="125" t="n"/>
      <c r="AI31" s="125" t="n"/>
      <c r="AJ31" s="125" t="n"/>
      <c r="AK31" s="125">
        <f>B31+G31+L31+Q31+V31+AA31+AF31</f>
        <v/>
      </c>
      <c r="AL31" s="125">
        <f>C31+H31+M31+R31+W31+AB31+AG31</f>
        <v/>
      </c>
      <c r="AM31" s="125">
        <f>D31+I31+N31+S31+X31+AC31+AH31</f>
        <v/>
      </c>
      <c r="AN31" s="125">
        <f>E31+J31+O31+T31+Y31+AD31+AI31</f>
        <v/>
      </c>
      <c r="AO31" s="125">
        <f>F31+K31+P31+U31+Z31+AE31+AJ31</f>
        <v/>
      </c>
    </row>
    <row r="32">
      <c r="A32" s="124">
        <f>A31+7</f>
        <v/>
      </c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 t="n"/>
      <c r="AG32" s="125" t="n"/>
      <c r="AH32" s="125" t="n"/>
      <c r="AI32" s="125" t="n"/>
      <c r="AJ32" s="125" t="n"/>
      <c r="AK32" s="125">
        <f>B32+G32+L32+Q32+V32+AA32+AF32</f>
        <v/>
      </c>
      <c r="AL32" s="125">
        <f>C32+H32+M32+R32+W32+AB32+AG32</f>
        <v/>
      </c>
      <c r="AM32" s="125">
        <f>D32+I32+N32+S32+X32+AC32+AH32</f>
        <v/>
      </c>
      <c r="AN32" s="125">
        <f>E32+J32+O32+T32+Y32+AD32+AI32</f>
        <v/>
      </c>
      <c r="AO32" s="125">
        <f>F32+K32+P32+U32+Z32+AE32+AJ32</f>
        <v/>
      </c>
    </row>
    <row r="33">
      <c r="A33" s="124">
        <f>A32+7</f>
        <v/>
      </c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 t="n"/>
      <c r="AG33" s="125" t="n"/>
      <c r="AH33" s="125" t="n"/>
      <c r="AI33" s="125" t="n"/>
      <c r="AJ33" s="125" t="n"/>
      <c r="AK33" s="125">
        <f>B33+G33+L33+Q33+V33+AA33+AF33</f>
        <v/>
      </c>
      <c r="AL33" s="125">
        <f>C33+H33+M33+R33+W33+AB33+AG33</f>
        <v/>
      </c>
      <c r="AM33" s="125">
        <f>D33+I33+N33+S33+X33+AC33+AH33</f>
        <v/>
      </c>
      <c r="AN33" s="125">
        <f>E33+J33+O33+T33+Y33+AD33+AI33</f>
        <v/>
      </c>
      <c r="AO33" s="125">
        <f>F33+K33+P33+U33+Z33+AE33+AJ33</f>
        <v/>
      </c>
    </row>
    <row r="34">
      <c r="A34" s="124">
        <f>A33+7</f>
        <v/>
      </c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 t="n"/>
      <c r="AG34" s="125" t="n"/>
      <c r="AH34" s="125" t="n"/>
      <c r="AI34" s="125" t="n"/>
      <c r="AJ34" s="125" t="n"/>
      <c r="AK34" s="125">
        <f>B34+G34+L34+Q34+V34+AA34+AF34</f>
        <v/>
      </c>
      <c r="AL34" s="125">
        <f>C34+H34+M34+R34+W34+AB34+AG34</f>
        <v/>
      </c>
      <c r="AM34" s="125">
        <f>D34+I34+N34+S34+X34+AC34+AH34</f>
        <v/>
      </c>
      <c r="AN34" s="125">
        <f>E34+J34+O34+T34+Y34+AD34+AI34</f>
        <v/>
      </c>
      <c r="AO34" s="125">
        <f>F34+K34+P34+U34+Z34+AE34+AJ34</f>
        <v/>
      </c>
    </row>
    <row r="35">
      <c r="A35" s="124">
        <f>A34+7</f>
        <v/>
      </c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 t="n"/>
      <c r="AG35" s="125" t="n"/>
      <c r="AH35" s="125" t="n"/>
      <c r="AI35" s="125" t="n"/>
      <c r="AJ35" s="125" t="n"/>
      <c r="AK35" s="125">
        <f>B35+G35+L35+Q35+V35+AA35+AF35</f>
        <v/>
      </c>
      <c r="AL35" s="125">
        <f>C35+H35+M35+R35+W35+AB35+AG35</f>
        <v/>
      </c>
      <c r="AM35" s="125">
        <f>D35+I35+N35+S35+X35+AC35+AH35</f>
        <v/>
      </c>
      <c r="AN35" s="125">
        <f>E35+J35+O35+T35+Y35+AD35+AI35</f>
        <v/>
      </c>
      <c r="AO35" s="125">
        <f>F35+K35+P35+U35+Z35+AE35+AJ35</f>
        <v/>
      </c>
    </row>
    <row r="36">
      <c r="A36" s="124">
        <f>A35+7</f>
        <v/>
      </c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  <c r="AG36" s="125" t="n"/>
      <c r="AH36" s="125" t="n"/>
      <c r="AI36" s="125" t="n"/>
      <c r="AJ36" s="125" t="n"/>
      <c r="AK36" s="125">
        <f>B36+G36+L36+Q36+V36+AA36+AF36</f>
        <v/>
      </c>
      <c r="AL36" s="125">
        <f>C36+H36+M36+R36+W36+AB36+AG36</f>
        <v/>
      </c>
      <c r="AM36" s="125">
        <f>D36+I36+N36+S36+X36+AC36+AH36</f>
        <v/>
      </c>
      <c r="AN36" s="125">
        <f>E36+J36+O36+T36+Y36+AD36+AI36</f>
        <v/>
      </c>
      <c r="AO36" s="125">
        <f>F36+K36+P36+U36+Z36+AE36+AJ36</f>
        <v/>
      </c>
    </row>
    <row r="37">
      <c r="A37" s="124">
        <f>A36+7</f>
        <v/>
      </c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  <c r="AG37" s="125" t="n"/>
      <c r="AH37" s="125" t="n"/>
      <c r="AI37" s="125" t="n"/>
      <c r="AJ37" s="125" t="n"/>
      <c r="AK37" s="125">
        <f>B37+G37+L37+Q37+V37+AA37+AF37</f>
        <v/>
      </c>
      <c r="AL37" s="125">
        <f>C37+H37+M37+R37+W37+AB37+AG37</f>
        <v/>
      </c>
      <c r="AM37" s="125">
        <f>D37+I37+N37+S37+X37+AC37+AH37</f>
        <v/>
      </c>
      <c r="AN37" s="125">
        <f>E37+J37+O37+T37+Y37+AD37+AI37</f>
        <v/>
      </c>
      <c r="AO37" s="125">
        <f>F37+K37+P37+U37+Z37+AE37+AJ37</f>
        <v/>
      </c>
    </row>
    <row r="38">
      <c r="A38" s="124">
        <f>A37+7</f>
        <v/>
      </c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  <c r="AG38" s="125" t="n"/>
      <c r="AH38" s="125" t="n"/>
      <c r="AI38" s="125" t="n"/>
      <c r="AJ38" s="125" t="n"/>
      <c r="AK38" s="125">
        <f>B38+G38+L38+Q38+V38+AA38+AF38</f>
        <v/>
      </c>
      <c r="AL38" s="125">
        <f>C38+H38+M38+R38+W38+AB38+AG38</f>
        <v/>
      </c>
      <c r="AM38" s="125">
        <f>D38+I38+N38+S38+X38+AC38+AH38</f>
        <v/>
      </c>
      <c r="AN38" s="125">
        <f>E38+J38+O38+T38+Y38+AD38+AI38</f>
        <v/>
      </c>
      <c r="AO38" s="125">
        <f>F38+K38+P38+U38+Z38+AE38+AJ38</f>
        <v/>
      </c>
    </row>
    <row r="39">
      <c r="A39" s="124">
        <f>A38+7</f>
        <v/>
      </c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  <c r="AG39" s="125" t="n"/>
      <c r="AH39" s="125" t="n"/>
      <c r="AI39" s="125" t="n"/>
      <c r="AJ39" s="125" t="n"/>
      <c r="AK39" s="125">
        <f>B39+G39+L39+Q39+V39+AA39+AF39</f>
        <v/>
      </c>
      <c r="AL39" s="125">
        <f>C39+H39+M39+R39+W39+AB39+AG39</f>
        <v/>
      </c>
      <c r="AM39" s="125">
        <f>D39+I39+N39+S39+X39+AC39+AH39</f>
        <v/>
      </c>
      <c r="AN39" s="125">
        <f>E39+J39+O39+T39+Y39+AD39+AI39</f>
        <v/>
      </c>
      <c r="AO39" s="125">
        <f>F39+K39+P39+U39+Z39+AE39+AJ39</f>
        <v/>
      </c>
    </row>
    <row r="40">
      <c r="A40" s="124">
        <f>A39+7</f>
        <v/>
      </c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  <c r="AG40" s="125" t="n"/>
      <c r="AH40" s="125" t="n"/>
      <c r="AI40" s="125" t="n"/>
      <c r="AJ40" s="125" t="n"/>
      <c r="AK40" s="125">
        <f>B40+G40+L40+Q40+V40+AA40+AF40</f>
        <v/>
      </c>
      <c r="AL40" s="125">
        <f>C40+H40+M40+R40+W40+AB40+AG40</f>
        <v/>
      </c>
      <c r="AM40" s="125">
        <f>D40+I40+N40+S40+X40+AC40+AH40</f>
        <v/>
      </c>
      <c r="AN40" s="125">
        <f>E40+J40+O40+T40+Y40+AD40+AI40</f>
        <v/>
      </c>
      <c r="AO40" s="125">
        <f>F40+K40+P40+U40+Z40+AE40+AJ40</f>
        <v/>
      </c>
    </row>
    <row r="41">
      <c r="A41" s="124">
        <f>A40+7</f>
        <v/>
      </c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 t="n"/>
      <c r="AG41" s="125" t="n"/>
      <c r="AH41" s="125" t="n"/>
      <c r="AI41" s="125" t="n"/>
      <c r="AJ41" s="125" t="n"/>
      <c r="AK41" s="125">
        <f>B41+G41+L41+Q41+V41+AA41+AF41</f>
        <v/>
      </c>
      <c r="AL41" s="125">
        <f>C41+H41+M41+R41+W41+AB41+AG41</f>
        <v/>
      </c>
      <c r="AM41" s="125">
        <f>D41+I41+N41+S41+X41+AC41+AH41</f>
        <v/>
      </c>
      <c r="AN41" s="125">
        <f>E41+J41+O41+T41+Y41+AD41+AI41</f>
        <v/>
      </c>
      <c r="AO41" s="125">
        <f>F41+K41+P41+U41+Z41+AE41+AJ41</f>
        <v/>
      </c>
    </row>
    <row r="42">
      <c r="A42" s="124">
        <f>A41+7</f>
        <v/>
      </c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  <c r="AG42" s="125" t="n"/>
      <c r="AH42" s="125" t="n"/>
      <c r="AI42" s="125" t="n"/>
      <c r="AJ42" s="125" t="n"/>
      <c r="AK42" s="125">
        <f>B42+G42+L42+Q42+V42+AA42+AF42</f>
        <v/>
      </c>
      <c r="AL42" s="125">
        <f>C42+H42+M42+R42+W42+AB42+AG42</f>
        <v/>
      </c>
      <c r="AM42" s="125">
        <f>D42+I42+N42+S42+X42+AC42+AH42</f>
        <v/>
      </c>
      <c r="AN42" s="125">
        <f>E42+J42+O42+T42+Y42+AD42+AI42</f>
        <v/>
      </c>
      <c r="AO42" s="125">
        <f>F42+K42+P42+U42+Z42+AE42+AJ42</f>
        <v/>
      </c>
    </row>
    <row r="43">
      <c r="A43" s="124">
        <f>A42+7</f>
        <v/>
      </c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  <c r="AG43" s="125" t="n"/>
      <c r="AH43" s="125" t="n"/>
      <c r="AI43" s="125" t="n"/>
      <c r="AJ43" s="125" t="n"/>
      <c r="AK43" s="125">
        <f>B43+G43+L43+Q43+V43+AA43+AF43</f>
        <v/>
      </c>
      <c r="AL43" s="125">
        <f>C43+H43+M43+R43+W43+AB43+AG43</f>
        <v/>
      </c>
      <c r="AM43" s="125">
        <f>D43+I43+N43+S43+X43+AC43+AH43</f>
        <v/>
      </c>
      <c r="AN43" s="125">
        <f>E43+J43+O43+T43+Y43+AD43+AI43</f>
        <v/>
      </c>
      <c r="AO43" s="125">
        <f>F43+K43+P43+U43+Z43+AE43+AJ43</f>
        <v/>
      </c>
    </row>
    <row r="44">
      <c r="A44" s="124">
        <f>A43+7</f>
        <v/>
      </c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  <c r="AG44" s="125" t="n"/>
      <c r="AH44" s="125" t="n"/>
      <c r="AI44" s="125" t="n"/>
      <c r="AJ44" s="125" t="n"/>
      <c r="AK44" s="125">
        <f>B44+G44+L44+Q44+V44+AA44+AF44</f>
        <v/>
      </c>
      <c r="AL44" s="125">
        <f>C44+H44+M44+R44+W44+AB44+AG44</f>
        <v/>
      </c>
      <c r="AM44" s="125">
        <f>D44+I44+N44+S44+X44+AC44+AH44</f>
        <v/>
      </c>
      <c r="AN44" s="125">
        <f>E44+J44+O44+T44+Y44+AD44+AI44</f>
        <v/>
      </c>
      <c r="AO44" s="125">
        <f>F44+K44+P44+U44+Z44+AE44+AJ44</f>
        <v/>
      </c>
    </row>
    <row r="45">
      <c r="A45" s="124">
        <f>A44+7</f>
        <v/>
      </c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 t="n"/>
      <c r="AG45" s="125" t="n"/>
      <c r="AH45" s="125" t="n"/>
      <c r="AI45" s="125" t="n"/>
      <c r="AJ45" s="125" t="n"/>
      <c r="AK45" s="125">
        <f>B45+G45+L45+Q45+V45+AA45+AF45</f>
        <v/>
      </c>
      <c r="AL45" s="125">
        <f>C45+H45+M45+R45+W45+AB45+AG45</f>
        <v/>
      </c>
      <c r="AM45" s="125">
        <f>D45+I45+N45+S45+X45+AC45+AH45</f>
        <v/>
      </c>
      <c r="AN45" s="125">
        <f>E45+J45+O45+T45+Y45+AD45+AI45</f>
        <v/>
      </c>
      <c r="AO45" s="125">
        <f>F45+K45+P45+U45+Z45+AE45+AJ45</f>
        <v/>
      </c>
    </row>
    <row r="46">
      <c r="A46" s="124">
        <f>A45+7</f>
        <v/>
      </c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 t="n"/>
      <c r="AG46" s="125" t="n"/>
      <c r="AH46" s="125" t="n"/>
      <c r="AI46" s="125" t="n"/>
      <c r="AJ46" s="125" t="n"/>
      <c r="AK46" s="125">
        <f>B46+G46+L46+Q46+V46+AA46+AF46</f>
        <v/>
      </c>
      <c r="AL46" s="125">
        <f>C46+H46+M46+R46+W46+AB46+AG46</f>
        <v/>
      </c>
      <c r="AM46" s="125">
        <f>D46+I46+N46+S46+X46+AC46+AH46</f>
        <v/>
      </c>
      <c r="AN46" s="125">
        <f>E46+J46+O46+T46+Y46+AD46+AI46</f>
        <v/>
      </c>
      <c r="AO46" s="125">
        <f>F46+K46+P46+U46+Z46+AE46+AJ46</f>
        <v/>
      </c>
    </row>
    <row r="47">
      <c r="A47" s="124">
        <f>A46+7</f>
        <v/>
      </c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 t="n"/>
      <c r="AG47" s="125" t="n"/>
      <c r="AH47" s="125" t="n"/>
      <c r="AI47" s="125" t="n"/>
      <c r="AJ47" s="125" t="n"/>
      <c r="AK47" s="125">
        <f>B47+G47+L47+Q47+V47+AA47+AF47</f>
        <v/>
      </c>
      <c r="AL47" s="125">
        <f>C47+H47+M47+R47+W47+AB47+AG47</f>
        <v/>
      </c>
      <c r="AM47" s="125">
        <f>D47+I47+N47+S47+X47+AC47+AH47</f>
        <v/>
      </c>
      <c r="AN47" s="125">
        <f>E47+J47+O47+T47+Y47+AD47+AI47</f>
        <v/>
      </c>
      <c r="AO47" s="125">
        <f>F47+K47+P47+U47+Z47+AE47+AJ47</f>
        <v/>
      </c>
    </row>
    <row r="48">
      <c r="A48" s="124">
        <f>A47+7</f>
        <v/>
      </c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  <c r="AG48" s="125" t="n"/>
      <c r="AH48" s="125" t="n"/>
      <c r="AI48" s="125" t="n"/>
      <c r="AJ48" s="125" t="n"/>
      <c r="AK48" s="125">
        <f>B48+G48+L48+Q48+V48+AA48+AF48</f>
        <v/>
      </c>
      <c r="AL48" s="125">
        <f>C48+H48+M48+R48+W48+AB48+AG48</f>
        <v/>
      </c>
      <c r="AM48" s="125">
        <f>D48+I48+N48+S48+X48+AC48+AH48</f>
        <v/>
      </c>
      <c r="AN48" s="125">
        <f>E48+J48+O48+T48+Y48+AD48+AI48</f>
        <v/>
      </c>
      <c r="AO48" s="125">
        <f>F48+K48+P48+U48+Z48+AE48+AJ48</f>
        <v/>
      </c>
    </row>
    <row r="49">
      <c r="A49" s="124">
        <f>A48+7</f>
        <v/>
      </c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 t="n"/>
      <c r="AG49" s="125" t="n"/>
      <c r="AH49" s="125" t="n"/>
      <c r="AI49" s="125" t="n"/>
      <c r="AJ49" s="125" t="n"/>
      <c r="AK49" s="125">
        <f>B49+G49+L49+Q49+V49+AA49+AF49</f>
        <v/>
      </c>
      <c r="AL49" s="125">
        <f>C49+H49+M49+R49+W49+AB49+AG49</f>
        <v/>
      </c>
      <c r="AM49" s="125">
        <f>D49+I49+N49+S49+X49+AC49+AH49</f>
        <v/>
      </c>
      <c r="AN49" s="125">
        <f>E49+J49+O49+T49+Y49+AD49+AI49</f>
        <v/>
      </c>
      <c r="AO49" s="125">
        <f>F49+K49+P49+U49+Z49+AE49+AJ49</f>
        <v/>
      </c>
    </row>
    <row r="50">
      <c r="A50" s="124">
        <f>A49+7</f>
        <v/>
      </c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 t="n"/>
      <c r="AG50" s="125" t="n"/>
      <c r="AH50" s="125" t="n"/>
      <c r="AI50" s="125" t="n"/>
      <c r="AJ50" s="125" t="n"/>
      <c r="AK50" s="125">
        <f>B50+G50+L50+Q50+V50+AA50+AF50</f>
        <v/>
      </c>
      <c r="AL50" s="125">
        <f>C50+H50+M50+R50+W50+AB50+AG50</f>
        <v/>
      </c>
      <c r="AM50" s="125">
        <f>D50+I50+N50+S50+X50+AC50+AH50</f>
        <v/>
      </c>
      <c r="AN50" s="125">
        <f>E50+J50+O50+T50+Y50+AD50+AI50</f>
        <v/>
      </c>
      <c r="AO50" s="125">
        <f>F50+K50+P50+U50+Z50+AE50+AJ50</f>
        <v/>
      </c>
    </row>
    <row r="51">
      <c r="A51" s="124">
        <f>A50+7</f>
        <v/>
      </c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 t="n"/>
      <c r="AG51" s="125" t="n"/>
      <c r="AH51" s="125" t="n"/>
      <c r="AI51" s="125" t="n"/>
      <c r="AJ51" s="125" t="n"/>
      <c r="AK51" s="125">
        <f>B51+G51+L51+Q51+V51+AA51+AF51</f>
        <v/>
      </c>
      <c r="AL51" s="125">
        <f>C51+H51+M51+R51+W51+AB51+AG51</f>
        <v/>
      </c>
      <c r="AM51" s="125">
        <f>D51+I51+N51+S51+X51+AC51+AH51</f>
        <v/>
      </c>
      <c r="AN51" s="125">
        <f>E51+J51+O51+T51+Y51+AD51+AI51</f>
        <v/>
      </c>
      <c r="AO51" s="125">
        <f>F51+K51+P51+U51+Z51+AE51+AJ51</f>
        <v/>
      </c>
    </row>
    <row r="52">
      <c r="A52" s="124">
        <f>A51+7</f>
        <v/>
      </c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 t="n"/>
      <c r="AG52" s="125" t="n"/>
      <c r="AH52" s="125" t="n"/>
      <c r="AI52" s="125" t="n"/>
      <c r="AJ52" s="125" t="n"/>
      <c r="AK52" s="125">
        <f>B52+G52+L52+Q52+V52+AA52+AF52</f>
        <v/>
      </c>
      <c r="AL52" s="125">
        <f>C52+H52+M52+R52+W52+AB52+AG52</f>
        <v/>
      </c>
      <c r="AM52" s="125">
        <f>D52+I52+N52+S52+X52+AC52+AH52</f>
        <v/>
      </c>
      <c r="AN52" s="125">
        <f>E52+J52+O52+T52+Y52+AD52+AI52</f>
        <v/>
      </c>
      <c r="AO52" s="125">
        <f>F52+K52+P52+U52+Z52+AE52+AJ52</f>
        <v/>
      </c>
    </row>
  </sheetData>
  <mergeCells count="11">
    <mergeCell ref="G3:K3"/>
    <mergeCell ref="V3:Z3"/>
    <mergeCell ref="AF3:AJ3"/>
    <mergeCell ref="A2:A4"/>
    <mergeCell ref="Q3:U3"/>
    <mergeCell ref="B3:F3"/>
    <mergeCell ref="AK3:AO3"/>
    <mergeCell ref="L3:P3"/>
    <mergeCell ref="AA3:AE3"/>
    <mergeCell ref="A1:AO1"/>
    <mergeCell ref="B2:AJ2"/>
  </mergeCells>
  <conditionalFormatting sqref="A5:A52">
    <cfRule type="expression" priority="1" dxfId="0">
      <formula>AND($A5&lt;=TODAY(),$A5+6&gt;=TODAY())</formula>
    </cfRule>
  </conditionalFormatting>
  <dataValidations count="1">
    <dataValidation sqref="B5:W52" showDropDown="0" showInputMessage="0" showErrorMessage="0" allowBlank="0" type="decimal" operator="greaterThanOrEqual">
      <formula1>0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A1:I361"/>
  <sheetViews>
    <sheetView workbookViewId="0">
      <pane ySplit="3" topLeftCell="A4" activePane="bottomLeft" state="frozen"/>
      <selection pane="bottomLeft" activeCell="A1" sqref="A1:I1"/>
    </sheetView>
  </sheetViews>
  <sheetFormatPr baseColWidth="8" defaultRowHeight="15"/>
  <cols>
    <col width="8" customWidth="1" style="102" min="1" max="1"/>
    <col width="36" customWidth="1" style="102" min="2" max="2"/>
    <col width="12" customWidth="1" style="102" min="3" max="3"/>
    <col width="12" customWidth="1" style="102" min="4" max="9"/>
    <col width="12" customWidth="1" style="102" min="5" max="5"/>
    <col width="12" customWidth="1" style="102" min="6" max="6"/>
    <col width="12" customWidth="1" style="102" min="7" max="7"/>
    <col width="12" customWidth="1" style="102" min="8" max="8"/>
    <col width="12" customWidth="1" style="102" min="9" max="9"/>
  </cols>
  <sheetData>
    <row r="1">
      <c r="A1" s="126" t="inlineStr">
        <is>
          <t>ОТЧЁТ ПО ОТДЕЛОЧНЫМ РАБОТАМ</t>
        </is>
      </c>
    </row>
    <row r="2">
      <c r="A2" s="112" t="inlineStr">
        <is>
          <t>⚠ Автоматический. Не вносите данные напрямую.</t>
        </is>
      </c>
    </row>
    <row r="3"/>
    <row r="4">
      <c r="A4" s="127" t="inlineStr">
        <is>
          <t>ПОДЗЕМНАЯ ЧАСТЬ</t>
        </is>
      </c>
    </row>
    <row r="5">
      <c r="A5" s="115" t="inlineStr">
        <is>
          <t>Код</t>
        </is>
      </c>
      <c r="B5" s="115" t="inlineStr">
        <is>
          <t>Название</t>
        </is>
      </c>
      <c r="C5" s="115" t="inlineStr">
        <is>
          <t>Тип</t>
        </is>
      </c>
      <c r="D5" s="115" t="inlineStr">
        <is>
          <t>Вес ур.4</t>
        </is>
      </c>
      <c r="E5" s="115" t="inlineStr">
        <is>
          <t>Вес ур.5</t>
        </is>
      </c>
      <c r="F5" s="115" t="inlineStr">
        <is>
          <t>План м²</t>
        </is>
      </c>
      <c r="G5" s="115" t="inlineStr">
        <is>
          <t>Факт м²</t>
        </is>
      </c>
      <c r="H5" s="115" t="inlineStr">
        <is>
          <t>Факт %</t>
        </is>
      </c>
      <c r="I5" s="115" t="inlineStr">
        <is>
          <t>Взвеш. %</t>
        </is>
      </c>
    </row>
    <row r="6">
      <c r="A6" s="128" t="inlineStr">
        <is>
          <t>8.1.1</t>
        </is>
      </c>
      <c r="B6" s="128">
        <f>СПРАВОЧНИК!C3</f>
        <v/>
      </c>
      <c r="C6" s="116" t="inlineStr">
        <is>
          <t>Главная</t>
        </is>
      </c>
      <c r="D6" s="111" t="n"/>
      <c r="E6" s="111" t="n"/>
      <c r="F6" s="129">
        <f>СПРАВОЧНИК!D3</f>
        <v/>
      </c>
      <c r="G6" s="130">
        <f>G7*D7+G11*D11</f>
        <v/>
      </c>
      <c r="H6" s="131">
        <f>IF(F6=0,0,G6/F6)</f>
        <v/>
      </c>
      <c r="I6" s="131">
        <f>I7+I11</f>
        <v/>
      </c>
    </row>
    <row r="7">
      <c r="A7" s="111" t="n"/>
      <c r="B7" s="132" t="inlineStr">
        <is>
          <t xml:space="preserve">  Черновая</t>
        </is>
      </c>
      <c r="C7" s="116" t="inlineStr">
        <is>
          <t>Категория</t>
        </is>
      </c>
      <c r="D7" s="133">
        <f>СПРАВОЧНИК!E3</f>
        <v/>
      </c>
      <c r="E7" s="111" t="n"/>
      <c r="F7" s="129">
        <f>F6</f>
        <v/>
      </c>
      <c r="G7" s="130">
        <f>G8*E8+G9*E9+G10*E10</f>
        <v/>
      </c>
      <c r="H7" s="131">
        <f>IF(F7=0,0,G7/F7)</f>
        <v/>
      </c>
      <c r="I7" s="131">
        <f>H7*D7</f>
        <v/>
      </c>
    </row>
    <row r="8">
      <c r="A8" s="111" t="n"/>
      <c r="B8" s="116" t="inlineStr">
        <is>
          <t xml:space="preserve">   Пол</t>
        </is>
      </c>
      <c r="C8" s="116" t="inlineStr">
        <is>
          <t>Вид</t>
        </is>
      </c>
      <c r="D8" s="111" t="n"/>
      <c r="E8" s="133">
        <f>СПРАВОЧНИК!$H$3</f>
        <v/>
      </c>
      <c r="F8" s="129">
        <f>F6</f>
        <v/>
      </c>
      <c r="G8" s="130">
        <f>SUM('ФАКТ ЧЕРН ПОДЗЕМ'!B5:B100)</f>
        <v/>
      </c>
      <c r="H8" s="131">
        <f>IF(F8=0,0,G8/F8)</f>
        <v/>
      </c>
      <c r="I8" s="131">
        <f>H8*E8</f>
        <v/>
      </c>
    </row>
    <row r="9">
      <c r="A9" s="111" t="n"/>
      <c r="B9" s="116" t="inlineStr">
        <is>
          <t xml:space="preserve">   Стены</t>
        </is>
      </c>
      <c r="C9" s="116" t="inlineStr">
        <is>
          <t>Вид</t>
        </is>
      </c>
      <c r="D9" s="111" t="n"/>
      <c r="E9" s="133">
        <f>СПРАВОЧНИК!$I$3</f>
        <v/>
      </c>
      <c r="F9" s="129">
        <f>F6</f>
        <v/>
      </c>
      <c r="G9" s="130">
        <f>SUM('ФАКТ ЧЕРН ПОДЗЕМ'!C5:C100)</f>
        <v/>
      </c>
      <c r="H9" s="131">
        <f>IF(F9=0,0,G9/F9)</f>
        <v/>
      </c>
      <c r="I9" s="131">
        <f>H9*E9</f>
        <v/>
      </c>
    </row>
    <row r="10">
      <c r="A10" s="111" t="n"/>
      <c r="B10" s="116" t="inlineStr">
        <is>
          <t xml:space="preserve">   Потолок</t>
        </is>
      </c>
      <c r="C10" s="116" t="inlineStr">
        <is>
          <t>Вид</t>
        </is>
      </c>
      <c r="D10" s="111" t="n"/>
      <c r="E10" s="133">
        <f>СПРАВОЧНИК!$J$3</f>
        <v/>
      </c>
      <c r="F10" s="129">
        <f>F6</f>
        <v/>
      </c>
      <c r="G10" s="130">
        <f>SUM('ФАКТ ЧЕРН ПОДЗЕМ'!D5:D100)</f>
        <v/>
      </c>
      <c r="H10" s="131">
        <f>IF(F10=0,0,G10/F10)</f>
        <v/>
      </c>
      <c r="I10" s="131">
        <f>H10*E10</f>
        <v/>
      </c>
    </row>
    <row r="11">
      <c r="A11" s="111" t="n"/>
      <c r="B11" s="132" t="inlineStr">
        <is>
          <t xml:space="preserve">  Чистовая</t>
        </is>
      </c>
      <c r="C11" s="116" t="inlineStr">
        <is>
          <t>Категория</t>
        </is>
      </c>
      <c r="D11" s="133">
        <f>СПРАВОЧНИК!F3</f>
        <v/>
      </c>
      <c r="E11" s="111" t="n"/>
      <c r="F11" s="129">
        <f>F6</f>
        <v/>
      </c>
      <c r="G11" s="130">
        <f>G12*E12+G13*E13+G14*E14+G15*E15+G16*E16</f>
        <v/>
      </c>
      <c r="H11" s="131">
        <f>IF(F11=0,0,G11/F11)</f>
        <v/>
      </c>
      <c r="I11" s="131">
        <f>H11*D11</f>
        <v/>
      </c>
    </row>
    <row r="12">
      <c r="A12" s="111" t="n"/>
      <c r="B12" s="116" t="inlineStr">
        <is>
          <t xml:space="preserve">   Пол</t>
        </is>
      </c>
      <c r="C12" s="116" t="inlineStr">
        <is>
          <t>Вид</t>
        </is>
      </c>
      <c r="D12" s="111" t="n"/>
      <c r="E12" s="133">
        <f>СПРАВОЧНИК!$L$3</f>
        <v/>
      </c>
      <c r="F12" s="129">
        <f>F6</f>
        <v/>
      </c>
      <c r="G12" s="130">
        <f>SUM('ФАКТ ЧИСТ ПОДЗЕМ'!B5:B100)</f>
        <v/>
      </c>
      <c r="H12" s="131">
        <f>IF(F12=0,0,G12/F12)</f>
        <v/>
      </c>
      <c r="I12" s="131">
        <f>H12*E12</f>
        <v/>
      </c>
    </row>
    <row r="13">
      <c r="A13" s="111" t="n"/>
      <c r="B13" s="116" t="inlineStr">
        <is>
          <t xml:space="preserve">   Стены</t>
        </is>
      </c>
      <c r="C13" s="116" t="inlineStr">
        <is>
          <t>Вид</t>
        </is>
      </c>
      <c r="D13" s="111" t="n"/>
      <c r="E13" s="133">
        <f>СПРАВОЧНИК!$M$3</f>
        <v/>
      </c>
      <c r="F13" s="129">
        <f>F6</f>
        <v/>
      </c>
      <c r="G13" s="130">
        <f>SUM('ФАКТ ЧИСТ ПОДЗЕМ'!C5:C100)</f>
        <v/>
      </c>
      <c r="H13" s="131">
        <f>IF(F13=0,0,G13/F13)</f>
        <v/>
      </c>
      <c r="I13" s="131">
        <f>H13*E13</f>
        <v/>
      </c>
    </row>
    <row r="14">
      <c r="A14" s="111" t="n"/>
      <c r="B14" s="116" t="inlineStr">
        <is>
          <t xml:space="preserve">   Потолок</t>
        </is>
      </c>
      <c r="C14" s="116" t="inlineStr">
        <is>
          <t>Вид</t>
        </is>
      </c>
      <c r="D14" s="111" t="n"/>
      <c r="E14" s="133">
        <f>СПРАВОЧНИК!$N$3</f>
        <v/>
      </c>
      <c r="F14" s="129">
        <f>F6</f>
        <v/>
      </c>
      <c r="G14" s="130">
        <f>SUM('ФАКТ ЧИСТ ПОДЗЕМ'!D5:D100)</f>
        <v/>
      </c>
      <c r="H14" s="131">
        <f>IF(F14=0,0,G14/F14)</f>
        <v/>
      </c>
      <c r="I14" s="131">
        <f>H14*E14</f>
        <v/>
      </c>
    </row>
    <row r="15">
      <c r="A15" s="111" t="n"/>
      <c r="B15" s="116" t="inlineStr">
        <is>
          <t xml:space="preserve">   Заполн. проемов</t>
        </is>
      </c>
      <c r="C15" s="116" t="inlineStr">
        <is>
          <t>Вид</t>
        </is>
      </c>
      <c r="D15" s="111" t="n"/>
      <c r="E15" s="133">
        <f>СПРАВОЧНИК!$O$3</f>
        <v/>
      </c>
      <c r="F15" s="129">
        <f>F6</f>
        <v/>
      </c>
      <c r="G15" s="130">
        <f>SUM('ФАКТ ЧИСТ ПОДЗЕМ'!E5:E100)</f>
        <v/>
      </c>
      <c r="H15" s="131">
        <f>IF(F15=0,0,G15/F15)</f>
        <v/>
      </c>
      <c r="I15" s="131">
        <f>H15*E15</f>
        <v/>
      </c>
    </row>
    <row r="16">
      <c r="B16" s="134" t="inlineStr">
        <is>
          <t xml:space="preserve">   Меблировка</t>
        </is>
      </c>
      <c r="C16" s="116" t="inlineStr">
        <is>
          <t>Вид</t>
        </is>
      </c>
      <c r="D16" s="38" t="n"/>
      <c r="E16" s="116">
        <f>СПРАВОЧНИК!$P$3</f>
        <v/>
      </c>
      <c r="F16" s="116">
        <f>F6</f>
        <v/>
      </c>
      <c r="G16" s="116">
        <f>SUM('ФАКТ ЧИСТ ПОДЗЕМ'!F5:F100)</f>
        <v/>
      </c>
      <c r="H16" s="116">
        <f>IF(F16=0,0,G16/F16)</f>
        <v/>
      </c>
      <c r="I16" s="116">
        <f>H16*E16</f>
        <v/>
      </c>
    </row>
    <row r="17">
      <c r="B17" s="116" t="inlineStr">
        <is>
          <t xml:space="preserve">  ✓ Сумма</t>
        </is>
      </c>
      <c r="D17" s="116">
        <f>D7+D11</f>
        <v/>
      </c>
    </row>
    <row r="18">
      <c r="A18" s="8" t="n"/>
      <c r="B18" s="15" t="n"/>
      <c r="C18" s="111" t="n"/>
      <c r="D18" s="111" t="n"/>
      <c r="E18" s="111" t="n"/>
      <c r="F18" s="3" t="n"/>
      <c r="G18" s="34" t="n"/>
      <c r="H18" s="6" t="n"/>
      <c r="I18" s="6" t="n"/>
    </row>
    <row r="19">
      <c r="A19" s="116" t="inlineStr">
        <is>
          <t>8.1.2</t>
        </is>
      </c>
      <c r="B19" s="132">
        <f>СПРАВОЧНИК!C4</f>
        <v/>
      </c>
      <c r="C19" s="116" t="inlineStr">
        <is>
          <t>Главная</t>
        </is>
      </c>
      <c r="D19" s="36" t="n"/>
      <c r="E19" s="111" t="n"/>
      <c r="F19" s="129">
        <f>СПРАВОЧНИК!D4</f>
        <v/>
      </c>
      <c r="G19" s="130">
        <f>G20*D20+G24*D24</f>
        <v/>
      </c>
      <c r="H19" s="131">
        <f>IF(F19=0,0,G19/F19)</f>
        <v/>
      </c>
      <c r="I19" s="131">
        <f>I20+I24</f>
        <v/>
      </c>
    </row>
    <row r="20">
      <c r="A20" s="111" t="n"/>
      <c r="B20" s="116" t="inlineStr">
        <is>
          <t xml:space="preserve">  Черновая</t>
        </is>
      </c>
      <c r="C20" s="116" t="inlineStr">
        <is>
          <t>Категория</t>
        </is>
      </c>
      <c r="D20" s="116">
        <f>СПРАВОЧНИК!E4</f>
        <v/>
      </c>
      <c r="E20" s="36" t="n"/>
      <c r="F20" s="129">
        <f>F19</f>
        <v/>
      </c>
      <c r="G20" s="130">
        <f>G21*E21+G22*E22+G23*E23</f>
        <v/>
      </c>
      <c r="H20" s="131">
        <f>IF(F20=0,0,G20/F20)</f>
        <v/>
      </c>
      <c r="I20" s="131">
        <f>H20*D20</f>
        <v/>
      </c>
    </row>
    <row r="21">
      <c r="A21" s="111" t="n"/>
      <c r="B21" s="116" t="inlineStr">
        <is>
          <t xml:space="preserve">   Пол</t>
        </is>
      </c>
      <c r="C21" s="116" t="inlineStr">
        <is>
          <t>Вид</t>
        </is>
      </c>
      <c r="D21" s="111" t="n"/>
      <c r="E21" s="133">
        <f>СПРАВОЧНИК!$H$4</f>
        <v/>
      </c>
      <c r="F21" s="129">
        <f>F19</f>
        <v/>
      </c>
      <c r="G21" s="130">
        <f>SUM('ФАКТ ЧЕРН ПОДЗЕМ'!E5:E100)</f>
        <v/>
      </c>
      <c r="H21" s="131">
        <f>IF(F21=0,0,G21/F21)</f>
        <v/>
      </c>
      <c r="I21" s="131">
        <f>H21*E21</f>
        <v/>
      </c>
    </row>
    <row r="22">
      <c r="A22" s="111" t="n"/>
      <c r="B22" s="116" t="inlineStr">
        <is>
          <t xml:space="preserve">   Стены</t>
        </is>
      </c>
      <c r="C22" s="116" t="inlineStr">
        <is>
          <t>Вид</t>
        </is>
      </c>
      <c r="D22" s="111" t="n"/>
      <c r="E22" s="133">
        <f>СПРАВОЧНИК!$I$4</f>
        <v/>
      </c>
      <c r="F22" s="129">
        <f>F19</f>
        <v/>
      </c>
      <c r="G22" s="130">
        <f>SUM('ФАКТ ЧЕРН ПОДЗЕМ'!F5:F100)</f>
        <v/>
      </c>
      <c r="H22" s="131">
        <f>IF(F22=0,0,G22/F22)</f>
        <v/>
      </c>
      <c r="I22" s="131">
        <f>H22*E22</f>
        <v/>
      </c>
    </row>
    <row r="23">
      <c r="A23" s="111" t="n"/>
      <c r="B23" s="132" t="inlineStr">
        <is>
          <t xml:space="preserve">   Потолок</t>
        </is>
      </c>
      <c r="C23" s="116" t="inlineStr">
        <is>
          <t>Вид</t>
        </is>
      </c>
      <c r="D23" s="36" t="n"/>
      <c r="E23" s="116">
        <f>СПРАВОЧНИК!$J$4</f>
        <v/>
      </c>
      <c r="F23" s="129">
        <f>F19</f>
        <v/>
      </c>
      <c r="G23" s="130">
        <f>SUM('ФАКТ ЧЕРН ПОДЗЕМ'!G5:G100)</f>
        <v/>
      </c>
      <c r="H23" s="131">
        <f>IF(F23=0,0,G23/F23)</f>
        <v/>
      </c>
      <c r="I23" s="131">
        <f>H23*E23</f>
        <v/>
      </c>
    </row>
    <row r="24">
      <c r="A24" s="111" t="n"/>
      <c r="B24" s="116" t="inlineStr">
        <is>
          <t xml:space="preserve">  Чистовая</t>
        </is>
      </c>
      <c r="C24" s="116" t="inlineStr">
        <is>
          <t>Категория</t>
        </is>
      </c>
      <c r="D24" s="116">
        <f>СПРАВОЧНИК!F4</f>
        <v/>
      </c>
      <c r="E24" s="36" t="n"/>
      <c r="F24" s="129">
        <f>F19</f>
        <v/>
      </c>
      <c r="G24" s="130">
        <f>G25*E25+G26*E26+G27*E27+G28*E28+G29*E29</f>
        <v/>
      </c>
      <c r="H24" s="131">
        <f>IF(F24=0,0,G24/F24)</f>
        <v/>
      </c>
      <c r="I24" s="131">
        <f>H24*D24</f>
        <v/>
      </c>
    </row>
    <row r="25">
      <c r="A25" s="111" t="n"/>
      <c r="B25" s="116" t="inlineStr">
        <is>
          <t xml:space="preserve">   Пол</t>
        </is>
      </c>
      <c r="C25" s="116" t="inlineStr">
        <is>
          <t>Вид</t>
        </is>
      </c>
      <c r="D25" s="111" t="n"/>
      <c r="E25" s="133">
        <f>СПРАВОЧНИК!$L$4</f>
        <v/>
      </c>
      <c r="F25" s="129">
        <f>F19</f>
        <v/>
      </c>
      <c r="G25" s="130">
        <f>SUM('ФАКТ ЧИСТ ПОДЗЕМ'!G5:G100)</f>
        <v/>
      </c>
      <c r="H25" s="131">
        <f>IF(F25=0,0,G25/F25)</f>
        <v/>
      </c>
      <c r="I25" s="131">
        <f>H25*E25</f>
        <v/>
      </c>
    </row>
    <row r="26">
      <c r="A26" s="111" t="n"/>
      <c r="B26" s="116" t="inlineStr">
        <is>
          <t xml:space="preserve">   Стены</t>
        </is>
      </c>
      <c r="C26" s="116" t="inlineStr">
        <is>
          <t>Вид</t>
        </is>
      </c>
      <c r="D26" s="111" t="n"/>
      <c r="E26" s="133">
        <f>СПРАВОЧНИК!$M$4</f>
        <v/>
      </c>
      <c r="F26" s="129">
        <f>F19</f>
        <v/>
      </c>
      <c r="G26" s="130">
        <f>SUM('ФАКТ ЧИСТ ПОДЗЕМ'!H5:H100)</f>
        <v/>
      </c>
      <c r="H26" s="131">
        <f>IF(F26=0,0,G26/F26)</f>
        <v/>
      </c>
      <c r="I26" s="131">
        <f>H26*E26</f>
        <v/>
      </c>
    </row>
    <row r="27">
      <c r="A27" s="111" t="n"/>
      <c r="B27" s="116" t="inlineStr">
        <is>
          <t xml:space="preserve">   Потолок</t>
        </is>
      </c>
      <c r="C27" s="116" t="inlineStr">
        <is>
          <t>Вид</t>
        </is>
      </c>
      <c r="D27" s="111" t="n"/>
      <c r="E27" s="133">
        <f>СПРАВОЧНИК!$N$4</f>
        <v/>
      </c>
      <c r="F27" s="129">
        <f>F19</f>
        <v/>
      </c>
      <c r="G27" s="130">
        <f>SUM('ФАКТ ЧИСТ ПОДЗЕМ'!I5:I100)</f>
        <v/>
      </c>
      <c r="H27" s="131">
        <f>IF(F27=0,0,G27/F27)</f>
        <v/>
      </c>
      <c r="I27" s="131">
        <f>H27*E27</f>
        <v/>
      </c>
    </row>
    <row r="28">
      <c r="B28" s="134" t="inlineStr">
        <is>
          <t xml:space="preserve">   Заполн. проемов</t>
        </is>
      </c>
      <c r="C28" s="116" t="inlineStr">
        <is>
          <t>Вид</t>
        </is>
      </c>
      <c r="D28" s="38" t="n"/>
      <c r="E28" s="116">
        <f>СПРАВОЧНИК!$O$4</f>
        <v/>
      </c>
      <c r="F28" s="116">
        <f>F19</f>
        <v/>
      </c>
      <c r="G28" s="116">
        <f>SUM('ФАКТ ЧИСТ ПОДЗЕМ'!J5:J100)</f>
        <v/>
      </c>
      <c r="H28" s="116">
        <f>IF(F28=0,0,G28/F28)</f>
        <v/>
      </c>
      <c r="I28" s="116">
        <f>H28*E28</f>
        <v/>
      </c>
    </row>
    <row r="29">
      <c r="B29" s="116" t="inlineStr">
        <is>
          <t xml:space="preserve">   Меблировка</t>
        </is>
      </c>
      <c r="C29" s="116" t="inlineStr">
        <is>
          <t>Вид</t>
        </is>
      </c>
      <c r="E29" s="116">
        <f>СПРАВОЧНИК!$P$4</f>
        <v/>
      </c>
      <c r="F29" s="116">
        <f>F19</f>
        <v/>
      </c>
      <c r="G29" s="116">
        <f>SUM('ФАКТ ЧИСТ ПОДЗЕМ'!K5:K100)</f>
        <v/>
      </c>
      <c r="H29" s="116">
        <f>IF(F29=0,0,G29/F29)</f>
        <v/>
      </c>
      <c r="I29" s="116">
        <f>H29*E29</f>
        <v/>
      </c>
    </row>
    <row r="30">
      <c r="A30" s="8" t="n"/>
      <c r="B30" s="128" t="inlineStr">
        <is>
          <t xml:space="preserve">  ✓ Сумма</t>
        </is>
      </c>
      <c r="C30" s="111" t="n"/>
      <c r="D30" s="116">
        <f>D20+D24</f>
        <v/>
      </c>
      <c r="E30" s="111" t="n"/>
      <c r="F30" s="3" t="n"/>
      <c r="G30" s="34" t="n"/>
      <c r="H30" s="6" t="n"/>
      <c r="I30" s="6" t="n"/>
    </row>
    <row r="31">
      <c r="A31" s="111" t="n"/>
      <c r="B31" s="35" t="n"/>
      <c r="C31" s="111" t="n"/>
      <c r="D31" s="36" t="n"/>
      <c r="E31" s="111" t="n"/>
      <c r="F31" s="3" t="n"/>
      <c r="G31" s="34" t="n"/>
      <c r="H31" s="6" t="n"/>
      <c r="I31" s="6" t="n"/>
    </row>
    <row r="32">
      <c r="A32" s="116" t="inlineStr">
        <is>
          <t>8.1.3</t>
        </is>
      </c>
      <c r="B32" s="116">
        <f>СПРАВОЧНИК!C5</f>
        <v/>
      </c>
      <c r="C32" s="116" t="inlineStr">
        <is>
          <t>Главная</t>
        </is>
      </c>
      <c r="D32" s="111" t="n"/>
      <c r="E32" s="36" t="n"/>
      <c r="F32" s="129">
        <f>СПРАВОЧНИК!D5</f>
        <v/>
      </c>
      <c r="G32" s="130">
        <f>G33*D33+G37*D37</f>
        <v/>
      </c>
      <c r="H32" s="131">
        <f>IF(F32=0,0,G32/F32)</f>
        <v/>
      </c>
      <c r="I32" s="131">
        <f>I33+I37</f>
        <v/>
      </c>
    </row>
    <row r="33">
      <c r="A33" s="111" t="n"/>
      <c r="B33" s="116" t="inlineStr">
        <is>
          <t xml:space="preserve">  Черновая</t>
        </is>
      </c>
      <c r="C33" s="116" t="inlineStr">
        <is>
          <t>Категория</t>
        </is>
      </c>
      <c r="D33" s="116">
        <f>СПРАВОЧНИК!E5</f>
        <v/>
      </c>
      <c r="E33" s="36" t="n"/>
      <c r="F33" s="129">
        <f>F32</f>
        <v/>
      </c>
      <c r="G33" s="130">
        <f>G34*E34+G35*E35+G36*E36</f>
        <v/>
      </c>
      <c r="H33" s="131">
        <f>IF(F33=0,0,G33/F33)</f>
        <v/>
      </c>
      <c r="I33" s="131">
        <f>H33*D33</f>
        <v/>
      </c>
    </row>
    <row r="34">
      <c r="A34" s="111" t="n"/>
      <c r="B34" s="116" t="inlineStr">
        <is>
          <t xml:space="preserve">   Пол</t>
        </is>
      </c>
      <c r="C34" s="116" t="inlineStr">
        <is>
          <t>Вид</t>
        </is>
      </c>
      <c r="D34" s="111" t="n"/>
      <c r="E34" s="133">
        <f>СПРАВОЧНИК!$H$5</f>
        <v/>
      </c>
      <c r="F34" s="129">
        <f>F32</f>
        <v/>
      </c>
      <c r="G34" s="130">
        <f>SUM('ФАКТ ЧЕРН ПОДЗЕМ'!H5:H100)</f>
        <v/>
      </c>
      <c r="H34" s="131">
        <f>IF(F34=0,0,G34/F34)</f>
        <v/>
      </c>
      <c r="I34" s="131">
        <f>H34*E34</f>
        <v/>
      </c>
    </row>
    <row r="35">
      <c r="A35" s="111" t="n"/>
      <c r="B35" s="132" t="inlineStr">
        <is>
          <t xml:space="preserve">   Стены</t>
        </is>
      </c>
      <c r="C35" s="116" t="inlineStr">
        <is>
          <t>Вид</t>
        </is>
      </c>
      <c r="D35" s="36" t="n"/>
      <c r="E35" s="116">
        <f>СПРАВОЧНИК!$I$5</f>
        <v/>
      </c>
      <c r="F35" s="129">
        <f>F32</f>
        <v/>
      </c>
      <c r="G35" s="130">
        <f>SUM('ФАКТ ЧЕРН ПОДЗЕМ'!I5:I100)</f>
        <v/>
      </c>
      <c r="H35" s="131">
        <f>IF(F35=0,0,G35/F35)</f>
        <v/>
      </c>
      <c r="I35" s="131">
        <f>H35*E35</f>
        <v/>
      </c>
    </row>
    <row r="36">
      <c r="A36" s="111" t="n"/>
      <c r="B36" s="116" t="inlineStr">
        <is>
          <t xml:space="preserve">   Потолок</t>
        </is>
      </c>
      <c r="C36" s="116" t="inlineStr">
        <is>
          <t>Вид</t>
        </is>
      </c>
      <c r="D36" s="111" t="n"/>
      <c r="E36" s="133">
        <f>СПРАВОЧНИК!$J$5</f>
        <v/>
      </c>
      <c r="F36" s="129">
        <f>F32</f>
        <v/>
      </c>
      <c r="G36" s="130">
        <f>SUM('ФАКТ ЧЕРН ПОДЗЕМ'!J5:J100)</f>
        <v/>
      </c>
      <c r="H36" s="131">
        <f>IF(F36=0,0,G36/F36)</f>
        <v/>
      </c>
      <c r="I36" s="131">
        <f>H36*E36</f>
        <v/>
      </c>
    </row>
    <row r="37">
      <c r="A37" s="111" t="n"/>
      <c r="B37" s="116" t="inlineStr">
        <is>
          <t xml:space="preserve">  Чистовая</t>
        </is>
      </c>
      <c r="C37" s="116" t="inlineStr">
        <is>
          <t>Категория</t>
        </is>
      </c>
      <c r="D37" s="116">
        <f>СПРАВОЧНИК!F5</f>
        <v/>
      </c>
      <c r="E37" s="36" t="n"/>
      <c r="F37" s="129">
        <f>F32</f>
        <v/>
      </c>
      <c r="G37" s="130">
        <f>G38*E38+G39*E39+G40*E40+G41*E41+G42*E42</f>
        <v/>
      </c>
      <c r="H37" s="131">
        <f>IF(F37=0,0,G37/F37)</f>
        <v/>
      </c>
      <c r="I37" s="131">
        <f>H37*D37</f>
        <v/>
      </c>
    </row>
    <row r="38">
      <c r="A38" s="111" t="n"/>
      <c r="B38" s="116" t="inlineStr">
        <is>
          <t xml:space="preserve">   Пол</t>
        </is>
      </c>
      <c r="C38" s="116" t="inlineStr">
        <is>
          <t>Вид</t>
        </is>
      </c>
      <c r="D38" s="111" t="n"/>
      <c r="E38" s="133">
        <f>СПРАВОЧНИК!$L$5</f>
        <v/>
      </c>
      <c r="F38" s="129">
        <f>F32</f>
        <v/>
      </c>
      <c r="G38" s="130">
        <f>SUM('ФАКТ ЧИСТ ПОДЗЕМ'!L5:L100)</f>
        <v/>
      </c>
      <c r="H38" s="131">
        <f>IF(F38=0,0,G38/F38)</f>
        <v/>
      </c>
      <c r="I38" s="131">
        <f>H38*E38</f>
        <v/>
      </c>
    </row>
    <row r="39">
      <c r="B39" s="134" t="inlineStr">
        <is>
          <t xml:space="preserve">   Стены</t>
        </is>
      </c>
      <c r="C39" s="116" t="inlineStr">
        <is>
          <t>Вид</t>
        </is>
      </c>
      <c r="D39" s="38" t="n"/>
      <c r="E39" s="116">
        <f>СПРАВОЧНИК!$M$5</f>
        <v/>
      </c>
      <c r="F39" s="116">
        <f>F32</f>
        <v/>
      </c>
      <c r="G39" s="116">
        <f>SUM('ФАКТ ЧИСТ ПОДЗЕМ'!M5:M100)</f>
        <v/>
      </c>
      <c r="H39" s="116">
        <f>IF(F39=0,0,G39/F39)</f>
        <v/>
      </c>
      <c r="I39" s="116">
        <f>H39*E39</f>
        <v/>
      </c>
    </row>
    <row r="40">
      <c r="B40" s="116" t="inlineStr">
        <is>
          <t xml:space="preserve">   Потолок</t>
        </is>
      </c>
      <c r="C40" s="116" t="inlineStr">
        <is>
          <t>Вид</t>
        </is>
      </c>
      <c r="E40" s="116">
        <f>СПРАВОЧНИК!$N$5</f>
        <v/>
      </c>
      <c r="F40" s="116">
        <f>F32</f>
        <v/>
      </c>
      <c r="G40" s="116">
        <f>SUM('ФАКТ ЧИСТ ПОДЗЕМ'!N5:N100)</f>
        <v/>
      </c>
      <c r="H40" s="116">
        <f>IF(F40=0,0,G40/F40)</f>
        <v/>
      </c>
      <c r="I40" s="116">
        <f>H40*E40</f>
        <v/>
      </c>
    </row>
    <row r="41">
      <c r="A41" s="8" t="n"/>
      <c r="B41" s="128" t="inlineStr">
        <is>
          <t xml:space="preserve">   Заполн. проемов</t>
        </is>
      </c>
      <c r="C41" s="116" t="inlineStr">
        <is>
          <t>Вид</t>
        </is>
      </c>
      <c r="D41" s="111" t="n"/>
      <c r="E41" s="116">
        <f>СПРАВОЧНИК!$O$5</f>
        <v/>
      </c>
      <c r="F41" s="129">
        <f>F32</f>
        <v/>
      </c>
      <c r="G41" s="130">
        <f>SUM('ФАКТ ЧИСТ ПОДЗЕМ'!O5:O100)</f>
        <v/>
      </c>
      <c r="H41" s="131">
        <f>IF(F41=0,0,G41/F41)</f>
        <v/>
      </c>
      <c r="I41" s="131">
        <f>H41*E41</f>
        <v/>
      </c>
    </row>
    <row r="42">
      <c r="A42" s="111" t="n"/>
      <c r="B42" s="132" t="inlineStr">
        <is>
          <t xml:space="preserve">   Меблировка</t>
        </is>
      </c>
      <c r="C42" s="116" t="inlineStr">
        <is>
          <t>Вид</t>
        </is>
      </c>
      <c r="D42" s="36" t="n"/>
      <c r="E42" s="116">
        <f>СПРАВОЧНИК!$P$5</f>
        <v/>
      </c>
      <c r="F42" s="129">
        <f>F32</f>
        <v/>
      </c>
      <c r="G42" s="130">
        <f>SUM('ФАКТ ЧИСТ ПОДЗЕМ'!P5:P100)</f>
        <v/>
      </c>
      <c r="H42" s="131">
        <f>IF(F42=0,0,G42/F42)</f>
        <v/>
      </c>
      <c r="I42" s="131">
        <f>H42*E42</f>
        <v/>
      </c>
    </row>
    <row r="43">
      <c r="A43" s="111" t="n"/>
      <c r="B43" s="116" t="inlineStr">
        <is>
          <t xml:space="preserve">  ✓ Сумма</t>
        </is>
      </c>
      <c r="C43" s="111" t="n"/>
      <c r="D43" s="116">
        <f>D33+D37</f>
        <v/>
      </c>
      <c r="E43" s="36" t="n"/>
      <c r="F43" s="3" t="n"/>
      <c r="G43" s="34" t="n"/>
      <c r="H43" s="6" t="n"/>
      <c r="I43" s="6" t="n"/>
    </row>
    <row r="44">
      <c r="A44" s="111" t="n"/>
      <c r="B44" s="37" t="n"/>
      <c r="C44" s="111" t="n"/>
      <c r="D44" s="111" t="n"/>
      <c r="E44" s="36" t="n"/>
      <c r="F44" s="3" t="n"/>
      <c r="G44" s="34" t="n"/>
      <c r="H44" s="6" t="n"/>
      <c r="I44" s="6" t="n"/>
    </row>
    <row r="45">
      <c r="A45" s="116" t="inlineStr">
        <is>
          <t>8.1.4</t>
        </is>
      </c>
      <c r="B45" s="116">
        <f>СПРАВОЧНИК!C6</f>
        <v/>
      </c>
      <c r="C45" s="116" t="inlineStr">
        <is>
          <t>Главная</t>
        </is>
      </c>
      <c r="D45" s="111" t="n"/>
      <c r="E45" s="36" t="n"/>
      <c r="F45" s="129">
        <f>СПРАВОЧНИК!D6</f>
        <v/>
      </c>
      <c r="G45" s="130">
        <f>G46*D46+G50*D50</f>
        <v/>
      </c>
      <c r="H45" s="131">
        <f>IF(F45=0,0,G45/F45)</f>
        <v/>
      </c>
      <c r="I45" s="131">
        <f>I46+I50</f>
        <v/>
      </c>
    </row>
    <row r="46">
      <c r="A46" s="111" t="n"/>
      <c r="B46" s="132" t="inlineStr">
        <is>
          <t xml:space="preserve">  Черновая</t>
        </is>
      </c>
      <c r="C46" s="116" t="inlineStr">
        <is>
          <t>Категория</t>
        </is>
      </c>
      <c r="D46" s="133">
        <f>СПРАВОЧНИК!E6</f>
        <v/>
      </c>
      <c r="E46" s="111" t="n"/>
      <c r="F46" s="129">
        <f>F45</f>
        <v/>
      </c>
      <c r="G46" s="130">
        <f>G47*E47+G48*E48+G49*E49</f>
        <v/>
      </c>
      <c r="H46" s="131">
        <f>IF(F46=0,0,G46/F46)</f>
        <v/>
      </c>
      <c r="I46" s="131">
        <f>H46*D46</f>
        <v/>
      </c>
    </row>
    <row r="47">
      <c r="A47" s="111" t="n"/>
      <c r="B47" s="116" t="inlineStr">
        <is>
          <t xml:space="preserve">   Пол</t>
        </is>
      </c>
      <c r="C47" s="116" t="inlineStr">
        <is>
          <t>Вид</t>
        </is>
      </c>
      <c r="D47" s="111" t="n"/>
      <c r="E47" s="133">
        <f>СПРАВОЧНИК!$H$6</f>
        <v/>
      </c>
      <c r="F47" s="129">
        <f>F45</f>
        <v/>
      </c>
      <c r="G47" s="130">
        <f>SUM('ФАКТ ЧЕРН ПОДЗЕМ'!K5:K100)</f>
        <v/>
      </c>
      <c r="H47" s="131">
        <f>IF(F47=0,0,G47/F47)</f>
        <v/>
      </c>
      <c r="I47" s="131">
        <f>H47*E47</f>
        <v/>
      </c>
    </row>
    <row r="48">
      <c r="A48" s="111" t="n"/>
      <c r="B48" s="116" t="inlineStr">
        <is>
          <t xml:space="preserve">   Стены</t>
        </is>
      </c>
      <c r="C48" s="116" t="inlineStr">
        <is>
          <t>Вид</t>
        </is>
      </c>
      <c r="D48" s="111" t="n"/>
      <c r="E48" s="133">
        <f>СПРАВОЧНИК!$I$6</f>
        <v/>
      </c>
      <c r="F48" s="129">
        <f>F45</f>
        <v/>
      </c>
      <c r="G48" s="130">
        <f>SUM('ФАКТ ЧЕРН ПОДЗЕМ'!L5:L100)</f>
        <v/>
      </c>
      <c r="H48" s="131">
        <f>IF(F48=0,0,G48/F48)</f>
        <v/>
      </c>
      <c r="I48" s="131">
        <f>H48*E48</f>
        <v/>
      </c>
    </row>
    <row r="49">
      <c r="A49" s="111" t="n"/>
      <c r="B49" s="116" t="inlineStr">
        <is>
          <t xml:space="preserve">   Потолок</t>
        </is>
      </c>
      <c r="C49" s="116" t="inlineStr">
        <is>
          <t>Вид</t>
        </is>
      </c>
      <c r="D49" s="111" t="n"/>
      <c r="E49" s="133">
        <f>СПРАВОЧНИК!$J$6</f>
        <v/>
      </c>
      <c r="F49" s="129">
        <f>F45</f>
        <v/>
      </c>
      <c r="G49" s="130">
        <f>SUM('ФАКТ ЧЕРН ПОДЗЕМ'!M5:M100)</f>
        <v/>
      </c>
      <c r="H49" s="131">
        <f>IF(F49=0,0,G49/F49)</f>
        <v/>
      </c>
      <c r="I49" s="131">
        <f>H49*E49</f>
        <v/>
      </c>
    </row>
    <row r="50">
      <c r="A50" s="111" t="n"/>
      <c r="B50" s="116" t="inlineStr">
        <is>
          <t xml:space="preserve">  Чистовая</t>
        </is>
      </c>
      <c r="C50" s="116" t="inlineStr">
        <is>
          <t>Категория</t>
        </is>
      </c>
      <c r="D50" s="116">
        <f>СПРАВОЧНИК!F6</f>
        <v/>
      </c>
      <c r="E50" s="36" t="n"/>
      <c r="F50" s="129">
        <f>F45</f>
        <v/>
      </c>
      <c r="G50" s="130">
        <f>G51*E51+G52*E52+G53*E53+G54*E54+G55*E55</f>
        <v/>
      </c>
      <c r="H50" s="131">
        <f>IF(F50=0,0,G50/F50)</f>
        <v/>
      </c>
      <c r="I50" s="131">
        <f>H50*D50</f>
        <v/>
      </c>
    </row>
    <row r="51">
      <c r="B51" s="134" t="inlineStr">
        <is>
          <t xml:space="preserve">   Пол</t>
        </is>
      </c>
      <c r="C51" s="116" t="inlineStr">
        <is>
          <t>Вид</t>
        </is>
      </c>
      <c r="D51" s="38" t="n"/>
      <c r="E51" s="116">
        <f>СПРАВОЧНИК!$L$6</f>
        <v/>
      </c>
      <c r="F51" s="116">
        <f>F45</f>
        <v/>
      </c>
      <c r="G51" s="116">
        <f>SUM('ФАКТ ЧИСТ ПОДЗЕМ'!Q5:Q100)</f>
        <v/>
      </c>
      <c r="H51" s="116">
        <f>IF(F51=0,0,G51/F51)</f>
        <v/>
      </c>
      <c r="I51" s="116">
        <f>H51*E51</f>
        <v/>
      </c>
    </row>
    <row r="52">
      <c r="B52" s="116" t="inlineStr">
        <is>
          <t xml:space="preserve">   Стены</t>
        </is>
      </c>
      <c r="C52" s="116" t="inlineStr">
        <is>
          <t>Вид</t>
        </is>
      </c>
      <c r="E52" s="116">
        <f>СПРАВОЧНИК!$M$6</f>
        <v/>
      </c>
      <c r="F52" s="116">
        <f>F45</f>
        <v/>
      </c>
      <c r="G52" s="116">
        <f>SUM('ФАКТ ЧИСТ ПОДЗЕМ'!R5:R100)</f>
        <v/>
      </c>
      <c r="H52" s="116">
        <f>IF(F52=0,0,G52/F52)</f>
        <v/>
      </c>
      <c r="I52" s="116">
        <f>H52*E52</f>
        <v/>
      </c>
    </row>
    <row r="53">
      <c r="A53" s="8" t="n"/>
      <c r="B53" s="128" t="inlineStr">
        <is>
          <t xml:space="preserve">   Потолок</t>
        </is>
      </c>
      <c r="C53" s="116" t="inlineStr">
        <is>
          <t>Вид</t>
        </is>
      </c>
      <c r="D53" s="111" t="n"/>
      <c r="E53" s="116">
        <f>СПРАВОЧНИК!$N$6</f>
        <v/>
      </c>
      <c r="F53" s="129">
        <f>F45</f>
        <v/>
      </c>
      <c r="G53" s="130">
        <f>SUM('ФАКТ ЧИСТ ПОДЗЕМ'!S5:S100)</f>
        <v/>
      </c>
      <c r="H53" s="131">
        <f>IF(F53=0,0,G53/F53)</f>
        <v/>
      </c>
      <c r="I53" s="131">
        <f>H53*E53</f>
        <v/>
      </c>
    </row>
    <row r="54">
      <c r="A54" s="111" t="n"/>
      <c r="B54" s="132" t="inlineStr">
        <is>
          <t xml:space="preserve">   Заполн. проемов</t>
        </is>
      </c>
      <c r="C54" s="116" t="inlineStr">
        <is>
          <t>Вид</t>
        </is>
      </c>
      <c r="D54" s="36" t="n"/>
      <c r="E54" s="116">
        <f>СПРАВОЧНИК!$O$6</f>
        <v/>
      </c>
      <c r="F54" s="129">
        <f>F45</f>
        <v/>
      </c>
      <c r="G54" s="130">
        <f>SUM('ФАКТ ЧИСТ ПОДЗЕМ'!T5:T100)</f>
        <v/>
      </c>
      <c r="H54" s="131">
        <f>IF(F54=0,0,G54/F54)</f>
        <v/>
      </c>
      <c r="I54" s="131">
        <f>H54*E54</f>
        <v/>
      </c>
    </row>
    <row r="55">
      <c r="A55" s="111" t="n"/>
      <c r="B55" s="116" t="inlineStr">
        <is>
          <t xml:space="preserve">   Меблировка</t>
        </is>
      </c>
      <c r="C55" s="116" t="inlineStr">
        <is>
          <t>Вид</t>
        </is>
      </c>
      <c r="D55" s="111" t="n"/>
      <c r="E55" s="133">
        <f>СПРАВОЧНИК!$P$6</f>
        <v/>
      </c>
      <c r="F55" s="129">
        <f>F45</f>
        <v/>
      </c>
      <c r="G55" s="130">
        <f>SUM('ФАКТ ЧИСТ ПОДЗЕМ'!U5:U100)</f>
        <v/>
      </c>
      <c r="H55" s="131">
        <f>IF(F55=0,0,G55/F55)</f>
        <v/>
      </c>
      <c r="I55" s="131">
        <f>H55*E55</f>
        <v/>
      </c>
    </row>
    <row r="56">
      <c r="A56" s="111" t="n"/>
      <c r="B56" s="116" t="inlineStr">
        <is>
          <t xml:space="preserve">  ✓ Сумма</t>
        </is>
      </c>
      <c r="C56" s="111" t="n"/>
      <c r="D56" s="116">
        <f>D46+D50</f>
        <v/>
      </c>
      <c r="E56" s="36" t="n"/>
      <c r="F56" s="3" t="n"/>
      <c r="G56" s="34" t="n"/>
      <c r="H56" s="6" t="n"/>
      <c r="I56" s="6" t="n"/>
    </row>
    <row r="57">
      <c r="A57" s="111" t="n"/>
      <c r="B57" s="37" t="n"/>
      <c r="C57" s="111" t="n"/>
      <c r="D57" s="111" t="n"/>
      <c r="E57" s="36" t="n"/>
      <c r="F57" s="3" t="n"/>
      <c r="G57" s="34" t="n"/>
      <c r="H57" s="6" t="n"/>
      <c r="I57" s="6" t="n"/>
    </row>
    <row r="58">
      <c r="A58" s="116" t="inlineStr">
        <is>
          <t>8.1.5</t>
        </is>
      </c>
      <c r="B58" s="132">
        <f>СПРАВОЧНИК!C7</f>
        <v/>
      </c>
      <c r="C58" s="116" t="inlineStr">
        <is>
          <t>Главная</t>
        </is>
      </c>
      <c r="D58" s="36" t="n"/>
      <c r="E58" s="111" t="n"/>
      <c r="F58" s="129">
        <f>СПРАВОЧНИК!D7</f>
        <v/>
      </c>
      <c r="G58" s="130">
        <f>G59*D59+G63*D63</f>
        <v/>
      </c>
      <c r="H58" s="131">
        <f>IF(F58=0,0,G58/F58)</f>
        <v/>
      </c>
      <c r="I58" s="131">
        <f>I59+I63</f>
        <v/>
      </c>
    </row>
    <row r="59">
      <c r="A59" s="111" t="n"/>
      <c r="B59" s="116" t="inlineStr">
        <is>
          <t xml:space="preserve">  Черновая</t>
        </is>
      </c>
      <c r="C59" s="116" t="inlineStr">
        <is>
          <t>Категория</t>
        </is>
      </c>
      <c r="D59" s="116">
        <f>СПРАВОЧНИК!E7</f>
        <v/>
      </c>
      <c r="E59" s="36" t="n"/>
      <c r="F59" s="129">
        <f>F58</f>
        <v/>
      </c>
      <c r="G59" s="130">
        <f>G60*E60+G61*E61+G62*E62</f>
        <v/>
      </c>
      <c r="H59" s="131">
        <f>IF(F59=0,0,G59/F59)</f>
        <v/>
      </c>
      <c r="I59" s="131">
        <f>H59*D59</f>
        <v/>
      </c>
    </row>
    <row r="60">
      <c r="A60" s="111" t="n"/>
      <c r="B60" s="116" t="inlineStr">
        <is>
          <t xml:space="preserve">   Пол</t>
        </is>
      </c>
      <c r="C60" s="116" t="inlineStr">
        <is>
          <t>Вид</t>
        </is>
      </c>
      <c r="D60" s="111" t="n"/>
      <c r="E60" s="133">
        <f>СПРАВОЧНИК!$H$7</f>
        <v/>
      </c>
      <c r="F60" s="129">
        <f>F58</f>
        <v/>
      </c>
      <c r="G60" s="130">
        <f>SUM('ФАКТ ЧЕРН ПОДЗЕМ'!N5:N100)</f>
        <v/>
      </c>
      <c r="H60" s="131">
        <f>IF(F60=0,0,G60/F60)</f>
        <v/>
      </c>
      <c r="I60" s="131">
        <f>H60*E60</f>
        <v/>
      </c>
    </row>
    <row r="61">
      <c r="A61" s="111" t="n"/>
      <c r="B61" s="116" t="inlineStr">
        <is>
          <t xml:space="preserve">   Стены</t>
        </is>
      </c>
      <c r="C61" s="116" t="inlineStr">
        <is>
          <t>Вид</t>
        </is>
      </c>
      <c r="D61" s="111" t="n"/>
      <c r="E61" s="133">
        <f>СПРАВОЧНИК!$I$7</f>
        <v/>
      </c>
      <c r="F61" s="129">
        <f>F58</f>
        <v/>
      </c>
      <c r="G61" s="130">
        <f>SUM('ФАКТ ЧЕРН ПОДЗЕМ'!O5:O100)</f>
        <v/>
      </c>
      <c r="H61" s="131">
        <f>IF(F61=0,0,G61/F61)</f>
        <v/>
      </c>
      <c r="I61" s="131">
        <f>H61*E61</f>
        <v/>
      </c>
    </row>
    <row r="62">
      <c r="A62" s="111" t="n"/>
      <c r="B62" s="116" t="inlineStr">
        <is>
          <t xml:space="preserve">   Потолок</t>
        </is>
      </c>
      <c r="C62" s="116" t="inlineStr">
        <is>
          <t>Вид</t>
        </is>
      </c>
      <c r="D62" s="111" t="n"/>
      <c r="E62" s="133">
        <f>СПРАВОЧНИК!$J$7</f>
        <v/>
      </c>
      <c r="F62" s="129">
        <f>F58</f>
        <v/>
      </c>
      <c r="G62" s="130">
        <f>SUM('ФАКТ ЧЕРН ПОДЗЕМ'!P5:P100)</f>
        <v/>
      </c>
      <c r="H62" s="131">
        <f>IF(F62=0,0,G62/F62)</f>
        <v/>
      </c>
      <c r="I62" s="131">
        <f>H62*E62</f>
        <v/>
      </c>
    </row>
    <row r="63">
      <c r="B63" s="134" t="inlineStr">
        <is>
          <t xml:space="preserve">  Чистовая</t>
        </is>
      </c>
      <c r="C63" s="116" t="inlineStr">
        <is>
          <t>Категория</t>
        </is>
      </c>
      <c r="D63" s="135">
        <f>СПРАВОЧНИК!F7</f>
        <v/>
      </c>
      <c r="F63" s="116">
        <f>F58</f>
        <v/>
      </c>
      <c r="G63" s="116">
        <f>G64*E64+G65*E65+G66*E66+G67*E67+G68*E68</f>
        <v/>
      </c>
      <c r="H63" s="116">
        <f>IF(F63=0,0,G63/F63)</f>
        <v/>
      </c>
      <c r="I63" s="116">
        <f>H63*D63</f>
        <v/>
      </c>
    </row>
    <row r="64">
      <c r="B64" s="116" t="inlineStr">
        <is>
          <t xml:space="preserve">   Пол</t>
        </is>
      </c>
      <c r="C64" s="116" t="inlineStr">
        <is>
          <t>Вид</t>
        </is>
      </c>
      <c r="E64" s="116">
        <f>СПРАВОЧНИК!$L$7</f>
        <v/>
      </c>
      <c r="F64" s="116">
        <f>F58</f>
        <v/>
      </c>
      <c r="G64" s="116">
        <f>SUM('ФАКТ ЧИСТ ПОДЗЕМ'!V5:V100)</f>
        <v/>
      </c>
      <c r="H64" s="116">
        <f>IF(F64=0,0,G64/F64)</f>
        <v/>
      </c>
      <c r="I64" s="116">
        <f>H64*E64</f>
        <v/>
      </c>
    </row>
    <row r="65">
      <c r="A65" s="8" t="n"/>
      <c r="B65" s="128" t="inlineStr">
        <is>
          <t xml:space="preserve">   Стены</t>
        </is>
      </c>
      <c r="C65" s="116" t="inlineStr">
        <is>
          <t>Вид</t>
        </is>
      </c>
      <c r="D65" s="111" t="n"/>
      <c r="E65" s="116">
        <f>СПРАВОЧНИК!$M$7</f>
        <v/>
      </c>
      <c r="F65" s="129">
        <f>F58</f>
        <v/>
      </c>
      <c r="G65" s="130">
        <f>SUM('ФАКТ ЧИСТ ПОДЗЕМ'!W5:W100)</f>
        <v/>
      </c>
      <c r="H65" s="131">
        <f>IF(F65=0,0,G65/F65)</f>
        <v/>
      </c>
      <c r="I65" s="131">
        <f>H65*E65</f>
        <v/>
      </c>
    </row>
    <row r="66">
      <c r="A66" s="111" t="n"/>
      <c r="B66" s="132" t="inlineStr">
        <is>
          <t xml:space="preserve">   Потолок</t>
        </is>
      </c>
      <c r="C66" s="116" t="inlineStr">
        <is>
          <t>Вид</t>
        </is>
      </c>
      <c r="D66" s="36" t="n"/>
      <c r="E66" s="116">
        <f>СПРАВОЧНИК!$N$7</f>
        <v/>
      </c>
      <c r="F66" s="129">
        <f>F58</f>
        <v/>
      </c>
      <c r="G66" s="130">
        <f>SUM('ФАКТ ЧИСТ ПОДЗЕМ'!X5:X100)</f>
        <v/>
      </c>
      <c r="H66" s="131">
        <f>IF(F66=0,0,G66/F66)</f>
        <v/>
      </c>
      <c r="I66" s="131">
        <f>H66*E66</f>
        <v/>
      </c>
    </row>
    <row r="67">
      <c r="A67" s="111" t="n"/>
      <c r="B67" s="116" t="inlineStr">
        <is>
          <t xml:space="preserve">   Заполн. проемов</t>
        </is>
      </c>
      <c r="C67" s="116" t="inlineStr">
        <is>
          <t>Вид</t>
        </is>
      </c>
      <c r="D67" s="111" t="n"/>
      <c r="E67" s="133">
        <f>СПРАВОЧНИК!$O$7</f>
        <v/>
      </c>
      <c r="F67" s="129">
        <f>F58</f>
        <v/>
      </c>
      <c r="G67" s="130">
        <f>SUM('ФАКТ ЧИСТ ПОДЗЕМ'!Y5:Y100)</f>
        <v/>
      </c>
      <c r="H67" s="131">
        <f>IF(F67=0,0,G67/F67)</f>
        <v/>
      </c>
      <c r="I67" s="131">
        <f>H67*E67</f>
        <v/>
      </c>
    </row>
    <row r="68">
      <c r="A68" s="111" t="n"/>
      <c r="B68" s="116" t="inlineStr">
        <is>
          <t xml:space="preserve">   Меблировка</t>
        </is>
      </c>
      <c r="C68" s="116" t="inlineStr">
        <is>
          <t>Вид</t>
        </is>
      </c>
      <c r="D68" s="111" t="n"/>
      <c r="E68" s="133">
        <f>СПРАВОЧНИК!$P$7</f>
        <v/>
      </c>
      <c r="F68" s="129">
        <f>F58</f>
        <v/>
      </c>
      <c r="G68" s="130">
        <f>SUM('ФАКТ ЧИСТ ПОДЗЕМ'!Z5:Z100)</f>
        <v/>
      </c>
      <c r="H68" s="131">
        <f>IF(F68=0,0,G68/F68)</f>
        <v/>
      </c>
      <c r="I68" s="131">
        <f>H68*E68</f>
        <v/>
      </c>
    </row>
    <row r="69">
      <c r="A69" s="111" t="n"/>
      <c r="B69" s="116" t="inlineStr">
        <is>
          <t xml:space="preserve">  ✓ Сумма</t>
        </is>
      </c>
      <c r="C69" s="111" t="n"/>
      <c r="D69" s="116">
        <f>D59+D63</f>
        <v/>
      </c>
      <c r="E69" s="36" t="n"/>
      <c r="F69" s="3" t="n"/>
      <c r="G69" s="34" t="n"/>
      <c r="H69" s="6" t="n"/>
      <c r="I69" s="6" t="n"/>
    </row>
    <row r="70">
      <c r="A70" s="111" t="n"/>
      <c r="B70" s="35" t="n"/>
      <c r="C70" s="111" t="n"/>
      <c r="D70" s="36" t="n"/>
      <c r="E70" s="111" t="n"/>
      <c r="F70" s="3" t="n"/>
      <c r="G70" s="34" t="n"/>
      <c r="H70" s="6" t="n"/>
      <c r="I70" s="6" t="n"/>
    </row>
    <row r="71">
      <c r="A71" s="116" t="inlineStr">
        <is>
          <t>8.1.6</t>
        </is>
      </c>
      <c r="B71" s="116">
        <f>СПРАВОЧНИК!C8</f>
        <v/>
      </c>
      <c r="C71" s="116" t="inlineStr">
        <is>
          <t>Главная</t>
        </is>
      </c>
      <c r="D71" s="111" t="n"/>
      <c r="E71" s="36" t="n"/>
      <c r="F71" s="129">
        <f>СПРАВОЧНИК!D8</f>
        <v/>
      </c>
      <c r="G71" s="130">
        <f>G72*D72+G76*D76</f>
        <v/>
      </c>
      <c r="H71" s="131">
        <f>IF(F71=0,0,G71/F71)</f>
        <v/>
      </c>
      <c r="I71" s="131">
        <f>I72+I76</f>
        <v/>
      </c>
    </row>
    <row r="72">
      <c r="A72" s="111" t="n"/>
      <c r="B72" s="116" t="inlineStr">
        <is>
          <t xml:space="preserve">  Черновая</t>
        </is>
      </c>
      <c r="C72" s="116" t="inlineStr">
        <is>
          <t>Категория</t>
        </is>
      </c>
      <c r="D72" s="116">
        <f>СПРАВОЧНИК!E8</f>
        <v/>
      </c>
      <c r="F72" s="116">
        <f>F71</f>
        <v/>
      </c>
      <c r="G72" s="116">
        <f>G73*E73+G74*E74+G75*E75</f>
        <v/>
      </c>
      <c r="H72" s="116">
        <f>IF(F72=0,0,G72/F72)</f>
        <v/>
      </c>
      <c r="I72" s="116">
        <f>H72*D72</f>
        <v/>
      </c>
    </row>
    <row r="73">
      <c r="A73" s="111" t="n"/>
      <c r="B73" s="116" t="inlineStr">
        <is>
          <t xml:space="preserve">   Пол</t>
        </is>
      </c>
      <c r="C73" s="116" t="inlineStr">
        <is>
          <t>Вид</t>
        </is>
      </c>
      <c r="D73" s="111" t="n"/>
      <c r="E73" s="133">
        <f>СПРАВОЧНИК!$H$8</f>
        <v/>
      </c>
      <c r="F73" s="129">
        <f>F71</f>
        <v/>
      </c>
      <c r="G73" s="130">
        <f>SUM('ФАКТ ЧЕРН ПОДЗЕМ'!Q5:Q100)</f>
        <v/>
      </c>
      <c r="H73" s="131">
        <f>IF(F73=0,0,G73/F73)</f>
        <v/>
      </c>
      <c r="I73" s="131">
        <f>H73*E73</f>
        <v/>
      </c>
    </row>
    <row r="74">
      <c r="B74" s="134" t="inlineStr">
        <is>
          <t xml:space="preserve">   Стены</t>
        </is>
      </c>
      <c r="C74" s="116" t="inlineStr">
        <is>
          <t>Вид</t>
        </is>
      </c>
      <c r="D74" s="38" t="n"/>
      <c r="E74" s="116">
        <f>СПРАВОЧНИК!$I$8</f>
        <v/>
      </c>
      <c r="F74" s="116">
        <f>F71</f>
        <v/>
      </c>
      <c r="G74" s="116">
        <f>SUM('ФАКТ ЧЕРН ПОДЗЕМ'!R5:R100)</f>
        <v/>
      </c>
      <c r="H74" s="116">
        <f>IF(F74=0,0,G74/F74)</f>
        <v/>
      </c>
      <c r="I74" s="116">
        <f>H74*E74</f>
        <v/>
      </c>
    </row>
    <row r="75">
      <c r="B75" s="116" t="inlineStr">
        <is>
          <t xml:space="preserve">   Потолок</t>
        </is>
      </c>
      <c r="C75" s="116" t="inlineStr">
        <is>
          <t>Вид</t>
        </is>
      </c>
      <c r="E75" s="116">
        <f>СПРАВОЧНИК!$J$8</f>
        <v/>
      </c>
      <c r="F75" s="116">
        <f>F71</f>
        <v/>
      </c>
      <c r="G75" s="116">
        <f>SUM('ФАКТ ЧЕРН ПОДЗЕМ'!S5:S100)</f>
        <v/>
      </c>
      <c r="H75" s="116">
        <f>IF(F75=0,0,G75/F75)</f>
        <v/>
      </c>
      <c r="I75" s="116">
        <f>H75*E75</f>
        <v/>
      </c>
    </row>
    <row r="76" ht="63" customHeight="1" s="102">
      <c r="A76" s="103" t="n"/>
      <c r="B76" s="116" t="inlineStr">
        <is>
          <t xml:space="preserve">  Чистовая</t>
        </is>
      </c>
      <c r="C76" s="116" t="inlineStr">
        <is>
          <t>Категория</t>
        </is>
      </c>
      <c r="D76" s="116">
        <f>СПРАВОЧНИК!F8</f>
        <v/>
      </c>
      <c r="F76" s="116">
        <f>F71</f>
        <v/>
      </c>
      <c r="G76" s="116">
        <f>G77*E77+G78*E78+G79*E79+G80*E80+G81*E81</f>
        <v/>
      </c>
      <c r="H76" s="116">
        <f>IF(F76=0,0,G76/F76)</f>
        <v/>
      </c>
      <c r="I76" s="116">
        <f>H76*D76</f>
        <v/>
      </c>
    </row>
    <row r="77">
      <c r="A77" s="108" t="n"/>
      <c r="B77" s="136" t="inlineStr">
        <is>
          <t xml:space="preserve">   Пол</t>
        </is>
      </c>
      <c r="C77" s="136" t="inlineStr">
        <is>
          <t>Вид</t>
        </is>
      </c>
      <c r="D77" s="108" t="n"/>
      <c r="E77" s="136">
        <f>СПРАВОЧНИК!$L$8</f>
        <v/>
      </c>
      <c r="F77" s="136">
        <f>F71</f>
        <v/>
      </c>
      <c r="G77" s="136">
        <f>SUM('ФАКТ ЧИСТ ПОДЗЕМ'!AA5:AA100)</f>
        <v/>
      </c>
      <c r="H77" s="136">
        <f>IF(F77=0,0,G77/F77)</f>
        <v/>
      </c>
      <c r="I77" s="136">
        <f>H77*E77</f>
        <v/>
      </c>
    </row>
    <row r="78">
      <c r="A78" s="8" t="n"/>
      <c r="B78" s="128" t="inlineStr">
        <is>
          <t xml:space="preserve">   Стены</t>
        </is>
      </c>
      <c r="C78" s="116" t="inlineStr">
        <is>
          <t>Вид</t>
        </is>
      </c>
      <c r="D78" s="111" t="n"/>
      <c r="E78" s="116">
        <f>СПРАВОЧНИК!$M$8</f>
        <v/>
      </c>
      <c r="F78" s="129">
        <f>F71</f>
        <v/>
      </c>
      <c r="G78" s="130">
        <f>SUM('ФАКТ ЧИСТ ПОДЗЕМ'!AB5:AB100)</f>
        <v/>
      </c>
      <c r="H78" s="131">
        <f>IF(F78=0,0,G78/F78)</f>
        <v/>
      </c>
      <c r="I78" s="131">
        <f>H78*E78</f>
        <v/>
      </c>
    </row>
    <row r="79">
      <c r="A79" s="111" t="n"/>
      <c r="B79" s="132" t="inlineStr">
        <is>
          <t xml:space="preserve">   Потолок</t>
        </is>
      </c>
      <c r="C79" s="116" t="inlineStr">
        <is>
          <t>Вид</t>
        </is>
      </c>
      <c r="D79" s="36" t="n"/>
      <c r="E79" s="116">
        <f>СПРАВОЧНИК!$N$8</f>
        <v/>
      </c>
      <c r="F79" s="129">
        <f>F71</f>
        <v/>
      </c>
      <c r="G79" s="130">
        <f>SUM('ФАКТ ЧИСТ ПОДЗЕМ'!AC5:AC100)</f>
        <v/>
      </c>
      <c r="H79" s="131">
        <f>IF(F79=0,0,G79/F79)</f>
        <v/>
      </c>
      <c r="I79" s="131">
        <f>H79*E79</f>
        <v/>
      </c>
    </row>
    <row r="80">
      <c r="A80" s="111" t="n"/>
      <c r="B80" s="116" t="inlineStr">
        <is>
          <t xml:space="preserve">   Заполн. проемов</t>
        </is>
      </c>
      <c r="C80" s="116" t="inlineStr">
        <is>
          <t>Вид</t>
        </is>
      </c>
      <c r="D80" s="111" t="n"/>
      <c r="E80" s="133">
        <f>СПРАВОЧНИК!$O$8</f>
        <v/>
      </c>
      <c r="F80" s="129">
        <f>F71</f>
        <v/>
      </c>
      <c r="G80" s="130">
        <f>SUM('ФАКТ ЧИСТ ПОДЗЕМ'!AD5:AD100)</f>
        <v/>
      </c>
      <c r="H80" s="131">
        <f>IF(F80=0,0,G80/F80)</f>
        <v/>
      </c>
      <c r="I80" s="131">
        <f>H80*E80</f>
        <v/>
      </c>
    </row>
    <row r="81">
      <c r="A81" s="111" t="n"/>
      <c r="B81" s="116" t="inlineStr">
        <is>
          <t xml:space="preserve">   Меблировка</t>
        </is>
      </c>
      <c r="C81" s="116" t="inlineStr">
        <is>
          <t>Вид</t>
        </is>
      </c>
      <c r="D81" s="111" t="n"/>
      <c r="E81" s="133">
        <f>СПРАВОЧНИК!$P$8</f>
        <v/>
      </c>
      <c r="F81" s="129">
        <f>F71</f>
        <v/>
      </c>
      <c r="G81" s="130">
        <f>SUM('ФАКТ ЧИСТ ПОДЗЕМ'!AE5:AE100)</f>
        <v/>
      </c>
      <c r="H81" s="131">
        <f>IF(F81=0,0,G81/F81)</f>
        <v/>
      </c>
      <c r="I81" s="131">
        <f>H81*E81</f>
        <v/>
      </c>
    </row>
    <row r="82">
      <c r="A82" s="111" t="n"/>
      <c r="B82" s="116" t="inlineStr">
        <is>
          <t xml:space="preserve">  ✓ Сумма</t>
        </is>
      </c>
      <c r="C82" s="111" t="n"/>
      <c r="D82" s="116">
        <f>D72+D76</f>
        <v/>
      </c>
      <c r="E82" s="36" t="n"/>
      <c r="F82" s="3" t="n"/>
      <c r="G82" s="34" t="n"/>
      <c r="H82" s="6" t="n"/>
      <c r="I82" s="6" t="n"/>
    </row>
    <row r="83">
      <c r="A83" s="111" t="n"/>
      <c r="B83" s="35" t="n"/>
      <c r="C83" s="111" t="n"/>
      <c r="D83" s="36" t="n"/>
      <c r="E83" s="111" t="n"/>
      <c r="F83" s="3" t="n"/>
      <c r="G83" s="34" t="n"/>
      <c r="H83" s="6" t="n"/>
      <c r="I83" s="6" t="n"/>
    </row>
    <row r="84">
      <c r="A84" s="137" t="inlineStr">
        <is>
          <t>НАДЗЕМНАЯ ЧАСТЬ — К1</t>
        </is>
      </c>
      <c r="B84" s="105" t="n"/>
      <c r="C84" s="105" t="n"/>
      <c r="D84" s="105" t="n"/>
      <c r="E84" s="105" t="n"/>
      <c r="F84" s="105" t="n"/>
      <c r="G84" s="105" t="n"/>
      <c r="H84" s="105" t="n"/>
      <c r="I84" s="106" t="n"/>
    </row>
    <row r="85">
      <c r="A85" s="115" t="inlineStr">
        <is>
          <t>Код</t>
        </is>
      </c>
      <c r="B85" s="115" t="inlineStr">
        <is>
          <t>Название</t>
        </is>
      </c>
      <c r="C85" s="115" t="inlineStr">
        <is>
          <t>Тип</t>
        </is>
      </c>
      <c r="D85" s="115" t="inlineStr">
        <is>
          <t>Вес ур.4</t>
        </is>
      </c>
      <c r="E85" s="138" t="inlineStr">
        <is>
          <t>Вес ур.5</t>
        </is>
      </c>
      <c r="F85" s="139" t="inlineStr">
        <is>
          <t>План м²</t>
        </is>
      </c>
      <c r="G85" s="140" t="inlineStr">
        <is>
          <t>Факт м²</t>
        </is>
      </c>
      <c r="H85" s="141" t="inlineStr">
        <is>
          <t>Факт %</t>
        </is>
      </c>
      <c r="I85" s="141" t="inlineStr">
        <is>
          <t>Взвеш. %</t>
        </is>
      </c>
    </row>
    <row r="86">
      <c r="A86" s="116" t="inlineStr">
        <is>
          <t>8.2.1</t>
        </is>
      </c>
      <c r="B86" s="116">
        <f>СПРАВОЧНИК!C9</f>
        <v/>
      </c>
      <c r="C86" s="116" t="inlineStr">
        <is>
          <t>Главная</t>
        </is>
      </c>
      <c r="D86" s="111" t="n"/>
      <c r="E86" s="36" t="n"/>
      <c r="F86" s="129">
        <f>СПРАВОЧНИК!D9</f>
        <v/>
      </c>
      <c r="G86" s="130">
        <f>G87*D87+G91*D91</f>
        <v/>
      </c>
      <c r="H86" s="131">
        <f>IF(F86=0,0,G86/F86)</f>
        <v/>
      </c>
      <c r="I86" s="131">
        <f>I87+I91</f>
        <v/>
      </c>
    </row>
    <row r="87">
      <c r="A87" s="111" t="n"/>
      <c r="B87" s="116" t="inlineStr">
        <is>
          <t xml:space="preserve">  Черновая</t>
        </is>
      </c>
      <c r="C87" s="116" t="inlineStr">
        <is>
          <t>Категория</t>
        </is>
      </c>
      <c r="D87" s="116">
        <f>СПРАВОЧНИК!E9</f>
        <v/>
      </c>
      <c r="E87" s="36" t="n"/>
      <c r="F87" s="129">
        <f>F86</f>
        <v/>
      </c>
      <c r="G87" s="130">
        <f>G88*E88+G89*E89+G90*E90</f>
        <v/>
      </c>
      <c r="H87" s="131">
        <f>IF(F87=0,0,G87/F87)</f>
        <v/>
      </c>
      <c r="I87" s="131">
        <f>H87*D87</f>
        <v/>
      </c>
    </row>
    <row r="88">
      <c r="B88" s="134" t="inlineStr">
        <is>
          <t xml:space="preserve">   Пол</t>
        </is>
      </c>
      <c r="C88" s="116" t="inlineStr">
        <is>
          <t>Вид</t>
        </is>
      </c>
      <c r="D88" s="38" t="n"/>
      <c r="E88" s="116">
        <f>СПРАВОЧНИК!$H$9</f>
        <v/>
      </c>
      <c r="F88" s="116">
        <f>F86</f>
        <v/>
      </c>
      <c r="G88" s="116">
        <f>SUM('ФАКТ ЧЕРН К1'!B5:B100)</f>
        <v/>
      </c>
      <c r="H88" s="116">
        <f>IF(F88=0,0,G88/F88)</f>
        <v/>
      </c>
      <c r="I88" s="116">
        <f>H88*E88</f>
        <v/>
      </c>
    </row>
    <row r="89">
      <c r="B89" s="116" t="inlineStr">
        <is>
          <t xml:space="preserve">   Стены</t>
        </is>
      </c>
      <c r="C89" s="116" t="inlineStr">
        <is>
          <t>Вид</t>
        </is>
      </c>
      <c r="E89" s="116">
        <f>СПРАВОЧНИК!$I$9</f>
        <v/>
      </c>
      <c r="F89" s="116">
        <f>F86</f>
        <v/>
      </c>
      <c r="G89" s="116">
        <f>SUM('ФАКТ ЧЕРН К1'!C5:C100)</f>
        <v/>
      </c>
      <c r="H89" s="116">
        <f>IF(F89=0,0,G89/F89)</f>
        <v/>
      </c>
      <c r="I89" s="116">
        <f>H89*E89</f>
        <v/>
      </c>
    </row>
    <row r="90">
      <c r="A90" s="8" t="n"/>
      <c r="B90" s="128" t="inlineStr">
        <is>
          <t xml:space="preserve">   Потолок</t>
        </is>
      </c>
      <c r="C90" s="116" t="inlineStr">
        <is>
          <t>Вид</t>
        </is>
      </c>
      <c r="D90" s="111" t="n"/>
      <c r="E90" s="116">
        <f>СПРАВОЧНИК!$J$9</f>
        <v/>
      </c>
      <c r="F90" s="129">
        <f>F86</f>
        <v/>
      </c>
      <c r="G90" s="130">
        <f>SUM('ФАКТ ЧЕРН К1'!D5:D100)</f>
        <v/>
      </c>
      <c r="H90" s="131">
        <f>IF(F90=0,0,G90/F90)</f>
        <v/>
      </c>
      <c r="I90" s="131">
        <f>H90*E90</f>
        <v/>
      </c>
    </row>
    <row r="91">
      <c r="A91" s="111" t="n"/>
      <c r="B91" s="132" t="inlineStr">
        <is>
          <t xml:space="preserve">  Чистовая</t>
        </is>
      </c>
      <c r="C91" s="116" t="inlineStr">
        <is>
          <t>Категория</t>
        </is>
      </c>
      <c r="D91" s="133">
        <f>СПРАВОЧНИК!F9</f>
        <v/>
      </c>
      <c r="E91" s="111" t="n"/>
      <c r="F91" s="129">
        <f>F86</f>
        <v/>
      </c>
      <c r="G91" s="130">
        <f>G92*E92+G93*E93+G94*E94+G95*E95+G96*E96</f>
        <v/>
      </c>
      <c r="H91" s="131">
        <f>IF(F91=0,0,G91/F91)</f>
        <v/>
      </c>
      <c r="I91" s="131">
        <f>H91*D91</f>
        <v/>
      </c>
    </row>
    <row r="92">
      <c r="A92" s="111" t="n"/>
      <c r="B92" s="116" t="inlineStr">
        <is>
          <t xml:space="preserve">   Пол</t>
        </is>
      </c>
      <c r="C92" s="116" t="inlineStr">
        <is>
          <t>Вид</t>
        </is>
      </c>
      <c r="D92" s="111" t="n"/>
      <c r="E92" s="133">
        <f>СПРАВОЧНИК!$L$9</f>
        <v/>
      </c>
      <c r="F92" s="129">
        <f>F86</f>
        <v/>
      </c>
      <c r="G92" s="130">
        <f>SUM('ФАКТ ЧИСТ К1'!B5:B100)</f>
        <v/>
      </c>
      <c r="H92" s="131">
        <f>IF(F92=0,0,G92/F92)</f>
        <v/>
      </c>
      <c r="I92" s="131">
        <f>H92*E92</f>
        <v/>
      </c>
    </row>
    <row r="93">
      <c r="A93" s="111" t="n"/>
      <c r="B93" s="116" t="inlineStr">
        <is>
          <t xml:space="preserve">   Стены</t>
        </is>
      </c>
      <c r="C93" s="116" t="inlineStr">
        <is>
          <t>Вид</t>
        </is>
      </c>
      <c r="D93" s="111" t="n"/>
      <c r="E93" s="133">
        <f>СПРАВОЧНИК!$M$9</f>
        <v/>
      </c>
      <c r="F93" s="129">
        <f>F86</f>
        <v/>
      </c>
      <c r="G93" s="130">
        <f>SUM('ФАКТ ЧИСТ К1'!C5:C100)</f>
        <v/>
      </c>
      <c r="H93" s="131">
        <f>IF(F93=0,0,G93/F93)</f>
        <v/>
      </c>
      <c r="I93" s="131">
        <f>H93*E93</f>
        <v/>
      </c>
    </row>
    <row r="94">
      <c r="A94" s="111" t="n"/>
      <c r="B94" s="116" t="inlineStr">
        <is>
          <t xml:space="preserve">   Потолок</t>
        </is>
      </c>
      <c r="C94" s="116" t="inlineStr">
        <is>
          <t>Вид</t>
        </is>
      </c>
      <c r="D94" s="111" t="n"/>
      <c r="E94" s="133">
        <f>СПРАВОЧНИК!$N$9</f>
        <v/>
      </c>
      <c r="F94" s="129">
        <f>F86</f>
        <v/>
      </c>
      <c r="G94" s="130">
        <f>SUM('ФАКТ ЧИСТ К1'!D5:D100)</f>
        <v/>
      </c>
      <c r="H94" s="131">
        <f>IF(F94=0,0,G94/F94)</f>
        <v/>
      </c>
      <c r="I94" s="131">
        <f>H94*E94</f>
        <v/>
      </c>
    </row>
    <row r="95">
      <c r="A95" s="111" t="n"/>
      <c r="B95" s="132" t="inlineStr">
        <is>
          <t xml:space="preserve">   Заполн. проемов</t>
        </is>
      </c>
      <c r="C95" s="116" t="inlineStr">
        <is>
          <t>Вид</t>
        </is>
      </c>
      <c r="D95" s="36" t="n"/>
      <c r="E95" s="116">
        <f>СПРАВОЧНИК!$O$9</f>
        <v/>
      </c>
      <c r="F95" s="129">
        <f>F86</f>
        <v/>
      </c>
      <c r="G95" s="130">
        <f>SUM('ФАКТ ЧИСТ К1'!E5:E100)</f>
        <v/>
      </c>
      <c r="H95" s="131">
        <f>IF(F95=0,0,G95/F95)</f>
        <v/>
      </c>
      <c r="I95" s="131">
        <f>H95*E95</f>
        <v/>
      </c>
    </row>
    <row r="96">
      <c r="A96" s="111" t="n"/>
      <c r="B96" s="116" t="inlineStr">
        <is>
          <t xml:space="preserve">   Меблировка</t>
        </is>
      </c>
      <c r="C96" s="116" t="inlineStr">
        <is>
          <t>Вид</t>
        </is>
      </c>
      <c r="D96" s="111" t="n"/>
      <c r="E96" s="133">
        <f>СПРАВОЧНИК!$P$9</f>
        <v/>
      </c>
      <c r="F96" s="129">
        <f>F86</f>
        <v/>
      </c>
      <c r="G96" s="130">
        <f>SUM('ФАКТ ЧИСТ К1'!F5:F100)</f>
        <v/>
      </c>
      <c r="H96" s="131">
        <f>IF(F96=0,0,G96/F96)</f>
        <v/>
      </c>
      <c r="I96" s="131">
        <f>H96*E96</f>
        <v/>
      </c>
    </row>
    <row r="97">
      <c r="A97" s="111" t="n"/>
      <c r="B97" s="116" t="inlineStr">
        <is>
          <t xml:space="preserve">  ✓ Сумма</t>
        </is>
      </c>
      <c r="C97" s="111" t="n"/>
      <c r="D97" s="116">
        <f>D87+D91</f>
        <v/>
      </c>
      <c r="E97" s="36" t="n"/>
      <c r="F97" s="3" t="n"/>
      <c r="G97" s="34" t="n"/>
      <c r="H97" s="6" t="n"/>
      <c r="I97" s="6" t="n"/>
    </row>
    <row r="98">
      <c r="A98" s="111" t="n"/>
      <c r="B98" s="37" t="n"/>
      <c r="C98" s="111" t="n"/>
      <c r="D98" s="111" t="n"/>
      <c r="E98" s="36" t="n"/>
      <c r="F98" s="3" t="n"/>
      <c r="G98" s="34" t="n"/>
      <c r="H98" s="6" t="n"/>
      <c r="I98" s="6" t="n"/>
    </row>
    <row r="99">
      <c r="A99" s="116" t="inlineStr">
        <is>
          <t>8.2.2</t>
        </is>
      </c>
      <c r="B99" s="116">
        <f>СПРАВОЧНИК!C10</f>
        <v/>
      </c>
      <c r="C99" s="116" t="inlineStr">
        <is>
          <t>Главная</t>
        </is>
      </c>
      <c r="D99" s="111" t="n"/>
      <c r="E99" s="36" t="n"/>
      <c r="F99" s="129">
        <f>СПРАВОЧНИК!D10</f>
        <v/>
      </c>
      <c r="G99" s="130">
        <f>G100*D100+G104*D104</f>
        <v/>
      </c>
      <c r="H99" s="131">
        <f>IF(F99=0,0,G99/F99)</f>
        <v/>
      </c>
      <c r="I99" s="131">
        <f>I100+I104</f>
        <v/>
      </c>
    </row>
    <row r="100">
      <c r="B100" s="134" t="inlineStr">
        <is>
          <t xml:space="preserve">  Черновая</t>
        </is>
      </c>
      <c r="C100" s="116" t="inlineStr">
        <is>
          <t>Категория</t>
        </is>
      </c>
      <c r="D100" s="135">
        <f>СПРАВОЧНИК!E10</f>
        <v/>
      </c>
      <c r="F100" s="116">
        <f>F99</f>
        <v/>
      </c>
      <c r="G100" s="116">
        <f>G101*E101+G102*E102+G103*E103</f>
        <v/>
      </c>
      <c r="H100" s="116">
        <f>IF(F100=0,0,G100/F100)</f>
        <v/>
      </c>
      <c r="I100" s="116">
        <f>H100*D100</f>
        <v/>
      </c>
    </row>
    <row r="101">
      <c r="B101" s="116" t="inlineStr">
        <is>
          <t xml:space="preserve">   Пол</t>
        </is>
      </c>
      <c r="C101" s="116" t="inlineStr">
        <is>
          <t>Вид</t>
        </is>
      </c>
      <c r="E101" s="116">
        <f>СПРАВОЧНИК!$H$10</f>
        <v/>
      </c>
      <c r="F101" s="116">
        <f>F99</f>
        <v/>
      </c>
      <c r="G101" s="116">
        <f>SUM('ФАКТ ЧЕРН К1'!E5:E100)</f>
        <v/>
      </c>
      <c r="H101" s="116">
        <f>IF(F101=0,0,G101/F101)</f>
        <v/>
      </c>
      <c r="I101" s="116">
        <f>H101*E101</f>
        <v/>
      </c>
    </row>
    <row r="102">
      <c r="A102" s="8" t="n"/>
      <c r="B102" s="128" t="inlineStr">
        <is>
          <t xml:space="preserve">   Стены</t>
        </is>
      </c>
      <c r="C102" s="116" t="inlineStr">
        <is>
          <t>Вид</t>
        </is>
      </c>
      <c r="D102" s="111" t="n"/>
      <c r="E102" s="116">
        <f>СПРАВОЧНИК!$I$10</f>
        <v/>
      </c>
      <c r="F102" s="129">
        <f>F99</f>
        <v/>
      </c>
      <c r="G102" s="130">
        <f>SUM('ФАКТ ЧЕРН К1'!F5:F100)</f>
        <v/>
      </c>
      <c r="H102" s="131">
        <f>IF(F102=0,0,G102/F102)</f>
        <v/>
      </c>
      <c r="I102" s="131">
        <f>H102*E102</f>
        <v/>
      </c>
    </row>
    <row r="103">
      <c r="A103" s="111" t="n"/>
      <c r="B103" s="132" t="inlineStr">
        <is>
          <t xml:space="preserve">   Потолок</t>
        </is>
      </c>
      <c r="C103" s="116" t="inlineStr">
        <is>
          <t>Вид</t>
        </is>
      </c>
      <c r="D103" s="36" t="n"/>
      <c r="E103" s="116">
        <f>СПРАВОЧНИК!$J$10</f>
        <v/>
      </c>
      <c r="F103" s="129">
        <f>F99</f>
        <v/>
      </c>
      <c r="G103" s="130">
        <f>SUM('ФАКТ ЧЕРН К1'!G5:G100)</f>
        <v/>
      </c>
      <c r="H103" s="131">
        <f>IF(F103=0,0,G103/F103)</f>
        <v/>
      </c>
      <c r="I103" s="131">
        <f>H103*E103</f>
        <v/>
      </c>
    </row>
    <row r="104">
      <c r="A104" s="111" t="n"/>
      <c r="B104" s="116" t="inlineStr">
        <is>
          <t xml:space="preserve">  Чистовая</t>
        </is>
      </c>
      <c r="C104" s="116" t="inlineStr">
        <is>
          <t>Категория</t>
        </is>
      </c>
      <c r="D104" s="116">
        <f>СПРАВОЧНИК!F10</f>
        <v/>
      </c>
      <c r="E104" s="36" t="n"/>
      <c r="F104" s="129">
        <f>F99</f>
        <v/>
      </c>
      <c r="G104" s="130">
        <f>G105*E105+G106*E106+G107*E107+G108*E108+G109*E109</f>
        <v/>
      </c>
      <c r="H104" s="131">
        <f>IF(F104=0,0,G104/F104)</f>
        <v/>
      </c>
      <c r="I104" s="131">
        <f>H104*D104</f>
        <v/>
      </c>
    </row>
    <row r="105">
      <c r="A105" s="111" t="n"/>
      <c r="B105" s="116" t="inlineStr">
        <is>
          <t xml:space="preserve">   Пол</t>
        </is>
      </c>
      <c r="C105" s="116" t="inlineStr">
        <is>
          <t>Вид</t>
        </is>
      </c>
      <c r="D105" s="111" t="n"/>
      <c r="E105" s="133">
        <f>СПРАВОЧНИК!$L$10</f>
        <v/>
      </c>
      <c r="F105" s="129">
        <f>F99</f>
        <v/>
      </c>
      <c r="G105" s="130">
        <f>SUM('ФАКТ ЧИСТ К1'!G5:G100)</f>
        <v/>
      </c>
      <c r="H105" s="131">
        <f>IF(F105=0,0,G105/F105)</f>
        <v/>
      </c>
      <c r="I105" s="131">
        <f>H105*E105</f>
        <v/>
      </c>
    </row>
    <row r="106">
      <c r="A106" s="111" t="n"/>
      <c r="B106" s="116" t="inlineStr">
        <is>
          <t xml:space="preserve">   Стены</t>
        </is>
      </c>
      <c r="C106" s="116" t="inlineStr">
        <is>
          <t>Вид</t>
        </is>
      </c>
      <c r="D106" s="111" t="n"/>
      <c r="E106" s="133">
        <f>СПРАВОЧНИК!$M$10</f>
        <v/>
      </c>
      <c r="F106" s="129">
        <f>F99</f>
        <v/>
      </c>
      <c r="G106" s="130">
        <f>SUM('ФАКТ ЧИСТ К1'!H5:H100)</f>
        <v/>
      </c>
      <c r="H106" s="131">
        <f>IF(F106=0,0,G106/F106)</f>
        <v/>
      </c>
      <c r="I106" s="131">
        <f>H106*E106</f>
        <v/>
      </c>
    </row>
    <row r="107">
      <c r="A107" s="111" t="n"/>
      <c r="B107" s="132" t="inlineStr">
        <is>
          <t xml:space="preserve">   Потолок</t>
        </is>
      </c>
      <c r="C107" s="116" t="inlineStr">
        <is>
          <t>Вид</t>
        </is>
      </c>
      <c r="D107" s="36" t="n"/>
      <c r="E107" s="116">
        <f>СПРАВОЧНИК!$N$10</f>
        <v/>
      </c>
      <c r="F107" s="129">
        <f>F99</f>
        <v/>
      </c>
      <c r="G107" s="130">
        <f>SUM('ФАКТ ЧИСТ К1'!I5:I100)</f>
        <v/>
      </c>
      <c r="H107" s="131">
        <f>IF(F107=0,0,G107/F107)</f>
        <v/>
      </c>
      <c r="I107" s="131">
        <f>H107*E107</f>
        <v/>
      </c>
    </row>
    <row r="108">
      <c r="A108" s="111" t="n"/>
      <c r="B108" s="116" t="inlineStr">
        <is>
          <t xml:space="preserve">   Заполн. проемов</t>
        </is>
      </c>
      <c r="C108" s="116" t="inlineStr">
        <is>
          <t>Вид</t>
        </is>
      </c>
      <c r="D108" s="111" t="n"/>
      <c r="E108" s="133">
        <f>СПРАВОЧНИК!$O$10</f>
        <v/>
      </c>
      <c r="F108" s="129">
        <f>F99</f>
        <v/>
      </c>
      <c r="G108" s="130">
        <f>SUM('ФАКТ ЧИСТ К1'!J5:J100)</f>
        <v/>
      </c>
      <c r="H108" s="131">
        <f>IF(F108=0,0,G108/F108)</f>
        <v/>
      </c>
      <c r="I108" s="131">
        <f>H108*E108</f>
        <v/>
      </c>
    </row>
    <row r="109">
      <c r="A109" s="111" t="n"/>
      <c r="B109" s="116" t="inlineStr">
        <is>
          <t xml:space="preserve">   Меблировка</t>
        </is>
      </c>
      <c r="C109" s="116" t="inlineStr">
        <is>
          <t>Вид</t>
        </is>
      </c>
      <c r="D109" s="111" t="n"/>
      <c r="E109" s="133">
        <f>СПРАВОЧНИК!$P$10</f>
        <v/>
      </c>
      <c r="F109" s="129">
        <f>F99</f>
        <v/>
      </c>
      <c r="G109" s="130">
        <f>SUM('ФАКТ ЧИСТ К1'!K5:K100)</f>
        <v/>
      </c>
      <c r="H109" s="131">
        <f>IF(F109=0,0,G109/F109)</f>
        <v/>
      </c>
      <c r="I109" s="131">
        <f>H109*E109</f>
        <v/>
      </c>
    </row>
    <row r="110">
      <c r="A110" s="111" t="n"/>
      <c r="B110" s="116" t="inlineStr">
        <is>
          <t xml:space="preserve">  ✓ Сумма</t>
        </is>
      </c>
      <c r="C110" s="111" t="n"/>
      <c r="D110" s="116">
        <f>D100+D104</f>
        <v/>
      </c>
      <c r="E110" s="36" t="n"/>
      <c r="F110" s="3" t="n"/>
      <c r="G110" s="34" t="n"/>
      <c r="H110" s="6" t="n"/>
      <c r="I110" s="6" t="n"/>
    </row>
    <row r="111">
      <c r="B111" s="22" t="n"/>
      <c r="D111" s="38" t="n"/>
    </row>
    <row r="112">
      <c r="A112" s="116" t="inlineStr">
        <is>
          <t>8.2.3</t>
        </is>
      </c>
      <c r="B112" s="116">
        <f>СПРАВОЧНИК!C11</f>
        <v/>
      </c>
      <c r="C112" s="116" t="inlineStr">
        <is>
          <t>Главная</t>
        </is>
      </c>
      <c r="F112" s="116">
        <f>СПРАВОЧНИК!D11</f>
        <v/>
      </c>
      <c r="G112" s="116">
        <f>G113*D113+G117*D117</f>
        <v/>
      </c>
      <c r="H112" s="116">
        <f>IF(F112=0,0,G112/F112)</f>
        <v/>
      </c>
      <c r="I112" s="116">
        <f>I113+I117</f>
        <v/>
      </c>
    </row>
    <row r="113">
      <c r="A113" s="8" t="n"/>
      <c r="B113" s="128" t="inlineStr">
        <is>
          <t xml:space="preserve">  Черновая</t>
        </is>
      </c>
      <c r="C113" s="116" t="inlineStr">
        <is>
          <t>Категория</t>
        </is>
      </c>
      <c r="D113" s="116">
        <f>СПРАВОЧНИК!E11</f>
        <v/>
      </c>
      <c r="E113" s="111" t="n"/>
      <c r="F113" s="129">
        <f>F112</f>
        <v/>
      </c>
      <c r="G113" s="130">
        <f>G114*E114+G115*E115+G116*E116</f>
        <v/>
      </c>
      <c r="H113" s="131">
        <f>IF(F113=0,0,G113/F113)</f>
        <v/>
      </c>
      <c r="I113" s="131">
        <f>H113*D113</f>
        <v/>
      </c>
    </row>
    <row r="114">
      <c r="A114" s="111" t="n"/>
      <c r="B114" s="132" t="inlineStr">
        <is>
          <t xml:space="preserve">   Пол</t>
        </is>
      </c>
      <c r="C114" s="116" t="inlineStr">
        <is>
          <t>Вид</t>
        </is>
      </c>
      <c r="D114" s="36" t="n"/>
      <c r="E114" s="116">
        <f>СПРАВОЧНИК!$H$11</f>
        <v/>
      </c>
      <c r="F114" s="129">
        <f>F112</f>
        <v/>
      </c>
      <c r="G114" s="130">
        <f>SUM('ФАКТ ЧЕРН К1'!H5:H100)</f>
        <v/>
      </c>
      <c r="H114" s="131">
        <f>IF(F114=0,0,G114/F114)</f>
        <v/>
      </c>
      <c r="I114" s="131">
        <f>H114*E114</f>
        <v/>
      </c>
    </row>
    <row r="115">
      <c r="A115" s="111" t="n"/>
      <c r="B115" s="116" t="inlineStr">
        <is>
          <t xml:space="preserve">   Стены</t>
        </is>
      </c>
      <c r="C115" s="116" t="inlineStr">
        <is>
          <t>Вид</t>
        </is>
      </c>
      <c r="D115" s="111" t="n"/>
      <c r="E115" s="133">
        <f>СПРАВОЧНИК!$I$11</f>
        <v/>
      </c>
      <c r="F115" s="129">
        <f>F112</f>
        <v/>
      </c>
      <c r="G115" s="130">
        <f>SUM('ФАКТ ЧЕРН К1'!I5:I100)</f>
        <v/>
      </c>
      <c r="H115" s="131">
        <f>IF(F115=0,0,G115/F115)</f>
        <v/>
      </c>
      <c r="I115" s="131">
        <f>H115*E115</f>
        <v/>
      </c>
    </row>
    <row r="116">
      <c r="A116" s="111" t="n"/>
      <c r="B116" s="116" t="inlineStr">
        <is>
          <t xml:space="preserve">   Потолок</t>
        </is>
      </c>
      <c r="C116" s="116" t="inlineStr">
        <is>
          <t>Вид</t>
        </is>
      </c>
      <c r="D116" s="111" t="n"/>
      <c r="E116" s="133">
        <f>СПРАВОЧНИК!$J$11</f>
        <v/>
      </c>
      <c r="F116" s="129">
        <f>F112</f>
        <v/>
      </c>
      <c r="G116" s="130">
        <f>SUM('ФАКТ ЧЕРН К1'!J5:J100)</f>
        <v/>
      </c>
      <c r="H116" s="131">
        <f>IF(F116=0,0,G116/F116)</f>
        <v/>
      </c>
      <c r="I116" s="131">
        <f>H116*E116</f>
        <v/>
      </c>
    </row>
    <row r="117">
      <c r="A117" s="111" t="n"/>
      <c r="B117" s="116" t="inlineStr">
        <is>
          <t xml:space="preserve">  Чистовая</t>
        </is>
      </c>
      <c r="C117" s="116" t="inlineStr">
        <is>
          <t>Категория</t>
        </is>
      </c>
      <c r="D117" s="116">
        <f>СПРАВОЧНИК!F11</f>
        <v/>
      </c>
      <c r="E117" s="36" t="n"/>
      <c r="F117" s="129">
        <f>F112</f>
        <v/>
      </c>
      <c r="G117" s="130">
        <f>G118*E118+G119*E119+G120*E120+G121*E121+G122*E122</f>
        <v/>
      </c>
      <c r="H117" s="131">
        <f>IF(F117=0,0,G117/F117)</f>
        <v/>
      </c>
      <c r="I117" s="131">
        <f>H117*D117</f>
        <v/>
      </c>
    </row>
    <row r="118">
      <c r="A118" s="111" t="n"/>
      <c r="B118" s="132" t="inlineStr">
        <is>
          <t xml:space="preserve">   Пол</t>
        </is>
      </c>
      <c r="C118" s="116" t="inlineStr">
        <is>
          <t>Вид</t>
        </is>
      </c>
      <c r="D118" s="36" t="n"/>
      <c r="E118" s="116">
        <f>СПРАВОЧНИК!$L$11</f>
        <v/>
      </c>
      <c r="F118" s="129">
        <f>F112</f>
        <v/>
      </c>
      <c r="G118" s="130">
        <f>SUM('ФАКТ ЧИСТ К1'!L5:L100)</f>
        <v/>
      </c>
      <c r="H118" s="131">
        <f>IF(F118=0,0,G118/F118)</f>
        <v/>
      </c>
      <c r="I118" s="131">
        <f>H118*E118</f>
        <v/>
      </c>
    </row>
    <row r="119">
      <c r="A119" s="111" t="n"/>
      <c r="B119" s="116" t="inlineStr">
        <is>
          <t xml:space="preserve">   Стены</t>
        </is>
      </c>
      <c r="C119" s="116" t="inlineStr">
        <is>
          <t>Вид</t>
        </is>
      </c>
      <c r="D119" s="111" t="n"/>
      <c r="E119" s="133">
        <f>СПРАВОЧНИК!$M$11</f>
        <v/>
      </c>
      <c r="F119" s="129">
        <f>F112</f>
        <v/>
      </c>
      <c r="G119" s="130">
        <f>SUM('ФАКТ ЧИСТ К1'!M5:M100)</f>
        <v/>
      </c>
      <c r="H119" s="131">
        <f>IF(F119=0,0,G119/F119)</f>
        <v/>
      </c>
      <c r="I119" s="131">
        <f>H119*E119</f>
        <v/>
      </c>
    </row>
    <row r="120">
      <c r="A120" s="111" t="n"/>
      <c r="B120" s="116" t="inlineStr">
        <is>
          <t xml:space="preserve">   Потолок</t>
        </is>
      </c>
      <c r="C120" s="116" t="inlineStr">
        <is>
          <t>Вид</t>
        </is>
      </c>
      <c r="D120" s="111" t="n"/>
      <c r="E120" s="133">
        <f>СПРАВОЧНИК!$N$11</f>
        <v/>
      </c>
      <c r="F120" s="129">
        <f>F112</f>
        <v/>
      </c>
      <c r="G120" s="130">
        <f>SUM('ФАКТ ЧИСТ К1'!N5:N100)</f>
        <v/>
      </c>
      <c r="H120" s="131">
        <f>IF(F120=0,0,G120/F120)</f>
        <v/>
      </c>
      <c r="I120" s="131">
        <f>H120*E120</f>
        <v/>
      </c>
    </row>
    <row r="121">
      <c r="A121" s="111" t="n"/>
      <c r="B121" s="116" t="inlineStr">
        <is>
          <t xml:space="preserve">   Заполн. проемов</t>
        </is>
      </c>
      <c r="C121" s="116" t="inlineStr">
        <is>
          <t>Вид</t>
        </is>
      </c>
      <c r="D121" s="111" t="n"/>
      <c r="E121" s="133">
        <f>СПРАВОЧНИК!$O$11</f>
        <v/>
      </c>
      <c r="F121" s="129">
        <f>F112</f>
        <v/>
      </c>
      <c r="G121" s="130">
        <f>SUM('ФАКТ ЧИСТ К1'!O5:O100)</f>
        <v/>
      </c>
      <c r="H121" s="131">
        <f>IF(F121=0,0,G121/F121)</f>
        <v/>
      </c>
      <c r="I121" s="131">
        <f>H121*E121</f>
        <v/>
      </c>
    </row>
    <row r="122">
      <c r="A122" s="111" t="n"/>
      <c r="B122" s="116" t="inlineStr">
        <is>
          <t xml:space="preserve">   Меблировка</t>
        </is>
      </c>
      <c r="C122" s="116" t="inlineStr">
        <is>
          <t>Вид</t>
        </is>
      </c>
      <c r="D122" s="111" t="n"/>
      <c r="E122" s="133">
        <f>СПРАВОЧНИК!$P$11</f>
        <v/>
      </c>
      <c r="F122" s="129">
        <f>F112</f>
        <v/>
      </c>
      <c r="G122" s="130">
        <f>SUM('ФАКТ ЧИСТ К1'!P5:P100)</f>
        <v/>
      </c>
      <c r="H122" s="131">
        <f>IF(F122=0,0,G122/F122)</f>
        <v/>
      </c>
      <c r="I122" s="131">
        <f>H122*E122</f>
        <v/>
      </c>
    </row>
    <row r="123">
      <c r="B123" s="134" t="inlineStr">
        <is>
          <t xml:space="preserve">  ✓ Сумма</t>
        </is>
      </c>
      <c r="D123" s="135">
        <f>D113+D117</f>
        <v/>
      </c>
    </row>
    <row r="124"/>
    <row r="125">
      <c r="A125" s="128" t="inlineStr">
        <is>
          <t>8.2.4</t>
        </is>
      </c>
      <c r="B125" s="128">
        <f>СПРАВОЧНИК!C12</f>
        <v/>
      </c>
      <c r="C125" s="116" t="inlineStr">
        <is>
          <t>Главная</t>
        </is>
      </c>
      <c r="D125" s="111" t="n"/>
      <c r="E125" s="111" t="n"/>
      <c r="F125" s="129">
        <f>СПРАВОЧНИК!D12</f>
        <v/>
      </c>
      <c r="G125" s="130">
        <f>G126*D126+G130*D130</f>
        <v/>
      </c>
      <c r="H125" s="131">
        <f>IF(F125=0,0,G125/F125)</f>
        <v/>
      </c>
      <c r="I125" s="131">
        <f>I126+I130</f>
        <v/>
      </c>
    </row>
    <row r="126">
      <c r="A126" s="111" t="n"/>
      <c r="B126" s="132" t="inlineStr">
        <is>
          <t xml:space="preserve">  Черновая</t>
        </is>
      </c>
      <c r="C126" s="116" t="inlineStr">
        <is>
          <t>Категория</t>
        </is>
      </c>
      <c r="D126" s="133">
        <f>СПРАВОЧНИК!E12</f>
        <v/>
      </c>
      <c r="E126" s="111" t="n"/>
      <c r="F126" s="129">
        <f>F125</f>
        <v/>
      </c>
      <c r="G126" s="130">
        <f>G127*E127+G128*E128+G129*E129</f>
        <v/>
      </c>
      <c r="H126" s="131">
        <f>IF(F126=0,0,G126/F126)</f>
        <v/>
      </c>
      <c r="I126" s="131">
        <f>H126*D126</f>
        <v/>
      </c>
    </row>
    <row r="127">
      <c r="A127" s="111" t="n"/>
      <c r="B127" s="116" t="inlineStr">
        <is>
          <t xml:space="preserve">   Пол</t>
        </is>
      </c>
      <c r="C127" s="116" t="inlineStr">
        <is>
          <t>Вид</t>
        </is>
      </c>
      <c r="D127" s="111" t="n"/>
      <c r="E127" s="133">
        <f>СПРАВОЧНИК!$H$12</f>
        <v/>
      </c>
      <c r="F127" s="129">
        <f>F125</f>
        <v/>
      </c>
      <c r="G127" s="130">
        <f>SUM('ФАКТ ЧЕРН К1'!K5:K100)</f>
        <v/>
      </c>
      <c r="H127" s="131">
        <f>IF(F127=0,0,G127/F127)</f>
        <v/>
      </c>
      <c r="I127" s="131">
        <f>H127*E127</f>
        <v/>
      </c>
    </row>
    <row r="128">
      <c r="A128" s="111" t="n"/>
      <c r="B128" s="116" t="inlineStr">
        <is>
          <t xml:space="preserve">   Стены</t>
        </is>
      </c>
      <c r="C128" s="116" t="inlineStr">
        <is>
          <t>Вид</t>
        </is>
      </c>
      <c r="D128" s="111" t="n"/>
      <c r="E128" s="133">
        <f>СПРАВОЧНИК!$I$12</f>
        <v/>
      </c>
      <c r="F128" s="129">
        <f>F125</f>
        <v/>
      </c>
      <c r="G128" s="130">
        <f>SUM('ФАКТ ЧЕРН К1'!L5:L100)</f>
        <v/>
      </c>
      <c r="H128" s="131">
        <f>IF(F128=0,0,G128/F128)</f>
        <v/>
      </c>
      <c r="I128" s="131">
        <f>H128*E128</f>
        <v/>
      </c>
    </row>
    <row r="129">
      <c r="A129" s="111" t="n"/>
      <c r="B129" s="116" t="inlineStr">
        <is>
          <t xml:space="preserve">   Потолок</t>
        </is>
      </c>
      <c r="C129" s="116" t="inlineStr">
        <is>
          <t>Вид</t>
        </is>
      </c>
      <c r="D129" s="111" t="n"/>
      <c r="E129" s="133">
        <f>СПРАВОЧНИК!$J$12</f>
        <v/>
      </c>
      <c r="F129" s="129">
        <f>F125</f>
        <v/>
      </c>
      <c r="G129" s="130">
        <f>SUM('ФАКТ ЧЕРН К1'!M5:M100)</f>
        <v/>
      </c>
      <c r="H129" s="131">
        <f>IF(F129=0,0,G129/F129)</f>
        <v/>
      </c>
      <c r="I129" s="131">
        <f>H129*E129</f>
        <v/>
      </c>
    </row>
    <row r="130">
      <c r="A130" s="111" t="n"/>
      <c r="B130" s="132" t="inlineStr">
        <is>
          <t xml:space="preserve">  Чистовая</t>
        </is>
      </c>
      <c r="C130" s="116" t="inlineStr">
        <is>
          <t>Категория</t>
        </is>
      </c>
      <c r="D130" s="133">
        <f>СПРАВОЧНИК!F12</f>
        <v/>
      </c>
      <c r="E130" s="111" t="n"/>
      <c r="F130" s="129">
        <f>F125</f>
        <v/>
      </c>
      <c r="G130" s="130">
        <f>G131*E131+G132*E132+G133*E133+G134*E134+G135*E135</f>
        <v/>
      </c>
      <c r="H130" s="131">
        <f>IF(F130=0,0,G130/F130)</f>
        <v/>
      </c>
      <c r="I130" s="131">
        <f>H130*D130</f>
        <v/>
      </c>
    </row>
    <row r="131">
      <c r="A131" s="111" t="n"/>
      <c r="B131" s="116" t="inlineStr">
        <is>
          <t xml:space="preserve">   Пол</t>
        </is>
      </c>
      <c r="C131" s="116" t="inlineStr">
        <is>
          <t>Вид</t>
        </is>
      </c>
      <c r="D131" s="111" t="n"/>
      <c r="E131" s="133">
        <f>СПРАВОЧНИК!$L$12</f>
        <v/>
      </c>
      <c r="F131" s="129">
        <f>F125</f>
        <v/>
      </c>
      <c r="G131" s="130">
        <f>SUM('ФАКТ ЧИСТ К1'!Q5:Q100)</f>
        <v/>
      </c>
      <c r="H131" s="131">
        <f>IF(F131=0,0,G131/F131)</f>
        <v/>
      </c>
      <c r="I131" s="131">
        <f>H131*E131</f>
        <v/>
      </c>
    </row>
    <row r="132">
      <c r="A132" s="111" t="n"/>
      <c r="B132" s="116" t="inlineStr">
        <is>
          <t xml:space="preserve">   Стены</t>
        </is>
      </c>
      <c r="C132" s="116" t="inlineStr">
        <is>
          <t>Вид</t>
        </is>
      </c>
      <c r="D132" s="111" t="n"/>
      <c r="E132" s="133">
        <f>СПРАВОЧНИК!$M$12</f>
        <v/>
      </c>
      <c r="F132" s="129">
        <f>F125</f>
        <v/>
      </c>
      <c r="G132" s="130">
        <f>SUM('ФАКТ ЧИСТ К1'!R5:R100)</f>
        <v/>
      </c>
      <c r="H132" s="131">
        <f>IF(F132=0,0,G132/F132)</f>
        <v/>
      </c>
      <c r="I132" s="131">
        <f>H132*E132</f>
        <v/>
      </c>
    </row>
    <row r="133">
      <c r="A133" s="111" t="n"/>
      <c r="B133" s="116" t="inlineStr">
        <is>
          <t xml:space="preserve">   Потолок</t>
        </is>
      </c>
      <c r="C133" s="116" t="inlineStr">
        <is>
          <t>Вид</t>
        </is>
      </c>
      <c r="D133" s="111" t="n"/>
      <c r="E133" s="133">
        <f>СПРАВОЧНИК!$N$12</f>
        <v/>
      </c>
      <c r="F133" s="129">
        <f>F125</f>
        <v/>
      </c>
      <c r="G133" s="130">
        <f>SUM('ФАКТ ЧИСТ К1'!S5:S100)</f>
        <v/>
      </c>
      <c r="H133" s="131">
        <f>IF(F133=0,0,G133/F133)</f>
        <v/>
      </c>
      <c r="I133" s="131">
        <f>H133*E133</f>
        <v/>
      </c>
    </row>
    <row r="134">
      <c r="A134" s="111" t="n"/>
      <c r="B134" s="116" t="inlineStr">
        <is>
          <t xml:space="preserve">   Заполн. проемов</t>
        </is>
      </c>
      <c r="C134" s="116" t="inlineStr">
        <is>
          <t>Вид</t>
        </is>
      </c>
      <c r="D134" s="111" t="n"/>
      <c r="E134" s="133">
        <f>СПРАВОЧНИК!$O$12</f>
        <v/>
      </c>
      <c r="F134" s="129">
        <f>F125</f>
        <v/>
      </c>
      <c r="G134" s="130">
        <f>SUM('ФАКТ ЧИСТ К1'!T5:T100)</f>
        <v/>
      </c>
      <c r="H134" s="131">
        <f>IF(F134=0,0,G134/F134)</f>
        <v/>
      </c>
      <c r="I134" s="131">
        <f>H134*E134</f>
        <v/>
      </c>
    </row>
    <row r="135">
      <c r="B135" s="134" t="inlineStr">
        <is>
          <t xml:space="preserve">   Меблировка</t>
        </is>
      </c>
      <c r="C135" s="116" t="inlineStr">
        <is>
          <t>Вид</t>
        </is>
      </c>
      <c r="D135" s="38" t="n"/>
      <c r="E135" s="116">
        <f>СПРАВОЧНИК!$P$12</f>
        <v/>
      </c>
      <c r="F135" s="116">
        <f>F125</f>
        <v/>
      </c>
      <c r="G135" s="116">
        <f>SUM('ФАКТ ЧИСТ К1'!U5:U100)</f>
        <v/>
      </c>
      <c r="H135" s="116">
        <f>IF(F135=0,0,G135/F135)</f>
        <v/>
      </c>
      <c r="I135" s="116">
        <f>H135*E135</f>
        <v/>
      </c>
    </row>
    <row r="136">
      <c r="B136" s="116" t="inlineStr">
        <is>
          <t xml:space="preserve">  ✓ Сумма</t>
        </is>
      </c>
      <c r="D136" s="116">
        <f>D126+D130</f>
        <v/>
      </c>
    </row>
    <row r="137">
      <c r="A137" s="8" t="n"/>
      <c r="B137" s="15" t="n"/>
      <c r="C137" s="111" t="n"/>
      <c r="D137" s="111" t="n"/>
      <c r="E137" s="111" t="n"/>
      <c r="F137" s="3" t="n"/>
      <c r="G137" s="34" t="n"/>
      <c r="H137" s="6" t="n"/>
      <c r="I137" s="6" t="n"/>
    </row>
    <row r="138">
      <c r="A138" s="116" t="inlineStr">
        <is>
          <t>8.2.5</t>
        </is>
      </c>
      <c r="B138" s="132">
        <f>СПРАВОЧНИК!C13</f>
        <v/>
      </c>
      <c r="C138" s="116" t="inlineStr">
        <is>
          <t>Главная</t>
        </is>
      </c>
      <c r="D138" s="36" t="n"/>
      <c r="E138" s="111" t="n"/>
      <c r="F138" s="129">
        <f>СПРАВОЧНИК!D13</f>
        <v/>
      </c>
      <c r="G138" s="130">
        <f>G139*D139+G143*D143</f>
        <v/>
      </c>
      <c r="H138" s="131">
        <f>IF(F138=0,0,G138/F138)</f>
        <v/>
      </c>
      <c r="I138" s="131">
        <f>I139+I143</f>
        <v/>
      </c>
    </row>
    <row r="139">
      <c r="A139" s="111" t="n"/>
      <c r="B139" s="116" t="inlineStr">
        <is>
          <t xml:space="preserve">  Черновая</t>
        </is>
      </c>
      <c r="C139" s="116" t="inlineStr">
        <is>
          <t>Категория</t>
        </is>
      </c>
      <c r="D139" s="116">
        <f>СПРАВОЧНИК!E13</f>
        <v/>
      </c>
      <c r="E139" s="36" t="n"/>
      <c r="F139" s="129">
        <f>F138</f>
        <v/>
      </c>
      <c r="G139" s="130">
        <f>G140*E140+G141*E141+G142*E142</f>
        <v/>
      </c>
      <c r="H139" s="131">
        <f>IF(F139=0,0,G139/F139)</f>
        <v/>
      </c>
      <c r="I139" s="131">
        <f>H139*D139</f>
        <v/>
      </c>
    </row>
    <row r="140">
      <c r="A140" s="111" t="n"/>
      <c r="B140" s="116" t="inlineStr">
        <is>
          <t xml:space="preserve">   Пол</t>
        </is>
      </c>
      <c r="C140" s="116" t="inlineStr">
        <is>
          <t>Вид</t>
        </is>
      </c>
      <c r="D140" s="111" t="n"/>
      <c r="E140" s="133">
        <f>СПРАВОЧНИК!$H$13</f>
        <v/>
      </c>
      <c r="F140" s="129">
        <f>F138</f>
        <v/>
      </c>
      <c r="G140" s="130">
        <f>SUM('ФАКТ ЧЕРН К1'!N5:N100)</f>
        <v/>
      </c>
      <c r="H140" s="131">
        <f>IF(F140=0,0,G140/F140)</f>
        <v/>
      </c>
      <c r="I140" s="131">
        <f>H140*E140</f>
        <v/>
      </c>
    </row>
    <row r="141">
      <c r="A141" s="111" t="n"/>
      <c r="B141" s="116" t="inlineStr">
        <is>
          <t xml:space="preserve">   Стены</t>
        </is>
      </c>
      <c r="C141" s="116" t="inlineStr">
        <is>
          <t>Вид</t>
        </is>
      </c>
      <c r="D141" s="111" t="n"/>
      <c r="E141" s="133">
        <f>СПРАВОЧНИК!$I$13</f>
        <v/>
      </c>
      <c r="F141" s="129">
        <f>F138</f>
        <v/>
      </c>
      <c r="G141" s="130">
        <f>SUM('ФАКТ ЧЕРН К1'!O5:O100)</f>
        <v/>
      </c>
      <c r="H141" s="131">
        <f>IF(F141=0,0,G141/F141)</f>
        <v/>
      </c>
      <c r="I141" s="131">
        <f>H141*E141</f>
        <v/>
      </c>
    </row>
    <row r="142">
      <c r="A142" s="111" t="n"/>
      <c r="B142" s="132" t="inlineStr">
        <is>
          <t xml:space="preserve">   Потолок</t>
        </is>
      </c>
      <c r="C142" s="116" t="inlineStr">
        <is>
          <t>Вид</t>
        </is>
      </c>
      <c r="D142" s="36" t="n"/>
      <c r="E142" s="116">
        <f>СПРАВОЧНИК!$J$13</f>
        <v/>
      </c>
      <c r="F142" s="129">
        <f>F138</f>
        <v/>
      </c>
      <c r="G142" s="130">
        <f>SUM('ФАКТ ЧЕРН К1'!P5:P100)</f>
        <v/>
      </c>
      <c r="H142" s="131">
        <f>IF(F142=0,0,G142/F142)</f>
        <v/>
      </c>
      <c r="I142" s="131">
        <f>H142*E142</f>
        <v/>
      </c>
    </row>
    <row r="143">
      <c r="A143" s="111" t="n"/>
      <c r="B143" s="116" t="inlineStr">
        <is>
          <t xml:space="preserve">  Чистовая</t>
        </is>
      </c>
      <c r="C143" s="116" t="inlineStr">
        <is>
          <t>Категория</t>
        </is>
      </c>
      <c r="D143" s="116">
        <f>СПРАВОЧНИК!F13</f>
        <v/>
      </c>
      <c r="E143" s="36" t="n"/>
      <c r="F143" s="129">
        <f>F138</f>
        <v/>
      </c>
      <c r="G143" s="130">
        <f>G144*E144+G145*E145+G146*E146+G147*E147+G148*E148</f>
        <v/>
      </c>
      <c r="H143" s="131">
        <f>IF(F143=0,0,G143/F143)</f>
        <v/>
      </c>
      <c r="I143" s="131">
        <f>H143*D143</f>
        <v/>
      </c>
    </row>
    <row r="144">
      <c r="A144" s="111" t="n"/>
      <c r="B144" s="116" t="inlineStr">
        <is>
          <t xml:space="preserve">   Пол</t>
        </is>
      </c>
      <c r="C144" s="116" t="inlineStr">
        <is>
          <t>Вид</t>
        </is>
      </c>
      <c r="D144" s="111" t="n"/>
      <c r="E144" s="133">
        <f>СПРАВОЧНИК!$L$13</f>
        <v/>
      </c>
      <c r="F144" s="129">
        <f>F138</f>
        <v/>
      </c>
      <c r="G144" s="130">
        <f>SUM('ФАКТ ЧИСТ К1'!V5:V100)</f>
        <v/>
      </c>
      <c r="H144" s="131">
        <f>IF(F144=0,0,G144/F144)</f>
        <v/>
      </c>
      <c r="I144" s="131">
        <f>H144*E144</f>
        <v/>
      </c>
    </row>
    <row r="145">
      <c r="A145" s="111" t="n"/>
      <c r="B145" s="116" t="inlineStr">
        <is>
          <t xml:space="preserve">   Стены</t>
        </is>
      </c>
      <c r="C145" s="116" t="inlineStr">
        <is>
          <t>Вид</t>
        </is>
      </c>
      <c r="D145" s="111" t="n"/>
      <c r="E145" s="133">
        <f>СПРАВОЧНИК!$M$13</f>
        <v/>
      </c>
      <c r="F145" s="129">
        <f>F138</f>
        <v/>
      </c>
      <c r="G145" s="130">
        <f>SUM('ФАКТ ЧИСТ К1'!W5:W100)</f>
        <v/>
      </c>
      <c r="H145" s="131">
        <f>IF(F145=0,0,G145/F145)</f>
        <v/>
      </c>
      <c r="I145" s="131">
        <f>H145*E145</f>
        <v/>
      </c>
    </row>
    <row r="146">
      <c r="B146" s="134" t="inlineStr">
        <is>
          <t xml:space="preserve">   Потолок</t>
        </is>
      </c>
      <c r="C146" s="116" t="inlineStr">
        <is>
          <t>Вид</t>
        </is>
      </c>
      <c r="D146" s="38" t="n"/>
      <c r="E146" s="116">
        <f>СПРАВОЧНИК!$N$13</f>
        <v/>
      </c>
      <c r="F146" s="116">
        <f>F138</f>
        <v/>
      </c>
      <c r="G146" s="116">
        <f>SUM('ФАКТ ЧИСТ К1'!X5:X100)</f>
        <v/>
      </c>
      <c r="H146" s="116">
        <f>IF(F146=0,0,G146/F146)</f>
        <v/>
      </c>
      <c r="I146" s="116">
        <f>H146*E146</f>
        <v/>
      </c>
    </row>
    <row r="147">
      <c r="B147" s="116" t="inlineStr">
        <is>
          <t xml:space="preserve">   Заполн. проемов</t>
        </is>
      </c>
      <c r="C147" s="116" t="inlineStr">
        <is>
          <t>Вид</t>
        </is>
      </c>
      <c r="E147" s="116">
        <f>СПРАВОЧНИК!$O$13</f>
        <v/>
      </c>
      <c r="F147" s="116">
        <f>F138</f>
        <v/>
      </c>
      <c r="G147" s="116">
        <f>SUM('ФАКТ ЧИСТ К1'!Y5:Y100)</f>
        <v/>
      </c>
      <c r="H147" s="116">
        <f>IF(F147=0,0,G147/F147)</f>
        <v/>
      </c>
      <c r="I147" s="116">
        <f>H147*E147</f>
        <v/>
      </c>
    </row>
    <row r="148">
      <c r="A148" s="8" t="n"/>
      <c r="B148" s="128" t="inlineStr">
        <is>
          <t xml:space="preserve">   Меблировка</t>
        </is>
      </c>
      <c r="C148" s="116" t="inlineStr">
        <is>
          <t>Вид</t>
        </is>
      </c>
      <c r="D148" s="111" t="n"/>
      <c r="E148" s="116">
        <f>СПРАВОЧНИК!$P$13</f>
        <v/>
      </c>
      <c r="F148" s="129">
        <f>F138</f>
        <v/>
      </c>
      <c r="G148" s="130">
        <f>SUM('ФАКТ ЧИСТ К1'!Z5:Z100)</f>
        <v/>
      </c>
      <c r="H148" s="131">
        <f>IF(F148=0,0,G148/F148)</f>
        <v/>
      </c>
      <c r="I148" s="131">
        <f>H148*E148</f>
        <v/>
      </c>
    </row>
    <row r="149">
      <c r="A149" s="111" t="n"/>
      <c r="B149" s="132" t="inlineStr">
        <is>
          <t xml:space="preserve">  ✓ Сумма</t>
        </is>
      </c>
      <c r="C149" s="111" t="n"/>
      <c r="D149" s="133">
        <f>D139+D143</f>
        <v/>
      </c>
      <c r="E149" s="111" t="n"/>
      <c r="F149" s="3" t="n"/>
      <c r="G149" s="34" t="n"/>
      <c r="H149" s="6" t="n"/>
      <c r="I149" s="6" t="n"/>
    </row>
    <row r="150">
      <c r="A150" s="111" t="n"/>
      <c r="B150" s="37" t="n"/>
      <c r="C150" s="111" t="n"/>
      <c r="D150" s="111" t="n"/>
      <c r="E150" s="36" t="n"/>
      <c r="F150" s="3" t="n"/>
      <c r="G150" s="34" t="n"/>
      <c r="H150" s="6" t="n"/>
      <c r="I150" s="6" t="n"/>
    </row>
    <row r="151">
      <c r="A151" s="116" t="inlineStr">
        <is>
          <t>8.2.6</t>
        </is>
      </c>
      <c r="B151" s="116">
        <f>СПРАВОЧНИК!C14</f>
        <v/>
      </c>
      <c r="C151" s="116" t="inlineStr">
        <is>
          <t>Главная</t>
        </is>
      </c>
      <c r="D151" s="111" t="n"/>
      <c r="E151" s="36" t="n"/>
      <c r="F151" s="129">
        <f>СПРАВОЧНИК!D14</f>
        <v/>
      </c>
      <c r="G151" s="130">
        <f>G152*D152+G156*D156</f>
        <v/>
      </c>
      <c r="H151" s="131">
        <f>IF(F151=0,0,G151/F151)</f>
        <v/>
      </c>
      <c r="I151" s="131">
        <f>I152+I156</f>
        <v/>
      </c>
    </row>
    <row r="152">
      <c r="A152" s="111" t="n"/>
      <c r="B152" s="116" t="inlineStr">
        <is>
          <t xml:space="preserve">  Черновая</t>
        </is>
      </c>
      <c r="C152" s="116" t="inlineStr">
        <is>
          <t>Категория</t>
        </is>
      </c>
      <c r="D152" s="116">
        <f>СПРАВОЧНИК!E14</f>
        <v/>
      </c>
      <c r="F152" s="116">
        <f>F151</f>
        <v/>
      </c>
      <c r="G152" s="116">
        <f>G153*E153+G154*E154+G155*E155</f>
        <v/>
      </c>
      <c r="H152" s="116">
        <f>IF(F152=0,0,G152/F152)</f>
        <v/>
      </c>
      <c r="I152" s="116">
        <f>H152*D152</f>
        <v/>
      </c>
    </row>
    <row r="153">
      <c r="A153" s="111" t="n"/>
      <c r="B153" s="132" t="inlineStr">
        <is>
          <t xml:space="preserve">   Пол</t>
        </is>
      </c>
      <c r="C153" s="116" t="inlineStr">
        <is>
          <t>Вид</t>
        </is>
      </c>
      <c r="D153" s="36" t="n"/>
      <c r="E153" s="116">
        <f>СПРАВОЧНИК!$H$14</f>
        <v/>
      </c>
      <c r="F153" s="129">
        <f>F151</f>
        <v/>
      </c>
      <c r="G153" s="130">
        <f>SUM('ФАКТ ЧЕРН К1'!Q5:Q100)</f>
        <v/>
      </c>
      <c r="H153" s="131">
        <f>IF(F153=0,0,G153/F153)</f>
        <v/>
      </c>
      <c r="I153" s="131">
        <f>H153*E153</f>
        <v/>
      </c>
    </row>
    <row r="154">
      <c r="A154" s="111" t="n"/>
      <c r="B154" s="116" t="inlineStr">
        <is>
          <t xml:space="preserve">   Стены</t>
        </is>
      </c>
      <c r="C154" s="116" t="inlineStr">
        <is>
          <t>Вид</t>
        </is>
      </c>
      <c r="D154" s="111" t="n"/>
      <c r="E154" s="133">
        <f>СПРАВОЧНИК!$I$14</f>
        <v/>
      </c>
      <c r="F154" s="129">
        <f>F151</f>
        <v/>
      </c>
      <c r="G154" s="130">
        <f>SUM('ФАКТ ЧЕРН К1'!R5:R100)</f>
        <v/>
      </c>
      <c r="H154" s="131">
        <f>IF(F154=0,0,G154/F154)</f>
        <v/>
      </c>
      <c r="I154" s="131">
        <f>H154*E154</f>
        <v/>
      </c>
    </row>
    <row r="155">
      <c r="A155" s="111" t="n"/>
      <c r="B155" s="116" t="inlineStr">
        <is>
          <t xml:space="preserve">   Потолок</t>
        </is>
      </c>
      <c r="C155" s="116" t="inlineStr">
        <is>
          <t>Вид</t>
        </is>
      </c>
      <c r="D155" s="111" t="n"/>
      <c r="E155" s="133">
        <f>СПРАВОЧНИК!$J$14</f>
        <v/>
      </c>
      <c r="F155" s="129">
        <f>F151</f>
        <v/>
      </c>
      <c r="G155" s="130">
        <f>SUM('ФАКТ ЧЕРН К1'!S5:S100)</f>
        <v/>
      </c>
      <c r="H155" s="131">
        <f>IF(F155=0,0,G155/F155)</f>
        <v/>
      </c>
      <c r="I155" s="131">
        <f>H155*E155</f>
        <v/>
      </c>
    </row>
    <row r="156">
      <c r="A156" s="111" t="n"/>
      <c r="B156" s="116" t="inlineStr">
        <is>
          <t xml:space="preserve">  Чистовая</t>
        </is>
      </c>
      <c r="C156" s="116" t="inlineStr">
        <is>
          <t>Категория</t>
        </is>
      </c>
      <c r="D156" s="116">
        <f>СПРАВОЧНИК!F14</f>
        <v/>
      </c>
      <c r="E156" s="36" t="n"/>
      <c r="F156" s="129">
        <f>F151</f>
        <v/>
      </c>
      <c r="G156" s="130">
        <f>G157*E157+G158*E158+G159*E159+G160*E160+G161*E161</f>
        <v/>
      </c>
      <c r="H156" s="131">
        <f>IF(F156=0,0,G156/F156)</f>
        <v/>
      </c>
      <c r="I156" s="131">
        <f>H156*D156</f>
        <v/>
      </c>
    </row>
    <row r="157">
      <c r="B157" s="134" t="inlineStr">
        <is>
          <t xml:space="preserve">   Пол</t>
        </is>
      </c>
      <c r="C157" s="116" t="inlineStr">
        <is>
          <t>Вид</t>
        </is>
      </c>
      <c r="D157" s="38" t="n"/>
      <c r="E157" s="116">
        <f>СПРАВОЧНИК!$L$14</f>
        <v/>
      </c>
      <c r="F157" s="116">
        <f>F151</f>
        <v/>
      </c>
      <c r="G157" s="116">
        <f>SUM('ФАКТ ЧИСТ К1'!AA5:AA100)</f>
        <v/>
      </c>
      <c r="H157" s="116">
        <f>IF(F157=0,0,G157/F157)</f>
        <v/>
      </c>
      <c r="I157" s="116">
        <f>H157*E157</f>
        <v/>
      </c>
    </row>
    <row r="158">
      <c r="B158" s="116" t="inlineStr">
        <is>
          <t xml:space="preserve">   Стены</t>
        </is>
      </c>
      <c r="C158" s="116" t="inlineStr">
        <is>
          <t>Вид</t>
        </is>
      </c>
      <c r="E158" s="116">
        <f>СПРАВОЧНИК!$M$14</f>
        <v/>
      </c>
      <c r="F158" s="116">
        <f>F151</f>
        <v/>
      </c>
      <c r="G158" s="116">
        <f>SUM('ФАКТ ЧИСТ К1'!AB5:AB100)</f>
        <v/>
      </c>
      <c r="H158" s="116">
        <f>IF(F158=0,0,G158/F158)</f>
        <v/>
      </c>
      <c r="I158" s="116">
        <f>H158*E158</f>
        <v/>
      </c>
    </row>
    <row r="159" ht="63" customHeight="1" s="102">
      <c r="A159" s="103" t="n"/>
      <c r="B159" s="116" t="inlineStr">
        <is>
          <t xml:space="preserve">   Потолок</t>
        </is>
      </c>
      <c r="C159" s="116" t="inlineStr">
        <is>
          <t>Вид</t>
        </is>
      </c>
      <c r="E159" s="116">
        <f>СПРАВОЧНИК!$N$14</f>
        <v/>
      </c>
      <c r="F159" s="116">
        <f>F151</f>
        <v/>
      </c>
      <c r="G159" s="116">
        <f>SUM('ФАКТ ЧИСТ К1'!AC5:AC100)</f>
        <v/>
      </c>
      <c r="H159" s="116">
        <f>IF(F159=0,0,G159/F159)</f>
        <v/>
      </c>
      <c r="I159" s="116">
        <f>H159*E159</f>
        <v/>
      </c>
    </row>
    <row r="160">
      <c r="A160" s="108" t="n"/>
      <c r="B160" s="136" t="inlineStr">
        <is>
          <t xml:space="preserve">   Заполн. проемов</t>
        </is>
      </c>
      <c r="C160" s="136" t="inlineStr">
        <is>
          <t>Вид</t>
        </is>
      </c>
      <c r="D160" s="108" t="n"/>
      <c r="E160" s="136">
        <f>СПРАВОЧНИК!$O$14</f>
        <v/>
      </c>
      <c r="F160" s="136">
        <f>F151</f>
        <v/>
      </c>
      <c r="G160" s="136">
        <f>SUM('ФАКТ ЧИСТ К1'!AD5:AD100)</f>
        <v/>
      </c>
      <c r="H160" s="136">
        <f>IF(F160=0,0,G160/F160)</f>
        <v/>
      </c>
      <c r="I160" s="136">
        <f>H160*E160</f>
        <v/>
      </c>
    </row>
    <row r="161">
      <c r="A161" s="8" t="n"/>
      <c r="B161" s="128" t="inlineStr">
        <is>
          <t xml:space="preserve">   Меблировка</t>
        </is>
      </c>
      <c r="C161" s="116" t="inlineStr">
        <is>
          <t>Вид</t>
        </is>
      </c>
      <c r="D161" s="111" t="n"/>
      <c r="E161" s="116">
        <f>СПРАВОЧНИК!$P$14</f>
        <v/>
      </c>
      <c r="F161" s="129">
        <f>F151</f>
        <v/>
      </c>
      <c r="G161" s="130">
        <f>SUM('ФАКТ ЧИСТ К1'!AE5:AE100)</f>
        <v/>
      </c>
      <c r="H161" s="131">
        <f>IF(F161=0,0,G161/F161)</f>
        <v/>
      </c>
      <c r="I161" s="131">
        <f>H161*E161</f>
        <v/>
      </c>
    </row>
    <row r="162">
      <c r="A162" s="111" t="n"/>
      <c r="B162" s="132" t="inlineStr">
        <is>
          <t xml:space="preserve">  ✓ Сумма</t>
        </is>
      </c>
      <c r="C162" s="111" t="n"/>
      <c r="D162" s="133">
        <f>D152+D156</f>
        <v/>
      </c>
      <c r="E162" s="111" t="n"/>
      <c r="F162" s="3" t="n"/>
      <c r="G162" s="34" t="n"/>
      <c r="H162" s="6" t="n"/>
      <c r="I162" s="6" t="n"/>
    </row>
    <row r="163">
      <c r="A163" s="111" t="n"/>
      <c r="B163" s="37" t="n"/>
      <c r="C163" s="111" t="n"/>
      <c r="D163" s="111" t="n"/>
      <c r="E163" s="36" t="n"/>
      <c r="F163" s="3" t="n"/>
      <c r="G163" s="34" t="n"/>
      <c r="H163" s="6" t="n"/>
      <c r="I163" s="6" t="n"/>
    </row>
    <row r="164">
      <c r="A164" s="116" t="inlineStr">
        <is>
          <t>8.2.7</t>
        </is>
      </c>
      <c r="B164" s="116">
        <f>СПРАВОЧНИК!C15</f>
        <v/>
      </c>
      <c r="C164" s="116" t="inlineStr">
        <is>
          <t>Главная</t>
        </is>
      </c>
      <c r="D164" s="111" t="n"/>
      <c r="E164" s="36" t="n"/>
      <c r="F164" s="129">
        <f>СПРАВОЧНИК!D15</f>
        <v/>
      </c>
      <c r="G164" s="130">
        <f>G165*D165+G169*D169</f>
        <v/>
      </c>
      <c r="H164" s="131">
        <f>IF(F164=0,0,G164/F164)</f>
        <v/>
      </c>
      <c r="I164" s="131">
        <f>I165+I169</f>
        <v/>
      </c>
    </row>
    <row r="165">
      <c r="A165" s="111" t="n"/>
      <c r="B165" s="116" t="inlineStr">
        <is>
          <t xml:space="preserve">  Черновая</t>
        </is>
      </c>
      <c r="C165" s="116" t="inlineStr">
        <is>
          <t>Категория</t>
        </is>
      </c>
      <c r="D165" s="116">
        <f>СПРАВОЧНИК!E15</f>
        <v/>
      </c>
      <c r="E165" s="36" t="n"/>
      <c r="F165" s="129">
        <f>F164</f>
        <v/>
      </c>
      <c r="G165" s="130">
        <f>G166*E166+G167*E167+G168*E168</f>
        <v/>
      </c>
      <c r="H165" s="131">
        <f>IF(F165=0,0,G165/F165)</f>
        <v/>
      </c>
      <c r="I165" s="131">
        <f>H165*D165</f>
        <v/>
      </c>
    </row>
    <row r="166">
      <c r="A166" s="111" t="n"/>
      <c r="B166" s="132" t="inlineStr">
        <is>
          <t xml:space="preserve">   Пол</t>
        </is>
      </c>
      <c r="C166" s="116" t="inlineStr">
        <is>
          <t>Вид</t>
        </is>
      </c>
      <c r="D166" s="36" t="n"/>
      <c r="E166" s="116">
        <f>СПРАВОЧНИК!$H$15</f>
        <v/>
      </c>
      <c r="F166" s="129">
        <f>F164</f>
        <v/>
      </c>
      <c r="G166" s="130">
        <f>SUM('ФАКТ ЧЕРН К1'!T5:T100)</f>
        <v/>
      </c>
      <c r="H166" s="131">
        <f>IF(F166=0,0,G166/F166)</f>
        <v/>
      </c>
      <c r="I166" s="131">
        <f>H166*E166</f>
        <v/>
      </c>
    </row>
    <row r="167">
      <c r="A167" s="111" t="n"/>
      <c r="B167" s="116" t="inlineStr">
        <is>
          <t xml:space="preserve">   Стены</t>
        </is>
      </c>
      <c r="C167" s="116" t="inlineStr">
        <is>
          <t>Вид</t>
        </is>
      </c>
      <c r="D167" s="111" t="n"/>
      <c r="E167" s="133">
        <f>СПРАВОЧНИК!$I$15</f>
        <v/>
      </c>
      <c r="F167" s="129">
        <f>F164</f>
        <v/>
      </c>
      <c r="G167" s="130">
        <f>SUM('ФАКТ ЧЕРН К1'!U5:U100)</f>
        <v/>
      </c>
      <c r="H167" s="131">
        <f>IF(F167=0,0,G167/F167)</f>
        <v/>
      </c>
      <c r="I167" s="131">
        <f>H167*E167</f>
        <v/>
      </c>
    </row>
    <row r="168">
      <c r="A168" s="111" t="n"/>
      <c r="B168" s="116" t="inlineStr">
        <is>
          <t xml:space="preserve">   Потолок</t>
        </is>
      </c>
      <c r="C168" s="116" t="inlineStr">
        <is>
          <t>Вид</t>
        </is>
      </c>
      <c r="D168" s="111" t="n"/>
      <c r="E168" s="133">
        <f>СПРАВОЧНИК!$J$15</f>
        <v/>
      </c>
      <c r="F168" s="129">
        <f>F164</f>
        <v/>
      </c>
      <c r="G168" s="130">
        <f>SUM('ФАКТ ЧЕРН К1'!V5:V100)</f>
        <v/>
      </c>
      <c r="H168" s="131">
        <f>IF(F168=0,0,G168/F168)</f>
        <v/>
      </c>
      <c r="I168" s="131">
        <f>H168*E168</f>
        <v/>
      </c>
    </row>
    <row r="169">
      <c r="A169" s="111" t="n"/>
      <c r="B169" s="116" t="inlineStr">
        <is>
          <t xml:space="preserve">  Чистовая</t>
        </is>
      </c>
      <c r="C169" s="116" t="inlineStr">
        <is>
          <t>Категория</t>
        </is>
      </c>
      <c r="D169" s="116">
        <f>СПРАВОЧНИК!F15</f>
        <v/>
      </c>
      <c r="E169" s="36" t="n"/>
      <c r="F169" s="129">
        <f>F164</f>
        <v/>
      </c>
      <c r="G169" s="130">
        <f>G170*E170+G171*E171+G172*E172+G173*E173+G174*E174</f>
        <v/>
      </c>
      <c r="H169" s="131">
        <f>IF(F169=0,0,G169/F169)</f>
        <v/>
      </c>
      <c r="I169" s="131">
        <f>H169*D169</f>
        <v/>
      </c>
    </row>
    <row r="170">
      <c r="A170" s="111" t="n"/>
      <c r="B170" s="116" t="inlineStr">
        <is>
          <t xml:space="preserve">   Пол</t>
        </is>
      </c>
      <c r="C170" s="116" t="inlineStr">
        <is>
          <t>Вид</t>
        </is>
      </c>
      <c r="D170" s="111" t="n"/>
      <c r="E170" s="133">
        <f>СПРАВОЧНИК!$L$15</f>
        <v/>
      </c>
      <c r="F170" s="129">
        <f>F164</f>
        <v/>
      </c>
      <c r="G170" s="130">
        <f>SUM('ФАКТ ЧИСТ К1'!AF5:AF100)</f>
        <v/>
      </c>
      <c r="H170" s="131">
        <f>IF(F170=0,0,G170/F170)</f>
        <v/>
      </c>
      <c r="I170" s="131">
        <f>H170*E170</f>
        <v/>
      </c>
    </row>
    <row r="171">
      <c r="B171" s="134" t="inlineStr">
        <is>
          <t xml:space="preserve">   Стены</t>
        </is>
      </c>
      <c r="C171" s="116" t="inlineStr">
        <is>
          <t>Вид</t>
        </is>
      </c>
      <c r="D171" s="38" t="n"/>
      <c r="E171" s="116">
        <f>СПРАВОЧНИК!$M$15</f>
        <v/>
      </c>
      <c r="F171" s="116">
        <f>F164</f>
        <v/>
      </c>
      <c r="G171" s="116">
        <f>SUM('ФАКТ ЧИСТ К1'!AG5:AG100)</f>
        <v/>
      </c>
      <c r="H171" s="116">
        <f>IF(F171=0,0,G171/F171)</f>
        <v/>
      </c>
      <c r="I171" s="116">
        <f>H171*E171</f>
        <v/>
      </c>
    </row>
    <row r="172">
      <c r="B172" s="116" t="inlineStr">
        <is>
          <t xml:space="preserve">   Потолок</t>
        </is>
      </c>
      <c r="C172" s="116" t="inlineStr">
        <is>
          <t>Вид</t>
        </is>
      </c>
      <c r="E172" s="116">
        <f>СПРАВОЧНИК!$N$15</f>
        <v/>
      </c>
      <c r="F172" s="116">
        <f>F164</f>
        <v/>
      </c>
      <c r="G172" s="116">
        <f>SUM('ФАКТ ЧИСТ К1'!AH5:AH100)</f>
        <v/>
      </c>
      <c r="H172" s="116">
        <f>IF(F172=0,0,G172/F172)</f>
        <v/>
      </c>
      <c r="I172" s="116">
        <f>H172*E172</f>
        <v/>
      </c>
    </row>
    <row r="173">
      <c r="A173" s="8" t="n"/>
      <c r="B173" s="128" t="inlineStr">
        <is>
          <t xml:space="preserve">   Заполн. проемов</t>
        </is>
      </c>
      <c r="C173" s="116" t="inlineStr">
        <is>
          <t>Вид</t>
        </is>
      </c>
      <c r="D173" s="111" t="n"/>
      <c r="E173" s="116">
        <f>СПРАВОЧНИК!$O$15</f>
        <v/>
      </c>
      <c r="F173" s="129">
        <f>F164</f>
        <v/>
      </c>
      <c r="G173" s="130">
        <f>SUM('ФАКТ ЧИСТ К1'!AI5:AI100)</f>
        <v/>
      </c>
      <c r="H173" s="131">
        <f>IF(F173=0,0,G173/F173)</f>
        <v/>
      </c>
      <c r="I173" s="131">
        <f>H173*E173</f>
        <v/>
      </c>
    </row>
    <row r="174">
      <c r="A174" s="111" t="n"/>
      <c r="B174" s="132" t="inlineStr">
        <is>
          <t xml:space="preserve">   Меблировка</t>
        </is>
      </c>
      <c r="C174" s="116" t="inlineStr">
        <is>
          <t>Вид</t>
        </is>
      </c>
      <c r="D174" s="36" t="n"/>
      <c r="E174" s="116">
        <f>СПРАВОЧНИК!$P$15</f>
        <v/>
      </c>
      <c r="F174" s="129">
        <f>F164</f>
        <v/>
      </c>
      <c r="G174" s="130">
        <f>SUM('ФАКТ ЧИСТ К1'!AJ5:AJ100)</f>
        <v/>
      </c>
      <c r="H174" s="131">
        <f>IF(F174=0,0,G174/F174)</f>
        <v/>
      </c>
      <c r="I174" s="131">
        <f>H174*E174</f>
        <v/>
      </c>
    </row>
    <row r="175">
      <c r="A175" s="111" t="n"/>
      <c r="B175" s="116" t="inlineStr">
        <is>
          <t xml:space="preserve">  ✓ Сумма</t>
        </is>
      </c>
      <c r="C175" s="111" t="n"/>
      <c r="D175" s="116">
        <f>D165+D169</f>
        <v/>
      </c>
      <c r="E175" s="36" t="n"/>
      <c r="F175" s="3" t="n"/>
      <c r="G175" s="34" t="n"/>
      <c r="H175" s="6" t="n"/>
      <c r="I175" s="6" t="n"/>
    </row>
    <row r="176">
      <c r="A176" s="111" t="n"/>
      <c r="B176" s="37" t="n"/>
      <c r="C176" s="111" t="n"/>
      <c r="D176" s="111" t="n"/>
      <c r="E176" s="36" t="n"/>
      <c r="F176" s="3" t="n"/>
      <c r="G176" s="34" t="n"/>
      <c r="H176" s="6" t="n"/>
      <c r="I176" s="6" t="n"/>
    </row>
    <row r="177">
      <c r="A177" s="137" t="inlineStr">
        <is>
          <t>НАДЗЕМНАЯ ЧАСТЬ — К2</t>
        </is>
      </c>
      <c r="B177" s="105" t="n"/>
      <c r="C177" s="105" t="n"/>
      <c r="D177" s="105" t="n"/>
      <c r="E177" s="105" t="n"/>
      <c r="F177" s="105" t="n"/>
      <c r="G177" s="105" t="n"/>
      <c r="H177" s="105" t="n"/>
      <c r="I177" s="106" t="n"/>
    </row>
    <row r="178">
      <c r="A178" s="115" t="inlineStr">
        <is>
          <t>Код</t>
        </is>
      </c>
      <c r="B178" s="115" t="inlineStr">
        <is>
          <t>Название</t>
        </is>
      </c>
      <c r="C178" s="115" t="inlineStr">
        <is>
          <t>Тип</t>
        </is>
      </c>
      <c r="D178" s="138" t="inlineStr">
        <is>
          <t>Вес ур.4</t>
        </is>
      </c>
      <c r="E178" s="115" t="inlineStr">
        <is>
          <t>Вес ур.5</t>
        </is>
      </c>
      <c r="F178" s="139" t="inlineStr">
        <is>
          <t>План м²</t>
        </is>
      </c>
      <c r="G178" s="140" t="inlineStr">
        <is>
          <t>Факт м²</t>
        </is>
      </c>
      <c r="H178" s="141" t="inlineStr">
        <is>
          <t>Факт %</t>
        </is>
      </c>
      <c r="I178" s="141" t="inlineStr">
        <is>
          <t>Взвеш. %</t>
        </is>
      </c>
    </row>
    <row r="179">
      <c r="A179" s="116" t="inlineStr">
        <is>
          <t>8.2.1</t>
        </is>
      </c>
      <c r="B179" s="116">
        <f>СПРАВОЧНИК!C9</f>
        <v/>
      </c>
      <c r="C179" s="116" t="inlineStr">
        <is>
          <t>Главная</t>
        </is>
      </c>
      <c r="D179" s="111" t="n"/>
      <c r="E179" s="36" t="n"/>
      <c r="F179" s="129">
        <f>СПРАВОЧНИК!D9</f>
        <v/>
      </c>
      <c r="G179" s="130">
        <f>G180*D180+G184*D184</f>
        <v/>
      </c>
      <c r="H179" s="131">
        <f>IF(F179=0,0,G179/F179)</f>
        <v/>
      </c>
      <c r="I179" s="131">
        <f>I180+I184</f>
        <v/>
      </c>
    </row>
    <row r="180">
      <c r="A180" s="111" t="n"/>
      <c r="B180" s="116" t="inlineStr">
        <is>
          <t xml:space="preserve">  Черновая</t>
        </is>
      </c>
      <c r="C180" s="116" t="inlineStr">
        <is>
          <t>Категория</t>
        </is>
      </c>
      <c r="D180" s="116">
        <f>СПРАВОЧНИК!E9</f>
        <v/>
      </c>
      <c r="E180" s="36" t="n"/>
      <c r="F180" s="129">
        <f>F179</f>
        <v/>
      </c>
      <c r="G180" s="130">
        <f>G181*E181+G182*E182+G183*E183</f>
        <v/>
      </c>
      <c r="H180" s="131">
        <f>IF(F180=0,0,G180/F180)</f>
        <v/>
      </c>
      <c r="I180" s="131">
        <f>H180*D180</f>
        <v/>
      </c>
    </row>
    <row r="181">
      <c r="A181" s="111" t="n"/>
      <c r="B181" s="116" t="inlineStr">
        <is>
          <t xml:space="preserve">   Пол</t>
        </is>
      </c>
      <c r="C181" s="116" t="inlineStr">
        <is>
          <t>Вид</t>
        </is>
      </c>
      <c r="D181" s="111" t="n"/>
      <c r="E181" s="133">
        <f>СПРАВОЧНИК!$H$9</f>
        <v/>
      </c>
      <c r="F181" s="129">
        <f>F179</f>
        <v/>
      </c>
      <c r="G181" s="130">
        <f>SUM('ФАКТ ЧЕРН К2'!B5:B100)</f>
        <v/>
      </c>
      <c r="H181" s="131">
        <f>IF(F181=0,0,G181/F181)</f>
        <v/>
      </c>
      <c r="I181" s="131">
        <f>H181*E181</f>
        <v/>
      </c>
    </row>
    <row r="182">
      <c r="A182" s="111" t="n"/>
      <c r="B182" s="116" t="inlineStr">
        <is>
          <t xml:space="preserve">   Стены</t>
        </is>
      </c>
      <c r="C182" s="116" t="inlineStr">
        <is>
          <t>Вид</t>
        </is>
      </c>
      <c r="D182" s="111" t="n"/>
      <c r="E182" s="133">
        <f>СПРАВОЧНИК!$I$9</f>
        <v/>
      </c>
      <c r="F182" s="129">
        <f>F179</f>
        <v/>
      </c>
      <c r="G182" s="130">
        <f>SUM('ФАКТ ЧЕРН К2'!C5:C100)</f>
        <v/>
      </c>
      <c r="H182" s="131">
        <f>IF(F182=0,0,G182/F182)</f>
        <v/>
      </c>
      <c r="I182" s="131">
        <f>H182*E182</f>
        <v/>
      </c>
    </row>
    <row r="183">
      <c r="B183" s="134" t="inlineStr">
        <is>
          <t xml:space="preserve">   Потолок</t>
        </is>
      </c>
      <c r="C183" s="116" t="inlineStr">
        <is>
          <t>Вид</t>
        </is>
      </c>
      <c r="D183" s="38" t="n"/>
      <c r="E183" s="116">
        <f>СПРАВОЧНИК!$J$9</f>
        <v/>
      </c>
      <c r="F183" s="116">
        <f>F179</f>
        <v/>
      </c>
      <c r="G183" s="116">
        <f>SUM('ФАКТ ЧЕРН К2'!D5:D100)</f>
        <v/>
      </c>
      <c r="H183" s="116">
        <f>IF(F183=0,0,G183/F183)</f>
        <v/>
      </c>
      <c r="I183" s="116">
        <f>H183*E183</f>
        <v/>
      </c>
    </row>
    <row r="184">
      <c r="B184" s="116" t="inlineStr">
        <is>
          <t xml:space="preserve">  Чистовая</t>
        </is>
      </c>
      <c r="C184" s="116" t="inlineStr">
        <is>
          <t>Категория</t>
        </is>
      </c>
      <c r="D184" s="116">
        <f>СПРАВОЧНИК!F9</f>
        <v/>
      </c>
      <c r="F184" s="116">
        <f>F179</f>
        <v/>
      </c>
      <c r="G184" s="116">
        <f>G185*E185+G186*E186+G187*E187+G188*E188+G189*E189</f>
        <v/>
      </c>
      <c r="H184" s="116">
        <f>IF(F184=0,0,G184/F184)</f>
        <v/>
      </c>
      <c r="I184" s="116">
        <f>H184*D184</f>
        <v/>
      </c>
    </row>
    <row r="185">
      <c r="A185" s="8" t="n"/>
      <c r="B185" s="128" t="inlineStr">
        <is>
          <t xml:space="preserve">   Пол</t>
        </is>
      </c>
      <c r="C185" s="116" t="inlineStr">
        <is>
          <t>Вид</t>
        </is>
      </c>
      <c r="D185" s="111" t="n"/>
      <c r="E185" s="116">
        <f>СПРАВОЧНИК!$L$9</f>
        <v/>
      </c>
      <c r="F185" s="129">
        <f>F179</f>
        <v/>
      </c>
      <c r="G185" s="130">
        <f>SUM('ФАКТ ЧИСТ К2'!B5:B100)</f>
        <v/>
      </c>
      <c r="H185" s="131">
        <f>IF(F185=0,0,G185/F185)</f>
        <v/>
      </c>
      <c r="I185" s="131">
        <f>H185*E185</f>
        <v/>
      </c>
    </row>
    <row r="186">
      <c r="A186" s="111" t="n"/>
      <c r="B186" s="132" t="inlineStr">
        <is>
          <t xml:space="preserve">   Стены</t>
        </is>
      </c>
      <c r="C186" s="116" t="inlineStr">
        <is>
          <t>Вид</t>
        </is>
      </c>
      <c r="D186" s="36" t="n"/>
      <c r="E186" s="116">
        <f>СПРАВОЧНИК!$M$9</f>
        <v/>
      </c>
      <c r="F186" s="129">
        <f>F179</f>
        <v/>
      </c>
      <c r="G186" s="130">
        <f>SUM('ФАКТ ЧИСТ К2'!C5:C100)</f>
        <v/>
      </c>
      <c r="H186" s="131">
        <f>IF(F186=0,0,G186/F186)</f>
        <v/>
      </c>
      <c r="I186" s="131">
        <f>H186*E186</f>
        <v/>
      </c>
    </row>
    <row r="187">
      <c r="A187" s="111" t="n"/>
      <c r="B187" s="116" t="inlineStr">
        <is>
          <t xml:space="preserve">   Потолок</t>
        </is>
      </c>
      <c r="C187" s="116" t="inlineStr">
        <is>
          <t>Вид</t>
        </is>
      </c>
      <c r="D187" s="111" t="n"/>
      <c r="E187" s="133">
        <f>СПРАВОЧНИК!$N$9</f>
        <v/>
      </c>
      <c r="F187" s="129">
        <f>F179</f>
        <v/>
      </c>
      <c r="G187" s="130">
        <f>SUM('ФАКТ ЧИСТ К2'!D5:D100)</f>
        <v/>
      </c>
      <c r="H187" s="131">
        <f>IF(F187=0,0,G187/F187)</f>
        <v/>
      </c>
      <c r="I187" s="131">
        <f>H187*E187</f>
        <v/>
      </c>
    </row>
    <row r="188">
      <c r="A188" s="111" t="n"/>
      <c r="B188" s="116" t="inlineStr">
        <is>
          <t xml:space="preserve">   Заполн. проемов</t>
        </is>
      </c>
      <c r="C188" s="116" t="inlineStr">
        <is>
          <t>Вид</t>
        </is>
      </c>
      <c r="D188" s="111" t="n"/>
      <c r="E188" s="133">
        <f>СПРАВОЧНИК!$O$9</f>
        <v/>
      </c>
      <c r="F188" s="129">
        <f>F179</f>
        <v/>
      </c>
      <c r="G188" s="130">
        <f>SUM('ФАКТ ЧИСТ К2'!E5:E100)</f>
        <v/>
      </c>
      <c r="H188" s="131">
        <f>IF(F188=0,0,G188/F188)</f>
        <v/>
      </c>
      <c r="I188" s="131">
        <f>H188*E188</f>
        <v/>
      </c>
    </row>
    <row r="189">
      <c r="A189" s="111" t="n"/>
      <c r="B189" s="116" t="inlineStr">
        <is>
          <t xml:space="preserve">   Меблировка</t>
        </is>
      </c>
      <c r="C189" s="116" t="inlineStr">
        <is>
          <t>Вид</t>
        </is>
      </c>
      <c r="D189" s="111" t="n"/>
      <c r="E189" s="133">
        <f>СПРАВОЧНИК!$P$9</f>
        <v/>
      </c>
      <c r="F189" s="129">
        <f>F179</f>
        <v/>
      </c>
      <c r="G189" s="130">
        <f>SUM('ФАКТ ЧИСТ К2'!F5:F100)</f>
        <v/>
      </c>
      <c r="H189" s="131">
        <f>IF(F189=0,0,G189/F189)</f>
        <v/>
      </c>
      <c r="I189" s="131">
        <f>H189*E189</f>
        <v/>
      </c>
    </row>
    <row r="190">
      <c r="A190" s="111" t="n"/>
      <c r="B190" s="132" t="inlineStr">
        <is>
          <t xml:space="preserve">  ✓ Сумма</t>
        </is>
      </c>
      <c r="C190" s="111" t="n"/>
      <c r="D190" s="133">
        <f>D180+D184</f>
        <v/>
      </c>
      <c r="E190" s="111" t="n"/>
      <c r="F190" s="3" t="n"/>
      <c r="G190" s="34" t="n"/>
      <c r="H190" s="6" t="n"/>
      <c r="I190" s="6" t="n"/>
    </row>
    <row r="191">
      <c r="A191" s="111" t="n"/>
      <c r="B191" s="37" t="n"/>
      <c r="C191" s="111" t="n"/>
      <c r="D191" s="111" t="n"/>
      <c r="E191" s="36" t="n"/>
      <c r="F191" s="3" t="n"/>
      <c r="G191" s="34" t="n"/>
      <c r="H191" s="6" t="n"/>
      <c r="I191" s="6" t="n"/>
    </row>
    <row r="192">
      <c r="A192" s="116" t="inlineStr">
        <is>
          <t>8.2.2</t>
        </is>
      </c>
      <c r="B192" s="116">
        <f>СПРАВОЧНИК!C10</f>
        <v/>
      </c>
      <c r="C192" s="116" t="inlineStr">
        <is>
          <t>Главная</t>
        </is>
      </c>
      <c r="D192" s="111" t="n"/>
      <c r="E192" s="36" t="n"/>
      <c r="F192" s="129">
        <f>СПРАВОЧНИК!D10</f>
        <v/>
      </c>
      <c r="G192" s="130">
        <f>G193*D193+G197*D197</f>
        <v/>
      </c>
      <c r="H192" s="131">
        <f>IF(F192=0,0,G192/F192)</f>
        <v/>
      </c>
      <c r="I192" s="131">
        <f>I193+I197</f>
        <v/>
      </c>
    </row>
    <row r="193">
      <c r="A193" s="111" t="n"/>
      <c r="B193" s="116" t="inlineStr">
        <is>
          <t xml:space="preserve">  Черновая</t>
        </is>
      </c>
      <c r="C193" s="116" t="inlineStr">
        <is>
          <t>Категория</t>
        </is>
      </c>
      <c r="D193" s="116">
        <f>СПРАВОЧНИК!E10</f>
        <v/>
      </c>
      <c r="E193" s="36" t="n"/>
      <c r="F193" s="129">
        <f>F192</f>
        <v/>
      </c>
      <c r="G193" s="130">
        <f>G194*E194+G195*E195+G196*E196</f>
        <v/>
      </c>
      <c r="H193" s="131">
        <f>IF(F193=0,0,G193/F193)</f>
        <v/>
      </c>
      <c r="I193" s="131">
        <f>H193*D193</f>
        <v/>
      </c>
    </row>
    <row r="194">
      <c r="B194" s="134" t="inlineStr">
        <is>
          <t xml:space="preserve">   Пол</t>
        </is>
      </c>
      <c r="C194" s="116" t="inlineStr">
        <is>
          <t>Вид</t>
        </is>
      </c>
      <c r="D194" s="38" t="n"/>
      <c r="E194" s="116">
        <f>СПРАВОЧНИК!$H$10</f>
        <v/>
      </c>
      <c r="F194" s="116">
        <f>F192</f>
        <v/>
      </c>
      <c r="G194" s="116">
        <f>SUM('ФАКТ ЧЕРН К2'!E5:E100)</f>
        <v/>
      </c>
      <c r="H194" s="116">
        <f>IF(F194=0,0,G194/F194)</f>
        <v/>
      </c>
      <c r="I194" s="116">
        <f>H194*E194</f>
        <v/>
      </c>
    </row>
    <row r="195">
      <c r="B195" s="116" t="inlineStr">
        <is>
          <t xml:space="preserve">   Стены</t>
        </is>
      </c>
      <c r="C195" s="116" t="inlineStr">
        <is>
          <t>Вид</t>
        </is>
      </c>
      <c r="E195" s="116">
        <f>СПРАВОЧНИК!$I$10</f>
        <v/>
      </c>
      <c r="F195" s="116">
        <f>F192</f>
        <v/>
      </c>
      <c r="G195" s="116">
        <f>SUM('ФАКТ ЧЕРН К2'!F5:F100)</f>
        <v/>
      </c>
      <c r="H195" s="116">
        <f>IF(F195=0,0,G195/F195)</f>
        <v/>
      </c>
      <c r="I195" s="116">
        <f>H195*E195</f>
        <v/>
      </c>
    </row>
    <row r="196">
      <c r="A196" s="8" t="n"/>
      <c r="B196" s="128" t="inlineStr">
        <is>
          <t xml:space="preserve">   Потолок</t>
        </is>
      </c>
      <c r="C196" s="116" t="inlineStr">
        <is>
          <t>Вид</t>
        </is>
      </c>
      <c r="D196" s="111" t="n"/>
      <c r="E196" s="116">
        <f>СПРАВОЧНИК!$J$10</f>
        <v/>
      </c>
      <c r="F196" s="129">
        <f>F192</f>
        <v/>
      </c>
      <c r="G196" s="130">
        <f>SUM('ФАКТ ЧЕРН К2'!G5:G100)</f>
        <v/>
      </c>
      <c r="H196" s="131">
        <f>IF(F196=0,0,G196/F196)</f>
        <v/>
      </c>
      <c r="I196" s="131">
        <f>H196*E196</f>
        <v/>
      </c>
    </row>
    <row r="197">
      <c r="A197" s="111" t="n"/>
      <c r="B197" s="132" t="inlineStr">
        <is>
          <t xml:space="preserve">  Чистовая</t>
        </is>
      </c>
      <c r="C197" s="116" t="inlineStr">
        <is>
          <t>Категория</t>
        </is>
      </c>
      <c r="D197" s="133">
        <f>СПРАВОЧНИК!F10</f>
        <v/>
      </c>
      <c r="E197" s="111" t="n"/>
      <c r="F197" s="129">
        <f>F192</f>
        <v/>
      </c>
      <c r="G197" s="130">
        <f>G198*E198+G199*E199+G200*E200+G201*E201+G202*E202</f>
        <v/>
      </c>
      <c r="H197" s="131">
        <f>IF(F197=0,0,G197/F197)</f>
        <v/>
      </c>
      <c r="I197" s="131">
        <f>H197*D197</f>
        <v/>
      </c>
    </row>
    <row r="198">
      <c r="A198" s="111" t="n"/>
      <c r="B198" s="116" t="inlineStr">
        <is>
          <t xml:space="preserve">   Пол</t>
        </is>
      </c>
      <c r="C198" s="116" t="inlineStr">
        <is>
          <t>Вид</t>
        </is>
      </c>
      <c r="D198" s="111" t="n"/>
      <c r="E198" s="133">
        <f>СПРАВОЧНИК!$L$10</f>
        <v/>
      </c>
      <c r="F198" s="129">
        <f>F192</f>
        <v/>
      </c>
      <c r="G198" s="130">
        <f>SUM('ФАКТ ЧИСТ К2'!G5:G100)</f>
        <v/>
      </c>
      <c r="H198" s="131">
        <f>IF(F198=0,0,G198/F198)</f>
        <v/>
      </c>
      <c r="I198" s="131">
        <f>H198*E198</f>
        <v/>
      </c>
    </row>
    <row r="199">
      <c r="A199" s="111" t="n"/>
      <c r="B199" s="116" t="inlineStr">
        <is>
          <t xml:space="preserve">   Стены</t>
        </is>
      </c>
      <c r="C199" s="116" t="inlineStr">
        <is>
          <t>Вид</t>
        </is>
      </c>
      <c r="D199" s="111" t="n"/>
      <c r="E199" s="133">
        <f>СПРАВОЧНИК!$M$10</f>
        <v/>
      </c>
      <c r="F199" s="129">
        <f>F192</f>
        <v/>
      </c>
      <c r="G199" s="130">
        <f>SUM('ФАКТ ЧИСТ К2'!H5:H100)</f>
        <v/>
      </c>
      <c r="H199" s="131">
        <f>IF(F199=0,0,G199/F199)</f>
        <v/>
      </c>
      <c r="I199" s="131">
        <f>H199*E199</f>
        <v/>
      </c>
    </row>
    <row r="200">
      <c r="A200" s="111" t="n"/>
      <c r="B200" s="116" t="inlineStr">
        <is>
          <t xml:space="preserve">   Потолок</t>
        </is>
      </c>
      <c r="C200" s="116" t="inlineStr">
        <is>
          <t>Вид</t>
        </is>
      </c>
      <c r="D200" s="111" t="n"/>
      <c r="E200" s="133">
        <f>СПРАВОЧНИК!$N$10</f>
        <v/>
      </c>
      <c r="F200" s="129">
        <f>F192</f>
        <v/>
      </c>
      <c r="G200" s="130">
        <f>SUM('ФАКТ ЧИСТ К2'!I5:I100)</f>
        <v/>
      </c>
      <c r="H200" s="131">
        <f>IF(F200=0,0,G200/F200)</f>
        <v/>
      </c>
      <c r="I200" s="131">
        <f>H200*E200</f>
        <v/>
      </c>
    </row>
    <row r="201">
      <c r="A201" s="111" t="n"/>
      <c r="B201" s="132" t="inlineStr">
        <is>
          <t xml:space="preserve">   Заполн. проемов</t>
        </is>
      </c>
      <c r="C201" s="116" t="inlineStr">
        <is>
          <t>Вид</t>
        </is>
      </c>
      <c r="D201" s="36" t="n"/>
      <c r="E201" s="116">
        <f>СПРАВОЧНИК!$O$10</f>
        <v/>
      </c>
      <c r="F201" s="129">
        <f>F192</f>
        <v/>
      </c>
      <c r="G201" s="130">
        <f>SUM('ФАКТ ЧИСТ К2'!J5:J100)</f>
        <v/>
      </c>
      <c r="H201" s="131">
        <f>IF(F201=0,0,G201/F201)</f>
        <v/>
      </c>
      <c r="I201" s="131">
        <f>H201*E201</f>
        <v/>
      </c>
    </row>
    <row r="202">
      <c r="A202" s="111" t="n"/>
      <c r="B202" s="116" t="inlineStr">
        <is>
          <t xml:space="preserve">   Меблировка</t>
        </is>
      </c>
      <c r="C202" s="116" t="inlineStr">
        <is>
          <t>Вид</t>
        </is>
      </c>
      <c r="D202" s="111" t="n"/>
      <c r="E202" s="133">
        <f>СПРАВОЧНИК!$P$10</f>
        <v/>
      </c>
      <c r="F202" s="129">
        <f>F192</f>
        <v/>
      </c>
      <c r="G202" s="130">
        <f>SUM('ФАКТ ЧИСТ К2'!K5:K100)</f>
        <v/>
      </c>
      <c r="H202" s="131">
        <f>IF(F202=0,0,G202/F202)</f>
        <v/>
      </c>
      <c r="I202" s="131">
        <f>H202*E202</f>
        <v/>
      </c>
    </row>
    <row r="203">
      <c r="A203" s="111" t="n"/>
      <c r="B203" s="116" t="inlineStr">
        <is>
          <t xml:space="preserve">  ✓ Сумма</t>
        </is>
      </c>
      <c r="C203" s="111" t="n"/>
      <c r="D203" s="116">
        <f>D193+D197</f>
        <v/>
      </c>
      <c r="E203" s="36" t="n"/>
      <c r="F203" s="3" t="n"/>
      <c r="G203" s="34" t="n"/>
      <c r="H203" s="6" t="n"/>
      <c r="I203" s="6" t="n"/>
    </row>
    <row r="204">
      <c r="A204" s="111" t="n"/>
      <c r="B204" s="37" t="n"/>
      <c r="C204" s="111" t="n"/>
      <c r="D204" s="111" t="n"/>
      <c r="E204" s="36" t="n"/>
      <c r="F204" s="3" t="n"/>
      <c r="G204" s="34" t="n"/>
      <c r="H204" s="6" t="n"/>
      <c r="I204" s="6" t="n"/>
    </row>
    <row r="205">
      <c r="A205" s="116" t="inlineStr">
        <is>
          <t>8.2.3</t>
        </is>
      </c>
      <c r="B205" s="116">
        <f>СПРАВОЧНИК!C11</f>
        <v/>
      </c>
      <c r="C205" s="116" t="inlineStr">
        <is>
          <t>Главная</t>
        </is>
      </c>
      <c r="D205" s="111" t="n"/>
      <c r="E205" s="36" t="n"/>
      <c r="F205" s="129">
        <f>СПРАВОЧНИК!D11</f>
        <v/>
      </c>
      <c r="G205" s="130">
        <f>G206*D206+G210*D210</f>
        <v/>
      </c>
      <c r="H205" s="131">
        <f>IF(F205=0,0,G205/F205)</f>
        <v/>
      </c>
      <c r="I205" s="131">
        <f>I206+I210</f>
        <v/>
      </c>
    </row>
    <row r="206">
      <c r="B206" s="134" t="inlineStr">
        <is>
          <t xml:space="preserve">  Черновая</t>
        </is>
      </c>
      <c r="C206" s="116" t="inlineStr">
        <is>
          <t>Категория</t>
        </is>
      </c>
      <c r="D206" s="135">
        <f>СПРАВОЧНИК!E11</f>
        <v/>
      </c>
      <c r="F206" s="116">
        <f>F205</f>
        <v/>
      </c>
      <c r="G206" s="116">
        <f>G207*E207+G208*E208+G209*E209</f>
        <v/>
      </c>
      <c r="H206" s="116">
        <f>IF(F206=0,0,G206/F206)</f>
        <v/>
      </c>
      <c r="I206" s="116">
        <f>H206*D206</f>
        <v/>
      </c>
    </row>
    <row r="207">
      <c r="B207" s="116" t="inlineStr">
        <is>
          <t xml:space="preserve">   Пол</t>
        </is>
      </c>
      <c r="C207" s="116" t="inlineStr">
        <is>
          <t>Вид</t>
        </is>
      </c>
      <c r="E207" s="116">
        <f>СПРАВОЧНИК!$H$11</f>
        <v/>
      </c>
      <c r="F207" s="116">
        <f>F205</f>
        <v/>
      </c>
      <c r="G207" s="116">
        <f>SUM('ФАКТ ЧЕРН К2'!H5:H100)</f>
        <v/>
      </c>
      <c r="H207" s="116">
        <f>IF(F207=0,0,G207/F207)</f>
        <v/>
      </c>
      <c r="I207" s="116">
        <f>H207*E207</f>
        <v/>
      </c>
    </row>
    <row r="208">
      <c r="A208" s="8" t="n"/>
      <c r="B208" s="128" t="inlineStr">
        <is>
          <t xml:space="preserve">   Стены</t>
        </is>
      </c>
      <c r="C208" s="116" t="inlineStr">
        <is>
          <t>Вид</t>
        </is>
      </c>
      <c r="D208" s="111" t="n"/>
      <c r="E208" s="116">
        <f>СПРАВОЧНИК!$I$11</f>
        <v/>
      </c>
      <c r="F208" s="129">
        <f>F205</f>
        <v/>
      </c>
      <c r="G208" s="130">
        <f>SUM('ФАКТ ЧЕРН К2'!I5:I100)</f>
        <v/>
      </c>
      <c r="H208" s="131">
        <f>IF(F208=0,0,G208/F208)</f>
        <v/>
      </c>
      <c r="I208" s="131">
        <f>H208*E208</f>
        <v/>
      </c>
    </row>
    <row r="209">
      <c r="A209" s="111" t="n"/>
      <c r="B209" s="132" t="inlineStr">
        <is>
          <t xml:space="preserve">   Потолок</t>
        </is>
      </c>
      <c r="C209" s="116" t="inlineStr">
        <is>
          <t>Вид</t>
        </is>
      </c>
      <c r="D209" s="36" t="n"/>
      <c r="E209" s="116">
        <f>СПРАВОЧНИК!$J$11</f>
        <v/>
      </c>
      <c r="F209" s="129">
        <f>F205</f>
        <v/>
      </c>
      <c r="G209" s="130">
        <f>SUM('ФАКТ ЧЕРН К2'!J5:J100)</f>
        <v/>
      </c>
      <c r="H209" s="131">
        <f>IF(F209=0,0,G209/F209)</f>
        <v/>
      </c>
      <c r="I209" s="131">
        <f>H209*E209</f>
        <v/>
      </c>
    </row>
    <row r="210">
      <c r="A210" s="111" t="n"/>
      <c r="B210" s="116" t="inlineStr">
        <is>
          <t xml:space="preserve">  Чистовая</t>
        </is>
      </c>
      <c r="C210" s="116" t="inlineStr">
        <is>
          <t>Категория</t>
        </is>
      </c>
      <c r="D210" s="116">
        <f>СПРАВОЧНИК!F11</f>
        <v/>
      </c>
      <c r="E210" s="36" t="n"/>
      <c r="F210" s="129">
        <f>F205</f>
        <v/>
      </c>
      <c r="G210" s="130">
        <f>G211*E211+G212*E212+G213*E213+G214*E214+G215*E215</f>
        <v/>
      </c>
      <c r="H210" s="131">
        <f>IF(F210=0,0,G210/F210)</f>
        <v/>
      </c>
      <c r="I210" s="131">
        <f>H210*D210</f>
        <v/>
      </c>
    </row>
    <row r="211">
      <c r="A211" s="111" t="n"/>
      <c r="B211" s="116" t="inlineStr">
        <is>
          <t xml:space="preserve">   Пол</t>
        </is>
      </c>
      <c r="C211" s="116" t="inlineStr">
        <is>
          <t>Вид</t>
        </is>
      </c>
      <c r="D211" s="111" t="n"/>
      <c r="E211" s="133">
        <f>СПРАВОЧНИК!$L$11</f>
        <v/>
      </c>
      <c r="F211" s="129">
        <f>F205</f>
        <v/>
      </c>
      <c r="G211" s="130">
        <f>SUM('ФАКТ ЧИСТ К2'!L5:L100)</f>
        <v/>
      </c>
      <c r="H211" s="131">
        <f>IF(F211=0,0,G211/F211)</f>
        <v/>
      </c>
      <c r="I211" s="131">
        <f>H211*E211</f>
        <v/>
      </c>
    </row>
    <row r="212">
      <c r="A212" s="111" t="n"/>
      <c r="B212" s="116" t="inlineStr">
        <is>
          <t xml:space="preserve">   Стены</t>
        </is>
      </c>
      <c r="C212" s="116" t="inlineStr">
        <is>
          <t>Вид</t>
        </is>
      </c>
      <c r="D212" s="111" t="n"/>
      <c r="E212" s="133">
        <f>СПРАВОЧНИК!$M$11</f>
        <v/>
      </c>
      <c r="F212" s="129">
        <f>F205</f>
        <v/>
      </c>
      <c r="G212" s="130">
        <f>SUM('ФАКТ ЧИСТ К2'!M5:M100)</f>
        <v/>
      </c>
      <c r="H212" s="131">
        <f>IF(F212=0,0,G212/F212)</f>
        <v/>
      </c>
      <c r="I212" s="131">
        <f>H212*E212</f>
        <v/>
      </c>
    </row>
    <row r="213">
      <c r="A213" s="111" t="n"/>
      <c r="B213" s="132" t="inlineStr">
        <is>
          <t xml:space="preserve">   Потолок</t>
        </is>
      </c>
      <c r="C213" s="116" t="inlineStr">
        <is>
          <t>Вид</t>
        </is>
      </c>
      <c r="D213" s="36" t="n"/>
      <c r="E213" s="116">
        <f>СПРАВОЧНИК!$N$11</f>
        <v/>
      </c>
      <c r="F213" s="129">
        <f>F205</f>
        <v/>
      </c>
      <c r="G213" s="130">
        <f>SUM('ФАКТ ЧИСТ К2'!N5:N100)</f>
        <v/>
      </c>
      <c r="H213" s="131">
        <f>IF(F213=0,0,G213/F213)</f>
        <v/>
      </c>
      <c r="I213" s="131">
        <f>H213*E213</f>
        <v/>
      </c>
    </row>
    <row r="214">
      <c r="A214" s="111" t="n"/>
      <c r="B214" s="116" t="inlineStr">
        <is>
          <t xml:space="preserve">   Заполн. проемов</t>
        </is>
      </c>
      <c r="C214" s="116" t="inlineStr">
        <is>
          <t>Вид</t>
        </is>
      </c>
      <c r="D214" s="111" t="n"/>
      <c r="E214" s="133">
        <f>СПРАВОЧНИК!$O$11</f>
        <v/>
      </c>
      <c r="F214" s="129">
        <f>F205</f>
        <v/>
      </c>
      <c r="G214" s="130">
        <f>SUM('ФАКТ ЧИСТ К2'!O5:O100)</f>
        <v/>
      </c>
      <c r="H214" s="131">
        <f>IF(F214=0,0,G214/F214)</f>
        <v/>
      </c>
      <c r="I214" s="131">
        <f>H214*E214</f>
        <v/>
      </c>
    </row>
    <row r="215">
      <c r="A215" s="111" t="n"/>
      <c r="B215" s="116" t="inlineStr">
        <is>
          <t xml:space="preserve">   Меблировка</t>
        </is>
      </c>
      <c r="C215" s="116" t="inlineStr">
        <is>
          <t>Вид</t>
        </is>
      </c>
      <c r="D215" s="111" t="n"/>
      <c r="E215" s="133">
        <f>СПРАВОЧНИК!$P$11</f>
        <v/>
      </c>
      <c r="F215" s="129">
        <f>F205</f>
        <v/>
      </c>
      <c r="G215" s="130">
        <f>SUM('ФАКТ ЧИСТ К2'!P5:P100)</f>
        <v/>
      </c>
      <c r="H215" s="131">
        <f>IF(F215=0,0,G215/F215)</f>
        <v/>
      </c>
      <c r="I215" s="131">
        <f>H215*E215</f>
        <v/>
      </c>
    </row>
    <row r="216">
      <c r="A216" s="111" t="n"/>
      <c r="B216" s="116" t="inlineStr">
        <is>
          <t xml:space="preserve">  ✓ Сумма</t>
        </is>
      </c>
      <c r="C216" s="111" t="n"/>
      <c r="D216" s="116">
        <f>D206+D210</f>
        <v/>
      </c>
      <c r="E216" s="36" t="n"/>
      <c r="F216" s="3" t="n"/>
      <c r="G216" s="34" t="n"/>
      <c r="H216" s="6" t="n"/>
      <c r="I216" s="6" t="n"/>
    </row>
    <row r="217">
      <c r="A217" s="111" t="n"/>
      <c r="B217" s="37" t="n"/>
      <c r="C217" s="111" t="n"/>
      <c r="D217" s="111" t="n"/>
      <c r="E217" s="36" t="n"/>
      <c r="F217" s="3" t="n"/>
      <c r="G217" s="34" t="n"/>
      <c r="H217" s="6" t="n"/>
      <c r="I217" s="6" t="n"/>
    </row>
    <row r="218">
      <c r="A218" s="116" t="inlineStr">
        <is>
          <t>8.2.4</t>
        </is>
      </c>
      <c r="B218" s="134">
        <f>СПРАВОЧНИК!C12</f>
        <v/>
      </c>
      <c r="C218" s="116" t="inlineStr">
        <is>
          <t>Главная</t>
        </is>
      </c>
      <c r="D218" s="38" t="n"/>
      <c r="F218" s="116">
        <f>СПРАВОЧНИК!D12</f>
        <v/>
      </c>
      <c r="G218" s="116">
        <f>G219*D219+G223*D223</f>
        <v/>
      </c>
      <c r="H218" s="116">
        <f>IF(F218=0,0,G218/F218)</f>
        <v/>
      </c>
      <c r="I218" s="116">
        <f>I219+I223</f>
        <v/>
      </c>
    </row>
    <row r="219">
      <c r="B219" s="116" t="inlineStr">
        <is>
          <t xml:space="preserve">  Черновая</t>
        </is>
      </c>
      <c r="C219" s="116" t="inlineStr">
        <is>
          <t>Категория</t>
        </is>
      </c>
      <c r="D219" s="116">
        <f>СПРАВОЧНИК!E12</f>
        <v/>
      </c>
      <c r="F219" s="116">
        <f>F218</f>
        <v/>
      </c>
      <c r="G219" s="116">
        <f>G220*E220+G221*E221+G222*E222</f>
        <v/>
      </c>
      <c r="H219" s="116">
        <f>IF(F219=0,0,G219/F219)</f>
        <v/>
      </c>
      <c r="I219" s="116">
        <f>H219*D219</f>
        <v/>
      </c>
    </row>
    <row r="220">
      <c r="A220" s="8" t="n"/>
      <c r="B220" s="128" t="inlineStr">
        <is>
          <t xml:space="preserve">   Пол</t>
        </is>
      </c>
      <c r="C220" s="116" t="inlineStr">
        <is>
          <t>Вид</t>
        </is>
      </c>
      <c r="D220" s="111" t="n"/>
      <c r="E220" s="116">
        <f>СПРАВОЧНИК!$H$12</f>
        <v/>
      </c>
      <c r="F220" s="129">
        <f>F218</f>
        <v/>
      </c>
      <c r="G220" s="130">
        <f>SUM('ФАКТ ЧЕРН К2'!K5:K100)</f>
        <v/>
      </c>
      <c r="H220" s="131">
        <f>IF(F220=0,0,G220/F220)</f>
        <v/>
      </c>
      <c r="I220" s="131">
        <f>H220*E220</f>
        <v/>
      </c>
    </row>
    <row r="221">
      <c r="A221" s="111" t="n"/>
      <c r="B221" s="132" t="inlineStr">
        <is>
          <t xml:space="preserve">   Стены</t>
        </is>
      </c>
      <c r="C221" s="116" t="inlineStr">
        <is>
          <t>Вид</t>
        </is>
      </c>
      <c r="D221" s="36" t="n"/>
      <c r="E221" s="116">
        <f>СПРАВОЧНИК!$I$12</f>
        <v/>
      </c>
      <c r="F221" s="129">
        <f>F218</f>
        <v/>
      </c>
      <c r="G221" s="130">
        <f>SUM('ФАКТ ЧЕРН К2'!L5:L100)</f>
        <v/>
      </c>
      <c r="H221" s="131">
        <f>IF(F221=0,0,G221/F221)</f>
        <v/>
      </c>
      <c r="I221" s="131">
        <f>H221*E221</f>
        <v/>
      </c>
    </row>
    <row r="222">
      <c r="A222" s="111" t="n"/>
      <c r="B222" s="116" t="inlineStr">
        <is>
          <t xml:space="preserve">   Потолок</t>
        </is>
      </c>
      <c r="C222" s="116" t="inlineStr">
        <is>
          <t>Вид</t>
        </is>
      </c>
      <c r="D222" s="111" t="n"/>
      <c r="E222" s="133">
        <f>СПРАВОЧНИК!$J$12</f>
        <v/>
      </c>
      <c r="F222" s="129">
        <f>F218</f>
        <v/>
      </c>
      <c r="G222" s="130">
        <f>SUM('ФАКТ ЧЕРН К2'!M5:M100)</f>
        <v/>
      </c>
      <c r="H222" s="131">
        <f>IF(F222=0,0,G222/F222)</f>
        <v/>
      </c>
      <c r="I222" s="131">
        <f>H222*E222</f>
        <v/>
      </c>
    </row>
    <row r="223">
      <c r="A223" s="111" t="n"/>
      <c r="B223" s="116" t="inlineStr">
        <is>
          <t xml:space="preserve">  Чистовая</t>
        </is>
      </c>
      <c r="C223" s="116" t="inlineStr">
        <is>
          <t>Категория</t>
        </is>
      </c>
      <c r="D223" s="116">
        <f>СПРАВОЧНИК!F12</f>
        <v/>
      </c>
      <c r="E223" s="36" t="n"/>
      <c r="F223" s="129">
        <f>F218</f>
        <v/>
      </c>
      <c r="G223" s="130">
        <f>G224*E224+G225*E225+G226*E226+G227*E227+G228*E228</f>
        <v/>
      </c>
      <c r="H223" s="131">
        <f>IF(F223=0,0,G223/F223)</f>
        <v/>
      </c>
      <c r="I223" s="131">
        <f>H223*D223</f>
        <v/>
      </c>
    </row>
    <row r="224">
      <c r="A224" s="111" t="n"/>
      <c r="B224" s="116" t="inlineStr">
        <is>
          <t xml:space="preserve">   Пол</t>
        </is>
      </c>
      <c r="C224" s="116" t="inlineStr">
        <is>
          <t>Вид</t>
        </is>
      </c>
      <c r="D224" s="111" t="n"/>
      <c r="E224" s="133">
        <f>СПРАВОЧНИК!$L$12</f>
        <v/>
      </c>
      <c r="F224" s="129">
        <f>F218</f>
        <v/>
      </c>
      <c r="G224" s="130">
        <f>SUM('ФАКТ ЧИСТ К2'!Q5:Q100)</f>
        <v/>
      </c>
      <c r="H224" s="131">
        <f>IF(F224=0,0,G224/F224)</f>
        <v/>
      </c>
      <c r="I224" s="131">
        <f>H224*E224</f>
        <v/>
      </c>
    </row>
    <row r="225">
      <c r="A225" s="111" t="n"/>
      <c r="B225" s="132" t="inlineStr">
        <is>
          <t xml:space="preserve">   Стены</t>
        </is>
      </c>
      <c r="C225" s="116" t="inlineStr">
        <is>
          <t>Вид</t>
        </is>
      </c>
      <c r="D225" s="36" t="n"/>
      <c r="E225" s="116">
        <f>СПРАВОЧНИК!$M$12</f>
        <v/>
      </c>
      <c r="F225" s="129">
        <f>F218</f>
        <v/>
      </c>
      <c r="G225" s="130">
        <f>SUM('ФАКТ ЧИСТ К2'!R5:R100)</f>
        <v/>
      </c>
      <c r="H225" s="131">
        <f>IF(F225=0,0,G225/F225)</f>
        <v/>
      </c>
      <c r="I225" s="131">
        <f>H225*E225</f>
        <v/>
      </c>
    </row>
    <row r="226">
      <c r="A226" s="111" t="n"/>
      <c r="B226" s="116" t="inlineStr">
        <is>
          <t xml:space="preserve">   Потолок</t>
        </is>
      </c>
      <c r="C226" s="116" t="inlineStr">
        <is>
          <t>Вид</t>
        </is>
      </c>
      <c r="D226" s="111" t="n"/>
      <c r="E226" s="133">
        <f>СПРАВОЧНИК!$N$12</f>
        <v/>
      </c>
      <c r="F226" s="129">
        <f>F218</f>
        <v/>
      </c>
      <c r="G226" s="130">
        <f>SUM('ФАКТ ЧИСТ К2'!S5:S100)</f>
        <v/>
      </c>
      <c r="H226" s="131">
        <f>IF(F226=0,0,G226/F226)</f>
        <v/>
      </c>
      <c r="I226" s="131">
        <f>H226*E226</f>
        <v/>
      </c>
    </row>
    <row r="227">
      <c r="A227" s="111" t="n"/>
      <c r="B227" s="116" t="inlineStr">
        <is>
          <t xml:space="preserve">   Заполн. проемов</t>
        </is>
      </c>
      <c r="C227" s="116" t="inlineStr">
        <is>
          <t>Вид</t>
        </is>
      </c>
      <c r="D227" s="111" t="n"/>
      <c r="E227" s="133">
        <f>СПРАВОЧНИК!$O$12</f>
        <v/>
      </c>
      <c r="F227" s="129">
        <f>F218</f>
        <v/>
      </c>
      <c r="G227" s="130">
        <f>SUM('ФАКТ ЧИСТ К2'!T5:T100)</f>
        <v/>
      </c>
      <c r="H227" s="131">
        <f>IF(F227=0,0,G227/F227)</f>
        <v/>
      </c>
      <c r="I227" s="131">
        <f>H227*E227</f>
        <v/>
      </c>
    </row>
    <row r="228">
      <c r="A228" s="111" t="n"/>
      <c r="B228" s="116" t="inlineStr">
        <is>
          <t xml:space="preserve">   Меблировка</t>
        </is>
      </c>
      <c r="C228" s="116" t="inlineStr">
        <is>
          <t>Вид</t>
        </is>
      </c>
      <c r="D228" s="111" t="n"/>
      <c r="E228" s="133">
        <f>СПРАВОЧНИК!$P$12</f>
        <v/>
      </c>
      <c r="F228" s="129">
        <f>F218</f>
        <v/>
      </c>
      <c r="G228" s="130">
        <f>SUM('ФАКТ ЧИСТ К2'!U5:U100)</f>
        <v/>
      </c>
      <c r="H228" s="131">
        <f>IF(F228=0,0,G228/F228)</f>
        <v/>
      </c>
      <c r="I228" s="131">
        <f>H228*E228</f>
        <v/>
      </c>
    </row>
    <row r="229">
      <c r="B229" s="134" t="inlineStr">
        <is>
          <t xml:space="preserve">  ✓ Сумма</t>
        </is>
      </c>
      <c r="D229" s="135">
        <f>D219+D223</f>
        <v/>
      </c>
    </row>
    <row r="230"/>
    <row r="231">
      <c r="A231" s="128" t="inlineStr">
        <is>
          <t>8.2.5</t>
        </is>
      </c>
      <c r="B231" s="128">
        <f>СПРАВОЧНИК!C13</f>
        <v/>
      </c>
      <c r="C231" s="116" t="inlineStr">
        <is>
          <t>Главная</t>
        </is>
      </c>
      <c r="D231" s="111" t="n"/>
      <c r="E231" s="111" t="n"/>
      <c r="F231" s="129">
        <f>СПРАВОЧНИК!D13</f>
        <v/>
      </c>
      <c r="G231" s="130">
        <f>G232*D232+G236*D236</f>
        <v/>
      </c>
      <c r="H231" s="131">
        <f>IF(F231=0,0,G231/F231)</f>
        <v/>
      </c>
      <c r="I231" s="131">
        <f>I232+I236</f>
        <v/>
      </c>
    </row>
    <row r="232">
      <c r="A232" s="111" t="n"/>
      <c r="B232" s="116" t="inlineStr">
        <is>
          <t xml:space="preserve">  Черновая</t>
        </is>
      </c>
      <c r="C232" s="116" t="inlineStr">
        <is>
          <t>Категория</t>
        </is>
      </c>
      <c r="D232" s="116">
        <f>СПРАВОЧНИК!E13</f>
        <v/>
      </c>
      <c r="F232" s="116">
        <f>F231</f>
        <v/>
      </c>
      <c r="G232" s="116">
        <f>G233*E233+G234*E234+G235*E235</f>
        <v/>
      </c>
      <c r="H232" s="116">
        <f>IF(F232=0,0,G232/F232)</f>
        <v/>
      </c>
      <c r="I232" s="116">
        <f>H232*D232</f>
        <v/>
      </c>
    </row>
    <row r="233">
      <c r="A233" s="111" t="n"/>
      <c r="B233" s="116" t="inlineStr">
        <is>
          <t xml:space="preserve">   Пол</t>
        </is>
      </c>
      <c r="C233" s="116" t="inlineStr">
        <is>
          <t>Вид</t>
        </is>
      </c>
      <c r="D233" s="111" t="n"/>
      <c r="E233" s="133">
        <f>СПРАВОЧНИК!$H$13</f>
        <v/>
      </c>
      <c r="F233" s="129">
        <f>F231</f>
        <v/>
      </c>
      <c r="G233" s="130">
        <f>SUM('ФАКТ ЧЕРН К2'!N5:N100)</f>
        <v/>
      </c>
      <c r="H233" s="131">
        <f>IF(F233=0,0,G233/F233)</f>
        <v/>
      </c>
      <c r="I233" s="131">
        <f>H233*E233</f>
        <v/>
      </c>
    </row>
    <row r="234">
      <c r="A234" s="111" t="n"/>
      <c r="B234" s="116" t="inlineStr">
        <is>
          <t xml:space="preserve">   Стены</t>
        </is>
      </c>
      <c r="C234" s="116" t="inlineStr">
        <is>
          <t>Вид</t>
        </is>
      </c>
      <c r="D234" s="111" t="n"/>
      <c r="E234" s="133">
        <f>СПРАВОЧНИК!$I$13</f>
        <v/>
      </c>
      <c r="F234" s="129">
        <f>F231</f>
        <v/>
      </c>
      <c r="G234" s="130">
        <f>SUM('ФАКТ ЧЕРН К2'!O5:O100)</f>
        <v/>
      </c>
      <c r="H234" s="131">
        <f>IF(F234=0,0,G234/F234)</f>
        <v/>
      </c>
      <c r="I234" s="131">
        <f>H234*E234</f>
        <v/>
      </c>
    </row>
    <row r="235">
      <c r="A235" s="111" t="n"/>
      <c r="B235" s="116" t="inlineStr">
        <is>
          <t xml:space="preserve">   Потолок</t>
        </is>
      </c>
      <c r="C235" s="116" t="inlineStr">
        <is>
          <t>Вид</t>
        </is>
      </c>
      <c r="D235" s="111" t="n"/>
      <c r="E235" s="133">
        <f>СПРАВОЧНИК!$J$13</f>
        <v/>
      </c>
      <c r="F235" s="129">
        <f>F231</f>
        <v/>
      </c>
      <c r="G235" s="130">
        <f>SUM('ФАКТ ЧЕРН К2'!P5:P100)</f>
        <v/>
      </c>
      <c r="H235" s="131">
        <f>IF(F235=0,0,G235/F235)</f>
        <v/>
      </c>
      <c r="I235" s="131">
        <f>H235*E235</f>
        <v/>
      </c>
    </row>
    <row r="236">
      <c r="A236" s="111" t="n"/>
      <c r="B236" s="132" t="inlineStr">
        <is>
          <t xml:space="preserve">  Чистовая</t>
        </is>
      </c>
      <c r="C236" s="116" t="inlineStr">
        <is>
          <t>Категория</t>
        </is>
      </c>
      <c r="D236" s="133">
        <f>СПРАВОЧНИК!F13</f>
        <v/>
      </c>
      <c r="E236" s="111" t="n"/>
      <c r="F236" s="129">
        <f>F231</f>
        <v/>
      </c>
      <c r="G236" s="130">
        <f>G237*E237+G238*E238+G239*E239+G240*E240+G241*E241</f>
        <v/>
      </c>
      <c r="H236" s="131">
        <f>IF(F236=0,0,G236/F236)</f>
        <v/>
      </c>
      <c r="I236" s="131">
        <f>H236*D236</f>
        <v/>
      </c>
    </row>
    <row r="237">
      <c r="A237" s="111" t="n"/>
      <c r="B237" s="116" t="inlineStr">
        <is>
          <t xml:space="preserve">   Пол</t>
        </is>
      </c>
      <c r="C237" s="116" t="inlineStr">
        <is>
          <t>Вид</t>
        </is>
      </c>
      <c r="D237" s="111" t="n"/>
      <c r="E237" s="133">
        <f>СПРАВОЧНИК!$L$13</f>
        <v/>
      </c>
      <c r="F237" s="129">
        <f>F231</f>
        <v/>
      </c>
      <c r="G237" s="130">
        <f>SUM('ФАКТ ЧИСТ К2'!V5:V100)</f>
        <v/>
      </c>
      <c r="H237" s="131">
        <f>IF(F237=0,0,G237/F237)</f>
        <v/>
      </c>
      <c r="I237" s="131">
        <f>H237*E237</f>
        <v/>
      </c>
    </row>
    <row r="238">
      <c r="A238" s="111" t="n"/>
      <c r="B238" s="116" t="inlineStr">
        <is>
          <t xml:space="preserve">   Стены</t>
        </is>
      </c>
      <c r="C238" s="116" t="inlineStr">
        <is>
          <t>Вид</t>
        </is>
      </c>
      <c r="D238" s="111" t="n"/>
      <c r="E238" s="133">
        <f>СПРАВОЧНИК!$M$13</f>
        <v/>
      </c>
      <c r="F238" s="129">
        <f>F231</f>
        <v/>
      </c>
      <c r="G238" s="130">
        <f>SUM('ФАКТ ЧИСТ К2'!W5:W100)</f>
        <v/>
      </c>
      <c r="H238" s="131">
        <f>IF(F238=0,0,G238/F238)</f>
        <v/>
      </c>
      <c r="I238" s="131">
        <f>H238*E238</f>
        <v/>
      </c>
    </row>
    <row r="239">
      <c r="A239" s="111" t="n"/>
      <c r="B239" s="116" t="inlineStr">
        <is>
          <t xml:space="preserve">   Потолок</t>
        </is>
      </c>
      <c r="C239" s="116" t="inlineStr">
        <is>
          <t>Вид</t>
        </is>
      </c>
      <c r="D239" s="111" t="n"/>
      <c r="E239" s="133">
        <f>СПРАВОЧНИК!$N$13</f>
        <v/>
      </c>
      <c r="F239" s="129">
        <f>F231</f>
        <v/>
      </c>
      <c r="G239" s="130">
        <f>SUM('ФАКТ ЧИСТ К2'!X5:X100)</f>
        <v/>
      </c>
      <c r="H239" s="131">
        <f>IF(F239=0,0,G239/F239)</f>
        <v/>
      </c>
      <c r="I239" s="131">
        <f>H239*E239</f>
        <v/>
      </c>
    </row>
    <row r="240">
      <c r="B240" s="134" t="inlineStr">
        <is>
          <t xml:space="preserve">   Заполн. проемов</t>
        </is>
      </c>
      <c r="C240" s="116" t="inlineStr">
        <is>
          <t>Вид</t>
        </is>
      </c>
      <c r="D240" s="38" t="n"/>
      <c r="E240" s="116">
        <f>СПРАВОЧНИК!$O$13</f>
        <v/>
      </c>
      <c r="F240" s="116">
        <f>F231</f>
        <v/>
      </c>
      <c r="G240" s="116">
        <f>SUM('ФАКТ ЧИСТ К2'!Y5:Y100)</f>
        <v/>
      </c>
      <c r="H240" s="116">
        <f>IF(F240=0,0,G240/F240)</f>
        <v/>
      </c>
      <c r="I240" s="116">
        <f>H240*E240</f>
        <v/>
      </c>
    </row>
    <row r="241">
      <c r="B241" s="116" t="inlineStr">
        <is>
          <t xml:space="preserve">   Меблировка</t>
        </is>
      </c>
      <c r="C241" s="116" t="inlineStr">
        <is>
          <t>Вид</t>
        </is>
      </c>
      <c r="E241" s="116">
        <f>СПРАВОЧНИК!$P$13</f>
        <v/>
      </c>
      <c r="F241" s="116">
        <f>F231</f>
        <v/>
      </c>
      <c r="G241" s="116">
        <f>SUM('ФАКТ ЧИСТ К2'!Z5:Z100)</f>
        <v/>
      </c>
      <c r="H241" s="116">
        <f>IF(F241=0,0,G241/F241)</f>
        <v/>
      </c>
      <c r="I241" s="116">
        <f>H241*E241</f>
        <v/>
      </c>
    </row>
    <row r="242" ht="63" customHeight="1" s="102">
      <c r="A242" s="103" t="n"/>
      <c r="B242" s="116" t="inlineStr">
        <is>
          <t xml:space="preserve">  ✓ Сумма</t>
        </is>
      </c>
      <c r="D242" s="116">
        <f>D232+D236</f>
        <v/>
      </c>
    </row>
    <row r="243">
      <c r="A243" s="108" t="n"/>
      <c r="B243" s="108" t="n"/>
      <c r="C243" s="108" t="n"/>
      <c r="D243" s="108" t="n"/>
      <c r="E243" s="108" t="n"/>
      <c r="F243" s="108" t="n"/>
      <c r="G243" s="108" t="n"/>
      <c r="H243" s="108" t="n"/>
      <c r="I243" s="108" t="n"/>
    </row>
    <row r="244">
      <c r="A244" s="128" t="inlineStr">
        <is>
          <t>8.2.6</t>
        </is>
      </c>
      <c r="B244" s="128">
        <f>СПРАВОЧНИК!C14</f>
        <v/>
      </c>
      <c r="C244" s="116" t="inlineStr">
        <is>
          <t>Главная</t>
        </is>
      </c>
      <c r="D244" s="111" t="n"/>
      <c r="E244" s="111" t="n"/>
      <c r="F244" s="129">
        <f>СПРАВОЧНИК!D14</f>
        <v/>
      </c>
      <c r="G244" s="130">
        <f>G245*D245+G249*D249</f>
        <v/>
      </c>
      <c r="H244" s="131">
        <f>IF(F244=0,0,G244/F244)</f>
        <v/>
      </c>
      <c r="I244" s="131">
        <f>I245+I249</f>
        <v/>
      </c>
    </row>
    <row r="245">
      <c r="A245" s="111" t="n"/>
      <c r="B245" s="132" t="inlineStr">
        <is>
          <t xml:space="preserve">  Черновая</t>
        </is>
      </c>
      <c r="C245" s="116" t="inlineStr">
        <is>
          <t>Категория</t>
        </is>
      </c>
      <c r="D245" s="133">
        <f>СПРАВОЧНИК!E14</f>
        <v/>
      </c>
      <c r="E245" s="111" t="n"/>
      <c r="F245" s="129">
        <f>F244</f>
        <v/>
      </c>
      <c r="G245" s="130">
        <f>G246*E246+G247*E247+G248*E248</f>
        <v/>
      </c>
      <c r="H245" s="131">
        <f>IF(F245=0,0,G245/F245)</f>
        <v/>
      </c>
      <c r="I245" s="131">
        <f>H245*D245</f>
        <v/>
      </c>
    </row>
    <row r="246">
      <c r="A246" s="111" t="n"/>
      <c r="B246" s="116" t="inlineStr">
        <is>
          <t xml:space="preserve">   Пол</t>
        </is>
      </c>
      <c r="C246" s="116" t="inlineStr">
        <is>
          <t>Вид</t>
        </is>
      </c>
      <c r="D246" s="111" t="n"/>
      <c r="E246" s="133">
        <f>СПРАВОЧНИК!$H$14</f>
        <v/>
      </c>
      <c r="F246" s="129">
        <f>F244</f>
        <v/>
      </c>
      <c r="G246" s="130">
        <f>SUM('ФАКТ ЧЕРН К2'!Q5:Q100)</f>
        <v/>
      </c>
      <c r="H246" s="131">
        <f>IF(F246=0,0,G246/F246)</f>
        <v/>
      </c>
      <c r="I246" s="131">
        <f>H246*E246</f>
        <v/>
      </c>
    </row>
    <row r="247">
      <c r="A247" s="111" t="n"/>
      <c r="B247" s="116" t="inlineStr">
        <is>
          <t xml:space="preserve">   Стены</t>
        </is>
      </c>
      <c r="C247" s="116" t="inlineStr">
        <is>
          <t>Вид</t>
        </is>
      </c>
      <c r="D247" s="111" t="n"/>
      <c r="E247" s="133">
        <f>СПРАВОЧНИК!$I$14</f>
        <v/>
      </c>
      <c r="F247" s="129">
        <f>F244</f>
        <v/>
      </c>
      <c r="G247" s="130">
        <f>SUM('ФАКТ ЧЕРН К2'!R5:R100)</f>
        <v/>
      </c>
      <c r="H247" s="131">
        <f>IF(F247=0,0,G247/F247)</f>
        <v/>
      </c>
      <c r="I247" s="131">
        <f>H247*E247</f>
        <v/>
      </c>
    </row>
    <row r="248">
      <c r="A248" s="111" t="n"/>
      <c r="B248" s="116" t="inlineStr">
        <is>
          <t xml:space="preserve">   Потолок</t>
        </is>
      </c>
      <c r="C248" s="116" t="inlineStr">
        <is>
          <t>Вид</t>
        </is>
      </c>
      <c r="D248" s="111" t="n"/>
      <c r="E248" s="133">
        <f>СПРАВОЧНИК!$J$14</f>
        <v/>
      </c>
      <c r="F248" s="129">
        <f>F244</f>
        <v/>
      </c>
      <c r="G248" s="130">
        <f>SUM('ФАКТ ЧЕРН К2'!S5:S100)</f>
        <v/>
      </c>
      <c r="H248" s="131">
        <f>IF(F248=0,0,G248/F248)</f>
        <v/>
      </c>
      <c r="I248" s="131">
        <f>H248*E248</f>
        <v/>
      </c>
    </row>
    <row r="249">
      <c r="A249" s="111" t="n"/>
      <c r="B249" s="132" t="inlineStr">
        <is>
          <t xml:space="preserve">  Чистовая</t>
        </is>
      </c>
      <c r="C249" s="116" t="inlineStr">
        <is>
          <t>Категория</t>
        </is>
      </c>
      <c r="D249" s="133">
        <f>СПРАВОЧНИК!F14</f>
        <v/>
      </c>
      <c r="E249" s="111" t="n"/>
      <c r="F249" s="129">
        <f>F244</f>
        <v/>
      </c>
      <c r="G249" s="130">
        <f>G250*E250+G251*E251+G252*E252+G253*E253+G254*E254</f>
        <v/>
      </c>
      <c r="H249" s="131">
        <f>IF(F249=0,0,G249/F249)</f>
        <v/>
      </c>
      <c r="I249" s="131">
        <f>H249*D249</f>
        <v/>
      </c>
    </row>
    <row r="250">
      <c r="A250" s="111" t="n"/>
      <c r="B250" s="116" t="inlineStr">
        <is>
          <t xml:space="preserve">   Пол</t>
        </is>
      </c>
      <c r="C250" s="116" t="inlineStr">
        <is>
          <t>Вид</t>
        </is>
      </c>
      <c r="D250" s="111" t="n"/>
      <c r="E250" s="133">
        <f>СПРАВОЧНИК!$L$14</f>
        <v/>
      </c>
      <c r="F250" s="129">
        <f>F244</f>
        <v/>
      </c>
      <c r="G250" s="130">
        <f>SUM('ФАКТ ЧИСТ К2'!AA5:AA100)</f>
        <v/>
      </c>
      <c r="H250" s="131">
        <f>IF(F250=0,0,G250/F250)</f>
        <v/>
      </c>
      <c r="I250" s="131">
        <f>H250*E250</f>
        <v/>
      </c>
    </row>
    <row r="251">
      <c r="A251" s="111" t="n"/>
      <c r="B251" s="116" t="inlineStr">
        <is>
          <t xml:space="preserve">   Стены</t>
        </is>
      </c>
      <c r="C251" s="116" t="inlineStr">
        <is>
          <t>Вид</t>
        </is>
      </c>
      <c r="D251" s="111" t="n"/>
      <c r="E251" s="133">
        <f>СПРАВОЧНИК!$M$14</f>
        <v/>
      </c>
      <c r="F251" s="129">
        <f>F244</f>
        <v/>
      </c>
      <c r="G251" s="130">
        <f>SUM('ФАКТ ЧИСТ К2'!AB5:AB100)</f>
        <v/>
      </c>
      <c r="H251" s="131">
        <f>IF(F251=0,0,G251/F251)</f>
        <v/>
      </c>
      <c r="I251" s="131">
        <f>H251*E251</f>
        <v/>
      </c>
    </row>
    <row r="252">
      <c r="A252" s="111" t="n"/>
      <c r="B252" s="116" t="inlineStr">
        <is>
          <t xml:space="preserve">   Потолок</t>
        </is>
      </c>
      <c r="C252" s="116" t="inlineStr">
        <is>
          <t>Вид</t>
        </is>
      </c>
      <c r="D252" s="111" t="n"/>
      <c r="E252" s="133">
        <f>СПРАВОЧНИК!$N$14</f>
        <v/>
      </c>
      <c r="F252" s="129">
        <f>F244</f>
        <v/>
      </c>
      <c r="G252" s="130">
        <f>SUM('ФАКТ ЧИСТ К2'!AC5:AC100)</f>
        <v/>
      </c>
      <c r="H252" s="131">
        <f>IF(F252=0,0,G252/F252)</f>
        <v/>
      </c>
      <c r="I252" s="131">
        <f>H252*E252</f>
        <v/>
      </c>
    </row>
    <row r="253">
      <c r="A253" s="111" t="n"/>
      <c r="B253" s="116" t="inlineStr">
        <is>
          <t xml:space="preserve">   Заполн. проемов</t>
        </is>
      </c>
      <c r="C253" s="116" t="inlineStr">
        <is>
          <t>Вид</t>
        </is>
      </c>
      <c r="D253" s="111" t="n"/>
      <c r="E253" s="133">
        <f>СПРАВОЧНИК!$O$14</f>
        <v/>
      </c>
      <c r="F253" s="129">
        <f>F244</f>
        <v/>
      </c>
      <c r="G253" s="130">
        <f>SUM('ФАКТ ЧИСТ К2'!AD5:AD100)</f>
        <v/>
      </c>
      <c r="H253" s="131">
        <f>IF(F253=0,0,G253/F253)</f>
        <v/>
      </c>
      <c r="I253" s="131">
        <f>H253*E253</f>
        <v/>
      </c>
    </row>
    <row r="254">
      <c r="B254" s="134" t="inlineStr">
        <is>
          <t xml:space="preserve">   Меблировка</t>
        </is>
      </c>
      <c r="C254" s="116" t="inlineStr">
        <is>
          <t>Вид</t>
        </is>
      </c>
      <c r="D254" s="38" t="n"/>
      <c r="E254" s="116">
        <f>СПРАВОЧНИК!$P$14</f>
        <v/>
      </c>
      <c r="F254" s="116">
        <f>F244</f>
        <v/>
      </c>
      <c r="G254" s="116">
        <f>SUM('ФАКТ ЧИСТ К2'!AE5:AE100)</f>
        <v/>
      </c>
      <c r="H254" s="116">
        <f>IF(F254=0,0,G254/F254)</f>
        <v/>
      </c>
      <c r="I254" s="116">
        <f>H254*E254</f>
        <v/>
      </c>
    </row>
    <row r="255">
      <c r="B255" s="116" t="inlineStr">
        <is>
          <t xml:space="preserve">  ✓ Сумма</t>
        </is>
      </c>
      <c r="D255" s="116">
        <f>D245+D249</f>
        <v/>
      </c>
    </row>
    <row r="256">
      <c r="A256" s="8" t="n"/>
      <c r="B256" s="15" t="n"/>
      <c r="C256" s="111" t="n"/>
      <c r="D256" s="111" t="n"/>
      <c r="E256" s="111" t="n"/>
      <c r="F256" s="3" t="n"/>
      <c r="G256" s="34" t="n"/>
      <c r="H256" s="6" t="n"/>
      <c r="I256" s="6" t="n"/>
    </row>
    <row r="257">
      <c r="A257" s="116" t="inlineStr">
        <is>
          <t>8.2.7</t>
        </is>
      </c>
      <c r="B257" s="132">
        <f>СПРАВОЧНИК!C15</f>
        <v/>
      </c>
      <c r="C257" s="116" t="inlineStr">
        <is>
          <t>Главная</t>
        </is>
      </c>
      <c r="D257" s="36" t="n"/>
      <c r="E257" s="111" t="n"/>
      <c r="F257" s="129">
        <f>СПРАВОЧНИК!D15</f>
        <v/>
      </c>
      <c r="G257" s="130">
        <f>G258*D258+G262*D262</f>
        <v/>
      </c>
      <c r="H257" s="131">
        <f>IF(F257=0,0,G257/F257)</f>
        <v/>
      </c>
      <c r="I257" s="131">
        <f>I258+I262</f>
        <v/>
      </c>
    </row>
    <row r="258">
      <c r="A258" s="111" t="n"/>
      <c r="B258" s="116" t="inlineStr">
        <is>
          <t xml:space="preserve">  Черновая</t>
        </is>
      </c>
      <c r="C258" s="116" t="inlineStr">
        <is>
          <t>Категория</t>
        </is>
      </c>
      <c r="D258" s="116">
        <f>СПРАВОЧНИК!E15</f>
        <v/>
      </c>
      <c r="E258" s="36" t="n"/>
      <c r="F258" s="129">
        <f>F257</f>
        <v/>
      </c>
      <c r="G258" s="130">
        <f>G259*E259+G260*E260+G261*E261</f>
        <v/>
      </c>
      <c r="H258" s="131">
        <f>IF(F258=0,0,G258/F258)</f>
        <v/>
      </c>
      <c r="I258" s="131">
        <f>H258*D258</f>
        <v/>
      </c>
    </row>
    <row r="259">
      <c r="A259" s="111" t="n"/>
      <c r="B259" s="116" t="inlineStr">
        <is>
          <t xml:space="preserve">   Пол</t>
        </is>
      </c>
      <c r="C259" s="116" t="inlineStr">
        <is>
          <t>Вид</t>
        </is>
      </c>
      <c r="D259" s="111" t="n"/>
      <c r="E259" s="133">
        <f>СПРАВОЧНИК!$H$15</f>
        <v/>
      </c>
      <c r="F259" s="129">
        <f>F257</f>
        <v/>
      </c>
      <c r="G259" s="130">
        <f>SUM('ФАКТ ЧЕРН К2'!T5:T100)</f>
        <v/>
      </c>
      <c r="H259" s="131">
        <f>IF(F259=0,0,G259/F259)</f>
        <v/>
      </c>
      <c r="I259" s="131">
        <f>H259*E259</f>
        <v/>
      </c>
    </row>
    <row r="260">
      <c r="A260" s="111" t="n"/>
      <c r="B260" s="116" t="inlineStr">
        <is>
          <t xml:space="preserve">   Стены</t>
        </is>
      </c>
      <c r="C260" s="116" t="inlineStr">
        <is>
          <t>Вид</t>
        </is>
      </c>
      <c r="D260" s="111" t="n"/>
      <c r="E260" s="133">
        <f>СПРАВОЧНИК!$I$15</f>
        <v/>
      </c>
      <c r="F260" s="129">
        <f>F257</f>
        <v/>
      </c>
      <c r="G260" s="130">
        <f>SUM('ФАКТ ЧЕРН К2'!U5:U100)</f>
        <v/>
      </c>
      <c r="H260" s="131">
        <f>IF(F260=0,0,G260/F260)</f>
        <v/>
      </c>
      <c r="I260" s="131">
        <f>H260*E260</f>
        <v/>
      </c>
    </row>
    <row r="261">
      <c r="A261" s="111" t="n"/>
      <c r="B261" s="132" t="inlineStr">
        <is>
          <t xml:space="preserve">   Потолок</t>
        </is>
      </c>
      <c r="C261" s="116" t="inlineStr">
        <is>
          <t>Вид</t>
        </is>
      </c>
      <c r="D261" s="36" t="n"/>
      <c r="E261" s="116">
        <f>СПРАВОЧНИК!$J$15</f>
        <v/>
      </c>
      <c r="F261" s="129">
        <f>F257</f>
        <v/>
      </c>
      <c r="G261" s="130">
        <f>SUM('ФАКТ ЧЕРН К2'!V5:V100)</f>
        <v/>
      </c>
      <c r="H261" s="131">
        <f>IF(F261=0,0,G261/F261)</f>
        <v/>
      </c>
      <c r="I261" s="131">
        <f>H261*E261</f>
        <v/>
      </c>
    </row>
    <row r="262">
      <c r="A262" s="111" t="n"/>
      <c r="B262" s="116" t="inlineStr">
        <is>
          <t xml:space="preserve">  Чистовая</t>
        </is>
      </c>
      <c r="C262" s="116" t="inlineStr">
        <is>
          <t>Категория</t>
        </is>
      </c>
      <c r="D262" s="116">
        <f>СПРАВОЧНИК!F15</f>
        <v/>
      </c>
      <c r="E262" s="36" t="n"/>
      <c r="F262" s="129">
        <f>F257</f>
        <v/>
      </c>
      <c r="G262" s="130">
        <f>G263*E263+G264*E264+G265*E265+G266*E266+G267*E267</f>
        <v/>
      </c>
      <c r="H262" s="131">
        <f>IF(F262=0,0,G262/F262)</f>
        <v/>
      </c>
      <c r="I262" s="131">
        <f>H262*D262</f>
        <v/>
      </c>
    </row>
    <row r="263">
      <c r="A263" s="111" t="n"/>
      <c r="B263" s="116" t="inlineStr">
        <is>
          <t xml:space="preserve">   Пол</t>
        </is>
      </c>
      <c r="C263" s="116" t="inlineStr">
        <is>
          <t>Вид</t>
        </is>
      </c>
      <c r="D263" s="111" t="n"/>
      <c r="E263" s="133">
        <f>СПРАВОЧНИК!$L$15</f>
        <v/>
      </c>
      <c r="F263" s="129">
        <f>F257</f>
        <v/>
      </c>
      <c r="G263" s="130">
        <f>SUM('ФАКТ ЧИСТ К2'!AF5:AF100)</f>
        <v/>
      </c>
      <c r="H263" s="131">
        <f>IF(F263=0,0,G263/F263)</f>
        <v/>
      </c>
      <c r="I263" s="131">
        <f>H263*E263</f>
        <v/>
      </c>
    </row>
    <row r="264">
      <c r="A264" s="111" t="n"/>
      <c r="B264" s="116" t="inlineStr">
        <is>
          <t xml:space="preserve">   Стены</t>
        </is>
      </c>
      <c r="C264" s="116" t="inlineStr">
        <is>
          <t>Вид</t>
        </is>
      </c>
      <c r="D264" s="111" t="n"/>
      <c r="E264" s="133">
        <f>СПРАВОЧНИК!$M$15</f>
        <v/>
      </c>
      <c r="F264" s="129">
        <f>F257</f>
        <v/>
      </c>
      <c r="G264" s="130">
        <f>SUM('ФАКТ ЧИСТ К2'!AG5:AG100)</f>
        <v/>
      </c>
      <c r="H264" s="131">
        <f>IF(F264=0,0,G264/F264)</f>
        <v/>
      </c>
      <c r="I264" s="131">
        <f>H264*E264</f>
        <v/>
      </c>
    </row>
    <row r="265">
      <c r="A265" s="111" t="n"/>
      <c r="B265" s="116" t="inlineStr">
        <is>
          <t xml:space="preserve">   Потолок</t>
        </is>
      </c>
      <c r="C265" s="116" t="inlineStr">
        <is>
          <t>Вид</t>
        </is>
      </c>
      <c r="D265" s="111" t="n"/>
      <c r="E265" s="133">
        <f>СПРАВОЧНИК!$N$15</f>
        <v/>
      </c>
      <c r="F265" s="129">
        <f>F257</f>
        <v/>
      </c>
      <c r="G265" s="130">
        <f>SUM('ФАКТ ЧИСТ К2'!AH5:AH100)</f>
        <v/>
      </c>
      <c r="H265" s="131">
        <f>IF(F265=0,0,G265/F265)</f>
        <v/>
      </c>
      <c r="I265" s="131">
        <f>H265*E265</f>
        <v/>
      </c>
    </row>
    <row r="266">
      <c r="B266" s="134" t="inlineStr">
        <is>
          <t xml:space="preserve">   Заполн. проемов</t>
        </is>
      </c>
      <c r="C266" s="116" t="inlineStr">
        <is>
          <t>Вид</t>
        </is>
      </c>
      <c r="D266" s="38" t="n"/>
      <c r="E266" s="116">
        <f>СПРАВОЧНИК!$O$15</f>
        <v/>
      </c>
      <c r="F266" s="116">
        <f>F257</f>
        <v/>
      </c>
      <c r="G266" s="116">
        <f>SUM('ФАКТ ЧИСТ К2'!AI5:AI100)</f>
        <v/>
      </c>
      <c r="H266" s="116">
        <f>IF(F266=0,0,G266/F266)</f>
        <v/>
      </c>
      <c r="I266" s="116">
        <f>H266*E266</f>
        <v/>
      </c>
    </row>
    <row r="267">
      <c r="B267" s="116" t="inlineStr">
        <is>
          <t xml:space="preserve">   Меблировка</t>
        </is>
      </c>
      <c r="C267" s="116" t="inlineStr">
        <is>
          <t>Вид</t>
        </is>
      </c>
      <c r="E267" s="116">
        <f>СПРАВОЧНИК!$P$15</f>
        <v/>
      </c>
      <c r="F267" s="116">
        <f>F257</f>
        <v/>
      </c>
      <c r="G267" s="116">
        <f>SUM('ФАКТ ЧИСТ К2'!AJ5:AJ100)</f>
        <v/>
      </c>
      <c r="H267" s="116">
        <f>IF(F267=0,0,G267/F267)</f>
        <v/>
      </c>
      <c r="I267" s="116">
        <f>H267*E267</f>
        <v/>
      </c>
    </row>
    <row r="268">
      <c r="A268" s="8" t="n"/>
      <c r="B268" s="128" t="inlineStr">
        <is>
          <t xml:space="preserve">  ✓ Сумма</t>
        </is>
      </c>
      <c r="C268" s="111" t="n"/>
      <c r="D268" s="116">
        <f>D258+D262</f>
        <v/>
      </c>
      <c r="E268" s="111" t="n"/>
      <c r="F268" s="3" t="n"/>
      <c r="G268" s="34" t="n"/>
      <c r="H268" s="6" t="n"/>
      <c r="I268" s="6" t="n"/>
    </row>
    <row r="269">
      <c r="A269" s="111" t="n"/>
      <c r="B269" s="35" t="n"/>
      <c r="C269" s="111" t="n"/>
      <c r="D269" s="36" t="n"/>
      <c r="E269" s="111" t="n"/>
      <c r="F269" s="3" t="n"/>
      <c r="G269" s="34" t="n"/>
      <c r="H269" s="6" t="n"/>
      <c r="I269" s="6" t="n"/>
    </row>
    <row r="270">
      <c r="A270" s="137" t="inlineStr">
        <is>
          <t>НАДЗЕМНАЯ ЧАСТЬ — К3</t>
        </is>
      </c>
      <c r="B270" s="105" t="n"/>
      <c r="C270" s="105" t="n"/>
      <c r="D270" s="105" t="n"/>
      <c r="E270" s="105" t="n"/>
      <c r="F270" s="105" t="n"/>
      <c r="G270" s="105" t="n"/>
      <c r="H270" s="105" t="n"/>
      <c r="I270" s="106" t="n"/>
    </row>
    <row r="271">
      <c r="A271" s="115" t="inlineStr">
        <is>
          <t>Код</t>
        </is>
      </c>
      <c r="B271" s="115" t="inlineStr">
        <is>
          <t>Название</t>
        </is>
      </c>
      <c r="C271" s="115" t="inlineStr">
        <is>
          <t>Тип</t>
        </is>
      </c>
      <c r="D271" s="115" t="inlineStr">
        <is>
          <t>Вес ур.4</t>
        </is>
      </c>
      <c r="E271" s="138" t="inlineStr">
        <is>
          <t>Вес ур.5</t>
        </is>
      </c>
      <c r="F271" s="139" t="inlineStr">
        <is>
          <t>План м²</t>
        </is>
      </c>
      <c r="G271" s="140" t="inlineStr">
        <is>
          <t>Факт м²</t>
        </is>
      </c>
      <c r="H271" s="141" t="inlineStr">
        <is>
          <t>Факт %</t>
        </is>
      </c>
      <c r="I271" s="141" t="inlineStr">
        <is>
          <t>Взвеш. %</t>
        </is>
      </c>
    </row>
    <row r="272">
      <c r="A272" s="116" t="inlineStr">
        <is>
          <t>8.2.1</t>
        </is>
      </c>
      <c r="B272" s="116">
        <f>СПРАВОЧНИК!C9</f>
        <v/>
      </c>
      <c r="C272" s="116" t="inlineStr">
        <is>
          <t>Главная</t>
        </is>
      </c>
      <c r="D272" s="111" t="n"/>
      <c r="E272" s="36" t="n"/>
      <c r="F272" s="129">
        <f>СПРАВОЧНИК!D9</f>
        <v/>
      </c>
      <c r="G272" s="130">
        <f>G273*D273+G277*D277</f>
        <v/>
      </c>
      <c r="H272" s="131">
        <f>IF(F272=0,0,G272/F272)</f>
        <v/>
      </c>
      <c r="I272" s="131">
        <f>I273+I277</f>
        <v/>
      </c>
    </row>
    <row r="273">
      <c r="A273" s="111" t="n"/>
      <c r="B273" s="132" t="inlineStr">
        <is>
          <t xml:space="preserve">  Черновая</t>
        </is>
      </c>
      <c r="C273" s="116" t="inlineStr">
        <is>
          <t>Категория</t>
        </is>
      </c>
      <c r="D273" s="133">
        <f>СПРАВОЧНИК!E9</f>
        <v/>
      </c>
      <c r="E273" s="111" t="n"/>
      <c r="F273" s="129">
        <f>F272</f>
        <v/>
      </c>
      <c r="G273" s="130">
        <f>G274*E274+G275*E275+G276*E276</f>
        <v/>
      </c>
      <c r="H273" s="131">
        <f>IF(F273=0,0,G273/F273)</f>
        <v/>
      </c>
      <c r="I273" s="131">
        <f>H273*D273</f>
        <v/>
      </c>
    </row>
    <row r="274">
      <c r="A274" s="111" t="n"/>
      <c r="B274" s="116" t="inlineStr">
        <is>
          <t xml:space="preserve">   Пол</t>
        </is>
      </c>
      <c r="C274" s="116" t="inlineStr">
        <is>
          <t>Вид</t>
        </is>
      </c>
      <c r="D274" s="111" t="n"/>
      <c r="E274" s="133">
        <f>СПРАВОЧНИК!$H$9</f>
        <v/>
      </c>
      <c r="F274" s="129">
        <f>F272</f>
        <v/>
      </c>
      <c r="G274" s="130">
        <f>SUM('ФАКТ ЧЕРН К3'!B5:B100)</f>
        <v/>
      </c>
      <c r="H274" s="131">
        <f>IF(F274=0,0,G274/F274)</f>
        <v/>
      </c>
      <c r="I274" s="131">
        <f>H274*E274</f>
        <v/>
      </c>
    </row>
    <row r="275">
      <c r="A275" s="111" t="n"/>
      <c r="B275" s="116" t="inlineStr">
        <is>
          <t xml:space="preserve">   Стены</t>
        </is>
      </c>
      <c r="C275" s="116" t="inlineStr">
        <is>
          <t>Вид</t>
        </is>
      </c>
      <c r="D275" s="111" t="n"/>
      <c r="E275" s="133">
        <f>СПРАВОЧНИК!$I$9</f>
        <v/>
      </c>
      <c r="F275" s="129">
        <f>F272</f>
        <v/>
      </c>
      <c r="G275" s="130">
        <f>SUM('ФАКТ ЧЕРН К3'!C5:C100)</f>
        <v/>
      </c>
      <c r="H275" s="131">
        <f>IF(F275=0,0,G275/F275)</f>
        <v/>
      </c>
      <c r="I275" s="131">
        <f>H275*E275</f>
        <v/>
      </c>
    </row>
    <row r="276">
      <c r="A276" s="111" t="n"/>
      <c r="B276" s="116" t="inlineStr">
        <is>
          <t xml:space="preserve">   Потолок</t>
        </is>
      </c>
      <c r="C276" s="116" t="inlineStr">
        <is>
          <t>Вид</t>
        </is>
      </c>
      <c r="D276" s="111" t="n"/>
      <c r="E276" s="133">
        <f>СПРАВОЧНИК!$J$9</f>
        <v/>
      </c>
      <c r="F276" s="129">
        <f>F272</f>
        <v/>
      </c>
      <c r="G276" s="130">
        <f>SUM('ФАКТ ЧЕРН К3'!D5:D100)</f>
        <v/>
      </c>
      <c r="H276" s="131">
        <f>IF(F276=0,0,G276/F276)</f>
        <v/>
      </c>
      <c r="I276" s="131">
        <f>H276*E276</f>
        <v/>
      </c>
    </row>
    <row r="277">
      <c r="B277" s="134" t="inlineStr">
        <is>
          <t xml:space="preserve">  Чистовая</t>
        </is>
      </c>
      <c r="C277" s="116" t="inlineStr">
        <is>
          <t>Категория</t>
        </is>
      </c>
      <c r="D277" s="135">
        <f>СПРАВОЧНИК!F9</f>
        <v/>
      </c>
      <c r="F277" s="116">
        <f>F272</f>
        <v/>
      </c>
      <c r="G277" s="116">
        <f>G278*E278+G279*E279+G280*E280+G281*E281+G282*E282</f>
        <v/>
      </c>
      <c r="H277" s="116">
        <f>IF(F277=0,0,G277/F277)</f>
        <v/>
      </c>
      <c r="I277" s="116">
        <f>H277*D277</f>
        <v/>
      </c>
    </row>
    <row r="278">
      <c r="B278" s="116" t="inlineStr">
        <is>
          <t xml:space="preserve">   Пол</t>
        </is>
      </c>
      <c r="C278" s="116" t="inlineStr">
        <is>
          <t>Вид</t>
        </is>
      </c>
      <c r="E278" s="116">
        <f>СПРАВОЧНИК!$L$9</f>
        <v/>
      </c>
      <c r="F278" s="116">
        <f>F272</f>
        <v/>
      </c>
      <c r="G278" s="116">
        <f>SUM('ФАКТ ЧИСТ К3'!B5:B100)</f>
        <v/>
      </c>
      <c r="H278" s="116">
        <f>IF(F278=0,0,G278/F278)</f>
        <v/>
      </c>
      <c r="I278" s="116">
        <f>H278*E278</f>
        <v/>
      </c>
    </row>
    <row r="279">
      <c r="A279" s="8" t="n"/>
      <c r="B279" s="128" t="inlineStr">
        <is>
          <t xml:space="preserve">   Стены</t>
        </is>
      </c>
      <c r="C279" s="116" t="inlineStr">
        <is>
          <t>Вид</t>
        </is>
      </c>
      <c r="D279" s="111" t="n"/>
      <c r="E279" s="116">
        <f>СПРАВОЧНИК!$M$9</f>
        <v/>
      </c>
      <c r="F279" s="129">
        <f>F272</f>
        <v/>
      </c>
      <c r="G279" s="130">
        <f>SUM('ФАКТ ЧИСТ К3'!C5:C100)</f>
        <v/>
      </c>
      <c r="H279" s="131">
        <f>IF(F279=0,0,G279/F279)</f>
        <v/>
      </c>
      <c r="I279" s="131">
        <f>H279*E279</f>
        <v/>
      </c>
    </row>
    <row r="280">
      <c r="A280" s="111" t="n"/>
      <c r="B280" s="132" t="inlineStr">
        <is>
          <t xml:space="preserve">   Потолок</t>
        </is>
      </c>
      <c r="C280" s="116" t="inlineStr">
        <is>
          <t>Вид</t>
        </is>
      </c>
      <c r="D280" s="36" t="n"/>
      <c r="E280" s="116">
        <f>СПРАВОЧНИК!$N$9</f>
        <v/>
      </c>
      <c r="F280" s="129">
        <f>F272</f>
        <v/>
      </c>
      <c r="G280" s="130">
        <f>SUM('ФАКТ ЧИСТ К3'!D5:D100)</f>
        <v/>
      </c>
      <c r="H280" s="131">
        <f>IF(F280=0,0,G280/F280)</f>
        <v/>
      </c>
      <c r="I280" s="131">
        <f>H280*E280</f>
        <v/>
      </c>
    </row>
    <row r="281">
      <c r="A281" s="111" t="n"/>
      <c r="B281" s="116" t="inlineStr">
        <is>
          <t xml:space="preserve">   Заполн. проемов</t>
        </is>
      </c>
      <c r="C281" s="116" t="inlineStr">
        <is>
          <t>Вид</t>
        </is>
      </c>
      <c r="D281" s="111" t="n"/>
      <c r="E281" s="133">
        <f>СПРАВОЧНИК!$O$9</f>
        <v/>
      </c>
      <c r="F281" s="129">
        <f>F272</f>
        <v/>
      </c>
      <c r="G281" s="130">
        <f>SUM('ФАКТ ЧИСТ К3'!E5:E100)</f>
        <v/>
      </c>
      <c r="H281" s="131">
        <f>IF(F281=0,0,G281/F281)</f>
        <v/>
      </c>
      <c r="I281" s="131">
        <f>H281*E281</f>
        <v/>
      </c>
    </row>
    <row r="282">
      <c r="A282" s="111" t="n"/>
      <c r="B282" s="116" t="inlineStr">
        <is>
          <t xml:space="preserve">   Меблировка</t>
        </is>
      </c>
      <c r="C282" s="116" t="inlineStr">
        <is>
          <t>Вид</t>
        </is>
      </c>
      <c r="D282" s="111" t="n"/>
      <c r="E282" s="133">
        <f>СПРАВОЧНИК!$P$9</f>
        <v/>
      </c>
      <c r="F282" s="129">
        <f>F272</f>
        <v/>
      </c>
      <c r="G282" s="130">
        <f>SUM('ФАКТ ЧИСТ К3'!F5:F100)</f>
        <v/>
      </c>
      <c r="H282" s="131">
        <f>IF(F282=0,0,G282/F282)</f>
        <v/>
      </c>
      <c r="I282" s="131">
        <f>H282*E282</f>
        <v/>
      </c>
    </row>
    <row r="283">
      <c r="A283" s="111" t="n"/>
      <c r="B283" s="116" t="inlineStr">
        <is>
          <t xml:space="preserve">  ✓ Сумма</t>
        </is>
      </c>
      <c r="C283" s="111" t="n"/>
      <c r="D283" s="116">
        <f>D273+D277</f>
        <v/>
      </c>
      <c r="E283" s="36" t="n"/>
      <c r="F283" s="3" t="n"/>
      <c r="G283" s="34" t="n"/>
      <c r="H283" s="6" t="n"/>
      <c r="I283" s="6" t="n"/>
    </row>
    <row r="284">
      <c r="A284" s="111" t="n"/>
      <c r="B284" s="35" t="n"/>
      <c r="C284" s="111" t="n"/>
      <c r="D284" s="36" t="n"/>
      <c r="E284" s="111" t="n"/>
      <c r="F284" s="3" t="n"/>
      <c r="G284" s="34" t="n"/>
      <c r="H284" s="6" t="n"/>
      <c r="I284" s="6" t="n"/>
    </row>
    <row r="285">
      <c r="A285" s="116" t="inlineStr">
        <is>
          <t>8.2.2</t>
        </is>
      </c>
      <c r="B285" s="116">
        <f>СПРАВОЧНИК!C10</f>
        <v/>
      </c>
      <c r="C285" s="116" t="inlineStr">
        <is>
          <t>Главная</t>
        </is>
      </c>
      <c r="D285" s="111" t="n"/>
      <c r="E285" s="36" t="n"/>
      <c r="F285" s="129">
        <f>СПРАВОЧНИК!D10</f>
        <v/>
      </c>
      <c r="G285" s="130">
        <f>G286*D286+G290*D290</f>
        <v/>
      </c>
      <c r="H285" s="131">
        <f>IF(F285=0,0,G285/F285)</f>
        <v/>
      </c>
      <c r="I285" s="131">
        <f>I286+I290</f>
        <v/>
      </c>
    </row>
    <row r="286">
      <c r="A286" s="111" t="n"/>
      <c r="B286" s="116" t="inlineStr">
        <is>
          <t xml:space="preserve">  Черновая</t>
        </is>
      </c>
      <c r="C286" s="116" t="inlineStr">
        <is>
          <t>Категория</t>
        </is>
      </c>
      <c r="D286" s="116">
        <f>СПРАВОЧНИК!E10</f>
        <v/>
      </c>
      <c r="E286" s="36" t="n"/>
      <c r="F286" s="129">
        <f>F285</f>
        <v/>
      </c>
      <c r="G286" s="130">
        <f>G287*E287+G288*E288+G289*E289</f>
        <v/>
      </c>
      <c r="H286" s="131">
        <f>IF(F286=0,0,G286/F286)</f>
        <v/>
      </c>
      <c r="I286" s="131">
        <f>H286*D286</f>
        <v/>
      </c>
    </row>
    <row r="287">
      <c r="A287" s="111" t="n"/>
      <c r="B287" s="116" t="inlineStr">
        <is>
          <t xml:space="preserve">   Пол</t>
        </is>
      </c>
      <c r="C287" s="116" t="inlineStr">
        <is>
          <t>Вид</t>
        </is>
      </c>
      <c r="D287" s="111" t="n"/>
      <c r="E287" s="133">
        <f>СПРАВОЧНИК!$H$10</f>
        <v/>
      </c>
      <c r="F287" s="129">
        <f>F285</f>
        <v/>
      </c>
      <c r="G287" s="130">
        <f>SUM('ФАКТ ЧЕРН К3'!E5:E100)</f>
        <v/>
      </c>
      <c r="H287" s="131">
        <f>IF(F287=0,0,G287/F287)</f>
        <v/>
      </c>
      <c r="I287" s="131">
        <f>H287*E287</f>
        <v/>
      </c>
    </row>
    <row r="288">
      <c r="A288" s="111" t="n"/>
      <c r="B288" s="116" t="inlineStr">
        <is>
          <t xml:space="preserve">   Стены</t>
        </is>
      </c>
      <c r="C288" s="116" t="inlineStr">
        <is>
          <t>Вид</t>
        </is>
      </c>
      <c r="D288" s="111" t="n"/>
      <c r="E288" s="133">
        <f>СПРАВОЧНИК!$I$10</f>
        <v/>
      </c>
      <c r="F288" s="129">
        <f>F285</f>
        <v/>
      </c>
      <c r="G288" s="130">
        <f>SUM('ФАКТ ЧЕРН К3'!F5:F100)</f>
        <v/>
      </c>
      <c r="H288" s="131">
        <f>IF(F288=0,0,G288/F288)</f>
        <v/>
      </c>
      <c r="I288" s="131">
        <f>H288*E288</f>
        <v/>
      </c>
    </row>
    <row r="289">
      <c r="B289" s="134" t="inlineStr">
        <is>
          <t xml:space="preserve">   Потолок</t>
        </is>
      </c>
      <c r="C289" s="116" t="inlineStr">
        <is>
          <t>Вид</t>
        </is>
      </c>
      <c r="D289" s="38" t="n"/>
      <c r="E289" s="116">
        <f>СПРАВОЧНИК!$J$10</f>
        <v/>
      </c>
      <c r="F289" s="116">
        <f>F285</f>
        <v/>
      </c>
      <c r="G289" s="116">
        <f>SUM('ФАКТ ЧЕРН К3'!G5:G100)</f>
        <v/>
      </c>
      <c r="H289" s="116">
        <f>IF(F289=0,0,G289/F289)</f>
        <v/>
      </c>
      <c r="I289" s="116">
        <f>H289*E289</f>
        <v/>
      </c>
    </row>
    <row r="290">
      <c r="B290" s="116" t="inlineStr">
        <is>
          <t xml:space="preserve">  Чистовая</t>
        </is>
      </c>
      <c r="C290" s="116" t="inlineStr">
        <is>
          <t>Категория</t>
        </is>
      </c>
      <c r="D290" s="116">
        <f>СПРАВОЧНИК!F10</f>
        <v/>
      </c>
      <c r="F290" s="116">
        <f>F285</f>
        <v/>
      </c>
      <c r="G290" s="116">
        <f>G291*E291+G292*E292+G293*E293+G294*E294+G295*E295</f>
        <v/>
      </c>
      <c r="H290" s="116">
        <f>IF(F290=0,0,G290/F290)</f>
        <v/>
      </c>
      <c r="I290" s="116">
        <f>H290*D290</f>
        <v/>
      </c>
    </row>
    <row r="291">
      <c r="A291" s="8" t="n"/>
      <c r="B291" s="128" t="inlineStr">
        <is>
          <t xml:space="preserve">   Пол</t>
        </is>
      </c>
      <c r="C291" s="116" t="inlineStr">
        <is>
          <t>Вид</t>
        </is>
      </c>
      <c r="D291" s="111" t="n"/>
      <c r="E291" s="116">
        <f>СПРАВОЧНИК!$L$10</f>
        <v/>
      </c>
      <c r="F291" s="129">
        <f>F285</f>
        <v/>
      </c>
      <c r="G291" s="130">
        <f>SUM('ФАКТ ЧИСТ К3'!G5:G100)</f>
        <v/>
      </c>
      <c r="H291" s="131">
        <f>IF(F291=0,0,G291/F291)</f>
        <v/>
      </c>
      <c r="I291" s="131">
        <f>H291*E291</f>
        <v/>
      </c>
    </row>
    <row r="292">
      <c r="A292" s="111" t="n"/>
      <c r="B292" s="132" t="inlineStr">
        <is>
          <t xml:space="preserve">   Стены</t>
        </is>
      </c>
      <c r="C292" s="116" t="inlineStr">
        <is>
          <t>Вид</t>
        </is>
      </c>
      <c r="D292" s="36" t="n"/>
      <c r="E292" s="116">
        <f>СПРАВОЧНИК!$M$10</f>
        <v/>
      </c>
      <c r="F292" s="129">
        <f>F285</f>
        <v/>
      </c>
      <c r="G292" s="130">
        <f>SUM('ФАКТ ЧИСТ К3'!H5:H100)</f>
        <v/>
      </c>
      <c r="H292" s="131">
        <f>IF(F292=0,0,G292/F292)</f>
        <v/>
      </c>
      <c r="I292" s="131">
        <f>H292*E292</f>
        <v/>
      </c>
    </row>
    <row r="293">
      <c r="A293" s="111" t="n"/>
      <c r="B293" s="116" t="inlineStr">
        <is>
          <t xml:space="preserve">   Потолок</t>
        </is>
      </c>
      <c r="C293" s="116" t="inlineStr">
        <is>
          <t>Вид</t>
        </is>
      </c>
      <c r="D293" s="111" t="n"/>
      <c r="E293" s="133">
        <f>СПРАВОЧНИК!$N$10</f>
        <v/>
      </c>
      <c r="F293" s="129">
        <f>F285</f>
        <v/>
      </c>
      <c r="G293" s="130">
        <f>SUM('ФАКТ ЧИСТ К3'!I5:I100)</f>
        <v/>
      </c>
      <c r="H293" s="131">
        <f>IF(F293=0,0,G293/F293)</f>
        <v/>
      </c>
      <c r="I293" s="131">
        <f>H293*E293</f>
        <v/>
      </c>
    </row>
    <row r="294">
      <c r="A294" s="111" t="n"/>
      <c r="B294" s="116" t="inlineStr">
        <is>
          <t xml:space="preserve">   Заполн. проемов</t>
        </is>
      </c>
      <c r="C294" s="116" t="inlineStr">
        <is>
          <t>Вид</t>
        </is>
      </c>
      <c r="D294" s="111" t="n"/>
      <c r="E294" s="133">
        <f>СПРАВОЧНИК!$O$10</f>
        <v/>
      </c>
      <c r="F294" s="129">
        <f>F285</f>
        <v/>
      </c>
      <c r="G294" s="130">
        <f>SUM('ФАКТ ЧИСТ К3'!J5:J100)</f>
        <v/>
      </c>
      <c r="H294" s="131">
        <f>IF(F294=0,0,G294/F294)</f>
        <v/>
      </c>
      <c r="I294" s="131">
        <f>H294*E294</f>
        <v/>
      </c>
    </row>
    <row r="295">
      <c r="A295" s="111" t="n"/>
      <c r="B295" s="116" t="inlineStr">
        <is>
          <t xml:space="preserve">   Меблировка</t>
        </is>
      </c>
      <c r="C295" s="116" t="inlineStr">
        <is>
          <t>Вид</t>
        </is>
      </c>
      <c r="D295" s="111" t="n"/>
      <c r="E295" s="133">
        <f>СПРАВОЧНИК!$P$10</f>
        <v/>
      </c>
      <c r="F295" s="129">
        <f>F285</f>
        <v/>
      </c>
      <c r="G295" s="130">
        <f>SUM('ФАКТ ЧИСТ К3'!K5:K100)</f>
        <v/>
      </c>
      <c r="H295" s="131">
        <f>IF(F295=0,0,G295/F295)</f>
        <v/>
      </c>
      <c r="I295" s="131">
        <f>H295*E295</f>
        <v/>
      </c>
    </row>
    <row r="296">
      <c r="A296" s="111" t="n"/>
      <c r="B296" s="132" t="inlineStr">
        <is>
          <t xml:space="preserve">  ✓ Сумма</t>
        </is>
      </c>
      <c r="C296" s="111" t="n"/>
      <c r="D296" s="133">
        <f>D286+D290</f>
        <v/>
      </c>
      <c r="E296" s="111" t="n"/>
      <c r="F296" s="3" t="n"/>
      <c r="G296" s="34" t="n"/>
      <c r="H296" s="6" t="n"/>
      <c r="I296" s="6" t="n"/>
    </row>
    <row r="297">
      <c r="A297" s="111" t="n"/>
      <c r="B297" s="37" t="n"/>
      <c r="C297" s="111" t="n"/>
      <c r="D297" s="111" t="n"/>
      <c r="E297" s="36" t="n"/>
      <c r="F297" s="3" t="n"/>
      <c r="G297" s="34" t="n"/>
      <c r="H297" s="6" t="n"/>
      <c r="I297" s="6" t="n"/>
    </row>
    <row r="298">
      <c r="A298" s="116" t="inlineStr">
        <is>
          <t>8.2.3</t>
        </is>
      </c>
      <c r="B298" s="116">
        <f>СПРАВОЧНИК!C11</f>
        <v/>
      </c>
      <c r="C298" s="116" t="inlineStr">
        <is>
          <t>Главная</t>
        </is>
      </c>
      <c r="D298" s="111" t="n"/>
      <c r="E298" s="36" t="n"/>
      <c r="F298" s="129">
        <f>СПРАВОЧНИК!D11</f>
        <v/>
      </c>
      <c r="G298" s="130">
        <f>G299*D299+G303*D303</f>
        <v/>
      </c>
      <c r="H298" s="131">
        <f>IF(F298=0,0,G298/F298)</f>
        <v/>
      </c>
      <c r="I298" s="131">
        <f>I299+I303</f>
        <v/>
      </c>
    </row>
    <row r="299">
      <c r="A299" s="111" t="n"/>
      <c r="B299" s="116" t="inlineStr">
        <is>
          <t xml:space="preserve">  Черновая</t>
        </is>
      </c>
      <c r="C299" s="116" t="inlineStr">
        <is>
          <t>Категория</t>
        </is>
      </c>
      <c r="D299" s="116">
        <f>СПРАВОЧНИК!E11</f>
        <v/>
      </c>
      <c r="E299" s="36" t="n"/>
      <c r="F299" s="129">
        <f>F298</f>
        <v/>
      </c>
      <c r="G299" s="130">
        <f>G300*E300+G301*E301+G302*E302</f>
        <v/>
      </c>
      <c r="H299" s="131">
        <f>IF(F299=0,0,G299/F299)</f>
        <v/>
      </c>
      <c r="I299" s="131">
        <f>H299*D299</f>
        <v/>
      </c>
    </row>
    <row r="300">
      <c r="A300" s="111" t="n"/>
      <c r="B300" s="116" t="inlineStr">
        <is>
          <t xml:space="preserve">   Пол</t>
        </is>
      </c>
      <c r="C300" s="116" t="inlineStr">
        <is>
          <t>Вид</t>
        </is>
      </c>
      <c r="D300" s="111" t="n"/>
      <c r="E300" s="133">
        <f>СПРАВОЧНИК!$H$11</f>
        <v/>
      </c>
      <c r="F300" s="129">
        <f>F298</f>
        <v/>
      </c>
      <c r="G300" s="130">
        <f>SUM('ФАКТ ЧЕРН К3'!H5:H100)</f>
        <v/>
      </c>
      <c r="H300" s="131">
        <f>IF(F300=0,0,G300/F300)</f>
        <v/>
      </c>
      <c r="I300" s="131">
        <f>H300*E300</f>
        <v/>
      </c>
    </row>
    <row r="301">
      <c r="B301" s="134" t="inlineStr">
        <is>
          <t xml:space="preserve">   Стены</t>
        </is>
      </c>
      <c r="C301" s="116" t="inlineStr">
        <is>
          <t>Вид</t>
        </is>
      </c>
      <c r="D301" s="38" t="n"/>
      <c r="E301" s="116">
        <f>СПРАВОЧНИК!$I$11</f>
        <v/>
      </c>
      <c r="F301" s="116">
        <f>F298</f>
        <v/>
      </c>
      <c r="G301" s="116">
        <f>SUM('ФАКТ ЧЕРН К3'!I5:I100)</f>
        <v/>
      </c>
      <c r="H301" s="116">
        <f>IF(F301=0,0,G301/F301)</f>
        <v/>
      </c>
      <c r="I301" s="116">
        <f>H301*E301</f>
        <v/>
      </c>
    </row>
    <row r="302">
      <c r="B302" s="116" t="inlineStr">
        <is>
          <t xml:space="preserve">   Потолок</t>
        </is>
      </c>
      <c r="C302" s="116" t="inlineStr">
        <is>
          <t>Вид</t>
        </is>
      </c>
      <c r="E302" s="116">
        <f>СПРАВОЧНИК!$J$11</f>
        <v/>
      </c>
      <c r="F302" s="116">
        <f>F298</f>
        <v/>
      </c>
      <c r="G302" s="116">
        <f>SUM('ФАКТ ЧЕРН К3'!J5:J100)</f>
        <v/>
      </c>
      <c r="H302" s="116">
        <f>IF(F302=0,0,G302/F302)</f>
        <v/>
      </c>
      <c r="I302" s="116">
        <f>H302*E302</f>
        <v/>
      </c>
    </row>
    <row r="303">
      <c r="A303" s="8" t="n"/>
      <c r="B303" s="128" t="inlineStr">
        <is>
          <t xml:space="preserve">  Чистовая</t>
        </is>
      </c>
      <c r="C303" s="116" t="inlineStr">
        <is>
          <t>Категория</t>
        </is>
      </c>
      <c r="D303" s="116">
        <f>СПРАВОЧНИК!F11</f>
        <v/>
      </c>
      <c r="E303" s="111" t="n"/>
      <c r="F303" s="129">
        <f>F298</f>
        <v/>
      </c>
      <c r="G303" s="130">
        <f>G304*E304+G305*E305+G306*E306+G307*E307+G308*E308</f>
        <v/>
      </c>
      <c r="H303" s="131">
        <f>IF(F303=0,0,G303/F303)</f>
        <v/>
      </c>
      <c r="I303" s="131">
        <f>H303*D303</f>
        <v/>
      </c>
    </row>
    <row r="304">
      <c r="A304" s="111" t="n"/>
      <c r="B304" s="132" t="inlineStr">
        <is>
          <t xml:space="preserve">   Пол</t>
        </is>
      </c>
      <c r="C304" s="116" t="inlineStr">
        <is>
          <t>Вид</t>
        </is>
      </c>
      <c r="D304" s="36" t="n"/>
      <c r="E304" s="116">
        <f>СПРАВОЧНИК!$L$11</f>
        <v/>
      </c>
      <c r="F304" s="129">
        <f>F298</f>
        <v/>
      </c>
      <c r="G304" s="130">
        <f>SUM('ФАКТ ЧИСТ К3'!L5:L100)</f>
        <v/>
      </c>
      <c r="H304" s="131">
        <f>IF(F304=0,0,G304/F304)</f>
        <v/>
      </c>
      <c r="I304" s="131">
        <f>H304*E304</f>
        <v/>
      </c>
    </row>
    <row r="305">
      <c r="A305" s="111" t="n"/>
      <c r="B305" s="116" t="inlineStr">
        <is>
          <t xml:space="preserve">   Стены</t>
        </is>
      </c>
      <c r="C305" s="116" t="inlineStr">
        <is>
          <t>Вид</t>
        </is>
      </c>
      <c r="D305" s="111" t="n"/>
      <c r="E305" s="133">
        <f>СПРАВОЧНИК!$M$11</f>
        <v/>
      </c>
      <c r="F305" s="129">
        <f>F298</f>
        <v/>
      </c>
      <c r="G305" s="130">
        <f>SUM('ФАКТ ЧИСТ К3'!M5:M100)</f>
        <v/>
      </c>
      <c r="H305" s="131">
        <f>IF(F305=0,0,G305/F305)</f>
        <v/>
      </c>
      <c r="I305" s="131">
        <f>H305*E305</f>
        <v/>
      </c>
    </row>
    <row r="306">
      <c r="A306" s="111" t="n"/>
      <c r="B306" s="116" t="inlineStr">
        <is>
          <t xml:space="preserve">   Потолок</t>
        </is>
      </c>
      <c r="C306" s="116" t="inlineStr">
        <is>
          <t>Вид</t>
        </is>
      </c>
      <c r="D306" s="111" t="n"/>
      <c r="E306" s="133">
        <f>СПРАВОЧНИК!$N$11</f>
        <v/>
      </c>
      <c r="F306" s="129">
        <f>F298</f>
        <v/>
      </c>
      <c r="G306" s="130">
        <f>SUM('ФАКТ ЧИСТ К3'!N5:N100)</f>
        <v/>
      </c>
      <c r="H306" s="131">
        <f>IF(F306=0,0,G306/F306)</f>
        <v/>
      </c>
      <c r="I306" s="131">
        <f>H306*E306</f>
        <v/>
      </c>
    </row>
    <row r="307">
      <c r="A307" s="111" t="n"/>
      <c r="B307" s="116" t="inlineStr">
        <is>
          <t xml:space="preserve">   Заполн. проемов</t>
        </is>
      </c>
      <c r="C307" s="116" t="inlineStr">
        <is>
          <t>Вид</t>
        </is>
      </c>
      <c r="D307" s="111" t="n"/>
      <c r="E307" s="133">
        <f>СПРАВОЧНИК!$O$11</f>
        <v/>
      </c>
      <c r="F307" s="129">
        <f>F298</f>
        <v/>
      </c>
      <c r="G307" s="130">
        <f>SUM('ФАКТ ЧИСТ К3'!O5:O100)</f>
        <v/>
      </c>
      <c r="H307" s="131">
        <f>IF(F307=0,0,G307/F307)</f>
        <v/>
      </c>
      <c r="I307" s="131">
        <f>H307*E307</f>
        <v/>
      </c>
    </row>
    <row r="308">
      <c r="A308" s="111" t="n"/>
      <c r="B308" s="132" t="inlineStr">
        <is>
          <t xml:space="preserve">   Меблировка</t>
        </is>
      </c>
      <c r="C308" s="116" t="inlineStr">
        <is>
          <t>Вид</t>
        </is>
      </c>
      <c r="D308" s="36" t="n"/>
      <c r="E308" s="116">
        <f>СПРАВОЧНИК!$P$11</f>
        <v/>
      </c>
      <c r="F308" s="129">
        <f>F298</f>
        <v/>
      </c>
      <c r="G308" s="130">
        <f>SUM('ФАКТ ЧИСТ К3'!P5:P100)</f>
        <v/>
      </c>
      <c r="H308" s="131">
        <f>IF(F308=0,0,G308/F308)</f>
        <v/>
      </c>
      <c r="I308" s="131">
        <f>H308*E308</f>
        <v/>
      </c>
    </row>
    <row r="309">
      <c r="A309" s="111" t="n"/>
      <c r="B309" s="116" t="inlineStr">
        <is>
          <t xml:space="preserve">  ✓ Сумма</t>
        </is>
      </c>
      <c r="C309" s="111" t="n"/>
      <c r="D309" s="116">
        <f>D299+D303</f>
        <v/>
      </c>
      <c r="E309" s="36" t="n"/>
      <c r="F309" s="3" t="n"/>
      <c r="G309" s="34" t="n"/>
      <c r="H309" s="6" t="n"/>
      <c r="I309" s="6" t="n"/>
    </row>
    <row r="310">
      <c r="A310" s="111" t="n"/>
      <c r="B310" s="37" t="n"/>
      <c r="C310" s="111" t="n"/>
      <c r="D310" s="111" t="n"/>
      <c r="E310" s="36" t="n"/>
      <c r="F310" s="3" t="n"/>
      <c r="G310" s="34" t="n"/>
      <c r="H310" s="6" t="n"/>
      <c r="I310" s="6" t="n"/>
    </row>
    <row r="311">
      <c r="A311" s="116" t="inlineStr">
        <is>
          <t>8.2.4</t>
        </is>
      </c>
      <c r="B311" s="116">
        <f>СПРАВОЧНИК!C12</f>
        <v/>
      </c>
      <c r="C311" s="116" t="inlineStr">
        <is>
          <t>Главная</t>
        </is>
      </c>
      <c r="D311" s="111" t="n"/>
      <c r="E311" s="36" t="n"/>
      <c r="F311" s="129">
        <f>СПРАВОЧНИК!D12</f>
        <v/>
      </c>
      <c r="G311" s="130">
        <f>G312*D312+G316*D316</f>
        <v/>
      </c>
      <c r="H311" s="131">
        <f>IF(F311=0,0,G311/F311)</f>
        <v/>
      </c>
      <c r="I311" s="131">
        <f>I312+I316</f>
        <v/>
      </c>
    </row>
    <row r="312">
      <c r="B312" s="134" t="inlineStr">
        <is>
          <t xml:space="preserve">  Черновая</t>
        </is>
      </c>
      <c r="C312" s="116" t="inlineStr">
        <is>
          <t>Категория</t>
        </is>
      </c>
      <c r="D312" s="135">
        <f>СПРАВОЧНИК!E12</f>
        <v/>
      </c>
      <c r="F312" s="116">
        <f>F311</f>
        <v/>
      </c>
      <c r="G312" s="116">
        <f>G313*E313+G314*E314+G315*E315</f>
        <v/>
      </c>
      <c r="H312" s="116">
        <f>IF(F312=0,0,G312/F312)</f>
        <v/>
      </c>
      <c r="I312" s="116">
        <f>H312*D312</f>
        <v/>
      </c>
    </row>
    <row r="313">
      <c r="B313" s="116" t="inlineStr">
        <is>
          <t xml:space="preserve">   Пол</t>
        </is>
      </c>
      <c r="C313" s="116" t="inlineStr">
        <is>
          <t>Вид</t>
        </is>
      </c>
      <c r="E313" s="116">
        <f>СПРАВОЧНИК!$H$12</f>
        <v/>
      </c>
      <c r="F313" s="116">
        <f>F311</f>
        <v/>
      </c>
      <c r="G313" s="116">
        <f>SUM('ФАКТ ЧЕРН К3'!K5:K100)</f>
        <v/>
      </c>
      <c r="H313" s="116">
        <f>IF(F313=0,0,G313/F313)</f>
        <v/>
      </c>
      <c r="I313" s="116">
        <f>H313*E313</f>
        <v/>
      </c>
    </row>
    <row r="314">
      <c r="A314" s="8" t="n"/>
      <c r="B314" s="128" t="inlineStr">
        <is>
          <t xml:space="preserve">   Стены</t>
        </is>
      </c>
      <c r="C314" s="116" t="inlineStr">
        <is>
          <t>Вид</t>
        </is>
      </c>
      <c r="D314" s="111" t="n"/>
      <c r="E314" s="116">
        <f>СПРАВОЧНИК!$I$12</f>
        <v/>
      </c>
      <c r="F314" s="129">
        <f>F311</f>
        <v/>
      </c>
      <c r="G314" s="130">
        <f>SUM('ФАКТ ЧЕРН К3'!L5:L100)</f>
        <v/>
      </c>
      <c r="H314" s="131">
        <f>IF(F314=0,0,G314/F314)</f>
        <v/>
      </c>
      <c r="I314" s="131">
        <f>H314*E314</f>
        <v/>
      </c>
    </row>
    <row r="315">
      <c r="A315" s="111" t="n"/>
      <c r="B315" s="132" t="inlineStr">
        <is>
          <t xml:space="preserve">   Потолок</t>
        </is>
      </c>
      <c r="C315" s="116" t="inlineStr">
        <is>
          <t>Вид</t>
        </is>
      </c>
      <c r="D315" s="36" t="n"/>
      <c r="E315" s="116">
        <f>СПРАВОЧНИК!$J$12</f>
        <v/>
      </c>
      <c r="F315" s="129">
        <f>F311</f>
        <v/>
      </c>
      <c r="G315" s="130">
        <f>SUM('ФАКТ ЧЕРН К3'!M5:M100)</f>
        <v/>
      </c>
      <c r="H315" s="131">
        <f>IF(F315=0,0,G315/F315)</f>
        <v/>
      </c>
      <c r="I315" s="131">
        <f>H315*E315</f>
        <v/>
      </c>
    </row>
    <row r="316">
      <c r="A316" s="111" t="n"/>
      <c r="B316" s="116" t="inlineStr">
        <is>
          <t xml:space="preserve">  Чистовая</t>
        </is>
      </c>
      <c r="C316" s="116" t="inlineStr">
        <is>
          <t>Категория</t>
        </is>
      </c>
      <c r="D316" s="116">
        <f>СПРАВОЧНИК!F12</f>
        <v/>
      </c>
      <c r="E316" s="36" t="n"/>
      <c r="F316" s="129">
        <f>F311</f>
        <v/>
      </c>
      <c r="G316" s="130">
        <f>G317*E317+G318*E318+G319*E319+G320*E320+G321*E321</f>
        <v/>
      </c>
      <c r="H316" s="131">
        <f>IF(F316=0,0,G316/F316)</f>
        <v/>
      </c>
      <c r="I316" s="131">
        <f>H316*D316</f>
        <v/>
      </c>
    </row>
    <row r="317">
      <c r="A317" s="111" t="n"/>
      <c r="B317" s="116" t="inlineStr">
        <is>
          <t xml:space="preserve">   Пол</t>
        </is>
      </c>
      <c r="C317" s="116" t="inlineStr">
        <is>
          <t>Вид</t>
        </is>
      </c>
      <c r="D317" s="111" t="n"/>
      <c r="E317" s="133">
        <f>СПРАВОЧНИК!$L$12</f>
        <v/>
      </c>
      <c r="F317" s="129">
        <f>F311</f>
        <v/>
      </c>
      <c r="G317" s="130">
        <f>SUM('ФАКТ ЧИСТ К3'!Q5:Q100)</f>
        <v/>
      </c>
      <c r="H317" s="131">
        <f>IF(F317=0,0,G317/F317)</f>
        <v/>
      </c>
      <c r="I317" s="131">
        <f>H317*E317</f>
        <v/>
      </c>
    </row>
    <row r="318">
      <c r="A318" s="111" t="n"/>
      <c r="B318" s="116" t="inlineStr">
        <is>
          <t xml:space="preserve">   Стены</t>
        </is>
      </c>
      <c r="C318" s="116" t="inlineStr">
        <is>
          <t>Вид</t>
        </is>
      </c>
      <c r="D318" s="111" t="n"/>
      <c r="E318" s="133">
        <f>СПРАВОЧНИК!$M$12</f>
        <v/>
      </c>
      <c r="F318" s="129">
        <f>F311</f>
        <v/>
      </c>
      <c r="G318" s="130">
        <f>SUM('ФАКТ ЧИСТ К3'!R5:R100)</f>
        <v/>
      </c>
      <c r="H318" s="131">
        <f>IF(F318=0,0,G318/F318)</f>
        <v/>
      </c>
      <c r="I318" s="131">
        <f>H318*E318</f>
        <v/>
      </c>
    </row>
    <row r="319">
      <c r="A319" s="111" t="n"/>
      <c r="B319" s="132" t="inlineStr">
        <is>
          <t xml:space="preserve">   Потолок</t>
        </is>
      </c>
      <c r="C319" s="116" t="inlineStr">
        <is>
          <t>Вид</t>
        </is>
      </c>
      <c r="D319" s="36" t="n"/>
      <c r="E319" s="116">
        <f>СПРАВОЧНИК!$N$12</f>
        <v/>
      </c>
      <c r="F319" s="129">
        <f>F311</f>
        <v/>
      </c>
      <c r="G319" s="130">
        <f>SUM('ФАКТ ЧИСТ К3'!S5:S100)</f>
        <v/>
      </c>
      <c r="H319" s="131">
        <f>IF(F319=0,0,G319/F319)</f>
        <v/>
      </c>
      <c r="I319" s="131">
        <f>H319*E319</f>
        <v/>
      </c>
    </row>
    <row r="320">
      <c r="A320" s="111" t="n"/>
      <c r="B320" s="116" t="inlineStr">
        <is>
          <t xml:space="preserve">   Заполн. проемов</t>
        </is>
      </c>
      <c r="C320" s="116" t="inlineStr">
        <is>
          <t>Вид</t>
        </is>
      </c>
      <c r="D320" s="111" t="n"/>
      <c r="E320" s="133">
        <f>СПРАВОЧНИК!$O$12</f>
        <v/>
      </c>
      <c r="F320" s="129">
        <f>F311</f>
        <v/>
      </c>
      <c r="G320" s="130">
        <f>SUM('ФАКТ ЧИСТ К3'!T5:T100)</f>
        <v/>
      </c>
      <c r="H320" s="131">
        <f>IF(F320=0,0,G320/F320)</f>
        <v/>
      </c>
      <c r="I320" s="131">
        <f>H320*E320</f>
        <v/>
      </c>
    </row>
    <row r="321">
      <c r="A321" s="111" t="n"/>
      <c r="B321" s="116" t="inlineStr">
        <is>
          <t xml:space="preserve">   Меблировка</t>
        </is>
      </c>
      <c r="C321" s="116" t="inlineStr">
        <is>
          <t>Вид</t>
        </is>
      </c>
      <c r="D321" s="111" t="n"/>
      <c r="E321" s="133">
        <f>СПРАВОЧНИК!$P$12</f>
        <v/>
      </c>
      <c r="F321" s="129">
        <f>F311</f>
        <v/>
      </c>
      <c r="G321" s="130">
        <f>SUM('ФАКТ ЧИСТ К3'!U5:U100)</f>
        <v/>
      </c>
      <c r="H321" s="131">
        <f>IF(F321=0,0,G321/F321)</f>
        <v/>
      </c>
      <c r="I321" s="131">
        <f>H321*E321</f>
        <v/>
      </c>
    </row>
    <row r="322">
      <c r="A322" s="111" t="n"/>
      <c r="B322" s="116" t="inlineStr">
        <is>
          <t xml:space="preserve">  ✓ Сумма</t>
        </is>
      </c>
      <c r="C322" s="111" t="n"/>
      <c r="D322" s="116">
        <f>D312+D316</f>
        <v/>
      </c>
      <c r="E322" s="36" t="n"/>
      <c r="F322" s="3" t="n"/>
      <c r="G322" s="34" t="n"/>
      <c r="H322" s="6" t="n"/>
      <c r="I322" s="6" t="n"/>
    </row>
    <row r="323" ht="18.6" customHeight="1" s="102">
      <c r="B323" s="22" t="n"/>
      <c r="D323" s="38" t="n"/>
    </row>
    <row r="324">
      <c r="A324" s="116" t="inlineStr">
        <is>
          <t>8.2.5</t>
        </is>
      </c>
      <c r="B324" s="116">
        <f>СПРАВОЧНИК!C13</f>
        <v/>
      </c>
      <c r="C324" s="116" t="inlineStr">
        <is>
          <t>Главная</t>
        </is>
      </c>
      <c r="F324" s="116">
        <f>СПРАВОЧНИК!D13</f>
        <v/>
      </c>
      <c r="G324" s="116">
        <f>G325*D325+G329*D329</f>
        <v/>
      </c>
      <c r="H324" s="116">
        <f>IF(F324=0,0,G324/F324)</f>
        <v/>
      </c>
      <c r="I324" s="116">
        <f>I325+I329</f>
        <v/>
      </c>
    </row>
    <row r="325">
      <c r="B325" s="116" t="inlineStr">
        <is>
          <t xml:space="preserve">  Черновая</t>
        </is>
      </c>
      <c r="C325" s="116" t="inlineStr">
        <is>
          <t>Категория</t>
        </is>
      </c>
      <c r="D325" s="116">
        <f>СПРАВОЧНИК!E13</f>
        <v/>
      </c>
      <c r="F325" s="116">
        <f>F324</f>
        <v/>
      </c>
      <c r="G325" s="116">
        <f>G326*E326+G327*E327+G328*E328</f>
        <v/>
      </c>
      <c r="H325" s="116">
        <f>IF(F325=0,0,G325/F325)</f>
        <v/>
      </c>
      <c r="I325" s="116">
        <f>H325*D325</f>
        <v/>
      </c>
    </row>
    <row r="326" ht="126" customHeight="1" s="102">
      <c r="A326" s="103" t="n"/>
      <c r="B326" s="116" t="inlineStr">
        <is>
          <t xml:space="preserve">   Пол</t>
        </is>
      </c>
      <c r="C326" s="116" t="inlineStr">
        <is>
          <t>Вид</t>
        </is>
      </c>
      <c r="E326" s="116">
        <f>СПРАВОЧНИК!$H$13</f>
        <v/>
      </c>
      <c r="F326" s="116">
        <f>F324</f>
        <v/>
      </c>
      <c r="G326" s="116">
        <f>SUM('ФАКТ ЧЕРН К3'!N5:N100)</f>
        <v/>
      </c>
      <c r="H326" s="116">
        <f>IF(F326=0,0,G326/F326)</f>
        <v/>
      </c>
      <c r="I326" s="116">
        <f>H326*E326</f>
        <v/>
      </c>
    </row>
    <row r="327">
      <c r="A327" s="39" t="n"/>
      <c r="B327" s="136" t="inlineStr">
        <is>
          <t xml:space="preserve">   Стены</t>
        </is>
      </c>
      <c r="C327" s="142" t="inlineStr">
        <is>
          <t>Вид</t>
        </is>
      </c>
      <c r="D327" s="108" t="n"/>
      <c r="E327" s="142">
        <f>СПРАВОЧНИК!$I$13</f>
        <v/>
      </c>
      <c r="F327" s="136">
        <f>F324</f>
        <v/>
      </c>
      <c r="G327" s="142">
        <f>SUM('ФАКТ ЧЕРН К3'!O5:O100)</f>
        <v/>
      </c>
      <c r="H327" s="136">
        <f>IF(F327=0,0,G327/F327)</f>
        <v/>
      </c>
      <c r="I327" s="136">
        <f>H327*E327</f>
        <v/>
      </c>
    </row>
    <row r="328">
      <c r="A328" s="40" t="n"/>
      <c r="B328" s="143" t="inlineStr">
        <is>
          <t xml:space="preserve">   Потолок</t>
        </is>
      </c>
      <c r="C328" s="144" t="inlineStr">
        <is>
          <t>Вид</t>
        </is>
      </c>
      <c r="D328" s="43" t="n"/>
      <c r="E328" s="144">
        <f>СПРАВОЧНИК!$J$13</f>
        <v/>
      </c>
      <c r="F328" s="145">
        <f>F324</f>
        <v/>
      </c>
      <c r="G328" s="144">
        <f>SUM('ФАКТ ЧЕРН К3'!P5:P100)</f>
        <v/>
      </c>
      <c r="H328" s="146">
        <f>IF(F328=0,0,G328/F328)</f>
        <v/>
      </c>
      <c r="I328" s="146">
        <f>H328*E328</f>
        <v/>
      </c>
    </row>
    <row r="329">
      <c r="A329" s="46" t="n"/>
      <c r="B329" s="147" t="inlineStr">
        <is>
          <t xml:space="preserve">  Чистовая</t>
        </is>
      </c>
      <c r="C329" s="148" t="inlineStr">
        <is>
          <t>Категория</t>
        </is>
      </c>
      <c r="D329" s="149">
        <f>СПРАВОЧНИК!F13</f>
        <v/>
      </c>
      <c r="E329" s="48" t="n"/>
      <c r="F329" s="150">
        <f>F324</f>
        <v/>
      </c>
      <c r="G329" s="148">
        <f>G330*E330+G331*E331+G332*E332+G333*E333+G334*E334</f>
        <v/>
      </c>
      <c r="H329" s="151">
        <f>IF(F329=0,0,G329/F329)</f>
        <v/>
      </c>
      <c r="I329" s="151">
        <f>H329*D329</f>
        <v/>
      </c>
    </row>
    <row r="330">
      <c r="A330" s="46" t="n"/>
      <c r="B330" s="147" t="inlineStr">
        <is>
          <t xml:space="preserve">   Пол</t>
        </is>
      </c>
      <c r="C330" s="148" t="inlineStr">
        <is>
          <t>Вид</t>
        </is>
      </c>
      <c r="D330" s="49" t="n"/>
      <c r="E330" s="148">
        <f>СПРАВОЧНИК!$L$13</f>
        <v/>
      </c>
      <c r="F330" s="150">
        <f>F324</f>
        <v/>
      </c>
      <c r="G330" s="148">
        <f>SUM('ФАКТ ЧИСТ К3'!V5:V100)</f>
        <v/>
      </c>
      <c r="H330" s="151">
        <f>IF(F330=0,0,G330/F330)</f>
        <v/>
      </c>
      <c r="I330" s="151">
        <f>H330*E330</f>
        <v/>
      </c>
    </row>
    <row r="331">
      <c r="A331" s="46" t="n"/>
      <c r="B331" s="147" t="inlineStr">
        <is>
          <t xml:space="preserve">   Стены</t>
        </is>
      </c>
      <c r="C331" s="148" t="inlineStr">
        <is>
          <t>Вид</t>
        </is>
      </c>
      <c r="D331" s="49" t="n"/>
      <c r="E331" s="148">
        <f>СПРАВОЧНИК!$M$13</f>
        <v/>
      </c>
      <c r="F331" s="150">
        <f>F324</f>
        <v/>
      </c>
      <c r="G331" s="148">
        <f>SUM('ФАКТ ЧИСТ К3'!W5:W100)</f>
        <v/>
      </c>
      <c r="H331" s="151">
        <f>IF(F331=0,0,G331/F331)</f>
        <v/>
      </c>
      <c r="I331" s="151">
        <f>H331*E331</f>
        <v/>
      </c>
    </row>
    <row r="332">
      <c r="A332" s="40" t="n"/>
      <c r="B332" s="143" t="inlineStr">
        <is>
          <t xml:space="preserve">   Потолок</t>
        </is>
      </c>
      <c r="C332" s="144" t="inlineStr">
        <is>
          <t>Вид</t>
        </is>
      </c>
      <c r="D332" s="43" t="n"/>
      <c r="E332" s="144">
        <f>СПРАВОЧНИК!$N$13</f>
        <v/>
      </c>
      <c r="F332" s="145">
        <f>F324</f>
        <v/>
      </c>
      <c r="G332" s="144">
        <f>SUM('ФАКТ ЧИСТ К3'!X5:X100)</f>
        <v/>
      </c>
      <c r="H332" s="146">
        <f>IF(F332=0,0,G332/F332)</f>
        <v/>
      </c>
      <c r="I332" s="146">
        <f>H332*E332</f>
        <v/>
      </c>
    </row>
    <row r="333">
      <c r="B333" s="134" t="inlineStr">
        <is>
          <t xml:space="preserve">   Заполн. проемов</t>
        </is>
      </c>
      <c r="C333" s="116" t="inlineStr">
        <is>
          <t>Вид</t>
        </is>
      </c>
      <c r="D333" s="23" t="n"/>
      <c r="E333" s="116">
        <f>СПРАВОЧНИК!$O$13</f>
        <v/>
      </c>
      <c r="F333" s="116">
        <f>F324</f>
        <v/>
      </c>
      <c r="G333" s="116">
        <f>SUM('ФАКТ ЧИСТ К3'!Y5:Y100)</f>
        <v/>
      </c>
      <c r="H333" s="116">
        <f>IF(F333=0,0,G333/F333)</f>
        <v/>
      </c>
      <c r="I333" s="116">
        <f>H333*E333</f>
        <v/>
      </c>
    </row>
    <row r="334">
      <c r="B334" s="134" t="inlineStr">
        <is>
          <t xml:space="preserve">   Меблировка</t>
        </is>
      </c>
      <c r="C334" s="116" t="inlineStr">
        <is>
          <t>Вид</t>
        </is>
      </c>
      <c r="D334" s="23" t="n"/>
      <c r="E334" s="116">
        <f>СПРАВОЧНИК!$P$13</f>
        <v/>
      </c>
      <c r="F334" s="116">
        <f>F324</f>
        <v/>
      </c>
      <c r="G334" s="116">
        <f>SUM('ФАКТ ЧИСТ К3'!Z5:Z100)</f>
        <v/>
      </c>
      <c r="H334" s="116">
        <f>IF(F334=0,0,G334/F334)</f>
        <v/>
      </c>
      <c r="I334" s="116">
        <f>H334*E334</f>
        <v/>
      </c>
    </row>
    <row r="335">
      <c r="B335" s="116" t="inlineStr">
        <is>
          <t xml:space="preserve">  ✓ Сумма</t>
        </is>
      </c>
      <c r="D335" s="116">
        <f>D325+D329</f>
        <v/>
      </c>
    </row>
    <row r="336" ht="18.75" customHeight="1" s="102">
      <c r="A336" s="52" t="n"/>
      <c r="B336" s="53" t="n"/>
      <c r="C336" s="54" t="n"/>
      <c r="D336" s="54" t="n"/>
      <c r="E336" s="54" t="n"/>
      <c r="F336" s="55" t="n"/>
      <c r="G336" s="54" t="n"/>
      <c r="H336" s="56" t="n"/>
      <c r="I336" s="54" t="n"/>
    </row>
    <row r="337">
      <c r="A337" s="116" t="inlineStr">
        <is>
          <t>8.2.6</t>
        </is>
      </c>
      <c r="B337" s="116">
        <f>СПРАВОЧНИК!C14</f>
        <v/>
      </c>
      <c r="C337" s="116" t="inlineStr">
        <is>
          <t>Главная</t>
        </is>
      </c>
      <c r="F337" s="116">
        <f>СПРАВОЧНИК!D14</f>
        <v/>
      </c>
      <c r="G337" s="116">
        <f>G338*D338+G342*D342</f>
        <v/>
      </c>
      <c r="H337" s="116">
        <f>IF(F337=0,0,G337/F337)</f>
        <v/>
      </c>
      <c r="I337" s="116">
        <f>I338+I342</f>
        <v/>
      </c>
    </row>
    <row r="338">
      <c r="B338" s="116" t="inlineStr">
        <is>
          <t xml:space="preserve">  Черновая</t>
        </is>
      </c>
      <c r="C338" s="116" t="inlineStr">
        <is>
          <t>Категория</t>
        </is>
      </c>
      <c r="D338" s="116">
        <f>СПРАВОЧНИК!E14</f>
        <v/>
      </c>
      <c r="F338" s="116">
        <f>F337</f>
        <v/>
      </c>
      <c r="G338" s="116">
        <f>G339*E339+G340*E340+G341*E341</f>
        <v/>
      </c>
      <c r="H338" s="116">
        <f>IF(F338=0,0,G338/F338)</f>
        <v/>
      </c>
      <c r="I338" s="116">
        <f>H338*D338</f>
        <v/>
      </c>
    </row>
    <row r="339">
      <c r="B339" s="116" t="inlineStr">
        <is>
          <t xml:space="preserve">   Пол</t>
        </is>
      </c>
      <c r="C339" s="116" t="inlineStr">
        <is>
          <t>Вид</t>
        </is>
      </c>
      <c r="E339" s="116">
        <f>СПРАВОЧНИК!$H$14</f>
        <v/>
      </c>
      <c r="F339" s="116">
        <f>F337</f>
        <v/>
      </c>
      <c r="G339" s="116">
        <f>SUM('ФАКТ ЧЕРН К3'!Q5:Q100)</f>
        <v/>
      </c>
      <c r="H339" s="116">
        <f>IF(F339=0,0,G339/F339)</f>
        <v/>
      </c>
      <c r="I339" s="116">
        <f>H339*E339</f>
        <v/>
      </c>
    </row>
    <row r="340">
      <c r="B340" s="116" t="inlineStr">
        <is>
          <t xml:space="preserve">   Стены</t>
        </is>
      </c>
      <c r="C340" s="116" t="inlineStr">
        <is>
          <t>Вид</t>
        </is>
      </c>
      <c r="E340" s="116">
        <f>СПРАВОЧНИК!$I$14</f>
        <v/>
      </c>
      <c r="F340" s="116">
        <f>F337</f>
        <v/>
      </c>
      <c r="G340" s="116">
        <f>SUM('ФАКТ ЧЕРН К3'!R5:R100)</f>
        <v/>
      </c>
      <c r="H340" s="116">
        <f>IF(F340=0,0,G340/F340)</f>
        <v/>
      </c>
      <c r="I340" s="116">
        <f>H340*E340</f>
        <v/>
      </c>
    </row>
    <row r="341">
      <c r="B341" s="116" t="inlineStr">
        <is>
          <t xml:space="preserve">   Потолок</t>
        </is>
      </c>
      <c r="C341" s="116" t="inlineStr">
        <is>
          <t>Вид</t>
        </is>
      </c>
      <c r="E341" s="116">
        <f>СПРАВОЧНИК!$J$14</f>
        <v/>
      </c>
      <c r="F341" s="116">
        <f>F337</f>
        <v/>
      </c>
      <c r="G341" s="116">
        <f>SUM('ФАКТ ЧЕРН К3'!S5:S100)</f>
        <v/>
      </c>
      <c r="H341" s="116">
        <f>IF(F341=0,0,G341/F341)</f>
        <v/>
      </c>
      <c r="I341" s="116">
        <f>H341*E341</f>
        <v/>
      </c>
    </row>
    <row r="342">
      <c r="B342" s="116" t="inlineStr">
        <is>
          <t xml:space="preserve">  Чистовая</t>
        </is>
      </c>
      <c r="C342" s="116" t="inlineStr">
        <is>
          <t>Категория</t>
        </is>
      </c>
      <c r="D342" s="116">
        <f>СПРАВОЧНИК!F14</f>
        <v/>
      </c>
      <c r="F342" s="116">
        <f>F337</f>
        <v/>
      </c>
      <c r="G342" s="116">
        <f>G343*E343+G344*E344+G345*E345+G346*E346+G347*E347</f>
        <v/>
      </c>
      <c r="H342" s="116">
        <f>IF(F342=0,0,G342/F342)</f>
        <v/>
      </c>
      <c r="I342" s="116">
        <f>H342*D342</f>
        <v/>
      </c>
    </row>
    <row r="343">
      <c r="B343" s="116" t="inlineStr">
        <is>
          <t xml:space="preserve">   Пол</t>
        </is>
      </c>
      <c r="C343" s="116" t="inlineStr">
        <is>
          <t>Вид</t>
        </is>
      </c>
      <c r="E343" s="116">
        <f>СПРАВОЧНИК!$L$14</f>
        <v/>
      </c>
      <c r="F343" s="116">
        <f>F337</f>
        <v/>
      </c>
      <c r="G343" s="116">
        <f>SUM('ФАКТ ЧИСТ К3'!AA5:AA100)</f>
        <v/>
      </c>
      <c r="H343" s="116">
        <f>IF(F343=0,0,G343/F343)</f>
        <v/>
      </c>
      <c r="I343" s="116">
        <f>H343*E343</f>
        <v/>
      </c>
    </row>
    <row r="344">
      <c r="B344" s="116" t="inlineStr">
        <is>
          <t xml:space="preserve">   Стены</t>
        </is>
      </c>
      <c r="C344" s="116" t="inlineStr">
        <is>
          <t>Вид</t>
        </is>
      </c>
      <c r="E344" s="116">
        <f>СПРАВОЧНИК!$M$14</f>
        <v/>
      </c>
      <c r="F344" s="116">
        <f>F337</f>
        <v/>
      </c>
      <c r="G344" s="116">
        <f>SUM('ФАКТ ЧИСТ К3'!AB5:AB100)</f>
        <v/>
      </c>
      <c r="H344" s="116">
        <f>IF(F344=0,0,G344/F344)</f>
        <v/>
      </c>
      <c r="I344" s="116">
        <f>H344*E344</f>
        <v/>
      </c>
    </row>
    <row r="345">
      <c r="B345" s="116" t="inlineStr">
        <is>
          <t xml:space="preserve">   Потолок</t>
        </is>
      </c>
      <c r="C345" s="116" t="inlineStr">
        <is>
          <t>Вид</t>
        </is>
      </c>
      <c r="E345" s="116">
        <f>СПРАВОЧНИК!$N$14</f>
        <v/>
      </c>
      <c r="F345" s="116">
        <f>F337</f>
        <v/>
      </c>
      <c r="G345" s="116">
        <f>SUM('ФАКТ ЧИСТ К3'!AC5:AC100)</f>
        <v/>
      </c>
      <c r="H345" s="116">
        <f>IF(F345=0,0,G345/F345)</f>
        <v/>
      </c>
      <c r="I345" s="116">
        <f>H345*E345</f>
        <v/>
      </c>
    </row>
    <row r="346">
      <c r="B346" s="116" t="inlineStr">
        <is>
          <t xml:space="preserve">   Заполн. проемов</t>
        </is>
      </c>
      <c r="C346" s="116" t="inlineStr">
        <is>
          <t>Вид</t>
        </is>
      </c>
      <c r="E346" s="116">
        <f>СПРАВОЧНИК!$O$14</f>
        <v/>
      </c>
      <c r="F346" s="116">
        <f>F337</f>
        <v/>
      </c>
      <c r="G346" s="116">
        <f>SUM('ФАКТ ЧИСТ К3'!AD5:AD100)</f>
        <v/>
      </c>
      <c r="H346" s="116">
        <f>IF(F346=0,0,G346/F346)</f>
        <v/>
      </c>
      <c r="I346" s="116">
        <f>H346*E346</f>
        <v/>
      </c>
    </row>
    <row r="347">
      <c r="B347" s="116" t="inlineStr">
        <is>
          <t xml:space="preserve">   Меблировка</t>
        </is>
      </c>
      <c r="C347" s="116" t="inlineStr">
        <is>
          <t>Вид</t>
        </is>
      </c>
      <c r="E347" s="116">
        <f>СПРАВОЧНИК!$P$14</f>
        <v/>
      </c>
      <c r="F347" s="116">
        <f>F337</f>
        <v/>
      </c>
      <c r="G347" s="116">
        <f>SUM('ФАКТ ЧИСТ К3'!AE5:AE100)</f>
        <v/>
      </c>
      <c r="H347" s="116">
        <f>IF(F347=0,0,G347/F347)</f>
        <v/>
      </c>
      <c r="I347" s="116">
        <f>H347*E347</f>
        <v/>
      </c>
    </row>
    <row r="348">
      <c r="B348" s="116" t="inlineStr">
        <is>
          <t xml:space="preserve">  ✓ Сумма</t>
        </is>
      </c>
      <c r="D348" s="116">
        <f>D338+D342</f>
        <v/>
      </c>
    </row>
    <row r="350">
      <c r="A350" s="116" t="inlineStr">
        <is>
          <t>8.2.7</t>
        </is>
      </c>
      <c r="B350" s="116">
        <f>СПРАВОЧНИК!C15</f>
        <v/>
      </c>
      <c r="C350" s="116" t="inlineStr">
        <is>
          <t>Главная</t>
        </is>
      </c>
      <c r="F350" s="116">
        <f>СПРАВОЧНИК!D15</f>
        <v/>
      </c>
      <c r="G350" s="116">
        <f>G351*D351+G355*D355</f>
        <v/>
      </c>
      <c r="H350" s="116">
        <f>IF(F350=0,0,G350/F350)</f>
        <v/>
      </c>
      <c r="I350" s="116">
        <f>I351+I355</f>
        <v/>
      </c>
    </row>
    <row r="351">
      <c r="B351" s="116" t="inlineStr">
        <is>
          <t xml:space="preserve">  Черновая</t>
        </is>
      </c>
      <c r="C351" s="116" t="inlineStr">
        <is>
          <t>Категория</t>
        </is>
      </c>
      <c r="D351" s="116">
        <f>СПРАВОЧНИК!E15</f>
        <v/>
      </c>
      <c r="F351" s="116">
        <f>F350</f>
        <v/>
      </c>
      <c r="G351" s="116">
        <f>G352*E352+G353*E353+G354*E354</f>
        <v/>
      </c>
      <c r="H351" s="116">
        <f>IF(F351=0,0,G351/F351)</f>
        <v/>
      </c>
      <c r="I351" s="116">
        <f>H351*D351</f>
        <v/>
      </c>
    </row>
    <row r="352">
      <c r="B352" s="116" t="inlineStr">
        <is>
          <t xml:space="preserve">   Пол</t>
        </is>
      </c>
      <c r="C352" s="116" t="inlineStr">
        <is>
          <t>Вид</t>
        </is>
      </c>
      <c r="E352" s="116">
        <f>СПРАВОЧНИК!$H$15</f>
        <v/>
      </c>
      <c r="F352" s="116">
        <f>F350</f>
        <v/>
      </c>
      <c r="G352" s="116">
        <f>SUM('ФАКТ ЧЕРН К3'!T5:T100)</f>
        <v/>
      </c>
      <c r="H352" s="116">
        <f>IF(F352=0,0,G352/F352)</f>
        <v/>
      </c>
      <c r="I352" s="116">
        <f>H352*E352</f>
        <v/>
      </c>
    </row>
    <row r="353">
      <c r="B353" s="116" t="inlineStr">
        <is>
          <t xml:space="preserve">   Стены</t>
        </is>
      </c>
      <c r="C353" s="116" t="inlineStr">
        <is>
          <t>Вид</t>
        </is>
      </c>
      <c r="E353" s="116">
        <f>СПРАВОЧНИК!$I$15</f>
        <v/>
      </c>
      <c r="F353" s="116">
        <f>F350</f>
        <v/>
      </c>
      <c r="G353" s="116">
        <f>SUM('ФАКТ ЧЕРН К3'!U5:U100)</f>
        <v/>
      </c>
      <c r="H353" s="116">
        <f>IF(F353=0,0,G353/F353)</f>
        <v/>
      </c>
      <c r="I353" s="116">
        <f>H353*E353</f>
        <v/>
      </c>
    </row>
    <row r="354">
      <c r="B354" s="116" t="inlineStr">
        <is>
          <t xml:space="preserve">   Потолок</t>
        </is>
      </c>
      <c r="C354" s="116" t="inlineStr">
        <is>
          <t>Вид</t>
        </is>
      </c>
      <c r="E354" s="116">
        <f>СПРАВОЧНИК!$J$15</f>
        <v/>
      </c>
      <c r="F354" s="116">
        <f>F350</f>
        <v/>
      </c>
      <c r="G354" s="116">
        <f>SUM('ФАКТ ЧЕРН К3'!V5:V100)</f>
        <v/>
      </c>
      <c r="H354" s="116">
        <f>IF(F354=0,0,G354/F354)</f>
        <v/>
      </c>
      <c r="I354" s="116">
        <f>H354*E354</f>
        <v/>
      </c>
    </row>
    <row r="355">
      <c r="B355" s="116" t="inlineStr">
        <is>
          <t xml:space="preserve">  Чистовая</t>
        </is>
      </c>
      <c r="C355" s="116" t="inlineStr">
        <is>
          <t>Категория</t>
        </is>
      </c>
      <c r="D355" s="116">
        <f>СПРАВОЧНИК!F15</f>
        <v/>
      </c>
      <c r="F355" s="116">
        <f>F350</f>
        <v/>
      </c>
      <c r="G355" s="116">
        <f>G356*E356+G357*E357+G358*E358+G359*E359+G360*E360</f>
        <v/>
      </c>
      <c r="H355" s="116">
        <f>IF(F355=0,0,G355/F355)</f>
        <v/>
      </c>
      <c r="I355" s="116">
        <f>H355*D355</f>
        <v/>
      </c>
    </row>
    <row r="356">
      <c r="B356" s="116" t="inlineStr">
        <is>
          <t xml:space="preserve">   Пол</t>
        </is>
      </c>
      <c r="C356" s="116" t="inlineStr">
        <is>
          <t>Вид</t>
        </is>
      </c>
      <c r="E356" s="116">
        <f>СПРАВОЧНИК!$L$15</f>
        <v/>
      </c>
      <c r="F356" s="116">
        <f>F350</f>
        <v/>
      </c>
      <c r="G356" s="116">
        <f>SUM('ФАКТ ЧИСТ К3'!AF5:AF100)</f>
        <v/>
      </c>
      <c r="H356" s="116">
        <f>IF(F356=0,0,G356/F356)</f>
        <v/>
      </c>
      <c r="I356" s="116">
        <f>H356*E356</f>
        <v/>
      </c>
    </row>
    <row r="357">
      <c r="B357" s="116" t="inlineStr">
        <is>
          <t xml:space="preserve">   Стены</t>
        </is>
      </c>
      <c r="C357" s="116" t="inlineStr">
        <is>
          <t>Вид</t>
        </is>
      </c>
      <c r="E357" s="116">
        <f>СПРАВОЧНИК!$M$15</f>
        <v/>
      </c>
      <c r="F357" s="116">
        <f>F350</f>
        <v/>
      </c>
      <c r="G357" s="116">
        <f>SUM('ФАКТ ЧИСТ К3'!AG5:AG100)</f>
        <v/>
      </c>
      <c r="H357" s="116">
        <f>IF(F357=0,0,G357/F357)</f>
        <v/>
      </c>
      <c r="I357" s="116">
        <f>H357*E357</f>
        <v/>
      </c>
    </row>
    <row r="358">
      <c r="B358" s="116" t="inlineStr">
        <is>
          <t xml:space="preserve">   Потолок</t>
        </is>
      </c>
      <c r="C358" s="116" t="inlineStr">
        <is>
          <t>Вид</t>
        </is>
      </c>
      <c r="E358" s="116">
        <f>СПРАВОЧНИК!$N$15</f>
        <v/>
      </c>
      <c r="F358" s="116">
        <f>F350</f>
        <v/>
      </c>
      <c r="G358" s="116">
        <f>SUM('ФАКТ ЧИСТ К3'!AH5:AH100)</f>
        <v/>
      </c>
      <c r="H358" s="116">
        <f>IF(F358=0,0,G358/F358)</f>
        <v/>
      </c>
      <c r="I358" s="116">
        <f>H358*E358</f>
        <v/>
      </c>
    </row>
    <row r="359">
      <c r="B359" s="116" t="inlineStr">
        <is>
          <t xml:space="preserve">   Заполн. проемов</t>
        </is>
      </c>
      <c r="C359" s="116" t="inlineStr">
        <is>
          <t>Вид</t>
        </is>
      </c>
      <c r="E359" s="116">
        <f>СПРАВОЧНИК!$O$15</f>
        <v/>
      </c>
      <c r="F359" s="116">
        <f>F350</f>
        <v/>
      </c>
      <c r="G359" s="116">
        <f>SUM('ФАКТ ЧИСТ К3'!AI5:AI100)</f>
        <v/>
      </c>
      <c r="H359" s="116">
        <f>IF(F359=0,0,G359/F359)</f>
        <v/>
      </c>
      <c r="I359" s="116">
        <f>H359*E359</f>
        <v/>
      </c>
    </row>
    <row r="360">
      <c r="B360" s="116" t="inlineStr">
        <is>
          <t xml:space="preserve">   Меблировка</t>
        </is>
      </c>
      <c r="C360" s="116" t="inlineStr">
        <is>
          <t>Вид</t>
        </is>
      </c>
      <c r="E360" s="116">
        <f>СПРАВОЧНИК!$P$15</f>
        <v/>
      </c>
      <c r="F360" s="116">
        <f>F350</f>
        <v/>
      </c>
      <c r="G360" s="116">
        <f>SUM('ФАКТ ЧИСТ К3'!AJ5:AJ100)</f>
        <v/>
      </c>
      <c r="H360" s="116">
        <f>IF(F360=0,0,G360/F360)</f>
        <v/>
      </c>
      <c r="I360" s="116">
        <f>H360*E360</f>
        <v/>
      </c>
    </row>
    <row r="361">
      <c r="B361" s="116" t="inlineStr">
        <is>
          <t xml:space="preserve">  ✓ Сумма</t>
        </is>
      </c>
      <c r="D361" s="116">
        <f>D351+D355</f>
        <v/>
      </c>
    </row>
  </sheetData>
  <mergeCells count="6">
    <mergeCell ref="A2:I2"/>
    <mergeCell ref="A177:I177"/>
    <mergeCell ref="A84:I84"/>
    <mergeCell ref="A1:I1"/>
    <mergeCell ref="A4:I4"/>
    <mergeCell ref="A270:I270"/>
  </mergeCells>
  <conditionalFormatting sqref="D15">
    <cfRule type="cellIs" priority="1" operator="notEqual" dxfId="2">
      <formula>1</formula>
    </cfRule>
    <cfRule type="cellIs" priority="2" operator="equal" dxfId="1">
      <formula>1</formula>
    </cfRule>
  </conditionalFormatting>
  <conditionalFormatting sqref="D26">
    <cfRule type="cellIs" priority="3" operator="notEqual" dxfId="2">
      <formula>1</formula>
    </cfRule>
    <cfRule type="cellIs" priority="4" operator="equal" dxfId="1">
      <formula>1</formula>
    </cfRule>
  </conditionalFormatting>
  <conditionalFormatting sqref="D37">
    <cfRule type="cellIs" priority="5" operator="notEqual" dxfId="2">
      <formula>1</formula>
    </cfRule>
    <cfRule type="cellIs" priority="6" operator="equal" dxfId="1">
      <formula>1</formula>
    </cfRule>
  </conditionalFormatting>
  <conditionalFormatting sqref="D48">
    <cfRule type="cellIs" priority="7" operator="notEqual" dxfId="2">
      <formula>1</formula>
    </cfRule>
    <cfRule type="cellIs" priority="8" operator="equal" dxfId="1">
      <formula>1</formula>
    </cfRule>
  </conditionalFormatting>
  <conditionalFormatting sqref="D59">
    <cfRule type="cellIs" priority="9" operator="notEqual" dxfId="2">
      <formula>1</formula>
    </cfRule>
    <cfRule type="cellIs" priority="10" operator="equal" dxfId="1">
      <formula>1</formula>
    </cfRule>
  </conditionalFormatting>
  <conditionalFormatting sqref="D70">
    <cfRule type="cellIs" priority="11" operator="notEqual" dxfId="2">
      <formula>1</formula>
    </cfRule>
    <cfRule type="cellIs" priority="12" operator="equal" dxfId="1">
      <formula>1</formula>
    </cfRule>
  </conditionalFormatting>
  <conditionalFormatting sqref="D84">
    <cfRule type="cellIs" priority="13" operator="notEqual" dxfId="2">
      <formula>1</formula>
    </cfRule>
    <cfRule type="cellIs" priority="14" operator="equal" dxfId="1">
      <formula>1</formula>
    </cfRule>
  </conditionalFormatting>
  <conditionalFormatting sqref="D95">
    <cfRule type="cellIs" priority="15" operator="notEqual" dxfId="2">
      <formula>1</formula>
    </cfRule>
    <cfRule type="cellIs" priority="16" operator="equal" dxfId="1">
      <formula>1</formula>
    </cfRule>
  </conditionalFormatting>
  <conditionalFormatting sqref="D106">
    <cfRule type="cellIs" priority="17" operator="notEqual" dxfId="2">
      <formula>1</formula>
    </cfRule>
    <cfRule type="cellIs" priority="18" operator="equal" dxfId="1">
      <formula>1</formula>
    </cfRule>
  </conditionalFormatting>
  <conditionalFormatting sqref="D117">
    <cfRule type="cellIs" priority="19" operator="notEqual" dxfId="2">
      <formula>1</formula>
    </cfRule>
    <cfRule type="cellIs" priority="20" operator="equal" dxfId="1">
      <formula>1</formula>
    </cfRule>
  </conditionalFormatting>
  <conditionalFormatting sqref="D128">
    <cfRule type="cellIs" priority="21" operator="notEqual" dxfId="2">
      <formula>1</formula>
    </cfRule>
    <cfRule type="cellIs" priority="22" operator="equal" dxfId="1">
      <formula>1</formula>
    </cfRule>
  </conditionalFormatting>
  <conditionalFormatting sqref="D139">
    <cfRule type="cellIs" priority="23" operator="notEqual" dxfId="2">
      <formula>1</formula>
    </cfRule>
    <cfRule type="cellIs" priority="24" operator="equal" dxfId="1">
      <formula>1</formula>
    </cfRule>
  </conditionalFormatting>
  <conditionalFormatting sqref="D150">
    <cfRule type="cellIs" priority="25" operator="notEqual" dxfId="2">
      <formula>1</formula>
    </cfRule>
    <cfRule type="cellIs" priority="26" operator="equal" dxfId="1">
      <formula>1</formula>
    </cfRule>
  </conditionalFormatting>
  <conditionalFormatting sqref="D164">
    <cfRule type="cellIs" priority="27" operator="notEqual" dxfId="2">
      <formula>1</formula>
    </cfRule>
    <cfRule type="cellIs" priority="28" operator="equal" dxfId="1">
      <formula>1</formula>
    </cfRule>
  </conditionalFormatting>
  <conditionalFormatting sqref="D175">
    <cfRule type="cellIs" priority="29" operator="notEqual" dxfId="2">
      <formula>1</formula>
    </cfRule>
    <cfRule type="cellIs" priority="30" operator="equal" dxfId="1">
      <formula>1</formula>
    </cfRule>
  </conditionalFormatting>
  <conditionalFormatting sqref="D186">
    <cfRule type="cellIs" priority="31" operator="notEqual" dxfId="2">
      <formula>1</formula>
    </cfRule>
    <cfRule type="cellIs" priority="32" operator="equal" dxfId="1">
      <formula>1</formula>
    </cfRule>
  </conditionalFormatting>
  <conditionalFormatting sqref="D197">
    <cfRule type="cellIs" priority="33" operator="notEqual" dxfId="2">
      <formula>1</formula>
    </cfRule>
    <cfRule type="cellIs" priority="34" operator="equal" dxfId="1">
      <formula>1</formula>
    </cfRule>
  </conditionalFormatting>
  <conditionalFormatting sqref="D208">
    <cfRule type="cellIs" priority="35" operator="notEqual" dxfId="2">
      <formula>1</formula>
    </cfRule>
    <cfRule type="cellIs" priority="36" operator="equal" dxfId="1">
      <formula>1</formula>
    </cfRule>
  </conditionalFormatting>
  <conditionalFormatting sqref="D219">
    <cfRule type="cellIs" priority="37" operator="notEqual" dxfId="2">
      <formula>1</formula>
    </cfRule>
    <cfRule type="cellIs" priority="38" operator="equal" dxfId="1">
      <formula>1</formula>
    </cfRule>
  </conditionalFormatting>
  <conditionalFormatting sqref="D230">
    <cfRule type="cellIs" priority="39" operator="notEqual" dxfId="2">
      <formula>1</formula>
    </cfRule>
    <cfRule type="cellIs" priority="40" operator="equal" dxfId="1">
      <formula>1</formula>
    </cfRule>
  </conditionalFormatting>
  <conditionalFormatting sqref="D244">
    <cfRule type="cellIs" priority="41" operator="notEqual" dxfId="2">
      <formula>1</formula>
    </cfRule>
    <cfRule type="cellIs" priority="42" operator="equal" dxfId="1">
      <formula>1</formula>
    </cfRule>
  </conditionalFormatting>
  <conditionalFormatting sqref="D255">
    <cfRule type="cellIs" priority="43" operator="notEqual" dxfId="2">
      <formula>1</formula>
    </cfRule>
    <cfRule type="cellIs" priority="44" operator="equal" dxfId="1">
      <formula>1</formula>
    </cfRule>
  </conditionalFormatting>
  <conditionalFormatting sqref="D266">
    <cfRule type="cellIs" priority="45" operator="notEqual" dxfId="2">
      <formula>1</formula>
    </cfRule>
    <cfRule type="cellIs" priority="46" operator="equal" dxfId="1">
      <formula>1</formula>
    </cfRule>
  </conditionalFormatting>
  <conditionalFormatting sqref="D277">
    <cfRule type="cellIs" priority="47" operator="notEqual" dxfId="2">
      <formula>1</formula>
    </cfRule>
    <cfRule type="cellIs" priority="48" operator="equal" dxfId="1">
      <formula>1</formula>
    </cfRule>
  </conditionalFormatting>
  <conditionalFormatting sqref="D288">
    <cfRule type="cellIs" priority="49" operator="notEqual" dxfId="2">
      <formula>1</formula>
    </cfRule>
    <cfRule type="cellIs" priority="50" operator="equal" dxfId="1">
      <formula>1</formula>
    </cfRule>
  </conditionalFormatting>
  <conditionalFormatting sqref="D299">
    <cfRule type="cellIs" priority="51" operator="notEqual" dxfId="2">
      <formula>1</formula>
    </cfRule>
    <cfRule type="cellIs" priority="52" operator="equal" dxfId="1">
      <formula>1</formula>
    </cfRule>
  </conditionalFormatting>
  <conditionalFormatting sqref="D310">
    <cfRule type="cellIs" priority="53" operator="notEqual" dxfId="2">
      <formula>1</formula>
    </cfRule>
    <cfRule type="cellIs" priority="54" operator="equal" dxfId="1">
      <formula>1</formula>
    </cfRule>
  </conditionalFormatting>
  <conditionalFormatting sqref="D320">
    <cfRule type="cellIs" priority="55" operator="notEqual" dxfId="2">
      <formula>1</formula>
    </cfRule>
    <cfRule type="cellIs" priority="56" operator="equal" dxfId="1">
      <formula>1</formula>
    </cfRule>
  </conditionalFormatting>
  <conditionalFormatting sqref="D321">
    <cfRule type="cellIs" priority="57" operator="notEqual" dxfId="2">
      <formula>D319</formula>
    </cfRule>
    <cfRule type="cellIs" priority="58" operator="equal" dxfId="1">
      <formula>D319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4472C4"/>
    <outlinePr summaryBelow="1" summaryRight="1"/>
    <pageSetUpPr/>
  </sheetPr>
  <dimension ref="A1:DE61"/>
  <sheetViews>
    <sheetView zoomScale="55" zoomScaleNormal="55" workbookViewId="0">
      <selection activeCell="N1" sqref="N1:Q1"/>
    </sheetView>
  </sheetViews>
  <sheetFormatPr baseColWidth="8" defaultColWidth="14.7109375" defaultRowHeight="15"/>
  <sheetData>
    <row r="1">
      <c r="A1" s="57" t="inlineStr">
        <is>
          <t>Дата отчета</t>
        </is>
      </c>
      <c r="B1" s="59" t="inlineStr">
        <is>
          <t>Заголовок</t>
        </is>
      </c>
      <c r="C1" s="111" t="inlineStr">
        <is>
          <t>План-факт по объемам</t>
        </is>
      </c>
      <c r="H1" s="59" t="inlineStr">
        <is>
          <t>Заголовок</t>
        </is>
      </c>
      <c r="I1" s="111" t="inlineStr">
        <is>
          <t>План-факт по объемам</t>
        </is>
      </c>
      <c r="N1" s="59" t="inlineStr">
        <is>
          <t>Заголовок</t>
        </is>
      </c>
      <c r="O1" s="111" t="inlineStr">
        <is>
          <t>План-факт по объемам</t>
        </is>
      </c>
      <c r="T1" s="59" t="inlineStr">
        <is>
          <t>Заголовок</t>
        </is>
      </c>
      <c r="U1" s="111" t="inlineStr">
        <is>
          <t>План-факт по объемам</t>
        </is>
      </c>
      <c r="Z1" s="59" t="inlineStr">
        <is>
          <t>Заголовок</t>
        </is>
      </c>
      <c r="AA1" s="111" t="inlineStr">
        <is>
          <t>План-факт по объемам</t>
        </is>
      </c>
      <c r="AF1" s="59" t="inlineStr">
        <is>
          <t>Заголовок</t>
        </is>
      </c>
      <c r="AG1" s="111" t="inlineStr">
        <is>
          <t>План-факт по объемам</t>
        </is>
      </c>
      <c r="AL1" s="59" t="inlineStr">
        <is>
          <t>Заголовок</t>
        </is>
      </c>
      <c r="AM1" s="111" t="inlineStr">
        <is>
          <t>План-факт по объемам</t>
        </is>
      </c>
      <c r="AR1" s="59" t="inlineStr">
        <is>
          <t>Заголовок</t>
        </is>
      </c>
      <c r="AS1" s="111" t="inlineStr">
        <is>
          <t>План-факт по объемам</t>
        </is>
      </c>
      <c r="AX1" s="59" t="inlineStr">
        <is>
          <t>Заголовок</t>
        </is>
      </c>
      <c r="AY1" s="111" t="inlineStr">
        <is>
          <t>План-факт по объемам</t>
        </is>
      </c>
      <c r="BD1" s="59" t="inlineStr">
        <is>
          <t>Заголовок</t>
        </is>
      </c>
      <c r="BE1" s="111" t="inlineStr">
        <is>
          <t>План-факт по объемам</t>
        </is>
      </c>
      <c r="BJ1" s="59" t="inlineStr">
        <is>
          <t>Заголовок</t>
        </is>
      </c>
      <c r="BK1" s="111" t="inlineStr">
        <is>
          <t>План-факт по объемам</t>
        </is>
      </c>
      <c r="BP1" s="59" t="inlineStr">
        <is>
          <t>Заголовок</t>
        </is>
      </c>
      <c r="BQ1" s="111" t="inlineStr">
        <is>
          <t>План-факт по объемам</t>
        </is>
      </c>
      <c r="BV1" s="59" t="inlineStr">
        <is>
          <t>Заголовок</t>
        </is>
      </c>
      <c r="BW1" s="111" t="inlineStr">
        <is>
          <t>План-факт по объемам</t>
        </is>
      </c>
      <c r="CB1" s="59" t="inlineStr">
        <is>
          <t>Заголовок</t>
        </is>
      </c>
      <c r="CC1" s="111" t="inlineStr">
        <is>
          <t>План-факт по объемам</t>
        </is>
      </c>
      <c r="CH1" s="59" t="inlineStr">
        <is>
          <t>Заголовок</t>
        </is>
      </c>
      <c r="CI1" s="111" t="inlineStr">
        <is>
          <t>План-факт по объемам</t>
        </is>
      </c>
      <c r="CN1" s="59" t="inlineStr">
        <is>
          <t>Заголовок</t>
        </is>
      </c>
      <c r="CO1" s="111" t="inlineStr">
        <is>
          <t>План-факт по объемам</t>
        </is>
      </c>
      <c r="CT1" s="59" t="inlineStr">
        <is>
          <t>Заголовок</t>
        </is>
      </c>
      <c r="CU1" s="111" t="inlineStr">
        <is>
          <t>План-факт по объемам</t>
        </is>
      </c>
      <c r="CZ1" s="59" t="inlineStr">
        <is>
          <t>Заголовок</t>
        </is>
      </c>
      <c r="DA1" s="111" t="inlineStr">
        <is>
          <t>План-факт по объемам</t>
        </is>
      </c>
    </row>
    <row r="2">
      <c r="A2" s="58" t="n">
        <v>46202</v>
      </c>
      <c r="B2" s="59" t="inlineStr">
        <is>
          <t>Статус</t>
        </is>
      </c>
      <c r="C2" s="111" t="inlineStr">
        <is>
          <t>true</t>
        </is>
      </c>
      <c r="H2" s="59" t="inlineStr">
        <is>
          <t>Статус</t>
        </is>
      </c>
      <c r="I2" s="111" t="inlineStr">
        <is>
          <t>true</t>
        </is>
      </c>
      <c r="N2" s="59" t="inlineStr">
        <is>
          <t>Статус</t>
        </is>
      </c>
      <c r="O2" s="111" t="inlineStr">
        <is>
          <t>true</t>
        </is>
      </c>
      <c r="T2" s="59" t="inlineStr">
        <is>
          <t>Статус</t>
        </is>
      </c>
      <c r="U2" s="111" t="inlineStr">
        <is>
          <t>true</t>
        </is>
      </c>
      <c r="Z2" s="59" t="inlineStr">
        <is>
          <t>Статус</t>
        </is>
      </c>
      <c r="AA2" s="111" t="inlineStr">
        <is>
          <t>true</t>
        </is>
      </c>
      <c r="AF2" s="59" t="inlineStr">
        <is>
          <t>Статус</t>
        </is>
      </c>
      <c r="AG2" s="111" t="inlineStr">
        <is>
          <t>true</t>
        </is>
      </c>
      <c r="AL2" s="59" t="inlineStr">
        <is>
          <t>Статус</t>
        </is>
      </c>
      <c r="AM2" s="111" t="inlineStr">
        <is>
          <t>true</t>
        </is>
      </c>
      <c r="AR2" s="59" t="inlineStr">
        <is>
          <t>Статус</t>
        </is>
      </c>
      <c r="AS2" s="111" t="inlineStr">
        <is>
          <t>true</t>
        </is>
      </c>
      <c r="AX2" s="59" t="inlineStr">
        <is>
          <t>Статус</t>
        </is>
      </c>
      <c r="AY2" s="111" t="inlineStr">
        <is>
          <t>true</t>
        </is>
      </c>
      <c r="BD2" s="59" t="inlineStr">
        <is>
          <t>Статус</t>
        </is>
      </c>
      <c r="BE2" s="111" t="inlineStr">
        <is>
          <t>true</t>
        </is>
      </c>
      <c r="BJ2" s="59" t="inlineStr">
        <is>
          <t>Статус</t>
        </is>
      </c>
      <c r="BK2" s="111" t="inlineStr">
        <is>
          <t>true</t>
        </is>
      </c>
      <c r="BP2" s="59" t="inlineStr">
        <is>
          <t>Статус</t>
        </is>
      </c>
      <c r="BQ2" s="111" t="inlineStr">
        <is>
          <t>true</t>
        </is>
      </c>
      <c r="BV2" s="59" t="inlineStr">
        <is>
          <t>Статус</t>
        </is>
      </c>
      <c r="BW2" s="111" t="inlineStr">
        <is>
          <t>true</t>
        </is>
      </c>
      <c r="CB2" s="59" t="inlineStr">
        <is>
          <t>Статус</t>
        </is>
      </c>
      <c r="CC2" s="111" t="inlineStr">
        <is>
          <t>true</t>
        </is>
      </c>
      <c r="CH2" s="59" t="inlineStr">
        <is>
          <t>Статус</t>
        </is>
      </c>
      <c r="CI2" s="111" t="inlineStr">
        <is>
          <t>true</t>
        </is>
      </c>
      <c r="CN2" s="59" t="inlineStr">
        <is>
          <t>Статус</t>
        </is>
      </c>
      <c r="CO2" s="111" t="inlineStr">
        <is>
          <t>true</t>
        </is>
      </c>
      <c r="CT2" s="59" t="inlineStr">
        <is>
          <t>Статус</t>
        </is>
      </c>
      <c r="CU2" s="111" t="inlineStr">
        <is>
          <t>true</t>
        </is>
      </c>
      <c r="CZ2" s="59" t="inlineStr">
        <is>
          <t>Статус</t>
        </is>
      </c>
      <c r="DA2" s="111" t="inlineStr">
        <is>
          <t>true</t>
        </is>
      </c>
    </row>
    <row r="3" ht="29.1" customHeight="1" s="102">
      <c r="B3" s="59" t="inlineStr">
        <is>
          <t>Url изображения</t>
        </is>
      </c>
      <c r="C3" s="111" t="n"/>
      <c r="H3" s="59" t="inlineStr">
        <is>
          <t>Url изображения</t>
        </is>
      </c>
      <c r="I3" s="111" t="n"/>
      <c r="N3" s="59" t="inlineStr">
        <is>
          <t>Url изображения</t>
        </is>
      </c>
      <c r="O3" s="111" t="n"/>
      <c r="T3" s="59" t="inlineStr">
        <is>
          <t>Url изображения</t>
        </is>
      </c>
      <c r="U3" s="111" t="n"/>
      <c r="Z3" s="59" t="inlineStr">
        <is>
          <t>Url изображения</t>
        </is>
      </c>
      <c r="AA3" s="111" t="n"/>
      <c r="AF3" s="59" t="inlineStr">
        <is>
          <t>Url изображения</t>
        </is>
      </c>
      <c r="AG3" s="111" t="n"/>
      <c r="AL3" s="59" t="inlineStr">
        <is>
          <t>Url изображения</t>
        </is>
      </c>
      <c r="AM3" s="111" t="n"/>
      <c r="AR3" s="59" t="inlineStr">
        <is>
          <t>Url изображения</t>
        </is>
      </c>
      <c r="AS3" s="111" t="n"/>
      <c r="AX3" s="59" t="inlineStr">
        <is>
          <t>Url изображения</t>
        </is>
      </c>
      <c r="AY3" s="111" t="n"/>
      <c r="BD3" s="59" t="inlineStr">
        <is>
          <t>Url изображения</t>
        </is>
      </c>
      <c r="BE3" s="111" t="n"/>
      <c r="BJ3" s="59" t="inlineStr">
        <is>
          <t>Url изображения</t>
        </is>
      </c>
      <c r="BK3" s="111" t="n"/>
      <c r="BP3" s="59" t="inlineStr">
        <is>
          <t>Url изображения</t>
        </is>
      </c>
      <c r="BQ3" s="111" t="n"/>
      <c r="BV3" s="59" t="inlineStr">
        <is>
          <t>Url изображения</t>
        </is>
      </c>
      <c r="BW3" s="111" t="n"/>
      <c r="CB3" s="59" t="inlineStr">
        <is>
          <t>Url изображения</t>
        </is>
      </c>
      <c r="CC3" s="111" t="n"/>
      <c r="CH3" s="59" t="inlineStr">
        <is>
          <t>Url изображения</t>
        </is>
      </c>
      <c r="CI3" s="111" t="n"/>
      <c r="CN3" s="59" t="inlineStr">
        <is>
          <t>Url изображения</t>
        </is>
      </c>
      <c r="CO3" s="111" t="n"/>
      <c r="CT3" s="59" t="inlineStr">
        <is>
          <t>Url изображения</t>
        </is>
      </c>
      <c r="CU3" s="111" t="n"/>
      <c r="CZ3" s="59" t="inlineStr">
        <is>
          <t>Url изображения</t>
        </is>
      </c>
      <c r="DA3" s="111" t="n"/>
    </row>
    <row r="4">
      <c r="B4" s="59" t="inlineStr">
        <is>
          <t>Тип</t>
        </is>
      </c>
      <c r="C4" s="111" t="inlineStr">
        <is>
          <t>planFact2</t>
        </is>
      </c>
      <c r="H4" s="59" t="inlineStr">
        <is>
          <t>Тип</t>
        </is>
      </c>
      <c r="I4" s="111" t="inlineStr">
        <is>
          <t>planFact2</t>
        </is>
      </c>
      <c r="N4" s="59" t="inlineStr">
        <is>
          <t>Тип</t>
        </is>
      </c>
      <c r="O4" s="111" t="inlineStr">
        <is>
          <t>planFact2</t>
        </is>
      </c>
      <c r="T4" s="59" t="inlineStr">
        <is>
          <t>Тип</t>
        </is>
      </c>
      <c r="U4" s="111" t="inlineStr">
        <is>
          <t>planFact2</t>
        </is>
      </c>
      <c r="Z4" s="59" t="inlineStr">
        <is>
          <t>Тип</t>
        </is>
      </c>
      <c r="AA4" s="111" t="inlineStr">
        <is>
          <t>planFact2</t>
        </is>
      </c>
      <c r="AF4" s="59" t="inlineStr">
        <is>
          <t>Тип</t>
        </is>
      </c>
      <c r="AG4" s="111" t="inlineStr">
        <is>
          <t>planFact2</t>
        </is>
      </c>
      <c r="AL4" s="59" t="inlineStr">
        <is>
          <t>Тип</t>
        </is>
      </c>
      <c r="AM4" s="111" t="inlineStr">
        <is>
          <t>planFact2</t>
        </is>
      </c>
      <c r="AR4" s="59" t="inlineStr">
        <is>
          <t>Тип</t>
        </is>
      </c>
      <c r="AS4" s="111" t="inlineStr">
        <is>
          <t>planFact2</t>
        </is>
      </c>
      <c r="AX4" s="59" t="inlineStr">
        <is>
          <t>Тип</t>
        </is>
      </c>
      <c r="AY4" s="111" t="inlineStr">
        <is>
          <t>planFact2</t>
        </is>
      </c>
      <c r="BD4" s="59" t="inlineStr">
        <is>
          <t>Тип</t>
        </is>
      </c>
      <c r="BE4" s="111" t="inlineStr">
        <is>
          <t>planFact2</t>
        </is>
      </c>
      <c r="BJ4" s="59" t="inlineStr">
        <is>
          <t>Тип</t>
        </is>
      </c>
      <c r="BK4" s="111" t="inlineStr">
        <is>
          <t>planFact2</t>
        </is>
      </c>
      <c r="BP4" s="59" t="inlineStr">
        <is>
          <t>Тип</t>
        </is>
      </c>
      <c r="BQ4" s="111" t="inlineStr">
        <is>
          <t>planFact2</t>
        </is>
      </c>
      <c r="BV4" s="59" t="inlineStr">
        <is>
          <t>Тип</t>
        </is>
      </c>
      <c r="BW4" s="111" t="inlineStr">
        <is>
          <t>planFact2</t>
        </is>
      </c>
      <c r="CB4" s="59" t="inlineStr">
        <is>
          <t>Тип</t>
        </is>
      </c>
      <c r="CC4" s="111" t="inlineStr">
        <is>
          <t>planFact2</t>
        </is>
      </c>
      <c r="CH4" s="59" t="inlineStr">
        <is>
          <t>Тип</t>
        </is>
      </c>
      <c r="CI4" s="111" t="inlineStr">
        <is>
          <t>planFact2</t>
        </is>
      </c>
      <c r="CN4" s="59" t="inlineStr">
        <is>
          <t>Тип</t>
        </is>
      </c>
      <c r="CO4" s="111" t="inlineStr">
        <is>
          <t>planFact2</t>
        </is>
      </c>
      <c r="CT4" s="59" t="inlineStr">
        <is>
          <t>Тип</t>
        </is>
      </c>
      <c r="CU4" s="111" t="inlineStr">
        <is>
          <t>planFact2</t>
        </is>
      </c>
      <c r="CZ4" s="59" t="inlineStr">
        <is>
          <t>Тип</t>
        </is>
      </c>
      <c r="DA4" s="111" t="inlineStr">
        <is>
          <t>planFact2</t>
        </is>
      </c>
    </row>
    <row r="5">
      <c r="C5" s="111" t="n"/>
      <c r="I5" s="111" t="n"/>
      <c r="O5" s="111" t="n"/>
      <c r="U5" s="111" t="n"/>
      <c r="AA5" s="111" t="n"/>
      <c r="AG5" s="111" t="n"/>
      <c r="AM5" s="111" t="n"/>
      <c r="AS5" s="111" t="n"/>
      <c r="AY5" s="111" t="n"/>
      <c r="BE5" s="111" t="n"/>
      <c r="BK5" s="111" t="n"/>
      <c r="BQ5" s="111" t="n"/>
      <c r="BW5" s="111" t="n"/>
      <c r="CC5" s="111" t="n"/>
      <c r="CI5" s="111" t="n"/>
      <c r="CO5" s="111" t="n"/>
      <c r="CU5" s="111" t="n"/>
      <c r="DA5" s="111" t="n"/>
    </row>
    <row r="6">
      <c r="B6" s="59" t="inlineStr">
        <is>
          <t>Дата</t>
        </is>
      </c>
      <c r="C6" s="17">
        <f>$A$2</f>
        <v/>
      </c>
      <c r="H6" s="59" t="inlineStr">
        <is>
          <t>Дата</t>
        </is>
      </c>
      <c r="I6" s="17">
        <f>$A$2</f>
        <v/>
      </c>
      <c r="N6" s="59" t="inlineStr">
        <is>
          <t>Дата</t>
        </is>
      </c>
      <c r="O6" s="17">
        <f>$A$2</f>
        <v/>
      </c>
      <c r="T6" s="59" t="inlineStr">
        <is>
          <t>Дата</t>
        </is>
      </c>
      <c r="U6" s="17">
        <f>$A$2</f>
        <v/>
      </c>
      <c r="Z6" s="59" t="inlineStr">
        <is>
          <t>Дата</t>
        </is>
      </c>
      <c r="AA6" s="17">
        <f>$A$2</f>
        <v/>
      </c>
      <c r="AF6" s="59" t="inlineStr">
        <is>
          <t>Дата</t>
        </is>
      </c>
      <c r="AG6" s="17">
        <f>$A$2</f>
        <v/>
      </c>
      <c r="AL6" s="59" t="inlineStr">
        <is>
          <t>Дата</t>
        </is>
      </c>
      <c r="AM6" s="17">
        <f>$A$2</f>
        <v/>
      </c>
      <c r="AR6" s="59" t="inlineStr">
        <is>
          <t>Дата</t>
        </is>
      </c>
      <c r="AS6" s="17">
        <f>$A$2</f>
        <v/>
      </c>
      <c r="AX6" s="59" t="inlineStr">
        <is>
          <t>Дата</t>
        </is>
      </c>
      <c r="AY6" s="17">
        <f>$A$2</f>
        <v/>
      </c>
      <c r="BD6" s="59" t="inlineStr">
        <is>
          <t>Дата</t>
        </is>
      </c>
      <c r="BE6" s="17">
        <f>$A$2</f>
        <v/>
      </c>
      <c r="BJ6" s="59" t="inlineStr">
        <is>
          <t>Дата</t>
        </is>
      </c>
      <c r="BK6" s="17">
        <f>$A$2</f>
        <v/>
      </c>
      <c r="BP6" s="59" t="inlineStr">
        <is>
          <t>Дата</t>
        </is>
      </c>
      <c r="BQ6" s="17">
        <f>$A$2</f>
        <v/>
      </c>
      <c r="BV6" s="59" t="inlineStr">
        <is>
          <t>Дата</t>
        </is>
      </c>
      <c r="BW6" s="17">
        <f>$A$2</f>
        <v/>
      </c>
      <c r="CB6" s="59" t="inlineStr">
        <is>
          <t>Дата</t>
        </is>
      </c>
      <c r="CC6" s="17">
        <f>$A$2</f>
        <v/>
      </c>
      <c r="CH6" s="59" t="inlineStr">
        <is>
          <t>Дата</t>
        </is>
      </c>
      <c r="CI6" s="17">
        <f>$A$2</f>
        <v/>
      </c>
      <c r="CN6" s="59" t="inlineStr">
        <is>
          <t>Дата</t>
        </is>
      </c>
      <c r="CO6" s="17">
        <f>$A$2</f>
        <v/>
      </c>
      <c r="CT6" s="59" t="inlineStr">
        <is>
          <t>Дата</t>
        </is>
      </c>
      <c r="CU6" s="17">
        <f>$A$2</f>
        <v/>
      </c>
      <c r="CZ6" s="59" t="inlineStr">
        <is>
          <t>Дата</t>
        </is>
      </c>
      <c r="DA6" s="17">
        <f>$A$2</f>
        <v/>
      </c>
    </row>
    <row r="7">
      <c r="B7" s="59" t="inlineStr">
        <is>
          <t>Гистограмма</t>
        </is>
      </c>
      <c r="C7" s="111" t="inlineStr">
        <is>
          <t>false</t>
        </is>
      </c>
      <c r="H7" s="59" t="inlineStr">
        <is>
          <t>Гистограмма</t>
        </is>
      </c>
      <c r="I7" s="111" t="inlineStr">
        <is>
          <t>false</t>
        </is>
      </c>
      <c r="N7" s="59" t="inlineStr">
        <is>
          <t>Гистограмма</t>
        </is>
      </c>
      <c r="O7" s="111" t="inlineStr">
        <is>
          <t>false</t>
        </is>
      </c>
      <c r="T7" s="59" t="inlineStr">
        <is>
          <t>Гистограмма</t>
        </is>
      </c>
      <c r="U7" s="111" t="inlineStr">
        <is>
          <t>false</t>
        </is>
      </c>
      <c r="Z7" s="59" t="inlineStr">
        <is>
          <t>Гистограмма</t>
        </is>
      </c>
      <c r="AA7" s="111" t="inlineStr">
        <is>
          <t>false</t>
        </is>
      </c>
      <c r="AF7" s="59" t="inlineStr">
        <is>
          <t>Гистограмма</t>
        </is>
      </c>
      <c r="AG7" s="111" t="inlineStr">
        <is>
          <t>false</t>
        </is>
      </c>
      <c r="AL7" s="59" t="inlineStr">
        <is>
          <t>Гистограмма</t>
        </is>
      </c>
      <c r="AM7" s="111" t="inlineStr">
        <is>
          <t>false</t>
        </is>
      </c>
      <c r="AR7" s="59" t="inlineStr">
        <is>
          <t>Гистограмма</t>
        </is>
      </c>
      <c r="AS7" s="111" t="inlineStr">
        <is>
          <t>false</t>
        </is>
      </c>
      <c r="AX7" s="59" t="inlineStr">
        <is>
          <t>Гистограмма</t>
        </is>
      </c>
      <c r="AY7" s="111" t="inlineStr">
        <is>
          <t>false</t>
        </is>
      </c>
      <c r="BD7" s="59" t="inlineStr">
        <is>
          <t>Гистограмма</t>
        </is>
      </c>
      <c r="BE7" s="111" t="inlineStr">
        <is>
          <t>false</t>
        </is>
      </c>
      <c r="BJ7" s="59" t="inlineStr">
        <is>
          <t>Гистограмма</t>
        </is>
      </c>
      <c r="BK7" s="111" t="inlineStr">
        <is>
          <t>false</t>
        </is>
      </c>
      <c r="BP7" s="59" t="inlineStr">
        <is>
          <t>Гистограмма</t>
        </is>
      </c>
      <c r="BQ7" s="111" t="inlineStr">
        <is>
          <t>false</t>
        </is>
      </c>
      <c r="BV7" s="59" t="inlineStr">
        <is>
          <t>Гистограмма</t>
        </is>
      </c>
      <c r="BW7" s="111" t="inlineStr">
        <is>
          <t>false</t>
        </is>
      </c>
      <c r="CB7" s="59" t="inlineStr">
        <is>
          <t>Гистограмма</t>
        </is>
      </c>
      <c r="CC7" s="111" t="inlineStr">
        <is>
          <t>false</t>
        </is>
      </c>
      <c r="CH7" s="59" t="inlineStr">
        <is>
          <t>Гистограмма</t>
        </is>
      </c>
      <c r="CI7" s="111" t="inlineStr">
        <is>
          <t>false</t>
        </is>
      </c>
      <c r="CN7" s="59" t="inlineStr">
        <is>
          <t>Гистограмма</t>
        </is>
      </c>
      <c r="CO7" s="111" t="inlineStr">
        <is>
          <t>false</t>
        </is>
      </c>
      <c r="CT7" s="59" t="inlineStr">
        <is>
          <t>Гистограмма</t>
        </is>
      </c>
      <c r="CU7" s="111" t="inlineStr">
        <is>
          <t>false</t>
        </is>
      </c>
      <c r="CZ7" s="59" t="inlineStr">
        <is>
          <t>Гистограмма</t>
        </is>
      </c>
      <c r="DA7" s="111" t="inlineStr">
        <is>
          <t>false</t>
        </is>
      </c>
    </row>
    <row r="8">
      <c r="B8" s="59" t="inlineStr">
        <is>
          <t>По месяцам</t>
        </is>
      </c>
      <c r="C8" s="111" t="inlineStr">
        <is>
          <t>false</t>
        </is>
      </c>
      <c r="H8" s="59" t="inlineStr">
        <is>
          <t>По месяцам</t>
        </is>
      </c>
      <c r="I8" s="111" t="inlineStr">
        <is>
          <t>false</t>
        </is>
      </c>
      <c r="N8" s="59" t="inlineStr">
        <is>
          <t>По месяцам</t>
        </is>
      </c>
      <c r="O8" s="111" t="inlineStr">
        <is>
          <t>false</t>
        </is>
      </c>
      <c r="T8" s="59" t="inlineStr">
        <is>
          <t>По месяцам</t>
        </is>
      </c>
      <c r="U8" s="111" t="inlineStr">
        <is>
          <t>false</t>
        </is>
      </c>
      <c r="Z8" s="59" t="inlineStr">
        <is>
          <t>По месяцам</t>
        </is>
      </c>
      <c r="AA8" s="111" t="inlineStr">
        <is>
          <t>false</t>
        </is>
      </c>
      <c r="AF8" s="59" t="inlineStr">
        <is>
          <t>По месяцам</t>
        </is>
      </c>
      <c r="AG8" s="111" t="inlineStr">
        <is>
          <t>false</t>
        </is>
      </c>
      <c r="AL8" s="59" t="inlineStr">
        <is>
          <t>По месяцам</t>
        </is>
      </c>
      <c r="AM8" s="111" t="inlineStr">
        <is>
          <t>false</t>
        </is>
      </c>
      <c r="AR8" s="59" t="inlineStr">
        <is>
          <t>По месяцам</t>
        </is>
      </c>
      <c r="AS8" s="111" t="inlineStr">
        <is>
          <t>false</t>
        </is>
      </c>
      <c r="AX8" s="59" t="inlineStr">
        <is>
          <t>По месяцам</t>
        </is>
      </c>
      <c r="AY8" s="111" t="inlineStr">
        <is>
          <t>false</t>
        </is>
      </c>
      <c r="BD8" s="59" t="inlineStr">
        <is>
          <t>По месяцам</t>
        </is>
      </c>
      <c r="BE8" s="111" t="inlineStr">
        <is>
          <t>false</t>
        </is>
      </c>
      <c r="BJ8" s="59" t="inlineStr">
        <is>
          <t>По месяцам</t>
        </is>
      </c>
      <c r="BK8" s="111" t="inlineStr">
        <is>
          <t>false</t>
        </is>
      </c>
      <c r="BP8" s="59" t="inlineStr">
        <is>
          <t>По месяцам</t>
        </is>
      </c>
      <c r="BQ8" s="111" t="inlineStr">
        <is>
          <t>false</t>
        </is>
      </c>
      <c r="BV8" s="59" t="inlineStr">
        <is>
          <t>По месяцам</t>
        </is>
      </c>
      <c r="BW8" s="111" t="inlineStr">
        <is>
          <t>false</t>
        </is>
      </c>
      <c r="CB8" s="59" t="inlineStr">
        <is>
          <t>По месяцам</t>
        </is>
      </c>
      <c r="CC8" s="111" t="inlineStr">
        <is>
          <t>false</t>
        </is>
      </c>
      <c r="CH8" s="59" t="inlineStr">
        <is>
          <t>По месяцам</t>
        </is>
      </c>
      <c r="CI8" s="111" t="inlineStr">
        <is>
          <t>false</t>
        </is>
      </c>
      <c r="CN8" s="59" t="inlineStr">
        <is>
          <t>По месяцам</t>
        </is>
      </c>
      <c r="CO8" s="111" t="inlineStr">
        <is>
          <t>false</t>
        </is>
      </c>
      <c r="CT8" s="59" t="inlineStr">
        <is>
          <t>По месяцам</t>
        </is>
      </c>
      <c r="CU8" s="111" t="inlineStr">
        <is>
          <t>false</t>
        </is>
      </c>
      <c r="CZ8" s="59" t="inlineStr">
        <is>
          <t>По месяцам</t>
        </is>
      </c>
      <c r="DA8" s="111" t="inlineStr">
        <is>
          <t>false</t>
        </is>
      </c>
    </row>
    <row r="9">
      <c r="B9" s="59" t="inlineStr">
        <is>
          <t>Всего</t>
        </is>
      </c>
      <c r="C9" s="111">
        <f>СПРАВОЧНИК!D18</f>
        <v/>
      </c>
      <c r="H9" s="59" t="inlineStr">
        <is>
          <t>Всего</t>
        </is>
      </c>
      <c r="I9" s="111">
        <f>СПРАВОЧНИК!D18</f>
        <v/>
      </c>
      <c r="N9" s="59" t="inlineStr">
        <is>
          <t>Всего</t>
        </is>
      </c>
      <c r="O9" s="111">
        <f>СПРАВОЧНИК!D18</f>
        <v/>
      </c>
      <c r="T9" s="59" t="inlineStr">
        <is>
          <t>Всего</t>
        </is>
      </c>
      <c r="U9" s="111">
        <f>СПРАВОЧНИК!B28+СПРАВОЧНИК!C28+СПРАВОЧНИК!D28+СПРАВОЧНИК!E28+СПРАВОЧНИК!F28+СПРАВОЧНИК!G28+СПРАВОЧНИК!H28</f>
        <v/>
      </c>
      <c r="Z9" s="59" t="inlineStr">
        <is>
          <t>Всего</t>
        </is>
      </c>
      <c r="AA9" s="111">
        <f>СПРАВОЧНИК!B28+СПРАВОЧНИК!C28+СПРАВОЧНИК!D28+СПРАВОЧНИК!E28+СПРАВОЧНИК!F28+СПРАВОЧНИК!G28+СПРАВОЧНИК!H28</f>
        <v/>
      </c>
      <c r="AF9" s="59" t="inlineStr">
        <is>
          <t>Всего</t>
        </is>
      </c>
      <c r="AG9" s="111">
        <f>СПРАВОЧНИК!B28+СПРАВОЧНИК!C28+СПРАВОЧНИК!D28+СПРАВОЧНИК!E28+СПРАВОЧНИК!F28+СПРАВОЧНИК!G28+СПРАВОЧНИК!H28</f>
        <v/>
      </c>
      <c r="AL9" s="59" t="inlineStr">
        <is>
          <t>Всего</t>
        </is>
      </c>
      <c r="AM9" s="111">
        <f>СПРАВОЧНИК!B29+СПРАВОЧНИК!C29+СПРАВОЧНИК!D29+СПРАВОЧНИК!E29+СПРАВОЧНИК!F29+СПРАВОЧНИК!G29+СПРАВОЧНИК!H29</f>
        <v/>
      </c>
      <c r="AR9" s="59" t="inlineStr">
        <is>
          <t>Всего</t>
        </is>
      </c>
      <c r="AS9" s="111">
        <f>СПРАВОЧНИК!B29+СПРАВОЧНИК!C29+СПРАВОЧНИК!D29+СПРАВОЧНИК!E29+СПРАВОЧНИК!F29+СПРАВОЧНИК!G29+СПРАВОЧНИК!H29</f>
        <v/>
      </c>
      <c r="AX9" s="59" t="inlineStr">
        <is>
          <t>Всего</t>
        </is>
      </c>
      <c r="AY9" s="111">
        <f>СПРАВОЧНИК!B29+СПРАВОЧНИК!C29+СПРАВОЧНИК!D29+СПРАВОЧНИК!E29+СПРАВОЧНИК!F29+СПРАВОЧНИК!G29+СПРАВОЧНИК!H29</f>
        <v/>
      </c>
      <c r="BD9" s="59" t="inlineStr">
        <is>
          <t>Всего</t>
        </is>
      </c>
      <c r="BE9" s="111">
        <f>СПРАВОЧНИК!B30+СПРАВОЧНИК!C30+СПРАВОЧНИК!D30+СПРАВОЧНИК!E30+СПРАВОЧНИК!F30+СПРАВОЧНИК!G30+СПРАВОЧНИК!H30</f>
        <v/>
      </c>
      <c r="BJ9" s="59" t="inlineStr">
        <is>
          <t>Всего</t>
        </is>
      </c>
      <c r="BK9" s="111">
        <f>СПРАВОЧНИК!B30+СПРАВОЧНИК!C30+СПРАВОЧНИК!D30+СПРАВОЧНИК!E30+СПРАВОЧНИК!F30+СПРАВОЧНИК!G30+СПРАВОЧНИК!H30</f>
        <v/>
      </c>
      <c r="BP9" s="59" t="inlineStr">
        <is>
          <t>Всего</t>
        </is>
      </c>
      <c r="BQ9" s="111">
        <f>СПРАВОЧНИК!B30+СПРАВОЧНИК!C30+СПРАВОЧНИК!D30+СПРАВОЧНИК!E30+СПРАВОЧНИК!F30+СПРАВОЧНИК!G30+СПРАВОЧНИК!H30</f>
        <v/>
      </c>
      <c r="BV9" s="59" t="inlineStr">
        <is>
          <t>Всего</t>
        </is>
      </c>
      <c r="BW9" s="111">
        <f>СПРАВОЧНИК!D19</f>
        <v/>
      </c>
      <c r="CB9" s="59" t="inlineStr">
        <is>
          <t>Всего</t>
        </is>
      </c>
      <c r="CC9" s="111">
        <f>СПРАВОЧНИК!D19</f>
        <v/>
      </c>
      <c r="CH9" s="59" t="inlineStr">
        <is>
          <t>Всего</t>
        </is>
      </c>
      <c r="CI9" s="111">
        <f>СПРАВОЧНИК!D19</f>
        <v/>
      </c>
      <c r="CN9" s="59" t="inlineStr">
        <is>
          <t>Всего</t>
        </is>
      </c>
      <c r="CO9" s="111">
        <f>СПРАВОЧНИК!D18+СПРАВОЧНИК!D19</f>
        <v/>
      </c>
      <c r="CT9" s="59" t="inlineStr">
        <is>
          <t>Всего</t>
        </is>
      </c>
      <c r="CU9" s="111">
        <f>СПРАВОЧНИК!D18+СПРАВОЧНИК!D19</f>
        <v/>
      </c>
      <c r="CZ9" s="59" t="inlineStr">
        <is>
          <t>Всего</t>
        </is>
      </c>
      <c r="DA9" s="111">
        <f>СПРАВОЧНИК!D18+СПРАВОЧНИК!D19</f>
        <v/>
      </c>
    </row>
    <row r="10">
      <c r="B10" s="59" t="inlineStr">
        <is>
          <t>Тип</t>
        </is>
      </c>
      <c r="C10" s="111" t="inlineStr">
        <is>
          <t>8.1 Подземная часть: Общий</t>
        </is>
      </c>
      <c r="H10" s="59" t="inlineStr">
        <is>
          <t>Тип</t>
        </is>
      </c>
      <c r="I10" s="111" t="inlineStr">
        <is>
          <t>8.1 Подземная часть: Черновая</t>
        </is>
      </c>
      <c r="N10" s="59" t="inlineStr">
        <is>
          <t>Тип</t>
        </is>
      </c>
      <c r="O10" s="111" t="inlineStr">
        <is>
          <t>8.1 Подземная часть: Чистовая</t>
        </is>
      </c>
      <c r="T10" s="59" t="inlineStr">
        <is>
          <t>Тип</t>
        </is>
      </c>
      <c r="U10" s="111" t="inlineStr">
        <is>
          <t>8.2 Надземная К1: Общий</t>
        </is>
      </c>
      <c r="Z10" s="59" t="inlineStr">
        <is>
          <t>Тип</t>
        </is>
      </c>
      <c r="AA10" s="111" t="inlineStr">
        <is>
          <t>8.2 Надземная К1: Черновая</t>
        </is>
      </c>
      <c r="AF10" s="59" t="inlineStr">
        <is>
          <t>Тип</t>
        </is>
      </c>
      <c r="AG10" s="111" t="inlineStr">
        <is>
          <t>8.2 Надземная К1: Чистовая</t>
        </is>
      </c>
      <c r="AL10" s="59" t="inlineStr">
        <is>
          <t>Тип</t>
        </is>
      </c>
      <c r="AM10" s="111" t="inlineStr">
        <is>
          <t>8.2 Надземная К2: Общий</t>
        </is>
      </c>
      <c r="AR10" s="59" t="inlineStr">
        <is>
          <t>Тип</t>
        </is>
      </c>
      <c r="AS10" s="111" t="inlineStr">
        <is>
          <t>8.2 Надземная К2: Черновая</t>
        </is>
      </c>
      <c r="AX10" s="59" t="inlineStr">
        <is>
          <t>Тип</t>
        </is>
      </c>
      <c r="AY10" s="111" t="inlineStr">
        <is>
          <t>8.2 Надземная К2: Чистовая</t>
        </is>
      </c>
      <c r="BD10" s="59" t="inlineStr">
        <is>
          <t>Тип</t>
        </is>
      </c>
      <c r="BE10" s="111" t="inlineStr">
        <is>
          <t>8.2 Надземная К3: Общий</t>
        </is>
      </c>
      <c r="BJ10" s="59" t="inlineStr">
        <is>
          <t>Тип</t>
        </is>
      </c>
      <c r="BK10" s="111" t="inlineStr">
        <is>
          <t>8.2 Надземная К3: Черновая</t>
        </is>
      </c>
      <c r="BP10" s="59" t="inlineStr">
        <is>
          <t>Тип</t>
        </is>
      </c>
      <c r="BQ10" s="111" t="inlineStr">
        <is>
          <t>8.2 Надземная К3: Чистовая</t>
        </is>
      </c>
      <c r="BV10" s="59" t="inlineStr">
        <is>
          <t>Тип</t>
        </is>
      </c>
      <c r="BW10" s="111" t="inlineStr">
        <is>
          <t>8.2 Надзем. (все): Общий</t>
        </is>
      </c>
      <c r="CB10" s="59" t="inlineStr">
        <is>
          <t>Тип</t>
        </is>
      </c>
      <c r="CC10" s="111" t="inlineStr">
        <is>
          <t>8.2 Надзем. (все): Черновая</t>
        </is>
      </c>
      <c r="CH10" s="59" t="inlineStr">
        <is>
          <t>Тип</t>
        </is>
      </c>
      <c r="CI10" s="111" t="inlineStr">
        <is>
          <t>8.2 Надзем. (все): Чистовая</t>
        </is>
      </c>
      <c r="CN10" s="59" t="inlineStr">
        <is>
          <t>Тип</t>
        </is>
      </c>
      <c r="CO10" s="111" t="inlineStr">
        <is>
          <t>8. Отделка общий: Общий</t>
        </is>
      </c>
      <c r="CT10" s="59" t="inlineStr">
        <is>
          <t>Тип</t>
        </is>
      </c>
      <c r="CU10" s="111" t="inlineStr">
        <is>
          <t>8. Отделка общий: Черновая</t>
        </is>
      </c>
      <c r="CZ10" s="59" t="inlineStr">
        <is>
          <t>Тип</t>
        </is>
      </c>
      <c r="DA10" s="111" t="inlineStr">
        <is>
          <t>8. Отделка общий: Чистовая</t>
        </is>
      </c>
    </row>
    <row r="11">
      <c r="B11" s="59" t="inlineStr">
        <is>
          <t>Ед. изм.</t>
        </is>
      </c>
      <c r="C11" s="111" t="inlineStr">
        <is>
          <t>м2</t>
        </is>
      </c>
      <c r="H11" s="59" t="inlineStr">
        <is>
          <t>Ед. изм.</t>
        </is>
      </c>
      <c r="I11" s="111" t="inlineStr">
        <is>
          <t>м2</t>
        </is>
      </c>
      <c r="N11" s="59" t="inlineStr">
        <is>
          <t>Ед. изм.</t>
        </is>
      </c>
      <c r="O11" s="111" t="inlineStr">
        <is>
          <t>м2</t>
        </is>
      </c>
      <c r="T11" s="59" t="inlineStr">
        <is>
          <t>Ед. изм.</t>
        </is>
      </c>
      <c r="U11" s="111" t="inlineStr">
        <is>
          <t>м2</t>
        </is>
      </c>
      <c r="Z11" s="59" t="inlineStr">
        <is>
          <t>Ед. изм.</t>
        </is>
      </c>
      <c r="AA11" s="111" t="inlineStr">
        <is>
          <t>м2</t>
        </is>
      </c>
      <c r="AF11" s="59" t="inlineStr">
        <is>
          <t>Ед. изм.</t>
        </is>
      </c>
      <c r="AG11" s="111" t="inlineStr">
        <is>
          <t>м2</t>
        </is>
      </c>
      <c r="AL11" s="59" t="inlineStr">
        <is>
          <t>Ед. изм.</t>
        </is>
      </c>
      <c r="AM11" s="111" t="inlineStr">
        <is>
          <t>м2</t>
        </is>
      </c>
      <c r="AR11" s="59" t="inlineStr">
        <is>
          <t>Ед. изм.</t>
        </is>
      </c>
      <c r="AS11" s="111" t="inlineStr">
        <is>
          <t>м2</t>
        </is>
      </c>
      <c r="AX11" s="59" t="inlineStr">
        <is>
          <t>Ед. изм.</t>
        </is>
      </c>
      <c r="AY11" s="111" t="inlineStr">
        <is>
          <t>м2</t>
        </is>
      </c>
      <c r="BD11" s="59" t="inlineStr">
        <is>
          <t>Ед. изм.</t>
        </is>
      </c>
      <c r="BE11" s="111" t="inlineStr">
        <is>
          <t>м2</t>
        </is>
      </c>
      <c r="BJ11" s="59" t="inlineStr">
        <is>
          <t>Ед. изм.</t>
        </is>
      </c>
      <c r="BK11" s="111" t="inlineStr">
        <is>
          <t>м2</t>
        </is>
      </c>
      <c r="BP11" s="59" t="inlineStr">
        <is>
          <t>Ед. изм.</t>
        </is>
      </c>
      <c r="BQ11" s="111" t="inlineStr">
        <is>
          <t>м2</t>
        </is>
      </c>
      <c r="BV11" s="59" t="inlineStr">
        <is>
          <t>Ед. изм.</t>
        </is>
      </c>
      <c r="BW11" s="111" t="inlineStr">
        <is>
          <t>м2</t>
        </is>
      </c>
      <c r="CB11" s="59" t="inlineStr">
        <is>
          <t>Ед. изм.</t>
        </is>
      </c>
      <c r="CC11" s="111" t="inlineStr">
        <is>
          <t>м2</t>
        </is>
      </c>
      <c r="CH11" s="59" t="inlineStr">
        <is>
          <t>Ед. изм.</t>
        </is>
      </c>
      <c r="CI11" s="111" t="inlineStr">
        <is>
          <t>м2</t>
        </is>
      </c>
      <c r="CN11" s="59" t="inlineStr">
        <is>
          <t>Ед. изм.</t>
        </is>
      </c>
      <c r="CO11" s="111" t="inlineStr">
        <is>
          <t>м2</t>
        </is>
      </c>
      <c r="CT11" s="59" t="inlineStr">
        <is>
          <t>Ед. изм.</t>
        </is>
      </c>
      <c r="CU11" s="111" t="inlineStr">
        <is>
          <t>м2</t>
        </is>
      </c>
      <c r="CZ11" s="59" t="inlineStr">
        <is>
          <t>Ед. изм.</t>
        </is>
      </c>
      <c r="DA11" s="111" t="inlineStr">
        <is>
          <t>м2</t>
        </is>
      </c>
    </row>
    <row r="12" ht="29.1" customHeight="1" s="102">
      <c r="B12" s="59" t="inlineStr">
        <is>
          <t>Учитывать дату карточки</t>
        </is>
      </c>
      <c r="C12" s="111" t="inlineStr">
        <is>
          <t>true</t>
        </is>
      </c>
      <c r="H12" s="59" t="inlineStr">
        <is>
          <t>Учитывать дату карточки</t>
        </is>
      </c>
      <c r="I12" s="111" t="inlineStr">
        <is>
          <t>true</t>
        </is>
      </c>
      <c r="N12" s="59" t="inlineStr">
        <is>
          <t>Учитывать дату карточки</t>
        </is>
      </c>
      <c r="O12" s="111" t="inlineStr">
        <is>
          <t>true</t>
        </is>
      </c>
      <c r="T12" s="59" t="inlineStr">
        <is>
          <t>Учитывать дату карточки</t>
        </is>
      </c>
      <c r="U12" s="111" t="inlineStr">
        <is>
          <t>true</t>
        </is>
      </c>
      <c r="Z12" s="59" t="inlineStr">
        <is>
          <t>Учитывать дату карточки</t>
        </is>
      </c>
      <c r="AA12" s="111" t="inlineStr">
        <is>
          <t>true</t>
        </is>
      </c>
      <c r="AF12" s="59" t="inlineStr">
        <is>
          <t>Учитывать дату карточки</t>
        </is>
      </c>
      <c r="AG12" s="111" t="inlineStr">
        <is>
          <t>true</t>
        </is>
      </c>
      <c r="AL12" s="59" t="inlineStr">
        <is>
          <t>Учитывать дату карточки</t>
        </is>
      </c>
      <c r="AM12" s="111" t="inlineStr">
        <is>
          <t>true</t>
        </is>
      </c>
      <c r="AR12" s="59" t="inlineStr">
        <is>
          <t>Учитывать дату карточки</t>
        </is>
      </c>
      <c r="AS12" s="111" t="inlineStr">
        <is>
          <t>true</t>
        </is>
      </c>
      <c r="AX12" s="59" t="inlineStr">
        <is>
          <t>Учитывать дату карточки</t>
        </is>
      </c>
      <c r="AY12" s="111" t="inlineStr">
        <is>
          <t>true</t>
        </is>
      </c>
      <c r="BD12" s="59" t="inlineStr">
        <is>
          <t>Учитывать дату карточки</t>
        </is>
      </c>
      <c r="BE12" s="111" t="inlineStr">
        <is>
          <t>true</t>
        </is>
      </c>
      <c r="BJ12" s="59" t="inlineStr">
        <is>
          <t>Учитывать дату карточки</t>
        </is>
      </c>
      <c r="BK12" s="111" t="inlineStr">
        <is>
          <t>true</t>
        </is>
      </c>
      <c r="BP12" s="59" t="inlineStr">
        <is>
          <t>Учитывать дату карточки</t>
        </is>
      </c>
      <c r="BQ12" s="111" t="inlineStr">
        <is>
          <t>true</t>
        </is>
      </c>
      <c r="BV12" s="59" t="inlineStr">
        <is>
          <t>Учитывать дату карточки</t>
        </is>
      </c>
      <c r="BW12" s="111" t="inlineStr">
        <is>
          <t>true</t>
        </is>
      </c>
      <c r="CB12" s="59" t="inlineStr">
        <is>
          <t>Учитывать дату карточки</t>
        </is>
      </c>
      <c r="CC12" s="111" t="inlineStr">
        <is>
          <t>true</t>
        </is>
      </c>
      <c r="CH12" s="59" t="inlineStr">
        <is>
          <t>Учитывать дату карточки</t>
        </is>
      </c>
      <c r="CI12" s="111" t="inlineStr">
        <is>
          <t>true</t>
        </is>
      </c>
      <c r="CN12" s="59" t="inlineStr">
        <is>
          <t>Учитывать дату карточки</t>
        </is>
      </c>
      <c r="CO12" s="111" t="inlineStr">
        <is>
          <t>true</t>
        </is>
      </c>
      <c r="CT12" s="59" t="inlineStr">
        <is>
          <t>Учитывать дату карточки</t>
        </is>
      </c>
      <c r="CU12" s="111" t="inlineStr">
        <is>
          <t>true</t>
        </is>
      </c>
      <c r="CZ12" s="59" t="inlineStr">
        <is>
          <t>Учитывать дату карточки</t>
        </is>
      </c>
      <c r="DA12" s="111" t="inlineStr">
        <is>
          <t>true</t>
        </is>
      </c>
    </row>
    <row r="13">
      <c r="B13" s="108" t="inlineStr">
        <is>
          <t>Данные</t>
        </is>
      </c>
      <c r="C13" s="108" t="n"/>
      <c r="D13" s="108" t="n"/>
      <c r="H13" s="108" t="inlineStr">
        <is>
          <t>Данные</t>
        </is>
      </c>
      <c r="I13" s="108" t="n"/>
      <c r="J13" s="108" t="n"/>
      <c r="N13" s="108" t="inlineStr">
        <is>
          <t>Данные</t>
        </is>
      </c>
      <c r="O13" s="108" t="n"/>
      <c r="P13" s="108" t="n"/>
      <c r="T13" s="108" t="inlineStr">
        <is>
          <t>Данные</t>
        </is>
      </c>
      <c r="U13" s="108" t="n"/>
      <c r="V13" s="108" t="n"/>
      <c r="Z13" s="108" t="inlineStr">
        <is>
          <t>Данные</t>
        </is>
      </c>
      <c r="AA13" s="108" t="n"/>
      <c r="AB13" s="108" t="n"/>
      <c r="AF13" s="108" t="inlineStr">
        <is>
          <t>Данные</t>
        </is>
      </c>
      <c r="AG13" s="108" t="n"/>
      <c r="AH13" s="108" t="n"/>
      <c r="AL13" s="108" t="inlineStr">
        <is>
          <t>Данные</t>
        </is>
      </c>
      <c r="AM13" s="108" t="n"/>
      <c r="AN13" s="108" t="n"/>
      <c r="AR13" s="108" t="inlineStr">
        <is>
          <t>Данные</t>
        </is>
      </c>
      <c r="AS13" s="108" t="n"/>
      <c r="AT13" s="108" t="n"/>
      <c r="AX13" s="108" t="inlineStr">
        <is>
          <t>Данные</t>
        </is>
      </c>
      <c r="AY13" s="108" t="n"/>
      <c r="AZ13" s="108" t="n"/>
      <c r="BD13" s="108" t="inlineStr">
        <is>
          <t>Данные</t>
        </is>
      </c>
      <c r="BE13" s="108" t="n"/>
      <c r="BF13" s="108" t="n"/>
      <c r="BJ13" s="108" t="inlineStr">
        <is>
          <t>Данные</t>
        </is>
      </c>
      <c r="BK13" s="108" t="n"/>
      <c r="BL13" s="108" t="n"/>
      <c r="BP13" s="108" t="inlineStr">
        <is>
          <t>Данные</t>
        </is>
      </c>
      <c r="BQ13" s="108" t="n"/>
      <c r="BR13" s="108" t="n"/>
      <c r="BV13" s="108" t="inlineStr">
        <is>
          <t>Данные</t>
        </is>
      </c>
      <c r="BW13" s="108" t="n"/>
      <c r="BX13" s="108" t="n"/>
      <c r="CB13" s="108" t="inlineStr">
        <is>
          <t>Данные</t>
        </is>
      </c>
      <c r="CC13" s="108" t="n"/>
      <c r="CD13" s="108" t="n"/>
      <c r="CH13" s="108" t="inlineStr">
        <is>
          <t>Данные</t>
        </is>
      </c>
      <c r="CI13" s="108" t="n"/>
      <c r="CJ13" s="108" t="n"/>
      <c r="CN13" s="108" t="inlineStr">
        <is>
          <t>Данные</t>
        </is>
      </c>
      <c r="CO13" s="108" t="n"/>
      <c r="CP13" s="108" t="n"/>
      <c r="CT13" s="108" t="inlineStr">
        <is>
          <t>Данные</t>
        </is>
      </c>
      <c r="CU13" s="108" t="n"/>
      <c r="CV13" s="108" t="n"/>
      <c r="CZ13" s="108" t="inlineStr">
        <is>
          <t>Данные</t>
        </is>
      </c>
      <c r="DA13" s="108" t="n"/>
      <c r="DB13" s="108" t="n"/>
    </row>
    <row r="14">
      <c r="B14" s="152">
        <f>$A$2</f>
        <v/>
      </c>
      <c r="C14" s="17">
        <f>СПРАВОЧНИК!$E$3*('ПЛАН ЧЕРН ПОДЗЕМ'!B5*СПРАВОЧНИК!$H$3+'ПЛАН ЧЕРН ПОДЗЕМ'!C5*СПРАВОЧНИК!$I$3+'ПЛАН ЧЕРН ПОДЗЕМ'!D5*СПРАВОЧНИК!$J$3)+СПРАВОЧНИК!$F$3*('ПЛАН ЧИСТ ПОДЗЕМ'!B5*СПРАВОЧНИК!$L$3+'ПЛАН ЧИСТ ПОДЗЕМ'!C5*СПРАВОЧНИК!$M$3+'ПЛАН ЧИСТ ПОДЗЕМ'!D5*СПРАВОЧНИК!$N$3+'ПЛАН ЧИСТ ПОДЗЕМ'!E5*СПРАВОЧНИК!$O$3+'ПЛАН ЧИСТ ПОДЗЕМ'!F5*СПРАВОЧНИК!$P$3)+СПРАВОЧНИК!$E$4*('ПЛАН ЧЕРН ПОДЗЕМ'!E5*СПРАВОЧНИК!$H$4+'ПЛАН ЧЕРН ПОДЗЕМ'!F5*СПРАВОЧНИК!$I$4+'ПЛАН ЧЕРН ПОДЗЕМ'!G5*СПРАВОЧНИК!$J$4)+СПРАВОЧНИК!$F$4*('ПЛАН ЧИСТ ПОДЗЕМ'!G5*СПРАВОЧНИК!$L$4+'ПЛАН ЧИСТ ПОДЗЕМ'!H5*СПРАВОЧНИК!$M$4+'ПЛАН ЧИСТ ПОДЗЕМ'!I5*СПРАВОЧНИК!$N$4+'ПЛАН ЧИСТ ПОДЗЕМ'!J5*СПРАВОЧНИК!$O$4+'ПЛАН ЧИСТ ПОДЗЕМ'!K5*СПРАВОЧНИК!$P$4)+СПРАВОЧНИК!$E$5*('ПЛАН ЧЕРН ПОДЗЕМ'!H5*СПРАВОЧНИК!$H$5+'ПЛАН ЧЕРН ПОДЗЕМ'!I5*СПРАВОЧНИК!$I$5+'ПЛАН ЧЕРН ПОДЗЕМ'!J5*СПРАВОЧНИК!$J$5)+СПРАВОЧНИК!$F$5*('ПЛАН ЧИСТ ПОДЗЕМ'!L5*СПРАВОЧНИК!$L$5+'ПЛАН ЧИСТ ПОДЗЕМ'!M5*СПРАВОЧНИК!$M$5+'ПЛАН ЧИСТ ПОДЗЕМ'!N5*СПРАВОЧНИК!$N$5+'ПЛАН ЧИСТ ПОДЗЕМ'!O5*СПРАВОЧНИК!$O$5+'ПЛАН ЧИСТ ПОДЗЕМ'!P5*СПРАВОЧНИК!$P$5)+СПРАВОЧНИК!$E$6*('ПЛАН ЧЕРН ПОДЗЕМ'!K5*СПРАВОЧНИК!$H$6+'ПЛАН ЧЕРН ПОДЗЕМ'!L5*СПРАВОЧНИК!$I$6+'ПЛАН ЧЕРН ПОДЗЕМ'!M5*СПРАВОЧНИК!$J$6)+СПРАВОЧНИК!$F$6*('ПЛАН ЧИСТ ПОДЗЕМ'!Q5*СПРАВОЧНИК!$L$6+'ПЛАН ЧИСТ ПОДЗЕМ'!R5*СПРАВОЧНИК!$M$6+'ПЛАН ЧИСТ ПОДЗЕМ'!S5*СПРАВОЧНИК!$N$6+'ПЛАН ЧИСТ ПОДЗЕМ'!T5*СПРАВОЧНИК!$O$6+'ПЛАН ЧИСТ ПОДЗЕМ'!U5*СПРАВОЧНИК!$P$6)+СПРАВОЧНИК!$E$7*('ПЛАН ЧЕРН ПОДЗЕМ'!N5*СПРАВОЧНИК!$H$7+'ПЛАН ЧЕРН ПОДЗЕМ'!O5*СПРАВОЧНИК!$I$7+'ПЛАН ЧЕРН ПОДЗЕМ'!P5*СПРАВОЧНИК!$J$7)+СПРАВОЧНИК!$F$7*('ПЛАН ЧИСТ ПОДЗЕМ'!V5*СПРАВОЧНИК!$L$7+'ПЛАН ЧИСТ ПОДЗЕМ'!W5*СПРАВОЧНИК!$M$7+'ПЛАН ЧИСТ ПОДЗЕМ'!X5*СПРАВОЧНИК!$N$7+'ПЛАН ЧИСТ ПОДЗЕМ'!Y5*СПРАВОЧНИК!$O$7+'ПЛАН ЧИСТ ПОДЗЕМ'!Z5*СПРАВОЧНИК!$P$7)+СПРАВОЧНИК!$E$8*('ПЛАН ЧЕРН ПОДЗЕМ'!Q5*СПРАВОЧНИК!$H$8+'ПЛАН ЧЕРН ПОДЗЕМ'!R5*СПРАВОЧНИК!$I$8+'ПЛАН ЧЕРН ПОДЗЕМ'!S5*СПРАВОЧНИК!$J$8)+СПРАВОЧНИК!$F$8*('ПЛАН ЧИСТ ПОДЗЕМ'!AA5*СПРАВОЧНИК!$L$8+'ПЛАН ЧИСТ ПОДЗЕМ'!AB5*СПРАВОЧНИК!$M$8+'ПЛАН ЧИСТ ПОДЗЕМ'!AC5*СПРАВОЧНИК!$N$8+'ПЛАН ЧИСТ ПОДЗЕМ'!AD5*СПРАВОЧНИК!$O$8+'ПЛАН ЧИСТ ПОДЗЕМ'!AE5*СПРАВОЧНИК!$P$8)</f>
        <v/>
      </c>
      <c r="D14" s="31">
        <f>СПРАВОЧНИК!$E$3*('ФАКТ ЧЕРН ПОДЗЕМ'!B5*СПРАВОЧНИК!$H$3+'ФАКТ ЧЕРН ПОДЗЕМ'!C5*СПРАВОЧНИК!$I$3+'ФАКТ ЧЕРН ПОДЗЕМ'!D5*СПРАВОЧНИК!$J$3)+СПРАВОЧНИК!$F$3*('ФАКТ ЧИСТ ПОДЗЕМ'!B5*СПРАВОЧНИК!$L$3+'ФАКТ ЧИСТ ПОДЗЕМ'!C5*СПРАВОЧНИК!$M$3+'ФАКТ ЧИСТ ПОДЗЕМ'!D5*СПРАВОЧНИК!$N$3+'ФАКТ ЧИСТ ПОДЗЕМ'!E5*СПРАВОЧНИК!$O$3+'ФАКТ ЧИСТ ПОДЗЕМ'!F5*СПРАВОЧНИК!$P$3)+СПРАВОЧНИК!$E$4*('ФАКТ ЧЕРН ПОДЗЕМ'!E5*СПРАВОЧНИК!$H$4+'ФАКТ ЧЕРН ПОДЗЕМ'!F5*СПРАВОЧНИК!$I$4+'ФАКТ ЧЕРН ПОДЗЕМ'!G5*СПРАВОЧНИК!$J$4)+СПРАВОЧНИК!$F$4*('ФАКТ ЧИСТ ПОДЗЕМ'!G5*СПРАВОЧНИК!$L$4+'ФАКТ ЧИСТ ПОДЗЕМ'!H5*СПРАВОЧНИК!$M$4+'ФАКТ ЧИСТ ПОДЗЕМ'!I5*СПРАВОЧНИК!$N$4+'ФАКТ ЧИСТ ПОДЗЕМ'!J5*СПРАВОЧНИК!$O$4+'ФАКТ ЧИСТ ПОДЗЕМ'!K5*СПРАВОЧНИК!$P$4)+СПРАВОЧНИК!$E$5*('ФАКТ ЧЕРН ПОДЗЕМ'!H5*СПРАВОЧНИК!$H$5+'ФАКТ ЧЕРН ПОДЗЕМ'!I5*СПРАВОЧНИК!$I$5+'ФАКТ ЧЕРН ПОДЗЕМ'!J5*СПРАВОЧНИК!$J$5)+СПРАВОЧНИК!$F$5*('ФАКТ ЧИСТ ПОДЗЕМ'!L5*СПРАВОЧНИК!$L$5+'ФАКТ ЧИСТ ПОДЗЕМ'!M5*СПРАВОЧНИК!$M$5+'ФАКТ ЧИСТ ПОДЗЕМ'!N5*СПРАВОЧНИК!$N$5+'ФАКТ ЧИСТ ПОДЗЕМ'!O5*СПРАВОЧНИК!$O$5+'ФАКТ ЧИСТ ПОДЗЕМ'!P5*СПРАВОЧНИК!$P$5)+СПРАВОЧНИК!$E$6*('ФАКТ ЧЕРН ПОДЗЕМ'!K5*СПРАВОЧНИК!$H$6+'ФАКТ ЧЕРН ПОДЗЕМ'!L5*СПРАВОЧНИК!$I$6+'ФАКТ ЧЕРН ПОДЗЕМ'!M5*СПРАВОЧНИК!$J$6)+СПРАВОЧНИК!$F$6*('ФАКТ ЧИСТ ПОДЗЕМ'!Q5*СПРАВОЧНИК!$L$6+'ФАКТ ЧИСТ ПОДЗЕМ'!R5*СПРАВОЧНИК!$M$6+'ФАКТ ЧИСТ ПОДЗЕМ'!S5*СПРАВОЧНИК!$N$6+'ФАКТ ЧИСТ ПОДЗЕМ'!T5*СПРАВОЧНИК!$O$6+'ФАКТ ЧИСТ ПОДЗЕМ'!U5*СПРАВОЧНИК!$P$6)+СПРАВОЧНИК!$E$7*('ФАКТ ЧЕРН ПОДЗЕМ'!N5*СПРАВОЧНИК!$H$7+'ФАКТ ЧЕРН ПОДЗЕМ'!O5*СПРАВОЧНИК!$I$7+'ФАКТ ЧЕРН ПОДЗЕМ'!P5*СПРАВОЧНИК!$J$7)+СПРАВОЧНИК!$F$7*('ФАКТ ЧИСТ ПОДЗЕМ'!V5*СПРАВОЧНИК!$L$7+'ФАКТ ЧИСТ ПОДЗЕМ'!W5*СПРАВОЧНИК!$M$7+'ФАКТ ЧИСТ ПОДЗЕМ'!X5*СПРАВОЧНИК!$N$7+'ФАКТ ЧИСТ ПОДЗЕМ'!Y5*СПРАВОЧНИК!$O$7+'ФАКТ ЧИСТ ПОДЗЕМ'!Z5*СПРАВОЧНИК!$P$7)+СПРАВОЧНИК!$E$8*('ФАКТ ЧЕРН ПОДЗЕМ'!Q5*СПРАВОЧНИК!$H$8+'ФАКТ ЧЕРН ПОДЗЕМ'!R5*СПРАВОЧНИК!$I$8+'ФАКТ ЧЕРН ПОДЗЕМ'!S5*СПРАВОЧНИК!$J$8)+СПРАВОЧНИК!$F$8*('ФАКТ ЧИСТ ПОДЗЕМ'!AA5*СПРАВОЧНИК!$L$8+'ФАКТ ЧИСТ ПОДЗЕМ'!AB5*СПРАВОЧНИК!$M$8+'ФАКТ ЧИСТ ПОДЗЕМ'!AC5*СПРАВОЧНИК!$N$8+'ФАКТ ЧИСТ ПОДЗЕМ'!AD5*СПРАВОЧНИК!$O$8+'ФАКТ ЧИСТ ПОДЗЕМ'!AE5*СПРАВОЧНИК!$P$8)</f>
        <v/>
      </c>
      <c r="E14" s="34" t="n"/>
      <c r="H14" s="152">
        <f>$A$2</f>
        <v/>
      </c>
      <c r="I14" s="17">
        <f>'ПЛАН ЧЕРН ПОДЗЕМ'!B5*СПРАВОЧНИК!$H$3+'ПЛАН ЧЕРН ПОДЗЕМ'!C5*СПРАВОЧНИК!$I$3+'ПЛАН ЧЕРН ПОДЗЕМ'!D5*СПРАВОЧНИК!$J$3+'ПЛАН ЧЕРН ПОДЗЕМ'!E5*СПРАВОЧНИК!$H$4+'ПЛАН ЧЕРН ПОДЗЕМ'!F5*СПРАВОЧНИК!$I$4+'ПЛАН ЧЕРН ПОДЗЕМ'!G5*СПРАВОЧНИК!$J$4+'ПЛАН ЧЕРН ПОДЗЕМ'!H5*СПРАВОЧНИК!$H$5+'ПЛАН ЧЕРН ПОДЗЕМ'!I5*СПРАВОЧНИК!$I$5+'ПЛАН ЧЕРН ПОДЗЕМ'!J5*СПРАВОЧНИК!$J$5+'ПЛАН ЧЕРН ПОДЗЕМ'!K5*СПРАВОЧНИК!$H$6+'ПЛАН ЧЕРН ПОДЗЕМ'!L5*СПРАВОЧНИК!$I$6+'ПЛАН ЧЕРН ПОДЗЕМ'!M5*СПРАВОЧНИК!$J$6+'ПЛАН ЧЕРН ПОДЗЕМ'!N5*СПРАВОЧНИК!$H$7+'ПЛАН ЧЕРН ПОДЗЕМ'!O5*СПРАВОЧНИК!$I$7+'ПЛАН ЧЕРН ПОДЗЕМ'!P5*СПРАВОЧНИК!$J$7+'ПЛАН ЧЕРН ПОДЗЕМ'!Q5*СПРАВОЧНИК!$H$8+'ПЛАН ЧЕРН ПОДЗЕМ'!R5*СПРАВОЧНИК!$I$8+'ПЛАН ЧЕРН ПОДЗЕМ'!S5*СПРАВОЧНИК!$J$8</f>
        <v/>
      </c>
      <c r="J14" s="31">
        <f>('ФАКТ ЧЕРН ПОДЗЕМ'!B5)*СПРАВОЧНИК!$H$3+('ФАКТ ЧЕРН ПОДЗЕМ'!C5)*СПРАВОЧНИК!$I$3+('ФАКТ ЧЕРН ПОДЗЕМ'!D5)*СПРАВОЧНИК!$J$3+('ФАКТ ЧЕРН ПОДЗЕМ'!E5)*СПРАВОЧНИК!$H$4+('ФАКТ ЧЕРН ПОДЗЕМ'!F5)*СПРАВОЧНИК!$I$4+('ФАКТ ЧЕРН ПОДЗЕМ'!G5)*СПРАВОЧНИК!$J$4+('ФАКТ ЧЕРН ПОДЗЕМ'!H5)*СПРАВОЧНИК!$H$5+('ФАКТ ЧЕРН ПОДЗЕМ'!I5)*СПРАВОЧНИК!$I$5+('ФАКТ ЧЕРН ПОДЗЕМ'!J5)*СПРАВОЧНИК!$J$5+('ФАКТ ЧЕРН ПОДЗЕМ'!K5)*СПРАВОЧНИК!$H$6+('ФАКТ ЧЕРН ПОДЗЕМ'!L5)*СПРАВОЧНИК!$I$6+('ФАКТ ЧЕРН ПОДЗЕМ'!M5)*СПРАВОЧНИК!$J$6+('ФАКТ ЧЕРН ПОДЗЕМ'!N5)*СПРАВОЧНИК!$H$7+('ФАКТ ЧЕРН ПОДЗЕМ'!O5)*СПРАВОЧНИК!$I$7+('ФАКТ ЧЕРН ПОДЗЕМ'!P5)*СПРАВОЧНИК!$J$7+('ФАКТ ЧЕРН ПОДЗЕМ'!Q5)*СПРАВОЧНИК!$H$8+('ФАКТ ЧЕРН ПОДЗЕМ'!R5)*СПРАВОЧНИК!$I$8+('ФАКТ ЧЕРН ПОДЗЕМ'!S5)*СПРАВОЧНИК!$J$8</f>
        <v/>
      </c>
      <c r="K14" s="34" t="n"/>
      <c r="N14" s="152">
        <f>$A$2</f>
        <v/>
      </c>
      <c r="O14" s="17">
        <f>'ПЛАН ЧИСТ ПОДЗЕМ'!B5*СПРАВОЧНИК!$L$3+'ПЛАН ЧИСТ ПОДЗЕМ'!C5*СПРАВОЧНИК!$M$3+'ПЛАН ЧИСТ ПОДЗЕМ'!D5*СПРАВОЧНИК!$N$3+'ПЛАН ЧИСТ ПОДЗЕМ'!E5*СПРАВОЧНИК!$O$3+'ПЛАН ЧИСТ ПОДЗЕМ'!F5*СПРАВОЧНИК!$P$3+'ПЛАН ЧИСТ ПОДЗЕМ'!G5*СПРАВОЧНИК!$L$4+'ПЛАН ЧИСТ ПОДЗЕМ'!H5*СПРАВОЧНИК!$M$4+'ПЛАН ЧИСТ ПОДЗЕМ'!I5*СПРАВОЧНИК!$N$4+'ПЛАН ЧИСТ ПОДЗЕМ'!J5*СПРАВОЧНИК!$O$4+'ПЛАН ЧИСТ ПОДЗЕМ'!K5*СПРАВОЧНИК!$P$4+'ПЛАН ЧИСТ ПОДЗЕМ'!L5*СПРАВОЧНИК!$L$5+'ПЛАН ЧИСТ ПОДЗЕМ'!M5*СПРАВОЧНИК!$M$5+'ПЛАН ЧИСТ ПОДЗЕМ'!N5*СПРАВОЧНИК!$N$5+'ПЛАН ЧИСТ ПОДЗЕМ'!O5*СПРАВОЧНИК!$O$5+'ПЛАН ЧИСТ ПОДЗЕМ'!P5*СПРАВОЧНИК!$P$5+'ПЛАН ЧИСТ ПОДЗЕМ'!Q5*СПРАВОЧНИК!$L$6+'ПЛАН ЧИСТ ПОДЗЕМ'!R5*СПРАВОЧНИК!$M$6+'ПЛАН ЧИСТ ПОДЗЕМ'!S5*СПРАВОЧНИК!$N$6+'ПЛАН ЧИСТ ПОДЗЕМ'!T5*СПРАВОЧНИК!$O$6+'ПЛАН ЧИСТ ПОДЗЕМ'!U5*СПРАВОЧНИК!$P$6+'ПЛАН ЧИСТ ПОДЗЕМ'!V5*СПРАВОЧНИК!$L$7+'ПЛАН ЧИСТ ПОДЗЕМ'!W5*СПРАВОЧНИК!$M$7+'ПЛАН ЧИСТ ПОДЗЕМ'!X5*СПРАВОЧНИК!$N$7+'ПЛАН ЧИСТ ПОДЗЕМ'!Y5*СПРАВОЧНИК!$O$7+'ПЛАН ЧИСТ ПОДЗЕМ'!Z5*СПРАВОЧНИК!$P$7+'ПЛАН ЧИСТ ПОДЗЕМ'!AA5*СПРАВОЧНИК!$L$8+'ПЛАН ЧИСТ ПОДЗЕМ'!AB5*СПРАВОЧНИК!$M$8+'ПЛАН ЧИСТ ПОДЗЕМ'!AC5*СПРАВОЧНИК!$N$8+'ПЛАН ЧИСТ ПОДЗЕМ'!AD5*СПРАВОЧНИК!$O$8+'ПЛАН ЧИСТ ПОДЗЕМ'!AE5*СПРАВОЧНИК!$P$8</f>
        <v/>
      </c>
      <c r="P14" s="31">
        <f>('ФАКТ ЧИСТ ПОДЗЕМ'!B5)*СПРАВОЧНИК!$L$3+('ФАКТ ЧИСТ ПОДЗЕМ'!C5)*СПРАВОЧНИК!$M$3+('ФАКТ ЧИСТ ПОДЗЕМ'!D5)*СПРАВОЧНИК!$N$3+('ФАКТ ЧИСТ ПОДЗЕМ'!E5)*СПРАВОЧНИК!$O$3+('ФАКТ ЧИСТ ПОДЗЕМ'!F5)*СПРАВОЧНИК!$P$3+('ФАКТ ЧИСТ ПОДЗЕМ'!G5)*СПРАВОЧНИК!$L$4+('ФАКТ ЧИСТ ПОДЗЕМ'!H5)*СПРАВОЧНИК!$M$4+('ФАКТ ЧИСТ ПОДЗЕМ'!I5)*СПРАВОЧНИК!$N$4+('ФАКТ ЧИСТ ПОДЗЕМ'!J5)*СПРАВОЧНИК!$O$4+('ФАКТ ЧИСТ ПОДЗЕМ'!K5)*СПРАВОЧНИК!$P$4+('ФАКТ ЧИСТ ПОДЗЕМ'!L5)*СПРАВОЧНИК!$L$5+('ФАКТ ЧИСТ ПОДЗЕМ'!M5)*СПРАВОЧНИК!$M$5+('ФАКТ ЧИСТ ПОДЗЕМ'!N5)*СПРАВОЧНИК!$N$5+('ФАКТ ЧИСТ ПОДЗЕМ'!O5)*СПРАВОЧНИК!$O$5+('ФАКТ ЧИСТ ПОДЗЕМ'!P5)*СПРАВОЧНИК!$P$5+('ФАКТ ЧИСТ ПОДЗЕМ'!Q5)*СПРАВОЧНИК!$L$6+('ФАКТ ЧИСТ ПОДЗЕМ'!R5)*СПРАВОЧНИК!$M$6+('ФАКТ ЧИСТ ПОДЗЕМ'!S5)*СПРАВОЧНИК!$N$6+('ФАКТ ЧИСТ ПОДЗЕМ'!T5)*СПРАВОЧНИК!$O$6+('ФАКТ ЧИСТ ПОДЗЕМ'!U5)*СПРАВОЧНИК!$P$6+('ФАКТ ЧИСТ ПОДЗЕМ'!V5)*СПРАВОЧНИК!$L$7+('ФАКТ ЧИСТ ПОДЗЕМ'!W5)*СПРАВОЧНИК!$M$7+('ФАКТ ЧИСТ ПОДЗЕМ'!X5)*СПРАВОЧНИК!$N$7+('ФАКТ ЧИСТ ПОДЗЕМ'!Y5)*СПРАВОЧНИК!$O$7+('ФАКТ ЧИСТ ПОДЗЕМ'!Z5)*СПРАВОЧНИК!$P$7+('ФАКТ ЧИСТ ПОДЗЕМ'!AA5)*СПРАВОЧНИК!$L$8+('ФАКТ ЧИСТ ПОДЗЕМ'!AB5)*СПРАВОЧНИК!$M$8+('ФАКТ ЧИСТ ПОДЗЕМ'!AC5)*СПРАВОЧНИК!$N$8+('ФАКТ ЧИСТ ПОДЗЕМ'!AD5)*СПРАВОЧНИК!$O$8+('ФАКТ ЧИСТ ПОДЗЕМ'!AE5)*СПРАВОЧНИК!$P$8</f>
        <v/>
      </c>
      <c r="Q14" s="34" t="n"/>
      <c r="T14" s="152">
        <f>$A$2</f>
        <v/>
      </c>
      <c r="U14" s="17">
        <f>СПРАВОЧНИК!$E$9*('ПЛАН ЧЕРН К1'!B5*СПРАВОЧНИК!$H$9+'ПЛАН ЧЕРН К1'!C5*СПРАВОЧНИК!$I$9+'ПЛАН ЧЕРН К1'!D5*СПРАВОЧНИК!$J$9)+СПРАВОЧНИК!$F$9*('ПЛАН ЧИСТ К1'!B5*СПРАВОЧНИК!$L$9+'ПЛАН ЧИСТ К1'!C5*СПРАВОЧНИК!$M$9+'ПЛАН ЧИСТ К1'!D5*СПРАВОЧНИК!$N$9+'ПЛАН ЧИСТ К1'!E5*СПРАВОЧНИК!$O$9+'ПЛАН ЧИСТ К1'!F5*СПРАВОЧНИК!$P$9)+СПРАВОЧНИК!$E$10*('ПЛАН ЧЕРН К1'!E5*СПРАВОЧНИК!$H$10+'ПЛАН ЧЕРН К1'!F5*СПРАВОЧНИК!$I$10+'ПЛАН ЧЕРН К1'!G5*СПРАВОЧНИК!$J$10)+СПРАВОЧНИК!$F$10*('ПЛАН ЧИСТ К1'!G5*СПРАВОЧНИК!$L$10+'ПЛАН ЧИСТ К1'!H5*СПРАВОЧНИК!$M$10+'ПЛАН ЧИСТ К1'!I5*СПРАВОЧНИК!$N$10+'ПЛАН ЧИСТ К1'!J5*СПРАВОЧНИК!$O$10+'ПЛАН ЧИСТ К1'!K5*СПРАВОЧНИК!$P$10)+СПРАВОЧНИК!$E$11*('ПЛАН ЧЕРН К1'!H5*СПРАВОЧНИК!$H$11+'ПЛАН ЧЕРН К1'!I5*СПРАВОЧНИК!$I$11+'ПЛАН ЧЕРН К1'!J5*СПРАВОЧНИК!$J$11)+СПРАВОЧНИК!$F$11*('ПЛАН ЧИСТ К1'!L5*СПРАВОЧНИК!$L$11+'ПЛАН ЧИСТ К1'!M5*СПРАВОЧНИК!$M$11+'ПЛАН ЧИСТ К1'!N5*СПРАВОЧНИК!$N$11+'ПЛАН ЧИСТ К1'!O5*СПРАВОЧНИК!$O$11+'ПЛАН ЧИСТ К1'!P5*СПРАВОЧНИК!$P$11)+СПРАВОЧНИК!$E$12*('ПЛАН ЧЕРН К1'!K5*СПРАВОЧНИК!$H$12+'ПЛАН ЧЕРН К1'!L5*СПРАВОЧНИК!$I$12+'ПЛАН ЧЕРН К1'!M5*СПРАВОЧНИК!$J$12)+СПРАВОЧНИК!$F$12*('ПЛАН ЧИСТ К1'!Q5*СПРАВОЧНИК!$L$12+'ПЛАН ЧИСТ К1'!R5*СПРАВОЧНИК!$M$12+'ПЛАН ЧИСТ К1'!S5*СПРАВОЧНИК!$N$12+'ПЛАН ЧИСТ К1'!T5*СПРАВОЧНИК!$O$12+'ПЛАН ЧИСТ К1'!U5*СПРАВОЧНИК!$P$12)+СПРАВОЧНИК!$E$13*('ПЛАН ЧЕРН К1'!N5*СПРАВОЧНИК!$H$13+'ПЛАН ЧЕРН К1'!O5*СПРАВОЧНИК!$I$13+'ПЛАН ЧЕРН К1'!P5*СПРАВОЧНИК!$J$13)+СПРАВОЧНИК!$F$13*('ПЛАН ЧИСТ К1'!V5*СПРАВОЧНИК!$L$13+'ПЛАН ЧИСТ К1'!W5*СПРАВОЧНИК!$M$13+'ПЛАН ЧИСТ К1'!X5*СПРАВОЧНИК!$N$13+'ПЛАН ЧИСТ К1'!Y5*СПРАВОЧНИК!$O$13+'ПЛАН ЧИСТ К1'!Z5*СПРАВОЧНИК!$P$13)+СПРАВОЧНИК!$E$14*('ПЛАН ЧЕРН К1'!Q5*СПРАВОЧНИК!$H$14+'ПЛАН ЧЕРН К1'!R5*СПРАВОЧНИК!$I$14+'ПЛАН ЧЕРН К1'!S5*СПРАВОЧНИК!$J$14)+СПРАВОЧНИК!$F$14*('ПЛАН ЧИСТ К1'!AA5*СПРАВОЧНИК!$L$14+'ПЛАН ЧИСТ К1'!AB5*СПРАВОЧНИК!$M$14+'ПЛАН ЧИСТ К1'!AC5*СПРАВОЧНИК!$N$14+'ПЛАН ЧИСТ К1'!AD5*СПРАВОЧНИК!$O$14+'ПЛАН ЧИСТ К1'!AE5*СПРАВОЧНИК!$P$14)+СПРАВОЧНИК!$E$15*('ПЛАН ЧЕРН К1'!T5*СПРАВОЧНИК!$H$15+'ПЛАН ЧЕРН К1'!U5*СПРАВОЧНИК!$I$15+'ПЛАН ЧЕРН К1'!V5*СПРАВОЧНИК!$J$15)+СПРАВОЧНИК!$F$15*('ПЛАН ЧИСТ К1'!AF5*СПРАВОЧНИК!$L$15+'ПЛАН ЧИСТ К1'!AG5*СПРАВОЧНИК!$M$15+'ПЛАН ЧИСТ К1'!AH5*СПРАВОЧНИК!$N$15+'ПЛАН ЧИСТ К1'!AI5*СПРАВОЧНИК!$O$15+'ПЛАН ЧИСТ К1'!AJ5*СПРАВОЧНИК!$P$15)</f>
        <v/>
      </c>
      <c r="V14" s="31">
        <f>СПРАВОЧНИК!$E$9*('ФАКТ ЧЕРН К1'!B5*СПРАВОЧНИК!$H$9+'ФАКТ ЧЕРН К1'!C5*СПРАВОЧНИК!$I$9+'ФАКТ ЧЕРН К1'!D5*СПРАВОЧНИК!$J$9)+СПРАВОЧНИК!$F$9*('ФАКТ ЧИСТ К1'!B5*СПРАВОЧНИК!$L$9+'ФАКТ ЧИСТ К1'!C5*СПРАВОЧНИК!$M$9+'ФАКТ ЧИСТ К1'!D5*СПРАВОЧНИК!$N$9+'ФАКТ ЧИСТ К1'!E5*СПРАВОЧНИК!$O$9+'ФАКТ ЧИСТ К1'!F5*СПРАВОЧНИК!$P$9)+СПРАВОЧНИК!$E$10*('ФАКТ ЧЕРН К1'!E5*СПРАВОЧНИК!$H$10+'ФАКТ ЧЕРН К1'!F5*СПРАВОЧНИК!$I$10+'ФАКТ ЧЕРН К1'!G5*СПРАВОЧНИК!$J$10)+СПРАВОЧНИК!$F$10*('ФАКТ ЧИСТ К1'!G5*СПРАВОЧНИК!$L$10+'ФАКТ ЧИСТ К1'!H5*СПРАВОЧНИК!$M$10+'ФАКТ ЧИСТ К1'!I5*СПРАВОЧНИК!$N$10+'ФАКТ ЧИСТ К1'!J5*СПРАВОЧНИК!$O$10+'ФАКТ ЧИСТ К1'!K5*СПРАВОЧНИК!$P$10)+СПРАВОЧНИК!$E$11*('ФАКТ ЧЕРН К1'!H5*СПРАВОЧНИК!$H$11+'ФАКТ ЧЕРН К1'!I5*СПРАВОЧНИК!$I$11+'ФАКТ ЧЕРН К1'!J5*СПРАВОЧНИК!$J$11)+СПРАВОЧНИК!$F$11*('ФАКТ ЧИСТ К1'!L5*СПРАВОЧНИК!$L$11+'ФАКТ ЧИСТ К1'!M5*СПРАВОЧНИК!$M$11+'ФАКТ ЧИСТ К1'!N5*СПРАВОЧНИК!$N$11+'ФАКТ ЧИСТ К1'!O5*СПРАВОЧНИК!$O$11+'ФАКТ ЧИСТ К1'!P5*СПРАВОЧНИК!$P$11)+СПРАВОЧНИК!$E$12*('ФАКТ ЧЕРН К1'!K5*СПРАВОЧНИК!$H$12+'ФАКТ ЧЕРН К1'!L5*СПРАВОЧНИК!$I$12+'ФАКТ ЧЕРН К1'!M5*СПРАВОЧНИК!$J$12)+СПРАВОЧНИК!$F$12*('ФАКТ ЧИСТ К1'!Q5*СПРАВОЧНИК!$L$12+'ФАКТ ЧИСТ К1'!R5*СПРАВОЧНИК!$M$12+'ФАКТ ЧИСТ К1'!S5*СПРАВОЧНИК!$N$12+'ФАКТ ЧИСТ К1'!T5*СПРАВОЧНИК!$O$12+'ФАКТ ЧИСТ К1'!U5*СПРАВОЧНИК!$P$12)+СПРАВОЧНИК!$E$13*('ФАКТ ЧЕРН К1'!N5*СПРАВОЧНИК!$H$13+'ФАКТ ЧЕРН К1'!O5*СПРАВОЧНИК!$I$13+'ФАКТ ЧЕРН К1'!P5*СПРАВОЧНИК!$J$13)+СПРАВОЧНИК!$F$13*('ФАКТ ЧИСТ К1'!V5*СПРАВОЧНИК!$L$13+'ФАКТ ЧИСТ К1'!W5*СПРАВОЧНИК!$M$13+'ФАКТ ЧИСТ К1'!X5*СПРАВОЧНИК!$N$13+'ФАКТ ЧИСТ К1'!Y5*СПРАВОЧНИК!$O$13+'ФАКТ ЧИСТ К1'!Z5*СПРАВОЧНИК!$P$13)+СПРАВОЧНИК!$E$14*('ФАКТ ЧЕРН К1'!Q5*СПРАВОЧНИК!$H$14+'ФАКТ ЧЕРН К1'!R5*СПРАВОЧНИК!$I$14+'ФАКТ ЧЕРН К1'!S5*СПРАВОЧНИК!$J$14)+СПРАВОЧНИК!$F$14*('ФАКТ ЧИСТ К1'!AA5*СПРАВОЧНИК!$L$14+'ФАКТ ЧИСТ К1'!AB5*СПРАВОЧНИК!$M$14+'ФАКТ ЧИСТ К1'!AC5*СПРАВОЧНИК!$N$14+'ФАКТ ЧИСТ К1'!AD5*СПРАВОЧНИК!$O$14+'ФАКТ ЧИСТ К1'!AE5*СПРАВОЧНИК!$P$14)+СПРАВОЧНИК!$E$15*('ФАКТ ЧЕРН К1'!T5*СПРАВОЧНИК!$H$15+'ФАКТ ЧЕРН К1'!U5*СПРАВОЧНИК!$I$15+'ФАКТ ЧЕРН К1'!V5*СПРАВОЧНИК!$J$15)+СПРАВОЧНИК!$F$15*('ФАКТ ЧИСТ К1'!AF5*СПРАВОЧНИК!$L$15+'ФАКТ ЧИСТ К1'!AG5*СПРАВОЧНИК!$M$15+'ФАКТ ЧИСТ К1'!AH5*СПРАВОЧНИК!$N$15+'ФАКТ ЧИСТ К1'!AI5*СПРАВОЧНИК!$O$15+'ФАКТ ЧИСТ К1'!AJ5*СПРАВОЧНИК!$P$15)</f>
        <v/>
      </c>
      <c r="W14" s="34" t="n"/>
      <c r="Z14" s="152">
        <f>$A$2</f>
        <v/>
      </c>
      <c r="AA14" s="17">
        <f>'ПЛАН ЧЕРН К1'!B5*СПРАВОЧНИК!$H$9+'ПЛАН ЧЕРН К1'!C5*СПРАВОЧНИК!$I$9+'ПЛАН ЧЕРН К1'!D5*СПРАВОЧНИК!$J$9+'ПЛАН ЧЕРН К1'!E5*СПРАВОЧНИК!$H$10+'ПЛАН ЧЕРН К1'!F5*СПРАВОЧНИК!$I$10+'ПЛАН ЧЕРН К1'!G5*СПРАВОЧНИК!$J$10+'ПЛАН ЧЕРН К1'!H5*СПРАВОЧНИК!$H$11+'ПЛАН ЧЕРН К1'!I5*СПРАВОЧНИК!$I$11+'ПЛАН ЧЕРН К1'!J5*СПРАВОЧНИК!$J$11+'ПЛАН ЧЕРН К1'!K5*СПРАВОЧНИК!$H$12+'ПЛАН ЧЕРН К1'!L5*СПРАВОЧНИК!$I$12+'ПЛАН ЧЕРН К1'!M5*СПРАВОЧНИК!$J$12+'ПЛАН ЧЕРН К1'!N5*СПРАВОЧНИК!$H$13+'ПЛАН ЧЕРН К1'!O5*СПРАВОЧНИК!$I$13+'ПЛАН ЧЕРН К1'!P5*СПРАВОЧНИК!$J$13+'ПЛАН ЧЕРН К1'!Q5*СПРАВОЧНИК!$H$14+'ПЛАН ЧЕРН К1'!R5*СПРАВОЧНИК!$I$14+'ПЛАН ЧЕРН К1'!S5*СПРАВОЧНИК!$J$14+'ПЛАН ЧЕРН К1'!T5*СПРАВОЧНИК!$H$15+'ПЛАН ЧЕРН К1'!U5*СПРАВОЧНИК!$I$15+'ПЛАН ЧЕРН К1'!V5*СПРАВОЧНИК!$J$15</f>
        <v/>
      </c>
      <c r="AB14" s="31">
        <f>('ФАКТ ЧЕРН К1'!B5)*СПРАВОЧНИК!$H$9+('ФАКТ ЧЕРН К1'!C5)*СПРАВОЧНИК!$I$9+('ФАКТ ЧЕРН К1'!D5)*СПРАВОЧНИК!$J$9+('ФАКТ ЧЕРН К1'!E5)*СПРАВОЧНИК!$H$10+('ФАКТ ЧЕРН К1'!F5)*СПРАВОЧНИК!$I$10+('ФАКТ ЧЕРН К1'!G5)*СПРАВОЧНИК!$J$10+('ФАКТ ЧЕРН К1'!H5)*СПРАВОЧНИК!$H$11+('ФАКТ ЧЕРН К1'!I5)*СПРАВОЧНИК!$I$11+('ФАКТ ЧЕРН К1'!J5)*СПРАВОЧНИК!$J$11+('ФАКТ ЧЕРН К1'!K5)*СПРАВОЧНИК!$H$12+('ФАКТ ЧЕРН К1'!L5)*СПРАВОЧНИК!$I$12+('ФАКТ ЧЕРН К1'!M5)*СПРАВОЧНИК!$J$12+('ФАКТ ЧЕРН К1'!N5)*СПРАВОЧНИК!$H$13+('ФАКТ ЧЕРН К1'!O5)*СПРАВОЧНИК!$I$13+('ФАКТ ЧЕРН К1'!P5)*СПРАВОЧНИК!$J$13+('ФАКТ ЧЕРН К1'!Q5)*СПРАВОЧНИК!$H$14+('ФАКТ ЧЕРН К1'!R5)*СПРАВОЧНИК!$I$14+('ФАКТ ЧЕРН К1'!S5)*СПРАВОЧНИК!$J$14+('ФАКТ ЧЕРН К1'!T5)*СПРАВОЧНИК!$H$15+('ФАКТ ЧЕРН К1'!U5)*СПРАВОЧНИК!$I$15+('ФАКТ ЧЕРН К1'!V5)*СПРАВОЧНИК!$J$15</f>
        <v/>
      </c>
      <c r="AC14" s="34" t="n"/>
      <c r="AF14" s="152">
        <f>$A$2</f>
        <v/>
      </c>
      <c r="AG14" s="17">
        <f>'ПЛАН ЧИСТ К1'!B5*СПРАВОЧНИК!$L$9+'ПЛАН ЧИСТ К1'!C5*СПРАВОЧНИК!$M$9+'ПЛАН ЧИСТ К1'!D5*СПРАВОЧНИК!$N$9+'ПЛАН ЧИСТ К1'!E5*СПРАВОЧНИК!$O$9+'ПЛАН ЧИСТ К1'!F5*СПРАВОЧНИК!$P$9+'ПЛАН ЧИСТ К1'!G5*СПРАВОЧНИК!$L$10+'ПЛАН ЧИСТ К1'!H5*СПРАВОЧНИК!$M$10+'ПЛАН ЧИСТ К1'!I5*СПРАВОЧНИК!$N$10+'ПЛАН ЧИСТ К1'!J5*СПРАВОЧНИК!$O$10+'ПЛАН ЧИСТ К1'!K5*СПРАВОЧНИК!$P$10+'ПЛАН ЧИСТ К1'!L5*СПРАВОЧНИК!$L$11+'ПЛАН ЧИСТ К1'!M5*СПРАВОЧНИК!$M$11+'ПЛАН ЧИСТ К1'!N5*СПРАВОЧНИК!$N$11+'ПЛАН ЧИСТ К1'!O5*СПРАВОЧНИК!$O$11+'ПЛАН ЧИСТ К1'!P5*СПРАВОЧНИК!$P$11+'ПЛАН ЧИСТ К1'!Q5*СПРАВОЧНИК!$L$12+'ПЛАН ЧИСТ К1'!R5*СПРАВОЧНИК!$M$12+'ПЛАН ЧИСТ К1'!S5*СПРАВОЧНИК!$N$12+'ПЛАН ЧИСТ К1'!T5*СПРАВОЧНИК!$O$12+'ПЛАН ЧИСТ К1'!U5*СПРАВОЧНИК!$P$12+'ПЛАН ЧИСТ К1'!V5*СПРАВОЧНИК!$L$13+'ПЛАН ЧИСТ К1'!W5*СПРАВОЧНИК!$M$13+'ПЛАН ЧИСТ К1'!X5*СПРАВОЧНИК!$N$13+'ПЛАН ЧИСТ К1'!Y5*СПРАВОЧНИК!$O$13+'ПЛАН ЧИСТ К1'!Z5*СПРАВОЧНИК!$P$13+'ПЛАН ЧИСТ К1'!AA5*СПРАВОЧНИК!$L$14+'ПЛАН ЧИСТ К1'!AB5*СПРАВОЧНИК!$M$14+'ПЛАН ЧИСТ К1'!AC5*СПРАВОЧНИК!$N$14+'ПЛАН ЧИСТ К1'!AD5*СПРАВОЧНИК!$O$14+'ПЛАН ЧИСТ К1'!AE5*СПРАВОЧНИК!$P$14+'ПЛАН ЧИСТ К1'!AF5*СПРАВОЧНИК!$L$15+'ПЛАН ЧИСТ К1'!AG5*СПРАВОЧНИК!$M$15+'ПЛАН ЧИСТ К1'!AH5*СПРАВОЧНИК!$N$15+'ПЛАН ЧИСТ К1'!AI5*СПРАВОЧНИК!$O$15+'ПЛАН ЧИСТ К1'!AJ5*СПРАВОЧНИК!$P$15</f>
        <v/>
      </c>
      <c r="AH14" s="31">
        <f>('ФАКТ ЧИСТ К1'!B5)*СПРАВОЧНИК!$L$9+('ФАКТ ЧИСТ К1'!C5)*СПРАВОЧНИК!$M$9+('ФАКТ ЧИСТ К1'!D5)*СПРАВОЧНИК!$N$9+('ФАКТ ЧИСТ К1'!E5)*СПРАВОЧНИК!$O$9+('ФАКТ ЧИСТ К1'!F5)*СПРАВОЧНИК!$P$9+('ФАКТ ЧИСТ К1'!G5)*СПРАВОЧНИК!$L$10+('ФАКТ ЧИСТ К1'!H5)*СПРАВОЧНИК!$M$10+('ФАКТ ЧИСТ К1'!I5)*СПРАВОЧНИК!$N$10+('ФАКТ ЧИСТ К1'!J5)*СПРАВОЧНИК!$O$10+('ФАКТ ЧИСТ К1'!K5)*СПРАВОЧНИК!$P$10+('ФАКТ ЧИСТ К1'!L5)*СПРАВОЧНИК!$L$11+('ФАКТ ЧИСТ К1'!M5)*СПРАВОЧНИК!$M$11+('ФАКТ ЧИСТ К1'!N5)*СПРАВОЧНИК!$N$11+('ФАКТ ЧИСТ К1'!O5)*СПРАВОЧНИК!$O$11+('ФАКТ ЧИСТ К1'!P5)*СПРАВОЧНИК!$P$11+('ФАКТ ЧИСТ К1'!Q5)*СПРАВОЧНИК!$L$12+('ФАКТ ЧИСТ К1'!R5)*СПРАВОЧНИК!$M$12+('ФАКТ ЧИСТ К1'!S5)*СПРАВОЧНИК!$N$12+('ФАКТ ЧИСТ К1'!T5)*СПРАВОЧНИК!$O$12+('ФАКТ ЧИСТ К1'!U5)*СПРАВОЧНИК!$P$12+('ФАКТ ЧИСТ К1'!V5)*СПРАВОЧНИК!$L$13+('ФАКТ ЧИСТ К1'!W5)*СПРАВОЧНИК!$M$13+('ФАКТ ЧИСТ К1'!X5)*СПРАВОЧНИК!$N$13+('ФАКТ ЧИСТ К1'!Y5)*СПРАВОЧНИК!$O$13+('ФАКТ ЧИСТ К1'!Z5)*СПРАВОЧНИК!$P$13+('ФАКТ ЧИСТ К1'!AA5)*СПРАВОЧНИК!$L$14+('ФАКТ ЧИСТ К1'!AB5)*СПРАВОЧНИК!$M$14+('ФАКТ ЧИСТ К1'!AC5)*СПРАВОЧНИК!$N$14+('ФАКТ ЧИСТ К1'!AD5)*СПРАВОЧНИК!$O$14+('ФАКТ ЧИСТ К1'!AE5)*СПРАВОЧНИК!$P$14+('ФАКТ ЧИСТ К1'!AF5)*СПРАВОЧНИК!$L$15+('ФАКТ ЧИСТ К1'!AG5)*СПРАВОЧНИК!$M$15+('ФАКТ ЧИСТ К1'!AH5)*СПРАВОЧНИК!$N$15+('ФАКТ ЧИСТ К1'!AI5)*СПРАВОЧНИК!$O$15+('ФАКТ ЧИСТ К1'!AJ5)*СПРАВОЧНИК!$P$15</f>
        <v/>
      </c>
      <c r="AI14" s="34" t="n"/>
      <c r="AL14" s="152">
        <f>$A$2</f>
        <v/>
      </c>
      <c r="AM14" s="17">
        <f>СПРАВОЧНИК!$E$9*('ПЛАН ЧЕРН К2'!B5*СПРАВОЧНИК!$H$9+'ПЛАН ЧЕРН К2'!C5*СПРАВОЧНИК!$I$9+'ПЛАН ЧЕРН К2'!D5*СПРАВОЧНИК!$J$9)+СПРАВОЧНИК!$F$9*('ПЛАН ЧИСТ К2'!B5*СПРАВОЧНИК!$L$9+'ПЛАН ЧИСТ К2'!C5*СПРАВОЧНИК!$M$9+'ПЛАН ЧИСТ К2'!D5*СПРАВОЧНИК!$N$9+'ПЛАН ЧИСТ К2'!E5*СПРАВОЧНИК!$O$9+'ПЛАН ЧИСТ К2'!F5*СПРАВОЧНИК!$P$9)+СПРАВОЧНИК!$E$10*('ПЛАН ЧЕРН К2'!E5*СПРАВОЧНИК!$H$10+'ПЛАН ЧЕРН К2'!F5*СПРАВОЧНИК!$I$10+'ПЛАН ЧЕРН К2'!G5*СПРАВОЧНИК!$J$10)+СПРАВОЧНИК!$F$10*('ПЛАН ЧИСТ К2'!G5*СПРАВОЧНИК!$L$10+'ПЛАН ЧИСТ К2'!H5*СПРАВОЧНИК!$M$10+'ПЛАН ЧИСТ К2'!I5*СПРАВОЧНИК!$N$10+'ПЛАН ЧИСТ К2'!J5*СПРАВОЧНИК!$O$10+'ПЛАН ЧИСТ К2'!K5*СПРАВОЧНИК!$P$10)+СПРАВОЧНИК!$E$11*('ПЛАН ЧЕРН К2'!H5*СПРАВОЧНИК!$H$11+'ПЛАН ЧЕРН К2'!I5*СПРАВОЧНИК!$I$11+'ПЛАН ЧЕРН К2'!J5*СПРАВОЧНИК!$J$11)+СПРАВОЧНИК!$F$11*('ПЛАН ЧИСТ К2'!L5*СПРАВОЧНИК!$L$11+'ПЛАН ЧИСТ К2'!M5*СПРАВОЧНИК!$M$11+'ПЛАН ЧИСТ К2'!N5*СПРАВОЧНИК!$N$11+'ПЛАН ЧИСТ К2'!O5*СПРАВОЧНИК!$O$11+'ПЛАН ЧИСТ К2'!P5*СПРАВОЧНИК!$P$11)+СПРАВОЧНИК!$E$12*('ПЛАН ЧЕРН К2'!K5*СПРАВОЧНИК!$H$12+'ПЛАН ЧЕРН К2'!L5*СПРАВОЧНИК!$I$12+'ПЛАН ЧЕРН К2'!M5*СПРАВОЧНИК!$J$12)+СПРАВОЧНИК!$F$12*('ПЛАН ЧИСТ К2'!Q5*СПРАВОЧНИК!$L$12+'ПЛАН ЧИСТ К2'!R5*СПРАВОЧНИК!$M$12+'ПЛАН ЧИСТ К2'!S5*СПРАВОЧНИК!$N$12+'ПЛАН ЧИСТ К2'!T5*СПРАВОЧНИК!$O$12+'ПЛАН ЧИСТ К2'!U5*СПРАВОЧНИК!$P$12)+СПРАВОЧНИК!$E$13*('ПЛАН ЧЕРН К2'!N5*СПРАВОЧНИК!$H$13+'ПЛАН ЧЕРН К2'!O5*СПРАВОЧНИК!$I$13+'ПЛАН ЧЕРН К2'!P5*СПРАВОЧНИК!$J$13)+СПРАВОЧНИК!$F$13*('ПЛАН ЧИСТ К2'!V5*СПРАВОЧНИК!$L$13+'ПЛАН ЧИСТ К2'!W5*СПРАВОЧНИК!$M$13+'ПЛАН ЧИСТ К2'!X5*СПРАВОЧНИК!$N$13+'ПЛАН ЧИСТ К2'!Y5*СПРАВОЧНИК!$O$13+'ПЛАН ЧИСТ К2'!Z5*СПРАВОЧНИК!$P$13)+СПРАВОЧНИК!$E$14*('ПЛАН ЧЕРН К2'!Q5*СПРАВОЧНИК!$H$14+'ПЛАН ЧЕРН К2'!R5*СПРАВОЧНИК!$I$14+'ПЛАН ЧЕРН К2'!S5*СПРАВОЧНИК!$J$14)+СПРАВОЧНИК!$F$14*('ПЛАН ЧИСТ К2'!AA5*СПРАВОЧНИК!$L$14+'ПЛАН ЧИСТ К2'!AB5*СПРАВОЧНИК!$M$14+'ПЛАН ЧИСТ К2'!AC5*СПРАВОЧНИК!$N$14+'ПЛАН ЧИСТ К2'!AD5*СПРАВОЧНИК!$O$14+'ПЛАН ЧИСТ К2'!AE5*СПРАВОЧНИК!$P$14)+СПРАВОЧНИК!$E$15*('ПЛАН ЧЕРН К2'!T5*СПРАВОЧНИК!$H$15+'ПЛАН ЧЕРН К2'!U5*СПРАВОЧНИК!$I$15+'ПЛАН ЧЕРН К2'!V5*СПРАВОЧНИК!$J$15)+СПРАВОЧНИК!$F$15*('ПЛАН ЧИСТ К2'!AF5*СПРАВОЧНИК!$L$15+'ПЛАН ЧИСТ К2'!AG5*СПРАВОЧНИК!$M$15+'ПЛАН ЧИСТ К2'!AH5*СПРАВОЧНИК!$N$15+'ПЛАН ЧИСТ К2'!AI5*СПРАВОЧНИК!$O$15+'ПЛАН ЧИСТ К2'!AJ5*СПРАВОЧНИК!$P$15)</f>
        <v/>
      </c>
      <c r="AN14" s="31">
        <f>СПРАВОЧНИК!$E$9*('ФАКТ ЧЕРН К2'!B5*СПРАВОЧНИК!$H$9+'ФАКТ ЧЕРН К2'!C5*СПРАВОЧНИК!$I$9+'ФАКТ ЧЕРН К2'!D5*СПРАВОЧНИК!$J$9)+СПРАВОЧНИК!$F$9*('ФАКТ ЧИСТ К2'!B5*СПРАВОЧНИК!$L$9+'ФАКТ ЧИСТ К2'!C5*СПРАВОЧНИК!$M$9+'ФАКТ ЧИСТ К2'!D5*СПРАВОЧНИК!$N$9+'ФАКТ ЧИСТ К2'!E5*СПРАВОЧНИК!$O$9+'ФАКТ ЧИСТ К2'!F5*СПРАВОЧНИК!$P$9)+СПРАВОЧНИК!$E$10*('ФАКТ ЧЕРН К2'!E5*СПРАВОЧНИК!$H$10+'ФАКТ ЧЕРН К2'!F5*СПРАВОЧНИК!$I$10+'ФАКТ ЧЕРН К2'!G5*СПРАВОЧНИК!$J$10)+СПРАВОЧНИК!$F$10*('ФАКТ ЧИСТ К2'!G5*СПРАВОЧНИК!$L$10+'ФАКТ ЧИСТ К2'!H5*СПРАВОЧНИК!$M$10+'ФАКТ ЧИСТ К2'!I5*СПРАВОЧНИК!$N$10+'ФАКТ ЧИСТ К2'!J5*СПРАВОЧНИК!$O$10+'ФАКТ ЧИСТ К2'!K5*СПРАВОЧНИК!$P$10)+СПРАВОЧНИК!$E$11*('ФАКТ ЧЕРН К2'!H5*СПРАВОЧНИК!$H$11+'ФАКТ ЧЕРН К2'!I5*СПРАВОЧНИК!$I$11+'ФАКТ ЧЕРН К2'!J5*СПРАВОЧНИК!$J$11)+СПРАВОЧНИК!$F$11*('ФАКТ ЧИСТ К2'!L5*СПРАВОЧНИК!$L$11+'ФАКТ ЧИСТ К2'!M5*СПРАВОЧНИК!$M$11+'ФАКТ ЧИСТ К2'!N5*СПРАВОЧНИК!$N$11+'ФАКТ ЧИСТ К2'!O5*СПРАВОЧНИК!$O$11+'ФАКТ ЧИСТ К2'!P5*СПРАВОЧНИК!$P$11)+СПРАВОЧНИК!$E$12*('ФАКТ ЧЕРН К2'!K5*СПРАВОЧНИК!$H$12+'ФАКТ ЧЕРН К2'!L5*СПРАВОЧНИК!$I$12+'ФАКТ ЧЕРН К2'!M5*СПРАВОЧНИК!$J$12)+СПРАВОЧНИК!$F$12*('ФАКТ ЧИСТ К2'!Q5*СПРАВОЧНИК!$L$12+'ФАКТ ЧИСТ К2'!R5*СПРАВОЧНИК!$M$12+'ФАКТ ЧИСТ К2'!S5*СПРАВОЧНИК!$N$12+'ФАКТ ЧИСТ К2'!T5*СПРАВОЧНИК!$O$12+'ФАКТ ЧИСТ К2'!U5*СПРАВОЧНИК!$P$12)+СПРАВОЧНИК!$E$13*('ФАКТ ЧЕРН К2'!N5*СПРАВОЧНИК!$H$13+'ФАКТ ЧЕРН К2'!O5*СПРАВОЧНИК!$I$13+'ФАКТ ЧЕРН К2'!P5*СПРАВОЧНИК!$J$13)+СПРАВОЧНИК!$F$13*('ФАКТ ЧИСТ К2'!V5*СПРАВОЧНИК!$L$13+'ФАКТ ЧИСТ К2'!W5*СПРАВОЧНИК!$M$13+'ФАКТ ЧИСТ К2'!X5*СПРАВОЧНИК!$N$13+'ФАКТ ЧИСТ К2'!Y5*СПРАВОЧНИК!$O$13+'ФАКТ ЧИСТ К2'!Z5*СПРАВОЧНИК!$P$13)+СПРАВОЧНИК!$E$14*('ФАКТ ЧЕРН К2'!Q5*СПРАВОЧНИК!$H$14+'ФАКТ ЧЕРН К2'!R5*СПРАВОЧНИК!$I$14+'ФАКТ ЧЕРН К2'!S5*СПРАВОЧНИК!$J$14)+СПРАВОЧНИК!$F$14*('ФАКТ ЧИСТ К2'!AA5*СПРАВОЧНИК!$L$14+'ФАКТ ЧИСТ К2'!AB5*СПРАВОЧНИК!$M$14+'ФАКТ ЧИСТ К2'!AC5*СПРАВОЧНИК!$N$14+'ФАКТ ЧИСТ К2'!AD5*СПРАВОЧНИК!$O$14+'ФАКТ ЧИСТ К2'!AE5*СПРАВОЧНИК!$P$14)+СПРАВОЧНИК!$E$15*('ФАКТ ЧЕРН К2'!T5*СПРАВОЧНИК!$H$15+'ФАКТ ЧЕРН К2'!U5*СПРАВОЧНИК!$I$15+'ФАКТ ЧЕРН К2'!V5*СПРАВОЧНИК!$J$15)+СПРАВОЧНИК!$F$15*('ФАКТ ЧИСТ К2'!AF5*СПРАВОЧНИК!$L$15+'ФАКТ ЧИСТ К2'!AG5*СПРАВОЧНИК!$M$15+'ФАКТ ЧИСТ К2'!AH5*СПРАВОЧНИК!$N$15+'ФАКТ ЧИСТ К2'!AI5*СПРАВОЧНИК!$O$15+'ФАКТ ЧИСТ К2'!AJ5*СПРАВОЧНИК!$P$15)</f>
        <v/>
      </c>
      <c r="AO14" s="34" t="n"/>
      <c r="AR14" s="152">
        <f>$A$2</f>
        <v/>
      </c>
      <c r="AS14" s="17">
        <f>'ПЛАН ЧЕРН К2'!B5*СПРАВОЧНИК!$H$9+'ПЛАН ЧЕРН К2'!C5*СПРАВОЧНИК!$I$9+'ПЛАН ЧЕРН К2'!D5*СПРАВОЧНИК!$J$9+'ПЛАН ЧЕРН К2'!E5*СПРАВОЧНИК!$H$10+'ПЛАН ЧЕРН К2'!F5*СПРАВОЧНИК!$I$10+'ПЛАН ЧЕРН К2'!G5*СПРАВОЧНИК!$J$10+'ПЛАН ЧЕРН К2'!H5*СПРАВОЧНИК!$H$11+'ПЛАН ЧЕРН К2'!I5*СПРАВОЧНИК!$I$11+'ПЛАН ЧЕРН К2'!J5*СПРАВОЧНИК!$J$11+'ПЛАН ЧЕРН К2'!K5*СПРАВОЧНИК!$H$12+'ПЛАН ЧЕРН К2'!L5*СПРАВОЧНИК!$I$12+'ПЛАН ЧЕРН К2'!M5*СПРАВОЧНИК!$J$12+'ПЛАН ЧЕРН К2'!N5*СПРАВОЧНИК!$H$13+'ПЛАН ЧЕРН К2'!O5*СПРАВОЧНИК!$I$13+'ПЛАН ЧЕРН К2'!P5*СПРАВОЧНИК!$J$13+'ПЛАН ЧЕРН К2'!Q5*СПРАВОЧНИК!$H$14+'ПЛАН ЧЕРН К2'!R5*СПРАВОЧНИК!$I$14+'ПЛАН ЧЕРН К2'!S5*СПРАВОЧНИК!$J$14+'ПЛАН ЧЕРН К2'!T5*СПРАВОЧНИК!$H$15+'ПЛАН ЧЕРН К2'!U5*СПРАВОЧНИК!$I$15+'ПЛАН ЧЕРН К2'!V5*СПРАВОЧНИК!$J$15</f>
        <v/>
      </c>
      <c r="AT14" s="31">
        <f>('ФАКТ ЧЕРН К2'!B5)*СПРАВОЧНИК!$H$9+('ФАКТ ЧЕРН К2'!C5)*СПРАВОЧНИК!$I$9+('ФАКТ ЧЕРН К2'!D5)*СПРАВОЧНИК!$J$9+('ФАКТ ЧЕРН К2'!E5)*СПРАВОЧНИК!$H$10+('ФАКТ ЧЕРН К2'!F5)*СПРАВОЧНИК!$I$10+('ФАКТ ЧЕРН К2'!G5)*СПРАВОЧНИК!$J$10+('ФАКТ ЧЕРН К2'!H5)*СПРАВОЧНИК!$H$11+('ФАКТ ЧЕРН К2'!I5)*СПРАВОЧНИК!$I$11+('ФАКТ ЧЕРН К2'!J5)*СПРАВОЧНИК!$J$11+('ФАКТ ЧЕРН К2'!K5)*СПРАВОЧНИК!$H$12+('ФАКТ ЧЕРН К2'!L5)*СПРАВОЧНИК!$I$12+('ФАКТ ЧЕРН К2'!M5)*СПРАВОЧНИК!$J$12+('ФАКТ ЧЕРН К2'!N5)*СПРАВОЧНИК!$H$13+('ФАКТ ЧЕРН К2'!O5)*СПРАВОЧНИК!$I$13+('ФАКТ ЧЕРН К2'!P5)*СПРАВОЧНИК!$J$13+('ФАКТ ЧЕРН К2'!Q5)*СПРАВОЧНИК!$H$14+('ФАКТ ЧЕРН К2'!R5)*СПРАВОЧНИК!$I$14+('ФАКТ ЧЕРН К2'!S5)*СПРАВОЧНИК!$J$14+('ФАКТ ЧЕРН К2'!T5)*СПРАВОЧНИК!$H$15+('ФАКТ ЧЕРН К2'!U5)*СПРАВОЧНИК!$I$15+('ФАКТ ЧЕРН К2'!V5)*СПРАВОЧНИК!$J$15</f>
        <v/>
      </c>
      <c r="AU14" s="34" t="n"/>
      <c r="AX14" s="152">
        <f>$A$2</f>
        <v/>
      </c>
      <c r="AY14" s="17">
        <f>'ПЛАН ЧИСТ К2'!B5*СПРАВОЧНИК!$L$9+'ПЛАН ЧИСТ К2'!C5*СПРАВОЧНИК!$M$9+'ПЛАН ЧИСТ К2'!D5*СПРАВОЧНИК!$N$9+'ПЛАН ЧИСТ К2'!E5*СПРАВОЧНИК!$O$9+'ПЛАН ЧИСТ К2'!F5*СПРАВОЧНИК!$P$9+'ПЛАН ЧИСТ К2'!G5*СПРАВОЧНИК!$L$10+'ПЛАН ЧИСТ К2'!H5*СПРАВОЧНИК!$M$10+'ПЛАН ЧИСТ К2'!I5*СПРАВОЧНИК!$N$10+'ПЛАН ЧИСТ К2'!J5*СПРАВОЧНИК!$O$10+'ПЛАН ЧИСТ К2'!K5*СПРАВОЧНИК!$P$10+'ПЛАН ЧИСТ К2'!L5*СПРАВОЧНИК!$L$11+'ПЛАН ЧИСТ К2'!M5*СПРАВОЧНИК!$M$11+'ПЛАН ЧИСТ К2'!N5*СПРАВОЧНИК!$N$11+'ПЛАН ЧИСТ К2'!O5*СПРАВОЧНИК!$O$11+'ПЛАН ЧИСТ К2'!P5*СПРАВОЧНИК!$P$11+'ПЛАН ЧИСТ К2'!Q5*СПРАВОЧНИК!$L$12+'ПЛАН ЧИСТ К2'!R5*СПРАВОЧНИК!$M$12+'ПЛАН ЧИСТ К2'!S5*СПРАВОЧНИК!$N$12+'ПЛАН ЧИСТ К2'!T5*СПРАВОЧНИК!$O$12+'ПЛАН ЧИСТ К2'!U5*СПРАВОЧНИК!$P$12+'ПЛАН ЧИСТ К2'!V5*СПРАВОЧНИК!$L$13+'ПЛАН ЧИСТ К2'!W5*СПРАВОЧНИК!$M$13+'ПЛАН ЧИСТ К2'!X5*СПРАВОЧНИК!$N$13+'ПЛАН ЧИСТ К2'!Y5*СПРАВОЧНИК!$O$13+'ПЛАН ЧИСТ К2'!Z5*СПРАВОЧНИК!$P$13+'ПЛАН ЧИСТ К2'!AA5*СПРАВОЧНИК!$L$14+'ПЛАН ЧИСТ К2'!AB5*СПРАВОЧНИК!$M$14+'ПЛАН ЧИСТ К2'!AC5*СПРАВОЧНИК!$N$14+'ПЛАН ЧИСТ К2'!AD5*СПРАВОЧНИК!$O$14+'ПЛАН ЧИСТ К2'!AE5*СПРАВОЧНИК!$P$14+'ПЛАН ЧИСТ К2'!AF5*СПРАВОЧНИК!$L$15+'ПЛАН ЧИСТ К2'!AG5*СПРАВОЧНИК!$M$15+'ПЛАН ЧИСТ К2'!AH5*СПРАВОЧНИК!$N$15+'ПЛАН ЧИСТ К2'!AI5*СПРАВОЧНИК!$O$15+'ПЛАН ЧИСТ К2'!AJ5*СПРАВОЧНИК!$P$15</f>
        <v/>
      </c>
      <c r="AZ14" s="31">
        <f>('ФАКТ ЧИСТ К2'!B5)*СПРАВОЧНИК!$L$9+('ФАКТ ЧИСТ К2'!C5)*СПРАВОЧНИК!$M$9+('ФАКТ ЧИСТ К2'!D5)*СПРАВОЧНИК!$N$9+('ФАКТ ЧИСТ К2'!E5)*СПРАВОЧНИК!$O$9+('ФАКТ ЧИСТ К2'!F5)*СПРАВОЧНИК!$P$9+('ФАКТ ЧИСТ К2'!G5)*СПРАВОЧНИК!$L$10+('ФАКТ ЧИСТ К2'!H5)*СПРАВОЧНИК!$M$10+('ФАКТ ЧИСТ К2'!I5)*СПРАВОЧНИК!$N$10+('ФАКТ ЧИСТ К2'!J5)*СПРАВОЧНИК!$O$10+('ФАКТ ЧИСТ К2'!K5)*СПРАВОЧНИК!$P$10+('ФАКТ ЧИСТ К2'!L5)*СПРАВОЧНИК!$L$11+('ФАКТ ЧИСТ К2'!M5)*СПРАВОЧНИК!$M$11+('ФАКТ ЧИСТ К2'!N5)*СПРАВОЧНИК!$N$11+('ФАКТ ЧИСТ К2'!O5)*СПРАВОЧНИК!$O$11+('ФАКТ ЧИСТ К2'!P5)*СПРАВОЧНИК!$P$11+('ФАКТ ЧИСТ К2'!Q5)*СПРАВОЧНИК!$L$12+('ФАКТ ЧИСТ К2'!R5)*СПРАВОЧНИК!$M$12+('ФАКТ ЧИСТ К2'!S5)*СПРАВОЧНИК!$N$12+('ФАКТ ЧИСТ К2'!T5)*СПРАВОЧНИК!$O$12+('ФАКТ ЧИСТ К2'!U5)*СПРАВОЧНИК!$P$12+('ФАКТ ЧИСТ К2'!V5)*СПРАВОЧНИК!$L$13+('ФАКТ ЧИСТ К2'!W5)*СПРАВОЧНИК!$M$13+('ФАКТ ЧИСТ К2'!X5)*СПРАВОЧНИК!$N$13+('ФАКТ ЧИСТ К2'!Y5)*СПРАВОЧНИК!$O$13+('ФАКТ ЧИСТ К2'!Z5)*СПРАВОЧНИК!$P$13+('ФАКТ ЧИСТ К2'!AA5)*СПРАВОЧНИК!$L$14+('ФАКТ ЧИСТ К2'!AB5)*СПРАВОЧНИК!$M$14+('ФАКТ ЧИСТ К2'!AC5)*СПРАВОЧНИК!$N$14+('ФАКТ ЧИСТ К2'!AD5)*СПРАВОЧНИК!$O$14+('ФАКТ ЧИСТ К2'!AE5)*СПРАВОЧНИК!$P$14+('ФАКТ ЧИСТ К2'!AF5)*СПРАВОЧНИК!$L$15+('ФАКТ ЧИСТ К2'!AG5)*СПРАВОЧНИК!$M$15+('ФАКТ ЧИСТ К2'!AH5)*СПРАВОЧНИК!$N$15+('ФАКТ ЧИСТ К2'!AI5)*СПРАВОЧНИК!$O$15+('ФАКТ ЧИСТ К2'!AJ5)*СПРАВОЧНИК!$P$15</f>
        <v/>
      </c>
      <c r="BA14" s="34" t="n"/>
      <c r="BD14" s="152">
        <f>$A$2</f>
        <v/>
      </c>
      <c r="BE14" s="17">
        <f>СПРАВОЧНИК!$E$9*('ПЛАН ЧЕРН К3'!B5*СПРАВОЧНИК!$H$9+'ПЛАН ЧЕРН К3'!C5*СПРАВОЧНИК!$I$9+'ПЛАН ЧЕРН К3'!D5*СПРАВОЧНИК!$J$9)+СПРАВОЧНИК!$F$9*('ПЛАН ЧИСТ К3'!B5*СПРАВОЧНИК!$L$9+'ПЛАН ЧИСТ К3'!C5*СПРАВОЧНИК!$M$9+'ПЛАН ЧИСТ К3'!D5*СПРАВОЧНИК!$N$9+'ПЛАН ЧИСТ К3'!E5*СПРАВОЧНИК!$O$9+'ПЛАН ЧИСТ К3'!F5*СПРАВОЧНИК!$P$9)+СПРАВОЧНИК!$E$10*('ПЛАН ЧЕРН К3'!E5*СПРАВОЧНИК!$H$10+'ПЛАН ЧЕРН К3'!F5*СПРАВОЧНИК!$I$10+'ПЛАН ЧЕРН К3'!G5*СПРАВОЧНИК!$J$10)+СПРАВОЧНИК!$F$10*('ПЛАН ЧИСТ К3'!G5*СПРАВОЧНИК!$L$10+'ПЛАН ЧИСТ К3'!H5*СПРАВОЧНИК!$M$10+'ПЛАН ЧИСТ К3'!I5*СПРАВОЧНИК!$N$10+'ПЛАН ЧИСТ К3'!J5*СПРАВОЧНИК!$O$10+'ПЛАН ЧИСТ К3'!K5*СПРАВОЧНИК!$P$10)+СПРАВОЧНИК!$E$11*('ПЛАН ЧЕРН К3'!H5*СПРАВОЧНИК!$H$11+'ПЛАН ЧЕРН К3'!I5*СПРАВОЧНИК!$I$11+'ПЛАН ЧЕРН К3'!J5*СПРАВОЧНИК!$J$11)+СПРАВОЧНИК!$F$11*('ПЛАН ЧИСТ К3'!L5*СПРАВОЧНИК!$L$11+'ПЛАН ЧИСТ К3'!M5*СПРАВОЧНИК!$M$11+'ПЛАН ЧИСТ К3'!N5*СПРАВОЧНИК!$N$11+'ПЛАН ЧИСТ К3'!O5*СПРАВОЧНИК!$O$11+'ПЛАН ЧИСТ К3'!P5*СПРАВОЧНИК!$P$11)+СПРАВОЧНИК!$E$12*('ПЛАН ЧЕРН К3'!K5*СПРАВОЧНИК!$H$12+'ПЛАН ЧЕРН К3'!L5*СПРАВОЧНИК!$I$12+'ПЛАН ЧЕРН К3'!M5*СПРАВОЧНИК!$J$12)+СПРАВОЧНИК!$F$12*('ПЛАН ЧИСТ К3'!Q5*СПРАВОЧНИК!$L$12+'ПЛАН ЧИСТ К3'!R5*СПРАВОЧНИК!$M$12+'ПЛАН ЧИСТ К3'!S5*СПРАВОЧНИК!$N$12+'ПЛАН ЧИСТ К3'!T5*СПРАВОЧНИК!$O$12+'ПЛАН ЧИСТ К3'!U5*СПРАВОЧНИК!$P$12)+СПРАВОЧНИК!$E$13*('ПЛАН ЧЕРН К3'!N5*СПРАВОЧНИК!$H$13+'ПЛАН ЧЕРН К3'!O5*СПРАВОЧНИК!$I$13+'ПЛАН ЧЕРН К3'!P5*СПРАВОЧНИК!$J$13)+СПРАВОЧНИК!$F$13*('ПЛАН ЧИСТ К3'!V5*СПРАВОЧНИК!$L$13+'ПЛАН ЧИСТ К3'!W5*СПРАВОЧНИК!$M$13+'ПЛАН ЧИСТ К3'!X5*СПРАВОЧНИК!$N$13+'ПЛАН ЧИСТ К3'!Y5*СПРАВОЧНИК!$O$13+'ПЛАН ЧИСТ К3'!Z5*СПРАВОЧНИК!$P$13)+СПРАВОЧНИК!$E$14*('ПЛАН ЧЕРН К3'!Q5*СПРАВОЧНИК!$H$14+'ПЛАН ЧЕРН К3'!R5*СПРАВОЧНИК!$I$14+'ПЛАН ЧЕРН К3'!S5*СПРАВОЧНИК!$J$14)+СПРАВОЧНИК!$F$14*('ПЛАН ЧИСТ К3'!AA5*СПРАВОЧНИК!$L$14+'ПЛАН ЧИСТ К3'!AB5*СПРАВОЧНИК!$M$14+'ПЛАН ЧИСТ К3'!AC5*СПРАВОЧНИК!$N$14+'ПЛАН ЧИСТ К3'!AD5*СПРАВОЧНИК!$O$14+'ПЛАН ЧИСТ К3'!AE5*СПРАВОЧНИК!$P$14)+СПРАВОЧНИК!$E$15*('ПЛАН ЧЕРН К3'!T5*СПРАВОЧНИК!$H$15+'ПЛАН ЧЕРН К3'!U5*СПРАВОЧНИК!$I$15+'ПЛАН ЧЕРН К3'!V5*СПРАВОЧНИК!$J$15)+СПРАВОЧНИК!$F$15*('ПЛАН ЧИСТ К3'!AF5*СПРАВОЧНИК!$L$15+'ПЛАН ЧИСТ К3'!AG5*СПРАВОЧНИК!$M$15+'ПЛАН ЧИСТ К3'!AH5*СПРАВОЧНИК!$N$15+'ПЛАН ЧИСТ К3'!AI5*СПРАВОЧНИК!$O$15+'ПЛАН ЧИСТ К3'!AJ5*СПРАВОЧНИК!$P$15)</f>
        <v/>
      </c>
      <c r="BF14" s="31">
        <f>СПРАВОЧНИК!$E$9*('ФАКТ ЧЕРН К3'!B5*СПРАВОЧНИК!$H$9+'ФАКТ ЧЕРН К3'!C5*СПРАВОЧНИК!$I$9+'ФАКТ ЧЕРН К3'!D5*СПРАВОЧНИК!$J$9)+СПРАВОЧНИК!$F$9*('ФАКТ ЧИСТ К3'!B5*СПРАВОЧНИК!$L$9+'ФАКТ ЧИСТ К3'!C5*СПРАВОЧНИК!$M$9+'ФАКТ ЧИСТ К3'!D5*СПРАВОЧНИК!$N$9+'ФАКТ ЧИСТ К3'!E5*СПРАВОЧНИК!$O$9+'ФАКТ ЧИСТ К3'!F5*СПРАВОЧНИК!$P$9)+СПРАВОЧНИК!$E$10*('ФАКТ ЧЕРН К3'!E5*СПРАВОЧНИК!$H$10+'ФАКТ ЧЕРН К3'!F5*СПРАВОЧНИК!$I$10+'ФАКТ ЧЕРН К3'!G5*СПРАВОЧНИК!$J$10)+СПРАВОЧНИК!$F$10*('ФАКТ ЧИСТ К3'!G5*СПРАВОЧНИК!$L$10+'ФАКТ ЧИСТ К3'!H5*СПРАВОЧНИК!$M$10+'ФАКТ ЧИСТ К3'!I5*СПРАВОЧНИК!$N$10+'ФАКТ ЧИСТ К3'!J5*СПРАВОЧНИК!$O$10+'ФАКТ ЧИСТ К3'!K5*СПРАВОЧНИК!$P$10)+СПРАВОЧНИК!$E$11*('ФАКТ ЧЕРН К3'!H5*СПРАВОЧНИК!$H$11+'ФАКТ ЧЕРН К3'!I5*СПРАВОЧНИК!$I$11+'ФАКТ ЧЕРН К3'!J5*СПРАВОЧНИК!$J$11)+СПРАВОЧНИК!$F$11*('ФАКТ ЧИСТ К3'!L5*СПРАВОЧНИК!$L$11+'ФАКТ ЧИСТ К3'!M5*СПРАВОЧНИК!$M$11+'ФАКТ ЧИСТ К3'!N5*СПРАВОЧНИК!$N$11+'ФАКТ ЧИСТ К3'!O5*СПРАВОЧНИК!$O$11+'ФАКТ ЧИСТ К3'!P5*СПРАВОЧНИК!$P$11)+СПРАВОЧНИК!$E$12*('ФАКТ ЧЕРН К3'!K5*СПРАВОЧНИК!$H$12+'ФАКТ ЧЕРН К3'!L5*СПРАВОЧНИК!$I$12+'ФАКТ ЧЕРН К3'!M5*СПРАВОЧНИК!$J$12)+СПРАВОЧНИК!$F$12*('ФАКТ ЧИСТ К3'!Q5*СПРАВОЧНИК!$L$12+'ФАКТ ЧИСТ К3'!R5*СПРАВОЧНИК!$M$12+'ФАКТ ЧИСТ К3'!S5*СПРАВОЧНИК!$N$12+'ФАКТ ЧИСТ К3'!T5*СПРАВОЧНИК!$O$12+'ФАКТ ЧИСТ К3'!U5*СПРАВОЧНИК!$P$12)+СПРАВОЧНИК!$E$13*('ФАКТ ЧЕРН К3'!N5*СПРАВОЧНИК!$H$13+'ФАКТ ЧЕРН К3'!O5*СПРАВОЧНИК!$I$13+'ФАКТ ЧЕРН К3'!P5*СПРАВОЧНИК!$J$13)+СПРАВОЧНИК!$F$13*('ФАКТ ЧИСТ К3'!V5*СПРАВОЧНИК!$L$13+'ФАКТ ЧИСТ К3'!W5*СПРАВОЧНИК!$M$13+'ФАКТ ЧИСТ К3'!X5*СПРАВОЧНИК!$N$13+'ФАКТ ЧИСТ К3'!Y5*СПРАВОЧНИК!$O$13+'ФАКТ ЧИСТ К3'!Z5*СПРАВОЧНИК!$P$13)+СПРАВОЧНИК!$E$14*('ФАКТ ЧЕРН К3'!Q5*СПРАВОЧНИК!$H$14+'ФАКТ ЧЕРН К3'!R5*СПРАВОЧНИК!$I$14+'ФАКТ ЧЕРН К3'!S5*СПРАВОЧНИК!$J$14)+СПРАВОЧНИК!$F$14*('ФАКТ ЧИСТ К3'!AA5*СПРАВОЧНИК!$L$14+'ФАКТ ЧИСТ К3'!AB5*СПРАВОЧНИК!$M$14+'ФАКТ ЧИСТ К3'!AC5*СПРАВОЧНИК!$N$14+'ФАКТ ЧИСТ К3'!AD5*СПРАВОЧНИК!$O$14+'ФАКТ ЧИСТ К3'!AE5*СПРАВОЧНИК!$P$14)+СПРАВОЧНИК!$E$15*('ФАКТ ЧЕРН К3'!T5*СПРАВОЧНИК!$H$15+'ФАКТ ЧЕРН К3'!U5*СПРАВОЧНИК!$I$15+'ФАКТ ЧЕРН К3'!V5*СПРАВОЧНИК!$J$15)+СПРАВОЧНИК!$F$15*('ФАКТ ЧИСТ К3'!AF5*СПРАВОЧНИК!$L$15+'ФАКТ ЧИСТ К3'!AG5*СПРАВОЧНИК!$M$15+'ФАКТ ЧИСТ К3'!AH5*СПРАВОЧНИК!$N$15+'ФАКТ ЧИСТ К3'!AI5*СПРАВОЧНИК!$O$15+'ФАКТ ЧИСТ К3'!AJ5*СПРАВОЧНИК!$P$15)</f>
        <v/>
      </c>
      <c r="BG14" s="34" t="n"/>
      <c r="BJ14" s="152">
        <f>$A$2</f>
        <v/>
      </c>
      <c r="BK14" s="17">
        <f>'ПЛАН ЧЕРН К3'!B5*СПРАВОЧНИК!$H$9+'ПЛАН ЧЕРН К3'!C5*СПРАВОЧНИК!$I$9+'ПЛАН ЧЕРН К3'!D5*СПРАВОЧНИК!$J$9+'ПЛАН ЧЕРН К3'!E5*СПРАВОЧНИК!$H$10+'ПЛАН ЧЕРН К3'!F5*СПРАВОЧНИК!$I$10+'ПЛАН ЧЕРН К3'!G5*СПРАВОЧНИК!$J$10+'ПЛАН ЧЕРН К3'!H5*СПРАВОЧНИК!$H$11+'ПЛАН ЧЕРН К3'!I5*СПРАВОЧНИК!$I$11+'ПЛАН ЧЕРН К3'!J5*СПРАВОЧНИК!$J$11+'ПЛАН ЧЕРН К3'!K5*СПРАВОЧНИК!$H$12+'ПЛАН ЧЕРН К3'!L5*СПРАВОЧНИК!$I$12+'ПЛАН ЧЕРН К3'!M5*СПРАВОЧНИК!$J$12+'ПЛАН ЧЕРН К3'!N5*СПРАВОЧНИК!$H$13+'ПЛАН ЧЕРН К3'!O5*СПРАВОЧНИК!$I$13+'ПЛАН ЧЕРН К3'!P5*СПРАВОЧНИК!$J$13+'ПЛАН ЧЕРН К3'!Q5*СПРАВОЧНИК!$H$14+'ПЛАН ЧЕРН К3'!R5*СПРАВОЧНИК!$I$14+'ПЛАН ЧЕРН К3'!S5*СПРАВОЧНИК!$J$14+'ПЛАН ЧЕРН К3'!T5*СПРАВОЧНИК!$H$15+'ПЛАН ЧЕРН К3'!U5*СПРАВОЧНИК!$I$15+'ПЛАН ЧЕРН К3'!V5*СПРАВОЧНИК!$J$15</f>
        <v/>
      </c>
      <c r="BL14" s="31">
        <f>('ФАКТ ЧЕРН К3'!B5)*СПРАВОЧНИК!$H$9+('ФАКТ ЧЕРН К3'!C5)*СПРАВОЧНИК!$I$9+('ФАКТ ЧЕРН К3'!D5)*СПРАВОЧНИК!$J$9+('ФАКТ ЧЕРН К3'!E5)*СПРАВОЧНИК!$H$10+('ФАКТ ЧЕРН К3'!F5)*СПРАВОЧНИК!$I$10+('ФАКТ ЧЕРН К3'!G5)*СПРАВОЧНИК!$J$10+('ФАКТ ЧЕРН К3'!H5)*СПРАВОЧНИК!$H$11+('ФАКТ ЧЕРН К3'!I5)*СПРАВОЧНИК!$I$11+('ФАКТ ЧЕРН К3'!J5)*СПРАВОЧНИК!$J$11+('ФАКТ ЧЕРН К3'!K5)*СПРАВОЧНИК!$H$12+('ФАКТ ЧЕРН К3'!L5)*СПРАВОЧНИК!$I$12+('ФАКТ ЧЕРН К3'!M5)*СПРАВОЧНИК!$J$12+('ФАКТ ЧЕРН К3'!N5)*СПРАВОЧНИК!$H$13+('ФАКТ ЧЕРН К3'!O5)*СПРАВОЧНИК!$I$13+('ФАКТ ЧЕРН К3'!P5)*СПРАВОЧНИК!$J$13+('ФАКТ ЧЕРН К3'!Q5)*СПРАВОЧНИК!$H$14+('ФАКТ ЧЕРН К3'!R5)*СПРАВОЧНИК!$I$14+('ФАКТ ЧЕРН К3'!S5)*СПРАВОЧНИК!$J$14+('ФАКТ ЧЕРН К3'!T5)*СПРАВОЧНИК!$H$15+('ФАКТ ЧЕРН К3'!U5)*СПРАВОЧНИК!$I$15+('ФАКТ ЧЕРН К3'!V5)*СПРАВОЧНИК!$J$15</f>
        <v/>
      </c>
      <c r="BM14" s="34" t="n"/>
      <c r="BP14" s="152">
        <f>$A$2</f>
        <v/>
      </c>
      <c r="BQ14" s="17">
        <f>'ПЛАН ЧИСТ К3'!B5*СПРАВОЧНИК!$L$9+'ПЛАН ЧИСТ К3'!C5*СПРАВОЧНИК!$M$9+'ПЛАН ЧИСТ К3'!D5*СПРАВОЧНИК!$N$9+'ПЛАН ЧИСТ К3'!E5*СПРАВОЧНИК!$O$9+'ПЛАН ЧИСТ К3'!F5*СПРАВОЧНИК!$P$9+'ПЛАН ЧИСТ К3'!G5*СПРАВОЧНИК!$L$10+'ПЛАН ЧИСТ К3'!H5*СПРАВОЧНИК!$M$10+'ПЛАН ЧИСТ К3'!I5*СПРАВОЧНИК!$N$10+'ПЛАН ЧИСТ К3'!J5*СПРАВОЧНИК!$O$10+'ПЛАН ЧИСТ К3'!K5*СПРАВОЧНИК!$P$10+'ПЛАН ЧИСТ К3'!L5*СПРАВОЧНИК!$L$11+'ПЛАН ЧИСТ К3'!M5*СПРАВОЧНИК!$M$11+'ПЛАН ЧИСТ К3'!N5*СПРАВОЧНИК!$N$11+'ПЛАН ЧИСТ К3'!O5*СПРАВОЧНИК!$O$11+'ПЛАН ЧИСТ К3'!P5*СПРАВОЧНИК!$P$11+'ПЛАН ЧИСТ К3'!Q5*СПРАВОЧНИК!$L$12+'ПЛАН ЧИСТ К3'!R5*СПРАВОЧНИК!$M$12+'ПЛАН ЧИСТ К3'!S5*СПРАВОЧНИК!$N$12+'ПЛАН ЧИСТ К3'!T5*СПРАВОЧНИК!$O$12+'ПЛАН ЧИСТ К3'!U5*СПРАВОЧНИК!$P$12+'ПЛАН ЧИСТ К3'!V5*СПРАВОЧНИК!$L$13+'ПЛАН ЧИСТ К3'!W5*СПРАВОЧНИК!$M$13+'ПЛАН ЧИСТ К3'!X5*СПРАВОЧНИК!$N$13+'ПЛАН ЧИСТ К3'!Y5*СПРАВОЧНИК!$O$13+'ПЛАН ЧИСТ К3'!Z5*СПРАВОЧНИК!$P$13+'ПЛАН ЧИСТ К3'!AA5*СПРАВОЧНИК!$L$14+'ПЛАН ЧИСТ К3'!AB5*СПРАВОЧНИК!$M$14+'ПЛАН ЧИСТ К3'!AC5*СПРАВОЧНИК!$N$14+'ПЛАН ЧИСТ К3'!AD5*СПРАВОЧНИК!$O$14+'ПЛАН ЧИСТ К3'!AE5*СПРАВОЧНИК!$P$14+'ПЛАН ЧИСТ К3'!AF5*СПРАВОЧНИК!$L$15+'ПЛАН ЧИСТ К3'!AG5*СПРАВОЧНИК!$M$15+'ПЛАН ЧИСТ К3'!AH5*СПРАВОЧНИК!$N$15+'ПЛАН ЧИСТ К3'!AI5*СПРАВОЧНИК!$O$15+'ПЛАН ЧИСТ К3'!AJ5*СПРАВОЧНИК!$P$15</f>
        <v/>
      </c>
      <c r="BR14" s="31">
        <f>('ФАКТ ЧИСТ К3'!B5)*СПРАВОЧНИК!$L$9+('ФАКТ ЧИСТ К3'!C5)*СПРАВОЧНИК!$M$9+('ФАКТ ЧИСТ К3'!D5)*СПРАВОЧНИК!$N$9+('ФАКТ ЧИСТ К3'!E5)*СПРАВОЧНИК!$O$9+('ФАКТ ЧИСТ К3'!F5)*СПРАВОЧНИК!$P$9+('ФАКТ ЧИСТ К3'!G5)*СПРАВОЧНИК!$L$10+('ФАКТ ЧИСТ К3'!H5)*СПРАВОЧНИК!$M$10+('ФАКТ ЧИСТ К3'!I5)*СПРАВОЧНИК!$N$10+('ФАКТ ЧИСТ К3'!J5)*СПРАВОЧНИК!$O$10+('ФАКТ ЧИСТ К3'!K5)*СПРАВОЧНИК!$P$10+('ФАКТ ЧИСТ К3'!L5)*СПРАВОЧНИК!$L$11+('ФАКТ ЧИСТ К3'!M5)*СПРАВОЧНИК!$M$11+('ФАКТ ЧИСТ К3'!N5)*СПРАВОЧНИК!$N$11+('ФАКТ ЧИСТ К3'!O5)*СПРАВОЧНИК!$O$11+('ФАКТ ЧИСТ К3'!P5)*СПРАВОЧНИК!$P$11+('ФАКТ ЧИСТ К3'!Q5)*СПРАВОЧНИК!$L$12+('ФАКТ ЧИСТ К3'!R5)*СПРАВОЧНИК!$M$12+('ФАКТ ЧИСТ К3'!S5)*СПРАВОЧНИК!$N$12+('ФАКТ ЧИСТ К3'!T5)*СПРАВОЧНИК!$O$12+('ФАКТ ЧИСТ К3'!U5)*СПРАВОЧНИК!$P$12+('ФАКТ ЧИСТ К3'!V5)*СПРАВОЧНИК!$L$13+('ФАКТ ЧИСТ К3'!W5)*СПРАВОЧНИК!$M$13+('ФАКТ ЧИСТ К3'!X5)*СПРАВОЧНИК!$N$13+('ФАКТ ЧИСТ К3'!Y5)*СПРАВОЧНИК!$O$13+('ФАКТ ЧИСТ К3'!Z5)*СПРАВОЧНИК!$P$13+('ФАКТ ЧИСТ К3'!AA5)*СПРАВОЧНИК!$L$14+('ФАКТ ЧИСТ К3'!AB5)*СПРАВОЧНИК!$M$14+('ФАКТ ЧИСТ К3'!AC5)*СПРАВОЧНИК!$N$14+('ФАКТ ЧИСТ К3'!AD5)*СПРАВОЧНИК!$O$14+('ФАКТ ЧИСТ К3'!AE5)*СПРАВОЧНИК!$P$14+('ФАКТ ЧИСТ К3'!AF5)*СПРАВОЧНИК!$L$15+('ФАКТ ЧИСТ К3'!AG5)*СПРАВОЧНИК!$M$15+('ФАКТ ЧИСТ К3'!AH5)*СПРАВОЧНИК!$N$15+('ФАКТ ЧИСТ К3'!AI5)*СПРАВОЧНИК!$O$15+('ФАКТ ЧИСТ К3'!AJ5)*СПРАВОЧНИК!$P$15</f>
        <v/>
      </c>
      <c r="BS14" s="34" t="n"/>
      <c r="BV14" s="152">
        <f>$A$2</f>
        <v/>
      </c>
      <c r="BW14" s="17">
        <f>U14*СПРАВОЧНИК!$K$28+AM14*СПРАВОЧНИК!$K$29+BE14*СПРАВОЧНИК!$K$30</f>
        <v/>
      </c>
      <c r="BX14" s="31">
        <f>V14*СПРАВОЧНИК!$K$28+AN14*СПРАВОЧНИК!$K$29+BF14*СПРАВОЧНИК!$K$30</f>
        <v/>
      </c>
      <c r="BY14" s="34" t="n"/>
      <c r="CB14" s="152">
        <f>$A$2</f>
        <v/>
      </c>
      <c r="CC14" s="17">
        <f>AA14*СПРАВОЧНИК!$K$28+AS14*СПРАВОЧНИК!$K$29+BK14*СПРАВОЧНИК!$K$30</f>
        <v/>
      </c>
      <c r="CD14" s="31">
        <f>AB14*СПРАВОЧНИК!$K$28+AT14*СПРАВОЧНИК!$K$29+BL14*СПРАВОЧНИК!$K$30</f>
        <v/>
      </c>
      <c r="CE14" s="34" t="n"/>
      <c r="CH14" s="152">
        <f>$A$2</f>
        <v/>
      </c>
      <c r="CI14" s="17">
        <f>AG14*СПРАВОЧНИК!$K$28+AY14*СПРАВОЧНИК!$K$29+BQ14*СПРАВОЧНИК!$K$30</f>
        <v/>
      </c>
      <c r="CJ14" s="31">
        <f>AH14*СПРАВОЧНИК!$K$28+AZ14*СПРАВОЧНИК!$K$29+BR14*СПРАВОЧНИК!$K$30</f>
        <v/>
      </c>
      <c r="CK14" s="34" t="n"/>
      <c r="CN14" s="152">
        <f>$A$2</f>
        <v/>
      </c>
      <c r="CO14" s="17">
        <f>C14*СПРАВОЧНИК!$W$18+BW14*СПРАВОЧНИК!$W$19</f>
        <v/>
      </c>
      <c r="CP14" s="31">
        <f>D14*СПРАВОЧНИК!$W$18+BX14*СПРАВОЧНИК!$W$19</f>
        <v/>
      </c>
      <c r="CQ14" s="34" t="n"/>
      <c r="CT14" s="152">
        <f>$A$2</f>
        <v/>
      </c>
      <c r="CU14" s="17">
        <f>I14*СПРАВОЧНИК!$W$18+CC14*СПРАВОЧНИК!$W$19</f>
        <v/>
      </c>
      <c r="CV14" s="31">
        <f>J14*СПРАВОЧНИК!$W$18+CD14*СПРАВОЧНИК!$W$19</f>
        <v/>
      </c>
      <c r="CW14" s="34" t="n"/>
      <c r="CZ14" s="152">
        <f>$A$2</f>
        <v/>
      </c>
      <c r="DA14" s="17">
        <f>O14*СПРАВОЧНИК!$W$18+CI14*СПРАВОЧНИК!$W$19</f>
        <v/>
      </c>
      <c r="DB14" s="31">
        <f>P14*СПРАВОЧНИК!$W$18+CJ14*СПРАВОЧНИК!$W$19</f>
        <v/>
      </c>
      <c r="DC14" s="34" t="n"/>
    </row>
    <row r="15">
      <c r="B15" s="152">
        <f>B14+7</f>
        <v/>
      </c>
      <c r="C15" s="17">
        <f>СПРАВОЧНИК!$E$3*('ПЛАН ЧЕРН ПОДЗЕМ'!B6*СПРАВОЧНИК!$H$3+'ПЛАН ЧЕРН ПОДЗЕМ'!C6*СПРАВОЧНИК!$I$3+'ПЛАН ЧЕРН ПОДЗЕМ'!D6*СПРАВОЧНИК!$J$3)+СПРАВОЧНИК!$F$3*('ПЛАН ЧИСТ ПОДЗЕМ'!B6*СПРАВОЧНИК!$L$3+'ПЛАН ЧИСТ ПОДЗЕМ'!C6*СПРАВОЧНИК!$M$3+'ПЛАН ЧИСТ ПОДЗЕМ'!D6*СПРАВОЧНИК!$N$3+'ПЛАН ЧИСТ ПОДЗЕМ'!E6*СПРАВОЧНИК!$O$3+'ПЛАН ЧИСТ ПОДЗЕМ'!F6*СПРАВОЧНИК!$P$3)+СПРАВОЧНИК!$E$4*('ПЛАН ЧЕРН ПОДЗЕМ'!E6*СПРАВОЧНИК!$H$4+'ПЛАН ЧЕРН ПОДЗЕМ'!F6*СПРАВОЧНИК!$I$4+'ПЛАН ЧЕРН ПОДЗЕМ'!G6*СПРАВОЧНИК!$J$4)+СПРАВОЧНИК!$F$4*('ПЛАН ЧИСТ ПОДЗЕМ'!G6*СПРАВОЧНИК!$L$4+'ПЛАН ЧИСТ ПОДЗЕМ'!H6*СПРАВОЧНИК!$M$4+'ПЛАН ЧИСТ ПОДЗЕМ'!I6*СПРАВОЧНИК!$N$4+'ПЛАН ЧИСТ ПОДЗЕМ'!J6*СПРАВОЧНИК!$O$4+'ПЛАН ЧИСТ ПОДЗЕМ'!K6*СПРАВОЧНИК!$P$4)+СПРАВОЧНИК!$E$5*('ПЛАН ЧЕРН ПОДЗЕМ'!H6*СПРАВОЧНИК!$H$5+'ПЛАН ЧЕРН ПОДЗЕМ'!I6*СПРАВОЧНИК!$I$5+'ПЛАН ЧЕРН ПОДЗЕМ'!J6*СПРАВОЧНИК!$J$5)+СПРАВОЧНИК!$F$5*('ПЛАН ЧИСТ ПОДЗЕМ'!L6*СПРАВОЧНИК!$L$5+'ПЛАН ЧИСТ ПОДЗЕМ'!M6*СПРАВОЧНИК!$M$5+'ПЛАН ЧИСТ ПОДЗЕМ'!N6*СПРАВОЧНИК!$N$5+'ПЛАН ЧИСТ ПОДЗЕМ'!O6*СПРАВОЧНИК!$O$5+'ПЛАН ЧИСТ ПОДЗЕМ'!P6*СПРАВОЧНИК!$P$5)+СПРАВОЧНИК!$E$6*('ПЛАН ЧЕРН ПОДЗЕМ'!K6*СПРАВОЧНИК!$H$6+'ПЛАН ЧЕРН ПОДЗЕМ'!L6*СПРАВОЧНИК!$I$6+'ПЛАН ЧЕРН ПОДЗЕМ'!M6*СПРАВОЧНИК!$J$6)+СПРАВОЧНИК!$F$6*('ПЛАН ЧИСТ ПОДЗЕМ'!Q6*СПРАВОЧНИК!$L$6+'ПЛАН ЧИСТ ПОДЗЕМ'!R6*СПРАВОЧНИК!$M$6+'ПЛАН ЧИСТ ПОДЗЕМ'!S6*СПРАВОЧНИК!$N$6+'ПЛАН ЧИСТ ПОДЗЕМ'!T6*СПРАВОЧНИК!$O$6+'ПЛАН ЧИСТ ПОДЗЕМ'!U6*СПРАВОЧНИК!$P$6)+СПРАВОЧНИК!$E$7*('ПЛАН ЧЕРН ПОДЗЕМ'!N6*СПРАВОЧНИК!$H$7+'ПЛАН ЧЕРН ПОДЗЕМ'!O6*СПРАВОЧНИК!$I$7+'ПЛАН ЧЕРН ПОДЗЕМ'!P6*СПРАВОЧНИК!$J$7)+СПРАВОЧНИК!$F$7*('ПЛАН ЧИСТ ПОДЗЕМ'!V6*СПРАВОЧНИК!$L$7+'ПЛАН ЧИСТ ПОДЗЕМ'!W6*СПРАВОЧНИК!$M$7+'ПЛАН ЧИСТ ПОДЗЕМ'!X6*СПРАВОЧНИК!$N$7+'ПЛАН ЧИСТ ПОДЗЕМ'!Y6*СПРАВОЧНИК!$O$7+'ПЛАН ЧИСТ ПОДЗЕМ'!Z6*СПРАВОЧНИК!$P$7)+СПРАВОЧНИК!$E$8*('ПЛАН ЧЕРН ПОДЗЕМ'!Q6*СПРАВОЧНИК!$H$8+'ПЛАН ЧЕРН ПОДЗЕМ'!R6*СПРАВОЧНИК!$I$8+'ПЛАН ЧЕРН ПОДЗЕМ'!S6*СПРАВОЧНИК!$J$8)+СПРАВОЧНИК!$F$8*('ПЛАН ЧИСТ ПОДЗЕМ'!AA6*СПРАВОЧНИК!$L$8+'ПЛАН ЧИСТ ПОДЗЕМ'!AB6*СПРАВОЧНИК!$M$8+'ПЛАН ЧИСТ ПОДЗЕМ'!AC6*СПРАВОЧНИК!$N$8+'ПЛАН ЧИСТ ПОДЗЕМ'!AD6*СПРАВОЧНИК!$O$8+'ПЛАН ЧИСТ ПОДЗЕМ'!AE6*СПРАВОЧНИК!$P$8)</f>
        <v/>
      </c>
      <c r="D15" s="31">
        <f>СПРАВОЧНИК!$E$3*('ФАКТ ЧЕРН ПОДЗЕМ'!B6*СПРАВОЧНИК!$H$3+'ФАКТ ЧЕРН ПОДЗЕМ'!C6*СПРАВОЧНИК!$I$3+'ФАКТ ЧЕРН ПОДЗЕМ'!D6*СПРАВОЧНИК!$J$3)+СПРАВОЧНИК!$F$3*('ФАКТ ЧИСТ ПОДЗЕМ'!B6*СПРАВОЧНИК!$L$3+'ФАКТ ЧИСТ ПОДЗЕМ'!C6*СПРАВОЧНИК!$M$3+'ФАКТ ЧИСТ ПОДЗЕМ'!D6*СПРАВОЧНИК!$N$3+'ФАКТ ЧИСТ ПОДЗЕМ'!E6*СПРАВОЧНИК!$O$3+'ФАКТ ЧИСТ ПОДЗЕМ'!F6*СПРАВОЧНИК!$P$3)+СПРАВОЧНИК!$E$4*('ФАКТ ЧЕРН ПОДЗЕМ'!E6*СПРАВОЧНИК!$H$4+'ФАКТ ЧЕРН ПОДЗЕМ'!F6*СПРАВОЧНИК!$I$4+'ФАКТ ЧЕРН ПОДЗЕМ'!G6*СПРАВОЧНИК!$J$4)+СПРАВОЧНИК!$F$4*('ФАКТ ЧИСТ ПОДЗЕМ'!G6*СПРАВОЧНИК!$L$4+'ФАКТ ЧИСТ ПОДЗЕМ'!H6*СПРАВОЧНИК!$M$4+'ФАКТ ЧИСТ ПОДЗЕМ'!I6*СПРАВОЧНИК!$N$4+'ФАКТ ЧИСТ ПОДЗЕМ'!J6*СПРАВОЧНИК!$O$4+'ФАКТ ЧИСТ ПОДЗЕМ'!K6*СПРАВОЧНИК!$P$4)+СПРАВОЧНИК!$E$5*('ФАКТ ЧЕРН ПОДЗЕМ'!H6*СПРАВОЧНИК!$H$5+'ФАКТ ЧЕРН ПОДЗЕМ'!I6*СПРАВОЧНИК!$I$5+'ФАКТ ЧЕРН ПОДЗЕМ'!J6*СПРАВОЧНИК!$J$5)+СПРАВОЧНИК!$F$5*('ФАКТ ЧИСТ ПОДЗЕМ'!L6*СПРАВОЧНИК!$L$5+'ФАКТ ЧИСТ ПОДЗЕМ'!M6*СПРАВОЧНИК!$M$5+'ФАКТ ЧИСТ ПОДЗЕМ'!N6*СПРАВОЧНИК!$N$5+'ФАКТ ЧИСТ ПОДЗЕМ'!O6*СПРАВОЧНИК!$O$5+'ФАКТ ЧИСТ ПОДЗЕМ'!P6*СПРАВОЧНИК!$P$5)+СПРАВОЧНИК!$E$6*('ФАКТ ЧЕРН ПОДЗЕМ'!K6*СПРАВОЧНИК!$H$6+'ФАКТ ЧЕРН ПОДЗЕМ'!L6*СПРАВОЧНИК!$I$6+'ФАКТ ЧЕРН ПОДЗЕМ'!M6*СПРАВОЧНИК!$J$6)+СПРАВОЧНИК!$F$6*('ФАКТ ЧИСТ ПОДЗЕМ'!Q6*СПРАВОЧНИК!$L$6+'ФАКТ ЧИСТ ПОДЗЕМ'!R6*СПРАВОЧНИК!$M$6+'ФАКТ ЧИСТ ПОДЗЕМ'!S6*СПРАВОЧНИК!$N$6+'ФАКТ ЧИСТ ПОДЗЕМ'!T6*СПРАВОЧНИК!$O$6+'ФАКТ ЧИСТ ПОДЗЕМ'!U6*СПРАВОЧНИК!$P$6)+СПРАВОЧНИК!$E$7*('ФАКТ ЧЕРН ПОДЗЕМ'!N6*СПРАВОЧНИК!$H$7+'ФАКТ ЧЕРН ПОДЗЕМ'!O6*СПРАВОЧНИК!$I$7+'ФАКТ ЧЕРН ПОДЗЕМ'!P6*СПРАВОЧНИК!$J$7)+СПРАВОЧНИК!$F$7*('ФАКТ ЧИСТ ПОДЗЕМ'!V6*СПРАВОЧНИК!$L$7+'ФАКТ ЧИСТ ПОДЗЕМ'!W6*СПРАВОЧНИК!$M$7+'ФАКТ ЧИСТ ПОДЗЕМ'!X6*СПРАВОЧНИК!$N$7+'ФАКТ ЧИСТ ПОДЗЕМ'!Y6*СПРАВОЧНИК!$O$7+'ФАКТ ЧИСТ ПОДЗЕМ'!Z6*СПРАВОЧНИК!$P$7)+СПРАВОЧНИК!$E$8*('ФАКТ ЧЕРН ПОДЗЕМ'!Q6*СПРАВОЧНИК!$H$8+'ФАКТ ЧЕРН ПОДЗЕМ'!R6*СПРАВОЧНИК!$I$8+'ФАКТ ЧЕРН ПОДЗЕМ'!S6*СПРАВОЧНИК!$J$8)+СПРАВОЧНИК!$F$8*('ФАКТ ЧИСТ ПОДЗЕМ'!AA6*СПРАВОЧНИК!$L$8+'ФАКТ ЧИСТ ПОДЗЕМ'!AB6*СПРАВОЧНИК!$M$8+'ФАКТ ЧИСТ ПОДЗЕМ'!AC6*СПРАВОЧНИК!$N$8+'ФАКТ ЧИСТ ПОДЗЕМ'!AD6*СПРАВОЧНИК!$O$8+'ФАКТ ЧИСТ ПОДЗЕМ'!AE6*СПРАВОЧНИК!$P$8)</f>
        <v/>
      </c>
      <c r="E15" s="34" t="n"/>
      <c r="H15" s="152">
        <f>H14+7</f>
        <v/>
      </c>
      <c r="I15" s="17">
        <f>'ПЛАН ЧЕРН ПОДЗЕМ'!B6*СПРАВОЧНИК!$H$3+'ПЛАН ЧЕРН ПОДЗЕМ'!C6*СПРАВОЧНИК!$I$3+'ПЛАН ЧЕРН ПОДЗЕМ'!D6*СПРАВОЧНИК!$J$3+'ПЛАН ЧЕРН ПОДЗЕМ'!E6*СПРАВОЧНИК!$H$4+'ПЛАН ЧЕРН ПОДЗЕМ'!F6*СПРАВОЧНИК!$I$4+'ПЛАН ЧЕРН ПОДЗЕМ'!G6*СПРАВОЧНИК!$J$4+'ПЛАН ЧЕРН ПОДЗЕМ'!H6*СПРАВОЧНИК!$H$5+'ПЛАН ЧЕРН ПОДЗЕМ'!I6*СПРАВОЧНИК!$I$5+'ПЛАН ЧЕРН ПОДЗЕМ'!J6*СПРАВОЧНИК!$J$5+'ПЛАН ЧЕРН ПОДЗЕМ'!K6*СПРАВОЧНИК!$H$6+'ПЛАН ЧЕРН ПОДЗЕМ'!L6*СПРАВОЧНИК!$I$6+'ПЛАН ЧЕРН ПОДЗЕМ'!M6*СПРАВОЧНИК!$J$6+'ПЛАН ЧЕРН ПОДЗЕМ'!N6*СПРАВОЧНИК!$H$7+'ПЛАН ЧЕРН ПОДЗЕМ'!O6*СПРАВОЧНИК!$I$7+'ПЛАН ЧЕРН ПОДЗЕМ'!P6*СПРАВОЧНИК!$J$7+'ПЛАН ЧЕРН ПОДЗЕМ'!Q6*СПРАВОЧНИК!$H$8+'ПЛАН ЧЕРН ПОДЗЕМ'!R6*СПРАВОЧНИК!$I$8+'ПЛАН ЧЕРН ПОДЗЕМ'!S6*СПРАВОЧНИК!$J$8</f>
        <v/>
      </c>
      <c r="J15" s="31">
        <f>('ФАКТ ЧЕРН ПОДЗЕМ'!B6)*СПРАВОЧНИК!$H$3+('ФАКТ ЧЕРН ПОДЗЕМ'!C6)*СПРАВОЧНИК!$I$3+('ФАКТ ЧЕРН ПОДЗЕМ'!D6)*СПРАВОЧНИК!$J$3+('ФАКТ ЧЕРН ПОДЗЕМ'!E6)*СПРАВОЧНИК!$H$4+('ФАКТ ЧЕРН ПОДЗЕМ'!F6)*СПРАВОЧНИК!$I$4+('ФАКТ ЧЕРН ПОДЗЕМ'!G6)*СПРАВОЧНИК!$J$4+('ФАКТ ЧЕРН ПОДЗЕМ'!H6)*СПРАВОЧНИК!$H$5+('ФАКТ ЧЕРН ПОДЗЕМ'!I6)*СПРАВОЧНИК!$I$5+('ФАКТ ЧЕРН ПОДЗЕМ'!J6)*СПРАВОЧНИК!$J$5+('ФАКТ ЧЕРН ПОДЗЕМ'!K6)*СПРАВОЧНИК!$H$6+('ФАКТ ЧЕРН ПОДЗЕМ'!L6)*СПРАВОЧНИК!$I$6+('ФАКТ ЧЕРН ПОДЗЕМ'!M6)*СПРАВОЧНИК!$J$6+('ФАКТ ЧЕРН ПОДЗЕМ'!N6)*СПРАВОЧНИК!$H$7+('ФАКТ ЧЕРН ПОДЗЕМ'!O6)*СПРАВОЧНИК!$I$7+('ФАКТ ЧЕРН ПОДЗЕМ'!P6)*СПРАВОЧНИК!$J$7+('ФАКТ ЧЕРН ПОДЗЕМ'!Q6)*СПРАВОЧНИК!$H$8+('ФАКТ ЧЕРН ПОДЗЕМ'!R6)*СПРАВОЧНИК!$I$8+('ФАКТ ЧЕРН ПОДЗЕМ'!S6)*СПРАВОЧНИК!$J$8</f>
        <v/>
      </c>
      <c r="K15" s="34" t="n"/>
      <c r="N15" s="152">
        <f>N14+7</f>
        <v/>
      </c>
      <c r="O15" s="17">
        <f>'ПЛАН ЧИСТ ПОДЗЕМ'!B6*СПРАВОЧНИК!$L$3+'ПЛАН ЧИСТ ПОДЗЕМ'!C6*СПРАВОЧНИК!$M$3+'ПЛАН ЧИСТ ПОДЗЕМ'!D6*СПРАВОЧНИК!$N$3+'ПЛАН ЧИСТ ПОДЗЕМ'!E6*СПРАВОЧНИК!$O$3+'ПЛАН ЧИСТ ПОДЗЕМ'!F6*СПРАВОЧНИК!$P$3+'ПЛАН ЧИСТ ПОДЗЕМ'!G6*СПРАВОЧНИК!$L$4+'ПЛАН ЧИСТ ПОДЗЕМ'!H6*СПРАВОЧНИК!$M$4+'ПЛАН ЧИСТ ПОДЗЕМ'!I6*СПРАВОЧНИК!$N$4+'ПЛАН ЧИСТ ПОДЗЕМ'!J6*СПРАВОЧНИК!$O$4+'ПЛАН ЧИСТ ПОДЗЕМ'!K6*СПРАВОЧНИК!$P$4+'ПЛАН ЧИСТ ПОДЗЕМ'!L6*СПРАВОЧНИК!$L$5+'ПЛАН ЧИСТ ПОДЗЕМ'!M6*СПРАВОЧНИК!$M$5+'ПЛАН ЧИСТ ПОДЗЕМ'!N6*СПРАВОЧНИК!$N$5+'ПЛАН ЧИСТ ПОДЗЕМ'!O6*СПРАВОЧНИК!$O$5+'ПЛАН ЧИСТ ПОДЗЕМ'!P6*СПРАВОЧНИК!$P$5+'ПЛАН ЧИСТ ПОДЗЕМ'!Q6*СПРАВОЧНИК!$L$6+'ПЛАН ЧИСТ ПОДЗЕМ'!R6*СПРАВОЧНИК!$M$6+'ПЛАН ЧИСТ ПОДЗЕМ'!S6*СПРАВОЧНИК!$N$6+'ПЛАН ЧИСТ ПОДЗЕМ'!T6*СПРАВОЧНИК!$O$6+'ПЛАН ЧИСТ ПОДЗЕМ'!U6*СПРАВОЧНИК!$P$6+'ПЛАН ЧИСТ ПОДЗЕМ'!V6*СПРАВОЧНИК!$L$7+'ПЛАН ЧИСТ ПОДЗЕМ'!W6*СПРАВОЧНИК!$M$7+'ПЛАН ЧИСТ ПОДЗЕМ'!X6*СПРАВОЧНИК!$N$7+'ПЛАН ЧИСТ ПОДЗЕМ'!Y6*СПРАВОЧНИК!$O$7+'ПЛАН ЧИСТ ПОДЗЕМ'!Z6*СПРАВОЧНИК!$P$7+'ПЛАН ЧИСТ ПОДЗЕМ'!AA6*СПРАВОЧНИК!$L$8+'ПЛАН ЧИСТ ПОДЗЕМ'!AB6*СПРАВОЧНИК!$M$8+'ПЛАН ЧИСТ ПОДЗЕМ'!AC6*СПРАВОЧНИК!$N$8+'ПЛАН ЧИСТ ПОДЗЕМ'!AD6*СПРАВОЧНИК!$O$8+'ПЛАН ЧИСТ ПОДЗЕМ'!AE6*СПРАВОЧНИК!$P$8</f>
        <v/>
      </c>
      <c r="P15" s="31">
        <f>('ФАКТ ЧИСТ ПОДЗЕМ'!B6)*СПРАВОЧНИК!$L$3+('ФАКТ ЧИСТ ПОДЗЕМ'!C6)*СПРАВОЧНИК!$M$3+('ФАКТ ЧИСТ ПОДЗЕМ'!D6)*СПРАВОЧНИК!$N$3+('ФАКТ ЧИСТ ПОДЗЕМ'!E6)*СПРАВОЧНИК!$O$3+('ФАКТ ЧИСТ ПОДЗЕМ'!F6)*СПРАВОЧНИК!$P$3+('ФАКТ ЧИСТ ПОДЗЕМ'!G6)*СПРАВОЧНИК!$L$4+('ФАКТ ЧИСТ ПОДЗЕМ'!H6)*СПРАВОЧНИК!$M$4+('ФАКТ ЧИСТ ПОДЗЕМ'!I6)*СПРАВОЧНИК!$N$4+('ФАКТ ЧИСТ ПОДЗЕМ'!J6)*СПРАВОЧНИК!$O$4+('ФАКТ ЧИСТ ПОДЗЕМ'!K6)*СПРАВОЧНИК!$P$4+('ФАКТ ЧИСТ ПОДЗЕМ'!L6)*СПРАВОЧНИК!$L$5+('ФАКТ ЧИСТ ПОДЗЕМ'!M6)*СПРАВОЧНИК!$M$5+('ФАКТ ЧИСТ ПОДЗЕМ'!N6)*СПРАВОЧНИК!$N$5+('ФАКТ ЧИСТ ПОДЗЕМ'!O6)*СПРАВОЧНИК!$O$5+('ФАКТ ЧИСТ ПОДЗЕМ'!P6)*СПРАВОЧНИК!$P$5+('ФАКТ ЧИСТ ПОДЗЕМ'!Q6)*СПРАВОЧНИК!$L$6+('ФАКТ ЧИСТ ПОДЗЕМ'!R6)*СПРАВОЧНИК!$M$6+('ФАКТ ЧИСТ ПОДЗЕМ'!S6)*СПРАВОЧНИК!$N$6+('ФАКТ ЧИСТ ПОДЗЕМ'!T6)*СПРАВОЧНИК!$O$6+('ФАКТ ЧИСТ ПОДЗЕМ'!U6)*СПРАВОЧНИК!$P$6+('ФАКТ ЧИСТ ПОДЗЕМ'!V6)*СПРАВОЧНИК!$L$7+('ФАКТ ЧИСТ ПОДЗЕМ'!W6)*СПРАВОЧНИК!$M$7+('ФАКТ ЧИСТ ПОДЗЕМ'!X6)*СПРАВОЧНИК!$N$7+('ФАКТ ЧИСТ ПОДЗЕМ'!Y6)*СПРАВОЧНИК!$O$7+('ФАКТ ЧИСТ ПОДЗЕМ'!Z6)*СПРАВОЧНИК!$P$7+('ФАКТ ЧИСТ ПОДЗЕМ'!AA6)*СПРАВОЧНИК!$L$8+('ФАКТ ЧИСТ ПОДЗЕМ'!AB6)*СПРАВОЧНИК!$M$8+('ФАКТ ЧИСТ ПОДЗЕМ'!AC6)*СПРАВОЧНИК!$N$8+('ФАКТ ЧИСТ ПОДЗЕМ'!AD6)*СПРАВОЧНИК!$O$8+('ФАКТ ЧИСТ ПОДЗЕМ'!AE6)*СПРАВОЧНИК!$P$8</f>
        <v/>
      </c>
      <c r="Q15" s="34" t="n"/>
      <c r="T15" s="152">
        <f>T14+7</f>
        <v/>
      </c>
      <c r="U15" s="17">
        <f>СПРАВОЧНИК!$E$9*('ПЛАН ЧЕРН К1'!B6*СПРАВОЧНИК!$H$9+'ПЛАН ЧЕРН К1'!C6*СПРАВОЧНИК!$I$9+'ПЛАН ЧЕРН К1'!D6*СПРАВОЧНИК!$J$9)+СПРАВОЧНИК!$F$9*('ПЛАН ЧИСТ К1'!B6*СПРАВОЧНИК!$L$9+'ПЛАН ЧИСТ К1'!C6*СПРАВОЧНИК!$M$9+'ПЛАН ЧИСТ К1'!D6*СПРАВОЧНИК!$N$9+'ПЛАН ЧИСТ К1'!E6*СПРАВОЧНИК!$O$9+'ПЛАН ЧИСТ К1'!F6*СПРАВОЧНИК!$P$9)+СПРАВОЧНИК!$E$10*('ПЛАН ЧЕРН К1'!E6*СПРАВОЧНИК!$H$10+'ПЛАН ЧЕРН К1'!F6*СПРАВОЧНИК!$I$10+'ПЛАН ЧЕРН К1'!G6*СПРАВОЧНИК!$J$10)+СПРАВОЧНИК!$F$10*('ПЛАН ЧИСТ К1'!G6*СПРАВОЧНИК!$L$10+'ПЛАН ЧИСТ К1'!H6*СПРАВОЧНИК!$M$10+'ПЛАН ЧИСТ К1'!I6*СПРАВОЧНИК!$N$10+'ПЛАН ЧИСТ К1'!J6*СПРАВОЧНИК!$O$10+'ПЛАН ЧИСТ К1'!K6*СПРАВОЧНИК!$P$10)+СПРАВОЧНИК!$E$11*('ПЛАН ЧЕРН К1'!H6*СПРАВОЧНИК!$H$11+'ПЛАН ЧЕРН К1'!I6*СПРАВОЧНИК!$I$11+'ПЛАН ЧЕРН К1'!J6*СПРАВОЧНИК!$J$11)+СПРАВОЧНИК!$F$11*('ПЛАН ЧИСТ К1'!L6*СПРАВОЧНИК!$L$11+'ПЛАН ЧИСТ К1'!M6*СПРАВОЧНИК!$M$11+'ПЛАН ЧИСТ К1'!N6*СПРАВОЧНИК!$N$11+'ПЛАН ЧИСТ К1'!O6*СПРАВОЧНИК!$O$11+'ПЛАН ЧИСТ К1'!P6*СПРАВОЧНИК!$P$11)+СПРАВОЧНИК!$E$12*('ПЛАН ЧЕРН К1'!K6*СПРАВОЧНИК!$H$12+'ПЛАН ЧЕРН К1'!L6*СПРАВОЧНИК!$I$12+'ПЛАН ЧЕРН К1'!M6*СПРАВОЧНИК!$J$12)+СПРАВОЧНИК!$F$12*('ПЛАН ЧИСТ К1'!Q6*СПРАВОЧНИК!$L$12+'ПЛАН ЧИСТ К1'!R6*СПРАВОЧНИК!$M$12+'ПЛАН ЧИСТ К1'!S6*СПРАВОЧНИК!$N$12+'ПЛАН ЧИСТ К1'!T6*СПРАВОЧНИК!$O$12+'ПЛАН ЧИСТ К1'!U6*СПРАВОЧНИК!$P$12)+СПРАВОЧНИК!$E$13*('ПЛАН ЧЕРН К1'!N6*СПРАВОЧНИК!$H$13+'ПЛАН ЧЕРН К1'!O6*СПРАВОЧНИК!$I$13+'ПЛАН ЧЕРН К1'!P6*СПРАВОЧНИК!$J$13)+СПРАВОЧНИК!$F$13*('ПЛАН ЧИСТ К1'!V6*СПРАВОЧНИК!$L$13+'ПЛАН ЧИСТ К1'!W6*СПРАВОЧНИК!$M$13+'ПЛАН ЧИСТ К1'!X6*СПРАВОЧНИК!$N$13+'ПЛАН ЧИСТ К1'!Y6*СПРАВОЧНИК!$O$13+'ПЛАН ЧИСТ К1'!Z6*СПРАВОЧНИК!$P$13)+СПРАВОЧНИК!$E$14*('ПЛАН ЧЕРН К1'!Q6*СПРАВОЧНИК!$H$14+'ПЛАН ЧЕРН К1'!R6*СПРАВОЧНИК!$I$14+'ПЛАН ЧЕРН К1'!S6*СПРАВОЧНИК!$J$14)+СПРАВОЧНИК!$F$14*('ПЛАН ЧИСТ К1'!AA6*СПРАВОЧНИК!$L$14+'ПЛАН ЧИСТ К1'!AB6*СПРАВОЧНИК!$M$14+'ПЛАН ЧИСТ К1'!AC6*СПРАВОЧНИК!$N$14+'ПЛАН ЧИСТ К1'!AD6*СПРАВОЧНИК!$O$14+'ПЛАН ЧИСТ К1'!AE6*СПРАВОЧНИК!$P$14)+СПРАВОЧНИК!$E$15*('ПЛАН ЧЕРН К1'!T6*СПРАВОЧНИК!$H$15+'ПЛАН ЧЕРН К1'!U6*СПРАВОЧНИК!$I$15+'ПЛАН ЧЕРН К1'!V6*СПРАВОЧНИК!$J$15)+СПРАВОЧНИК!$F$15*('ПЛАН ЧИСТ К1'!AF6*СПРАВОЧНИК!$L$15+'ПЛАН ЧИСТ К1'!AG6*СПРАВОЧНИК!$M$15+'ПЛАН ЧИСТ К1'!AH6*СПРАВОЧНИК!$N$15+'ПЛАН ЧИСТ К1'!AI6*СПРАВОЧНИК!$O$15+'ПЛАН ЧИСТ К1'!AJ6*СПРАВОЧНИК!$P$15)</f>
        <v/>
      </c>
      <c r="V15" s="31">
        <f>СПРАВОЧНИК!$E$9*('ФАКТ ЧЕРН К1'!B6*СПРАВОЧНИК!$H$9+'ФАКТ ЧЕРН К1'!C6*СПРАВОЧНИК!$I$9+'ФАКТ ЧЕРН К1'!D6*СПРАВОЧНИК!$J$9)+СПРАВОЧНИК!$F$9*('ФАКТ ЧИСТ К1'!B6*СПРАВОЧНИК!$L$9+'ФАКТ ЧИСТ К1'!C6*СПРАВОЧНИК!$M$9+'ФАКТ ЧИСТ К1'!D6*СПРАВОЧНИК!$N$9+'ФАКТ ЧИСТ К1'!E6*СПРАВОЧНИК!$O$9+'ФАКТ ЧИСТ К1'!F6*СПРАВОЧНИК!$P$9)+СПРАВОЧНИК!$E$10*('ФАКТ ЧЕРН К1'!E6*СПРАВОЧНИК!$H$10+'ФАКТ ЧЕРН К1'!F6*СПРАВОЧНИК!$I$10+'ФАКТ ЧЕРН К1'!G6*СПРАВОЧНИК!$J$10)+СПРАВОЧНИК!$F$10*('ФАКТ ЧИСТ К1'!G6*СПРАВОЧНИК!$L$10+'ФАКТ ЧИСТ К1'!H6*СПРАВОЧНИК!$M$10+'ФАКТ ЧИСТ К1'!I6*СПРАВОЧНИК!$N$10+'ФАКТ ЧИСТ К1'!J6*СПРАВОЧНИК!$O$10+'ФАКТ ЧИСТ К1'!K6*СПРАВОЧНИК!$P$10)+СПРАВОЧНИК!$E$11*('ФАКТ ЧЕРН К1'!H6*СПРАВОЧНИК!$H$11+'ФАКТ ЧЕРН К1'!I6*СПРАВОЧНИК!$I$11+'ФАКТ ЧЕРН К1'!J6*СПРАВОЧНИК!$J$11)+СПРАВОЧНИК!$F$11*('ФАКТ ЧИСТ К1'!L6*СПРАВОЧНИК!$L$11+'ФАКТ ЧИСТ К1'!M6*СПРАВОЧНИК!$M$11+'ФАКТ ЧИСТ К1'!N6*СПРАВОЧНИК!$N$11+'ФАКТ ЧИСТ К1'!O6*СПРАВОЧНИК!$O$11+'ФАКТ ЧИСТ К1'!P6*СПРАВОЧНИК!$P$11)+СПРАВОЧНИК!$E$12*('ФАКТ ЧЕРН К1'!K6*СПРАВОЧНИК!$H$12+'ФАКТ ЧЕРН К1'!L6*СПРАВОЧНИК!$I$12+'ФАКТ ЧЕРН К1'!M6*СПРАВОЧНИК!$J$12)+СПРАВОЧНИК!$F$12*('ФАКТ ЧИСТ К1'!Q6*СПРАВОЧНИК!$L$12+'ФАКТ ЧИСТ К1'!R6*СПРАВОЧНИК!$M$12+'ФАКТ ЧИСТ К1'!S6*СПРАВОЧНИК!$N$12+'ФАКТ ЧИСТ К1'!T6*СПРАВОЧНИК!$O$12+'ФАКТ ЧИСТ К1'!U6*СПРАВОЧНИК!$P$12)+СПРАВОЧНИК!$E$13*('ФАКТ ЧЕРН К1'!N6*СПРАВОЧНИК!$H$13+'ФАКТ ЧЕРН К1'!O6*СПРАВОЧНИК!$I$13+'ФАКТ ЧЕРН К1'!P6*СПРАВОЧНИК!$J$13)+СПРАВОЧНИК!$F$13*('ФАКТ ЧИСТ К1'!V6*СПРАВОЧНИК!$L$13+'ФАКТ ЧИСТ К1'!W6*СПРАВОЧНИК!$M$13+'ФАКТ ЧИСТ К1'!X6*СПРАВОЧНИК!$N$13+'ФАКТ ЧИСТ К1'!Y6*СПРАВОЧНИК!$O$13+'ФАКТ ЧИСТ К1'!Z6*СПРАВОЧНИК!$P$13)+СПРАВОЧНИК!$E$14*('ФАКТ ЧЕРН К1'!Q6*СПРАВОЧНИК!$H$14+'ФАКТ ЧЕРН К1'!R6*СПРАВОЧНИК!$I$14+'ФАКТ ЧЕРН К1'!S6*СПРАВОЧНИК!$J$14)+СПРАВОЧНИК!$F$14*('ФАКТ ЧИСТ К1'!AA6*СПРАВОЧНИК!$L$14+'ФАКТ ЧИСТ К1'!AB6*СПРАВОЧНИК!$M$14+'ФАКТ ЧИСТ К1'!AC6*СПРАВОЧНИК!$N$14+'ФАКТ ЧИСТ К1'!AD6*СПРАВОЧНИК!$O$14+'ФАКТ ЧИСТ К1'!AE6*СПРАВОЧНИК!$P$14)+СПРАВОЧНИК!$E$15*('ФАКТ ЧЕРН К1'!T6*СПРАВОЧНИК!$H$15+'ФАКТ ЧЕРН К1'!U6*СПРАВОЧНИК!$I$15+'ФАКТ ЧЕРН К1'!V6*СПРАВОЧНИК!$J$15)+СПРАВОЧНИК!$F$15*('ФАКТ ЧИСТ К1'!AF6*СПРАВОЧНИК!$L$15+'ФАКТ ЧИСТ К1'!AG6*СПРАВОЧНИК!$M$15+'ФАКТ ЧИСТ К1'!AH6*СПРАВОЧНИК!$N$15+'ФАКТ ЧИСТ К1'!AI6*СПРАВОЧНИК!$O$15+'ФАКТ ЧИСТ К1'!AJ6*СПРАВОЧНИК!$P$15)</f>
        <v/>
      </c>
      <c r="W15" s="34" t="n"/>
      <c r="Z15" s="152">
        <f>Z14+7</f>
        <v/>
      </c>
      <c r="AA15" s="17">
        <f>'ПЛАН ЧЕРН К1'!B6*СПРАВОЧНИК!$H$9+'ПЛАН ЧЕРН К1'!C6*СПРАВОЧНИК!$I$9+'ПЛАН ЧЕРН К1'!D6*СПРАВОЧНИК!$J$9+'ПЛАН ЧЕРН К1'!E6*СПРАВОЧНИК!$H$10+'ПЛАН ЧЕРН К1'!F6*СПРАВОЧНИК!$I$10+'ПЛАН ЧЕРН К1'!G6*СПРАВОЧНИК!$J$10+'ПЛАН ЧЕРН К1'!H6*СПРАВОЧНИК!$H$11+'ПЛАН ЧЕРН К1'!I6*СПРАВОЧНИК!$I$11+'ПЛАН ЧЕРН К1'!J6*СПРАВОЧНИК!$J$11+'ПЛАН ЧЕРН К1'!K6*СПРАВОЧНИК!$H$12+'ПЛАН ЧЕРН К1'!L6*СПРАВОЧНИК!$I$12+'ПЛАН ЧЕРН К1'!M6*СПРАВОЧНИК!$J$12+'ПЛАН ЧЕРН К1'!N6*СПРАВОЧНИК!$H$13+'ПЛАН ЧЕРН К1'!O6*СПРАВОЧНИК!$I$13+'ПЛАН ЧЕРН К1'!P6*СПРАВОЧНИК!$J$13+'ПЛАН ЧЕРН К1'!Q6*СПРАВОЧНИК!$H$14+'ПЛАН ЧЕРН К1'!R6*СПРАВОЧНИК!$I$14+'ПЛАН ЧЕРН К1'!S6*СПРАВОЧНИК!$J$14+'ПЛАН ЧЕРН К1'!T6*СПРАВОЧНИК!$H$15+'ПЛАН ЧЕРН К1'!U6*СПРАВОЧНИК!$I$15+'ПЛАН ЧЕРН К1'!V6*СПРАВОЧНИК!$J$15</f>
        <v/>
      </c>
      <c r="AB15" s="31">
        <f>('ФАКТ ЧЕРН К1'!B6)*СПРАВОЧНИК!$H$9+('ФАКТ ЧЕРН К1'!C6)*СПРАВОЧНИК!$I$9+('ФАКТ ЧЕРН К1'!D6)*СПРАВОЧНИК!$J$9+('ФАКТ ЧЕРН К1'!E6)*СПРАВОЧНИК!$H$10+('ФАКТ ЧЕРН К1'!F6)*СПРАВОЧНИК!$I$10+('ФАКТ ЧЕРН К1'!G6)*СПРАВОЧНИК!$J$10+('ФАКТ ЧЕРН К1'!H6)*СПРАВОЧНИК!$H$11+('ФАКТ ЧЕРН К1'!I6)*СПРАВОЧНИК!$I$11+('ФАКТ ЧЕРН К1'!J6)*СПРАВОЧНИК!$J$11+('ФАКТ ЧЕРН К1'!K6)*СПРАВОЧНИК!$H$12+('ФАКТ ЧЕРН К1'!L6)*СПРАВОЧНИК!$I$12+('ФАКТ ЧЕРН К1'!M6)*СПРАВОЧНИК!$J$12+('ФАКТ ЧЕРН К1'!N6)*СПРАВОЧНИК!$H$13+('ФАКТ ЧЕРН К1'!O6)*СПРАВОЧНИК!$I$13+('ФАКТ ЧЕРН К1'!P6)*СПРАВОЧНИК!$J$13+('ФАКТ ЧЕРН К1'!Q6)*СПРАВОЧНИК!$H$14+('ФАКТ ЧЕРН К1'!R6)*СПРАВОЧНИК!$I$14+('ФАКТ ЧЕРН К1'!S6)*СПРАВОЧНИК!$J$14+('ФАКТ ЧЕРН К1'!T6)*СПРАВОЧНИК!$H$15+('ФАКТ ЧЕРН К1'!U6)*СПРАВОЧНИК!$I$15+('ФАКТ ЧЕРН К1'!V6)*СПРАВОЧНИК!$J$15</f>
        <v/>
      </c>
      <c r="AC15" s="34" t="n"/>
      <c r="AF15" s="152">
        <f>AF14+7</f>
        <v/>
      </c>
      <c r="AG15" s="17">
        <f>'ПЛАН ЧИСТ К1'!B6*СПРАВОЧНИК!$L$9+'ПЛАН ЧИСТ К1'!C6*СПРАВОЧНИК!$M$9+'ПЛАН ЧИСТ К1'!D6*СПРАВОЧНИК!$N$9+'ПЛАН ЧИСТ К1'!E6*СПРАВОЧНИК!$O$9+'ПЛАН ЧИСТ К1'!F6*СПРАВОЧНИК!$P$9+'ПЛАН ЧИСТ К1'!G6*СПРАВОЧНИК!$L$10+'ПЛАН ЧИСТ К1'!H6*СПРАВОЧНИК!$M$10+'ПЛАН ЧИСТ К1'!I6*СПРАВОЧНИК!$N$10+'ПЛАН ЧИСТ К1'!J6*СПРАВОЧНИК!$O$10+'ПЛАН ЧИСТ К1'!K6*СПРАВОЧНИК!$P$10+'ПЛАН ЧИСТ К1'!L6*СПРАВОЧНИК!$L$11+'ПЛАН ЧИСТ К1'!M6*СПРАВОЧНИК!$M$11+'ПЛАН ЧИСТ К1'!N6*СПРАВОЧНИК!$N$11+'ПЛАН ЧИСТ К1'!O6*СПРАВОЧНИК!$O$11+'ПЛАН ЧИСТ К1'!P6*СПРАВОЧНИК!$P$11+'ПЛАН ЧИСТ К1'!Q6*СПРАВОЧНИК!$L$12+'ПЛАН ЧИСТ К1'!R6*СПРАВОЧНИК!$M$12+'ПЛАН ЧИСТ К1'!S6*СПРАВОЧНИК!$N$12+'ПЛАН ЧИСТ К1'!T6*СПРАВОЧНИК!$O$12+'ПЛАН ЧИСТ К1'!U6*СПРАВОЧНИК!$P$12+'ПЛАН ЧИСТ К1'!V6*СПРАВОЧНИК!$L$13+'ПЛАН ЧИСТ К1'!W6*СПРАВОЧНИК!$M$13+'ПЛАН ЧИСТ К1'!X6*СПРАВОЧНИК!$N$13+'ПЛАН ЧИСТ К1'!Y6*СПРАВОЧНИК!$O$13+'ПЛАН ЧИСТ К1'!Z6*СПРАВОЧНИК!$P$13+'ПЛАН ЧИСТ К1'!AA6*СПРАВОЧНИК!$L$14+'ПЛАН ЧИСТ К1'!AB6*СПРАВОЧНИК!$M$14+'ПЛАН ЧИСТ К1'!AC6*СПРАВОЧНИК!$N$14+'ПЛАН ЧИСТ К1'!AD6*СПРАВОЧНИК!$O$14+'ПЛАН ЧИСТ К1'!AE6*СПРАВОЧНИК!$P$14+'ПЛАН ЧИСТ К1'!AF6*СПРАВОЧНИК!$L$15+'ПЛАН ЧИСТ К1'!AG6*СПРАВОЧНИК!$M$15+'ПЛАН ЧИСТ К1'!AH6*СПРАВОЧНИК!$N$15+'ПЛАН ЧИСТ К1'!AI6*СПРАВОЧНИК!$O$15+'ПЛАН ЧИСТ К1'!AJ6*СПРАВОЧНИК!$P$15</f>
        <v/>
      </c>
      <c r="AH15" s="31">
        <f>('ФАКТ ЧИСТ К1'!B6)*СПРАВОЧНИК!$L$9+('ФАКТ ЧИСТ К1'!C6)*СПРАВОЧНИК!$M$9+('ФАКТ ЧИСТ К1'!D6)*СПРАВОЧНИК!$N$9+('ФАКТ ЧИСТ К1'!E6)*СПРАВОЧНИК!$O$9+('ФАКТ ЧИСТ К1'!F6)*СПРАВОЧНИК!$P$9+('ФАКТ ЧИСТ К1'!G6)*СПРАВОЧНИК!$L$10+('ФАКТ ЧИСТ К1'!H6)*СПРАВОЧНИК!$M$10+('ФАКТ ЧИСТ К1'!I6)*СПРАВОЧНИК!$N$10+('ФАКТ ЧИСТ К1'!J6)*СПРАВОЧНИК!$O$10+('ФАКТ ЧИСТ К1'!K6)*СПРАВОЧНИК!$P$10+('ФАКТ ЧИСТ К1'!L6)*СПРАВОЧНИК!$L$11+('ФАКТ ЧИСТ К1'!M6)*СПРАВОЧНИК!$M$11+('ФАКТ ЧИСТ К1'!N6)*СПРАВОЧНИК!$N$11+('ФАКТ ЧИСТ К1'!O6)*СПРАВОЧНИК!$O$11+('ФАКТ ЧИСТ К1'!P6)*СПРАВОЧНИК!$P$11+('ФАКТ ЧИСТ К1'!Q6)*СПРАВОЧНИК!$L$12+('ФАКТ ЧИСТ К1'!R6)*СПРАВОЧНИК!$M$12+('ФАКТ ЧИСТ К1'!S6)*СПРАВОЧНИК!$N$12+('ФАКТ ЧИСТ К1'!T6)*СПРАВОЧНИК!$O$12+('ФАКТ ЧИСТ К1'!U6)*СПРАВОЧНИК!$P$12+('ФАКТ ЧИСТ К1'!V6)*СПРАВОЧНИК!$L$13+('ФАКТ ЧИСТ К1'!W6)*СПРАВОЧНИК!$M$13+('ФАКТ ЧИСТ К1'!X6)*СПРАВОЧНИК!$N$13+('ФАКТ ЧИСТ К1'!Y6)*СПРАВОЧНИК!$O$13+('ФАКТ ЧИСТ К1'!Z6)*СПРАВОЧНИК!$P$13+('ФАКТ ЧИСТ К1'!AA6)*СПРАВОЧНИК!$L$14+('ФАКТ ЧИСТ К1'!AB6)*СПРАВОЧНИК!$M$14+('ФАКТ ЧИСТ К1'!AC6)*СПРАВОЧНИК!$N$14+('ФАКТ ЧИСТ К1'!AD6)*СПРАВОЧНИК!$O$14+('ФАКТ ЧИСТ К1'!AE6)*СПРАВОЧНИК!$P$14+('ФАКТ ЧИСТ К1'!AF6)*СПРАВОЧНИК!$L$15+('ФАКТ ЧИСТ К1'!AG6)*СПРАВОЧНИК!$M$15+('ФАКТ ЧИСТ К1'!AH6)*СПРАВОЧНИК!$N$15+('ФАКТ ЧИСТ К1'!AI6)*СПРАВОЧНИК!$O$15+('ФАКТ ЧИСТ К1'!AJ6)*СПРАВОЧНИК!$P$15</f>
        <v/>
      </c>
      <c r="AI15" s="34" t="n"/>
      <c r="AL15" s="152">
        <f>AL14+7</f>
        <v/>
      </c>
      <c r="AM15" s="17">
        <f>СПРАВОЧНИК!$E$9*('ПЛАН ЧЕРН К2'!B6*СПРАВОЧНИК!$H$9+'ПЛАН ЧЕРН К2'!C6*СПРАВОЧНИК!$I$9+'ПЛАН ЧЕРН К2'!D6*СПРАВОЧНИК!$J$9)+СПРАВОЧНИК!$F$9*('ПЛАН ЧИСТ К2'!B6*СПРАВОЧНИК!$L$9+'ПЛАН ЧИСТ К2'!C6*СПРАВОЧНИК!$M$9+'ПЛАН ЧИСТ К2'!D6*СПРАВОЧНИК!$N$9+'ПЛАН ЧИСТ К2'!E6*СПРАВОЧНИК!$O$9+'ПЛАН ЧИСТ К2'!F6*СПРАВОЧНИК!$P$9)+СПРАВОЧНИК!$E$10*('ПЛАН ЧЕРН К2'!E6*СПРАВОЧНИК!$H$10+'ПЛАН ЧЕРН К2'!F6*СПРАВОЧНИК!$I$10+'ПЛАН ЧЕРН К2'!G6*СПРАВОЧНИК!$J$10)+СПРАВОЧНИК!$F$10*('ПЛАН ЧИСТ К2'!G6*СПРАВОЧНИК!$L$10+'ПЛАН ЧИСТ К2'!H6*СПРАВОЧНИК!$M$10+'ПЛАН ЧИСТ К2'!I6*СПРАВОЧНИК!$N$10+'ПЛАН ЧИСТ К2'!J6*СПРАВОЧНИК!$O$10+'ПЛАН ЧИСТ К2'!K6*СПРАВОЧНИК!$P$10)+СПРАВОЧНИК!$E$11*('ПЛАН ЧЕРН К2'!H6*СПРАВОЧНИК!$H$11+'ПЛАН ЧЕРН К2'!I6*СПРАВОЧНИК!$I$11+'ПЛАН ЧЕРН К2'!J6*СПРАВОЧНИК!$J$11)+СПРАВОЧНИК!$F$11*('ПЛАН ЧИСТ К2'!L6*СПРАВОЧНИК!$L$11+'ПЛАН ЧИСТ К2'!M6*СПРАВОЧНИК!$M$11+'ПЛАН ЧИСТ К2'!N6*СПРАВОЧНИК!$N$11+'ПЛАН ЧИСТ К2'!O6*СПРАВОЧНИК!$O$11+'ПЛАН ЧИСТ К2'!P6*СПРАВОЧНИК!$P$11)+СПРАВОЧНИК!$E$12*('ПЛАН ЧЕРН К2'!K6*СПРАВОЧНИК!$H$12+'ПЛАН ЧЕРН К2'!L6*СПРАВОЧНИК!$I$12+'ПЛАН ЧЕРН К2'!M6*СПРАВОЧНИК!$J$12)+СПРАВОЧНИК!$F$12*('ПЛАН ЧИСТ К2'!Q6*СПРАВОЧНИК!$L$12+'ПЛАН ЧИСТ К2'!R6*СПРАВОЧНИК!$M$12+'ПЛАН ЧИСТ К2'!S6*СПРАВОЧНИК!$N$12+'ПЛАН ЧИСТ К2'!T6*СПРАВОЧНИК!$O$12+'ПЛАН ЧИСТ К2'!U6*СПРАВОЧНИК!$P$12)+СПРАВОЧНИК!$E$13*('ПЛАН ЧЕРН К2'!N6*СПРАВОЧНИК!$H$13+'ПЛАН ЧЕРН К2'!O6*СПРАВОЧНИК!$I$13+'ПЛАН ЧЕРН К2'!P6*СПРАВОЧНИК!$J$13)+СПРАВОЧНИК!$F$13*('ПЛАН ЧИСТ К2'!V6*СПРАВОЧНИК!$L$13+'ПЛАН ЧИСТ К2'!W6*СПРАВОЧНИК!$M$13+'ПЛАН ЧИСТ К2'!X6*СПРАВОЧНИК!$N$13+'ПЛАН ЧИСТ К2'!Y6*СПРАВОЧНИК!$O$13+'ПЛАН ЧИСТ К2'!Z6*СПРАВОЧНИК!$P$13)+СПРАВОЧНИК!$E$14*('ПЛАН ЧЕРН К2'!Q6*СПРАВОЧНИК!$H$14+'ПЛАН ЧЕРН К2'!R6*СПРАВОЧНИК!$I$14+'ПЛАН ЧЕРН К2'!S6*СПРАВОЧНИК!$J$14)+СПРАВОЧНИК!$F$14*('ПЛАН ЧИСТ К2'!AA6*СПРАВОЧНИК!$L$14+'ПЛАН ЧИСТ К2'!AB6*СПРАВОЧНИК!$M$14+'ПЛАН ЧИСТ К2'!AC6*СПРАВОЧНИК!$N$14+'ПЛАН ЧИСТ К2'!AD6*СПРАВОЧНИК!$O$14+'ПЛАН ЧИСТ К2'!AE6*СПРАВОЧНИК!$P$14)+СПРАВОЧНИК!$E$15*('ПЛАН ЧЕРН К2'!T6*СПРАВОЧНИК!$H$15+'ПЛАН ЧЕРН К2'!U6*СПРАВОЧНИК!$I$15+'ПЛАН ЧЕРН К2'!V6*СПРАВОЧНИК!$J$15)+СПРАВОЧНИК!$F$15*('ПЛАН ЧИСТ К2'!AF6*СПРАВОЧНИК!$L$15+'ПЛАН ЧИСТ К2'!AG6*СПРАВОЧНИК!$M$15+'ПЛАН ЧИСТ К2'!AH6*СПРАВОЧНИК!$N$15+'ПЛАН ЧИСТ К2'!AI6*СПРАВОЧНИК!$O$15+'ПЛАН ЧИСТ К2'!AJ6*СПРАВОЧНИК!$P$15)</f>
        <v/>
      </c>
      <c r="AN15" s="31">
        <f>СПРАВОЧНИК!$E$9*('ФАКТ ЧЕРН К2'!B6*СПРАВОЧНИК!$H$9+'ФАКТ ЧЕРН К2'!C6*СПРАВОЧНИК!$I$9+'ФАКТ ЧЕРН К2'!D6*СПРАВОЧНИК!$J$9)+СПРАВОЧНИК!$F$9*('ФАКТ ЧИСТ К2'!B6*СПРАВОЧНИК!$L$9+'ФАКТ ЧИСТ К2'!C6*СПРАВОЧНИК!$M$9+'ФАКТ ЧИСТ К2'!D6*СПРАВОЧНИК!$N$9+'ФАКТ ЧИСТ К2'!E6*СПРАВОЧНИК!$O$9+'ФАКТ ЧИСТ К2'!F6*СПРАВОЧНИК!$P$9)+СПРАВОЧНИК!$E$10*('ФАКТ ЧЕРН К2'!E6*СПРАВОЧНИК!$H$10+'ФАКТ ЧЕРН К2'!F6*СПРАВОЧНИК!$I$10+'ФАКТ ЧЕРН К2'!G6*СПРАВОЧНИК!$J$10)+СПРАВОЧНИК!$F$10*('ФАКТ ЧИСТ К2'!G6*СПРАВОЧНИК!$L$10+'ФАКТ ЧИСТ К2'!H6*СПРАВОЧНИК!$M$10+'ФАКТ ЧИСТ К2'!I6*СПРАВОЧНИК!$N$10+'ФАКТ ЧИСТ К2'!J6*СПРАВОЧНИК!$O$10+'ФАКТ ЧИСТ К2'!K6*СПРАВОЧНИК!$P$10)+СПРАВОЧНИК!$E$11*('ФАКТ ЧЕРН К2'!H6*СПРАВОЧНИК!$H$11+'ФАКТ ЧЕРН К2'!I6*СПРАВОЧНИК!$I$11+'ФАКТ ЧЕРН К2'!J6*СПРАВОЧНИК!$J$11)+СПРАВОЧНИК!$F$11*('ФАКТ ЧИСТ К2'!L6*СПРАВОЧНИК!$L$11+'ФАКТ ЧИСТ К2'!M6*СПРАВОЧНИК!$M$11+'ФАКТ ЧИСТ К2'!N6*СПРАВОЧНИК!$N$11+'ФАКТ ЧИСТ К2'!O6*СПРАВОЧНИК!$O$11+'ФАКТ ЧИСТ К2'!P6*СПРАВОЧНИК!$P$11)+СПРАВОЧНИК!$E$12*('ФАКТ ЧЕРН К2'!K6*СПРАВОЧНИК!$H$12+'ФАКТ ЧЕРН К2'!L6*СПРАВОЧНИК!$I$12+'ФАКТ ЧЕРН К2'!M6*СПРАВОЧНИК!$J$12)+СПРАВОЧНИК!$F$12*('ФАКТ ЧИСТ К2'!Q6*СПРАВОЧНИК!$L$12+'ФАКТ ЧИСТ К2'!R6*СПРАВОЧНИК!$M$12+'ФАКТ ЧИСТ К2'!S6*СПРАВОЧНИК!$N$12+'ФАКТ ЧИСТ К2'!T6*СПРАВОЧНИК!$O$12+'ФАКТ ЧИСТ К2'!U6*СПРАВОЧНИК!$P$12)+СПРАВОЧНИК!$E$13*('ФАКТ ЧЕРН К2'!N6*СПРАВОЧНИК!$H$13+'ФАКТ ЧЕРН К2'!O6*СПРАВОЧНИК!$I$13+'ФАКТ ЧЕРН К2'!P6*СПРАВОЧНИК!$J$13)+СПРАВОЧНИК!$F$13*('ФАКТ ЧИСТ К2'!V6*СПРАВОЧНИК!$L$13+'ФАКТ ЧИСТ К2'!W6*СПРАВОЧНИК!$M$13+'ФАКТ ЧИСТ К2'!X6*СПРАВОЧНИК!$N$13+'ФАКТ ЧИСТ К2'!Y6*СПРАВОЧНИК!$O$13+'ФАКТ ЧИСТ К2'!Z6*СПРАВОЧНИК!$P$13)+СПРАВОЧНИК!$E$14*('ФАКТ ЧЕРН К2'!Q6*СПРАВОЧНИК!$H$14+'ФАКТ ЧЕРН К2'!R6*СПРАВОЧНИК!$I$14+'ФАКТ ЧЕРН К2'!S6*СПРАВОЧНИК!$J$14)+СПРАВОЧНИК!$F$14*('ФАКТ ЧИСТ К2'!AA6*СПРАВОЧНИК!$L$14+'ФАКТ ЧИСТ К2'!AB6*СПРАВОЧНИК!$M$14+'ФАКТ ЧИСТ К2'!AC6*СПРАВОЧНИК!$N$14+'ФАКТ ЧИСТ К2'!AD6*СПРАВОЧНИК!$O$14+'ФАКТ ЧИСТ К2'!AE6*СПРАВОЧНИК!$P$14)+СПРАВОЧНИК!$E$15*('ФАКТ ЧЕРН К2'!T6*СПРАВОЧНИК!$H$15+'ФАКТ ЧЕРН К2'!U6*СПРАВОЧНИК!$I$15+'ФАКТ ЧЕРН К2'!V6*СПРАВОЧНИК!$J$15)+СПРАВОЧНИК!$F$15*('ФАКТ ЧИСТ К2'!AF6*СПРАВОЧНИК!$L$15+'ФАКТ ЧИСТ К2'!AG6*СПРАВОЧНИК!$M$15+'ФАКТ ЧИСТ К2'!AH6*СПРАВОЧНИК!$N$15+'ФАКТ ЧИСТ К2'!AI6*СПРАВОЧНИК!$O$15+'ФАКТ ЧИСТ К2'!AJ6*СПРАВОЧНИК!$P$15)</f>
        <v/>
      </c>
      <c r="AO15" s="34" t="n"/>
      <c r="AR15" s="152">
        <f>AR14+7</f>
        <v/>
      </c>
      <c r="AS15" s="17">
        <f>'ПЛАН ЧЕРН К2'!B6*СПРАВОЧНИК!$H$9+'ПЛАН ЧЕРН К2'!C6*СПРАВОЧНИК!$I$9+'ПЛАН ЧЕРН К2'!D6*СПРАВОЧНИК!$J$9+'ПЛАН ЧЕРН К2'!E6*СПРАВОЧНИК!$H$10+'ПЛАН ЧЕРН К2'!F6*СПРАВОЧНИК!$I$10+'ПЛАН ЧЕРН К2'!G6*СПРАВОЧНИК!$J$10+'ПЛАН ЧЕРН К2'!H6*СПРАВОЧНИК!$H$11+'ПЛАН ЧЕРН К2'!I6*СПРАВОЧНИК!$I$11+'ПЛАН ЧЕРН К2'!J6*СПРАВОЧНИК!$J$11+'ПЛАН ЧЕРН К2'!K6*СПРАВОЧНИК!$H$12+'ПЛАН ЧЕРН К2'!L6*СПРАВОЧНИК!$I$12+'ПЛАН ЧЕРН К2'!M6*СПРАВОЧНИК!$J$12+'ПЛАН ЧЕРН К2'!N6*СПРАВОЧНИК!$H$13+'ПЛАН ЧЕРН К2'!O6*СПРАВОЧНИК!$I$13+'ПЛАН ЧЕРН К2'!P6*СПРАВОЧНИК!$J$13+'ПЛАН ЧЕРН К2'!Q6*СПРАВОЧНИК!$H$14+'ПЛАН ЧЕРН К2'!R6*СПРАВОЧНИК!$I$14+'ПЛАН ЧЕРН К2'!S6*СПРАВОЧНИК!$J$14+'ПЛАН ЧЕРН К2'!T6*СПРАВОЧНИК!$H$15+'ПЛАН ЧЕРН К2'!U6*СПРАВОЧНИК!$I$15+'ПЛАН ЧЕРН К2'!V6*СПРАВОЧНИК!$J$15</f>
        <v/>
      </c>
      <c r="AT15" s="31">
        <f>('ФАКТ ЧЕРН К2'!B6)*СПРАВОЧНИК!$H$9+('ФАКТ ЧЕРН К2'!C6)*СПРАВОЧНИК!$I$9+('ФАКТ ЧЕРН К2'!D6)*СПРАВОЧНИК!$J$9+('ФАКТ ЧЕРН К2'!E6)*СПРАВОЧНИК!$H$10+('ФАКТ ЧЕРН К2'!F6)*СПРАВОЧНИК!$I$10+('ФАКТ ЧЕРН К2'!G6)*СПРАВОЧНИК!$J$10+('ФАКТ ЧЕРН К2'!H6)*СПРАВОЧНИК!$H$11+('ФАКТ ЧЕРН К2'!I6)*СПРАВОЧНИК!$I$11+('ФАКТ ЧЕРН К2'!J6)*СПРАВОЧНИК!$J$11+('ФАКТ ЧЕРН К2'!K6)*СПРАВОЧНИК!$H$12+('ФАКТ ЧЕРН К2'!L6)*СПРАВОЧНИК!$I$12+('ФАКТ ЧЕРН К2'!M6)*СПРАВОЧНИК!$J$12+('ФАКТ ЧЕРН К2'!N6)*СПРАВОЧНИК!$H$13+('ФАКТ ЧЕРН К2'!O6)*СПРАВОЧНИК!$I$13+('ФАКТ ЧЕРН К2'!P6)*СПРАВОЧНИК!$J$13+('ФАКТ ЧЕРН К2'!Q6)*СПРАВОЧНИК!$H$14+('ФАКТ ЧЕРН К2'!R6)*СПРАВОЧНИК!$I$14+('ФАКТ ЧЕРН К2'!S6)*СПРАВОЧНИК!$J$14+('ФАКТ ЧЕРН К2'!T6)*СПРАВОЧНИК!$H$15+('ФАКТ ЧЕРН К2'!U6)*СПРАВОЧНИК!$I$15+('ФАКТ ЧЕРН К2'!V6)*СПРАВОЧНИК!$J$15</f>
        <v/>
      </c>
      <c r="AU15" s="34" t="n"/>
      <c r="AX15" s="152">
        <f>AX14+7</f>
        <v/>
      </c>
      <c r="AY15" s="17">
        <f>'ПЛАН ЧИСТ К2'!B6*СПРАВОЧНИК!$L$9+'ПЛАН ЧИСТ К2'!C6*СПРАВОЧНИК!$M$9+'ПЛАН ЧИСТ К2'!D6*СПРАВОЧНИК!$N$9+'ПЛАН ЧИСТ К2'!E6*СПРАВОЧНИК!$O$9+'ПЛАН ЧИСТ К2'!F6*СПРАВОЧНИК!$P$9+'ПЛАН ЧИСТ К2'!G6*СПРАВОЧНИК!$L$10+'ПЛАН ЧИСТ К2'!H6*СПРАВОЧНИК!$M$10+'ПЛАН ЧИСТ К2'!I6*СПРАВОЧНИК!$N$10+'ПЛАН ЧИСТ К2'!J6*СПРАВОЧНИК!$O$10+'ПЛАН ЧИСТ К2'!K6*СПРАВОЧНИК!$P$10+'ПЛАН ЧИСТ К2'!L6*СПРАВОЧНИК!$L$11+'ПЛАН ЧИСТ К2'!M6*СПРАВОЧНИК!$M$11+'ПЛАН ЧИСТ К2'!N6*СПРАВОЧНИК!$N$11+'ПЛАН ЧИСТ К2'!O6*СПРАВОЧНИК!$O$11+'ПЛАН ЧИСТ К2'!P6*СПРАВОЧНИК!$P$11+'ПЛАН ЧИСТ К2'!Q6*СПРАВОЧНИК!$L$12+'ПЛАН ЧИСТ К2'!R6*СПРАВОЧНИК!$M$12+'ПЛАН ЧИСТ К2'!S6*СПРАВОЧНИК!$N$12+'ПЛАН ЧИСТ К2'!T6*СПРАВОЧНИК!$O$12+'ПЛАН ЧИСТ К2'!U6*СПРАВОЧНИК!$P$12+'ПЛАН ЧИСТ К2'!V6*СПРАВОЧНИК!$L$13+'ПЛАН ЧИСТ К2'!W6*СПРАВОЧНИК!$M$13+'ПЛАН ЧИСТ К2'!X6*СПРАВОЧНИК!$N$13+'ПЛАН ЧИСТ К2'!Y6*СПРАВОЧНИК!$O$13+'ПЛАН ЧИСТ К2'!Z6*СПРАВОЧНИК!$P$13+'ПЛАН ЧИСТ К2'!AA6*СПРАВОЧНИК!$L$14+'ПЛАН ЧИСТ К2'!AB6*СПРАВОЧНИК!$M$14+'ПЛАН ЧИСТ К2'!AC6*СПРАВОЧНИК!$N$14+'ПЛАН ЧИСТ К2'!AD6*СПРАВОЧНИК!$O$14+'ПЛАН ЧИСТ К2'!AE6*СПРАВОЧНИК!$P$14+'ПЛАН ЧИСТ К2'!AF6*СПРАВОЧНИК!$L$15+'ПЛАН ЧИСТ К2'!AG6*СПРАВОЧНИК!$M$15+'ПЛАН ЧИСТ К2'!AH6*СПРАВОЧНИК!$N$15+'ПЛАН ЧИСТ К2'!AI6*СПРАВОЧНИК!$O$15+'ПЛАН ЧИСТ К2'!AJ6*СПРАВОЧНИК!$P$15</f>
        <v/>
      </c>
      <c r="AZ15" s="31">
        <f>('ФАКТ ЧИСТ К2'!B6)*СПРАВОЧНИК!$L$9+('ФАКТ ЧИСТ К2'!C6)*СПРАВОЧНИК!$M$9+('ФАКТ ЧИСТ К2'!D6)*СПРАВОЧНИК!$N$9+('ФАКТ ЧИСТ К2'!E6)*СПРАВОЧНИК!$O$9+('ФАКТ ЧИСТ К2'!F6)*СПРАВОЧНИК!$P$9+('ФАКТ ЧИСТ К2'!G6)*СПРАВОЧНИК!$L$10+('ФАКТ ЧИСТ К2'!H6)*СПРАВОЧНИК!$M$10+('ФАКТ ЧИСТ К2'!I6)*СПРАВОЧНИК!$N$10+('ФАКТ ЧИСТ К2'!J6)*СПРАВОЧНИК!$O$10+('ФАКТ ЧИСТ К2'!K6)*СПРАВОЧНИК!$P$10+('ФАКТ ЧИСТ К2'!L6)*СПРАВОЧНИК!$L$11+('ФАКТ ЧИСТ К2'!M6)*СПРАВОЧНИК!$M$11+('ФАКТ ЧИСТ К2'!N6)*СПРАВОЧНИК!$N$11+('ФАКТ ЧИСТ К2'!O6)*СПРАВОЧНИК!$O$11+('ФАКТ ЧИСТ К2'!P6)*СПРАВОЧНИК!$P$11+('ФАКТ ЧИСТ К2'!Q6)*СПРАВОЧНИК!$L$12+('ФАКТ ЧИСТ К2'!R6)*СПРАВОЧНИК!$M$12+('ФАКТ ЧИСТ К2'!S6)*СПРАВОЧНИК!$N$12+('ФАКТ ЧИСТ К2'!T6)*СПРАВОЧНИК!$O$12+('ФАКТ ЧИСТ К2'!U6)*СПРАВОЧНИК!$P$12+('ФАКТ ЧИСТ К2'!V6)*СПРАВОЧНИК!$L$13+('ФАКТ ЧИСТ К2'!W6)*СПРАВОЧНИК!$M$13+('ФАКТ ЧИСТ К2'!X6)*СПРАВОЧНИК!$N$13+('ФАКТ ЧИСТ К2'!Y6)*СПРАВОЧНИК!$O$13+('ФАКТ ЧИСТ К2'!Z6)*СПРАВОЧНИК!$P$13+('ФАКТ ЧИСТ К2'!AA6)*СПРАВОЧНИК!$L$14+('ФАКТ ЧИСТ К2'!AB6)*СПРАВОЧНИК!$M$14+('ФАКТ ЧИСТ К2'!AC6)*СПРАВОЧНИК!$N$14+('ФАКТ ЧИСТ К2'!AD6)*СПРАВОЧНИК!$O$14+('ФАКТ ЧИСТ К2'!AE6)*СПРАВОЧНИК!$P$14+('ФАКТ ЧИСТ К2'!AF6)*СПРАВОЧНИК!$L$15+('ФАКТ ЧИСТ К2'!AG6)*СПРАВОЧНИК!$M$15+('ФАКТ ЧИСТ К2'!AH6)*СПРАВОЧНИК!$N$15+('ФАКТ ЧИСТ К2'!AI6)*СПРАВОЧНИК!$O$15+('ФАКТ ЧИСТ К2'!AJ6)*СПРАВОЧНИК!$P$15</f>
        <v/>
      </c>
      <c r="BA15" s="34" t="n"/>
      <c r="BD15" s="152">
        <f>BD14+7</f>
        <v/>
      </c>
      <c r="BE15" s="17">
        <f>СПРАВОЧНИК!$E$9*('ПЛАН ЧЕРН К3'!B6*СПРАВОЧНИК!$H$9+'ПЛАН ЧЕРН К3'!C6*СПРАВОЧНИК!$I$9+'ПЛАН ЧЕРН К3'!D6*СПРАВОЧНИК!$J$9)+СПРАВОЧНИК!$F$9*('ПЛАН ЧИСТ К3'!B6*СПРАВОЧНИК!$L$9+'ПЛАН ЧИСТ К3'!C6*СПРАВОЧНИК!$M$9+'ПЛАН ЧИСТ К3'!D6*СПРАВОЧНИК!$N$9+'ПЛАН ЧИСТ К3'!E6*СПРАВОЧНИК!$O$9+'ПЛАН ЧИСТ К3'!F6*СПРАВОЧНИК!$P$9)+СПРАВОЧНИК!$E$10*('ПЛАН ЧЕРН К3'!E6*СПРАВОЧНИК!$H$10+'ПЛАН ЧЕРН К3'!F6*СПРАВОЧНИК!$I$10+'ПЛАН ЧЕРН К3'!G6*СПРАВОЧНИК!$J$10)+СПРАВОЧНИК!$F$10*('ПЛАН ЧИСТ К3'!G6*СПРАВОЧНИК!$L$10+'ПЛАН ЧИСТ К3'!H6*СПРАВОЧНИК!$M$10+'ПЛАН ЧИСТ К3'!I6*СПРАВОЧНИК!$N$10+'ПЛАН ЧИСТ К3'!J6*СПРАВОЧНИК!$O$10+'ПЛАН ЧИСТ К3'!K6*СПРАВОЧНИК!$P$10)+СПРАВОЧНИК!$E$11*('ПЛАН ЧЕРН К3'!H6*СПРАВОЧНИК!$H$11+'ПЛАН ЧЕРН К3'!I6*СПРАВОЧНИК!$I$11+'ПЛАН ЧЕРН К3'!J6*СПРАВОЧНИК!$J$11)+СПРАВОЧНИК!$F$11*('ПЛАН ЧИСТ К3'!L6*СПРАВОЧНИК!$L$11+'ПЛАН ЧИСТ К3'!M6*СПРАВОЧНИК!$M$11+'ПЛАН ЧИСТ К3'!N6*СПРАВОЧНИК!$N$11+'ПЛАН ЧИСТ К3'!O6*СПРАВОЧНИК!$O$11+'ПЛАН ЧИСТ К3'!P6*СПРАВОЧНИК!$P$11)+СПРАВОЧНИК!$E$12*('ПЛАН ЧЕРН К3'!K6*СПРАВОЧНИК!$H$12+'ПЛАН ЧЕРН К3'!L6*СПРАВОЧНИК!$I$12+'ПЛАН ЧЕРН К3'!M6*СПРАВОЧНИК!$J$12)+СПРАВОЧНИК!$F$12*('ПЛАН ЧИСТ К3'!Q6*СПРАВОЧНИК!$L$12+'ПЛАН ЧИСТ К3'!R6*СПРАВОЧНИК!$M$12+'ПЛАН ЧИСТ К3'!S6*СПРАВОЧНИК!$N$12+'ПЛАН ЧИСТ К3'!T6*СПРАВОЧНИК!$O$12+'ПЛАН ЧИСТ К3'!U6*СПРАВОЧНИК!$P$12)+СПРАВОЧНИК!$E$13*('ПЛАН ЧЕРН К3'!N6*СПРАВОЧНИК!$H$13+'ПЛАН ЧЕРН К3'!O6*СПРАВОЧНИК!$I$13+'ПЛАН ЧЕРН К3'!P6*СПРАВОЧНИК!$J$13)+СПРАВОЧНИК!$F$13*('ПЛАН ЧИСТ К3'!V6*СПРАВОЧНИК!$L$13+'ПЛАН ЧИСТ К3'!W6*СПРАВОЧНИК!$M$13+'ПЛАН ЧИСТ К3'!X6*СПРАВОЧНИК!$N$13+'ПЛАН ЧИСТ К3'!Y6*СПРАВОЧНИК!$O$13+'ПЛАН ЧИСТ К3'!Z6*СПРАВОЧНИК!$P$13)+СПРАВОЧНИК!$E$14*('ПЛАН ЧЕРН К3'!Q6*СПРАВОЧНИК!$H$14+'ПЛАН ЧЕРН К3'!R6*СПРАВОЧНИК!$I$14+'ПЛАН ЧЕРН К3'!S6*СПРАВОЧНИК!$J$14)+СПРАВОЧНИК!$F$14*('ПЛАН ЧИСТ К3'!AA6*СПРАВОЧНИК!$L$14+'ПЛАН ЧИСТ К3'!AB6*СПРАВОЧНИК!$M$14+'ПЛАН ЧИСТ К3'!AC6*СПРАВОЧНИК!$N$14+'ПЛАН ЧИСТ К3'!AD6*СПРАВОЧНИК!$O$14+'ПЛАН ЧИСТ К3'!AE6*СПРАВОЧНИК!$P$14)+СПРАВОЧНИК!$E$15*('ПЛАН ЧЕРН К3'!T6*СПРАВОЧНИК!$H$15+'ПЛАН ЧЕРН К3'!U6*СПРАВОЧНИК!$I$15+'ПЛАН ЧЕРН К3'!V6*СПРАВОЧНИК!$J$15)+СПРАВОЧНИК!$F$15*('ПЛАН ЧИСТ К3'!AF6*СПРАВОЧНИК!$L$15+'ПЛАН ЧИСТ К3'!AG6*СПРАВОЧНИК!$M$15+'ПЛАН ЧИСТ К3'!AH6*СПРАВОЧНИК!$N$15+'ПЛАН ЧИСТ К3'!AI6*СПРАВОЧНИК!$O$15+'ПЛАН ЧИСТ К3'!AJ6*СПРАВОЧНИК!$P$15)</f>
        <v/>
      </c>
      <c r="BF15" s="31">
        <f>СПРАВОЧНИК!$E$9*('ФАКТ ЧЕРН К3'!B6*СПРАВОЧНИК!$H$9+'ФАКТ ЧЕРН К3'!C6*СПРАВОЧНИК!$I$9+'ФАКТ ЧЕРН К3'!D6*СПРАВОЧНИК!$J$9)+СПРАВОЧНИК!$F$9*('ФАКТ ЧИСТ К3'!B6*СПРАВОЧНИК!$L$9+'ФАКТ ЧИСТ К3'!C6*СПРАВОЧНИК!$M$9+'ФАКТ ЧИСТ К3'!D6*СПРАВОЧНИК!$N$9+'ФАКТ ЧИСТ К3'!E6*СПРАВОЧНИК!$O$9+'ФАКТ ЧИСТ К3'!F6*СПРАВОЧНИК!$P$9)+СПРАВОЧНИК!$E$10*('ФАКТ ЧЕРН К3'!E6*СПРАВОЧНИК!$H$10+'ФАКТ ЧЕРН К3'!F6*СПРАВОЧНИК!$I$10+'ФАКТ ЧЕРН К3'!G6*СПРАВОЧНИК!$J$10)+СПРАВОЧНИК!$F$10*('ФАКТ ЧИСТ К3'!G6*СПРАВОЧНИК!$L$10+'ФАКТ ЧИСТ К3'!H6*СПРАВОЧНИК!$M$10+'ФАКТ ЧИСТ К3'!I6*СПРАВОЧНИК!$N$10+'ФАКТ ЧИСТ К3'!J6*СПРАВОЧНИК!$O$10+'ФАКТ ЧИСТ К3'!K6*СПРАВОЧНИК!$P$10)+СПРАВОЧНИК!$E$11*('ФАКТ ЧЕРН К3'!H6*СПРАВОЧНИК!$H$11+'ФАКТ ЧЕРН К3'!I6*СПРАВОЧНИК!$I$11+'ФАКТ ЧЕРН К3'!J6*СПРАВОЧНИК!$J$11)+СПРАВОЧНИК!$F$11*('ФАКТ ЧИСТ К3'!L6*СПРАВОЧНИК!$L$11+'ФАКТ ЧИСТ К3'!M6*СПРАВОЧНИК!$M$11+'ФАКТ ЧИСТ К3'!N6*СПРАВОЧНИК!$N$11+'ФАКТ ЧИСТ К3'!O6*СПРАВОЧНИК!$O$11+'ФАКТ ЧИСТ К3'!P6*СПРАВОЧНИК!$P$11)+СПРАВОЧНИК!$E$12*('ФАКТ ЧЕРН К3'!K6*СПРАВОЧНИК!$H$12+'ФАКТ ЧЕРН К3'!L6*СПРАВОЧНИК!$I$12+'ФАКТ ЧЕРН К3'!M6*СПРАВОЧНИК!$J$12)+СПРАВОЧНИК!$F$12*('ФАКТ ЧИСТ К3'!Q6*СПРАВОЧНИК!$L$12+'ФАКТ ЧИСТ К3'!R6*СПРАВОЧНИК!$M$12+'ФАКТ ЧИСТ К3'!S6*СПРАВОЧНИК!$N$12+'ФАКТ ЧИСТ К3'!T6*СПРАВОЧНИК!$O$12+'ФАКТ ЧИСТ К3'!U6*СПРАВОЧНИК!$P$12)+СПРАВОЧНИК!$E$13*('ФАКТ ЧЕРН К3'!N6*СПРАВОЧНИК!$H$13+'ФАКТ ЧЕРН К3'!O6*СПРАВОЧНИК!$I$13+'ФАКТ ЧЕРН К3'!P6*СПРАВОЧНИК!$J$13)+СПРАВОЧНИК!$F$13*('ФАКТ ЧИСТ К3'!V6*СПРАВОЧНИК!$L$13+'ФАКТ ЧИСТ К3'!W6*СПРАВОЧНИК!$M$13+'ФАКТ ЧИСТ К3'!X6*СПРАВОЧНИК!$N$13+'ФАКТ ЧИСТ К3'!Y6*СПРАВОЧНИК!$O$13+'ФАКТ ЧИСТ К3'!Z6*СПРАВОЧНИК!$P$13)+СПРАВОЧНИК!$E$14*('ФАКТ ЧЕРН К3'!Q6*СПРАВОЧНИК!$H$14+'ФАКТ ЧЕРН К3'!R6*СПРАВОЧНИК!$I$14+'ФАКТ ЧЕРН К3'!S6*СПРАВОЧНИК!$J$14)+СПРАВОЧНИК!$F$14*('ФАКТ ЧИСТ К3'!AA6*СПРАВОЧНИК!$L$14+'ФАКТ ЧИСТ К3'!AB6*СПРАВОЧНИК!$M$14+'ФАКТ ЧИСТ К3'!AC6*СПРАВОЧНИК!$N$14+'ФАКТ ЧИСТ К3'!AD6*СПРАВОЧНИК!$O$14+'ФАКТ ЧИСТ К3'!AE6*СПРАВОЧНИК!$P$14)+СПРАВОЧНИК!$E$15*('ФАКТ ЧЕРН К3'!T6*СПРАВОЧНИК!$H$15+'ФАКТ ЧЕРН К3'!U6*СПРАВОЧНИК!$I$15+'ФАКТ ЧЕРН К3'!V6*СПРАВОЧНИК!$J$15)+СПРАВОЧНИК!$F$15*('ФАКТ ЧИСТ К3'!AF6*СПРАВОЧНИК!$L$15+'ФАКТ ЧИСТ К3'!AG6*СПРАВОЧНИК!$M$15+'ФАКТ ЧИСТ К3'!AH6*СПРАВОЧНИК!$N$15+'ФАКТ ЧИСТ К3'!AI6*СПРАВОЧНИК!$O$15+'ФАКТ ЧИСТ К3'!AJ6*СПРАВОЧНИК!$P$15)</f>
        <v/>
      </c>
      <c r="BG15" s="34" t="n"/>
      <c r="BJ15" s="152">
        <f>BJ14+7</f>
        <v/>
      </c>
      <c r="BK15" s="17">
        <f>'ПЛАН ЧЕРН К3'!B6*СПРАВОЧНИК!$H$9+'ПЛАН ЧЕРН К3'!C6*СПРАВОЧНИК!$I$9+'ПЛАН ЧЕРН К3'!D6*СПРАВОЧНИК!$J$9+'ПЛАН ЧЕРН К3'!E6*СПРАВОЧНИК!$H$10+'ПЛАН ЧЕРН К3'!F6*СПРАВОЧНИК!$I$10+'ПЛАН ЧЕРН К3'!G6*СПРАВОЧНИК!$J$10+'ПЛАН ЧЕРН К3'!H6*СПРАВОЧНИК!$H$11+'ПЛАН ЧЕРН К3'!I6*СПРАВОЧНИК!$I$11+'ПЛАН ЧЕРН К3'!J6*СПРАВОЧНИК!$J$11+'ПЛАН ЧЕРН К3'!K6*СПРАВОЧНИК!$H$12+'ПЛАН ЧЕРН К3'!L6*СПРАВОЧНИК!$I$12+'ПЛАН ЧЕРН К3'!M6*СПРАВОЧНИК!$J$12+'ПЛАН ЧЕРН К3'!N6*СПРАВОЧНИК!$H$13+'ПЛАН ЧЕРН К3'!O6*СПРАВОЧНИК!$I$13+'ПЛАН ЧЕРН К3'!P6*СПРАВОЧНИК!$J$13+'ПЛАН ЧЕРН К3'!Q6*СПРАВОЧНИК!$H$14+'ПЛАН ЧЕРН К3'!R6*СПРАВОЧНИК!$I$14+'ПЛАН ЧЕРН К3'!S6*СПРАВОЧНИК!$J$14+'ПЛАН ЧЕРН К3'!T6*СПРАВОЧНИК!$H$15+'ПЛАН ЧЕРН К3'!U6*СПРАВОЧНИК!$I$15+'ПЛАН ЧЕРН К3'!V6*СПРАВОЧНИК!$J$15</f>
        <v/>
      </c>
      <c r="BL15" s="31">
        <f>('ФАКТ ЧЕРН К3'!B6)*СПРАВОЧНИК!$H$9+('ФАКТ ЧЕРН К3'!C6)*СПРАВОЧНИК!$I$9+('ФАКТ ЧЕРН К3'!D6)*СПРАВОЧНИК!$J$9+('ФАКТ ЧЕРН К3'!E6)*СПРАВОЧНИК!$H$10+('ФАКТ ЧЕРН К3'!F6)*СПРАВОЧНИК!$I$10+('ФАКТ ЧЕРН К3'!G6)*СПРАВОЧНИК!$J$10+('ФАКТ ЧЕРН К3'!H6)*СПРАВОЧНИК!$H$11+('ФАКТ ЧЕРН К3'!I6)*СПРАВОЧНИК!$I$11+('ФАКТ ЧЕРН К3'!J6)*СПРАВОЧНИК!$J$11+('ФАКТ ЧЕРН К3'!K6)*СПРАВОЧНИК!$H$12+('ФАКТ ЧЕРН К3'!L6)*СПРАВОЧНИК!$I$12+('ФАКТ ЧЕРН К3'!M6)*СПРАВОЧНИК!$J$12+('ФАКТ ЧЕРН К3'!N6)*СПРАВОЧНИК!$H$13+('ФАКТ ЧЕРН К3'!O6)*СПРАВОЧНИК!$I$13+('ФАКТ ЧЕРН К3'!P6)*СПРАВОЧНИК!$J$13+('ФАКТ ЧЕРН К3'!Q6)*СПРАВОЧНИК!$H$14+('ФАКТ ЧЕРН К3'!R6)*СПРАВОЧНИК!$I$14+('ФАКТ ЧЕРН К3'!S6)*СПРАВОЧНИК!$J$14+('ФАКТ ЧЕРН К3'!T6)*СПРАВОЧНИК!$H$15+('ФАКТ ЧЕРН К3'!U6)*СПРАВОЧНИК!$I$15+('ФАКТ ЧЕРН К3'!V6)*СПРАВОЧНИК!$J$15</f>
        <v/>
      </c>
      <c r="BM15" s="34" t="n"/>
      <c r="BP15" s="152">
        <f>BP14+7</f>
        <v/>
      </c>
      <c r="BQ15" s="17">
        <f>'ПЛАН ЧИСТ К3'!B6*СПРАВОЧНИК!$L$9+'ПЛАН ЧИСТ К3'!C6*СПРАВОЧНИК!$M$9+'ПЛАН ЧИСТ К3'!D6*СПРАВОЧНИК!$N$9+'ПЛАН ЧИСТ К3'!E6*СПРАВОЧНИК!$O$9+'ПЛАН ЧИСТ К3'!F6*СПРАВОЧНИК!$P$9+'ПЛАН ЧИСТ К3'!G6*СПРАВОЧНИК!$L$10+'ПЛАН ЧИСТ К3'!H6*СПРАВОЧНИК!$M$10+'ПЛАН ЧИСТ К3'!I6*СПРАВОЧНИК!$N$10+'ПЛАН ЧИСТ К3'!J6*СПРАВОЧНИК!$O$10+'ПЛАН ЧИСТ К3'!K6*СПРАВОЧНИК!$P$10+'ПЛАН ЧИСТ К3'!L6*СПРАВОЧНИК!$L$11+'ПЛАН ЧИСТ К3'!M6*СПРАВОЧНИК!$M$11+'ПЛАН ЧИСТ К3'!N6*СПРАВОЧНИК!$N$11+'ПЛАН ЧИСТ К3'!O6*СПРАВОЧНИК!$O$11+'ПЛАН ЧИСТ К3'!P6*СПРАВОЧНИК!$P$11+'ПЛАН ЧИСТ К3'!Q6*СПРАВОЧНИК!$L$12+'ПЛАН ЧИСТ К3'!R6*СПРАВОЧНИК!$M$12+'ПЛАН ЧИСТ К3'!S6*СПРАВОЧНИК!$N$12+'ПЛАН ЧИСТ К3'!T6*СПРАВОЧНИК!$O$12+'ПЛАН ЧИСТ К3'!U6*СПРАВОЧНИК!$P$12+'ПЛАН ЧИСТ К3'!V6*СПРАВОЧНИК!$L$13+'ПЛАН ЧИСТ К3'!W6*СПРАВОЧНИК!$M$13+'ПЛАН ЧИСТ К3'!X6*СПРАВОЧНИК!$N$13+'ПЛАН ЧИСТ К3'!Y6*СПРАВОЧНИК!$O$13+'ПЛАН ЧИСТ К3'!Z6*СПРАВОЧНИК!$P$13+'ПЛАН ЧИСТ К3'!AA6*СПРАВОЧНИК!$L$14+'ПЛАН ЧИСТ К3'!AB6*СПРАВОЧНИК!$M$14+'ПЛАН ЧИСТ К3'!AC6*СПРАВОЧНИК!$N$14+'ПЛАН ЧИСТ К3'!AD6*СПРАВОЧНИК!$O$14+'ПЛАН ЧИСТ К3'!AE6*СПРАВОЧНИК!$P$14+'ПЛАН ЧИСТ К3'!AF6*СПРАВОЧНИК!$L$15+'ПЛАН ЧИСТ К3'!AG6*СПРАВОЧНИК!$M$15+'ПЛАН ЧИСТ К3'!AH6*СПРАВОЧНИК!$N$15+'ПЛАН ЧИСТ К3'!AI6*СПРАВОЧНИК!$O$15+'ПЛАН ЧИСТ К3'!AJ6*СПРАВОЧНИК!$P$15</f>
        <v/>
      </c>
      <c r="BR15" s="31">
        <f>('ФАКТ ЧИСТ К3'!B6)*СПРАВОЧНИК!$L$9+('ФАКТ ЧИСТ К3'!C6)*СПРАВОЧНИК!$M$9+('ФАКТ ЧИСТ К3'!D6)*СПРАВОЧНИК!$N$9+('ФАКТ ЧИСТ К3'!E6)*СПРАВОЧНИК!$O$9+('ФАКТ ЧИСТ К3'!F6)*СПРАВОЧНИК!$P$9+('ФАКТ ЧИСТ К3'!G6)*СПРАВОЧНИК!$L$10+('ФАКТ ЧИСТ К3'!H6)*СПРАВОЧНИК!$M$10+('ФАКТ ЧИСТ К3'!I6)*СПРАВОЧНИК!$N$10+('ФАКТ ЧИСТ К3'!J6)*СПРАВОЧНИК!$O$10+('ФАКТ ЧИСТ К3'!K6)*СПРАВОЧНИК!$P$10+('ФАКТ ЧИСТ К3'!L6)*СПРАВОЧНИК!$L$11+('ФАКТ ЧИСТ К3'!M6)*СПРАВОЧНИК!$M$11+('ФАКТ ЧИСТ К3'!N6)*СПРАВОЧНИК!$N$11+('ФАКТ ЧИСТ К3'!O6)*СПРАВОЧНИК!$O$11+('ФАКТ ЧИСТ К3'!P6)*СПРАВОЧНИК!$P$11+('ФАКТ ЧИСТ К3'!Q6)*СПРАВОЧНИК!$L$12+('ФАКТ ЧИСТ К3'!R6)*СПРАВОЧНИК!$M$12+('ФАКТ ЧИСТ К3'!S6)*СПРАВОЧНИК!$N$12+('ФАКТ ЧИСТ К3'!T6)*СПРАВОЧНИК!$O$12+('ФАКТ ЧИСТ К3'!U6)*СПРАВОЧНИК!$P$12+('ФАКТ ЧИСТ К3'!V6)*СПРАВОЧНИК!$L$13+('ФАКТ ЧИСТ К3'!W6)*СПРАВОЧНИК!$M$13+('ФАКТ ЧИСТ К3'!X6)*СПРАВОЧНИК!$N$13+('ФАКТ ЧИСТ К3'!Y6)*СПРАВОЧНИК!$O$13+('ФАКТ ЧИСТ К3'!Z6)*СПРАВОЧНИК!$P$13+('ФАКТ ЧИСТ К3'!AA6)*СПРАВОЧНИК!$L$14+('ФАКТ ЧИСТ К3'!AB6)*СПРАВОЧНИК!$M$14+('ФАКТ ЧИСТ К3'!AC6)*СПРАВОЧНИК!$N$14+('ФАКТ ЧИСТ К3'!AD6)*СПРАВОЧНИК!$O$14+('ФАКТ ЧИСТ К3'!AE6)*СПРАВОЧНИК!$P$14+('ФАКТ ЧИСТ К3'!AF6)*СПРАВОЧНИК!$L$15+('ФАКТ ЧИСТ К3'!AG6)*СПРАВОЧНИК!$M$15+('ФАКТ ЧИСТ К3'!AH6)*СПРАВОЧНИК!$N$15+('ФАКТ ЧИСТ К3'!AI6)*СПРАВОЧНИК!$O$15+('ФАКТ ЧИСТ К3'!AJ6)*СПРАВОЧНИК!$P$15</f>
        <v/>
      </c>
      <c r="BS15" s="34" t="n"/>
      <c r="BV15" s="152">
        <f>BV14+7</f>
        <v/>
      </c>
      <c r="BW15" s="17">
        <f>U15*СПРАВОЧНИК!$K$28+AM15*СПРАВОЧНИК!$K$29+BE15*СПРАВОЧНИК!$K$30</f>
        <v/>
      </c>
      <c r="BX15" s="31">
        <f>V15*СПРАВОЧНИК!$K$28+AN15*СПРАВОЧНИК!$K$29+BF15*СПРАВОЧНИК!$K$30</f>
        <v/>
      </c>
      <c r="BY15" s="34" t="n"/>
      <c r="CB15" s="152">
        <f>CB14+7</f>
        <v/>
      </c>
      <c r="CC15" s="17">
        <f>AA15*СПРАВОЧНИК!$K$28+AS15*СПРАВОЧНИК!$K$29+BK15*СПРАВОЧНИК!$K$30</f>
        <v/>
      </c>
      <c r="CD15" s="31">
        <f>AB15*СПРАВОЧНИК!$K$28+AT15*СПРАВОЧНИК!$K$29+BL15*СПРАВОЧНИК!$K$30</f>
        <v/>
      </c>
      <c r="CE15" s="34" t="n"/>
      <c r="CH15" s="152">
        <f>CH14+7</f>
        <v/>
      </c>
      <c r="CI15" s="17">
        <f>AG15*СПРАВОЧНИК!$K$28+AY15*СПРАВОЧНИК!$K$29+BQ15*СПРАВОЧНИК!$K$30</f>
        <v/>
      </c>
      <c r="CJ15" s="31">
        <f>AH15*СПРАВОЧНИК!$K$28+AZ15*СПРАВОЧНИК!$K$29+BR15*СПРАВОЧНИК!$K$30</f>
        <v/>
      </c>
      <c r="CK15" s="34" t="n"/>
      <c r="CN15" s="152">
        <f>CN14+7</f>
        <v/>
      </c>
      <c r="CO15" s="17">
        <f>C15*СПРАВОЧНИК!$W$18+BW15*СПРАВОЧНИК!$W$19</f>
        <v/>
      </c>
      <c r="CP15" s="31">
        <f>D15*СПРАВОЧНИК!$W$18+BX15*СПРАВОЧНИК!$W$19</f>
        <v/>
      </c>
      <c r="CQ15" s="34" t="n"/>
      <c r="CT15" s="152">
        <f>CT14+7</f>
        <v/>
      </c>
      <c r="CU15" s="17">
        <f>I15*СПРАВОЧНИК!$W$18+CC15*СПРАВОЧНИК!$W$19</f>
        <v/>
      </c>
      <c r="CV15" s="31">
        <f>J15*СПРАВОЧНИК!$W$18+CD15*СПРАВОЧНИК!$W$19</f>
        <v/>
      </c>
      <c r="CW15" s="34" t="n"/>
      <c r="CZ15" s="152">
        <f>CZ14+7</f>
        <v/>
      </c>
      <c r="DA15" s="17">
        <f>O15*СПРАВОЧНИК!$W$18+CI15*СПРАВОЧНИК!$W$19</f>
        <v/>
      </c>
      <c r="DB15" s="31">
        <f>P15*СПРАВОЧНИК!$W$18+CJ15*СПРАВОЧНИК!$W$19</f>
        <v/>
      </c>
      <c r="DC15" s="34" t="n"/>
    </row>
    <row r="16">
      <c r="B16" s="152">
        <f>B15+7</f>
        <v/>
      </c>
      <c r="C16" s="17">
        <f>СПРАВОЧНИК!$E$3*('ПЛАН ЧЕРН ПОДЗЕМ'!B7*СПРАВОЧНИК!$H$3+'ПЛАН ЧЕРН ПОДЗЕМ'!C7*СПРАВОЧНИК!$I$3+'ПЛАН ЧЕРН ПОДЗЕМ'!D7*СПРАВОЧНИК!$J$3)+СПРАВОЧНИК!$F$3*('ПЛАН ЧИСТ ПОДЗЕМ'!B7*СПРАВОЧНИК!$L$3+'ПЛАН ЧИСТ ПОДЗЕМ'!C7*СПРАВОЧНИК!$M$3+'ПЛАН ЧИСТ ПОДЗЕМ'!D7*СПРАВОЧНИК!$N$3+'ПЛАН ЧИСТ ПОДЗЕМ'!E7*СПРАВОЧНИК!$O$3+'ПЛАН ЧИСТ ПОДЗЕМ'!F7*СПРАВОЧНИК!$P$3)+СПРАВОЧНИК!$E$4*('ПЛАН ЧЕРН ПОДЗЕМ'!E7*СПРАВОЧНИК!$H$4+'ПЛАН ЧЕРН ПОДЗЕМ'!F7*СПРАВОЧНИК!$I$4+'ПЛАН ЧЕРН ПОДЗЕМ'!G7*СПРАВОЧНИК!$J$4)+СПРАВОЧНИК!$F$4*('ПЛАН ЧИСТ ПОДЗЕМ'!G7*СПРАВОЧНИК!$L$4+'ПЛАН ЧИСТ ПОДЗЕМ'!H7*СПРАВОЧНИК!$M$4+'ПЛАН ЧИСТ ПОДЗЕМ'!I7*СПРАВОЧНИК!$N$4+'ПЛАН ЧИСТ ПОДЗЕМ'!J7*СПРАВОЧНИК!$O$4+'ПЛАН ЧИСТ ПОДЗЕМ'!K7*СПРАВОЧНИК!$P$4)+СПРАВОЧНИК!$E$5*('ПЛАН ЧЕРН ПОДЗЕМ'!H7*СПРАВОЧНИК!$H$5+'ПЛАН ЧЕРН ПОДЗЕМ'!I7*СПРАВОЧНИК!$I$5+'ПЛАН ЧЕРН ПОДЗЕМ'!J7*СПРАВОЧНИК!$J$5)+СПРАВОЧНИК!$F$5*('ПЛАН ЧИСТ ПОДЗЕМ'!L7*СПРАВОЧНИК!$L$5+'ПЛАН ЧИСТ ПОДЗЕМ'!M7*СПРАВОЧНИК!$M$5+'ПЛАН ЧИСТ ПОДЗЕМ'!N7*СПРАВОЧНИК!$N$5+'ПЛАН ЧИСТ ПОДЗЕМ'!O7*СПРАВОЧНИК!$O$5+'ПЛАН ЧИСТ ПОДЗЕМ'!P7*СПРАВОЧНИК!$P$5)+СПРАВОЧНИК!$E$6*('ПЛАН ЧЕРН ПОДЗЕМ'!K7*СПРАВОЧНИК!$H$6+'ПЛАН ЧЕРН ПОДЗЕМ'!L7*СПРАВОЧНИК!$I$6+'ПЛАН ЧЕРН ПОДЗЕМ'!M7*СПРАВОЧНИК!$J$6)+СПРАВОЧНИК!$F$6*('ПЛАН ЧИСТ ПОДЗЕМ'!Q7*СПРАВОЧНИК!$L$6+'ПЛАН ЧИСТ ПОДЗЕМ'!R7*СПРАВОЧНИК!$M$6+'ПЛАН ЧИСТ ПОДЗЕМ'!S7*СПРАВОЧНИК!$N$6+'ПЛАН ЧИСТ ПОДЗЕМ'!T7*СПРАВОЧНИК!$O$6+'ПЛАН ЧИСТ ПОДЗЕМ'!U7*СПРАВОЧНИК!$P$6)+СПРАВОЧНИК!$E$7*('ПЛАН ЧЕРН ПОДЗЕМ'!N7*СПРАВОЧНИК!$H$7+'ПЛАН ЧЕРН ПОДЗЕМ'!O7*СПРАВОЧНИК!$I$7+'ПЛАН ЧЕРН ПОДЗЕМ'!P7*СПРАВОЧНИК!$J$7)+СПРАВОЧНИК!$F$7*('ПЛАН ЧИСТ ПОДЗЕМ'!V7*СПРАВОЧНИК!$L$7+'ПЛАН ЧИСТ ПОДЗЕМ'!W7*СПРАВОЧНИК!$M$7+'ПЛАН ЧИСТ ПОДЗЕМ'!X7*СПРАВОЧНИК!$N$7+'ПЛАН ЧИСТ ПОДЗЕМ'!Y7*СПРАВОЧНИК!$O$7+'ПЛАН ЧИСТ ПОДЗЕМ'!Z7*СПРАВОЧНИК!$P$7)+СПРАВОЧНИК!$E$8*('ПЛАН ЧЕРН ПОДЗЕМ'!Q7*СПРАВОЧНИК!$H$8+'ПЛАН ЧЕРН ПОДЗЕМ'!R7*СПРАВОЧНИК!$I$8+'ПЛАН ЧЕРН ПОДЗЕМ'!S7*СПРАВОЧНИК!$J$8)+СПРАВОЧНИК!$F$8*('ПЛАН ЧИСТ ПОДЗЕМ'!AA7*СПРАВОЧНИК!$L$8+'ПЛАН ЧИСТ ПОДЗЕМ'!AB7*СПРАВОЧНИК!$M$8+'ПЛАН ЧИСТ ПОДЗЕМ'!AC7*СПРАВОЧНИК!$N$8+'ПЛАН ЧИСТ ПОДЗЕМ'!AD7*СПРАВОЧНИК!$O$8+'ПЛАН ЧИСТ ПОДЗЕМ'!AE7*СПРАВОЧНИК!$P$8)</f>
        <v/>
      </c>
      <c r="D16" s="31">
        <f>СПРАВОЧНИК!$E$3*('ФАКТ ЧЕРН ПОДЗЕМ'!B7*СПРАВОЧНИК!$H$3+'ФАКТ ЧЕРН ПОДЗЕМ'!C7*СПРАВОЧНИК!$I$3+'ФАКТ ЧЕРН ПОДЗЕМ'!D7*СПРАВОЧНИК!$J$3)+СПРАВОЧНИК!$F$3*('ФАКТ ЧИСТ ПОДЗЕМ'!B7*СПРАВОЧНИК!$L$3+'ФАКТ ЧИСТ ПОДЗЕМ'!C7*СПРАВОЧНИК!$M$3+'ФАКТ ЧИСТ ПОДЗЕМ'!D7*СПРАВОЧНИК!$N$3+'ФАКТ ЧИСТ ПОДЗЕМ'!E7*СПРАВОЧНИК!$O$3+'ФАКТ ЧИСТ ПОДЗЕМ'!F7*СПРАВОЧНИК!$P$3)+СПРАВОЧНИК!$E$4*('ФАКТ ЧЕРН ПОДЗЕМ'!E7*СПРАВОЧНИК!$H$4+'ФАКТ ЧЕРН ПОДЗЕМ'!F7*СПРАВОЧНИК!$I$4+'ФАКТ ЧЕРН ПОДЗЕМ'!G7*СПРАВОЧНИК!$J$4)+СПРАВОЧНИК!$F$4*('ФАКТ ЧИСТ ПОДЗЕМ'!G7*СПРАВОЧНИК!$L$4+'ФАКТ ЧИСТ ПОДЗЕМ'!H7*СПРАВОЧНИК!$M$4+'ФАКТ ЧИСТ ПОДЗЕМ'!I7*СПРАВОЧНИК!$N$4+'ФАКТ ЧИСТ ПОДЗЕМ'!J7*СПРАВОЧНИК!$O$4+'ФАКТ ЧИСТ ПОДЗЕМ'!K7*СПРАВОЧНИК!$P$4)+СПРАВОЧНИК!$E$5*('ФАКТ ЧЕРН ПОДЗЕМ'!H7*СПРАВОЧНИК!$H$5+'ФАКТ ЧЕРН ПОДЗЕМ'!I7*СПРАВОЧНИК!$I$5+'ФАКТ ЧЕРН ПОДЗЕМ'!J7*СПРАВОЧНИК!$J$5)+СПРАВОЧНИК!$F$5*('ФАКТ ЧИСТ ПОДЗЕМ'!L7*СПРАВОЧНИК!$L$5+'ФАКТ ЧИСТ ПОДЗЕМ'!M7*СПРАВОЧНИК!$M$5+'ФАКТ ЧИСТ ПОДЗЕМ'!N7*СПРАВОЧНИК!$N$5+'ФАКТ ЧИСТ ПОДЗЕМ'!O7*СПРАВОЧНИК!$O$5+'ФАКТ ЧИСТ ПОДЗЕМ'!P7*СПРАВОЧНИК!$P$5)+СПРАВОЧНИК!$E$6*('ФАКТ ЧЕРН ПОДЗЕМ'!K7*СПРАВОЧНИК!$H$6+'ФАКТ ЧЕРН ПОДЗЕМ'!L7*СПРАВОЧНИК!$I$6+'ФАКТ ЧЕРН ПОДЗЕМ'!M7*СПРАВОЧНИК!$J$6)+СПРАВОЧНИК!$F$6*('ФАКТ ЧИСТ ПОДЗЕМ'!Q7*СПРАВОЧНИК!$L$6+'ФАКТ ЧИСТ ПОДЗЕМ'!R7*СПРАВОЧНИК!$M$6+'ФАКТ ЧИСТ ПОДЗЕМ'!S7*СПРАВОЧНИК!$N$6+'ФАКТ ЧИСТ ПОДЗЕМ'!T7*СПРАВОЧНИК!$O$6+'ФАКТ ЧИСТ ПОДЗЕМ'!U7*СПРАВОЧНИК!$P$6)+СПРАВОЧНИК!$E$7*('ФАКТ ЧЕРН ПОДЗЕМ'!N7*СПРАВОЧНИК!$H$7+'ФАКТ ЧЕРН ПОДЗЕМ'!O7*СПРАВОЧНИК!$I$7+'ФАКТ ЧЕРН ПОДЗЕМ'!P7*СПРАВОЧНИК!$J$7)+СПРАВОЧНИК!$F$7*('ФАКТ ЧИСТ ПОДЗЕМ'!V7*СПРАВОЧНИК!$L$7+'ФАКТ ЧИСТ ПОДЗЕМ'!W7*СПРАВОЧНИК!$M$7+'ФАКТ ЧИСТ ПОДЗЕМ'!X7*СПРАВОЧНИК!$N$7+'ФАКТ ЧИСТ ПОДЗЕМ'!Y7*СПРАВОЧНИК!$O$7+'ФАКТ ЧИСТ ПОДЗЕМ'!Z7*СПРАВОЧНИК!$P$7)+СПРАВОЧНИК!$E$8*('ФАКТ ЧЕРН ПОДЗЕМ'!Q7*СПРАВОЧНИК!$H$8+'ФАКТ ЧЕРН ПОДЗЕМ'!R7*СПРАВОЧНИК!$I$8+'ФАКТ ЧЕРН ПОДЗЕМ'!S7*СПРАВОЧНИК!$J$8)+СПРАВОЧНИК!$F$8*('ФАКТ ЧИСТ ПОДЗЕМ'!AA7*СПРАВОЧНИК!$L$8+'ФАКТ ЧИСТ ПОДЗЕМ'!AB7*СПРАВОЧНИК!$M$8+'ФАКТ ЧИСТ ПОДЗЕМ'!AC7*СПРАВОЧНИК!$N$8+'ФАКТ ЧИСТ ПОДЗЕМ'!AD7*СПРАВОЧНИК!$O$8+'ФАКТ ЧИСТ ПОДЗЕМ'!AE7*СПРАВОЧНИК!$P$8)</f>
        <v/>
      </c>
      <c r="E16" s="34" t="n"/>
      <c r="H16" s="152">
        <f>H15+7</f>
        <v/>
      </c>
      <c r="I16" s="17">
        <f>'ПЛАН ЧЕРН ПОДЗЕМ'!B7*СПРАВОЧНИК!$H$3+'ПЛАН ЧЕРН ПОДЗЕМ'!C7*СПРАВОЧНИК!$I$3+'ПЛАН ЧЕРН ПОДЗЕМ'!D7*СПРАВОЧНИК!$J$3+'ПЛАН ЧЕРН ПОДЗЕМ'!E7*СПРАВОЧНИК!$H$4+'ПЛАН ЧЕРН ПОДЗЕМ'!F7*СПРАВОЧНИК!$I$4+'ПЛАН ЧЕРН ПОДЗЕМ'!G7*СПРАВОЧНИК!$J$4+'ПЛАН ЧЕРН ПОДЗЕМ'!H7*СПРАВОЧНИК!$H$5+'ПЛАН ЧЕРН ПОДЗЕМ'!I7*СПРАВОЧНИК!$I$5+'ПЛАН ЧЕРН ПОДЗЕМ'!J7*СПРАВОЧНИК!$J$5+'ПЛАН ЧЕРН ПОДЗЕМ'!K7*СПРАВОЧНИК!$H$6+'ПЛАН ЧЕРН ПОДЗЕМ'!L7*СПРАВОЧНИК!$I$6+'ПЛАН ЧЕРН ПОДЗЕМ'!M7*СПРАВОЧНИК!$J$6+'ПЛАН ЧЕРН ПОДЗЕМ'!N7*СПРАВОЧНИК!$H$7+'ПЛАН ЧЕРН ПОДЗЕМ'!O7*СПРАВОЧНИК!$I$7+'ПЛАН ЧЕРН ПОДЗЕМ'!P7*СПРАВОЧНИК!$J$7+'ПЛАН ЧЕРН ПОДЗЕМ'!Q7*СПРАВОЧНИК!$H$8+'ПЛАН ЧЕРН ПОДЗЕМ'!R7*СПРАВОЧНИК!$I$8+'ПЛАН ЧЕРН ПОДЗЕМ'!S7*СПРАВОЧНИК!$J$8</f>
        <v/>
      </c>
      <c r="J16" s="31">
        <f>('ФАКТ ЧЕРН ПОДЗЕМ'!B7)*СПРАВОЧНИК!$H$3+('ФАКТ ЧЕРН ПОДЗЕМ'!C7)*СПРАВОЧНИК!$I$3+('ФАКТ ЧЕРН ПОДЗЕМ'!D7)*СПРАВОЧНИК!$J$3+('ФАКТ ЧЕРН ПОДЗЕМ'!E7)*СПРАВОЧНИК!$H$4+('ФАКТ ЧЕРН ПОДЗЕМ'!F7)*СПРАВОЧНИК!$I$4+('ФАКТ ЧЕРН ПОДЗЕМ'!G7)*СПРАВОЧНИК!$J$4+('ФАКТ ЧЕРН ПОДЗЕМ'!H7)*СПРАВОЧНИК!$H$5+('ФАКТ ЧЕРН ПОДЗЕМ'!I7)*СПРАВОЧНИК!$I$5+('ФАКТ ЧЕРН ПОДЗЕМ'!J7)*СПРАВОЧНИК!$J$5+('ФАКТ ЧЕРН ПОДЗЕМ'!K7)*СПРАВОЧНИК!$H$6+('ФАКТ ЧЕРН ПОДЗЕМ'!L7)*СПРАВОЧНИК!$I$6+('ФАКТ ЧЕРН ПОДЗЕМ'!M7)*СПРАВОЧНИК!$J$6+('ФАКТ ЧЕРН ПОДЗЕМ'!N7)*СПРАВОЧНИК!$H$7+('ФАКТ ЧЕРН ПОДЗЕМ'!O7)*СПРАВОЧНИК!$I$7+('ФАКТ ЧЕРН ПОДЗЕМ'!P7)*СПРАВОЧНИК!$J$7+('ФАКТ ЧЕРН ПОДЗЕМ'!Q7)*СПРАВОЧНИК!$H$8+('ФАКТ ЧЕРН ПОДЗЕМ'!R7)*СПРАВОЧНИК!$I$8+('ФАКТ ЧЕРН ПОДЗЕМ'!S7)*СПРАВОЧНИК!$J$8</f>
        <v/>
      </c>
      <c r="K16" s="34" t="n"/>
      <c r="N16" s="152">
        <f>N15+7</f>
        <v/>
      </c>
      <c r="O16" s="17">
        <f>'ПЛАН ЧИСТ ПОДЗЕМ'!B7*СПРАВОЧНИК!$L$3+'ПЛАН ЧИСТ ПОДЗЕМ'!C7*СПРАВОЧНИК!$M$3+'ПЛАН ЧИСТ ПОДЗЕМ'!D7*СПРАВОЧНИК!$N$3+'ПЛАН ЧИСТ ПОДЗЕМ'!E7*СПРАВОЧНИК!$O$3+'ПЛАН ЧИСТ ПОДЗЕМ'!F7*СПРАВОЧНИК!$P$3+'ПЛАН ЧИСТ ПОДЗЕМ'!G7*СПРАВОЧНИК!$L$4+'ПЛАН ЧИСТ ПОДЗЕМ'!H7*СПРАВОЧНИК!$M$4+'ПЛАН ЧИСТ ПОДЗЕМ'!I7*СПРАВОЧНИК!$N$4+'ПЛАН ЧИСТ ПОДЗЕМ'!J7*СПРАВОЧНИК!$O$4+'ПЛАН ЧИСТ ПОДЗЕМ'!K7*СПРАВОЧНИК!$P$4+'ПЛАН ЧИСТ ПОДЗЕМ'!L7*СПРАВОЧНИК!$L$5+'ПЛАН ЧИСТ ПОДЗЕМ'!M7*СПРАВОЧНИК!$M$5+'ПЛАН ЧИСТ ПОДЗЕМ'!N7*СПРАВОЧНИК!$N$5+'ПЛАН ЧИСТ ПОДЗЕМ'!O7*СПРАВОЧНИК!$O$5+'ПЛАН ЧИСТ ПОДЗЕМ'!P7*СПРАВОЧНИК!$P$5+'ПЛАН ЧИСТ ПОДЗЕМ'!Q7*СПРАВОЧНИК!$L$6+'ПЛАН ЧИСТ ПОДЗЕМ'!R7*СПРАВОЧНИК!$M$6+'ПЛАН ЧИСТ ПОДЗЕМ'!S7*СПРАВОЧНИК!$N$6+'ПЛАН ЧИСТ ПОДЗЕМ'!T7*СПРАВОЧНИК!$O$6+'ПЛАН ЧИСТ ПОДЗЕМ'!U7*СПРАВОЧНИК!$P$6+'ПЛАН ЧИСТ ПОДЗЕМ'!V7*СПРАВОЧНИК!$L$7+'ПЛАН ЧИСТ ПОДЗЕМ'!W7*СПРАВОЧНИК!$M$7+'ПЛАН ЧИСТ ПОДЗЕМ'!X7*СПРАВОЧНИК!$N$7+'ПЛАН ЧИСТ ПОДЗЕМ'!Y7*СПРАВОЧНИК!$O$7+'ПЛАН ЧИСТ ПОДЗЕМ'!Z7*СПРАВОЧНИК!$P$7+'ПЛАН ЧИСТ ПОДЗЕМ'!AA7*СПРАВОЧНИК!$L$8+'ПЛАН ЧИСТ ПОДЗЕМ'!AB7*СПРАВОЧНИК!$M$8+'ПЛАН ЧИСТ ПОДЗЕМ'!AC7*СПРАВОЧНИК!$N$8+'ПЛАН ЧИСТ ПОДЗЕМ'!AD7*СПРАВОЧНИК!$O$8+'ПЛАН ЧИСТ ПОДЗЕМ'!AE7*СПРАВОЧНИК!$P$8</f>
        <v/>
      </c>
      <c r="P16" s="31">
        <f>('ФАКТ ЧИСТ ПОДЗЕМ'!B7)*СПРАВОЧНИК!$L$3+('ФАКТ ЧИСТ ПОДЗЕМ'!C7)*СПРАВОЧНИК!$M$3+('ФАКТ ЧИСТ ПОДЗЕМ'!D7)*СПРАВОЧНИК!$N$3+('ФАКТ ЧИСТ ПОДЗЕМ'!E7)*СПРАВОЧНИК!$O$3+('ФАКТ ЧИСТ ПОДЗЕМ'!F7)*СПРАВОЧНИК!$P$3+('ФАКТ ЧИСТ ПОДЗЕМ'!G7)*СПРАВОЧНИК!$L$4+('ФАКТ ЧИСТ ПОДЗЕМ'!H7)*СПРАВОЧНИК!$M$4+('ФАКТ ЧИСТ ПОДЗЕМ'!I7)*СПРАВОЧНИК!$N$4+('ФАКТ ЧИСТ ПОДЗЕМ'!J7)*СПРАВОЧНИК!$O$4+('ФАКТ ЧИСТ ПОДЗЕМ'!K7)*СПРАВОЧНИК!$P$4+('ФАКТ ЧИСТ ПОДЗЕМ'!L7)*СПРАВОЧНИК!$L$5+('ФАКТ ЧИСТ ПОДЗЕМ'!M7)*СПРАВОЧНИК!$M$5+('ФАКТ ЧИСТ ПОДЗЕМ'!N7)*СПРАВОЧНИК!$N$5+('ФАКТ ЧИСТ ПОДЗЕМ'!O7)*СПРАВОЧНИК!$O$5+('ФАКТ ЧИСТ ПОДЗЕМ'!P7)*СПРАВОЧНИК!$P$5+('ФАКТ ЧИСТ ПОДЗЕМ'!Q7)*СПРАВОЧНИК!$L$6+('ФАКТ ЧИСТ ПОДЗЕМ'!R7)*СПРАВОЧНИК!$M$6+('ФАКТ ЧИСТ ПОДЗЕМ'!S7)*СПРАВОЧНИК!$N$6+('ФАКТ ЧИСТ ПОДЗЕМ'!T7)*СПРАВОЧНИК!$O$6+('ФАКТ ЧИСТ ПОДЗЕМ'!U7)*СПРАВОЧНИК!$P$6+('ФАКТ ЧИСТ ПОДЗЕМ'!V7)*СПРАВОЧНИК!$L$7+('ФАКТ ЧИСТ ПОДЗЕМ'!W7)*СПРАВОЧНИК!$M$7+('ФАКТ ЧИСТ ПОДЗЕМ'!X7)*СПРАВОЧНИК!$N$7+('ФАКТ ЧИСТ ПОДЗЕМ'!Y7)*СПРАВОЧНИК!$O$7+('ФАКТ ЧИСТ ПОДЗЕМ'!Z7)*СПРАВОЧНИК!$P$7+('ФАКТ ЧИСТ ПОДЗЕМ'!AA7)*СПРАВОЧНИК!$L$8+('ФАКТ ЧИСТ ПОДЗЕМ'!AB7)*СПРАВОЧНИК!$M$8+('ФАКТ ЧИСТ ПОДЗЕМ'!AC7)*СПРАВОЧНИК!$N$8+('ФАКТ ЧИСТ ПОДЗЕМ'!AD7)*СПРАВОЧНИК!$O$8+('ФАКТ ЧИСТ ПОДЗЕМ'!AE7)*СПРАВОЧНИК!$P$8</f>
        <v/>
      </c>
      <c r="Q16" s="34" t="n"/>
      <c r="T16" s="152">
        <f>T15+7</f>
        <v/>
      </c>
      <c r="U16" s="17">
        <f>СПРАВОЧНИК!$E$9*('ПЛАН ЧЕРН К1'!B7*СПРАВОЧНИК!$H$9+'ПЛАН ЧЕРН К1'!C7*СПРАВОЧНИК!$I$9+'ПЛАН ЧЕРН К1'!D7*СПРАВОЧНИК!$J$9)+СПРАВОЧНИК!$F$9*('ПЛАН ЧИСТ К1'!B7*СПРАВОЧНИК!$L$9+'ПЛАН ЧИСТ К1'!C7*СПРАВОЧНИК!$M$9+'ПЛАН ЧИСТ К1'!D7*СПРАВОЧНИК!$N$9+'ПЛАН ЧИСТ К1'!E7*СПРАВОЧНИК!$O$9+'ПЛАН ЧИСТ К1'!F7*СПРАВОЧНИК!$P$9)+СПРАВОЧНИК!$E$10*('ПЛАН ЧЕРН К1'!E7*СПРАВОЧНИК!$H$10+'ПЛАН ЧЕРН К1'!F7*СПРАВОЧНИК!$I$10+'ПЛАН ЧЕРН К1'!G7*СПРАВОЧНИК!$J$10)+СПРАВОЧНИК!$F$10*('ПЛАН ЧИСТ К1'!G7*СПРАВОЧНИК!$L$10+'ПЛАН ЧИСТ К1'!H7*СПРАВОЧНИК!$M$10+'ПЛАН ЧИСТ К1'!I7*СПРАВОЧНИК!$N$10+'ПЛАН ЧИСТ К1'!J7*СПРАВОЧНИК!$O$10+'ПЛАН ЧИСТ К1'!K7*СПРАВОЧНИК!$P$10)+СПРАВОЧНИК!$E$11*('ПЛАН ЧЕРН К1'!H7*СПРАВОЧНИК!$H$11+'ПЛАН ЧЕРН К1'!I7*СПРАВОЧНИК!$I$11+'ПЛАН ЧЕРН К1'!J7*СПРАВОЧНИК!$J$11)+СПРАВОЧНИК!$F$11*('ПЛАН ЧИСТ К1'!L7*СПРАВОЧНИК!$L$11+'ПЛАН ЧИСТ К1'!M7*СПРАВОЧНИК!$M$11+'ПЛАН ЧИСТ К1'!N7*СПРАВОЧНИК!$N$11+'ПЛАН ЧИСТ К1'!O7*СПРАВОЧНИК!$O$11+'ПЛАН ЧИСТ К1'!P7*СПРАВОЧНИК!$P$11)+СПРАВОЧНИК!$E$12*('ПЛАН ЧЕРН К1'!K7*СПРАВОЧНИК!$H$12+'ПЛАН ЧЕРН К1'!L7*СПРАВОЧНИК!$I$12+'ПЛАН ЧЕРН К1'!M7*СПРАВОЧНИК!$J$12)+СПРАВОЧНИК!$F$12*('ПЛАН ЧИСТ К1'!Q7*СПРАВОЧНИК!$L$12+'ПЛАН ЧИСТ К1'!R7*СПРАВОЧНИК!$M$12+'ПЛАН ЧИСТ К1'!S7*СПРАВОЧНИК!$N$12+'ПЛАН ЧИСТ К1'!T7*СПРАВОЧНИК!$O$12+'ПЛАН ЧИСТ К1'!U7*СПРАВОЧНИК!$P$12)+СПРАВОЧНИК!$E$13*('ПЛАН ЧЕРН К1'!N7*СПРАВОЧНИК!$H$13+'ПЛАН ЧЕРН К1'!O7*СПРАВОЧНИК!$I$13+'ПЛАН ЧЕРН К1'!P7*СПРАВОЧНИК!$J$13)+СПРАВОЧНИК!$F$13*('ПЛАН ЧИСТ К1'!V7*СПРАВОЧНИК!$L$13+'ПЛАН ЧИСТ К1'!W7*СПРАВОЧНИК!$M$13+'ПЛАН ЧИСТ К1'!X7*СПРАВОЧНИК!$N$13+'ПЛАН ЧИСТ К1'!Y7*СПРАВОЧНИК!$O$13+'ПЛАН ЧИСТ К1'!Z7*СПРАВОЧНИК!$P$13)+СПРАВОЧНИК!$E$14*('ПЛАН ЧЕРН К1'!Q7*СПРАВОЧНИК!$H$14+'ПЛАН ЧЕРН К1'!R7*СПРАВОЧНИК!$I$14+'ПЛАН ЧЕРН К1'!S7*СПРАВОЧНИК!$J$14)+СПРАВОЧНИК!$F$14*('ПЛАН ЧИСТ К1'!AA7*СПРАВОЧНИК!$L$14+'ПЛАН ЧИСТ К1'!AB7*СПРАВОЧНИК!$M$14+'ПЛАН ЧИСТ К1'!AC7*СПРАВОЧНИК!$N$14+'ПЛАН ЧИСТ К1'!AD7*СПРАВОЧНИК!$O$14+'ПЛАН ЧИСТ К1'!AE7*СПРАВОЧНИК!$P$14)+СПРАВОЧНИК!$E$15*('ПЛАН ЧЕРН К1'!T7*СПРАВОЧНИК!$H$15+'ПЛАН ЧЕРН К1'!U7*СПРАВОЧНИК!$I$15+'ПЛАН ЧЕРН К1'!V7*СПРАВОЧНИК!$J$15)+СПРАВОЧНИК!$F$15*('ПЛАН ЧИСТ К1'!AF7*СПРАВОЧНИК!$L$15+'ПЛАН ЧИСТ К1'!AG7*СПРАВОЧНИК!$M$15+'ПЛАН ЧИСТ К1'!AH7*СПРАВОЧНИК!$N$15+'ПЛАН ЧИСТ К1'!AI7*СПРАВОЧНИК!$O$15+'ПЛАН ЧИСТ К1'!AJ7*СПРАВОЧНИК!$P$15)</f>
        <v/>
      </c>
      <c r="V16" s="31">
        <f>СПРАВОЧНИК!$E$9*('ФАКТ ЧЕРН К1'!B7*СПРАВОЧНИК!$H$9+'ФАКТ ЧЕРН К1'!C7*СПРАВОЧНИК!$I$9+'ФАКТ ЧЕРН К1'!D7*СПРАВОЧНИК!$J$9)+СПРАВОЧНИК!$F$9*('ФАКТ ЧИСТ К1'!B7*СПРАВОЧНИК!$L$9+'ФАКТ ЧИСТ К1'!C7*СПРАВОЧНИК!$M$9+'ФАКТ ЧИСТ К1'!D7*СПРАВОЧНИК!$N$9+'ФАКТ ЧИСТ К1'!E7*СПРАВОЧНИК!$O$9+'ФАКТ ЧИСТ К1'!F7*СПРАВОЧНИК!$P$9)+СПРАВОЧНИК!$E$10*('ФАКТ ЧЕРН К1'!E7*СПРАВОЧНИК!$H$10+'ФАКТ ЧЕРН К1'!F7*СПРАВОЧНИК!$I$10+'ФАКТ ЧЕРН К1'!G7*СПРАВОЧНИК!$J$10)+СПРАВОЧНИК!$F$10*('ФАКТ ЧИСТ К1'!G7*СПРАВОЧНИК!$L$10+'ФАКТ ЧИСТ К1'!H7*СПРАВОЧНИК!$M$10+'ФАКТ ЧИСТ К1'!I7*СПРАВОЧНИК!$N$10+'ФАКТ ЧИСТ К1'!J7*СПРАВОЧНИК!$O$10+'ФАКТ ЧИСТ К1'!K7*СПРАВОЧНИК!$P$10)+СПРАВОЧНИК!$E$11*('ФАКТ ЧЕРН К1'!H7*СПРАВОЧНИК!$H$11+'ФАКТ ЧЕРН К1'!I7*СПРАВОЧНИК!$I$11+'ФАКТ ЧЕРН К1'!J7*СПРАВОЧНИК!$J$11)+СПРАВОЧНИК!$F$11*('ФАКТ ЧИСТ К1'!L7*СПРАВОЧНИК!$L$11+'ФАКТ ЧИСТ К1'!M7*СПРАВОЧНИК!$M$11+'ФАКТ ЧИСТ К1'!N7*СПРАВОЧНИК!$N$11+'ФАКТ ЧИСТ К1'!O7*СПРАВОЧНИК!$O$11+'ФАКТ ЧИСТ К1'!P7*СПРАВОЧНИК!$P$11)+СПРАВОЧНИК!$E$12*('ФАКТ ЧЕРН К1'!K7*СПРАВОЧНИК!$H$12+'ФАКТ ЧЕРН К1'!L7*СПРАВОЧНИК!$I$12+'ФАКТ ЧЕРН К1'!M7*СПРАВОЧНИК!$J$12)+СПРАВОЧНИК!$F$12*('ФАКТ ЧИСТ К1'!Q7*СПРАВОЧНИК!$L$12+'ФАКТ ЧИСТ К1'!R7*СПРАВОЧНИК!$M$12+'ФАКТ ЧИСТ К1'!S7*СПРАВОЧНИК!$N$12+'ФАКТ ЧИСТ К1'!T7*СПРАВОЧНИК!$O$12+'ФАКТ ЧИСТ К1'!U7*СПРАВОЧНИК!$P$12)+СПРАВОЧНИК!$E$13*('ФАКТ ЧЕРН К1'!N7*СПРАВОЧНИК!$H$13+'ФАКТ ЧЕРН К1'!O7*СПРАВОЧНИК!$I$13+'ФАКТ ЧЕРН К1'!P7*СПРАВОЧНИК!$J$13)+СПРАВОЧНИК!$F$13*('ФАКТ ЧИСТ К1'!V7*СПРАВОЧНИК!$L$13+'ФАКТ ЧИСТ К1'!W7*СПРАВОЧНИК!$M$13+'ФАКТ ЧИСТ К1'!X7*СПРАВОЧНИК!$N$13+'ФАКТ ЧИСТ К1'!Y7*СПРАВОЧНИК!$O$13+'ФАКТ ЧИСТ К1'!Z7*СПРАВОЧНИК!$P$13)+СПРАВОЧНИК!$E$14*('ФАКТ ЧЕРН К1'!Q7*СПРАВОЧНИК!$H$14+'ФАКТ ЧЕРН К1'!R7*СПРАВОЧНИК!$I$14+'ФАКТ ЧЕРН К1'!S7*СПРАВОЧНИК!$J$14)+СПРАВОЧНИК!$F$14*('ФАКТ ЧИСТ К1'!AA7*СПРАВОЧНИК!$L$14+'ФАКТ ЧИСТ К1'!AB7*СПРАВОЧНИК!$M$14+'ФАКТ ЧИСТ К1'!AC7*СПРАВОЧНИК!$N$14+'ФАКТ ЧИСТ К1'!AD7*СПРАВОЧНИК!$O$14+'ФАКТ ЧИСТ К1'!AE7*СПРАВОЧНИК!$P$14)+СПРАВОЧНИК!$E$15*('ФАКТ ЧЕРН К1'!T7*СПРАВОЧНИК!$H$15+'ФАКТ ЧЕРН К1'!U7*СПРАВОЧНИК!$I$15+'ФАКТ ЧЕРН К1'!V7*СПРАВОЧНИК!$J$15)+СПРАВОЧНИК!$F$15*('ФАКТ ЧИСТ К1'!AF7*СПРАВОЧНИК!$L$15+'ФАКТ ЧИСТ К1'!AG7*СПРАВОЧНИК!$M$15+'ФАКТ ЧИСТ К1'!AH7*СПРАВОЧНИК!$N$15+'ФАКТ ЧИСТ К1'!AI7*СПРАВОЧНИК!$O$15+'ФАКТ ЧИСТ К1'!AJ7*СПРАВОЧНИК!$P$15)</f>
        <v/>
      </c>
      <c r="W16" s="34" t="n"/>
      <c r="Z16" s="152">
        <f>Z15+7</f>
        <v/>
      </c>
      <c r="AA16" s="17">
        <f>'ПЛАН ЧЕРН К1'!B7*СПРАВОЧНИК!$H$9+'ПЛАН ЧЕРН К1'!C7*СПРАВОЧНИК!$I$9+'ПЛАН ЧЕРН К1'!D7*СПРАВОЧНИК!$J$9+'ПЛАН ЧЕРН К1'!E7*СПРАВОЧНИК!$H$10+'ПЛАН ЧЕРН К1'!F7*СПРАВОЧНИК!$I$10+'ПЛАН ЧЕРН К1'!G7*СПРАВОЧНИК!$J$10+'ПЛАН ЧЕРН К1'!H7*СПРАВОЧНИК!$H$11+'ПЛАН ЧЕРН К1'!I7*СПРАВОЧНИК!$I$11+'ПЛАН ЧЕРН К1'!J7*СПРАВОЧНИК!$J$11+'ПЛАН ЧЕРН К1'!K7*СПРАВОЧНИК!$H$12+'ПЛАН ЧЕРН К1'!L7*СПРАВОЧНИК!$I$12+'ПЛАН ЧЕРН К1'!M7*СПРАВОЧНИК!$J$12+'ПЛАН ЧЕРН К1'!N7*СПРАВОЧНИК!$H$13+'ПЛАН ЧЕРН К1'!O7*СПРАВОЧНИК!$I$13+'ПЛАН ЧЕРН К1'!P7*СПРАВОЧНИК!$J$13+'ПЛАН ЧЕРН К1'!Q7*СПРАВОЧНИК!$H$14+'ПЛАН ЧЕРН К1'!R7*СПРАВОЧНИК!$I$14+'ПЛАН ЧЕРН К1'!S7*СПРАВОЧНИК!$J$14+'ПЛАН ЧЕРН К1'!T7*СПРАВОЧНИК!$H$15+'ПЛАН ЧЕРН К1'!U7*СПРАВОЧНИК!$I$15+'ПЛАН ЧЕРН К1'!V7*СПРАВОЧНИК!$J$15</f>
        <v/>
      </c>
      <c r="AB16" s="31">
        <f>('ФАКТ ЧЕРН К1'!B7)*СПРАВОЧНИК!$H$9+('ФАКТ ЧЕРН К1'!C7)*СПРАВОЧНИК!$I$9+('ФАКТ ЧЕРН К1'!D7)*СПРАВОЧНИК!$J$9+('ФАКТ ЧЕРН К1'!E7)*СПРАВОЧНИК!$H$10+('ФАКТ ЧЕРН К1'!F7)*СПРАВОЧНИК!$I$10+('ФАКТ ЧЕРН К1'!G7)*СПРАВОЧНИК!$J$10+('ФАКТ ЧЕРН К1'!H7)*СПРАВОЧНИК!$H$11+('ФАКТ ЧЕРН К1'!I7)*СПРАВОЧНИК!$I$11+('ФАКТ ЧЕРН К1'!J7)*СПРАВОЧНИК!$J$11+('ФАКТ ЧЕРН К1'!K7)*СПРАВОЧНИК!$H$12+('ФАКТ ЧЕРН К1'!L7)*СПРАВОЧНИК!$I$12+('ФАКТ ЧЕРН К1'!M7)*СПРАВОЧНИК!$J$12+('ФАКТ ЧЕРН К1'!N7)*СПРАВОЧНИК!$H$13+('ФАКТ ЧЕРН К1'!O7)*СПРАВОЧНИК!$I$13+('ФАКТ ЧЕРН К1'!P7)*СПРАВОЧНИК!$J$13+('ФАКТ ЧЕРН К1'!Q7)*СПРАВОЧНИК!$H$14+('ФАКТ ЧЕРН К1'!R7)*СПРАВОЧНИК!$I$14+('ФАКТ ЧЕРН К1'!S7)*СПРАВОЧНИК!$J$14+('ФАКТ ЧЕРН К1'!T7)*СПРАВОЧНИК!$H$15+('ФАКТ ЧЕРН К1'!U7)*СПРАВОЧНИК!$I$15+('ФАКТ ЧЕРН К1'!V7)*СПРАВОЧНИК!$J$15</f>
        <v/>
      </c>
      <c r="AC16" s="34" t="n"/>
      <c r="AF16" s="152">
        <f>AF15+7</f>
        <v/>
      </c>
      <c r="AG16" s="17">
        <f>'ПЛАН ЧИСТ К1'!B7*СПРАВОЧНИК!$L$9+'ПЛАН ЧИСТ К1'!C7*СПРАВОЧНИК!$M$9+'ПЛАН ЧИСТ К1'!D7*СПРАВОЧНИК!$N$9+'ПЛАН ЧИСТ К1'!E7*СПРАВОЧНИК!$O$9+'ПЛАН ЧИСТ К1'!F7*СПРАВОЧНИК!$P$9+'ПЛАН ЧИСТ К1'!G7*СПРАВОЧНИК!$L$10+'ПЛАН ЧИСТ К1'!H7*СПРАВОЧНИК!$M$10+'ПЛАН ЧИСТ К1'!I7*СПРАВОЧНИК!$N$10+'ПЛАН ЧИСТ К1'!J7*СПРАВОЧНИК!$O$10+'ПЛАН ЧИСТ К1'!K7*СПРАВОЧНИК!$P$10+'ПЛАН ЧИСТ К1'!L7*СПРАВОЧНИК!$L$11+'ПЛАН ЧИСТ К1'!M7*СПРАВОЧНИК!$M$11+'ПЛАН ЧИСТ К1'!N7*СПРАВОЧНИК!$N$11+'ПЛАН ЧИСТ К1'!O7*СПРАВОЧНИК!$O$11+'ПЛАН ЧИСТ К1'!P7*СПРАВОЧНИК!$P$11+'ПЛАН ЧИСТ К1'!Q7*СПРАВОЧНИК!$L$12+'ПЛАН ЧИСТ К1'!R7*СПРАВОЧНИК!$M$12+'ПЛАН ЧИСТ К1'!S7*СПРАВОЧНИК!$N$12+'ПЛАН ЧИСТ К1'!T7*СПРАВОЧНИК!$O$12+'ПЛАН ЧИСТ К1'!U7*СПРАВОЧНИК!$P$12+'ПЛАН ЧИСТ К1'!V7*СПРАВОЧНИК!$L$13+'ПЛАН ЧИСТ К1'!W7*СПРАВОЧНИК!$M$13+'ПЛАН ЧИСТ К1'!X7*СПРАВОЧНИК!$N$13+'ПЛАН ЧИСТ К1'!Y7*СПРАВОЧНИК!$O$13+'ПЛАН ЧИСТ К1'!Z7*СПРАВОЧНИК!$P$13+'ПЛАН ЧИСТ К1'!AA7*СПРАВОЧНИК!$L$14+'ПЛАН ЧИСТ К1'!AB7*СПРАВОЧНИК!$M$14+'ПЛАН ЧИСТ К1'!AC7*СПРАВОЧНИК!$N$14+'ПЛАН ЧИСТ К1'!AD7*СПРАВОЧНИК!$O$14+'ПЛАН ЧИСТ К1'!AE7*СПРАВОЧНИК!$P$14+'ПЛАН ЧИСТ К1'!AF7*СПРАВОЧНИК!$L$15+'ПЛАН ЧИСТ К1'!AG7*СПРАВОЧНИК!$M$15+'ПЛАН ЧИСТ К1'!AH7*СПРАВОЧНИК!$N$15+'ПЛАН ЧИСТ К1'!AI7*СПРАВОЧНИК!$O$15+'ПЛАН ЧИСТ К1'!AJ7*СПРАВОЧНИК!$P$15</f>
        <v/>
      </c>
      <c r="AH16" s="31">
        <f>('ФАКТ ЧИСТ К1'!B7)*СПРАВОЧНИК!$L$9+('ФАКТ ЧИСТ К1'!C7)*СПРАВОЧНИК!$M$9+('ФАКТ ЧИСТ К1'!D7)*СПРАВОЧНИК!$N$9+('ФАКТ ЧИСТ К1'!E7)*СПРАВОЧНИК!$O$9+('ФАКТ ЧИСТ К1'!F7)*СПРАВОЧНИК!$P$9+('ФАКТ ЧИСТ К1'!G7)*СПРАВОЧНИК!$L$10+('ФАКТ ЧИСТ К1'!H7)*СПРАВОЧНИК!$M$10+('ФАКТ ЧИСТ К1'!I7)*СПРАВОЧНИК!$N$10+('ФАКТ ЧИСТ К1'!J7)*СПРАВОЧНИК!$O$10+('ФАКТ ЧИСТ К1'!K7)*СПРАВОЧНИК!$P$10+('ФАКТ ЧИСТ К1'!L7)*СПРАВОЧНИК!$L$11+('ФАКТ ЧИСТ К1'!M7)*СПРАВОЧНИК!$M$11+('ФАКТ ЧИСТ К1'!N7)*СПРАВОЧНИК!$N$11+('ФАКТ ЧИСТ К1'!O7)*СПРАВОЧНИК!$O$11+('ФАКТ ЧИСТ К1'!P7)*СПРАВОЧНИК!$P$11+('ФАКТ ЧИСТ К1'!Q7)*СПРАВОЧНИК!$L$12+('ФАКТ ЧИСТ К1'!R7)*СПРАВОЧНИК!$M$12+('ФАКТ ЧИСТ К1'!S7)*СПРАВОЧНИК!$N$12+('ФАКТ ЧИСТ К1'!T7)*СПРАВОЧНИК!$O$12+('ФАКТ ЧИСТ К1'!U7)*СПРАВОЧНИК!$P$12+('ФАКТ ЧИСТ К1'!V7)*СПРАВОЧНИК!$L$13+('ФАКТ ЧИСТ К1'!W7)*СПРАВОЧНИК!$M$13+('ФАКТ ЧИСТ К1'!X7)*СПРАВОЧНИК!$N$13+('ФАКТ ЧИСТ К1'!Y7)*СПРАВОЧНИК!$O$13+('ФАКТ ЧИСТ К1'!Z7)*СПРАВОЧНИК!$P$13+('ФАКТ ЧИСТ К1'!AA7)*СПРАВОЧНИК!$L$14+('ФАКТ ЧИСТ К1'!AB7)*СПРАВОЧНИК!$M$14+('ФАКТ ЧИСТ К1'!AC7)*СПРАВОЧНИК!$N$14+('ФАКТ ЧИСТ К1'!AD7)*СПРАВОЧНИК!$O$14+('ФАКТ ЧИСТ К1'!AE7)*СПРАВОЧНИК!$P$14+('ФАКТ ЧИСТ К1'!AF7)*СПРАВОЧНИК!$L$15+('ФАКТ ЧИСТ К1'!AG7)*СПРАВОЧНИК!$M$15+('ФАКТ ЧИСТ К1'!AH7)*СПРАВОЧНИК!$N$15+('ФАКТ ЧИСТ К1'!AI7)*СПРАВОЧНИК!$O$15+('ФАКТ ЧИСТ К1'!AJ7)*СПРАВОЧНИК!$P$15</f>
        <v/>
      </c>
      <c r="AI16" s="34" t="n"/>
      <c r="AL16" s="152">
        <f>AL15+7</f>
        <v/>
      </c>
      <c r="AM16" s="17">
        <f>СПРАВОЧНИК!$E$9*('ПЛАН ЧЕРН К2'!B7*СПРАВОЧНИК!$H$9+'ПЛАН ЧЕРН К2'!C7*СПРАВОЧНИК!$I$9+'ПЛАН ЧЕРН К2'!D7*СПРАВОЧНИК!$J$9)+СПРАВОЧНИК!$F$9*('ПЛАН ЧИСТ К2'!B7*СПРАВОЧНИК!$L$9+'ПЛАН ЧИСТ К2'!C7*СПРАВОЧНИК!$M$9+'ПЛАН ЧИСТ К2'!D7*СПРАВОЧНИК!$N$9+'ПЛАН ЧИСТ К2'!E7*СПРАВОЧНИК!$O$9+'ПЛАН ЧИСТ К2'!F7*СПРАВОЧНИК!$P$9)+СПРАВОЧНИК!$E$10*('ПЛАН ЧЕРН К2'!E7*СПРАВОЧНИК!$H$10+'ПЛАН ЧЕРН К2'!F7*СПРАВОЧНИК!$I$10+'ПЛАН ЧЕРН К2'!G7*СПРАВОЧНИК!$J$10)+СПРАВОЧНИК!$F$10*('ПЛАН ЧИСТ К2'!G7*СПРАВОЧНИК!$L$10+'ПЛАН ЧИСТ К2'!H7*СПРАВОЧНИК!$M$10+'ПЛАН ЧИСТ К2'!I7*СПРАВОЧНИК!$N$10+'ПЛАН ЧИСТ К2'!J7*СПРАВОЧНИК!$O$10+'ПЛАН ЧИСТ К2'!K7*СПРАВОЧНИК!$P$10)+СПРАВОЧНИК!$E$11*('ПЛАН ЧЕРН К2'!H7*СПРАВОЧНИК!$H$11+'ПЛАН ЧЕРН К2'!I7*СПРАВОЧНИК!$I$11+'ПЛАН ЧЕРН К2'!J7*СПРАВОЧНИК!$J$11)+СПРАВОЧНИК!$F$11*('ПЛАН ЧИСТ К2'!L7*СПРАВОЧНИК!$L$11+'ПЛАН ЧИСТ К2'!M7*СПРАВОЧНИК!$M$11+'ПЛАН ЧИСТ К2'!N7*СПРАВОЧНИК!$N$11+'ПЛАН ЧИСТ К2'!O7*СПРАВОЧНИК!$O$11+'ПЛАН ЧИСТ К2'!P7*СПРАВОЧНИК!$P$11)+СПРАВОЧНИК!$E$12*('ПЛАН ЧЕРН К2'!K7*СПРАВОЧНИК!$H$12+'ПЛАН ЧЕРН К2'!L7*СПРАВОЧНИК!$I$12+'ПЛАН ЧЕРН К2'!M7*СПРАВОЧНИК!$J$12)+СПРАВОЧНИК!$F$12*('ПЛАН ЧИСТ К2'!Q7*СПРАВОЧНИК!$L$12+'ПЛАН ЧИСТ К2'!R7*СПРАВОЧНИК!$M$12+'ПЛАН ЧИСТ К2'!S7*СПРАВОЧНИК!$N$12+'ПЛАН ЧИСТ К2'!T7*СПРАВОЧНИК!$O$12+'ПЛАН ЧИСТ К2'!U7*СПРАВОЧНИК!$P$12)+СПРАВОЧНИК!$E$13*('ПЛАН ЧЕРН К2'!N7*СПРАВОЧНИК!$H$13+'ПЛАН ЧЕРН К2'!O7*СПРАВОЧНИК!$I$13+'ПЛАН ЧЕРН К2'!P7*СПРАВОЧНИК!$J$13)+СПРАВОЧНИК!$F$13*('ПЛАН ЧИСТ К2'!V7*СПРАВОЧНИК!$L$13+'ПЛАН ЧИСТ К2'!W7*СПРАВОЧНИК!$M$13+'ПЛАН ЧИСТ К2'!X7*СПРАВОЧНИК!$N$13+'ПЛАН ЧИСТ К2'!Y7*СПРАВОЧНИК!$O$13+'ПЛАН ЧИСТ К2'!Z7*СПРАВОЧНИК!$P$13)+СПРАВОЧНИК!$E$14*('ПЛАН ЧЕРН К2'!Q7*СПРАВОЧНИК!$H$14+'ПЛАН ЧЕРН К2'!R7*СПРАВОЧНИК!$I$14+'ПЛАН ЧЕРН К2'!S7*СПРАВОЧНИК!$J$14)+СПРАВОЧНИК!$F$14*('ПЛАН ЧИСТ К2'!AA7*СПРАВОЧНИК!$L$14+'ПЛАН ЧИСТ К2'!AB7*СПРАВОЧНИК!$M$14+'ПЛАН ЧИСТ К2'!AC7*СПРАВОЧНИК!$N$14+'ПЛАН ЧИСТ К2'!AD7*СПРАВОЧНИК!$O$14+'ПЛАН ЧИСТ К2'!AE7*СПРАВОЧНИК!$P$14)+СПРАВОЧНИК!$E$15*('ПЛАН ЧЕРН К2'!T7*СПРАВОЧНИК!$H$15+'ПЛАН ЧЕРН К2'!U7*СПРАВОЧНИК!$I$15+'ПЛАН ЧЕРН К2'!V7*СПРАВОЧНИК!$J$15)+СПРАВОЧНИК!$F$15*('ПЛАН ЧИСТ К2'!AF7*СПРАВОЧНИК!$L$15+'ПЛАН ЧИСТ К2'!AG7*СПРАВОЧНИК!$M$15+'ПЛАН ЧИСТ К2'!AH7*СПРАВОЧНИК!$N$15+'ПЛАН ЧИСТ К2'!AI7*СПРАВОЧНИК!$O$15+'ПЛАН ЧИСТ К2'!AJ7*СПРАВОЧНИК!$P$15)</f>
        <v/>
      </c>
      <c r="AN16" s="31">
        <f>СПРАВОЧНИК!$E$9*('ФАКТ ЧЕРН К2'!B7*СПРАВОЧНИК!$H$9+'ФАКТ ЧЕРН К2'!C7*СПРАВОЧНИК!$I$9+'ФАКТ ЧЕРН К2'!D7*СПРАВОЧНИК!$J$9)+СПРАВОЧНИК!$F$9*('ФАКТ ЧИСТ К2'!B7*СПРАВОЧНИК!$L$9+'ФАКТ ЧИСТ К2'!C7*СПРАВОЧНИК!$M$9+'ФАКТ ЧИСТ К2'!D7*СПРАВОЧНИК!$N$9+'ФАКТ ЧИСТ К2'!E7*СПРАВОЧНИК!$O$9+'ФАКТ ЧИСТ К2'!F7*СПРАВОЧНИК!$P$9)+СПРАВОЧНИК!$E$10*('ФАКТ ЧЕРН К2'!E7*СПРАВОЧНИК!$H$10+'ФАКТ ЧЕРН К2'!F7*СПРАВОЧНИК!$I$10+'ФАКТ ЧЕРН К2'!G7*СПРАВОЧНИК!$J$10)+СПРАВОЧНИК!$F$10*('ФАКТ ЧИСТ К2'!G7*СПРАВОЧНИК!$L$10+'ФАКТ ЧИСТ К2'!H7*СПРАВОЧНИК!$M$10+'ФАКТ ЧИСТ К2'!I7*СПРАВОЧНИК!$N$10+'ФАКТ ЧИСТ К2'!J7*СПРАВОЧНИК!$O$10+'ФАКТ ЧИСТ К2'!K7*СПРАВОЧНИК!$P$10)+СПРАВОЧНИК!$E$11*('ФАКТ ЧЕРН К2'!H7*СПРАВОЧНИК!$H$11+'ФАКТ ЧЕРН К2'!I7*СПРАВОЧНИК!$I$11+'ФАКТ ЧЕРН К2'!J7*СПРАВОЧНИК!$J$11)+СПРАВОЧНИК!$F$11*('ФАКТ ЧИСТ К2'!L7*СПРАВОЧНИК!$L$11+'ФАКТ ЧИСТ К2'!M7*СПРАВОЧНИК!$M$11+'ФАКТ ЧИСТ К2'!N7*СПРАВОЧНИК!$N$11+'ФАКТ ЧИСТ К2'!O7*СПРАВОЧНИК!$O$11+'ФАКТ ЧИСТ К2'!P7*СПРАВОЧНИК!$P$11)+СПРАВОЧНИК!$E$12*('ФАКТ ЧЕРН К2'!K7*СПРАВОЧНИК!$H$12+'ФАКТ ЧЕРН К2'!L7*СПРАВОЧНИК!$I$12+'ФАКТ ЧЕРН К2'!M7*СПРАВОЧНИК!$J$12)+СПРАВОЧНИК!$F$12*('ФАКТ ЧИСТ К2'!Q7*СПРАВОЧНИК!$L$12+'ФАКТ ЧИСТ К2'!R7*СПРАВОЧНИК!$M$12+'ФАКТ ЧИСТ К2'!S7*СПРАВОЧНИК!$N$12+'ФАКТ ЧИСТ К2'!T7*СПРАВОЧНИК!$O$12+'ФАКТ ЧИСТ К2'!U7*СПРАВОЧНИК!$P$12)+СПРАВОЧНИК!$E$13*('ФАКТ ЧЕРН К2'!N7*СПРАВОЧНИК!$H$13+'ФАКТ ЧЕРН К2'!O7*СПРАВОЧНИК!$I$13+'ФАКТ ЧЕРН К2'!P7*СПРАВОЧНИК!$J$13)+СПРАВОЧНИК!$F$13*('ФАКТ ЧИСТ К2'!V7*СПРАВОЧНИК!$L$13+'ФАКТ ЧИСТ К2'!W7*СПРАВОЧНИК!$M$13+'ФАКТ ЧИСТ К2'!X7*СПРАВОЧНИК!$N$13+'ФАКТ ЧИСТ К2'!Y7*СПРАВОЧНИК!$O$13+'ФАКТ ЧИСТ К2'!Z7*СПРАВОЧНИК!$P$13)+СПРАВОЧНИК!$E$14*('ФАКТ ЧЕРН К2'!Q7*СПРАВОЧНИК!$H$14+'ФАКТ ЧЕРН К2'!R7*СПРАВОЧНИК!$I$14+'ФАКТ ЧЕРН К2'!S7*СПРАВОЧНИК!$J$14)+СПРАВОЧНИК!$F$14*('ФАКТ ЧИСТ К2'!AA7*СПРАВОЧНИК!$L$14+'ФАКТ ЧИСТ К2'!AB7*СПРАВОЧНИК!$M$14+'ФАКТ ЧИСТ К2'!AC7*СПРАВОЧНИК!$N$14+'ФАКТ ЧИСТ К2'!AD7*СПРАВОЧНИК!$O$14+'ФАКТ ЧИСТ К2'!AE7*СПРАВОЧНИК!$P$14)+СПРАВОЧНИК!$E$15*('ФАКТ ЧЕРН К2'!T7*СПРАВОЧНИК!$H$15+'ФАКТ ЧЕРН К2'!U7*СПРАВОЧНИК!$I$15+'ФАКТ ЧЕРН К2'!V7*СПРАВОЧНИК!$J$15)+СПРАВОЧНИК!$F$15*('ФАКТ ЧИСТ К2'!AF7*СПРАВОЧНИК!$L$15+'ФАКТ ЧИСТ К2'!AG7*СПРАВОЧНИК!$M$15+'ФАКТ ЧИСТ К2'!AH7*СПРАВОЧНИК!$N$15+'ФАКТ ЧИСТ К2'!AI7*СПРАВОЧНИК!$O$15+'ФАКТ ЧИСТ К2'!AJ7*СПРАВОЧНИК!$P$15)</f>
        <v/>
      </c>
      <c r="AO16" s="34" t="n"/>
      <c r="AR16" s="152">
        <f>AR15+7</f>
        <v/>
      </c>
      <c r="AS16" s="17">
        <f>'ПЛАН ЧЕРН К2'!B7*СПРАВОЧНИК!$H$9+'ПЛАН ЧЕРН К2'!C7*СПРАВОЧНИК!$I$9+'ПЛАН ЧЕРН К2'!D7*СПРАВОЧНИК!$J$9+'ПЛАН ЧЕРН К2'!E7*СПРАВОЧНИК!$H$10+'ПЛАН ЧЕРН К2'!F7*СПРАВОЧНИК!$I$10+'ПЛАН ЧЕРН К2'!G7*СПРАВОЧНИК!$J$10+'ПЛАН ЧЕРН К2'!H7*СПРАВОЧНИК!$H$11+'ПЛАН ЧЕРН К2'!I7*СПРАВОЧНИК!$I$11+'ПЛАН ЧЕРН К2'!J7*СПРАВОЧНИК!$J$11+'ПЛАН ЧЕРН К2'!K7*СПРАВОЧНИК!$H$12+'ПЛАН ЧЕРН К2'!L7*СПРАВОЧНИК!$I$12+'ПЛАН ЧЕРН К2'!M7*СПРАВОЧНИК!$J$12+'ПЛАН ЧЕРН К2'!N7*СПРАВОЧНИК!$H$13+'ПЛАН ЧЕРН К2'!O7*СПРАВОЧНИК!$I$13+'ПЛАН ЧЕРН К2'!P7*СПРАВОЧНИК!$J$13+'ПЛАН ЧЕРН К2'!Q7*СПРАВОЧНИК!$H$14+'ПЛАН ЧЕРН К2'!R7*СПРАВОЧНИК!$I$14+'ПЛАН ЧЕРН К2'!S7*СПРАВОЧНИК!$J$14+'ПЛАН ЧЕРН К2'!T7*СПРАВОЧНИК!$H$15+'ПЛАН ЧЕРН К2'!U7*СПРАВОЧНИК!$I$15+'ПЛАН ЧЕРН К2'!V7*СПРАВОЧНИК!$J$15</f>
        <v/>
      </c>
      <c r="AT16" s="31">
        <f>('ФАКТ ЧЕРН К2'!B7)*СПРАВОЧНИК!$H$9+('ФАКТ ЧЕРН К2'!C7)*СПРАВОЧНИК!$I$9+('ФАКТ ЧЕРН К2'!D7)*СПРАВОЧНИК!$J$9+('ФАКТ ЧЕРН К2'!E7)*СПРАВОЧНИК!$H$10+('ФАКТ ЧЕРН К2'!F7)*СПРАВОЧНИК!$I$10+('ФАКТ ЧЕРН К2'!G7)*СПРАВОЧНИК!$J$10+('ФАКТ ЧЕРН К2'!H7)*СПРАВОЧНИК!$H$11+('ФАКТ ЧЕРН К2'!I7)*СПРАВОЧНИК!$I$11+('ФАКТ ЧЕРН К2'!J7)*СПРАВОЧНИК!$J$11+('ФАКТ ЧЕРН К2'!K7)*СПРАВОЧНИК!$H$12+('ФАКТ ЧЕРН К2'!L7)*СПРАВОЧНИК!$I$12+('ФАКТ ЧЕРН К2'!M7)*СПРАВОЧНИК!$J$12+('ФАКТ ЧЕРН К2'!N7)*СПРАВОЧНИК!$H$13+('ФАКТ ЧЕРН К2'!O7)*СПРАВОЧНИК!$I$13+('ФАКТ ЧЕРН К2'!P7)*СПРАВОЧНИК!$J$13+('ФАКТ ЧЕРН К2'!Q7)*СПРАВОЧНИК!$H$14+('ФАКТ ЧЕРН К2'!R7)*СПРАВОЧНИК!$I$14+('ФАКТ ЧЕРН К2'!S7)*СПРАВОЧНИК!$J$14+('ФАКТ ЧЕРН К2'!T7)*СПРАВОЧНИК!$H$15+('ФАКТ ЧЕРН К2'!U7)*СПРАВОЧНИК!$I$15+('ФАКТ ЧЕРН К2'!V7)*СПРАВОЧНИК!$J$15</f>
        <v/>
      </c>
      <c r="AU16" s="34" t="n"/>
      <c r="AX16" s="152">
        <f>AX15+7</f>
        <v/>
      </c>
      <c r="AY16" s="17">
        <f>'ПЛАН ЧИСТ К2'!B7*СПРАВОЧНИК!$L$9+'ПЛАН ЧИСТ К2'!C7*СПРАВОЧНИК!$M$9+'ПЛАН ЧИСТ К2'!D7*СПРАВОЧНИК!$N$9+'ПЛАН ЧИСТ К2'!E7*СПРАВОЧНИК!$O$9+'ПЛАН ЧИСТ К2'!F7*СПРАВОЧНИК!$P$9+'ПЛАН ЧИСТ К2'!G7*СПРАВОЧНИК!$L$10+'ПЛАН ЧИСТ К2'!H7*СПРАВОЧНИК!$M$10+'ПЛАН ЧИСТ К2'!I7*СПРАВОЧНИК!$N$10+'ПЛАН ЧИСТ К2'!J7*СПРАВОЧНИК!$O$10+'ПЛАН ЧИСТ К2'!K7*СПРАВОЧНИК!$P$10+'ПЛАН ЧИСТ К2'!L7*СПРАВОЧНИК!$L$11+'ПЛАН ЧИСТ К2'!M7*СПРАВОЧНИК!$M$11+'ПЛАН ЧИСТ К2'!N7*СПРАВОЧНИК!$N$11+'ПЛАН ЧИСТ К2'!O7*СПРАВОЧНИК!$O$11+'ПЛАН ЧИСТ К2'!P7*СПРАВОЧНИК!$P$11+'ПЛАН ЧИСТ К2'!Q7*СПРАВОЧНИК!$L$12+'ПЛАН ЧИСТ К2'!R7*СПРАВОЧНИК!$M$12+'ПЛАН ЧИСТ К2'!S7*СПРАВОЧНИК!$N$12+'ПЛАН ЧИСТ К2'!T7*СПРАВОЧНИК!$O$12+'ПЛАН ЧИСТ К2'!U7*СПРАВОЧНИК!$P$12+'ПЛАН ЧИСТ К2'!V7*СПРАВОЧНИК!$L$13+'ПЛАН ЧИСТ К2'!W7*СПРАВОЧНИК!$M$13+'ПЛАН ЧИСТ К2'!X7*СПРАВОЧНИК!$N$13+'ПЛАН ЧИСТ К2'!Y7*СПРАВОЧНИК!$O$13+'ПЛАН ЧИСТ К2'!Z7*СПРАВОЧНИК!$P$13+'ПЛАН ЧИСТ К2'!AA7*СПРАВОЧНИК!$L$14+'ПЛАН ЧИСТ К2'!AB7*СПРАВОЧНИК!$M$14+'ПЛАН ЧИСТ К2'!AC7*СПРАВОЧНИК!$N$14+'ПЛАН ЧИСТ К2'!AD7*СПРАВОЧНИК!$O$14+'ПЛАН ЧИСТ К2'!AE7*СПРАВОЧНИК!$P$14+'ПЛАН ЧИСТ К2'!AF7*СПРАВОЧНИК!$L$15+'ПЛАН ЧИСТ К2'!AG7*СПРАВОЧНИК!$M$15+'ПЛАН ЧИСТ К2'!AH7*СПРАВОЧНИК!$N$15+'ПЛАН ЧИСТ К2'!AI7*СПРАВОЧНИК!$O$15+'ПЛАН ЧИСТ К2'!AJ7*СПРАВОЧНИК!$P$15</f>
        <v/>
      </c>
      <c r="AZ16" s="31">
        <f>('ФАКТ ЧИСТ К2'!B7)*СПРАВОЧНИК!$L$9+('ФАКТ ЧИСТ К2'!C7)*СПРАВОЧНИК!$M$9+('ФАКТ ЧИСТ К2'!D7)*СПРАВОЧНИК!$N$9+('ФАКТ ЧИСТ К2'!E7)*СПРАВОЧНИК!$O$9+('ФАКТ ЧИСТ К2'!F7)*СПРАВОЧНИК!$P$9+('ФАКТ ЧИСТ К2'!G7)*СПРАВОЧНИК!$L$10+('ФАКТ ЧИСТ К2'!H7)*СПРАВОЧНИК!$M$10+('ФАКТ ЧИСТ К2'!I7)*СПРАВОЧНИК!$N$10+('ФАКТ ЧИСТ К2'!J7)*СПРАВОЧНИК!$O$10+('ФАКТ ЧИСТ К2'!K7)*СПРАВОЧНИК!$P$10+('ФАКТ ЧИСТ К2'!L7)*СПРАВОЧНИК!$L$11+('ФАКТ ЧИСТ К2'!M7)*СПРАВОЧНИК!$M$11+('ФАКТ ЧИСТ К2'!N7)*СПРАВОЧНИК!$N$11+('ФАКТ ЧИСТ К2'!O7)*СПРАВОЧНИК!$O$11+('ФАКТ ЧИСТ К2'!P7)*СПРАВОЧНИК!$P$11+('ФАКТ ЧИСТ К2'!Q7)*СПРАВОЧНИК!$L$12+('ФАКТ ЧИСТ К2'!R7)*СПРАВОЧНИК!$M$12+('ФАКТ ЧИСТ К2'!S7)*СПРАВОЧНИК!$N$12+('ФАКТ ЧИСТ К2'!T7)*СПРАВОЧНИК!$O$12+('ФАКТ ЧИСТ К2'!U7)*СПРАВОЧНИК!$P$12+('ФАКТ ЧИСТ К2'!V7)*СПРАВОЧНИК!$L$13+('ФАКТ ЧИСТ К2'!W7)*СПРАВОЧНИК!$M$13+('ФАКТ ЧИСТ К2'!X7)*СПРАВОЧНИК!$N$13+('ФАКТ ЧИСТ К2'!Y7)*СПРАВОЧНИК!$O$13+('ФАКТ ЧИСТ К2'!Z7)*СПРАВОЧНИК!$P$13+('ФАКТ ЧИСТ К2'!AA7)*СПРАВОЧНИК!$L$14+('ФАКТ ЧИСТ К2'!AB7)*СПРАВОЧНИК!$M$14+('ФАКТ ЧИСТ К2'!AC7)*СПРАВОЧНИК!$N$14+('ФАКТ ЧИСТ К2'!AD7)*СПРАВОЧНИК!$O$14+('ФАКТ ЧИСТ К2'!AE7)*СПРАВОЧНИК!$P$14+('ФАКТ ЧИСТ К2'!AF7)*СПРАВОЧНИК!$L$15+('ФАКТ ЧИСТ К2'!AG7)*СПРАВОЧНИК!$M$15+('ФАКТ ЧИСТ К2'!AH7)*СПРАВОЧНИК!$N$15+('ФАКТ ЧИСТ К2'!AI7)*СПРАВОЧНИК!$O$15+('ФАКТ ЧИСТ К2'!AJ7)*СПРАВОЧНИК!$P$15</f>
        <v/>
      </c>
      <c r="BA16" s="34" t="n"/>
      <c r="BD16" s="152">
        <f>BD15+7</f>
        <v/>
      </c>
      <c r="BE16" s="17">
        <f>СПРАВОЧНИК!$E$9*('ПЛАН ЧЕРН К3'!B7*СПРАВОЧНИК!$H$9+'ПЛАН ЧЕРН К3'!C7*СПРАВОЧНИК!$I$9+'ПЛАН ЧЕРН К3'!D7*СПРАВОЧНИК!$J$9)+СПРАВОЧНИК!$F$9*('ПЛАН ЧИСТ К3'!B7*СПРАВОЧНИК!$L$9+'ПЛАН ЧИСТ К3'!C7*СПРАВОЧНИК!$M$9+'ПЛАН ЧИСТ К3'!D7*СПРАВОЧНИК!$N$9+'ПЛАН ЧИСТ К3'!E7*СПРАВОЧНИК!$O$9+'ПЛАН ЧИСТ К3'!F7*СПРАВОЧНИК!$P$9)+СПРАВОЧНИК!$E$10*('ПЛАН ЧЕРН К3'!E7*СПРАВОЧНИК!$H$10+'ПЛАН ЧЕРН К3'!F7*СПРАВОЧНИК!$I$10+'ПЛАН ЧЕРН К3'!G7*СПРАВОЧНИК!$J$10)+СПРАВОЧНИК!$F$10*('ПЛАН ЧИСТ К3'!G7*СПРАВОЧНИК!$L$10+'ПЛАН ЧИСТ К3'!H7*СПРАВОЧНИК!$M$10+'ПЛАН ЧИСТ К3'!I7*СПРАВОЧНИК!$N$10+'ПЛАН ЧИСТ К3'!J7*СПРАВОЧНИК!$O$10+'ПЛАН ЧИСТ К3'!K7*СПРАВОЧНИК!$P$10)+СПРАВОЧНИК!$E$11*('ПЛАН ЧЕРН К3'!H7*СПРАВОЧНИК!$H$11+'ПЛАН ЧЕРН К3'!I7*СПРАВОЧНИК!$I$11+'ПЛАН ЧЕРН К3'!J7*СПРАВОЧНИК!$J$11)+СПРАВОЧНИК!$F$11*('ПЛАН ЧИСТ К3'!L7*СПРАВОЧНИК!$L$11+'ПЛАН ЧИСТ К3'!M7*СПРАВОЧНИК!$M$11+'ПЛАН ЧИСТ К3'!N7*СПРАВОЧНИК!$N$11+'ПЛАН ЧИСТ К3'!O7*СПРАВОЧНИК!$O$11+'ПЛАН ЧИСТ К3'!P7*СПРАВОЧНИК!$P$11)+СПРАВОЧНИК!$E$12*('ПЛАН ЧЕРН К3'!K7*СПРАВОЧНИК!$H$12+'ПЛАН ЧЕРН К3'!L7*СПРАВОЧНИК!$I$12+'ПЛАН ЧЕРН К3'!M7*СПРАВОЧНИК!$J$12)+СПРАВОЧНИК!$F$12*('ПЛАН ЧИСТ К3'!Q7*СПРАВОЧНИК!$L$12+'ПЛАН ЧИСТ К3'!R7*СПРАВОЧНИК!$M$12+'ПЛАН ЧИСТ К3'!S7*СПРАВОЧНИК!$N$12+'ПЛАН ЧИСТ К3'!T7*СПРАВОЧНИК!$O$12+'ПЛАН ЧИСТ К3'!U7*СПРАВОЧНИК!$P$12)+СПРАВОЧНИК!$E$13*('ПЛАН ЧЕРН К3'!N7*СПРАВОЧНИК!$H$13+'ПЛАН ЧЕРН К3'!O7*СПРАВОЧНИК!$I$13+'ПЛАН ЧЕРН К3'!P7*СПРАВОЧНИК!$J$13)+СПРАВОЧНИК!$F$13*('ПЛАН ЧИСТ К3'!V7*СПРАВОЧНИК!$L$13+'ПЛАН ЧИСТ К3'!W7*СПРАВОЧНИК!$M$13+'ПЛАН ЧИСТ К3'!X7*СПРАВОЧНИК!$N$13+'ПЛАН ЧИСТ К3'!Y7*СПРАВОЧНИК!$O$13+'ПЛАН ЧИСТ К3'!Z7*СПРАВОЧНИК!$P$13)+СПРАВОЧНИК!$E$14*('ПЛАН ЧЕРН К3'!Q7*СПРАВОЧНИК!$H$14+'ПЛАН ЧЕРН К3'!R7*СПРАВОЧНИК!$I$14+'ПЛАН ЧЕРН К3'!S7*СПРАВОЧНИК!$J$14)+СПРАВОЧНИК!$F$14*('ПЛАН ЧИСТ К3'!AA7*СПРАВОЧНИК!$L$14+'ПЛАН ЧИСТ К3'!AB7*СПРАВОЧНИК!$M$14+'ПЛАН ЧИСТ К3'!AC7*СПРАВОЧНИК!$N$14+'ПЛАН ЧИСТ К3'!AD7*СПРАВОЧНИК!$O$14+'ПЛАН ЧИСТ К3'!AE7*СПРАВОЧНИК!$P$14)+СПРАВОЧНИК!$E$15*('ПЛАН ЧЕРН К3'!T7*СПРАВОЧНИК!$H$15+'ПЛАН ЧЕРН К3'!U7*СПРАВОЧНИК!$I$15+'ПЛАН ЧЕРН К3'!V7*СПРАВОЧНИК!$J$15)+СПРАВОЧНИК!$F$15*('ПЛАН ЧИСТ К3'!AF7*СПРАВОЧНИК!$L$15+'ПЛАН ЧИСТ К3'!AG7*СПРАВОЧНИК!$M$15+'ПЛАН ЧИСТ К3'!AH7*СПРАВОЧНИК!$N$15+'ПЛАН ЧИСТ К3'!AI7*СПРАВОЧНИК!$O$15+'ПЛАН ЧИСТ К3'!AJ7*СПРАВОЧНИК!$P$15)</f>
        <v/>
      </c>
      <c r="BF16" s="31">
        <f>СПРАВОЧНИК!$E$9*('ФАКТ ЧЕРН К3'!B7*СПРАВОЧНИК!$H$9+'ФАКТ ЧЕРН К3'!C7*СПРАВОЧНИК!$I$9+'ФАКТ ЧЕРН К3'!D7*СПРАВОЧНИК!$J$9)+СПРАВОЧНИК!$F$9*('ФАКТ ЧИСТ К3'!B7*СПРАВОЧНИК!$L$9+'ФАКТ ЧИСТ К3'!C7*СПРАВОЧНИК!$M$9+'ФАКТ ЧИСТ К3'!D7*СПРАВОЧНИК!$N$9+'ФАКТ ЧИСТ К3'!E7*СПРАВОЧНИК!$O$9+'ФАКТ ЧИСТ К3'!F7*СПРАВОЧНИК!$P$9)+СПРАВОЧНИК!$E$10*('ФАКТ ЧЕРН К3'!E7*СПРАВОЧНИК!$H$10+'ФАКТ ЧЕРН К3'!F7*СПРАВОЧНИК!$I$10+'ФАКТ ЧЕРН К3'!G7*СПРАВОЧНИК!$J$10)+СПРАВОЧНИК!$F$10*('ФАКТ ЧИСТ К3'!G7*СПРАВОЧНИК!$L$10+'ФАКТ ЧИСТ К3'!H7*СПРАВОЧНИК!$M$10+'ФАКТ ЧИСТ К3'!I7*СПРАВОЧНИК!$N$10+'ФАКТ ЧИСТ К3'!J7*СПРАВОЧНИК!$O$10+'ФАКТ ЧИСТ К3'!K7*СПРАВОЧНИК!$P$10)+СПРАВОЧНИК!$E$11*('ФАКТ ЧЕРН К3'!H7*СПРАВОЧНИК!$H$11+'ФАКТ ЧЕРН К3'!I7*СПРАВОЧНИК!$I$11+'ФАКТ ЧЕРН К3'!J7*СПРАВОЧНИК!$J$11)+СПРАВОЧНИК!$F$11*('ФАКТ ЧИСТ К3'!L7*СПРАВОЧНИК!$L$11+'ФАКТ ЧИСТ К3'!M7*СПРАВОЧНИК!$M$11+'ФАКТ ЧИСТ К3'!N7*СПРАВОЧНИК!$N$11+'ФАКТ ЧИСТ К3'!O7*СПРАВОЧНИК!$O$11+'ФАКТ ЧИСТ К3'!P7*СПРАВОЧНИК!$P$11)+СПРАВОЧНИК!$E$12*('ФАКТ ЧЕРН К3'!K7*СПРАВОЧНИК!$H$12+'ФАКТ ЧЕРН К3'!L7*СПРАВОЧНИК!$I$12+'ФАКТ ЧЕРН К3'!M7*СПРАВОЧНИК!$J$12)+СПРАВОЧНИК!$F$12*('ФАКТ ЧИСТ К3'!Q7*СПРАВОЧНИК!$L$12+'ФАКТ ЧИСТ К3'!R7*СПРАВОЧНИК!$M$12+'ФАКТ ЧИСТ К3'!S7*СПРАВОЧНИК!$N$12+'ФАКТ ЧИСТ К3'!T7*СПРАВОЧНИК!$O$12+'ФАКТ ЧИСТ К3'!U7*СПРАВОЧНИК!$P$12)+СПРАВОЧНИК!$E$13*('ФАКТ ЧЕРН К3'!N7*СПРАВОЧНИК!$H$13+'ФАКТ ЧЕРН К3'!O7*СПРАВОЧНИК!$I$13+'ФАКТ ЧЕРН К3'!P7*СПРАВОЧНИК!$J$13)+СПРАВОЧНИК!$F$13*('ФАКТ ЧИСТ К3'!V7*СПРАВОЧНИК!$L$13+'ФАКТ ЧИСТ К3'!W7*СПРАВОЧНИК!$M$13+'ФАКТ ЧИСТ К3'!X7*СПРАВОЧНИК!$N$13+'ФАКТ ЧИСТ К3'!Y7*СПРАВОЧНИК!$O$13+'ФАКТ ЧИСТ К3'!Z7*СПРАВОЧНИК!$P$13)+СПРАВОЧНИК!$E$14*('ФАКТ ЧЕРН К3'!Q7*СПРАВОЧНИК!$H$14+'ФАКТ ЧЕРН К3'!R7*СПРАВОЧНИК!$I$14+'ФАКТ ЧЕРН К3'!S7*СПРАВОЧНИК!$J$14)+СПРАВОЧНИК!$F$14*('ФАКТ ЧИСТ К3'!AA7*СПРАВОЧНИК!$L$14+'ФАКТ ЧИСТ К3'!AB7*СПРАВОЧНИК!$M$14+'ФАКТ ЧИСТ К3'!AC7*СПРАВОЧНИК!$N$14+'ФАКТ ЧИСТ К3'!AD7*СПРАВОЧНИК!$O$14+'ФАКТ ЧИСТ К3'!AE7*СПРАВОЧНИК!$P$14)+СПРАВОЧНИК!$E$15*('ФАКТ ЧЕРН К3'!T7*СПРАВОЧНИК!$H$15+'ФАКТ ЧЕРН К3'!U7*СПРАВОЧНИК!$I$15+'ФАКТ ЧЕРН К3'!V7*СПРАВОЧНИК!$J$15)+СПРАВОЧНИК!$F$15*('ФАКТ ЧИСТ К3'!AF7*СПРАВОЧНИК!$L$15+'ФАКТ ЧИСТ К3'!AG7*СПРАВОЧНИК!$M$15+'ФАКТ ЧИСТ К3'!AH7*СПРАВОЧНИК!$N$15+'ФАКТ ЧИСТ К3'!AI7*СПРАВОЧНИК!$O$15+'ФАКТ ЧИСТ К3'!AJ7*СПРАВОЧНИК!$P$15)</f>
        <v/>
      </c>
      <c r="BG16" s="34" t="n"/>
      <c r="BJ16" s="152">
        <f>BJ15+7</f>
        <v/>
      </c>
      <c r="BK16" s="17">
        <f>'ПЛАН ЧЕРН К3'!B7*СПРАВОЧНИК!$H$9+'ПЛАН ЧЕРН К3'!C7*СПРАВОЧНИК!$I$9+'ПЛАН ЧЕРН К3'!D7*СПРАВОЧНИК!$J$9+'ПЛАН ЧЕРН К3'!E7*СПРАВОЧНИК!$H$10+'ПЛАН ЧЕРН К3'!F7*СПРАВОЧНИК!$I$10+'ПЛАН ЧЕРН К3'!G7*СПРАВОЧНИК!$J$10+'ПЛАН ЧЕРН К3'!H7*СПРАВОЧНИК!$H$11+'ПЛАН ЧЕРН К3'!I7*СПРАВОЧНИК!$I$11+'ПЛАН ЧЕРН К3'!J7*СПРАВОЧНИК!$J$11+'ПЛАН ЧЕРН К3'!K7*СПРАВОЧНИК!$H$12+'ПЛАН ЧЕРН К3'!L7*СПРАВОЧНИК!$I$12+'ПЛАН ЧЕРН К3'!M7*СПРАВОЧНИК!$J$12+'ПЛАН ЧЕРН К3'!N7*СПРАВОЧНИК!$H$13+'ПЛАН ЧЕРН К3'!O7*СПРАВОЧНИК!$I$13+'ПЛАН ЧЕРН К3'!P7*СПРАВОЧНИК!$J$13+'ПЛАН ЧЕРН К3'!Q7*СПРАВОЧНИК!$H$14+'ПЛАН ЧЕРН К3'!R7*СПРАВОЧНИК!$I$14+'ПЛАН ЧЕРН К3'!S7*СПРАВОЧНИК!$J$14+'ПЛАН ЧЕРН К3'!T7*СПРАВОЧНИК!$H$15+'ПЛАН ЧЕРН К3'!U7*СПРАВОЧНИК!$I$15+'ПЛАН ЧЕРН К3'!V7*СПРАВОЧНИК!$J$15</f>
        <v/>
      </c>
      <c r="BL16" s="31">
        <f>('ФАКТ ЧЕРН К3'!B7)*СПРАВОЧНИК!$H$9+('ФАКТ ЧЕРН К3'!C7)*СПРАВОЧНИК!$I$9+('ФАКТ ЧЕРН К3'!D7)*СПРАВОЧНИК!$J$9+('ФАКТ ЧЕРН К3'!E7)*СПРАВОЧНИК!$H$10+('ФАКТ ЧЕРН К3'!F7)*СПРАВОЧНИК!$I$10+('ФАКТ ЧЕРН К3'!G7)*СПРАВОЧНИК!$J$10+('ФАКТ ЧЕРН К3'!H7)*СПРАВОЧНИК!$H$11+('ФАКТ ЧЕРН К3'!I7)*СПРАВОЧНИК!$I$11+('ФАКТ ЧЕРН К3'!J7)*СПРАВОЧНИК!$J$11+('ФАКТ ЧЕРН К3'!K7)*СПРАВОЧНИК!$H$12+('ФАКТ ЧЕРН К3'!L7)*СПРАВОЧНИК!$I$12+('ФАКТ ЧЕРН К3'!M7)*СПРАВОЧНИК!$J$12+('ФАКТ ЧЕРН К3'!N7)*СПРАВОЧНИК!$H$13+('ФАКТ ЧЕРН К3'!O7)*СПРАВОЧНИК!$I$13+('ФАКТ ЧЕРН К3'!P7)*СПРАВОЧНИК!$J$13+('ФАКТ ЧЕРН К3'!Q7)*СПРАВОЧНИК!$H$14+('ФАКТ ЧЕРН К3'!R7)*СПРАВОЧНИК!$I$14+('ФАКТ ЧЕРН К3'!S7)*СПРАВОЧНИК!$J$14+('ФАКТ ЧЕРН К3'!T7)*СПРАВОЧНИК!$H$15+('ФАКТ ЧЕРН К3'!U7)*СПРАВОЧНИК!$I$15+('ФАКТ ЧЕРН К3'!V7)*СПРАВОЧНИК!$J$15</f>
        <v/>
      </c>
      <c r="BM16" s="34" t="n"/>
      <c r="BP16" s="152">
        <f>BP15+7</f>
        <v/>
      </c>
      <c r="BQ16" s="17">
        <f>'ПЛАН ЧИСТ К3'!B7*СПРАВОЧНИК!$L$9+'ПЛАН ЧИСТ К3'!C7*СПРАВОЧНИК!$M$9+'ПЛАН ЧИСТ К3'!D7*СПРАВОЧНИК!$N$9+'ПЛАН ЧИСТ К3'!E7*СПРАВОЧНИК!$O$9+'ПЛАН ЧИСТ К3'!F7*СПРАВОЧНИК!$P$9+'ПЛАН ЧИСТ К3'!G7*СПРАВОЧНИК!$L$10+'ПЛАН ЧИСТ К3'!H7*СПРАВОЧНИК!$M$10+'ПЛАН ЧИСТ К3'!I7*СПРАВОЧНИК!$N$10+'ПЛАН ЧИСТ К3'!J7*СПРАВОЧНИК!$O$10+'ПЛАН ЧИСТ К3'!K7*СПРАВОЧНИК!$P$10+'ПЛАН ЧИСТ К3'!L7*СПРАВОЧНИК!$L$11+'ПЛАН ЧИСТ К3'!M7*СПРАВОЧНИК!$M$11+'ПЛАН ЧИСТ К3'!N7*СПРАВОЧНИК!$N$11+'ПЛАН ЧИСТ К3'!O7*СПРАВОЧНИК!$O$11+'ПЛАН ЧИСТ К3'!P7*СПРАВОЧНИК!$P$11+'ПЛАН ЧИСТ К3'!Q7*СПРАВОЧНИК!$L$12+'ПЛАН ЧИСТ К3'!R7*СПРАВОЧНИК!$M$12+'ПЛАН ЧИСТ К3'!S7*СПРАВОЧНИК!$N$12+'ПЛАН ЧИСТ К3'!T7*СПРАВОЧНИК!$O$12+'ПЛАН ЧИСТ К3'!U7*СПРАВОЧНИК!$P$12+'ПЛАН ЧИСТ К3'!V7*СПРАВОЧНИК!$L$13+'ПЛАН ЧИСТ К3'!W7*СПРАВОЧНИК!$M$13+'ПЛАН ЧИСТ К3'!X7*СПРАВОЧНИК!$N$13+'ПЛАН ЧИСТ К3'!Y7*СПРАВОЧНИК!$O$13+'ПЛАН ЧИСТ К3'!Z7*СПРАВОЧНИК!$P$13+'ПЛАН ЧИСТ К3'!AA7*СПРАВОЧНИК!$L$14+'ПЛАН ЧИСТ К3'!AB7*СПРАВОЧНИК!$M$14+'ПЛАН ЧИСТ К3'!AC7*СПРАВОЧНИК!$N$14+'ПЛАН ЧИСТ К3'!AD7*СПРАВОЧНИК!$O$14+'ПЛАН ЧИСТ К3'!AE7*СПРАВОЧНИК!$P$14+'ПЛАН ЧИСТ К3'!AF7*СПРАВОЧНИК!$L$15+'ПЛАН ЧИСТ К3'!AG7*СПРАВОЧНИК!$M$15+'ПЛАН ЧИСТ К3'!AH7*СПРАВОЧНИК!$N$15+'ПЛАН ЧИСТ К3'!AI7*СПРАВОЧНИК!$O$15+'ПЛАН ЧИСТ К3'!AJ7*СПРАВОЧНИК!$P$15</f>
        <v/>
      </c>
      <c r="BR16" s="31">
        <f>('ФАКТ ЧИСТ К3'!B7)*СПРАВОЧНИК!$L$9+('ФАКТ ЧИСТ К3'!C7)*СПРАВОЧНИК!$M$9+('ФАКТ ЧИСТ К3'!D7)*СПРАВОЧНИК!$N$9+('ФАКТ ЧИСТ К3'!E7)*СПРАВОЧНИК!$O$9+('ФАКТ ЧИСТ К3'!F7)*СПРАВОЧНИК!$P$9+('ФАКТ ЧИСТ К3'!G7)*СПРАВОЧНИК!$L$10+('ФАКТ ЧИСТ К3'!H7)*СПРАВОЧНИК!$M$10+('ФАКТ ЧИСТ К3'!I7)*СПРАВОЧНИК!$N$10+('ФАКТ ЧИСТ К3'!J7)*СПРАВОЧНИК!$O$10+('ФАКТ ЧИСТ К3'!K7)*СПРАВОЧНИК!$P$10+('ФАКТ ЧИСТ К3'!L7)*СПРАВОЧНИК!$L$11+('ФАКТ ЧИСТ К3'!M7)*СПРАВОЧНИК!$M$11+('ФАКТ ЧИСТ К3'!N7)*СПРАВОЧНИК!$N$11+('ФАКТ ЧИСТ К3'!O7)*СПРАВОЧНИК!$O$11+('ФАКТ ЧИСТ К3'!P7)*СПРАВОЧНИК!$P$11+('ФАКТ ЧИСТ К3'!Q7)*СПРАВОЧНИК!$L$12+('ФАКТ ЧИСТ К3'!R7)*СПРАВОЧНИК!$M$12+('ФАКТ ЧИСТ К3'!S7)*СПРАВОЧНИК!$N$12+('ФАКТ ЧИСТ К3'!T7)*СПРАВОЧНИК!$O$12+('ФАКТ ЧИСТ К3'!U7)*СПРАВОЧНИК!$P$12+('ФАКТ ЧИСТ К3'!V7)*СПРАВОЧНИК!$L$13+('ФАКТ ЧИСТ К3'!W7)*СПРАВОЧНИК!$M$13+('ФАКТ ЧИСТ К3'!X7)*СПРАВОЧНИК!$N$13+('ФАКТ ЧИСТ К3'!Y7)*СПРАВОЧНИК!$O$13+('ФАКТ ЧИСТ К3'!Z7)*СПРАВОЧНИК!$P$13+('ФАКТ ЧИСТ К3'!AA7)*СПРАВОЧНИК!$L$14+('ФАКТ ЧИСТ К3'!AB7)*СПРАВОЧНИК!$M$14+('ФАКТ ЧИСТ К3'!AC7)*СПРАВОЧНИК!$N$14+('ФАКТ ЧИСТ К3'!AD7)*СПРАВОЧНИК!$O$14+('ФАКТ ЧИСТ К3'!AE7)*СПРАВОЧНИК!$P$14+('ФАКТ ЧИСТ К3'!AF7)*СПРАВОЧНИК!$L$15+('ФАКТ ЧИСТ К3'!AG7)*СПРАВОЧНИК!$M$15+('ФАКТ ЧИСТ К3'!AH7)*СПРАВОЧНИК!$N$15+('ФАКТ ЧИСТ К3'!AI7)*СПРАВОЧНИК!$O$15+('ФАКТ ЧИСТ К3'!AJ7)*СПРАВОЧНИК!$P$15</f>
        <v/>
      </c>
      <c r="BS16" s="34" t="n"/>
      <c r="BV16" s="152">
        <f>BV15+7</f>
        <v/>
      </c>
      <c r="BW16" s="17">
        <f>U16*СПРАВОЧНИК!$K$28+AM16*СПРАВОЧНИК!$K$29+BE16*СПРАВОЧНИК!$K$30</f>
        <v/>
      </c>
      <c r="BX16" s="31">
        <f>V16*СПРАВОЧНИК!$K$28+AN16*СПРАВОЧНИК!$K$29+BF16*СПРАВОЧНИК!$K$30</f>
        <v/>
      </c>
      <c r="BY16" s="34" t="n"/>
      <c r="CB16" s="152">
        <f>CB15+7</f>
        <v/>
      </c>
      <c r="CC16" s="17">
        <f>AA16*СПРАВОЧНИК!$K$28+AS16*СПРАВОЧНИК!$K$29+BK16*СПРАВОЧНИК!$K$30</f>
        <v/>
      </c>
      <c r="CD16" s="31">
        <f>AB16*СПРАВОЧНИК!$K$28+AT16*СПРАВОЧНИК!$K$29+BL16*СПРАВОЧНИК!$K$30</f>
        <v/>
      </c>
      <c r="CE16" s="34" t="n"/>
      <c r="CH16" s="152">
        <f>CH15+7</f>
        <v/>
      </c>
      <c r="CI16" s="17">
        <f>AG16*СПРАВОЧНИК!$K$28+AY16*СПРАВОЧНИК!$K$29+BQ16*СПРАВОЧНИК!$K$30</f>
        <v/>
      </c>
      <c r="CJ16" s="31">
        <f>AH16*СПРАВОЧНИК!$K$28+AZ16*СПРАВОЧНИК!$K$29+BR16*СПРАВОЧНИК!$K$30</f>
        <v/>
      </c>
      <c r="CK16" s="34" t="n"/>
      <c r="CN16" s="152">
        <f>CN15+7</f>
        <v/>
      </c>
      <c r="CO16" s="17">
        <f>C16*СПРАВОЧНИК!$W$18+BW16*СПРАВОЧНИК!$W$19</f>
        <v/>
      </c>
      <c r="CP16" s="31">
        <f>D16*СПРАВОЧНИК!$W$18+BX16*СПРАВОЧНИК!$W$19</f>
        <v/>
      </c>
      <c r="CQ16" s="34" t="n"/>
      <c r="CT16" s="152">
        <f>CT15+7</f>
        <v/>
      </c>
      <c r="CU16" s="17">
        <f>I16*СПРАВОЧНИК!$W$18+CC16*СПРАВОЧНИК!$W$19</f>
        <v/>
      </c>
      <c r="CV16" s="31">
        <f>J16*СПРАВОЧНИК!$W$18+CD16*СПРАВОЧНИК!$W$19</f>
        <v/>
      </c>
      <c r="CW16" s="34" t="n"/>
      <c r="CZ16" s="152">
        <f>CZ15+7</f>
        <v/>
      </c>
      <c r="DA16" s="17">
        <f>O16*СПРАВОЧНИК!$W$18+CI16*СПРАВОЧНИК!$W$19</f>
        <v/>
      </c>
      <c r="DB16" s="31">
        <f>P16*СПРАВОЧНИК!$W$18+CJ16*СПРАВОЧНИК!$W$19</f>
        <v/>
      </c>
      <c r="DC16" s="34" t="n"/>
    </row>
    <row r="17">
      <c r="B17" s="152">
        <f>B16+7</f>
        <v/>
      </c>
      <c r="C17" s="17">
        <f>СПРАВОЧНИК!$E$3*('ПЛАН ЧЕРН ПОДЗЕМ'!B8*СПРАВОЧНИК!$H$3+'ПЛАН ЧЕРН ПОДЗЕМ'!C8*СПРАВОЧНИК!$I$3+'ПЛАН ЧЕРН ПОДЗЕМ'!D8*СПРАВОЧНИК!$J$3)+СПРАВОЧНИК!$F$3*('ПЛАН ЧИСТ ПОДЗЕМ'!B8*СПРАВОЧНИК!$L$3+'ПЛАН ЧИСТ ПОДЗЕМ'!C8*СПРАВОЧНИК!$M$3+'ПЛАН ЧИСТ ПОДЗЕМ'!D8*СПРАВОЧНИК!$N$3+'ПЛАН ЧИСТ ПОДЗЕМ'!E8*СПРАВОЧНИК!$O$3+'ПЛАН ЧИСТ ПОДЗЕМ'!F8*СПРАВОЧНИК!$P$3)+СПРАВОЧНИК!$E$4*('ПЛАН ЧЕРН ПОДЗЕМ'!E8*СПРАВОЧНИК!$H$4+'ПЛАН ЧЕРН ПОДЗЕМ'!F8*СПРАВОЧНИК!$I$4+'ПЛАН ЧЕРН ПОДЗЕМ'!G8*СПРАВОЧНИК!$J$4)+СПРАВОЧНИК!$F$4*('ПЛАН ЧИСТ ПОДЗЕМ'!G8*СПРАВОЧНИК!$L$4+'ПЛАН ЧИСТ ПОДЗЕМ'!H8*СПРАВОЧНИК!$M$4+'ПЛАН ЧИСТ ПОДЗЕМ'!I8*СПРАВОЧНИК!$N$4+'ПЛАН ЧИСТ ПОДЗЕМ'!J8*СПРАВОЧНИК!$O$4+'ПЛАН ЧИСТ ПОДЗЕМ'!K8*СПРАВОЧНИК!$P$4)+СПРАВОЧНИК!$E$5*('ПЛАН ЧЕРН ПОДЗЕМ'!H8*СПРАВОЧНИК!$H$5+'ПЛАН ЧЕРН ПОДЗЕМ'!I8*СПРАВОЧНИК!$I$5+'ПЛАН ЧЕРН ПОДЗЕМ'!J8*СПРАВОЧНИК!$J$5)+СПРАВОЧНИК!$F$5*('ПЛАН ЧИСТ ПОДЗЕМ'!L8*СПРАВОЧНИК!$L$5+'ПЛАН ЧИСТ ПОДЗЕМ'!M8*СПРАВОЧНИК!$M$5+'ПЛАН ЧИСТ ПОДЗЕМ'!N8*СПРАВОЧНИК!$N$5+'ПЛАН ЧИСТ ПОДЗЕМ'!O8*СПРАВОЧНИК!$O$5+'ПЛАН ЧИСТ ПОДЗЕМ'!P8*СПРАВОЧНИК!$P$5)+СПРАВОЧНИК!$E$6*('ПЛАН ЧЕРН ПОДЗЕМ'!K8*СПРАВОЧНИК!$H$6+'ПЛАН ЧЕРН ПОДЗЕМ'!L8*СПРАВОЧНИК!$I$6+'ПЛАН ЧЕРН ПОДЗЕМ'!M8*СПРАВОЧНИК!$J$6)+СПРАВОЧНИК!$F$6*('ПЛАН ЧИСТ ПОДЗЕМ'!Q8*СПРАВОЧНИК!$L$6+'ПЛАН ЧИСТ ПОДЗЕМ'!R8*СПРАВОЧНИК!$M$6+'ПЛАН ЧИСТ ПОДЗЕМ'!S8*СПРАВОЧНИК!$N$6+'ПЛАН ЧИСТ ПОДЗЕМ'!T8*СПРАВОЧНИК!$O$6+'ПЛАН ЧИСТ ПОДЗЕМ'!U8*СПРАВОЧНИК!$P$6)+СПРАВОЧНИК!$E$7*('ПЛАН ЧЕРН ПОДЗЕМ'!N8*СПРАВОЧНИК!$H$7+'ПЛАН ЧЕРН ПОДЗЕМ'!O8*СПРАВОЧНИК!$I$7+'ПЛАН ЧЕРН ПОДЗЕМ'!P8*СПРАВОЧНИК!$J$7)+СПРАВОЧНИК!$F$7*('ПЛАН ЧИСТ ПОДЗЕМ'!V8*СПРАВОЧНИК!$L$7+'ПЛАН ЧИСТ ПОДЗЕМ'!W8*СПРАВОЧНИК!$M$7+'ПЛАН ЧИСТ ПОДЗЕМ'!X8*СПРАВОЧНИК!$N$7+'ПЛАН ЧИСТ ПОДЗЕМ'!Y8*СПРАВОЧНИК!$O$7+'ПЛАН ЧИСТ ПОДЗЕМ'!Z8*СПРАВОЧНИК!$P$7)+СПРАВОЧНИК!$E$8*('ПЛАН ЧЕРН ПОДЗЕМ'!Q8*СПРАВОЧНИК!$H$8+'ПЛАН ЧЕРН ПОДЗЕМ'!R8*СПРАВОЧНИК!$I$8+'ПЛАН ЧЕРН ПОДЗЕМ'!S8*СПРАВОЧНИК!$J$8)+СПРАВОЧНИК!$F$8*('ПЛАН ЧИСТ ПОДЗЕМ'!AA8*СПРАВОЧНИК!$L$8+'ПЛАН ЧИСТ ПОДЗЕМ'!AB8*СПРАВОЧНИК!$M$8+'ПЛАН ЧИСТ ПОДЗЕМ'!AC8*СПРАВОЧНИК!$N$8+'ПЛАН ЧИСТ ПОДЗЕМ'!AD8*СПРАВОЧНИК!$O$8+'ПЛАН ЧИСТ ПОДЗЕМ'!AE8*СПРАВОЧНИК!$P$8)</f>
        <v/>
      </c>
      <c r="D17" s="31">
        <f>СПРАВОЧНИК!$E$3*('ФАКТ ЧЕРН ПОДЗЕМ'!B8*СПРАВОЧНИК!$H$3+'ФАКТ ЧЕРН ПОДЗЕМ'!C8*СПРАВОЧНИК!$I$3+'ФАКТ ЧЕРН ПОДЗЕМ'!D8*СПРАВОЧНИК!$J$3)+СПРАВОЧНИК!$F$3*('ФАКТ ЧИСТ ПОДЗЕМ'!B8*СПРАВОЧНИК!$L$3+'ФАКТ ЧИСТ ПОДЗЕМ'!C8*СПРАВОЧНИК!$M$3+'ФАКТ ЧИСТ ПОДЗЕМ'!D8*СПРАВОЧНИК!$N$3+'ФАКТ ЧИСТ ПОДЗЕМ'!E8*СПРАВОЧНИК!$O$3+'ФАКТ ЧИСТ ПОДЗЕМ'!F8*СПРАВОЧНИК!$P$3)+СПРАВОЧНИК!$E$4*('ФАКТ ЧЕРН ПОДЗЕМ'!E8*СПРАВОЧНИК!$H$4+'ФАКТ ЧЕРН ПОДЗЕМ'!F8*СПРАВОЧНИК!$I$4+'ФАКТ ЧЕРН ПОДЗЕМ'!G8*СПРАВОЧНИК!$J$4)+СПРАВОЧНИК!$F$4*('ФАКТ ЧИСТ ПОДЗЕМ'!G8*СПРАВОЧНИК!$L$4+'ФАКТ ЧИСТ ПОДЗЕМ'!H8*СПРАВОЧНИК!$M$4+'ФАКТ ЧИСТ ПОДЗЕМ'!I8*СПРАВОЧНИК!$N$4+'ФАКТ ЧИСТ ПОДЗЕМ'!J8*СПРАВОЧНИК!$O$4+'ФАКТ ЧИСТ ПОДЗЕМ'!K8*СПРАВОЧНИК!$P$4)+СПРАВОЧНИК!$E$5*('ФАКТ ЧЕРН ПОДЗЕМ'!H8*СПРАВОЧНИК!$H$5+'ФАКТ ЧЕРН ПОДЗЕМ'!I8*СПРАВОЧНИК!$I$5+'ФАКТ ЧЕРН ПОДЗЕМ'!J8*СПРАВОЧНИК!$J$5)+СПРАВОЧНИК!$F$5*('ФАКТ ЧИСТ ПОДЗЕМ'!L8*СПРАВОЧНИК!$L$5+'ФАКТ ЧИСТ ПОДЗЕМ'!M8*СПРАВОЧНИК!$M$5+'ФАКТ ЧИСТ ПОДЗЕМ'!N8*СПРАВОЧНИК!$N$5+'ФАКТ ЧИСТ ПОДЗЕМ'!O8*СПРАВОЧНИК!$O$5+'ФАКТ ЧИСТ ПОДЗЕМ'!P8*СПРАВОЧНИК!$P$5)+СПРАВОЧНИК!$E$6*('ФАКТ ЧЕРН ПОДЗЕМ'!K8*СПРАВОЧНИК!$H$6+'ФАКТ ЧЕРН ПОДЗЕМ'!L8*СПРАВОЧНИК!$I$6+'ФАКТ ЧЕРН ПОДЗЕМ'!M8*СПРАВОЧНИК!$J$6)+СПРАВОЧНИК!$F$6*('ФАКТ ЧИСТ ПОДЗЕМ'!Q8*СПРАВОЧНИК!$L$6+'ФАКТ ЧИСТ ПОДЗЕМ'!R8*СПРАВОЧНИК!$M$6+'ФАКТ ЧИСТ ПОДЗЕМ'!S8*СПРАВОЧНИК!$N$6+'ФАКТ ЧИСТ ПОДЗЕМ'!T8*СПРАВОЧНИК!$O$6+'ФАКТ ЧИСТ ПОДЗЕМ'!U8*СПРАВОЧНИК!$P$6)+СПРАВОЧНИК!$E$7*('ФАКТ ЧЕРН ПОДЗЕМ'!N8*СПРАВОЧНИК!$H$7+'ФАКТ ЧЕРН ПОДЗЕМ'!O8*СПРАВОЧНИК!$I$7+'ФАКТ ЧЕРН ПОДЗЕМ'!P8*СПРАВОЧНИК!$J$7)+СПРАВОЧНИК!$F$7*('ФАКТ ЧИСТ ПОДЗЕМ'!V8*СПРАВОЧНИК!$L$7+'ФАКТ ЧИСТ ПОДЗЕМ'!W8*СПРАВОЧНИК!$M$7+'ФАКТ ЧИСТ ПОДЗЕМ'!X8*СПРАВОЧНИК!$N$7+'ФАКТ ЧИСТ ПОДЗЕМ'!Y8*СПРАВОЧНИК!$O$7+'ФАКТ ЧИСТ ПОДЗЕМ'!Z8*СПРАВОЧНИК!$P$7)+СПРАВОЧНИК!$E$8*('ФАКТ ЧЕРН ПОДЗЕМ'!Q8*СПРАВОЧНИК!$H$8+'ФАКТ ЧЕРН ПОДЗЕМ'!R8*СПРАВОЧНИК!$I$8+'ФАКТ ЧЕРН ПОДЗЕМ'!S8*СПРАВОЧНИК!$J$8)+СПРАВОЧНИК!$F$8*('ФАКТ ЧИСТ ПОДЗЕМ'!AA8*СПРАВОЧНИК!$L$8+'ФАКТ ЧИСТ ПОДЗЕМ'!AB8*СПРАВОЧНИК!$M$8+'ФАКТ ЧИСТ ПОДЗЕМ'!AC8*СПРАВОЧНИК!$N$8+'ФАКТ ЧИСТ ПОДЗЕМ'!AD8*СПРАВОЧНИК!$O$8+'ФАКТ ЧИСТ ПОДЗЕМ'!AE8*СПРАВОЧНИК!$P$8)</f>
        <v/>
      </c>
      <c r="E17" s="34" t="n"/>
      <c r="H17" s="152">
        <f>H16+7</f>
        <v/>
      </c>
      <c r="I17" s="17">
        <f>'ПЛАН ЧЕРН ПОДЗЕМ'!B8*СПРАВОЧНИК!$H$3+'ПЛАН ЧЕРН ПОДЗЕМ'!C8*СПРАВОЧНИК!$I$3+'ПЛАН ЧЕРН ПОДЗЕМ'!D8*СПРАВОЧНИК!$J$3+'ПЛАН ЧЕРН ПОДЗЕМ'!E8*СПРАВОЧНИК!$H$4+'ПЛАН ЧЕРН ПОДЗЕМ'!F8*СПРАВОЧНИК!$I$4+'ПЛАН ЧЕРН ПОДЗЕМ'!G8*СПРАВОЧНИК!$J$4+'ПЛАН ЧЕРН ПОДЗЕМ'!H8*СПРАВОЧНИК!$H$5+'ПЛАН ЧЕРН ПОДЗЕМ'!I8*СПРАВОЧНИК!$I$5+'ПЛАН ЧЕРН ПОДЗЕМ'!J8*СПРАВОЧНИК!$J$5+'ПЛАН ЧЕРН ПОДЗЕМ'!K8*СПРАВОЧНИК!$H$6+'ПЛАН ЧЕРН ПОДЗЕМ'!L8*СПРАВОЧНИК!$I$6+'ПЛАН ЧЕРН ПОДЗЕМ'!M8*СПРАВОЧНИК!$J$6+'ПЛАН ЧЕРН ПОДЗЕМ'!N8*СПРАВОЧНИК!$H$7+'ПЛАН ЧЕРН ПОДЗЕМ'!O8*СПРАВОЧНИК!$I$7+'ПЛАН ЧЕРН ПОДЗЕМ'!P8*СПРАВОЧНИК!$J$7+'ПЛАН ЧЕРН ПОДЗЕМ'!Q8*СПРАВОЧНИК!$H$8+'ПЛАН ЧЕРН ПОДЗЕМ'!R8*СПРАВОЧНИК!$I$8+'ПЛАН ЧЕРН ПОДЗЕМ'!S8*СПРАВОЧНИК!$J$8</f>
        <v/>
      </c>
      <c r="J17" s="31">
        <f>('ФАКТ ЧЕРН ПОДЗЕМ'!B8)*СПРАВОЧНИК!$H$3+('ФАКТ ЧЕРН ПОДЗЕМ'!C8)*СПРАВОЧНИК!$I$3+('ФАКТ ЧЕРН ПОДЗЕМ'!D8)*СПРАВОЧНИК!$J$3+('ФАКТ ЧЕРН ПОДЗЕМ'!E8)*СПРАВОЧНИК!$H$4+('ФАКТ ЧЕРН ПОДЗЕМ'!F8)*СПРАВОЧНИК!$I$4+('ФАКТ ЧЕРН ПОДЗЕМ'!G8)*СПРАВОЧНИК!$J$4+('ФАКТ ЧЕРН ПОДЗЕМ'!H8)*СПРАВОЧНИК!$H$5+('ФАКТ ЧЕРН ПОДЗЕМ'!I8)*СПРАВОЧНИК!$I$5+('ФАКТ ЧЕРН ПОДЗЕМ'!J8)*СПРАВОЧНИК!$J$5+('ФАКТ ЧЕРН ПОДЗЕМ'!K8)*СПРАВОЧНИК!$H$6+('ФАКТ ЧЕРН ПОДЗЕМ'!L8)*СПРАВОЧНИК!$I$6+('ФАКТ ЧЕРН ПОДЗЕМ'!M8)*СПРАВОЧНИК!$J$6+('ФАКТ ЧЕРН ПОДЗЕМ'!N8)*СПРАВОЧНИК!$H$7+('ФАКТ ЧЕРН ПОДЗЕМ'!O8)*СПРАВОЧНИК!$I$7+('ФАКТ ЧЕРН ПОДЗЕМ'!P8)*СПРАВОЧНИК!$J$7+('ФАКТ ЧЕРН ПОДЗЕМ'!Q8)*СПРАВОЧНИК!$H$8+('ФАКТ ЧЕРН ПОДЗЕМ'!R8)*СПРАВОЧНИК!$I$8+('ФАКТ ЧЕРН ПОДЗЕМ'!S8)*СПРАВОЧНИК!$J$8</f>
        <v/>
      </c>
      <c r="K17" s="34" t="n"/>
      <c r="N17" s="152">
        <f>N16+7</f>
        <v/>
      </c>
      <c r="O17" s="17">
        <f>'ПЛАН ЧИСТ ПОДЗЕМ'!B8*СПРАВОЧНИК!$L$3+'ПЛАН ЧИСТ ПОДЗЕМ'!C8*СПРАВОЧНИК!$M$3+'ПЛАН ЧИСТ ПОДЗЕМ'!D8*СПРАВОЧНИК!$N$3+'ПЛАН ЧИСТ ПОДЗЕМ'!E8*СПРАВОЧНИК!$O$3+'ПЛАН ЧИСТ ПОДЗЕМ'!F8*СПРАВОЧНИК!$P$3+'ПЛАН ЧИСТ ПОДЗЕМ'!G8*СПРАВОЧНИК!$L$4+'ПЛАН ЧИСТ ПОДЗЕМ'!H8*СПРАВОЧНИК!$M$4+'ПЛАН ЧИСТ ПОДЗЕМ'!I8*СПРАВОЧНИК!$N$4+'ПЛАН ЧИСТ ПОДЗЕМ'!J8*СПРАВОЧНИК!$O$4+'ПЛАН ЧИСТ ПОДЗЕМ'!K8*СПРАВОЧНИК!$P$4+'ПЛАН ЧИСТ ПОДЗЕМ'!L8*СПРАВОЧНИК!$L$5+'ПЛАН ЧИСТ ПОДЗЕМ'!M8*СПРАВОЧНИК!$M$5+'ПЛАН ЧИСТ ПОДЗЕМ'!N8*СПРАВОЧНИК!$N$5+'ПЛАН ЧИСТ ПОДЗЕМ'!O8*СПРАВОЧНИК!$O$5+'ПЛАН ЧИСТ ПОДЗЕМ'!P8*СПРАВОЧНИК!$P$5+'ПЛАН ЧИСТ ПОДЗЕМ'!Q8*СПРАВОЧНИК!$L$6+'ПЛАН ЧИСТ ПОДЗЕМ'!R8*СПРАВОЧНИК!$M$6+'ПЛАН ЧИСТ ПОДЗЕМ'!S8*СПРАВОЧНИК!$N$6+'ПЛАН ЧИСТ ПОДЗЕМ'!T8*СПРАВОЧНИК!$O$6+'ПЛАН ЧИСТ ПОДЗЕМ'!U8*СПРАВОЧНИК!$P$6+'ПЛАН ЧИСТ ПОДЗЕМ'!V8*СПРАВОЧНИК!$L$7+'ПЛАН ЧИСТ ПОДЗЕМ'!W8*СПРАВОЧНИК!$M$7+'ПЛАН ЧИСТ ПОДЗЕМ'!X8*СПРАВОЧНИК!$N$7+'ПЛАН ЧИСТ ПОДЗЕМ'!Y8*СПРАВОЧНИК!$O$7+'ПЛАН ЧИСТ ПОДЗЕМ'!Z8*СПРАВОЧНИК!$P$7+'ПЛАН ЧИСТ ПОДЗЕМ'!AA8*СПРАВОЧНИК!$L$8+'ПЛАН ЧИСТ ПОДЗЕМ'!AB8*СПРАВОЧНИК!$M$8+'ПЛАН ЧИСТ ПОДЗЕМ'!AC8*СПРАВОЧНИК!$N$8+'ПЛАН ЧИСТ ПОДЗЕМ'!AD8*СПРАВОЧНИК!$O$8+'ПЛАН ЧИСТ ПОДЗЕМ'!AE8*СПРАВОЧНИК!$P$8</f>
        <v/>
      </c>
      <c r="P17" s="31">
        <f>('ФАКТ ЧИСТ ПОДЗЕМ'!B8)*СПРАВОЧНИК!$L$3+('ФАКТ ЧИСТ ПОДЗЕМ'!C8)*СПРАВОЧНИК!$M$3+('ФАКТ ЧИСТ ПОДЗЕМ'!D8)*СПРАВОЧНИК!$N$3+('ФАКТ ЧИСТ ПОДЗЕМ'!E8)*СПРАВОЧНИК!$O$3+('ФАКТ ЧИСТ ПОДЗЕМ'!F8)*СПРАВОЧНИК!$P$3+('ФАКТ ЧИСТ ПОДЗЕМ'!G8)*СПРАВОЧНИК!$L$4+('ФАКТ ЧИСТ ПОДЗЕМ'!H8)*СПРАВОЧНИК!$M$4+('ФАКТ ЧИСТ ПОДЗЕМ'!I8)*СПРАВОЧНИК!$N$4+('ФАКТ ЧИСТ ПОДЗЕМ'!J8)*СПРАВОЧНИК!$O$4+('ФАКТ ЧИСТ ПОДЗЕМ'!K8)*СПРАВОЧНИК!$P$4+('ФАКТ ЧИСТ ПОДЗЕМ'!L8)*СПРАВОЧНИК!$L$5+('ФАКТ ЧИСТ ПОДЗЕМ'!M8)*СПРАВОЧНИК!$M$5+('ФАКТ ЧИСТ ПОДЗЕМ'!N8)*СПРАВОЧНИК!$N$5+('ФАКТ ЧИСТ ПОДЗЕМ'!O8)*СПРАВОЧНИК!$O$5+('ФАКТ ЧИСТ ПОДЗЕМ'!P8)*СПРАВОЧНИК!$P$5+('ФАКТ ЧИСТ ПОДЗЕМ'!Q8)*СПРАВОЧНИК!$L$6+('ФАКТ ЧИСТ ПОДЗЕМ'!R8)*СПРАВОЧНИК!$M$6+('ФАКТ ЧИСТ ПОДЗЕМ'!S8)*СПРАВОЧНИК!$N$6+('ФАКТ ЧИСТ ПОДЗЕМ'!T8)*СПРАВОЧНИК!$O$6+('ФАКТ ЧИСТ ПОДЗЕМ'!U8)*СПРАВОЧНИК!$P$6+('ФАКТ ЧИСТ ПОДЗЕМ'!V8)*СПРАВОЧНИК!$L$7+('ФАКТ ЧИСТ ПОДЗЕМ'!W8)*СПРАВОЧНИК!$M$7+('ФАКТ ЧИСТ ПОДЗЕМ'!X8)*СПРАВОЧНИК!$N$7+('ФАКТ ЧИСТ ПОДЗЕМ'!Y8)*СПРАВОЧНИК!$O$7+('ФАКТ ЧИСТ ПОДЗЕМ'!Z8)*СПРАВОЧНИК!$P$7+('ФАКТ ЧИСТ ПОДЗЕМ'!AA8)*СПРАВОЧНИК!$L$8+('ФАКТ ЧИСТ ПОДЗЕМ'!AB8)*СПРАВОЧНИК!$M$8+('ФАКТ ЧИСТ ПОДЗЕМ'!AC8)*СПРАВОЧНИК!$N$8+('ФАКТ ЧИСТ ПОДЗЕМ'!AD8)*СПРАВОЧНИК!$O$8+('ФАКТ ЧИСТ ПОДЗЕМ'!AE8)*СПРАВОЧНИК!$P$8</f>
        <v/>
      </c>
      <c r="Q17" s="34" t="n"/>
      <c r="T17" s="152">
        <f>T16+7</f>
        <v/>
      </c>
      <c r="U17" s="17">
        <f>СПРАВОЧНИК!$E$9*('ПЛАН ЧЕРН К1'!B8*СПРАВОЧНИК!$H$9+'ПЛАН ЧЕРН К1'!C8*СПРАВОЧНИК!$I$9+'ПЛАН ЧЕРН К1'!D8*СПРАВОЧНИК!$J$9)+СПРАВОЧНИК!$F$9*('ПЛАН ЧИСТ К1'!B8*СПРАВОЧНИК!$L$9+'ПЛАН ЧИСТ К1'!C8*СПРАВОЧНИК!$M$9+'ПЛАН ЧИСТ К1'!D8*СПРАВОЧНИК!$N$9+'ПЛАН ЧИСТ К1'!E8*СПРАВОЧНИК!$O$9+'ПЛАН ЧИСТ К1'!F8*СПРАВОЧНИК!$P$9)+СПРАВОЧНИК!$E$10*('ПЛАН ЧЕРН К1'!E8*СПРАВОЧНИК!$H$10+'ПЛАН ЧЕРН К1'!F8*СПРАВОЧНИК!$I$10+'ПЛАН ЧЕРН К1'!G8*СПРАВОЧНИК!$J$10)+СПРАВОЧНИК!$F$10*('ПЛАН ЧИСТ К1'!G8*СПРАВОЧНИК!$L$10+'ПЛАН ЧИСТ К1'!H8*СПРАВОЧНИК!$M$10+'ПЛАН ЧИСТ К1'!I8*СПРАВОЧНИК!$N$10+'ПЛАН ЧИСТ К1'!J8*СПРАВОЧНИК!$O$10+'ПЛАН ЧИСТ К1'!K8*СПРАВОЧНИК!$P$10)+СПРАВОЧНИК!$E$11*('ПЛАН ЧЕРН К1'!H8*СПРАВОЧНИК!$H$11+'ПЛАН ЧЕРН К1'!I8*СПРАВОЧНИК!$I$11+'ПЛАН ЧЕРН К1'!J8*СПРАВОЧНИК!$J$11)+СПРАВОЧНИК!$F$11*('ПЛАН ЧИСТ К1'!L8*СПРАВОЧНИК!$L$11+'ПЛАН ЧИСТ К1'!M8*СПРАВОЧНИК!$M$11+'ПЛАН ЧИСТ К1'!N8*СПРАВОЧНИК!$N$11+'ПЛАН ЧИСТ К1'!O8*СПРАВОЧНИК!$O$11+'ПЛАН ЧИСТ К1'!P8*СПРАВОЧНИК!$P$11)+СПРАВОЧНИК!$E$12*('ПЛАН ЧЕРН К1'!K8*СПРАВОЧНИК!$H$12+'ПЛАН ЧЕРН К1'!L8*СПРАВОЧНИК!$I$12+'ПЛАН ЧЕРН К1'!M8*СПРАВОЧНИК!$J$12)+СПРАВОЧНИК!$F$12*('ПЛАН ЧИСТ К1'!Q8*СПРАВОЧНИК!$L$12+'ПЛАН ЧИСТ К1'!R8*СПРАВОЧНИК!$M$12+'ПЛАН ЧИСТ К1'!S8*СПРАВОЧНИК!$N$12+'ПЛАН ЧИСТ К1'!T8*СПРАВОЧНИК!$O$12+'ПЛАН ЧИСТ К1'!U8*СПРАВОЧНИК!$P$12)+СПРАВОЧНИК!$E$13*('ПЛАН ЧЕРН К1'!N8*СПРАВОЧНИК!$H$13+'ПЛАН ЧЕРН К1'!O8*СПРАВОЧНИК!$I$13+'ПЛАН ЧЕРН К1'!P8*СПРАВОЧНИК!$J$13)+СПРАВОЧНИК!$F$13*('ПЛАН ЧИСТ К1'!V8*СПРАВОЧНИК!$L$13+'ПЛАН ЧИСТ К1'!W8*СПРАВОЧНИК!$M$13+'ПЛАН ЧИСТ К1'!X8*СПРАВОЧНИК!$N$13+'ПЛАН ЧИСТ К1'!Y8*СПРАВОЧНИК!$O$13+'ПЛАН ЧИСТ К1'!Z8*СПРАВОЧНИК!$P$13)+СПРАВОЧНИК!$E$14*('ПЛАН ЧЕРН К1'!Q8*СПРАВОЧНИК!$H$14+'ПЛАН ЧЕРН К1'!R8*СПРАВОЧНИК!$I$14+'ПЛАН ЧЕРН К1'!S8*СПРАВОЧНИК!$J$14)+СПРАВОЧНИК!$F$14*('ПЛАН ЧИСТ К1'!AA8*СПРАВОЧНИК!$L$14+'ПЛАН ЧИСТ К1'!AB8*СПРАВОЧНИК!$M$14+'ПЛАН ЧИСТ К1'!AC8*СПРАВОЧНИК!$N$14+'ПЛАН ЧИСТ К1'!AD8*СПРАВОЧНИК!$O$14+'ПЛАН ЧИСТ К1'!AE8*СПРАВОЧНИК!$P$14)+СПРАВОЧНИК!$E$15*('ПЛАН ЧЕРН К1'!T8*СПРАВОЧНИК!$H$15+'ПЛАН ЧЕРН К1'!U8*СПРАВОЧНИК!$I$15+'ПЛАН ЧЕРН К1'!V8*СПРАВОЧНИК!$J$15)+СПРАВОЧНИК!$F$15*('ПЛАН ЧИСТ К1'!AF8*СПРАВОЧНИК!$L$15+'ПЛАН ЧИСТ К1'!AG8*СПРАВОЧНИК!$M$15+'ПЛАН ЧИСТ К1'!AH8*СПРАВОЧНИК!$N$15+'ПЛАН ЧИСТ К1'!AI8*СПРАВОЧНИК!$O$15+'ПЛАН ЧИСТ К1'!AJ8*СПРАВОЧНИК!$P$15)</f>
        <v/>
      </c>
      <c r="V17" s="31">
        <f>СПРАВОЧНИК!$E$9*('ФАКТ ЧЕРН К1'!B8*СПРАВОЧНИК!$H$9+'ФАКТ ЧЕРН К1'!C8*СПРАВОЧНИК!$I$9+'ФАКТ ЧЕРН К1'!D8*СПРАВОЧНИК!$J$9)+СПРАВОЧНИК!$F$9*('ФАКТ ЧИСТ К1'!B8*СПРАВОЧНИК!$L$9+'ФАКТ ЧИСТ К1'!C8*СПРАВОЧНИК!$M$9+'ФАКТ ЧИСТ К1'!D8*СПРАВОЧНИК!$N$9+'ФАКТ ЧИСТ К1'!E8*СПРАВОЧНИК!$O$9+'ФАКТ ЧИСТ К1'!F8*СПРАВОЧНИК!$P$9)+СПРАВОЧНИК!$E$10*('ФАКТ ЧЕРН К1'!E8*СПРАВОЧНИК!$H$10+'ФАКТ ЧЕРН К1'!F8*СПРАВОЧНИК!$I$10+'ФАКТ ЧЕРН К1'!G8*СПРАВОЧНИК!$J$10)+СПРАВОЧНИК!$F$10*('ФАКТ ЧИСТ К1'!G8*СПРАВОЧНИК!$L$10+'ФАКТ ЧИСТ К1'!H8*СПРАВОЧНИК!$M$10+'ФАКТ ЧИСТ К1'!I8*СПРАВОЧНИК!$N$10+'ФАКТ ЧИСТ К1'!J8*СПРАВОЧНИК!$O$10+'ФАКТ ЧИСТ К1'!K8*СПРАВОЧНИК!$P$10)+СПРАВОЧНИК!$E$11*('ФАКТ ЧЕРН К1'!H8*СПРАВОЧНИК!$H$11+'ФАКТ ЧЕРН К1'!I8*СПРАВОЧНИК!$I$11+'ФАКТ ЧЕРН К1'!J8*СПРАВОЧНИК!$J$11)+СПРАВОЧНИК!$F$11*('ФАКТ ЧИСТ К1'!L8*СПРАВОЧНИК!$L$11+'ФАКТ ЧИСТ К1'!M8*СПРАВОЧНИК!$M$11+'ФАКТ ЧИСТ К1'!N8*СПРАВОЧНИК!$N$11+'ФАКТ ЧИСТ К1'!O8*СПРАВОЧНИК!$O$11+'ФАКТ ЧИСТ К1'!P8*СПРАВОЧНИК!$P$11)+СПРАВОЧНИК!$E$12*('ФАКТ ЧЕРН К1'!K8*СПРАВОЧНИК!$H$12+'ФАКТ ЧЕРН К1'!L8*СПРАВОЧНИК!$I$12+'ФАКТ ЧЕРН К1'!M8*СПРАВОЧНИК!$J$12)+СПРАВОЧНИК!$F$12*('ФАКТ ЧИСТ К1'!Q8*СПРАВОЧНИК!$L$12+'ФАКТ ЧИСТ К1'!R8*СПРАВОЧНИК!$M$12+'ФАКТ ЧИСТ К1'!S8*СПРАВОЧНИК!$N$12+'ФАКТ ЧИСТ К1'!T8*СПРАВОЧНИК!$O$12+'ФАКТ ЧИСТ К1'!U8*СПРАВОЧНИК!$P$12)+СПРАВОЧНИК!$E$13*('ФАКТ ЧЕРН К1'!N8*СПРАВОЧНИК!$H$13+'ФАКТ ЧЕРН К1'!O8*СПРАВОЧНИК!$I$13+'ФАКТ ЧЕРН К1'!P8*СПРАВОЧНИК!$J$13)+СПРАВОЧНИК!$F$13*('ФАКТ ЧИСТ К1'!V8*СПРАВОЧНИК!$L$13+'ФАКТ ЧИСТ К1'!W8*СПРАВОЧНИК!$M$13+'ФАКТ ЧИСТ К1'!X8*СПРАВОЧНИК!$N$13+'ФАКТ ЧИСТ К1'!Y8*СПРАВОЧНИК!$O$13+'ФАКТ ЧИСТ К1'!Z8*СПРАВОЧНИК!$P$13)+СПРАВОЧНИК!$E$14*('ФАКТ ЧЕРН К1'!Q8*СПРАВОЧНИК!$H$14+'ФАКТ ЧЕРН К1'!R8*СПРАВОЧНИК!$I$14+'ФАКТ ЧЕРН К1'!S8*СПРАВОЧНИК!$J$14)+СПРАВОЧНИК!$F$14*('ФАКТ ЧИСТ К1'!AA8*СПРАВОЧНИК!$L$14+'ФАКТ ЧИСТ К1'!AB8*СПРАВОЧНИК!$M$14+'ФАКТ ЧИСТ К1'!AC8*СПРАВОЧНИК!$N$14+'ФАКТ ЧИСТ К1'!AD8*СПРАВОЧНИК!$O$14+'ФАКТ ЧИСТ К1'!AE8*СПРАВОЧНИК!$P$14)+СПРАВОЧНИК!$E$15*('ФАКТ ЧЕРН К1'!T8*СПРАВОЧНИК!$H$15+'ФАКТ ЧЕРН К1'!U8*СПРАВОЧНИК!$I$15+'ФАКТ ЧЕРН К1'!V8*СПРАВОЧНИК!$J$15)+СПРАВОЧНИК!$F$15*('ФАКТ ЧИСТ К1'!AF8*СПРАВОЧНИК!$L$15+'ФАКТ ЧИСТ К1'!AG8*СПРАВОЧНИК!$M$15+'ФАКТ ЧИСТ К1'!AH8*СПРАВОЧНИК!$N$15+'ФАКТ ЧИСТ К1'!AI8*СПРАВОЧНИК!$O$15+'ФАКТ ЧИСТ К1'!AJ8*СПРАВОЧНИК!$P$15)</f>
        <v/>
      </c>
      <c r="W17" s="34" t="n"/>
      <c r="Z17" s="152">
        <f>Z16+7</f>
        <v/>
      </c>
      <c r="AA17" s="17">
        <f>'ПЛАН ЧЕРН К1'!B8*СПРАВОЧНИК!$H$9+'ПЛАН ЧЕРН К1'!C8*СПРАВОЧНИК!$I$9+'ПЛАН ЧЕРН К1'!D8*СПРАВОЧНИК!$J$9+'ПЛАН ЧЕРН К1'!E8*СПРАВОЧНИК!$H$10+'ПЛАН ЧЕРН К1'!F8*СПРАВОЧНИК!$I$10+'ПЛАН ЧЕРН К1'!G8*СПРАВОЧНИК!$J$10+'ПЛАН ЧЕРН К1'!H8*СПРАВОЧНИК!$H$11+'ПЛАН ЧЕРН К1'!I8*СПРАВОЧНИК!$I$11+'ПЛАН ЧЕРН К1'!J8*СПРАВОЧНИК!$J$11+'ПЛАН ЧЕРН К1'!K8*СПРАВОЧНИК!$H$12+'ПЛАН ЧЕРН К1'!L8*СПРАВОЧНИК!$I$12+'ПЛАН ЧЕРН К1'!M8*СПРАВОЧНИК!$J$12+'ПЛАН ЧЕРН К1'!N8*СПРАВОЧНИК!$H$13+'ПЛАН ЧЕРН К1'!O8*СПРАВОЧНИК!$I$13+'ПЛАН ЧЕРН К1'!P8*СПРАВОЧНИК!$J$13+'ПЛАН ЧЕРН К1'!Q8*СПРАВОЧНИК!$H$14+'ПЛАН ЧЕРН К1'!R8*СПРАВОЧНИК!$I$14+'ПЛАН ЧЕРН К1'!S8*СПРАВОЧНИК!$J$14+'ПЛАН ЧЕРН К1'!T8*СПРАВОЧНИК!$H$15+'ПЛАН ЧЕРН К1'!U8*СПРАВОЧНИК!$I$15+'ПЛАН ЧЕРН К1'!V8*СПРАВОЧНИК!$J$15</f>
        <v/>
      </c>
      <c r="AB17" s="31">
        <f>('ФАКТ ЧЕРН К1'!B8)*СПРАВОЧНИК!$H$9+('ФАКТ ЧЕРН К1'!C8)*СПРАВОЧНИК!$I$9+('ФАКТ ЧЕРН К1'!D8)*СПРАВОЧНИК!$J$9+('ФАКТ ЧЕРН К1'!E8)*СПРАВОЧНИК!$H$10+('ФАКТ ЧЕРН К1'!F8)*СПРАВОЧНИК!$I$10+('ФАКТ ЧЕРН К1'!G8)*СПРАВОЧНИК!$J$10+('ФАКТ ЧЕРН К1'!H8)*СПРАВОЧНИК!$H$11+('ФАКТ ЧЕРН К1'!I8)*СПРАВОЧНИК!$I$11+('ФАКТ ЧЕРН К1'!J8)*СПРАВОЧНИК!$J$11+('ФАКТ ЧЕРН К1'!K8)*СПРАВОЧНИК!$H$12+('ФАКТ ЧЕРН К1'!L8)*СПРАВОЧНИК!$I$12+('ФАКТ ЧЕРН К1'!M8)*СПРАВОЧНИК!$J$12+('ФАКТ ЧЕРН К1'!N8)*СПРАВОЧНИК!$H$13+('ФАКТ ЧЕРН К1'!O8)*СПРАВОЧНИК!$I$13+('ФАКТ ЧЕРН К1'!P8)*СПРАВОЧНИК!$J$13+('ФАКТ ЧЕРН К1'!Q8)*СПРАВОЧНИК!$H$14+('ФАКТ ЧЕРН К1'!R8)*СПРАВОЧНИК!$I$14+('ФАКТ ЧЕРН К1'!S8)*СПРАВОЧНИК!$J$14+('ФАКТ ЧЕРН К1'!T8)*СПРАВОЧНИК!$H$15+('ФАКТ ЧЕРН К1'!U8)*СПРАВОЧНИК!$I$15+('ФАКТ ЧЕРН К1'!V8)*СПРАВОЧНИК!$J$15</f>
        <v/>
      </c>
      <c r="AC17" s="34" t="n"/>
      <c r="AF17" s="152">
        <f>AF16+7</f>
        <v/>
      </c>
      <c r="AG17" s="17">
        <f>'ПЛАН ЧИСТ К1'!B8*СПРАВОЧНИК!$L$9+'ПЛАН ЧИСТ К1'!C8*СПРАВОЧНИК!$M$9+'ПЛАН ЧИСТ К1'!D8*СПРАВОЧНИК!$N$9+'ПЛАН ЧИСТ К1'!E8*СПРАВОЧНИК!$O$9+'ПЛАН ЧИСТ К1'!F8*СПРАВОЧНИК!$P$9+'ПЛАН ЧИСТ К1'!G8*СПРАВОЧНИК!$L$10+'ПЛАН ЧИСТ К1'!H8*СПРАВОЧНИК!$M$10+'ПЛАН ЧИСТ К1'!I8*СПРАВОЧНИК!$N$10+'ПЛАН ЧИСТ К1'!J8*СПРАВОЧНИК!$O$10+'ПЛАН ЧИСТ К1'!K8*СПРАВОЧНИК!$P$10+'ПЛАН ЧИСТ К1'!L8*СПРАВОЧНИК!$L$11+'ПЛАН ЧИСТ К1'!M8*СПРАВОЧНИК!$M$11+'ПЛАН ЧИСТ К1'!N8*СПРАВОЧНИК!$N$11+'ПЛАН ЧИСТ К1'!O8*СПРАВОЧНИК!$O$11+'ПЛАН ЧИСТ К1'!P8*СПРАВОЧНИК!$P$11+'ПЛАН ЧИСТ К1'!Q8*СПРАВОЧНИК!$L$12+'ПЛАН ЧИСТ К1'!R8*СПРАВОЧНИК!$M$12+'ПЛАН ЧИСТ К1'!S8*СПРАВОЧНИК!$N$12+'ПЛАН ЧИСТ К1'!T8*СПРАВОЧНИК!$O$12+'ПЛАН ЧИСТ К1'!U8*СПРАВОЧНИК!$P$12+'ПЛАН ЧИСТ К1'!V8*СПРАВОЧНИК!$L$13+'ПЛАН ЧИСТ К1'!W8*СПРАВОЧНИК!$M$13+'ПЛАН ЧИСТ К1'!X8*СПРАВОЧНИК!$N$13+'ПЛАН ЧИСТ К1'!Y8*СПРАВОЧНИК!$O$13+'ПЛАН ЧИСТ К1'!Z8*СПРАВОЧНИК!$P$13+'ПЛАН ЧИСТ К1'!AA8*СПРАВОЧНИК!$L$14+'ПЛАН ЧИСТ К1'!AB8*СПРАВОЧНИК!$M$14+'ПЛАН ЧИСТ К1'!AC8*СПРАВОЧНИК!$N$14+'ПЛАН ЧИСТ К1'!AD8*СПРАВОЧНИК!$O$14+'ПЛАН ЧИСТ К1'!AE8*СПРАВОЧНИК!$P$14+'ПЛАН ЧИСТ К1'!AF8*СПРАВОЧНИК!$L$15+'ПЛАН ЧИСТ К1'!AG8*СПРАВОЧНИК!$M$15+'ПЛАН ЧИСТ К1'!AH8*СПРАВОЧНИК!$N$15+'ПЛАН ЧИСТ К1'!AI8*СПРАВОЧНИК!$O$15+'ПЛАН ЧИСТ К1'!AJ8*СПРАВОЧНИК!$P$15</f>
        <v/>
      </c>
      <c r="AH17" s="31">
        <f>('ФАКТ ЧИСТ К1'!B8)*СПРАВОЧНИК!$L$9+('ФАКТ ЧИСТ К1'!C8)*СПРАВОЧНИК!$M$9+('ФАКТ ЧИСТ К1'!D8)*СПРАВОЧНИК!$N$9+('ФАКТ ЧИСТ К1'!E8)*СПРАВОЧНИК!$O$9+('ФАКТ ЧИСТ К1'!F8)*СПРАВОЧНИК!$P$9+('ФАКТ ЧИСТ К1'!G8)*СПРАВОЧНИК!$L$10+('ФАКТ ЧИСТ К1'!H8)*СПРАВОЧНИК!$M$10+('ФАКТ ЧИСТ К1'!I8)*СПРАВОЧНИК!$N$10+('ФАКТ ЧИСТ К1'!J8)*СПРАВОЧНИК!$O$10+('ФАКТ ЧИСТ К1'!K8)*СПРАВОЧНИК!$P$10+('ФАКТ ЧИСТ К1'!L8)*СПРАВОЧНИК!$L$11+('ФАКТ ЧИСТ К1'!M8)*СПРАВОЧНИК!$M$11+('ФАКТ ЧИСТ К1'!N8)*СПРАВОЧНИК!$N$11+('ФАКТ ЧИСТ К1'!O8)*СПРАВОЧНИК!$O$11+('ФАКТ ЧИСТ К1'!P8)*СПРАВОЧНИК!$P$11+('ФАКТ ЧИСТ К1'!Q8)*СПРАВОЧНИК!$L$12+('ФАКТ ЧИСТ К1'!R8)*СПРАВОЧНИК!$M$12+('ФАКТ ЧИСТ К1'!S8)*СПРАВОЧНИК!$N$12+('ФАКТ ЧИСТ К1'!T8)*СПРАВОЧНИК!$O$12+('ФАКТ ЧИСТ К1'!U8)*СПРАВОЧНИК!$P$12+('ФАКТ ЧИСТ К1'!V8)*СПРАВОЧНИК!$L$13+('ФАКТ ЧИСТ К1'!W8)*СПРАВОЧНИК!$M$13+('ФАКТ ЧИСТ К1'!X8)*СПРАВОЧНИК!$N$13+('ФАКТ ЧИСТ К1'!Y8)*СПРАВОЧНИК!$O$13+('ФАКТ ЧИСТ К1'!Z8)*СПРАВОЧНИК!$P$13+('ФАКТ ЧИСТ К1'!AA8)*СПРАВОЧНИК!$L$14+('ФАКТ ЧИСТ К1'!AB8)*СПРАВОЧНИК!$M$14+('ФАКТ ЧИСТ К1'!AC8)*СПРАВОЧНИК!$N$14+('ФАКТ ЧИСТ К1'!AD8)*СПРАВОЧНИК!$O$14+('ФАКТ ЧИСТ К1'!AE8)*СПРАВОЧНИК!$P$14+('ФАКТ ЧИСТ К1'!AF8)*СПРАВОЧНИК!$L$15+('ФАКТ ЧИСТ К1'!AG8)*СПРАВОЧНИК!$M$15+('ФАКТ ЧИСТ К1'!AH8)*СПРАВОЧНИК!$N$15+('ФАКТ ЧИСТ К1'!AI8)*СПРАВОЧНИК!$O$15+('ФАКТ ЧИСТ К1'!AJ8)*СПРАВОЧНИК!$P$15</f>
        <v/>
      </c>
      <c r="AI17" s="34" t="n"/>
      <c r="AL17" s="152">
        <f>AL16+7</f>
        <v/>
      </c>
      <c r="AM17" s="17">
        <f>СПРАВОЧНИК!$E$9*('ПЛАН ЧЕРН К2'!B8*СПРАВОЧНИК!$H$9+'ПЛАН ЧЕРН К2'!C8*СПРАВОЧНИК!$I$9+'ПЛАН ЧЕРН К2'!D8*СПРАВОЧНИК!$J$9)+СПРАВОЧНИК!$F$9*('ПЛАН ЧИСТ К2'!B8*СПРАВОЧНИК!$L$9+'ПЛАН ЧИСТ К2'!C8*СПРАВОЧНИК!$M$9+'ПЛАН ЧИСТ К2'!D8*СПРАВОЧНИК!$N$9+'ПЛАН ЧИСТ К2'!E8*СПРАВОЧНИК!$O$9+'ПЛАН ЧИСТ К2'!F8*СПРАВОЧНИК!$P$9)+СПРАВОЧНИК!$E$10*('ПЛАН ЧЕРН К2'!E8*СПРАВОЧНИК!$H$10+'ПЛАН ЧЕРН К2'!F8*СПРАВОЧНИК!$I$10+'ПЛАН ЧЕРН К2'!G8*СПРАВОЧНИК!$J$10)+СПРАВОЧНИК!$F$10*('ПЛАН ЧИСТ К2'!G8*СПРАВОЧНИК!$L$10+'ПЛАН ЧИСТ К2'!H8*СПРАВОЧНИК!$M$10+'ПЛАН ЧИСТ К2'!I8*СПРАВОЧНИК!$N$10+'ПЛАН ЧИСТ К2'!J8*СПРАВОЧНИК!$O$10+'ПЛАН ЧИСТ К2'!K8*СПРАВОЧНИК!$P$10)+СПРАВОЧНИК!$E$11*('ПЛАН ЧЕРН К2'!H8*СПРАВОЧНИК!$H$11+'ПЛАН ЧЕРН К2'!I8*СПРАВОЧНИК!$I$11+'ПЛАН ЧЕРН К2'!J8*СПРАВОЧНИК!$J$11)+СПРАВОЧНИК!$F$11*('ПЛАН ЧИСТ К2'!L8*СПРАВОЧНИК!$L$11+'ПЛАН ЧИСТ К2'!M8*СПРАВОЧНИК!$M$11+'ПЛАН ЧИСТ К2'!N8*СПРАВОЧНИК!$N$11+'ПЛАН ЧИСТ К2'!O8*СПРАВОЧНИК!$O$11+'ПЛАН ЧИСТ К2'!P8*СПРАВОЧНИК!$P$11)+СПРАВОЧНИК!$E$12*('ПЛАН ЧЕРН К2'!K8*СПРАВОЧНИК!$H$12+'ПЛАН ЧЕРН К2'!L8*СПРАВОЧНИК!$I$12+'ПЛАН ЧЕРН К2'!M8*СПРАВОЧНИК!$J$12)+СПРАВОЧНИК!$F$12*('ПЛАН ЧИСТ К2'!Q8*СПРАВОЧНИК!$L$12+'ПЛАН ЧИСТ К2'!R8*СПРАВОЧНИК!$M$12+'ПЛАН ЧИСТ К2'!S8*СПРАВОЧНИК!$N$12+'ПЛАН ЧИСТ К2'!T8*СПРАВОЧНИК!$O$12+'ПЛАН ЧИСТ К2'!U8*СПРАВОЧНИК!$P$12)+СПРАВОЧНИК!$E$13*('ПЛАН ЧЕРН К2'!N8*СПРАВОЧНИК!$H$13+'ПЛАН ЧЕРН К2'!O8*СПРАВОЧНИК!$I$13+'ПЛАН ЧЕРН К2'!P8*СПРАВОЧНИК!$J$13)+СПРАВОЧНИК!$F$13*('ПЛАН ЧИСТ К2'!V8*СПРАВОЧНИК!$L$13+'ПЛАН ЧИСТ К2'!W8*СПРАВОЧНИК!$M$13+'ПЛАН ЧИСТ К2'!X8*СПРАВОЧНИК!$N$13+'ПЛАН ЧИСТ К2'!Y8*СПРАВОЧНИК!$O$13+'ПЛАН ЧИСТ К2'!Z8*СПРАВОЧНИК!$P$13)+СПРАВОЧНИК!$E$14*('ПЛАН ЧЕРН К2'!Q8*СПРАВОЧНИК!$H$14+'ПЛАН ЧЕРН К2'!R8*СПРАВОЧНИК!$I$14+'ПЛАН ЧЕРН К2'!S8*СПРАВОЧНИК!$J$14)+СПРАВОЧНИК!$F$14*('ПЛАН ЧИСТ К2'!AA8*СПРАВОЧНИК!$L$14+'ПЛАН ЧИСТ К2'!AB8*СПРАВОЧНИК!$M$14+'ПЛАН ЧИСТ К2'!AC8*СПРАВОЧНИК!$N$14+'ПЛАН ЧИСТ К2'!AD8*СПРАВОЧНИК!$O$14+'ПЛАН ЧИСТ К2'!AE8*СПРАВОЧНИК!$P$14)+СПРАВОЧНИК!$E$15*('ПЛАН ЧЕРН К2'!T8*СПРАВОЧНИК!$H$15+'ПЛАН ЧЕРН К2'!U8*СПРАВОЧНИК!$I$15+'ПЛАН ЧЕРН К2'!V8*СПРАВОЧНИК!$J$15)+СПРАВОЧНИК!$F$15*('ПЛАН ЧИСТ К2'!AF8*СПРАВОЧНИК!$L$15+'ПЛАН ЧИСТ К2'!AG8*СПРАВОЧНИК!$M$15+'ПЛАН ЧИСТ К2'!AH8*СПРАВОЧНИК!$N$15+'ПЛАН ЧИСТ К2'!AI8*СПРАВОЧНИК!$O$15+'ПЛАН ЧИСТ К2'!AJ8*СПРАВОЧНИК!$P$15)</f>
        <v/>
      </c>
      <c r="AN17" s="31">
        <f>СПРАВОЧНИК!$E$9*('ФАКТ ЧЕРН К2'!B8*СПРАВОЧНИК!$H$9+'ФАКТ ЧЕРН К2'!C8*СПРАВОЧНИК!$I$9+'ФАКТ ЧЕРН К2'!D8*СПРАВОЧНИК!$J$9)+СПРАВОЧНИК!$F$9*('ФАКТ ЧИСТ К2'!B8*СПРАВОЧНИК!$L$9+'ФАКТ ЧИСТ К2'!C8*СПРАВОЧНИК!$M$9+'ФАКТ ЧИСТ К2'!D8*СПРАВОЧНИК!$N$9+'ФАКТ ЧИСТ К2'!E8*СПРАВОЧНИК!$O$9+'ФАКТ ЧИСТ К2'!F8*СПРАВОЧНИК!$P$9)+СПРАВОЧНИК!$E$10*('ФАКТ ЧЕРН К2'!E8*СПРАВОЧНИК!$H$10+'ФАКТ ЧЕРН К2'!F8*СПРАВОЧНИК!$I$10+'ФАКТ ЧЕРН К2'!G8*СПРАВОЧНИК!$J$10)+СПРАВОЧНИК!$F$10*('ФАКТ ЧИСТ К2'!G8*СПРАВОЧНИК!$L$10+'ФАКТ ЧИСТ К2'!H8*СПРАВОЧНИК!$M$10+'ФАКТ ЧИСТ К2'!I8*СПРАВОЧНИК!$N$10+'ФАКТ ЧИСТ К2'!J8*СПРАВОЧНИК!$O$10+'ФАКТ ЧИСТ К2'!K8*СПРАВОЧНИК!$P$10)+СПРАВОЧНИК!$E$11*('ФАКТ ЧЕРН К2'!H8*СПРАВОЧНИК!$H$11+'ФАКТ ЧЕРН К2'!I8*СПРАВОЧНИК!$I$11+'ФАКТ ЧЕРН К2'!J8*СПРАВОЧНИК!$J$11)+СПРАВОЧНИК!$F$11*('ФАКТ ЧИСТ К2'!L8*СПРАВОЧНИК!$L$11+'ФАКТ ЧИСТ К2'!M8*СПРАВОЧНИК!$M$11+'ФАКТ ЧИСТ К2'!N8*СПРАВОЧНИК!$N$11+'ФАКТ ЧИСТ К2'!O8*СПРАВОЧНИК!$O$11+'ФАКТ ЧИСТ К2'!P8*СПРАВОЧНИК!$P$11)+СПРАВОЧНИК!$E$12*('ФАКТ ЧЕРН К2'!K8*СПРАВОЧНИК!$H$12+'ФАКТ ЧЕРН К2'!L8*СПРАВОЧНИК!$I$12+'ФАКТ ЧЕРН К2'!M8*СПРАВОЧНИК!$J$12)+СПРАВОЧНИК!$F$12*('ФАКТ ЧИСТ К2'!Q8*СПРАВОЧНИК!$L$12+'ФАКТ ЧИСТ К2'!R8*СПРАВОЧНИК!$M$12+'ФАКТ ЧИСТ К2'!S8*СПРАВОЧНИК!$N$12+'ФАКТ ЧИСТ К2'!T8*СПРАВОЧНИК!$O$12+'ФАКТ ЧИСТ К2'!U8*СПРАВОЧНИК!$P$12)+СПРАВОЧНИК!$E$13*('ФАКТ ЧЕРН К2'!N8*СПРАВОЧНИК!$H$13+'ФАКТ ЧЕРН К2'!O8*СПРАВОЧНИК!$I$13+'ФАКТ ЧЕРН К2'!P8*СПРАВОЧНИК!$J$13)+СПРАВОЧНИК!$F$13*('ФАКТ ЧИСТ К2'!V8*СПРАВОЧНИК!$L$13+'ФАКТ ЧИСТ К2'!W8*СПРАВОЧНИК!$M$13+'ФАКТ ЧИСТ К2'!X8*СПРАВОЧНИК!$N$13+'ФАКТ ЧИСТ К2'!Y8*СПРАВОЧНИК!$O$13+'ФАКТ ЧИСТ К2'!Z8*СПРАВОЧНИК!$P$13)+СПРАВОЧНИК!$E$14*('ФАКТ ЧЕРН К2'!Q8*СПРАВОЧНИК!$H$14+'ФАКТ ЧЕРН К2'!R8*СПРАВОЧНИК!$I$14+'ФАКТ ЧЕРН К2'!S8*СПРАВОЧНИК!$J$14)+СПРАВОЧНИК!$F$14*('ФАКТ ЧИСТ К2'!AA8*СПРАВОЧНИК!$L$14+'ФАКТ ЧИСТ К2'!AB8*СПРАВОЧНИК!$M$14+'ФАКТ ЧИСТ К2'!AC8*СПРАВОЧНИК!$N$14+'ФАКТ ЧИСТ К2'!AD8*СПРАВОЧНИК!$O$14+'ФАКТ ЧИСТ К2'!AE8*СПРАВОЧНИК!$P$14)+СПРАВОЧНИК!$E$15*('ФАКТ ЧЕРН К2'!T8*СПРАВОЧНИК!$H$15+'ФАКТ ЧЕРН К2'!U8*СПРАВОЧНИК!$I$15+'ФАКТ ЧЕРН К2'!V8*СПРАВОЧНИК!$J$15)+СПРАВОЧНИК!$F$15*('ФАКТ ЧИСТ К2'!AF8*СПРАВОЧНИК!$L$15+'ФАКТ ЧИСТ К2'!AG8*СПРАВОЧНИК!$M$15+'ФАКТ ЧИСТ К2'!AH8*СПРАВОЧНИК!$N$15+'ФАКТ ЧИСТ К2'!AI8*СПРАВОЧНИК!$O$15+'ФАКТ ЧИСТ К2'!AJ8*СПРАВОЧНИК!$P$15)</f>
        <v/>
      </c>
      <c r="AO17" s="34" t="n"/>
      <c r="AR17" s="152">
        <f>AR16+7</f>
        <v/>
      </c>
      <c r="AS17" s="17">
        <f>'ПЛАН ЧЕРН К2'!B8*СПРАВОЧНИК!$H$9+'ПЛАН ЧЕРН К2'!C8*СПРАВОЧНИК!$I$9+'ПЛАН ЧЕРН К2'!D8*СПРАВОЧНИК!$J$9+'ПЛАН ЧЕРН К2'!E8*СПРАВОЧНИК!$H$10+'ПЛАН ЧЕРН К2'!F8*СПРАВОЧНИК!$I$10+'ПЛАН ЧЕРН К2'!G8*СПРАВОЧНИК!$J$10+'ПЛАН ЧЕРН К2'!H8*СПРАВОЧНИК!$H$11+'ПЛАН ЧЕРН К2'!I8*СПРАВОЧНИК!$I$11+'ПЛАН ЧЕРН К2'!J8*СПРАВОЧНИК!$J$11+'ПЛАН ЧЕРН К2'!K8*СПРАВОЧНИК!$H$12+'ПЛАН ЧЕРН К2'!L8*СПРАВОЧНИК!$I$12+'ПЛАН ЧЕРН К2'!M8*СПРАВОЧНИК!$J$12+'ПЛАН ЧЕРН К2'!N8*СПРАВОЧНИК!$H$13+'ПЛАН ЧЕРН К2'!O8*СПРАВОЧНИК!$I$13+'ПЛАН ЧЕРН К2'!P8*СПРАВОЧНИК!$J$13+'ПЛАН ЧЕРН К2'!Q8*СПРАВОЧНИК!$H$14+'ПЛАН ЧЕРН К2'!R8*СПРАВОЧНИК!$I$14+'ПЛАН ЧЕРН К2'!S8*СПРАВОЧНИК!$J$14+'ПЛАН ЧЕРН К2'!T8*СПРАВОЧНИК!$H$15+'ПЛАН ЧЕРН К2'!U8*СПРАВОЧНИК!$I$15+'ПЛАН ЧЕРН К2'!V8*СПРАВОЧНИК!$J$15</f>
        <v/>
      </c>
      <c r="AT17" s="31">
        <f>('ФАКТ ЧЕРН К2'!B8)*СПРАВОЧНИК!$H$9+('ФАКТ ЧЕРН К2'!C8)*СПРАВОЧНИК!$I$9+('ФАКТ ЧЕРН К2'!D8)*СПРАВОЧНИК!$J$9+('ФАКТ ЧЕРН К2'!E8)*СПРАВОЧНИК!$H$10+('ФАКТ ЧЕРН К2'!F8)*СПРАВОЧНИК!$I$10+('ФАКТ ЧЕРН К2'!G8)*СПРАВОЧНИК!$J$10+('ФАКТ ЧЕРН К2'!H8)*СПРАВОЧНИК!$H$11+('ФАКТ ЧЕРН К2'!I8)*СПРАВОЧНИК!$I$11+('ФАКТ ЧЕРН К2'!J8)*СПРАВОЧНИК!$J$11+('ФАКТ ЧЕРН К2'!K8)*СПРАВОЧНИК!$H$12+('ФАКТ ЧЕРН К2'!L8)*СПРАВОЧНИК!$I$12+('ФАКТ ЧЕРН К2'!M8)*СПРАВОЧНИК!$J$12+('ФАКТ ЧЕРН К2'!N8)*СПРАВОЧНИК!$H$13+('ФАКТ ЧЕРН К2'!O8)*СПРАВОЧНИК!$I$13+('ФАКТ ЧЕРН К2'!P8)*СПРАВОЧНИК!$J$13+('ФАКТ ЧЕРН К2'!Q8)*СПРАВОЧНИК!$H$14+('ФАКТ ЧЕРН К2'!R8)*СПРАВОЧНИК!$I$14+('ФАКТ ЧЕРН К2'!S8)*СПРАВОЧНИК!$J$14+('ФАКТ ЧЕРН К2'!T8)*СПРАВОЧНИК!$H$15+('ФАКТ ЧЕРН К2'!U8)*СПРАВОЧНИК!$I$15+('ФАКТ ЧЕРН К2'!V8)*СПРАВОЧНИК!$J$15</f>
        <v/>
      </c>
      <c r="AU17" s="34" t="n"/>
      <c r="AX17" s="152">
        <f>AX16+7</f>
        <v/>
      </c>
      <c r="AY17" s="17">
        <f>'ПЛАН ЧИСТ К2'!B8*СПРАВОЧНИК!$L$9+'ПЛАН ЧИСТ К2'!C8*СПРАВОЧНИК!$M$9+'ПЛАН ЧИСТ К2'!D8*СПРАВОЧНИК!$N$9+'ПЛАН ЧИСТ К2'!E8*СПРАВОЧНИК!$O$9+'ПЛАН ЧИСТ К2'!F8*СПРАВОЧНИК!$P$9+'ПЛАН ЧИСТ К2'!G8*СПРАВОЧНИК!$L$10+'ПЛАН ЧИСТ К2'!H8*СПРАВОЧНИК!$M$10+'ПЛАН ЧИСТ К2'!I8*СПРАВОЧНИК!$N$10+'ПЛАН ЧИСТ К2'!J8*СПРАВОЧНИК!$O$10+'ПЛАН ЧИСТ К2'!K8*СПРАВОЧНИК!$P$10+'ПЛАН ЧИСТ К2'!L8*СПРАВОЧНИК!$L$11+'ПЛАН ЧИСТ К2'!M8*СПРАВОЧНИК!$M$11+'ПЛАН ЧИСТ К2'!N8*СПРАВОЧНИК!$N$11+'ПЛАН ЧИСТ К2'!O8*СПРАВОЧНИК!$O$11+'ПЛАН ЧИСТ К2'!P8*СПРАВОЧНИК!$P$11+'ПЛАН ЧИСТ К2'!Q8*СПРАВОЧНИК!$L$12+'ПЛАН ЧИСТ К2'!R8*СПРАВОЧНИК!$M$12+'ПЛАН ЧИСТ К2'!S8*СПРАВОЧНИК!$N$12+'ПЛАН ЧИСТ К2'!T8*СПРАВОЧНИК!$O$12+'ПЛАН ЧИСТ К2'!U8*СПРАВОЧНИК!$P$12+'ПЛАН ЧИСТ К2'!V8*СПРАВОЧНИК!$L$13+'ПЛАН ЧИСТ К2'!W8*СПРАВОЧНИК!$M$13+'ПЛАН ЧИСТ К2'!X8*СПРАВОЧНИК!$N$13+'ПЛАН ЧИСТ К2'!Y8*СПРАВОЧНИК!$O$13+'ПЛАН ЧИСТ К2'!Z8*СПРАВОЧНИК!$P$13+'ПЛАН ЧИСТ К2'!AA8*СПРАВОЧНИК!$L$14+'ПЛАН ЧИСТ К2'!AB8*СПРАВОЧНИК!$M$14+'ПЛАН ЧИСТ К2'!AC8*СПРАВОЧНИК!$N$14+'ПЛАН ЧИСТ К2'!AD8*СПРАВОЧНИК!$O$14+'ПЛАН ЧИСТ К2'!AE8*СПРАВОЧНИК!$P$14+'ПЛАН ЧИСТ К2'!AF8*СПРАВОЧНИК!$L$15+'ПЛАН ЧИСТ К2'!AG8*СПРАВОЧНИК!$M$15+'ПЛАН ЧИСТ К2'!AH8*СПРАВОЧНИК!$N$15+'ПЛАН ЧИСТ К2'!AI8*СПРАВОЧНИК!$O$15+'ПЛАН ЧИСТ К2'!AJ8*СПРАВОЧНИК!$P$15</f>
        <v/>
      </c>
      <c r="AZ17" s="31">
        <f>('ФАКТ ЧИСТ К2'!B8)*СПРАВОЧНИК!$L$9+('ФАКТ ЧИСТ К2'!C8)*СПРАВОЧНИК!$M$9+('ФАКТ ЧИСТ К2'!D8)*СПРАВОЧНИК!$N$9+('ФАКТ ЧИСТ К2'!E8)*СПРАВОЧНИК!$O$9+('ФАКТ ЧИСТ К2'!F8)*СПРАВОЧНИК!$P$9+('ФАКТ ЧИСТ К2'!G8)*СПРАВОЧНИК!$L$10+('ФАКТ ЧИСТ К2'!H8)*СПРАВОЧНИК!$M$10+('ФАКТ ЧИСТ К2'!I8)*СПРАВОЧНИК!$N$10+('ФАКТ ЧИСТ К2'!J8)*СПРАВОЧНИК!$O$10+('ФАКТ ЧИСТ К2'!K8)*СПРАВОЧНИК!$P$10+('ФАКТ ЧИСТ К2'!L8)*СПРАВОЧНИК!$L$11+('ФАКТ ЧИСТ К2'!M8)*СПРАВОЧНИК!$M$11+('ФАКТ ЧИСТ К2'!N8)*СПРАВОЧНИК!$N$11+('ФАКТ ЧИСТ К2'!O8)*СПРАВОЧНИК!$O$11+('ФАКТ ЧИСТ К2'!P8)*СПРАВОЧНИК!$P$11+('ФАКТ ЧИСТ К2'!Q8)*СПРАВОЧНИК!$L$12+('ФАКТ ЧИСТ К2'!R8)*СПРАВОЧНИК!$M$12+('ФАКТ ЧИСТ К2'!S8)*СПРАВОЧНИК!$N$12+('ФАКТ ЧИСТ К2'!T8)*СПРАВОЧНИК!$O$12+('ФАКТ ЧИСТ К2'!U8)*СПРАВОЧНИК!$P$12+('ФАКТ ЧИСТ К2'!V8)*СПРАВОЧНИК!$L$13+('ФАКТ ЧИСТ К2'!W8)*СПРАВОЧНИК!$M$13+('ФАКТ ЧИСТ К2'!X8)*СПРАВОЧНИК!$N$13+('ФАКТ ЧИСТ К2'!Y8)*СПРАВОЧНИК!$O$13+('ФАКТ ЧИСТ К2'!Z8)*СПРАВОЧНИК!$P$13+('ФАКТ ЧИСТ К2'!AA8)*СПРАВОЧНИК!$L$14+('ФАКТ ЧИСТ К2'!AB8)*СПРАВОЧНИК!$M$14+('ФАКТ ЧИСТ К2'!AC8)*СПРАВОЧНИК!$N$14+('ФАКТ ЧИСТ К2'!AD8)*СПРАВОЧНИК!$O$14+('ФАКТ ЧИСТ К2'!AE8)*СПРАВОЧНИК!$P$14+('ФАКТ ЧИСТ К2'!AF8)*СПРАВОЧНИК!$L$15+('ФАКТ ЧИСТ К2'!AG8)*СПРАВОЧНИК!$M$15+('ФАКТ ЧИСТ К2'!AH8)*СПРАВОЧНИК!$N$15+('ФАКТ ЧИСТ К2'!AI8)*СПРАВОЧНИК!$O$15+('ФАКТ ЧИСТ К2'!AJ8)*СПРАВОЧНИК!$P$15</f>
        <v/>
      </c>
      <c r="BA17" s="34" t="n"/>
      <c r="BD17" s="152">
        <f>BD16+7</f>
        <v/>
      </c>
      <c r="BE17" s="17">
        <f>СПРАВОЧНИК!$E$9*('ПЛАН ЧЕРН К3'!B8*СПРАВОЧНИК!$H$9+'ПЛАН ЧЕРН К3'!C8*СПРАВОЧНИК!$I$9+'ПЛАН ЧЕРН К3'!D8*СПРАВОЧНИК!$J$9)+СПРАВОЧНИК!$F$9*('ПЛАН ЧИСТ К3'!B8*СПРАВОЧНИК!$L$9+'ПЛАН ЧИСТ К3'!C8*СПРАВОЧНИК!$M$9+'ПЛАН ЧИСТ К3'!D8*СПРАВОЧНИК!$N$9+'ПЛАН ЧИСТ К3'!E8*СПРАВОЧНИК!$O$9+'ПЛАН ЧИСТ К3'!F8*СПРАВОЧНИК!$P$9)+СПРАВОЧНИК!$E$10*('ПЛАН ЧЕРН К3'!E8*СПРАВОЧНИК!$H$10+'ПЛАН ЧЕРН К3'!F8*СПРАВОЧНИК!$I$10+'ПЛАН ЧЕРН К3'!G8*СПРАВОЧНИК!$J$10)+СПРАВОЧНИК!$F$10*('ПЛАН ЧИСТ К3'!G8*СПРАВОЧНИК!$L$10+'ПЛАН ЧИСТ К3'!H8*СПРАВОЧНИК!$M$10+'ПЛАН ЧИСТ К3'!I8*СПРАВОЧНИК!$N$10+'ПЛАН ЧИСТ К3'!J8*СПРАВОЧНИК!$O$10+'ПЛАН ЧИСТ К3'!K8*СПРАВОЧНИК!$P$10)+СПРАВОЧНИК!$E$11*('ПЛАН ЧЕРН К3'!H8*СПРАВОЧНИК!$H$11+'ПЛАН ЧЕРН К3'!I8*СПРАВОЧНИК!$I$11+'ПЛАН ЧЕРН К3'!J8*СПРАВОЧНИК!$J$11)+СПРАВОЧНИК!$F$11*('ПЛАН ЧИСТ К3'!L8*СПРАВОЧНИК!$L$11+'ПЛАН ЧИСТ К3'!M8*СПРАВОЧНИК!$M$11+'ПЛАН ЧИСТ К3'!N8*СПРАВОЧНИК!$N$11+'ПЛАН ЧИСТ К3'!O8*СПРАВОЧНИК!$O$11+'ПЛАН ЧИСТ К3'!P8*СПРАВОЧНИК!$P$11)+СПРАВОЧНИК!$E$12*('ПЛАН ЧЕРН К3'!K8*СПРАВОЧНИК!$H$12+'ПЛАН ЧЕРН К3'!L8*СПРАВОЧНИК!$I$12+'ПЛАН ЧЕРН К3'!M8*СПРАВОЧНИК!$J$12)+СПРАВОЧНИК!$F$12*('ПЛАН ЧИСТ К3'!Q8*СПРАВОЧНИК!$L$12+'ПЛАН ЧИСТ К3'!R8*СПРАВОЧНИК!$M$12+'ПЛАН ЧИСТ К3'!S8*СПРАВОЧНИК!$N$12+'ПЛАН ЧИСТ К3'!T8*СПРАВОЧНИК!$O$12+'ПЛАН ЧИСТ К3'!U8*СПРАВОЧНИК!$P$12)+СПРАВОЧНИК!$E$13*('ПЛАН ЧЕРН К3'!N8*СПРАВОЧНИК!$H$13+'ПЛАН ЧЕРН К3'!O8*СПРАВОЧНИК!$I$13+'ПЛАН ЧЕРН К3'!P8*СПРАВОЧНИК!$J$13)+СПРАВОЧНИК!$F$13*('ПЛАН ЧИСТ К3'!V8*СПРАВОЧНИК!$L$13+'ПЛАН ЧИСТ К3'!W8*СПРАВОЧНИК!$M$13+'ПЛАН ЧИСТ К3'!X8*СПРАВОЧНИК!$N$13+'ПЛАН ЧИСТ К3'!Y8*СПРАВОЧНИК!$O$13+'ПЛАН ЧИСТ К3'!Z8*СПРАВОЧНИК!$P$13)+СПРАВОЧНИК!$E$14*('ПЛАН ЧЕРН К3'!Q8*СПРАВОЧНИК!$H$14+'ПЛАН ЧЕРН К3'!R8*СПРАВОЧНИК!$I$14+'ПЛАН ЧЕРН К3'!S8*СПРАВОЧНИК!$J$14)+СПРАВОЧНИК!$F$14*('ПЛАН ЧИСТ К3'!AA8*СПРАВОЧНИК!$L$14+'ПЛАН ЧИСТ К3'!AB8*СПРАВОЧНИК!$M$14+'ПЛАН ЧИСТ К3'!AC8*СПРАВОЧНИК!$N$14+'ПЛАН ЧИСТ К3'!AD8*СПРАВОЧНИК!$O$14+'ПЛАН ЧИСТ К3'!AE8*СПРАВОЧНИК!$P$14)+СПРАВОЧНИК!$E$15*('ПЛАН ЧЕРН К3'!T8*СПРАВОЧНИК!$H$15+'ПЛАН ЧЕРН К3'!U8*СПРАВОЧНИК!$I$15+'ПЛАН ЧЕРН К3'!V8*СПРАВОЧНИК!$J$15)+СПРАВОЧНИК!$F$15*('ПЛАН ЧИСТ К3'!AF8*СПРАВОЧНИК!$L$15+'ПЛАН ЧИСТ К3'!AG8*СПРАВОЧНИК!$M$15+'ПЛАН ЧИСТ К3'!AH8*СПРАВОЧНИК!$N$15+'ПЛАН ЧИСТ К3'!AI8*СПРАВОЧНИК!$O$15+'ПЛАН ЧИСТ К3'!AJ8*СПРАВОЧНИК!$P$15)</f>
        <v/>
      </c>
      <c r="BF17" s="31">
        <f>СПРАВОЧНИК!$E$9*('ФАКТ ЧЕРН К3'!B8*СПРАВОЧНИК!$H$9+'ФАКТ ЧЕРН К3'!C8*СПРАВОЧНИК!$I$9+'ФАКТ ЧЕРН К3'!D8*СПРАВОЧНИК!$J$9)+СПРАВОЧНИК!$F$9*('ФАКТ ЧИСТ К3'!B8*СПРАВОЧНИК!$L$9+'ФАКТ ЧИСТ К3'!C8*СПРАВОЧНИК!$M$9+'ФАКТ ЧИСТ К3'!D8*СПРАВОЧНИК!$N$9+'ФАКТ ЧИСТ К3'!E8*СПРАВОЧНИК!$O$9+'ФАКТ ЧИСТ К3'!F8*СПРАВОЧНИК!$P$9)+СПРАВОЧНИК!$E$10*('ФАКТ ЧЕРН К3'!E8*СПРАВОЧНИК!$H$10+'ФАКТ ЧЕРН К3'!F8*СПРАВОЧНИК!$I$10+'ФАКТ ЧЕРН К3'!G8*СПРАВОЧНИК!$J$10)+СПРАВОЧНИК!$F$10*('ФАКТ ЧИСТ К3'!G8*СПРАВОЧНИК!$L$10+'ФАКТ ЧИСТ К3'!H8*СПРАВОЧНИК!$M$10+'ФАКТ ЧИСТ К3'!I8*СПРАВОЧНИК!$N$10+'ФАКТ ЧИСТ К3'!J8*СПРАВОЧНИК!$O$10+'ФАКТ ЧИСТ К3'!K8*СПРАВОЧНИК!$P$10)+СПРАВОЧНИК!$E$11*('ФАКТ ЧЕРН К3'!H8*СПРАВОЧНИК!$H$11+'ФАКТ ЧЕРН К3'!I8*СПРАВОЧНИК!$I$11+'ФАКТ ЧЕРН К3'!J8*СПРАВОЧНИК!$J$11)+СПРАВОЧНИК!$F$11*('ФАКТ ЧИСТ К3'!L8*СПРАВОЧНИК!$L$11+'ФАКТ ЧИСТ К3'!M8*СПРАВОЧНИК!$M$11+'ФАКТ ЧИСТ К3'!N8*СПРАВОЧНИК!$N$11+'ФАКТ ЧИСТ К3'!O8*СПРАВОЧНИК!$O$11+'ФАКТ ЧИСТ К3'!P8*СПРАВОЧНИК!$P$11)+СПРАВОЧНИК!$E$12*('ФАКТ ЧЕРН К3'!K8*СПРАВОЧНИК!$H$12+'ФАКТ ЧЕРН К3'!L8*СПРАВОЧНИК!$I$12+'ФАКТ ЧЕРН К3'!M8*СПРАВОЧНИК!$J$12)+СПРАВОЧНИК!$F$12*('ФАКТ ЧИСТ К3'!Q8*СПРАВОЧНИК!$L$12+'ФАКТ ЧИСТ К3'!R8*СПРАВОЧНИК!$M$12+'ФАКТ ЧИСТ К3'!S8*СПРАВОЧНИК!$N$12+'ФАКТ ЧИСТ К3'!T8*СПРАВОЧНИК!$O$12+'ФАКТ ЧИСТ К3'!U8*СПРАВОЧНИК!$P$12)+СПРАВОЧНИК!$E$13*('ФАКТ ЧЕРН К3'!N8*СПРАВОЧНИК!$H$13+'ФАКТ ЧЕРН К3'!O8*СПРАВОЧНИК!$I$13+'ФАКТ ЧЕРН К3'!P8*СПРАВОЧНИК!$J$13)+СПРАВОЧНИК!$F$13*('ФАКТ ЧИСТ К3'!V8*СПРАВОЧНИК!$L$13+'ФАКТ ЧИСТ К3'!W8*СПРАВОЧНИК!$M$13+'ФАКТ ЧИСТ К3'!X8*СПРАВОЧНИК!$N$13+'ФАКТ ЧИСТ К3'!Y8*СПРАВОЧНИК!$O$13+'ФАКТ ЧИСТ К3'!Z8*СПРАВОЧНИК!$P$13)+СПРАВОЧНИК!$E$14*('ФАКТ ЧЕРН К3'!Q8*СПРАВОЧНИК!$H$14+'ФАКТ ЧЕРН К3'!R8*СПРАВОЧНИК!$I$14+'ФАКТ ЧЕРН К3'!S8*СПРАВОЧНИК!$J$14)+СПРАВОЧНИК!$F$14*('ФАКТ ЧИСТ К3'!AA8*СПРАВОЧНИК!$L$14+'ФАКТ ЧИСТ К3'!AB8*СПРАВОЧНИК!$M$14+'ФАКТ ЧИСТ К3'!AC8*СПРАВОЧНИК!$N$14+'ФАКТ ЧИСТ К3'!AD8*СПРАВОЧНИК!$O$14+'ФАКТ ЧИСТ К3'!AE8*СПРАВОЧНИК!$P$14)+СПРАВОЧНИК!$E$15*('ФАКТ ЧЕРН К3'!T8*СПРАВОЧНИК!$H$15+'ФАКТ ЧЕРН К3'!U8*СПРАВОЧНИК!$I$15+'ФАКТ ЧЕРН К3'!V8*СПРАВОЧНИК!$J$15)+СПРАВОЧНИК!$F$15*('ФАКТ ЧИСТ К3'!AF8*СПРАВОЧНИК!$L$15+'ФАКТ ЧИСТ К3'!AG8*СПРАВОЧНИК!$M$15+'ФАКТ ЧИСТ К3'!AH8*СПРАВОЧНИК!$N$15+'ФАКТ ЧИСТ К3'!AI8*СПРАВОЧНИК!$O$15+'ФАКТ ЧИСТ К3'!AJ8*СПРАВОЧНИК!$P$15)</f>
        <v/>
      </c>
      <c r="BG17" s="34" t="n"/>
      <c r="BJ17" s="152">
        <f>BJ16+7</f>
        <v/>
      </c>
      <c r="BK17" s="17">
        <f>'ПЛАН ЧЕРН К3'!B8*СПРАВОЧНИК!$H$9+'ПЛАН ЧЕРН К3'!C8*СПРАВОЧНИК!$I$9+'ПЛАН ЧЕРН К3'!D8*СПРАВОЧНИК!$J$9+'ПЛАН ЧЕРН К3'!E8*СПРАВОЧНИК!$H$10+'ПЛАН ЧЕРН К3'!F8*СПРАВОЧНИК!$I$10+'ПЛАН ЧЕРН К3'!G8*СПРАВОЧНИК!$J$10+'ПЛАН ЧЕРН К3'!H8*СПРАВОЧНИК!$H$11+'ПЛАН ЧЕРН К3'!I8*СПРАВОЧНИК!$I$11+'ПЛАН ЧЕРН К3'!J8*СПРАВОЧНИК!$J$11+'ПЛАН ЧЕРН К3'!K8*СПРАВОЧНИК!$H$12+'ПЛАН ЧЕРН К3'!L8*СПРАВОЧНИК!$I$12+'ПЛАН ЧЕРН К3'!M8*СПРАВОЧНИК!$J$12+'ПЛАН ЧЕРН К3'!N8*СПРАВОЧНИК!$H$13+'ПЛАН ЧЕРН К3'!O8*СПРАВОЧНИК!$I$13+'ПЛАН ЧЕРН К3'!P8*СПРАВОЧНИК!$J$13+'ПЛАН ЧЕРН К3'!Q8*СПРАВОЧНИК!$H$14+'ПЛАН ЧЕРН К3'!R8*СПРАВОЧНИК!$I$14+'ПЛАН ЧЕРН К3'!S8*СПРАВОЧНИК!$J$14+'ПЛАН ЧЕРН К3'!T8*СПРАВОЧНИК!$H$15+'ПЛАН ЧЕРН К3'!U8*СПРАВОЧНИК!$I$15+'ПЛАН ЧЕРН К3'!V8*СПРАВОЧНИК!$J$15</f>
        <v/>
      </c>
      <c r="BL17" s="31">
        <f>('ФАКТ ЧЕРН К3'!B8)*СПРАВОЧНИК!$H$9+('ФАКТ ЧЕРН К3'!C8)*СПРАВОЧНИК!$I$9+('ФАКТ ЧЕРН К3'!D8)*СПРАВОЧНИК!$J$9+('ФАКТ ЧЕРН К3'!E8)*СПРАВОЧНИК!$H$10+('ФАКТ ЧЕРН К3'!F8)*СПРАВОЧНИК!$I$10+('ФАКТ ЧЕРН К3'!G8)*СПРАВОЧНИК!$J$10+('ФАКТ ЧЕРН К3'!H8)*СПРАВОЧНИК!$H$11+('ФАКТ ЧЕРН К3'!I8)*СПРАВОЧНИК!$I$11+('ФАКТ ЧЕРН К3'!J8)*СПРАВОЧНИК!$J$11+('ФАКТ ЧЕРН К3'!K8)*СПРАВОЧНИК!$H$12+('ФАКТ ЧЕРН К3'!L8)*СПРАВОЧНИК!$I$12+('ФАКТ ЧЕРН К3'!M8)*СПРАВОЧНИК!$J$12+('ФАКТ ЧЕРН К3'!N8)*СПРАВОЧНИК!$H$13+('ФАКТ ЧЕРН К3'!O8)*СПРАВОЧНИК!$I$13+('ФАКТ ЧЕРН К3'!P8)*СПРАВОЧНИК!$J$13+('ФАКТ ЧЕРН К3'!Q8)*СПРАВОЧНИК!$H$14+('ФАКТ ЧЕРН К3'!R8)*СПРАВОЧНИК!$I$14+('ФАКТ ЧЕРН К3'!S8)*СПРАВОЧНИК!$J$14+('ФАКТ ЧЕРН К3'!T8)*СПРАВОЧНИК!$H$15+('ФАКТ ЧЕРН К3'!U8)*СПРАВОЧНИК!$I$15+('ФАКТ ЧЕРН К3'!V8)*СПРАВОЧНИК!$J$15</f>
        <v/>
      </c>
      <c r="BM17" s="34" t="n"/>
      <c r="BP17" s="152">
        <f>BP16+7</f>
        <v/>
      </c>
      <c r="BQ17" s="17">
        <f>'ПЛАН ЧИСТ К3'!B8*СПРАВОЧНИК!$L$9+'ПЛАН ЧИСТ К3'!C8*СПРАВОЧНИК!$M$9+'ПЛАН ЧИСТ К3'!D8*СПРАВОЧНИК!$N$9+'ПЛАН ЧИСТ К3'!E8*СПРАВОЧНИК!$O$9+'ПЛАН ЧИСТ К3'!F8*СПРАВОЧНИК!$P$9+'ПЛАН ЧИСТ К3'!G8*СПРАВОЧНИК!$L$10+'ПЛАН ЧИСТ К3'!H8*СПРАВОЧНИК!$M$10+'ПЛАН ЧИСТ К3'!I8*СПРАВОЧНИК!$N$10+'ПЛАН ЧИСТ К3'!J8*СПРАВОЧНИК!$O$10+'ПЛАН ЧИСТ К3'!K8*СПРАВОЧНИК!$P$10+'ПЛАН ЧИСТ К3'!L8*СПРАВОЧНИК!$L$11+'ПЛАН ЧИСТ К3'!M8*СПРАВОЧНИК!$M$11+'ПЛАН ЧИСТ К3'!N8*СПРАВОЧНИК!$N$11+'ПЛАН ЧИСТ К3'!O8*СПРАВОЧНИК!$O$11+'ПЛАН ЧИСТ К3'!P8*СПРАВОЧНИК!$P$11+'ПЛАН ЧИСТ К3'!Q8*СПРАВОЧНИК!$L$12+'ПЛАН ЧИСТ К3'!R8*СПРАВОЧНИК!$M$12+'ПЛАН ЧИСТ К3'!S8*СПРАВОЧНИК!$N$12+'ПЛАН ЧИСТ К3'!T8*СПРАВОЧНИК!$O$12+'ПЛАН ЧИСТ К3'!U8*СПРАВОЧНИК!$P$12+'ПЛАН ЧИСТ К3'!V8*СПРАВОЧНИК!$L$13+'ПЛАН ЧИСТ К3'!W8*СПРАВОЧНИК!$M$13+'ПЛАН ЧИСТ К3'!X8*СПРАВОЧНИК!$N$13+'ПЛАН ЧИСТ К3'!Y8*СПРАВОЧНИК!$O$13+'ПЛАН ЧИСТ К3'!Z8*СПРАВОЧНИК!$P$13+'ПЛАН ЧИСТ К3'!AA8*СПРАВОЧНИК!$L$14+'ПЛАН ЧИСТ К3'!AB8*СПРАВОЧНИК!$M$14+'ПЛАН ЧИСТ К3'!AC8*СПРАВОЧНИК!$N$14+'ПЛАН ЧИСТ К3'!AD8*СПРАВОЧНИК!$O$14+'ПЛАН ЧИСТ К3'!AE8*СПРАВОЧНИК!$P$14+'ПЛАН ЧИСТ К3'!AF8*СПРАВОЧНИК!$L$15+'ПЛАН ЧИСТ К3'!AG8*СПРАВОЧНИК!$M$15+'ПЛАН ЧИСТ К3'!AH8*СПРАВОЧНИК!$N$15+'ПЛАН ЧИСТ К3'!AI8*СПРАВОЧНИК!$O$15+'ПЛАН ЧИСТ К3'!AJ8*СПРАВОЧНИК!$P$15</f>
        <v/>
      </c>
      <c r="BR17" s="31">
        <f>('ФАКТ ЧИСТ К3'!B8)*СПРАВОЧНИК!$L$9+('ФАКТ ЧИСТ К3'!C8)*СПРАВОЧНИК!$M$9+('ФАКТ ЧИСТ К3'!D8)*СПРАВОЧНИК!$N$9+('ФАКТ ЧИСТ К3'!E8)*СПРАВОЧНИК!$O$9+('ФАКТ ЧИСТ К3'!F8)*СПРАВОЧНИК!$P$9+('ФАКТ ЧИСТ К3'!G8)*СПРАВОЧНИК!$L$10+('ФАКТ ЧИСТ К3'!H8)*СПРАВОЧНИК!$M$10+('ФАКТ ЧИСТ К3'!I8)*СПРАВОЧНИК!$N$10+('ФАКТ ЧИСТ К3'!J8)*СПРАВОЧНИК!$O$10+('ФАКТ ЧИСТ К3'!K8)*СПРАВОЧНИК!$P$10+('ФАКТ ЧИСТ К3'!L8)*СПРАВОЧНИК!$L$11+('ФАКТ ЧИСТ К3'!M8)*СПРАВОЧНИК!$M$11+('ФАКТ ЧИСТ К3'!N8)*СПРАВОЧНИК!$N$11+('ФАКТ ЧИСТ К3'!O8)*СПРАВОЧНИК!$O$11+('ФАКТ ЧИСТ К3'!P8)*СПРАВОЧНИК!$P$11+('ФАКТ ЧИСТ К3'!Q8)*СПРАВОЧНИК!$L$12+('ФАКТ ЧИСТ К3'!R8)*СПРАВОЧНИК!$M$12+('ФАКТ ЧИСТ К3'!S8)*СПРАВОЧНИК!$N$12+('ФАКТ ЧИСТ К3'!T8)*СПРАВОЧНИК!$O$12+('ФАКТ ЧИСТ К3'!U8)*СПРАВОЧНИК!$P$12+('ФАКТ ЧИСТ К3'!V8)*СПРАВОЧНИК!$L$13+('ФАКТ ЧИСТ К3'!W8)*СПРАВОЧНИК!$M$13+('ФАКТ ЧИСТ К3'!X8)*СПРАВОЧНИК!$N$13+('ФАКТ ЧИСТ К3'!Y8)*СПРАВОЧНИК!$O$13+('ФАКТ ЧИСТ К3'!Z8)*СПРАВОЧНИК!$P$13+('ФАКТ ЧИСТ К3'!AA8)*СПРАВОЧНИК!$L$14+('ФАКТ ЧИСТ К3'!AB8)*СПРАВОЧНИК!$M$14+('ФАКТ ЧИСТ К3'!AC8)*СПРАВОЧНИК!$N$14+('ФАКТ ЧИСТ К3'!AD8)*СПРАВОЧНИК!$O$14+('ФАКТ ЧИСТ К3'!AE8)*СПРАВОЧНИК!$P$14+('ФАКТ ЧИСТ К3'!AF8)*СПРАВОЧНИК!$L$15+('ФАКТ ЧИСТ К3'!AG8)*СПРАВОЧНИК!$M$15+('ФАКТ ЧИСТ К3'!AH8)*СПРАВОЧНИК!$N$15+('ФАКТ ЧИСТ К3'!AI8)*СПРАВОЧНИК!$O$15+('ФАКТ ЧИСТ К3'!AJ8)*СПРАВОЧНИК!$P$15</f>
        <v/>
      </c>
      <c r="BS17" s="34" t="n"/>
      <c r="BV17" s="152">
        <f>BV16+7</f>
        <v/>
      </c>
      <c r="BW17" s="17">
        <f>U17*СПРАВОЧНИК!$K$28+AM17*СПРАВОЧНИК!$K$29+BE17*СПРАВОЧНИК!$K$30</f>
        <v/>
      </c>
      <c r="BX17" s="31">
        <f>V17*СПРАВОЧНИК!$K$28+AN17*СПРАВОЧНИК!$K$29+BF17*СПРАВОЧНИК!$K$30</f>
        <v/>
      </c>
      <c r="BY17" s="34" t="n"/>
      <c r="CB17" s="152">
        <f>CB16+7</f>
        <v/>
      </c>
      <c r="CC17" s="17">
        <f>AA17*СПРАВОЧНИК!$K$28+AS17*СПРАВОЧНИК!$K$29+BK17*СПРАВОЧНИК!$K$30</f>
        <v/>
      </c>
      <c r="CD17" s="31">
        <f>AB17*СПРАВОЧНИК!$K$28+AT17*СПРАВОЧНИК!$K$29+BL17*СПРАВОЧНИК!$K$30</f>
        <v/>
      </c>
      <c r="CE17" s="34" t="n"/>
      <c r="CH17" s="152">
        <f>CH16+7</f>
        <v/>
      </c>
      <c r="CI17" s="17">
        <f>AG17*СПРАВОЧНИК!$K$28+AY17*СПРАВОЧНИК!$K$29+BQ17*СПРАВОЧНИК!$K$30</f>
        <v/>
      </c>
      <c r="CJ17" s="31">
        <f>AH17*СПРАВОЧНИК!$K$28+AZ17*СПРАВОЧНИК!$K$29+BR17*СПРАВОЧНИК!$K$30</f>
        <v/>
      </c>
      <c r="CK17" s="34" t="n"/>
      <c r="CN17" s="152">
        <f>CN16+7</f>
        <v/>
      </c>
      <c r="CO17" s="17">
        <f>C17*СПРАВОЧНИК!$W$18+BW17*СПРАВОЧНИК!$W$19</f>
        <v/>
      </c>
      <c r="CP17" s="31">
        <f>D17*СПРАВОЧНИК!$W$18+BX17*СПРАВОЧНИК!$W$19</f>
        <v/>
      </c>
      <c r="CQ17" s="34" t="n"/>
      <c r="CT17" s="152">
        <f>CT16+7</f>
        <v/>
      </c>
      <c r="CU17" s="17">
        <f>I17*СПРАВОЧНИК!$W$18+CC17*СПРАВОЧНИК!$W$19</f>
        <v/>
      </c>
      <c r="CV17" s="31">
        <f>J17*СПРАВОЧНИК!$W$18+CD17*СПРАВОЧНИК!$W$19</f>
        <v/>
      </c>
      <c r="CW17" s="34" t="n"/>
      <c r="CZ17" s="152">
        <f>CZ16+7</f>
        <v/>
      </c>
      <c r="DA17" s="17">
        <f>O17*СПРАВОЧНИК!$W$18+CI17*СПРАВОЧНИК!$W$19</f>
        <v/>
      </c>
      <c r="DB17" s="31">
        <f>P17*СПРАВОЧНИК!$W$18+CJ17*СПРАВОЧНИК!$W$19</f>
        <v/>
      </c>
      <c r="DC17" s="34" t="n"/>
    </row>
    <row r="18">
      <c r="B18" s="152">
        <f>B17+7</f>
        <v/>
      </c>
      <c r="C18" s="17">
        <f>СПРАВОЧНИК!$E$3*('ПЛАН ЧЕРН ПОДЗЕМ'!B9*СПРАВОЧНИК!$H$3+'ПЛАН ЧЕРН ПОДЗЕМ'!C9*СПРАВОЧНИК!$I$3+'ПЛАН ЧЕРН ПОДЗЕМ'!D9*СПРАВОЧНИК!$J$3)+СПРАВОЧНИК!$F$3*('ПЛАН ЧИСТ ПОДЗЕМ'!B9*СПРАВОЧНИК!$L$3+'ПЛАН ЧИСТ ПОДЗЕМ'!C9*СПРАВОЧНИК!$M$3+'ПЛАН ЧИСТ ПОДЗЕМ'!D9*СПРАВОЧНИК!$N$3+'ПЛАН ЧИСТ ПОДЗЕМ'!E9*СПРАВОЧНИК!$O$3+'ПЛАН ЧИСТ ПОДЗЕМ'!F9*СПРАВОЧНИК!$P$3)+СПРАВОЧНИК!$E$4*('ПЛАН ЧЕРН ПОДЗЕМ'!E9*СПРАВОЧНИК!$H$4+'ПЛАН ЧЕРН ПОДЗЕМ'!F9*СПРАВОЧНИК!$I$4+'ПЛАН ЧЕРН ПОДЗЕМ'!G9*СПРАВОЧНИК!$J$4)+СПРАВОЧНИК!$F$4*('ПЛАН ЧИСТ ПОДЗЕМ'!G9*СПРАВОЧНИК!$L$4+'ПЛАН ЧИСТ ПОДЗЕМ'!H9*СПРАВОЧНИК!$M$4+'ПЛАН ЧИСТ ПОДЗЕМ'!I9*СПРАВОЧНИК!$N$4+'ПЛАН ЧИСТ ПОДЗЕМ'!J9*СПРАВОЧНИК!$O$4+'ПЛАН ЧИСТ ПОДЗЕМ'!K9*СПРАВОЧНИК!$P$4)+СПРАВОЧНИК!$E$5*('ПЛАН ЧЕРН ПОДЗЕМ'!H9*СПРАВОЧНИК!$H$5+'ПЛАН ЧЕРН ПОДЗЕМ'!I9*СПРАВОЧНИК!$I$5+'ПЛАН ЧЕРН ПОДЗЕМ'!J9*СПРАВОЧНИК!$J$5)+СПРАВОЧНИК!$F$5*('ПЛАН ЧИСТ ПОДЗЕМ'!L9*СПРАВОЧНИК!$L$5+'ПЛАН ЧИСТ ПОДЗЕМ'!M9*СПРАВОЧНИК!$M$5+'ПЛАН ЧИСТ ПОДЗЕМ'!N9*СПРАВОЧНИК!$N$5+'ПЛАН ЧИСТ ПОДЗЕМ'!O9*СПРАВОЧНИК!$O$5+'ПЛАН ЧИСТ ПОДЗЕМ'!P9*СПРАВОЧНИК!$P$5)+СПРАВОЧНИК!$E$6*('ПЛАН ЧЕРН ПОДЗЕМ'!K9*СПРАВОЧНИК!$H$6+'ПЛАН ЧЕРН ПОДЗЕМ'!L9*СПРАВОЧНИК!$I$6+'ПЛАН ЧЕРН ПОДЗЕМ'!M9*СПРАВОЧНИК!$J$6)+СПРАВОЧНИК!$F$6*('ПЛАН ЧИСТ ПОДЗЕМ'!Q9*СПРАВОЧНИК!$L$6+'ПЛАН ЧИСТ ПОДЗЕМ'!R9*СПРАВОЧНИК!$M$6+'ПЛАН ЧИСТ ПОДЗЕМ'!S9*СПРАВОЧНИК!$N$6+'ПЛАН ЧИСТ ПОДЗЕМ'!T9*СПРАВОЧНИК!$O$6+'ПЛАН ЧИСТ ПОДЗЕМ'!U9*СПРАВОЧНИК!$P$6)+СПРАВОЧНИК!$E$7*('ПЛАН ЧЕРН ПОДЗЕМ'!N9*СПРАВОЧНИК!$H$7+'ПЛАН ЧЕРН ПОДЗЕМ'!O9*СПРАВОЧНИК!$I$7+'ПЛАН ЧЕРН ПОДЗЕМ'!P9*СПРАВОЧНИК!$J$7)+СПРАВОЧНИК!$F$7*('ПЛАН ЧИСТ ПОДЗЕМ'!V9*СПРАВОЧНИК!$L$7+'ПЛАН ЧИСТ ПОДЗЕМ'!W9*СПРАВОЧНИК!$M$7+'ПЛАН ЧИСТ ПОДЗЕМ'!X9*СПРАВОЧНИК!$N$7+'ПЛАН ЧИСТ ПОДЗЕМ'!Y9*СПРАВОЧНИК!$O$7+'ПЛАН ЧИСТ ПОДЗЕМ'!Z9*СПРАВОЧНИК!$P$7)+СПРАВОЧНИК!$E$8*('ПЛАН ЧЕРН ПОДЗЕМ'!Q9*СПРАВОЧНИК!$H$8+'ПЛАН ЧЕРН ПОДЗЕМ'!R9*СПРАВОЧНИК!$I$8+'ПЛАН ЧЕРН ПОДЗЕМ'!S9*СПРАВОЧНИК!$J$8)+СПРАВОЧНИК!$F$8*('ПЛАН ЧИСТ ПОДЗЕМ'!AA9*СПРАВОЧНИК!$L$8+'ПЛАН ЧИСТ ПОДЗЕМ'!AB9*СПРАВОЧНИК!$M$8+'ПЛАН ЧИСТ ПОДЗЕМ'!AC9*СПРАВОЧНИК!$N$8+'ПЛАН ЧИСТ ПОДЗЕМ'!AD9*СПРАВОЧНИК!$O$8+'ПЛАН ЧИСТ ПОДЗЕМ'!AE9*СПРАВОЧНИК!$P$8)</f>
        <v/>
      </c>
      <c r="D18" s="31">
        <f>СПРАВОЧНИК!$E$3*('ФАКТ ЧЕРН ПОДЗЕМ'!B9*СПРАВОЧНИК!$H$3+'ФАКТ ЧЕРН ПОДЗЕМ'!C9*СПРАВОЧНИК!$I$3+'ФАКТ ЧЕРН ПОДЗЕМ'!D9*СПРАВОЧНИК!$J$3)+СПРАВОЧНИК!$F$3*('ФАКТ ЧИСТ ПОДЗЕМ'!B9*СПРАВОЧНИК!$L$3+'ФАКТ ЧИСТ ПОДЗЕМ'!C9*СПРАВОЧНИК!$M$3+'ФАКТ ЧИСТ ПОДЗЕМ'!D9*СПРАВОЧНИК!$N$3+'ФАКТ ЧИСТ ПОДЗЕМ'!E9*СПРАВОЧНИК!$O$3+'ФАКТ ЧИСТ ПОДЗЕМ'!F9*СПРАВОЧНИК!$P$3)+СПРАВОЧНИК!$E$4*('ФАКТ ЧЕРН ПОДЗЕМ'!E9*СПРАВОЧНИК!$H$4+'ФАКТ ЧЕРН ПОДЗЕМ'!F9*СПРАВОЧНИК!$I$4+'ФАКТ ЧЕРН ПОДЗЕМ'!G9*СПРАВОЧНИК!$J$4)+СПРАВОЧНИК!$F$4*('ФАКТ ЧИСТ ПОДЗЕМ'!G9*СПРАВОЧНИК!$L$4+'ФАКТ ЧИСТ ПОДЗЕМ'!H9*СПРАВОЧНИК!$M$4+'ФАКТ ЧИСТ ПОДЗЕМ'!I9*СПРАВОЧНИК!$N$4+'ФАКТ ЧИСТ ПОДЗЕМ'!J9*СПРАВОЧНИК!$O$4+'ФАКТ ЧИСТ ПОДЗЕМ'!K9*СПРАВОЧНИК!$P$4)+СПРАВОЧНИК!$E$5*('ФАКТ ЧЕРН ПОДЗЕМ'!H9*СПРАВОЧНИК!$H$5+'ФАКТ ЧЕРН ПОДЗЕМ'!I9*СПРАВОЧНИК!$I$5+'ФАКТ ЧЕРН ПОДЗЕМ'!J9*СПРАВОЧНИК!$J$5)+СПРАВОЧНИК!$F$5*('ФАКТ ЧИСТ ПОДЗЕМ'!L9*СПРАВОЧНИК!$L$5+'ФАКТ ЧИСТ ПОДЗЕМ'!M9*СПРАВОЧНИК!$M$5+'ФАКТ ЧИСТ ПОДЗЕМ'!N9*СПРАВОЧНИК!$N$5+'ФАКТ ЧИСТ ПОДЗЕМ'!O9*СПРАВОЧНИК!$O$5+'ФАКТ ЧИСТ ПОДЗЕМ'!P9*СПРАВОЧНИК!$P$5)+СПРАВОЧНИК!$E$6*('ФАКТ ЧЕРН ПОДЗЕМ'!K9*СПРАВОЧНИК!$H$6+'ФАКТ ЧЕРН ПОДЗЕМ'!L9*СПРАВОЧНИК!$I$6+'ФАКТ ЧЕРН ПОДЗЕМ'!M9*СПРАВОЧНИК!$J$6)+СПРАВОЧНИК!$F$6*('ФАКТ ЧИСТ ПОДЗЕМ'!Q9*СПРАВОЧНИК!$L$6+'ФАКТ ЧИСТ ПОДЗЕМ'!R9*СПРАВОЧНИК!$M$6+'ФАКТ ЧИСТ ПОДЗЕМ'!S9*СПРАВОЧНИК!$N$6+'ФАКТ ЧИСТ ПОДЗЕМ'!T9*СПРАВОЧНИК!$O$6+'ФАКТ ЧИСТ ПОДЗЕМ'!U9*СПРАВОЧНИК!$P$6)+СПРАВОЧНИК!$E$7*('ФАКТ ЧЕРН ПОДЗЕМ'!N9*СПРАВОЧНИК!$H$7+'ФАКТ ЧЕРН ПОДЗЕМ'!O9*СПРАВОЧНИК!$I$7+'ФАКТ ЧЕРН ПОДЗЕМ'!P9*СПРАВОЧНИК!$J$7)+СПРАВОЧНИК!$F$7*('ФАКТ ЧИСТ ПОДЗЕМ'!V9*СПРАВОЧНИК!$L$7+'ФАКТ ЧИСТ ПОДЗЕМ'!W9*СПРАВОЧНИК!$M$7+'ФАКТ ЧИСТ ПОДЗЕМ'!X9*СПРАВОЧНИК!$N$7+'ФАКТ ЧИСТ ПОДЗЕМ'!Y9*СПРАВОЧНИК!$O$7+'ФАКТ ЧИСТ ПОДЗЕМ'!Z9*СПРАВОЧНИК!$P$7)+СПРАВОЧНИК!$E$8*('ФАКТ ЧЕРН ПОДЗЕМ'!Q9*СПРАВОЧНИК!$H$8+'ФАКТ ЧЕРН ПОДЗЕМ'!R9*СПРАВОЧНИК!$I$8+'ФАКТ ЧЕРН ПОДЗЕМ'!S9*СПРАВОЧНИК!$J$8)+СПРАВОЧНИК!$F$8*('ФАКТ ЧИСТ ПОДЗЕМ'!AA9*СПРАВОЧНИК!$L$8+'ФАКТ ЧИСТ ПОДЗЕМ'!AB9*СПРАВОЧНИК!$M$8+'ФАКТ ЧИСТ ПОДЗЕМ'!AC9*СПРАВОЧНИК!$N$8+'ФАКТ ЧИСТ ПОДЗЕМ'!AD9*СПРАВОЧНИК!$O$8+'ФАКТ ЧИСТ ПОДЗЕМ'!AE9*СПРАВОЧНИК!$P$8)</f>
        <v/>
      </c>
      <c r="E18" s="34" t="n"/>
      <c r="H18" s="152">
        <f>H17+7</f>
        <v/>
      </c>
      <c r="I18" s="17">
        <f>'ПЛАН ЧЕРН ПОДЗЕМ'!B9*СПРАВОЧНИК!$H$3+'ПЛАН ЧЕРН ПОДЗЕМ'!C9*СПРАВОЧНИК!$I$3+'ПЛАН ЧЕРН ПОДЗЕМ'!D9*СПРАВОЧНИК!$J$3+'ПЛАН ЧЕРН ПОДЗЕМ'!E9*СПРАВОЧНИК!$H$4+'ПЛАН ЧЕРН ПОДЗЕМ'!F9*СПРАВОЧНИК!$I$4+'ПЛАН ЧЕРН ПОДЗЕМ'!G9*СПРАВОЧНИК!$J$4+'ПЛАН ЧЕРН ПОДЗЕМ'!H9*СПРАВОЧНИК!$H$5+'ПЛАН ЧЕРН ПОДЗЕМ'!I9*СПРАВОЧНИК!$I$5+'ПЛАН ЧЕРН ПОДЗЕМ'!J9*СПРАВОЧНИК!$J$5+'ПЛАН ЧЕРН ПОДЗЕМ'!K9*СПРАВОЧНИК!$H$6+'ПЛАН ЧЕРН ПОДЗЕМ'!L9*СПРАВОЧНИК!$I$6+'ПЛАН ЧЕРН ПОДЗЕМ'!M9*СПРАВОЧНИК!$J$6+'ПЛАН ЧЕРН ПОДЗЕМ'!N9*СПРАВОЧНИК!$H$7+'ПЛАН ЧЕРН ПОДЗЕМ'!O9*СПРАВОЧНИК!$I$7+'ПЛАН ЧЕРН ПОДЗЕМ'!P9*СПРАВОЧНИК!$J$7+'ПЛАН ЧЕРН ПОДЗЕМ'!Q9*СПРАВОЧНИК!$H$8+'ПЛАН ЧЕРН ПОДЗЕМ'!R9*СПРАВОЧНИК!$I$8+'ПЛАН ЧЕРН ПОДЗЕМ'!S9*СПРАВОЧНИК!$J$8</f>
        <v/>
      </c>
      <c r="J18" s="31">
        <f>('ФАКТ ЧЕРН ПОДЗЕМ'!B9)*СПРАВОЧНИК!$H$3+('ФАКТ ЧЕРН ПОДЗЕМ'!C9)*СПРАВОЧНИК!$I$3+('ФАКТ ЧЕРН ПОДЗЕМ'!D9)*СПРАВОЧНИК!$J$3+('ФАКТ ЧЕРН ПОДЗЕМ'!E9)*СПРАВОЧНИК!$H$4+('ФАКТ ЧЕРН ПОДЗЕМ'!F9)*СПРАВОЧНИК!$I$4+('ФАКТ ЧЕРН ПОДЗЕМ'!G9)*СПРАВОЧНИК!$J$4+('ФАКТ ЧЕРН ПОДЗЕМ'!H9)*СПРАВОЧНИК!$H$5+('ФАКТ ЧЕРН ПОДЗЕМ'!I9)*СПРАВОЧНИК!$I$5+('ФАКТ ЧЕРН ПОДЗЕМ'!J9)*СПРАВОЧНИК!$J$5+('ФАКТ ЧЕРН ПОДЗЕМ'!K9)*СПРАВОЧНИК!$H$6+('ФАКТ ЧЕРН ПОДЗЕМ'!L9)*СПРАВОЧНИК!$I$6+('ФАКТ ЧЕРН ПОДЗЕМ'!M9)*СПРАВОЧНИК!$J$6+('ФАКТ ЧЕРН ПОДЗЕМ'!N9)*СПРАВОЧНИК!$H$7+('ФАКТ ЧЕРН ПОДЗЕМ'!O9)*СПРАВОЧНИК!$I$7+('ФАКТ ЧЕРН ПОДЗЕМ'!P9)*СПРАВОЧНИК!$J$7+('ФАКТ ЧЕРН ПОДЗЕМ'!Q9)*СПРАВОЧНИК!$H$8+('ФАКТ ЧЕРН ПОДЗЕМ'!R9)*СПРАВОЧНИК!$I$8+('ФАКТ ЧЕРН ПОДЗЕМ'!S9)*СПРАВОЧНИК!$J$8</f>
        <v/>
      </c>
      <c r="K18" s="34" t="n"/>
      <c r="N18" s="152">
        <f>N17+7</f>
        <v/>
      </c>
      <c r="O18" s="17">
        <f>'ПЛАН ЧИСТ ПОДЗЕМ'!B9*СПРАВОЧНИК!$L$3+'ПЛАН ЧИСТ ПОДЗЕМ'!C9*СПРАВОЧНИК!$M$3+'ПЛАН ЧИСТ ПОДЗЕМ'!D9*СПРАВОЧНИК!$N$3+'ПЛАН ЧИСТ ПОДЗЕМ'!E9*СПРАВОЧНИК!$O$3+'ПЛАН ЧИСТ ПОДЗЕМ'!F9*СПРАВОЧНИК!$P$3+'ПЛАН ЧИСТ ПОДЗЕМ'!G9*СПРАВОЧНИК!$L$4+'ПЛАН ЧИСТ ПОДЗЕМ'!H9*СПРАВОЧНИК!$M$4+'ПЛАН ЧИСТ ПОДЗЕМ'!I9*СПРАВОЧНИК!$N$4+'ПЛАН ЧИСТ ПОДЗЕМ'!J9*СПРАВОЧНИК!$O$4+'ПЛАН ЧИСТ ПОДЗЕМ'!K9*СПРАВОЧНИК!$P$4+'ПЛАН ЧИСТ ПОДЗЕМ'!L9*СПРАВОЧНИК!$L$5+'ПЛАН ЧИСТ ПОДЗЕМ'!M9*СПРАВОЧНИК!$M$5+'ПЛАН ЧИСТ ПОДЗЕМ'!N9*СПРАВОЧНИК!$N$5+'ПЛАН ЧИСТ ПОДЗЕМ'!O9*СПРАВОЧНИК!$O$5+'ПЛАН ЧИСТ ПОДЗЕМ'!P9*СПРАВОЧНИК!$P$5+'ПЛАН ЧИСТ ПОДЗЕМ'!Q9*СПРАВОЧНИК!$L$6+'ПЛАН ЧИСТ ПОДЗЕМ'!R9*СПРАВОЧНИК!$M$6+'ПЛАН ЧИСТ ПОДЗЕМ'!S9*СПРАВОЧНИК!$N$6+'ПЛАН ЧИСТ ПОДЗЕМ'!T9*СПРАВОЧНИК!$O$6+'ПЛАН ЧИСТ ПОДЗЕМ'!U9*СПРАВОЧНИК!$P$6+'ПЛАН ЧИСТ ПОДЗЕМ'!V9*СПРАВОЧНИК!$L$7+'ПЛАН ЧИСТ ПОДЗЕМ'!W9*СПРАВОЧНИК!$M$7+'ПЛАН ЧИСТ ПОДЗЕМ'!X9*СПРАВОЧНИК!$N$7+'ПЛАН ЧИСТ ПОДЗЕМ'!Y9*СПРАВОЧНИК!$O$7+'ПЛАН ЧИСТ ПОДЗЕМ'!Z9*СПРАВОЧНИК!$P$7+'ПЛАН ЧИСТ ПОДЗЕМ'!AA9*СПРАВОЧНИК!$L$8+'ПЛАН ЧИСТ ПОДЗЕМ'!AB9*СПРАВОЧНИК!$M$8+'ПЛАН ЧИСТ ПОДЗЕМ'!AC9*СПРАВОЧНИК!$N$8+'ПЛАН ЧИСТ ПОДЗЕМ'!AD9*СПРАВОЧНИК!$O$8+'ПЛАН ЧИСТ ПОДЗЕМ'!AE9*СПРАВОЧНИК!$P$8</f>
        <v/>
      </c>
      <c r="P18" s="31">
        <f>('ФАКТ ЧИСТ ПОДЗЕМ'!B9)*СПРАВОЧНИК!$L$3+('ФАКТ ЧИСТ ПОДЗЕМ'!C9)*СПРАВОЧНИК!$M$3+('ФАКТ ЧИСТ ПОДЗЕМ'!D9)*СПРАВОЧНИК!$N$3+('ФАКТ ЧИСТ ПОДЗЕМ'!E9)*СПРАВОЧНИК!$O$3+('ФАКТ ЧИСТ ПОДЗЕМ'!F9)*СПРАВОЧНИК!$P$3+('ФАКТ ЧИСТ ПОДЗЕМ'!G9)*СПРАВОЧНИК!$L$4+('ФАКТ ЧИСТ ПОДЗЕМ'!H9)*СПРАВОЧНИК!$M$4+('ФАКТ ЧИСТ ПОДЗЕМ'!I9)*СПРАВОЧНИК!$N$4+('ФАКТ ЧИСТ ПОДЗЕМ'!J9)*СПРАВОЧНИК!$O$4+('ФАКТ ЧИСТ ПОДЗЕМ'!K9)*СПРАВОЧНИК!$P$4+('ФАКТ ЧИСТ ПОДЗЕМ'!L9)*СПРАВОЧНИК!$L$5+('ФАКТ ЧИСТ ПОДЗЕМ'!M9)*СПРАВОЧНИК!$M$5+('ФАКТ ЧИСТ ПОДЗЕМ'!N9)*СПРАВОЧНИК!$N$5+('ФАКТ ЧИСТ ПОДЗЕМ'!O9)*СПРАВОЧНИК!$O$5+('ФАКТ ЧИСТ ПОДЗЕМ'!P9)*СПРАВОЧНИК!$P$5+('ФАКТ ЧИСТ ПОДЗЕМ'!Q9)*СПРАВОЧНИК!$L$6+('ФАКТ ЧИСТ ПОДЗЕМ'!R9)*СПРАВОЧНИК!$M$6+('ФАКТ ЧИСТ ПОДЗЕМ'!S9)*СПРАВОЧНИК!$N$6+('ФАКТ ЧИСТ ПОДЗЕМ'!T9)*СПРАВОЧНИК!$O$6+('ФАКТ ЧИСТ ПОДЗЕМ'!U9)*СПРАВОЧНИК!$P$6+('ФАКТ ЧИСТ ПОДЗЕМ'!V9)*СПРАВОЧНИК!$L$7+('ФАКТ ЧИСТ ПОДЗЕМ'!W9)*СПРАВОЧНИК!$M$7+('ФАКТ ЧИСТ ПОДЗЕМ'!X9)*СПРАВОЧНИК!$N$7+('ФАКТ ЧИСТ ПОДЗЕМ'!Y9)*СПРАВОЧНИК!$O$7+('ФАКТ ЧИСТ ПОДЗЕМ'!Z9)*СПРАВОЧНИК!$P$7+('ФАКТ ЧИСТ ПОДЗЕМ'!AA9)*СПРАВОЧНИК!$L$8+('ФАКТ ЧИСТ ПОДЗЕМ'!AB9)*СПРАВОЧНИК!$M$8+('ФАКТ ЧИСТ ПОДЗЕМ'!AC9)*СПРАВОЧНИК!$N$8+('ФАКТ ЧИСТ ПОДЗЕМ'!AD9)*СПРАВОЧНИК!$O$8+('ФАКТ ЧИСТ ПОДЗЕМ'!AE9)*СПРАВОЧНИК!$P$8</f>
        <v/>
      </c>
      <c r="Q18" s="34" t="n"/>
      <c r="T18" s="152">
        <f>T17+7</f>
        <v/>
      </c>
      <c r="U18" s="17">
        <f>СПРАВОЧНИК!$E$9*('ПЛАН ЧЕРН К1'!B9*СПРАВОЧНИК!$H$9+'ПЛАН ЧЕРН К1'!C9*СПРАВОЧНИК!$I$9+'ПЛАН ЧЕРН К1'!D9*СПРАВОЧНИК!$J$9)+СПРАВОЧНИК!$F$9*('ПЛАН ЧИСТ К1'!B9*СПРАВОЧНИК!$L$9+'ПЛАН ЧИСТ К1'!C9*СПРАВОЧНИК!$M$9+'ПЛАН ЧИСТ К1'!D9*СПРАВОЧНИК!$N$9+'ПЛАН ЧИСТ К1'!E9*СПРАВОЧНИК!$O$9+'ПЛАН ЧИСТ К1'!F9*СПРАВОЧНИК!$P$9)+СПРАВОЧНИК!$E$10*('ПЛАН ЧЕРН К1'!E9*СПРАВОЧНИК!$H$10+'ПЛАН ЧЕРН К1'!F9*СПРАВОЧНИК!$I$10+'ПЛАН ЧЕРН К1'!G9*СПРАВОЧНИК!$J$10)+СПРАВОЧНИК!$F$10*('ПЛАН ЧИСТ К1'!G9*СПРАВОЧНИК!$L$10+'ПЛАН ЧИСТ К1'!H9*СПРАВОЧНИК!$M$10+'ПЛАН ЧИСТ К1'!I9*СПРАВОЧНИК!$N$10+'ПЛАН ЧИСТ К1'!J9*СПРАВОЧНИК!$O$10+'ПЛАН ЧИСТ К1'!K9*СПРАВОЧНИК!$P$10)+СПРАВОЧНИК!$E$11*('ПЛАН ЧЕРН К1'!H9*СПРАВОЧНИК!$H$11+'ПЛАН ЧЕРН К1'!I9*СПРАВОЧНИК!$I$11+'ПЛАН ЧЕРН К1'!J9*СПРАВОЧНИК!$J$11)+СПРАВОЧНИК!$F$11*('ПЛАН ЧИСТ К1'!L9*СПРАВОЧНИК!$L$11+'ПЛАН ЧИСТ К1'!M9*СПРАВОЧНИК!$M$11+'ПЛАН ЧИСТ К1'!N9*СПРАВОЧНИК!$N$11+'ПЛАН ЧИСТ К1'!O9*СПРАВОЧНИК!$O$11+'ПЛАН ЧИСТ К1'!P9*СПРАВОЧНИК!$P$11)+СПРАВОЧНИК!$E$12*('ПЛАН ЧЕРН К1'!K9*СПРАВОЧНИК!$H$12+'ПЛАН ЧЕРН К1'!L9*СПРАВОЧНИК!$I$12+'ПЛАН ЧЕРН К1'!M9*СПРАВОЧНИК!$J$12)+СПРАВОЧНИК!$F$12*('ПЛАН ЧИСТ К1'!Q9*СПРАВОЧНИК!$L$12+'ПЛАН ЧИСТ К1'!R9*СПРАВОЧНИК!$M$12+'ПЛАН ЧИСТ К1'!S9*СПРАВОЧНИК!$N$12+'ПЛАН ЧИСТ К1'!T9*СПРАВОЧНИК!$O$12+'ПЛАН ЧИСТ К1'!U9*СПРАВОЧНИК!$P$12)+СПРАВОЧНИК!$E$13*('ПЛАН ЧЕРН К1'!N9*СПРАВОЧНИК!$H$13+'ПЛАН ЧЕРН К1'!O9*СПРАВОЧНИК!$I$13+'ПЛАН ЧЕРН К1'!P9*СПРАВОЧНИК!$J$13)+СПРАВОЧНИК!$F$13*('ПЛАН ЧИСТ К1'!V9*СПРАВОЧНИК!$L$13+'ПЛАН ЧИСТ К1'!W9*СПРАВОЧНИК!$M$13+'ПЛАН ЧИСТ К1'!X9*СПРАВОЧНИК!$N$13+'ПЛАН ЧИСТ К1'!Y9*СПРАВОЧНИК!$O$13+'ПЛАН ЧИСТ К1'!Z9*СПРАВОЧНИК!$P$13)+СПРАВОЧНИК!$E$14*('ПЛАН ЧЕРН К1'!Q9*СПРАВОЧНИК!$H$14+'ПЛАН ЧЕРН К1'!R9*СПРАВОЧНИК!$I$14+'ПЛАН ЧЕРН К1'!S9*СПРАВОЧНИК!$J$14)+СПРАВОЧНИК!$F$14*('ПЛАН ЧИСТ К1'!AA9*СПРАВОЧНИК!$L$14+'ПЛАН ЧИСТ К1'!AB9*СПРАВОЧНИК!$M$14+'ПЛАН ЧИСТ К1'!AC9*СПРАВОЧНИК!$N$14+'ПЛАН ЧИСТ К1'!AD9*СПРАВОЧНИК!$O$14+'ПЛАН ЧИСТ К1'!AE9*СПРАВОЧНИК!$P$14)+СПРАВОЧНИК!$E$15*('ПЛАН ЧЕРН К1'!T9*СПРАВОЧНИК!$H$15+'ПЛАН ЧЕРН К1'!U9*СПРАВОЧНИК!$I$15+'ПЛАН ЧЕРН К1'!V9*СПРАВОЧНИК!$J$15)+СПРАВОЧНИК!$F$15*('ПЛАН ЧИСТ К1'!AF9*СПРАВОЧНИК!$L$15+'ПЛАН ЧИСТ К1'!AG9*СПРАВОЧНИК!$M$15+'ПЛАН ЧИСТ К1'!AH9*СПРАВОЧНИК!$N$15+'ПЛАН ЧИСТ К1'!AI9*СПРАВОЧНИК!$O$15+'ПЛАН ЧИСТ К1'!AJ9*СПРАВОЧНИК!$P$15)</f>
        <v/>
      </c>
      <c r="V18" s="31">
        <f>СПРАВОЧНИК!$E$9*('ФАКТ ЧЕРН К1'!B9*СПРАВОЧНИК!$H$9+'ФАКТ ЧЕРН К1'!C9*СПРАВОЧНИК!$I$9+'ФАКТ ЧЕРН К1'!D9*СПРАВОЧНИК!$J$9)+СПРАВОЧНИК!$F$9*('ФАКТ ЧИСТ К1'!B9*СПРАВОЧНИК!$L$9+'ФАКТ ЧИСТ К1'!C9*СПРАВОЧНИК!$M$9+'ФАКТ ЧИСТ К1'!D9*СПРАВОЧНИК!$N$9+'ФАКТ ЧИСТ К1'!E9*СПРАВОЧНИК!$O$9+'ФАКТ ЧИСТ К1'!F9*СПРАВОЧНИК!$P$9)+СПРАВОЧНИК!$E$10*('ФАКТ ЧЕРН К1'!E9*СПРАВОЧНИК!$H$10+'ФАКТ ЧЕРН К1'!F9*СПРАВОЧНИК!$I$10+'ФАКТ ЧЕРН К1'!G9*СПРАВОЧНИК!$J$10)+СПРАВОЧНИК!$F$10*('ФАКТ ЧИСТ К1'!G9*СПРАВОЧНИК!$L$10+'ФАКТ ЧИСТ К1'!H9*СПРАВОЧНИК!$M$10+'ФАКТ ЧИСТ К1'!I9*СПРАВОЧНИК!$N$10+'ФАКТ ЧИСТ К1'!J9*СПРАВОЧНИК!$O$10+'ФАКТ ЧИСТ К1'!K9*СПРАВОЧНИК!$P$10)+СПРАВОЧНИК!$E$11*('ФАКТ ЧЕРН К1'!H9*СПРАВОЧНИК!$H$11+'ФАКТ ЧЕРН К1'!I9*СПРАВОЧНИК!$I$11+'ФАКТ ЧЕРН К1'!J9*СПРАВОЧНИК!$J$11)+СПРАВОЧНИК!$F$11*('ФАКТ ЧИСТ К1'!L9*СПРАВОЧНИК!$L$11+'ФАКТ ЧИСТ К1'!M9*СПРАВОЧНИК!$M$11+'ФАКТ ЧИСТ К1'!N9*СПРАВОЧНИК!$N$11+'ФАКТ ЧИСТ К1'!O9*СПРАВОЧНИК!$O$11+'ФАКТ ЧИСТ К1'!P9*СПРАВОЧНИК!$P$11)+СПРАВОЧНИК!$E$12*('ФАКТ ЧЕРН К1'!K9*СПРАВОЧНИК!$H$12+'ФАКТ ЧЕРН К1'!L9*СПРАВОЧНИК!$I$12+'ФАКТ ЧЕРН К1'!M9*СПРАВОЧНИК!$J$12)+СПРАВОЧНИК!$F$12*('ФАКТ ЧИСТ К1'!Q9*СПРАВОЧНИК!$L$12+'ФАКТ ЧИСТ К1'!R9*СПРАВОЧНИК!$M$12+'ФАКТ ЧИСТ К1'!S9*СПРАВОЧНИК!$N$12+'ФАКТ ЧИСТ К1'!T9*СПРАВОЧНИК!$O$12+'ФАКТ ЧИСТ К1'!U9*СПРАВОЧНИК!$P$12)+СПРАВОЧНИК!$E$13*('ФАКТ ЧЕРН К1'!N9*СПРАВОЧНИК!$H$13+'ФАКТ ЧЕРН К1'!O9*СПРАВОЧНИК!$I$13+'ФАКТ ЧЕРН К1'!P9*СПРАВОЧНИК!$J$13)+СПРАВОЧНИК!$F$13*('ФАКТ ЧИСТ К1'!V9*СПРАВОЧНИК!$L$13+'ФАКТ ЧИСТ К1'!W9*СПРАВОЧНИК!$M$13+'ФАКТ ЧИСТ К1'!X9*СПРАВОЧНИК!$N$13+'ФАКТ ЧИСТ К1'!Y9*СПРАВОЧНИК!$O$13+'ФАКТ ЧИСТ К1'!Z9*СПРАВОЧНИК!$P$13)+СПРАВОЧНИК!$E$14*('ФАКТ ЧЕРН К1'!Q9*СПРАВОЧНИК!$H$14+'ФАКТ ЧЕРН К1'!R9*СПРАВОЧНИК!$I$14+'ФАКТ ЧЕРН К1'!S9*СПРАВОЧНИК!$J$14)+СПРАВОЧНИК!$F$14*('ФАКТ ЧИСТ К1'!AA9*СПРАВОЧНИК!$L$14+'ФАКТ ЧИСТ К1'!AB9*СПРАВОЧНИК!$M$14+'ФАКТ ЧИСТ К1'!AC9*СПРАВОЧНИК!$N$14+'ФАКТ ЧИСТ К1'!AD9*СПРАВОЧНИК!$O$14+'ФАКТ ЧИСТ К1'!AE9*СПРАВОЧНИК!$P$14)+СПРАВОЧНИК!$E$15*('ФАКТ ЧЕРН К1'!T9*СПРАВОЧНИК!$H$15+'ФАКТ ЧЕРН К1'!U9*СПРАВОЧНИК!$I$15+'ФАКТ ЧЕРН К1'!V9*СПРАВОЧНИК!$J$15)+СПРАВОЧНИК!$F$15*('ФАКТ ЧИСТ К1'!AF9*СПРАВОЧНИК!$L$15+'ФАКТ ЧИСТ К1'!AG9*СПРАВОЧНИК!$M$15+'ФАКТ ЧИСТ К1'!AH9*СПРАВОЧНИК!$N$15+'ФАКТ ЧИСТ К1'!AI9*СПРАВОЧНИК!$O$15+'ФАКТ ЧИСТ К1'!AJ9*СПРАВОЧНИК!$P$15)</f>
        <v/>
      </c>
      <c r="W18" s="34" t="n"/>
      <c r="Z18" s="152">
        <f>Z17+7</f>
        <v/>
      </c>
      <c r="AA18" s="17">
        <f>'ПЛАН ЧЕРН К1'!B9*СПРАВОЧНИК!$H$9+'ПЛАН ЧЕРН К1'!C9*СПРАВОЧНИК!$I$9+'ПЛАН ЧЕРН К1'!D9*СПРАВОЧНИК!$J$9+'ПЛАН ЧЕРН К1'!E9*СПРАВОЧНИК!$H$10+'ПЛАН ЧЕРН К1'!F9*СПРАВОЧНИК!$I$10+'ПЛАН ЧЕРН К1'!G9*СПРАВОЧНИК!$J$10+'ПЛАН ЧЕРН К1'!H9*СПРАВОЧНИК!$H$11+'ПЛАН ЧЕРН К1'!I9*СПРАВОЧНИК!$I$11+'ПЛАН ЧЕРН К1'!J9*СПРАВОЧНИК!$J$11+'ПЛАН ЧЕРН К1'!K9*СПРАВОЧНИК!$H$12+'ПЛАН ЧЕРН К1'!L9*СПРАВОЧНИК!$I$12+'ПЛАН ЧЕРН К1'!M9*СПРАВОЧНИК!$J$12+'ПЛАН ЧЕРН К1'!N9*СПРАВОЧНИК!$H$13+'ПЛАН ЧЕРН К1'!O9*СПРАВОЧНИК!$I$13+'ПЛАН ЧЕРН К1'!P9*СПРАВОЧНИК!$J$13+'ПЛАН ЧЕРН К1'!Q9*СПРАВОЧНИК!$H$14+'ПЛАН ЧЕРН К1'!R9*СПРАВОЧНИК!$I$14+'ПЛАН ЧЕРН К1'!S9*СПРАВОЧНИК!$J$14+'ПЛАН ЧЕРН К1'!T9*СПРАВОЧНИК!$H$15+'ПЛАН ЧЕРН К1'!U9*СПРАВОЧНИК!$I$15+'ПЛАН ЧЕРН К1'!V9*СПРАВОЧНИК!$J$15</f>
        <v/>
      </c>
      <c r="AB18" s="31">
        <f>('ФАКТ ЧЕРН К1'!B9)*СПРАВОЧНИК!$H$9+('ФАКТ ЧЕРН К1'!C9)*СПРАВОЧНИК!$I$9+('ФАКТ ЧЕРН К1'!D9)*СПРАВОЧНИК!$J$9+('ФАКТ ЧЕРН К1'!E9)*СПРАВОЧНИК!$H$10+('ФАКТ ЧЕРН К1'!F9)*СПРАВОЧНИК!$I$10+('ФАКТ ЧЕРН К1'!G9)*СПРАВОЧНИК!$J$10+('ФАКТ ЧЕРН К1'!H9)*СПРАВОЧНИК!$H$11+('ФАКТ ЧЕРН К1'!I9)*СПРАВОЧНИК!$I$11+('ФАКТ ЧЕРН К1'!J9)*СПРАВОЧНИК!$J$11+('ФАКТ ЧЕРН К1'!K9)*СПРАВОЧНИК!$H$12+('ФАКТ ЧЕРН К1'!L9)*СПРАВОЧНИК!$I$12+('ФАКТ ЧЕРН К1'!M9)*СПРАВОЧНИК!$J$12+('ФАКТ ЧЕРН К1'!N9)*СПРАВОЧНИК!$H$13+('ФАКТ ЧЕРН К1'!O9)*СПРАВОЧНИК!$I$13+('ФАКТ ЧЕРН К1'!P9)*СПРАВОЧНИК!$J$13+('ФАКТ ЧЕРН К1'!Q9)*СПРАВОЧНИК!$H$14+('ФАКТ ЧЕРН К1'!R9)*СПРАВОЧНИК!$I$14+('ФАКТ ЧЕРН К1'!S9)*СПРАВОЧНИК!$J$14+('ФАКТ ЧЕРН К1'!T9)*СПРАВОЧНИК!$H$15+('ФАКТ ЧЕРН К1'!U9)*СПРАВОЧНИК!$I$15+('ФАКТ ЧЕРН К1'!V9)*СПРАВОЧНИК!$J$15</f>
        <v/>
      </c>
      <c r="AC18" s="34" t="n"/>
      <c r="AF18" s="152">
        <f>AF17+7</f>
        <v/>
      </c>
      <c r="AG18" s="17">
        <f>'ПЛАН ЧИСТ К1'!B9*СПРАВОЧНИК!$L$9+'ПЛАН ЧИСТ К1'!C9*СПРАВОЧНИК!$M$9+'ПЛАН ЧИСТ К1'!D9*СПРАВОЧНИК!$N$9+'ПЛАН ЧИСТ К1'!E9*СПРАВОЧНИК!$O$9+'ПЛАН ЧИСТ К1'!F9*СПРАВОЧНИК!$P$9+'ПЛАН ЧИСТ К1'!G9*СПРАВОЧНИК!$L$10+'ПЛАН ЧИСТ К1'!H9*СПРАВОЧНИК!$M$10+'ПЛАН ЧИСТ К1'!I9*СПРАВОЧНИК!$N$10+'ПЛАН ЧИСТ К1'!J9*СПРАВОЧНИК!$O$10+'ПЛАН ЧИСТ К1'!K9*СПРАВОЧНИК!$P$10+'ПЛАН ЧИСТ К1'!L9*СПРАВОЧНИК!$L$11+'ПЛАН ЧИСТ К1'!M9*СПРАВОЧНИК!$M$11+'ПЛАН ЧИСТ К1'!N9*СПРАВОЧНИК!$N$11+'ПЛАН ЧИСТ К1'!O9*СПРАВОЧНИК!$O$11+'ПЛАН ЧИСТ К1'!P9*СПРАВОЧНИК!$P$11+'ПЛАН ЧИСТ К1'!Q9*СПРАВОЧНИК!$L$12+'ПЛАН ЧИСТ К1'!R9*СПРАВОЧНИК!$M$12+'ПЛАН ЧИСТ К1'!S9*СПРАВОЧНИК!$N$12+'ПЛАН ЧИСТ К1'!T9*СПРАВОЧНИК!$O$12+'ПЛАН ЧИСТ К1'!U9*СПРАВОЧНИК!$P$12+'ПЛАН ЧИСТ К1'!V9*СПРАВОЧНИК!$L$13+'ПЛАН ЧИСТ К1'!W9*СПРАВОЧНИК!$M$13+'ПЛАН ЧИСТ К1'!X9*СПРАВОЧНИК!$N$13+'ПЛАН ЧИСТ К1'!Y9*СПРАВОЧНИК!$O$13+'ПЛАН ЧИСТ К1'!Z9*СПРАВОЧНИК!$P$13+'ПЛАН ЧИСТ К1'!AA9*СПРАВОЧНИК!$L$14+'ПЛАН ЧИСТ К1'!AB9*СПРАВОЧНИК!$M$14+'ПЛАН ЧИСТ К1'!AC9*СПРАВОЧНИК!$N$14+'ПЛАН ЧИСТ К1'!AD9*СПРАВОЧНИК!$O$14+'ПЛАН ЧИСТ К1'!AE9*СПРАВОЧНИК!$P$14+'ПЛАН ЧИСТ К1'!AF9*СПРАВОЧНИК!$L$15+'ПЛАН ЧИСТ К1'!AG9*СПРАВОЧНИК!$M$15+'ПЛАН ЧИСТ К1'!AH9*СПРАВОЧНИК!$N$15+'ПЛАН ЧИСТ К1'!AI9*СПРАВОЧНИК!$O$15+'ПЛАН ЧИСТ К1'!AJ9*СПРАВОЧНИК!$P$15</f>
        <v/>
      </c>
      <c r="AH18" s="31">
        <f>('ФАКТ ЧИСТ К1'!B9)*СПРАВОЧНИК!$L$9+('ФАКТ ЧИСТ К1'!C9)*СПРАВОЧНИК!$M$9+('ФАКТ ЧИСТ К1'!D9)*СПРАВОЧНИК!$N$9+('ФАКТ ЧИСТ К1'!E9)*СПРАВОЧНИК!$O$9+('ФАКТ ЧИСТ К1'!F9)*СПРАВОЧНИК!$P$9+('ФАКТ ЧИСТ К1'!G9)*СПРАВОЧНИК!$L$10+('ФАКТ ЧИСТ К1'!H9)*СПРАВОЧНИК!$M$10+('ФАКТ ЧИСТ К1'!I9)*СПРАВОЧНИК!$N$10+('ФАКТ ЧИСТ К1'!J9)*СПРАВОЧНИК!$O$10+('ФАКТ ЧИСТ К1'!K9)*СПРАВОЧНИК!$P$10+('ФАКТ ЧИСТ К1'!L9)*СПРАВОЧНИК!$L$11+('ФАКТ ЧИСТ К1'!M9)*СПРАВОЧНИК!$M$11+('ФАКТ ЧИСТ К1'!N9)*СПРАВОЧНИК!$N$11+('ФАКТ ЧИСТ К1'!O9)*СПРАВОЧНИК!$O$11+('ФАКТ ЧИСТ К1'!P9)*СПРАВОЧНИК!$P$11+('ФАКТ ЧИСТ К1'!Q9)*СПРАВОЧНИК!$L$12+('ФАКТ ЧИСТ К1'!R9)*СПРАВОЧНИК!$M$12+('ФАКТ ЧИСТ К1'!S9)*СПРАВОЧНИК!$N$12+('ФАКТ ЧИСТ К1'!T9)*СПРАВОЧНИК!$O$12+('ФАКТ ЧИСТ К1'!U9)*СПРАВОЧНИК!$P$12+('ФАКТ ЧИСТ К1'!V9)*СПРАВОЧНИК!$L$13+('ФАКТ ЧИСТ К1'!W9)*СПРАВОЧНИК!$M$13+('ФАКТ ЧИСТ К1'!X9)*СПРАВОЧНИК!$N$13+('ФАКТ ЧИСТ К1'!Y9)*СПРАВОЧНИК!$O$13+('ФАКТ ЧИСТ К1'!Z9)*СПРАВОЧНИК!$P$13+('ФАКТ ЧИСТ К1'!AA9)*СПРАВОЧНИК!$L$14+('ФАКТ ЧИСТ К1'!AB9)*СПРАВОЧНИК!$M$14+('ФАКТ ЧИСТ К1'!AC9)*СПРАВОЧНИК!$N$14+('ФАКТ ЧИСТ К1'!AD9)*СПРАВОЧНИК!$O$14+('ФАКТ ЧИСТ К1'!AE9)*СПРАВОЧНИК!$P$14+('ФАКТ ЧИСТ К1'!AF9)*СПРАВОЧНИК!$L$15+('ФАКТ ЧИСТ К1'!AG9)*СПРАВОЧНИК!$M$15+('ФАКТ ЧИСТ К1'!AH9)*СПРАВОЧНИК!$N$15+('ФАКТ ЧИСТ К1'!AI9)*СПРАВОЧНИК!$O$15+('ФАКТ ЧИСТ К1'!AJ9)*СПРАВОЧНИК!$P$15</f>
        <v/>
      </c>
      <c r="AI18" s="34" t="n"/>
      <c r="AL18" s="152">
        <f>AL17+7</f>
        <v/>
      </c>
      <c r="AM18" s="17">
        <f>СПРАВОЧНИК!$E$9*('ПЛАН ЧЕРН К2'!B9*СПРАВОЧНИК!$H$9+'ПЛАН ЧЕРН К2'!C9*СПРАВОЧНИК!$I$9+'ПЛАН ЧЕРН К2'!D9*СПРАВОЧНИК!$J$9)+СПРАВОЧНИК!$F$9*('ПЛАН ЧИСТ К2'!B9*СПРАВОЧНИК!$L$9+'ПЛАН ЧИСТ К2'!C9*СПРАВОЧНИК!$M$9+'ПЛАН ЧИСТ К2'!D9*СПРАВОЧНИК!$N$9+'ПЛАН ЧИСТ К2'!E9*СПРАВОЧНИК!$O$9+'ПЛАН ЧИСТ К2'!F9*СПРАВОЧНИК!$P$9)+СПРАВОЧНИК!$E$10*('ПЛАН ЧЕРН К2'!E9*СПРАВОЧНИК!$H$10+'ПЛАН ЧЕРН К2'!F9*СПРАВОЧНИК!$I$10+'ПЛАН ЧЕРН К2'!G9*СПРАВОЧНИК!$J$10)+СПРАВОЧНИК!$F$10*('ПЛАН ЧИСТ К2'!G9*СПРАВОЧНИК!$L$10+'ПЛАН ЧИСТ К2'!H9*СПРАВОЧНИК!$M$10+'ПЛАН ЧИСТ К2'!I9*СПРАВОЧНИК!$N$10+'ПЛАН ЧИСТ К2'!J9*СПРАВОЧНИК!$O$10+'ПЛАН ЧИСТ К2'!K9*СПРАВОЧНИК!$P$10)+СПРАВОЧНИК!$E$11*('ПЛАН ЧЕРН К2'!H9*СПРАВОЧНИК!$H$11+'ПЛАН ЧЕРН К2'!I9*СПРАВОЧНИК!$I$11+'ПЛАН ЧЕРН К2'!J9*СПРАВОЧНИК!$J$11)+СПРАВОЧНИК!$F$11*('ПЛАН ЧИСТ К2'!L9*СПРАВОЧНИК!$L$11+'ПЛАН ЧИСТ К2'!M9*СПРАВОЧНИК!$M$11+'ПЛАН ЧИСТ К2'!N9*СПРАВОЧНИК!$N$11+'ПЛАН ЧИСТ К2'!O9*СПРАВОЧНИК!$O$11+'ПЛАН ЧИСТ К2'!P9*СПРАВОЧНИК!$P$11)+СПРАВОЧНИК!$E$12*('ПЛАН ЧЕРН К2'!K9*СПРАВОЧНИК!$H$12+'ПЛАН ЧЕРН К2'!L9*СПРАВОЧНИК!$I$12+'ПЛАН ЧЕРН К2'!M9*СПРАВОЧНИК!$J$12)+СПРАВОЧНИК!$F$12*('ПЛАН ЧИСТ К2'!Q9*СПРАВОЧНИК!$L$12+'ПЛАН ЧИСТ К2'!R9*СПРАВОЧНИК!$M$12+'ПЛАН ЧИСТ К2'!S9*СПРАВОЧНИК!$N$12+'ПЛАН ЧИСТ К2'!T9*СПРАВОЧНИК!$O$12+'ПЛАН ЧИСТ К2'!U9*СПРАВОЧНИК!$P$12)+СПРАВОЧНИК!$E$13*('ПЛАН ЧЕРН К2'!N9*СПРАВОЧНИК!$H$13+'ПЛАН ЧЕРН К2'!O9*СПРАВОЧНИК!$I$13+'ПЛАН ЧЕРН К2'!P9*СПРАВОЧНИК!$J$13)+СПРАВОЧНИК!$F$13*('ПЛАН ЧИСТ К2'!V9*СПРАВОЧНИК!$L$13+'ПЛАН ЧИСТ К2'!W9*СПРАВОЧНИК!$M$13+'ПЛАН ЧИСТ К2'!X9*СПРАВОЧНИК!$N$13+'ПЛАН ЧИСТ К2'!Y9*СПРАВОЧНИК!$O$13+'ПЛАН ЧИСТ К2'!Z9*СПРАВОЧНИК!$P$13)+СПРАВОЧНИК!$E$14*('ПЛАН ЧЕРН К2'!Q9*СПРАВОЧНИК!$H$14+'ПЛАН ЧЕРН К2'!R9*СПРАВОЧНИК!$I$14+'ПЛАН ЧЕРН К2'!S9*СПРАВОЧНИК!$J$14)+СПРАВОЧНИК!$F$14*('ПЛАН ЧИСТ К2'!AA9*СПРАВОЧНИК!$L$14+'ПЛАН ЧИСТ К2'!AB9*СПРАВОЧНИК!$M$14+'ПЛАН ЧИСТ К2'!AC9*СПРАВОЧНИК!$N$14+'ПЛАН ЧИСТ К2'!AD9*СПРАВОЧНИК!$O$14+'ПЛАН ЧИСТ К2'!AE9*СПРАВОЧНИК!$P$14)+СПРАВОЧНИК!$E$15*('ПЛАН ЧЕРН К2'!T9*СПРАВОЧНИК!$H$15+'ПЛАН ЧЕРН К2'!U9*СПРАВОЧНИК!$I$15+'ПЛАН ЧЕРН К2'!V9*СПРАВОЧНИК!$J$15)+СПРАВОЧНИК!$F$15*('ПЛАН ЧИСТ К2'!AF9*СПРАВОЧНИК!$L$15+'ПЛАН ЧИСТ К2'!AG9*СПРАВОЧНИК!$M$15+'ПЛАН ЧИСТ К2'!AH9*СПРАВОЧНИК!$N$15+'ПЛАН ЧИСТ К2'!AI9*СПРАВОЧНИК!$O$15+'ПЛАН ЧИСТ К2'!AJ9*СПРАВОЧНИК!$P$15)</f>
        <v/>
      </c>
      <c r="AN18" s="31">
        <f>СПРАВОЧНИК!$E$9*('ФАКТ ЧЕРН К2'!B9*СПРАВОЧНИК!$H$9+'ФАКТ ЧЕРН К2'!C9*СПРАВОЧНИК!$I$9+'ФАКТ ЧЕРН К2'!D9*СПРАВОЧНИК!$J$9)+СПРАВОЧНИК!$F$9*('ФАКТ ЧИСТ К2'!B9*СПРАВОЧНИК!$L$9+'ФАКТ ЧИСТ К2'!C9*СПРАВОЧНИК!$M$9+'ФАКТ ЧИСТ К2'!D9*СПРАВОЧНИК!$N$9+'ФАКТ ЧИСТ К2'!E9*СПРАВОЧНИК!$O$9+'ФАКТ ЧИСТ К2'!F9*СПРАВОЧНИК!$P$9)+СПРАВОЧНИК!$E$10*('ФАКТ ЧЕРН К2'!E9*СПРАВОЧНИК!$H$10+'ФАКТ ЧЕРН К2'!F9*СПРАВОЧНИК!$I$10+'ФАКТ ЧЕРН К2'!G9*СПРАВОЧНИК!$J$10)+СПРАВОЧНИК!$F$10*('ФАКТ ЧИСТ К2'!G9*СПРАВОЧНИК!$L$10+'ФАКТ ЧИСТ К2'!H9*СПРАВОЧНИК!$M$10+'ФАКТ ЧИСТ К2'!I9*СПРАВОЧНИК!$N$10+'ФАКТ ЧИСТ К2'!J9*СПРАВОЧНИК!$O$10+'ФАКТ ЧИСТ К2'!K9*СПРАВОЧНИК!$P$10)+СПРАВОЧНИК!$E$11*('ФАКТ ЧЕРН К2'!H9*СПРАВОЧНИК!$H$11+'ФАКТ ЧЕРН К2'!I9*СПРАВОЧНИК!$I$11+'ФАКТ ЧЕРН К2'!J9*СПРАВОЧНИК!$J$11)+СПРАВОЧНИК!$F$11*('ФАКТ ЧИСТ К2'!L9*СПРАВОЧНИК!$L$11+'ФАКТ ЧИСТ К2'!M9*СПРАВОЧНИК!$M$11+'ФАКТ ЧИСТ К2'!N9*СПРАВОЧНИК!$N$11+'ФАКТ ЧИСТ К2'!O9*СПРАВОЧНИК!$O$11+'ФАКТ ЧИСТ К2'!P9*СПРАВОЧНИК!$P$11)+СПРАВОЧНИК!$E$12*('ФАКТ ЧЕРН К2'!K9*СПРАВОЧНИК!$H$12+'ФАКТ ЧЕРН К2'!L9*СПРАВОЧНИК!$I$12+'ФАКТ ЧЕРН К2'!M9*СПРАВОЧНИК!$J$12)+СПРАВОЧНИК!$F$12*('ФАКТ ЧИСТ К2'!Q9*СПРАВОЧНИК!$L$12+'ФАКТ ЧИСТ К2'!R9*СПРАВОЧНИК!$M$12+'ФАКТ ЧИСТ К2'!S9*СПРАВОЧНИК!$N$12+'ФАКТ ЧИСТ К2'!T9*СПРАВОЧНИК!$O$12+'ФАКТ ЧИСТ К2'!U9*СПРАВОЧНИК!$P$12)+СПРАВОЧНИК!$E$13*('ФАКТ ЧЕРН К2'!N9*СПРАВОЧНИК!$H$13+'ФАКТ ЧЕРН К2'!O9*СПРАВОЧНИК!$I$13+'ФАКТ ЧЕРН К2'!P9*СПРАВОЧНИК!$J$13)+СПРАВОЧНИК!$F$13*('ФАКТ ЧИСТ К2'!V9*СПРАВОЧНИК!$L$13+'ФАКТ ЧИСТ К2'!W9*СПРАВОЧНИК!$M$13+'ФАКТ ЧИСТ К2'!X9*СПРАВОЧНИК!$N$13+'ФАКТ ЧИСТ К2'!Y9*СПРАВОЧНИК!$O$13+'ФАКТ ЧИСТ К2'!Z9*СПРАВОЧНИК!$P$13)+СПРАВОЧНИК!$E$14*('ФАКТ ЧЕРН К2'!Q9*СПРАВОЧНИК!$H$14+'ФАКТ ЧЕРН К2'!R9*СПРАВОЧНИК!$I$14+'ФАКТ ЧЕРН К2'!S9*СПРАВОЧНИК!$J$14)+СПРАВОЧНИК!$F$14*('ФАКТ ЧИСТ К2'!AA9*СПРАВОЧНИК!$L$14+'ФАКТ ЧИСТ К2'!AB9*СПРАВОЧНИК!$M$14+'ФАКТ ЧИСТ К2'!AC9*СПРАВОЧНИК!$N$14+'ФАКТ ЧИСТ К2'!AD9*СПРАВОЧНИК!$O$14+'ФАКТ ЧИСТ К2'!AE9*СПРАВОЧНИК!$P$14)+СПРАВОЧНИК!$E$15*('ФАКТ ЧЕРН К2'!T9*СПРАВОЧНИК!$H$15+'ФАКТ ЧЕРН К2'!U9*СПРАВОЧНИК!$I$15+'ФАКТ ЧЕРН К2'!V9*СПРАВОЧНИК!$J$15)+СПРАВОЧНИК!$F$15*('ФАКТ ЧИСТ К2'!AF9*СПРАВОЧНИК!$L$15+'ФАКТ ЧИСТ К2'!AG9*СПРАВОЧНИК!$M$15+'ФАКТ ЧИСТ К2'!AH9*СПРАВОЧНИК!$N$15+'ФАКТ ЧИСТ К2'!AI9*СПРАВОЧНИК!$O$15+'ФАКТ ЧИСТ К2'!AJ9*СПРАВОЧНИК!$P$15)</f>
        <v/>
      </c>
      <c r="AO18" s="34" t="n"/>
      <c r="AR18" s="152">
        <f>AR17+7</f>
        <v/>
      </c>
      <c r="AS18" s="17">
        <f>'ПЛАН ЧЕРН К2'!B9*СПРАВОЧНИК!$H$9+'ПЛАН ЧЕРН К2'!C9*СПРАВОЧНИК!$I$9+'ПЛАН ЧЕРН К2'!D9*СПРАВОЧНИК!$J$9+'ПЛАН ЧЕРН К2'!E9*СПРАВОЧНИК!$H$10+'ПЛАН ЧЕРН К2'!F9*СПРАВОЧНИК!$I$10+'ПЛАН ЧЕРН К2'!G9*СПРАВОЧНИК!$J$10+'ПЛАН ЧЕРН К2'!H9*СПРАВОЧНИК!$H$11+'ПЛАН ЧЕРН К2'!I9*СПРАВОЧНИК!$I$11+'ПЛАН ЧЕРН К2'!J9*СПРАВОЧНИК!$J$11+'ПЛАН ЧЕРН К2'!K9*СПРАВОЧНИК!$H$12+'ПЛАН ЧЕРН К2'!L9*СПРАВОЧНИК!$I$12+'ПЛАН ЧЕРН К2'!M9*СПРАВОЧНИК!$J$12+'ПЛАН ЧЕРН К2'!N9*СПРАВОЧНИК!$H$13+'ПЛАН ЧЕРН К2'!O9*СПРАВОЧНИК!$I$13+'ПЛАН ЧЕРН К2'!P9*СПРАВОЧНИК!$J$13+'ПЛАН ЧЕРН К2'!Q9*СПРАВОЧНИК!$H$14+'ПЛАН ЧЕРН К2'!R9*СПРАВОЧНИК!$I$14+'ПЛАН ЧЕРН К2'!S9*СПРАВОЧНИК!$J$14+'ПЛАН ЧЕРН К2'!T9*СПРАВОЧНИК!$H$15+'ПЛАН ЧЕРН К2'!U9*СПРАВОЧНИК!$I$15+'ПЛАН ЧЕРН К2'!V9*СПРАВОЧНИК!$J$15</f>
        <v/>
      </c>
      <c r="AT18" s="31">
        <f>('ФАКТ ЧЕРН К2'!B9)*СПРАВОЧНИК!$H$9+('ФАКТ ЧЕРН К2'!C9)*СПРАВОЧНИК!$I$9+('ФАКТ ЧЕРН К2'!D9)*СПРАВОЧНИК!$J$9+('ФАКТ ЧЕРН К2'!E9)*СПРАВОЧНИК!$H$10+('ФАКТ ЧЕРН К2'!F9)*СПРАВОЧНИК!$I$10+('ФАКТ ЧЕРН К2'!G9)*СПРАВОЧНИК!$J$10+('ФАКТ ЧЕРН К2'!H9)*СПРАВОЧНИК!$H$11+('ФАКТ ЧЕРН К2'!I9)*СПРАВОЧНИК!$I$11+('ФАКТ ЧЕРН К2'!J9)*СПРАВОЧНИК!$J$11+('ФАКТ ЧЕРН К2'!K9)*СПРАВОЧНИК!$H$12+('ФАКТ ЧЕРН К2'!L9)*СПРАВОЧНИК!$I$12+('ФАКТ ЧЕРН К2'!M9)*СПРАВОЧНИК!$J$12+('ФАКТ ЧЕРН К2'!N9)*СПРАВОЧНИК!$H$13+('ФАКТ ЧЕРН К2'!O9)*СПРАВОЧНИК!$I$13+('ФАКТ ЧЕРН К2'!P9)*СПРАВОЧНИК!$J$13+('ФАКТ ЧЕРН К2'!Q9)*СПРАВОЧНИК!$H$14+('ФАКТ ЧЕРН К2'!R9)*СПРАВОЧНИК!$I$14+('ФАКТ ЧЕРН К2'!S9)*СПРАВОЧНИК!$J$14+('ФАКТ ЧЕРН К2'!T9)*СПРАВОЧНИК!$H$15+('ФАКТ ЧЕРН К2'!U9)*СПРАВОЧНИК!$I$15+('ФАКТ ЧЕРН К2'!V9)*СПРАВОЧНИК!$J$15</f>
        <v/>
      </c>
      <c r="AU18" s="34" t="n"/>
      <c r="AX18" s="152">
        <f>AX17+7</f>
        <v/>
      </c>
      <c r="AY18" s="17">
        <f>'ПЛАН ЧИСТ К2'!B9*СПРАВОЧНИК!$L$9+'ПЛАН ЧИСТ К2'!C9*СПРАВОЧНИК!$M$9+'ПЛАН ЧИСТ К2'!D9*СПРАВОЧНИК!$N$9+'ПЛАН ЧИСТ К2'!E9*СПРАВОЧНИК!$O$9+'ПЛАН ЧИСТ К2'!F9*СПРАВОЧНИК!$P$9+'ПЛАН ЧИСТ К2'!G9*СПРАВОЧНИК!$L$10+'ПЛАН ЧИСТ К2'!H9*СПРАВОЧНИК!$M$10+'ПЛАН ЧИСТ К2'!I9*СПРАВОЧНИК!$N$10+'ПЛАН ЧИСТ К2'!J9*СПРАВОЧНИК!$O$10+'ПЛАН ЧИСТ К2'!K9*СПРАВОЧНИК!$P$10+'ПЛАН ЧИСТ К2'!L9*СПРАВОЧНИК!$L$11+'ПЛАН ЧИСТ К2'!M9*СПРАВОЧНИК!$M$11+'ПЛАН ЧИСТ К2'!N9*СПРАВОЧНИК!$N$11+'ПЛАН ЧИСТ К2'!O9*СПРАВОЧНИК!$O$11+'ПЛАН ЧИСТ К2'!P9*СПРАВОЧНИК!$P$11+'ПЛАН ЧИСТ К2'!Q9*СПРАВОЧНИК!$L$12+'ПЛАН ЧИСТ К2'!R9*СПРАВОЧНИК!$M$12+'ПЛАН ЧИСТ К2'!S9*СПРАВОЧНИК!$N$12+'ПЛАН ЧИСТ К2'!T9*СПРАВОЧНИК!$O$12+'ПЛАН ЧИСТ К2'!U9*СПРАВОЧНИК!$P$12+'ПЛАН ЧИСТ К2'!V9*СПРАВОЧНИК!$L$13+'ПЛАН ЧИСТ К2'!W9*СПРАВОЧНИК!$M$13+'ПЛАН ЧИСТ К2'!X9*СПРАВОЧНИК!$N$13+'ПЛАН ЧИСТ К2'!Y9*СПРАВОЧНИК!$O$13+'ПЛАН ЧИСТ К2'!Z9*СПРАВОЧНИК!$P$13+'ПЛАН ЧИСТ К2'!AA9*СПРАВОЧНИК!$L$14+'ПЛАН ЧИСТ К2'!AB9*СПРАВОЧНИК!$M$14+'ПЛАН ЧИСТ К2'!AC9*СПРАВОЧНИК!$N$14+'ПЛАН ЧИСТ К2'!AD9*СПРАВОЧНИК!$O$14+'ПЛАН ЧИСТ К2'!AE9*СПРАВОЧНИК!$P$14+'ПЛАН ЧИСТ К2'!AF9*СПРАВОЧНИК!$L$15+'ПЛАН ЧИСТ К2'!AG9*СПРАВОЧНИК!$M$15+'ПЛАН ЧИСТ К2'!AH9*СПРАВОЧНИК!$N$15+'ПЛАН ЧИСТ К2'!AI9*СПРАВОЧНИК!$O$15+'ПЛАН ЧИСТ К2'!AJ9*СПРАВОЧНИК!$P$15</f>
        <v/>
      </c>
      <c r="AZ18" s="31">
        <f>('ФАКТ ЧИСТ К2'!B9)*СПРАВОЧНИК!$L$9+('ФАКТ ЧИСТ К2'!C9)*СПРАВОЧНИК!$M$9+('ФАКТ ЧИСТ К2'!D9)*СПРАВОЧНИК!$N$9+('ФАКТ ЧИСТ К2'!E9)*СПРАВОЧНИК!$O$9+('ФАКТ ЧИСТ К2'!F9)*СПРАВОЧНИК!$P$9+('ФАКТ ЧИСТ К2'!G9)*СПРАВОЧНИК!$L$10+('ФАКТ ЧИСТ К2'!H9)*СПРАВОЧНИК!$M$10+('ФАКТ ЧИСТ К2'!I9)*СПРАВОЧНИК!$N$10+('ФАКТ ЧИСТ К2'!J9)*СПРАВОЧНИК!$O$10+('ФАКТ ЧИСТ К2'!K9)*СПРАВОЧНИК!$P$10+('ФАКТ ЧИСТ К2'!L9)*СПРАВОЧНИК!$L$11+('ФАКТ ЧИСТ К2'!M9)*СПРАВОЧНИК!$M$11+('ФАКТ ЧИСТ К2'!N9)*СПРАВОЧНИК!$N$11+('ФАКТ ЧИСТ К2'!O9)*СПРАВОЧНИК!$O$11+('ФАКТ ЧИСТ К2'!P9)*СПРАВОЧНИК!$P$11+('ФАКТ ЧИСТ К2'!Q9)*СПРАВОЧНИК!$L$12+('ФАКТ ЧИСТ К2'!R9)*СПРАВОЧНИК!$M$12+('ФАКТ ЧИСТ К2'!S9)*СПРАВОЧНИК!$N$12+('ФАКТ ЧИСТ К2'!T9)*СПРАВОЧНИК!$O$12+('ФАКТ ЧИСТ К2'!U9)*СПРАВОЧНИК!$P$12+('ФАКТ ЧИСТ К2'!V9)*СПРАВОЧНИК!$L$13+('ФАКТ ЧИСТ К2'!W9)*СПРАВОЧНИК!$M$13+('ФАКТ ЧИСТ К2'!X9)*СПРАВОЧНИК!$N$13+('ФАКТ ЧИСТ К2'!Y9)*СПРАВОЧНИК!$O$13+('ФАКТ ЧИСТ К2'!Z9)*СПРАВОЧНИК!$P$13+('ФАКТ ЧИСТ К2'!AA9)*СПРАВОЧНИК!$L$14+('ФАКТ ЧИСТ К2'!AB9)*СПРАВОЧНИК!$M$14+('ФАКТ ЧИСТ К2'!AC9)*СПРАВОЧНИК!$N$14+('ФАКТ ЧИСТ К2'!AD9)*СПРАВОЧНИК!$O$14+('ФАКТ ЧИСТ К2'!AE9)*СПРАВОЧНИК!$P$14+('ФАКТ ЧИСТ К2'!AF9)*СПРАВОЧНИК!$L$15+('ФАКТ ЧИСТ К2'!AG9)*СПРАВОЧНИК!$M$15+('ФАКТ ЧИСТ К2'!AH9)*СПРАВОЧНИК!$N$15+('ФАКТ ЧИСТ К2'!AI9)*СПРАВОЧНИК!$O$15+('ФАКТ ЧИСТ К2'!AJ9)*СПРАВОЧНИК!$P$15</f>
        <v/>
      </c>
      <c r="BA18" s="34" t="n"/>
      <c r="BD18" s="152">
        <f>BD17+7</f>
        <v/>
      </c>
      <c r="BE18" s="17">
        <f>СПРАВОЧНИК!$E$9*('ПЛАН ЧЕРН К3'!B9*СПРАВОЧНИК!$H$9+'ПЛАН ЧЕРН К3'!C9*СПРАВОЧНИК!$I$9+'ПЛАН ЧЕРН К3'!D9*СПРАВОЧНИК!$J$9)+СПРАВОЧНИК!$F$9*('ПЛАН ЧИСТ К3'!B9*СПРАВОЧНИК!$L$9+'ПЛАН ЧИСТ К3'!C9*СПРАВОЧНИК!$M$9+'ПЛАН ЧИСТ К3'!D9*СПРАВОЧНИК!$N$9+'ПЛАН ЧИСТ К3'!E9*СПРАВОЧНИК!$O$9+'ПЛАН ЧИСТ К3'!F9*СПРАВОЧНИК!$P$9)+СПРАВОЧНИК!$E$10*('ПЛАН ЧЕРН К3'!E9*СПРАВОЧНИК!$H$10+'ПЛАН ЧЕРН К3'!F9*СПРАВОЧНИК!$I$10+'ПЛАН ЧЕРН К3'!G9*СПРАВОЧНИК!$J$10)+СПРАВОЧНИК!$F$10*('ПЛАН ЧИСТ К3'!G9*СПРАВОЧНИК!$L$10+'ПЛАН ЧИСТ К3'!H9*СПРАВОЧНИК!$M$10+'ПЛАН ЧИСТ К3'!I9*СПРАВОЧНИК!$N$10+'ПЛАН ЧИСТ К3'!J9*СПРАВОЧНИК!$O$10+'ПЛАН ЧИСТ К3'!K9*СПРАВОЧНИК!$P$10)+СПРАВОЧНИК!$E$11*('ПЛАН ЧЕРН К3'!H9*СПРАВОЧНИК!$H$11+'ПЛАН ЧЕРН К3'!I9*СПРАВОЧНИК!$I$11+'ПЛАН ЧЕРН К3'!J9*СПРАВОЧНИК!$J$11)+СПРАВОЧНИК!$F$11*('ПЛАН ЧИСТ К3'!L9*СПРАВОЧНИК!$L$11+'ПЛАН ЧИСТ К3'!M9*СПРАВОЧНИК!$M$11+'ПЛАН ЧИСТ К3'!N9*СПРАВОЧНИК!$N$11+'ПЛАН ЧИСТ К3'!O9*СПРАВОЧНИК!$O$11+'ПЛАН ЧИСТ К3'!P9*СПРАВОЧНИК!$P$11)+СПРАВОЧНИК!$E$12*('ПЛАН ЧЕРН К3'!K9*СПРАВОЧНИК!$H$12+'ПЛАН ЧЕРН К3'!L9*СПРАВОЧНИК!$I$12+'ПЛАН ЧЕРН К3'!M9*СПРАВОЧНИК!$J$12)+СПРАВОЧНИК!$F$12*('ПЛАН ЧИСТ К3'!Q9*СПРАВОЧНИК!$L$12+'ПЛАН ЧИСТ К3'!R9*СПРАВОЧНИК!$M$12+'ПЛАН ЧИСТ К3'!S9*СПРАВОЧНИК!$N$12+'ПЛАН ЧИСТ К3'!T9*СПРАВОЧНИК!$O$12+'ПЛАН ЧИСТ К3'!U9*СПРАВОЧНИК!$P$12)+СПРАВОЧНИК!$E$13*('ПЛАН ЧЕРН К3'!N9*СПРАВОЧНИК!$H$13+'ПЛАН ЧЕРН К3'!O9*СПРАВОЧНИК!$I$13+'ПЛАН ЧЕРН К3'!P9*СПРАВОЧНИК!$J$13)+СПРАВОЧНИК!$F$13*('ПЛАН ЧИСТ К3'!V9*СПРАВОЧНИК!$L$13+'ПЛАН ЧИСТ К3'!W9*СПРАВОЧНИК!$M$13+'ПЛАН ЧИСТ К3'!X9*СПРАВОЧНИК!$N$13+'ПЛАН ЧИСТ К3'!Y9*СПРАВОЧНИК!$O$13+'ПЛАН ЧИСТ К3'!Z9*СПРАВОЧНИК!$P$13)+СПРАВОЧНИК!$E$14*('ПЛАН ЧЕРН К3'!Q9*СПРАВОЧНИК!$H$14+'ПЛАН ЧЕРН К3'!R9*СПРАВОЧНИК!$I$14+'ПЛАН ЧЕРН К3'!S9*СПРАВОЧНИК!$J$14)+СПРАВОЧНИК!$F$14*('ПЛАН ЧИСТ К3'!AA9*СПРАВОЧНИК!$L$14+'ПЛАН ЧИСТ К3'!AB9*СПРАВОЧНИК!$M$14+'ПЛАН ЧИСТ К3'!AC9*СПРАВОЧНИК!$N$14+'ПЛАН ЧИСТ К3'!AD9*СПРАВОЧНИК!$O$14+'ПЛАН ЧИСТ К3'!AE9*СПРАВОЧНИК!$P$14)+СПРАВОЧНИК!$E$15*('ПЛАН ЧЕРН К3'!T9*СПРАВОЧНИК!$H$15+'ПЛАН ЧЕРН К3'!U9*СПРАВОЧНИК!$I$15+'ПЛАН ЧЕРН К3'!V9*СПРАВОЧНИК!$J$15)+СПРАВОЧНИК!$F$15*('ПЛАН ЧИСТ К3'!AF9*СПРАВОЧНИК!$L$15+'ПЛАН ЧИСТ К3'!AG9*СПРАВОЧНИК!$M$15+'ПЛАН ЧИСТ К3'!AH9*СПРАВОЧНИК!$N$15+'ПЛАН ЧИСТ К3'!AI9*СПРАВОЧНИК!$O$15+'ПЛАН ЧИСТ К3'!AJ9*СПРАВОЧНИК!$P$15)</f>
        <v/>
      </c>
      <c r="BF18" s="31">
        <f>СПРАВОЧНИК!$E$9*('ФАКТ ЧЕРН К3'!B9*СПРАВОЧНИК!$H$9+'ФАКТ ЧЕРН К3'!C9*СПРАВОЧНИК!$I$9+'ФАКТ ЧЕРН К3'!D9*СПРАВОЧНИК!$J$9)+СПРАВОЧНИК!$F$9*('ФАКТ ЧИСТ К3'!B9*СПРАВОЧНИК!$L$9+'ФАКТ ЧИСТ К3'!C9*СПРАВОЧНИК!$M$9+'ФАКТ ЧИСТ К3'!D9*СПРАВОЧНИК!$N$9+'ФАКТ ЧИСТ К3'!E9*СПРАВОЧНИК!$O$9+'ФАКТ ЧИСТ К3'!F9*СПРАВОЧНИК!$P$9)+СПРАВОЧНИК!$E$10*('ФАКТ ЧЕРН К3'!E9*СПРАВОЧНИК!$H$10+'ФАКТ ЧЕРН К3'!F9*СПРАВОЧНИК!$I$10+'ФАКТ ЧЕРН К3'!G9*СПРАВОЧНИК!$J$10)+СПРАВОЧНИК!$F$10*('ФАКТ ЧИСТ К3'!G9*СПРАВОЧНИК!$L$10+'ФАКТ ЧИСТ К3'!H9*СПРАВОЧНИК!$M$10+'ФАКТ ЧИСТ К3'!I9*СПРАВОЧНИК!$N$10+'ФАКТ ЧИСТ К3'!J9*СПРАВОЧНИК!$O$10+'ФАКТ ЧИСТ К3'!K9*СПРАВОЧНИК!$P$10)+СПРАВОЧНИК!$E$11*('ФАКТ ЧЕРН К3'!H9*СПРАВОЧНИК!$H$11+'ФАКТ ЧЕРН К3'!I9*СПРАВОЧНИК!$I$11+'ФАКТ ЧЕРН К3'!J9*СПРАВОЧНИК!$J$11)+СПРАВОЧНИК!$F$11*('ФАКТ ЧИСТ К3'!L9*СПРАВОЧНИК!$L$11+'ФАКТ ЧИСТ К3'!M9*СПРАВОЧНИК!$M$11+'ФАКТ ЧИСТ К3'!N9*СПРАВОЧНИК!$N$11+'ФАКТ ЧИСТ К3'!O9*СПРАВОЧНИК!$O$11+'ФАКТ ЧИСТ К3'!P9*СПРАВОЧНИК!$P$11)+СПРАВОЧНИК!$E$12*('ФАКТ ЧЕРН К3'!K9*СПРАВОЧНИК!$H$12+'ФАКТ ЧЕРН К3'!L9*СПРАВОЧНИК!$I$12+'ФАКТ ЧЕРН К3'!M9*СПРАВОЧНИК!$J$12)+СПРАВОЧНИК!$F$12*('ФАКТ ЧИСТ К3'!Q9*СПРАВОЧНИК!$L$12+'ФАКТ ЧИСТ К3'!R9*СПРАВОЧНИК!$M$12+'ФАКТ ЧИСТ К3'!S9*СПРАВОЧНИК!$N$12+'ФАКТ ЧИСТ К3'!T9*СПРАВОЧНИК!$O$12+'ФАКТ ЧИСТ К3'!U9*СПРАВОЧНИК!$P$12)+СПРАВОЧНИК!$E$13*('ФАКТ ЧЕРН К3'!N9*СПРАВОЧНИК!$H$13+'ФАКТ ЧЕРН К3'!O9*СПРАВОЧНИК!$I$13+'ФАКТ ЧЕРН К3'!P9*СПРАВОЧНИК!$J$13)+СПРАВОЧНИК!$F$13*('ФАКТ ЧИСТ К3'!V9*СПРАВОЧНИК!$L$13+'ФАКТ ЧИСТ К3'!W9*СПРАВОЧНИК!$M$13+'ФАКТ ЧИСТ К3'!X9*СПРАВОЧНИК!$N$13+'ФАКТ ЧИСТ К3'!Y9*СПРАВОЧНИК!$O$13+'ФАКТ ЧИСТ К3'!Z9*СПРАВОЧНИК!$P$13)+СПРАВОЧНИК!$E$14*('ФАКТ ЧЕРН К3'!Q9*СПРАВОЧНИК!$H$14+'ФАКТ ЧЕРН К3'!R9*СПРАВОЧНИК!$I$14+'ФАКТ ЧЕРН К3'!S9*СПРАВОЧНИК!$J$14)+СПРАВОЧНИК!$F$14*('ФАКТ ЧИСТ К3'!AA9*СПРАВОЧНИК!$L$14+'ФАКТ ЧИСТ К3'!AB9*СПРАВОЧНИК!$M$14+'ФАКТ ЧИСТ К3'!AC9*СПРАВОЧНИК!$N$14+'ФАКТ ЧИСТ К3'!AD9*СПРАВОЧНИК!$O$14+'ФАКТ ЧИСТ К3'!AE9*СПРАВОЧНИК!$P$14)+СПРАВОЧНИК!$E$15*('ФАКТ ЧЕРН К3'!T9*СПРАВОЧНИК!$H$15+'ФАКТ ЧЕРН К3'!U9*СПРАВОЧНИК!$I$15+'ФАКТ ЧЕРН К3'!V9*СПРАВОЧНИК!$J$15)+СПРАВОЧНИК!$F$15*('ФАКТ ЧИСТ К3'!AF9*СПРАВОЧНИК!$L$15+'ФАКТ ЧИСТ К3'!AG9*СПРАВОЧНИК!$M$15+'ФАКТ ЧИСТ К3'!AH9*СПРАВОЧНИК!$N$15+'ФАКТ ЧИСТ К3'!AI9*СПРАВОЧНИК!$O$15+'ФАКТ ЧИСТ К3'!AJ9*СПРАВОЧНИК!$P$15)</f>
        <v/>
      </c>
      <c r="BG18" s="34" t="n"/>
      <c r="BJ18" s="152">
        <f>BJ17+7</f>
        <v/>
      </c>
      <c r="BK18" s="17">
        <f>'ПЛАН ЧЕРН К3'!B9*СПРАВОЧНИК!$H$9+'ПЛАН ЧЕРН К3'!C9*СПРАВОЧНИК!$I$9+'ПЛАН ЧЕРН К3'!D9*СПРАВОЧНИК!$J$9+'ПЛАН ЧЕРН К3'!E9*СПРАВОЧНИК!$H$10+'ПЛАН ЧЕРН К3'!F9*СПРАВОЧНИК!$I$10+'ПЛАН ЧЕРН К3'!G9*СПРАВОЧНИК!$J$10+'ПЛАН ЧЕРН К3'!H9*СПРАВОЧНИК!$H$11+'ПЛАН ЧЕРН К3'!I9*СПРАВОЧНИК!$I$11+'ПЛАН ЧЕРН К3'!J9*СПРАВОЧНИК!$J$11+'ПЛАН ЧЕРН К3'!K9*СПРАВОЧНИК!$H$12+'ПЛАН ЧЕРН К3'!L9*СПРАВОЧНИК!$I$12+'ПЛАН ЧЕРН К3'!M9*СПРАВОЧНИК!$J$12+'ПЛАН ЧЕРН К3'!N9*СПРАВОЧНИК!$H$13+'ПЛАН ЧЕРН К3'!O9*СПРАВОЧНИК!$I$13+'ПЛАН ЧЕРН К3'!P9*СПРАВОЧНИК!$J$13+'ПЛАН ЧЕРН К3'!Q9*СПРАВОЧНИК!$H$14+'ПЛАН ЧЕРН К3'!R9*СПРАВОЧНИК!$I$14+'ПЛАН ЧЕРН К3'!S9*СПРАВОЧНИК!$J$14+'ПЛАН ЧЕРН К3'!T9*СПРАВОЧНИК!$H$15+'ПЛАН ЧЕРН К3'!U9*СПРАВОЧНИК!$I$15+'ПЛАН ЧЕРН К3'!V9*СПРАВОЧНИК!$J$15</f>
        <v/>
      </c>
      <c r="BL18" s="31">
        <f>('ФАКТ ЧЕРН К3'!B9)*СПРАВОЧНИК!$H$9+('ФАКТ ЧЕРН К3'!C9)*СПРАВОЧНИК!$I$9+('ФАКТ ЧЕРН К3'!D9)*СПРАВОЧНИК!$J$9+('ФАКТ ЧЕРН К3'!E9)*СПРАВОЧНИК!$H$10+('ФАКТ ЧЕРН К3'!F9)*СПРАВОЧНИК!$I$10+('ФАКТ ЧЕРН К3'!G9)*СПРАВОЧНИК!$J$10+('ФАКТ ЧЕРН К3'!H9)*СПРАВОЧНИК!$H$11+('ФАКТ ЧЕРН К3'!I9)*СПРАВОЧНИК!$I$11+('ФАКТ ЧЕРН К3'!J9)*СПРАВОЧНИК!$J$11+('ФАКТ ЧЕРН К3'!K9)*СПРАВОЧНИК!$H$12+('ФАКТ ЧЕРН К3'!L9)*СПРАВОЧНИК!$I$12+('ФАКТ ЧЕРН К3'!M9)*СПРАВОЧНИК!$J$12+('ФАКТ ЧЕРН К3'!N9)*СПРАВОЧНИК!$H$13+('ФАКТ ЧЕРН К3'!O9)*СПРАВОЧНИК!$I$13+('ФАКТ ЧЕРН К3'!P9)*СПРАВОЧНИК!$J$13+('ФАКТ ЧЕРН К3'!Q9)*СПРАВОЧНИК!$H$14+('ФАКТ ЧЕРН К3'!R9)*СПРАВОЧНИК!$I$14+('ФАКТ ЧЕРН К3'!S9)*СПРАВОЧНИК!$J$14+('ФАКТ ЧЕРН К3'!T9)*СПРАВОЧНИК!$H$15+('ФАКТ ЧЕРН К3'!U9)*СПРАВОЧНИК!$I$15+('ФАКТ ЧЕРН К3'!V9)*СПРАВОЧНИК!$J$15</f>
        <v/>
      </c>
      <c r="BM18" s="34" t="n"/>
      <c r="BP18" s="152">
        <f>BP17+7</f>
        <v/>
      </c>
      <c r="BQ18" s="17">
        <f>'ПЛАН ЧИСТ К3'!B9*СПРАВОЧНИК!$L$9+'ПЛАН ЧИСТ К3'!C9*СПРАВОЧНИК!$M$9+'ПЛАН ЧИСТ К3'!D9*СПРАВОЧНИК!$N$9+'ПЛАН ЧИСТ К3'!E9*СПРАВОЧНИК!$O$9+'ПЛАН ЧИСТ К3'!F9*СПРАВОЧНИК!$P$9+'ПЛАН ЧИСТ К3'!G9*СПРАВОЧНИК!$L$10+'ПЛАН ЧИСТ К3'!H9*СПРАВОЧНИК!$M$10+'ПЛАН ЧИСТ К3'!I9*СПРАВОЧНИК!$N$10+'ПЛАН ЧИСТ К3'!J9*СПРАВОЧНИК!$O$10+'ПЛАН ЧИСТ К3'!K9*СПРАВОЧНИК!$P$10+'ПЛАН ЧИСТ К3'!L9*СПРАВОЧНИК!$L$11+'ПЛАН ЧИСТ К3'!M9*СПРАВОЧНИК!$M$11+'ПЛАН ЧИСТ К3'!N9*СПРАВОЧНИК!$N$11+'ПЛАН ЧИСТ К3'!O9*СПРАВОЧНИК!$O$11+'ПЛАН ЧИСТ К3'!P9*СПРАВОЧНИК!$P$11+'ПЛАН ЧИСТ К3'!Q9*СПРАВОЧНИК!$L$12+'ПЛАН ЧИСТ К3'!R9*СПРАВОЧНИК!$M$12+'ПЛАН ЧИСТ К3'!S9*СПРАВОЧНИК!$N$12+'ПЛАН ЧИСТ К3'!T9*СПРАВОЧНИК!$O$12+'ПЛАН ЧИСТ К3'!U9*СПРАВОЧНИК!$P$12+'ПЛАН ЧИСТ К3'!V9*СПРАВОЧНИК!$L$13+'ПЛАН ЧИСТ К3'!W9*СПРАВОЧНИК!$M$13+'ПЛАН ЧИСТ К3'!X9*СПРАВОЧНИК!$N$13+'ПЛАН ЧИСТ К3'!Y9*СПРАВОЧНИК!$O$13+'ПЛАН ЧИСТ К3'!Z9*СПРАВОЧНИК!$P$13+'ПЛАН ЧИСТ К3'!AA9*СПРАВОЧНИК!$L$14+'ПЛАН ЧИСТ К3'!AB9*СПРАВОЧНИК!$M$14+'ПЛАН ЧИСТ К3'!AC9*СПРАВОЧНИК!$N$14+'ПЛАН ЧИСТ К3'!AD9*СПРАВОЧНИК!$O$14+'ПЛАН ЧИСТ К3'!AE9*СПРАВОЧНИК!$P$14+'ПЛАН ЧИСТ К3'!AF9*СПРАВОЧНИК!$L$15+'ПЛАН ЧИСТ К3'!AG9*СПРАВОЧНИК!$M$15+'ПЛАН ЧИСТ К3'!AH9*СПРАВОЧНИК!$N$15+'ПЛАН ЧИСТ К3'!AI9*СПРАВОЧНИК!$O$15+'ПЛАН ЧИСТ К3'!AJ9*СПРАВОЧНИК!$P$15</f>
        <v/>
      </c>
      <c r="BR18" s="31">
        <f>('ФАКТ ЧИСТ К3'!B9)*СПРАВОЧНИК!$L$9+('ФАКТ ЧИСТ К3'!C9)*СПРАВОЧНИК!$M$9+('ФАКТ ЧИСТ К3'!D9)*СПРАВОЧНИК!$N$9+('ФАКТ ЧИСТ К3'!E9)*СПРАВОЧНИК!$O$9+('ФАКТ ЧИСТ К3'!F9)*СПРАВОЧНИК!$P$9+('ФАКТ ЧИСТ К3'!G9)*СПРАВОЧНИК!$L$10+('ФАКТ ЧИСТ К3'!H9)*СПРАВОЧНИК!$M$10+('ФАКТ ЧИСТ К3'!I9)*СПРАВОЧНИК!$N$10+('ФАКТ ЧИСТ К3'!J9)*СПРАВОЧНИК!$O$10+('ФАКТ ЧИСТ К3'!K9)*СПРАВОЧНИК!$P$10+('ФАКТ ЧИСТ К3'!L9)*СПРАВОЧНИК!$L$11+('ФАКТ ЧИСТ К3'!M9)*СПРАВОЧНИК!$M$11+('ФАКТ ЧИСТ К3'!N9)*СПРАВОЧНИК!$N$11+('ФАКТ ЧИСТ К3'!O9)*СПРАВОЧНИК!$O$11+('ФАКТ ЧИСТ К3'!P9)*СПРАВОЧНИК!$P$11+('ФАКТ ЧИСТ К3'!Q9)*СПРАВОЧНИК!$L$12+('ФАКТ ЧИСТ К3'!R9)*СПРАВОЧНИК!$M$12+('ФАКТ ЧИСТ К3'!S9)*СПРАВОЧНИК!$N$12+('ФАКТ ЧИСТ К3'!T9)*СПРАВОЧНИК!$O$12+('ФАКТ ЧИСТ К3'!U9)*СПРАВОЧНИК!$P$12+('ФАКТ ЧИСТ К3'!V9)*СПРАВОЧНИК!$L$13+('ФАКТ ЧИСТ К3'!W9)*СПРАВОЧНИК!$M$13+('ФАКТ ЧИСТ К3'!X9)*СПРАВОЧНИК!$N$13+('ФАКТ ЧИСТ К3'!Y9)*СПРАВОЧНИК!$O$13+('ФАКТ ЧИСТ К3'!Z9)*СПРАВОЧНИК!$P$13+('ФАКТ ЧИСТ К3'!AA9)*СПРАВОЧНИК!$L$14+('ФАКТ ЧИСТ К3'!AB9)*СПРАВОЧНИК!$M$14+('ФАКТ ЧИСТ К3'!AC9)*СПРАВОЧНИК!$N$14+('ФАКТ ЧИСТ К3'!AD9)*СПРАВОЧНИК!$O$14+('ФАКТ ЧИСТ К3'!AE9)*СПРАВОЧНИК!$P$14+('ФАКТ ЧИСТ К3'!AF9)*СПРАВОЧНИК!$L$15+('ФАКТ ЧИСТ К3'!AG9)*СПРАВОЧНИК!$M$15+('ФАКТ ЧИСТ К3'!AH9)*СПРАВОЧНИК!$N$15+('ФАКТ ЧИСТ К3'!AI9)*СПРАВОЧНИК!$O$15+('ФАКТ ЧИСТ К3'!AJ9)*СПРАВОЧНИК!$P$15</f>
        <v/>
      </c>
      <c r="BS18" s="34" t="n"/>
      <c r="BV18" s="152">
        <f>BV17+7</f>
        <v/>
      </c>
      <c r="BW18" s="17">
        <f>U18*СПРАВОЧНИК!$K$28+AM18*СПРАВОЧНИК!$K$29+BE18*СПРАВОЧНИК!$K$30</f>
        <v/>
      </c>
      <c r="BX18" s="31">
        <f>V18*СПРАВОЧНИК!$K$28+AN18*СПРАВОЧНИК!$K$29+BF18*СПРАВОЧНИК!$K$30</f>
        <v/>
      </c>
      <c r="BY18" s="34" t="n"/>
      <c r="CB18" s="152">
        <f>CB17+7</f>
        <v/>
      </c>
      <c r="CC18" s="17">
        <f>AA18*СПРАВОЧНИК!$K$28+AS18*СПРАВОЧНИК!$K$29+BK18*СПРАВОЧНИК!$K$30</f>
        <v/>
      </c>
      <c r="CD18" s="31">
        <f>AB18*СПРАВОЧНИК!$K$28+AT18*СПРАВОЧНИК!$K$29+BL18*СПРАВОЧНИК!$K$30</f>
        <v/>
      </c>
      <c r="CE18" s="34" t="n"/>
      <c r="CH18" s="152">
        <f>CH17+7</f>
        <v/>
      </c>
      <c r="CI18" s="17">
        <f>AG18*СПРАВОЧНИК!$K$28+AY18*СПРАВОЧНИК!$K$29+BQ18*СПРАВОЧНИК!$K$30</f>
        <v/>
      </c>
      <c r="CJ18" s="31">
        <f>AH18*СПРАВОЧНИК!$K$28+AZ18*СПРАВОЧНИК!$K$29+BR18*СПРАВОЧНИК!$K$30</f>
        <v/>
      </c>
      <c r="CK18" s="34" t="n"/>
      <c r="CN18" s="152">
        <f>CN17+7</f>
        <v/>
      </c>
      <c r="CO18" s="17">
        <f>C18*СПРАВОЧНИК!$W$18+BW18*СПРАВОЧНИК!$W$19</f>
        <v/>
      </c>
      <c r="CP18" s="31">
        <f>D18*СПРАВОЧНИК!$W$18+BX18*СПРАВОЧНИК!$W$19</f>
        <v/>
      </c>
      <c r="CQ18" s="34" t="n"/>
      <c r="CT18" s="152">
        <f>CT17+7</f>
        <v/>
      </c>
      <c r="CU18" s="17">
        <f>I18*СПРАВОЧНИК!$W$18+CC18*СПРАВОЧНИК!$W$19</f>
        <v/>
      </c>
      <c r="CV18" s="31">
        <f>J18*СПРАВОЧНИК!$W$18+CD18*СПРАВОЧНИК!$W$19</f>
        <v/>
      </c>
      <c r="CW18" s="34" t="n"/>
      <c r="CZ18" s="152">
        <f>CZ17+7</f>
        <v/>
      </c>
      <c r="DA18" s="17">
        <f>O18*СПРАВОЧНИК!$W$18+CI18*СПРАВОЧНИК!$W$19</f>
        <v/>
      </c>
      <c r="DB18" s="31">
        <f>P18*СПРАВОЧНИК!$W$18+CJ18*СПРАВОЧНИК!$W$19</f>
        <v/>
      </c>
      <c r="DC18" s="34" t="n"/>
    </row>
    <row r="19">
      <c r="B19" s="152">
        <f>B18+7</f>
        <v/>
      </c>
      <c r="C19" s="17">
        <f>СПРАВОЧНИК!$E$3*('ПЛАН ЧЕРН ПОДЗЕМ'!B10*СПРАВОЧНИК!$H$3+'ПЛАН ЧЕРН ПОДЗЕМ'!C10*СПРАВОЧНИК!$I$3+'ПЛАН ЧЕРН ПОДЗЕМ'!D10*СПРАВОЧНИК!$J$3)+СПРАВОЧНИК!$F$3*('ПЛАН ЧИСТ ПОДЗЕМ'!B10*СПРАВОЧНИК!$L$3+'ПЛАН ЧИСТ ПОДЗЕМ'!C10*СПРАВОЧНИК!$M$3+'ПЛАН ЧИСТ ПОДЗЕМ'!D10*СПРАВОЧНИК!$N$3+'ПЛАН ЧИСТ ПОДЗЕМ'!E10*СПРАВОЧНИК!$O$3+'ПЛАН ЧИСТ ПОДЗЕМ'!F10*СПРАВОЧНИК!$P$3)+СПРАВОЧНИК!$E$4*('ПЛАН ЧЕРН ПОДЗЕМ'!E10*СПРАВОЧНИК!$H$4+'ПЛАН ЧЕРН ПОДЗЕМ'!F10*СПРАВОЧНИК!$I$4+'ПЛАН ЧЕРН ПОДЗЕМ'!G10*СПРАВОЧНИК!$J$4)+СПРАВОЧНИК!$F$4*('ПЛАН ЧИСТ ПОДЗЕМ'!G10*СПРАВОЧНИК!$L$4+'ПЛАН ЧИСТ ПОДЗЕМ'!H10*СПРАВОЧНИК!$M$4+'ПЛАН ЧИСТ ПОДЗЕМ'!I10*СПРАВОЧНИК!$N$4+'ПЛАН ЧИСТ ПОДЗЕМ'!J10*СПРАВОЧНИК!$O$4+'ПЛАН ЧИСТ ПОДЗЕМ'!K10*СПРАВОЧНИК!$P$4)+СПРАВОЧНИК!$E$5*('ПЛАН ЧЕРН ПОДЗЕМ'!H10*СПРАВОЧНИК!$H$5+'ПЛАН ЧЕРН ПОДЗЕМ'!I10*СПРАВОЧНИК!$I$5+'ПЛАН ЧЕРН ПОДЗЕМ'!J10*СПРАВОЧНИК!$J$5)+СПРАВОЧНИК!$F$5*('ПЛАН ЧИСТ ПОДЗЕМ'!L10*СПРАВОЧНИК!$L$5+'ПЛАН ЧИСТ ПОДЗЕМ'!M10*СПРАВОЧНИК!$M$5+'ПЛАН ЧИСТ ПОДЗЕМ'!N10*СПРАВОЧНИК!$N$5+'ПЛАН ЧИСТ ПОДЗЕМ'!O10*СПРАВОЧНИК!$O$5+'ПЛАН ЧИСТ ПОДЗЕМ'!P10*СПРАВОЧНИК!$P$5)+СПРАВОЧНИК!$E$6*('ПЛАН ЧЕРН ПОДЗЕМ'!K10*СПРАВОЧНИК!$H$6+'ПЛАН ЧЕРН ПОДЗЕМ'!L10*СПРАВОЧНИК!$I$6+'ПЛАН ЧЕРН ПОДЗЕМ'!M10*СПРАВОЧНИК!$J$6)+СПРАВОЧНИК!$F$6*('ПЛАН ЧИСТ ПОДЗЕМ'!Q10*СПРАВОЧНИК!$L$6+'ПЛАН ЧИСТ ПОДЗЕМ'!R10*СПРАВОЧНИК!$M$6+'ПЛАН ЧИСТ ПОДЗЕМ'!S10*СПРАВОЧНИК!$N$6+'ПЛАН ЧИСТ ПОДЗЕМ'!T10*СПРАВОЧНИК!$O$6+'ПЛАН ЧИСТ ПОДЗЕМ'!U10*СПРАВОЧНИК!$P$6)+СПРАВОЧНИК!$E$7*('ПЛАН ЧЕРН ПОДЗЕМ'!N10*СПРАВОЧНИК!$H$7+'ПЛАН ЧЕРН ПОДЗЕМ'!O10*СПРАВОЧНИК!$I$7+'ПЛАН ЧЕРН ПОДЗЕМ'!P10*СПРАВОЧНИК!$J$7)+СПРАВОЧНИК!$F$7*('ПЛАН ЧИСТ ПОДЗЕМ'!V10*СПРАВОЧНИК!$L$7+'ПЛАН ЧИСТ ПОДЗЕМ'!W10*СПРАВОЧНИК!$M$7+'ПЛАН ЧИСТ ПОДЗЕМ'!X10*СПРАВОЧНИК!$N$7+'ПЛАН ЧИСТ ПОДЗЕМ'!Y10*СПРАВОЧНИК!$O$7+'ПЛАН ЧИСТ ПОДЗЕМ'!Z10*СПРАВОЧНИК!$P$7)+СПРАВОЧНИК!$E$8*('ПЛАН ЧЕРН ПОДЗЕМ'!Q10*СПРАВОЧНИК!$H$8+'ПЛАН ЧЕРН ПОДЗЕМ'!R10*СПРАВОЧНИК!$I$8+'ПЛАН ЧЕРН ПОДЗЕМ'!S10*СПРАВОЧНИК!$J$8)+СПРАВОЧНИК!$F$8*('ПЛАН ЧИСТ ПОДЗЕМ'!AA10*СПРАВОЧНИК!$L$8+'ПЛАН ЧИСТ ПОДЗЕМ'!AB10*СПРАВОЧНИК!$M$8+'ПЛАН ЧИСТ ПОДЗЕМ'!AC10*СПРАВОЧНИК!$N$8+'ПЛАН ЧИСТ ПОДЗЕМ'!AD10*СПРАВОЧНИК!$O$8+'ПЛАН ЧИСТ ПОДЗЕМ'!AE10*СПРАВОЧНИК!$P$8)</f>
        <v/>
      </c>
      <c r="D19" s="31">
        <f>СПРАВОЧНИК!$E$3*('ФАКТ ЧЕРН ПОДЗЕМ'!B10*СПРАВОЧНИК!$H$3+'ФАКТ ЧЕРН ПОДЗЕМ'!C10*СПРАВОЧНИК!$I$3+'ФАКТ ЧЕРН ПОДЗЕМ'!D10*СПРАВОЧНИК!$J$3)+СПРАВОЧНИК!$F$3*('ФАКТ ЧИСТ ПОДЗЕМ'!B10*СПРАВОЧНИК!$L$3+'ФАКТ ЧИСТ ПОДЗЕМ'!C10*СПРАВОЧНИК!$M$3+'ФАКТ ЧИСТ ПОДЗЕМ'!D10*СПРАВОЧНИК!$N$3+'ФАКТ ЧИСТ ПОДЗЕМ'!E10*СПРАВОЧНИК!$O$3+'ФАКТ ЧИСТ ПОДЗЕМ'!F10*СПРАВОЧНИК!$P$3)+СПРАВОЧНИК!$E$4*('ФАКТ ЧЕРН ПОДЗЕМ'!E10*СПРАВОЧНИК!$H$4+'ФАКТ ЧЕРН ПОДЗЕМ'!F10*СПРАВОЧНИК!$I$4+'ФАКТ ЧЕРН ПОДЗЕМ'!G10*СПРАВОЧНИК!$J$4)+СПРАВОЧНИК!$F$4*('ФАКТ ЧИСТ ПОДЗЕМ'!G10*СПРАВОЧНИК!$L$4+'ФАКТ ЧИСТ ПОДЗЕМ'!H10*СПРАВОЧНИК!$M$4+'ФАКТ ЧИСТ ПОДЗЕМ'!I10*СПРАВОЧНИК!$N$4+'ФАКТ ЧИСТ ПОДЗЕМ'!J10*СПРАВОЧНИК!$O$4+'ФАКТ ЧИСТ ПОДЗЕМ'!K10*СПРАВОЧНИК!$P$4)+СПРАВОЧНИК!$E$5*('ФАКТ ЧЕРН ПОДЗЕМ'!H10*СПРАВОЧНИК!$H$5+'ФАКТ ЧЕРН ПОДЗЕМ'!I10*СПРАВОЧНИК!$I$5+'ФАКТ ЧЕРН ПОДЗЕМ'!J10*СПРАВОЧНИК!$J$5)+СПРАВОЧНИК!$F$5*('ФАКТ ЧИСТ ПОДЗЕМ'!L10*СПРАВОЧНИК!$L$5+'ФАКТ ЧИСТ ПОДЗЕМ'!M10*СПРАВОЧНИК!$M$5+'ФАКТ ЧИСТ ПОДЗЕМ'!N10*СПРАВОЧНИК!$N$5+'ФАКТ ЧИСТ ПОДЗЕМ'!O10*СПРАВОЧНИК!$O$5+'ФАКТ ЧИСТ ПОДЗЕМ'!P10*СПРАВОЧНИК!$P$5)+СПРАВОЧНИК!$E$6*('ФАКТ ЧЕРН ПОДЗЕМ'!K10*СПРАВОЧНИК!$H$6+'ФАКТ ЧЕРН ПОДЗЕМ'!L10*СПРАВОЧНИК!$I$6+'ФАКТ ЧЕРН ПОДЗЕМ'!M10*СПРАВОЧНИК!$J$6)+СПРАВОЧНИК!$F$6*('ФАКТ ЧИСТ ПОДЗЕМ'!Q10*СПРАВОЧНИК!$L$6+'ФАКТ ЧИСТ ПОДЗЕМ'!R10*СПРАВОЧНИК!$M$6+'ФАКТ ЧИСТ ПОДЗЕМ'!S10*СПРАВОЧНИК!$N$6+'ФАКТ ЧИСТ ПОДЗЕМ'!T10*СПРАВОЧНИК!$O$6+'ФАКТ ЧИСТ ПОДЗЕМ'!U10*СПРАВОЧНИК!$P$6)+СПРАВОЧНИК!$E$7*('ФАКТ ЧЕРН ПОДЗЕМ'!N10*СПРАВОЧНИК!$H$7+'ФАКТ ЧЕРН ПОДЗЕМ'!O10*СПРАВОЧНИК!$I$7+'ФАКТ ЧЕРН ПОДЗЕМ'!P10*СПРАВОЧНИК!$J$7)+СПРАВОЧНИК!$F$7*('ФАКТ ЧИСТ ПОДЗЕМ'!V10*СПРАВОЧНИК!$L$7+'ФАКТ ЧИСТ ПОДЗЕМ'!W10*СПРАВОЧНИК!$M$7+'ФАКТ ЧИСТ ПОДЗЕМ'!X10*СПРАВОЧНИК!$N$7+'ФАКТ ЧИСТ ПОДЗЕМ'!Y10*СПРАВОЧНИК!$O$7+'ФАКТ ЧИСТ ПОДЗЕМ'!Z10*СПРАВОЧНИК!$P$7)+СПРАВОЧНИК!$E$8*('ФАКТ ЧЕРН ПОДЗЕМ'!Q10*СПРАВОЧНИК!$H$8+'ФАКТ ЧЕРН ПОДЗЕМ'!R10*СПРАВОЧНИК!$I$8+'ФАКТ ЧЕРН ПОДЗЕМ'!S10*СПРАВОЧНИК!$J$8)+СПРАВОЧНИК!$F$8*('ФАКТ ЧИСТ ПОДЗЕМ'!AA10*СПРАВОЧНИК!$L$8+'ФАКТ ЧИСТ ПОДЗЕМ'!AB10*СПРАВОЧНИК!$M$8+'ФАКТ ЧИСТ ПОДЗЕМ'!AC10*СПРАВОЧНИК!$N$8+'ФАКТ ЧИСТ ПОДЗЕМ'!AD10*СПРАВОЧНИК!$O$8+'ФАКТ ЧИСТ ПОДЗЕМ'!AE10*СПРАВОЧНИК!$P$8)</f>
        <v/>
      </c>
      <c r="E19" s="34" t="n"/>
      <c r="H19" s="152">
        <f>H18+7</f>
        <v/>
      </c>
      <c r="I19" s="17">
        <f>'ПЛАН ЧЕРН ПОДЗЕМ'!B10*СПРАВОЧНИК!$H$3+'ПЛАН ЧЕРН ПОДЗЕМ'!C10*СПРАВОЧНИК!$I$3+'ПЛАН ЧЕРН ПОДЗЕМ'!D10*СПРАВОЧНИК!$J$3+'ПЛАН ЧЕРН ПОДЗЕМ'!E10*СПРАВОЧНИК!$H$4+'ПЛАН ЧЕРН ПОДЗЕМ'!F10*СПРАВОЧНИК!$I$4+'ПЛАН ЧЕРН ПОДЗЕМ'!G10*СПРАВОЧНИК!$J$4+'ПЛАН ЧЕРН ПОДЗЕМ'!H10*СПРАВОЧНИК!$H$5+'ПЛАН ЧЕРН ПОДЗЕМ'!I10*СПРАВОЧНИК!$I$5+'ПЛАН ЧЕРН ПОДЗЕМ'!J10*СПРАВОЧНИК!$J$5+'ПЛАН ЧЕРН ПОДЗЕМ'!K10*СПРАВОЧНИК!$H$6+'ПЛАН ЧЕРН ПОДЗЕМ'!L10*СПРАВОЧНИК!$I$6+'ПЛАН ЧЕРН ПОДЗЕМ'!M10*СПРАВОЧНИК!$J$6+'ПЛАН ЧЕРН ПОДЗЕМ'!N10*СПРАВОЧНИК!$H$7+'ПЛАН ЧЕРН ПОДЗЕМ'!O10*СПРАВОЧНИК!$I$7+'ПЛАН ЧЕРН ПОДЗЕМ'!P10*СПРАВОЧНИК!$J$7+'ПЛАН ЧЕРН ПОДЗЕМ'!Q10*СПРАВОЧНИК!$H$8+'ПЛАН ЧЕРН ПОДЗЕМ'!R10*СПРАВОЧНИК!$I$8+'ПЛАН ЧЕРН ПОДЗЕМ'!S10*СПРАВОЧНИК!$J$8</f>
        <v/>
      </c>
      <c r="J19" s="31">
        <f>('ФАКТ ЧЕРН ПОДЗЕМ'!B10)*СПРАВОЧНИК!$H$3+('ФАКТ ЧЕРН ПОДЗЕМ'!C10)*СПРАВОЧНИК!$I$3+('ФАКТ ЧЕРН ПОДЗЕМ'!D10)*СПРАВОЧНИК!$J$3+('ФАКТ ЧЕРН ПОДЗЕМ'!E10)*СПРАВОЧНИК!$H$4+('ФАКТ ЧЕРН ПОДЗЕМ'!F10)*СПРАВОЧНИК!$I$4+('ФАКТ ЧЕРН ПОДЗЕМ'!G10)*СПРАВОЧНИК!$J$4+('ФАКТ ЧЕРН ПОДЗЕМ'!H10)*СПРАВОЧНИК!$H$5+('ФАКТ ЧЕРН ПОДЗЕМ'!I10)*СПРАВОЧНИК!$I$5+('ФАКТ ЧЕРН ПОДЗЕМ'!J10)*СПРАВОЧНИК!$J$5+('ФАКТ ЧЕРН ПОДЗЕМ'!K10)*СПРАВОЧНИК!$H$6+('ФАКТ ЧЕРН ПОДЗЕМ'!L10)*СПРАВОЧНИК!$I$6+('ФАКТ ЧЕРН ПОДЗЕМ'!M10)*СПРАВОЧНИК!$J$6+('ФАКТ ЧЕРН ПОДЗЕМ'!N10)*СПРАВОЧНИК!$H$7+('ФАКТ ЧЕРН ПОДЗЕМ'!O10)*СПРАВОЧНИК!$I$7+('ФАКТ ЧЕРН ПОДЗЕМ'!P10)*СПРАВОЧНИК!$J$7+('ФАКТ ЧЕРН ПОДЗЕМ'!Q10)*СПРАВОЧНИК!$H$8+('ФАКТ ЧЕРН ПОДЗЕМ'!R10)*СПРАВОЧНИК!$I$8+('ФАКТ ЧЕРН ПОДЗЕМ'!S10)*СПРАВОЧНИК!$J$8</f>
        <v/>
      </c>
      <c r="K19" s="34" t="n"/>
      <c r="N19" s="152">
        <f>N18+7</f>
        <v/>
      </c>
      <c r="O19" s="17">
        <f>'ПЛАН ЧИСТ ПОДЗЕМ'!B10*СПРАВОЧНИК!$L$3+'ПЛАН ЧИСТ ПОДЗЕМ'!C10*СПРАВОЧНИК!$M$3+'ПЛАН ЧИСТ ПОДЗЕМ'!D10*СПРАВОЧНИК!$N$3+'ПЛАН ЧИСТ ПОДЗЕМ'!E10*СПРАВОЧНИК!$O$3+'ПЛАН ЧИСТ ПОДЗЕМ'!F10*СПРАВОЧНИК!$P$3+'ПЛАН ЧИСТ ПОДЗЕМ'!G10*СПРАВОЧНИК!$L$4+'ПЛАН ЧИСТ ПОДЗЕМ'!H10*СПРАВОЧНИК!$M$4+'ПЛАН ЧИСТ ПОДЗЕМ'!I10*СПРАВОЧНИК!$N$4+'ПЛАН ЧИСТ ПОДЗЕМ'!J10*СПРАВОЧНИК!$O$4+'ПЛАН ЧИСТ ПОДЗЕМ'!K10*СПРАВОЧНИК!$P$4+'ПЛАН ЧИСТ ПОДЗЕМ'!L10*СПРАВОЧНИК!$L$5+'ПЛАН ЧИСТ ПОДЗЕМ'!M10*СПРАВОЧНИК!$M$5+'ПЛАН ЧИСТ ПОДЗЕМ'!N10*СПРАВОЧНИК!$N$5+'ПЛАН ЧИСТ ПОДЗЕМ'!O10*СПРАВОЧНИК!$O$5+'ПЛАН ЧИСТ ПОДЗЕМ'!P10*СПРАВОЧНИК!$P$5+'ПЛАН ЧИСТ ПОДЗЕМ'!Q10*СПРАВОЧНИК!$L$6+'ПЛАН ЧИСТ ПОДЗЕМ'!R10*СПРАВОЧНИК!$M$6+'ПЛАН ЧИСТ ПОДЗЕМ'!S10*СПРАВОЧНИК!$N$6+'ПЛАН ЧИСТ ПОДЗЕМ'!T10*СПРАВОЧНИК!$O$6+'ПЛАН ЧИСТ ПОДЗЕМ'!U10*СПРАВОЧНИК!$P$6+'ПЛАН ЧИСТ ПОДЗЕМ'!V10*СПРАВОЧНИК!$L$7+'ПЛАН ЧИСТ ПОДЗЕМ'!W10*СПРАВОЧНИК!$M$7+'ПЛАН ЧИСТ ПОДЗЕМ'!X10*СПРАВОЧНИК!$N$7+'ПЛАН ЧИСТ ПОДЗЕМ'!Y10*СПРАВОЧНИК!$O$7+'ПЛАН ЧИСТ ПОДЗЕМ'!Z10*СПРАВОЧНИК!$P$7+'ПЛАН ЧИСТ ПОДЗЕМ'!AA10*СПРАВОЧНИК!$L$8+'ПЛАН ЧИСТ ПОДЗЕМ'!AB10*СПРАВОЧНИК!$M$8+'ПЛАН ЧИСТ ПОДЗЕМ'!AC10*СПРАВОЧНИК!$N$8+'ПЛАН ЧИСТ ПОДЗЕМ'!AD10*СПРАВОЧНИК!$O$8+'ПЛАН ЧИСТ ПОДЗЕМ'!AE10*СПРАВОЧНИК!$P$8</f>
        <v/>
      </c>
      <c r="P19" s="31">
        <f>('ФАКТ ЧИСТ ПОДЗЕМ'!B10)*СПРАВОЧНИК!$L$3+('ФАКТ ЧИСТ ПОДЗЕМ'!C10)*СПРАВОЧНИК!$M$3+('ФАКТ ЧИСТ ПОДЗЕМ'!D10)*СПРАВОЧНИК!$N$3+('ФАКТ ЧИСТ ПОДЗЕМ'!E10)*СПРАВОЧНИК!$O$3+('ФАКТ ЧИСТ ПОДЗЕМ'!F10)*СПРАВОЧНИК!$P$3+('ФАКТ ЧИСТ ПОДЗЕМ'!G10)*СПРАВОЧНИК!$L$4+('ФАКТ ЧИСТ ПОДЗЕМ'!H10)*СПРАВОЧНИК!$M$4+('ФАКТ ЧИСТ ПОДЗЕМ'!I10)*СПРАВОЧНИК!$N$4+('ФАКТ ЧИСТ ПОДЗЕМ'!J10)*СПРАВОЧНИК!$O$4+('ФАКТ ЧИСТ ПОДЗЕМ'!K10)*СПРАВОЧНИК!$P$4+('ФАКТ ЧИСТ ПОДЗЕМ'!L10)*СПРАВОЧНИК!$L$5+('ФАКТ ЧИСТ ПОДЗЕМ'!M10)*СПРАВОЧНИК!$M$5+('ФАКТ ЧИСТ ПОДЗЕМ'!N10)*СПРАВОЧНИК!$N$5+('ФАКТ ЧИСТ ПОДЗЕМ'!O10)*СПРАВОЧНИК!$O$5+('ФАКТ ЧИСТ ПОДЗЕМ'!P10)*СПРАВОЧНИК!$P$5+('ФАКТ ЧИСТ ПОДЗЕМ'!Q10)*СПРАВОЧНИК!$L$6+('ФАКТ ЧИСТ ПОДЗЕМ'!R10)*СПРАВОЧНИК!$M$6+('ФАКТ ЧИСТ ПОДЗЕМ'!S10)*СПРАВОЧНИК!$N$6+('ФАКТ ЧИСТ ПОДЗЕМ'!T10)*СПРАВОЧНИК!$O$6+('ФАКТ ЧИСТ ПОДЗЕМ'!U10)*СПРАВОЧНИК!$P$6+('ФАКТ ЧИСТ ПОДЗЕМ'!V10)*СПРАВОЧНИК!$L$7+('ФАКТ ЧИСТ ПОДЗЕМ'!W10)*СПРАВОЧНИК!$M$7+('ФАКТ ЧИСТ ПОДЗЕМ'!X10)*СПРАВОЧНИК!$N$7+('ФАКТ ЧИСТ ПОДЗЕМ'!Y10)*СПРАВОЧНИК!$O$7+('ФАКТ ЧИСТ ПОДЗЕМ'!Z10)*СПРАВОЧНИК!$P$7+('ФАКТ ЧИСТ ПОДЗЕМ'!AA10)*СПРАВОЧНИК!$L$8+('ФАКТ ЧИСТ ПОДЗЕМ'!AB10)*СПРАВОЧНИК!$M$8+('ФАКТ ЧИСТ ПОДЗЕМ'!AC10)*СПРАВОЧНИК!$N$8+('ФАКТ ЧИСТ ПОДЗЕМ'!AD10)*СПРАВОЧНИК!$O$8+('ФАКТ ЧИСТ ПОДЗЕМ'!AE10)*СПРАВОЧНИК!$P$8</f>
        <v/>
      </c>
      <c r="Q19" s="34" t="n"/>
      <c r="T19" s="152">
        <f>T18+7</f>
        <v/>
      </c>
      <c r="U19" s="17">
        <f>СПРАВОЧНИК!$E$9*('ПЛАН ЧЕРН К1'!B10*СПРАВОЧНИК!$H$9+'ПЛАН ЧЕРН К1'!C10*СПРАВОЧНИК!$I$9+'ПЛАН ЧЕРН К1'!D10*СПРАВОЧНИК!$J$9)+СПРАВОЧНИК!$F$9*('ПЛАН ЧИСТ К1'!B10*СПРАВОЧНИК!$L$9+'ПЛАН ЧИСТ К1'!C10*СПРАВОЧНИК!$M$9+'ПЛАН ЧИСТ К1'!D10*СПРАВОЧНИК!$N$9+'ПЛАН ЧИСТ К1'!E10*СПРАВОЧНИК!$O$9+'ПЛАН ЧИСТ К1'!F10*СПРАВОЧНИК!$P$9)+СПРАВОЧНИК!$E$10*('ПЛАН ЧЕРН К1'!E10*СПРАВОЧНИК!$H$10+'ПЛАН ЧЕРН К1'!F10*СПРАВОЧНИК!$I$10+'ПЛАН ЧЕРН К1'!G10*СПРАВОЧНИК!$J$10)+СПРАВОЧНИК!$F$10*('ПЛАН ЧИСТ К1'!G10*СПРАВОЧНИК!$L$10+'ПЛАН ЧИСТ К1'!H10*СПРАВОЧНИК!$M$10+'ПЛАН ЧИСТ К1'!I10*СПРАВОЧНИК!$N$10+'ПЛАН ЧИСТ К1'!J10*СПРАВОЧНИК!$O$10+'ПЛАН ЧИСТ К1'!K10*СПРАВОЧНИК!$P$10)+СПРАВОЧНИК!$E$11*('ПЛАН ЧЕРН К1'!H10*СПРАВОЧНИК!$H$11+'ПЛАН ЧЕРН К1'!I10*СПРАВОЧНИК!$I$11+'ПЛАН ЧЕРН К1'!J10*СПРАВОЧНИК!$J$11)+СПРАВОЧНИК!$F$11*('ПЛАН ЧИСТ К1'!L10*СПРАВОЧНИК!$L$11+'ПЛАН ЧИСТ К1'!M10*СПРАВОЧНИК!$M$11+'ПЛАН ЧИСТ К1'!N10*СПРАВОЧНИК!$N$11+'ПЛАН ЧИСТ К1'!O10*СПРАВОЧНИК!$O$11+'ПЛАН ЧИСТ К1'!P10*СПРАВОЧНИК!$P$11)+СПРАВОЧНИК!$E$12*('ПЛАН ЧЕРН К1'!K10*СПРАВОЧНИК!$H$12+'ПЛАН ЧЕРН К1'!L10*СПРАВОЧНИК!$I$12+'ПЛАН ЧЕРН К1'!M10*СПРАВОЧНИК!$J$12)+СПРАВОЧНИК!$F$12*('ПЛАН ЧИСТ К1'!Q10*СПРАВОЧНИК!$L$12+'ПЛАН ЧИСТ К1'!R10*СПРАВОЧНИК!$M$12+'ПЛАН ЧИСТ К1'!S10*СПРАВОЧНИК!$N$12+'ПЛАН ЧИСТ К1'!T10*СПРАВОЧНИК!$O$12+'ПЛАН ЧИСТ К1'!U10*СПРАВОЧНИК!$P$12)+СПРАВОЧНИК!$E$13*('ПЛАН ЧЕРН К1'!N10*СПРАВОЧНИК!$H$13+'ПЛАН ЧЕРН К1'!O10*СПРАВОЧНИК!$I$13+'ПЛАН ЧЕРН К1'!P10*СПРАВОЧНИК!$J$13)+СПРАВОЧНИК!$F$13*('ПЛАН ЧИСТ К1'!V10*СПРАВОЧНИК!$L$13+'ПЛАН ЧИСТ К1'!W10*СПРАВОЧНИК!$M$13+'ПЛАН ЧИСТ К1'!X10*СПРАВОЧНИК!$N$13+'ПЛАН ЧИСТ К1'!Y10*СПРАВОЧНИК!$O$13+'ПЛАН ЧИСТ К1'!Z10*СПРАВОЧНИК!$P$13)+СПРАВОЧНИК!$E$14*('ПЛАН ЧЕРН К1'!Q10*СПРАВОЧНИК!$H$14+'ПЛАН ЧЕРН К1'!R10*СПРАВОЧНИК!$I$14+'ПЛАН ЧЕРН К1'!S10*СПРАВОЧНИК!$J$14)+СПРАВОЧНИК!$F$14*('ПЛАН ЧИСТ К1'!AA10*СПРАВОЧНИК!$L$14+'ПЛАН ЧИСТ К1'!AB10*СПРАВОЧНИК!$M$14+'ПЛАН ЧИСТ К1'!AC10*СПРАВОЧНИК!$N$14+'ПЛАН ЧИСТ К1'!AD10*СПРАВОЧНИК!$O$14+'ПЛАН ЧИСТ К1'!AE10*СПРАВОЧНИК!$P$14)+СПРАВОЧНИК!$E$15*('ПЛАН ЧЕРН К1'!T10*СПРАВОЧНИК!$H$15+'ПЛАН ЧЕРН К1'!U10*СПРАВОЧНИК!$I$15+'ПЛАН ЧЕРН К1'!V10*СПРАВОЧНИК!$J$15)+СПРАВОЧНИК!$F$15*('ПЛАН ЧИСТ К1'!AF10*СПРАВОЧНИК!$L$15+'ПЛАН ЧИСТ К1'!AG10*СПРАВОЧНИК!$M$15+'ПЛАН ЧИСТ К1'!AH10*СПРАВОЧНИК!$N$15+'ПЛАН ЧИСТ К1'!AI10*СПРАВОЧНИК!$O$15+'ПЛАН ЧИСТ К1'!AJ10*СПРАВОЧНИК!$P$15)</f>
        <v/>
      </c>
      <c r="V19" s="31">
        <f>СПРАВОЧНИК!$E$9*('ФАКТ ЧЕРН К1'!B10*СПРАВОЧНИК!$H$9+'ФАКТ ЧЕРН К1'!C10*СПРАВОЧНИК!$I$9+'ФАКТ ЧЕРН К1'!D10*СПРАВОЧНИК!$J$9)+СПРАВОЧНИК!$F$9*('ФАКТ ЧИСТ К1'!B10*СПРАВОЧНИК!$L$9+'ФАКТ ЧИСТ К1'!C10*СПРАВОЧНИК!$M$9+'ФАКТ ЧИСТ К1'!D10*СПРАВОЧНИК!$N$9+'ФАКТ ЧИСТ К1'!E10*СПРАВОЧНИК!$O$9+'ФАКТ ЧИСТ К1'!F10*СПРАВОЧНИК!$P$9)+СПРАВОЧНИК!$E$10*('ФАКТ ЧЕРН К1'!E10*СПРАВОЧНИК!$H$10+'ФАКТ ЧЕРН К1'!F10*СПРАВОЧНИК!$I$10+'ФАКТ ЧЕРН К1'!G10*СПРАВОЧНИК!$J$10)+СПРАВОЧНИК!$F$10*('ФАКТ ЧИСТ К1'!G10*СПРАВОЧНИК!$L$10+'ФАКТ ЧИСТ К1'!H10*СПРАВОЧНИК!$M$10+'ФАКТ ЧИСТ К1'!I10*СПРАВОЧНИК!$N$10+'ФАКТ ЧИСТ К1'!J10*СПРАВОЧНИК!$O$10+'ФАКТ ЧИСТ К1'!K10*СПРАВОЧНИК!$P$10)+СПРАВОЧНИК!$E$11*('ФАКТ ЧЕРН К1'!H10*СПРАВОЧНИК!$H$11+'ФАКТ ЧЕРН К1'!I10*СПРАВОЧНИК!$I$11+'ФАКТ ЧЕРН К1'!J10*СПРАВОЧНИК!$J$11)+СПРАВОЧНИК!$F$11*('ФАКТ ЧИСТ К1'!L10*СПРАВОЧНИК!$L$11+'ФАКТ ЧИСТ К1'!M10*СПРАВОЧНИК!$M$11+'ФАКТ ЧИСТ К1'!N10*СПРАВОЧНИК!$N$11+'ФАКТ ЧИСТ К1'!O10*СПРАВОЧНИК!$O$11+'ФАКТ ЧИСТ К1'!P10*СПРАВОЧНИК!$P$11)+СПРАВОЧНИК!$E$12*('ФАКТ ЧЕРН К1'!K10*СПРАВОЧНИК!$H$12+'ФАКТ ЧЕРН К1'!L10*СПРАВОЧНИК!$I$12+'ФАКТ ЧЕРН К1'!M10*СПРАВОЧНИК!$J$12)+СПРАВОЧНИК!$F$12*('ФАКТ ЧИСТ К1'!Q10*СПРАВОЧНИК!$L$12+'ФАКТ ЧИСТ К1'!R10*СПРАВОЧНИК!$M$12+'ФАКТ ЧИСТ К1'!S10*СПРАВОЧНИК!$N$12+'ФАКТ ЧИСТ К1'!T10*СПРАВОЧНИК!$O$12+'ФАКТ ЧИСТ К1'!U10*СПРАВОЧНИК!$P$12)+СПРАВОЧНИК!$E$13*('ФАКТ ЧЕРН К1'!N10*СПРАВОЧНИК!$H$13+'ФАКТ ЧЕРН К1'!O10*СПРАВОЧНИК!$I$13+'ФАКТ ЧЕРН К1'!P10*СПРАВОЧНИК!$J$13)+СПРАВОЧНИК!$F$13*('ФАКТ ЧИСТ К1'!V10*СПРАВОЧНИК!$L$13+'ФАКТ ЧИСТ К1'!W10*СПРАВОЧНИК!$M$13+'ФАКТ ЧИСТ К1'!X10*СПРАВОЧНИК!$N$13+'ФАКТ ЧИСТ К1'!Y10*СПРАВОЧНИК!$O$13+'ФАКТ ЧИСТ К1'!Z10*СПРАВОЧНИК!$P$13)+СПРАВОЧНИК!$E$14*('ФАКТ ЧЕРН К1'!Q10*СПРАВОЧНИК!$H$14+'ФАКТ ЧЕРН К1'!R10*СПРАВОЧНИК!$I$14+'ФАКТ ЧЕРН К1'!S10*СПРАВОЧНИК!$J$14)+СПРАВОЧНИК!$F$14*('ФАКТ ЧИСТ К1'!AA10*СПРАВОЧНИК!$L$14+'ФАКТ ЧИСТ К1'!AB10*СПРАВОЧНИК!$M$14+'ФАКТ ЧИСТ К1'!AC10*СПРАВОЧНИК!$N$14+'ФАКТ ЧИСТ К1'!AD10*СПРАВОЧНИК!$O$14+'ФАКТ ЧИСТ К1'!AE10*СПРАВОЧНИК!$P$14)+СПРАВОЧНИК!$E$15*('ФАКТ ЧЕРН К1'!T10*СПРАВОЧНИК!$H$15+'ФАКТ ЧЕРН К1'!U10*СПРАВОЧНИК!$I$15+'ФАКТ ЧЕРН К1'!V10*СПРАВОЧНИК!$J$15)+СПРАВОЧНИК!$F$15*('ФАКТ ЧИСТ К1'!AF10*СПРАВОЧНИК!$L$15+'ФАКТ ЧИСТ К1'!AG10*СПРАВОЧНИК!$M$15+'ФАКТ ЧИСТ К1'!AH10*СПРАВОЧНИК!$N$15+'ФАКТ ЧИСТ К1'!AI10*СПРАВОЧНИК!$O$15+'ФАКТ ЧИСТ К1'!AJ10*СПРАВОЧНИК!$P$15)</f>
        <v/>
      </c>
      <c r="W19" s="34" t="n"/>
      <c r="Z19" s="152">
        <f>Z18+7</f>
        <v/>
      </c>
      <c r="AA19" s="17">
        <f>'ПЛАН ЧЕРН К1'!B10*СПРАВОЧНИК!$H$9+'ПЛАН ЧЕРН К1'!C10*СПРАВОЧНИК!$I$9+'ПЛАН ЧЕРН К1'!D10*СПРАВОЧНИК!$J$9+'ПЛАН ЧЕРН К1'!E10*СПРАВОЧНИК!$H$10+'ПЛАН ЧЕРН К1'!F10*СПРАВОЧНИК!$I$10+'ПЛАН ЧЕРН К1'!G10*СПРАВОЧНИК!$J$10+'ПЛАН ЧЕРН К1'!H10*СПРАВОЧНИК!$H$11+'ПЛАН ЧЕРН К1'!I10*СПРАВОЧНИК!$I$11+'ПЛАН ЧЕРН К1'!J10*СПРАВОЧНИК!$J$11+'ПЛАН ЧЕРН К1'!K10*СПРАВОЧНИК!$H$12+'ПЛАН ЧЕРН К1'!L10*СПРАВОЧНИК!$I$12+'ПЛАН ЧЕРН К1'!M10*СПРАВОЧНИК!$J$12+'ПЛАН ЧЕРН К1'!N10*СПРАВОЧНИК!$H$13+'ПЛАН ЧЕРН К1'!O10*СПРАВОЧНИК!$I$13+'ПЛАН ЧЕРН К1'!P10*СПРАВОЧНИК!$J$13+'ПЛАН ЧЕРН К1'!Q10*СПРАВОЧНИК!$H$14+'ПЛАН ЧЕРН К1'!R10*СПРАВОЧНИК!$I$14+'ПЛАН ЧЕРН К1'!S10*СПРАВОЧНИК!$J$14+'ПЛАН ЧЕРН К1'!T10*СПРАВОЧНИК!$H$15+'ПЛАН ЧЕРН К1'!U10*СПРАВОЧНИК!$I$15+'ПЛАН ЧЕРН К1'!V10*СПРАВОЧНИК!$J$15</f>
        <v/>
      </c>
      <c r="AB19" s="31">
        <f>('ФАКТ ЧЕРН К1'!B10)*СПРАВОЧНИК!$H$9+('ФАКТ ЧЕРН К1'!C10)*СПРАВОЧНИК!$I$9+('ФАКТ ЧЕРН К1'!D10)*СПРАВОЧНИК!$J$9+('ФАКТ ЧЕРН К1'!E10)*СПРАВОЧНИК!$H$10+('ФАКТ ЧЕРН К1'!F10)*СПРАВОЧНИК!$I$10+('ФАКТ ЧЕРН К1'!G10)*СПРАВОЧНИК!$J$10+('ФАКТ ЧЕРН К1'!H10)*СПРАВОЧНИК!$H$11+('ФАКТ ЧЕРН К1'!I10)*СПРАВОЧНИК!$I$11+('ФАКТ ЧЕРН К1'!J10)*СПРАВОЧНИК!$J$11+('ФАКТ ЧЕРН К1'!K10)*СПРАВОЧНИК!$H$12+('ФАКТ ЧЕРН К1'!L10)*СПРАВОЧНИК!$I$12+('ФАКТ ЧЕРН К1'!M10)*СПРАВОЧНИК!$J$12+('ФАКТ ЧЕРН К1'!N10)*СПРАВОЧНИК!$H$13+('ФАКТ ЧЕРН К1'!O10)*СПРАВОЧНИК!$I$13+('ФАКТ ЧЕРН К1'!P10)*СПРАВОЧНИК!$J$13+('ФАКТ ЧЕРН К1'!Q10)*СПРАВОЧНИК!$H$14+('ФАКТ ЧЕРН К1'!R10)*СПРАВОЧНИК!$I$14+('ФАКТ ЧЕРН К1'!S10)*СПРАВОЧНИК!$J$14+('ФАКТ ЧЕРН К1'!T10)*СПРАВОЧНИК!$H$15+('ФАКТ ЧЕРН К1'!U10)*СПРАВОЧНИК!$I$15+('ФАКТ ЧЕРН К1'!V10)*СПРАВОЧНИК!$J$15</f>
        <v/>
      </c>
      <c r="AC19" s="34" t="n"/>
      <c r="AF19" s="152">
        <f>AF18+7</f>
        <v/>
      </c>
      <c r="AG19" s="17">
        <f>'ПЛАН ЧИСТ К1'!B10*СПРАВОЧНИК!$L$9+'ПЛАН ЧИСТ К1'!C10*СПРАВОЧНИК!$M$9+'ПЛАН ЧИСТ К1'!D10*СПРАВОЧНИК!$N$9+'ПЛАН ЧИСТ К1'!E10*СПРАВОЧНИК!$O$9+'ПЛАН ЧИСТ К1'!F10*СПРАВОЧНИК!$P$9+'ПЛАН ЧИСТ К1'!G10*СПРАВОЧНИК!$L$10+'ПЛАН ЧИСТ К1'!H10*СПРАВОЧНИК!$M$10+'ПЛАН ЧИСТ К1'!I10*СПРАВОЧНИК!$N$10+'ПЛАН ЧИСТ К1'!J10*СПРАВОЧНИК!$O$10+'ПЛАН ЧИСТ К1'!K10*СПРАВОЧНИК!$P$10+'ПЛАН ЧИСТ К1'!L10*СПРАВОЧНИК!$L$11+'ПЛАН ЧИСТ К1'!M10*СПРАВОЧНИК!$M$11+'ПЛАН ЧИСТ К1'!N10*СПРАВОЧНИК!$N$11+'ПЛАН ЧИСТ К1'!O10*СПРАВОЧНИК!$O$11+'ПЛАН ЧИСТ К1'!P10*СПРАВОЧНИК!$P$11+'ПЛАН ЧИСТ К1'!Q10*СПРАВОЧНИК!$L$12+'ПЛАН ЧИСТ К1'!R10*СПРАВОЧНИК!$M$12+'ПЛАН ЧИСТ К1'!S10*СПРАВОЧНИК!$N$12+'ПЛАН ЧИСТ К1'!T10*СПРАВОЧНИК!$O$12+'ПЛАН ЧИСТ К1'!U10*СПРАВОЧНИК!$P$12+'ПЛАН ЧИСТ К1'!V10*СПРАВОЧНИК!$L$13+'ПЛАН ЧИСТ К1'!W10*СПРАВОЧНИК!$M$13+'ПЛАН ЧИСТ К1'!X10*СПРАВОЧНИК!$N$13+'ПЛАН ЧИСТ К1'!Y10*СПРАВОЧНИК!$O$13+'ПЛАН ЧИСТ К1'!Z10*СПРАВОЧНИК!$P$13+'ПЛАН ЧИСТ К1'!AA10*СПРАВОЧНИК!$L$14+'ПЛАН ЧИСТ К1'!AB10*СПРАВОЧНИК!$M$14+'ПЛАН ЧИСТ К1'!AC10*СПРАВОЧНИК!$N$14+'ПЛАН ЧИСТ К1'!AD10*СПРАВОЧНИК!$O$14+'ПЛАН ЧИСТ К1'!AE10*СПРАВОЧНИК!$P$14+'ПЛАН ЧИСТ К1'!AF10*СПРАВОЧНИК!$L$15+'ПЛАН ЧИСТ К1'!AG10*СПРАВОЧНИК!$M$15+'ПЛАН ЧИСТ К1'!AH10*СПРАВОЧНИК!$N$15+'ПЛАН ЧИСТ К1'!AI10*СПРАВОЧНИК!$O$15+'ПЛАН ЧИСТ К1'!AJ10*СПРАВОЧНИК!$P$15</f>
        <v/>
      </c>
      <c r="AH19" s="31">
        <f>('ФАКТ ЧИСТ К1'!B10)*СПРАВОЧНИК!$L$9+('ФАКТ ЧИСТ К1'!C10)*СПРАВОЧНИК!$M$9+('ФАКТ ЧИСТ К1'!D10)*СПРАВОЧНИК!$N$9+('ФАКТ ЧИСТ К1'!E10)*СПРАВОЧНИК!$O$9+('ФАКТ ЧИСТ К1'!F10)*СПРАВОЧНИК!$P$9+('ФАКТ ЧИСТ К1'!G10)*СПРАВОЧНИК!$L$10+('ФАКТ ЧИСТ К1'!H10)*СПРАВОЧНИК!$M$10+('ФАКТ ЧИСТ К1'!I10)*СПРАВОЧНИК!$N$10+('ФАКТ ЧИСТ К1'!J10)*СПРАВОЧНИК!$O$10+('ФАКТ ЧИСТ К1'!K10)*СПРАВОЧНИК!$P$10+('ФАКТ ЧИСТ К1'!L10)*СПРАВОЧНИК!$L$11+('ФАКТ ЧИСТ К1'!M10)*СПРАВОЧНИК!$M$11+('ФАКТ ЧИСТ К1'!N10)*СПРАВОЧНИК!$N$11+('ФАКТ ЧИСТ К1'!O10)*СПРАВОЧНИК!$O$11+('ФАКТ ЧИСТ К1'!P10)*СПРАВОЧНИК!$P$11+('ФАКТ ЧИСТ К1'!Q10)*СПРАВОЧНИК!$L$12+('ФАКТ ЧИСТ К1'!R10)*СПРАВОЧНИК!$M$12+('ФАКТ ЧИСТ К1'!S10)*СПРАВОЧНИК!$N$12+('ФАКТ ЧИСТ К1'!T10)*СПРАВОЧНИК!$O$12+('ФАКТ ЧИСТ К1'!U10)*СПРАВОЧНИК!$P$12+('ФАКТ ЧИСТ К1'!V10)*СПРАВОЧНИК!$L$13+('ФАКТ ЧИСТ К1'!W10)*СПРАВОЧНИК!$M$13+('ФАКТ ЧИСТ К1'!X10)*СПРАВОЧНИК!$N$13+('ФАКТ ЧИСТ К1'!Y10)*СПРАВОЧНИК!$O$13+('ФАКТ ЧИСТ К1'!Z10)*СПРАВОЧНИК!$P$13+('ФАКТ ЧИСТ К1'!AA10)*СПРАВОЧНИК!$L$14+('ФАКТ ЧИСТ К1'!AB10)*СПРАВОЧНИК!$M$14+('ФАКТ ЧИСТ К1'!AC10)*СПРАВОЧНИК!$N$14+('ФАКТ ЧИСТ К1'!AD10)*СПРАВОЧНИК!$O$14+('ФАКТ ЧИСТ К1'!AE10)*СПРАВОЧНИК!$P$14+('ФАКТ ЧИСТ К1'!AF10)*СПРАВОЧНИК!$L$15+('ФАКТ ЧИСТ К1'!AG10)*СПРАВОЧНИК!$M$15+('ФАКТ ЧИСТ К1'!AH10)*СПРАВОЧНИК!$N$15+('ФАКТ ЧИСТ К1'!AI10)*СПРАВОЧНИК!$O$15+('ФАКТ ЧИСТ К1'!AJ10)*СПРАВОЧНИК!$P$15</f>
        <v/>
      </c>
      <c r="AI19" s="34" t="n"/>
      <c r="AL19" s="152">
        <f>AL18+7</f>
        <v/>
      </c>
      <c r="AM19" s="17">
        <f>СПРАВОЧНИК!$E$9*('ПЛАН ЧЕРН К2'!B10*СПРАВОЧНИК!$H$9+'ПЛАН ЧЕРН К2'!C10*СПРАВОЧНИК!$I$9+'ПЛАН ЧЕРН К2'!D10*СПРАВОЧНИК!$J$9)+СПРАВОЧНИК!$F$9*('ПЛАН ЧИСТ К2'!B10*СПРАВОЧНИК!$L$9+'ПЛАН ЧИСТ К2'!C10*СПРАВОЧНИК!$M$9+'ПЛАН ЧИСТ К2'!D10*СПРАВОЧНИК!$N$9+'ПЛАН ЧИСТ К2'!E10*СПРАВОЧНИК!$O$9+'ПЛАН ЧИСТ К2'!F10*СПРАВОЧНИК!$P$9)+СПРАВОЧНИК!$E$10*('ПЛАН ЧЕРН К2'!E10*СПРАВОЧНИК!$H$10+'ПЛАН ЧЕРН К2'!F10*СПРАВОЧНИК!$I$10+'ПЛАН ЧЕРН К2'!G10*СПРАВОЧНИК!$J$10)+СПРАВОЧНИК!$F$10*('ПЛАН ЧИСТ К2'!G10*СПРАВОЧНИК!$L$10+'ПЛАН ЧИСТ К2'!H10*СПРАВОЧНИК!$M$10+'ПЛАН ЧИСТ К2'!I10*СПРАВОЧНИК!$N$10+'ПЛАН ЧИСТ К2'!J10*СПРАВОЧНИК!$O$10+'ПЛАН ЧИСТ К2'!K10*СПРАВОЧНИК!$P$10)+СПРАВОЧНИК!$E$11*('ПЛАН ЧЕРН К2'!H10*СПРАВОЧНИК!$H$11+'ПЛАН ЧЕРН К2'!I10*СПРАВОЧНИК!$I$11+'ПЛАН ЧЕРН К2'!J10*СПРАВОЧНИК!$J$11)+СПРАВОЧНИК!$F$11*('ПЛАН ЧИСТ К2'!L10*СПРАВОЧНИК!$L$11+'ПЛАН ЧИСТ К2'!M10*СПРАВОЧНИК!$M$11+'ПЛАН ЧИСТ К2'!N10*СПРАВОЧНИК!$N$11+'ПЛАН ЧИСТ К2'!O10*СПРАВОЧНИК!$O$11+'ПЛАН ЧИСТ К2'!P10*СПРАВОЧНИК!$P$11)+СПРАВОЧНИК!$E$12*('ПЛАН ЧЕРН К2'!K10*СПРАВОЧНИК!$H$12+'ПЛАН ЧЕРН К2'!L10*СПРАВОЧНИК!$I$12+'ПЛАН ЧЕРН К2'!M10*СПРАВОЧНИК!$J$12)+СПРАВОЧНИК!$F$12*('ПЛАН ЧИСТ К2'!Q10*СПРАВОЧНИК!$L$12+'ПЛАН ЧИСТ К2'!R10*СПРАВОЧНИК!$M$12+'ПЛАН ЧИСТ К2'!S10*СПРАВОЧНИК!$N$12+'ПЛАН ЧИСТ К2'!T10*СПРАВОЧНИК!$O$12+'ПЛАН ЧИСТ К2'!U10*СПРАВОЧНИК!$P$12)+СПРАВОЧНИК!$E$13*('ПЛАН ЧЕРН К2'!N10*СПРАВОЧНИК!$H$13+'ПЛАН ЧЕРН К2'!O10*СПРАВОЧНИК!$I$13+'ПЛАН ЧЕРН К2'!P10*СПРАВОЧНИК!$J$13)+СПРАВОЧНИК!$F$13*('ПЛАН ЧИСТ К2'!V10*СПРАВОЧНИК!$L$13+'ПЛАН ЧИСТ К2'!W10*СПРАВОЧНИК!$M$13+'ПЛАН ЧИСТ К2'!X10*СПРАВОЧНИК!$N$13+'ПЛАН ЧИСТ К2'!Y10*СПРАВОЧНИК!$O$13+'ПЛАН ЧИСТ К2'!Z10*СПРАВОЧНИК!$P$13)+СПРАВОЧНИК!$E$14*('ПЛАН ЧЕРН К2'!Q10*СПРАВОЧНИК!$H$14+'ПЛАН ЧЕРН К2'!R10*СПРАВОЧНИК!$I$14+'ПЛАН ЧЕРН К2'!S10*СПРАВОЧНИК!$J$14)+СПРАВОЧНИК!$F$14*('ПЛАН ЧИСТ К2'!AA10*СПРАВОЧНИК!$L$14+'ПЛАН ЧИСТ К2'!AB10*СПРАВОЧНИК!$M$14+'ПЛАН ЧИСТ К2'!AC10*СПРАВОЧНИК!$N$14+'ПЛАН ЧИСТ К2'!AD10*СПРАВОЧНИК!$O$14+'ПЛАН ЧИСТ К2'!AE10*СПРАВОЧНИК!$P$14)+СПРАВОЧНИК!$E$15*('ПЛАН ЧЕРН К2'!T10*СПРАВОЧНИК!$H$15+'ПЛАН ЧЕРН К2'!U10*СПРАВОЧНИК!$I$15+'ПЛАН ЧЕРН К2'!V10*СПРАВОЧНИК!$J$15)+СПРАВОЧНИК!$F$15*('ПЛАН ЧИСТ К2'!AF10*СПРАВОЧНИК!$L$15+'ПЛАН ЧИСТ К2'!AG10*СПРАВОЧНИК!$M$15+'ПЛАН ЧИСТ К2'!AH10*СПРАВОЧНИК!$N$15+'ПЛАН ЧИСТ К2'!AI10*СПРАВОЧНИК!$O$15+'ПЛАН ЧИСТ К2'!AJ10*СПРАВОЧНИК!$P$15)</f>
        <v/>
      </c>
      <c r="AN19" s="31">
        <f>СПРАВОЧНИК!$E$9*('ФАКТ ЧЕРН К2'!B10*СПРАВОЧНИК!$H$9+'ФАКТ ЧЕРН К2'!C10*СПРАВОЧНИК!$I$9+'ФАКТ ЧЕРН К2'!D10*СПРАВОЧНИК!$J$9)+СПРАВОЧНИК!$F$9*('ФАКТ ЧИСТ К2'!B10*СПРАВОЧНИК!$L$9+'ФАКТ ЧИСТ К2'!C10*СПРАВОЧНИК!$M$9+'ФАКТ ЧИСТ К2'!D10*СПРАВОЧНИК!$N$9+'ФАКТ ЧИСТ К2'!E10*СПРАВОЧНИК!$O$9+'ФАКТ ЧИСТ К2'!F10*СПРАВОЧНИК!$P$9)+СПРАВОЧНИК!$E$10*('ФАКТ ЧЕРН К2'!E10*СПРАВОЧНИК!$H$10+'ФАКТ ЧЕРН К2'!F10*СПРАВОЧНИК!$I$10+'ФАКТ ЧЕРН К2'!G10*СПРАВОЧНИК!$J$10)+СПРАВОЧНИК!$F$10*('ФАКТ ЧИСТ К2'!G10*СПРАВОЧНИК!$L$10+'ФАКТ ЧИСТ К2'!H10*СПРАВОЧНИК!$M$10+'ФАКТ ЧИСТ К2'!I10*СПРАВОЧНИК!$N$10+'ФАКТ ЧИСТ К2'!J10*СПРАВОЧНИК!$O$10+'ФАКТ ЧИСТ К2'!K10*СПРАВОЧНИК!$P$10)+СПРАВОЧНИК!$E$11*('ФАКТ ЧЕРН К2'!H10*СПРАВОЧНИК!$H$11+'ФАКТ ЧЕРН К2'!I10*СПРАВОЧНИК!$I$11+'ФАКТ ЧЕРН К2'!J10*СПРАВОЧНИК!$J$11)+СПРАВОЧНИК!$F$11*('ФАКТ ЧИСТ К2'!L10*СПРАВОЧНИК!$L$11+'ФАКТ ЧИСТ К2'!M10*СПРАВОЧНИК!$M$11+'ФАКТ ЧИСТ К2'!N10*СПРАВОЧНИК!$N$11+'ФАКТ ЧИСТ К2'!O10*СПРАВОЧНИК!$O$11+'ФАКТ ЧИСТ К2'!P10*СПРАВОЧНИК!$P$11)+СПРАВОЧНИК!$E$12*('ФАКТ ЧЕРН К2'!K10*СПРАВОЧНИК!$H$12+'ФАКТ ЧЕРН К2'!L10*СПРАВОЧНИК!$I$12+'ФАКТ ЧЕРН К2'!M10*СПРАВОЧНИК!$J$12)+СПРАВОЧНИК!$F$12*('ФАКТ ЧИСТ К2'!Q10*СПРАВОЧНИК!$L$12+'ФАКТ ЧИСТ К2'!R10*СПРАВОЧНИК!$M$12+'ФАКТ ЧИСТ К2'!S10*СПРАВОЧНИК!$N$12+'ФАКТ ЧИСТ К2'!T10*СПРАВОЧНИК!$O$12+'ФАКТ ЧИСТ К2'!U10*СПРАВОЧНИК!$P$12)+СПРАВОЧНИК!$E$13*('ФАКТ ЧЕРН К2'!N10*СПРАВОЧНИК!$H$13+'ФАКТ ЧЕРН К2'!O10*СПРАВОЧНИК!$I$13+'ФАКТ ЧЕРН К2'!P10*СПРАВОЧНИК!$J$13)+СПРАВОЧНИК!$F$13*('ФАКТ ЧИСТ К2'!V10*СПРАВОЧНИК!$L$13+'ФАКТ ЧИСТ К2'!W10*СПРАВОЧНИК!$M$13+'ФАКТ ЧИСТ К2'!X10*СПРАВОЧНИК!$N$13+'ФАКТ ЧИСТ К2'!Y10*СПРАВОЧНИК!$O$13+'ФАКТ ЧИСТ К2'!Z10*СПРАВОЧНИК!$P$13)+СПРАВОЧНИК!$E$14*('ФАКТ ЧЕРН К2'!Q10*СПРАВОЧНИК!$H$14+'ФАКТ ЧЕРН К2'!R10*СПРАВОЧНИК!$I$14+'ФАКТ ЧЕРН К2'!S10*СПРАВОЧНИК!$J$14)+СПРАВОЧНИК!$F$14*('ФАКТ ЧИСТ К2'!AA10*СПРАВОЧНИК!$L$14+'ФАКТ ЧИСТ К2'!AB10*СПРАВОЧНИК!$M$14+'ФАКТ ЧИСТ К2'!AC10*СПРАВОЧНИК!$N$14+'ФАКТ ЧИСТ К2'!AD10*СПРАВОЧНИК!$O$14+'ФАКТ ЧИСТ К2'!AE10*СПРАВОЧНИК!$P$14)+СПРАВОЧНИК!$E$15*('ФАКТ ЧЕРН К2'!T10*СПРАВОЧНИК!$H$15+'ФАКТ ЧЕРН К2'!U10*СПРАВОЧНИК!$I$15+'ФАКТ ЧЕРН К2'!V10*СПРАВОЧНИК!$J$15)+СПРАВОЧНИК!$F$15*('ФАКТ ЧИСТ К2'!AF10*СПРАВОЧНИК!$L$15+'ФАКТ ЧИСТ К2'!AG10*СПРАВОЧНИК!$M$15+'ФАКТ ЧИСТ К2'!AH10*СПРАВОЧНИК!$N$15+'ФАКТ ЧИСТ К2'!AI10*СПРАВОЧНИК!$O$15+'ФАКТ ЧИСТ К2'!AJ10*СПРАВОЧНИК!$P$15)</f>
        <v/>
      </c>
      <c r="AO19" s="34" t="n"/>
      <c r="AR19" s="152">
        <f>AR18+7</f>
        <v/>
      </c>
      <c r="AS19" s="17">
        <f>'ПЛАН ЧЕРН К2'!B10*СПРАВОЧНИК!$H$9+'ПЛАН ЧЕРН К2'!C10*СПРАВОЧНИК!$I$9+'ПЛАН ЧЕРН К2'!D10*СПРАВОЧНИК!$J$9+'ПЛАН ЧЕРН К2'!E10*СПРАВОЧНИК!$H$10+'ПЛАН ЧЕРН К2'!F10*СПРАВОЧНИК!$I$10+'ПЛАН ЧЕРН К2'!G10*СПРАВОЧНИК!$J$10+'ПЛАН ЧЕРН К2'!H10*СПРАВОЧНИК!$H$11+'ПЛАН ЧЕРН К2'!I10*СПРАВОЧНИК!$I$11+'ПЛАН ЧЕРН К2'!J10*СПРАВОЧНИК!$J$11+'ПЛАН ЧЕРН К2'!K10*СПРАВОЧНИК!$H$12+'ПЛАН ЧЕРН К2'!L10*СПРАВОЧНИК!$I$12+'ПЛАН ЧЕРН К2'!M10*СПРАВОЧНИК!$J$12+'ПЛАН ЧЕРН К2'!N10*СПРАВОЧНИК!$H$13+'ПЛАН ЧЕРН К2'!O10*СПРАВОЧНИК!$I$13+'ПЛАН ЧЕРН К2'!P10*СПРАВОЧНИК!$J$13+'ПЛАН ЧЕРН К2'!Q10*СПРАВОЧНИК!$H$14+'ПЛАН ЧЕРН К2'!R10*СПРАВОЧНИК!$I$14+'ПЛАН ЧЕРН К2'!S10*СПРАВОЧНИК!$J$14+'ПЛАН ЧЕРН К2'!T10*СПРАВОЧНИК!$H$15+'ПЛАН ЧЕРН К2'!U10*СПРАВОЧНИК!$I$15+'ПЛАН ЧЕРН К2'!V10*СПРАВОЧНИК!$J$15</f>
        <v/>
      </c>
      <c r="AT19" s="31">
        <f>('ФАКТ ЧЕРН К2'!B10)*СПРАВОЧНИК!$H$9+('ФАКТ ЧЕРН К2'!C10)*СПРАВОЧНИК!$I$9+('ФАКТ ЧЕРН К2'!D10)*СПРАВОЧНИК!$J$9+('ФАКТ ЧЕРН К2'!E10)*СПРАВОЧНИК!$H$10+('ФАКТ ЧЕРН К2'!F10)*СПРАВОЧНИК!$I$10+('ФАКТ ЧЕРН К2'!G10)*СПРАВОЧНИК!$J$10+('ФАКТ ЧЕРН К2'!H10)*СПРАВОЧНИК!$H$11+('ФАКТ ЧЕРН К2'!I10)*СПРАВОЧНИК!$I$11+('ФАКТ ЧЕРН К2'!J10)*СПРАВОЧНИК!$J$11+('ФАКТ ЧЕРН К2'!K10)*СПРАВОЧНИК!$H$12+('ФАКТ ЧЕРН К2'!L10)*СПРАВОЧНИК!$I$12+('ФАКТ ЧЕРН К2'!M10)*СПРАВОЧНИК!$J$12+('ФАКТ ЧЕРН К2'!N10)*СПРАВОЧНИК!$H$13+('ФАКТ ЧЕРН К2'!O10)*СПРАВОЧНИК!$I$13+('ФАКТ ЧЕРН К2'!P10)*СПРАВОЧНИК!$J$13+('ФАКТ ЧЕРН К2'!Q10)*СПРАВОЧНИК!$H$14+('ФАКТ ЧЕРН К2'!R10)*СПРАВОЧНИК!$I$14+('ФАКТ ЧЕРН К2'!S10)*СПРАВОЧНИК!$J$14+('ФАКТ ЧЕРН К2'!T10)*СПРАВОЧНИК!$H$15+('ФАКТ ЧЕРН К2'!U10)*СПРАВОЧНИК!$I$15+('ФАКТ ЧЕРН К2'!V10)*СПРАВОЧНИК!$J$15</f>
        <v/>
      </c>
      <c r="AU19" s="34" t="n"/>
      <c r="AX19" s="152">
        <f>AX18+7</f>
        <v/>
      </c>
      <c r="AY19" s="17">
        <f>'ПЛАН ЧИСТ К2'!B10*СПРАВОЧНИК!$L$9+'ПЛАН ЧИСТ К2'!C10*СПРАВОЧНИК!$M$9+'ПЛАН ЧИСТ К2'!D10*СПРАВОЧНИК!$N$9+'ПЛАН ЧИСТ К2'!E10*СПРАВОЧНИК!$O$9+'ПЛАН ЧИСТ К2'!F10*СПРАВОЧНИК!$P$9+'ПЛАН ЧИСТ К2'!G10*СПРАВОЧНИК!$L$10+'ПЛАН ЧИСТ К2'!H10*СПРАВОЧНИК!$M$10+'ПЛАН ЧИСТ К2'!I10*СПРАВОЧНИК!$N$10+'ПЛАН ЧИСТ К2'!J10*СПРАВОЧНИК!$O$10+'ПЛАН ЧИСТ К2'!K10*СПРАВОЧНИК!$P$10+'ПЛАН ЧИСТ К2'!L10*СПРАВОЧНИК!$L$11+'ПЛАН ЧИСТ К2'!M10*СПРАВОЧНИК!$M$11+'ПЛАН ЧИСТ К2'!N10*СПРАВОЧНИК!$N$11+'ПЛАН ЧИСТ К2'!O10*СПРАВОЧНИК!$O$11+'ПЛАН ЧИСТ К2'!P10*СПРАВОЧНИК!$P$11+'ПЛАН ЧИСТ К2'!Q10*СПРАВОЧНИК!$L$12+'ПЛАН ЧИСТ К2'!R10*СПРАВОЧНИК!$M$12+'ПЛАН ЧИСТ К2'!S10*СПРАВОЧНИК!$N$12+'ПЛАН ЧИСТ К2'!T10*СПРАВОЧНИК!$O$12+'ПЛАН ЧИСТ К2'!U10*СПРАВОЧНИК!$P$12+'ПЛАН ЧИСТ К2'!V10*СПРАВОЧНИК!$L$13+'ПЛАН ЧИСТ К2'!W10*СПРАВОЧНИК!$M$13+'ПЛАН ЧИСТ К2'!X10*СПРАВОЧНИК!$N$13+'ПЛАН ЧИСТ К2'!Y10*СПРАВОЧНИК!$O$13+'ПЛАН ЧИСТ К2'!Z10*СПРАВОЧНИК!$P$13+'ПЛАН ЧИСТ К2'!AA10*СПРАВОЧНИК!$L$14+'ПЛАН ЧИСТ К2'!AB10*СПРАВОЧНИК!$M$14+'ПЛАН ЧИСТ К2'!AC10*СПРАВОЧНИК!$N$14+'ПЛАН ЧИСТ К2'!AD10*СПРАВОЧНИК!$O$14+'ПЛАН ЧИСТ К2'!AE10*СПРАВОЧНИК!$P$14+'ПЛАН ЧИСТ К2'!AF10*СПРАВОЧНИК!$L$15+'ПЛАН ЧИСТ К2'!AG10*СПРАВОЧНИК!$M$15+'ПЛАН ЧИСТ К2'!AH10*СПРАВОЧНИК!$N$15+'ПЛАН ЧИСТ К2'!AI10*СПРАВОЧНИК!$O$15+'ПЛАН ЧИСТ К2'!AJ10*СПРАВОЧНИК!$P$15</f>
        <v/>
      </c>
      <c r="AZ19" s="31">
        <f>('ФАКТ ЧИСТ К2'!B10)*СПРАВОЧНИК!$L$9+('ФАКТ ЧИСТ К2'!C10)*СПРАВОЧНИК!$M$9+('ФАКТ ЧИСТ К2'!D10)*СПРАВОЧНИК!$N$9+('ФАКТ ЧИСТ К2'!E10)*СПРАВОЧНИК!$O$9+('ФАКТ ЧИСТ К2'!F10)*СПРАВОЧНИК!$P$9+('ФАКТ ЧИСТ К2'!G10)*СПРАВОЧНИК!$L$10+('ФАКТ ЧИСТ К2'!H10)*СПРАВОЧНИК!$M$10+('ФАКТ ЧИСТ К2'!I10)*СПРАВОЧНИК!$N$10+('ФАКТ ЧИСТ К2'!J10)*СПРАВОЧНИК!$O$10+('ФАКТ ЧИСТ К2'!K10)*СПРАВОЧНИК!$P$10+('ФАКТ ЧИСТ К2'!L10)*СПРАВОЧНИК!$L$11+('ФАКТ ЧИСТ К2'!M10)*СПРАВОЧНИК!$M$11+('ФАКТ ЧИСТ К2'!N10)*СПРАВОЧНИК!$N$11+('ФАКТ ЧИСТ К2'!O10)*СПРАВОЧНИК!$O$11+('ФАКТ ЧИСТ К2'!P10)*СПРАВОЧНИК!$P$11+('ФАКТ ЧИСТ К2'!Q10)*СПРАВОЧНИК!$L$12+('ФАКТ ЧИСТ К2'!R10)*СПРАВОЧНИК!$M$12+('ФАКТ ЧИСТ К2'!S10)*СПРАВОЧНИК!$N$12+('ФАКТ ЧИСТ К2'!T10)*СПРАВОЧНИК!$O$12+('ФАКТ ЧИСТ К2'!U10)*СПРАВОЧНИК!$P$12+('ФАКТ ЧИСТ К2'!V10)*СПРАВОЧНИК!$L$13+('ФАКТ ЧИСТ К2'!W10)*СПРАВОЧНИК!$M$13+('ФАКТ ЧИСТ К2'!X10)*СПРАВОЧНИК!$N$13+('ФАКТ ЧИСТ К2'!Y10)*СПРАВОЧНИК!$O$13+('ФАКТ ЧИСТ К2'!Z10)*СПРАВОЧНИК!$P$13+('ФАКТ ЧИСТ К2'!AA10)*СПРАВОЧНИК!$L$14+('ФАКТ ЧИСТ К2'!AB10)*СПРАВОЧНИК!$M$14+('ФАКТ ЧИСТ К2'!AC10)*СПРАВОЧНИК!$N$14+('ФАКТ ЧИСТ К2'!AD10)*СПРАВОЧНИК!$O$14+('ФАКТ ЧИСТ К2'!AE10)*СПРАВОЧНИК!$P$14+('ФАКТ ЧИСТ К2'!AF10)*СПРАВОЧНИК!$L$15+('ФАКТ ЧИСТ К2'!AG10)*СПРАВОЧНИК!$M$15+('ФАКТ ЧИСТ К2'!AH10)*СПРАВОЧНИК!$N$15+('ФАКТ ЧИСТ К2'!AI10)*СПРАВОЧНИК!$O$15+('ФАКТ ЧИСТ К2'!AJ10)*СПРАВОЧНИК!$P$15</f>
        <v/>
      </c>
      <c r="BA19" s="34" t="n"/>
      <c r="BD19" s="152">
        <f>BD18+7</f>
        <v/>
      </c>
      <c r="BE19" s="17">
        <f>СПРАВОЧНИК!$E$9*('ПЛАН ЧЕРН К3'!B10*СПРАВОЧНИК!$H$9+'ПЛАН ЧЕРН К3'!C10*СПРАВОЧНИК!$I$9+'ПЛАН ЧЕРН К3'!D10*СПРАВОЧНИК!$J$9)+СПРАВОЧНИК!$F$9*('ПЛАН ЧИСТ К3'!B10*СПРАВОЧНИК!$L$9+'ПЛАН ЧИСТ К3'!C10*СПРАВОЧНИК!$M$9+'ПЛАН ЧИСТ К3'!D10*СПРАВОЧНИК!$N$9+'ПЛАН ЧИСТ К3'!E10*СПРАВОЧНИК!$O$9+'ПЛАН ЧИСТ К3'!F10*СПРАВОЧНИК!$P$9)+СПРАВОЧНИК!$E$10*('ПЛАН ЧЕРН К3'!E10*СПРАВОЧНИК!$H$10+'ПЛАН ЧЕРН К3'!F10*СПРАВОЧНИК!$I$10+'ПЛАН ЧЕРН К3'!G10*СПРАВОЧНИК!$J$10)+СПРАВОЧНИК!$F$10*('ПЛАН ЧИСТ К3'!G10*СПРАВОЧНИК!$L$10+'ПЛАН ЧИСТ К3'!H10*СПРАВОЧНИК!$M$10+'ПЛАН ЧИСТ К3'!I10*СПРАВОЧНИК!$N$10+'ПЛАН ЧИСТ К3'!J10*СПРАВОЧНИК!$O$10+'ПЛАН ЧИСТ К3'!K10*СПРАВОЧНИК!$P$10)+СПРАВОЧНИК!$E$11*('ПЛАН ЧЕРН К3'!H10*СПРАВОЧНИК!$H$11+'ПЛАН ЧЕРН К3'!I10*СПРАВОЧНИК!$I$11+'ПЛАН ЧЕРН К3'!J10*СПРАВОЧНИК!$J$11)+СПРАВОЧНИК!$F$11*('ПЛАН ЧИСТ К3'!L10*СПРАВОЧНИК!$L$11+'ПЛАН ЧИСТ К3'!M10*СПРАВОЧНИК!$M$11+'ПЛАН ЧИСТ К3'!N10*СПРАВОЧНИК!$N$11+'ПЛАН ЧИСТ К3'!O10*СПРАВОЧНИК!$O$11+'ПЛАН ЧИСТ К3'!P10*СПРАВОЧНИК!$P$11)+СПРАВОЧНИК!$E$12*('ПЛАН ЧЕРН К3'!K10*СПРАВОЧНИК!$H$12+'ПЛАН ЧЕРН К3'!L10*СПРАВОЧНИК!$I$12+'ПЛАН ЧЕРН К3'!M10*СПРАВОЧНИК!$J$12)+СПРАВОЧНИК!$F$12*('ПЛАН ЧИСТ К3'!Q10*СПРАВОЧНИК!$L$12+'ПЛАН ЧИСТ К3'!R10*СПРАВОЧНИК!$M$12+'ПЛАН ЧИСТ К3'!S10*СПРАВОЧНИК!$N$12+'ПЛАН ЧИСТ К3'!T10*СПРАВОЧНИК!$O$12+'ПЛАН ЧИСТ К3'!U10*СПРАВОЧНИК!$P$12)+СПРАВОЧНИК!$E$13*('ПЛАН ЧЕРН К3'!N10*СПРАВОЧНИК!$H$13+'ПЛАН ЧЕРН К3'!O10*СПРАВОЧНИК!$I$13+'ПЛАН ЧЕРН К3'!P10*СПРАВОЧНИК!$J$13)+СПРАВОЧНИК!$F$13*('ПЛАН ЧИСТ К3'!V10*СПРАВОЧНИК!$L$13+'ПЛАН ЧИСТ К3'!W10*СПРАВОЧНИК!$M$13+'ПЛАН ЧИСТ К3'!X10*СПРАВОЧНИК!$N$13+'ПЛАН ЧИСТ К3'!Y10*СПРАВОЧНИК!$O$13+'ПЛАН ЧИСТ К3'!Z10*СПРАВОЧНИК!$P$13)+СПРАВОЧНИК!$E$14*('ПЛАН ЧЕРН К3'!Q10*СПРАВОЧНИК!$H$14+'ПЛАН ЧЕРН К3'!R10*СПРАВОЧНИК!$I$14+'ПЛАН ЧЕРН К3'!S10*СПРАВОЧНИК!$J$14)+СПРАВОЧНИК!$F$14*('ПЛАН ЧИСТ К3'!AA10*СПРАВОЧНИК!$L$14+'ПЛАН ЧИСТ К3'!AB10*СПРАВОЧНИК!$M$14+'ПЛАН ЧИСТ К3'!AC10*СПРАВОЧНИК!$N$14+'ПЛАН ЧИСТ К3'!AD10*СПРАВОЧНИК!$O$14+'ПЛАН ЧИСТ К3'!AE10*СПРАВОЧНИК!$P$14)+СПРАВОЧНИК!$E$15*('ПЛАН ЧЕРН К3'!T10*СПРАВОЧНИК!$H$15+'ПЛАН ЧЕРН К3'!U10*СПРАВОЧНИК!$I$15+'ПЛАН ЧЕРН К3'!V10*СПРАВОЧНИК!$J$15)+СПРАВОЧНИК!$F$15*('ПЛАН ЧИСТ К3'!AF10*СПРАВОЧНИК!$L$15+'ПЛАН ЧИСТ К3'!AG10*СПРАВОЧНИК!$M$15+'ПЛАН ЧИСТ К3'!AH10*СПРАВОЧНИК!$N$15+'ПЛАН ЧИСТ К3'!AI10*СПРАВОЧНИК!$O$15+'ПЛАН ЧИСТ К3'!AJ10*СПРАВОЧНИК!$P$15)</f>
        <v/>
      </c>
      <c r="BF19" s="31">
        <f>СПРАВОЧНИК!$E$9*('ФАКТ ЧЕРН К3'!B10*СПРАВОЧНИК!$H$9+'ФАКТ ЧЕРН К3'!C10*СПРАВОЧНИК!$I$9+'ФАКТ ЧЕРН К3'!D10*СПРАВОЧНИК!$J$9)+СПРАВОЧНИК!$F$9*('ФАКТ ЧИСТ К3'!B10*СПРАВОЧНИК!$L$9+'ФАКТ ЧИСТ К3'!C10*СПРАВОЧНИК!$M$9+'ФАКТ ЧИСТ К3'!D10*СПРАВОЧНИК!$N$9+'ФАКТ ЧИСТ К3'!E10*СПРАВОЧНИК!$O$9+'ФАКТ ЧИСТ К3'!F10*СПРАВОЧНИК!$P$9)+СПРАВОЧНИК!$E$10*('ФАКТ ЧЕРН К3'!E10*СПРАВОЧНИК!$H$10+'ФАКТ ЧЕРН К3'!F10*СПРАВОЧНИК!$I$10+'ФАКТ ЧЕРН К3'!G10*СПРАВОЧНИК!$J$10)+СПРАВОЧНИК!$F$10*('ФАКТ ЧИСТ К3'!G10*СПРАВОЧНИК!$L$10+'ФАКТ ЧИСТ К3'!H10*СПРАВОЧНИК!$M$10+'ФАКТ ЧИСТ К3'!I10*СПРАВОЧНИК!$N$10+'ФАКТ ЧИСТ К3'!J10*СПРАВОЧНИК!$O$10+'ФАКТ ЧИСТ К3'!K10*СПРАВОЧНИК!$P$10)+СПРАВОЧНИК!$E$11*('ФАКТ ЧЕРН К3'!H10*СПРАВОЧНИК!$H$11+'ФАКТ ЧЕРН К3'!I10*СПРАВОЧНИК!$I$11+'ФАКТ ЧЕРН К3'!J10*СПРАВОЧНИК!$J$11)+СПРАВОЧНИК!$F$11*('ФАКТ ЧИСТ К3'!L10*СПРАВОЧНИК!$L$11+'ФАКТ ЧИСТ К3'!M10*СПРАВОЧНИК!$M$11+'ФАКТ ЧИСТ К3'!N10*СПРАВОЧНИК!$N$11+'ФАКТ ЧИСТ К3'!O10*СПРАВОЧНИК!$O$11+'ФАКТ ЧИСТ К3'!P10*СПРАВОЧНИК!$P$11)+СПРАВОЧНИК!$E$12*('ФАКТ ЧЕРН К3'!K10*СПРАВОЧНИК!$H$12+'ФАКТ ЧЕРН К3'!L10*СПРАВОЧНИК!$I$12+'ФАКТ ЧЕРН К3'!M10*СПРАВОЧНИК!$J$12)+СПРАВОЧНИК!$F$12*('ФАКТ ЧИСТ К3'!Q10*СПРАВОЧНИК!$L$12+'ФАКТ ЧИСТ К3'!R10*СПРАВОЧНИК!$M$12+'ФАКТ ЧИСТ К3'!S10*СПРАВОЧНИК!$N$12+'ФАКТ ЧИСТ К3'!T10*СПРАВОЧНИК!$O$12+'ФАКТ ЧИСТ К3'!U10*СПРАВОЧНИК!$P$12)+СПРАВОЧНИК!$E$13*('ФАКТ ЧЕРН К3'!N10*СПРАВОЧНИК!$H$13+'ФАКТ ЧЕРН К3'!O10*СПРАВОЧНИК!$I$13+'ФАКТ ЧЕРН К3'!P10*СПРАВОЧНИК!$J$13)+СПРАВОЧНИК!$F$13*('ФАКТ ЧИСТ К3'!V10*СПРАВОЧНИК!$L$13+'ФАКТ ЧИСТ К3'!W10*СПРАВОЧНИК!$M$13+'ФАКТ ЧИСТ К3'!X10*СПРАВОЧНИК!$N$13+'ФАКТ ЧИСТ К3'!Y10*СПРАВОЧНИК!$O$13+'ФАКТ ЧИСТ К3'!Z10*СПРАВОЧНИК!$P$13)+СПРАВОЧНИК!$E$14*('ФАКТ ЧЕРН К3'!Q10*СПРАВОЧНИК!$H$14+'ФАКТ ЧЕРН К3'!R10*СПРАВОЧНИК!$I$14+'ФАКТ ЧЕРН К3'!S10*СПРАВОЧНИК!$J$14)+СПРАВОЧНИК!$F$14*('ФАКТ ЧИСТ К3'!AA10*СПРАВОЧНИК!$L$14+'ФАКТ ЧИСТ К3'!AB10*СПРАВОЧНИК!$M$14+'ФАКТ ЧИСТ К3'!AC10*СПРАВОЧНИК!$N$14+'ФАКТ ЧИСТ К3'!AD10*СПРАВОЧНИК!$O$14+'ФАКТ ЧИСТ К3'!AE10*СПРАВОЧНИК!$P$14)+СПРАВОЧНИК!$E$15*('ФАКТ ЧЕРН К3'!T10*СПРАВОЧНИК!$H$15+'ФАКТ ЧЕРН К3'!U10*СПРАВОЧНИК!$I$15+'ФАКТ ЧЕРН К3'!V10*СПРАВОЧНИК!$J$15)+СПРАВОЧНИК!$F$15*('ФАКТ ЧИСТ К3'!AF10*СПРАВОЧНИК!$L$15+'ФАКТ ЧИСТ К3'!AG10*СПРАВОЧНИК!$M$15+'ФАКТ ЧИСТ К3'!AH10*СПРАВОЧНИК!$N$15+'ФАКТ ЧИСТ К3'!AI10*СПРАВОЧНИК!$O$15+'ФАКТ ЧИСТ К3'!AJ10*СПРАВОЧНИК!$P$15)</f>
        <v/>
      </c>
      <c r="BG19" s="34" t="n"/>
      <c r="BJ19" s="152">
        <f>BJ18+7</f>
        <v/>
      </c>
      <c r="BK19" s="17">
        <f>'ПЛАН ЧЕРН К3'!B10*СПРАВОЧНИК!$H$9+'ПЛАН ЧЕРН К3'!C10*СПРАВОЧНИК!$I$9+'ПЛАН ЧЕРН К3'!D10*СПРАВОЧНИК!$J$9+'ПЛАН ЧЕРН К3'!E10*СПРАВОЧНИК!$H$10+'ПЛАН ЧЕРН К3'!F10*СПРАВОЧНИК!$I$10+'ПЛАН ЧЕРН К3'!G10*СПРАВОЧНИК!$J$10+'ПЛАН ЧЕРН К3'!H10*СПРАВОЧНИК!$H$11+'ПЛАН ЧЕРН К3'!I10*СПРАВОЧНИК!$I$11+'ПЛАН ЧЕРН К3'!J10*СПРАВОЧНИК!$J$11+'ПЛАН ЧЕРН К3'!K10*СПРАВОЧНИК!$H$12+'ПЛАН ЧЕРН К3'!L10*СПРАВОЧНИК!$I$12+'ПЛАН ЧЕРН К3'!M10*СПРАВОЧНИК!$J$12+'ПЛАН ЧЕРН К3'!N10*СПРАВОЧНИК!$H$13+'ПЛАН ЧЕРН К3'!O10*СПРАВОЧНИК!$I$13+'ПЛАН ЧЕРН К3'!P10*СПРАВОЧНИК!$J$13+'ПЛАН ЧЕРН К3'!Q10*СПРАВОЧНИК!$H$14+'ПЛАН ЧЕРН К3'!R10*СПРАВОЧНИК!$I$14+'ПЛАН ЧЕРН К3'!S10*СПРАВОЧНИК!$J$14+'ПЛАН ЧЕРН К3'!T10*СПРАВОЧНИК!$H$15+'ПЛАН ЧЕРН К3'!U10*СПРАВОЧНИК!$I$15+'ПЛАН ЧЕРН К3'!V10*СПРАВОЧНИК!$J$15</f>
        <v/>
      </c>
      <c r="BL19" s="31">
        <f>('ФАКТ ЧЕРН К3'!B10)*СПРАВОЧНИК!$H$9+('ФАКТ ЧЕРН К3'!C10)*СПРАВОЧНИК!$I$9+('ФАКТ ЧЕРН К3'!D10)*СПРАВОЧНИК!$J$9+('ФАКТ ЧЕРН К3'!E10)*СПРАВОЧНИК!$H$10+('ФАКТ ЧЕРН К3'!F10)*СПРАВОЧНИК!$I$10+('ФАКТ ЧЕРН К3'!G10)*СПРАВОЧНИК!$J$10+('ФАКТ ЧЕРН К3'!H10)*СПРАВОЧНИК!$H$11+('ФАКТ ЧЕРН К3'!I10)*СПРАВОЧНИК!$I$11+('ФАКТ ЧЕРН К3'!J10)*СПРАВОЧНИК!$J$11+('ФАКТ ЧЕРН К3'!K10)*СПРАВОЧНИК!$H$12+('ФАКТ ЧЕРН К3'!L10)*СПРАВОЧНИК!$I$12+('ФАКТ ЧЕРН К3'!M10)*СПРАВОЧНИК!$J$12+('ФАКТ ЧЕРН К3'!N10)*СПРАВОЧНИК!$H$13+('ФАКТ ЧЕРН К3'!O10)*СПРАВОЧНИК!$I$13+('ФАКТ ЧЕРН К3'!P10)*СПРАВОЧНИК!$J$13+('ФАКТ ЧЕРН К3'!Q10)*СПРАВОЧНИК!$H$14+('ФАКТ ЧЕРН К3'!R10)*СПРАВОЧНИК!$I$14+('ФАКТ ЧЕРН К3'!S10)*СПРАВОЧНИК!$J$14+('ФАКТ ЧЕРН К3'!T10)*СПРАВОЧНИК!$H$15+('ФАКТ ЧЕРН К3'!U10)*СПРАВОЧНИК!$I$15+('ФАКТ ЧЕРН К3'!V10)*СПРАВОЧНИК!$J$15</f>
        <v/>
      </c>
      <c r="BM19" s="34" t="n"/>
      <c r="BP19" s="152">
        <f>BP18+7</f>
        <v/>
      </c>
      <c r="BQ19" s="17">
        <f>'ПЛАН ЧИСТ К3'!B10*СПРАВОЧНИК!$L$9+'ПЛАН ЧИСТ К3'!C10*СПРАВОЧНИК!$M$9+'ПЛАН ЧИСТ К3'!D10*СПРАВОЧНИК!$N$9+'ПЛАН ЧИСТ К3'!E10*СПРАВОЧНИК!$O$9+'ПЛАН ЧИСТ К3'!F10*СПРАВОЧНИК!$P$9+'ПЛАН ЧИСТ К3'!G10*СПРАВОЧНИК!$L$10+'ПЛАН ЧИСТ К3'!H10*СПРАВОЧНИК!$M$10+'ПЛАН ЧИСТ К3'!I10*СПРАВОЧНИК!$N$10+'ПЛАН ЧИСТ К3'!J10*СПРАВОЧНИК!$O$10+'ПЛАН ЧИСТ К3'!K10*СПРАВОЧНИК!$P$10+'ПЛАН ЧИСТ К3'!L10*СПРАВОЧНИК!$L$11+'ПЛАН ЧИСТ К3'!M10*СПРАВОЧНИК!$M$11+'ПЛАН ЧИСТ К3'!N10*СПРАВОЧНИК!$N$11+'ПЛАН ЧИСТ К3'!O10*СПРАВОЧНИК!$O$11+'ПЛАН ЧИСТ К3'!P10*СПРАВОЧНИК!$P$11+'ПЛАН ЧИСТ К3'!Q10*СПРАВОЧНИК!$L$12+'ПЛАН ЧИСТ К3'!R10*СПРАВОЧНИК!$M$12+'ПЛАН ЧИСТ К3'!S10*СПРАВОЧНИК!$N$12+'ПЛАН ЧИСТ К3'!T10*СПРАВОЧНИК!$O$12+'ПЛАН ЧИСТ К3'!U10*СПРАВОЧНИК!$P$12+'ПЛАН ЧИСТ К3'!V10*СПРАВОЧНИК!$L$13+'ПЛАН ЧИСТ К3'!W10*СПРАВОЧНИК!$M$13+'ПЛАН ЧИСТ К3'!X10*СПРАВОЧНИК!$N$13+'ПЛАН ЧИСТ К3'!Y10*СПРАВОЧНИК!$O$13+'ПЛАН ЧИСТ К3'!Z10*СПРАВОЧНИК!$P$13+'ПЛАН ЧИСТ К3'!AA10*СПРАВОЧНИК!$L$14+'ПЛАН ЧИСТ К3'!AB10*СПРАВОЧНИК!$M$14+'ПЛАН ЧИСТ К3'!AC10*СПРАВОЧНИК!$N$14+'ПЛАН ЧИСТ К3'!AD10*СПРАВОЧНИК!$O$14+'ПЛАН ЧИСТ К3'!AE10*СПРАВОЧНИК!$P$14+'ПЛАН ЧИСТ К3'!AF10*СПРАВОЧНИК!$L$15+'ПЛАН ЧИСТ К3'!AG10*СПРАВОЧНИК!$M$15+'ПЛАН ЧИСТ К3'!AH10*СПРАВОЧНИК!$N$15+'ПЛАН ЧИСТ К3'!AI10*СПРАВОЧНИК!$O$15+'ПЛАН ЧИСТ К3'!AJ10*СПРАВОЧНИК!$P$15</f>
        <v/>
      </c>
      <c r="BR19" s="31">
        <f>('ФАКТ ЧИСТ К3'!B10)*СПРАВОЧНИК!$L$9+('ФАКТ ЧИСТ К3'!C10)*СПРАВОЧНИК!$M$9+('ФАКТ ЧИСТ К3'!D10)*СПРАВОЧНИК!$N$9+('ФАКТ ЧИСТ К3'!E10)*СПРАВОЧНИК!$O$9+('ФАКТ ЧИСТ К3'!F10)*СПРАВОЧНИК!$P$9+('ФАКТ ЧИСТ К3'!G10)*СПРАВОЧНИК!$L$10+('ФАКТ ЧИСТ К3'!H10)*СПРАВОЧНИК!$M$10+('ФАКТ ЧИСТ К3'!I10)*СПРАВОЧНИК!$N$10+('ФАКТ ЧИСТ К3'!J10)*СПРАВОЧНИК!$O$10+('ФАКТ ЧИСТ К3'!K10)*СПРАВОЧНИК!$P$10+('ФАКТ ЧИСТ К3'!L10)*СПРАВОЧНИК!$L$11+('ФАКТ ЧИСТ К3'!M10)*СПРАВОЧНИК!$M$11+('ФАКТ ЧИСТ К3'!N10)*СПРАВОЧНИК!$N$11+('ФАКТ ЧИСТ К3'!O10)*СПРАВОЧНИК!$O$11+('ФАКТ ЧИСТ К3'!P10)*СПРАВОЧНИК!$P$11+('ФАКТ ЧИСТ К3'!Q10)*СПРАВОЧНИК!$L$12+('ФАКТ ЧИСТ К3'!R10)*СПРАВОЧНИК!$M$12+('ФАКТ ЧИСТ К3'!S10)*СПРАВОЧНИК!$N$12+('ФАКТ ЧИСТ К3'!T10)*СПРАВОЧНИК!$O$12+('ФАКТ ЧИСТ К3'!U10)*СПРАВОЧНИК!$P$12+('ФАКТ ЧИСТ К3'!V10)*СПРАВОЧНИК!$L$13+('ФАКТ ЧИСТ К3'!W10)*СПРАВОЧНИК!$M$13+('ФАКТ ЧИСТ К3'!X10)*СПРАВОЧНИК!$N$13+('ФАКТ ЧИСТ К3'!Y10)*СПРАВОЧНИК!$O$13+('ФАКТ ЧИСТ К3'!Z10)*СПРАВОЧНИК!$P$13+('ФАКТ ЧИСТ К3'!AA10)*СПРАВОЧНИК!$L$14+('ФАКТ ЧИСТ К3'!AB10)*СПРАВОЧНИК!$M$14+('ФАКТ ЧИСТ К3'!AC10)*СПРАВОЧНИК!$N$14+('ФАКТ ЧИСТ К3'!AD10)*СПРАВОЧНИК!$O$14+('ФАКТ ЧИСТ К3'!AE10)*СПРАВОЧНИК!$P$14+('ФАКТ ЧИСТ К3'!AF10)*СПРАВОЧНИК!$L$15+('ФАКТ ЧИСТ К3'!AG10)*СПРАВОЧНИК!$M$15+('ФАКТ ЧИСТ К3'!AH10)*СПРАВОЧНИК!$N$15+('ФАКТ ЧИСТ К3'!AI10)*СПРАВОЧНИК!$O$15+('ФАКТ ЧИСТ К3'!AJ10)*СПРАВОЧНИК!$P$15</f>
        <v/>
      </c>
      <c r="BS19" s="34" t="n"/>
      <c r="BV19" s="152">
        <f>BV18+7</f>
        <v/>
      </c>
      <c r="BW19" s="17">
        <f>U19*СПРАВОЧНИК!$K$28+AM19*СПРАВОЧНИК!$K$29+BE19*СПРАВОЧНИК!$K$30</f>
        <v/>
      </c>
      <c r="BX19" s="31">
        <f>V19*СПРАВОЧНИК!$K$28+AN19*СПРАВОЧНИК!$K$29+BF19*СПРАВОЧНИК!$K$30</f>
        <v/>
      </c>
      <c r="BY19" s="34" t="n"/>
      <c r="CB19" s="152">
        <f>CB18+7</f>
        <v/>
      </c>
      <c r="CC19" s="17">
        <f>AA19*СПРАВОЧНИК!$K$28+AS19*СПРАВОЧНИК!$K$29+BK19*СПРАВОЧНИК!$K$30</f>
        <v/>
      </c>
      <c r="CD19" s="31">
        <f>AB19*СПРАВОЧНИК!$K$28+AT19*СПРАВОЧНИК!$K$29+BL19*СПРАВОЧНИК!$K$30</f>
        <v/>
      </c>
      <c r="CE19" s="34" t="n"/>
      <c r="CH19" s="152">
        <f>CH18+7</f>
        <v/>
      </c>
      <c r="CI19" s="17">
        <f>AG19*СПРАВОЧНИК!$K$28+AY19*СПРАВОЧНИК!$K$29+BQ19*СПРАВОЧНИК!$K$30</f>
        <v/>
      </c>
      <c r="CJ19" s="31">
        <f>AH19*СПРАВОЧНИК!$K$28+AZ19*СПРАВОЧНИК!$K$29+BR19*СПРАВОЧНИК!$K$30</f>
        <v/>
      </c>
      <c r="CK19" s="34" t="n"/>
      <c r="CN19" s="152">
        <f>CN18+7</f>
        <v/>
      </c>
      <c r="CO19" s="17">
        <f>C19*СПРАВОЧНИК!$W$18+BW19*СПРАВОЧНИК!$W$19</f>
        <v/>
      </c>
      <c r="CP19" s="31">
        <f>D19*СПРАВОЧНИК!$W$18+BX19*СПРАВОЧНИК!$W$19</f>
        <v/>
      </c>
      <c r="CQ19" s="34" t="n"/>
      <c r="CT19" s="152">
        <f>CT18+7</f>
        <v/>
      </c>
      <c r="CU19" s="17">
        <f>I19*СПРАВОЧНИК!$W$18+CC19*СПРАВОЧНИК!$W$19</f>
        <v/>
      </c>
      <c r="CV19" s="31">
        <f>J19*СПРАВОЧНИК!$W$18+CD19*СПРАВОЧНИК!$W$19</f>
        <v/>
      </c>
      <c r="CW19" s="34" t="n"/>
      <c r="CZ19" s="152">
        <f>CZ18+7</f>
        <v/>
      </c>
      <c r="DA19" s="17">
        <f>O19*СПРАВОЧНИК!$W$18+CI19*СПРАВОЧНИК!$W$19</f>
        <v/>
      </c>
      <c r="DB19" s="31">
        <f>P19*СПРАВОЧНИК!$W$18+CJ19*СПРАВОЧНИК!$W$19</f>
        <v/>
      </c>
      <c r="DC19" s="34" t="n"/>
    </row>
    <row r="20">
      <c r="B20" s="152">
        <f>B19+7</f>
        <v/>
      </c>
      <c r="C20" s="17">
        <f>СПРАВОЧНИК!$E$3*('ПЛАН ЧЕРН ПОДЗЕМ'!B11*СПРАВОЧНИК!$H$3+'ПЛАН ЧЕРН ПОДЗЕМ'!C11*СПРАВОЧНИК!$I$3+'ПЛАН ЧЕРН ПОДЗЕМ'!D11*СПРАВОЧНИК!$J$3)+СПРАВОЧНИК!$F$3*('ПЛАН ЧИСТ ПОДЗЕМ'!B11*СПРАВОЧНИК!$L$3+'ПЛАН ЧИСТ ПОДЗЕМ'!C11*СПРАВОЧНИК!$M$3+'ПЛАН ЧИСТ ПОДЗЕМ'!D11*СПРАВОЧНИК!$N$3+'ПЛАН ЧИСТ ПОДЗЕМ'!E11*СПРАВОЧНИК!$O$3+'ПЛАН ЧИСТ ПОДЗЕМ'!F11*СПРАВОЧНИК!$P$3)+СПРАВОЧНИК!$E$4*('ПЛАН ЧЕРН ПОДЗЕМ'!E11*СПРАВОЧНИК!$H$4+'ПЛАН ЧЕРН ПОДЗЕМ'!F11*СПРАВОЧНИК!$I$4+'ПЛАН ЧЕРН ПОДЗЕМ'!G11*СПРАВОЧНИК!$J$4)+СПРАВОЧНИК!$F$4*('ПЛАН ЧИСТ ПОДЗЕМ'!G11*СПРАВОЧНИК!$L$4+'ПЛАН ЧИСТ ПОДЗЕМ'!H11*СПРАВОЧНИК!$M$4+'ПЛАН ЧИСТ ПОДЗЕМ'!I11*СПРАВОЧНИК!$N$4+'ПЛАН ЧИСТ ПОДЗЕМ'!J11*СПРАВОЧНИК!$O$4+'ПЛАН ЧИСТ ПОДЗЕМ'!K11*СПРАВОЧНИК!$P$4)+СПРАВОЧНИК!$E$5*('ПЛАН ЧЕРН ПОДЗЕМ'!H11*СПРАВОЧНИК!$H$5+'ПЛАН ЧЕРН ПОДЗЕМ'!I11*СПРАВОЧНИК!$I$5+'ПЛАН ЧЕРН ПОДЗЕМ'!J11*СПРАВОЧНИК!$J$5)+СПРАВОЧНИК!$F$5*('ПЛАН ЧИСТ ПОДЗЕМ'!L11*СПРАВОЧНИК!$L$5+'ПЛАН ЧИСТ ПОДЗЕМ'!M11*СПРАВОЧНИК!$M$5+'ПЛАН ЧИСТ ПОДЗЕМ'!N11*СПРАВОЧНИК!$N$5+'ПЛАН ЧИСТ ПОДЗЕМ'!O11*СПРАВОЧНИК!$O$5+'ПЛАН ЧИСТ ПОДЗЕМ'!P11*СПРАВОЧНИК!$P$5)+СПРАВОЧНИК!$E$6*('ПЛАН ЧЕРН ПОДЗЕМ'!K11*СПРАВОЧНИК!$H$6+'ПЛАН ЧЕРН ПОДЗЕМ'!L11*СПРАВОЧНИК!$I$6+'ПЛАН ЧЕРН ПОДЗЕМ'!M11*СПРАВОЧНИК!$J$6)+СПРАВОЧНИК!$F$6*('ПЛАН ЧИСТ ПОДЗЕМ'!Q11*СПРАВОЧНИК!$L$6+'ПЛАН ЧИСТ ПОДЗЕМ'!R11*СПРАВОЧНИК!$M$6+'ПЛАН ЧИСТ ПОДЗЕМ'!S11*СПРАВОЧНИК!$N$6+'ПЛАН ЧИСТ ПОДЗЕМ'!T11*СПРАВОЧНИК!$O$6+'ПЛАН ЧИСТ ПОДЗЕМ'!U11*СПРАВОЧНИК!$P$6)+СПРАВОЧНИК!$E$7*('ПЛАН ЧЕРН ПОДЗЕМ'!N11*СПРАВОЧНИК!$H$7+'ПЛАН ЧЕРН ПОДЗЕМ'!O11*СПРАВОЧНИК!$I$7+'ПЛАН ЧЕРН ПОДЗЕМ'!P11*СПРАВОЧНИК!$J$7)+СПРАВОЧНИК!$F$7*('ПЛАН ЧИСТ ПОДЗЕМ'!V11*СПРАВОЧНИК!$L$7+'ПЛАН ЧИСТ ПОДЗЕМ'!W11*СПРАВОЧНИК!$M$7+'ПЛАН ЧИСТ ПОДЗЕМ'!X11*СПРАВОЧНИК!$N$7+'ПЛАН ЧИСТ ПОДЗЕМ'!Y11*СПРАВОЧНИК!$O$7+'ПЛАН ЧИСТ ПОДЗЕМ'!Z11*СПРАВОЧНИК!$P$7)+СПРАВОЧНИК!$E$8*('ПЛАН ЧЕРН ПОДЗЕМ'!Q11*СПРАВОЧНИК!$H$8+'ПЛАН ЧЕРН ПОДЗЕМ'!R11*СПРАВОЧНИК!$I$8+'ПЛАН ЧЕРН ПОДЗЕМ'!S11*СПРАВОЧНИК!$J$8)+СПРАВОЧНИК!$F$8*('ПЛАН ЧИСТ ПОДЗЕМ'!AA11*СПРАВОЧНИК!$L$8+'ПЛАН ЧИСТ ПОДЗЕМ'!AB11*СПРАВОЧНИК!$M$8+'ПЛАН ЧИСТ ПОДЗЕМ'!AC11*СПРАВОЧНИК!$N$8+'ПЛАН ЧИСТ ПОДЗЕМ'!AD11*СПРАВОЧНИК!$O$8+'ПЛАН ЧИСТ ПОДЗЕМ'!AE11*СПРАВОЧНИК!$P$8)</f>
        <v/>
      </c>
      <c r="D20" s="31">
        <f>СПРАВОЧНИК!$E$3*('ФАКТ ЧЕРН ПОДЗЕМ'!B11*СПРАВОЧНИК!$H$3+'ФАКТ ЧЕРН ПОДЗЕМ'!C11*СПРАВОЧНИК!$I$3+'ФАКТ ЧЕРН ПОДЗЕМ'!D11*СПРАВОЧНИК!$J$3)+СПРАВОЧНИК!$F$3*('ФАКТ ЧИСТ ПОДЗЕМ'!B11*СПРАВОЧНИК!$L$3+'ФАКТ ЧИСТ ПОДЗЕМ'!C11*СПРАВОЧНИК!$M$3+'ФАКТ ЧИСТ ПОДЗЕМ'!D11*СПРАВОЧНИК!$N$3+'ФАКТ ЧИСТ ПОДЗЕМ'!E11*СПРАВОЧНИК!$O$3+'ФАКТ ЧИСТ ПОДЗЕМ'!F11*СПРАВОЧНИК!$P$3)+СПРАВОЧНИК!$E$4*('ФАКТ ЧЕРН ПОДЗЕМ'!E11*СПРАВОЧНИК!$H$4+'ФАКТ ЧЕРН ПОДЗЕМ'!F11*СПРАВОЧНИК!$I$4+'ФАКТ ЧЕРН ПОДЗЕМ'!G11*СПРАВОЧНИК!$J$4)+СПРАВОЧНИК!$F$4*('ФАКТ ЧИСТ ПОДЗЕМ'!G11*СПРАВОЧНИК!$L$4+'ФАКТ ЧИСТ ПОДЗЕМ'!H11*СПРАВОЧНИК!$M$4+'ФАКТ ЧИСТ ПОДЗЕМ'!I11*СПРАВОЧНИК!$N$4+'ФАКТ ЧИСТ ПОДЗЕМ'!J11*СПРАВОЧНИК!$O$4+'ФАКТ ЧИСТ ПОДЗЕМ'!K11*СПРАВОЧНИК!$P$4)+СПРАВОЧНИК!$E$5*('ФАКТ ЧЕРН ПОДЗЕМ'!H11*СПРАВОЧНИК!$H$5+'ФАКТ ЧЕРН ПОДЗЕМ'!I11*СПРАВОЧНИК!$I$5+'ФАКТ ЧЕРН ПОДЗЕМ'!J11*СПРАВОЧНИК!$J$5)+СПРАВОЧНИК!$F$5*('ФАКТ ЧИСТ ПОДЗЕМ'!L11*СПРАВОЧНИК!$L$5+'ФАКТ ЧИСТ ПОДЗЕМ'!M11*СПРАВОЧНИК!$M$5+'ФАКТ ЧИСТ ПОДЗЕМ'!N11*СПРАВОЧНИК!$N$5+'ФАКТ ЧИСТ ПОДЗЕМ'!O11*СПРАВОЧНИК!$O$5+'ФАКТ ЧИСТ ПОДЗЕМ'!P11*СПРАВОЧНИК!$P$5)+СПРАВОЧНИК!$E$6*('ФАКТ ЧЕРН ПОДЗЕМ'!K11*СПРАВОЧНИК!$H$6+'ФАКТ ЧЕРН ПОДЗЕМ'!L11*СПРАВОЧНИК!$I$6+'ФАКТ ЧЕРН ПОДЗЕМ'!M11*СПРАВОЧНИК!$J$6)+СПРАВОЧНИК!$F$6*('ФАКТ ЧИСТ ПОДЗЕМ'!Q11*СПРАВОЧНИК!$L$6+'ФАКТ ЧИСТ ПОДЗЕМ'!R11*СПРАВОЧНИК!$M$6+'ФАКТ ЧИСТ ПОДЗЕМ'!S11*СПРАВОЧНИК!$N$6+'ФАКТ ЧИСТ ПОДЗЕМ'!T11*СПРАВОЧНИК!$O$6+'ФАКТ ЧИСТ ПОДЗЕМ'!U11*СПРАВОЧНИК!$P$6)+СПРАВОЧНИК!$E$7*('ФАКТ ЧЕРН ПОДЗЕМ'!N11*СПРАВОЧНИК!$H$7+'ФАКТ ЧЕРН ПОДЗЕМ'!O11*СПРАВОЧНИК!$I$7+'ФАКТ ЧЕРН ПОДЗЕМ'!P11*СПРАВОЧНИК!$J$7)+СПРАВОЧНИК!$F$7*('ФАКТ ЧИСТ ПОДЗЕМ'!V11*СПРАВОЧНИК!$L$7+'ФАКТ ЧИСТ ПОДЗЕМ'!W11*СПРАВОЧНИК!$M$7+'ФАКТ ЧИСТ ПОДЗЕМ'!X11*СПРАВОЧНИК!$N$7+'ФАКТ ЧИСТ ПОДЗЕМ'!Y11*СПРАВОЧНИК!$O$7+'ФАКТ ЧИСТ ПОДЗЕМ'!Z11*СПРАВОЧНИК!$P$7)+СПРАВОЧНИК!$E$8*('ФАКТ ЧЕРН ПОДЗЕМ'!Q11*СПРАВОЧНИК!$H$8+'ФАКТ ЧЕРН ПОДЗЕМ'!R11*СПРАВОЧНИК!$I$8+'ФАКТ ЧЕРН ПОДЗЕМ'!S11*СПРАВОЧНИК!$J$8)+СПРАВОЧНИК!$F$8*('ФАКТ ЧИСТ ПОДЗЕМ'!AA11*СПРАВОЧНИК!$L$8+'ФАКТ ЧИСТ ПОДЗЕМ'!AB11*СПРАВОЧНИК!$M$8+'ФАКТ ЧИСТ ПОДЗЕМ'!AC11*СПРАВОЧНИК!$N$8+'ФАКТ ЧИСТ ПОДЗЕМ'!AD11*СПРАВОЧНИК!$O$8+'ФАКТ ЧИСТ ПОДЗЕМ'!AE11*СПРАВОЧНИК!$P$8)</f>
        <v/>
      </c>
      <c r="E20" s="34" t="n"/>
      <c r="H20" s="152">
        <f>H19+7</f>
        <v/>
      </c>
      <c r="I20" s="17">
        <f>'ПЛАН ЧЕРН ПОДЗЕМ'!B11*СПРАВОЧНИК!$H$3+'ПЛАН ЧЕРН ПОДЗЕМ'!C11*СПРАВОЧНИК!$I$3+'ПЛАН ЧЕРН ПОДЗЕМ'!D11*СПРАВОЧНИК!$J$3+'ПЛАН ЧЕРН ПОДЗЕМ'!E11*СПРАВОЧНИК!$H$4+'ПЛАН ЧЕРН ПОДЗЕМ'!F11*СПРАВОЧНИК!$I$4+'ПЛАН ЧЕРН ПОДЗЕМ'!G11*СПРАВОЧНИК!$J$4+'ПЛАН ЧЕРН ПОДЗЕМ'!H11*СПРАВОЧНИК!$H$5+'ПЛАН ЧЕРН ПОДЗЕМ'!I11*СПРАВОЧНИК!$I$5+'ПЛАН ЧЕРН ПОДЗЕМ'!J11*СПРАВОЧНИК!$J$5+'ПЛАН ЧЕРН ПОДЗЕМ'!K11*СПРАВОЧНИК!$H$6+'ПЛАН ЧЕРН ПОДЗЕМ'!L11*СПРАВОЧНИК!$I$6+'ПЛАН ЧЕРН ПОДЗЕМ'!M11*СПРАВОЧНИК!$J$6+'ПЛАН ЧЕРН ПОДЗЕМ'!N11*СПРАВОЧНИК!$H$7+'ПЛАН ЧЕРН ПОДЗЕМ'!O11*СПРАВОЧНИК!$I$7+'ПЛАН ЧЕРН ПОДЗЕМ'!P11*СПРАВОЧНИК!$J$7+'ПЛАН ЧЕРН ПОДЗЕМ'!Q11*СПРАВОЧНИК!$H$8+'ПЛАН ЧЕРН ПОДЗЕМ'!R11*СПРАВОЧНИК!$I$8+'ПЛАН ЧЕРН ПОДЗЕМ'!S11*СПРАВОЧНИК!$J$8</f>
        <v/>
      </c>
      <c r="J20" s="31">
        <f>('ФАКТ ЧЕРН ПОДЗЕМ'!B11)*СПРАВОЧНИК!$H$3+('ФАКТ ЧЕРН ПОДЗЕМ'!C11)*СПРАВОЧНИК!$I$3+('ФАКТ ЧЕРН ПОДЗЕМ'!D11)*СПРАВОЧНИК!$J$3+('ФАКТ ЧЕРН ПОДЗЕМ'!E11)*СПРАВОЧНИК!$H$4+('ФАКТ ЧЕРН ПОДЗЕМ'!F11)*СПРАВОЧНИК!$I$4+('ФАКТ ЧЕРН ПОДЗЕМ'!G11)*СПРАВОЧНИК!$J$4+('ФАКТ ЧЕРН ПОДЗЕМ'!H11)*СПРАВОЧНИК!$H$5+('ФАКТ ЧЕРН ПОДЗЕМ'!I11)*СПРАВОЧНИК!$I$5+('ФАКТ ЧЕРН ПОДЗЕМ'!J11)*СПРАВОЧНИК!$J$5+('ФАКТ ЧЕРН ПОДЗЕМ'!K11)*СПРАВОЧНИК!$H$6+('ФАКТ ЧЕРН ПОДЗЕМ'!L11)*СПРАВОЧНИК!$I$6+('ФАКТ ЧЕРН ПОДЗЕМ'!M11)*СПРАВОЧНИК!$J$6+('ФАКТ ЧЕРН ПОДЗЕМ'!N11)*СПРАВОЧНИК!$H$7+('ФАКТ ЧЕРН ПОДЗЕМ'!O11)*СПРАВОЧНИК!$I$7+('ФАКТ ЧЕРН ПОДЗЕМ'!P11)*СПРАВОЧНИК!$J$7+('ФАКТ ЧЕРН ПОДЗЕМ'!Q11)*СПРАВОЧНИК!$H$8+('ФАКТ ЧЕРН ПОДЗЕМ'!R11)*СПРАВОЧНИК!$I$8+('ФАКТ ЧЕРН ПОДЗЕМ'!S11)*СПРАВОЧНИК!$J$8</f>
        <v/>
      </c>
      <c r="K20" s="34" t="n"/>
      <c r="N20" s="152">
        <f>N19+7</f>
        <v/>
      </c>
      <c r="O20" s="17">
        <f>'ПЛАН ЧИСТ ПОДЗЕМ'!B11*СПРАВОЧНИК!$L$3+'ПЛАН ЧИСТ ПОДЗЕМ'!C11*СПРАВОЧНИК!$M$3+'ПЛАН ЧИСТ ПОДЗЕМ'!D11*СПРАВОЧНИК!$N$3+'ПЛАН ЧИСТ ПОДЗЕМ'!E11*СПРАВОЧНИК!$O$3+'ПЛАН ЧИСТ ПОДЗЕМ'!F11*СПРАВОЧНИК!$P$3+'ПЛАН ЧИСТ ПОДЗЕМ'!G11*СПРАВОЧНИК!$L$4+'ПЛАН ЧИСТ ПОДЗЕМ'!H11*СПРАВОЧНИК!$M$4+'ПЛАН ЧИСТ ПОДЗЕМ'!I11*СПРАВОЧНИК!$N$4+'ПЛАН ЧИСТ ПОДЗЕМ'!J11*СПРАВОЧНИК!$O$4+'ПЛАН ЧИСТ ПОДЗЕМ'!K11*СПРАВОЧНИК!$P$4+'ПЛАН ЧИСТ ПОДЗЕМ'!L11*СПРАВОЧНИК!$L$5+'ПЛАН ЧИСТ ПОДЗЕМ'!M11*СПРАВОЧНИК!$M$5+'ПЛАН ЧИСТ ПОДЗЕМ'!N11*СПРАВОЧНИК!$N$5+'ПЛАН ЧИСТ ПОДЗЕМ'!O11*СПРАВОЧНИК!$O$5+'ПЛАН ЧИСТ ПОДЗЕМ'!P11*СПРАВОЧНИК!$P$5+'ПЛАН ЧИСТ ПОДЗЕМ'!Q11*СПРАВОЧНИК!$L$6+'ПЛАН ЧИСТ ПОДЗЕМ'!R11*СПРАВОЧНИК!$M$6+'ПЛАН ЧИСТ ПОДЗЕМ'!S11*СПРАВОЧНИК!$N$6+'ПЛАН ЧИСТ ПОДЗЕМ'!T11*СПРАВОЧНИК!$O$6+'ПЛАН ЧИСТ ПОДЗЕМ'!U11*СПРАВОЧНИК!$P$6+'ПЛАН ЧИСТ ПОДЗЕМ'!V11*СПРАВОЧНИК!$L$7+'ПЛАН ЧИСТ ПОДЗЕМ'!W11*СПРАВОЧНИК!$M$7+'ПЛАН ЧИСТ ПОДЗЕМ'!X11*СПРАВОЧНИК!$N$7+'ПЛАН ЧИСТ ПОДЗЕМ'!Y11*СПРАВОЧНИК!$O$7+'ПЛАН ЧИСТ ПОДЗЕМ'!Z11*СПРАВОЧНИК!$P$7+'ПЛАН ЧИСТ ПОДЗЕМ'!AA11*СПРАВОЧНИК!$L$8+'ПЛАН ЧИСТ ПОДЗЕМ'!AB11*СПРАВОЧНИК!$M$8+'ПЛАН ЧИСТ ПОДЗЕМ'!AC11*СПРАВОЧНИК!$N$8+'ПЛАН ЧИСТ ПОДЗЕМ'!AD11*СПРАВОЧНИК!$O$8+'ПЛАН ЧИСТ ПОДЗЕМ'!AE11*СПРАВОЧНИК!$P$8</f>
        <v/>
      </c>
      <c r="P20" s="31">
        <f>('ФАКТ ЧИСТ ПОДЗЕМ'!B11)*СПРАВОЧНИК!$L$3+('ФАКТ ЧИСТ ПОДЗЕМ'!C11)*СПРАВОЧНИК!$M$3+('ФАКТ ЧИСТ ПОДЗЕМ'!D11)*СПРАВОЧНИК!$N$3+('ФАКТ ЧИСТ ПОДЗЕМ'!E11)*СПРАВОЧНИК!$O$3+('ФАКТ ЧИСТ ПОДЗЕМ'!F11)*СПРАВОЧНИК!$P$3+('ФАКТ ЧИСТ ПОДЗЕМ'!G11)*СПРАВОЧНИК!$L$4+('ФАКТ ЧИСТ ПОДЗЕМ'!H11)*СПРАВОЧНИК!$M$4+('ФАКТ ЧИСТ ПОДЗЕМ'!I11)*СПРАВОЧНИК!$N$4+('ФАКТ ЧИСТ ПОДЗЕМ'!J11)*СПРАВОЧНИК!$O$4+('ФАКТ ЧИСТ ПОДЗЕМ'!K11)*СПРАВОЧНИК!$P$4+('ФАКТ ЧИСТ ПОДЗЕМ'!L11)*СПРАВОЧНИК!$L$5+('ФАКТ ЧИСТ ПОДЗЕМ'!M11)*СПРАВОЧНИК!$M$5+('ФАКТ ЧИСТ ПОДЗЕМ'!N11)*СПРАВОЧНИК!$N$5+('ФАКТ ЧИСТ ПОДЗЕМ'!O11)*СПРАВОЧНИК!$O$5+('ФАКТ ЧИСТ ПОДЗЕМ'!P11)*СПРАВОЧНИК!$P$5+('ФАКТ ЧИСТ ПОДЗЕМ'!Q11)*СПРАВОЧНИК!$L$6+('ФАКТ ЧИСТ ПОДЗЕМ'!R11)*СПРАВОЧНИК!$M$6+('ФАКТ ЧИСТ ПОДЗЕМ'!S11)*СПРАВОЧНИК!$N$6+('ФАКТ ЧИСТ ПОДЗЕМ'!T11)*СПРАВОЧНИК!$O$6+('ФАКТ ЧИСТ ПОДЗЕМ'!U11)*СПРАВОЧНИК!$P$6+('ФАКТ ЧИСТ ПОДЗЕМ'!V11)*СПРАВОЧНИК!$L$7+('ФАКТ ЧИСТ ПОДЗЕМ'!W11)*СПРАВОЧНИК!$M$7+('ФАКТ ЧИСТ ПОДЗЕМ'!X11)*СПРАВОЧНИК!$N$7+('ФАКТ ЧИСТ ПОДЗЕМ'!Y11)*СПРАВОЧНИК!$O$7+('ФАКТ ЧИСТ ПОДЗЕМ'!Z11)*СПРАВОЧНИК!$P$7+('ФАКТ ЧИСТ ПОДЗЕМ'!AA11)*СПРАВОЧНИК!$L$8+('ФАКТ ЧИСТ ПОДЗЕМ'!AB11)*СПРАВОЧНИК!$M$8+('ФАКТ ЧИСТ ПОДЗЕМ'!AC11)*СПРАВОЧНИК!$N$8+('ФАКТ ЧИСТ ПОДЗЕМ'!AD11)*СПРАВОЧНИК!$O$8+('ФАКТ ЧИСТ ПОДЗЕМ'!AE11)*СПРАВОЧНИК!$P$8</f>
        <v/>
      </c>
      <c r="Q20" s="34" t="n"/>
      <c r="T20" s="152">
        <f>T19+7</f>
        <v/>
      </c>
      <c r="U20" s="17">
        <f>СПРАВОЧНИК!$E$9*('ПЛАН ЧЕРН К1'!B11*СПРАВОЧНИК!$H$9+'ПЛАН ЧЕРН К1'!C11*СПРАВОЧНИК!$I$9+'ПЛАН ЧЕРН К1'!D11*СПРАВОЧНИК!$J$9)+СПРАВОЧНИК!$F$9*('ПЛАН ЧИСТ К1'!B11*СПРАВОЧНИК!$L$9+'ПЛАН ЧИСТ К1'!C11*СПРАВОЧНИК!$M$9+'ПЛАН ЧИСТ К1'!D11*СПРАВОЧНИК!$N$9+'ПЛАН ЧИСТ К1'!E11*СПРАВОЧНИК!$O$9+'ПЛАН ЧИСТ К1'!F11*СПРАВОЧНИК!$P$9)+СПРАВОЧНИК!$E$10*('ПЛАН ЧЕРН К1'!E11*СПРАВОЧНИК!$H$10+'ПЛАН ЧЕРН К1'!F11*СПРАВОЧНИК!$I$10+'ПЛАН ЧЕРН К1'!G11*СПРАВОЧНИК!$J$10)+СПРАВОЧНИК!$F$10*('ПЛАН ЧИСТ К1'!G11*СПРАВОЧНИК!$L$10+'ПЛАН ЧИСТ К1'!H11*СПРАВОЧНИК!$M$10+'ПЛАН ЧИСТ К1'!I11*СПРАВОЧНИК!$N$10+'ПЛАН ЧИСТ К1'!J11*СПРАВОЧНИК!$O$10+'ПЛАН ЧИСТ К1'!K11*СПРАВОЧНИК!$P$10)+СПРАВОЧНИК!$E$11*('ПЛАН ЧЕРН К1'!H11*СПРАВОЧНИК!$H$11+'ПЛАН ЧЕРН К1'!I11*СПРАВОЧНИК!$I$11+'ПЛАН ЧЕРН К1'!J11*СПРАВОЧНИК!$J$11)+СПРАВОЧНИК!$F$11*('ПЛАН ЧИСТ К1'!L11*СПРАВОЧНИК!$L$11+'ПЛАН ЧИСТ К1'!M11*СПРАВОЧНИК!$M$11+'ПЛАН ЧИСТ К1'!N11*СПРАВОЧНИК!$N$11+'ПЛАН ЧИСТ К1'!O11*СПРАВОЧНИК!$O$11+'ПЛАН ЧИСТ К1'!P11*СПРАВОЧНИК!$P$11)+СПРАВОЧНИК!$E$12*('ПЛАН ЧЕРН К1'!K11*СПРАВОЧНИК!$H$12+'ПЛАН ЧЕРН К1'!L11*СПРАВОЧНИК!$I$12+'ПЛАН ЧЕРН К1'!M11*СПРАВОЧНИК!$J$12)+СПРАВОЧНИК!$F$12*('ПЛАН ЧИСТ К1'!Q11*СПРАВОЧНИК!$L$12+'ПЛАН ЧИСТ К1'!R11*СПРАВОЧНИК!$M$12+'ПЛАН ЧИСТ К1'!S11*СПРАВОЧНИК!$N$12+'ПЛАН ЧИСТ К1'!T11*СПРАВОЧНИК!$O$12+'ПЛАН ЧИСТ К1'!U11*СПРАВОЧНИК!$P$12)+СПРАВОЧНИК!$E$13*('ПЛАН ЧЕРН К1'!N11*СПРАВОЧНИК!$H$13+'ПЛАН ЧЕРН К1'!O11*СПРАВОЧНИК!$I$13+'ПЛАН ЧЕРН К1'!P11*СПРАВОЧНИК!$J$13)+СПРАВОЧНИК!$F$13*('ПЛАН ЧИСТ К1'!V11*СПРАВОЧНИК!$L$13+'ПЛАН ЧИСТ К1'!W11*СПРАВОЧНИК!$M$13+'ПЛАН ЧИСТ К1'!X11*СПРАВОЧНИК!$N$13+'ПЛАН ЧИСТ К1'!Y11*СПРАВОЧНИК!$O$13+'ПЛАН ЧИСТ К1'!Z11*СПРАВОЧНИК!$P$13)+СПРАВОЧНИК!$E$14*('ПЛАН ЧЕРН К1'!Q11*СПРАВОЧНИК!$H$14+'ПЛАН ЧЕРН К1'!R11*СПРАВОЧНИК!$I$14+'ПЛАН ЧЕРН К1'!S11*СПРАВОЧНИК!$J$14)+СПРАВОЧНИК!$F$14*('ПЛАН ЧИСТ К1'!AA11*СПРАВОЧНИК!$L$14+'ПЛАН ЧИСТ К1'!AB11*СПРАВОЧНИК!$M$14+'ПЛАН ЧИСТ К1'!AC11*СПРАВОЧНИК!$N$14+'ПЛАН ЧИСТ К1'!AD11*СПРАВОЧНИК!$O$14+'ПЛАН ЧИСТ К1'!AE11*СПРАВОЧНИК!$P$14)+СПРАВОЧНИК!$E$15*('ПЛАН ЧЕРН К1'!T11*СПРАВОЧНИК!$H$15+'ПЛАН ЧЕРН К1'!U11*СПРАВОЧНИК!$I$15+'ПЛАН ЧЕРН К1'!V11*СПРАВОЧНИК!$J$15)+СПРАВОЧНИК!$F$15*('ПЛАН ЧИСТ К1'!AF11*СПРАВОЧНИК!$L$15+'ПЛАН ЧИСТ К1'!AG11*СПРАВОЧНИК!$M$15+'ПЛАН ЧИСТ К1'!AH11*СПРАВОЧНИК!$N$15+'ПЛАН ЧИСТ К1'!AI11*СПРАВОЧНИК!$O$15+'ПЛАН ЧИСТ К1'!AJ11*СПРАВОЧНИК!$P$15)</f>
        <v/>
      </c>
      <c r="V20" s="31">
        <f>СПРАВОЧНИК!$E$9*('ФАКТ ЧЕРН К1'!B11*СПРАВОЧНИК!$H$9+'ФАКТ ЧЕРН К1'!C11*СПРАВОЧНИК!$I$9+'ФАКТ ЧЕРН К1'!D11*СПРАВОЧНИК!$J$9)+СПРАВОЧНИК!$F$9*('ФАКТ ЧИСТ К1'!B11*СПРАВОЧНИК!$L$9+'ФАКТ ЧИСТ К1'!C11*СПРАВОЧНИК!$M$9+'ФАКТ ЧИСТ К1'!D11*СПРАВОЧНИК!$N$9+'ФАКТ ЧИСТ К1'!E11*СПРАВОЧНИК!$O$9+'ФАКТ ЧИСТ К1'!F11*СПРАВОЧНИК!$P$9)+СПРАВОЧНИК!$E$10*('ФАКТ ЧЕРН К1'!E11*СПРАВОЧНИК!$H$10+'ФАКТ ЧЕРН К1'!F11*СПРАВОЧНИК!$I$10+'ФАКТ ЧЕРН К1'!G11*СПРАВОЧНИК!$J$10)+СПРАВОЧНИК!$F$10*('ФАКТ ЧИСТ К1'!G11*СПРАВОЧНИК!$L$10+'ФАКТ ЧИСТ К1'!H11*СПРАВОЧНИК!$M$10+'ФАКТ ЧИСТ К1'!I11*СПРАВОЧНИК!$N$10+'ФАКТ ЧИСТ К1'!J11*СПРАВОЧНИК!$O$10+'ФАКТ ЧИСТ К1'!K11*СПРАВОЧНИК!$P$10)+СПРАВОЧНИК!$E$11*('ФАКТ ЧЕРН К1'!H11*СПРАВОЧНИК!$H$11+'ФАКТ ЧЕРН К1'!I11*СПРАВОЧНИК!$I$11+'ФАКТ ЧЕРН К1'!J11*СПРАВОЧНИК!$J$11)+СПРАВОЧНИК!$F$11*('ФАКТ ЧИСТ К1'!L11*СПРАВОЧНИК!$L$11+'ФАКТ ЧИСТ К1'!M11*СПРАВОЧНИК!$M$11+'ФАКТ ЧИСТ К1'!N11*СПРАВОЧНИК!$N$11+'ФАКТ ЧИСТ К1'!O11*СПРАВОЧНИК!$O$11+'ФАКТ ЧИСТ К1'!P11*СПРАВОЧНИК!$P$11)+СПРАВОЧНИК!$E$12*('ФАКТ ЧЕРН К1'!K11*СПРАВОЧНИК!$H$12+'ФАКТ ЧЕРН К1'!L11*СПРАВОЧНИК!$I$12+'ФАКТ ЧЕРН К1'!M11*СПРАВОЧНИК!$J$12)+СПРАВОЧНИК!$F$12*('ФАКТ ЧИСТ К1'!Q11*СПРАВОЧНИК!$L$12+'ФАКТ ЧИСТ К1'!R11*СПРАВОЧНИК!$M$12+'ФАКТ ЧИСТ К1'!S11*СПРАВОЧНИК!$N$12+'ФАКТ ЧИСТ К1'!T11*СПРАВОЧНИК!$O$12+'ФАКТ ЧИСТ К1'!U11*СПРАВОЧНИК!$P$12)+СПРАВОЧНИК!$E$13*('ФАКТ ЧЕРН К1'!N11*СПРАВОЧНИК!$H$13+'ФАКТ ЧЕРН К1'!O11*СПРАВОЧНИК!$I$13+'ФАКТ ЧЕРН К1'!P11*СПРАВОЧНИК!$J$13)+СПРАВОЧНИК!$F$13*('ФАКТ ЧИСТ К1'!V11*СПРАВОЧНИК!$L$13+'ФАКТ ЧИСТ К1'!W11*СПРАВОЧНИК!$M$13+'ФАКТ ЧИСТ К1'!X11*СПРАВОЧНИК!$N$13+'ФАКТ ЧИСТ К1'!Y11*СПРАВОЧНИК!$O$13+'ФАКТ ЧИСТ К1'!Z11*СПРАВОЧНИК!$P$13)+СПРАВОЧНИК!$E$14*('ФАКТ ЧЕРН К1'!Q11*СПРАВОЧНИК!$H$14+'ФАКТ ЧЕРН К1'!R11*СПРАВОЧНИК!$I$14+'ФАКТ ЧЕРН К1'!S11*СПРАВОЧНИК!$J$14)+СПРАВОЧНИК!$F$14*('ФАКТ ЧИСТ К1'!AA11*СПРАВОЧНИК!$L$14+'ФАКТ ЧИСТ К1'!AB11*СПРАВОЧНИК!$M$14+'ФАКТ ЧИСТ К1'!AC11*СПРАВОЧНИК!$N$14+'ФАКТ ЧИСТ К1'!AD11*СПРАВОЧНИК!$O$14+'ФАКТ ЧИСТ К1'!AE11*СПРАВОЧНИК!$P$14)+СПРАВОЧНИК!$E$15*('ФАКТ ЧЕРН К1'!T11*СПРАВОЧНИК!$H$15+'ФАКТ ЧЕРН К1'!U11*СПРАВОЧНИК!$I$15+'ФАКТ ЧЕРН К1'!V11*СПРАВОЧНИК!$J$15)+СПРАВОЧНИК!$F$15*('ФАКТ ЧИСТ К1'!AF11*СПРАВОЧНИК!$L$15+'ФАКТ ЧИСТ К1'!AG11*СПРАВОЧНИК!$M$15+'ФАКТ ЧИСТ К1'!AH11*СПРАВОЧНИК!$N$15+'ФАКТ ЧИСТ К1'!AI11*СПРАВОЧНИК!$O$15+'ФАКТ ЧИСТ К1'!AJ11*СПРАВОЧНИК!$P$15)</f>
        <v/>
      </c>
      <c r="W20" s="34" t="n"/>
      <c r="Z20" s="152">
        <f>Z19+7</f>
        <v/>
      </c>
      <c r="AA20" s="17">
        <f>'ПЛАН ЧЕРН К1'!B11*СПРАВОЧНИК!$H$9+'ПЛАН ЧЕРН К1'!C11*СПРАВОЧНИК!$I$9+'ПЛАН ЧЕРН К1'!D11*СПРАВОЧНИК!$J$9+'ПЛАН ЧЕРН К1'!E11*СПРАВОЧНИК!$H$10+'ПЛАН ЧЕРН К1'!F11*СПРАВОЧНИК!$I$10+'ПЛАН ЧЕРН К1'!G11*СПРАВОЧНИК!$J$10+'ПЛАН ЧЕРН К1'!H11*СПРАВОЧНИК!$H$11+'ПЛАН ЧЕРН К1'!I11*СПРАВОЧНИК!$I$11+'ПЛАН ЧЕРН К1'!J11*СПРАВОЧНИК!$J$11+'ПЛАН ЧЕРН К1'!K11*СПРАВОЧНИК!$H$12+'ПЛАН ЧЕРН К1'!L11*СПРАВОЧНИК!$I$12+'ПЛАН ЧЕРН К1'!M11*СПРАВОЧНИК!$J$12+'ПЛАН ЧЕРН К1'!N11*СПРАВОЧНИК!$H$13+'ПЛАН ЧЕРН К1'!O11*СПРАВОЧНИК!$I$13+'ПЛАН ЧЕРН К1'!P11*СПРАВОЧНИК!$J$13+'ПЛАН ЧЕРН К1'!Q11*СПРАВОЧНИК!$H$14+'ПЛАН ЧЕРН К1'!R11*СПРАВОЧНИК!$I$14+'ПЛАН ЧЕРН К1'!S11*СПРАВОЧНИК!$J$14+'ПЛАН ЧЕРН К1'!T11*СПРАВОЧНИК!$H$15+'ПЛАН ЧЕРН К1'!U11*СПРАВОЧНИК!$I$15+'ПЛАН ЧЕРН К1'!V11*СПРАВОЧНИК!$J$15</f>
        <v/>
      </c>
      <c r="AB20" s="31">
        <f>('ФАКТ ЧЕРН К1'!B11)*СПРАВОЧНИК!$H$9+('ФАКТ ЧЕРН К1'!C11)*СПРАВОЧНИК!$I$9+('ФАКТ ЧЕРН К1'!D11)*СПРАВОЧНИК!$J$9+('ФАКТ ЧЕРН К1'!E11)*СПРАВОЧНИК!$H$10+('ФАКТ ЧЕРН К1'!F11)*СПРАВОЧНИК!$I$10+('ФАКТ ЧЕРН К1'!G11)*СПРАВОЧНИК!$J$10+('ФАКТ ЧЕРН К1'!H11)*СПРАВОЧНИК!$H$11+('ФАКТ ЧЕРН К1'!I11)*СПРАВОЧНИК!$I$11+('ФАКТ ЧЕРН К1'!J11)*СПРАВОЧНИК!$J$11+('ФАКТ ЧЕРН К1'!K11)*СПРАВОЧНИК!$H$12+('ФАКТ ЧЕРН К1'!L11)*СПРАВОЧНИК!$I$12+('ФАКТ ЧЕРН К1'!M11)*СПРАВОЧНИК!$J$12+('ФАКТ ЧЕРН К1'!N11)*СПРАВОЧНИК!$H$13+('ФАКТ ЧЕРН К1'!O11)*СПРАВОЧНИК!$I$13+('ФАКТ ЧЕРН К1'!P11)*СПРАВОЧНИК!$J$13+('ФАКТ ЧЕРН К1'!Q11)*СПРАВОЧНИК!$H$14+('ФАКТ ЧЕРН К1'!R11)*СПРАВОЧНИК!$I$14+('ФАКТ ЧЕРН К1'!S11)*СПРАВОЧНИК!$J$14+('ФАКТ ЧЕРН К1'!T11)*СПРАВОЧНИК!$H$15+('ФАКТ ЧЕРН К1'!U11)*СПРАВОЧНИК!$I$15+('ФАКТ ЧЕРН К1'!V11)*СПРАВОЧНИК!$J$15</f>
        <v/>
      </c>
      <c r="AC20" s="34" t="n"/>
      <c r="AF20" s="152">
        <f>AF19+7</f>
        <v/>
      </c>
      <c r="AG20" s="17">
        <f>'ПЛАН ЧИСТ К1'!B11*СПРАВОЧНИК!$L$9+'ПЛАН ЧИСТ К1'!C11*СПРАВОЧНИК!$M$9+'ПЛАН ЧИСТ К1'!D11*СПРАВОЧНИК!$N$9+'ПЛАН ЧИСТ К1'!E11*СПРАВОЧНИК!$O$9+'ПЛАН ЧИСТ К1'!F11*СПРАВОЧНИК!$P$9+'ПЛАН ЧИСТ К1'!G11*СПРАВОЧНИК!$L$10+'ПЛАН ЧИСТ К1'!H11*СПРАВОЧНИК!$M$10+'ПЛАН ЧИСТ К1'!I11*СПРАВОЧНИК!$N$10+'ПЛАН ЧИСТ К1'!J11*СПРАВОЧНИК!$O$10+'ПЛАН ЧИСТ К1'!K11*СПРАВОЧНИК!$P$10+'ПЛАН ЧИСТ К1'!L11*СПРАВОЧНИК!$L$11+'ПЛАН ЧИСТ К1'!M11*СПРАВОЧНИК!$M$11+'ПЛАН ЧИСТ К1'!N11*СПРАВОЧНИК!$N$11+'ПЛАН ЧИСТ К1'!O11*СПРАВОЧНИК!$O$11+'ПЛАН ЧИСТ К1'!P11*СПРАВОЧНИК!$P$11+'ПЛАН ЧИСТ К1'!Q11*СПРАВОЧНИК!$L$12+'ПЛАН ЧИСТ К1'!R11*СПРАВОЧНИК!$M$12+'ПЛАН ЧИСТ К1'!S11*СПРАВОЧНИК!$N$12+'ПЛАН ЧИСТ К1'!T11*СПРАВОЧНИК!$O$12+'ПЛАН ЧИСТ К1'!U11*СПРАВОЧНИК!$P$12+'ПЛАН ЧИСТ К1'!V11*СПРАВОЧНИК!$L$13+'ПЛАН ЧИСТ К1'!W11*СПРАВОЧНИК!$M$13+'ПЛАН ЧИСТ К1'!X11*СПРАВОЧНИК!$N$13+'ПЛАН ЧИСТ К1'!Y11*СПРАВОЧНИК!$O$13+'ПЛАН ЧИСТ К1'!Z11*СПРАВОЧНИК!$P$13+'ПЛАН ЧИСТ К1'!AA11*СПРАВОЧНИК!$L$14+'ПЛАН ЧИСТ К1'!AB11*СПРАВОЧНИК!$M$14+'ПЛАН ЧИСТ К1'!AC11*СПРАВОЧНИК!$N$14+'ПЛАН ЧИСТ К1'!AD11*СПРАВОЧНИК!$O$14+'ПЛАН ЧИСТ К1'!AE11*СПРАВОЧНИК!$P$14+'ПЛАН ЧИСТ К1'!AF11*СПРАВОЧНИК!$L$15+'ПЛАН ЧИСТ К1'!AG11*СПРАВОЧНИК!$M$15+'ПЛАН ЧИСТ К1'!AH11*СПРАВОЧНИК!$N$15+'ПЛАН ЧИСТ К1'!AI11*СПРАВОЧНИК!$O$15+'ПЛАН ЧИСТ К1'!AJ11*СПРАВОЧНИК!$P$15</f>
        <v/>
      </c>
      <c r="AH20" s="31">
        <f>('ФАКТ ЧИСТ К1'!B11)*СПРАВОЧНИК!$L$9+('ФАКТ ЧИСТ К1'!C11)*СПРАВОЧНИК!$M$9+('ФАКТ ЧИСТ К1'!D11)*СПРАВОЧНИК!$N$9+('ФАКТ ЧИСТ К1'!E11)*СПРАВОЧНИК!$O$9+('ФАКТ ЧИСТ К1'!F11)*СПРАВОЧНИК!$P$9+('ФАКТ ЧИСТ К1'!G11)*СПРАВОЧНИК!$L$10+('ФАКТ ЧИСТ К1'!H11)*СПРАВОЧНИК!$M$10+('ФАКТ ЧИСТ К1'!I11)*СПРАВОЧНИК!$N$10+('ФАКТ ЧИСТ К1'!J11)*СПРАВОЧНИК!$O$10+('ФАКТ ЧИСТ К1'!K11)*СПРАВОЧНИК!$P$10+('ФАКТ ЧИСТ К1'!L11)*СПРАВОЧНИК!$L$11+('ФАКТ ЧИСТ К1'!M11)*СПРАВОЧНИК!$M$11+('ФАКТ ЧИСТ К1'!N11)*СПРАВОЧНИК!$N$11+('ФАКТ ЧИСТ К1'!O11)*СПРАВОЧНИК!$O$11+('ФАКТ ЧИСТ К1'!P11)*СПРАВОЧНИК!$P$11+('ФАКТ ЧИСТ К1'!Q11)*СПРАВОЧНИК!$L$12+('ФАКТ ЧИСТ К1'!R11)*СПРАВОЧНИК!$M$12+('ФАКТ ЧИСТ К1'!S11)*СПРАВОЧНИК!$N$12+('ФАКТ ЧИСТ К1'!T11)*СПРАВОЧНИК!$O$12+('ФАКТ ЧИСТ К1'!U11)*СПРАВОЧНИК!$P$12+('ФАКТ ЧИСТ К1'!V11)*СПРАВОЧНИК!$L$13+('ФАКТ ЧИСТ К1'!W11)*СПРАВОЧНИК!$M$13+('ФАКТ ЧИСТ К1'!X11)*СПРАВОЧНИК!$N$13+('ФАКТ ЧИСТ К1'!Y11)*СПРАВОЧНИК!$O$13+('ФАКТ ЧИСТ К1'!Z11)*СПРАВОЧНИК!$P$13+('ФАКТ ЧИСТ К1'!AA11)*СПРАВОЧНИК!$L$14+('ФАКТ ЧИСТ К1'!AB11)*СПРАВОЧНИК!$M$14+('ФАКТ ЧИСТ К1'!AC11)*СПРАВОЧНИК!$N$14+('ФАКТ ЧИСТ К1'!AD11)*СПРАВОЧНИК!$O$14+('ФАКТ ЧИСТ К1'!AE11)*СПРАВОЧНИК!$P$14+('ФАКТ ЧИСТ К1'!AF11)*СПРАВОЧНИК!$L$15+('ФАКТ ЧИСТ К1'!AG11)*СПРАВОЧНИК!$M$15+('ФАКТ ЧИСТ К1'!AH11)*СПРАВОЧНИК!$N$15+('ФАКТ ЧИСТ К1'!AI11)*СПРАВОЧНИК!$O$15+('ФАКТ ЧИСТ К1'!AJ11)*СПРАВОЧНИК!$P$15</f>
        <v/>
      </c>
      <c r="AI20" s="34" t="n"/>
      <c r="AL20" s="152">
        <f>AL19+7</f>
        <v/>
      </c>
      <c r="AM20" s="17">
        <f>СПРАВОЧНИК!$E$9*('ПЛАН ЧЕРН К2'!B11*СПРАВОЧНИК!$H$9+'ПЛАН ЧЕРН К2'!C11*СПРАВОЧНИК!$I$9+'ПЛАН ЧЕРН К2'!D11*СПРАВОЧНИК!$J$9)+СПРАВОЧНИК!$F$9*('ПЛАН ЧИСТ К2'!B11*СПРАВОЧНИК!$L$9+'ПЛАН ЧИСТ К2'!C11*СПРАВОЧНИК!$M$9+'ПЛАН ЧИСТ К2'!D11*СПРАВОЧНИК!$N$9+'ПЛАН ЧИСТ К2'!E11*СПРАВОЧНИК!$O$9+'ПЛАН ЧИСТ К2'!F11*СПРАВОЧНИК!$P$9)+СПРАВОЧНИК!$E$10*('ПЛАН ЧЕРН К2'!E11*СПРАВОЧНИК!$H$10+'ПЛАН ЧЕРН К2'!F11*СПРАВОЧНИК!$I$10+'ПЛАН ЧЕРН К2'!G11*СПРАВОЧНИК!$J$10)+СПРАВОЧНИК!$F$10*('ПЛАН ЧИСТ К2'!G11*СПРАВОЧНИК!$L$10+'ПЛАН ЧИСТ К2'!H11*СПРАВОЧНИК!$M$10+'ПЛАН ЧИСТ К2'!I11*СПРАВОЧНИК!$N$10+'ПЛАН ЧИСТ К2'!J11*СПРАВОЧНИК!$O$10+'ПЛАН ЧИСТ К2'!K11*СПРАВОЧНИК!$P$10)+СПРАВОЧНИК!$E$11*('ПЛАН ЧЕРН К2'!H11*СПРАВОЧНИК!$H$11+'ПЛАН ЧЕРН К2'!I11*СПРАВОЧНИК!$I$11+'ПЛАН ЧЕРН К2'!J11*СПРАВОЧНИК!$J$11)+СПРАВОЧНИК!$F$11*('ПЛАН ЧИСТ К2'!L11*СПРАВОЧНИК!$L$11+'ПЛАН ЧИСТ К2'!M11*СПРАВОЧНИК!$M$11+'ПЛАН ЧИСТ К2'!N11*СПРАВОЧНИК!$N$11+'ПЛАН ЧИСТ К2'!O11*СПРАВОЧНИК!$O$11+'ПЛАН ЧИСТ К2'!P11*СПРАВОЧНИК!$P$11)+СПРАВОЧНИК!$E$12*('ПЛАН ЧЕРН К2'!K11*СПРАВОЧНИК!$H$12+'ПЛАН ЧЕРН К2'!L11*СПРАВОЧНИК!$I$12+'ПЛАН ЧЕРН К2'!M11*СПРАВОЧНИК!$J$12)+СПРАВОЧНИК!$F$12*('ПЛАН ЧИСТ К2'!Q11*СПРАВОЧНИК!$L$12+'ПЛАН ЧИСТ К2'!R11*СПРАВОЧНИК!$M$12+'ПЛАН ЧИСТ К2'!S11*СПРАВОЧНИК!$N$12+'ПЛАН ЧИСТ К2'!T11*СПРАВОЧНИК!$O$12+'ПЛАН ЧИСТ К2'!U11*СПРАВОЧНИК!$P$12)+СПРАВОЧНИК!$E$13*('ПЛАН ЧЕРН К2'!N11*СПРАВОЧНИК!$H$13+'ПЛАН ЧЕРН К2'!O11*СПРАВОЧНИК!$I$13+'ПЛАН ЧЕРН К2'!P11*СПРАВОЧНИК!$J$13)+СПРАВОЧНИК!$F$13*('ПЛАН ЧИСТ К2'!V11*СПРАВОЧНИК!$L$13+'ПЛАН ЧИСТ К2'!W11*СПРАВОЧНИК!$M$13+'ПЛАН ЧИСТ К2'!X11*СПРАВОЧНИК!$N$13+'ПЛАН ЧИСТ К2'!Y11*СПРАВОЧНИК!$O$13+'ПЛАН ЧИСТ К2'!Z11*СПРАВОЧНИК!$P$13)+СПРАВОЧНИК!$E$14*('ПЛАН ЧЕРН К2'!Q11*СПРАВОЧНИК!$H$14+'ПЛАН ЧЕРН К2'!R11*СПРАВОЧНИК!$I$14+'ПЛАН ЧЕРН К2'!S11*СПРАВОЧНИК!$J$14)+СПРАВОЧНИК!$F$14*('ПЛАН ЧИСТ К2'!AA11*СПРАВОЧНИК!$L$14+'ПЛАН ЧИСТ К2'!AB11*СПРАВОЧНИК!$M$14+'ПЛАН ЧИСТ К2'!AC11*СПРАВОЧНИК!$N$14+'ПЛАН ЧИСТ К2'!AD11*СПРАВОЧНИК!$O$14+'ПЛАН ЧИСТ К2'!AE11*СПРАВОЧНИК!$P$14)+СПРАВОЧНИК!$E$15*('ПЛАН ЧЕРН К2'!T11*СПРАВОЧНИК!$H$15+'ПЛАН ЧЕРН К2'!U11*СПРАВОЧНИК!$I$15+'ПЛАН ЧЕРН К2'!V11*СПРАВОЧНИК!$J$15)+СПРАВОЧНИК!$F$15*('ПЛАН ЧИСТ К2'!AF11*СПРАВОЧНИК!$L$15+'ПЛАН ЧИСТ К2'!AG11*СПРАВОЧНИК!$M$15+'ПЛАН ЧИСТ К2'!AH11*СПРАВОЧНИК!$N$15+'ПЛАН ЧИСТ К2'!AI11*СПРАВОЧНИК!$O$15+'ПЛАН ЧИСТ К2'!AJ11*СПРАВОЧНИК!$P$15)</f>
        <v/>
      </c>
      <c r="AN20" s="31">
        <f>СПРАВОЧНИК!$E$9*('ФАКТ ЧЕРН К2'!B11*СПРАВОЧНИК!$H$9+'ФАКТ ЧЕРН К2'!C11*СПРАВОЧНИК!$I$9+'ФАКТ ЧЕРН К2'!D11*СПРАВОЧНИК!$J$9)+СПРАВОЧНИК!$F$9*('ФАКТ ЧИСТ К2'!B11*СПРАВОЧНИК!$L$9+'ФАКТ ЧИСТ К2'!C11*СПРАВОЧНИК!$M$9+'ФАКТ ЧИСТ К2'!D11*СПРАВОЧНИК!$N$9+'ФАКТ ЧИСТ К2'!E11*СПРАВОЧНИК!$O$9+'ФАКТ ЧИСТ К2'!F11*СПРАВОЧНИК!$P$9)+СПРАВОЧНИК!$E$10*('ФАКТ ЧЕРН К2'!E11*СПРАВОЧНИК!$H$10+'ФАКТ ЧЕРН К2'!F11*СПРАВОЧНИК!$I$10+'ФАКТ ЧЕРН К2'!G11*СПРАВОЧНИК!$J$10)+СПРАВОЧНИК!$F$10*('ФАКТ ЧИСТ К2'!G11*СПРАВОЧНИК!$L$10+'ФАКТ ЧИСТ К2'!H11*СПРАВОЧНИК!$M$10+'ФАКТ ЧИСТ К2'!I11*СПРАВОЧНИК!$N$10+'ФАКТ ЧИСТ К2'!J11*СПРАВОЧНИК!$O$10+'ФАКТ ЧИСТ К2'!K11*СПРАВОЧНИК!$P$10)+СПРАВОЧНИК!$E$11*('ФАКТ ЧЕРН К2'!H11*СПРАВОЧНИК!$H$11+'ФАКТ ЧЕРН К2'!I11*СПРАВОЧНИК!$I$11+'ФАКТ ЧЕРН К2'!J11*СПРАВОЧНИК!$J$11)+СПРАВОЧНИК!$F$11*('ФАКТ ЧИСТ К2'!L11*СПРАВОЧНИК!$L$11+'ФАКТ ЧИСТ К2'!M11*СПРАВОЧНИК!$M$11+'ФАКТ ЧИСТ К2'!N11*СПРАВОЧНИК!$N$11+'ФАКТ ЧИСТ К2'!O11*СПРАВОЧНИК!$O$11+'ФАКТ ЧИСТ К2'!P11*СПРАВОЧНИК!$P$11)+СПРАВОЧНИК!$E$12*('ФАКТ ЧЕРН К2'!K11*СПРАВОЧНИК!$H$12+'ФАКТ ЧЕРН К2'!L11*СПРАВОЧНИК!$I$12+'ФАКТ ЧЕРН К2'!M11*СПРАВОЧНИК!$J$12)+СПРАВОЧНИК!$F$12*('ФАКТ ЧИСТ К2'!Q11*СПРАВОЧНИК!$L$12+'ФАКТ ЧИСТ К2'!R11*СПРАВОЧНИК!$M$12+'ФАКТ ЧИСТ К2'!S11*СПРАВОЧНИК!$N$12+'ФАКТ ЧИСТ К2'!T11*СПРАВОЧНИК!$O$12+'ФАКТ ЧИСТ К2'!U11*СПРАВОЧНИК!$P$12)+СПРАВОЧНИК!$E$13*('ФАКТ ЧЕРН К2'!N11*СПРАВОЧНИК!$H$13+'ФАКТ ЧЕРН К2'!O11*СПРАВОЧНИК!$I$13+'ФАКТ ЧЕРН К2'!P11*СПРАВОЧНИК!$J$13)+СПРАВОЧНИК!$F$13*('ФАКТ ЧИСТ К2'!V11*СПРАВОЧНИК!$L$13+'ФАКТ ЧИСТ К2'!W11*СПРАВОЧНИК!$M$13+'ФАКТ ЧИСТ К2'!X11*СПРАВОЧНИК!$N$13+'ФАКТ ЧИСТ К2'!Y11*СПРАВОЧНИК!$O$13+'ФАКТ ЧИСТ К2'!Z11*СПРАВОЧНИК!$P$13)+СПРАВОЧНИК!$E$14*('ФАКТ ЧЕРН К2'!Q11*СПРАВОЧНИК!$H$14+'ФАКТ ЧЕРН К2'!R11*СПРАВОЧНИК!$I$14+'ФАКТ ЧЕРН К2'!S11*СПРАВОЧНИК!$J$14)+СПРАВОЧНИК!$F$14*('ФАКТ ЧИСТ К2'!AA11*СПРАВОЧНИК!$L$14+'ФАКТ ЧИСТ К2'!AB11*СПРАВОЧНИК!$M$14+'ФАКТ ЧИСТ К2'!AC11*СПРАВОЧНИК!$N$14+'ФАКТ ЧИСТ К2'!AD11*СПРАВОЧНИК!$O$14+'ФАКТ ЧИСТ К2'!AE11*СПРАВОЧНИК!$P$14)+СПРАВОЧНИК!$E$15*('ФАКТ ЧЕРН К2'!T11*СПРАВОЧНИК!$H$15+'ФАКТ ЧЕРН К2'!U11*СПРАВОЧНИК!$I$15+'ФАКТ ЧЕРН К2'!V11*СПРАВОЧНИК!$J$15)+СПРАВОЧНИК!$F$15*('ФАКТ ЧИСТ К2'!AF11*СПРАВОЧНИК!$L$15+'ФАКТ ЧИСТ К2'!AG11*СПРАВОЧНИК!$M$15+'ФАКТ ЧИСТ К2'!AH11*СПРАВОЧНИК!$N$15+'ФАКТ ЧИСТ К2'!AI11*СПРАВОЧНИК!$O$15+'ФАКТ ЧИСТ К2'!AJ11*СПРАВОЧНИК!$P$15)</f>
        <v/>
      </c>
      <c r="AO20" s="34" t="n"/>
      <c r="AR20" s="152">
        <f>AR19+7</f>
        <v/>
      </c>
      <c r="AS20" s="17">
        <f>'ПЛАН ЧЕРН К2'!B11*СПРАВОЧНИК!$H$9+'ПЛАН ЧЕРН К2'!C11*СПРАВОЧНИК!$I$9+'ПЛАН ЧЕРН К2'!D11*СПРАВОЧНИК!$J$9+'ПЛАН ЧЕРН К2'!E11*СПРАВОЧНИК!$H$10+'ПЛАН ЧЕРН К2'!F11*СПРАВОЧНИК!$I$10+'ПЛАН ЧЕРН К2'!G11*СПРАВОЧНИК!$J$10+'ПЛАН ЧЕРН К2'!H11*СПРАВОЧНИК!$H$11+'ПЛАН ЧЕРН К2'!I11*СПРАВОЧНИК!$I$11+'ПЛАН ЧЕРН К2'!J11*СПРАВОЧНИК!$J$11+'ПЛАН ЧЕРН К2'!K11*СПРАВОЧНИК!$H$12+'ПЛАН ЧЕРН К2'!L11*СПРАВОЧНИК!$I$12+'ПЛАН ЧЕРН К2'!M11*СПРАВОЧНИК!$J$12+'ПЛАН ЧЕРН К2'!N11*СПРАВОЧНИК!$H$13+'ПЛАН ЧЕРН К2'!O11*СПРАВОЧНИК!$I$13+'ПЛАН ЧЕРН К2'!P11*СПРАВОЧНИК!$J$13+'ПЛАН ЧЕРН К2'!Q11*СПРАВОЧНИК!$H$14+'ПЛАН ЧЕРН К2'!R11*СПРАВОЧНИК!$I$14+'ПЛАН ЧЕРН К2'!S11*СПРАВОЧНИК!$J$14+'ПЛАН ЧЕРН К2'!T11*СПРАВОЧНИК!$H$15+'ПЛАН ЧЕРН К2'!U11*СПРАВОЧНИК!$I$15+'ПЛАН ЧЕРН К2'!V11*СПРАВОЧНИК!$J$15</f>
        <v/>
      </c>
      <c r="AT20" s="31">
        <f>('ФАКТ ЧЕРН К2'!B11)*СПРАВОЧНИК!$H$9+('ФАКТ ЧЕРН К2'!C11)*СПРАВОЧНИК!$I$9+('ФАКТ ЧЕРН К2'!D11)*СПРАВОЧНИК!$J$9+('ФАКТ ЧЕРН К2'!E11)*СПРАВОЧНИК!$H$10+('ФАКТ ЧЕРН К2'!F11)*СПРАВОЧНИК!$I$10+('ФАКТ ЧЕРН К2'!G11)*СПРАВОЧНИК!$J$10+('ФАКТ ЧЕРН К2'!H11)*СПРАВОЧНИК!$H$11+('ФАКТ ЧЕРН К2'!I11)*СПРАВОЧНИК!$I$11+('ФАКТ ЧЕРН К2'!J11)*СПРАВОЧНИК!$J$11+('ФАКТ ЧЕРН К2'!K11)*СПРАВОЧНИК!$H$12+('ФАКТ ЧЕРН К2'!L11)*СПРАВОЧНИК!$I$12+('ФАКТ ЧЕРН К2'!M11)*СПРАВОЧНИК!$J$12+('ФАКТ ЧЕРН К2'!N11)*СПРАВОЧНИК!$H$13+('ФАКТ ЧЕРН К2'!O11)*СПРАВОЧНИК!$I$13+('ФАКТ ЧЕРН К2'!P11)*СПРАВОЧНИК!$J$13+('ФАКТ ЧЕРН К2'!Q11)*СПРАВОЧНИК!$H$14+('ФАКТ ЧЕРН К2'!R11)*СПРАВОЧНИК!$I$14+('ФАКТ ЧЕРН К2'!S11)*СПРАВОЧНИК!$J$14+('ФАКТ ЧЕРН К2'!T11)*СПРАВОЧНИК!$H$15+('ФАКТ ЧЕРН К2'!U11)*СПРАВОЧНИК!$I$15+('ФАКТ ЧЕРН К2'!V11)*СПРАВОЧНИК!$J$15</f>
        <v/>
      </c>
      <c r="AU20" s="34" t="n"/>
      <c r="AX20" s="152">
        <f>AX19+7</f>
        <v/>
      </c>
      <c r="AY20" s="17">
        <f>'ПЛАН ЧИСТ К2'!B11*СПРАВОЧНИК!$L$9+'ПЛАН ЧИСТ К2'!C11*СПРАВОЧНИК!$M$9+'ПЛАН ЧИСТ К2'!D11*СПРАВОЧНИК!$N$9+'ПЛАН ЧИСТ К2'!E11*СПРАВОЧНИК!$O$9+'ПЛАН ЧИСТ К2'!F11*СПРАВОЧНИК!$P$9+'ПЛАН ЧИСТ К2'!G11*СПРАВОЧНИК!$L$10+'ПЛАН ЧИСТ К2'!H11*СПРАВОЧНИК!$M$10+'ПЛАН ЧИСТ К2'!I11*СПРАВОЧНИК!$N$10+'ПЛАН ЧИСТ К2'!J11*СПРАВОЧНИК!$O$10+'ПЛАН ЧИСТ К2'!K11*СПРАВОЧНИК!$P$10+'ПЛАН ЧИСТ К2'!L11*СПРАВОЧНИК!$L$11+'ПЛАН ЧИСТ К2'!M11*СПРАВОЧНИК!$M$11+'ПЛАН ЧИСТ К2'!N11*СПРАВОЧНИК!$N$11+'ПЛАН ЧИСТ К2'!O11*СПРАВОЧНИК!$O$11+'ПЛАН ЧИСТ К2'!P11*СПРАВОЧНИК!$P$11+'ПЛАН ЧИСТ К2'!Q11*СПРАВОЧНИК!$L$12+'ПЛАН ЧИСТ К2'!R11*СПРАВОЧНИК!$M$12+'ПЛАН ЧИСТ К2'!S11*СПРАВОЧНИК!$N$12+'ПЛАН ЧИСТ К2'!T11*СПРАВОЧНИК!$O$12+'ПЛАН ЧИСТ К2'!U11*СПРАВОЧНИК!$P$12+'ПЛАН ЧИСТ К2'!V11*СПРАВОЧНИК!$L$13+'ПЛАН ЧИСТ К2'!W11*СПРАВОЧНИК!$M$13+'ПЛАН ЧИСТ К2'!X11*СПРАВОЧНИК!$N$13+'ПЛАН ЧИСТ К2'!Y11*СПРАВОЧНИК!$O$13+'ПЛАН ЧИСТ К2'!Z11*СПРАВОЧНИК!$P$13+'ПЛАН ЧИСТ К2'!AA11*СПРАВОЧНИК!$L$14+'ПЛАН ЧИСТ К2'!AB11*СПРАВОЧНИК!$M$14+'ПЛАН ЧИСТ К2'!AC11*СПРАВОЧНИК!$N$14+'ПЛАН ЧИСТ К2'!AD11*СПРАВОЧНИК!$O$14+'ПЛАН ЧИСТ К2'!AE11*СПРАВОЧНИК!$P$14+'ПЛАН ЧИСТ К2'!AF11*СПРАВОЧНИК!$L$15+'ПЛАН ЧИСТ К2'!AG11*СПРАВОЧНИК!$M$15+'ПЛАН ЧИСТ К2'!AH11*СПРАВОЧНИК!$N$15+'ПЛАН ЧИСТ К2'!AI11*СПРАВОЧНИК!$O$15+'ПЛАН ЧИСТ К2'!AJ11*СПРАВОЧНИК!$P$15</f>
        <v/>
      </c>
      <c r="AZ20" s="31">
        <f>('ФАКТ ЧИСТ К2'!B11)*СПРАВОЧНИК!$L$9+('ФАКТ ЧИСТ К2'!C11)*СПРАВОЧНИК!$M$9+('ФАКТ ЧИСТ К2'!D11)*СПРАВОЧНИК!$N$9+('ФАКТ ЧИСТ К2'!E11)*СПРАВОЧНИК!$O$9+('ФАКТ ЧИСТ К2'!F11)*СПРАВОЧНИК!$P$9+('ФАКТ ЧИСТ К2'!G11)*СПРАВОЧНИК!$L$10+('ФАКТ ЧИСТ К2'!H11)*СПРАВОЧНИК!$M$10+('ФАКТ ЧИСТ К2'!I11)*СПРАВОЧНИК!$N$10+('ФАКТ ЧИСТ К2'!J11)*СПРАВОЧНИК!$O$10+('ФАКТ ЧИСТ К2'!K11)*СПРАВОЧНИК!$P$10+('ФАКТ ЧИСТ К2'!L11)*СПРАВОЧНИК!$L$11+('ФАКТ ЧИСТ К2'!M11)*СПРАВОЧНИК!$M$11+('ФАКТ ЧИСТ К2'!N11)*СПРАВОЧНИК!$N$11+('ФАКТ ЧИСТ К2'!O11)*СПРАВОЧНИК!$O$11+('ФАКТ ЧИСТ К2'!P11)*СПРАВОЧНИК!$P$11+('ФАКТ ЧИСТ К2'!Q11)*СПРАВОЧНИК!$L$12+('ФАКТ ЧИСТ К2'!R11)*СПРАВОЧНИК!$M$12+('ФАКТ ЧИСТ К2'!S11)*СПРАВОЧНИК!$N$12+('ФАКТ ЧИСТ К2'!T11)*СПРАВОЧНИК!$O$12+('ФАКТ ЧИСТ К2'!U11)*СПРАВОЧНИК!$P$12+('ФАКТ ЧИСТ К2'!V11)*СПРАВОЧНИК!$L$13+('ФАКТ ЧИСТ К2'!W11)*СПРАВОЧНИК!$M$13+('ФАКТ ЧИСТ К2'!X11)*СПРАВОЧНИК!$N$13+('ФАКТ ЧИСТ К2'!Y11)*СПРАВОЧНИК!$O$13+('ФАКТ ЧИСТ К2'!Z11)*СПРАВОЧНИК!$P$13+('ФАКТ ЧИСТ К2'!AA11)*СПРАВОЧНИК!$L$14+('ФАКТ ЧИСТ К2'!AB11)*СПРАВОЧНИК!$M$14+('ФАКТ ЧИСТ К2'!AC11)*СПРАВОЧНИК!$N$14+('ФАКТ ЧИСТ К2'!AD11)*СПРАВОЧНИК!$O$14+('ФАКТ ЧИСТ К2'!AE11)*СПРАВОЧНИК!$P$14+('ФАКТ ЧИСТ К2'!AF11)*СПРАВОЧНИК!$L$15+('ФАКТ ЧИСТ К2'!AG11)*СПРАВОЧНИК!$M$15+('ФАКТ ЧИСТ К2'!AH11)*СПРАВОЧНИК!$N$15+('ФАКТ ЧИСТ К2'!AI11)*СПРАВОЧНИК!$O$15+('ФАКТ ЧИСТ К2'!AJ11)*СПРАВОЧНИК!$P$15</f>
        <v/>
      </c>
      <c r="BA20" s="34" t="n"/>
      <c r="BD20" s="152">
        <f>BD19+7</f>
        <v/>
      </c>
      <c r="BE20" s="17">
        <f>СПРАВОЧНИК!$E$9*('ПЛАН ЧЕРН К3'!B11*СПРАВОЧНИК!$H$9+'ПЛАН ЧЕРН К3'!C11*СПРАВОЧНИК!$I$9+'ПЛАН ЧЕРН К3'!D11*СПРАВОЧНИК!$J$9)+СПРАВОЧНИК!$F$9*('ПЛАН ЧИСТ К3'!B11*СПРАВОЧНИК!$L$9+'ПЛАН ЧИСТ К3'!C11*СПРАВОЧНИК!$M$9+'ПЛАН ЧИСТ К3'!D11*СПРАВОЧНИК!$N$9+'ПЛАН ЧИСТ К3'!E11*СПРАВОЧНИК!$O$9+'ПЛАН ЧИСТ К3'!F11*СПРАВОЧНИК!$P$9)+СПРАВОЧНИК!$E$10*('ПЛАН ЧЕРН К3'!E11*СПРАВОЧНИК!$H$10+'ПЛАН ЧЕРН К3'!F11*СПРАВОЧНИК!$I$10+'ПЛАН ЧЕРН К3'!G11*СПРАВОЧНИК!$J$10)+СПРАВОЧНИК!$F$10*('ПЛАН ЧИСТ К3'!G11*СПРАВОЧНИК!$L$10+'ПЛАН ЧИСТ К3'!H11*СПРАВОЧНИК!$M$10+'ПЛАН ЧИСТ К3'!I11*СПРАВОЧНИК!$N$10+'ПЛАН ЧИСТ К3'!J11*СПРАВОЧНИК!$O$10+'ПЛАН ЧИСТ К3'!K11*СПРАВОЧНИК!$P$10)+СПРАВОЧНИК!$E$11*('ПЛАН ЧЕРН К3'!H11*СПРАВОЧНИК!$H$11+'ПЛАН ЧЕРН К3'!I11*СПРАВОЧНИК!$I$11+'ПЛАН ЧЕРН К3'!J11*СПРАВОЧНИК!$J$11)+СПРАВОЧНИК!$F$11*('ПЛАН ЧИСТ К3'!L11*СПРАВОЧНИК!$L$11+'ПЛАН ЧИСТ К3'!M11*СПРАВОЧНИК!$M$11+'ПЛАН ЧИСТ К3'!N11*СПРАВОЧНИК!$N$11+'ПЛАН ЧИСТ К3'!O11*СПРАВОЧНИК!$O$11+'ПЛАН ЧИСТ К3'!P11*СПРАВОЧНИК!$P$11)+СПРАВОЧНИК!$E$12*('ПЛАН ЧЕРН К3'!K11*СПРАВОЧНИК!$H$12+'ПЛАН ЧЕРН К3'!L11*СПРАВОЧНИК!$I$12+'ПЛАН ЧЕРН К3'!M11*СПРАВОЧНИК!$J$12)+СПРАВОЧНИК!$F$12*('ПЛАН ЧИСТ К3'!Q11*СПРАВОЧНИК!$L$12+'ПЛАН ЧИСТ К3'!R11*СПРАВОЧНИК!$M$12+'ПЛАН ЧИСТ К3'!S11*СПРАВОЧНИК!$N$12+'ПЛАН ЧИСТ К3'!T11*СПРАВОЧНИК!$O$12+'ПЛАН ЧИСТ К3'!U11*СПРАВОЧНИК!$P$12)+СПРАВОЧНИК!$E$13*('ПЛАН ЧЕРН К3'!N11*СПРАВОЧНИК!$H$13+'ПЛАН ЧЕРН К3'!O11*СПРАВОЧНИК!$I$13+'ПЛАН ЧЕРН К3'!P11*СПРАВОЧНИК!$J$13)+СПРАВОЧНИК!$F$13*('ПЛАН ЧИСТ К3'!V11*СПРАВОЧНИК!$L$13+'ПЛАН ЧИСТ К3'!W11*СПРАВОЧНИК!$M$13+'ПЛАН ЧИСТ К3'!X11*СПРАВОЧНИК!$N$13+'ПЛАН ЧИСТ К3'!Y11*СПРАВОЧНИК!$O$13+'ПЛАН ЧИСТ К3'!Z11*СПРАВОЧНИК!$P$13)+СПРАВОЧНИК!$E$14*('ПЛАН ЧЕРН К3'!Q11*СПРАВОЧНИК!$H$14+'ПЛАН ЧЕРН К3'!R11*СПРАВОЧНИК!$I$14+'ПЛАН ЧЕРН К3'!S11*СПРАВОЧНИК!$J$14)+СПРАВОЧНИК!$F$14*('ПЛАН ЧИСТ К3'!AA11*СПРАВОЧНИК!$L$14+'ПЛАН ЧИСТ К3'!AB11*СПРАВОЧНИК!$M$14+'ПЛАН ЧИСТ К3'!AC11*СПРАВОЧНИК!$N$14+'ПЛАН ЧИСТ К3'!AD11*СПРАВОЧНИК!$O$14+'ПЛАН ЧИСТ К3'!AE11*СПРАВОЧНИК!$P$14)+СПРАВОЧНИК!$E$15*('ПЛАН ЧЕРН К3'!T11*СПРАВОЧНИК!$H$15+'ПЛАН ЧЕРН К3'!U11*СПРАВОЧНИК!$I$15+'ПЛАН ЧЕРН К3'!V11*СПРАВОЧНИК!$J$15)+СПРАВОЧНИК!$F$15*('ПЛАН ЧИСТ К3'!AF11*СПРАВОЧНИК!$L$15+'ПЛАН ЧИСТ К3'!AG11*СПРАВОЧНИК!$M$15+'ПЛАН ЧИСТ К3'!AH11*СПРАВОЧНИК!$N$15+'ПЛАН ЧИСТ К3'!AI11*СПРАВОЧНИК!$O$15+'ПЛАН ЧИСТ К3'!AJ11*СПРАВОЧНИК!$P$15)</f>
        <v/>
      </c>
      <c r="BF20" s="31">
        <f>СПРАВОЧНИК!$E$9*('ФАКТ ЧЕРН К3'!B11*СПРАВОЧНИК!$H$9+'ФАКТ ЧЕРН К3'!C11*СПРАВОЧНИК!$I$9+'ФАКТ ЧЕРН К3'!D11*СПРАВОЧНИК!$J$9)+СПРАВОЧНИК!$F$9*('ФАКТ ЧИСТ К3'!B11*СПРАВОЧНИК!$L$9+'ФАКТ ЧИСТ К3'!C11*СПРАВОЧНИК!$M$9+'ФАКТ ЧИСТ К3'!D11*СПРАВОЧНИК!$N$9+'ФАКТ ЧИСТ К3'!E11*СПРАВОЧНИК!$O$9+'ФАКТ ЧИСТ К3'!F11*СПРАВОЧНИК!$P$9)+СПРАВОЧНИК!$E$10*('ФАКТ ЧЕРН К3'!E11*СПРАВОЧНИК!$H$10+'ФАКТ ЧЕРН К3'!F11*СПРАВОЧНИК!$I$10+'ФАКТ ЧЕРН К3'!G11*СПРАВОЧНИК!$J$10)+СПРАВОЧНИК!$F$10*('ФАКТ ЧИСТ К3'!G11*СПРАВОЧНИК!$L$10+'ФАКТ ЧИСТ К3'!H11*СПРАВОЧНИК!$M$10+'ФАКТ ЧИСТ К3'!I11*СПРАВОЧНИК!$N$10+'ФАКТ ЧИСТ К3'!J11*СПРАВОЧНИК!$O$10+'ФАКТ ЧИСТ К3'!K11*СПРАВОЧНИК!$P$10)+СПРАВОЧНИК!$E$11*('ФАКТ ЧЕРН К3'!H11*СПРАВОЧНИК!$H$11+'ФАКТ ЧЕРН К3'!I11*СПРАВОЧНИК!$I$11+'ФАКТ ЧЕРН К3'!J11*СПРАВОЧНИК!$J$11)+СПРАВОЧНИК!$F$11*('ФАКТ ЧИСТ К3'!L11*СПРАВОЧНИК!$L$11+'ФАКТ ЧИСТ К3'!M11*СПРАВОЧНИК!$M$11+'ФАКТ ЧИСТ К3'!N11*СПРАВОЧНИК!$N$11+'ФАКТ ЧИСТ К3'!O11*СПРАВОЧНИК!$O$11+'ФАКТ ЧИСТ К3'!P11*СПРАВОЧНИК!$P$11)+СПРАВОЧНИК!$E$12*('ФАКТ ЧЕРН К3'!K11*СПРАВОЧНИК!$H$12+'ФАКТ ЧЕРН К3'!L11*СПРАВОЧНИК!$I$12+'ФАКТ ЧЕРН К3'!M11*СПРАВОЧНИК!$J$12)+СПРАВОЧНИК!$F$12*('ФАКТ ЧИСТ К3'!Q11*СПРАВОЧНИК!$L$12+'ФАКТ ЧИСТ К3'!R11*СПРАВОЧНИК!$M$12+'ФАКТ ЧИСТ К3'!S11*СПРАВОЧНИК!$N$12+'ФАКТ ЧИСТ К3'!T11*СПРАВОЧНИК!$O$12+'ФАКТ ЧИСТ К3'!U11*СПРАВОЧНИК!$P$12)+СПРАВОЧНИК!$E$13*('ФАКТ ЧЕРН К3'!N11*СПРАВОЧНИК!$H$13+'ФАКТ ЧЕРН К3'!O11*СПРАВОЧНИК!$I$13+'ФАКТ ЧЕРН К3'!P11*СПРАВОЧНИК!$J$13)+СПРАВОЧНИК!$F$13*('ФАКТ ЧИСТ К3'!V11*СПРАВОЧНИК!$L$13+'ФАКТ ЧИСТ К3'!W11*СПРАВОЧНИК!$M$13+'ФАКТ ЧИСТ К3'!X11*СПРАВОЧНИК!$N$13+'ФАКТ ЧИСТ К3'!Y11*СПРАВОЧНИК!$O$13+'ФАКТ ЧИСТ К3'!Z11*СПРАВОЧНИК!$P$13)+СПРАВОЧНИК!$E$14*('ФАКТ ЧЕРН К3'!Q11*СПРАВОЧНИК!$H$14+'ФАКТ ЧЕРН К3'!R11*СПРАВОЧНИК!$I$14+'ФАКТ ЧЕРН К3'!S11*СПРАВОЧНИК!$J$14)+СПРАВОЧНИК!$F$14*('ФАКТ ЧИСТ К3'!AA11*СПРАВОЧНИК!$L$14+'ФАКТ ЧИСТ К3'!AB11*СПРАВОЧНИК!$M$14+'ФАКТ ЧИСТ К3'!AC11*СПРАВОЧНИК!$N$14+'ФАКТ ЧИСТ К3'!AD11*СПРАВОЧНИК!$O$14+'ФАКТ ЧИСТ К3'!AE11*СПРАВОЧНИК!$P$14)+СПРАВОЧНИК!$E$15*('ФАКТ ЧЕРН К3'!T11*СПРАВОЧНИК!$H$15+'ФАКТ ЧЕРН К3'!U11*СПРАВОЧНИК!$I$15+'ФАКТ ЧЕРН К3'!V11*СПРАВОЧНИК!$J$15)+СПРАВОЧНИК!$F$15*('ФАКТ ЧИСТ К3'!AF11*СПРАВОЧНИК!$L$15+'ФАКТ ЧИСТ К3'!AG11*СПРАВОЧНИК!$M$15+'ФАКТ ЧИСТ К3'!AH11*СПРАВОЧНИК!$N$15+'ФАКТ ЧИСТ К3'!AI11*СПРАВОЧНИК!$O$15+'ФАКТ ЧИСТ К3'!AJ11*СПРАВОЧНИК!$P$15)</f>
        <v/>
      </c>
      <c r="BG20" s="34" t="n"/>
      <c r="BJ20" s="152">
        <f>BJ19+7</f>
        <v/>
      </c>
      <c r="BK20" s="17">
        <f>'ПЛАН ЧЕРН К3'!B11*СПРАВОЧНИК!$H$9+'ПЛАН ЧЕРН К3'!C11*СПРАВОЧНИК!$I$9+'ПЛАН ЧЕРН К3'!D11*СПРАВОЧНИК!$J$9+'ПЛАН ЧЕРН К3'!E11*СПРАВОЧНИК!$H$10+'ПЛАН ЧЕРН К3'!F11*СПРАВОЧНИК!$I$10+'ПЛАН ЧЕРН К3'!G11*СПРАВОЧНИК!$J$10+'ПЛАН ЧЕРН К3'!H11*СПРАВОЧНИК!$H$11+'ПЛАН ЧЕРН К3'!I11*СПРАВОЧНИК!$I$11+'ПЛАН ЧЕРН К3'!J11*СПРАВОЧНИК!$J$11+'ПЛАН ЧЕРН К3'!K11*СПРАВОЧНИК!$H$12+'ПЛАН ЧЕРН К3'!L11*СПРАВОЧНИК!$I$12+'ПЛАН ЧЕРН К3'!M11*СПРАВОЧНИК!$J$12+'ПЛАН ЧЕРН К3'!N11*СПРАВОЧНИК!$H$13+'ПЛАН ЧЕРН К3'!O11*СПРАВОЧНИК!$I$13+'ПЛАН ЧЕРН К3'!P11*СПРАВОЧНИК!$J$13+'ПЛАН ЧЕРН К3'!Q11*СПРАВОЧНИК!$H$14+'ПЛАН ЧЕРН К3'!R11*СПРАВОЧНИК!$I$14+'ПЛАН ЧЕРН К3'!S11*СПРАВОЧНИК!$J$14+'ПЛАН ЧЕРН К3'!T11*СПРАВОЧНИК!$H$15+'ПЛАН ЧЕРН К3'!U11*СПРАВОЧНИК!$I$15+'ПЛАН ЧЕРН К3'!V11*СПРАВОЧНИК!$J$15</f>
        <v/>
      </c>
      <c r="BL20" s="31">
        <f>('ФАКТ ЧЕРН К3'!B11)*СПРАВОЧНИК!$H$9+('ФАКТ ЧЕРН К3'!C11)*СПРАВОЧНИК!$I$9+('ФАКТ ЧЕРН К3'!D11)*СПРАВОЧНИК!$J$9+('ФАКТ ЧЕРН К3'!E11)*СПРАВОЧНИК!$H$10+('ФАКТ ЧЕРН К3'!F11)*СПРАВОЧНИК!$I$10+('ФАКТ ЧЕРН К3'!G11)*СПРАВОЧНИК!$J$10+('ФАКТ ЧЕРН К3'!H11)*СПРАВОЧНИК!$H$11+('ФАКТ ЧЕРН К3'!I11)*СПРАВОЧНИК!$I$11+('ФАКТ ЧЕРН К3'!J11)*СПРАВОЧНИК!$J$11+('ФАКТ ЧЕРН К3'!K11)*СПРАВОЧНИК!$H$12+('ФАКТ ЧЕРН К3'!L11)*СПРАВОЧНИК!$I$12+('ФАКТ ЧЕРН К3'!M11)*СПРАВОЧНИК!$J$12+('ФАКТ ЧЕРН К3'!N11)*СПРАВОЧНИК!$H$13+('ФАКТ ЧЕРН К3'!O11)*СПРАВОЧНИК!$I$13+('ФАКТ ЧЕРН К3'!P11)*СПРАВОЧНИК!$J$13+('ФАКТ ЧЕРН К3'!Q11)*СПРАВОЧНИК!$H$14+('ФАКТ ЧЕРН К3'!R11)*СПРАВОЧНИК!$I$14+('ФАКТ ЧЕРН К3'!S11)*СПРАВОЧНИК!$J$14+('ФАКТ ЧЕРН К3'!T11)*СПРАВОЧНИК!$H$15+('ФАКТ ЧЕРН К3'!U11)*СПРАВОЧНИК!$I$15+('ФАКТ ЧЕРН К3'!V11)*СПРАВОЧНИК!$J$15</f>
        <v/>
      </c>
      <c r="BM20" s="34" t="n"/>
      <c r="BP20" s="152">
        <f>BP19+7</f>
        <v/>
      </c>
      <c r="BQ20" s="17">
        <f>'ПЛАН ЧИСТ К3'!B11*СПРАВОЧНИК!$L$9+'ПЛАН ЧИСТ К3'!C11*СПРАВОЧНИК!$M$9+'ПЛАН ЧИСТ К3'!D11*СПРАВОЧНИК!$N$9+'ПЛАН ЧИСТ К3'!E11*СПРАВОЧНИК!$O$9+'ПЛАН ЧИСТ К3'!F11*СПРАВОЧНИК!$P$9+'ПЛАН ЧИСТ К3'!G11*СПРАВОЧНИК!$L$10+'ПЛАН ЧИСТ К3'!H11*СПРАВОЧНИК!$M$10+'ПЛАН ЧИСТ К3'!I11*СПРАВОЧНИК!$N$10+'ПЛАН ЧИСТ К3'!J11*СПРАВОЧНИК!$O$10+'ПЛАН ЧИСТ К3'!K11*СПРАВОЧНИК!$P$10+'ПЛАН ЧИСТ К3'!L11*СПРАВОЧНИК!$L$11+'ПЛАН ЧИСТ К3'!M11*СПРАВОЧНИК!$M$11+'ПЛАН ЧИСТ К3'!N11*СПРАВОЧНИК!$N$11+'ПЛАН ЧИСТ К3'!O11*СПРАВОЧНИК!$O$11+'ПЛАН ЧИСТ К3'!P11*СПРАВОЧНИК!$P$11+'ПЛАН ЧИСТ К3'!Q11*СПРАВОЧНИК!$L$12+'ПЛАН ЧИСТ К3'!R11*СПРАВОЧНИК!$M$12+'ПЛАН ЧИСТ К3'!S11*СПРАВОЧНИК!$N$12+'ПЛАН ЧИСТ К3'!T11*СПРАВОЧНИК!$O$12+'ПЛАН ЧИСТ К3'!U11*СПРАВОЧНИК!$P$12+'ПЛАН ЧИСТ К3'!V11*СПРАВОЧНИК!$L$13+'ПЛАН ЧИСТ К3'!W11*СПРАВОЧНИК!$M$13+'ПЛАН ЧИСТ К3'!X11*СПРАВОЧНИК!$N$13+'ПЛАН ЧИСТ К3'!Y11*СПРАВОЧНИК!$O$13+'ПЛАН ЧИСТ К3'!Z11*СПРАВОЧНИК!$P$13+'ПЛАН ЧИСТ К3'!AA11*СПРАВОЧНИК!$L$14+'ПЛАН ЧИСТ К3'!AB11*СПРАВОЧНИК!$M$14+'ПЛАН ЧИСТ К3'!AC11*СПРАВОЧНИК!$N$14+'ПЛАН ЧИСТ К3'!AD11*СПРАВОЧНИК!$O$14+'ПЛАН ЧИСТ К3'!AE11*СПРАВОЧНИК!$P$14+'ПЛАН ЧИСТ К3'!AF11*СПРАВОЧНИК!$L$15+'ПЛАН ЧИСТ К3'!AG11*СПРАВОЧНИК!$M$15+'ПЛАН ЧИСТ К3'!AH11*СПРАВОЧНИК!$N$15+'ПЛАН ЧИСТ К3'!AI11*СПРАВОЧНИК!$O$15+'ПЛАН ЧИСТ К3'!AJ11*СПРАВОЧНИК!$P$15</f>
        <v/>
      </c>
      <c r="BR20" s="31">
        <f>('ФАКТ ЧИСТ К3'!B11)*СПРАВОЧНИК!$L$9+('ФАКТ ЧИСТ К3'!C11)*СПРАВОЧНИК!$M$9+('ФАКТ ЧИСТ К3'!D11)*СПРАВОЧНИК!$N$9+('ФАКТ ЧИСТ К3'!E11)*СПРАВОЧНИК!$O$9+('ФАКТ ЧИСТ К3'!F11)*СПРАВОЧНИК!$P$9+('ФАКТ ЧИСТ К3'!G11)*СПРАВОЧНИК!$L$10+('ФАКТ ЧИСТ К3'!H11)*СПРАВОЧНИК!$M$10+('ФАКТ ЧИСТ К3'!I11)*СПРАВОЧНИК!$N$10+('ФАКТ ЧИСТ К3'!J11)*СПРАВОЧНИК!$O$10+('ФАКТ ЧИСТ К3'!K11)*СПРАВОЧНИК!$P$10+('ФАКТ ЧИСТ К3'!L11)*СПРАВОЧНИК!$L$11+('ФАКТ ЧИСТ К3'!M11)*СПРАВОЧНИК!$M$11+('ФАКТ ЧИСТ К3'!N11)*СПРАВОЧНИК!$N$11+('ФАКТ ЧИСТ К3'!O11)*СПРАВОЧНИК!$O$11+('ФАКТ ЧИСТ К3'!P11)*СПРАВОЧНИК!$P$11+('ФАКТ ЧИСТ К3'!Q11)*СПРАВОЧНИК!$L$12+('ФАКТ ЧИСТ К3'!R11)*СПРАВОЧНИК!$M$12+('ФАКТ ЧИСТ К3'!S11)*СПРАВОЧНИК!$N$12+('ФАКТ ЧИСТ К3'!T11)*СПРАВОЧНИК!$O$12+('ФАКТ ЧИСТ К3'!U11)*СПРАВОЧНИК!$P$12+('ФАКТ ЧИСТ К3'!V11)*СПРАВОЧНИК!$L$13+('ФАКТ ЧИСТ К3'!W11)*СПРАВОЧНИК!$M$13+('ФАКТ ЧИСТ К3'!X11)*СПРАВОЧНИК!$N$13+('ФАКТ ЧИСТ К3'!Y11)*СПРАВОЧНИК!$O$13+('ФАКТ ЧИСТ К3'!Z11)*СПРАВОЧНИК!$P$13+('ФАКТ ЧИСТ К3'!AA11)*СПРАВОЧНИК!$L$14+('ФАКТ ЧИСТ К3'!AB11)*СПРАВОЧНИК!$M$14+('ФАКТ ЧИСТ К3'!AC11)*СПРАВОЧНИК!$N$14+('ФАКТ ЧИСТ К3'!AD11)*СПРАВОЧНИК!$O$14+('ФАКТ ЧИСТ К3'!AE11)*СПРАВОЧНИК!$P$14+('ФАКТ ЧИСТ К3'!AF11)*СПРАВОЧНИК!$L$15+('ФАКТ ЧИСТ К3'!AG11)*СПРАВОЧНИК!$M$15+('ФАКТ ЧИСТ К3'!AH11)*СПРАВОЧНИК!$N$15+('ФАКТ ЧИСТ К3'!AI11)*СПРАВОЧНИК!$O$15+('ФАКТ ЧИСТ К3'!AJ11)*СПРАВОЧНИК!$P$15</f>
        <v/>
      </c>
      <c r="BS20" s="34" t="n"/>
      <c r="BV20" s="152">
        <f>BV19+7</f>
        <v/>
      </c>
      <c r="BW20" s="17">
        <f>U20*СПРАВОЧНИК!$K$28+AM20*СПРАВОЧНИК!$K$29+BE20*СПРАВОЧНИК!$K$30</f>
        <v/>
      </c>
      <c r="BX20" s="31">
        <f>V20*СПРАВОЧНИК!$K$28+AN20*СПРАВОЧНИК!$K$29+BF20*СПРАВОЧНИК!$K$30</f>
        <v/>
      </c>
      <c r="BY20" s="34" t="n"/>
      <c r="CB20" s="152">
        <f>CB19+7</f>
        <v/>
      </c>
      <c r="CC20" s="17">
        <f>AA20*СПРАВОЧНИК!$K$28+AS20*СПРАВОЧНИК!$K$29+BK20*СПРАВОЧНИК!$K$30</f>
        <v/>
      </c>
      <c r="CD20" s="31">
        <f>AB20*СПРАВОЧНИК!$K$28+AT20*СПРАВОЧНИК!$K$29+BL20*СПРАВОЧНИК!$K$30</f>
        <v/>
      </c>
      <c r="CE20" s="34" t="n"/>
      <c r="CH20" s="152">
        <f>CH19+7</f>
        <v/>
      </c>
      <c r="CI20" s="17">
        <f>AG20*СПРАВОЧНИК!$K$28+AY20*СПРАВОЧНИК!$K$29+BQ20*СПРАВОЧНИК!$K$30</f>
        <v/>
      </c>
      <c r="CJ20" s="31">
        <f>AH20*СПРАВОЧНИК!$K$28+AZ20*СПРАВОЧНИК!$K$29+BR20*СПРАВОЧНИК!$K$30</f>
        <v/>
      </c>
      <c r="CK20" s="34" t="n"/>
      <c r="CN20" s="152">
        <f>CN19+7</f>
        <v/>
      </c>
      <c r="CO20" s="17">
        <f>C20*СПРАВОЧНИК!$W$18+BW20*СПРАВОЧНИК!$W$19</f>
        <v/>
      </c>
      <c r="CP20" s="31">
        <f>D20*СПРАВОЧНИК!$W$18+BX20*СПРАВОЧНИК!$W$19</f>
        <v/>
      </c>
      <c r="CQ20" s="34" t="n"/>
      <c r="CT20" s="152">
        <f>CT19+7</f>
        <v/>
      </c>
      <c r="CU20" s="17">
        <f>I20*СПРАВОЧНИК!$W$18+CC20*СПРАВОЧНИК!$W$19</f>
        <v/>
      </c>
      <c r="CV20" s="31">
        <f>J20*СПРАВОЧНИК!$W$18+CD20*СПРАВОЧНИК!$W$19</f>
        <v/>
      </c>
      <c r="CW20" s="34" t="n"/>
      <c r="CZ20" s="152">
        <f>CZ19+7</f>
        <v/>
      </c>
      <c r="DA20" s="17">
        <f>O20*СПРАВОЧНИК!$W$18+CI20*СПРАВОЧНИК!$W$19</f>
        <v/>
      </c>
      <c r="DB20" s="31">
        <f>P20*СПРАВОЧНИК!$W$18+CJ20*СПРАВОЧНИК!$W$19</f>
        <v/>
      </c>
      <c r="DC20" s="34" t="n"/>
    </row>
    <row r="21">
      <c r="B21" s="152">
        <f>B20+7</f>
        <v/>
      </c>
      <c r="C21" s="17">
        <f>СПРАВОЧНИК!$E$3*('ПЛАН ЧЕРН ПОДЗЕМ'!B12*СПРАВОЧНИК!$H$3+'ПЛАН ЧЕРН ПОДЗЕМ'!C12*СПРАВОЧНИК!$I$3+'ПЛАН ЧЕРН ПОДЗЕМ'!D12*СПРАВОЧНИК!$J$3)+СПРАВОЧНИК!$F$3*('ПЛАН ЧИСТ ПОДЗЕМ'!B12*СПРАВОЧНИК!$L$3+'ПЛАН ЧИСТ ПОДЗЕМ'!C12*СПРАВОЧНИК!$M$3+'ПЛАН ЧИСТ ПОДЗЕМ'!D12*СПРАВОЧНИК!$N$3+'ПЛАН ЧИСТ ПОДЗЕМ'!E12*СПРАВОЧНИК!$O$3+'ПЛАН ЧИСТ ПОДЗЕМ'!F12*СПРАВОЧНИК!$P$3)+СПРАВОЧНИК!$E$4*('ПЛАН ЧЕРН ПОДЗЕМ'!E12*СПРАВОЧНИК!$H$4+'ПЛАН ЧЕРН ПОДЗЕМ'!F12*СПРАВОЧНИК!$I$4+'ПЛАН ЧЕРН ПОДЗЕМ'!G12*СПРАВОЧНИК!$J$4)+СПРАВОЧНИК!$F$4*('ПЛАН ЧИСТ ПОДЗЕМ'!G12*СПРАВОЧНИК!$L$4+'ПЛАН ЧИСТ ПОДЗЕМ'!H12*СПРАВОЧНИК!$M$4+'ПЛАН ЧИСТ ПОДЗЕМ'!I12*СПРАВОЧНИК!$N$4+'ПЛАН ЧИСТ ПОДЗЕМ'!J12*СПРАВОЧНИК!$O$4+'ПЛАН ЧИСТ ПОДЗЕМ'!K12*СПРАВОЧНИК!$P$4)+СПРАВОЧНИК!$E$5*('ПЛАН ЧЕРН ПОДЗЕМ'!H12*СПРАВОЧНИК!$H$5+'ПЛАН ЧЕРН ПОДЗЕМ'!I12*СПРАВОЧНИК!$I$5+'ПЛАН ЧЕРН ПОДЗЕМ'!J12*СПРАВОЧНИК!$J$5)+СПРАВОЧНИК!$F$5*('ПЛАН ЧИСТ ПОДЗЕМ'!L12*СПРАВОЧНИК!$L$5+'ПЛАН ЧИСТ ПОДЗЕМ'!M12*СПРАВОЧНИК!$M$5+'ПЛАН ЧИСТ ПОДЗЕМ'!N12*СПРАВОЧНИК!$N$5+'ПЛАН ЧИСТ ПОДЗЕМ'!O12*СПРАВОЧНИК!$O$5+'ПЛАН ЧИСТ ПОДЗЕМ'!P12*СПРАВОЧНИК!$P$5)+СПРАВОЧНИК!$E$6*('ПЛАН ЧЕРН ПОДЗЕМ'!K12*СПРАВОЧНИК!$H$6+'ПЛАН ЧЕРН ПОДЗЕМ'!L12*СПРАВОЧНИК!$I$6+'ПЛАН ЧЕРН ПОДЗЕМ'!M12*СПРАВОЧНИК!$J$6)+СПРАВОЧНИК!$F$6*('ПЛАН ЧИСТ ПОДЗЕМ'!Q12*СПРАВОЧНИК!$L$6+'ПЛАН ЧИСТ ПОДЗЕМ'!R12*СПРАВОЧНИК!$M$6+'ПЛАН ЧИСТ ПОДЗЕМ'!S12*СПРАВОЧНИК!$N$6+'ПЛАН ЧИСТ ПОДЗЕМ'!T12*СПРАВОЧНИК!$O$6+'ПЛАН ЧИСТ ПОДЗЕМ'!U12*СПРАВОЧНИК!$P$6)+СПРАВОЧНИК!$E$7*('ПЛАН ЧЕРН ПОДЗЕМ'!N12*СПРАВОЧНИК!$H$7+'ПЛАН ЧЕРН ПОДЗЕМ'!O12*СПРАВОЧНИК!$I$7+'ПЛАН ЧЕРН ПОДЗЕМ'!P12*СПРАВОЧНИК!$J$7)+СПРАВОЧНИК!$F$7*('ПЛАН ЧИСТ ПОДЗЕМ'!V12*СПРАВОЧНИК!$L$7+'ПЛАН ЧИСТ ПОДЗЕМ'!W12*СПРАВОЧНИК!$M$7+'ПЛАН ЧИСТ ПОДЗЕМ'!X12*СПРАВОЧНИК!$N$7+'ПЛАН ЧИСТ ПОДЗЕМ'!Y12*СПРАВОЧНИК!$O$7+'ПЛАН ЧИСТ ПОДЗЕМ'!Z12*СПРАВОЧНИК!$P$7)+СПРАВОЧНИК!$E$8*('ПЛАН ЧЕРН ПОДЗЕМ'!Q12*СПРАВОЧНИК!$H$8+'ПЛАН ЧЕРН ПОДЗЕМ'!R12*СПРАВОЧНИК!$I$8+'ПЛАН ЧЕРН ПОДЗЕМ'!S12*СПРАВОЧНИК!$J$8)+СПРАВОЧНИК!$F$8*('ПЛАН ЧИСТ ПОДЗЕМ'!AA12*СПРАВОЧНИК!$L$8+'ПЛАН ЧИСТ ПОДЗЕМ'!AB12*СПРАВОЧНИК!$M$8+'ПЛАН ЧИСТ ПОДЗЕМ'!AC12*СПРАВОЧНИК!$N$8+'ПЛАН ЧИСТ ПОДЗЕМ'!AD12*СПРАВОЧНИК!$O$8+'ПЛАН ЧИСТ ПОДЗЕМ'!AE12*СПРАВОЧНИК!$P$8)</f>
        <v/>
      </c>
      <c r="D21" s="31">
        <f>СПРАВОЧНИК!$E$3*('ФАКТ ЧЕРН ПОДЗЕМ'!B12*СПРАВОЧНИК!$H$3+'ФАКТ ЧЕРН ПОДЗЕМ'!C12*СПРАВОЧНИК!$I$3+'ФАКТ ЧЕРН ПОДЗЕМ'!D12*СПРАВОЧНИК!$J$3)+СПРАВОЧНИК!$F$3*('ФАКТ ЧИСТ ПОДЗЕМ'!B12*СПРАВОЧНИК!$L$3+'ФАКТ ЧИСТ ПОДЗЕМ'!C12*СПРАВОЧНИК!$M$3+'ФАКТ ЧИСТ ПОДЗЕМ'!D12*СПРАВОЧНИК!$N$3+'ФАКТ ЧИСТ ПОДЗЕМ'!E12*СПРАВОЧНИК!$O$3+'ФАКТ ЧИСТ ПОДЗЕМ'!F12*СПРАВОЧНИК!$P$3)+СПРАВОЧНИК!$E$4*('ФАКТ ЧЕРН ПОДЗЕМ'!E12*СПРАВОЧНИК!$H$4+'ФАКТ ЧЕРН ПОДЗЕМ'!F12*СПРАВОЧНИК!$I$4+'ФАКТ ЧЕРН ПОДЗЕМ'!G12*СПРАВОЧНИК!$J$4)+СПРАВОЧНИК!$F$4*('ФАКТ ЧИСТ ПОДЗЕМ'!G12*СПРАВОЧНИК!$L$4+'ФАКТ ЧИСТ ПОДЗЕМ'!H12*СПРАВОЧНИК!$M$4+'ФАКТ ЧИСТ ПОДЗЕМ'!I12*СПРАВОЧНИК!$N$4+'ФАКТ ЧИСТ ПОДЗЕМ'!J12*СПРАВОЧНИК!$O$4+'ФАКТ ЧИСТ ПОДЗЕМ'!K12*СПРАВОЧНИК!$P$4)+СПРАВОЧНИК!$E$5*('ФАКТ ЧЕРН ПОДЗЕМ'!H12*СПРАВОЧНИК!$H$5+'ФАКТ ЧЕРН ПОДЗЕМ'!I12*СПРАВОЧНИК!$I$5+'ФАКТ ЧЕРН ПОДЗЕМ'!J12*СПРАВОЧНИК!$J$5)+СПРАВОЧНИК!$F$5*('ФАКТ ЧИСТ ПОДЗЕМ'!L12*СПРАВОЧНИК!$L$5+'ФАКТ ЧИСТ ПОДЗЕМ'!M12*СПРАВОЧНИК!$M$5+'ФАКТ ЧИСТ ПОДЗЕМ'!N12*СПРАВОЧНИК!$N$5+'ФАКТ ЧИСТ ПОДЗЕМ'!O12*СПРАВОЧНИК!$O$5+'ФАКТ ЧИСТ ПОДЗЕМ'!P12*СПРАВОЧНИК!$P$5)+СПРАВОЧНИК!$E$6*('ФАКТ ЧЕРН ПОДЗЕМ'!K12*СПРАВОЧНИК!$H$6+'ФАКТ ЧЕРН ПОДЗЕМ'!L12*СПРАВОЧНИК!$I$6+'ФАКТ ЧЕРН ПОДЗЕМ'!M12*СПРАВОЧНИК!$J$6)+СПРАВОЧНИК!$F$6*('ФАКТ ЧИСТ ПОДЗЕМ'!Q12*СПРАВОЧНИК!$L$6+'ФАКТ ЧИСТ ПОДЗЕМ'!R12*СПРАВОЧНИК!$M$6+'ФАКТ ЧИСТ ПОДЗЕМ'!S12*СПРАВОЧНИК!$N$6+'ФАКТ ЧИСТ ПОДЗЕМ'!T12*СПРАВОЧНИК!$O$6+'ФАКТ ЧИСТ ПОДЗЕМ'!U12*СПРАВОЧНИК!$P$6)+СПРАВОЧНИК!$E$7*('ФАКТ ЧЕРН ПОДЗЕМ'!N12*СПРАВОЧНИК!$H$7+'ФАКТ ЧЕРН ПОДЗЕМ'!O12*СПРАВОЧНИК!$I$7+'ФАКТ ЧЕРН ПОДЗЕМ'!P12*СПРАВОЧНИК!$J$7)+СПРАВОЧНИК!$F$7*('ФАКТ ЧИСТ ПОДЗЕМ'!V12*СПРАВОЧНИК!$L$7+'ФАКТ ЧИСТ ПОДЗЕМ'!W12*СПРАВОЧНИК!$M$7+'ФАКТ ЧИСТ ПОДЗЕМ'!X12*СПРАВОЧНИК!$N$7+'ФАКТ ЧИСТ ПОДЗЕМ'!Y12*СПРАВОЧНИК!$O$7+'ФАКТ ЧИСТ ПОДЗЕМ'!Z12*СПРАВОЧНИК!$P$7)+СПРАВОЧНИК!$E$8*('ФАКТ ЧЕРН ПОДЗЕМ'!Q12*СПРАВОЧНИК!$H$8+'ФАКТ ЧЕРН ПОДЗЕМ'!R12*СПРАВОЧНИК!$I$8+'ФАКТ ЧЕРН ПОДЗЕМ'!S12*СПРАВОЧНИК!$J$8)+СПРАВОЧНИК!$F$8*('ФАКТ ЧИСТ ПОДЗЕМ'!AA12*СПРАВОЧНИК!$L$8+'ФАКТ ЧИСТ ПОДЗЕМ'!AB12*СПРАВОЧНИК!$M$8+'ФАКТ ЧИСТ ПОДЗЕМ'!AC12*СПРАВОЧНИК!$N$8+'ФАКТ ЧИСТ ПОДЗЕМ'!AD12*СПРАВОЧНИК!$O$8+'ФАКТ ЧИСТ ПОДЗЕМ'!AE12*СПРАВОЧНИК!$P$8)</f>
        <v/>
      </c>
      <c r="E21" s="34" t="n"/>
      <c r="H21" s="152">
        <f>H20+7</f>
        <v/>
      </c>
      <c r="I21" s="17">
        <f>'ПЛАН ЧЕРН ПОДЗЕМ'!B12*СПРАВОЧНИК!$H$3+'ПЛАН ЧЕРН ПОДЗЕМ'!C12*СПРАВОЧНИК!$I$3+'ПЛАН ЧЕРН ПОДЗЕМ'!D12*СПРАВОЧНИК!$J$3+'ПЛАН ЧЕРН ПОДЗЕМ'!E12*СПРАВОЧНИК!$H$4+'ПЛАН ЧЕРН ПОДЗЕМ'!F12*СПРАВОЧНИК!$I$4+'ПЛАН ЧЕРН ПОДЗЕМ'!G12*СПРАВОЧНИК!$J$4+'ПЛАН ЧЕРН ПОДЗЕМ'!H12*СПРАВОЧНИК!$H$5+'ПЛАН ЧЕРН ПОДЗЕМ'!I12*СПРАВОЧНИК!$I$5+'ПЛАН ЧЕРН ПОДЗЕМ'!J12*СПРАВОЧНИК!$J$5+'ПЛАН ЧЕРН ПОДЗЕМ'!K12*СПРАВОЧНИК!$H$6+'ПЛАН ЧЕРН ПОДЗЕМ'!L12*СПРАВОЧНИК!$I$6+'ПЛАН ЧЕРН ПОДЗЕМ'!M12*СПРАВОЧНИК!$J$6+'ПЛАН ЧЕРН ПОДЗЕМ'!N12*СПРАВОЧНИК!$H$7+'ПЛАН ЧЕРН ПОДЗЕМ'!O12*СПРАВОЧНИК!$I$7+'ПЛАН ЧЕРН ПОДЗЕМ'!P12*СПРАВОЧНИК!$J$7+'ПЛАН ЧЕРН ПОДЗЕМ'!Q12*СПРАВОЧНИК!$H$8+'ПЛАН ЧЕРН ПОДЗЕМ'!R12*СПРАВОЧНИК!$I$8+'ПЛАН ЧЕРН ПОДЗЕМ'!S12*СПРАВОЧНИК!$J$8</f>
        <v/>
      </c>
      <c r="J21" s="31">
        <f>('ФАКТ ЧЕРН ПОДЗЕМ'!B12)*СПРАВОЧНИК!$H$3+('ФАКТ ЧЕРН ПОДЗЕМ'!C12)*СПРАВОЧНИК!$I$3+('ФАКТ ЧЕРН ПОДЗЕМ'!D12)*СПРАВОЧНИК!$J$3+('ФАКТ ЧЕРН ПОДЗЕМ'!E12)*СПРАВОЧНИК!$H$4+('ФАКТ ЧЕРН ПОДЗЕМ'!F12)*СПРАВОЧНИК!$I$4+('ФАКТ ЧЕРН ПОДЗЕМ'!G12)*СПРАВОЧНИК!$J$4+('ФАКТ ЧЕРН ПОДЗЕМ'!H12)*СПРАВОЧНИК!$H$5+('ФАКТ ЧЕРН ПОДЗЕМ'!I12)*СПРАВОЧНИК!$I$5+('ФАКТ ЧЕРН ПОДЗЕМ'!J12)*СПРАВОЧНИК!$J$5+('ФАКТ ЧЕРН ПОДЗЕМ'!K12)*СПРАВОЧНИК!$H$6+('ФАКТ ЧЕРН ПОДЗЕМ'!L12)*СПРАВОЧНИК!$I$6+('ФАКТ ЧЕРН ПОДЗЕМ'!M12)*СПРАВОЧНИК!$J$6+('ФАКТ ЧЕРН ПОДЗЕМ'!N12)*СПРАВОЧНИК!$H$7+('ФАКТ ЧЕРН ПОДЗЕМ'!O12)*СПРАВОЧНИК!$I$7+('ФАКТ ЧЕРН ПОДЗЕМ'!P12)*СПРАВОЧНИК!$J$7+('ФАКТ ЧЕРН ПОДЗЕМ'!Q12)*СПРАВОЧНИК!$H$8+('ФАКТ ЧЕРН ПОДЗЕМ'!R12)*СПРАВОЧНИК!$I$8+('ФАКТ ЧЕРН ПОДЗЕМ'!S12)*СПРАВОЧНИК!$J$8</f>
        <v/>
      </c>
      <c r="K21" s="34" t="n"/>
      <c r="N21" s="152">
        <f>N20+7</f>
        <v/>
      </c>
      <c r="O21" s="17">
        <f>'ПЛАН ЧИСТ ПОДЗЕМ'!B12*СПРАВОЧНИК!$L$3+'ПЛАН ЧИСТ ПОДЗЕМ'!C12*СПРАВОЧНИК!$M$3+'ПЛАН ЧИСТ ПОДЗЕМ'!D12*СПРАВОЧНИК!$N$3+'ПЛАН ЧИСТ ПОДЗЕМ'!E12*СПРАВОЧНИК!$O$3+'ПЛАН ЧИСТ ПОДЗЕМ'!F12*СПРАВОЧНИК!$P$3+'ПЛАН ЧИСТ ПОДЗЕМ'!G12*СПРАВОЧНИК!$L$4+'ПЛАН ЧИСТ ПОДЗЕМ'!H12*СПРАВОЧНИК!$M$4+'ПЛАН ЧИСТ ПОДЗЕМ'!I12*СПРАВОЧНИК!$N$4+'ПЛАН ЧИСТ ПОДЗЕМ'!J12*СПРАВОЧНИК!$O$4+'ПЛАН ЧИСТ ПОДЗЕМ'!K12*СПРАВОЧНИК!$P$4+'ПЛАН ЧИСТ ПОДЗЕМ'!L12*СПРАВОЧНИК!$L$5+'ПЛАН ЧИСТ ПОДЗЕМ'!M12*СПРАВОЧНИК!$M$5+'ПЛАН ЧИСТ ПОДЗЕМ'!N12*СПРАВОЧНИК!$N$5+'ПЛАН ЧИСТ ПОДЗЕМ'!O12*СПРАВОЧНИК!$O$5+'ПЛАН ЧИСТ ПОДЗЕМ'!P12*СПРАВОЧНИК!$P$5+'ПЛАН ЧИСТ ПОДЗЕМ'!Q12*СПРАВОЧНИК!$L$6+'ПЛАН ЧИСТ ПОДЗЕМ'!R12*СПРАВОЧНИК!$M$6+'ПЛАН ЧИСТ ПОДЗЕМ'!S12*СПРАВОЧНИК!$N$6+'ПЛАН ЧИСТ ПОДЗЕМ'!T12*СПРАВОЧНИК!$O$6+'ПЛАН ЧИСТ ПОДЗЕМ'!U12*СПРАВОЧНИК!$P$6+'ПЛАН ЧИСТ ПОДЗЕМ'!V12*СПРАВОЧНИК!$L$7+'ПЛАН ЧИСТ ПОДЗЕМ'!W12*СПРАВОЧНИК!$M$7+'ПЛАН ЧИСТ ПОДЗЕМ'!X12*СПРАВОЧНИК!$N$7+'ПЛАН ЧИСТ ПОДЗЕМ'!Y12*СПРАВОЧНИК!$O$7+'ПЛАН ЧИСТ ПОДЗЕМ'!Z12*СПРАВОЧНИК!$P$7+'ПЛАН ЧИСТ ПОДЗЕМ'!AA12*СПРАВОЧНИК!$L$8+'ПЛАН ЧИСТ ПОДЗЕМ'!AB12*СПРАВОЧНИК!$M$8+'ПЛАН ЧИСТ ПОДЗЕМ'!AC12*СПРАВОЧНИК!$N$8+'ПЛАН ЧИСТ ПОДЗЕМ'!AD12*СПРАВОЧНИК!$O$8+'ПЛАН ЧИСТ ПОДЗЕМ'!AE12*СПРАВОЧНИК!$P$8</f>
        <v/>
      </c>
      <c r="P21" s="31">
        <f>('ФАКТ ЧИСТ ПОДЗЕМ'!B12)*СПРАВОЧНИК!$L$3+('ФАКТ ЧИСТ ПОДЗЕМ'!C12)*СПРАВОЧНИК!$M$3+('ФАКТ ЧИСТ ПОДЗЕМ'!D12)*СПРАВОЧНИК!$N$3+('ФАКТ ЧИСТ ПОДЗЕМ'!E12)*СПРАВОЧНИК!$O$3+('ФАКТ ЧИСТ ПОДЗЕМ'!F12)*СПРАВОЧНИК!$P$3+('ФАКТ ЧИСТ ПОДЗЕМ'!G12)*СПРАВОЧНИК!$L$4+('ФАКТ ЧИСТ ПОДЗЕМ'!H12)*СПРАВОЧНИК!$M$4+('ФАКТ ЧИСТ ПОДЗЕМ'!I12)*СПРАВОЧНИК!$N$4+('ФАКТ ЧИСТ ПОДЗЕМ'!J12)*СПРАВОЧНИК!$O$4+('ФАКТ ЧИСТ ПОДЗЕМ'!K12)*СПРАВОЧНИК!$P$4+('ФАКТ ЧИСТ ПОДЗЕМ'!L12)*СПРАВОЧНИК!$L$5+('ФАКТ ЧИСТ ПОДЗЕМ'!M12)*СПРАВОЧНИК!$M$5+('ФАКТ ЧИСТ ПОДЗЕМ'!N12)*СПРАВОЧНИК!$N$5+('ФАКТ ЧИСТ ПОДЗЕМ'!O12)*СПРАВОЧНИК!$O$5+('ФАКТ ЧИСТ ПОДЗЕМ'!P12)*СПРАВОЧНИК!$P$5+('ФАКТ ЧИСТ ПОДЗЕМ'!Q12)*СПРАВОЧНИК!$L$6+('ФАКТ ЧИСТ ПОДЗЕМ'!R12)*СПРАВОЧНИК!$M$6+('ФАКТ ЧИСТ ПОДЗЕМ'!S12)*СПРАВОЧНИК!$N$6+('ФАКТ ЧИСТ ПОДЗЕМ'!T12)*СПРАВОЧНИК!$O$6+('ФАКТ ЧИСТ ПОДЗЕМ'!U12)*СПРАВОЧНИК!$P$6+('ФАКТ ЧИСТ ПОДЗЕМ'!V12)*СПРАВОЧНИК!$L$7+('ФАКТ ЧИСТ ПОДЗЕМ'!W12)*СПРАВОЧНИК!$M$7+('ФАКТ ЧИСТ ПОДЗЕМ'!X12)*СПРАВОЧНИК!$N$7+('ФАКТ ЧИСТ ПОДЗЕМ'!Y12)*СПРАВОЧНИК!$O$7+('ФАКТ ЧИСТ ПОДЗЕМ'!Z12)*СПРАВОЧНИК!$P$7+('ФАКТ ЧИСТ ПОДЗЕМ'!AA12)*СПРАВОЧНИК!$L$8+('ФАКТ ЧИСТ ПОДЗЕМ'!AB12)*СПРАВОЧНИК!$M$8+('ФАКТ ЧИСТ ПОДЗЕМ'!AC12)*СПРАВОЧНИК!$N$8+('ФАКТ ЧИСТ ПОДЗЕМ'!AD12)*СПРАВОЧНИК!$O$8+('ФАКТ ЧИСТ ПОДЗЕМ'!AE12)*СПРАВОЧНИК!$P$8</f>
        <v/>
      </c>
      <c r="Q21" s="34" t="n"/>
      <c r="T21" s="152">
        <f>T20+7</f>
        <v/>
      </c>
      <c r="U21" s="17">
        <f>СПРАВОЧНИК!$E$9*('ПЛАН ЧЕРН К1'!B12*СПРАВОЧНИК!$H$9+'ПЛАН ЧЕРН К1'!C12*СПРАВОЧНИК!$I$9+'ПЛАН ЧЕРН К1'!D12*СПРАВОЧНИК!$J$9)+СПРАВОЧНИК!$F$9*('ПЛАН ЧИСТ К1'!B12*СПРАВОЧНИК!$L$9+'ПЛАН ЧИСТ К1'!C12*СПРАВОЧНИК!$M$9+'ПЛАН ЧИСТ К1'!D12*СПРАВОЧНИК!$N$9+'ПЛАН ЧИСТ К1'!E12*СПРАВОЧНИК!$O$9+'ПЛАН ЧИСТ К1'!F12*СПРАВОЧНИК!$P$9)+СПРАВОЧНИК!$E$10*('ПЛАН ЧЕРН К1'!E12*СПРАВОЧНИК!$H$10+'ПЛАН ЧЕРН К1'!F12*СПРАВОЧНИК!$I$10+'ПЛАН ЧЕРН К1'!G12*СПРАВОЧНИК!$J$10)+СПРАВОЧНИК!$F$10*('ПЛАН ЧИСТ К1'!G12*СПРАВОЧНИК!$L$10+'ПЛАН ЧИСТ К1'!H12*СПРАВОЧНИК!$M$10+'ПЛАН ЧИСТ К1'!I12*СПРАВОЧНИК!$N$10+'ПЛАН ЧИСТ К1'!J12*СПРАВОЧНИК!$O$10+'ПЛАН ЧИСТ К1'!K12*СПРАВОЧНИК!$P$10)+СПРАВОЧНИК!$E$11*('ПЛАН ЧЕРН К1'!H12*СПРАВОЧНИК!$H$11+'ПЛАН ЧЕРН К1'!I12*СПРАВОЧНИК!$I$11+'ПЛАН ЧЕРН К1'!J12*СПРАВОЧНИК!$J$11)+СПРАВОЧНИК!$F$11*('ПЛАН ЧИСТ К1'!L12*СПРАВОЧНИК!$L$11+'ПЛАН ЧИСТ К1'!M12*СПРАВОЧНИК!$M$11+'ПЛАН ЧИСТ К1'!N12*СПРАВОЧНИК!$N$11+'ПЛАН ЧИСТ К1'!O12*СПРАВОЧНИК!$O$11+'ПЛАН ЧИСТ К1'!P12*СПРАВОЧНИК!$P$11)+СПРАВОЧНИК!$E$12*('ПЛАН ЧЕРН К1'!K12*СПРАВОЧНИК!$H$12+'ПЛАН ЧЕРН К1'!L12*СПРАВОЧНИК!$I$12+'ПЛАН ЧЕРН К1'!M12*СПРАВОЧНИК!$J$12)+СПРАВОЧНИК!$F$12*('ПЛАН ЧИСТ К1'!Q12*СПРАВОЧНИК!$L$12+'ПЛАН ЧИСТ К1'!R12*СПРАВОЧНИК!$M$12+'ПЛАН ЧИСТ К1'!S12*СПРАВОЧНИК!$N$12+'ПЛАН ЧИСТ К1'!T12*СПРАВОЧНИК!$O$12+'ПЛАН ЧИСТ К1'!U12*СПРАВОЧНИК!$P$12)+СПРАВОЧНИК!$E$13*('ПЛАН ЧЕРН К1'!N12*СПРАВОЧНИК!$H$13+'ПЛАН ЧЕРН К1'!O12*СПРАВОЧНИК!$I$13+'ПЛАН ЧЕРН К1'!P12*СПРАВОЧНИК!$J$13)+СПРАВОЧНИК!$F$13*('ПЛАН ЧИСТ К1'!V12*СПРАВОЧНИК!$L$13+'ПЛАН ЧИСТ К1'!W12*СПРАВОЧНИК!$M$13+'ПЛАН ЧИСТ К1'!X12*СПРАВОЧНИК!$N$13+'ПЛАН ЧИСТ К1'!Y12*СПРАВОЧНИК!$O$13+'ПЛАН ЧИСТ К1'!Z12*СПРАВОЧНИК!$P$13)+СПРАВОЧНИК!$E$14*('ПЛАН ЧЕРН К1'!Q12*СПРАВОЧНИК!$H$14+'ПЛАН ЧЕРН К1'!R12*СПРАВОЧНИК!$I$14+'ПЛАН ЧЕРН К1'!S12*СПРАВОЧНИК!$J$14)+СПРАВОЧНИК!$F$14*('ПЛАН ЧИСТ К1'!AA12*СПРАВОЧНИК!$L$14+'ПЛАН ЧИСТ К1'!AB12*СПРАВОЧНИК!$M$14+'ПЛАН ЧИСТ К1'!AC12*СПРАВОЧНИК!$N$14+'ПЛАН ЧИСТ К1'!AD12*СПРАВОЧНИК!$O$14+'ПЛАН ЧИСТ К1'!AE12*СПРАВОЧНИК!$P$14)+СПРАВОЧНИК!$E$15*('ПЛАН ЧЕРН К1'!T12*СПРАВОЧНИК!$H$15+'ПЛАН ЧЕРН К1'!U12*СПРАВОЧНИК!$I$15+'ПЛАН ЧЕРН К1'!V12*СПРАВОЧНИК!$J$15)+СПРАВОЧНИК!$F$15*('ПЛАН ЧИСТ К1'!AF12*СПРАВОЧНИК!$L$15+'ПЛАН ЧИСТ К1'!AG12*СПРАВОЧНИК!$M$15+'ПЛАН ЧИСТ К1'!AH12*СПРАВОЧНИК!$N$15+'ПЛАН ЧИСТ К1'!AI12*СПРАВОЧНИК!$O$15+'ПЛАН ЧИСТ К1'!AJ12*СПРАВОЧНИК!$P$15)</f>
        <v/>
      </c>
      <c r="V21" s="31">
        <f>СПРАВОЧНИК!$E$9*('ФАКТ ЧЕРН К1'!B12*СПРАВОЧНИК!$H$9+'ФАКТ ЧЕРН К1'!C12*СПРАВОЧНИК!$I$9+'ФАКТ ЧЕРН К1'!D12*СПРАВОЧНИК!$J$9)+СПРАВОЧНИК!$F$9*('ФАКТ ЧИСТ К1'!B12*СПРАВОЧНИК!$L$9+'ФАКТ ЧИСТ К1'!C12*СПРАВОЧНИК!$M$9+'ФАКТ ЧИСТ К1'!D12*СПРАВОЧНИК!$N$9+'ФАКТ ЧИСТ К1'!E12*СПРАВОЧНИК!$O$9+'ФАКТ ЧИСТ К1'!F12*СПРАВОЧНИК!$P$9)+СПРАВОЧНИК!$E$10*('ФАКТ ЧЕРН К1'!E12*СПРАВОЧНИК!$H$10+'ФАКТ ЧЕРН К1'!F12*СПРАВОЧНИК!$I$10+'ФАКТ ЧЕРН К1'!G12*СПРАВОЧНИК!$J$10)+СПРАВОЧНИК!$F$10*('ФАКТ ЧИСТ К1'!G12*СПРАВОЧНИК!$L$10+'ФАКТ ЧИСТ К1'!H12*СПРАВОЧНИК!$M$10+'ФАКТ ЧИСТ К1'!I12*СПРАВОЧНИК!$N$10+'ФАКТ ЧИСТ К1'!J12*СПРАВОЧНИК!$O$10+'ФАКТ ЧИСТ К1'!K12*СПРАВОЧНИК!$P$10)+СПРАВОЧНИК!$E$11*('ФАКТ ЧЕРН К1'!H12*СПРАВОЧНИК!$H$11+'ФАКТ ЧЕРН К1'!I12*СПРАВОЧНИК!$I$11+'ФАКТ ЧЕРН К1'!J12*СПРАВОЧНИК!$J$11)+СПРАВОЧНИК!$F$11*('ФАКТ ЧИСТ К1'!L12*СПРАВОЧНИК!$L$11+'ФАКТ ЧИСТ К1'!M12*СПРАВОЧНИК!$M$11+'ФАКТ ЧИСТ К1'!N12*СПРАВОЧНИК!$N$11+'ФАКТ ЧИСТ К1'!O12*СПРАВОЧНИК!$O$11+'ФАКТ ЧИСТ К1'!P12*СПРАВОЧНИК!$P$11)+СПРАВОЧНИК!$E$12*('ФАКТ ЧЕРН К1'!K12*СПРАВОЧНИК!$H$12+'ФАКТ ЧЕРН К1'!L12*СПРАВОЧНИК!$I$12+'ФАКТ ЧЕРН К1'!M12*СПРАВОЧНИК!$J$12)+СПРАВОЧНИК!$F$12*('ФАКТ ЧИСТ К1'!Q12*СПРАВОЧНИК!$L$12+'ФАКТ ЧИСТ К1'!R12*СПРАВОЧНИК!$M$12+'ФАКТ ЧИСТ К1'!S12*СПРАВОЧНИК!$N$12+'ФАКТ ЧИСТ К1'!T12*СПРАВОЧНИК!$O$12+'ФАКТ ЧИСТ К1'!U12*СПРАВОЧНИК!$P$12)+СПРАВОЧНИК!$E$13*('ФАКТ ЧЕРН К1'!N12*СПРАВОЧНИК!$H$13+'ФАКТ ЧЕРН К1'!O12*СПРАВОЧНИК!$I$13+'ФАКТ ЧЕРН К1'!P12*СПРАВОЧНИК!$J$13)+СПРАВОЧНИК!$F$13*('ФАКТ ЧИСТ К1'!V12*СПРАВОЧНИК!$L$13+'ФАКТ ЧИСТ К1'!W12*СПРАВОЧНИК!$M$13+'ФАКТ ЧИСТ К1'!X12*СПРАВОЧНИК!$N$13+'ФАКТ ЧИСТ К1'!Y12*СПРАВОЧНИК!$O$13+'ФАКТ ЧИСТ К1'!Z12*СПРАВОЧНИК!$P$13)+СПРАВОЧНИК!$E$14*('ФАКТ ЧЕРН К1'!Q12*СПРАВОЧНИК!$H$14+'ФАКТ ЧЕРН К1'!R12*СПРАВОЧНИК!$I$14+'ФАКТ ЧЕРН К1'!S12*СПРАВОЧНИК!$J$14)+СПРАВОЧНИК!$F$14*('ФАКТ ЧИСТ К1'!AA12*СПРАВОЧНИК!$L$14+'ФАКТ ЧИСТ К1'!AB12*СПРАВОЧНИК!$M$14+'ФАКТ ЧИСТ К1'!AC12*СПРАВОЧНИК!$N$14+'ФАКТ ЧИСТ К1'!AD12*СПРАВОЧНИК!$O$14+'ФАКТ ЧИСТ К1'!AE12*СПРАВОЧНИК!$P$14)+СПРАВОЧНИК!$E$15*('ФАКТ ЧЕРН К1'!T12*СПРАВОЧНИК!$H$15+'ФАКТ ЧЕРН К1'!U12*СПРАВОЧНИК!$I$15+'ФАКТ ЧЕРН К1'!V12*СПРАВОЧНИК!$J$15)+СПРАВОЧНИК!$F$15*('ФАКТ ЧИСТ К1'!AF12*СПРАВОЧНИК!$L$15+'ФАКТ ЧИСТ К1'!AG12*СПРАВОЧНИК!$M$15+'ФАКТ ЧИСТ К1'!AH12*СПРАВОЧНИК!$N$15+'ФАКТ ЧИСТ К1'!AI12*СПРАВОЧНИК!$O$15+'ФАКТ ЧИСТ К1'!AJ12*СПРАВОЧНИК!$P$15)</f>
        <v/>
      </c>
      <c r="W21" s="34" t="n"/>
      <c r="Z21" s="152">
        <f>Z20+7</f>
        <v/>
      </c>
      <c r="AA21" s="17">
        <f>'ПЛАН ЧЕРН К1'!B12*СПРАВОЧНИК!$H$9+'ПЛАН ЧЕРН К1'!C12*СПРАВОЧНИК!$I$9+'ПЛАН ЧЕРН К1'!D12*СПРАВОЧНИК!$J$9+'ПЛАН ЧЕРН К1'!E12*СПРАВОЧНИК!$H$10+'ПЛАН ЧЕРН К1'!F12*СПРАВОЧНИК!$I$10+'ПЛАН ЧЕРН К1'!G12*СПРАВОЧНИК!$J$10+'ПЛАН ЧЕРН К1'!H12*СПРАВОЧНИК!$H$11+'ПЛАН ЧЕРН К1'!I12*СПРАВОЧНИК!$I$11+'ПЛАН ЧЕРН К1'!J12*СПРАВОЧНИК!$J$11+'ПЛАН ЧЕРН К1'!K12*СПРАВОЧНИК!$H$12+'ПЛАН ЧЕРН К1'!L12*СПРАВОЧНИК!$I$12+'ПЛАН ЧЕРН К1'!M12*СПРАВОЧНИК!$J$12+'ПЛАН ЧЕРН К1'!N12*СПРАВОЧНИК!$H$13+'ПЛАН ЧЕРН К1'!O12*СПРАВОЧНИК!$I$13+'ПЛАН ЧЕРН К1'!P12*СПРАВОЧНИК!$J$13+'ПЛАН ЧЕРН К1'!Q12*СПРАВОЧНИК!$H$14+'ПЛАН ЧЕРН К1'!R12*СПРАВОЧНИК!$I$14+'ПЛАН ЧЕРН К1'!S12*СПРАВОЧНИК!$J$14+'ПЛАН ЧЕРН К1'!T12*СПРАВОЧНИК!$H$15+'ПЛАН ЧЕРН К1'!U12*СПРАВОЧНИК!$I$15+'ПЛАН ЧЕРН К1'!V12*СПРАВОЧНИК!$J$15</f>
        <v/>
      </c>
      <c r="AB21" s="31">
        <f>('ФАКТ ЧЕРН К1'!B12)*СПРАВОЧНИК!$H$9+('ФАКТ ЧЕРН К1'!C12)*СПРАВОЧНИК!$I$9+('ФАКТ ЧЕРН К1'!D12)*СПРАВОЧНИК!$J$9+('ФАКТ ЧЕРН К1'!E12)*СПРАВОЧНИК!$H$10+('ФАКТ ЧЕРН К1'!F12)*СПРАВОЧНИК!$I$10+('ФАКТ ЧЕРН К1'!G12)*СПРАВОЧНИК!$J$10+('ФАКТ ЧЕРН К1'!H12)*СПРАВОЧНИК!$H$11+('ФАКТ ЧЕРН К1'!I12)*СПРАВОЧНИК!$I$11+('ФАКТ ЧЕРН К1'!J12)*СПРАВОЧНИК!$J$11+('ФАКТ ЧЕРН К1'!K12)*СПРАВОЧНИК!$H$12+('ФАКТ ЧЕРН К1'!L12)*СПРАВОЧНИК!$I$12+('ФАКТ ЧЕРН К1'!M12)*СПРАВОЧНИК!$J$12+('ФАКТ ЧЕРН К1'!N12)*СПРАВОЧНИК!$H$13+('ФАКТ ЧЕРН К1'!O12)*СПРАВОЧНИК!$I$13+('ФАКТ ЧЕРН К1'!P12)*СПРАВОЧНИК!$J$13+('ФАКТ ЧЕРН К1'!Q12)*СПРАВОЧНИК!$H$14+('ФАКТ ЧЕРН К1'!R12)*СПРАВОЧНИК!$I$14+('ФАКТ ЧЕРН К1'!S12)*СПРАВОЧНИК!$J$14+('ФАКТ ЧЕРН К1'!T12)*СПРАВОЧНИК!$H$15+('ФАКТ ЧЕРН К1'!U12)*СПРАВОЧНИК!$I$15+('ФАКТ ЧЕРН К1'!V12)*СПРАВОЧНИК!$J$15</f>
        <v/>
      </c>
      <c r="AC21" s="34" t="n"/>
      <c r="AF21" s="152">
        <f>AF20+7</f>
        <v/>
      </c>
      <c r="AG21" s="17">
        <f>'ПЛАН ЧИСТ К1'!B12*СПРАВОЧНИК!$L$9+'ПЛАН ЧИСТ К1'!C12*СПРАВОЧНИК!$M$9+'ПЛАН ЧИСТ К1'!D12*СПРАВОЧНИК!$N$9+'ПЛАН ЧИСТ К1'!E12*СПРАВОЧНИК!$O$9+'ПЛАН ЧИСТ К1'!F12*СПРАВОЧНИК!$P$9+'ПЛАН ЧИСТ К1'!G12*СПРАВОЧНИК!$L$10+'ПЛАН ЧИСТ К1'!H12*СПРАВОЧНИК!$M$10+'ПЛАН ЧИСТ К1'!I12*СПРАВОЧНИК!$N$10+'ПЛАН ЧИСТ К1'!J12*СПРАВОЧНИК!$O$10+'ПЛАН ЧИСТ К1'!K12*СПРАВОЧНИК!$P$10+'ПЛАН ЧИСТ К1'!L12*СПРАВОЧНИК!$L$11+'ПЛАН ЧИСТ К1'!M12*СПРАВОЧНИК!$M$11+'ПЛАН ЧИСТ К1'!N12*СПРАВОЧНИК!$N$11+'ПЛАН ЧИСТ К1'!O12*СПРАВОЧНИК!$O$11+'ПЛАН ЧИСТ К1'!P12*СПРАВОЧНИК!$P$11+'ПЛАН ЧИСТ К1'!Q12*СПРАВОЧНИК!$L$12+'ПЛАН ЧИСТ К1'!R12*СПРАВОЧНИК!$M$12+'ПЛАН ЧИСТ К1'!S12*СПРАВОЧНИК!$N$12+'ПЛАН ЧИСТ К1'!T12*СПРАВОЧНИК!$O$12+'ПЛАН ЧИСТ К1'!U12*СПРАВОЧНИК!$P$12+'ПЛАН ЧИСТ К1'!V12*СПРАВОЧНИК!$L$13+'ПЛАН ЧИСТ К1'!W12*СПРАВОЧНИК!$M$13+'ПЛАН ЧИСТ К1'!X12*СПРАВОЧНИК!$N$13+'ПЛАН ЧИСТ К1'!Y12*СПРАВОЧНИК!$O$13+'ПЛАН ЧИСТ К1'!Z12*СПРАВОЧНИК!$P$13+'ПЛАН ЧИСТ К1'!AA12*СПРАВОЧНИК!$L$14+'ПЛАН ЧИСТ К1'!AB12*СПРАВОЧНИК!$M$14+'ПЛАН ЧИСТ К1'!AC12*СПРАВОЧНИК!$N$14+'ПЛАН ЧИСТ К1'!AD12*СПРАВОЧНИК!$O$14+'ПЛАН ЧИСТ К1'!AE12*СПРАВОЧНИК!$P$14+'ПЛАН ЧИСТ К1'!AF12*СПРАВОЧНИК!$L$15+'ПЛАН ЧИСТ К1'!AG12*СПРАВОЧНИК!$M$15+'ПЛАН ЧИСТ К1'!AH12*СПРАВОЧНИК!$N$15+'ПЛАН ЧИСТ К1'!AI12*СПРАВОЧНИК!$O$15+'ПЛАН ЧИСТ К1'!AJ12*СПРАВОЧНИК!$P$15</f>
        <v/>
      </c>
      <c r="AH21" s="31">
        <f>('ФАКТ ЧИСТ К1'!B12)*СПРАВОЧНИК!$L$9+('ФАКТ ЧИСТ К1'!C12)*СПРАВОЧНИК!$M$9+('ФАКТ ЧИСТ К1'!D12)*СПРАВОЧНИК!$N$9+('ФАКТ ЧИСТ К1'!E12)*СПРАВОЧНИК!$O$9+('ФАКТ ЧИСТ К1'!F12)*СПРАВОЧНИК!$P$9+('ФАКТ ЧИСТ К1'!G12)*СПРАВОЧНИК!$L$10+('ФАКТ ЧИСТ К1'!H12)*СПРАВОЧНИК!$M$10+('ФАКТ ЧИСТ К1'!I12)*СПРАВОЧНИК!$N$10+('ФАКТ ЧИСТ К1'!J12)*СПРАВОЧНИК!$O$10+('ФАКТ ЧИСТ К1'!K12)*СПРАВОЧНИК!$P$10+('ФАКТ ЧИСТ К1'!L12)*СПРАВОЧНИК!$L$11+('ФАКТ ЧИСТ К1'!M12)*СПРАВОЧНИК!$M$11+('ФАКТ ЧИСТ К1'!N12)*СПРАВОЧНИК!$N$11+('ФАКТ ЧИСТ К1'!O12)*СПРАВОЧНИК!$O$11+('ФАКТ ЧИСТ К1'!P12)*СПРАВОЧНИК!$P$11+('ФАКТ ЧИСТ К1'!Q12)*СПРАВОЧНИК!$L$12+('ФАКТ ЧИСТ К1'!R12)*СПРАВОЧНИК!$M$12+('ФАКТ ЧИСТ К1'!S12)*СПРАВОЧНИК!$N$12+('ФАКТ ЧИСТ К1'!T12)*СПРАВОЧНИК!$O$12+('ФАКТ ЧИСТ К1'!U12)*СПРАВОЧНИК!$P$12+('ФАКТ ЧИСТ К1'!V12)*СПРАВОЧНИК!$L$13+('ФАКТ ЧИСТ К1'!W12)*СПРАВОЧНИК!$M$13+('ФАКТ ЧИСТ К1'!X12)*СПРАВОЧНИК!$N$13+('ФАКТ ЧИСТ К1'!Y12)*СПРАВОЧНИК!$O$13+('ФАКТ ЧИСТ К1'!Z12)*СПРАВОЧНИК!$P$13+('ФАКТ ЧИСТ К1'!AA12)*СПРАВОЧНИК!$L$14+('ФАКТ ЧИСТ К1'!AB12)*СПРАВОЧНИК!$M$14+('ФАКТ ЧИСТ К1'!AC12)*СПРАВОЧНИК!$N$14+('ФАКТ ЧИСТ К1'!AD12)*СПРАВОЧНИК!$O$14+('ФАКТ ЧИСТ К1'!AE12)*СПРАВОЧНИК!$P$14+('ФАКТ ЧИСТ К1'!AF12)*СПРАВОЧНИК!$L$15+('ФАКТ ЧИСТ К1'!AG12)*СПРАВОЧНИК!$M$15+('ФАКТ ЧИСТ К1'!AH12)*СПРАВОЧНИК!$N$15+('ФАКТ ЧИСТ К1'!AI12)*СПРАВОЧНИК!$O$15+('ФАКТ ЧИСТ К1'!AJ12)*СПРАВОЧНИК!$P$15</f>
        <v/>
      </c>
      <c r="AI21" s="34" t="n"/>
      <c r="AL21" s="152">
        <f>AL20+7</f>
        <v/>
      </c>
      <c r="AM21" s="17">
        <f>СПРАВОЧНИК!$E$9*('ПЛАН ЧЕРН К2'!B12*СПРАВОЧНИК!$H$9+'ПЛАН ЧЕРН К2'!C12*СПРАВОЧНИК!$I$9+'ПЛАН ЧЕРН К2'!D12*СПРАВОЧНИК!$J$9)+СПРАВОЧНИК!$F$9*('ПЛАН ЧИСТ К2'!B12*СПРАВОЧНИК!$L$9+'ПЛАН ЧИСТ К2'!C12*СПРАВОЧНИК!$M$9+'ПЛАН ЧИСТ К2'!D12*СПРАВОЧНИК!$N$9+'ПЛАН ЧИСТ К2'!E12*СПРАВОЧНИК!$O$9+'ПЛАН ЧИСТ К2'!F12*СПРАВОЧНИК!$P$9)+СПРАВОЧНИК!$E$10*('ПЛАН ЧЕРН К2'!E12*СПРАВОЧНИК!$H$10+'ПЛАН ЧЕРН К2'!F12*СПРАВОЧНИК!$I$10+'ПЛАН ЧЕРН К2'!G12*СПРАВОЧНИК!$J$10)+СПРАВОЧНИК!$F$10*('ПЛАН ЧИСТ К2'!G12*СПРАВОЧНИК!$L$10+'ПЛАН ЧИСТ К2'!H12*СПРАВОЧНИК!$M$10+'ПЛАН ЧИСТ К2'!I12*СПРАВОЧНИК!$N$10+'ПЛАН ЧИСТ К2'!J12*СПРАВОЧНИК!$O$10+'ПЛАН ЧИСТ К2'!K12*СПРАВОЧНИК!$P$10)+СПРАВОЧНИК!$E$11*('ПЛАН ЧЕРН К2'!H12*СПРАВОЧНИК!$H$11+'ПЛАН ЧЕРН К2'!I12*СПРАВОЧНИК!$I$11+'ПЛАН ЧЕРН К2'!J12*СПРАВОЧНИК!$J$11)+СПРАВОЧНИК!$F$11*('ПЛАН ЧИСТ К2'!L12*СПРАВОЧНИК!$L$11+'ПЛАН ЧИСТ К2'!M12*СПРАВОЧНИК!$M$11+'ПЛАН ЧИСТ К2'!N12*СПРАВОЧНИК!$N$11+'ПЛАН ЧИСТ К2'!O12*СПРАВОЧНИК!$O$11+'ПЛАН ЧИСТ К2'!P12*СПРАВОЧНИК!$P$11)+СПРАВОЧНИК!$E$12*('ПЛАН ЧЕРН К2'!K12*СПРАВОЧНИК!$H$12+'ПЛАН ЧЕРН К2'!L12*СПРАВОЧНИК!$I$12+'ПЛАН ЧЕРН К2'!M12*СПРАВОЧНИК!$J$12)+СПРАВОЧНИК!$F$12*('ПЛАН ЧИСТ К2'!Q12*СПРАВОЧНИК!$L$12+'ПЛАН ЧИСТ К2'!R12*СПРАВОЧНИК!$M$12+'ПЛАН ЧИСТ К2'!S12*СПРАВОЧНИК!$N$12+'ПЛАН ЧИСТ К2'!T12*СПРАВОЧНИК!$O$12+'ПЛАН ЧИСТ К2'!U12*СПРАВОЧНИК!$P$12)+СПРАВОЧНИК!$E$13*('ПЛАН ЧЕРН К2'!N12*СПРАВОЧНИК!$H$13+'ПЛАН ЧЕРН К2'!O12*СПРАВОЧНИК!$I$13+'ПЛАН ЧЕРН К2'!P12*СПРАВОЧНИК!$J$13)+СПРАВОЧНИК!$F$13*('ПЛАН ЧИСТ К2'!V12*СПРАВОЧНИК!$L$13+'ПЛАН ЧИСТ К2'!W12*СПРАВОЧНИК!$M$13+'ПЛАН ЧИСТ К2'!X12*СПРАВОЧНИК!$N$13+'ПЛАН ЧИСТ К2'!Y12*СПРАВОЧНИК!$O$13+'ПЛАН ЧИСТ К2'!Z12*СПРАВОЧНИК!$P$13)+СПРАВОЧНИК!$E$14*('ПЛАН ЧЕРН К2'!Q12*СПРАВОЧНИК!$H$14+'ПЛАН ЧЕРН К2'!R12*СПРАВОЧНИК!$I$14+'ПЛАН ЧЕРН К2'!S12*СПРАВОЧНИК!$J$14)+СПРАВОЧНИК!$F$14*('ПЛАН ЧИСТ К2'!AA12*СПРАВОЧНИК!$L$14+'ПЛАН ЧИСТ К2'!AB12*СПРАВОЧНИК!$M$14+'ПЛАН ЧИСТ К2'!AC12*СПРАВОЧНИК!$N$14+'ПЛАН ЧИСТ К2'!AD12*СПРАВОЧНИК!$O$14+'ПЛАН ЧИСТ К2'!AE12*СПРАВОЧНИК!$P$14)+СПРАВОЧНИК!$E$15*('ПЛАН ЧЕРН К2'!T12*СПРАВОЧНИК!$H$15+'ПЛАН ЧЕРН К2'!U12*СПРАВОЧНИК!$I$15+'ПЛАН ЧЕРН К2'!V12*СПРАВОЧНИК!$J$15)+СПРАВОЧНИК!$F$15*('ПЛАН ЧИСТ К2'!AF12*СПРАВОЧНИК!$L$15+'ПЛАН ЧИСТ К2'!AG12*СПРАВОЧНИК!$M$15+'ПЛАН ЧИСТ К2'!AH12*СПРАВОЧНИК!$N$15+'ПЛАН ЧИСТ К2'!AI12*СПРАВОЧНИК!$O$15+'ПЛАН ЧИСТ К2'!AJ12*СПРАВОЧНИК!$P$15)</f>
        <v/>
      </c>
      <c r="AN21" s="31">
        <f>СПРАВОЧНИК!$E$9*('ФАКТ ЧЕРН К2'!B12*СПРАВОЧНИК!$H$9+'ФАКТ ЧЕРН К2'!C12*СПРАВОЧНИК!$I$9+'ФАКТ ЧЕРН К2'!D12*СПРАВОЧНИК!$J$9)+СПРАВОЧНИК!$F$9*('ФАКТ ЧИСТ К2'!B12*СПРАВОЧНИК!$L$9+'ФАКТ ЧИСТ К2'!C12*СПРАВОЧНИК!$M$9+'ФАКТ ЧИСТ К2'!D12*СПРАВОЧНИК!$N$9+'ФАКТ ЧИСТ К2'!E12*СПРАВОЧНИК!$O$9+'ФАКТ ЧИСТ К2'!F12*СПРАВОЧНИК!$P$9)+СПРАВОЧНИК!$E$10*('ФАКТ ЧЕРН К2'!E12*СПРАВОЧНИК!$H$10+'ФАКТ ЧЕРН К2'!F12*СПРАВОЧНИК!$I$10+'ФАКТ ЧЕРН К2'!G12*СПРАВОЧНИК!$J$10)+СПРАВОЧНИК!$F$10*('ФАКТ ЧИСТ К2'!G12*СПРАВОЧНИК!$L$10+'ФАКТ ЧИСТ К2'!H12*СПРАВОЧНИК!$M$10+'ФАКТ ЧИСТ К2'!I12*СПРАВОЧНИК!$N$10+'ФАКТ ЧИСТ К2'!J12*СПРАВОЧНИК!$O$10+'ФАКТ ЧИСТ К2'!K12*СПРАВОЧНИК!$P$10)+СПРАВОЧНИК!$E$11*('ФАКТ ЧЕРН К2'!H12*СПРАВОЧНИК!$H$11+'ФАКТ ЧЕРН К2'!I12*СПРАВОЧНИК!$I$11+'ФАКТ ЧЕРН К2'!J12*СПРАВОЧНИК!$J$11)+СПРАВОЧНИК!$F$11*('ФАКТ ЧИСТ К2'!L12*СПРАВОЧНИК!$L$11+'ФАКТ ЧИСТ К2'!M12*СПРАВОЧНИК!$M$11+'ФАКТ ЧИСТ К2'!N12*СПРАВОЧНИК!$N$11+'ФАКТ ЧИСТ К2'!O12*СПРАВОЧНИК!$O$11+'ФАКТ ЧИСТ К2'!P12*СПРАВОЧНИК!$P$11)+СПРАВОЧНИК!$E$12*('ФАКТ ЧЕРН К2'!K12*СПРАВОЧНИК!$H$12+'ФАКТ ЧЕРН К2'!L12*СПРАВОЧНИК!$I$12+'ФАКТ ЧЕРН К2'!M12*СПРАВОЧНИК!$J$12)+СПРАВОЧНИК!$F$12*('ФАКТ ЧИСТ К2'!Q12*СПРАВОЧНИК!$L$12+'ФАКТ ЧИСТ К2'!R12*СПРАВОЧНИК!$M$12+'ФАКТ ЧИСТ К2'!S12*СПРАВОЧНИК!$N$12+'ФАКТ ЧИСТ К2'!T12*СПРАВОЧНИК!$O$12+'ФАКТ ЧИСТ К2'!U12*СПРАВОЧНИК!$P$12)+СПРАВОЧНИК!$E$13*('ФАКТ ЧЕРН К2'!N12*СПРАВОЧНИК!$H$13+'ФАКТ ЧЕРН К2'!O12*СПРАВОЧНИК!$I$13+'ФАКТ ЧЕРН К2'!P12*СПРАВОЧНИК!$J$13)+СПРАВОЧНИК!$F$13*('ФАКТ ЧИСТ К2'!V12*СПРАВОЧНИК!$L$13+'ФАКТ ЧИСТ К2'!W12*СПРАВОЧНИК!$M$13+'ФАКТ ЧИСТ К2'!X12*СПРАВОЧНИК!$N$13+'ФАКТ ЧИСТ К2'!Y12*СПРАВОЧНИК!$O$13+'ФАКТ ЧИСТ К2'!Z12*СПРАВОЧНИК!$P$13)+СПРАВОЧНИК!$E$14*('ФАКТ ЧЕРН К2'!Q12*СПРАВОЧНИК!$H$14+'ФАКТ ЧЕРН К2'!R12*СПРАВОЧНИК!$I$14+'ФАКТ ЧЕРН К2'!S12*СПРАВОЧНИК!$J$14)+СПРАВОЧНИК!$F$14*('ФАКТ ЧИСТ К2'!AA12*СПРАВОЧНИК!$L$14+'ФАКТ ЧИСТ К2'!AB12*СПРАВОЧНИК!$M$14+'ФАКТ ЧИСТ К2'!AC12*СПРАВОЧНИК!$N$14+'ФАКТ ЧИСТ К2'!AD12*СПРАВОЧНИК!$O$14+'ФАКТ ЧИСТ К2'!AE12*СПРАВОЧНИК!$P$14)+СПРАВОЧНИК!$E$15*('ФАКТ ЧЕРН К2'!T12*СПРАВОЧНИК!$H$15+'ФАКТ ЧЕРН К2'!U12*СПРАВОЧНИК!$I$15+'ФАКТ ЧЕРН К2'!V12*СПРАВОЧНИК!$J$15)+СПРАВОЧНИК!$F$15*('ФАКТ ЧИСТ К2'!AF12*СПРАВОЧНИК!$L$15+'ФАКТ ЧИСТ К2'!AG12*СПРАВОЧНИК!$M$15+'ФАКТ ЧИСТ К2'!AH12*СПРАВОЧНИК!$N$15+'ФАКТ ЧИСТ К2'!AI12*СПРАВОЧНИК!$O$15+'ФАКТ ЧИСТ К2'!AJ12*СПРАВОЧНИК!$P$15)</f>
        <v/>
      </c>
      <c r="AO21" s="34" t="n"/>
      <c r="AR21" s="152">
        <f>AR20+7</f>
        <v/>
      </c>
      <c r="AS21" s="17">
        <f>'ПЛАН ЧЕРН К2'!B12*СПРАВОЧНИК!$H$9+'ПЛАН ЧЕРН К2'!C12*СПРАВОЧНИК!$I$9+'ПЛАН ЧЕРН К2'!D12*СПРАВОЧНИК!$J$9+'ПЛАН ЧЕРН К2'!E12*СПРАВОЧНИК!$H$10+'ПЛАН ЧЕРН К2'!F12*СПРАВОЧНИК!$I$10+'ПЛАН ЧЕРН К2'!G12*СПРАВОЧНИК!$J$10+'ПЛАН ЧЕРН К2'!H12*СПРАВОЧНИК!$H$11+'ПЛАН ЧЕРН К2'!I12*СПРАВОЧНИК!$I$11+'ПЛАН ЧЕРН К2'!J12*СПРАВОЧНИК!$J$11+'ПЛАН ЧЕРН К2'!K12*СПРАВОЧНИК!$H$12+'ПЛАН ЧЕРН К2'!L12*СПРАВОЧНИК!$I$12+'ПЛАН ЧЕРН К2'!M12*СПРАВОЧНИК!$J$12+'ПЛАН ЧЕРН К2'!N12*СПРАВОЧНИК!$H$13+'ПЛАН ЧЕРН К2'!O12*СПРАВОЧНИК!$I$13+'ПЛАН ЧЕРН К2'!P12*СПРАВОЧНИК!$J$13+'ПЛАН ЧЕРН К2'!Q12*СПРАВОЧНИК!$H$14+'ПЛАН ЧЕРН К2'!R12*СПРАВОЧНИК!$I$14+'ПЛАН ЧЕРН К2'!S12*СПРАВОЧНИК!$J$14+'ПЛАН ЧЕРН К2'!T12*СПРАВОЧНИК!$H$15+'ПЛАН ЧЕРН К2'!U12*СПРАВОЧНИК!$I$15+'ПЛАН ЧЕРН К2'!V12*СПРАВОЧНИК!$J$15</f>
        <v/>
      </c>
      <c r="AT21" s="31">
        <f>('ФАКТ ЧЕРН К2'!B12)*СПРАВОЧНИК!$H$9+('ФАКТ ЧЕРН К2'!C12)*СПРАВОЧНИК!$I$9+('ФАКТ ЧЕРН К2'!D12)*СПРАВОЧНИК!$J$9+('ФАКТ ЧЕРН К2'!E12)*СПРАВОЧНИК!$H$10+('ФАКТ ЧЕРН К2'!F12)*СПРАВОЧНИК!$I$10+('ФАКТ ЧЕРН К2'!G12)*СПРАВОЧНИК!$J$10+('ФАКТ ЧЕРН К2'!H12)*СПРАВОЧНИК!$H$11+('ФАКТ ЧЕРН К2'!I12)*СПРАВОЧНИК!$I$11+('ФАКТ ЧЕРН К2'!J12)*СПРАВОЧНИК!$J$11+('ФАКТ ЧЕРН К2'!K12)*СПРАВОЧНИК!$H$12+('ФАКТ ЧЕРН К2'!L12)*СПРАВОЧНИК!$I$12+('ФАКТ ЧЕРН К2'!M12)*СПРАВОЧНИК!$J$12+('ФАКТ ЧЕРН К2'!N12)*СПРАВОЧНИК!$H$13+('ФАКТ ЧЕРН К2'!O12)*СПРАВОЧНИК!$I$13+('ФАКТ ЧЕРН К2'!P12)*СПРАВОЧНИК!$J$13+('ФАКТ ЧЕРН К2'!Q12)*СПРАВОЧНИК!$H$14+('ФАКТ ЧЕРН К2'!R12)*СПРАВОЧНИК!$I$14+('ФАКТ ЧЕРН К2'!S12)*СПРАВОЧНИК!$J$14+('ФАКТ ЧЕРН К2'!T12)*СПРАВОЧНИК!$H$15+('ФАКТ ЧЕРН К2'!U12)*СПРАВОЧНИК!$I$15+('ФАКТ ЧЕРН К2'!V12)*СПРАВОЧНИК!$J$15</f>
        <v/>
      </c>
      <c r="AU21" s="34" t="n"/>
      <c r="AX21" s="152">
        <f>AX20+7</f>
        <v/>
      </c>
      <c r="AY21" s="17">
        <f>'ПЛАН ЧИСТ К2'!B12*СПРАВОЧНИК!$L$9+'ПЛАН ЧИСТ К2'!C12*СПРАВОЧНИК!$M$9+'ПЛАН ЧИСТ К2'!D12*СПРАВОЧНИК!$N$9+'ПЛАН ЧИСТ К2'!E12*СПРАВОЧНИК!$O$9+'ПЛАН ЧИСТ К2'!F12*СПРАВОЧНИК!$P$9+'ПЛАН ЧИСТ К2'!G12*СПРАВОЧНИК!$L$10+'ПЛАН ЧИСТ К2'!H12*СПРАВОЧНИК!$M$10+'ПЛАН ЧИСТ К2'!I12*СПРАВОЧНИК!$N$10+'ПЛАН ЧИСТ К2'!J12*СПРАВОЧНИК!$O$10+'ПЛАН ЧИСТ К2'!K12*СПРАВОЧНИК!$P$10+'ПЛАН ЧИСТ К2'!L12*СПРАВОЧНИК!$L$11+'ПЛАН ЧИСТ К2'!M12*СПРАВОЧНИК!$M$11+'ПЛАН ЧИСТ К2'!N12*СПРАВОЧНИК!$N$11+'ПЛАН ЧИСТ К2'!O12*СПРАВОЧНИК!$O$11+'ПЛАН ЧИСТ К2'!P12*СПРАВОЧНИК!$P$11+'ПЛАН ЧИСТ К2'!Q12*СПРАВОЧНИК!$L$12+'ПЛАН ЧИСТ К2'!R12*СПРАВОЧНИК!$M$12+'ПЛАН ЧИСТ К2'!S12*СПРАВОЧНИК!$N$12+'ПЛАН ЧИСТ К2'!T12*СПРАВОЧНИК!$O$12+'ПЛАН ЧИСТ К2'!U12*СПРАВОЧНИК!$P$12+'ПЛАН ЧИСТ К2'!V12*СПРАВОЧНИК!$L$13+'ПЛАН ЧИСТ К2'!W12*СПРАВОЧНИК!$M$13+'ПЛАН ЧИСТ К2'!X12*СПРАВОЧНИК!$N$13+'ПЛАН ЧИСТ К2'!Y12*СПРАВОЧНИК!$O$13+'ПЛАН ЧИСТ К2'!Z12*СПРАВОЧНИК!$P$13+'ПЛАН ЧИСТ К2'!AA12*СПРАВОЧНИК!$L$14+'ПЛАН ЧИСТ К2'!AB12*СПРАВОЧНИК!$M$14+'ПЛАН ЧИСТ К2'!AC12*СПРАВОЧНИК!$N$14+'ПЛАН ЧИСТ К2'!AD12*СПРАВОЧНИК!$O$14+'ПЛАН ЧИСТ К2'!AE12*СПРАВОЧНИК!$P$14+'ПЛАН ЧИСТ К2'!AF12*СПРАВОЧНИК!$L$15+'ПЛАН ЧИСТ К2'!AG12*СПРАВОЧНИК!$M$15+'ПЛАН ЧИСТ К2'!AH12*СПРАВОЧНИК!$N$15+'ПЛАН ЧИСТ К2'!AI12*СПРАВОЧНИК!$O$15+'ПЛАН ЧИСТ К2'!AJ12*СПРАВОЧНИК!$P$15</f>
        <v/>
      </c>
      <c r="AZ21" s="31">
        <f>('ФАКТ ЧИСТ К2'!B12)*СПРАВОЧНИК!$L$9+('ФАКТ ЧИСТ К2'!C12)*СПРАВОЧНИК!$M$9+('ФАКТ ЧИСТ К2'!D12)*СПРАВОЧНИК!$N$9+('ФАКТ ЧИСТ К2'!E12)*СПРАВОЧНИК!$O$9+('ФАКТ ЧИСТ К2'!F12)*СПРАВОЧНИК!$P$9+('ФАКТ ЧИСТ К2'!G12)*СПРАВОЧНИК!$L$10+('ФАКТ ЧИСТ К2'!H12)*СПРАВОЧНИК!$M$10+('ФАКТ ЧИСТ К2'!I12)*СПРАВОЧНИК!$N$10+('ФАКТ ЧИСТ К2'!J12)*СПРАВОЧНИК!$O$10+('ФАКТ ЧИСТ К2'!K12)*СПРАВОЧНИК!$P$10+('ФАКТ ЧИСТ К2'!L12)*СПРАВОЧНИК!$L$11+('ФАКТ ЧИСТ К2'!M12)*СПРАВОЧНИК!$M$11+('ФАКТ ЧИСТ К2'!N12)*СПРАВОЧНИК!$N$11+('ФАКТ ЧИСТ К2'!O12)*СПРАВОЧНИК!$O$11+('ФАКТ ЧИСТ К2'!P12)*СПРАВОЧНИК!$P$11+('ФАКТ ЧИСТ К2'!Q12)*СПРАВОЧНИК!$L$12+('ФАКТ ЧИСТ К2'!R12)*СПРАВОЧНИК!$M$12+('ФАКТ ЧИСТ К2'!S12)*СПРАВОЧНИК!$N$12+('ФАКТ ЧИСТ К2'!T12)*СПРАВОЧНИК!$O$12+('ФАКТ ЧИСТ К2'!U12)*СПРАВОЧНИК!$P$12+('ФАКТ ЧИСТ К2'!V12)*СПРАВОЧНИК!$L$13+('ФАКТ ЧИСТ К2'!W12)*СПРАВОЧНИК!$M$13+('ФАКТ ЧИСТ К2'!X12)*СПРАВОЧНИК!$N$13+('ФАКТ ЧИСТ К2'!Y12)*СПРАВОЧНИК!$O$13+('ФАКТ ЧИСТ К2'!Z12)*СПРАВОЧНИК!$P$13+('ФАКТ ЧИСТ К2'!AA12)*СПРАВОЧНИК!$L$14+('ФАКТ ЧИСТ К2'!AB12)*СПРАВОЧНИК!$M$14+('ФАКТ ЧИСТ К2'!AC12)*СПРАВОЧНИК!$N$14+('ФАКТ ЧИСТ К2'!AD12)*СПРАВОЧНИК!$O$14+('ФАКТ ЧИСТ К2'!AE12)*СПРАВОЧНИК!$P$14+('ФАКТ ЧИСТ К2'!AF12)*СПРАВОЧНИК!$L$15+('ФАКТ ЧИСТ К2'!AG12)*СПРАВОЧНИК!$M$15+('ФАКТ ЧИСТ К2'!AH12)*СПРАВОЧНИК!$N$15+('ФАКТ ЧИСТ К2'!AI12)*СПРАВОЧНИК!$O$15+('ФАКТ ЧИСТ К2'!AJ12)*СПРАВОЧНИК!$P$15</f>
        <v/>
      </c>
      <c r="BA21" s="34" t="n"/>
      <c r="BD21" s="152">
        <f>BD20+7</f>
        <v/>
      </c>
      <c r="BE21" s="17">
        <f>СПРАВОЧНИК!$E$9*('ПЛАН ЧЕРН К3'!B12*СПРАВОЧНИК!$H$9+'ПЛАН ЧЕРН К3'!C12*СПРАВОЧНИК!$I$9+'ПЛАН ЧЕРН К3'!D12*СПРАВОЧНИК!$J$9)+СПРАВОЧНИК!$F$9*('ПЛАН ЧИСТ К3'!B12*СПРАВОЧНИК!$L$9+'ПЛАН ЧИСТ К3'!C12*СПРАВОЧНИК!$M$9+'ПЛАН ЧИСТ К3'!D12*СПРАВОЧНИК!$N$9+'ПЛАН ЧИСТ К3'!E12*СПРАВОЧНИК!$O$9+'ПЛАН ЧИСТ К3'!F12*СПРАВОЧНИК!$P$9)+СПРАВОЧНИК!$E$10*('ПЛАН ЧЕРН К3'!E12*СПРАВОЧНИК!$H$10+'ПЛАН ЧЕРН К3'!F12*СПРАВОЧНИК!$I$10+'ПЛАН ЧЕРН К3'!G12*СПРАВОЧНИК!$J$10)+СПРАВОЧНИК!$F$10*('ПЛАН ЧИСТ К3'!G12*СПРАВОЧНИК!$L$10+'ПЛАН ЧИСТ К3'!H12*СПРАВОЧНИК!$M$10+'ПЛАН ЧИСТ К3'!I12*СПРАВОЧНИК!$N$10+'ПЛАН ЧИСТ К3'!J12*СПРАВОЧНИК!$O$10+'ПЛАН ЧИСТ К3'!K12*СПРАВОЧНИК!$P$10)+СПРАВОЧНИК!$E$11*('ПЛАН ЧЕРН К3'!H12*СПРАВОЧНИК!$H$11+'ПЛАН ЧЕРН К3'!I12*СПРАВОЧНИК!$I$11+'ПЛАН ЧЕРН К3'!J12*СПРАВОЧНИК!$J$11)+СПРАВОЧНИК!$F$11*('ПЛАН ЧИСТ К3'!L12*СПРАВОЧНИК!$L$11+'ПЛАН ЧИСТ К3'!M12*СПРАВОЧНИК!$M$11+'ПЛАН ЧИСТ К3'!N12*СПРАВОЧНИК!$N$11+'ПЛАН ЧИСТ К3'!O12*СПРАВОЧНИК!$O$11+'ПЛАН ЧИСТ К3'!P12*СПРАВОЧНИК!$P$11)+СПРАВОЧНИК!$E$12*('ПЛАН ЧЕРН К3'!K12*СПРАВОЧНИК!$H$12+'ПЛАН ЧЕРН К3'!L12*СПРАВОЧНИК!$I$12+'ПЛАН ЧЕРН К3'!M12*СПРАВОЧНИК!$J$12)+СПРАВОЧНИК!$F$12*('ПЛАН ЧИСТ К3'!Q12*СПРАВОЧНИК!$L$12+'ПЛАН ЧИСТ К3'!R12*СПРАВОЧНИК!$M$12+'ПЛАН ЧИСТ К3'!S12*СПРАВОЧНИК!$N$12+'ПЛАН ЧИСТ К3'!T12*СПРАВОЧНИК!$O$12+'ПЛАН ЧИСТ К3'!U12*СПРАВОЧНИК!$P$12)+СПРАВОЧНИК!$E$13*('ПЛАН ЧЕРН К3'!N12*СПРАВОЧНИК!$H$13+'ПЛАН ЧЕРН К3'!O12*СПРАВОЧНИК!$I$13+'ПЛАН ЧЕРН К3'!P12*СПРАВОЧНИК!$J$13)+СПРАВОЧНИК!$F$13*('ПЛАН ЧИСТ К3'!V12*СПРАВОЧНИК!$L$13+'ПЛАН ЧИСТ К3'!W12*СПРАВОЧНИК!$M$13+'ПЛАН ЧИСТ К3'!X12*СПРАВОЧНИК!$N$13+'ПЛАН ЧИСТ К3'!Y12*СПРАВОЧНИК!$O$13+'ПЛАН ЧИСТ К3'!Z12*СПРАВОЧНИК!$P$13)+СПРАВОЧНИК!$E$14*('ПЛАН ЧЕРН К3'!Q12*СПРАВОЧНИК!$H$14+'ПЛАН ЧЕРН К3'!R12*СПРАВОЧНИК!$I$14+'ПЛАН ЧЕРН К3'!S12*СПРАВОЧНИК!$J$14)+СПРАВОЧНИК!$F$14*('ПЛАН ЧИСТ К3'!AA12*СПРАВОЧНИК!$L$14+'ПЛАН ЧИСТ К3'!AB12*СПРАВОЧНИК!$M$14+'ПЛАН ЧИСТ К3'!AC12*СПРАВОЧНИК!$N$14+'ПЛАН ЧИСТ К3'!AD12*СПРАВОЧНИК!$O$14+'ПЛАН ЧИСТ К3'!AE12*СПРАВОЧНИК!$P$14)+СПРАВОЧНИК!$E$15*('ПЛАН ЧЕРН К3'!T12*СПРАВОЧНИК!$H$15+'ПЛАН ЧЕРН К3'!U12*СПРАВОЧНИК!$I$15+'ПЛАН ЧЕРН К3'!V12*СПРАВОЧНИК!$J$15)+СПРАВОЧНИК!$F$15*('ПЛАН ЧИСТ К3'!AF12*СПРАВОЧНИК!$L$15+'ПЛАН ЧИСТ К3'!AG12*СПРАВОЧНИК!$M$15+'ПЛАН ЧИСТ К3'!AH12*СПРАВОЧНИК!$N$15+'ПЛАН ЧИСТ К3'!AI12*СПРАВОЧНИК!$O$15+'ПЛАН ЧИСТ К3'!AJ12*СПРАВОЧНИК!$P$15)</f>
        <v/>
      </c>
      <c r="BF21" s="31">
        <f>СПРАВОЧНИК!$E$9*('ФАКТ ЧЕРН К3'!B12*СПРАВОЧНИК!$H$9+'ФАКТ ЧЕРН К3'!C12*СПРАВОЧНИК!$I$9+'ФАКТ ЧЕРН К3'!D12*СПРАВОЧНИК!$J$9)+СПРАВОЧНИК!$F$9*('ФАКТ ЧИСТ К3'!B12*СПРАВОЧНИК!$L$9+'ФАКТ ЧИСТ К3'!C12*СПРАВОЧНИК!$M$9+'ФАКТ ЧИСТ К3'!D12*СПРАВОЧНИК!$N$9+'ФАКТ ЧИСТ К3'!E12*СПРАВОЧНИК!$O$9+'ФАКТ ЧИСТ К3'!F12*СПРАВОЧНИК!$P$9)+СПРАВОЧНИК!$E$10*('ФАКТ ЧЕРН К3'!E12*СПРАВОЧНИК!$H$10+'ФАКТ ЧЕРН К3'!F12*СПРАВОЧНИК!$I$10+'ФАКТ ЧЕРН К3'!G12*СПРАВОЧНИК!$J$10)+СПРАВОЧНИК!$F$10*('ФАКТ ЧИСТ К3'!G12*СПРАВОЧНИК!$L$10+'ФАКТ ЧИСТ К3'!H12*СПРАВОЧНИК!$M$10+'ФАКТ ЧИСТ К3'!I12*СПРАВОЧНИК!$N$10+'ФАКТ ЧИСТ К3'!J12*СПРАВОЧНИК!$O$10+'ФАКТ ЧИСТ К3'!K12*СПРАВОЧНИК!$P$10)+СПРАВОЧНИК!$E$11*('ФАКТ ЧЕРН К3'!H12*СПРАВОЧНИК!$H$11+'ФАКТ ЧЕРН К3'!I12*СПРАВОЧНИК!$I$11+'ФАКТ ЧЕРН К3'!J12*СПРАВОЧНИК!$J$11)+СПРАВОЧНИК!$F$11*('ФАКТ ЧИСТ К3'!L12*СПРАВОЧНИК!$L$11+'ФАКТ ЧИСТ К3'!M12*СПРАВОЧНИК!$M$11+'ФАКТ ЧИСТ К3'!N12*СПРАВОЧНИК!$N$11+'ФАКТ ЧИСТ К3'!O12*СПРАВОЧНИК!$O$11+'ФАКТ ЧИСТ К3'!P12*СПРАВОЧНИК!$P$11)+СПРАВОЧНИК!$E$12*('ФАКТ ЧЕРН К3'!K12*СПРАВОЧНИК!$H$12+'ФАКТ ЧЕРН К3'!L12*СПРАВОЧНИК!$I$12+'ФАКТ ЧЕРН К3'!M12*СПРАВОЧНИК!$J$12)+СПРАВОЧНИК!$F$12*('ФАКТ ЧИСТ К3'!Q12*СПРАВОЧНИК!$L$12+'ФАКТ ЧИСТ К3'!R12*СПРАВОЧНИК!$M$12+'ФАКТ ЧИСТ К3'!S12*СПРАВОЧНИК!$N$12+'ФАКТ ЧИСТ К3'!T12*СПРАВОЧНИК!$O$12+'ФАКТ ЧИСТ К3'!U12*СПРАВОЧНИК!$P$12)+СПРАВОЧНИК!$E$13*('ФАКТ ЧЕРН К3'!N12*СПРАВОЧНИК!$H$13+'ФАКТ ЧЕРН К3'!O12*СПРАВОЧНИК!$I$13+'ФАКТ ЧЕРН К3'!P12*СПРАВОЧНИК!$J$13)+СПРАВОЧНИК!$F$13*('ФАКТ ЧИСТ К3'!V12*СПРАВОЧНИК!$L$13+'ФАКТ ЧИСТ К3'!W12*СПРАВОЧНИК!$M$13+'ФАКТ ЧИСТ К3'!X12*СПРАВОЧНИК!$N$13+'ФАКТ ЧИСТ К3'!Y12*СПРАВОЧНИК!$O$13+'ФАКТ ЧИСТ К3'!Z12*СПРАВОЧНИК!$P$13)+СПРАВОЧНИК!$E$14*('ФАКТ ЧЕРН К3'!Q12*СПРАВОЧНИК!$H$14+'ФАКТ ЧЕРН К3'!R12*СПРАВОЧНИК!$I$14+'ФАКТ ЧЕРН К3'!S12*СПРАВОЧНИК!$J$14)+СПРАВОЧНИК!$F$14*('ФАКТ ЧИСТ К3'!AA12*СПРАВОЧНИК!$L$14+'ФАКТ ЧИСТ К3'!AB12*СПРАВОЧНИК!$M$14+'ФАКТ ЧИСТ К3'!AC12*СПРАВОЧНИК!$N$14+'ФАКТ ЧИСТ К3'!AD12*СПРАВОЧНИК!$O$14+'ФАКТ ЧИСТ К3'!AE12*СПРАВОЧНИК!$P$14)+СПРАВОЧНИК!$E$15*('ФАКТ ЧЕРН К3'!T12*СПРАВОЧНИК!$H$15+'ФАКТ ЧЕРН К3'!U12*СПРАВОЧНИК!$I$15+'ФАКТ ЧЕРН К3'!V12*СПРАВОЧНИК!$J$15)+СПРАВОЧНИК!$F$15*('ФАКТ ЧИСТ К3'!AF12*СПРАВОЧНИК!$L$15+'ФАКТ ЧИСТ К3'!AG12*СПРАВОЧНИК!$M$15+'ФАКТ ЧИСТ К3'!AH12*СПРАВОЧНИК!$N$15+'ФАКТ ЧИСТ К3'!AI12*СПРАВОЧНИК!$O$15+'ФАКТ ЧИСТ К3'!AJ12*СПРАВОЧНИК!$P$15)</f>
        <v/>
      </c>
      <c r="BG21" s="34" t="n"/>
      <c r="BJ21" s="152">
        <f>BJ20+7</f>
        <v/>
      </c>
      <c r="BK21" s="17">
        <f>'ПЛАН ЧЕРН К3'!B12*СПРАВОЧНИК!$H$9+'ПЛАН ЧЕРН К3'!C12*СПРАВОЧНИК!$I$9+'ПЛАН ЧЕРН К3'!D12*СПРАВОЧНИК!$J$9+'ПЛАН ЧЕРН К3'!E12*СПРАВОЧНИК!$H$10+'ПЛАН ЧЕРН К3'!F12*СПРАВОЧНИК!$I$10+'ПЛАН ЧЕРН К3'!G12*СПРАВОЧНИК!$J$10+'ПЛАН ЧЕРН К3'!H12*СПРАВОЧНИК!$H$11+'ПЛАН ЧЕРН К3'!I12*СПРАВОЧНИК!$I$11+'ПЛАН ЧЕРН К3'!J12*СПРАВОЧНИК!$J$11+'ПЛАН ЧЕРН К3'!K12*СПРАВОЧНИК!$H$12+'ПЛАН ЧЕРН К3'!L12*СПРАВОЧНИК!$I$12+'ПЛАН ЧЕРН К3'!M12*СПРАВОЧНИК!$J$12+'ПЛАН ЧЕРН К3'!N12*СПРАВОЧНИК!$H$13+'ПЛАН ЧЕРН К3'!O12*СПРАВОЧНИК!$I$13+'ПЛАН ЧЕРН К3'!P12*СПРАВОЧНИК!$J$13+'ПЛАН ЧЕРН К3'!Q12*СПРАВОЧНИК!$H$14+'ПЛАН ЧЕРН К3'!R12*СПРАВОЧНИК!$I$14+'ПЛАН ЧЕРН К3'!S12*СПРАВОЧНИК!$J$14+'ПЛАН ЧЕРН К3'!T12*СПРАВОЧНИК!$H$15+'ПЛАН ЧЕРН К3'!U12*СПРАВОЧНИК!$I$15+'ПЛАН ЧЕРН К3'!V12*СПРАВОЧНИК!$J$15</f>
        <v/>
      </c>
      <c r="BL21" s="31">
        <f>('ФАКТ ЧЕРН К3'!B12)*СПРАВОЧНИК!$H$9+('ФАКТ ЧЕРН К3'!C12)*СПРАВОЧНИК!$I$9+('ФАКТ ЧЕРН К3'!D12)*СПРАВОЧНИК!$J$9+('ФАКТ ЧЕРН К3'!E12)*СПРАВОЧНИК!$H$10+('ФАКТ ЧЕРН К3'!F12)*СПРАВОЧНИК!$I$10+('ФАКТ ЧЕРН К3'!G12)*СПРАВОЧНИК!$J$10+('ФАКТ ЧЕРН К3'!H12)*СПРАВОЧНИК!$H$11+('ФАКТ ЧЕРН К3'!I12)*СПРАВОЧНИК!$I$11+('ФАКТ ЧЕРН К3'!J12)*СПРАВОЧНИК!$J$11+('ФАКТ ЧЕРН К3'!K12)*СПРАВОЧНИК!$H$12+('ФАКТ ЧЕРН К3'!L12)*СПРАВОЧНИК!$I$12+('ФАКТ ЧЕРН К3'!M12)*СПРАВОЧНИК!$J$12+('ФАКТ ЧЕРН К3'!N12)*СПРАВОЧНИК!$H$13+('ФАКТ ЧЕРН К3'!O12)*СПРАВОЧНИК!$I$13+('ФАКТ ЧЕРН К3'!P12)*СПРАВОЧНИК!$J$13+('ФАКТ ЧЕРН К3'!Q12)*СПРАВОЧНИК!$H$14+('ФАКТ ЧЕРН К3'!R12)*СПРАВОЧНИК!$I$14+('ФАКТ ЧЕРН К3'!S12)*СПРАВОЧНИК!$J$14+('ФАКТ ЧЕРН К3'!T12)*СПРАВОЧНИК!$H$15+('ФАКТ ЧЕРН К3'!U12)*СПРАВОЧНИК!$I$15+('ФАКТ ЧЕРН К3'!V12)*СПРАВОЧНИК!$J$15</f>
        <v/>
      </c>
      <c r="BM21" s="34" t="n"/>
      <c r="BP21" s="152">
        <f>BP20+7</f>
        <v/>
      </c>
      <c r="BQ21" s="17">
        <f>'ПЛАН ЧИСТ К3'!B12*СПРАВОЧНИК!$L$9+'ПЛАН ЧИСТ К3'!C12*СПРАВОЧНИК!$M$9+'ПЛАН ЧИСТ К3'!D12*СПРАВОЧНИК!$N$9+'ПЛАН ЧИСТ К3'!E12*СПРАВОЧНИК!$O$9+'ПЛАН ЧИСТ К3'!F12*СПРАВОЧНИК!$P$9+'ПЛАН ЧИСТ К3'!G12*СПРАВОЧНИК!$L$10+'ПЛАН ЧИСТ К3'!H12*СПРАВОЧНИК!$M$10+'ПЛАН ЧИСТ К3'!I12*СПРАВОЧНИК!$N$10+'ПЛАН ЧИСТ К3'!J12*СПРАВОЧНИК!$O$10+'ПЛАН ЧИСТ К3'!K12*СПРАВОЧНИК!$P$10+'ПЛАН ЧИСТ К3'!L12*СПРАВОЧНИК!$L$11+'ПЛАН ЧИСТ К3'!M12*СПРАВОЧНИК!$M$11+'ПЛАН ЧИСТ К3'!N12*СПРАВОЧНИК!$N$11+'ПЛАН ЧИСТ К3'!O12*СПРАВОЧНИК!$O$11+'ПЛАН ЧИСТ К3'!P12*СПРАВОЧНИК!$P$11+'ПЛАН ЧИСТ К3'!Q12*СПРАВОЧНИК!$L$12+'ПЛАН ЧИСТ К3'!R12*СПРАВОЧНИК!$M$12+'ПЛАН ЧИСТ К3'!S12*СПРАВОЧНИК!$N$12+'ПЛАН ЧИСТ К3'!T12*СПРАВОЧНИК!$O$12+'ПЛАН ЧИСТ К3'!U12*СПРАВОЧНИК!$P$12+'ПЛАН ЧИСТ К3'!V12*СПРАВОЧНИК!$L$13+'ПЛАН ЧИСТ К3'!W12*СПРАВОЧНИК!$M$13+'ПЛАН ЧИСТ К3'!X12*СПРАВОЧНИК!$N$13+'ПЛАН ЧИСТ К3'!Y12*СПРАВОЧНИК!$O$13+'ПЛАН ЧИСТ К3'!Z12*СПРАВОЧНИК!$P$13+'ПЛАН ЧИСТ К3'!AA12*СПРАВОЧНИК!$L$14+'ПЛАН ЧИСТ К3'!AB12*СПРАВОЧНИК!$M$14+'ПЛАН ЧИСТ К3'!AC12*СПРАВОЧНИК!$N$14+'ПЛАН ЧИСТ К3'!AD12*СПРАВОЧНИК!$O$14+'ПЛАН ЧИСТ К3'!AE12*СПРАВОЧНИК!$P$14+'ПЛАН ЧИСТ К3'!AF12*СПРАВОЧНИК!$L$15+'ПЛАН ЧИСТ К3'!AG12*СПРАВОЧНИК!$M$15+'ПЛАН ЧИСТ К3'!AH12*СПРАВОЧНИК!$N$15+'ПЛАН ЧИСТ К3'!AI12*СПРАВОЧНИК!$O$15+'ПЛАН ЧИСТ К3'!AJ12*СПРАВОЧНИК!$P$15</f>
        <v/>
      </c>
      <c r="BR21" s="31">
        <f>('ФАКТ ЧИСТ К3'!B12)*СПРАВОЧНИК!$L$9+('ФАКТ ЧИСТ К3'!C12)*СПРАВОЧНИК!$M$9+('ФАКТ ЧИСТ К3'!D12)*СПРАВОЧНИК!$N$9+('ФАКТ ЧИСТ К3'!E12)*СПРАВОЧНИК!$O$9+('ФАКТ ЧИСТ К3'!F12)*СПРАВОЧНИК!$P$9+('ФАКТ ЧИСТ К3'!G12)*СПРАВОЧНИК!$L$10+('ФАКТ ЧИСТ К3'!H12)*СПРАВОЧНИК!$M$10+('ФАКТ ЧИСТ К3'!I12)*СПРАВОЧНИК!$N$10+('ФАКТ ЧИСТ К3'!J12)*СПРАВОЧНИК!$O$10+('ФАКТ ЧИСТ К3'!K12)*СПРАВОЧНИК!$P$10+('ФАКТ ЧИСТ К3'!L12)*СПРАВОЧНИК!$L$11+('ФАКТ ЧИСТ К3'!M12)*СПРАВОЧНИК!$M$11+('ФАКТ ЧИСТ К3'!N12)*СПРАВОЧНИК!$N$11+('ФАКТ ЧИСТ К3'!O12)*СПРАВОЧНИК!$O$11+('ФАКТ ЧИСТ К3'!P12)*СПРАВОЧНИК!$P$11+('ФАКТ ЧИСТ К3'!Q12)*СПРАВОЧНИК!$L$12+('ФАКТ ЧИСТ К3'!R12)*СПРАВОЧНИК!$M$12+('ФАКТ ЧИСТ К3'!S12)*СПРАВОЧНИК!$N$12+('ФАКТ ЧИСТ К3'!T12)*СПРАВОЧНИК!$O$12+('ФАКТ ЧИСТ К3'!U12)*СПРАВОЧНИК!$P$12+('ФАКТ ЧИСТ К3'!V12)*СПРАВОЧНИК!$L$13+('ФАКТ ЧИСТ К3'!W12)*СПРАВОЧНИК!$M$13+('ФАКТ ЧИСТ К3'!X12)*СПРАВОЧНИК!$N$13+('ФАКТ ЧИСТ К3'!Y12)*СПРАВОЧНИК!$O$13+('ФАКТ ЧИСТ К3'!Z12)*СПРАВОЧНИК!$P$13+('ФАКТ ЧИСТ К3'!AA12)*СПРАВОЧНИК!$L$14+('ФАКТ ЧИСТ К3'!AB12)*СПРАВОЧНИК!$M$14+('ФАКТ ЧИСТ К3'!AC12)*СПРАВОЧНИК!$N$14+('ФАКТ ЧИСТ К3'!AD12)*СПРАВОЧНИК!$O$14+('ФАКТ ЧИСТ К3'!AE12)*СПРАВОЧНИК!$P$14+('ФАКТ ЧИСТ К3'!AF12)*СПРАВОЧНИК!$L$15+('ФАКТ ЧИСТ К3'!AG12)*СПРАВОЧНИК!$M$15+('ФАКТ ЧИСТ К3'!AH12)*СПРАВОЧНИК!$N$15+('ФАКТ ЧИСТ К3'!AI12)*СПРАВОЧНИК!$O$15+('ФАКТ ЧИСТ К3'!AJ12)*СПРАВОЧНИК!$P$15</f>
        <v/>
      </c>
      <c r="BS21" s="34" t="n"/>
      <c r="BV21" s="152">
        <f>BV20+7</f>
        <v/>
      </c>
      <c r="BW21" s="17">
        <f>U21*СПРАВОЧНИК!$K$28+AM21*СПРАВОЧНИК!$K$29+BE21*СПРАВОЧНИК!$K$30</f>
        <v/>
      </c>
      <c r="BX21" s="31">
        <f>V21*СПРАВОЧНИК!$K$28+AN21*СПРАВОЧНИК!$K$29+BF21*СПРАВОЧНИК!$K$30</f>
        <v/>
      </c>
      <c r="BY21" s="34" t="n"/>
      <c r="CB21" s="152">
        <f>CB20+7</f>
        <v/>
      </c>
      <c r="CC21" s="17">
        <f>AA21*СПРАВОЧНИК!$K$28+AS21*СПРАВОЧНИК!$K$29+BK21*СПРАВОЧНИК!$K$30</f>
        <v/>
      </c>
      <c r="CD21" s="31">
        <f>AB21*СПРАВОЧНИК!$K$28+AT21*СПРАВОЧНИК!$K$29+BL21*СПРАВОЧНИК!$K$30</f>
        <v/>
      </c>
      <c r="CE21" s="34" t="n"/>
      <c r="CH21" s="152">
        <f>CH20+7</f>
        <v/>
      </c>
      <c r="CI21" s="17">
        <f>AG21*СПРАВОЧНИК!$K$28+AY21*СПРАВОЧНИК!$K$29+BQ21*СПРАВОЧНИК!$K$30</f>
        <v/>
      </c>
      <c r="CJ21" s="31">
        <f>AH21*СПРАВОЧНИК!$K$28+AZ21*СПРАВОЧНИК!$K$29+BR21*СПРАВОЧНИК!$K$30</f>
        <v/>
      </c>
      <c r="CK21" s="34" t="n"/>
      <c r="CN21" s="152">
        <f>CN20+7</f>
        <v/>
      </c>
      <c r="CO21" s="17">
        <f>C21*СПРАВОЧНИК!$W$18+BW21*СПРАВОЧНИК!$W$19</f>
        <v/>
      </c>
      <c r="CP21" s="31">
        <f>D21*СПРАВОЧНИК!$W$18+BX21*СПРАВОЧНИК!$W$19</f>
        <v/>
      </c>
      <c r="CQ21" s="34" t="n"/>
      <c r="CT21" s="152">
        <f>CT20+7</f>
        <v/>
      </c>
      <c r="CU21" s="17">
        <f>I21*СПРАВОЧНИК!$W$18+CC21*СПРАВОЧНИК!$W$19</f>
        <v/>
      </c>
      <c r="CV21" s="31">
        <f>J21*СПРАВОЧНИК!$W$18+CD21*СПРАВОЧНИК!$W$19</f>
        <v/>
      </c>
      <c r="CW21" s="34" t="n"/>
      <c r="CZ21" s="152">
        <f>CZ20+7</f>
        <v/>
      </c>
      <c r="DA21" s="17">
        <f>O21*СПРАВОЧНИК!$W$18+CI21*СПРАВОЧНИК!$W$19</f>
        <v/>
      </c>
      <c r="DB21" s="31">
        <f>P21*СПРАВОЧНИК!$W$18+CJ21*СПРАВОЧНИК!$W$19</f>
        <v/>
      </c>
      <c r="DC21" s="34" t="n"/>
    </row>
    <row r="22">
      <c r="B22" s="152">
        <f>B21+7</f>
        <v/>
      </c>
      <c r="C22" s="17">
        <f>СПРАВОЧНИК!$E$3*('ПЛАН ЧЕРН ПОДЗЕМ'!B13*СПРАВОЧНИК!$H$3+'ПЛАН ЧЕРН ПОДЗЕМ'!C13*СПРАВОЧНИК!$I$3+'ПЛАН ЧЕРН ПОДЗЕМ'!D13*СПРАВОЧНИК!$J$3)+СПРАВОЧНИК!$F$3*('ПЛАН ЧИСТ ПОДЗЕМ'!B13*СПРАВОЧНИК!$L$3+'ПЛАН ЧИСТ ПОДЗЕМ'!C13*СПРАВОЧНИК!$M$3+'ПЛАН ЧИСТ ПОДЗЕМ'!D13*СПРАВОЧНИК!$N$3+'ПЛАН ЧИСТ ПОДЗЕМ'!E13*СПРАВОЧНИК!$O$3+'ПЛАН ЧИСТ ПОДЗЕМ'!F13*СПРАВОЧНИК!$P$3)+СПРАВОЧНИК!$E$4*('ПЛАН ЧЕРН ПОДЗЕМ'!E13*СПРАВОЧНИК!$H$4+'ПЛАН ЧЕРН ПОДЗЕМ'!F13*СПРАВОЧНИК!$I$4+'ПЛАН ЧЕРН ПОДЗЕМ'!G13*СПРАВОЧНИК!$J$4)+СПРАВОЧНИК!$F$4*('ПЛАН ЧИСТ ПОДЗЕМ'!G13*СПРАВОЧНИК!$L$4+'ПЛАН ЧИСТ ПОДЗЕМ'!H13*СПРАВОЧНИК!$M$4+'ПЛАН ЧИСТ ПОДЗЕМ'!I13*СПРАВОЧНИК!$N$4+'ПЛАН ЧИСТ ПОДЗЕМ'!J13*СПРАВОЧНИК!$O$4+'ПЛАН ЧИСТ ПОДЗЕМ'!K13*СПРАВОЧНИК!$P$4)+СПРАВОЧНИК!$E$5*('ПЛАН ЧЕРН ПОДЗЕМ'!H13*СПРАВОЧНИК!$H$5+'ПЛАН ЧЕРН ПОДЗЕМ'!I13*СПРАВОЧНИК!$I$5+'ПЛАН ЧЕРН ПОДЗЕМ'!J13*СПРАВОЧНИК!$J$5)+СПРАВОЧНИК!$F$5*('ПЛАН ЧИСТ ПОДЗЕМ'!L13*СПРАВОЧНИК!$L$5+'ПЛАН ЧИСТ ПОДЗЕМ'!M13*СПРАВОЧНИК!$M$5+'ПЛАН ЧИСТ ПОДЗЕМ'!N13*СПРАВОЧНИК!$N$5+'ПЛАН ЧИСТ ПОДЗЕМ'!O13*СПРАВОЧНИК!$O$5+'ПЛАН ЧИСТ ПОДЗЕМ'!P13*СПРАВОЧНИК!$P$5)+СПРАВОЧНИК!$E$6*('ПЛАН ЧЕРН ПОДЗЕМ'!K13*СПРАВОЧНИК!$H$6+'ПЛАН ЧЕРН ПОДЗЕМ'!L13*СПРАВОЧНИК!$I$6+'ПЛАН ЧЕРН ПОДЗЕМ'!M13*СПРАВОЧНИК!$J$6)+СПРАВОЧНИК!$F$6*('ПЛАН ЧИСТ ПОДЗЕМ'!Q13*СПРАВОЧНИК!$L$6+'ПЛАН ЧИСТ ПОДЗЕМ'!R13*СПРАВОЧНИК!$M$6+'ПЛАН ЧИСТ ПОДЗЕМ'!S13*СПРАВОЧНИК!$N$6+'ПЛАН ЧИСТ ПОДЗЕМ'!T13*СПРАВОЧНИК!$O$6+'ПЛАН ЧИСТ ПОДЗЕМ'!U13*СПРАВОЧНИК!$P$6)+СПРАВОЧНИК!$E$7*('ПЛАН ЧЕРН ПОДЗЕМ'!N13*СПРАВОЧНИК!$H$7+'ПЛАН ЧЕРН ПОДЗЕМ'!O13*СПРАВОЧНИК!$I$7+'ПЛАН ЧЕРН ПОДЗЕМ'!P13*СПРАВОЧНИК!$J$7)+СПРАВОЧНИК!$F$7*('ПЛАН ЧИСТ ПОДЗЕМ'!V13*СПРАВОЧНИК!$L$7+'ПЛАН ЧИСТ ПОДЗЕМ'!W13*СПРАВОЧНИК!$M$7+'ПЛАН ЧИСТ ПОДЗЕМ'!X13*СПРАВОЧНИК!$N$7+'ПЛАН ЧИСТ ПОДЗЕМ'!Y13*СПРАВОЧНИК!$O$7+'ПЛАН ЧИСТ ПОДЗЕМ'!Z13*СПРАВОЧНИК!$P$7)+СПРАВОЧНИК!$E$8*('ПЛАН ЧЕРН ПОДЗЕМ'!Q13*СПРАВОЧНИК!$H$8+'ПЛАН ЧЕРН ПОДЗЕМ'!R13*СПРАВОЧНИК!$I$8+'ПЛАН ЧЕРН ПОДЗЕМ'!S13*СПРАВОЧНИК!$J$8)+СПРАВОЧНИК!$F$8*('ПЛАН ЧИСТ ПОДЗЕМ'!AA13*СПРАВОЧНИК!$L$8+'ПЛАН ЧИСТ ПОДЗЕМ'!AB13*СПРАВОЧНИК!$M$8+'ПЛАН ЧИСТ ПОДЗЕМ'!AC13*СПРАВОЧНИК!$N$8+'ПЛАН ЧИСТ ПОДЗЕМ'!AD13*СПРАВОЧНИК!$O$8+'ПЛАН ЧИСТ ПОДЗЕМ'!AE13*СПРАВОЧНИК!$P$8)</f>
        <v/>
      </c>
      <c r="D22" s="31">
        <f>СПРАВОЧНИК!$E$3*('ФАКТ ЧЕРН ПОДЗЕМ'!B13*СПРАВОЧНИК!$H$3+'ФАКТ ЧЕРН ПОДЗЕМ'!C13*СПРАВОЧНИК!$I$3+'ФАКТ ЧЕРН ПОДЗЕМ'!D13*СПРАВОЧНИК!$J$3)+СПРАВОЧНИК!$F$3*('ФАКТ ЧИСТ ПОДЗЕМ'!B13*СПРАВОЧНИК!$L$3+'ФАКТ ЧИСТ ПОДЗЕМ'!C13*СПРАВОЧНИК!$M$3+'ФАКТ ЧИСТ ПОДЗЕМ'!D13*СПРАВОЧНИК!$N$3+'ФАКТ ЧИСТ ПОДЗЕМ'!E13*СПРАВОЧНИК!$O$3+'ФАКТ ЧИСТ ПОДЗЕМ'!F13*СПРАВОЧНИК!$P$3)+СПРАВОЧНИК!$E$4*('ФАКТ ЧЕРН ПОДЗЕМ'!E13*СПРАВОЧНИК!$H$4+'ФАКТ ЧЕРН ПОДЗЕМ'!F13*СПРАВОЧНИК!$I$4+'ФАКТ ЧЕРН ПОДЗЕМ'!G13*СПРАВОЧНИК!$J$4)+СПРАВОЧНИК!$F$4*('ФАКТ ЧИСТ ПОДЗЕМ'!G13*СПРАВОЧНИК!$L$4+'ФАКТ ЧИСТ ПОДЗЕМ'!H13*СПРАВОЧНИК!$M$4+'ФАКТ ЧИСТ ПОДЗЕМ'!I13*СПРАВОЧНИК!$N$4+'ФАКТ ЧИСТ ПОДЗЕМ'!J13*СПРАВОЧНИК!$O$4+'ФАКТ ЧИСТ ПОДЗЕМ'!K13*СПРАВОЧНИК!$P$4)+СПРАВОЧНИК!$E$5*('ФАКТ ЧЕРН ПОДЗЕМ'!H13*СПРАВОЧНИК!$H$5+'ФАКТ ЧЕРН ПОДЗЕМ'!I13*СПРАВОЧНИК!$I$5+'ФАКТ ЧЕРН ПОДЗЕМ'!J13*СПРАВОЧНИК!$J$5)+СПРАВОЧНИК!$F$5*('ФАКТ ЧИСТ ПОДЗЕМ'!L13*СПРАВОЧНИК!$L$5+'ФАКТ ЧИСТ ПОДЗЕМ'!M13*СПРАВОЧНИК!$M$5+'ФАКТ ЧИСТ ПОДЗЕМ'!N13*СПРАВОЧНИК!$N$5+'ФАКТ ЧИСТ ПОДЗЕМ'!O13*СПРАВОЧНИК!$O$5+'ФАКТ ЧИСТ ПОДЗЕМ'!P13*СПРАВОЧНИК!$P$5)+СПРАВОЧНИК!$E$6*('ФАКТ ЧЕРН ПОДЗЕМ'!K13*СПРАВОЧНИК!$H$6+'ФАКТ ЧЕРН ПОДЗЕМ'!L13*СПРАВОЧНИК!$I$6+'ФАКТ ЧЕРН ПОДЗЕМ'!M13*СПРАВОЧНИК!$J$6)+СПРАВОЧНИК!$F$6*('ФАКТ ЧИСТ ПОДЗЕМ'!Q13*СПРАВОЧНИК!$L$6+'ФАКТ ЧИСТ ПОДЗЕМ'!R13*СПРАВОЧНИК!$M$6+'ФАКТ ЧИСТ ПОДЗЕМ'!S13*СПРАВОЧНИК!$N$6+'ФАКТ ЧИСТ ПОДЗЕМ'!T13*СПРАВОЧНИК!$O$6+'ФАКТ ЧИСТ ПОДЗЕМ'!U13*СПРАВОЧНИК!$P$6)+СПРАВОЧНИК!$E$7*('ФАКТ ЧЕРН ПОДЗЕМ'!N13*СПРАВОЧНИК!$H$7+'ФАКТ ЧЕРН ПОДЗЕМ'!O13*СПРАВОЧНИК!$I$7+'ФАКТ ЧЕРН ПОДЗЕМ'!P13*СПРАВОЧНИК!$J$7)+СПРАВОЧНИК!$F$7*('ФАКТ ЧИСТ ПОДЗЕМ'!V13*СПРАВОЧНИК!$L$7+'ФАКТ ЧИСТ ПОДЗЕМ'!W13*СПРАВОЧНИК!$M$7+'ФАКТ ЧИСТ ПОДЗЕМ'!X13*СПРАВОЧНИК!$N$7+'ФАКТ ЧИСТ ПОДЗЕМ'!Y13*СПРАВОЧНИК!$O$7+'ФАКТ ЧИСТ ПОДЗЕМ'!Z13*СПРАВОЧНИК!$P$7)+СПРАВОЧНИК!$E$8*('ФАКТ ЧЕРН ПОДЗЕМ'!Q13*СПРАВОЧНИК!$H$8+'ФАКТ ЧЕРН ПОДЗЕМ'!R13*СПРАВОЧНИК!$I$8+'ФАКТ ЧЕРН ПОДЗЕМ'!S13*СПРАВОЧНИК!$J$8)+СПРАВОЧНИК!$F$8*('ФАКТ ЧИСТ ПОДЗЕМ'!AA13*СПРАВОЧНИК!$L$8+'ФАКТ ЧИСТ ПОДЗЕМ'!AB13*СПРАВОЧНИК!$M$8+'ФАКТ ЧИСТ ПОДЗЕМ'!AC13*СПРАВОЧНИК!$N$8+'ФАКТ ЧИСТ ПОДЗЕМ'!AD13*СПРАВОЧНИК!$O$8+'ФАКТ ЧИСТ ПОДЗЕМ'!AE13*СПРАВОЧНИК!$P$8)</f>
        <v/>
      </c>
      <c r="E22" s="34" t="n"/>
      <c r="H22" s="152">
        <f>H21+7</f>
        <v/>
      </c>
      <c r="I22" s="17">
        <f>'ПЛАН ЧЕРН ПОДЗЕМ'!B13*СПРАВОЧНИК!$H$3+'ПЛАН ЧЕРН ПОДЗЕМ'!C13*СПРАВОЧНИК!$I$3+'ПЛАН ЧЕРН ПОДЗЕМ'!D13*СПРАВОЧНИК!$J$3+'ПЛАН ЧЕРН ПОДЗЕМ'!E13*СПРАВОЧНИК!$H$4+'ПЛАН ЧЕРН ПОДЗЕМ'!F13*СПРАВОЧНИК!$I$4+'ПЛАН ЧЕРН ПОДЗЕМ'!G13*СПРАВОЧНИК!$J$4+'ПЛАН ЧЕРН ПОДЗЕМ'!H13*СПРАВОЧНИК!$H$5+'ПЛАН ЧЕРН ПОДЗЕМ'!I13*СПРАВОЧНИК!$I$5+'ПЛАН ЧЕРН ПОДЗЕМ'!J13*СПРАВОЧНИК!$J$5+'ПЛАН ЧЕРН ПОДЗЕМ'!K13*СПРАВОЧНИК!$H$6+'ПЛАН ЧЕРН ПОДЗЕМ'!L13*СПРАВОЧНИК!$I$6+'ПЛАН ЧЕРН ПОДЗЕМ'!M13*СПРАВОЧНИК!$J$6+'ПЛАН ЧЕРН ПОДЗЕМ'!N13*СПРАВОЧНИК!$H$7+'ПЛАН ЧЕРН ПОДЗЕМ'!O13*СПРАВОЧНИК!$I$7+'ПЛАН ЧЕРН ПОДЗЕМ'!P13*СПРАВОЧНИК!$J$7+'ПЛАН ЧЕРН ПОДЗЕМ'!Q13*СПРАВОЧНИК!$H$8+'ПЛАН ЧЕРН ПОДЗЕМ'!R13*СПРАВОЧНИК!$I$8+'ПЛАН ЧЕРН ПОДЗЕМ'!S13*СПРАВОЧНИК!$J$8</f>
        <v/>
      </c>
      <c r="J22" s="31">
        <f>('ФАКТ ЧЕРН ПОДЗЕМ'!B13)*СПРАВОЧНИК!$H$3+('ФАКТ ЧЕРН ПОДЗЕМ'!C13)*СПРАВОЧНИК!$I$3+('ФАКТ ЧЕРН ПОДЗЕМ'!D13)*СПРАВОЧНИК!$J$3+('ФАКТ ЧЕРН ПОДЗЕМ'!E13)*СПРАВОЧНИК!$H$4+('ФАКТ ЧЕРН ПОДЗЕМ'!F13)*СПРАВОЧНИК!$I$4+('ФАКТ ЧЕРН ПОДЗЕМ'!G13)*СПРАВОЧНИК!$J$4+('ФАКТ ЧЕРН ПОДЗЕМ'!H13)*СПРАВОЧНИК!$H$5+('ФАКТ ЧЕРН ПОДЗЕМ'!I13)*СПРАВОЧНИК!$I$5+('ФАКТ ЧЕРН ПОДЗЕМ'!J13)*СПРАВОЧНИК!$J$5+('ФАКТ ЧЕРН ПОДЗЕМ'!K13)*СПРАВОЧНИК!$H$6+('ФАКТ ЧЕРН ПОДЗЕМ'!L13)*СПРАВОЧНИК!$I$6+('ФАКТ ЧЕРН ПОДЗЕМ'!M13)*СПРАВОЧНИК!$J$6+('ФАКТ ЧЕРН ПОДЗЕМ'!N13)*СПРАВОЧНИК!$H$7+('ФАКТ ЧЕРН ПОДЗЕМ'!O13)*СПРАВОЧНИК!$I$7+('ФАКТ ЧЕРН ПОДЗЕМ'!P13)*СПРАВОЧНИК!$J$7+('ФАКТ ЧЕРН ПОДЗЕМ'!Q13)*СПРАВОЧНИК!$H$8+('ФАКТ ЧЕРН ПОДЗЕМ'!R13)*СПРАВОЧНИК!$I$8+('ФАКТ ЧЕРН ПОДЗЕМ'!S13)*СПРАВОЧНИК!$J$8</f>
        <v/>
      </c>
      <c r="K22" s="34" t="n"/>
      <c r="N22" s="152">
        <f>N21+7</f>
        <v/>
      </c>
      <c r="O22" s="17">
        <f>'ПЛАН ЧИСТ ПОДЗЕМ'!B13*СПРАВОЧНИК!$L$3+'ПЛАН ЧИСТ ПОДЗЕМ'!C13*СПРАВОЧНИК!$M$3+'ПЛАН ЧИСТ ПОДЗЕМ'!D13*СПРАВОЧНИК!$N$3+'ПЛАН ЧИСТ ПОДЗЕМ'!E13*СПРАВОЧНИК!$O$3+'ПЛАН ЧИСТ ПОДЗЕМ'!F13*СПРАВОЧНИК!$P$3+'ПЛАН ЧИСТ ПОДЗЕМ'!G13*СПРАВОЧНИК!$L$4+'ПЛАН ЧИСТ ПОДЗЕМ'!H13*СПРАВОЧНИК!$M$4+'ПЛАН ЧИСТ ПОДЗЕМ'!I13*СПРАВОЧНИК!$N$4+'ПЛАН ЧИСТ ПОДЗЕМ'!J13*СПРАВОЧНИК!$O$4+'ПЛАН ЧИСТ ПОДЗЕМ'!K13*СПРАВОЧНИК!$P$4+'ПЛАН ЧИСТ ПОДЗЕМ'!L13*СПРАВОЧНИК!$L$5+'ПЛАН ЧИСТ ПОДЗЕМ'!M13*СПРАВОЧНИК!$M$5+'ПЛАН ЧИСТ ПОДЗЕМ'!N13*СПРАВОЧНИК!$N$5+'ПЛАН ЧИСТ ПОДЗЕМ'!O13*СПРАВОЧНИК!$O$5+'ПЛАН ЧИСТ ПОДЗЕМ'!P13*СПРАВОЧНИК!$P$5+'ПЛАН ЧИСТ ПОДЗЕМ'!Q13*СПРАВОЧНИК!$L$6+'ПЛАН ЧИСТ ПОДЗЕМ'!R13*СПРАВОЧНИК!$M$6+'ПЛАН ЧИСТ ПОДЗЕМ'!S13*СПРАВОЧНИК!$N$6+'ПЛАН ЧИСТ ПОДЗЕМ'!T13*СПРАВОЧНИК!$O$6+'ПЛАН ЧИСТ ПОДЗЕМ'!U13*СПРАВОЧНИК!$P$6+'ПЛАН ЧИСТ ПОДЗЕМ'!V13*СПРАВОЧНИК!$L$7+'ПЛАН ЧИСТ ПОДЗЕМ'!W13*СПРАВОЧНИК!$M$7+'ПЛАН ЧИСТ ПОДЗЕМ'!X13*СПРАВОЧНИК!$N$7+'ПЛАН ЧИСТ ПОДЗЕМ'!Y13*СПРАВОЧНИК!$O$7+'ПЛАН ЧИСТ ПОДЗЕМ'!Z13*СПРАВОЧНИК!$P$7+'ПЛАН ЧИСТ ПОДЗЕМ'!AA13*СПРАВОЧНИК!$L$8+'ПЛАН ЧИСТ ПОДЗЕМ'!AB13*СПРАВОЧНИК!$M$8+'ПЛАН ЧИСТ ПОДЗЕМ'!AC13*СПРАВОЧНИК!$N$8+'ПЛАН ЧИСТ ПОДЗЕМ'!AD13*СПРАВОЧНИК!$O$8+'ПЛАН ЧИСТ ПОДЗЕМ'!AE13*СПРАВОЧНИК!$P$8</f>
        <v/>
      </c>
      <c r="P22" s="31">
        <f>('ФАКТ ЧИСТ ПОДЗЕМ'!B13)*СПРАВОЧНИК!$L$3+('ФАКТ ЧИСТ ПОДЗЕМ'!C13)*СПРАВОЧНИК!$M$3+('ФАКТ ЧИСТ ПОДЗЕМ'!D13)*СПРАВОЧНИК!$N$3+('ФАКТ ЧИСТ ПОДЗЕМ'!E13)*СПРАВОЧНИК!$O$3+('ФАКТ ЧИСТ ПОДЗЕМ'!F13)*СПРАВОЧНИК!$P$3+('ФАКТ ЧИСТ ПОДЗЕМ'!G13)*СПРАВОЧНИК!$L$4+('ФАКТ ЧИСТ ПОДЗЕМ'!H13)*СПРАВОЧНИК!$M$4+('ФАКТ ЧИСТ ПОДЗЕМ'!I13)*СПРАВОЧНИК!$N$4+('ФАКТ ЧИСТ ПОДЗЕМ'!J13)*СПРАВОЧНИК!$O$4+('ФАКТ ЧИСТ ПОДЗЕМ'!K13)*СПРАВОЧНИК!$P$4+('ФАКТ ЧИСТ ПОДЗЕМ'!L13)*СПРАВОЧНИК!$L$5+('ФАКТ ЧИСТ ПОДЗЕМ'!M13)*СПРАВОЧНИК!$M$5+('ФАКТ ЧИСТ ПОДЗЕМ'!N13)*СПРАВОЧНИК!$N$5+('ФАКТ ЧИСТ ПОДЗЕМ'!O13)*СПРАВОЧНИК!$O$5+('ФАКТ ЧИСТ ПОДЗЕМ'!P13)*СПРАВОЧНИК!$P$5+('ФАКТ ЧИСТ ПОДЗЕМ'!Q13)*СПРАВОЧНИК!$L$6+('ФАКТ ЧИСТ ПОДЗЕМ'!R13)*СПРАВОЧНИК!$M$6+('ФАКТ ЧИСТ ПОДЗЕМ'!S13)*СПРАВОЧНИК!$N$6+('ФАКТ ЧИСТ ПОДЗЕМ'!T13)*СПРАВОЧНИК!$O$6+('ФАКТ ЧИСТ ПОДЗЕМ'!U13)*СПРАВОЧНИК!$P$6+('ФАКТ ЧИСТ ПОДЗЕМ'!V13)*СПРАВОЧНИК!$L$7+('ФАКТ ЧИСТ ПОДЗЕМ'!W13)*СПРАВОЧНИК!$M$7+('ФАКТ ЧИСТ ПОДЗЕМ'!X13)*СПРАВОЧНИК!$N$7+('ФАКТ ЧИСТ ПОДЗЕМ'!Y13)*СПРАВОЧНИК!$O$7+('ФАКТ ЧИСТ ПОДЗЕМ'!Z13)*СПРАВОЧНИК!$P$7+('ФАКТ ЧИСТ ПОДЗЕМ'!AA13)*СПРАВОЧНИК!$L$8+('ФАКТ ЧИСТ ПОДЗЕМ'!AB13)*СПРАВОЧНИК!$M$8+('ФАКТ ЧИСТ ПОДЗЕМ'!AC13)*СПРАВОЧНИК!$N$8+('ФАКТ ЧИСТ ПОДЗЕМ'!AD13)*СПРАВОЧНИК!$O$8+('ФАКТ ЧИСТ ПОДЗЕМ'!AE13)*СПРАВОЧНИК!$P$8</f>
        <v/>
      </c>
      <c r="Q22" s="34" t="n"/>
      <c r="T22" s="152">
        <f>T21+7</f>
        <v/>
      </c>
      <c r="U22" s="17">
        <f>СПРАВОЧНИК!$E$9*('ПЛАН ЧЕРН К1'!B13*СПРАВОЧНИК!$H$9+'ПЛАН ЧЕРН К1'!C13*СПРАВОЧНИК!$I$9+'ПЛАН ЧЕРН К1'!D13*СПРАВОЧНИК!$J$9)+СПРАВОЧНИК!$F$9*('ПЛАН ЧИСТ К1'!B13*СПРАВОЧНИК!$L$9+'ПЛАН ЧИСТ К1'!C13*СПРАВОЧНИК!$M$9+'ПЛАН ЧИСТ К1'!D13*СПРАВОЧНИК!$N$9+'ПЛАН ЧИСТ К1'!E13*СПРАВОЧНИК!$O$9+'ПЛАН ЧИСТ К1'!F13*СПРАВОЧНИК!$P$9)+СПРАВОЧНИК!$E$10*('ПЛАН ЧЕРН К1'!E13*СПРАВОЧНИК!$H$10+'ПЛАН ЧЕРН К1'!F13*СПРАВОЧНИК!$I$10+'ПЛАН ЧЕРН К1'!G13*СПРАВОЧНИК!$J$10)+СПРАВОЧНИК!$F$10*('ПЛАН ЧИСТ К1'!G13*СПРАВОЧНИК!$L$10+'ПЛАН ЧИСТ К1'!H13*СПРАВОЧНИК!$M$10+'ПЛАН ЧИСТ К1'!I13*СПРАВОЧНИК!$N$10+'ПЛАН ЧИСТ К1'!J13*СПРАВОЧНИК!$O$10+'ПЛАН ЧИСТ К1'!K13*СПРАВОЧНИК!$P$10)+СПРАВОЧНИК!$E$11*('ПЛАН ЧЕРН К1'!H13*СПРАВОЧНИК!$H$11+'ПЛАН ЧЕРН К1'!I13*СПРАВОЧНИК!$I$11+'ПЛАН ЧЕРН К1'!J13*СПРАВОЧНИК!$J$11)+СПРАВОЧНИК!$F$11*('ПЛАН ЧИСТ К1'!L13*СПРАВОЧНИК!$L$11+'ПЛАН ЧИСТ К1'!M13*СПРАВОЧНИК!$M$11+'ПЛАН ЧИСТ К1'!N13*СПРАВОЧНИК!$N$11+'ПЛАН ЧИСТ К1'!O13*СПРАВОЧНИК!$O$11+'ПЛАН ЧИСТ К1'!P13*СПРАВОЧНИК!$P$11)+СПРАВОЧНИК!$E$12*('ПЛАН ЧЕРН К1'!K13*СПРАВОЧНИК!$H$12+'ПЛАН ЧЕРН К1'!L13*СПРАВОЧНИК!$I$12+'ПЛАН ЧЕРН К1'!M13*СПРАВОЧНИК!$J$12)+СПРАВОЧНИК!$F$12*('ПЛАН ЧИСТ К1'!Q13*СПРАВОЧНИК!$L$12+'ПЛАН ЧИСТ К1'!R13*СПРАВОЧНИК!$M$12+'ПЛАН ЧИСТ К1'!S13*СПРАВОЧНИК!$N$12+'ПЛАН ЧИСТ К1'!T13*СПРАВОЧНИК!$O$12+'ПЛАН ЧИСТ К1'!U13*СПРАВОЧНИК!$P$12)+СПРАВОЧНИК!$E$13*('ПЛАН ЧЕРН К1'!N13*СПРАВОЧНИК!$H$13+'ПЛАН ЧЕРН К1'!O13*СПРАВОЧНИК!$I$13+'ПЛАН ЧЕРН К1'!P13*СПРАВОЧНИК!$J$13)+СПРАВОЧНИК!$F$13*('ПЛАН ЧИСТ К1'!V13*СПРАВОЧНИК!$L$13+'ПЛАН ЧИСТ К1'!W13*СПРАВОЧНИК!$M$13+'ПЛАН ЧИСТ К1'!X13*СПРАВОЧНИК!$N$13+'ПЛАН ЧИСТ К1'!Y13*СПРАВОЧНИК!$O$13+'ПЛАН ЧИСТ К1'!Z13*СПРАВОЧНИК!$P$13)+СПРАВОЧНИК!$E$14*('ПЛАН ЧЕРН К1'!Q13*СПРАВОЧНИК!$H$14+'ПЛАН ЧЕРН К1'!R13*СПРАВОЧНИК!$I$14+'ПЛАН ЧЕРН К1'!S13*СПРАВОЧНИК!$J$14)+СПРАВОЧНИК!$F$14*('ПЛАН ЧИСТ К1'!AA13*СПРАВОЧНИК!$L$14+'ПЛАН ЧИСТ К1'!AB13*СПРАВОЧНИК!$M$14+'ПЛАН ЧИСТ К1'!AC13*СПРАВОЧНИК!$N$14+'ПЛАН ЧИСТ К1'!AD13*СПРАВОЧНИК!$O$14+'ПЛАН ЧИСТ К1'!AE13*СПРАВОЧНИК!$P$14)+СПРАВОЧНИК!$E$15*('ПЛАН ЧЕРН К1'!T13*СПРАВОЧНИК!$H$15+'ПЛАН ЧЕРН К1'!U13*СПРАВОЧНИК!$I$15+'ПЛАН ЧЕРН К1'!V13*СПРАВОЧНИК!$J$15)+СПРАВОЧНИК!$F$15*('ПЛАН ЧИСТ К1'!AF13*СПРАВОЧНИК!$L$15+'ПЛАН ЧИСТ К1'!AG13*СПРАВОЧНИК!$M$15+'ПЛАН ЧИСТ К1'!AH13*СПРАВОЧНИК!$N$15+'ПЛАН ЧИСТ К1'!AI13*СПРАВОЧНИК!$O$15+'ПЛАН ЧИСТ К1'!AJ13*СПРАВОЧНИК!$P$15)</f>
        <v/>
      </c>
      <c r="V22" s="31">
        <f>СПРАВОЧНИК!$E$9*('ФАКТ ЧЕРН К1'!B13*СПРАВОЧНИК!$H$9+'ФАКТ ЧЕРН К1'!C13*СПРАВОЧНИК!$I$9+'ФАКТ ЧЕРН К1'!D13*СПРАВОЧНИК!$J$9)+СПРАВОЧНИК!$F$9*('ФАКТ ЧИСТ К1'!B13*СПРАВОЧНИК!$L$9+'ФАКТ ЧИСТ К1'!C13*СПРАВОЧНИК!$M$9+'ФАКТ ЧИСТ К1'!D13*СПРАВОЧНИК!$N$9+'ФАКТ ЧИСТ К1'!E13*СПРАВОЧНИК!$O$9+'ФАКТ ЧИСТ К1'!F13*СПРАВОЧНИК!$P$9)+СПРАВОЧНИК!$E$10*('ФАКТ ЧЕРН К1'!E13*СПРАВОЧНИК!$H$10+'ФАКТ ЧЕРН К1'!F13*СПРАВОЧНИК!$I$10+'ФАКТ ЧЕРН К1'!G13*СПРАВОЧНИК!$J$10)+СПРАВОЧНИК!$F$10*('ФАКТ ЧИСТ К1'!G13*СПРАВОЧНИК!$L$10+'ФАКТ ЧИСТ К1'!H13*СПРАВОЧНИК!$M$10+'ФАКТ ЧИСТ К1'!I13*СПРАВОЧНИК!$N$10+'ФАКТ ЧИСТ К1'!J13*СПРАВОЧНИК!$O$10+'ФАКТ ЧИСТ К1'!K13*СПРАВОЧНИК!$P$10)+СПРАВОЧНИК!$E$11*('ФАКТ ЧЕРН К1'!H13*СПРАВОЧНИК!$H$11+'ФАКТ ЧЕРН К1'!I13*СПРАВОЧНИК!$I$11+'ФАКТ ЧЕРН К1'!J13*СПРАВОЧНИК!$J$11)+СПРАВОЧНИК!$F$11*('ФАКТ ЧИСТ К1'!L13*СПРАВОЧНИК!$L$11+'ФАКТ ЧИСТ К1'!M13*СПРАВОЧНИК!$M$11+'ФАКТ ЧИСТ К1'!N13*СПРАВОЧНИК!$N$11+'ФАКТ ЧИСТ К1'!O13*СПРАВОЧНИК!$O$11+'ФАКТ ЧИСТ К1'!P13*СПРАВОЧНИК!$P$11)+СПРАВОЧНИК!$E$12*('ФАКТ ЧЕРН К1'!K13*СПРАВОЧНИК!$H$12+'ФАКТ ЧЕРН К1'!L13*СПРАВОЧНИК!$I$12+'ФАКТ ЧЕРН К1'!M13*СПРАВОЧНИК!$J$12)+СПРАВОЧНИК!$F$12*('ФАКТ ЧИСТ К1'!Q13*СПРАВОЧНИК!$L$12+'ФАКТ ЧИСТ К1'!R13*СПРАВОЧНИК!$M$12+'ФАКТ ЧИСТ К1'!S13*СПРАВОЧНИК!$N$12+'ФАКТ ЧИСТ К1'!T13*СПРАВОЧНИК!$O$12+'ФАКТ ЧИСТ К1'!U13*СПРАВОЧНИК!$P$12)+СПРАВОЧНИК!$E$13*('ФАКТ ЧЕРН К1'!N13*СПРАВОЧНИК!$H$13+'ФАКТ ЧЕРН К1'!O13*СПРАВОЧНИК!$I$13+'ФАКТ ЧЕРН К1'!P13*СПРАВОЧНИК!$J$13)+СПРАВОЧНИК!$F$13*('ФАКТ ЧИСТ К1'!V13*СПРАВОЧНИК!$L$13+'ФАКТ ЧИСТ К1'!W13*СПРАВОЧНИК!$M$13+'ФАКТ ЧИСТ К1'!X13*СПРАВОЧНИК!$N$13+'ФАКТ ЧИСТ К1'!Y13*СПРАВОЧНИК!$O$13+'ФАКТ ЧИСТ К1'!Z13*СПРАВОЧНИК!$P$13)+СПРАВОЧНИК!$E$14*('ФАКТ ЧЕРН К1'!Q13*СПРАВОЧНИК!$H$14+'ФАКТ ЧЕРН К1'!R13*СПРАВОЧНИК!$I$14+'ФАКТ ЧЕРН К1'!S13*СПРАВОЧНИК!$J$14)+СПРАВОЧНИК!$F$14*('ФАКТ ЧИСТ К1'!AA13*СПРАВОЧНИК!$L$14+'ФАКТ ЧИСТ К1'!AB13*СПРАВОЧНИК!$M$14+'ФАКТ ЧИСТ К1'!AC13*СПРАВОЧНИК!$N$14+'ФАКТ ЧИСТ К1'!AD13*СПРАВОЧНИК!$O$14+'ФАКТ ЧИСТ К1'!AE13*СПРАВОЧНИК!$P$14)+СПРАВОЧНИК!$E$15*('ФАКТ ЧЕРН К1'!T13*СПРАВОЧНИК!$H$15+'ФАКТ ЧЕРН К1'!U13*СПРАВОЧНИК!$I$15+'ФАКТ ЧЕРН К1'!V13*СПРАВОЧНИК!$J$15)+СПРАВОЧНИК!$F$15*('ФАКТ ЧИСТ К1'!AF13*СПРАВОЧНИК!$L$15+'ФАКТ ЧИСТ К1'!AG13*СПРАВОЧНИК!$M$15+'ФАКТ ЧИСТ К1'!AH13*СПРАВОЧНИК!$N$15+'ФАКТ ЧИСТ К1'!AI13*СПРАВОЧНИК!$O$15+'ФАКТ ЧИСТ К1'!AJ13*СПРАВОЧНИК!$P$15)</f>
        <v/>
      </c>
      <c r="W22" s="34" t="n"/>
      <c r="Z22" s="152">
        <f>Z21+7</f>
        <v/>
      </c>
      <c r="AA22" s="17">
        <f>'ПЛАН ЧЕРН К1'!B13*СПРАВОЧНИК!$H$9+'ПЛАН ЧЕРН К1'!C13*СПРАВОЧНИК!$I$9+'ПЛАН ЧЕРН К1'!D13*СПРАВОЧНИК!$J$9+'ПЛАН ЧЕРН К1'!E13*СПРАВОЧНИК!$H$10+'ПЛАН ЧЕРН К1'!F13*СПРАВОЧНИК!$I$10+'ПЛАН ЧЕРН К1'!G13*СПРАВОЧНИК!$J$10+'ПЛАН ЧЕРН К1'!H13*СПРАВОЧНИК!$H$11+'ПЛАН ЧЕРН К1'!I13*СПРАВОЧНИК!$I$11+'ПЛАН ЧЕРН К1'!J13*СПРАВОЧНИК!$J$11+'ПЛАН ЧЕРН К1'!K13*СПРАВОЧНИК!$H$12+'ПЛАН ЧЕРН К1'!L13*СПРАВОЧНИК!$I$12+'ПЛАН ЧЕРН К1'!M13*СПРАВОЧНИК!$J$12+'ПЛАН ЧЕРН К1'!N13*СПРАВОЧНИК!$H$13+'ПЛАН ЧЕРН К1'!O13*СПРАВОЧНИК!$I$13+'ПЛАН ЧЕРН К1'!P13*СПРАВОЧНИК!$J$13+'ПЛАН ЧЕРН К1'!Q13*СПРАВОЧНИК!$H$14+'ПЛАН ЧЕРН К1'!R13*СПРАВОЧНИК!$I$14+'ПЛАН ЧЕРН К1'!S13*СПРАВОЧНИК!$J$14+'ПЛАН ЧЕРН К1'!T13*СПРАВОЧНИК!$H$15+'ПЛАН ЧЕРН К1'!U13*СПРАВОЧНИК!$I$15+'ПЛАН ЧЕРН К1'!V13*СПРАВОЧНИК!$J$15</f>
        <v/>
      </c>
      <c r="AB22" s="31">
        <f>('ФАКТ ЧЕРН К1'!B13)*СПРАВОЧНИК!$H$9+('ФАКТ ЧЕРН К1'!C13)*СПРАВОЧНИК!$I$9+('ФАКТ ЧЕРН К1'!D13)*СПРАВОЧНИК!$J$9+('ФАКТ ЧЕРН К1'!E13)*СПРАВОЧНИК!$H$10+('ФАКТ ЧЕРН К1'!F13)*СПРАВОЧНИК!$I$10+('ФАКТ ЧЕРН К1'!G13)*СПРАВОЧНИК!$J$10+('ФАКТ ЧЕРН К1'!H13)*СПРАВОЧНИК!$H$11+('ФАКТ ЧЕРН К1'!I13)*СПРАВОЧНИК!$I$11+('ФАКТ ЧЕРН К1'!J13)*СПРАВОЧНИК!$J$11+('ФАКТ ЧЕРН К1'!K13)*СПРАВОЧНИК!$H$12+('ФАКТ ЧЕРН К1'!L13)*СПРАВОЧНИК!$I$12+('ФАКТ ЧЕРН К1'!M13)*СПРАВОЧНИК!$J$12+('ФАКТ ЧЕРН К1'!N13)*СПРАВОЧНИК!$H$13+('ФАКТ ЧЕРН К1'!O13)*СПРАВОЧНИК!$I$13+('ФАКТ ЧЕРН К1'!P13)*СПРАВОЧНИК!$J$13+('ФАКТ ЧЕРН К1'!Q13)*СПРАВОЧНИК!$H$14+('ФАКТ ЧЕРН К1'!R13)*СПРАВОЧНИК!$I$14+('ФАКТ ЧЕРН К1'!S13)*СПРАВОЧНИК!$J$14+('ФАКТ ЧЕРН К1'!T13)*СПРАВОЧНИК!$H$15+('ФАКТ ЧЕРН К1'!U13)*СПРАВОЧНИК!$I$15+('ФАКТ ЧЕРН К1'!V13)*СПРАВОЧНИК!$J$15</f>
        <v/>
      </c>
      <c r="AC22" s="34" t="n"/>
      <c r="AF22" s="152">
        <f>AF21+7</f>
        <v/>
      </c>
      <c r="AG22" s="17">
        <f>'ПЛАН ЧИСТ К1'!B13*СПРАВОЧНИК!$L$9+'ПЛАН ЧИСТ К1'!C13*СПРАВОЧНИК!$M$9+'ПЛАН ЧИСТ К1'!D13*СПРАВОЧНИК!$N$9+'ПЛАН ЧИСТ К1'!E13*СПРАВОЧНИК!$O$9+'ПЛАН ЧИСТ К1'!F13*СПРАВОЧНИК!$P$9+'ПЛАН ЧИСТ К1'!G13*СПРАВОЧНИК!$L$10+'ПЛАН ЧИСТ К1'!H13*СПРАВОЧНИК!$M$10+'ПЛАН ЧИСТ К1'!I13*СПРАВОЧНИК!$N$10+'ПЛАН ЧИСТ К1'!J13*СПРАВОЧНИК!$O$10+'ПЛАН ЧИСТ К1'!K13*СПРАВОЧНИК!$P$10+'ПЛАН ЧИСТ К1'!L13*СПРАВОЧНИК!$L$11+'ПЛАН ЧИСТ К1'!M13*СПРАВОЧНИК!$M$11+'ПЛАН ЧИСТ К1'!N13*СПРАВОЧНИК!$N$11+'ПЛАН ЧИСТ К1'!O13*СПРАВОЧНИК!$O$11+'ПЛАН ЧИСТ К1'!P13*СПРАВОЧНИК!$P$11+'ПЛАН ЧИСТ К1'!Q13*СПРАВОЧНИК!$L$12+'ПЛАН ЧИСТ К1'!R13*СПРАВОЧНИК!$M$12+'ПЛАН ЧИСТ К1'!S13*СПРАВОЧНИК!$N$12+'ПЛАН ЧИСТ К1'!T13*СПРАВОЧНИК!$O$12+'ПЛАН ЧИСТ К1'!U13*СПРАВОЧНИК!$P$12+'ПЛАН ЧИСТ К1'!V13*СПРАВОЧНИК!$L$13+'ПЛАН ЧИСТ К1'!W13*СПРАВОЧНИК!$M$13+'ПЛАН ЧИСТ К1'!X13*СПРАВОЧНИК!$N$13+'ПЛАН ЧИСТ К1'!Y13*СПРАВОЧНИК!$O$13+'ПЛАН ЧИСТ К1'!Z13*СПРАВОЧНИК!$P$13+'ПЛАН ЧИСТ К1'!AA13*СПРАВОЧНИК!$L$14+'ПЛАН ЧИСТ К1'!AB13*СПРАВОЧНИК!$M$14+'ПЛАН ЧИСТ К1'!AC13*СПРАВОЧНИК!$N$14+'ПЛАН ЧИСТ К1'!AD13*СПРАВОЧНИК!$O$14+'ПЛАН ЧИСТ К1'!AE13*СПРАВОЧНИК!$P$14+'ПЛАН ЧИСТ К1'!AF13*СПРАВОЧНИК!$L$15+'ПЛАН ЧИСТ К1'!AG13*СПРАВОЧНИК!$M$15+'ПЛАН ЧИСТ К1'!AH13*СПРАВОЧНИК!$N$15+'ПЛАН ЧИСТ К1'!AI13*СПРАВОЧНИК!$O$15+'ПЛАН ЧИСТ К1'!AJ13*СПРАВОЧНИК!$P$15</f>
        <v/>
      </c>
      <c r="AH22" s="31">
        <f>('ФАКТ ЧИСТ К1'!B13)*СПРАВОЧНИК!$L$9+('ФАКТ ЧИСТ К1'!C13)*СПРАВОЧНИК!$M$9+('ФАКТ ЧИСТ К1'!D13)*СПРАВОЧНИК!$N$9+('ФАКТ ЧИСТ К1'!E13)*СПРАВОЧНИК!$O$9+('ФАКТ ЧИСТ К1'!F13)*СПРАВОЧНИК!$P$9+('ФАКТ ЧИСТ К1'!G13)*СПРАВОЧНИК!$L$10+('ФАКТ ЧИСТ К1'!H13)*СПРАВОЧНИК!$M$10+('ФАКТ ЧИСТ К1'!I13)*СПРАВОЧНИК!$N$10+('ФАКТ ЧИСТ К1'!J13)*СПРАВОЧНИК!$O$10+('ФАКТ ЧИСТ К1'!K13)*СПРАВОЧНИК!$P$10+('ФАКТ ЧИСТ К1'!L13)*СПРАВОЧНИК!$L$11+('ФАКТ ЧИСТ К1'!M13)*СПРАВОЧНИК!$M$11+('ФАКТ ЧИСТ К1'!N13)*СПРАВОЧНИК!$N$11+('ФАКТ ЧИСТ К1'!O13)*СПРАВОЧНИК!$O$11+('ФАКТ ЧИСТ К1'!P13)*СПРАВОЧНИК!$P$11+('ФАКТ ЧИСТ К1'!Q13)*СПРАВОЧНИК!$L$12+('ФАКТ ЧИСТ К1'!R13)*СПРАВОЧНИК!$M$12+('ФАКТ ЧИСТ К1'!S13)*СПРАВОЧНИК!$N$12+('ФАКТ ЧИСТ К1'!T13)*СПРАВОЧНИК!$O$12+('ФАКТ ЧИСТ К1'!U13)*СПРАВОЧНИК!$P$12+('ФАКТ ЧИСТ К1'!V13)*СПРАВОЧНИК!$L$13+('ФАКТ ЧИСТ К1'!W13)*СПРАВОЧНИК!$M$13+('ФАКТ ЧИСТ К1'!X13)*СПРАВОЧНИК!$N$13+('ФАКТ ЧИСТ К1'!Y13)*СПРАВОЧНИК!$O$13+('ФАКТ ЧИСТ К1'!Z13)*СПРАВОЧНИК!$P$13+('ФАКТ ЧИСТ К1'!AA13)*СПРАВОЧНИК!$L$14+('ФАКТ ЧИСТ К1'!AB13)*СПРАВОЧНИК!$M$14+('ФАКТ ЧИСТ К1'!AC13)*СПРАВОЧНИК!$N$14+('ФАКТ ЧИСТ К1'!AD13)*СПРАВОЧНИК!$O$14+('ФАКТ ЧИСТ К1'!AE13)*СПРАВОЧНИК!$P$14+('ФАКТ ЧИСТ К1'!AF13)*СПРАВОЧНИК!$L$15+('ФАКТ ЧИСТ К1'!AG13)*СПРАВОЧНИК!$M$15+('ФАКТ ЧИСТ К1'!AH13)*СПРАВОЧНИК!$N$15+('ФАКТ ЧИСТ К1'!AI13)*СПРАВОЧНИК!$O$15+('ФАКТ ЧИСТ К1'!AJ13)*СПРАВОЧНИК!$P$15</f>
        <v/>
      </c>
      <c r="AI22" s="34" t="n"/>
      <c r="AL22" s="152">
        <f>AL21+7</f>
        <v/>
      </c>
      <c r="AM22" s="17">
        <f>СПРАВОЧНИК!$E$9*('ПЛАН ЧЕРН К2'!B13*СПРАВОЧНИК!$H$9+'ПЛАН ЧЕРН К2'!C13*СПРАВОЧНИК!$I$9+'ПЛАН ЧЕРН К2'!D13*СПРАВОЧНИК!$J$9)+СПРАВОЧНИК!$F$9*('ПЛАН ЧИСТ К2'!B13*СПРАВОЧНИК!$L$9+'ПЛАН ЧИСТ К2'!C13*СПРАВОЧНИК!$M$9+'ПЛАН ЧИСТ К2'!D13*СПРАВОЧНИК!$N$9+'ПЛАН ЧИСТ К2'!E13*СПРАВОЧНИК!$O$9+'ПЛАН ЧИСТ К2'!F13*СПРАВОЧНИК!$P$9)+СПРАВОЧНИК!$E$10*('ПЛАН ЧЕРН К2'!E13*СПРАВОЧНИК!$H$10+'ПЛАН ЧЕРН К2'!F13*СПРАВОЧНИК!$I$10+'ПЛАН ЧЕРН К2'!G13*СПРАВОЧНИК!$J$10)+СПРАВОЧНИК!$F$10*('ПЛАН ЧИСТ К2'!G13*СПРАВОЧНИК!$L$10+'ПЛАН ЧИСТ К2'!H13*СПРАВОЧНИК!$M$10+'ПЛАН ЧИСТ К2'!I13*СПРАВОЧНИК!$N$10+'ПЛАН ЧИСТ К2'!J13*СПРАВОЧНИК!$O$10+'ПЛАН ЧИСТ К2'!K13*СПРАВОЧНИК!$P$10)+СПРАВОЧНИК!$E$11*('ПЛАН ЧЕРН К2'!H13*СПРАВОЧНИК!$H$11+'ПЛАН ЧЕРН К2'!I13*СПРАВОЧНИК!$I$11+'ПЛАН ЧЕРН К2'!J13*СПРАВОЧНИК!$J$11)+СПРАВОЧНИК!$F$11*('ПЛАН ЧИСТ К2'!L13*СПРАВОЧНИК!$L$11+'ПЛАН ЧИСТ К2'!M13*СПРАВОЧНИК!$M$11+'ПЛАН ЧИСТ К2'!N13*СПРАВОЧНИК!$N$11+'ПЛАН ЧИСТ К2'!O13*СПРАВОЧНИК!$O$11+'ПЛАН ЧИСТ К2'!P13*СПРАВОЧНИК!$P$11)+СПРАВОЧНИК!$E$12*('ПЛАН ЧЕРН К2'!K13*СПРАВОЧНИК!$H$12+'ПЛАН ЧЕРН К2'!L13*СПРАВОЧНИК!$I$12+'ПЛАН ЧЕРН К2'!M13*СПРАВОЧНИК!$J$12)+СПРАВОЧНИК!$F$12*('ПЛАН ЧИСТ К2'!Q13*СПРАВОЧНИК!$L$12+'ПЛАН ЧИСТ К2'!R13*СПРАВОЧНИК!$M$12+'ПЛАН ЧИСТ К2'!S13*СПРАВОЧНИК!$N$12+'ПЛАН ЧИСТ К2'!T13*СПРАВОЧНИК!$O$12+'ПЛАН ЧИСТ К2'!U13*СПРАВОЧНИК!$P$12)+СПРАВОЧНИК!$E$13*('ПЛАН ЧЕРН К2'!N13*СПРАВОЧНИК!$H$13+'ПЛАН ЧЕРН К2'!O13*СПРАВОЧНИК!$I$13+'ПЛАН ЧЕРН К2'!P13*СПРАВОЧНИК!$J$13)+СПРАВОЧНИК!$F$13*('ПЛАН ЧИСТ К2'!V13*СПРАВОЧНИК!$L$13+'ПЛАН ЧИСТ К2'!W13*СПРАВОЧНИК!$M$13+'ПЛАН ЧИСТ К2'!X13*СПРАВОЧНИК!$N$13+'ПЛАН ЧИСТ К2'!Y13*СПРАВОЧНИК!$O$13+'ПЛАН ЧИСТ К2'!Z13*СПРАВОЧНИК!$P$13)+СПРАВОЧНИК!$E$14*('ПЛАН ЧЕРН К2'!Q13*СПРАВОЧНИК!$H$14+'ПЛАН ЧЕРН К2'!R13*СПРАВОЧНИК!$I$14+'ПЛАН ЧЕРН К2'!S13*СПРАВОЧНИК!$J$14)+СПРАВОЧНИК!$F$14*('ПЛАН ЧИСТ К2'!AA13*СПРАВОЧНИК!$L$14+'ПЛАН ЧИСТ К2'!AB13*СПРАВОЧНИК!$M$14+'ПЛАН ЧИСТ К2'!AC13*СПРАВОЧНИК!$N$14+'ПЛАН ЧИСТ К2'!AD13*СПРАВОЧНИК!$O$14+'ПЛАН ЧИСТ К2'!AE13*СПРАВОЧНИК!$P$14)+СПРАВОЧНИК!$E$15*('ПЛАН ЧЕРН К2'!T13*СПРАВОЧНИК!$H$15+'ПЛАН ЧЕРН К2'!U13*СПРАВОЧНИК!$I$15+'ПЛАН ЧЕРН К2'!V13*СПРАВОЧНИК!$J$15)+СПРАВОЧНИК!$F$15*('ПЛАН ЧИСТ К2'!AF13*СПРАВОЧНИК!$L$15+'ПЛАН ЧИСТ К2'!AG13*СПРАВОЧНИК!$M$15+'ПЛАН ЧИСТ К2'!AH13*СПРАВОЧНИК!$N$15+'ПЛАН ЧИСТ К2'!AI13*СПРАВОЧНИК!$O$15+'ПЛАН ЧИСТ К2'!AJ13*СПРАВОЧНИК!$P$15)</f>
        <v/>
      </c>
      <c r="AN22" s="31">
        <f>СПРАВОЧНИК!$E$9*('ФАКТ ЧЕРН К2'!B13*СПРАВОЧНИК!$H$9+'ФАКТ ЧЕРН К2'!C13*СПРАВОЧНИК!$I$9+'ФАКТ ЧЕРН К2'!D13*СПРАВОЧНИК!$J$9)+СПРАВОЧНИК!$F$9*('ФАКТ ЧИСТ К2'!B13*СПРАВОЧНИК!$L$9+'ФАКТ ЧИСТ К2'!C13*СПРАВОЧНИК!$M$9+'ФАКТ ЧИСТ К2'!D13*СПРАВОЧНИК!$N$9+'ФАКТ ЧИСТ К2'!E13*СПРАВОЧНИК!$O$9+'ФАКТ ЧИСТ К2'!F13*СПРАВОЧНИК!$P$9)+СПРАВОЧНИК!$E$10*('ФАКТ ЧЕРН К2'!E13*СПРАВОЧНИК!$H$10+'ФАКТ ЧЕРН К2'!F13*СПРАВОЧНИК!$I$10+'ФАКТ ЧЕРН К2'!G13*СПРАВОЧНИК!$J$10)+СПРАВОЧНИК!$F$10*('ФАКТ ЧИСТ К2'!G13*СПРАВОЧНИК!$L$10+'ФАКТ ЧИСТ К2'!H13*СПРАВОЧНИК!$M$10+'ФАКТ ЧИСТ К2'!I13*СПРАВОЧНИК!$N$10+'ФАКТ ЧИСТ К2'!J13*СПРАВОЧНИК!$O$10+'ФАКТ ЧИСТ К2'!K13*СПРАВОЧНИК!$P$10)+СПРАВОЧНИК!$E$11*('ФАКТ ЧЕРН К2'!H13*СПРАВОЧНИК!$H$11+'ФАКТ ЧЕРН К2'!I13*СПРАВОЧНИК!$I$11+'ФАКТ ЧЕРН К2'!J13*СПРАВОЧНИК!$J$11)+СПРАВОЧНИК!$F$11*('ФАКТ ЧИСТ К2'!L13*СПРАВОЧНИК!$L$11+'ФАКТ ЧИСТ К2'!M13*СПРАВОЧНИК!$M$11+'ФАКТ ЧИСТ К2'!N13*СПРАВОЧНИК!$N$11+'ФАКТ ЧИСТ К2'!O13*СПРАВОЧНИК!$O$11+'ФАКТ ЧИСТ К2'!P13*СПРАВОЧНИК!$P$11)+СПРАВОЧНИК!$E$12*('ФАКТ ЧЕРН К2'!K13*СПРАВОЧНИК!$H$12+'ФАКТ ЧЕРН К2'!L13*СПРАВОЧНИК!$I$12+'ФАКТ ЧЕРН К2'!M13*СПРАВОЧНИК!$J$12)+СПРАВОЧНИК!$F$12*('ФАКТ ЧИСТ К2'!Q13*СПРАВОЧНИК!$L$12+'ФАКТ ЧИСТ К2'!R13*СПРАВОЧНИК!$M$12+'ФАКТ ЧИСТ К2'!S13*СПРАВОЧНИК!$N$12+'ФАКТ ЧИСТ К2'!T13*СПРАВОЧНИК!$O$12+'ФАКТ ЧИСТ К2'!U13*СПРАВОЧНИК!$P$12)+СПРАВОЧНИК!$E$13*('ФАКТ ЧЕРН К2'!N13*СПРАВОЧНИК!$H$13+'ФАКТ ЧЕРН К2'!O13*СПРАВОЧНИК!$I$13+'ФАКТ ЧЕРН К2'!P13*СПРАВОЧНИК!$J$13)+СПРАВОЧНИК!$F$13*('ФАКТ ЧИСТ К2'!V13*СПРАВОЧНИК!$L$13+'ФАКТ ЧИСТ К2'!W13*СПРАВОЧНИК!$M$13+'ФАКТ ЧИСТ К2'!X13*СПРАВОЧНИК!$N$13+'ФАКТ ЧИСТ К2'!Y13*СПРАВОЧНИК!$O$13+'ФАКТ ЧИСТ К2'!Z13*СПРАВОЧНИК!$P$13)+СПРАВОЧНИК!$E$14*('ФАКТ ЧЕРН К2'!Q13*СПРАВОЧНИК!$H$14+'ФАКТ ЧЕРН К2'!R13*СПРАВОЧНИК!$I$14+'ФАКТ ЧЕРН К2'!S13*СПРАВОЧНИК!$J$14)+СПРАВОЧНИК!$F$14*('ФАКТ ЧИСТ К2'!AA13*СПРАВОЧНИК!$L$14+'ФАКТ ЧИСТ К2'!AB13*СПРАВОЧНИК!$M$14+'ФАКТ ЧИСТ К2'!AC13*СПРАВОЧНИК!$N$14+'ФАКТ ЧИСТ К2'!AD13*СПРАВОЧНИК!$O$14+'ФАКТ ЧИСТ К2'!AE13*СПРАВОЧНИК!$P$14)+СПРАВОЧНИК!$E$15*('ФАКТ ЧЕРН К2'!T13*СПРАВОЧНИК!$H$15+'ФАКТ ЧЕРН К2'!U13*СПРАВОЧНИК!$I$15+'ФАКТ ЧЕРН К2'!V13*СПРАВОЧНИК!$J$15)+СПРАВОЧНИК!$F$15*('ФАКТ ЧИСТ К2'!AF13*СПРАВОЧНИК!$L$15+'ФАКТ ЧИСТ К2'!AG13*СПРАВОЧНИК!$M$15+'ФАКТ ЧИСТ К2'!AH13*СПРАВОЧНИК!$N$15+'ФАКТ ЧИСТ К2'!AI13*СПРАВОЧНИК!$O$15+'ФАКТ ЧИСТ К2'!AJ13*СПРАВОЧНИК!$P$15)</f>
        <v/>
      </c>
      <c r="AO22" s="34" t="n"/>
      <c r="AR22" s="152">
        <f>AR21+7</f>
        <v/>
      </c>
      <c r="AS22" s="17">
        <f>'ПЛАН ЧЕРН К2'!B13*СПРАВОЧНИК!$H$9+'ПЛАН ЧЕРН К2'!C13*СПРАВОЧНИК!$I$9+'ПЛАН ЧЕРН К2'!D13*СПРАВОЧНИК!$J$9+'ПЛАН ЧЕРН К2'!E13*СПРАВОЧНИК!$H$10+'ПЛАН ЧЕРН К2'!F13*СПРАВОЧНИК!$I$10+'ПЛАН ЧЕРН К2'!G13*СПРАВОЧНИК!$J$10+'ПЛАН ЧЕРН К2'!H13*СПРАВОЧНИК!$H$11+'ПЛАН ЧЕРН К2'!I13*СПРАВОЧНИК!$I$11+'ПЛАН ЧЕРН К2'!J13*СПРАВОЧНИК!$J$11+'ПЛАН ЧЕРН К2'!K13*СПРАВОЧНИК!$H$12+'ПЛАН ЧЕРН К2'!L13*СПРАВОЧНИК!$I$12+'ПЛАН ЧЕРН К2'!M13*СПРАВОЧНИК!$J$12+'ПЛАН ЧЕРН К2'!N13*СПРАВОЧНИК!$H$13+'ПЛАН ЧЕРН К2'!O13*СПРАВОЧНИК!$I$13+'ПЛАН ЧЕРН К2'!P13*СПРАВОЧНИК!$J$13+'ПЛАН ЧЕРН К2'!Q13*СПРАВОЧНИК!$H$14+'ПЛАН ЧЕРН К2'!R13*СПРАВОЧНИК!$I$14+'ПЛАН ЧЕРН К2'!S13*СПРАВОЧНИК!$J$14+'ПЛАН ЧЕРН К2'!T13*СПРАВОЧНИК!$H$15+'ПЛАН ЧЕРН К2'!U13*СПРАВОЧНИК!$I$15+'ПЛАН ЧЕРН К2'!V13*СПРАВОЧНИК!$J$15</f>
        <v/>
      </c>
      <c r="AT22" s="31">
        <f>('ФАКТ ЧЕРН К2'!B13)*СПРАВОЧНИК!$H$9+('ФАКТ ЧЕРН К2'!C13)*СПРАВОЧНИК!$I$9+('ФАКТ ЧЕРН К2'!D13)*СПРАВОЧНИК!$J$9+('ФАКТ ЧЕРН К2'!E13)*СПРАВОЧНИК!$H$10+('ФАКТ ЧЕРН К2'!F13)*СПРАВОЧНИК!$I$10+('ФАКТ ЧЕРН К2'!G13)*СПРАВОЧНИК!$J$10+('ФАКТ ЧЕРН К2'!H13)*СПРАВОЧНИК!$H$11+('ФАКТ ЧЕРН К2'!I13)*СПРАВОЧНИК!$I$11+('ФАКТ ЧЕРН К2'!J13)*СПРАВОЧНИК!$J$11+('ФАКТ ЧЕРН К2'!K13)*СПРАВОЧНИК!$H$12+('ФАКТ ЧЕРН К2'!L13)*СПРАВОЧНИК!$I$12+('ФАКТ ЧЕРН К2'!M13)*СПРАВОЧНИК!$J$12+('ФАКТ ЧЕРН К2'!N13)*СПРАВОЧНИК!$H$13+('ФАКТ ЧЕРН К2'!O13)*СПРАВОЧНИК!$I$13+('ФАКТ ЧЕРН К2'!P13)*СПРАВОЧНИК!$J$13+('ФАКТ ЧЕРН К2'!Q13)*СПРАВОЧНИК!$H$14+('ФАКТ ЧЕРН К2'!R13)*СПРАВОЧНИК!$I$14+('ФАКТ ЧЕРН К2'!S13)*СПРАВОЧНИК!$J$14+('ФАКТ ЧЕРН К2'!T13)*СПРАВОЧНИК!$H$15+('ФАКТ ЧЕРН К2'!U13)*СПРАВОЧНИК!$I$15+('ФАКТ ЧЕРН К2'!V13)*СПРАВОЧНИК!$J$15</f>
        <v/>
      </c>
      <c r="AU22" s="34" t="n"/>
      <c r="AX22" s="152">
        <f>AX21+7</f>
        <v/>
      </c>
      <c r="AY22" s="17">
        <f>'ПЛАН ЧИСТ К2'!B13*СПРАВОЧНИК!$L$9+'ПЛАН ЧИСТ К2'!C13*СПРАВОЧНИК!$M$9+'ПЛАН ЧИСТ К2'!D13*СПРАВОЧНИК!$N$9+'ПЛАН ЧИСТ К2'!E13*СПРАВОЧНИК!$O$9+'ПЛАН ЧИСТ К2'!F13*СПРАВОЧНИК!$P$9+'ПЛАН ЧИСТ К2'!G13*СПРАВОЧНИК!$L$10+'ПЛАН ЧИСТ К2'!H13*СПРАВОЧНИК!$M$10+'ПЛАН ЧИСТ К2'!I13*СПРАВОЧНИК!$N$10+'ПЛАН ЧИСТ К2'!J13*СПРАВОЧНИК!$O$10+'ПЛАН ЧИСТ К2'!K13*СПРАВОЧНИК!$P$10+'ПЛАН ЧИСТ К2'!L13*СПРАВОЧНИК!$L$11+'ПЛАН ЧИСТ К2'!M13*СПРАВОЧНИК!$M$11+'ПЛАН ЧИСТ К2'!N13*СПРАВОЧНИК!$N$11+'ПЛАН ЧИСТ К2'!O13*СПРАВОЧНИК!$O$11+'ПЛАН ЧИСТ К2'!P13*СПРАВОЧНИК!$P$11+'ПЛАН ЧИСТ К2'!Q13*СПРАВОЧНИК!$L$12+'ПЛАН ЧИСТ К2'!R13*СПРАВОЧНИК!$M$12+'ПЛАН ЧИСТ К2'!S13*СПРАВОЧНИК!$N$12+'ПЛАН ЧИСТ К2'!T13*СПРАВОЧНИК!$O$12+'ПЛАН ЧИСТ К2'!U13*СПРАВОЧНИК!$P$12+'ПЛАН ЧИСТ К2'!V13*СПРАВОЧНИК!$L$13+'ПЛАН ЧИСТ К2'!W13*СПРАВОЧНИК!$M$13+'ПЛАН ЧИСТ К2'!X13*СПРАВОЧНИК!$N$13+'ПЛАН ЧИСТ К2'!Y13*СПРАВОЧНИК!$O$13+'ПЛАН ЧИСТ К2'!Z13*СПРАВОЧНИК!$P$13+'ПЛАН ЧИСТ К2'!AA13*СПРАВОЧНИК!$L$14+'ПЛАН ЧИСТ К2'!AB13*СПРАВОЧНИК!$M$14+'ПЛАН ЧИСТ К2'!AC13*СПРАВОЧНИК!$N$14+'ПЛАН ЧИСТ К2'!AD13*СПРАВОЧНИК!$O$14+'ПЛАН ЧИСТ К2'!AE13*СПРАВОЧНИК!$P$14+'ПЛАН ЧИСТ К2'!AF13*СПРАВОЧНИК!$L$15+'ПЛАН ЧИСТ К2'!AG13*СПРАВОЧНИК!$M$15+'ПЛАН ЧИСТ К2'!AH13*СПРАВОЧНИК!$N$15+'ПЛАН ЧИСТ К2'!AI13*СПРАВОЧНИК!$O$15+'ПЛАН ЧИСТ К2'!AJ13*СПРАВОЧНИК!$P$15</f>
        <v/>
      </c>
      <c r="AZ22" s="31">
        <f>('ФАКТ ЧИСТ К2'!B13)*СПРАВОЧНИК!$L$9+('ФАКТ ЧИСТ К2'!C13)*СПРАВОЧНИК!$M$9+('ФАКТ ЧИСТ К2'!D13)*СПРАВОЧНИК!$N$9+('ФАКТ ЧИСТ К2'!E13)*СПРАВОЧНИК!$O$9+('ФАКТ ЧИСТ К2'!F13)*СПРАВОЧНИК!$P$9+('ФАКТ ЧИСТ К2'!G13)*СПРАВОЧНИК!$L$10+('ФАКТ ЧИСТ К2'!H13)*СПРАВОЧНИК!$M$10+('ФАКТ ЧИСТ К2'!I13)*СПРАВОЧНИК!$N$10+('ФАКТ ЧИСТ К2'!J13)*СПРАВОЧНИК!$O$10+('ФАКТ ЧИСТ К2'!K13)*СПРАВОЧНИК!$P$10+('ФАКТ ЧИСТ К2'!L13)*СПРАВОЧНИК!$L$11+('ФАКТ ЧИСТ К2'!M13)*СПРАВОЧНИК!$M$11+('ФАКТ ЧИСТ К2'!N13)*СПРАВОЧНИК!$N$11+('ФАКТ ЧИСТ К2'!O13)*СПРАВОЧНИК!$O$11+('ФАКТ ЧИСТ К2'!P13)*СПРАВОЧНИК!$P$11+('ФАКТ ЧИСТ К2'!Q13)*СПРАВОЧНИК!$L$12+('ФАКТ ЧИСТ К2'!R13)*СПРАВОЧНИК!$M$12+('ФАКТ ЧИСТ К2'!S13)*СПРАВОЧНИК!$N$12+('ФАКТ ЧИСТ К2'!T13)*СПРАВОЧНИК!$O$12+('ФАКТ ЧИСТ К2'!U13)*СПРАВОЧНИК!$P$12+('ФАКТ ЧИСТ К2'!V13)*СПРАВОЧНИК!$L$13+('ФАКТ ЧИСТ К2'!W13)*СПРАВОЧНИК!$M$13+('ФАКТ ЧИСТ К2'!X13)*СПРАВОЧНИК!$N$13+('ФАКТ ЧИСТ К2'!Y13)*СПРАВОЧНИК!$O$13+('ФАКТ ЧИСТ К2'!Z13)*СПРАВОЧНИК!$P$13+('ФАКТ ЧИСТ К2'!AA13)*СПРАВОЧНИК!$L$14+('ФАКТ ЧИСТ К2'!AB13)*СПРАВОЧНИК!$M$14+('ФАКТ ЧИСТ К2'!AC13)*СПРАВОЧНИК!$N$14+('ФАКТ ЧИСТ К2'!AD13)*СПРАВОЧНИК!$O$14+('ФАКТ ЧИСТ К2'!AE13)*СПРАВОЧНИК!$P$14+('ФАКТ ЧИСТ К2'!AF13)*СПРАВОЧНИК!$L$15+('ФАКТ ЧИСТ К2'!AG13)*СПРАВОЧНИК!$M$15+('ФАКТ ЧИСТ К2'!AH13)*СПРАВОЧНИК!$N$15+('ФАКТ ЧИСТ К2'!AI13)*СПРАВОЧНИК!$O$15+('ФАКТ ЧИСТ К2'!AJ13)*СПРАВОЧНИК!$P$15</f>
        <v/>
      </c>
      <c r="BA22" s="34" t="n"/>
      <c r="BD22" s="152">
        <f>BD21+7</f>
        <v/>
      </c>
      <c r="BE22" s="17">
        <f>СПРАВОЧНИК!$E$9*('ПЛАН ЧЕРН К3'!B13*СПРАВОЧНИК!$H$9+'ПЛАН ЧЕРН К3'!C13*СПРАВОЧНИК!$I$9+'ПЛАН ЧЕРН К3'!D13*СПРАВОЧНИК!$J$9)+СПРАВОЧНИК!$F$9*('ПЛАН ЧИСТ К3'!B13*СПРАВОЧНИК!$L$9+'ПЛАН ЧИСТ К3'!C13*СПРАВОЧНИК!$M$9+'ПЛАН ЧИСТ К3'!D13*СПРАВОЧНИК!$N$9+'ПЛАН ЧИСТ К3'!E13*СПРАВОЧНИК!$O$9+'ПЛАН ЧИСТ К3'!F13*СПРАВОЧНИК!$P$9)+СПРАВОЧНИК!$E$10*('ПЛАН ЧЕРН К3'!E13*СПРАВОЧНИК!$H$10+'ПЛАН ЧЕРН К3'!F13*СПРАВОЧНИК!$I$10+'ПЛАН ЧЕРН К3'!G13*СПРАВОЧНИК!$J$10)+СПРАВОЧНИК!$F$10*('ПЛАН ЧИСТ К3'!G13*СПРАВОЧНИК!$L$10+'ПЛАН ЧИСТ К3'!H13*СПРАВОЧНИК!$M$10+'ПЛАН ЧИСТ К3'!I13*СПРАВОЧНИК!$N$10+'ПЛАН ЧИСТ К3'!J13*СПРАВОЧНИК!$O$10+'ПЛАН ЧИСТ К3'!K13*СПРАВОЧНИК!$P$10)+СПРАВОЧНИК!$E$11*('ПЛАН ЧЕРН К3'!H13*СПРАВОЧНИК!$H$11+'ПЛАН ЧЕРН К3'!I13*СПРАВОЧНИК!$I$11+'ПЛАН ЧЕРН К3'!J13*СПРАВОЧНИК!$J$11)+СПРАВОЧНИК!$F$11*('ПЛАН ЧИСТ К3'!L13*СПРАВОЧНИК!$L$11+'ПЛАН ЧИСТ К3'!M13*СПРАВОЧНИК!$M$11+'ПЛАН ЧИСТ К3'!N13*СПРАВОЧНИК!$N$11+'ПЛАН ЧИСТ К3'!O13*СПРАВОЧНИК!$O$11+'ПЛАН ЧИСТ К3'!P13*СПРАВОЧНИК!$P$11)+СПРАВОЧНИК!$E$12*('ПЛАН ЧЕРН К3'!K13*СПРАВОЧНИК!$H$12+'ПЛАН ЧЕРН К3'!L13*СПРАВОЧНИК!$I$12+'ПЛАН ЧЕРН К3'!M13*СПРАВОЧНИК!$J$12)+СПРАВОЧНИК!$F$12*('ПЛАН ЧИСТ К3'!Q13*СПРАВОЧНИК!$L$12+'ПЛАН ЧИСТ К3'!R13*СПРАВОЧНИК!$M$12+'ПЛАН ЧИСТ К3'!S13*СПРАВОЧНИК!$N$12+'ПЛАН ЧИСТ К3'!T13*СПРАВОЧНИК!$O$12+'ПЛАН ЧИСТ К3'!U13*СПРАВОЧНИК!$P$12)+СПРАВОЧНИК!$E$13*('ПЛАН ЧЕРН К3'!N13*СПРАВОЧНИК!$H$13+'ПЛАН ЧЕРН К3'!O13*СПРАВОЧНИК!$I$13+'ПЛАН ЧЕРН К3'!P13*СПРАВОЧНИК!$J$13)+СПРАВОЧНИК!$F$13*('ПЛАН ЧИСТ К3'!V13*СПРАВОЧНИК!$L$13+'ПЛАН ЧИСТ К3'!W13*СПРАВОЧНИК!$M$13+'ПЛАН ЧИСТ К3'!X13*СПРАВОЧНИК!$N$13+'ПЛАН ЧИСТ К3'!Y13*СПРАВОЧНИК!$O$13+'ПЛАН ЧИСТ К3'!Z13*СПРАВОЧНИК!$P$13)+СПРАВОЧНИК!$E$14*('ПЛАН ЧЕРН К3'!Q13*СПРАВОЧНИК!$H$14+'ПЛАН ЧЕРН К3'!R13*СПРАВОЧНИК!$I$14+'ПЛАН ЧЕРН К3'!S13*СПРАВОЧНИК!$J$14)+СПРАВОЧНИК!$F$14*('ПЛАН ЧИСТ К3'!AA13*СПРАВОЧНИК!$L$14+'ПЛАН ЧИСТ К3'!AB13*СПРАВОЧНИК!$M$14+'ПЛАН ЧИСТ К3'!AC13*СПРАВОЧНИК!$N$14+'ПЛАН ЧИСТ К3'!AD13*СПРАВОЧНИК!$O$14+'ПЛАН ЧИСТ К3'!AE13*СПРАВОЧНИК!$P$14)+СПРАВОЧНИК!$E$15*('ПЛАН ЧЕРН К3'!T13*СПРАВОЧНИК!$H$15+'ПЛАН ЧЕРН К3'!U13*СПРАВОЧНИК!$I$15+'ПЛАН ЧЕРН К3'!V13*СПРАВОЧНИК!$J$15)+СПРАВОЧНИК!$F$15*('ПЛАН ЧИСТ К3'!AF13*СПРАВОЧНИК!$L$15+'ПЛАН ЧИСТ К3'!AG13*СПРАВОЧНИК!$M$15+'ПЛАН ЧИСТ К3'!AH13*СПРАВОЧНИК!$N$15+'ПЛАН ЧИСТ К3'!AI13*СПРАВОЧНИК!$O$15+'ПЛАН ЧИСТ К3'!AJ13*СПРАВОЧНИК!$P$15)</f>
        <v/>
      </c>
      <c r="BF22" s="31">
        <f>СПРАВОЧНИК!$E$9*('ФАКТ ЧЕРН К3'!B13*СПРАВОЧНИК!$H$9+'ФАКТ ЧЕРН К3'!C13*СПРАВОЧНИК!$I$9+'ФАКТ ЧЕРН К3'!D13*СПРАВОЧНИК!$J$9)+СПРАВОЧНИК!$F$9*('ФАКТ ЧИСТ К3'!B13*СПРАВОЧНИК!$L$9+'ФАКТ ЧИСТ К3'!C13*СПРАВОЧНИК!$M$9+'ФАКТ ЧИСТ К3'!D13*СПРАВОЧНИК!$N$9+'ФАКТ ЧИСТ К3'!E13*СПРАВОЧНИК!$O$9+'ФАКТ ЧИСТ К3'!F13*СПРАВОЧНИК!$P$9)+СПРАВОЧНИК!$E$10*('ФАКТ ЧЕРН К3'!E13*СПРАВОЧНИК!$H$10+'ФАКТ ЧЕРН К3'!F13*СПРАВОЧНИК!$I$10+'ФАКТ ЧЕРН К3'!G13*СПРАВОЧНИК!$J$10)+СПРАВОЧНИК!$F$10*('ФАКТ ЧИСТ К3'!G13*СПРАВОЧНИК!$L$10+'ФАКТ ЧИСТ К3'!H13*СПРАВОЧНИК!$M$10+'ФАКТ ЧИСТ К3'!I13*СПРАВОЧНИК!$N$10+'ФАКТ ЧИСТ К3'!J13*СПРАВОЧНИК!$O$10+'ФАКТ ЧИСТ К3'!K13*СПРАВОЧНИК!$P$10)+СПРАВОЧНИК!$E$11*('ФАКТ ЧЕРН К3'!H13*СПРАВОЧНИК!$H$11+'ФАКТ ЧЕРН К3'!I13*СПРАВОЧНИК!$I$11+'ФАКТ ЧЕРН К3'!J13*СПРАВОЧНИК!$J$11)+СПРАВОЧНИК!$F$11*('ФАКТ ЧИСТ К3'!L13*СПРАВОЧНИК!$L$11+'ФАКТ ЧИСТ К3'!M13*СПРАВОЧНИК!$M$11+'ФАКТ ЧИСТ К3'!N13*СПРАВОЧНИК!$N$11+'ФАКТ ЧИСТ К3'!O13*СПРАВОЧНИК!$O$11+'ФАКТ ЧИСТ К3'!P13*СПРАВОЧНИК!$P$11)+СПРАВОЧНИК!$E$12*('ФАКТ ЧЕРН К3'!K13*СПРАВОЧНИК!$H$12+'ФАКТ ЧЕРН К3'!L13*СПРАВОЧНИК!$I$12+'ФАКТ ЧЕРН К3'!M13*СПРАВОЧНИК!$J$12)+СПРАВОЧНИК!$F$12*('ФАКТ ЧИСТ К3'!Q13*СПРАВОЧНИК!$L$12+'ФАКТ ЧИСТ К3'!R13*СПРАВОЧНИК!$M$12+'ФАКТ ЧИСТ К3'!S13*СПРАВОЧНИК!$N$12+'ФАКТ ЧИСТ К3'!T13*СПРАВОЧНИК!$O$12+'ФАКТ ЧИСТ К3'!U13*СПРАВОЧНИК!$P$12)+СПРАВОЧНИК!$E$13*('ФАКТ ЧЕРН К3'!N13*СПРАВОЧНИК!$H$13+'ФАКТ ЧЕРН К3'!O13*СПРАВОЧНИК!$I$13+'ФАКТ ЧЕРН К3'!P13*СПРАВОЧНИК!$J$13)+СПРАВОЧНИК!$F$13*('ФАКТ ЧИСТ К3'!V13*СПРАВОЧНИК!$L$13+'ФАКТ ЧИСТ К3'!W13*СПРАВОЧНИК!$M$13+'ФАКТ ЧИСТ К3'!X13*СПРАВОЧНИК!$N$13+'ФАКТ ЧИСТ К3'!Y13*СПРАВОЧНИК!$O$13+'ФАКТ ЧИСТ К3'!Z13*СПРАВОЧНИК!$P$13)+СПРАВОЧНИК!$E$14*('ФАКТ ЧЕРН К3'!Q13*СПРАВОЧНИК!$H$14+'ФАКТ ЧЕРН К3'!R13*СПРАВОЧНИК!$I$14+'ФАКТ ЧЕРН К3'!S13*СПРАВОЧНИК!$J$14)+СПРАВОЧНИК!$F$14*('ФАКТ ЧИСТ К3'!AA13*СПРАВОЧНИК!$L$14+'ФАКТ ЧИСТ К3'!AB13*СПРАВОЧНИК!$M$14+'ФАКТ ЧИСТ К3'!AC13*СПРАВОЧНИК!$N$14+'ФАКТ ЧИСТ К3'!AD13*СПРАВОЧНИК!$O$14+'ФАКТ ЧИСТ К3'!AE13*СПРАВОЧНИК!$P$14)+СПРАВОЧНИК!$E$15*('ФАКТ ЧЕРН К3'!T13*СПРАВОЧНИК!$H$15+'ФАКТ ЧЕРН К3'!U13*СПРАВОЧНИК!$I$15+'ФАКТ ЧЕРН К3'!V13*СПРАВОЧНИК!$J$15)+СПРАВОЧНИК!$F$15*('ФАКТ ЧИСТ К3'!AF13*СПРАВОЧНИК!$L$15+'ФАКТ ЧИСТ К3'!AG13*СПРАВОЧНИК!$M$15+'ФАКТ ЧИСТ К3'!AH13*СПРАВОЧНИК!$N$15+'ФАКТ ЧИСТ К3'!AI13*СПРАВОЧНИК!$O$15+'ФАКТ ЧИСТ К3'!AJ13*СПРАВОЧНИК!$P$15)</f>
        <v/>
      </c>
      <c r="BG22" s="34" t="n"/>
      <c r="BJ22" s="152">
        <f>BJ21+7</f>
        <v/>
      </c>
      <c r="BK22" s="17">
        <f>'ПЛАН ЧЕРН К3'!B13*СПРАВОЧНИК!$H$9+'ПЛАН ЧЕРН К3'!C13*СПРАВОЧНИК!$I$9+'ПЛАН ЧЕРН К3'!D13*СПРАВОЧНИК!$J$9+'ПЛАН ЧЕРН К3'!E13*СПРАВОЧНИК!$H$10+'ПЛАН ЧЕРН К3'!F13*СПРАВОЧНИК!$I$10+'ПЛАН ЧЕРН К3'!G13*СПРАВОЧНИК!$J$10+'ПЛАН ЧЕРН К3'!H13*СПРАВОЧНИК!$H$11+'ПЛАН ЧЕРН К3'!I13*СПРАВОЧНИК!$I$11+'ПЛАН ЧЕРН К3'!J13*СПРАВОЧНИК!$J$11+'ПЛАН ЧЕРН К3'!K13*СПРАВОЧНИК!$H$12+'ПЛАН ЧЕРН К3'!L13*СПРАВОЧНИК!$I$12+'ПЛАН ЧЕРН К3'!M13*СПРАВОЧНИК!$J$12+'ПЛАН ЧЕРН К3'!N13*СПРАВОЧНИК!$H$13+'ПЛАН ЧЕРН К3'!O13*СПРАВОЧНИК!$I$13+'ПЛАН ЧЕРН К3'!P13*СПРАВОЧНИК!$J$13+'ПЛАН ЧЕРН К3'!Q13*СПРАВОЧНИК!$H$14+'ПЛАН ЧЕРН К3'!R13*СПРАВОЧНИК!$I$14+'ПЛАН ЧЕРН К3'!S13*СПРАВОЧНИК!$J$14+'ПЛАН ЧЕРН К3'!T13*СПРАВОЧНИК!$H$15+'ПЛАН ЧЕРН К3'!U13*СПРАВОЧНИК!$I$15+'ПЛАН ЧЕРН К3'!V13*СПРАВОЧНИК!$J$15</f>
        <v/>
      </c>
      <c r="BL22" s="31">
        <f>('ФАКТ ЧЕРН К3'!B13)*СПРАВОЧНИК!$H$9+('ФАКТ ЧЕРН К3'!C13)*СПРАВОЧНИК!$I$9+('ФАКТ ЧЕРН К3'!D13)*СПРАВОЧНИК!$J$9+('ФАКТ ЧЕРН К3'!E13)*СПРАВОЧНИК!$H$10+('ФАКТ ЧЕРН К3'!F13)*СПРАВОЧНИК!$I$10+('ФАКТ ЧЕРН К3'!G13)*СПРАВОЧНИК!$J$10+('ФАКТ ЧЕРН К3'!H13)*СПРАВОЧНИК!$H$11+('ФАКТ ЧЕРН К3'!I13)*СПРАВОЧНИК!$I$11+('ФАКТ ЧЕРН К3'!J13)*СПРАВОЧНИК!$J$11+('ФАКТ ЧЕРН К3'!K13)*СПРАВОЧНИК!$H$12+('ФАКТ ЧЕРН К3'!L13)*СПРАВОЧНИК!$I$12+('ФАКТ ЧЕРН К3'!M13)*СПРАВОЧНИК!$J$12+('ФАКТ ЧЕРН К3'!N13)*СПРАВОЧНИК!$H$13+('ФАКТ ЧЕРН К3'!O13)*СПРАВОЧНИК!$I$13+('ФАКТ ЧЕРН К3'!P13)*СПРАВОЧНИК!$J$13+('ФАКТ ЧЕРН К3'!Q13)*СПРАВОЧНИК!$H$14+('ФАКТ ЧЕРН К3'!R13)*СПРАВОЧНИК!$I$14+('ФАКТ ЧЕРН К3'!S13)*СПРАВОЧНИК!$J$14+('ФАКТ ЧЕРН К3'!T13)*СПРАВОЧНИК!$H$15+('ФАКТ ЧЕРН К3'!U13)*СПРАВОЧНИК!$I$15+('ФАКТ ЧЕРН К3'!V13)*СПРАВОЧНИК!$J$15</f>
        <v/>
      </c>
      <c r="BM22" s="34" t="n"/>
      <c r="BP22" s="152">
        <f>BP21+7</f>
        <v/>
      </c>
      <c r="BQ22" s="17">
        <f>'ПЛАН ЧИСТ К3'!B13*СПРАВОЧНИК!$L$9+'ПЛАН ЧИСТ К3'!C13*СПРАВОЧНИК!$M$9+'ПЛАН ЧИСТ К3'!D13*СПРАВОЧНИК!$N$9+'ПЛАН ЧИСТ К3'!E13*СПРАВОЧНИК!$O$9+'ПЛАН ЧИСТ К3'!F13*СПРАВОЧНИК!$P$9+'ПЛАН ЧИСТ К3'!G13*СПРАВОЧНИК!$L$10+'ПЛАН ЧИСТ К3'!H13*СПРАВОЧНИК!$M$10+'ПЛАН ЧИСТ К3'!I13*СПРАВОЧНИК!$N$10+'ПЛАН ЧИСТ К3'!J13*СПРАВОЧНИК!$O$10+'ПЛАН ЧИСТ К3'!K13*СПРАВОЧНИК!$P$10+'ПЛАН ЧИСТ К3'!L13*СПРАВОЧНИК!$L$11+'ПЛАН ЧИСТ К3'!M13*СПРАВОЧНИК!$M$11+'ПЛАН ЧИСТ К3'!N13*СПРАВОЧНИК!$N$11+'ПЛАН ЧИСТ К3'!O13*СПРАВОЧНИК!$O$11+'ПЛАН ЧИСТ К3'!P13*СПРАВОЧНИК!$P$11+'ПЛАН ЧИСТ К3'!Q13*СПРАВОЧНИК!$L$12+'ПЛАН ЧИСТ К3'!R13*СПРАВОЧНИК!$M$12+'ПЛАН ЧИСТ К3'!S13*СПРАВОЧНИК!$N$12+'ПЛАН ЧИСТ К3'!T13*СПРАВОЧНИК!$O$12+'ПЛАН ЧИСТ К3'!U13*СПРАВОЧНИК!$P$12+'ПЛАН ЧИСТ К3'!V13*СПРАВОЧНИК!$L$13+'ПЛАН ЧИСТ К3'!W13*СПРАВОЧНИК!$M$13+'ПЛАН ЧИСТ К3'!X13*СПРАВОЧНИК!$N$13+'ПЛАН ЧИСТ К3'!Y13*СПРАВОЧНИК!$O$13+'ПЛАН ЧИСТ К3'!Z13*СПРАВОЧНИК!$P$13+'ПЛАН ЧИСТ К3'!AA13*СПРАВОЧНИК!$L$14+'ПЛАН ЧИСТ К3'!AB13*СПРАВОЧНИК!$M$14+'ПЛАН ЧИСТ К3'!AC13*СПРАВОЧНИК!$N$14+'ПЛАН ЧИСТ К3'!AD13*СПРАВОЧНИК!$O$14+'ПЛАН ЧИСТ К3'!AE13*СПРАВОЧНИК!$P$14+'ПЛАН ЧИСТ К3'!AF13*СПРАВОЧНИК!$L$15+'ПЛАН ЧИСТ К3'!AG13*СПРАВОЧНИК!$M$15+'ПЛАН ЧИСТ К3'!AH13*СПРАВОЧНИК!$N$15+'ПЛАН ЧИСТ К3'!AI13*СПРАВОЧНИК!$O$15+'ПЛАН ЧИСТ К3'!AJ13*СПРАВОЧНИК!$P$15</f>
        <v/>
      </c>
      <c r="BR22" s="31">
        <f>('ФАКТ ЧИСТ К3'!B13)*СПРАВОЧНИК!$L$9+('ФАКТ ЧИСТ К3'!C13)*СПРАВОЧНИК!$M$9+('ФАКТ ЧИСТ К3'!D13)*СПРАВОЧНИК!$N$9+('ФАКТ ЧИСТ К3'!E13)*СПРАВОЧНИК!$O$9+('ФАКТ ЧИСТ К3'!F13)*СПРАВОЧНИК!$P$9+('ФАКТ ЧИСТ К3'!G13)*СПРАВОЧНИК!$L$10+('ФАКТ ЧИСТ К3'!H13)*СПРАВОЧНИК!$M$10+('ФАКТ ЧИСТ К3'!I13)*СПРАВОЧНИК!$N$10+('ФАКТ ЧИСТ К3'!J13)*СПРАВОЧНИК!$O$10+('ФАКТ ЧИСТ К3'!K13)*СПРАВОЧНИК!$P$10+('ФАКТ ЧИСТ К3'!L13)*СПРАВОЧНИК!$L$11+('ФАКТ ЧИСТ К3'!M13)*СПРАВОЧНИК!$M$11+('ФАКТ ЧИСТ К3'!N13)*СПРАВОЧНИК!$N$11+('ФАКТ ЧИСТ К3'!O13)*СПРАВОЧНИК!$O$11+('ФАКТ ЧИСТ К3'!P13)*СПРАВОЧНИК!$P$11+('ФАКТ ЧИСТ К3'!Q13)*СПРАВОЧНИК!$L$12+('ФАКТ ЧИСТ К3'!R13)*СПРАВОЧНИК!$M$12+('ФАКТ ЧИСТ К3'!S13)*СПРАВОЧНИК!$N$12+('ФАКТ ЧИСТ К3'!T13)*СПРАВОЧНИК!$O$12+('ФАКТ ЧИСТ К3'!U13)*СПРАВОЧНИК!$P$12+('ФАКТ ЧИСТ К3'!V13)*СПРАВОЧНИК!$L$13+('ФАКТ ЧИСТ К3'!W13)*СПРАВОЧНИК!$M$13+('ФАКТ ЧИСТ К3'!X13)*СПРАВОЧНИК!$N$13+('ФАКТ ЧИСТ К3'!Y13)*СПРАВОЧНИК!$O$13+('ФАКТ ЧИСТ К3'!Z13)*СПРАВОЧНИК!$P$13+('ФАКТ ЧИСТ К3'!AA13)*СПРАВОЧНИК!$L$14+('ФАКТ ЧИСТ К3'!AB13)*СПРАВОЧНИК!$M$14+('ФАКТ ЧИСТ К3'!AC13)*СПРАВОЧНИК!$N$14+('ФАКТ ЧИСТ К3'!AD13)*СПРАВОЧНИК!$O$14+('ФАКТ ЧИСТ К3'!AE13)*СПРАВОЧНИК!$P$14+('ФАКТ ЧИСТ К3'!AF13)*СПРАВОЧНИК!$L$15+('ФАКТ ЧИСТ К3'!AG13)*СПРАВОЧНИК!$M$15+('ФАКТ ЧИСТ К3'!AH13)*СПРАВОЧНИК!$N$15+('ФАКТ ЧИСТ К3'!AI13)*СПРАВОЧНИК!$O$15+('ФАКТ ЧИСТ К3'!AJ13)*СПРАВОЧНИК!$P$15</f>
        <v/>
      </c>
      <c r="BS22" s="34" t="n"/>
      <c r="BV22" s="152">
        <f>BV21+7</f>
        <v/>
      </c>
      <c r="BW22" s="17">
        <f>U22*СПРАВОЧНИК!$K$28+AM22*СПРАВОЧНИК!$K$29+BE22*СПРАВОЧНИК!$K$30</f>
        <v/>
      </c>
      <c r="BX22" s="31">
        <f>V22*СПРАВОЧНИК!$K$28+AN22*СПРАВОЧНИК!$K$29+BF22*СПРАВОЧНИК!$K$30</f>
        <v/>
      </c>
      <c r="BY22" s="34" t="n"/>
      <c r="CB22" s="152">
        <f>CB21+7</f>
        <v/>
      </c>
      <c r="CC22" s="17">
        <f>AA22*СПРАВОЧНИК!$K$28+AS22*СПРАВОЧНИК!$K$29+BK22*СПРАВОЧНИК!$K$30</f>
        <v/>
      </c>
      <c r="CD22" s="31">
        <f>AB22*СПРАВОЧНИК!$K$28+AT22*СПРАВОЧНИК!$K$29+BL22*СПРАВОЧНИК!$K$30</f>
        <v/>
      </c>
      <c r="CE22" s="34" t="n"/>
      <c r="CH22" s="152">
        <f>CH21+7</f>
        <v/>
      </c>
      <c r="CI22" s="17">
        <f>AG22*СПРАВОЧНИК!$K$28+AY22*СПРАВОЧНИК!$K$29+BQ22*СПРАВОЧНИК!$K$30</f>
        <v/>
      </c>
      <c r="CJ22" s="31">
        <f>AH22*СПРАВОЧНИК!$K$28+AZ22*СПРАВОЧНИК!$K$29+BR22*СПРАВОЧНИК!$K$30</f>
        <v/>
      </c>
      <c r="CK22" s="34" t="n"/>
      <c r="CN22" s="152">
        <f>CN21+7</f>
        <v/>
      </c>
      <c r="CO22" s="17">
        <f>C22*СПРАВОЧНИК!$W$18+BW22*СПРАВОЧНИК!$W$19</f>
        <v/>
      </c>
      <c r="CP22" s="31">
        <f>D22*СПРАВОЧНИК!$W$18+BX22*СПРАВОЧНИК!$W$19</f>
        <v/>
      </c>
      <c r="CQ22" s="34" t="n"/>
      <c r="CT22" s="152">
        <f>CT21+7</f>
        <v/>
      </c>
      <c r="CU22" s="17">
        <f>I22*СПРАВОЧНИК!$W$18+CC22*СПРАВОЧНИК!$W$19</f>
        <v/>
      </c>
      <c r="CV22" s="31">
        <f>J22*СПРАВОЧНИК!$W$18+CD22*СПРАВОЧНИК!$W$19</f>
        <v/>
      </c>
      <c r="CW22" s="34" t="n"/>
      <c r="CZ22" s="152">
        <f>CZ21+7</f>
        <v/>
      </c>
      <c r="DA22" s="17">
        <f>O22*СПРАВОЧНИК!$W$18+CI22*СПРАВОЧНИК!$W$19</f>
        <v/>
      </c>
      <c r="DB22" s="31">
        <f>P22*СПРАВОЧНИК!$W$18+CJ22*СПРАВОЧНИК!$W$19</f>
        <v/>
      </c>
      <c r="DC22" s="34" t="n"/>
    </row>
    <row r="23">
      <c r="B23" s="152">
        <f>B22+7</f>
        <v/>
      </c>
      <c r="C23" s="17">
        <f>СПРАВОЧНИК!$E$3*('ПЛАН ЧЕРН ПОДЗЕМ'!B14*СПРАВОЧНИК!$H$3+'ПЛАН ЧЕРН ПОДЗЕМ'!C14*СПРАВОЧНИК!$I$3+'ПЛАН ЧЕРН ПОДЗЕМ'!D14*СПРАВОЧНИК!$J$3)+СПРАВОЧНИК!$F$3*('ПЛАН ЧИСТ ПОДЗЕМ'!B14*СПРАВОЧНИК!$L$3+'ПЛАН ЧИСТ ПОДЗЕМ'!C14*СПРАВОЧНИК!$M$3+'ПЛАН ЧИСТ ПОДЗЕМ'!D14*СПРАВОЧНИК!$N$3+'ПЛАН ЧИСТ ПОДЗЕМ'!E14*СПРАВОЧНИК!$O$3+'ПЛАН ЧИСТ ПОДЗЕМ'!F14*СПРАВОЧНИК!$P$3)+СПРАВОЧНИК!$E$4*('ПЛАН ЧЕРН ПОДЗЕМ'!E14*СПРАВОЧНИК!$H$4+'ПЛАН ЧЕРН ПОДЗЕМ'!F14*СПРАВОЧНИК!$I$4+'ПЛАН ЧЕРН ПОДЗЕМ'!G14*СПРАВОЧНИК!$J$4)+СПРАВОЧНИК!$F$4*('ПЛАН ЧИСТ ПОДЗЕМ'!G14*СПРАВОЧНИК!$L$4+'ПЛАН ЧИСТ ПОДЗЕМ'!H14*СПРАВОЧНИК!$M$4+'ПЛАН ЧИСТ ПОДЗЕМ'!I14*СПРАВОЧНИК!$N$4+'ПЛАН ЧИСТ ПОДЗЕМ'!J14*СПРАВОЧНИК!$O$4+'ПЛАН ЧИСТ ПОДЗЕМ'!K14*СПРАВОЧНИК!$P$4)+СПРАВОЧНИК!$E$5*('ПЛАН ЧЕРН ПОДЗЕМ'!H14*СПРАВОЧНИК!$H$5+'ПЛАН ЧЕРН ПОДЗЕМ'!I14*СПРАВОЧНИК!$I$5+'ПЛАН ЧЕРН ПОДЗЕМ'!J14*СПРАВОЧНИК!$J$5)+СПРАВОЧНИК!$F$5*('ПЛАН ЧИСТ ПОДЗЕМ'!L14*СПРАВОЧНИК!$L$5+'ПЛАН ЧИСТ ПОДЗЕМ'!M14*СПРАВОЧНИК!$M$5+'ПЛАН ЧИСТ ПОДЗЕМ'!N14*СПРАВОЧНИК!$N$5+'ПЛАН ЧИСТ ПОДЗЕМ'!O14*СПРАВОЧНИК!$O$5+'ПЛАН ЧИСТ ПОДЗЕМ'!P14*СПРАВОЧНИК!$P$5)+СПРАВОЧНИК!$E$6*('ПЛАН ЧЕРН ПОДЗЕМ'!K14*СПРАВОЧНИК!$H$6+'ПЛАН ЧЕРН ПОДЗЕМ'!L14*СПРАВОЧНИК!$I$6+'ПЛАН ЧЕРН ПОДЗЕМ'!M14*СПРАВОЧНИК!$J$6)+СПРАВОЧНИК!$F$6*('ПЛАН ЧИСТ ПОДЗЕМ'!Q14*СПРАВОЧНИК!$L$6+'ПЛАН ЧИСТ ПОДЗЕМ'!R14*СПРАВОЧНИК!$M$6+'ПЛАН ЧИСТ ПОДЗЕМ'!S14*СПРАВОЧНИК!$N$6+'ПЛАН ЧИСТ ПОДЗЕМ'!T14*СПРАВОЧНИК!$O$6+'ПЛАН ЧИСТ ПОДЗЕМ'!U14*СПРАВОЧНИК!$P$6)+СПРАВОЧНИК!$E$7*('ПЛАН ЧЕРН ПОДЗЕМ'!N14*СПРАВОЧНИК!$H$7+'ПЛАН ЧЕРН ПОДЗЕМ'!O14*СПРАВОЧНИК!$I$7+'ПЛАН ЧЕРН ПОДЗЕМ'!P14*СПРАВОЧНИК!$J$7)+СПРАВОЧНИК!$F$7*('ПЛАН ЧИСТ ПОДЗЕМ'!V14*СПРАВОЧНИК!$L$7+'ПЛАН ЧИСТ ПОДЗЕМ'!W14*СПРАВОЧНИК!$M$7+'ПЛАН ЧИСТ ПОДЗЕМ'!X14*СПРАВОЧНИК!$N$7+'ПЛАН ЧИСТ ПОДЗЕМ'!Y14*СПРАВОЧНИК!$O$7+'ПЛАН ЧИСТ ПОДЗЕМ'!Z14*СПРАВОЧНИК!$P$7)+СПРАВОЧНИК!$E$8*('ПЛАН ЧЕРН ПОДЗЕМ'!Q14*СПРАВОЧНИК!$H$8+'ПЛАН ЧЕРН ПОДЗЕМ'!R14*СПРАВОЧНИК!$I$8+'ПЛАН ЧЕРН ПОДЗЕМ'!S14*СПРАВОЧНИК!$J$8)+СПРАВОЧНИК!$F$8*('ПЛАН ЧИСТ ПОДЗЕМ'!AA14*СПРАВОЧНИК!$L$8+'ПЛАН ЧИСТ ПОДЗЕМ'!AB14*СПРАВОЧНИК!$M$8+'ПЛАН ЧИСТ ПОДЗЕМ'!AC14*СПРАВОЧНИК!$N$8+'ПЛАН ЧИСТ ПОДЗЕМ'!AD14*СПРАВОЧНИК!$O$8+'ПЛАН ЧИСТ ПОДЗЕМ'!AE14*СПРАВОЧНИК!$P$8)</f>
        <v/>
      </c>
      <c r="D23" s="31">
        <f>СПРАВОЧНИК!$E$3*('ФАКТ ЧЕРН ПОДЗЕМ'!B14*СПРАВОЧНИК!$H$3+'ФАКТ ЧЕРН ПОДЗЕМ'!C14*СПРАВОЧНИК!$I$3+'ФАКТ ЧЕРН ПОДЗЕМ'!D14*СПРАВОЧНИК!$J$3)+СПРАВОЧНИК!$F$3*('ФАКТ ЧИСТ ПОДЗЕМ'!B14*СПРАВОЧНИК!$L$3+'ФАКТ ЧИСТ ПОДЗЕМ'!C14*СПРАВОЧНИК!$M$3+'ФАКТ ЧИСТ ПОДЗЕМ'!D14*СПРАВОЧНИК!$N$3+'ФАКТ ЧИСТ ПОДЗЕМ'!E14*СПРАВОЧНИК!$O$3+'ФАКТ ЧИСТ ПОДЗЕМ'!F14*СПРАВОЧНИК!$P$3)+СПРАВОЧНИК!$E$4*('ФАКТ ЧЕРН ПОДЗЕМ'!E14*СПРАВОЧНИК!$H$4+'ФАКТ ЧЕРН ПОДЗЕМ'!F14*СПРАВОЧНИК!$I$4+'ФАКТ ЧЕРН ПОДЗЕМ'!G14*СПРАВОЧНИК!$J$4)+СПРАВОЧНИК!$F$4*('ФАКТ ЧИСТ ПОДЗЕМ'!G14*СПРАВОЧНИК!$L$4+'ФАКТ ЧИСТ ПОДЗЕМ'!H14*СПРАВОЧНИК!$M$4+'ФАКТ ЧИСТ ПОДЗЕМ'!I14*СПРАВОЧНИК!$N$4+'ФАКТ ЧИСТ ПОДЗЕМ'!J14*СПРАВОЧНИК!$O$4+'ФАКТ ЧИСТ ПОДЗЕМ'!K14*СПРАВОЧНИК!$P$4)+СПРАВОЧНИК!$E$5*('ФАКТ ЧЕРН ПОДЗЕМ'!H14*СПРАВОЧНИК!$H$5+'ФАКТ ЧЕРН ПОДЗЕМ'!I14*СПРАВОЧНИК!$I$5+'ФАКТ ЧЕРН ПОДЗЕМ'!J14*СПРАВОЧНИК!$J$5)+СПРАВОЧНИК!$F$5*('ФАКТ ЧИСТ ПОДЗЕМ'!L14*СПРАВОЧНИК!$L$5+'ФАКТ ЧИСТ ПОДЗЕМ'!M14*СПРАВОЧНИК!$M$5+'ФАКТ ЧИСТ ПОДЗЕМ'!N14*СПРАВОЧНИК!$N$5+'ФАКТ ЧИСТ ПОДЗЕМ'!O14*СПРАВОЧНИК!$O$5+'ФАКТ ЧИСТ ПОДЗЕМ'!P14*СПРАВОЧНИК!$P$5)+СПРАВОЧНИК!$E$6*('ФАКТ ЧЕРН ПОДЗЕМ'!K14*СПРАВОЧНИК!$H$6+'ФАКТ ЧЕРН ПОДЗЕМ'!L14*СПРАВОЧНИК!$I$6+'ФАКТ ЧЕРН ПОДЗЕМ'!M14*СПРАВОЧНИК!$J$6)+СПРАВОЧНИК!$F$6*('ФАКТ ЧИСТ ПОДЗЕМ'!Q14*СПРАВОЧНИК!$L$6+'ФАКТ ЧИСТ ПОДЗЕМ'!R14*СПРАВОЧНИК!$M$6+'ФАКТ ЧИСТ ПОДЗЕМ'!S14*СПРАВОЧНИК!$N$6+'ФАКТ ЧИСТ ПОДЗЕМ'!T14*СПРАВОЧНИК!$O$6+'ФАКТ ЧИСТ ПОДЗЕМ'!U14*СПРАВОЧНИК!$P$6)+СПРАВОЧНИК!$E$7*('ФАКТ ЧЕРН ПОДЗЕМ'!N14*СПРАВОЧНИК!$H$7+'ФАКТ ЧЕРН ПОДЗЕМ'!O14*СПРАВОЧНИК!$I$7+'ФАКТ ЧЕРН ПОДЗЕМ'!P14*СПРАВОЧНИК!$J$7)+СПРАВОЧНИК!$F$7*('ФАКТ ЧИСТ ПОДЗЕМ'!V14*СПРАВОЧНИК!$L$7+'ФАКТ ЧИСТ ПОДЗЕМ'!W14*СПРАВОЧНИК!$M$7+'ФАКТ ЧИСТ ПОДЗЕМ'!X14*СПРАВОЧНИК!$N$7+'ФАКТ ЧИСТ ПОДЗЕМ'!Y14*СПРАВОЧНИК!$O$7+'ФАКТ ЧИСТ ПОДЗЕМ'!Z14*СПРАВОЧНИК!$P$7)+СПРАВОЧНИК!$E$8*('ФАКТ ЧЕРН ПОДЗЕМ'!Q14*СПРАВОЧНИК!$H$8+'ФАКТ ЧЕРН ПОДЗЕМ'!R14*СПРАВОЧНИК!$I$8+'ФАКТ ЧЕРН ПОДЗЕМ'!S14*СПРАВОЧНИК!$J$8)+СПРАВОЧНИК!$F$8*('ФАКТ ЧИСТ ПОДЗЕМ'!AA14*СПРАВОЧНИК!$L$8+'ФАКТ ЧИСТ ПОДЗЕМ'!AB14*СПРАВОЧНИК!$M$8+'ФАКТ ЧИСТ ПОДЗЕМ'!AC14*СПРАВОЧНИК!$N$8+'ФАКТ ЧИСТ ПОДЗЕМ'!AD14*СПРАВОЧНИК!$O$8+'ФАКТ ЧИСТ ПОДЗЕМ'!AE14*СПРАВОЧНИК!$P$8)</f>
        <v/>
      </c>
      <c r="E23" s="34" t="n"/>
      <c r="H23" s="152">
        <f>H22+7</f>
        <v/>
      </c>
      <c r="I23" s="17">
        <f>'ПЛАН ЧЕРН ПОДЗЕМ'!B14*СПРАВОЧНИК!$H$3+'ПЛАН ЧЕРН ПОДЗЕМ'!C14*СПРАВОЧНИК!$I$3+'ПЛАН ЧЕРН ПОДЗЕМ'!D14*СПРАВОЧНИК!$J$3+'ПЛАН ЧЕРН ПОДЗЕМ'!E14*СПРАВОЧНИК!$H$4+'ПЛАН ЧЕРН ПОДЗЕМ'!F14*СПРАВОЧНИК!$I$4+'ПЛАН ЧЕРН ПОДЗЕМ'!G14*СПРАВОЧНИК!$J$4+'ПЛАН ЧЕРН ПОДЗЕМ'!H14*СПРАВОЧНИК!$H$5+'ПЛАН ЧЕРН ПОДЗЕМ'!I14*СПРАВОЧНИК!$I$5+'ПЛАН ЧЕРН ПОДЗЕМ'!J14*СПРАВОЧНИК!$J$5+'ПЛАН ЧЕРН ПОДЗЕМ'!K14*СПРАВОЧНИК!$H$6+'ПЛАН ЧЕРН ПОДЗЕМ'!L14*СПРАВОЧНИК!$I$6+'ПЛАН ЧЕРН ПОДЗЕМ'!M14*СПРАВОЧНИК!$J$6+'ПЛАН ЧЕРН ПОДЗЕМ'!N14*СПРАВОЧНИК!$H$7+'ПЛАН ЧЕРН ПОДЗЕМ'!O14*СПРАВОЧНИК!$I$7+'ПЛАН ЧЕРН ПОДЗЕМ'!P14*СПРАВОЧНИК!$J$7+'ПЛАН ЧЕРН ПОДЗЕМ'!Q14*СПРАВОЧНИК!$H$8+'ПЛАН ЧЕРН ПОДЗЕМ'!R14*СПРАВОЧНИК!$I$8+'ПЛАН ЧЕРН ПОДЗЕМ'!S14*СПРАВОЧНИК!$J$8</f>
        <v/>
      </c>
      <c r="J23" s="31">
        <f>('ФАКТ ЧЕРН ПОДЗЕМ'!B14)*СПРАВОЧНИК!$H$3+('ФАКТ ЧЕРН ПОДЗЕМ'!C14)*СПРАВОЧНИК!$I$3+('ФАКТ ЧЕРН ПОДЗЕМ'!D14)*СПРАВОЧНИК!$J$3+('ФАКТ ЧЕРН ПОДЗЕМ'!E14)*СПРАВОЧНИК!$H$4+('ФАКТ ЧЕРН ПОДЗЕМ'!F14)*СПРАВОЧНИК!$I$4+('ФАКТ ЧЕРН ПОДЗЕМ'!G14)*СПРАВОЧНИК!$J$4+('ФАКТ ЧЕРН ПОДЗЕМ'!H14)*СПРАВОЧНИК!$H$5+('ФАКТ ЧЕРН ПОДЗЕМ'!I14)*СПРАВОЧНИК!$I$5+('ФАКТ ЧЕРН ПОДЗЕМ'!J14)*СПРАВОЧНИК!$J$5+('ФАКТ ЧЕРН ПОДЗЕМ'!K14)*СПРАВОЧНИК!$H$6+('ФАКТ ЧЕРН ПОДЗЕМ'!L14)*СПРАВОЧНИК!$I$6+('ФАКТ ЧЕРН ПОДЗЕМ'!M14)*СПРАВОЧНИК!$J$6+('ФАКТ ЧЕРН ПОДЗЕМ'!N14)*СПРАВОЧНИК!$H$7+('ФАКТ ЧЕРН ПОДЗЕМ'!O14)*СПРАВОЧНИК!$I$7+('ФАКТ ЧЕРН ПОДЗЕМ'!P14)*СПРАВОЧНИК!$J$7+('ФАКТ ЧЕРН ПОДЗЕМ'!Q14)*СПРАВОЧНИК!$H$8+('ФАКТ ЧЕРН ПОДЗЕМ'!R14)*СПРАВОЧНИК!$I$8+('ФАКТ ЧЕРН ПОДЗЕМ'!S14)*СПРАВОЧНИК!$J$8</f>
        <v/>
      </c>
      <c r="K23" s="34" t="n"/>
      <c r="N23" s="152">
        <f>N22+7</f>
        <v/>
      </c>
      <c r="O23" s="17">
        <f>'ПЛАН ЧИСТ ПОДЗЕМ'!B14*СПРАВОЧНИК!$L$3+'ПЛАН ЧИСТ ПОДЗЕМ'!C14*СПРАВОЧНИК!$M$3+'ПЛАН ЧИСТ ПОДЗЕМ'!D14*СПРАВОЧНИК!$N$3+'ПЛАН ЧИСТ ПОДЗЕМ'!E14*СПРАВОЧНИК!$O$3+'ПЛАН ЧИСТ ПОДЗЕМ'!F14*СПРАВОЧНИК!$P$3+'ПЛАН ЧИСТ ПОДЗЕМ'!G14*СПРАВОЧНИК!$L$4+'ПЛАН ЧИСТ ПОДЗЕМ'!H14*СПРАВОЧНИК!$M$4+'ПЛАН ЧИСТ ПОДЗЕМ'!I14*СПРАВОЧНИК!$N$4+'ПЛАН ЧИСТ ПОДЗЕМ'!J14*СПРАВОЧНИК!$O$4+'ПЛАН ЧИСТ ПОДЗЕМ'!K14*СПРАВОЧНИК!$P$4+'ПЛАН ЧИСТ ПОДЗЕМ'!L14*СПРАВОЧНИК!$L$5+'ПЛАН ЧИСТ ПОДЗЕМ'!M14*СПРАВОЧНИК!$M$5+'ПЛАН ЧИСТ ПОДЗЕМ'!N14*СПРАВОЧНИК!$N$5+'ПЛАН ЧИСТ ПОДЗЕМ'!O14*СПРАВОЧНИК!$O$5+'ПЛАН ЧИСТ ПОДЗЕМ'!P14*СПРАВОЧНИК!$P$5+'ПЛАН ЧИСТ ПОДЗЕМ'!Q14*СПРАВОЧНИК!$L$6+'ПЛАН ЧИСТ ПОДЗЕМ'!R14*СПРАВОЧНИК!$M$6+'ПЛАН ЧИСТ ПОДЗЕМ'!S14*СПРАВОЧНИК!$N$6+'ПЛАН ЧИСТ ПОДЗЕМ'!T14*СПРАВОЧНИК!$O$6+'ПЛАН ЧИСТ ПОДЗЕМ'!U14*СПРАВОЧНИК!$P$6+'ПЛАН ЧИСТ ПОДЗЕМ'!V14*СПРАВОЧНИК!$L$7+'ПЛАН ЧИСТ ПОДЗЕМ'!W14*СПРАВОЧНИК!$M$7+'ПЛАН ЧИСТ ПОДЗЕМ'!X14*СПРАВОЧНИК!$N$7+'ПЛАН ЧИСТ ПОДЗЕМ'!Y14*СПРАВОЧНИК!$O$7+'ПЛАН ЧИСТ ПОДЗЕМ'!Z14*СПРАВОЧНИК!$P$7+'ПЛАН ЧИСТ ПОДЗЕМ'!AA14*СПРАВОЧНИК!$L$8+'ПЛАН ЧИСТ ПОДЗЕМ'!AB14*СПРАВОЧНИК!$M$8+'ПЛАН ЧИСТ ПОДЗЕМ'!AC14*СПРАВОЧНИК!$N$8+'ПЛАН ЧИСТ ПОДЗЕМ'!AD14*СПРАВОЧНИК!$O$8+'ПЛАН ЧИСТ ПОДЗЕМ'!AE14*СПРАВОЧНИК!$P$8</f>
        <v/>
      </c>
      <c r="P23" s="31">
        <f>('ФАКТ ЧИСТ ПОДЗЕМ'!B14)*СПРАВОЧНИК!$L$3+('ФАКТ ЧИСТ ПОДЗЕМ'!C14)*СПРАВОЧНИК!$M$3+('ФАКТ ЧИСТ ПОДЗЕМ'!D14)*СПРАВОЧНИК!$N$3+('ФАКТ ЧИСТ ПОДЗЕМ'!E14)*СПРАВОЧНИК!$O$3+('ФАКТ ЧИСТ ПОДЗЕМ'!F14)*СПРАВОЧНИК!$P$3+('ФАКТ ЧИСТ ПОДЗЕМ'!G14)*СПРАВОЧНИК!$L$4+('ФАКТ ЧИСТ ПОДЗЕМ'!H14)*СПРАВОЧНИК!$M$4+('ФАКТ ЧИСТ ПОДЗЕМ'!I14)*СПРАВОЧНИК!$N$4+('ФАКТ ЧИСТ ПОДЗЕМ'!J14)*СПРАВОЧНИК!$O$4+('ФАКТ ЧИСТ ПОДЗЕМ'!K14)*СПРАВОЧНИК!$P$4+('ФАКТ ЧИСТ ПОДЗЕМ'!L14)*СПРАВОЧНИК!$L$5+('ФАКТ ЧИСТ ПОДЗЕМ'!M14)*СПРАВОЧНИК!$M$5+('ФАКТ ЧИСТ ПОДЗЕМ'!N14)*СПРАВОЧНИК!$N$5+('ФАКТ ЧИСТ ПОДЗЕМ'!O14)*СПРАВОЧНИК!$O$5+('ФАКТ ЧИСТ ПОДЗЕМ'!P14)*СПРАВОЧНИК!$P$5+('ФАКТ ЧИСТ ПОДЗЕМ'!Q14)*СПРАВОЧНИК!$L$6+('ФАКТ ЧИСТ ПОДЗЕМ'!R14)*СПРАВОЧНИК!$M$6+('ФАКТ ЧИСТ ПОДЗЕМ'!S14)*СПРАВОЧНИК!$N$6+('ФАКТ ЧИСТ ПОДЗЕМ'!T14)*СПРАВОЧНИК!$O$6+('ФАКТ ЧИСТ ПОДЗЕМ'!U14)*СПРАВОЧНИК!$P$6+('ФАКТ ЧИСТ ПОДЗЕМ'!V14)*СПРАВОЧНИК!$L$7+('ФАКТ ЧИСТ ПОДЗЕМ'!W14)*СПРАВОЧНИК!$M$7+('ФАКТ ЧИСТ ПОДЗЕМ'!X14)*СПРАВОЧНИК!$N$7+('ФАКТ ЧИСТ ПОДЗЕМ'!Y14)*СПРАВОЧНИК!$O$7+('ФАКТ ЧИСТ ПОДЗЕМ'!Z14)*СПРАВОЧНИК!$P$7+('ФАКТ ЧИСТ ПОДЗЕМ'!AA14)*СПРАВОЧНИК!$L$8+('ФАКТ ЧИСТ ПОДЗЕМ'!AB14)*СПРАВОЧНИК!$M$8+('ФАКТ ЧИСТ ПОДЗЕМ'!AC14)*СПРАВОЧНИК!$N$8+('ФАКТ ЧИСТ ПОДЗЕМ'!AD14)*СПРАВОЧНИК!$O$8+('ФАКТ ЧИСТ ПОДЗЕМ'!AE14)*СПРАВОЧНИК!$P$8</f>
        <v/>
      </c>
      <c r="Q23" s="34" t="n"/>
      <c r="T23" s="152">
        <f>T22+7</f>
        <v/>
      </c>
      <c r="U23" s="17">
        <f>СПРАВОЧНИК!$E$9*('ПЛАН ЧЕРН К1'!B14*СПРАВОЧНИК!$H$9+'ПЛАН ЧЕРН К1'!C14*СПРАВОЧНИК!$I$9+'ПЛАН ЧЕРН К1'!D14*СПРАВОЧНИК!$J$9)+СПРАВОЧНИК!$F$9*('ПЛАН ЧИСТ К1'!B14*СПРАВОЧНИК!$L$9+'ПЛАН ЧИСТ К1'!C14*СПРАВОЧНИК!$M$9+'ПЛАН ЧИСТ К1'!D14*СПРАВОЧНИК!$N$9+'ПЛАН ЧИСТ К1'!E14*СПРАВОЧНИК!$O$9+'ПЛАН ЧИСТ К1'!F14*СПРАВОЧНИК!$P$9)+СПРАВОЧНИК!$E$10*('ПЛАН ЧЕРН К1'!E14*СПРАВОЧНИК!$H$10+'ПЛАН ЧЕРН К1'!F14*СПРАВОЧНИК!$I$10+'ПЛАН ЧЕРН К1'!G14*СПРАВОЧНИК!$J$10)+СПРАВОЧНИК!$F$10*('ПЛАН ЧИСТ К1'!G14*СПРАВОЧНИК!$L$10+'ПЛАН ЧИСТ К1'!H14*СПРАВОЧНИК!$M$10+'ПЛАН ЧИСТ К1'!I14*СПРАВОЧНИК!$N$10+'ПЛАН ЧИСТ К1'!J14*СПРАВОЧНИК!$O$10+'ПЛАН ЧИСТ К1'!K14*СПРАВОЧНИК!$P$10)+СПРАВОЧНИК!$E$11*('ПЛАН ЧЕРН К1'!H14*СПРАВОЧНИК!$H$11+'ПЛАН ЧЕРН К1'!I14*СПРАВОЧНИК!$I$11+'ПЛАН ЧЕРН К1'!J14*СПРАВОЧНИК!$J$11)+СПРАВОЧНИК!$F$11*('ПЛАН ЧИСТ К1'!L14*СПРАВОЧНИК!$L$11+'ПЛАН ЧИСТ К1'!M14*СПРАВОЧНИК!$M$11+'ПЛАН ЧИСТ К1'!N14*СПРАВОЧНИК!$N$11+'ПЛАН ЧИСТ К1'!O14*СПРАВОЧНИК!$O$11+'ПЛАН ЧИСТ К1'!P14*СПРАВОЧНИК!$P$11)+СПРАВОЧНИК!$E$12*('ПЛАН ЧЕРН К1'!K14*СПРАВОЧНИК!$H$12+'ПЛАН ЧЕРН К1'!L14*СПРАВОЧНИК!$I$12+'ПЛАН ЧЕРН К1'!M14*СПРАВОЧНИК!$J$12)+СПРАВОЧНИК!$F$12*('ПЛАН ЧИСТ К1'!Q14*СПРАВОЧНИК!$L$12+'ПЛАН ЧИСТ К1'!R14*СПРАВОЧНИК!$M$12+'ПЛАН ЧИСТ К1'!S14*СПРАВОЧНИК!$N$12+'ПЛАН ЧИСТ К1'!T14*СПРАВОЧНИК!$O$12+'ПЛАН ЧИСТ К1'!U14*СПРАВОЧНИК!$P$12)+СПРАВОЧНИК!$E$13*('ПЛАН ЧЕРН К1'!N14*СПРАВОЧНИК!$H$13+'ПЛАН ЧЕРН К1'!O14*СПРАВОЧНИК!$I$13+'ПЛАН ЧЕРН К1'!P14*СПРАВОЧНИК!$J$13)+СПРАВОЧНИК!$F$13*('ПЛАН ЧИСТ К1'!V14*СПРАВОЧНИК!$L$13+'ПЛАН ЧИСТ К1'!W14*СПРАВОЧНИК!$M$13+'ПЛАН ЧИСТ К1'!X14*СПРАВОЧНИК!$N$13+'ПЛАН ЧИСТ К1'!Y14*СПРАВОЧНИК!$O$13+'ПЛАН ЧИСТ К1'!Z14*СПРАВОЧНИК!$P$13)+СПРАВОЧНИК!$E$14*('ПЛАН ЧЕРН К1'!Q14*СПРАВОЧНИК!$H$14+'ПЛАН ЧЕРН К1'!R14*СПРАВОЧНИК!$I$14+'ПЛАН ЧЕРН К1'!S14*СПРАВОЧНИК!$J$14)+СПРАВОЧНИК!$F$14*('ПЛАН ЧИСТ К1'!AA14*СПРАВОЧНИК!$L$14+'ПЛАН ЧИСТ К1'!AB14*СПРАВОЧНИК!$M$14+'ПЛАН ЧИСТ К1'!AC14*СПРАВОЧНИК!$N$14+'ПЛАН ЧИСТ К1'!AD14*СПРАВОЧНИК!$O$14+'ПЛАН ЧИСТ К1'!AE14*СПРАВОЧНИК!$P$14)+СПРАВОЧНИК!$E$15*('ПЛАН ЧЕРН К1'!T14*СПРАВОЧНИК!$H$15+'ПЛАН ЧЕРН К1'!U14*СПРАВОЧНИК!$I$15+'ПЛАН ЧЕРН К1'!V14*СПРАВОЧНИК!$J$15)+СПРАВОЧНИК!$F$15*('ПЛАН ЧИСТ К1'!AF14*СПРАВОЧНИК!$L$15+'ПЛАН ЧИСТ К1'!AG14*СПРАВОЧНИК!$M$15+'ПЛАН ЧИСТ К1'!AH14*СПРАВОЧНИК!$N$15+'ПЛАН ЧИСТ К1'!AI14*СПРАВОЧНИК!$O$15+'ПЛАН ЧИСТ К1'!AJ14*СПРАВОЧНИК!$P$15)</f>
        <v/>
      </c>
      <c r="V23" s="31">
        <f>СПРАВОЧНИК!$E$9*('ФАКТ ЧЕРН К1'!B14*СПРАВОЧНИК!$H$9+'ФАКТ ЧЕРН К1'!C14*СПРАВОЧНИК!$I$9+'ФАКТ ЧЕРН К1'!D14*СПРАВОЧНИК!$J$9)+СПРАВОЧНИК!$F$9*('ФАКТ ЧИСТ К1'!B14*СПРАВОЧНИК!$L$9+'ФАКТ ЧИСТ К1'!C14*СПРАВОЧНИК!$M$9+'ФАКТ ЧИСТ К1'!D14*СПРАВОЧНИК!$N$9+'ФАКТ ЧИСТ К1'!E14*СПРАВОЧНИК!$O$9+'ФАКТ ЧИСТ К1'!F14*СПРАВОЧНИК!$P$9)+СПРАВОЧНИК!$E$10*('ФАКТ ЧЕРН К1'!E14*СПРАВОЧНИК!$H$10+'ФАКТ ЧЕРН К1'!F14*СПРАВОЧНИК!$I$10+'ФАКТ ЧЕРН К1'!G14*СПРАВОЧНИК!$J$10)+СПРАВОЧНИК!$F$10*('ФАКТ ЧИСТ К1'!G14*СПРАВОЧНИК!$L$10+'ФАКТ ЧИСТ К1'!H14*СПРАВОЧНИК!$M$10+'ФАКТ ЧИСТ К1'!I14*СПРАВОЧНИК!$N$10+'ФАКТ ЧИСТ К1'!J14*СПРАВОЧНИК!$O$10+'ФАКТ ЧИСТ К1'!K14*СПРАВОЧНИК!$P$10)+СПРАВОЧНИК!$E$11*('ФАКТ ЧЕРН К1'!H14*СПРАВОЧНИК!$H$11+'ФАКТ ЧЕРН К1'!I14*СПРАВОЧНИК!$I$11+'ФАКТ ЧЕРН К1'!J14*СПРАВОЧНИК!$J$11)+СПРАВОЧНИК!$F$11*('ФАКТ ЧИСТ К1'!L14*СПРАВОЧНИК!$L$11+'ФАКТ ЧИСТ К1'!M14*СПРАВОЧНИК!$M$11+'ФАКТ ЧИСТ К1'!N14*СПРАВОЧНИК!$N$11+'ФАКТ ЧИСТ К1'!O14*СПРАВОЧНИК!$O$11+'ФАКТ ЧИСТ К1'!P14*СПРАВОЧНИК!$P$11)+СПРАВОЧНИК!$E$12*('ФАКТ ЧЕРН К1'!K14*СПРАВОЧНИК!$H$12+'ФАКТ ЧЕРН К1'!L14*СПРАВОЧНИК!$I$12+'ФАКТ ЧЕРН К1'!M14*СПРАВОЧНИК!$J$12)+СПРАВОЧНИК!$F$12*('ФАКТ ЧИСТ К1'!Q14*СПРАВОЧНИК!$L$12+'ФАКТ ЧИСТ К1'!R14*СПРАВОЧНИК!$M$12+'ФАКТ ЧИСТ К1'!S14*СПРАВОЧНИК!$N$12+'ФАКТ ЧИСТ К1'!T14*СПРАВОЧНИК!$O$12+'ФАКТ ЧИСТ К1'!U14*СПРАВОЧНИК!$P$12)+СПРАВОЧНИК!$E$13*('ФАКТ ЧЕРН К1'!N14*СПРАВОЧНИК!$H$13+'ФАКТ ЧЕРН К1'!O14*СПРАВОЧНИК!$I$13+'ФАКТ ЧЕРН К1'!P14*СПРАВОЧНИК!$J$13)+СПРАВОЧНИК!$F$13*('ФАКТ ЧИСТ К1'!V14*СПРАВОЧНИК!$L$13+'ФАКТ ЧИСТ К1'!W14*СПРАВОЧНИК!$M$13+'ФАКТ ЧИСТ К1'!X14*СПРАВОЧНИК!$N$13+'ФАКТ ЧИСТ К1'!Y14*СПРАВОЧНИК!$O$13+'ФАКТ ЧИСТ К1'!Z14*СПРАВОЧНИК!$P$13)+СПРАВОЧНИК!$E$14*('ФАКТ ЧЕРН К1'!Q14*СПРАВОЧНИК!$H$14+'ФАКТ ЧЕРН К1'!R14*СПРАВОЧНИК!$I$14+'ФАКТ ЧЕРН К1'!S14*СПРАВОЧНИК!$J$14)+СПРАВОЧНИК!$F$14*('ФАКТ ЧИСТ К1'!AA14*СПРАВОЧНИК!$L$14+'ФАКТ ЧИСТ К1'!AB14*СПРАВОЧНИК!$M$14+'ФАКТ ЧИСТ К1'!AC14*СПРАВОЧНИК!$N$14+'ФАКТ ЧИСТ К1'!AD14*СПРАВОЧНИК!$O$14+'ФАКТ ЧИСТ К1'!AE14*СПРАВОЧНИК!$P$14)+СПРАВОЧНИК!$E$15*('ФАКТ ЧЕРН К1'!T14*СПРАВОЧНИК!$H$15+'ФАКТ ЧЕРН К1'!U14*СПРАВОЧНИК!$I$15+'ФАКТ ЧЕРН К1'!V14*СПРАВОЧНИК!$J$15)+СПРАВОЧНИК!$F$15*('ФАКТ ЧИСТ К1'!AF14*СПРАВОЧНИК!$L$15+'ФАКТ ЧИСТ К1'!AG14*СПРАВОЧНИК!$M$15+'ФАКТ ЧИСТ К1'!AH14*СПРАВОЧНИК!$N$15+'ФАКТ ЧИСТ К1'!AI14*СПРАВОЧНИК!$O$15+'ФАКТ ЧИСТ К1'!AJ14*СПРАВОЧНИК!$P$15)</f>
        <v/>
      </c>
      <c r="W23" s="34" t="n"/>
      <c r="Z23" s="152">
        <f>Z22+7</f>
        <v/>
      </c>
      <c r="AA23" s="17">
        <f>'ПЛАН ЧЕРН К1'!B14*СПРАВОЧНИК!$H$9+'ПЛАН ЧЕРН К1'!C14*СПРАВОЧНИК!$I$9+'ПЛАН ЧЕРН К1'!D14*СПРАВОЧНИК!$J$9+'ПЛАН ЧЕРН К1'!E14*СПРАВОЧНИК!$H$10+'ПЛАН ЧЕРН К1'!F14*СПРАВОЧНИК!$I$10+'ПЛАН ЧЕРН К1'!G14*СПРАВОЧНИК!$J$10+'ПЛАН ЧЕРН К1'!H14*СПРАВОЧНИК!$H$11+'ПЛАН ЧЕРН К1'!I14*СПРАВОЧНИК!$I$11+'ПЛАН ЧЕРН К1'!J14*СПРАВОЧНИК!$J$11+'ПЛАН ЧЕРН К1'!K14*СПРАВОЧНИК!$H$12+'ПЛАН ЧЕРН К1'!L14*СПРАВОЧНИК!$I$12+'ПЛАН ЧЕРН К1'!M14*СПРАВОЧНИК!$J$12+'ПЛАН ЧЕРН К1'!N14*СПРАВОЧНИК!$H$13+'ПЛАН ЧЕРН К1'!O14*СПРАВОЧНИК!$I$13+'ПЛАН ЧЕРН К1'!P14*СПРАВОЧНИК!$J$13+'ПЛАН ЧЕРН К1'!Q14*СПРАВОЧНИК!$H$14+'ПЛАН ЧЕРН К1'!R14*СПРАВОЧНИК!$I$14+'ПЛАН ЧЕРН К1'!S14*СПРАВОЧНИК!$J$14+'ПЛАН ЧЕРН К1'!T14*СПРАВОЧНИК!$H$15+'ПЛАН ЧЕРН К1'!U14*СПРАВОЧНИК!$I$15+'ПЛАН ЧЕРН К1'!V14*СПРАВОЧНИК!$J$15</f>
        <v/>
      </c>
      <c r="AB23" s="31">
        <f>('ФАКТ ЧЕРН К1'!B14)*СПРАВОЧНИК!$H$9+('ФАКТ ЧЕРН К1'!C14)*СПРАВОЧНИК!$I$9+('ФАКТ ЧЕРН К1'!D14)*СПРАВОЧНИК!$J$9+('ФАКТ ЧЕРН К1'!E14)*СПРАВОЧНИК!$H$10+('ФАКТ ЧЕРН К1'!F14)*СПРАВОЧНИК!$I$10+('ФАКТ ЧЕРН К1'!G14)*СПРАВОЧНИК!$J$10+('ФАКТ ЧЕРН К1'!H14)*СПРАВОЧНИК!$H$11+('ФАКТ ЧЕРН К1'!I14)*СПРАВОЧНИК!$I$11+('ФАКТ ЧЕРН К1'!J14)*СПРАВОЧНИК!$J$11+('ФАКТ ЧЕРН К1'!K14)*СПРАВОЧНИК!$H$12+('ФАКТ ЧЕРН К1'!L14)*СПРАВОЧНИК!$I$12+('ФАКТ ЧЕРН К1'!M14)*СПРАВОЧНИК!$J$12+('ФАКТ ЧЕРН К1'!N14)*СПРАВОЧНИК!$H$13+('ФАКТ ЧЕРН К1'!O14)*СПРАВОЧНИК!$I$13+('ФАКТ ЧЕРН К1'!P14)*СПРАВОЧНИК!$J$13+('ФАКТ ЧЕРН К1'!Q14)*СПРАВОЧНИК!$H$14+('ФАКТ ЧЕРН К1'!R14)*СПРАВОЧНИК!$I$14+('ФАКТ ЧЕРН К1'!S14)*СПРАВОЧНИК!$J$14+('ФАКТ ЧЕРН К1'!T14)*СПРАВОЧНИК!$H$15+('ФАКТ ЧЕРН К1'!U14)*СПРАВОЧНИК!$I$15+('ФАКТ ЧЕРН К1'!V14)*СПРАВОЧНИК!$J$15</f>
        <v/>
      </c>
      <c r="AC23" s="34" t="n"/>
      <c r="AF23" s="152">
        <f>AF22+7</f>
        <v/>
      </c>
      <c r="AG23" s="17">
        <f>'ПЛАН ЧИСТ К1'!B14*СПРАВОЧНИК!$L$9+'ПЛАН ЧИСТ К1'!C14*СПРАВОЧНИК!$M$9+'ПЛАН ЧИСТ К1'!D14*СПРАВОЧНИК!$N$9+'ПЛАН ЧИСТ К1'!E14*СПРАВОЧНИК!$O$9+'ПЛАН ЧИСТ К1'!F14*СПРАВОЧНИК!$P$9+'ПЛАН ЧИСТ К1'!G14*СПРАВОЧНИК!$L$10+'ПЛАН ЧИСТ К1'!H14*СПРАВОЧНИК!$M$10+'ПЛАН ЧИСТ К1'!I14*СПРАВОЧНИК!$N$10+'ПЛАН ЧИСТ К1'!J14*СПРАВОЧНИК!$O$10+'ПЛАН ЧИСТ К1'!K14*СПРАВОЧНИК!$P$10+'ПЛАН ЧИСТ К1'!L14*СПРАВОЧНИК!$L$11+'ПЛАН ЧИСТ К1'!M14*СПРАВОЧНИК!$M$11+'ПЛАН ЧИСТ К1'!N14*СПРАВОЧНИК!$N$11+'ПЛАН ЧИСТ К1'!O14*СПРАВОЧНИК!$O$11+'ПЛАН ЧИСТ К1'!P14*СПРАВОЧНИК!$P$11+'ПЛАН ЧИСТ К1'!Q14*СПРАВОЧНИК!$L$12+'ПЛАН ЧИСТ К1'!R14*СПРАВОЧНИК!$M$12+'ПЛАН ЧИСТ К1'!S14*СПРАВОЧНИК!$N$12+'ПЛАН ЧИСТ К1'!T14*СПРАВОЧНИК!$O$12+'ПЛАН ЧИСТ К1'!U14*СПРАВОЧНИК!$P$12+'ПЛАН ЧИСТ К1'!V14*СПРАВОЧНИК!$L$13+'ПЛАН ЧИСТ К1'!W14*СПРАВОЧНИК!$M$13+'ПЛАН ЧИСТ К1'!X14*СПРАВОЧНИК!$N$13+'ПЛАН ЧИСТ К1'!Y14*СПРАВОЧНИК!$O$13+'ПЛАН ЧИСТ К1'!Z14*СПРАВОЧНИК!$P$13+'ПЛАН ЧИСТ К1'!AA14*СПРАВОЧНИК!$L$14+'ПЛАН ЧИСТ К1'!AB14*СПРАВОЧНИК!$M$14+'ПЛАН ЧИСТ К1'!AC14*СПРАВОЧНИК!$N$14+'ПЛАН ЧИСТ К1'!AD14*СПРАВОЧНИК!$O$14+'ПЛАН ЧИСТ К1'!AE14*СПРАВОЧНИК!$P$14+'ПЛАН ЧИСТ К1'!AF14*СПРАВОЧНИК!$L$15+'ПЛАН ЧИСТ К1'!AG14*СПРАВОЧНИК!$M$15+'ПЛАН ЧИСТ К1'!AH14*СПРАВОЧНИК!$N$15+'ПЛАН ЧИСТ К1'!AI14*СПРАВОЧНИК!$O$15+'ПЛАН ЧИСТ К1'!AJ14*СПРАВОЧНИК!$P$15</f>
        <v/>
      </c>
      <c r="AH23" s="31">
        <f>('ФАКТ ЧИСТ К1'!B14)*СПРАВОЧНИК!$L$9+('ФАКТ ЧИСТ К1'!C14)*СПРАВОЧНИК!$M$9+('ФАКТ ЧИСТ К1'!D14)*СПРАВОЧНИК!$N$9+('ФАКТ ЧИСТ К1'!E14)*СПРАВОЧНИК!$O$9+('ФАКТ ЧИСТ К1'!F14)*СПРАВОЧНИК!$P$9+('ФАКТ ЧИСТ К1'!G14)*СПРАВОЧНИК!$L$10+('ФАКТ ЧИСТ К1'!H14)*СПРАВОЧНИК!$M$10+('ФАКТ ЧИСТ К1'!I14)*СПРАВОЧНИК!$N$10+('ФАКТ ЧИСТ К1'!J14)*СПРАВОЧНИК!$O$10+('ФАКТ ЧИСТ К1'!K14)*СПРАВОЧНИК!$P$10+('ФАКТ ЧИСТ К1'!L14)*СПРАВОЧНИК!$L$11+('ФАКТ ЧИСТ К1'!M14)*СПРАВОЧНИК!$M$11+('ФАКТ ЧИСТ К1'!N14)*СПРАВОЧНИК!$N$11+('ФАКТ ЧИСТ К1'!O14)*СПРАВОЧНИК!$O$11+('ФАКТ ЧИСТ К1'!P14)*СПРАВОЧНИК!$P$11+('ФАКТ ЧИСТ К1'!Q14)*СПРАВОЧНИК!$L$12+('ФАКТ ЧИСТ К1'!R14)*СПРАВОЧНИК!$M$12+('ФАКТ ЧИСТ К1'!S14)*СПРАВОЧНИК!$N$12+('ФАКТ ЧИСТ К1'!T14)*СПРАВОЧНИК!$O$12+('ФАКТ ЧИСТ К1'!U14)*СПРАВОЧНИК!$P$12+('ФАКТ ЧИСТ К1'!V14)*СПРАВОЧНИК!$L$13+('ФАКТ ЧИСТ К1'!W14)*СПРАВОЧНИК!$M$13+('ФАКТ ЧИСТ К1'!X14)*СПРАВОЧНИК!$N$13+('ФАКТ ЧИСТ К1'!Y14)*СПРАВОЧНИК!$O$13+('ФАКТ ЧИСТ К1'!Z14)*СПРАВОЧНИК!$P$13+('ФАКТ ЧИСТ К1'!AA14)*СПРАВОЧНИК!$L$14+('ФАКТ ЧИСТ К1'!AB14)*СПРАВОЧНИК!$M$14+('ФАКТ ЧИСТ К1'!AC14)*СПРАВОЧНИК!$N$14+('ФАКТ ЧИСТ К1'!AD14)*СПРАВОЧНИК!$O$14+('ФАКТ ЧИСТ К1'!AE14)*СПРАВОЧНИК!$P$14+('ФАКТ ЧИСТ К1'!AF14)*СПРАВОЧНИК!$L$15+('ФАКТ ЧИСТ К1'!AG14)*СПРАВОЧНИК!$M$15+('ФАКТ ЧИСТ К1'!AH14)*СПРАВОЧНИК!$N$15+('ФАКТ ЧИСТ К1'!AI14)*СПРАВОЧНИК!$O$15+('ФАКТ ЧИСТ К1'!AJ14)*СПРАВОЧНИК!$P$15</f>
        <v/>
      </c>
      <c r="AI23" s="34" t="n"/>
      <c r="AL23" s="152">
        <f>AL22+7</f>
        <v/>
      </c>
      <c r="AM23" s="17">
        <f>СПРАВОЧНИК!$E$9*('ПЛАН ЧЕРН К2'!B14*СПРАВОЧНИК!$H$9+'ПЛАН ЧЕРН К2'!C14*СПРАВОЧНИК!$I$9+'ПЛАН ЧЕРН К2'!D14*СПРАВОЧНИК!$J$9)+СПРАВОЧНИК!$F$9*('ПЛАН ЧИСТ К2'!B14*СПРАВОЧНИК!$L$9+'ПЛАН ЧИСТ К2'!C14*СПРАВОЧНИК!$M$9+'ПЛАН ЧИСТ К2'!D14*СПРАВОЧНИК!$N$9+'ПЛАН ЧИСТ К2'!E14*СПРАВОЧНИК!$O$9+'ПЛАН ЧИСТ К2'!F14*СПРАВОЧНИК!$P$9)+СПРАВОЧНИК!$E$10*('ПЛАН ЧЕРН К2'!E14*СПРАВОЧНИК!$H$10+'ПЛАН ЧЕРН К2'!F14*СПРАВОЧНИК!$I$10+'ПЛАН ЧЕРН К2'!G14*СПРАВОЧНИК!$J$10)+СПРАВОЧНИК!$F$10*('ПЛАН ЧИСТ К2'!G14*СПРАВОЧНИК!$L$10+'ПЛАН ЧИСТ К2'!H14*СПРАВОЧНИК!$M$10+'ПЛАН ЧИСТ К2'!I14*СПРАВОЧНИК!$N$10+'ПЛАН ЧИСТ К2'!J14*СПРАВОЧНИК!$O$10+'ПЛАН ЧИСТ К2'!K14*СПРАВОЧНИК!$P$10)+СПРАВОЧНИК!$E$11*('ПЛАН ЧЕРН К2'!H14*СПРАВОЧНИК!$H$11+'ПЛАН ЧЕРН К2'!I14*СПРАВОЧНИК!$I$11+'ПЛАН ЧЕРН К2'!J14*СПРАВОЧНИК!$J$11)+СПРАВОЧНИК!$F$11*('ПЛАН ЧИСТ К2'!L14*СПРАВОЧНИК!$L$11+'ПЛАН ЧИСТ К2'!M14*СПРАВОЧНИК!$M$11+'ПЛАН ЧИСТ К2'!N14*СПРАВОЧНИК!$N$11+'ПЛАН ЧИСТ К2'!O14*СПРАВОЧНИК!$O$11+'ПЛАН ЧИСТ К2'!P14*СПРАВОЧНИК!$P$11)+СПРАВОЧНИК!$E$12*('ПЛАН ЧЕРН К2'!K14*СПРАВОЧНИК!$H$12+'ПЛАН ЧЕРН К2'!L14*СПРАВОЧНИК!$I$12+'ПЛАН ЧЕРН К2'!M14*СПРАВОЧНИК!$J$12)+СПРАВОЧНИК!$F$12*('ПЛАН ЧИСТ К2'!Q14*СПРАВОЧНИК!$L$12+'ПЛАН ЧИСТ К2'!R14*СПРАВОЧНИК!$M$12+'ПЛАН ЧИСТ К2'!S14*СПРАВОЧНИК!$N$12+'ПЛАН ЧИСТ К2'!T14*СПРАВОЧНИК!$O$12+'ПЛАН ЧИСТ К2'!U14*СПРАВОЧНИК!$P$12)+СПРАВОЧНИК!$E$13*('ПЛАН ЧЕРН К2'!N14*СПРАВОЧНИК!$H$13+'ПЛАН ЧЕРН К2'!O14*СПРАВОЧНИК!$I$13+'ПЛАН ЧЕРН К2'!P14*СПРАВОЧНИК!$J$13)+СПРАВОЧНИК!$F$13*('ПЛАН ЧИСТ К2'!V14*СПРАВОЧНИК!$L$13+'ПЛАН ЧИСТ К2'!W14*СПРАВОЧНИК!$M$13+'ПЛАН ЧИСТ К2'!X14*СПРАВОЧНИК!$N$13+'ПЛАН ЧИСТ К2'!Y14*СПРАВОЧНИК!$O$13+'ПЛАН ЧИСТ К2'!Z14*СПРАВОЧНИК!$P$13)+СПРАВОЧНИК!$E$14*('ПЛАН ЧЕРН К2'!Q14*СПРАВОЧНИК!$H$14+'ПЛАН ЧЕРН К2'!R14*СПРАВОЧНИК!$I$14+'ПЛАН ЧЕРН К2'!S14*СПРАВОЧНИК!$J$14)+СПРАВОЧНИК!$F$14*('ПЛАН ЧИСТ К2'!AA14*СПРАВОЧНИК!$L$14+'ПЛАН ЧИСТ К2'!AB14*СПРАВОЧНИК!$M$14+'ПЛАН ЧИСТ К2'!AC14*СПРАВОЧНИК!$N$14+'ПЛАН ЧИСТ К2'!AD14*СПРАВОЧНИК!$O$14+'ПЛАН ЧИСТ К2'!AE14*СПРАВОЧНИК!$P$14)+СПРАВОЧНИК!$E$15*('ПЛАН ЧЕРН К2'!T14*СПРАВОЧНИК!$H$15+'ПЛАН ЧЕРН К2'!U14*СПРАВОЧНИК!$I$15+'ПЛАН ЧЕРН К2'!V14*СПРАВОЧНИК!$J$15)+СПРАВОЧНИК!$F$15*('ПЛАН ЧИСТ К2'!AF14*СПРАВОЧНИК!$L$15+'ПЛАН ЧИСТ К2'!AG14*СПРАВОЧНИК!$M$15+'ПЛАН ЧИСТ К2'!AH14*СПРАВОЧНИК!$N$15+'ПЛАН ЧИСТ К2'!AI14*СПРАВОЧНИК!$O$15+'ПЛАН ЧИСТ К2'!AJ14*СПРАВОЧНИК!$P$15)</f>
        <v/>
      </c>
      <c r="AN23" s="31">
        <f>СПРАВОЧНИК!$E$9*('ФАКТ ЧЕРН К2'!B14*СПРАВОЧНИК!$H$9+'ФАКТ ЧЕРН К2'!C14*СПРАВОЧНИК!$I$9+'ФАКТ ЧЕРН К2'!D14*СПРАВОЧНИК!$J$9)+СПРАВОЧНИК!$F$9*('ФАКТ ЧИСТ К2'!B14*СПРАВОЧНИК!$L$9+'ФАКТ ЧИСТ К2'!C14*СПРАВОЧНИК!$M$9+'ФАКТ ЧИСТ К2'!D14*СПРАВОЧНИК!$N$9+'ФАКТ ЧИСТ К2'!E14*СПРАВОЧНИК!$O$9+'ФАКТ ЧИСТ К2'!F14*СПРАВОЧНИК!$P$9)+СПРАВОЧНИК!$E$10*('ФАКТ ЧЕРН К2'!E14*СПРАВОЧНИК!$H$10+'ФАКТ ЧЕРН К2'!F14*СПРАВОЧНИК!$I$10+'ФАКТ ЧЕРН К2'!G14*СПРАВОЧНИК!$J$10)+СПРАВОЧНИК!$F$10*('ФАКТ ЧИСТ К2'!G14*СПРАВОЧНИК!$L$10+'ФАКТ ЧИСТ К2'!H14*СПРАВОЧНИК!$M$10+'ФАКТ ЧИСТ К2'!I14*СПРАВОЧНИК!$N$10+'ФАКТ ЧИСТ К2'!J14*СПРАВОЧНИК!$O$10+'ФАКТ ЧИСТ К2'!K14*СПРАВОЧНИК!$P$10)+СПРАВОЧНИК!$E$11*('ФАКТ ЧЕРН К2'!H14*СПРАВОЧНИК!$H$11+'ФАКТ ЧЕРН К2'!I14*СПРАВОЧНИК!$I$11+'ФАКТ ЧЕРН К2'!J14*СПРАВОЧНИК!$J$11)+СПРАВОЧНИК!$F$11*('ФАКТ ЧИСТ К2'!L14*СПРАВОЧНИК!$L$11+'ФАКТ ЧИСТ К2'!M14*СПРАВОЧНИК!$M$11+'ФАКТ ЧИСТ К2'!N14*СПРАВОЧНИК!$N$11+'ФАКТ ЧИСТ К2'!O14*СПРАВОЧНИК!$O$11+'ФАКТ ЧИСТ К2'!P14*СПРАВОЧНИК!$P$11)+СПРАВОЧНИК!$E$12*('ФАКТ ЧЕРН К2'!K14*СПРАВОЧНИК!$H$12+'ФАКТ ЧЕРН К2'!L14*СПРАВОЧНИК!$I$12+'ФАКТ ЧЕРН К2'!M14*СПРАВОЧНИК!$J$12)+СПРАВОЧНИК!$F$12*('ФАКТ ЧИСТ К2'!Q14*СПРАВОЧНИК!$L$12+'ФАКТ ЧИСТ К2'!R14*СПРАВОЧНИК!$M$12+'ФАКТ ЧИСТ К2'!S14*СПРАВОЧНИК!$N$12+'ФАКТ ЧИСТ К2'!T14*СПРАВОЧНИК!$O$12+'ФАКТ ЧИСТ К2'!U14*СПРАВОЧНИК!$P$12)+СПРАВОЧНИК!$E$13*('ФАКТ ЧЕРН К2'!N14*СПРАВОЧНИК!$H$13+'ФАКТ ЧЕРН К2'!O14*СПРАВОЧНИК!$I$13+'ФАКТ ЧЕРН К2'!P14*СПРАВОЧНИК!$J$13)+СПРАВОЧНИК!$F$13*('ФАКТ ЧИСТ К2'!V14*СПРАВОЧНИК!$L$13+'ФАКТ ЧИСТ К2'!W14*СПРАВОЧНИК!$M$13+'ФАКТ ЧИСТ К2'!X14*СПРАВОЧНИК!$N$13+'ФАКТ ЧИСТ К2'!Y14*СПРАВОЧНИК!$O$13+'ФАКТ ЧИСТ К2'!Z14*СПРАВОЧНИК!$P$13)+СПРАВОЧНИК!$E$14*('ФАКТ ЧЕРН К2'!Q14*СПРАВОЧНИК!$H$14+'ФАКТ ЧЕРН К2'!R14*СПРАВОЧНИК!$I$14+'ФАКТ ЧЕРН К2'!S14*СПРАВОЧНИК!$J$14)+СПРАВОЧНИК!$F$14*('ФАКТ ЧИСТ К2'!AA14*СПРАВОЧНИК!$L$14+'ФАКТ ЧИСТ К2'!AB14*СПРАВОЧНИК!$M$14+'ФАКТ ЧИСТ К2'!AC14*СПРАВОЧНИК!$N$14+'ФАКТ ЧИСТ К2'!AD14*СПРАВОЧНИК!$O$14+'ФАКТ ЧИСТ К2'!AE14*СПРАВОЧНИК!$P$14)+СПРАВОЧНИК!$E$15*('ФАКТ ЧЕРН К2'!T14*СПРАВОЧНИК!$H$15+'ФАКТ ЧЕРН К2'!U14*СПРАВОЧНИК!$I$15+'ФАКТ ЧЕРН К2'!V14*СПРАВОЧНИК!$J$15)+СПРАВОЧНИК!$F$15*('ФАКТ ЧИСТ К2'!AF14*СПРАВОЧНИК!$L$15+'ФАКТ ЧИСТ К2'!AG14*СПРАВОЧНИК!$M$15+'ФАКТ ЧИСТ К2'!AH14*СПРАВОЧНИК!$N$15+'ФАКТ ЧИСТ К2'!AI14*СПРАВОЧНИК!$O$15+'ФАКТ ЧИСТ К2'!AJ14*СПРАВОЧНИК!$P$15)</f>
        <v/>
      </c>
      <c r="AO23" s="34" t="n"/>
      <c r="AR23" s="152">
        <f>AR22+7</f>
        <v/>
      </c>
      <c r="AS23" s="17">
        <f>'ПЛАН ЧЕРН К2'!B14*СПРАВОЧНИК!$H$9+'ПЛАН ЧЕРН К2'!C14*СПРАВОЧНИК!$I$9+'ПЛАН ЧЕРН К2'!D14*СПРАВОЧНИК!$J$9+'ПЛАН ЧЕРН К2'!E14*СПРАВОЧНИК!$H$10+'ПЛАН ЧЕРН К2'!F14*СПРАВОЧНИК!$I$10+'ПЛАН ЧЕРН К2'!G14*СПРАВОЧНИК!$J$10+'ПЛАН ЧЕРН К2'!H14*СПРАВОЧНИК!$H$11+'ПЛАН ЧЕРН К2'!I14*СПРАВОЧНИК!$I$11+'ПЛАН ЧЕРН К2'!J14*СПРАВОЧНИК!$J$11+'ПЛАН ЧЕРН К2'!K14*СПРАВОЧНИК!$H$12+'ПЛАН ЧЕРН К2'!L14*СПРАВОЧНИК!$I$12+'ПЛАН ЧЕРН К2'!M14*СПРАВОЧНИК!$J$12+'ПЛАН ЧЕРН К2'!N14*СПРАВОЧНИК!$H$13+'ПЛАН ЧЕРН К2'!O14*СПРАВОЧНИК!$I$13+'ПЛАН ЧЕРН К2'!P14*СПРАВОЧНИК!$J$13+'ПЛАН ЧЕРН К2'!Q14*СПРАВОЧНИК!$H$14+'ПЛАН ЧЕРН К2'!R14*СПРАВОЧНИК!$I$14+'ПЛАН ЧЕРН К2'!S14*СПРАВОЧНИК!$J$14+'ПЛАН ЧЕРН К2'!T14*СПРАВОЧНИК!$H$15+'ПЛАН ЧЕРН К2'!U14*СПРАВОЧНИК!$I$15+'ПЛАН ЧЕРН К2'!V14*СПРАВОЧНИК!$J$15</f>
        <v/>
      </c>
      <c r="AT23" s="31">
        <f>('ФАКТ ЧЕРН К2'!B14)*СПРАВОЧНИК!$H$9+('ФАКТ ЧЕРН К2'!C14)*СПРАВОЧНИК!$I$9+('ФАКТ ЧЕРН К2'!D14)*СПРАВОЧНИК!$J$9+('ФАКТ ЧЕРН К2'!E14)*СПРАВОЧНИК!$H$10+('ФАКТ ЧЕРН К2'!F14)*СПРАВОЧНИК!$I$10+('ФАКТ ЧЕРН К2'!G14)*СПРАВОЧНИК!$J$10+('ФАКТ ЧЕРН К2'!H14)*СПРАВОЧНИК!$H$11+('ФАКТ ЧЕРН К2'!I14)*СПРАВОЧНИК!$I$11+('ФАКТ ЧЕРН К2'!J14)*СПРАВОЧНИК!$J$11+('ФАКТ ЧЕРН К2'!K14)*СПРАВОЧНИК!$H$12+('ФАКТ ЧЕРН К2'!L14)*СПРАВОЧНИК!$I$12+('ФАКТ ЧЕРН К2'!M14)*СПРАВОЧНИК!$J$12+('ФАКТ ЧЕРН К2'!N14)*СПРАВОЧНИК!$H$13+('ФАКТ ЧЕРН К2'!O14)*СПРАВОЧНИК!$I$13+('ФАКТ ЧЕРН К2'!P14)*СПРАВОЧНИК!$J$13+('ФАКТ ЧЕРН К2'!Q14)*СПРАВОЧНИК!$H$14+('ФАКТ ЧЕРН К2'!R14)*СПРАВОЧНИК!$I$14+('ФАКТ ЧЕРН К2'!S14)*СПРАВОЧНИК!$J$14+('ФАКТ ЧЕРН К2'!T14)*СПРАВОЧНИК!$H$15+('ФАКТ ЧЕРН К2'!U14)*СПРАВОЧНИК!$I$15+('ФАКТ ЧЕРН К2'!V14)*СПРАВОЧНИК!$J$15</f>
        <v/>
      </c>
      <c r="AU23" s="34" t="n"/>
      <c r="AX23" s="152">
        <f>AX22+7</f>
        <v/>
      </c>
      <c r="AY23" s="17">
        <f>'ПЛАН ЧИСТ К2'!B14*СПРАВОЧНИК!$L$9+'ПЛАН ЧИСТ К2'!C14*СПРАВОЧНИК!$M$9+'ПЛАН ЧИСТ К2'!D14*СПРАВОЧНИК!$N$9+'ПЛАН ЧИСТ К2'!E14*СПРАВОЧНИК!$O$9+'ПЛАН ЧИСТ К2'!F14*СПРАВОЧНИК!$P$9+'ПЛАН ЧИСТ К2'!G14*СПРАВОЧНИК!$L$10+'ПЛАН ЧИСТ К2'!H14*СПРАВОЧНИК!$M$10+'ПЛАН ЧИСТ К2'!I14*СПРАВОЧНИК!$N$10+'ПЛАН ЧИСТ К2'!J14*СПРАВОЧНИК!$O$10+'ПЛАН ЧИСТ К2'!K14*СПРАВОЧНИК!$P$10+'ПЛАН ЧИСТ К2'!L14*СПРАВОЧНИК!$L$11+'ПЛАН ЧИСТ К2'!M14*СПРАВОЧНИК!$M$11+'ПЛАН ЧИСТ К2'!N14*СПРАВОЧНИК!$N$11+'ПЛАН ЧИСТ К2'!O14*СПРАВОЧНИК!$O$11+'ПЛАН ЧИСТ К2'!P14*СПРАВОЧНИК!$P$11+'ПЛАН ЧИСТ К2'!Q14*СПРАВОЧНИК!$L$12+'ПЛАН ЧИСТ К2'!R14*СПРАВОЧНИК!$M$12+'ПЛАН ЧИСТ К2'!S14*СПРАВОЧНИК!$N$12+'ПЛАН ЧИСТ К2'!T14*СПРАВОЧНИК!$O$12+'ПЛАН ЧИСТ К2'!U14*СПРАВОЧНИК!$P$12+'ПЛАН ЧИСТ К2'!V14*СПРАВОЧНИК!$L$13+'ПЛАН ЧИСТ К2'!W14*СПРАВОЧНИК!$M$13+'ПЛАН ЧИСТ К2'!X14*СПРАВОЧНИК!$N$13+'ПЛАН ЧИСТ К2'!Y14*СПРАВОЧНИК!$O$13+'ПЛАН ЧИСТ К2'!Z14*СПРАВОЧНИК!$P$13+'ПЛАН ЧИСТ К2'!AA14*СПРАВОЧНИК!$L$14+'ПЛАН ЧИСТ К2'!AB14*СПРАВОЧНИК!$M$14+'ПЛАН ЧИСТ К2'!AC14*СПРАВОЧНИК!$N$14+'ПЛАН ЧИСТ К2'!AD14*СПРАВОЧНИК!$O$14+'ПЛАН ЧИСТ К2'!AE14*СПРАВОЧНИК!$P$14+'ПЛАН ЧИСТ К2'!AF14*СПРАВОЧНИК!$L$15+'ПЛАН ЧИСТ К2'!AG14*СПРАВОЧНИК!$M$15+'ПЛАН ЧИСТ К2'!AH14*СПРАВОЧНИК!$N$15+'ПЛАН ЧИСТ К2'!AI14*СПРАВОЧНИК!$O$15+'ПЛАН ЧИСТ К2'!AJ14*СПРАВОЧНИК!$P$15</f>
        <v/>
      </c>
      <c r="AZ23" s="31">
        <f>('ФАКТ ЧИСТ К2'!B14)*СПРАВОЧНИК!$L$9+('ФАКТ ЧИСТ К2'!C14)*СПРАВОЧНИК!$M$9+('ФАКТ ЧИСТ К2'!D14)*СПРАВОЧНИК!$N$9+('ФАКТ ЧИСТ К2'!E14)*СПРАВОЧНИК!$O$9+('ФАКТ ЧИСТ К2'!F14)*СПРАВОЧНИК!$P$9+('ФАКТ ЧИСТ К2'!G14)*СПРАВОЧНИК!$L$10+('ФАКТ ЧИСТ К2'!H14)*СПРАВОЧНИК!$M$10+('ФАКТ ЧИСТ К2'!I14)*СПРАВОЧНИК!$N$10+('ФАКТ ЧИСТ К2'!J14)*СПРАВОЧНИК!$O$10+('ФАКТ ЧИСТ К2'!K14)*СПРАВОЧНИК!$P$10+('ФАКТ ЧИСТ К2'!L14)*СПРАВОЧНИК!$L$11+('ФАКТ ЧИСТ К2'!M14)*СПРАВОЧНИК!$M$11+('ФАКТ ЧИСТ К2'!N14)*СПРАВОЧНИК!$N$11+('ФАКТ ЧИСТ К2'!O14)*СПРАВОЧНИК!$O$11+('ФАКТ ЧИСТ К2'!P14)*СПРАВОЧНИК!$P$11+('ФАКТ ЧИСТ К2'!Q14)*СПРАВОЧНИК!$L$12+('ФАКТ ЧИСТ К2'!R14)*СПРАВОЧНИК!$M$12+('ФАКТ ЧИСТ К2'!S14)*СПРАВОЧНИК!$N$12+('ФАКТ ЧИСТ К2'!T14)*СПРАВОЧНИК!$O$12+('ФАКТ ЧИСТ К2'!U14)*СПРАВОЧНИК!$P$12+('ФАКТ ЧИСТ К2'!V14)*СПРАВОЧНИК!$L$13+('ФАКТ ЧИСТ К2'!W14)*СПРАВОЧНИК!$M$13+('ФАКТ ЧИСТ К2'!X14)*СПРАВОЧНИК!$N$13+('ФАКТ ЧИСТ К2'!Y14)*СПРАВОЧНИК!$O$13+('ФАКТ ЧИСТ К2'!Z14)*СПРАВОЧНИК!$P$13+('ФАКТ ЧИСТ К2'!AA14)*СПРАВОЧНИК!$L$14+('ФАКТ ЧИСТ К2'!AB14)*СПРАВОЧНИК!$M$14+('ФАКТ ЧИСТ К2'!AC14)*СПРАВОЧНИК!$N$14+('ФАКТ ЧИСТ К2'!AD14)*СПРАВОЧНИК!$O$14+('ФАКТ ЧИСТ К2'!AE14)*СПРАВОЧНИК!$P$14+('ФАКТ ЧИСТ К2'!AF14)*СПРАВОЧНИК!$L$15+('ФАКТ ЧИСТ К2'!AG14)*СПРАВОЧНИК!$M$15+('ФАКТ ЧИСТ К2'!AH14)*СПРАВОЧНИК!$N$15+('ФАКТ ЧИСТ К2'!AI14)*СПРАВОЧНИК!$O$15+('ФАКТ ЧИСТ К2'!AJ14)*СПРАВОЧНИК!$P$15</f>
        <v/>
      </c>
      <c r="BA23" s="34" t="n"/>
      <c r="BD23" s="152">
        <f>BD22+7</f>
        <v/>
      </c>
      <c r="BE23" s="17">
        <f>СПРАВОЧНИК!$E$9*('ПЛАН ЧЕРН К3'!B14*СПРАВОЧНИК!$H$9+'ПЛАН ЧЕРН К3'!C14*СПРАВОЧНИК!$I$9+'ПЛАН ЧЕРН К3'!D14*СПРАВОЧНИК!$J$9)+СПРАВОЧНИК!$F$9*('ПЛАН ЧИСТ К3'!B14*СПРАВОЧНИК!$L$9+'ПЛАН ЧИСТ К3'!C14*СПРАВОЧНИК!$M$9+'ПЛАН ЧИСТ К3'!D14*СПРАВОЧНИК!$N$9+'ПЛАН ЧИСТ К3'!E14*СПРАВОЧНИК!$O$9+'ПЛАН ЧИСТ К3'!F14*СПРАВОЧНИК!$P$9)+СПРАВОЧНИК!$E$10*('ПЛАН ЧЕРН К3'!E14*СПРАВОЧНИК!$H$10+'ПЛАН ЧЕРН К3'!F14*СПРАВОЧНИК!$I$10+'ПЛАН ЧЕРН К3'!G14*СПРАВОЧНИК!$J$10)+СПРАВОЧНИК!$F$10*('ПЛАН ЧИСТ К3'!G14*СПРАВОЧНИК!$L$10+'ПЛАН ЧИСТ К3'!H14*СПРАВОЧНИК!$M$10+'ПЛАН ЧИСТ К3'!I14*СПРАВОЧНИК!$N$10+'ПЛАН ЧИСТ К3'!J14*СПРАВОЧНИК!$O$10+'ПЛАН ЧИСТ К3'!K14*СПРАВОЧНИК!$P$10)+СПРАВОЧНИК!$E$11*('ПЛАН ЧЕРН К3'!H14*СПРАВОЧНИК!$H$11+'ПЛАН ЧЕРН К3'!I14*СПРАВОЧНИК!$I$11+'ПЛАН ЧЕРН К3'!J14*СПРАВОЧНИК!$J$11)+СПРАВОЧНИК!$F$11*('ПЛАН ЧИСТ К3'!L14*СПРАВОЧНИК!$L$11+'ПЛАН ЧИСТ К3'!M14*СПРАВОЧНИК!$M$11+'ПЛАН ЧИСТ К3'!N14*СПРАВОЧНИК!$N$11+'ПЛАН ЧИСТ К3'!O14*СПРАВОЧНИК!$O$11+'ПЛАН ЧИСТ К3'!P14*СПРАВОЧНИК!$P$11)+СПРАВОЧНИК!$E$12*('ПЛАН ЧЕРН К3'!K14*СПРАВОЧНИК!$H$12+'ПЛАН ЧЕРН К3'!L14*СПРАВОЧНИК!$I$12+'ПЛАН ЧЕРН К3'!M14*СПРАВОЧНИК!$J$12)+СПРАВОЧНИК!$F$12*('ПЛАН ЧИСТ К3'!Q14*СПРАВОЧНИК!$L$12+'ПЛАН ЧИСТ К3'!R14*СПРАВОЧНИК!$M$12+'ПЛАН ЧИСТ К3'!S14*СПРАВОЧНИК!$N$12+'ПЛАН ЧИСТ К3'!T14*СПРАВОЧНИК!$O$12+'ПЛАН ЧИСТ К3'!U14*СПРАВОЧНИК!$P$12)+СПРАВОЧНИК!$E$13*('ПЛАН ЧЕРН К3'!N14*СПРАВОЧНИК!$H$13+'ПЛАН ЧЕРН К3'!O14*СПРАВОЧНИК!$I$13+'ПЛАН ЧЕРН К3'!P14*СПРАВОЧНИК!$J$13)+СПРАВОЧНИК!$F$13*('ПЛАН ЧИСТ К3'!V14*СПРАВОЧНИК!$L$13+'ПЛАН ЧИСТ К3'!W14*СПРАВОЧНИК!$M$13+'ПЛАН ЧИСТ К3'!X14*СПРАВОЧНИК!$N$13+'ПЛАН ЧИСТ К3'!Y14*СПРАВОЧНИК!$O$13+'ПЛАН ЧИСТ К3'!Z14*СПРАВОЧНИК!$P$13)+СПРАВОЧНИК!$E$14*('ПЛАН ЧЕРН К3'!Q14*СПРАВОЧНИК!$H$14+'ПЛАН ЧЕРН К3'!R14*СПРАВОЧНИК!$I$14+'ПЛАН ЧЕРН К3'!S14*СПРАВОЧНИК!$J$14)+СПРАВОЧНИК!$F$14*('ПЛАН ЧИСТ К3'!AA14*СПРАВОЧНИК!$L$14+'ПЛАН ЧИСТ К3'!AB14*СПРАВОЧНИК!$M$14+'ПЛАН ЧИСТ К3'!AC14*СПРАВОЧНИК!$N$14+'ПЛАН ЧИСТ К3'!AD14*СПРАВОЧНИК!$O$14+'ПЛАН ЧИСТ К3'!AE14*СПРАВОЧНИК!$P$14)+СПРАВОЧНИК!$E$15*('ПЛАН ЧЕРН К3'!T14*СПРАВОЧНИК!$H$15+'ПЛАН ЧЕРН К3'!U14*СПРАВОЧНИК!$I$15+'ПЛАН ЧЕРН К3'!V14*СПРАВОЧНИК!$J$15)+СПРАВОЧНИК!$F$15*('ПЛАН ЧИСТ К3'!AF14*СПРАВОЧНИК!$L$15+'ПЛАН ЧИСТ К3'!AG14*СПРАВОЧНИК!$M$15+'ПЛАН ЧИСТ К3'!AH14*СПРАВОЧНИК!$N$15+'ПЛАН ЧИСТ К3'!AI14*СПРАВОЧНИК!$O$15+'ПЛАН ЧИСТ К3'!AJ14*СПРАВОЧНИК!$P$15)</f>
        <v/>
      </c>
      <c r="BF23" s="31">
        <f>СПРАВОЧНИК!$E$9*('ФАКТ ЧЕРН К3'!B14*СПРАВОЧНИК!$H$9+'ФАКТ ЧЕРН К3'!C14*СПРАВОЧНИК!$I$9+'ФАКТ ЧЕРН К3'!D14*СПРАВОЧНИК!$J$9)+СПРАВОЧНИК!$F$9*('ФАКТ ЧИСТ К3'!B14*СПРАВОЧНИК!$L$9+'ФАКТ ЧИСТ К3'!C14*СПРАВОЧНИК!$M$9+'ФАКТ ЧИСТ К3'!D14*СПРАВОЧНИК!$N$9+'ФАКТ ЧИСТ К3'!E14*СПРАВОЧНИК!$O$9+'ФАКТ ЧИСТ К3'!F14*СПРАВОЧНИК!$P$9)+СПРАВОЧНИК!$E$10*('ФАКТ ЧЕРН К3'!E14*СПРАВОЧНИК!$H$10+'ФАКТ ЧЕРН К3'!F14*СПРАВОЧНИК!$I$10+'ФАКТ ЧЕРН К3'!G14*СПРАВОЧНИК!$J$10)+СПРАВОЧНИК!$F$10*('ФАКТ ЧИСТ К3'!G14*СПРАВОЧНИК!$L$10+'ФАКТ ЧИСТ К3'!H14*СПРАВОЧНИК!$M$10+'ФАКТ ЧИСТ К3'!I14*СПРАВОЧНИК!$N$10+'ФАКТ ЧИСТ К3'!J14*СПРАВОЧНИК!$O$10+'ФАКТ ЧИСТ К3'!K14*СПРАВОЧНИК!$P$10)+СПРАВОЧНИК!$E$11*('ФАКТ ЧЕРН К3'!H14*СПРАВОЧНИК!$H$11+'ФАКТ ЧЕРН К3'!I14*СПРАВОЧНИК!$I$11+'ФАКТ ЧЕРН К3'!J14*СПРАВОЧНИК!$J$11)+СПРАВОЧНИК!$F$11*('ФАКТ ЧИСТ К3'!L14*СПРАВОЧНИК!$L$11+'ФАКТ ЧИСТ К3'!M14*СПРАВОЧНИК!$M$11+'ФАКТ ЧИСТ К3'!N14*СПРАВОЧНИК!$N$11+'ФАКТ ЧИСТ К3'!O14*СПРАВОЧНИК!$O$11+'ФАКТ ЧИСТ К3'!P14*СПРАВОЧНИК!$P$11)+СПРАВОЧНИК!$E$12*('ФАКТ ЧЕРН К3'!K14*СПРАВОЧНИК!$H$12+'ФАКТ ЧЕРН К3'!L14*СПРАВОЧНИК!$I$12+'ФАКТ ЧЕРН К3'!M14*СПРАВОЧНИК!$J$12)+СПРАВОЧНИК!$F$12*('ФАКТ ЧИСТ К3'!Q14*СПРАВОЧНИК!$L$12+'ФАКТ ЧИСТ К3'!R14*СПРАВОЧНИК!$M$12+'ФАКТ ЧИСТ К3'!S14*СПРАВОЧНИК!$N$12+'ФАКТ ЧИСТ К3'!T14*СПРАВОЧНИК!$O$12+'ФАКТ ЧИСТ К3'!U14*СПРАВОЧНИК!$P$12)+СПРАВОЧНИК!$E$13*('ФАКТ ЧЕРН К3'!N14*СПРАВОЧНИК!$H$13+'ФАКТ ЧЕРН К3'!O14*СПРАВОЧНИК!$I$13+'ФАКТ ЧЕРН К3'!P14*СПРАВОЧНИК!$J$13)+СПРАВОЧНИК!$F$13*('ФАКТ ЧИСТ К3'!V14*СПРАВОЧНИК!$L$13+'ФАКТ ЧИСТ К3'!W14*СПРАВОЧНИК!$M$13+'ФАКТ ЧИСТ К3'!X14*СПРАВОЧНИК!$N$13+'ФАКТ ЧИСТ К3'!Y14*СПРАВОЧНИК!$O$13+'ФАКТ ЧИСТ К3'!Z14*СПРАВОЧНИК!$P$13)+СПРАВОЧНИК!$E$14*('ФАКТ ЧЕРН К3'!Q14*СПРАВОЧНИК!$H$14+'ФАКТ ЧЕРН К3'!R14*СПРАВОЧНИК!$I$14+'ФАКТ ЧЕРН К3'!S14*СПРАВОЧНИК!$J$14)+СПРАВОЧНИК!$F$14*('ФАКТ ЧИСТ К3'!AA14*СПРАВОЧНИК!$L$14+'ФАКТ ЧИСТ К3'!AB14*СПРАВОЧНИК!$M$14+'ФАКТ ЧИСТ К3'!AC14*СПРАВОЧНИК!$N$14+'ФАКТ ЧИСТ К3'!AD14*СПРАВОЧНИК!$O$14+'ФАКТ ЧИСТ К3'!AE14*СПРАВОЧНИК!$P$14)+СПРАВОЧНИК!$E$15*('ФАКТ ЧЕРН К3'!T14*СПРАВОЧНИК!$H$15+'ФАКТ ЧЕРН К3'!U14*СПРАВОЧНИК!$I$15+'ФАКТ ЧЕРН К3'!V14*СПРАВОЧНИК!$J$15)+СПРАВОЧНИК!$F$15*('ФАКТ ЧИСТ К3'!AF14*СПРАВОЧНИК!$L$15+'ФАКТ ЧИСТ К3'!AG14*СПРАВОЧНИК!$M$15+'ФАКТ ЧИСТ К3'!AH14*СПРАВОЧНИК!$N$15+'ФАКТ ЧИСТ К3'!AI14*СПРАВОЧНИК!$O$15+'ФАКТ ЧИСТ К3'!AJ14*СПРАВОЧНИК!$P$15)</f>
        <v/>
      </c>
      <c r="BG23" s="34" t="n"/>
      <c r="BJ23" s="152">
        <f>BJ22+7</f>
        <v/>
      </c>
      <c r="BK23" s="17">
        <f>'ПЛАН ЧЕРН К3'!B14*СПРАВОЧНИК!$H$9+'ПЛАН ЧЕРН К3'!C14*СПРАВОЧНИК!$I$9+'ПЛАН ЧЕРН К3'!D14*СПРАВОЧНИК!$J$9+'ПЛАН ЧЕРН К3'!E14*СПРАВОЧНИК!$H$10+'ПЛАН ЧЕРН К3'!F14*СПРАВОЧНИК!$I$10+'ПЛАН ЧЕРН К3'!G14*СПРАВОЧНИК!$J$10+'ПЛАН ЧЕРН К3'!H14*СПРАВОЧНИК!$H$11+'ПЛАН ЧЕРН К3'!I14*СПРАВОЧНИК!$I$11+'ПЛАН ЧЕРН К3'!J14*СПРАВОЧНИК!$J$11+'ПЛАН ЧЕРН К3'!K14*СПРАВОЧНИК!$H$12+'ПЛАН ЧЕРН К3'!L14*СПРАВОЧНИК!$I$12+'ПЛАН ЧЕРН К3'!M14*СПРАВОЧНИК!$J$12+'ПЛАН ЧЕРН К3'!N14*СПРАВОЧНИК!$H$13+'ПЛАН ЧЕРН К3'!O14*СПРАВОЧНИК!$I$13+'ПЛАН ЧЕРН К3'!P14*СПРАВОЧНИК!$J$13+'ПЛАН ЧЕРН К3'!Q14*СПРАВОЧНИК!$H$14+'ПЛАН ЧЕРН К3'!R14*СПРАВОЧНИК!$I$14+'ПЛАН ЧЕРН К3'!S14*СПРАВОЧНИК!$J$14+'ПЛАН ЧЕРН К3'!T14*СПРАВОЧНИК!$H$15+'ПЛАН ЧЕРН К3'!U14*СПРАВОЧНИК!$I$15+'ПЛАН ЧЕРН К3'!V14*СПРАВОЧНИК!$J$15</f>
        <v/>
      </c>
      <c r="BL23" s="31">
        <f>('ФАКТ ЧЕРН К3'!B14)*СПРАВОЧНИК!$H$9+('ФАКТ ЧЕРН К3'!C14)*СПРАВОЧНИК!$I$9+('ФАКТ ЧЕРН К3'!D14)*СПРАВОЧНИК!$J$9+('ФАКТ ЧЕРН К3'!E14)*СПРАВОЧНИК!$H$10+('ФАКТ ЧЕРН К3'!F14)*СПРАВОЧНИК!$I$10+('ФАКТ ЧЕРН К3'!G14)*СПРАВОЧНИК!$J$10+('ФАКТ ЧЕРН К3'!H14)*СПРАВОЧНИК!$H$11+('ФАКТ ЧЕРН К3'!I14)*СПРАВОЧНИК!$I$11+('ФАКТ ЧЕРН К3'!J14)*СПРАВОЧНИК!$J$11+('ФАКТ ЧЕРН К3'!K14)*СПРАВОЧНИК!$H$12+('ФАКТ ЧЕРН К3'!L14)*СПРАВОЧНИК!$I$12+('ФАКТ ЧЕРН К3'!M14)*СПРАВОЧНИК!$J$12+('ФАКТ ЧЕРН К3'!N14)*СПРАВОЧНИК!$H$13+('ФАКТ ЧЕРН К3'!O14)*СПРАВОЧНИК!$I$13+('ФАКТ ЧЕРН К3'!P14)*СПРАВОЧНИК!$J$13+('ФАКТ ЧЕРН К3'!Q14)*СПРАВОЧНИК!$H$14+('ФАКТ ЧЕРН К3'!R14)*СПРАВОЧНИК!$I$14+('ФАКТ ЧЕРН К3'!S14)*СПРАВОЧНИК!$J$14+('ФАКТ ЧЕРН К3'!T14)*СПРАВОЧНИК!$H$15+('ФАКТ ЧЕРН К3'!U14)*СПРАВОЧНИК!$I$15+('ФАКТ ЧЕРН К3'!V14)*СПРАВОЧНИК!$J$15</f>
        <v/>
      </c>
      <c r="BM23" s="34" t="n"/>
      <c r="BP23" s="152">
        <f>BP22+7</f>
        <v/>
      </c>
      <c r="BQ23" s="17">
        <f>'ПЛАН ЧИСТ К3'!B14*СПРАВОЧНИК!$L$9+'ПЛАН ЧИСТ К3'!C14*СПРАВОЧНИК!$M$9+'ПЛАН ЧИСТ К3'!D14*СПРАВОЧНИК!$N$9+'ПЛАН ЧИСТ К3'!E14*СПРАВОЧНИК!$O$9+'ПЛАН ЧИСТ К3'!F14*СПРАВОЧНИК!$P$9+'ПЛАН ЧИСТ К3'!G14*СПРАВОЧНИК!$L$10+'ПЛАН ЧИСТ К3'!H14*СПРАВОЧНИК!$M$10+'ПЛАН ЧИСТ К3'!I14*СПРАВОЧНИК!$N$10+'ПЛАН ЧИСТ К3'!J14*СПРАВОЧНИК!$O$10+'ПЛАН ЧИСТ К3'!K14*СПРАВОЧНИК!$P$10+'ПЛАН ЧИСТ К3'!L14*СПРАВОЧНИК!$L$11+'ПЛАН ЧИСТ К3'!M14*СПРАВОЧНИК!$M$11+'ПЛАН ЧИСТ К3'!N14*СПРАВОЧНИК!$N$11+'ПЛАН ЧИСТ К3'!O14*СПРАВОЧНИК!$O$11+'ПЛАН ЧИСТ К3'!P14*СПРАВОЧНИК!$P$11+'ПЛАН ЧИСТ К3'!Q14*СПРАВОЧНИК!$L$12+'ПЛАН ЧИСТ К3'!R14*СПРАВОЧНИК!$M$12+'ПЛАН ЧИСТ К3'!S14*СПРАВОЧНИК!$N$12+'ПЛАН ЧИСТ К3'!T14*СПРАВОЧНИК!$O$12+'ПЛАН ЧИСТ К3'!U14*СПРАВОЧНИК!$P$12+'ПЛАН ЧИСТ К3'!V14*СПРАВОЧНИК!$L$13+'ПЛАН ЧИСТ К3'!W14*СПРАВОЧНИК!$M$13+'ПЛАН ЧИСТ К3'!X14*СПРАВОЧНИК!$N$13+'ПЛАН ЧИСТ К3'!Y14*СПРАВОЧНИК!$O$13+'ПЛАН ЧИСТ К3'!Z14*СПРАВОЧНИК!$P$13+'ПЛАН ЧИСТ К3'!AA14*СПРАВОЧНИК!$L$14+'ПЛАН ЧИСТ К3'!AB14*СПРАВОЧНИК!$M$14+'ПЛАН ЧИСТ К3'!AC14*СПРАВОЧНИК!$N$14+'ПЛАН ЧИСТ К3'!AD14*СПРАВОЧНИК!$O$14+'ПЛАН ЧИСТ К3'!AE14*СПРАВОЧНИК!$P$14+'ПЛАН ЧИСТ К3'!AF14*СПРАВОЧНИК!$L$15+'ПЛАН ЧИСТ К3'!AG14*СПРАВОЧНИК!$M$15+'ПЛАН ЧИСТ К3'!AH14*СПРАВОЧНИК!$N$15+'ПЛАН ЧИСТ К3'!AI14*СПРАВОЧНИК!$O$15+'ПЛАН ЧИСТ К3'!AJ14*СПРАВОЧНИК!$P$15</f>
        <v/>
      </c>
      <c r="BR23" s="31">
        <f>('ФАКТ ЧИСТ К3'!B14)*СПРАВОЧНИК!$L$9+('ФАКТ ЧИСТ К3'!C14)*СПРАВОЧНИК!$M$9+('ФАКТ ЧИСТ К3'!D14)*СПРАВОЧНИК!$N$9+('ФАКТ ЧИСТ К3'!E14)*СПРАВОЧНИК!$O$9+('ФАКТ ЧИСТ К3'!F14)*СПРАВОЧНИК!$P$9+('ФАКТ ЧИСТ К3'!G14)*СПРАВОЧНИК!$L$10+('ФАКТ ЧИСТ К3'!H14)*СПРАВОЧНИК!$M$10+('ФАКТ ЧИСТ К3'!I14)*СПРАВОЧНИК!$N$10+('ФАКТ ЧИСТ К3'!J14)*СПРАВОЧНИК!$O$10+('ФАКТ ЧИСТ К3'!K14)*СПРАВОЧНИК!$P$10+('ФАКТ ЧИСТ К3'!L14)*СПРАВОЧНИК!$L$11+('ФАКТ ЧИСТ К3'!M14)*СПРАВОЧНИК!$M$11+('ФАКТ ЧИСТ К3'!N14)*СПРАВОЧНИК!$N$11+('ФАКТ ЧИСТ К3'!O14)*СПРАВОЧНИК!$O$11+('ФАКТ ЧИСТ К3'!P14)*СПРАВОЧНИК!$P$11+('ФАКТ ЧИСТ К3'!Q14)*СПРАВОЧНИК!$L$12+('ФАКТ ЧИСТ К3'!R14)*СПРАВОЧНИК!$M$12+('ФАКТ ЧИСТ К3'!S14)*СПРАВОЧНИК!$N$12+('ФАКТ ЧИСТ К3'!T14)*СПРАВОЧНИК!$O$12+('ФАКТ ЧИСТ К3'!U14)*СПРАВОЧНИК!$P$12+('ФАКТ ЧИСТ К3'!V14)*СПРАВОЧНИК!$L$13+('ФАКТ ЧИСТ К3'!W14)*СПРАВОЧНИК!$M$13+('ФАКТ ЧИСТ К3'!X14)*СПРАВОЧНИК!$N$13+('ФАКТ ЧИСТ К3'!Y14)*СПРАВОЧНИК!$O$13+('ФАКТ ЧИСТ К3'!Z14)*СПРАВОЧНИК!$P$13+('ФАКТ ЧИСТ К3'!AA14)*СПРАВОЧНИК!$L$14+('ФАКТ ЧИСТ К3'!AB14)*СПРАВОЧНИК!$M$14+('ФАКТ ЧИСТ К3'!AC14)*СПРАВОЧНИК!$N$14+('ФАКТ ЧИСТ К3'!AD14)*СПРАВОЧНИК!$O$14+('ФАКТ ЧИСТ К3'!AE14)*СПРАВОЧНИК!$P$14+('ФАКТ ЧИСТ К3'!AF14)*СПРАВОЧНИК!$L$15+('ФАКТ ЧИСТ К3'!AG14)*СПРАВОЧНИК!$M$15+('ФАКТ ЧИСТ К3'!AH14)*СПРАВОЧНИК!$N$15+('ФАКТ ЧИСТ К3'!AI14)*СПРАВОЧНИК!$O$15+('ФАКТ ЧИСТ К3'!AJ14)*СПРАВОЧНИК!$P$15</f>
        <v/>
      </c>
      <c r="BS23" s="34" t="n"/>
      <c r="BV23" s="152">
        <f>BV22+7</f>
        <v/>
      </c>
      <c r="BW23" s="17">
        <f>U23*СПРАВОЧНИК!$K$28+AM23*СПРАВОЧНИК!$K$29+BE23*СПРАВОЧНИК!$K$30</f>
        <v/>
      </c>
      <c r="BX23" s="31">
        <f>V23*СПРАВОЧНИК!$K$28+AN23*СПРАВОЧНИК!$K$29+BF23*СПРАВОЧНИК!$K$30</f>
        <v/>
      </c>
      <c r="BY23" s="34" t="n"/>
      <c r="CB23" s="152">
        <f>CB22+7</f>
        <v/>
      </c>
      <c r="CC23" s="17">
        <f>AA23*СПРАВОЧНИК!$K$28+AS23*СПРАВОЧНИК!$K$29+BK23*СПРАВОЧНИК!$K$30</f>
        <v/>
      </c>
      <c r="CD23" s="31">
        <f>AB23*СПРАВОЧНИК!$K$28+AT23*СПРАВОЧНИК!$K$29+BL23*СПРАВОЧНИК!$K$30</f>
        <v/>
      </c>
      <c r="CE23" s="34" t="n"/>
      <c r="CH23" s="152">
        <f>CH22+7</f>
        <v/>
      </c>
      <c r="CI23" s="17">
        <f>AG23*СПРАВОЧНИК!$K$28+AY23*СПРАВОЧНИК!$K$29+BQ23*СПРАВОЧНИК!$K$30</f>
        <v/>
      </c>
      <c r="CJ23" s="31">
        <f>AH23*СПРАВОЧНИК!$K$28+AZ23*СПРАВОЧНИК!$K$29+BR23*СПРАВОЧНИК!$K$30</f>
        <v/>
      </c>
      <c r="CK23" s="34" t="n"/>
      <c r="CN23" s="152">
        <f>CN22+7</f>
        <v/>
      </c>
      <c r="CO23" s="17">
        <f>C23*СПРАВОЧНИК!$W$18+BW23*СПРАВОЧНИК!$W$19</f>
        <v/>
      </c>
      <c r="CP23" s="31">
        <f>D23*СПРАВОЧНИК!$W$18+BX23*СПРАВОЧНИК!$W$19</f>
        <v/>
      </c>
      <c r="CQ23" s="34" t="n"/>
      <c r="CT23" s="152">
        <f>CT22+7</f>
        <v/>
      </c>
      <c r="CU23" s="17">
        <f>I23*СПРАВОЧНИК!$W$18+CC23*СПРАВОЧНИК!$W$19</f>
        <v/>
      </c>
      <c r="CV23" s="31">
        <f>J23*СПРАВОЧНИК!$W$18+CD23*СПРАВОЧНИК!$W$19</f>
        <v/>
      </c>
      <c r="CW23" s="34" t="n"/>
      <c r="CZ23" s="152">
        <f>CZ22+7</f>
        <v/>
      </c>
      <c r="DA23" s="17">
        <f>O23*СПРАВОЧНИК!$W$18+CI23*СПРАВОЧНИК!$W$19</f>
        <v/>
      </c>
      <c r="DB23" s="31">
        <f>P23*СПРАВОЧНИК!$W$18+CJ23*СПРАВОЧНИК!$W$19</f>
        <v/>
      </c>
      <c r="DC23" s="34" t="n"/>
    </row>
    <row r="24">
      <c r="B24" s="152">
        <f>B23+7</f>
        <v/>
      </c>
      <c r="C24" s="17">
        <f>СПРАВОЧНИК!$E$3*('ПЛАН ЧЕРН ПОДЗЕМ'!B15*СПРАВОЧНИК!$H$3+'ПЛАН ЧЕРН ПОДЗЕМ'!C15*СПРАВОЧНИК!$I$3+'ПЛАН ЧЕРН ПОДЗЕМ'!D15*СПРАВОЧНИК!$J$3)+СПРАВОЧНИК!$F$3*('ПЛАН ЧИСТ ПОДЗЕМ'!B15*СПРАВОЧНИК!$L$3+'ПЛАН ЧИСТ ПОДЗЕМ'!C15*СПРАВОЧНИК!$M$3+'ПЛАН ЧИСТ ПОДЗЕМ'!D15*СПРАВОЧНИК!$N$3+'ПЛАН ЧИСТ ПОДЗЕМ'!E15*СПРАВОЧНИК!$O$3+'ПЛАН ЧИСТ ПОДЗЕМ'!F15*СПРАВОЧНИК!$P$3)+СПРАВОЧНИК!$E$4*('ПЛАН ЧЕРН ПОДЗЕМ'!E15*СПРАВОЧНИК!$H$4+'ПЛАН ЧЕРН ПОДЗЕМ'!F15*СПРАВОЧНИК!$I$4+'ПЛАН ЧЕРН ПОДЗЕМ'!G15*СПРАВОЧНИК!$J$4)+СПРАВОЧНИК!$F$4*('ПЛАН ЧИСТ ПОДЗЕМ'!G15*СПРАВОЧНИК!$L$4+'ПЛАН ЧИСТ ПОДЗЕМ'!H15*СПРАВОЧНИК!$M$4+'ПЛАН ЧИСТ ПОДЗЕМ'!I15*СПРАВОЧНИК!$N$4+'ПЛАН ЧИСТ ПОДЗЕМ'!J15*СПРАВОЧНИК!$O$4+'ПЛАН ЧИСТ ПОДЗЕМ'!K15*СПРАВОЧНИК!$P$4)+СПРАВОЧНИК!$E$5*('ПЛАН ЧЕРН ПОДЗЕМ'!H15*СПРАВОЧНИК!$H$5+'ПЛАН ЧЕРН ПОДЗЕМ'!I15*СПРАВОЧНИК!$I$5+'ПЛАН ЧЕРН ПОДЗЕМ'!J15*СПРАВОЧНИК!$J$5)+СПРАВОЧНИК!$F$5*('ПЛАН ЧИСТ ПОДЗЕМ'!L15*СПРАВОЧНИК!$L$5+'ПЛАН ЧИСТ ПОДЗЕМ'!M15*СПРАВОЧНИК!$M$5+'ПЛАН ЧИСТ ПОДЗЕМ'!N15*СПРАВОЧНИК!$N$5+'ПЛАН ЧИСТ ПОДЗЕМ'!O15*СПРАВОЧНИК!$O$5+'ПЛАН ЧИСТ ПОДЗЕМ'!P15*СПРАВОЧНИК!$P$5)+СПРАВОЧНИК!$E$6*('ПЛАН ЧЕРН ПОДЗЕМ'!K15*СПРАВОЧНИК!$H$6+'ПЛАН ЧЕРН ПОДЗЕМ'!L15*СПРАВОЧНИК!$I$6+'ПЛАН ЧЕРН ПОДЗЕМ'!M15*СПРАВОЧНИК!$J$6)+СПРАВОЧНИК!$F$6*('ПЛАН ЧИСТ ПОДЗЕМ'!Q15*СПРАВОЧНИК!$L$6+'ПЛАН ЧИСТ ПОДЗЕМ'!R15*СПРАВОЧНИК!$M$6+'ПЛАН ЧИСТ ПОДЗЕМ'!S15*СПРАВОЧНИК!$N$6+'ПЛАН ЧИСТ ПОДЗЕМ'!T15*СПРАВОЧНИК!$O$6+'ПЛАН ЧИСТ ПОДЗЕМ'!U15*СПРАВОЧНИК!$P$6)+СПРАВОЧНИК!$E$7*('ПЛАН ЧЕРН ПОДЗЕМ'!N15*СПРАВОЧНИК!$H$7+'ПЛАН ЧЕРН ПОДЗЕМ'!O15*СПРАВОЧНИК!$I$7+'ПЛАН ЧЕРН ПОДЗЕМ'!P15*СПРАВОЧНИК!$J$7)+СПРАВОЧНИК!$F$7*('ПЛАН ЧИСТ ПОДЗЕМ'!V15*СПРАВОЧНИК!$L$7+'ПЛАН ЧИСТ ПОДЗЕМ'!W15*СПРАВОЧНИК!$M$7+'ПЛАН ЧИСТ ПОДЗЕМ'!X15*СПРАВОЧНИК!$N$7+'ПЛАН ЧИСТ ПОДЗЕМ'!Y15*СПРАВОЧНИК!$O$7+'ПЛАН ЧИСТ ПОДЗЕМ'!Z15*СПРАВОЧНИК!$P$7)+СПРАВОЧНИК!$E$8*('ПЛАН ЧЕРН ПОДЗЕМ'!Q15*СПРАВОЧНИК!$H$8+'ПЛАН ЧЕРН ПОДЗЕМ'!R15*СПРАВОЧНИК!$I$8+'ПЛАН ЧЕРН ПОДЗЕМ'!S15*СПРАВОЧНИК!$J$8)+СПРАВОЧНИК!$F$8*('ПЛАН ЧИСТ ПОДЗЕМ'!AA15*СПРАВОЧНИК!$L$8+'ПЛАН ЧИСТ ПОДЗЕМ'!AB15*СПРАВОЧНИК!$M$8+'ПЛАН ЧИСТ ПОДЗЕМ'!AC15*СПРАВОЧНИК!$N$8+'ПЛАН ЧИСТ ПОДЗЕМ'!AD15*СПРАВОЧНИК!$O$8+'ПЛАН ЧИСТ ПОДЗЕМ'!AE15*СПРАВОЧНИК!$P$8)</f>
        <v/>
      </c>
      <c r="D24" s="31">
        <f>СПРАВОЧНИК!$E$3*('ФАКТ ЧЕРН ПОДЗЕМ'!B15*СПРАВОЧНИК!$H$3+'ФАКТ ЧЕРН ПОДЗЕМ'!C15*СПРАВОЧНИК!$I$3+'ФАКТ ЧЕРН ПОДЗЕМ'!D15*СПРАВОЧНИК!$J$3)+СПРАВОЧНИК!$F$3*('ФАКТ ЧИСТ ПОДЗЕМ'!B15*СПРАВОЧНИК!$L$3+'ФАКТ ЧИСТ ПОДЗЕМ'!C15*СПРАВОЧНИК!$M$3+'ФАКТ ЧИСТ ПОДЗЕМ'!D15*СПРАВОЧНИК!$N$3+'ФАКТ ЧИСТ ПОДЗЕМ'!E15*СПРАВОЧНИК!$O$3+'ФАКТ ЧИСТ ПОДЗЕМ'!F15*СПРАВОЧНИК!$P$3)+СПРАВОЧНИК!$E$4*('ФАКТ ЧЕРН ПОДЗЕМ'!E15*СПРАВОЧНИК!$H$4+'ФАКТ ЧЕРН ПОДЗЕМ'!F15*СПРАВОЧНИК!$I$4+'ФАКТ ЧЕРН ПОДЗЕМ'!G15*СПРАВОЧНИК!$J$4)+СПРАВОЧНИК!$F$4*('ФАКТ ЧИСТ ПОДЗЕМ'!G15*СПРАВОЧНИК!$L$4+'ФАКТ ЧИСТ ПОДЗЕМ'!H15*СПРАВОЧНИК!$M$4+'ФАКТ ЧИСТ ПОДЗЕМ'!I15*СПРАВОЧНИК!$N$4+'ФАКТ ЧИСТ ПОДЗЕМ'!J15*СПРАВОЧНИК!$O$4+'ФАКТ ЧИСТ ПОДЗЕМ'!K15*СПРАВОЧНИК!$P$4)+СПРАВОЧНИК!$E$5*('ФАКТ ЧЕРН ПОДЗЕМ'!H15*СПРАВОЧНИК!$H$5+'ФАКТ ЧЕРН ПОДЗЕМ'!I15*СПРАВОЧНИК!$I$5+'ФАКТ ЧЕРН ПОДЗЕМ'!J15*СПРАВОЧНИК!$J$5)+СПРАВОЧНИК!$F$5*('ФАКТ ЧИСТ ПОДЗЕМ'!L15*СПРАВОЧНИК!$L$5+'ФАКТ ЧИСТ ПОДЗЕМ'!M15*СПРАВОЧНИК!$M$5+'ФАКТ ЧИСТ ПОДЗЕМ'!N15*СПРАВОЧНИК!$N$5+'ФАКТ ЧИСТ ПОДЗЕМ'!O15*СПРАВОЧНИК!$O$5+'ФАКТ ЧИСТ ПОДЗЕМ'!P15*СПРАВОЧНИК!$P$5)+СПРАВОЧНИК!$E$6*('ФАКТ ЧЕРН ПОДЗЕМ'!K15*СПРАВОЧНИК!$H$6+'ФАКТ ЧЕРН ПОДЗЕМ'!L15*СПРАВОЧНИК!$I$6+'ФАКТ ЧЕРН ПОДЗЕМ'!M15*СПРАВОЧНИК!$J$6)+СПРАВОЧНИК!$F$6*('ФАКТ ЧИСТ ПОДЗЕМ'!Q15*СПРАВОЧНИК!$L$6+'ФАКТ ЧИСТ ПОДЗЕМ'!R15*СПРАВОЧНИК!$M$6+'ФАКТ ЧИСТ ПОДЗЕМ'!S15*СПРАВОЧНИК!$N$6+'ФАКТ ЧИСТ ПОДЗЕМ'!T15*СПРАВОЧНИК!$O$6+'ФАКТ ЧИСТ ПОДЗЕМ'!U15*СПРАВОЧНИК!$P$6)+СПРАВОЧНИК!$E$7*('ФАКТ ЧЕРН ПОДЗЕМ'!N15*СПРАВОЧНИК!$H$7+'ФАКТ ЧЕРН ПОДЗЕМ'!O15*СПРАВОЧНИК!$I$7+'ФАКТ ЧЕРН ПОДЗЕМ'!P15*СПРАВОЧНИК!$J$7)+СПРАВОЧНИК!$F$7*('ФАКТ ЧИСТ ПОДЗЕМ'!V15*СПРАВОЧНИК!$L$7+'ФАКТ ЧИСТ ПОДЗЕМ'!W15*СПРАВОЧНИК!$M$7+'ФАКТ ЧИСТ ПОДЗЕМ'!X15*СПРАВОЧНИК!$N$7+'ФАКТ ЧИСТ ПОДЗЕМ'!Y15*СПРАВОЧНИК!$O$7+'ФАКТ ЧИСТ ПОДЗЕМ'!Z15*СПРАВОЧНИК!$P$7)+СПРАВОЧНИК!$E$8*('ФАКТ ЧЕРН ПОДЗЕМ'!Q15*СПРАВОЧНИК!$H$8+'ФАКТ ЧЕРН ПОДЗЕМ'!R15*СПРАВОЧНИК!$I$8+'ФАКТ ЧЕРН ПОДЗЕМ'!S15*СПРАВОЧНИК!$J$8)+СПРАВОЧНИК!$F$8*('ФАКТ ЧИСТ ПОДЗЕМ'!AA15*СПРАВОЧНИК!$L$8+'ФАКТ ЧИСТ ПОДЗЕМ'!AB15*СПРАВОЧНИК!$M$8+'ФАКТ ЧИСТ ПОДЗЕМ'!AC15*СПРАВОЧНИК!$N$8+'ФАКТ ЧИСТ ПОДЗЕМ'!AD15*СПРАВОЧНИК!$O$8+'ФАКТ ЧИСТ ПОДЗЕМ'!AE15*СПРАВОЧНИК!$P$8)</f>
        <v/>
      </c>
      <c r="E24" s="34" t="n"/>
      <c r="H24" s="152">
        <f>H23+7</f>
        <v/>
      </c>
      <c r="I24" s="17">
        <f>'ПЛАН ЧЕРН ПОДЗЕМ'!B15*СПРАВОЧНИК!$H$3+'ПЛАН ЧЕРН ПОДЗЕМ'!C15*СПРАВОЧНИК!$I$3+'ПЛАН ЧЕРН ПОДЗЕМ'!D15*СПРАВОЧНИК!$J$3+'ПЛАН ЧЕРН ПОДЗЕМ'!E15*СПРАВОЧНИК!$H$4+'ПЛАН ЧЕРН ПОДЗЕМ'!F15*СПРАВОЧНИК!$I$4+'ПЛАН ЧЕРН ПОДЗЕМ'!G15*СПРАВОЧНИК!$J$4+'ПЛАН ЧЕРН ПОДЗЕМ'!H15*СПРАВОЧНИК!$H$5+'ПЛАН ЧЕРН ПОДЗЕМ'!I15*СПРАВОЧНИК!$I$5+'ПЛАН ЧЕРН ПОДЗЕМ'!J15*СПРАВОЧНИК!$J$5+'ПЛАН ЧЕРН ПОДЗЕМ'!K15*СПРАВОЧНИК!$H$6+'ПЛАН ЧЕРН ПОДЗЕМ'!L15*СПРАВОЧНИК!$I$6+'ПЛАН ЧЕРН ПОДЗЕМ'!M15*СПРАВОЧНИК!$J$6+'ПЛАН ЧЕРН ПОДЗЕМ'!N15*СПРАВОЧНИК!$H$7+'ПЛАН ЧЕРН ПОДЗЕМ'!O15*СПРАВОЧНИК!$I$7+'ПЛАН ЧЕРН ПОДЗЕМ'!P15*СПРАВОЧНИК!$J$7+'ПЛАН ЧЕРН ПОДЗЕМ'!Q15*СПРАВОЧНИК!$H$8+'ПЛАН ЧЕРН ПОДЗЕМ'!R15*СПРАВОЧНИК!$I$8+'ПЛАН ЧЕРН ПОДЗЕМ'!S15*СПРАВОЧНИК!$J$8</f>
        <v/>
      </c>
      <c r="J24" s="31">
        <f>('ФАКТ ЧЕРН ПОДЗЕМ'!B15)*СПРАВОЧНИК!$H$3+('ФАКТ ЧЕРН ПОДЗЕМ'!C15)*СПРАВОЧНИК!$I$3+('ФАКТ ЧЕРН ПОДЗЕМ'!D15)*СПРАВОЧНИК!$J$3+('ФАКТ ЧЕРН ПОДЗЕМ'!E15)*СПРАВОЧНИК!$H$4+('ФАКТ ЧЕРН ПОДЗЕМ'!F15)*СПРАВОЧНИК!$I$4+('ФАКТ ЧЕРН ПОДЗЕМ'!G15)*СПРАВОЧНИК!$J$4+('ФАКТ ЧЕРН ПОДЗЕМ'!H15)*СПРАВОЧНИК!$H$5+('ФАКТ ЧЕРН ПОДЗЕМ'!I15)*СПРАВОЧНИК!$I$5+('ФАКТ ЧЕРН ПОДЗЕМ'!J15)*СПРАВОЧНИК!$J$5+('ФАКТ ЧЕРН ПОДЗЕМ'!K15)*СПРАВОЧНИК!$H$6+('ФАКТ ЧЕРН ПОДЗЕМ'!L15)*СПРАВОЧНИК!$I$6+('ФАКТ ЧЕРН ПОДЗЕМ'!M15)*СПРАВОЧНИК!$J$6+('ФАКТ ЧЕРН ПОДЗЕМ'!N15)*СПРАВОЧНИК!$H$7+('ФАКТ ЧЕРН ПОДЗЕМ'!O15)*СПРАВОЧНИК!$I$7+('ФАКТ ЧЕРН ПОДЗЕМ'!P15)*СПРАВОЧНИК!$J$7+('ФАКТ ЧЕРН ПОДЗЕМ'!Q15)*СПРАВОЧНИК!$H$8+('ФАКТ ЧЕРН ПОДЗЕМ'!R15)*СПРАВОЧНИК!$I$8+('ФАКТ ЧЕРН ПОДЗЕМ'!S15)*СПРАВОЧНИК!$J$8</f>
        <v/>
      </c>
      <c r="K24" s="34" t="n"/>
      <c r="N24" s="152">
        <f>N23+7</f>
        <v/>
      </c>
      <c r="O24" s="17">
        <f>'ПЛАН ЧИСТ ПОДЗЕМ'!B15*СПРАВОЧНИК!$L$3+'ПЛАН ЧИСТ ПОДЗЕМ'!C15*СПРАВОЧНИК!$M$3+'ПЛАН ЧИСТ ПОДЗЕМ'!D15*СПРАВОЧНИК!$N$3+'ПЛАН ЧИСТ ПОДЗЕМ'!E15*СПРАВОЧНИК!$O$3+'ПЛАН ЧИСТ ПОДЗЕМ'!F15*СПРАВОЧНИК!$P$3+'ПЛАН ЧИСТ ПОДЗЕМ'!G15*СПРАВОЧНИК!$L$4+'ПЛАН ЧИСТ ПОДЗЕМ'!H15*СПРАВОЧНИК!$M$4+'ПЛАН ЧИСТ ПОДЗЕМ'!I15*СПРАВОЧНИК!$N$4+'ПЛАН ЧИСТ ПОДЗЕМ'!J15*СПРАВОЧНИК!$O$4+'ПЛАН ЧИСТ ПОДЗЕМ'!K15*СПРАВОЧНИК!$P$4+'ПЛАН ЧИСТ ПОДЗЕМ'!L15*СПРАВОЧНИК!$L$5+'ПЛАН ЧИСТ ПОДЗЕМ'!M15*СПРАВОЧНИК!$M$5+'ПЛАН ЧИСТ ПОДЗЕМ'!N15*СПРАВОЧНИК!$N$5+'ПЛАН ЧИСТ ПОДЗЕМ'!O15*СПРАВОЧНИК!$O$5+'ПЛАН ЧИСТ ПОДЗЕМ'!P15*СПРАВОЧНИК!$P$5+'ПЛАН ЧИСТ ПОДЗЕМ'!Q15*СПРАВОЧНИК!$L$6+'ПЛАН ЧИСТ ПОДЗЕМ'!R15*СПРАВОЧНИК!$M$6+'ПЛАН ЧИСТ ПОДЗЕМ'!S15*СПРАВОЧНИК!$N$6+'ПЛАН ЧИСТ ПОДЗЕМ'!T15*СПРАВОЧНИК!$O$6+'ПЛАН ЧИСТ ПОДЗЕМ'!U15*СПРАВОЧНИК!$P$6+'ПЛАН ЧИСТ ПОДЗЕМ'!V15*СПРАВОЧНИК!$L$7+'ПЛАН ЧИСТ ПОДЗЕМ'!W15*СПРАВОЧНИК!$M$7+'ПЛАН ЧИСТ ПОДЗЕМ'!X15*СПРАВОЧНИК!$N$7+'ПЛАН ЧИСТ ПОДЗЕМ'!Y15*СПРАВОЧНИК!$O$7+'ПЛАН ЧИСТ ПОДЗЕМ'!Z15*СПРАВОЧНИК!$P$7+'ПЛАН ЧИСТ ПОДЗЕМ'!AA15*СПРАВОЧНИК!$L$8+'ПЛАН ЧИСТ ПОДЗЕМ'!AB15*СПРАВОЧНИК!$M$8+'ПЛАН ЧИСТ ПОДЗЕМ'!AC15*СПРАВОЧНИК!$N$8+'ПЛАН ЧИСТ ПОДЗЕМ'!AD15*СПРАВОЧНИК!$O$8+'ПЛАН ЧИСТ ПОДЗЕМ'!AE15*СПРАВОЧНИК!$P$8</f>
        <v/>
      </c>
      <c r="P24" s="31">
        <f>('ФАКТ ЧИСТ ПОДЗЕМ'!B15)*СПРАВОЧНИК!$L$3+('ФАКТ ЧИСТ ПОДЗЕМ'!C15)*СПРАВОЧНИК!$M$3+('ФАКТ ЧИСТ ПОДЗЕМ'!D15)*СПРАВОЧНИК!$N$3+('ФАКТ ЧИСТ ПОДЗЕМ'!E15)*СПРАВОЧНИК!$O$3+('ФАКТ ЧИСТ ПОДЗЕМ'!F15)*СПРАВОЧНИК!$P$3+('ФАКТ ЧИСТ ПОДЗЕМ'!G15)*СПРАВОЧНИК!$L$4+('ФАКТ ЧИСТ ПОДЗЕМ'!H15)*СПРАВОЧНИК!$M$4+('ФАКТ ЧИСТ ПОДЗЕМ'!I15)*СПРАВОЧНИК!$N$4+('ФАКТ ЧИСТ ПОДЗЕМ'!J15)*СПРАВОЧНИК!$O$4+('ФАКТ ЧИСТ ПОДЗЕМ'!K15)*СПРАВОЧНИК!$P$4+('ФАКТ ЧИСТ ПОДЗЕМ'!L15)*СПРАВОЧНИК!$L$5+('ФАКТ ЧИСТ ПОДЗЕМ'!M15)*СПРАВОЧНИК!$M$5+('ФАКТ ЧИСТ ПОДЗЕМ'!N15)*СПРАВОЧНИК!$N$5+('ФАКТ ЧИСТ ПОДЗЕМ'!O15)*СПРАВОЧНИК!$O$5+('ФАКТ ЧИСТ ПОДЗЕМ'!P15)*СПРАВОЧНИК!$P$5+('ФАКТ ЧИСТ ПОДЗЕМ'!Q15)*СПРАВОЧНИК!$L$6+('ФАКТ ЧИСТ ПОДЗЕМ'!R15)*СПРАВОЧНИК!$M$6+('ФАКТ ЧИСТ ПОДЗЕМ'!S15)*СПРАВОЧНИК!$N$6+('ФАКТ ЧИСТ ПОДЗЕМ'!T15)*СПРАВОЧНИК!$O$6+('ФАКТ ЧИСТ ПОДЗЕМ'!U15)*СПРАВОЧНИК!$P$6+('ФАКТ ЧИСТ ПОДЗЕМ'!V15)*СПРАВОЧНИК!$L$7+('ФАКТ ЧИСТ ПОДЗЕМ'!W15)*СПРАВОЧНИК!$M$7+('ФАКТ ЧИСТ ПОДЗЕМ'!X15)*СПРАВОЧНИК!$N$7+('ФАКТ ЧИСТ ПОДЗЕМ'!Y15)*СПРАВОЧНИК!$O$7+('ФАКТ ЧИСТ ПОДЗЕМ'!Z15)*СПРАВОЧНИК!$P$7+('ФАКТ ЧИСТ ПОДЗЕМ'!AA15)*СПРАВОЧНИК!$L$8+('ФАКТ ЧИСТ ПОДЗЕМ'!AB15)*СПРАВОЧНИК!$M$8+('ФАКТ ЧИСТ ПОДЗЕМ'!AC15)*СПРАВОЧНИК!$N$8+('ФАКТ ЧИСТ ПОДЗЕМ'!AD15)*СПРАВОЧНИК!$O$8+('ФАКТ ЧИСТ ПОДЗЕМ'!AE15)*СПРАВОЧНИК!$P$8</f>
        <v/>
      </c>
      <c r="Q24" s="34" t="n"/>
      <c r="T24" s="152">
        <f>T23+7</f>
        <v/>
      </c>
      <c r="U24" s="17">
        <f>СПРАВОЧНИК!$E$9*('ПЛАН ЧЕРН К1'!B15*СПРАВОЧНИК!$H$9+'ПЛАН ЧЕРН К1'!C15*СПРАВОЧНИК!$I$9+'ПЛАН ЧЕРН К1'!D15*СПРАВОЧНИК!$J$9)+СПРАВОЧНИК!$F$9*('ПЛАН ЧИСТ К1'!B15*СПРАВОЧНИК!$L$9+'ПЛАН ЧИСТ К1'!C15*СПРАВОЧНИК!$M$9+'ПЛАН ЧИСТ К1'!D15*СПРАВОЧНИК!$N$9+'ПЛАН ЧИСТ К1'!E15*СПРАВОЧНИК!$O$9+'ПЛАН ЧИСТ К1'!F15*СПРАВОЧНИК!$P$9)+СПРАВОЧНИК!$E$10*('ПЛАН ЧЕРН К1'!E15*СПРАВОЧНИК!$H$10+'ПЛАН ЧЕРН К1'!F15*СПРАВОЧНИК!$I$10+'ПЛАН ЧЕРН К1'!G15*СПРАВОЧНИК!$J$10)+СПРАВОЧНИК!$F$10*('ПЛАН ЧИСТ К1'!G15*СПРАВОЧНИК!$L$10+'ПЛАН ЧИСТ К1'!H15*СПРАВОЧНИК!$M$10+'ПЛАН ЧИСТ К1'!I15*СПРАВОЧНИК!$N$10+'ПЛАН ЧИСТ К1'!J15*СПРАВОЧНИК!$O$10+'ПЛАН ЧИСТ К1'!K15*СПРАВОЧНИК!$P$10)+СПРАВОЧНИК!$E$11*('ПЛАН ЧЕРН К1'!H15*СПРАВОЧНИК!$H$11+'ПЛАН ЧЕРН К1'!I15*СПРАВОЧНИК!$I$11+'ПЛАН ЧЕРН К1'!J15*СПРАВОЧНИК!$J$11)+СПРАВОЧНИК!$F$11*('ПЛАН ЧИСТ К1'!L15*СПРАВОЧНИК!$L$11+'ПЛАН ЧИСТ К1'!M15*СПРАВОЧНИК!$M$11+'ПЛАН ЧИСТ К1'!N15*СПРАВОЧНИК!$N$11+'ПЛАН ЧИСТ К1'!O15*СПРАВОЧНИК!$O$11+'ПЛАН ЧИСТ К1'!P15*СПРАВОЧНИК!$P$11)+СПРАВОЧНИК!$E$12*('ПЛАН ЧЕРН К1'!K15*СПРАВОЧНИК!$H$12+'ПЛАН ЧЕРН К1'!L15*СПРАВОЧНИК!$I$12+'ПЛАН ЧЕРН К1'!M15*СПРАВОЧНИК!$J$12)+СПРАВОЧНИК!$F$12*('ПЛАН ЧИСТ К1'!Q15*СПРАВОЧНИК!$L$12+'ПЛАН ЧИСТ К1'!R15*СПРАВОЧНИК!$M$12+'ПЛАН ЧИСТ К1'!S15*СПРАВОЧНИК!$N$12+'ПЛАН ЧИСТ К1'!T15*СПРАВОЧНИК!$O$12+'ПЛАН ЧИСТ К1'!U15*СПРАВОЧНИК!$P$12)+СПРАВОЧНИК!$E$13*('ПЛАН ЧЕРН К1'!N15*СПРАВОЧНИК!$H$13+'ПЛАН ЧЕРН К1'!O15*СПРАВОЧНИК!$I$13+'ПЛАН ЧЕРН К1'!P15*СПРАВОЧНИК!$J$13)+СПРАВОЧНИК!$F$13*('ПЛАН ЧИСТ К1'!V15*СПРАВОЧНИК!$L$13+'ПЛАН ЧИСТ К1'!W15*СПРАВОЧНИК!$M$13+'ПЛАН ЧИСТ К1'!X15*СПРАВОЧНИК!$N$13+'ПЛАН ЧИСТ К1'!Y15*СПРАВОЧНИК!$O$13+'ПЛАН ЧИСТ К1'!Z15*СПРАВОЧНИК!$P$13)+СПРАВОЧНИК!$E$14*('ПЛАН ЧЕРН К1'!Q15*СПРАВОЧНИК!$H$14+'ПЛАН ЧЕРН К1'!R15*СПРАВОЧНИК!$I$14+'ПЛАН ЧЕРН К1'!S15*СПРАВОЧНИК!$J$14)+СПРАВОЧНИК!$F$14*('ПЛАН ЧИСТ К1'!AA15*СПРАВОЧНИК!$L$14+'ПЛАН ЧИСТ К1'!AB15*СПРАВОЧНИК!$M$14+'ПЛАН ЧИСТ К1'!AC15*СПРАВОЧНИК!$N$14+'ПЛАН ЧИСТ К1'!AD15*СПРАВОЧНИК!$O$14+'ПЛАН ЧИСТ К1'!AE15*СПРАВОЧНИК!$P$14)+СПРАВОЧНИК!$E$15*('ПЛАН ЧЕРН К1'!T15*СПРАВОЧНИК!$H$15+'ПЛАН ЧЕРН К1'!U15*СПРАВОЧНИК!$I$15+'ПЛАН ЧЕРН К1'!V15*СПРАВОЧНИК!$J$15)+СПРАВОЧНИК!$F$15*('ПЛАН ЧИСТ К1'!AF15*СПРАВОЧНИК!$L$15+'ПЛАН ЧИСТ К1'!AG15*СПРАВОЧНИК!$M$15+'ПЛАН ЧИСТ К1'!AH15*СПРАВОЧНИК!$N$15+'ПЛАН ЧИСТ К1'!AI15*СПРАВОЧНИК!$O$15+'ПЛАН ЧИСТ К1'!AJ15*СПРАВОЧНИК!$P$15)</f>
        <v/>
      </c>
      <c r="V24" s="31">
        <f>СПРАВОЧНИК!$E$9*('ФАКТ ЧЕРН К1'!B15*СПРАВОЧНИК!$H$9+'ФАКТ ЧЕРН К1'!C15*СПРАВОЧНИК!$I$9+'ФАКТ ЧЕРН К1'!D15*СПРАВОЧНИК!$J$9)+СПРАВОЧНИК!$F$9*('ФАКТ ЧИСТ К1'!B15*СПРАВОЧНИК!$L$9+'ФАКТ ЧИСТ К1'!C15*СПРАВОЧНИК!$M$9+'ФАКТ ЧИСТ К1'!D15*СПРАВОЧНИК!$N$9+'ФАКТ ЧИСТ К1'!E15*СПРАВОЧНИК!$O$9+'ФАКТ ЧИСТ К1'!F15*СПРАВОЧНИК!$P$9)+СПРАВОЧНИК!$E$10*('ФАКТ ЧЕРН К1'!E15*СПРАВОЧНИК!$H$10+'ФАКТ ЧЕРН К1'!F15*СПРАВОЧНИК!$I$10+'ФАКТ ЧЕРН К1'!G15*СПРАВОЧНИК!$J$10)+СПРАВОЧНИК!$F$10*('ФАКТ ЧИСТ К1'!G15*СПРАВОЧНИК!$L$10+'ФАКТ ЧИСТ К1'!H15*СПРАВОЧНИК!$M$10+'ФАКТ ЧИСТ К1'!I15*СПРАВОЧНИК!$N$10+'ФАКТ ЧИСТ К1'!J15*СПРАВОЧНИК!$O$10+'ФАКТ ЧИСТ К1'!K15*СПРАВОЧНИК!$P$10)+СПРАВОЧНИК!$E$11*('ФАКТ ЧЕРН К1'!H15*СПРАВОЧНИК!$H$11+'ФАКТ ЧЕРН К1'!I15*СПРАВОЧНИК!$I$11+'ФАКТ ЧЕРН К1'!J15*СПРАВОЧНИК!$J$11)+СПРАВОЧНИК!$F$11*('ФАКТ ЧИСТ К1'!L15*СПРАВОЧНИК!$L$11+'ФАКТ ЧИСТ К1'!M15*СПРАВОЧНИК!$M$11+'ФАКТ ЧИСТ К1'!N15*СПРАВОЧНИК!$N$11+'ФАКТ ЧИСТ К1'!O15*СПРАВОЧНИК!$O$11+'ФАКТ ЧИСТ К1'!P15*СПРАВОЧНИК!$P$11)+СПРАВОЧНИК!$E$12*('ФАКТ ЧЕРН К1'!K15*СПРАВОЧНИК!$H$12+'ФАКТ ЧЕРН К1'!L15*СПРАВОЧНИК!$I$12+'ФАКТ ЧЕРН К1'!M15*СПРАВОЧНИК!$J$12)+СПРАВОЧНИК!$F$12*('ФАКТ ЧИСТ К1'!Q15*СПРАВОЧНИК!$L$12+'ФАКТ ЧИСТ К1'!R15*СПРАВОЧНИК!$M$12+'ФАКТ ЧИСТ К1'!S15*СПРАВОЧНИК!$N$12+'ФАКТ ЧИСТ К1'!T15*СПРАВОЧНИК!$O$12+'ФАКТ ЧИСТ К1'!U15*СПРАВОЧНИК!$P$12)+СПРАВОЧНИК!$E$13*('ФАКТ ЧЕРН К1'!N15*СПРАВОЧНИК!$H$13+'ФАКТ ЧЕРН К1'!O15*СПРАВОЧНИК!$I$13+'ФАКТ ЧЕРН К1'!P15*СПРАВОЧНИК!$J$13)+СПРАВОЧНИК!$F$13*('ФАКТ ЧИСТ К1'!V15*СПРАВОЧНИК!$L$13+'ФАКТ ЧИСТ К1'!W15*СПРАВОЧНИК!$M$13+'ФАКТ ЧИСТ К1'!X15*СПРАВОЧНИК!$N$13+'ФАКТ ЧИСТ К1'!Y15*СПРАВОЧНИК!$O$13+'ФАКТ ЧИСТ К1'!Z15*СПРАВОЧНИК!$P$13)+СПРАВОЧНИК!$E$14*('ФАКТ ЧЕРН К1'!Q15*СПРАВОЧНИК!$H$14+'ФАКТ ЧЕРН К1'!R15*СПРАВОЧНИК!$I$14+'ФАКТ ЧЕРН К1'!S15*СПРАВОЧНИК!$J$14)+СПРАВОЧНИК!$F$14*('ФАКТ ЧИСТ К1'!AA15*СПРАВОЧНИК!$L$14+'ФАКТ ЧИСТ К1'!AB15*СПРАВОЧНИК!$M$14+'ФАКТ ЧИСТ К1'!AC15*СПРАВОЧНИК!$N$14+'ФАКТ ЧИСТ К1'!AD15*СПРАВОЧНИК!$O$14+'ФАКТ ЧИСТ К1'!AE15*СПРАВОЧНИК!$P$14)+СПРАВОЧНИК!$E$15*('ФАКТ ЧЕРН К1'!T15*СПРАВОЧНИК!$H$15+'ФАКТ ЧЕРН К1'!U15*СПРАВОЧНИК!$I$15+'ФАКТ ЧЕРН К1'!V15*СПРАВОЧНИК!$J$15)+СПРАВОЧНИК!$F$15*('ФАКТ ЧИСТ К1'!AF15*СПРАВОЧНИК!$L$15+'ФАКТ ЧИСТ К1'!AG15*СПРАВОЧНИК!$M$15+'ФАКТ ЧИСТ К1'!AH15*СПРАВОЧНИК!$N$15+'ФАКТ ЧИСТ К1'!AI15*СПРАВОЧНИК!$O$15+'ФАКТ ЧИСТ К1'!AJ15*СПРАВОЧНИК!$P$15)</f>
        <v/>
      </c>
      <c r="W24" s="34" t="n"/>
      <c r="Z24" s="152">
        <f>Z23+7</f>
        <v/>
      </c>
      <c r="AA24" s="17">
        <f>'ПЛАН ЧЕРН К1'!B15*СПРАВОЧНИК!$H$9+'ПЛАН ЧЕРН К1'!C15*СПРАВОЧНИК!$I$9+'ПЛАН ЧЕРН К1'!D15*СПРАВОЧНИК!$J$9+'ПЛАН ЧЕРН К1'!E15*СПРАВОЧНИК!$H$10+'ПЛАН ЧЕРН К1'!F15*СПРАВОЧНИК!$I$10+'ПЛАН ЧЕРН К1'!G15*СПРАВОЧНИК!$J$10+'ПЛАН ЧЕРН К1'!H15*СПРАВОЧНИК!$H$11+'ПЛАН ЧЕРН К1'!I15*СПРАВОЧНИК!$I$11+'ПЛАН ЧЕРН К1'!J15*СПРАВОЧНИК!$J$11+'ПЛАН ЧЕРН К1'!K15*СПРАВОЧНИК!$H$12+'ПЛАН ЧЕРН К1'!L15*СПРАВОЧНИК!$I$12+'ПЛАН ЧЕРН К1'!M15*СПРАВОЧНИК!$J$12+'ПЛАН ЧЕРН К1'!N15*СПРАВОЧНИК!$H$13+'ПЛАН ЧЕРН К1'!O15*СПРАВОЧНИК!$I$13+'ПЛАН ЧЕРН К1'!P15*СПРАВОЧНИК!$J$13+'ПЛАН ЧЕРН К1'!Q15*СПРАВОЧНИК!$H$14+'ПЛАН ЧЕРН К1'!R15*СПРАВОЧНИК!$I$14+'ПЛАН ЧЕРН К1'!S15*СПРАВОЧНИК!$J$14+'ПЛАН ЧЕРН К1'!T15*СПРАВОЧНИК!$H$15+'ПЛАН ЧЕРН К1'!U15*СПРАВОЧНИК!$I$15+'ПЛАН ЧЕРН К1'!V15*СПРАВОЧНИК!$J$15</f>
        <v/>
      </c>
      <c r="AB24" s="31">
        <f>('ФАКТ ЧЕРН К1'!B15)*СПРАВОЧНИК!$H$9+('ФАКТ ЧЕРН К1'!C15)*СПРАВОЧНИК!$I$9+('ФАКТ ЧЕРН К1'!D15)*СПРАВОЧНИК!$J$9+('ФАКТ ЧЕРН К1'!E15)*СПРАВОЧНИК!$H$10+('ФАКТ ЧЕРН К1'!F15)*СПРАВОЧНИК!$I$10+('ФАКТ ЧЕРН К1'!G15)*СПРАВОЧНИК!$J$10+('ФАКТ ЧЕРН К1'!H15)*СПРАВОЧНИК!$H$11+('ФАКТ ЧЕРН К1'!I15)*СПРАВОЧНИК!$I$11+('ФАКТ ЧЕРН К1'!J15)*СПРАВОЧНИК!$J$11+('ФАКТ ЧЕРН К1'!K15)*СПРАВОЧНИК!$H$12+('ФАКТ ЧЕРН К1'!L15)*СПРАВОЧНИК!$I$12+('ФАКТ ЧЕРН К1'!M15)*СПРАВОЧНИК!$J$12+('ФАКТ ЧЕРН К1'!N15)*СПРАВОЧНИК!$H$13+('ФАКТ ЧЕРН К1'!O15)*СПРАВОЧНИК!$I$13+('ФАКТ ЧЕРН К1'!P15)*СПРАВОЧНИК!$J$13+('ФАКТ ЧЕРН К1'!Q15)*СПРАВОЧНИК!$H$14+('ФАКТ ЧЕРН К1'!R15)*СПРАВОЧНИК!$I$14+('ФАКТ ЧЕРН К1'!S15)*СПРАВОЧНИК!$J$14+('ФАКТ ЧЕРН К1'!T15)*СПРАВОЧНИК!$H$15+('ФАКТ ЧЕРН К1'!U15)*СПРАВОЧНИК!$I$15+('ФАКТ ЧЕРН К1'!V15)*СПРАВОЧНИК!$J$15</f>
        <v/>
      </c>
      <c r="AC24" s="34" t="n"/>
      <c r="AF24" s="152">
        <f>AF23+7</f>
        <v/>
      </c>
      <c r="AG24" s="17">
        <f>'ПЛАН ЧИСТ К1'!B15*СПРАВОЧНИК!$L$9+'ПЛАН ЧИСТ К1'!C15*СПРАВОЧНИК!$M$9+'ПЛАН ЧИСТ К1'!D15*СПРАВОЧНИК!$N$9+'ПЛАН ЧИСТ К1'!E15*СПРАВОЧНИК!$O$9+'ПЛАН ЧИСТ К1'!F15*СПРАВОЧНИК!$P$9+'ПЛАН ЧИСТ К1'!G15*СПРАВОЧНИК!$L$10+'ПЛАН ЧИСТ К1'!H15*СПРАВОЧНИК!$M$10+'ПЛАН ЧИСТ К1'!I15*СПРАВОЧНИК!$N$10+'ПЛАН ЧИСТ К1'!J15*СПРАВОЧНИК!$O$10+'ПЛАН ЧИСТ К1'!K15*СПРАВОЧНИК!$P$10+'ПЛАН ЧИСТ К1'!L15*СПРАВОЧНИК!$L$11+'ПЛАН ЧИСТ К1'!M15*СПРАВОЧНИК!$M$11+'ПЛАН ЧИСТ К1'!N15*СПРАВОЧНИК!$N$11+'ПЛАН ЧИСТ К1'!O15*СПРАВОЧНИК!$O$11+'ПЛАН ЧИСТ К1'!P15*СПРАВОЧНИК!$P$11+'ПЛАН ЧИСТ К1'!Q15*СПРАВОЧНИК!$L$12+'ПЛАН ЧИСТ К1'!R15*СПРАВОЧНИК!$M$12+'ПЛАН ЧИСТ К1'!S15*СПРАВОЧНИК!$N$12+'ПЛАН ЧИСТ К1'!T15*СПРАВОЧНИК!$O$12+'ПЛАН ЧИСТ К1'!U15*СПРАВОЧНИК!$P$12+'ПЛАН ЧИСТ К1'!V15*СПРАВОЧНИК!$L$13+'ПЛАН ЧИСТ К1'!W15*СПРАВОЧНИК!$M$13+'ПЛАН ЧИСТ К1'!X15*СПРАВОЧНИК!$N$13+'ПЛАН ЧИСТ К1'!Y15*СПРАВОЧНИК!$O$13+'ПЛАН ЧИСТ К1'!Z15*СПРАВОЧНИК!$P$13+'ПЛАН ЧИСТ К1'!AA15*СПРАВОЧНИК!$L$14+'ПЛАН ЧИСТ К1'!AB15*СПРАВОЧНИК!$M$14+'ПЛАН ЧИСТ К1'!AC15*СПРАВОЧНИК!$N$14+'ПЛАН ЧИСТ К1'!AD15*СПРАВОЧНИК!$O$14+'ПЛАН ЧИСТ К1'!AE15*СПРАВОЧНИК!$P$14+'ПЛАН ЧИСТ К1'!AF15*СПРАВОЧНИК!$L$15+'ПЛАН ЧИСТ К1'!AG15*СПРАВОЧНИК!$M$15+'ПЛАН ЧИСТ К1'!AH15*СПРАВОЧНИК!$N$15+'ПЛАН ЧИСТ К1'!AI15*СПРАВОЧНИК!$O$15+'ПЛАН ЧИСТ К1'!AJ15*СПРАВОЧНИК!$P$15</f>
        <v/>
      </c>
      <c r="AH24" s="31">
        <f>('ФАКТ ЧИСТ К1'!B15)*СПРАВОЧНИК!$L$9+('ФАКТ ЧИСТ К1'!C15)*СПРАВОЧНИК!$M$9+('ФАКТ ЧИСТ К1'!D15)*СПРАВОЧНИК!$N$9+('ФАКТ ЧИСТ К1'!E15)*СПРАВОЧНИК!$O$9+('ФАКТ ЧИСТ К1'!F15)*СПРАВОЧНИК!$P$9+('ФАКТ ЧИСТ К1'!G15)*СПРАВОЧНИК!$L$10+('ФАКТ ЧИСТ К1'!H15)*СПРАВОЧНИК!$M$10+('ФАКТ ЧИСТ К1'!I15)*СПРАВОЧНИК!$N$10+('ФАКТ ЧИСТ К1'!J15)*СПРАВОЧНИК!$O$10+('ФАКТ ЧИСТ К1'!K15)*СПРАВОЧНИК!$P$10+('ФАКТ ЧИСТ К1'!L15)*СПРАВОЧНИК!$L$11+('ФАКТ ЧИСТ К1'!M15)*СПРАВОЧНИК!$M$11+('ФАКТ ЧИСТ К1'!N15)*СПРАВОЧНИК!$N$11+('ФАКТ ЧИСТ К1'!O15)*СПРАВОЧНИК!$O$11+('ФАКТ ЧИСТ К1'!P15)*СПРАВОЧНИК!$P$11+('ФАКТ ЧИСТ К1'!Q15)*СПРАВОЧНИК!$L$12+('ФАКТ ЧИСТ К1'!R15)*СПРАВОЧНИК!$M$12+('ФАКТ ЧИСТ К1'!S15)*СПРАВОЧНИК!$N$12+('ФАКТ ЧИСТ К1'!T15)*СПРАВОЧНИК!$O$12+('ФАКТ ЧИСТ К1'!U15)*СПРАВОЧНИК!$P$12+('ФАКТ ЧИСТ К1'!V15)*СПРАВОЧНИК!$L$13+('ФАКТ ЧИСТ К1'!W15)*СПРАВОЧНИК!$M$13+('ФАКТ ЧИСТ К1'!X15)*СПРАВОЧНИК!$N$13+('ФАКТ ЧИСТ К1'!Y15)*СПРАВОЧНИК!$O$13+('ФАКТ ЧИСТ К1'!Z15)*СПРАВОЧНИК!$P$13+('ФАКТ ЧИСТ К1'!AA15)*СПРАВОЧНИК!$L$14+('ФАКТ ЧИСТ К1'!AB15)*СПРАВОЧНИК!$M$14+('ФАКТ ЧИСТ К1'!AC15)*СПРАВОЧНИК!$N$14+('ФАКТ ЧИСТ К1'!AD15)*СПРАВОЧНИК!$O$14+('ФАКТ ЧИСТ К1'!AE15)*СПРАВОЧНИК!$P$14+('ФАКТ ЧИСТ К1'!AF15)*СПРАВОЧНИК!$L$15+('ФАКТ ЧИСТ К1'!AG15)*СПРАВОЧНИК!$M$15+('ФАКТ ЧИСТ К1'!AH15)*СПРАВОЧНИК!$N$15+('ФАКТ ЧИСТ К1'!AI15)*СПРАВОЧНИК!$O$15+('ФАКТ ЧИСТ К1'!AJ15)*СПРАВОЧНИК!$P$15</f>
        <v/>
      </c>
      <c r="AI24" s="34" t="n"/>
      <c r="AL24" s="152">
        <f>AL23+7</f>
        <v/>
      </c>
      <c r="AM24" s="17">
        <f>СПРАВОЧНИК!$E$9*('ПЛАН ЧЕРН К2'!B15*СПРАВОЧНИК!$H$9+'ПЛАН ЧЕРН К2'!C15*СПРАВОЧНИК!$I$9+'ПЛАН ЧЕРН К2'!D15*СПРАВОЧНИК!$J$9)+СПРАВОЧНИК!$F$9*('ПЛАН ЧИСТ К2'!B15*СПРАВОЧНИК!$L$9+'ПЛАН ЧИСТ К2'!C15*СПРАВОЧНИК!$M$9+'ПЛАН ЧИСТ К2'!D15*СПРАВОЧНИК!$N$9+'ПЛАН ЧИСТ К2'!E15*СПРАВОЧНИК!$O$9+'ПЛАН ЧИСТ К2'!F15*СПРАВОЧНИК!$P$9)+СПРАВОЧНИК!$E$10*('ПЛАН ЧЕРН К2'!E15*СПРАВОЧНИК!$H$10+'ПЛАН ЧЕРН К2'!F15*СПРАВОЧНИК!$I$10+'ПЛАН ЧЕРН К2'!G15*СПРАВОЧНИК!$J$10)+СПРАВОЧНИК!$F$10*('ПЛАН ЧИСТ К2'!G15*СПРАВОЧНИК!$L$10+'ПЛАН ЧИСТ К2'!H15*СПРАВОЧНИК!$M$10+'ПЛАН ЧИСТ К2'!I15*СПРАВОЧНИК!$N$10+'ПЛАН ЧИСТ К2'!J15*СПРАВОЧНИК!$O$10+'ПЛАН ЧИСТ К2'!K15*СПРАВОЧНИК!$P$10)+СПРАВОЧНИК!$E$11*('ПЛАН ЧЕРН К2'!H15*СПРАВОЧНИК!$H$11+'ПЛАН ЧЕРН К2'!I15*СПРАВОЧНИК!$I$11+'ПЛАН ЧЕРН К2'!J15*СПРАВОЧНИК!$J$11)+СПРАВОЧНИК!$F$11*('ПЛАН ЧИСТ К2'!L15*СПРАВОЧНИК!$L$11+'ПЛАН ЧИСТ К2'!M15*СПРАВОЧНИК!$M$11+'ПЛАН ЧИСТ К2'!N15*СПРАВОЧНИК!$N$11+'ПЛАН ЧИСТ К2'!O15*СПРАВОЧНИК!$O$11+'ПЛАН ЧИСТ К2'!P15*СПРАВОЧНИК!$P$11)+СПРАВОЧНИК!$E$12*('ПЛАН ЧЕРН К2'!K15*СПРАВОЧНИК!$H$12+'ПЛАН ЧЕРН К2'!L15*СПРАВОЧНИК!$I$12+'ПЛАН ЧЕРН К2'!M15*СПРАВОЧНИК!$J$12)+СПРАВОЧНИК!$F$12*('ПЛАН ЧИСТ К2'!Q15*СПРАВОЧНИК!$L$12+'ПЛАН ЧИСТ К2'!R15*СПРАВОЧНИК!$M$12+'ПЛАН ЧИСТ К2'!S15*СПРАВОЧНИК!$N$12+'ПЛАН ЧИСТ К2'!T15*СПРАВОЧНИК!$O$12+'ПЛАН ЧИСТ К2'!U15*СПРАВОЧНИК!$P$12)+СПРАВОЧНИК!$E$13*('ПЛАН ЧЕРН К2'!N15*СПРАВОЧНИК!$H$13+'ПЛАН ЧЕРН К2'!O15*СПРАВОЧНИК!$I$13+'ПЛАН ЧЕРН К2'!P15*СПРАВОЧНИК!$J$13)+СПРАВОЧНИК!$F$13*('ПЛАН ЧИСТ К2'!V15*СПРАВОЧНИК!$L$13+'ПЛАН ЧИСТ К2'!W15*СПРАВОЧНИК!$M$13+'ПЛАН ЧИСТ К2'!X15*СПРАВОЧНИК!$N$13+'ПЛАН ЧИСТ К2'!Y15*СПРАВОЧНИК!$O$13+'ПЛАН ЧИСТ К2'!Z15*СПРАВОЧНИК!$P$13)+СПРАВОЧНИК!$E$14*('ПЛАН ЧЕРН К2'!Q15*СПРАВОЧНИК!$H$14+'ПЛАН ЧЕРН К2'!R15*СПРАВОЧНИК!$I$14+'ПЛАН ЧЕРН К2'!S15*СПРАВОЧНИК!$J$14)+СПРАВОЧНИК!$F$14*('ПЛАН ЧИСТ К2'!AA15*СПРАВОЧНИК!$L$14+'ПЛАН ЧИСТ К2'!AB15*СПРАВОЧНИК!$M$14+'ПЛАН ЧИСТ К2'!AC15*СПРАВОЧНИК!$N$14+'ПЛАН ЧИСТ К2'!AD15*СПРАВОЧНИК!$O$14+'ПЛАН ЧИСТ К2'!AE15*СПРАВОЧНИК!$P$14)+СПРАВОЧНИК!$E$15*('ПЛАН ЧЕРН К2'!T15*СПРАВОЧНИК!$H$15+'ПЛАН ЧЕРН К2'!U15*СПРАВОЧНИК!$I$15+'ПЛАН ЧЕРН К2'!V15*СПРАВОЧНИК!$J$15)+СПРАВОЧНИК!$F$15*('ПЛАН ЧИСТ К2'!AF15*СПРАВОЧНИК!$L$15+'ПЛАН ЧИСТ К2'!AG15*СПРАВОЧНИК!$M$15+'ПЛАН ЧИСТ К2'!AH15*СПРАВОЧНИК!$N$15+'ПЛАН ЧИСТ К2'!AI15*СПРАВОЧНИК!$O$15+'ПЛАН ЧИСТ К2'!AJ15*СПРАВОЧНИК!$P$15)</f>
        <v/>
      </c>
      <c r="AN24" s="31">
        <f>СПРАВОЧНИК!$E$9*('ФАКТ ЧЕРН К2'!B15*СПРАВОЧНИК!$H$9+'ФАКТ ЧЕРН К2'!C15*СПРАВОЧНИК!$I$9+'ФАКТ ЧЕРН К2'!D15*СПРАВОЧНИК!$J$9)+СПРАВОЧНИК!$F$9*('ФАКТ ЧИСТ К2'!B15*СПРАВОЧНИК!$L$9+'ФАКТ ЧИСТ К2'!C15*СПРАВОЧНИК!$M$9+'ФАКТ ЧИСТ К2'!D15*СПРАВОЧНИК!$N$9+'ФАКТ ЧИСТ К2'!E15*СПРАВОЧНИК!$O$9+'ФАКТ ЧИСТ К2'!F15*СПРАВОЧНИК!$P$9)+СПРАВОЧНИК!$E$10*('ФАКТ ЧЕРН К2'!E15*СПРАВОЧНИК!$H$10+'ФАКТ ЧЕРН К2'!F15*СПРАВОЧНИК!$I$10+'ФАКТ ЧЕРН К2'!G15*СПРАВОЧНИК!$J$10)+СПРАВОЧНИК!$F$10*('ФАКТ ЧИСТ К2'!G15*СПРАВОЧНИК!$L$10+'ФАКТ ЧИСТ К2'!H15*СПРАВОЧНИК!$M$10+'ФАКТ ЧИСТ К2'!I15*СПРАВОЧНИК!$N$10+'ФАКТ ЧИСТ К2'!J15*СПРАВОЧНИК!$O$10+'ФАКТ ЧИСТ К2'!K15*СПРАВОЧНИК!$P$10)+СПРАВОЧНИК!$E$11*('ФАКТ ЧЕРН К2'!H15*СПРАВОЧНИК!$H$11+'ФАКТ ЧЕРН К2'!I15*СПРАВОЧНИК!$I$11+'ФАКТ ЧЕРН К2'!J15*СПРАВОЧНИК!$J$11)+СПРАВОЧНИК!$F$11*('ФАКТ ЧИСТ К2'!L15*СПРАВОЧНИК!$L$11+'ФАКТ ЧИСТ К2'!M15*СПРАВОЧНИК!$M$11+'ФАКТ ЧИСТ К2'!N15*СПРАВОЧНИК!$N$11+'ФАКТ ЧИСТ К2'!O15*СПРАВОЧНИК!$O$11+'ФАКТ ЧИСТ К2'!P15*СПРАВОЧНИК!$P$11)+СПРАВОЧНИК!$E$12*('ФАКТ ЧЕРН К2'!K15*СПРАВОЧНИК!$H$12+'ФАКТ ЧЕРН К2'!L15*СПРАВОЧНИК!$I$12+'ФАКТ ЧЕРН К2'!M15*СПРАВОЧНИК!$J$12)+СПРАВОЧНИК!$F$12*('ФАКТ ЧИСТ К2'!Q15*СПРАВОЧНИК!$L$12+'ФАКТ ЧИСТ К2'!R15*СПРАВОЧНИК!$M$12+'ФАКТ ЧИСТ К2'!S15*СПРАВОЧНИК!$N$12+'ФАКТ ЧИСТ К2'!T15*СПРАВОЧНИК!$O$12+'ФАКТ ЧИСТ К2'!U15*СПРАВОЧНИК!$P$12)+СПРАВОЧНИК!$E$13*('ФАКТ ЧЕРН К2'!N15*СПРАВОЧНИК!$H$13+'ФАКТ ЧЕРН К2'!O15*СПРАВОЧНИК!$I$13+'ФАКТ ЧЕРН К2'!P15*СПРАВОЧНИК!$J$13)+СПРАВОЧНИК!$F$13*('ФАКТ ЧИСТ К2'!V15*СПРАВОЧНИК!$L$13+'ФАКТ ЧИСТ К2'!W15*СПРАВОЧНИК!$M$13+'ФАКТ ЧИСТ К2'!X15*СПРАВОЧНИК!$N$13+'ФАКТ ЧИСТ К2'!Y15*СПРАВОЧНИК!$O$13+'ФАКТ ЧИСТ К2'!Z15*СПРАВОЧНИК!$P$13)+СПРАВОЧНИК!$E$14*('ФАКТ ЧЕРН К2'!Q15*СПРАВОЧНИК!$H$14+'ФАКТ ЧЕРН К2'!R15*СПРАВОЧНИК!$I$14+'ФАКТ ЧЕРН К2'!S15*СПРАВОЧНИК!$J$14)+СПРАВОЧНИК!$F$14*('ФАКТ ЧИСТ К2'!AA15*СПРАВОЧНИК!$L$14+'ФАКТ ЧИСТ К2'!AB15*СПРАВОЧНИК!$M$14+'ФАКТ ЧИСТ К2'!AC15*СПРАВОЧНИК!$N$14+'ФАКТ ЧИСТ К2'!AD15*СПРАВОЧНИК!$O$14+'ФАКТ ЧИСТ К2'!AE15*СПРАВОЧНИК!$P$14)+СПРАВОЧНИК!$E$15*('ФАКТ ЧЕРН К2'!T15*СПРАВОЧНИК!$H$15+'ФАКТ ЧЕРН К2'!U15*СПРАВОЧНИК!$I$15+'ФАКТ ЧЕРН К2'!V15*СПРАВОЧНИК!$J$15)+СПРАВОЧНИК!$F$15*('ФАКТ ЧИСТ К2'!AF15*СПРАВОЧНИК!$L$15+'ФАКТ ЧИСТ К2'!AG15*СПРАВОЧНИК!$M$15+'ФАКТ ЧИСТ К2'!AH15*СПРАВОЧНИК!$N$15+'ФАКТ ЧИСТ К2'!AI15*СПРАВОЧНИК!$O$15+'ФАКТ ЧИСТ К2'!AJ15*СПРАВОЧНИК!$P$15)</f>
        <v/>
      </c>
      <c r="AO24" s="34" t="n"/>
      <c r="AR24" s="152">
        <f>AR23+7</f>
        <v/>
      </c>
      <c r="AS24" s="17">
        <f>'ПЛАН ЧЕРН К2'!B15*СПРАВОЧНИК!$H$9+'ПЛАН ЧЕРН К2'!C15*СПРАВОЧНИК!$I$9+'ПЛАН ЧЕРН К2'!D15*СПРАВОЧНИК!$J$9+'ПЛАН ЧЕРН К2'!E15*СПРАВОЧНИК!$H$10+'ПЛАН ЧЕРН К2'!F15*СПРАВОЧНИК!$I$10+'ПЛАН ЧЕРН К2'!G15*СПРАВОЧНИК!$J$10+'ПЛАН ЧЕРН К2'!H15*СПРАВОЧНИК!$H$11+'ПЛАН ЧЕРН К2'!I15*СПРАВОЧНИК!$I$11+'ПЛАН ЧЕРН К2'!J15*СПРАВОЧНИК!$J$11+'ПЛАН ЧЕРН К2'!K15*СПРАВОЧНИК!$H$12+'ПЛАН ЧЕРН К2'!L15*СПРАВОЧНИК!$I$12+'ПЛАН ЧЕРН К2'!M15*СПРАВОЧНИК!$J$12+'ПЛАН ЧЕРН К2'!N15*СПРАВОЧНИК!$H$13+'ПЛАН ЧЕРН К2'!O15*СПРАВОЧНИК!$I$13+'ПЛАН ЧЕРН К2'!P15*СПРАВОЧНИК!$J$13+'ПЛАН ЧЕРН К2'!Q15*СПРАВОЧНИК!$H$14+'ПЛАН ЧЕРН К2'!R15*СПРАВОЧНИК!$I$14+'ПЛАН ЧЕРН К2'!S15*СПРАВОЧНИК!$J$14+'ПЛАН ЧЕРН К2'!T15*СПРАВОЧНИК!$H$15+'ПЛАН ЧЕРН К2'!U15*СПРАВОЧНИК!$I$15+'ПЛАН ЧЕРН К2'!V15*СПРАВОЧНИК!$J$15</f>
        <v/>
      </c>
      <c r="AT24" s="31">
        <f>('ФАКТ ЧЕРН К2'!B15)*СПРАВОЧНИК!$H$9+('ФАКТ ЧЕРН К2'!C15)*СПРАВОЧНИК!$I$9+('ФАКТ ЧЕРН К2'!D15)*СПРАВОЧНИК!$J$9+('ФАКТ ЧЕРН К2'!E15)*СПРАВОЧНИК!$H$10+('ФАКТ ЧЕРН К2'!F15)*СПРАВОЧНИК!$I$10+('ФАКТ ЧЕРН К2'!G15)*СПРАВОЧНИК!$J$10+('ФАКТ ЧЕРН К2'!H15)*СПРАВОЧНИК!$H$11+('ФАКТ ЧЕРН К2'!I15)*СПРАВОЧНИК!$I$11+('ФАКТ ЧЕРН К2'!J15)*СПРАВОЧНИК!$J$11+('ФАКТ ЧЕРН К2'!K15)*СПРАВОЧНИК!$H$12+('ФАКТ ЧЕРН К2'!L15)*СПРАВОЧНИК!$I$12+('ФАКТ ЧЕРН К2'!M15)*СПРАВОЧНИК!$J$12+('ФАКТ ЧЕРН К2'!N15)*СПРАВОЧНИК!$H$13+('ФАКТ ЧЕРН К2'!O15)*СПРАВОЧНИК!$I$13+('ФАКТ ЧЕРН К2'!P15)*СПРАВОЧНИК!$J$13+('ФАКТ ЧЕРН К2'!Q15)*СПРАВОЧНИК!$H$14+('ФАКТ ЧЕРН К2'!R15)*СПРАВОЧНИК!$I$14+('ФАКТ ЧЕРН К2'!S15)*СПРАВОЧНИК!$J$14+('ФАКТ ЧЕРН К2'!T15)*СПРАВОЧНИК!$H$15+('ФАКТ ЧЕРН К2'!U15)*СПРАВОЧНИК!$I$15+('ФАКТ ЧЕРН К2'!V15)*СПРАВОЧНИК!$J$15</f>
        <v/>
      </c>
      <c r="AU24" s="34" t="n"/>
      <c r="AX24" s="152">
        <f>AX23+7</f>
        <v/>
      </c>
      <c r="AY24" s="17">
        <f>'ПЛАН ЧИСТ К2'!B15*СПРАВОЧНИК!$L$9+'ПЛАН ЧИСТ К2'!C15*СПРАВОЧНИК!$M$9+'ПЛАН ЧИСТ К2'!D15*СПРАВОЧНИК!$N$9+'ПЛАН ЧИСТ К2'!E15*СПРАВОЧНИК!$O$9+'ПЛАН ЧИСТ К2'!F15*СПРАВОЧНИК!$P$9+'ПЛАН ЧИСТ К2'!G15*СПРАВОЧНИК!$L$10+'ПЛАН ЧИСТ К2'!H15*СПРАВОЧНИК!$M$10+'ПЛАН ЧИСТ К2'!I15*СПРАВОЧНИК!$N$10+'ПЛАН ЧИСТ К2'!J15*СПРАВОЧНИК!$O$10+'ПЛАН ЧИСТ К2'!K15*СПРАВОЧНИК!$P$10+'ПЛАН ЧИСТ К2'!L15*СПРАВОЧНИК!$L$11+'ПЛАН ЧИСТ К2'!M15*СПРАВОЧНИК!$M$11+'ПЛАН ЧИСТ К2'!N15*СПРАВОЧНИК!$N$11+'ПЛАН ЧИСТ К2'!O15*СПРАВОЧНИК!$O$11+'ПЛАН ЧИСТ К2'!P15*СПРАВОЧНИК!$P$11+'ПЛАН ЧИСТ К2'!Q15*СПРАВОЧНИК!$L$12+'ПЛАН ЧИСТ К2'!R15*СПРАВОЧНИК!$M$12+'ПЛАН ЧИСТ К2'!S15*СПРАВОЧНИК!$N$12+'ПЛАН ЧИСТ К2'!T15*СПРАВОЧНИК!$O$12+'ПЛАН ЧИСТ К2'!U15*СПРАВОЧНИК!$P$12+'ПЛАН ЧИСТ К2'!V15*СПРАВОЧНИК!$L$13+'ПЛАН ЧИСТ К2'!W15*СПРАВОЧНИК!$M$13+'ПЛАН ЧИСТ К2'!X15*СПРАВОЧНИК!$N$13+'ПЛАН ЧИСТ К2'!Y15*СПРАВОЧНИК!$O$13+'ПЛАН ЧИСТ К2'!Z15*СПРАВОЧНИК!$P$13+'ПЛАН ЧИСТ К2'!AA15*СПРАВОЧНИК!$L$14+'ПЛАН ЧИСТ К2'!AB15*СПРАВОЧНИК!$M$14+'ПЛАН ЧИСТ К2'!AC15*СПРАВОЧНИК!$N$14+'ПЛАН ЧИСТ К2'!AD15*СПРАВОЧНИК!$O$14+'ПЛАН ЧИСТ К2'!AE15*СПРАВОЧНИК!$P$14+'ПЛАН ЧИСТ К2'!AF15*СПРАВОЧНИК!$L$15+'ПЛАН ЧИСТ К2'!AG15*СПРАВОЧНИК!$M$15+'ПЛАН ЧИСТ К2'!AH15*СПРАВОЧНИК!$N$15+'ПЛАН ЧИСТ К2'!AI15*СПРАВОЧНИК!$O$15+'ПЛАН ЧИСТ К2'!AJ15*СПРАВОЧНИК!$P$15</f>
        <v/>
      </c>
      <c r="AZ24" s="31">
        <f>('ФАКТ ЧИСТ К2'!B15)*СПРАВОЧНИК!$L$9+('ФАКТ ЧИСТ К2'!C15)*СПРАВОЧНИК!$M$9+('ФАКТ ЧИСТ К2'!D15)*СПРАВОЧНИК!$N$9+('ФАКТ ЧИСТ К2'!E15)*СПРАВОЧНИК!$O$9+('ФАКТ ЧИСТ К2'!F15)*СПРАВОЧНИК!$P$9+('ФАКТ ЧИСТ К2'!G15)*СПРАВОЧНИК!$L$10+('ФАКТ ЧИСТ К2'!H15)*СПРАВОЧНИК!$M$10+('ФАКТ ЧИСТ К2'!I15)*СПРАВОЧНИК!$N$10+('ФАКТ ЧИСТ К2'!J15)*СПРАВОЧНИК!$O$10+('ФАКТ ЧИСТ К2'!K15)*СПРАВОЧНИК!$P$10+('ФАКТ ЧИСТ К2'!L15)*СПРАВОЧНИК!$L$11+('ФАКТ ЧИСТ К2'!M15)*СПРАВОЧНИК!$M$11+('ФАКТ ЧИСТ К2'!N15)*СПРАВОЧНИК!$N$11+('ФАКТ ЧИСТ К2'!O15)*СПРАВОЧНИК!$O$11+('ФАКТ ЧИСТ К2'!P15)*СПРАВОЧНИК!$P$11+('ФАКТ ЧИСТ К2'!Q15)*СПРАВОЧНИК!$L$12+('ФАКТ ЧИСТ К2'!R15)*СПРАВОЧНИК!$M$12+('ФАКТ ЧИСТ К2'!S15)*СПРАВОЧНИК!$N$12+('ФАКТ ЧИСТ К2'!T15)*СПРАВОЧНИК!$O$12+('ФАКТ ЧИСТ К2'!U15)*СПРАВОЧНИК!$P$12+('ФАКТ ЧИСТ К2'!V15)*СПРАВОЧНИК!$L$13+('ФАКТ ЧИСТ К2'!W15)*СПРАВОЧНИК!$M$13+('ФАКТ ЧИСТ К2'!X15)*СПРАВОЧНИК!$N$13+('ФАКТ ЧИСТ К2'!Y15)*СПРАВОЧНИК!$O$13+('ФАКТ ЧИСТ К2'!Z15)*СПРАВОЧНИК!$P$13+('ФАКТ ЧИСТ К2'!AA15)*СПРАВОЧНИК!$L$14+('ФАКТ ЧИСТ К2'!AB15)*СПРАВОЧНИК!$M$14+('ФАКТ ЧИСТ К2'!AC15)*СПРАВОЧНИК!$N$14+('ФАКТ ЧИСТ К2'!AD15)*СПРАВОЧНИК!$O$14+('ФАКТ ЧИСТ К2'!AE15)*СПРАВОЧНИК!$P$14+('ФАКТ ЧИСТ К2'!AF15)*СПРАВОЧНИК!$L$15+('ФАКТ ЧИСТ К2'!AG15)*СПРАВОЧНИК!$M$15+('ФАКТ ЧИСТ К2'!AH15)*СПРАВОЧНИК!$N$15+('ФАКТ ЧИСТ К2'!AI15)*СПРАВОЧНИК!$O$15+('ФАКТ ЧИСТ К2'!AJ15)*СПРАВОЧНИК!$P$15</f>
        <v/>
      </c>
      <c r="BA24" s="34" t="n"/>
      <c r="BD24" s="152">
        <f>BD23+7</f>
        <v/>
      </c>
      <c r="BE24" s="17">
        <f>СПРАВОЧНИК!$E$9*('ПЛАН ЧЕРН К3'!B15*СПРАВОЧНИК!$H$9+'ПЛАН ЧЕРН К3'!C15*СПРАВОЧНИК!$I$9+'ПЛАН ЧЕРН К3'!D15*СПРАВОЧНИК!$J$9)+СПРАВОЧНИК!$F$9*('ПЛАН ЧИСТ К3'!B15*СПРАВОЧНИК!$L$9+'ПЛАН ЧИСТ К3'!C15*СПРАВОЧНИК!$M$9+'ПЛАН ЧИСТ К3'!D15*СПРАВОЧНИК!$N$9+'ПЛАН ЧИСТ К3'!E15*СПРАВОЧНИК!$O$9+'ПЛАН ЧИСТ К3'!F15*СПРАВОЧНИК!$P$9)+СПРАВОЧНИК!$E$10*('ПЛАН ЧЕРН К3'!E15*СПРАВОЧНИК!$H$10+'ПЛАН ЧЕРН К3'!F15*СПРАВОЧНИК!$I$10+'ПЛАН ЧЕРН К3'!G15*СПРАВОЧНИК!$J$10)+СПРАВОЧНИК!$F$10*('ПЛАН ЧИСТ К3'!G15*СПРАВОЧНИК!$L$10+'ПЛАН ЧИСТ К3'!H15*СПРАВОЧНИК!$M$10+'ПЛАН ЧИСТ К3'!I15*СПРАВОЧНИК!$N$10+'ПЛАН ЧИСТ К3'!J15*СПРАВОЧНИК!$O$10+'ПЛАН ЧИСТ К3'!K15*СПРАВОЧНИК!$P$10)+СПРАВОЧНИК!$E$11*('ПЛАН ЧЕРН К3'!H15*СПРАВОЧНИК!$H$11+'ПЛАН ЧЕРН К3'!I15*СПРАВОЧНИК!$I$11+'ПЛАН ЧЕРН К3'!J15*СПРАВОЧНИК!$J$11)+СПРАВОЧНИК!$F$11*('ПЛАН ЧИСТ К3'!L15*СПРАВОЧНИК!$L$11+'ПЛАН ЧИСТ К3'!M15*СПРАВОЧНИК!$M$11+'ПЛАН ЧИСТ К3'!N15*СПРАВОЧНИК!$N$11+'ПЛАН ЧИСТ К3'!O15*СПРАВОЧНИК!$O$11+'ПЛАН ЧИСТ К3'!P15*СПРАВОЧНИК!$P$11)+СПРАВОЧНИК!$E$12*('ПЛАН ЧЕРН К3'!K15*СПРАВОЧНИК!$H$12+'ПЛАН ЧЕРН К3'!L15*СПРАВОЧНИК!$I$12+'ПЛАН ЧЕРН К3'!M15*СПРАВОЧНИК!$J$12)+СПРАВОЧНИК!$F$12*('ПЛАН ЧИСТ К3'!Q15*СПРАВОЧНИК!$L$12+'ПЛАН ЧИСТ К3'!R15*СПРАВОЧНИК!$M$12+'ПЛАН ЧИСТ К3'!S15*СПРАВОЧНИК!$N$12+'ПЛАН ЧИСТ К3'!T15*СПРАВОЧНИК!$O$12+'ПЛАН ЧИСТ К3'!U15*СПРАВОЧНИК!$P$12)+СПРАВОЧНИК!$E$13*('ПЛАН ЧЕРН К3'!N15*СПРАВОЧНИК!$H$13+'ПЛАН ЧЕРН К3'!O15*СПРАВОЧНИК!$I$13+'ПЛАН ЧЕРН К3'!P15*СПРАВОЧНИК!$J$13)+СПРАВОЧНИК!$F$13*('ПЛАН ЧИСТ К3'!V15*СПРАВОЧНИК!$L$13+'ПЛАН ЧИСТ К3'!W15*СПРАВОЧНИК!$M$13+'ПЛАН ЧИСТ К3'!X15*СПРАВОЧНИК!$N$13+'ПЛАН ЧИСТ К3'!Y15*СПРАВОЧНИК!$O$13+'ПЛАН ЧИСТ К3'!Z15*СПРАВОЧНИК!$P$13)+СПРАВОЧНИК!$E$14*('ПЛАН ЧЕРН К3'!Q15*СПРАВОЧНИК!$H$14+'ПЛАН ЧЕРН К3'!R15*СПРАВОЧНИК!$I$14+'ПЛАН ЧЕРН К3'!S15*СПРАВОЧНИК!$J$14)+СПРАВОЧНИК!$F$14*('ПЛАН ЧИСТ К3'!AA15*СПРАВОЧНИК!$L$14+'ПЛАН ЧИСТ К3'!AB15*СПРАВОЧНИК!$M$14+'ПЛАН ЧИСТ К3'!AC15*СПРАВОЧНИК!$N$14+'ПЛАН ЧИСТ К3'!AD15*СПРАВОЧНИК!$O$14+'ПЛАН ЧИСТ К3'!AE15*СПРАВОЧНИК!$P$14)+СПРАВОЧНИК!$E$15*('ПЛАН ЧЕРН К3'!T15*СПРАВОЧНИК!$H$15+'ПЛАН ЧЕРН К3'!U15*СПРАВОЧНИК!$I$15+'ПЛАН ЧЕРН К3'!V15*СПРАВОЧНИК!$J$15)+СПРАВОЧНИК!$F$15*('ПЛАН ЧИСТ К3'!AF15*СПРАВОЧНИК!$L$15+'ПЛАН ЧИСТ К3'!AG15*СПРАВОЧНИК!$M$15+'ПЛАН ЧИСТ К3'!AH15*СПРАВОЧНИК!$N$15+'ПЛАН ЧИСТ К3'!AI15*СПРАВОЧНИК!$O$15+'ПЛАН ЧИСТ К3'!AJ15*СПРАВОЧНИК!$P$15)</f>
        <v/>
      </c>
      <c r="BF24" s="31">
        <f>СПРАВОЧНИК!$E$9*('ФАКТ ЧЕРН К3'!B15*СПРАВОЧНИК!$H$9+'ФАКТ ЧЕРН К3'!C15*СПРАВОЧНИК!$I$9+'ФАКТ ЧЕРН К3'!D15*СПРАВОЧНИК!$J$9)+СПРАВОЧНИК!$F$9*('ФАКТ ЧИСТ К3'!B15*СПРАВОЧНИК!$L$9+'ФАКТ ЧИСТ К3'!C15*СПРАВОЧНИК!$M$9+'ФАКТ ЧИСТ К3'!D15*СПРАВОЧНИК!$N$9+'ФАКТ ЧИСТ К3'!E15*СПРАВОЧНИК!$O$9+'ФАКТ ЧИСТ К3'!F15*СПРАВОЧНИК!$P$9)+СПРАВОЧНИК!$E$10*('ФАКТ ЧЕРН К3'!E15*СПРАВОЧНИК!$H$10+'ФАКТ ЧЕРН К3'!F15*СПРАВОЧНИК!$I$10+'ФАКТ ЧЕРН К3'!G15*СПРАВОЧНИК!$J$10)+СПРАВОЧНИК!$F$10*('ФАКТ ЧИСТ К3'!G15*СПРАВОЧНИК!$L$10+'ФАКТ ЧИСТ К3'!H15*СПРАВОЧНИК!$M$10+'ФАКТ ЧИСТ К3'!I15*СПРАВОЧНИК!$N$10+'ФАКТ ЧИСТ К3'!J15*СПРАВОЧНИК!$O$10+'ФАКТ ЧИСТ К3'!K15*СПРАВОЧНИК!$P$10)+СПРАВОЧНИК!$E$11*('ФАКТ ЧЕРН К3'!H15*СПРАВОЧНИК!$H$11+'ФАКТ ЧЕРН К3'!I15*СПРАВОЧНИК!$I$11+'ФАКТ ЧЕРН К3'!J15*СПРАВОЧНИК!$J$11)+СПРАВОЧНИК!$F$11*('ФАКТ ЧИСТ К3'!L15*СПРАВОЧНИК!$L$11+'ФАКТ ЧИСТ К3'!M15*СПРАВОЧНИК!$M$11+'ФАКТ ЧИСТ К3'!N15*СПРАВОЧНИК!$N$11+'ФАКТ ЧИСТ К3'!O15*СПРАВОЧНИК!$O$11+'ФАКТ ЧИСТ К3'!P15*СПРАВОЧНИК!$P$11)+СПРАВОЧНИК!$E$12*('ФАКТ ЧЕРН К3'!K15*СПРАВОЧНИК!$H$12+'ФАКТ ЧЕРН К3'!L15*СПРАВОЧНИК!$I$12+'ФАКТ ЧЕРН К3'!M15*СПРАВОЧНИК!$J$12)+СПРАВОЧНИК!$F$12*('ФАКТ ЧИСТ К3'!Q15*СПРАВОЧНИК!$L$12+'ФАКТ ЧИСТ К3'!R15*СПРАВОЧНИК!$M$12+'ФАКТ ЧИСТ К3'!S15*СПРАВОЧНИК!$N$12+'ФАКТ ЧИСТ К3'!T15*СПРАВОЧНИК!$O$12+'ФАКТ ЧИСТ К3'!U15*СПРАВОЧНИК!$P$12)+СПРАВОЧНИК!$E$13*('ФАКТ ЧЕРН К3'!N15*СПРАВОЧНИК!$H$13+'ФАКТ ЧЕРН К3'!O15*СПРАВОЧНИК!$I$13+'ФАКТ ЧЕРН К3'!P15*СПРАВОЧНИК!$J$13)+СПРАВОЧНИК!$F$13*('ФАКТ ЧИСТ К3'!V15*СПРАВОЧНИК!$L$13+'ФАКТ ЧИСТ К3'!W15*СПРАВОЧНИК!$M$13+'ФАКТ ЧИСТ К3'!X15*СПРАВОЧНИК!$N$13+'ФАКТ ЧИСТ К3'!Y15*СПРАВОЧНИК!$O$13+'ФАКТ ЧИСТ К3'!Z15*СПРАВОЧНИК!$P$13)+СПРАВОЧНИК!$E$14*('ФАКТ ЧЕРН К3'!Q15*СПРАВОЧНИК!$H$14+'ФАКТ ЧЕРН К3'!R15*СПРАВОЧНИК!$I$14+'ФАКТ ЧЕРН К3'!S15*СПРАВОЧНИК!$J$14)+СПРАВОЧНИК!$F$14*('ФАКТ ЧИСТ К3'!AA15*СПРАВОЧНИК!$L$14+'ФАКТ ЧИСТ К3'!AB15*СПРАВОЧНИК!$M$14+'ФАКТ ЧИСТ К3'!AC15*СПРАВОЧНИК!$N$14+'ФАКТ ЧИСТ К3'!AD15*СПРАВОЧНИК!$O$14+'ФАКТ ЧИСТ К3'!AE15*СПРАВОЧНИК!$P$14)+СПРАВОЧНИК!$E$15*('ФАКТ ЧЕРН К3'!T15*СПРАВОЧНИК!$H$15+'ФАКТ ЧЕРН К3'!U15*СПРАВОЧНИК!$I$15+'ФАКТ ЧЕРН К3'!V15*СПРАВОЧНИК!$J$15)+СПРАВОЧНИК!$F$15*('ФАКТ ЧИСТ К3'!AF15*СПРАВОЧНИК!$L$15+'ФАКТ ЧИСТ К3'!AG15*СПРАВОЧНИК!$M$15+'ФАКТ ЧИСТ К3'!AH15*СПРАВОЧНИК!$N$15+'ФАКТ ЧИСТ К3'!AI15*СПРАВОЧНИК!$O$15+'ФАКТ ЧИСТ К3'!AJ15*СПРАВОЧНИК!$P$15)</f>
        <v/>
      </c>
      <c r="BG24" s="34" t="n"/>
      <c r="BJ24" s="152">
        <f>BJ23+7</f>
        <v/>
      </c>
      <c r="BK24" s="17">
        <f>'ПЛАН ЧЕРН К3'!B15*СПРАВОЧНИК!$H$9+'ПЛАН ЧЕРН К3'!C15*СПРАВОЧНИК!$I$9+'ПЛАН ЧЕРН К3'!D15*СПРАВОЧНИК!$J$9+'ПЛАН ЧЕРН К3'!E15*СПРАВОЧНИК!$H$10+'ПЛАН ЧЕРН К3'!F15*СПРАВОЧНИК!$I$10+'ПЛАН ЧЕРН К3'!G15*СПРАВОЧНИК!$J$10+'ПЛАН ЧЕРН К3'!H15*СПРАВОЧНИК!$H$11+'ПЛАН ЧЕРН К3'!I15*СПРАВОЧНИК!$I$11+'ПЛАН ЧЕРН К3'!J15*СПРАВОЧНИК!$J$11+'ПЛАН ЧЕРН К3'!K15*СПРАВОЧНИК!$H$12+'ПЛАН ЧЕРН К3'!L15*СПРАВОЧНИК!$I$12+'ПЛАН ЧЕРН К3'!M15*СПРАВОЧНИК!$J$12+'ПЛАН ЧЕРН К3'!N15*СПРАВОЧНИК!$H$13+'ПЛАН ЧЕРН К3'!O15*СПРАВОЧНИК!$I$13+'ПЛАН ЧЕРН К3'!P15*СПРАВОЧНИК!$J$13+'ПЛАН ЧЕРН К3'!Q15*СПРАВОЧНИК!$H$14+'ПЛАН ЧЕРН К3'!R15*СПРАВОЧНИК!$I$14+'ПЛАН ЧЕРН К3'!S15*СПРАВОЧНИК!$J$14+'ПЛАН ЧЕРН К3'!T15*СПРАВОЧНИК!$H$15+'ПЛАН ЧЕРН К3'!U15*СПРАВОЧНИК!$I$15+'ПЛАН ЧЕРН К3'!V15*СПРАВОЧНИК!$J$15</f>
        <v/>
      </c>
      <c r="BL24" s="31">
        <f>('ФАКТ ЧЕРН К3'!B15)*СПРАВОЧНИК!$H$9+('ФАКТ ЧЕРН К3'!C15)*СПРАВОЧНИК!$I$9+('ФАКТ ЧЕРН К3'!D15)*СПРАВОЧНИК!$J$9+('ФАКТ ЧЕРН К3'!E15)*СПРАВОЧНИК!$H$10+('ФАКТ ЧЕРН К3'!F15)*СПРАВОЧНИК!$I$10+('ФАКТ ЧЕРН К3'!G15)*СПРАВОЧНИК!$J$10+('ФАКТ ЧЕРН К3'!H15)*СПРАВОЧНИК!$H$11+('ФАКТ ЧЕРН К3'!I15)*СПРАВОЧНИК!$I$11+('ФАКТ ЧЕРН К3'!J15)*СПРАВОЧНИК!$J$11+('ФАКТ ЧЕРН К3'!K15)*СПРАВОЧНИК!$H$12+('ФАКТ ЧЕРН К3'!L15)*СПРАВОЧНИК!$I$12+('ФАКТ ЧЕРН К3'!M15)*СПРАВОЧНИК!$J$12+('ФАКТ ЧЕРН К3'!N15)*СПРАВОЧНИК!$H$13+('ФАКТ ЧЕРН К3'!O15)*СПРАВОЧНИК!$I$13+('ФАКТ ЧЕРН К3'!P15)*СПРАВОЧНИК!$J$13+('ФАКТ ЧЕРН К3'!Q15)*СПРАВОЧНИК!$H$14+('ФАКТ ЧЕРН К3'!R15)*СПРАВОЧНИК!$I$14+('ФАКТ ЧЕРН К3'!S15)*СПРАВОЧНИК!$J$14+('ФАКТ ЧЕРН К3'!T15)*СПРАВОЧНИК!$H$15+('ФАКТ ЧЕРН К3'!U15)*СПРАВОЧНИК!$I$15+('ФАКТ ЧЕРН К3'!V15)*СПРАВОЧНИК!$J$15</f>
        <v/>
      </c>
      <c r="BM24" s="34" t="n"/>
      <c r="BP24" s="152">
        <f>BP23+7</f>
        <v/>
      </c>
      <c r="BQ24" s="17">
        <f>'ПЛАН ЧИСТ К3'!B15*СПРАВОЧНИК!$L$9+'ПЛАН ЧИСТ К3'!C15*СПРАВОЧНИК!$M$9+'ПЛАН ЧИСТ К3'!D15*СПРАВОЧНИК!$N$9+'ПЛАН ЧИСТ К3'!E15*СПРАВОЧНИК!$O$9+'ПЛАН ЧИСТ К3'!F15*СПРАВОЧНИК!$P$9+'ПЛАН ЧИСТ К3'!G15*СПРАВОЧНИК!$L$10+'ПЛАН ЧИСТ К3'!H15*СПРАВОЧНИК!$M$10+'ПЛАН ЧИСТ К3'!I15*СПРАВОЧНИК!$N$10+'ПЛАН ЧИСТ К3'!J15*СПРАВОЧНИК!$O$10+'ПЛАН ЧИСТ К3'!K15*СПРАВОЧНИК!$P$10+'ПЛАН ЧИСТ К3'!L15*СПРАВОЧНИК!$L$11+'ПЛАН ЧИСТ К3'!M15*СПРАВОЧНИК!$M$11+'ПЛАН ЧИСТ К3'!N15*СПРАВОЧНИК!$N$11+'ПЛАН ЧИСТ К3'!O15*СПРАВОЧНИК!$O$11+'ПЛАН ЧИСТ К3'!P15*СПРАВОЧНИК!$P$11+'ПЛАН ЧИСТ К3'!Q15*СПРАВОЧНИК!$L$12+'ПЛАН ЧИСТ К3'!R15*СПРАВОЧНИК!$M$12+'ПЛАН ЧИСТ К3'!S15*СПРАВОЧНИК!$N$12+'ПЛАН ЧИСТ К3'!T15*СПРАВОЧНИК!$O$12+'ПЛАН ЧИСТ К3'!U15*СПРАВОЧНИК!$P$12+'ПЛАН ЧИСТ К3'!V15*СПРАВОЧНИК!$L$13+'ПЛАН ЧИСТ К3'!W15*СПРАВОЧНИК!$M$13+'ПЛАН ЧИСТ К3'!X15*СПРАВОЧНИК!$N$13+'ПЛАН ЧИСТ К3'!Y15*СПРАВОЧНИК!$O$13+'ПЛАН ЧИСТ К3'!Z15*СПРАВОЧНИК!$P$13+'ПЛАН ЧИСТ К3'!AA15*СПРАВОЧНИК!$L$14+'ПЛАН ЧИСТ К3'!AB15*СПРАВОЧНИК!$M$14+'ПЛАН ЧИСТ К3'!AC15*СПРАВОЧНИК!$N$14+'ПЛАН ЧИСТ К3'!AD15*СПРАВОЧНИК!$O$14+'ПЛАН ЧИСТ К3'!AE15*СПРАВОЧНИК!$P$14+'ПЛАН ЧИСТ К3'!AF15*СПРАВОЧНИК!$L$15+'ПЛАН ЧИСТ К3'!AG15*СПРАВОЧНИК!$M$15+'ПЛАН ЧИСТ К3'!AH15*СПРАВОЧНИК!$N$15+'ПЛАН ЧИСТ К3'!AI15*СПРАВОЧНИК!$O$15+'ПЛАН ЧИСТ К3'!AJ15*СПРАВОЧНИК!$P$15</f>
        <v/>
      </c>
      <c r="BR24" s="31">
        <f>('ФАКТ ЧИСТ К3'!B15)*СПРАВОЧНИК!$L$9+('ФАКТ ЧИСТ К3'!C15)*СПРАВОЧНИК!$M$9+('ФАКТ ЧИСТ К3'!D15)*СПРАВОЧНИК!$N$9+('ФАКТ ЧИСТ К3'!E15)*СПРАВОЧНИК!$O$9+('ФАКТ ЧИСТ К3'!F15)*СПРАВОЧНИК!$P$9+('ФАКТ ЧИСТ К3'!G15)*СПРАВОЧНИК!$L$10+('ФАКТ ЧИСТ К3'!H15)*СПРАВОЧНИК!$M$10+('ФАКТ ЧИСТ К3'!I15)*СПРАВОЧНИК!$N$10+('ФАКТ ЧИСТ К3'!J15)*СПРАВОЧНИК!$O$10+('ФАКТ ЧИСТ К3'!K15)*СПРАВОЧНИК!$P$10+('ФАКТ ЧИСТ К3'!L15)*СПРАВОЧНИК!$L$11+('ФАКТ ЧИСТ К3'!M15)*СПРАВОЧНИК!$M$11+('ФАКТ ЧИСТ К3'!N15)*СПРАВОЧНИК!$N$11+('ФАКТ ЧИСТ К3'!O15)*СПРАВОЧНИК!$O$11+('ФАКТ ЧИСТ К3'!P15)*СПРАВОЧНИК!$P$11+('ФАКТ ЧИСТ К3'!Q15)*СПРАВОЧНИК!$L$12+('ФАКТ ЧИСТ К3'!R15)*СПРАВОЧНИК!$M$12+('ФАКТ ЧИСТ К3'!S15)*СПРАВОЧНИК!$N$12+('ФАКТ ЧИСТ К3'!T15)*СПРАВОЧНИК!$O$12+('ФАКТ ЧИСТ К3'!U15)*СПРАВОЧНИК!$P$12+('ФАКТ ЧИСТ К3'!V15)*СПРАВОЧНИК!$L$13+('ФАКТ ЧИСТ К3'!W15)*СПРАВОЧНИК!$M$13+('ФАКТ ЧИСТ К3'!X15)*СПРАВОЧНИК!$N$13+('ФАКТ ЧИСТ К3'!Y15)*СПРАВОЧНИК!$O$13+('ФАКТ ЧИСТ К3'!Z15)*СПРАВОЧНИК!$P$13+('ФАКТ ЧИСТ К3'!AA15)*СПРАВОЧНИК!$L$14+('ФАКТ ЧИСТ К3'!AB15)*СПРАВОЧНИК!$M$14+('ФАКТ ЧИСТ К3'!AC15)*СПРАВОЧНИК!$N$14+('ФАКТ ЧИСТ К3'!AD15)*СПРАВОЧНИК!$O$14+('ФАКТ ЧИСТ К3'!AE15)*СПРАВОЧНИК!$P$14+('ФАКТ ЧИСТ К3'!AF15)*СПРАВОЧНИК!$L$15+('ФАКТ ЧИСТ К3'!AG15)*СПРАВОЧНИК!$M$15+('ФАКТ ЧИСТ К3'!AH15)*СПРАВОЧНИК!$N$15+('ФАКТ ЧИСТ К3'!AI15)*СПРАВОЧНИК!$O$15+('ФАКТ ЧИСТ К3'!AJ15)*СПРАВОЧНИК!$P$15</f>
        <v/>
      </c>
      <c r="BS24" s="34" t="n"/>
      <c r="BV24" s="152">
        <f>BV23+7</f>
        <v/>
      </c>
      <c r="BW24" s="17">
        <f>U24*СПРАВОЧНИК!$K$28+AM24*СПРАВОЧНИК!$K$29+BE24*СПРАВОЧНИК!$K$30</f>
        <v/>
      </c>
      <c r="BX24" s="31">
        <f>V24*СПРАВОЧНИК!$K$28+AN24*СПРАВОЧНИК!$K$29+BF24*СПРАВОЧНИК!$K$30</f>
        <v/>
      </c>
      <c r="BY24" s="34" t="n"/>
      <c r="CB24" s="152">
        <f>CB23+7</f>
        <v/>
      </c>
      <c r="CC24" s="17">
        <f>AA24*СПРАВОЧНИК!$K$28+AS24*СПРАВОЧНИК!$K$29+BK24*СПРАВОЧНИК!$K$30</f>
        <v/>
      </c>
      <c r="CD24" s="31">
        <f>AB24*СПРАВОЧНИК!$K$28+AT24*СПРАВОЧНИК!$K$29+BL24*СПРАВОЧНИК!$K$30</f>
        <v/>
      </c>
      <c r="CE24" s="34" t="n"/>
      <c r="CH24" s="152">
        <f>CH23+7</f>
        <v/>
      </c>
      <c r="CI24" s="17">
        <f>AG24*СПРАВОЧНИК!$K$28+AY24*СПРАВОЧНИК!$K$29+BQ24*СПРАВОЧНИК!$K$30</f>
        <v/>
      </c>
      <c r="CJ24" s="31">
        <f>AH24*СПРАВОЧНИК!$K$28+AZ24*СПРАВОЧНИК!$K$29+BR24*СПРАВОЧНИК!$K$30</f>
        <v/>
      </c>
      <c r="CK24" s="34" t="n"/>
      <c r="CN24" s="152">
        <f>CN23+7</f>
        <v/>
      </c>
      <c r="CO24" s="17">
        <f>C24*СПРАВОЧНИК!$W$18+BW24*СПРАВОЧНИК!$W$19</f>
        <v/>
      </c>
      <c r="CP24" s="31">
        <f>D24*СПРАВОЧНИК!$W$18+BX24*СПРАВОЧНИК!$W$19</f>
        <v/>
      </c>
      <c r="CQ24" s="34" t="n"/>
      <c r="CT24" s="152">
        <f>CT23+7</f>
        <v/>
      </c>
      <c r="CU24" s="17">
        <f>I24*СПРАВОЧНИК!$W$18+CC24*СПРАВОЧНИК!$W$19</f>
        <v/>
      </c>
      <c r="CV24" s="31">
        <f>J24*СПРАВОЧНИК!$W$18+CD24*СПРАВОЧНИК!$W$19</f>
        <v/>
      </c>
      <c r="CW24" s="34" t="n"/>
      <c r="CZ24" s="152">
        <f>CZ23+7</f>
        <v/>
      </c>
      <c r="DA24" s="17">
        <f>O24*СПРАВОЧНИК!$W$18+CI24*СПРАВОЧНИК!$W$19</f>
        <v/>
      </c>
      <c r="DB24" s="31">
        <f>P24*СПРАВОЧНИК!$W$18+CJ24*СПРАВОЧНИК!$W$19</f>
        <v/>
      </c>
      <c r="DC24" s="34" t="n"/>
    </row>
    <row r="25">
      <c r="B25" s="152">
        <f>B24+7</f>
        <v/>
      </c>
      <c r="C25" s="17">
        <f>СПРАВОЧНИК!$E$3*('ПЛАН ЧЕРН ПОДЗЕМ'!B16*СПРАВОЧНИК!$H$3+'ПЛАН ЧЕРН ПОДЗЕМ'!C16*СПРАВОЧНИК!$I$3+'ПЛАН ЧЕРН ПОДЗЕМ'!D16*СПРАВОЧНИК!$J$3)+СПРАВОЧНИК!$F$3*('ПЛАН ЧИСТ ПОДЗЕМ'!B16*СПРАВОЧНИК!$L$3+'ПЛАН ЧИСТ ПОДЗЕМ'!C16*СПРАВОЧНИК!$M$3+'ПЛАН ЧИСТ ПОДЗЕМ'!D16*СПРАВОЧНИК!$N$3+'ПЛАН ЧИСТ ПОДЗЕМ'!E16*СПРАВОЧНИК!$O$3+'ПЛАН ЧИСТ ПОДЗЕМ'!F16*СПРАВОЧНИК!$P$3)+СПРАВОЧНИК!$E$4*('ПЛАН ЧЕРН ПОДЗЕМ'!E16*СПРАВОЧНИК!$H$4+'ПЛАН ЧЕРН ПОДЗЕМ'!F16*СПРАВОЧНИК!$I$4+'ПЛАН ЧЕРН ПОДЗЕМ'!G16*СПРАВОЧНИК!$J$4)+СПРАВОЧНИК!$F$4*('ПЛАН ЧИСТ ПОДЗЕМ'!G16*СПРАВОЧНИК!$L$4+'ПЛАН ЧИСТ ПОДЗЕМ'!H16*СПРАВОЧНИК!$M$4+'ПЛАН ЧИСТ ПОДЗЕМ'!I16*СПРАВОЧНИК!$N$4+'ПЛАН ЧИСТ ПОДЗЕМ'!J16*СПРАВОЧНИК!$O$4+'ПЛАН ЧИСТ ПОДЗЕМ'!K16*СПРАВОЧНИК!$P$4)+СПРАВОЧНИК!$E$5*('ПЛАН ЧЕРН ПОДЗЕМ'!H16*СПРАВОЧНИК!$H$5+'ПЛАН ЧЕРН ПОДЗЕМ'!I16*СПРАВОЧНИК!$I$5+'ПЛАН ЧЕРН ПОДЗЕМ'!J16*СПРАВОЧНИК!$J$5)+СПРАВОЧНИК!$F$5*('ПЛАН ЧИСТ ПОДЗЕМ'!L16*СПРАВОЧНИК!$L$5+'ПЛАН ЧИСТ ПОДЗЕМ'!M16*СПРАВОЧНИК!$M$5+'ПЛАН ЧИСТ ПОДЗЕМ'!N16*СПРАВОЧНИК!$N$5+'ПЛАН ЧИСТ ПОДЗЕМ'!O16*СПРАВОЧНИК!$O$5+'ПЛАН ЧИСТ ПОДЗЕМ'!P16*СПРАВОЧНИК!$P$5)+СПРАВОЧНИК!$E$6*('ПЛАН ЧЕРН ПОДЗЕМ'!K16*СПРАВОЧНИК!$H$6+'ПЛАН ЧЕРН ПОДЗЕМ'!L16*СПРАВОЧНИК!$I$6+'ПЛАН ЧЕРН ПОДЗЕМ'!M16*СПРАВОЧНИК!$J$6)+СПРАВОЧНИК!$F$6*('ПЛАН ЧИСТ ПОДЗЕМ'!Q16*СПРАВОЧНИК!$L$6+'ПЛАН ЧИСТ ПОДЗЕМ'!R16*СПРАВОЧНИК!$M$6+'ПЛАН ЧИСТ ПОДЗЕМ'!S16*СПРАВОЧНИК!$N$6+'ПЛАН ЧИСТ ПОДЗЕМ'!T16*СПРАВОЧНИК!$O$6+'ПЛАН ЧИСТ ПОДЗЕМ'!U16*СПРАВОЧНИК!$P$6)+СПРАВОЧНИК!$E$7*('ПЛАН ЧЕРН ПОДЗЕМ'!N16*СПРАВОЧНИК!$H$7+'ПЛАН ЧЕРН ПОДЗЕМ'!O16*СПРАВОЧНИК!$I$7+'ПЛАН ЧЕРН ПОДЗЕМ'!P16*СПРАВОЧНИК!$J$7)+СПРАВОЧНИК!$F$7*('ПЛАН ЧИСТ ПОДЗЕМ'!V16*СПРАВОЧНИК!$L$7+'ПЛАН ЧИСТ ПОДЗЕМ'!W16*СПРАВОЧНИК!$M$7+'ПЛАН ЧИСТ ПОДЗЕМ'!X16*СПРАВОЧНИК!$N$7+'ПЛАН ЧИСТ ПОДЗЕМ'!Y16*СПРАВОЧНИК!$O$7+'ПЛАН ЧИСТ ПОДЗЕМ'!Z16*СПРАВОЧНИК!$P$7)+СПРАВОЧНИК!$E$8*('ПЛАН ЧЕРН ПОДЗЕМ'!Q16*СПРАВОЧНИК!$H$8+'ПЛАН ЧЕРН ПОДЗЕМ'!R16*СПРАВОЧНИК!$I$8+'ПЛАН ЧЕРН ПОДЗЕМ'!S16*СПРАВОЧНИК!$J$8)+СПРАВОЧНИК!$F$8*('ПЛАН ЧИСТ ПОДЗЕМ'!AA16*СПРАВОЧНИК!$L$8+'ПЛАН ЧИСТ ПОДЗЕМ'!AB16*СПРАВОЧНИК!$M$8+'ПЛАН ЧИСТ ПОДЗЕМ'!AC16*СПРАВОЧНИК!$N$8+'ПЛАН ЧИСТ ПОДЗЕМ'!AD16*СПРАВОЧНИК!$O$8+'ПЛАН ЧИСТ ПОДЗЕМ'!AE16*СПРАВОЧНИК!$P$8)</f>
        <v/>
      </c>
      <c r="D25" s="31">
        <f>СПРАВОЧНИК!$E$3*('ФАКТ ЧЕРН ПОДЗЕМ'!B16*СПРАВОЧНИК!$H$3+'ФАКТ ЧЕРН ПОДЗЕМ'!C16*СПРАВОЧНИК!$I$3+'ФАКТ ЧЕРН ПОДЗЕМ'!D16*СПРАВОЧНИК!$J$3)+СПРАВОЧНИК!$F$3*('ФАКТ ЧИСТ ПОДЗЕМ'!B16*СПРАВОЧНИК!$L$3+'ФАКТ ЧИСТ ПОДЗЕМ'!C16*СПРАВОЧНИК!$M$3+'ФАКТ ЧИСТ ПОДЗЕМ'!D16*СПРАВОЧНИК!$N$3+'ФАКТ ЧИСТ ПОДЗЕМ'!E16*СПРАВОЧНИК!$O$3+'ФАКТ ЧИСТ ПОДЗЕМ'!F16*СПРАВОЧНИК!$P$3)+СПРАВОЧНИК!$E$4*('ФАКТ ЧЕРН ПОДЗЕМ'!E16*СПРАВОЧНИК!$H$4+'ФАКТ ЧЕРН ПОДЗЕМ'!F16*СПРАВОЧНИК!$I$4+'ФАКТ ЧЕРН ПОДЗЕМ'!G16*СПРАВОЧНИК!$J$4)+СПРАВОЧНИК!$F$4*('ФАКТ ЧИСТ ПОДЗЕМ'!G16*СПРАВОЧНИК!$L$4+'ФАКТ ЧИСТ ПОДЗЕМ'!H16*СПРАВОЧНИК!$M$4+'ФАКТ ЧИСТ ПОДЗЕМ'!I16*СПРАВОЧНИК!$N$4+'ФАКТ ЧИСТ ПОДЗЕМ'!J16*СПРАВОЧНИК!$O$4+'ФАКТ ЧИСТ ПОДЗЕМ'!K16*СПРАВОЧНИК!$P$4)+СПРАВОЧНИК!$E$5*('ФАКТ ЧЕРН ПОДЗЕМ'!H16*СПРАВОЧНИК!$H$5+'ФАКТ ЧЕРН ПОДЗЕМ'!I16*СПРАВОЧНИК!$I$5+'ФАКТ ЧЕРН ПОДЗЕМ'!J16*СПРАВОЧНИК!$J$5)+СПРАВОЧНИК!$F$5*('ФАКТ ЧИСТ ПОДЗЕМ'!L16*СПРАВОЧНИК!$L$5+'ФАКТ ЧИСТ ПОДЗЕМ'!M16*СПРАВОЧНИК!$M$5+'ФАКТ ЧИСТ ПОДЗЕМ'!N16*СПРАВОЧНИК!$N$5+'ФАКТ ЧИСТ ПОДЗЕМ'!O16*СПРАВОЧНИК!$O$5+'ФАКТ ЧИСТ ПОДЗЕМ'!P16*СПРАВОЧНИК!$P$5)+СПРАВОЧНИК!$E$6*('ФАКТ ЧЕРН ПОДЗЕМ'!K16*СПРАВОЧНИК!$H$6+'ФАКТ ЧЕРН ПОДЗЕМ'!L16*СПРАВОЧНИК!$I$6+'ФАКТ ЧЕРН ПОДЗЕМ'!M16*СПРАВОЧНИК!$J$6)+СПРАВОЧНИК!$F$6*('ФАКТ ЧИСТ ПОДЗЕМ'!Q16*СПРАВОЧНИК!$L$6+'ФАКТ ЧИСТ ПОДЗЕМ'!R16*СПРАВОЧНИК!$M$6+'ФАКТ ЧИСТ ПОДЗЕМ'!S16*СПРАВОЧНИК!$N$6+'ФАКТ ЧИСТ ПОДЗЕМ'!T16*СПРАВОЧНИК!$O$6+'ФАКТ ЧИСТ ПОДЗЕМ'!U16*СПРАВОЧНИК!$P$6)+СПРАВОЧНИК!$E$7*('ФАКТ ЧЕРН ПОДЗЕМ'!N16*СПРАВОЧНИК!$H$7+'ФАКТ ЧЕРН ПОДЗЕМ'!O16*СПРАВОЧНИК!$I$7+'ФАКТ ЧЕРН ПОДЗЕМ'!P16*СПРАВОЧНИК!$J$7)+СПРАВОЧНИК!$F$7*('ФАКТ ЧИСТ ПОДЗЕМ'!V16*СПРАВОЧНИК!$L$7+'ФАКТ ЧИСТ ПОДЗЕМ'!W16*СПРАВОЧНИК!$M$7+'ФАКТ ЧИСТ ПОДЗЕМ'!X16*СПРАВОЧНИК!$N$7+'ФАКТ ЧИСТ ПОДЗЕМ'!Y16*СПРАВОЧНИК!$O$7+'ФАКТ ЧИСТ ПОДЗЕМ'!Z16*СПРАВОЧНИК!$P$7)+СПРАВОЧНИК!$E$8*('ФАКТ ЧЕРН ПОДЗЕМ'!Q16*СПРАВОЧНИК!$H$8+'ФАКТ ЧЕРН ПОДЗЕМ'!R16*СПРАВОЧНИК!$I$8+'ФАКТ ЧЕРН ПОДЗЕМ'!S16*СПРАВОЧНИК!$J$8)+СПРАВОЧНИК!$F$8*('ФАКТ ЧИСТ ПОДЗЕМ'!AA16*СПРАВОЧНИК!$L$8+'ФАКТ ЧИСТ ПОДЗЕМ'!AB16*СПРАВОЧНИК!$M$8+'ФАКТ ЧИСТ ПОДЗЕМ'!AC16*СПРАВОЧНИК!$N$8+'ФАКТ ЧИСТ ПОДЗЕМ'!AD16*СПРАВОЧНИК!$O$8+'ФАКТ ЧИСТ ПОДЗЕМ'!AE16*СПРАВОЧНИК!$P$8)</f>
        <v/>
      </c>
      <c r="E25" s="34" t="n"/>
      <c r="H25" s="152">
        <f>H24+7</f>
        <v/>
      </c>
      <c r="I25" s="17">
        <f>'ПЛАН ЧЕРН ПОДЗЕМ'!B16*СПРАВОЧНИК!$H$3+'ПЛАН ЧЕРН ПОДЗЕМ'!C16*СПРАВОЧНИК!$I$3+'ПЛАН ЧЕРН ПОДЗЕМ'!D16*СПРАВОЧНИК!$J$3+'ПЛАН ЧЕРН ПОДЗЕМ'!E16*СПРАВОЧНИК!$H$4+'ПЛАН ЧЕРН ПОДЗЕМ'!F16*СПРАВОЧНИК!$I$4+'ПЛАН ЧЕРН ПОДЗЕМ'!G16*СПРАВОЧНИК!$J$4+'ПЛАН ЧЕРН ПОДЗЕМ'!H16*СПРАВОЧНИК!$H$5+'ПЛАН ЧЕРН ПОДЗЕМ'!I16*СПРАВОЧНИК!$I$5+'ПЛАН ЧЕРН ПОДЗЕМ'!J16*СПРАВОЧНИК!$J$5+'ПЛАН ЧЕРН ПОДЗЕМ'!K16*СПРАВОЧНИК!$H$6+'ПЛАН ЧЕРН ПОДЗЕМ'!L16*СПРАВОЧНИК!$I$6+'ПЛАН ЧЕРН ПОДЗЕМ'!M16*СПРАВОЧНИК!$J$6+'ПЛАН ЧЕРН ПОДЗЕМ'!N16*СПРАВОЧНИК!$H$7+'ПЛАН ЧЕРН ПОДЗЕМ'!O16*СПРАВОЧНИК!$I$7+'ПЛАН ЧЕРН ПОДЗЕМ'!P16*СПРАВОЧНИК!$J$7+'ПЛАН ЧЕРН ПОДЗЕМ'!Q16*СПРАВОЧНИК!$H$8+'ПЛАН ЧЕРН ПОДЗЕМ'!R16*СПРАВОЧНИК!$I$8+'ПЛАН ЧЕРН ПОДЗЕМ'!S16*СПРАВОЧНИК!$J$8</f>
        <v/>
      </c>
      <c r="J25" s="31">
        <f>('ФАКТ ЧЕРН ПОДЗЕМ'!B16)*СПРАВОЧНИК!$H$3+('ФАКТ ЧЕРН ПОДЗЕМ'!C16)*СПРАВОЧНИК!$I$3+('ФАКТ ЧЕРН ПОДЗЕМ'!D16)*СПРАВОЧНИК!$J$3+('ФАКТ ЧЕРН ПОДЗЕМ'!E16)*СПРАВОЧНИК!$H$4+('ФАКТ ЧЕРН ПОДЗЕМ'!F16)*СПРАВОЧНИК!$I$4+('ФАКТ ЧЕРН ПОДЗЕМ'!G16)*СПРАВОЧНИК!$J$4+('ФАКТ ЧЕРН ПОДЗЕМ'!H16)*СПРАВОЧНИК!$H$5+('ФАКТ ЧЕРН ПОДЗЕМ'!I16)*СПРАВОЧНИК!$I$5+('ФАКТ ЧЕРН ПОДЗЕМ'!J16)*СПРАВОЧНИК!$J$5+('ФАКТ ЧЕРН ПОДЗЕМ'!K16)*СПРАВОЧНИК!$H$6+('ФАКТ ЧЕРН ПОДЗЕМ'!L16)*СПРАВОЧНИК!$I$6+('ФАКТ ЧЕРН ПОДЗЕМ'!M16)*СПРАВОЧНИК!$J$6+('ФАКТ ЧЕРН ПОДЗЕМ'!N16)*СПРАВОЧНИК!$H$7+('ФАКТ ЧЕРН ПОДЗЕМ'!O16)*СПРАВОЧНИК!$I$7+('ФАКТ ЧЕРН ПОДЗЕМ'!P16)*СПРАВОЧНИК!$J$7+('ФАКТ ЧЕРН ПОДЗЕМ'!Q16)*СПРАВОЧНИК!$H$8+('ФАКТ ЧЕРН ПОДЗЕМ'!R16)*СПРАВОЧНИК!$I$8+('ФАКТ ЧЕРН ПОДЗЕМ'!S16)*СПРАВОЧНИК!$J$8</f>
        <v/>
      </c>
      <c r="K25" s="34" t="n"/>
      <c r="N25" s="152">
        <f>N24+7</f>
        <v/>
      </c>
      <c r="O25" s="17">
        <f>'ПЛАН ЧИСТ ПОДЗЕМ'!B16*СПРАВОЧНИК!$L$3+'ПЛАН ЧИСТ ПОДЗЕМ'!C16*СПРАВОЧНИК!$M$3+'ПЛАН ЧИСТ ПОДЗЕМ'!D16*СПРАВОЧНИК!$N$3+'ПЛАН ЧИСТ ПОДЗЕМ'!E16*СПРАВОЧНИК!$O$3+'ПЛАН ЧИСТ ПОДЗЕМ'!F16*СПРАВОЧНИК!$P$3+'ПЛАН ЧИСТ ПОДЗЕМ'!G16*СПРАВОЧНИК!$L$4+'ПЛАН ЧИСТ ПОДЗЕМ'!H16*СПРАВОЧНИК!$M$4+'ПЛАН ЧИСТ ПОДЗЕМ'!I16*СПРАВОЧНИК!$N$4+'ПЛАН ЧИСТ ПОДЗЕМ'!J16*СПРАВОЧНИК!$O$4+'ПЛАН ЧИСТ ПОДЗЕМ'!K16*СПРАВОЧНИК!$P$4+'ПЛАН ЧИСТ ПОДЗЕМ'!L16*СПРАВОЧНИК!$L$5+'ПЛАН ЧИСТ ПОДЗЕМ'!M16*СПРАВОЧНИК!$M$5+'ПЛАН ЧИСТ ПОДЗЕМ'!N16*СПРАВОЧНИК!$N$5+'ПЛАН ЧИСТ ПОДЗЕМ'!O16*СПРАВОЧНИК!$O$5+'ПЛАН ЧИСТ ПОДЗЕМ'!P16*СПРАВОЧНИК!$P$5+'ПЛАН ЧИСТ ПОДЗЕМ'!Q16*СПРАВОЧНИК!$L$6+'ПЛАН ЧИСТ ПОДЗЕМ'!R16*СПРАВОЧНИК!$M$6+'ПЛАН ЧИСТ ПОДЗЕМ'!S16*СПРАВОЧНИК!$N$6+'ПЛАН ЧИСТ ПОДЗЕМ'!T16*СПРАВОЧНИК!$O$6+'ПЛАН ЧИСТ ПОДЗЕМ'!U16*СПРАВОЧНИК!$P$6+'ПЛАН ЧИСТ ПОДЗЕМ'!V16*СПРАВОЧНИК!$L$7+'ПЛАН ЧИСТ ПОДЗЕМ'!W16*СПРАВОЧНИК!$M$7+'ПЛАН ЧИСТ ПОДЗЕМ'!X16*СПРАВОЧНИК!$N$7+'ПЛАН ЧИСТ ПОДЗЕМ'!Y16*СПРАВОЧНИК!$O$7+'ПЛАН ЧИСТ ПОДЗЕМ'!Z16*СПРАВОЧНИК!$P$7+'ПЛАН ЧИСТ ПОДЗЕМ'!AA16*СПРАВОЧНИК!$L$8+'ПЛАН ЧИСТ ПОДЗЕМ'!AB16*СПРАВОЧНИК!$M$8+'ПЛАН ЧИСТ ПОДЗЕМ'!AC16*СПРАВОЧНИК!$N$8+'ПЛАН ЧИСТ ПОДЗЕМ'!AD16*СПРАВОЧНИК!$O$8+'ПЛАН ЧИСТ ПОДЗЕМ'!AE16*СПРАВОЧНИК!$P$8</f>
        <v/>
      </c>
      <c r="P25" s="31">
        <f>('ФАКТ ЧИСТ ПОДЗЕМ'!B16)*СПРАВОЧНИК!$L$3+('ФАКТ ЧИСТ ПОДЗЕМ'!C16)*СПРАВОЧНИК!$M$3+('ФАКТ ЧИСТ ПОДЗЕМ'!D16)*СПРАВОЧНИК!$N$3+('ФАКТ ЧИСТ ПОДЗЕМ'!E16)*СПРАВОЧНИК!$O$3+('ФАКТ ЧИСТ ПОДЗЕМ'!F16)*СПРАВОЧНИК!$P$3+('ФАКТ ЧИСТ ПОДЗЕМ'!G16)*СПРАВОЧНИК!$L$4+('ФАКТ ЧИСТ ПОДЗЕМ'!H16)*СПРАВОЧНИК!$M$4+('ФАКТ ЧИСТ ПОДЗЕМ'!I16)*СПРАВОЧНИК!$N$4+('ФАКТ ЧИСТ ПОДЗЕМ'!J16)*СПРАВОЧНИК!$O$4+('ФАКТ ЧИСТ ПОДЗЕМ'!K16)*СПРАВОЧНИК!$P$4+('ФАКТ ЧИСТ ПОДЗЕМ'!L16)*СПРАВОЧНИК!$L$5+('ФАКТ ЧИСТ ПОДЗЕМ'!M16)*СПРАВОЧНИК!$M$5+('ФАКТ ЧИСТ ПОДЗЕМ'!N16)*СПРАВОЧНИК!$N$5+('ФАКТ ЧИСТ ПОДЗЕМ'!O16)*СПРАВОЧНИК!$O$5+('ФАКТ ЧИСТ ПОДЗЕМ'!P16)*СПРАВОЧНИК!$P$5+('ФАКТ ЧИСТ ПОДЗЕМ'!Q16)*СПРАВОЧНИК!$L$6+('ФАКТ ЧИСТ ПОДЗЕМ'!R16)*СПРАВОЧНИК!$M$6+('ФАКТ ЧИСТ ПОДЗЕМ'!S16)*СПРАВОЧНИК!$N$6+('ФАКТ ЧИСТ ПОДЗЕМ'!T16)*СПРАВОЧНИК!$O$6+('ФАКТ ЧИСТ ПОДЗЕМ'!U16)*СПРАВОЧНИК!$P$6+('ФАКТ ЧИСТ ПОДЗЕМ'!V16)*СПРАВОЧНИК!$L$7+('ФАКТ ЧИСТ ПОДЗЕМ'!W16)*СПРАВОЧНИК!$M$7+('ФАКТ ЧИСТ ПОДЗЕМ'!X16)*СПРАВОЧНИК!$N$7+('ФАКТ ЧИСТ ПОДЗЕМ'!Y16)*СПРАВОЧНИК!$O$7+('ФАКТ ЧИСТ ПОДЗЕМ'!Z16)*СПРАВОЧНИК!$P$7+('ФАКТ ЧИСТ ПОДЗЕМ'!AA16)*СПРАВОЧНИК!$L$8+('ФАКТ ЧИСТ ПОДЗЕМ'!AB16)*СПРАВОЧНИК!$M$8+('ФАКТ ЧИСТ ПОДЗЕМ'!AC16)*СПРАВОЧНИК!$N$8+('ФАКТ ЧИСТ ПОДЗЕМ'!AD16)*СПРАВОЧНИК!$O$8+('ФАКТ ЧИСТ ПОДЗЕМ'!AE16)*СПРАВОЧНИК!$P$8</f>
        <v/>
      </c>
      <c r="Q25" s="34" t="n"/>
      <c r="T25" s="152">
        <f>T24+7</f>
        <v/>
      </c>
      <c r="U25" s="17">
        <f>СПРАВОЧНИК!$E$9*('ПЛАН ЧЕРН К1'!B16*СПРАВОЧНИК!$H$9+'ПЛАН ЧЕРН К1'!C16*СПРАВОЧНИК!$I$9+'ПЛАН ЧЕРН К1'!D16*СПРАВОЧНИК!$J$9)+СПРАВОЧНИК!$F$9*('ПЛАН ЧИСТ К1'!B16*СПРАВОЧНИК!$L$9+'ПЛАН ЧИСТ К1'!C16*СПРАВОЧНИК!$M$9+'ПЛАН ЧИСТ К1'!D16*СПРАВОЧНИК!$N$9+'ПЛАН ЧИСТ К1'!E16*СПРАВОЧНИК!$O$9+'ПЛАН ЧИСТ К1'!F16*СПРАВОЧНИК!$P$9)+СПРАВОЧНИК!$E$10*('ПЛАН ЧЕРН К1'!E16*СПРАВОЧНИК!$H$10+'ПЛАН ЧЕРН К1'!F16*СПРАВОЧНИК!$I$10+'ПЛАН ЧЕРН К1'!G16*СПРАВОЧНИК!$J$10)+СПРАВОЧНИК!$F$10*('ПЛАН ЧИСТ К1'!G16*СПРАВОЧНИК!$L$10+'ПЛАН ЧИСТ К1'!H16*СПРАВОЧНИК!$M$10+'ПЛАН ЧИСТ К1'!I16*СПРАВОЧНИК!$N$10+'ПЛАН ЧИСТ К1'!J16*СПРАВОЧНИК!$O$10+'ПЛАН ЧИСТ К1'!K16*СПРАВОЧНИК!$P$10)+СПРАВОЧНИК!$E$11*('ПЛАН ЧЕРН К1'!H16*СПРАВОЧНИК!$H$11+'ПЛАН ЧЕРН К1'!I16*СПРАВОЧНИК!$I$11+'ПЛАН ЧЕРН К1'!J16*СПРАВОЧНИК!$J$11)+СПРАВОЧНИК!$F$11*('ПЛАН ЧИСТ К1'!L16*СПРАВОЧНИК!$L$11+'ПЛАН ЧИСТ К1'!M16*СПРАВОЧНИК!$M$11+'ПЛАН ЧИСТ К1'!N16*СПРАВОЧНИК!$N$11+'ПЛАН ЧИСТ К1'!O16*СПРАВОЧНИК!$O$11+'ПЛАН ЧИСТ К1'!P16*СПРАВОЧНИК!$P$11)+СПРАВОЧНИК!$E$12*('ПЛАН ЧЕРН К1'!K16*СПРАВОЧНИК!$H$12+'ПЛАН ЧЕРН К1'!L16*СПРАВОЧНИК!$I$12+'ПЛАН ЧЕРН К1'!M16*СПРАВОЧНИК!$J$12)+СПРАВОЧНИК!$F$12*('ПЛАН ЧИСТ К1'!Q16*СПРАВОЧНИК!$L$12+'ПЛАН ЧИСТ К1'!R16*СПРАВОЧНИК!$M$12+'ПЛАН ЧИСТ К1'!S16*СПРАВОЧНИК!$N$12+'ПЛАН ЧИСТ К1'!T16*СПРАВОЧНИК!$O$12+'ПЛАН ЧИСТ К1'!U16*СПРАВОЧНИК!$P$12)+СПРАВОЧНИК!$E$13*('ПЛАН ЧЕРН К1'!N16*СПРАВОЧНИК!$H$13+'ПЛАН ЧЕРН К1'!O16*СПРАВОЧНИК!$I$13+'ПЛАН ЧЕРН К1'!P16*СПРАВОЧНИК!$J$13)+СПРАВОЧНИК!$F$13*('ПЛАН ЧИСТ К1'!V16*СПРАВОЧНИК!$L$13+'ПЛАН ЧИСТ К1'!W16*СПРАВОЧНИК!$M$13+'ПЛАН ЧИСТ К1'!X16*СПРАВОЧНИК!$N$13+'ПЛАН ЧИСТ К1'!Y16*СПРАВОЧНИК!$O$13+'ПЛАН ЧИСТ К1'!Z16*СПРАВОЧНИК!$P$13)+СПРАВОЧНИК!$E$14*('ПЛАН ЧЕРН К1'!Q16*СПРАВОЧНИК!$H$14+'ПЛАН ЧЕРН К1'!R16*СПРАВОЧНИК!$I$14+'ПЛАН ЧЕРН К1'!S16*СПРАВОЧНИК!$J$14)+СПРАВОЧНИК!$F$14*('ПЛАН ЧИСТ К1'!AA16*СПРАВОЧНИК!$L$14+'ПЛАН ЧИСТ К1'!AB16*СПРАВОЧНИК!$M$14+'ПЛАН ЧИСТ К1'!AC16*СПРАВОЧНИК!$N$14+'ПЛАН ЧИСТ К1'!AD16*СПРАВОЧНИК!$O$14+'ПЛАН ЧИСТ К1'!AE16*СПРАВОЧНИК!$P$14)+СПРАВОЧНИК!$E$15*('ПЛАН ЧЕРН К1'!T16*СПРАВОЧНИК!$H$15+'ПЛАН ЧЕРН К1'!U16*СПРАВОЧНИК!$I$15+'ПЛАН ЧЕРН К1'!V16*СПРАВОЧНИК!$J$15)+СПРАВОЧНИК!$F$15*('ПЛАН ЧИСТ К1'!AF16*СПРАВОЧНИК!$L$15+'ПЛАН ЧИСТ К1'!AG16*СПРАВОЧНИК!$M$15+'ПЛАН ЧИСТ К1'!AH16*СПРАВОЧНИК!$N$15+'ПЛАН ЧИСТ К1'!AI16*СПРАВОЧНИК!$O$15+'ПЛАН ЧИСТ К1'!AJ16*СПРАВОЧНИК!$P$15)</f>
        <v/>
      </c>
      <c r="V25" s="31">
        <f>СПРАВОЧНИК!$E$9*('ФАКТ ЧЕРН К1'!B16*СПРАВОЧНИК!$H$9+'ФАКТ ЧЕРН К1'!C16*СПРАВОЧНИК!$I$9+'ФАКТ ЧЕРН К1'!D16*СПРАВОЧНИК!$J$9)+СПРАВОЧНИК!$F$9*('ФАКТ ЧИСТ К1'!B16*СПРАВОЧНИК!$L$9+'ФАКТ ЧИСТ К1'!C16*СПРАВОЧНИК!$M$9+'ФАКТ ЧИСТ К1'!D16*СПРАВОЧНИК!$N$9+'ФАКТ ЧИСТ К1'!E16*СПРАВОЧНИК!$O$9+'ФАКТ ЧИСТ К1'!F16*СПРАВОЧНИК!$P$9)+СПРАВОЧНИК!$E$10*('ФАКТ ЧЕРН К1'!E16*СПРАВОЧНИК!$H$10+'ФАКТ ЧЕРН К1'!F16*СПРАВОЧНИК!$I$10+'ФАКТ ЧЕРН К1'!G16*СПРАВОЧНИК!$J$10)+СПРАВОЧНИК!$F$10*('ФАКТ ЧИСТ К1'!G16*СПРАВОЧНИК!$L$10+'ФАКТ ЧИСТ К1'!H16*СПРАВОЧНИК!$M$10+'ФАКТ ЧИСТ К1'!I16*СПРАВОЧНИК!$N$10+'ФАКТ ЧИСТ К1'!J16*СПРАВОЧНИК!$O$10+'ФАКТ ЧИСТ К1'!K16*СПРАВОЧНИК!$P$10)+СПРАВОЧНИК!$E$11*('ФАКТ ЧЕРН К1'!H16*СПРАВОЧНИК!$H$11+'ФАКТ ЧЕРН К1'!I16*СПРАВОЧНИК!$I$11+'ФАКТ ЧЕРН К1'!J16*СПРАВОЧНИК!$J$11)+СПРАВОЧНИК!$F$11*('ФАКТ ЧИСТ К1'!L16*СПРАВОЧНИК!$L$11+'ФАКТ ЧИСТ К1'!M16*СПРАВОЧНИК!$M$11+'ФАКТ ЧИСТ К1'!N16*СПРАВОЧНИК!$N$11+'ФАКТ ЧИСТ К1'!O16*СПРАВОЧНИК!$O$11+'ФАКТ ЧИСТ К1'!P16*СПРАВОЧНИК!$P$11)+СПРАВОЧНИК!$E$12*('ФАКТ ЧЕРН К1'!K16*СПРАВОЧНИК!$H$12+'ФАКТ ЧЕРН К1'!L16*СПРАВОЧНИК!$I$12+'ФАКТ ЧЕРН К1'!M16*СПРАВОЧНИК!$J$12)+СПРАВОЧНИК!$F$12*('ФАКТ ЧИСТ К1'!Q16*СПРАВОЧНИК!$L$12+'ФАКТ ЧИСТ К1'!R16*СПРАВОЧНИК!$M$12+'ФАКТ ЧИСТ К1'!S16*СПРАВОЧНИК!$N$12+'ФАКТ ЧИСТ К1'!T16*СПРАВОЧНИК!$O$12+'ФАКТ ЧИСТ К1'!U16*СПРАВОЧНИК!$P$12)+СПРАВОЧНИК!$E$13*('ФАКТ ЧЕРН К1'!N16*СПРАВОЧНИК!$H$13+'ФАКТ ЧЕРН К1'!O16*СПРАВОЧНИК!$I$13+'ФАКТ ЧЕРН К1'!P16*СПРАВОЧНИК!$J$13)+СПРАВОЧНИК!$F$13*('ФАКТ ЧИСТ К1'!V16*СПРАВОЧНИК!$L$13+'ФАКТ ЧИСТ К1'!W16*СПРАВОЧНИК!$M$13+'ФАКТ ЧИСТ К1'!X16*СПРАВОЧНИК!$N$13+'ФАКТ ЧИСТ К1'!Y16*СПРАВОЧНИК!$O$13+'ФАКТ ЧИСТ К1'!Z16*СПРАВОЧНИК!$P$13)+СПРАВОЧНИК!$E$14*('ФАКТ ЧЕРН К1'!Q16*СПРАВОЧНИК!$H$14+'ФАКТ ЧЕРН К1'!R16*СПРАВОЧНИК!$I$14+'ФАКТ ЧЕРН К1'!S16*СПРАВОЧНИК!$J$14)+СПРАВОЧНИК!$F$14*('ФАКТ ЧИСТ К1'!AA16*СПРАВОЧНИК!$L$14+'ФАКТ ЧИСТ К1'!AB16*СПРАВОЧНИК!$M$14+'ФАКТ ЧИСТ К1'!AC16*СПРАВОЧНИК!$N$14+'ФАКТ ЧИСТ К1'!AD16*СПРАВОЧНИК!$O$14+'ФАКТ ЧИСТ К1'!AE16*СПРАВОЧНИК!$P$14)+СПРАВОЧНИК!$E$15*('ФАКТ ЧЕРН К1'!T16*СПРАВОЧНИК!$H$15+'ФАКТ ЧЕРН К1'!U16*СПРАВОЧНИК!$I$15+'ФАКТ ЧЕРН К1'!V16*СПРАВОЧНИК!$J$15)+СПРАВОЧНИК!$F$15*('ФАКТ ЧИСТ К1'!AF16*СПРАВОЧНИК!$L$15+'ФАКТ ЧИСТ К1'!AG16*СПРАВОЧНИК!$M$15+'ФАКТ ЧИСТ К1'!AH16*СПРАВОЧНИК!$N$15+'ФАКТ ЧИСТ К1'!AI16*СПРАВОЧНИК!$O$15+'ФАКТ ЧИСТ К1'!AJ16*СПРАВОЧНИК!$P$15)</f>
        <v/>
      </c>
      <c r="W25" s="34" t="n"/>
      <c r="Z25" s="152">
        <f>Z24+7</f>
        <v/>
      </c>
      <c r="AA25" s="17">
        <f>'ПЛАН ЧЕРН К1'!B16*СПРАВОЧНИК!$H$9+'ПЛАН ЧЕРН К1'!C16*СПРАВОЧНИК!$I$9+'ПЛАН ЧЕРН К1'!D16*СПРАВОЧНИК!$J$9+'ПЛАН ЧЕРН К1'!E16*СПРАВОЧНИК!$H$10+'ПЛАН ЧЕРН К1'!F16*СПРАВОЧНИК!$I$10+'ПЛАН ЧЕРН К1'!G16*СПРАВОЧНИК!$J$10+'ПЛАН ЧЕРН К1'!H16*СПРАВОЧНИК!$H$11+'ПЛАН ЧЕРН К1'!I16*СПРАВОЧНИК!$I$11+'ПЛАН ЧЕРН К1'!J16*СПРАВОЧНИК!$J$11+'ПЛАН ЧЕРН К1'!K16*СПРАВОЧНИК!$H$12+'ПЛАН ЧЕРН К1'!L16*СПРАВОЧНИК!$I$12+'ПЛАН ЧЕРН К1'!M16*СПРАВОЧНИК!$J$12+'ПЛАН ЧЕРН К1'!N16*СПРАВОЧНИК!$H$13+'ПЛАН ЧЕРН К1'!O16*СПРАВОЧНИК!$I$13+'ПЛАН ЧЕРН К1'!P16*СПРАВОЧНИК!$J$13+'ПЛАН ЧЕРН К1'!Q16*СПРАВОЧНИК!$H$14+'ПЛАН ЧЕРН К1'!R16*СПРАВОЧНИК!$I$14+'ПЛАН ЧЕРН К1'!S16*СПРАВОЧНИК!$J$14+'ПЛАН ЧЕРН К1'!T16*СПРАВОЧНИК!$H$15+'ПЛАН ЧЕРН К1'!U16*СПРАВОЧНИК!$I$15+'ПЛАН ЧЕРН К1'!V16*СПРАВОЧНИК!$J$15</f>
        <v/>
      </c>
      <c r="AB25" s="31">
        <f>('ФАКТ ЧЕРН К1'!B16)*СПРАВОЧНИК!$H$9+('ФАКТ ЧЕРН К1'!C16)*СПРАВОЧНИК!$I$9+('ФАКТ ЧЕРН К1'!D16)*СПРАВОЧНИК!$J$9+('ФАКТ ЧЕРН К1'!E16)*СПРАВОЧНИК!$H$10+('ФАКТ ЧЕРН К1'!F16)*СПРАВОЧНИК!$I$10+('ФАКТ ЧЕРН К1'!G16)*СПРАВОЧНИК!$J$10+('ФАКТ ЧЕРН К1'!H16)*СПРАВОЧНИК!$H$11+('ФАКТ ЧЕРН К1'!I16)*СПРАВОЧНИК!$I$11+('ФАКТ ЧЕРН К1'!J16)*СПРАВОЧНИК!$J$11+('ФАКТ ЧЕРН К1'!K16)*СПРАВОЧНИК!$H$12+('ФАКТ ЧЕРН К1'!L16)*СПРАВОЧНИК!$I$12+('ФАКТ ЧЕРН К1'!M16)*СПРАВОЧНИК!$J$12+('ФАКТ ЧЕРН К1'!N16)*СПРАВОЧНИК!$H$13+('ФАКТ ЧЕРН К1'!O16)*СПРАВОЧНИК!$I$13+('ФАКТ ЧЕРН К1'!P16)*СПРАВОЧНИК!$J$13+('ФАКТ ЧЕРН К1'!Q16)*СПРАВОЧНИК!$H$14+('ФАКТ ЧЕРН К1'!R16)*СПРАВОЧНИК!$I$14+('ФАКТ ЧЕРН К1'!S16)*СПРАВОЧНИК!$J$14+('ФАКТ ЧЕРН К1'!T16)*СПРАВОЧНИК!$H$15+('ФАКТ ЧЕРН К1'!U16)*СПРАВОЧНИК!$I$15+('ФАКТ ЧЕРН К1'!V16)*СПРАВОЧНИК!$J$15</f>
        <v/>
      </c>
      <c r="AC25" s="34" t="n"/>
      <c r="AF25" s="152">
        <f>AF24+7</f>
        <v/>
      </c>
      <c r="AG25" s="17">
        <f>'ПЛАН ЧИСТ К1'!B16*СПРАВОЧНИК!$L$9+'ПЛАН ЧИСТ К1'!C16*СПРАВОЧНИК!$M$9+'ПЛАН ЧИСТ К1'!D16*СПРАВОЧНИК!$N$9+'ПЛАН ЧИСТ К1'!E16*СПРАВОЧНИК!$O$9+'ПЛАН ЧИСТ К1'!F16*СПРАВОЧНИК!$P$9+'ПЛАН ЧИСТ К1'!G16*СПРАВОЧНИК!$L$10+'ПЛАН ЧИСТ К1'!H16*СПРАВОЧНИК!$M$10+'ПЛАН ЧИСТ К1'!I16*СПРАВОЧНИК!$N$10+'ПЛАН ЧИСТ К1'!J16*СПРАВОЧНИК!$O$10+'ПЛАН ЧИСТ К1'!K16*СПРАВОЧНИК!$P$10+'ПЛАН ЧИСТ К1'!L16*СПРАВОЧНИК!$L$11+'ПЛАН ЧИСТ К1'!M16*СПРАВОЧНИК!$M$11+'ПЛАН ЧИСТ К1'!N16*СПРАВОЧНИК!$N$11+'ПЛАН ЧИСТ К1'!O16*СПРАВОЧНИК!$O$11+'ПЛАН ЧИСТ К1'!P16*СПРАВОЧНИК!$P$11+'ПЛАН ЧИСТ К1'!Q16*СПРАВОЧНИК!$L$12+'ПЛАН ЧИСТ К1'!R16*СПРАВОЧНИК!$M$12+'ПЛАН ЧИСТ К1'!S16*СПРАВОЧНИК!$N$12+'ПЛАН ЧИСТ К1'!T16*СПРАВОЧНИК!$O$12+'ПЛАН ЧИСТ К1'!U16*СПРАВОЧНИК!$P$12+'ПЛАН ЧИСТ К1'!V16*СПРАВОЧНИК!$L$13+'ПЛАН ЧИСТ К1'!W16*СПРАВОЧНИК!$M$13+'ПЛАН ЧИСТ К1'!X16*СПРАВОЧНИК!$N$13+'ПЛАН ЧИСТ К1'!Y16*СПРАВОЧНИК!$O$13+'ПЛАН ЧИСТ К1'!Z16*СПРАВОЧНИК!$P$13+'ПЛАН ЧИСТ К1'!AA16*СПРАВОЧНИК!$L$14+'ПЛАН ЧИСТ К1'!AB16*СПРАВОЧНИК!$M$14+'ПЛАН ЧИСТ К1'!AC16*СПРАВОЧНИК!$N$14+'ПЛАН ЧИСТ К1'!AD16*СПРАВОЧНИК!$O$14+'ПЛАН ЧИСТ К1'!AE16*СПРАВОЧНИК!$P$14+'ПЛАН ЧИСТ К1'!AF16*СПРАВОЧНИК!$L$15+'ПЛАН ЧИСТ К1'!AG16*СПРАВОЧНИК!$M$15+'ПЛАН ЧИСТ К1'!AH16*СПРАВОЧНИК!$N$15+'ПЛАН ЧИСТ К1'!AI16*СПРАВОЧНИК!$O$15+'ПЛАН ЧИСТ К1'!AJ16*СПРАВОЧНИК!$P$15</f>
        <v/>
      </c>
      <c r="AH25" s="31">
        <f>('ФАКТ ЧИСТ К1'!B16)*СПРАВОЧНИК!$L$9+('ФАКТ ЧИСТ К1'!C16)*СПРАВОЧНИК!$M$9+('ФАКТ ЧИСТ К1'!D16)*СПРАВОЧНИК!$N$9+('ФАКТ ЧИСТ К1'!E16)*СПРАВОЧНИК!$O$9+('ФАКТ ЧИСТ К1'!F16)*СПРАВОЧНИК!$P$9+('ФАКТ ЧИСТ К1'!G16)*СПРАВОЧНИК!$L$10+('ФАКТ ЧИСТ К1'!H16)*СПРАВОЧНИК!$M$10+('ФАКТ ЧИСТ К1'!I16)*СПРАВОЧНИК!$N$10+('ФАКТ ЧИСТ К1'!J16)*СПРАВОЧНИК!$O$10+('ФАКТ ЧИСТ К1'!K16)*СПРАВОЧНИК!$P$10+('ФАКТ ЧИСТ К1'!L16)*СПРАВОЧНИК!$L$11+('ФАКТ ЧИСТ К1'!M16)*СПРАВОЧНИК!$M$11+('ФАКТ ЧИСТ К1'!N16)*СПРАВОЧНИК!$N$11+('ФАКТ ЧИСТ К1'!O16)*СПРАВОЧНИК!$O$11+('ФАКТ ЧИСТ К1'!P16)*СПРАВОЧНИК!$P$11+('ФАКТ ЧИСТ К1'!Q16)*СПРАВОЧНИК!$L$12+('ФАКТ ЧИСТ К1'!R16)*СПРАВОЧНИК!$M$12+('ФАКТ ЧИСТ К1'!S16)*СПРАВОЧНИК!$N$12+('ФАКТ ЧИСТ К1'!T16)*СПРАВОЧНИК!$O$12+('ФАКТ ЧИСТ К1'!U16)*СПРАВОЧНИК!$P$12+('ФАКТ ЧИСТ К1'!V16)*СПРАВОЧНИК!$L$13+('ФАКТ ЧИСТ К1'!W16)*СПРАВОЧНИК!$M$13+('ФАКТ ЧИСТ К1'!X16)*СПРАВОЧНИК!$N$13+('ФАКТ ЧИСТ К1'!Y16)*СПРАВОЧНИК!$O$13+('ФАКТ ЧИСТ К1'!Z16)*СПРАВОЧНИК!$P$13+('ФАКТ ЧИСТ К1'!AA16)*СПРАВОЧНИК!$L$14+('ФАКТ ЧИСТ К1'!AB16)*СПРАВОЧНИК!$M$14+('ФАКТ ЧИСТ К1'!AC16)*СПРАВОЧНИК!$N$14+('ФАКТ ЧИСТ К1'!AD16)*СПРАВОЧНИК!$O$14+('ФАКТ ЧИСТ К1'!AE16)*СПРАВОЧНИК!$P$14+('ФАКТ ЧИСТ К1'!AF16)*СПРАВОЧНИК!$L$15+('ФАКТ ЧИСТ К1'!AG16)*СПРАВОЧНИК!$M$15+('ФАКТ ЧИСТ К1'!AH16)*СПРАВОЧНИК!$N$15+('ФАКТ ЧИСТ К1'!AI16)*СПРАВОЧНИК!$O$15+('ФАКТ ЧИСТ К1'!AJ16)*СПРАВОЧНИК!$P$15</f>
        <v/>
      </c>
      <c r="AI25" s="34" t="n"/>
      <c r="AL25" s="152">
        <f>AL24+7</f>
        <v/>
      </c>
      <c r="AM25" s="17">
        <f>СПРАВОЧНИК!$E$9*('ПЛАН ЧЕРН К2'!B16*СПРАВОЧНИК!$H$9+'ПЛАН ЧЕРН К2'!C16*СПРАВОЧНИК!$I$9+'ПЛАН ЧЕРН К2'!D16*СПРАВОЧНИК!$J$9)+СПРАВОЧНИК!$F$9*('ПЛАН ЧИСТ К2'!B16*СПРАВОЧНИК!$L$9+'ПЛАН ЧИСТ К2'!C16*СПРАВОЧНИК!$M$9+'ПЛАН ЧИСТ К2'!D16*СПРАВОЧНИК!$N$9+'ПЛАН ЧИСТ К2'!E16*СПРАВОЧНИК!$O$9+'ПЛАН ЧИСТ К2'!F16*СПРАВОЧНИК!$P$9)+СПРАВОЧНИК!$E$10*('ПЛАН ЧЕРН К2'!E16*СПРАВОЧНИК!$H$10+'ПЛАН ЧЕРН К2'!F16*СПРАВОЧНИК!$I$10+'ПЛАН ЧЕРН К2'!G16*СПРАВОЧНИК!$J$10)+СПРАВОЧНИК!$F$10*('ПЛАН ЧИСТ К2'!G16*СПРАВОЧНИК!$L$10+'ПЛАН ЧИСТ К2'!H16*СПРАВОЧНИК!$M$10+'ПЛАН ЧИСТ К2'!I16*СПРАВОЧНИК!$N$10+'ПЛАН ЧИСТ К2'!J16*СПРАВОЧНИК!$O$10+'ПЛАН ЧИСТ К2'!K16*СПРАВОЧНИК!$P$10)+СПРАВОЧНИК!$E$11*('ПЛАН ЧЕРН К2'!H16*СПРАВОЧНИК!$H$11+'ПЛАН ЧЕРН К2'!I16*СПРАВОЧНИК!$I$11+'ПЛАН ЧЕРН К2'!J16*СПРАВОЧНИК!$J$11)+СПРАВОЧНИК!$F$11*('ПЛАН ЧИСТ К2'!L16*СПРАВОЧНИК!$L$11+'ПЛАН ЧИСТ К2'!M16*СПРАВОЧНИК!$M$11+'ПЛАН ЧИСТ К2'!N16*СПРАВОЧНИК!$N$11+'ПЛАН ЧИСТ К2'!O16*СПРАВОЧНИК!$O$11+'ПЛАН ЧИСТ К2'!P16*СПРАВОЧНИК!$P$11)+СПРАВОЧНИК!$E$12*('ПЛАН ЧЕРН К2'!K16*СПРАВОЧНИК!$H$12+'ПЛАН ЧЕРН К2'!L16*СПРАВОЧНИК!$I$12+'ПЛАН ЧЕРН К2'!M16*СПРАВОЧНИК!$J$12)+СПРАВОЧНИК!$F$12*('ПЛАН ЧИСТ К2'!Q16*СПРАВОЧНИК!$L$12+'ПЛАН ЧИСТ К2'!R16*СПРАВОЧНИК!$M$12+'ПЛАН ЧИСТ К2'!S16*СПРАВОЧНИК!$N$12+'ПЛАН ЧИСТ К2'!T16*СПРАВОЧНИК!$O$12+'ПЛАН ЧИСТ К2'!U16*СПРАВОЧНИК!$P$12)+СПРАВОЧНИК!$E$13*('ПЛАН ЧЕРН К2'!N16*СПРАВОЧНИК!$H$13+'ПЛАН ЧЕРН К2'!O16*СПРАВОЧНИК!$I$13+'ПЛАН ЧЕРН К2'!P16*СПРАВОЧНИК!$J$13)+СПРАВОЧНИК!$F$13*('ПЛАН ЧИСТ К2'!V16*СПРАВОЧНИК!$L$13+'ПЛАН ЧИСТ К2'!W16*СПРАВОЧНИК!$M$13+'ПЛАН ЧИСТ К2'!X16*СПРАВОЧНИК!$N$13+'ПЛАН ЧИСТ К2'!Y16*СПРАВОЧНИК!$O$13+'ПЛАН ЧИСТ К2'!Z16*СПРАВОЧНИК!$P$13)+СПРАВОЧНИК!$E$14*('ПЛАН ЧЕРН К2'!Q16*СПРАВОЧНИК!$H$14+'ПЛАН ЧЕРН К2'!R16*СПРАВОЧНИК!$I$14+'ПЛАН ЧЕРН К2'!S16*СПРАВОЧНИК!$J$14)+СПРАВОЧНИК!$F$14*('ПЛАН ЧИСТ К2'!AA16*СПРАВОЧНИК!$L$14+'ПЛАН ЧИСТ К2'!AB16*СПРАВОЧНИК!$M$14+'ПЛАН ЧИСТ К2'!AC16*СПРАВОЧНИК!$N$14+'ПЛАН ЧИСТ К2'!AD16*СПРАВОЧНИК!$O$14+'ПЛАН ЧИСТ К2'!AE16*СПРАВОЧНИК!$P$14)+СПРАВОЧНИК!$E$15*('ПЛАН ЧЕРН К2'!T16*СПРАВОЧНИК!$H$15+'ПЛАН ЧЕРН К2'!U16*СПРАВОЧНИК!$I$15+'ПЛАН ЧЕРН К2'!V16*СПРАВОЧНИК!$J$15)+СПРАВОЧНИК!$F$15*('ПЛАН ЧИСТ К2'!AF16*СПРАВОЧНИК!$L$15+'ПЛАН ЧИСТ К2'!AG16*СПРАВОЧНИК!$M$15+'ПЛАН ЧИСТ К2'!AH16*СПРАВОЧНИК!$N$15+'ПЛАН ЧИСТ К2'!AI16*СПРАВОЧНИК!$O$15+'ПЛАН ЧИСТ К2'!AJ16*СПРАВОЧНИК!$P$15)</f>
        <v/>
      </c>
      <c r="AN25" s="31">
        <f>СПРАВОЧНИК!$E$9*('ФАКТ ЧЕРН К2'!B16*СПРАВОЧНИК!$H$9+'ФАКТ ЧЕРН К2'!C16*СПРАВОЧНИК!$I$9+'ФАКТ ЧЕРН К2'!D16*СПРАВОЧНИК!$J$9)+СПРАВОЧНИК!$F$9*('ФАКТ ЧИСТ К2'!B16*СПРАВОЧНИК!$L$9+'ФАКТ ЧИСТ К2'!C16*СПРАВОЧНИК!$M$9+'ФАКТ ЧИСТ К2'!D16*СПРАВОЧНИК!$N$9+'ФАКТ ЧИСТ К2'!E16*СПРАВОЧНИК!$O$9+'ФАКТ ЧИСТ К2'!F16*СПРАВОЧНИК!$P$9)+СПРАВОЧНИК!$E$10*('ФАКТ ЧЕРН К2'!E16*СПРАВОЧНИК!$H$10+'ФАКТ ЧЕРН К2'!F16*СПРАВОЧНИК!$I$10+'ФАКТ ЧЕРН К2'!G16*СПРАВОЧНИК!$J$10)+СПРАВОЧНИК!$F$10*('ФАКТ ЧИСТ К2'!G16*СПРАВОЧНИК!$L$10+'ФАКТ ЧИСТ К2'!H16*СПРАВОЧНИК!$M$10+'ФАКТ ЧИСТ К2'!I16*СПРАВОЧНИК!$N$10+'ФАКТ ЧИСТ К2'!J16*СПРАВОЧНИК!$O$10+'ФАКТ ЧИСТ К2'!K16*СПРАВОЧНИК!$P$10)+СПРАВОЧНИК!$E$11*('ФАКТ ЧЕРН К2'!H16*СПРАВОЧНИК!$H$11+'ФАКТ ЧЕРН К2'!I16*СПРАВОЧНИК!$I$11+'ФАКТ ЧЕРН К2'!J16*СПРАВОЧНИК!$J$11)+СПРАВОЧНИК!$F$11*('ФАКТ ЧИСТ К2'!L16*СПРАВОЧНИК!$L$11+'ФАКТ ЧИСТ К2'!M16*СПРАВОЧНИК!$M$11+'ФАКТ ЧИСТ К2'!N16*СПРАВОЧНИК!$N$11+'ФАКТ ЧИСТ К2'!O16*СПРАВОЧНИК!$O$11+'ФАКТ ЧИСТ К2'!P16*СПРАВОЧНИК!$P$11)+СПРАВОЧНИК!$E$12*('ФАКТ ЧЕРН К2'!K16*СПРАВОЧНИК!$H$12+'ФАКТ ЧЕРН К2'!L16*СПРАВОЧНИК!$I$12+'ФАКТ ЧЕРН К2'!M16*СПРАВОЧНИК!$J$12)+СПРАВОЧНИК!$F$12*('ФАКТ ЧИСТ К2'!Q16*СПРАВОЧНИК!$L$12+'ФАКТ ЧИСТ К2'!R16*СПРАВОЧНИК!$M$12+'ФАКТ ЧИСТ К2'!S16*СПРАВОЧНИК!$N$12+'ФАКТ ЧИСТ К2'!T16*СПРАВОЧНИК!$O$12+'ФАКТ ЧИСТ К2'!U16*СПРАВОЧНИК!$P$12)+СПРАВОЧНИК!$E$13*('ФАКТ ЧЕРН К2'!N16*СПРАВОЧНИК!$H$13+'ФАКТ ЧЕРН К2'!O16*СПРАВОЧНИК!$I$13+'ФАКТ ЧЕРН К2'!P16*СПРАВОЧНИК!$J$13)+СПРАВОЧНИК!$F$13*('ФАКТ ЧИСТ К2'!V16*СПРАВОЧНИК!$L$13+'ФАКТ ЧИСТ К2'!W16*СПРАВОЧНИК!$M$13+'ФАКТ ЧИСТ К2'!X16*СПРАВОЧНИК!$N$13+'ФАКТ ЧИСТ К2'!Y16*СПРАВОЧНИК!$O$13+'ФАКТ ЧИСТ К2'!Z16*СПРАВОЧНИК!$P$13)+СПРАВОЧНИК!$E$14*('ФАКТ ЧЕРН К2'!Q16*СПРАВОЧНИК!$H$14+'ФАКТ ЧЕРН К2'!R16*СПРАВОЧНИК!$I$14+'ФАКТ ЧЕРН К2'!S16*СПРАВОЧНИК!$J$14)+СПРАВОЧНИК!$F$14*('ФАКТ ЧИСТ К2'!AA16*СПРАВОЧНИК!$L$14+'ФАКТ ЧИСТ К2'!AB16*СПРАВОЧНИК!$M$14+'ФАКТ ЧИСТ К2'!AC16*СПРАВОЧНИК!$N$14+'ФАКТ ЧИСТ К2'!AD16*СПРАВОЧНИК!$O$14+'ФАКТ ЧИСТ К2'!AE16*СПРАВОЧНИК!$P$14)+СПРАВОЧНИК!$E$15*('ФАКТ ЧЕРН К2'!T16*СПРАВОЧНИК!$H$15+'ФАКТ ЧЕРН К2'!U16*СПРАВОЧНИК!$I$15+'ФАКТ ЧЕРН К2'!V16*СПРАВОЧНИК!$J$15)+СПРАВОЧНИК!$F$15*('ФАКТ ЧИСТ К2'!AF16*СПРАВОЧНИК!$L$15+'ФАКТ ЧИСТ К2'!AG16*СПРАВОЧНИК!$M$15+'ФАКТ ЧИСТ К2'!AH16*СПРАВОЧНИК!$N$15+'ФАКТ ЧИСТ К2'!AI16*СПРАВОЧНИК!$O$15+'ФАКТ ЧИСТ К2'!AJ16*СПРАВОЧНИК!$P$15)</f>
        <v/>
      </c>
      <c r="AO25" s="34" t="n"/>
      <c r="AR25" s="152">
        <f>AR24+7</f>
        <v/>
      </c>
      <c r="AS25" s="17">
        <f>'ПЛАН ЧЕРН К2'!B16*СПРАВОЧНИК!$H$9+'ПЛАН ЧЕРН К2'!C16*СПРАВОЧНИК!$I$9+'ПЛАН ЧЕРН К2'!D16*СПРАВОЧНИК!$J$9+'ПЛАН ЧЕРН К2'!E16*СПРАВОЧНИК!$H$10+'ПЛАН ЧЕРН К2'!F16*СПРАВОЧНИК!$I$10+'ПЛАН ЧЕРН К2'!G16*СПРАВОЧНИК!$J$10+'ПЛАН ЧЕРН К2'!H16*СПРАВОЧНИК!$H$11+'ПЛАН ЧЕРН К2'!I16*СПРАВОЧНИК!$I$11+'ПЛАН ЧЕРН К2'!J16*СПРАВОЧНИК!$J$11+'ПЛАН ЧЕРН К2'!K16*СПРАВОЧНИК!$H$12+'ПЛАН ЧЕРН К2'!L16*СПРАВОЧНИК!$I$12+'ПЛАН ЧЕРН К2'!M16*СПРАВОЧНИК!$J$12+'ПЛАН ЧЕРН К2'!N16*СПРАВОЧНИК!$H$13+'ПЛАН ЧЕРН К2'!O16*СПРАВОЧНИК!$I$13+'ПЛАН ЧЕРН К2'!P16*СПРАВОЧНИК!$J$13+'ПЛАН ЧЕРН К2'!Q16*СПРАВОЧНИК!$H$14+'ПЛАН ЧЕРН К2'!R16*СПРАВОЧНИК!$I$14+'ПЛАН ЧЕРН К2'!S16*СПРАВОЧНИК!$J$14+'ПЛАН ЧЕРН К2'!T16*СПРАВОЧНИК!$H$15+'ПЛАН ЧЕРН К2'!U16*СПРАВОЧНИК!$I$15+'ПЛАН ЧЕРН К2'!V16*СПРАВОЧНИК!$J$15</f>
        <v/>
      </c>
      <c r="AT25" s="31">
        <f>('ФАКТ ЧЕРН К2'!B16)*СПРАВОЧНИК!$H$9+('ФАКТ ЧЕРН К2'!C16)*СПРАВОЧНИК!$I$9+('ФАКТ ЧЕРН К2'!D16)*СПРАВОЧНИК!$J$9+('ФАКТ ЧЕРН К2'!E16)*СПРАВОЧНИК!$H$10+('ФАКТ ЧЕРН К2'!F16)*СПРАВОЧНИК!$I$10+('ФАКТ ЧЕРН К2'!G16)*СПРАВОЧНИК!$J$10+('ФАКТ ЧЕРН К2'!H16)*СПРАВОЧНИК!$H$11+('ФАКТ ЧЕРН К2'!I16)*СПРАВОЧНИК!$I$11+('ФАКТ ЧЕРН К2'!J16)*СПРАВОЧНИК!$J$11+('ФАКТ ЧЕРН К2'!K16)*СПРАВОЧНИК!$H$12+('ФАКТ ЧЕРН К2'!L16)*СПРАВОЧНИК!$I$12+('ФАКТ ЧЕРН К2'!M16)*СПРАВОЧНИК!$J$12+('ФАКТ ЧЕРН К2'!N16)*СПРАВОЧНИК!$H$13+('ФАКТ ЧЕРН К2'!O16)*СПРАВОЧНИК!$I$13+('ФАКТ ЧЕРН К2'!P16)*СПРАВОЧНИК!$J$13+('ФАКТ ЧЕРН К2'!Q16)*СПРАВОЧНИК!$H$14+('ФАКТ ЧЕРН К2'!R16)*СПРАВОЧНИК!$I$14+('ФАКТ ЧЕРН К2'!S16)*СПРАВОЧНИК!$J$14+('ФАКТ ЧЕРН К2'!T16)*СПРАВОЧНИК!$H$15+('ФАКТ ЧЕРН К2'!U16)*СПРАВОЧНИК!$I$15+('ФАКТ ЧЕРН К2'!V16)*СПРАВОЧНИК!$J$15</f>
        <v/>
      </c>
      <c r="AU25" s="34" t="n"/>
      <c r="AX25" s="152">
        <f>AX24+7</f>
        <v/>
      </c>
      <c r="AY25" s="17">
        <f>'ПЛАН ЧИСТ К2'!B16*СПРАВОЧНИК!$L$9+'ПЛАН ЧИСТ К2'!C16*СПРАВОЧНИК!$M$9+'ПЛАН ЧИСТ К2'!D16*СПРАВОЧНИК!$N$9+'ПЛАН ЧИСТ К2'!E16*СПРАВОЧНИК!$O$9+'ПЛАН ЧИСТ К2'!F16*СПРАВОЧНИК!$P$9+'ПЛАН ЧИСТ К2'!G16*СПРАВОЧНИК!$L$10+'ПЛАН ЧИСТ К2'!H16*СПРАВОЧНИК!$M$10+'ПЛАН ЧИСТ К2'!I16*СПРАВОЧНИК!$N$10+'ПЛАН ЧИСТ К2'!J16*СПРАВОЧНИК!$O$10+'ПЛАН ЧИСТ К2'!K16*СПРАВОЧНИК!$P$10+'ПЛАН ЧИСТ К2'!L16*СПРАВОЧНИК!$L$11+'ПЛАН ЧИСТ К2'!M16*СПРАВОЧНИК!$M$11+'ПЛАН ЧИСТ К2'!N16*СПРАВОЧНИК!$N$11+'ПЛАН ЧИСТ К2'!O16*СПРАВОЧНИК!$O$11+'ПЛАН ЧИСТ К2'!P16*СПРАВОЧНИК!$P$11+'ПЛАН ЧИСТ К2'!Q16*СПРАВОЧНИК!$L$12+'ПЛАН ЧИСТ К2'!R16*СПРАВОЧНИК!$M$12+'ПЛАН ЧИСТ К2'!S16*СПРАВОЧНИК!$N$12+'ПЛАН ЧИСТ К2'!T16*СПРАВОЧНИК!$O$12+'ПЛАН ЧИСТ К2'!U16*СПРАВОЧНИК!$P$12+'ПЛАН ЧИСТ К2'!V16*СПРАВОЧНИК!$L$13+'ПЛАН ЧИСТ К2'!W16*СПРАВОЧНИК!$M$13+'ПЛАН ЧИСТ К2'!X16*СПРАВОЧНИК!$N$13+'ПЛАН ЧИСТ К2'!Y16*СПРАВОЧНИК!$O$13+'ПЛАН ЧИСТ К2'!Z16*СПРАВОЧНИК!$P$13+'ПЛАН ЧИСТ К2'!AA16*СПРАВОЧНИК!$L$14+'ПЛАН ЧИСТ К2'!AB16*СПРАВОЧНИК!$M$14+'ПЛАН ЧИСТ К2'!AC16*СПРАВОЧНИК!$N$14+'ПЛАН ЧИСТ К2'!AD16*СПРАВОЧНИК!$O$14+'ПЛАН ЧИСТ К2'!AE16*СПРАВОЧНИК!$P$14+'ПЛАН ЧИСТ К2'!AF16*СПРАВОЧНИК!$L$15+'ПЛАН ЧИСТ К2'!AG16*СПРАВОЧНИК!$M$15+'ПЛАН ЧИСТ К2'!AH16*СПРАВОЧНИК!$N$15+'ПЛАН ЧИСТ К2'!AI16*СПРАВОЧНИК!$O$15+'ПЛАН ЧИСТ К2'!AJ16*СПРАВОЧНИК!$P$15</f>
        <v/>
      </c>
      <c r="AZ25" s="31">
        <f>('ФАКТ ЧИСТ К2'!B16)*СПРАВОЧНИК!$L$9+('ФАКТ ЧИСТ К2'!C16)*СПРАВОЧНИК!$M$9+('ФАКТ ЧИСТ К2'!D16)*СПРАВОЧНИК!$N$9+('ФАКТ ЧИСТ К2'!E16)*СПРАВОЧНИК!$O$9+('ФАКТ ЧИСТ К2'!F16)*СПРАВОЧНИК!$P$9+('ФАКТ ЧИСТ К2'!G16)*СПРАВОЧНИК!$L$10+('ФАКТ ЧИСТ К2'!H16)*СПРАВОЧНИК!$M$10+('ФАКТ ЧИСТ К2'!I16)*СПРАВОЧНИК!$N$10+('ФАКТ ЧИСТ К2'!J16)*СПРАВОЧНИК!$O$10+('ФАКТ ЧИСТ К2'!K16)*СПРАВОЧНИК!$P$10+('ФАКТ ЧИСТ К2'!L16)*СПРАВОЧНИК!$L$11+('ФАКТ ЧИСТ К2'!M16)*СПРАВОЧНИК!$M$11+('ФАКТ ЧИСТ К2'!N16)*СПРАВОЧНИК!$N$11+('ФАКТ ЧИСТ К2'!O16)*СПРАВОЧНИК!$O$11+('ФАКТ ЧИСТ К2'!P16)*СПРАВОЧНИК!$P$11+('ФАКТ ЧИСТ К2'!Q16)*СПРАВОЧНИК!$L$12+('ФАКТ ЧИСТ К2'!R16)*СПРАВОЧНИК!$M$12+('ФАКТ ЧИСТ К2'!S16)*СПРАВОЧНИК!$N$12+('ФАКТ ЧИСТ К2'!T16)*СПРАВОЧНИК!$O$12+('ФАКТ ЧИСТ К2'!U16)*СПРАВОЧНИК!$P$12+('ФАКТ ЧИСТ К2'!V16)*СПРАВОЧНИК!$L$13+('ФАКТ ЧИСТ К2'!W16)*СПРАВОЧНИК!$M$13+('ФАКТ ЧИСТ К2'!X16)*СПРАВОЧНИК!$N$13+('ФАКТ ЧИСТ К2'!Y16)*СПРАВОЧНИК!$O$13+('ФАКТ ЧИСТ К2'!Z16)*СПРАВОЧНИК!$P$13+('ФАКТ ЧИСТ К2'!AA16)*СПРАВОЧНИК!$L$14+('ФАКТ ЧИСТ К2'!AB16)*СПРАВОЧНИК!$M$14+('ФАКТ ЧИСТ К2'!AC16)*СПРАВОЧНИК!$N$14+('ФАКТ ЧИСТ К2'!AD16)*СПРАВОЧНИК!$O$14+('ФАКТ ЧИСТ К2'!AE16)*СПРАВОЧНИК!$P$14+('ФАКТ ЧИСТ К2'!AF16)*СПРАВОЧНИК!$L$15+('ФАКТ ЧИСТ К2'!AG16)*СПРАВОЧНИК!$M$15+('ФАКТ ЧИСТ К2'!AH16)*СПРАВОЧНИК!$N$15+('ФАКТ ЧИСТ К2'!AI16)*СПРАВОЧНИК!$O$15+('ФАКТ ЧИСТ К2'!AJ16)*СПРАВОЧНИК!$P$15</f>
        <v/>
      </c>
      <c r="BA25" s="34" t="n"/>
      <c r="BD25" s="152">
        <f>BD24+7</f>
        <v/>
      </c>
      <c r="BE25" s="17">
        <f>СПРАВОЧНИК!$E$9*('ПЛАН ЧЕРН К3'!B16*СПРАВОЧНИК!$H$9+'ПЛАН ЧЕРН К3'!C16*СПРАВОЧНИК!$I$9+'ПЛАН ЧЕРН К3'!D16*СПРАВОЧНИК!$J$9)+СПРАВОЧНИК!$F$9*('ПЛАН ЧИСТ К3'!B16*СПРАВОЧНИК!$L$9+'ПЛАН ЧИСТ К3'!C16*СПРАВОЧНИК!$M$9+'ПЛАН ЧИСТ К3'!D16*СПРАВОЧНИК!$N$9+'ПЛАН ЧИСТ К3'!E16*СПРАВОЧНИК!$O$9+'ПЛАН ЧИСТ К3'!F16*СПРАВОЧНИК!$P$9)+СПРАВОЧНИК!$E$10*('ПЛАН ЧЕРН К3'!E16*СПРАВОЧНИК!$H$10+'ПЛАН ЧЕРН К3'!F16*СПРАВОЧНИК!$I$10+'ПЛАН ЧЕРН К3'!G16*СПРАВОЧНИК!$J$10)+СПРАВОЧНИК!$F$10*('ПЛАН ЧИСТ К3'!G16*СПРАВОЧНИК!$L$10+'ПЛАН ЧИСТ К3'!H16*СПРАВОЧНИК!$M$10+'ПЛАН ЧИСТ К3'!I16*СПРАВОЧНИК!$N$10+'ПЛАН ЧИСТ К3'!J16*СПРАВОЧНИК!$O$10+'ПЛАН ЧИСТ К3'!K16*СПРАВОЧНИК!$P$10)+СПРАВОЧНИК!$E$11*('ПЛАН ЧЕРН К3'!H16*СПРАВОЧНИК!$H$11+'ПЛАН ЧЕРН К3'!I16*СПРАВОЧНИК!$I$11+'ПЛАН ЧЕРН К3'!J16*СПРАВОЧНИК!$J$11)+СПРАВОЧНИК!$F$11*('ПЛАН ЧИСТ К3'!L16*СПРАВОЧНИК!$L$11+'ПЛАН ЧИСТ К3'!M16*СПРАВОЧНИК!$M$11+'ПЛАН ЧИСТ К3'!N16*СПРАВОЧНИК!$N$11+'ПЛАН ЧИСТ К3'!O16*СПРАВОЧНИК!$O$11+'ПЛАН ЧИСТ К3'!P16*СПРАВОЧНИК!$P$11)+СПРАВОЧНИК!$E$12*('ПЛАН ЧЕРН К3'!K16*СПРАВОЧНИК!$H$12+'ПЛАН ЧЕРН К3'!L16*СПРАВОЧНИК!$I$12+'ПЛАН ЧЕРН К3'!M16*СПРАВОЧНИК!$J$12)+СПРАВОЧНИК!$F$12*('ПЛАН ЧИСТ К3'!Q16*СПРАВОЧНИК!$L$12+'ПЛАН ЧИСТ К3'!R16*СПРАВОЧНИК!$M$12+'ПЛАН ЧИСТ К3'!S16*СПРАВОЧНИК!$N$12+'ПЛАН ЧИСТ К3'!T16*СПРАВОЧНИК!$O$12+'ПЛАН ЧИСТ К3'!U16*СПРАВОЧНИК!$P$12)+СПРАВОЧНИК!$E$13*('ПЛАН ЧЕРН К3'!N16*СПРАВОЧНИК!$H$13+'ПЛАН ЧЕРН К3'!O16*СПРАВОЧНИК!$I$13+'ПЛАН ЧЕРН К3'!P16*СПРАВОЧНИК!$J$13)+СПРАВОЧНИК!$F$13*('ПЛАН ЧИСТ К3'!V16*СПРАВОЧНИК!$L$13+'ПЛАН ЧИСТ К3'!W16*СПРАВОЧНИК!$M$13+'ПЛАН ЧИСТ К3'!X16*СПРАВОЧНИК!$N$13+'ПЛАН ЧИСТ К3'!Y16*СПРАВОЧНИК!$O$13+'ПЛАН ЧИСТ К3'!Z16*СПРАВОЧНИК!$P$13)+СПРАВОЧНИК!$E$14*('ПЛАН ЧЕРН К3'!Q16*СПРАВОЧНИК!$H$14+'ПЛАН ЧЕРН К3'!R16*СПРАВОЧНИК!$I$14+'ПЛАН ЧЕРН К3'!S16*СПРАВОЧНИК!$J$14)+СПРАВОЧНИК!$F$14*('ПЛАН ЧИСТ К3'!AA16*СПРАВОЧНИК!$L$14+'ПЛАН ЧИСТ К3'!AB16*СПРАВОЧНИК!$M$14+'ПЛАН ЧИСТ К3'!AC16*СПРАВОЧНИК!$N$14+'ПЛАН ЧИСТ К3'!AD16*СПРАВОЧНИК!$O$14+'ПЛАН ЧИСТ К3'!AE16*СПРАВОЧНИК!$P$14)+СПРАВОЧНИК!$E$15*('ПЛАН ЧЕРН К3'!T16*СПРАВОЧНИК!$H$15+'ПЛАН ЧЕРН К3'!U16*СПРАВОЧНИК!$I$15+'ПЛАН ЧЕРН К3'!V16*СПРАВОЧНИК!$J$15)+СПРАВОЧНИК!$F$15*('ПЛАН ЧИСТ К3'!AF16*СПРАВОЧНИК!$L$15+'ПЛАН ЧИСТ К3'!AG16*СПРАВОЧНИК!$M$15+'ПЛАН ЧИСТ К3'!AH16*СПРАВОЧНИК!$N$15+'ПЛАН ЧИСТ К3'!AI16*СПРАВОЧНИК!$O$15+'ПЛАН ЧИСТ К3'!AJ16*СПРАВОЧНИК!$P$15)</f>
        <v/>
      </c>
      <c r="BF25" s="31">
        <f>СПРАВОЧНИК!$E$9*('ФАКТ ЧЕРН К3'!B16*СПРАВОЧНИК!$H$9+'ФАКТ ЧЕРН К3'!C16*СПРАВОЧНИК!$I$9+'ФАКТ ЧЕРН К3'!D16*СПРАВОЧНИК!$J$9)+СПРАВОЧНИК!$F$9*('ФАКТ ЧИСТ К3'!B16*СПРАВОЧНИК!$L$9+'ФАКТ ЧИСТ К3'!C16*СПРАВОЧНИК!$M$9+'ФАКТ ЧИСТ К3'!D16*СПРАВОЧНИК!$N$9+'ФАКТ ЧИСТ К3'!E16*СПРАВОЧНИК!$O$9+'ФАКТ ЧИСТ К3'!F16*СПРАВОЧНИК!$P$9)+СПРАВОЧНИК!$E$10*('ФАКТ ЧЕРН К3'!E16*СПРАВОЧНИК!$H$10+'ФАКТ ЧЕРН К3'!F16*СПРАВОЧНИК!$I$10+'ФАКТ ЧЕРН К3'!G16*СПРАВОЧНИК!$J$10)+СПРАВОЧНИК!$F$10*('ФАКТ ЧИСТ К3'!G16*СПРАВОЧНИК!$L$10+'ФАКТ ЧИСТ К3'!H16*СПРАВОЧНИК!$M$10+'ФАКТ ЧИСТ К3'!I16*СПРАВОЧНИК!$N$10+'ФАКТ ЧИСТ К3'!J16*СПРАВОЧНИК!$O$10+'ФАКТ ЧИСТ К3'!K16*СПРАВОЧНИК!$P$10)+СПРАВОЧНИК!$E$11*('ФАКТ ЧЕРН К3'!H16*СПРАВОЧНИК!$H$11+'ФАКТ ЧЕРН К3'!I16*СПРАВОЧНИК!$I$11+'ФАКТ ЧЕРН К3'!J16*СПРАВОЧНИК!$J$11)+СПРАВОЧНИК!$F$11*('ФАКТ ЧИСТ К3'!L16*СПРАВОЧНИК!$L$11+'ФАКТ ЧИСТ К3'!M16*СПРАВОЧНИК!$M$11+'ФАКТ ЧИСТ К3'!N16*СПРАВОЧНИК!$N$11+'ФАКТ ЧИСТ К3'!O16*СПРАВОЧНИК!$O$11+'ФАКТ ЧИСТ К3'!P16*СПРАВОЧНИК!$P$11)+СПРАВОЧНИК!$E$12*('ФАКТ ЧЕРН К3'!K16*СПРАВОЧНИК!$H$12+'ФАКТ ЧЕРН К3'!L16*СПРАВОЧНИК!$I$12+'ФАКТ ЧЕРН К3'!M16*СПРАВОЧНИК!$J$12)+СПРАВОЧНИК!$F$12*('ФАКТ ЧИСТ К3'!Q16*СПРАВОЧНИК!$L$12+'ФАКТ ЧИСТ К3'!R16*СПРАВОЧНИК!$M$12+'ФАКТ ЧИСТ К3'!S16*СПРАВОЧНИК!$N$12+'ФАКТ ЧИСТ К3'!T16*СПРАВОЧНИК!$O$12+'ФАКТ ЧИСТ К3'!U16*СПРАВОЧНИК!$P$12)+СПРАВОЧНИК!$E$13*('ФАКТ ЧЕРН К3'!N16*СПРАВОЧНИК!$H$13+'ФАКТ ЧЕРН К3'!O16*СПРАВОЧНИК!$I$13+'ФАКТ ЧЕРН К3'!P16*СПРАВОЧНИК!$J$13)+СПРАВОЧНИК!$F$13*('ФАКТ ЧИСТ К3'!V16*СПРАВОЧНИК!$L$13+'ФАКТ ЧИСТ К3'!W16*СПРАВОЧНИК!$M$13+'ФАКТ ЧИСТ К3'!X16*СПРАВОЧНИК!$N$13+'ФАКТ ЧИСТ К3'!Y16*СПРАВОЧНИК!$O$13+'ФАКТ ЧИСТ К3'!Z16*СПРАВОЧНИК!$P$13)+СПРАВОЧНИК!$E$14*('ФАКТ ЧЕРН К3'!Q16*СПРАВОЧНИК!$H$14+'ФАКТ ЧЕРН К3'!R16*СПРАВОЧНИК!$I$14+'ФАКТ ЧЕРН К3'!S16*СПРАВОЧНИК!$J$14)+СПРАВОЧНИК!$F$14*('ФАКТ ЧИСТ К3'!AA16*СПРАВОЧНИК!$L$14+'ФАКТ ЧИСТ К3'!AB16*СПРАВОЧНИК!$M$14+'ФАКТ ЧИСТ К3'!AC16*СПРАВОЧНИК!$N$14+'ФАКТ ЧИСТ К3'!AD16*СПРАВОЧНИК!$O$14+'ФАКТ ЧИСТ К3'!AE16*СПРАВОЧНИК!$P$14)+СПРАВОЧНИК!$E$15*('ФАКТ ЧЕРН К3'!T16*СПРАВОЧНИК!$H$15+'ФАКТ ЧЕРН К3'!U16*СПРАВОЧНИК!$I$15+'ФАКТ ЧЕРН К3'!V16*СПРАВОЧНИК!$J$15)+СПРАВОЧНИК!$F$15*('ФАКТ ЧИСТ К3'!AF16*СПРАВОЧНИК!$L$15+'ФАКТ ЧИСТ К3'!AG16*СПРАВОЧНИК!$M$15+'ФАКТ ЧИСТ К3'!AH16*СПРАВОЧНИК!$N$15+'ФАКТ ЧИСТ К3'!AI16*СПРАВОЧНИК!$O$15+'ФАКТ ЧИСТ К3'!AJ16*СПРАВОЧНИК!$P$15)</f>
        <v/>
      </c>
      <c r="BG25" s="34" t="n"/>
      <c r="BJ25" s="152">
        <f>BJ24+7</f>
        <v/>
      </c>
      <c r="BK25" s="17">
        <f>'ПЛАН ЧЕРН К3'!B16*СПРАВОЧНИК!$H$9+'ПЛАН ЧЕРН К3'!C16*СПРАВОЧНИК!$I$9+'ПЛАН ЧЕРН К3'!D16*СПРАВОЧНИК!$J$9+'ПЛАН ЧЕРН К3'!E16*СПРАВОЧНИК!$H$10+'ПЛАН ЧЕРН К3'!F16*СПРАВОЧНИК!$I$10+'ПЛАН ЧЕРН К3'!G16*СПРАВОЧНИК!$J$10+'ПЛАН ЧЕРН К3'!H16*СПРАВОЧНИК!$H$11+'ПЛАН ЧЕРН К3'!I16*СПРАВОЧНИК!$I$11+'ПЛАН ЧЕРН К3'!J16*СПРАВОЧНИК!$J$11+'ПЛАН ЧЕРН К3'!K16*СПРАВОЧНИК!$H$12+'ПЛАН ЧЕРН К3'!L16*СПРАВОЧНИК!$I$12+'ПЛАН ЧЕРН К3'!M16*СПРАВОЧНИК!$J$12+'ПЛАН ЧЕРН К3'!N16*СПРАВОЧНИК!$H$13+'ПЛАН ЧЕРН К3'!O16*СПРАВОЧНИК!$I$13+'ПЛАН ЧЕРН К3'!P16*СПРАВОЧНИК!$J$13+'ПЛАН ЧЕРН К3'!Q16*СПРАВОЧНИК!$H$14+'ПЛАН ЧЕРН К3'!R16*СПРАВОЧНИК!$I$14+'ПЛАН ЧЕРН К3'!S16*СПРАВОЧНИК!$J$14+'ПЛАН ЧЕРН К3'!T16*СПРАВОЧНИК!$H$15+'ПЛАН ЧЕРН К3'!U16*СПРАВОЧНИК!$I$15+'ПЛАН ЧЕРН К3'!V16*СПРАВОЧНИК!$J$15</f>
        <v/>
      </c>
      <c r="BL25" s="31">
        <f>('ФАКТ ЧЕРН К3'!B16)*СПРАВОЧНИК!$H$9+('ФАКТ ЧЕРН К3'!C16)*СПРАВОЧНИК!$I$9+('ФАКТ ЧЕРН К3'!D16)*СПРАВОЧНИК!$J$9+('ФАКТ ЧЕРН К3'!E16)*СПРАВОЧНИК!$H$10+('ФАКТ ЧЕРН К3'!F16)*СПРАВОЧНИК!$I$10+('ФАКТ ЧЕРН К3'!G16)*СПРАВОЧНИК!$J$10+('ФАКТ ЧЕРН К3'!H16)*СПРАВОЧНИК!$H$11+('ФАКТ ЧЕРН К3'!I16)*СПРАВОЧНИК!$I$11+('ФАКТ ЧЕРН К3'!J16)*СПРАВОЧНИК!$J$11+('ФАКТ ЧЕРН К3'!K16)*СПРАВОЧНИК!$H$12+('ФАКТ ЧЕРН К3'!L16)*СПРАВОЧНИК!$I$12+('ФАКТ ЧЕРН К3'!M16)*СПРАВОЧНИК!$J$12+('ФАКТ ЧЕРН К3'!N16)*СПРАВОЧНИК!$H$13+('ФАКТ ЧЕРН К3'!O16)*СПРАВОЧНИК!$I$13+('ФАКТ ЧЕРН К3'!P16)*СПРАВОЧНИК!$J$13+('ФАКТ ЧЕРН К3'!Q16)*СПРАВОЧНИК!$H$14+('ФАКТ ЧЕРН К3'!R16)*СПРАВОЧНИК!$I$14+('ФАКТ ЧЕРН К3'!S16)*СПРАВОЧНИК!$J$14+('ФАКТ ЧЕРН К3'!T16)*СПРАВОЧНИК!$H$15+('ФАКТ ЧЕРН К3'!U16)*СПРАВОЧНИК!$I$15+('ФАКТ ЧЕРН К3'!V16)*СПРАВОЧНИК!$J$15</f>
        <v/>
      </c>
      <c r="BM25" s="34" t="n"/>
      <c r="BP25" s="152">
        <f>BP24+7</f>
        <v/>
      </c>
      <c r="BQ25" s="17">
        <f>'ПЛАН ЧИСТ К3'!B16*СПРАВОЧНИК!$L$9+'ПЛАН ЧИСТ К3'!C16*СПРАВОЧНИК!$M$9+'ПЛАН ЧИСТ К3'!D16*СПРАВОЧНИК!$N$9+'ПЛАН ЧИСТ К3'!E16*СПРАВОЧНИК!$O$9+'ПЛАН ЧИСТ К3'!F16*СПРАВОЧНИК!$P$9+'ПЛАН ЧИСТ К3'!G16*СПРАВОЧНИК!$L$10+'ПЛАН ЧИСТ К3'!H16*СПРАВОЧНИК!$M$10+'ПЛАН ЧИСТ К3'!I16*СПРАВОЧНИК!$N$10+'ПЛАН ЧИСТ К3'!J16*СПРАВОЧНИК!$O$10+'ПЛАН ЧИСТ К3'!K16*СПРАВОЧНИК!$P$10+'ПЛАН ЧИСТ К3'!L16*СПРАВОЧНИК!$L$11+'ПЛАН ЧИСТ К3'!M16*СПРАВОЧНИК!$M$11+'ПЛАН ЧИСТ К3'!N16*СПРАВОЧНИК!$N$11+'ПЛАН ЧИСТ К3'!O16*СПРАВОЧНИК!$O$11+'ПЛАН ЧИСТ К3'!P16*СПРАВОЧНИК!$P$11+'ПЛАН ЧИСТ К3'!Q16*СПРАВОЧНИК!$L$12+'ПЛАН ЧИСТ К3'!R16*СПРАВОЧНИК!$M$12+'ПЛАН ЧИСТ К3'!S16*СПРАВОЧНИК!$N$12+'ПЛАН ЧИСТ К3'!T16*СПРАВОЧНИК!$O$12+'ПЛАН ЧИСТ К3'!U16*СПРАВОЧНИК!$P$12+'ПЛАН ЧИСТ К3'!V16*СПРАВОЧНИК!$L$13+'ПЛАН ЧИСТ К3'!W16*СПРАВОЧНИК!$M$13+'ПЛАН ЧИСТ К3'!X16*СПРАВОЧНИК!$N$13+'ПЛАН ЧИСТ К3'!Y16*СПРАВОЧНИК!$O$13+'ПЛАН ЧИСТ К3'!Z16*СПРАВОЧНИК!$P$13+'ПЛАН ЧИСТ К3'!AA16*СПРАВОЧНИК!$L$14+'ПЛАН ЧИСТ К3'!AB16*СПРАВОЧНИК!$M$14+'ПЛАН ЧИСТ К3'!AC16*СПРАВОЧНИК!$N$14+'ПЛАН ЧИСТ К3'!AD16*СПРАВОЧНИК!$O$14+'ПЛАН ЧИСТ К3'!AE16*СПРАВОЧНИК!$P$14+'ПЛАН ЧИСТ К3'!AF16*СПРАВОЧНИК!$L$15+'ПЛАН ЧИСТ К3'!AG16*СПРАВОЧНИК!$M$15+'ПЛАН ЧИСТ К3'!AH16*СПРАВОЧНИК!$N$15+'ПЛАН ЧИСТ К3'!AI16*СПРАВОЧНИК!$O$15+'ПЛАН ЧИСТ К3'!AJ16*СПРАВОЧНИК!$P$15</f>
        <v/>
      </c>
      <c r="BR25" s="31">
        <f>('ФАКТ ЧИСТ К3'!B16)*СПРАВОЧНИК!$L$9+('ФАКТ ЧИСТ К3'!C16)*СПРАВОЧНИК!$M$9+('ФАКТ ЧИСТ К3'!D16)*СПРАВОЧНИК!$N$9+('ФАКТ ЧИСТ К3'!E16)*СПРАВОЧНИК!$O$9+('ФАКТ ЧИСТ К3'!F16)*СПРАВОЧНИК!$P$9+('ФАКТ ЧИСТ К3'!G16)*СПРАВОЧНИК!$L$10+('ФАКТ ЧИСТ К3'!H16)*СПРАВОЧНИК!$M$10+('ФАКТ ЧИСТ К3'!I16)*СПРАВОЧНИК!$N$10+('ФАКТ ЧИСТ К3'!J16)*СПРАВОЧНИК!$O$10+('ФАКТ ЧИСТ К3'!K16)*СПРАВОЧНИК!$P$10+('ФАКТ ЧИСТ К3'!L16)*СПРАВОЧНИК!$L$11+('ФАКТ ЧИСТ К3'!M16)*СПРАВОЧНИК!$M$11+('ФАКТ ЧИСТ К3'!N16)*СПРАВОЧНИК!$N$11+('ФАКТ ЧИСТ К3'!O16)*СПРАВОЧНИК!$O$11+('ФАКТ ЧИСТ К3'!P16)*СПРАВОЧНИК!$P$11+('ФАКТ ЧИСТ К3'!Q16)*СПРАВОЧНИК!$L$12+('ФАКТ ЧИСТ К3'!R16)*СПРАВОЧНИК!$M$12+('ФАКТ ЧИСТ К3'!S16)*СПРАВОЧНИК!$N$12+('ФАКТ ЧИСТ К3'!T16)*СПРАВОЧНИК!$O$12+('ФАКТ ЧИСТ К3'!U16)*СПРАВОЧНИК!$P$12+('ФАКТ ЧИСТ К3'!V16)*СПРАВОЧНИК!$L$13+('ФАКТ ЧИСТ К3'!W16)*СПРАВОЧНИК!$M$13+('ФАКТ ЧИСТ К3'!X16)*СПРАВОЧНИК!$N$13+('ФАКТ ЧИСТ К3'!Y16)*СПРАВОЧНИК!$O$13+('ФАКТ ЧИСТ К3'!Z16)*СПРАВОЧНИК!$P$13+('ФАКТ ЧИСТ К3'!AA16)*СПРАВОЧНИК!$L$14+('ФАКТ ЧИСТ К3'!AB16)*СПРАВОЧНИК!$M$14+('ФАКТ ЧИСТ К3'!AC16)*СПРАВОЧНИК!$N$14+('ФАКТ ЧИСТ К3'!AD16)*СПРАВОЧНИК!$O$14+('ФАКТ ЧИСТ К3'!AE16)*СПРАВОЧНИК!$P$14+('ФАКТ ЧИСТ К3'!AF16)*СПРАВОЧНИК!$L$15+('ФАКТ ЧИСТ К3'!AG16)*СПРАВОЧНИК!$M$15+('ФАКТ ЧИСТ К3'!AH16)*СПРАВОЧНИК!$N$15+('ФАКТ ЧИСТ К3'!AI16)*СПРАВОЧНИК!$O$15+('ФАКТ ЧИСТ К3'!AJ16)*СПРАВОЧНИК!$P$15</f>
        <v/>
      </c>
      <c r="BS25" s="34" t="n"/>
      <c r="BV25" s="152">
        <f>BV24+7</f>
        <v/>
      </c>
      <c r="BW25" s="17">
        <f>U25*СПРАВОЧНИК!$K$28+AM25*СПРАВОЧНИК!$K$29+BE25*СПРАВОЧНИК!$K$30</f>
        <v/>
      </c>
      <c r="BX25" s="31">
        <f>V25*СПРАВОЧНИК!$K$28+AN25*СПРАВОЧНИК!$K$29+BF25*СПРАВОЧНИК!$K$30</f>
        <v/>
      </c>
      <c r="BY25" s="34" t="n"/>
      <c r="CB25" s="152">
        <f>CB24+7</f>
        <v/>
      </c>
      <c r="CC25" s="17">
        <f>AA25*СПРАВОЧНИК!$K$28+AS25*СПРАВОЧНИК!$K$29+BK25*СПРАВОЧНИК!$K$30</f>
        <v/>
      </c>
      <c r="CD25" s="31">
        <f>AB25*СПРАВОЧНИК!$K$28+AT25*СПРАВОЧНИК!$K$29+BL25*СПРАВОЧНИК!$K$30</f>
        <v/>
      </c>
      <c r="CE25" s="34" t="n"/>
      <c r="CH25" s="152">
        <f>CH24+7</f>
        <v/>
      </c>
      <c r="CI25" s="17">
        <f>AG25*СПРАВОЧНИК!$K$28+AY25*СПРАВОЧНИК!$K$29+BQ25*СПРАВОЧНИК!$K$30</f>
        <v/>
      </c>
      <c r="CJ25" s="31">
        <f>AH25*СПРАВОЧНИК!$K$28+AZ25*СПРАВОЧНИК!$K$29+BR25*СПРАВОЧНИК!$K$30</f>
        <v/>
      </c>
      <c r="CK25" s="34" t="n"/>
      <c r="CN25" s="152">
        <f>CN24+7</f>
        <v/>
      </c>
      <c r="CO25" s="17">
        <f>C25*СПРАВОЧНИК!$W$18+BW25*СПРАВОЧНИК!$W$19</f>
        <v/>
      </c>
      <c r="CP25" s="31">
        <f>D25*СПРАВОЧНИК!$W$18+BX25*СПРАВОЧНИК!$W$19</f>
        <v/>
      </c>
      <c r="CQ25" s="34" t="n"/>
      <c r="CT25" s="152">
        <f>CT24+7</f>
        <v/>
      </c>
      <c r="CU25" s="17">
        <f>I25*СПРАВОЧНИК!$W$18+CC25*СПРАВОЧНИК!$W$19</f>
        <v/>
      </c>
      <c r="CV25" s="31">
        <f>J25*СПРАВОЧНИК!$W$18+CD25*СПРАВОЧНИК!$W$19</f>
        <v/>
      </c>
      <c r="CW25" s="34" t="n"/>
      <c r="CZ25" s="152">
        <f>CZ24+7</f>
        <v/>
      </c>
      <c r="DA25" s="17">
        <f>O25*СПРАВОЧНИК!$W$18+CI25*СПРАВОЧНИК!$W$19</f>
        <v/>
      </c>
      <c r="DB25" s="31">
        <f>P25*СПРАВОЧНИК!$W$18+CJ25*СПРАВОЧНИК!$W$19</f>
        <v/>
      </c>
      <c r="DC25" s="34" t="n"/>
    </row>
    <row r="26">
      <c r="B26" s="152">
        <f>B25+7</f>
        <v/>
      </c>
      <c r="C26" s="17">
        <f>СПРАВОЧНИК!$E$3*('ПЛАН ЧЕРН ПОДЗЕМ'!B17*СПРАВОЧНИК!$H$3+'ПЛАН ЧЕРН ПОДЗЕМ'!C17*СПРАВОЧНИК!$I$3+'ПЛАН ЧЕРН ПОДЗЕМ'!D17*СПРАВОЧНИК!$J$3)+СПРАВОЧНИК!$F$3*('ПЛАН ЧИСТ ПОДЗЕМ'!B17*СПРАВОЧНИК!$L$3+'ПЛАН ЧИСТ ПОДЗЕМ'!C17*СПРАВОЧНИК!$M$3+'ПЛАН ЧИСТ ПОДЗЕМ'!D17*СПРАВОЧНИК!$N$3+'ПЛАН ЧИСТ ПОДЗЕМ'!E17*СПРАВОЧНИК!$O$3+'ПЛАН ЧИСТ ПОДЗЕМ'!F17*СПРАВОЧНИК!$P$3)+СПРАВОЧНИК!$E$4*('ПЛАН ЧЕРН ПОДЗЕМ'!E17*СПРАВОЧНИК!$H$4+'ПЛАН ЧЕРН ПОДЗЕМ'!F17*СПРАВОЧНИК!$I$4+'ПЛАН ЧЕРН ПОДЗЕМ'!G17*СПРАВОЧНИК!$J$4)+СПРАВОЧНИК!$F$4*('ПЛАН ЧИСТ ПОДЗЕМ'!G17*СПРАВОЧНИК!$L$4+'ПЛАН ЧИСТ ПОДЗЕМ'!H17*СПРАВОЧНИК!$M$4+'ПЛАН ЧИСТ ПОДЗЕМ'!I17*СПРАВОЧНИК!$N$4+'ПЛАН ЧИСТ ПОДЗЕМ'!J17*СПРАВОЧНИК!$O$4+'ПЛАН ЧИСТ ПОДЗЕМ'!K17*СПРАВОЧНИК!$P$4)+СПРАВОЧНИК!$E$5*('ПЛАН ЧЕРН ПОДЗЕМ'!H17*СПРАВОЧНИК!$H$5+'ПЛАН ЧЕРН ПОДЗЕМ'!I17*СПРАВОЧНИК!$I$5+'ПЛАН ЧЕРН ПОДЗЕМ'!J17*СПРАВОЧНИК!$J$5)+СПРАВОЧНИК!$F$5*('ПЛАН ЧИСТ ПОДЗЕМ'!L17*СПРАВОЧНИК!$L$5+'ПЛАН ЧИСТ ПОДЗЕМ'!M17*СПРАВОЧНИК!$M$5+'ПЛАН ЧИСТ ПОДЗЕМ'!N17*СПРАВОЧНИК!$N$5+'ПЛАН ЧИСТ ПОДЗЕМ'!O17*СПРАВОЧНИК!$O$5+'ПЛАН ЧИСТ ПОДЗЕМ'!P17*СПРАВОЧНИК!$P$5)+СПРАВОЧНИК!$E$6*('ПЛАН ЧЕРН ПОДЗЕМ'!K17*СПРАВОЧНИК!$H$6+'ПЛАН ЧЕРН ПОДЗЕМ'!L17*СПРАВОЧНИК!$I$6+'ПЛАН ЧЕРН ПОДЗЕМ'!M17*СПРАВОЧНИК!$J$6)+СПРАВОЧНИК!$F$6*('ПЛАН ЧИСТ ПОДЗЕМ'!Q17*СПРАВОЧНИК!$L$6+'ПЛАН ЧИСТ ПОДЗЕМ'!R17*СПРАВОЧНИК!$M$6+'ПЛАН ЧИСТ ПОДЗЕМ'!S17*СПРАВОЧНИК!$N$6+'ПЛАН ЧИСТ ПОДЗЕМ'!T17*СПРАВОЧНИК!$O$6+'ПЛАН ЧИСТ ПОДЗЕМ'!U17*СПРАВОЧНИК!$P$6)+СПРАВОЧНИК!$E$7*('ПЛАН ЧЕРН ПОДЗЕМ'!N17*СПРАВОЧНИК!$H$7+'ПЛАН ЧЕРН ПОДЗЕМ'!O17*СПРАВОЧНИК!$I$7+'ПЛАН ЧЕРН ПОДЗЕМ'!P17*СПРАВОЧНИК!$J$7)+СПРАВОЧНИК!$F$7*('ПЛАН ЧИСТ ПОДЗЕМ'!V17*СПРАВОЧНИК!$L$7+'ПЛАН ЧИСТ ПОДЗЕМ'!W17*СПРАВОЧНИК!$M$7+'ПЛАН ЧИСТ ПОДЗЕМ'!X17*СПРАВОЧНИК!$N$7+'ПЛАН ЧИСТ ПОДЗЕМ'!Y17*СПРАВОЧНИК!$O$7+'ПЛАН ЧИСТ ПОДЗЕМ'!Z17*СПРАВОЧНИК!$P$7)+СПРАВОЧНИК!$E$8*('ПЛАН ЧЕРН ПОДЗЕМ'!Q17*СПРАВОЧНИК!$H$8+'ПЛАН ЧЕРН ПОДЗЕМ'!R17*СПРАВОЧНИК!$I$8+'ПЛАН ЧЕРН ПОДЗЕМ'!S17*СПРАВОЧНИК!$J$8)+СПРАВОЧНИК!$F$8*('ПЛАН ЧИСТ ПОДЗЕМ'!AA17*СПРАВОЧНИК!$L$8+'ПЛАН ЧИСТ ПОДЗЕМ'!AB17*СПРАВОЧНИК!$M$8+'ПЛАН ЧИСТ ПОДЗЕМ'!AC17*СПРАВОЧНИК!$N$8+'ПЛАН ЧИСТ ПОДЗЕМ'!AD17*СПРАВОЧНИК!$O$8+'ПЛАН ЧИСТ ПОДЗЕМ'!AE17*СПРАВОЧНИК!$P$8)</f>
        <v/>
      </c>
      <c r="D26" s="31">
        <f>СПРАВОЧНИК!$E$3*('ФАКТ ЧЕРН ПОДЗЕМ'!B17*СПРАВОЧНИК!$H$3+'ФАКТ ЧЕРН ПОДЗЕМ'!C17*СПРАВОЧНИК!$I$3+'ФАКТ ЧЕРН ПОДЗЕМ'!D17*СПРАВОЧНИК!$J$3)+СПРАВОЧНИК!$F$3*('ФАКТ ЧИСТ ПОДЗЕМ'!B17*СПРАВОЧНИК!$L$3+'ФАКТ ЧИСТ ПОДЗЕМ'!C17*СПРАВОЧНИК!$M$3+'ФАКТ ЧИСТ ПОДЗЕМ'!D17*СПРАВОЧНИК!$N$3+'ФАКТ ЧИСТ ПОДЗЕМ'!E17*СПРАВОЧНИК!$O$3+'ФАКТ ЧИСТ ПОДЗЕМ'!F17*СПРАВОЧНИК!$P$3)+СПРАВОЧНИК!$E$4*('ФАКТ ЧЕРН ПОДЗЕМ'!E17*СПРАВОЧНИК!$H$4+'ФАКТ ЧЕРН ПОДЗЕМ'!F17*СПРАВОЧНИК!$I$4+'ФАКТ ЧЕРН ПОДЗЕМ'!G17*СПРАВОЧНИК!$J$4)+СПРАВОЧНИК!$F$4*('ФАКТ ЧИСТ ПОДЗЕМ'!G17*СПРАВОЧНИК!$L$4+'ФАКТ ЧИСТ ПОДЗЕМ'!H17*СПРАВОЧНИК!$M$4+'ФАКТ ЧИСТ ПОДЗЕМ'!I17*СПРАВОЧНИК!$N$4+'ФАКТ ЧИСТ ПОДЗЕМ'!J17*СПРАВОЧНИК!$O$4+'ФАКТ ЧИСТ ПОДЗЕМ'!K17*СПРАВОЧНИК!$P$4)+СПРАВОЧНИК!$E$5*('ФАКТ ЧЕРН ПОДЗЕМ'!H17*СПРАВОЧНИК!$H$5+'ФАКТ ЧЕРН ПОДЗЕМ'!I17*СПРАВОЧНИК!$I$5+'ФАКТ ЧЕРН ПОДЗЕМ'!J17*СПРАВОЧНИК!$J$5)+СПРАВОЧНИК!$F$5*('ФАКТ ЧИСТ ПОДЗЕМ'!L17*СПРАВОЧНИК!$L$5+'ФАКТ ЧИСТ ПОДЗЕМ'!M17*СПРАВОЧНИК!$M$5+'ФАКТ ЧИСТ ПОДЗЕМ'!N17*СПРАВОЧНИК!$N$5+'ФАКТ ЧИСТ ПОДЗЕМ'!O17*СПРАВОЧНИК!$O$5+'ФАКТ ЧИСТ ПОДЗЕМ'!P17*СПРАВОЧНИК!$P$5)+СПРАВОЧНИК!$E$6*('ФАКТ ЧЕРН ПОДЗЕМ'!K17*СПРАВОЧНИК!$H$6+'ФАКТ ЧЕРН ПОДЗЕМ'!L17*СПРАВОЧНИК!$I$6+'ФАКТ ЧЕРН ПОДЗЕМ'!M17*СПРАВОЧНИК!$J$6)+СПРАВОЧНИК!$F$6*('ФАКТ ЧИСТ ПОДЗЕМ'!Q17*СПРАВОЧНИК!$L$6+'ФАКТ ЧИСТ ПОДЗЕМ'!R17*СПРАВОЧНИК!$M$6+'ФАКТ ЧИСТ ПОДЗЕМ'!S17*СПРАВОЧНИК!$N$6+'ФАКТ ЧИСТ ПОДЗЕМ'!T17*СПРАВОЧНИК!$O$6+'ФАКТ ЧИСТ ПОДЗЕМ'!U17*СПРАВОЧНИК!$P$6)+СПРАВОЧНИК!$E$7*('ФАКТ ЧЕРН ПОДЗЕМ'!N17*СПРАВОЧНИК!$H$7+'ФАКТ ЧЕРН ПОДЗЕМ'!O17*СПРАВОЧНИК!$I$7+'ФАКТ ЧЕРН ПОДЗЕМ'!P17*СПРАВОЧНИК!$J$7)+СПРАВОЧНИК!$F$7*('ФАКТ ЧИСТ ПОДЗЕМ'!V17*СПРАВОЧНИК!$L$7+'ФАКТ ЧИСТ ПОДЗЕМ'!W17*СПРАВОЧНИК!$M$7+'ФАКТ ЧИСТ ПОДЗЕМ'!X17*СПРАВОЧНИК!$N$7+'ФАКТ ЧИСТ ПОДЗЕМ'!Y17*СПРАВОЧНИК!$O$7+'ФАКТ ЧИСТ ПОДЗЕМ'!Z17*СПРАВОЧНИК!$P$7)+СПРАВОЧНИК!$E$8*('ФАКТ ЧЕРН ПОДЗЕМ'!Q17*СПРАВОЧНИК!$H$8+'ФАКТ ЧЕРН ПОДЗЕМ'!R17*СПРАВОЧНИК!$I$8+'ФАКТ ЧЕРН ПОДЗЕМ'!S17*СПРАВОЧНИК!$J$8)+СПРАВОЧНИК!$F$8*('ФАКТ ЧИСТ ПОДЗЕМ'!AA17*СПРАВОЧНИК!$L$8+'ФАКТ ЧИСТ ПОДЗЕМ'!AB17*СПРАВОЧНИК!$M$8+'ФАКТ ЧИСТ ПОДЗЕМ'!AC17*СПРАВОЧНИК!$N$8+'ФАКТ ЧИСТ ПОДЗЕМ'!AD17*СПРАВОЧНИК!$O$8+'ФАКТ ЧИСТ ПОДЗЕМ'!AE17*СПРАВОЧНИК!$P$8)</f>
        <v/>
      </c>
      <c r="E26" s="34" t="n"/>
      <c r="H26" s="152">
        <f>H25+7</f>
        <v/>
      </c>
      <c r="I26" s="17">
        <f>'ПЛАН ЧЕРН ПОДЗЕМ'!B17*СПРАВОЧНИК!$H$3+'ПЛАН ЧЕРН ПОДЗЕМ'!C17*СПРАВОЧНИК!$I$3+'ПЛАН ЧЕРН ПОДЗЕМ'!D17*СПРАВОЧНИК!$J$3+'ПЛАН ЧЕРН ПОДЗЕМ'!E17*СПРАВОЧНИК!$H$4+'ПЛАН ЧЕРН ПОДЗЕМ'!F17*СПРАВОЧНИК!$I$4+'ПЛАН ЧЕРН ПОДЗЕМ'!G17*СПРАВОЧНИК!$J$4+'ПЛАН ЧЕРН ПОДЗЕМ'!H17*СПРАВОЧНИК!$H$5+'ПЛАН ЧЕРН ПОДЗЕМ'!I17*СПРАВОЧНИК!$I$5+'ПЛАН ЧЕРН ПОДЗЕМ'!J17*СПРАВОЧНИК!$J$5+'ПЛАН ЧЕРН ПОДЗЕМ'!K17*СПРАВОЧНИК!$H$6+'ПЛАН ЧЕРН ПОДЗЕМ'!L17*СПРАВОЧНИК!$I$6+'ПЛАН ЧЕРН ПОДЗЕМ'!M17*СПРАВОЧНИК!$J$6+'ПЛАН ЧЕРН ПОДЗЕМ'!N17*СПРАВОЧНИК!$H$7+'ПЛАН ЧЕРН ПОДЗЕМ'!O17*СПРАВОЧНИК!$I$7+'ПЛАН ЧЕРН ПОДЗЕМ'!P17*СПРАВОЧНИК!$J$7+'ПЛАН ЧЕРН ПОДЗЕМ'!Q17*СПРАВОЧНИК!$H$8+'ПЛАН ЧЕРН ПОДЗЕМ'!R17*СПРАВОЧНИК!$I$8+'ПЛАН ЧЕРН ПОДЗЕМ'!S17*СПРАВОЧНИК!$J$8</f>
        <v/>
      </c>
      <c r="J26" s="31">
        <f>('ФАКТ ЧЕРН ПОДЗЕМ'!B17)*СПРАВОЧНИК!$H$3+('ФАКТ ЧЕРН ПОДЗЕМ'!C17)*СПРАВОЧНИК!$I$3+('ФАКТ ЧЕРН ПОДЗЕМ'!D17)*СПРАВОЧНИК!$J$3+('ФАКТ ЧЕРН ПОДЗЕМ'!E17)*СПРАВОЧНИК!$H$4+('ФАКТ ЧЕРН ПОДЗЕМ'!F17)*СПРАВОЧНИК!$I$4+('ФАКТ ЧЕРН ПОДЗЕМ'!G17)*СПРАВОЧНИК!$J$4+('ФАКТ ЧЕРН ПОДЗЕМ'!H17)*СПРАВОЧНИК!$H$5+('ФАКТ ЧЕРН ПОДЗЕМ'!I17)*СПРАВОЧНИК!$I$5+('ФАКТ ЧЕРН ПОДЗЕМ'!J17)*СПРАВОЧНИК!$J$5+('ФАКТ ЧЕРН ПОДЗЕМ'!K17)*СПРАВОЧНИК!$H$6+('ФАКТ ЧЕРН ПОДЗЕМ'!L17)*СПРАВОЧНИК!$I$6+('ФАКТ ЧЕРН ПОДЗЕМ'!M17)*СПРАВОЧНИК!$J$6+('ФАКТ ЧЕРН ПОДЗЕМ'!N17)*СПРАВОЧНИК!$H$7+('ФАКТ ЧЕРН ПОДЗЕМ'!O17)*СПРАВОЧНИК!$I$7+('ФАКТ ЧЕРН ПОДЗЕМ'!P17)*СПРАВОЧНИК!$J$7+('ФАКТ ЧЕРН ПОДЗЕМ'!Q17)*СПРАВОЧНИК!$H$8+('ФАКТ ЧЕРН ПОДЗЕМ'!R17)*СПРАВОЧНИК!$I$8+('ФАКТ ЧЕРН ПОДЗЕМ'!S17)*СПРАВОЧНИК!$J$8</f>
        <v/>
      </c>
      <c r="K26" s="34" t="n"/>
      <c r="N26" s="152">
        <f>N25+7</f>
        <v/>
      </c>
      <c r="O26" s="17">
        <f>'ПЛАН ЧИСТ ПОДЗЕМ'!B17*СПРАВОЧНИК!$L$3+'ПЛАН ЧИСТ ПОДЗЕМ'!C17*СПРАВОЧНИК!$M$3+'ПЛАН ЧИСТ ПОДЗЕМ'!D17*СПРАВОЧНИК!$N$3+'ПЛАН ЧИСТ ПОДЗЕМ'!E17*СПРАВОЧНИК!$O$3+'ПЛАН ЧИСТ ПОДЗЕМ'!F17*СПРАВОЧНИК!$P$3+'ПЛАН ЧИСТ ПОДЗЕМ'!G17*СПРАВОЧНИК!$L$4+'ПЛАН ЧИСТ ПОДЗЕМ'!H17*СПРАВОЧНИК!$M$4+'ПЛАН ЧИСТ ПОДЗЕМ'!I17*СПРАВОЧНИК!$N$4+'ПЛАН ЧИСТ ПОДЗЕМ'!J17*СПРАВОЧНИК!$O$4+'ПЛАН ЧИСТ ПОДЗЕМ'!K17*СПРАВОЧНИК!$P$4+'ПЛАН ЧИСТ ПОДЗЕМ'!L17*СПРАВОЧНИК!$L$5+'ПЛАН ЧИСТ ПОДЗЕМ'!M17*СПРАВОЧНИК!$M$5+'ПЛАН ЧИСТ ПОДЗЕМ'!N17*СПРАВОЧНИК!$N$5+'ПЛАН ЧИСТ ПОДЗЕМ'!O17*СПРАВОЧНИК!$O$5+'ПЛАН ЧИСТ ПОДЗЕМ'!P17*СПРАВОЧНИК!$P$5+'ПЛАН ЧИСТ ПОДЗЕМ'!Q17*СПРАВОЧНИК!$L$6+'ПЛАН ЧИСТ ПОДЗЕМ'!R17*СПРАВОЧНИК!$M$6+'ПЛАН ЧИСТ ПОДЗЕМ'!S17*СПРАВОЧНИК!$N$6+'ПЛАН ЧИСТ ПОДЗЕМ'!T17*СПРАВОЧНИК!$O$6+'ПЛАН ЧИСТ ПОДЗЕМ'!U17*СПРАВОЧНИК!$P$6+'ПЛАН ЧИСТ ПОДЗЕМ'!V17*СПРАВОЧНИК!$L$7+'ПЛАН ЧИСТ ПОДЗЕМ'!W17*СПРАВОЧНИК!$M$7+'ПЛАН ЧИСТ ПОДЗЕМ'!X17*СПРАВОЧНИК!$N$7+'ПЛАН ЧИСТ ПОДЗЕМ'!Y17*СПРАВОЧНИК!$O$7+'ПЛАН ЧИСТ ПОДЗЕМ'!Z17*СПРАВОЧНИК!$P$7+'ПЛАН ЧИСТ ПОДЗЕМ'!AA17*СПРАВОЧНИК!$L$8+'ПЛАН ЧИСТ ПОДЗЕМ'!AB17*СПРАВОЧНИК!$M$8+'ПЛАН ЧИСТ ПОДЗЕМ'!AC17*СПРАВОЧНИК!$N$8+'ПЛАН ЧИСТ ПОДЗЕМ'!AD17*СПРАВОЧНИК!$O$8+'ПЛАН ЧИСТ ПОДЗЕМ'!AE17*СПРАВОЧНИК!$P$8</f>
        <v/>
      </c>
      <c r="P26" s="31">
        <f>('ФАКТ ЧИСТ ПОДЗЕМ'!B17)*СПРАВОЧНИК!$L$3+('ФАКТ ЧИСТ ПОДЗЕМ'!C17)*СПРАВОЧНИК!$M$3+('ФАКТ ЧИСТ ПОДЗЕМ'!D17)*СПРАВОЧНИК!$N$3+('ФАКТ ЧИСТ ПОДЗЕМ'!E17)*СПРАВОЧНИК!$O$3+('ФАКТ ЧИСТ ПОДЗЕМ'!F17)*СПРАВОЧНИК!$P$3+('ФАКТ ЧИСТ ПОДЗЕМ'!G17)*СПРАВОЧНИК!$L$4+('ФАКТ ЧИСТ ПОДЗЕМ'!H17)*СПРАВОЧНИК!$M$4+('ФАКТ ЧИСТ ПОДЗЕМ'!I17)*СПРАВОЧНИК!$N$4+('ФАКТ ЧИСТ ПОДЗЕМ'!J17)*СПРАВОЧНИК!$O$4+('ФАКТ ЧИСТ ПОДЗЕМ'!K17)*СПРАВОЧНИК!$P$4+('ФАКТ ЧИСТ ПОДЗЕМ'!L17)*СПРАВОЧНИК!$L$5+('ФАКТ ЧИСТ ПОДЗЕМ'!M17)*СПРАВОЧНИК!$M$5+('ФАКТ ЧИСТ ПОДЗЕМ'!N17)*СПРАВОЧНИК!$N$5+('ФАКТ ЧИСТ ПОДЗЕМ'!O17)*СПРАВОЧНИК!$O$5+('ФАКТ ЧИСТ ПОДЗЕМ'!P17)*СПРАВОЧНИК!$P$5+('ФАКТ ЧИСТ ПОДЗЕМ'!Q17)*СПРАВОЧНИК!$L$6+('ФАКТ ЧИСТ ПОДЗЕМ'!R17)*СПРАВОЧНИК!$M$6+('ФАКТ ЧИСТ ПОДЗЕМ'!S17)*СПРАВОЧНИК!$N$6+('ФАКТ ЧИСТ ПОДЗЕМ'!T17)*СПРАВОЧНИК!$O$6+('ФАКТ ЧИСТ ПОДЗЕМ'!U17)*СПРАВОЧНИК!$P$6+('ФАКТ ЧИСТ ПОДЗЕМ'!V17)*СПРАВОЧНИК!$L$7+('ФАКТ ЧИСТ ПОДЗЕМ'!W17)*СПРАВОЧНИК!$M$7+('ФАКТ ЧИСТ ПОДЗЕМ'!X17)*СПРАВОЧНИК!$N$7+('ФАКТ ЧИСТ ПОДЗЕМ'!Y17)*СПРАВОЧНИК!$O$7+('ФАКТ ЧИСТ ПОДЗЕМ'!Z17)*СПРАВОЧНИК!$P$7+('ФАКТ ЧИСТ ПОДЗЕМ'!AA17)*СПРАВОЧНИК!$L$8+('ФАКТ ЧИСТ ПОДЗЕМ'!AB17)*СПРАВОЧНИК!$M$8+('ФАКТ ЧИСТ ПОДЗЕМ'!AC17)*СПРАВОЧНИК!$N$8+('ФАКТ ЧИСТ ПОДЗЕМ'!AD17)*СПРАВОЧНИК!$O$8+('ФАКТ ЧИСТ ПОДЗЕМ'!AE17)*СПРАВОЧНИК!$P$8</f>
        <v/>
      </c>
      <c r="Q26" s="34" t="n"/>
      <c r="T26" s="152">
        <f>T25+7</f>
        <v/>
      </c>
      <c r="U26" s="17">
        <f>СПРАВОЧНИК!$E$9*('ПЛАН ЧЕРН К1'!B17*СПРАВОЧНИК!$H$9+'ПЛАН ЧЕРН К1'!C17*СПРАВОЧНИК!$I$9+'ПЛАН ЧЕРН К1'!D17*СПРАВОЧНИК!$J$9)+СПРАВОЧНИК!$F$9*('ПЛАН ЧИСТ К1'!B17*СПРАВОЧНИК!$L$9+'ПЛАН ЧИСТ К1'!C17*СПРАВОЧНИК!$M$9+'ПЛАН ЧИСТ К1'!D17*СПРАВОЧНИК!$N$9+'ПЛАН ЧИСТ К1'!E17*СПРАВОЧНИК!$O$9+'ПЛАН ЧИСТ К1'!F17*СПРАВОЧНИК!$P$9)+СПРАВОЧНИК!$E$10*('ПЛАН ЧЕРН К1'!E17*СПРАВОЧНИК!$H$10+'ПЛАН ЧЕРН К1'!F17*СПРАВОЧНИК!$I$10+'ПЛАН ЧЕРН К1'!G17*СПРАВОЧНИК!$J$10)+СПРАВОЧНИК!$F$10*('ПЛАН ЧИСТ К1'!G17*СПРАВОЧНИК!$L$10+'ПЛАН ЧИСТ К1'!H17*СПРАВОЧНИК!$M$10+'ПЛАН ЧИСТ К1'!I17*СПРАВОЧНИК!$N$10+'ПЛАН ЧИСТ К1'!J17*СПРАВОЧНИК!$O$10+'ПЛАН ЧИСТ К1'!K17*СПРАВОЧНИК!$P$10)+СПРАВОЧНИК!$E$11*('ПЛАН ЧЕРН К1'!H17*СПРАВОЧНИК!$H$11+'ПЛАН ЧЕРН К1'!I17*СПРАВОЧНИК!$I$11+'ПЛАН ЧЕРН К1'!J17*СПРАВОЧНИК!$J$11)+СПРАВОЧНИК!$F$11*('ПЛАН ЧИСТ К1'!L17*СПРАВОЧНИК!$L$11+'ПЛАН ЧИСТ К1'!M17*СПРАВОЧНИК!$M$11+'ПЛАН ЧИСТ К1'!N17*СПРАВОЧНИК!$N$11+'ПЛАН ЧИСТ К1'!O17*СПРАВОЧНИК!$O$11+'ПЛАН ЧИСТ К1'!P17*СПРАВОЧНИК!$P$11)+СПРАВОЧНИК!$E$12*('ПЛАН ЧЕРН К1'!K17*СПРАВОЧНИК!$H$12+'ПЛАН ЧЕРН К1'!L17*СПРАВОЧНИК!$I$12+'ПЛАН ЧЕРН К1'!M17*СПРАВОЧНИК!$J$12)+СПРАВОЧНИК!$F$12*('ПЛАН ЧИСТ К1'!Q17*СПРАВОЧНИК!$L$12+'ПЛАН ЧИСТ К1'!R17*СПРАВОЧНИК!$M$12+'ПЛАН ЧИСТ К1'!S17*СПРАВОЧНИК!$N$12+'ПЛАН ЧИСТ К1'!T17*СПРАВОЧНИК!$O$12+'ПЛАН ЧИСТ К1'!U17*СПРАВОЧНИК!$P$12)+СПРАВОЧНИК!$E$13*('ПЛАН ЧЕРН К1'!N17*СПРАВОЧНИК!$H$13+'ПЛАН ЧЕРН К1'!O17*СПРАВОЧНИК!$I$13+'ПЛАН ЧЕРН К1'!P17*СПРАВОЧНИК!$J$13)+СПРАВОЧНИК!$F$13*('ПЛАН ЧИСТ К1'!V17*СПРАВОЧНИК!$L$13+'ПЛАН ЧИСТ К1'!W17*СПРАВОЧНИК!$M$13+'ПЛАН ЧИСТ К1'!X17*СПРАВОЧНИК!$N$13+'ПЛАН ЧИСТ К1'!Y17*СПРАВОЧНИК!$O$13+'ПЛАН ЧИСТ К1'!Z17*СПРАВОЧНИК!$P$13)+СПРАВОЧНИК!$E$14*('ПЛАН ЧЕРН К1'!Q17*СПРАВОЧНИК!$H$14+'ПЛАН ЧЕРН К1'!R17*СПРАВОЧНИК!$I$14+'ПЛАН ЧЕРН К1'!S17*СПРАВОЧНИК!$J$14)+СПРАВОЧНИК!$F$14*('ПЛАН ЧИСТ К1'!AA17*СПРАВОЧНИК!$L$14+'ПЛАН ЧИСТ К1'!AB17*СПРАВОЧНИК!$M$14+'ПЛАН ЧИСТ К1'!AC17*СПРАВОЧНИК!$N$14+'ПЛАН ЧИСТ К1'!AD17*СПРАВОЧНИК!$O$14+'ПЛАН ЧИСТ К1'!AE17*СПРАВОЧНИК!$P$14)+СПРАВОЧНИК!$E$15*('ПЛАН ЧЕРН К1'!T17*СПРАВОЧНИК!$H$15+'ПЛАН ЧЕРН К1'!U17*СПРАВОЧНИК!$I$15+'ПЛАН ЧЕРН К1'!V17*СПРАВОЧНИК!$J$15)+СПРАВОЧНИК!$F$15*('ПЛАН ЧИСТ К1'!AF17*СПРАВОЧНИК!$L$15+'ПЛАН ЧИСТ К1'!AG17*СПРАВОЧНИК!$M$15+'ПЛАН ЧИСТ К1'!AH17*СПРАВОЧНИК!$N$15+'ПЛАН ЧИСТ К1'!AI17*СПРАВОЧНИК!$O$15+'ПЛАН ЧИСТ К1'!AJ17*СПРАВОЧНИК!$P$15)</f>
        <v/>
      </c>
      <c r="V26" s="31">
        <f>СПРАВОЧНИК!$E$9*('ФАКТ ЧЕРН К1'!B17*СПРАВОЧНИК!$H$9+'ФАКТ ЧЕРН К1'!C17*СПРАВОЧНИК!$I$9+'ФАКТ ЧЕРН К1'!D17*СПРАВОЧНИК!$J$9)+СПРАВОЧНИК!$F$9*('ФАКТ ЧИСТ К1'!B17*СПРАВОЧНИК!$L$9+'ФАКТ ЧИСТ К1'!C17*СПРАВОЧНИК!$M$9+'ФАКТ ЧИСТ К1'!D17*СПРАВОЧНИК!$N$9+'ФАКТ ЧИСТ К1'!E17*СПРАВОЧНИК!$O$9+'ФАКТ ЧИСТ К1'!F17*СПРАВОЧНИК!$P$9)+СПРАВОЧНИК!$E$10*('ФАКТ ЧЕРН К1'!E17*СПРАВОЧНИК!$H$10+'ФАКТ ЧЕРН К1'!F17*СПРАВОЧНИК!$I$10+'ФАКТ ЧЕРН К1'!G17*СПРАВОЧНИК!$J$10)+СПРАВОЧНИК!$F$10*('ФАКТ ЧИСТ К1'!G17*СПРАВОЧНИК!$L$10+'ФАКТ ЧИСТ К1'!H17*СПРАВОЧНИК!$M$10+'ФАКТ ЧИСТ К1'!I17*СПРАВОЧНИК!$N$10+'ФАКТ ЧИСТ К1'!J17*СПРАВОЧНИК!$O$10+'ФАКТ ЧИСТ К1'!K17*СПРАВОЧНИК!$P$10)+СПРАВОЧНИК!$E$11*('ФАКТ ЧЕРН К1'!H17*СПРАВОЧНИК!$H$11+'ФАКТ ЧЕРН К1'!I17*СПРАВОЧНИК!$I$11+'ФАКТ ЧЕРН К1'!J17*СПРАВОЧНИК!$J$11)+СПРАВОЧНИК!$F$11*('ФАКТ ЧИСТ К1'!L17*СПРАВОЧНИК!$L$11+'ФАКТ ЧИСТ К1'!M17*СПРАВОЧНИК!$M$11+'ФАКТ ЧИСТ К1'!N17*СПРАВОЧНИК!$N$11+'ФАКТ ЧИСТ К1'!O17*СПРАВОЧНИК!$O$11+'ФАКТ ЧИСТ К1'!P17*СПРАВОЧНИК!$P$11)+СПРАВОЧНИК!$E$12*('ФАКТ ЧЕРН К1'!K17*СПРАВОЧНИК!$H$12+'ФАКТ ЧЕРН К1'!L17*СПРАВОЧНИК!$I$12+'ФАКТ ЧЕРН К1'!M17*СПРАВОЧНИК!$J$12)+СПРАВОЧНИК!$F$12*('ФАКТ ЧИСТ К1'!Q17*СПРАВОЧНИК!$L$12+'ФАКТ ЧИСТ К1'!R17*СПРАВОЧНИК!$M$12+'ФАКТ ЧИСТ К1'!S17*СПРАВОЧНИК!$N$12+'ФАКТ ЧИСТ К1'!T17*СПРАВОЧНИК!$O$12+'ФАКТ ЧИСТ К1'!U17*СПРАВОЧНИК!$P$12)+СПРАВОЧНИК!$E$13*('ФАКТ ЧЕРН К1'!N17*СПРАВОЧНИК!$H$13+'ФАКТ ЧЕРН К1'!O17*СПРАВОЧНИК!$I$13+'ФАКТ ЧЕРН К1'!P17*СПРАВОЧНИК!$J$13)+СПРАВОЧНИК!$F$13*('ФАКТ ЧИСТ К1'!V17*СПРАВОЧНИК!$L$13+'ФАКТ ЧИСТ К1'!W17*СПРАВОЧНИК!$M$13+'ФАКТ ЧИСТ К1'!X17*СПРАВОЧНИК!$N$13+'ФАКТ ЧИСТ К1'!Y17*СПРАВОЧНИК!$O$13+'ФАКТ ЧИСТ К1'!Z17*СПРАВОЧНИК!$P$13)+СПРАВОЧНИК!$E$14*('ФАКТ ЧЕРН К1'!Q17*СПРАВОЧНИК!$H$14+'ФАКТ ЧЕРН К1'!R17*СПРАВОЧНИК!$I$14+'ФАКТ ЧЕРН К1'!S17*СПРАВОЧНИК!$J$14)+СПРАВОЧНИК!$F$14*('ФАКТ ЧИСТ К1'!AA17*СПРАВОЧНИК!$L$14+'ФАКТ ЧИСТ К1'!AB17*СПРАВОЧНИК!$M$14+'ФАКТ ЧИСТ К1'!AC17*СПРАВОЧНИК!$N$14+'ФАКТ ЧИСТ К1'!AD17*СПРАВОЧНИК!$O$14+'ФАКТ ЧИСТ К1'!AE17*СПРАВОЧНИК!$P$14)+СПРАВОЧНИК!$E$15*('ФАКТ ЧЕРН К1'!T17*СПРАВОЧНИК!$H$15+'ФАКТ ЧЕРН К1'!U17*СПРАВОЧНИК!$I$15+'ФАКТ ЧЕРН К1'!V17*СПРАВОЧНИК!$J$15)+СПРАВОЧНИК!$F$15*('ФАКТ ЧИСТ К1'!AF17*СПРАВОЧНИК!$L$15+'ФАКТ ЧИСТ К1'!AG17*СПРАВОЧНИК!$M$15+'ФАКТ ЧИСТ К1'!AH17*СПРАВОЧНИК!$N$15+'ФАКТ ЧИСТ К1'!AI17*СПРАВОЧНИК!$O$15+'ФАКТ ЧИСТ К1'!AJ17*СПРАВОЧНИК!$P$15)</f>
        <v/>
      </c>
      <c r="W26" s="34" t="n"/>
      <c r="Z26" s="152">
        <f>Z25+7</f>
        <v/>
      </c>
      <c r="AA26" s="17">
        <f>'ПЛАН ЧЕРН К1'!B17*СПРАВОЧНИК!$H$9+'ПЛАН ЧЕРН К1'!C17*СПРАВОЧНИК!$I$9+'ПЛАН ЧЕРН К1'!D17*СПРАВОЧНИК!$J$9+'ПЛАН ЧЕРН К1'!E17*СПРАВОЧНИК!$H$10+'ПЛАН ЧЕРН К1'!F17*СПРАВОЧНИК!$I$10+'ПЛАН ЧЕРН К1'!G17*СПРАВОЧНИК!$J$10+'ПЛАН ЧЕРН К1'!H17*СПРАВОЧНИК!$H$11+'ПЛАН ЧЕРН К1'!I17*СПРАВОЧНИК!$I$11+'ПЛАН ЧЕРН К1'!J17*СПРАВОЧНИК!$J$11+'ПЛАН ЧЕРН К1'!K17*СПРАВОЧНИК!$H$12+'ПЛАН ЧЕРН К1'!L17*СПРАВОЧНИК!$I$12+'ПЛАН ЧЕРН К1'!M17*СПРАВОЧНИК!$J$12+'ПЛАН ЧЕРН К1'!N17*СПРАВОЧНИК!$H$13+'ПЛАН ЧЕРН К1'!O17*СПРАВОЧНИК!$I$13+'ПЛАН ЧЕРН К1'!P17*СПРАВОЧНИК!$J$13+'ПЛАН ЧЕРН К1'!Q17*СПРАВОЧНИК!$H$14+'ПЛАН ЧЕРН К1'!R17*СПРАВОЧНИК!$I$14+'ПЛАН ЧЕРН К1'!S17*СПРАВОЧНИК!$J$14+'ПЛАН ЧЕРН К1'!T17*СПРАВОЧНИК!$H$15+'ПЛАН ЧЕРН К1'!U17*СПРАВОЧНИК!$I$15+'ПЛАН ЧЕРН К1'!V17*СПРАВОЧНИК!$J$15</f>
        <v/>
      </c>
      <c r="AB26" s="31">
        <f>('ФАКТ ЧЕРН К1'!B17)*СПРАВОЧНИК!$H$9+('ФАКТ ЧЕРН К1'!C17)*СПРАВОЧНИК!$I$9+('ФАКТ ЧЕРН К1'!D17)*СПРАВОЧНИК!$J$9+('ФАКТ ЧЕРН К1'!E17)*СПРАВОЧНИК!$H$10+('ФАКТ ЧЕРН К1'!F17)*СПРАВОЧНИК!$I$10+('ФАКТ ЧЕРН К1'!G17)*СПРАВОЧНИК!$J$10+('ФАКТ ЧЕРН К1'!H17)*СПРАВОЧНИК!$H$11+('ФАКТ ЧЕРН К1'!I17)*СПРАВОЧНИК!$I$11+('ФАКТ ЧЕРН К1'!J17)*СПРАВОЧНИК!$J$11+('ФАКТ ЧЕРН К1'!K17)*СПРАВОЧНИК!$H$12+('ФАКТ ЧЕРН К1'!L17)*СПРАВОЧНИК!$I$12+('ФАКТ ЧЕРН К1'!M17)*СПРАВОЧНИК!$J$12+('ФАКТ ЧЕРН К1'!N17)*СПРАВОЧНИК!$H$13+('ФАКТ ЧЕРН К1'!O17)*СПРАВОЧНИК!$I$13+('ФАКТ ЧЕРН К1'!P17)*СПРАВОЧНИК!$J$13+('ФАКТ ЧЕРН К1'!Q17)*СПРАВОЧНИК!$H$14+('ФАКТ ЧЕРН К1'!R17)*СПРАВОЧНИК!$I$14+('ФАКТ ЧЕРН К1'!S17)*СПРАВОЧНИК!$J$14+('ФАКТ ЧЕРН К1'!T17)*СПРАВОЧНИК!$H$15+('ФАКТ ЧЕРН К1'!U17)*СПРАВОЧНИК!$I$15+('ФАКТ ЧЕРН К1'!V17)*СПРАВОЧНИК!$J$15</f>
        <v/>
      </c>
      <c r="AC26" s="34" t="n"/>
      <c r="AF26" s="152">
        <f>AF25+7</f>
        <v/>
      </c>
      <c r="AG26" s="17">
        <f>'ПЛАН ЧИСТ К1'!B17*СПРАВОЧНИК!$L$9+'ПЛАН ЧИСТ К1'!C17*СПРАВОЧНИК!$M$9+'ПЛАН ЧИСТ К1'!D17*СПРАВОЧНИК!$N$9+'ПЛАН ЧИСТ К1'!E17*СПРАВОЧНИК!$O$9+'ПЛАН ЧИСТ К1'!F17*СПРАВОЧНИК!$P$9+'ПЛАН ЧИСТ К1'!G17*СПРАВОЧНИК!$L$10+'ПЛАН ЧИСТ К1'!H17*СПРАВОЧНИК!$M$10+'ПЛАН ЧИСТ К1'!I17*СПРАВОЧНИК!$N$10+'ПЛАН ЧИСТ К1'!J17*СПРАВОЧНИК!$O$10+'ПЛАН ЧИСТ К1'!K17*СПРАВОЧНИК!$P$10+'ПЛАН ЧИСТ К1'!L17*СПРАВОЧНИК!$L$11+'ПЛАН ЧИСТ К1'!M17*СПРАВОЧНИК!$M$11+'ПЛАН ЧИСТ К1'!N17*СПРАВОЧНИК!$N$11+'ПЛАН ЧИСТ К1'!O17*СПРАВОЧНИК!$O$11+'ПЛАН ЧИСТ К1'!P17*СПРАВОЧНИК!$P$11+'ПЛАН ЧИСТ К1'!Q17*СПРАВОЧНИК!$L$12+'ПЛАН ЧИСТ К1'!R17*СПРАВОЧНИК!$M$12+'ПЛАН ЧИСТ К1'!S17*СПРАВОЧНИК!$N$12+'ПЛАН ЧИСТ К1'!T17*СПРАВОЧНИК!$O$12+'ПЛАН ЧИСТ К1'!U17*СПРАВОЧНИК!$P$12+'ПЛАН ЧИСТ К1'!V17*СПРАВОЧНИК!$L$13+'ПЛАН ЧИСТ К1'!W17*СПРАВОЧНИК!$M$13+'ПЛАН ЧИСТ К1'!X17*СПРАВОЧНИК!$N$13+'ПЛАН ЧИСТ К1'!Y17*СПРАВОЧНИК!$O$13+'ПЛАН ЧИСТ К1'!Z17*СПРАВОЧНИК!$P$13+'ПЛАН ЧИСТ К1'!AA17*СПРАВОЧНИК!$L$14+'ПЛАН ЧИСТ К1'!AB17*СПРАВОЧНИК!$M$14+'ПЛАН ЧИСТ К1'!AC17*СПРАВОЧНИК!$N$14+'ПЛАН ЧИСТ К1'!AD17*СПРАВОЧНИК!$O$14+'ПЛАН ЧИСТ К1'!AE17*СПРАВОЧНИК!$P$14+'ПЛАН ЧИСТ К1'!AF17*СПРАВОЧНИК!$L$15+'ПЛАН ЧИСТ К1'!AG17*СПРАВОЧНИК!$M$15+'ПЛАН ЧИСТ К1'!AH17*СПРАВОЧНИК!$N$15+'ПЛАН ЧИСТ К1'!AI17*СПРАВОЧНИК!$O$15+'ПЛАН ЧИСТ К1'!AJ17*СПРАВОЧНИК!$P$15</f>
        <v/>
      </c>
      <c r="AH26" s="31">
        <f>('ФАКТ ЧИСТ К1'!B17)*СПРАВОЧНИК!$L$9+('ФАКТ ЧИСТ К1'!C17)*СПРАВОЧНИК!$M$9+('ФАКТ ЧИСТ К1'!D17)*СПРАВОЧНИК!$N$9+('ФАКТ ЧИСТ К1'!E17)*СПРАВОЧНИК!$O$9+('ФАКТ ЧИСТ К1'!F17)*СПРАВОЧНИК!$P$9+('ФАКТ ЧИСТ К1'!G17)*СПРАВОЧНИК!$L$10+('ФАКТ ЧИСТ К1'!H17)*СПРАВОЧНИК!$M$10+('ФАКТ ЧИСТ К1'!I17)*СПРАВОЧНИК!$N$10+('ФАКТ ЧИСТ К1'!J17)*СПРАВОЧНИК!$O$10+('ФАКТ ЧИСТ К1'!K17)*СПРАВОЧНИК!$P$10+('ФАКТ ЧИСТ К1'!L17)*СПРАВОЧНИК!$L$11+('ФАКТ ЧИСТ К1'!M17)*СПРАВОЧНИК!$M$11+('ФАКТ ЧИСТ К1'!N17)*СПРАВОЧНИК!$N$11+('ФАКТ ЧИСТ К1'!O17)*СПРАВОЧНИК!$O$11+('ФАКТ ЧИСТ К1'!P17)*СПРАВОЧНИК!$P$11+('ФАКТ ЧИСТ К1'!Q17)*СПРАВОЧНИК!$L$12+('ФАКТ ЧИСТ К1'!R17)*СПРАВОЧНИК!$M$12+('ФАКТ ЧИСТ К1'!S17)*СПРАВОЧНИК!$N$12+('ФАКТ ЧИСТ К1'!T17)*СПРАВОЧНИК!$O$12+('ФАКТ ЧИСТ К1'!U17)*СПРАВОЧНИК!$P$12+('ФАКТ ЧИСТ К1'!V17)*СПРАВОЧНИК!$L$13+('ФАКТ ЧИСТ К1'!W17)*СПРАВОЧНИК!$M$13+('ФАКТ ЧИСТ К1'!X17)*СПРАВОЧНИК!$N$13+('ФАКТ ЧИСТ К1'!Y17)*СПРАВОЧНИК!$O$13+('ФАКТ ЧИСТ К1'!Z17)*СПРАВОЧНИК!$P$13+('ФАКТ ЧИСТ К1'!AA17)*СПРАВОЧНИК!$L$14+('ФАКТ ЧИСТ К1'!AB17)*СПРАВОЧНИК!$M$14+('ФАКТ ЧИСТ К1'!AC17)*СПРАВОЧНИК!$N$14+('ФАКТ ЧИСТ К1'!AD17)*СПРАВОЧНИК!$O$14+('ФАКТ ЧИСТ К1'!AE17)*СПРАВОЧНИК!$P$14+('ФАКТ ЧИСТ К1'!AF17)*СПРАВОЧНИК!$L$15+('ФАКТ ЧИСТ К1'!AG17)*СПРАВОЧНИК!$M$15+('ФАКТ ЧИСТ К1'!AH17)*СПРАВОЧНИК!$N$15+('ФАКТ ЧИСТ К1'!AI17)*СПРАВОЧНИК!$O$15+('ФАКТ ЧИСТ К1'!AJ17)*СПРАВОЧНИК!$P$15</f>
        <v/>
      </c>
      <c r="AI26" s="34" t="n"/>
      <c r="AL26" s="152">
        <f>AL25+7</f>
        <v/>
      </c>
      <c r="AM26" s="17">
        <f>СПРАВОЧНИК!$E$9*('ПЛАН ЧЕРН К2'!B17*СПРАВОЧНИК!$H$9+'ПЛАН ЧЕРН К2'!C17*СПРАВОЧНИК!$I$9+'ПЛАН ЧЕРН К2'!D17*СПРАВОЧНИК!$J$9)+СПРАВОЧНИК!$F$9*('ПЛАН ЧИСТ К2'!B17*СПРАВОЧНИК!$L$9+'ПЛАН ЧИСТ К2'!C17*СПРАВОЧНИК!$M$9+'ПЛАН ЧИСТ К2'!D17*СПРАВОЧНИК!$N$9+'ПЛАН ЧИСТ К2'!E17*СПРАВОЧНИК!$O$9+'ПЛАН ЧИСТ К2'!F17*СПРАВОЧНИК!$P$9)+СПРАВОЧНИК!$E$10*('ПЛАН ЧЕРН К2'!E17*СПРАВОЧНИК!$H$10+'ПЛАН ЧЕРН К2'!F17*СПРАВОЧНИК!$I$10+'ПЛАН ЧЕРН К2'!G17*СПРАВОЧНИК!$J$10)+СПРАВОЧНИК!$F$10*('ПЛАН ЧИСТ К2'!G17*СПРАВОЧНИК!$L$10+'ПЛАН ЧИСТ К2'!H17*СПРАВОЧНИК!$M$10+'ПЛАН ЧИСТ К2'!I17*СПРАВОЧНИК!$N$10+'ПЛАН ЧИСТ К2'!J17*СПРАВОЧНИК!$O$10+'ПЛАН ЧИСТ К2'!K17*СПРАВОЧНИК!$P$10)+СПРАВОЧНИК!$E$11*('ПЛАН ЧЕРН К2'!H17*СПРАВОЧНИК!$H$11+'ПЛАН ЧЕРН К2'!I17*СПРАВОЧНИК!$I$11+'ПЛАН ЧЕРН К2'!J17*СПРАВОЧНИК!$J$11)+СПРАВОЧНИК!$F$11*('ПЛАН ЧИСТ К2'!L17*СПРАВОЧНИК!$L$11+'ПЛАН ЧИСТ К2'!M17*СПРАВОЧНИК!$M$11+'ПЛАН ЧИСТ К2'!N17*СПРАВОЧНИК!$N$11+'ПЛАН ЧИСТ К2'!O17*СПРАВОЧНИК!$O$11+'ПЛАН ЧИСТ К2'!P17*СПРАВОЧНИК!$P$11)+СПРАВОЧНИК!$E$12*('ПЛАН ЧЕРН К2'!K17*СПРАВОЧНИК!$H$12+'ПЛАН ЧЕРН К2'!L17*СПРАВОЧНИК!$I$12+'ПЛАН ЧЕРН К2'!M17*СПРАВОЧНИК!$J$12)+СПРАВОЧНИК!$F$12*('ПЛАН ЧИСТ К2'!Q17*СПРАВОЧНИК!$L$12+'ПЛАН ЧИСТ К2'!R17*СПРАВОЧНИК!$M$12+'ПЛАН ЧИСТ К2'!S17*СПРАВОЧНИК!$N$12+'ПЛАН ЧИСТ К2'!T17*СПРАВОЧНИК!$O$12+'ПЛАН ЧИСТ К2'!U17*СПРАВОЧНИК!$P$12)+СПРАВОЧНИК!$E$13*('ПЛАН ЧЕРН К2'!N17*СПРАВОЧНИК!$H$13+'ПЛАН ЧЕРН К2'!O17*СПРАВОЧНИК!$I$13+'ПЛАН ЧЕРН К2'!P17*СПРАВОЧНИК!$J$13)+СПРАВОЧНИК!$F$13*('ПЛАН ЧИСТ К2'!V17*СПРАВОЧНИК!$L$13+'ПЛАН ЧИСТ К2'!W17*СПРАВОЧНИК!$M$13+'ПЛАН ЧИСТ К2'!X17*СПРАВОЧНИК!$N$13+'ПЛАН ЧИСТ К2'!Y17*СПРАВОЧНИК!$O$13+'ПЛАН ЧИСТ К2'!Z17*СПРАВОЧНИК!$P$13)+СПРАВОЧНИК!$E$14*('ПЛАН ЧЕРН К2'!Q17*СПРАВОЧНИК!$H$14+'ПЛАН ЧЕРН К2'!R17*СПРАВОЧНИК!$I$14+'ПЛАН ЧЕРН К2'!S17*СПРАВОЧНИК!$J$14)+СПРАВОЧНИК!$F$14*('ПЛАН ЧИСТ К2'!AA17*СПРАВОЧНИК!$L$14+'ПЛАН ЧИСТ К2'!AB17*СПРАВОЧНИК!$M$14+'ПЛАН ЧИСТ К2'!AC17*СПРАВОЧНИК!$N$14+'ПЛАН ЧИСТ К2'!AD17*СПРАВОЧНИК!$O$14+'ПЛАН ЧИСТ К2'!AE17*СПРАВОЧНИК!$P$14)+СПРАВОЧНИК!$E$15*('ПЛАН ЧЕРН К2'!T17*СПРАВОЧНИК!$H$15+'ПЛАН ЧЕРН К2'!U17*СПРАВОЧНИК!$I$15+'ПЛАН ЧЕРН К2'!V17*СПРАВОЧНИК!$J$15)+СПРАВОЧНИК!$F$15*('ПЛАН ЧИСТ К2'!AF17*СПРАВОЧНИК!$L$15+'ПЛАН ЧИСТ К2'!AG17*СПРАВОЧНИК!$M$15+'ПЛАН ЧИСТ К2'!AH17*СПРАВОЧНИК!$N$15+'ПЛАН ЧИСТ К2'!AI17*СПРАВОЧНИК!$O$15+'ПЛАН ЧИСТ К2'!AJ17*СПРАВОЧНИК!$P$15)</f>
        <v/>
      </c>
      <c r="AN26" s="31">
        <f>СПРАВОЧНИК!$E$9*('ФАКТ ЧЕРН К2'!B17*СПРАВОЧНИК!$H$9+'ФАКТ ЧЕРН К2'!C17*СПРАВОЧНИК!$I$9+'ФАКТ ЧЕРН К2'!D17*СПРАВОЧНИК!$J$9)+СПРАВОЧНИК!$F$9*('ФАКТ ЧИСТ К2'!B17*СПРАВОЧНИК!$L$9+'ФАКТ ЧИСТ К2'!C17*СПРАВОЧНИК!$M$9+'ФАКТ ЧИСТ К2'!D17*СПРАВОЧНИК!$N$9+'ФАКТ ЧИСТ К2'!E17*СПРАВОЧНИК!$O$9+'ФАКТ ЧИСТ К2'!F17*СПРАВОЧНИК!$P$9)+СПРАВОЧНИК!$E$10*('ФАКТ ЧЕРН К2'!E17*СПРАВОЧНИК!$H$10+'ФАКТ ЧЕРН К2'!F17*СПРАВОЧНИК!$I$10+'ФАКТ ЧЕРН К2'!G17*СПРАВОЧНИК!$J$10)+СПРАВОЧНИК!$F$10*('ФАКТ ЧИСТ К2'!G17*СПРАВОЧНИК!$L$10+'ФАКТ ЧИСТ К2'!H17*СПРАВОЧНИК!$M$10+'ФАКТ ЧИСТ К2'!I17*СПРАВОЧНИК!$N$10+'ФАКТ ЧИСТ К2'!J17*СПРАВОЧНИК!$O$10+'ФАКТ ЧИСТ К2'!K17*СПРАВОЧНИК!$P$10)+СПРАВОЧНИК!$E$11*('ФАКТ ЧЕРН К2'!H17*СПРАВОЧНИК!$H$11+'ФАКТ ЧЕРН К2'!I17*СПРАВОЧНИК!$I$11+'ФАКТ ЧЕРН К2'!J17*СПРАВОЧНИК!$J$11)+СПРАВОЧНИК!$F$11*('ФАКТ ЧИСТ К2'!L17*СПРАВОЧНИК!$L$11+'ФАКТ ЧИСТ К2'!M17*СПРАВОЧНИК!$M$11+'ФАКТ ЧИСТ К2'!N17*СПРАВОЧНИК!$N$11+'ФАКТ ЧИСТ К2'!O17*СПРАВОЧНИК!$O$11+'ФАКТ ЧИСТ К2'!P17*СПРАВОЧНИК!$P$11)+СПРАВОЧНИК!$E$12*('ФАКТ ЧЕРН К2'!K17*СПРАВОЧНИК!$H$12+'ФАКТ ЧЕРН К2'!L17*СПРАВОЧНИК!$I$12+'ФАКТ ЧЕРН К2'!M17*СПРАВОЧНИК!$J$12)+СПРАВОЧНИК!$F$12*('ФАКТ ЧИСТ К2'!Q17*СПРАВОЧНИК!$L$12+'ФАКТ ЧИСТ К2'!R17*СПРАВОЧНИК!$M$12+'ФАКТ ЧИСТ К2'!S17*СПРАВОЧНИК!$N$12+'ФАКТ ЧИСТ К2'!T17*СПРАВОЧНИК!$O$12+'ФАКТ ЧИСТ К2'!U17*СПРАВОЧНИК!$P$12)+СПРАВОЧНИК!$E$13*('ФАКТ ЧЕРН К2'!N17*СПРАВОЧНИК!$H$13+'ФАКТ ЧЕРН К2'!O17*СПРАВОЧНИК!$I$13+'ФАКТ ЧЕРН К2'!P17*СПРАВОЧНИК!$J$13)+СПРАВОЧНИК!$F$13*('ФАКТ ЧИСТ К2'!V17*СПРАВОЧНИК!$L$13+'ФАКТ ЧИСТ К2'!W17*СПРАВОЧНИК!$M$13+'ФАКТ ЧИСТ К2'!X17*СПРАВОЧНИК!$N$13+'ФАКТ ЧИСТ К2'!Y17*СПРАВОЧНИК!$O$13+'ФАКТ ЧИСТ К2'!Z17*СПРАВОЧНИК!$P$13)+СПРАВОЧНИК!$E$14*('ФАКТ ЧЕРН К2'!Q17*СПРАВОЧНИК!$H$14+'ФАКТ ЧЕРН К2'!R17*СПРАВОЧНИК!$I$14+'ФАКТ ЧЕРН К2'!S17*СПРАВОЧНИК!$J$14)+СПРАВОЧНИК!$F$14*('ФАКТ ЧИСТ К2'!AA17*СПРАВОЧНИК!$L$14+'ФАКТ ЧИСТ К2'!AB17*СПРАВОЧНИК!$M$14+'ФАКТ ЧИСТ К2'!AC17*СПРАВОЧНИК!$N$14+'ФАКТ ЧИСТ К2'!AD17*СПРАВОЧНИК!$O$14+'ФАКТ ЧИСТ К2'!AE17*СПРАВОЧНИК!$P$14)+СПРАВОЧНИК!$E$15*('ФАКТ ЧЕРН К2'!T17*СПРАВОЧНИК!$H$15+'ФАКТ ЧЕРН К2'!U17*СПРАВОЧНИК!$I$15+'ФАКТ ЧЕРН К2'!V17*СПРАВОЧНИК!$J$15)+СПРАВОЧНИК!$F$15*('ФАКТ ЧИСТ К2'!AF17*СПРАВОЧНИК!$L$15+'ФАКТ ЧИСТ К2'!AG17*СПРАВОЧНИК!$M$15+'ФАКТ ЧИСТ К2'!AH17*СПРАВОЧНИК!$N$15+'ФАКТ ЧИСТ К2'!AI17*СПРАВОЧНИК!$O$15+'ФАКТ ЧИСТ К2'!AJ17*СПРАВОЧНИК!$P$15)</f>
        <v/>
      </c>
      <c r="AO26" s="34" t="n"/>
      <c r="AR26" s="152">
        <f>AR25+7</f>
        <v/>
      </c>
      <c r="AS26" s="17">
        <f>'ПЛАН ЧЕРН К2'!B17*СПРАВОЧНИК!$H$9+'ПЛАН ЧЕРН К2'!C17*СПРАВОЧНИК!$I$9+'ПЛАН ЧЕРН К2'!D17*СПРАВОЧНИК!$J$9+'ПЛАН ЧЕРН К2'!E17*СПРАВОЧНИК!$H$10+'ПЛАН ЧЕРН К2'!F17*СПРАВОЧНИК!$I$10+'ПЛАН ЧЕРН К2'!G17*СПРАВОЧНИК!$J$10+'ПЛАН ЧЕРН К2'!H17*СПРАВОЧНИК!$H$11+'ПЛАН ЧЕРН К2'!I17*СПРАВОЧНИК!$I$11+'ПЛАН ЧЕРН К2'!J17*СПРАВОЧНИК!$J$11+'ПЛАН ЧЕРН К2'!K17*СПРАВОЧНИК!$H$12+'ПЛАН ЧЕРН К2'!L17*СПРАВОЧНИК!$I$12+'ПЛАН ЧЕРН К2'!M17*СПРАВОЧНИК!$J$12+'ПЛАН ЧЕРН К2'!N17*СПРАВОЧНИК!$H$13+'ПЛАН ЧЕРН К2'!O17*СПРАВОЧНИК!$I$13+'ПЛАН ЧЕРН К2'!P17*СПРАВОЧНИК!$J$13+'ПЛАН ЧЕРН К2'!Q17*СПРАВОЧНИК!$H$14+'ПЛАН ЧЕРН К2'!R17*СПРАВОЧНИК!$I$14+'ПЛАН ЧЕРН К2'!S17*СПРАВОЧНИК!$J$14+'ПЛАН ЧЕРН К2'!T17*СПРАВОЧНИК!$H$15+'ПЛАН ЧЕРН К2'!U17*СПРАВОЧНИК!$I$15+'ПЛАН ЧЕРН К2'!V17*СПРАВОЧНИК!$J$15</f>
        <v/>
      </c>
      <c r="AT26" s="31">
        <f>('ФАКТ ЧЕРН К2'!B17)*СПРАВОЧНИК!$H$9+('ФАКТ ЧЕРН К2'!C17)*СПРАВОЧНИК!$I$9+('ФАКТ ЧЕРН К2'!D17)*СПРАВОЧНИК!$J$9+('ФАКТ ЧЕРН К2'!E17)*СПРАВОЧНИК!$H$10+('ФАКТ ЧЕРН К2'!F17)*СПРАВОЧНИК!$I$10+('ФАКТ ЧЕРН К2'!G17)*СПРАВОЧНИК!$J$10+('ФАКТ ЧЕРН К2'!H17)*СПРАВОЧНИК!$H$11+('ФАКТ ЧЕРН К2'!I17)*СПРАВОЧНИК!$I$11+('ФАКТ ЧЕРН К2'!J17)*СПРАВОЧНИК!$J$11+('ФАКТ ЧЕРН К2'!K17)*СПРАВОЧНИК!$H$12+('ФАКТ ЧЕРН К2'!L17)*СПРАВОЧНИК!$I$12+('ФАКТ ЧЕРН К2'!M17)*СПРАВОЧНИК!$J$12+('ФАКТ ЧЕРН К2'!N17)*СПРАВОЧНИК!$H$13+('ФАКТ ЧЕРН К2'!O17)*СПРАВОЧНИК!$I$13+('ФАКТ ЧЕРН К2'!P17)*СПРАВОЧНИК!$J$13+('ФАКТ ЧЕРН К2'!Q17)*СПРАВОЧНИК!$H$14+('ФАКТ ЧЕРН К2'!R17)*СПРАВОЧНИК!$I$14+('ФАКТ ЧЕРН К2'!S17)*СПРАВОЧНИК!$J$14+('ФАКТ ЧЕРН К2'!T17)*СПРАВОЧНИК!$H$15+('ФАКТ ЧЕРН К2'!U17)*СПРАВОЧНИК!$I$15+('ФАКТ ЧЕРН К2'!V17)*СПРАВОЧНИК!$J$15</f>
        <v/>
      </c>
      <c r="AU26" s="34" t="n"/>
      <c r="AX26" s="152">
        <f>AX25+7</f>
        <v/>
      </c>
      <c r="AY26" s="17">
        <f>'ПЛАН ЧИСТ К2'!B17*СПРАВОЧНИК!$L$9+'ПЛАН ЧИСТ К2'!C17*СПРАВОЧНИК!$M$9+'ПЛАН ЧИСТ К2'!D17*СПРАВОЧНИК!$N$9+'ПЛАН ЧИСТ К2'!E17*СПРАВОЧНИК!$O$9+'ПЛАН ЧИСТ К2'!F17*СПРАВОЧНИК!$P$9+'ПЛАН ЧИСТ К2'!G17*СПРАВОЧНИК!$L$10+'ПЛАН ЧИСТ К2'!H17*СПРАВОЧНИК!$M$10+'ПЛАН ЧИСТ К2'!I17*СПРАВОЧНИК!$N$10+'ПЛАН ЧИСТ К2'!J17*СПРАВОЧНИК!$O$10+'ПЛАН ЧИСТ К2'!K17*СПРАВОЧНИК!$P$10+'ПЛАН ЧИСТ К2'!L17*СПРАВОЧНИК!$L$11+'ПЛАН ЧИСТ К2'!M17*СПРАВОЧНИК!$M$11+'ПЛАН ЧИСТ К2'!N17*СПРАВОЧНИК!$N$11+'ПЛАН ЧИСТ К2'!O17*СПРАВОЧНИК!$O$11+'ПЛАН ЧИСТ К2'!P17*СПРАВОЧНИК!$P$11+'ПЛАН ЧИСТ К2'!Q17*СПРАВОЧНИК!$L$12+'ПЛАН ЧИСТ К2'!R17*СПРАВОЧНИК!$M$12+'ПЛАН ЧИСТ К2'!S17*СПРАВОЧНИК!$N$12+'ПЛАН ЧИСТ К2'!T17*СПРАВОЧНИК!$O$12+'ПЛАН ЧИСТ К2'!U17*СПРАВОЧНИК!$P$12+'ПЛАН ЧИСТ К2'!V17*СПРАВОЧНИК!$L$13+'ПЛАН ЧИСТ К2'!W17*СПРАВОЧНИК!$M$13+'ПЛАН ЧИСТ К2'!X17*СПРАВОЧНИК!$N$13+'ПЛАН ЧИСТ К2'!Y17*СПРАВОЧНИК!$O$13+'ПЛАН ЧИСТ К2'!Z17*СПРАВОЧНИК!$P$13+'ПЛАН ЧИСТ К2'!AA17*СПРАВОЧНИК!$L$14+'ПЛАН ЧИСТ К2'!AB17*СПРАВОЧНИК!$M$14+'ПЛАН ЧИСТ К2'!AC17*СПРАВОЧНИК!$N$14+'ПЛАН ЧИСТ К2'!AD17*СПРАВОЧНИК!$O$14+'ПЛАН ЧИСТ К2'!AE17*СПРАВОЧНИК!$P$14+'ПЛАН ЧИСТ К2'!AF17*СПРАВОЧНИК!$L$15+'ПЛАН ЧИСТ К2'!AG17*СПРАВОЧНИК!$M$15+'ПЛАН ЧИСТ К2'!AH17*СПРАВОЧНИК!$N$15+'ПЛАН ЧИСТ К2'!AI17*СПРАВОЧНИК!$O$15+'ПЛАН ЧИСТ К2'!AJ17*СПРАВОЧНИК!$P$15</f>
        <v/>
      </c>
      <c r="AZ26" s="31">
        <f>('ФАКТ ЧИСТ К2'!B17)*СПРАВОЧНИК!$L$9+('ФАКТ ЧИСТ К2'!C17)*СПРАВОЧНИК!$M$9+('ФАКТ ЧИСТ К2'!D17)*СПРАВОЧНИК!$N$9+('ФАКТ ЧИСТ К2'!E17)*СПРАВОЧНИК!$O$9+('ФАКТ ЧИСТ К2'!F17)*СПРАВОЧНИК!$P$9+('ФАКТ ЧИСТ К2'!G17)*СПРАВОЧНИК!$L$10+('ФАКТ ЧИСТ К2'!H17)*СПРАВОЧНИК!$M$10+('ФАКТ ЧИСТ К2'!I17)*СПРАВОЧНИК!$N$10+('ФАКТ ЧИСТ К2'!J17)*СПРАВОЧНИК!$O$10+('ФАКТ ЧИСТ К2'!K17)*СПРАВОЧНИК!$P$10+('ФАКТ ЧИСТ К2'!L17)*СПРАВОЧНИК!$L$11+('ФАКТ ЧИСТ К2'!M17)*СПРАВОЧНИК!$M$11+('ФАКТ ЧИСТ К2'!N17)*СПРАВОЧНИК!$N$11+('ФАКТ ЧИСТ К2'!O17)*СПРАВОЧНИК!$O$11+('ФАКТ ЧИСТ К2'!P17)*СПРАВОЧНИК!$P$11+('ФАКТ ЧИСТ К2'!Q17)*СПРАВОЧНИК!$L$12+('ФАКТ ЧИСТ К2'!R17)*СПРАВОЧНИК!$M$12+('ФАКТ ЧИСТ К2'!S17)*СПРАВОЧНИК!$N$12+('ФАКТ ЧИСТ К2'!T17)*СПРАВОЧНИК!$O$12+('ФАКТ ЧИСТ К2'!U17)*СПРАВОЧНИК!$P$12+('ФАКТ ЧИСТ К2'!V17)*СПРАВОЧНИК!$L$13+('ФАКТ ЧИСТ К2'!W17)*СПРАВОЧНИК!$M$13+('ФАКТ ЧИСТ К2'!X17)*СПРАВОЧНИК!$N$13+('ФАКТ ЧИСТ К2'!Y17)*СПРАВОЧНИК!$O$13+('ФАКТ ЧИСТ К2'!Z17)*СПРАВОЧНИК!$P$13+('ФАКТ ЧИСТ К2'!AA17)*СПРАВОЧНИК!$L$14+('ФАКТ ЧИСТ К2'!AB17)*СПРАВОЧНИК!$M$14+('ФАКТ ЧИСТ К2'!AC17)*СПРАВОЧНИК!$N$14+('ФАКТ ЧИСТ К2'!AD17)*СПРАВОЧНИК!$O$14+('ФАКТ ЧИСТ К2'!AE17)*СПРАВОЧНИК!$P$14+('ФАКТ ЧИСТ К2'!AF17)*СПРАВОЧНИК!$L$15+('ФАКТ ЧИСТ К2'!AG17)*СПРАВОЧНИК!$M$15+('ФАКТ ЧИСТ К2'!AH17)*СПРАВОЧНИК!$N$15+('ФАКТ ЧИСТ К2'!AI17)*СПРАВОЧНИК!$O$15+('ФАКТ ЧИСТ К2'!AJ17)*СПРАВОЧНИК!$P$15</f>
        <v/>
      </c>
      <c r="BA26" s="34" t="n"/>
      <c r="BD26" s="152">
        <f>BD25+7</f>
        <v/>
      </c>
      <c r="BE26" s="17">
        <f>СПРАВОЧНИК!$E$9*('ПЛАН ЧЕРН К3'!B17*СПРАВОЧНИК!$H$9+'ПЛАН ЧЕРН К3'!C17*СПРАВОЧНИК!$I$9+'ПЛАН ЧЕРН К3'!D17*СПРАВОЧНИК!$J$9)+СПРАВОЧНИК!$F$9*('ПЛАН ЧИСТ К3'!B17*СПРАВОЧНИК!$L$9+'ПЛАН ЧИСТ К3'!C17*СПРАВОЧНИК!$M$9+'ПЛАН ЧИСТ К3'!D17*СПРАВОЧНИК!$N$9+'ПЛАН ЧИСТ К3'!E17*СПРАВОЧНИК!$O$9+'ПЛАН ЧИСТ К3'!F17*СПРАВОЧНИК!$P$9)+СПРАВОЧНИК!$E$10*('ПЛАН ЧЕРН К3'!E17*СПРАВОЧНИК!$H$10+'ПЛАН ЧЕРН К3'!F17*СПРАВОЧНИК!$I$10+'ПЛАН ЧЕРН К3'!G17*СПРАВОЧНИК!$J$10)+СПРАВОЧНИК!$F$10*('ПЛАН ЧИСТ К3'!G17*СПРАВОЧНИК!$L$10+'ПЛАН ЧИСТ К3'!H17*СПРАВОЧНИК!$M$10+'ПЛАН ЧИСТ К3'!I17*СПРАВОЧНИК!$N$10+'ПЛАН ЧИСТ К3'!J17*СПРАВОЧНИК!$O$10+'ПЛАН ЧИСТ К3'!K17*СПРАВОЧНИК!$P$10)+СПРАВОЧНИК!$E$11*('ПЛАН ЧЕРН К3'!H17*СПРАВОЧНИК!$H$11+'ПЛАН ЧЕРН К3'!I17*СПРАВОЧНИК!$I$11+'ПЛАН ЧЕРН К3'!J17*СПРАВОЧНИК!$J$11)+СПРАВОЧНИК!$F$11*('ПЛАН ЧИСТ К3'!L17*СПРАВОЧНИК!$L$11+'ПЛАН ЧИСТ К3'!M17*СПРАВОЧНИК!$M$11+'ПЛАН ЧИСТ К3'!N17*СПРАВОЧНИК!$N$11+'ПЛАН ЧИСТ К3'!O17*СПРАВОЧНИК!$O$11+'ПЛАН ЧИСТ К3'!P17*СПРАВОЧНИК!$P$11)+СПРАВОЧНИК!$E$12*('ПЛАН ЧЕРН К3'!K17*СПРАВОЧНИК!$H$12+'ПЛАН ЧЕРН К3'!L17*СПРАВОЧНИК!$I$12+'ПЛАН ЧЕРН К3'!M17*СПРАВОЧНИК!$J$12)+СПРАВОЧНИК!$F$12*('ПЛАН ЧИСТ К3'!Q17*СПРАВОЧНИК!$L$12+'ПЛАН ЧИСТ К3'!R17*СПРАВОЧНИК!$M$12+'ПЛАН ЧИСТ К3'!S17*СПРАВОЧНИК!$N$12+'ПЛАН ЧИСТ К3'!T17*СПРАВОЧНИК!$O$12+'ПЛАН ЧИСТ К3'!U17*СПРАВОЧНИК!$P$12)+СПРАВОЧНИК!$E$13*('ПЛАН ЧЕРН К3'!N17*СПРАВОЧНИК!$H$13+'ПЛАН ЧЕРН К3'!O17*СПРАВОЧНИК!$I$13+'ПЛАН ЧЕРН К3'!P17*СПРАВОЧНИК!$J$13)+СПРАВОЧНИК!$F$13*('ПЛАН ЧИСТ К3'!V17*СПРАВОЧНИК!$L$13+'ПЛАН ЧИСТ К3'!W17*СПРАВОЧНИК!$M$13+'ПЛАН ЧИСТ К3'!X17*СПРАВОЧНИК!$N$13+'ПЛАН ЧИСТ К3'!Y17*СПРАВОЧНИК!$O$13+'ПЛАН ЧИСТ К3'!Z17*СПРАВОЧНИК!$P$13)+СПРАВОЧНИК!$E$14*('ПЛАН ЧЕРН К3'!Q17*СПРАВОЧНИК!$H$14+'ПЛАН ЧЕРН К3'!R17*СПРАВОЧНИК!$I$14+'ПЛАН ЧЕРН К3'!S17*СПРАВОЧНИК!$J$14)+СПРАВОЧНИК!$F$14*('ПЛАН ЧИСТ К3'!AA17*СПРАВОЧНИК!$L$14+'ПЛАН ЧИСТ К3'!AB17*СПРАВОЧНИК!$M$14+'ПЛАН ЧИСТ К3'!AC17*СПРАВОЧНИК!$N$14+'ПЛАН ЧИСТ К3'!AD17*СПРАВОЧНИК!$O$14+'ПЛАН ЧИСТ К3'!AE17*СПРАВОЧНИК!$P$14)+СПРАВОЧНИК!$E$15*('ПЛАН ЧЕРН К3'!T17*СПРАВОЧНИК!$H$15+'ПЛАН ЧЕРН К3'!U17*СПРАВОЧНИК!$I$15+'ПЛАН ЧЕРН К3'!V17*СПРАВОЧНИК!$J$15)+СПРАВОЧНИК!$F$15*('ПЛАН ЧИСТ К3'!AF17*СПРАВОЧНИК!$L$15+'ПЛАН ЧИСТ К3'!AG17*СПРАВОЧНИК!$M$15+'ПЛАН ЧИСТ К3'!AH17*СПРАВОЧНИК!$N$15+'ПЛАН ЧИСТ К3'!AI17*СПРАВОЧНИК!$O$15+'ПЛАН ЧИСТ К3'!AJ17*СПРАВОЧНИК!$P$15)</f>
        <v/>
      </c>
      <c r="BF26" s="31">
        <f>СПРАВОЧНИК!$E$9*('ФАКТ ЧЕРН К3'!B17*СПРАВОЧНИК!$H$9+'ФАКТ ЧЕРН К3'!C17*СПРАВОЧНИК!$I$9+'ФАКТ ЧЕРН К3'!D17*СПРАВОЧНИК!$J$9)+СПРАВОЧНИК!$F$9*('ФАКТ ЧИСТ К3'!B17*СПРАВОЧНИК!$L$9+'ФАКТ ЧИСТ К3'!C17*СПРАВОЧНИК!$M$9+'ФАКТ ЧИСТ К3'!D17*СПРАВОЧНИК!$N$9+'ФАКТ ЧИСТ К3'!E17*СПРАВОЧНИК!$O$9+'ФАКТ ЧИСТ К3'!F17*СПРАВОЧНИК!$P$9)+СПРАВОЧНИК!$E$10*('ФАКТ ЧЕРН К3'!E17*СПРАВОЧНИК!$H$10+'ФАКТ ЧЕРН К3'!F17*СПРАВОЧНИК!$I$10+'ФАКТ ЧЕРН К3'!G17*СПРАВОЧНИК!$J$10)+СПРАВОЧНИК!$F$10*('ФАКТ ЧИСТ К3'!G17*СПРАВОЧНИК!$L$10+'ФАКТ ЧИСТ К3'!H17*СПРАВОЧНИК!$M$10+'ФАКТ ЧИСТ К3'!I17*СПРАВОЧНИК!$N$10+'ФАКТ ЧИСТ К3'!J17*СПРАВОЧНИК!$O$10+'ФАКТ ЧИСТ К3'!K17*СПРАВОЧНИК!$P$10)+СПРАВОЧНИК!$E$11*('ФАКТ ЧЕРН К3'!H17*СПРАВОЧНИК!$H$11+'ФАКТ ЧЕРН К3'!I17*СПРАВОЧНИК!$I$11+'ФАКТ ЧЕРН К3'!J17*СПРАВОЧНИК!$J$11)+СПРАВОЧНИК!$F$11*('ФАКТ ЧИСТ К3'!L17*СПРАВОЧНИК!$L$11+'ФАКТ ЧИСТ К3'!M17*СПРАВОЧНИК!$M$11+'ФАКТ ЧИСТ К3'!N17*СПРАВОЧНИК!$N$11+'ФАКТ ЧИСТ К3'!O17*СПРАВОЧНИК!$O$11+'ФАКТ ЧИСТ К3'!P17*СПРАВОЧНИК!$P$11)+СПРАВОЧНИК!$E$12*('ФАКТ ЧЕРН К3'!K17*СПРАВОЧНИК!$H$12+'ФАКТ ЧЕРН К3'!L17*СПРАВОЧНИК!$I$12+'ФАКТ ЧЕРН К3'!M17*СПРАВОЧНИК!$J$12)+СПРАВОЧНИК!$F$12*('ФАКТ ЧИСТ К3'!Q17*СПРАВОЧНИК!$L$12+'ФАКТ ЧИСТ К3'!R17*СПРАВОЧНИК!$M$12+'ФАКТ ЧИСТ К3'!S17*СПРАВОЧНИК!$N$12+'ФАКТ ЧИСТ К3'!T17*СПРАВОЧНИК!$O$12+'ФАКТ ЧИСТ К3'!U17*СПРАВОЧНИК!$P$12)+СПРАВОЧНИК!$E$13*('ФАКТ ЧЕРН К3'!N17*СПРАВОЧНИК!$H$13+'ФАКТ ЧЕРН К3'!O17*СПРАВОЧНИК!$I$13+'ФАКТ ЧЕРН К3'!P17*СПРАВОЧНИК!$J$13)+СПРАВОЧНИК!$F$13*('ФАКТ ЧИСТ К3'!V17*СПРАВОЧНИК!$L$13+'ФАКТ ЧИСТ К3'!W17*СПРАВОЧНИК!$M$13+'ФАКТ ЧИСТ К3'!X17*СПРАВОЧНИК!$N$13+'ФАКТ ЧИСТ К3'!Y17*СПРАВОЧНИК!$O$13+'ФАКТ ЧИСТ К3'!Z17*СПРАВОЧНИК!$P$13)+СПРАВОЧНИК!$E$14*('ФАКТ ЧЕРН К3'!Q17*СПРАВОЧНИК!$H$14+'ФАКТ ЧЕРН К3'!R17*СПРАВОЧНИК!$I$14+'ФАКТ ЧЕРН К3'!S17*СПРАВОЧНИК!$J$14)+СПРАВОЧНИК!$F$14*('ФАКТ ЧИСТ К3'!AA17*СПРАВОЧНИК!$L$14+'ФАКТ ЧИСТ К3'!AB17*СПРАВОЧНИК!$M$14+'ФАКТ ЧИСТ К3'!AC17*СПРАВОЧНИК!$N$14+'ФАКТ ЧИСТ К3'!AD17*СПРАВОЧНИК!$O$14+'ФАКТ ЧИСТ К3'!AE17*СПРАВОЧНИК!$P$14)+СПРАВОЧНИК!$E$15*('ФАКТ ЧЕРН К3'!T17*СПРАВОЧНИК!$H$15+'ФАКТ ЧЕРН К3'!U17*СПРАВОЧНИК!$I$15+'ФАКТ ЧЕРН К3'!V17*СПРАВОЧНИК!$J$15)+СПРАВОЧНИК!$F$15*('ФАКТ ЧИСТ К3'!AF17*СПРАВОЧНИК!$L$15+'ФАКТ ЧИСТ К3'!AG17*СПРАВОЧНИК!$M$15+'ФАКТ ЧИСТ К3'!AH17*СПРАВОЧНИК!$N$15+'ФАКТ ЧИСТ К3'!AI17*СПРАВОЧНИК!$O$15+'ФАКТ ЧИСТ К3'!AJ17*СПРАВОЧНИК!$P$15)</f>
        <v/>
      </c>
      <c r="BG26" s="34" t="n"/>
      <c r="BJ26" s="152">
        <f>BJ25+7</f>
        <v/>
      </c>
      <c r="BK26" s="17">
        <f>'ПЛАН ЧЕРН К3'!B17*СПРАВОЧНИК!$H$9+'ПЛАН ЧЕРН К3'!C17*СПРАВОЧНИК!$I$9+'ПЛАН ЧЕРН К3'!D17*СПРАВОЧНИК!$J$9+'ПЛАН ЧЕРН К3'!E17*СПРАВОЧНИК!$H$10+'ПЛАН ЧЕРН К3'!F17*СПРАВОЧНИК!$I$10+'ПЛАН ЧЕРН К3'!G17*СПРАВОЧНИК!$J$10+'ПЛАН ЧЕРН К3'!H17*СПРАВОЧНИК!$H$11+'ПЛАН ЧЕРН К3'!I17*СПРАВОЧНИК!$I$11+'ПЛАН ЧЕРН К3'!J17*СПРАВОЧНИК!$J$11+'ПЛАН ЧЕРН К3'!K17*СПРАВОЧНИК!$H$12+'ПЛАН ЧЕРН К3'!L17*СПРАВОЧНИК!$I$12+'ПЛАН ЧЕРН К3'!M17*СПРАВОЧНИК!$J$12+'ПЛАН ЧЕРН К3'!N17*СПРАВОЧНИК!$H$13+'ПЛАН ЧЕРН К3'!O17*СПРАВОЧНИК!$I$13+'ПЛАН ЧЕРН К3'!P17*СПРАВОЧНИК!$J$13+'ПЛАН ЧЕРН К3'!Q17*СПРАВОЧНИК!$H$14+'ПЛАН ЧЕРН К3'!R17*СПРАВОЧНИК!$I$14+'ПЛАН ЧЕРН К3'!S17*СПРАВОЧНИК!$J$14+'ПЛАН ЧЕРН К3'!T17*СПРАВОЧНИК!$H$15+'ПЛАН ЧЕРН К3'!U17*СПРАВОЧНИК!$I$15+'ПЛАН ЧЕРН К3'!V17*СПРАВОЧНИК!$J$15</f>
        <v/>
      </c>
      <c r="BL26" s="31">
        <f>('ФАКТ ЧЕРН К3'!B17)*СПРАВОЧНИК!$H$9+('ФАКТ ЧЕРН К3'!C17)*СПРАВОЧНИК!$I$9+('ФАКТ ЧЕРН К3'!D17)*СПРАВОЧНИК!$J$9+('ФАКТ ЧЕРН К3'!E17)*СПРАВОЧНИК!$H$10+('ФАКТ ЧЕРН К3'!F17)*СПРАВОЧНИК!$I$10+('ФАКТ ЧЕРН К3'!G17)*СПРАВОЧНИК!$J$10+('ФАКТ ЧЕРН К3'!H17)*СПРАВОЧНИК!$H$11+('ФАКТ ЧЕРН К3'!I17)*СПРАВОЧНИК!$I$11+('ФАКТ ЧЕРН К3'!J17)*СПРАВОЧНИК!$J$11+('ФАКТ ЧЕРН К3'!K17)*СПРАВОЧНИК!$H$12+('ФАКТ ЧЕРН К3'!L17)*СПРАВОЧНИК!$I$12+('ФАКТ ЧЕРН К3'!M17)*СПРАВОЧНИК!$J$12+('ФАКТ ЧЕРН К3'!N17)*СПРАВОЧНИК!$H$13+('ФАКТ ЧЕРН К3'!O17)*СПРАВОЧНИК!$I$13+('ФАКТ ЧЕРН К3'!P17)*СПРАВОЧНИК!$J$13+('ФАКТ ЧЕРН К3'!Q17)*СПРАВОЧНИК!$H$14+('ФАКТ ЧЕРН К3'!R17)*СПРАВОЧНИК!$I$14+('ФАКТ ЧЕРН К3'!S17)*СПРАВОЧНИК!$J$14+('ФАКТ ЧЕРН К3'!T17)*СПРАВОЧНИК!$H$15+('ФАКТ ЧЕРН К3'!U17)*СПРАВОЧНИК!$I$15+('ФАКТ ЧЕРН К3'!V17)*СПРАВОЧНИК!$J$15</f>
        <v/>
      </c>
      <c r="BM26" s="34" t="n"/>
      <c r="BP26" s="152">
        <f>BP25+7</f>
        <v/>
      </c>
      <c r="BQ26" s="17">
        <f>'ПЛАН ЧИСТ К3'!B17*СПРАВОЧНИК!$L$9+'ПЛАН ЧИСТ К3'!C17*СПРАВОЧНИК!$M$9+'ПЛАН ЧИСТ К3'!D17*СПРАВОЧНИК!$N$9+'ПЛАН ЧИСТ К3'!E17*СПРАВОЧНИК!$O$9+'ПЛАН ЧИСТ К3'!F17*СПРАВОЧНИК!$P$9+'ПЛАН ЧИСТ К3'!G17*СПРАВОЧНИК!$L$10+'ПЛАН ЧИСТ К3'!H17*СПРАВОЧНИК!$M$10+'ПЛАН ЧИСТ К3'!I17*СПРАВОЧНИК!$N$10+'ПЛАН ЧИСТ К3'!J17*СПРАВОЧНИК!$O$10+'ПЛАН ЧИСТ К3'!K17*СПРАВОЧНИК!$P$10+'ПЛАН ЧИСТ К3'!L17*СПРАВОЧНИК!$L$11+'ПЛАН ЧИСТ К3'!M17*СПРАВОЧНИК!$M$11+'ПЛАН ЧИСТ К3'!N17*СПРАВОЧНИК!$N$11+'ПЛАН ЧИСТ К3'!O17*СПРАВОЧНИК!$O$11+'ПЛАН ЧИСТ К3'!P17*СПРАВОЧНИК!$P$11+'ПЛАН ЧИСТ К3'!Q17*СПРАВОЧНИК!$L$12+'ПЛАН ЧИСТ К3'!R17*СПРАВОЧНИК!$M$12+'ПЛАН ЧИСТ К3'!S17*СПРАВОЧНИК!$N$12+'ПЛАН ЧИСТ К3'!T17*СПРАВОЧНИК!$O$12+'ПЛАН ЧИСТ К3'!U17*СПРАВОЧНИК!$P$12+'ПЛАН ЧИСТ К3'!V17*СПРАВОЧНИК!$L$13+'ПЛАН ЧИСТ К3'!W17*СПРАВОЧНИК!$M$13+'ПЛАН ЧИСТ К3'!X17*СПРАВОЧНИК!$N$13+'ПЛАН ЧИСТ К3'!Y17*СПРАВОЧНИК!$O$13+'ПЛАН ЧИСТ К3'!Z17*СПРАВОЧНИК!$P$13+'ПЛАН ЧИСТ К3'!AA17*СПРАВОЧНИК!$L$14+'ПЛАН ЧИСТ К3'!AB17*СПРАВОЧНИК!$M$14+'ПЛАН ЧИСТ К3'!AC17*СПРАВОЧНИК!$N$14+'ПЛАН ЧИСТ К3'!AD17*СПРАВОЧНИК!$O$14+'ПЛАН ЧИСТ К3'!AE17*СПРАВОЧНИК!$P$14+'ПЛАН ЧИСТ К3'!AF17*СПРАВОЧНИК!$L$15+'ПЛАН ЧИСТ К3'!AG17*СПРАВОЧНИК!$M$15+'ПЛАН ЧИСТ К3'!AH17*СПРАВОЧНИК!$N$15+'ПЛАН ЧИСТ К3'!AI17*СПРАВОЧНИК!$O$15+'ПЛАН ЧИСТ К3'!AJ17*СПРАВОЧНИК!$P$15</f>
        <v/>
      </c>
      <c r="BR26" s="31">
        <f>('ФАКТ ЧИСТ К3'!B17)*СПРАВОЧНИК!$L$9+('ФАКТ ЧИСТ К3'!C17)*СПРАВОЧНИК!$M$9+('ФАКТ ЧИСТ К3'!D17)*СПРАВОЧНИК!$N$9+('ФАКТ ЧИСТ К3'!E17)*СПРАВОЧНИК!$O$9+('ФАКТ ЧИСТ К3'!F17)*СПРАВОЧНИК!$P$9+('ФАКТ ЧИСТ К3'!G17)*СПРАВОЧНИК!$L$10+('ФАКТ ЧИСТ К3'!H17)*СПРАВОЧНИК!$M$10+('ФАКТ ЧИСТ К3'!I17)*СПРАВОЧНИК!$N$10+('ФАКТ ЧИСТ К3'!J17)*СПРАВОЧНИК!$O$10+('ФАКТ ЧИСТ К3'!K17)*СПРАВОЧНИК!$P$10+('ФАКТ ЧИСТ К3'!L17)*СПРАВОЧНИК!$L$11+('ФАКТ ЧИСТ К3'!M17)*СПРАВОЧНИК!$M$11+('ФАКТ ЧИСТ К3'!N17)*СПРАВОЧНИК!$N$11+('ФАКТ ЧИСТ К3'!O17)*СПРАВОЧНИК!$O$11+('ФАКТ ЧИСТ К3'!P17)*СПРАВОЧНИК!$P$11+('ФАКТ ЧИСТ К3'!Q17)*СПРАВОЧНИК!$L$12+('ФАКТ ЧИСТ К3'!R17)*СПРАВОЧНИК!$M$12+('ФАКТ ЧИСТ К3'!S17)*СПРАВОЧНИК!$N$12+('ФАКТ ЧИСТ К3'!T17)*СПРАВОЧНИК!$O$12+('ФАКТ ЧИСТ К3'!U17)*СПРАВОЧНИК!$P$12+('ФАКТ ЧИСТ К3'!V17)*СПРАВОЧНИК!$L$13+('ФАКТ ЧИСТ К3'!W17)*СПРАВОЧНИК!$M$13+('ФАКТ ЧИСТ К3'!X17)*СПРАВОЧНИК!$N$13+('ФАКТ ЧИСТ К3'!Y17)*СПРАВОЧНИК!$O$13+('ФАКТ ЧИСТ К3'!Z17)*СПРАВОЧНИК!$P$13+('ФАКТ ЧИСТ К3'!AA17)*СПРАВОЧНИК!$L$14+('ФАКТ ЧИСТ К3'!AB17)*СПРАВОЧНИК!$M$14+('ФАКТ ЧИСТ К3'!AC17)*СПРАВОЧНИК!$N$14+('ФАКТ ЧИСТ К3'!AD17)*СПРАВОЧНИК!$O$14+('ФАКТ ЧИСТ К3'!AE17)*СПРАВОЧНИК!$P$14+('ФАКТ ЧИСТ К3'!AF17)*СПРАВОЧНИК!$L$15+('ФАКТ ЧИСТ К3'!AG17)*СПРАВОЧНИК!$M$15+('ФАКТ ЧИСТ К3'!AH17)*СПРАВОЧНИК!$N$15+('ФАКТ ЧИСТ К3'!AI17)*СПРАВОЧНИК!$O$15+('ФАКТ ЧИСТ К3'!AJ17)*СПРАВОЧНИК!$P$15</f>
        <v/>
      </c>
      <c r="BS26" s="34" t="n"/>
      <c r="BV26" s="152">
        <f>BV25+7</f>
        <v/>
      </c>
      <c r="BW26" s="17">
        <f>U26*СПРАВОЧНИК!$K$28+AM26*СПРАВОЧНИК!$K$29+BE26*СПРАВОЧНИК!$K$30</f>
        <v/>
      </c>
      <c r="BX26" s="31">
        <f>V26*СПРАВОЧНИК!$K$28+AN26*СПРАВОЧНИК!$K$29+BF26*СПРАВОЧНИК!$K$30</f>
        <v/>
      </c>
      <c r="BY26" s="34" t="n"/>
      <c r="CB26" s="152">
        <f>CB25+7</f>
        <v/>
      </c>
      <c r="CC26" s="17">
        <f>AA26*СПРАВОЧНИК!$K$28+AS26*СПРАВОЧНИК!$K$29+BK26*СПРАВОЧНИК!$K$30</f>
        <v/>
      </c>
      <c r="CD26" s="31">
        <f>AB26*СПРАВОЧНИК!$K$28+AT26*СПРАВОЧНИК!$K$29+BL26*СПРАВОЧНИК!$K$30</f>
        <v/>
      </c>
      <c r="CE26" s="34" t="n"/>
      <c r="CH26" s="152">
        <f>CH25+7</f>
        <v/>
      </c>
      <c r="CI26" s="17">
        <f>AG26*СПРАВОЧНИК!$K$28+AY26*СПРАВОЧНИК!$K$29+BQ26*СПРАВОЧНИК!$K$30</f>
        <v/>
      </c>
      <c r="CJ26" s="31">
        <f>AH26*СПРАВОЧНИК!$K$28+AZ26*СПРАВОЧНИК!$K$29+BR26*СПРАВОЧНИК!$K$30</f>
        <v/>
      </c>
      <c r="CK26" s="34" t="n"/>
      <c r="CN26" s="152">
        <f>CN25+7</f>
        <v/>
      </c>
      <c r="CO26" s="17">
        <f>C26*СПРАВОЧНИК!$W$18+BW26*СПРАВОЧНИК!$W$19</f>
        <v/>
      </c>
      <c r="CP26" s="31">
        <f>D26*СПРАВОЧНИК!$W$18+BX26*СПРАВОЧНИК!$W$19</f>
        <v/>
      </c>
      <c r="CQ26" s="34" t="n"/>
      <c r="CT26" s="152">
        <f>CT25+7</f>
        <v/>
      </c>
      <c r="CU26" s="17">
        <f>I26*СПРАВОЧНИК!$W$18+CC26*СПРАВОЧНИК!$W$19</f>
        <v/>
      </c>
      <c r="CV26" s="31">
        <f>J26*СПРАВОЧНИК!$W$18+CD26*СПРАВОЧНИК!$W$19</f>
        <v/>
      </c>
      <c r="CW26" s="34" t="n"/>
      <c r="CZ26" s="152">
        <f>CZ25+7</f>
        <v/>
      </c>
      <c r="DA26" s="17">
        <f>O26*СПРАВОЧНИК!$W$18+CI26*СПРАВОЧНИК!$W$19</f>
        <v/>
      </c>
      <c r="DB26" s="31">
        <f>P26*СПРАВОЧНИК!$W$18+CJ26*СПРАВОЧНИК!$W$19</f>
        <v/>
      </c>
      <c r="DC26" s="34" t="n"/>
    </row>
    <row r="27">
      <c r="B27" s="152">
        <f>B26+7</f>
        <v/>
      </c>
      <c r="C27" s="17">
        <f>СПРАВОЧНИК!$E$3*('ПЛАН ЧЕРН ПОДЗЕМ'!B18*СПРАВОЧНИК!$H$3+'ПЛАН ЧЕРН ПОДЗЕМ'!C18*СПРАВОЧНИК!$I$3+'ПЛАН ЧЕРН ПОДЗЕМ'!D18*СПРАВОЧНИК!$J$3)+СПРАВОЧНИК!$F$3*('ПЛАН ЧИСТ ПОДЗЕМ'!B18*СПРАВОЧНИК!$L$3+'ПЛАН ЧИСТ ПОДЗЕМ'!C18*СПРАВОЧНИК!$M$3+'ПЛАН ЧИСТ ПОДЗЕМ'!D18*СПРАВОЧНИК!$N$3+'ПЛАН ЧИСТ ПОДЗЕМ'!E18*СПРАВОЧНИК!$O$3+'ПЛАН ЧИСТ ПОДЗЕМ'!F18*СПРАВОЧНИК!$P$3)+СПРАВОЧНИК!$E$4*('ПЛАН ЧЕРН ПОДЗЕМ'!E18*СПРАВОЧНИК!$H$4+'ПЛАН ЧЕРН ПОДЗЕМ'!F18*СПРАВОЧНИК!$I$4+'ПЛАН ЧЕРН ПОДЗЕМ'!G18*СПРАВОЧНИК!$J$4)+СПРАВОЧНИК!$F$4*('ПЛАН ЧИСТ ПОДЗЕМ'!G18*СПРАВОЧНИК!$L$4+'ПЛАН ЧИСТ ПОДЗЕМ'!H18*СПРАВОЧНИК!$M$4+'ПЛАН ЧИСТ ПОДЗЕМ'!I18*СПРАВОЧНИК!$N$4+'ПЛАН ЧИСТ ПОДЗЕМ'!J18*СПРАВОЧНИК!$O$4+'ПЛАН ЧИСТ ПОДЗЕМ'!K18*СПРАВОЧНИК!$P$4)+СПРАВОЧНИК!$E$5*('ПЛАН ЧЕРН ПОДЗЕМ'!H18*СПРАВОЧНИК!$H$5+'ПЛАН ЧЕРН ПОДЗЕМ'!I18*СПРАВОЧНИК!$I$5+'ПЛАН ЧЕРН ПОДЗЕМ'!J18*СПРАВОЧНИК!$J$5)+СПРАВОЧНИК!$F$5*('ПЛАН ЧИСТ ПОДЗЕМ'!L18*СПРАВОЧНИК!$L$5+'ПЛАН ЧИСТ ПОДЗЕМ'!M18*СПРАВОЧНИК!$M$5+'ПЛАН ЧИСТ ПОДЗЕМ'!N18*СПРАВОЧНИК!$N$5+'ПЛАН ЧИСТ ПОДЗЕМ'!O18*СПРАВОЧНИК!$O$5+'ПЛАН ЧИСТ ПОДЗЕМ'!P18*СПРАВОЧНИК!$P$5)+СПРАВОЧНИК!$E$6*('ПЛАН ЧЕРН ПОДЗЕМ'!K18*СПРАВОЧНИК!$H$6+'ПЛАН ЧЕРН ПОДЗЕМ'!L18*СПРАВОЧНИК!$I$6+'ПЛАН ЧЕРН ПОДЗЕМ'!M18*СПРАВОЧНИК!$J$6)+СПРАВОЧНИК!$F$6*('ПЛАН ЧИСТ ПОДЗЕМ'!Q18*СПРАВОЧНИК!$L$6+'ПЛАН ЧИСТ ПОДЗЕМ'!R18*СПРАВОЧНИК!$M$6+'ПЛАН ЧИСТ ПОДЗЕМ'!S18*СПРАВОЧНИК!$N$6+'ПЛАН ЧИСТ ПОДЗЕМ'!T18*СПРАВОЧНИК!$O$6+'ПЛАН ЧИСТ ПОДЗЕМ'!U18*СПРАВОЧНИК!$P$6)+СПРАВОЧНИК!$E$7*('ПЛАН ЧЕРН ПОДЗЕМ'!N18*СПРАВОЧНИК!$H$7+'ПЛАН ЧЕРН ПОДЗЕМ'!O18*СПРАВОЧНИК!$I$7+'ПЛАН ЧЕРН ПОДЗЕМ'!P18*СПРАВОЧНИК!$J$7)+СПРАВОЧНИК!$F$7*('ПЛАН ЧИСТ ПОДЗЕМ'!V18*СПРАВОЧНИК!$L$7+'ПЛАН ЧИСТ ПОДЗЕМ'!W18*СПРАВОЧНИК!$M$7+'ПЛАН ЧИСТ ПОДЗЕМ'!X18*СПРАВОЧНИК!$N$7+'ПЛАН ЧИСТ ПОДЗЕМ'!Y18*СПРАВОЧНИК!$O$7+'ПЛАН ЧИСТ ПОДЗЕМ'!Z18*СПРАВОЧНИК!$P$7)+СПРАВОЧНИК!$E$8*('ПЛАН ЧЕРН ПОДЗЕМ'!Q18*СПРАВОЧНИК!$H$8+'ПЛАН ЧЕРН ПОДЗЕМ'!R18*СПРАВОЧНИК!$I$8+'ПЛАН ЧЕРН ПОДЗЕМ'!S18*СПРАВОЧНИК!$J$8)+СПРАВОЧНИК!$F$8*('ПЛАН ЧИСТ ПОДЗЕМ'!AA18*СПРАВОЧНИК!$L$8+'ПЛАН ЧИСТ ПОДЗЕМ'!AB18*СПРАВОЧНИК!$M$8+'ПЛАН ЧИСТ ПОДЗЕМ'!AC18*СПРАВОЧНИК!$N$8+'ПЛАН ЧИСТ ПОДЗЕМ'!AD18*СПРАВОЧНИК!$O$8+'ПЛАН ЧИСТ ПОДЗЕМ'!AE18*СПРАВОЧНИК!$P$8)</f>
        <v/>
      </c>
      <c r="D27" s="31">
        <f>СПРАВОЧНИК!$E$3*('ФАКТ ЧЕРН ПОДЗЕМ'!B18*СПРАВОЧНИК!$H$3+'ФАКТ ЧЕРН ПОДЗЕМ'!C18*СПРАВОЧНИК!$I$3+'ФАКТ ЧЕРН ПОДЗЕМ'!D18*СПРАВОЧНИК!$J$3)+СПРАВОЧНИК!$F$3*('ФАКТ ЧИСТ ПОДЗЕМ'!B18*СПРАВОЧНИК!$L$3+'ФАКТ ЧИСТ ПОДЗЕМ'!C18*СПРАВОЧНИК!$M$3+'ФАКТ ЧИСТ ПОДЗЕМ'!D18*СПРАВОЧНИК!$N$3+'ФАКТ ЧИСТ ПОДЗЕМ'!E18*СПРАВОЧНИК!$O$3+'ФАКТ ЧИСТ ПОДЗЕМ'!F18*СПРАВОЧНИК!$P$3)+СПРАВОЧНИК!$E$4*('ФАКТ ЧЕРН ПОДЗЕМ'!E18*СПРАВОЧНИК!$H$4+'ФАКТ ЧЕРН ПОДЗЕМ'!F18*СПРАВОЧНИК!$I$4+'ФАКТ ЧЕРН ПОДЗЕМ'!G18*СПРАВОЧНИК!$J$4)+СПРАВОЧНИК!$F$4*('ФАКТ ЧИСТ ПОДЗЕМ'!G18*СПРАВОЧНИК!$L$4+'ФАКТ ЧИСТ ПОДЗЕМ'!H18*СПРАВОЧНИК!$M$4+'ФАКТ ЧИСТ ПОДЗЕМ'!I18*СПРАВОЧНИК!$N$4+'ФАКТ ЧИСТ ПОДЗЕМ'!J18*СПРАВОЧНИК!$O$4+'ФАКТ ЧИСТ ПОДЗЕМ'!K18*СПРАВОЧНИК!$P$4)+СПРАВОЧНИК!$E$5*('ФАКТ ЧЕРН ПОДЗЕМ'!H18*СПРАВОЧНИК!$H$5+'ФАКТ ЧЕРН ПОДЗЕМ'!I18*СПРАВОЧНИК!$I$5+'ФАКТ ЧЕРН ПОДЗЕМ'!J18*СПРАВОЧНИК!$J$5)+СПРАВОЧНИК!$F$5*('ФАКТ ЧИСТ ПОДЗЕМ'!L18*СПРАВОЧНИК!$L$5+'ФАКТ ЧИСТ ПОДЗЕМ'!M18*СПРАВОЧНИК!$M$5+'ФАКТ ЧИСТ ПОДЗЕМ'!N18*СПРАВОЧНИК!$N$5+'ФАКТ ЧИСТ ПОДЗЕМ'!O18*СПРАВОЧНИК!$O$5+'ФАКТ ЧИСТ ПОДЗЕМ'!P18*СПРАВОЧНИК!$P$5)+СПРАВОЧНИК!$E$6*('ФАКТ ЧЕРН ПОДЗЕМ'!K18*СПРАВОЧНИК!$H$6+'ФАКТ ЧЕРН ПОДЗЕМ'!L18*СПРАВОЧНИК!$I$6+'ФАКТ ЧЕРН ПОДЗЕМ'!M18*СПРАВОЧНИК!$J$6)+СПРАВОЧНИК!$F$6*('ФАКТ ЧИСТ ПОДЗЕМ'!Q18*СПРАВОЧНИК!$L$6+'ФАКТ ЧИСТ ПОДЗЕМ'!R18*СПРАВОЧНИК!$M$6+'ФАКТ ЧИСТ ПОДЗЕМ'!S18*СПРАВОЧНИК!$N$6+'ФАКТ ЧИСТ ПОДЗЕМ'!T18*СПРАВОЧНИК!$O$6+'ФАКТ ЧИСТ ПОДЗЕМ'!U18*СПРАВОЧНИК!$P$6)+СПРАВОЧНИК!$E$7*('ФАКТ ЧЕРН ПОДЗЕМ'!N18*СПРАВОЧНИК!$H$7+'ФАКТ ЧЕРН ПОДЗЕМ'!O18*СПРАВОЧНИК!$I$7+'ФАКТ ЧЕРН ПОДЗЕМ'!P18*СПРАВОЧНИК!$J$7)+СПРАВОЧНИК!$F$7*('ФАКТ ЧИСТ ПОДЗЕМ'!V18*СПРАВОЧНИК!$L$7+'ФАКТ ЧИСТ ПОДЗЕМ'!W18*СПРАВОЧНИК!$M$7+'ФАКТ ЧИСТ ПОДЗЕМ'!X18*СПРАВОЧНИК!$N$7+'ФАКТ ЧИСТ ПОДЗЕМ'!Y18*СПРАВОЧНИК!$O$7+'ФАКТ ЧИСТ ПОДЗЕМ'!Z18*СПРАВОЧНИК!$P$7)+СПРАВОЧНИК!$E$8*('ФАКТ ЧЕРН ПОДЗЕМ'!Q18*СПРАВОЧНИК!$H$8+'ФАКТ ЧЕРН ПОДЗЕМ'!R18*СПРАВОЧНИК!$I$8+'ФАКТ ЧЕРН ПОДЗЕМ'!S18*СПРАВОЧНИК!$J$8)+СПРАВОЧНИК!$F$8*('ФАКТ ЧИСТ ПОДЗЕМ'!AA18*СПРАВОЧНИК!$L$8+'ФАКТ ЧИСТ ПОДЗЕМ'!AB18*СПРАВОЧНИК!$M$8+'ФАКТ ЧИСТ ПОДЗЕМ'!AC18*СПРАВОЧНИК!$N$8+'ФАКТ ЧИСТ ПОДЗЕМ'!AD18*СПРАВОЧНИК!$O$8+'ФАКТ ЧИСТ ПОДЗЕМ'!AE18*СПРАВОЧНИК!$P$8)</f>
        <v/>
      </c>
      <c r="E27" s="34" t="n"/>
      <c r="H27" s="152">
        <f>H26+7</f>
        <v/>
      </c>
      <c r="I27" s="17">
        <f>'ПЛАН ЧЕРН ПОДЗЕМ'!B18*СПРАВОЧНИК!$H$3+'ПЛАН ЧЕРН ПОДЗЕМ'!C18*СПРАВОЧНИК!$I$3+'ПЛАН ЧЕРН ПОДЗЕМ'!D18*СПРАВОЧНИК!$J$3+'ПЛАН ЧЕРН ПОДЗЕМ'!E18*СПРАВОЧНИК!$H$4+'ПЛАН ЧЕРН ПОДЗЕМ'!F18*СПРАВОЧНИК!$I$4+'ПЛАН ЧЕРН ПОДЗЕМ'!G18*СПРАВОЧНИК!$J$4+'ПЛАН ЧЕРН ПОДЗЕМ'!H18*СПРАВОЧНИК!$H$5+'ПЛАН ЧЕРН ПОДЗЕМ'!I18*СПРАВОЧНИК!$I$5+'ПЛАН ЧЕРН ПОДЗЕМ'!J18*СПРАВОЧНИК!$J$5+'ПЛАН ЧЕРН ПОДЗЕМ'!K18*СПРАВОЧНИК!$H$6+'ПЛАН ЧЕРН ПОДЗЕМ'!L18*СПРАВОЧНИК!$I$6+'ПЛАН ЧЕРН ПОДЗЕМ'!M18*СПРАВОЧНИК!$J$6+'ПЛАН ЧЕРН ПОДЗЕМ'!N18*СПРАВОЧНИК!$H$7+'ПЛАН ЧЕРН ПОДЗЕМ'!O18*СПРАВОЧНИК!$I$7+'ПЛАН ЧЕРН ПОДЗЕМ'!P18*СПРАВОЧНИК!$J$7+'ПЛАН ЧЕРН ПОДЗЕМ'!Q18*СПРАВОЧНИК!$H$8+'ПЛАН ЧЕРН ПОДЗЕМ'!R18*СПРАВОЧНИК!$I$8+'ПЛАН ЧЕРН ПОДЗЕМ'!S18*СПРАВОЧНИК!$J$8</f>
        <v/>
      </c>
      <c r="J27" s="31">
        <f>('ФАКТ ЧЕРН ПОДЗЕМ'!B18)*СПРАВОЧНИК!$H$3+('ФАКТ ЧЕРН ПОДЗЕМ'!C18)*СПРАВОЧНИК!$I$3+('ФАКТ ЧЕРН ПОДЗЕМ'!D18)*СПРАВОЧНИК!$J$3+('ФАКТ ЧЕРН ПОДЗЕМ'!E18)*СПРАВОЧНИК!$H$4+('ФАКТ ЧЕРН ПОДЗЕМ'!F18)*СПРАВОЧНИК!$I$4+('ФАКТ ЧЕРН ПОДЗЕМ'!G18)*СПРАВОЧНИК!$J$4+('ФАКТ ЧЕРН ПОДЗЕМ'!H18)*СПРАВОЧНИК!$H$5+('ФАКТ ЧЕРН ПОДЗЕМ'!I18)*СПРАВОЧНИК!$I$5+('ФАКТ ЧЕРН ПОДЗЕМ'!J18)*СПРАВОЧНИК!$J$5+('ФАКТ ЧЕРН ПОДЗЕМ'!K18)*СПРАВОЧНИК!$H$6+('ФАКТ ЧЕРН ПОДЗЕМ'!L18)*СПРАВОЧНИК!$I$6+('ФАКТ ЧЕРН ПОДЗЕМ'!M18)*СПРАВОЧНИК!$J$6+('ФАКТ ЧЕРН ПОДЗЕМ'!N18)*СПРАВОЧНИК!$H$7+('ФАКТ ЧЕРН ПОДЗЕМ'!O18)*СПРАВОЧНИК!$I$7+('ФАКТ ЧЕРН ПОДЗЕМ'!P18)*СПРАВОЧНИК!$J$7+('ФАКТ ЧЕРН ПОДЗЕМ'!Q18)*СПРАВОЧНИК!$H$8+('ФАКТ ЧЕРН ПОДЗЕМ'!R18)*СПРАВОЧНИК!$I$8+('ФАКТ ЧЕРН ПОДЗЕМ'!S18)*СПРАВОЧНИК!$J$8</f>
        <v/>
      </c>
      <c r="K27" s="34" t="n"/>
      <c r="N27" s="152">
        <f>N26+7</f>
        <v/>
      </c>
      <c r="O27" s="17">
        <f>'ПЛАН ЧИСТ ПОДЗЕМ'!B18*СПРАВОЧНИК!$L$3+'ПЛАН ЧИСТ ПОДЗЕМ'!C18*СПРАВОЧНИК!$M$3+'ПЛАН ЧИСТ ПОДЗЕМ'!D18*СПРАВОЧНИК!$N$3+'ПЛАН ЧИСТ ПОДЗЕМ'!E18*СПРАВОЧНИК!$O$3+'ПЛАН ЧИСТ ПОДЗЕМ'!F18*СПРАВОЧНИК!$P$3+'ПЛАН ЧИСТ ПОДЗЕМ'!G18*СПРАВОЧНИК!$L$4+'ПЛАН ЧИСТ ПОДЗЕМ'!H18*СПРАВОЧНИК!$M$4+'ПЛАН ЧИСТ ПОДЗЕМ'!I18*СПРАВОЧНИК!$N$4+'ПЛАН ЧИСТ ПОДЗЕМ'!J18*СПРАВОЧНИК!$O$4+'ПЛАН ЧИСТ ПОДЗЕМ'!K18*СПРАВОЧНИК!$P$4+'ПЛАН ЧИСТ ПОДЗЕМ'!L18*СПРАВОЧНИК!$L$5+'ПЛАН ЧИСТ ПОДЗЕМ'!M18*СПРАВОЧНИК!$M$5+'ПЛАН ЧИСТ ПОДЗЕМ'!N18*СПРАВОЧНИК!$N$5+'ПЛАН ЧИСТ ПОДЗЕМ'!O18*СПРАВОЧНИК!$O$5+'ПЛАН ЧИСТ ПОДЗЕМ'!P18*СПРАВОЧНИК!$P$5+'ПЛАН ЧИСТ ПОДЗЕМ'!Q18*СПРАВОЧНИК!$L$6+'ПЛАН ЧИСТ ПОДЗЕМ'!R18*СПРАВОЧНИК!$M$6+'ПЛАН ЧИСТ ПОДЗЕМ'!S18*СПРАВОЧНИК!$N$6+'ПЛАН ЧИСТ ПОДЗЕМ'!T18*СПРАВОЧНИК!$O$6+'ПЛАН ЧИСТ ПОДЗЕМ'!U18*СПРАВОЧНИК!$P$6+'ПЛАН ЧИСТ ПОДЗЕМ'!V18*СПРАВОЧНИК!$L$7+'ПЛАН ЧИСТ ПОДЗЕМ'!W18*СПРАВОЧНИК!$M$7+'ПЛАН ЧИСТ ПОДЗЕМ'!X18*СПРАВОЧНИК!$N$7+'ПЛАН ЧИСТ ПОДЗЕМ'!Y18*СПРАВОЧНИК!$O$7+'ПЛАН ЧИСТ ПОДЗЕМ'!Z18*СПРАВОЧНИК!$P$7+'ПЛАН ЧИСТ ПОДЗЕМ'!AA18*СПРАВОЧНИК!$L$8+'ПЛАН ЧИСТ ПОДЗЕМ'!AB18*СПРАВОЧНИК!$M$8+'ПЛАН ЧИСТ ПОДЗЕМ'!AC18*СПРАВОЧНИК!$N$8+'ПЛАН ЧИСТ ПОДЗЕМ'!AD18*СПРАВОЧНИК!$O$8+'ПЛАН ЧИСТ ПОДЗЕМ'!AE18*СПРАВОЧНИК!$P$8</f>
        <v/>
      </c>
      <c r="P27" s="31">
        <f>('ФАКТ ЧИСТ ПОДЗЕМ'!B18)*СПРАВОЧНИК!$L$3+('ФАКТ ЧИСТ ПОДЗЕМ'!C18)*СПРАВОЧНИК!$M$3+('ФАКТ ЧИСТ ПОДЗЕМ'!D18)*СПРАВОЧНИК!$N$3+('ФАКТ ЧИСТ ПОДЗЕМ'!E18)*СПРАВОЧНИК!$O$3+('ФАКТ ЧИСТ ПОДЗЕМ'!F18)*СПРАВОЧНИК!$P$3+('ФАКТ ЧИСТ ПОДЗЕМ'!G18)*СПРАВОЧНИК!$L$4+('ФАКТ ЧИСТ ПОДЗЕМ'!H18)*СПРАВОЧНИК!$M$4+('ФАКТ ЧИСТ ПОДЗЕМ'!I18)*СПРАВОЧНИК!$N$4+('ФАКТ ЧИСТ ПОДЗЕМ'!J18)*СПРАВОЧНИК!$O$4+('ФАКТ ЧИСТ ПОДЗЕМ'!K18)*СПРАВОЧНИК!$P$4+('ФАКТ ЧИСТ ПОДЗЕМ'!L18)*СПРАВОЧНИК!$L$5+('ФАКТ ЧИСТ ПОДЗЕМ'!M18)*СПРАВОЧНИК!$M$5+('ФАКТ ЧИСТ ПОДЗЕМ'!N18)*СПРАВОЧНИК!$N$5+('ФАКТ ЧИСТ ПОДЗЕМ'!O18)*СПРАВОЧНИК!$O$5+('ФАКТ ЧИСТ ПОДЗЕМ'!P18)*СПРАВОЧНИК!$P$5+('ФАКТ ЧИСТ ПОДЗЕМ'!Q18)*СПРАВОЧНИК!$L$6+('ФАКТ ЧИСТ ПОДЗЕМ'!R18)*СПРАВОЧНИК!$M$6+('ФАКТ ЧИСТ ПОДЗЕМ'!S18)*СПРАВОЧНИК!$N$6+('ФАКТ ЧИСТ ПОДЗЕМ'!T18)*СПРАВОЧНИК!$O$6+('ФАКТ ЧИСТ ПОДЗЕМ'!U18)*СПРАВОЧНИК!$P$6+('ФАКТ ЧИСТ ПОДЗЕМ'!V18)*СПРАВОЧНИК!$L$7+('ФАКТ ЧИСТ ПОДЗЕМ'!W18)*СПРАВОЧНИК!$M$7+('ФАКТ ЧИСТ ПОДЗЕМ'!X18)*СПРАВОЧНИК!$N$7+('ФАКТ ЧИСТ ПОДЗЕМ'!Y18)*СПРАВОЧНИК!$O$7+('ФАКТ ЧИСТ ПОДЗЕМ'!Z18)*СПРАВОЧНИК!$P$7+('ФАКТ ЧИСТ ПОДЗЕМ'!AA18)*СПРАВОЧНИК!$L$8+('ФАКТ ЧИСТ ПОДЗЕМ'!AB18)*СПРАВОЧНИК!$M$8+('ФАКТ ЧИСТ ПОДЗЕМ'!AC18)*СПРАВОЧНИК!$N$8+('ФАКТ ЧИСТ ПОДЗЕМ'!AD18)*СПРАВОЧНИК!$O$8+('ФАКТ ЧИСТ ПОДЗЕМ'!AE18)*СПРАВОЧНИК!$P$8</f>
        <v/>
      </c>
      <c r="Q27" s="34" t="n"/>
      <c r="T27" s="152">
        <f>T26+7</f>
        <v/>
      </c>
      <c r="U27" s="17">
        <f>СПРАВОЧНИК!$E$9*('ПЛАН ЧЕРН К1'!B18*СПРАВОЧНИК!$H$9+'ПЛАН ЧЕРН К1'!C18*СПРАВОЧНИК!$I$9+'ПЛАН ЧЕРН К1'!D18*СПРАВОЧНИК!$J$9)+СПРАВОЧНИК!$F$9*('ПЛАН ЧИСТ К1'!B18*СПРАВОЧНИК!$L$9+'ПЛАН ЧИСТ К1'!C18*СПРАВОЧНИК!$M$9+'ПЛАН ЧИСТ К1'!D18*СПРАВОЧНИК!$N$9+'ПЛАН ЧИСТ К1'!E18*СПРАВОЧНИК!$O$9+'ПЛАН ЧИСТ К1'!F18*СПРАВОЧНИК!$P$9)+СПРАВОЧНИК!$E$10*('ПЛАН ЧЕРН К1'!E18*СПРАВОЧНИК!$H$10+'ПЛАН ЧЕРН К1'!F18*СПРАВОЧНИК!$I$10+'ПЛАН ЧЕРН К1'!G18*СПРАВОЧНИК!$J$10)+СПРАВОЧНИК!$F$10*('ПЛАН ЧИСТ К1'!G18*СПРАВОЧНИК!$L$10+'ПЛАН ЧИСТ К1'!H18*СПРАВОЧНИК!$M$10+'ПЛАН ЧИСТ К1'!I18*СПРАВОЧНИК!$N$10+'ПЛАН ЧИСТ К1'!J18*СПРАВОЧНИК!$O$10+'ПЛАН ЧИСТ К1'!K18*СПРАВОЧНИК!$P$10)+СПРАВОЧНИК!$E$11*('ПЛАН ЧЕРН К1'!H18*СПРАВОЧНИК!$H$11+'ПЛАН ЧЕРН К1'!I18*СПРАВОЧНИК!$I$11+'ПЛАН ЧЕРН К1'!J18*СПРАВОЧНИК!$J$11)+СПРАВОЧНИК!$F$11*('ПЛАН ЧИСТ К1'!L18*СПРАВОЧНИК!$L$11+'ПЛАН ЧИСТ К1'!M18*СПРАВОЧНИК!$M$11+'ПЛАН ЧИСТ К1'!N18*СПРАВОЧНИК!$N$11+'ПЛАН ЧИСТ К1'!O18*СПРАВОЧНИК!$O$11+'ПЛАН ЧИСТ К1'!P18*СПРАВОЧНИК!$P$11)+СПРАВОЧНИК!$E$12*('ПЛАН ЧЕРН К1'!K18*СПРАВОЧНИК!$H$12+'ПЛАН ЧЕРН К1'!L18*СПРАВОЧНИК!$I$12+'ПЛАН ЧЕРН К1'!M18*СПРАВОЧНИК!$J$12)+СПРАВОЧНИК!$F$12*('ПЛАН ЧИСТ К1'!Q18*СПРАВОЧНИК!$L$12+'ПЛАН ЧИСТ К1'!R18*СПРАВОЧНИК!$M$12+'ПЛАН ЧИСТ К1'!S18*СПРАВОЧНИК!$N$12+'ПЛАН ЧИСТ К1'!T18*СПРАВОЧНИК!$O$12+'ПЛАН ЧИСТ К1'!U18*СПРАВОЧНИК!$P$12)+СПРАВОЧНИК!$E$13*('ПЛАН ЧЕРН К1'!N18*СПРАВОЧНИК!$H$13+'ПЛАН ЧЕРН К1'!O18*СПРАВОЧНИК!$I$13+'ПЛАН ЧЕРН К1'!P18*СПРАВОЧНИК!$J$13)+СПРАВОЧНИК!$F$13*('ПЛАН ЧИСТ К1'!V18*СПРАВОЧНИК!$L$13+'ПЛАН ЧИСТ К1'!W18*СПРАВОЧНИК!$M$13+'ПЛАН ЧИСТ К1'!X18*СПРАВОЧНИК!$N$13+'ПЛАН ЧИСТ К1'!Y18*СПРАВОЧНИК!$O$13+'ПЛАН ЧИСТ К1'!Z18*СПРАВОЧНИК!$P$13)+СПРАВОЧНИК!$E$14*('ПЛАН ЧЕРН К1'!Q18*СПРАВОЧНИК!$H$14+'ПЛАН ЧЕРН К1'!R18*СПРАВОЧНИК!$I$14+'ПЛАН ЧЕРН К1'!S18*СПРАВОЧНИК!$J$14)+СПРАВОЧНИК!$F$14*('ПЛАН ЧИСТ К1'!AA18*СПРАВОЧНИК!$L$14+'ПЛАН ЧИСТ К1'!AB18*СПРАВОЧНИК!$M$14+'ПЛАН ЧИСТ К1'!AC18*СПРАВОЧНИК!$N$14+'ПЛАН ЧИСТ К1'!AD18*СПРАВОЧНИК!$O$14+'ПЛАН ЧИСТ К1'!AE18*СПРАВОЧНИК!$P$14)+СПРАВОЧНИК!$E$15*('ПЛАН ЧЕРН К1'!T18*СПРАВОЧНИК!$H$15+'ПЛАН ЧЕРН К1'!U18*СПРАВОЧНИК!$I$15+'ПЛАН ЧЕРН К1'!V18*СПРАВОЧНИК!$J$15)+СПРАВОЧНИК!$F$15*('ПЛАН ЧИСТ К1'!AF18*СПРАВОЧНИК!$L$15+'ПЛАН ЧИСТ К1'!AG18*СПРАВОЧНИК!$M$15+'ПЛАН ЧИСТ К1'!AH18*СПРАВОЧНИК!$N$15+'ПЛАН ЧИСТ К1'!AI18*СПРАВОЧНИК!$O$15+'ПЛАН ЧИСТ К1'!AJ18*СПРАВОЧНИК!$P$15)</f>
        <v/>
      </c>
      <c r="V27" s="31">
        <f>СПРАВОЧНИК!$E$9*('ФАКТ ЧЕРН К1'!B18*СПРАВОЧНИК!$H$9+'ФАКТ ЧЕРН К1'!C18*СПРАВОЧНИК!$I$9+'ФАКТ ЧЕРН К1'!D18*СПРАВОЧНИК!$J$9)+СПРАВОЧНИК!$F$9*('ФАКТ ЧИСТ К1'!B18*СПРАВОЧНИК!$L$9+'ФАКТ ЧИСТ К1'!C18*СПРАВОЧНИК!$M$9+'ФАКТ ЧИСТ К1'!D18*СПРАВОЧНИК!$N$9+'ФАКТ ЧИСТ К1'!E18*СПРАВОЧНИК!$O$9+'ФАКТ ЧИСТ К1'!F18*СПРАВОЧНИК!$P$9)+СПРАВОЧНИК!$E$10*('ФАКТ ЧЕРН К1'!E18*СПРАВОЧНИК!$H$10+'ФАКТ ЧЕРН К1'!F18*СПРАВОЧНИК!$I$10+'ФАКТ ЧЕРН К1'!G18*СПРАВОЧНИК!$J$10)+СПРАВОЧНИК!$F$10*('ФАКТ ЧИСТ К1'!G18*СПРАВОЧНИК!$L$10+'ФАКТ ЧИСТ К1'!H18*СПРАВОЧНИК!$M$10+'ФАКТ ЧИСТ К1'!I18*СПРАВОЧНИК!$N$10+'ФАКТ ЧИСТ К1'!J18*СПРАВОЧНИК!$O$10+'ФАКТ ЧИСТ К1'!K18*СПРАВОЧНИК!$P$10)+СПРАВОЧНИК!$E$11*('ФАКТ ЧЕРН К1'!H18*СПРАВОЧНИК!$H$11+'ФАКТ ЧЕРН К1'!I18*СПРАВОЧНИК!$I$11+'ФАКТ ЧЕРН К1'!J18*СПРАВОЧНИК!$J$11)+СПРАВОЧНИК!$F$11*('ФАКТ ЧИСТ К1'!L18*СПРАВОЧНИК!$L$11+'ФАКТ ЧИСТ К1'!M18*СПРАВОЧНИК!$M$11+'ФАКТ ЧИСТ К1'!N18*СПРАВОЧНИК!$N$11+'ФАКТ ЧИСТ К1'!O18*СПРАВОЧНИК!$O$11+'ФАКТ ЧИСТ К1'!P18*СПРАВОЧНИК!$P$11)+СПРАВОЧНИК!$E$12*('ФАКТ ЧЕРН К1'!K18*СПРАВОЧНИК!$H$12+'ФАКТ ЧЕРН К1'!L18*СПРАВОЧНИК!$I$12+'ФАКТ ЧЕРН К1'!M18*СПРАВОЧНИК!$J$12)+СПРАВОЧНИК!$F$12*('ФАКТ ЧИСТ К1'!Q18*СПРАВОЧНИК!$L$12+'ФАКТ ЧИСТ К1'!R18*СПРАВОЧНИК!$M$12+'ФАКТ ЧИСТ К1'!S18*СПРАВОЧНИК!$N$12+'ФАКТ ЧИСТ К1'!T18*СПРАВОЧНИК!$O$12+'ФАКТ ЧИСТ К1'!U18*СПРАВОЧНИК!$P$12)+СПРАВОЧНИК!$E$13*('ФАКТ ЧЕРН К1'!N18*СПРАВОЧНИК!$H$13+'ФАКТ ЧЕРН К1'!O18*СПРАВОЧНИК!$I$13+'ФАКТ ЧЕРН К1'!P18*СПРАВОЧНИК!$J$13)+СПРАВОЧНИК!$F$13*('ФАКТ ЧИСТ К1'!V18*СПРАВОЧНИК!$L$13+'ФАКТ ЧИСТ К1'!W18*СПРАВОЧНИК!$M$13+'ФАКТ ЧИСТ К1'!X18*СПРАВОЧНИК!$N$13+'ФАКТ ЧИСТ К1'!Y18*СПРАВОЧНИК!$O$13+'ФАКТ ЧИСТ К1'!Z18*СПРАВОЧНИК!$P$13)+СПРАВОЧНИК!$E$14*('ФАКТ ЧЕРН К1'!Q18*СПРАВОЧНИК!$H$14+'ФАКТ ЧЕРН К1'!R18*СПРАВОЧНИК!$I$14+'ФАКТ ЧЕРН К1'!S18*СПРАВОЧНИК!$J$14)+СПРАВОЧНИК!$F$14*('ФАКТ ЧИСТ К1'!AA18*СПРАВОЧНИК!$L$14+'ФАКТ ЧИСТ К1'!AB18*СПРАВОЧНИК!$M$14+'ФАКТ ЧИСТ К1'!AC18*СПРАВОЧНИК!$N$14+'ФАКТ ЧИСТ К1'!AD18*СПРАВОЧНИК!$O$14+'ФАКТ ЧИСТ К1'!AE18*СПРАВОЧНИК!$P$14)+СПРАВОЧНИК!$E$15*('ФАКТ ЧЕРН К1'!T18*СПРАВОЧНИК!$H$15+'ФАКТ ЧЕРН К1'!U18*СПРАВОЧНИК!$I$15+'ФАКТ ЧЕРН К1'!V18*СПРАВОЧНИК!$J$15)+СПРАВОЧНИК!$F$15*('ФАКТ ЧИСТ К1'!AF18*СПРАВОЧНИК!$L$15+'ФАКТ ЧИСТ К1'!AG18*СПРАВОЧНИК!$M$15+'ФАКТ ЧИСТ К1'!AH18*СПРАВОЧНИК!$N$15+'ФАКТ ЧИСТ К1'!AI18*СПРАВОЧНИК!$O$15+'ФАКТ ЧИСТ К1'!AJ18*СПРАВОЧНИК!$P$15)</f>
        <v/>
      </c>
      <c r="W27" s="34" t="n"/>
      <c r="Z27" s="152">
        <f>Z26+7</f>
        <v/>
      </c>
      <c r="AA27" s="17">
        <f>'ПЛАН ЧЕРН К1'!B18*СПРАВОЧНИК!$H$9+'ПЛАН ЧЕРН К1'!C18*СПРАВОЧНИК!$I$9+'ПЛАН ЧЕРН К1'!D18*СПРАВОЧНИК!$J$9+'ПЛАН ЧЕРН К1'!E18*СПРАВОЧНИК!$H$10+'ПЛАН ЧЕРН К1'!F18*СПРАВОЧНИК!$I$10+'ПЛАН ЧЕРН К1'!G18*СПРАВОЧНИК!$J$10+'ПЛАН ЧЕРН К1'!H18*СПРАВОЧНИК!$H$11+'ПЛАН ЧЕРН К1'!I18*СПРАВОЧНИК!$I$11+'ПЛАН ЧЕРН К1'!J18*СПРАВОЧНИК!$J$11+'ПЛАН ЧЕРН К1'!K18*СПРАВОЧНИК!$H$12+'ПЛАН ЧЕРН К1'!L18*СПРАВОЧНИК!$I$12+'ПЛАН ЧЕРН К1'!M18*СПРАВОЧНИК!$J$12+'ПЛАН ЧЕРН К1'!N18*СПРАВОЧНИК!$H$13+'ПЛАН ЧЕРН К1'!O18*СПРАВОЧНИК!$I$13+'ПЛАН ЧЕРН К1'!P18*СПРАВОЧНИК!$J$13+'ПЛАН ЧЕРН К1'!Q18*СПРАВОЧНИК!$H$14+'ПЛАН ЧЕРН К1'!R18*СПРАВОЧНИК!$I$14+'ПЛАН ЧЕРН К1'!S18*СПРАВОЧНИК!$J$14+'ПЛАН ЧЕРН К1'!T18*СПРАВОЧНИК!$H$15+'ПЛАН ЧЕРН К1'!U18*СПРАВОЧНИК!$I$15+'ПЛАН ЧЕРН К1'!V18*СПРАВОЧНИК!$J$15</f>
        <v/>
      </c>
      <c r="AB27" s="31">
        <f>('ФАКТ ЧЕРН К1'!B18)*СПРАВОЧНИК!$H$9+('ФАКТ ЧЕРН К1'!C18)*СПРАВОЧНИК!$I$9+('ФАКТ ЧЕРН К1'!D18)*СПРАВОЧНИК!$J$9+('ФАКТ ЧЕРН К1'!E18)*СПРАВОЧНИК!$H$10+('ФАКТ ЧЕРН К1'!F18)*СПРАВОЧНИК!$I$10+('ФАКТ ЧЕРН К1'!G18)*СПРАВОЧНИК!$J$10+('ФАКТ ЧЕРН К1'!H18)*СПРАВОЧНИК!$H$11+('ФАКТ ЧЕРН К1'!I18)*СПРАВОЧНИК!$I$11+('ФАКТ ЧЕРН К1'!J18)*СПРАВОЧНИК!$J$11+('ФАКТ ЧЕРН К1'!K18)*СПРАВОЧНИК!$H$12+('ФАКТ ЧЕРН К1'!L18)*СПРАВОЧНИК!$I$12+('ФАКТ ЧЕРН К1'!M18)*СПРАВОЧНИК!$J$12+('ФАКТ ЧЕРН К1'!N18)*СПРАВОЧНИК!$H$13+('ФАКТ ЧЕРН К1'!O18)*СПРАВОЧНИК!$I$13+('ФАКТ ЧЕРН К1'!P18)*СПРАВОЧНИК!$J$13+('ФАКТ ЧЕРН К1'!Q18)*СПРАВОЧНИК!$H$14+('ФАКТ ЧЕРН К1'!R18)*СПРАВОЧНИК!$I$14+('ФАКТ ЧЕРН К1'!S18)*СПРАВОЧНИК!$J$14+('ФАКТ ЧЕРН К1'!T18)*СПРАВОЧНИК!$H$15+('ФАКТ ЧЕРН К1'!U18)*СПРАВОЧНИК!$I$15+('ФАКТ ЧЕРН К1'!V18)*СПРАВОЧНИК!$J$15</f>
        <v/>
      </c>
      <c r="AC27" s="34" t="n"/>
      <c r="AF27" s="152">
        <f>AF26+7</f>
        <v/>
      </c>
      <c r="AG27" s="17">
        <f>'ПЛАН ЧИСТ К1'!B18*СПРАВОЧНИК!$L$9+'ПЛАН ЧИСТ К1'!C18*СПРАВОЧНИК!$M$9+'ПЛАН ЧИСТ К1'!D18*СПРАВОЧНИК!$N$9+'ПЛАН ЧИСТ К1'!E18*СПРАВОЧНИК!$O$9+'ПЛАН ЧИСТ К1'!F18*СПРАВОЧНИК!$P$9+'ПЛАН ЧИСТ К1'!G18*СПРАВОЧНИК!$L$10+'ПЛАН ЧИСТ К1'!H18*СПРАВОЧНИК!$M$10+'ПЛАН ЧИСТ К1'!I18*СПРАВОЧНИК!$N$10+'ПЛАН ЧИСТ К1'!J18*СПРАВОЧНИК!$O$10+'ПЛАН ЧИСТ К1'!K18*СПРАВОЧНИК!$P$10+'ПЛАН ЧИСТ К1'!L18*СПРАВОЧНИК!$L$11+'ПЛАН ЧИСТ К1'!M18*СПРАВОЧНИК!$M$11+'ПЛАН ЧИСТ К1'!N18*СПРАВОЧНИК!$N$11+'ПЛАН ЧИСТ К1'!O18*СПРАВОЧНИК!$O$11+'ПЛАН ЧИСТ К1'!P18*СПРАВОЧНИК!$P$11+'ПЛАН ЧИСТ К1'!Q18*СПРАВОЧНИК!$L$12+'ПЛАН ЧИСТ К1'!R18*СПРАВОЧНИК!$M$12+'ПЛАН ЧИСТ К1'!S18*СПРАВОЧНИК!$N$12+'ПЛАН ЧИСТ К1'!T18*СПРАВОЧНИК!$O$12+'ПЛАН ЧИСТ К1'!U18*СПРАВОЧНИК!$P$12+'ПЛАН ЧИСТ К1'!V18*СПРАВОЧНИК!$L$13+'ПЛАН ЧИСТ К1'!W18*СПРАВОЧНИК!$M$13+'ПЛАН ЧИСТ К1'!X18*СПРАВОЧНИК!$N$13+'ПЛАН ЧИСТ К1'!Y18*СПРАВОЧНИК!$O$13+'ПЛАН ЧИСТ К1'!Z18*СПРАВОЧНИК!$P$13+'ПЛАН ЧИСТ К1'!AA18*СПРАВОЧНИК!$L$14+'ПЛАН ЧИСТ К1'!AB18*СПРАВОЧНИК!$M$14+'ПЛАН ЧИСТ К1'!AC18*СПРАВОЧНИК!$N$14+'ПЛАН ЧИСТ К1'!AD18*СПРАВОЧНИК!$O$14+'ПЛАН ЧИСТ К1'!AE18*СПРАВОЧНИК!$P$14+'ПЛАН ЧИСТ К1'!AF18*СПРАВОЧНИК!$L$15+'ПЛАН ЧИСТ К1'!AG18*СПРАВОЧНИК!$M$15+'ПЛАН ЧИСТ К1'!AH18*СПРАВОЧНИК!$N$15+'ПЛАН ЧИСТ К1'!AI18*СПРАВОЧНИК!$O$15+'ПЛАН ЧИСТ К1'!AJ18*СПРАВОЧНИК!$P$15</f>
        <v/>
      </c>
      <c r="AH27" s="31">
        <f>('ФАКТ ЧИСТ К1'!B18)*СПРАВОЧНИК!$L$9+('ФАКТ ЧИСТ К1'!C18)*СПРАВОЧНИК!$M$9+('ФАКТ ЧИСТ К1'!D18)*СПРАВОЧНИК!$N$9+('ФАКТ ЧИСТ К1'!E18)*СПРАВОЧНИК!$O$9+('ФАКТ ЧИСТ К1'!F18)*СПРАВОЧНИК!$P$9+('ФАКТ ЧИСТ К1'!G18)*СПРАВОЧНИК!$L$10+('ФАКТ ЧИСТ К1'!H18)*СПРАВОЧНИК!$M$10+('ФАКТ ЧИСТ К1'!I18)*СПРАВОЧНИК!$N$10+('ФАКТ ЧИСТ К1'!J18)*СПРАВОЧНИК!$O$10+('ФАКТ ЧИСТ К1'!K18)*СПРАВОЧНИК!$P$10+('ФАКТ ЧИСТ К1'!L18)*СПРАВОЧНИК!$L$11+('ФАКТ ЧИСТ К1'!M18)*СПРАВОЧНИК!$M$11+('ФАКТ ЧИСТ К1'!N18)*СПРАВОЧНИК!$N$11+('ФАКТ ЧИСТ К1'!O18)*СПРАВОЧНИК!$O$11+('ФАКТ ЧИСТ К1'!P18)*СПРАВОЧНИК!$P$11+('ФАКТ ЧИСТ К1'!Q18)*СПРАВОЧНИК!$L$12+('ФАКТ ЧИСТ К1'!R18)*СПРАВОЧНИК!$M$12+('ФАКТ ЧИСТ К1'!S18)*СПРАВОЧНИК!$N$12+('ФАКТ ЧИСТ К1'!T18)*СПРАВОЧНИК!$O$12+('ФАКТ ЧИСТ К1'!U18)*СПРАВОЧНИК!$P$12+('ФАКТ ЧИСТ К1'!V18)*СПРАВОЧНИК!$L$13+('ФАКТ ЧИСТ К1'!W18)*СПРАВОЧНИК!$M$13+('ФАКТ ЧИСТ К1'!X18)*СПРАВОЧНИК!$N$13+('ФАКТ ЧИСТ К1'!Y18)*СПРАВОЧНИК!$O$13+('ФАКТ ЧИСТ К1'!Z18)*СПРАВОЧНИК!$P$13+('ФАКТ ЧИСТ К1'!AA18)*СПРАВОЧНИК!$L$14+('ФАКТ ЧИСТ К1'!AB18)*СПРАВОЧНИК!$M$14+('ФАКТ ЧИСТ К1'!AC18)*СПРАВОЧНИК!$N$14+('ФАКТ ЧИСТ К1'!AD18)*СПРАВОЧНИК!$O$14+('ФАКТ ЧИСТ К1'!AE18)*СПРАВОЧНИК!$P$14+('ФАКТ ЧИСТ К1'!AF18)*СПРАВОЧНИК!$L$15+('ФАКТ ЧИСТ К1'!AG18)*СПРАВОЧНИК!$M$15+('ФАКТ ЧИСТ К1'!AH18)*СПРАВОЧНИК!$N$15+('ФАКТ ЧИСТ К1'!AI18)*СПРАВОЧНИК!$O$15+('ФАКТ ЧИСТ К1'!AJ18)*СПРАВОЧНИК!$P$15</f>
        <v/>
      </c>
      <c r="AI27" s="34" t="n"/>
      <c r="AL27" s="152">
        <f>AL26+7</f>
        <v/>
      </c>
      <c r="AM27" s="17">
        <f>СПРАВОЧНИК!$E$9*('ПЛАН ЧЕРН К2'!B18*СПРАВОЧНИК!$H$9+'ПЛАН ЧЕРН К2'!C18*СПРАВОЧНИК!$I$9+'ПЛАН ЧЕРН К2'!D18*СПРАВОЧНИК!$J$9)+СПРАВОЧНИК!$F$9*('ПЛАН ЧИСТ К2'!B18*СПРАВОЧНИК!$L$9+'ПЛАН ЧИСТ К2'!C18*СПРАВОЧНИК!$M$9+'ПЛАН ЧИСТ К2'!D18*СПРАВОЧНИК!$N$9+'ПЛАН ЧИСТ К2'!E18*СПРАВОЧНИК!$O$9+'ПЛАН ЧИСТ К2'!F18*СПРАВОЧНИК!$P$9)+СПРАВОЧНИК!$E$10*('ПЛАН ЧЕРН К2'!E18*СПРАВОЧНИК!$H$10+'ПЛАН ЧЕРН К2'!F18*СПРАВОЧНИК!$I$10+'ПЛАН ЧЕРН К2'!G18*СПРАВОЧНИК!$J$10)+СПРАВОЧНИК!$F$10*('ПЛАН ЧИСТ К2'!G18*СПРАВОЧНИК!$L$10+'ПЛАН ЧИСТ К2'!H18*СПРАВОЧНИК!$M$10+'ПЛАН ЧИСТ К2'!I18*СПРАВОЧНИК!$N$10+'ПЛАН ЧИСТ К2'!J18*СПРАВОЧНИК!$O$10+'ПЛАН ЧИСТ К2'!K18*СПРАВОЧНИК!$P$10)+СПРАВОЧНИК!$E$11*('ПЛАН ЧЕРН К2'!H18*СПРАВОЧНИК!$H$11+'ПЛАН ЧЕРН К2'!I18*СПРАВОЧНИК!$I$11+'ПЛАН ЧЕРН К2'!J18*СПРАВОЧНИК!$J$11)+СПРАВОЧНИК!$F$11*('ПЛАН ЧИСТ К2'!L18*СПРАВОЧНИК!$L$11+'ПЛАН ЧИСТ К2'!M18*СПРАВОЧНИК!$M$11+'ПЛАН ЧИСТ К2'!N18*СПРАВОЧНИК!$N$11+'ПЛАН ЧИСТ К2'!O18*СПРАВОЧНИК!$O$11+'ПЛАН ЧИСТ К2'!P18*СПРАВОЧНИК!$P$11)+СПРАВОЧНИК!$E$12*('ПЛАН ЧЕРН К2'!K18*СПРАВОЧНИК!$H$12+'ПЛАН ЧЕРН К2'!L18*СПРАВОЧНИК!$I$12+'ПЛАН ЧЕРН К2'!M18*СПРАВОЧНИК!$J$12)+СПРАВОЧНИК!$F$12*('ПЛАН ЧИСТ К2'!Q18*СПРАВОЧНИК!$L$12+'ПЛАН ЧИСТ К2'!R18*СПРАВОЧНИК!$M$12+'ПЛАН ЧИСТ К2'!S18*СПРАВОЧНИК!$N$12+'ПЛАН ЧИСТ К2'!T18*СПРАВОЧНИК!$O$12+'ПЛАН ЧИСТ К2'!U18*СПРАВОЧНИК!$P$12)+СПРАВОЧНИК!$E$13*('ПЛАН ЧЕРН К2'!N18*СПРАВОЧНИК!$H$13+'ПЛАН ЧЕРН К2'!O18*СПРАВОЧНИК!$I$13+'ПЛАН ЧЕРН К2'!P18*СПРАВОЧНИК!$J$13)+СПРАВОЧНИК!$F$13*('ПЛАН ЧИСТ К2'!V18*СПРАВОЧНИК!$L$13+'ПЛАН ЧИСТ К2'!W18*СПРАВОЧНИК!$M$13+'ПЛАН ЧИСТ К2'!X18*СПРАВОЧНИК!$N$13+'ПЛАН ЧИСТ К2'!Y18*СПРАВОЧНИК!$O$13+'ПЛАН ЧИСТ К2'!Z18*СПРАВОЧНИК!$P$13)+СПРАВОЧНИК!$E$14*('ПЛАН ЧЕРН К2'!Q18*СПРАВОЧНИК!$H$14+'ПЛАН ЧЕРН К2'!R18*СПРАВОЧНИК!$I$14+'ПЛАН ЧЕРН К2'!S18*СПРАВОЧНИК!$J$14)+СПРАВОЧНИК!$F$14*('ПЛАН ЧИСТ К2'!AA18*СПРАВОЧНИК!$L$14+'ПЛАН ЧИСТ К2'!AB18*СПРАВОЧНИК!$M$14+'ПЛАН ЧИСТ К2'!AC18*СПРАВОЧНИК!$N$14+'ПЛАН ЧИСТ К2'!AD18*СПРАВОЧНИК!$O$14+'ПЛАН ЧИСТ К2'!AE18*СПРАВОЧНИК!$P$14)+СПРАВОЧНИК!$E$15*('ПЛАН ЧЕРН К2'!T18*СПРАВОЧНИК!$H$15+'ПЛАН ЧЕРН К2'!U18*СПРАВОЧНИК!$I$15+'ПЛАН ЧЕРН К2'!V18*СПРАВОЧНИК!$J$15)+СПРАВОЧНИК!$F$15*('ПЛАН ЧИСТ К2'!AF18*СПРАВОЧНИК!$L$15+'ПЛАН ЧИСТ К2'!AG18*СПРАВОЧНИК!$M$15+'ПЛАН ЧИСТ К2'!AH18*СПРАВОЧНИК!$N$15+'ПЛАН ЧИСТ К2'!AI18*СПРАВОЧНИК!$O$15+'ПЛАН ЧИСТ К2'!AJ18*СПРАВОЧНИК!$P$15)</f>
        <v/>
      </c>
      <c r="AN27" s="31">
        <f>СПРАВОЧНИК!$E$9*('ФАКТ ЧЕРН К2'!B18*СПРАВОЧНИК!$H$9+'ФАКТ ЧЕРН К2'!C18*СПРАВОЧНИК!$I$9+'ФАКТ ЧЕРН К2'!D18*СПРАВОЧНИК!$J$9)+СПРАВОЧНИК!$F$9*('ФАКТ ЧИСТ К2'!B18*СПРАВОЧНИК!$L$9+'ФАКТ ЧИСТ К2'!C18*СПРАВОЧНИК!$M$9+'ФАКТ ЧИСТ К2'!D18*СПРАВОЧНИК!$N$9+'ФАКТ ЧИСТ К2'!E18*СПРАВОЧНИК!$O$9+'ФАКТ ЧИСТ К2'!F18*СПРАВОЧНИК!$P$9)+СПРАВОЧНИК!$E$10*('ФАКТ ЧЕРН К2'!E18*СПРАВОЧНИК!$H$10+'ФАКТ ЧЕРН К2'!F18*СПРАВОЧНИК!$I$10+'ФАКТ ЧЕРН К2'!G18*СПРАВОЧНИК!$J$10)+СПРАВОЧНИК!$F$10*('ФАКТ ЧИСТ К2'!G18*СПРАВОЧНИК!$L$10+'ФАКТ ЧИСТ К2'!H18*СПРАВОЧНИК!$M$10+'ФАКТ ЧИСТ К2'!I18*СПРАВОЧНИК!$N$10+'ФАКТ ЧИСТ К2'!J18*СПРАВОЧНИК!$O$10+'ФАКТ ЧИСТ К2'!K18*СПРАВОЧНИК!$P$10)+СПРАВОЧНИК!$E$11*('ФАКТ ЧЕРН К2'!H18*СПРАВОЧНИК!$H$11+'ФАКТ ЧЕРН К2'!I18*СПРАВОЧНИК!$I$11+'ФАКТ ЧЕРН К2'!J18*СПРАВОЧНИК!$J$11)+СПРАВОЧНИК!$F$11*('ФАКТ ЧИСТ К2'!L18*СПРАВОЧНИК!$L$11+'ФАКТ ЧИСТ К2'!M18*СПРАВОЧНИК!$M$11+'ФАКТ ЧИСТ К2'!N18*СПРАВОЧНИК!$N$11+'ФАКТ ЧИСТ К2'!O18*СПРАВОЧНИК!$O$11+'ФАКТ ЧИСТ К2'!P18*СПРАВОЧНИК!$P$11)+СПРАВОЧНИК!$E$12*('ФАКТ ЧЕРН К2'!K18*СПРАВОЧНИК!$H$12+'ФАКТ ЧЕРН К2'!L18*СПРАВОЧНИК!$I$12+'ФАКТ ЧЕРН К2'!M18*СПРАВОЧНИК!$J$12)+СПРАВОЧНИК!$F$12*('ФАКТ ЧИСТ К2'!Q18*СПРАВОЧНИК!$L$12+'ФАКТ ЧИСТ К2'!R18*СПРАВОЧНИК!$M$12+'ФАКТ ЧИСТ К2'!S18*СПРАВОЧНИК!$N$12+'ФАКТ ЧИСТ К2'!T18*СПРАВОЧНИК!$O$12+'ФАКТ ЧИСТ К2'!U18*СПРАВОЧНИК!$P$12)+СПРАВОЧНИК!$E$13*('ФАКТ ЧЕРН К2'!N18*СПРАВОЧНИК!$H$13+'ФАКТ ЧЕРН К2'!O18*СПРАВОЧНИК!$I$13+'ФАКТ ЧЕРН К2'!P18*СПРАВОЧНИК!$J$13)+СПРАВОЧНИК!$F$13*('ФАКТ ЧИСТ К2'!V18*СПРАВОЧНИК!$L$13+'ФАКТ ЧИСТ К2'!W18*СПРАВОЧНИК!$M$13+'ФАКТ ЧИСТ К2'!X18*СПРАВОЧНИК!$N$13+'ФАКТ ЧИСТ К2'!Y18*СПРАВОЧНИК!$O$13+'ФАКТ ЧИСТ К2'!Z18*СПРАВОЧНИК!$P$13)+СПРАВОЧНИК!$E$14*('ФАКТ ЧЕРН К2'!Q18*СПРАВОЧНИК!$H$14+'ФАКТ ЧЕРН К2'!R18*СПРАВОЧНИК!$I$14+'ФАКТ ЧЕРН К2'!S18*СПРАВОЧНИК!$J$14)+СПРАВОЧНИК!$F$14*('ФАКТ ЧИСТ К2'!AA18*СПРАВОЧНИК!$L$14+'ФАКТ ЧИСТ К2'!AB18*СПРАВОЧНИК!$M$14+'ФАКТ ЧИСТ К2'!AC18*СПРАВОЧНИК!$N$14+'ФАКТ ЧИСТ К2'!AD18*СПРАВОЧНИК!$O$14+'ФАКТ ЧИСТ К2'!AE18*СПРАВОЧНИК!$P$14)+СПРАВОЧНИК!$E$15*('ФАКТ ЧЕРН К2'!T18*СПРАВОЧНИК!$H$15+'ФАКТ ЧЕРН К2'!U18*СПРАВОЧНИК!$I$15+'ФАКТ ЧЕРН К2'!V18*СПРАВОЧНИК!$J$15)+СПРАВОЧНИК!$F$15*('ФАКТ ЧИСТ К2'!AF18*СПРАВОЧНИК!$L$15+'ФАКТ ЧИСТ К2'!AG18*СПРАВОЧНИК!$M$15+'ФАКТ ЧИСТ К2'!AH18*СПРАВОЧНИК!$N$15+'ФАКТ ЧИСТ К2'!AI18*СПРАВОЧНИК!$O$15+'ФАКТ ЧИСТ К2'!AJ18*СПРАВОЧНИК!$P$15)</f>
        <v/>
      </c>
      <c r="AO27" s="34" t="n"/>
      <c r="AR27" s="152">
        <f>AR26+7</f>
        <v/>
      </c>
      <c r="AS27" s="17">
        <f>'ПЛАН ЧЕРН К2'!B18*СПРАВОЧНИК!$H$9+'ПЛАН ЧЕРН К2'!C18*СПРАВОЧНИК!$I$9+'ПЛАН ЧЕРН К2'!D18*СПРАВОЧНИК!$J$9+'ПЛАН ЧЕРН К2'!E18*СПРАВОЧНИК!$H$10+'ПЛАН ЧЕРН К2'!F18*СПРАВОЧНИК!$I$10+'ПЛАН ЧЕРН К2'!G18*СПРАВОЧНИК!$J$10+'ПЛАН ЧЕРН К2'!H18*СПРАВОЧНИК!$H$11+'ПЛАН ЧЕРН К2'!I18*СПРАВОЧНИК!$I$11+'ПЛАН ЧЕРН К2'!J18*СПРАВОЧНИК!$J$11+'ПЛАН ЧЕРН К2'!K18*СПРАВОЧНИК!$H$12+'ПЛАН ЧЕРН К2'!L18*СПРАВОЧНИК!$I$12+'ПЛАН ЧЕРН К2'!M18*СПРАВОЧНИК!$J$12+'ПЛАН ЧЕРН К2'!N18*СПРАВОЧНИК!$H$13+'ПЛАН ЧЕРН К2'!O18*СПРАВОЧНИК!$I$13+'ПЛАН ЧЕРН К2'!P18*СПРАВОЧНИК!$J$13+'ПЛАН ЧЕРН К2'!Q18*СПРАВОЧНИК!$H$14+'ПЛАН ЧЕРН К2'!R18*СПРАВОЧНИК!$I$14+'ПЛАН ЧЕРН К2'!S18*СПРАВОЧНИК!$J$14+'ПЛАН ЧЕРН К2'!T18*СПРАВОЧНИК!$H$15+'ПЛАН ЧЕРН К2'!U18*СПРАВОЧНИК!$I$15+'ПЛАН ЧЕРН К2'!V18*СПРАВОЧНИК!$J$15</f>
        <v/>
      </c>
      <c r="AT27" s="31">
        <f>('ФАКТ ЧЕРН К2'!B18)*СПРАВОЧНИК!$H$9+('ФАКТ ЧЕРН К2'!C18)*СПРАВОЧНИК!$I$9+('ФАКТ ЧЕРН К2'!D18)*СПРАВОЧНИК!$J$9+('ФАКТ ЧЕРН К2'!E18)*СПРАВОЧНИК!$H$10+('ФАКТ ЧЕРН К2'!F18)*СПРАВОЧНИК!$I$10+('ФАКТ ЧЕРН К2'!G18)*СПРАВОЧНИК!$J$10+('ФАКТ ЧЕРН К2'!H18)*СПРАВОЧНИК!$H$11+('ФАКТ ЧЕРН К2'!I18)*СПРАВОЧНИК!$I$11+('ФАКТ ЧЕРН К2'!J18)*СПРАВОЧНИК!$J$11+('ФАКТ ЧЕРН К2'!K18)*СПРАВОЧНИК!$H$12+('ФАКТ ЧЕРН К2'!L18)*СПРАВОЧНИК!$I$12+('ФАКТ ЧЕРН К2'!M18)*СПРАВОЧНИК!$J$12+('ФАКТ ЧЕРН К2'!N18)*СПРАВОЧНИК!$H$13+('ФАКТ ЧЕРН К2'!O18)*СПРАВОЧНИК!$I$13+('ФАКТ ЧЕРН К2'!P18)*СПРАВОЧНИК!$J$13+('ФАКТ ЧЕРН К2'!Q18)*СПРАВОЧНИК!$H$14+('ФАКТ ЧЕРН К2'!R18)*СПРАВОЧНИК!$I$14+('ФАКТ ЧЕРН К2'!S18)*СПРАВОЧНИК!$J$14+('ФАКТ ЧЕРН К2'!T18)*СПРАВОЧНИК!$H$15+('ФАКТ ЧЕРН К2'!U18)*СПРАВОЧНИК!$I$15+('ФАКТ ЧЕРН К2'!V18)*СПРАВОЧНИК!$J$15</f>
        <v/>
      </c>
      <c r="AU27" s="34" t="n"/>
      <c r="AX27" s="152">
        <f>AX26+7</f>
        <v/>
      </c>
      <c r="AY27" s="17">
        <f>'ПЛАН ЧИСТ К2'!B18*СПРАВОЧНИК!$L$9+'ПЛАН ЧИСТ К2'!C18*СПРАВОЧНИК!$M$9+'ПЛАН ЧИСТ К2'!D18*СПРАВОЧНИК!$N$9+'ПЛАН ЧИСТ К2'!E18*СПРАВОЧНИК!$O$9+'ПЛАН ЧИСТ К2'!F18*СПРАВОЧНИК!$P$9+'ПЛАН ЧИСТ К2'!G18*СПРАВОЧНИК!$L$10+'ПЛАН ЧИСТ К2'!H18*СПРАВОЧНИК!$M$10+'ПЛАН ЧИСТ К2'!I18*СПРАВОЧНИК!$N$10+'ПЛАН ЧИСТ К2'!J18*СПРАВОЧНИК!$O$10+'ПЛАН ЧИСТ К2'!K18*СПРАВОЧНИК!$P$10+'ПЛАН ЧИСТ К2'!L18*СПРАВОЧНИК!$L$11+'ПЛАН ЧИСТ К2'!M18*СПРАВОЧНИК!$M$11+'ПЛАН ЧИСТ К2'!N18*СПРАВОЧНИК!$N$11+'ПЛАН ЧИСТ К2'!O18*СПРАВОЧНИК!$O$11+'ПЛАН ЧИСТ К2'!P18*СПРАВОЧНИК!$P$11+'ПЛАН ЧИСТ К2'!Q18*СПРАВОЧНИК!$L$12+'ПЛАН ЧИСТ К2'!R18*СПРАВОЧНИК!$M$12+'ПЛАН ЧИСТ К2'!S18*СПРАВОЧНИК!$N$12+'ПЛАН ЧИСТ К2'!T18*СПРАВОЧНИК!$O$12+'ПЛАН ЧИСТ К2'!U18*СПРАВОЧНИК!$P$12+'ПЛАН ЧИСТ К2'!V18*СПРАВОЧНИК!$L$13+'ПЛАН ЧИСТ К2'!W18*СПРАВОЧНИК!$M$13+'ПЛАН ЧИСТ К2'!X18*СПРАВОЧНИК!$N$13+'ПЛАН ЧИСТ К2'!Y18*СПРАВОЧНИК!$O$13+'ПЛАН ЧИСТ К2'!Z18*СПРАВОЧНИК!$P$13+'ПЛАН ЧИСТ К2'!AA18*СПРАВОЧНИК!$L$14+'ПЛАН ЧИСТ К2'!AB18*СПРАВОЧНИК!$M$14+'ПЛАН ЧИСТ К2'!AC18*СПРАВОЧНИК!$N$14+'ПЛАН ЧИСТ К2'!AD18*СПРАВОЧНИК!$O$14+'ПЛАН ЧИСТ К2'!AE18*СПРАВОЧНИК!$P$14+'ПЛАН ЧИСТ К2'!AF18*СПРАВОЧНИК!$L$15+'ПЛАН ЧИСТ К2'!AG18*СПРАВОЧНИК!$M$15+'ПЛАН ЧИСТ К2'!AH18*СПРАВОЧНИК!$N$15+'ПЛАН ЧИСТ К2'!AI18*СПРАВОЧНИК!$O$15+'ПЛАН ЧИСТ К2'!AJ18*СПРАВОЧНИК!$P$15</f>
        <v/>
      </c>
      <c r="AZ27" s="31">
        <f>('ФАКТ ЧИСТ К2'!B18)*СПРАВОЧНИК!$L$9+('ФАКТ ЧИСТ К2'!C18)*СПРАВОЧНИК!$M$9+('ФАКТ ЧИСТ К2'!D18)*СПРАВОЧНИК!$N$9+('ФАКТ ЧИСТ К2'!E18)*СПРАВОЧНИК!$O$9+('ФАКТ ЧИСТ К2'!F18)*СПРАВОЧНИК!$P$9+('ФАКТ ЧИСТ К2'!G18)*СПРАВОЧНИК!$L$10+('ФАКТ ЧИСТ К2'!H18)*СПРАВОЧНИК!$M$10+('ФАКТ ЧИСТ К2'!I18)*СПРАВОЧНИК!$N$10+('ФАКТ ЧИСТ К2'!J18)*СПРАВОЧНИК!$O$10+('ФАКТ ЧИСТ К2'!K18)*СПРАВОЧНИК!$P$10+('ФАКТ ЧИСТ К2'!L18)*СПРАВОЧНИК!$L$11+('ФАКТ ЧИСТ К2'!M18)*СПРАВОЧНИК!$M$11+('ФАКТ ЧИСТ К2'!N18)*СПРАВОЧНИК!$N$11+('ФАКТ ЧИСТ К2'!O18)*СПРАВОЧНИК!$O$11+('ФАКТ ЧИСТ К2'!P18)*СПРАВОЧНИК!$P$11+('ФАКТ ЧИСТ К2'!Q18)*СПРАВОЧНИК!$L$12+('ФАКТ ЧИСТ К2'!R18)*СПРАВОЧНИК!$M$12+('ФАКТ ЧИСТ К2'!S18)*СПРАВОЧНИК!$N$12+('ФАКТ ЧИСТ К2'!T18)*СПРАВОЧНИК!$O$12+('ФАКТ ЧИСТ К2'!U18)*СПРАВОЧНИК!$P$12+('ФАКТ ЧИСТ К2'!V18)*СПРАВОЧНИК!$L$13+('ФАКТ ЧИСТ К2'!W18)*СПРАВОЧНИК!$M$13+('ФАКТ ЧИСТ К2'!X18)*СПРАВОЧНИК!$N$13+('ФАКТ ЧИСТ К2'!Y18)*СПРАВОЧНИК!$O$13+('ФАКТ ЧИСТ К2'!Z18)*СПРАВОЧНИК!$P$13+('ФАКТ ЧИСТ К2'!AA18)*СПРАВОЧНИК!$L$14+('ФАКТ ЧИСТ К2'!AB18)*СПРАВОЧНИК!$M$14+('ФАКТ ЧИСТ К2'!AC18)*СПРАВОЧНИК!$N$14+('ФАКТ ЧИСТ К2'!AD18)*СПРАВОЧНИК!$O$14+('ФАКТ ЧИСТ К2'!AE18)*СПРАВОЧНИК!$P$14+('ФАКТ ЧИСТ К2'!AF18)*СПРАВОЧНИК!$L$15+('ФАКТ ЧИСТ К2'!AG18)*СПРАВОЧНИК!$M$15+('ФАКТ ЧИСТ К2'!AH18)*СПРАВОЧНИК!$N$15+('ФАКТ ЧИСТ К2'!AI18)*СПРАВОЧНИК!$O$15+('ФАКТ ЧИСТ К2'!AJ18)*СПРАВОЧНИК!$P$15</f>
        <v/>
      </c>
      <c r="BA27" s="34" t="n"/>
      <c r="BD27" s="152">
        <f>BD26+7</f>
        <v/>
      </c>
      <c r="BE27" s="17">
        <f>СПРАВОЧНИК!$E$9*('ПЛАН ЧЕРН К3'!B18*СПРАВОЧНИК!$H$9+'ПЛАН ЧЕРН К3'!C18*СПРАВОЧНИК!$I$9+'ПЛАН ЧЕРН К3'!D18*СПРАВОЧНИК!$J$9)+СПРАВОЧНИК!$F$9*('ПЛАН ЧИСТ К3'!B18*СПРАВОЧНИК!$L$9+'ПЛАН ЧИСТ К3'!C18*СПРАВОЧНИК!$M$9+'ПЛАН ЧИСТ К3'!D18*СПРАВОЧНИК!$N$9+'ПЛАН ЧИСТ К3'!E18*СПРАВОЧНИК!$O$9+'ПЛАН ЧИСТ К3'!F18*СПРАВОЧНИК!$P$9)+СПРАВОЧНИК!$E$10*('ПЛАН ЧЕРН К3'!E18*СПРАВОЧНИК!$H$10+'ПЛАН ЧЕРН К3'!F18*СПРАВОЧНИК!$I$10+'ПЛАН ЧЕРН К3'!G18*СПРАВОЧНИК!$J$10)+СПРАВОЧНИК!$F$10*('ПЛАН ЧИСТ К3'!G18*СПРАВОЧНИК!$L$10+'ПЛАН ЧИСТ К3'!H18*СПРАВОЧНИК!$M$10+'ПЛАН ЧИСТ К3'!I18*СПРАВОЧНИК!$N$10+'ПЛАН ЧИСТ К3'!J18*СПРАВОЧНИК!$O$10+'ПЛАН ЧИСТ К3'!K18*СПРАВОЧНИК!$P$10)+СПРАВОЧНИК!$E$11*('ПЛАН ЧЕРН К3'!H18*СПРАВОЧНИК!$H$11+'ПЛАН ЧЕРН К3'!I18*СПРАВОЧНИК!$I$11+'ПЛАН ЧЕРН К3'!J18*СПРАВОЧНИК!$J$11)+СПРАВОЧНИК!$F$11*('ПЛАН ЧИСТ К3'!L18*СПРАВОЧНИК!$L$11+'ПЛАН ЧИСТ К3'!M18*СПРАВОЧНИК!$M$11+'ПЛАН ЧИСТ К3'!N18*СПРАВОЧНИК!$N$11+'ПЛАН ЧИСТ К3'!O18*СПРАВОЧНИК!$O$11+'ПЛАН ЧИСТ К3'!P18*СПРАВОЧНИК!$P$11)+СПРАВОЧНИК!$E$12*('ПЛАН ЧЕРН К3'!K18*СПРАВОЧНИК!$H$12+'ПЛАН ЧЕРН К3'!L18*СПРАВОЧНИК!$I$12+'ПЛАН ЧЕРН К3'!M18*СПРАВОЧНИК!$J$12)+СПРАВОЧНИК!$F$12*('ПЛАН ЧИСТ К3'!Q18*СПРАВОЧНИК!$L$12+'ПЛАН ЧИСТ К3'!R18*СПРАВОЧНИК!$M$12+'ПЛАН ЧИСТ К3'!S18*СПРАВОЧНИК!$N$12+'ПЛАН ЧИСТ К3'!T18*СПРАВОЧНИК!$O$12+'ПЛАН ЧИСТ К3'!U18*СПРАВОЧНИК!$P$12)+СПРАВОЧНИК!$E$13*('ПЛАН ЧЕРН К3'!N18*СПРАВОЧНИК!$H$13+'ПЛАН ЧЕРН К3'!O18*СПРАВОЧНИК!$I$13+'ПЛАН ЧЕРН К3'!P18*СПРАВОЧНИК!$J$13)+СПРАВОЧНИК!$F$13*('ПЛАН ЧИСТ К3'!V18*СПРАВОЧНИК!$L$13+'ПЛАН ЧИСТ К3'!W18*СПРАВОЧНИК!$M$13+'ПЛАН ЧИСТ К3'!X18*СПРАВОЧНИК!$N$13+'ПЛАН ЧИСТ К3'!Y18*СПРАВОЧНИК!$O$13+'ПЛАН ЧИСТ К3'!Z18*СПРАВОЧНИК!$P$13)+СПРАВОЧНИК!$E$14*('ПЛАН ЧЕРН К3'!Q18*СПРАВОЧНИК!$H$14+'ПЛАН ЧЕРН К3'!R18*СПРАВОЧНИК!$I$14+'ПЛАН ЧЕРН К3'!S18*СПРАВОЧНИК!$J$14)+СПРАВОЧНИК!$F$14*('ПЛАН ЧИСТ К3'!AA18*СПРАВОЧНИК!$L$14+'ПЛАН ЧИСТ К3'!AB18*СПРАВОЧНИК!$M$14+'ПЛАН ЧИСТ К3'!AC18*СПРАВОЧНИК!$N$14+'ПЛАН ЧИСТ К3'!AD18*СПРАВОЧНИК!$O$14+'ПЛАН ЧИСТ К3'!AE18*СПРАВОЧНИК!$P$14)+СПРАВОЧНИК!$E$15*('ПЛАН ЧЕРН К3'!T18*СПРАВОЧНИК!$H$15+'ПЛАН ЧЕРН К3'!U18*СПРАВОЧНИК!$I$15+'ПЛАН ЧЕРН К3'!V18*СПРАВОЧНИК!$J$15)+СПРАВОЧНИК!$F$15*('ПЛАН ЧИСТ К3'!AF18*СПРАВОЧНИК!$L$15+'ПЛАН ЧИСТ К3'!AG18*СПРАВОЧНИК!$M$15+'ПЛАН ЧИСТ К3'!AH18*СПРАВОЧНИК!$N$15+'ПЛАН ЧИСТ К3'!AI18*СПРАВОЧНИК!$O$15+'ПЛАН ЧИСТ К3'!AJ18*СПРАВОЧНИК!$P$15)</f>
        <v/>
      </c>
      <c r="BF27" s="31">
        <f>СПРАВОЧНИК!$E$9*('ФАКТ ЧЕРН К3'!B18*СПРАВОЧНИК!$H$9+'ФАКТ ЧЕРН К3'!C18*СПРАВОЧНИК!$I$9+'ФАКТ ЧЕРН К3'!D18*СПРАВОЧНИК!$J$9)+СПРАВОЧНИК!$F$9*('ФАКТ ЧИСТ К3'!B18*СПРАВОЧНИК!$L$9+'ФАКТ ЧИСТ К3'!C18*СПРАВОЧНИК!$M$9+'ФАКТ ЧИСТ К3'!D18*СПРАВОЧНИК!$N$9+'ФАКТ ЧИСТ К3'!E18*СПРАВОЧНИК!$O$9+'ФАКТ ЧИСТ К3'!F18*СПРАВОЧНИК!$P$9)+СПРАВОЧНИК!$E$10*('ФАКТ ЧЕРН К3'!E18*СПРАВОЧНИК!$H$10+'ФАКТ ЧЕРН К3'!F18*СПРАВОЧНИК!$I$10+'ФАКТ ЧЕРН К3'!G18*СПРАВОЧНИК!$J$10)+СПРАВОЧНИК!$F$10*('ФАКТ ЧИСТ К3'!G18*СПРАВОЧНИК!$L$10+'ФАКТ ЧИСТ К3'!H18*СПРАВОЧНИК!$M$10+'ФАКТ ЧИСТ К3'!I18*СПРАВОЧНИК!$N$10+'ФАКТ ЧИСТ К3'!J18*СПРАВОЧНИК!$O$10+'ФАКТ ЧИСТ К3'!K18*СПРАВОЧНИК!$P$10)+СПРАВОЧНИК!$E$11*('ФАКТ ЧЕРН К3'!H18*СПРАВОЧНИК!$H$11+'ФАКТ ЧЕРН К3'!I18*СПРАВОЧНИК!$I$11+'ФАКТ ЧЕРН К3'!J18*СПРАВОЧНИК!$J$11)+СПРАВОЧНИК!$F$11*('ФАКТ ЧИСТ К3'!L18*СПРАВОЧНИК!$L$11+'ФАКТ ЧИСТ К3'!M18*СПРАВОЧНИК!$M$11+'ФАКТ ЧИСТ К3'!N18*СПРАВОЧНИК!$N$11+'ФАКТ ЧИСТ К3'!O18*СПРАВОЧНИК!$O$11+'ФАКТ ЧИСТ К3'!P18*СПРАВОЧНИК!$P$11)+СПРАВОЧНИК!$E$12*('ФАКТ ЧЕРН К3'!K18*СПРАВОЧНИК!$H$12+'ФАКТ ЧЕРН К3'!L18*СПРАВОЧНИК!$I$12+'ФАКТ ЧЕРН К3'!M18*СПРАВОЧНИК!$J$12)+СПРАВОЧНИК!$F$12*('ФАКТ ЧИСТ К3'!Q18*СПРАВОЧНИК!$L$12+'ФАКТ ЧИСТ К3'!R18*СПРАВОЧНИК!$M$12+'ФАКТ ЧИСТ К3'!S18*СПРАВОЧНИК!$N$12+'ФАКТ ЧИСТ К3'!T18*СПРАВОЧНИК!$O$12+'ФАКТ ЧИСТ К3'!U18*СПРАВОЧНИК!$P$12)+СПРАВОЧНИК!$E$13*('ФАКТ ЧЕРН К3'!N18*СПРАВОЧНИК!$H$13+'ФАКТ ЧЕРН К3'!O18*СПРАВОЧНИК!$I$13+'ФАКТ ЧЕРН К3'!P18*СПРАВОЧНИК!$J$13)+СПРАВОЧНИК!$F$13*('ФАКТ ЧИСТ К3'!V18*СПРАВОЧНИК!$L$13+'ФАКТ ЧИСТ К3'!W18*СПРАВОЧНИК!$M$13+'ФАКТ ЧИСТ К3'!X18*СПРАВОЧНИК!$N$13+'ФАКТ ЧИСТ К3'!Y18*СПРАВОЧНИК!$O$13+'ФАКТ ЧИСТ К3'!Z18*СПРАВОЧНИК!$P$13)+СПРАВОЧНИК!$E$14*('ФАКТ ЧЕРН К3'!Q18*СПРАВОЧНИК!$H$14+'ФАКТ ЧЕРН К3'!R18*СПРАВОЧНИК!$I$14+'ФАКТ ЧЕРН К3'!S18*СПРАВОЧНИК!$J$14)+СПРАВОЧНИК!$F$14*('ФАКТ ЧИСТ К3'!AA18*СПРАВОЧНИК!$L$14+'ФАКТ ЧИСТ К3'!AB18*СПРАВОЧНИК!$M$14+'ФАКТ ЧИСТ К3'!AC18*СПРАВОЧНИК!$N$14+'ФАКТ ЧИСТ К3'!AD18*СПРАВОЧНИК!$O$14+'ФАКТ ЧИСТ К3'!AE18*СПРАВОЧНИК!$P$14)+СПРАВОЧНИК!$E$15*('ФАКТ ЧЕРН К3'!T18*СПРАВОЧНИК!$H$15+'ФАКТ ЧЕРН К3'!U18*СПРАВОЧНИК!$I$15+'ФАКТ ЧЕРН К3'!V18*СПРАВОЧНИК!$J$15)+СПРАВОЧНИК!$F$15*('ФАКТ ЧИСТ К3'!AF18*СПРАВОЧНИК!$L$15+'ФАКТ ЧИСТ К3'!AG18*СПРАВОЧНИК!$M$15+'ФАКТ ЧИСТ К3'!AH18*СПРАВОЧНИК!$N$15+'ФАКТ ЧИСТ К3'!AI18*СПРАВОЧНИК!$O$15+'ФАКТ ЧИСТ К3'!AJ18*СПРАВОЧНИК!$P$15)</f>
        <v/>
      </c>
      <c r="BG27" s="34" t="n"/>
      <c r="BJ27" s="152">
        <f>BJ26+7</f>
        <v/>
      </c>
      <c r="BK27" s="17">
        <f>'ПЛАН ЧЕРН К3'!B18*СПРАВОЧНИК!$H$9+'ПЛАН ЧЕРН К3'!C18*СПРАВОЧНИК!$I$9+'ПЛАН ЧЕРН К3'!D18*СПРАВОЧНИК!$J$9+'ПЛАН ЧЕРН К3'!E18*СПРАВОЧНИК!$H$10+'ПЛАН ЧЕРН К3'!F18*СПРАВОЧНИК!$I$10+'ПЛАН ЧЕРН К3'!G18*СПРАВОЧНИК!$J$10+'ПЛАН ЧЕРН К3'!H18*СПРАВОЧНИК!$H$11+'ПЛАН ЧЕРН К3'!I18*СПРАВОЧНИК!$I$11+'ПЛАН ЧЕРН К3'!J18*СПРАВОЧНИК!$J$11+'ПЛАН ЧЕРН К3'!K18*СПРАВОЧНИК!$H$12+'ПЛАН ЧЕРН К3'!L18*СПРАВОЧНИК!$I$12+'ПЛАН ЧЕРН К3'!M18*СПРАВОЧНИК!$J$12+'ПЛАН ЧЕРН К3'!N18*СПРАВОЧНИК!$H$13+'ПЛАН ЧЕРН К3'!O18*СПРАВОЧНИК!$I$13+'ПЛАН ЧЕРН К3'!P18*СПРАВОЧНИК!$J$13+'ПЛАН ЧЕРН К3'!Q18*СПРАВОЧНИК!$H$14+'ПЛАН ЧЕРН К3'!R18*СПРАВОЧНИК!$I$14+'ПЛАН ЧЕРН К3'!S18*СПРАВОЧНИК!$J$14+'ПЛАН ЧЕРН К3'!T18*СПРАВОЧНИК!$H$15+'ПЛАН ЧЕРН К3'!U18*СПРАВОЧНИК!$I$15+'ПЛАН ЧЕРН К3'!V18*СПРАВОЧНИК!$J$15</f>
        <v/>
      </c>
      <c r="BL27" s="31">
        <f>('ФАКТ ЧЕРН К3'!B18)*СПРАВОЧНИК!$H$9+('ФАКТ ЧЕРН К3'!C18)*СПРАВОЧНИК!$I$9+('ФАКТ ЧЕРН К3'!D18)*СПРАВОЧНИК!$J$9+('ФАКТ ЧЕРН К3'!E18)*СПРАВОЧНИК!$H$10+('ФАКТ ЧЕРН К3'!F18)*СПРАВОЧНИК!$I$10+('ФАКТ ЧЕРН К3'!G18)*СПРАВОЧНИК!$J$10+('ФАКТ ЧЕРН К3'!H18)*СПРАВОЧНИК!$H$11+('ФАКТ ЧЕРН К3'!I18)*СПРАВОЧНИК!$I$11+('ФАКТ ЧЕРН К3'!J18)*СПРАВОЧНИК!$J$11+('ФАКТ ЧЕРН К3'!K18)*СПРАВОЧНИК!$H$12+('ФАКТ ЧЕРН К3'!L18)*СПРАВОЧНИК!$I$12+('ФАКТ ЧЕРН К3'!M18)*СПРАВОЧНИК!$J$12+('ФАКТ ЧЕРН К3'!N18)*СПРАВОЧНИК!$H$13+('ФАКТ ЧЕРН К3'!O18)*СПРАВОЧНИК!$I$13+('ФАКТ ЧЕРН К3'!P18)*СПРАВОЧНИК!$J$13+('ФАКТ ЧЕРН К3'!Q18)*СПРАВОЧНИК!$H$14+('ФАКТ ЧЕРН К3'!R18)*СПРАВОЧНИК!$I$14+('ФАКТ ЧЕРН К3'!S18)*СПРАВОЧНИК!$J$14+('ФАКТ ЧЕРН К3'!T18)*СПРАВОЧНИК!$H$15+('ФАКТ ЧЕРН К3'!U18)*СПРАВОЧНИК!$I$15+('ФАКТ ЧЕРН К3'!V18)*СПРАВОЧНИК!$J$15</f>
        <v/>
      </c>
      <c r="BM27" s="34" t="n"/>
      <c r="BP27" s="152">
        <f>BP26+7</f>
        <v/>
      </c>
      <c r="BQ27" s="17">
        <f>'ПЛАН ЧИСТ К3'!B18*СПРАВОЧНИК!$L$9+'ПЛАН ЧИСТ К3'!C18*СПРАВОЧНИК!$M$9+'ПЛАН ЧИСТ К3'!D18*СПРАВОЧНИК!$N$9+'ПЛАН ЧИСТ К3'!E18*СПРАВОЧНИК!$O$9+'ПЛАН ЧИСТ К3'!F18*СПРАВОЧНИК!$P$9+'ПЛАН ЧИСТ К3'!G18*СПРАВОЧНИК!$L$10+'ПЛАН ЧИСТ К3'!H18*СПРАВОЧНИК!$M$10+'ПЛАН ЧИСТ К3'!I18*СПРАВОЧНИК!$N$10+'ПЛАН ЧИСТ К3'!J18*СПРАВОЧНИК!$O$10+'ПЛАН ЧИСТ К3'!K18*СПРАВОЧНИК!$P$10+'ПЛАН ЧИСТ К3'!L18*СПРАВОЧНИК!$L$11+'ПЛАН ЧИСТ К3'!M18*СПРАВОЧНИК!$M$11+'ПЛАН ЧИСТ К3'!N18*СПРАВОЧНИК!$N$11+'ПЛАН ЧИСТ К3'!O18*СПРАВОЧНИК!$O$11+'ПЛАН ЧИСТ К3'!P18*СПРАВОЧНИК!$P$11+'ПЛАН ЧИСТ К3'!Q18*СПРАВОЧНИК!$L$12+'ПЛАН ЧИСТ К3'!R18*СПРАВОЧНИК!$M$12+'ПЛАН ЧИСТ К3'!S18*СПРАВОЧНИК!$N$12+'ПЛАН ЧИСТ К3'!T18*СПРАВОЧНИК!$O$12+'ПЛАН ЧИСТ К3'!U18*СПРАВОЧНИК!$P$12+'ПЛАН ЧИСТ К3'!V18*СПРАВОЧНИК!$L$13+'ПЛАН ЧИСТ К3'!W18*СПРАВОЧНИК!$M$13+'ПЛАН ЧИСТ К3'!X18*СПРАВОЧНИК!$N$13+'ПЛАН ЧИСТ К3'!Y18*СПРАВОЧНИК!$O$13+'ПЛАН ЧИСТ К3'!Z18*СПРАВОЧНИК!$P$13+'ПЛАН ЧИСТ К3'!AA18*СПРАВОЧНИК!$L$14+'ПЛАН ЧИСТ К3'!AB18*СПРАВОЧНИК!$M$14+'ПЛАН ЧИСТ К3'!AC18*СПРАВОЧНИК!$N$14+'ПЛАН ЧИСТ К3'!AD18*СПРАВОЧНИК!$O$14+'ПЛАН ЧИСТ К3'!AE18*СПРАВОЧНИК!$P$14+'ПЛАН ЧИСТ К3'!AF18*СПРАВОЧНИК!$L$15+'ПЛАН ЧИСТ К3'!AG18*СПРАВОЧНИК!$M$15+'ПЛАН ЧИСТ К3'!AH18*СПРАВОЧНИК!$N$15+'ПЛАН ЧИСТ К3'!AI18*СПРАВОЧНИК!$O$15+'ПЛАН ЧИСТ К3'!AJ18*СПРАВОЧНИК!$P$15</f>
        <v/>
      </c>
      <c r="BR27" s="31">
        <f>('ФАКТ ЧИСТ К3'!B18)*СПРАВОЧНИК!$L$9+('ФАКТ ЧИСТ К3'!C18)*СПРАВОЧНИК!$M$9+('ФАКТ ЧИСТ К3'!D18)*СПРАВОЧНИК!$N$9+('ФАКТ ЧИСТ К3'!E18)*СПРАВОЧНИК!$O$9+('ФАКТ ЧИСТ К3'!F18)*СПРАВОЧНИК!$P$9+('ФАКТ ЧИСТ К3'!G18)*СПРАВОЧНИК!$L$10+('ФАКТ ЧИСТ К3'!H18)*СПРАВОЧНИК!$M$10+('ФАКТ ЧИСТ К3'!I18)*СПРАВОЧНИК!$N$10+('ФАКТ ЧИСТ К3'!J18)*СПРАВОЧНИК!$O$10+('ФАКТ ЧИСТ К3'!K18)*СПРАВОЧНИК!$P$10+('ФАКТ ЧИСТ К3'!L18)*СПРАВОЧНИК!$L$11+('ФАКТ ЧИСТ К3'!M18)*СПРАВОЧНИК!$M$11+('ФАКТ ЧИСТ К3'!N18)*СПРАВОЧНИК!$N$11+('ФАКТ ЧИСТ К3'!O18)*СПРАВОЧНИК!$O$11+('ФАКТ ЧИСТ К3'!P18)*СПРАВОЧНИК!$P$11+('ФАКТ ЧИСТ К3'!Q18)*СПРАВОЧНИК!$L$12+('ФАКТ ЧИСТ К3'!R18)*СПРАВОЧНИК!$M$12+('ФАКТ ЧИСТ К3'!S18)*СПРАВОЧНИК!$N$12+('ФАКТ ЧИСТ К3'!T18)*СПРАВОЧНИК!$O$12+('ФАКТ ЧИСТ К3'!U18)*СПРАВОЧНИК!$P$12+('ФАКТ ЧИСТ К3'!V18)*СПРАВОЧНИК!$L$13+('ФАКТ ЧИСТ К3'!W18)*СПРАВОЧНИК!$M$13+('ФАКТ ЧИСТ К3'!X18)*СПРАВОЧНИК!$N$13+('ФАКТ ЧИСТ К3'!Y18)*СПРАВОЧНИК!$O$13+('ФАКТ ЧИСТ К3'!Z18)*СПРАВОЧНИК!$P$13+('ФАКТ ЧИСТ К3'!AA18)*СПРАВОЧНИК!$L$14+('ФАКТ ЧИСТ К3'!AB18)*СПРАВОЧНИК!$M$14+('ФАКТ ЧИСТ К3'!AC18)*СПРАВОЧНИК!$N$14+('ФАКТ ЧИСТ К3'!AD18)*СПРАВОЧНИК!$O$14+('ФАКТ ЧИСТ К3'!AE18)*СПРАВОЧНИК!$P$14+('ФАКТ ЧИСТ К3'!AF18)*СПРАВОЧНИК!$L$15+('ФАКТ ЧИСТ К3'!AG18)*СПРАВОЧНИК!$M$15+('ФАКТ ЧИСТ К3'!AH18)*СПРАВОЧНИК!$N$15+('ФАКТ ЧИСТ К3'!AI18)*СПРАВОЧНИК!$O$15+('ФАКТ ЧИСТ К3'!AJ18)*СПРАВОЧНИК!$P$15</f>
        <v/>
      </c>
      <c r="BS27" s="34" t="n"/>
      <c r="BV27" s="152">
        <f>BV26+7</f>
        <v/>
      </c>
      <c r="BW27" s="17">
        <f>U27*СПРАВОЧНИК!$K$28+AM27*СПРАВОЧНИК!$K$29+BE27*СПРАВОЧНИК!$K$30</f>
        <v/>
      </c>
      <c r="BX27" s="31">
        <f>V27*СПРАВОЧНИК!$K$28+AN27*СПРАВОЧНИК!$K$29+BF27*СПРАВОЧНИК!$K$30</f>
        <v/>
      </c>
      <c r="BY27" s="34" t="n"/>
      <c r="CB27" s="152">
        <f>CB26+7</f>
        <v/>
      </c>
      <c r="CC27" s="17">
        <f>AA27*СПРАВОЧНИК!$K$28+AS27*СПРАВОЧНИК!$K$29+BK27*СПРАВОЧНИК!$K$30</f>
        <v/>
      </c>
      <c r="CD27" s="31">
        <f>AB27*СПРАВОЧНИК!$K$28+AT27*СПРАВОЧНИК!$K$29+BL27*СПРАВОЧНИК!$K$30</f>
        <v/>
      </c>
      <c r="CE27" s="34" t="n"/>
      <c r="CH27" s="152">
        <f>CH26+7</f>
        <v/>
      </c>
      <c r="CI27" s="17">
        <f>AG27*СПРАВОЧНИК!$K$28+AY27*СПРАВОЧНИК!$K$29+BQ27*СПРАВОЧНИК!$K$30</f>
        <v/>
      </c>
      <c r="CJ27" s="31">
        <f>AH27*СПРАВОЧНИК!$K$28+AZ27*СПРАВОЧНИК!$K$29+BR27*СПРАВОЧНИК!$K$30</f>
        <v/>
      </c>
      <c r="CK27" s="34" t="n"/>
      <c r="CN27" s="152">
        <f>CN26+7</f>
        <v/>
      </c>
      <c r="CO27" s="17">
        <f>C27*СПРАВОЧНИК!$W$18+BW27*СПРАВОЧНИК!$W$19</f>
        <v/>
      </c>
      <c r="CP27" s="31">
        <f>D27*СПРАВОЧНИК!$W$18+BX27*СПРАВОЧНИК!$W$19</f>
        <v/>
      </c>
      <c r="CQ27" s="34" t="n"/>
      <c r="CT27" s="152">
        <f>CT26+7</f>
        <v/>
      </c>
      <c r="CU27" s="17">
        <f>I27*СПРАВОЧНИК!$W$18+CC27*СПРАВОЧНИК!$W$19</f>
        <v/>
      </c>
      <c r="CV27" s="31">
        <f>J27*СПРАВОЧНИК!$W$18+CD27*СПРАВОЧНИК!$W$19</f>
        <v/>
      </c>
      <c r="CW27" s="34" t="n"/>
      <c r="CZ27" s="152">
        <f>CZ26+7</f>
        <v/>
      </c>
      <c r="DA27" s="17">
        <f>O27*СПРАВОЧНИК!$W$18+CI27*СПРАВОЧНИК!$W$19</f>
        <v/>
      </c>
      <c r="DB27" s="31">
        <f>P27*СПРАВОЧНИК!$W$18+CJ27*СПРАВОЧНИК!$W$19</f>
        <v/>
      </c>
      <c r="DC27" s="34" t="n"/>
    </row>
    <row r="28">
      <c r="B28" s="152">
        <f>B27+7</f>
        <v/>
      </c>
      <c r="C28" s="17">
        <f>СПРАВОЧНИК!$E$3*('ПЛАН ЧЕРН ПОДЗЕМ'!B19*СПРАВОЧНИК!$H$3+'ПЛАН ЧЕРН ПОДЗЕМ'!C19*СПРАВОЧНИК!$I$3+'ПЛАН ЧЕРН ПОДЗЕМ'!D19*СПРАВОЧНИК!$J$3)+СПРАВОЧНИК!$F$3*('ПЛАН ЧИСТ ПОДЗЕМ'!B19*СПРАВОЧНИК!$L$3+'ПЛАН ЧИСТ ПОДЗЕМ'!C19*СПРАВОЧНИК!$M$3+'ПЛАН ЧИСТ ПОДЗЕМ'!D19*СПРАВОЧНИК!$N$3+'ПЛАН ЧИСТ ПОДЗЕМ'!E19*СПРАВОЧНИК!$O$3+'ПЛАН ЧИСТ ПОДЗЕМ'!F19*СПРАВОЧНИК!$P$3)+СПРАВОЧНИК!$E$4*('ПЛАН ЧЕРН ПОДЗЕМ'!E19*СПРАВОЧНИК!$H$4+'ПЛАН ЧЕРН ПОДЗЕМ'!F19*СПРАВОЧНИК!$I$4+'ПЛАН ЧЕРН ПОДЗЕМ'!G19*СПРАВОЧНИК!$J$4)+СПРАВОЧНИК!$F$4*('ПЛАН ЧИСТ ПОДЗЕМ'!G19*СПРАВОЧНИК!$L$4+'ПЛАН ЧИСТ ПОДЗЕМ'!H19*СПРАВОЧНИК!$M$4+'ПЛАН ЧИСТ ПОДЗЕМ'!I19*СПРАВОЧНИК!$N$4+'ПЛАН ЧИСТ ПОДЗЕМ'!J19*СПРАВОЧНИК!$O$4+'ПЛАН ЧИСТ ПОДЗЕМ'!K19*СПРАВОЧНИК!$P$4)+СПРАВОЧНИК!$E$5*('ПЛАН ЧЕРН ПОДЗЕМ'!H19*СПРАВОЧНИК!$H$5+'ПЛАН ЧЕРН ПОДЗЕМ'!I19*СПРАВОЧНИК!$I$5+'ПЛАН ЧЕРН ПОДЗЕМ'!J19*СПРАВОЧНИК!$J$5)+СПРАВОЧНИК!$F$5*('ПЛАН ЧИСТ ПОДЗЕМ'!L19*СПРАВОЧНИК!$L$5+'ПЛАН ЧИСТ ПОДЗЕМ'!M19*СПРАВОЧНИК!$M$5+'ПЛАН ЧИСТ ПОДЗЕМ'!N19*СПРАВОЧНИК!$N$5+'ПЛАН ЧИСТ ПОДЗЕМ'!O19*СПРАВОЧНИК!$O$5+'ПЛАН ЧИСТ ПОДЗЕМ'!P19*СПРАВОЧНИК!$P$5)+СПРАВОЧНИК!$E$6*('ПЛАН ЧЕРН ПОДЗЕМ'!K19*СПРАВОЧНИК!$H$6+'ПЛАН ЧЕРН ПОДЗЕМ'!L19*СПРАВОЧНИК!$I$6+'ПЛАН ЧЕРН ПОДЗЕМ'!M19*СПРАВОЧНИК!$J$6)+СПРАВОЧНИК!$F$6*('ПЛАН ЧИСТ ПОДЗЕМ'!Q19*СПРАВОЧНИК!$L$6+'ПЛАН ЧИСТ ПОДЗЕМ'!R19*СПРАВОЧНИК!$M$6+'ПЛАН ЧИСТ ПОДЗЕМ'!S19*СПРАВОЧНИК!$N$6+'ПЛАН ЧИСТ ПОДЗЕМ'!T19*СПРАВОЧНИК!$O$6+'ПЛАН ЧИСТ ПОДЗЕМ'!U19*СПРАВОЧНИК!$P$6)+СПРАВОЧНИК!$E$7*('ПЛАН ЧЕРН ПОДЗЕМ'!N19*СПРАВОЧНИК!$H$7+'ПЛАН ЧЕРН ПОДЗЕМ'!O19*СПРАВОЧНИК!$I$7+'ПЛАН ЧЕРН ПОДЗЕМ'!P19*СПРАВОЧНИК!$J$7)+СПРАВОЧНИК!$F$7*('ПЛАН ЧИСТ ПОДЗЕМ'!V19*СПРАВОЧНИК!$L$7+'ПЛАН ЧИСТ ПОДЗЕМ'!W19*СПРАВОЧНИК!$M$7+'ПЛАН ЧИСТ ПОДЗЕМ'!X19*СПРАВОЧНИК!$N$7+'ПЛАН ЧИСТ ПОДЗЕМ'!Y19*СПРАВОЧНИК!$O$7+'ПЛАН ЧИСТ ПОДЗЕМ'!Z19*СПРАВОЧНИК!$P$7)+СПРАВОЧНИК!$E$8*('ПЛАН ЧЕРН ПОДЗЕМ'!Q19*СПРАВОЧНИК!$H$8+'ПЛАН ЧЕРН ПОДЗЕМ'!R19*СПРАВОЧНИК!$I$8+'ПЛАН ЧЕРН ПОДЗЕМ'!S19*СПРАВОЧНИК!$J$8)+СПРАВОЧНИК!$F$8*('ПЛАН ЧИСТ ПОДЗЕМ'!AA19*СПРАВОЧНИК!$L$8+'ПЛАН ЧИСТ ПОДЗЕМ'!AB19*СПРАВОЧНИК!$M$8+'ПЛАН ЧИСТ ПОДЗЕМ'!AC19*СПРАВОЧНИК!$N$8+'ПЛАН ЧИСТ ПОДЗЕМ'!AD19*СПРАВОЧНИК!$O$8+'ПЛАН ЧИСТ ПОДЗЕМ'!AE19*СПРАВОЧНИК!$P$8)</f>
        <v/>
      </c>
      <c r="D28" s="31">
        <f>СПРАВОЧНИК!$E$3*('ФАКТ ЧЕРН ПОДЗЕМ'!B19*СПРАВОЧНИК!$H$3+'ФАКТ ЧЕРН ПОДЗЕМ'!C19*СПРАВОЧНИК!$I$3+'ФАКТ ЧЕРН ПОДЗЕМ'!D19*СПРАВОЧНИК!$J$3)+СПРАВОЧНИК!$F$3*('ФАКТ ЧИСТ ПОДЗЕМ'!B19*СПРАВОЧНИК!$L$3+'ФАКТ ЧИСТ ПОДЗЕМ'!C19*СПРАВОЧНИК!$M$3+'ФАКТ ЧИСТ ПОДЗЕМ'!D19*СПРАВОЧНИК!$N$3+'ФАКТ ЧИСТ ПОДЗЕМ'!E19*СПРАВОЧНИК!$O$3+'ФАКТ ЧИСТ ПОДЗЕМ'!F19*СПРАВОЧНИК!$P$3)+СПРАВОЧНИК!$E$4*('ФАКТ ЧЕРН ПОДЗЕМ'!E19*СПРАВОЧНИК!$H$4+'ФАКТ ЧЕРН ПОДЗЕМ'!F19*СПРАВОЧНИК!$I$4+'ФАКТ ЧЕРН ПОДЗЕМ'!G19*СПРАВОЧНИК!$J$4)+СПРАВОЧНИК!$F$4*('ФАКТ ЧИСТ ПОДЗЕМ'!G19*СПРАВОЧНИК!$L$4+'ФАКТ ЧИСТ ПОДЗЕМ'!H19*СПРАВОЧНИК!$M$4+'ФАКТ ЧИСТ ПОДЗЕМ'!I19*СПРАВОЧНИК!$N$4+'ФАКТ ЧИСТ ПОДЗЕМ'!J19*СПРАВОЧНИК!$O$4+'ФАКТ ЧИСТ ПОДЗЕМ'!K19*СПРАВОЧНИК!$P$4)+СПРАВОЧНИК!$E$5*('ФАКТ ЧЕРН ПОДЗЕМ'!H19*СПРАВОЧНИК!$H$5+'ФАКТ ЧЕРН ПОДЗЕМ'!I19*СПРАВОЧНИК!$I$5+'ФАКТ ЧЕРН ПОДЗЕМ'!J19*СПРАВОЧНИК!$J$5)+СПРАВОЧНИК!$F$5*('ФАКТ ЧИСТ ПОДЗЕМ'!L19*СПРАВОЧНИК!$L$5+'ФАКТ ЧИСТ ПОДЗЕМ'!M19*СПРАВОЧНИК!$M$5+'ФАКТ ЧИСТ ПОДЗЕМ'!N19*СПРАВОЧНИК!$N$5+'ФАКТ ЧИСТ ПОДЗЕМ'!O19*СПРАВОЧНИК!$O$5+'ФАКТ ЧИСТ ПОДЗЕМ'!P19*СПРАВОЧНИК!$P$5)+СПРАВОЧНИК!$E$6*('ФАКТ ЧЕРН ПОДЗЕМ'!K19*СПРАВОЧНИК!$H$6+'ФАКТ ЧЕРН ПОДЗЕМ'!L19*СПРАВОЧНИК!$I$6+'ФАКТ ЧЕРН ПОДЗЕМ'!M19*СПРАВОЧНИК!$J$6)+СПРАВОЧНИК!$F$6*('ФАКТ ЧИСТ ПОДЗЕМ'!Q19*СПРАВОЧНИК!$L$6+'ФАКТ ЧИСТ ПОДЗЕМ'!R19*СПРАВОЧНИК!$M$6+'ФАКТ ЧИСТ ПОДЗЕМ'!S19*СПРАВОЧНИК!$N$6+'ФАКТ ЧИСТ ПОДЗЕМ'!T19*СПРАВОЧНИК!$O$6+'ФАКТ ЧИСТ ПОДЗЕМ'!U19*СПРАВОЧНИК!$P$6)+СПРАВОЧНИК!$E$7*('ФАКТ ЧЕРН ПОДЗЕМ'!N19*СПРАВОЧНИК!$H$7+'ФАКТ ЧЕРН ПОДЗЕМ'!O19*СПРАВОЧНИК!$I$7+'ФАКТ ЧЕРН ПОДЗЕМ'!P19*СПРАВОЧНИК!$J$7)+СПРАВОЧНИК!$F$7*('ФАКТ ЧИСТ ПОДЗЕМ'!V19*СПРАВОЧНИК!$L$7+'ФАКТ ЧИСТ ПОДЗЕМ'!W19*СПРАВОЧНИК!$M$7+'ФАКТ ЧИСТ ПОДЗЕМ'!X19*СПРАВОЧНИК!$N$7+'ФАКТ ЧИСТ ПОДЗЕМ'!Y19*СПРАВОЧНИК!$O$7+'ФАКТ ЧИСТ ПОДЗЕМ'!Z19*СПРАВОЧНИК!$P$7)+СПРАВОЧНИК!$E$8*('ФАКТ ЧЕРН ПОДЗЕМ'!Q19*СПРАВОЧНИК!$H$8+'ФАКТ ЧЕРН ПОДЗЕМ'!R19*СПРАВОЧНИК!$I$8+'ФАКТ ЧЕРН ПОДЗЕМ'!S19*СПРАВОЧНИК!$J$8)+СПРАВОЧНИК!$F$8*('ФАКТ ЧИСТ ПОДЗЕМ'!AA19*СПРАВОЧНИК!$L$8+'ФАКТ ЧИСТ ПОДЗЕМ'!AB19*СПРАВОЧНИК!$M$8+'ФАКТ ЧИСТ ПОДЗЕМ'!AC19*СПРАВОЧНИК!$N$8+'ФАКТ ЧИСТ ПОДЗЕМ'!AD19*СПРАВОЧНИК!$O$8+'ФАКТ ЧИСТ ПОДЗЕМ'!AE19*СПРАВОЧНИК!$P$8)</f>
        <v/>
      </c>
      <c r="E28" s="34" t="n"/>
      <c r="H28" s="152">
        <f>H27+7</f>
        <v/>
      </c>
      <c r="I28" s="17">
        <f>'ПЛАН ЧЕРН ПОДЗЕМ'!B19*СПРАВОЧНИК!$H$3+'ПЛАН ЧЕРН ПОДЗЕМ'!C19*СПРАВОЧНИК!$I$3+'ПЛАН ЧЕРН ПОДЗЕМ'!D19*СПРАВОЧНИК!$J$3+'ПЛАН ЧЕРН ПОДЗЕМ'!E19*СПРАВОЧНИК!$H$4+'ПЛАН ЧЕРН ПОДЗЕМ'!F19*СПРАВОЧНИК!$I$4+'ПЛАН ЧЕРН ПОДЗЕМ'!G19*СПРАВОЧНИК!$J$4+'ПЛАН ЧЕРН ПОДЗЕМ'!H19*СПРАВОЧНИК!$H$5+'ПЛАН ЧЕРН ПОДЗЕМ'!I19*СПРАВОЧНИК!$I$5+'ПЛАН ЧЕРН ПОДЗЕМ'!J19*СПРАВОЧНИК!$J$5+'ПЛАН ЧЕРН ПОДЗЕМ'!K19*СПРАВОЧНИК!$H$6+'ПЛАН ЧЕРН ПОДЗЕМ'!L19*СПРАВОЧНИК!$I$6+'ПЛАН ЧЕРН ПОДЗЕМ'!M19*СПРАВОЧНИК!$J$6+'ПЛАН ЧЕРН ПОДЗЕМ'!N19*СПРАВОЧНИК!$H$7+'ПЛАН ЧЕРН ПОДЗЕМ'!O19*СПРАВОЧНИК!$I$7+'ПЛАН ЧЕРН ПОДЗЕМ'!P19*СПРАВОЧНИК!$J$7+'ПЛАН ЧЕРН ПОДЗЕМ'!Q19*СПРАВОЧНИК!$H$8+'ПЛАН ЧЕРН ПОДЗЕМ'!R19*СПРАВОЧНИК!$I$8+'ПЛАН ЧЕРН ПОДЗЕМ'!S19*СПРАВОЧНИК!$J$8</f>
        <v/>
      </c>
      <c r="J28" s="31">
        <f>('ФАКТ ЧЕРН ПОДЗЕМ'!B19)*СПРАВОЧНИК!$H$3+('ФАКТ ЧЕРН ПОДЗЕМ'!C19)*СПРАВОЧНИК!$I$3+('ФАКТ ЧЕРН ПОДЗЕМ'!D19)*СПРАВОЧНИК!$J$3+('ФАКТ ЧЕРН ПОДЗЕМ'!E19)*СПРАВОЧНИК!$H$4+('ФАКТ ЧЕРН ПОДЗЕМ'!F19)*СПРАВОЧНИК!$I$4+('ФАКТ ЧЕРН ПОДЗЕМ'!G19)*СПРАВОЧНИК!$J$4+('ФАКТ ЧЕРН ПОДЗЕМ'!H19)*СПРАВОЧНИК!$H$5+('ФАКТ ЧЕРН ПОДЗЕМ'!I19)*СПРАВОЧНИК!$I$5+('ФАКТ ЧЕРН ПОДЗЕМ'!J19)*СПРАВОЧНИК!$J$5+('ФАКТ ЧЕРН ПОДЗЕМ'!K19)*СПРАВОЧНИК!$H$6+('ФАКТ ЧЕРН ПОДЗЕМ'!L19)*СПРАВОЧНИК!$I$6+('ФАКТ ЧЕРН ПОДЗЕМ'!M19)*СПРАВОЧНИК!$J$6+('ФАКТ ЧЕРН ПОДЗЕМ'!N19)*СПРАВОЧНИК!$H$7+('ФАКТ ЧЕРН ПОДЗЕМ'!O19)*СПРАВОЧНИК!$I$7+('ФАКТ ЧЕРН ПОДЗЕМ'!P19)*СПРАВОЧНИК!$J$7+('ФАКТ ЧЕРН ПОДЗЕМ'!Q19)*СПРАВОЧНИК!$H$8+('ФАКТ ЧЕРН ПОДЗЕМ'!R19)*СПРАВОЧНИК!$I$8+('ФАКТ ЧЕРН ПОДЗЕМ'!S19)*СПРАВОЧНИК!$J$8</f>
        <v/>
      </c>
      <c r="K28" s="34" t="n"/>
      <c r="N28" s="152">
        <f>N27+7</f>
        <v/>
      </c>
      <c r="O28" s="17">
        <f>'ПЛАН ЧИСТ ПОДЗЕМ'!B19*СПРАВОЧНИК!$L$3+'ПЛАН ЧИСТ ПОДЗЕМ'!C19*СПРАВОЧНИК!$M$3+'ПЛАН ЧИСТ ПОДЗЕМ'!D19*СПРАВОЧНИК!$N$3+'ПЛАН ЧИСТ ПОДЗЕМ'!E19*СПРАВОЧНИК!$O$3+'ПЛАН ЧИСТ ПОДЗЕМ'!F19*СПРАВОЧНИК!$P$3+'ПЛАН ЧИСТ ПОДЗЕМ'!G19*СПРАВОЧНИК!$L$4+'ПЛАН ЧИСТ ПОДЗЕМ'!H19*СПРАВОЧНИК!$M$4+'ПЛАН ЧИСТ ПОДЗЕМ'!I19*СПРАВОЧНИК!$N$4+'ПЛАН ЧИСТ ПОДЗЕМ'!J19*СПРАВОЧНИК!$O$4+'ПЛАН ЧИСТ ПОДЗЕМ'!K19*СПРАВОЧНИК!$P$4+'ПЛАН ЧИСТ ПОДЗЕМ'!L19*СПРАВОЧНИК!$L$5+'ПЛАН ЧИСТ ПОДЗЕМ'!M19*СПРАВОЧНИК!$M$5+'ПЛАН ЧИСТ ПОДЗЕМ'!N19*СПРАВОЧНИК!$N$5+'ПЛАН ЧИСТ ПОДЗЕМ'!O19*СПРАВОЧНИК!$O$5+'ПЛАН ЧИСТ ПОДЗЕМ'!P19*СПРАВОЧНИК!$P$5+'ПЛАН ЧИСТ ПОДЗЕМ'!Q19*СПРАВОЧНИК!$L$6+'ПЛАН ЧИСТ ПОДЗЕМ'!R19*СПРАВОЧНИК!$M$6+'ПЛАН ЧИСТ ПОДЗЕМ'!S19*СПРАВОЧНИК!$N$6+'ПЛАН ЧИСТ ПОДЗЕМ'!T19*СПРАВОЧНИК!$O$6+'ПЛАН ЧИСТ ПОДЗЕМ'!U19*СПРАВОЧНИК!$P$6+'ПЛАН ЧИСТ ПОДЗЕМ'!V19*СПРАВОЧНИК!$L$7+'ПЛАН ЧИСТ ПОДЗЕМ'!W19*СПРАВОЧНИК!$M$7+'ПЛАН ЧИСТ ПОДЗЕМ'!X19*СПРАВОЧНИК!$N$7+'ПЛАН ЧИСТ ПОДЗЕМ'!Y19*СПРАВОЧНИК!$O$7+'ПЛАН ЧИСТ ПОДЗЕМ'!Z19*СПРАВОЧНИК!$P$7+'ПЛАН ЧИСТ ПОДЗЕМ'!AA19*СПРАВОЧНИК!$L$8+'ПЛАН ЧИСТ ПОДЗЕМ'!AB19*СПРАВОЧНИК!$M$8+'ПЛАН ЧИСТ ПОДЗЕМ'!AC19*СПРАВОЧНИК!$N$8+'ПЛАН ЧИСТ ПОДЗЕМ'!AD19*СПРАВОЧНИК!$O$8+'ПЛАН ЧИСТ ПОДЗЕМ'!AE19*СПРАВОЧНИК!$P$8</f>
        <v/>
      </c>
      <c r="P28" s="31">
        <f>('ФАКТ ЧИСТ ПОДЗЕМ'!B19)*СПРАВОЧНИК!$L$3+('ФАКТ ЧИСТ ПОДЗЕМ'!C19)*СПРАВОЧНИК!$M$3+('ФАКТ ЧИСТ ПОДЗЕМ'!D19)*СПРАВОЧНИК!$N$3+('ФАКТ ЧИСТ ПОДЗЕМ'!E19)*СПРАВОЧНИК!$O$3+('ФАКТ ЧИСТ ПОДЗЕМ'!F19)*СПРАВОЧНИК!$P$3+('ФАКТ ЧИСТ ПОДЗЕМ'!G19)*СПРАВОЧНИК!$L$4+('ФАКТ ЧИСТ ПОДЗЕМ'!H19)*СПРАВОЧНИК!$M$4+('ФАКТ ЧИСТ ПОДЗЕМ'!I19)*СПРАВОЧНИК!$N$4+('ФАКТ ЧИСТ ПОДЗЕМ'!J19)*СПРАВОЧНИК!$O$4+('ФАКТ ЧИСТ ПОДЗЕМ'!K19)*СПРАВОЧНИК!$P$4+('ФАКТ ЧИСТ ПОДЗЕМ'!L19)*СПРАВОЧНИК!$L$5+('ФАКТ ЧИСТ ПОДЗЕМ'!M19)*СПРАВОЧНИК!$M$5+('ФАКТ ЧИСТ ПОДЗЕМ'!N19)*СПРАВОЧНИК!$N$5+('ФАКТ ЧИСТ ПОДЗЕМ'!O19)*СПРАВОЧНИК!$O$5+('ФАКТ ЧИСТ ПОДЗЕМ'!P19)*СПРАВОЧНИК!$P$5+('ФАКТ ЧИСТ ПОДЗЕМ'!Q19)*СПРАВОЧНИК!$L$6+('ФАКТ ЧИСТ ПОДЗЕМ'!R19)*СПРАВОЧНИК!$M$6+('ФАКТ ЧИСТ ПОДЗЕМ'!S19)*СПРАВОЧНИК!$N$6+('ФАКТ ЧИСТ ПОДЗЕМ'!T19)*СПРАВОЧНИК!$O$6+('ФАКТ ЧИСТ ПОДЗЕМ'!U19)*СПРАВОЧНИК!$P$6+('ФАКТ ЧИСТ ПОДЗЕМ'!V19)*СПРАВОЧНИК!$L$7+('ФАКТ ЧИСТ ПОДЗЕМ'!W19)*СПРАВОЧНИК!$M$7+('ФАКТ ЧИСТ ПОДЗЕМ'!X19)*СПРАВОЧНИК!$N$7+('ФАКТ ЧИСТ ПОДЗЕМ'!Y19)*СПРАВОЧНИК!$O$7+('ФАКТ ЧИСТ ПОДЗЕМ'!Z19)*СПРАВОЧНИК!$P$7+('ФАКТ ЧИСТ ПОДЗЕМ'!AA19)*СПРАВОЧНИК!$L$8+('ФАКТ ЧИСТ ПОДЗЕМ'!AB19)*СПРАВОЧНИК!$M$8+('ФАКТ ЧИСТ ПОДЗЕМ'!AC19)*СПРАВОЧНИК!$N$8+('ФАКТ ЧИСТ ПОДЗЕМ'!AD19)*СПРАВОЧНИК!$O$8+('ФАКТ ЧИСТ ПОДЗЕМ'!AE19)*СПРАВОЧНИК!$P$8</f>
        <v/>
      </c>
      <c r="Q28" s="34" t="n"/>
      <c r="T28" s="152">
        <f>T27+7</f>
        <v/>
      </c>
      <c r="U28" s="17">
        <f>СПРАВОЧНИК!$E$9*('ПЛАН ЧЕРН К1'!B19*СПРАВОЧНИК!$H$9+'ПЛАН ЧЕРН К1'!C19*СПРАВОЧНИК!$I$9+'ПЛАН ЧЕРН К1'!D19*СПРАВОЧНИК!$J$9)+СПРАВОЧНИК!$F$9*('ПЛАН ЧИСТ К1'!B19*СПРАВОЧНИК!$L$9+'ПЛАН ЧИСТ К1'!C19*СПРАВОЧНИК!$M$9+'ПЛАН ЧИСТ К1'!D19*СПРАВОЧНИК!$N$9+'ПЛАН ЧИСТ К1'!E19*СПРАВОЧНИК!$O$9+'ПЛАН ЧИСТ К1'!F19*СПРАВОЧНИК!$P$9)+СПРАВОЧНИК!$E$10*('ПЛАН ЧЕРН К1'!E19*СПРАВОЧНИК!$H$10+'ПЛАН ЧЕРН К1'!F19*СПРАВОЧНИК!$I$10+'ПЛАН ЧЕРН К1'!G19*СПРАВОЧНИК!$J$10)+СПРАВОЧНИК!$F$10*('ПЛАН ЧИСТ К1'!G19*СПРАВОЧНИК!$L$10+'ПЛАН ЧИСТ К1'!H19*СПРАВОЧНИК!$M$10+'ПЛАН ЧИСТ К1'!I19*СПРАВОЧНИК!$N$10+'ПЛАН ЧИСТ К1'!J19*СПРАВОЧНИК!$O$10+'ПЛАН ЧИСТ К1'!K19*СПРАВОЧНИК!$P$10)+СПРАВОЧНИК!$E$11*('ПЛАН ЧЕРН К1'!H19*СПРАВОЧНИК!$H$11+'ПЛАН ЧЕРН К1'!I19*СПРАВОЧНИК!$I$11+'ПЛАН ЧЕРН К1'!J19*СПРАВОЧНИК!$J$11)+СПРАВОЧНИК!$F$11*('ПЛАН ЧИСТ К1'!L19*СПРАВОЧНИК!$L$11+'ПЛАН ЧИСТ К1'!M19*СПРАВОЧНИК!$M$11+'ПЛАН ЧИСТ К1'!N19*СПРАВОЧНИК!$N$11+'ПЛАН ЧИСТ К1'!O19*СПРАВОЧНИК!$O$11+'ПЛАН ЧИСТ К1'!P19*СПРАВОЧНИК!$P$11)+СПРАВОЧНИК!$E$12*('ПЛАН ЧЕРН К1'!K19*СПРАВОЧНИК!$H$12+'ПЛАН ЧЕРН К1'!L19*СПРАВОЧНИК!$I$12+'ПЛАН ЧЕРН К1'!M19*СПРАВОЧНИК!$J$12)+СПРАВОЧНИК!$F$12*('ПЛАН ЧИСТ К1'!Q19*СПРАВОЧНИК!$L$12+'ПЛАН ЧИСТ К1'!R19*СПРАВОЧНИК!$M$12+'ПЛАН ЧИСТ К1'!S19*СПРАВОЧНИК!$N$12+'ПЛАН ЧИСТ К1'!T19*СПРАВОЧНИК!$O$12+'ПЛАН ЧИСТ К1'!U19*СПРАВОЧНИК!$P$12)+СПРАВОЧНИК!$E$13*('ПЛАН ЧЕРН К1'!N19*СПРАВОЧНИК!$H$13+'ПЛАН ЧЕРН К1'!O19*СПРАВОЧНИК!$I$13+'ПЛАН ЧЕРН К1'!P19*СПРАВОЧНИК!$J$13)+СПРАВОЧНИК!$F$13*('ПЛАН ЧИСТ К1'!V19*СПРАВОЧНИК!$L$13+'ПЛАН ЧИСТ К1'!W19*СПРАВОЧНИК!$M$13+'ПЛАН ЧИСТ К1'!X19*СПРАВОЧНИК!$N$13+'ПЛАН ЧИСТ К1'!Y19*СПРАВОЧНИК!$O$13+'ПЛАН ЧИСТ К1'!Z19*СПРАВОЧНИК!$P$13)+СПРАВОЧНИК!$E$14*('ПЛАН ЧЕРН К1'!Q19*СПРАВОЧНИК!$H$14+'ПЛАН ЧЕРН К1'!R19*СПРАВОЧНИК!$I$14+'ПЛАН ЧЕРН К1'!S19*СПРАВОЧНИК!$J$14)+СПРАВОЧНИК!$F$14*('ПЛАН ЧИСТ К1'!AA19*СПРАВОЧНИК!$L$14+'ПЛАН ЧИСТ К1'!AB19*СПРАВОЧНИК!$M$14+'ПЛАН ЧИСТ К1'!AC19*СПРАВОЧНИК!$N$14+'ПЛАН ЧИСТ К1'!AD19*СПРАВОЧНИК!$O$14+'ПЛАН ЧИСТ К1'!AE19*СПРАВОЧНИК!$P$14)+СПРАВОЧНИК!$E$15*('ПЛАН ЧЕРН К1'!T19*СПРАВОЧНИК!$H$15+'ПЛАН ЧЕРН К1'!U19*СПРАВОЧНИК!$I$15+'ПЛАН ЧЕРН К1'!V19*СПРАВОЧНИК!$J$15)+СПРАВОЧНИК!$F$15*('ПЛАН ЧИСТ К1'!AF19*СПРАВОЧНИК!$L$15+'ПЛАН ЧИСТ К1'!AG19*СПРАВОЧНИК!$M$15+'ПЛАН ЧИСТ К1'!AH19*СПРАВОЧНИК!$N$15+'ПЛАН ЧИСТ К1'!AI19*СПРАВОЧНИК!$O$15+'ПЛАН ЧИСТ К1'!AJ19*СПРАВОЧНИК!$P$15)</f>
        <v/>
      </c>
      <c r="V28" s="31">
        <f>СПРАВОЧНИК!$E$9*('ФАКТ ЧЕРН К1'!B19*СПРАВОЧНИК!$H$9+'ФАКТ ЧЕРН К1'!C19*СПРАВОЧНИК!$I$9+'ФАКТ ЧЕРН К1'!D19*СПРАВОЧНИК!$J$9)+СПРАВОЧНИК!$F$9*('ФАКТ ЧИСТ К1'!B19*СПРАВОЧНИК!$L$9+'ФАКТ ЧИСТ К1'!C19*СПРАВОЧНИК!$M$9+'ФАКТ ЧИСТ К1'!D19*СПРАВОЧНИК!$N$9+'ФАКТ ЧИСТ К1'!E19*СПРАВОЧНИК!$O$9+'ФАКТ ЧИСТ К1'!F19*СПРАВОЧНИК!$P$9)+СПРАВОЧНИК!$E$10*('ФАКТ ЧЕРН К1'!E19*СПРАВОЧНИК!$H$10+'ФАКТ ЧЕРН К1'!F19*СПРАВОЧНИК!$I$10+'ФАКТ ЧЕРН К1'!G19*СПРАВОЧНИК!$J$10)+СПРАВОЧНИК!$F$10*('ФАКТ ЧИСТ К1'!G19*СПРАВОЧНИК!$L$10+'ФАКТ ЧИСТ К1'!H19*СПРАВОЧНИК!$M$10+'ФАКТ ЧИСТ К1'!I19*СПРАВОЧНИК!$N$10+'ФАКТ ЧИСТ К1'!J19*СПРАВОЧНИК!$O$10+'ФАКТ ЧИСТ К1'!K19*СПРАВОЧНИК!$P$10)+СПРАВОЧНИК!$E$11*('ФАКТ ЧЕРН К1'!H19*СПРАВОЧНИК!$H$11+'ФАКТ ЧЕРН К1'!I19*СПРАВОЧНИК!$I$11+'ФАКТ ЧЕРН К1'!J19*СПРАВОЧНИК!$J$11)+СПРАВОЧНИК!$F$11*('ФАКТ ЧИСТ К1'!L19*СПРАВОЧНИК!$L$11+'ФАКТ ЧИСТ К1'!M19*СПРАВОЧНИК!$M$11+'ФАКТ ЧИСТ К1'!N19*СПРАВОЧНИК!$N$11+'ФАКТ ЧИСТ К1'!O19*СПРАВОЧНИК!$O$11+'ФАКТ ЧИСТ К1'!P19*СПРАВОЧНИК!$P$11)+СПРАВОЧНИК!$E$12*('ФАКТ ЧЕРН К1'!K19*СПРАВОЧНИК!$H$12+'ФАКТ ЧЕРН К1'!L19*СПРАВОЧНИК!$I$12+'ФАКТ ЧЕРН К1'!M19*СПРАВОЧНИК!$J$12)+СПРАВОЧНИК!$F$12*('ФАКТ ЧИСТ К1'!Q19*СПРАВОЧНИК!$L$12+'ФАКТ ЧИСТ К1'!R19*СПРАВОЧНИК!$M$12+'ФАКТ ЧИСТ К1'!S19*СПРАВОЧНИК!$N$12+'ФАКТ ЧИСТ К1'!T19*СПРАВОЧНИК!$O$12+'ФАКТ ЧИСТ К1'!U19*СПРАВОЧНИК!$P$12)+СПРАВОЧНИК!$E$13*('ФАКТ ЧЕРН К1'!N19*СПРАВОЧНИК!$H$13+'ФАКТ ЧЕРН К1'!O19*СПРАВОЧНИК!$I$13+'ФАКТ ЧЕРН К1'!P19*СПРАВОЧНИК!$J$13)+СПРАВОЧНИК!$F$13*('ФАКТ ЧИСТ К1'!V19*СПРАВОЧНИК!$L$13+'ФАКТ ЧИСТ К1'!W19*СПРАВОЧНИК!$M$13+'ФАКТ ЧИСТ К1'!X19*СПРАВОЧНИК!$N$13+'ФАКТ ЧИСТ К1'!Y19*СПРАВОЧНИК!$O$13+'ФАКТ ЧИСТ К1'!Z19*СПРАВОЧНИК!$P$13)+СПРАВОЧНИК!$E$14*('ФАКТ ЧЕРН К1'!Q19*СПРАВОЧНИК!$H$14+'ФАКТ ЧЕРН К1'!R19*СПРАВОЧНИК!$I$14+'ФАКТ ЧЕРН К1'!S19*СПРАВОЧНИК!$J$14)+СПРАВОЧНИК!$F$14*('ФАКТ ЧИСТ К1'!AA19*СПРАВОЧНИК!$L$14+'ФАКТ ЧИСТ К1'!AB19*СПРАВОЧНИК!$M$14+'ФАКТ ЧИСТ К1'!AC19*СПРАВОЧНИК!$N$14+'ФАКТ ЧИСТ К1'!AD19*СПРАВОЧНИК!$O$14+'ФАКТ ЧИСТ К1'!AE19*СПРАВОЧНИК!$P$14)+СПРАВОЧНИК!$E$15*('ФАКТ ЧЕРН К1'!T19*СПРАВОЧНИК!$H$15+'ФАКТ ЧЕРН К1'!U19*СПРАВОЧНИК!$I$15+'ФАКТ ЧЕРН К1'!V19*СПРАВОЧНИК!$J$15)+СПРАВОЧНИК!$F$15*('ФАКТ ЧИСТ К1'!AF19*СПРАВОЧНИК!$L$15+'ФАКТ ЧИСТ К1'!AG19*СПРАВОЧНИК!$M$15+'ФАКТ ЧИСТ К1'!AH19*СПРАВОЧНИК!$N$15+'ФАКТ ЧИСТ К1'!AI19*СПРАВОЧНИК!$O$15+'ФАКТ ЧИСТ К1'!AJ19*СПРАВОЧНИК!$P$15)</f>
        <v/>
      </c>
      <c r="W28" s="34" t="n"/>
      <c r="Z28" s="152">
        <f>Z27+7</f>
        <v/>
      </c>
      <c r="AA28" s="17">
        <f>'ПЛАН ЧЕРН К1'!B19*СПРАВОЧНИК!$H$9+'ПЛАН ЧЕРН К1'!C19*СПРАВОЧНИК!$I$9+'ПЛАН ЧЕРН К1'!D19*СПРАВОЧНИК!$J$9+'ПЛАН ЧЕРН К1'!E19*СПРАВОЧНИК!$H$10+'ПЛАН ЧЕРН К1'!F19*СПРАВОЧНИК!$I$10+'ПЛАН ЧЕРН К1'!G19*СПРАВОЧНИК!$J$10+'ПЛАН ЧЕРН К1'!H19*СПРАВОЧНИК!$H$11+'ПЛАН ЧЕРН К1'!I19*СПРАВОЧНИК!$I$11+'ПЛАН ЧЕРН К1'!J19*СПРАВОЧНИК!$J$11+'ПЛАН ЧЕРН К1'!K19*СПРАВОЧНИК!$H$12+'ПЛАН ЧЕРН К1'!L19*СПРАВОЧНИК!$I$12+'ПЛАН ЧЕРН К1'!M19*СПРАВОЧНИК!$J$12+'ПЛАН ЧЕРН К1'!N19*СПРАВОЧНИК!$H$13+'ПЛАН ЧЕРН К1'!O19*СПРАВОЧНИК!$I$13+'ПЛАН ЧЕРН К1'!P19*СПРАВОЧНИК!$J$13+'ПЛАН ЧЕРН К1'!Q19*СПРАВОЧНИК!$H$14+'ПЛАН ЧЕРН К1'!R19*СПРАВОЧНИК!$I$14+'ПЛАН ЧЕРН К1'!S19*СПРАВОЧНИК!$J$14+'ПЛАН ЧЕРН К1'!T19*СПРАВОЧНИК!$H$15+'ПЛАН ЧЕРН К1'!U19*СПРАВОЧНИК!$I$15+'ПЛАН ЧЕРН К1'!V19*СПРАВОЧНИК!$J$15</f>
        <v/>
      </c>
      <c r="AB28" s="31">
        <f>('ФАКТ ЧЕРН К1'!B19)*СПРАВОЧНИК!$H$9+('ФАКТ ЧЕРН К1'!C19)*СПРАВОЧНИК!$I$9+('ФАКТ ЧЕРН К1'!D19)*СПРАВОЧНИК!$J$9+('ФАКТ ЧЕРН К1'!E19)*СПРАВОЧНИК!$H$10+('ФАКТ ЧЕРН К1'!F19)*СПРАВОЧНИК!$I$10+('ФАКТ ЧЕРН К1'!G19)*СПРАВОЧНИК!$J$10+('ФАКТ ЧЕРН К1'!H19)*СПРАВОЧНИК!$H$11+('ФАКТ ЧЕРН К1'!I19)*СПРАВОЧНИК!$I$11+('ФАКТ ЧЕРН К1'!J19)*СПРАВОЧНИК!$J$11+('ФАКТ ЧЕРН К1'!K19)*СПРАВОЧНИК!$H$12+('ФАКТ ЧЕРН К1'!L19)*СПРАВОЧНИК!$I$12+('ФАКТ ЧЕРН К1'!M19)*СПРАВОЧНИК!$J$12+('ФАКТ ЧЕРН К1'!N19)*СПРАВОЧНИК!$H$13+('ФАКТ ЧЕРН К1'!O19)*СПРАВОЧНИК!$I$13+('ФАКТ ЧЕРН К1'!P19)*СПРАВОЧНИК!$J$13+('ФАКТ ЧЕРН К1'!Q19)*СПРАВОЧНИК!$H$14+('ФАКТ ЧЕРН К1'!R19)*СПРАВОЧНИК!$I$14+('ФАКТ ЧЕРН К1'!S19)*СПРАВОЧНИК!$J$14+('ФАКТ ЧЕРН К1'!T19)*СПРАВОЧНИК!$H$15+('ФАКТ ЧЕРН К1'!U19)*СПРАВОЧНИК!$I$15+('ФАКТ ЧЕРН К1'!V19)*СПРАВОЧНИК!$J$15</f>
        <v/>
      </c>
      <c r="AC28" s="34" t="n"/>
      <c r="AF28" s="152">
        <f>AF27+7</f>
        <v/>
      </c>
      <c r="AG28" s="17">
        <f>'ПЛАН ЧИСТ К1'!B19*СПРАВОЧНИК!$L$9+'ПЛАН ЧИСТ К1'!C19*СПРАВОЧНИК!$M$9+'ПЛАН ЧИСТ К1'!D19*СПРАВОЧНИК!$N$9+'ПЛАН ЧИСТ К1'!E19*СПРАВОЧНИК!$O$9+'ПЛАН ЧИСТ К1'!F19*СПРАВОЧНИК!$P$9+'ПЛАН ЧИСТ К1'!G19*СПРАВОЧНИК!$L$10+'ПЛАН ЧИСТ К1'!H19*СПРАВОЧНИК!$M$10+'ПЛАН ЧИСТ К1'!I19*СПРАВОЧНИК!$N$10+'ПЛАН ЧИСТ К1'!J19*СПРАВОЧНИК!$O$10+'ПЛАН ЧИСТ К1'!K19*СПРАВОЧНИК!$P$10+'ПЛАН ЧИСТ К1'!L19*СПРАВОЧНИК!$L$11+'ПЛАН ЧИСТ К1'!M19*СПРАВОЧНИК!$M$11+'ПЛАН ЧИСТ К1'!N19*СПРАВОЧНИК!$N$11+'ПЛАН ЧИСТ К1'!O19*СПРАВОЧНИК!$O$11+'ПЛАН ЧИСТ К1'!P19*СПРАВОЧНИК!$P$11+'ПЛАН ЧИСТ К1'!Q19*СПРАВОЧНИК!$L$12+'ПЛАН ЧИСТ К1'!R19*СПРАВОЧНИК!$M$12+'ПЛАН ЧИСТ К1'!S19*СПРАВОЧНИК!$N$12+'ПЛАН ЧИСТ К1'!T19*СПРАВОЧНИК!$O$12+'ПЛАН ЧИСТ К1'!U19*СПРАВОЧНИК!$P$12+'ПЛАН ЧИСТ К1'!V19*СПРАВОЧНИК!$L$13+'ПЛАН ЧИСТ К1'!W19*СПРАВОЧНИК!$M$13+'ПЛАН ЧИСТ К1'!X19*СПРАВОЧНИК!$N$13+'ПЛАН ЧИСТ К1'!Y19*СПРАВОЧНИК!$O$13+'ПЛАН ЧИСТ К1'!Z19*СПРАВОЧНИК!$P$13+'ПЛАН ЧИСТ К1'!AA19*СПРАВОЧНИК!$L$14+'ПЛАН ЧИСТ К1'!AB19*СПРАВОЧНИК!$M$14+'ПЛАН ЧИСТ К1'!AC19*СПРАВОЧНИК!$N$14+'ПЛАН ЧИСТ К1'!AD19*СПРАВОЧНИК!$O$14+'ПЛАН ЧИСТ К1'!AE19*СПРАВОЧНИК!$P$14+'ПЛАН ЧИСТ К1'!AF19*СПРАВОЧНИК!$L$15+'ПЛАН ЧИСТ К1'!AG19*СПРАВОЧНИК!$M$15+'ПЛАН ЧИСТ К1'!AH19*СПРАВОЧНИК!$N$15+'ПЛАН ЧИСТ К1'!AI19*СПРАВОЧНИК!$O$15+'ПЛАН ЧИСТ К1'!AJ19*СПРАВОЧНИК!$P$15</f>
        <v/>
      </c>
      <c r="AH28" s="31">
        <f>('ФАКТ ЧИСТ К1'!B19)*СПРАВОЧНИК!$L$9+('ФАКТ ЧИСТ К1'!C19)*СПРАВОЧНИК!$M$9+('ФАКТ ЧИСТ К1'!D19)*СПРАВОЧНИК!$N$9+('ФАКТ ЧИСТ К1'!E19)*СПРАВОЧНИК!$O$9+('ФАКТ ЧИСТ К1'!F19)*СПРАВОЧНИК!$P$9+('ФАКТ ЧИСТ К1'!G19)*СПРАВОЧНИК!$L$10+('ФАКТ ЧИСТ К1'!H19)*СПРАВОЧНИК!$M$10+('ФАКТ ЧИСТ К1'!I19)*СПРАВОЧНИК!$N$10+('ФАКТ ЧИСТ К1'!J19)*СПРАВОЧНИК!$O$10+('ФАКТ ЧИСТ К1'!K19)*СПРАВОЧНИК!$P$10+('ФАКТ ЧИСТ К1'!L19)*СПРАВОЧНИК!$L$11+('ФАКТ ЧИСТ К1'!M19)*СПРАВОЧНИК!$M$11+('ФАКТ ЧИСТ К1'!N19)*СПРАВОЧНИК!$N$11+('ФАКТ ЧИСТ К1'!O19)*СПРАВОЧНИК!$O$11+('ФАКТ ЧИСТ К1'!P19)*СПРАВОЧНИК!$P$11+('ФАКТ ЧИСТ К1'!Q19)*СПРАВОЧНИК!$L$12+('ФАКТ ЧИСТ К1'!R19)*СПРАВОЧНИК!$M$12+('ФАКТ ЧИСТ К1'!S19)*СПРАВОЧНИК!$N$12+('ФАКТ ЧИСТ К1'!T19)*СПРАВОЧНИК!$O$12+('ФАКТ ЧИСТ К1'!U19)*СПРАВОЧНИК!$P$12+('ФАКТ ЧИСТ К1'!V19)*СПРАВОЧНИК!$L$13+('ФАКТ ЧИСТ К1'!W19)*СПРАВОЧНИК!$M$13+('ФАКТ ЧИСТ К1'!X19)*СПРАВОЧНИК!$N$13+('ФАКТ ЧИСТ К1'!Y19)*СПРАВОЧНИК!$O$13+('ФАКТ ЧИСТ К1'!Z19)*СПРАВОЧНИК!$P$13+('ФАКТ ЧИСТ К1'!AA19)*СПРАВОЧНИК!$L$14+('ФАКТ ЧИСТ К1'!AB19)*СПРАВОЧНИК!$M$14+('ФАКТ ЧИСТ К1'!AC19)*СПРАВОЧНИК!$N$14+('ФАКТ ЧИСТ К1'!AD19)*СПРАВОЧНИК!$O$14+('ФАКТ ЧИСТ К1'!AE19)*СПРАВОЧНИК!$P$14+('ФАКТ ЧИСТ К1'!AF19)*СПРАВОЧНИК!$L$15+('ФАКТ ЧИСТ К1'!AG19)*СПРАВОЧНИК!$M$15+('ФАКТ ЧИСТ К1'!AH19)*СПРАВОЧНИК!$N$15+('ФАКТ ЧИСТ К1'!AI19)*СПРАВОЧНИК!$O$15+('ФАКТ ЧИСТ К1'!AJ19)*СПРАВОЧНИК!$P$15</f>
        <v/>
      </c>
      <c r="AI28" s="34" t="n"/>
      <c r="AL28" s="152">
        <f>AL27+7</f>
        <v/>
      </c>
      <c r="AM28" s="17">
        <f>СПРАВОЧНИК!$E$9*('ПЛАН ЧЕРН К2'!B19*СПРАВОЧНИК!$H$9+'ПЛАН ЧЕРН К2'!C19*СПРАВОЧНИК!$I$9+'ПЛАН ЧЕРН К2'!D19*СПРАВОЧНИК!$J$9)+СПРАВОЧНИК!$F$9*('ПЛАН ЧИСТ К2'!B19*СПРАВОЧНИК!$L$9+'ПЛАН ЧИСТ К2'!C19*СПРАВОЧНИК!$M$9+'ПЛАН ЧИСТ К2'!D19*СПРАВОЧНИК!$N$9+'ПЛАН ЧИСТ К2'!E19*СПРАВОЧНИК!$O$9+'ПЛАН ЧИСТ К2'!F19*СПРАВОЧНИК!$P$9)+СПРАВОЧНИК!$E$10*('ПЛАН ЧЕРН К2'!E19*СПРАВОЧНИК!$H$10+'ПЛАН ЧЕРН К2'!F19*СПРАВОЧНИК!$I$10+'ПЛАН ЧЕРН К2'!G19*СПРАВОЧНИК!$J$10)+СПРАВОЧНИК!$F$10*('ПЛАН ЧИСТ К2'!G19*СПРАВОЧНИК!$L$10+'ПЛАН ЧИСТ К2'!H19*СПРАВОЧНИК!$M$10+'ПЛАН ЧИСТ К2'!I19*СПРАВОЧНИК!$N$10+'ПЛАН ЧИСТ К2'!J19*СПРАВОЧНИК!$O$10+'ПЛАН ЧИСТ К2'!K19*СПРАВОЧНИК!$P$10)+СПРАВОЧНИК!$E$11*('ПЛАН ЧЕРН К2'!H19*СПРАВОЧНИК!$H$11+'ПЛАН ЧЕРН К2'!I19*СПРАВОЧНИК!$I$11+'ПЛАН ЧЕРН К2'!J19*СПРАВОЧНИК!$J$11)+СПРАВОЧНИК!$F$11*('ПЛАН ЧИСТ К2'!L19*СПРАВОЧНИК!$L$11+'ПЛАН ЧИСТ К2'!M19*СПРАВОЧНИК!$M$11+'ПЛАН ЧИСТ К2'!N19*СПРАВОЧНИК!$N$11+'ПЛАН ЧИСТ К2'!O19*СПРАВОЧНИК!$O$11+'ПЛАН ЧИСТ К2'!P19*СПРАВОЧНИК!$P$11)+СПРАВОЧНИК!$E$12*('ПЛАН ЧЕРН К2'!K19*СПРАВОЧНИК!$H$12+'ПЛАН ЧЕРН К2'!L19*СПРАВОЧНИК!$I$12+'ПЛАН ЧЕРН К2'!M19*СПРАВОЧНИК!$J$12)+СПРАВОЧНИК!$F$12*('ПЛАН ЧИСТ К2'!Q19*СПРАВОЧНИК!$L$12+'ПЛАН ЧИСТ К2'!R19*СПРАВОЧНИК!$M$12+'ПЛАН ЧИСТ К2'!S19*СПРАВОЧНИК!$N$12+'ПЛАН ЧИСТ К2'!T19*СПРАВОЧНИК!$O$12+'ПЛАН ЧИСТ К2'!U19*СПРАВОЧНИК!$P$12)+СПРАВОЧНИК!$E$13*('ПЛАН ЧЕРН К2'!N19*СПРАВОЧНИК!$H$13+'ПЛАН ЧЕРН К2'!O19*СПРАВОЧНИК!$I$13+'ПЛАН ЧЕРН К2'!P19*СПРАВОЧНИК!$J$13)+СПРАВОЧНИК!$F$13*('ПЛАН ЧИСТ К2'!V19*СПРАВОЧНИК!$L$13+'ПЛАН ЧИСТ К2'!W19*СПРАВОЧНИК!$M$13+'ПЛАН ЧИСТ К2'!X19*СПРАВОЧНИК!$N$13+'ПЛАН ЧИСТ К2'!Y19*СПРАВОЧНИК!$O$13+'ПЛАН ЧИСТ К2'!Z19*СПРАВОЧНИК!$P$13)+СПРАВОЧНИК!$E$14*('ПЛАН ЧЕРН К2'!Q19*СПРАВОЧНИК!$H$14+'ПЛАН ЧЕРН К2'!R19*СПРАВОЧНИК!$I$14+'ПЛАН ЧЕРН К2'!S19*СПРАВОЧНИК!$J$14)+СПРАВОЧНИК!$F$14*('ПЛАН ЧИСТ К2'!AA19*СПРАВОЧНИК!$L$14+'ПЛАН ЧИСТ К2'!AB19*СПРАВОЧНИК!$M$14+'ПЛАН ЧИСТ К2'!AC19*СПРАВОЧНИК!$N$14+'ПЛАН ЧИСТ К2'!AD19*СПРАВОЧНИК!$O$14+'ПЛАН ЧИСТ К2'!AE19*СПРАВОЧНИК!$P$14)+СПРАВОЧНИК!$E$15*('ПЛАН ЧЕРН К2'!T19*СПРАВОЧНИК!$H$15+'ПЛАН ЧЕРН К2'!U19*СПРАВОЧНИК!$I$15+'ПЛАН ЧЕРН К2'!V19*СПРАВОЧНИК!$J$15)+СПРАВОЧНИК!$F$15*('ПЛАН ЧИСТ К2'!AF19*СПРАВОЧНИК!$L$15+'ПЛАН ЧИСТ К2'!AG19*СПРАВОЧНИК!$M$15+'ПЛАН ЧИСТ К2'!AH19*СПРАВОЧНИК!$N$15+'ПЛАН ЧИСТ К2'!AI19*СПРАВОЧНИК!$O$15+'ПЛАН ЧИСТ К2'!AJ19*СПРАВОЧНИК!$P$15)</f>
        <v/>
      </c>
      <c r="AN28" s="31">
        <f>СПРАВОЧНИК!$E$9*('ФАКТ ЧЕРН К2'!B19*СПРАВОЧНИК!$H$9+'ФАКТ ЧЕРН К2'!C19*СПРАВОЧНИК!$I$9+'ФАКТ ЧЕРН К2'!D19*СПРАВОЧНИК!$J$9)+СПРАВОЧНИК!$F$9*('ФАКТ ЧИСТ К2'!B19*СПРАВОЧНИК!$L$9+'ФАКТ ЧИСТ К2'!C19*СПРАВОЧНИК!$M$9+'ФАКТ ЧИСТ К2'!D19*СПРАВОЧНИК!$N$9+'ФАКТ ЧИСТ К2'!E19*СПРАВОЧНИК!$O$9+'ФАКТ ЧИСТ К2'!F19*СПРАВОЧНИК!$P$9)+СПРАВОЧНИК!$E$10*('ФАКТ ЧЕРН К2'!E19*СПРАВОЧНИК!$H$10+'ФАКТ ЧЕРН К2'!F19*СПРАВОЧНИК!$I$10+'ФАКТ ЧЕРН К2'!G19*СПРАВОЧНИК!$J$10)+СПРАВОЧНИК!$F$10*('ФАКТ ЧИСТ К2'!G19*СПРАВОЧНИК!$L$10+'ФАКТ ЧИСТ К2'!H19*СПРАВОЧНИК!$M$10+'ФАКТ ЧИСТ К2'!I19*СПРАВОЧНИК!$N$10+'ФАКТ ЧИСТ К2'!J19*СПРАВОЧНИК!$O$10+'ФАКТ ЧИСТ К2'!K19*СПРАВОЧНИК!$P$10)+СПРАВОЧНИК!$E$11*('ФАКТ ЧЕРН К2'!H19*СПРАВОЧНИК!$H$11+'ФАКТ ЧЕРН К2'!I19*СПРАВОЧНИК!$I$11+'ФАКТ ЧЕРН К2'!J19*СПРАВОЧНИК!$J$11)+СПРАВОЧНИК!$F$11*('ФАКТ ЧИСТ К2'!L19*СПРАВОЧНИК!$L$11+'ФАКТ ЧИСТ К2'!M19*СПРАВОЧНИК!$M$11+'ФАКТ ЧИСТ К2'!N19*СПРАВОЧНИК!$N$11+'ФАКТ ЧИСТ К2'!O19*СПРАВОЧНИК!$O$11+'ФАКТ ЧИСТ К2'!P19*СПРАВОЧНИК!$P$11)+СПРАВОЧНИК!$E$12*('ФАКТ ЧЕРН К2'!K19*СПРАВОЧНИК!$H$12+'ФАКТ ЧЕРН К2'!L19*СПРАВОЧНИК!$I$12+'ФАКТ ЧЕРН К2'!M19*СПРАВОЧНИК!$J$12)+СПРАВОЧНИК!$F$12*('ФАКТ ЧИСТ К2'!Q19*СПРАВОЧНИК!$L$12+'ФАКТ ЧИСТ К2'!R19*СПРАВОЧНИК!$M$12+'ФАКТ ЧИСТ К2'!S19*СПРАВОЧНИК!$N$12+'ФАКТ ЧИСТ К2'!T19*СПРАВОЧНИК!$O$12+'ФАКТ ЧИСТ К2'!U19*СПРАВОЧНИК!$P$12)+СПРАВОЧНИК!$E$13*('ФАКТ ЧЕРН К2'!N19*СПРАВОЧНИК!$H$13+'ФАКТ ЧЕРН К2'!O19*СПРАВОЧНИК!$I$13+'ФАКТ ЧЕРН К2'!P19*СПРАВОЧНИК!$J$13)+СПРАВОЧНИК!$F$13*('ФАКТ ЧИСТ К2'!V19*СПРАВОЧНИК!$L$13+'ФАКТ ЧИСТ К2'!W19*СПРАВОЧНИК!$M$13+'ФАКТ ЧИСТ К2'!X19*СПРАВОЧНИК!$N$13+'ФАКТ ЧИСТ К2'!Y19*СПРАВОЧНИК!$O$13+'ФАКТ ЧИСТ К2'!Z19*СПРАВОЧНИК!$P$13)+СПРАВОЧНИК!$E$14*('ФАКТ ЧЕРН К2'!Q19*СПРАВОЧНИК!$H$14+'ФАКТ ЧЕРН К2'!R19*СПРАВОЧНИК!$I$14+'ФАКТ ЧЕРН К2'!S19*СПРАВОЧНИК!$J$14)+СПРАВОЧНИК!$F$14*('ФАКТ ЧИСТ К2'!AA19*СПРАВОЧНИК!$L$14+'ФАКТ ЧИСТ К2'!AB19*СПРАВОЧНИК!$M$14+'ФАКТ ЧИСТ К2'!AC19*СПРАВОЧНИК!$N$14+'ФАКТ ЧИСТ К2'!AD19*СПРАВОЧНИК!$O$14+'ФАКТ ЧИСТ К2'!AE19*СПРАВОЧНИК!$P$14)+СПРАВОЧНИК!$E$15*('ФАКТ ЧЕРН К2'!T19*СПРАВОЧНИК!$H$15+'ФАКТ ЧЕРН К2'!U19*СПРАВОЧНИК!$I$15+'ФАКТ ЧЕРН К2'!V19*СПРАВОЧНИК!$J$15)+СПРАВОЧНИК!$F$15*('ФАКТ ЧИСТ К2'!AF19*СПРАВОЧНИК!$L$15+'ФАКТ ЧИСТ К2'!AG19*СПРАВОЧНИК!$M$15+'ФАКТ ЧИСТ К2'!AH19*СПРАВОЧНИК!$N$15+'ФАКТ ЧИСТ К2'!AI19*СПРАВОЧНИК!$O$15+'ФАКТ ЧИСТ К2'!AJ19*СПРАВОЧНИК!$P$15)</f>
        <v/>
      </c>
      <c r="AO28" s="34" t="n"/>
      <c r="AR28" s="152">
        <f>AR27+7</f>
        <v/>
      </c>
      <c r="AS28" s="17">
        <f>'ПЛАН ЧЕРН К2'!B19*СПРАВОЧНИК!$H$9+'ПЛАН ЧЕРН К2'!C19*СПРАВОЧНИК!$I$9+'ПЛАН ЧЕРН К2'!D19*СПРАВОЧНИК!$J$9+'ПЛАН ЧЕРН К2'!E19*СПРАВОЧНИК!$H$10+'ПЛАН ЧЕРН К2'!F19*СПРАВОЧНИК!$I$10+'ПЛАН ЧЕРН К2'!G19*СПРАВОЧНИК!$J$10+'ПЛАН ЧЕРН К2'!H19*СПРАВОЧНИК!$H$11+'ПЛАН ЧЕРН К2'!I19*СПРАВОЧНИК!$I$11+'ПЛАН ЧЕРН К2'!J19*СПРАВОЧНИК!$J$11+'ПЛАН ЧЕРН К2'!K19*СПРАВОЧНИК!$H$12+'ПЛАН ЧЕРН К2'!L19*СПРАВОЧНИК!$I$12+'ПЛАН ЧЕРН К2'!M19*СПРАВОЧНИК!$J$12+'ПЛАН ЧЕРН К2'!N19*СПРАВОЧНИК!$H$13+'ПЛАН ЧЕРН К2'!O19*СПРАВОЧНИК!$I$13+'ПЛАН ЧЕРН К2'!P19*СПРАВОЧНИК!$J$13+'ПЛАН ЧЕРН К2'!Q19*СПРАВОЧНИК!$H$14+'ПЛАН ЧЕРН К2'!R19*СПРАВОЧНИК!$I$14+'ПЛАН ЧЕРН К2'!S19*СПРАВОЧНИК!$J$14+'ПЛАН ЧЕРН К2'!T19*СПРАВОЧНИК!$H$15+'ПЛАН ЧЕРН К2'!U19*СПРАВОЧНИК!$I$15+'ПЛАН ЧЕРН К2'!V19*СПРАВОЧНИК!$J$15</f>
        <v/>
      </c>
      <c r="AT28" s="31">
        <f>('ФАКТ ЧЕРН К2'!B19)*СПРАВОЧНИК!$H$9+('ФАКТ ЧЕРН К2'!C19)*СПРАВОЧНИК!$I$9+('ФАКТ ЧЕРН К2'!D19)*СПРАВОЧНИК!$J$9+('ФАКТ ЧЕРН К2'!E19)*СПРАВОЧНИК!$H$10+('ФАКТ ЧЕРН К2'!F19)*СПРАВОЧНИК!$I$10+('ФАКТ ЧЕРН К2'!G19)*СПРАВОЧНИК!$J$10+('ФАКТ ЧЕРН К2'!H19)*СПРАВОЧНИК!$H$11+('ФАКТ ЧЕРН К2'!I19)*СПРАВОЧНИК!$I$11+('ФАКТ ЧЕРН К2'!J19)*СПРАВОЧНИК!$J$11+('ФАКТ ЧЕРН К2'!K19)*СПРАВОЧНИК!$H$12+('ФАКТ ЧЕРН К2'!L19)*СПРАВОЧНИК!$I$12+('ФАКТ ЧЕРН К2'!M19)*СПРАВОЧНИК!$J$12+('ФАКТ ЧЕРН К2'!N19)*СПРАВОЧНИК!$H$13+('ФАКТ ЧЕРН К2'!O19)*СПРАВОЧНИК!$I$13+('ФАКТ ЧЕРН К2'!P19)*СПРАВОЧНИК!$J$13+('ФАКТ ЧЕРН К2'!Q19)*СПРАВОЧНИК!$H$14+('ФАКТ ЧЕРН К2'!R19)*СПРАВОЧНИК!$I$14+('ФАКТ ЧЕРН К2'!S19)*СПРАВОЧНИК!$J$14+('ФАКТ ЧЕРН К2'!T19)*СПРАВОЧНИК!$H$15+('ФАКТ ЧЕРН К2'!U19)*СПРАВОЧНИК!$I$15+('ФАКТ ЧЕРН К2'!V19)*СПРАВОЧНИК!$J$15</f>
        <v/>
      </c>
      <c r="AU28" s="34" t="n"/>
      <c r="AX28" s="152">
        <f>AX27+7</f>
        <v/>
      </c>
      <c r="AY28" s="17">
        <f>'ПЛАН ЧИСТ К2'!B19*СПРАВОЧНИК!$L$9+'ПЛАН ЧИСТ К2'!C19*СПРАВОЧНИК!$M$9+'ПЛАН ЧИСТ К2'!D19*СПРАВОЧНИК!$N$9+'ПЛАН ЧИСТ К2'!E19*СПРАВОЧНИК!$O$9+'ПЛАН ЧИСТ К2'!F19*СПРАВОЧНИК!$P$9+'ПЛАН ЧИСТ К2'!G19*СПРАВОЧНИК!$L$10+'ПЛАН ЧИСТ К2'!H19*СПРАВОЧНИК!$M$10+'ПЛАН ЧИСТ К2'!I19*СПРАВОЧНИК!$N$10+'ПЛАН ЧИСТ К2'!J19*СПРАВОЧНИК!$O$10+'ПЛАН ЧИСТ К2'!K19*СПРАВОЧНИК!$P$10+'ПЛАН ЧИСТ К2'!L19*СПРАВОЧНИК!$L$11+'ПЛАН ЧИСТ К2'!M19*СПРАВОЧНИК!$M$11+'ПЛАН ЧИСТ К2'!N19*СПРАВОЧНИК!$N$11+'ПЛАН ЧИСТ К2'!O19*СПРАВОЧНИК!$O$11+'ПЛАН ЧИСТ К2'!P19*СПРАВОЧНИК!$P$11+'ПЛАН ЧИСТ К2'!Q19*СПРАВОЧНИК!$L$12+'ПЛАН ЧИСТ К2'!R19*СПРАВОЧНИК!$M$12+'ПЛАН ЧИСТ К2'!S19*СПРАВОЧНИК!$N$12+'ПЛАН ЧИСТ К2'!T19*СПРАВОЧНИК!$O$12+'ПЛАН ЧИСТ К2'!U19*СПРАВОЧНИК!$P$12+'ПЛАН ЧИСТ К2'!V19*СПРАВОЧНИК!$L$13+'ПЛАН ЧИСТ К2'!W19*СПРАВОЧНИК!$M$13+'ПЛАН ЧИСТ К2'!X19*СПРАВОЧНИК!$N$13+'ПЛАН ЧИСТ К2'!Y19*СПРАВОЧНИК!$O$13+'ПЛАН ЧИСТ К2'!Z19*СПРАВОЧНИК!$P$13+'ПЛАН ЧИСТ К2'!AA19*СПРАВОЧНИК!$L$14+'ПЛАН ЧИСТ К2'!AB19*СПРАВОЧНИК!$M$14+'ПЛАН ЧИСТ К2'!AC19*СПРАВОЧНИК!$N$14+'ПЛАН ЧИСТ К2'!AD19*СПРАВОЧНИК!$O$14+'ПЛАН ЧИСТ К2'!AE19*СПРАВОЧНИК!$P$14+'ПЛАН ЧИСТ К2'!AF19*СПРАВОЧНИК!$L$15+'ПЛАН ЧИСТ К2'!AG19*СПРАВОЧНИК!$M$15+'ПЛАН ЧИСТ К2'!AH19*СПРАВОЧНИК!$N$15+'ПЛАН ЧИСТ К2'!AI19*СПРАВОЧНИК!$O$15+'ПЛАН ЧИСТ К2'!AJ19*СПРАВОЧНИК!$P$15</f>
        <v/>
      </c>
      <c r="AZ28" s="31">
        <f>('ФАКТ ЧИСТ К2'!B19)*СПРАВОЧНИК!$L$9+('ФАКТ ЧИСТ К2'!C19)*СПРАВОЧНИК!$M$9+('ФАКТ ЧИСТ К2'!D19)*СПРАВОЧНИК!$N$9+('ФАКТ ЧИСТ К2'!E19)*СПРАВОЧНИК!$O$9+('ФАКТ ЧИСТ К2'!F19)*СПРАВОЧНИК!$P$9+('ФАКТ ЧИСТ К2'!G19)*СПРАВОЧНИК!$L$10+('ФАКТ ЧИСТ К2'!H19)*СПРАВОЧНИК!$M$10+('ФАКТ ЧИСТ К2'!I19)*СПРАВОЧНИК!$N$10+('ФАКТ ЧИСТ К2'!J19)*СПРАВОЧНИК!$O$10+('ФАКТ ЧИСТ К2'!K19)*СПРАВОЧНИК!$P$10+('ФАКТ ЧИСТ К2'!L19)*СПРАВОЧНИК!$L$11+('ФАКТ ЧИСТ К2'!M19)*СПРАВОЧНИК!$M$11+('ФАКТ ЧИСТ К2'!N19)*СПРАВОЧНИК!$N$11+('ФАКТ ЧИСТ К2'!O19)*СПРАВОЧНИК!$O$11+('ФАКТ ЧИСТ К2'!P19)*СПРАВОЧНИК!$P$11+('ФАКТ ЧИСТ К2'!Q19)*СПРАВОЧНИК!$L$12+('ФАКТ ЧИСТ К2'!R19)*СПРАВОЧНИК!$M$12+('ФАКТ ЧИСТ К2'!S19)*СПРАВОЧНИК!$N$12+('ФАКТ ЧИСТ К2'!T19)*СПРАВОЧНИК!$O$12+('ФАКТ ЧИСТ К2'!U19)*СПРАВОЧНИК!$P$12+('ФАКТ ЧИСТ К2'!V19)*СПРАВОЧНИК!$L$13+('ФАКТ ЧИСТ К2'!W19)*СПРАВОЧНИК!$M$13+('ФАКТ ЧИСТ К2'!X19)*СПРАВОЧНИК!$N$13+('ФАКТ ЧИСТ К2'!Y19)*СПРАВОЧНИК!$O$13+('ФАКТ ЧИСТ К2'!Z19)*СПРАВОЧНИК!$P$13+('ФАКТ ЧИСТ К2'!AA19)*СПРАВОЧНИК!$L$14+('ФАКТ ЧИСТ К2'!AB19)*СПРАВОЧНИК!$M$14+('ФАКТ ЧИСТ К2'!AC19)*СПРАВОЧНИК!$N$14+('ФАКТ ЧИСТ К2'!AD19)*СПРАВОЧНИК!$O$14+('ФАКТ ЧИСТ К2'!AE19)*СПРАВОЧНИК!$P$14+('ФАКТ ЧИСТ К2'!AF19)*СПРАВОЧНИК!$L$15+('ФАКТ ЧИСТ К2'!AG19)*СПРАВОЧНИК!$M$15+('ФАКТ ЧИСТ К2'!AH19)*СПРАВОЧНИК!$N$15+('ФАКТ ЧИСТ К2'!AI19)*СПРАВОЧНИК!$O$15+('ФАКТ ЧИСТ К2'!AJ19)*СПРАВОЧНИК!$P$15</f>
        <v/>
      </c>
      <c r="BA28" s="34" t="n"/>
      <c r="BD28" s="152">
        <f>BD27+7</f>
        <v/>
      </c>
      <c r="BE28" s="17">
        <f>СПРАВОЧНИК!$E$9*('ПЛАН ЧЕРН К3'!B19*СПРАВОЧНИК!$H$9+'ПЛАН ЧЕРН К3'!C19*СПРАВОЧНИК!$I$9+'ПЛАН ЧЕРН К3'!D19*СПРАВОЧНИК!$J$9)+СПРАВОЧНИК!$F$9*('ПЛАН ЧИСТ К3'!B19*СПРАВОЧНИК!$L$9+'ПЛАН ЧИСТ К3'!C19*СПРАВОЧНИК!$M$9+'ПЛАН ЧИСТ К3'!D19*СПРАВОЧНИК!$N$9+'ПЛАН ЧИСТ К3'!E19*СПРАВОЧНИК!$O$9+'ПЛАН ЧИСТ К3'!F19*СПРАВОЧНИК!$P$9)+СПРАВОЧНИК!$E$10*('ПЛАН ЧЕРН К3'!E19*СПРАВОЧНИК!$H$10+'ПЛАН ЧЕРН К3'!F19*СПРАВОЧНИК!$I$10+'ПЛАН ЧЕРН К3'!G19*СПРАВОЧНИК!$J$10)+СПРАВОЧНИК!$F$10*('ПЛАН ЧИСТ К3'!G19*СПРАВОЧНИК!$L$10+'ПЛАН ЧИСТ К3'!H19*СПРАВОЧНИК!$M$10+'ПЛАН ЧИСТ К3'!I19*СПРАВОЧНИК!$N$10+'ПЛАН ЧИСТ К3'!J19*СПРАВОЧНИК!$O$10+'ПЛАН ЧИСТ К3'!K19*СПРАВОЧНИК!$P$10)+СПРАВОЧНИК!$E$11*('ПЛАН ЧЕРН К3'!H19*СПРАВОЧНИК!$H$11+'ПЛАН ЧЕРН К3'!I19*СПРАВОЧНИК!$I$11+'ПЛАН ЧЕРН К3'!J19*СПРАВОЧНИК!$J$11)+СПРАВОЧНИК!$F$11*('ПЛАН ЧИСТ К3'!L19*СПРАВОЧНИК!$L$11+'ПЛАН ЧИСТ К3'!M19*СПРАВОЧНИК!$M$11+'ПЛАН ЧИСТ К3'!N19*СПРАВОЧНИК!$N$11+'ПЛАН ЧИСТ К3'!O19*СПРАВОЧНИК!$O$11+'ПЛАН ЧИСТ К3'!P19*СПРАВОЧНИК!$P$11)+СПРАВОЧНИК!$E$12*('ПЛАН ЧЕРН К3'!K19*СПРАВОЧНИК!$H$12+'ПЛАН ЧЕРН К3'!L19*СПРАВОЧНИК!$I$12+'ПЛАН ЧЕРН К3'!M19*СПРАВОЧНИК!$J$12)+СПРАВОЧНИК!$F$12*('ПЛАН ЧИСТ К3'!Q19*СПРАВОЧНИК!$L$12+'ПЛАН ЧИСТ К3'!R19*СПРАВОЧНИК!$M$12+'ПЛАН ЧИСТ К3'!S19*СПРАВОЧНИК!$N$12+'ПЛАН ЧИСТ К3'!T19*СПРАВОЧНИК!$O$12+'ПЛАН ЧИСТ К3'!U19*СПРАВОЧНИК!$P$12)+СПРАВОЧНИК!$E$13*('ПЛАН ЧЕРН К3'!N19*СПРАВОЧНИК!$H$13+'ПЛАН ЧЕРН К3'!O19*СПРАВОЧНИК!$I$13+'ПЛАН ЧЕРН К3'!P19*СПРАВОЧНИК!$J$13)+СПРАВОЧНИК!$F$13*('ПЛАН ЧИСТ К3'!V19*СПРАВОЧНИК!$L$13+'ПЛАН ЧИСТ К3'!W19*СПРАВОЧНИК!$M$13+'ПЛАН ЧИСТ К3'!X19*СПРАВОЧНИК!$N$13+'ПЛАН ЧИСТ К3'!Y19*СПРАВОЧНИК!$O$13+'ПЛАН ЧИСТ К3'!Z19*СПРАВОЧНИК!$P$13)+СПРАВОЧНИК!$E$14*('ПЛАН ЧЕРН К3'!Q19*СПРАВОЧНИК!$H$14+'ПЛАН ЧЕРН К3'!R19*СПРАВОЧНИК!$I$14+'ПЛАН ЧЕРН К3'!S19*СПРАВОЧНИК!$J$14)+СПРАВОЧНИК!$F$14*('ПЛАН ЧИСТ К3'!AA19*СПРАВОЧНИК!$L$14+'ПЛАН ЧИСТ К3'!AB19*СПРАВОЧНИК!$M$14+'ПЛАН ЧИСТ К3'!AC19*СПРАВОЧНИК!$N$14+'ПЛАН ЧИСТ К3'!AD19*СПРАВОЧНИК!$O$14+'ПЛАН ЧИСТ К3'!AE19*СПРАВОЧНИК!$P$14)+СПРАВОЧНИК!$E$15*('ПЛАН ЧЕРН К3'!T19*СПРАВОЧНИК!$H$15+'ПЛАН ЧЕРН К3'!U19*СПРАВОЧНИК!$I$15+'ПЛАН ЧЕРН К3'!V19*СПРАВОЧНИК!$J$15)+СПРАВОЧНИК!$F$15*('ПЛАН ЧИСТ К3'!AF19*СПРАВОЧНИК!$L$15+'ПЛАН ЧИСТ К3'!AG19*СПРАВОЧНИК!$M$15+'ПЛАН ЧИСТ К3'!AH19*СПРАВОЧНИК!$N$15+'ПЛАН ЧИСТ К3'!AI19*СПРАВОЧНИК!$O$15+'ПЛАН ЧИСТ К3'!AJ19*СПРАВОЧНИК!$P$15)</f>
        <v/>
      </c>
      <c r="BF28" s="31">
        <f>СПРАВОЧНИК!$E$9*('ФАКТ ЧЕРН К3'!B19*СПРАВОЧНИК!$H$9+'ФАКТ ЧЕРН К3'!C19*СПРАВОЧНИК!$I$9+'ФАКТ ЧЕРН К3'!D19*СПРАВОЧНИК!$J$9)+СПРАВОЧНИК!$F$9*('ФАКТ ЧИСТ К3'!B19*СПРАВОЧНИК!$L$9+'ФАКТ ЧИСТ К3'!C19*СПРАВОЧНИК!$M$9+'ФАКТ ЧИСТ К3'!D19*СПРАВОЧНИК!$N$9+'ФАКТ ЧИСТ К3'!E19*СПРАВОЧНИК!$O$9+'ФАКТ ЧИСТ К3'!F19*СПРАВОЧНИК!$P$9)+СПРАВОЧНИК!$E$10*('ФАКТ ЧЕРН К3'!E19*СПРАВОЧНИК!$H$10+'ФАКТ ЧЕРН К3'!F19*СПРАВОЧНИК!$I$10+'ФАКТ ЧЕРН К3'!G19*СПРАВОЧНИК!$J$10)+СПРАВОЧНИК!$F$10*('ФАКТ ЧИСТ К3'!G19*СПРАВОЧНИК!$L$10+'ФАКТ ЧИСТ К3'!H19*СПРАВОЧНИК!$M$10+'ФАКТ ЧИСТ К3'!I19*СПРАВОЧНИК!$N$10+'ФАКТ ЧИСТ К3'!J19*СПРАВОЧНИК!$O$10+'ФАКТ ЧИСТ К3'!K19*СПРАВОЧНИК!$P$10)+СПРАВОЧНИК!$E$11*('ФАКТ ЧЕРН К3'!H19*СПРАВОЧНИК!$H$11+'ФАКТ ЧЕРН К3'!I19*СПРАВОЧНИК!$I$11+'ФАКТ ЧЕРН К3'!J19*СПРАВОЧНИК!$J$11)+СПРАВОЧНИК!$F$11*('ФАКТ ЧИСТ К3'!L19*СПРАВОЧНИК!$L$11+'ФАКТ ЧИСТ К3'!M19*СПРАВОЧНИК!$M$11+'ФАКТ ЧИСТ К3'!N19*СПРАВОЧНИК!$N$11+'ФАКТ ЧИСТ К3'!O19*СПРАВОЧНИК!$O$11+'ФАКТ ЧИСТ К3'!P19*СПРАВОЧНИК!$P$11)+СПРАВОЧНИК!$E$12*('ФАКТ ЧЕРН К3'!K19*СПРАВОЧНИК!$H$12+'ФАКТ ЧЕРН К3'!L19*СПРАВОЧНИК!$I$12+'ФАКТ ЧЕРН К3'!M19*СПРАВОЧНИК!$J$12)+СПРАВОЧНИК!$F$12*('ФАКТ ЧИСТ К3'!Q19*СПРАВОЧНИК!$L$12+'ФАКТ ЧИСТ К3'!R19*СПРАВОЧНИК!$M$12+'ФАКТ ЧИСТ К3'!S19*СПРАВОЧНИК!$N$12+'ФАКТ ЧИСТ К3'!T19*СПРАВОЧНИК!$O$12+'ФАКТ ЧИСТ К3'!U19*СПРАВОЧНИК!$P$12)+СПРАВОЧНИК!$E$13*('ФАКТ ЧЕРН К3'!N19*СПРАВОЧНИК!$H$13+'ФАКТ ЧЕРН К3'!O19*СПРАВОЧНИК!$I$13+'ФАКТ ЧЕРН К3'!P19*СПРАВОЧНИК!$J$13)+СПРАВОЧНИК!$F$13*('ФАКТ ЧИСТ К3'!V19*СПРАВОЧНИК!$L$13+'ФАКТ ЧИСТ К3'!W19*СПРАВОЧНИК!$M$13+'ФАКТ ЧИСТ К3'!X19*СПРАВОЧНИК!$N$13+'ФАКТ ЧИСТ К3'!Y19*СПРАВОЧНИК!$O$13+'ФАКТ ЧИСТ К3'!Z19*СПРАВОЧНИК!$P$13)+СПРАВОЧНИК!$E$14*('ФАКТ ЧЕРН К3'!Q19*СПРАВОЧНИК!$H$14+'ФАКТ ЧЕРН К3'!R19*СПРАВОЧНИК!$I$14+'ФАКТ ЧЕРН К3'!S19*СПРАВОЧНИК!$J$14)+СПРАВОЧНИК!$F$14*('ФАКТ ЧИСТ К3'!AA19*СПРАВОЧНИК!$L$14+'ФАКТ ЧИСТ К3'!AB19*СПРАВОЧНИК!$M$14+'ФАКТ ЧИСТ К3'!AC19*СПРАВОЧНИК!$N$14+'ФАКТ ЧИСТ К3'!AD19*СПРАВОЧНИК!$O$14+'ФАКТ ЧИСТ К3'!AE19*СПРАВОЧНИК!$P$14)+СПРАВОЧНИК!$E$15*('ФАКТ ЧЕРН К3'!T19*СПРАВОЧНИК!$H$15+'ФАКТ ЧЕРН К3'!U19*СПРАВОЧНИК!$I$15+'ФАКТ ЧЕРН К3'!V19*СПРАВОЧНИК!$J$15)+СПРАВОЧНИК!$F$15*('ФАКТ ЧИСТ К3'!AF19*СПРАВОЧНИК!$L$15+'ФАКТ ЧИСТ К3'!AG19*СПРАВОЧНИК!$M$15+'ФАКТ ЧИСТ К3'!AH19*СПРАВОЧНИК!$N$15+'ФАКТ ЧИСТ К3'!AI19*СПРАВОЧНИК!$O$15+'ФАКТ ЧИСТ К3'!AJ19*СПРАВОЧНИК!$P$15)</f>
        <v/>
      </c>
      <c r="BG28" s="34" t="n"/>
      <c r="BJ28" s="152">
        <f>BJ27+7</f>
        <v/>
      </c>
      <c r="BK28" s="17">
        <f>'ПЛАН ЧЕРН К3'!B19*СПРАВОЧНИК!$H$9+'ПЛАН ЧЕРН К3'!C19*СПРАВОЧНИК!$I$9+'ПЛАН ЧЕРН К3'!D19*СПРАВОЧНИК!$J$9+'ПЛАН ЧЕРН К3'!E19*СПРАВОЧНИК!$H$10+'ПЛАН ЧЕРН К3'!F19*СПРАВОЧНИК!$I$10+'ПЛАН ЧЕРН К3'!G19*СПРАВОЧНИК!$J$10+'ПЛАН ЧЕРН К3'!H19*СПРАВОЧНИК!$H$11+'ПЛАН ЧЕРН К3'!I19*СПРАВОЧНИК!$I$11+'ПЛАН ЧЕРН К3'!J19*СПРАВОЧНИК!$J$11+'ПЛАН ЧЕРН К3'!K19*СПРАВОЧНИК!$H$12+'ПЛАН ЧЕРН К3'!L19*СПРАВОЧНИК!$I$12+'ПЛАН ЧЕРН К3'!M19*СПРАВОЧНИК!$J$12+'ПЛАН ЧЕРН К3'!N19*СПРАВОЧНИК!$H$13+'ПЛАН ЧЕРН К3'!O19*СПРАВОЧНИК!$I$13+'ПЛАН ЧЕРН К3'!P19*СПРАВОЧНИК!$J$13+'ПЛАН ЧЕРН К3'!Q19*СПРАВОЧНИК!$H$14+'ПЛАН ЧЕРН К3'!R19*СПРАВОЧНИК!$I$14+'ПЛАН ЧЕРН К3'!S19*СПРАВОЧНИК!$J$14+'ПЛАН ЧЕРН К3'!T19*СПРАВОЧНИК!$H$15+'ПЛАН ЧЕРН К3'!U19*СПРАВОЧНИК!$I$15+'ПЛАН ЧЕРН К3'!V19*СПРАВОЧНИК!$J$15</f>
        <v/>
      </c>
      <c r="BL28" s="31">
        <f>('ФАКТ ЧЕРН К3'!B19)*СПРАВОЧНИК!$H$9+('ФАКТ ЧЕРН К3'!C19)*СПРАВОЧНИК!$I$9+('ФАКТ ЧЕРН К3'!D19)*СПРАВОЧНИК!$J$9+('ФАКТ ЧЕРН К3'!E19)*СПРАВОЧНИК!$H$10+('ФАКТ ЧЕРН К3'!F19)*СПРАВОЧНИК!$I$10+('ФАКТ ЧЕРН К3'!G19)*СПРАВОЧНИК!$J$10+('ФАКТ ЧЕРН К3'!H19)*СПРАВОЧНИК!$H$11+('ФАКТ ЧЕРН К3'!I19)*СПРАВОЧНИК!$I$11+('ФАКТ ЧЕРН К3'!J19)*СПРАВОЧНИК!$J$11+('ФАКТ ЧЕРН К3'!K19)*СПРАВОЧНИК!$H$12+('ФАКТ ЧЕРН К3'!L19)*СПРАВОЧНИК!$I$12+('ФАКТ ЧЕРН К3'!M19)*СПРАВОЧНИК!$J$12+('ФАКТ ЧЕРН К3'!N19)*СПРАВОЧНИК!$H$13+('ФАКТ ЧЕРН К3'!O19)*СПРАВОЧНИК!$I$13+('ФАКТ ЧЕРН К3'!P19)*СПРАВОЧНИК!$J$13+('ФАКТ ЧЕРН К3'!Q19)*СПРАВОЧНИК!$H$14+('ФАКТ ЧЕРН К3'!R19)*СПРАВОЧНИК!$I$14+('ФАКТ ЧЕРН К3'!S19)*СПРАВОЧНИК!$J$14+('ФАКТ ЧЕРН К3'!T19)*СПРАВОЧНИК!$H$15+('ФАКТ ЧЕРН К3'!U19)*СПРАВОЧНИК!$I$15+('ФАКТ ЧЕРН К3'!V19)*СПРАВОЧНИК!$J$15</f>
        <v/>
      </c>
      <c r="BM28" s="34" t="n"/>
      <c r="BP28" s="152">
        <f>BP27+7</f>
        <v/>
      </c>
      <c r="BQ28" s="17">
        <f>'ПЛАН ЧИСТ К3'!B19*СПРАВОЧНИК!$L$9+'ПЛАН ЧИСТ К3'!C19*СПРАВОЧНИК!$M$9+'ПЛАН ЧИСТ К3'!D19*СПРАВОЧНИК!$N$9+'ПЛАН ЧИСТ К3'!E19*СПРАВОЧНИК!$O$9+'ПЛАН ЧИСТ К3'!F19*СПРАВОЧНИК!$P$9+'ПЛАН ЧИСТ К3'!G19*СПРАВОЧНИК!$L$10+'ПЛАН ЧИСТ К3'!H19*СПРАВОЧНИК!$M$10+'ПЛАН ЧИСТ К3'!I19*СПРАВОЧНИК!$N$10+'ПЛАН ЧИСТ К3'!J19*СПРАВОЧНИК!$O$10+'ПЛАН ЧИСТ К3'!K19*СПРАВОЧНИК!$P$10+'ПЛАН ЧИСТ К3'!L19*СПРАВОЧНИК!$L$11+'ПЛАН ЧИСТ К3'!M19*СПРАВОЧНИК!$M$11+'ПЛАН ЧИСТ К3'!N19*СПРАВОЧНИК!$N$11+'ПЛАН ЧИСТ К3'!O19*СПРАВОЧНИК!$O$11+'ПЛАН ЧИСТ К3'!P19*СПРАВОЧНИК!$P$11+'ПЛАН ЧИСТ К3'!Q19*СПРАВОЧНИК!$L$12+'ПЛАН ЧИСТ К3'!R19*СПРАВОЧНИК!$M$12+'ПЛАН ЧИСТ К3'!S19*СПРАВОЧНИК!$N$12+'ПЛАН ЧИСТ К3'!T19*СПРАВОЧНИК!$O$12+'ПЛАН ЧИСТ К3'!U19*СПРАВОЧНИК!$P$12+'ПЛАН ЧИСТ К3'!V19*СПРАВОЧНИК!$L$13+'ПЛАН ЧИСТ К3'!W19*СПРАВОЧНИК!$M$13+'ПЛАН ЧИСТ К3'!X19*СПРАВОЧНИК!$N$13+'ПЛАН ЧИСТ К3'!Y19*СПРАВОЧНИК!$O$13+'ПЛАН ЧИСТ К3'!Z19*СПРАВОЧНИК!$P$13+'ПЛАН ЧИСТ К3'!AA19*СПРАВОЧНИК!$L$14+'ПЛАН ЧИСТ К3'!AB19*СПРАВОЧНИК!$M$14+'ПЛАН ЧИСТ К3'!AC19*СПРАВОЧНИК!$N$14+'ПЛАН ЧИСТ К3'!AD19*СПРАВОЧНИК!$O$14+'ПЛАН ЧИСТ К3'!AE19*СПРАВОЧНИК!$P$14+'ПЛАН ЧИСТ К3'!AF19*СПРАВОЧНИК!$L$15+'ПЛАН ЧИСТ К3'!AG19*СПРАВОЧНИК!$M$15+'ПЛАН ЧИСТ К3'!AH19*СПРАВОЧНИК!$N$15+'ПЛАН ЧИСТ К3'!AI19*СПРАВОЧНИК!$O$15+'ПЛАН ЧИСТ К3'!AJ19*СПРАВОЧНИК!$P$15</f>
        <v/>
      </c>
      <c r="BR28" s="31">
        <f>('ФАКТ ЧИСТ К3'!B19)*СПРАВОЧНИК!$L$9+('ФАКТ ЧИСТ К3'!C19)*СПРАВОЧНИК!$M$9+('ФАКТ ЧИСТ К3'!D19)*СПРАВОЧНИК!$N$9+('ФАКТ ЧИСТ К3'!E19)*СПРАВОЧНИК!$O$9+('ФАКТ ЧИСТ К3'!F19)*СПРАВОЧНИК!$P$9+('ФАКТ ЧИСТ К3'!G19)*СПРАВОЧНИК!$L$10+('ФАКТ ЧИСТ К3'!H19)*СПРАВОЧНИК!$M$10+('ФАКТ ЧИСТ К3'!I19)*СПРАВОЧНИК!$N$10+('ФАКТ ЧИСТ К3'!J19)*СПРАВОЧНИК!$O$10+('ФАКТ ЧИСТ К3'!K19)*СПРАВОЧНИК!$P$10+('ФАКТ ЧИСТ К3'!L19)*СПРАВОЧНИК!$L$11+('ФАКТ ЧИСТ К3'!M19)*СПРАВОЧНИК!$M$11+('ФАКТ ЧИСТ К3'!N19)*СПРАВОЧНИК!$N$11+('ФАКТ ЧИСТ К3'!O19)*СПРАВОЧНИК!$O$11+('ФАКТ ЧИСТ К3'!P19)*СПРАВОЧНИК!$P$11+('ФАКТ ЧИСТ К3'!Q19)*СПРАВОЧНИК!$L$12+('ФАКТ ЧИСТ К3'!R19)*СПРАВОЧНИК!$M$12+('ФАКТ ЧИСТ К3'!S19)*СПРАВОЧНИК!$N$12+('ФАКТ ЧИСТ К3'!T19)*СПРАВОЧНИК!$O$12+('ФАКТ ЧИСТ К3'!U19)*СПРАВОЧНИК!$P$12+('ФАКТ ЧИСТ К3'!V19)*СПРАВОЧНИК!$L$13+('ФАКТ ЧИСТ К3'!W19)*СПРАВОЧНИК!$M$13+('ФАКТ ЧИСТ К3'!X19)*СПРАВОЧНИК!$N$13+('ФАКТ ЧИСТ К3'!Y19)*СПРАВОЧНИК!$O$13+('ФАКТ ЧИСТ К3'!Z19)*СПРАВОЧНИК!$P$13+('ФАКТ ЧИСТ К3'!AA19)*СПРАВОЧНИК!$L$14+('ФАКТ ЧИСТ К3'!AB19)*СПРАВОЧНИК!$M$14+('ФАКТ ЧИСТ К3'!AC19)*СПРАВОЧНИК!$N$14+('ФАКТ ЧИСТ К3'!AD19)*СПРАВОЧНИК!$O$14+('ФАКТ ЧИСТ К3'!AE19)*СПРАВОЧНИК!$P$14+('ФАКТ ЧИСТ К3'!AF19)*СПРАВОЧНИК!$L$15+('ФАКТ ЧИСТ К3'!AG19)*СПРАВОЧНИК!$M$15+('ФАКТ ЧИСТ К3'!AH19)*СПРАВОЧНИК!$N$15+('ФАКТ ЧИСТ К3'!AI19)*СПРАВОЧНИК!$O$15+('ФАКТ ЧИСТ К3'!AJ19)*СПРАВОЧНИК!$P$15</f>
        <v/>
      </c>
      <c r="BS28" s="34" t="n"/>
      <c r="BV28" s="152">
        <f>BV27+7</f>
        <v/>
      </c>
      <c r="BW28" s="17">
        <f>U28*СПРАВОЧНИК!$K$28+AM28*СПРАВОЧНИК!$K$29+BE28*СПРАВОЧНИК!$K$30</f>
        <v/>
      </c>
      <c r="BX28" s="31">
        <f>V28*СПРАВОЧНИК!$K$28+AN28*СПРАВОЧНИК!$K$29+BF28*СПРАВОЧНИК!$K$30</f>
        <v/>
      </c>
      <c r="BY28" s="34" t="n"/>
      <c r="CB28" s="152">
        <f>CB27+7</f>
        <v/>
      </c>
      <c r="CC28" s="17">
        <f>AA28*СПРАВОЧНИК!$K$28+AS28*СПРАВОЧНИК!$K$29+BK28*СПРАВОЧНИК!$K$30</f>
        <v/>
      </c>
      <c r="CD28" s="31">
        <f>AB28*СПРАВОЧНИК!$K$28+AT28*СПРАВОЧНИК!$K$29+BL28*СПРАВОЧНИК!$K$30</f>
        <v/>
      </c>
      <c r="CE28" s="34" t="n"/>
      <c r="CH28" s="152">
        <f>CH27+7</f>
        <v/>
      </c>
      <c r="CI28" s="17">
        <f>AG28*СПРАВОЧНИК!$K$28+AY28*СПРАВОЧНИК!$K$29+BQ28*СПРАВОЧНИК!$K$30</f>
        <v/>
      </c>
      <c r="CJ28" s="31">
        <f>AH28*СПРАВОЧНИК!$K$28+AZ28*СПРАВОЧНИК!$K$29+BR28*СПРАВОЧНИК!$K$30</f>
        <v/>
      </c>
      <c r="CK28" s="34" t="n"/>
      <c r="CN28" s="152">
        <f>CN27+7</f>
        <v/>
      </c>
      <c r="CO28" s="17">
        <f>C28*СПРАВОЧНИК!$W$18+BW28*СПРАВОЧНИК!$W$19</f>
        <v/>
      </c>
      <c r="CP28" s="31">
        <f>D28*СПРАВОЧНИК!$W$18+BX28*СПРАВОЧНИК!$W$19</f>
        <v/>
      </c>
      <c r="CQ28" s="34" t="n"/>
      <c r="CT28" s="152">
        <f>CT27+7</f>
        <v/>
      </c>
      <c r="CU28" s="17">
        <f>I28*СПРАВОЧНИК!$W$18+CC28*СПРАВОЧНИК!$W$19</f>
        <v/>
      </c>
      <c r="CV28" s="31">
        <f>J28*СПРАВОЧНИК!$W$18+CD28*СПРАВОЧНИК!$W$19</f>
        <v/>
      </c>
      <c r="CW28" s="34" t="n"/>
      <c r="CZ28" s="152">
        <f>CZ27+7</f>
        <v/>
      </c>
      <c r="DA28" s="17">
        <f>O28*СПРАВОЧНИК!$W$18+CI28*СПРАВОЧНИК!$W$19</f>
        <v/>
      </c>
      <c r="DB28" s="31">
        <f>P28*СПРАВОЧНИК!$W$18+CJ28*СПРАВОЧНИК!$W$19</f>
        <v/>
      </c>
      <c r="DC28" s="34" t="n"/>
    </row>
    <row r="29">
      <c r="B29" s="152">
        <f>B28+7</f>
        <v/>
      </c>
      <c r="C29" s="17">
        <f>СПРАВОЧНИК!$E$3*('ПЛАН ЧЕРН ПОДЗЕМ'!B20*СПРАВОЧНИК!$H$3+'ПЛАН ЧЕРН ПОДЗЕМ'!C20*СПРАВОЧНИК!$I$3+'ПЛАН ЧЕРН ПОДЗЕМ'!D20*СПРАВОЧНИК!$J$3)+СПРАВОЧНИК!$F$3*('ПЛАН ЧИСТ ПОДЗЕМ'!B20*СПРАВОЧНИК!$L$3+'ПЛАН ЧИСТ ПОДЗЕМ'!C20*СПРАВОЧНИК!$M$3+'ПЛАН ЧИСТ ПОДЗЕМ'!D20*СПРАВОЧНИК!$N$3+'ПЛАН ЧИСТ ПОДЗЕМ'!E20*СПРАВОЧНИК!$O$3+'ПЛАН ЧИСТ ПОДЗЕМ'!F20*СПРАВОЧНИК!$P$3)+СПРАВОЧНИК!$E$4*('ПЛАН ЧЕРН ПОДЗЕМ'!E20*СПРАВОЧНИК!$H$4+'ПЛАН ЧЕРН ПОДЗЕМ'!F20*СПРАВОЧНИК!$I$4+'ПЛАН ЧЕРН ПОДЗЕМ'!G20*СПРАВОЧНИК!$J$4)+СПРАВОЧНИК!$F$4*('ПЛАН ЧИСТ ПОДЗЕМ'!G20*СПРАВОЧНИК!$L$4+'ПЛАН ЧИСТ ПОДЗЕМ'!H20*СПРАВОЧНИК!$M$4+'ПЛАН ЧИСТ ПОДЗЕМ'!I20*СПРАВОЧНИК!$N$4+'ПЛАН ЧИСТ ПОДЗЕМ'!J20*СПРАВОЧНИК!$O$4+'ПЛАН ЧИСТ ПОДЗЕМ'!K20*СПРАВОЧНИК!$P$4)+СПРАВОЧНИК!$E$5*('ПЛАН ЧЕРН ПОДЗЕМ'!H20*СПРАВОЧНИК!$H$5+'ПЛАН ЧЕРН ПОДЗЕМ'!I20*СПРАВОЧНИК!$I$5+'ПЛАН ЧЕРН ПОДЗЕМ'!J20*СПРАВОЧНИК!$J$5)+СПРАВОЧНИК!$F$5*('ПЛАН ЧИСТ ПОДЗЕМ'!L20*СПРАВОЧНИК!$L$5+'ПЛАН ЧИСТ ПОДЗЕМ'!M20*СПРАВОЧНИК!$M$5+'ПЛАН ЧИСТ ПОДЗЕМ'!N20*СПРАВОЧНИК!$N$5+'ПЛАН ЧИСТ ПОДЗЕМ'!O20*СПРАВОЧНИК!$O$5+'ПЛАН ЧИСТ ПОДЗЕМ'!P20*СПРАВОЧНИК!$P$5)+СПРАВОЧНИК!$E$6*('ПЛАН ЧЕРН ПОДЗЕМ'!K20*СПРАВОЧНИК!$H$6+'ПЛАН ЧЕРН ПОДЗЕМ'!L20*СПРАВОЧНИК!$I$6+'ПЛАН ЧЕРН ПОДЗЕМ'!M20*СПРАВОЧНИК!$J$6)+СПРАВОЧНИК!$F$6*('ПЛАН ЧИСТ ПОДЗЕМ'!Q20*СПРАВОЧНИК!$L$6+'ПЛАН ЧИСТ ПОДЗЕМ'!R20*СПРАВОЧНИК!$M$6+'ПЛАН ЧИСТ ПОДЗЕМ'!S20*СПРАВОЧНИК!$N$6+'ПЛАН ЧИСТ ПОДЗЕМ'!T20*СПРАВОЧНИК!$O$6+'ПЛАН ЧИСТ ПОДЗЕМ'!U20*СПРАВОЧНИК!$P$6)+СПРАВОЧНИК!$E$7*('ПЛАН ЧЕРН ПОДЗЕМ'!N20*СПРАВОЧНИК!$H$7+'ПЛАН ЧЕРН ПОДЗЕМ'!O20*СПРАВОЧНИК!$I$7+'ПЛАН ЧЕРН ПОДЗЕМ'!P20*СПРАВОЧНИК!$J$7)+СПРАВОЧНИК!$F$7*('ПЛАН ЧИСТ ПОДЗЕМ'!V20*СПРАВОЧНИК!$L$7+'ПЛАН ЧИСТ ПОДЗЕМ'!W20*СПРАВОЧНИК!$M$7+'ПЛАН ЧИСТ ПОДЗЕМ'!X20*СПРАВОЧНИК!$N$7+'ПЛАН ЧИСТ ПОДЗЕМ'!Y20*СПРАВОЧНИК!$O$7+'ПЛАН ЧИСТ ПОДЗЕМ'!Z20*СПРАВОЧНИК!$P$7)+СПРАВОЧНИК!$E$8*('ПЛАН ЧЕРН ПОДЗЕМ'!Q20*СПРАВОЧНИК!$H$8+'ПЛАН ЧЕРН ПОДЗЕМ'!R20*СПРАВОЧНИК!$I$8+'ПЛАН ЧЕРН ПОДЗЕМ'!S20*СПРАВОЧНИК!$J$8)+СПРАВОЧНИК!$F$8*('ПЛАН ЧИСТ ПОДЗЕМ'!AA20*СПРАВОЧНИК!$L$8+'ПЛАН ЧИСТ ПОДЗЕМ'!AB20*СПРАВОЧНИК!$M$8+'ПЛАН ЧИСТ ПОДЗЕМ'!AC20*СПРАВОЧНИК!$N$8+'ПЛАН ЧИСТ ПОДЗЕМ'!AD20*СПРАВОЧНИК!$O$8+'ПЛАН ЧИСТ ПОДЗЕМ'!AE20*СПРАВОЧНИК!$P$8)</f>
        <v/>
      </c>
      <c r="D29" s="31">
        <f>СПРАВОЧНИК!$E$3*('ФАКТ ЧЕРН ПОДЗЕМ'!B20*СПРАВОЧНИК!$H$3+'ФАКТ ЧЕРН ПОДЗЕМ'!C20*СПРАВОЧНИК!$I$3+'ФАКТ ЧЕРН ПОДЗЕМ'!D20*СПРАВОЧНИК!$J$3)+СПРАВОЧНИК!$F$3*('ФАКТ ЧИСТ ПОДЗЕМ'!B20*СПРАВОЧНИК!$L$3+'ФАКТ ЧИСТ ПОДЗЕМ'!C20*СПРАВОЧНИК!$M$3+'ФАКТ ЧИСТ ПОДЗЕМ'!D20*СПРАВОЧНИК!$N$3+'ФАКТ ЧИСТ ПОДЗЕМ'!E20*СПРАВОЧНИК!$O$3+'ФАКТ ЧИСТ ПОДЗЕМ'!F20*СПРАВОЧНИК!$P$3)+СПРАВОЧНИК!$E$4*('ФАКТ ЧЕРН ПОДЗЕМ'!E20*СПРАВОЧНИК!$H$4+'ФАКТ ЧЕРН ПОДЗЕМ'!F20*СПРАВОЧНИК!$I$4+'ФАКТ ЧЕРН ПОДЗЕМ'!G20*СПРАВОЧНИК!$J$4)+СПРАВОЧНИК!$F$4*('ФАКТ ЧИСТ ПОДЗЕМ'!G20*СПРАВОЧНИК!$L$4+'ФАКТ ЧИСТ ПОДЗЕМ'!H20*СПРАВОЧНИК!$M$4+'ФАКТ ЧИСТ ПОДЗЕМ'!I20*СПРАВОЧНИК!$N$4+'ФАКТ ЧИСТ ПОДЗЕМ'!J20*СПРАВОЧНИК!$O$4+'ФАКТ ЧИСТ ПОДЗЕМ'!K20*СПРАВОЧНИК!$P$4)+СПРАВОЧНИК!$E$5*('ФАКТ ЧЕРН ПОДЗЕМ'!H20*СПРАВОЧНИК!$H$5+'ФАКТ ЧЕРН ПОДЗЕМ'!I20*СПРАВОЧНИК!$I$5+'ФАКТ ЧЕРН ПОДЗЕМ'!J20*СПРАВОЧНИК!$J$5)+СПРАВОЧНИК!$F$5*('ФАКТ ЧИСТ ПОДЗЕМ'!L20*СПРАВОЧНИК!$L$5+'ФАКТ ЧИСТ ПОДЗЕМ'!M20*СПРАВОЧНИК!$M$5+'ФАКТ ЧИСТ ПОДЗЕМ'!N20*СПРАВОЧНИК!$N$5+'ФАКТ ЧИСТ ПОДЗЕМ'!O20*СПРАВОЧНИК!$O$5+'ФАКТ ЧИСТ ПОДЗЕМ'!P20*СПРАВОЧНИК!$P$5)+СПРАВОЧНИК!$E$6*('ФАКТ ЧЕРН ПОДЗЕМ'!K20*СПРАВОЧНИК!$H$6+'ФАКТ ЧЕРН ПОДЗЕМ'!L20*СПРАВОЧНИК!$I$6+'ФАКТ ЧЕРН ПОДЗЕМ'!M20*СПРАВОЧНИК!$J$6)+СПРАВОЧНИК!$F$6*('ФАКТ ЧИСТ ПОДЗЕМ'!Q20*СПРАВОЧНИК!$L$6+'ФАКТ ЧИСТ ПОДЗЕМ'!R20*СПРАВОЧНИК!$M$6+'ФАКТ ЧИСТ ПОДЗЕМ'!S20*СПРАВОЧНИК!$N$6+'ФАКТ ЧИСТ ПОДЗЕМ'!T20*СПРАВОЧНИК!$O$6+'ФАКТ ЧИСТ ПОДЗЕМ'!U20*СПРАВОЧНИК!$P$6)+СПРАВОЧНИК!$E$7*('ФАКТ ЧЕРН ПОДЗЕМ'!N20*СПРАВОЧНИК!$H$7+'ФАКТ ЧЕРН ПОДЗЕМ'!O20*СПРАВОЧНИК!$I$7+'ФАКТ ЧЕРН ПОДЗЕМ'!P20*СПРАВОЧНИК!$J$7)+СПРАВОЧНИК!$F$7*('ФАКТ ЧИСТ ПОДЗЕМ'!V20*СПРАВОЧНИК!$L$7+'ФАКТ ЧИСТ ПОДЗЕМ'!W20*СПРАВОЧНИК!$M$7+'ФАКТ ЧИСТ ПОДЗЕМ'!X20*СПРАВОЧНИК!$N$7+'ФАКТ ЧИСТ ПОДЗЕМ'!Y20*СПРАВОЧНИК!$O$7+'ФАКТ ЧИСТ ПОДЗЕМ'!Z20*СПРАВОЧНИК!$P$7)+СПРАВОЧНИК!$E$8*('ФАКТ ЧЕРН ПОДЗЕМ'!Q20*СПРАВОЧНИК!$H$8+'ФАКТ ЧЕРН ПОДЗЕМ'!R20*СПРАВОЧНИК!$I$8+'ФАКТ ЧЕРН ПОДЗЕМ'!S20*СПРАВОЧНИК!$J$8)+СПРАВОЧНИК!$F$8*('ФАКТ ЧИСТ ПОДЗЕМ'!AA20*СПРАВОЧНИК!$L$8+'ФАКТ ЧИСТ ПОДЗЕМ'!AB20*СПРАВОЧНИК!$M$8+'ФАКТ ЧИСТ ПОДЗЕМ'!AC20*СПРАВОЧНИК!$N$8+'ФАКТ ЧИСТ ПОДЗЕМ'!AD20*СПРАВОЧНИК!$O$8+'ФАКТ ЧИСТ ПОДЗЕМ'!AE20*СПРАВОЧНИК!$P$8)</f>
        <v/>
      </c>
      <c r="E29" s="34" t="n"/>
      <c r="H29" s="152">
        <f>H28+7</f>
        <v/>
      </c>
      <c r="I29" s="17">
        <f>'ПЛАН ЧЕРН ПОДЗЕМ'!B20*СПРАВОЧНИК!$H$3+'ПЛАН ЧЕРН ПОДЗЕМ'!C20*СПРАВОЧНИК!$I$3+'ПЛАН ЧЕРН ПОДЗЕМ'!D20*СПРАВОЧНИК!$J$3+'ПЛАН ЧЕРН ПОДЗЕМ'!E20*СПРАВОЧНИК!$H$4+'ПЛАН ЧЕРН ПОДЗЕМ'!F20*СПРАВОЧНИК!$I$4+'ПЛАН ЧЕРН ПОДЗЕМ'!G20*СПРАВОЧНИК!$J$4+'ПЛАН ЧЕРН ПОДЗЕМ'!H20*СПРАВОЧНИК!$H$5+'ПЛАН ЧЕРН ПОДЗЕМ'!I20*СПРАВОЧНИК!$I$5+'ПЛАН ЧЕРН ПОДЗЕМ'!J20*СПРАВОЧНИК!$J$5+'ПЛАН ЧЕРН ПОДЗЕМ'!K20*СПРАВОЧНИК!$H$6+'ПЛАН ЧЕРН ПОДЗЕМ'!L20*СПРАВОЧНИК!$I$6+'ПЛАН ЧЕРН ПОДЗЕМ'!M20*СПРАВОЧНИК!$J$6+'ПЛАН ЧЕРН ПОДЗЕМ'!N20*СПРАВОЧНИК!$H$7+'ПЛАН ЧЕРН ПОДЗЕМ'!O20*СПРАВОЧНИК!$I$7+'ПЛАН ЧЕРН ПОДЗЕМ'!P20*СПРАВОЧНИК!$J$7+'ПЛАН ЧЕРН ПОДЗЕМ'!Q20*СПРАВОЧНИК!$H$8+'ПЛАН ЧЕРН ПОДЗЕМ'!R20*СПРАВОЧНИК!$I$8+'ПЛАН ЧЕРН ПОДЗЕМ'!S20*СПРАВОЧНИК!$J$8</f>
        <v/>
      </c>
      <c r="J29" s="31">
        <f>('ФАКТ ЧЕРН ПОДЗЕМ'!B20)*СПРАВОЧНИК!$H$3+('ФАКТ ЧЕРН ПОДЗЕМ'!C20)*СПРАВОЧНИК!$I$3+('ФАКТ ЧЕРН ПОДЗЕМ'!D20)*СПРАВОЧНИК!$J$3+('ФАКТ ЧЕРН ПОДЗЕМ'!E20)*СПРАВОЧНИК!$H$4+('ФАКТ ЧЕРН ПОДЗЕМ'!F20)*СПРАВОЧНИК!$I$4+('ФАКТ ЧЕРН ПОДЗЕМ'!G20)*СПРАВОЧНИК!$J$4+('ФАКТ ЧЕРН ПОДЗЕМ'!H20)*СПРАВОЧНИК!$H$5+('ФАКТ ЧЕРН ПОДЗЕМ'!I20)*СПРАВОЧНИК!$I$5+('ФАКТ ЧЕРН ПОДЗЕМ'!J20)*СПРАВОЧНИК!$J$5+('ФАКТ ЧЕРН ПОДЗЕМ'!K20)*СПРАВОЧНИК!$H$6+('ФАКТ ЧЕРН ПОДЗЕМ'!L20)*СПРАВОЧНИК!$I$6+('ФАКТ ЧЕРН ПОДЗЕМ'!M20)*СПРАВОЧНИК!$J$6+('ФАКТ ЧЕРН ПОДЗЕМ'!N20)*СПРАВОЧНИК!$H$7+('ФАКТ ЧЕРН ПОДЗЕМ'!O20)*СПРАВОЧНИК!$I$7+('ФАКТ ЧЕРН ПОДЗЕМ'!P20)*СПРАВОЧНИК!$J$7+('ФАКТ ЧЕРН ПОДЗЕМ'!Q20)*СПРАВОЧНИК!$H$8+('ФАКТ ЧЕРН ПОДЗЕМ'!R20)*СПРАВОЧНИК!$I$8+('ФАКТ ЧЕРН ПОДЗЕМ'!S20)*СПРАВОЧНИК!$J$8</f>
        <v/>
      </c>
      <c r="K29" s="34" t="n"/>
      <c r="N29" s="152">
        <f>N28+7</f>
        <v/>
      </c>
      <c r="O29" s="17">
        <f>'ПЛАН ЧИСТ ПОДЗЕМ'!B20*СПРАВОЧНИК!$L$3+'ПЛАН ЧИСТ ПОДЗЕМ'!C20*СПРАВОЧНИК!$M$3+'ПЛАН ЧИСТ ПОДЗЕМ'!D20*СПРАВОЧНИК!$N$3+'ПЛАН ЧИСТ ПОДЗЕМ'!E20*СПРАВОЧНИК!$O$3+'ПЛАН ЧИСТ ПОДЗЕМ'!F20*СПРАВОЧНИК!$P$3+'ПЛАН ЧИСТ ПОДЗЕМ'!G20*СПРАВОЧНИК!$L$4+'ПЛАН ЧИСТ ПОДЗЕМ'!H20*СПРАВОЧНИК!$M$4+'ПЛАН ЧИСТ ПОДЗЕМ'!I20*СПРАВОЧНИК!$N$4+'ПЛАН ЧИСТ ПОДЗЕМ'!J20*СПРАВОЧНИК!$O$4+'ПЛАН ЧИСТ ПОДЗЕМ'!K20*СПРАВОЧНИК!$P$4+'ПЛАН ЧИСТ ПОДЗЕМ'!L20*СПРАВОЧНИК!$L$5+'ПЛАН ЧИСТ ПОДЗЕМ'!M20*СПРАВОЧНИК!$M$5+'ПЛАН ЧИСТ ПОДЗЕМ'!N20*СПРАВОЧНИК!$N$5+'ПЛАН ЧИСТ ПОДЗЕМ'!O20*СПРАВОЧНИК!$O$5+'ПЛАН ЧИСТ ПОДЗЕМ'!P20*СПРАВОЧНИК!$P$5+'ПЛАН ЧИСТ ПОДЗЕМ'!Q20*СПРАВОЧНИК!$L$6+'ПЛАН ЧИСТ ПОДЗЕМ'!R20*СПРАВОЧНИК!$M$6+'ПЛАН ЧИСТ ПОДЗЕМ'!S20*СПРАВОЧНИК!$N$6+'ПЛАН ЧИСТ ПОДЗЕМ'!T20*СПРАВОЧНИК!$O$6+'ПЛАН ЧИСТ ПОДЗЕМ'!U20*СПРАВОЧНИК!$P$6+'ПЛАН ЧИСТ ПОДЗЕМ'!V20*СПРАВОЧНИК!$L$7+'ПЛАН ЧИСТ ПОДЗЕМ'!W20*СПРАВОЧНИК!$M$7+'ПЛАН ЧИСТ ПОДЗЕМ'!X20*СПРАВОЧНИК!$N$7+'ПЛАН ЧИСТ ПОДЗЕМ'!Y20*СПРАВОЧНИК!$O$7+'ПЛАН ЧИСТ ПОДЗЕМ'!Z20*СПРАВОЧНИК!$P$7+'ПЛАН ЧИСТ ПОДЗЕМ'!AA20*СПРАВОЧНИК!$L$8+'ПЛАН ЧИСТ ПОДЗЕМ'!AB20*СПРАВОЧНИК!$M$8+'ПЛАН ЧИСТ ПОДЗЕМ'!AC20*СПРАВОЧНИК!$N$8+'ПЛАН ЧИСТ ПОДЗЕМ'!AD20*СПРАВОЧНИК!$O$8+'ПЛАН ЧИСТ ПОДЗЕМ'!AE20*СПРАВОЧНИК!$P$8</f>
        <v/>
      </c>
      <c r="P29" s="31">
        <f>('ФАКТ ЧИСТ ПОДЗЕМ'!B20)*СПРАВОЧНИК!$L$3+('ФАКТ ЧИСТ ПОДЗЕМ'!C20)*СПРАВОЧНИК!$M$3+('ФАКТ ЧИСТ ПОДЗЕМ'!D20)*СПРАВОЧНИК!$N$3+('ФАКТ ЧИСТ ПОДЗЕМ'!E20)*СПРАВОЧНИК!$O$3+('ФАКТ ЧИСТ ПОДЗЕМ'!F20)*СПРАВОЧНИК!$P$3+('ФАКТ ЧИСТ ПОДЗЕМ'!G20)*СПРАВОЧНИК!$L$4+('ФАКТ ЧИСТ ПОДЗЕМ'!H20)*СПРАВОЧНИК!$M$4+('ФАКТ ЧИСТ ПОДЗЕМ'!I20)*СПРАВОЧНИК!$N$4+('ФАКТ ЧИСТ ПОДЗЕМ'!J20)*СПРАВОЧНИК!$O$4+('ФАКТ ЧИСТ ПОДЗЕМ'!K20)*СПРАВОЧНИК!$P$4+('ФАКТ ЧИСТ ПОДЗЕМ'!L20)*СПРАВОЧНИК!$L$5+('ФАКТ ЧИСТ ПОДЗЕМ'!M20)*СПРАВОЧНИК!$M$5+('ФАКТ ЧИСТ ПОДЗЕМ'!N20)*СПРАВОЧНИК!$N$5+('ФАКТ ЧИСТ ПОДЗЕМ'!O20)*СПРАВОЧНИК!$O$5+('ФАКТ ЧИСТ ПОДЗЕМ'!P20)*СПРАВОЧНИК!$P$5+('ФАКТ ЧИСТ ПОДЗЕМ'!Q20)*СПРАВОЧНИК!$L$6+('ФАКТ ЧИСТ ПОДЗЕМ'!R20)*СПРАВОЧНИК!$M$6+('ФАКТ ЧИСТ ПОДЗЕМ'!S20)*СПРАВОЧНИК!$N$6+('ФАКТ ЧИСТ ПОДЗЕМ'!T20)*СПРАВОЧНИК!$O$6+('ФАКТ ЧИСТ ПОДЗЕМ'!U20)*СПРАВОЧНИК!$P$6+('ФАКТ ЧИСТ ПОДЗЕМ'!V20)*СПРАВОЧНИК!$L$7+('ФАКТ ЧИСТ ПОДЗЕМ'!W20)*СПРАВОЧНИК!$M$7+('ФАКТ ЧИСТ ПОДЗЕМ'!X20)*СПРАВОЧНИК!$N$7+('ФАКТ ЧИСТ ПОДЗЕМ'!Y20)*СПРАВОЧНИК!$O$7+('ФАКТ ЧИСТ ПОДЗЕМ'!Z20)*СПРАВОЧНИК!$P$7+('ФАКТ ЧИСТ ПОДЗЕМ'!AA20)*СПРАВОЧНИК!$L$8+('ФАКТ ЧИСТ ПОДЗЕМ'!AB20)*СПРАВОЧНИК!$M$8+('ФАКТ ЧИСТ ПОДЗЕМ'!AC20)*СПРАВОЧНИК!$N$8+('ФАКТ ЧИСТ ПОДЗЕМ'!AD20)*СПРАВОЧНИК!$O$8+('ФАКТ ЧИСТ ПОДЗЕМ'!AE20)*СПРАВОЧНИК!$P$8</f>
        <v/>
      </c>
      <c r="Q29" s="34" t="n"/>
      <c r="T29" s="152">
        <f>T28+7</f>
        <v/>
      </c>
      <c r="U29" s="17">
        <f>СПРАВОЧНИК!$E$9*('ПЛАН ЧЕРН К1'!B20*СПРАВОЧНИК!$H$9+'ПЛАН ЧЕРН К1'!C20*СПРАВОЧНИК!$I$9+'ПЛАН ЧЕРН К1'!D20*СПРАВОЧНИК!$J$9)+СПРАВОЧНИК!$F$9*('ПЛАН ЧИСТ К1'!B20*СПРАВОЧНИК!$L$9+'ПЛАН ЧИСТ К1'!C20*СПРАВОЧНИК!$M$9+'ПЛАН ЧИСТ К1'!D20*СПРАВОЧНИК!$N$9+'ПЛАН ЧИСТ К1'!E20*СПРАВОЧНИК!$O$9+'ПЛАН ЧИСТ К1'!F20*СПРАВОЧНИК!$P$9)+СПРАВОЧНИК!$E$10*('ПЛАН ЧЕРН К1'!E20*СПРАВОЧНИК!$H$10+'ПЛАН ЧЕРН К1'!F20*СПРАВОЧНИК!$I$10+'ПЛАН ЧЕРН К1'!G20*СПРАВОЧНИК!$J$10)+СПРАВОЧНИК!$F$10*('ПЛАН ЧИСТ К1'!G20*СПРАВОЧНИК!$L$10+'ПЛАН ЧИСТ К1'!H20*СПРАВОЧНИК!$M$10+'ПЛАН ЧИСТ К1'!I20*СПРАВОЧНИК!$N$10+'ПЛАН ЧИСТ К1'!J20*СПРАВОЧНИК!$O$10+'ПЛАН ЧИСТ К1'!K20*СПРАВОЧНИК!$P$10)+СПРАВОЧНИК!$E$11*('ПЛАН ЧЕРН К1'!H20*СПРАВОЧНИК!$H$11+'ПЛАН ЧЕРН К1'!I20*СПРАВОЧНИК!$I$11+'ПЛАН ЧЕРН К1'!J20*СПРАВОЧНИК!$J$11)+СПРАВОЧНИК!$F$11*('ПЛАН ЧИСТ К1'!L20*СПРАВОЧНИК!$L$11+'ПЛАН ЧИСТ К1'!M20*СПРАВОЧНИК!$M$11+'ПЛАН ЧИСТ К1'!N20*СПРАВОЧНИК!$N$11+'ПЛАН ЧИСТ К1'!O20*СПРАВОЧНИК!$O$11+'ПЛАН ЧИСТ К1'!P20*СПРАВОЧНИК!$P$11)+СПРАВОЧНИК!$E$12*('ПЛАН ЧЕРН К1'!K20*СПРАВОЧНИК!$H$12+'ПЛАН ЧЕРН К1'!L20*СПРАВОЧНИК!$I$12+'ПЛАН ЧЕРН К1'!M20*СПРАВОЧНИК!$J$12)+СПРАВОЧНИК!$F$12*('ПЛАН ЧИСТ К1'!Q20*СПРАВОЧНИК!$L$12+'ПЛАН ЧИСТ К1'!R20*СПРАВОЧНИК!$M$12+'ПЛАН ЧИСТ К1'!S20*СПРАВОЧНИК!$N$12+'ПЛАН ЧИСТ К1'!T20*СПРАВОЧНИК!$O$12+'ПЛАН ЧИСТ К1'!U20*СПРАВОЧНИК!$P$12)+СПРАВОЧНИК!$E$13*('ПЛАН ЧЕРН К1'!N20*СПРАВОЧНИК!$H$13+'ПЛАН ЧЕРН К1'!O20*СПРАВОЧНИК!$I$13+'ПЛАН ЧЕРН К1'!P20*СПРАВОЧНИК!$J$13)+СПРАВОЧНИК!$F$13*('ПЛАН ЧИСТ К1'!V20*СПРАВОЧНИК!$L$13+'ПЛАН ЧИСТ К1'!W20*СПРАВОЧНИК!$M$13+'ПЛАН ЧИСТ К1'!X20*СПРАВОЧНИК!$N$13+'ПЛАН ЧИСТ К1'!Y20*СПРАВОЧНИК!$O$13+'ПЛАН ЧИСТ К1'!Z20*СПРАВОЧНИК!$P$13)+СПРАВОЧНИК!$E$14*('ПЛАН ЧЕРН К1'!Q20*СПРАВОЧНИК!$H$14+'ПЛАН ЧЕРН К1'!R20*СПРАВОЧНИК!$I$14+'ПЛАН ЧЕРН К1'!S20*СПРАВОЧНИК!$J$14)+СПРАВОЧНИК!$F$14*('ПЛАН ЧИСТ К1'!AA20*СПРАВОЧНИК!$L$14+'ПЛАН ЧИСТ К1'!AB20*СПРАВОЧНИК!$M$14+'ПЛАН ЧИСТ К1'!AC20*СПРАВОЧНИК!$N$14+'ПЛАН ЧИСТ К1'!AD20*СПРАВОЧНИК!$O$14+'ПЛАН ЧИСТ К1'!AE20*СПРАВОЧНИК!$P$14)+СПРАВОЧНИК!$E$15*('ПЛАН ЧЕРН К1'!T20*СПРАВОЧНИК!$H$15+'ПЛАН ЧЕРН К1'!U20*СПРАВОЧНИК!$I$15+'ПЛАН ЧЕРН К1'!V20*СПРАВОЧНИК!$J$15)+СПРАВОЧНИК!$F$15*('ПЛАН ЧИСТ К1'!AF20*СПРАВОЧНИК!$L$15+'ПЛАН ЧИСТ К1'!AG20*СПРАВОЧНИК!$M$15+'ПЛАН ЧИСТ К1'!AH20*СПРАВОЧНИК!$N$15+'ПЛАН ЧИСТ К1'!AI20*СПРАВОЧНИК!$O$15+'ПЛАН ЧИСТ К1'!AJ20*СПРАВОЧНИК!$P$15)</f>
        <v/>
      </c>
      <c r="V29" s="31">
        <f>СПРАВОЧНИК!$E$9*('ФАКТ ЧЕРН К1'!B20*СПРАВОЧНИК!$H$9+'ФАКТ ЧЕРН К1'!C20*СПРАВОЧНИК!$I$9+'ФАКТ ЧЕРН К1'!D20*СПРАВОЧНИК!$J$9)+СПРАВОЧНИК!$F$9*('ФАКТ ЧИСТ К1'!B20*СПРАВОЧНИК!$L$9+'ФАКТ ЧИСТ К1'!C20*СПРАВОЧНИК!$M$9+'ФАКТ ЧИСТ К1'!D20*СПРАВОЧНИК!$N$9+'ФАКТ ЧИСТ К1'!E20*СПРАВОЧНИК!$O$9+'ФАКТ ЧИСТ К1'!F20*СПРАВОЧНИК!$P$9)+СПРАВОЧНИК!$E$10*('ФАКТ ЧЕРН К1'!E20*СПРАВОЧНИК!$H$10+'ФАКТ ЧЕРН К1'!F20*СПРАВОЧНИК!$I$10+'ФАКТ ЧЕРН К1'!G20*СПРАВОЧНИК!$J$10)+СПРАВОЧНИК!$F$10*('ФАКТ ЧИСТ К1'!G20*СПРАВОЧНИК!$L$10+'ФАКТ ЧИСТ К1'!H20*СПРАВОЧНИК!$M$10+'ФАКТ ЧИСТ К1'!I20*СПРАВОЧНИК!$N$10+'ФАКТ ЧИСТ К1'!J20*СПРАВОЧНИК!$O$10+'ФАКТ ЧИСТ К1'!K20*СПРАВОЧНИК!$P$10)+СПРАВОЧНИК!$E$11*('ФАКТ ЧЕРН К1'!H20*СПРАВОЧНИК!$H$11+'ФАКТ ЧЕРН К1'!I20*СПРАВОЧНИК!$I$11+'ФАКТ ЧЕРН К1'!J20*СПРАВОЧНИК!$J$11)+СПРАВОЧНИК!$F$11*('ФАКТ ЧИСТ К1'!L20*СПРАВОЧНИК!$L$11+'ФАКТ ЧИСТ К1'!M20*СПРАВОЧНИК!$M$11+'ФАКТ ЧИСТ К1'!N20*СПРАВОЧНИК!$N$11+'ФАКТ ЧИСТ К1'!O20*СПРАВОЧНИК!$O$11+'ФАКТ ЧИСТ К1'!P20*СПРАВОЧНИК!$P$11)+СПРАВОЧНИК!$E$12*('ФАКТ ЧЕРН К1'!K20*СПРАВОЧНИК!$H$12+'ФАКТ ЧЕРН К1'!L20*СПРАВОЧНИК!$I$12+'ФАКТ ЧЕРН К1'!M20*СПРАВОЧНИК!$J$12)+СПРАВОЧНИК!$F$12*('ФАКТ ЧИСТ К1'!Q20*СПРАВОЧНИК!$L$12+'ФАКТ ЧИСТ К1'!R20*СПРАВОЧНИК!$M$12+'ФАКТ ЧИСТ К1'!S20*СПРАВОЧНИК!$N$12+'ФАКТ ЧИСТ К1'!T20*СПРАВОЧНИК!$O$12+'ФАКТ ЧИСТ К1'!U20*СПРАВОЧНИК!$P$12)+СПРАВОЧНИК!$E$13*('ФАКТ ЧЕРН К1'!N20*СПРАВОЧНИК!$H$13+'ФАКТ ЧЕРН К1'!O20*СПРАВОЧНИК!$I$13+'ФАКТ ЧЕРН К1'!P20*СПРАВОЧНИК!$J$13)+СПРАВОЧНИК!$F$13*('ФАКТ ЧИСТ К1'!V20*СПРАВОЧНИК!$L$13+'ФАКТ ЧИСТ К1'!W20*СПРАВОЧНИК!$M$13+'ФАКТ ЧИСТ К1'!X20*СПРАВОЧНИК!$N$13+'ФАКТ ЧИСТ К1'!Y20*СПРАВОЧНИК!$O$13+'ФАКТ ЧИСТ К1'!Z20*СПРАВОЧНИК!$P$13)+СПРАВОЧНИК!$E$14*('ФАКТ ЧЕРН К1'!Q20*СПРАВОЧНИК!$H$14+'ФАКТ ЧЕРН К1'!R20*СПРАВОЧНИК!$I$14+'ФАКТ ЧЕРН К1'!S20*СПРАВОЧНИК!$J$14)+СПРАВОЧНИК!$F$14*('ФАКТ ЧИСТ К1'!AA20*СПРАВОЧНИК!$L$14+'ФАКТ ЧИСТ К1'!AB20*СПРАВОЧНИК!$M$14+'ФАКТ ЧИСТ К1'!AC20*СПРАВОЧНИК!$N$14+'ФАКТ ЧИСТ К1'!AD20*СПРАВОЧНИК!$O$14+'ФАКТ ЧИСТ К1'!AE20*СПРАВОЧНИК!$P$14)+СПРАВОЧНИК!$E$15*('ФАКТ ЧЕРН К1'!T20*СПРАВОЧНИК!$H$15+'ФАКТ ЧЕРН К1'!U20*СПРАВОЧНИК!$I$15+'ФАКТ ЧЕРН К1'!V20*СПРАВОЧНИК!$J$15)+СПРАВОЧНИК!$F$15*('ФАКТ ЧИСТ К1'!AF20*СПРАВОЧНИК!$L$15+'ФАКТ ЧИСТ К1'!AG20*СПРАВОЧНИК!$M$15+'ФАКТ ЧИСТ К1'!AH20*СПРАВОЧНИК!$N$15+'ФАКТ ЧИСТ К1'!AI20*СПРАВОЧНИК!$O$15+'ФАКТ ЧИСТ К1'!AJ20*СПРАВОЧНИК!$P$15)</f>
        <v/>
      </c>
      <c r="W29" s="34" t="n"/>
      <c r="Z29" s="152">
        <f>Z28+7</f>
        <v/>
      </c>
      <c r="AA29" s="17">
        <f>'ПЛАН ЧЕРН К1'!B20*СПРАВОЧНИК!$H$9+'ПЛАН ЧЕРН К1'!C20*СПРАВОЧНИК!$I$9+'ПЛАН ЧЕРН К1'!D20*СПРАВОЧНИК!$J$9+'ПЛАН ЧЕРН К1'!E20*СПРАВОЧНИК!$H$10+'ПЛАН ЧЕРН К1'!F20*СПРАВОЧНИК!$I$10+'ПЛАН ЧЕРН К1'!G20*СПРАВОЧНИК!$J$10+'ПЛАН ЧЕРН К1'!H20*СПРАВОЧНИК!$H$11+'ПЛАН ЧЕРН К1'!I20*СПРАВОЧНИК!$I$11+'ПЛАН ЧЕРН К1'!J20*СПРАВОЧНИК!$J$11+'ПЛАН ЧЕРН К1'!K20*СПРАВОЧНИК!$H$12+'ПЛАН ЧЕРН К1'!L20*СПРАВОЧНИК!$I$12+'ПЛАН ЧЕРН К1'!M20*СПРАВОЧНИК!$J$12+'ПЛАН ЧЕРН К1'!N20*СПРАВОЧНИК!$H$13+'ПЛАН ЧЕРН К1'!O20*СПРАВОЧНИК!$I$13+'ПЛАН ЧЕРН К1'!P20*СПРАВОЧНИК!$J$13+'ПЛАН ЧЕРН К1'!Q20*СПРАВОЧНИК!$H$14+'ПЛАН ЧЕРН К1'!R20*СПРАВОЧНИК!$I$14+'ПЛАН ЧЕРН К1'!S20*СПРАВОЧНИК!$J$14+'ПЛАН ЧЕРН К1'!T20*СПРАВОЧНИК!$H$15+'ПЛАН ЧЕРН К1'!U20*СПРАВОЧНИК!$I$15+'ПЛАН ЧЕРН К1'!V20*СПРАВОЧНИК!$J$15</f>
        <v/>
      </c>
      <c r="AB29" s="31">
        <f>('ФАКТ ЧЕРН К1'!B20)*СПРАВОЧНИК!$H$9+('ФАКТ ЧЕРН К1'!C20)*СПРАВОЧНИК!$I$9+('ФАКТ ЧЕРН К1'!D20)*СПРАВОЧНИК!$J$9+('ФАКТ ЧЕРН К1'!E20)*СПРАВОЧНИК!$H$10+('ФАКТ ЧЕРН К1'!F20)*СПРАВОЧНИК!$I$10+('ФАКТ ЧЕРН К1'!G20)*СПРАВОЧНИК!$J$10+('ФАКТ ЧЕРН К1'!H20)*СПРАВОЧНИК!$H$11+('ФАКТ ЧЕРН К1'!I20)*СПРАВОЧНИК!$I$11+('ФАКТ ЧЕРН К1'!J20)*СПРАВОЧНИК!$J$11+('ФАКТ ЧЕРН К1'!K20)*СПРАВОЧНИК!$H$12+('ФАКТ ЧЕРН К1'!L20)*СПРАВОЧНИК!$I$12+('ФАКТ ЧЕРН К1'!M20)*СПРАВОЧНИК!$J$12+('ФАКТ ЧЕРН К1'!N20)*СПРАВОЧНИК!$H$13+('ФАКТ ЧЕРН К1'!O20)*СПРАВОЧНИК!$I$13+('ФАКТ ЧЕРН К1'!P20)*СПРАВОЧНИК!$J$13+('ФАКТ ЧЕРН К1'!Q20)*СПРАВОЧНИК!$H$14+('ФАКТ ЧЕРН К1'!R20)*СПРАВОЧНИК!$I$14+('ФАКТ ЧЕРН К1'!S20)*СПРАВОЧНИК!$J$14+('ФАКТ ЧЕРН К1'!T20)*СПРАВОЧНИК!$H$15+('ФАКТ ЧЕРН К1'!U20)*СПРАВОЧНИК!$I$15+('ФАКТ ЧЕРН К1'!V20)*СПРАВОЧНИК!$J$15</f>
        <v/>
      </c>
      <c r="AC29" s="34" t="n"/>
      <c r="AF29" s="152">
        <f>AF28+7</f>
        <v/>
      </c>
      <c r="AG29" s="17">
        <f>'ПЛАН ЧИСТ К1'!B20*СПРАВОЧНИК!$L$9+'ПЛАН ЧИСТ К1'!C20*СПРАВОЧНИК!$M$9+'ПЛАН ЧИСТ К1'!D20*СПРАВОЧНИК!$N$9+'ПЛАН ЧИСТ К1'!E20*СПРАВОЧНИК!$O$9+'ПЛАН ЧИСТ К1'!F20*СПРАВОЧНИК!$P$9+'ПЛАН ЧИСТ К1'!G20*СПРАВОЧНИК!$L$10+'ПЛАН ЧИСТ К1'!H20*СПРАВОЧНИК!$M$10+'ПЛАН ЧИСТ К1'!I20*СПРАВОЧНИК!$N$10+'ПЛАН ЧИСТ К1'!J20*СПРАВОЧНИК!$O$10+'ПЛАН ЧИСТ К1'!K20*СПРАВОЧНИК!$P$10+'ПЛАН ЧИСТ К1'!L20*СПРАВОЧНИК!$L$11+'ПЛАН ЧИСТ К1'!M20*СПРАВОЧНИК!$M$11+'ПЛАН ЧИСТ К1'!N20*СПРАВОЧНИК!$N$11+'ПЛАН ЧИСТ К1'!O20*СПРАВОЧНИК!$O$11+'ПЛАН ЧИСТ К1'!P20*СПРАВОЧНИК!$P$11+'ПЛАН ЧИСТ К1'!Q20*СПРАВОЧНИК!$L$12+'ПЛАН ЧИСТ К1'!R20*СПРАВОЧНИК!$M$12+'ПЛАН ЧИСТ К1'!S20*СПРАВОЧНИК!$N$12+'ПЛАН ЧИСТ К1'!T20*СПРАВОЧНИК!$O$12+'ПЛАН ЧИСТ К1'!U20*СПРАВОЧНИК!$P$12+'ПЛАН ЧИСТ К1'!V20*СПРАВОЧНИК!$L$13+'ПЛАН ЧИСТ К1'!W20*СПРАВОЧНИК!$M$13+'ПЛАН ЧИСТ К1'!X20*СПРАВОЧНИК!$N$13+'ПЛАН ЧИСТ К1'!Y20*СПРАВОЧНИК!$O$13+'ПЛАН ЧИСТ К1'!Z20*СПРАВОЧНИК!$P$13+'ПЛАН ЧИСТ К1'!AA20*СПРАВОЧНИК!$L$14+'ПЛАН ЧИСТ К1'!AB20*СПРАВОЧНИК!$M$14+'ПЛАН ЧИСТ К1'!AC20*СПРАВОЧНИК!$N$14+'ПЛАН ЧИСТ К1'!AD20*СПРАВОЧНИК!$O$14+'ПЛАН ЧИСТ К1'!AE20*СПРАВОЧНИК!$P$14+'ПЛАН ЧИСТ К1'!AF20*СПРАВОЧНИК!$L$15+'ПЛАН ЧИСТ К1'!AG20*СПРАВОЧНИК!$M$15+'ПЛАН ЧИСТ К1'!AH20*СПРАВОЧНИК!$N$15+'ПЛАН ЧИСТ К1'!AI20*СПРАВОЧНИК!$O$15+'ПЛАН ЧИСТ К1'!AJ20*СПРАВОЧНИК!$P$15</f>
        <v/>
      </c>
      <c r="AH29" s="31">
        <f>('ФАКТ ЧИСТ К1'!B20)*СПРАВОЧНИК!$L$9+('ФАКТ ЧИСТ К1'!C20)*СПРАВОЧНИК!$M$9+('ФАКТ ЧИСТ К1'!D20)*СПРАВОЧНИК!$N$9+('ФАКТ ЧИСТ К1'!E20)*СПРАВОЧНИК!$O$9+('ФАКТ ЧИСТ К1'!F20)*СПРАВОЧНИК!$P$9+('ФАКТ ЧИСТ К1'!G20)*СПРАВОЧНИК!$L$10+('ФАКТ ЧИСТ К1'!H20)*СПРАВОЧНИК!$M$10+('ФАКТ ЧИСТ К1'!I20)*СПРАВОЧНИК!$N$10+('ФАКТ ЧИСТ К1'!J20)*СПРАВОЧНИК!$O$10+('ФАКТ ЧИСТ К1'!K20)*СПРАВОЧНИК!$P$10+('ФАКТ ЧИСТ К1'!L20)*СПРАВОЧНИК!$L$11+('ФАКТ ЧИСТ К1'!M20)*СПРАВОЧНИК!$M$11+('ФАКТ ЧИСТ К1'!N20)*СПРАВОЧНИК!$N$11+('ФАКТ ЧИСТ К1'!O20)*СПРАВОЧНИК!$O$11+('ФАКТ ЧИСТ К1'!P20)*СПРАВОЧНИК!$P$11+('ФАКТ ЧИСТ К1'!Q20)*СПРАВОЧНИК!$L$12+('ФАКТ ЧИСТ К1'!R20)*СПРАВОЧНИК!$M$12+('ФАКТ ЧИСТ К1'!S20)*СПРАВОЧНИК!$N$12+('ФАКТ ЧИСТ К1'!T20)*СПРАВОЧНИК!$O$12+('ФАКТ ЧИСТ К1'!U20)*СПРАВОЧНИК!$P$12+('ФАКТ ЧИСТ К1'!V20)*СПРАВОЧНИК!$L$13+('ФАКТ ЧИСТ К1'!W20)*СПРАВОЧНИК!$M$13+('ФАКТ ЧИСТ К1'!X20)*СПРАВОЧНИК!$N$13+('ФАКТ ЧИСТ К1'!Y20)*СПРАВОЧНИК!$O$13+('ФАКТ ЧИСТ К1'!Z20)*СПРАВОЧНИК!$P$13+('ФАКТ ЧИСТ К1'!AA20)*СПРАВОЧНИК!$L$14+('ФАКТ ЧИСТ К1'!AB20)*СПРАВОЧНИК!$M$14+('ФАКТ ЧИСТ К1'!AC20)*СПРАВОЧНИК!$N$14+('ФАКТ ЧИСТ К1'!AD20)*СПРАВОЧНИК!$O$14+('ФАКТ ЧИСТ К1'!AE20)*СПРАВОЧНИК!$P$14+('ФАКТ ЧИСТ К1'!AF20)*СПРАВОЧНИК!$L$15+('ФАКТ ЧИСТ К1'!AG20)*СПРАВОЧНИК!$M$15+('ФАКТ ЧИСТ К1'!AH20)*СПРАВОЧНИК!$N$15+('ФАКТ ЧИСТ К1'!AI20)*СПРАВОЧНИК!$O$15+('ФАКТ ЧИСТ К1'!AJ20)*СПРАВОЧНИК!$P$15</f>
        <v/>
      </c>
      <c r="AI29" s="34" t="n"/>
      <c r="AL29" s="152">
        <f>AL28+7</f>
        <v/>
      </c>
      <c r="AM29" s="17">
        <f>СПРАВОЧНИК!$E$9*('ПЛАН ЧЕРН К2'!B20*СПРАВОЧНИК!$H$9+'ПЛАН ЧЕРН К2'!C20*СПРАВОЧНИК!$I$9+'ПЛАН ЧЕРН К2'!D20*СПРАВОЧНИК!$J$9)+СПРАВОЧНИК!$F$9*('ПЛАН ЧИСТ К2'!B20*СПРАВОЧНИК!$L$9+'ПЛАН ЧИСТ К2'!C20*СПРАВОЧНИК!$M$9+'ПЛАН ЧИСТ К2'!D20*СПРАВОЧНИК!$N$9+'ПЛАН ЧИСТ К2'!E20*СПРАВОЧНИК!$O$9+'ПЛАН ЧИСТ К2'!F20*СПРАВОЧНИК!$P$9)+СПРАВОЧНИК!$E$10*('ПЛАН ЧЕРН К2'!E20*СПРАВОЧНИК!$H$10+'ПЛАН ЧЕРН К2'!F20*СПРАВОЧНИК!$I$10+'ПЛАН ЧЕРН К2'!G20*СПРАВОЧНИК!$J$10)+СПРАВОЧНИК!$F$10*('ПЛАН ЧИСТ К2'!G20*СПРАВОЧНИК!$L$10+'ПЛАН ЧИСТ К2'!H20*СПРАВОЧНИК!$M$10+'ПЛАН ЧИСТ К2'!I20*СПРАВОЧНИК!$N$10+'ПЛАН ЧИСТ К2'!J20*СПРАВОЧНИК!$O$10+'ПЛАН ЧИСТ К2'!K20*СПРАВОЧНИК!$P$10)+СПРАВОЧНИК!$E$11*('ПЛАН ЧЕРН К2'!H20*СПРАВОЧНИК!$H$11+'ПЛАН ЧЕРН К2'!I20*СПРАВОЧНИК!$I$11+'ПЛАН ЧЕРН К2'!J20*СПРАВОЧНИК!$J$11)+СПРАВОЧНИК!$F$11*('ПЛАН ЧИСТ К2'!L20*СПРАВОЧНИК!$L$11+'ПЛАН ЧИСТ К2'!M20*СПРАВОЧНИК!$M$11+'ПЛАН ЧИСТ К2'!N20*СПРАВОЧНИК!$N$11+'ПЛАН ЧИСТ К2'!O20*СПРАВОЧНИК!$O$11+'ПЛАН ЧИСТ К2'!P20*СПРАВОЧНИК!$P$11)+СПРАВОЧНИК!$E$12*('ПЛАН ЧЕРН К2'!K20*СПРАВОЧНИК!$H$12+'ПЛАН ЧЕРН К2'!L20*СПРАВОЧНИК!$I$12+'ПЛАН ЧЕРН К2'!M20*СПРАВОЧНИК!$J$12)+СПРАВОЧНИК!$F$12*('ПЛАН ЧИСТ К2'!Q20*СПРАВОЧНИК!$L$12+'ПЛАН ЧИСТ К2'!R20*СПРАВОЧНИК!$M$12+'ПЛАН ЧИСТ К2'!S20*СПРАВОЧНИК!$N$12+'ПЛАН ЧИСТ К2'!T20*СПРАВОЧНИК!$O$12+'ПЛАН ЧИСТ К2'!U20*СПРАВОЧНИК!$P$12)+СПРАВОЧНИК!$E$13*('ПЛАН ЧЕРН К2'!N20*СПРАВОЧНИК!$H$13+'ПЛАН ЧЕРН К2'!O20*СПРАВОЧНИК!$I$13+'ПЛАН ЧЕРН К2'!P20*СПРАВОЧНИК!$J$13)+СПРАВОЧНИК!$F$13*('ПЛАН ЧИСТ К2'!V20*СПРАВОЧНИК!$L$13+'ПЛАН ЧИСТ К2'!W20*СПРАВОЧНИК!$M$13+'ПЛАН ЧИСТ К2'!X20*СПРАВОЧНИК!$N$13+'ПЛАН ЧИСТ К2'!Y20*СПРАВОЧНИК!$O$13+'ПЛАН ЧИСТ К2'!Z20*СПРАВОЧНИК!$P$13)+СПРАВОЧНИК!$E$14*('ПЛАН ЧЕРН К2'!Q20*СПРАВОЧНИК!$H$14+'ПЛАН ЧЕРН К2'!R20*СПРАВОЧНИК!$I$14+'ПЛАН ЧЕРН К2'!S20*СПРАВОЧНИК!$J$14)+СПРАВОЧНИК!$F$14*('ПЛАН ЧИСТ К2'!AA20*СПРАВОЧНИК!$L$14+'ПЛАН ЧИСТ К2'!AB20*СПРАВОЧНИК!$M$14+'ПЛАН ЧИСТ К2'!AC20*СПРАВОЧНИК!$N$14+'ПЛАН ЧИСТ К2'!AD20*СПРАВОЧНИК!$O$14+'ПЛАН ЧИСТ К2'!AE20*СПРАВОЧНИК!$P$14)+СПРАВОЧНИК!$E$15*('ПЛАН ЧЕРН К2'!T20*СПРАВОЧНИК!$H$15+'ПЛАН ЧЕРН К2'!U20*СПРАВОЧНИК!$I$15+'ПЛАН ЧЕРН К2'!V20*СПРАВОЧНИК!$J$15)+СПРАВОЧНИК!$F$15*('ПЛАН ЧИСТ К2'!AF20*СПРАВОЧНИК!$L$15+'ПЛАН ЧИСТ К2'!AG20*СПРАВОЧНИК!$M$15+'ПЛАН ЧИСТ К2'!AH20*СПРАВОЧНИК!$N$15+'ПЛАН ЧИСТ К2'!AI20*СПРАВОЧНИК!$O$15+'ПЛАН ЧИСТ К2'!AJ20*СПРАВОЧНИК!$P$15)</f>
        <v/>
      </c>
      <c r="AN29" s="31">
        <f>СПРАВОЧНИК!$E$9*('ФАКТ ЧЕРН К2'!B20*СПРАВОЧНИК!$H$9+'ФАКТ ЧЕРН К2'!C20*СПРАВОЧНИК!$I$9+'ФАКТ ЧЕРН К2'!D20*СПРАВОЧНИК!$J$9)+СПРАВОЧНИК!$F$9*('ФАКТ ЧИСТ К2'!B20*СПРАВОЧНИК!$L$9+'ФАКТ ЧИСТ К2'!C20*СПРАВОЧНИК!$M$9+'ФАКТ ЧИСТ К2'!D20*СПРАВОЧНИК!$N$9+'ФАКТ ЧИСТ К2'!E20*СПРАВОЧНИК!$O$9+'ФАКТ ЧИСТ К2'!F20*СПРАВОЧНИК!$P$9)+СПРАВОЧНИК!$E$10*('ФАКТ ЧЕРН К2'!E20*СПРАВОЧНИК!$H$10+'ФАКТ ЧЕРН К2'!F20*СПРАВОЧНИК!$I$10+'ФАКТ ЧЕРН К2'!G20*СПРАВОЧНИК!$J$10)+СПРАВОЧНИК!$F$10*('ФАКТ ЧИСТ К2'!G20*СПРАВОЧНИК!$L$10+'ФАКТ ЧИСТ К2'!H20*СПРАВОЧНИК!$M$10+'ФАКТ ЧИСТ К2'!I20*СПРАВОЧНИК!$N$10+'ФАКТ ЧИСТ К2'!J20*СПРАВОЧНИК!$O$10+'ФАКТ ЧИСТ К2'!K20*СПРАВОЧНИК!$P$10)+СПРАВОЧНИК!$E$11*('ФАКТ ЧЕРН К2'!H20*СПРАВОЧНИК!$H$11+'ФАКТ ЧЕРН К2'!I20*СПРАВОЧНИК!$I$11+'ФАКТ ЧЕРН К2'!J20*СПРАВОЧНИК!$J$11)+СПРАВОЧНИК!$F$11*('ФАКТ ЧИСТ К2'!L20*СПРАВОЧНИК!$L$11+'ФАКТ ЧИСТ К2'!M20*СПРАВОЧНИК!$M$11+'ФАКТ ЧИСТ К2'!N20*СПРАВОЧНИК!$N$11+'ФАКТ ЧИСТ К2'!O20*СПРАВОЧНИК!$O$11+'ФАКТ ЧИСТ К2'!P20*СПРАВОЧНИК!$P$11)+СПРАВОЧНИК!$E$12*('ФАКТ ЧЕРН К2'!K20*СПРАВОЧНИК!$H$12+'ФАКТ ЧЕРН К2'!L20*СПРАВОЧНИК!$I$12+'ФАКТ ЧЕРН К2'!M20*СПРАВОЧНИК!$J$12)+СПРАВОЧНИК!$F$12*('ФАКТ ЧИСТ К2'!Q20*СПРАВОЧНИК!$L$12+'ФАКТ ЧИСТ К2'!R20*СПРАВОЧНИК!$M$12+'ФАКТ ЧИСТ К2'!S20*СПРАВОЧНИК!$N$12+'ФАКТ ЧИСТ К2'!T20*СПРАВОЧНИК!$O$12+'ФАКТ ЧИСТ К2'!U20*СПРАВОЧНИК!$P$12)+СПРАВОЧНИК!$E$13*('ФАКТ ЧЕРН К2'!N20*СПРАВОЧНИК!$H$13+'ФАКТ ЧЕРН К2'!O20*СПРАВОЧНИК!$I$13+'ФАКТ ЧЕРН К2'!P20*СПРАВОЧНИК!$J$13)+СПРАВОЧНИК!$F$13*('ФАКТ ЧИСТ К2'!V20*СПРАВОЧНИК!$L$13+'ФАКТ ЧИСТ К2'!W20*СПРАВОЧНИК!$M$13+'ФАКТ ЧИСТ К2'!X20*СПРАВОЧНИК!$N$13+'ФАКТ ЧИСТ К2'!Y20*СПРАВОЧНИК!$O$13+'ФАКТ ЧИСТ К2'!Z20*СПРАВОЧНИК!$P$13)+СПРАВОЧНИК!$E$14*('ФАКТ ЧЕРН К2'!Q20*СПРАВОЧНИК!$H$14+'ФАКТ ЧЕРН К2'!R20*СПРАВОЧНИК!$I$14+'ФАКТ ЧЕРН К2'!S20*СПРАВОЧНИК!$J$14)+СПРАВОЧНИК!$F$14*('ФАКТ ЧИСТ К2'!AA20*СПРАВОЧНИК!$L$14+'ФАКТ ЧИСТ К2'!AB20*СПРАВОЧНИК!$M$14+'ФАКТ ЧИСТ К2'!AC20*СПРАВОЧНИК!$N$14+'ФАКТ ЧИСТ К2'!AD20*СПРАВОЧНИК!$O$14+'ФАКТ ЧИСТ К2'!AE20*СПРАВОЧНИК!$P$14)+СПРАВОЧНИК!$E$15*('ФАКТ ЧЕРН К2'!T20*СПРАВОЧНИК!$H$15+'ФАКТ ЧЕРН К2'!U20*СПРАВОЧНИК!$I$15+'ФАКТ ЧЕРН К2'!V20*СПРАВОЧНИК!$J$15)+СПРАВОЧНИК!$F$15*('ФАКТ ЧИСТ К2'!AF20*СПРАВОЧНИК!$L$15+'ФАКТ ЧИСТ К2'!AG20*СПРАВОЧНИК!$M$15+'ФАКТ ЧИСТ К2'!AH20*СПРАВОЧНИК!$N$15+'ФАКТ ЧИСТ К2'!AI20*СПРАВОЧНИК!$O$15+'ФАКТ ЧИСТ К2'!AJ20*СПРАВОЧНИК!$P$15)</f>
        <v/>
      </c>
      <c r="AO29" s="34" t="n"/>
      <c r="AR29" s="152">
        <f>AR28+7</f>
        <v/>
      </c>
      <c r="AS29" s="17">
        <f>'ПЛАН ЧЕРН К2'!B20*СПРАВОЧНИК!$H$9+'ПЛАН ЧЕРН К2'!C20*СПРАВОЧНИК!$I$9+'ПЛАН ЧЕРН К2'!D20*СПРАВОЧНИК!$J$9+'ПЛАН ЧЕРН К2'!E20*СПРАВОЧНИК!$H$10+'ПЛАН ЧЕРН К2'!F20*СПРАВОЧНИК!$I$10+'ПЛАН ЧЕРН К2'!G20*СПРАВОЧНИК!$J$10+'ПЛАН ЧЕРН К2'!H20*СПРАВОЧНИК!$H$11+'ПЛАН ЧЕРН К2'!I20*СПРАВОЧНИК!$I$11+'ПЛАН ЧЕРН К2'!J20*СПРАВОЧНИК!$J$11+'ПЛАН ЧЕРН К2'!K20*СПРАВОЧНИК!$H$12+'ПЛАН ЧЕРН К2'!L20*СПРАВОЧНИК!$I$12+'ПЛАН ЧЕРН К2'!M20*СПРАВОЧНИК!$J$12+'ПЛАН ЧЕРН К2'!N20*СПРАВОЧНИК!$H$13+'ПЛАН ЧЕРН К2'!O20*СПРАВОЧНИК!$I$13+'ПЛАН ЧЕРН К2'!P20*СПРАВОЧНИК!$J$13+'ПЛАН ЧЕРН К2'!Q20*СПРАВОЧНИК!$H$14+'ПЛАН ЧЕРН К2'!R20*СПРАВОЧНИК!$I$14+'ПЛАН ЧЕРН К2'!S20*СПРАВОЧНИК!$J$14+'ПЛАН ЧЕРН К2'!T20*СПРАВОЧНИК!$H$15+'ПЛАН ЧЕРН К2'!U20*СПРАВОЧНИК!$I$15+'ПЛАН ЧЕРН К2'!V20*СПРАВОЧНИК!$J$15</f>
        <v/>
      </c>
      <c r="AT29" s="31">
        <f>('ФАКТ ЧЕРН К2'!B20)*СПРАВОЧНИК!$H$9+('ФАКТ ЧЕРН К2'!C20)*СПРАВОЧНИК!$I$9+('ФАКТ ЧЕРН К2'!D20)*СПРАВОЧНИК!$J$9+('ФАКТ ЧЕРН К2'!E20)*СПРАВОЧНИК!$H$10+('ФАКТ ЧЕРН К2'!F20)*СПРАВОЧНИК!$I$10+('ФАКТ ЧЕРН К2'!G20)*СПРАВОЧНИК!$J$10+('ФАКТ ЧЕРН К2'!H20)*СПРАВОЧНИК!$H$11+('ФАКТ ЧЕРН К2'!I20)*СПРАВОЧНИК!$I$11+('ФАКТ ЧЕРН К2'!J20)*СПРАВОЧНИК!$J$11+('ФАКТ ЧЕРН К2'!K20)*СПРАВОЧНИК!$H$12+('ФАКТ ЧЕРН К2'!L20)*СПРАВОЧНИК!$I$12+('ФАКТ ЧЕРН К2'!M20)*СПРАВОЧНИК!$J$12+('ФАКТ ЧЕРН К2'!N20)*СПРАВОЧНИК!$H$13+('ФАКТ ЧЕРН К2'!O20)*СПРАВОЧНИК!$I$13+('ФАКТ ЧЕРН К2'!P20)*СПРАВОЧНИК!$J$13+('ФАКТ ЧЕРН К2'!Q20)*СПРАВОЧНИК!$H$14+('ФАКТ ЧЕРН К2'!R20)*СПРАВОЧНИК!$I$14+('ФАКТ ЧЕРН К2'!S20)*СПРАВОЧНИК!$J$14+('ФАКТ ЧЕРН К2'!T20)*СПРАВОЧНИК!$H$15+('ФАКТ ЧЕРН К2'!U20)*СПРАВОЧНИК!$I$15+('ФАКТ ЧЕРН К2'!V20)*СПРАВОЧНИК!$J$15</f>
        <v/>
      </c>
      <c r="AU29" s="34" t="n"/>
      <c r="AX29" s="152">
        <f>AX28+7</f>
        <v/>
      </c>
      <c r="AY29" s="17">
        <f>'ПЛАН ЧИСТ К2'!B20*СПРАВОЧНИК!$L$9+'ПЛАН ЧИСТ К2'!C20*СПРАВОЧНИК!$M$9+'ПЛАН ЧИСТ К2'!D20*СПРАВОЧНИК!$N$9+'ПЛАН ЧИСТ К2'!E20*СПРАВОЧНИК!$O$9+'ПЛАН ЧИСТ К2'!F20*СПРАВОЧНИК!$P$9+'ПЛАН ЧИСТ К2'!G20*СПРАВОЧНИК!$L$10+'ПЛАН ЧИСТ К2'!H20*СПРАВОЧНИК!$M$10+'ПЛАН ЧИСТ К2'!I20*СПРАВОЧНИК!$N$10+'ПЛАН ЧИСТ К2'!J20*СПРАВОЧНИК!$O$10+'ПЛАН ЧИСТ К2'!K20*СПРАВОЧНИК!$P$10+'ПЛАН ЧИСТ К2'!L20*СПРАВОЧНИК!$L$11+'ПЛАН ЧИСТ К2'!M20*СПРАВОЧНИК!$M$11+'ПЛАН ЧИСТ К2'!N20*СПРАВОЧНИК!$N$11+'ПЛАН ЧИСТ К2'!O20*СПРАВОЧНИК!$O$11+'ПЛАН ЧИСТ К2'!P20*СПРАВОЧНИК!$P$11+'ПЛАН ЧИСТ К2'!Q20*СПРАВОЧНИК!$L$12+'ПЛАН ЧИСТ К2'!R20*СПРАВОЧНИК!$M$12+'ПЛАН ЧИСТ К2'!S20*СПРАВОЧНИК!$N$12+'ПЛАН ЧИСТ К2'!T20*СПРАВОЧНИК!$O$12+'ПЛАН ЧИСТ К2'!U20*СПРАВОЧНИК!$P$12+'ПЛАН ЧИСТ К2'!V20*СПРАВОЧНИК!$L$13+'ПЛАН ЧИСТ К2'!W20*СПРАВОЧНИК!$M$13+'ПЛАН ЧИСТ К2'!X20*СПРАВОЧНИК!$N$13+'ПЛАН ЧИСТ К2'!Y20*СПРАВОЧНИК!$O$13+'ПЛАН ЧИСТ К2'!Z20*СПРАВОЧНИК!$P$13+'ПЛАН ЧИСТ К2'!AA20*СПРАВОЧНИК!$L$14+'ПЛАН ЧИСТ К2'!AB20*СПРАВОЧНИК!$M$14+'ПЛАН ЧИСТ К2'!AC20*СПРАВОЧНИК!$N$14+'ПЛАН ЧИСТ К2'!AD20*СПРАВОЧНИК!$O$14+'ПЛАН ЧИСТ К2'!AE20*СПРАВОЧНИК!$P$14+'ПЛАН ЧИСТ К2'!AF20*СПРАВОЧНИК!$L$15+'ПЛАН ЧИСТ К2'!AG20*СПРАВОЧНИК!$M$15+'ПЛАН ЧИСТ К2'!AH20*СПРАВОЧНИК!$N$15+'ПЛАН ЧИСТ К2'!AI20*СПРАВОЧНИК!$O$15+'ПЛАН ЧИСТ К2'!AJ20*СПРАВОЧНИК!$P$15</f>
        <v/>
      </c>
      <c r="AZ29" s="31">
        <f>('ФАКТ ЧИСТ К2'!B20)*СПРАВОЧНИК!$L$9+('ФАКТ ЧИСТ К2'!C20)*СПРАВОЧНИК!$M$9+('ФАКТ ЧИСТ К2'!D20)*СПРАВОЧНИК!$N$9+('ФАКТ ЧИСТ К2'!E20)*СПРАВОЧНИК!$O$9+('ФАКТ ЧИСТ К2'!F20)*СПРАВОЧНИК!$P$9+('ФАКТ ЧИСТ К2'!G20)*СПРАВОЧНИК!$L$10+('ФАКТ ЧИСТ К2'!H20)*СПРАВОЧНИК!$M$10+('ФАКТ ЧИСТ К2'!I20)*СПРАВОЧНИК!$N$10+('ФАКТ ЧИСТ К2'!J20)*СПРАВОЧНИК!$O$10+('ФАКТ ЧИСТ К2'!K20)*СПРАВОЧНИК!$P$10+('ФАКТ ЧИСТ К2'!L20)*СПРАВОЧНИК!$L$11+('ФАКТ ЧИСТ К2'!M20)*СПРАВОЧНИК!$M$11+('ФАКТ ЧИСТ К2'!N20)*СПРАВОЧНИК!$N$11+('ФАКТ ЧИСТ К2'!O20)*СПРАВОЧНИК!$O$11+('ФАКТ ЧИСТ К2'!P20)*СПРАВОЧНИК!$P$11+('ФАКТ ЧИСТ К2'!Q20)*СПРАВОЧНИК!$L$12+('ФАКТ ЧИСТ К2'!R20)*СПРАВОЧНИК!$M$12+('ФАКТ ЧИСТ К2'!S20)*СПРАВОЧНИК!$N$12+('ФАКТ ЧИСТ К2'!T20)*СПРАВОЧНИК!$O$12+('ФАКТ ЧИСТ К2'!U20)*СПРАВОЧНИК!$P$12+('ФАКТ ЧИСТ К2'!V20)*СПРАВОЧНИК!$L$13+('ФАКТ ЧИСТ К2'!W20)*СПРАВОЧНИК!$M$13+('ФАКТ ЧИСТ К2'!X20)*СПРАВОЧНИК!$N$13+('ФАКТ ЧИСТ К2'!Y20)*СПРАВОЧНИК!$O$13+('ФАКТ ЧИСТ К2'!Z20)*СПРАВОЧНИК!$P$13+('ФАКТ ЧИСТ К2'!AA20)*СПРАВОЧНИК!$L$14+('ФАКТ ЧИСТ К2'!AB20)*СПРАВОЧНИК!$M$14+('ФАКТ ЧИСТ К2'!AC20)*СПРАВОЧНИК!$N$14+('ФАКТ ЧИСТ К2'!AD20)*СПРАВОЧНИК!$O$14+('ФАКТ ЧИСТ К2'!AE20)*СПРАВОЧНИК!$P$14+('ФАКТ ЧИСТ К2'!AF20)*СПРАВОЧНИК!$L$15+('ФАКТ ЧИСТ К2'!AG20)*СПРАВОЧНИК!$M$15+('ФАКТ ЧИСТ К2'!AH20)*СПРАВОЧНИК!$N$15+('ФАКТ ЧИСТ К2'!AI20)*СПРАВОЧНИК!$O$15+('ФАКТ ЧИСТ К2'!AJ20)*СПРАВОЧНИК!$P$15</f>
        <v/>
      </c>
      <c r="BA29" s="34" t="n"/>
      <c r="BD29" s="152">
        <f>BD28+7</f>
        <v/>
      </c>
      <c r="BE29" s="17">
        <f>СПРАВОЧНИК!$E$9*('ПЛАН ЧЕРН К3'!B20*СПРАВОЧНИК!$H$9+'ПЛАН ЧЕРН К3'!C20*СПРАВОЧНИК!$I$9+'ПЛАН ЧЕРН К3'!D20*СПРАВОЧНИК!$J$9)+СПРАВОЧНИК!$F$9*('ПЛАН ЧИСТ К3'!B20*СПРАВОЧНИК!$L$9+'ПЛАН ЧИСТ К3'!C20*СПРАВОЧНИК!$M$9+'ПЛАН ЧИСТ К3'!D20*СПРАВОЧНИК!$N$9+'ПЛАН ЧИСТ К3'!E20*СПРАВОЧНИК!$O$9+'ПЛАН ЧИСТ К3'!F20*СПРАВОЧНИК!$P$9)+СПРАВОЧНИК!$E$10*('ПЛАН ЧЕРН К3'!E20*СПРАВОЧНИК!$H$10+'ПЛАН ЧЕРН К3'!F20*СПРАВОЧНИК!$I$10+'ПЛАН ЧЕРН К3'!G20*СПРАВОЧНИК!$J$10)+СПРАВОЧНИК!$F$10*('ПЛАН ЧИСТ К3'!G20*СПРАВОЧНИК!$L$10+'ПЛАН ЧИСТ К3'!H20*СПРАВОЧНИК!$M$10+'ПЛАН ЧИСТ К3'!I20*СПРАВОЧНИК!$N$10+'ПЛАН ЧИСТ К3'!J20*СПРАВОЧНИК!$O$10+'ПЛАН ЧИСТ К3'!K20*СПРАВОЧНИК!$P$10)+СПРАВОЧНИК!$E$11*('ПЛАН ЧЕРН К3'!H20*СПРАВОЧНИК!$H$11+'ПЛАН ЧЕРН К3'!I20*СПРАВОЧНИК!$I$11+'ПЛАН ЧЕРН К3'!J20*СПРАВОЧНИК!$J$11)+СПРАВОЧНИК!$F$11*('ПЛАН ЧИСТ К3'!L20*СПРАВОЧНИК!$L$11+'ПЛАН ЧИСТ К3'!M20*СПРАВОЧНИК!$M$11+'ПЛАН ЧИСТ К3'!N20*СПРАВОЧНИК!$N$11+'ПЛАН ЧИСТ К3'!O20*СПРАВОЧНИК!$O$11+'ПЛАН ЧИСТ К3'!P20*СПРАВОЧНИК!$P$11)+СПРАВОЧНИК!$E$12*('ПЛАН ЧЕРН К3'!K20*СПРАВОЧНИК!$H$12+'ПЛАН ЧЕРН К3'!L20*СПРАВОЧНИК!$I$12+'ПЛАН ЧЕРН К3'!M20*СПРАВОЧНИК!$J$12)+СПРАВОЧНИК!$F$12*('ПЛАН ЧИСТ К3'!Q20*СПРАВОЧНИК!$L$12+'ПЛАН ЧИСТ К3'!R20*СПРАВОЧНИК!$M$12+'ПЛАН ЧИСТ К3'!S20*СПРАВОЧНИК!$N$12+'ПЛАН ЧИСТ К3'!T20*СПРАВОЧНИК!$O$12+'ПЛАН ЧИСТ К3'!U20*СПРАВОЧНИК!$P$12)+СПРАВОЧНИК!$E$13*('ПЛАН ЧЕРН К3'!N20*СПРАВОЧНИК!$H$13+'ПЛАН ЧЕРН К3'!O20*СПРАВОЧНИК!$I$13+'ПЛАН ЧЕРН К3'!P20*СПРАВОЧНИК!$J$13)+СПРАВОЧНИК!$F$13*('ПЛАН ЧИСТ К3'!V20*СПРАВОЧНИК!$L$13+'ПЛАН ЧИСТ К3'!W20*СПРАВОЧНИК!$M$13+'ПЛАН ЧИСТ К3'!X20*СПРАВОЧНИК!$N$13+'ПЛАН ЧИСТ К3'!Y20*СПРАВОЧНИК!$O$13+'ПЛАН ЧИСТ К3'!Z20*СПРАВОЧНИК!$P$13)+СПРАВОЧНИК!$E$14*('ПЛАН ЧЕРН К3'!Q20*СПРАВОЧНИК!$H$14+'ПЛАН ЧЕРН К3'!R20*СПРАВОЧНИК!$I$14+'ПЛАН ЧЕРН К3'!S20*СПРАВОЧНИК!$J$14)+СПРАВОЧНИК!$F$14*('ПЛАН ЧИСТ К3'!AA20*СПРАВОЧНИК!$L$14+'ПЛАН ЧИСТ К3'!AB20*СПРАВОЧНИК!$M$14+'ПЛАН ЧИСТ К3'!AC20*СПРАВОЧНИК!$N$14+'ПЛАН ЧИСТ К3'!AD20*СПРАВОЧНИК!$O$14+'ПЛАН ЧИСТ К3'!AE20*СПРАВОЧНИК!$P$14)+СПРАВОЧНИК!$E$15*('ПЛАН ЧЕРН К3'!T20*СПРАВОЧНИК!$H$15+'ПЛАН ЧЕРН К3'!U20*СПРАВОЧНИК!$I$15+'ПЛАН ЧЕРН К3'!V20*СПРАВОЧНИК!$J$15)+СПРАВОЧНИК!$F$15*('ПЛАН ЧИСТ К3'!AF20*СПРАВОЧНИК!$L$15+'ПЛАН ЧИСТ К3'!AG20*СПРАВОЧНИК!$M$15+'ПЛАН ЧИСТ К3'!AH20*СПРАВОЧНИК!$N$15+'ПЛАН ЧИСТ К3'!AI20*СПРАВОЧНИК!$O$15+'ПЛАН ЧИСТ К3'!AJ20*СПРАВОЧНИК!$P$15)</f>
        <v/>
      </c>
      <c r="BF29" s="31">
        <f>СПРАВОЧНИК!$E$9*('ФАКТ ЧЕРН К3'!B20*СПРАВОЧНИК!$H$9+'ФАКТ ЧЕРН К3'!C20*СПРАВОЧНИК!$I$9+'ФАКТ ЧЕРН К3'!D20*СПРАВОЧНИК!$J$9)+СПРАВОЧНИК!$F$9*('ФАКТ ЧИСТ К3'!B20*СПРАВОЧНИК!$L$9+'ФАКТ ЧИСТ К3'!C20*СПРАВОЧНИК!$M$9+'ФАКТ ЧИСТ К3'!D20*СПРАВОЧНИК!$N$9+'ФАКТ ЧИСТ К3'!E20*СПРАВОЧНИК!$O$9+'ФАКТ ЧИСТ К3'!F20*СПРАВОЧНИК!$P$9)+СПРАВОЧНИК!$E$10*('ФАКТ ЧЕРН К3'!E20*СПРАВОЧНИК!$H$10+'ФАКТ ЧЕРН К3'!F20*СПРАВОЧНИК!$I$10+'ФАКТ ЧЕРН К3'!G20*СПРАВОЧНИК!$J$10)+СПРАВОЧНИК!$F$10*('ФАКТ ЧИСТ К3'!G20*СПРАВОЧНИК!$L$10+'ФАКТ ЧИСТ К3'!H20*СПРАВОЧНИК!$M$10+'ФАКТ ЧИСТ К3'!I20*СПРАВОЧНИК!$N$10+'ФАКТ ЧИСТ К3'!J20*СПРАВОЧНИК!$O$10+'ФАКТ ЧИСТ К3'!K20*СПРАВОЧНИК!$P$10)+СПРАВОЧНИК!$E$11*('ФАКТ ЧЕРН К3'!H20*СПРАВОЧНИК!$H$11+'ФАКТ ЧЕРН К3'!I20*СПРАВОЧНИК!$I$11+'ФАКТ ЧЕРН К3'!J20*СПРАВОЧНИК!$J$11)+СПРАВОЧНИК!$F$11*('ФАКТ ЧИСТ К3'!L20*СПРАВОЧНИК!$L$11+'ФАКТ ЧИСТ К3'!M20*СПРАВОЧНИК!$M$11+'ФАКТ ЧИСТ К3'!N20*СПРАВОЧНИК!$N$11+'ФАКТ ЧИСТ К3'!O20*СПРАВОЧНИК!$O$11+'ФАКТ ЧИСТ К3'!P20*СПРАВОЧНИК!$P$11)+СПРАВОЧНИК!$E$12*('ФАКТ ЧЕРН К3'!K20*СПРАВОЧНИК!$H$12+'ФАКТ ЧЕРН К3'!L20*СПРАВОЧНИК!$I$12+'ФАКТ ЧЕРН К3'!M20*СПРАВОЧНИК!$J$12)+СПРАВОЧНИК!$F$12*('ФАКТ ЧИСТ К3'!Q20*СПРАВОЧНИК!$L$12+'ФАКТ ЧИСТ К3'!R20*СПРАВОЧНИК!$M$12+'ФАКТ ЧИСТ К3'!S20*СПРАВОЧНИК!$N$12+'ФАКТ ЧИСТ К3'!T20*СПРАВОЧНИК!$O$12+'ФАКТ ЧИСТ К3'!U20*СПРАВОЧНИК!$P$12)+СПРАВОЧНИК!$E$13*('ФАКТ ЧЕРН К3'!N20*СПРАВОЧНИК!$H$13+'ФАКТ ЧЕРН К3'!O20*СПРАВОЧНИК!$I$13+'ФАКТ ЧЕРН К3'!P20*СПРАВОЧНИК!$J$13)+СПРАВОЧНИК!$F$13*('ФАКТ ЧИСТ К3'!V20*СПРАВОЧНИК!$L$13+'ФАКТ ЧИСТ К3'!W20*СПРАВОЧНИК!$M$13+'ФАКТ ЧИСТ К3'!X20*СПРАВОЧНИК!$N$13+'ФАКТ ЧИСТ К3'!Y20*СПРАВОЧНИК!$O$13+'ФАКТ ЧИСТ К3'!Z20*СПРАВОЧНИК!$P$13)+СПРАВОЧНИК!$E$14*('ФАКТ ЧЕРН К3'!Q20*СПРАВОЧНИК!$H$14+'ФАКТ ЧЕРН К3'!R20*СПРАВОЧНИК!$I$14+'ФАКТ ЧЕРН К3'!S20*СПРАВОЧНИК!$J$14)+СПРАВОЧНИК!$F$14*('ФАКТ ЧИСТ К3'!AA20*СПРАВОЧНИК!$L$14+'ФАКТ ЧИСТ К3'!AB20*СПРАВОЧНИК!$M$14+'ФАКТ ЧИСТ К3'!AC20*СПРАВОЧНИК!$N$14+'ФАКТ ЧИСТ К3'!AD20*СПРАВОЧНИК!$O$14+'ФАКТ ЧИСТ К3'!AE20*СПРАВОЧНИК!$P$14)+СПРАВОЧНИК!$E$15*('ФАКТ ЧЕРН К3'!T20*СПРАВОЧНИК!$H$15+'ФАКТ ЧЕРН К3'!U20*СПРАВОЧНИК!$I$15+'ФАКТ ЧЕРН К3'!V20*СПРАВОЧНИК!$J$15)+СПРАВОЧНИК!$F$15*('ФАКТ ЧИСТ К3'!AF20*СПРАВОЧНИК!$L$15+'ФАКТ ЧИСТ К3'!AG20*СПРАВОЧНИК!$M$15+'ФАКТ ЧИСТ К3'!AH20*СПРАВОЧНИК!$N$15+'ФАКТ ЧИСТ К3'!AI20*СПРАВОЧНИК!$O$15+'ФАКТ ЧИСТ К3'!AJ20*СПРАВОЧНИК!$P$15)</f>
        <v/>
      </c>
      <c r="BG29" s="34" t="n"/>
      <c r="BJ29" s="152">
        <f>BJ28+7</f>
        <v/>
      </c>
      <c r="BK29" s="17">
        <f>'ПЛАН ЧЕРН К3'!B20*СПРАВОЧНИК!$H$9+'ПЛАН ЧЕРН К3'!C20*СПРАВОЧНИК!$I$9+'ПЛАН ЧЕРН К3'!D20*СПРАВОЧНИК!$J$9+'ПЛАН ЧЕРН К3'!E20*СПРАВОЧНИК!$H$10+'ПЛАН ЧЕРН К3'!F20*СПРАВОЧНИК!$I$10+'ПЛАН ЧЕРН К3'!G20*СПРАВОЧНИК!$J$10+'ПЛАН ЧЕРН К3'!H20*СПРАВОЧНИК!$H$11+'ПЛАН ЧЕРН К3'!I20*СПРАВОЧНИК!$I$11+'ПЛАН ЧЕРН К3'!J20*СПРАВОЧНИК!$J$11+'ПЛАН ЧЕРН К3'!K20*СПРАВОЧНИК!$H$12+'ПЛАН ЧЕРН К3'!L20*СПРАВОЧНИК!$I$12+'ПЛАН ЧЕРН К3'!M20*СПРАВОЧНИК!$J$12+'ПЛАН ЧЕРН К3'!N20*СПРАВОЧНИК!$H$13+'ПЛАН ЧЕРН К3'!O20*СПРАВОЧНИК!$I$13+'ПЛАН ЧЕРН К3'!P20*СПРАВОЧНИК!$J$13+'ПЛАН ЧЕРН К3'!Q20*СПРАВОЧНИК!$H$14+'ПЛАН ЧЕРН К3'!R20*СПРАВОЧНИК!$I$14+'ПЛАН ЧЕРН К3'!S20*СПРАВОЧНИК!$J$14+'ПЛАН ЧЕРН К3'!T20*СПРАВОЧНИК!$H$15+'ПЛАН ЧЕРН К3'!U20*СПРАВОЧНИК!$I$15+'ПЛАН ЧЕРН К3'!V20*СПРАВОЧНИК!$J$15</f>
        <v/>
      </c>
      <c r="BL29" s="31">
        <f>('ФАКТ ЧЕРН К3'!B20)*СПРАВОЧНИК!$H$9+('ФАКТ ЧЕРН К3'!C20)*СПРАВОЧНИК!$I$9+('ФАКТ ЧЕРН К3'!D20)*СПРАВОЧНИК!$J$9+('ФАКТ ЧЕРН К3'!E20)*СПРАВОЧНИК!$H$10+('ФАКТ ЧЕРН К3'!F20)*СПРАВОЧНИК!$I$10+('ФАКТ ЧЕРН К3'!G20)*СПРАВОЧНИК!$J$10+('ФАКТ ЧЕРН К3'!H20)*СПРАВОЧНИК!$H$11+('ФАКТ ЧЕРН К3'!I20)*СПРАВОЧНИК!$I$11+('ФАКТ ЧЕРН К3'!J20)*СПРАВОЧНИК!$J$11+('ФАКТ ЧЕРН К3'!K20)*СПРАВОЧНИК!$H$12+('ФАКТ ЧЕРН К3'!L20)*СПРАВОЧНИК!$I$12+('ФАКТ ЧЕРН К3'!M20)*СПРАВОЧНИК!$J$12+('ФАКТ ЧЕРН К3'!N20)*СПРАВОЧНИК!$H$13+('ФАКТ ЧЕРН К3'!O20)*СПРАВОЧНИК!$I$13+('ФАКТ ЧЕРН К3'!P20)*СПРАВОЧНИК!$J$13+('ФАКТ ЧЕРН К3'!Q20)*СПРАВОЧНИК!$H$14+('ФАКТ ЧЕРН К3'!R20)*СПРАВОЧНИК!$I$14+('ФАКТ ЧЕРН К3'!S20)*СПРАВОЧНИК!$J$14+('ФАКТ ЧЕРН К3'!T20)*СПРАВОЧНИК!$H$15+('ФАКТ ЧЕРН К3'!U20)*СПРАВОЧНИК!$I$15+('ФАКТ ЧЕРН К3'!V20)*СПРАВОЧНИК!$J$15</f>
        <v/>
      </c>
      <c r="BM29" s="34" t="n"/>
      <c r="BP29" s="152">
        <f>BP28+7</f>
        <v/>
      </c>
      <c r="BQ29" s="17">
        <f>'ПЛАН ЧИСТ К3'!B20*СПРАВОЧНИК!$L$9+'ПЛАН ЧИСТ К3'!C20*СПРАВОЧНИК!$M$9+'ПЛАН ЧИСТ К3'!D20*СПРАВОЧНИК!$N$9+'ПЛАН ЧИСТ К3'!E20*СПРАВОЧНИК!$O$9+'ПЛАН ЧИСТ К3'!F20*СПРАВОЧНИК!$P$9+'ПЛАН ЧИСТ К3'!G20*СПРАВОЧНИК!$L$10+'ПЛАН ЧИСТ К3'!H20*СПРАВОЧНИК!$M$10+'ПЛАН ЧИСТ К3'!I20*СПРАВОЧНИК!$N$10+'ПЛАН ЧИСТ К3'!J20*СПРАВОЧНИК!$O$10+'ПЛАН ЧИСТ К3'!K20*СПРАВОЧНИК!$P$10+'ПЛАН ЧИСТ К3'!L20*СПРАВОЧНИК!$L$11+'ПЛАН ЧИСТ К3'!M20*СПРАВОЧНИК!$M$11+'ПЛАН ЧИСТ К3'!N20*СПРАВОЧНИК!$N$11+'ПЛАН ЧИСТ К3'!O20*СПРАВОЧНИК!$O$11+'ПЛАН ЧИСТ К3'!P20*СПРАВОЧНИК!$P$11+'ПЛАН ЧИСТ К3'!Q20*СПРАВОЧНИК!$L$12+'ПЛАН ЧИСТ К3'!R20*СПРАВОЧНИК!$M$12+'ПЛАН ЧИСТ К3'!S20*СПРАВОЧНИК!$N$12+'ПЛАН ЧИСТ К3'!T20*СПРАВОЧНИК!$O$12+'ПЛАН ЧИСТ К3'!U20*СПРАВОЧНИК!$P$12+'ПЛАН ЧИСТ К3'!V20*СПРАВОЧНИК!$L$13+'ПЛАН ЧИСТ К3'!W20*СПРАВОЧНИК!$M$13+'ПЛАН ЧИСТ К3'!X20*СПРАВОЧНИК!$N$13+'ПЛАН ЧИСТ К3'!Y20*СПРАВОЧНИК!$O$13+'ПЛАН ЧИСТ К3'!Z20*СПРАВОЧНИК!$P$13+'ПЛАН ЧИСТ К3'!AA20*СПРАВОЧНИК!$L$14+'ПЛАН ЧИСТ К3'!AB20*СПРАВОЧНИК!$M$14+'ПЛАН ЧИСТ К3'!AC20*СПРАВОЧНИК!$N$14+'ПЛАН ЧИСТ К3'!AD20*СПРАВОЧНИК!$O$14+'ПЛАН ЧИСТ К3'!AE20*СПРАВОЧНИК!$P$14+'ПЛАН ЧИСТ К3'!AF20*СПРАВОЧНИК!$L$15+'ПЛАН ЧИСТ К3'!AG20*СПРАВОЧНИК!$M$15+'ПЛАН ЧИСТ К3'!AH20*СПРАВОЧНИК!$N$15+'ПЛАН ЧИСТ К3'!AI20*СПРАВОЧНИК!$O$15+'ПЛАН ЧИСТ К3'!AJ20*СПРАВОЧНИК!$P$15</f>
        <v/>
      </c>
      <c r="BR29" s="31">
        <f>('ФАКТ ЧИСТ К3'!B20)*СПРАВОЧНИК!$L$9+('ФАКТ ЧИСТ К3'!C20)*СПРАВОЧНИК!$M$9+('ФАКТ ЧИСТ К3'!D20)*СПРАВОЧНИК!$N$9+('ФАКТ ЧИСТ К3'!E20)*СПРАВОЧНИК!$O$9+('ФАКТ ЧИСТ К3'!F20)*СПРАВОЧНИК!$P$9+('ФАКТ ЧИСТ К3'!G20)*СПРАВОЧНИК!$L$10+('ФАКТ ЧИСТ К3'!H20)*СПРАВОЧНИК!$M$10+('ФАКТ ЧИСТ К3'!I20)*СПРАВОЧНИК!$N$10+('ФАКТ ЧИСТ К3'!J20)*СПРАВОЧНИК!$O$10+('ФАКТ ЧИСТ К3'!K20)*СПРАВОЧНИК!$P$10+('ФАКТ ЧИСТ К3'!L20)*СПРАВОЧНИК!$L$11+('ФАКТ ЧИСТ К3'!M20)*СПРАВОЧНИК!$M$11+('ФАКТ ЧИСТ К3'!N20)*СПРАВОЧНИК!$N$11+('ФАКТ ЧИСТ К3'!O20)*СПРАВОЧНИК!$O$11+('ФАКТ ЧИСТ К3'!P20)*СПРАВОЧНИК!$P$11+('ФАКТ ЧИСТ К3'!Q20)*СПРАВОЧНИК!$L$12+('ФАКТ ЧИСТ К3'!R20)*СПРАВОЧНИК!$M$12+('ФАКТ ЧИСТ К3'!S20)*СПРАВОЧНИК!$N$12+('ФАКТ ЧИСТ К3'!T20)*СПРАВОЧНИК!$O$12+('ФАКТ ЧИСТ К3'!U20)*СПРАВОЧНИК!$P$12+('ФАКТ ЧИСТ К3'!V20)*СПРАВОЧНИК!$L$13+('ФАКТ ЧИСТ К3'!W20)*СПРАВОЧНИК!$M$13+('ФАКТ ЧИСТ К3'!X20)*СПРАВОЧНИК!$N$13+('ФАКТ ЧИСТ К3'!Y20)*СПРАВОЧНИК!$O$13+('ФАКТ ЧИСТ К3'!Z20)*СПРАВОЧНИК!$P$13+('ФАКТ ЧИСТ К3'!AA20)*СПРАВОЧНИК!$L$14+('ФАКТ ЧИСТ К3'!AB20)*СПРАВОЧНИК!$M$14+('ФАКТ ЧИСТ К3'!AC20)*СПРАВОЧНИК!$N$14+('ФАКТ ЧИСТ К3'!AD20)*СПРАВОЧНИК!$O$14+('ФАКТ ЧИСТ К3'!AE20)*СПРАВОЧНИК!$P$14+('ФАКТ ЧИСТ К3'!AF20)*СПРАВОЧНИК!$L$15+('ФАКТ ЧИСТ К3'!AG20)*СПРАВОЧНИК!$M$15+('ФАКТ ЧИСТ К3'!AH20)*СПРАВОЧНИК!$N$15+('ФАКТ ЧИСТ К3'!AI20)*СПРАВОЧНИК!$O$15+('ФАКТ ЧИСТ К3'!AJ20)*СПРАВОЧНИК!$P$15</f>
        <v/>
      </c>
      <c r="BS29" s="34" t="n"/>
      <c r="BV29" s="152">
        <f>BV28+7</f>
        <v/>
      </c>
      <c r="BW29" s="17">
        <f>U29*СПРАВОЧНИК!$K$28+AM29*СПРАВОЧНИК!$K$29+BE29*СПРАВОЧНИК!$K$30</f>
        <v/>
      </c>
      <c r="BX29" s="31">
        <f>V29*СПРАВОЧНИК!$K$28+AN29*СПРАВОЧНИК!$K$29+BF29*СПРАВОЧНИК!$K$30</f>
        <v/>
      </c>
      <c r="BY29" s="34" t="n"/>
      <c r="CB29" s="152">
        <f>CB28+7</f>
        <v/>
      </c>
      <c r="CC29" s="17">
        <f>AA29*СПРАВОЧНИК!$K$28+AS29*СПРАВОЧНИК!$K$29+BK29*СПРАВОЧНИК!$K$30</f>
        <v/>
      </c>
      <c r="CD29" s="31">
        <f>AB29*СПРАВОЧНИК!$K$28+AT29*СПРАВОЧНИК!$K$29+BL29*СПРАВОЧНИК!$K$30</f>
        <v/>
      </c>
      <c r="CE29" s="34" t="n"/>
      <c r="CH29" s="152">
        <f>CH28+7</f>
        <v/>
      </c>
      <c r="CI29" s="17">
        <f>AG29*СПРАВОЧНИК!$K$28+AY29*СПРАВОЧНИК!$K$29+BQ29*СПРАВОЧНИК!$K$30</f>
        <v/>
      </c>
      <c r="CJ29" s="31">
        <f>AH29*СПРАВОЧНИК!$K$28+AZ29*СПРАВОЧНИК!$K$29+BR29*СПРАВОЧНИК!$K$30</f>
        <v/>
      </c>
      <c r="CK29" s="34" t="n"/>
      <c r="CN29" s="152">
        <f>CN28+7</f>
        <v/>
      </c>
      <c r="CO29" s="17">
        <f>C29*СПРАВОЧНИК!$W$18+BW29*СПРАВОЧНИК!$W$19</f>
        <v/>
      </c>
      <c r="CP29" s="31">
        <f>D29*СПРАВОЧНИК!$W$18+BX29*СПРАВОЧНИК!$W$19</f>
        <v/>
      </c>
      <c r="CQ29" s="34" t="n"/>
      <c r="CT29" s="152">
        <f>CT28+7</f>
        <v/>
      </c>
      <c r="CU29" s="17">
        <f>I29*СПРАВОЧНИК!$W$18+CC29*СПРАВОЧНИК!$W$19</f>
        <v/>
      </c>
      <c r="CV29" s="31">
        <f>J29*СПРАВОЧНИК!$W$18+CD29*СПРАВОЧНИК!$W$19</f>
        <v/>
      </c>
      <c r="CW29" s="34" t="n"/>
      <c r="CZ29" s="152">
        <f>CZ28+7</f>
        <v/>
      </c>
      <c r="DA29" s="17">
        <f>O29*СПРАВОЧНИК!$W$18+CI29*СПРАВОЧНИК!$W$19</f>
        <v/>
      </c>
      <c r="DB29" s="31">
        <f>P29*СПРАВОЧНИК!$W$18+CJ29*СПРАВОЧНИК!$W$19</f>
        <v/>
      </c>
      <c r="DC29" s="34" t="n"/>
    </row>
    <row r="30">
      <c r="B30" s="152">
        <f>B29+7</f>
        <v/>
      </c>
      <c r="C30" s="17">
        <f>СПРАВОЧНИК!$E$3*('ПЛАН ЧЕРН ПОДЗЕМ'!B21*СПРАВОЧНИК!$H$3+'ПЛАН ЧЕРН ПОДЗЕМ'!C21*СПРАВОЧНИК!$I$3+'ПЛАН ЧЕРН ПОДЗЕМ'!D21*СПРАВОЧНИК!$J$3)+СПРАВОЧНИК!$F$3*('ПЛАН ЧИСТ ПОДЗЕМ'!B21*СПРАВОЧНИК!$L$3+'ПЛАН ЧИСТ ПОДЗЕМ'!C21*СПРАВОЧНИК!$M$3+'ПЛАН ЧИСТ ПОДЗЕМ'!D21*СПРАВОЧНИК!$N$3+'ПЛАН ЧИСТ ПОДЗЕМ'!E21*СПРАВОЧНИК!$O$3+'ПЛАН ЧИСТ ПОДЗЕМ'!F21*СПРАВОЧНИК!$P$3)+СПРАВОЧНИК!$E$4*('ПЛАН ЧЕРН ПОДЗЕМ'!E21*СПРАВОЧНИК!$H$4+'ПЛАН ЧЕРН ПОДЗЕМ'!F21*СПРАВОЧНИК!$I$4+'ПЛАН ЧЕРН ПОДЗЕМ'!G21*СПРАВОЧНИК!$J$4)+СПРАВОЧНИК!$F$4*('ПЛАН ЧИСТ ПОДЗЕМ'!G21*СПРАВОЧНИК!$L$4+'ПЛАН ЧИСТ ПОДЗЕМ'!H21*СПРАВОЧНИК!$M$4+'ПЛАН ЧИСТ ПОДЗЕМ'!I21*СПРАВОЧНИК!$N$4+'ПЛАН ЧИСТ ПОДЗЕМ'!J21*СПРАВОЧНИК!$O$4+'ПЛАН ЧИСТ ПОДЗЕМ'!K21*СПРАВОЧНИК!$P$4)+СПРАВОЧНИК!$E$5*('ПЛАН ЧЕРН ПОДЗЕМ'!H21*СПРАВОЧНИК!$H$5+'ПЛАН ЧЕРН ПОДЗЕМ'!I21*СПРАВОЧНИК!$I$5+'ПЛАН ЧЕРН ПОДЗЕМ'!J21*СПРАВОЧНИК!$J$5)+СПРАВОЧНИК!$F$5*('ПЛАН ЧИСТ ПОДЗЕМ'!L21*СПРАВОЧНИК!$L$5+'ПЛАН ЧИСТ ПОДЗЕМ'!M21*СПРАВОЧНИК!$M$5+'ПЛАН ЧИСТ ПОДЗЕМ'!N21*СПРАВОЧНИК!$N$5+'ПЛАН ЧИСТ ПОДЗЕМ'!O21*СПРАВОЧНИК!$O$5+'ПЛАН ЧИСТ ПОДЗЕМ'!P21*СПРАВОЧНИК!$P$5)+СПРАВОЧНИК!$E$6*('ПЛАН ЧЕРН ПОДЗЕМ'!K21*СПРАВОЧНИК!$H$6+'ПЛАН ЧЕРН ПОДЗЕМ'!L21*СПРАВОЧНИК!$I$6+'ПЛАН ЧЕРН ПОДЗЕМ'!M21*СПРАВОЧНИК!$J$6)+СПРАВОЧНИК!$F$6*('ПЛАН ЧИСТ ПОДЗЕМ'!Q21*СПРАВОЧНИК!$L$6+'ПЛАН ЧИСТ ПОДЗЕМ'!R21*СПРАВОЧНИК!$M$6+'ПЛАН ЧИСТ ПОДЗЕМ'!S21*СПРАВОЧНИК!$N$6+'ПЛАН ЧИСТ ПОДЗЕМ'!T21*СПРАВОЧНИК!$O$6+'ПЛАН ЧИСТ ПОДЗЕМ'!U21*СПРАВОЧНИК!$P$6)+СПРАВОЧНИК!$E$7*('ПЛАН ЧЕРН ПОДЗЕМ'!N21*СПРАВОЧНИК!$H$7+'ПЛАН ЧЕРН ПОДЗЕМ'!O21*СПРАВОЧНИК!$I$7+'ПЛАН ЧЕРН ПОДЗЕМ'!P21*СПРАВОЧНИК!$J$7)+СПРАВОЧНИК!$F$7*('ПЛАН ЧИСТ ПОДЗЕМ'!V21*СПРАВОЧНИК!$L$7+'ПЛАН ЧИСТ ПОДЗЕМ'!W21*СПРАВОЧНИК!$M$7+'ПЛАН ЧИСТ ПОДЗЕМ'!X21*СПРАВОЧНИК!$N$7+'ПЛАН ЧИСТ ПОДЗЕМ'!Y21*СПРАВОЧНИК!$O$7+'ПЛАН ЧИСТ ПОДЗЕМ'!Z21*СПРАВОЧНИК!$P$7)+СПРАВОЧНИК!$E$8*('ПЛАН ЧЕРН ПОДЗЕМ'!Q21*СПРАВОЧНИК!$H$8+'ПЛАН ЧЕРН ПОДЗЕМ'!R21*СПРАВОЧНИК!$I$8+'ПЛАН ЧЕРН ПОДЗЕМ'!S21*СПРАВОЧНИК!$J$8)+СПРАВОЧНИК!$F$8*('ПЛАН ЧИСТ ПОДЗЕМ'!AA21*СПРАВОЧНИК!$L$8+'ПЛАН ЧИСТ ПОДЗЕМ'!AB21*СПРАВОЧНИК!$M$8+'ПЛАН ЧИСТ ПОДЗЕМ'!AC21*СПРАВОЧНИК!$N$8+'ПЛАН ЧИСТ ПОДЗЕМ'!AD21*СПРАВОЧНИК!$O$8+'ПЛАН ЧИСТ ПОДЗЕМ'!AE21*СПРАВОЧНИК!$P$8)</f>
        <v/>
      </c>
      <c r="D30" s="31">
        <f>СПРАВОЧНИК!$E$3*('ФАКТ ЧЕРН ПОДЗЕМ'!B21*СПРАВОЧНИК!$H$3+'ФАКТ ЧЕРН ПОДЗЕМ'!C21*СПРАВОЧНИК!$I$3+'ФАКТ ЧЕРН ПОДЗЕМ'!D21*СПРАВОЧНИК!$J$3)+СПРАВОЧНИК!$F$3*('ФАКТ ЧИСТ ПОДЗЕМ'!B21*СПРАВОЧНИК!$L$3+'ФАКТ ЧИСТ ПОДЗЕМ'!C21*СПРАВОЧНИК!$M$3+'ФАКТ ЧИСТ ПОДЗЕМ'!D21*СПРАВОЧНИК!$N$3+'ФАКТ ЧИСТ ПОДЗЕМ'!E21*СПРАВОЧНИК!$O$3+'ФАКТ ЧИСТ ПОДЗЕМ'!F21*СПРАВОЧНИК!$P$3)+СПРАВОЧНИК!$E$4*('ФАКТ ЧЕРН ПОДЗЕМ'!E21*СПРАВОЧНИК!$H$4+'ФАКТ ЧЕРН ПОДЗЕМ'!F21*СПРАВОЧНИК!$I$4+'ФАКТ ЧЕРН ПОДЗЕМ'!G21*СПРАВОЧНИК!$J$4)+СПРАВОЧНИК!$F$4*('ФАКТ ЧИСТ ПОДЗЕМ'!G21*СПРАВОЧНИК!$L$4+'ФАКТ ЧИСТ ПОДЗЕМ'!H21*СПРАВОЧНИК!$M$4+'ФАКТ ЧИСТ ПОДЗЕМ'!I21*СПРАВОЧНИК!$N$4+'ФАКТ ЧИСТ ПОДЗЕМ'!J21*СПРАВОЧНИК!$O$4+'ФАКТ ЧИСТ ПОДЗЕМ'!K21*СПРАВОЧНИК!$P$4)+СПРАВОЧНИК!$E$5*('ФАКТ ЧЕРН ПОДЗЕМ'!H21*СПРАВОЧНИК!$H$5+'ФАКТ ЧЕРН ПОДЗЕМ'!I21*СПРАВОЧНИК!$I$5+'ФАКТ ЧЕРН ПОДЗЕМ'!J21*СПРАВОЧНИК!$J$5)+СПРАВОЧНИК!$F$5*('ФАКТ ЧИСТ ПОДЗЕМ'!L21*СПРАВОЧНИК!$L$5+'ФАКТ ЧИСТ ПОДЗЕМ'!M21*СПРАВОЧНИК!$M$5+'ФАКТ ЧИСТ ПОДЗЕМ'!N21*СПРАВОЧНИК!$N$5+'ФАКТ ЧИСТ ПОДЗЕМ'!O21*СПРАВОЧНИК!$O$5+'ФАКТ ЧИСТ ПОДЗЕМ'!P21*СПРАВОЧНИК!$P$5)+СПРАВОЧНИК!$E$6*('ФАКТ ЧЕРН ПОДЗЕМ'!K21*СПРАВОЧНИК!$H$6+'ФАКТ ЧЕРН ПОДЗЕМ'!L21*СПРАВОЧНИК!$I$6+'ФАКТ ЧЕРН ПОДЗЕМ'!M21*СПРАВОЧНИК!$J$6)+СПРАВОЧНИК!$F$6*('ФАКТ ЧИСТ ПОДЗЕМ'!Q21*СПРАВОЧНИК!$L$6+'ФАКТ ЧИСТ ПОДЗЕМ'!R21*СПРАВОЧНИК!$M$6+'ФАКТ ЧИСТ ПОДЗЕМ'!S21*СПРАВОЧНИК!$N$6+'ФАКТ ЧИСТ ПОДЗЕМ'!T21*СПРАВОЧНИК!$O$6+'ФАКТ ЧИСТ ПОДЗЕМ'!U21*СПРАВОЧНИК!$P$6)+СПРАВОЧНИК!$E$7*('ФАКТ ЧЕРН ПОДЗЕМ'!N21*СПРАВОЧНИК!$H$7+'ФАКТ ЧЕРН ПОДЗЕМ'!O21*СПРАВОЧНИК!$I$7+'ФАКТ ЧЕРН ПОДЗЕМ'!P21*СПРАВОЧНИК!$J$7)+СПРАВОЧНИК!$F$7*('ФАКТ ЧИСТ ПОДЗЕМ'!V21*СПРАВОЧНИК!$L$7+'ФАКТ ЧИСТ ПОДЗЕМ'!W21*СПРАВОЧНИК!$M$7+'ФАКТ ЧИСТ ПОДЗЕМ'!X21*СПРАВОЧНИК!$N$7+'ФАКТ ЧИСТ ПОДЗЕМ'!Y21*СПРАВОЧНИК!$O$7+'ФАКТ ЧИСТ ПОДЗЕМ'!Z21*СПРАВОЧНИК!$P$7)+СПРАВОЧНИК!$E$8*('ФАКТ ЧЕРН ПОДЗЕМ'!Q21*СПРАВОЧНИК!$H$8+'ФАКТ ЧЕРН ПОДЗЕМ'!R21*СПРАВОЧНИК!$I$8+'ФАКТ ЧЕРН ПОДЗЕМ'!S21*СПРАВОЧНИК!$J$8)+СПРАВОЧНИК!$F$8*('ФАКТ ЧИСТ ПОДЗЕМ'!AA21*СПРАВОЧНИК!$L$8+'ФАКТ ЧИСТ ПОДЗЕМ'!AB21*СПРАВОЧНИК!$M$8+'ФАКТ ЧИСТ ПОДЗЕМ'!AC21*СПРАВОЧНИК!$N$8+'ФАКТ ЧИСТ ПОДЗЕМ'!AD21*СПРАВОЧНИК!$O$8+'ФАКТ ЧИСТ ПОДЗЕМ'!AE21*СПРАВОЧНИК!$P$8)</f>
        <v/>
      </c>
      <c r="E30" s="34" t="n"/>
      <c r="H30" s="152">
        <f>H29+7</f>
        <v/>
      </c>
      <c r="I30" s="17">
        <f>'ПЛАН ЧЕРН ПОДЗЕМ'!B21*СПРАВОЧНИК!$H$3+'ПЛАН ЧЕРН ПОДЗЕМ'!C21*СПРАВОЧНИК!$I$3+'ПЛАН ЧЕРН ПОДЗЕМ'!D21*СПРАВОЧНИК!$J$3+'ПЛАН ЧЕРН ПОДЗЕМ'!E21*СПРАВОЧНИК!$H$4+'ПЛАН ЧЕРН ПОДЗЕМ'!F21*СПРАВОЧНИК!$I$4+'ПЛАН ЧЕРН ПОДЗЕМ'!G21*СПРАВОЧНИК!$J$4+'ПЛАН ЧЕРН ПОДЗЕМ'!H21*СПРАВОЧНИК!$H$5+'ПЛАН ЧЕРН ПОДЗЕМ'!I21*СПРАВОЧНИК!$I$5+'ПЛАН ЧЕРН ПОДЗЕМ'!J21*СПРАВОЧНИК!$J$5+'ПЛАН ЧЕРН ПОДЗЕМ'!K21*СПРАВОЧНИК!$H$6+'ПЛАН ЧЕРН ПОДЗЕМ'!L21*СПРАВОЧНИК!$I$6+'ПЛАН ЧЕРН ПОДЗЕМ'!M21*СПРАВОЧНИК!$J$6+'ПЛАН ЧЕРН ПОДЗЕМ'!N21*СПРАВОЧНИК!$H$7+'ПЛАН ЧЕРН ПОДЗЕМ'!O21*СПРАВОЧНИК!$I$7+'ПЛАН ЧЕРН ПОДЗЕМ'!P21*СПРАВОЧНИК!$J$7+'ПЛАН ЧЕРН ПОДЗЕМ'!Q21*СПРАВОЧНИК!$H$8+'ПЛАН ЧЕРН ПОДЗЕМ'!R21*СПРАВОЧНИК!$I$8+'ПЛАН ЧЕРН ПОДЗЕМ'!S21*СПРАВОЧНИК!$J$8</f>
        <v/>
      </c>
      <c r="J30" s="31">
        <f>('ФАКТ ЧЕРН ПОДЗЕМ'!B21)*СПРАВОЧНИК!$H$3+('ФАКТ ЧЕРН ПОДЗЕМ'!C21)*СПРАВОЧНИК!$I$3+('ФАКТ ЧЕРН ПОДЗЕМ'!D21)*СПРАВОЧНИК!$J$3+('ФАКТ ЧЕРН ПОДЗЕМ'!E21)*СПРАВОЧНИК!$H$4+('ФАКТ ЧЕРН ПОДЗЕМ'!F21)*СПРАВОЧНИК!$I$4+('ФАКТ ЧЕРН ПОДЗЕМ'!G21)*СПРАВОЧНИК!$J$4+('ФАКТ ЧЕРН ПОДЗЕМ'!H21)*СПРАВОЧНИК!$H$5+('ФАКТ ЧЕРН ПОДЗЕМ'!I21)*СПРАВОЧНИК!$I$5+('ФАКТ ЧЕРН ПОДЗЕМ'!J21)*СПРАВОЧНИК!$J$5+('ФАКТ ЧЕРН ПОДЗЕМ'!K21)*СПРАВОЧНИК!$H$6+('ФАКТ ЧЕРН ПОДЗЕМ'!L21)*СПРАВОЧНИК!$I$6+('ФАКТ ЧЕРН ПОДЗЕМ'!M21)*СПРАВОЧНИК!$J$6+('ФАКТ ЧЕРН ПОДЗЕМ'!N21)*СПРАВОЧНИК!$H$7+('ФАКТ ЧЕРН ПОДЗЕМ'!O21)*СПРАВОЧНИК!$I$7+('ФАКТ ЧЕРН ПОДЗЕМ'!P21)*СПРАВОЧНИК!$J$7+('ФАКТ ЧЕРН ПОДЗЕМ'!Q21)*СПРАВОЧНИК!$H$8+('ФАКТ ЧЕРН ПОДЗЕМ'!R21)*СПРАВОЧНИК!$I$8+('ФАКТ ЧЕРН ПОДЗЕМ'!S21)*СПРАВОЧНИК!$J$8</f>
        <v/>
      </c>
      <c r="K30" s="34" t="n"/>
      <c r="N30" s="152">
        <f>N29+7</f>
        <v/>
      </c>
      <c r="O30" s="17">
        <f>'ПЛАН ЧИСТ ПОДЗЕМ'!B21*СПРАВОЧНИК!$L$3+'ПЛАН ЧИСТ ПОДЗЕМ'!C21*СПРАВОЧНИК!$M$3+'ПЛАН ЧИСТ ПОДЗЕМ'!D21*СПРАВОЧНИК!$N$3+'ПЛАН ЧИСТ ПОДЗЕМ'!E21*СПРАВОЧНИК!$O$3+'ПЛАН ЧИСТ ПОДЗЕМ'!F21*СПРАВОЧНИК!$P$3+'ПЛАН ЧИСТ ПОДЗЕМ'!G21*СПРАВОЧНИК!$L$4+'ПЛАН ЧИСТ ПОДЗЕМ'!H21*СПРАВОЧНИК!$M$4+'ПЛАН ЧИСТ ПОДЗЕМ'!I21*СПРАВОЧНИК!$N$4+'ПЛАН ЧИСТ ПОДЗЕМ'!J21*СПРАВОЧНИК!$O$4+'ПЛАН ЧИСТ ПОДЗЕМ'!K21*СПРАВОЧНИК!$P$4+'ПЛАН ЧИСТ ПОДЗЕМ'!L21*СПРАВОЧНИК!$L$5+'ПЛАН ЧИСТ ПОДЗЕМ'!M21*СПРАВОЧНИК!$M$5+'ПЛАН ЧИСТ ПОДЗЕМ'!N21*СПРАВОЧНИК!$N$5+'ПЛАН ЧИСТ ПОДЗЕМ'!O21*СПРАВОЧНИК!$O$5+'ПЛАН ЧИСТ ПОДЗЕМ'!P21*СПРАВОЧНИК!$P$5+'ПЛАН ЧИСТ ПОДЗЕМ'!Q21*СПРАВОЧНИК!$L$6+'ПЛАН ЧИСТ ПОДЗЕМ'!R21*СПРАВОЧНИК!$M$6+'ПЛАН ЧИСТ ПОДЗЕМ'!S21*СПРАВОЧНИК!$N$6+'ПЛАН ЧИСТ ПОДЗЕМ'!T21*СПРАВОЧНИК!$O$6+'ПЛАН ЧИСТ ПОДЗЕМ'!U21*СПРАВОЧНИК!$P$6+'ПЛАН ЧИСТ ПОДЗЕМ'!V21*СПРАВОЧНИК!$L$7+'ПЛАН ЧИСТ ПОДЗЕМ'!W21*СПРАВОЧНИК!$M$7+'ПЛАН ЧИСТ ПОДЗЕМ'!X21*СПРАВОЧНИК!$N$7+'ПЛАН ЧИСТ ПОДЗЕМ'!Y21*СПРАВОЧНИК!$O$7+'ПЛАН ЧИСТ ПОДЗЕМ'!Z21*СПРАВОЧНИК!$P$7+'ПЛАН ЧИСТ ПОДЗЕМ'!AA21*СПРАВОЧНИК!$L$8+'ПЛАН ЧИСТ ПОДЗЕМ'!AB21*СПРАВОЧНИК!$M$8+'ПЛАН ЧИСТ ПОДЗЕМ'!AC21*СПРАВОЧНИК!$N$8+'ПЛАН ЧИСТ ПОДЗЕМ'!AD21*СПРАВОЧНИК!$O$8+'ПЛАН ЧИСТ ПОДЗЕМ'!AE21*СПРАВОЧНИК!$P$8</f>
        <v/>
      </c>
      <c r="P30" s="31">
        <f>('ФАКТ ЧИСТ ПОДЗЕМ'!B21)*СПРАВОЧНИК!$L$3+('ФАКТ ЧИСТ ПОДЗЕМ'!C21)*СПРАВОЧНИК!$M$3+('ФАКТ ЧИСТ ПОДЗЕМ'!D21)*СПРАВОЧНИК!$N$3+('ФАКТ ЧИСТ ПОДЗЕМ'!E21)*СПРАВОЧНИК!$O$3+('ФАКТ ЧИСТ ПОДЗЕМ'!F21)*СПРАВОЧНИК!$P$3+('ФАКТ ЧИСТ ПОДЗЕМ'!G21)*СПРАВОЧНИК!$L$4+('ФАКТ ЧИСТ ПОДЗЕМ'!H21)*СПРАВОЧНИК!$M$4+('ФАКТ ЧИСТ ПОДЗЕМ'!I21)*СПРАВОЧНИК!$N$4+('ФАКТ ЧИСТ ПОДЗЕМ'!J21)*СПРАВОЧНИК!$O$4+('ФАКТ ЧИСТ ПОДЗЕМ'!K21)*СПРАВОЧНИК!$P$4+('ФАКТ ЧИСТ ПОДЗЕМ'!L21)*СПРАВОЧНИК!$L$5+('ФАКТ ЧИСТ ПОДЗЕМ'!M21)*СПРАВОЧНИК!$M$5+('ФАКТ ЧИСТ ПОДЗЕМ'!N21)*СПРАВОЧНИК!$N$5+('ФАКТ ЧИСТ ПОДЗЕМ'!O21)*СПРАВОЧНИК!$O$5+('ФАКТ ЧИСТ ПОДЗЕМ'!P21)*СПРАВОЧНИК!$P$5+('ФАКТ ЧИСТ ПОДЗЕМ'!Q21)*СПРАВОЧНИК!$L$6+('ФАКТ ЧИСТ ПОДЗЕМ'!R21)*СПРАВОЧНИК!$M$6+('ФАКТ ЧИСТ ПОДЗЕМ'!S21)*СПРАВОЧНИК!$N$6+('ФАКТ ЧИСТ ПОДЗЕМ'!T21)*СПРАВОЧНИК!$O$6+('ФАКТ ЧИСТ ПОДЗЕМ'!U21)*СПРАВОЧНИК!$P$6+('ФАКТ ЧИСТ ПОДЗЕМ'!V21)*СПРАВОЧНИК!$L$7+('ФАКТ ЧИСТ ПОДЗЕМ'!W21)*СПРАВОЧНИК!$M$7+('ФАКТ ЧИСТ ПОДЗЕМ'!X21)*СПРАВОЧНИК!$N$7+('ФАКТ ЧИСТ ПОДЗЕМ'!Y21)*СПРАВОЧНИК!$O$7+('ФАКТ ЧИСТ ПОДЗЕМ'!Z21)*СПРАВОЧНИК!$P$7+('ФАКТ ЧИСТ ПОДЗЕМ'!AA21)*СПРАВОЧНИК!$L$8+('ФАКТ ЧИСТ ПОДЗЕМ'!AB21)*СПРАВОЧНИК!$M$8+('ФАКТ ЧИСТ ПОДЗЕМ'!AC21)*СПРАВОЧНИК!$N$8+('ФАКТ ЧИСТ ПОДЗЕМ'!AD21)*СПРАВОЧНИК!$O$8+('ФАКТ ЧИСТ ПОДЗЕМ'!AE21)*СПРАВОЧНИК!$P$8</f>
        <v/>
      </c>
      <c r="Q30" s="34" t="n"/>
      <c r="T30" s="152">
        <f>T29+7</f>
        <v/>
      </c>
      <c r="U30" s="17">
        <f>СПРАВОЧНИК!$E$9*('ПЛАН ЧЕРН К1'!B21*СПРАВОЧНИК!$H$9+'ПЛАН ЧЕРН К1'!C21*СПРАВОЧНИК!$I$9+'ПЛАН ЧЕРН К1'!D21*СПРАВОЧНИК!$J$9)+СПРАВОЧНИК!$F$9*('ПЛАН ЧИСТ К1'!B21*СПРАВОЧНИК!$L$9+'ПЛАН ЧИСТ К1'!C21*СПРАВОЧНИК!$M$9+'ПЛАН ЧИСТ К1'!D21*СПРАВОЧНИК!$N$9+'ПЛАН ЧИСТ К1'!E21*СПРАВОЧНИК!$O$9+'ПЛАН ЧИСТ К1'!F21*СПРАВОЧНИК!$P$9)+СПРАВОЧНИК!$E$10*('ПЛАН ЧЕРН К1'!E21*СПРАВОЧНИК!$H$10+'ПЛАН ЧЕРН К1'!F21*СПРАВОЧНИК!$I$10+'ПЛАН ЧЕРН К1'!G21*СПРАВОЧНИК!$J$10)+СПРАВОЧНИК!$F$10*('ПЛАН ЧИСТ К1'!G21*СПРАВОЧНИК!$L$10+'ПЛАН ЧИСТ К1'!H21*СПРАВОЧНИК!$M$10+'ПЛАН ЧИСТ К1'!I21*СПРАВОЧНИК!$N$10+'ПЛАН ЧИСТ К1'!J21*СПРАВОЧНИК!$O$10+'ПЛАН ЧИСТ К1'!K21*СПРАВОЧНИК!$P$10)+СПРАВОЧНИК!$E$11*('ПЛАН ЧЕРН К1'!H21*СПРАВОЧНИК!$H$11+'ПЛАН ЧЕРН К1'!I21*СПРАВОЧНИК!$I$11+'ПЛАН ЧЕРН К1'!J21*СПРАВОЧНИК!$J$11)+СПРАВОЧНИК!$F$11*('ПЛАН ЧИСТ К1'!L21*СПРАВОЧНИК!$L$11+'ПЛАН ЧИСТ К1'!M21*СПРАВОЧНИК!$M$11+'ПЛАН ЧИСТ К1'!N21*СПРАВОЧНИК!$N$11+'ПЛАН ЧИСТ К1'!O21*СПРАВОЧНИК!$O$11+'ПЛАН ЧИСТ К1'!P21*СПРАВОЧНИК!$P$11)+СПРАВОЧНИК!$E$12*('ПЛАН ЧЕРН К1'!K21*СПРАВОЧНИК!$H$12+'ПЛАН ЧЕРН К1'!L21*СПРАВОЧНИК!$I$12+'ПЛАН ЧЕРН К1'!M21*СПРАВОЧНИК!$J$12)+СПРАВОЧНИК!$F$12*('ПЛАН ЧИСТ К1'!Q21*СПРАВОЧНИК!$L$12+'ПЛАН ЧИСТ К1'!R21*СПРАВОЧНИК!$M$12+'ПЛАН ЧИСТ К1'!S21*СПРАВОЧНИК!$N$12+'ПЛАН ЧИСТ К1'!T21*СПРАВОЧНИК!$O$12+'ПЛАН ЧИСТ К1'!U21*СПРАВОЧНИК!$P$12)+СПРАВОЧНИК!$E$13*('ПЛАН ЧЕРН К1'!N21*СПРАВОЧНИК!$H$13+'ПЛАН ЧЕРН К1'!O21*СПРАВОЧНИК!$I$13+'ПЛАН ЧЕРН К1'!P21*СПРАВОЧНИК!$J$13)+СПРАВОЧНИК!$F$13*('ПЛАН ЧИСТ К1'!V21*СПРАВОЧНИК!$L$13+'ПЛАН ЧИСТ К1'!W21*СПРАВОЧНИК!$M$13+'ПЛАН ЧИСТ К1'!X21*СПРАВОЧНИК!$N$13+'ПЛАН ЧИСТ К1'!Y21*СПРАВОЧНИК!$O$13+'ПЛАН ЧИСТ К1'!Z21*СПРАВОЧНИК!$P$13)+СПРАВОЧНИК!$E$14*('ПЛАН ЧЕРН К1'!Q21*СПРАВОЧНИК!$H$14+'ПЛАН ЧЕРН К1'!R21*СПРАВОЧНИК!$I$14+'ПЛАН ЧЕРН К1'!S21*СПРАВОЧНИК!$J$14)+СПРАВОЧНИК!$F$14*('ПЛАН ЧИСТ К1'!AA21*СПРАВОЧНИК!$L$14+'ПЛАН ЧИСТ К1'!AB21*СПРАВОЧНИК!$M$14+'ПЛАН ЧИСТ К1'!AC21*СПРАВОЧНИК!$N$14+'ПЛАН ЧИСТ К1'!AD21*СПРАВОЧНИК!$O$14+'ПЛАН ЧИСТ К1'!AE21*СПРАВОЧНИК!$P$14)+СПРАВОЧНИК!$E$15*('ПЛАН ЧЕРН К1'!T21*СПРАВОЧНИК!$H$15+'ПЛАН ЧЕРН К1'!U21*СПРАВОЧНИК!$I$15+'ПЛАН ЧЕРН К1'!V21*СПРАВОЧНИК!$J$15)+СПРАВОЧНИК!$F$15*('ПЛАН ЧИСТ К1'!AF21*СПРАВОЧНИК!$L$15+'ПЛАН ЧИСТ К1'!AG21*СПРАВОЧНИК!$M$15+'ПЛАН ЧИСТ К1'!AH21*СПРАВОЧНИК!$N$15+'ПЛАН ЧИСТ К1'!AI21*СПРАВОЧНИК!$O$15+'ПЛАН ЧИСТ К1'!AJ21*СПРАВОЧНИК!$P$15)</f>
        <v/>
      </c>
      <c r="V30" s="31">
        <f>СПРАВОЧНИК!$E$9*('ФАКТ ЧЕРН К1'!B21*СПРАВОЧНИК!$H$9+'ФАКТ ЧЕРН К1'!C21*СПРАВОЧНИК!$I$9+'ФАКТ ЧЕРН К1'!D21*СПРАВОЧНИК!$J$9)+СПРАВОЧНИК!$F$9*('ФАКТ ЧИСТ К1'!B21*СПРАВОЧНИК!$L$9+'ФАКТ ЧИСТ К1'!C21*СПРАВОЧНИК!$M$9+'ФАКТ ЧИСТ К1'!D21*СПРАВОЧНИК!$N$9+'ФАКТ ЧИСТ К1'!E21*СПРАВОЧНИК!$O$9+'ФАКТ ЧИСТ К1'!F21*СПРАВОЧНИК!$P$9)+СПРАВОЧНИК!$E$10*('ФАКТ ЧЕРН К1'!E21*СПРАВОЧНИК!$H$10+'ФАКТ ЧЕРН К1'!F21*СПРАВОЧНИК!$I$10+'ФАКТ ЧЕРН К1'!G21*СПРАВОЧНИК!$J$10)+СПРАВОЧНИК!$F$10*('ФАКТ ЧИСТ К1'!G21*СПРАВОЧНИК!$L$10+'ФАКТ ЧИСТ К1'!H21*СПРАВОЧНИК!$M$10+'ФАКТ ЧИСТ К1'!I21*СПРАВОЧНИК!$N$10+'ФАКТ ЧИСТ К1'!J21*СПРАВОЧНИК!$O$10+'ФАКТ ЧИСТ К1'!K21*СПРАВОЧНИК!$P$10)+СПРАВОЧНИК!$E$11*('ФАКТ ЧЕРН К1'!H21*СПРАВОЧНИК!$H$11+'ФАКТ ЧЕРН К1'!I21*СПРАВОЧНИК!$I$11+'ФАКТ ЧЕРН К1'!J21*СПРАВОЧНИК!$J$11)+СПРАВОЧНИК!$F$11*('ФАКТ ЧИСТ К1'!L21*СПРАВОЧНИК!$L$11+'ФАКТ ЧИСТ К1'!M21*СПРАВОЧНИК!$M$11+'ФАКТ ЧИСТ К1'!N21*СПРАВОЧНИК!$N$11+'ФАКТ ЧИСТ К1'!O21*СПРАВОЧНИК!$O$11+'ФАКТ ЧИСТ К1'!P21*СПРАВОЧНИК!$P$11)+СПРАВОЧНИК!$E$12*('ФАКТ ЧЕРН К1'!K21*СПРАВОЧНИК!$H$12+'ФАКТ ЧЕРН К1'!L21*СПРАВОЧНИК!$I$12+'ФАКТ ЧЕРН К1'!M21*СПРАВОЧНИК!$J$12)+СПРАВОЧНИК!$F$12*('ФАКТ ЧИСТ К1'!Q21*СПРАВОЧНИК!$L$12+'ФАКТ ЧИСТ К1'!R21*СПРАВОЧНИК!$M$12+'ФАКТ ЧИСТ К1'!S21*СПРАВОЧНИК!$N$12+'ФАКТ ЧИСТ К1'!T21*СПРАВОЧНИК!$O$12+'ФАКТ ЧИСТ К1'!U21*СПРАВОЧНИК!$P$12)+СПРАВОЧНИК!$E$13*('ФАКТ ЧЕРН К1'!N21*СПРАВОЧНИК!$H$13+'ФАКТ ЧЕРН К1'!O21*СПРАВОЧНИК!$I$13+'ФАКТ ЧЕРН К1'!P21*СПРАВОЧНИК!$J$13)+СПРАВОЧНИК!$F$13*('ФАКТ ЧИСТ К1'!V21*СПРАВОЧНИК!$L$13+'ФАКТ ЧИСТ К1'!W21*СПРАВОЧНИК!$M$13+'ФАКТ ЧИСТ К1'!X21*СПРАВОЧНИК!$N$13+'ФАКТ ЧИСТ К1'!Y21*СПРАВОЧНИК!$O$13+'ФАКТ ЧИСТ К1'!Z21*СПРАВОЧНИК!$P$13)+СПРАВОЧНИК!$E$14*('ФАКТ ЧЕРН К1'!Q21*СПРАВОЧНИК!$H$14+'ФАКТ ЧЕРН К1'!R21*СПРАВОЧНИК!$I$14+'ФАКТ ЧЕРН К1'!S21*СПРАВОЧНИК!$J$14)+СПРАВОЧНИК!$F$14*('ФАКТ ЧИСТ К1'!AA21*СПРАВОЧНИК!$L$14+'ФАКТ ЧИСТ К1'!AB21*СПРАВОЧНИК!$M$14+'ФАКТ ЧИСТ К1'!AC21*СПРАВОЧНИК!$N$14+'ФАКТ ЧИСТ К1'!AD21*СПРАВОЧНИК!$O$14+'ФАКТ ЧИСТ К1'!AE21*СПРАВОЧНИК!$P$14)+СПРАВОЧНИК!$E$15*('ФАКТ ЧЕРН К1'!T21*СПРАВОЧНИК!$H$15+'ФАКТ ЧЕРН К1'!U21*СПРАВОЧНИК!$I$15+'ФАКТ ЧЕРН К1'!V21*СПРАВОЧНИК!$J$15)+СПРАВОЧНИК!$F$15*('ФАКТ ЧИСТ К1'!AF21*СПРАВОЧНИК!$L$15+'ФАКТ ЧИСТ К1'!AG21*СПРАВОЧНИК!$M$15+'ФАКТ ЧИСТ К1'!AH21*СПРАВОЧНИК!$N$15+'ФАКТ ЧИСТ К1'!AI21*СПРАВОЧНИК!$O$15+'ФАКТ ЧИСТ К1'!AJ21*СПРАВОЧНИК!$P$15)</f>
        <v/>
      </c>
      <c r="W30" s="34" t="n"/>
      <c r="Z30" s="152">
        <f>Z29+7</f>
        <v/>
      </c>
      <c r="AA30" s="17">
        <f>'ПЛАН ЧЕРН К1'!B21*СПРАВОЧНИК!$H$9+'ПЛАН ЧЕРН К1'!C21*СПРАВОЧНИК!$I$9+'ПЛАН ЧЕРН К1'!D21*СПРАВОЧНИК!$J$9+'ПЛАН ЧЕРН К1'!E21*СПРАВОЧНИК!$H$10+'ПЛАН ЧЕРН К1'!F21*СПРАВОЧНИК!$I$10+'ПЛАН ЧЕРН К1'!G21*СПРАВОЧНИК!$J$10+'ПЛАН ЧЕРН К1'!H21*СПРАВОЧНИК!$H$11+'ПЛАН ЧЕРН К1'!I21*СПРАВОЧНИК!$I$11+'ПЛАН ЧЕРН К1'!J21*СПРАВОЧНИК!$J$11+'ПЛАН ЧЕРН К1'!K21*СПРАВОЧНИК!$H$12+'ПЛАН ЧЕРН К1'!L21*СПРАВОЧНИК!$I$12+'ПЛАН ЧЕРН К1'!M21*СПРАВОЧНИК!$J$12+'ПЛАН ЧЕРН К1'!N21*СПРАВОЧНИК!$H$13+'ПЛАН ЧЕРН К1'!O21*СПРАВОЧНИК!$I$13+'ПЛАН ЧЕРН К1'!P21*СПРАВОЧНИК!$J$13+'ПЛАН ЧЕРН К1'!Q21*СПРАВОЧНИК!$H$14+'ПЛАН ЧЕРН К1'!R21*СПРАВОЧНИК!$I$14+'ПЛАН ЧЕРН К1'!S21*СПРАВОЧНИК!$J$14+'ПЛАН ЧЕРН К1'!T21*СПРАВОЧНИК!$H$15+'ПЛАН ЧЕРН К1'!U21*СПРАВОЧНИК!$I$15+'ПЛАН ЧЕРН К1'!V21*СПРАВОЧНИК!$J$15</f>
        <v/>
      </c>
      <c r="AB30" s="31">
        <f>('ФАКТ ЧЕРН К1'!B21)*СПРАВОЧНИК!$H$9+('ФАКТ ЧЕРН К1'!C21)*СПРАВОЧНИК!$I$9+('ФАКТ ЧЕРН К1'!D21)*СПРАВОЧНИК!$J$9+('ФАКТ ЧЕРН К1'!E21)*СПРАВОЧНИК!$H$10+('ФАКТ ЧЕРН К1'!F21)*СПРАВОЧНИК!$I$10+('ФАКТ ЧЕРН К1'!G21)*СПРАВОЧНИК!$J$10+('ФАКТ ЧЕРН К1'!H21)*СПРАВОЧНИК!$H$11+('ФАКТ ЧЕРН К1'!I21)*СПРАВОЧНИК!$I$11+('ФАКТ ЧЕРН К1'!J21)*СПРАВОЧНИК!$J$11+('ФАКТ ЧЕРН К1'!K21)*СПРАВОЧНИК!$H$12+('ФАКТ ЧЕРН К1'!L21)*СПРАВОЧНИК!$I$12+('ФАКТ ЧЕРН К1'!M21)*СПРАВОЧНИК!$J$12+('ФАКТ ЧЕРН К1'!N21)*СПРАВОЧНИК!$H$13+('ФАКТ ЧЕРН К1'!O21)*СПРАВОЧНИК!$I$13+('ФАКТ ЧЕРН К1'!P21)*СПРАВОЧНИК!$J$13+('ФАКТ ЧЕРН К1'!Q21)*СПРАВОЧНИК!$H$14+('ФАКТ ЧЕРН К1'!R21)*СПРАВОЧНИК!$I$14+('ФАКТ ЧЕРН К1'!S21)*СПРАВОЧНИК!$J$14+('ФАКТ ЧЕРН К1'!T21)*СПРАВОЧНИК!$H$15+('ФАКТ ЧЕРН К1'!U21)*СПРАВОЧНИК!$I$15+('ФАКТ ЧЕРН К1'!V21)*СПРАВОЧНИК!$J$15</f>
        <v/>
      </c>
      <c r="AC30" s="34" t="n"/>
      <c r="AF30" s="152">
        <f>AF29+7</f>
        <v/>
      </c>
      <c r="AG30" s="17">
        <f>'ПЛАН ЧИСТ К1'!B21*СПРАВОЧНИК!$L$9+'ПЛАН ЧИСТ К1'!C21*СПРАВОЧНИК!$M$9+'ПЛАН ЧИСТ К1'!D21*СПРАВОЧНИК!$N$9+'ПЛАН ЧИСТ К1'!E21*СПРАВОЧНИК!$O$9+'ПЛАН ЧИСТ К1'!F21*СПРАВОЧНИК!$P$9+'ПЛАН ЧИСТ К1'!G21*СПРАВОЧНИК!$L$10+'ПЛАН ЧИСТ К1'!H21*СПРАВОЧНИК!$M$10+'ПЛАН ЧИСТ К1'!I21*СПРАВОЧНИК!$N$10+'ПЛАН ЧИСТ К1'!J21*СПРАВОЧНИК!$O$10+'ПЛАН ЧИСТ К1'!K21*СПРАВОЧНИК!$P$10+'ПЛАН ЧИСТ К1'!L21*СПРАВОЧНИК!$L$11+'ПЛАН ЧИСТ К1'!M21*СПРАВОЧНИК!$M$11+'ПЛАН ЧИСТ К1'!N21*СПРАВОЧНИК!$N$11+'ПЛАН ЧИСТ К1'!O21*СПРАВОЧНИК!$O$11+'ПЛАН ЧИСТ К1'!P21*СПРАВОЧНИК!$P$11+'ПЛАН ЧИСТ К1'!Q21*СПРАВОЧНИК!$L$12+'ПЛАН ЧИСТ К1'!R21*СПРАВОЧНИК!$M$12+'ПЛАН ЧИСТ К1'!S21*СПРАВОЧНИК!$N$12+'ПЛАН ЧИСТ К1'!T21*СПРАВОЧНИК!$O$12+'ПЛАН ЧИСТ К1'!U21*СПРАВОЧНИК!$P$12+'ПЛАН ЧИСТ К1'!V21*СПРАВОЧНИК!$L$13+'ПЛАН ЧИСТ К1'!W21*СПРАВОЧНИК!$M$13+'ПЛАН ЧИСТ К1'!X21*СПРАВОЧНИК!$N$13+'ПЛАН ЧИСТ К1'!Y21*СПРАВОЧНИК!$O$13+'ПЛАН ЧИСТ К1'!Z21*СПРАВОЧНИК!$P$13+'ПЛАН ЧИСТ К1'!AA21*СПРАВОЧНИК!$L$14+'ПЛАН ЧИСТ К1'!AB21*СПРАВОЧНИК!$M$14+'ПЛАН ЧИСТ К1'!AC21*СПРАВОЧНИК!$N$14+'ПЛАН ЧИСТ К1'!AD21*СПРАВОЧНИК!$O$14+'ПЛАН ЧИСТ К1'!AE21*СПРАВОЧНИК!$P$14+'ПЛАН ЧИСТ К1'!AF21*СПРАВОЧНИК!$L$15+'ПЛАН ЧИСТ К1'!AG21*СПРАВОЧНИК!$M$15+'ПЛАН ЧИСТ К1'!AH21*СПРАВОЧНИК!$N$15+'ПЛАН ЧИСТ К1'!AI21*СПРАВОЧНИК!$O$15+'ПЛАН ЧИСТ К1'!AJ21*СПРАВОЧНИК!$P$15</f>
        <v/>
      </c>
      <c r="AH30" s="31">
        <f>('ФАКТ ЧИСТ К1'!B21)*СПРАВОЧНИК!$L$9+('ФАКТ ЧИСТ К1'!C21)*СПРАВОЧНИК!$M$9+('ФАКТ ЧИСТ К1'!D21)*СПРАВОЧНИК!$N$9+('ФАКТ ЧИСТ К1'!E21)*СПРАВОЧНИК!$O$9+('ФАКТ ЧИСТ К1'!F21)*СПРАВОЧНИК!$P$9+('ФАКТ ЧИСТ К1'!G21)*СПРАВОЧНИК!$L$10+('ФАКТ ЧИСТ К1'!H21)*СПРАВОЧНИК!$M$10+('ФАКТ ЧИСТ К1'!I21)*СПРАВОЧНИК!$N$10+('ФАКТ ЧИСТ К1'!J21)*СПРАВОЧНИК!$O$10+('ФАКТ ЧИСТ К1'!K21)*СПРАВОЧНИК!$P$10+('ФАКТ ЧИСТ К1'!L21)*СПРАВОЧНИК!$L$11+('ФАКТ ЧИСТ К1'!M21)*СПРАВОЧНИК!$M$11+('ФАКТ ЧИСТ К1'!N21)*СПРАВОЧНИК!$N$11+('ФАКТ ЧИСТ К1'!O21)*СПРАВОЧНИК!$O$11+('ФАКТ ЧИСТ К1'!P21)*СПРАВОЧНИК!$P$11+('ФАКТ ЧИСТ К1'!Q21)*СПРАВОЧНИК!$L$12+('ФАКТ ЧИСТ К1'!R21)*СПРАВОЧНИК!$M$12+('ФАКТ ЧИСТ К1'!S21)*СПРАВОЧНИК!$N$12+('ФАКТ ЧИСТ К1'!T21)*СПРАВОЧНИК!$O$12+('ФАКТ ЧИСТ К1'!U21)*СПРАВОЧНИК!$P$12+('ФАКТ ЧИСТ К1'!V21)*СПРАВОЧНИК!$L$13+('ФАКТ ЧИСТ К1'!W21)*СПРАВОЧНИК!$M$13+('ФАКТ ЧИСТ К1'!X21)*СПРАВОЧНИК!$N$13+('ФАКТ ЧИСТ К1'!Y21)*СПРАВОЧНИК!$O$13+('ФАКТ ЧИСТ К1'!Z21)*СПРАВОЧНИК!$P$13+('ФАКТ ЧИСТ К1'!AA21)*СПРАВОЧНИК!$L$14+('ФАКТ ЧИСТ К1'!AB21)*СПРАВОЧНИК!$M$14+('ФАКТ ЧИСТ К1'!AC21)*СПРАВОЧНИК!$N$14+('ФАКТ ЧИСТ К1'!AD21)*СПРАВОЧНИК!$O$14+('ФАКТ ЧИСТ К1'!AE21)*СПРАВОЧНИК!$P$14+('ФАКТ ЧИСТ К1'!AF21)*СПРАВОЧНИК!$L$15+('ФАКТ ЧИСТ К1'!AG21)*СПРАВОЧНИК!$M$15+('ФАКТ ЧИСТ К1'!AH21)*СПРАВОЧНИК!$N$15+('ФАКТ ЧИСТ К1'!AI21)*СПРАВОЧНИК!$O$15+('ФАКТ ЧИСТ К1'!AJ21)*СПРАВОЧНИК!$P$15</f>
        <v/>
      </c>
      <c r="AI30" s="34" t="n"/>
      <c r="AL30" s="152">
        <f>AL29+7</f>
        <v/>
      </c>
      <c r="AM30" s="17">
        <f>СПРАВОЧНИК!$E$9*('ПЛАН ЧЕРН К2'!B21*СПРАВОЧНИК!$H$9+'ПЛАН ЧЕРН К2'!C21*СПРАВОЧНИК!$I$9+'ПЛАН ЧЕРН К2'!D21*СПРАВОЧНИК!$J$9)+СПРАВОЧНИК!$F$9*('ПЛАН ЧИСТ К2'!B21*СПРАВОЧНИК!$L$9+'ПЛАН ЧИСТ К2'!C21*СПРАВОЧНИК!$M$9+'ПЛАН ЧИСТ К2'!D21*СПРАВОЧНИК!$N$9+'ПЛАН ЧИСТ К2'!E21*СПРАВОЧНИК!$O$9+'ПЛАН ЧИСТ К2'!F21*СПРАВОЧНИК!$P$9)+СПРАВОЧНИК!$E$10*('ПЛАН ЧЕРН К2'!E21*СПРАВОЧНИК!$H$10+'ПЛАН ЧЕРН К2'!F21*СПРАВОЧНИК!$I$10+'ПЛАН ЧЕРН К2'!G21*СПРАВОЧНИК!$J$10)+СПРАВОЧНИК!$F$10*('ПЛАН ЧИСТ К2'!G21*СПРАВОЧНИК!$L$10+'ПЛАН ЧИСТ К2'!H21*СПРАВОЧНИК!$M$10+'ПЛАН ЧИСТ К2'!I21*СПРАВОЧНИК!$N$10+'ПЛАН ЧИСТ К2'!J21*СПРАВОЧНИК!$O$10+'ПЛАН ЧИСТ К2'!K21*СПРАВОЧНИК!$P$10)+СПРАВОЧНИК!$E$11*('ПЛАН ЧЕРН К2'!H21*СПРАВОЧНИК!$H$11+'ПЛАН ЧЕРН К2'!I21*СПРАВОЧНИК!$I$11+'ПЛАН ЧЕРН К2'!J21*СПРАВОЧНИК!$J$11)+СПРАВОЧНИК!$F$11*('ПЛАН ЧИСТ К2'!L21*СПРАВОЧНИК!$L$11+'ПЛАН ЧИСТ К2'!M21*СПРАВОЧНИК!$M$11+'ПЛАН ЧИСТ К2'!N21*СПРАВОЧНИК!$N$11+'ПЛАН ЧИСТ К2'!O21*СПРАВОЧНИК!$O$11+'ПЛАН ЧИСТ К2'!P21*СПРАВОЧНИК!$P$11)+СПРАВОЧНИК!$E$12*('ПЛАН ЧЕРН К2'!K21*СПРАВОЧНИК!$H$12+'ПЛАН ЧЕРН К2'!L21*СПРАВОЧНИК!$I$12+'ПЛАН ЧЕРН К2'!M21*СПРАВОЧНИК!$J$12)+СПРАВОЧНИК!$F$12*('ПЛАН ЧИСТ К2'!Q21*СПРАВОЧНИК!$L$12+'ПЛАН ЧИСТ К2'!R21*СПРАВОЧНИК!$M$12+'ПЛАН ЧИСТ К2'!S21*СПРАВОЧНИК!$N$12+'ПЛАН ЧИСТ К2'!T21*СПРАВОЧНИК!$O$12+'ПЛАН ЧИСТ К2'!U21*СПРАВОЧНИК!$P$12)+СПРАВОЧНИК!$E$13*('ПЛАН ЧЕРН К2'!N21*СПРАВОЧНИК!$H$13+'ПЛАН ЧЕРН К2'!O21*СПРАВОЧНИК!$I$13+'ПЛАН ЧЕРН К2'!P21*СПРАВОЧНИК!$J$13)+СПРАВОЧНИК!$F$13*('ПЛАН ЧИСТ К2'!V21*СПРАВОЧНИК!$L$13+'ПЛАН ЧИСТ К2'!W21*СПРАВОЧНИК!$M$13+'ПЛАН ЧИСТ К2'!X21*СПРАВОЧНИК!$N$13+'ПЛАН ЧИСТ К2'!Y21*СПРАВОЧНИК!$O$13+'ПЛАН ЧИСТ К2'!Z21*СПРАВОЧНИК!$P$13)+СПРАВОЧНИК!$E$14*('ПЛАН ЧЕРН К2'!Q21*СПРАВОЧНИК!$H$14+'ПЛАН ЧЕРН К2'!R21*СПРАВОЧНИК!$I$14+'ПЛАН ЧЕРН К2'!S21*СПРАВОЧНИК!$J$14)+СПРАВОЧНИК!$F$14*('ПЛАН ЧИСТ К2'!AA21*СПРАВОЧНИК!$L$14+'ПЛАН ЧИСТ К2'!AB21*СПРАВОЧНИК!$M$14+'ПЛАН ЧИСТ К2'!AC21*СПРАВОЧНИК!$N$14+'ПЛАН ЧИСТ К2'!AD21*СПРАВОЧНИК!$O$14+'ПЛАН ЧИСТ К2'!AE21*СПРАВОЧНИК!$P$14)+СПРАВОЧНИК!$E$15*('ПЛАН ЧЕРН К2'!T21*СПРАВОЧНИК!$H$15+'ПЛАН ЧЕРН К2'!U21*СПРАВОЧНИК!$I$15+'ПЛАН ЧЕРН К2'!V21*СПРАВОЧНИК!$J$15)+СПРАВОЧНИК!$F$15*('ПЛАН ЧИСТ К2'!AF21*СПРАВОЧНИК!$L$15+'ПЛАН ЧИСТ К2'!AG21*СПРАВОЧНИК!$M$15+'ПЛАН ЧИСТ К2'!AH21*СПРАВОЧНИК!$N$15+'ПЛАН ЧИСТ К2'!AI21*СПРАВОЧНИК!$O$15+'ПЛАН ЧИСТ К2'!AJ21*СПРАВОЧНИК!$P$15)</f>
        <v/>
      </c>
      <c r="AN30" s="31">
        <f>СПРАВОЧНИК!$E$9*('ФАКТ ЧЕРН К2'!B21*СПРАВОЧНИК!$H$9+'ФАКТ ЧЕРН К2'!C21*СПРАВОЧНИК!$I$9+'ФАКТ ЧЕРН К2'!D21*СПРАВОЧНИК!$J$9)+СПРАВОЧНИК!$F$9*('ФАКТ ЧИСТ К2'!B21*СПРАВОЧНИК!$L$9+'ФАКТ ЧИСТ К2'!C21*СПРАВОЧНИК!$M$9+'ФАКТ ЧИСТ К2'!D21*СПРАВОЧНИК!$N$9+'ФАКТ ЧИСТ К2'!E21*СПРАВОЧНИК!$O$9+'ФАКТ ЧИСТ К2'!F21*СПРАВОЧНИК!$P$9)+СПРАВОЧНИК!$E$10*('ФАКТ ЧЕРН К2'!E21*СПРАВОЧНИК!$H$10+'ФАКТ ЧЕРН К2'!F21*СПРАВОЧНИК!$I$10+'ФАКТ ЧЕРН К2'!G21*СПРАВОЧНИК!$J$10)+СПРАВОЧНИК!$F$10*('ФАКТ ЧИСТ К2'!G21*СПРАВОЧНИК!$L$10+'ФАКТ ЧИСТ К2'!H21*СПРАВОЧНИК!$M$10+'ФАКТ ЧИСТ К2'!I21*СПРАВОЧНИК!$N$10+'ФАКТ ЧИСТ К2'!J21*СПРАВОЧНИК!$O$10+'ФАКТ ЧИСТ К2'!K21*СПРАВОЧНИК!$P$10)+СПРАВОЧНИК!$E$11*('ФАКТ ЧЕРН К2'!H21*СПРАВОЧНИК!$H$11+'ФАКТ ЧЕРН К2'!I21*СПРАВОЧНИК!$I$11+'ФАКТ ЧЕРН К2'!J21*СПРАВОЧНИК!$J$11)+СПРАВОЧНИК!$F$11*('ФАКТ ЧИСТ К2'!L21*СПРАВОЧНИК!$L$11+'ФАКТ ЧИСТ К2'!M21*СПРАВОЧНИК!$M$11+'ФАКТ ЧИСТ К2'!N21*СПРАВОЧНИК!$N$11+'ФАКТ ЧИСТ К2'!O21*СПРАВОЧНИК!$O$11+'ФАКТ ЧИСТ К2'!P21*СПРАВОЧНИК!$P$11)+СПРАВОЧНИК!$E$12*('ФАКТ ЧЕРН К2'!K21*СПРАВОЧНИК!$H$12+'ФАКТ ЧЕРН К2'!L21*СПРАВОЧНИК!$I$12+'ФАКТ ЧЕРН К2'!M21*СПРАВОЧНИК!$J$12)+СПРАВОЧНИК!$F$12*('ФАКТ ЧИСТ К2'!Q21*СПРАВОЧНИК!$L$12+'ФАКТ ЧИСТ К2'!R21*СПРАВОЧНИК!$M$12+'ФАКТ ЧИСТ К2'!S21*СПРАВОЧНИК!$N$12+'ФАКТ ЧИСТ К2'!T21*СПРАВОЧНИК!$O$12+'ФАКТ ЧИСТ К2'!U21*СПРАВОЧНИК!$P$12)+СПРАВОЧНИК!$E$13*('ФАКТ ЧЕРН К2'!N21*СПРАВОЧНИК!$H$13+'ФАКТ ЧЕРН К2'!O21*СПРАВОЧНИК!$I$13+'ФАКТ ЧЕРН К2'!P21*СПРАВОЧНИК!$J$13)+СПРАВОЧНИК!$F$13*('ФАКТ ЧИСТ К2'!V21*СПРАВОЧНИК!$L$13+'ФАКТ ЧИСТ К2'!W21*СПРАВОЧНИК!$M$13+'ФАКТ ЧИСТ К2'!X21*СПРАВОЧНИК!$N$13+'ФАКТ ЧИСТ К2'!Y21*СПРАВОЧНИК!$O$13+'ФАКТ ЧИСТ К2'!Z21*СПРАВОЧНИК!$P$13)+СПРАВОЧНИК!$E$14*('ФАКТ ЧЕРН К2'!Q21*СПРАВОЧНИК!$H$14+'ФАКТ ЧЕРН К2'!R21*СПРАВОЧНИК!$I$14+'ФАКТ ЧЕРН К2'!S21*СПРАВОЧНИК!$J$14)+СПРАВОЧНИК!$F$14*('ФАКТ ЧИСТ К2'!AA21*СПРАВОЧНИК!$L$14+'ФАКТ ЧИСТ К2'!AB21*СПРАВОЧНИК!$M$14+'ФАКТ ЧИСТ К2'!AC21*СПРАВОЧНИК!$N$14+'ФАКТ ЧИСТ К2'!AD21*СПРАВОЧНИК!$O$14+'ФАКТ ЧИСТ К2'!AE21*СПРАВОЧНИК!$P$14)+СПРАВОЧНИК!$E$15*('ФАКТ ЧЕРН К2'!T21*СПРАВОЧНИК!$H$15+'ФАКТ ЧЕРН К2'!U21*СПРАВОЧНИК!$I$15+'ФАКТ ЧЕРН К2'!V21*СПРАВОЧНИК!$J$15)+СПРАВОЧНИК!$F$15*('ФАКТ ЧИСТ К2'!AF21*СПРАВОЧНИК!$L$15+'ФАКТ ЧИСТ К2'!AG21*СПРАВОЧНИК!$M$15+'ФАКТ ЧИСТ К2'!AH21*СПРАВОЧНИК!$N$15+'ФАКТ ЧИСТ К2'!AI21*СПРАВОЧНИК!$O$15+'ФАКТ ЧИСТ К2'!AJ21*СПРАВОЧНИК!$P$15)</f>
        <v/>
      </c>
      <c r="AO30" s="34" t="n"/>
      <c r="AR30" s="152">
        <f>AR29+7</f>
        <v/>
      </c>
      <c r="AS30" s="17">
        <f>'ПЛАН ЧЕРН К2'!B21*СПРАВОЧНИК!$H$9+'ПЛАН ЧЕРН К2'!C21*СПРАВОЧНИК!$I$9+'ПЛАН ЧЕРН К2'!D21*СПРАВОЧНИК!$J$9+'ПЛАН ЧЕРН К2'!E21*СПРАВОЧНИК!$H$10+'ПЛАН ЧЕРН К2'!F21*СПРАВОЧНИК!$I$10+'ПЛАН ЧЕРН К2'!G21*СПРАВОЧНИК!$J$10+'ПЛАН ЧЕРН К2'!H21*СПРАВОЧНИК!$H$11+'ПЛАН ЧЕРН К2'!I21*СПРАВОЧНИК!$I$11+'ПЛАН ЧЕРН К2'!J21*СПРАВОЧНИК!$J$11+'ПЛАН ЧЕРН К2'!K21*СПРАВОЧНИК!$H$12+'ПЛАН ЧЕРН К2'!L21*СПРАВОЧНИК!$I$12+'ПЛАН ЧЕРН К2'!M21*СПРАВОЧНИК!$J$12+'ПЛАН ЧЕРН К2'!N21*СПРАВОЧНИК!$H$13+'ПЛАН ЧЕРН К2'!O21*СПРАВОЧНИК!$I$13+'ПЛАН ЧЕРН К2'!P21*СПРАВОЧНИК!$J$13+'ПЛАН ЧЕРН К2'!Q21*СПРАВОЧНИК!$H$14+'ПЛАН ЧЕРН К2'!R21*СПРАВОЧНИК!$I$14+'ПЛАН ЧЕРН К2'!S21*СПРАВОЧНИК!$J$14+'ПЛАН ЧЕРН К2'!T21*СПРАВОЧНИК!$H$15+'ПЛАН ЧЕРН К2'!U21*СПРАВОЧНИК!$I$15+'ПЛАН ЧЕРН К2'!V21*СПРАВОЧНИК!$J$15</f>
        <v/>
      </c>
      <c r="AT30" s="31">
        <f>('ФАКТ ЧЕРН К2'!B21)*СПРАВОЧНИК!$H$9+('ФАКТ ЧЕРН К2'!C21)*СПРАВОЧНИК!$I$9+('ФАКТ ЧЕРН К2'!D21)*СПРАВОЧНИК!$J$9+('ФАКТ ЧЕРН К2'!E21)*СПРАВОЧНИК!$H$10+('ФАКТ ЧЕРН К2'!F21)*СПРАВОЧНИК!$I$10+('ФАКТ ЧЕРН К2'!G21)*СПРАВОЧНИК!$J$10+('ФАКТ ЧЕРН К2'!H21)*СПРАВОЧНИК!$H$11+('ФАКТ ЧЕРН К2'!I21)*СПРАВОЧНИК!$I$11+('ФАКТ ЧЕРН К2'!J21)*СПРАВОЧНИК!$J$11+('ФАКТ ЧЕРН К2'!K21)*СПРАВОЧНИК!$H$12+('ФАКТ ЧЕРН К2'!L21)*СПРАВОЧНИК!$I$12+('ФАКТ ЧЕРН К2'!M21)*СПРАВОЧНИК!$J$12+('ФАКТ ЧЕРН К2'!N21)*СПРАВОЧНИК!$H$13+('ФАКТ ЧЕРН К2'!O21)*СПРАВОЧНИК!$I$13+('ФАКТ ЧЕРН К2'!P21)*СПРАВОЧНИК!$J$13+('ФАКТ ЧЕРН К2'!Q21)*СПРАВОЧНИК!$H$14+('ФАКТ ЧЕРН К2'!R21)*СПРАВОЧНИК!$I$14+('ФАКТ ЧЕРН К2'!S21)*СПРАВОЧНИК!$J$14+('ФАКТ ЧЕРН К2'!T21)*СПРАВОЧНИК!$H$15+('ФАКТ ЧЕРН К2'!U21)*СПРАВОЧНИК!$I$15+('ФАКТ ЧЕРН К2'!V21)*СПРАВОЧНИК!$J$15</f>
        <v/>
      </c>
      <c r="AU30" s="34" t="n"/>
      <c r="AX30" s="152">
        <f>AX29+7</f>
        <v/>
      </c>
      <c r="AY30" s="17">
        <f>'ПЛАН ЧИСТ К2'!B21*СПРАВОЧНИК!$L$9+'ПЛАН ЧИСТ К2'!C21*СПРАВОЧНИК!$M$9+'ПЛАН ЧИСТ К2'!D21*СПРАВОЧНИК!$N$9+'ПЛАН ЧИСТ К2'!E21*СПРАВОЧНИК!$O$9+'ПЛАН ЧИСТ К2'!F21*СПРАВОЧНИК!$P$9+'ПЛАН ЧИСТ К2'!G21*СПРАВОЧНИК!$L$10+'ПЛАН ЧИСТ К2'!H21*СПРАВОЧНИК!$M$10+'ПЛАН ЧИСТ К2'!I21*СПРАВОЧНИК!$N$10+'ПЛАН ЧИСТ К2'!J21*СПРАВОЧНИК!$O$10+'ПЛАН ЧИСТ К2'!K21*СПРАВОЧНИК!$P$10+'ПЛАН ЧИСТ К2'!L21*СПРАВОЧНИК!$L$11+'ПЛАН ЧИСТ К2'!M21*СПРАВОЧНИК!$M$11+'ПЛАН ЧИСТ К2'!N21*СПРАВОЧНИК!$N$11+'ПЛАН ЧИСТ К2'!O21*СПРАВОЧНИК!$O$11+'ПЛАН ЧИСТ К2'!P21*СПРАВОЧНИК!$P$11+'ПЛАН ЧИСТ К2'!Q21*СПРАВОЧНИК!$L$12+'ПЛАН ЧИСТ К2'!R21*СПРАВОЧНИК!$M$12+'ПЛАН ЧИСТ К2'!S21*СПРАВОЧНИК!$N$12+'ПЛАН ЧИСТ К2'!T21*СПРАВОЧНИК!$O$12+'ПЛАН ЧИСТ К2'!U21*СПРАВОЧНИК!$P$12+'ПЛАН ЧИСТ К2'!V21*СПРАВОЧНИК!$L$13+'ПЛАН ЧИСТ К2'!W21*СПРАВОЧНИК!$M$13+'ПЛАН ЧИСТ К2'!X21*СПРАВОЧНИК!$N$13+'ПЛАН ЧИСТ К2'!Y21*СПРАВОЧНИК!$O$13+'ПЛАН ЧИСТ К2'!Z21*СПРАВОЧНИК!$P$13+'ПЛАН ЧИСТ К2'!AA21*СПРАВОЧНИК!$L$14+'ПЛАН ЧИСТ К2'!AB21*СПРАВОЧНИК!$M$14+'ПЛАН ЧИСТ К2'!AC21*СПРАВОЧНИК!$N$14+'ПЛАН ЧИСТ К2'!AD21*СПРАВОЧНИК!$O$14+'ПЛАН ЧИСТ К2'!AE21*СПРАВОЧНИК!$P$14+'ПЛАН ЧИСТ К2'!AF21*СПРАВОЧНИК!$L$15+'ПЛАН ЧИСТ К2'!AG21*СПРАВОЧНИК!$M$15+'ПЛАН ЧИСТ К2'!AH21*СПРАВОЧНИК!$N$15+'ПЛАН ЧИСТ К2'!AI21*СПРАВОЧНИК!$O$15+'ПЛАН ЧИСТ К2'!AJ21*СПРАВОЧНИК!$P$15</f>
        <v/>
      </c>
      <c r="AZ30" s="31">
        <f>('ФАКТ ЧИСТ К2'!B21)*СПРАВОЧНИК!$L$9+('ФАКТ ЧИСТ К2'!C21)*СПРАВОЧНИК!$M$9+('ФАКТ ЧИСТ К2'!D21)*СПРАВОЧНИК!$N$9+('ФАКТ ЧИСТ К2'!E21)*СПРАВОЧНИК!$O$9+('ФАКТ ЧИСТ К2'!F21)*СПРАВОЧНИК!$P$9+('ФАКТ ЧИСТ К2'!G21)*СПРАВОЧНИК!$L$10+('ФАКТ ЧИСТ К2'!H21)*СПРАВОЧНИК!$M$10+('ФАКТ ЧИСТ К2'!I21)*СПРАВОЧНИК!$N$10+('ФАКТ ЧИСТ К2'!J21)*СПРАВОЧНИК!$O$10+('ФАКТ ЧИСТ К2'!K21)*СПРАВОЧНИК!$P$10+('ФАКТ ЧИСТ К2'!L21)*СПРАВОЧНИК!$L$11+('ФАКТ ЧИСТ К2'!M21)*СПРАВОЧНИК!$M$11+('ФАКТ ЧИСТ К2'!N21)*СПРАВОЧНИК!$N$11+('ФАКТ ЧИСТ К2'!O21)*СПРАВОЧНИК!$O$11+('ФАКТ ЧИСТ К2'!P21)*СПРАВОЧНИК!$P$11+('ФАКТ ЧИСТ К2'!Q21)*СПРАВОЧНИК!$L$12+('ФАКТ ЧИСТ К2'!R21)*СПРАВОЧНИК!$M$12+('ФАКТ ЧИСТ К2'!S21)*СПРАВОЧНИК!$N$12+('ФАКТ ЧИСТ К2'!T21)*СПРАВОЧНИК!$O$12+('ФАКТ ЧИСТ К2'!U21)*СПРАВОЧНИК!$P$12+('ФАКТ ЧИСТ К2'!V21)*СПРАВОЧНИК!$L$13+('ФАКТ ЧИСТ К2'!W21)*СПРАВОЧНИК!$M$13+('ФАКТ ЧИСТ К2'!X21)*СПРАВОЧНИК!$N$13+('ФАКТ ЧИСТ К2'!Y21)*СПРАВОЧНИК!$O$13+('ФАКТ ЧИСТ К2'!Z21)*СПРАВОЧНИК!$P$13+('ФАКТ ЧИСТ К2'!AA21)*СПРАВОЧНИК!$L$14+('ФАКТ ЧИСТ К2'!AB21)*СПРАВОЧНИК!$M$14+('ФАКТ ЧИСТ К2'!AC21)*СПРАВОЧНИК!$N$14+('ФАКТ ЧИСТ К2'!AD21)*СПРАВОЧНИК!$O$14+('ФАКТ ЧИСТ К2'!AE21)*СПРАВОЧНИК!$P$14+('ФАКТ ЧИСТ К2'!AF21)*СПРАВОЧНИК!$L$15+('ФАКТ ЧИСТ К2'!AG21)*СПРАВОЧНИК!$M$15+('ФАКТ ЧИСТ К2'!AH21)*СПРАВОЧНИК!$N$15+('ФАКТ ЧИСТ К2'!AI21)*СПРАВОЧНИК!$O$15+('ФАКТ ЧИСТ К2'!AJ21)*СПРАВОЧНИК!$P$15</f>
        <v/>
      </c>
      <c r="BA30" s="34" t="n"/>
      <c r="BD30" s="152">
        <f>BD29+7</f>
        <v/>
      </c>
      <c r="BE30" s="17">
        <f>СПРАВОЧНИК!$E$9*('ПЛАН ЧЕРН К3'!B21*СПРАВОЧНИК!$H$9+'ПЛАН ЧЕРН К3'!C21*СПРАВОЧНИК!$I$9+'ПЛАН ЧЕРН К3'!D21*СПРАВОЧНИК!$J$9)+СПРАВОЧНИК!$F$9*('ПЛАН ЧИСТ К3'!B21*СПРАВОЧНИК!$L$9+'ПЛАН ЧИСТ К3'!C21*СПРАВОЧНИК!$M$9+'ПЛАН ЧИСТ К3'!D21*СПРАВОЧНИК!$N$9+'ПЛАН ЧИСТ К3'!E21*СПРАВОЧНИК!$O$9+'ПЛАН ЧИСТ К3'!F21*СПРАВОЧНИК!$P$9)+СПРАВОЧНИК!$E$10*('ПЛАН ЧЕРН К3'!E21*СПРАВОЧНИК!$H$10+'ПЛАН ЧЕРН К3'!F21*СПРАВОЧНИК!$I$10+'ПЛАН ЧЕРН К3'!G21*СПРАВОЧНИК!$J$10)+СПРАВОЧНИК!$F$10*('ПЛАН ЧИСТ К3'!G21*СПРАВОЧНИК!$L$10+'ПЛАН ЧИСТ К3'!H21*СПРАВОЧНИК!$M$10+'ПЛАН ЧИСТ К3'!I21*СПРАВОЧНИК!$N$10+'ПЛАН ЧИСТ К3'!J21*СПРАВОЧНИК!$O$10+'ПЛАН ЧИСТ К3'!K21*СПРАВОЧНИК!$P$10)+СПРАВОЧНИК!$E$11*('ПЛАН ЧЕРН К3'!H21*СПРАВОЧНИК!$H$11+'ПЛАН ЧЕРН К3'!I21*СПРАВОЧНИК!$I$11+'ПЛАН ЧЕРН К3'!J21*СПРАВОЧНИК!$J$11)+СПРАВОЧНИК!$F$11*('ПЛАН ЧИСТ К3'!L21*СПРАВОЧНИК!$L$11+'ПЛАН ЧИСТ К3'!M21*СПРАВОЧНИК!$M$11+'ПЛАН ЧИСТ К3'!N21*СПРАВОЧНИК!$N$11+'ПЛАН ЧИСТ К3'!O21*СПРАВОЧНИК!$O$11+'ПЛАН ЧИСТ К3'!P21*СПРАВОЧНИК!$P$11)+СПРАВОЧНИК!$E$12*('ПЛАН ЧЕРН К3'!K21*СПРАВОЧНИК!$H$12+'ПЛАН ЧЕРН К3'!L21*СПРАВОЧНИК!$I$12+'ПЛАН ЧЕРН К3'!M21*СПРАВОЧНИК!$J$12)+СПРАВОЧНИК!$F$12*('ПЛАН ЧИСТ К3'!Q21*СПРАВОЧНИК!$L$12+'ПЛАН ЧИСТ К3'!R21*СПРАВОЧНИК!$M$12+'ПЛАН ЧИСТ К3'!S21*СПРАВОЧНИК!$N$12+'ПЛАН ЧИСТ К3'!T21*СПРАВОЧНИК!$O$12+'ПЛАН ЧИСТ К3'!U21*СПРАВОЧНИК!$P$12)+СПРАВОЧНИК!$E$13*('ПЛАН ЧЕРН К3'!N21*СПРАВОЧНИК!$H$13+'ПЛАН ЧЕРН К3'!O21*СПРАВОЧНИК!$I$13+'ПЛАН ЧЕРН К3'!P21*СПРАВОЧНИК!$J$13)+СПРАВОЧНИК!$F$13*('ПЛАН ЧИСТ К3'!V21*СПРАВОЧНИК!$L$13+'ПЛАН ЧИСТ К3'!W21*СПРАВОЧНИК!$M$13+'ПЛАН ЧИСТ К3'!X21*СПРАВОЧНИК!$N$13+'ПЛАН ЧИСТ К3'!Y21*СПРАВОЧНИК!$O$13+'ПЛАН ЧИСТ К3'!Z21*СПРАВОЧНИК!$P$13)+СПРАВОЧНИК!$E$14*('ПЛАН ЧЕРН К3'!Q21*СПРАВОЧНИК!$H$14+'ПЛАН ЧЕРН К3'!R21*СПРАВОЧНИК!$I$14+'ПЛАН ЧЕРН К3'!S21*СПРАВОЧНИК!$J$14)+СПРАВОЧНИК!$F$14*('ПЛАН ЧИСТ К3'!AA21*СПРАВОЧНИК!$L$14+'ПЛАН ЧИСТ К3'!AB21*СПРАВОЧНИК!$M$14+'ПЛАН ЧИСТ К3'!AC21*СПРАВОЧНИК!$N$14+'ПЛАН ЧИСТ К3'!AD21*СПРАВОЧНИК!$O$14+'ПЛАН ЧИСТ К3'!AE21*СПРАВОЧНИК!$P$14)+СПРАВОЧНИК!$E$15*('ПЛАН ЧЕРН К3'!T21*СПРАВОЧНИК!$H$15+'ПЛАН ЧЕРН К3'!U21*СПРАВОЧНИК!$I$15+'ПЛАН ЧЕРН К3'!V21*СПРАВОЧНИК!$J$15)+СПРАВОЧНИК!$F$15*('ПЛАН ЧИСТ К3'!AF21*СПРАВОЧНИК!$L$15+'ПЛАН ЧИСТ К3'!AG21*СПРАВОЧНИК!$M$15+'ПЛАН ЧИСТ К3'!AH21*СПРАВОЧНИК!$N$15+'ПЛАН ЧИСТ К3'!AI21*СПРАВОЧНИК!$O$15+'ПЛАН ЧИСТ К3'!AJ21*СПРАВОЧНИК!$P$15)</f>
        <v/>
      </c>
      <c r="BF30" s="31">
        <f>СПРАВОЧНИК!$E$9*('ФАКТ ЧЕРН К3'!B21*СПРАВОЧНИК!$H$9+'ФАКТ ЧЕРН К3'!C21*СПРАВОЧНИК!$I$9+'ФАКТ ЧЕРН К3'!D21*СПРАВОЧНИК!$J$9)+СПРАВОЧНИК!$F$9*('ФАКТ ЧИСТ К3'!B21*СПРАВОЧНИК!$L$9+'ФАКТ ЧИСТ К3'!C21*СПРАВОЧНИК!$M$9+'ФАКТ ЧИСТ К3'!D21*СПРАВОЧНИК!$N$9+'ФАКТ ЧИСТ К3'!E21*СПРАВОЧНИК!$O$9+'ФАКТ ЧИСТ К3'!F21*СПРАВОЧНИК!$P$9)+СПРАВОЧНИК!$E$10*('ФАКТ ЧЕРН К3'!E21*СПРАВОЧНИК!$H$10+'ФАКТ ЧЕРН К3'!F21*СПРАВОЧНИК!$I$10+'ФАКТ ЧЕРН К3'!G21*СПРАВОЧНИК!$J$10)+СПРАВОЧНИК!$F$10*('ФАКТ ЧИСТ К3'!G21*СПРАВОЧНИК!$L$10+'ФАКТ ЧИСТ К3'!H21*СПРАВОЧНИК!$M$10+'ФАКТ ЧИСТ К3'!I21*СПРАВОЧНИК!$N$10+'ФАКТ ЧИСТ К3'!J21*СПРАВОЧНИК!$O$10+'ФАКТ ЧИСТ К3'!K21*СПРАВОЧНИК!$P$10)+СПРАВОЧНИК!$E$11*('ФАКТ ЧЕРН К3'!H21*СПРАВОЧНИК!$H$11+'ФАКТ ЧЕРН К3'!I21*СПРАВОЧНИК!$I$11+'ФАКТ ЧЕРН К3'!J21*СПРАВОЧНИК!$J$11)+СПРАВОЧНИК!$F$11*('ФАКТ ЧИСТ К3'!L21*СПРАВОЧНИК!$L$11+'ФАКТ ЧИСТ К3'!M21*СПРАВОЧНИК!$M$11+'ФАКТ ЧИСТ К3'!N21*СПРАВОЧНИК!$N$11+'ФАКТ ЧИСТ К3'!O21*СПРАВОЧНИК!$O$11+'ФАКТ ЧИСТ К3'!P21*СПРАВОЧНИК!$P$11)+СПРАВОЧНИК!$E$12*('ФАКТ ЧЕРН К3'!K21*СПРАВОЧНИК!$H$12+'ФАКТ ЧЕРН К3'!L21*СПРАВОЧНИК!$I$12+'ФАКТ ЧЕРН К3'!M21*СПРАВОЧНИК!$J$12)+СПРАВОЧНИК!$F$12*('ФАКТ ЧИСТ К3'!Q21*СПРАВОЧНИК!$L$12+'ФАКТ ЧИСТ К3'!R21*СПРАВОЧНИК!$M$12+'ФАКТ ЧИСТ К3'!S21*СПРАВОЧНИК!$N$12+'ФАКТ ЧИСТ К3'!T21*СПРАВОЧНИК!$O$12+'ФАКТ ЧИСТ К3'!U21*СПРАВОЧНИК!$P$12)+СПРАВОЧНИК!$E$13*('ФАКТ ЧЕРН К3'!N21*СПРАВОЧНИК!$H$13+'ФАКТ ЧЕРН К3'!O21*СПРАВОЧНИК!$I$13+'ФАКТ ЧЕРН К3'!P21*СПРАВОЧНИК!$J$13)+СПРАВОЧНИК!$F$13*('ФАКТ ЧИСТ К3'!V21*СПРАВОЧНИК!$L$13+'ФАКТ ЧИСТ К3'!W21*СПРАВОЧНИК!$M$13+'ФАКТ ЧИСТ К3'!X21*СПРАВОЧНИК!$N$13+'ФАКТ ЧИСТ К3'!Y21*СПРАВОЧНИК!$O$13+'ФАКТ ЧИСТ К3'!Z21*СПРАВОЧНИК!$P$13)+СПРАВОЧНИК!$E$14*('ФАКТ ЧЕРН К3'!Q21*СПРАВОЧНИК!$H$14+'ФАКТ ЧЕРН К3'!R21*СПРАВОЧНИК!$I$14+'ФАКТ ЧЕРН К3'!S21*СПРАВОЧНИК!$J$14)+СПРАВОЧНИК!$F$14*('ФАКТ ЧИСТ К3'!AA21*СПРАВОЧНИК!$L$14+'ФАКТ ЧИСТ К3'!AB21*СПРАВОЧНИК!$M$14+'ФАКТ ЧИСТ К3'!AC21*СПРАВОЧНИК!$N$14+'ФАКТ ЧИСТ К3'!AD21*СПРАВОЧНИК!$O$14+'ФАКТ ЧИСТ К3'!AE21*СПРАВОЧНИК!$P$14)+СПРАВОЧНИК!$E$15*('ФАКТ ЧЕРН К3'!T21*СПРАВОЧНИК!$H$15+'ФАКТ ЧЕРН К3'!U21*СПРАВОЧНИК!$I$15+'ФАКТ ЧЕРН К3'!V21*СПРАВОЧНИК!$J$15)+СПРАВОЧНИК!$F$15*('ФАКТ ЧИСТ К3'!AF21*СПРАВОЧНИК!$L$15+'ФАКТ ЧИСТ К3'!AG21*СПРАВОЧНИК!$M$15+'ФАКТ ЧИСТ К3'!AH21*СПРАВОЧНИК!$N$15+'ФАКТ ЧИСТ К3'!AI21*СПРАВОЧНИК!$O$15+'ФАКТ ЧИСТ К3'!AJ21*СПРАВОЧНИК!$P$15)</f>
        <v/>
      </c>
      <c r="BG30" s="34" t="n"/>
      <c r="BJ30" s="152">
        <f>BJ29+7</f>
        <v/>
      </c>
      <c r="BK30" s="17">
        <f>'ПЛАН ЧЕРН К3'!B21*СПРАВОЧНИК!$H$9+'ПЛАН ЧЕРН К3'!C21*СПРАВОЧНИК!$I$9+'ПЛАН ЧЕРН К3'!D21*СПРАВОЧНИК!$J$9+'ПЛАН ЧЕРН К3'!E21*СПРАВОЧНИК!$H$10+'ПЛАН ЧЕРН К3'!F21*СПРАВОЧНИК!$I$10+'ПЛАН ЧЕРН К3'!G21*СПРАВОЧНИК!$J$10+'ПЛАН ЧЕРН К3'!H21*СПРАВОЧНИК!$H$11+'ПЛАН ЧЕРН К3'!I21*СПРАВОЧНИК!$I$11+'ПЛАН ЧЕРН К3'!J21*СПРАВОЧНИК!$J$11+'ПЛАН ЧЕРН К3'!K21*СПРАВОЧНИК!$H$12+'ПЛАН ЧЕРН К3'!L21*СПРАВОЧНИК!$I$12+'ПЛАН ЧЕРН К3'!M21*СПРАВОЧНИК!$J$12+'ПЛАН ЧЕРН К3'!N21*СПРАВОЧНИК!$H$13+'ПЛАН ЧЕРН К3'!O21*СПРАВОЧНИК!$I$13+'ПЛАН ЧЕРН К3'!P21*СПРАВОЧНИК!$J$13+'ПЛАН ЧЕРН К3'!Q21*СПРАВОЧНИК!$H$14+'ПЛАН ЧЕРН К3'!R21*СПРАВОЧНИК!$I$14+'ПЛАН ЧЕРН К3'!S21*СПРАВОЧНИК!$J$14+'ПЛАН ЧЕРН К3'!T21*СПРАВОЧНИК!$H$15+'ПЛАН ЧЕРН К3'!U21*СПРАВОЧНИК!$I$15+'ПЛАН ЧЕРН К3'!V21*СПРАВОЧНИК!$J$15</f>
        <v/>
      </c>
      <c r="BL30" s="31">
        <f>('ФАКТ ЧЕРН К3'!B21)*СПРАВОЧНИК!$H$9+('ФАКТ ЧЕРН К3'!C21)*СПРАВОЧНИК!$I$9+('ФАКТ ЧЕРН К3'!D21)*СПРАВОЧНИК!$J$9+('ФАКТ ЧЕРН К3'!E21)*СПРАВОЧНИК!$H$10+('ФАКТ ЧЕРН К3'!F21)*СПРАВОЧНИК!$I$10+('ФАКТ ЧЕРН К3'!G21)*СПРАВОЧНИК!$J$10+('ФАКТ ЧЕРН К3'!H21)*СПРАВОЧНИК!$H$11+('ФАКТ ЧЕРН К3'!I21)*СПРАВОЧНИК!$I$11+('ФАКТ ЧЕРН К3'!J21)*СПРАВОЧНИК!$J$11+('ФАКТ ЧЕРН К3'!K21)*СПРАВОЧНИК!$H$12+('ФАКТ ЧЕРН К3'!L21)*СПРАВОЧНИК!$I$12+('ФАКТ ЧЕРН К3'!M21)*СПРАВОЧНИК!$J$12+('ФАКТ ЧЕРН К3'!N21)*СПРАВОЧНИК!$H$13+('ФАКТ ЧЕРН К3'!O21)*СПРАВОЧНИК!$I$13+('ФАКТ ЧЕРН К3'!P21)*СПРАВОЧНИК!$J$13+('ФАКТ ЧЕРН К3'!Q21)*СПРАВОЧНИК!$H$14+('ФАКТ ЧЕРН К3'!R21)*СПРАВОЧНИК!$I$14+('ФАКТ ЧЕРН К3'!S21)*СПРАВОЧНИК!$J$14+('ФАКТ ЧЕРН К3'!T21)*СПРАВОЧНИК!$H$15+('ФАКТ ЧЕРН К3'!U21)*СПРАВОЧНИК!$I$15+('ФАКТ ЧЕРН К3'!V21)*СПРАВОЧНИК!$J$15</f>
        <v/>
      </c>
      <c r="BM30" s="34" t="n"/>
      <c r="BP30" s="152">
        <f>BP29+7</f>
        <v/>
      </c>
      <c r="BQ30" s="17">
        <f>'ПЛАН ЧИСТ К3'!B21*СПРАВОЧНИК!$L$9+'ПЛАН ЧИСТ К3'!C21*СПРАВОЧНИК!$M$9+'ПЛАН ЧИСТ К3'!D21*СПРАВОЧНИК!$N$9+'ПЛАН ЧИСТ К3'!E21*СПРАВОЧНИК!$O$9+'ПЛАН ЧИСТ К3'!F21*СПРАВОЧНИК!$P$9+'ПЛАН ЧИСТ К3'!G21*СПРАВОЧНИК!$L$10+'ПЛАН ЧИСТ К3'!H21*СПРАВОЧНИК!$M$10+'ПЛАН ЧИСТ К3'!I21*СПРАВОЧНИК!$N$10+'ПЛАН ЧИСТ К3'!J21*СПРАВОЧНИК!$O$10+'ПЛАН ЧИСТ К3'!K21*СПРАВОЧНИК!$P$10+'ПЛАН ЧИСТ К3'!L21*СПРАВОЧНИК!$L$11+'ПЛАН ЧИСТ К3'!M21*СПРАВОЧНИК!$M$11+'ПЛАН ЧИСТ К3'!N21*СПРАВОЧНИК!$N$11+'ПЛАН ЧИСТ К3'!O21*СПРАВОЧНИК!$O$11+'ПЛАН ЧИСТ К3'!P21*СПРАВОЧНИК!$P$11+'ПЛАН ЧИСТ К3'!Q21*СПРАВОЧНИК!$L$12+'ПЛАН ЧИСТ К3'!R21*СПРАВОЧНИК!$M$12+'ПЛАН ЧИСТ К3'!S21*СПРАВОЧНИК!$N$12+'ПЛАН ЧИСТ К3'!T21*СПРАВОЧНИК!$O$12+'ПЛАН ЧИСТ К3'!U21*СПРАВОЧНИК!$P$12+'ПЛАН ЧИСТ К3'!V21*СПРАВОЧНИК!$L$13+'ПЛАН ЧИСТ К3'!W21*СПРАВОЧНИК!$M$13+'ПЛАН ЧИСТ К3'!X21*СПРАВОЧНИК!$N$13+'ПЛАН ЧИСТ К3'!Y21*СПРАВОЧНИК!$O$13+'ПЛАН ЧИСТ К3'!Z21*СПРАВОЧНИК!$P$13+'ПЛАН ЧИСТ К3'!AA21*СПРАВОЧНИК!$L$14+'ПЛАН ЧИСТ К3'!AB21*СПРАВОЧНИК!$M$14+'ПЛАН ЧИСТ К3'!AC21*СПРАВОЧНИК!$N$14+'ПЛАН ЧИСТ К3'!AD21*СПРАВОЧНИК!$O$14+'ПЛАН ЧИСТ К3'!AE21*СПРАВОЧНИК!$P$14+'ПЛАН ЧИСТ К3'!AF21*СПРАВОЧНИК!$L$15+'ПЛАН ЧИСТ К3'!AG21*СПРАВОЧНИК!$M$15+'ПЛАН ЧИСТ К3'!AH21*СПРАВОЧНИК!$N$15+'ПЛАН ЧИСТ К3'!AI21*СПРАВОЧНИК!$O$15+'ПЛАН ЧИСТ К3'!AJ21*СПРАВОЧНИК!$P$15</f>
        <v/>
      </c>
      <c r="BR30" s="31">
        <f>('ФАКТ ЧИСТ К3'!B21)*СПРАВОЧНИК!$L$9+('ФАКТ ЧИСТ К3'!C21)*СПРАВОЧНИК!$M$9+('ФАКТ ЧИСТ К3'!D21)*СПРАВОЧНИК!$N$9+('ФАКТ ЧИСТ К3'!E21)*СПРАВОЧНИК!$O$9+('ФАКТ ЧИСТ К3'!F21)*СПРАВОЧНИК!$P$9+('ФАКТ ЧИСТ К3'!G21)*СПРАВОЧНИК!$L$10+('ФАКТ ЧИСТ К3'!H21)*СПРАВОЧНИК!$M$10+('ФАКТ ЧИСТ К3'!I21)*СПРАВОЧНИК!$N$10+('ФАКТ ЧИСТ К3'!J21)*СПРАВОЧНИК!$O$10+('ФАКТ ЧИСТ К3'!K21)*СПРАВОЧНИК!$P$10+('ФАКТ ЧИСТ К3'!L21)*СПРАВОЧНИК!$L$11+('ФАКТ ЧИСТ К3'!M21)*СПРАВОЧНИК!$M$11+('ФАКТ ЧИСТ К3'!N21)*СПРАВОЧНИК!$N$11+('ФАКТ ЧИСТ К3'!O21)*СПРАВОЧНИК!$O$11+('ФАКТ ЧИСТ К3'!P21)*СПРАВОЧНИК!$P$11+('ФАКТ ЧИСТ К3'!Q21)*СПРАВОЧНИК!$L$12+('ФАКТ ЧИСТ К3'!R21)*СПРАВОЧНИК!$M$12+('ФАКТ ЧИСТ К3'!S21)*СПРАВОЧНИК!$N$12+('ФАКТ ЧИСТ К3'!T21)*СПРАВОЧНИК!$O$12+('ФАКТ ЧИСТ К3'!U21)*СПРАВОЧНИК!$P$12+('ФАКТ ЧИСТ К3'!V21)*СПРАВОЧНИК!$L$13+('ФАКТ ЧИСТ К3'!W21)*СПРАВОЧНИК!$M$13+('ФАКТ ЧИСТ К3'!X21)*СПРАВОЧНИК!$N$13+('ФАКТ ЧИСТ К3'!Y21)*СПРАВОЧНИК!$O$13+('ФАКТ ЧИСТ К3'!Z21)*СПРАВОЧНИК!$P$13+('ФАКТ ЧИСТ К3'!AA21)*СПРАВОЧНИК!$L$14+('ФАКТ ЧИСТ К3'!AB21)*СПРАВОЧНИК!$M$14+('ФАКТ ЧИСТ К3'!AC21)*СПРАВОЧНИК!$N$14+('ФАКТ ЧИСТ К3'!AD21)*СПРАВОЧНИК!$O$14+('ФАКТ ЧИСТ К3'!AE21)*СПРАВОЧНИК!$P$14+('ФАКТ ЧИСТ К3'!AF21)*СПРАВОЧНИК!$L$15+('ФАКТ ЧИСТ К3'!AG21)*СПРАВОЧНИК!$M$15+('ФАКТ ЧИСТ К3'!AH21)*СПРАВОЧНИК!$N$15+('ФАКТ ЧИСТ К3'!AI21)*СПРАВОЧНИК!$O$15+('ФАКТ ЧИСТ К3'!AJ21)*СПРАВОЧНИК!$P$15</f>
        <v/>
      </c>
      <c r="BS30" s="34" t="n"/>
      <c r="BV30" s="152">
        <f>BV29+7</f>
        <v/>
      </c>
      <c r="BW30" s="17">
        <f>U30*СПРАВОЧНИК!$K$28+AM30*СПРАВОЧНИК!$K$29+BE30*СПРАВОЧНИК!$K$30</f>
        <v/>
      </c>
      <c r="BX30" s="31">
        <f>V30*СПРАВОЧНИК!$K$28+AN30*СПРАВОЧНИК!$K$29+BF30*СПРАВОЧНИК!$K$30</f>
        <v/>
      </c>
      <c r="BY30" s="34" t="n"/>
      <c r="CB30" s="152">
        <f>CB29+7</f>
        <v/>
      </c>
      <c r="CC30" s="17">
        <f>AA30*СПРАВОЧНИК!$K$28+AS30*СПРАВОЧНИК!$K$29+BK30*СПРАВОЧНИК!$K$30</f>
        <v/>
      </c>
      <c r="CD30" s="31">
        <f>AB30*СПРАВОЧНИК!$K$28+AT30*СПРАВОЧНИК!$K$29+BL30*СПРАВОЧНИК!$K$30</f>
        <v/>
      </c>
      <c r="CE30" s="34" t="n"/>
      <c r="CH30" s="152">
        <f>CH29+7</f>
        <v/>
      </c>
      <c r="CI30" s="17">
        <f>AG30*СПРАВОЧНИК!$K$28+AY30*СПРАВОЧНИК!$K$29+BQ30*СПРАВОЧНИК!$K$30</f>
        <v/>
      </c>
      <c r="CJ30" s="31">
        <f>AH30*СПРАВОЧНИК!$K$28+AZ30*СПРАВОЧНИК!$K$29+BR30*СПРАВОЧНИК!$K$30</f>
        <v/>
      </c>
      <c r="CK30" s="34" t="n"/>
      <c r="CN30" s="152">
        <f>CN29+7</f>
        <v/>
      </c>
      <c r="CO30" s="17">
        <f>C30*СПРАВОЧНИК!$W$18+BW30*СПРАВОЧНИК!$W$19</f>
        <v/>
      </c>
      <c r="CP30" s="31">
        <f>D30*СПРАВОЧНИК!$W$18+BX30*СПРАВОЧНИК!$W$19</f>
        <v/>
      </c>
      <c r="CQ30" s="34" t="n"/>
      <c r="CT30" s="152">
        <f>CT29+7</f>
        <v/>
      </c>
      <c r="CU30" s="17">
        <f>I30*СПРАВОЧНИК!$W$18+CC30*СПРАВОЧНИК!$W$19</f>
        <v/>
      </c>
      <c r="CV30" s="31">
        <f>J30*СПРАВОЧНИК!$W$18+CD30*СПРАВОЧНИК!$W$19</f>
        <v/>
      </c>
      <c r="CW30" s="34" t="n"/>
      <c r="CZ30" s="152">
        <f>CZ29+7</f>
        <v/>
      </c>
      <c r="DA30" s="17">
        <f>O30*СПРАВОЧНИК!$W$18+CI30*СПРАВОЧНИК!$W$19</f>
        <v/>
      </c>
      <c r="DB30" s="31">
        <f>P30*СПРАВОЧНИК!$W$18+CJ30*СПРАВОЧНИК!$W$19</f>
        <v/>
      </c>
      <c r="DC30" s="34" t="n"/>
    </row>
    <row r="31">
      <c r="B31" s="152">
        <f>B30+7</f>
        <v/>
      </c>
      <c r="C31" s="17">
        <f>СПРАВОЧНИК!$E$3*('ПЛАН ЧЕРН ПОДЗЕМ'!B22*СПРАВОЧНИК!$H$3+'ПЛАН ЧЕРН ПОДЗЕМ'!C22*СПРАВОЧНИК!$I$3+'ПЛАН ЧЕРН ПОДЗЕМ'!D22*СПРАВОЧНИК!$J$3)+СПРАВОЧНИК!$F$3*('ПЛАН ЧИСТ ПОДЗЕМ'!B22*СПРАВОЧНИК!$L$3+'ПЛАН ЧИСТ ПОДЗЕМ'!C22*СПРАВОЧНИК!$M$3+'ПЛАН ЧИСТ ПОДЗЕМ'!D22*СПРАВОЧНИК!$N$3+'ПЛАН ЧИСТ ПОДЗЕМ'!E22*СПРАВОЧНИК!$O$3+'ПЛАН ЧИСТ ПОДЗЕМ'!F22*СПРАВОЧНИК!$P$3)+СПРАВОЧНИК!$E$4*('ПЛАН ЧЕРН ПОДЗЕМ'!E22*СПРАВОЧНИК!$H$4+'ПЛАН ЧЕРН ПОДЗЕМ'!F22*СПРАВОЧНИК!$I$4+'ПЛАН ЧЕРН ПОДЗЕМ'!G22*СПРАВОЧНИК!$J$4)+СПРАВОЧНИК!$F$4*('ПЛАН ЧИСТ ПОДЗЕМ'!G22*СПРАВОЧНИК!$L$4+'ПЛАН ЧИСТ ПОДЗЕМ'!H22*СПРАВОЧНИК!$M$4+'ПЛАН ЧИСТ ПОДЗЕМ'!I22*СПРАВОЧНИК!$N$4+'ПЛАН ЧИСТ ПОДЗЕМ'!J22*СПРАВОЧНИК!$O$4+'ПЛАН ЧИСТ ПОДЗЕМ'!K22*СПРАВОЧНИК!$P$4)+СПРАВОЧНИК!$E$5*('ПЛАН ЧЕРН ПОДЗЕМ'!H22*СПРАВОЧНИК!$H$5+'ПЛАН ЧЕРН ПОДЗЕМ'!I22*СПРАВОЧНИК!$I$5+'ПЛАН ЧЕРН ПОДЗЕМ'!J22*СПРАВОЧНИК!$J$5)+СПРАВОЧНИК!$F$5*('ПЛАН ЧИСТ ПОДЗЕМ'!L22*СПРАВОЧНИК!$L$5+'ПЛАН ЧИСТ ПОДЗЕМ'!M22*СПРАВОЧНИК!$M$5+'ПЛАН ЧИСТ ПОДЗЕМ'!N22*СПРАВОЧНИК!$N$5+'ПЛАН ЧИСТ ПОДЗЕМ'!O22*СПРАВОЧНИК!$O$5+'ПЛАН ЧИСТ ПОДЗЕМ'!P22*СПРАВОЧНИК!$P$5)+СПРАВОЧНИК!$E$6*('ПЛАН ЧЕРН ПОДЗЕМ'!K22*СПРАВОЧНИК!$H$6+'ПЛАН ЧЕРН ПОДЗЕМ'!L22*СПРАВОЧНИК!$I$6+'ПЛАН ЧЕРН ПОДЗЕМ'!M22*СПРАВОЧНИК!$J$6)+СПРАВОЧНИК!$F$6*('ПЛАН ЧИСТ ПОДЗЕМ'!Q22*СПРАВОЧНИК!$L$6+'ПЛАН ЧИСТ ПОДЗЕМ'!R22*СПРАВОЧНИК!$M$6+'ПЛАН ЧИСТ ПОДЗЕМ'!S22*СПРАВОЧНИК!$N$6+'ПЛАН ЧИСТ ПОДЗЕМ'!T22*СПРАВОЧНИК!$O$6+'ПЛАН ЧИСТ ПОДЗЕМ'!U22*СПРАВОЧНИК!$P$6)+СПРАВОЧНИК!$E$7*('ПЛАН ЧЕРН ПОДЗЕМ'!N22*СПРАВОЧНИК!$H$7+'ПЛАН ЧЕРН ПОДЗЕМ'!O22*СПРАВОЧНИК!$I$7+'ПЛАН ЧЕРН ПОДЗЕМ'!P22*СПРАВОЧНИК!$J$7)+СПРАВОЧНИК!$F$7*('ПЛАН ЧИСТ ПОДЗЕМ'!V22*СПРАВОЧНИК!$L$7+'ПЛАН ЧИСТ ПОДЗЕМ'!W22*СПРАВОЧНИК!$M$7+'ПЛАН ЧИСТ ПОДЗЕМ'!X22*СПРАВОЧНИК!$N$7+'ПЛАН ЧИСТ ПОДЗЕМ'!Y22*СПРАВОЧНИК!$O$7+'ПЛАН ЧИСТ ПОДЗЕМ'!Z22*СПРАВОЧНИК!$P$7)+СПРАВОЧНИК!$E$8*('ПЛАН ЧЕРН ПОДЗЕМ'!Q22*СПРАВОЧНИК!$H$8+'ПЛАН ЧЕРН ПОДЗЕМ'!R22*СПРАВОЧНИК!$I$8+'ПЛАН ЧЕРН ПОДЗЕМ'!S22*СПРАВОЧНИК!$J$8)+СПРАВОЧНИК!$F$8*('ПЛАН ЧИСТ ПОДЗЕМ'!AA22*СПРАВОЧНИК!$L$8+'ПЛАН ЧИСТ ПОДЗЕМ'!AB22*СПРАВОЧНИК!$M$8+'ПЛАН ЧИСТ ПОДЗЕМ'!AC22*СПРАВОЧНИК!$N$8+'ПЛАН ЧИСТ ПОДЗЕМ'!AD22*СПРАВОЧНИК!$O$8+'ПЛАН ЧИСТ ПОДЗЕМ'!AE22*СПРАВОЧНИК!$P$8)</f>
        <v/>
      </c>
      <c r="D31" s="31">
        <f>СПРАВОЧНИК!$E$3*('ФАКТ ЧЕРН ПОДЗЕМ'!B22*СПРАВОЧНИК!$H$3+'ФАКТ ЧЕРН ПОДЗЕМ'!C22*СПРАВОЧНИК!$I$3+'ФАКТ ЧЕРН ПОДЗЕМ'!D22*СПРАВОЧНИК!$J$3)+СПРАВОЧНИК!$F$3*('ФАКТ ЧИСТ ПОДЗЕМ'!B22*СПРАВОЧНИК!$L$3+'ФАКТ ЧИСТ ПОДЗЕМ'!C22*СПРАВОЧНИК!$M$3+'ФАКТ ЧИСТ ПОДЗЕМ'!D22*СПРАВОЧНИК!$N$3+'ФАКТ ЧИСТ ПОДЗЕМ'!E22*СПРАВОЧНИК!$O$3+'ФАКТ ЧИСТ ПОДЗЕМ'!F22*СПРАВОЧНИК!$P$3)+СПРАВОЧНИК!$E$4*('ФАКТ ЧЕРН ПОДЗЕМ'!E22*СПРАВОЧНИК!$H$4+'ФАКТ ЧЕРН ПОДЗЕМ'!F22*СПРАВОЧНИК!$I$4+'ФАКТ ЧЕРН ПОДЗЕМ'!G22*СПРАВОЧНИК!$J$4)+СПРАВОЧНИК!$F$4*('ФАКТ ЧИСТ ПОДЗЕМ'!G22*СПРАВОЧНИК!$L$4+'ФАКТ ЧИСТ ПОДЗЕМ'!H22*СПРАВОЧНИК!$M$4+'ФАКТ ЧИСТ ПОДЗЕМ'!I22*СПРАВОЧНИК!$N$4+'ФАКТ ЧИСТ ПОДЗЕМ'!J22*СПРАВОЧНИК!$O$4+'ФАКТ ЧИСТ ПОДЗЕМ'!K22*СПРАВОЧНИК!$P$4)+СПРАВОЧНИК!$E$5*('ФАКТ ЧЕРН ПОДЗЕМ'!H22*СПРАВОЧНИК!$H$5+'ФАКТ ЧЕРН ПОДЗЕМ'!I22*СПРАВОЧНИК!$I$5+'ФАКТ ЧЕРН ПОДЗЕМ'!J22*СПРАВОЧНИК!$J$5)+СПРАВОЧНИК!$F$5*('ФАКТ ЧИСТ ПОДЗЕМ'!L22*СПРАВОЧНИК!$L$5+'ФАКТ ЧИСТ ПОДЗЕМ'!M22*СПРАВОЧНИК!$M$5+'ФАКТ ЧИСТ ПОДЗЕМ'!N22*СПРАВОЧНИК!$N$5+'ФАКТ ЧИСТ ПОДЗЕМ'!O22*СПРАВОЧНИК!$O$5+'ФАКТ ЧИСТ ПОДЗЕМ'!P22*СПРАВОЧНИК!$P$5)+СПРАВОЧНИК!$E$6*('ФАКТ ЧЕРН ПОДЗЕМ'!K22*СПРАВОЧНИК!$H$6+'ФАКТ ЧЕРН ПОДЗЕМ'!L22*СПРАВОЧНИК!$I$6+'ФАКТ ЧЕРН ПОДЗЕМ'!M22*СПРАВОЧНИК!$J$6)+СПРАВОЧНИК!$F$6*('ФАКТ ЧИСТ ПОДЗЕМ'!Q22*СПРАВОЧНИК!$L$6+'ФАКТ ЧИСТ ПОДЗЕМ'!R22*СПРАВОЧНИК!$M$6+'ФАКТ ЧИСТ ПОДЗЕМ'!S22*СПРАВОЧНИК!$N$6+'ФАКТ ЧИСТ ПОДЗЕМ'!T22*СПРАВОЧНИК!$O$6+'ФАКТ ЧИСТ ПОДЗЕМ'!U22*СПРАВОЧНИК!$P$6)+СПРАВОЧНИК!$E$7*('ФАКТ ЧЕРН ПОДЗЕМ'!N22*СПРАВОЧНИК!$H$7+'ФАКТ ЧЕРН ПОДЗЕМ'!O22*СПРАВОЧНИК!$I$7+'ФАКТ ЧЕРН ПОДЗЕМ'!P22*СПРАВОЧНИК!$J$7)+СПРАВОЧНИК!$F$7*('ФАКТ ЧИСТ ПОДЗЕМ'!V22*СПРАВОЧНИК!$L$7+'ФАКТ ЧИСТ ПОДЗЕМ'!W22*СПРАВОЧНИК!$M$7+'ФАКТ ЧИСТ ПОДЗЕМ'!X22*СПРАВОЧНИК!$N$7+'ФАКТ ЧИСТ ПОДЗЕМ'!Y22*СПРАВОЧНИК!$O$7+'ФАКТ ЧИСТ ПОДЗЕМ'!Z22*СПРАВОЧНИК!$P$7)+СПРАВОЧНИК!$E$8*('ФАКТ ЧЕРН ПОДЗЕМ'!Q22*СПРАВОЧНИК!$H$8+'ФАКТ ЧЕРН ПОДЗЕМ'!R22*СПРАВОЧНИК!$I$8+'ФАКТ ЧЕРН ПОДЗЕМ'!S22*СПРАВОЧНИК!$J$8)+СПРАВОЧНИК!$F$8*('ФАКТ ЧИСТ ПОДЗЕМ'!AA22*СПРАВОЧНИК!$L$8+'ФАКТ ЧИСТ ПОДЗЕМ'!AB22*СПРАВОЧНИК!$M$8+'ФАКТ ЧИСТ ПОДЗЕМ'!AC22*СПРАВОЧНИК!$N$8+'ФАКТ ЧИСТ ПОДЗЕМ'!AD22*СПРАВОЧНИК!$O$8+'ФАКТ ЧИСТ ПОДЗЕМ'!AE22*СПРАВОЧНИК!$P$8)</f>
        <v/>
      </c>
      <c r="E31" s="34" t="n"/>
      <c r="H31" s="152">
        <f>H30+7</f>
        <v/>
      </c>
      <c r="I31" s="17">
        <f>'ПЛАН ЧЕРН ПОДЗЕМ'!B22*СПРАВОЧНИК!$H$3+'ПЛАН ЧЕРН ПОДЗЕМ'!C22*СПРАВОЧНИК!$I$3+'ПЛАН ЧЕРН ПОДЗЕМ'!D22*СПРАВОЧНИК!$J$3+'ПЛАН ЧЕРН ПОДЗЕМ'!E22*СПРАВОЧНИК!$H$4+'ПЛАН ЧЕРН ПОДЗЕМ'!F22*СПРАВОЧНИК!$I$4+'ПЛАН ЧЕРН ПОДЗЕМ'!G22*СПРАВОЧНИК!$J$4+'ПЛАН ЧЕРН ПОДЗЕМ'!H22*СПРАВОЧНИК!$H$5+'ПЛАН ЧЕРН ПОДЗЕМ'!I22*СПРАВОЧНИК!$I$5+'ПЛАН ЧЕРН ПОДЗЕМ'!J22*СПРАВОЧНИК!$J$5+'ПЛАН ЧЕРН ПОДЗЕМ'!K22*СПРАВОЧНИК!$H$6+'ПЛАН ЧЕРН ПОДЗЕМ'!L22*СПРАВОЧНИК!$I$6+'ПЛАН ЧЕРН ПОДЗЕМ'!M22*СПРАВОЧНИК!$J$6+'ПЛАН ЧЕРН ПОДЗЕМ'!N22*СПРАВОЧНИК!$H$7+'ПЛАН ЧЕРН ПОДЗЕМ'!O22*СПРАВОЧНИК!$I$7+'ПЛАН ЧЕРН ПОДЗЕМ'!P22*СПРАВОЧНИК!$J$7+'ПЛАН ЧЕРН ПОДЗЕМ'!Q22*СПРАВОЧНИК!$H$8+'ПЛАН ЧЕРН ПОДЗЕМ'!R22*СПРАВОЧНИК!$I$8+'ПЛАН ЧЕРН ПОДЗЕМ'!S22*СПРАВОЧНИК!$J$8</f>
        <v/>
      </c>
      <c r="J31" s="31">
        <f>('ФАКТ ЧЕРН ПОДЗЕМ'!B22)*СПРАВОЧНИК!$H$3+('ФАКТ ЧЕРН ПОДЗЕМ'!C22)*СПРАВОЧНИК!$I$3+('ФАКТ ЧЕРН ПОДЗЕМ'!D22)*СПРАВОЧНИК!$J$3+('ФАКТ ЧЕРН ПОДЗЕМ'!E22)*СПРАВОЧНИК!$H$4+('ФАКТ ЧЕРН ПОДЗЕМ'!F22)*СПРАВОЧНИК!$I$4+('ФАКТ ЧЕРН ПОДЗЕМ'!G22)*СПРАВОЧНИК!$J$4+('ФАКТ ЧЕРН ПОДЗЕМ'!H22)*СПРАВОЧНИК!$H$5+('ФАКТ ЧЕРН ПОДЗЕМ'!I22)*СПРАВОЧНИК!$I$5+('ФАКТ ЧЕРН ПОДЗЕМ'!J22)*СПРАВОЧНИК!$J$5+('ФАКТ ЧЕРН ПОДЗЕМ'!K22)*СПРАВОЧНИК!$H$6+('ФАКТ ЧЕРН ПОДЗЕМ'!L22)*СПРАВОЧНИК!$I$6+('ФАКТ ЧЕРН ПОДЗЕМ'!M22)*СПРАВОЧНИК!$J$6+('ФАКТ ЧЕРН ПОДЗЕМ'!N22)*СПРАВОЧНИК!$H$7+('ФАКТ ЧЕРН ПОДЗЕМ'!O22)*СПРАВОЧНИК!$I$7+('ФАКТ ЧЕРН ПОДЗЕМ'!P22)*СПРАВОЧНИК!$J$7+('ФАКТ ЧЕРН ПОДЗЕМ'!Q22)*СПРАВОЧНИК!$H$8+('ФАКТ ЧЕРН ПОДЗЕМ'!R22)*СПРАВОЧНИК!$I$8+('ФАКТ ЧЕРН ПОДЗЕМ'!S22)*СПРАВОЧНИК!$J$8</f>
        <v/>
      </c>
      <c r="K31" s="34" t="n"/>
      <c r="N31" s="152">
        <f>N30+7</f>
        <v/>
      </c>
      <c r="O31" s="17">
        <f>'ПЛАН ЧИСТ ПОДЗЕМ'!B22*СПРАВОЧНИК!$L$3+'ПЛАН ЧИСТ ПОДЗЕМ'!C22*СПРАВОЧНИК!$M$3+'ПЛАН ЧИСТ ПОДЗЕМ'!D22*СПРАВОЧНИК!$N$3+'ПЛАН ЧИСТ ПОДЗЕМ'!E22*СПРАВОЧНИК!$O$3+'ПЛАН ЧИСТ ПОДЗЕМ'!F22*СПРАВОЧНИК!$P$3+'ПЛАН ЧИСТ ПОДЗЕМ'!G22*СПРАВОЧНИК!$L$4+'ПЛАН ЧИСТ ПОДЗЕМ'!H22*СПРАВОЧНИК!$M$4+'ПЛАН ЧИСТ ПОДЗЕМ'!I22*СПРАВОЧНИК!$N$4+'ПЛАН ЧИСТ ПОДЗЕМ'!J22*СПРАВОЧНИК!$O$4+'ПЛАН ЧИСТ ПОДЗЕМ'!K22*СПРАВОЧНИК!$P$4+'ПЛАН ЧИСТ ПОДЗЕМ'!L22*СПРАВОЧНИК!$L$5+'ПЛАН ЧИСТ ПОДЗЕМ'!M22*СПРАВОЧНИК!$M$5+'ПЛАН ЧИСТ ПОДЗЕМ'!N22*СПРАВОЧНИК!$N$5+'ПЛАН ЧИСТ ПОДЗЕМ'!O22*СПРАВОЧНИК!$O$5+'ПЛАН ЧИСТ ПОДЗЕМ'!P22*СПРАВОЧНИК!$P$5+'ПЛАН ЧИСТ ПОДЗЕМ'!Q22*СПРАВОЧНИК!$L$6+'ПЛАН ЧИСТ ПОДЗЕМ'!R22*СПРАВОЧНИК!$M$6+'ПЛАН ЧИСТ ПОДЗЕМ'!S22*СПРАВОЧНИК!$N$6+'ПЛАН ЧИСТ ПОДЗЕМ'!T22*СПРАВОЧНИК!$O$6+'ПЛАН ЧИСТ ПОДЗЕМ'!U22*СПРАВОЧНИК!$P$6+'ПЛАН ЧИСТ ПОДЗЕМ'!V22*СПРАВОЧНИК!$L$7+'ПЛАН ЧИСТ ПОДЗЕМ'!W22*СПРАВОЧНИК!$M$7+'ПЛАН ЧИСТ ПОДЗЕМ'!X22*СПРАВОЧНИК!$N$7+'ПЛАН ЧИСТ ПОДЗЕМ'!Y22*СПРАВОЧНИК!$O$7+'ПЛАН ЧИСТ ПОДЗЕМ'!Z22*СПРАВОЧНИК!$P$7+'ПЛАН ЧИСТ ПОДЗЕМ'!AA22*СПРАВОЧНИК!$L$8+'ПЛАН ЧИСТ ПОДЗЕМ'!AB22*СПРАВОЧНИК!$M$8+'ПЛАН ЧИСТ ПОДЗЕМ'!AC22*СПРАВОЧНИК!$N$8+'ПЛАН ЧИСТ ПОДЗЕМ'!AD22*СПРАВОЧНИК!$O$8+'ПЛАН ЧИСТ ПОДЗЕМ'!AE22*СПРАВОЧНИК!$P$8</f>
        <v/>
      </c>
      <c r="P31" s="31">
        <f>('ФАКТ ЧИСТ ПОДЗЕМ'!B22)*СПРАВОЧНИК!$L$3+('ФАКТ ЧИСТ ПОДЗЕМ'!C22)*СПРАВОЧНИК!$M$3+('ФАКТ ЧИСТ ПОДЗЕМ'!D22)*СПРАВОЧНИК!$N$3+('ФАКТ ЧИСТ ПОДЗЕМ'!E22)*СПРАВОЧНИК!$O$3+('ФАКТ ЧИСТ ПОДЗЕМ'!F22)*СПРАВОЧНИК!$P$3+('ФАКТ ЧИСТ ПОДЗЕМ'!G22)*СПРАВОЧНИК!$L$4+('ФАКТ ЧИСТ ПОДЗЕМ'!H22)*СПРАВОЧНИК!$M$4+('ФАКТ ЧИСТ ПОДЗЕМ'!I22)*СПРАВОЧНИК!$N$4+('ФАКТ ЧИСТ ПОДЗЕМ'!J22)*СПРАВОЧНИК!$O$4+('ФАКТ ЧИСТ ПОДЗЕМ'!K22)*СПРАВОЧНИК!$P$4+('ФАКТ ЧИСТ ПОДЗЕМ'!L22)*СПРАВОЧНИК!$L$5+('ФАКТ ЧИСТ ПОДЗЕМ'!M22)*СПРАВОЧНИК!$M$5+('ФАКТ ЧИСТ ПОДЗЕМ'!N22)*СПРАВОЧНИК!$N$5+('ФАКТ ЧИСТ ПОДЗЕМ'!O22)*СПРАВОЧНИК!$O$5+('ФАКТ ЧИСТ ПОДЗЕМ'!P22)*СПРАВОЧНИК!$P$5+('ФАКТ ЧИСТ ПОДЗЕМ'!Q22)*СПРАВОЧНИК!$L$6+('ФАКТ ЧИСТ ПОДЗЕМ'!R22)*СПРАВОЧНИК!$M$6+('ФАКТ ЧИСТ ПОДЗЕМ'!S22)*СПРАВОЧНИК!$N$6+('ФАКТ ЧИСТ ПОДЗЕМ'!T22)*СПРАВОЧНИК!$O$6+('ФАКТ ЧИСТ ПОДЗЕМ'!U22)*СПРАВОЧНИК!$P$6+('ФАКТ ЧИСТ ПОДЗЕМ'!V22)*СПРАВОЧНИК!$L$7+('ФАКТ ЧИСТ ПОДЗЕМ'!W22)*СПРАВОЧНИК!$M$7+('ФАКТ ЧИСТ ПОДЗЕМ'!X22)*СПРАВОЧНИК!$N$7+('ФАКТ ЧИСТ ПОДЗЕМ'!Y22)*СПРАВОЧНИК!$O$7+('ФАКТ ЧИСТ ПОДЗЕМ'!Z22)*СПРАВОЧНИК!$P$7+('ФАКТ ЧИСТ ПОДЗЕМ'!AA22)*СПРАВОЧНИК!$L$8+('ФАКТ ЧИСТ ПОДЗЕМ'!AB22)*СПРАВОЧНИК!$M$8+('ФАКТ ЧИСТ ПОДЗЕМ'!AC22)*СПРАВОЧНИК!$N$8+('ФАКТ ЧИСТ ПОДЗЕМ'!AD22)*СПРАВОЧНИК!$O$8+('ФАКТ ЧИСТ ПОДЗЕМ'!AE22)*СПРАВОЧНИК!$P$8</f>
        <v/>
      </c>
      <c r="Q31" s="34" t="n"/>
      <c r="T31" s="152">
        <f>T30+7</f>
        <v/>
      </c>
      <c r="U31" s="17">
        <f>СПРАВОЧНИК!$E$9*('ПЛАН ЧЕРН К1'!B22*СПРАВОЧНИК!$H$9+'ПЛАН ЧЕРН К1'!C22*СПРАВОЧНИК!$I$9+'ПЛАН ЧЕРН К1'!D22*СПРАВОЧНИК!$J$9)+СПРАВОЧНИК!$F$9*('ПЛАН ЧИСТ К1'!B22*СПРАВОЧНИК!$L$9+'ПЛАН ЧИСТ К1'!C22*СПРАВОЧНИК!$M$9+'ПЛАН ЧИСТ К1'!D22*СПРАВОЧНИК!$N$9+'ПЛАН ЧИСТ К1'!E22*СПРАВОЧНИК!$O$9+'ПЛАН ЧИСТ К1'!F22*СПРАВОЧНИК!$P$9)+СПРАВОЧНИК!$E$10*('ПЛАН ЧЕРН К1'!E22*СПРАВОЧНИК!$H$10+'ПЛАН ЧЕРН К1'!F22*СПРАВОЧНИК!$I$10+'ПЛАН ЧЕРН К1'!G22*СПРАВОЧНИК!$J$10)+СПРАВОЧНИК!$F$10*('ПЛАН ЧИСТ К1'!G22*СПРАВОЧНИК!$L$10+'ПЛАН ЧИСТ К1'!H22*СПРАВОЧНИК!$M$10+'ПЛАН ЧИСТ К1'!I22*СПРАВОЧНИК!$N$10+'ПЛАН ЧИСТ К1'!J22*СПРАВОЧНИК!$O$10+'ПЛАН ЧИСТ К1'!K22*СПРАВОЧНИК!$P$10)+СПРАВОЧНИК!$E$11*('ПЛАН ЧЕРН К1'!H22*СПРАВОЧНИК!$H$11+'ПЛАН ЧЕРН К1'!I22*СПРАВОЧНИК!$I$11+'ПЛАН ЧЕРН К1'!J22*СПРАВОЧНИК!$J$11)+СПРАВОЧНИК!$F$11*('ПЛАН ЧИСТ К1'!L22*СПРАВОЧНИК!$L$11+'ПЛАН ЧИСТ К1'!M22*СПРАВОЧНИК!$M$11+'ПЛАН ЧИСТ К1'!N22*СПРАВОЧНИК!$N$11+'ПЛАН ЧИСТ К1'!O22*СПРАВОЧНИК!$O$11+'ПЛАН ЧИСТ К1'!P22*СПРАВОЧНИК!$P$11)+СПРАВОЧНИК!$E$12*('ПЛАН ЧЕРН К1'!K22*СПРАВОЧНИК!$H$12+'ПЛАН ЧЕРН К1'!L22*СПРАВОЧНИК!$I$12+'ПЛАН ЧЕРН К1'!M22*СПРАВОЧНИК!$J$12)+СПРАВОЧНИК!$F$12*('ПЛАН ЧИСТ К1'!Q22*СПРАВОЧНИК!$L$12+'ПЛАН ЧИСТ К1'!R22*СПРАВОЧНИК!$M$12+'ПЛАН ЧИСТ К1'!S22*СПРАВОЧНИК!$N$12+'ПЛАН ЧИСТ К1'!T22*СПРАВОЧНИК!$O$12+'ПЛАН ЧИСТ К1'!U22*СПРАВОЧНИК!$P$12)+СПРАВОЧНИК!$E$13*('ПЛАН ЧЕРН К1'!N22*СПРАВОЧНИК!$H$13+'ПЛАН ЧЕРН К1'!O22*СПРАВОЧНИК!$I$13+'ПЛАН ЧЕРН К1'!P22*СПРАВОЧНИК!$J$13)+СПРАВОЧНИК!$F$13*('ПЛАН ЧИСТ К1'!V22*СПРАВОЧНИК!$L$13+'ПЛАН ЧИСТ К1'!W22*СПРАВОЧНИК!$M$13+'ПЛАН ЧИСТ К1'!X22*СПРАВОЧНИК!$N$13+'ПЛАН ЧИСТ К1'!Y22*СПРАВОЧНИК!$O$13+'ПЛАН ЧИСТ К1'!Z22*СПРАВОЧНИК!$P$13)+СПРАВОЧНИК!$E$14*('ПЛАН ЧЕРН К1'!Q22*СПРАВОЧНИК!$H$14+'ПЛАН ЧЕРН К1'!R22*СПРАВОЧНИК!$I$14+'ПЛАН ЧЕРН К1'!S22*СПРАВОЧНИК!$J$14)+СПРАВОЧНИК!$F$14*('ПЛАН ЧИСТ К1'!AA22*СПРАВОЧНИК!$L$14+'ПЛАН ЧИСТ К1'!AB22*СПРАВОЧНИК!$M$14+'ПЛАН ЧИСТ К1'!AC22*СПРАВОЧНИК!$N$14+'ПЛАН ЧИСТ К1'!AD22*СПРАВОЧНИК!$O$14+'ПЛАН ЧИСТ К1'!AE22*СПРАВОЧНИК!$P$14)+СПРАВОЧНИК!$E$15*('ПЛАН ЧЕРН К1'!T22*СПРАВОЧНИК!$H$15+'ПЛАН ЧЕРН К1'!U22*СПРАВОЧНИК!$I$15+'ПЛАН ЧЕРН К1'!V22*СПРАВОЧНИК!$J$15)+СПРАВОЧНИК!$F$15*('ПЛАН ЧИСТ К1'!AF22*СПРАВОЧНИК!$L$15+'ПЛАН ЧИСТ К1'!AG22*СПРАВОЧНИК!$M$15+'ПЛАН ЧИСТ К1'!AH22*СПРАВОЧНИК!$N$15+'ПЛАН ЧИСТ К1'!AI22*СПРАВОЧНИК!$O$15+'ПЛАН ЧИСТ К1'!AJ22*СПРАВОЧНИК!$P$15)</f>
        <v/>
      </c>
      <c r="V31" s="31">
        <f>СПРАВОЧНИК!$E$9*('ФАКТ ЧЕРН К1'!B22*СПРАВОЧНИК!$H$9+'ФАКТ ЧЕРН К1'!C22*СПРАВОЧНИК!$I$9+'ФАКТ ЧЕРН К1'!D22*СПРАВОЧНИК!$J$9)+СПРАВОЧНИК!$F$9*('ФАКТ ЧИСТ К1'!B22*СПРАВОЧНИК!$L$9+'ФАКТ ЧИСТ К1'!C22*СПРАВОЧНИК!$M$9+'ФАКТ ЧИСТ К1'!D22*СПРАВОЧНИК!$N$9+'ФАКТ ЧИСТ К1'!E22*СПРАВОЧНИК!$O$9+'ФАКТ ЧИСТ К1'!F22*СПРАВОЧНИК!$P$9)+СПРАВОЧНИК!$E$10*('ФАКТ ЧЕРН К1'!E22*СПРАВОЧНИК!$H$10+'ФАКТ ЧЕРН К1'!F22*СПРАВОЧНИК!$I$10+'ФАКТ ЧЕРН К1'!G22*СПРАВОЧНИК!$J$10)+СПРАВОЧНИК!$F$10*('ФАКТ ЧИСТ К1'!G22*СПРАВОЧНИК!$L$10+'ФАКТ ЧИСТ К1'!H22*СПРАВОЧНИК!$M$10+'ФАКТ ЧИСТ К1'!I22*СПРАВОЧНИК!$N$10+'ФАКТ ЧИСТ К1'!J22*СПРАВОЧНИК!$O$10+'ФАКТ ЧИСТ К1'!K22*СПРАВОЧНИК!$P$10)+СПРАВОЧНИК!$E$11*('ФАКТ ЧЕРН К1'!H22*СПРАВОЧНИК!$H$11+'ФАКТ ЧЕРН К1'!I22*СПРАВОЧНИК!$I$11+'ФАКТ ЧЕРН К1'!J22*СПРАВОЧНИК!$J$11)+СПРАВОЧНИК!$F$11*('ФАКТ ЧИСТ К1'!L22*СПРАВОЧНИК!$L$11+'ФАКТ ЧИСТ К1'!M22*СПРАВОЧНИК!$M$11+'ФАКТ ЧИСТ К1'!N22*СПРАВОЧНИК!$N$11+'ФАКТ ЧИСТ К1'!O22*СПРАВОЧНИК!$O$11+'ФАКТ ЧИСТ К1'!P22*СПРАВОЧНИК!$P$11)+СПРАВОЧНИК!$E$12*('ФАКТ ЧЕРН К1'!K22*СПРАВОЧНИК!$H$12+'ФАКТ ЧЕРН К1'!L22*СПРАВОЧНИК!$I$12+'ФАКТ ЧЕРН К1'!M22*СПРАВОЧНИК!$J$12)+СПРАВОЧНИК!$F$12*('ФАКТ ЧИСТ К1'!Q22*СПРАВОЧНИК!$L$12+'ФАКТ ЧИСТ К1'!R22*СПРАВОЧНИК!$M$12+'ФАКТ ЧИСТ К1'!S22*СПРАВОЧНИК!$N$12+'ФАКТ ЧИСТ К1'!T22*СПРАВОЧНИК!$O$12+'ФАКТ ЧИСТ К1'!U22*СПРАВОЧНИК!$P$12)+СПРАВОЧНИК!$E$13*('ФАКТ ЧЕРН К1'!N22*СПРАВОЧНИК!$H$13+'ФАКТ ЧЕРН К1'!O22*СПРАВОЧНИК!$I$13+'ФАКТ ЧЕРН К1'!P22*СПРАВОЧНИК!$J$13)+СПРАВОЧНИК!$F$13*('ФАКТ ЧИСТ К1'!V22*СПРАВОЧНИК!$L$13+'ФАКТ ЧИСТ К1'!W22*СПРАВОЧНИК!$M$13+'ФАКТ ЧИСТ К1'!X22*СПРАВОЧНИК!$N$13+'ФАКТ ЧИСТ К1'!Y22*СПРАВОЧНИК!$O$13+'ФАКТ ЧИСТ К1'!Z22*СПРАВОЧНИК!$P$13)+СПРАВОЧНИК!$E$14*('ФАКТ ЧЕРН К1'!Q22*СПРАВОЧНИК!$H$14+'ФАКТ ЧЕРН К1'!R22*СПРАВОЧНИК!$I$14+'ФАКТ ЧЕРН К1'!S22*СПРАВОЧНИК!$J$14)+СПРАВОЧНИК!$F$14*('ФАКТ ЧИСТ К1'!AA22*СПРАВОЧНИК!$L$14+'ФАКТ ЧИСТ К1'!AB22*СПРАВОЧНИК!$M$14+'ФАКТ ЧИСТ К1'!AC22*СПРАВОЧНИК!$N$14+'ФАКТ ЧИСТ К1'!AD22*СПРАВОЧНИК!$O$14+'ФАКТ ЧИСТ К1'!AE22*СПРАВОЧНИК!$P$14)+СПРАВОЧНИК!$E$15*('ФАКТ ЧЕРН К1'!T22*СПРАВОЧНИК!$H$15+'ФАКТ ЧЕРН К1'!U22*СПРАВОЧНИК!$I$15+'ФАКТ ЧЕРН К1'!V22*СПРАВОЧНИК!$J$15)+СПРАВОЧНИК!$F$15*('ФАКТ ЧИСТ К1'!AF22*СПРАВОЧНИК!$L$15+'ФАКТ ЧИСТ К1'!AG22*СПРАВОЧНИК!$M$15+'ФАКТ ЧИСТ К1'!AH22*СПРАВОЧНИК!$N$15+'ФАКТ ЧИСТ К1'!AI22*СПРАВОЧНИК!$O$15+'ФАКТ ЧИСТ К1'!AJ22*СПРАВОЧНИК!$P$15)</f>
        <v/>
      </c>
      <c r="W31" s="34" t="n"/>
      <c r="Z31" s="152">
        <f>Z30+7</f>
        <v/>
      </c>
      <c r="AA31" s="17">
        <f>'ПЛАН ЧЕРН К1'!B22*СПРАВОЧНИК!$H$9+'ПЛАН ЧЕРН К1'!C22*СПРАВОЧНИК!$I$9+'ПЛАН ЧЕРН К1'!D22*СПРАВОЧНИК!$J$9+'ПЛАН ЧЕРН К1'!E22*СПРАВОЧНИК!$H$10+'ПЛАН ЧЕРН К1'!F22*СПРАВОЧНИК!$I$10+'ПЛАН ЧЕРН К1'!G22*СПРАВОЧНИК!$J$10+'ПЛАН ЧЕРН К1'!H22*СПРАВОЧНИК!$H$11+'ПЛАН ЧЕРН К1'!I22*СПРАВОЧНИК!$I$11+'ПЛАН ЧЕРН К1'!J22*СПРАВОЧНИК!$J$11+'ПЛАН ЧЕРН К1'!K22*СПРАВОЧНИК!$H$12+'ПЛАН ЧЕРН К1'!L22*СПРАВОЧНИК!$I$12+'ПЛАН ЧЕРН К1'!M22*СПРАВОЧНИК!$J$12+'ПЛАН ЧЕРН К1'!N22*СПРАВОЧНИК!$H$13+'ПЛАН ЧЕРН К1'!O22*СПРАВОЧНИК!$I$13+'ПЛАН ЧЕРН К1'!P22*СПРАВОЧНИК!$J$13+'ПЛАН ЧЕРН К1'!Q22*СПРАВОЧНИК!$H$14+'ПЛАН ЧЕРН К1'!R22*СПРАВОЧНИК!$I$14+'ПЛАН ЧЕРН К1'!S22*СПРАВОЧНИК!$J$14+'ПЛАН ЧЕРН К1'!T22*СПРАВОЧНИК!$H$15+'ПЛАН ЧЕРН К1'!U22*СПРАВОЧНИК!$I$15+'ПЛАН ЧЕРН К1'!V22*СПРАВОЧНИК!$J$15</f>
        <v/>
      </c>
      <c r="AB31" s="31">
        <f>('ФАКТ ЧЕРН К1'!B22)*СПРАВОЧНИК!$H$9+('ФАКТ ЧЕРН К1'!C22)*СПРАВОЧНИК!$I$9+('ФАКТ ЧЕРН К1'!D22)*СПРАВОЧНИК!$J$9+('ФАКТ ЧЕРН К1'!E22)*СПРАВОЧНИК!$H$10+('ФАКТ ЧЕРН К1'!F22)*СПРАВОЧНИК!$I$10+('ФАКТ ЧЕРН К1'!G22)*СПРАВОЧНИК!$J$10+('ФАКТ ЧЕРН К1'!H22)*СПРАВОЧНИК!$H$11+('ФАКТ ЧЕРН К1'!I22)*СПРАВОЧНИК!$I$11+('ФАКТ ЧЕРН К1'!J22)*СПРАВОЧНИК!$J$11+('ФАКТ ЧЕРН К1'!K22)*СПРАВОЧНИК!$H$12+('ФАКТ ЧЕРН К1'!L22)*СПРАВОЧНИК!$I$12+('ФАКТ ЧЕРН К1'!M22)*СПРАВОЧНИК!$J$12+('ФАКТ ЧЕРН К1'!N22)*СПРАВОЧНИК!$H$13+('ФАКТ ЧЕРН К1'!O22)*СПРАВОЧНИК!$I$13+('ФАКТ ЧЕРН К1'!P22)*СПРАВОЧНИК!$J$13+('ФАКТ ЧЕРН К1'!Q22)*СПРАВОЧНИК!$H$14+('ФАКТ ЧЕРН К1'!R22)*СПРАВОЧНИК!$I$14+('ФАКТ ЧЕРН К1'!S22)*СПРАВОЧНИК!$J$14+('ФАКТ ЧЕРН К1'!T22)*СПРАВОЧНИК!$H$15+('ФАКТ ЧЕРН К1'!U22)*СПРАВОЧНИК!$I$15+('ФАКТ ЧЕРН К1'!V22)*СПРАВОЧНИК!$J$15</f>
        <v/>
      </c>
      <c r="AC31" s="34" t="n"/>
      <c r="AF31" s="152">
        <f>AF30+7</f>
        <v/>
      </c>
      <c r="AG31" s="17">
        <f>'ПЛАН ЧИСТ К1'!B22*СПРАВОЧНИК!$L$9+'ПЛАН ЧИСТ К1'!C22*СПРАВОЧНИК!$M$9+'ПЛАН ЧИСТ К1'!D22*СПРАВОЧНИК!$N$9+'ПЛАН ЧИСТ К1'!E22*СПРАВОЧНИК!$O$9+'ПЛАН ЧИСТ К1'!F22*СПРАВОЧНИК!$P$9+'ПЛАН ЧИСТ К1'!G22*СПРАВОЧНИК!$L$10+'ПЛАН ЧИСТ К1'!H22*СПРАВОЧНИК!$M$10+'ПЛАН ЧИСТ К1'!I22*СПРАВОЧНИК!$N$10+'ПЛАН ЧИСТ К1'!J22*СПРАВОЧНИК!$O$10+'ПЛАН ЧИСТ К1'!K22*СПРАВОЧНИК!$P$10+'ПЛАН ЧИСТ К1'!L22*СПРАВОЧНИК!$L$11+'ПЛАН ЧИСТ К1'!M22*СПРАВОЧНИК!$M$11+'ПЛАН ЧИСТ К1'!N22*СПРАВОЧНИК!$N$11+'ПЛАН ЧИСТ К1'!O22*СПРАВОЧНИК!$O$11+'ПЛАН ЧИСТ К1'!P22*СПРАВОЧНИК!$P$11+'ПЛАН ЧИСТ К1'!Q22*СПРАВОЧНИК!$L$12+'ПЛАН ЧИСТ К1'!R22*СПРАВОЧНИК!$M$12+'ПЛАН ЧИСТ К1'!S22*СПРАВОЧНИК!$N$12+'ПЛАН ЧИСТ К1'!T22*СПРАВОЧНИК!$O$12+'ПЛАН ЧИСТ К1'!U22*СПРАВОЧНИК!$P$12+'ПЛАН ЧИСТ К1'!V22*СПРАВОЧНИК!$L$13+'ПЛАН ЧИСТ К1'!W22*СПРАВОЧНИК!$M$13+'ПЛАН ЧИСТ К1'!X22*СПРАВОЧНИК!$N$13+'ПЛАН ЧИСТ К1'!Y22*СПРАВОЧНИК!$O$13+'ПЛАН ЧИСТ К1'!Z22*СПРАВОЧНИК!$P$13+'ПЛАН ЧИСТ К1'!AA22*СПРАВОЧНИК!$L$14+'ПЛАН ЧИСТ К1'!AB22*СПРАВОЧНИК!$M$14+'ПЛАН ЧИСТ К1'!AC22*СПРАВОЧНИК!$N$14+'ПЛАН ЧИСТ К1'!AD22*СПРАВОЧНИК!$O$14+'ПЛАН ЧИСТ К1'!AE22*СПРАВОЧНИК!$P$14+'ПЛАН ЧИСТ К1'!AF22*СПРАВОЧНИК!$L$15+'ПЛАН ЧИСТ К1'!AG22*СПРАВОЧНИК!$M$15+'ПЛАН ЧИСТ К1'!AH22*СПРАВОЧНИК!$N$15+'ПЛАН ЧИСТ К1'!AI22*СПРАВОЧНИК!$O$15+'ПЛАН ЧИСТ К1'!AJ22*СПРАВОЧНИК!$P$15</f>
        <v/>
      </c>
      <c r="AH31" s="31">
        <f>('ФАКТ ЧИСТ К1'!B22)*СПРАВОЧНИК!$L$9+('ФАКТ ЧИСТ К1'!C22)*СПРАВОЧНИК!$M$9+('ФАКТ ЧИСТ К1'!D22)*СПРАВОЧНИК!$N$9+('ФАКТ ЧИСТ К1'!E22)*СПРАВОЧНИК!$O$9+('ФАКТ ЧИСТ К1'!F22)*СПРАВОЧНИК!$P$9+('ФАКТ ЧИСТ К1'!G22)*СПРАВОЧНИК!$L$10+('ФАКТ ЧИСТ К1'!H22)*СПРАВОЧНИК!$M$10+('ФАКТ ЧИСТ К1'!I22)*СПРАВОЧНИК!$N$10+('ФАКТ ЧИСТ К1'!J22)*СПРАВОЧНИК!$O$10+('ФАКТ ЧИСТ К1'!K22)*СПРАВОЧНИК!$P$10+('ФАКТ ЧИСТ К1'!L22)*СПРАВОЧНИК!$L$11+('ФАКТ ЧИСТ К1'!M22)*СПРАВОЧНИК!$M$11+('ФАКТ ЧИСТ К1'!N22)*СПРАВОЧНИК!$N$11+('ФАКТ ЧИСТ К1'!O22)*СПРАВОЧНИК!$O$11+('ФАКТ ЧИСТ К1'!P22)*СПРАВОЧНИК!$P$11+('ФАКТ ЧИСТ К1'!Q22)*СПРАВОЧНИК!$L$12+('ФАКТ ЧИСТ К1'!R22)*СПРАВОЧНИК!$M$12+('ФАКТ ЧИСТ К1'!S22)*СПРАВОЧНИК!$N$12+('ФАКТ ЧИСТ К1'!T22)*СПРАВОЧНИК!$O$12+('ФАКТ ЧИСТ К1'!U22)*СПРАВОЧНИК!$P$12+('ФАКТ ЧИСТ К1'!V22)*СПРАВОЧНИК!$L$13+('ФАКТ ЧИСТ К1'!W22)*СПРАВОЧНИК!$M$13+('ФАКТ ЧИСТ К1'!X22)*СПРАВОЧНИК!$N$13+('ФАКТ ЧИСТ К1'!Y22)*СПРАВОЧНИК!$O$13+('ФАКТ ЧИСТ К1'!Z22)*СПРАВОЧНИК!$P$13+('ФАКТ ЧИСТ К1'!AA22)*СПРАВОЧНИК!$L$14+('ФАКТ ЧИСТ К1'!AB22)*СПРАВОЧНИК!$M$14+('ФАКТ ЧИСТ К1'!AC22)*СПРАВОЧНИК!$N$14+('ФАКТ ЧИСТ К1'!AD22)*СПРАВОЧНИК!$O$14+('ФАКТ ЧИСТ К1'!AE22)*СПРАВОЧНИК!$P$14+('ФАКТ ЧИСТ К1'!AF22)*СПРАВОЧНИК!$L$15+('ФАКТ ЧИСТ К1'!AG22)*СПРАВОЧНИК!$M$15+('ФАКТ ЧИСТ К1'!AH22)*СПРАВОЧНИК!$N$15+('ФАКТ ЧИСТ К1'!AI22)*СПРАВОЧНИК!$O$15+('ФАКТ ЧИСТ К1'!AJ22)*СПРАВОЧНИК!$P$15</f>
        <v/>
      </c>
      <c r="AI31" s="34" t="n"/>
      <c r="AL31" s="152">
        <f>AL30+7</f>
        <v/>
      </c>
      <c r="AM31" s="17">
        <f>СПРАВОЧНИК!$E$9*('ПЛАН ЧЕРН К2'!B22*СПРАВОЧНИК!$H$9+'ПЛАН ЧЕРН К2'!C22*СПРАВОЧНИК!$I$9+'ПЛАН ЧЕРН К2'!D22*СПРАВОЧНИК!$J$9)+СПРАВОЧНИК!$F$9*('ПЛАН ЧИСТ К2'!B22*СПРАВОЧНИК!$L$9+'ПЛАН ЧИСТ К2'!C22*СПРАВОЧНИК!$M$9+'ПЛАН ЧИСТ К2'!D22*СПРАВОЧНИК!$N$9+'ПЛАН ЧИСТ К2'!E22*СПРАВОЧНИК!$O$9+'ПЛАН ЧИСТ К2'!F22*СПРАВОЧНИК!$P$9)+СПРАВОЧНИК!$E$10*('ПЛАН ЧЕРН К2'!E22*СПРАВОЧНИК!$H$10+'ПЛАН ЧЕРН К2'!F22*СПРАВОЧНИК!$I$10+'ПЛАН ЧЕРН К2'!G22*СПРАВОЧНИК!$J$10)+СПРАВОЧНИК!$F$10*('ПЛАН ЧИСТ К2'!G22*СПРАВОЧНИК!$L$10+'ПЛАН ЧИСТ К2'!H22*СПРАВОЧНИК!$M$10+'ПЛАН ЧИСТ К2'!I22*СПРАВОЧНИК!$N$10+'ПЛАН ЧИСТ К2'!J22*СПРАВОЧНИК!$O$10+'ПЛАН ЧИСТ К2'!K22*СПРАВОЧНИК!$P$10)+СПРАВОЧНИК!$E$11*('ПЛАН ЧЕРН К2'!H22*СПРАВОЧНИК!$H$11+'ПЛАН ЧЕРН К2'!I22*СПРАВОЧНИК!$I$11+'ПЛАН ЧЕРН К2'!J22*СПРАВОЧНИК!$J$11)+СПРАВОЧНИК!$F$11*('ПЛАН ЧИСТ К2'!L22*СПРАВОЧНИК!$L$11+'ПЛАН ЧИСТ К2'!M22*СПРАВОЧНИК!$M$11+'ПЛАН ЧИСТ К2'!N22*СПРАВОЧНИК!$N$11+'ПЛАН ЧИСТ К2'!O22*СПРАВОЧНИК!$O$11+'ПЛАН ЧИСТ К2'!P22*СПРАВОЧНИК!$P$11)+СПРАВОЧНИК!$E$12*('ПЛАН ЧЕРН К2'!K22*СПРАВОЧНИК!$H$12+'ПЛАН ЧЕРН К2'!L22*СПРАВОЧНИК!$I$12+'ПЛАН ЧЕРН К2'!M22*СПРАВОЧНИК!$J$12)+СПРАВОЧНИК!$F$12*('ПЛАН ЧИСТ К2'!Q22*СПРАВОЧНИК!$L$12+'ПЛАН ЧИСТ К2'!R22*СПРАВОЧНИК!$M$12+'ПЛАН ЧИСТ К2'!S22*СПРАВОЧНИК!$N$12+'ПЛАН ЧИСТ К2'!T22*СПРАВОЧНИК!$O$12+'ПЛАН ЧИСТ К2'!U22*СПРАВОЧНИК!$P$12)+СПРАВОЧНИК!$E$13*('ПЛАН ЧЕРН К2'!N22*СПРАВОЧНИК!$H$13+'ПЛАН ЧЕРН К2'!O22*СПРАВОЧНИК!$I$13+'ПЛАН ЧЕРН К2'!P22*СПРАВОЧНИК!$J$13)+СПРАВОЧНИК!$F$13*('ПЛАН ЧИСТ К2'!V22*СПРАВОЧНИК!$L$13+'ПЛАН ЧИСТ К2'!W22*СПРАВОЧНИК!$M$13+'ПЛАН ЧИСТ К2'!X22*СПРАВОЧНИК!$N$13+'ПЛАН ЧИСТ К2'!Y22*СПРАВОЧНИК!$O$13+'ПЛАН ЧИСТ К2'!Z22*СПРАВОЧНИК!$P$13)+СПРАВОЧНИК!$E$14*('ПЛАН ЧЕРН К2'!Q22*СПРАВОЧНИК!$H$14+'ПЛАН ЧЕРН К2'!R22*СПРАВОЧНИК!$I$14+'ПЛАН ЧЕРН К2'!S22*СПРАВОЧНИК!$J$14)+СПРАВОЧНИК!$F$14*('ПЛАН ЧИСТ К2'!AA22*СПРАВОЧНИК!$L$14+'ПЛАН ЧИСТ К2'!AB22*СПРАВОЧНИК!$M$14+'ПЛАН ЧИСТ К2'!AC22*СПРАВОЧНИК!$N$14+'ПЛАН ЧИСТ К2'!AD22*СПРАВОЧНИК!$O$14+'ПЛАН ЧИСТ К2'!AE22*СПРАВОЧНИК!$P$14)+СПРАВОЧНИК!$E$15*('ПЛАН ЧЕРН К2'!T22*СПРАВОЧНИК!$H$15+'ПЛАН ЧЕРН К2'!U22*СПРАВОЧНИК!$I$15+'ПЛАН ЧЕРН К2'!V22*СПРАВОЧНИК!$J$15)+СПРАВОЧНИК!$F$15*('ПЛАН ЧИСТ К2'!AF22*СПРАВОЧНИК!$L$15+'ПЛАН ЧИСТ К2'!AG22*СПРАВОЧНИК!$M$15+'ПЛАН ЧИСТ К2'!AH22*СПРАВОЧНИК!$N$15+'ПЛАН ЧИСТ К2'!AI22*СПРАВОЧНИК!$O$15+'ПЛАН ЧИСТ К2'!AJ22*СПРАВОЧНИК!$P$15)</f>
        <v/>
      </c>
      <c r="AN31" s="31">
        <f>СПРАВОЧНИК!$E$9*('ФАКТ ЧЕРН К2'!B22*СПРАВОЧНИК!$H$9+'ФАКТ ЧЕРН К2'!C22*СПРАВОЧНИК!$I$9+'ФАКТ ЧЕРН К2'!D22*СПРАВОЧНИК!$J$9)+СПРАВОЧНИК!$F$9*('ФАКТ ЧИСТ К2'!B22*СПРАВОЧНИК!$L$9+'ФАКТ ЧИСТ К2'!C22*СПРАВОЧНИК!$M$9+'ФАКТ ЧИСТ К2'!D22*СПРАВОЧНИК!$N$9+'ФАКТ ЧИСТ К2'!E22*СПРАВОЧНИК!$O$9+'ФАКТ ЧИСТ К2'!F22*СПРАВОЧНИК!$P$9)+СПРАВОЧНИК!$E$10*('ФАКТ ЧЕРН К2'!E22*СПРАВОЧНИК!$H$10+'ФАКТ ЧЕРН К2'!F22*СПРАВОЧНИК!$I$10+'ФАКТ ЧЕРН К2'!G22*СПРАВОЧНИК!$J$10)+СПРАВОЧНИК!$F$10*('ФАКТ ЧИСТ К2'!G22*СПРАВОЧНИК!$L$10+'ФАКТ ЧИСТ К2'!H22*СПРАВОЧНИК!$M$10+'ФАКТ ЧИСТ К2'!I22*СПРАВОЧНИК!$N$10+'ФАКТ ЧИСТ К2'!J22*СПРАВОЧНИК!$O$10+'ФАКТ ЧИСТ К2'!K22*СПРАВОЧНИК!$P$10)+СПРАВОЧНИК!$E$11*('ФАКТ ЧЕРН К2'!H22*СПРАВОЧНИК!$H$11+'ФАКТ ЧЕРН К2'!I22*СПРАВОЧНИК!$I$11+'ФАКТ ЧЕРН К2'!J22*СПРАВОЧНИК!$J$11)+СПРАВОЧНИК!$F$11*('ФАКТ ЧИСТ К2'!L22*СПРАВОЧНИК!$L$11+'ФАКТ ЧИСТ К2'!M22*СПРАВОЧНИК!$M$11+'ФАКТ ЧИСТ К2'!N22*СПРАВОЧНИК!$N$11+'ФАКТ ЧИСТ К2'!O22*СПРАВОЧНИК!$O$11+'ФАКТ ЧИСТ К2'!P22*СПРАВОЧНИК!$P$11)+СПРАВОЧНИК!$E$12*('ФАКТ ЧЕРН К2'!K22*СПРАВОЧНИК!$H$12+'ФАКТ ЧЕРН К2'!L22*СПРАВОЧНИК!$I$12+'ФАКТ ЧЕРН К2'!M22*СПРАВОЧНИК!$J$12)+СПРАВОЧНИК!$F$12*('ФАКТ ЧИСТ К2'!Q22*СПРАВОЧНИК!$L$12+'ФАКТ ЧИСТ К2'!R22*СПРАВОЧНИК!$M$12+'ФАКТ ЧИСТ К2'!S22*СПРАВОЧНИК!$N$12+'ФАКТ ЧИСТ К2'!T22*СПРАВОЧНИК!$O$12+'ФАКТ ЧИСТ К2'!U22*СПРАВОЧНИК!$P$12)+СПРАВОЧНИК!$E$13*('ФАКТ ЧЕРН К2'!N22*СПРАВОЧНИК!$H$13+'ФАКТ ЧЕРН К2'!O22*СПРАВОЧНИК!$I$13+'ФАКТ ЧЕРН К2'!P22*СПРАВОЧНИК!$J$13)+СПРАВОЧНИК!$F$13*('ФАКТ ЧИСТ К2'!V22*СПРАВОЧНИК!$L$13+'ФАКТ ЧИСТ К2'!W22*СПРАВОЧНИК!$M$13+'ФАКТ ЧИСТ К2'!X22*СПРАВОЧНИК!$N$13+'ФАКТ ЧИСТ К2'!Y22*СПРАВОЧНИК!$O$13+'ФАКТ ЧИСТ К2'!Z22*СПРАВОЧНИК!$P$13)+СПРАВОЧНИК!$E$14*('ФАКТ ЧЕРН К2'!Q22*СПРАВОЧНИК!$H$14+'ФАКТ ЧЕРН К2'!R22*СПРАВОЧНИК!$I$14+'ФАКТ ЧЕРН К2'!S22*СПРАВОЧНИК!$J$14)+СПРАВОЧНИК!$F$14*('ФАКТ ЧИСТ К2'!AA22*СПРАВОЧНИК!$L$14+'ФАКТ ЧИСТ К2'!AB22*СПРАВОЧНИК!$M$14+'ФАКТ ЧИСТ К2'!AC22*СПРАВОЧНИК!$N$14+'ФАКТ ЧИСТ К2'!AD22*СПРАВОЧНИК!$O$14+'ФАКТ ЧИСТ К2'!AE22*СПРАВОЧНИК!$P$14)+СПРАВОЧНИК!$E$15*('ФАКТ ЧЕРН К2'!T22*СПРАВОЧНИК!$H$15+'ФАКТ ЧЕРН К2'!U22*СПРАВОЧНИК!$I$15+'ФАКТ ЧЕРН К2'!V22*СПРАВОЧНИК!$J$15)+СПРАВОЧНИК!$F$15*('ФАКТ ЧИСТ К2'!AF22*СПРАВОЧНИК!$L$15+'ФАКТ ЧИСТ К2'!AG22*СПРАВОЧНИК!$M$15+'ФАКТ ЧИСТ К2'!AH22*СПРАВОЧНИК!$N$15+'ФАКТ ЧИСТ К2'!AI22*СПРАВОЧНИК!$O$15+'ФАКТ ЧИСТ К2'!AJ22*СПРАВОЧНИК!$P$15)</f>
        <v/>
      </c>
      <c r="AO31" s="34" t="n"/>
      <c r="AR31" s="152">
        <f>AR30+7</f>
        <v/>
      </c>
      <c r="AS31" s="17">
        <f>'ПЛАН ЧЕРН К2'!B22*СПРАВОЧНИК!$H$9+'ПЛАН ЧЕРН К2'!C22*СПРАВОЧНИК!$I$9+'ПЛАН ЧЕРН К2'!D22*СПРАВОЧНИК!$J$9+'ПЛАН ЧЕРН К2'!E22*СПРАВОЧНИК!$H$10+'ПЛАН ЧЕРН К2'!F22*СПРАВОЧНИК!$I$10+'ПЛАН ЧЕРН К2'!G22*СПРАВОЧНИК!$J$10+'ПЛАН ЧЕРН К2'!H22*СПРАВОЧНИК!$H$11+'ПЛАН ЧЕРН К2'!I22*СПРАВОЧНИК!$I$11+'ПЛАН ЧЕРН К2'!J22*СПРАВОЧНИК!$J$11+'ПЛАН ЧЕРН К2'!K22*СПРАВОЧНИК!$H$12+'ПЛАН ЧЕРН К2'!L22*СПРАВОЧНИК!$I$12+'ПЛАН ЧЕРН К2'!M22*СПРАВОЧНИК!$J$12+'ПЛАН ЧЕРН К2'!N22*СПРАВОЧНИК!$H$13+'ПЛАН ЧЕРН К2'!O22*СПРАВОЧНИК!$I$13+'ПЛАН ЧЕРН К2'!P22*СПРАВОЧНИК!$J$13+'ПЛАН ЧЕРН К2'!Q22*СПРАВОЧНИК!$H$14+'ПЛАН ЧЕРН К2'!R22*СПРАВОЧНИК!$I$14+'ПЛАН ЧЕРН К2'!S22*СПРАВОЧНИК!$J$14+'ПЛАН ЧЕРН К2'!T22*СПРАВОЧНИК!$H$15+'ПЛАН ЧЕРН К2'!U22*СПРАВОЧНИК!$I$15+'ПЛАН ЧЕРН К2'!V22*СПРАВОЧНИК!$J$15</f>
        <v/>
      </c>
      <c r="AT31" s="31">
        <f>('ФАКТ ЧЕРН К2'!B22)*СПРАВОЧНИК!$H$9+('ФАКТ ЧЕРН К2'!C22)*СПРАВОЧНИК!$I$9+('ФАКТ ЧЕРН К2'!D22)*СПРАВОЧНИК!$J$9+('ФАКТ ЧЕРН К2'!E22)*СПРАВОЧНИК!$H$10+('ФАКТ ЧЕРН К2'!F22)*СПРАВОЧНИК!$I$10+('ФАКТ ЧЕРН К2'!G22)*СПРАВОЧНИК!$J$10+('ФАКТ ЧЕРН К2'!H22)*СПРАВОЧНИК!$H$11+('ФАКТ ЧЕРН К2'!I22)*СПРАВОЧНИК!$I$11+('ФАКТ ЧЕРН К2'!J22)*СПРАВОЧНИК!$J$11+('ФАКТ ЧЕРН К2'!K22)*СПРАВОЧНИК!$H$12+('ФАКТ ЧЕРН К2'!L22)*СПРАВОЧНИК!$I$12+('ФАКТ ЧЕРН К2'!M22)*СПРАВОЧНИК!$J$12+('ФАКТ ЧЕРН К2'!N22)*СПРАВОЧНИК!$H$13+('ФАКТ ЧЕРН К2'!O22)*СПРАВОЧНИК!$I$13+('ФАКТ ЧЕРН К2'!P22)*СПРАВОЧНИК!$J$13+('ФАКТ ЧЕРН К2'!Q22)*СПРАВОЧНИК!$H$14+('ФАКТ ЧЕРН К2'!R22)*СПРАВОЧНИК!$I$14+('ФАКТ ЧЕРН К2'!S22)*СПРАВОЧНИК!$J$14+('ФАКТ ЧЕРН К2'!T22)*СПРАВОЧНИК!$H$15+('ФАКТ ЧЕРН К2'!U22)*СПРАВОЧНИК!$I$15+('ФАКТ ЧЕРН К2'!V22)*СПРАВОЧНИК!$J$15</f>
        <v/>
      </c>
      <c r="AU31" s="34" t="n"/>
      <c r="AX31" s="152">
        <f>AX30+7</f>
        <v/>
      </c>
      <c r="AY31" s="17">
        <f>'ПЛАН ЧИСТ К2'!B22*СПРАВОЧНИК!$L$9+'ПЛАН ЧИСТ К2'!C22*СПРАВОЧНИК!$M$9+'ПЛАН ЧИСТ К2'!D22*СПРАВОЧНИК!$N$9+'ПЛАН ЧИСТ К2'!E22*СПРАВОЧНИК!$O$9+'ПЛАН ЧИСТ К2'!F22*СПРАВОЧНИК!$P$9+'ПЛАН ЧИСТ К2'!G22*СПРАВОЧНИК!$L$10+'ПЛАН ЧИСТ К2'!H22*СПРАВОЧНИК!$M$10+'ПЛАН ЧИСТ К2'!I22*СПРАВОЧНИК!$N$10+'ПЛАН ЧИСТ К2'!J22*СПРАВОЧНИК!$O$10+'ПЛАН ЧИСТ К2'!K22*СПРАВОЧНИК!$P$10+'ПЛАН ЧИСТ К2'!L22*СПРАВОЧНИК!$L$11+'ПЛАН ЧИСТ К2'!M22*СПРАВОЧНИК!$M$11+'ПЛАН ЧИСТ К2'!N22*СПРАВОЧНИК!$N$11+'ПЛАН ЧИСТ К2'!O22*СПРАВОЧНИК!$O$11+'ПЛАН ЧИСТ К2'!P22*СПРАВОЧНИК!$P$11+'ПЛАН ЧИСТ К2'!Q22*СПРАВОЧНИК!$L$12+'ПЛАН ЧИСТ К2'!R22*СПРАВОЧНИК!$M$12+'ПЛАН ЧИСТ К2'!S22*СПРАВОЧНИК!$N$12+'ПЛАН ЧИСТ К2'!T22*СПРАВОЧНИК!$O$12+'ПЛАН ЧИСТ К2'!U22*СПРАВОЧНИК!$P$12+'ПЛАН ЧИСТ К2'!V22*СПРАВОЧНИК!$L$13+'ПЛАН ЧИСТ К2'!W22*СПРАВОЧНИК!$M$13+'ПЛАН ЧИСТ К2'!X22*СПРАВОЧНИК!$N$13+'ПЛАН ЧИСТ К2'!Y22*СПРАВОЧНИК!$O$13+'ПЛАН ЧИСТ К2'!Z22*СПРАВОЧНИК!$P$13+'ПЛАН ЧИСТ К2'!AA22*СПРАВОЧНИК!$L$14+'ПЛАН ЧИСТ К2'!AB22*СПРАВОЧНИК!$M$14+'ПЛАН ЧИСТ К2'!AC22*СПРАВОЧНИК!$N$14+'ПЛАН ЧИСТ К2'!AD22*СПРАВОЧНИК!$O$14+'ПЛАН ЧИСТ К2'!AE22*СПРАВОЧНИК!$P$14+'ПЛАН ЧИСТ К2'!AF22*СПРАВОЧНИК!$L$15+'ПЛАН ЧИСТ К2'!AG22*СПРАВОЧНИК!$M$15+'ПЛАН ЧИСТ К2'!AH22*СПРАВОЧНИК!$N$15+'ПЛАН ЧИСТ К2'!AI22*СПРАВОЧНИК!$O$15+'ПЛАН ЧИСТ К2'!AJ22*СПРАВОЧНИК!$P$15</f>
        <v/>
      </c>
      <c r="AZ31" s="31">
        <f>('ФАКТ ЧИСТ К2'!B22)*СПРАВОЧНИК!$L$9+('ФАКТ ЧИСТ К2'!C22)*СПРАВОЧНИК!$M$9+('ФАКТ ЧИСТ К2'!D22)*СПРАВОЧНИК!$N$9+('ФАКТ ЧИСТ К2'!E22)*СПРАВОЧНИК!$O$9+('ФАКТ ЧИСТ К2'!F22)*СПРАВОЧНИК!$P$9+('ФАКТ ЧИСТ К2'!G22)*СПРАВОЧНИК!$L$10+('ФАКТ ЧИСТ К2'!H22)*СПРАВОЧНИК!$M$10+('ФАКТ ЧИСТ К2'!I22)*СПРАВОЧНИК!$N$10+('ФАКТ ЧИСТ К2'!J22)*СПРАВОЧНИК!$O$10+('ФАКТ ЧИСТ К2'!K22)*СПРАВОЧНИК!$P$10+('ФАКТ ЧИСТ К2'!L22)*СПРАВОЧНИК!$L$11+('ФАКТ ЧИСТ К2'!M22)*СПРАВОЧНИК!$M$11+('ФАКТ ЧИСТ К2'!N22)*СПРАВОЧНИК!$N$11+('ФАКТ ЧИСТ К2'!O22)*СПРАВОЧНИК!$O$11+('ФАКТ ЧИСТ К2'!P22)*СПРАВОЧНИК!$P$11+('ФАКТ ЧИСТ К2'!Q22)*СПРАВОЧНИК!$L$12+('ФАКТ ЧИСТ К2'!R22)*СПРАВОЧНИК!$M$12+('ФАКТ ЧИСТ К2'!S22)*СПРАВОЧНИК!$N$12+('ФАКТ ЧИСТ К2'!T22)*СПРАВОЧНИК!$O$12+('ФАКТ ЧИСТ К2'!U22)*СПРАВОЧНИК!$P$12+('ФАКТ ЧИСТ К2'!V22)*СПРАВОЧНИК!$L$13+('ФАКТ ЧИСТ К2'!W22)*СПРАВОЧНИК!$M$13+('ФАКТ ЧИСТ К2'!X22)*СПРАВОЧНИК!$N$13+('ФАКТ ЧИСТ К2'!Y22)*СПРАВОЧНИК!$O$13+('ФАКТ ЧИСТ К2'!Z22)*СПРАВОЧНИК!$P$13+('ФАКТ ЧИСТ К2'!AA22)*СПРАВОЧНИК!$L$14+('ФАКТ ЧИСТ К2'!AB22)*СПРАВОЧНИК!$M$14+('ФАКТ ЧИСТ К2'!AC22)*СПРАВОЧНИК!$N$14+('ФАКТ ЧИСТ К2'!AD22)*СПРАВОЧНИК!$O$14+('ФАКТ ЧИСТ К2'!AE22)*СПРАВОЧНИК!$P$14+('ФАКТ ЧИСТ К2'!AF22)*СПРАВОЧНИК!$L$15+('ФАКТ ЧИСТ К2'!AG22)*СПРАВОЧНИК!$M$15+('ФАКТ ЧИСТ К2'!AH22)*СПРАВОЧНИК!$N$15+('ФАКТ ЧИСТ К2'!AI22)*СПРАВОЧНИК!$O$15+('ФАКТ ЧИСТ К2'!AJ22)*СПРАВОЧНИК!$P$15</f>
        <v/>
      </c>
      <c r="BA31" s="34" t="n"/>
      <c r="BD31" s="152">
        <f>BD30+7</f>
        <v/>
      </c>
      <c r="BE31" s="17">
        <f>СПРАВОЧНИК!$E$9*('ПЛАН ЧЕРН К3'!B22*СПРАВОЧНИК!$H$9+'ПЛАН ЧЕРН К3'!C22*СПРАВОЧНИК!$I$9+'ПЛАН ЧЕРН К3'!D22*СПРАВОЧНИК!$J$9)+СПРАВОЧНИК!$F$9*('ПЛАН ЧИСТ К3'!B22*СПРАВОЧНИК!$L$9+'ПЛАН ЧИСТ К3'!C22*СПРАВОЧНИК!$M$9+'ПЛАН ЧИСТ К3'!D22*СПРАВОЧНИК!$N$9+'ПЛАН ЧИСТ К3'!E22*СПРАВОЧНИК!$O$9+'ПЛАН ЧИСТ К3'!F22*СПРАВОЧНИК!$P$9)+СПРАВОЧНИК!$E$10*('ПЛАН ЧЕРН К3'!E22*СПРАВОЧНИК!$H$10+'ПЛАН ЧЕРН К3'!F22*СПРАВОЧНИК!$I$10+'ПЛАН ЧЕРН К3'!G22*СПРАВОЧНИК!$J$10)+СПРАВОЧНИК!$F$10*('ПЛАН ЧИСТ К3'!G22*СПРАВОЧНИК!$L$10+'ПЛАН ЧИСТ К3'!H22*СПРАВОЧНИК!$M$10+'ПЛАН ЧИСТ К3'!I22*СПРАВОЧНИК!$N$10+'ПЛАН ЧИСТ К3'!J22*СПРАВОЧНИК!$O$10+'ПЛАН ЧИСТ К3'!K22*СПРАВОЧНИК!$P$10)+СПРАВОЧНИК!$E$11*('ПЛАН ЧЕРН К3'!H22*СПРАВОЧНИК!$H$11+'ПЛАН ЧЕРН К3'!I22*СПРАВОЧНИК!$I$11+'ПЛАН ЧЕРН К3'!J22*СПРАВОЧНИК!$J$11)+СПРАВОЧНИК!$F$11*('ПЛАН ЧИСТ К3'!L22*СПРАВОЧНИК!$L$11+'ПЛАН ЧИСТ К3'!M22*СПРАВОЧНИК!$M$11+'ПЛАН ЧИСТ К3'!N22*СПРАВОЧНИК!$N$11+'ПЛАН ЧИСТ К3'!O22*СПРАВОЧНИК!$O$11+'ПЛАН ЧИСТ К3'!P22*СПРАВОЧНИК!$P$11)+СПРАВОЧНИК!$E$12*('ПЛАН ЧЕРН К3'!K22*СПРАВОЧНИК!$H$12+'ПЛАН ЧЕРН К3'!L22*СПРАВОЧНИК!$I$12+'ПЛАН ЧЕРН К3'!M22*СПРАВОЧНИК!$J$12)+СПРАВОЧНИК!$F$12*('ПЛАН ЧИСТ К3'!Q22*СПРАВОЧНИК!$L$12+'ПЛАН ЧИСТ К3'!R22*СПРАВОЧНИК!$M$12+'ПЛАН ЧИСТ К3'!S22*СПРАВОЧНИК!$N$12+'ПЛАН ЧИСТ К3'!T22*СПРАВОЧНИК!$O$12+'ПЛАН ЧИСТ К3'!U22*СПРАВОЧНИК!$P$12)+СПРАВОЧНИК!$E$13*('ПЛАН ЧЕРН К3'!N22*СПРАВОЧНИК!$H$13+'ПЛАН ЧЕРН К3'!O22*СПРАВОЧНИК!$I$13+'ПЛАН ЧЕРН К3'!P22*СПРАВОЧНИК!$J$13)+СПРАВОЧНИК!$F$13*('ПЛАН ЧИСТ К3'!V22*СПРАВОЧНИК!$L$13+'ПЛАН ЧИСТ К3'!W22*СПРАВОЧНИК!$M$13+'ПЛАН ЧИСТ К3'!X22*СПРАВОЧНИК!$N$13+'ПЛАН ЧИСТ К3'!Y22*СПРАВОЧНИК!$O$13+'ПЛАН ЧИСТ К3'!Z22*СПРАВОЧНИК!$P$13)+СПРАВОЧНИК!$E$14*('ПЛАН ЧЕРН К3'!Q22*СПРАВОЧНИК!$H$14+'ПЛАН ЧЕРН К3'!R22*СПРАВОЧНИК!$I$14+'ПЛАН ЧЕРН К3'!S22*СПРАВОЧНИК!$J$14)+СПРАВОЧНИК!$F$14*('ПЛАН ЧИСТ К3'!AA22*СПРАВОЧНИК!$L$14+'ПЛАН ЧИСТ К3'!AB22*СПРАВОЧНИК!$M$14+'ПЛАН ЧИСТ К3'!AC22*СПРАВОЧНИК!$N$14+'ПЛАН ЧИСТ К3'!AD22*СПРАВОЧНИК!$O$14+'ПЛАН ЧИСТ К3'!AE22*СПРАВОЧНИК!$P$14)+СПРАВОЧНИК!$E$15*('ПЛАН ЧЕРН К3'!T22*СПРАВОЧНИК!$H$15+'ПЛАН ЧЕРН К3'!U22*СПРАВОЧНИК!$I$15+'ПЛАН ЧЕРН К3'!V22*СПРАВОЧНИК!$J$15)+СПРАВОЧНИК!$F$15*('ПЛАН ЧИСТ К3'!AF22*СПРАВОЧНИК!$L$15+'ПЛАН ЧИСТ К3'!AG22*СПРАВОЧНИК!$M$15+'ПЛАН ЧИСТ К3'!AH22*СПРАВОЧНИК!$N$15+'ПЛАН ЧИСТ К3'!AI22*СПРАВОЧНИК!$O$15+'ПЛАН ЧИСТ К3'!AJ22*СПРАВОЧНИК!$P$15)</f>
        <v/>
      </c>
      <c r="BF31" s="31">
        <f>СПРАВОЧНИК!$E$9*('ФАКТ ЧЕРН К3'!B22*СПРАВОЧНИК!$H$9+'ФАКТ ЧЕРН К3'!C22*СПРАВОЧНИК!$I$9+'ФАКТ ЧЕРН К3'!D22*СПРАВОЧНИК!$J$9)+СПРАВОЧНИК!$F$9*('ФАКТ ЧИСТ К3'!B22*СПРАВОЧНИК!$L$9+'ФАКТ ЧИСТ К3'!C22*СПРАВОЧНИК!$M$9+'ФАКТ ЧИСТ К3'!D22*СПРАВОЧНИК!$N$9+'ФАКТ ЧИСТ К3'!E22*СПРАВОЧНИК!$O$9+'ФАКТ ЧИСТ К3'!F22*СПРАВОЧНИК!$P$9)+СПРАВОЧНИК!$E$10*('ФАКТ ЧЕРН К3'!E22*СПРАВОЧНИК!$H$10+'ФАКТ ЧЕРН К3'!F22*СПРАВОЧНИК!$I$10+'ФАКТ ЧЕРН К3'!G22*СПРАВОЧНИК!$J$10)+СПРАВОЧНИК!$F$10*('ФАКТ ЧИСТ К3'!G22*СПРАВОЧНИК!$L$10+'ФАКТ ЧИСТ К3'!H22*СПРАВОЧНИК!$M$10+'ФАКТ ЧИСТ К3'!I22*СПРАВОЧНИК!$N$10+'ФАКТ ЧИСТ К3'!J22*СПРАВОЧНИК!$O$10+'ФАКТ ЧИСТ К3'!K22*СПРАВОЧНИК!$P$10)+СПРАВОЧНИК!$E$11*('ФАКТ ЧЕРН К3'!H22*СПРАВОЧНИК!$H$11+'ФАКТ ЧЕРН К3'!I22*СПРАВОЧНИК!$I$11+'ФАКТ ЧЕРН К3'!J22*СПРАВОЧНИК!$J$11)+СПРАВОЧНИК!$F$11*('ФАКТ ЧИСТ К3'!L22*СПРАВОЧНИК!$L$11+'ФАКТ ЧИСТ К3'!M22*СПРАВОЧНИК!$M$11+'ФАКТ ЧИСТ К3'!N22*СПРАВОЧНИК!$N$11+'ФАКТ ЧИСТ К3'!O22*СПРАВОЧНИК!$O$11+'ФАКТ ЧИСТ К3'!P22*СПРАВОЧНИК!$P$11)+СПРАВОЧНИК!$E$12*('ФАКТ ЧЕРН К3'!K22*СПРАВОЧНИК!$H$12+'ФАКТ ЧЕРН К3'!L22*СПРАВОЧНИК!$I$12+'ФАКТ ЧЕРН К3'!M22*СПРАВОЧНИК!$J$12)+СПРАВОЧНИК!$F$12*('ФАКТ ЧИСТ К3'!Q22*СПРАВОЧНИК!$L$12+'ФАКТ ЧИСТ К3'!R22*СПРАВОЧНИК!$M$12+'ФАКТ ЧИСТ К3'!S22*СПРАВОЧНИК!$N$12+'ФАКТ ЧИСТ К3'!T22*СПРАВОЧНИК!$O$12+'ФАКТ ЧИСТ К3'!U22*СПРАВОЧНИК!$P$12)+СПРАВОЧНИК!$E$13*('ФАКТ ЧЕРН К3'!N22*СПРАВОЧНИК!$H$13+'ФАКТ ЧЕРН К3'!O22*СПРАВОЧНИК!$I$13+'ФАКТ ЧЕРН К3'!P22*СПРАВОЧНИК!$J$13)+СПРАВОЧНИК!$F$13*('ФАКТ ЧИСТ К3'!V22*СПРАВОЧНИК!$L$13+'ФАКТ ЧИСТ К3'!W22*СПРАВОЧНИК!$M$13+'ФАКТ ЧИСТ К3'!X22*СПРАВОЧНИК!$N$13+'ФАКТ ЧИСТ К3'!Y22*СПРАВОЧНИК!$O$13+'ФАКТ ЧИСТ К3'!Z22*СПРАВОЧНИК!$P$13)+СПРАВОЧНИК!$E$14*('ФАКТ ЧЕРН К3'!Q22*СПРАВОЧНИК!$H$14+'ФАКТ ЧЕРН К3'!R22*СПРАВОЧНИК!$I$14+'ФАКТ ЧЕРН К3'!S22*СПРАВОЧНИК!$J$14)+СПРАВОЧНИК!$F$14*('ФАКТ ЧИСТ К3'!AA22*СПРАВОЧНИК!$L$14+'ФАКТ ЧИСТ К3'!AB22*СПРАВОЧНИК!$M$14+'ФАКТ ЧИСТ К3'!AC22*СПРАВОЧНИК!$N$14+'ФАКТ ЧИСТ К3'!AD22*СПРАВОЧНИК!$O$14+'ФАКТ ЧИСТ К3'!AE22*СПРАВОЧНИК!$P$14)+СПРАВОЧНИК!$E$15*('ФАКТ ЧЕРН К3'!T22*СПРАВОЧНИК!$H$15+'ФАКТ ЧЕРН К3'!U22*СПРАВОЧНИК!$I$15+'ФАКТ ЧЕРН К3'!V22*СПРАВОЧНИК!$J$15)+СПРАВОЧНИК!$F$15*('ФАКТ ЧИСТ К3'!AF22*СПРАВОЧНИК!$L$15+'ФАКТ ЧИСТ К3'!AG22*СПРАВОЧНИК!$M$15+'ФАКТ ЧИСТ К3'!AH22*СПРАВОЧНИК!$N$15+'ФАКТ ЧИСТ К3'!AI22*СПРАВОЧНИК!$O$15+'ФАКТ ЧИСТ К3'!AJ22*СПРАВОЧНИК!$P$15)</f>
        <v/>
      </c>
      <c r="BG31" s="34" t="n"/>
      <c r="BJ31" s="152">
        <f>BJ30+7</f>
        <v/>
      </c>
      <c r="BK31" s="17">
        <f>'ПЛАН ЧЕРН К3'!B22*СПРАВОЧНИК!$H$9+'ПЛАН ЧЕРН К3'!C22*СПРАВОЧНИК!$I$9+'ПЛАН ЧЕРН К3'!D22*СПРАВОЧНИК!$J$9+'ПЛАН ЧЕРН К3'!E22*СПРАВОЧНИК!$H$10+'ПЛАН ЧЕРН К3'!F22*СПРАВОЧНИК!$I$10+'ПЛАН ЧЕРН К3'!G22*СПРАВОЧНИК!$J$10+'ПЛАН ЧЕРН К3'!H22*СПРАВОЧНИК!$H$11+'ПЛАН ЧЕРН К3'!I22*СПРАВОЧНИК!$I$11+'ПЛАН ЧЕРН К3'!J22*СПРАВОЧНИК!$J$11+'ПЛАН ЧЕРН К3'!K22*СПРАВОЧНИК!$H$12+'ПЛАН ЧЕРН К3'!L22*СПРАВОЧНИК!$I$12+'ПЛАН ЧЕРН К3'!M22*СПРАВОЧНИК!$J$12+'ПЛАН ЧЕРН К3'!N22*СПРАВОЧНИК!$H$13+'ПЛАН ЧЕРН К3'!O22*СПРАВОЧНИК!$I$13+'ПЛАН ЧЕРН К3'!P22*СПРАВОЧНИК!$J$13+'ПЛАН ЧЕРН К3'!Q22*СПРАВОЧНИК!$H$14+'ПЛАН ЧЕРН К3'!R22*СПРАВОЧНИК!$I$14+'ПЛАН ЧЕРН К3'!S22*СПРАВОЧНИК!$J$14+'ПЛАН ЧЕРН К3'!T22*СПРАВОЧНИК!$H$15+'ПЛАН ЧЕРН К3'!U22*СПРАВОЧНИК!$I$15+'ПЛАН ЧЕРН К3'!V22*СПРАВОЧНИК!$J$15</f>
        <v/>
      </c>
      <c r="BL31" s="31">
        <f>('ФАКТ ЧЕРН К3'!B22)*СПРАВОЧНИК!$H$9+('ФАКТ ЧЕРН К3'!C22)*СПРАВОЧНИК!$I$9+('ФАКТ ЧЕРН К3'!D22)*СПРАВОЧНИК!$J$9+('ФАКТ ЧЕРН К3'!E22)*СПРАВОЧНИК!$H$10+('ФАКТ ЧЕРН К3'!F22)*СПРАВОЧНИК!$I$10+('ФАКТ ЧЕРН К3'!G22)*СПРАВОЧНИК!$J$10+('ФАКТ ЧЕРН К3'!H22)*СПРАВОЧНИК!$H$11+('ФАКТ ЧЕРН К3'!I22)*СПРАВОЧНИК!$I$11+('ФАКТ ЧЕРН К3'!J22)*СПРАВОЧНИК!$J$11+('ФАКТ ЧЕРН К3'!K22)*СПРАВОЧНИК!$H$12+('ФАКТ ЧЕРН К3'!L22)*СПРАВОЧНИК!$I$12+('ФАКТ ЧЕРН К3'!M22)*СПРАВОЧНИК!$J$12+('ФАКТ ЧЕРН К3'!N22)*СПРАВОЧНИК!$H$13+('ФАКТ ЧЕРН К3'!O22)*СПРАВОЧНИК!$I$13+('ФАКТ ЧЕРН К3'!P22)*СПРАВОЧНИК!$J$13+('ФАКТ ЧЕРН К3'!Q22)*СПРАВОЧНИК!$H$14+('ФАКТ ЧЕРН К3'!R22)*СПРАВОЧНИК!$I$14+('ФАКТ ЧЕРН К3'!S22)*СПРАВОЧНИК!$J$14+('ФАКТ ЧЕРН К3'!T22)*СПРАВОЧНИК!$H$15+('ФАКТ ЧЕРН К3'!U22)*СПРАВОЧНИК!$I$15+('ФАКТ ЧЕРН К3'!V22)*СПРАВОЧНИК!$J$15</f>
        <v/>
      </c>
      <c r="BM31" s="34" t="n"/>
      <c r="BP31" s="152">
        <f>BP30+7</f>
        <v/>
      </c>
      <c r="BQ31" s="17">
        <f>'ПЛАН ЧИСТ К3'!B22*СПРАВОЧНИК!$L$9+'ПЛАН ЧИСТ К3'!C22*СПРАВОЧНИК!$M$9+'ПЛАН ЧИСТ К3'!D22*СПРАВОЧНИК!$N$9+'ПЛАН ЧИСТ К3'!E22*СПРАВОЧНИК!$O$9+'ПЛАН ЧИСТ К3'!F22*СПРАВОЧНИК!$P$9+'ПЛАН ЧИСТ К3'!G22*СПРАВОЧНИК!$L$10+'ПЛАН ЧИСТ К3'!H22*СПРАВОЧНИК!$M$10+'ПЛАН ЧИСТ К3'!I22*СПРАВОЧНИК!$N$10+'ПЛАН ЧИСТ К3'!J22*СПРАВОЧНИК!$O$10+'ПЛАН ЧИСТ К3'!K22*СПРАВОЧНИК!$P$10+'ПЛАН ЧИСТ К3'!L22*СПРАВОЧНИК!$L$11+'ПЛАН ЧИСТ К3'!M22*СПРАВОЧНИК!$M$11+'ПЛАН ЧИСТ К3'!N22*СПРАВОЧНИК!$N$11+'ПЛАН ЧИСТ К3'!O22*СПРАВОЧНИК!$O$11+'ПЛАН ЧИСТ К3'!P22*СПРАВОЧНИК!$P$11+'ПЛАН ЧИСТ К3'!Q22*СПРАВОЧНИК!$L$12+'ПЛАН ЧИСТ К3'!R22*СПРАВОЧНИК!$M$12+'ПЛАН ЧИСТ К3'!S22*СПРАВОЧНИК!$N$12+'ПЛАН ЧИСТ К3'!T22*СПРАВОЧНИК!$O$12+'ПЛАН ЧИСТ К3'!U22*СПРАВОЧНИК!$P$12+'ПЛАН ЧИСТ К3'!V22*СПРАВОЧНИК!$L$13+'ПЛАН ЧИСТ К3'!W22*СПРАВОЧНИК!$M$13+'ПЛАН ЧИСТ К3'!X22*СПРАВОЧНИК!$N$13+'ПЛАН ЧИСТ К3'!Y22*СПРАВОЧНИК!$O$13+'ПЛАН ЧИСТ К3'!Z22*СПРАВОЧНИК!$P$13+'ПЛАН ЧИСТ К3'!AA22*СПРАВОЧНИК!$L$14+'ПЛАН ЧИСТ К3'!AB22*СПРАВОЧНИК!$M$14+'ПЛАН ЧИСТ К3'!AC22*СПРАВОЧНИК!$N$14+'ПЛАН ЧИСТ К3'!AD22*СПРАВОЧНИК!$O$14+'ПЛАН ЧИСТ К3'!AE22*СПРАВОЧНИК!$P$14+'ПЛАН ЧИСТ К3'!AF22*СПРАВОЧНИК!$L$15+'ПЛАН ЧИСТ К3'!AG22*СПРАВОЧНИК!$M$15+'ПЛАН ЧИСТ К3'!AH22*СПРАВОЧНИК!$N$15+'ПЛАН ЧИСТ К3'!AI22*СПРАВОЧНИК!$O$15+'ПЛАН ЧИСТ К3'!AJ22*СПРАВОЧНИК!$P$15</f>
        <v/>
      </c>
      <c r="BR31" s="31">
        <f>('ФАКТ ЧИСТ К3'!B22)*СПРАВОЧНИК!$L$9+('ФАКТ ЧИСТ К3'!C22)*СПРАВОЧНИК!$M$9+('ФАКТ ЧИСТ К3'!D22)*СПРАВОЧНИК!$N$9+('ФАКТ ЧИСТ К3'!E22)*СПРАВОЧНИК!$O$9+('ФАКТ ЧИСТ К3'!F22)*СПРАВОЧНИК!$P$9+('ФАКТ ЧИСТ К3'!G22)*СПРАВОЧНИК!$L$10+('ФАКТ ЧИСТ К3'!H22)*СПРАВОЧНИК!$M$10+('ФАКТ ЧИСТ К3'!I22)*СПРАВОЧНИК!$N$10+('ФАКТ ЧИСТ К3'!J22)*СПРАВОЧНИК!$O$10+('ФАКТ ЧИСТ К3'!K22)*СПРАВОЧНИК!$P$10+('ФАКТ ЧИСТ К3'!L22)*СПРАВОЧНИК!$L$11+('ФАКТ ЧИСТ К3'!M22)*СПРАВОЧНИК!$M$11+('ФАКТ ЧИСТ К3'!N22)*СПРАВОЧНИК!$N$11+('ФАКТ ЧИСТ К3'!O22)*СПРАВОЧНИК!$O$11+('ФАКТ ЧИСТ К3'!P22)*СПРАВОЧНИК!$P$11+('ФАКТ ЧИСТ К3'!Q22)*СПРАВОЧНИК!$L$12+('ФАКТ ЧИСТ К3'!R22)*СПРАВОЧНИК!$M$12+('ФАКТ ЧИСТ К3'!S22)*СПРАВОЧНИК!$N$12+('ФАКТ ЧИСТ К3'!T22)*СПРАВОЧНИК!$O$12+('ФАКТ ЧИСТ К3'!U22)*СПРАВОЧНИК!$P$12+('ФАКТ ЧИСТ К3'!V22)*СПРАВОЧНИК!$L$13+('ФАКТ ЧИСТ К3'!W22)*СПРАВОЧНИК!$M$13+('ФАКТ ЧИСТ К3'!X22)*СПРАВОЧНИК!$N$13+('ФАКТ ЧИСТ К3'!Y22)*СПРАВОЧНИК!$O$13+('ФАКТ ЧИСТ К3'!Z22)*СПРАВОЧНИК!$P$13+('ФАКТ ЧИСТ К3'!AA22)*СПРАВОЧНИК!$L$14+('ФАКТ ЧИСТ К3'!AB22)*СПРАВОЧНИК!$M$14+('ФАКТ ЧИСТ К3'!AC22)*СПРАВОЧНИК!$N$14+('ФАКТ ЧИСТ К3'!AD22)*СПРАВОЧНИК!$O$14+('ФАКТ ЧИСТ К3'!AE22)*СПРАВОЧНИК!$P$14+('ФАКТ ЧИСТ К3'!AF22)*СПРАВОЧНИК!$L$15+('ФАКТ ЧИСТ К3'!AG22)*СПРАВОЧНИК!$M$15+('ФАКТ ЧИСТ К3'!AH22)*СПРАВОЧНИК!$N$15+('ФАКТ ЧИСТ К3'!AI22)*СПРАВОЧНИК!$O$15+('ФАКТ ЧИСТ К3'!AJ22)*СПРАВОЧНИК!$P$15</f>
        <v/>
      </c>
      <c r="BS31" s="34" t="n"/>
      <c r="BV31" s="152">
        <f>BV30+7</f>
        <v/>
      </c>
      <c r="BW31" s="17">
        <f>U31*СПРАВОЧНИК!$K$28+AM31*СПРАВОЧНИК!$K$29+BE31*СПРАВОЧНИК!$K$30</f>
        <v/>
      </c>
      <c r="BX31" s="31">
        <f>V31*СПРАВОЧНИК!$K$28+AN31*СПРАВОЧНИК!$K$29+BF31*СПРАВОЧНИК!$K$30</f>
        <v/>
      </c>
      <c r="BY31" s="34" t="n"/>
      <c r="CB31" s="152">
        <f>CB30+7</f>
        <v/>
      </c>
      <c r="CC31" s="17">
        <f>AA31*СПРАВОЧНИК!$K$28+AS31*СПРАВОЧНИК!$K$29+BK31*СПРАВОЧНИК!$K$30</f>
        <v/>
      </c>
      <c r="CD31" s="31">
        <f>AB31*СПРАВОЧНИК!$K$28+AT31*СПРАВОЧНИК!$K$29+BL31*СПРАВОЧНИК!$K$30</f>
        <v/>
      </c>
      <c r="CE31" s="34" t="n"/>
      <c r="CH31" s="152">
        <f>CH30+7</f>
        <v/>
      </c>
      <c r="CI31" s="17">
        <f>AG31*СПРАВОЧНИК!$K$28+AY31*СПРАВОЧНИК!$K$29+BQ31*СПРАВОЧНИК!$K$30</f>
        <v/>
      </c>
      <c r="CJ31" s="31">
        <f>AH31*СПРАВОЧНИК!$K$28+AZ31*СПРАВОЧНИК!$K$29+BR31*СПРАВОЧНИК!$K$30</f>
        <v/>
      </c>
      <c r="CK31" s="34" t="n"/>
      <c r="CN31" s="152">
        <f>CN30+7</f>
        <v/>
      </c>
      <c r="CO31" s="17">
        <f>C31*СПРАВОЧНИК!$W$18+BW31*СПРАВОЧНИК!$W$19</f>
        <v/>
      </c>
      <c r="CP31" s="31">
        <f>D31*СПРАВОЧНИК!$W$18+BX31*СПРАВОЧНИК!$W$19</f>
        <v/>
      </c>
      <c r="CQ31" s="34" t="n"/>
      <c r="CT31" s="152">
        <f>CT30+7</f>
        <v/>
      </c>
      <c r="CU31" s="17">
        <f>I31*СПРАВОЧНИК!$W$18+CC31*СПРАВОЧНИК!$W$19</f>
        <v/>
      </c>
      <c r="CV31" s="31">
        <f>J31*СПРАВОЧНИК!$W$18+CD31*СПРАВОЧНИК!$W$19</f>
        <v/>
      </c>
      <c r="CW31" s="34" t="n"/>
      <c r="CZ31" s="152">
        <f>CZ30+7</f>
        <v/>
      </c>
      <c r="DA31" s="17">
        <f>O31*СПРАВОЧНИК!$W$18+CI31*СПРАВОЧНИК!$W$19</f>
        <v/>
      </c>
      <c r="DB31" s="31">
        <f>P31*СПРАВОЧНИК!$W$18+CJ31*СПРАВОЧНИК!$W$19</f>
        <v/>
      </c>
      <c r="DC31" s="34" t="n"/>
    </row>
    <row r="32">
      <c r="B32" s="152">
        <f>B31+7</f>
        <v/>
      </c>
      <c r="C32" s="17">
        <f>СПРАВОЧНИК!$E$3*('ПЛАН ЧЕРН ПОДЗЕМ'!B23*СПРАВОЧНИК!$H$3+'ПЛАН ЧЕРН ПОДЗЕМ'!C23*СПРАВОЧНИК!$I$3+'ПЛАН ЧЕРН ПОДЗЕМ'!D23*СПРАВОЧНИК!$J$3)+СПРАВОЧНИК!$F$3*('ПЛАН ЧИСТ ПОДЗЕМ'!B23*СПРАВОЧНИК!$L$3+'ПЛАН ЧИСТ ПОДЗЕМ'!C23*СПРАВОЧНИК!$M$3+'ПЛАН ЧИСТ ПОДЗЕМ'!D23*СПРАВОЧНИК!$N$3+'ПЛАН ЧИСТ ПОДЗЕМ'!E23*СПРАВОЧНИК!$O$3+'ПЛАН ЧИСТ ПОДЗЕМ'!F23*СПРАВОЧНИК!$P$3)+СПРАВОЧНИК!$E$4*('ПЛАН ЧЕРН ПОДЗЕМ'!E23*СПРАВОЧНИК!$H$4+'ПЛАН ЧЕРН ПОДЗЕМ'!F23*СПРАВОЧНИК!$I$4+'ПЛАН ЧЕРН ПОДЗЕМ'!G23*СПРАВОЧНИК!$J$4)+СПРАВОЧНИК!$F$4*('ПЛАН ЧИСТ ПОДЗЕМ'!G23*СПРАВОЧНИК!$L$4+'ПЛАН ЧИСТ ПОДЗЕМ'!H23*СПРАВОЧНИК!$M$4+'ПЛАН ЧИСТ ПОДЗЕМ'!I23*СПРАВОЧНИК!$N$4+'ПЛАН ЧИСТ ПОДЗЕМ'!J23*СПРАВОЧНИК!$O$4+'ПЛАН ЧИСТ ПОДЗЕМ'!K23*СПРАВОЧНИК!$P$4)+СПРАВОЧНИК!$E$5*('ПЛАН ЧЕРН ПОДЗЕМ'!H23*СПРАВОЧНИК!$H$5+'ПЛАН ЧЕРН ПОДЗЕМ'!I23*СПРАВОЧНИК!$I$5+'ПЛАН ЧЕРН ПОДЗЕМ'!J23*СПРАВОЧНИК!$J$5)+СПРАВОЧНИК!$F$5*('ПЛАН ЧИСТ ПОДЗЕМ'!L23*СПРАВОЧНИК!$L$5+'ПЛАН ЧИСТ ПОДЗЕМ'!M23*СПРАВОЧНИК!$M$5+'ПЛАН ЧИСТ ПОДЗЕМ'!N23*СПРАВОЧНИК!$N$5+'ПЛАН ЧИСТ ПОДЗЕМ'!O23*СПРАВОЧНИК!$O$5+'ПЛАН ЧИСТ ПОДЗЕМ'!P23*СПРАВОЧНИК!$P$5)+СПРАВОЧНИК!$E$6*('ПЛАН ЧЕРН ПОДЗЕМ'!K23*СПРАВОЧНИК!$H$6+'ПЛАН ЧЕРН ПОДЗЕМ'!L23*СПРАВОЧНИК!$I$6+'ПЛАН ЧЕРН ПОДЗЕМ'!M23*СПРАВОЧНИК!$J$6)+СПРАВОЧНИК!$F$6*('ПЛАН ЧИСТ ПОДЗЕМ'!Q23*СПРАВОЧНИК!$L$6+'ПЛАН ЧИСТ ПОДЗЕМ'!R23*СПРАВОЧНИК!$M$6+'ПЛАН ЧИСТ ПОДЗЕМ'!S23*СПРАВОЧНИК!$N$6+'ПЛАН ЧИСТ ПОДЗЕМ'!T23*СПРАВОЧНИК!$O$6+'ПЛАН ЧИСТ ПОДЗЕМ'!U23*СПРАВОЧНИК!$P$6)+СПРАВОЧНИК!$E$7*('ПЛАН ЧЕРН ПОДЗЕМ'!N23*СПРАВОЧНИК!$H$7+'ПЛАН ЧЕРН ПОДЗЕМ'!O23*СПРАВОЧНИК!$I$7+'ПЛАН ЧЕРН ПОДЗЕМ'!P23*СПРАВОЧНИК!$J$7)+СПРАВОЧНИК!$F$7*('ПЛАН ЧИСТ ПОДЗЕМ'!V23*СПРАВОЧНИК!$L$7+'ПЛАН ЧИСТ ПОДЗЕМ'!W23*СПРАВОЧНИК!$M$7+'ПЛАН ЧИСТ ПОДЗЕМ'!X23*СПРАВОЧНИК!$N$7+'ПЛАН ЧИСТ ПОДЗЕМ'!Y23*СПРАВОЧНИК!$O$7+'ПЛАН ЧИСТ ПОДЗЕМ'!Z23*СПРАВОЧНИК!$P$7)+СПРАВОЧНИК!$E$8*('ПЛАН ЧЕРН ПОДЗЕМ'!Q23*СПРАВОЧНИК!$H$8+'ПЛАН ЧЕРН ПОДЗЕМ'!R23*СПРАВОЧНИК!$I$8+'ПЛАН ЧЕРН ПОДЗЕМ'!S23*СПРАВОЧНИК!$J$8)+СПРАВОЧНИК!$F$8*('ПЛАН ЧИСТ ПОДЗЕМ'!AA23*СПРАВОЧНИК!$L$8+'ПЛАН ЧИСТ ПОДЗЕМ'!AB23*СПРАВОЧНИК!$M$8+'ПЛАН ЧИСТ ПОДЗЕМ'!AC23*СПРАВОЧНИК!$N$8+'ПЛАН ЧИСТ ПОДЗЕМ'!AD23*СПРАВОЧНИК!$O$8+'ПЛАН ЧИСТ ПОДЗЕМ'!AE23*СПРАВОЧНИК!$P$8)</f>
        <v/>
      </c>
      <c r="D32" s="31">
        <f>СПРАВОЧНИК!$E$3*('ФАКТ ЧЕРН ПОДЗЕМ'!B23*СПРАВОЧНИК!$H$3+'ФАКТ ЧЕРН ПОДЗЕМ'!C23*СПРАВОЧНИК!$I$3+'ФАКТ ЧЕРН ПОДЗЕМ'!D23*СПРАВОЧНИК!$J$3)+СПРАВОЧНИК!$F$3*('ФАКТ ЧИСТ ПОДЗЕМ'!B23*СПРАВОЧНИК!$L$3+'ФАКТ ЧИСТ ПОДЗЕМ'!C23*СПРАВОЧНИК!$M$3+'ФАКТ ЧИСТ ПОДЗЕМ'!D23*СПРАВОЧНИК!$N$3+'ФАКТ ЧИСТ ПОДЗЕМ'!E23*СПРАВОЧНИК!$O$3+'ФАКТ ЧИСТ ПОДЗЕМ'!F23*СПРАВОЧНИК!$P$3)+СПРАВОЧНИК!$E$4*('ФАКТ ЧЕРН ПОДЗЕМ'!E23*СПРАВОЧНИК!$H$4+'ФАКТ ЧЕРН ПОДЗЕМ'!F23*СПРАВОЧНИК!$I$4+'ФАКТ ЧЕРН ПОДЗЕМ'!G23*СПРАВОЧНИК!$J$4)+СПРАВОЧНИК!$F$4*('ФАКТ ЧИСТ ПОДЗЕМ'!G23*СПРАВОЧНИК!$L$4+'ФАКТ ЧИСТ ПОДЗЕМ'!H23*СПРАВОЧНИК!$M$4+'ФАКТ ЧИСТ ПОДЗЕМ'!I23*СПРАВОЧНИК!$N$4+'ФАКТ ЧИСТ ПОДЗЕМ'!J23*СПРАВОЧНИК!$O$4+'ФАКТ ЧИСТ ПОДЗЕМ'!K23*СПРАВОЧНИК!$P$4)+СПРАВОЧНИК!$E$5*('ФАКТ ЧЕРН ПОДЗЕМ'!H23*СПРАВОЧНИК!$H$5+'ФАКТ ЧЕРН ПОДЗЕМ'!I23*СПРАВОЧНИК!$I$5+'ФАКТ ЧЕРН ПОДЗЕМ'!J23*СПРАВОЧНИК!$J$5)+СПРАВОЧНИК!$F$5*('ФАКТ ЧИСТ ПОДЗЕМ'!L23*СПРАВОЧНИК!$L$5+'ФАКТ ЧИСТ ПОДЗЕМ'!M23*СПРАВОЧНИК!$M$5+'ФАКТ ЧИСТ ПОДЗЕМ'!N23*СПРАВОЧНИК!$N$5+'ФАКТ ЧИСТ ПОДЗЕМ'!O23*СПРАВОЧНИК!$O$5+'ФАКТ ЧИСТ ПОДЗЕМ'!P23*СПРАВОЧНИК!$P$5)+СПРАВОЧНИК!$E$6*('ФАКТ ЧЕРН ПОДЗЕМ'!K23*СПРАВОЧНИК!$H$6+'ФАКТ ЧЕРН ПОДЗЕМ'!L23*СПРАВОЧНИК!$I$6+'ФАКТ ЧЕРН ПОДЗЕМ'!M23*СПРАВОЧНИК!$J$6)+СПРАВОЧНИК!$F$6*('ФАКТ ЧИСТ ПОДЗЕМ'!Q23*СПРАВОЧНИК!$L$6+'ФАКТ ЧИСТ ПОДЗЕМ'!R23*СПРАВОЧНИК!$M$6+'ФАКТ ЧИСТ ПОДЗЕМ'!S23*СПРАВОЧНИК!$N$6+'ФАКТ ЧИСТ ПОДЗЕМ'!T23*СПРАВОЧНИК!$O$6+'ФАКТ ЧИСТ ПОДЗЕМ'!U23*СПРАВОЧНИК!$P$6)+СПРАВОЧНИК!$E$7*('ФАКТ ЧЕРН ПОДЗЕМ'!N23*СПРАВОЧНИК!$H$7+'ФАКТ ЧЕРН ПОДЗЕМ'!O23*СПРАВОЧНИК!$I$7+'ФАКТ ЧЕРН ПОДЗЕМ'!P23*СПРАВОЧНИК!$J$7)+СПРАВОЧНИК!$F$7*('ФАКТ ЧИСТ ПОДЗЕМ'!V23*СПРАВОЧНИК!$L$7+'ФАКТ ЧИСТ ПОДЗЕМ'!W23*СПРАВОЧНИК!$M$7+'ФАКТ ЧИСТ ПОДЗЕМ'!X23*СПРАВОЧНИК!$N$7+'ФАКТ ЧИСТ ПОДЗЕМ'!Y23*СПРАВОЧНИК!$O$7+'ФАКТ ЧИСТ ПОДЗЕМ'!Z23*СПРАВОЧНИК!$P$7)+СПРАВОЧНИК!$E$8*('ФАКТ ЧЕРН ПОДЗЕМ'!Q23*СПРАВОЧНИК!$H$8+'ФАКТ ЧЕРН ПОДЗЕМ'!R23*СПРАВОЧНИК!$I$8+'ФАКТ ЧЕРН ПОДЗЕМ'!S23*СПРАВОЧНИК!$J$8)+СПРАВОЧНИК!$F$8*('ФАКТ ЧИСТ ПОДЗЕМ'!AA23*СПРАВОЧНИК!$L$8+'ФАКТ ЧИСТ ПОДЗЕМ'!AB23*СПРАВОЧНИК!$M$8+'ФАКТ ЧИСТ ПОДЗЕМ'!AC23*СПРАВОЧНИК!$N$8+'ФАКТ ЧИСТ ПОДЗЕМ'!AD23*СПРАВОЧНИК!$O$8+'ФАКТ ЧИСТ ПОДЗЕМ'!AE23*СПРАВОЧНИК!$P$8)</f>
        <v/>
      </c>
      <c r="E32" s="34" t="n"/>
      <c r="H32" s="152">
        <f>H31+7</f>
        <v/>
      </c>
      <c r="I32" s="17">
        <f>'ПЛАН ЧЕРН ПОДЗЕМ'!B23*СПРАВОЧНИК!$H$3+'ПЛАН ЧЕРН ПОДЗЕМ'!C23*СПРАВОЧНИК!$I$3+'ПЛАН ЧЕРН ПОДЗЕМ'!D23*СПРАВОЧНИК!$J$3+'ПЛАН ЧЕРН ПОДЗЕМ'!E23*СПРАВОЧНИК!$H$4+'ПЛАН ЧЕРН ПОДЗЕМ'!F23*СПРАВОЧНИК!$I$4+'ПЛАН ЧЕРН ПОДЗЕМ'!G23*СПРАВОЧНИК!$J$4+'ПЛАН ЧЕРН ПОДЗЕМ'!H23*СПРАВОЧНИК!$H$5+'ПЛАН ЧЕРН ПОДЗЕМ'!I23*СПРАВОЧНИК!$I$5+'ПЛАН ЧЕРН ПОДЗЕМ'!J23*СПРАВОЧНИК!$J$5+'ПЛАН ЧЕРН ПОДЗЕМ'!K23*СПРАВОЧНИК!$H$6+'ПЛАН ЧЕРН ПОДЗЕМ'!L23*СПРАВОЧНИК!$I$6+'ПЛАН ЧЕРН ПОДЗЕМ'!M23*СПРАВОЧНИК!$J$6+'ПЛАН ЧЕРН ПОДЗЕМ'!N23*СПРАВОЧНИК!$H$7+'ПЛАН ЧЕРН ПОДЗЕМ'!O23*СПРАВОЧНИК!$I$7+'ПЛАН ЧЕРН ПОДЗЕМ'!P23*СПРАВОЧНИК!$J$7+'ПЛАН ЧЕРН ПОДЗЕМ'!Q23*СПРАВОЧНИК!$H$8+'ПЛАН ЧЕРН ПОДЗЕМ'!R23*СПРАВОЧНИК!$I$8+'ПЛАН ЧЕРН ПОДЗЕМ'!S23*СПРАВОЧНИК!$J$8</f>
        <v/>
      </c>
      <c r="J32" s="31">
        <f>('ФАКТ ЧЕРН ПОДЗЕМ'!B23)*СПРАВОЧНИК!$H$3+('ФАКТ ЧЕРН ПОДЗЕМ'!C23)*СПРАВОЧНИК!$I$3+('ФАКТ ЧЕРН ПОДЗЕМ'!D23)*СПРАВОЧНИК!$J$3+('ФАКТ ЧЕРН ПОДЗЕМ'!E23)*СПРАВОЧНИК!$H$4+('ФАКТ ЧЕРН ПОДЗЕМ'!F23)*СПРАВОЧНИК!$I$4+('ФАКТ ЧЕРН ПОДЗЕМ'!G23)*СПРАВОЧНИК!$J$4+('ФАКТ ЧЕРН ПОДЗЕМ'!H23)*СПРАВОЧНИК!$H$5+('ФАКТ ЧЕРН ПОДЗЕМ'!I23)*СПРАВОЧНИК!$I$5+('ФАКТ ЧЕРН ПОДЗЕМ'!J23)*СПРАВОЧНИК!$J$5+('ФАКТ ЧЕРН ПОДЗЕМ'!K23)*СПРАВОЧНИК!$H$6+('ФАКТ ЧЕРН ПОДЗЕМ'!L23)*СПРАВОЧНИК!$I$6+('ФАКТ ЧЕРН ПОДЗЕМ'!M23)*СПРАВОЧНИК!$J$6+('ФАКТ ЧЕРН ПОДЗЕМ'!N23)*СПРАВОЧНИК!$H$7+('ФАКТ ЧЕРН ПОДЗЕМ'!O23)*СПРАВОЧНИК!$I$7+('ФАКТ ЧЕРН ПОДЗЕМ'!P23)*СПРАВОЧНИК!$J$7+('ФАКТ ЧЕРН ПОДЗЕМ'!Q23)*СПРАВОЧНИК!$H$8+('ФАКТ ЧЕРН ПОДЗЕМ'!R23)*СПРАВОЧНИК!$I$8+('ФАКТ ЧЕРН ПОДЗЕМ'!S23)*СПРАВОЧНИК!$J$8</f>
        <v/>
      </c>
      <c r="K32" s="34" t="n"/>
      <c r="N32" s="152">
        <f>N31+7</f>
        <v/>
      </c>
      <c r="O32" s="17">
        <f>'ПЛАН ЧИСТ ПОДЗЕМ'!B23*СПРАВОЧНИК!$L$3+'ПЛАН ЧИСТ ПОДЗЕМ'!C23*СПРАВОЧНИК!$M$3+'ПЛАН ЧИСТ ПОДЗЕМ'!D23*СПРАВОЧНИК!$N$3+'ПЛАН ЧИСТ ПОДЗЕМ'!E23*СПРАВОЧНИК!$O$3+'ПЛАН ЧИСТ ПОДЗЕМ'!F23*СПРАВОЧНИК!$P$3+'ПЛАН ЧИСТ ПОДЗЕМ'!G23*СПРАВОЧНИК!$L$4+'ПЛАН ЧИСТ ПОДЗЕМ'!H23*СПРАВОЧНИК!$M$4+'ПЛАН ЧИСТ ПОДЗЕМ'!I23*СПРАВОЧНИК!$N$4+'ПЛАН ЧИСТ ПОДЗЕМ'!J23*СПРАВОЧНИК!$O$4+'ПЛАН ЧИСТ ПОДЗЕМ'!K23*СПРАВОЧНИК!$P$4+'ПЛАН ЧИСТ ПОДЗЕМ'!L23*СПРАВОЧНИК!$L$5+'ПЛАН ЧИСТ ПОДЗЕМ'!M23*СПРАВОЧНИК!$M$5+'ПЛАН ЧИСТ ПОДЗЕМ'!N23*СПРАВОЧНИК!$N$5+'ПЛАН ЧИСТ ПОДЗЕМ'!O23*СПРАВОЧНИК!$O$5+'ПЛАН ЧИСТ ПОДЗЕМ'!P23*СПРАВОЧНИК!$P$5+'ПЛАН ЧИСТ ПОДЗЕМ'!Q23*СПРАВОЧНИК!$L$6+'ПЛАН ЧИСТ ПОДЗЕМ'!R23*СПРАВОЧНИК!$M$6+'ПЛАН ЧИСТ ПОДЗЕМ'!S23*СПРАВОЧНИК!$N$6+'ПЛАН ЧИСТ ПОДЗЕМ'!T23*СПРАВОЧНИК!$O$6+'ПЛАН ЧИСТ ПОДЗЕМ'!U23*СПРАВОЧНИК!$P$6+'ПЛАН ЧИСТ ПОДЗЕМ'!V23*СПРАВОЧНИК!$L$7+'ПЛАН ЧИСТ ПОДЗЕМ'!W23*СПРАВОЧНИК!$M$7+'ПЛАН ЧИСТ ПОДЗЕМ'!X23*СПРАВОЧНИК!$N$7+'ПЛАН ЧИСТ ПОДЗЕМ'!Y23*СПРАВОЧНИК!$O$7+'ПЛАН ЧИСТ ПОДЗЕМ'!Z23*СПРАВОЧНИК!$P$7+'ПЛАН ЧИСТ ПОДЗЕМ'!AA23*СПРАВОЧНИК!$L$8+'ПЛАН ЧИСТ ПОДЗЕМ'!AB23*СПРАВОЧНИК!$M$8+'ПЛАН ЧИСТ ПОДЗЕМ'!AC23*СПРАВОЧНИК!$N$8+'ПЛАН ЧИСТ ПОДЗЕМ'!AD23*СПРАВОЧНИК!$O$8+'ПЛАН ЧИСТ ПОДЗЕМ'!AE23*СПРАВОЧНИК!$P$8</f>
        <v/>
      </c>
      <c r="P32" s="31">
        <f>('ФАКТ ЧИСТ ПОДЗЕМ'!B23)*СПРАВОЧНИК!$L$3+('ФАКТ ЧИСТ ПОДЗЕМ'!C23)*СПРАВОЧНИК!$M$3+('ФАКТ ЧИСТ ПОДЗЕМ'!D23)*СПРАВОЧНИК!$N$3+('ФАКТ ЧИСТ ПОДЗЕМ'!E23)*СПРАВОЧНИК!$O$3+('ФАКТ ЧИСТ ПОДЗЕМ'!F23)*СПРАВОЧНИК!$P$3+('ФАКТ ЧИСТ ПОДЗЕМ'!G23)*СПРАВОЧНИК!$L$4+('ФАКТ ЧИСТ ПОДЗЕМ'!H23)*СПРАВОЧНИК!$M$4+('ФАКТ ЧИСТ ПОДЗЕМ'!I23)*СПРАВОЧНИК!$N$4+('ФАКТ ЧИСТ ПОДЗЕМ'!J23)*СПРАВОЧНИК!$O$4+('ФАКТ ЧИСТ ПОДЗЕМ'!K23)*СПРАВОЧНИК!$P$4+('ФАКТ ЧИСТ ПОДЗЕМ'!L23)*СПРАВОЧНИК!$L$5+('ФАКТ ЧИСТ ПОДЗЕМ'!M23)*СПРАВОЧНИК!$M$5+('ФАКТ ЧИСТ ПОДЗЕМ'!N23)*СПРАВОЧНИК!$N$5+('ФАКТ ЧИСТ ПОДЗЕМ'!O23)*СПРАВОЧНИК!$O$5+('ФАКТ ЧИСТ ПОДЗЕМ'!P23)*СПРАВОЧНИК!$P$5+('ФАКТ ЧИСТ ПОДЗЕМ'!Q23)*СПРАВОЧНИК!$L$6+('ФАКТ ЧИСТ ПОДЗЕМ'!R23)*СПРАВОЧНИК!$M$6+('ФАКТ ЧИСТ ПОДЗЕМ'!S23)*СПРАВОЧНИК!$N$6+('ФАКТ ЧИСТ ПОДЗЕМ'!T23)*СПРАВОЧНИК!$O$6+('ФАКТ ЧИСТ ПОДЗЕМ'!U23)*СПРАВОЧНИК!$P$6+('ФАКТ ЧИСТ ПОДЗЕМ'!V23)*СПРАВОЧНИК!$L$7+('ФАКТ ЧИСТ ПОДЗЕМ'!W23)*СПРАВОЧНИК!$M$7+('ФАКТ ЧИСТ ПОДЗЕМ'!X23)*СПРАВОЧНИК!$N$7+('ФАКТ ЧИСТ ПОДЗЕМ'!Y23)*СПРАВОЧНИК!$O$7+('ФАКТ ЧИСТ ПОДЗЕМ'!Z23)*СПРАВОЧНИК!$P$7+('ФАКТ ЧИСТ ПОДЗЕМ'!AA23)*СПРАВОЧНИК!$L$8+('ФАКТ ЧИСТ ПОДЗЕМ'!AB23)*СПРАВОЧНИК!$M$8+('ФАКТ ЧИСТ ПОДЗЕМ'!AC23)*СПРАВОЧНИК!$N$8+('ФАКТ ЧИСТ ПОДЗЕМ'!AD23)*СПРАВОЧНИК!$O$8+('ФАКТ ЧИСТ ПОДЗЕМ'!AE23)*СПРАВОЧНИК!$P$8</f>
        <v/>
      </c>
      <c r="Q32" s="34" t="n"/>
      <c r="T32" s="152">
        <f>T31+7</f>
        <v/>
      </c>
      <c r="U32" s="17">
        <f>СПРАВОЧНИК!$E$9*('ПЛАН ЧЕРН К1'!B23*СПРАВОЧНИК!$H$9+'ПЛАН ЧЕРН К1'!C23*СПРАВОЧНИК!$I$9+'ПЛАН ЧЕРН К1'!D23*СПРАВОЧНИК!$J$9)+СПРАВОЧНИК!$F$9*('ПЛАН ЧИСТ К1'!B23*СПРАВОЧНИК!$L$9+'ПЛАН ЧИСТ К1'!C23*СПРАВОЧНИК!$M$9+'ПЛАН ЧИСТ К1'!D23*СПРАВОЧНИК!$N$9+'ПЛАН ЧИСТ К1'!E23*СПРАВОЧНИК!$O$9+'ПЛАН ЧИСТ К1'!F23*СПРАВОЧНИК!$P$9)+СПРАВОЧНИК!$E$10*('ПЛАН ЧЕРН К1'!E23*СПРАВОЧНИК!$H$10+'ПЛАН ЧЕРН К1'!F23*СПРАВОЧНИК!$I$10+'ПЛАН ЧЕРН К1'!G23*СПРАВОЧНИК!$J$10)+СПРАВОЧНИК!$F$10*('ПЛАН ЧИСТ К1'!G23*СПРАВОЧНИК!$L$10+'ПЛАН ЧИСТ К1'!H23*СПРАВОЧНИК!$M$10+'ПЛАН ЧИСТ К1'!I23*СПРАВОЧНИК!$N$10+'ПЛАН ЧИСТ К1'!J23*СПРАВОЧНИК!$O$10+'ПЛАН ЧИСТ К1'!K23*СПРАВОЧНИК!$P$10)+СПРАВОЧНИК!$E$11*('ПЛАН ЧЕРН К1'!H23*СПРАВОЧНИК!$H$11+'ПЛАН ЧЕРН К1'!I23*СПРАВОЧНИК!$I$11+'ПЛАН ЧЕРН К1'!J23*СПРАВОЧНИК!$J$11)+СПРАВОЧНИК!$F$11*('ПЛАН ЧИСТ К1'!L23*СПРАВОЧНИК!$L$11+'ПЛАН ЧИСТ К1'!M23*СПРАВОЧНИК!$M$11+'ПЛАН ЧИСТ К1'!N23*СПРАВОЧНИК!$N$11+'ПЛАН ЧИСТ К1'!O23*СПРАВОЧНИК!$O$11+'ПЛАН ЧИСТ К1'!P23*СПРАВОЧНИК!$P$11)+СПРАВОЧНИК!$E$12*('ПЛАН ЧЕРН К1'!K23*СПРАВОЧНИК!$H$12+'ПЛАН ЧЕРН К1'!L23*СПРАВОЧНИК!$I$12+'ПЛАН ЧЕРН К1'!M23*СПРАВОЧНИК!$J$12)+СПРАВОЧНИК!$F$12*('ПЛАН ЧИСТ К1'!Q23*СПРАВОЧНИК!$L$12+'ПЛАН ЧИСТ К1'!R23*СПРАВОЧНИК!$M$12+'ПЛАН ЧИСТ К1'!S23*СПРАВОЧНИК!$N$12+'ПЛАН ЧИСТ К1'!T23*СПРАВОЧНИК!$O$12+'ПЛАН ЧИСТ К1'!U23*СПРАВОЧНИК!$P$12)+СПРАВОЧНИК!$E$13*('ПЛАН ЧЕРН К1'!N23*СПРАВОЧНИК!$H$13+'ПЛАН ЧЕРН К1'!O23*СПРАВОЧНИК!$I$13+'ПЛАН ЧЕРН К1'!P23*СПРАВОЧНИК!$J$13)+СПРАВОЧНИК!$F$13*('ПЛАН ЧИСТ К1'!V23*СПРАВОЧНИК!$L$13+'ПЛАН ЧИСТ К1'!W23*СПРАВОЧНИК!$M$13+'ПЛАН ЧИСТ К1'!X23*СПРАВОЧНИК!$N$13+'ПЛАН ЧИСТ К1'!Y23*СПРАВОЧНИК!$O$13+'ПЛАН ЧИСТ К1'!Z23*СПРАВОЧНИК!$P$13)+СПРАВОЧНИК!$E$14*('ПЛАН ЧЕРН К1'!Q23*СПРАВОЧНИК!$H$14+'ПЛАН ЧЕРН К1'!R23*СПРАВОЧНИК!$I$14+'ПЛАН ЧЕРН К1'!S23*СПРАВОЧНИК!$J$14)+СПРАВОЧНИК!$F$14*('ПЛАН ЧИСТ К1'!AA23*СПРАВОЧНИК!$L$14+'ПЛАН ЧИСТ К1'!AB23*СПРАВОЧНИК!$M$14+'ПЛАН ЧИСТ К1'!AC23*СПРАВОЧНИК!$N$14+'ПЛАН ЧИСТ К1'!AD23*СПРАВОЧНИК!$O$14+'ПЛАН ЧИСТ К1'!AE23*СПРАВОЧНИК!$P$14)+СПРАВОЧНИК!$E$15*('ПЛАН ЧЕРН К1'!T23*СПРАВОЧНИК!$H$15+'ПЛАН ЧЕРН К1'!U23*СПРАВОЧНИК!$I$15+'ПЛАН ЧЕРН К1'!V23*СПРАВОЧНИК!$J$15)+СПРАВОЧНИК!$F$15*('ПЛАН ЧИСТ К1'!AF23*СПРАВОЧНИК!$L$15+'ПЛАН ЧИСТ К1'!AG23*СПРАВОЧНИК!$M$15+'ПЛАН ЧИСТ К1'!AH23*СПРАВОЧНИК!$N$15+'ПЛАН ЧИСТ К1'!AI23*СПРАВОЧНИК!$O$15+'ПЛАН ЧИСТ К1'!AJ23*СПРАВОЧНИК!$P$15)</f>
        <v/>
      </c>
      <c r="V32" s="31">
        <f>СПРАВОЧНИК!$E$9*('ФАКТ ЧЕРН К1'!B23*СПРАВОЧНИК!$H$9+'ФАКТ ЧЕРН К1'!C23*СПРАВОЧНИК!$I$9+'ФАКТ ЧЕРН К1'!D23*СПРАВОЧНИК!$J$9)+СПРАВОЧНИК!$F$9*('ФАКТ ЧИСТ К1'!B23*СПРАВОЧНИК!$L$9+'ФАКТ ЧИСТ К1'!C23*СПРАВОЧНИК!$M$9+'ФАКТ ЧИСТ К1'!D23*СПРАВОЧНИК!$N$9+'ФАКТ ЧИСТ К1'!E23*СПРАВОЧНИК!$O$9+'ФАКТ ЧИСТ К1'!F23*СПРАВОЧНИК!$P$9)+СПРАВОЧНИК!$E$10*('ФАКТ ЧЕРН К1'!E23*СПРАВОЧНИК!$H$10+'ФАКТ ЧЕРН К1'!F23*СПРАВОЧНИК!$I$10+'ФАКТ ЧЕРН К1'!G23*СПРАВОЧНИК!$J$10)+СПРАВОЧНИК!$F$10*('ФАКТ ЧИСТ К1'!G23*СПРАВОЧНИК!$L$10+'ФАКТ ЧИСТ К1'!H23*СПРАВОЧНИК!$M$10+'ФАКТ ЧИСТ К1'!I23*СПРАВОЧНИК!$N$10+'ФАКТ ЧИСТ К1'!J23*СПРАВОЧНИК!$O$10+'ФАКТ ЧИСТ К1'!K23*СПРАВОЧНИК!$P$10)+СПРАВОЧНИК!$E$11*('ФАКТ ЧЕРН К1'!H23*СПРАВОЧНИК!$H$11+'ФАКТ ЧЕРН К1'!I23*СПРАВОЧНИК!$I$11+'ФАКТ ЧЕРН К1'!J23*СПРАВОЧНИК!$J$11)+СПРАВОЧНИК!$F$11*('ФАКТ ЧИСТ К1'!L23*СПРАВОЧНИК!$L$11+'ФАКТ ЧИСТ К1'!M23*СПРАВОЧНИК!$M$11+'ФАКТ ЧИСТ К1'!N23*СПРАВОЧНИК!$N$11+'ФАКТ ЧИСТ К1'!O23*СПРАВОЧНИК!$O$11+'ФАКТ ЧИСТ К1'!P23*СПРАВОЧНИК!$P$11)+СПРАВОЧНИК!$E$12*('ФАКТ ЧЕРН К1'!K23*СПРАВОЧНИК!$H$12+'ФАКТ ЧЕРН К1'!L23*СПРАВОЧНИК!$I$12+'ФАКТ ЧЕРН К1'!M23*СПРАВОЧНИК!$J$12)+СПРАВОЧНИК!$F$12*('ФАКТ ЧИСТ К1'!Q23*СПРАВОЧНИК!$L$12+'ФАКТ ЧИСТ К1'!R23*СПРАВОЧНИК!$M$12+'ФАКТ ЧИСТ К1'!S23*СПРАВОЧНИК!$N$12+'ФАКТ ЧИСТ К1'!T23*СПРАВОЧНИК!$O$12+'ФАКТ ЧИСТ К1'!U23*СПРАВОЧНИК!$P$12)+СПРАВОЧНИК!$E$13*('ФАКТ ЧЕРН К1'!N23*СПРАВОЧНИК!$H$13+'ФАКТ ЧЕРН К1'!O23*СПРАВОЧНИК!$I$13+'ФАКТ ЧЕРН К1'!P23*СПРАВОЧНИК!$J$13)+СПРАВОЧНИК!$F$13*('ФАКТ ЧИСТ К1'!V23*СПРАВОЧНИК!$L$13+'ФАКТ ЧИСТ К1'!W23*СПРАВОЧНИК!$M$13+'ФАКТ ЧИСТ К1'!X23*СПРАВОЧНИК!$N$13+'ФАКТ ЧИСТ К1'!Y23*СПРАВОЧНИК!$O$13+'ФАКТ ЧИСТ К1'!Z23*СПРАВОЧНИК!$P$13)+СПРАВОЧНИК!$E$14*('ФАКТ ЧЕРН К1'!Q23*СПРАВОЧНИК!$H$14+'ФАКТ ЧЕРН К1'!R23*СПРАВОЧНИК!$I$14+'ФАКТ ЧЕРН К1'!S23*СПРАВОЧНИК!$J$14)+СПРАВОЧНИК!$F$14*('ФАКТ ЧИСТ К1'!AA23*СПРАВОЧНИК!$L$14+'ФАКТ ЧИСТ К1'!AB23*СПРАВОЧНИК!$M$14+'ФАКТ ЧИСТ К1'!AC23*СПРАВОЧНИК!$N$14+'ФАКТ ЧИСТ К1'!AD23*СПРАВОЧНИК!$O$14+'ФАКТ ЧИСТ К1'!AE23*СПРАВОЧНИК!$P$14)+СПРАВОЧНИК!$E$15*('ФАКТ ЧЕРН К1'!T23*СПРАВОЧНИК!$H$15+'ФАКТ ЧЕРН К1'!U23*СПРАВОЧНИК!$I$15+'ФАКТ ЧЕРН К1'!V23*СПРАВОЧНИК!$J$15)+СПРАВОЧНИК!$F$15*('ФАКТ ЧИСТ К1'!AF23*СПРАВОЧНИК!$L$15+'ФАКТ ЧИСТ К1'!AG23*СПРАВОЧНИК!$M$15+'ФАКТ ЧИСТ К1'!AH23*СПРАВОЧНИК!$N$15+'ФАКТ ЧИСТ К1'!AI23*СПРАВОЧНИК!$O$15+'ФАКТ ЧИСТ К1'!AJ23*СПРАВОЧНИК!$P$15)</f>
        <v/>
      </c>
      <c r="W32" s="34" t="n"/>
      <c r="Z32" s="152">
        <f>Z31+7</f>
        <v/>
      </c>
      <c r="AA32" s="17">
        <f>'ПЛАН ЧЕРН К1'!B23*СПРАВОЧНИК!$H$9+'ПЛАН ЧЕРН К1'!C23*СПРАВОЧНИК!$I$9+'ПЛАН ЧЕРН К1'!D23*СПРАВОЧНИК!$J$9+'ПЛАН ЧЕРН К1'!E23*СПРАВОЧНИК!$H$10+'ПЛАН ЧЕРН К1'!F23*СПРАВОЧНИК!$I$10+'ПЛАН ЧЕРН К1'!G23*СПРАВОЧНИК!$J$10+'ПЛАН ЧЕРН К1'!H23*СПРАВОЧНИК!$H$11+'ПЛАН ЧЕРН К1'!I23*СПРАВОЧНИК!$I$11+'ПЛАН ЧЕРН К1'!J23*СПРАВОЧНИК!$J$11+'ПЛАН ЧЕРН К1'!K23*СПРАВОЧНИК!$H$12+'ПЛАН ЧЕРН К1'!L23*СПРАВОЧНИК!$I$12+'ПЛАН ЧЕРН К1'!M23*СПРАВОЧНИК!$J$12+'ПЛАН ЧЕРН К1'!N23*СПРАВОЧНИК!$H$13+'ПЛАН ЧЕРН К1'!O23*СПРАВОЧНИК!$I$13+'ПЛАН ЧЕРН К1'!P23*СПРАВОЧНИК!$J$13+'ПЛАН ЧЕРН К1'!Q23*СПРАВОЧНИК!$H$14+'ПЛАН ЧЕРН К1'!R23*СПРАВОЧНИК!$I$14+'ПЛАН ЧЕРН К1'!S23*СПРАВОЧНИК!$J$14+'ПЛАН ЧЕРН К1'!T23*СПРАВОЧНИК!$H$15+'ПЛАН ЧЕРН К1'!U23*СПРАВОЧНИК!$I$15+'ПЛАН ЧЕРН К1'!V23*СПРАВОЧНИК!$J$15</f>
        <v/>
      </c>
      <c r="AB32" s="31">
        <f>('ФАКТ ЧЕРН К1'!B23)*СПРАВОЧНИК!$H$9+('ФАКТ ЧЕРН К1'!C23)*СПРАВОЧНИК!$I$9+('ФАКТ ЧЕРН К1'!D23)*СПРАВОЧНИК!$J$9+('ФАКТ ЧЕРН К1'!E23)*СПРАВОЧНИК!$H$10+('ФАКТ ЧЕРН К1'!F23)*СПРАВОЧНИК!$I$10+('ФАКТ ЧЕРН К1'!G23)*СПРАВОЧНИК!$J$10+('ФАКТ ЧЕРН К1'!H23)*СПРАВОЧНИК!$H$11+('ФАКТ ЧЕРН К1'!I23)*СПРАВОЧНИК!$I$11+('ФАКТ ЧЕРН К1'!J23)*СПРАВОЧНИК!$J$11+('ФАКТ ЧЕРН К1'!K23)*СПРАВОЧНИК!$H$12+('ФАКТ ЧЕРН К1'!L23)*СПРАВОЧНИК!$I$12+('ФАКТ ЧЕРН К1'!M23)*СПРАВОЧНИК!$J$12+('ФАКТ ЧЕРН К1'!N23)*СПРАВОЧНИК!$H$13+('ФАКТ ЧЕРН К1'!O23)*СПРАВОЧНИК!$I$13+('ФАКТ ЧЕРН К1'!P23)*СПРАВОЧНИК!$J$13+('ФАКТ ЧЕРН К1'!Q23)*СПРАВОЧНИК!$H$14+('ФАКТ ЧЕРН К1'!R23)*СПРАВОЧНИК!$I$14+('ФАКТ ЧЕРН К1'!S23)*СПРАВОЧНИК!$J$14+('ФАКТ ЧЕРН К1'!T23)*СПРАВОЧНИК!$H$15+('ФАКТ ЧЕРН К1'!U23)*СПРАВОЧНИК!$I$15+('ФАКТ ЧЕРН К1'!V23)*СПРАВОЧНИК!$J$15</f>
        <v/>
      </c>
      <c r="AC32" s="34" t="n"/>
      <c r="AF32" s="152">
        <f>AF31+7</f>
        <v/>
      </c>
      <c r="AG32" s="17">
        <f>'ПЛАН ЧИСТ К1'!B23*СПРАВОЧНИК!$L$9+'ПЛАН ЧИСТ К1'!C23*СПРАВОЧНИК!$M$9+'ПЛАН ЧИСТ К1'!D23*СПРАВОЧНИК!$N$9+'ПЛАН ЧИСТ К1'!E23*СПРАВОЧНИК!$O$9+'ПЛАН ЧИСТ К1'!F23*СПРАВОЧНИК!$P$9+'ПЛАН ЧИСТ К1'!G23*СПРАВОЧНИК!$L$10+'ПЛАН ЧИСТ К1'!H23*СПРАВОЧНИК!$M$10+'ПЛАН ЧИСТ К1'!I23*СПРАВОЧНИК!$N$10+'ПЛАН ЧИСТ К1'!J23*СПРАВОЧНИК!$O$10+'ПЛАН ЧИСТ К1'!K23*СПРАВОЧНИК!$P$10+'ПЛАН ЧИСТ К1'!L23*СПРАВОЧНИК!$L$11+'ПЛАН ЧИСТ К1'!M23*СПРАВОЧНИК!$M$11+'ПЛАН ЧИСТ К1'!N23*СПРАВОЧНИК!$N$11+'ПЛАН ЧИСТ К1'!O23*СПРАВОЧНИК!$O$11+'ПЛАН ЧИСТ К1'!P23*СПРАВОЧНИК!$P$11+'ПЛАН ЧИСТ К1'!Q23*СПРАВОЧНИК!$L$12+'ПЛАН ЧИСТ К1'!R23*СПРАВОЧНИК!$M$12+'ПЛАН ЧИСТ К1'!S23*СПРАВОЧНИК!$N$12+'ПЛАН ЧИСТ К1'!T23*СПРАВОЧНИК!$O$12+'ПЛАН ЧИСТ К1'!U23*СПРАВОЧНИК!$P$12+'ПЛАН ЧИСТ К1'!V23*СПРАВОЧНИК!$L$13+'ПЛАН ЧИСТ К1'!W23*СПРАВОЧНИК!$M$13+'ПЛАН ЧИСТ К1'!X23*СПРАВОЧНИК!$N$13+'ПЛАН ЧИСТ К1'!Y23*СПРАВОЧНИК!$O$13+'ПЛАН ЧИСТ К1'!Z23*СПРАВОЧНИК!$P$13+'ПЛАН ЧИСТ К1'!AA23*СПРАВОЧНИК!$L$14+'ПЛАН ЧИСТ К1'!AB23*СПРАВОЧНИК!$M$14+'ПЛАН ЧИСТ К1'!AC23*СПРАВОЧНИК!$N$14+'ПЛАН ЧИСТ К1'!AD23*СПРАВОЧНИК!$O$14+'ПЛАН ЧИСТ К1'!AE23*СПРАВОЧНИК!$P$14+'ПЛАН ЧИСТ К1'!AF23*СПРАВОЧНИК!$L$15+'ПЛАН ЧИСТ К1'!AG23*СПРАВОЧНИК!$M$15+'ПЛАН ЧИСТ К1'!AH23*СПРАВОЧНИК!$N$15+'ПЛАН ЧИСТ К1'!AI23*СПРАВОЧНИК!$O$15+'ПЛАН ЧИСТ К1'!AJ23*СПРАВОЧНИК!$P$15</f>
        <v/>
      </c>
      <c r="AH32" s="31">
        <f>('ФАКТ ЧИСТ К1'!B23)*СПРАВОЧНИК!$L$9+('ФАКТ ЧИСТ К1'!C23)*СПРАВОЧНИК!$M$9+('ФАКТ ЧИСТ К1'!D23)*СПРАВОЧНИК!$N$9+('ФАКТ ЧИСТ К1'!E23)*СПРАВОЧНИК!$O$9+('ФАКТ ЧИСТ К1'!F23)*СПРАВОЧНИК!$P$9+('ФАКТ ЧИСТ К1'!G23)*СПРАВОЧНИК!$L$10+('ФАКТ ЧИСТ К1'!H23)*СПРАВОЧНИК!$M$10+('ФАКТ ЧИСТ К1'!I23)*СПРАВОЧНИК!$N$10+('ФАКТ ЧИСТ К1'!J23)*СПРАВОЧНИК!$O$10+('ФАКТ ЧИСТ К1'!K23)*СПРАВОЧНИК!$P$10+('ФАКТ ЧИСТ К1'!L23)*СПРАВОЧНИК!$L$11+('ФАКТ ЧИСТ К1'!M23)*СПРАВОЧНИК!$M$11+('ФАКТ ЧИСТ К1'!N23)*СПРАВОЧНИК!$N$11+('ФАКТ ЧИСТ К1'!O23)*СПРАВОЧНИК!$O$11+('ФАКТ ЧИСТ К1'!P23)*СПРАВОЧНИК!$P$11+('ФАКТ ЧИСТ К1'!Q23)*СПРАВОЧНИК!$L$12+('ФАКТ ЧИСТ К1'!R23)*СПРАВОЧНИК!$M$12+('ФАКТ ЧИСТ К1'!S23)*СПРАВОЧНИК!$N$12+('ФАКТ ЧИСТ К1'!T23)*СПРАВОЧНИК!$O$12+('ФАКТ ЧИСТ К1'!U23)*СПРАВОЧНИК!$P$12+('ФАКТ ЧИСТ К1'!V23)*СПРАВОЧНИК!$L$13+('ФАКТ ЧИСТ К1'!W23)*СПРАВОЧНИК!$M$13+('ФАКТ ЧИСТ К1'!X23)*СПРАВОЧНИК!$N$13+('ФАКТ ЧИСТ К1'!Y23)*СПРАВОЧНИК!$O$13+('ФАКТ ЧИСТ К1'!Z23)*СПРАВОЧНИК!$P$13+('ФАКТ ЧИСТ К1'!AA23)*СПРАВОЧНИК!$L$14+('ФАКТ ЧИСТ К1'!AB23)*СПРАВОЧНИК!$M$14+('ФАКТ ЧИСТ К1'!AC23)*СПРАВОЧНИК!$N$14+('ФАКТ ЧИСТ К1'!AD23)*СПРАВОЧНИК!$O$14+('ФАКТ ЧИСТ К1'!AE23)*СПРАВОЧНИК!$P$14+('ФАКТ ЧИСТ К1'!AF23)*СПРАВОЧНИК!$L$15+('ФАКТ ЧИСТ К1'!AG23)*СПРАВОЧНИК!$M$15+('ФАКТ ЧИСТ К1'!AH23)*СПРАВОЧНИК!$N$15+('ФАКТ ЧИСТ К1'!AI23)*СПРАВОЧНИК!$O$15+('ФАКТ ЧИСТ К1'!AJ23)*СПРАВОЧНИК!$P$15</f>
        <v/>
      </c>
      <c r="AI32" s="34" t="n"/>
      <c r="AL32" s="152">
        <f>AL31+7</f>
        <v/>
      </c>
      <c r="AM32" s="17">
        <f>СПРАВОЧНИК!$E$9*('ПЛАН ЧЕРН К2'!B23*СПРАВОЧНИК!$H$9+'ПЛАН ЧЕРН К2'!C23*СПРАВОЧНИК!$I$9+'ПЛАН ЧЕРН К2'!D23*СПРАВОЧНИК!$J$9)+СПРАВОЧНИК!$F$9*('ПЛАН ЧИСТ К2'!B23*СПРАВОЧНИК!$L$9+'ПЛАН ЧИСТ К2'!C23*СПРАВОЧНИК!$M$9+'ПЛАН ЧИСТ К2'!D23*СПРАВОЧНИК!$N$9+'ПЛАН ЧИСТ К2'!E23*СПРАВОЧНИК!$O$9+'ПЛАН ЧИСТ К2'!F23*СПРАВОЧНИК!$P$9)+СПРАВОЧНИК!$E$10*('ПЛАН ЧЕРН К2'!E23*СПРАВОЧНИК!$H$10+'ПЛАН ЧЕРН К2'!F23*СПРАВОЧНИК!$I$10+'ПЛАН ЧЕРН К2'!G23*СПРАВОЧНИК!$J$10)+СПРАВОЧНИК!$F$10*('ПЛАН ЧИСТ К2'!G23*СПРАВОЧНИК!$L$10+'ПЛАН ЧИСТ К2'!H23*СПРАВОЧНИК!$M$10+'ПЛАН ЧИСТ К2'!I23*СПРАВОЧНИК!$N$10+'ПЛАН ЧИСТ К2'!J23*СПРАВОЧНИК!$O$10+'ПЛАН ЧИСТ К2'!K23*СПРАВОЧНИК!$P$10)+СПРАВОЧНИК!$E$11*('ПЛАН ЧЕРН К2'!H23*СПРАВОЧНИК!$H$11+'ПЛАН ЧЕРН К2'!I23*СПРАВОЧНИК!$I$11+'ПЛАН ЧЕРН К2'!J23*СПРАВОЧНИК!$J$11)+СПРАВОЧНИК!$F$11*('ПЛАН ЧИСТ К2'!L23*СПРАВОЧНИК!$L$11+'ПЛАН ЧИСТ К2'!M23*СПРАВОЧНИК!$M$11+'ПЛАН ЧИСТ К2'!N23*СПРАВОЧНИК!$N$11+'ПЛАН ЧИСТ К2'!O23*СПРАВОЧНИК!$O$11+'ПЛАН ЧИСТ К2'!P23*СПРАВОЧНИК!$P$11)+СПРАВОЧНИК!$E$12*('ПЛАН ЧЕРН К2'!K23*СПРАВОЧНИК!$H$12+'ПЛАН ЧЕРН К2'!L23*СПРАВОЧНИК!$I$12+'ПЛАН ЧЕРН К2'!M23*СПРАВОЧНИК!$J$12)+СПРАВОЧНИК!$F$12*('ПЛАН ЧИСТ К2'!Q23*СПРАВОЧНИК!$L$12+'ПЛАН ЧИСТ К2'!R23*СПРАВОЧНИК!$M$12+'ПЛАН ЧИСТ К2'!S23*СПРАВОЧНИК!$N$12+'ПЛАН ЧИСТ К2'!T23*СПРАВОЧНИК!$O$12+'ПЛАН ЧИСТ К2'!U23*СПРАВОЧНИК!$P$12)+СПРАВОЧНИК!$E$13*('ПЛАН ЧЕРН К2'!N23*СПРАВОЧНИК!$H$13+'ПЛАН ЧЕРН К2'!O23*СПРАВОЧНИК!$I$13+'ПЛАН ЧЕРН К2'!P23*СПРАВОЧНИК!$J$13)+СПРАВОЧНИК!$F$13*('ПЛАН ЧИСТ К2'!V23*СПРАВОЧНИК!$L$13+'ПЛАН ЧИСТ К2'!W23*СПРАВОЧНИК!$M$13+'ПЛАН ЧИСТ К2'!X23*СПРАВОЧНИК!$N$13+'ПЛАН ЧИСТ К2'!Y23*СПРАВОЧНИК!$O$13+'ПЛАН ЧИСТ К2'!Z23*СПРАВОЧНИК!$P$13)+СПРАВОЧНИК!$E$14*('ПЛАН ЧЕРН К2'!Q23*СПРАВОЧНИК!$H$14+'ПЛАН ЧЕРН К2'!R23*СПРАВОЧНИК!$I$14+'ПЛАН ЧЕРН К2'!S23*СПРАВОЧНИК!$J$14)+СПРАВОЧНИК!$F$14*('ПЛАН ЧИСТ К2'!AA23*СПРАВОЧНИК!$L$14+'ПЛАН ЧИСТ К2'!AB23*СПРАВОЧНИК!$M$14+'ПЛАН ЧИСТ К2'!AC23*СПРАВОЧНИК!$N$14+'ПЛАН ЧИСТ К2'!AD23*СПРАВОЧНИК!$O$14+'ПЛАН ЧИСТ К2'!AE23*СПРАВОЧНИК!$P$14)+СПРАВОЧНИК!$E$15*('ПЛАН ЧЕРН К2'!T23*СПРАВОЧНИК!$H$15+'ПЛАН ЧЕРН К2'!U23*СПРАВОЧНИК!$I$15+'ПЛАН ЧЕРН К2'!V23*СПРАВОЧНИК!$J$15)+СПРАВОЧНИК!$F$15*('ПЛАН ЧИСТ К2'!AF23*СПРАВОЧНИК!$L$15+'ПЛАН ЧИСТ К2'!AG23*СПРАВОЧНИК!$M$15+'ПЛАН ЧИСТ К2'!AH23*СПРАВОЧНИК!$N$15+'ПЛАН ЧИСТ К2'!AI23*СПРАВОЧНИК!$O$15+'ПЛАН ЧИСТ К2'!AJ23*СПРАВОЧНИК!$P$15)</f>
        <v/>
      </c>
      <c r="AN32" s="31">
        <f>СПРАВОЧНИК!$E$9*('ФАКТ ЧЕРН К2'!B23*СПРАВОЧНИК!$H$9+'ФАКТ ЧЕРН К2'!C23*СПРАВОЧНИК!$I$9+'ФАКТ ЧЕРН К2'!D23*СПРАВОЧНИК!$J$9)+СПРАВОЧНИК!$F$9*('ФАКТ ЧИСТ К2'!B23*СПРАВОЧНИК!$L$9+'ФАКТ ЧИСТ К2'!C23*СПРАВОЧНИК!$M$9+'ФАКТ ЧИСТ К2'!D23*СПРАВОЧНИК!$N$9+'ФАКТ ЧИСТ К2'!E23*СПРАВОЧНИК!$O$9+'ФАКТ ЧИСТ К2'!F23*СПРАВОЧНИК!$P$9)+СПРАВОЧНИК!$E$10*('ФАКТ ЧЕРН К2'!E23*СПРАВОЧНИК!$H$10+'ФАКТ ЧЕРН К2'!F23*СПРАВОЧНИК!$I$10+'ФАКТ ЧЕРН К2'!G23*СПРАВОЧНИК!$J$10)+СПРАВОЧНИК!$F$10*('ФАКТ ЧИСТ К2'!G23*СПРАВОЧНИК!$L$10+'ФАКТ ЧИСТ К2'!H23*СПРАВОЧНИК!$M$10+'ФАКТ ЧИСТ К2'!I23*СПРАВОЧНИК!$N$10+'ФАКТ ЧИСТ К2'!J23*СПРАВОЧНИК!$O$10+'ФАКТ ЧИСТ К2'!K23*СПРАВОЧНИК!$P$10)+СПРАВОЧНИК!$E$11*('ФАКТ ЧЕРН К2'!H23*СПРАВОЧНИК!$H$11+'ФАКТ ЧЕРН К2'!I23*СПРАВОЧНИК!$I$11+'ФАКТ ЧЕРН К2'!J23*СПРАВОЧНИК!$J$11)+СПРАВОЧНИК!$F$11*('ФАКТ ЧИСТ К2'!L23*СПРАВОЧНИК!$L$11+'ФАКТ ЧИСТ К2'!M23*СПРАВОЧНИК!$M$11+'ФАКТ ЧИСТ К2'!N23*СПРАВОЧНИК!$N$11+'ФАКТ ЧИСТ К2'!O23*СПРАВОЧНИК!$O$11+'ФАКТ ЧИСТ К2'!P23*СПРАВОЧНИК!$P$11)+СПРАВОЧНИК!$E$12*('ФАКТ ЧЕРН К2'!K23*СПРАВОЧНИК!$H$12+'ФАКТ ЧЕРН К2'!L23*СПРАВОЧНИК!$I$12+'ФАКТ ЧЕРН К2'!M23*СПРАВОЧНИК!$J$12)+СПРАВОЧНИК!$F$12*('ФАКТ ЧИСТ К2'!Q23*СПРАВОЧНИК!$L$12+'ФАКТ ЧИСТ К2'!R23*СПРАВОЧНИК!$M$12+'ФАКТ ЧИСТ К2'!S23*СПРАВОЧНИК!$N$12+'ФАКТ ЧИСТ К2'!T23*СПРАВОЧНИК!$O$12+'ФАКТ ЧИСТ К2'!U23*СПРАВОЧНИК!$P$12)+СПРАВОЧНИК!$E$13*('ФАКТ ЧЕРН К2'!N23*СПРАВОЧНИК!$H$13+'ФАКТ ЧЕРН К2'!O23*СПРАВОЧНИК!$I$13+'ФАКТ ЧЕРН К2'!P23*СПРАВОЧНИК!$J$13)+СПРАВОЧНИК!$F$13*('ФАКТ ЧИСТ К2'!V23*СПРАВОЧНИК!$L$13+'ФАКТ ЧИСТ К2'!W23*СПРАВОЧНИК!$M$13+'ФАКТ ЧИСТ К2'!X23*СПРАВОЧНИК!$N$13+'ФАКТ ЧИСТ К2'!Y23*СПРАВОЧНИК!$O$13+'ФАКТ ЧИСТ К2'!Z23*СПРАВОЧНИК!$P$13)+СПРАВОЧНИК!$E$14*('ФАКТ ЧЕРН К2'!Q23*СПРАВОЧНИК!$H$14+'ФАКТ ЧЕРН К2'!R23*СПРАВОЧНИК!$I$14+'ФАКТ ЧЕРН К2'!S23*СПРАВОЧНИК!$J$14)+СПРАВОЧНИК!$F$14*('ФАКТ ЧИСТ К2'!AA23*СПРАВОЧНИК!$L$14+'ФАКТ ЧИСТ К2'!AB23*СПРАВОЧНИК!$M$14+'ФАКТ ЧИСТ К2'!AC23*СПРАВОЧНИК!$N$14+'ФАКТ ЧИСТ К2'!AD23*СПРАВОЧНИК!$O$14+'ФАКТ ЧИСТ К2'!AE23*СПРАВОЧНИК!$P$14)+СПРАВОЧНИК!$E$15*('ФАКТ ЧЕРН К2'!T23*СПРАВОЧНИК!$H$15+'ФАКТ ЧЕРН К2'!U23*СПРАВОЧНИК!$I$15+'ФАКТ ЧЕРН К2'!V23*СПРАВОЧНИК!$J$15)+СПРАВОЧНИК!$F$15*('ФАКТ ЧИСТ К2'!AF23*СПРАВОЧНИК!$L$15+'ФАКТ ЧИСТ К2'!AG23*СПРАВОЧНИК!$M$15+'ФАКТ ЧИСТ К2'!AH23*СПРАВОЧНИК!$N$15+'ФАКТ ЧИСТ К2'!AI23*СПРАВОЧНИК!$O$15+'ФАКТ ЧИСТ К2'!AJ23*СПРАВОЧНИК!$P$15)</f>
        <v/>
      </c>
      <c r="AO32" s="34" t="n"/>
      <c r="AR32" s="152">
        <f>AR31+7</f>
        <v/>
      </c>
      <c r="AS32" s="17">
        <f>'ПЛАН ЧЕРН К2'!B23*СПРАВОЧНИК!$H$9+'ПЛАН ЧЕРН К2'!C23*СПРАВОЧНИК!$I$9+'ПЛАН ЧЕРН К2'!D23*СПРАВОЧНИК!$J$9+'ПЛАН ЧЕРН К2'!E23*СПРАВОЧНИК!$H$10+'ПЛАН ЧЕРН К2'!F23*СПРАВОЧНИК!$I$10+'ПЛАН ЧЕРН К2'!G23*СПРАВОЧНИК!$J$10+'ПЛАН ЧЕРН К2'!H23*СПРАВОЧНИК!$H$11+'ПЛАН ЧЕРН К2'!I23*СПРАВОЧНИК!$I$11+'ПЛАН ЧЕРН К2'!J23*СПРАВОЧНИК!$J$11+'ПЛАН ЧЕРН К2'!K23*СПРАВОЧНИК!$H$12+'ПЛАН ЧЕРН К2'!L23*СПРАВОЧНИК!$I$12+'ПЛАН ЧЕРН К2'!M23*СПРАВОЧНИК!$J$12+'ПЛАН ЧЕРН К2'!N23*СПРАВОЧНИК!$H$13+'ПЛАН ЧЕРН К2'!O23*СПРАВОЧНИК!$I$13+'ПЛАН ЧЕРН К2'!P23*СПРАВОЧНИК!$J$13+'ПЛАН ЧЕРН К2'!Q23*СПРАВОЧНИК!$H$14+'ПЛАН ЧЕРН К2'!R23*СПРАВОЧНИК!$I$14+'ПЛАН ЧЕРН К2'!S23*СПРАВОЧНИК!$J$14+'ПЛАН ЧЕРН К2'!T23*СПРАВОЧНИК!$H$15+'ПЛАН ЧЕРН К2'!U23*СПРАВОЧНИК!$I$15+'ПЛАН ЧЕРН К2'!V23*СПРАВОЧНИК!$J$15</f>
        <v/>
      </c>
      <c r="AT32" s="31">
        <f>('ФАКТ ЧЕРН К2'!B23)*СПРАВОЧНИК!$H$9+('ФАКТ ЧЕРН К2'!C23)*СПРАВОЧНИК!$I$9+('ФАКТ ЧЕРН К2'!D23)*СПРАВОЧНИК!$J$9+('ФАКТ ЧЕРН К2'!E23)*СПРАВОЧНИК!$H$10+('ФАКТ ЧЕРН К2'!F23)*СПРАВОЧНИК!$I$10+('ФАКТ ЧЕРН К2'!G23)*СПРАВОЧНИК!$J$10+('ФАКТ ЧЕРН К2'!H23)*СПРАВОЧНИК!$H$11+('ФАКТ ЧЕРН К2'!I23)*СПРАВОЧНИК!$I$11+('ФАКТ ЧЕРН К2'!J23)*СПРАВОЧНИК!$J$11+('ФАКТ ЧЕРН К2'!K23)*СПРАВОЧНИК!$H$12+('ФАКТ ЧЕРН К2'!L23)*СПРАВОЧНИК!$I$12+('ФАКТ ЧЕРН К2'!M23)*СПРАВОЧНИК!$J$12+('ФАКТ ЧЕРН К2'!N23)*СПРАВОЧНИК!$H$13+('ФАКТ ЧЕРН К2'!O23)*СПРАВОЧНИК!$I$13+('ФАКТ ЧЕРН К2'!P23)*СПРАВОЧНИК!$J$13+('ФАКТ ЧЕРН К2'!Q23)*СПРАВОЧНИК!$H$14+('ФАКТ ЧЕРН К2'!R23)*СПРАВОЧНИК!$I$14+('ФАКТ ЧЕРН К2'!S23)*СПРАВОЧНИК!$J$14+('ФАКТ ЧЕРН К2'!T23)*СПРАВОЧНИК!$H$15+('ФАКТ ЧЕРН К2'!U23)*СПРАВОЧНИК!$I$15+('ФАКТ ЧЕРН К2'!V23)*СПРАВОЧНИК!$J$15</f>
        <v/>
      </c>
      <c r="AU32" s="34" t="n"/>
      <c r="AX32" s="152">
        <f>AX31+7</f>
        <v/>
      </c>
      <c r="AY32" s="17">
        <f>'ПЛАН ЧИСТ К2'!B23*СПРАВОЧНИК!$L$9+'ПЛАН ЧИСТ К2'!C23*СПРАВОЧНИК!$M$9+'ПЛАН ЧИСТ К2'!D23*СПРАВОЧНИК!$N$9+'ПЛАН ЧИСТ К2'!E23*СПРАВОЧНИК!$O$9+'ПЛАН ЧИСТ К2'!F23*СПРАВОЧНИК!$P$9+'ПЛАН ЧИСТ К2'!G23*СПРАВОЧНИК!$L$10+'ПЛАН ЧИСТ К2'!H23*СПРАВОЧНИК!$M$10+'ПЛАН ЧИСТ К2'!I23*СПРАВОЧНИК!$N$10+'ПЛАН ЧИСТ К2'!J23*СПРАВОЧНИК!$O$10+'ПЛАН ЧИСТ К2'!K23*СПРАВОЧНИК!$P$10+'ПЛАН ЧИСТ К2'!L23*СПРАВОЧНИК!$L$11+'ПЛАН ЧИСТ К2'!M23*СПРАВОЧНИК!$M$11+'ПЛАН ЧИСТ К2'!N23*СПРАВОЧНИК!$N$11+'ПЛАН ЧИСТ К2'!O23*СПРАВОЧНИК!$O$11+'ПЛАН ЧИСТ К2'!P23*СПРАВОЧНИК!$P$11+'ПЛАН ЧИСТ К2'!Q23*СПРАВОЧНИК!$L$12+'ПЛАН ЧИСТ К2'!R23*СПРАВОЧНИК!$M$12+'ПЛАН ЧИСТ К2'!S23*СПРАВОЧНИК!$N$12+'ПЛАН ЧИСТ К2'!T23*СПРАВОЧНИК!$O$12+'ПЛАН ЧИСТ К2'!U23*СПРАВОЧНИК!$P$12+'ПЛАН ЧИСТ К2'!V23*СПРАВОЧНИК!$L$13+'ПЛАН ЧИСТ К2'!W23*СПРАВОЧНИК!$M$13+'ПЛАН ЧИСТ К2'!X23*СПРАВОЧНИК!$N$13+'ПЛАН ЧИСТ К2'!Y23*СПРАВОЧНИК!$O$13+'ПЛАН ЧИСТ К2'!Z23*СПРАВОЧНИК!$P$13+'ПЛАН ЧИСТ К2'!AA23*СПРАВОЧНИК!$L$14+'ПЛАН ЧИСТ К2'!AB23*СПРАВОЧНИК!$M$14+'ПЛАН ЧИСТ К2'!AC23*СПРАВОЧНИК!$N$14+'ПЛАН ЧИСТ К2'!AD23*СПРАВОЧНИК!$O$14+'ПЛАН ЧИСТ К2'!AE23*СПРАВОЧНИК!$P$14+'ПЛАН ЧИСТ К2'!AF23*СПРАВОЧНИК!$L$15+'ПЛАН ЧИСТ К2'!AG23*СПРАВОЧНИК!$M$15+'ПЛАН ЧИСТ К2'!AH23*СПРАВОЧНИК!$N$15+'ПЛАН ЧИСТ К2'!AI23*СПРАВОЧНИК!$O$15+'ПЛАН ЧИСТ К2'!AJ23*СПРАВОЧНИК!$P$15</f>
        <v/>
      </c>
      <c r="AZ32" s="31">
        <f>('ФАКТ ЧИСТ К2'!B23)*СПРАВОЧНИК!$L$9+('ФАКТ ЧИСТ К2'!C23)*СПРАВОЧНИК!$M$9+('ФАКТ ЧИСТ К2'!D23)*СПРАВОЧНИК!$N$9+('ФАКТ ЧИСТ К2'!E23)*СПРАВОЧНИК!$O$9+('ФАКТ ЧИСТ К2'!F23)*СПРАВОЧНИК!$P$9+('ФАКТ ЧИСТ К2'!G23)*СПРАВОЧНИК!$L$10+('ФАКТ ЧИСТ К2'!H23)*СПРАВОЧНИК!$M$10+('ФАКТ ЧИСТ К2'!I23)*СПРАВОЧНИК!$N$10+('ФАКТ ЧИСТ К2'!J23)*СПРАВОЧНИК!$O$10+('ФАКТ ЧИСТ К2'!K23)*СПРАВОЧНИК!$P$10+('ФАКТ ЧИСТ К2'!L23)*СПРАВОЧНИК!$L$11+('ФАКТ ЧИСТ К2'!M23)*СПРАВОЧНИК!$M$11+('ФАКТ ЧИСТ К2'!N23)*СПРАВОЧНИК!$N$11+('ФАКТ ЧИСТ К2'!O23)*СПРАВОЧНИК!$O$11+('ФАКТ ЧИСТ К2'!P23)*СПРАВОЧНИК!$P$11+('ФАКТ ЧИСТ К2'!Q23)*СПРАВОЧНИК!$L$12+('ФАКТ ЧИСТ К2'!R23)*СПРАВОЧНИК!$M$12+('ФАКТ ЧИСТ К2'!S23)*СПРАВОЧНИК!$N$12+('ФАКТ ЧИСТ К2'!T23)*СПРАВОЧНИК!$O$12+('ФАКТ ЧИСТ К2'!U23)*СПРАВОЧНИК!$P$12+('ФАКТ ЧИСТ К2'!V23)*СПРАВОЧНИК!$L$13+('ФАКТ ЧИСТ К2'!W23)*СПРАВОЧНИК!$M$13+('ФАКТ ЧИСТ К2'!X23)*СПРАВОЧНИК!$N$13+('ФАКТ ЧИСТ К2'!Y23)*СПРАВОЧНИК!$O$13+('ФАКТ ЧИСТ К2'!Z23)*СПРАВОЧНИК!$P$13+('ФАКТ ЧИСТ К2'!AA23)*СПРАВОЧНИК!$L$14+('ФАКТ ЧИСТ К2'!AB23)*СПРАВОЧНИК!$M$14+('ФАКТ ЧИСТ К2'!AC23)*СПРАВОЧНИК!$N$14+('ФАКТ ЧИСТ К2'!AD23)*СПРАВОЧНИК!$O$14+('ФАКТ ЧИСТ К2'!AE23)*СПРАВОЧНИК!$P$14+('ФАКТ ЧИСТ К2'!AF23)*СПРАВОЧНИК!$L$15+('ФАКТ ЧИСТ К2'!AG23)*СПРАВОЧНИК!$M$15+('ФАКТ ЧИСТ К2'!AH23)*СПРАВОЧНИК!$N$15+('ФАКТ ЧИСТ К2'!AI23)*СПРАВОЧНИК!$O$15+('ФАКТ ЧИСТ К2'!AJ23)*СПРАВОЧНИК!$P$15</f>
        <v/>
      </c>
      <c r="BA32" s="34" t="n"/>
      <c r="BD32" s="152">
        <f>BD31+7</f>
        <v/>
      </c>
      <c r="BE32" s="17">
        <f>СПРАВОЧНИК!$E$9*('ПЛАН ЧЕРН К3'!B23*СПРАВОЧНИК!$H$9+'ПЛАН ЧЕРН К3'!C23*СПРАВОЧНИК!$I$9+'ПЛАН ЧЕРН К3'!D23*СПРАВОЧНИК!$J$9)+СПРАВОЧНИК!$F$9*('ПЛАН ЧИСТ К3'!B23*СПРАВОЧНИК!$L$9+'ПЛАН ЧИСТ К3'!C23*СПРАВОЧНИК!$M$9+'ПЛАН ЧИСТ К3'!D23*СПРАВОЧНИК!$N$9+'ПЛАН ЧИСТ К3'!E23*СПРАВОЧНИК!$O$9+'ПЛАН ЧИСТ К3'!F23*СПРАВОЧНИК!$P$9)+СПРАВОЧНИК!$E$10*('ПЛАН ЧЕРН К3'!E23*СПРАВОЧНИК!$H$10+'ПЛАН ЧЕРН К3'!F23*СПРАВОЧНИК!$I$10+'ПЛАН ЧЕРН К3'!G23*СПРАВОЧНИК!$J$10)+СПРАВОЧНИК!$F$10*('ПЛАН ЧИСТ К3'!G23*СПРАВОЧНИК!$L$10+'ПЛАН ЧИСТ К3'!H23*СПРАВОЧНИК!$M$10+'ПЛАН ЧИСТ К3'!I23*СПРАВОЧНИК!$N$10+'ПЛАН ЧИСТ К3'!J23*СПРАВОЧНИК!$O$10+'ПЛАН ЧИСТ К3'!K23*СПРАВОЧНИК!$P$10)+СПРАВОЧНИК!$E$11*('ПЛАН ЧЕРН К3'!H23*СПРАВОЧНИК!$H$11+'ПЛАН ЧЕРН К3'!I23*СПРАВОЧНИК!$I$11+'ПЛАН ЧЕРН К3'!J23*СПРАВОЧНИК!$J$11)+СПРАВОЧНИК!$F$11*('ПЛАН ЧИСТ К3'!L23*СПРАВОЧНИК!$L$11+'ПЛАН ЧИСТ К3'!M23*СПРАВОЧНИК!$M$11+'ПЛАН ЧИСТ К3'!N23*СПРАВОЧНИК!$N$11+'ПЛАН ЧИСТ К3'!O23*СПРАВОЧНИК!$O$11+'ПЛАН ЧИСТ К3'!P23*СПРАВОЧНИК!$P$11)+СПРАВОЧНИК!$E$12*('ПЛАН ЧЕРН К3'!K23*СПРАВОЧНИК!$H$12+'ПЛАН ЧЕРН К3'!L23*СПРАВОЧНИК!$I$12+'ПЛАН ЧЕРН К3'!M23*СПРАВОЧНИК!$J$12)+СПРАВОЧНИК!$F$12*('ПЛАН ЧИСТ К3'!Q23*СПРАВОЧНИК!$L$12+'ПЛАН ЧИСТ К3'!R23*СПРАВОЧНИК!$M$12+'ПЛАН ЧИСТ К3'!S23*СПРАВОЧНИК!$N$12+'ПЛАН ЧИСТ К3'!T23*СПРАВОЧНИК!$O$12+'ПЛАН ЧИСТ К3'!U23*СПРАВОЧНИК!$P$12)+СПРАВОЧНИК!$E$13*('ПЛАН ЧЕРН К3'!N23*СПРАВОЧНИК!$H$13+'ПЛАН ЧЕРН К3'!O23*СПРАВОЧНИК!$I$13+'ПЛАН ЧЕРН К3'!P23*СПРАВОЧНИК!$J$13)+СПРАВОЧНИК!$F$13*('ПЛАН ЧИСТ К3'!V23*СПРАВОЧНИК!$L$13+'ПЛАН ЧИСТ К3'!W23*СПРАВОЧНИК!$M$13+'ПЛАН ЧИСТ К3'!X23*СПРАВОЧНИК!$N$13+'ПЛАН ЧИСТ К3'!Y23*СПРАВОЧНИК!$O$13+'ПЛАН ЧИСТ К3'!Z23*СПРАВОЧНИК!$P$13)+СПРАВОЧНИК!$E$14*('ПЛАН ЧЕРН К3'!Q23*СПРАВОЧНИК!$H$14+'ПЛАН ЧЕРН К3'!R23*СПРАВОЧНИК!$I$14+'ПЛАН ЧЕРН К3'!S23*СПРАВОЧНИК!$J$14)+СПРАВОЧНИК!$F$14*('ПЛАН ЧИСТ К3'!AA23*СПРАВОЧНИК!$L$14+'ПЛАН ЧИСТ К3'!AB23*СПРАВОЧНИК!$M$14+'ПЛАН ЧИСТ К3'!AC23*СПРАВОЧНИК!$N$14+'ПЛАН ЧИСТ К3'!AD23*СПРАВОЧНИК!$O$14+'ПЛАН ЧИСТ К3'!AE23*СПРАВОЧНИК!$P$14)+СПРАВОЧНИК!$E$15*('ПЛАН ЧЕРН К3'!T23*СПРАВОЧНИК!$H$15+'ПЛАН ЧЕРН К3'!U23*СПРАВОЧНИК!$I$15+'ПЛАН ЧЕРН К3'!V23*СПРАВОЧНИК!$J$15)+СПРАВОЧНИК!$F$15*('ПЛАН ЧИСТ К3'!AF23*СПРАВОЧНИК!$L$15+'ПЛАН ЧИСТ К3'!AG23*СПРАВОЧНИК!$M$15+'ПЛАН ЧИСТ К3'!AH23*СПРАВОЧНИК!$N$15+'ПЛАН ЧИСТ К3'!AI23*СПРАВОЧНИК!$O$15+'ПЛАН ЧИСТ К3'!AJ23*СПРАВОЧНИК!$P$15)</f>
        <v/>
      </c>
      <c r="BF32" s="31">
        <f>СПРАВОЧНИК!$E$9*('ФАКТ ЧЕРН К3'!B23*СПРАВОЧНИК!$H$9+'ФАКТ ЧЕРН К3'!C23*СПРАВОЧНИК!$I$9+'ФАКТ ЧЕРН К3'!D23*СПРАВОЧНИК!$J$9)+СПРАВОЧНИК!$F$9*('ФАКТ ЧИСТ К3'!B23*СПРАВОЧНИК!$L$9+'ФАКТ ЧИСТ К3'!C23*СПРАВОЧНИК!$M$9+'ФАКТ ЧИСТ К3'!D23*СПРАВОЧНИК!$N$9+'ФАКТ ЧИСТ К3'!E23*СПРАВОЧНИК!$O$9+'ФАКТ ЧИСТ К3'!F23*СПРАВОЧНИК!$P$9)+СПРАВОЧНИК!$E$10*('ФАКТ ЧЕРН К3'!E23*СПРАВОЧНИК!$H$10+'ФАКТ ЧЕРН К3'!F23*СПРАВОЧНИК!$I$10+'ФАКТ ЧЕРН К3'!G23*СПРАВОЧНИК!$J$10)+СПРАВОЧНИК!$F$10*('ФАКТ ЧИСТ К3'!G23*СПРАВОЧНИК!$L$10+'ФАКТ ЧИСТ К3'!H23*СПРАВОЧНИК!$M$10+'ФАКТ ЧИСТ К3'!I23*СПРАВОЧНИК!$N$10+'ФАКТ ЧИСТ К3'!J23*СПРАВОЧНИК!$O$10+'ФАКТ ЧИСТ К3'!K23*СПРАВОЧНИК!$P$10)+СПРАВОЧНИК!$E$11*('ФАКТ ЧЕРН К3'!H23*СПРАВОЧНИК!$H$11+'ФАКТ ЧЕРН К3'!I23*СПРАВОЧНИК!$I$11+'ФАКТ ЧЕРН К3'!J23*СПРАВОЧНИК!$J$11)+СПРАВОЧНИК!$F$11*('ФАКТ ЧИСТ К3'!L23*СПРАВОЧНИК!$L$11+'ФАКТ ЧИСТ К3'!M23*СПРАВОЧНИК!$M$11+'ФАКТ ЧИСТ К3'!N23*СПРАВОЧНИК!$N$11+'ФАКТ ЧИСТ К3'!O23*СПРАВОЧНИК!$O$11+'ФАКТ ЧИСТ К3'!P23*СПРАВОЧНИК!$P$11)+СПРАВОЧНИК!$E$12*('ФАКТ ЧЕРН К3'!K23*СПРАВОЧНИК!$H$12+'ФАКТ ЧЕРН К3'!L23*СПРАВОЧНИК!$I$12+'ФАКТ ЧЕРН К3'!M23*СПРАВОЧНИК!$J$12)+СПРАВОЧНИК!$F$12*('ФАКТ ЧИСТ К3'!Q23*СПРАВОЧНИК!$L$12+'ФАКТ ЧИСТ К3'!R23*СПРАВОЧНИК!$M$12+'ФАКТ ЧИСТ К3'!S23*СПРАВОЧНИК!$N$12+'ФАКТ ЧИСТ К3'!T23*СПРАВОЧНИК!$O$12+'ФАКТ ЧИСТ К3'!U23*СПРАВОЧНИК!$P$12)+СПРАВОЧНИК!$E$13*('ФАКТ ЧЕРН К3'!N23*СПРАВОЧНИК!$H$13+'ФАКТ ЧЕРН К3'!O23*СПРАВОЧНИК!$I$13+'ФАКТ ЧЕРН К3'!P23*СПРАВОЧНИК!$J$13)+СПРАВОЧНИК!$F$13*('ФАКТ ЧИСТ К3'!V23*СПРАВОЧНИК!$L$13+'ФАКТ ЧИСТ К3'!W23*СПРАВОЧНИК!$M$13+'ФАКТ ЧИСТ К3'!X23*СПРАВОЧНИК!$N$13+'ФАКТ ЧИСТ К3'!Y23*СПРАВОЧНИК!$O$13+'ФАКТ ЧИСТ К3'!Z23*СПРАВОЧНИК!$P$13)+СПРАВОЧНИК!$E$14*('ФАКТ ЧЕРН К3'!Q23*СПРАВОЧНИК!$H$14+'ФАКТ ЧЕРН К3'!R23*СПРАВОЧНИК!$I$14+'ФАКТ ЧЕРН К3'!S23*СПРАВОЧНИК!$J$14)+СПРАВОЧНИК!$F$14*('ФАКТ ЧИСТ К3'!AA23*СПРАВОЧНИК!$L$14+'ФАКТ ЧИСТ К3'!AB23*СПРАВОЧНИК!$M$14+'ФАКТ ЧИСТ К3'!AC23*СПРАВОЧНИК!$N$14+'ФАКТ ЧИСТ К3'!AD23*СПРАВОЧНИК!$O$14+'ФАКТ ЧИСТ К3'!AE23*СПРАВОЧНИК!$P$14)+СПРАВОЧНИК!$E$15*('ФАКТ ЧЕРН К3'!T23*СПРАВОЧНИК!$H$15+'ФАКТ ЧЕРН К3'!U23*СПРАВОЧНИК!$I$15+'ФАКТ ЧЕРН К3'!V23*СПРАВОЧНИК!$J$15)+СПРАВОЧНИК!$F$15*('ФАКТ ЧИСТ К3'!AF23*СПРАВОЧНИК!$L$15+'ФАКТ ЧИСТ К3'!AG23*СПРАВОЧНИК!$M$15+'ФАКТ ЧИСТ К3'!AH23*СПРАВОЧНИК!$N$15+'ФАКТ ЧИСТ К3'!AI23*СПРАВОЧНИК!$O$15+'ФАКТ ЧИСТ К3'!AJ23*СПРАВОЧНИК!$P$15)</f>
        <v/>
      </c>
      <c r="BG32" s="34" t="n"/>
      <c r="BJ32" s="152">
        <f>BJ31+7</f>
        <v/>
      </c>
      <c r="BK32" s="17">
        <f>'ПЛАН ЧЕРН К3'!B23*СПРАВОЧНИК!$H$9+'ПЛАН ЧЕРН К3'!C23*СПРАВОЧНИК!$I$9+'ПЛАН ЧЕРН К3'!D23*СПРАВОЧНИК!$J$9+'ПЛАН ЧЕРН К3'!E23*СПРАВОЧНИК!$H$10+'ПЛАН ЧЕРН К3'!F23*СПРАВОЧНИК!$I$10+'ПЛАН ЧЕРН К3'!G23*СПРАВОЧНИК!$J$10+'ПЛАН ЧЕРН К3'!H23*СПРАВОЧНИК!$H$11+'ПЛАН ЧЕРН К3'!I23*СПРАВОЧНИК!$I$11+'ПЛАН ЧЕРН К3'!J23*СПРАВОЧНИК!$J$11+'ПЛАН ЧЕРН К3'!K23*СПРАВОЧНИК!$H$12+'ПЛАН ЧЕРН К3'!L23*СПРАВОЧНИК!$I$12+'ПЛАН ЧЕРН К3'!M23*СПРАВОЧНИК!$J$12+'ПЛАН ЧЕРН К3'!N23*СПРАВОЧНИК!$H$13+'ПЛАН ЧЕРН К3'!O23*СПРАВОЧНИК!$I$13+'ПЛАН ЧЕРН К3'!P23*СПРАВОЧНИК!$J$13+'ПЛАН ЧЕРН К3'!Q23*СПРАВОЧНИК!$H$14+'ПЛАН ЧЕРН К3'!R23*СПРАВОЧНИК!$I$14+'ПЛАН ЧЕРН К3'!S23*СПРАВОЧНИК!$J$14+'ПЛАН ЧЕРН К3'!T23*СПРАВОЧНИК!$H$15+'ПЛАН ЧЕРН К3'!U23*СПРАВОЧНИК!$I$15+'ПЛАН ЧЕРН К3'!V23*СПРАВОЧНИК!$J$15</f>
        <v/>
      </c>
      <c r="BL32" s="31">
        <f>('ФАКТ ЧЕРН К3'!B23)*СПРАВОЧНИК!$H$9+('ФАКТ ЧЕРН К3'!C23)*СПРАВОЧНИК!$I$9+('ФАКТ ЧЕРН К3'!D23)*СПРАВОЧНИК!$J$9+('ФАКТ ЧЕРН К3'!E23)*СПРАВОЧНИК!$H$10+('ФАКТ ЧЕРН К3'!F23)*СПРАВОЧНИК!$I$10+('ФАКТ ЧЕРН К3'!G23)*СПРАВОЧНИК!$J$10+('ФАКТ ЧЕРН К3'!H23)*СПРАВОЧНИК!$H$11+('ФАКТ ЧЕРН К3'!I23)*СПРАВОЧНИК!$I$11+('ФАКТ ЧЕРН К3'!J23)*СПРАВОЧНИК!$J$11+('ФАКТ ЧЕРН К3'!K23)*СПРАВОЧНИК!$H$12+('ФАКТ ЧЕРН К3'!L23)*СПРАВОЧНИК!$I$12+('ФАКТ ЧЕРН К3'!M23)*СПРАВОЧНИК!$J$12+('ФАКТ ЧЕРН К3'!N23)*СПРАВОЧНИК!$H$13+('ФАКТ ЧЕРН К3'!O23)*СПРАВОЧНИК!$I$13+('ФАКТ ЧЕРН К3'!P23)*СПРАВОЧНИК!$J$13+('ФАКТ ЧЕРН К3'!Q23)*СПРАВОЧНИК!$H$14+('ФАКТ ЧЕРН К3'!R23)*СПРАВОЧНИК!$I$14+('ФАКТ ЧЕРН К3'!S23)*СПРАВОЧНИК!$J$14+('ФАКТ ЧЕРН К3'!T23)*СПРАВОЧНИК!$H$15+('ФАКТ ЧЕРН К3'!U23)*СПРАВОЧНИК!$I$15+('ФАКТ ЧЕРН К3'!V23)*СПРАВОЧНИК!$J$15</f>
        <v/>
      </c>
      <c r="BM32" s="34" t="n"/>
      <c r="BP32" s="152">
        <f>BP31+7</f>
        <v/>
      </c>
      <c r="BQ32" s="17">
        <f>'ПЛАН ЧИСТ К3'!B23*СПРАВОЧНИК!$L$9+'ПЛАН ЧИСТ К3'!C23*СПРАВОЧНИК!$M$9+'ПЛАН ЧИСТ К3'!D23*СПРАВОЧНИК!$N$9+'ПЛАН ЧИСТ К3'!E23*СПРАВОЧНИК!$O$9+'ПЛАН ЧИСТ К3'!F23*СПРАВОЧНИК!$P$9+'ПЛАН ЧИСТ К3'!G23*СПРАВОЧНИК!$L$10+'ПЛАН ЧИСТ К3'!H23*СПРАВОЧНИК!$M$10+'ПЛАН ЧИСТ К3'!I23*СПРАВОЧНИК!$N$10+'ПЛАН ЧИСТ К3'!J23*СПРАВОЧНИК!$O$10+'ПЛАН ЧИСТ К3'!K23*СПРАВОЧНИК!$P$10+'ПЛАН ЧИСТ К3'!L23*СПРАВОЧНИК!$L$11+'ПЛАН ЧИСТ К3'!M23*СПРАВОЧНИК!$M$11+'ПЛАН ЧИСТ К3'!N23*СПРАВОЧНИК!$N$11+'ПЛАН ЧИСТ К3'!O23*СПРАВОЧНИК!$O$11+'ПЛАН ЧИСТ К3'!P23*СПРАВОЧНИК!$P$11+'ПЛАН ЧИСТ К3'!Q23*СПРАВОЧНИК!$L$12+'ПЛАН ЧИСТ К3'!R23*СПРАВОЧНИК!$M$12+'ПЛАН ЧИСТ К3'!S23*СПРАВОЧНИК!$N$12+'ПЛАН ЧИСТ К3'!T23*СПРАВОЧНИК!$O$12+'ПЛАН ЧИСТ К3'!U23*СПРАВОЧНИК!$P$12+'ПЛАН ЧИСТ К3'!V23*СПРАВОЧНИК!$L$13+'ПЛАН ЧИСТ К3'!W23*СПРАВОЧНИК!$M$13+'ПЛАН ЧИСТ К3'!X23*СПРАВОЧНИК!$N$13+'ПЛАН ЧИСТ К3'!Y23*СПРАВОЧНИК!$O$13+'ПЛАН ЧИСТ К3'!Z23*СПРАВОЧНИК!$P$13+'ПЛАН ЧИСТ К3'!AA23*СПРАВОЧНИК!$L$14+'ПЛАН ЧИСТ К3'!AB23*СПРАВОЧНИК!$M$14+'ПЛАН ЧИСТ К3'!AC23*СПРАВОЧНИК!$N$14+'ПЛАН ЧИСТ К3'!AD23*СПРАВОЧНИК!$O$14+'ПЛАН ЧИСТ К3'!AE23*СПРАВОЧНИК!$P$14+'ПЛАН ЧИСТ К3'!AF23*СПРАВОЧНИК!$L$15+'ПЛАН ЧИСТ К3'!AG23*СПРАВОЧНИК!$M$15+'ПЛАН ЧИСТ К3'!AH23*СПРАВОЧНИК!$N$15+'ПЛАН ЧИСТ К3'!AI23*СПРАВОЧНИК!$O$15+'ПЛАН ЧИСТ К3'!AJ23*СПРАВОЧНИК!$P$15</f>
        <v/>
      </c>
      <c r="BR32" s="31">
        <f>('ФАКТ ЧИСТ К3'!B23)*СПРАВОЧНИК!$L$9+('ФАКТ ЧИСТ К3'!C23)*СПРАВОЧНИК!$M$9+('ФАКТ ЧИСТ К3'!D23)*СПРАВОЧНИК!$N$9+('ФАКТ ЧИСТ К3'!E23)*СПРАВОЧНИК!$O$9+('ФАКТ ЧИСТ К3'!F23)*СПРАВОЧНИК!$P$9+('ФАКТ ЧИСТ К3'!G23)*СПРАВОЧНИК!$L$10+('ФАКТ ЧИСТ К3'!H23)*СПРАВОЧНИК!$M$10+('ФАКТ ЧИСТ К3'!I23)*СПРАВОЧНИК!$N$10+('ФАКТ ЧИСТ К3'!J23)*СПРАВОЧНИК!$O$10+('ФАКТ ЧИСТ К3'!K23)*СПРАВОЧНИК!$P$10+('ФАКТ ЧИСТ К3'!L23)*СПРАВОЧНИК!$L$11+('ФАКТ ЧИСТ К3'!M23)*СПРАВОЧНИК!$M$11+('ФАКТ ЧИСТ К3'!N23)*СПРАВОЧНИК!$N$11+('ФАКТ ЧИСТ К3'!O23)*СПРАВОЧНИК!$O$11+('ФАКТ ЧИСТ К3'!P23)*СПРАВОЧНИК!$P$11+('ФАКТ ЧИСТ К3'!Q23)*СПРАВОЧНИК!$L$12+('ФАКТ ЧИСТ К3'!R23)*СПРАВОЧНИК!$M$12+('ФАКТ ЧИСТ К3'!S23)*СПРАВОЧНИК!$N$12+('ФАКТ ЧИСТ К3'!T23)*СПРАВОЧНИК!$O$12+('ФАКТ ЧИСТ К3'!U23)*СПРАВОЧНИК!$P$12+('ФАКТ ЧИСТ К3'!V23)*СПРАВОЧНИК!$L$13+('ФАКТ ЧИСТ К3'!W23)*СПРАВОЧНИК!$M$13+('ФАКТ ЧИСТ К3'!X23)*СПРАВОЧНИК!$N$13+('ФАКТ ЧИСТ К3'!Y23)*СПРАВОЧНИК!$O$13+('ФАКТ ЧИСТ К3'!Z23)*СПРАВОЧНИК!$P$13+('ФАКТ ЧИСТ К3'!AA23)*СПРАВОЧНИК!$L$14+('ФАКТ ЧИСТ К3'!AB23)*СПРАВОЧНИК!$M$14+('ФАКТ ЧИСТ К3'!AC23)*СПРАВОЧНИК!$N$14+('ФАКТ ЧИСТ К3'!AD23)*СПРАВОЧНИК!$O$14+('ФАКТ ЧИСТ К3'!AE23)*СПРАВОЧНИК!$P$14+('ФАКТ ЧИСТ К3'!AF23)*СПРАВОЧНИК!$L$15+('ФАКТ ЧИСТ К3'!AG23)*СПРАВОЧНИК!$M$15+('ФАКТ ЧИСТ К3'!AH23)*СПРАВОЧНИК!$N$15+('ФАКТ ЧИСТ К3'!AI23)*СПРАВОЧНИК!$O$15+('ФАКТ ЧИСТ К3'!AJ23)*СПРАВОЧНИК!$P$15</f>
        <v/>
      </c>
      <c r="BS32" s="34" t="n"/>
      <c r="BV32" s="152">
        <f>BV31+7</f>
        <v/>
      </c>
      <c r="BW32" s="17">
        <f>U32*СПРАВОЧНИК!$K$28+AM32*СПРАВОЧНИК!$K$29+BE32*СПРАВОЧНИК!$K$30</f>
        <v/>
      </c>
      <c r="BX32" s="31">
        <f>V32*СПРАВОЧНИК!$K$28+AN32*СПРАВОЧНИК!$K$29+BF32*СПРАВОЧНИК!$K$30</f>
        <v/>
      </c>
      <c r="BY32" s="34" t="n"/>
      <c r="CB32" s="152">
        <f>CB31+7</f>
        <v/>
      </c>
      <c r="CC32" s="17">
        <f>AA32*СПРАВОЧНИК!$K$28+AS32*СПРАВОЧНИК!$K$29+BK32*СПРАВОЧНИК!$K$30</f>
        <v/>
      </c>
      <c r="CD32" s="31">
        <f>AB32*СПРАВОЧНИК!$K$28+AT32*СПРАВОЧНИК!$K$29+BL32*СПРАВОЧНИК!$K$30</f>
        <v/>
      </c>
      <c r="CE32" s="34" t="n"/>
      <c r="CH32" s="152">
        <f>CH31+7</f>
        <v/>
      </c>
      <c r="CI32" s="17">
        <f>AG32*СПРАВОЧНИК!$K$28+AY32*СПРАВОЧНИК!$K$29+BQ32*СПРАВОЧНИК!$K$30</f>
        <v/>
      </c>
      <c r="CJ32" s="31">
        <f>AH32*СПРАВОЧНИК!$K$28+AZ32*СПРАВОЧНИК!$K$29+BR32*СПРАВОЧНИК!$K$30</f>
        <v/>
      </c>
      <c r="CK32" s="34" t="n"/>
      <c r="CN32" s="152">
        <f>CN31+7</f>
        <v/>
      </c>
      <c r="CO32" s="17">
        <f>C32*СПРАВОЧНИК!$W$18+BW32*СПРАВОЧНИК!$W$19</f>
        <v/>
      </c>
      <c r="CP32" s="31">
        <f>D32*СПРАВОЧНИК!$W$18+BX32*СПРАВОЧНИК!$W$19</f>
        <v/>
      </c>
      <c r="CQ32" s="34" t="n"/>
      <c r="CT32" s="152">
        <f>CT31+7</f>
        <v/>
      </c>
      <c r="CU32" s="17">
        <f>I32*СПРАВОЧНИК!$W$18+CC32*СПРАВОЧНИК!$W$19</f>
        <v/>
      </c>
      <c r="CV32" s="31">
        <f>J32*СПРАВОЧНИК!$W$18+CD32*СПРАВОЧНИК!$W$19</f>
        <v/>
      </c>
      <c r="CW32" s="34" t="n"/>
      <c r="CZ32" s="152">
        <f>CZ31+7</f>
        <v/>
      </c>
      <c r="DA32" s="17">
        <f>O32*СПРАВОЧНИК!$W$18+CI32*СПРАВОЧНИК!$W$19</f>
        <v/>
      </c>
      <c r="DB32" s="31">
        <f>P32*СПРАВОЧНИК!$W$18+CJ32*СПРАВОЧНИК!$W$19</f>
        <v/>
      </c>
      <c r="DC32" s="34" t="n"/>
    </row>
    <row r="33">
      <c r="B33" s="152">
        <f>B32+7</f>
        <v/>
      </c>
      <c r="C33" s="17">
        <f>СПРАВОЧНИК!$E$3*('ПЛАН ЧЕРН ПОДЗЕМ'!B24*СПРАВОЧНИК!$H$3+'ПЛАН ЧЕРН ПОДЗЕМ'!C24*СПРАВОЧНИК!$I$3+'ПЛАН ЧЕРН ПОДЗЕМ'!D24*СПРАВОЧНИК!$J$3)+СПРАВОЧНИК!$F$3*('ПЛАН ЧИСТ ПОДЗЕМ'!B24*СПРАВОЧНИК!$L$3+'ПЛАН ЧИСТ ПОДЗЕМ'!C24*СПРАВОЧНИК!$M$3+'ПЛАН ЧИСТ ПОДЗЕМ'!D24*СПРАВОЧНИК!$N$3+'ПЛАН ЧИСТ ПОДЗЕМ'!E24*СПРАВОЧНИК!$O$3+'ПЛАН ЧИСТ ПОДЗЕМ'!F24*СПРАВОЧНИК!$P$3)+СПРАВОЧНИК!$E$4*('ПЛАН ЧЕРН ПОДЗЕМ'!E24*СПРАВОЧНИК!$H$4+'ПЛАН ЧЕРН ПОДЗЕМ'!F24*СПРАВОЧНИК!$I$4+'ПЛАН ЧЕРН ПОДЗЕМ'!G24*СПРАВОЧНИК!$J$4)+СПРАВОЧНИК!$F$4*('ПЛАН ЧИСТ ПОДЗЕМ'!G24*СПРАВОЧНИК!$L$4+'ПЛАН ЧИСТ ПОДЗЕМ'!H24*СПРАВОЧНИК!$M$4+'ПЛАН ЧИСТ ПОДЗЕМ'!I24*СПРАВОЧНИК!$N$4+'ПЛАН ЧИСТ ПОДЗЕМ'!J24*СПРАВОЧНИК!$O$4+'ПЛАН ЧИСТ ПОДЗЕМ'!K24*СПРАВОЧНИК!$P$4)+СПРАВОЧНИК!$E$5*('ПЛАН ЧЕРН ПОДЗЕМ'!H24*СПРАВОЧНИК!$H$5+'ПЛАН ЧЕРН ПОДЗЕМ'!I24*СПРАВОЧНИК!$I$5+'ПЛАН ЧЕРН ПОДЗЕМ'!J24*СПРАВОЧНИК!$J$5)+СПРАВОЧНИК!$F$5*('ПЛАН ЧИСТ ПОДЗЕМ'!L24*СПРАВОЧНИК!$L$5+'ПЛАН ЧИСТ ПОДЗЕМ'!M24*СПРАВОЧНИК!$M$5+'ПЛАН ЧИСТ ПОДЗЕМ'!N24*СПРАВОЧНИК!$N$5+'ПЛАН ЧИСТ ПОДЗЕМ'!O24*СПРАВОЧНИК!$O$5+'ПЛАН ЧИСТ ПОДЗЕМ'!P24*СПРАВОЧНИК!$P$5)+СПРАВОЧНИК!$E$6*('ПЛАН ЧЕРН ПОДЗЕМ'!K24*СПРАВОЧНИК!$H$6+'ПЛАН ЧЕРН ПОДЗЕМ'!L24*СПРАВОЧНИК!$I$6+'ПЛАН ЧЕРН ПОДЗЕМ'!M24*СПРАВОЧНИК!$J$6)+СПРАВОЧНИК!$F$6*('ПЛАН ЧИСТ ПОДЗЕМ'!Q24*СПРАВОЧНИК!$L$6+'ПЛАН ЧИСТ ПОДЗЕМ'!R24*СПРАВОЧНИК!$M$6+'ПЛАН ЧИСТ ПОДЗЕМ'!S24*СПРАВОЧНИК!$N$6+'ПЛАН ЧИСТ ПОДЗЕМ'!T24*СПРАВОЧНИК!$O$6+'ПЛАН ЧИСТ ПОДЗЕМ'!U24*СПРАВОЧНИК!$P$6)+СПРАВОЧНИК!$E$7*('ПЛАН ЧЕРН ПОДЗЕМ'!N24*СПРАВОЧНИК!$H$7+'ПЛАН ЧЕРН ПОДЗЕМ'!O24*СПРАВОЧНИК!$I$7+'ПЛАН ЧЕРН ПОДЗЕМ'!P24*СПРАВОЧНИК!$J$7)+СПРАВОЧНИК!$F$7*('ПЛАН ЧИСТ ПОДЗЕМ'!V24*СПРАВОЧНИК!$L$7+'ПЛАН ЧИСТ ПОДЗЕМ'!W24*СПРАВОЧНИК!$M$7+'ПЛАН ЧИСТ ПОДЗЕМ'!X24*СПРАВОЧНИК!$N$7+'ПЛАН ЧИСТ ПОДЗЕМ'!Y24*СПРАВОЧНИК!$O$7+'ПЛАН ЧИСТ ПОДЗЕМ'!Z24*СПРАВОЧНИК!$P$7)+СПРАВОЧНИК!$E$8*('ПЛАН ЧЕРН ПОДЗЕМ'!Q24*СПРАВОЧНИК!$H$8+'ПЛАН ЧЕРН ПОДЗЕМ'!R24*СПРАВОЧНИК!$I$8+'ПЛАН ЧЕРН ПОДЗЕМ'!S24*СПРАВОЧНИК!$J$8)+СПРАВОЧНИК!$F$8*('ПЛАН ЧИСТ ПОДЗЕМ'!AA24*СПРАВОЧНИК!$L$8+'ПЛАН ЧИСТ ПОДЗЕМ'!AB24*СПРАВОЧНИК!$M$8+'ПЛАН ЧИСТ ПОДЗЕМ'!AC24*СПРАВОЧНИК!$N$8+'ПЛАН ЧИСТ ПОДЗЕМ'!AD24*СПРАВОЧНИК!$O$8+'ПЛАН ЧИСТ ПОДЗЕМ'!AE24*СПРАВОЧНИК!$P$8)</f>
        <v/>
      </c>
      <c r="D33" s="31">
        <f>СПРАВОЧНИК!$E$3*('ФАКТ ЧЕРН ПОДЗЕМ'!B24*СПРАВОЧНИК!$H$3+'ФАКТ ЧЕРН ПОДЗЕМ'!C24*СПРАВОЧНИК!$I$3+'ФАКТ ЧЕРН ПОДЗЕМ'!D24*СПРАВОЧНИК!$J$3)+СПРАВОЧНИК!$F$3*('ФАКТ ЧИСТ ПОДЗЕМ'!B24*СПРАВОЧНИК!$L$3+'ФАКТ ЧИСТ ПОДЗЕМ'!C24*СПРАВОЧНИК!$M$3+'ФАКТ ЧИСТ ПОДЗЕМ'!D24*СПРАВОЧНИК!$N$3+'ФАКТ ЧИСТ ПОДЗЕМ'!E24*СПРАВОЧНИК!$O$3+'ФАКТ ЧИСТ ПОДЗЕМ'!F24*СПРАВОЧНИК!$P$3)+СПРАВОЧНИК!$E$4*('ФАКТ ЧЕРН ПОДЗЕМ'!E24*СПРАВОЧНИК!$H$4+'ФАКТ ЧЕРН ПОДЗЕМ'!F24*СПРАВОЧНИК!$I$4+'ФАКТ ЧЕРН ПОДЗЕМ'!G24*СПРАВОЧНИК!$J$4)+СПРАВОЧНИК!$F$4*('ФАКТ ЧИСТ ПОДЗЕМ'!G24*СПРАВОЧНИК!$L$4+'ФАКТ ЧИСТ ПОДЗЕМ'!H24*СПРАВОЧНИК!$M$4+'ФАКТ ЧИСТ ПОДЗЕМ'!I24*СПРАВОЧНИК!$N$4+'ФАКТ ЧИСТ ПОДЗЕМ'!J24*СПРАВОЧНИК!$O$4+'ФАКТ ЧИСТ ПОДЗЕМ'!K24*СПРАВОЧНИК!$P$4)+СПРАВОЧНИК!$E$5*('ФАКТ ЧЕРН ПОДЗЕМ'!H24*СПРАВОЧНИК!$H$5+'ФАКТ ЧЕРН ПОДЗЕМ'!I24*СПРАВОЧНИК!$I$5+'ФАКТ ЧЕРН ПОДЗЕМ'!J24*СПРАВОЧНИК!$J$5)+СПРАВОЧНИК!$F$5*('ФАКТ ЧИСТ ПОДЗЕМ'!L24*СПРАВОЧНИК!$L$5+'ФАКТ ЧИСТ ПОДЗЕМ'!M24*СПРАВОЧНИК!$M$5+'ФАКТ ЧИСТ ПОДЗЕМ'!N24*СПРАВОЧНИК!$N$5+'ФАКТ ЧИСТ ПОДЗЕМ'!O24*СПРАВОЧНИК!$O$5+'ФАКТ ЧИСТ ПОДЗЕМ'!P24*СПРАВОЧНИК!$P$5)+СПРАВОЧНИК!$E$6*('ФАКТ ЧЕРН ПОДЗЕМ'!K24*СПРАВОЧНИК!$H$6+'ФАКТ ЧЕРН ПОДЗЕМ'!L24*СПРАВОЧНИК!$I$6+'ФАКТ ЧЕРН ПОДЗЕМ'!M24*СПРАВОЧНИК!$J$6)+СПРАВОЧНИК!$F$6*('ФАКТ ЧИСТ ПОДЗЕМ'!Q24*СПРАВОЧНИК!$L$6+'ФАКТ ЧИСТ ПОДЗЕМ'!R24*СПРАВОЧНИК!$M$6+'ФАКТ ЧИСТ ПОДЗЕМ'!S24*СПРАВОЧНИК!$N$6+'ФАКТ ЧИСТ ПОДЗЕМ'!T24*СПРАВОЧНИК!$O$6+'ФАКТ ЧИСТ ПОДЗЕМ'!U24*СПРАВОЧНИК!$P$6)+СПРАВОЧНИК!$E$7*('ФАКТ ЧЕРН ПОДЗЕМ'!N24*СПРАВОЧНИК!$H$7+'ФАКТ ЧЕРН ПОДЗЕМ'!O24*СПРАВОЧНИК!$I$7+'ФАКТ ЧЕРН ПОДЗЕМ'!P24*СПРАВОЧНИК!$J$7)+СПРАВОЧНИК!$F$7*('ФАКТ ЧИСТ ПОДЗЕМ'!V24*СПРАВОЧНИК!$L$7+'ФАКТ ЧИСТ ПОДЗЕМ'!W24*СПРАВОЧНИК!$M$7+'ФАКТ ЧИСТ ПОДЗЕМ'!X24*СПРАВОЧНИК!$N$7+'ФАКТ ЧИСТ ПОДЗЕМ'!Y24*СПРАВОЧНИК!$O$7+'ФАКТ ЧИСТ ПОДЗЕМ'!Z24*СПРАВОЧНИК!$P$7)+СПРАВОЧНИК!$E$8*('ФАКТ ЧЕРН ПОДЗЕМ'!Q24*СПРАВОЧНИК!$H$8+'ФАКТ ЧЕРН ПОДЗЕМ'!R24*СПРАВОЧНИК!$I$8+'ФАКТ ЧЕРН ПОДЗЕМ'!S24*СПРАВОЧНИК!$J$8)+СПРАВОЧНИК!$F$8*('ФАКТ ЧИСТ ПОДЗЕМ'!AA24*СПРАВОЧНИК!$L$8+'ФАКТ ЧИСТ ПОДЗЕМ'!AB24*СПРАВОЧНИК!$M$8+'ФАКТ ЧИСТ ПОДЗЕМ'!AC24*СПРАВОЧНИК!$N$8+'ФАКТ ЧИСТ ПОДЗЕМ'!AD24*СПРАВОЧНИК!$O$8+'ФАКТ ЧИСТ ПОДЗЕМ'!AE24*СПРАВОЧНИК!$P$8)</f>
        <v/>
      </c>
      <c r="E33" s="34" t="n"/>
      <c r="H33" s="152">
        <f>H32+7</f>
        <v/>
      </c>
      <c r="I33" s="17">
        <f>'ПЛАН ЧЕРН ПОДЗЕМ'!B24*СПРАВОЧНИК!$H$3+'ПЛАН ЧЕРН ПОДЗЕМ'!C24*СПРАВОЧНИК!$I$3+'ПЛАН ЧЕРН ПОДЗЕМ'!D24*СПРАВОЧНИК!$J$3+'ПЛАН ЧЕРН ПОДЗЕМ'!E24*СПРАВОЧНИК!$H$4+'ПЛАН ЧЕРН ПОДЗЕМ'!F24*СПРАВОЧНИК!$I$4+'ПЛАН ЧЕРН ПОДЗЕМ'!G24*СПРАВОЧНИК!$J$4+'ПЛАН ЧЕРН ПОДЗЕМ'!H24*СПРАВОЧНИК!$H$5+'ПЛАН ЧЕРН ПОДЗЕМ'!I24*СПРАВОЧНИК!$I$5+'ПЛАН ЧЕРН ПОДЗЕМ'!J24*СПРАВОЧНИК!$J$5+'ПЛАН ЧЕРН ПОДЗЕМ'!K24*СПРАВОЧНИК!$H$6+'ПЛАН ЧЕРН ПОДЗЕМ'!L24*СПРАВОЧНИК!$I$6+'ПЛАН ЧЕРН ПОДЗЕМ'!M24*СПРАВОЧНИК!$J$6+'ПЛАН ЧЕРН ПОДЗЕМ'!N24*СПРАВОЧНИК!$H$7+'ПЛАН ЧЕРН ПОДЗЕМ'!O24*СПРАВОЧНИК!$I$7+'ПЛАН ЧЕРН ПОДЗЕМ'!P24*СПРАВОЧНИК!$J$7+'ПЛАН ЧЕРН ПОДЗЕМ'!Q24*СПРАВОЧНИК!$H$8+'ПЛАН ЧЕРН ПОДЗЕМ'!R24*СПРАВОЧНИК!$I$8+'ПЛАН ЧЕРН ПОДЗЕМ'!S24*СПРАВОЧНИК!$J$8</f>
        <v/>
      </c>
      <c r="J33" s="31">
        <f>('ФАКТ ЧЕРН ПОДЗЕМ'!B24)*СПРАВОЧНИК!$H$3+('ФАКТ ЧЕРН ПОДЗЕМ'!C24)*СПРАВОЧНИК!$I$3+('ФАКТ ЧЕРН ПОДЗЕМ'!D24)*СПРАВОЧНИК!$J$3+('ФАКТ ЧЕРН ПОДЗЕМ'!E24)*СПРАВОЧНИК!$H$4+('ФАКТ ЧЕРН ПОДЗЕМ'!F24)*СПРАВОЧНИК!$I$4+('ФАКТ ЧЕРН ПОДЗЕМ'!G24)*СПРАВОЧНИК!$J$4+('ФАКТ ЧЕРН ПОДЗЕМ'!H24)*СПРАВОЧНИК!$H$5+('ФАКТ ЧЕРН ПОДЗЕМ'!I24)*СПРАВОЧНИК!$I$5+('ФАКТ ЧЕРН ПОДЗЕМ'!J24)*СПРАВОЧНИК!$J$5+('ФАКТ ЧЕРН ПОДЗЕМ'!K24)*СПРАВОЧНИК!$H$6+('ФАКТ ЧЕРН ПОДЗЕМ'!L24)*СПРАВОЧНИК!$I$6+('ФАКТ ЧЕРН ПОДЗЕМ'!M24)*СПРАВОЧНИК!$J$6+('ФАКТ ЧЕРН ПОДЗЕМ'!N24)*СПРАВОЧНИК!$H$7+('ФАКТ ЧЕРН ПОДЗЕМ'!O24)*СПРАВОЧНИК!$I$7+('ФАКТ ЧЕРН ПОДЗЕМ'!P24)*СПРАВОЧНИК!$J$7+('ФАКТ ЧЕРН ПОДЗЕМ'!Q24)*СПРАВОЧНИК!$H$8+('ФАКТ ЧЕРН ПОДЗЕМ'!R24)*СПРАВОЧНИК!$I$8+('ФАКТ ЧЕРН ПОДЗЕМ'!S24)*СПРАВОЧНИК!$J$8</f>
        <v/>
      </c>
      <c r="K33" s="34" t="n"/>
      <c r="N33" s="152">
        <f>N32+7</f>
        <v/>
      </c>
      <c r="O33" s="17">
        <f>'ПЛАН ЧИСТ ПОДЗЕМ'!B24*СПРАВОЧНИК!$L$3+'ПЛАН ЧИСТ ПОДЗЕМ'!C24*СПРАВОЧНИК!$M$3+'ПЛАН ЧИСТ ПОДЗЕМ'!D24*СПРАВОЧНИК!$N$3+'ПЛАН ЧИСТ ПОДЗЕМ'!E24*СПРАВОЧНИК!$O$3+'ПЛАН ЧИСТ ПОДЗЕМ'!F24*СПРАВОЧНИК!$P$3+'ПЛАН ЧИСТ ПОДЗЕМ'!G24*СПРАВОЧНИК!$L$4+'ПЛАН ЧИСТ ПОДЗЕМ'!H24*СПРАВОЧНИК!$M$4+'ПЛАН ЧИСТ ПОДЗЕМ'!I24*СПРАВОЧНИК!$N$4+'ПЛАН ЧИСТ ПОДЗЕМ'!J24*СПРАВОЧНИК!$O$4+'ПЛАН ЧИСТ ПОДЗЕМ'!K24*СПРАВОЧНИК!$P$4+'ПЛАН ЧИСТ ПОДЗЕМ'!L24*СПРАВОЧНИК!$L$5+'ПЛАН ЧИСТ ПОДЗЕМ'!M24*СПРАВОЧНИК!$M$5+'ПЛАН ЧИСТ ПОДЗЕМ'!N24*СПРАВОЧНИК!$N$5+'ПЛАН ЧИСТ ПОДЗЕМ'!O24*СПРАВОЧНИК!$O$5+'ПЛАН ЧИСТ ПОДЗЕМ'!P24*СПРАВОЧНИК!$P$5+'ПЛАН ЧИСТ ПОДЗЕМ'!Q24*СПРАВОЧНИК!$L$6+'ПЛАН ЧИСТ ПОДЗЕМ'!R24*СПРАВОЧНИК!$M$6+'ПЛАН ЧИСТ ПОДЗЕМ'!S24*СПРАВОЧНИК!$N$6+'ПЛАН ЧИСТ ПОДЗЕМ'!T24*СПРАВОЧНИК!$O$6+'ПЛАН ЧИСТ ПОДЗЕМ'!U24*СПРАВОЧНИК!$P$6+'ПЛАН ЧИСТ ПОДЗЕМ'!V24*СПРАВОЧНИК!$L$7+'ПЛАН ЧИСТ ПОДЗЕМ'!W24*СПРАВОЧНИК!$M$7+'ПЛАН ЧИСТ ПОДЗЕМ'!X24*СПРАВОЧНИК!$N$7+'ПЛАН ЧИСТ ПОДЗЕМ'!Y24*СПРАВОЧНИК!$O$7+'ПЛАН ЧИСТ ПОДЗЕМ'!Z24*СПРАВОЧНИК!$P$7+'ПЛАН ЧИСТ ПОДЗЕМ'!AA24*СПРАВОЧНИК!$L$8+'ПЛАН ЧИСТ ПОДЗЕМ'!AB24*СПРАВОЧНИК!$M$8+'ПЛАН ЧИСТ ПОДЗЕМ'!AC24*СПРАВОЧНИК!$N$8+'ПЛАН ЧИСТ ПОДЗЕМ'!AD24*СПРАВОЧНИК!$O$8+'ПЛАН ЧИСТ ПОДЗЕМ'!AE24*СПРАВОЧНИК!$P$8</f>
        <v/>
      </c>
      <c r="P33" s="31">
        <f>('ФАКТ ЧИСТ ПОДЗЕМ'!B24)*СПРАВОЧНИК!$L$3+('ФАКТ ЧИСТ ПОДЗЕМ'!C24)*СПРАВОЧНИК!$M$3+('ФАКТ ЧИСТ ПОДЗЕМ'!D24)*СПРАВОЧНИК!$N$3+('ФАКТ ЧИСТ ПОДЗЕМ'!E24)*СПРАВОЧНИК!$O$3+('ФАКТ ЧИСТ ПОДЗЕМ'!F24)*СПРАВОЧНИК!$P$3+('ФАКТ ЧИСТ ПОДЗЕМ'!G24)*СПРАВОЧНИК!$L$4+('ФАКТ ЧИСТ ПОДЗЕМ'!H24)*СПРАВОЧНИК!$M$4+('ФАКТ ЧИСТ ПОДЗЕМ'!I24)*СПРАВОЧНИК!$N$4+('ФАКТ ЧИСТ ПОДЗЕМ'!J24)*СПРАВОЧНИК!$O$4+('ФАКТ ЧИСТ ПОДЗЕМ'!K24)*СПРАВОЧНИК!$P$4+('ФАКТ ЧИСТ ПОДЗЕМ'!L24)*СПРАВОЧНИК!$L$5+('ФАКТ ЧИСТ ПОДЗЕМ'!M24)*СПРАВОЧНИК!$M$5+('ФАКТ ЧИСТ ПОДЗЕМ'!N24)*СПРАВОЧНИК!$N$5+('ФАКТ ЧИСТ ПОДЗЕМ'!O24)*СПРАВОЧНИК!$O$5+('ФАКТ ЧИСТ ПОДЗЕМ'!P24)*СПРАВОЧНИК!$P$5+('ФАКТ ЧИСТ ПОДЗЕМ'!Q24)*СПРАВОЧНИК!$L$6+('ФАКТ ЧИСТ ПОДЗЕМ'!R24)*СПРАВОЧНИК!$M$6+('ФАКТ ЧИСТ ПОДЗЕМ'!S24)*СПРАВОЧНИК!$N$6+('ФАКТ ЧИСТ ПОДЗЕМ'!T24)*СПРАВОЧНИК!$O$6+('ФАКТ ЧИСТ ПОДЗЕМ'!U24)*СПРАВОЧНИК!$P$6+('ФАКТ ЧИСТ ПОДЗЕМ'!V24)*СПРАВОЧНИК!$L$7+('ФАКТ ЧИСТ ПОДЗЕМ'!W24)*СПРАВОЧНИК!$M$7+('ФАКТ ЧИСТ ПОДЗЕМ'!X24)*СПРАВОЧНИК!$N$7+('ФАКТ ЧИСТ ПОДЗЕМ'!Y24)*СПРАВОЧНИК!$O$7+('ФАКТ ЧИСТ ПОДЗЕМ'!Z24)*СПРАВОЧНИК!$P$7+('ФАКТ ЧИСТ ПОДЗЕМ'!AA24)*СПРАВОЧНИК!$L$8+('ФАКТ ЧИСТ ПОДЗЕМ'!AB24)*СПРАВОЧНИК!$M$8+('ФАКТ ЧИСТ ПОДЗЕМ'!AC24)*СПРАВОЧНИК!$N$8+('ФАКТ ЧИСТ ПОДЗЕМ'!AD24)*СПРАВОЧНИК!$O$8+('ФАКТ ЧИСТ ПОДЗЕМ'!AE24)*СПРАВОЧНИК!$P$8</f>
        <v/>
      </c>
      <c r="Q33" s="34" t="n"/>
      <c r="T33" s="152">
        <f>T32+7</f>
        <v/>
      </c>
      <c r="U33" s="17">
        <f>СПРАВОЧНИК!$E$9*('ПЛАН ЧЕРН К1'!B24*СПРАВОЧНИК!$H$9+'ПЛАН ЧЕРН К1'!C24*СПРАВОЧНИК!$I$9+'ПЛАН ЧЕРН К1'!D24*СПРАВОЧНИК!$J$9)+СПРАВОЧНИК!$F$9*('ПЛАН ЧИСТ К1'!B24*СПРАВОЧНИК!$L$9+'ПЛАН ЧИСТ К1'!C24*СПРАВОЧНИК!$M$9+'ПЛАН ЧИСТ К1'!D24*СПРАВОЧНИК!$N$9+'ПЛАН ЧИСТ К1'!E24*СПРАВОЧНИК!$O$9+'ПЛАН ЧИСТ К1'!F24*СПРАВОЧНИК!$P$9)+СПРАВОЧНИК!$E$10*('ПЛАН ЧЕРН К1'!E24*СПРАВОЧНИК!$H$10+'ПЛАН ЧЕРН К1'!F24*СПРАВОЧНИК!$I$10+'ПЛАН ЧЕРН К1'!G24*СПРАВОЧНИК!$J$10)+СПРАВОЧНИК!$F$10*('ПЛАН ЧИСТ К1'!G24*СПРАВОЧНИК!$L$10+'ПЛАН ЧИСТ К1'!H24*СПРАВОЧНИК!$M$10+'ПЛАН ЧИСТ К1'!I24*СПРАВОЧНИК!$N$10+'ПЛАН ЧИСТ К1'!J24*СПРАВОЧНИК!$O$10+'ПЛАН ЧИСТ К1'!K24*СПРАВОЧНИК!$P$10)+СПРАВОЧНИК!$E$11*('ПЛАН ЧЕРН К1'!H24*СПРАВОЧНИК!$H$11+'ПЛАН ЧЕРН К1'!I24*СПРАВОЧНИК!$I$11+'ПЛАН ЧЕРН К1'!J24*СПРАВОЧНИК!$J$11)+СПРАВОЧНИК!$F$11*('ПЛАН ЧИСТ К1'!L24*СПРАВОЧНИК!$L$11+'ПЛАН ЧИСТ К1'!M24*СПРАВОЧНИК!$M$11+'ПЛАН ЧИСТ К1'!N24*СПРАВОЧНИК!$N$11+'ПЛАН ЧИСТ К1'!O24*СПРАВОЧНИК!$O$11+'ПЛАН ЧИСТ К1'!P24*СПРАВОЧНИК!$P$11)+СПРАВОЧНИК!$E$12*('ПЛАН ЧЕРН К1'!K24*СПРАВОЧНИК!$H$12+'ПЛАН ЧЕРН К1'!L24*СПРАВОЧНИК!$I$12+'ПЛАН ЧЕРН К1'!M24*СПРАВОЧНИК!$J$12)+СПРАВОЧНИК!$F$12*('ПЛАН ЧИСТ К1'!Q24*СПРАВОЧНИК!$L$12+'ПЛАН ЧИСТ К1'!R24*СПРАВОЧНИК!$M$12+'ПЛАН ЧИСТ К1'!S24*СПРАВОЧНИК!$N$12+'ПЛАН ЧИСТ К1'!T24*СПРАВОЧНИК!$O$12+'ПЛАН ЧИСТ К1'!U24*СПРАВОЧНИК!$P$12)+СПРАВОЧНИК!$E$13*('ПЛАН ЧЕРН К1'!N24*СПРАВОЧНИК!$H$13+'ПЛАН ЧЕРН К1'!O24*СПРАВОЧНИК!$I$13+'ПЛАН ЧЕРН К1'!P24*СПРАВОЧНИК!$J$13)+СПРАВОЧНИК!$F$13*('ПЛАН ЧИСТ К1'!V24*СПРАВОЧНИК!$L$13+'ПЛАН ЧИСТ К1'!W24*СПРАВОЧНИК!$M$13+'ПЛАН ЧИСТ К1'!X24*СПРАВОЧНИК!$N$13+'ПЛАН ЧИСТ К1'!Y24*СПРАВОЧНИК!$O$13+'ПЛАН ЧИСТ К1'!Z24*СПРАВОЧНИК!$P$13)+СПРАВОЧНИК!$E$14*('ПЛАН ЧЕРН К1'!Q24*СПРАВОЧНИК!$H$14+'ПЛАН ЧЕРН К1'!R24*СПРАВОЧНИК!$I$14+'ПЛАН ЧЕРН К1'!S24*СПРАВОЧНИК!$J$14)+СПРАВОЧНИК!$F$14*('ПЛАН ЧИСТ К1'!AA24*СПРАВОЧНИК!$L$14+'ПЛАН ЧИСТ К1'!AB24*СПРАВОЧНИК!$M$14+'ПЛАН ЧИСТ К1'!AC24*СПРАВОЧНИК!$N$14+'ПЛАН ЧИСТ К1'!AD24*СПРАВОЧНИК!$O$14+'ПЛАН ЧИСТ К1'!AE24*СПРАВОЧНИК!$P$14)+СПРАВОЧНИК!$E$15*('ПЛАН ЧЕРН К1'!T24*СПРАВОЧНИК!$H$15+'ПЛАН ЧЕРН К1'!U24*СПРАВОЧНИК!$I$15+'ПЛАН ЧЕРН К1'!V24*СПРАВОЧНИК!$J$15)+СПРАВОЧНИК!$F$15*('ПЛАН ЧИСТ К1'!AF24*СПРАВОЧНИК!$L$15+'ПЛАН ЧИСТ К1'!AG24*СПРАВОЧНИК!$M$15+'ПЛАН ЧИСТ К1'!AH24*СПРАВОЧНИК!$N$15+'ПЛАН ЧИСТ К1'!AI24*СПРАВОЧНИК!$O$15+'ПЛАН ЧИСТ К1'!AJ24*СПРАВОЧНИК!$P$15)</f>
        <v/>
      </c>
      <c r="V33" s="31">
        <f>СПРАВОЧНИК!$E$9*('ФАКТ ЧЕРН К1'!B24*СПРАВОЧНИК!$H$9+'ФАКТ ЧЕРН К1'!C24*СПРАВОЧНИК!$I$9+'ФАКТ ЧЕРН К1'!D24*СПРАВОЧНИК!$J$9)+СПРАВОЧНИК!$F$9*('ФАКТ ЧИСТ К1'!B24*СПРАВОЧНИК!$L$9+'ФАКТ ЧИСТ К1'!C24*СПРАВОЧНИК!$M$9+'ФАКТ ЧИСТ К1'!D24*СПРАВОЧНИК!$N$9+'ФАКТ ЧИСТ К1'!E24*СПРАВОЧНИК!$O$9+'ФАКТ ЧИСТ К1'!F24*СПРАВОЧНИК!$P$9)+СПРАВОЧНИК!$E$10*('ФАКТ ЧЕРН К1'!E24*СПРАВОЧНИК!$H$10+'ФАКТ ЧЕРН К1'!F24*СПРАВОЧНИК!$I$10+'ФАКТ ЧЕРН К1'!G24*СПРАВОЧНИК!$J$10)+СПРАВОЧНИК!$F$10*('ФАКТ ЧИСТ К1'!G24*СПРАВОЧНИК!$L$10+'ФАКТ ЧИСТ К1'!H24*СПРАВОЧНИК!$M$10+'ФАКТ ЧИСТ К1'!I24*СПРАВОЧНИК!$N$10+'ФАКТ ЧИСТ К1'!J24*СПРАВОЧНИК!$O$10+'ФАКТ ЧИСТ К1'!K24*СПРАВОЧНИК!$P$10)+СПРАВОЧНИК!$E$11*('ФАКТ ЧЕРН К1'!H24*СПРАВОЧНИК!$H$11+'ФАКТ ЧЕРН К1'!I24*СПРАВОЧНИК!$I$11+'ФАКТ ЧЕРН К1'!J24*СПРАВОЧНИК!$J$11)+СПРАВОЧНИК!$F$11*('ФАКТ ЧИСТ К1'!L24*СПРАВОЧНИК!$L$11+'ФАКТ ЧИСТ К1'!M24*СПРАВОЧНИК!$M$11+'ФАКТ ЧИСТ К1'!N24*СПРАВОЧНИК!$N$11+'ФАКТ ЧИСТ К1'!O24*СПРАВОЧНИК!$O$11+'ФАКТ ЧИСТ К1'!P24*СПРАВОЧНИК!$P$11)+СПРАВОЧНИК!$E$12*('ФАКТ ЧЕРН К1'!K24*СПРАВОЧНИК!$H$12+'ФАКТ ЧЕРН К1'!L24*СПРАВОЧНИК!$I$12+'ФАКТ ЧЕРН К1'!M24*СПРАВОЧНИК!$J$12)+СПРАВОЧНИК!$F$12*('ФАКТ ЧИСТ К1'!Q24*СПРАВОЧНИК!$L$12+'ФАКТ ЧИСТ К1'!R24*СПРАВОЧНИК!$M$12+'ФАКТ ЧИСТ К1'!S24*СПРАВОЧНИК!$N$12+'ФАКТ ЧИСТ К1'!T24*СПРАВОЧНИК!$O$12+'ФАКТ ЧИСТ К1'!U24*СПРАВОЧНИК!$P$12)+СПРАВОЧНИК!$E$13*('ФАКТ ЧЕРН К1'!N24*СПРАВОЧНИК!$H$13+'ФАКТ ЧЕРН К1'!O24*СПРАВОЧНИК!$I$13+'ФАКТ ЧЕРН К1'!P24*СПРАВОЧНИК!$J$13)+СПРАВОЧНИК!$F$13*('ФАКТ ЧИСТ К1'!V24*СПРАВОЧНИК!$L$13+'ФАКТ ЧИСТ К1'!W24*СПРАВОЧНИК!$M$13+'ФАКТ ЧИСТ К1'!X24*СПРАВОЧНИК!$N$13+'ФАКТ ЧИСТ К1'!Y24*СПРАВОЧНИК!$O$13+'ФАКТ ЧИСТ К1'!Z24*СПРАВОЧНИК!$P$13)+СПРАВОЧНИК!$E$14*('ФАКТ ЧЕРН К1'!Q24*СПРАВОЧНИК!$H$14+'ФАКТ ЧЕРН К1'!R24*СПРАВОЧНИК!$I$14+'ФАКТ ЧЕРН К1'!S24*СПРАВОЧНИК!$J$14)+СПРАВОЧНИК!$F$14*('ФАКТ ЧИСТ К1'!AA24*СПРАВОЧНИК!$L$14+'ФАКТ ЧИСТ К1'!AB24*СПРАВОЧНИК!$M$14+'ФАКТ ЧИСТ К1'!AC24*СПРАВОЧНИК!$N$14+'ФАКТ ЧИСТ К1'!AD24*СПРАВОЧНИК!$O$14+'ФАКТ ЧИСТ К1'!AE24*СПРАВОЧНИК!$P$14)+СПРАВОЧНИК!$E$15*('ФАКТ ЧЕРН К1'!T24*СПРАВОЧНИК!$H$15+'ФАКТ ЧЕРН К1'!U24*СПРАВОЧНИК!$I$15+'ФАКТ ЧЕРН К1'!V24*СПРАВОЧНИК!$J$15)+СПРАВОЧНИК!$F$15*('ФАКТ ЧИСТ К1'!AF24*СПРАВОЧНИК!$L$15+'ФАКТ ЧИСТ К1'!AG24*СПРАВОЧНИК!$M$15+'ФАКТ ЧИСТ К1'!AH24*СПРАВОЧНИК!$N$15+'ФАКТ ЧИСТ К1'!AI24*СПРАВОЧНИК!$O$15+'ФАКТ ЧИСТ К1'!AJ24*СПРАВОЧНИК!$P$15)</f>
        <v/>
      </c>
      <c r="W33" s="34" t="n"/>
      <c r="Z33" s="152">
        <f>Z32+7</f>
        <v/>
      </c>
      <c r="AA33" s="17">
        <f>'ПЛАН ЧЕРН К1'!B24*СПРАВОЧНИК!$H$9+'ПЛАН ЧЕРН К1'!C24*СПРАВОЧНИК!$I$9+'ПЛАН ЧЕРН К1'!D24*СПРАВОЧНИК!$J$9+'ПЛАН ЧЕРН К1'!E24*СПРАВОЧНИК!$H$10+'ПЛАН ЧЕРН К1'!F24*СПРАВОЧНИК!$I$10+'ПЛАН ЧЕРН К1'!G24*СПРАВОЧНИК!$J$10+'ПЛАН ЧЕРН К1'!H24*СПРАВОЧНИК!$H$11+'ПЛАН ЧЕРН К1'!I24*СПРАВОЧНИК!$I$11+'ПЛАН ЧЕРН К1'!J24*СПРАВОЧНИК!$J$11+'ПЛАН ЧЕРН К1'!K24*СПРАВОЧНИК!$H$12+'ПЛАН ЧЕРН К1'!L24*СПРАВОЧНИК!$I$12+'ПЛАН ЧЕРН К1'!M24*СПРАВОЧНИК!$J$12+'ПЛАН ЧЕРН К1'!N24*СПРАВОЧНИК!$H$13+'ПЛАН ЧЕРН К1'!O24*СПРАВОЧНИК!$I$13+'ПЛАН ЧЕРН К1'!P24*СПРАВОЧНИК!$J$13+'ПЛАН ЧЕРН К1'!Q24*СПРАВОЧНИК!$H$14+'ПЛАН ЧЕРН К1'!R24*СПРАВОЧНИК!$I$14+'ПЛАН ЧЕРН К1'!S24*СПРАВОЧНИК!$J$14+'ПЛАН ЧЕРН К1'!T24*СПРАВОЧНИК!$H$15+'ПЛАН ЧЕРН К1'!U24*СПРАВОЧНИК!$I$15+'ПЛАН ЧЕРН К1'!V24*СПРАВОЧНИК!$J$15</f>
        <v/>
      </c>
      <c r="AB33" s="31">
        <f>('ФАКТ ЧЕРН К1'!B24)*СПРАВОЧНИК!$H$9+('ФАКТ ЧЕРН К1'!C24)*СПРАВОЧНИК!$I$9+('ФАКТ ЧЕРН К1'!D24)*СПРАВОЧНИК!$J$9+('ФАКТ ЧЕРН К1'!E24)*СПРАВОЧНИК!$H$10+('ФАКТ ЧЕРН К1'!F24)*СПРАВОЧНИК!$I$10+('ФАКТ ЧЕРН К1'!G24)*СПРАВОЧНИК!$J$10+('ФАКТ ЧЕРН К1'!H24)*СПРАВОЧНИК!$H$11+('ФАКТ ЧЕРН К1'!I24)*СПРАВОЧНИК!$I$11+('ФАКТ ЧЕРН К1'!J24)*СПРАВОЧНИК!$J$11+('ФАКТ ЧЕРН К1'!K24)*СПРАВОЧНИК!$H$12+('ФАКТ ЧЕРН К1'!L24)*СПРАВОЧНИК!$I$12+('ФАКТ ЧЕРН К1'!M24)*СПРАВОЧНИК!$J$12+('ФАКТ ЧЕРН К1'!N24)*СПРАВОЧНИК!$H$13+('ФАКТ ЧЕРН К1'!O24)*СПРАВОЧНИК!$I$13+('ФАКТ ЧЕРН К1'!P24)*СПРАВОЧНИК!$J$13+('ФАКТ ЧЕРН К1'!Q24)*СПРАВОЧНИК!$H$14+('ФАКТ ЧЕРН К1'!R24)*СПРАВОЧНИК!$I$14+('ФАКТ ЧЕРН К1'!S24)*СПРАВОЧНИК!$J$14+('ФАКТ ЧЕРН К1'!T24)*СПРАВОЧНИК!$H$15+('ФАКТ ЧЕРН К1'!U24)*СПРАВОЧНИК!$I$15+('ФАКТ ЧЕРН К1'!V24)*СПРАВОЧНИК!$J$15</f>
        <v/>
      </c>
      <c r="AC33" s="34" t="n"/>
      <c r="AF33" s="152">
        <f>AF32+7</f>
        <v/>
      </c>
      <c r="AG33" s="17">
        <f>'ПЛАН ЧИСТ К1'!B24*СПРАВОЧНИК!$L$9+'ПЛАН ЧИСТ К1'!C24*СПРАВОЧНИК!$M$9+'ПЛАН ЧИСТ К1'!D24*СПРАВОЧНИК!$N$9+'ПЛАН ЧИСТ К1'!E24*СПРАВОЧНИК!$O$9+'ПЛАН ЧИСТ К1'!F24*СПРАВОЧНИК!$P$9+'ПЛАН ЧИСТ К1'!G24*СПРАВОЧНИК!$L$10+'ПЛАН ЧИСТ К1'!H24*СПРАВОЧНИК!$M$10+'ПЛАН ЧИСТ К1'!I24*СПРАВОЧНИК!$N$10+'ПЛАН ЧИСТ К1'!J24*СПРАВОЧНИК!$O$10+'ПЛАН ЧИСТ К1'!K24*СПРАВОЧНИК!$P$10+'ПЛАН ЧИСТ К1'!L24*СПРАВОЧНИК!$L$11+'ПЛАН ЧИСТ К1'!M24*СПРАВОЧНИК!$M$11+'ПЛАН ЧИСТ К1'!N24*СПРАВОЧНИК!$N$11+'ПЛАН ЧИСТ К1'!O24*СПРАВОЧНИК!$O$11+'ПЛАН ЧИСТ К1'!P24*СПРАВОЧНИК!$P$11+'ПЛАН ЧИСТ К1'!Q24*СПРАВОЧНИК!$L$12+'ПЛАН ЧИСТ К1'!R24*СПРАВОЧНИК!$M$12+'ПЛАН ЧИСТ К1'!S24*СПРАВОЧНИК!$N$12+'ПЛАН ЧИСТ К1'!T24*СПРАВОЧНИК!$O$12+'ПЛАН ЧИСТ К1'!U24*СПРАВОЧНИК!$P$12+'ПЛАН ЧИСТ К1'!V24*СПРАВОЧНИК!$L$13+'ПЛАН ЧИСТ К1'!W24*СПРАВОЧНИК!$M$13+'ПЛАН ЧИСТ К1'!X24*СПРАВОЧНИК!$N$13+'ПЛАН ЧИСТ К1'!Y24*СПРАВОЧНИК!$O$13+'ПЛАН ЧИСТ К1'!Z24*СПРАВОЧНИК!$P$13+'ПЛАН ЧИСТ К1'!AA24*СПРАВОЧНИК!$L$14+'ПЛАН ЧИСТ К1'!AB24*СПРАВОЧНИК!$M$14+'ПЛАН ЧИСТ К1'!AC24*СПРАВОЧНИК!$N$14+'ПЛАН ЧИСТ К1'!AD24*СПРАВОЧНИК!$O$14+'ПЛАН ЧИСТ К1'!AE24*СПРАВОЧНИК!$P$14+'ПЛАН ЧИСТ К1'!AF24*СПРАВОЧНИК!$L$15+'ПЛАН ЧИСТ К1'!AG24*СПРАВОЧНИК!$M$15+'ПЛАН ЧИСТ К1'!AH24*СПРАВОЧНИК!$N$15+'ПЛАН ЧИСТ К1'!AI24*СПРАВОЧНИК!$O$15+'ПЛАН ЧИСТ К1'!AJ24*СПРАВОЧНИК!$P$15</f>
        <v/>
      </c>
      <c r="AH33" s="31">
        <f>('ФАКТ ЧИСТ К1'!B24)*СПРАВОЧНИК!$L$9+('ФАКТ ЧИСТ К1'!C24)*СПРАВОЧНИК!$M$9+('ФАКТ ЧИСТ К1'!D24)*СПРАВОЧНИК!$N$9+('ФАКТ ЧИСТ К1'!E24)*СПРАВОЧНИК!$O$9+('ФАКТ ЧИСТ К1'!F24)*СПРАВОЧНИК!$P$9+('ФАКТ ЧИСТ К1'!G24)*СПРАВОЧНИК!$L$10+('ФАКТ ЧИСТ К1'!H24)*СПРАВОЧНИК!$M$10+('ФАКТ ЧИСТ К1'!I24)*СПРАВОЧНИК!$N$10+('ФАКТ ЧИСТ К1'!J24)*СПРАВОЧНИК!$O$10+('ФАКТ ЧИСТ К1'!K24)*СПРАВОЧНИК!$P$10+('ФАКТ ЧИСТ К1'!L24)*СПРАВОЧНИК!$L$11+('ФАКТ ЧИСТ К1'!M24)*СПРАВОЧНИК!$M$11+('ФАКТ ЧИСТ К1'!N24)*СПРАВОЧНИК!$N$11+('ФАКТ ЧИСТ К1'!O24)*СПРАВОЧНИК!$O$11+('ФАКТ ЧИСТ К1'!P24)*СПРАВОЧНИК!$P$11+('ФАКТ ЧИСТ К1'!Q24)*СПРАВОЧНИК!$L$12+('ФАКТ ЧИСТ К1'!R24)*СПРАВОЧНИК!$M$12+('ФАКТ ЧИСТ К1'!S24)*СПРАВОЧНИК!$N$12+('ФАКТ ЧИСТ К1'!T24)*СПРАВОЧНИК!$O$12+('ФАКТ ЧИСТ К1'!U24)*СПРАВОЧНИК!$P$12+('ФАКТ ЧИСТ К1'!V24)*СПРАВОЧНИК!$L$13+('ФАКТ ЧИСТ К1'!W24)*СПРАВОЧНИК!$M$13+('ФАКТ ЧИСТ К1'!X24)*СПРАВОЧНИК!$N$13+('ФАКТ ЧИСТ К1'!Y24)*СПРАВОЧНИК!$O$13+('ФАКТ ЧИСТ К1'!Z24)*СПРАВОЧНИК!$P$13+('ФАКТ ЧИСТ К1'!AA24)*СПРАВОЧНИК!$L$14+('ФАКТ ЧИСТ К1'!AB24)*СПРАВОЧНИК!$M$14+('ФАКТ ЧИСТ К1'!AC24)*СПРАВОЧНИК!$N$14+('ФАКТ ЧИСТ К1'!AD24)*СПРАВОЧНИК!$O$14+('ФАКТ ЧИСТ К1'!AE24)*СПРАВОЧНИК!$P$14+('ФАКТ ЧИСТ К1'!AF24)*СПРАВОЧНИК!$L$15+('ФАКТ ЧИСТ К1'!AG24)*СПРАВОЧНИК!$M$15+('ФАКТ ЧИСТ К1'!AH24)*СПРАВОЧНИК!$N$15+('ФАКТ ЧИСТ К1'!AI24)*СПРАВОЧНИК!$O$15+('ФАКТ ЧИСТ К1'!AJ24)*СПРАВОЧНИК!$P$15</f>
        <v/>
      </c>
      <c r="AI33" s="34" t="n"/>
      <c r="AL33" s="152">
        <f>AL32+7</f>
        <v/>
      </c>
      <c r="AM33" s="17">
        <f>СПРАВОЧНИК!$E$9*('ПЛАН ЧЕРН К2'!B24*СПРАВОЧНИК!$H$9+'ПЛАН ЧЕРН К2'!C24*СПРАВОЧНИК!$I$9+'ПЛАН ЧЕРН К2'!D24*СПРАВОЧНИК!$J$9)+СПРАВОЧНИК!$F$9*('ПЛАН ЧИСТ К2'!B24*СПРАВОЧНИК!$L$9+'ПЛАН ЧИСТ К2'!C24*СПРАВОЧНИК!$M$9+'ПЛАН ЧИСТ К2'!D24*СПРАВОЧНИК!$N$9+'ПЛАН ЧИСТ К2'!E24*СПРАВОЧНИК!$O$9+'ПЛАН ЧИСТ К2'!F24*СПРАВОЧНИК!$P$9)+СПРАВОЧНИК!$E$10*('ПЛАН ЧЕРН К2'!E24*СПРАВОЧНИК!$H$10+'ПЛАН ЧЕРН К2'!F24*СПРАВОЧНИК!$I$10+'ПЛАН ЧЕРН К2'!G24*СПРАВОЧНИК!$J$10)+СПРАВОЧНИК!$F$10*('ПЛАН ЧИСТ К2'!G24*СПРАВОЧНИК!$L$10+'ПЛАН ЧИСТ К2'!H24*СПРАВОЧНИК!$M$10+'ПЛАН ЧИСТ К2'!I24*СПРАВОЧНИК!$N$10+'ПЛАН ЧИСТ К2'!J24*СПРАВОЧНИК!$O$10+'ПЛАН ЧИСТ К2'!K24*СПРАВОЧНИК!$P$10)+СПРАВОЧНИК!$E$11*('ПЛАН ЧЕРН К2'!H24*СПРАВОЧНИК!$H$11+'ПЛАН ЧЕРН К2'!I24*СПРАВОЧНИК!$I$11+'ПЛАН ЧЕРН К2'!J24*СПРАВОЧНИК!$J$11)+СПРАВОЧНИК!$F$11*('ПЛАН ЧИСТ К2'!L24*СПРАВОЧНИК!$L$11+'ПЛАН ЧИСТ К2'!M24*СПРАВОЧНИК!$M$11+'ПЛАН ЧИСТ К2'!N24*СПРАВОЧНИК!$N$11+'ПЛАН ЧИСТ К2'!O24*СПРАВОЧНИК!$O$11+'ПЛАН ЧИСТ К2'!P24*СПРАВОЧНИК!$P$11)+СПРАВОЧНИК!$E$12*('ПЛАН ЧЕРН К2'!K24*СПРАВОЧНИК!$H$12+'ПЛАН ЧЕРН К2'!L24*СПРАВОЧНИК!$I$12+'ПЛАН ЧЕРН К2'!M24*СПРАВОЧНИК!$J$12)+СПРАВОЧНИК!$F$12*('ПЛАН ЧИСТ К2'!Q24*СПРАВОЧНИК!$L$12+'ПЛАН ЧИСТ К2'!R24*СПРАВОЧНИК!$M$12+'ПЛАН ЧИСТ К2'!S24*СПРАВОЧНИК!$N$12+'ПЛАН ЧИСТ К2'!T24*СПРАВОЧНИК!$O$12+'ПЛАН ЧИСТ К2'!U24*СПРАВОЧНИК!$P$12)+СПРАВОЧНИК!$E$13*('ПЛАН ЧЕРН К2'!N24*СПРАВОЧНИК!$H$13+'ПЛАН ЧЕРН К2'!O24*СПРАВОЧНИК!$I$13+'ПЛАН ЧЕРН К2'!P24*СПРАВОЧНИК!$J$13)+СПРАВОЧНИК!$F$13*('ПЛАН ЧИСТ К2'!V24*СПРАВОЧНИК!$L$13+'ПЛАН ЧИСТ К2'!W24*СПРАВОЧНИК!$M$13+'ПЛАН ЧИСТ К2'!X24*СПРАВОЧНИК!$N$13+'ПЛАН ЧИСТ К2'!Y24*СПРАВОЧНИК!$O$13+'ПЛАН ЧИСТ К2'!Z24*СПРАВОЧНИК!$P$13)+СПРАВОЧНИК!$E$14*('ПЛАН ЧЕРН К2'!Q24*СПРАВОЧНИК!$H$14+'ПЛАН ЧЕРН К2'!R24*СПРАВОЧНИК!$I$14+'ПЛАН ЧЕРН К2'!S24*СПРАВОЧНИК!$J$14)+СПРАВОЧНИК!$F$14*('ПЛАН ЧИСТ К2'!AA24*СПРАВОЧНИК!$L$14+'ПЛАН ЧИСТ К2'!AB24*СПРАВОЧНИК!$M$14+'ПЛАН ЧИСТ К2'!AC24*СПРАВОЧНИК!$N$14+'ПЛАН ЧИСТ К2'!AD24*СПРАВОЧНИК!$O$14+'ПЛАН ЧИСТ К2'!AE24*СПРАВОЧНИК!$P$14)+СПРАВОЧНИК!$E$15*('ПЛАН ЧЕРН К2'!T24*СПРАВОЧНИК!$H$15+'ПЛАН ЧЕРН К2'!U24*СПРАВОЧНИК!$I$15+'ПЛАН ЧЕРН К2'!V24*СПРАВОЧНИК!$J$15)+СПРАВОЧНИК!$F$15*('ПЛАН ЧИСТ К2'!AF24*СПРАВОЧНИК!$L$15+'ПЛАН ЧИСТ К2'!AG24*СПРАВОЧНИК!$M$15+'ПЛАН ЧИСТ К2'!AH24*СПРАВОЧНИК!$N$15+'ПЛАН ЧИСТ К2'!AI24*СПРАВОЧНИК!$O$15+'ПЛАН ЧИСТ К2'!AJ24*СПРАВОЧНИК!$P$15)</f>
        <v/>
      </c>
      <c r="AN33" s="31">
        <f>СПРАВОЧНИК!$E$9*('ФАКТ ЧЕРН К2'!B24*СПРАВОЧНИК!$H$9+'ФАКТ ЧЕРН К2'!C24*СПРАВОЧНИК!$I$9+'ФАКТ ЧЕРН К2'!D24*СПРАВОЧНИК!$J$9)+СПРАВОЧНИК!$F$9*('ФАКТ ЧИСТ К2'!B24*СПРАВОЧНИК!$L$9+'ФАКТ ЧИСТ К2'!C24*СПРАВОЧНИК!$M$9+'ФАКТ ЧИСТ К2'!D24*СПРАВОЧНИК!$N$9+'ФАКТ ЧИСТ К2'!E24*СПРАВОЧНИК!$O$9+'ФАКТ ЧИСТ К2'!F24*СПРАВОЧНИК!$P$9)+СПРАВОЧНИК!$E$10*('ФАКТ ЧЕРН К2'!E24*СПРАВОЧНИК!$H$10+'ФАКТ ЧЕРН К2'!F24*СПРАВОЧНИК!$I$10+'ФАКТ ЧЕРН К2'!G24*СПРАВОЧНИК!$J$10)+СПРАВОЧНИК!$F$10*('ФАКТ ЧИСТ К2'!G24*СПРАВОЧНИК!$L$10+'ФАКТ ЧИСТ К2'!H24*СПРАВОЧНИК!$M$10+'ФАКТ ЧИСТ К2'!I24*СПРАВОЧНИК!$N$10+'ФАКТ ЧИСТ К2'!J24*СПРАВОЧНИК!$O$10+'ФАКТ ЧИСТ К2'!K24*СПРАВОЧНИК!$P$10)+СПРАВОЧНИК!$E$11*('ФАКТ ЧЕРН К2'!H24*СПРАВОЧНИК!$H$11+'ФАКТ ЧЕРН К2'!I24*СПРАВОЧНИК!$I$11+'ФАКТ ЧЕРН К2'!J24*СПРАВОЧНИК!$J$11)+СПРАВОЧНИК!$F$11*('ФАКТ ЧИСТ К2'!L24*СПРАВОЧНИК!$L$11+'ФАКТ ЧИСТ К2'!M24*СПРАВОЧНИК!$M$11+'ФАКТ ЧИСТ К2'!N24*СПРАВОЧНИК!$N$11+'ФАКТ ЧИСТ К2'!O24*СПРАВОЧНИК!$O$11+'ФАКТ ЧИСТ К2'!P24*СПРАВОЧНИК!$P$11)+СПРАВОЧНИК!$E$12*('ФАКТ ЧЕРН К2'!K24*СПРАВОЧНИК!$H$12+'ФАКТ ЧЕРН К2'!L24*СПРАВОЧНИК!$I$12+'ФАКТ ЧЕРН К2'!M24*СПРАВОЧНИК!$J$12)+СПРАВОЧНИК!$F$12*('ФАКТ ЧИСТ К2'!Q24*СПРАВОЧНИК!$L$12+'ФАКТ ЧИСТ К2'!R24*СПРАВОЧНИК!$M$12+'ФАКТ ЧИСТ К2'!S24*СПРАВОЧНИК!$N$12+'ФАКТ ЧИСТ К2'!T24*СПРАВОЧНИК!$O$12+'ФАКТ ЧИСТ К2'!U24*СПРАВОЧНИК!$P$12)+СПРАВОЧНИК!$E$13*('ФАКТ ЧЕРН К2'!N24*СПРАВОЧНИК!$H$13+'ФАКТ ЧЕРН К2'!O24*СПРАВОЧНИК!$I$13+'ФАКТ ЧЕРН К2'!P24*СПРАВОЧНИК!$J$13)+СПРАВОЧНИК!$F$13*('ФАКТ ЧИСТ К2'!V24*СПРАВОЧНИК!$L$13+'ФАКТ ЧИСТ К2'!W24*СПРАВОЧНИК!$M$13+'ФАКТ ЧИСТ К2'!X24*СПРАВОЧНИК!$N$13+'ФАКТ ЧИСТ К2'!Y24*СПРАВОЧНИК!$O$13+'ФАКТ ЧИСТ К2'!Z24*СПРАВОЧНИК!$P$13)+СПРАВОЧНИК!$E$14*('ФАКТ ЧЕРН К2'!Q24*СПРАВОЧНИК!$H$14+'ФАКТ ЧЕРН К2'!R24*СПРАВОЧНИК!$I$14+'ФАКТ ЧЕРН К2'!S24*СПРАВОЧНИК!$J$14)+СПРАВОЧНИК!$F$14*('ФАКТ ЧИСТ К2'!AA24*СПРАВОЧНИК!$L$14+'ФАКТ ЧИСТ К2'!AB24*СПРАВОЧНИК!$M$14+'ФАКТ ЧИСТ К2'!AC24*СПРАВОЧНИК!$N$14+'ФАКТ ЧИСТ К2'!AD24*СПРАВОЧНИК!$O$14+'ФАКТ ЧИСТ К2'!AE24*СПРАВОЧНИК!$P$14)+СПРАВОЧНИК!$E$15*('ФАКТ ЧЕРН К2'!T24*СПРАВОЧНИК!$H$15+'ФАКТ ЧЕРН К2'!U24*СПРАВОЧНИК!$I$15+'ФАКТ ЧЕРН К2'!V24*СПРАВОЧНИК!$J$15)+СПРАВОЧНИК!$F$15*('ФАКТ ЧИСТ К2'!AF24*СПРАВОЧНИК!$L$15+'ФАКТ ЧИСТ К2'!AG24*СПРАВОЧНИК!$M$15+'ФАКТ ЧИСТ К2'!AH24*СПРАВОЧНИК!$N$15+'ФАКТ ЧИСТ К2'!AI24*СПРАВОЧНИК!$O$15+'ФАКТ ЧИСТ К2'!AJ24*СПРАВОЧНИК!$P$15)</f>
        <v/>
      </c>
      <c r="AO33" s="34" t="n"/>
      <c r="AR33" s="152">
        <f>AR32+7</f>
        <v/>
      </c>
      <c r="AS33" s="17">
        <f>'ПЛАН ЧЕРН К2'!B24*СПРАВОЧНИК!$H$9+'ПЛАН ЧЕРН К2'!C24*СПРАВОЧНИК!$I$9+'ПЛАН ЧЕРН К2'!D24*СПРАВОЧНИК!$J$9+'ПЛАН ЧЕРН К2'!E24*СПРАВОЧНИК!$H$10+'ПЛАН ЧЕРН К2'!F24*СПРАВОЧНИК!$I$10+'ПЛАН ЧЕРН К2'!G24*СПРАВОЧНИК!$J$10+'ПЛАН ЧЕРН К2'!H24*СПРАВОЧНИК!$H$11+'ПЛАН ЧЕРН К2'!I24*СПРАВОЧНИК!$I$11+'ПЛАН ЧЕРН К2'!J24*СПРАВОЧНИК!$J$11+'ПЛАН ЧЕРН К2'!K24*СПРАВОЧНИК!$H$12+'ПЛАН ЧЕРН К2'!L24*СПРАВОЧНИК!$I$12+'ПЛАН ЧЕРН К2'!M24*СПРАВОЧНИК!$J$12+'ПЛАН ЧЕРН К2'!N24*СПРАВОЧНИК!$H$13+'ПЛАН ЧЕРН К2'!O24*СПРАВОЧНИК!$I$13+'ПЛАН ЧЕРН К2'!P24*СПРАВОЧНИК!$J$13+'ПЛАН ЧЕРН К2'!Q24*СПРАВОЧНИК!$H$14+'ПЛАН ЧЕРН К2'!R24*СПРАВОЧНИК!$I$14+'ПЛАН ЧЕРН К2'!S24*СПРАВОЧНИК!$J$14+'ПЛАН ЧЕРН К2'!T24*СПРАВОЧНИК!$H$15+'ПЛАН ЧЕРН К2'!U24*СПРАВОЧНИК!$I$15+'ПЛАН ЧЕРН К2'!V24*СПРАВОЧНИК!$J$15</f>
        <v/>
      </c>
      <c r="AT33" s="31">
        <f>('ФАКТ ЧЕРН К2'!B24)*СПРАВОЧНИК!$H$9+('ФАКТ ЧЕРН К2'!C24)*СПРАВОЧНИК!$I$9+('ФАКТ ЧЕРН К2'!D24)*СПРАВОЧНИК!$J$9+('ФАКТ ЧЕРН К2'!E24)*СПРАВОЧНИК!$H$10+('ФАКТ ЧЕРН К2'!F24)*СПРАВОЧНИК!$I$10+('ФАКТ ЧЕРН К2'!G24)*СПРАВОЧНИК!$J$10+('ФАКТ ЧЕРН К2'!H24)*СПРАВОЧНИК!$H$11+('ФАКТ ЧЕРН К2'!I24)*СПРАВОЧНИК!$I$11+('ФАКТ ЧЕРН К2'!J24)*СПРАВОЧНИК!$J$11+('ФАКТ ЧЕРН К2'!K24)*СПРАВОЧНИК!$H$12+('ФАКТ ЧЕРН К2'!L24)*СПРАВОЧНИК!$I$12+('ФАКТ ЧЕРН К2'!M24)*СПРАВОЧНИК!$J$12+('ФАКТ ЧЕРН К2'!N24)*СПРАВОЧНИК!$H$13+('ФАКТ ЧЕРН К2'!O24)*СПРАВОЧНИК!$I$13+('ФАКТ ЧЕРН К2'!P24)*СПРАВОЧНИК!$J$13+('ФАКТ ЧЕРН К2'!Q24)*СПРАВОЧНИК!$H$14+('ФАКТ ЧЕРН К2'!R24)*СПРАВОЧНИК!$I$14+('ФАКТ ЧЕРН К2'!S24)*СПРАВОЧНИК!$J$14+('ФАКТ ЧЕРН К2'!T24)*СПРАВОЧНИК!$H$15+('ФАКТ ЧЕРН К2'!U24)*СПРАВОЧНИК!$I$15+('ФАКТ ЧЕРН К2'!V24)*СПРАВОЧНИК!$J$15</f>
        <v/>
      </c>
      <c r="AU33" s="34" t="n"/>
      <c r="AX33" s="152">
        <f>AX32+7</f>
        <v/>
      </c>
      <c r="AY33" s="17">
        <f>'ПЛАН ЧИСТ К2'!B24*СПРАВОЧНИК!$L$9+'ПЛАН ЧИСТ К2'!C24*СПРАВОЧНИК!$M$9+'ПЛАН ЧИСТ К2'!D24*СПРАВОЧНИК!$N$9+'ПЛАН ЧИСТ К2'!E24*СПРАВОЧНИК!$O$9+'ПЛАН ЧИСТ К2'!F24*СПРАВОЧНИК!$P$9+'ПЛАН ЧИСТ К2'!G24*СПРАВОЧНИК!$L$10+'ПЛАН ЧИСТ К2'!H24*СПРАВОЧНИК!$M$10+'ПЛАН ЧИСТ К2'!I24*СПРАВОЧНИК!$N$10+'ПЛАН ЧИСТ К2'!J24*СПРАВОЧНИК!$O$10+'ПЛАН ЧИСТ К2'!K24*СПРАВОЧНИК!$P$10+'ПЛАН ЧИСТ К2'!L24*СПРАВОЧНИК!$L$11+'ПЛАН ЧИСТ К2'!M24*СПРАВОЧНИК!$M$11+'ПЛАН ЧИСТ К2'!N24*СПРАВОЧНИК!$N$11+'ПЛАН ЧИСТ К2'!O24*СПРАВОЧНИК!$O$11+'ПЛАН ЧИСТ К2'!P24*СПРАВОЧНИК!$P$11+'ПЛАН ЧИСТ К2'!Q24*СПРАВОЧНИК!$L$12+'ПЛАН ЧИСТ К2'!R24*СПРАВОЧНИК!$M$12+'ПЛАН ЧИСТ К2'!S24*СПРАВОЧНИК!$N$12+'ПЛАН ЧИСТ К2'!T24*СПРАВОЧНИК!$O$12+'ПЛАН ЧИСТ К2'!U24*СПРАВОЧНИК!$P$12+'ПЛАН ЧИСТ К2'!V24*СПРАВОЧНИК!$L$13+'ПЛАН ЧИСТ К2'!W24*СПРАВОЧНИК!$M$13+'ПЛАН ЧИСТ К2'!X24*СПРАВОЧНИК!$N$13+'ПЛАН ЧИСТ К2'!Y24*СПРАВОЧНИК!$O$13+'ПЛАН ЧИСТ К2'!Z24*СПРАВОЧНИК!$P$13+'ПЛАН ЧИСТ К2'!AA24*СПРАВОЧНИК!$L$14+'ПЛАН ЧИСТ К2'!AB24*СПРАВОЧНИК!$M$14+'ПЛАН ЧИСТ К2'!AC24*СПРАВОЧНИК!$N$14+'ПЛАН ЧИСТ К2'!AD24*СПРАВОЧНИК!$O$14+'ПЛАН ЧИСТ К2'!AE24*СПРАВОЧНИК!$P$14+'ПЛАН ЧИСТ К2'!AF24*СПРАВОЧНИК!$L$15+'ПЛАН ЧИСТ К2'!AG24*СПРАВОЧНИК!$M$15+'ПЛАН ЧИСТ К2'!AH24*СПРАВОЧНИК!$N$15+'ПЛАН ЧИСТ К2'!AI24*СПРАВОЧНИК!$O$15+'ПЛАН ЧИСТ К2'!AJ24*СПРАВОЧНИК!$P$15</f>
        <v/>
      </c>
      <c r="AZ33" s="31">
        <f>('ФАКТ ЧИСТ К2'!B24)*СПРАВОЧНИК!$L$9+('ФАКТ ЧИСТ К2'!C24)*СПРАВОЧНИК!$M$9+('ФАКТ ЧИСТ К2'!D24)*СПРАВОЧНИК!$N$9+('ФАКТ ЧИСТ К2'!E24)*СПРАВОЧНИК!$O$9+('ФАКТ ЧИСТ К2'!F24)*СПРАВОЧНИК!$P$9+('ФАКТ ЧИСТ К2'!G24)*СПРАВОЧНИК!$L$10+('ФАКТ ЧИСТ К2'!H24)*СПРАВОЧНИК!$M$10+('ФАКТ ЧИСТ К2'!I24)*СПРАВОЧНИК!$N$10+('ФАКТ ЧИСТ К2'!J24)*СПРАВОЧНИК!$O$10+('ФАКТ ЧИСТ К2'!K24)*СПРАВОЧНИК!$P$10+('ФАКТ ЧИСТ К2'!L24)*СПРАВОЧНИК!$L$11+('ФАКТ ЧИСТ К2'!M24)*СПРАВОЧНИК!$M$11+('ФАКТ ЧИСТ К2'!N24)*СПРАВОЧНИК!$N$11+('ФАКТ ЧИСТ К2'!O24)*СПРАВОЧНИК!$O$11+('ФАКТ ЧИСТ К2'!P24)*СПРАВОЧНИК!$P$11+('ФАКТ ЧИСТ К2'!Q24)*СПРАВОЧНИК!$L$12+('ФАКТ ЧИСТ К2'!R24)*СПРАВОЧНИК!$M$12+('ФАКТ ЧИСТ К2'!S24)*СПРАВОЧНИК!$N$12+('ФАКТ ЧИСТ К2'!T24)*СПРАВОЧНИК!$O$12+('ФАКТ ЧИСТ К2'!U24)*СПРАВОЧНИК!$P$12+('ФАКТ ЧИСТ К2'!V24)*СПРАВОЧНИК!$L$13+('ФАКТ ЧИСТ К2'!W24)*СПРАВОЧНИК!$M$13+('ФАКТ ЧИСТ К2'!X24)*СПРАВОЧНИК!$N$13+('ФАКТ ЧИСТ К2'!Y24)*СПРАВОЧНИК!$O$13+('ФАКТ ЧИСТ К2'!Z24)*СПРАВОЧНИК!$P$13+('ФАКТ ЧИСТ К2'!AA24)*СПРАВОЧНИК!$L$14+('ФАКТ ЧИСТ К2'!AB24)*СПРАВОЧНИК!$M$14+('ФАКТ ЧИСТ К2'!AC24)*СПРАВОЧНИК!$N$14+('ФАКТ ЧИСТ К2'!AD24)*СПРАВОЧНИК!$O$14+('ФАКТ ЧИСТ К2'!AE24)*СПРАВОЧНИК!$P$14+('ФАКТ ЧИСТ К2'!AF24)*СПРАВОЧНИК!$L$15+('ФАКТ ЧИСТ К2'!AG24)*СПРАВОЧНИК!$M$15+('ФАКТ ЧИСТ К2'!AH24)*СПРАВОЧНИК!$N$15+('ФАКТ ЧИСТ К2'!AI24)*СПРАВОЧНИК!$O$15+('ФАКТ ЧИСТ К2'!AJ24)*СПРАВОЧНИК!$P$15</f>
        <v/>
      </c>
      <c r="BA33" s="34" t="n"/>
      <c r="BD33" s="152">
        <f>BD32+7</f>
        <v/>
      </c>
      <c r="BE33" s="17">
        <f>СПРАВОЧНИК!$E$9*('ПЛАН ЧЕРН К3'!B24*СПРАВОЧНИК!$H$9+'ПЛАН ЧЕРН К3'!C24*СПРАВОЧНИК!$I$9+'ПЛАН ЧЕРН К3'!D24*СПРАВОЧНИК!$J$9)+СПРАВОЧНИК!$F$9*('ПЛАН ЧИСТ К3'!B24*СПРАВОЧНИК!$L$9+'ПЛАН ЧИСТ К3'!C24*СПРАВОЧНИК!$M$9+'ПЛАН ЧИСТ К3'!D24*СПРАВОЧНИК!$N$9+'ПЛАН ЧИСТ К3'!E24*СПРАВОЧНИК!$O$9+'ПЛАН ЧИСТ К3'!F24*СПРАВОЧНИК!$P$9)+СПРАВОЧНИК!$E$10*('ПЛАН ЧЕРН К3'!E24*СПРАВОЧНИК!$H$10+'ПЛАН ЧЕРН К3'!F24*СПРАВОЧНИК!$I$10+'ПЛАН ЧЕРН К3'!G24*СПРАВОЧНИК!$J$10)+СПРАВОЧНИК!$F$10*('ПЛАН ЧИСТ К3'!G24*СПРАВОЧНИК!$L$10+'ПЛАН ЧИСТ К3'!H24*СПРАВОЧНИК!$M$10+'ПЛАН ЧИСТ К3'!I24*СПРАВОЧНИК!$N$10+'ПЛАН ЧИСТ К3'!J24*СПРАВОЧНИК!$O$10+'ПЛАН ЧИСТ К3'!K24*СПРАВОЧНИК!$P$10)+СПРАВОЧНИК!$E$11*('ПЛАН ЧЕРН К3'!H24*СПРАВОЧНИК!$H$11+'ПЛАН ЧЕРН К3'!I24*СПРАВОЧНИК!$I$11+'ПЛАН ЧЕРН К3'!J24*СПРАВОЧНИК!$J$11)+СПРАВОЧНИК!$F$11*('ПЛАН ЧИСТ К3'!L24*СПРАВОЧНИК!$L$11+'ПЛАН ЧИСТ К3'!M24*СПРАВОЧНИК!$M$11+'ПЛАН ЧИСТ К3'!N24*СПРАВОЧНИК!$N$11+'ПЛАН ЧИСТ К3'!O24*СПРАВОЧНИК!$O$11+'ПЛАН ЧИСТ К3'!P24*СПРАВОЧНИК!$P$11)+СПРАВОЧНИК!$E$12*('ПЛАН ЧЕРН К3'!K24*СПРАВОЧНИК!$H$12+'ПЛАН ЧЕРН К3'!L24*СПРАВОЧНИК!$I$12+'ПЛАН ЧЕРН К3'!M24*СПРАВОЧНИК!$J$12)+СПРАВОЧНИК!$F$12*('ПЛАН ЧИСТ К3'!Q24*СПРАВОЧНИК!$L$12+'ПЛАН ЧИСТ К3'!R24*СПРАВОЧНИК!$M$12+'ПЛАН ЧИСТ К3'!S24*СПРАВОЧНИК!$N$12+'ПЛАН ЧИСТ К3'!T24*СПРАВОЧНИК!$O$12+'ПЛАН ЧИСТ К3'!U24*СПРАВОЧНИК!$P$12)+СПРАВОЧНИК!$E$13*('ПЛАН ЧЕРН К3'!N24*СПРАВОЧНИК!$H$13+'ПЛАН ЧЕРН К3'!O24*СПРАВОЧНИК!$I$13+'ПЛАН ЧЕРН К3'!P24*СПРАВОЧНИК!$J$13)+СПРАВОЧНИК!$F$13*('ПЛАН ЧИСТ К3'!V24*СПРАВОЧНИК!$L$13+'ПЛАН ЧИСТ К3'!W24*СПРАВОЧНИК!$M$13+'ПЛАН ЧИСТ К3'!X24*СПРАВОЧНИК!$N$13+'ПЛАН ЧИСТ К3'!Y24*СПРАВОЧНИК!$O$13+'ПЛАН ЧИСТ К3'!Z24*СПРАВОЧНИК!$P$13)+СПРАВОЧНИК!$E$14*('ПЛАН ЧЕРН К3'!Q24*СПРАВОЧНИК!$H$14+'ПЛАН ЧЕРН К3'!R24*СПРАВОЧНИК!$I$14+'ПЛАН ЧЕРН К3'!S24*СПРАВОЧНИК!$J$14)+СПРАВОЧНИК!$F$14*('ПЛАН ЧИСТ К3'!AA24*СПРАВОЧНИК!$L$14+'ПЛАН ЧИСТ К3'!AB24*СПРАВОЧНИК!$M$14+'ПЛАН ЧИСТ К3'!AC24*СПРАВОЧНИК!$N$14+'ПЛАН ЧИСТ К3'!AD24*СПРАВОЧНИК!$O$14+'ПЛАН ЧИСТ К3'!AE24*СПРАВОЧНИК!$P$14)+СПРАВОЧНИК!$E$15*('ПЛАН ЧЕРН К3'!T24*СПРАВОЧНИК!$H$15+'ПЛАН ЧЕРН К3'!U24*СПРАВОЧНИК!$I$15+'ПЛАН ЧЕРН К3'!V24*СПРАВОЧНИК!$J$15)+СПРАВОЧНИК!$F$15*('ПЛАН ЧИСТ К3'!AF24*СПРАВОЧНИК!$L$15+'ПЛАН ЧИСТ К3'!AG24*СПРАВОЧНИК!$M$15+'ПЛАН ЧИСТ К3'!AH24*СПРАВОЧНИК!$N$15+'ПЛАН ЧИСТ К3'!AI24*СПРАВОЧНИК!$O$15+'ПЛАН ЧИСТ К3'!AJ24*СПРАВОЧНИК!$P$15)</f>
        <v/>
      </c>
      <c r="BF33" s="31">
        <f>СПРАВОЧНИК!$E$9*('ФАКТ ЧЕРН К3'!B24*СПРАВОЧНИК!$H$9+'ФАКТ ЧЕРН К3'!C24*СПРАВОЧНИК!$I$9+'ФАКТ ЧЕРН К3'!D24*СПРАВОЧНИК!$J$9)+СПРАВОЧНИК!$F$9*('ФАКТ ЧИСТ К3'!B24*СПРАВОЧНИК!$L$9+'ФАКТ ЧИСТ К3'!C24*СПРАВОЧНИК!$M$9+'ФАКТ ЧИСТ К3'!D24*СПРАВОЧНИК!$N$9+'ФАКТ ЧИСТ К3'!E24*СПРАВОЧНИК!$O$9+'ФАКТ ЧИСТ К3'!F24*СПРАВОЧНИК!$P$9)+СПРАВОЧНИК!$E$10*('ФАКТ ЧЕРН К3'!E24*СПРАВОЧНИК!$H$10+'ФАКТ ЧЕРН К3'!F24*СПРАВОЧНИК!$I$10+'ФАКТ ЧЕРН К3'!G24*СПРАВОЧНИК!$J$10)+СПРАВОЧНИК!$F$10*('ФАКТ ЧИСТ К3'!G24*СПРАВОЧНИК!$L$10+'ФАКТ ЧИСТ К3'!H24*СПРАВОЧНИК!$M$10+'ФАКТ ЧИСТ К3'!I24*СПРАВОЧНИК!$N$10+'ФАКТ ЧИСТ К3'!J24*СПРАВОЧНИК!$O$10+'ФАКТ ЧИСТ К3'!K24*СПРАВОЧНИК!$P$10)+СПРАВОЧНИК!$E$11*('ФАКТ ЧЕРН К3'!H24*СПРАВОЧНИК!$H$11+'ФАКТ ЧЕРН К3'!I24*СПРАВОЧНИК!$I$11+'ФАКТ ЧЕРН К3'!J24*СПРАВОЧНИК!$J$11)+СПРАВОЧНИК!$F$11*('ФАКТ ЧИСТ К3'!L24*СПРАВОЧНИК!$L$11+'ФАКТ ЧИСТ К3'!M24*СПРАВОЧНИК!$M$11+'ФАКТ ЧИСТ К3'!N24*СПРАВОЧНИК!$N$11+'ФАКТ ЧИСТ К3'!O24*СПРАВОЧНИК!$O$11+'ФАКТ ЧИСТ К3'!P24*СПРАВОЧНИК!$P$11)+СПРАВОЧНИК!$E$12*('ФАКТ ЧЕРН К3'!K24*СПРАВОЧНИК!$H$12+'ФАКТ ЧЕРН К3'!L24*СПРАВОЧНИК!$I$12+'ФАКТ ЧЕРН К3'!M24*СПРАВОЧНИК!$J$12)+СПРАВОЧНИК!$F$12*('ФАКТ ЧИСТ К3'!Q24*СПРАВОЧНИК!$L$12+'ФАКТ ЧИСТ К3'!R24*СПРАВОЧНИК!$M$12+'ФАКТ ЧИСТ К3'!S24*СПРАВОЧНИК!$N$12+'ФАКТ ЧИСТ К3'!T24*СПРАВОЧНИК!$O$12+'ФАКТ ЧИСТ К3'!U24*СПРАВОЧНИК!$P$12)+СПРАВОЧНИК!$E$13*('ФАКТ ЧЕРН К3'!N24*СПРАВОЧНИК!$H$13+'ФАКТ ЧЕРН К3'!O24*СПРАВОЧНИК!$I$13+'ФАКТ ЧЕРН К3'!P24*СПРАВОЧНИК!$J$13)+СПРАВОЧНИК!$F$13*('ФАКТ ЧИСТ К3'!V24*СПРАВОЧНИК!$L$13+'ФАКТ ЧИСТ К3'!W24*СПРАВОЧНИК!$M$13+'ФАКТ ЧИСТ К3'!X24*СПРАВОЧНИК!$N$13+'ФАКТ ЧИСТ К3'!Y24*СПРАВОЧНИК!$O$13+'ФАКТ ЧИСТ К3'!Z24*СПРАВОЧНИК!$P$13)+СПРАВОЧНИК!$E$14*('ФАКТ ЧЕРН К3'!Q24*СПРАВОЧНИК!$H$14+'ФАКТ ЧЕРН К3'!R24*СПРАВОЧНИК!$I$14+'ФАКТ ЧЕРН К3'!S24*СПРАВОЧНИК!$J$14)+СПРАВОЧНИК!$F$14*('ФАКТ ЧИСТ К3'!AA24*СПРАВОЧНИК!$L$14+'ФАКТ ЧИСТ К3'!AB24*СПРАВОЧНИК!$M$14+'ФАКТ ЧИСТ К3'!AC24*СПРАВОЧНИК!$N$14+'ФАКТ ЧИСТ К3'!AD24*СПРАВОЧНИК!$O$14+'ФАКТ ЧИСТ К3'!AE24*СПРАВОЧНИК!$P$14)+СПРАВОЧНИК!$E$15*('ФАКТ ЧЕРН К3'!T24*СПРАВОЧНИК!$H$15+'ФАКТ ЧЕРН К3'!U24*СПРАВОЧНИК!$I$15+'ФАКТ ЧЕРН К3'!V24*СПРАВОЧНИК!$J$15)+СПРАВОЧНИК!$F$15*('ФАКТ ЧИСТ К3'!AF24*СПРАВОЧНИК!$L$15+'ФАКТ ЧИСТ К3'!AG24*СПРАВОЧНИК!$M$15+'ФАКТ ЧИСТ К3'!AH24*СПРАВОЧНИК!$N$15+'ФАКТ ЧИСТ К3'!AI24*СПРАВОЧНИК!$O$15+'ФАКТ ЧИСТ К3'!AJ24*СПРАВОЧНИК!$P$15)</f>
        <v/>
      </c>
      <c r="BG33" s="34" t="n"/>
      <c r="BJ33" s="152">
        <f>BJ32+7</f>
        <v/>
      </c>
      <c r="BK33" s="17">
        <f>'ПЛАН ЧЕРН К3'!B24*СПРАВОЧНИК!$H$9+'ПЛАН ЧЕРН К3'!C24*СПРАВОЧНИК!$I$9+'ПЛАН ЧЕРН К3'!D24*СПРАВОЧНИК!$J$9+'ПЛАН ЧЕРН К3'!E24*СПРАВОЧНИК!$H$10+'ПЛАН ЧЕРН К3'!F24*СПРАВОЧНИК!$I$10+'ПЛАН ЧЕРН К3'!G24*СПРАВОЧНИК!$J$10+'ПЛАН ЧЕРН К3'!H24*СПРАВОЧНИК!$H$11+'ПЛАН ЧЕРН К3'!I24*СПРАВОЧНИК!$I$11+'ПЛАН ЧЕРН К3'!J24*СПРАВОЧНИК!$J$11+'ПЛАН ЧЕРН К3'!K24*СПРАВОЧНИК!$H$12+'ПЛАН ЧЕРН К3'!L24*СПРАВОЧНИК!$I$12+'ПЛАН ЧЕРН К3'!M24*СПРАВОЧНИК!$J$12+'ПЛАН ЧЕРН К3'!N24*СПРАВОЧНИК!$H$13+'ПЛАН ЧЕРН К3'!O24*СПРАВОЧНИК!$I$13+'ПЛАН ЧЕРН К3'!P24*СПРАВОЧНИК!$J$13+'ПЛАН ЧЕРН К3'!Q24*СПРАВОЧНИК!$H$14+'ПЛАН ЧЕРН К3'!R24*СПРАВОЧНИК!$I$14+'ПЛАН ЧЕРН К3'!S24*СПРАВОЧНИК!$J$14+'ПЛАН ЧЕРН К3'!T24*СПРАВОЧНИК!$H$15+'ПЛАН ЧЕРН К3'!U24*СПРАВОЧНИК!$I$15+'ПЛАН ЧЕРН К3'!V24*СПРАВОЧНИК!$J$15</f>
        <v/>
      </c>
      <c r="BL33" s="31">
        <f>('ФАКТ ЧЕРН К3'!B24)*СПРАВОЧНИК!$H$9+('ФАКТ ЧЕРН К3'!C24)*СПРАВОЧНИК!$I$9+('ФАКТ ЧЕРН К3'!D24)*СПРАВОЧНИК!$J$9+('ФАКТ ЧЕРН К3'!E24)*СПРАВОЧНИК!$H$10+('ФАКТ ЧЕРН К3'!F24)*СПРАВОЧНИК!$I$10+('ФАКТ ЧЕРН К3'!G24)*СПРАВОЧНИК!$J$10+('ФАКТ ЧЕРН К3'!H24)*СПРАВОЧНИК!$H$11+('ФАКТ ЧЕРН К3'!I24)*СПРАВОЧНИК!$I$11+('ФАКТ ЧЕРН К3'!J24)*СПРАВОЧНИК!$J$11+('ФАКТ ЧЕРН К3'!K24)*СПРАВОЧНИК!$H$12+('ФАКТ ЧЕРН К3'!L24)*СПРАВОЧНИК!$I$12+('ФАКТ ЧЕРН К3'!M24)*СПРАВОЧНИК!$J$12+('ФАКТ ЧЕРН К3'!N24)*СПРАВОЧНИК!$H$13+('ФАКТ ЧЕРН К3'!O24)*СПРАВОЧНИК!$I$13+('ФАКТ ЧЕРН К3'!P24)*СПРАВОЧНИК!$J$13+('ФАКТ ЧЕРН К3'!Q24)*СПРАВОЧНИК!$H$14+('ФАКТ ЧЕРН К3'!R24)*СПРАВОЧНИК!$I$14+('ФАКТ ЧЕРН К3'!S24)*СПРАВОЧНИК!$J$14+('ФАКТ ЧЕРН К3'!T24)*СПРАВОЧНИК!$H$15+('ФАКТ ЧЕРН К3'!U24)*СПРАВОЧНИК!$I$15+('ФАКТ ЧЕРН К3'!V24)*СПРАВОЧНИК!$J$15</f>
        <v/>
      </c>
      <c r="BM33" s="34" t="n"/>
      <c r="BP33" s="152">
        <f>BP32+7</f>
        <v/>
      </c>
      <c r="BQ33" s="17">
        <f>'ПЛАН ЧИСТ К3'!B24*СПРАВОЧНИК!$L$9+'ПЛАН ЧИСТ К3'!C24*СПРАВОЧНИК!$M$9+'ПЛАН ЧИСТ К3'!D24*СПРАВОЧНИК!$N$9+'ПЛАН ЧИСТ К3'!E24*СПРАВОЧНИК!$O$9+'ПЛАН ЧИСТ К3'!F24*СПРАВОЧНИК!$P$9+'ПЛАН ЧИСТ К3'!G24*СПРАВОЧНИК!$L$10+'ПЛАН ЧИСТ К3'!H24*СПРАВОЧНИК!$M$10+'ПЛАН ЧИСТ К3'!I24*СПРАВОЧНИК!$N$10+'ПЛАН ЧИСТ К3'!J24*СПРАВОЧНИК!$O$10+'ПЛАН ЧИСТ К3'!K24*СПРАВОЧНИК!$P$10+'ПЛАН ЧИСТ К3'!L24*СПРАВОЧНИК!$L$11+'ПЛАН ЧИСТ К3'!M24*СПРАВОЧНИК!$M$11+'ПЛАН ЧИСТ К3'!N24*СПРАВОЧНИК!$N$11+'ПЛАН ЧИСТ К3'!O24*СПРАВОЧНИК!$O$11+'ПЛАН ЧИСТ К3'!P24*СПРАВОЧНИК!$P$11+'ПЛАН ЧИСТ К3'!Q24*СПРАВОЧНИК!$L$12+'ПЛАН ЧИСТ К3'!R24*СПРАВОЧНИК!$M$12+'ПЛАН ЧИСТ К3'!S24*СПРАВОЧНИК!$N$12+'ПЛАН ЧИСТ К3'!T24*СПРАВОЧНИК!$O$12+'ПЛАН ЧИСТ К3'!U24*СПРАВОЧНИК!$P$12+'ПЛАН ЧИСТ К3'!V24*СПРАВОЧНИК!$L$13+'ПЛАН ЧИСТ К3'!W24*СПРАВОЧНИК!$M$13+'ПЛАН ЧИСТ К3'!X24*СПРАВОЧНИК!$N$13+'ПЛАН ЧИСТ К3'!Y24*СПРАВОЧНИК!$O$13+'ПЛАН ЧИСТ К3'!Z24*СПРАВОЧНИК!$P$13+'ПЛАН ЧИСТ К3'!AA24*СПРАВОЧНИК!$L$14+'ПЛАН ЧИСТ К3'!AB24*СПРАВОЧНИК!$M$14+'ПЛАН ЧИСТ К3'!AC24*СПРАВОЧНИК!$N$14+'ПЛАН ЧИСТ К3'!AD24*СПРАВОЧНИК!$O$14+'ПЛАН ЧИСТ К3'!AE24*СПРАВОЧНИК!$P$14+'ПЛАН ЧИСТ К3'!AF24*СПРАВОЧНИК!$L$15+'ПЛАН ЧИСТ К3'!AG24*СПРАВОЧНИК!$M$15+'ПЛАН ЧИСТ К3'!AH24*СПРАВОЧНИК!$N$15+'ПЛАН ЧИСТ К3'!AI24*СПРАВОЧНИК!$O$15+'ПЛАН ЧИСТ К3'!AJ24*СПРАВОЧНИК!$P$15</f>
        <v/>
      </c>
      <c r="BR33" s="31">
        <f>('ФАКТ ЧИСТ К3'!B24)*СПРАВОЧНИК!$L$9+('ФАКТ ЧИСТ К3'!C24)*СПРАВОЧНИК!$M$9+('ФАКТ ЧИСТ К3'!D24)*СПРАВОЧНИК!$N$9+('ФАКТ ЧИСТ К3'!E24)*СПРАВОЧНИК!$O$9+('ФАКТ ЧИСТ К3'!F24)*СПРАВОЧНИК!$P$9+('ФАКТ ЧИСТ К3'!G24)*СПРАВОЧНИК!$L$10+('ФАКТ ЧИСТ К3'!H24)*СПРАВОЧНИК!$M$10+('ФАКТ ЧИСТ К3'!I24)*СПРАВОЧНИК!$N$10+('ФАКТ ЧИСТ К3'!J24)*СПРАВОЧНИК!$O$10+('ФАКТ ЧИСТ К3'!K24)*СПРАВОЧНИК!$P$10+('ФАКТ ЧИСТ К3'!L24)*СПРАВОЧНИК!$L$11+('ФАКТ ЧИСТ К3'!M24)*СПРАВОЧНИК!$M$11+('ФАКТ ЧИСТ К3'!N24)*СПРАВОЧНИК!$N$11+('ФАКТ ЧИСТ К3'!O24)*СПРАВОЧНИК!$O$11+('ФАКТ ЧИСТ К3'!P24)*СПРАВОЧНИК!$P$11+('ФАКТ ЧИСТ К3'!Q24)*СПРАВОЧНИК!$L$12+('ФАКТ ЧИСТ К3'!R24)*СПРАВОЧНИК!$M$12+('ФАКТ ЧИСТ К3'!S24)*СПРАВОЧНИК!$N$12+('ФАКТ ЧИСТ К3'!T24)*СПРАВОЧНИК!$O$12+('ФАКТ ЧИСТ К3'!U24)*СПРАВОЧНИК!$P$12+('ФАКТ ЧИСТ К3'!V24)*СПРАВОЧНИК!$L$13+('ФАКТ ЧИСТ К3'!W24)*СПРАВОЧНИК!$M$13+('ФАКТ ЧИСТ К3'!X24)*СПРАВОЧНИК!$N$13+('ФАКТ ЧИСТ К3'!Y24)*СПРАВОЧНИК!$O$13+('ФАКТ ЧИСТ К3'!Z24)*СПРАВОЧНИК!$P$13+('ФАКТ ЧИСТ К3'!AA24)*СПРАВОЧНИК!$L$14+('ФАКТ ЧИСТ К3'!AB24)*СПРАВОЧНИК!$M$14+('ФАКТ ЧИСТ К3'!AC24)*СПРАВОЧНИК!$N$14+('ФАКТ ЧИСТ К3'!AD24)*СПРАВОЧНИК!$O$14+('ФАКТ ЧИСТ К3'!AE24)*СПРАВОЧНИК!$P$14+('ФАКТ ЧИСТ К3'!AF24)*СПРАВОЧНИК!$L$15+('ФАКТ ЧИСТ К3'!AG24)*СПРАВОЧНИК!$M$15+('ФАКТ ЧИСТ К3'!AH24)*СПРАВОЧНИК!$N$15+('ФАКТ ЧИСТ К3'!AI24)*СПРАВОЧНИК!$O$15+('ФАКТ ЧИСТ К3'!AJ24)*СПРАВОЧНИК!$P$15</f>
        <v/>
      </c>
      <c r="BS33" s="34" t="n"/>
      <c r="BV33" s="152">
        <f>BV32+7</f>
        <v/>
      </c>
      <c r="BW33" s="17">
        <f>U33*СПРАВОЧНИК!$K$28+AM33*СПРАВОЧНИК!$K$29+BE33*СПРАВОЧНИК!$K$30</f>
        <v/>
      </c>
      <c r="BX33" s="31">
        <f>V33*СПРАВОЧНИК!$K$28+AN33*СПРАВОЧНИК!$K$29+BF33*СПРАВОЧНИК!$K$30</f>
        <v/>
      </c>
      <c r="BY33" s="34" t="n"/>
      <c r="CB33" s="152">
        <f>CB32+7</f>
        <v/>
      </c>
      <c r="CC33" s="17">
        <f>AA33*СПРАВОЧНИК!$K$28+AS33*СПРАВОЧНИК!$K$29+BK33*СПРАВОЧНИК!$K$30</f>
        <v/>
      </c>
      <c r="CD33" s="31">
        <f>AB33*СПРАВОЧНИК!$K$28+AT33*СПРАВОЧНИК!$K$29+BL33*СПРАВОЧНИК!$K$30</f>
        <v/>
      </c>
      <c r="CE33" s="34" t="n"/>
      <c r="CH33" s="152">
        <f>CH32+7</f>
        <v/>
      </c>
      <c r="CI33" s="17">
        <f>AG33*СПРАВОЧНИК!$K$28+AY33*СПРАВОЧНИК!$K$29+BQ33*СПРАВОЧНИК!$K$30</f>
        <v/>
      </c>
      <c r="CJ33" s="31">
        <f>AH33*СПРАВОЧНИК!$K$28+AZ33*СПРАВОЧНИК!$K$29+BR33*СПРАВОЧНИК!$K$30</f>
        <v/>
      </c>
      <c r="CK33" s="34" t="n"/>
      <c r="CN33" s="152">
        <f>CN32+7</f>
        <v/>
      </c>
      <c r="CO33" s="17">
        <f>C33*СПРАВОЧНИК!$W$18+BW33*СПРАВОЧНИК!$W$19</f>
        <v/>
      </c>
      <c r="CP33" s="31">
        <f>D33*СПРАВОЧНИК!$W$18+BX33*СПРАВОЧНИК!$W$19</f>
        <v/>
      </c>
      <c r="CQ33" s="34" t="n"/>
      <c r="CT33" s="152">
        <f>CT32+7</f>
        <v/>
      </c>
      <c r="CU33" s="17">
        <f>I33*СПРАВОЧНИК!$W$18+CC33*СПРАВОЧНИК!$W$19</f>
        <v/>
      </c>
      <c r="CV33" s="31">
        <f>J33*СПРАВОЧНИК!$W$18+CD33*СПРАВОЧНИК!$W$19</f>
        <v/>
      </c>
      <c r="CW33" s="34" t="n"/>
      <c r="CZ33" s="152">
        <f>CZ32+7</f>
        <v/>
      </c>
      <c r="DA33" s="17">
        <f>O33*СПРАВОЧНИК!$W$18+CI33*СПРАВОЧНИК!$W$19</f>
        <v/>
      </c>
      <c r="DB33" s="31">
        <f>P33*СПРАВОЧНИК!$W$18+CJ33*СПРАВОЧНИК!$W$19</f>
        <v/>
      </c>
      <c r="DC33" s="34" t="n"/>
    </row>
    <row r="34">
      <c r="B34" s="152">
        <f>B33+7</f>
        <v/>
      </c>
      <c r="C34" s="17">
        <f>СПРАВОЧНИК!$E$3*('ПЛАН ЧЕРН ПОДЗЕМ'!B25*СПРАВОЧНИК!$H$3+'ПЛАН ЧЕРН ПОДЗЕМ'!C25*СПРАВОЧНИК!$I$3+'ПЛАН ЧЕРН ПОДЗЕМ'!D25*СПРАВОЧНИК!$J$3)+СПРАВОЧНИК!$F$3*('ПЛАН ЧИСТ ПОДЗЕМ'!B25*СПРАВОЧНИК!$L$3+'ПЛАН ЧИСТ ПОДЗЕМ'!C25*СПРАВОЧНИК!$M$3+'ПЛАН ЧИСТ ПОДЗЕМ'!D25*СПРАВОЧНИК!$N$3+'ПЛАН ЧИСТ ПОДЗЕМ'!E25*СПРАВОЧНИК!$O$3+'ПЛАН ЧИСТ ПОДЗЕМ'!F25*СПРАВОЧНИК!$P$3)+СПРАВОЧНИК!$E$4*('ПЛАН ЧЕРН ПОДЗЕМ'!E25*СПРАВОЧНИК!$H$4+'ПЛАН ЧЕРН ПОДЗЕМ'!F25*СПРАВОЧНИК!$I$4+'ПЛАН ЧЕРН ПОДЗЕМ'!G25*СПРАВОЧНИК!$J$4)+СПРАВОЧНИК!$F$4*('ПЛАН ЧИСТ ПОДЗЕМ'!G25*СПРАВОЧНИК!$L$4+'ПЛАН ЧИСТ ПОДЗЕМ'!H25*СПРАВОЧНИК!$M$4+'ПЛАН ЧИСТ ПОДЗЕМ'!I25*СПРАВОЧНИК!$N$4+'ПЛАН ЧИСТ ПОДЗЕМ'!J25*СПРАВОЧНИК!$O$4+'ПЛАН ЧИСТ ПОДЗЕМ'!K25*СПРАВОЧНИК!$P$4)+СПРАВОЧНИК!$E$5*('ПЛАН ЧЕРН ПОДЗЕМ'!H25*СПРАВОЧНИК!$H$5+'ПЛАН ЧЕРН ПОДЗЕМ'!I25*СПРАВОЧНИК!$I$5+'ПЛАН ЧЕРН ПОДЗЕМ'!J25*СПРАВОЧНИК!$J$5)+СПРАВОЧНИК!$F$5*('ПЛАН ЧИСТ ПОДЗЕМ'!L25*СПРАВОЧНИК!$L$5+'ПЛАН ЧИСТ ПОДЗЕМ'!M25*СПРАВОЧНИК!$M$5+'ПЛАН ЧИСТ ПОДЗЕМ'!N25*СПРАВОЧНИК!$N$5+'ПЛАН ЧИСТ ПОДЗЕМ'!O25*СПРАВОЧНИК!$O$5+'ПЛАН ЧИСТ ПОДЗЕМ'!P25*СПРАВОЧНИК!$P$5)+СПРАВОЧНИК!$E$6*('ПЛАН ЧЕРН ПОДЗЕМ'!K25*СПРАВОЧНИК!$H$6+'ПЛАН ЧЕРН ПОДЗЕМ'!L25*СПРАВОЧНИК!$I$6+'ПЛАН ЧЕРН ПОДЗЕМ'!M25*СПРАВОЧНИК!$J$6)+СПРАВОЧНИК!$F$6*('ПЛАН ЧИСТ ПОДЗЕМ'!Q25*СПРАВОЧНИК!$L$6+'ПЛАН ЧИСТ ПОДЗЕМ'!R25*СПРАВОЧНИК!$M$6+'ПЛАН ЧИСТ ПОДЗЕМ'!S25*СПРАВОЧНИК!$N$6+'ПЛАН ЧИСТ ПОДЗЕМ'!T25*СПРАВОЧНИК!$O$6+'ПЛАН ЧИСТ ПОДЗЕМ'!U25*СПРАВОЧНИК!$P$6)+СПРАВОЧНИК!$E$7*('ПЛАН ЧЕРН ПОДЗЕМ'!N25*СПРАВОЧНИК!$H$7+'ПЛАН ЧЕРН ПОДЗЕМ'!O25*СПРАВОЧНИК!$I$7+'ПЛАН ЧЕРН ПОДЗЕМ'!P25*СПРАВОЧНИК!$J$7)+СПРАВОЧНИК!$F$7*('ПЛАН ЧИСТ ПОДЗЕМ'!V25*СПРАВОЧНИК!$L$7+'ПЛАН ЧИСТ ПОДЗЕМ'!W25*СПРАВОЧНИК!$M$7+'ПЛАН ЧИСТ ПОДЗЕМ'!X25*СПРАВОЧНИК!$N$7+'ПЛАН ЧИСТ ПОДЗЕМ'!Y25*СПРАВОЧНИК!$O$7+'ПЛАН ЧИСТ ПОДЗЕМ'!Z25*СПРАВОЧНИК!$P$7)+СПРАВОЧНИК!$E$8*('ПЛАН ЧЕРН ПОДЗЕМ'!Q25*СПРАВОЧНИК!$H$8+'ПЛАН ЧЕРН ПОДЗЕМ'!R25*СПРАВОЧНИК!$I$8+'ПЛАН ЧЕРН ПОДЗЕМ'!S25*СПРАВОЧНИК!$J$8)+СПРАВОЧНИК!$F$8*('ПЛАН ЧИСТ ПОДЗЕМ'!AA25*СПРАВОЧНИК!$L$8+'ПЛАН ЧИСТ ПОДЗЕМ'!AB25*СПРАВОЧНИК!$M$8+'ПЛАН ЧИСТ ПОДЗЕМ'!AC25*СПРАВОЧНИК!$N$8+'ПЛАН ЧИСТ ПОДЗЕМ'!AD25*СПРАВОЧНИК!$O$8+'ПЛАН ЧИСТ ПОДЗЕМ'!AE25*СПРАВОЧНИК!$P$8)</f>
        <v/>
      </c>
      <c r="D34" s="31">
        <f>СПРАВОЧНИК!$E$3*('ФАКТ ЧЕРН ПОДЗЕМ'!B25*СПРАВОЧНИК!$H$3+'ФАКТ ЧЕРН ПОДЗЕМ'!C25*СПРАВОЧНИК!$I$3+'ФАКТ ЧЕРН ПОДЗЕМ'!D25*СПРАВОЧНИК!$J$3)+СПРАВОЧНИК!$F$3*('ФАКТ ЧИСТ ПОДЗЕМ'!B25*СПРАВОЧНИК!$L$3+'ФАКТ ЧИСТ ПОДЗЕМ'!C25*СПРАВОЧНИК!$M$3+'ФАКТ ЧИСТ ПОДЗЕМ'!D25*СПРАВОЧНИК!$N$3+'ФАКТ ЧИСТ ПОДЗЕМ'!E25*СПРАВОЧНИК!$O$3+'ФАКТ ЧИСТ ПОДЗЕМ'!F25*СПРАВОЧНИК!$P$3)+СПРАВОЧНИК!$E$4*('ФАКТ ЧЕРН ПОДЗЕМ'!E25*СПРАВОЧНИК!$H$4+'ФАКТ ЧЕРН ПОДЗЕМ'!F25*СПРАВОЧНИК!$I$4+'ФАКТ ЧЕРН ПОДЗЕМ'!G25*СПРАВОЧНИК!$J$4)+СПРАВОЧНИК!$F$4*('ФАКТ ЧИСТ ПОДЗЕМ'!G25*СПРАВОЧНИК!$L$4+'ФАКТ ЧИСТ ПОДЗЕМ'!H25*СПРАВОЧНИК!$M$4+'ФАКТ ЧИСТ ПОДЗЕМ'!I25*СПРАВОЧНИК!$N$4+'ФАКТ ЧИСТ ПОДЗЕМ'!J25*СПРАВОЧНИК!$O$4+'ФАКТ ЧИСТ ПОДЗЕМ'!K25*СПРАВОЧНИК!$P$4)+СПРАВОЧНИК!$E$5*('ФАКТ ЧЕРН ПОДЗЕМ'!H25*СПРАВОЧНИК!$H$5+'ФАКТ ЧЕРН ПОДЗЕМ'!I25*СПРАВОЧНИК!$I$5+'ФАКТ ЧЕРН ПОДЗЕМ'!J25*СПРАВОЧНИК!$J$5)+СПРАВОЧНИК!$F$5*('ФАКТ ЧИСТ ПОДЗЕМ'!L25*СПРАВОЧНИК!$L$5+'ФАКТ ЧИСТ ПОДЗЕМ'!M25*СПРАВОЧНИК!$M$5+'ФАКТ ЧИСТ ПОДЗЕМ'!N25*СПРАВОЧНИК!$N$5+'ФАКТ ЧИСТ ПОДЗЕМ'!O25*СПРАВОЧНИК!$O$5+'ФАКТ ЧИСТ ПОДЗЕМ'!P25*СПРАВОЧНИК!$P$5)+СПРАВОЧНИК!$E$6*('ФАКТ ЧЕРН ПОДЗЕМ'!K25*СПРАВОЧНИК!$H$6+'ФАКТ ЧЕРН ПОДЗЕМ'!L25*СПРАВОЧНИК!$I$6+'ФАКТ ЧЕРН ПОДЗЕМ'!M25*СПРАВОЧНИК!$J$6)+СПРАВОЧНИК!$F$6*('ФАКТ ЧИСТ ПОДЗЕМ'!Q25*СПРАВОЧНИК!$L$6+'ФАКТ ЧИСТ ПОДЗЕМ'!R25*СПРАВОЧНИК!$M$6+'ФАКТ ЧИСТ ПОДЗЕМ'!S25*СПРАВОЧНИК!$N$6+'ФАКТ ЧИСТ ПОДЗЕМ'!T25*СПРАВОЧНИК!$O$6+'ФАКТ ЧИСТ ПОДЗЕМ'!U25*СПРАВОЧНИК!$P$6)+СПРАВОЧНИК!$E$7*('ФАКТ ЧЕРН ПОДЗЕМ'!N25*СПРАВОЧНИК!$H$7+'ФАКТ ЧЕРН ПОДЗЕМ'!O25*СПРАВОЧНИК!$I$7+'ФАКТ ЧЕРН ПОДЗЕМ'!P25*СПРАВОЧНИК!$J$7)+СПРАВОЧНИК!$F$7*('ФАКТ ЧИСТ ПОДЗЕМ'!V25*СПРАВОЧНИК!$L$7+'ФАКТ ЧИСТ ПОДЗЕМ'!W25*СПРАВОЧНИК!$M$7+'ФАКТ ЧИСТ ПОДЗЕМ'!X25*СПРАВОЧНИК!$N$7+'ФАКТ ЧИСТ ПОДЗЕМ'!Y25*СПРАВОЧНИК!$O$7+'ФАКТ ЧИСТ ПОДЗЕМ'!Z25*СПРАВОЧНИК!$P$7)+СПРАВОЧНИК!$E$8*('ФАКТ ЧЕРН ПОДЗЕМ'!Q25*СПРАВОЧНИК!$H$8+'ФАКТ ЧЕРН ПОДЗЕМ'!R25*СПРАВОЧНИК!$I$8+'ФАКТ ЧЕРН ПОДЗЕМ'!S25*СПРАВОЧНИК!$J$8)+СПРАВОЧНИК!$F$8*('ФАКТ ЧИСТ ПОДЗЕМ'!AA25*СПРАВОЧНИК!$L$8+'ФАКТ ЧИСТ ПОДЗЕМ'!AB25*СПРАВОЧНИК!$M$8+'ФАКТ ЧИСТ ПОДЗЕМ'!AC25*СПРАВОЧНИК!$N$8+'ФАКТ ЧИСТ ПОДЗЕМ'!AD25*СПРАВОЧНИК!$O$8+'ФАКТ ЧИСТ ПОДЗЕМ'!AE25*СПРАВОЧНИК!$P$8)</f>
        <v/>
      </c>
      <c r="E34" s="34" t="n"/>
      <c r="H34" s="152">
        <f>H33+7</f>
        <v/>
      </c>
      <c r="I34" s="17">
        <f>'ПЛАН ЧЕРН ПОДЗЕМ'!B25*СПРАВОЧНИК!$H$3+'ПЛАН ЧЕРН ПОДЗЕМ'!C25*СПРАВОЧНИК!$I$3+'ПЛАН ЧЕРН ПОДЗЕМ'!D25*СПРАВОЧНИК!$J$3+'ПЛАН ЧЕРН ПОДЗЕМ'!E25*СПРАВОЧНИК!$H$4+'ПЛАН ЧЕРН ПОДЗЕМ'!F25*СПРАВОЧНИК!$I$4+'ПЛАН ЧЕРН ПОДЗЕМ'!G25*СПРАВОЧНИК!$J$4+'ПЛАН ЧЕРН ПОДЗЕМ'!H25*СПРАВОЧНИК!$H$5+'ПЛАН ЧЕРН ПОДЗЕМ'!I25*СПРАВОЧНИК!$I$5+'ПЛАН ЧЕРН ПОДЗЕМ'!J25*СПРАВОЧНИК!$J$5+'ПЛАН ЧЕРН ПОДЗЕМ'!K25*СПРАВОЧНИК!$H$6+'ПЛАН ЧЕРН ПОДЗЕМ'!L25*СПРАВОЧНИК!$I$6+'ПЛАН ЧЕРН ПОДЗЕМ'!M25*СПРАВОЧНИК!$J$6+'ПЛАН ЧЕРН ПОДЗЕМ'!N25*СПРАВОЧНИК!$H$7+'ПЛАН ЧЕРН ПОДЗЕМ'!O25*СПРАВОЧНИК!$I$7+'ПЛАН ЧЕРН ПОДЗЕМ'!P25*СПРАВОЧНИК!$J$7+'ПЛАН ЧЕРН ПОДЗЕМ'!Q25*СПРАВОЧНИК!$H$8+'ПЛАН ЧЕРН ПОДЗЕМ'!R25*СПРАВОЧНИК!$I$8+'ПЛАН ЧЕРН ПОДЗЕМ'!S25*СПРАВОЧНИК!$J$8</f>
        <v/>
      </c>
      <c r="J34" s="31">
        <f>('ФАКТ ЧЕРН ПОДЗЕМ'!B25)*СПРАВОЧНИК!$H$3+('ФАКТ ЧЕРН ПОДЗЕМ'!C25)*СПРАВОЧНИК!$I$3+('ФАКТ ЧЕРН ПОДЗЕМ'!D25)*СПРАВОЧНИК!$J$3+('ФАКТ ЧЕРН ПОДЗЕМ'!E25)*СПРАВОЧНИК!$H$4+('ФАКТ ЧЕРН ПОДЗЕМ'!F25)*СПРАВОЧНИК!$I$4+('ФАКТ ЧЕРН ПОДЗЕМ'!G25)*СПРАВОЧНИК!$J$4+('ФАКТ ЧЕРН ПОДЗЕМ'!H25)*СПРАВОЧНИК!$H$5+('ФАКТ ЧЕРН ПОДЗЕМ'!I25)*СПРАВОЧНИК!$I$5+('ФАКТ ЧЕРН ПОДЗЕМ'!J25)*СПРАВОЧНИК!$J$5+('ФАКТ ЧЕРН ПОДЗЕМ'!K25)*СПРАВОЧНИК!$H$6+('ФАКТ ЧЕРН ПОДЗЕМ'!L25)*СПРАВОЧНИК!$I$6+('ФАКТ ЧЕРН ПОДЗЕМ'!M25)*СПРАВОЧНИК!$J$6+('ФАКТ ЧЕРН ПОДЗЕМ'!N25)*СПРАВОЧНИК!$H$7+('ФАКТ ЧЕРН ПОДЗЕМ'!O25)*СПРАВОЧНИК!$I$7+('ФАКТ ЧЕРН ПОДЗЕМ'!P25)*СПРАВОЧНИК!$J$7+('ФАКТ ЧЕРН ПОДЗЕМ'!Q25)*СПРАВОЧНИК!$H$8+('ФАКТ ЧЕРН ПОДЗЕМ'!R25)*СПРАВОЧНИК!$I$8+('ФАКТ ЧЕРН ПОДЗЕМ'!S25)*СПРАВОЧНИК!$J$8</f>
        <v/>
      </c>
      <c r="K34" s="34" t="n"/>
      <c r="N34" s="152">
        <f>N33+7</f>
        <v/>
      </c>
      <c r="O34" s="17">
        <f>'ПЛАН ЧИСТ ПОДЗЕМ'!B25*СПРАВОЧНИК!$L$3+'ПЛАН ЧИСТ ПОДЗЕМ'!C25*СПРАВОЧНИК!$M$3+'ПЛАН ЧИСТ ПОДЗЕМ'!D25*СПРАВОЧНИК!$N$3+'ПЛАН ЧИСТ ПОДЗЕМ'!E25*СПРАВОЧНИК!$O$3+'ПЛАН ЧИСТ ПОДЗЕМ'!F25*СПРАВОЧНИК!$P$3+'ПЛАН ЧИСТ ПОДЗЕМ'!G25*СПРАВОЧНИК!$L$4+'ПЛАН ЧИСТ ПОДЗЕМ'!H25*СПРАВОЧНИК!$M$4+'ПЛАН ЧИСТ ПОДЗЕМ'!I25*СПРАВОЧНИК!$N$4+'ПЛАН ЧИСТ ПОДЗЕМ'!J25*СПРАВОЧНИК!$O$4+'ПЛАН ЧИСТ ПОДЗЕМ'!K25*СПРАВОЧНИК!$P$4+'ПЛАН ЧИСТ ПОДЗЕМ'!L25*СПРАВОЧНИК!$L$5+'ПЛАН ЧИСТ ПОДЗЕМ'!M25*СПРАВОЧНИК!$M$5+'ПЛАН ЧИСТ ПОДЗЕМ'!N25*СПРАВОЧНИК!$N$5+'ПЛАН ЧИСТ ПОДЗЕМ'!O25*СПРАВОЧНИК!$O$5+'ПЛАН ЧИСТ ПОДЗЕМ'!P25*СПРАВОЧНИК!$P$5+'ПЛАН ЧИСТ ПОДЗЕМ'!Q25*СПРАВОЧНИК!$L$6+'ПЛАН ЧИСТ ПОДЗЕМ'!R25*СПРАВОЧНИК!$M$6+'ПЛАН ЧИСТ ПОДЗЕМ'!S25*СПРАВОЧНИК!$N$6+'ПЛАН ЧИСТ ПОДЗЕМ'!T25*СПРАВОЧНИК!$O$6+'ПЛАН ЧИСТ ПОДЗЕМ'!U25*СПРАВОЧНИК!$P$6+'ПЛАН ЧИСТ ПОДЗЕМ'!V25*СПРАВОЧНИК!$L$7+'ПЛАН ЧИСТ ПОДЗЕМ'!W25*СПРАВОЧНИК!$M$7+'ПЛАН ЧИСТ ПОДЗЕМ'!X25*СПРАВОЧНИК!$N$7+'ПЛАН ЧИСТ ПОДЗЕМ'!Y25*СПРАВОЧНИК!$O$7+'ПЛАН ЧИСТ ПОДЗЕМ'!Z25*СПРАВОЧНИК!$P$7+'ПЛАН ЧИСТ ПОДЗЕМ'!AA25*СПРАВОЧНИК!$L$8+'ПЛАН ЧИСТ ПОДЗЕМ'!AB25*СПРАВОЧНИК!$M$8+'ПЛАН ЧИСТ ПОДЗЕМ'!AC25*СПРАВОЧНИК!$N$8+'ПЛАН ЧИСТ ПОДЗЕМ'!AD25*СПРАВОЧНИК!$O$8+'ПЛАН ЧИСТ ПОДЗЕМ'!AE25*СПРАВОЧНИК!$P$8</f>
        <v/>
      </c>
      <c r="P34" s="31">
        <f>('ФАКТ ЧИСТ ПОДЗЕМ'!B25)*СПРАВОЧНИК!$L$3+('ФАКТ ЧИСТ ПОДЗЕМ'!C25)*СПРАВОЧНИК!$M$3+('ФАКТ ЧИСТ ПОДЗЕМ'!D25)*СПРАВОЧНИК!$N$3+('ФАКТ ЧИСТ ПОДЗЕМ'!E25)*СПРАВОЧНИК!$O$3+('ФАКТ ЧИСТ ПОДЗЕМ'!F25)*СПРАВОЧНИК!$P$3+('ФАКТ ЧИСТ ПОДЗЕМ'!G25)*СПРАВОЧНИК!$L$4+('ФАКТ ЧИСТ ПОДЗЕМ'!H25)*СПРАВОЧНИК!$M$4+('ФАКТ ЧИСТ ПОДЗЕМ'!I25)*СПРАВОЧНИК!$N$4+('ФАКТ ЧИСТ ПОДЗЕМ'!J25)*СПРАВОЧНИК!$O$4+('ФАКТ ЧИСТ ПОДЗЕМ'!K25)*СПРАВОЧНИК!$P$4+('ФАКТ ЧИСТ ПОДЗЕМ'!L25)*СПРАВОЧНИК!$L$5+('ФАКТ ЧИСТ ПОДЗЕМ'!M25)*СПРАВОЧНИК!$M$5+('ФАКТ ЧИСТ ПОДЗЕМ'!N25)*СПРАВОЧНИК!$N$5+('ФАКТ ЧИСТ ПОДЗЕМ'!O25)*СПРАВОЧНИК!$O$5+('ФАКТ ЧИСТ ПОДЗЕМ'!P25)*СПРАВОЧНИК!$P$5+('ФАКТ ЧИСТ ПОДЗЕМ'!Q25)*СПРАВОЧНИК!$L$6+('ФАКТ ЧИСТ ПОДЗЕМ'!R25)*СПРАВОЧНИК!$M$6+('ФАКТ ЧИСТ ПОДЗЕМ'!S25)*СПРАВОЧНИК!$N$6+('ФАКТ ЧИСТ ПОДЗЕМ'!T25)*СПРАВОЧНИК!$O$6+('ФАКТ ЧИСТ ПОДЗЕМ'!U25)*СПРАВОЧНИК!$P$6+('ФАКТ ЧИСТ ПОДЗЕМ'!V25)*СПРАВОЧНИК!$L$7+('ФАКТ ЧИСТ ПОДЗЕМ'!W25)*СПРАВОЧНИК!$M$7+('ФАКТ ЧИСТ ПОДЗЕМ'!X25)*СПРАВОЧНИК!$N$7+('ФАКТ ЧИСТ ПОДЗЕМ'!Y25)*СПРАВОЧНИК!$O$7+('ФАКТ ЧИСТ ПОДЗЕМ'!Z25)*СПРАВОЧНИК!$P$7+('ФАКТ ЧИСТ ПОДЗЕМ'!AA25)*СПРАВОЧНИК!$L$8+('ФАКТ ЧИСТ ПОДЗЕМ'!AB25)*СПРАВОЧНИК!$M$8+('ФАКТ ЧИСТ ПОДЗЕМ'!AC25)*СПРАВОЧНИК!$N$8+('ФАКТ ЧИСТ ПОДЗЕМ'!AD25)*СПРАВОЧНИК!$O$8+('ФАКТ ЧИСТ ПОДЗЕМ'!AE25)*СПРАВОЧНИК!$P$8</f>
        <v/>
      </c>
      <c r="Q34" s="34" t="n"/>
      <c r="T34" s="152">
        <f>T33+7</f>
        <v/>
      </c>
      <c r="U34" s="17">
        <f>СПРАВОЧНИК!$E$9*('ПЛАН ЧЕРН К1'!B25*СПРАВОЧНИК!$H$9+'ПЛАН ЧЕРН К1'!C25*СПРАВОЧНИК!$I$9+'ПЛАН ЧЕРН К1'!D25*СПРАВОЧНИК!$J$9)+СПРАВОЧНИК!$F$9*('ПЛАН ЧИСТ К1'!B25*СПРАВОЧНИК!$L$9+'ПЛАН ЧИСТ К1'!C25*СПРАВОЧНИК!$M$9+'ПЛАН ЧИСТ К1'!D25*СПРАВОЧНИК!$N$9+'ПЛАН ЧИСТ К1'!E25*СПРАВОЧНИК!$O$9+'ПЛАН ЧИСТ К1'!F25*СПРАВОЧНИК!$P$9)+СПРАВОЧНИК!$E$10*('ПЛАН ЧЕРН К1'!E25*СПРАВОЧНИК!$H$10+'ПЛАН ЧЕРН К1'!F25*СПРАВОЧНИК!$I$10+'ПЛАН ЧЕРН К1'!G25*СПРАВОЧНИК!$J$10)+СПРАВОЧНИК!$F$10*('ПЛАН ЧИСТ К1'!G25*СПРАВОЧНИК!$L$10+'ПЛАН ЧИСТ К1'!H25*СПРАВОЧНИК!$M$10+'ПЛАН ЧИСТ К1'!I25*СПРАВОЧНИК!$N$10+'ПЛАН ЧИСТ К1'!J25*СПРАВОЧНИК!$O$10+'ПЛАН ЧИСТ К1'!K25*СПРАВОЧНИК!$P$10)+СПРАВОЧНИК!$E$11*('ПЛАН ЧЕРН К1'!H25*СПРАВОЧНИК!$H$11+'ПЛАН ЧЕРН К1'!I25*СПРАВОЧНИК!$I$11+'ПЛАН ЧЕРН К1'!J25*СПРАВОЧНИК!$J$11)+СПРАВОЧНИК!$F$11*('ПЛАН ЧИСТ К1'!L25*СПРАВОЧНИК!$L$11+'ПЛАН ЧИСТ К1'!M25*СПРАВОЧНИК!$M$11+'ПЛАН ЧИСТ К1'!N25*СПРАВОЧНИК!$N$11+'ПЛАН ЧИСТ К1'!O25*СПРАВОЧНИК!$O$11+'ПЛАН ЧИСТ К1'!P25*СПРАВОЧНИК!$P$11)+СПРАВОЧНИК!$E$12*('ПЛАН ЧЕРН К1'!K25*СПРАВОЧНИК!$H$12+'ПЛАН ЧЕРН К1'!L25*СПРАВОЧНИК!$I$12+'ПЛАН ЧЕРН К1'!M25*СПРАВОЧНИК!$J$12)+СПРАВОЧНИК!$F$12*('ПЛАН ЧИСТ К1'!Q25*СПРАВОЧНИК!$L$12+'ПЛАН ЧИСТ К1'!R25*СПРАВОЧНИК!$M$12+'ПЛАН ЧИСТ К1'!S25*СПРАВОЧНИК!$N$12+'ПЛАН ЧИСТ К1'!T25*СПРАВОЧНИК!$O$12+'ПЛАН ЧИСТ К1'!U25*СПРАВОЧНИК!$P$12)+СПРАВОЧНИК!$E$13*('ПЛАН ЧЕРН К1'!N25*СПРАВОЧНИК!$H$13+'ПЛАН ЧЕРН К1'!O25*СПРАВОЧНИК!$I$13+'ПЛАН ЧЕРН К1'!P25*СПРАВОЧНИК!$J$13)+СПРАВОЧНИК!$F$13*('ПЛАН ЧИСТ К1'!V25*СПРАВОЧНИК!$L$13+'ПЛАН ЧИСТ К1'!W25*СПРАВОЧНИК!$M$13+'ПЛАН ЧИСТ К1'!X25*СПРАВОЧНИК!$N$13+'ПЛАН ЧИСТ К1'!Y25*СПРАВОЧНИК!$O$13+'ПЛАН ЧИСТ К1'!Z25*СПРАВОЧНИК!$P$13)+СПРАВОЧНИК!$E$14*('ПЛАН ЧЕРН К1'!Q25*СПРАВОЧНИК!$H$14+'ПЛАН ЧЕРН К1'!R25*СПРАВОЧНИК!$I$14+'ПЛАН ЧЕРН К1'!S25*СПРАВОЧНИК!$J$14)+СПРАВОЧНИК!$F$14*('ПЛАН ЧИСТ К1'!AA25*СПРАВОЧНИК!$L$14+'ПЛАН ЧИСТ К1'!AB25*СПРАВОЧНИК!$M$14+'ПЛАН ЧИСТ К1'!AC25*СПРАВОЧНИК!$N$14+'ПЛАН ЧИСТ К1'!AD25*СПРАВОЧНИК!$O$14+'ПЛАН ЧИСТ К1'!AE25*СПРАВОЧНИК!$P$14)+СПРАВОЧНИК!$E$15*('ПЛАН ЧЕРН К1'!T25*СПРАВОЧНИК!$H$15+'ПЛАН ЧЕРН К1'!U25*СПРАВОЧНИК!$I$15+'ПЛАН ЧЕРН К1'!V25*СПРАВОЧНИК!$J$15)+СПРАВОЧНИК!$F$15*('ПЛАН ЧИСТ К1'!AF25*СПРАВОЧНИК!$L$15+'ПЛАН ЧИСТ К1'!AG25*СПРАВОЧНИК!$M$15+'ПЛАН ЧИСТ К1'!AH25*СПРАВОЧНИК!$N$15+'ПЛАН ЧИСТ К1'!AI25*СПРАВОЧНИК!$O$15+'ПЛАН ЧИСТ К1'!AJ25*СПРАВОЧНИК!$P$15)</f>
        <v/>
      </c>
      <c r="V34" s="31">
        <f>СПРАВОЧНИК!$E$9*('ФАКТ ЧЕРН К1'!B25*СПРАВОЧНИК!$H$9+'ФАКТ ЧЕРН К1'!C25*СПРАВОЧНИК!$I$9+'ФАКТ ЧЕРН К1'!D25*СПРАВОЧНИК!$J$9)+СПРАВОЧНИК!$F$9*('ФАКТ ЧИСТ К1'!B25*СПРАВОЧНИК!$L$9+'ФАКТ ЧИСТ К1'!C25*СПРАВОЧНИК!$M$9+'ФАКТ ЧИСТ К1'!D25*СПРАВОЧНИК!$N$9+'ФАКТ ЧИСТ К1'!E25*СПРАВОЧНИК!$O$9+'ФАКТ ЧИСТ К1'!F25*СПРАВОЧНИК!$P$9)+СПРАВОЧНИК!$E$10*('ФАКТ ЧЕРН К1'!E25*СПРАВОЧНИК!$H$10+'ФАКТ ЧЕРН К1'!F25*СПРАВОЧНИК!$I$10+'ФАКТ ЧЕРН К1'!G25*СПРАВОЧНИК!$J$10)+СПРАВОЧНИК!$F$10*('ФАКТ ЧИСТ К1'!G25*СПРАВОЧНИК!$L$10+'ФАКТ ЧИСТ К1'!H25*СПРАВОЧНИК!$M$10+'ФАКТ ЧИСТ К1'!I25*СПРАВОЧНИК!$N$10+'ФАКТ ЧИСТ К1'!J25*СПРАВОЧНИК!$O$10+'ФАКТ ЧИСТ К1'!K25*СПРАВОЧНИК!$P$10)+СПРАВОЧНИК!$E$11*('ФАКТ ЧЕРН К1'!H25*СПРАВОЧНИК!$H$11+'ФАКТ ЧЕРН К1'!I25*СПРАВОЧНИК!$I$11+'ФАКТ ЧЕРН К1'!J25*СПРАВОЧНИК!$J$11)+СПРАВОЧНИК!$F$11*('ФАКТ ЧИСТ К1'!L25*СПРАВОЧНИК!$L$11+'ФАКТ ЧИСТ К1'!M25*СПРАВОЧНИК!$M$11+'ФАКТ ЧИСТ К1'!N25*СПРАВОЧНИК!$N$11+'ФАКТ ЧИСТ К1'!O25*СПРАВОЧНИК!$O$11+'ФАКТ ЧИСТ К1'!P25*СПРАВОЧНИК!$P$11)+СПРАВОЧНИК!$E$12*('ФАКТ ЧЕРН К1'!K25*СПРАВОЧНИК!$H$12+'ФАКТ ЧЕРН К1'!L25*СПРАВОЧНИК!$I$12+'ФАКТ ЧЕРН К1'!M25*СПРАВОЧНИК!$J$12)+СПРАВОЧНИК!$F$12*('ФАКТ ЧИСТ К1'!Q25*СПРАВОЧНИК!$L$12+'ФАКТ ЧИСТ К1'!R25*СПРАВОЧНИК!$M$12+'ФАКТ ЧИСТ К1'!S25*СПРАВОЧНИК!$N$12+'ФАКТ ЧИСТ К1'!T25*СПРАВОЧНИК!$O$12+'ФАКТ ЧИСТ К1'!U25*СПРАВОЧНИК!$P$12)+СПРАВОЧНИК!$E$13*('ФАКТ ЧЕРН К1'!N25*СПРАВОЧНИК!$H$13+'ФАКТ ЧЕРН К1'!O25*СПРАВОЧНИК!$I$13+'ФАКТ ЧЕРН К1'!P25*СПРАВОЧНИК!$J$13)+СПРАВОЧНИК!$F$13*('ФАКТ ЧИСТ К1'!V25*СПРАВОЧНИК!$L$13+'ФАКТ ЧИСТ К1'!W25*СПРАВОЧНИК!$M$13+'ФАКТ ЧИСТ К1'!X25*СПРАВОЧНИК!$N$13+'ФАКТ ЧИСТ К1'!Y25*СПРАВОЧНИК!$O$13+'ФАКТ ЧИСТ К1'!Z25*СПРАВОЧНИК!$P$13)+СПРАВОЧНИК!$E$14*('ФАКТ ЧЕРН К1'!Q25*СПРАВОЧНИК!$H$14+'ФАКТ ЧЕРН К1'!R25*СПРАВОЧНИК!$I$14+'ФАКТ ЧЕРН К1'!S25*СПРАВОЧНИК!$J$14)+СПРАВОЧНИК!$F$14*('ФАКТ ЧИСТ К1'!AA25*СПРАВОЧНИК!$L$14+'ФАКТ ЧИСТ К1'!AB25*СПРАВОЧНИК!$M$14+'ФАКТ ЧИСТ К1'!AC25*СПРАВОЧНИК!$N$14+'ФАКТ ЧИСТ К1'!AD25*СПРАВОЧНИК!$O$14+'ФАКТ ЧИСТ К1'!AE25*СПРАВОЧНИК!$P$14)+СПРАВОЧНИК!$E$15*('ФАКТ ЧЕРН К1'!T25*СПРАВОЧНИК!$H$15+'ФАКТ ЧЕРН К1'!U25*СПРАВОЧНИК!$I$15+'ФАКТ ЧЕРН К1'!V25*СПРАВОЧНИК!$J$15)+СПРАВОЧНИК!$F$15*('ФАКТ ЧИСТ К1'!AF25*СПРАВОЧНИК!$L$15+'ФАКТ ЧИСТ К1'!AG25*СПРАВОЧНИК!$M$15+'ФАКТ ЧИСТ К1'!AH25*СПРАВОЧНИК!$N$15+'ФАКТ ЧИСТ К1'!AI25*СПРАВОЧНИК!$O$15+'ФАКТ ЧИСТ К1'!AJ25*СПРАВОЧНИК!$P$15)</f>
        <v/>
      </c>
      <c r="W34" s="34" t="n"/>
      <c r="Z34" s="152">
        <f>Z33+7</f>
        <v/>
      </c>
      <c r="AA34" s="17">
        <f>'ПЛАН ЧЕРН К1'!B25*СПРАВОЧНИК!$H$9+'ПЛАН ЧЕРН К1'!C25*СПРАВОЧНИК!$I$9+'ПЛАН ЧЕРН К1'!D25*СПРАВОЧНИК!$J$9+'ПЛАН ЧЕРН К1'!E25*СПРАВОЧНИК!$H$10+'ПЛАН ЧЕРН К1'!F25*СПРАВОЧНИК!$I$10+'ПЛАН ЧЕРН К1'!G25*СПРАВОЧНИК!$J$10+'ПЛАН ЧЕРН К1'!H25*СПРАВОЧНИК!$H$11+'ПЛАН ЧЕРН К1'!I25*СПРАВОЧНИК!$I$11+'ПЛАН ЧЕРН К1'!J25*СПРАВОЧНИК!$J$11+'ПЛАН ЧЕРН К1'!K25*СПРАВОЧНИК!$H$12+'ПЛАН ЧЕРН К1'!L25*СПРАВОЧНИК!$I$12+'ПЛАН ЧЕРН К1'!M25*СПРАВОЧНИК!$J$12+'ПЛАН ЧЕРН К1'!N25*СПРАВОЧНИК!$H$13+'ПЛАН ЧЕРН К1'!O25*СПРАВОЧНИК!$I$13+'ПЛАН ЧЕРН К1'!P25*СПРАВОЧНИК!$J$13+'ПЛАН ЧЕРН К1'!Q25*СПРАВОЧНИК!$H$14+'ПЛАН ЧЕРН К1'!R25*СПРАВОЧНИК!$I$14+'ПЛАН ЧЕРН К1'!S25*СПРАВОЧНИК!$J$14+'ПЛАН ЧЕРН К1'!T25*СПРАВОЧНИК!$H$15+'ПЛАН ЧЕРН К1'!U25*СПРАВОЧНИК!$I$15+'ПЛАН ЧЕРН К1'!V25*СПРАВОЧНИК!$J$15</f>
        <v/>
      </c>
      <c r="AB34" s="31">
        <f>('ФАКТ ЧЕРН К1'!B25)*СПРАВОЧНИК!$H$9+('ФАКТ ЧЕРН К1'!C25)*СПРАВОЧНИК!$I$9+('ФАКТ ЧЕРН К1'!D25)*СПРАВОЧНИК!$J$9+('ФАКТ ЧЕРН К1'!E25)*СПРАВОЧНИК!$H$10+('ФАКТ ЧЕРН К1'!F25)*СПРАВОЧНИК!$I$10+('ФАКТ ЧЕРН К1'!G25)*СПРАВОЧНИК!$J$10+('ФАКТ ЧЕРН К1'!H25)*СПРАВОЧНИК!$H$11+('ФАКТ ЧЕРН К1'!I25)*СПРАВОЧНИК!$I$11+('ФАКТ ЧЕРН К1'!J25)*СПРАВОЧНИК!$J$11+('ФАКТ ЧЕРН К1'!K25)*СПРАВОЧНИК!$H$12+('ФАКТ ЧЕРН К1'!L25)*СПРАВОЧНИК!$I$12+('ФАКТ ЧЕРН К1'!M25)*СПРАВОЧНИК!$J$12+('ФАКТ ЧЕРН К1'!N25)*СПРАВОЧНИК!$H$13+('ФАКТ ЧЕРН К1'!O25)*СПРАВОЧНИК!$I$13+('ФАКТ ЧЕРН К1'!P25)*СПРАВОЧНИК!$J$13+('ФАКТ ЧЕРН К1'!Q25)*СПРАВОЧНИК!$H$14+('ФАКТ ЧЕРН К1'!R25)*СПРАВОЧНИК!$I$14+('ФАКТ ЧЕРН К1'!S25)*СПРАВОЧНИК!$J$14+('ФАКТ ЧЕРН К1'!T25)*СПРАВОЧНИК!$H$15+('ФАКТ ЧЕРН К1'!U25)*СПРАВОЧНИК!$I$15+('ФАКТ ЧЕРН К1'!V25)*СПРАВОЧНИК!$J$15</f>
        <v/>
      </c>
      <c r="AC34" s="34" t="n"/>
      <c r="AF34" s="152">
        <f>AF33+7</f>
        <v/>
      </c>
      <c r="AG34" s="17">
        <f>'ПЛАН ЧИСТ К1'!B25*СПРАВОЧНИК!$L$9+'ПЛАН ЧИСТ К1'!C25*СПРАВОЧНИК!$M$9+'ПЛАН ЧИСТ К1'!D25*СПРАВОЧНИК!$N$9+'ПЛАН ЧИСТ К1'!E25*СПРАВОЧНИК!$O$9+'ПЛАН ЧИСТ К1'!F25*СПРАВОЧНИК!$P$9+'ПЛАН ЧИСТ К1'!G25*СПРАВОЧНИК!$L$10+'ПЛАН ЧИСТ К1'!H25*СПРАВОЧНИК!$M$10+'ПЛАН ЧИСТ К1'!I25*СПРАВОЧНИК!$N$10+'ПЛАН ЧИСТ К1'!J25*СПРАВОЧНИК!$O$10+'ПЛАН ЧИСТ К1'!K25*СПРАВОЧНИК!$P$10+'ПЛАН ЧИСТ К1'!L25*СПРАВОЧНИК!$L$11+'ПЛАН ЧИСТ К1'!M25*СПРАВОЧНИК!$M$11+'ПЛАН ЧИСТ К1'!N25*СПРАВОЧНИК!$N$11+'ПЛАН ЧИСТ К1'!O25*СПРАВОЧНИК!$O$11+'ПЛАН ЧИСТ К1'!P25*СПРАВОЧНИК!$P$11+'ПЛАН ЧИСТ К1'!Q25*СПРАВОЧНИК!$L$12+'ПЛАН ЧИСТ К1'!R25*СПРАВОЧНИК!$M$12+'ПЛАН ЧИСТ К1'!S25*СПРАВОЧНИК!$N$12+'ПЛАН ЧИСТ К1'!T25*СПРАВОЧНИК!$O$12+'ПЛАН ЧИСТ К1'!U25*СПРАВОЧНИК!$P$12+'ПЛАН ЧИСТ К1'!V25*СПРАВОЧНИК!$L$13+'ПЛАН ЧИСТ К1'!W25*СПРАВОЧНИК!$M$13+'ПЛАН ЧИСТ К1'!X25*СПРАВОЧНИК!$N$13+'ПЛАН ЧИСТ К1'!Y25*СПРАВОЧНИК!$O$13+'ПЛАН ЧИСТ К1'!Z25*СПРАВОЧНИК!$P$13+'ПЛАН ЧИСТ К1'!AA25*СПРАВОЧНИК!$L$14+'ПЛАН ЧИСТ К1'!AB25*СПРАВОЧНИК!$M$14+'ПЛАН ЧИСТ К1'!AC25*СПРАВОЧНИК!$N$14+'ПЛАН ЧИСТ К1'!AD25*СПРАВОЧНИК!$O$14+'ПЛАН ЧИСТ К1'!AE25*СПРАВОЧНИК!$P$14+'ПЛАН ЧИСТ К1'!AF25*СПРАВОЧНИК!$L$15+'ПЛАН ЧИСТ К1'!AG25*СПРАВОЧНИК!$M$15+'ПЛАН ЧИСТ К1'!AH25*СПРАВОЧНИК!$N$15+'ПЛАН ЧИСТ К1'!AI25*СПРАВОЧНИК!$O$15+'ПЛАН ЧИСТ К1'!AJ25*СПРАВОЧНИК!$P$15</f>
        <v/>
      </c>
      <c r="AH34" s="31">
        <f>('ФАКТ ЧИСТ К1'!B25)*СПРАВОЧНИК!$L$9+('ФАКТ ЧИСТ К1'!C25)*СПРАВОЧНИК!$M$9+('ФАКТ ЧИСТ К1'!D25)*СПРАВОЧНИК!$N$9+('ФАКТ ЧИСТ К1'!E25)*СПРАВОЧНИК!$O$9+('ФАКТ ЧИСТ К1'!F25)*СПРАВОЧНИК!$P$9+('ФАКТ ЧИСТ К1'!G25)*СПРАВОЧНИК!$L$10+('ФАКТ ЧИСТ К1'!H25)*СПРАВОЧНИК!$M$10+('ФАКТ ЧИСТ К1'!I25)*СПРАВОЧНИК!$N$10+('ФАКТ ЧИСТ К1'!J25)*СПРАВОЧНИК!$O$10+('ФАКТ ЧИСТ К1'!K25)*СПРАВОЧНИК!$P$10+('ФАКТ ЧИСТ К1'!L25)*СПРАВОЧНИК!$L$11+('ФАКТ ЧИСТ К1'!M25)*СПРАВОЧНИК!$M$11+('ФАКТ ЧИСТ К1'!N25)*СПРАВОЧНИК!$N$11+('ФАКТ ЧИСТ К1'!O25)*СПРАВОЧНИК!$O$11+('ФАКТ ЧИСТ К1'!P25)*СПРАВОЧНИК!$P$11+('ФАКТ ЧИСТ К1'!Q25)*СПРАВОЧНИК!$L$12+('ФАКТ ЧИСТ К1'!R25)*СПРАВОЧНИК!$M$12+('ФАКТ ЧИСТ К1'!S25)*СПРАВОЧНИК!$N$12+('ФАКТ ЧИСТ К1'!T25)*СПРАВОЧНИК!$O$12+('ФАКТ ЧИСТ К1'!U25)*СПРАВОЧНИК!$P$12+('ФАКТ ЧИСТ К1'!V25)*СПРАВОЧНИК!$L$13+('ФАКТ ЧИСТ К1'!W25)*СПРАВОЧНИК!$M$13+('ФАКТ ЧИСТ К1'!X25)*СПРАВОЧНИК!$N$13+('ФАКТ ЧИСТ К1'!Y25)*СПРАВОЧНИК!$O$13+('ФАКТ ЧИСТ К1'!Z25)*СПРАВОЧНИК!$P$13+('ФАКТ ЧИСТ К1'!AA25)*СПРАВОЧНИК!$L$14+('ФАКТ ЧИСТ К1'!AB25)*СПРАВОЧНИК!$M$14+('ФАКТ ЧИСТ К1'!AC25)*СПРАВОЧНИК!$N$14+('ФАКТ ЧИСТ К1'!AD25)*СПРАВОЧНИК!$O$14+('ФАКТ ЧИСТ К1'!AE25)*СПРАВОЧНИК!$P$14+('ФАКТ ЧИСТ К1'!AF25)*СПРАВОЧНИК!$L$15+('ФАКТ ЧИСТ К1'!AG25)*СПРАВОЧНИК!$M$15+('ФАКТ ЧИСТ К1'!AH25)*СПРАВОЧНИК!$N$15+('ФАКТ ЧИСТ К1'!AI25)*СПРАВОЧНИК!$O$15+('ФАКТ ЧИСТ К1'!AJ25)*СПРАВОЧНИК!$P$15</f>
        <v/>
      </c>
      <c r="AI34" s="34" t="n"/>
      <c r="AL34" s="152">
        <f>AL33+7</f>
        <v/>
      </c>
      <c r="AM34" s="17">
        <f>СПРАВОЧНИК!$E$9*('ПЛАН ЧЕРН К2'!B25*СПРАВОЧНИК!$H$9+'ПЛАН ЧЕРН К2'!C25*СПРАВОЧНИК!$I$9+'ПЛАН ЧЕРН К2'!D25*СПРАВОЧНИК!$J$9)+СПРАВОЧНИК!$F$9*('ПЛАН ЧИСТ К2'!B25*СПРАВОЧНИК!$L$9+'ПЛАН ЧИСТ К2'!C25*СПРАВОЧНИК!$M$9+'ПЛАН ЧИСТ К2'!D25*СПРАВОЧНИК!$N$9+'ПЛАН ЧИСТ К2'!E25*СПРАВОЧНИК!$O$9+'ПЛАН ЧИСТ К2'!F25*СПРАВОЧНИК!$P$9)+СПРАВОЧНИК!$E$10*('ПЛАН ЧЕРН К2'!E25*СПРАВОЧНИК!$H$10+'ПЛАН ЧЕРН К2'!F25*СПРАВОЧНИК!$I$10+'ПЛАН ЧЕРН К2'!G25*СПРАВОЧНИК!$J$10)+СПРАВОЧНИК!$F$10*('ПЛАН ЧИСТ К2'!G25*СПРАВОЧНИК!$L$10+'ПЛАН ЧИСТ К2'!H25*СПРАВОЧНИК!$M$10+'ПЛАН ЧИСТ К2'!I25*СПРАВОЧНИК!$N$10+'ПЛАН ЧИСТ К2'!J25*СПРАВОЧНИК!$O$10+'ПЛАН ЧИСТ К2'!K25*СПРАВОЧНИК!$P$10)+СПРАВОЧНИК!$E$11*('ПЛАН ЧЕРН К2'!H25*СПРАВОЧНИК!$H$11+'ПЛАН ЧЕРН К2'!I25*СПРАВОЧНИК!$I$11+'ПЛАН ЧЕРН К2'!J25*СПРАВОЧНИК!$J$11)+СПРАВОЧНИК!$F$11*('ПЛАН ЧИСТ К2'!L25*СПРАВОЧНИК!$L$11+'ПЛАН ЧИСТ К2'!M25*СПРАВОЧНИК!$M$11+'ПЛАН ЧИСТ К2'!N25*СПРАВОЧНИК!$N$11+'ПЛАН ЧИСТ К2'!O25*СПРАВОЧНИК!$O$11+'ПЛАН ЧИСТ К2'!P25*СПРАВОЧНИК!$P$11)+СПРАВОЧНИК!$E$12*('ПЛАН ЧЕРН К2'!K25*СПРАВОЧНИК!$H$12+'ПЛАН ЧЕРН К2'!L25*СПРАВОЧНИК!$I$12+'ПЛАН ЧЕРН К2'!M25*СПРАВОЧНИК!$J$12)+СПРАВОЧНИК!$F$12*('ПЛАН ЧИСТ К2'!Q25*СПРАВОЧНИК!$L$12+'ПЛАН ЧИСТ К2'!R25*СПРАВОЧНИК!$M$12+'ПЛАН ЧИСТ К2'!S25*СПРАВОЧНИК!$N$12+'ПЛАН ЧИСТ К2'!T25*СПРАВОЧНИК!$O$12+'ПЛАН ЧИСТ К2'!U25*СПРАВОЧНИК!$P$12)+СПРАВОЧНИК!$E$13*('ПЛАН ЧЕРН К2'!N25*СПРАВОЧНИК!$H$13+'ПЛАН ЧЕРН К2'!O25*СПРАВОЧНИК!$I$13+'ПЛАН ЧЕРН К2'!P25*СПРАВОЧНИК!$J$13)+СПРАВОЧНИК!$F$13*('ПЛАН ЧИСТ К2'!V25*СПРАВОЧНИК!$L$13+'ПЛАН ЧИСТ К2'!W25*СПРАВОЧНИК!$M$13+'ПЛАН ЧИСТ К2'!X25*СПРАВОЧНИК!$N$13+'ПЛАН ЧИСТ К2'!Y25*СПРАВОЧНИК!$O$13+'ПЛАН ЧИСТ К2'!Z25*СПРАВОЧНИК!$P$13)+СПРАВОЧНИК!$E$14*('ПЛАН ЧЕРН К2'!Q25*СПРАВОЧНИК!$H$14+'ПЛАН ЧЕРН К2'!R25*СПРАВОЧНИК!$I$14+'ПЛАН ЧЕРН К2'!S25*СПРАВОЧНИК!$J$14)+СПРАВОЧНИК!$F$14*('ПЛАН ЧИСТ К2'!AA25*СПРАВОЧНИК!$L$14+'ПЛАН ЧИСТ К2'!AB25*СПРАВОЧНИК!$M$14+'ПЛАН ЧИСТ К2'!AC25*СПРАВОЧНИК!$N$14+'ПЛАН ЧИСТ К2'!AD25*СПРАВОЧНИК!$O$14+'ПЛАН ЧИСТ К2'!AE25*СПРАВОЧНИК!$P$14)+СПРАВОЧНИК!$E$15*('ПЛАН ЧЕРН К2'!T25*СПРАВОЧНИК!$H$15+'ПЛАН ЧЕРН К2'!U25*СПРАВОЧНИК!$I$15+'ПЛАН ЧЕРН К2'!V25*СПРАВОЧНИК!$J$15)+СПРАВОЧНИК!$F$15*('ПЛАН ЧИСТ К2'!AF25*СПРАВОЧНИК!$L$15+'ПЛАН ЧИСТ К2'!AG25*СПРАВОЧНИК!$M$15+'ПЛАН ЧИСТ К2'!AH25*СПРАВОЧНИК!$N$15+'ПЛАН ЧИСТ К2'!AI25*СПРАВОЧНИК!$O$15+'ПЛАН ЧИСТ К2'!AJ25*СПРАВОЧНИК!$P$15)</f>
        <v/>
      </c>
      <c r="AN34" s="31">
        <f>СПРАВОЧНИК!$E$9*('ФАКТ ЧЕРН К2'!B25*СПРАВОЧНИК!$H$9+'ФАКТ ЧЕРН К2'!C25*СПРАВОЧНИК!$I$9+'ФАКТ ЧЕРН К2'!D25*СПРАВОЧНИК!$J$9)+СПРАВОЧНИК!$F$9*('ФАКТ ЧИСТ К2'!B25*СПРАВОЧНИК!$L$9+'ФАКТ ЧИСТ К2'!C25*СПРАВОЧНИК!$M$9+'ФАКТ ЧИСТ К2'!D25*СПРАВОЧНИК!$N$9+'ФАКТ ЧИСТ К2'!E25*СПРАВОЧНИК!$O$9+'ФАКТ ЧИСТ К2'!F25*СПРАВОЧНИК!$P$9)+СПРАВОЧНИК!$E$10*('ФАКТ ЧЕРН К2'!E25*СПРАВОЧНИК!$H$10+'ФАКТ ЧЕРН К2'!F25*СПРАВОЧНИК!$I$10+'ФАКТ ЧЕРН К2'!G25*СПРАВОЧНИК!$J$10)+СПРАВОЧНИК!$F$10*('ФАКТ ЧИСТ К2'!G25*СПРАВОЧНИК!$L$10+'ФАКТ ЧИСТ К2'!H25*СПРАВОЧНИК!$M$10+'ФАКТ ЧИСТ К2'!I25*СПРАВОЧНИК!$N$10+'ФАКТ ЧИСТ К2'!J25*СПРАВОЧНИК!$O$10+'ФАКТ ЧИСТ К2'!K25*СПРАВОЧНИК!$P$10)+СПРАВОЧНИК!$E$11*('ФАКТ ЧЕРН К2'!H25*СПРАВОЧНИК!$H$11+'ФАКТ ЧЕРН К2'!I25*СПРАВОЧНИК!$I$11+'ФАКТ ЧЕРН К2'!J25*СПРАВОЧНИК!$J$11)+СПРАВОЧНИК!$F$11*('ФАКТ ЧИСТ К2'!L25*СПРАВОЧНИК!$L$11+'ФАКТ ЧИСТ К2'!M25*СПРАВОЧНИК!$M$11+'ФАКТ ЧИСТ К2'!N25*СПРАВОЧНИК!$N$11+'ФАКТ ЧИСТ К2'!O25*СПРАВОЧНИК!$O$11+'ФАКТ ЧИСТ К2'!P25*СПРАВОЧНИК!$P$11)+СПРАВОЧНИК!$E$12*('ФАКТ ЧЕРН К2'!K25*СПРАВОЧНИК!$H$12+'ФАКТ ЧЕРН К2'!L25*СПРАВОЧНИК!$I$12+'ФАКТ ЧЕРН К2'!M25*СПРАВОЧНИК!$J$12)+СПРАВОЧНИК!$F$12*('ФАКТ ЧИСТ К2'!Q25*СПРАВОЧНИК!$L$12+'ФАКТ ЧИСТ К2'!R25*СПРАВОЧНИК!$M$12+'ФАКТ ЧИСТ К2'!S25*СПРАВОЧНИК!$N$12+'ФАКТ ЧИСТ К2'!T25*СПРАВОЧНИК!$O$12+'ФАКТ ЧИСТ К2'!U25*СПРАВОЧНИК!$P$12)+СПРАВОЧНИК!$E$13*('ФАКТ ЧЕРН К2'!N25*СПРАВОЧНИК!$H$13+'ФАКТ ЧЕРН К2'!O25*СПРАВОЧНИК!$I$13+'ФАКТ ЧЕРН К2'!P25*СПРАВОЧНИК!$J$13)+СПРАВОЧНИК!$F$13*('ФАКТ ЧИСТ К2'!V25*СПРАВОЧНИК!$L$13+'ФАКТ ЧИСТ К2'!W25*СПРАВОЧНИК!$M$13+'ФАКТ ЧИСТ К2'!X25*СПРАВОЧНИК!$N$13+'ФАКТ ЧИСТ К2'!Y25*СПРАВОЧНИК!$O$13+'ФАКТ ЧИСТ К2'!Z25*СПРАВОЧНИК!$P$13)+СПРАВОЧНИК!$E$14*('ФАКТ ЧЕРН К2'!Q25*СПРАВОЧНИК!$H$14+'ФАКТ ЧЕРН К2'!R25*СПРАВОЧНИК!$I$14+'ФАКТ ЧЕРН К2'!S25*СПРАВОЧНИК!$J$14)+СПРАВОЧНИК!$F$14*('ФАКТ ЧИСТ К2'!AA25*СПРАВОЧНИК!$L$14+'ФАКТ ЧИСТ К2'!AB25*СПРАВОЧНИК!$M$14+'ФАКТ ЧИСТ К2'!AC25*СПРАВОЧНИК!$N$14+'ФАКТ ЧИСТ К2'!AD25*СПРАВОЧНИК!$O$14+'ФАКТ ЧИСТ К2'!AE25*СПРАВОЧНИК!$P$14)+СПРАВОЧНИК!$E$15*('ФАКТ ЧЕРН К2'!T25*СПРАВОЧНИК!$H$15+'ФАКТ ЧЕРН К2'!U25*СПРАВОЧНИК!$I$15+'ФАКТ ЧЕРН К2'!V25*СПРАВОЧНИК!$J$15)+СПРАВОЧНИК!$F$15*('ФАКТ ЧИСТ К2'!AF25*СПРАВОЧНИК!$L$15+'ФАКТ ЧИСТ К2'!AG25*СПРАВОЧНИК!$M$15+'ФАКТ ЧИСТ К2'!AH25*СПРАВОЧНИК!$N$15+'ФАКТ ЧИСТ К2'!AI25*СПРАВОЧНИК!$O$15+'ФАКТ ЧИСТ К2'!AJ25*СПРАВОЧНИК!$P$15)</f>
        <v/>
      </c>
      <c r="AO34" s="34" t="n"/>
      <c r="AR34" s="152">
        <f>AR33+7</f>
        <v/>
      </c>
      <c r="AS34" s="17">
        <f>'ПЛАН ЧЕРН К2'!B25*СПРАВОЧНИК!$H$9+'ПЛАН ЧЕРН К2'!C25*СПРАВОЧНИК!$I$9+'ПЛАН ЧЕРН К2'!D25*СПРАВОЧНИК!$J$9+'ПЛАН ЧЕРН К2'!E25*СПРАВОЧНИК!$H$10+'ПЛАН ЧЕРН К2'!F25*СПРАВОЧНИК!$I$10+'ПЛАН ЧЕРН К2'!G25*СПРАВОЧНИК!$J$10+'ПЛАН ЧЕРН К2'!H25*СПРАВОЧНИК!$H$11+'ПЛАН ЧЕРН К2'!I25*СПРАВОЧНИК!$I$11+'ПЛАН ЧЕРН К2'!J25*СПРАВОЧНИК!$J$11+'ПЛАН ЧЕРН К2'!K25*СПРАВОЧНИК!$H$12+'ПЛАН ЧЕРН К2'!L25*СПРАВОЧНИК!$I$12+'ПЛАН ЧЕРН К2'!M25*СПРАВОЧНИК!$J$12+'ПЛАН ЧЕРН К2'!N25*СПРАВОЧНИК!$H$13+'ПЛАН ЧЕРН К2'!O25*СПРАВОЧНИК!$I$13+'ПЛАН ЧЕРН К2'!P25*СПРАВОЧНИК!$J$13+'ПЛАН ЧЕРН К2'!Q25*СПРАВОЧНИК!$H$14+'ПЛАН ЧЕРН К2'!R25*СПРАВОЧНИК!$I$14+'ПЛАН ЧЕРН К2'!S25*СПРАВОЧНИК!$J$14+'ПЛАН ЧЕРН К2'!T25*СПРАВОЧНИК!$H$15+'ПЛАН ЧЕРН К2'!U25*СПРАВОЧНИК!$I$15+'ПЛАН ЧЕРН К2'!V25*СПРАВОЧНИК!$J$15</f>
        <v/>
      </c>
      <c r="AT34" s="31">
        <f>('ФАКТ ЧЕРН К2'!B25)*СПРАВОЧНИК!$H$9+('ФАКТ ЧЕРН К2'!C25)*СПРАВОЧНИК!$I$9+('ФАКТ ЧЕРН К2'!D25)*СПРАВОЧНИК!$J$9+('ФАКТ ЧЕРН К2'!E25)*СПРАВОЧНИК!$H$10+('ФАКТ ЧЕРН К2'!F25)*СПРАВОЧНИК!$I$10+('ФАКТ ЧЕРН К2'!G25)*СПРАВОЧНИК!$J$10+('ФАКТ ЧЕРН К2'!H25)*СПРАВОЧНИК!$H$11+('ФАКТ ЧЕРН К2'!I25)*СПРАВОЧНИК!$I$11+('ФАКТ ЧЕРН К2'!J25)*СПРАВОЧНИК!$J$11+('ФАКТ ЧЕРН К2'!K25)*СПРАВОЧНИК!$H$12+('ФАКТ ЧЕРН К2'!L25)*СПРАВОЧНИК!$I$12+('ФАКТ ЧЕРН К2'!M25)*СПРАВОЧНИК!$J$12+('ФАКТ ЧЕРН К2'!N25)*СПРАВОЧНИК!$H$13+('ФАКТ ЧЕРН К2'!O25)*СПРАВОЧНИК!$I$13+('ФАКТ ЧЕРН К2'!P25)*СПРАВОЧНИК!$J$13+('ФАКТ ЧЕРН К2'!Q25)*СПРАВОЧНИК!$H$14+('ФАКТ ЧЕРН К2'!R25)*СПРАВОЧНИК!$I$14+('ФАКТ ЧЕРН К2'!S25)*СПРАВОЧНИК!$J$14+('ФАКТ ЧЕРН К2'!T25)*СПРАВОЧНИК!$H$15+('ФАКТ ЧЕРН К2'!U25)*СПРАВОЧНИК!$I$15+('ФАКТ ЧЕРН К2'!V25)*СПРАВОЧНИК!$J$15</f>
        <v/>
      </c>
      <c r="AU34" s="34" t="n"/>
      <c r="AX34" s="152">
        <f>AX33+7</f>
        <v/>
      </c>
      <c r="AY34" s="17">
        <f>'ПЛАН ЧИСТ К2'!B25*СПРАВОЧНИК!$L$9+'ПЛАН ЧИСТ К2'!C25*СПРАВОЧНИК!$M$9+'ПЛАН ЧИСТ К2'!D25*СПРАВОЧНИК!$N$9+'ПЛАН ЧИСТ К2'!E25*СПРАВОЧНИК!$O$9+'ПЛАН ЧИСТ К2'!F25*СПРАВОЧНИК!$P$9+'ПЛАН ЧИСТ К2'!G25*СПРАВОЧНИК!$L$10+'ПЛАН ЧИСТ К2'!H25*СПРАВОЧНИК!$M$10+'ПЛАН ЧИСТ К2'!I25*СПРАВОЧНИК!$N$10+'ПЛАН ЧИСТ К2'!J25*СПРАВОЧНИК!$O$10+'ПЛАН ЧИСТ К2'!K25*СПРАВОЧНИК!$P$10+'ПЛАН ЧИСТ К2'!L25*СПРАВОЧНИК!$L$11+'ПЛАН ЧИСТ К2'!M25*СПРАВОЧНИК!$M$11+'ПЛАН ЧИСТ К2'!N25*СПРАВОЧНИК!$N$11+'ПЛАН ЧИСТ К2'!O25*СПРАВОЧНИК!$O$11+'ПЛАН ЧИСТ К2'!P25*СПРАВОЧНИК!$P$11+'ПЛАН ЧИСТ К2'!Q25*СПРАВОЧНИК!$L$12+'ПЛАН ЧИСТ К2'!R25*СПРАВОЧНИК!$M$12+'ПЛАН ЧИСТ К2'!S25*СПРАВОЧНИК!$N$12+'ПЛАН ЧИСТ К2'!T25*СПРАВОЧНИК!$O$12+'ПЛАН ЧИСТ К2'!U25*СПРАВОЧНИК!$P$12+'ПЛАН ЧИСТ К2'!V25*СПРАВОЧНИК!$L$13+'ПЛАН ЧИСТ К2'!W25*СПРАВОЧНИК!$M$13+'ПЛАН ЧИСТ К2'!X25*СПРАВОЧНИК!$N$13+'ПЛАН ЧИСТ К2'!Y25*СПРАВОЧНИК!$O$13+'ПЛАН ЧИСТ К2'!Z25*СПРАВОЧНИК!$P$13+'ПЛАН ЧИСТ К2'!AA25*СПРАВОЧНИК!$L$14+'ПЛАН ЧИСТ К2'!AB25*СПРАВОЧНИК!$M$14+'ПЛАН ЧИСТ К2'!AC25*СПРАВОЧНИК!$N$14+'ПЛАН ЧИСТ К2'!AD25*СПРАВОЧНИК!$O$14+'ПЛАН ЧИСТ К2'!AE25*СПРАВОЧНИК!$P$14+'ПЛАН ЧИСТ К2'!AF25*СПРАВОЧНИК!$L$15+'ПЛАН ЧИСТ К2'!AG25*СПРАВОЧНИК!$M$15+'ПЛАН ЧИСТ К2'!AH25*СПРАВОЧНИК!$N$15+'ПЛАН ЧИСТ К2'!AI25*СПРАВОЧНИК!$O$15+'ПЛАН ЧИСТ К2'!AJ25*СПРАВОЧНИК!$P$15</f>
        <v/>
      </c>
      <c r="AZ34" s="31">
        <f>('ФАКТ ЧИСТ К2'!B25)*СПРАВОЧНИК!$L$9+('ФАКТ ЧИСТ К2'!C25)*СПРАВОЧНИК!$M$9+('ФАКТ ЧИСТ К2'!D25)*СПРАВОЧНИК!$N$9+('ФАКТ ЧИСТ К2'!E25)*СПРАВОЧНИК!$O$9+('ФАКТ ЧИСТ К2'!F25)*СПРАВОЧНИК!$P$9+('ФАКТ ЧИСТ К2'!G25)*СПРАВОЧНИК!$L$10+('ФАКТ ЧИСТ К2'!H25)*СПРАВОЧНИК!$M$10+('ФАКТ ЧИСТ К2'!I25)*СПРАВОЧНИК!$N$10+('ФАКТ ЧИСТ К2'!J25)*СПРАВОЧНИК!$O$10+('ФАКТ ЧИСТ К2'!K25)*СПРАВОЧНИК!$P$10+('ФАКТ ЧИСТ К2'!L25)*СПРАВОЧНИК!$L$11+('ФАКТ ЧИСТ К2'!M25)*СПРАВОЧНИК!$M$11+('ФАКТ ЧИСТ К2'!N25)*СПРАВОЧНИК!$N$11+('ФАКТ ЧИСТ К2'!O25)*СПРАВОЧНИК!$O$11+('ФАКТ ЧИСТ К2'!P25)*СПРАВОЧНИК!$P$11+('ФАКТ ЧИСТ К2'!Q25)*СПРАВОЧНИК!$L$12+('ФАКТ ЧИСТ К2'!R25)*СПРАВОЧНИК!$M$12+('ФАКТ ЧИСТ К2'!S25)*СПРАВОЧНИК!$N$12+('ФАКТ ЧИСТ К2'!T25)*СПРАВОЧНИК!$O$12+('ФАКТ ЧИСТ К2'!U25)*СПРАВОЧНИК!$P$12+('ФАКТ ЧИСТ К2'!V25)*СПРАВОЧНИК!$L$13+('ФАКТ ЧИСТ К2'!W25)*СПРАВОЧНИК!$M$13+('ФАКТ ЧИСТ К2'!X25)*СПРАВОЧНИК!$N$13+('ФАКТ ЧИСТ К2'!Y25)*СПРАВОЧНИК!$O$13+('ФАКТ ЧИСТ К2'!Z25)*СПРАВОЧНИК!$P$13+('ФАКТ ЧИСТ К2'!AA25)*СПРАВОЧНИК!$L$14+('ФАКТ ЧИСТ К2'!AB25)*СПРАВОЧНИК!$M$14+('ФАКТ ЧИСТ К2'!AC25)*СПРАВОЧНИК!$N$14+('ФАКТ ЧИСТ К2'!AD25)*СПРАВОЧНИК!$O$14+('ФАКТ ЧИСТ К2'!AE25)*СПРАВОЧНИК!$P$14+('ФАКТ ЧИСТ К2'!AF25)*СПРАВОЧНИК!$L$15+('ФАКТ ЧИСТ К2'!AG25)*СПРАВОЧНИК!$M$15+('ФАКТ ЧИСТ К2'!AH25)*СПРАВОЧНИК!$N$15+('ФАКТ ЧИСТ К2'!AI25)*СПРАВОЧНИК!$O$15+('ФАКТ ЧИСТ К2'!AJ25)*СПРАВОЧНИК!$P$15</f>
        <v/>
      </c>
      <c r="BA34" s="34" t="n"/>
      <c r="BD34" s="152">
        <f>BD33+7</f>
        <v/>
      </c>
      <c r="BE34" s="17">
        <f>СПРАВОЧНИК!$E$9*('ПЛАН ЧЕРН К3'!B25*СПРАВОЧНИК!$H$9+'ПЛАН ЧЕРН К3'!C25*СПРАВОЧНИК!$I$9+'ПЛАН ЧЕРН К3'!D25*СПРАВОЧНИК!$J$9)+СПРАВОЧНИК!$F$9*('ПЛАН ЧИСТ К3'!B25*СПРАВОЧНИК!$L$9+'ПЛАН ЧИСТ К3'!C25*СПРАВОЧНИК!$M$9+'ПЛАН ЧИСТ К3'!D25*СПРАВОЧНИК!$N$9+'ПЛАН ЧИСТ К3'!E25*СПРАВОЧНИК!$O$9+'ПЛАН ЧИСТ К3'!F25*СПРАВОЧНИК!$P$9)+СПРАВОЧНИК!$E$10*('ПЛАН ЧЕРН К3'!E25*СПРАВОЧНИК!$H$10+'ПЛАН ЧЕРН К3'!F25*СПРАВОЧНИК!$I$10+'ПЛАН ЧЕРН К3'!G25*СПРАВОЧНИК!$J$10)+СПРАВОЧНИК!$F$10*('ПЛАН ЧИСТ К3'!G25*СПРАВОЧНИК!$L$10+'ПЛАН ЧИСТ К3'!H25*СПРАВОЧНИК!$M$10+'ПЛАН ЧИСТ К3'!I25*СПРАВОЧНИК!$N$10+'ПЛАН ЧИСТ К3'!J25*СПРАВОЧНИК!$O$10+'ПЛАН ЧИСТ К3'!K25*СПРАВОЧНИК!$P$10)+СПРАВОЧНИК!$E$11*('ПЛАН ЧЕРН К3'!H25*СПРАВОЧНИК!$H$11+'ПЛАН ЧЕРН К3'!I25*СПРАВОЧНИК!$I$11+'ПЛАН ЧЕРН К3'!J25*СПРАВОЧНИК!$J$11)+СПРАВОЧНИК!$F$11*('ПЛАН ЧИСТ К3'!L25*СПРАВОЧНИК!$L$11+'ПЛАН ЧИСТ К3'!M25*СПРАВОЧНИК!$M$11+'ПЛАН ЧИСТ К3'!N25*СПРАВОЧНИК!$N$11+'ПЛАН ЧИСТ К3'!O25*СПРАВОЧНИК!$O$11+'ПЛАН ЧИСТ К3'!P25*СПРАВОЧНИК!$P$11)+СПРАВОЧНИК!$E$12*('ПЛАН ЧЕРН К3'!K25*СПРАВОЧНИК!$H$12+'ПЛАН ЧЕРН К3'!L25*СПРАВОЧНИК!$I$12+'ПЛАН ЧЕРН К3'!M25*СПРАВОЧНИК!$J$12)+СПРАВОЧНИК!$F$12*('ПЛАН ЧИСТ К3'!Q25*СПРАВОЧНИК!$L$12+'ПЛАН ЧИСТ К3'!R25*СПРАВОЧНИК!$M$12+'ПЛАН ЧИСТ К3'!S25*СПРАВОЧНИК!$N$12+'ПЛАН ЧИСТ К3'!T25*СПРАВОЧНИК!$O$12+'ПЛАН ЧИСТ К3'!U25*СПРАВОЧНИК!$P$12)+СПРАВОЧНИК!$E$13*('ПЛАН ЧЕРН К3'!N25*СПРАВОЧНИК!$H$13+'ПЛАН ЧЕРН К3'!O25*СПРАВОЧНИК!$I$13+'ПЛАН ЧЕРН К3'!P25*СПРАВОЧНИК!$J$13)+СПРАВОЧНИК!$F$13*('ПЛАН ЧИСТ К3'!V25*СПРАВОЧНИК!$L$13+'ПЛАН ЧИСТ К3'!W25*СПРАВОЧНИК!$M$13+'ПЛАН ЧИСТ К3'!X25*СПРАВОЧНИК!$N$13+'ПЛАН ЧИСТ К3'!Y25*СПРАВОЧНИК!$O$13+'ПЛАН ЧИСТ К3'!Z25*СПРАВОЧНИК!$P$13)+СПРАВОЧНИК!$E$14*('ПЛАН ЧЕРН К3'!Q25*СПРАВОЧНИК!$H$14+'ПЛАН ЧЕРН К3'!R25*СПРАВОЧНИК!$I$14+'ПЛАН ЧЕРН К3'!S25*СПРАВОЧНИК!$J$14)+СПРАВОЧНИК!$F$14*('ПЛАН ЧИСТ К3'!AA25*СПРАВОЧНИК!$L$14+'ПЛАН ЧИСТ К3'!AB25*СПРАВОЧНИК!$M$14+'ПЛАН ЧИСТ К3'!AC25*СПРАВОЧНИК!$N$14+'ПЛАН ЧИСТ К3'!AD25*СПРАВОЧНИК!$O$14+'ПЛАН ЧИСТ К3'!AE25*СПРАВОЧНИК!$P$14)+СПРАВОЧНИК!$E$15*('ПЛАН ЧЕРН К3'!T25*СПРАВОЧНИК!$H$15+'ПЛАН ЧЕРН К3'!U25*СПРАВОЧНИК!$I$15+'ПЛАН ЧЕРН К3'!V25*СПРАВОЧНИК!$J$15)+СПРАВОЧНИК!$F$15*('ПЛАН ЧИСТ К3'!AF25*СПРАВОЧНИК!$L$15+'ПЛАН ЧИСТ К3'!AG25*СПРАВОЧНИК!$M$15+'ПЛАН ЧИСТ К3'!AH25*СПРАВОЧНИК!$N$15+'ПЛАН ЧИСТ К3'!AI25*СПРАВОЧНИК!$O$15+'ПЛАН ЧИСТ К3'!AJ25*СПРАВОЧНИК!$P$15)</f>
        <v/>
      </c>
      <c r="BF34" s="31">
        <f>СПРАВОЧНИК!$E$9*('ФАКТ ЧЕРН К3'!B25*СПРАВОЧНИК!$H$9+'ФАКТ ЧЕРН К3'!C25*СПРАВОЧНИК!$I$9+'ФАКТ ЧЕРН К3'!D25*СПРАВОЧНИК!$J$9)+СПРАВОЧНИК!$F$9*('ФАКТ ЧИСТ К3'!B25*СПРАВОЧНИК!$L$9+'ФАКТ ЧИСТ К3'!C25*СПРАВОЧНИК!$M$9+'ФАКТ ЧИСТ К3'!D25*СПРАВОЧНИК!$N$9+'ФАКТ ЧИСТ К3'!E25*СПРАВОЧНИК!$O$9+'ФАКТ ЧИСТ К3'!F25*СПРАВОЧНИК!$P$9)+СПРАВОЧНИК!$E$10*('ФАКТ ЧЕРН К3'!E25*СПРАВОЧНИК!$H$10+'ФАКТ ЧЕРН К3'!F25*СПРАВОЧНИК!$I$10+'ФАКТ ЧЕРН К3'!G25*СПРАВОЧНИК!$J$10)+СПРАВОЧНИК!$F$10*('ФАКТ ЧИСТ К3'!G25*СПРАВОЧНИК!$L$10+'ФАКТ ЧИСТ К3'!H25*СПРАВОЧНИК!$M$10+'ФАКТ ЧИСТ К3'!I25*СПРАВОЧНИК!$N$10+'ФАКТ ЧИСТ К3'!J25*СПРАВОЧНИК!$O$10+'ФАКТ ЧИСТ К3'!K25*СПРАВОЧНИК!$P$10)+СПРАВОЧНИК!$E$11*('ФАКТ ЧЕРН К3'!H25*СПРАВОЧНИК!$H$11+'ФАКТ ЧЕРН К3'!I25*СПРАВОЧНИК!$I$11+'ФАКТ ЧЕРН К3'!J25*СПРАВОЧНИК!$J$11)+СПРАВОЧНИК!$F$11*('ФАКТ ЧИСТ К3'!L25*СПРАВОЧНИК!$L$11+'ФАКТ ЧИСТ К3'!M25*СПРАВОЧНИК!$M$11+'ФАКТ ЧИСТ К3'!N25*СПРАВОЧНИК!$N$11+'ФАКТ ЧИСТ К3'!O25*СПРАВОЧНИК!$O$11+'ФАКТ ЧИСТ К3'!P25*СПРАВОЧНИК!$P$11)+СПРАВОЧНИК!$E$12*('ФАКТ ЧЕРН К3'!K25*СПРАВОЧНИК!$H$12+'ФАКТ ЧЕРН К3'!L25*СПРАВОЧНИК!$I$12+'ФАКТ ЧЕРН К3'!M25*СПРАВОЧНИК!$J$12)+СПРАВОЧНИК!$F$12*('ФАКТ ЧИСТ К3'!Q25*СПРАВОЧНИК!$L$12+'ФАКТ ЧИСТ К3'!R25*СПРАВОЧНИК!$M$12+'ФАКТ ЧИСТ К3'!S25*СПРАВОЧНИК!$N$12+'ФАКТ ЧИСТ К3'!T25*СПРАВОЧНИК!$O$12+'ФАКТ ЧИСТ К3'!U25*СПРАВОЧНИК!$P$12)+СПРАВОЧНИК!$E$13*('ФАКТ ЧЕРН К3'!N25*СПРАВОЧНИК!$H$13+'ФАКТ ЧЕРН К3'!O25*СПРАВОЧНИК!$I$13+'ФАКТ ЧЕРН К3'!P25*СПРАВОЧНИК!$J$13)+СПРАВОЧНИК!$F$13*('ФАКТ ЧИСТ К3'!V25*СПРАВОЧНИК!$L$13+'ФАКТ ЧИСТ К3'!W25*СПРАВОЧНИК!$M$13+'ФАКТ ЧИСТ К3'!X25*СПРАВОЧНИК!$N$13+'ФАКТ ЧИСТ К3'!Y25*СПРАВОЧНИК!$O$13+'ФАКТ ЧИСТ К3'!Z25*СПРАВОЧНИК!$P$13)+СПРАВОЧНИК!$E$14*('ФАКТ ЧЕРН К3'!Q25*СПРАВОЧНИК!$H$14+'ФАКТ ЧЕРН К3'!R25*СПРАВОЧНИК!$I$14+'ФАКТ ЧЕРН К3'!S25*СПРАВОЧНИК!$J$14)+СПРАВОЧНИК!$F$14*('ФАКТ ЧИСТ К3'!AA25*СПРАВОЧНИК!$L$14+'ФАКТ ЧИСТ К3'!AB25*СПРАВОЧНИК!$M$14+'ФАКТ ЧИСТ К3'!AC25*СПРАВОЧНИК!$N$14+'ФАКТ ЧИСТ К3'!AD25*СПРАВОЧНИК!$O$14+'ФАКТ ЧИСТ К3'!AE25*СПРАВОЧНИК!$P$14)+СПРАВОЧНИК!$E$15*('ФАКТ ЧЕРН К3'!T25*СПРАВОЧНИК!$H$15+'ФАКТ ЧЕРН К3'!U25*СПРАВОЧНИК!$I$15+'ФАКТ ЧЕРН К3'!V25*СПРАВОЧНИК!$J$15)+СПРАВОЧНИК!$F$15*('ФАКТ ЧИСТ К3'!AF25*СПРАВОЧНИК!$L$15+'ФАКТ ЧИСТ К3'!AG25*СПРАВОЧНИК!$M$15+'ФАКТ ЧИСТ К3'!AH25*СПРАВОЧНИК!$N$15+'ФАКТ ЧИСТ К3'!AI25*СПРАВОЧНИК!$O$15+'ФАКТ ЧИСТ К3'!AJ25*СПРАВОЧНИК!$P$15)</f>
        <v/>
      </c>
      <c r="BG34" s="34" t="n"/>
      <c r="BJ34" s="152">
        <f>BJ33+7</f>
        <v/>
      </c>
      <c r="BK34" s="17">
        <f>'ПЛАН ЧЕРН К3'!B25*СПРАВОЧНИК!$H$9+'ПЛАН ЧЕРН К3'!C25*СПРАВОЧНИК!$I$9+'ПЛАН ЧЕРН К3'!D25*СПРАВОЧНИК!$J$9+'ПЛАН ЧЕРН К3'!E25*СПРАВОЧНИК!$H$10+'ПЛАН ЧЕРН К3'!F25*СПРАВОЧНИК!$I$10+'ПЛАН ЧЕРН К3'!G25*СПРАВОЧНИК!$J$10+'ПЛАН ЧЕРН К3'!H25*СПРАВОЧНИК!$H$11+'ПЛАН ЧЕРН К3'!I25*СПРАВОЧНИК!$I$11+'ПЛАН ЧЕРН К3'!J25*СПРАВОЧНИК!$J$11+'ПЛАН ЧЕРН К3'!K25*СПРАВОЧНИК!$H$12+'ПЛАН ЧЕРН К3'!L25*СПРАВОЧНИК!$I$12+'ПЛАН ЧЕРН К3'!M25*СПРАВОЧНИК!$J$12+'ПЛАН ЧЕРН К3'!N25*СПРАВОЧНИК!$H$13+'ПЛАН ЧЕРН К3'!O25*СПРАВОЧНИК!$I$13+'ПЛАН ЧЕРН К3'!P25*СПРАВОЧНИК!$J$13+'ПЛАН ЧЕРН К3'!Q25*СПРАВОЧНИК!$H$14+'ПЛАН ЧЕРН К3'!R25*СПРАВОЧНИК!$I$14+'ПЛАН ЧЕРН К3'!S25*СПРАВОЧНИК!$J$14+'ПЛАН ЧЕРН К3'!T25*СПРАВОЧНИК!$H$15+'ПЛАН ЧЕРН К3'!U25*СПРАВОЧНИК!$I$15+'ПЛАН ЧЕРН К3'!V25*СПРАВОЧНИК!$J$15</f>
        <v/>
      </c>
      <c r="BL34" s="31">
        <f>('ФАКТ ЧЕРН К3'!B25)*СПРАВОЧНИК!$H$9+('ФАКТ ЧЕРН К3'!C25)*СПРАВОЧНИК!$I$9+('ФАКТ ЧЕРН К3'!D25)*СПРАВОЧНИК!$J$9+('ФАКТ ЧЕРН К3'!E25)*СПРАВОЧНИК!$H$10+('ФАКТ ЧЕРН К3'!F25)*СПРАВОЧНИК!$I$10+('ФАКТ ЧЕРН К3'!G25)*СПРАВОЧНИК!$J$10+('ФАКТ ЧЕРН К3'!H25)*СПРАВОЧНИК!$H$11+('ФАКТ ЧЕРН К3'!I25)*СПРАВОЧНИК!$I$11+('ФАКТ ЧЕРН К3'!J25)*СПРАВОЧНИК!$J$11+('ФАКТ ЧЕРН К3'!K25)*СПРАВОЧНИК!$H$12+('ФАКТ ЧЕРН К3'!L25)*СПРАВОЧНИК!$I$12+('ФАКТ ЧЕРН К3'!M25)*СПРАВОЧНИК!$J$12+('ФАКТ ЧЕРН К3'!N25)*СПРАВОЧНИК!$H$13+('ФАКТ ЧЕРН К3'!O25)*СПРАВОЧНИК!$I$13+('ФАКТ ЧЕРН К3'!P25)*СПРАВОЧНИК!$J$13+('ФАКТ ЧЕРН К3'!Q25)*СПРАВОЧНИК!$H$14+('ФАКТ ЧЕРН К3'!R25)*СПРАВОЧНИК!$I$14+('ФАКТ ЧЕРН К3'!S25)*СПРАВОЧНИК!$J$14+('ФАКТ ЧЕРН К3'!T25)*СПРАВОЧНИК!$H$15+('ФАКТ ЧЕРН К3'!U25)*СПРАВОЧНИК!$I$15+('ФАКТ ЧЕРН К3'!V25)*СПРАВОЧНИК!$J$15</f>
        <v/>
      </c>
      <c r="BM34" s="34" t="n"/>
      <c r="BP34" s="152">
        <f>BP33+7</f>
        <v/>
      </c>
      <c r="BQ34" s="17">
        <f>'ПЛАН ЧИСТ К3'!B25*СПРАВОЧНИК!$L$9+'ПЛАН ЧИСТ К3'!C25*СПРАВОЧНИК!$M$9+'ПЛАН ЧИСТ К3'!D25*СПРАВОЧНИК!$N$9+'ПЛАН ЧИСТ К3'!E25*СПРАВОЧНИК!$O$9+'ПЛАН ЧИСТ К3'!F25*СПРАВОЧНИК!$P$9+'ПЛАН ЧИСТ К3'!G25*СПРАВОЧНИК!$L$10+'ПЛАН ЧИСТ К3'!H25*СПРАВОЧНИК!$M$10+'ПЛАН ЧИСТ К3'!I25*СПРАВОЧНИК!$N$10+'ПЛАН ЧИСТ К3'!J25*СПРАВОЧНИК!$O$10+'ПЛАН ЧИСТ К3'!K25*СПРАВОЧНИК!$P$10+'ПЛАН ЧИСТ К3'!L25*СПРАВОЧНИК!$L$11+'ПЛАН ЧИСТ К3'!M25*СПРАВОЧНИК!$M$11+'ПЛАН ЧИСТ К3'!N25*СПРАВОЧНИК!$N$11+'ПЛАН ЧИСТ К3'!O25*СПРАВОЧНИК!$O$11+'ПЛАН ЧИСТ К3'!P25*СПРАВОЧНИК!$P$11+'ПЛАН ЧИСТ К3'!Q25*СПРАВОЧНИК!$L$12+'ПЛАН ЧИСТ К3'!R25*СПРАВОЧНИК!$M$12+'ПЛАН ЧИСТ К3'!S25*СПРАВОЧНИК!$N$12+'ПЛАН ЧИСТ К3'!T25*СПРАВОЧНИК!$O$12+'ПЛАН ЧИСТ К3'!U25*СПРАВОЧНИК!$P$12+'ПЛАН ЧИСТ К3'!V25*СПРАВОЧНИК!$L$13+'ПЛАН ЧИСТ К3'!W25*СПРАВОЧНИК!$M$13+'ПЛАН ЧИСТ К3'!X25*СПРАВОЧНИК!$N$13+'ПЛАН ЧИСТ К3'!Y25*СПРАВОЧНИК!$O$13+'ПЛАН ЧИСТ К3'!Z25*СПРАВОЧНИК!$P$13+'ПЛАН ЧИСТ К3'!AA25*СПРАВОЧНИК!$L$14+'ПЛАН ЧИСТ К3'!AB25*СПРАВОЧНИК!$M$14+'ПЛАН ЧИСТ К3'!AC25*СПРАВОЧНИК!$N$14+'ПЛАН ЧИСТ К3'!AD25*СПРАВОЧНИК!$O$14+'ПЛАН ЧИСТ К3'!AE25*СПРАВОЧНИК!$P$14+'ПЛАН ЧИСТ К3'!AF25*СПРАВОЧНИК!$L$15+'ПЛАН ЧИСТ К3'!AG25*СПРАВОЧНИК!$M$15+'ПЛАН ЧИСТ К3'!AH25*СПРАВОЧНИК!$N$15+'ПЛАН ЧИСТ К3'!AI25*СПРАВОЧНИК!$O$15+'ПЛАН ЧИСТ К3'!AJ25*СПРАВОЧНИК!$P$15</f>
        <v/>
      </c>
      <c r="BR34" s="31">
        <f>('ФАКТ ЧИСТ К3'!B25)*СПРАВОЧНИК!$L$9+('ФАКТ ЧИСТ К3'!C25)*СПРАВОЧНИК!$M$9+('ФАКТ ЧИСТ К3'!D25)*СПРАВОЧНИК!$N$9+('ФАКТ ЧИСТ К3'!E25)*СПРАВОЧНИК!$O$9+('ФАКТ ЧИСТ К3'!F25)*СПРАВОЧНИК!$P$9+('ФАКТ ЧИСТ К3'!G25)*СПРАВОЧНИК!$L$10+('ФАКТ ЧИСТ К3'!H25)*СПРАВОЧНИК!$M$10+('ФАКТ ЧИСТ К3'!I25)*СПРАВОЧНИК!$N$10+('ФАКТ ЧИСТ К3'!J25)*СПРАВОЧНИК!$O$10+('ФАКТ ЧИСТ К3'!K25)*СПРАВОЧНИК!$P$10+('ФАКТ ЧИСТ К3'!L25)*СПРАВОЧНИК!$L$11+('ФАКТ ЧИСТ К3'!M25)*СПРАВОЧНИК!$M$11+('ФАКТ ЧИСТ К3'!N25)*СПРАВОЧНИК!$N$11+('ФАКТ ЧИСТ К3'!O25)*СПРАВОЧНИК!$O$11+('ФАКТ ЧИСТ К3'!P25)*СПРАВОЧНИК!$P$11+('ФАКТ ЧИСТ К3'!Q25)*СПРАВОЧНИК!$L$12+('ФАКТ ЧИСТ К3'!R25)*СПРАВОЧНИК!$M$12+('ФАКТ ЧИСТ К3'!S25)*СПРАВОЧНИК!$N$12+('ФАКТ ЧИСТ К3'!T25)*СПРАВОЧНИК!$O$12+('ФАКТ ЧИСТ К3'!U25)*СПРАВОЧНИК!$P$12+('ФАКТ ЧИСТ К3'!V25)*СПРАВОЧНИК!$L$13+('ФАКТ ЧИСТ К3'!W25)*СПРАВОЧНИК!$M$13+('ФАКТ ЧИСТ К3'!X25)*СПРАВОЧНИК!$N$13+('ФАКТ ЧИСТ К3'!Y25)*СПРАВОЧНИК!$O$13+('ФАКТ ЧИСТ К3'!Z25)*СПРАВОЧНИК!$P$13+('ФАКТ ЧИСТ К3'!AA25)*СПРАВОЧНИК!$L$14+('ФАКТ ЧИСТ К3'!AB25)*СПРАВОЧНИК!$M$14+('ФАКТ ЧИСТ К3'!AC25)*СПРАВОЧНИК!$N$14+('ФАКТ ЧИСТ К3'!AD25)*СПРАВОЧНИК!$O$14+('ФАКТ ЧИСТ К3'!AE25)*СПРАВОЧНИК!$P$14+('ФАКТ ЧИСТ К3'!AF25)*СПРАВОЧНИК!$L$15+('ФАКТ ЧИСТ К3'!AG25)*СПРАВОЧНИК!$M$15+('ФАКТ ЧИСТ К3'!AH25)*СПРАВОЧНИК!$N$15+('ФАКТ ЧИСТ К3'!AI25)*СПРАВОЧНИК!$O$15+('ФАКТ ЧИСТ К3'!AJ25)*СПРАВОЧНИК!$P$15</f>
        <v/>
      </c>
      <c r="BS34" s="34" t="n"/>
      <c r="BV34" s="152">
        <f>BV33+7</f>
        <v/>
      </c>
      <c r="BW34" s="17">
        <f>U34*СПРАВОЧНИК!$K$28+AM34*СПРАВОЧНИК!$K$29+BE34*СПРАВОЧНИК!$K$30</f>
        <v/>
      </c>
      <c r="BX34" s="31">
        <f>V34*СПРАВОЧНИК!$K$28+AN34*СПРАВОЧНИК!$K$29+BF34*СПРАВОЧНИК!$K$30</f>
        <v/>
      </c>
      <c r="BY34" s="34" t="n"/>
      <c r="CB34" s="152">
        <f>CB33+7</f>
        <v/>
      </c>
      <c r="CC34" s="17">
        <f>AA34*СПРАВОЧНИК!$K$28+AS34*СПРАВОЧНИК!$K$29+BK34*СПРАВОЧНИК!$K$30</f>
        <v/>
      </c>
      <c r="CD34" s="31">
        <f>AB34*СПРАВОЧНИК!$K$28+AT34*СПРАВОЧНИК!$K$29+BL34*СПРАВОЧНИК!$K$30</f>
        <v/>
      </c>
      <c r="CE34" s="34" t="n"/>
      <c r="CH34" s="152">
        <f>CH33+7</f>
        <v/>
      </c>
      <c r="CI34" s="17">
        <f>AG34*СПРАВОЧНИК!$K$28+AY34*СПРАВОЧНИК!$K$29+BQ34*СПРАВОЧНИК!$K$30</f>
        <v/>
      </c>
      <c r="CJ34" s="31">
        <f>AH34*СПРАВОЧНИК!$K$28+AZ34*СПРАВОЧНИК!$K$29+BR34*СПРАВОЧНИК!$K$30</f>
        <v/>
      </c>
      <c r="CK34" s="34" t="n"/>
      <c r="CN34" s="152">
        <f>CN33+7</f>
        <v/>
      </c>
      <c r="CO34" s="17">
        <f>C34*СПРАВОЧНИК!$W$18+BW34*СПРАВОЧНИК!$W$19</f>
        <v/>
      </c>
      <c r="CP34" s="31">
        <f>D34*СПРАВОЧНИК!$W$18+BX34*СПРАВОЧНИК!$W$19</f>
        <v/>
      </c>
      <c r="CQ34" s="34" t="n"/>
      <c r="CT34" s="152">
        <f>CT33+7</f>
        <v/>
      </c>
      <c r="CU34" s="17">
        <f>I34*СПРАВОЧНИК!$W$18+CC34*СПРАВОЧНИК!$W$19</f>
        <v/>
      </c>
      <c r="CV34" s="31">
        <f>J34*СПРАВОЧНИК!$W$18+CD34*СПРАВОЧНИК!$W$19</f>
        <v/>
      </c>
      <c r="CW34" s="34" t="n"/>
      <c r="CZ34" s="152">
        <f>CZ33+7</f>
        <v/>
      </c>
      <c r="DA34" s="17">
        <f>O34*СПРАВОЧНИК!$W$18+CI34*СПРАВОЧНИК!$W$19</f>
        <v/>
      </c>
      <c r="DB34" s="31">
        <f>P34*СПРАВОЧНИК!$W$18+CJ34*СПРАВОЧНИК!$W$19</f>
        <v/>
      </c>
      <c r="DC34" s="34" t="n"/>
    </row>
    <row r="35">
      <c r="B35" s="152">
        <f>B34+7</f>
        <v/>
      </c>
      <c r="C35" s="17">
        <f>СПРАВОЧНИК!$E$3*('ПЛАН ЧЕРН ПОДЗЕМ'!B26*СПРАВОЧНИК!$H$3+'ПЛАН ЧЕРН ПОДЗЕМ'!C26*СПРАВОЧНИК!$I$3+'ПЛАН ЧЕРН ПОДЗЕМ'!D26*СПРАВОЧНИК!$J$3)+СПРАВОЧНИК!$F$3*('ПЛАН ЧИСТ ПОДЗЕМ'!B26*СПРАВОЧНИК!$L$3+'ПЛАН ЧИСТ ПОДЗЕМ'!C26*СПРАВОЧНИК!$M$3+'ПЛАН ЧИСТ ПОДЗЕМ'!D26*СПРАВОЧНИК!$N$3+'ПЛАН ЧИСТ ПОДЗЕМ'!E26*СПРАВОЧНИК!$O$3+'ПЛАН ЧИСТ ПОДЗЕМ'!F26*СПРАВОЧНИК!$P$3)+СПРАВОЧНИК!$E$4*('ПЛАН ЧЕРН ПОДЗЕМ'!E26*СПРАВОЧНИК!$H$4+'ПЛАН ЧЕРН ПОДЗЕМ'!F26*СПРАВОЧНИК!$I$4+'ПЛАН ЧЕРН ПОДЗЕМ'!G26*СПРАВОЧНИК!$J$4)+СПРАВОЧНИК!$F$4*('ПЛАН ЧИСТ ПОДЗЕМ'!G26*СПРАВОЧНИК!$L$4+'ПЛАН ЧИСТ ПОДЗЕМ'!H26*СПРАВОЧНИК!$M$4+'ПЛАН ЧИСТ ПОДЗЕМ'!I26*СПРАВОЧНИК!$N$4+'ПЛАН ЧИСТ ПОДЗЕМ'!J26*СПРАВОЧНИК!$O$4+'ПЛАН ЧИСТ ПОДЗЕМ'!K26*СПРАВОЧНИК!$P$4)+СПРАВОЧНИК!$E$5*('ПЛАН ЧЕРН ПОДЗЕМ'!H26*СПРАВОЧНИК!$H$5+'ПЛАН ЧЕРН ПОДЗЕМ'!I26*СПРАВОЧНИК!$I$5+'ПЛАН ЧЕРН ПОДЗЕМ'!J26*СПРАВОЧНИК!$J$5)+СПРАВОЧНИК!$F$5*('ПЛАН ЧИСТ ПОДЗЕМ'!L26*СПРАВОЧНИК!$L$5+'ПЛАН ЧИСТ ПОДЗЕМ'!M26*СПРАВОЧНИК!$M$5+'ПЛАН ЧИСТ ПОДЗЕМ'!N26*СПРАВОЧНИК!$N$5+'ПЛАН ЧИСТ ПОДЗЕМ'!O26*СПРАВОЧНИК!$O$5+'ПЛАН ЧИСТ ПОДЗЕМ'!P26*СПРАВОЧНИК!$P$5)+СПРАВОЧНИК!$E$6*('ПЛАН ЧЕРН ПОДЗЕМ'!K26*СПРАВОЧНИК!$H$6+'ПЛАН ЧЕРН ПОДЗЕМ'!L26*СПРАВОЧНИК!$I$6+'ПЛАН ЧЕРН ПОДЗЕМ'!M26*СПРАВОЧНИК!$J$6)+СПРАВОЧНИК!$F$6*('ПЛАН ЧИСТ ПОДЗЕМ'!Q26*СПРАВОЧНИК!$L$6+'ПЛАН ЧИСТ ПОДЗЕМ'!R26*СПРАВОЧНИК!$M$6+'ПЛАН ЧИСТ ПОДЗЕМ'!S26*СПРАВОЧНИК!$N$6+'ПЛАН ЧИСТ ПОДЗЕМ'!T26*СПРАВОЧНИК!$O$6+'ПЛАН ЧИСТ ПОДЗЕМ'!U26*СПРАВОЧНИК!$P$6)+СПРАВОЧНИК!$E$7*('ПЛАН ЧЕРН ПОДЗЕМ'!N26*СПРАВОЧНИК!$H$7+'ПЛАН ЧЕРН ПОДЗЕМ'!O26*СПРАВОЧНИК!$I$7+'ПЛАН ЧЕРН ПОДЗЕМ'!P26*СПРАВОЧНИК!$J$7)+СПРАВОЧНИК!$F$7*('ПЛАН ЧИСТ ПОДЗЕМ'!V26*СПРАВОЧНИК!$L$7+'ПЛАН ЧИСТ ПОДЗЕМ'!W26*СПРАВОЧНИК!$M$7+'ПЛАН ЧИСТ ПОДЗЕМ'!X26*СПРАВОЧНИК!$N$7+'ПЛАН ЧИСТ ПОДЗЕМ'!Y26*СПРАВОЧНИК!$O$7+'ПЛАН ЧИСТ ПОДЗЕМ'!Z26*СПРАВОЧНИК!$P$7)+СПРАВОЧНИК!$E$8*('ПЛАН ЧЕРН ПОДЗЕМ'!Q26*СПРАВОЧНИК!$H$8+'ПЛАН ЧЕРН ПОДЗЕМ'!R26*СПРАВОЧНИК!$I$8+'ПЛАН ЧЕРН ПОДЗЕМ'!S26*СПРАВОЧНИК!$J$8)+СПРАВОЧНИК!$F$8*('ПЛАН ЧИСТ ПОДЗЕМ'!AA26*СПРАВОЧНИК!$L$8+'ПЛАН ЧИСТ ПОДЗЕМ'!AB26*СПРАВОЧНИК!$M$8+'ПЛАН ЧИСТ ПОДЗЕМ'!AC26*СПРАВОЧНИК!$N$8+'ПЛАН ЧИСТ ПОДЗЕМ'!AD26*СПРАВОЧНИК!$O$8+'ПЛАН ЧИСТ ПОДЗЕМ'!AE26*СПРАВОЧНИК!$P$8)</f>
        <v/>
      </c>
      <c r="D35" s="31">
        <f>СПРАВОЧНИК!$E$3*('ФАКТ ЧЕРН ПОДЗЕМ'!B26*СПРАВОЧНИК!$H$3+'ФАКТ ЧЕРН ПОДЗЕМ'!C26*СПРАВОЧНИК!$I$3+'ФАКТ ЧЕРН ПОДЗЕМ'!D26*СПРАВОЧНИК!$J$3)+СПРАВОЧНИК!$F$3*('ФАКТ ЧИСТ ПОДЗЕМ'!B26*СПРАВОЧНИК!$L$3+'ФАКТ ЧИСТ ПОДЗЕМ'!C26*СПРАВОЧНИК!$M$3+'ФАКТ ЧИСТ ПОДЗЕМ'!D26*СПРАВОЧНИК!$N$3+'ФАКТ ЧИСТ ПОДЗЕМ'!E26*СПРАВОЧНИК!$O$3+'ФАКТ ЧИСТ ПОДЗЕМ'!F26*СПРАВОЧНИК!$P$3)+СПРАВОЧНИК!$E$4*('ФАКТ ЧЕРН ПОДЗЕМ'!E26*СПРАВОЧНИК!$H$4+'ФАКТ ЧЕРН ПОДЗЕМ'!F26*СПРАВОЧНИК!$I$4+'ФАКТ ЧЕРН ПОДЗЕМ'!G26*СПРАВОЧНИК!$J$4)+СПРАВОЧНИК!$F$4*('ФАКТ ЧИСТ ПОДЗЕМ'!G26*СПРАВОЧНИК!$L$4+'ФАКТ ЧИСТ ПОДЗЕМ'!H26*СПРАВОЧНИК!$M$4+'ФАКТ ЧИСТ ПОДЗЕМ'!I26*СПРАВОЧНИК!$N$4+'ФАКТ ЧИСТ ПОДЗЕМ'!J26*СПРАВОЧНИК!$O$4+'ФАКТ ЧИСТ ПОДЗЕМ'!K26*СПРАВОЧНИК!$P$4)+СПРАВОЧНИК!$E$5*('ФАКТ ЧЕРН ПОДЗЕМ'!H26*СПРАВОЧНИК!$H$5+'ФАКТ ЧЕРН ПОДЗЕМ'!I26*СПРАВОЧНИК!$I$5+'ФАКТ ЧЕРН ПОДЗЕМ'!J26*СПРАВОЧНИК!$J$5)+СПРАВОЧНИК!$F$5*('ФАКТ ЧИСТ ПОДЗЕМ'!L26*СПРАВОЧНИК!$L$5+'ФАКТ ЧИСТ ПОДЗЕМ'!M26*СПРАВОЧНИК!$M$5+'ФАКТ ЧИСТ ПОДЗЕМ'!N26*СПРАВОЧНИК!$N$5+'ФАКТ ЧИСТ ПОДЗЕМ'!O26*СПРАВОЧНИК!$O$5+'ФАКТ ЧИСТ ПОДЗЕМ'!P26*СПРАВОЧНИК!$P$5)+СПРАВОЧНИК!$E$6*('ФАКТ ЧЕРН ПОДЗЕМ'!K26*СПРАВОЧНИК!$H$6+'ФАКТ ЧЕРН ПОДЗЕМ'!L26*СПРАВОЧНИК!$I$6+'ФАКТ ЧЕРН ПОДЗЕМ'!M26*СПРАВОЧНИК!$J$6)+СПРАВОЧНИК!$F$6*('ФАКТ ЧИСТ ПОДЗЕМ'!Q26*СПРАВОЧНИК!$L$6+'ФАКТ ЧИСТ ПОДЗЕМ'!R26*СПРАВОЧНИК!$M$6+'ФАКТ ЧИСТ ПОДЗЕМ'!S26*СПРАВОЧНИК!$N$6+'ФАКТ ЧИСТ ПОДЗЕМ'!T26*СПРАВОЧНИК!$O$6+'ФАКТ ЧИСТ ПОДЗЕМ'!U26*СПРАВОЧНИК!$P$6)+СПРАВОЧНИК!$E$7*('ФАКТ ЧЕРН ПОДЗЕМ'!N26*СПРАВОЧНИК!$H$7+'ФАКТ ЧЕРН ПОДЗЕМ'!O26*СПРАВОЧНИК!$I$7+'ФАКТ ЧЕРН ПОДЗЕМ'!P26*СПРАВОЧНИК!$J$7)+СПРАВОЧНИК!$F$7*('ФАКТ ЧИСТ ПОДЗЕМ'!V26*СПРАВОЧНИК!$L$7+'ФАКТ ЧИСТ ПОДЗЕМ'!W26*СПРАВОЧНИК!$M$7+'ФАКТ ЧИСТ ПОДЗЕМ'!X26*СПРАВОЧНИК!$N$7+'ФАКТ ЧИСТ ПОДЗЕМ'!Y26*СПРАВОЧНИК!$O$7+'ФАКТ ЧИСТ ПОДЗЕМ'!Z26*СПРАВОЧНИК!$P$7)+СПРАВОЧНИК!$E$8*('ФАКТ ЧЕРН ПОДЗЕМ'!Q26*СПРАВОЧНИК!$H$8+'ФАКТ ЧЕРН ПОДЗЕМ'!R26*СПРАВОЧНИК!$I$8+'ФАКТ ЧЕРН ПОДЗЕМ'!S26*СПРАВОЧНИК!$J$8)+СПРАВОЧНИК!$F$8*('ФАКТ ЧИСТ ПОДЗЕМ'!AA26*СПРАВОЧНИК!$L$8+'ФАКТ ЧИСТ ПОДЗЕМ'!AB26*СПРАВОЧНИК!$M$8+'ФАКТ ЧИСТ ПОДЗЕМ'!AC26*СПРАВОЧНИК!$N$8+'ФАКТ ЧИСТ ПОДЗЕМ'!AD26*СПРАВОЧНИК!$O$8+'ФАКТ ЧИСТ ПОДЗЕМ'!AE26*СПРАВОЧНИК!$P$8)</f>
        <v/>
      </c>
      <c r="E35" s="34" t="n"/>
      <c r="H35" s="152">
        <f>H34+7</f>
        <v/>
      </c>
      <c r="I35" s="17">
        <f>'ПЛАН ЧЕРН ПОДЗЕМ'!B26*СПРАВОЧНИК!$H$3+'ПЛАН ЧЕРН ПОДЗЕМ'!C26*СПРАВОЧНИК!$I$3+'ПЛАН ЧЕРН ПОДЗЕМ'!D26*СПРАВОЧНИК!$J$3+'ПЛАН ЧЕРН ПОДЗЕМ'!E26*СПРАВОЧНИК!$H$4+'ПЛАН ЧЕРН ПОДЗЕМ'!F26*СПРАВОЧНИК!$I$4+'ПЛАН ЧЕРН ПОДЗЕМ'!G26*СПРАВОЧНИК!$J$4+'ПЛАН ЧЕРН ПОДЗЕМ'!H26*СПРАВОЧНИК!$H$5+'ПЛАН ЧЕРН ПОДЗЕМ'!I26*СПРАВОЧНИК!$I$5+'ПЛАН ЧЕРН ПОДЗЕМ'!J26*СПРАВОЧНИК!$J$5+'ПЛАН ЧЕРН ПОДЗЕМ'!K26*СПРАВОЧНИК!$H$6+'ПЛАН ЧЕРН ПОДЗЕМ'!L26*СПРАВОЧНИК!$I$6+'ПЛАН ЧЕРН ПОДЗЕМ'!M26*СПРАВОЧНИК!$J$6+'ПЛАН ЧЕРН ПОДЗЕМ'!N26*СПРАВОЧНИК!$H$7+'ПЛАН ЧЕРН ПОДЗЕМ'!O26*СПРАВОЧНИК!$I$7+'ПЛАН ЧЕРН ПОДЗЕМ'!P26*СПРАВОЧНИК!$J$7+'ПЛАН ЧЕРН ПОДЗЕМ'!Q26*СПРАВОЧНИК!$H$8+'ПЛАН ЧЕРН ПОДЗЕМ'!R26*СПРАВОЧНИК!$I$8+'ПЛАН ЧЕРН ПОДЗЕМ'!S26*СПРАВОЧНИК!$J$8</f>
        <v/>
      </c>
      <c r="J35" s="31">
        <f>('ФАКТ ЧЕРН ПОДЗЕМ'!B26)*СПРАВОЧНИК!$H$3+('ФАКТ ЧЕРН ПОДЗЕМ'!C26)*СПРАВОЧНИК!$I$3+('ФАКТ ЧЕРН ПОДЗЕМ'!D26)*СПРАВОЧНИК!$J$3+('ФАКТ ЧЕРН ПОДЗЕМ'!E26)*СПРАВОЧНИК!$H$4+('ФАКТ ЧЕРН ПОДЗЕМ'!F26)*СПРАВОЧНИК!$I$4+('ФАКТ ЧЕРН ПОДЗЕМ'!G26)*СПРАВОЧНИК!$J$4+('ФАКТ ЧЕРН ПОДЗЕМ'!H26)*СПРАВОЧНИК!$H$5+('ФАКТ ЧЕРН ПОДЗЕМ'!I26)*СПРАВОЧНИК!$I$5+('ФАКТ ЧЕРН ПОДЗЕМ'!J26)*СПРАВОЧНИК!$J$5+('ФАКТ ЧЕРН ПОДЗЕМ'!K26)*СПРАВОЧНИК!$H$6+('ФАКТ ЧЕРН ПОДЗЕМ'!L26)*СПРАВОЧНИК!$I$6+('ФАКТ ЧЕРН ПОДЗЕМ'!M26)*СПРАВОЧНИК!$J$6+('ФАКТ ЧЕРН ПОДЗЕМ'!N26)*СПРАВОЧНИК!$H$7+('ФАКТ ЧЕРН ПОДЗЕМ'!O26)*СПРАВОЧНИК!$I$7+('ФАКТ ЧЕРН ПОДЗЕМ'!P26)*СПРАВОЧНИК!$J$7+('ФАКТ ЧЕРН ПОДЗЕМ'!Q26)*СПРАВОЧНИК!$H$8+('ФАКТ ЧЕРН ПОДЗЕМ'!R26)*СПРАВОЧНИК!$I$8+('ФАКТ ЧЕРН ПОДЗЕМ'!S26)*СПРАВОЧНИК!$J$8</f>
        <v/>
      </c>
      <c r="K35" s="34" t="n"/>
      <c r="N35" s="152">
        <f>N34+7</f>
        <v/>
      </c>
      <c r="O35" s="17">
        <f>'ПЛАН ЧИСТ ПОДЗЕМ'!B26*СПРАВОЧНИК!$L$3+'ПЛАН ЧИСТ ПОДЗЕМ'!C26*СПРАВОЧНИК!$M$3+'ПЛАН ЧИСТ ПОДЗЕМ'!D26*СПРАВОЧНИК!$N$3+'ПЛАН ЧИСТ ПОДЗЕМ'!E26*СПРАВОЧНИК!$O$3+'ПЛАН ЧИСТ ПОДЗЕМ'!F26*СПРАВОЧНИК!$P$3+'ПЛАН ЧИСТ ПОДЗЕМ'!G26*СПРАВОЧНИК!$L$4+'ПЛАН ЧИСТ ПОДЗЕМ'!H26*СПРАВОЧНИК!$M$4+'ПЛАН ЧИСТ ПОДЗЕМ'!I26*СПРАВОЧНИК!$N$4+'ПЛАН ЧИСТ ПОДЗЕМ'!J26*СПРАВОЧНИК!$O$4+'ПЛАН ЧИСТ ПОДЗЕМ'!K26*СПРАВОЧНИК!$P$4+'ПЛАН ЧИСТ ПОДЗЕМ'!L26*СПРАВОЧНИК!$L$5+'ПЛАН ЧИСТ ПОДЗЕМ'!M26*СПРАВОЧНИК!$M$5+'ПЛАН ЧИСТ ПОДЗЕМ'!N26*СПРАВОЧНИК!$N$5+'ПЛАН ЧИСТ ПОДЗЕМ'!O26*СПРАВОЧНИК!$O$5+'ПЛАН ЧИСТ ПОДЗЕМ'!P26*СПРАВОЧНИК!$P$5+'ПЛАН ЧИСТ ПОДЗЕМ'!Q26*СПРАВОЧНИК!$L$6+'ПЛАН ЧИСТ ПОДЗЕМ'!R26*СПРАВОЧНИК!$M$6+'ПЛАН ЧИСТ ПОДЗЕМ'!S26*СПРАВОЧНИК!$N$6+'ПЛАН ЧИСТ ПОДЗЕМ'!T26*СПРАВОЧНИК!$O$6+'ПЛАН ЧИСТ ПОДЗЕМ'!U26*СПРАВОЧНИК!$P$6+'ПЛАН ЧИСТ ПОДЗЕМ'!V26*СПРАВОЧНИК!$L$7+'ПЛАН ЧИСТ ПОДЗЕМ'!W26*СПРАВОЧНИК!$M$7+'ПЛАН ЧИСТ ПОДЗЕМ'!X26*СПРАВОЧНИК!$N$7+'ПЛАН ЧИСТ ПОДЗЕМ'!Y26*СПРАВОЧНИК!$O$7+'ПЛАН ЧИСТ ПОДЗЕМ'!Z26*СПРАВОЧНИК!$P$7+'ПЛАН ЧИСТ ПОДЗЕМ'!AA26*СПРАВОЧНИК!$L$8+'ПЛАН ЧИСТ ПОДЗЕМ'!AB26*СПРАВОЧНИК!$M$8+'ПЛАН ЧИСТ ПОДЗЕМ'!AC26*СПРАВОЧНИК!$N$8+'ПЛАН ЧИСТ ПОДЗЕМ'!AD26*СПРАВОЧНИК!$O$8+'ПЛАН ЧИСТ ПОДЗЕМ'!AE26*СПРАВОЧНИК!$P$8</f>
        <v/>
      </c>
      <c r="P35" s="31">
        <f>('ФАКТ ЧИСТ ПОДЗЕМ'!B26)*СПРАВОЧНИК!$L$3+('ФАКТ ЧИСТ ПОДЗЕМ'!C26)*СПРАВОЧНИК!$M$3+('ФАКТ ЧИСТ ПОДЗЕМ'!D26)*СПРАВОЧНИК!$N$3+('ФАКТ ЧИСТ ПОДЗЕМ'!E26)*СПРАВОЧНИК!$O$3+('ФАКТ ЧИСТ ПОДЗЕМ'!F26)*СПРАВОЧНИК!$P$3+('ФАКТ ЧИСТ ПОДЗЕМ'!G26)*СПРАВОЧНИК!$L$4+('ФАКТ ЧИСТ ПОДЗЕМ'!H26)*СПРАВОЧНИК!$M$4+('ФАКТ ЧИСТ ПОДЗЕМ'!I26)*СПРАВОЧНИК!$N$4+('ФАКТ ЧИСТ ПОДЗЕМ'!J26)*СПРАВОЧНИК!$O$4+('ФАКТ ЧИСТ ПОДЗЕМ'!K26)*СПРАВОЧНИК!$P$4+('ФАКТ ЧИСТ ПОДЗЕМ'!L26)*СПРАВОЧНИК!$L$5+('ФАКТ ЧИСТ ПОДЗЕМ'!M26)*СПРАВОЧНИК!$M$5+('ФАКТ ЧИСТ ПОДЗЕМ'!N26)*СПРАВОЧНИК!$N$5+('ФАКТ ЧИСТ ПОДЗЕМ'!O26)*СПРАВОЧНИК!$O$5+('ФАКТ ЧИСТ ПОДЗЕМ'!P26)*СПРАВОЧНИК!$P$5+('ФАКТ ЧИСТ ПОДЗЕМ'!Q26)*СПРАВОЧНИК!$L$6+('ФАКТ ЧИСТ ПОДЗЕМ'!R26)*СПРАВОЧНИК!$M$6+('ФАКТ ЧИСТ ПОДЗЕМ'!S26)*СПРАВОЧНИК!$N$6+('ФАКТ ЧИСТ ПОДЗЕМ'!T26)*СПРАВОЧНИК!$O$6+('ФАКТ ЧИСТ ПОДЗЕМ'!U26)*СПРАВОЧНИК!$P$6+('ФАКТ ЧИСТ ПОДЗЕМ'!V26)*СПРАВОЧНИК!$L$7+('ФАКТ ЧИСТ ПОДЗЕМ'!W26)*СПРАВОЧНИК!$M$7+('ФАКТ ЧИСТ ПОДЗЕМ'!X26)*СПРАВОЧНИК!$N$7+('ФАКТ ЧИСТ ПОДЗЕМ'!Y26)*СПРАВОЧНИК!$O$7+('ФАКТ ЧИСТ ПОДЗЕМ'!Z26)*СПРАВОЧНИК!$P$7+('ФАКТ ЧИСТ ПОДЗЕМ'!AA26)*СПРАВОЧНИК!$L$8+('ФАКТ ЧИСТ ПОДЗЕМ'!AB26)*СПРАВОЧНИК!$M$8+('ФАКТ ЧИСТ ПОДЗЕМ'!AC26)*СПРАВОЧНИК!$N$8+('ФАКТ ЧИСТ ПОДЗЕМ'!AD26)*СПРАВОЧНИК!$O$8+('ФАКТ ЧИСТ ПОДЗЕМ'!AE26)*СПРАВОЧНИК!$P$8</f>
        <v/>
      </c>
      <c r="Q35" s="34" t="n"/>
      <c r="T35" s="152">
        <f>T34+7</f>
        <v/>
      </c>
      <c r="U35" s="17">
        <f>СПРАВОЧНИК!$E$9*('ПЛАН ЧЕРН К1'!B26*СПРАВОЧНИК!$H$9+'ПЛАН ЧЕРН К1'!C26*СПРАВОЧНИК!$I$9+'ПЛАН ЧЕРН К1'!D26*СПРАВОЧНИК!$J$9)+СПРАВОЧНИК!$F$9*('ПЛАН ЧИСТ К1'!B26*СПРАВОЧНИК!$L$9+'ПЛАН ЧИСТ К1'!C26*СПРАВОЧНИК!$M$9+'ПЛАН ЧИСТ К1'!D26*СПРАВОЧНИК!$N$9+'ПЛАН ЧИСТ К1'!E26*СПРАВОЧНИК!$O$9+'ПЛАН ЧИСТ К1'!F26*СПРАВОЧНИК!$P$9)+СПРАВОЧНИК!$E$10*('ПЛАН ЧЕРН К1'!E26*СПРАВОЧНИК!$H$10+'ПЛАН ЧЕРН К1'!F26*СПРАВОЧНИК!$I$10+'ПЛАН ЧЕРН К1'!G26*СПРАВОЧНИК!$J$10)+СПРАВОЧНИК!$F$10*('ПЛАН ЧИСТ К1'!G26*СПРАВОЧНИК!$L$10+'ПЛАН ЧИСТ К1'!H26*СПРАВОЧНИК!$M$10+'ПЛАН ЧИСТ К1'!I26*СПРАВОЧНИК!$N$10+'ПЛАН ЧИСТ К1'!J26*СПРАВОЧНИК!$O$10+'ПЛАН ЧИСТ К1'!K26*СПРАВОЧНИК!$P$10)+СПРАВОЧНИК!$E$11*('ПЛАН ЧЕРН К1'!H26*СПРАВОЧНИК!$H$11+'ПЛАН ЧЕРН К1'!I26*СПРАВОЧНИК!$I$11+'ПЛАН ЧЕРН К1'!J26*СПРАВОЧНИК!$J$11)+СПРАВОЧНИК!$F$11*('ПЛАН ЧИСТ К1'!L26*СПРАВОЧНИК!$L$11+'ПЛАН ЧИСТ К1'!M26*СПРАВОЧНИК!$M$11+'ПЛАН ЧИСТ К1'!N26*СПРАВОЧНИК!$N$11+'ПЛАН ЧИСТ К1'!O26*СПРАВОЧНИК!$O$11+'ПЛАН ЧИСТ К1'!P26*СПРАВОЧНИК!$P$11)+СПРАВОЧНИК!$E$12*('ПЛАН ЧЕРН К1'!K26*СПРАВОЧНИК!$H$12+'ПЛАН ЧЕРН К1'!L26*СПРАВОЧНИК!$I$12+'ПЛАН ЧЕРН К1'!M26*СПРАВОЧНИК!$J$12)+СПРАВОЧНИК!$F$12*('ПЛАН ЧИСТ К1'!Q26*СПРАВОЧНИК!$L$12+'ПЛАН ЧИСТ К1'!R26*СПРАВОЧНИК!$M$12+'ПЛАН ЧИСТ К1'!S26*СПРАВОЧНИК!$N$12+'ПЛАН ЧИСТ К1'!T26*СПРАВОЧНИК!$O$12+'ПЛАН ЧИСТ К1'!U26*СПРАВОЧНИК!$P$12)+СПРАВОЧНИК!$E$13*('ПЛАН ЧЕРН К1'!N26*СПРАВОЧНИК!$H$13+'ПЛАН ЧЕРН К1'!O26*СПРАВОЧНИК!$I$13+'ПЛАН ЧЕРН К1'!P26*СПРАВОЧНИК!$J$13)+СПРАВОЧНИК!$F$13*('ПЛАН ЧИСТ К1'!V26*СПРАВОЧНИК!$L$13+'ПЛАН ЧИСТ К1'!W26*СПРАВОЧНИК!$M$13+'ПЛАН ЧИСТ К1'!X26*СПРАВОЧНИК!$N$13+'ПЛАН ЧИСТ К1'!Y26*СПРАВОЧНИК!$O$13+'ПЛАН ЧИСТ К1'!Z26*СПРАВОЧНИК!$P$13)+СПРАВОЧНИК!$E$14*('ПЛАН ЧЕРН К1'!Q26*СПРАВОЧНИК!$H$14+'ПЛАН ЧЕРН К1'!R26*СПРАВОЧНИК!$I$14+'ПЛАН ЧЕРН К1'!S26*СПРАВОЧНИК!$J$14)+СПРАВОЧНИК!$F$14*('ПЛАН ЧИСТ К1'!AA26*СПРАВОЧНИК!$L$14+'ПЛАН ЧИСТ К1'!AB26*СПРАВОЧНИК!$M$14+'ПЛАН ЧИСТ К1'!AC26*СПРАВОЧНИК!$N$14+'ПЛАН ЧИСТ К1'!AD26*СПРАВОЧНИК!$O$14+'ПЛАН ЧИСТ К1'!AE26*СПРАВОЧНИК!$P$14)+СПРАВОЧНИК!$E$15*('ПЛАН ЧЕРН К1'!T26*СПРАВОЧНИК!$H$15+'ПЛАН ЧЕРН К1'!U26*СПРАВОЧНИК!$I$15+'ПЛАН ЧЕРН К1'!V26*СПРАВОЧНИК!$J$15)+СПРАВОЧНИК!$F$15*('ПЛАН ЧИСТ К1'!AF26*СПРАВОЧНИК!$L$15+'ПЛАН ЧИСТ К1'!AG26*СПРАВОЧНИК!$M$15+'ПЛАН ЧИСТ К1'!AH26*СПРАВОЧНИК!$N$15+'ПЛАН ЧИСТ К1'!AI26*СПРАВОЧНИК!$O$15+'ПЛАН ЧИСТ К1'!AJ26*СПРАВОЧНИК!$P$15)</f>
        <v/>
      </c>
      <c r="V35" s="31">
        <f>СПРАВОЧНИК!$E$9*('ФАКТ ЧЕРН К1'!B26*СПРАВОЧНИК!$H$9+'ФАКТ ЧЕРН К1'!C26*СПРАВОЧНИК!$I$9+'ФАКТ ЧЕРН К1'!D26*СПРАВОЧНИК!$J$9)+СПРАВОЧНИК!$F$9*('ФАКТ ЧИСТ К1'!B26*СПРАВОЧНИК!$L$9+'ФАКТ ЧИСТ К1'!C26*СПРАВОЧНИК!$M$9+'ФАКТ ЧИСТ К1'!D26*СПРАВОЧНИК!$N$9+'ФАКТ ЧИСТ К1'!E26*СПРАВОЧНИК!$O$9+'ФАКТ ЧИСТ К1'!F26*СПРАВОЧНИК!$P$9)+СПРАВОЧНИК!$E$10*('ФАКТ ЧЕРН К1'!E26*СПРАВОЧНИК!$H$10+'ФАКТ ЧЕРН К1'!F26*СПРАВОЧНИК!$I$10+'ФАКТ ЧЕРН К1'!G26*СПРАВОЧНИК!$J$10)+СПРАВОЧНИК!$F$10*('ФАКТ ЧИСТ К1'!G26*СПРАВОЧНИК!$L$10+'ФАКТ ЧИСТ К1'!H26*СПРАВОЧНИК!$M$10+'ФАКТ ЧИСТ К1'!I26*СПРАВОЧНИК!$N$10+'ФАКТ ЧИСТ К1'!J26*СПРАВОЧНИК!$O$10+'ФАКТ ЧИСТ К1'!K26*СПРАВОЧНИК!$P$10)+СПРАВОЧНИК!$E$11*('ФАКТ ЧЕРН К1'!H26*СПРАВОЧНИК!$H$11+'ФАКТ ЧЕРН К1'!I26*СПРАВОЧНИК!$I$11+'ФАКТ ЧЕРН К1'!J26*СПРАВОЧНИК!$J$11)+СПРАВОЧНИК!$F$11*('ФАКТ ЧИСТ К1'!L26*СПРАВОЧНИК!$L$11+'ФАКТ ЧИСТ К1'!M26*СПРАВОЧНИК!$M$11+'ФАКТ ЧИСТ К1'!N26*СПРАВОЧНИК!$N$11+'ФАКТ ЧИСТ К1'!O26*СПРАВОЧНИК!$O$11+'ФАКТ ЧИСТ К1'!P26*СПРАВОЧНИК!$P$11)+СПРАВОЧНИК!$E$12*('ФАКТ ЧЕРН К1'!K26*СПРАВОЧНИК!$H$12+'ФАКТ ЧЕРН К1'!L26*СПРАВОЧНИК!$I$12+'ФАКТ ЧЕРН К1'!M26*СПРАВОЧНИК!$J$12)+СПРАВОЧНИК!$F$12*('ФАКТ ЧИСТ К1'!Q26*СПРАВОЧНИК!$L$12+'ФАКТ ЧИСТ К1'!R26*СПРАВОЧНИК!$M$12+'ФАКТ ЧИСТ К1'!S26*СПРАВОЧНИК!$N$12+'ФАКТ ЧИСТ К1'!T26*СПРАВОЧНИК!$O$12+'ФАКТ ЧИСТ К1'!U26*СПРАВОЧНИК!$P$12)+СПРАВОЧНИК!$E$13*('ФАКТ ЧЕРН К1'!N26*СПРАВОЧНИК!$H$13+'ФАКТ ЧЕРН К1'!O26*СПРАВОЧНИК!$I$13+'ФАКТ ЧЕРН К1'!P26*СПРАВОЧНИК!$J$13)+СПРАВОЧНИК!$F$13*('ФАКТ ЧИСТ К1'!V26*СПРАВОЧНИК!$L$13+'ФАКТ ЧИСТ К1'!W26*СПРАВОЧНИК!$M$13+'ФАКТ ЧИСТ К1'!X26*СПРАВОЧНИК!$N$13+'ФАКТ ЧИСТ К1'!Y26*СПРАВОЧНИК!$O$13+'ФАКТ ЧИСТ К1'!Z26*СПРАВОЧНИК!$P$13)+СПРАВОЧНИК!$E$14*('ФАКТ ЧЕРН К1'!Q26*СПРАВОЧНИК!$H$14+'ФАКТ ЧЕРН К1'!R26*СПРАВОЧНИК!$I$14+'ФАКТ ЧЕРН К1'!S26*СПРАВОЧНИК!$J$14)+СПРАВОЧНИК!$F$14*('ФАКТ ЧИСТ К1'!AA26*СПРАВОЧНИК!$L$14+'ФАКТ ЧИСТ К1'!AB26*СПРАВОЧНИК!$M$14+'ФАКТ ЧИСТ К1'!AC26*СПРАВОЧНИК!$N$14+'ФАКТ ЧИСТ К1'!AD26*СПРАВОЧНИК!$O$14+'ФАКТ ЧИСТ К1'!AE26*СПРАВОЧНИК!$P$14)+СПРАВОЧНИК!$E$15*('ФАКТ ЧЕРН К1'!T26*СПРАВОЧНИК!$H$15+'ФАКТ ЧЕРН К1'!U26*СПРАВОЧНИК!$I$15+'ФАКТ ЧЕРН К1'!V26*СПРАВОЧНИК!$J$15)+СПРАВОЧНИК!$F$15*('ФАКТ ЧИСТ К1'!AF26*СПРАВОЧНИК!$L$15+'ФАКТ ЧИСТ К1'!AG26*СПРАВОЧНИК!$M$15+'ФАКТ ЧИСТ К1'!AH26*СПРАВОЧНИК!$N$15+'ФАКТ ЧИСТ К1'!AI26*СПРАВОЧНИК!$O$15+'ФАКТ ЧИСТ К1'!AJ26*СПРАВОЧНИК!$P$15)</f>
        <v/>
      </c>
      <c r="W35" s="34" t="n"/>
      <c r="Z35" s="152">
        <f>Z34+7</f>
        <v/>
      </c>
      <c r="AA35" s="17">
        <f>'ПЛАН ЧЕРН К1'!B26*СПРАВОЧНИК!$H$9+'ПЛАН ЧЕРН К1'!C26*СПРАВОЧНИК!$I$9+'ПЛАН ЧЕРН К1'!D26*СПРАВОЧНИК!$J$9+'ПЛАН ЧЕРН К1'!E26*СПРАВОЧНИК!$H$10+'ПЛАН ЧЕРН К1'!F26*СПРАВОЧНИК!$I$10+'ПЛАН ЧЕРН К1'!G26*СПРАВОЧНИК!$J$10+'ПЛАН ЧЕРН К1'!H26*СПРАВОЧНИК!$H$11+'ПЛАН ЧЕРН К1'!I26*СПРАВОЧНИК!$I$11+'ПЛАН ЧЕРН К1'!J26*СПРАВОЧНИК!$J$11+'ПЛАН ЧЕРН К1'!K26*СПРАВОЧНИК!$H$12+'ПЛАН ЧЕРН К1'!L26*СПРАВОЧНИК!$I$12+'ПЛАН ЧЕРН К1'!M26*СПРАВОЧНИК!$J$12+'ПЛАН ЧЕРН К1'!N26*СПРАВОЧНИК!$H$13+'ПЛАН ЧЕРН К1'!O26*СПРАВОЧНИК!$I$13+'ПЛАН ЧЕРН К1'!P26*СПРАВОЧНИК!$J$13+'ПЛАН ЧЕРН К1'!Q26*СПРАВОЧНИК!$H$14+'ПЛАН ЧЕРН К1'!R26*СПРАВОЧНИК!$I$14+'ПЛАН ЧЕРН К1'!S26*СПРАВОЧНИК!$J$14+'ПЛАН ЧЕРН К1'!T26*СПРАВОЧНИК!$H$15+'ПЛАН ЧЕРН К1'!U26*СПРАВОЧНИК!$I$15+'ПЛАН ЧЕРН К1'!V26*СПРАВОЧНИК!$J$15</f>
        <v/>
      </c>
      <c r="AB35" s="31">
        <f>('ФАКТ ЧЕРН К1'!B26)*СПРАВОЧНИК!$H$9+('ФАКТ ЧЕРН К1'!C26)*СПРАВОЧНИК!$I$9+('ФАКТ ЧЕРН К1'!D26)*СПРАВОЧНИК!$J$9+('ФАКТ ЧЕРН К1'!E26)*СПРАВОЧНИК!$H$10+('ФАКТ ЧЕРН К1'!F26)*СПРАВОЧНИК!$I$10+('ФАКТ ЧЕРН К1'!G26)*СПРАВОЧНИК!$J$10+('ФАКТ ЧЕРН К1'!H26)*СПРАВОЧНИК!$H$11+('ФАКТ ЧЕРН К1'!I26)*СПРАВОЧНИК!$I$11+('ФАКТ ЧЕРН К1'!J26)*СПРАВОЧНИК!$J$11+('ФАКТ ЧЕРН К1'!K26)*СПРАВОЧНИК!$H$12+('ФАКТ ЧЕРН К1'!L26)*СПРАВОЧНИК!$I$12+('ФАКТ ЧЕРН К1'!M26)*СПРАВОЧНИК!$J$12+('ФАКТ ЧЕРН К1'!N26)*СПРАВОЧНИК!$H$13+('ФАКТ ЧЕРН К1'!O26)*СПРАВОЧНИК!$I$13+('ФАКТ ЧЕРН К1'!P26)*СПРАВОЧНИК!$J$13+('ФАКТ ЧЕРН К1'!Q26)*СПРАВОЧНИК!$H$14+('ФАКТ ЧЕРН К1'!R26)*СПРАВОЧНИК!$I$14+('ФАКТ ЧЕРН К1'!S26)*СПРАВОЧНИК!$J$14+('ФАКТ ЧЕРН К1'!T26)*СПРАВОЧНИК!$H$15+('ФАКТ ЧЕРН К1'!U26)*СПРАВОЧНИК!$I$15+('ФАКТ ЧЕРН К1'!V26)*СПРАВОЧНИК!$J$15</f>
        <v/>
      </c>
      <c r="AC35" s="34" t="n"/>
      <c r="AF35" s="152">
        <f>AF34+7</f>
        <v/>
      </c>
      <c r="AG35" s="17">
        <f>'ПЛАН ЧИСТ К1'!B26*СПРАВОЧНИК!$L$9+'ПЛАН ЧИСТ К1'!C26*СПРАВОЧНИК!$M$9+'ПЛАН ЧИСТ К1'!D26*СПРАВОЧНИК!$N$9+'ПЛАН ЧИСТ К1'!E26*СПРАВОЧНИК!$O$9+'ПЛАН ЧИСТ К1'!F26*СПРАВОЧНИК!$P$9+'ПЛАН ЧИСТ К1'!G26*СПРАВОЧНИК!$L$10+'ПЛАН ЧИСТ К1'!H26*СПРАВОЧНИК!$M$10+'ПЛАН ЧИСТ К1'!I26*СПРАВОЧНИК!$N$10+'ПЛАН ЧИСТ К1'!J26*СПРАВОЧНИК!$O$10+'ПЛАН ЧИСТ К1'!K26*СПРАВОЧНИК!$P$10+'ПЛАН ЧИСТ К1'!L26*СПРАВОЧНИК!$L$11+'ПЛАН ЧИСТ К1'!M26*СПРАВОЧНИК!$M$11+'ПЛАН ЧИСТ К1'!N26*СПРАВОЧНИК!$N$11+'ПЛАН ЧИСТ К1'!O26*СПРАВОЧНИК!$O$11+'ПЛАН ЧИСТ К1'!P26*СПРАВОЧНИК!$P$11+'ПЛАН ЧИСТ К1'!Q26*СПРАВОЧНИК!$L$12+'ПЛАН ЧИСТ К1'!R26*СПРАВОЧНИК!$M$12+'ПЛАН ЧИСТ К1'!S26*СПРАВОЧНИК!$N$12+'ПЛАН ЧИСТ К1'!T26*СПРАВОЧНИК!$O$12+'ПЛАН ЧИСТ К1'!U26*СПРАВОЧНИК!$P$12+'ПЛАН ЧИСТ К1'!V26*СПРАВОЧНИК!$L$13+'ПЛАН ЧИСТ К1'!W26*СПРАВОЧНИК!$M$13+'ПЛАН ЧИСТ К1'!X26*СПРАВОЧНИК!$N$13+'ПЛАН ЧИСТ К1'!Y26*СПРАВОЧНИК!$O$13+'ПЛАН ЧИСТ К1'!Z26*СПРАВОЧНИК!$P$13+'ПЛАН ЧИСТ К1'!AA26*СПРАВОЧНИК!$L$14+'ПЛАН ЧИСТ К1'!AB26*СПРАВОЧНИК!$M$14+'ПЛАН ЧИСТ К1'!AC26*СПРАВОЧНИК!$N$14+'ПЛАН ЧИСТ К1'!AD26*СПРАВОЧНИК!$O$14+'ПЛАН ЧИСТ К1'!AE26*СПРАВОЧНИК!$P$14+'ПЛАН ЧИСТ К1'!AF26*СПРАВОЧНИК!$L$15+'ПЛАН ЧИСТ К1'!AG26*СПРАВОЧНИК!$M$15+'ПЛАН ЧИСТ К1'!AH26*СПРАВОЧНИК!$N$15+'ПЛАН ЧИСТ К1'!AI26*СПРАВОЧНИК!$O$15+'ПЛАН ЧИСТ К1'!AJ26*СПРАВОЧНИК!$P$15</f>
        <v/>
      </c>
      <c r="AH35" s="31">
        <f>('ФАКТ ЧИСТ К1'!B26)*СПРАВОЧНИК!$L$9+('ФАКТ ЧИСТ К1'!C26)*СПРАВОЧНИК!$M$9+('ФАКТ ЧИСТ К1'!D26)*СПРАВОЧНИК!$N$9+('ФАКТ ЧИСТ К1'!E26)*СПРАВОЧНИК!$O$9+('ФАКТ ЧИСТ К1'!F26)*СПРАВОЧНИК!$P$9+('ФАКТ ЧИСТ К1'!G26)*СПРАВОЧНИК!$L$10+('ФАКТ ЧИСТ К1'!H26)*СПРАВОЧНИК!$M$10+('ФАКТ ЧИСТ К1'!I26)*СПРАВОЧНИК!$N$10+('ФАКТ ЧИСТ К1'!J26)*СПРАВОЧНИК!$O$10+('ФАКТ ЧИСТ К1'!K26)*СПРАВОЧНИК!$P$10+('ФАКТ ЧИСТ К1'!L26)*СПРАВОЧНИК!$L$11+('ФАКТ ЧИСТ К1'!M26)*СПРАВОЧНИК!$M$11+('ФАКТ ЧИСТ К1'!N26)*СПРАВОЧНИК!$N$11+('ФАКТ ЧИСТ К1'!O26)*СПРАВОЧНИК!$O$11+('ФАКТ ЧИСТ К1'!P26)*СПРАВОЧНИК!$P$11+('ФАКТ ЧИСТ К1'!Q26)*СПРАВОЧНИК!$L$12+('ФАКТ ЧИСТ К1'!R26)*СПРАВОЧНИК!$M$12+('ФАКТ ЧИСТ К1'!S26)*СПРАВОЧНИК!$N$12+('ФАКТ ЧИСТ К1'!T26)*СПРАВОЧНИК!$O$12+('ФАКТ ЧИСТ К1'!U26)*СПРАВОЧНИК!$P$12+('ФАКТ ЧИСТ К1'!V26)*СПРАВОЧНИК!$L$13+('ФАКТ ЧИСТ К1'!W26)*СПРАВОЧНИК!$M$13+('ФАКТ ЧИСТ К1'!X26)*СПРАВОЧНИК!$N$13+('ФАКТ ЧИСТ К1'!Y26)*СПРАВОЧНИК!$O$13+('ФАКТ ЧИСТ К1'!Z26)*СПРАВОЧНИК!$P$13+('ФАКТ ЧИСТ К1'!AA26)*СПРАВОЧНИК!$L$14+('ФАКТ ЧИСТ К1'!AB26)*СПРАВОЧНИК!$M$14+('ФАКТ ЧИСТ К1'!AC26)*СПРАВОЧНИК!$N$14+('ФАКТ ЧИСТ К1'!AD26)*СПРАВОЧНИК!$O$14+('ФАКТ ЧИСТ К1'!AE26)*СПРАВОЧНИК!$P$14+('ФАКТ ЧИСТ К1'!AF26)*СПРАВОЧНИК!$L$15+('ФАКТ ЧИСТ К1'!AG26)*СПРАВОЧНИК!$M$15+('ФАКТ ЧИСТ К1'!AH26)*СПРАВОЧНИК!$N$15+('ФАКТ ЧИСТ К1'!AI26)*СПРАВОЧНИК!$O$15+('ФАКТ ЧИСТ К1'!AJ26)*СПРАВОЧНИК!$P$15</f>
        <v/>
      </c>
      <c r="AI35" s="34" t="n"/>
      <c r="AL35" s="152">
        <f>AL34+7</f>
        <v/>
      </c>
      <c r="AM35" s="17">
        <f>СПРАВОЧНИК!$E$9*('ПЛАН ЧЕРН К2'!B26*СПРАВОЧНИК!$H$9+'ПЛАН ЧЕРН К2'!C26*СПРАВОЧНИК!$I$9+'ПЛАН ЧЕРН К2'!D26*СПРАВОЧНИК!$J$9)+СПРАВОЧНИК!$F$9*('ПЛАН ЧИСТ К2'!B26*СПРАВОЧНИК!$L$9+'ПЛАН ЧИСТ К2'!C26*СПРАВОЧНИК!$M$9+'ПЛАН ЧИСТ К2'!D26*СПРАВОЧНИК!$N$9+'ПЛАН ЧИСТ К2'!E26*СПРАВОЧНИК!$O$9+'ПЛАН ЧИСТ К2'!F26*СПРАВОЧНИК!$P$9)+СПРАВОЧНИК!$E$10*('ПЛАН ЧЕРН К2'!E26*СПРАВОЧНИК!$H$10+'ПЛАН ЧЕРН К2'!F26*СПРАВОЧНИК!$I$10+'ПЛАН ЧЕРН К2'!G26*СПРАВОЧНИК!$J$10)+СПРАВОЧНИК!$F$10*('ПЛАН ЧИСТ К2'!G26*СПРАВОЧНИК!$L$10+'ПЛАН ЧИСТ К2'!H26*СПРАВОЧНИК!$M$10+'ПЛАН ЧИСТ К2'!I26*СПРАВОЧНИК!$N$10+'ПЛАН ЧИСТ К2'!J26*СПРАВОЧНИК!$O$10+'ПЛАН ЧИСТ К2'!K26*СПРАВОЧНИК!$P$10)+СПРАВОЧНИК!$E$11*('ПЛАН ЧЕРН К2'!H26*СПРАВОЧНИК!$H$11+'ПЛАН ЧЕРН К2'!I26*СПРАВОЧНИК!$I$11+'ПЛАН ЧЕРН К2'!J26*СПРАВОЧНИК!$J$11)+СПРАВОЧНИК!$F$11*('ПЛАН ЧИСТ К2'!L26*СПРАВОЧНИК!$L$11+'ПЛАН ЧИСТ К2'!M26*СПРАВОЧНИК!$M$11+'ПЛАН ЧИСТ К2'!N26*СПРАВОЧНИК!$N$11+'ПЛАН ЧИСТ К2'!O26*СПРАВОЧНИК!$O$11+'ПЛАН ЧИСТ К2'!P26*СПРАВОЧНИК!$P$11)+СПРАВОЧНИК!$E$12*('ПЛАН ЧЕРН К2'!K26*СПРАВОЧНИК!$H$12+'ПЛАН ЧЕРН К2'!L26*СПРАВОЧНИК!$I$12+'ПЛАН ЧЕРН К2'!M26*СПРАВОЧНИК!$J$12)+СПРАВОЧНИК!$F$12*('ПЛАН ЧИСТ К2'!Q26*СПРАВОЧНИК!$L$12+'ПЛАН ЧИСТ К2'!R26*СПРАВОЧНИК!$M$12+'ПЛАН ЧИСТ К2'!S26*СПРАВОЧНИК!$N$12+'ПЛАН ЧИСТ К2'!T26*СПРАВОЧНИК!$O$12+'ПЛАН ЧИСТ К2'!U26*СПРАВОЧНИК!$P$12)+СПРАВОЧНИК!$E$13*('ПЛАН ЧЕРН К2'!N26*СПРАВОЧНИК!$H$13+'ПЛАН ЧЕРН К2'!O26*СПРАВОЧНИК!$I$13+'ПЛАН ЧЕРН К2'!P26*СПРАВОЧНИК!$J$13)+СПРАВОЧНИК!$F$13*('ПЛАН ЧИСТ К2'!V26*СПРАВОЧНИК!$L$13+'ПЛАН ЧИСТ К2'!W26*СПРАВОЧНИК!$M$13+'ПЛАН ЧИСТ К2'!X26*СПРАВОЧНИК!$N$13+'ПЛАН ЧИСТ К2'!Y26*СПРАВОЧНИК!$O$13+'ПЛАН ЧИСТ К2'!Z26*СПРАВОЧНИК!$P$13)+СПРАВОЧНИК!$E$14*('ПЛАН ЧЕРН К2'!Q26*СПРАВОЧНИК!$H$14+'ПЛАН ЧЕРН К2'!R26*СПРАВОЧНИК!$I$14+'ПЛАН ЧЕРН К2'!S26*СПРАВОЧНИК!$J$14)+СПРАВОЧНИК!$F$14*('ПЛАН ЧИСТ К2'!AA26*СПРАВОЧНИК!$L$14+'ПЛАН ЧИСТ К2'!AB26*СПРАВОЧНИК!$M$14+'ПЛАН ЧИСТ К2'!AC26*СПРАВОЧНИК!$N$14+'ПЛАН ЧИСТ К2'!AD26*СПРАВОЧНИК!$O$14+'ПЛАН ЧИСТ К2'!AE26*СПРАВОЧНИК!$P$14)+СПРАВОЧНИК!$E$15*('ПЛАН ЧЕРН К2'!T26*СПРАВОЧНИК!$H$15+'ПЛАН ЧЕРН К2'!U26*СПРАВОЧНИК!$I$15+'ПЛАН ЧЕРН К2'!V26*СПРАВОЧНИК!$J$15)+СПРАВОЧНИК!$F$15*('ПЛАН ЧИСТ К2'!AF26*СПРАВОЧНИК!$L$15+'ПЛАН ЧИСТ К2'!AG26*СПРАВОЧНИК!$M$15+'ПЛАН ЧИСТ К2'!AH26*СПРАВОЧНИК!$N$15+'ПЛАН ЧИСТ К2'!AI26*СПРАВОЧНИК!$O$15+'ПЛАН ЧИСТ К2'!AJ26*СПРАВОЧНИК!$P$15)</f>
        <v/>
      </c>
      <c r="AN35" s="31">
        <f>СПРАВОЧНИК!$E$9*('ФАКТ ЧЕРН К2'!B26*СПРАВОЧНИК!$H$9+'ФАКТ ЧЕРН К2'!C26*СПРАВОЧНИК!$I$9+'ФАКТ ЧЕРН К2'!D26*СПРАВОЧНИК!$J$9)+СПРАВОЧНИК!$F$9*('ФАКТ ЧИСТ К2'!B26*СПРАВОЧНИК!$L$9+'ФАКТ ЧИСТ К2'!C26*СПРАВОЧНИК!$M$9+'ФАКТ ЧИСТ К2'!D26*СПРАВОЧНИК!$N$9+'ФАКТ ЧИСТ К2'!E26*СПРАВОЧНИК!$O$9+'ФАКТ ЧИСТ К2'!F26*СПРАВОЧНИК!$P$9)+СПРАВОЧНИК!$E$10*('ФАКТ ЧЕРН К2'!E26*СПРАВОЧНИК!$H$10+'ФАКТ ЧЕРН К2'!F26*СПРАВОЧНИК!$I$10+'ФАКТ ЧЕРН К2'!G26*СПРАВОЧНИК!$J$10)+СПРАВОЧНИК!$F$10*('ФАКТ ЧИСТ К2'!G26*СПРАВОЧНИК!$L$10+'ФАКТ ЧИСТ К2'!H26*СПРАВОЧНИК!$M$10+'ФАКТ ЧИСТ К2'!I26*СПРАВОЧНИК!$N$10+'ФАКТ ЧИСТ К2'!J26*СПРАВОЧНИК!$O$10+'ФАКТ ЧИСТ К2'!K26*СПРАВОЧНИК!$P$10)+СПРАВОЧНИК!$E$11*('ФАКТ ЧЕРН К2'!H26*СПРАВОЧНИК!$H$11+'ФАКТ ЧЕРН К2'!I26*СПРАВОЧНИК!$I$11+'ФАКТ ЧЕРН К2'!J26*СПРАВОЧНИК!$J$11)+СПРАВОЧНИК!$F$11*('ФАКТ ЧИСТ К2'!L26*СПРАВОЧНИК!$L$11+'ФАКТ ЧИСТ К2'!M26*СПРАВОЧНИК!$M$11+'ФАКТ ЧИСТ К2'!N26*СПРАВОЧНИК!$N$11+'ФАКТ ЧИСТ К2'!O26*СПРАВОЧНИК!$O$11+'ФАКТ ЧИСТ К2'!P26*СПРАВОЧНИК!$P$11)+СПРАВОЧНИК!$E$12*('ФАКТ ЧЕРН К2'!K26*СПРАВОЧНИК!$H$12+'ФАКТ ЧЕРН К2'!L26*СПРАВОЧНИК!$I$12+'ФАКТ ЧЕРН К2'!M26*СПРАВОЧНИК!$J$12)+СПРАВОЧНИК!$F$12*('ФАКТ ЧИСТ К2'!Q26*СПРАВОЧНИК!$L$12+'ФАКТ ЧИСТ К2'!R26*СПРАВОЧНИК!$M$12+'ФАКТ ЧИСТ К2'!S26*СПРАВОЧНИК!$N$12+'ФАКТ ЧИСТ К2'!T26*СПРАВОЧНИК!$O$12+'ФАКТ ЧИСТ К2'!U26*СПРАВОЧНИК!$P$12)+СПРАВОЧНИК!$E$13*('ФАКТ ЧЕРН К2'!N26*СПРАВОЧНИК!$H$13+'ФАКТ ЧЕРН К2'!O26*СПРАВОЧНИК!$I$13+'ФАКТ ЧЕРН К2'!P26*СПРАВОЧНИК!$J$13)+СПРАВОЧНИК!$F$13*('ФАКТ ЧИСТ К2'!V26*СПРАВОЧНИК!$L$13+'ФАКТ ЧИСТ К2'!W26*СПРАВОЧНИК!$M$13+'ФАКТ ЧИСТ К2'!X26*СПРАВОЧНИК!$N$13+'ФАКТ ЧИСТ К2'!Y26*СПРАВОЧНИК!$O$13+'ФАКТ ЧИСТ К2'!Z26*СПРАВОЧНИК!$P$13)+СПРАВОЧНИК!$E$14*('ФАКТ ЧЕРН К2'!Q26*СПРАВОЧНИК!$H$14+'ФАКТ ЧЕРН К2'!R26*СПРАВОЧНИК!$I$14+'ФАКТ ЧЕРН К2'!S26*СПРАВОЧНИК!$J$14)+СПРАВОЧНИК!$F$14*('ФАКТ ЧИСТ К2'!AA26*СПРАВОЧНИК!$L$14+'ФАКТ ЧИСТ К2'!AB26*СПРАВОЧНИК!$M$14+'ФАКТ ЧИСТ К2'!AC26*СПРАВОЧНИК!$N$14+'ФАКТ ЧИСТ К2'!AD26*СПРАВОЧНИК!$O$14+'ФАКТ ЧИСТ К2'!AE26*СПРАВОЧНИК!$P$14)+СПРАВОЧНИК!$E$15*('ФАКТ ЧЕРН К2'!T26*СПРАВОЧНИК!$H$15+'ФАКТ ЧЕРН К2'!U26*СПРАВОЧНИК!$I$15+'ФАКТ ЧЕРН К2'!V26*СПРАВОЧНИК!$J$15)+СПРАВОЧНИК!$F$15*('ФАКТ ЧИСТ К2'!AF26*СПРАВОЧНИК!$L$15+'ФАКТ ЧИСТ К2'!AG26*СПРАВОЧНИК!$M$15+'ФАКТ ЧИСТ К2'!AH26*СПРАВОЧНИК!$N$15+'ФАКТ ЧИСТ К2'!AI26*СПРАВОЧНИК!$O$15+'ФАКТ ЧИСТ К2'!AJ26*СПРАВОЧНИК!$P$15)</f>
        <v/>
      </c>
      <c r="AO35" s="34" t="n"/>
      <c r="AR35" s="152">
        <f>AR34+7</f>
        <v/>
      </c>
      <c r="AS35" s="17">
        <f>'ПЛАН ЧЕРН К2'!B26*СПРАВОЧНИК!$H$9+'ПЛАН ЧЕРН К2'!C26*СПРАВОЧНИК!$I$9+'ПЛАН ЧЕРН К2'!D26*СПРАВОЧНИК!$J$9+'ПЛАН ЧЕРН К2'!E26*СПРАВОЧНИК!$H$10+'ПЛАН ЧЕРН К2'!F26*СПРАВОЧНИК!$I$10+'ПЛАН ЧЕРН К2'!G26*СПРАВОЧНИК!$J$10+'ПЛАН ЧЕРН К2'!H26*СПРАВОЧНИК!$H$11+'ПЛАН ЧЕРН К2'!I26*СПРАВОЧНИК!$I$11+'ПЛАН ЧЕРН К2'!J26*СПРАВОЧНИК!$J$11+'ПЛАН ЧЕРН К2'!K26*СПРАВОЧНИК!$H$12+'ПЛАН ЧЕРН К2'!L26*СПРАВОЧНИК!$I$12+'ПЛАН ЧЕРН К2'!M26*СПРАВОЧНИК!$J$12+'ПЛАН ЧЕРН К2'!N26*СПРАВОЧНИК!$H$13+'ПЛАН ЧЕРН К2'!O26*СПРАВОЧНИК!$I$13+'ПЛАН ЧЕРН К2'!P26*СПРАВОЧНИК!$J$13+'ПЛАН ЧЕРН К2'!Q26*СПРАВОЧНИК!$H$14+'ПЛАН ЧЕРН К2'!R26*СПРАВОЧНИК!$I$14+'ПЛАН ЧЕРН К2'!S26*СПРАВОЧНИК!$J$14+'ПЛАН ЧЕРН К2'!T26*СПРАВОЧНИК!$H$15+'ПЛАН ЧЕРН К2'!U26*СПРАВОЧНИК!$I$15+'ПЛАН ЧЕРН К2'!V26*СПРАВОЧНИК!$J$15</f>
        <v/>
      </c>
      <c r="AT35" s="31">
        <f>('ФАКТ ЧЕРН К2'!B26)*СПРАВОЧНИК!$H$9+('ФАКТ ЧЕРН К2'!C26)*СПРАВОЧНИК!$I$9+('ФАКТ ЧЕРН К2'!D26)*СПРАВОЧНИК!$J$9+('ФАКТ ЧЕРН К2'!E26)*СПРАВОЧНИК!$H$10+('ФАКТ ЧЕРН К2'!F26)*СПРАВОЧНИК!$I$10+('ФАКТ ЧЕРН К2'!G26)*СПРАВОЧНИК!$J$10+('ФАКТ ЧЕРН К2'!H26)*СПРАВОЧНИК!$H$11+('ФАКТ ЧЕРН К2'!I26)*СПРАВОЧНИК!$I$11+('ФАКТ ЧЕРН К2'!J26)*СПРАВОЧНИК!$J$11+('ФАКТ ЧЕРН К2'!K26)*СПРАВОЧНИК!$H$12+('ФАКТ ЧЕРН К2'!L26)*СПРАВОЧНИК!$I$12+('ФАКТ ЧЕРН К2'!M26)*СПРАВОЧНИК!$J$12+('ФАКТ ЧЕРН К2'!N26)*СПРАВОЧНИК!$H$13+('ФАКТ ЧЕРН К2'!O26)*СПРАВОЧНИК!$I$13+('ФАКТ ЧЕРН К2'!P26)*СПРАВОЧНИК!$J$13+('ФАКТ ЧЕРН К2'!Q26)*СПРАВОЧНИК!$H$14+('ФАКТ ЧЕРН К2'!R26)*СПРАВОЧНИК!$I$14+('ФАКТ ЧЕРН К2'!S26)*СПРАВОЧНИК!$J$14+('ФАКТ ЧЕРН К2'!T26)*СПРАВОЧНИК!$H$15+('ФАКТ ЧЕРН К2'!U26)*СПРАВОЧНИК!$I$15+('ФАКТ ЧЕРН К2'!V26)*СПРАВОЧНИК!$J$15</f>
        <v/>
      </c>
      <c r="AU35" s="34" t="n"/>
      <c r="AX35" s="152">
        <f>AX34+7</f>
        <v/>
      </c>
      <c r="AY35" s="17">
        <f>'ПЛАН ЧИСТ К2'!B26*СПРАВОЧНИК!$L$9+'ПЛАН ЧИСТ К2'!C26*СПРАВОЧНИК!$M$9+'ПЛАН ЧИСТ К2'!D26*СПРАВОЧНИК!$N$9+'ПЛАН ЧИСТ К2'!E26*СПРАВОЧНИК!$O$9+'ПЛАН ЧИСТ К2'!F26*СПРАВОЧНИК!$P$9+'ПЛАН ЧИСТ К2'!G26*СПРАВОЧНИК!$L$10+'ПЛАН ЧИСТ К2'!H26*СПРАВОЧНИК!$M$10+'ПЛАН ЧИСТ К2'!I26*СПРАВОЧНИК!$N$10+'ПЛАН ЧИСТ К2'!J26*СПРАВОЧНИК!$O$10+'ПЛАН ЧИСТ К2'!K26*СПРАВОЧНИК!$P$10+'ПЛАН ЧИСТ К2'!L26*СПРАВОЧНИК!$L$11+'ПЛАН ЧИСТ К2'!M26*СПРАВОЧНИК!$M$11+'ПЛАН ЧИСТ К2'!N26*СПРАВОЧНИК!$N$11+'ПЛАН ЧИСТ К2'!O26*СПРАВОЧНИК!$O$11+'ПЛАН ЧИСТ К2'!P26*СПРАВОЧНИК!$P$11+'ПЛАН ЧИСТ К2'!Q26*СПРАВОЧНИК!$L$12+'ПЛАН ЧИСТ К2'!R26*СПРАВОЧНИК!$M$12+'ПЛАН ЧИСТ К2'!S26*СПРАВОЧНИК!$N$12+'ПЛАН ЧИСТ К2'!T26*СПРАВОЧНИК!$O$12+'ПЛАН ЧИСТ К2'!U26*СПРАВОЧНИК!$P$12+'ПЛАН ЧИСТ К2'!V26*СПРАВОЧНИК!$L$13+'ПЛАН ЧИСТ К2'!W26*СПРАВОЧНИК!$M$13+'ПЛАН ЧИСТ К2'!X26*СПРАВОЧНИК!$N$13+'ПЛАН ЧИСТ К2'!Y26*СПРАВОЧНИК!$O$13+'ПЛАН ЧИСТ К2'!Z26*СПРАВОЧНИК!$P$13+'ПЛАН ЧИСТ К2'!AA26*СПРАВОЧНИК!$L$14+'ПЛАН ЧИСТ К2'!AB26*СПРАВОЧНИК!$M$14+'ПЛАН ЧИСТ К2'!AC26*СПРАВОЧНИК!$N$14+'ПЛАН ЧИСТ К2'!AD26*СПРАВОЧНИК!$O$14+'ПЛАН ЧИСТ К2'!AE26*СПРАВОЧНИК!$P$14+'ПЛАН ЧИСТ К2'!AF26*СПРАВОЧНИК!$L$15+'ПЛАН ЧИСТ К2'!AG26*СПРАВОЧНИК!$M$15+'ПЛАН ЧИСТ К2'!AH26*СПРАВОЧНИК!$N$15+'ПЛАН ЧИСТ К2'!AI26*СПРАВОЧНИК!$O$15+'ПЛАН ЧИСТ К2'!AJ26*СПРАВОЧНИК!$P$15</f>
        <v/>
      </c>
      <c r="AZ35" s="31">
        <f>('ФАКТ ЧИСТ К2'!B26)*СПРАВОЧНИК!$L$9+('ФАКТ ЧИСТ К2'!C26)*СПРАВОЧНИК!$M$9+('ФАКТ ЧИСТ К2'!D26)*СПРАВОЧНИК!$N$9+('ФАКТ ЧИСТ К2'!E26)*СПРАВОЧНИК!$O$9+('ФАКТ ЧИСТ К2'!F26)*СПРАВОЧНИК!$P$9+('ФАКТ ЧИСТ К2'!G26)*СПРАВОЧНИК!$L$10+('ФАКТ ЧИСТ К2'!H26)*СПРАВОЧНИК!$M$10+('ФАКТ ЧИСТ К2'!I26)*СПРАВОЧНИК!$N$10+('ФАКТ ЧИСТ К2'!J26)*СПРАВОЧНИК!$O$10+('ФАКТ ЧИСТ К2'!K26)*СПРАВОЧНИК!$P$10+('ФАКТ ЧИСТ К2'!L26)*СПРАВОЧНИК!$L$11+('ФАКТ ЧИСТ К2'!M26)*СПРАВОЧНИК!$M$11+('ФАКТ ЧИСТ К2'!N26)*СПРАВОЧНИК!$N$11+('ФАКТ ЧИСТ К2'!O26)*СПРАВОЧНИК!$O$11+('ФАКТ ЧИСТ К2'!P26)*СПРАВОЧНИК!$P$11+('ФАКТ ЧИСТ К2'!Q26)*СПРАВОЧНИК!$L$12+('ФАКТ ЧИСТ К2'!R26)*СПРАВОЧНИК!$M$12+('ФАКТ ЧИСТ К2'!S26)*СПРАВОЧНИК!$N$12+('ФАКТ ЧИСТ К2'!T26)*СПРАВОЧНИК!$O$12+('ФАКТ ЧИСТ К2'!U26)*СПРАВОЧНИК!$P$12+('ФАКТ ЧИСТ К2'!V26)*СПРАВОЧНИК!$L$13+('ФАКТ ЧИСТ К2'!W26)*СПРАВОЧНИК!$M$13+('ФАКТ ЧИСТ К2'!X26)*СПРАВОЧНИК!$N$13+('ФАКТ ЧИСТ К2'!Y26)*СПРАВОЧНИК!$O$13+('ФАКТ ЧИСТ К2'!Z26)*СПРАВОЧНИК!$P$13+('ФАКТ ЧИСТ К2'!AA26)*СПРАВОЧНИК!$L$14+('ФАКТ ЧИСТ К2'!AB26)*СПРАВОЧНИК!$M$14+('ФАКТ ЧИСТ К2'!AC26)*СПРАВОЧНИК!$N$14+('ФАКТ ЧИСТ К2'!AD26)*СПРАВОЧНИК!$O$14+('ФАКТ ЧИСТ К2'!AE26)*СПРАВОЧНИК!$P$14+('ФАКТ ЧИСТ К2'!AF26)*СПРАВОЧНИК!$L$15+('ФАКТ ЧИСТ К2'!AG26)*СПРАВОЧНИК!$M$15+('ФАКТ ЧИСТ К2'!AH26)*СПРАВОЧНИК!$N$15+('ФАКТ ЧИСТ К2'!AI26)*СПРАВОЧНИК!$O$15+('ФАКТ ЧИСТ К2'!AJ26)*СПРАВОЧНИК!$P$15</f>
        <v/>
      </c>
      <c r="BA35" s="34" t="n"/>
      <c r="BD35" s="152">
        <f>BD34+7</f>
        <v/>
      </c>
      <c r="BE35" s="17">
        <f>СПРАВОЧНИК!$E$9*('ПЛАН ЧЕРН К3'!B26*СПРАВОЧНИК!$H$9+'ПЛАН ЧЕРН К3'!C26*СПРАВОЧНИК!$I$9+'ПЛАН ЧЕРН К3'!D26*СПРАВОЧНИК!$J$9)+СПРАВОЧНИК!$F$9*('ПЛАН ЧИСТ К3'!B26*СПРАВОЧНИК!$L$9+'ПЛАН ЧИСТ К3'!C26*СПРАВОЧНИК!$M$9+'ПЛАН ЧИСТ К3'!D26*СПРАВОЧНИК!$N$9+'ПЛАН ЧИСТ К3'!E26*СПРАВОЧНИК!$O$9+'ПЛАН ЧИСТ К3'!F26*СПРАВОЧНИК!$P$9)+СПРАВОЧНИК!$E$10*('ПЛАН ЧЕРН К3'!E26*СПРАВОЧНИК!$H$10+'ПЛАН ЧЕРН К3'!F26*СПРАВОЧНИК!$I$10+'ПЛАН ЧЕРН К3'!G26*СПРАВОЧНИК!$J$10)+СПРАВОЧНИК!$F$10*('ПЛАН ЧИСТ К3'!G26*СПРАВОЧНИК!$L$10+'ПЛАН ЧИСТ К3'!H26*СПРАВОЧНИК!$M$10+'ПЛАН ЧИСТ К3'!I26*СПРАВОЧНИК!$N$10+'ПЛАН ЧИСТ К3'!J26*СПРАВОЧНИК!$O$10+'ПЛАН ЧИСТ К3'!K26*СПРАВОЧНИК!$P$10)+СПРАВОЧНИК!$E$11*('ПЛАН ЧЕРН К3'!H26*СПРАВОЧНИК!$H$11+'ПЛАН ЧЕРН К3'!I26*СПРАВОЧНИК!$I$11+'ПЛАН ЧЕРН К3'!J26*СПРАВОЧНИК!$J$11)+СПРАВОЧНИК!$F$11*('ПЛАН ЧИСТ К3'!L26*СПРАВОЧНИК!$L$11+'ПЛАН ЧИСТ К3'!M26*СПРАВОЧНИК!$M$11+'ПЛАН ЧИСТ К3'!N26*СПРАВОЧНИК!$N$11+'ПЛАН ЧИСТ К3'!O26*СПРАВОЧНИК!$O$11+'ПЛАН ЧИСТ К3'!P26*СПРАВОЧНИК!$P$11)+СПРАВОЧНИК!$E$12*('ПЛАН ЧЕРН К3'!K26*СПРАВОЧНИК!$H$12+'ПЛАН ЧЕРН К3'!L26*СПРАВОЧНИК!$I$12+'ПЛАН ЧЕРН К3'!M26*СПРАВОЧНИК!$J$12)+СПРАВОЧНИК!$F$12*('ПЛАН ЧИСТ К3'!Q26*СПРАВОЧНИК!$L$12+'ПЛАН ЧИСТ К3'!R26*СПРАВОЧНИК!$M$12+'ПЛАН ЧИСТ К3'!S26*СПРАВОЧНИК!$N$12+'ПЛАН ЧИСТ К3'!T26*СПРАВОЧНИК!$O$12+'ПЛАН ЧИСТ К3'!U26*СПРАВОЧНИК!$P$12)+СПРАВОЧНИК!$E$13*('ПЛАН ЧЕРН К3'!N26*СПРАВОЧНИК!$H$13+'ПЛАН ЧЕРН К3'!O26*СПРАВОЧНИК!$I$13+'ПЛАН ЧЕРН К3'!P26*СПРАВОЧНИК!$J$13)+СПРАВОЧНИК!$F$13*('ПЛАН ЧИСТ К3'!V26*СПРАВОЧНИК!$L$13+'ПЛАН ЧИСТ К3'!W26*СПРАВОЧНИК!$M$13+'ПЛАН ЧИСТ К3'!X26*СПРАВОЧНИК!$N$13+'ПЛАН ЧИСТ К3'!Y26*СПРАВОЧНИК!$O$13+'ПЛАН ЧИСТ К3'!Z26*СПРАВОЧНИК!$P$13)+СПРАВОЧНИК!$E$14*('ПЛАН ЧЕРН К3'!Q26*СПРАВОЧНИК!$H$14+'ПЛАН ЧЕРН К3'!R26*СПРАВОЧНИК!$I$14+'ПЛАН ЧЕРН К3'!S26*СПРАВОЧНИК!$J$14)+СПРАВОЧНИК!$F$14*('ПЛАН ЧИСТ К3'!AA26*СПРАВОЧНИК!$L$14+'ПЛАН ЧИСТ К3'!AB26*СПРАВОЧНИК!$M$14+'ПЛАН ЧИСТ К3'!AC26*СПРАВОЧНИК!$N$14+'ПЛАН ЧИСТ К3'!AD26*СПРАВОЧНИК!$O$14+'ПЛАН ЧИСТ К3'!AE26*СПРАВОЧНИК!$P$14)+СПРАВОЧНИК!$E$15*('ПЛАН ЧЕРН К3'!T26*СПРАВОЧНИК!$H$15+'ПЛАН ЧЕРН К3'!U26*СПРАВОЧНИК!$I$15+'ПЛАН ЧЕРН К3'!V26*СПРАВОЧНИК!$J$15)+СПРАВОЧНИК!$F$15*('ПЛАН ЧИСТ К3'!AF26*СПРАВОЧНИК!$L$15+'ПЛАН ЧИСТ К3'!AG26*СПРАВОЧНИК!$M$15+'ПЛАН ЧИСТ К3'!AH26*СПРАВОЧНИК!$N$15+'ПЛАН ЧИСТ К3'!AI26*СПРАВОЧНИК!$O$15+'ПЛАН ЧИСТ К3'!AJ26*СПРАВОЧНИК!$P$15)</f>
        <v/>
      </c>
      <c r="BF35" s="31">
        <f>СПРАВОЧНИК!$E$9*('ФАКТ ЧЕРН К3'!B26*СПРАВОЧНИК!$H$9+'ФАКТ ЧЕРН К3'!C26*СПРАВОЧНИК!$I$9+'ФАКТ ЧЕРН К3'!D26*СПРАВОЧНИК!$J$9)+СПРАВОЧНИК!$F$9*('ФАКТ ЧИСТ К3'!B26*СПРАВОЧНИК!$L$9+'ФАКТ ЧИСТ К3'!C26*СПРАВОЧНИК!$M$9+'ФАКТ ЧИСТ К3'!D26*СПРАВОЧНИК!$N$9+'ФАКТ ЧИСТ К3'!E26*СПРАВОЧНИК!$O$9+'ФАКТ ЧИСТ К3'!F26*СПРАВОЧНИК!$P$9)+СПРАВОЧНИК!$E$10*('ФАКТ ЧЕРН К3'!E26*СПРАВОЧНИК!$H$10+'ФАКТ ЧЕРН К3'!F26*СПРАВОЧНИК!$I$10+'ФАКТ ЧЕРН К3'!G26*СПРАВОЧНИК!$J$10)+СПРАВОЧНИК!$F$10*('ФАКТ ЧИСТ К3'!G26*СПРАВОЧНИК!$L$10+'ФАКТ ЧИСТ К3'!H26*СПРАВОЧНИК!$M$10+'ФАКТ ЧИСТ К3'!I26*СПРАВОЧНИК!$N$10+'ФАКТ ЧИСТ К3'!J26*СПРАВОЧНИК!$O$10+'ФАКТ ЧИСТ К3'!K26*СПРАВОЧНИК!$P$10)+СПРАВОЧНИК!$E$11*('ФАКТ ЧЕРН К3'!H26*СПРАВОЧНИК!$H$11+'ФАКТ ЧЕРН К3'!I26*СПРАВОЧНИК!$I$11+'ФАКТ ЧЕРН К3'!J26*СПРАВОЧНИК!$J$11)+СПРАВОЧНИК!$F$11*('ФАКТ ЧИСТ К3'!L26*СПРАВОЧНИК!$L$11+'ФАКТ ЧИСТ К3'!M26*СПРАВОЧНИК!$M$11+'ФАКТ ЧИСТ К3'!N26*СПРАВОЧНИК!$N$11+'ФАКТ ЧИСТ К3'!O26*СПРАВОЧНИК!$O$11+'ФАКТ ЧИСТ К3'!P26*СПРАВОЧНИК!$P$11)+СПРАВОЧНИК!$E$12*('ФАКТ ЧЕРН К3'!K26*СПРАВОЧНИК!$H$12+'ФАКТ ЧЕРН К3'!L26*СПРАВОЧНИК!$I$12+'ФАКТ ЧЕРН К3'!M26*СПРАВОЧНИК!$J$12)+СПРАВОЧНИК!$F$12*('ФАКТ ЧИСТ К3'!Q26*СПРАВОЧНИК!$L$12+'ФАКТ ЧИСТ К3'!R26*СПРАВОЧНИК!$M$12+'ФАКТ ЧИСТ К3'!S26*СПРАВОЧНИК!$N$12+'ФАКТ ЧИСТ К3'!T26*СПРАВОЧНИК!$O$12+'ФАКТ ЧИСТ К3'!U26*СПРАВОЧНИК!$P$12)+СПРАВОЧНИК!$E$13*('ФАКТ ЧЕРН К3'!N26*СПРАВОЧНИК!$H$13+'ФАКТ ЧЕРН К3'!O26*СПРАВОЧНИК!$I$13+'ФАКТ ЧЕРН К3'!P26*СПРАВОЧНИК!$J$13)+СПРАВОЧНИК!$F$13*('ФАКТ ЧИСТ К3'!V26*СПРАВОЧНИК!$L$13+'ФАКТ ЧИСТ К3'!W26*СПРАВОЧНИК!$M$13+'ФАКТ ЧИСТ К3'!X26*СПРАВОЧНИК!$N$13+'ФАКТ ЧИСТ К3'!Y26*СПРАВОЧНИК!$O$13+'ФАКТ ЧИСТ К3'!Z26*СПРАВОЧНИК!$P$13)+СПРАВОЧНИК!$E$14*('ФАКТ ЧЕРН К3'!Q26*СПРАВОЧНИК!$H$14+'ФАКТ ЧЕРН К3'!R26*СПРАВОЧНИК!$I$14+'ФАКТ ЧЕРН К3'!S26*СПРАВОЧНИК!$J$14)+СПРАВОЧНИК!$F$14*('ФАКТ ЧИСТ К3'!AA26*СПРАВОЧНИК!$L$14+'ФАКТ ЧИСТ К3'!AB26*СПРАВОЧНИК!$M$14+'ФАКТ ЧИСТ К3'!AC26*СПРАВОЧНИК!$N$14+'ФАКТ ЧИСТ К3'!AD26*СПРАВОЧНИК!$O$14+'ФАКТ ЧИСТ К3'!AE26*СПРАВОЧНИК!$P$14)+СПРАВОЧНИК!$E$15*('ФАКТ ЧЕРН К3'!T26*СПРАВОЧНИК!$H$15+'ФАКТ ЧЕРН К3'!U26*СПРАВОЧНИК!$I$15+'ФАКТ ЧЕРН К3'!V26*СПРАВОЧНИК!$J$15)+СПРАВОЧНИК!$F$15*('ФАКТ ЧИСТ К3'!AF26*СПРАВОЧНИК!$L$15+'ФАКТ ЧИСТ К3'!AG26*СПРАВОЧНИК!$M$15+'ФАКТ ЧИСТ К3'!AH26*СПРАВОЧНИК!$N$15+'ФАКТ ЧИСТ К3'!AI26*СПРАВОЧНИК!$O$15+'ФАКТ ЧИСТ К3'!AJ26*СПРАВОЧНИК!$P$15)</f>
        <v/>
      </c>
      <c r="BG35" s="34" t="n"/>
      <c r="BJ35" s="152">
        <f>BJ34+7</f>
        <v/>
      </c>
      <c r="BK35" s="17">
        <f>'ПЛАН ЧЕРН К3'!B26*СПРАВОЧНИК!$H$9+'ПЛАН ЧЕРН К3'!C26*СПРАВОЧНИК!$I$9+'ПЛАН ЧЕРН К3'!D26*СПРАВОЧНИК!$J$9+'ПЛАН ЧЕРН К3'!E26*СПРАВОЧНИК!$H$10+'ПЛАН ЧЕРН К3'!F26*СПРАВОЧНИК!$I$10+'ПЛАН ЧЕРН К3'!G26*СПРАВОЧНИК!$J$10+'ПЛАН ЧЕРН К3'!H26*СПРАВОЧНИК!$H$11+'ПЛАН ЧЕРН К3'!I26*СПРАВОЧНИК!$I$11+'ПЛАН ЧЕРН К3'!J26*СПРАВОЧНИК!$J$11+'ПЛАН ЧЕРН К3'!K26*СПРАВОЧНИК!$H$12+'ПЛАН ЧЕРН К3'!L26*СПРАВОЧНИК!$I$12+'ПЛАН ЧЕРН К3'!M26*СПРАВОЧНИК!$J$12+'ПЛАН ЧЕРН К3'!N26*СПРАВОЧНИК!$H$13+'ПЛАН ЧЕРН К3'!O26*СПРАВОЧНИК!$I$13+'ПЛАН ЧЕРН К3'!P26*СПРАВОЧНИК!$J$13+'ПЛАН ЧЕРН К3'!Q26*СПРАВОЧНИК!$H$14+'ПЛАН ЧЕРН К3'!R26*СПРАВОЧНИК!$I$14+'ПЛАН ЧЕРН К3'!S26*СПРАВОЧНИК!$J$14+'ПЛАН ЧЕРН К3'!T26*СПРАВОЧНИК!$H$15+'ПЛАН ЧЕРН К3'!U26*СПРАВОЧНИК!$I$15+'ПЛАН ЧЕРН К3'!V26*СПРАВОЧНИК!$J$15</f>
        <v/>
      </c>
      <c r="BL35" s="31">
        <f>('ФАКТ ЧЕРН К3'!B26)*СПРАВОЧНИК!$H$9+('ФАКТ ЧЕРН К3'!C26)*СПРАВОЧНИК!$I$9+('ФАКТ ЧЕРН К3'!D26)*СПРАВОЧНИК!$J$9+('ФАКТ ЧЕРН К3'!E26)*СПРАВОЧНИК!$H$10+('ФАКТ ЧЕРН К3'!F26)*СПРАВОЧНИК!$I$10+('ФАКТ ЧЕРН К3'!G26)*СПРАВОЧНИК!$J$10+('ФАКТ ЧЕРН К3'!H26)*СПРАВОЧНИК!$H$11+('ФАКТ ЧЕРН К3'!I26)*СПРАВОЧНИК!$I$11+('ФАКТ ЧЕРН К3'!J26)*СПРАВОЧНИК!$J$11+('ФАКТ ЧЕРН К3'!K26)*СПРАВОЧНИК!$H$12+('ФАКТ ЧЕРН К3'!L26)*СПРАВОЧНИК!$I$12+('ФАКТ ЧЕРН К3'!M26)*СПРАВОЧНИК!$J$12+('ФАКТ ЧЕРН К3'!N26)*СПРАВОЧНИК!$H$13+('ФАКТ ЧЕРН К3'!O26)*СПРАВОЧНИК!$I$13+('ФАКТ ЧЕРН К3'!P26)*СПРАВОЧНИК!$J$13+('ФАКТ ЧЕРН К3'!Q26)*СПРАВОЧНИК!$H$14+('ФАКТ ЧЕРН К3'!R26)*СПРАВОЧНИК!$I$14+('ФАКТ ЧЕРН К3'!S26)*СПРАВОЧНИК!$J$14+('ФАКТ ЧЕРН К3'!T26)*СПРАВОЧНИК!$H$15+('ФАКТ ЧЕРН К3'!U26)*СПРАВОЧНИК!$I$15+('ФАКТ ЧЕРН К3'!V26)*СПРАВОЧНИК!$J$15</f>
        <v/>
      </c>
      <c r="BM35" s="34" t="n"/>
      <c r="BP35" s="152">
        <f>BP34+7</f>
        <v/>
      </c>
      <c r="BQ35" s="17">
        <f>'ПЛАН ЧИСТ К3'!B26*СПРАВОЧНИК!$L$9+'ПЛАН ЧИСТ К3'!C26*СПРАВОЧНИК!$M$9+'ПЛАН ЧИСТ К3'!D26*СПРАВОЧНИК!$N$9+'ПЛАН ЧИСТ К3'!E26*СПРАВОЧНИК!$O$9+'ПЛАН ЧИСТ К3'!F26*СПРАВОЧНИК!$P$9+'ПЛАН ЧИСТ К3'!G26*СПРАВОЧНИК!$L$10+'ПЛАН ЧИСТ К3'!H26*СПРАВОЧНИК!$M$10+'ПЛАН ЧИСТ К3'!I26*СПРАВОЧНИК!$N$10+'ПЛАН ЧИСТ К3'!J26*СПРАВОЧНИК!$O$10+'ПЛАН ЧИСТ К3'!K26*СПРАВОЧНИК!$P$10+'ПЛАН ЧИСТ К3'!L26*СПРАВОЧНИК!$L$11+'ПЛАН ЧИСТ К3'!M26*СПРАВОЧНИК!$M$11+'ПЛАН ЧИСТ К3'!N26*СПРАВОЧНИК!$N$11+'ПЛАН ЧИСТ К3'!O26*СПРАВОЧНИК!$O$11+'ПЛАН ЧИСТ К3'!P26*СПРАВОЧНИК!$P$11+'ПЛАН ЧИСТ К3'!Q26*СПРАВОЧНИК!$L$12+'ПЛАН ЧИСТ К3'!R26*СПРАВОЧНИК!$M$12+'ПЛАН ЧИСТ К3'!S26*СПРАВОЧНИК!$N$12+'ПЛАН ЧИСТ К3'!T26*СПРАВОЧНИК!$O$12+'ПЛАН ЧИСТ К3'!U26*СПРАВОЧНИК!$P$12+'ПЛАН ЧИСТ К3'!V26*СПРАВОЧНИК!$L$13+'ПЛАН ЧИСТ К3'!W26*СПРАВОЧНИК!$M$13+'ПЛАН ЧИСТ К3'!X26*СПРАВОЧНИК!$N$13+'ПЛАН ЧИСТ К3'!Y26*СПРАВОЧНИК!$O$13+'ПЛАН ЧИСТ К3'!Z26*СПРАВОЧНИК!$P$13+'ПЛАН ЧИСТ К3'!AA26*СПРАВОЧНИК!$L$14+'ПЛАН ЧИСТ К3'!AB26*СПРАВОЧНИК!$M$14+'ПЛАН ЧИСТ К3'!AC26*СПРАВОЧНИК!$N$14+'ПЛАН ЧИСТ К3'!AD26*СПРАВОЧНИК!$O$14+'ПЛАН ЧИСТ К3'!AE26*СПРАВОЧНИК!$P$14+'ПЛАН ЧИСТ К3'!AF26*СПРАВОЧНИК!$L$15+'ПЛАН ЧИСТ К3'!AG26*СПРАВОЧНИК!$M$15+'ПЛАН ЧИСТ К3'!AH26*СПРАВОЧНИК!$N$15+'ПЛАН ЧИСТ К3'!AI26*СПРАВОЧНИК!$O$15+'ПЛАН ЧИСТ К3'!AJ26*СПРАВОЧНИК!$P$15</f>
        <v/>
      </c>
      <c r="BR35" s="31">
        <f>('ФАКТ ЧИСТ К3'!B26)*СПРАВОЧНИК!$L$9+('ФАКТ ЧИСТ К3'!C26)*СПРАВОЧНИК!$M$9+('ФАКТ ЧИСТ К3'!D26)*СПРАВОЧНИК!$N$9+('ФАКТ ЧИСТ К3'!E26)*СПРАВОЧНИК!$O$9+('ФАКТ ЧИСТ К3'!F26)*СПРАВОЧНИК!$P$9+('ФАКТ ЧИСТ К3'!G26)*СПРАВОЧНИК!$L$10+('ФАКТ ЧИСТ К3'!H26)*СПРАВОЧНИК!$M$10+('ФАКТ ЧИСТ К3'!I26)*СПРАВОЧНИК!$N$10+('ФАКТ ЧИСТ К3'!J26)*СПРАВОЧНИК!$O$10+('ФАКТ ЧИСТ К3'!K26)*СПРАВОЧНИК!$P$10+('ФАКТ ЧИСТ К3'!L26)*СПРАВОЧНИК!$L$11+('ФАКТ ЧИСТ К3'!M26)*СПРАВОЧНИК!$M$11+('ФАКТ ЧИСТ К3'!N26)*СПРАВОЧНИК!$N$11+('ФАКТ ЧИСТ К3'!O26)*СПРАВОЧНИК!$O$11+('ФАКТ ЧИСТ К3'!P26)*СПРАВОЧНИК!$P$11+('ФАКТ ЧИСТ К3'!Q26)*СПРАВОЧНИК!$L$12+('ФАКТ ЧИСТ К3'!R26)*СПРАВОЧНИК!$M$12+('ФАКТ ЧИСТ К3'!S26)*СПРАВОЧНИК!$N$12+('ФАКТ ЧИСТ К3'!T26)*СПРАВОЧНИК!$O$12+('ФАКТ ЧИСТ К3'!U26)*СПРАВОЧНИК!$P$12+('ФАКТ ЧИСТ К3'!V26)*СПРАВОЧНИК!$L$13+('ФАКТ ЧИСТ К3'!W26)*СПРАВОЧНИК!$M$13+('ФАКТ ЧИСТ К3'!X26)*СПРАВОЧНИК!$N$13+('ФАКТ ЧИСТ К3'!Y26)*СПРАВОЧНИК!$O$13+('ФАКТ ЧИСТ К3'!Z26)*СПРАВОЧНИК!$P$13+('ФАКТ ЧИСТ К3'!AA26)*СПРАВОЧНИК!$L$14+('ФАКТ ЧИСТ К3'!AB26)*СПРАВОЧНИК!$M$14+('ФАКТ ЧИСТ К3'!AC26)*СПРАВОЧНИК!$N$14+('ФАКТ ЧИСТ К3'!AD26)*СПРАВОЧНИК!$O$14+('ФАКТ ЧИСТ К3'!AE26)*СПРАВОЧНИК!$P$14+('ФАКТ ЧИСТ К3'!AF26)*СПРАВОЧНИК!$L$15+('ФАКТ ЧИСТ К3'!AG26)*СПРАВОЧНИК!$M$15+('ФАКТ ЧИСТ К3'!AH26)*СПРАВОЧНИК!$N$15+('ФАКТ ЧИСТ К3'!AI26)*СПРАВОЧНИК!$O$15+('ФАКТ ЧИСТ К3'!AJ26)*СПРАВОЧНИК!$P$15</f>
        <v/>
      </c>
      <c r="BS35" s="34" t="n"/>
      <c r="BV35" s="152">
        <f>BV34+7</f>
        <v/>
      </c>
      <c r="BW35" s="17">
        <f>U35*СПРАВОЧНИК!$K$28+AM35*СПРАВОЧНИК!$K$29+BE35*СПРАВОЧНИК!$K$30</f>
        <v/>
      </c>
      <c r="BX35" s="31">
        <f>V35*СПРАВОЧНИК!$K$28+AN35*СПРАВОЧНИК!$K$29+BF35*СПРАВОЧНИК!$K$30</f>
        <v/>
      </c>
      <c r="BY35" s="34" t="n"/>
      <c r="CB35" s="152">
        <f>CB34+7</f>
        <v/>
      </c>
      <c r="CC35" s="17">
        <f>AA35*СПРАВОЧНИК!$K$28+AS35*СПРАВОЧНИК!$K$29+BK35*СПРАВОЧНИК!$K$30</f>
        <v/>
      </c>
      <c r="CD35" s="31">
        <f>AB35*СПРАВОЧНИК!$K$28+AT35*СПРАВОЧНИК!$K$29+BL35*СПРАВОЧНИК!$K$30</f>
        <v/>
      </c>
      <c r="CE35" s="34" t="n"/>
      <c r="CH35" s="152">
        <f>CH34+7</f>
        <v/>
      </c>
      <c r="CI35" s="17">
        <f>AG35*СПРАВОЧНИК!$K$28+AY35*СПРАВОЧНИК!$K$29+BQ35*СПРАВОЧНИК!$K$30</f>
        <v/>
      </c>
      <c r="CJ35" s="31">
        <f>AH35*СПРАВОЧНИК!$K$28+AZ35*СПРАВОЧНИК!$K$29+BR35*СПРАВОЧНИК!$K$30</f>
        <v/>
      </c>
      <c r="CK35" s="34" t="n"/>
      <c r="CN35" s="152">
        <f>CN34+7</f>
        <v/>
      </c>
      <c r="CO35" s="17">
        <f>C35*СПРАВОЧНИК!$W$18+BW35*СПРАВОЧНИК!$W$19</f>
        <v/>
      </c>
      <c r="CP35" s="31">
        <f>D35*СПРАВОЧНИК!$W$18+BX35*СПРАВОЧНИК!$W$19</f>
        <v/>
      </c>
      <c r="CQ35" s="34" t="n"/>
      <c r="CT35" s="152">
        <f>CT34+7</f>
        <v/>
      </c>
      <c r="CU35" s="17">
        <f>I35*СПРАВОЧНИК!$W$18+CC35*СПРАВОЧНИК!$W$19</f>
        <v/>
      </c>
      <c r="CV35" s="31">
        <f>J35*СПРАВОЧНИК!$W$18+CD35*СПРАВОЧНИК!$W$19</f>
        <v/>
      </c>
      <c r="CW35" s="34" t="n"/>
      <c r="CZ35" s="152">
        <f>CZ34+7</f>
        <v/>
      </c>
      <c r="DA35" s="17">
        <f>O35*СПРАВОЧНИК!$W$18+CI35*СПРАВОЧНИК!$W$19</f>
        <v/>
      </c>
      <c r="DB35" s="31">
        <f>P35*СПРАВОЧНИК!$W$18+CJ35*СПРАВОЧНИК!$W$19</f>
        <v/>
      </c>
      <c r="DC35" s="34" t="n"/>
    </row>
    <row r="36">
      <c r="B36" s="152">
        <f>B35+7</f>
        <v/>
      </c>
      <c r="C36" s="17">
        <f>СПРАВОЧНИК!$E$3*('ПЛАН ЧЕРН ПОДЗЕМ'!B27*СПРАВОЧНИК!$H$3+'ПЛАН ЧЕРН ПОДЗЕМ'!C27*СПРАВОЧНИК!$I$3+'ПЛАН ЧЕРН ПОДЗЕМ'!D27*СПРАВОЧНИК!$J$3)+СПРАВОЧНИК!$F$3*('ПЛАН ЧИСТ ПОДЗЕМ'!B27*СПРАВОЧНИК!$L$3+'ПЛАН ЧИСТ ПОДЗЕМ'!C27*СПРАВОЧНИК!$M$3+'ПЛАН ЧИСТ ПОДЗЕМ'!D27*СПРАВОЧНИК!$N$3+'ПЛАН ЧИСТ ПОДЗЕМ'!E27*СПРАВОЧНИК!$O$3+'ПЛАН ЧИСТ ПОДЗЕМ'!F27*СПРАВОЧНИК!$P$3)+СПРАВОЧНИК!$E$4*('ПЛАН ЧЕРН ПОДЗЕМ'!E27*СПРАВОЧНИК!$H$4+'ПЛАН ЧЕРН ПОДЗЕМ'!F27*СПРАВОЧНИК!$I$4+'ПЛАН ЧЕРН ПОДЗЕМ'!G27*СПРАВОЧНИК!$J$4)+СПРАВОЧНИК!$F$4*('ПЛАН ЧИСТ ПОДЗЕМ'!G27*СПРАВОЧНИК!$L$4+'ПЛАН ЧИСТ ПОДЗЕМ'!H27*СПРАВОЧНИК!$M$4+'ПЛАН ЧИСТ ПОДЗЕМ'!I27*СПРАВОЧНИК!$N$4+'ПЛАН ЧИСТ ПОДЗЕМ'!J27*СПРАВОЧНИК!$O$4+'ПЛАН ЧИСТ ПОДЗЕМ'!K27*СПРАВОЧНИК!$P$4)+СПРАВОЧНИК!$E$5*('ПЛАН ЧЕРН ПОДЗЕМ'!H27*СПРАВОЧНИК!$H$5+'ПЛАН ЧЕРН ПОДЗЕМ'!I27*СПРАВОЧНИК!$I$5+'ПЛАН ЧЕРН ПОДЗЕМ'!J27*СПРАВОЧНИК!$J$5)+СПРАВОЧНИК!$F$5*('ПЛАН ЧИСТ ПОДЗЕМ'!L27*СПРАВОЧНИК!$L$5+'ПЛАН ЧИСТ ПОДЗЕМ'!M27*СПРАВОЧНИК!$M$5+'ПЛАН ЧИСТ ПОДЗЕМ'!N27*СПРАВОЧНИК!$N$5+'ПЛАН ЧИСТ ПОДЗЕМ'!O27*СПРАВОЧНИК!$O$5+'ПЛАН ЧИСТ ПОДЗЕМ'!P27*СПРАВОЧНИК!$P$5)+СПРАВОЧНИК!$E$6*('ПЛАН ЧЕРН ПОДЗЕМ'!K27*СПРАВОЧНИК!$H$6+'ПЛАН ЧЕРН ПОДЗЕМ'!L27*СПРАВОЧНИК!$I$6+'ПЛАН ЧЕРН ПОДЗЕМ'!M27*СПРАВОЧНИК!$J$6)+СПРАВОЧНИК!$F$6*('ПЛАН ЧИСТ ПОДЗЕМ'!Q27*СПРАВОЧНИК!$L$6+'ПЛАН ЧИСТ ПОДЗЕМ'!R27*СПРАВОЧНИК!$M$6+'ПЛАН ЧИСТ ПОДЗЕМ'!S27*СПРАВОЧНИК!$N$6+'ПЛАН ЧИСТ ПОДЗЕМ'!T27*СПРАВОЧНИК!$O$6+'ПЛАН ЧИСТ ПОДЗЕМ'!U27*СПРАВОЧНИК!$P$6)+СПРАВОЧНИК!$E$7*('ПЛАН ЧЕРН ПОДЗЕМ'!N27*СПРАВОЧНИК!$H$7+'ПЛАН ЧЕРН ПОДЗЕМ'!O27*СПРАВОЧНИК!$I$7+'ПЛАН ЧЕРН ПОДЗЕМ'!P27*СПРАВОЧНИК!$J$7)+СПРАВОЧНИК!$F$7*('ПЛАН ЧИСТ ПОДЗЕМ'!V27*СПРАВОЧНИК!$L$7+'ПЛАН ЧИСТ ПОДЗЕМ'!W27*СПРАВОЧНИК!$M$7+'ПЛАН ЧИСТ ПОДЗЕМ'!X27*СПРАВОЧНИК!$N$7+'ПЛАН ЧИСТ ПОДЗЕМ'!Y27*СПРАВОЧНИК!$O$7+'ПЛАН ЧИСТ ПОДЗЕМ'!Z27*СПРАВОЧНИК!$P$7)+СПРАВОЧНИК!$E$8*('ПЛАН ЧЕРН ПОДЗЕМ'!Q27*СПРАВОЧНИК!$H$8+'ПЛАН ЧЕРН ПОДЗЕМ'!R27*СПРАВОЧНИК!$I$8+'ПЛАН ЧЕРН ПОДЗЕМ'!S27*СПРАВОЧНИК!$J$8)+СПРАВОЧНИК!$F$8*('ПЛАН ЧИСТ ПОДЗЕМ'!AA27*СПРАВОЧНИК!$L$8+'ПЛАН ЧИСТ ПОДЗЕМ'!AB27*СПРАВОЧНИК!$M$8+'ПЛАН ЧИСТ ПОДЗЕМ'!AC27*СПРАВОЧНИК!$N$8+'ПЛАН ЧИСТ ПОДЗЕМ'!AD27*СПРАВОЧНИК!$O$8+'ПЛАН ЧИСТ ПОДЗЕМ'!AE27*СПРАВОЧНИК!$P$8)</f>
        <v/>
      </c>
      <c r="D36" s="31">
        <f>СПРАВОЧНИК!$E$3*('ФАКТ ЧЕРН ПОДЗЕМ'!B27*СПРАВОЧНИК!$H$3+'ФАКТ ЧЕРН ПОДЗЕМ'!C27*СПРАВОЧНИК!$I$3+'ФАКТ ЧЕРН ПОДЗЕМ'!D27*СПРАВОЧНИК!$J$3)+СПРАВОЧНИК!$F$3*('ФАКТ ЧИСТ ПОДЗЕМ'!B27*СПРАВОЧНИК!$L$3+'ФАКТ ЧИСТ ПОДЗЕМ'!C27*СПРАВОЧНИК!$M$3+'ФАКТ ЧИСТ ПОДЗЕМ'!D27*СПРАВОЧНИК!$N$3+'ФАКТ ЧИСТ ПОДЗЕМ'!E27*СПРАВОЧНИК!$O$3+'ФАКТ ЧИСТ ПОДЗЕМ'!F27*СПРАВОЧНИК!$P$3)+СПРАВОЧНИК!$E$4*('ФАКТ ЧЕРН ПОДЗЕМ'!E27*СПРАВОЧНИК!$H$4+'ФАКТ ЧЕРН ПОДЗЕМ'!F27*СПРАВОЧНИК!$I$4+'ФАКТ ЧЕРН ПОДЗЕМ'!G27*СПРАВОЧНИК!$J$4)+СПРАВОЧНИК!$F$4*('ФАКТ ЧИСТ ПОДЗЕМ'!G27*СПРАВОЧНИК!$L$4+'ФАКТ ЧИСТ ПОДЗЕМ'!H27*СПРАВОЧНИК!$M$4+'ФАКТ ЧИСТ ПОДЗЕМ'!I27*СПРАВОЧНИК!$N$4+'ФАКТ ЧИСТ ПОДЗЕМ'!J27*СПРАВОЧНИК!$O$4+'ФАКТ ЧИСТ ПОДЗЕМ'!K27*СПРАВОЧНИК!$P$4)+СПРАВОЧНИК!$E$5*('ФАКТ ЧЕРН ПОДЗЕМ'!H27*СПРАВОЧНИК!$H$5+'ФАКТ ЧЕРН ПОДЗЕМ'!I27*СПРАВОЧНИК!$I$5+'ФАКТ ЧЕРН ПОДЗЕМ'!J27*СПРАВОЧНИК!$J$5)+СПРАВОЧНИК!$F$5*('ФАКТ ЧИСТ ПОДЗЕМ'!L27*СПРАВОЧНИК!$L$5+'ФАКТ ЧИСТ ПОДЗЕМ'!M27*СПРАВОЧНИК!$M$5+'ФАКТ ЧИСТ ПОДЗЕМ'!N27*СПРАВОЧНИК!$N$5+'ФАКТ ЧИСТ ПОДЗЕМ'!O27*СПРАВОЧНИК!$O$5+'ФАКТ ЧИСТ ПОДЗЕМ'!P27*СПРАВОЧНИК!$P$5)+СПРАВОЧНИК!$E$6*('ФАКТ ЧЕРН ПОДЗЕМ'!K27*СПРАВОЧНИК!$H$6+'ФАКТ ЧЕРН ПОДЗЕМ'!L27*СПРАВОЧНИК!$I$6+'ФАКТ ЧЕРН ПОДЗЕМ'!M27*СПРАВОЧНИК!$J$6)+СПРАВОЧНИК!$F$6*('ФАКТ ЧИСТ ПОДЗЕМ'!Q27*СПРАВОЧНИК!$L$6+'ФАКТ ЧИСТ ПОДЗЕМ'!R27*СПРАВОЧНИК!$M$6+'ФАКТ ЧИСТ ПОДЗЕМ'!S27*СПРАВОЧНИК!$N$6+'ФАКТ ЧИСТ ПОДЗЕМ'!T27*СПРАВОЧНИК!$O$6+'ФАКТ ЧИСТ ПОДЗЕМ'!U27*СПРАВОЧНИК!$P$6)+СПРАВОЧНИК!$E$7*('ФАКТ ЧЕРН ПОДЗЕМ'!N27*СПРАВОЧНИК!$H$7+'ФАКТ ЧЕРН ПОДЗЕМ'!O27*СПРАВОЧНИК!$I$7+'ФАКТ ЧЕРН ПОДЗЕМ'!P27*СПРАВОЧНИК!$J$7)+СПРАВОЧНИК!$F$7*('ФАКТ ЧИСТ ПОДЗЕМ'!V27*СПРАВОЧНИК!$L$7+'ФАКТ ЧИСТ ПОДЗЕМ'!W27*СПРАВОЧНИК!$M$7+'ФАКТ ЧИСТ ПОДЗЕМ'!X27*СПРАВОЧНИК!$N$7+'ФАКТ ЧИСТ ПОДЗЕМ'!Y27*СПРАВОЧНИК!$O$7+'ФАКТ ЧИСТ ПОДЗЕМ'!Z27*СПРАВОЧНИК!$P$7)+СПРАВОЧНИК!$E$8*('ФАКТ ЧЕРН ПОДЗЕМ'!Q27*СПРАВОЧНИК!$H$8+'ФАКТ ЧЕРН ПОДЗЕМ'!R27*СПРАВОЧНИК!$I$8+'ФАКТ ЧЕРН ПОДЗЕМ'!S27*СПРАВОЧНИК!$J$8)+СПРАВОЧНИК!$F$8*('ФАКТ ЧИСТ ПОДЗЕМ'!AA27*СПРАВОЧНИК!$L$8+'ФАКТ ЧИСТ ПОДЗЕМ'!AB27*СПРАВОЧНИК!$M$8+'ФАКТ ЧИСТ ПОДЗЕМ'!AC27*СПРАВОЧНИК!$N$8+'ФАКТ ЧИСТ ПОДЗЕМ'!AD27*СПРАВОЧНИК!$O$8+'ФАКТ ЧИСТ ПОДЗЕМ'!AE27*СПРАВОЧНИК!$P$8)</f>
        <v/>
      </c>
      <c r="E36" s="34" t="n"/>
      <c r="H36" s="152">
        <f>H35+7</f>
        <v/>
      </c>
      <c r="I36" s="17">
        <f>'ПЛАН ЧЕРН ПОДЗЕМ'!B27*СПРАВОЧНИК!$H$3+'ПЛАН ЧЕРН ПОДЗЕМ'!C27*СПРАВОЧНИК!$I$3+'ПЛАН ЧЕРН ПОДЗЕМ'!D27*СПРАВОЧНИК!$J$3+'ПЛАН ЧЕРН ПОДЗЕМ'!E27*СПРАВОЧНИК!$H$4+'ПЛАН ЧЕРН ПОДЗЕМ'!F27*СПРАВОЧНИК!$I$4+'ПЛАН ЧЕРН ПОДЗЕМ'!G27*СПРАВОЧНИК!$J$4+'ПЛАН ЧЕРН ПОДЗЕМ'!H27*СПРАВОЧНИК!$H$5+'ПЛАН ЧЕРН ПОДЗЕМ'!I27*СПРАВОЧНИК!$I$5+'ПЛАН ЧЕРН ПОДЗЕМ'!J27*СПРАВОЧНИК!$J$5+'ПЛАН ЧЕРН ПОДЗЕМ'!K27*СПРАВОЧНИК!$H$6+'ПЛАН ЧЕРН ПОДЗЕМ'!L27*СПРАВОЧНИК!$I$6+'ПЛАН ЧЕРН ПОДЗЕМ'!M27*СПРАВОЧНИК!$J$6+'ПЛАН ЧЕРН ПОДЗЕМ'!N27*СПРАВОЧНИК!$H$7+'ПЛАН ЧЕРН ПОДЗЕМ'!O27*СПРАВОЧНИК!$I$7+'ПЛАН ЧЕРН ПОДЗЕМ'!P27*СПРАВОЧНИК!$J$7+'ПЛАН ЧЕРН ПОДЗЕМ'!Q27*СПРАВОЧНИК!$H$8+'ПЛАН ЧЕРН ПОДЗЕМ'!R27*СПРАВОЧНИК!$I$8+'ПЛАН ЧЕРН ПОДЗЕМ'!S27*СПРАВОЧНИК!$J$8</f>
        <v/>
      </c>
      <c r="J36" s="31">
        <f>('ФАКТ ЧЕРН ПОДЗЕМ'!B27)*СПРАВОЧНИК!$H$3+('ФАКТ ЧЕРН ПОДЗЕМ'!C27)*СПРАВОЧНИК!$I$3+('ФАКТ ЧЕРН ПОДЗЕМ'!D27)*СПРАВОЧНИК!$J$3+('ФАКТ ЧЕРН ПОДЗЕМ'!E27)*СПРАВОЧНИК!$H$4+('ФАКТ ЧЕРН ПОДЗЕМ'!F27)*СПРАВОЧНИК!$I$4+('ФАКТ ЧЕРН ПОДЗЕМ'!G27)*СПРАВОЧНИК!$J$4+('ФАКТ ЧЕРН ПОДЗЕМ'!H27)*СПРАВОЧНИК!$H$5+('ФАКТ ЧЕРН ПОДЗЕМ'!I27)*СПРАВОЧНИК!$I$5+('ФАКТ ЧЕРН ПОДЗЕМ'!J27)*СПРАВОЧНИК!$J$5+('ФАКТ ЧЕРН ПОДЗЕМ'!K27)*СПРАВОЧНИК!$H$6+('ФАКТ ЧЕРН ПОДЗЕМ'!L27)*СПРАВОЧНИК!$I$6+('ФАКТ ЧЕРН ПОДЗЕМ'!M27)*СПРАВОЧНИК!$J$6+('ФАКТ ЧЕРН ПОДЗЕМ'!N27)*СПРАВОЧНИК!$H$7+('ФАКТ ЧЕРН ПОДЗЕМ'!O27)*СПРАВОЧНИК!$I$7+('ФАКТ ЧЕРН ПОДЗЕМ'!P27)*СПРАВОЧНИК!$J$7+('ФАКТ ЧЕРН ПОДЗЕМ'!Q27)*СПРАВОЧНИК!$H$8+('ФАКТ ЧЕРН ПОДЗЕМ'!R27)*СПРАВОЧНИК!$I$8+('ФАКТ ЧЕРН ПОДЗЕМ'!S27)*СПРАВОЧНИК!$J$8</f>
        <v/>
      </c>
      <c r="K36" s="34" t="n"/>
      <c r="N36" s="152">
        <f>N35+7</f>
        <v/>
      </c>
      <c r="O36" s="17">
        <f>'ПЛАН ЧИСТ ПОДЗЕМ'!B27*СПРАВОЧНИК!$L$3+'ПЛАН ЧИСТ ПОДЗЕМ'!C27*СПРАВОЧНИК!$M$3+'ПЛАН ЧИСТ ПОДЗЕМ'!D27*СПРАВОЧНИК!$N$3+'ПЛАН ЧИСТ ПОДЗЕМ'!E27*СПРАВОЧНИК!$O$3+'ПЛАН ЧИСТ ПОДЗЕМ'!F27*СПРАВОЧНИК!$P$3+'ПЛАН ЧИСТ ПОДЗЕМ'!G27*СПРАВОЧНИК!$L$4+'ПЛАН ЧИСТ ПОДЗЕМ'!H27*СПРАВОЧНИК!$M$4+'ПЛАН ЧИСТ ПОДЗЕМ'!I27*СПРАВОЧНИК!$N$4+'ПЛАН ЧИСТ ПОДЗЕМ'!J27*СПРАВОЧНИК!$O$4+'ПЛАН ЧИСТ ПОДЗЕМ'!K27*СПРАВОЧНИК!$P$4+'ПЛАН ЧИСТ ПОДЗЕМ'!L27*СПРАВОЧНИК!$L$5+'ПЛАН ЧИСТ ПОДЗЕМ'!M27*СПРАВОЧНИК!$M$5+'ПЛАН ЧИСТ ПОДЗЕМ'!N27*СПРАВОЧНИК!$N$5+'ПЛАН ЧИСТ ПОДЗЕМ'!O27*СПРАВОЧНИК!$O$5+'ПЛАН ЧИСТ ПОДЗЕМ'!P27*СПРАВОЧНИК!$P$5+'ПЛАН ЧИСТ ПОДЗЕМ'!Q27*СПРАВОЧНИК!$L$6+'ПЛАН ЧИСТ ПОДЗЕМ'!R27*СПРАВОЧНИК!$M$6+'ПЛАН ЧИСТ ПОДЗЕМ'!S27*СПРАВОЧНИК!$N$6+'ПЛАН ЧИСТ ПОДЗЕМ'!T27*СПРАВОЧНИК!$O$6+'ПЛАН ЧИСТ ПОДЗЕМ'!U27*СПРАВОЧНИК!$P$6+'ПЛАН ЧИСТ ПОДЗЕМ'!V27*СПРАВОЧНИК!$L$7+'ПЛАН ЧИСТ ПОДЗЕМ'!W27*СПРАВОЧНИК!$M$7+'ПЛАН ЧИСТ ПОДЗЕМ'!X27*СПРАВОЧНИК!$N$7+'ПЛАН ЧИСТ ПОДЗЕМ'!Y27*СПРАВОЧНИК!$O$7+'ПЛАН ЧИСТ ПОДЗЕМ'!Z27*СПРАВОЧНИК!$P$7+'ПЛАН ЧИСТ ПОДЗЕМ'!AA27*СПРАВОЧНИК!$L$8+'ПЛАН ЧИСТ ПОДЗЕМ'!AB27*СПРАВОЧНИК!$M$8+'ПЛАН ЧИСТ ПОДЗЕМ'!AC27*СПРАВОЧНИК!$N$8+'ПЛАН ЧИСТ ПОДЗЕМ'!AD27*СПРАВОЧНИК!$O$8+'ПЛАН ЧИСТ ПОДЗЕМ'!AE27*СПРАВОЧНИК!$P$8</f>
        <v/>
      </c>
      <c r="P36" s="31">
        <f>('ФАКТ ЧИСТ ПОДЗЕМ'!B27)*СПРАВОЧНИК!$L$3+('ФАКТ ЧИСТ ПОДЗЕМ'!C27)*СПРАВОЧНИК!$M$3+('ФАКТ ЧИСТ ПОДЗЕМ'!D27)*СПРАВОЧНИК!$N$3+('ФАКТ ЧИСТ ПОДЗЕМ'!E27)*СПРАВОЧНИК!$O$3+('ФАКТ ЧИСТ ПОДЗЕМ'!F27)*СПРАВОЧНИК!$P$3+('ФАКТ ЧИСТ ПОДЗЕМ'!G27)*СПРАВОЧНИК!$L$4+('ФАКТ ЧИСТ ПОДЗЕМ'!H27)*СПРАВОЧНИК!$M$4+('ФАКТ ЧИСТ ПОДЗЕМ'!I27)*СПРАВОЧНИК!$N$4+('ФАКТ ЧИСТ ПОДЗЕМ'!J27)*СПРАВОЧНИК!$O$4+('ФАКТ ЧИСТ ПОДЗЕМ'!K27)*СПРАВОЧНИК!$P$4+('ФАКТ ЧИСТ ПОДЗЕМ'!L27)*СПРАВОЧНИК!$L$5+('ФАКТ ЧИСТ ПОДЗЕМ'!M27)*СПРАВОЧНИК!$M$5+('ФАКТ ЧИСТ ПОДЗЕМ'!N27)*СПРАВОЧНИК!$N$5+('ФАКТ ЧИСТ ПОДЗЕМ'!O27)*СПРАВОЧНИК!$O$5+('ФАКТ ЧИСТ ПОДЗЕМ'!P27)*СПРАВОЧНИК!$P$5+('ФАКТ ЧИСТ ПОДЗЕМ'!Q27)*СПРАВОЧНИК!$L$6+('ФАКТ ЧИСТ ПОДЗЕМ'!R27)*СПРАВОЧНИК!$M$6+('ФАКТ ЧИСТ ПОДЗЕМ'!S27)*СПРАВОЧНИК!$N$6+('ФАКТ ЧИСТ ПОДЗЕМ'!T27)*СПРАВОЧНИК!$O$6+('ФАКТ ЧИСТ ПОДЗЕМ'!U27)*СПРАВОЧНИК!$P$6+('ФАКТ ЧИСТ ПОДЗЕМ'!V27)*СПРАВОЧНИК!$L$7+('ФАКТ ЧИСТ ПОДЗЕМ'!W27)*СПРАВОЧНИК!$M$7+('ФАКТ ЧИСТ ПОДЗЕМ'!X27)*СПРАВОЧНИК!$N$7+('ФАКТ ЧИСТ ПОДЗЕМ'!Y27)*СПРАВОЧНИК!$O$7+('ФАКТ ЧИСТ ПОДЗЕМ'!Z27)*СПРАВОЧНИК!$P$7+('ФАКТ ЧИСТ ПОДЗЕМ'!AA27)*СПРАВОЧНИК!$L$8+('ФАКТ ЧИСТ ПОДЗЕМ'!AB27)*СПРАВОЧНИК!$M$8+('ФАКТ ЧИСТ ПОДЗЕМ'!AC27)*СПРАВОЧНИК!$N$8+('ФАКТ ЧИСТ ПОДЗЕМ'!AD27)*СПРАВОЧНИК!$O$8+('ФАКТ ЧИСТ ПОДЗЕМ'!AE27)*СПРАВОЧНИК!$P$8</f>
        <v/>
      </c>
      <c r="Q36" s="34" t="n"/>
      <c r="T36" s="152">
        <f>T35+7</f>
        <v/>
      </c>
      <c r="U36" s="17">
        <f>СПРАВОЧНИК!$E$9*('ПЛАН ЧЕРН К1'!B27*СПРАВОЧНИК!$H$9+'ПЛАН ЧЕРН К1'!C27*СПРАВОЧНИК!$I$9+'ПЛАН ЧЕРН К1'!D27*СПРАВОЧНИК!$J$9)+СПРАВОЧНИК!$F$9*('ПЛАН ЧИСТ К1'!B27*СПРАВОЧНИК!$L$9+'ПЛАН ЧИСТ К1'!C27*СПРАВОЧНИК!$M$9+'ПЛАН ЧИСТ К1'!D27*СПРАВОЧНИК!$N$9+'ПЛАН ЧИСТ К1'!E27*СПРАВОЧНИК!$O$9+'ПЛАН ЧИСТ К1'!F27*СПРАВОЧНИК!$P$9)+СПРАВОЧНИК!$E$10*('ПЛАН ЧЕРН К1'!E27*СПРАВОЧНИК!$H$10+'ПЛАН ЧЕРН К1'!F27*СПРАВОЧНИК!$I$10+'ПЛАН ЧЕРН К1'!G27*СПРАВОЧНИК!$J$10)+СПРАВОЧНИК!$F$10*('ПЛАН ЧИСТ К1'!G27*СПРАВОЧНИК!$L$10+'ПЛАН ЧИСТ К1'!H27*СПРАВОЧНИК!$M$10+'ПЛАН ЧИСТ К1'!I27*СПРАВОЧНИК!$N$10+'ПЛАН ЧИСТ К1'!J27*СПРАВОЧНИК!$O$10+'ПЛАН ЧИСТ К1'!K27*СПРАВОЧНИК!$P$10)+СПРАВОЧНИК!$E$11*('ПЛАН ЧЕРН К1'!H27*СПРАВОЧНИК!$H$11+'ПЛАН ЧЕРН К1'!I27*СПРАВОЧНИК!$I$11+'ПЛАН ЧЕРН К1'!J27*СПРАВОЧНИК!$J$11)+СПРАВОЧНИК!$F$11*('ПЛАН ЧИСТ К1'!L27*СПРАВОЧНИК!$L$11+'ПЛАН ЧИСТ К1'!M27*СПРАВОЧНИК!$M$11+'ПЛАН ЧИСТ К1'!N27*СПРАВОЧНИК!$N$11+'ПЛАН ЧИСТ К1'!O27*СПРАВОЧНИК!$O$11+'ПЛАН ЧИСТ К1'!P27*СПРАВОЧНИК!$P$11)+СПРАВОЧНИК!$E$12*('ПЛАН ЧЕРН К1'!K27*СПРАВОЧНИК!$H$12+'ПЛАН ЧЕРН К1'!L27*СПРАВОЧНИК!$I$12+'ПЛАН ЧЕРН К1'!M27*СПРАВОЧНИК!$J$12)+СПРАВОЧНИК!$F$12*('ПЛАН ЧИСТ К1'!Q27*СПРАВОЧНИК!$L$12+'ПЛАН ЧИСТ К1'!R27*СПРАВОЧНИК!$M$12+'ПЛАН ЧИСТ К1'!S27*СПРАВОЧНИК!$N$12+'ПЛАН ЧИСТ К1'!T27*СПРАВОЧНИК!$O$12+'ПЛАН ЧИСТ К1'!U27*СПРАВОЧНИК!$P$12)+СПРАВОЧНИК!$E$13*('ПЛАН ЧЕРН К1'!N27*СПРАВОЧНИК!$H$13+'ПЛАН ЧЕРН К1'!O27*СПРАВОЧНИК!$I$13+'ПЛАН ЧЕРН К1'!P27*СПРАВОЧНИК!$J$13)+СПРАВОЧНИК!$F$13*('ПЛАН ЧИСТ К1'!V27*СПРАВОЧНИК!$L$13+'ПЛАН ЧИСТ К1'!W27*СПРАВОЧНИК!$M$13+'ПЛАН ЧИСТ К1'!X27*СПРАВОЧНИК!$N$13+'ПЛАН ЧИСТ К1'!Y27*СПРАВОЧНИК!$O$13+'ПЛАН ЧИСТ К1'!Z27*СПРАВОЧНИК!$P$13)+СПРАВОЧНИК!$E$14*('ПЛАН ЧЕРН К1'!Q27*СПРАВОЧНИК!$H$14+'ПЛАН ЧЕРН К1'!R27*СПРАВОЧНИК!$I$14+'ПЛАН ЧЕРН К1'!S27*СПРАВОЧНИК!$J$14)+СПРАВОЧНИК!$F$14*('ПЛАН ЧИСТ К1'!AA27*СПРАВОЧНИК!$L$14+'ПЛАН ЧИСТ К1'!AB27*СПРАВОЧНИК!$M$14+'ПЛАН ЧИСТ К1'!AC27*СПРАВОЧНИК!$N$14+'ПЛАН ЧИСТ К1'!AD27*СПРАВОЧНИК!$O$14+'ПЛАН ЧИСТ К1'!AE27*СПРАВОЧНИК!$P$14)+СПРАВОЧНИК!$E$15*('ПЛАН ЧЕРН К1'!T27*СПРАВОЧНИК!$H$15+'ПЛАН ЧЕРН К1'!U27*СПРАВОЧНИК!$I$15+'ПЛАН ЧЕРН К1'!V27*СПРАВОЧНИК!$J$15)+СПРАВОЧНИК!$F$15*('ПЛАН ЧИСТ К1'!AF27*СПРАВОЧНИК!$L$15+'ПЛАН ЧИСТ К1'!AG27*СПРАВОЧНИК!$M$15+'ПЛАН ЧИСТ К1'!AH27*СПРАВОЧНИК!$N$15+'ПЛАН ЧИСТ К1'!AI27*СПРАВОЧНИК!$O$15+'ПЛАН ЧИСТ К1'!AJ27*СПРАВОЧНИК!$P$15)</f>
        <v/>
      </c>
      <c r="V36" s="31">
        <f>СПРАВОЧНИК!$E$9*('ФАКТ ЧЕРН К1'!B27*СПРАВОЧНИК!$H$9+'ФАКТ ЧЕРН К1'!C27*СПРАВОЧНИК!$I$9+'ФАКТ ЧЕРН К1'!D27*СПРАВОЧНИК!$J$9)+СПРАВОЧНИК!$F$9*('ФАКТ ЧИСТ К1'!B27*СПРАВОЧНИК!$L$9+'ФАКТ ЧИСТ К1'!C27*СПРАВОЧНИК!$M$9+'ФАКТ ЧИСТ К1'!D27*СПРАВОЧНИК!$N$9+'ФАКТ ЧИСТ К1'!E27*СПРАВОЧНИК!$O$9+'ФАКТ ЧИСТ К1'!F27*СПРАВОЧНИК!$P$9)+СПРАВОЧНИК!$E$10*('ФАКТ ЧЕРН К1'!E27*СПРАВОЧНИК!$H$10+'ФАКТ ЧЕРН К1'!F27*СПРАВОЧНИК!$I$10+'ФАКТ ЧЕРН К1'!G27*СПРАВОЧНИК!$J$10)+СПРАВОЧНИК!$F$10*('ФАКТ ЧИСТ К1'!G27*СПРАВОЧНИК!$L$10+'ФАКТ ЧИСТ К1'!H27*СПРАВОЧНИК!$M$10+'ФАКТ ЧИСТ К1'!I27*СПРАВОЧНИК!$N$10+'ФАКТ ЧИСТ К1'!J27*СПРАВОЧНИК!$O$10+'ФАКТ ЧИСТ К1'!K27*СПРАВОЧНИК!$P$10)+СПРАВОЧНИК!$E$11*('ФАКТ ЧЕРН К1'!H27*СПРАВОЧНИК!$H$11+'ФАКТ ЧЕРН К1'!I27*СПРАВОЧНИК!$I$11+'ФАКТ ЧЕРН К1'!J27*СПРАВОЧНИК!$J$11)+СПРАВОЧНИК!$F$11*('ФАКТ ЧИСТ К1'!L27*СПРАВОЧНИК!$L$11+'ФАКТ ЧИСТ К1'!M27*СПРАВОЧНИК!$M$11+'ФАКТ ЧИСТ К1'!N27*СПРАВОЧНИК!$N$11+'ФАКТ ЧИСТ К1'!O27*СПРАВОЧНИК!$O$11+'ФАКТ ЧИСТ К1'!P27*СПРАВОЧНИК!$P$11)+СПРАВОЧНИК!$E$12*('ФАКТ ЧЕРН К1'!K27*СПРАВОЧНИК!$H$12+'ФАКТ ЧЕРН К1'!L27*СПРАВОЧНИК!$I$12+'ФАКТ ЧЕРН К1'!M27*СПРАВОЧНИК!$J$12)+СПРАВОЧНИК!$F$12*('ФАКТ ЧИСТ К1'!Q27*СПРАВОЧНИК!$L$12+'ФАКТ ЧИСТ К1'!R27*СПРАВОЧНИК!$M$12+'ФАКТ ЧИСТ К1'!S27*СПРАВОЧНИК!$N$12+'ФАКТ ЧИСТ К1'!T27*СПРАВОЧНИК!$O$12+'ФАКТ ЧИСТ К1'!U27*СПРАВОЧНИК!$P$12)+СПРАВОЧНИК!$E$13*('ФАКТ ЧЕРН К1'!N27*СПРАВОЧНИК!$H$13+'ФАКТ ЧЕРН К1'!O27*СПРАВОЧНИК!$I$13+'ФАКТ ЧЕРН К1'!P27*СПРАВОЧНИК!$J$13)+СПРАВОЧНИК!$F$13*('ФАКТ ЧИСТ К1'!V27*СПРАВОЧНИК!$L$13+'ФАКТ ЧИСТ К1'!W27*СПРАВОЧНИК!$M$13+'ФАКТ ЧИСТ К1'!X27*СПРАВОЧНИК!$N$13+'ФАКТ ЧИСТ К1'!Y27*СПРАВОЧНИК!$O$13+'ФАКТ ЧИСТ К1'!Z27*СПРАВОЧНИК!$P$13)+СПРАВОЧНИК!$E$14*('ФАКТ ЧЕРН К1'!Q27*СПРАВОЧНИК!$H$14+'ФАКТ ЧЕРН К1'!R27*СПРАВОЧНИК!$I$14+'ФАКТ ЧЕРН К1'!S27*СПРАВОЧНИК!$J$14)+СПРАВОЧНИК!$F$14*('ФАКТ ЧИСТ К1'!AA27*СПРАВОЧНИК!$L$14+'ФАКТ ЧИСТ К1'!AB27*СПРАВОЧНИК!$M$14+'ФАКТ ЧИСТ К1'!AC27*СПРАВОЧНИК!$N$14+'ФАКТ ЧИСТ К1'!AD27*СПРАВОЧНИК!$O$14+'ФАКТ ЧИСТ К1'!AE27*СПРАВОЧНИК!$P$14)+СПРАВОЧНИК!$E$15*('ФАКТ ЧЕРН К1'!T27*СПРАВОЧНИК!$H$15+'ФАКТ ЧЕРН К1'!U27*СПРАВОЧНИК!$I$15+'ФАКТ ЧЕРН К1'!V27*СПРАВОЧНИК!$J$15)+СПРАВОЧНИК!$F$15*('ФАКТ ЧИСТ К1'!AF27*СПРАВОЧНИК!$L$15+'ФАКТ ЧИСТ К1'!AG27*СПРАВОЧНИК!$M$15+'ФАКТ ЧИСТ К1'!AH27*СПРАВОЧНИК!$N$15+'ФАКТ ЧИСТ К1'!AI27*СПРАВОЧНИК!$O$15+'ФАКТ ЧИСТ К1'!AJ27*СПРАВОЧНИК!$P$15)</f>
        <v/>
      </c>
      <c r="W36" s="34" t="n"/>
      <c r="Z36" s="152">
        <f>Z35+7</f>
        <v/>
      </c>
      <c r="AA36" s="17">
        <f>'ПЛАН ЧЕРН К1'!B27*СПРАВОЧНИК!$H$9+'ПЛАН ЧЕРН К1'!C27*СПРАВОЧНИК!$I$9+'ПЛАН ЧЕРН К1'!D27*СПРАВОЧНИК!$J$9+'ПЛАН ЧЕРН К1'!E27*СПРАВОЧНИК!$H$10+'ПЛАН ЧЕРН К1'!F27*СПРАВОЧНИК!$I$10+'ПЛАН ЧЕРН К1'!G27*СПРАВОЧНИК!$J$10+'ПЛАН ЧЕРН К1'!H27*СПРАВОЧНИК!$H$11+'ПЛАН ЧЕРН К1'!I27*СПРАВОЧНИК!$I$11+'ПЛАН ЧЕРН К1'!J27*СПРАВОЧНИК!$J$11+'ПЛАН ЧЕРН К1'!K27*СПРАВОЧНИК!$H$12+'ПЛАН ЧЕРН К1'!L27*СПРАВОЧНИК!$I$12+'ПЛАН ЧЕРН К1'!M27*СПРАВОЧНИК!$J$12+'ПЛАН ЧЕРН К1'!N27*СПРАВОЧНИК!$H$13+'ПЛАН ЧЕРН К1'!O27*СПРАВОЧНИК!$I$13+'ПЛАН ЧЕРН К1'!P27*СПРАВОЧНИК!$J$13+'ПЛАН ЧЕРН К1'!Q27*СПРАВОЧНИК!$H$14+'ПЛАН ЧЕРН К1'!R27*СПРАВОЧНИК!$I$14+'ПЛАН ЧЕРН К1'!S27*СПРАВОЧНИК!$J$14+'ПЛАН ЧЕРН К1'!T27*СПРАВОЧНИК!$H$15+'ПЛАН ЧЕРН К1'!U27*СПРАВОЧНИК!$I$15+'ПЛАН ЧЕРН К1'!V27*СПРАВОЧНИК!$J$15</f>
        <v/>
      </c>
      <c r="AB36" s="31">
        <f>('ФАКТ ЧЕРН К1'!B27)*СПРАВОЧНИК!$H$9+('ФАКТ ЧЕРН К1'!C27)*СПРАВОЧНИК!$I$9+('ФАКТ ЧЕРН К1'!D27)*СПРАВОЧНИК!$J$9+('ФАКТ ЧЕРН К1'!E27)*СПРАВОЧНИК!$H$10+('ФАКТ ЧЕРН К1'!F27)*СПРАВОЧНИК!$I$10+('ФАКТ ЧЕРН К1'!G27)*СПРАВОЧНИК!$J$10+('ФАКТ ЧЕРН К1'!H27)*СПРАВОЧНИК!$H$11+('ФАКТ ЧЕРН К1'!I27)*СПРАВОЧНИК!$I$11+('ФАКТ ЧЕРН К1'!J27)*СПРАВОЧНИК!$J$11+('ФАКТ ЧЕРН К1'!K27)*СПРАВОЧНИК!$H$12+('ФАКТ ЧЕРН К1'!L27)*СПРАВОЧНИК!$I$12+('ФАКТ ЧЕРН К1'!M27)*СПРАВОЧНИК!$J$12+('ФАКТ ЧЕРН К1'!N27)*СПРАВОЧНИК!$H$13+('ФАКТ ЧЕРН К1'!O27)*СПРАВОЧНИК!$I$13+('ФАКТ ЧЕРН К1'!P27)*СПРАВОЧНИК!$J$13+('ФАКТ ЧЕРН К1'!Q27)*СПРАВОЧНИК!$H$14+('ФАКТ ЧЕРН К1'!R27)*СПРАВОЧНИК!$I$14+('ФАКТ ЧЕРН К1'!S27)*СПРАВОЧНИК!$J$14+('ФАКТ ЧЕРН К1'!T27)*СПРАВОЧНИК!$H$15+('ФАКТ ЧЕРН К1'!U27)*СПРАВОЧНИК!$I$15+('ФАКТ ЧЕРН К1'!V27)*СПРАВОЧНИК!$J$15</f>
        <v/>
      </c>
      <c r="AC36" s="34" t="n"/>
      <c r="AF36" s="152">
        <f>AF35+7</f>
        <v/>
      </c>
      <c r="AG36" s="17">
        <f>'ПЛАН ЧИСТ К1'!B27*СПРАВОЧНИК!$L$9+'ПЛАН ЧИСТ К1'!C27*СПРАВОЧНИК!$M$9+'ПЛАН ЧИСТ К1'!D27*СПРАВОЧНИК!$N$9+'ПЛАН ЧИСТ К1'!E27*СПРАВОЧНИК!$O$9+'ПЛАН ЧИСТ К1'!F27*СПРАВОЧНИК!$P$9+'ПЛАН ЧИСТ К1'!G27*СПРАВОЧНИК!$L$10+'ПЛАН ЧИСТ К1'!H27*СПРАВОЧНИК!$M$10+'ПЛАН ЧИСТ К1'!I27*СПРАВОЧНИК!$N$10+'ПЛАН ЧИСТ К1'!J27*СПРАВОЧНИК!$O$10+'ПЛАН ЧИСТ К1'!K27*СПРАВОЧНИК!$P$10+'ПЛАН ЧИСТ К1'!L27*СПРАВОЧНИК!$L$11+'ПЛАН ЧИСТ К1'!M27*СПРАВОЧНИК!$M$11+'ПЛАН ЧИСТ К1'!N27*СПРАВОЧНИК!$N$11+'ПЛАН ЧИСТ К1'!O27*СПРАВОЧНИК!$O$11+'ПЛАН ЧИСТ К1'!P27*СПРАВОЧНИК!$P$11+'ПЛАН ЧИСТ К1'!Q27*СПРАВОЧНИК!$L$12+'ПЛАН ЧИСТ К1'!R27*СПРАВОЧНИК!$M$12+'ПЛАН ЧИСТ К1'!S27*СПРАВОЧНИК!$N$12+'ПЛАН ЧИСТ К1'!T27*СПРАВОЧНИК!$O$12+'ПЛАН ЧИСТ К1'!U27*СПРАВОЧНИК!$P$12+'ПЛАН ЧИСТ К1'!V27*СПРАВОЧНИК!$L$13+'ПЛАН ЧИСТ К1'!W27*СПРАВОЧНИК!$M$13+'ПЛАН ЧИСТ К1'!X27*СПРАВОЧНИК!$N$13+'ПЛАН ЧИСТ К1'!Y27*СПРАВОЧНИК!$O$13+'ПЛАН ЧИСТ К1'!Z27*СПРАВОЧНИК!$P$13+'ПЛАН ЧИСТ К1'!AA27*СПРАВОЧНИК!$L$14+'ПЛАН ЧИСТ К1'!AB27*СПРАВОЧНИК!$M$14+'ПЛАН ЧИСТ К1'!AC27*СПРАВОЧНИК!$N$14+'ПЛАН ЧИСТ К1'!AD27*СПРАВОЧНИК!$O$14+'ПЛАН ЧИСТ К1'!AE27*СПРАВОЧНИК!$P$14+'ПЛАН ЧИСТ К1'!AF27*СПРАВОЧНИК!$L$15+'ПЛАН ЧИСТ К1'!AG27*СПРАВОЧНИК!$M$15+'ПЛАН ЧИСТ К1'!AH27*СПРАВОЧНИК!$N$15+'ПЛАН ЧИСТ К1'!AI27*СПРАВОЧНИК!$O$15+'ПЛАН ЧИСТ К1'!AJ27*СПРАВОЧНИК!$P$15</f>
        <v/>
      </c>
      <c r="AH36" s="31">
        <f>('ФАКТ ЧИСТ К1'!B27)*СПРАВОЧНИК!$L$9+('ФАКТ ЧИСТ К1'!C27)*СПРАВОЧНИК!$M$9+('ФАКТ ЧИСТ К1'!D27)*СПРАВОЧНИК!$N$9+('ФАКТ ЧИСТ К1'!E27)*СПРАВОЧНИК!$O$9+('ФАКТ ЧИСТ К1'!F27)*СПРАВОЧНИК!$P$9+('ФАКТ ЧИСТ К1'!G27)*СПРАВОЧНИК!$L$10+('ФАКТ ЧИСТ К1'!H27)*СПРАВОЧНИК!$M$10+('ФАКТ ЧИСТ К1'!I27)*СПРАВОЧНИК!$N$10+('ФАКТ ЧИСТ К1'!J27)*СПРАВОЧНИК!$O$10+('ФАКТ ЧИСТ К1'!K27)*СПРАВОЧНИК!$P$10+('ФАКТ ЧИСТ К1'!L27)*СПРАВОЧНИК!$L$11+('ФАКТ ЧИСТ К1'!M27)*СПРАВОЧНИК!$M$11+('ФАКТ ЧИСТ К1'!N27)*СПРАВОЧНИК!$N$11+('ФАКТ ЧИСТ К1'!O27)*СПРАВОЧНИК!$O$11+('ФАКТ ЧИСТ К1'!P27)*СПРАВОЧНИК!$P$11+('ФАКТ ЧИСТ К1'!Q27)*СПРАВОЧНИК!$L$12+('ФАКТ ЧИСТ К1'!R27)*СПРАВОЧНИК!$M$12+('ФАКТ ЧИСТ К1'!S27)*СПРАВОЧНИК!$N$12+('ФАКТ ЧИСТ К1'!T27)*СПРАВОЧНИК!$O$12+('ФАКТ ЧИСТ К1'!U27)*СПРАВОЧНИК!$P$12+('ФАКТ ЧИСТ К1'!V27)*СПРАВОЧНИК!$L$13+('ФАКТ ЧИСТ К1'!W27)*СПРАВОЧНИК!$M$13+('ФАКТ ЧИСТ К1'!X27)*СПРАВОЧНИК!$N$13+('ФАКТ ЧИСТ К1'!Y27)*СПРАВОЧНИК!$O$13+('ФАКТ ЧИСТ К1'!Z27)*СПРАВОЧНИК!$P$13+('ФАКТ ЧИСТ К1'!AA27)*СПРАВОЧНИК!$L$14+('ФАКТ ЧИСТ К1'!AB27)*СПРАВОЧНИК!$M$14+('ФАКТ ЧИСТ К1'!AC27)*СПРАВОЧНИК!$N$14+('ФАКТ ЧИСТ К1'!AD27)*СПРАВОЧНИК!$O$14+('ФАКТ ЧИСТ К1'!AE27)*СПРАВОЧНИК!$P$14+('ФАКТ ЧИСТ К1'!AF27)*СПРАВОЧНИК!$L$15+('ФАКТ ЧИСТ К1'!AG27)*СПРАВОЧНИК!$M$15+('ФАКТ ЧИСТ К1'!AH27)*СПРАВОЧНИК!$N$15+('ФАКТ ЧИСТ К1'!AI27)*СПРАВОЧНИК!$O$15+('ФАКТ ЧИСТ К1'!AJ27)*СПРАВОЧНИК!$P$15</f>
        <v/>
      </c>
      <c r="AI36" s="34" t="n"/>
      <c r="AL36" s="152">
        <f>AL35+7</f>
        <v/>
      </c>
      <c r="AM36" s="17">
        <f>СПРАВОЧНИК!$E$9*('ПЛАН ЧЕРН К2'!B27*СПРАВОЧНИК!$H$9+'ПЛАН ЧЕРН К2'!C27*СПРАВОЧНИК!$I$9+'ПЛАН ЧЕРН К2'!D27*СПРАВОЧНИК!$J$9)+СПРАВОЧНИК!$F$9*('ПЛАН ЧИСТ К2'!B27*СПРАВОЧНИК!$L$9+'ПЛАН ЧИСТ К2'!C27*СПРАВОЧНИК!$M$9+'ПЛАН ЧИСТ К2'!D27*СПРАВОЧНИК!$N$9+'ПЛАН ЧИСТ К2'!E27*СПРАВОЧНИК!$O$9+'ПЛАН ЧИСТ К2'!F27*СПРАВОЧНИК!$P$9)+СПРАВОЧНИК!$E$10*('ПЛАН ЧЕРН К2'!E27*СПРАВОЧНИК!$H$10+'ПЛАН ЧЕРН К2'!F27*СПРАВОЧНИК!$I$10+'ПЛАН ЧЕРН К2'!G27*СПРАВОЧНИК!$J$10)+СПРАВОЧНИК!$F$10*('ПЛАН ЧИСТ К2'!G27*СПРАВОЧНИК!$L$10+'ПЛАН ЧИСТ К2'!H27*СПРАВОЧНИК!$M$10+'ПЛАН ЧИСТ К2'!I27*СПРАВОЧНИК!$N$10+'ПЛАН ЧИСТ К2'!J27*СПРАВОЧНИК!$O$10+'ПЛАН ЧИСТ К2'!K27*СПРАВОЧНИК!$P$10)+СПРАВОЧНИК!$E$11*('ПЛАН ЧЕРН К2'!H27*СПРАВОЧНИК!$H$11+'ПЛАН ЧЕРН К2'!I27*СПРАВОЧНИК!$I$11+'ПЛАН ЧЕРН К2'!J27*СПРАВОЧНИК!$J$11)+СПРАВОЧНИК!$F$11*('ПЛАН ЧИСТ К2'!L27*СПРАВОЧНИК!$L$11+'ПЛАН ЧИСТ К2'!M27*СПРАВОЧНИК!$M$11+'ПЛАН ЧИСТ К2'!N27*СПРАВОЧНИК!$N$11+'ПЛАН ЧИСТ К2'!O27*СПРАВОЧНИК!$O$11+'ПЛАН ЧИСТ К2'!P27*СПРАВОЧНИК!$P$11)+СПРАВОЧНИК!$E$12*('ПЛАН ЧЕРН К2'!K27*СПРАВОЧНИК!$H$12+'ПЛАН ЧЕРН К2'!L27*СПРАВОЧНИК!$I$12+'ПЛАН ЧЕРН К2'!M27*СПРАВОЧНИК!$J$12)+СПРАВОЧНИК!$F$12*('ПЛАН ЧИСТ К2'!Q27*СПРАВОЧНИК!$L$12+'ПЛАН ЧИСТ К2'!R27*СПРАВОЧНИК!$M$12+'ПЛАН ЧИСТ К2'!S27*СПРАВОЧНИК!$N$12+'ПЛАН ЧИСТ К2'!T27*СПРАВОЧНИК!$O$12+'ПЛАН ЧИСТ К2'!U27*СПРАВОЧНИК!$P$12)+СПРАВОЧНИК!$E$13*('ПЛАН ЧЕРН К2'!N27*СПРАВОЧНИК!$H$13+'ПЛАН ЧЕРН К2'!O27*СПРАВОЧНИК!$I$13+'ПЛАН ЧЕРН К2'!P27*СПРАВОЧНИК!$J$13)+СПРАВОЧНИК!$F$13*('ПЛАН ЧИСТ К2'!V27*СПРАВОЧНИК!$L$13+'ПЛАН ЧИСТ К2'!W27*СПРАВОЧНИК!$M$13+'ПЛАН ЧИСТ К2'!X27*СПРАВОЧНИК!$N$13+'ПЛАН ЧИСТ К2'!Y27*СПРАВОЧНИК!$O$13+'ПЛАН ЧИСТ К2'!Z27*СПРАВОЧНИК!$P$13)+СПРАВОЧНИК!$E$14*('ПЛАН ЧЕРН К2'!Q27*СПРАВОЧНИК!$H$14+'ПЛАН ЧЕРН К2'!R27*СПРАВОЧНИК!$I$14+'ПЛАН ЧЕРН К2'!S27*СПРАВОЧНИК!$J$14)+СПРАВОЧНИК!$F$14*('ПЛАН ЧИСТ К2'!AA27*СПРАВОЧНИК!$L$14+'ПЛАН ЧИСТ К2'!AB27*СПРАВОЧНИК!$M$14+'ПЛАН ЧИСТ К2'!AC27*СПРАВОЧНИК!$N$14+'ПЛАН ЧИСТ К2'!AD27*СПРАВОЧНИК!$O$14+'ПЛАН ЧИСТ К2'!AE27*СПРАВОЧНИК!$P$14)+СПРАВОЧНИК!$E$15*('ПЛАН ЧЕРН К2'!T27*СПРАВОЧНИК!$H$15+'ПЛАН ЧЕРН К2'!U27*СПРАВОЧНИК!$I$15+'ПЛАН ЧЕРН К2'!V27*СПРАВОЧНИК!$J$15)+СПРАВОЧНИК!$F$15*('ПЛАН ЧИСТ К2'!AF27*СПРАВОЧНИК!$L$15+'ПЛАН ЧИСТ К2'!AG27*СПРАВОЧНИК!$M$15+'ПЛАН ЧИСТ К2'!AH27*СПРАВОЧНИК!$N$15+'ПЛАН ЧИСТ К2'!AI27*СПРАВОЧНИК!$O$15+'ПЛАН ЧИСТ К2'!AJ27*СПРАВОЧНИК!$P$15)</f>
        <v/>
      </c>
      <c r="AN36" s="31">
        <f>СПРАВОЧНИК!$E$9*('ФАКТ ЧЕРН К2'!B27*СПРАВОЧНИК!$H$9+'ФАКТ ЧЕРН К2'!C27*СПРАВОЧНИК!$I$9+'ФАКТ ЧЕРН К2'!D27*СПРАВОЧНИК!$J$9)+СПРАВОЧНИК!$F$9*('ФАКТ ЧИСТ К2'!B27*СПРАВОЧНИК!$L$9+'ФАКТ ЧИСТ К2'!C27*СПРАВОЧНИК!$M$9+'ФАКТ ЧИСТ К2'!D27*СПРАВОЧНИК!$N$9+'ФАКТ ЧИСТ К2'!E27*СПРАВОЧНИК!$O$9+'ФАКТ ЧИСТ К2'!F27*СПРАВОЧНИК!$P$9)+СПРАВОЧНИК!$E$10*('ФАКТ ЧЕРН К2'!E27*СПРАВОЧНИК!$H$10+'ФАКТ ЧЕРН К2'!F27*СПРАВОЧНИК!$I$10+'ФАКТ ЧЕРН К2'!G27*СПРАВОЧНИК!$J$10)+СПРАВОЧНИК!$F$10*('ФАКТ ЧИСТ К2'!G27*СПРАВОЧНИК!$L$10+'ФАКТ ЧИСТ К2'!H27*СПРАВОЧНИК!$M$10+'ФАКТ ЧИСТ К2'!I27*СПРАВОЧНИК!$N$10+'ФАКТ ЧИСТ К2'!J27*СПРАВОЧНИК!$O$10+'ФАКТ ЧИСТ К2'!K27*СПРАВОЧНИК!$P$10)+СПРАВОЧНИК!$E$11*('ФАКТ ЧЕРН К2'!H27*СПРАВОЧНИК!$H$11+'ФАКТ ЧЕРН К2'!I27*СПРАВОЧНИК!$I$11+'ФАКТ ЧЕРН К2'!J27*СПРАВОЧНИК!$J$11)+СПРАВОЧНИК!$F$11*('ФАКТ ЧИСТ К2'!L27*СПРАВОЧНИК!$L$11+'ФАКТ ЧИСТ К2'!M27*СПРАВОЧНИК!$M$11+'ФАКТ ЧИСТ К2'!N27*СПРАВОЧНИК!$N$11+'ФАКТ ЧИСТ К2'!O27*СПРАВОЧНИК!$O$11+'ФАКТ ЧИСТ К2'!P27*СПРАВОЧНИК!$P$11)+СПРАВОЧНИК!$E$12*('ФАКТ ЧЕРН К2'!K27*СПРАВОЧНИК!$H$12+'ФАКТ ЧЕРН К2'!L27*СПРАВОЧНИК!$I$12+'ФАКТ ЧЕРН К2'!M27*СПРАВОЧНИК!$J$12)+СПРАВОЧНИК!$F$12*('ФАКТ ЧИСТ К2'!Q27*СПРАВОЧНИК!$L$12+'ФАКТ ЧИСТ К2'!R27*СПРАВОЧНИК!$M$12+'ФАКТ ЧИСТ К2'!S27*СПРАВОЧНИК!$N$12+'ФАКТ ЧИСТ К2'!T27*СПРАВОЧНИК!$O$12+'ФАКТ ЧИСТ К2'!U27*СПРАВОЧНИК!$P$12)+СПРАВОЧНИК!$E$13*('ФАКТ ЧЕРН К2'!N27*СПРАВОЧНИК!$H$13+'ФАКТ ЧЕРН К2'!O27*СПРАВОЧНИК!$I$13+'ФАКТ ЧЕРН К2'!P27*СПРАВОЧНИК!$J$13)+СПРАВОЧНИК!$F$13*('ФАКТ ЧИСТ К2'!V27*СПРАВОЧНИК!$L$13+'ФАКТ ЧИСТ К2'!W27*СПРАВОЧНИК!$M$13+'ФАКТ ЧИСТ К2'!X27*СПРАВОЧНИК!$N$13+'ФАКТ ЧИСТ К2'!Y27*СПРАВОЧНИК!$O$13+'ФАКТ ЧИСТ К2'!Z27*СПРАВОЧНИК!$P$13)+СПРАВОЧНИК!$E$14*('ФАКТ ЧЕРН К2'!Q27*СПРАВОЧНИК!$H$14+'ФАКТ ЧЕРН К2'!R27*СПРАВОЧНИК!$I$14+'ФАКТ ЧЕРН К2'!S27*СПРАВОЧНИК!$J$14)+СПРАВОЧНИК!$F$14*('ФАКТ ЧИСТ К2'!AA27*СПРАВОЧНИК!$L$14+'ФАКТ ЧИСТ К2'!AB27*СПРАВОЧНИК!$M$14+'ФАКТ ЧИСТ К2'!AC27*СПРАВОЧНИК!$N$14+'ФАКТ ЧИСТ К2'!AD27*СПРАВОЧНИК!$O$14+'ФАКТ ЧИСТ К2'!AE27*СПРАВОЧНИК!$P$14)+СПРАВОЧНИК!$E$15*('ФАКТ ЧЕРН К2'!T27*СПРАВОЧНИК!$H$15+'ФАКТ ЧЕРН К2'!U27*СПРАВОЧНИК!$I$15+'ФАКТ ЧЕРН К2'!V27*СПРАВОЧНИК!$J$15)+СПРАВОЧНИК!$F$15*('ФАКТ ЧИСТ К2'!AF27*СПРАВОЧНИК!$L$15+'ФАКТ ЧИСТ К2'!AG27*СПРАВОЧНИК!$M$15+'ФАКТ ЧИСТ К2'!AH27*СПРАВОЧНИК!$N$15+'ФАКТ ЧИСТ К2'!AI27*СПРАВОЧНИК!$O$15+'ФАКТ ЧИСТ К2'!AJ27*СПРАВОЧНИК!$P$15)</f>
        <v/>
      </c>
      <c r="AO36" s="34" t="n"/>
      <c r="AR36" s="152">
        <f>AR35+7</f>
        <v/>
      </c>
      <c r="AS36" s="17">
        <f>'ПЛАН ЧЕРН К2'!B27*СПРАВОЧНИК!$H$9+'ПЛАН ЧЕРН К2'!C27*СПРАВОЧНИК!$I$9+'ПЛАН ЧЕРН К2'!D27*СПРАВОЧНИК!$J$9+'ПЛАН ЧЕРН К2'!E27*СПРАВОЧНИК!$H$10+'ПЛАН ЧЕРН К2'!F27*СПРАВОЧНИК!$I$10+'ПЛАН ЧЕРН К2'!G27*СПРАВОЧНИК!$J$10+'ПЛАН ЧЕРН К2'!H27*СПРАВОЧНИК!$H$11+'ПЛАН ЧЕРН К2'!I27*СПРАВОЧНИК!$I$11+'ПЛАН ЧЕРН К2'!J27*СПРАВОЧНИК!$J$11+'ПЛАН ЧЕРН К2'!K27*СПРАВОЧНИК!$H$12+'ПЛАН ЧЕРН К2'!L27*СПРАВОЧНИК!$I$12+'ПЛАН ЧЕРН К2'!M27*СПРАВОЧНИК!$J$12+'ПЛАН ЧЕРН К2'!N27*СПРАВОЧНИК!$H$13+'ПЛАН ЧЕРН К2'!O27*СПРАВОЧНИК!$I$13+'ПЛАН ЧЕРН К2'!P27*СПРАВОЧНИК!$J$13+'ПЛАН ЧЕРН К2'!Q27*СПРАВОЧНИК!$H$14+'ПЛАН ЧЕРН К2'!R27*СПРАВОЧНИК!$I$14+'ПЛАН ЧЕРН К2'!S27*СПРАВОЧНИК!$J$14+'ПЛАН ЧЕРН К2'!T27*СПРАВОЧНИК!$H$15+'ПЛАН ЧЕРН К2'!U27*СПРАВОЧНИК!$I$15+'ПЛАН ЧЕРН К2'!V27*СПРАВОЧНИК!$J$15</f>
        <v/>
      </c>
      <c r="AT36" s="31">
        <f>('ФАКТ ЧЕРН К2'!B27)*СПРАВОЧНИК!$H$9+('ФАКТ ЧЕРН К2'!C27)*СПРАВОЧНИК!$I$9+('ФАКТ ЧЕРН К2'!D27)*СПРАВОЧНИК!$J$9+('ФАКТ ЧЕРН К2'!E27)*СПРАВОЧНИК!$H$10+('ФАКТ ЧЕРН К2'!F27)*СПРАВОЧНИК!$I$10+('ФАКТ ЧЕРН К2'!G27)*СПРАВОЧНИК!$J$10+('ФАКТ ЧЕРН К2'!H27)*СПРАВОЧНИК!$H$11+('ФАКТ ЧЕРН К2'!I27)*СПРАВОЧНИК!$I$11+('ФАКТ ЧЕРН К2'!J27)*СПРАВОЧНИК!$J$11+('ФАКТ ЧЕРН К2'!K27)*СПРАВОЧНИК!$H$12+('ФАКТ ЧЕРН К2'!L27)*СПРАВОЧНИК!$I$12+('ФАКТ ЧЕРН К2'!M27)*СПРАВОЧНИК!$J$12+('ФАКТ ЧЕРН К2'!N27)*СПРАВОЧНИК!$H$13+('ФАКТ ЧЕРН К2'!O27)*СПРАВОЧНИК!$I$13+('ФАКТ ЧЕРН К2'!P27)*СПРАВОЧНИК!$J$13+('ФАКТ ЧЕРН К2'!Q27)*СПРАВОЧНИК!$H$14+('ФАКТ ЧЕРН К2'!R27)*СПРАВОЧНИК!$I$14+('ФАКТ ЧЕРН К2'!S27)*СПРАВОЧНИК!$J$14+('ФАКТ ЧЕРН К2'!T27)*СПРАВОЧНИК!$H$15+('ФАКТ ЧЕРН К2'!U27)*СПРАВОЧНИК!$I$15+('ФАКТ ЧЕРН К2'!V27)*СПРАВОЧНИК!$J$15</f>
        <v/>
      </c>
      <c r="AU36" s="34" t="n"/>
      <c r="AX36" s="152">
        <f>AX35+7</f>
        <v/>
      </c>
      <c r="AY36" s="17">
        <f>'ПЛАН ЧИСТ К2'!B27*СПРАВОЧНИК!$L$9+'ПЛАН ЧИСТ К2'!C27*СПРАВОЧНИК!$M$9+'ПЛАН ЧИСТ К2'!D27*СПРАВОЧНИК!$N$9+'ПЛАН ЧИСТ К2'!E27*СПРАВОЧНИК!$O$9+'ПЛАН ЧИСТ К2'!F27*СПРАВОЧНИК!$P$9+'ПЛАН ЧИСТ К2'!G27*СПРАВОЧНИК!$L$10+'ПЛАН ЧИСТ К2'!H27*СПРАВОЧНИК!$M$10+'ПЛАН ЧИСТ К2'!I27*СПРАВОЧНИК!$N$10+'ПЛАН ЧИСТ К2'!J27*СПРАВОЧНИК!$O$10+'ПЛАН ЧИСТ К2'!K27*СПРАВОЧНИК!$P$10+'ПЛАН ЧИСТ К2'!L27*СПРАВОЧНИК!$L$11+'ПЛАН ЧИСТ К2'!M27*СПРАВОЧНИК!$M$11+'ПЛАН ЧИСТ К2'!N27*СПРАВОЧНИК!$N$11+'ПЛАН ЧИСТ К2'!O27*СПРАВОЧНИК!$O$11+'ПЛАН ЧИСТ К2'!P27*СПРАВОЧНИК!$P$11+'ПЛАН ЧИСТ К2'!Q27*СПРАВОЧНИК!$L$12+'ПЛАН ЧИСТ К2'!R27*СПРАВОЧНИК!$M$12+'ПЛАН ЧИСТ К2'!S27*СПРАВОЧНИК!$N$12+'ПЛАН ЧИСТ К2'!T27*СПРАВОЧНИК!$O$12+'ПЛАН ЧИСТ К2'!U27*СПРАВОЧНИК!$P$12+'ПЛАН ЧИСТ К2'!V27*СПРАВОЧНИК!$L$13+'ПЛАН ЧИСТ К2'!W27*СПРАВОЧНИК!$M$13+'ПЛАН ЧИСТ К2'!X27*СПРАВОЧНИК!$N$13+'ПЛАН ЧИСТ К2'!Y27*СПРАВОЧНИК!$O$13+'ПЛАН ЧИСТ К2'!Z27*СПРАВОЧНИК!$P$13+'ПЛАН ЧИСТ К2'!AA27*СПРАВОЧНИК!$L$14+'ПЛАН ЧИСТ К2'!AB27*СПРАВОЧНИК!$M$14+'ПЛАН ЧИСТ К2'!AC27*СПРАВОЧНИК!$N$14+'ПЛАН ЧИСТ К2'!AD27*СПРАВОЧНИК!$O$14+'ПЛАН ЧИСТ К2'!AE27*СПРАВОЧНИК!$P$14+'ПЛАН ЧИСТ К2'!AF27*СПРАВОЧНИК!$L$15+'ПЛАН ЧИСТ К2'!AG27*СПРАВОЧНИК!$M$15+'ПЛАН ЧИСТ К2'!AH27*СПРАВОЧНИК!$N$15+'ПЛАН ЧИСТ К2'!AI27*СПРАВОЧНИК!$O$15+'ПЛАН ЧИСТ К2'!AJ27*СПРАВОЧНИК!$P$15</f>
        <v/>
      </c>
      <c r="AZ36" s="31">
        <f>('ФАКТ ЧИСТ К2'!B27)*СПРАВОЧНИК!$L$9+('ФАКТ ЧИСТ К2'!C27)*СПРАВОЧНИК!$M$9+('ФАКТ ЧИСТ К2'!D27)*СПРАВОЧНИК!$N$9+('ФАКТ ЧИСТ К2'!E27)*СПРАВОЧНИК!$O$9+('ФАКТ ЧИСТ К2'!F27)*СПРАВОЧНИК!$P$9+('ФАКТ ЧИСТ К2'!G27)*СПРАВОЧНИК!$L$10+('ФАКТ ЧИСТ К2'!H27)*СПРАВОЧНИК!$M$10+('ФАКТ ЧИСТ К2'!I27)*СПРАВОЧНИК!$N$10+('ФАКТ ЧИСТ К2'!J27)*СПРАВОЧНИК!$O$10+('ФАКТ ЧИСТ К2'!K27)*СПРАВОЧНИК!$P$10+('ФАКТ ЧИСТ К2'!L27)*СПРАВОЧНИК!$L$11+('ФАКТ ЧИСТ К2'!M27)*СПРАВОЧНИК!$M$11+('ФАКТ ЧИСТ К2'!N27)*СПРАВОЧНИК!$N$11+('ФАКТ ЧИСТ К2'!O27)*СПРАВОЧНИК!$O$11+('ФАКТ ЧИСТ К2'!P27)*СПРАВОЧНИК!$P$11+('ФАКТ ЧИСТ К2'!Q27)*СПРАВОЧНИК!$L$12+('ФАКТ ЧИСТ К2'!R27)*СПРАВОЧНИК!$M$12+('ФАКТ ЧИСТ К2'!S27)*СПРАВОЧНИК!$N$12+('ФАКТ ЧИСТ К2'!T27)*СПРАВОЧНИК!$O$12+('ФАКТ ЧИСТ К2'!U27)*СПРАВОЧНИК!$P$12+('ФАКТ ЧИСТ К2'!V27)*СПРАВОЧНИК!$L$13+('ФАКТ ЧИСТ К2'!W27)*СПРАВОЧНИК!$M$13+('ФАКТ ЧИСТ К2'!X27)*СПРАВОЧНИК!$N$13+('ФАКТ ЧИСТ К2'!Y27)*СПРАВОЧНИК!$O$13+('ФАКТ ЧИСТ К2'!Z27)*СПРАВОЧНИК!$P$13+('ФАКТ ЧИСТ К2'!AA27)*СПРАВОЧНИК!$L$14+('ФАКТ ЧИСТ К2'!AB27)*СПРАВОЧНИК!$M$14+('ФАКТ ЧИСТ К2'!AC27)*СПРАВОЧНИК!$N$14+('ФАКТ ЧИСТ К2'!AD27)*СПРАВОЧНИК!$O$14+('ФАКТ ЧИСТ К2'!AE27)*СПРАВОЧНИК!$P$14+('ФАКТ ЧИСТ К2'!AF27)*СПРАВОЧНИК!$L$15+('ФАКТ ЧИСТ К2'!AG27)*СПРАВОЧНИК!$M$15+('ФАКТ ЧИСТ К2'!AH27)*СПРАВОЧНИК!$N$15+('ФАКТ ЧИСТ К2'!AI27)*СПРАВОЧНИК!$O$15+('ФАКТ ЧИСТ К2'!AJ27)*СПРАВОЧНИК!$P$15</f>
        <v/>
      </c>
      <c r="BA36" s="34" t="n"/>
      <c r="BD36" s="152">
        <f>BD35+7</f>
        <v/>
      </c>
      <c r="BE36" s="17">
        <f>СПРАВОЧНИК!$E$9*('ПЛАН ЧЕРН К3'!B27*СПРАВОЧНИК!$H$9+'ПЛАН ЧЕРН К3'!C27*СПРАВОЧНИК!$I$9+'ПЛАН ЧЕРН К3'!D27*СПРАВОЧНИК!$J$9)+СПРАВОЧНИК!$F$9*('ПЛАН ЧИСТ К3'!B27*СПРАВОЧНИК!$L$9+'ПЛАН ЧИСТ К3'!C27*СПРАВОЧНИК!$M$9+'ПЛАН ЧИСТ К3'!D27*СПРАВОЧНИК!$N$9+'ПЛАН ЧИСТ К3'!E27*СПРАВОЧНИК!$O$9+'ПЛАН ЧИСТ К3'!F27*СПРАВОЧНИК!$P$9)+СПРАВОЧНИК!$E$10*('ПЛАН ЧЕРН К3'!E27*СПРАВОЧНИК!$H$10+'ПЛАН ЧЕРН К3'!F27*СПРАВОЧНИК!$I$10+'ПЛАН ЧЕРН К3'!G27*СПРАВОЧНИК!$J$10)+СПРАВОЧНИК!$F$10*('ПЛАН ЧИСТ К3'!G27*СПРАВОЧНИК!$L$10+'ПЛАН ЧИСТ К3'!H27*СПРАВОЧНИК!$M$10+'ПЛАН ЧИСТ К3'!I27*СПРАВОЧНИК!$N$10+'ПЛАН ЧИСТ К3'!J27*СПРАВОЧНИК!$O$10+'ПЛАН ЧИСТ К3'!K27*СПРАВОЧНИК!$P$10)+СПРАВОЧНИК!$E$11*('ПЛАН ЧЕРН К3'!H27*СПРАВОЧНИК!$H$11+'ПЛАН ЧЕРН К3'!I27*СПРАВОЧНИК!$I$11+'ПЛАН ЧЕРН К3'!J27*СПРАВОЧНИК!$J$11)+СПРАВОЧНИК!$F$11*('ПЛАН ЧИСТ К3'!L27*СПРАВОЧНИК!$L$11+'ПЛАН ЧИСТ К3'!M27*СПРАВОЧНИК!$M$11+'ПЛАН ЧИСТ К3'!N27*СПРАВОЧНИК!$N$11+'ПЛАН ЧИСТ К3'!O27*СПРАВОЧНИК!$O$11+'ПЛАН ЧИСТ К3'!P27*СПРАВОЧНИК!$P$11)+СПРАВОЧНИК!$E$12*('ПЛАН ЧЕРН К3'!K27*СПРАВОЧНИК!$H$12+'ПЛАН ЧЕРН К3'!L27*СПРАВОЧНИК!$I$12+'ПЛАН ЧЕРН К3'!M27*СПРАВОЧНИК!$J$12)+СПРАВОЧНИК!$F$12*('ПЛАН ЧИСТ К3'!Q27*СПРАВОЧНИК!$L$12+'ПЛАН ЧИСТ К3'!R27*СПРАВОЧНИК!$M$12+'ПЛАН ЧИСТ К3'!S27*СПРАВОЧНИК!$N$12+'ПЛАН ЧИСТ К3'!T27*СПРАВОЧНИК!$O$12+'ПЛАН ЧИСТ К3'!U27*СПРАВОЧНИК!$P$12)+СПРАВОЧНИК!$E$13*('ПЛАН ЧЕРН К3'!N27*СПРАВОЧНИК!$H$13+'ПЛАН ЧЕРН К3'!O27*СПРАВОЧНИК!$I$13+'ПЛАН ЧЕРН К3'!P27*СПРАВОЧНИК!$J$13)+СПРАВОЧНИК!$F$13*('ПЛАН ЧИСТ К3'!V27*СПРАВОЧНИК!$L$13+'ПЛАН ЧИСТ К3'!W27*СПРАВОЧНИК!$M$13+'ПЛАН ЧИСТ К3'!X27*СПРАВОЧНИК!$N$13+'ПЛАН ЧИСТ К3'!Y27*СПРАВОЧНИК!$O$13+'ПЛАН ЧИСТ К3'!Z27*СПРАВОЧНИК!$P$13)+СПРАВОЧНИК!$E$14*('ПЛАН ЧЕРН К3'!Q27*СПРАВОЧНИК!$H$14+'ПЛАН ЧЕРН К3'!R27*СПРАВОЧНИК!$I$14+'ПЛАН ЧЕРН К3'!S27*СПРАВОЧНИК!$J$14)+СПРАВОЧНИК!$F$14*('ПЛАН ЧИСТ К3'!AA27*СПРАВОЧНИК!$L$14+'ПЛАН ЧИСТ К3'!AB27*СПРАВОЧНИК!$M$14+'ПЛАН ЧИСТ К3'!AC27*СПРАВОЧНИК!$N$14+'ПЛАН ЧИСТ К3'!AD27*СПРАВОЧНИК!$O$14+'ПЛАН ЧИСТ К3'!AE27*СПРАВОЧНИК!$P$14)+СПРАВОЧНИК!$E$15*('ПЛАН ЧЕРН К3'!T27*СПРАВОЧНИК!$H$15+'ПЛАН ЧЕРН К3'!U27*СПРАВОЧНИК!$I$15+'ПЛАН ЧЕРН К3'!V27*СПРАВОЧНИК!$J$15)+СПРАВОЧНИК!$F$15*('ПЛАН ЧИСТ К3'!AF27*СПРАВОЧНИК!$L$15+'ПЛАН ЧИСТ К3'!AG27*СПРАВОЧНИК!$M$15+'ПЛАН ЧИСТ К3'!AH27*СПРАВОЧНИК!$N$15+'ПЛАН ЧИСТ К3'!AI27*СПРАВОЧНИК!$O$15+'ПЛАН ЧИСТ К3'!AJ27*СПРАВОЧНИК!$P$15)</f>
        <v/>
      </c>
      <c r="BF36" s="31">
        <f>СПРАВОЧНИК!$E$9*('ФАКТ ЧЕРН К3'!B27*СПРАВОЧНИК!$H$9+'ФАКТ ЧЕРН К3'!C27*СПРАВОЧНИК!$I$9+'ФАКТ ЧЕРН К3'!D27*СПРАВОЧНИК!$J$9)+СПРАВОЧНИК!$F$9*('ФАКТ ЧИСТ К3'!B27*СПРАВОЧНИК!$L$9+'ФАКТ ЧИСТ К3'!C27*СПРАВОЧНИК!$M$9+'ФАКТ ЧИСТ К3'!D27*СПРАВОЧНИК!$N$9+'ФАКТ ЧИСТ К3'!E27*СПРАВОЧНИК!$O$9+'ФАКТ ЧИСТ К3'!F27*СПРАВОЧНИК!$P$9)+СПРАВОЧНИК!$E$10*('ФАКТ ЧЕРН К3'!E27*СПРАВОЧНИК!$H$10+'ФАКТ ЧЕРН К3'!F27*СПРАВОЧНИК!$I$10+'ФАКТ ЧЕРН К3'!G27*СПРАВОЧНИК!$J$10)+СПРАВОЧНИК!$F$10*('ФАКТ ЧИСТ К3'!G27*СПРАВОЧНИК!$L$10+'ФАКТ ЧИСТ К3'!H27*СПРАВОЧНИК!$M$10+'ФАКТ ЧИСТ К3'!I27*СПРАВОЧНИК!$N$10+'ФАКТ ЧИСТ К3'!J27*СПРАВОЧНИК!$O$10+'ФАКТ ЧИСТ К3'!K27*СПРАВОЧНИК!$P$10)+СПРАВОЧНИК!$E$11*('ФАКТ ЧЕРН К3'!H27*СПРАВОЧНИК!$H$11+'ФАКТ ЧЕРН К3'!I27*СПРАВОЧНИК!$I$11+'ФАКТ ЧЕРН К3'!J27*СПРАВОЧНИК!$J$11)+СПРАВОЧНИК!$F$11*('ФАКТ ЧИСТ К3'!L27*СПРАВОЧНИК!$L$11+'ФАКТ ЧИСТ К3'!M27*СПРАВОЧНИК!$M$11+'ФАКТ ЧИСТ К3'!N27*СПРАВОЧНИК!$N$11+'ФАКТ ЧИСТ К3'!O27*СПРАВОЧНИК!$O$11+'ФАКТ ЧИСТ К3'!P27*СПРАВОЧНИК!$P$11)+СПРАВОЧНИК!$E$12*('ФАКТ ЧЕРН К3'!K27*СПРАВОЧНИК!$H$12+'ФАКТ ЧЕРН К3'!L27*СПРАВОЧНИК!$I$12+'ФАКТ ЧЕРН К3'!M27*СПРАВОЧНИК!$J$12)+СПРАВОЧНИК!$F$12*('ФАКТ ЧИСТ К3'!Q27*СПРАВОЧНИК!$L$12+'ФАКТ ЧИСТ К3'!R27*СПРАВОЧНИК!$M$12+'ФАКТ ЧИСТ К3'!S27*СПРАВОЧНИК!$N$12+'ФАКТ ЧИСТ К3'!T27*СПРАВОЧНИК!$O$12+'ФАКТ ЧИСТ К3'!U27*СПРАВОЧНИК!$P$12)+СПРАВОЧНИК!$E$13*('ФАКТ ЧЕРН К3'!N27*СПРАВОЧНИК!$H$13+'ФАКТ ЧЕРН К3'!O27*СПРАВОЧНИК!$I$13+'ФАКТ ЧЕРН К3'!P27*СПРАВОЧНИК!$J$13)+СПРАВОЧНИК!$F$13*('ФАКТ ЧИСТ К3'!V27*СПРАВОЧНИК!$L$13+'ФАКТ ЧИСТ К3'!W27*СПРАВОЧНИК!$M$13+'ФАКТ ЧИСТ К3'!X27*СПРАВОЧНИК!$N$13+'ФАКТ ЧИСТ К3'!Y27*СПРАВОЧНИК!$O$13+'ФАКТ ЧИСТ К3'!Z27*СПРАВОЧНИК!$P$13)+СПРАВОЧНИК!$E$14*('ФАКТ ЧЕРН К3'!Q27*СПРАВОЧНИК!$H$14+'ФАКТ ЧЕРН К3'!R27*СПРАВОЧНИК!$I$14+'ФАКТ ЧЕРН К3'!S27*СПРАВОЧНИК!$J$14)+СПРАВОЧНИК!$F$14*('ФАКТ ЧИСТ К3'!AA27*СПРАВОЧНИК!$L$14+'ФАКТ ЧИСТ К3'!AB27*СПРАВОЧНИК!$M$14+'ФАКТ ЧИСТ К3'!AC27*СПРАВОЧНИК!$N$14+'ФАКТ ЧИСТ К3'!AD27*СПРАВОЧНИК!$O$14+'ФАКТ ЧИСТ К3'!AE27*СПРАВОЧНИК!$P$14)+СПРАВОЧНИК!$E$15*('ФАКТ ЧЕРН К3'!T27*СПРАВОЧНИК!$H$15+'ФАКТ ЧЕРН К3'!U27*СПРАВОЧНИК!$I$15+'ФАКТ ЧЕРН К3'!V27*СПРАВОЧНИК!$J$15)+СПРАВОЧНИК!$F$15*('ФАКТ ЧИСТ К3'!AF27*СПРАВОЧНИК!$L$15+'ФАКТ ЧИСТ К3'!AG27*СПРАВОЧНИК!$M$15+'ФАКТ ЧИСТ К3'!AH27*СПРАВОЧНИК!$N$15+'ФАКТ ЧИСТ К3'!AI27*СПРАВОЧНИК!$O$15+'ФАКТ ЧИСТ К3'!AJ27*СПРАВОЧНИК!$P$15)</f>
        <v/>
      </c>
      <c r="BG36" s="34" t="n"/>
      <c r="BJ36" s="152">
        <f>BJ35+7</f>
        <v/>
      </c>
      <c r="BK36" s="17">
        <f>'ПЛАН ЧЕРН К3'!B27*СПРАВОЧНИК!$H$9+'ПЛАН ЧЕРН К3'!C27*СПРАВОЧНИК!$I$9+'ПЛАН ЧЕРН К3'!D27*СПРАВОЧНИК!$J$9+'ПЛАН ЧЕРН К3'!E27*СПРАВОЧНИК!$H$10+'ПЛАН ЧЕРН К3'!F27*СПРАВОЧНИК!$I$10+'ПЛАН ЧЕРН К3'!G27*СПРАВОЧНИК!$J$10+'ПЛАН ЧЕРН К3'!H27*СПРАВОЧНИК!$H$11+'ПЛАН ЧЕРН К3'!I27*СПРАВОЧНИК!$I$11+'ПЛАН ЧЕРН К3'!J27*СПРАВОЧНИК!$J$11+'ПЛАН ЧЕРН К3'!K27*СПРАВОЧНИК!$H$12+'ПЛАН ЧЕРН К3'!L27*СПРАВОЧНИК!$I$12+'ПЛАН ЧЕРН К3'!M27*СПРАВОЧНИК!$J$12+'ПЛАН ЧЕРН К3'!N27*СПРАВОЧНИК!$H$13+'ПЛАН ЧЕРН К3'!O27*СПРАВОЧНИК!$I$13+'ПЛАН ЧЕРН К3'!P27*СПРАВОЧНИК!$J$13+'ПЛАН ЧЕРН К3'!Q27*СПРАВОЧНИК!$H$14+'ПЛАН ЧЕРН К3'!R27*СПРАВОЧНИК!$I$14+'ПЛАН ЧЕРН К3'!S27*СПРАВОЧНИК!$J$14+'ПЛАН ЧЕРН К3'!T27*СПРАВОЧНИК!$H$15+'ПЛАН ЧЕРН К3'!U27*СПРАВОЧНИК!$I$15+'ПЛАН ЧЕРН К3'!V27*СПРАВОЧНИК!$J$15</f>
        <v/>
      </c>
      <c r="BL36" s="31">
        <f>('ФАКТ ЧЕРН К3'!B27)*СПРАВОЧНИК!$H$9+('ФАКТ ЧЕРН К3'!C27)*СПРАВОЧНИК!$I$9+('ФАКТ ЧЕРН К3'!D27)*СПРАВОЧНИК!$J$9+('ФАКТ ЧЕРН К3'!E27)*СПРАВОЧНИК!$H$10+('ФАКТ ЧЕРН К3'!F27)*СПРАВОЧНИК!$I$10+('ФАКТ ЧЕРН К3'!G27)*СПРАВОЧНИК!$J$10+('ФАКТ ЧЕРН К3'!H27)*СПРАВОЧНИК!$H$11+('ФАКТ ЧЕРН К3'!I27)*СПРАВОЧНИК!$I$11+('ФАКТ ЧЕРН К3'!J27)*СПРАВОЧНИК!$J$11+('ФАКТ ЧЕРН К3'!K27)*СПРАВОЧНИК!$H$12+('ФАКТ ЧЕРН К3'!L27)*СПРАВОЧНИК!$I$12+('ФАКТ ЧЕРН К3'!M27)*СПРАВОЧНИК!$J$12+('ФАКТ ЧЕРН К3'!N27)*СПРАВОЧНИК!$H$13+('ФАКТ ЧЕРН К3'!O27)*СПРАВОЧНИК!$I$13+('ФАКТ ЧЕРН К3'!P27)*СПРАВОЧНИК!$J$13+('ФАКТ ЧЕРН К3'!Q27)*СПРАВОЧНИК!$H$14+('ФАКТ ЧЕРН К3'!R27)*СПРАВОЧНИК!$I$14+('ФАКТ ЧЕРН К3'!S27)*СПРАВОЧНИК!$J$14+('ФАКТ ЧЕРН К3'!T27)*СПРАВОЧНИК!$H$15+('ФАКТ ЧЕРН К3'!U27)*СПРАВОЧНИК!$I$15+('ФАКТ ЧЕРН К3'!V27)*СПРАВОЧНИК!$J$15</f>
        <v/>
      </c>
      <c r="BM36" s="34" t="n"/>
      <c r="BP36" s="152">
        <f>BP35+7</f>
        <v/>
      </c>
      <c r="BQ36" s="17">
        <f>'ПЛАН ЧИСТ К3'!B27*СПРАВОЧНИК!$L$9+'ПЛАН ЧИСТ К3'!C27*СПРАВОЧНИК!$M$9+'ПЛАН ЧИСТ К3'!D27*СПРАВОЧНИК!$N$9+'ПЛАН ЧИСТ К3'!E27*СПРАВОЧНИК!$O$9+'ПЛАН ЧИСТ К3'!F27*СПРАВОЧНИК!$P$9+'ПЛАН ЧИСТ К3'!G27*СПРАВОЧНИК!$L$10+'ПЛАН ЧИСТ К3'!H27*СПРАВОЧНИК!$M$10+'ПЛАН ЧИСТ К3'!I27*СПРАВОЧНИК!$N$10+'ПЛАН ЧИСТ К3'!J27*СПРАВОЧНИК!$O$10+'ПЛАН ЧИСТ К3'!K27*СПРАВОЧНИК!$P$10+'ПЛАН ЧИСТ К3'!L27*СПРАВОЧНИК!$L$11+'ПЛАН ЧИСТ К3'!M27*СПРАВОЧНИК!$M$11+'ПЛАН ЧИСТ К3'!N27*СПРАВОЧНИК!$N$11+'ПЛАН ЧИСТ К3'!O27*СПРАВОЧНИК!$O$11+'ПЛАН ЧИСТ К3'!P27*СПРАВОЧНИК!$P$11+'ПЛАН ЧИСТ К3'!Q27*СПРАВОЧНИК!$L$12+'ПЛАН ЧИСТ К3'!R27*СПРАВОЧНИК!$M$12+'ПЛАН ЧИСТ К3'!S27*СПРАВОЧНИК!$N$12+'ПЛАН ЧИСТ К3'!T27*СПРАВОЧНИК!$O$12+'ПЛАН ЧИСТ К3'!U27*СПРАВОЧНИК!$P$12+'ПЛАН ЧИСТ К3'!V27*СПРАВОЧНИК!$L$13+'ПЛАН ЧИСТ К3'!W27*СПРАВОЧНИК!$M$13+'ПЛАН ЧИСТ К3'!X27*СПРАВОЧНИК!$N$13+'ПЛАН ЧИСТ К3'!Y27*СПРАВОЧНИК!$O$13+'ПЛАН ЧИСТ К3'!Z27*СПРАВОЧНИК!$P$13+'ПЛАН ЧИСТ К3'!AA27*СПРАВОЧНИК!$L$14+'ПЛАН ЧИСТ К3'!AB27*СПРАВОЧНИК!$M$14+'ПЛАН ЧИСТ К3'!AC27*СПРАВОЧНИК!$N$14+'ПЛАН ЧИСТ К3'!AD27*СПРАВОЧНИК!$O$14+'ПЛАН ЧИСТ К3'!AE27*СПРАВОЧНИК!$P$14+'ПЛАН ЧИСТ К3'!AF27*СПРАВОЧНИК!$L$15+'ПЛАН ЧИСТ К3'!AG27*СПРАВОЧНИК!$M$15+'ПЛАН ЧИСТ К3'!AH27*СПРАВОЧНИК!$N$15+'ПЛАН ЧИСТ К3'!AI27*СПРАВОЧНИК!$O$15+'ПЛАН ЧИСТ К3'!AJ27*СПРАВОЧНИК!$P$15</f>
        <v/>
      </c>
      <c r="BR36" s="31">
        <f>('ФАКТ ЧИСТ К3'!B27)*СПРАВОЧНИК!$L$9+('ФАКТ ЧИСТ К3'!C27)*СПРАВОЧНИК!$M$9+('ФАКТ ЧИСТ К3'!D27)*СПРАВОЧНИК!$N$9+('ФАКТ ЧИСТ К3'!E27)*СПРАВОЧНИК!$O$9+('ФАКТ ЧИСТ К3'!F27)*СПРАВОЧНИК!$P$9+('ФАКТ ЧИСТ К3'!G27)*СПРАВОЧНИК!$L$10+('ФАКТ ЧИСТ К3'!H27)*СПРАВОЧНИК!$M$10+('ФАКТ ЧИСТ К3'!I27)*СПРАВОЧНИК!$N$10+('ФАКТ ЧИСТ К3'!J27)*СПРАВОЧНИК!$O$10+('ФАКТ ЧИСТ К3'!K27)*СПРАВОЧНИК!$P$10+('ФАКТ ЧИСТ К3'!L27)*СПРАВОЧНИК!$L$11+('ФАКТ ЧИСТ К3'!M27)*СПРАВОЧНИК!$M$11+('ФАКТ ЧИСТ К3'!N27)*СПРАВОЧНИК!$N$11+('ФАКТ ЧИСТ К3'!O27)*СПРАВОЧНИК!$O$11+('ФАКТ ЧИСТ К3'!P27)*СПРАВОЧНИК!$P$11+('ФАКТ ЧИСТ К3'!Q27)*СПРАВОЧНИК!$L$12+('ФАКТ ЧИСТ К3'!R27)*СПРАВОЧНИК!$M$12+('ФАКТ ЧИСТ К3'!S27)*СПРАВОЧНИК!$N$12+('ФАКТ ЧИСТ К3'!T27)*СПРАВОЧНИК!$O$12+('ФАКТ ЧИСТ К3'!U27)*СПРАВОЧНИК!$P$12+('ФАКТ ЧИСТ К3'!V27)*СПРАВОЧНИК!$L$13+('ФАКТ ЧИСТ К3'!W27)*СПРАВОЧНИК!$M$13+('ФАКТ ЧИСТ К3'!X27)*СПРАВОЧНИК!$N$13+('ФАКТ ЧИСТ К3'!Y27)*СПРАВОЧНИК!$O$13+('ФАКТ ЧИСТ К3'!Z27)*СПРАВОЧНИК!$P$13+('ФАКТ ЧИСТ К3'!AA27)*СПРАВОЧНИК!$L$14+('ФАКТ ЧИСТ К3'!AB27)*СПРАВОЧНИК!$M$14+('ФАКТ ЧИСТ К3'!AC27)*СПРАВОЧНИК!$N$14+('ФАКТ ЧИСТ К3'!AD27)*СПРАВОЧНИК!$O$14+('ФАКТ ЧИСТ К3'!AE27)*СПРАВОЧНИК!$P$14+('ФАКТ ЧИСТ К3'!AF27)*СПРАВОЧНИК!$L$15+('ФАКТ ЧИСТ К3'!AG27)*СПРАВОЧНИК!$M$15+('ФАКТ ЧИСТ К3'!AH27)*СПРАВОЧНИК!$N$15+('ФАКТ ЧИСТ К3'!AI27)*СПРАВОЧНИК!$O$15+('ФАКТ ЧИСТ К3'!AJ27)*СПРАВОЧНИК!$P$15</f>
        <v/>
      </c>
      <c r="BS36" s="34" t="n"/>
      <c r="BV36" s="152">
        <f>BV35+7</f>
        <v/>
      </c>
      <c r="BW36" s="17">
        <f>U36*СПРАВОЧНИК!$K$28+AM36*СПРАВОЧНИК!$K$29+BE36*СПРАВОЧНИК!$K$30</f>
        <v/>
      </c>
      <c r="BX36" s="31">
        <f>V36*СПРАВОЧНИК!$K$28+AN36*СПРАВОЧНИК!$K$29+BF36*СПРАВОЧНИК!$K$30</f>
        <v/>
      </c>
      <c r="BY36" s="34" t="n"/>
      <c r="CB36" s="152">
        <f>CB35+7</f>
        <v/>
      </c>
      <c r="CC36" s="17">
        <f>AA36*СПРАВОЧНИК!$K$28+AS36*СПРАВОЧНИК!$K$29+BK36*СПРАВОЧНИК!$K$30</f>
        <v/>
      </c>
      <c r="CD36" s="31">
        <f>AB36*СПРАВОЧНИК!$K$28+AT36*СПРАВОЧНИК!$K$29+BL36*СПРАВОЧНИК!$K$30</f>
        <v/>
      </c>
      <c r="CE36" s="34" t="n"/>
      <c r="CH36" s="152">
        <f>CH35+7</f>
        <v/>
      </c>
      <c r="CI36" s="17">
        <f>AG36*СПРАВОЧНИК!$K$28+AY36*СПРАВОЧНИК!$K$29+BQ36*СПРАВОЧНИК!$K$30</f>
        <v/>
      </c>
      <c r="CJ36" s="31">
        <f>AH36*СПРАВОЧНИК!$K$28+AZ36*СПРАВОЧНИК!$K$29+BR36*СПРАВОЧНИК!$K$30</f>
        <v/>
      </c>
      <c r="CK36" s="34" t="n"/>
      <c r="CN36" s="152">
        <f>CN35+7</f>
        <v/>
      </c>
      <c r="CO36" s="17">
        <f>C36*СПРАВОЧНИК!$W$18+BW36*СПРАВОЧНИК!$W$19</f>
        <v/>
      </c>
      <c r="CP36" s="31">
        <f>D36*СПРАВОЧНИК!$W$18+BX36*СПРАВОЧНИК!$W$19</f>
        <v/>
      </c>
      <c r="CQ36" s="34" t="n"/>
      <c r="CT36" s="152">
        <f>CT35+7</f>
        <v/>
      </c>
      <c r="CU36" s="17">
        <f>I36*СПРАВОЧНИК!$W$18+CC36*СПРАВОЧНИК!$W$19</f>
        <v/>
      </c>
      <c r="CV36" s="31">
        <f>J36*СПРАВОЧНИК!$W$18+CD36*СПРАВОЧНИК!$W$19</f>
        <v/>
      </c>
      <c r="CW36" s="34" t="n"/>
      <c r="CZ36" s="152">
        <f>CZ35+7</f>
        <v/>
      </c>
      <c r="DA36" s="17">
        <f>O36*СПРАВОЧНИК!$W$18+CI36*СПРАВОЧНИК!$W$19</f>
        <v/>
      </c>
      <c r="DB36" s="31">
        <f>P36*СПРАВОЧНИК!$W$18+CJ36*СПРАВОЧНИК!$W$19</f>
        <v/>
      </c>
      <c r="DC36" s="34" t="n"/>
    </row>
    <row r="37">
      <c r="B37" s="152">
        <f>B36+7</f>
        <v/>
      </c>
      <c r="C37" s="17">
        <f>СПРАВОЧНИК!$E$3*('ПЛАН ЧЕРН ПОДЗЕМ'!B28*СПРАВОЧНИК!$H$3+'ПЛАН ЧЕРН ПОДЗЕМ'!C28*СПРАВОЧНИК!$I$3+'ПЛАН ЧЕРН ПОДЗЕМ'!D28*СПРАВОЧНИК!$J$3)+СПРАВОЧНИК!$F$3*('ПЛАН ЧИСТ ПОДЗЕМ'!B28*СПРАВОЧНИК!$L$3+'ПЛАН ЧИСТ ПОДЗЕМ'!C28*СПРАВОЧНИК!$M$3+'ПЛАН ЧИСТ ПОДЗЕМ'!D28*СПРАВОЧНИК!$N$3+'ПЛАН ЧИСТ ПОДЗЕМ'!E28*СПРАВОЧНИК!$O$3+'ПЛАН ЧИСТ ПОДЗЕМ'!F28*СПРАВОЧНИК!$P$3)+СПРАВОЧНИК!$E$4*('ПЛАН ЧЕРН ПОДЗЕМ'!E28*СПРАВОЧНИК!$H$4+'ПЛАН ЧЕРН ПОДЗЕМ'!F28*СПРАВОЧНИК!$I$4+'ПЛАН ЧЕРН ПОДЗЕМ'!G28*СПРАВОЧНИК!$J$4)+СПРАВОЧНИК!$F$4*('ПЛАН ЧИСТ ПОДЗЕМ'!G28*СПРАВОЧНИК!$L$4+'ПЛАН ЧИСТ ПОДЗЕМ'!H28*СПРАВОЧНИК!$M$4+'ПЛАН ЧИСТ ПОДЗЕМ'!I28*СПРАВОЧНИК!$N$4+'ПЛАН ЧИСТ ПОДЗЕМ'!J28*СПРАВОЧНИК!$O$4+'ПЛАН ЧИСТ ПОДЗЕМ'!K28*СПРАВОЧНИК!$P$4)+СПРАВОЧНИК!$E$5*('ПЛАН ЧЕРН ПОДЗЕМ'!H28*СПРАВОЧНИК!$H$5+'ПЛАН ЧЕРН ПОДЗЕМ'!I28*СПРАВОЧНИК!$I$5+'ПЛАН ЧЕРН ПОДЗЕМ'!J28*СПРАВОЧНИК!$J$5)+СПРАВОЧНИК!$F$5*('ПЛАН ЧИСТ ПОДЗЕМ'!L28*СПРАВОЧНИК!$L$5+'ПЛАН ЧИСТ ПОДЗЕМ'!M28*СПРАВОЧНИК!$M$5+'ПЛАН ЧИСТ ПОДЗЕМ'!N28*СПРАВОЧНИК!$N$5+'ПЛАН ЧИСТ ПОДЗЕМ'!O28*СПРАВОЧНИК!$O$5+'ПЛАН ЧИСТ ПОДЗЕМ'!P28*СПРАВОЧНИК!$P$5)+СПРАВОЧНИК!$E$6*('ПЛАН ЧЕРН ПОДЗЕМ'!K28*СПРАВОЧНИК!$H$6+'ПЛАН ЧЕРН ПОДЗЕМ'!L28*СПРАВОЧНИК!$I$6+'ПЛАН ЧЕРН ПОДЗЕМ'!M28*СПРАВОЧНИК!$J$6)+СПРАВОЧНИК!$F$6*('ПЛАН ЧИСТ ПОДЗЕМ'!Q28*СПРАВОЧНИК!$L$6+'ПЛАН ЧИСТ ПОДЗЕМ'!R28*СПРАВОЧНИК!$M$6+'ПЛАН ЧИСТ ПОДЗЕМ'!S28*СПРАВОЧНИК!$N$6+'ПЛАН ЧИСТ ПОДЗЕМ'!T28*СПРАВОЧНИК!$O$6+'ПЛАН ЧИСТ ПОДЗЕМ'!U28*СПРАВОЧНИК!$P$6)+СПРАВОЧНИК!$E$7*('ПЛАН ЧЕРН ПОДЗЕМ'!N28*СПРАВОЧНИК!$H$7+'ПЛАН ЧЕРН ПОДЗЕМ'!O28*СПРАВОЧНИК!$I$7+'ПЛАН ЧЕРН ПОДЗЕМ'!P28*СПРАВОЧНИК!$J$7)+СПРАВОЧНИК!$F$7*('ПЛАН ЧИСТ ПОДЗЕМ'!V28*СПРАВОЧНИК!$L$7+'ПЛАН ЧИСТ ПОДЗЕМ'!W28*СПРАВОЧНИК!$M$7+'ПЛАН ЧИСТ ПОДЗЕМ'!X28*СПРАВОЧНИК!$N$7+'ПЛАН ЧИСТ ПОДЗЕМ'!Y28*СПРАВОЧНИК!$O$7+'ПЛАН ЧИСТ ПОДЗЕМ'!Z28*СПРАВОЧНИК!$P$7)+СПРАВОЧНИК!$E$8*('ПЛАН ЧЕРН ПОДЗЕМ'!Q28*СПРАВОЧНИК!$H$8+'ПЛАН ЧЕРН ПОДЗЕМ'!R28*СПРАВОЧНИК!$I$8+'ПЛАН ЧЕРН ПОДЗЕМ'!S28*СПРАВОЧНИК!$J$8)+СПРАВОЧНИК!$F$8*('ПЛАН ЧИСТ ПОДЗЕМ'!AA28*СПРАВОЧНИК!$L$8+'ПЛАН ЧИСТ ПОДЗЕМ'!AB28*СПРАВОЧНИК!$M$8+'ПЛАН ЧИСТ ПОДЗЕМ'!AC28*СПРАВОЧНИК!$N$8+'ПЛАН ЧИСТ ПОДЗЕМ'!AD28*СПРАВОЧНИК!$O$8+'ПЛАН ЧИСТ ПОДЗЕМ'!AE28*СПРАВОЧНИК!$P$8)</f>
        <v/>
      </c>
      <c r="D37" s="31">
        <f>СПРАВОЧНИК!$E$3*('ФАКТ ЧЕРН ПОДЗЕМ'!B28*СПРАВОЧНИК!$H$3+'ФАКТ ЧЕРН ПОДЗЕМ'!C28*СПРАВОЧНИК!$I$3+'ФАКТ ЧЕРН ПОДЗЕМ'!D28*СПРАВОЧНИК!$J$3)+СПРАВОЧНИК!$F$3*('ФАКТ ЧИСТ ПОДЗЕМ'!B28*СПРАВОЧНИК!$L$3+'ФАКТ ЧИСТ ПОДЗЕМ'!C28*СПРАВОЧНИК!$M$3+'ФАКТ ЧИСТ ПОДЗЕМ'!D28*СПРАВОЧНИК!$N$3+'ФАКТ ЧИСТ ПОДЗЕМ'!E28*СПРАВОЧНИК!$O$3+'ФАКТ ЧИСТ ПОДЗЕМ'!F28*СПРАВОЧНИК!$P$3)+СПРАВОЧНИК!$E$4*('ФАКТ ЧЕРН ПОДЗЕМ'!E28*СПРАВОЧНИК!$H$4+'ФАКТ ЧЕРН ПОДЗЕМ'!F28*СПРАВОЧНИК!$I$4+'ФАКТ ЧЕРН ПОДЗЕМ'!G28*СПРАВОЧНИК!$J$4)+СПРАВОЧНИК!$F$4*('ФАКТ ЧИСТ ПОДЗЕМ'!G28*СПРАВОЧНИК!$L$4+'ФАКТ ЧИСТ ПОДЗЕМ'!H28*СПРАВОЧНИК!$M$4+'ФАКТ ЧИСТ ПОДЗЕМ'!I28*СПРАВОЧНИК!$N$4+'ФАКТ ЧИСТ ПОДЗЕМ'!J28*СПРАВОЧНИК!$O$4+'ФАКТ ЧИСТ ПОДЗЕМ'!K28*СПРАВОЧНИК!$P$4)+СПРАВОЧНИК!$E$5*('ФАКТ ЧЕРН ПОДЗЕМ'!H28*СПРАВОЧНИК!$H$5+'ФАКТ ЧЕРН ПОДЗЕМ'!I28*СПРАВОЧНИК!$I$5+'ФАКТ ЧЕРН ПОДЗЕМ'!J28*СПРАВОЧНИК!$J$5)+СПРАВОЧНИК!$F$5*('ФАКТ ЧИСТ ПОДЗЕМ'!L28*СПРАВОЧНИК!$L$5+'ФАКТ ЧИСТ ПОДЗЕМ'!M28*СПРАВОЧНИК!$M$5+'ФАКТ ЧИСТ ПОДЗЕМ'!N28*СПРАВОЧНИК!$N$5+'ФАКТ ЧИСТ ПОДЗЕМ'!O28*СПРАВОЧНИК!$O$5+'ФАКТ ЧИСТ ПОДЗЕМ'!P28*СПРАВОЧНИК!$P$5)+СПРАВОЧНИК!$E$6*('ФАКТ ЧЕРН ПОДЗЕМ'!K28*СПРАВОЧНИК!$H$6+'ФАКТ ЧЕРН ПОДЗЕМ'!L28*СПРАВОЧНИК!$I$6+'ФАКТ ЧЕРН ПОДЗЕМ'!M28*СПРАВОЧНИК!$J$6)+СПРАВОЧНИК!$F$6*('ФАКТ ЧИСТ ПОДЗЕМ'!Q28*СПРАВОЧНИК!$L$6+'ФАКТ ЧИСТ ПОДЗЕМ'!R28*СПРАВОЧНИК!$M$6+'ФАКТ ЧИСТ ПОДЗЕМ'!S28*СПРАВОЧНИК!$N$6+'ФАКТ ЧИСТ ПОДЗЕМ'!T28*СПРАВОЧНИК!$O$6+'ФАКТ ЧИСТ ПОДЗЕМ'!U28*СПРАВОЧНИК!$P$6)+СПРАВОЧНИК!$E$7*('ФАКТ ЧЕРН ПОДЗЕМ'!N28*СПРАВОЧНИК!$H$7+'ФАКТ ЧЕРН ПОДЗЕМ'!O28*СПРАВОЧНИК!$I$7+'ФАКТ ЧЕРН ПОДЗЕМ'!P28*СПРАВОЧНИК!$J$7)+СПРАВОЧНИК!$F$7*('ФАКТ ЧИСТ ПОДЗЕМ'!V28*СПРАВОЧНИК!$L$7+'ФАКТ ЧИСТ ПОДЗЕМ'!W28*СПРАВОЧНИК!$M$7+'ФАКТ ЧИСТ ПОДЗЕМ'!X28*СПРАВОЧНИК!$N$7+'ФАКТ ЧИСТ ПОДЗЕМ'!Y28*СПРАВОЧНИК!$O$7+'ФАКТ ЧИСТ ПОДЗЕМ'!Z28*СПРАВОЧНИК!$P$7)+СПРАВОЧНИК!$E$8*('ФАКТ ЧЕРН ПОДЗЕМ'!Q28*СПРАВОЧНИК!$H$8+'ФАКТ ЧЕРН ПОДЗЕМ'!R28*СПРАВОЧНИК!$I$8+'ФАКТ ЧЕРН ПОДЗЕМ'!S28*СПРАВОЧНИК!$J$8)+СПРАВОЧНИК!$F$8*('ФАКТ ЧИСТ ПОДЗЕМ'!AA28*СПРАВОЧНИК!$L$8+'ФАКТ ЧИСТ ПОДЗЕМ'!AB28*СПРАВОЧНИК!$M$8+'ФАКТ ЧИСТ ПОДЗЕМ'!AC28*СПРАВОЧНИК!$N$8+'ФАКТ ЧИСТ ПОДЗЕМ'!AD28*СПРАВОЧНИК!$O$8+'ФАКТ ЧИСТ ПОДЗЕМ'!AE28*СПРАВОЧНИК!$P$8)</f>
        <v/>
      </c>
      <c r="E37" s="34" t="n"/>
      <c r="H37" s="152">
        <f>H36+7</f>
        <v/>
      </c>
      <c r="I37" s="17">
        <f>'ПЛАН ЧЕРН ПОДЗЕМ'!B28*СПРАВОЧНИК!$H$3+'ПЛАН ЧЕРН ПОДЗЕМ'!C28*СПРАВОЧНИК!$I$3+'ПЛАН ЧЕРН ПОДЗЕМ'!D28*СПРАВОЧНИК!$J$3+'ПЛАН ЧЕРН ПОДЗЕМ'!E28*СПРАВОЧНИК!$H$4+'ПЛАН ЧЕРН ПОДЗЕМ'!F28*СПРАВОЧНИК!$I$4+'ПЛАН ЧЕРН ПОДЗЕМ'!G28*СПРАВОЧНИК!$J$4+'ПЛАН ЧЕРН ПОДЗЕМ'!H28*СПРАВОЧНИК!$H$5+'ПЛАН ЧЕРН ПОДЗЕМ'!I28*СПРАВОЧНИК!$I$5+'ПЛАН ЧЕРН ПОДЗЕМ'!J28*СПРАВОЧНИК!$J$5+'ПЛАН ЧЕРН ПОДЗЕМ'!K28*СПРАВОЧНИК!$H$6+'ПЛАН ЧЕРН ПОДЗЕМ'!L28*СПРАВОЧНИК!$I$6+'ПЛАН ЧЕРН ПОДЗЕМ'!M28*СПРАВОЧНИК!$J$6+'ПЛАН ЧЕРН ПОДЗЕМ'!N28*СПРАВОЧНИК!$H$7+'ПЛАН ЧЕРН ПОДЗЕМ'!O28*СПРАВОЧНИК!$I$7+'ПЛАН ЧЕРН ПОДЗЕМ'!P28*СПРАВОЧНИК!$J$7+'ПЛАН ЧЕРН ПОДЗЕМ'!Q28*СПРАВОЧНИК!$H$8+'ПЛАН ЧЕРН ПОДЗЕМ'!R28*СПРАВОЧНИК!$I$8+'ПЛАН ЧЕРН ПОДЗЕМ'!S28*СПРАВОЧНИК!$J$8</f>
        <v/>
      </c>
      <c r="J37" s="31">
        <f>('ФАКТ ЧЕРН ПОДЗЕМ'!B28)*СПРАВОЧНИК!$H$3+('ФАКТ ЧЕРН ПОДЗЕМ'!C28)*СПРАВОЧНИК!$I$3+('ФАКТ ЧЕРН ПОДЗЕМ'!D28)*СПРАВОЧНИК!$J$3+('ФАКТ ЧЕРН ПОДЗЕМ'!E28)*СПРАВОЧНИК!$H$4+('ФАКТ ЧЕРН ПОДЗЕМ'!F28)*СПРАВОЧНИК!$I$4+('ФАКТ ЧЕРН ПОДЗЕМ'!G28)*СПРАВОЧНИК!$J$4+('ФАКТ ЧЕРН ПОДЗЕМ'!H28)*СПРАВОЧНИК!$H$5+('ФАКТ ЧЕРН ПОДЗЕМ'!I28)*СПРАВОЧНИК!$I$5+('ФАКТ ЧЕРН ПОДЗЕМ'!J28)*СПРАВОЧНИК!$J$5+('ФАКТ ЧЕРН ПОДЗЕМ'!K28)*СПРАВОЧНИК!$H$6+('ФАКТ ЧЕРН ПОДЗЕМ'!L28)*СПРАВОЧНИК!$I$6+('ФАКТ ЧЕРН ПОДЗЕМ'!M28)*СПРАВОЧНИК!$J$6+('ФАКТ ЧЕРН ПОДЗЕМ'!N28)*СПРАВОЧНИК!$H$7+('ФАКТ ЧЕРН ПОДЗЕМ'!O28)*СПРАВОЧНИК!$I$7+('ФАКТ ЧЕРН ПОДЗЕМ'!P28)*СПРАВОЧНИК!$J$7+('ФАКТ ЧЕРН ПОДЗЕМ'!Q28)*СПРАВОЧНИК!$H$8+('ФАКТ ЧЕРН ПОДЗЕМ'!R28)*СПРАВОЧНИК!$I$8+('ФАКТ ЧЕРН ПОДЗЕМ'!S28)*СПРАВОЧНИК!$J$8</f>
        <v/>
      </c>
      <c r="K37" s="34" t="n"/>
      <c r="N37" s="152">
        <f>N36+7</f>
        <v/>
      </c>
      <c r="O37" s="17">
        <f>'ПЛАН ЧИСТ ПОДЗЕМ'!B28*СПРАВОЧНИК!$L$3+'ПЛАН ЧИСТ ПОДЗЕМ'!C28*СПРАВОЧНИК!$M$3+'ПЛАН ЧИСТ ПОДЗЕМ'!D28*СПРАВОЧНИК!$N$3+'ПЛАН ЧИСТ ПОДЗЕМ'!E28*СПРАВОЧНИК!$O$3+'ПЛАН ЧИСТ ПОДЗЕМ'!F28*СПРАВОЧНИК!$P$3+'ПЛАН ЧИСТ ПОДЗЕМ'!G28*СПРАВОЧНИК!$L$4+'ПЛАН ЧИСТ ПОДЗЕМ'!H28*СПРАВОЧНИК!$M$4+'ПЛАН ЧИСТ ПОДЗЕМ'!I28*СПРАВОЧНИК!$N$4+'ПЛАН ЧИСТ ПОДЗЕМ'!J28*СПРАВОЧНИК!$O$4+'ПЛАН ЧИСТ ПОДЗЕМ'!K28*СПРАВОЧНИК!$P$4+'ПЛАН ЧИСТ ПОДЗЕМ'!L28*СПРАВОЧНИК!$L$5+'ПЛАН ЧИСТ ПОДЗЕМ'!M28*СПРАВОЧНИК!$M$5+'ПЛАН ЧИСТ ПОДЗЕМ'!N28*СПРАВОЧНИК!$N$5+'ПЛАН ЧИСТ ПОДЗЕМ'!O28*СПРАВОЧНИК!$O$5+'ПЛАН ЧИСТ ПОДЗЕМ'!P28*СПРАВОЧНИК!$P$5+'ПЛАН ЧИСТ ПОДЗЕМ'!Q28*СПРАВОЧНИК!$L$6+'ПЛАН ЧИСТ ПОДЗЕМ'!R28*СПРАВОЧНИК!$M$6+'ПЛАН ЧИСТ ПОДЗЕМ'!S28*СПРАВОЧНИК!$N$6+'ПЛАН ЧИСТ ПОДЗЕМ'!T28*СПРАВОЧНИК!$O$6+'ПЛАН ЧИСТ ПОДЗЕМ'!U28*СПРАВОЧНИК!$P$6+'ПЛАН ЧИСТ ПОДЗЕМ'!V28*СПРАВОЧНИК!$L$7+'ПЛАН ЧИСТ ПОДЗЕМ'!W28*СПРАВОЧНИК!$M$7+'ПЛАН ЧИСТ ПОДЗЕМ'!X28*СПРАВОЧНИК!$N$7+'ПЛАН ЧИСТ ПОДЗЕМ'!Y28*СПРАВОЧНИК!$O$7+'ПЛАН ЧИСТ ПОДЗЕМ'!Z28*СПРАВОЧНИК!$P$7+'ПЛАН ЧИСТ ПОДЗЕМ'!AA28*СПРАВОЧНИК!$L$8+'ПЛАН ЧИСТ ПОДЗЕМ'!AB28*СПРАВОЧНИК!$M$8+'ПЛАН ЧИСТ ПОДЗЕМ'!AC28*СПРАВОЧНИК!$N$8+'ПЛАН ЧИСТ ПОДЗЕМ'!AD28*СПРАВОЧНИК!$O$8+'ПЛАН ЧИСТ ПОДЗЕМ'!AE28*СПРАВОЧНИК!$P$8</f>
        <v/>
      </c>
      <c r="P37" s="31">
        <f>('ФАКТ ЧИСТ ПОДЗЕМ'!B28)*СПРАВОЧНИК!$L$3+('ФАКТ ЧИСТ ПОДЗЕМ'!C28)*СПРАВОЧНИК!$M$3+('ФАКТ ЧИСТ ПОДЗЕМ'!D28)*СПРАВОЧНИК!$N$3+('ФАКТ ЧИСТ ПОДЗЕМ'!E28)*СПРАВОЧНИК!$O$3+('ФАКТ ЧИСТ ПОДЗЕМ'!F28)*СПРАВОЧНИК!$P$3+('ФАКТ ЧИСТ ПОДЗЕМ'!G28)*СПРАВОЧНИК!$L$4+('ФАКТ ЧИСТ ПОДЗЕМ'!H28)*СПРАВОЧНИК!$M$4+('ФАКТ ЧИСТ ПОДЗЕМ'!I28)*СПРАВОЧНИК!$N$4+('ФАКТ ЧИСТ ПОДЗЕМ'!J28)*СПРАВОЧНИК!$O$4+('ФАКТ ЧИСТ ПОДЗЕМ'!K28)*СПРАВОЧНИК!$P$4+('ФАКТ ЧИСТ ПОДЗЕМ'!L28)*СПРАВОЧНИК!$L$5+('ФАКТ ЧИСТ ПОДЗЕМ'!M28)*СПРАВОЧНИК!$M$5+('ФАКТ ЧИСТ ПОДЗЕМ'!N28)*СПРАВОЧНИК!$N$5+('ФАКТ ЧИСТ ПОДЗЕМ'!O28)*СПРАВОЧНИК!$O$5+('ФАКТ ЧИСТ ПОДЗЕМ'!P28)*СПРАВОЧНИК!$P$5+('ФАКТ ЧИСТ ПОДЗЕМ'!Q28)*СПРАВОЧНИК!$L$6+('ФАКТ ЧИСТ ПОДЗЕМ'!R28)*СПРАВОЧНИК!$M$6+('ФАКТ ЧИСТ ПОДЗЕМ'!S28)*СПРАВОЧНИК!$N$6+('ФАКТ ЧИСТ ПОДЗЕМ'!T28)*СПРАВОЧНИК!$O$6+('ФАКТ ЧИСТ ПОДЗЕМ'!U28)*СПРАВОЧНИК!$P$6+('ФАКТ ЧИСТ ПОДЗЕМ'!V28)*СПРАВОЧНИК!$L$7+('ФАКТ ЧИСТ ПОДЗЕМ'!W28)*СПРАВОЧНИК!$M$7+('ФАКТ ЧИСТ ПОДЗЕМ'!X28)*СПРАВОЧНИК!$N$7+('ФАКТ ЧИСТ ПОДЗЕМ'!Y28)*СПРАВОЧНИК!$O$7+('ФАКТ ЧИСТ ПОДЗЕМ'!Z28)*СПРАВОЧНИК!$P$7+('ФАКТ ЧИСТ ПОДЗЕМ'!AA28)*СПРАВОЧНИК!$L$8+('ФАКТ ЧИСТ ПОДЗЕМ'!AB28)*СПРАВОЧНИК!$M$8+('ФАКТ ЧИСТ ПОДЗЕМ'!AC28)*СПРАВОЧНИК!$N$8+('ФАКТ ЧИСТ ПОДЗЕМ'!AD28)*СПРАВОЧНИК!$O$8+('ФАКТ ЧИСТ ПОДЗЕМ'!AE28)*СПРАВОЧНИК!$P$8</f>
        <v/>
      </c>
      <c r="Q37" s="34" t="n"/>
      <c r="T37" s="152">
        <f>T36+7</f>
        <v/>
      </c>
      <c r="U37" s="17">
        <f>СПРАВОЧНИК!$E$9*('ПЛАН ЧЕРН К1'!B28*СПРАВОЧНИК!$H$9+'ПЛАН ЧЕРН К1'!C28*СПРАВОЧНИК!$I$9+'ПЛАН ЧЕРН К1'!D28*СПРАВОЧНИК!$J$9)+СПРАВОЧНИК!$F$9*('ПЛАН ЧИСТ К1'!B28*СПРАВОЧНИК!$L$9+'ПЛАН ЧИСТ К1'!C28*СПРАВОЧНИК!$M$9+'ПЛАН ЧИСТ К1'!D28*СПРАВОЧНИК!$N$9+'ПЛАН ЧИСТ К1'!E28*СПРАВОЧНИК!$O$9+'ПЛАН ЧИСТ К1'!F28*СПРАВОЧНИК!$P$9)+СПРАВОЧНИК!$E$10*('ПЛАН ЧЕРН К1'!E28*СПРАВОЧНИК!$H$10+'ПЛАН ЧЕРН К1'!F28*СПРАВОЧНИК!$I$10+'ПЛАН ЧЕРН К1'!G28*СПРАВОЧНИК!$J$10)+СПРАВОЧНИК!$F$10*('ПЛАН ЧИСТ К1'!G28*СПРАВОЧНИК!$L$10+'ПЛАН ЧИСТ К1'!H28*СПРАВОЧНИК!$M$10+'ПЛАН ЧИСТ К1'!I28*СПРАВОЧНИК!$N$10+'ПЛАН ЧИСТ К1'!J28*СПРАВОЧНИК!$O$10+'ПЛАН ЧИСТ К1'!K28*СПРАВОЧНИК!$P$10)+СПРАВОЧНИК!$E$11*('ПЛАН ЧЕРН К1'!H28*СПРАВОЧНИК!$H$11+'ПЛАН ЧЕРН К1'!I28*СПРАВОЧНИК!$I$11+'ПЛАН ЧЕРН К1'!J28*СПРАВОЧНИК!$J$11)+СПРАВОЧНИК!$F$11*('ПЛАН ЧИСТ К1'!L28*СПРАВОЧНИК!$L$11+'ПЛАН ЧИСТ К1'!M28*СПРАВОЧНИК!$M$11+'ПЛАН ЧИСТ К1'!N28*СПРАВОЧНИК!$N$11+'ПЛАН ЧИСТ К1'!O28*СПРАВОЧНИК!$O$11+'ПЛАН ЧИСТ К1'!P28*СПРАВОЧНИК!$P$11)+СПРАВОЧНИК!$E$12*('ПЛАН ЧЕРН К1'!K28*СПРАВОЧНИК!$H$12+'ПЛАН ЧЕРН К1'!L28*СПРАВОЧНИК!$I$12+'ПЛАН ЧЕРН К1'!M28*СПРАВОЧНИК!$J$12)+СПРАВОЧНИК!$F$12*('ПЛАН ЧИСТ К1'!Q28*СПРАВОЧНИК!$L$12+'ПЛАН ЧИСТ К1'!R28*СПРАВОЧНИК!$M$12+'ПЛАН ЧИСТ К1'!S28*СПРАВОЧНИК!$N$12+'ПЛАН ЧИСТ К1'!T28*СПРАВОЧНИК!$O$12+'ПЛАН ЧИСТ К1'!U28*СПРАВОЧНИК!$P$12)+СПРАВОЧНИК!$E$13*('ПЛАН ЧЕРН К1'!N28*СПРАВОЧНИК!$H$13+'ПЛАН ЧЕРН К1'!O28*СПРАВОЧНИК!$I$13+'ПЛАН ЧЕРН К1'!P28*СПРАВОЧНИК!$J$13)+СПРАВОЧНИК!$F$13*('ПЛАН ЧИСТ К1'!V28*СПРАВОЧНИК!$L$13+'ПЛАН ЧИСТ К1'!W28*СПРАВОЧНИК!$M$13+'ПЛАН ЧИСТ К1'!X28*СПРАВОЧНИК!$N$13+'ПЛАН ЧИСТ К1'!Y28*СПРАВОЧНИК!$O$13+'ПЛАН ЧИСТ К1'!Z28*СПРАВОЧНИК!$P$13)+СПРАВОЧНИК!$E$14*('ПЛАН ЧЕРН К1'!Q28*СПРАВОЧНИК!$H$14+'ПЛАН ЧЕРН К1'!R28*СПРАВОЧНИК!$I$14+'ПЛАН ЧЕРН К1'!S28*СПРАВОЧНИК!$J$14)+СПРАВОЧНИК!$F$14*('ПЛАН ЧИСТ К1'!AA28*СПРАВОЧНИК!$L$14+'ПЛАН ЧИСТ К1'!AB28*СПРАВОЧНИК!$M$14+'ПЛАН ЧИСТ К1'!AC28*СПРАВОЧНИК!$N$14+'ПЛАН ЧИСТ К1'!AD28*СПРАВОЧНИК!$O$14+'ПЛАН ЧИСТ К1'!AE28*СПРАВОЧНИК!$P$14)+СПРАВОЧНИК!$E$15*('ПЛАН ЧЕРН К1'!T28*СПРАВОЧНИК!$H$15+'ПЛАН ЧЕРН К1'!U28*СПРАВОЧНИК!$I$15+'ПЛАН ЧЕРН К1'!V28*СПРАВОЧНИК!$J$15)+СПРАВОЧНИК!$F$15*('ПЛАН ЧИСТ К1'!AF28*СПРАВОЧНИК!$L$15+'ПЛАН ЧИСТ К1'!AG28*СПРАВОЧНИК!$M$15+'ПЛАН ЧИСТ К1'!AH28*СПРАВОЧНИК!$N$15+'ПЛАН ЧИСТ К1'!AI28*СПРАВОЧНИК!$O$15+'ПЛАН ЧИСТ К1'!AJ28*СПРАВОЧНИК!$P$15)</f>
        <v/>
      </c>
      <c r="V37" s="31">
        <f>СПРАВОЧНИК!$E$9*('ФАКТ ЧЕРН К1'!B28*СПРАВОЧНИК!$H$9+'ФАКТ ЧЕРН К1'!C28*СПРАВОЧНИК!$I$9+'ФАКТ ЧЕРН К1'!D28*СПРАВОЧНИК!$J$9)+СПРАВОЧНИК!$F$9*('ФАКТ ЧИСТ К1'!B28*СПРАВОЧНИК!$L$9+'ФАКТ ЧИСТ К1'!C28*СПРАВОЧНИК!$M$9+'ФАКТ ЧИСТ К1'!D28*СПРАВОЧНИК!$N$9+'ФАКТ ЧИСТ К1'!E28*СПРАВОЧНИК!$O$9+'ФАКТ ЧИСТ К1'!F28*СПРАВОЧНИК!$P$9)+СПРАВОЧНИК!$E$10*('ФАКТ ЧЕРН К1'!E28*СПРАВОЧНИК!$H$10+'ФАКТ ЧЕРН К1'!F28*СПРАВОЧНИК!$I$10+'ФАКТ ЧЕРН К1'!G28*СПРАВОЧНИК!$J$10)+СПРАВОЧНИК!$F$10*('ФАКТ ЧИСТ К1'!G28*СПРАВОЧНИК!$L$10+'ФАКТ ЧИСТ К1'!H28*СПРАВОЧНИК!$M$10+'ФАКТ ЧИСТ К1'!I28*СПРАВОЧНИК!$N$10+'ФАКТ ЧИСТ К1'!J28*СПРАВОЧНИК!$O$10+'ФАКТ ЧИСТ К1'!K28*СПРАВОЧНИК!$P$10)+СПРАВОЧНИК!$E$11*('ФАКТ ЧЕРН К1'!H28*СПРАВОЧНИК!$H$11+'ФАКТ ЧЕРН К1'!I28*СПРАВОЧНИК!$I$11+'ФАКТ ЧЕРН К1'!J28*СПРАВОЧНИК!$J$11)+СПРАВОЧНИК!$F$11*('ФАКТ ЧИСТ К1'!L28*СПРАВОЧНИК!$L$11+'ФАКТ ЧИСТ К1'!M28*СПРАВОЧНИК!$M$11+'ФАКТ ЧИСТ К1'!N28*СПРАВОЧНИК!$N$11+'ФАКТ ЧИСТ К1'!O28*СПРАВОЧНИК!$O$11+'ФАКТ ЧИСТ К1'!P28*СПРАВОЧНИК!$P$11)+СПРАВОЧНИК!$E$12*('ФАКТ ЧЕРН К1'!K28*СПРАВОЧНИК!$H$12+'ФАКТ ЧЕРН К1'!L28*СПРАВОЧНИК!$I$12+'ФАКТ ЧЕРН К1'!M28*СПРАВОЧНИК!$J$12)+СПРАВОЧНИК!$F$12*('ФАКТ ЧИСТ К1'!Q28*СПРАВОЧНИК!$L$12+'ФАКТ ЧИСТ К1'!R28*СПРАВОЧНИК!$M$12+'ФАКТ ЧИСТ К1'!S28*СПРАВОЧНИК!$N$12+'ФАКТ ЧИСТ К1'!T28*СПРАВОЧНИК!$O$12+'ФАКТ ЧИСТ К1'!U28*СПРАВОЧНИК!$P$12)+СПРАВОЧНИК!$E$13*('ФАКТ ЧЕРН К1'!N28*СПРАВОЧНИК!$H$13+'ФАКТ ЧЕРН К1'!O28*СПРАВОЧНИК!$I$13+'ФАКТ ЧЕРН К1'!P28*СПРАВОЧНИК!$J$13)+СПРАВОЧНИК!$F$13*('ФАКТ ЧИСТ К1'!V28*СПРАВОЧНИК!$L$13+'ФАКТ ЧИСТ К1'!W28*СПРАВОЧНИК!$M$13+'ФАКТ ЧИСТ К1'!X28*СПРАВОЧНИК!$N$13+'ФАКТ ЧИСТ К1'!Y28*СПРАВОЧНИК!$O$13+'ФАКТ ЧИСТ К1'!Z28*СПРАВОЧНИК!$P$13)+СПРАВОЧНИК!$E$14*('ФАКТ ЧЕРН К1'!Q28*СПРАВОЧНИК!$H$14+'ФАКТ ЧЕРН К1'!R28*СПРАВОЧНИК!$I$14+'ФАКТ ЧЕРН К1'!S28*СПРАВОЧНИК!$J$14)+СПРАВОЧНИК!$F$14*('ФАКТ ЧИСТ К1'!AA28*СПРАВОЧНИК!$L$14+'ФАКТ ЧИСТ К1'!AB28*СПРАВОЧНИК!$M$14+'ФАКТ ЧИСТ К1'!AC28*СПРАВОЧНИК!$N$14+'ФАКТ ЧИСТ К1'!AD28*СПРАВОЧНИК!$O$14+'ФАКТ ЧИСТ К1'!AE28*СПРАВОЧНИК!$P$14)+СПРАВОЧНИК!$E$15*('ФАКТ ЧЕРН К1'!T28*СПРАВОЧНИК!$H$15+'ФАКТ ЧЕРН К1'!U28*СПРАВОЧНИК!$I$15+'ФАКТ ЧЕРН К1'!V28*СПРАВОЧНИК!$J$15)+СПРАВОЧНИК!$F$15*('ФАКТ ЧИСТ К1'!AF28*СПРАВОЧНИК!$L$15+'ФАКТ ЧИСТ К1'!AG28*СПРАВОЧНИК!$M$15+'ФАКТ ЧИСТ К1'!AH28*СПРАВОЧНИК!$N$15+'ФАКТ ЧИСТ К1'!AI28*СПРАВОЧНИК!$O$15+'ФАКТ ЧИСТ К1'!AJ28*СПРАВОЧНИК!$P$15)</f>
        <v/>
      </c>
      <c r="W37" s="34" t="n"/>
      <c r="Z37" s="152">
        <f>Z36+7</f>
        <v/>
      </c>
      <c r="AA37" s="17">
        <f>'ПЛАН ЧЕРН К1'!B28*СПРАВОЧНИК!$H$9+'ПЛАН ЧЕРН К1'!C28*СПРАВОЧНИК!$I$9+'ПЛАН ЧЕРН К1'!D28*СПРАВОЧНИК!$J$9+'ПЛАН ЧЕРН К1'!E28*СПРАВОЧНИК!$H$10+'ПЛАН ЧЕРН К1'!F28*СПРАВОЧНИК!$I$10+'ПЛАН ЧЕРН К1'!G28*СПРАВОЧНИК!$J$10+'ПЛАН ЧЕРН К1'!H28*СПРАВОЧНИК!$H$11+'ПЛАН ЧЕРН К1'!I28*СПРАВОЧНИК!$I$11+'ПЛАН ЧЕРН К1'!J28*СПРАВОЧНИК!$J$11+'ПЛАН ЧЕРН К1'!K28*СПРАВОЧНИК!$H$12+'ПЛАН ЧЕРН К1'!L28*СПРАВОЧНИК!$I$12+'ПЛАН ЧЕРН К1'!M28*СПРАВОЧНИК!$J$12+'ПЛАН ЧЕРН К1'!N28*СПРАВОЧНИК!$H$13+'ПЛАН ЧЕРН К1'!O28*СПРАВОЧНИК!$I$13+'ПЛАН ЧЕРН К1'!P28*СПРАВОЧНИК!$J$13+'ПЛАН ЧЕРН К1'!Q28*СПРАВОЧНИК!$H$14+'ПЛАН ЧЕРН К1'!R28*СПРАВОЧНИК!$I$14+'ПЛАН ЧЕРН К1'!S28*СПРАВОЧНИК!$J$14+'ПЛАН ЧЕРН К1'!T28*СПРАВОЧНИК!$H$15+'ПЛАН ЧЕРН К1'!U28*СПРАВОЧНИК!$I$15+'ПЛАН ЧЕРН К1'!V28*СПРАВОЧНИК!$J$15</f>
        <v/>
      </c>
      <c r="AB37" s="31">
        <f>('ФАКТ ЧЕРН К1'!B28)*СПРАВОЧНИК!$H$9+('ФАКТ ЧЕРН К1'!C28)*СПРАВОЧНИК!$I$9+('ФАКТ ЧЕРН К1'!D28)*СПРАВОЧНИК!$J$9+('ФАКТ ЧЕРН К1'!E28)*СПРАВОЧНИК!$H$10+('ФАКТ ЧЕРН К1'!F28)*СПРАВОЧНИК!$I$10+('ФАКТ ЧЕРН К1'!G28)*СПРАВОЧНИК!$J$10+('ФАКТ ЧЕРН К1'!H28)*СПРАВОЧНИК!$H$11+('ФАКТ ЧЕРН К1'!I28)*СПРАВОЧНИК!$I$11+('ФАКТ ЧЕРН К1'!J28)*СПРАВОЧНИК!$J$11+('ФАКТ ЧЕРН К1'!K28)*СПРАВОЧНИК!$H$12+('ФАКТ ЧЕРН К1'!L28)*СПРАВОЧНИК!$I$12+('ФАКТ ЧЕРН К1'!M28)*СПРАВОЧНИК!$J$12+('ФАКТ ЧЕРН К1'!N28)*СПРАВОЧНИК!$H$13+('ФАКТ ЧЕРН К1'!O28)*СПРАВОЧНИК!$I$13+('ФАКТ ЧЕРН К1'!P28)*СПРАВОЧНИК!$J$13+('ФАКТ ЧЕРН К1'!Q28)*СПРАВОЧНИК!$H$14+('ФАКТ ЧЕРН К1'!R28)*СПРАВОЧНИК!$I$14+('ФАКТ ЧЕРН К1'!S28)*СПРАВОЧНИК!$J$14+('ФАКТ ЧЕРН К1'!T28)*СПРАВОЧНИК!$H$15+('ФАКТ ЧЕРН К1'!U28)*СПРАВОЧНИК!$I$15+('ФАКТ ЧЕРН К1'!V28)*СПРАВОЧНИК!$J$15</f>
        <v/>
      </c>
      <c r="AC37" s="34" t="n"/>
      <c r="AF37" s="152">
        <f>AF36+7</f>
        <v/>
      </c>
      <c r="AG37" s="17">
        <f>'ПЛАН ЧИСТ К1'!B28*СПРАВОЧНИК!$L$9+'ПЛАН ЧИСТ К1'!C28*СПРАВОЧНИК!$M$9+'ПЛАН ЧИСТ К1'!D28*СПРАВОЧНИК!$N$9+'ПЛАН ЧИСТ К1'!E28*СПРАВОЧНИК!$O$9+'ПЛАН ЧИСТ К1'!F28*СПРАВОЧНИК!$P$9+'ПЛАН ЧИСТ К1'!G28*СПРАВОЧНИК!$L$10+'ПЛАН ЧИСТ К1'!H28*СПРАВОЧНИК!$M$10+'ПЛАН ЧИСТ К1'!I28*СПРАВОЧНИК!$N$10+'ПЛАН ЧИСТ К1'!J28*СПРАВОЧНИК!$O$10+'ПЛАН ЧИСТ К1'!K28*СПРАВОЧНИК!$P$10+'ПЛАН ЧИСТ К1'!L28*СПРАВОЧНИК!$L$11+'ПЛАН ЧИСТ К1'!M28*СПРАВОЧНИК!$M$11+'ПЛАН ЧИСТ К1'!N28*СПРАВОЧНИК!$N$11+'ПЛАН ЧИСТ К1'!O28*СПРАВОЧНИК!$O$11+'ПЛАН ЧИСТ К1'!P28*СПРАВОЧНИК!$P$11+'ПЛАН ЧИСТ К1'!Q28*СПРАВОЧНИК!$L$12+'ПЛАН ЧИСТ К1'!R28*СПРАВОЧНИК!$M$12+'ПЛАН ЧИСТ К1'!S28*СПРАВОЧНИК!$N$12+'ПЛАН ЧИСТ К1'!T28*СПРАВОЧНИК!$O$12+'ПЛАН ЧИСТ К1'!U28*СПРАВОЧНИК!$P$12+'ПЛАН ЧИСТ К1'!V28*СПРАВОЧНИК!$L$13+'ПЛАН ЧИСТ К1'!W28*СПРАВОЧНИК!$M$13+'ПЛАН ЧИСТ К1'!X28*СПРАВОЧНИК!$N$13+'ПЛАН ЧИСТ К1'!Y28*СПРАВОЧНИК!$O$13+'ПЛАН ЧИСТ К1'!Z28*СПРАВОЧНИК!$P$13+'ПЛАН ЧИСТ К1'!AA28*СПРАВОЧНИК!$L$14+'ПЛАН ЧИСТ К1'!AB28*СПРАВОЧНИК!$M$14+'ПЛАН ЧИСТ К1'!AC28*СПРАВОЧНИК!$N$14+'ПЛАН ЧИСТ К1'!AD28*СПРАВОЧНИК!$O$14+'ПЛАН ЧИСТ К1'!AE28*СПРАВОЧНИК!$P$14+'ПЛАН ЧИСТ К1'!AF28*СПРАВОЧНИК!$L$15+'ПЛАН ЧИСТ К1'!AG28*СПРАВОЧНИК!$M$15+'ПЛАН ЧИСТ К1'!AH28*СПРАВОЧНИК!$N$15+'ПЛАН ЧИСТ К1'!AI28*СПРАВОЧНИК!$O$15+'ПЛАН ЧИСТ К1'!AJ28*СПРАВОЧНИК!$P$15</f>
        <v/>
      </c>
      <c r="AH37" s="31">
        <f>('ФАКТ ЧИСТ К1'!B28)*СПРАВОЧНИК!$L$9+('ФАКТ ЧИСТ К1'!C28)*СПРАВОЧНИК!$M$9+('ФАКТ ЧИСТ К1'!D28)*СПРАВОЧНИК!$N$9+('ФАКТ ЧИСТ К1'!E28)*СПРАВОЧНИК!$O$9+('ФАКТ ЧИСТ К1'!F28)*СПРАВОЧНИК!$P$9+('ФАКТ ЧИСТ К1'!G28)*СПРАВОЧНИК!$L$10+('ФАКТ ЧИСТ К1'!H28)*СПРАВОЧНИК!$M$10+('ФАКТ ЧИСТ К1'!I28)*СПРАВОЧНИК!$N$10+('ФАКТ ЧИСТ К1'!J28)*СПРАВОЧНИК!$O$10+('ФАКТ ЧИСТ К1'!K28)*СПРАВОЧНИК!$P$10+('ФАКТ ЧИСТ К1'!L28)*СПРАВОЧНИК!$L$11+('ФАКТ ЧИСТ К1'!M28)*СПРАВОЧНИК!$M$11+('ФАКТ ЧИСТ К1'!N28)*СПРАВОЧНИК!$N$11+('ФАКТ ЧИСТ К1'!O28)*СПРАВОЧНИК!$O$11+('ФАКТ ЧИСТ К1'!P28)*СПРАВОЧНИК!$P$11+('ФАКТ ЧИСТ К1'!Q28)*СПРАВОЧНИК!$L$12+('ФАКТ ЧИСТ К1'!R28)*СПРАВОЧНИК!$M$12+('ФАКТ ЧИСТ К1'!S28)*СПРАВОЧНИК!$N$12+('ФАКТ ЧИСТ К1'!T28)*СПРАВОЧНИК!$O$12+('ФАКТ ЧИСТ К1'!U28)*СПРАВОЧНИК!$P$12+('ФАКТ ЧИСТ К1'!V28)*СПРАВОЧНИК!$L$13+('ФАКТ ЧИСТ К1'!W28)*СПРАВОЧНИК!$M$13+('ФАКТ ЧИСТ К1'!X28)*СПРАВОЧНИК!$N$13+('ФАКТ ЧИСТ К1'!Y28)*СПРАВОЧНИК!$O$13+('ФАКТ ЧИСТ К1'!Z28)*СПРАВОЧНИК!$P$13+('ФАКТ ЧИСТ К1'!AA28)*СПРАВОЧНИК!$L$14+('ФАКТ ЧИСТ К1'!AB28)*СПРАВОЧНИК!$M$14+('ФАКТ ЧИСТ К1'!AC28)*СПРАВОЧНИК!$N$14+('ФАКТ ЧИСТ К1'!AD28)*СПРАВОЧНИК!$O$14+('ФАКТ ЧИСТ К1'!AE28)*СПРАВОЧНИК!$P$14+('ФАКТ ЧИСТ К1'!AF28)*СПРАВОЧНИК!$L$15+('ФАКТ ЧИСТ К1'!AG28)*СПРАВОЧНИК!$M$15+('ФАКТ ЧИСТ К1'!AH28)*СПРАВОЧНИК!$N$15+('ФАКТ ЧИСТ К1'!AI28)*СПРАВОЧНИК!$O$15+('ФАКТ ЧИСТ К1'!AJ28)*СПРАВОЧНИК!$P$15</f>
        <v/>
      </c>
      <c r="AI37" s="34" t="n"/>
      <c r="AL37" s="152">
        <f>AL36+7</f>
        <v/>
      </c>
      <c r="AM37" s="17">
        <f>СПРАВОЧНИК!$E$9*('ПЛАН ЧЕРН К2'!B28*СПРАВОЧНИК!$H$9+'ПЛАН ЧЕРН К2'!C28*СПРАВОЧНИК!$I$9+'ПЛАН ЧЕРН К2'!D28*СПРАВОЧНИК!$J$9)+СПРАВОЧНИК!$F$9*('ПЛАН ЧИСТ К2'!B28*СПРАВОЧНИК!$L$9+'ПЛАН ЧИСТ К2'!C28*СПРАВОЧНИК!$M$9+'ПЛАН ЧИСТ К2'!D28*СПРАВОЧНИК!$N$9+'ПЛАН ЧИСТ К2'!E28*СПРАВОЧНИК!$O$9+'ПЛАН ЧИСТ К2'!F28*СПРАВОЧНИК!$P$9)+СПРАВОЧНИК!$E$10*('ПЛАН ЧЕРН К2'!E28*СПРАВОЧНИК!$H$10+'ПЛАН ЧЕРН К2'!F28*СПРАВОЧНИК!$I$10+'ПЛАН ЧЕРН К2'!G28*СПРАВОЧНИК!$J$10)+СПРАВОЧНИК!$F$10*('ПЛАН ЧИСТ К2'!G28*СПРАВОЧНИК!$L$10+'ПЛАН ЧИСТ К2'!H28*СПРАВОЧНИК!$M$10+'ПЛАН ЧИСТ К2'!I28*СПРАВОЧНИК!$N$10+'ПЛАН ЧИСТ К2'!J28*СПРАВОЧНИК!$O$10+'ПЛАН ЧИСТ К2'!K28*СПРАВОЧНИК!$P$10)+СПРАВОЧНИК!$E$11*('ПЛАН ЧЕРН К2'!H28*СПРАВОЧНИК!$H$11+'ПЛАН ЧЕРН К2'!I28*СПРАВОЧНИК!$I$11+'ПЛАН ЧЕРН К2'!J28*СПРАВОЧНИК!$J$11)+СПРАВОЧНИК!$F$11*('ПЛАН ЧИСТ К2'!L28*СПРАВОЧНИК!$L$11+'ПЛАН ЧИСТ К2'!M28*СПРАВОЧНИК!$M$11+'ПЛАН ЧИСТ К2'!N28*СПРАВОЧНИК!$N$11+'ПЛАН ЧИСТ К2'!O28*СПРАВОЧНИК!$O$11+'ПЛАН ЧИСТ К2'!P28*СПРАВОЧНИК!$P$11)+СПРАВОЧНИК!$E$12*('ПЛАН ЧЕРН К2'!K28*СПРАВОЧНИК!$H$12+'ПЛАН ЧЕРН К2'!L28*СПРАВОЧНИК!$I$12+'ПЛАН ЧЕРН К2'!M28*СПРАВОЧНИК!$J$12)+СПРАВОЧНИК!$F$12*('ПЛАН ЧИСТ К2'!Q28*СПРАВОЧНИК!$L$12+'ПЛАН ЧИСТ К2'!R28*СПРАВОЧНИК!$M$12+'ПЛАН ЧИСТ К2'!S28*СПРАВОЧНИК!$N$12+'ПЛАН ЧИСТ К2'!T28*СПРАВОЧНИК!$O$12+'ПЛАН ЧИСТ К2'!U28*СПРАВОЧНИК!$P$12)+СПРАВОЧНИК!$E$13*('ПЛАН ЧЕРН К2'!N28*СПРАВОЧНИК!$H$13+'ПЛАН ЧЕРН К2'!O28*СПРАВОЧНИК!$I$13+'ПЛАН ЧЕРН К2'!P28*СПРАВОЧНИК!$J$13)+СПРАВОЧНИК!$F$13*('ПЛАН ЧИСТ К2'!V28*СПРАВОЧНИК!$L$13+'ПЛАН ЧИСТ К2'!W28*СПРАВОЧНИК!$M$13+'ПЛАН ЧИСТ К2'!X28*СПРАВОЧНИК!$N$13+'ПЛАН ЧИСТ К2'!Y28*СПРАВОЧНИК!$O$13+'ПЛАН ЧИСТ К2'!Z28*СПРАВОЧНИК!$P$13)+СПРАВОЧНИК!$E$14*('ПЛАН ЧЕРН К2'!Q28*СПРАВОЧНИК!$H$14+'ПЛАН ЧЕРН К2'!R28*СПРАВОЧНИК!$I$14+'ПЛАН ЧЕРН К2'!S28*СПРАВОЧНИК!$J$14)+СПРАВОЧНИК!$F$14*('ПЛАН ЧИСТ К2'!AA28*СПРАВОЧНИК!$L$14+'ПЛАН ЧИСТ К2'!AB28*СПРАВОЧНИК!$M$14+'ПЛАН ЧИСТ К2'!AC28*СПРАВОЧНИК!$N$14+'ПЛАН ЧИСТ К2'!AD28*СПРАВОЧНИК!$O$14+'ПЛАН ЧИСТ К2'!AE28*СПРАВОЧНИК!$P$14)+СПРАВОЧНИК!$E$15*('ПЛАН ЧЕРН К2'!T28*СПРАВОЧНИК!$H$15+'ПЛАН ЧЕРН К2'!U28*СПРАВОЧНИК!$I$15+'ПЛАН ЧЕРН К2'!V28*СПРАВОЧНИК!$J$15)+СПРАВОЧНИК!$F$15*('ПЛАН ЧИСТ К2'!AF28*СПРАВОЧНИК!$L$15+'ПЛАН ЧИСТ К2'!AG28*СПРАВОЧНИК!$M$15+'ПЛАН ЧИСТ К2'!AH28*СПРАВОЧНИК!$N$15+'ПЛАН ЧИСТ К2'!AI28*СПРАВОЧНИК!$O$15+'ПЛАН ЧИСТ К2'!AJ28*СПРАВОЧНИК!$P$15)</f>
        <v/>
      </c>
      <c r="AN37" s="31">
        <f>СПРАВОЧНИК!$E$9*('ФАКТ ЧЕРН К2'!B28*СПРАВОЧНИК!$H$9+'ФАКТ ЧЕРН К2'!C28*СПРАВОЧНИК!$I$9+'ФАКТ ЧЕРН К2'!D28*СПРАВОЧНИК!$J$9)+СПРАВОЧНИК!$F$9*('ФАКТ ЧИСТ К2'!B28*СПРАВОЧНИК!$L$9+'ФАКТ ЧИСТ К2'!C28*СПРАВОЧНИК!$M$9+'ФАКТ ЧИСТ К2'!D28*СПРАВОЧНИК!$N$9+'ФАКТ ЧИСТ К2'!E28*СПРАВОЧНИК!$O$9+'ФАКТ ЧИСТ К2'!F28*СПРАВОЧНИК!$P$9)+СПРАВОЧНИК!$E$10*('ФАКТ ЧЕРН К2'!E28*СПРАВОЧНИК!$H$10+'ФАКТ ЧЕРН К2'!F28*СПРАВОЧНИК!$I$10+'ФАКТ ЧЕРН К2'!G28*СПРАВОЧНИК!$J$10)+СПРАВОЧНИК!$F$10*('ФАКТ ЧИСТ К2'!G28*СПРАВОЧНИК!$L$10+'ФАКТ ЧИСТ К2'!H28*СПРАВОЧНИК!$M$10+'ФАКТ ЧИСТ К2'!I28*СПРАВОЧНИК!$N$10+'ФАКТ ЧИСТ К2'!J28*СПРАВОЧНИК!$O$10+'ФАКТ ЧИСТ К2'!K28*СПРАВОЧНИК!$P$10)+СПРАВОЧНИК!$E$11*('ФАКТ ЧЕРН К2'!H28*СПРАВОЧНИК!$H$11+'ФАКТ ЧЕРН К2'!I28*СПРАВОЧНИК!$I$11+'ФАКТ ЧЕРН К2'!J28*СПРАВОЧНИК!$J$11)+СПРАВОЧНИК!$F$11*('ФАКТ ЧИСТ К2'!L28*СПРАВОЧНИК!$L$11+'ФАКТ ЧИСТ К2'!M28*СПРАВОЧНИК!$M$11+'ФАКТ ЧИСТ К2'!N28*СПРАВОЧНИК!$N$11+'ФАКТ ЧИСТ К2'!O28*СПРАВОЧНИК!$O$11+'ФАКТ ЧИСТ К2'!P28*СПРАВОЧНИК!$P$11)+СПРАВОЧНИК!$E$12*('ФАКТ ЧЕРН К2'!K28*СПРАВОЧНИК!$H$12+'ФАКТ ЧЕРН К2'!L28*СПРАВОЧНИК!$I$12+'ФАКТ ЧЕРН К2'!M28*СПРАВОЧНИК!$J$12)+СПРАВОЧНИК!$F$12*('ФАКТ ЧИСТ К2'!Q28*СПРАВОЧНИК!$L$12+'ФАКТ ЧИСТ К2'!R28*СПРАВОЧНИК!$M$12+'ФАКТ ЧИСТ К2'!S28*СПРАВОЧНИК!$N$12+'ФАКТ ЧИСТ К2'!T28*СПРАВОЧНИК!$O$12+'ФАКТ ЧИСТ К2'!U28*СПРАВОЧНИК!$P$12)+СПРАВОЧНИК!$E$13*('ФАКТ ЧЕРН К2'!N28*СПРАВОЧНИК!$H$13+'ФАКТ ЧЕРН К2'!O28*СПРАВОЧНИК!$I$13+'ФАКТ ЧЕРН К2'!P28*СПРАВОЧНИК!$J$13)+СПРАВОЧНИК!$F$13*('ФАКТ ЧИСТ К2'!V28*СПРАВОЧНИК!$L$13+'ФАКТ ЧИСТ К2'!W28*СПРАВОЧНИК!$M$13+'ФАКТ ЧИСТ К2'!X28*СПРАВОЧНИК!$N$13+'ФАКТ ЧИСТ К2'!Y28*СПРАВОЧНИК!$O$13+'ФАКТ ЧИСТ К2'!Z28*СПРАВОЧНИК!$P$13)+СПРАВОЧНИК!$E$14*('ФАКТ ЧЕРН К2'!Q28*СПРАВОЧНИК!$H$14+'ФАКТ ЧЕРН К2'!R28*СПРАВОЧНИК!$I$14+'ФАКТ ЧЕРН К2'!S28*СПРАВОЧНИК!$J$14)+СПРАВОЧНИК!$F$14*('ФАКТ ЧИСТ К2'!AA28*СПРАВОЧНИК!$L$14+'ФАКТ ЧИСТ К2'!AB28*СПРАВОЧНИК!$M$14+'ФАКТ ЧИСТ К2'!AC28*СПРАВОЧНИК!$N$14+'ФАКТ ЧИСТ К2'!AD28*СПРАВОЧНИК!$O$14+'ФАКТ ЧИСТ К2'!AE28*СПРАВОЧНИК!$P$14)+СПРАВОЧНИК!$E$15*('ФАКТ ЧЕРН К2'!T28*СПРАВОЧНИК!$H$15+'ФАКТ ЧЕРН К2'!U28*СПРАВОЧНИК!$I$15+'ФАКТ ЧЕРН К2'!V28*СПРАВОЧНИК!$J$15)+СПРАВОЧНИК!$F$15*('ФАКТ ЧИСТ К2'!AF28*СПРАВОЧНИК!$L$15+'ФАКТ ЧИСТ К2'!AG28*СПРАВОЧНИК!$M$15+'ФАКТ ЧИСТ К2'!AH28*СПРАВОЧНИК!$N$15+'ФАКТ ЧИСТ К2'!AI28*СПРАВОЧНИК!$O$15+'ФАКТ ЧИСТ К2'!AJ28*СПРАВОЧНИК!$P$15)</f>
        <v/>
      </c>
      <c r="AO37" s="34" t="n"/>
      <c r="AR37" s="152">
        <f>AR36+7</f>
        <v/>
      </c>
      <c r="AS37" s="17">
        <f>'ПЛАН ЧЕРН К2'!B28*СПРАВОЧНИК!$H$9+'ПЛАН ЧЕРН К2'!C28*СПРАВОЧНИК!$I$9+'ПЛАН ЧЕРН К2'!D28*СПРАВОЧНИК!$J$9+'ПЛАН ЧЕРН К2'!E28*СПРАВОЧНИК!$H$10+'ПЛАН ЧЕРН К2'!F28*СПРАВОЧНИК!$I$10+'ПЛАН ЧЕРН К2'!G28*СПРАВОЧНИК!$J$10+'ПЛАН ЧЕРН К2'!H28*СПРАВОЧНИК!$H$11+'ПЛАН ЧЕРН К2'!I28*СПРАВОЧНИК!$I$11+'ПЛАН ЧЕРН К2'!J28*СПРАВОЧНИК!$J$11+'ПЛАН ЧЕРН К2'!K28*СПРАВОЧНИК!$H$12+'ПЛАН ЧЕРН К2'!L28*СПРАВОЧНИК!$I$12+'ПЛАН ЧЕРН К2'!M28*СПРАВОЧНИК!$J$12+'ПЛАН ЧЕРН К2'!N28*СПРАВОЧНИК!$H$13+'ПЛАН ЧЕРН К2'!O28*СПРАВОЧНИК!$I$13+'ПЛАН ЧЕРН К2'!P28*СПРАВОЧНИК!$J$13+'ПЛАН ЧЕРН К2'!Q28*СПРАВОЧНИК!$H$14+'ПЛАН ЧЕРН К2'!R28*СПРАВОЧНИК!$I$14+'ПЛАН ЧЕРН К2'!S28*СПРАВОЧНИК!$J$14+'ПЛАН ЧЕРН К2'!T28*СПРАВОЧНИК!$H$15+'ПЛАН ЧЕРН К2'!U28*СПРАВОЧНИК!$I$15+'ПЛАН ЧЕРН К2'!V28*СПРАВОЧНИК!$J$15</f>
        <v/>
      </c>
      <c r="AT37" s="31">
        <f>('ФАКТ ЧЕРН К2'!B28)*СПРАВОЧНИК!$H$9+('ФАКТ ЧЕРН К2'!C28)*СПРАВОЧНИК!$I$9+('ФАКТ ЧЕРН К2'!D28)*СПРАВОЧНИК!$J$9+('ФАКТ ЧЕРН К2'!E28)*СПРАВОЧНИК!$H$10+('ФАКТ ЧЕРН К2'!F28)*СПРАВОЧНИК!$I$10+('ФАКТ ЧЕРН К2'!G28)*СПРАВОЧНИК!$J$10+('ФАКТ ЧЕРН К2'!H28)*СПРАВОЧНИК!$H$11+('ФАКТ ЧЕРН К2'!I28)*СПРАВОЧНИК!$I$11+('ФАКТ ЧЕРН К2'!J28)*СПРАВОЧНИК!$J$11+('ФАКТ ЧЕРН К2'!K28)*СПРАВОЧНИК!$H$12+('ФАКТ ЧЕРН К2'!L28)*СПРАВОЧНИК!$I$12+('ФАКТ ЧЕРН К2'!M28)*СПРАВОЧНИК!$J$12+('ФАКТ ЧЕРН К2'!N28)*СПРАВОЧНИК!$H$13+('ФАКТ ЧЕРН К2'!O28)*СПРАВОЧНИК!$I$13+('ФАКТ ЧЕРН К2'!P28)*СПРАВОЧНИК!$J$13+('ФАКТ ЧЕРН К2'!Q28)*СПРАВОЧНИК!$H$14+('ФАКТ ЧЕРН К2'!R28)*СПРАВОЧНИК!$I$14+('ФАКТ ЧЕРН К2'!S28)*СПРАВОЧНИК!$J$14+('ФАКТ ЧЕРН К2'!T28)*СПРАВОЧНИК!$H$15+('ФАКТ ЧЕРН К2'!U28)*СПРАВОЧНИК!$I$15+('ФАКТ ЧЕРН К2'!V28)*СПРАВОЧНИК!$J$15</f>
        <v/>
      </c>
      <c r="AU37" s="34" t="n"/>
      <c r="AX37" s="152">
        <f>AX36+7</f>
        <v/>
      </c>
      <c r="AY37" s="17">
        <f>'ПЛАН ЧИСТ К2'!B28*СПРАВОЧНИК!$L$9+'ПЛАН ЧИСТ К2'!C28*СПРАВОЧНИК!$M$9+'ПЛАН ЧИСТ К2'!D28*СПРАВОЧНИК!$N$9+'ПЛАН ЧИСТ К2'!E28*СПРАВОЧНИК!$O$9+'ПЛАН ЧИСТ К2'!F28*СПРАВОЧНИК!$P$9+'ПЛАН ЧИСТ К2'!G28*СПРАВОЧНИК!$L$10+'ПЛАН ЧИСТ К2'!H28*СПРАВОЧНИК!$M$10+'ПЛАН ЧИСТ К2'!I28*СПРАВОЧНИК!$N$10+'ПЛАН ЧИСТ К2'!J28*СПРАВОЧНИК!$O$10+'ПЛАН ЧИСТ К2'!K28*СПРАВОЧНИК!$P$10+'ПЛАН ЧИСТ К2'!L28*СПРАВОЧНИК!$L$11+'ПЛАН ЧИСТ К2'!M28*СПРАВОЧНИК!$M$11+'ПЛАН ЧИСТ К2'!N28*СПРАВОЧНИК!$N$11+'ПЛАН ЧИСТ К2'!O28*СПРАВОЧНИК!$O$11+'ПЛАН ЧИСТ К2'!P28*СПРАВОЧНИК!$P$11+'ПЛАН ЧИСТ К2'!Q28*СПРАВОЧНИК!$L$12+'ПЛАН ЧИСТ К2'!R28*СПРАВОЧНИК!$M$12+'ПЛАН ЧИСТ К2'!S28*СПРАВОЧНИК!$N$12+'ПЛАН ЧИСТ К2'!T28*СПРАВОЧНИК!$O$12+'ПЛАН ЧИСТ К2'!U28*СПРАВОЧНИК!$P$12+'ПЛАН ЧИСТ К2'!V28*СПРАВОЧНИК!$L$13+'ПЛАН ЧИСТ К2'!W28*СПРАВОЧНИК!$M$13+'ПЛАН ЧИСТ К2'!X28*СПРАВОЧНИК!$N$13+'ПЛАН ЧИСТ К2'!Y28*СПРАВОЧНИК!$O$13+'ПЛАН ЧИСТ К2'!Z28*СПРАВОЧНИК!$P$13+'ПЛАН ЧИСТ К2'!AA28*СПРАВОЧНИК!$L$14+'ПЛАН ЧИСТ К2'!AB28*СПРАВОЧНИК!$M$14+'ПЛАН ЧИСТ К2'!AC28*СПРАВОЧНИК!$N$14+'ПЛАН ЧИСТ К2'!AD28*СПРАВОЧНИК!$O$14+'ПЛАН ЧИСТ К2'!AE28*СПРАВОЧНИК!$P$14+'ПЛАН ЧИСТ К2'!AF28*СПРАВОЧНИК!$L$15+'ПЛАН ЧИСТ К2'!AG28*СПРАВОЧНИК!$M$15+'ПЛАН ЧИСТ К2'!AH28*СПРАВОЧНИК!$N$15+'ПЛАН ЧИСТ К2'!AI28*СПРАВОЧНИК!$O$15+'ПЛАН ЧИСТ К2'!AJ28*СПРАВОЧНИК!$P$15</f>
        <v/>
      </c>
      <c r="AZ37" s="31">
        <f>('ФАКТ ЧИСТ К2'!B28)*СПРАВОЧНИК!$L$9+('ФАКТ ЧИСТ К2'!C28)*СПРАВОЧНИК!$M$9+('ФАКТ ЧИСТ К2'!D28)*СПРАВОЧНИК!$N$9+('ФАКТ ЧИСТ К2'!E28)*СПРАВОЧНИК!$O$9+('ФАКТ ЧИСТ К2'!F28)*СПРАВОЧНИК!$P$9+('ФАКТ ЧИСТ К2'!G28)*СПРАВОЧНИК!$L$10+('ФАКТ ЧИСТ К2'!H28)*СПРАВОЧНИК!$M$10+('ФАКТ ЧИСТ К2'!I28)*СПРАВОЧНИК!$N$10+('ФАКТ ЧИСТ К2'!J28)*СПРАВОЧНИК!$O$10+('ФАКТ ЧИСТ К2'!K28)*СПРАВОЧНИК!$P$10+('ФАКТ ЧИСТ К2'!L28)*СПРАВОЧНИК!$L$11+('ФАКТ ЧИСТ К2'!M28)*СПРАВОЧНИК!$M$11+('ФАКТ ЧИСТ К2'!N28)*СПРАВОЧНИК!$N$11+('ФАКТ ЧИСТ К2'!O28)*СПРАВОЧНИК!$O$11+('ФАКТ ЧИСТ К2'!P28)*СПРАВОЧНИК!$P$11+('ФАКТ ЧИСТ К2'!Q28)*СПРАВОЧНИК!$L$12+('ФАКТ ЧИСТ К2'!R28)*СПРАВОЧНИК!$M$12+('ФАКТ ЧИСТ К2'!S28)*СПРАВОЧНИК!$N$12+('ФАКТ ЧИСТ К2'!T28)*СПРАВОЧНИК!$O$12+('ФАКТ ЧИСТ К2'!U28)*СПРАВОЧНИК!$P$12+('ФАКТ ЧИСТ К2'!V28)*СПРАВОЧНИК!$L$13+('ФАКТ ЧИСТ К2'!W28)*СПРАВОЧНИК!$M$13+('ФАКТ ЧИСТ К2'!X28)*СПРАВОЧНИК!$N$13+('ФАКТ ЧИСТ К2'!Y28)*СПРАВОЧНИК!$O$13+('ФАКТ ЧИСТ К2'!Z28)*СПРАВОЧНИК!$P$13+('ФАКТ ЧИСТ К2'!AA28)*СПРАВОЧНИК!$L$14+('ФАКТ ЧИСТ К2'!AB28)*СПРАВОЧНИК!$M$14+('ФАКТ ЧИСТ К2'!AC28)*СПРАВОЧНИК!$N$14+('ФАКТ ЧИСТ К2'!AD28)*СПРАВОЧНИК!$O$14+('ФАКТ ЧИСТ К2'!AE28)*СПРАВОЧНИК!$P$14+('ФАКТ ЧИСТ К2'!AF28)*СПРАВОЧНИК!$L$15+('ФАКТ ЧИСТ К2'!AG28)*СПРАВОЧНИК!$M$15+('ФАКТ ЧИСТ К2'!AH28)*СПРАВОЧНИК!$N$15+('ФАКТ ЧИСТ К2'!AI28)*СПРАВОЧНИК!$O$15+('ФАКТ ЧИСТ К2'!AJ28)*СПРАВОЧНИК!$P$15</f>
        <v/>
      </c>
      <c r="BA37" s="34" t="n"/>
      <c r="BD37" s="152">
        <f>BD36+7</f>
        <v/>
      </c>
      <c r="BE37" s="17">
        <f>СПРАВОЧНИК!$E$9*('ПЛАН ЧЕРН К3'!B28*СПРАВОЧНИК!$H$9+'ПЛАН ЧЕРН К3'!C28*СПРАВОЧНИК!$I$9+'ПЛАН ЧЕРН К3'!D28*СПРАВОЧНИК!$J$9)+СПРАВОЧНИК!$F$9*('ПЛАН ЧИСТ К3'!B28*СПРАВОЧНИК!$L$9+'ПЛАН ЧИСТ К3'!C28*СПРАВОЧНИК!$M$9+'ПЛАН ЧИСТ К3'!D28*СПРАВОЧНИК!$N$9+'ПЛАН ЧИСТ К3'!E28*СПРАВОЧНИК!$O$9+'ПЛАН ЧИСТ К3'!F28*СПРАВОЧНИК!$P$9)+СПРАВОЧНИК!$E$10*('ПЛАН ЧЕРН К3'!E28*СПРАВОЧНИК!$H$10+'ПЛАН ЧЕРН К3'!F28*СПРАВОЧНИК!$I$10+'ПЛАН ЧЕРН К3'!G28*СПРАВОЧНИК!$J$10)+СПРАВОЧНИК!$F$10*('ПЛАН ЧИСТ К3'!G28*СПРАВОЧНИК!$L$10+'ПЛАН ЧИСТ К3'!H28*СПРАВОЧНИК!$M$10+'ПЛАН ЧИСТ К3'!I28*СПРАВОЧНИК!$N$10+'ПЛАН ЧИСТ К3'!J28*СПРАВОЧНИК!$O$10+'ПЛАН ЧИСТ К3'!K28*СПРАВОЧНИК!$P$10)+СПРАВОЧНИК!$E$11*('ПЛАН ЧЕРН К3'!H28*СПРАВОЧНИК!$H$11+'ПЛАН ЧЕРН К3'!I28*СПРАВОЧНИК!$I$11+'ПЛАН ЧЕРН К3'!J28*СПРАВОЧНИК!$J$11)+СПРАВОЧНИК!$F$11*('ПЛАН ЧИСТ К3'!L28*СПРАВОЧНИК!$L$11+'ПЛАН ЧИСТ К3'!M28*СПРАВОЧНИК!$M$11+'ПЛАН ЧИСТ К3'!N28*СПРАВОЧНИК!$N$11+'ПЛАН ЧИСТ К3'!O28*СПРАВОЧНИК!$O$11+'ПЛАН ЧИСТ К3'!P28*СПРАВОЧНИК!$P$11)+СПРАВОЧНИК!$E$12*('ПЛАН ЧЕРН К3'!K28*СПРАВОЧНИК!$H$12+'ПЛАН ЧЕРН К3'!L28*СПРАВОЧНИК!$I$12+'ПЛАН ЧЕРН К3'!M28*СПРАВОЧНИК!$J$12)+СПРАВОЧНИК!$F$12*('ПЛАН ЧИСТ К3'!Q28*СПРАВОЧНИК!$L$12+'ПЛАН ЧИСТ К3'!R28*СПРАВОЧНИК!$M$12+'ПЛАН ЧИСТ К3'!S28*СПРАВОЧНИК!$N$12+'ПЛАН ЧИСТ К3'!T28*СПРАВОЧНИК!$O$12+'ПЛАН ЧИСТ К3'!U28*СПРАВОЧНИК!$P$12)+СПРАВОЧНИК!$E$13*('ПЛАН ЧЕРН К3'!N28*СПРАВОЧНИК!$H$13+'ПЛАН ЧЕРН К3'!O28*СПРАВОЧНИК!$I$13+'ПЛАН ЧЕРН К3'!P28*СПРАВОЧНИК!$J$13)+СПРАВОЧНИК!$F$13*('ПЛАН ЧИСТ К3'!V28*СПРАВОЧНИК!$L$13+'ПЛАН ЧИСТ К3'!W28*СПРАВОЧНИК!$M$13+'ПЛАН ЧИСТ К3'!X28*СПРАВОЧНИК!$N$13+'ПЛАН ЧИСТ К3'!Y28*СПРАВОЧНИК!$O$13+'ПЛАН ЧИСТ К3'!Z28*СПРАВОЧНИК!$P$13)+СПРАВОЧНИК!$E$14*('ПЛАН ЧЕРН К3'!Q28*СПРАВОЧНИК!$H$14+'ПЛАН ЧЕРН К3'!R28*СПРАВОЧНИК!$I$14+'ПЛАН ЧЕРН К3'!S28*СПРАВОЧНИК!$J$14)+СПРАВОЧНИК!$F$14*('ПЛАН ЧИСТ К3'!AA28*СПРАВОЧНИК!$L$14+'ПЛАН ЧИСТ К3'!AB28*СПРАВОЧНИК!$M$14+'ПЛАН ЧИСТ К3'!AC28*СПРАВОЧНИК!$N$14+'ПЛАН ЧИСТ К3'!AD28*СПРАВОЧНИК!$O$14+'ПЛАН ЧИСТ К3'!AE28*СПРАВОЧНИК!$P$14)+СПРАВОЧНИК!$E$15*('ПЛАН ЧЕРН К3'!T28*СПРАВОЧНИК!$H$15+'ПЛАН ЧЕРН К3'!U28*СПРАВОЧНИК!$I$15+'ПЛАН ЧЕРН К3'!V28*СПРАВОЧНИК!$J$15)+СПРАВОЧНИК!$F$15*('ПЛАН ЧИСТ К3'!AF28*СПРАВОЧНИК!$L$15+'ПЛАН ЧИСТ К3'!AG28*СПРАВОЧНИК!$M$15+'ПЛАН ЧИСТ К3'!AH28*СПРАВОЧНИК!$N$15+'ПЛАН ЧИСТ К3'!AI28*СПРАВОЧНИК!$O$15+'ПЛАН ЧИСТ К3'!AJ28*СПРАВОЧНИК!$P$15)</f>
        <v/>
      </c>
      <c r="BF37" s="31">
        <f>СПРАВОЧНИК!$E$9*('ФАКТ ЧЕРН К3'!B28*СПРАВОЧНИК!$H$9+'ФАКТ ЧЕРН К3'!C28*СПРАВОЧНИК!$I$9+'ФАКТ ЧЕРН К3'!D28*СПРАВОЧНИК!$J$9)+СПРАВОЧНИК!$F$9*('ФАКТ ЧИСТ К3'!B28*СПРАВОЧНИК!$L$9+'ФАКТ ЧИСТ К3'!C28*СПРАВОЧНИК!$M$9+'ФАКТ ЧИСТ К3'!D28*СПРАВОЧНИК!$N$9+'ФАКТ ЧИСТ К3'!E28*СПРАВОЧНИК!$O$9+'ФАКТ ЧИСТ К3'!F28*СПРАВОЧНИК!$P$9)+СПРАВОЧНИК!$E$10*('ФАКТ ЧЕРН К3'!E28*СПРАВОЧНИК!$H$10+'ФАКТ ЧЕРН К3'!F28*СПРАВОЧНИК!$I$10+'ФАКТ ЧЕРН К3'!G28*СПРАВОЧНИК!$J$10)+СПРАВОЧНИК!$F$10*('ФАКТ ЧИСТ К3'!G28*СПРАВОЧНИК!$L$10+'ФАКТ ЧИСТ К3'!H28*СПРАВОЧНИК!$M$10+'ФАКТ ЧИСТ К3'!I28*СПРАВОЧНИК!$N$10+'ФАКТ ЧИСТ К3'!J28*СПРАВОЧНИК!$O$10+'ФАКТ ЧИСТ К3'!K28*СПРАВОЧНИК!$P$10)+СПРАВОЧНИК!$E$11*('ФАКТ ЧЕРН К3'!H28*СПРАВОЧНИК!$H$11+'ФАКТ ЧЕРН К3'!I28*СПРАВОЧНИК!$I$11+'ФАКТ ЧЕРН К3'!J28*СПРАВОЧНИК!$J$11)+СПРАВОЧНИК!$F$11*('ФАКТ ЧИСТ К3'!L28*СПРАВОЧНИК!$L$11+'ФАКТ ЧИСТ К3'!M28*СПРАВОЧНИК!$M$11+'ФАКТ ЧИСТ К3'!N28*СПРАВОЧНИК!$N$11+'ФАКТ ЧИСТ К3'!O28*СПРАВОЧНИК!$O$11+'ФАКТ ЧИСТ К3'!P28*СПРАВОЧНИК!$P$11)+СПРАВОЧНИК!$E$12*('ФАКТ ЧЕРН К3'!K28*СПРАВОЧНИК!$H$12+'ФАКТ ЧЕРН К3'!L28*СПРАВОЧНИК!$I$12+'ФАКТ ЧЕРН К3'!M28*СПРАВОЧНИК!$J$12)+СПРАВОЧНИК!$F$12*('ФАКТ ЧИСТ К3'!Q28*СПРАВОЧНИК!$L$12+'ФАКТ ЧИСТ К3'!R28*СПРАВОЧНИК!$M$12+'ФАКТ ЧИСТ К3'!S28*СПРАВОЧНИК!$N$12+'ФАКТ ЧИСТ К3'!T28*СПРАВОЧНИК!$O$12+'ФАКТ ЧИСТ К3'!U28*СПРАВОЧНИК!$P$12)+СПРАВОЧНИК!$E$13*('ФАКТ ЧЕРН К3'!N28*СПРАВОЧНИК!$H$13+'ФАКТ ЧЕРН К3'!O28*СПРАВОЧНИК!$I$13+'ФАКТ ЧЕРН К3'!P28*СПРАВОЧНИК!$J$13)+СПРАВОЧНИК!$F$13*('ФАКТ ЧИСТ К3'!V28*СПРАВОЧНИК!$L$13+'ФАКТ ЧИСТ К3'!W28*СПРАВОЧНИК!$M$13+'ФАКТ ЧИСТ К3'!X28*СПРАВОЧНИК!$N$13+'ФАКТ ЧИСТ К3'!Y28*СПРАВОЧНИК!$O$13+'ФАКТ ЧИСТ К3'!Z28*СПРАВОЧНИК!$P$13)+СПРАВОЧНИК!$E$14*('ФАКТ ЧЕРН К3'!Q28*СПРАВОЧНИК!$H$14+'ФАКТ ЧЕРН К3'!R28*СПРАВОЧНИК!$I$14+'ФАКТ ЧЕРН К3'!S28*СПРАВОЧНИК!$J$14)+СПРАВОЧНИК!$F$14*('ФАКТ ЧИСТ К3'!AA28*СПРАВОЧНИК!$L$14+'ФАКТ ЧИСТ К3'!AB28*СПРАВОЧНИК!$M$14+'ФАКТ ЧИСТ К3'!AC28*СПРАВОЧНИК!$N$14+'ФАКТ ЧИСТ К3'!AD28*СПРАВОЧНИК!$O$14+'ФАКТ ЧИСТ К3'!AE28*СПРАВОЧНИК!$P$14)+СПРАВОЧНИК!$E$15*('ФАКТ ЧЕРН К3'!T28*СПРАВОЧНИК!$H$15+'ФАКТ ЧЕРН К3'!U28*СПРАВОЧНИК!$I$15+'ФАКТ ЧЕРН К3'!V28*СПРАВОЧНИК!$J$15)+СПРАВОЧНИК!$F$15*('ФАКТ ЧИСТ К3'!AF28*СПРАВОЧНИК!$L$15+'ФАКТ ЧИСТ К3'!AG28*СПРАВОЧНИК!$M$15+'ФАКТ ЧИСТ К3'!AH28*СПРАВОЧНИК!$N$15+'ФАКТ ЧИСТ К3'!AI28*СПРАВОЧНИК!$O$15+'ФАКТ ЧИСТ К3'!AJ28*СПРАВОЧНИК!$P$15)</f>
        <v/>
      </c>
      <c r="BG37" s="34" t="n"/>
      <c r="BJ37" s="152">
        <f>BJ36+7</f>
        <v/>
      </c>
      <c r="BK37" s="17">
        <f>'ПЛАН ЧЕРН К3'!B28*СПРАВОЧНИК!$H$9+'ПЛАН ЧЕРН К3'!C28*СПРАВОЧНИК!$I$9+'ПЛАН ЧЕРН К3'!D28*СПРАВОЧНИК!$J$9+'ПЛАН ЧЕРН К3'!E28*СПРАВОЧНИК!$H$10+'ПЛАН ЧЕРН К3'!F28*СПРАВОЧНИК!$I$10+'ПЛАН ЧЕРН К3'!G28*СПРАВОЧНИК!$J$10+'ПЛАН ЧЕРН К3'!H28*СПРАВОЧНИК!$H$11+'ПЛАН ЧЕРН К3'!I28*СПРАВОЧНИК!$I$11+'ПЛАН ЧЕРН К3'!J28*СПРАВОЧНИК!$J$11+'ПЛАН ЧЕРН К3'!K28*СПРАВОЧНИК!$H$12+'ПЛАН ЧЕРН К3'!L28*СПРАВОЧНИК!$I$12+'ПЛАН ЧЕРН К3'!M28*СПРАВОЧНИК!$J$12+'ПЛАН ЧЕРН К3'!N28*СПРАВОЧНИК!$H$13+'ПЛАН ЧЕРН К3'!O28*СПРАВОЧНИК!$I$13+'ПЛАН ЧЕРН К3'!P28*СПРАВОЧНИК!$J$13+'ПЛАН ЧЕРН К3'!Q28*СПРАВОЧНИК!$H$14+'ПЛАН ЧЕРН К3'!R28*СПРАВОЧНИК!$I$14+'ПЛАН ЧЕРН К3'!S28*СПРАВОЧНИК!$J$14+'ПЛАН ЧЕРН К3'!T28*СПРАВОЧНИК!$H$15+'ПЛАН ЧЕРН К3'!U28*СПРАВОЧНИК!$I$15+'ПЛАН ЧЕРН К3'!V28*СПРАВОЧНИК!$J$15</f>
        <v/>
      </c>
      <c r="BL37" s="31">
        <f>('ФАКТ ЧЕРН К3'!B28)*СПРАВОЧНИК!$H$9+('ФАКТ ЧЕРН К3'!C28)*СПРАВОЧНИК!$I$9+('ФАКТ ЧЕРН К3'!D28)*СПРАВОЧНИК!$J$9+('ФАКТ ЧЕРН К3'!E28)*СПРАВОЧНИК!$H$10+('ФАКТ ЧЕРН К3'!F28)*СПРАВОЧНИК!$I$10+('ФАКТ ЧЕРН К3'!G28)*СПРАВОЧНИК!$J$10+('ФАКТ ЧЕРН К3'!H28)*СПРАВОЧНИК!$H$11+('ФАКТ ЧЕРН К3'!I28)*СПРАВОЧНИК!$I$11+('ФАКТ ЧЕРН К3'!J28)*СПРАВОЧНИК!$J$11+('ФАКТ ЧЕРН К3'!K28)*СПРАВОЧНИК!$H$12+('ФАКТ ЧЕРН К3'!L28)*СПРАВОЧНИК!$I$12+('ФАКТ ЧЕРН К3'!M28)*СПРАВОЧНИК!$J$12+('ФАКТ ЧЕРН К3'!N28)*СПРАВОЧНИК!$H$13+('ФАКТ ЧЕРН К3'!O28)*СПРАВОЧНИК!$I$13+('ФАКТ ЧЕРН К3'!P28)*СПРАВОЧНИК!$J$13+('ФАКТ ЧЕРН К3'!Q28)*СПРАВОЧНИК!$H$14+('ФАКТ ЧЕРН К3'!R28)*СПРАВОЧНИК!$I$14+('ФАКТ ЧЕРН К3'!S28)*СПРАВОЧНИК!$J$14+('ФАКТ ЧЕРН К3'!T28)*СПРАВОЧНИК!$H$15+('ФАКТ ЧЕРН К3'!U28)*СПРАВОЧНИК!$I$15+('ФАКТ ЧЕРН К3'!V28)*СПРАВОЧНИК!$J$15</f>
        <v/>
      </c>
      <c r="BM37" s="34" t="n"/>
      <c r="BP37" s="152">
        <f>BP36+7</f>
        <v/>
      </c>
      <c r="BQ37" s="17">
        <f>'ПЛАН ЧИСТ К3'!B28*СПРАВОЧНИК!$L$9+'ПЛАН ЧИСТ К3'!C28*СПРАВОЧНИК!$M$9+'ПЛАН ЧИСТ К3'!D28*СПРАВОЧНИК!$N$9+'ПЛАН ЧИСТ К3'!E28*СПРАВОЧНИК!$O$9+'ПЛАН ЧИСТ К3'!F28*СПРАВОЧНИК!$P$9+'ПЛАН ЧИСТ К3'!G28*СПРАВОЧНИК!$L$10+'ПЛАН ЧИСТ К3'!H28*СПРАВОЧНИК!$M$10+'ПЛАН ЧИСТ К3'!I28*СПРАВОЧНИК!$N$10+'ПЛАН ЧИСТ К3'!J28*СПРАВОЧНИК!$O$10+'ПЛАН ЧИСТ К3'!K28*СПРАВОЧНИК!$P$10+'ПЛАН ЧИСТ К3'!L28*СПРАВОЧНИК!$L$11+'ПЛАН ЧИСТ К3'!M28*СПРАВОЧНИК!$M$11+'ПЛАН ЧИСТ К3'!N28*СПРАВОЧНИК!$N$11+'ПЛАН ЧИСТ К3'!O28*СПРАВОЧНИК!$O$11+'ПЛАН ЧИСТ К3'!P28*СПРАВОЧНИК!$P$11+'ПЛАН ЧИСТ К3'!Q28*СПРАВОЧНИК!$L$12+'ПЛАН ЧИСТ К3'!R28*СПРАВОЧНИК!$M$12+'ПЛАН ЧИСТ К3'!S28*СПРАВОЧНИК!$N$12+'ПЛАН ЧИСТ К3'!T28*СПРАВОЧНИК!$O$12+'ПЛАН ЧИСТ К3'!U28*СПРАВОЧНИК!$P$12+'ПЛАН ЧИСТ К3'!V28*СПРАВОЧНИК!$L$13+'ПЛАН ЧИСТ К3'!W28*СПРАВОЧНИК!$M$13+'ПЛАН ЧИСТ К3'!X28*СПРАВОЧНИК!$N$13+'ПЛАН ЧИСТ К3'!Y28*СПРАВОЧНИК!$O$13+'ПЛАН ЧИСТ К3'!Z28*СПРАВОЧНИК!$P$13+'ПЛАН ЧИСТ К3'!AA28*СПРАВОЧНИК!$L$14+'ПЛАН ЧИСТ К3'!AB28*СПРАВОЧНИК!$M$14+'ПЛАН ЧИСТ К3'!AC28*СПРАВОЧНИК!$N$14+'ПЛАН ЧИСТ К3'!AD28*СПРАВОЧНИК!$O$14+'ПЛАН ЧИСТ К3'!AE28*СПРАВОЧНИК!$P$14+'ПЛАН ЧИСТ К3'!AF28*СПРАВОЧНИК!$L$15+'ПЛАН ЧИСТ К3'!AG28*СПРАВОЧНИК!$M$15+'ПЛАН ЧИСТ К3'!AH28*СПРАВОЧНИК!$N$15+'ПЛАН ЧИСТ К3'!AI28*СПРАВОЧНИК!$O$15+'ПЛАН ЧИСТ К3'!AJ28*СПРАВОЧНИК!$P$15</f>
        <v/>
      </c>
      <c r="BR37" s="31">
        <f>('ФАКТ ЧИСТ К3'!B28)*СПРАВОЧНИК!$L$9+('ФАКТ ЧИСТ К3'!C28)*СПРАВОЧНИК!$M$9+('ФАКТ ЧИСТ К3'!D28)*СПРАВОЧНИК!$N$9+('ФАКТ ЧИСТ К3'!E28)*СПРАВОЧНИК!$O$9+('ФАКТ ЧИСТ К3'!F28)*СПРАВОЧНИК!$P$9+('ФАКТ ЧИСТ К3'!G28)*СПРАВОЧНИК!$L$10+('ФАКТ ЧИСТ К3'!H28)*СПРАВОЧНИК!$M$10+('ФАКТ ЧИСТ К3'!I28)*СПРАВОЧНИК!$N$10+('ФАКТ ЧИСТ К3'!J28)*СПРАВОЧНИК!$O$10+('ФАКТ ЧИСТ К3'!K28)*СПРАВОЧНИК!$P$10+('ФАКТ ЧИСТ К3'!L28)*СПРАВОЧНИК!$L$11+('ФАКТ ЧИСТ К3'!M28)*СПРАВОЧНИК!$M$11+('ФАКТ ЧИСТ К3'!N28)*СПРАВОЧНИК!$N$11+('ФАКТ ЧИСТ К3'!O28)*СПРАВОЧНИК!$O$11+('ФАКТ ЧИСТ К3'!P28)*СПРАВОЧНИК!$P$11+('ФАКТ ЧИСТ К3'!Q28)*СПРАВОЧНИК!$L$12+('ФАКТ ЧИСТ К3'!R28)*СПРАВОЧНИК!$M$12+('ФАКТ ЧИСТ К3'!S28)*СПРАВОЧНИК!$N$12+('ФАКТ ЧИСТ К3'!T28)*СПРАВОЧНИК!$O$12+('ФАКТ ЧИСТ К3'!U28)*СПРАВОЧНИК!$P$12+('ФАКТ ЧИСТ К3'!V28)*СПРАВОЧНИК!$L$13+('ФАКТ ЧИСТ К3'!W28)*СПРАВОЧНИК!$M$13+('ФАКТ ЧИСТ К3'!X28)*СПРАВОЧНИК!$N$13+('ФАКТ ЧИСТ К3'!Y28)*СПРАВОЧНИК!$O$13+('ФАКТ ЧИСТ К3'!Z28)*СПРАВОЧНИК!$P$13+('ФАКТ ЧИСТ К3'!AA28)*СПРАВОЧНИК!$L$14+('ФАКТ ЧИСТ К3'!AB28)*СПРАВОЧНИК!$M$14+('ФАКТ ЧИСТ К3'!AC28)*СПРАВОЧНИК!$N$14+('ФАКТ ЧИСТ К3'!AD28)*СПРАВОЧНИК!$O$14+('ФАКТ ЧИСТ К3'!AE28)*СПРАВОЧНИК!$P$14+('ФАКТ ЧИСТ К3'!AF28)*СПРАВОЧНИК!$L$15+('ФАКТ ЧИСТ К3'!AG28)*СПРАВОЧНИК!$M$15+('ФАКТ ЧИСТ К3'!AH28)*СПРАВОЧНИК!$N$15+('ФАКТ ЧИСТ К3'!AI28)*СПРАВОЧНИК!$O$15+('ФАКТ ЧИСТ К3'!AJ28)*СПРАВОЧНИК!$P$15</f>
        <v/>
      </c>
      <c r="BS37" s="34" t="n"/>
      <c r="BV37" s="152">
        <f>BV36+7</f>
        <v/>
      </c>
      <c r="BW37" s="17">
        <f>U37*СПРАВОЧНИК!$K$28+AM37*СПРАВОЧНИК!$K$29+BE37*СПРАВОЧНИК!$K$30</f>
        <v/>
      </c>
      <c r="BX37" s="31">
        <f>V37*СПРАВОЧНИК!$K$28+AN37*СПРАВОЧНИК!$K$29+BF37*СПРАВОЧНИК!$K$30</f>
        <v/>
      </c>
      <c r="BY37" s="34" t="n"/>
      <c r="CB37" s="152">
        <f>CB36+7</f>
        <v/>
      </c>
      <c r="CC37" s="17">
        <f>AA37*СПРАВОЧНИК!$K$28+AS37*СПРАВОЧНИК!$K$29+BK37*СПРАВОЧНИК!$K$30</f>
        <v/>
      </c>
      <c r="CD37" s="31">
        <f>AB37*СПРАВОЧНИК!$K$28+AT37*СПРАВОЧНИК!$K$29+BL37*СПРАВОЧНИК!$K$30</f>
        <v/>
      </c>
      <c r="CE37" s="34" t="n"/>
      <c r="CH37" s="152">
        <f>CH36+7</f>
        <v/>
      </c>
      <c r="CI37" s="17">
        <f>AG37*СПРАВОЧНИК!$K$28+AY37*СПРАВОЧНИК!$K$29+BQ37*СПРАВОЧНИК!$K$30</f>
        <v/>
      </c>
      <c r="CJ37" s="31">
        <f>AH37*СПРАВОЧНИК!$K$28+AZ37*СПРАВОЧНИК!$K$29+BR37*СПРАВОЧНИК!$K$30</f>
        <v/>
      </c>
      <c r="CK37" s="34" t="n"/>
      <c r="CN37" s="152">
        <f>CN36+7</f>
        <v/>
      </c>
      <c r="CO37" s="17">
        <f>C37*СПРАВОЧНИК!$W$18+BW37*СПРАВОЧНИК!$W$19</f>
        <v/>
      </c>
      <c r="CP37" s="31">
        <f>D37*СПРАВОЧНИК!$W$18+BX37*СПРАВОЧНИК!$W$19</f>
        <v/>
      </c>
      <c r="CQ37" s="34" t="n"/>
      <c r="CT37" s="152">
        <f>CT36+7</f>
        <v/>
      </c>
      <c r="CU37" s="17">
        <f>I37*СПРАВОЧНИК!$W$18+CC37*СПРАВОЧНИК!$W$19</f>
        <v/>
      </c>
      <c r="CV37" s="31">
        <f>J37*СПРАВОЧНИК!$W$18+CD37*СПРАВОЧНИК!$W$19</f>
        <v/>
      </c>
      <c r="CW37" s="34" t="n"/>
      <c r="CZ37" s="152">
        <f>CZ36+7</f>
        <v/>
      </c>
      <c r="DA37" s="17">
        <f>O37*СПРАВОЧНИК!$W$18+CI37*СПРАВОЧНИК!$W$19</f>
        <v/>
      </c>
      <c r="DB37" s="31">
        <f>P37*СПРАВОЧНИК!$W$18+CJ37*СПРАВОЧНИК!$W$19</f>
        <v/>
      </c>
      <c r="DC37" s="34" t="n"/>
    </row>
    <row r="38">
      <c r="B38" s="152">
        <f>B37+7</f>
        <v/>
      </c>
      <c r="C38" s="17">
        <f>СПРАВОЧНИК!$E$3*('ПЛАН ЧЕРН ПОДЗЕМ'!B29*СПРАВОЧНИК!$H$3+'ПЛАН ЧЕРН ПОДЗЕМ'!C29*СПРАВОЧНИК!$I$3+'ПЛАН ЧЕРН ПОДЗЕМ'!D29*СПРАВОЧНИК!$J$3)+СПРАВОЧНИК!$F$3*('ПЛАН ЧИСТ ПОДЗЕМ'!B29*СПРАВОЧНИК!$L$3+'ПЛАН ЧИСТ ПОДЗЕМ'!C29*СПРАВОЧНИК!$M$3+'ПЛАН ЧИСТ ПОДЗЕМ'!D29*СПРАВОЧНИК!$N$3+'ПЛАН ЧИСТ ПОДЗЕМ'!E29*СПРАВОЧНИК!$O$3+'ПЛАН ЧИСТ ПОДЗЕМ'!F29*СПРАВОЧНИК!$P$3)+СПРАВОЧНИК!$E$4*('ПЛАН ЧЕРН ПОДЗЕМ'!E29*СПРАВОЧНИК!$H$4+'ПЛАН ЧЕРН ПОДЗЕМ'!F29*СПРАВОЧНИК!$I$4+'ПЛАН ЧЕРН ПОДЗЕМ'!G29*СПРАВОЧНИК!$J$4)+СПРАВОЧНИК!$F$4*('ПЛАН ЧИСТ ПОДЗЕМ'!G29*СПРАВОЧНИК!$L$4+'ПЛАН ЧИСТ ПОДЗЕМ'!H29*СПРАВОЧНИК!$M$4+'ПЛАН ЧИСТ ПОДЗЕМ'!I29*СПРАВОЧНИК!$N$4+'ПЛАН ЧИСТ ПОДЗЕМ'!J29*СПРАВОЧНИК!$O$4+'ПЛАН ЧИСТ ПОДЗЕМ'!K29*СПРАВОЧНИК!$P$4)+СПРАВОЧНИК!$E$5*('ПЛАН ЧЕРН ПОДЗЕМ'!H29*СПРАВОЧНИК!$H$5+'ПЛАН ЧЕРН ПОДЗЕМ'!I29*СПРАВОЧНИК!$I$5+'ПЛАН ЧЕРН ПОДЗЕМ'!J29*СПРАВОЧНИК!$J$5)+СПРАВОЧНИК!$F$5*('ПЛАН ЧИСТ ПОДЗЕМ'!L29*СПРАВОЧНИК!$L$5+'ПЛАН ЧИСТ ПОДЗЕМ'!M29*СПРАВОЧНИК!$M$5+'ПЛАН ЧИСТ ПОДЗЕМ'!N29*СПРАВОЧНИК!$N$5+'ПЛАН ЧИСТ ПОДЗЕМ'!O29*СПРАВОЧНИК!$O$5+'ПЛАН ЧИСТ ПОДЗЕМ'!P29*СПРАВОЧНИК!$P$5)+СПРАВОЧНИК!$E$6*('ПЛАН ЧЕРН ПОДЗЕМ'!K29*СПРАВОЧНИК!$H$6+'ПЛАН ЧЕРН ПОДЗЕМ'!L29*СПРАВОЧНИК!$I$6+'ПЛАН ЧЕРН ПОДЗЕМ'!M29*СПРАВОЧНИК!$J$6)+СПРАВОЧНИК!$F$6*('ПЛАН ЧИСТ ПОДЗЕМ'!Q29*СПРАВОЧНИК!$L$6+'ПЛАН ЧИСТ ПОДЗЕМ'!R29*СПРАВОЧНИК!$M$6+'ПЛАН ЧИСТ ПОДЗЕМ'!S29*СПРАВОЧНИК!$N$6+'ПЛАН ЧИСТ ПОДЗЕМ'!T29*СПРАВОЧНИК!$O$6+'ПЛАН ЧИСТ ПОДЗЕМ'!U29*СПРАВОЧНИК!$P$6)+СПРАВОЧНИК!$E$7*('ПЛАН ЧЕРН ПОДЗЕМ'!N29*СПРАВОЧНИК!$H$7+'ПЛАН ЧЕРН ПОДЗЕМ'!O29*СПРАВОЧНИК!$I$7+'ПЛАН ЧЕРН ПОДЗЕМ'!P29*СПРАВОЧНИК!$J$7)+СПРАВОЧНИК!$F$7*('ПЛАН ЧИСТ ПОДЗЕМ'!V29*СПРАВОЧНИК!$L$7+'ПЛАН ЧИСТ ПОДЗЕМ'!W29*СПРАВОЧНИК!$M$7+'ПЛАН ЧИСТ ПОДЗЕМ'!X29*СПРАВОЧНИК!$N$7+'ПЛАН ЧИСТ ПОДЗЕМ'!Y29*СПРАВОЧНИК!$O$7+'ПЛАН ЧИСТ ПОДЗЕМ'!Z29*СПРАВОЧНИК!$P$7)+СПРАВОЧНИК!$E$8*('ПЛАН ЧЕРН ПОДЗЕМ'!Q29*СПРАВОЧНИК!$H$8+'ПЛАН ЧЕРН ПОДЗЕМ'!R29*СПРАВОЧНИК!$I$8+'ПЛАН ЧЕРН ПОДЗЕМ'!S29*СПРАВОЧНИК!$J$8)+СПРАВОЧНИК!$F$8*('ПЛАН ЧИСТ ПОДЗЕМ'!AA29*СПРАВОЧНИК!$L$8+'ПЛАН ЧИСТ ПОДЗЕМ'!AB29*СПРАВОЧНИК!$M$8+'ПЛАН ЧИСТ ПОДЗЕМ'!AC29*СПРАВОЧНИК!$N$8+'ПЛАН ЧИСТ ПОДЗЕМ'!AD29*СПРАВОЧНИК!$O$8+'ПЛАН ЧИСТ ПОДЗЕМ'!AE29*СПРАВОЧНИК!$P$8)</f>
        <v/>
      </c>
      <c r="D38" s="31">
        <f>СПРАВОЧНИК!$E$3*('ФАКТ ЧЕРН ПОДЗЕМ'!B29*СПРАВОЧНИК!$H$3+'ФАКТ ЧЕРН ПОДЗЕМ'!C29*СПРАВОЧНИК!$I$3+'ФАКТ ЧЕРН ПОДЗЕМ'!D29*СПРАВОЧНИК!$J$3)+СПРАВОЧНИК!$F$3*('ФАКТ ЧИСТ ПОДЗЕМ'!B29*СПРАВОЧНИК!$L$3+'ФАКТ ЧИСТ ПОДЗЕМ'!C29*СПРАВОЧНИК!$M$3+'ФАКТ ЧИСТ ПОДЗЕМ'!D29*СПРАВОЧНИК!$N$3+'ФАКТ ЧИСТ ПОДЗЕМ'!E29*СПРАВОЧНИК!$O$3+'ФАКТ ЧИСТ ПОДЗЕМ'!F29*СПРАВОЧНИК!$P$3)+СПРАВОЧНИК!$E$4*('ФАКТ ЧЕРН ПОДЗЕМ'!E29*СПРАВОЧНИК!$H$4+'ФАКТ ЧЕРН ПОДЗЕМ'!F29*СПРАВОЧНИК!$I$4+'ФАКТ ЧЕРН ПОДЗЕМ'!G29*СПРАВОЧНИК!$J$4)+СПРАВОЧНИК!$F$4*('ФАКТ ЧИСТ ПОДЗЕМ'!G29*СПРАВОЧНИК!$L$4+'ФАКТ ЧИСТ ПОДЗЕМ'!H29*СПРАВОЧНИК!$M$4+'ФАКТ ЧИСТ ПОДЗЕМ'!I29*СПРАВОЧНИК!$N$4+'ФАКТ ЧИСТ ПОДЗЕМ'!J29*СПРАВОЧНИК!$O$4+'ФАКТ ЧИСТ ПОДЗЕМ'!K29*СПРАВОЧНИК!$P$4)+СПРАВОЧНИК!$E$5*('ФАКТ ЧЕРН ПОДЗЕМ'!H29*СПРАВОЧНИК!$H$5+'ФАКТ ЧЕРН ПОДЗЕМ'!I29*СПРАВОЧНИК!$I$5+'ФАКТ ЧЕРН ПОДЗЕМ'!J29*СПРАВОЧНИК!$J$5)+СПРАВОЧНИК!$F$5*('ФАКТ ЧИСТ ПОДЗЕМ'!L29*СПРАВОЧНИК!$L$5+'ФАКТ ЧИСТ ПОДЗЕМ'!M29*СПРАВОЧНИК!$M$5+'ФАКТ ЧИСТ ПОДЗЕМ'!N29*СПРАВОЧНИК!$N$5+'ФАКТ ЧИСТ ПОДЗЕМ'!O29*СПРАВОЧНИК!$O$5+'ФАКТ ЧИСТ ПОДЗЕМ'!P29*СПРАВОЧНИК!$P$5)+СПРАВОЧНИК!$E$6*('ФАКТ ЧЕРН ПОДЗЕМ'!K29*СПРАВОЧНИК!$H$6+'ФАКТ ЧЕРН ПОДЗЕМ'!L29*СПРАВОЧНИК!$I$6+'ФАКТ ЧЕРН ПОДЗЕМ'!M29*СПРАВОЧНИК!$J$6)+СПРАВОЧНИК!$F$6*('ФАКТ ЧИСТ ПОДЗЕМ'!Q29*СПРАВОЧНИК!$L$6+'ФАКТ ЧИСТ ПОДЗЕМ'!R29*СПРАВОЧНИК!$M$6+'ФАКТ ЧИСТ ПОДЗЕМ'!S29*СПРАВОЧНИК!$N$6+'ФАКТ ЧИСТ ПОДЗЕМ'!T29*СПРАВОЧНИК!$O$6+'ФАКТ ЧИСТ ПОДЗЕМ'!U29*СПРАВОЧНИК!$P$6)+СПРАВОЧНИК!$E$7*('ФАКТ ЧЕРН ПОДЗЕМ'!N29*СПРАВОЧНИК!$H$7+'ФАКТ ЧЕРН ПОДЗЕМ'!O29*СПРАВОЧНИК!$I$7+'ФАКТ ЧЕРН ПОДЗЕМ'!P29*СПРАВОЧНИК!$J$7)+СПРАВОЧНИК!$F$7*('ФАКТ ЧИСТ ПОДЗЕМ'!V29*СПРАВОЧНИК!$L$7+'ФАКТ ЧИСТ ПОДЗЕМ'!W29*СПРАВОЧНИК!$M$7+'ФАКТ ЧИСТ ПОДЗЕМ'!X29*СПРАВОЧНИК!$N$7+'ФАКТ ЧИСТ ПОДЗЕМ'!Y29*СПРАВОЧНИК!$O$7+'ФАКТ ЧИСТ ПОДЗЕМ'!Z29*СПРАВОЧНИК!$P$7)+СПРАВОЧНИК!$E$8*('ФАКТ ЧЕРН ПОДЗЕМ'!Q29*СПРАВОЧНИК!$H$8+'ФАКТ ЧЕРН ПОДЗЕМ'!R29*СПРАВОЧНИК!$I$8+'ФАКТ ЧЕРН ПОДЗЕМ'!S29*СПРАВОЧНИК!$J$8)+СПРАВОЧНИК!$F$8*('ФАКТ ЧИСТ ПОДЗЕМ'!AA29*СПРАВОЧНИК!$L$8+'ФАКТ ЧИСТ ПОДЗЕМ'!AB29*СПРАВОЧНИК!$M$8+'ФАКТ ЧИСТ ПОДЗЕМ'!AC29*СПРАВОЧНИК!$N$8+'ФАКТ ЧИСТ ПОДЗЕМ'!AD29*СПРАВОЧНИК!$O$8+'ФАКТ ЧИСТ ПОДЗЕМ'!AE29*СПРАВОЧНИК!$P$8)</f>
        <v/>
      </c>
      <c r="E38" s="34" t="n"/>
      <c r="H38" s="152">
        <f>H37+7</f>
        <v/>
      </c>
      <c r="I38" s="17">
        <f>'ПЛАН ЧЕРН ПОДЗЕМ'!B29*СПРАВОЧНИК!$H$3+'ПЛАН ЧЕРН ПОДЗЕМ'!C29*СПРАВОЧНИК!$I$3+'ПЛАН ЧЕРН ПОДЗЕМ'!D29*СПРАВОЧНИК!$J$3+'ПЛАН ЧЕРН ПОДЗЕМ'!E29*СПРАВОЧНИК!$H$4+'ПЛАН ЧЕРН ПОДЗЕМ'!F29*СПРАВОЧНИК!$I$4+'ПЛАН ЧЕРН ПОДЗЕМ'!G29*СПРАВОЧНИК!$J$4+'ПЛАН ЧЕРН ПОДЗЕМ'!H29*СПРАВОЧНИК!$H$5+'ПЛАН ЧЕРН ПОДЗЕМ'!I29*СПРАВОЧНИК!$I$5+'ПЛАН ЧЕРН ПОДЗЕМ'!J29*СПРАВОЧНИК!$J$5+'ПЛАН ЧЕРН ПОДЗЕМ'!K29*СПРАВОЧНИК!$H$6+'ПЛАН ЧЕРН ПОДЗЕМ'!L29*СПРАВОЧНИК!$I$6+'ПЛАН ЧЕРН ПОДЗЕМ'!M29*СПРАВОЧНИК!$J$6+'ПЛАН ЧЕРН ПОДЗЕМ'!N29*СПРАВОЧНИК!$H$7+'ПЛАН ЧЕРН ПОДЗЕМ'!O29*СПРАВОЧНИК!$I$7+'ПЛАН ЧЕРН ПОДЗЕМ'!P29*СПРАВОЧНИК!$J$7+'ПЛАН ЧЕРН ПОДЗЕМ'!Q29*СПРАВОЧНИК!$H$8+'ПЛАН ЧЕРН ПОДЗЕМ'!R29*СПРАВОЧНИК!$I$8+'ПЛАН ЧЕРН ПОДЗЕМ'!S29*СПРАВОЧНИК!$J$8</f>
        <v/>
      </c>
      <c r="J38" s="31">
        <f>('ФАКТ ЧЕРН ПОДЗЕМ'!B29)*СПРАВОЧНИК!$H$3+('ФАКТ ЧЕРН ПОДЗЕМ'!C29)*СПРАВОЧНИК!$I$3+('ФАКТ ЧЕРН ПОДЗЕМ'!D29)*СПРАВОЧНИК!$J$3+('ФАКТ ЧЕРН ПОДЗЕМ'!E29)*СПРАВОЧНИК!$H$4+('ФАКТ ЧЕРН ПОДЗЕМ'!F29)*СПРАВОЧНИК!$I$4+('ФАКТ ЧЕРН ПОДЗЕМ'!G29)*СПРАВОЧНИК!$J$4+('ФАКТ ЧЕРН ПОДЗЕМ'!H29)*СПРАВОЧНИК!$H$5+('ФАКТ ЧЕРН ПОДЗЕМ'!I29)*СПРАВОЧНИК!$I$5+('ФАКТ ЧЕРН ПОДЗЕМ'!J29)*СПРАВОЧНИК!$J$5+('ФАКТ ЧЕРН ПОДЗЕМ'!K29)*СПРАВОЧНИК!$H$6+('ФАКТ ЧЕРН ПОДЗЕМ'!L29)*СПРАВОЧНИК!$I$6+('ФАКТ ЧЕРН ПОДЗЕМ'!M29)*СПРАВОЧНИК!$J$6+('ФАКТ ЧЕРН ПОДЗЕМ'!N29)*СПРАВОЧНИК!$H$7+('ФАКТ ЧЕРН ПОДЗЕМ'!O29)*СПРАВОЧНИК!$I$7+('ФАКТ ЧЕРН ПОДЗЕМ'!P29)*СПРАВОЧНИК!$J$7+('ФАКТ ЧЕРН ПОДЗЕМ'!Q29)*СПРАВОЧНИК!$H$8+('ФАКТ ЧЕРН ПОДЗЕМ'!R29)*СПРАВОЧНИК!$I$8+('ФАКТ ЧЕРН ПОДЗЕМ'!S29)*СПРАВОЧНИК!$J$8</f>
        <v/>
      </c>
      <c r="K38" s="34" t="n"/>
      <c r="N38" s="152">
        <f>N37+7</f>
        <v/>
      </c>
      <c r="O38" s="17">
        <f>'ПЛАН ЧИСТ ПОДЗЕМ'!B29*СПРАВОЧНИК!$L$3+'ПЛАН ЧИСТ ПОДЗЕМ'!C29*СПРАВОЧНИК!$M$3+'ПЛАН ЧИСТ ПОДЗЕМ'!D29*СПРАВОЧНИК!$N$3+'ПЛАН ЧИСТ ПОДЗЕМ'!E29*СПРАВОЧНИК!$O$3+'ПЛАН ЧИСТ ПОДЗЕМ'!F29*СПРАВОЧНИК!$P$3+'ПЛАН ЧИСТ ПОДЗЕМ'!G29*СПРАВОЧНИК!$L$4+'ПЛАН ЧИСТ ПОДЗЕМ'!H29*СПРАВОЧНИК!$M$4+'ПЛАН ЧИСТ ПОДЗЕМ'!I29*СПРАВОЧНИК!$N$4+'ПЛАН ЧИСТ ПОДЗЕМ'!J29*СПРАВОЧНИК!$O$4+'ПЛАН ЧИСТ ПОДЗЕМ'!K29*СПРАВОЧНИК!$P$4+'ПЛАН ЧИСТ ПОДЗЕМ'!L29*СПРАВОЧНИК!$L$5+'ПЛАН ЧИСТ ПОДЗЕМ'!M29*СПРАВОЧНИК!$M$5+'ПЛАН ЧИСТ ПОДЗЕМ'!N29*СПРАВОЧНИК!$N$5+'ПЛАН ЧИСТ ПОДЗЕМ'!O29*СПРАВОЧНИК!$O$5+'ПЛАН ЧИСТ ПОДЗЕМ'!P29*СПРАВОЧНИК!$P$5+'ПЛАН ЧИСТ ПОДЗЕМ'!Q29*СПРАВОЧНИК!$L$6+'ПЛАН ЧИСТ ПОДЗЕМ'!R29*СПРАВОЧНИК!$M$6+'ПЛАН ЧИСТ ПОДЗЕМ'!S29*СПРАВОЧНИК!$N$6+'ПЛАН ЧИСТ ПОДЗЕМ'!T29*СПРАВОЧНИК!$O$6+'ПЛАН ЧИСТ ПОДЗЕМ'!U29*СПРАВОЧНИК!$P$6+'ПЛАН ЧИСТ ПОДЗЕМ'!V29*СПРАВОЧНИК!$L$7+'ПЛАН ЧИСТ ПОДЗЕМ'!W29*СПРАВОЧНИК!$M$7+'ПЛАН ЧИСТ ПОДЗЕМ'!X29*СПРАВОЧНИК!$N$7+'ПЛАН ЧИСТ ПОДЗЕМ'!Y29*СПРАВОЧНИК!$O$7+'ПЛАН ЧИСТ ПОДЗЕМ'!Z29*СПРАВОЧНИК!$P$7+'ПЛАН ЧИСТ ПОДЗЕМ'!AA29*СПРАВОЧНИК!$L$8+'ПЛАН ЧИСТ ПОДЗЕМ'!AB29*СПРАВОЧНИК!$M$8+'ПЛАН ЧИСТ ПОДЗЕМ'!AC29*СПРАВОЧНИК!$N$8+'ПЛАН ЧИСТ ПОДЗЕМ'!AD29*СПРАВОЧНИК!$O$8+'ПЛАН ЧИСТ ПОДЗЕМ'!AE29*СПРАВОЧНИК!$P$8</f>
        <v/>
      </c>
      <c r="P38" s="31">
        <f>('ФАКТ ЧИСТ ПОДЗЕМ'!B29)*СПРАВОЧНИК!$L$3+('ФАКТ ЧИСТ ПОДЗЕМ'!C29)*СПРАВОЧНИК!$M$3+('ФАКТ ЧИСТ ПОДЗЕМ'!D29)*СПРАВОЧНИК!$N$3+('ФАКТ ЧИСТ ПОДЗЕМ'!E29)*СПРАВОЧНИК!$O$3+('ФАКТ ЧИСТ ПОДЗЕМ'!F29)*СПРАВОЧНИК!$P$3+('ФАКТ ЧИСТ ПОДЗЕМ'!G29)*СПРАВОЧНИК!$L$4+('ФАКТ ЧИСТ ПОДЗЕМ'!H29)*СПРАВОЧНИК!$M$4+('ФАКТ ЧИСТ ПОДЗЕМ'!I29)*СПРАВОЧНИК!$N$4+('ФАКТ ЧИСТ ПОДЗЕМ'!J29)*СПРАВОЧНИК!$O$4+('ФАКТ ЧИСТ ПОДЗЕМ'!K29)*СПРАВОЧНИК!$P$4+('ФАКТ ЧИСТ ПОДЗЕМ'!L29)*СПРАВОЧНИК!$L$5+('ФАКТ ЧИСТ ПОДЗЕМ'!M29)*СПРАВОЧНИК!$M$5+('ФАКТ ЧИСТ ПОДЗЕМ'!N29)*СПРАВОЧНИК!$N$5+('ФАКТ ЧИСТ ПОДЗЕМ'!O29)*СПРАВОЧНИК!$O$5+('ФАКТ ЧИСТ ПОДЗЕМ'!P29)*СПРАВОЧНИК!$P$5+('ФАКТ ЧИСТ ПОДЗЕМ'!Q29)*СПРАВОЧНИК!$L$6+('ФАКТ ЧИСТ ПОДЗЕМ'!R29)*СПРАВОЧНИК!$M$6+('ФАКТ ЧИСТ ПОДЗЕМ'!S29)*СПРАВОЧНИК!$N$6+('ФАКТ ЧИСТ ПОДЗЕМ'!T29)*СПРАВОЧНИК!$O$6+('ФАКТ ЧИСТ ПОДЗЕМ'!U29)*СПРАВОЧНИК!$P$6+('ФАКТ ЧИСТ ПОДЗЕМ'!V29)*СПРАВОЧНИК!$L$7+('ФАКТ ЧИСТ ПОДЗЕМ'!W29)*СПРАВОЧНИК!$M$7+('ФАКТ ЧИСТ ПОДЗЕМ'!X29)*СПРАВОЧНИК!$N$7+('ФАКТ ЧИСТ ПОДЗЕМ'!Y29)*СПРАВОЧНИК!$O$7+('ФАКТ ЧИСТ ПОДЗЕМ'!Z29)*СПРАВОЧНИК!$P$7+('ФАКТ ЧИСТ ПОДЗЕМ'!AA29)*СПРАВОЧНИК!$L$8+('ФАКТ ЧИСТ ПОДЗЕМ'!AB29)*СПРАВОЧНИК!$M$8+('ФАКТ ЧИСТ ПОДЗЕМ'!AC29)*СПРАВОЧНИК!$N$8+('ФАКТ ЧИСТ ПОДЗЕМ'!AD29)*СПРАВОЧНИК!$O$8+('ФАКТ ЧИСТ ПОДЗЕМ'!AE29)*СПРАВОЧНИК!$P$8</f>
        <v/>
      </c>
      <c r="Q38" s="34" t="n"/>
      <c r="T38" s="152">
        <f>T37+7</f>
        <v/>
      </c>
      <c r="U38" s="17">
        <f>СПРАВОЧНИК!$E$9*('ПЛАН ЧЕРН К1'!B29*СПРАВОЧНИК!$H$9+'ПЛАН ЧЕРН К1'!C29*СПРАВОЧНИК!$I$9+'ПЛАН ЧЕРН К1'!D29*СПРАВОЧНИК!$J$9)+СПРАВОЧНИК!$F$9*('ПЛАН ЧИСТ К1'!B29*СПРАВОЧНИК!$L$9+'ПЛАН ЧИСТ К1'!C29*СПРАВОЧНИК!$M$9+'ПЛАН ЧИСТ К1'!D29*СПРАВОЧНИК!$N$9+'ПЛАН ЧИСТ К1'!E29*СПРАВОЧНИК!$O$9+'ПЛАН ЧИСТ К1'!F29*СПРАВОЧНИК!$P$9)+СПРАВОЧНИК!$E$10*('ПЛАН ЧЕРН К1'!E29*СПРАВОЧНИК!$H$10+'ПЛАН ЧЕРН К1'!F29*СПРАВОЧНИК!$I$10+'ПЛАН ЧЕРН К1'!G29*СПРАВОЧНИК!$J$10)+СПРАВОЧНИК!$F$10*('ПЛАН ЧИСТ К1'!G29*СПРАВОЧНИК!$L$10+'ПЛАН ЧИСТ К1'!H29*СПРАВОЧНИК!$M$10+'ПЛАН ЧИСТ К1'!I29*СПРАВОЧНИК!$N$10+'ПЛАН ЧИСТ К1'!J29*СПРАВОЧНИК!$O$10+'ПЛАН ЧИСТ К1'!K29*СПРАВОЧНИК!$P$10)+СПРАВОЧНИК!$E$11*('ПЛАН ЧЕРН К1'!H29*СПРАВОЧНИК!$H$11+'ПЛАН ЧЕРН К1'!I29*СПРАВОЧНИК!$I$11+'ПЛАН ЧЕРН К1'!J29*СПРАВОЧНИК!$J$11)+СПРАВОЧНИК!$F$11*('ПЛАН ЧИСТ К1'!L29*СПРАВОЧНИК!$L$11+'ПЛАН ЧИСТ К1'!M29*СПРАВОЧНИК!$M$11+'ПЛАН ЧИСТ К1'!N29*СПРАВОЧНИК!$N$11+'ПЛАН ЧИСТ К1'!O29*СПРАВОЧНИК!$O$11+'ПЛАН ЧИСТ К1'!P29*СПРАВОЧНИК!$P$11)+СПРАВОЧНИК!$E$12*('ПЛАН ЧЕРН К1'!K29*СПРАВОЧНИК!$H$12+'ПЛАН ЧЕРН К1'!L29*СПРАВОЧНИК!$I$12+'ПЛАН ЧЕРН К1'!M29*СПРАВОЧНИК!$J$12)+СПРАВОЧНИК!$F$12*('ПЛАН ЧИСТ К1'!Q29*СПРАВОЧНИК!$L$12+'ПЛАН ЧИСТ К1'!R29*СПРАВОЧНИК!$M$12+'ПЛАН ЧИСТ К1'!S29*СПРАВОЧНИК!$N$12+'ПЛАН ЧИСТ К1'!T29*СПРАВОЧНИК!$O$12+'ПЛАН ЧИСТ К1'!U29*СПРАВОЧНИК!$P$12)+СПРАВОЧНИК!$E$13*('ПЛАН ЧЕРН К1'!N29*СПРАВОЧНИК!$H$13+'ПЛАН ЧЕРН К1'!O29*СПРАВОЧНИК!$I$13+'ПЛАН ЧЕРН К1'!P29*СПРАВОЧНИК!$J$13)+СПРАВОЧНИК!$F$13*('ПЛАН ЧИСТ К1'!V29*СПРАВОЧНИК!$L$13+'ПЛАН ЧИСТ К1'!W29*СПРАВОЧНИК!$M$13+'ПЛАН ЧИСТ К1'!X29*СПРАВОЧНИК!$N$13+'ПЛАН ЧИСТ К1'!Y29*СПРАВОЧНИК!$O$13+'ПЛАН ЧИСТ К1'!Z29*СПРАВОЧНИК!$P$13)+СПРАВОЧНИК!$E$14*('ПЛАН ЧЕРН К1'!Q29*СПРАВОЧНИК!$H$14+'ПЛАН ЧЕРН К1'!R29*СПРАВОЧНИК!$I$14+'ПЛАН ЧЕРН К1'!S29*СПРАВОЧНИК!$J$14)+СПРАВОЧНИК!$F$14*('ПЛАН ЧИСТ К1'!AA29*СПРАВОЧНИК!$L$14+'ПЛАН ЧИСТ К1'!AB29*СПРАВОЧНИК!$M$14+'ПЛАН ЧИСТ К1'!AC29*СПРАВОЧНИК!$N$14+'ПЛАН ЧИСТ К1'!AD29*СПРАВОЧНИК!$O$14+'ПЛАН ЧИСТ К1'!AE29*СПРАВОЧНИК!$P$14)+СПРАВОЧНИК!$E$15*('ПЛАН ЧЕРН К1'!T29*СПРАВОЧНИК!$H$15+'ПЛАН ЧЕРН К1'!U29*СПРАВОЧНИК!$I$15+'ПЛАН ЧЕРН К1'!V29*СПРАВОЧНИК!$J$15)+СПРАВОЧНИК!$F$15*('ПЛАН ЧИСТ К1'!AF29*СПРАВОЧНИК!$L$15+'ПЛАН ЧИСТ К1'!AG29*СПРАВОЧНИК!$M$15+'ПЛАН ЧИСТ К1'!AH29*СПРАВОЧНИК!$N$15+'ПЛАН ЧИСТ К1'!AI29*СПРАВОЧНИК!$O$15+'ПЛАН ЧИСТ К1'!AJ29*СПРАВОЧНИК!$P$15)</f>
        <v/>
      </c>
      <c r="V38" s="31">
        <f>СПРАВОЧНИК!$E$9*('ФАКТ ЧЕРН К1'!B29*СПРАВОЧНИК!$H$9+'ФАКТ ЧЕРН К1'!C29*СПРАВОЧНИК!$I$9+'ФАКТ ЧЕРН К1'!D29*СПРАВОЧНИК!$J$9)+СПРАВОЧНИК!$F$9*('ФАКТ ЧИСТ К1'!B29*СПРАВОЧНИК!$L$9+'ФАКТ ЧИСТ К1'!C29*СПРАВОЧНИК!$M$9+'ФАКТ ЧИСТ К1'!D29*СПРАВОЧНИК!$N$9+'ФАКТ ЧИСТ К1'!E29*СПРАВОЧНИК!$O$9+'ФАКТ ЧИСТ К1'!F29*СПРАВОЧНИК!$P$9)+СПРАВОЧНИК!$E$10*('ФАКТ ЧЕРН К1'!E29*СПРАВОЧНИК!$H$10+'ФАКТ ЧЕРН К1'!F29*СПРАВОЧНИК!$I$10+'ФАКТ ЧЕРН К1'!G29*СПРАВОЧНИК!$J$10)+СПРАВОЧНИК!$F$10*('ФАКТ ЧИСТ К1'!G29*СПРАВОЧНИК!$L$10+'ФАКТ ЧИСТ К1'!H29*СПРАВОЧНИК!$M$10+'ФАКТ ЧИСТ К1'!I29*СПРАВОЧНИК!$N$10+'ФАКТ ЧИСТ К1'!J29*СПРАВОЧНИК!$O$10+'ФАКТ ЧИСТ К1'!K29*СПРАВОЧНИК!$P$10)+СПРАВОЧНИК!$E$11*('ФАКТ ЧЕРН К1'!H29*СПРАВОЧНИК!$H$11+'ФАКТ ЧЕРН К1'!I29*СПРАВОЧНИК!$I$11+'ФАКТ ЧЕРН К1'!J29*СПРАВОЧНИК!$J$11)+СПРАВОЧНИК!$F$11*('ФАКТ ЧИСТ К1'!L29*СПРАВОЧНИК!$L$11+'ФАКТ ЧИСТ К1'!M29*СПРАВОЧНИК!$M$11+'ФАКТ ЧИСТ К1'!N29*СПРАВОЧНИК!$N$11+'ФАКТ ЧИСТ К1'!O29*СПРАВОЧНИК!$O$11+'ФАКТ ЧИСТ К1'!P29*СПРАВОЧНИК!$P$11)+СПРАВОЧНИК!$E$12*('ФАКТ ЧЕРН К1'!K29*СПРАВОЧНИК!$H$12+'ФАКТ ЧЕРН К1'!L29*СПРАВОЧНИК!$I$12+'ФАКТ ЧЕРН К1'!M29*СПРАВОЧНИК!$J$12)+СПРАВОЧНИК!$F$12*('ФАКТ ЧИСТ К1'!Q29*СПРАВОЧНИК!$L$12+'ФАКТ ЧИСТ К1'!R29*СПРАВОЧНИК!$M$12+'ФАКТ ЧИСТ К1'!S29*СПРАВОЧНИК!$N$12+'ФАКТ ЧИСТ К1'!T29*СПРАВОЧНИК!$O$12+'ФАКТ ЧИСТ К1'!U29*СПРАВОЧНИК!$P$12)+СПРАВОЧНИК!$E$13*('ФАКТ ЧЕРН К1'!N29*СПРАВОЧНИК!$H$13+'ФАКТ ЧЕРН К1'!O29*СПРАВОЧНИК!$I$13+'ФАКТ ЧЕРН К1'!P29*СПРАВОЧНИК!$J$13)+СПРАВОЧНИК!$F$13*('ФАКТ ЧИСТ К1'!V29*СПРАВОЧНИК!$L$13+'ФАКТ ЧИСТ К1'!W29*СПРАВОЧНИК!$M$13+'ФАКТ ЧИСТ К1'!X29*СПРАВОЧНИК!$N$13+'ФАКТ ЧИСТ К1'!Y29*СПРАВОЧНИК!$O$13+'ФАКТ ЧИСТ К1'!Z29*СПРАВОЧНИК!$P$13)+СПРАВОЧНИК!$E$14*('ФАКТ ЧЕРН К1'!Q29*СПРАВОЧНИК!$H$14+'ФАКТ ЧЕРН К1'!R29*СПРАВОЧНИК!$I$14+'ФАКТ ЧЕРН К1'!S29*СПРАВОЧНИК!$J$14)+СПРАВОЧНИК!$F$14*('ФАКТ ЧИСТ К1'!AA29*СПРАВОЧНИК!$L$14+'ФАКТ ЧИСТ К1'!AB29*СПРАВОЧНИК!$M$14+'ФАКТ ЧИСТ К1'!AC29*СПРАВОЧНИК!$N$14+'ФАКТ ЧИСТ К1'!AD29*СПРАВОЧНИК!$O$14+'ФАКТ ЧИСТ К1'!AE29*СПРАВОЧНИК!$P$14)+СПРАВОЧНИК!$E$15*('ФАКТ ЧЕРН К1'!T29*СПРАВОЧНИК!$H$15+'ФАКТ ЧЕРН К1'!U29*СПРАВОЧНИК!$I$15+'ФАКТ ЧЕРН К1'!V29*СПРАВОЧНИК!$J$15)+СПРАВОЧНИК!$F$15*('ФАКТ ЧИСТ К1'!AF29*СПРАВОЧНИК!$L$15+'ФАКТ ЧИСТ К1'!AG29*СПРАВОЧНИК!$M$15+'ФАКТ ЧИСТ К1'!AH29*СПРАВОЧНИК!$N$15+'ФАКТ ЧИСТ К1'!AI29*СПРАВОЧНИК!$O$15+'ФАКТ ЧИСТ К1'!AJ29*СПРАВОЧНИК!$P$15)</f>
        <v/>
      </c>
      <c r="W38" s="34" t="n"/>
      <c r="Z38" s="152">
        <f>Z37+7</f>
        <v/>
      </c>
      <c r="AA38" s="17">
        <f>'ПЛАН ЧЕРН К1'!B29*СПРАВОЧНИК!$H$9+'ПЛАН ЧЕРН К1'!C29*СПРАВОЧНИК!$I$9+'ПЛАН ЧЕРН К1'!D29*СПРАВОЧНИК!$J$9+'ПЛАН ЧЕРН К1'!E29*СПРАВОЧНИК!$H$10+'ПЛАН ЧЕРН К1'!F29*СПРАВОЧНИК!$I$10+'ПЛАН ЧЕРН К1'!G29*СПРАВОЧНИК!$J$10+'ПЛАН ЧЕРН К1'!H29*СПРАВОЧНИК!$H$11+'ПЛАН ЧЕРН К1'!I29*СПРАВОЧНИК!$I$11+'ПЛАН ЧЕРН К1'!J29*СПРАВОЧНИК!$J$11+'ПЛАН ЧЕРН К1'!K29*СПРАВОЧНИК!$H$12+'ПЛАН ЧЕРН К1'!L29*СПРАВОЧНИК!$I$12+'ПЛАН ЧЕРН К1'!M29*СПРАВОЧНИК!$J$12+'ПЛАН ЧЕРН К1'!N29*СПРАВОЧНИК!$H$13+'ПЛАН ЧЕРН К1'!O29*СПРАВОЧНИК!$I$13+'ПЛАН ЧЕРН К1'!P29*СПРАВОЧНИК!$J$13+'ПЛАН ЧЕРН К1'!Q29*СПРАВОЧНИК!$H$14+'ПЛАН ЧЕРН К1'!R29*СПРАВОЧНИК!$I$14+'ПЛАН ЧЕРН К1'!S29*СПРАВОЧНИК!$J$14+'ПЛАН ЧЕРН К1'!T29*СПРАВОЧНИК!$H$15+'ПЛАН ЧЕРН К1'!U29*СПРАВОЧНИК!$I$15+'ПЛАН ЧЕРН К1'!V29*СПРАВОЧНИК!$J$15</f>
        <v/>
      </c>
      <c r="AB38" s="31">
        <f>('ФАКТ ЧЕРН К1'!B29)*СПРАВОЧНИК!$H$9+('ФАКТ ЧЕРН К1'!C29)*СПРАВОЧНИК!$I$9+('ФАКТ ЧЕРН К1'!D29)*СПРАВОЧНИК!$J$9+('ФАКТ ЧЕРН К1'!E29)*СПРАВОЧНИК!$H$10+('ФАКТ ЧЕРН К1'!F29)*СПРАВОЧНИК!$I$10+('ФАКТ ЧЕРН К1'!G29)*СПРАВОЧНИК!$J$10+('ФАКТ ЧЕРН К1'!H29)*СПРАВОЧНИК!$H$11+('ФАКТ ЧЕРН К1'!I29)*СПРАВОЧНИК!$I$11+('ФАКТ ЧЕРН К1'!J29)*СПРАВОЧНИК!$J$11+('ФАКТ ЧЕРН К1'!K29)*СПРАВОЧНИК!$H$12+('ФАКТ ЧЕРН К1'!L29)*СПРАВОЧНИК!$I$12+('ФАКТ ЧЕРН К1'!M29)*СПРАВОЧНИК!$J$12+('ФАКТ ЧЕРН К1'!N29)*СПРАВОЧНИК!$H$13+('ФАКТ ЧЕРН К1'!O29)*СПРАВОЧНИК!$I$13+('ФАКТ ЧЕРН К1'!P29)*СПРАВОЧНИК!$J$13+('ФАКТ ЧЕРН К1'!Q29)*СПРАВОЧНИК!$H$14+('ФАКТ ЧЕРН К1'!R29)*СПРАВОЧНИК!$I$14+('ФАКТ ЧЕРН К1'!S29)*СПРАВОЧНИК!$J$14+('ФАКТ ЧЕРН К1'!T29)*СПРАВОЧНИК!$H$15+('ФАКТ ЧЕРН К1'!U29)*СПРАВОЧНИК!$I$15+('ФАКТ ЧЕРН К1'!V29)*СПРАВОЧНИК!$J$15</f>
        <v/>
      </c>
      <c r="AC38" s="34" t="n"/>
      <c r="AF38" s="152">
        <f>AF37+7</f>
        <v/>
      </c>
      <c r="AG38" s="17">
        <f>'ПЛАН ЧИСТ К1'!B29*СПРАВОЧНИК!$L$9+'ПЛАН ЧИСТ К1'!C29*СПРАВОЧНИК!$M$9+'ПЛАН ЧИСТ К1'!D29*СПРАВОЧНИК!$N$9+'ПЛАН ЧИСТ К1'!E29*СПРАВОЧНИК!$O$9+'ПЛАН ЧИСТ К1'!F29*СПРАВОЧНИК!$P$9+'ПЛАН ЧИСТ К1'!G29*СПРАВОЧНИК!$L$10+'ПЛАН ЧИСТ К1'!H29*СПРАВОЧНИК!$M$10+'ПЛАН ЧИСТ К1'!I29*СПРАВОЧНИК!$N$10+'ПЛАН ЧИСТ К1'!J29*СПРАВОЧНИК!$O$10+'ПЛАН ЧИСТ К1'!K29*СПРАВОЧНИК!$P$10+'ПЛАН ЧИСТ К1'!L29*СПРАВОЧНИК!$L$11+'ПЛАН ЧИСТ К1'!M29*СПРАВОЧНИК!$M$11+'ПЛАН ЧИСТ К1'!N29*СПРАВОЧНИК!$N$11+'ПЛАН ЧИСТ К1'!O29*СПРАВОЧНИК!$O$11+'ПЛАН ЧИСТ К1'!P29*СПРАВОЧНИК!$P$11+'ПЛАН ЧИСТ К1'!Q29*СПРАВОЧНИК!$L$12+'ПЛАН ЧИСТ К1'!R29*СПРАВОЧНИК!$M$12+'ПЛАН ЧИСТ К1'!S29*СПРАВОЧНИК!$N$12+'ПЛАН ЧИСТ К1'!T29*СПРАВОЧНИК!$O$12+'ПЛАН ЧИСТ К1'!U29*СПРАВОЧНИК!$P$12+'ПЛАН ЧИСТ К1'!V29*СПРАВОЧНИК!$L$13+'ПЛАН ЧИСТ К1'!W29*СПРАВОЧНИК!$M$13+'ПЛАН ЧИСТ К1'!X29*СПРАВОЧНИК!$N$13+'ПЛАН ЧИСТ К1'!Y29*СПРАВОЧНИК!$O$13+'ПЛАН ЧИСТ К1'!Z29*СПРАВОЧНИК!$P$13+'ПЛАН ЧИСТ К1'!AA29*СПРАВОЧНИК!$L$14+'ПЛАН ЧИСТ К1'!AB29*СПРАВОЧНИК!$M$14+'ПЛАН ЧИСТ К1'!AC29*СПРАВОЧНИК!$N$14+'ПЛАН ЧИСТ К1'!AD29*СПРАВОЧНИК!$O$14+'ПЛАН ЧИСТ К1'!AE29*СПРАВОЧНИК!$P$14+'ПЛАН ЧИСТ К1'!AF29*СПРАВОЧНИК!$L$15+'ПЛАН ЧИСТ К1'!AG29*СПРАВОЧНИК!$M$15+'ПЛАН ЧИСТ К1'!AH29*СПРАВОЧНИК!$N$15+'ПЛАН ЧИСТ К1'!AI29*СПРАВОЧНИК!$O$15+'ПЛАН ЧИСТ К1'!AJ29*СПРАВОЧНИК!$P$15</f>
        <v/>
      </c>
      <c r="AH38" s="31">
        <f>('ФАКТ ЧИСТ К1'!B29)*СПРАВОЧНИК!$L$9+('ФАКТ ЧИСТ К1'!C29)*СПРАВОЧНИК!$M$9+('ФАКТ ЧИСТ К1'!D29)*СПРАВОЧНИК!$N$9+('ФАКТ ЧИСТ К1'!E29)*СПРАВОЧНИК!$O$9+('ФАКТ ЧИСТ К1'!F29)*СПРАВОЧНИК!$P$9+('ФАКТ ЧИСТ К1'!G29)*СПРАВОЧНИК!$L$10+('ФАКТ ЧИСТ К1'!H29)*СПРАВОЧНИК!$M$10+('ФАКТ ЧИСТ К1'!I29)*СПРАВОЧНИК!$N$10+('ФАКТ ЧИСТ К1'!J29)*СПРАВОЧНИК!$O$10+('ФАКТ ЧИСТ К1'!K29)*СПРАВОЧНИК!$P$10+('ФАКТ ЧИСТ К1'!L29)*СПРАВОЧНИК!$L$11+('ФАКТ ЧИСТ К1'!M29)*СПРАВОЧНИК!$M$11+('ФАКТ ЧИСТ К1'!N29)*СПРАВОЧНИК!$N$11+('ФАКТ ЧИСТ К1'!O29)*СПРАВОЧНИК!$O$11+('ФАКТ ЧИСТ К1'!P29)*СПРАВОЧНИК!$P$11+('ФАКТ ЧИСТ К1'!Q29)*СПРАВОЧНИК!$L$12+('ФАКТ ЧИСТ К1'!R29)*СПРАВОЧНИК!$M$12+('ФАКТ ЧИСТ К1'!S29)*СПРАВОЧНИК!$N$12+('ФАКТ ЧИСТ К1'!T29)*СПРАВОЧНИК!$O$12+('ФАКТ ЧИСТ К1'!U29)*СПРАВОЧНИК!$P$12+('ФАКТ ЧИСТ К1'!V29)*СПРАВОЧНИК!$L$13+('ФАКТ ЧИСТ К1'!W29)*СПРАВОЧНИК!$M$13+('ФАКТ ЧИСТ К1'!X29)*СПРАВОЧНИК!$N$13+('ФАКТ ЧИСТ К1'!Y29)*СПРАВОЧНИК!$O$13+('ФАКТ ЧИСТ К1'!Z29)*СПРАВОЧНИК!$P$13+('ФАКТ ЧИСТ К1'!AA29)*СПРАВОЧНИК!$L$14+('ФАКТ ЧИСТ К1'!AB29)*СПРАВОЧНИК!$M$14+('ФАКТ ЧИСТ К1'!AC29)*СПРАВОЧНИК!$N$14+('ФАКТ ЧИСТ К1'!AD29)*СПРАВОЧНИК!$O$14+('ФАКТ ЧИСТ К1'!AE29)*СПРАВОЧНИК!$P$14+('ФАКТ ЧИСТ К1'!AF29)*СПРАВОЧНИК!$L$15+('ФАКТ ЧИСТ К1'!AG29)*СПРАВОЧНИК!$M$15+('ФАКТ ЧИСТ К1'!AH29)*СПРАВОЧНИК!$N$15+('ФАКТ ЧИСТ К1'!AI29)*СПРАВОЧНИК!$O$15+('ФАКТ ЧИСТ К1'!AJ29)*СПРАВОЧНИК!$P$15</f>
        <v/>
      </c>
      <c r="AI38" s="34" t="n"/>
      <c r="AL38" s="152">
        <f>AL37+7</f>
        <v/>
      </c>
      <c r="AM38" s="17">
        <f>СПРАВОЧНИК!$E$9*('ПЛАН ЧЕРН К2'!B29*СПРАВОЧНИК!$H$9+'ПЛАН ЧЕРН К2'!C29*СПРАВОЧНИК!$I$9+'ПЛАН ЧЕРН К2'!D29*СПРАВОЧНИК!$J$9)+СПРАВОЧНИК!$F$9*('ПЛАН ЧИСТ К2'!B29*СПРАВОЧНИК!$L$9+'ПЛАН ЧИСТ К2'!C29*СПРАВОЧНИК!$M$9+'ПЛАН ЧИСТ К2'!D29*СПРАВОЧНИК!$N$9+'ПЛАН ЧИСТ К2'!E29*СПРАВОЧНИК!$O$9+'ПЛАН ЧИСТ К2'!F29*СПРАВОЧНИК!$P$9)+СПРАВОЧНИК!$E$10*('ПЛАН ЧЕРН К2'!E29*СПРАВОЧНИК!$H$10+'ПЛАН ЧЕРН К2'!F29*СПРАВОЧНИК!$I$10+'ПЛАН ЧЕРН К2'!G29*СПРАВОЧНИК!$J$10)+СПРАВОЧНИК!$F$10*('ПЛАН ЧИСТ К2'!G29*СПРАВОЧНИК!$L$10+'ПЛАН ЧИСТ К2'!H29*СПРАВОЧНИК!$M$10+'ПЛАН ЧИСТ К2'!I29*СПРАВОЧНИК!$N$10+'ПЛАН ЧИСТ К2'!J29*СПРАВОЧНИК!$O$10+'ПЛАН ЧИСТ К2'!K29*СПРАВОЧНИК!$P$10)+СПРАВОЧНИК!$E$11*('ПЛАН ЧЕРН К2'!H29*СПРАВОЧНИК!$H$11+'ПЛАН ЧЕРН К2'!I29*СПРАВОЧНИК!$I$11+'ПЛАН ЧЕРН К2'!J29*СПРАВОЧНИК!$J$11)+СПРАВОЧНИК!$F$11*('ПЛАН ЧИСТ К2'!L29*СПРАВОЧНИК!$L$11+'ПЛАН ЧИСТ К2'!M29*СПРАВОЧНИК!$M$11+'ПЛАН ЧИСТ К2'!N29*СПРАВОЧНИК!$N$11+'ПЛАН ЧИСТ К2'!O29*СПРАВОЧНИК!$O$11+'ПЛАН ЧИСТ К2'!P29*СПРАВОЧНИК!$P$11)+СПРАВОЧНИК!$E$12*('ПЛАН ЧЕРН К2'!K29*СПРАВОЧНИК!$H$12+'ПЛАН ЧЕРН К2'!L29*СПРАВОЧНИК!$I$12+'ПЛАН ЧЕРН К2'!M29*СПРАВОЧНИК!$J$12)+СПРАВОЧНИК!$F$12*('ПЛАН ЧИСТ К2'!Q29*СПРАВОЧНИК!$L$12+'ПЛАН ЧИСТ К2'!R29*СПРАВОЧНИК!$M$12+'ПЛАН ЧИСТ К2'!S29*СПРАВОЧНИК!$N$12+'ПЛАН ЧИСТ К2'!T29*СПРАВОЧНИК!$O$12+'ПЛАН ЧИСТ К2'!U29*СПРАВОЧНИК!$P$12)+СПРАВОЧНИК!$E$13*('ПЛАН ЧЕРН К2'!N29*СПРАВОЧНИК!$H$13+'ПЛАН ЧЕРН К2'!O29*СПРАВОЧНИК!$I$13+'ПЛАН ЧЕРН К2'!P29*СПРАВОЧНИК!$J$13)+СПРАВОЧНИК!$F$13*('ПЛАН ЧИСТ К2'!V29*СПРАВОЧНИК!$L$13+'ПЛАН ЧИСТ К2'!W29*СПРАВОЧНИК!$M$13+'ПЛАН ЧИСТ К2'!X29*СПРАВОЧНИК!$N$13+'ПЛАН ЧИСТ К2'!Y29*СПРАВОЧНИК!$O$13+'ПЛАН ЧИСТ К2'!Z29*СПРАВОЧНИК!$P$13)+СПРАВОЧНИК!$E$14*('ПЛАН ЧЕРН К2'!Q29*СПРАВОЧНИК!$H$14+'ПЛАН ЧЕРН К2'!R29*СПРАВОЧНИК!$I$14+'ПЛАН ЧЕРН К2'!S29*СПРАВОЧНИК!$J$14)+СПРАВОЧНИК!$F$14*('ПЛАН ЧИСТ К2'!AA29*СПРАВОЧНИК!$L$14+'ПЛАН ЧИСТ К2'!AB29*СПРАВОЧНИК!$M$14+'ПЛАН ЧИСТ К2'!AC29*СПРАВОЧНИК!$N$14+'ПЛАН ЧИСТ К2'!AD29*СПРАВОЧНИК!$O$14+'ПЛАН ЧИСТ К2'!AE29*СПРАВОЧНИК!$P$14)+СПРАВОЧНИК!$E$15*('ПЛАН ЧЕРН К2'!T29*СПРАВОЧНИК!$H$15+'ПЛАН ЧЕРН К2'!U29*СПРАВОЧНИК!$I$15+'ПЛАН ЧЕРН К2'!V29*СПРАВОЧНИК!$J$15)+СПРАВОЧНИК!$F$15*('ПЛАН ЧИСТ К2'!AF29*СПРАВОЧНИК!$L$15+'ПЛАН ЧИСТ К2'!AG29*СПРАВОЧНИК!$M$15+'ПЛАН ЧИСТ К2'!AH29*СПРАВОЧНИК!$N$15+'ПЛАН ЧИСТ К2'!AI29*СПРАВОЧНИК!$O$15+'ПЛАН ЧИСТ К2'!AJ29*СПРАВОЧНИК!$P$15)</f>
        <v/>
      </c>
      <c r="AN38" s="31">
        <f>СПРАВОЧНИК!$E$9*('ФАКТ ЧЕРН К2'!B29*СПРАВОЧНИК!$H$9+'ФАКТ ЧЕРН К2'!C29*СПРАВОЧНИК!$I$9+'ФАКТ ЧЕРН К2'!D29*СПРАВОЧНИК!$J$9)+СПРАВОЧНИК!$F$9*('ФАКТ ЧИСТ К2'!B29*СПРАВОЧНИК!$L$9+'ФАКТ ЧИСТ К2'!C29*СПРАВОЧНИК!$M$9+'ФАКТ ЧИСТ К2'!D29*СПРАВОЧНИК!$N$9+'ФАКТ ЧИСТ К2'!E29*СПРАВОЧНИК!$O$9+'ФАКТ ЧИСТ К2'!F29*СПРАВОЧНИК!$P$9)+СПРАВОЧНИК!$E$10*('ФАКТ ЧЕРН К2'!E29*СПРАВОЧНИК!$H$10+'ФАКТ ЧЕРН К2'!F29*СПРАВОЧНИК!$I$10+'ФАКТ ЧЕРН К2'!G29*СПРАВОЧНИК!$J$10)+СПРАВОЧНИК!$F$10*('ФАКТ ЧИСТ К2'!G29*СПРАВОЧНИК!$L$10+'ФАКТ ЧИСТ К2'!H29*СПРАВОЧНИК!$M$10+'ФАКТ ЧИСТ К2'!I29*СПРАВОЧНИК!$N$10+'ФАКТ ЧИСТ К2'!J29*СПРАВОЧНИК!$O$10+'ФАКТ ЧИСТ К2'!K29*СПРАВОЧНИК!$P$10)+СПРАВОЧНИК!$E$11*('ФАКТ ЧЕРН К2'!H29*СПРАВОЧНИК!$H$11+'ФАКТ ЧЕРН К2'!I29*СПРАВОЧНИК!$I$11+'ФАКТ ЧЕРН К2'!J29*СПРАВОЧНИК!$J$11)+СПРАВОЧНИК!$F$11*('ФАКТ ЧИСТ К2'!L29*СПРАВОЧНИК!$L$11+'ФАКТ ЧИСТ К2'!M29*СПРАВОЧНИК!$M$11+'ФАКТ ЧИСТ К2'!N29*СПРАВОЧНИК!$N$11+'ФАКТ ЧИСТ К2'!O29*СПРАВОЧНИК!$O$11+'ФАКТ ЧИСТ К2'!P29*СПРАВОЧНИК!$P$11)+СПРАВОЧНИК!$E$12*('ФАКТ ЧЕРН К2'!K29*СПРАВОЧНИК!$H$12+'ФАКТ ЧЕРН К2'!L29*СПРАВОЧНИК!$I$12+'ФАКТ ЧЕРН К2'!M29*СПРАВОЧНИК!$J$12)+СПРАВОЧНИК!$F$12*('ФАКТ ЧИСТ К2'!Q29*СПРАВОЧНИК!$L$12+'ФАКТ ЧИСТ К2'!R29*СПРАВОЧНИК!$M$12+'ФАКТ ЧИСТ К2'!S29*СПРАВОЧНИК!$N$12+'ФАКТ ЧИСТ К2'!T29*СПРАВОЧНИК!$O$12+'ФАКТ ЧИСТ К2'!U29*СПРАВОЧНИК!$P$12)+СПРАВОЧНИК!$E$13*('ФАКТ ЧЕРН К2'!N29*СПРАВОЧНИК!$H$13+'ФАКТ ЧЕРН К2'!O29*СПРАВОЧНИК!$I$13+'ФАКТ ЧЕРН К2'!P29*СПРАВОЧНИК!$J$13)+СПРАВОЧНИК!$F$13*('ФАКТ ЧИСТ К2'!V29*СПРАВОЧНИК!$L$13+'ФАКТ ЧИСТ К2'!W29*СПРАВОЧНИК!$M$13+'ФАКТ ЧИСТ К2'!X29*СПРАВОЧНИК!$N$13+'ФАКТ ЧИСТ К2'!Y29*СПРАВОЧНИК!$O$13+'ФАКТ ЧИСТ К2'!Z29*СПРАВОЧНИК!$P$13)+СПРАВОЧНИК!$E$14*('ФАКТ ЧЕРН К2'!Q29*СПРАВОЧНИК!$H$14+'ФАКТ ЧЕРН К2'!R29*СПРАВОЧНИК!$I$14+'ФАКТ ЧЕРН К2'!S29*СПРАВОЧНИК!$J$14)+СПРАВОЧНИК!$F$14*('ФАКТ ЧИСТ К2'!AA29*СПРАВОЧНИК!$L$14+'ФАКТ ЧИСТ К2'!AB29*СПРАВОЧНИК!$M$14+'ФАКТ ЧИСТ К2'!AC29*СПРАВОЧНИК!$N$14+'ФАКТ ЧИСТ К2'!AD29*СПРАВОЧНИК!$O$14+'ФАКТ ЧИСТ К2'!AE29*СПРАВОЧНИК!$P$14)+СПРАВОЧНИК!$E$15*('ФАКТ ЧЕРН К2'!T29*СПРАВОЧНИК!$H$15+'ФАКТ ЧЕРН К2'!U29*СПРАВОЧНИК!$I$15+'ФАКТ ЧЕРН К2'!V29*СПРАВОЧНИК!$J$15)+СПРАВОЧНИК!$F$15*('ФАКТ ЧИСТ К2'!AF29*СПРАВОЧНИК!$L$15+'ФАКТ ЧИСТ К2'!AG29*СПРАВОЧНИК!$M$15+'ФАКТ ЧИСТ К2'!AH29*СПРАВОЧНИК!$N$15+'ФАКТ ЧИСТ К2'!AI29*СПРАВОЧНИК!$O$15+'ФАКТ ЧИСТ К2'!AJ29*СПРАВОЧНИК!$P$15)</f>
        <v/>
      </c>
      <c r="AO38" s="34" t="n"/>
      <c r="AR38" s="152">
        <f>AR37+7</f>
        <v/>
      </c>
      <c r="AS38" s="17">
        <f>'ПЛАН ЧЕРН К2'!B29*СПРАВОЧНИК!$H$9+'ПЛАН ЧЕРН К2'!C29*СПРАВОЧНИК!$I$9+'ПЛАН ЧЕРН К2'!D29*СПРАВОЧНИК!$J$9+'ПЛАН ЧЕРН К2'!E29*СПРАВОЧНИК!$H$10+'ПЛАН ЧЕРН К2'!F29*СПРАВОЧНИК!$I$10+'ПЛАН ЧЕРН К2'!G29*СПРАВОЧНИК!$J$10+'ПЛАН ЧЕРН К2'!H29*СПРАВОЧНИК!$H$11+'ПЛАН ЧЕРН К2'!I29*СПРАВОЧНИК!$I$11+'ПЛАН ЧЕРН К2'!J29*СПРАВОЧНИК!$J$11+'ПЛАН ЧЕРН К2'!K29*СПРАВОЧНИК!$H$12+'ПЛАН ЧЕРН К2'!L29*СПРАВОЧНИК!$I$12+'ПЛАН ЧЕРН К2'!M29*СПРАВОЧНИК!$J$12+'ПЛАН ЧЕРН К2'!N29*СПРАВОЧНИК!$H$13+'ПЛАН ЧЕРН К2'!O29*СПРАВОЧНИК!$I$13+'ПЛАН ЧЕРН К2'!P29*СПРАВОЧНИК!$J$13+'ПЛАН ЧЕРН К2'!Q29*СПРАВОЧНИК!$H$14+'ПЛАН ЧЕРН К2'!R29*СПРАВОЧНИК!$I$14+'ПЛАН ЧЕРН К2'!S29*СПРАВОЧНИК!$J$14+'ПЛАН ЧЕРН К2'!T29*СПРАВОЧНИК!$H$15+'ПЛАН ЧЕРН К2'!U29*СПРАВОЧНИК!$I$15+'ПЛАН ЧЕРН К2'!V29*СПРАВОЧНИК!$J$15</f>
        <v/>
      </c>
      <c r="AT38" s="31">
        <f>('ФАКТ ЧЕРН К2'!B29)*СПРАВОЧНИК!$H$9+('ФАКТ ЧЕРН К2'!C29)*СПРАВОЧНИК!$I$9+('ФАКТ ЧЕРН К2'!D29)*СПРАВОЧНИК!$J$9+('ФАКТ ЧЕРН К2'!E29)*СПРАВОЧНИК!$H$10+('ФАКТ ЧЕРН К2'!F29)*СПРАВОЧНИК!$I$10+('ФАКТ ЧЕРН К2'!G29)*СПРАВОЧНИК!$J$10+('ФАКТ ЧЕРН К2'!H29)*СПРАВОЧНИК!$H$11+('ФАКТ ЧЕРН К2'!I29)*СПРАВОЧНИК!$I$11+('ФАКТ ЧЕРН К2'!J29)*СПРАВОЧНИК!$J$11+('ФАКТ ЧЕРН К2'!K29)*СПРАВОЧНИК!$H$12+('ФАКТ ЧЕРН К2'!L29)*СПРАВОЧНИК!$I$12+('ФАКТ ЧЕРН К2'!M29)*СПРАВОЧНИК!$J$12+('ФАКТ ЧЕРН К2'!N29)*СПРАВОЧНИК!$H$13+('ФАКТ ЧЕРН К2'!O29)*СПРАВОЧНИК!$I$13+('ФАКТ ЧЕРН К2'!P29)*СПРАВОЧНИК!$J$13+('ФАКТ ЧЕРН К2'!Q29)*СПРАВОЧНИК!$H$14+('ФАКТ ЧЕРН К2'!R29)*СПРАВОЧНИК!$I$14+('ФАКТ ЧЕРН К2'!S29)*СПРАВОЧНИК!$J$14+('ФАКТ ЧЕРН К2'!T29)*СПРАВОЧНИК!$H$15+('ФАКТ ЧЕРН К2'!U29)*СПРАВОЧНИК!$I$15+('ФАКТ ЧЕРН К2'!V29)*СПРАВОЧНИК!$J$15</f>
        <v/>
      </c>
      <c r="AU38" s="34" t="n"/>
      <c r="AX38" s="152">
        <f>AX37+7</f>
        <v/>
      </c>
      <c r="AY38" s="17">
        <f>'ПЛАН ЧИСТ К2'!B29*СПРАВОЧНИК!$L$9+'ПЛАН ЧИСТ К2'!C29*СПРАВОЧНИК!$M$9+'ПЛАН ЧИСТ К2'!D29*СПРАВОЧНИК!$N$9+'ПЛАН ЧИСТ К2'!E29*СПРАВОЧНИК!$O$9+'ПЛАН ЧИСТ К2'!F29*СПРАВОЧНИК!$P$9+'ПЛАН ЧИСТ К2'!G29*СПРАВОЧНИК!$L$10+'ПЛАН ЧИСТ К2'!H29*СПРАВОЧНИК!$M$10+'ПЛАН ЧИСТ К2'!I29*СПРАВОЧНИК!$N$10+'ПЛАН ЧИСТ К2'!J29*СПРАВОЧНИК!$O$10+'ПЛАН ЧИСТ К2'!K29*СПРАВОЧНИК!$P$10+'ПЛАН ЧИСТ К2'!L29*СПРАВОЧНИК!$L$11+'ПЛАН ЧИСТ К2'!M29*СПРАВОЧНИК!$M$11+'ПЛАН ЧИСТ К2'!N29*СПРАВОЧНИК!$N$11+'ПЛАН ЧИСТ К2'!O29*СПРАВОЧНИК!$O$11+'ПЛАН ЧИСТ К2'!P29*СПРАВОЧНИК!$P$11+'ПЛАН ЧИСТ К2'!Q29*СПРАВОЧНИК!$L$12+'ПЛАН ЧИСТ К2'!R29*СПРАВОЧНИК!$M$12+'ПЛАН ЧИСТ К2'!S29*СПРАВОЧНИК!$N$12+'ПЛАН ЧИСТ К2'!T29*СПРАВОЧНИК!$O$12+'ПЛАН ЧИСТ К2'!U29*СПРАВОЧНИК!$P$12+'ПЛАН ЧИСТ К2'!V29*СПРАВОЧНИК!$L$13+'ПЛАН ЧИСТ К2'!W29*СПРАВОЧНИК!$M$13+'ПЛАН ЧИСТ К2'!X29*СПРАВОЧНИК!$N$13+'ПЛАН ЧИСТ К2'!Y29*СПРАВОЧНИК!$O$13+'ПЛАН ЧИСТ К2'!Z29*СПРАВОЧНИК!$P$13+'ПЛАН ЧИСТ К2'!AA29*СПРАВОЧНИК!$L$14+'ПЛАН ЧИСТ К2'!AB29*СПРАВОЧНИК!$M$14+'ПЛАН ЧИСТ К2'!AC29*СПРАВОЧНИК!$N$14+'ПЛАН ЧИСТ К2'!AD29*СПРАВОЧНИК!$O$14+'ПЛАН ЧИСТ К2'!AE29*СПРАВОЧНИК!$P$14+'ПЛАН ЧИСТ К2'!AF29*СПРАВОЧНИК!$L$15+'ПЛАН ЧИСТ К2'!AG29*СПРАВОЧНИК!$M$15+'ПЛАН ЧИСТ К2'!AH29*СПРАВОЧНИК!$N$15+'ПЛАН ЧИСТ К2'!AI29*СПРАВОЧНИК!$O$15+'ПЛАН ЧИСТ К2'!AJ29*СПРАВОЧНИК!$P$15</f>
        <v/>
      </c>
      <c r="AZ38" s="31">
        <f>('ФАКТ ЧИСТ К2'!B29)*СПРАВОЧНИК!$L$9+('ФАКТ ЧИСТ К2'!C29)*СПРАВОЧНИК!$M$9+('ФАКТ ЧИСТ К2'!D29)*СПРАВОЧНИК!$N$9+('ФАКТ ЧИСТ К2'!E29)*СПРАВОЧНИК!$O$9+('ФАКТ ЧИСТ К2'!F29)*СПРАВОЧНИК!$P$9+('ФАКТ ЧИСТ К2'!G29)*СПРАВОЧНИК!$L$10+('ФАКТ ЧИСТ К2'!H29)*СПРАВОЧНИК!$M$10+('ФАКТ ЧИСТ К2'!I29)*СПРАВОЧНИК!$N$10+('ФАКТ ЧИСТ К2'!J29)*СПРАВОЧНИК!$O$10+('ФАКТ ЧИСТ К2'!K29)*СПРАВОЧНИК!$P$10+('ФАКТ ЧИСТ К2'!L29)*СПРАВОЧНИК!$L$11+('ФАКТ ЧИСТ К2'!M29)*СПРАВОЧНИК!$M$11+('ФАКТ ЧИСТ К2'!N29)*СПРАВОЧНИК!$N$11+('ФАКТ ЧИСТ К2'!O29)*СПРАВОЧНИК!$O$11+('ФАКТ ЧИСТ К2'!P29)*СПРАВОЧНИК!$P$11+('ФАКТ ЧИСТ К2'!Q29)*СПРАВОЧНИК!$L$12+('ФАКТ ЧИСТ К2'!R29)*СПРАВОЧНИК!$M$12+('ФАКТ ЧИСТ К2'!S29)*СПРАВОЧНИК!$N$12+('ФАКТ ЧИСТ К2'!T29)*СПРАВОЧНИК!$O$12+('ФАКТ ЧИСТ К2'!U29)*СПРАВОЧНИК!$P$12+('ФАКТ ЧИСТ К2'!V29)*СПРАВОЧНИК!$L$13+('ФАКТ ЧИСТ К2'!W29)*СПРАВОЧНИК!$M$13+('ФАКТ ЧИСТ К2'!X29)*СПРАВОЧНИК!$N$13+('ФАКТ ЧИСТ К2'!Y29)*СПРАВОЧНИК!$O$13+('ФАКТ ЧИСТ К2'!Z29)*СПРАВОЧНИК!$P$13+('ФАКТ ЧИСТ К2'!AA29)*СПРАВОЧНИК!$L$14+('ФАКТ ЧИСТ К2'!AB29)*СПРАВОЧНИК!$M$14+('ФАКТ ЧИСТ К2'!AC29)*СПРАВОЧНИК!$N$14+('ФАКТ ЧИСТ К2'!AD29)*СПРАВОЧНИК!$O$14+('ФАКТ ЧИСТ К2'!AE29)*СПРАВОЧНИК!$P$14+('ФАКТ ЧИСТ К2'!AF29)*СПРАВОЧНИК!$L$15+('ФАКТ ЧИСТ К2'!AG29)*СПРАВОЧНИК!$M$15+('ФАКТ ЧИСТ К2'!AH29)*СПРАВОЧНИК!$N$15+('ФАКТ ЧИСТ К2'!AI29)*СПРАВОЧНИК!$O$15+('ФАКТ ЧИСТ К2'!AJ29)*СПРАВОЧНИК!$P$15</f>
        <v/>
      </c>
      <c r="BA38" s="34" t="n"/>
      <c r="BD38" s="152">
        <f>BD37+7</f>
        <v/>
      </c>
      <c r="BE38" s="17">
        <f>СПРАВОЧНИК!$E$9*('ПЛАН ЧЕРН К3'!B29*СПРАВОЧНИК!$H$9+'ПЛАН ЧЕРН К3'!C29*СПРАВОЧНИК!$I$9+'ПЛАН ЧЕРН К3'!D29*СПРАВОЧНИК!$J$9)+СПРАВОЧНИК!$F$9*('ПЛАН ЧИСТ К3'!B29*СПРАВОЧНИК!$L$9+'ПЛАН ЧИСТ К3'!C29*СПРАВОЧНИК!$M$9+'ПЛАН ЧИСТ К3'!D29*СПРАВОЧНИК!$N$9+'ПЛАН ЧИСТ К3'!E29*СПРАВОЧНИК!$O$9+'ПЛАН ЧИСТ К3'!F29*СПРАВОЧНИК!$P$9)+СПРАВОЧНИК!$E$10*('ПЛАН ЧЕРН К3'!E29*СПРАВОЧНИК!$H$10+'ПЛАН ЧЕРН К3'!F29*СПРАВОЧНИК!$I$10+'ПЛАН ЧЕРН К3'!G29*СПРАВОЧНИК!$J$10)+СПРАВОЧНИК!$F$10*('ПЛАН ЧИСТ К3'!G29*СПРАВОЧНИК!$L$10+'ПЛАН ЧИСТ К3'!H29*СПРАВОЧНИК!$M$10+'ПЛАН ЧИСТ К3'!I29*СПРАВОЧНИК!$N$10+'ПЛАН ЧИСТ К3'!J29*СПРАВОЧНИК!$O$10+'ПЛАН ЧИСТ К3'!K29*СПРАВОЧНИК!$P$10)+СПРАВОЧНИК!$E$11*('ПЛАН ЧЕРН К3'!H29*СПРАВОЧНИК!$H$11+'ПЛАН ЧЕРН К3'!I29*СПРАВОЧНИК!$I$11+'ПЛАН ЧЕРН К3'!J29*СПРАВОЧНИК!$J$11)+СПРАВОЧНИК!$F$11*('ПЛАН ЧИСТ К3'!L29*СПРАВОЧНИК!$L$11+'ПЛАН ЧИСТ К3'!M29*СПРАВОЧНИК!$M$11+'ПЛАН ЧИСТ К3'!N29*СПРАВОЧНИК!$N$11+'ПЛАН ЧИСТ К3'!O29*СПРАВОЧНИК!$O$11+'ПЛАН ЧИСТ К3'!P29*СПРАВОЧНИК!$P$11)+СПРАВОЧНИК!$E$12*('ПЛАН ЧЕРН К3'!K29*СПРАВОЧНИК!$H$12+'ПЛАН ЧЕРН К3'!L29*СПРАВОЧНИК!$I$12+'ПЛАН ЧЕРН К3'!M29*СПРАВОЧНИК!$J$12)+СПРАВОЧНИК!$F$12*('ПЛАН ЧИСТ К3'!Q29*СПРАВОЧНИК!$L$12+'ПЛАН ЧИСТ К3'!R29*СПРАВОЧНИК!$M$12+'ПЛАН ЧИСТ К3'!S29*СПРАВОЧНИК!$N$12+'ПЛАН ЧИСТ К3'!T29*СПРАВОЧНИК!$O$12+'ПЛАН ЧИСТ К3'!U29*СПРАВОЧНИК!$P$12)+СПРАВОЧНИК!$E$13*('ПЛАН ЧЕРН К3'!N29*СПРАВОЧНИК!$H$13+'ПЛАН ЧЕРН К3'!O29*СПРАВОЧНИК!$I$13+'ПЛАН ЧЕРН К3'!P29*СПРАВОЧНИК!$J$13)+СПРАВОЧНИК!$F$13*('ПЛАН ЧИСТ К3'!V29*СПРАВОЧНИК!$L$13+'ПЛАН ЧИСТ К3'!W29*СПРАВОЧНИК!$M$13+'ПЛАН ЧИСТ К3'!X29*СПРАВОЧНИК!$N$13+'ПЛАН ЧИСТ К3'!Y29*СПРАВОЧНИК!$O$13+'ПЛАН ЧИСТ К3'!Z29*СПРАВОЧНИК!$P$13)+СПРАВОЧНИК!$E$14*('ПЛАН ЧЕРН К3'!Q29*СПРАВОЧНИК!$H$14+'ПЛАН ЧЕРН К3'!R29*СПРАВОЧНИК!$I$14+'ПЛАН ЧЕРН К3'!S29*СПРАВОЧНИК!$J$14)+СПРАВОЧНИК!$F$14*('ПЛАН ЧИСТ К3'!AA29*СПРАВОЧНИК!$L$14+'ПЛАН ЧИСТ К3'!AB29*СПРАВОЧНИК!$M$14+'ПЛАН ЧИСТ К3'!AC29*СПРАВОЧНИК!$N$14+'ПЛАН ЧИСТ К3'!AD29*СПРАВОЧНИК!$O$14+'ПЛАН ЧИСТ К3'!AE29*СПРАВОЧНИК!$P$14)+СПРАВОЧНИК!$E$15*('ПЛАН ЧЕРН К3'!T29*СПРАВОЧНИК!$H$15+'ПЛАН ЧЕРН К3'!U29*СПРАВОЧНИК!$I$15+'ПЛАН ЧЕРН К3'!V29*СПРАВОЧНИК!$J$15)+СПРАВОЧНИК!$F$15*('ПЛАН ЧИСТ К3'!AF29*СПРАВОЧНИК!$L$15+'ПЛАН ЧИСТ К3'!AG29*СПРАВОЧНИК!$M$15+'ПЛАН ЧИСТ К3'!AH29*СПРАВОЧНИК!$N$15+'ПЛАН ЧИСТ К3'!AI29*СПРАВОЧНИК!$O$15+'ПЛАН ЧИСТ К3'!AJ29*СПРАВОЧНИК!$P$15)</f>
        <v/>
      </c>
      <c r="BF38" s="31">
        <f>СПРАВОЧНИК!$E$9*('ФАКТ ЧЕРН К3'!B29*СПРАВОЧНИК!$H$9+'ФАКТ ЧЕРН К3'!C29*СПРАВОЧНИК!$I$9+'ФАКТ ЧЕРН К3'!D29*СПРАВОЧНИК!$J$9)+СПРАВОЧНИК!$F$9*('ФАКТ ЧИСТ К3'!B29*СПРАВОЧНИК!$L$9+'ФАКТ ЧИСТ К3'!C29*СПРАВОЧНИК!$M$9+'ФАКТ ЧИСТ К3'!D29*СПРАВОЧНИК!$N$9+'ФАКТ ЧИСТ К3'!E29*СПРАВОЧНИК!$O$9+'ФАКТ ЧИСТ К3'!F29*СПРАВОЧНИК!$P$9)+СПРАВОЧНИК!$E$10*('ФАКТ ЧЕРН К3'!E29*СПРАВОЧНИК!$H$10+'ФАКТ ЧЕРН К3'!F29*СПРАВОЧНИК!$I$10+'ФАКТ ЧЕРН К3'!G29*СПРАВОЧНИК!$J$10)+СПРАВОЧНИК!$F$10*('ФАКТ ЧИСТ К3'!G29*СПРАВОЧНИК!$L$10+'ФАКТ ЧИСТ К3'!H29*СПРАВОЧНИК!$M$10+'ФАКТ ЧИСТ К3'!I29*СПРАВОЧНИК!$N$10+'ФАКТ ЧИСТ К3'!J29*СПРАВОЧНИК!$O$10+'ФАКТ ЧИСТ К3'!K29*СПРАВОЧНИК!$P$10)+СПРАВОЧНИК!$E$11*('ФАКТ ЧЕРН К3'!H29*СПРАВОЧНИК!$H$11+'ФАКТ ЧЕРН К3'!I29*СПРАВОЧНИК!$I$11+'ФАКТ ЧЕРН К3'!J29*СПРАВОЧНИК!$J$11)+СПРАВОЧНИК!$F$11*('ФАКТ ЧИСТ К3'!L29*СПРАВОЧНИК!$L$11+'ФАКТ ЧИСТ К3'!M29*СПРАВОЧНИК!$M$11+'ФАКТ ЧИСТ К3'!N29*СПРАВОЧНИК!$N$11+'ФАКТ ЧИСТ К3'!O29*СПРАВОЧНИК!$O$11+'ФАКТ ЧИСТ К3'!P29*СПРАВОЧНИК!$P$11)+СПРАВОЧНИК!$E$12*('ФАКТ ЧЕРН К3'!K29*СПРАВОЧНИК!$H$12+'ФАКТ ЧЕРН К3'!L29*СПРАВОЧНИК!$I$12+'ФАКТ ЧЕРН К3'!M29*СПРАВОЧНИК!$J$12)+СПРАВОЧНИК!$F$12*('ФАКТ ЧИСТ К3'!Q29*СПРАВОЧНИК!$L$12+'ФАКТ ЧИСТ К3'!R29*СПРАВОЧНИК!$M$12+'ФАКТ ЧИСТ К3'!S29*СПРАВОЧНИК!$N$12+'ФАКТ ЧИСТ К3'!T29*СПРАВОЧНИК!$O$12+'ФАКТ ЧИСТ К3'!U29*СПРАВОЧНИК!$P$12)+СПРАВОЧНИК!$E$13*('ФАКТ ЧЕРН К3'!N29*СПРАВОЧНИК!$H$13+'ФАКТ ЧЕРН К3'!O29*СПРАВОЧНИК!$I$13+'ФАКТ ЧЕРН К3'!P29*СПРАВОЧНИК!$J$13)+СПРАВОЧНИК!$F$13*('ФАКТ ЧИСТ К3'!V29*СПРАВОЧНИК!$L$13+'ФАКТ ЧИСТ К3'!W29*СПРАВОЧНИК!$M$13+'ФАКТ ЧИСТ К3'!X29*СПРАВОЧНИК!$N$13+'ФАКТ ЧИСТ К3'!Y29*СПРАВОЧНИК!$O$13+'ФАКТ ЧИСТ К3'!Z29*СПРАВОЧНИК!$P$13)+СПРАВОЧНИК!$E$14*('ФАКТ ЧЕРН К3'!Q29*СПРАВОЧНИК!$H$14+'ФАКТ ЧЕРН К3'!R29*СПРАВОЧНИК!$I$14+'ФАКТ ЧЕРН К3'!S29*СПРАВОЧНИК!$J$14)+СПРАВОЧНИК!$F$14*('ФАКТ ЧИСТ К3'!AA29*СПРАВОЧНИК!$L$14+'ФАКТ ЧИСТ К3'!AB29*СПРАВОЧНИК!$M$14+'ФАКТ ЧИСТ К3'!AC29*СПРАВОЧНИК!$N$14+'ФАКТ ЧИСТ К3'!AD29*СПРАВОЧНИК!$O$14+'ФАКТ ЧИСТ К3'!AE29*СПРАВОЧНИК!$P$14)+СПРАВОЧНИК!$E$15*('ФАКТ ЧЕРН К3'!T29*СПРАВОЧНИК!$H$15+'ФАКТ ЧЕРН К3'!U29*СПРАВОЧНИК!$I$15+'ФАКТ ЧЕРН К3'!V29*СПРАВОЧНИК!$J$15)+СПРАВОЧНИК!$F$15*('ФАКТ ЧИСТ К3'!AF29*СПРАВОЧНИК!$L$15+'ФАКТ ЧИСТ К3'!AG29*СПРАВОЧНИК!$M$15+'ФАКТ ЧИСТ К3'!AH29*СПРАВОЧНИК!$N$15+'ФАКТ ЧИСТ К3'!AI29*СПРАВОЧНИК!$O$15+'ФАКТ ЧИСТ К3'!AJ29*СПРАВОЧНИК!$P$15)</f>
        <v/>
      </c>
      <c r="BG38" s="34" t="n"/>
      <c r="BJ38" s="152">
        <f>BJ37+7</f>
        <v/>
      </c>
      <c r="BK38" s="17">
        <f>'ПЛАН ЧЕРН К3'!B29*СПРАВОЧНИК!$H$9+'ПЛАН ЧЕРН К3'!C29*СПРАВОЧНИК!$I$9+'ПЛАН ЧЕРН К3'!D29*СПРАВОЧНИК!$J$9+'ПЛАН ЧЕРН К3'!E29*СПРАВОЧНИК!$H$10+'ПЛАН ЧЕРН К3'!F29*СПРАВОЧНИК!$I$10+'ПЛАН ЧЕРН К3'!G29*СПРАВОЧНИК!$J$10+'ПЛАН ЧЕРН К3'!H29*СПРАВОЧНИК!$H$11+'ПЛАН ЧЕРН К3'!I29*СПРАВОЧНИК!$I$11+'ПЛАН ЧЕРН К3'!J29*СПРАВОЧНИК!$J$11+'ПЛАН ЧЕРН К3'!K29*СПРАВОЧНИК!$H$12+'ПЛАН ЧЕРН К3'!L29*СПРАВОЧНИК!$I$12+'ПЛАН ЧЕРН К3'!M29*СПРАВОЧНИК!$J$12+'ПЛАН ЧЕРН К3'!N29*СПРАВОЧНИК!$H$13+'ПЛАН ЧЕРН К3'!O29*СПРАВОЧНИК!$I$13+'ПЛАН ЧЕРН К3'!P29*СПРАВОЧНИК!$J$13+'ПЛАН ЧЕРН К3'!Q29*СПРАВОЧНИК!$H$14+'ПЛАН ЧЕРН К3'!R29*СПРАВОЧНИК!$I$14+'ПЛАН ЧЕРН К3'!S29*СПРАВОЧНИК!$J$14+'ПЛАН ЧЕРН К3'!T29*СПРАВОЧНИК!$H$15+'ПЛАН ЧЕРН К3'!U29*СПРАВОЧНИК!$I$15+'ПЛАН ЧЕРН К3'!V29*СПРАВОЧНИК!$J$15</f>
        <v/>
      </c>
      <c r="BL38" s="31">
        <f>('ФАКТ ЧЕРН К3'!B29)*СПРАВОЧНИК!$H$9+('ФАКТ ЧЕРН К3'!C29)*СПРАВОЧНИК!$I$9+('ФАКТ ЧЕРН К3'!D29)*СПРАВОЧНИК!$J$9+('ФАКТ ЧЕРН К3'!E29)*СПРАВОЧНИК!$H$10+('ФАКТ ЧЕРН К3'!F29)*СПРАВОЧНИК!$I$10+('ФАКТ ЧЕРН К3'!G29)*СПРАВОЧНИК!$J$10+('ФАКТ ЧЕРН К3'!H29)*СПРАВОЧНИК!$H$11+('ФАКТ ЧЕРН К3'!I29)*СПРАВОЧНИК!$I$11+('ФАКТ ЧЕРН К3'!J29)*СПРАВОЧНИК!$J$11+('ФАКТ ЧЕРН К3'!K29)*СПРАВОЧНИК!$H$12+('ФАКТ ЧЕРН К3'!L29)*СПРАВОЧНИК!$I$12+('ФАКТ ЧЕРН К3'!M29)*СПРАВОЧНИК!$J$12+('ФАКТ ЧЕРН К3'!N29)*СПРАВОЧНИК!$H$13+('ФАКТ ЧЕРН К3'!O29)*СПРАВОЧНИК!$I$13+('ФАКТ ЧЕРН К3'!P29)*СПРАВОЧНИК!$J$13+('ФАКТ ЧЕРН К3'!Q29)*СПРАВОЧНИК!$H$14+('ФАКТ ЧЕРН К3'!R29)*СПРАВОЧНИК!$I$14+('ФАКТ ЧЕРН К3'!S29)*СПРАВОЧНИК!$J$14+('ФАКТ ЧЕРН К3'!T29)*СПРАВОЧНИК!$H$15+('ФАКТ ЧЕРН К3'!U29)*СПРАВОЧНИК!$I$15+('ФАКТ ЧЕРН К3'!V29)*СПРАВОЧНИК!$J$15</f>
        <v/>
      </c>
      <c r="BM38" s="34" t="n"/>
      <c r="BP38" s="152">
        <f>BP37+7</f>
        <v/>
      </c>
      <c r="BQ38" s="17">
        <f>'ПЛАН ЧИСТ К3'!B29*СПРАВОЧНИК!$L$9+'ПЛАН ЧИСТ К3'!C29*СПРАВОЧНИК!$M$9+'ПЛАН ЧИСТ К3'!D29*СПРАВОЧНИК!$N$9+'ПЛАН ЧИСТ К3'!E29*СПРАВОЧНИК!$O$9+'ПЛАН ЧИСТ К3'!F29*СПРАВОЧНИК!$P$9+'ПЛАН ЧИСТ К3'!G29*СПРАВОЧНИК!$L$10+'ПЛАН ЧИСТ К3'!H29*СПРАВОЧНИК!$M$10+'ПЛАН ЧИСТ К3'!I29*СПРАВОЧНИК!$N$10+'ПЛАН ЧИСТ К3'!J29*СПРАВОЧНИК!$O$10+'ПЛАН ЧИСТ К3'!K29*СПРАВОЧНИК!$P$10+'ПЛАН ЧИСТ К3'!L29*СПРАВОЧНИК!$L$11+'ПЛАН ЧИСТ К3'!M29*СПРАВОЧНИК!$M$11+'ПЛАН ЧИСТ К3'!N29*СПРАВОЧНИК!$N$11+'ПЛАН ЧИСТ К3'!O29*СПРАВОЧНИК!$O$11+'ПЛАН ЧИСТ К3'!P29*СПРАВОЧНИК!$P$11+'ПЛАН ЧИСТ К3'!Q29*СПРАВОЧНИК!$L$12+'ПЛАН ЧИСТ К3'!R29*СПРАВОЧНИК!$M$12+'ПЛАН ЧИСТ К3'!S29*СПРАВОЧНИК!$N$12+'ПЛАН ЧИСТ К3'!T29*СПРАВОЧНИК!$O$12+'ПЛАН ЧИСТ К3'!U29*СПРАВОЧНИК!$P$12+'ПЛАН ЧИСТ К3'!V29*СПРАВОЧНИК!$L$13+'ПЛАН ЧИСТ К3'!W29*СПРАВОЧНИК!$M$13+'ПЛАН ЧИСТ К3'!X29*СПРАВОЧНИК!$N$13+'ПЛАН ЧИСТ К3'!Y29*СПРАВОЧНИК!$O$13+'ПЛАН ЧИСТ К3'!Z29*СПРАВОЧНИК!$P$13+'ПЛАН ЧИСТ К3'!AA29*СПРАВОЧНИК!$L$14+'ПЛАН ЧИСТ К3'!AB29*СПРАВОЧНИК!$M$14+'ПЛАН ЧИСТ К3'!AC29*СПРАВОЧНИК!$N$14+'ПЛАН ЧИСТ К3'!AD29*СПРАВОЧНИК!$O$14+'ПЛАН ЧИСТ К3'!AE29*СПРАВОЧНИК!$P$14+'ПЛАН ЧИСТ К3'!AF29*СПРАВОЧНИК!$L$15+'ПЛАН ЧИСТ К3'!AG29*СПРАВОЧНИК!$M$15+'ПЛАН ЧИСТ К3'!AH29*СПРАВОЧНИК!$N$15+'ПЛАН ЧИСТ К3'!AI29*СПРАВОЧНИК!$O$15+'ПЛАН ЧИСТ К3'!AJ29*СПРАВОЧНИК!$P$15</f>
        <v/>
      </c>
      <c r="BR38" s="31">
        <f>('ФАКТ ЧИСТ К3'!B29)*СПРАВОЧНИК!$L$9+('ФАКТ ЧИСТ К3'!C29)*СПРАВОЧНИК!$M$9+('ФАКТ ЧИСТ К3'!D29)*СПРАВОЧНИК!$N$9+('ФАКТ ЧИСТ К3'!E29)*СПРАВОЧНИК!$O$9+('ФАКТ ЧИСТ К3'!F29)*СПРАВОЧНИК!$P$9+('ФАКТ ЧИСТ К3'!G29)*СПРАВОЧНИК!$L$10+('ФАКТ ЧИСТ К3'!H29)*СПРАВОЧНИК!$M$10+('ФАКТ ЧИСТ К3'!I29)*СПРАВОЧНИК!$N$10+('ФАКТ ЧИСТ К3'!J29)*СПРАВОЧНИК!$O$10+('ФАКТ ЧИСТ К3'!K29)*СПРАВОЧНИК!$P$10+('ФАКТ ЧИСТ К3'!L29)*СПРАВОЧНИК!$L$11+('ФАКТ ЧИСТ К3'!M29)*СПРАВОЧНИК!$M$11+('ФАКТ ЧИСТ К3'!N29)*СПРАВОЧНИК!$N$11+('ФАКТ ЧИСТ К3'!O29)*СПРАВОЧНИК!$O$11+('ФАКТ ЧИСТ К3'!P29)*СПРАВОЧНИК!$P$11+('ФАКТ ЧИСТ К3'!Q29)*СПРАВОЧНИК!$L$12+('ФАКТ ЧИСТ К3'!R29)*СПРАВОЧНИК!$M$12+('ФАКТ ЧИСТ К3'!S29)*СПРАВОЧНИК!$N$12+('ФАКТ ЧИСТ К3'!T29)*СПРАВОЧНИК!$O$12+('ФАКТ ЧИСТ К3'!U29)*СПРАВОЧНИК!$P$12+('ФАКТ ЧИСТ К3'!V29)*СПРАВОЧНИК!$L$13+('ФАКТ ЧИСТ К3'!W29)*СПРАВОЧНИК!$M$13+('ФАКТ ЧИСТ К3'!X29)*СПРАВОЧНИК!$N$13+('ФАКТ ЧИСТ К3'!Y29)*СПРАВОЧНИК!$O$13+('ФАКТ ЧИСТ К3'!Z29)*СПРАВОЧНИК!$P$13+('ФАКТ ЧИСТ К3'!AA29)*СПРАВОЧНИК!$L$14+('ФАКТ ЧИСТ К3'!AB29)*СПРАВОЧНИК!$M$14+('ФАКТ ЧИСТ К3'!AC29)*СПРАВОЧНИК!$N$14+('ФАКТ ЧИСТ К3'!AD29)*СПРАВОЧНИК!$O$14+('ФАКТ ЧИСТ К3'!AE29)*СПРАВОЧНИК!$P$14+('ФАКТ ЧИСТ К3'!AF29)*СПРАВОЧНИК!$L$15+('ФАКТ ЧИСТ К3'!AG29)*СПРАВОЧНИК!$M$15+('ФАКТ ЧИСТ К3'!AH29)*СПРАВОЧНИК!$N$15+('ФАКТ ЧИСТ К3'!AI29)*СПРАВОЧНИК!$O$15+('ФАКТ ЧИСТ К3'!AJ29)*СПРАВОЧНИК!$P$15</f>
        <v/>
      </c>
      <c r="BS38" s="34" t="n"/>
      <c r="BV38" s="152">
        <f>BV37+7</f>
        <v/>
      </c>
      <c r="BW38" s="17">
        <f>U38*СПРАВОЧНИК!$K$28+AM38*СПРАВОЧНИК!$K$29+BE38*СПРАВОЧНИК!$K$30</f>
        <v/>
      </c>
      <c r="BX38" s="31">
        <f>V38*СПРАВОЧНИК!$K$28+AN38*СПРАВОЧНИК!$K$29+BF38*СПРАВОЧНИК!$K$30</f>
        <v/>
      </c>
      <c r="BY38" s="34" t="n"/>
      <c r="CB38" s="152">
        <f>CB37+7</f>
        <v/>
      </c>
      <c r="CC38" s="17">
        <f>AA38*СПРАВОЧНИК!$K$28+AS38*СПРАВОЧНИК!$K$29+BK38*СПРАВОЧНИК!$K$30</f>
        <v/>
      </c>
      <c r="CD38" s="31">
        <f>AB38*СПРАВОЧНИК!$K$28+AT38*СПРАВОЧНИК!$K$29+BL38*СПРАВОЧНИК!$K$30</f>
        <v/>
      </c>
      <c r="CE38" s="34" t="n"/>
      <c r="CH38" s="152">
        <f>CH37+7</f>
        <v/>
      </c>
      <c r="CI38" s="17">
        <f>AG38*СПРАВОЧНИК!$K$28+AY38*СПРАВОЧНИК!$K$29+BQ38*СПРАВОЧНИК!$K$30</f>
        <v/>
      </c>
      <c r="CJ38" s="31">
        <f>AH38*СПРАВОЧНИК!$K$28+AZ38*СПРАВОЧНИК!$K$29+BR38*СПРАВОЧНИК!$K$30</f>
        <v/>
      </c>
      <c r="CK38" s="34" t="n"/>
      <c r="CN38" s="152">
        <f>CN37+7</f>
        <v/>
      </c>
      <c r="CO38" s="17">
        <f>C38*СПРАВОЧНИК!$W$18+BW38*СПРАВОЧНИК!$W$19</f>
        <v/>
      </c>
      <c r="CP38" s="31">
        <f>D38*СПРАВОЧНИК!$W$18+BX38*СПРАВОЧНИК!$W$19</f>
        <v/>
      </c>
      <c r="CQ38" s="34" t="n"/>
      <c r="CT38" s="152">
        <f>CT37+7</f>
        <v/>
      </c>
      <c r="CU38" s="17">
        <f>I38*СПРАВОЧНИК!$W$18+CC38*СПРАВОЧНИК!$W$19</f>
        <v/>
      </c>
      <c r="CV38" s="31">
        <f>J38*СПРАВОЧНИК!$W$18+CD38*СПРАВОЧНИК!$W$19</f>
        <v/>
      </c>
      <c r="CW38" s="34" t="n"/>
      <c r="CZ38" s="152">
        <f>CZ37+7</f>
        <v/>
      </c>
      <c r="DA38" s="17">
        <f>O38*СПРАВОЧНИК!$W$18+CI38*СПРАВОЧНИК!$W$19</f>
        <v/>
      </c>
      <c r="DB38" s="31">
        <f>P38*СПРАВОЧНИК!$W$18+CJ38*СПРАВОЧНИК!$W$19</f>
        <v/>
      </c>
      <c r="DC38" s="34" t="n"/>
    </row>
    <row r="39">
      <c r="B39" s="152">
        <f>B38+7</f>
        <v/>
      </c>
      <c r="C39" s="17">
        <f>СПРАВОЧНИК!$E$3*('ПЛАН ЧЕРН ПОДЗЕМ'!B30*СПРАВОЧНИК!$H$3+'ПЛАН ЧЕРН ПОДЗЕМ'!C30*СПРАВОЧНИК!$I$3+'ПЛАН ЧЕРН ПОДЗЕМ'!D30*СПРАВОЧНИК!$J$3)+СПРАВОЧНИК!$F$3*('ПЛАН ЧИСТ ПОДЗЕМ'!B30*СПРАВОЧНИК!$L$3+'ПЛАН ЧИСТ ПОДЗЕМ'!C30*СПРАВОЧНИК!$M$3+'ПЛАН ЧИСТ ПОДЗЕМ'!D30*СПРАВОЧНИК!$N$3+'ПЛАН ЧИСТ ПОДЗЕМ'!E30*СПРАВОЧНИК!$O$3+'ПЛАН ЧИСТ ПОДЗЕМ'!F30*СПРАВОЧНИК!$P$3)+СПРАВОЧНИК!$E$4*('ПЛАН ЧЕРН ПОДЗЕМ'!E30*СПРАВОЧНИК!$H$4+'ПЛАН ЧЕРН ПОДЗЕМ'!F30*СПРАВОЧНИК!$I$4+'ПЛАН ЧЕРН ПОДЗЕМ'!G30*СПРАВОЧНИК!$J$4)+СПРАВОЧНИК!$F$4*('ПЛАН ЧИСТ ПОДЗЕМ'!G30*СПРАВОЧНИК!$L$4+'ПЛАН ЧИСТ ПОДЗЕМ'!H30*СПРАВОЧНИК!$M$4+'ПЛАН ЧИСТ ПОДЗЕМ'!I30*СПРАВОЧНИК!$N$4+'ПЛАН ЧИСТ ПОДЗЕМ'!J30*СПРАВОЧНИК!$O$4+'ПЛАН ЧИСТ ПОДЗЕМ'!K30*СПРАВОЧНИК!$P$4)+СПРАВОЧНИК!$E$5*('ПЛАН ЧЕРН ПОДЗЕМ'!H30*СПРАВОЧНИК!$H$5+'ПЛАН ЧЕРН ПОДЗЕМ'!I30*СПРАВОЧНИК!$I$5+'ПЛАН ЧЕРН ПОДЗЕМ'!J30*СПРАВОЧНИК!$J$5)+СПРАВОЧНИК!$F$5*('ПЛАН ЧИСТ ПОДЗЕМ'!L30*СПРАВОЧНИК!$L$5+'ПЛАН ЧИСТ ПОДЗЕМ'!M30*СПРАВОЧНИК!$M$5+'ПЛАН ЧИСТ ПОДЗЕМ'!N30*СПРАВОЧНИК!$N$5+'ПЛАН ЧИСТ ПОДЗЕМ'!O30*СПРАВОЧНИК!$O$5+'ПЛАН ЧИСТ ПОДЗЕМ'!P30*СПРАВОЧНИК!$P$5)+СПРАВОЧНИК!$E$6*('ПЛАН ЧЕРН ПОДЗЕМ'!K30*СПРАВОЧНИК!$H$6+'ПЛАН ЧЕРН ПОДЗЕМ'!L30*СПРАВОЧНИК!$I$6+'ПЛАН ЧЕРН ПОДЗЕМ'!M30*СПРАВОЧНИК!$J$6)+СПРАВОЧНИК!$F$6*('ПЛАН ЧИСТ ПОДЗЕМ'!Q30*СПРАВОЧНИК!$L$6+'ПЛАН ЧИСТ ПОДЗЕМ'!R30*СПРАВОЧНИК!$M$6+'ПЛАН ЧИСТ ПОДЗЕМ'!S30*СПРАВОЧНИК!$N$6+'ПЛАН ЧИСТ ПОДЗЕМ'!T30*СПРАВОЧНИК!$O$6+'ПЛАН ЧИСТ ПОДЗЕМ'!U30*СПРАВОЧНИК!$P$6)+СПРАВОЧНИК!$E$7*('ПЛАН ЧЕРН ПОДЗЕМ'!N30*СПРАВОЧНИК!$H$7+'ПЛАН ЧЕРН ПОДЗЕМ'!O30*СПРАВОЧНИК!$I$7+'ПЛАН ЧЕРН ПОДЗЕМ'!P30*СПРАВОЧНИК!$J$7)+СПРАВОЧНИК!$F$7*('ПЛАН ЧИСТ ПОДЗЕМ'!V30*СПРАВОЧНИК!$L$7+'ПЛАН ЧИСТ ПОДЗЕМ'!W30*СПРАВОЧНИК!$M$7+'ПЛАН ЧИСТ ПОДЗЕМ'!X30*СПРАВОЧНИК!$N$7+'ПЛАН ЧИСТ ПОДЗЕМ'!Y30*СПРАВОЧНИК!$O$7+'ПЛАН ЧИСТ ПОДЗЕМ'!Z30*СПРАВОЧНИК!$P$7)+СПРАВОЧНИК!$E$8*('ПЛАН ЧЕРН ПОДЗЕМ'!Q30*СПРАВОЧНИК!$H$8+'ПЛАН ЧЕРН ПОДЗЕМ'!R30*СПРАВОЧНИК!$I$8+'ПЛАН ЧЕРН ПОДЗЕМ'!S30*СПРАВОЧНИК!$J$8)+СПРАВОЧНИК!$F$8*('ПЛАН ЧИСТ ПОДЗЕМ'!AA30*СПРАВОЧНИК!$L$8+'ПЛАН ЧИСТ ПОДЗЕМ'!AB30*СПРАВОЧНИК!$M$8+'ПЛАН ЧИСТ ПОДЗЕМ'!AC30*СПРАВОЧНИК!$N$8+'ПЛАН ЧИСТ ПОДЗЕМ'!AD30*СПРАВОЧНИК!$O$8+'ПЛАН ЧИСТ ПОДЗЕМ'!AE30*СПРАВОЧНИК!$P$8)</f>
        <v/>
      </c>
      <c r="D39" s="31">
        <f>СПРАВОЧНИК!$E$3*('ФАКТ ЧЕРН ПОДЗЕМ'!B30*СПРАВОЧНИК!$H$3+'ФАКТ ЧЕРН ПОДЗЕМ'!C30*СПРАВОЧНИК!$I$3+'ФАКТ ЧЕРН ПОДЗЕМ'!D30*СПРАВОЧНИК!$J$3)+СПРАВОЧНИК!$F$3*('ФАКТ ЧИСТ ПОДЗЕМ'!B30*СПРАВОЧНИК!$L$3+'ФАКТ ЧИСТ ПОДЗЕМ'!C30*СПРАВОЧНИК!$M$3+'ФАКТ ЧИСТ ПОДЗЕМ'!D30*СПРАВОЧНИК!$N$3+'ФАКТ ЧИСТ ПОДЗЕМ'!E30*СПРАВОЧНИК!$O$3+'ФАКТ ЧИСТ ПОДЗЕМ'!F30*СПРАВОЧНИК!$P$3)+СПРАВОЧНИК!$E$4*('ФАКТ ЧЕРН ПОДЗЕМ'!E30*СПРАВОЧНИК!$H$4+'ФАКТ ЧЕРН ПОДЗЕМ'!F30*СПРАВОЧНИК!$I$4+'ФАКТ ЧЕРН ПОДЗЕМ'!G30*СПРАВОЧНИК!$J$4)+СПРАВОЧНИК!$F$4*('ФАКТ ЧИСТ ПОДЗЕМ'!G30*СПРАВОЧНИК!$L$4+'ФАКТ ЧИСТ ПОДЗЕМ'!H30*СПРАВОЧНИК!$M$4+'ФАКТ ЧИСТ ПОДЗЕМ'!I30*СПРАВОЧНИК!$N$4+'ФАКТ ЧИСТ ПОДЗЕМ'!J30*СПРАВОЧНИК!$O$4+'ФАКТ ЧИСТ ПОДЗЕМ'!K30*СПРАВОЧНИК!$P$4)+СПРАВОЧНИК!$E$5*('ФАКТ ЧЕРН ПОДЗЕМ'!H30*СПРАВОЧНИК!$H$5+'ФАКТ ЧЕРН ПОДЗЕМ'!I30*СПРАВОЧНИК!$I$5+'ФАКТ ЧЕРН ПОДЗЕМ'!J30*СПРАВОЧНИК!$J$5)+СПРАВОЧНИК!$F$5*('ФАКТ ЧИСТ ПОДЗЕМ'!L30*СПРАВОЧНИК!$L$5+'ФАКТ ЧИСТ ПОДЗЕМ'!M30*СПРАВОЧНИК!$M$5+'ФАКТ ЧИСТ ПОДЗЕМ'!N30*СПРАВОЧНИК!$N$5+'ФАКТ ЧИСТ ПОДЗЕМ'!O30*СПРАВОЧНИК!$O$5+'ФАКТ ЧИСТ ПОДЗЕМ'!P30*СПРАВОЧНИК!$P$5)+СПРАВОЧНИК!$E$6*('ФАКТ ЧЕРН ПОДЗЕМ'!K30*СПРАВОЧНИК!$H$6+'ФАКТ ЧЕРН ПОДЗЕМ'!L30*СПРАВОЧНИК!$I$6+'ФАКТ ЧЕРН ПОДЗЕМ'!M30*СПРАВОЧНИК!$J$6)+СПРАВОЧНИК!$F$6*('ФАКТ ЧИСТ ПОДЗЕМ'!Q30*СПРАВОЧНИК!$L$6+'ФАКТ ЧИСТ ПОДЗЕМ'!R30*СПРАВОЧНИК!$M$6+'ФАКТ ЧИСТ ПОДЗЕМ'!S30*СПРАВОЧНИК!$N$6+'ФАКТ ЧИСТ ПОДЗЕМ'!T30*СПРАВОЧНИК!$O$6+'ФАКТ ЧИСТ ПОДЗЕМ'!U30*СПРАВОЧНИК!$P$6)+СПРАВОЧНИК!$E$7*('ФАКТ ЧЕРН ПОДЗЕМ'!N30*СПРАВОЧНИК!$H$7+'ФАКТ ЧЕРН ПОДЗЕМ'!O30*СПРАВОЧНИК!$I$7+'ФАКТ ЧЕРН ПОДЗЕМ'!P30*СПРАВОЧНИК!$J$7)+СПРАВОЧНИК!$F$7*('ФАКТ ЧИСТ ПОДЗЕМ'!V30*СПРАВОЧНИК!$L$7+'ФАКТ ЧИСТ ПОДЗЕМ'!W30*СПРАВОЧНИК!$M$7+'ФАКТ ЧИСТ ПОДЗЕМ'!X30*СПРАВОЧНИК!$N$7+'ФАКТ ЧИСТ ПОДЗЕМ'!Y30*СПРАВОЧНИК!$O$7+'ФАКТ ЧИСТ ПОДЗЕМ'!Z30*СПРАВОЧНИК!$P$7)+СПРАВОЧНИК!$E$8*('ФАКТ ЧЕРН ПОДЗЕМ'!Q30*СПРАВОЧНИК!$H$8+'ФАКТ ЧЕРН ПОДЗЕМ'!R30*СПРАВОЧНИК!$I$8+'ФАКТ ЧЕРН ПОДЗЕМ'!S30*СПРАВОЧНИК!$J$8)+СПРАВОЧНИК!$F$8*('ФАКТ ЧИСТ ПОДЗЕМ'!AA30*СПРАВОЧНИК!$L$8+'ФАКТ ЧИСТ ПОДЗЕМ'!AB30*СПРАВОЧНИК!$M$8+'ФАКТ ЧИСТ ПОДЗЕМ'!AC30*СПРАВОЧНИК!$N$8+'ФАКТ ЧИСТ ПОДЗЕМ'!AD30*СПРАВОЧНИК!$O$8+'ФАКТ ЧИСТ ПОДЗЕМ'!AE30*СПРАВОЧНИК!$P$8)</f>
        <v/>
      </c>
      <c r="E39" s="34" t="n"/>
      <c r="H39" s="152">
        <f>H38+7</f>
        <v/>
      </c>
      <c r="I39" s="17">
        <f>'ПЛАН ЧЕРН ПОДЗЕМ'!B30*СПРАВОЧНИК!$H$3+'ПЛАН ЧЕРН ПОДЗЕМ'!C30*СПРАВОЧНИК!$I$3+'ПЛАН ЧЕРН ПОДЗЕМ'!D30*СПРАВОЧНИК!$J$3+'ПЛАН ЧЕРН ПОДЗЕМ'!E30*СПРАВОЧНИК!$H$4+'ПЛАН ЧЕРН ПОДЗЕМ'!F30*СПРАВОЧНИК!$I$4+'ПЛАН ЧЕРН ПОДЗЕМ'!G30*СПРАВОЧНИК!$J$4+'ПЛАН ЧЕРН ПОДЗЕМ'!H30*СПРАВОЧНИК!$H$5+'ПЛАН ЧЕРН ПОДЗЕМ'!I30*СПРАВОЧНИК!$I$5+'ПЛАН ЧЕРН ПОДЗЕМ'!J30*СПРАВОЧНИК!$J$5+'ПЛАН ЧЕРН ПОДЗЕМ'!K30*СПРАВОЧНИК!$H$6+'ПЛАН ЧЕРН ПОДЗЕМ'!L30*СПРАВОЧНИК!$I$6+'ПЛАН ЧЕРН ПОДЗЕМ'!M30*СПРАВОЧНИК!$J$6+'ПЛАН ЧЕРН ПОДЗЕМ'!N30*СПРАВОЧНИК!$H$7+'ПЛАН ЧЕРН ПОДЗЕМ'!O30*СПРАВОЧНИК!$I$7+'ПЛАН ЧЕРН ПОДЗЕМ'!P30*СПРАВОЧНИК!$J$7+'ПЛАН ЧЕРН ПОДЗЕМ'!Q30*СПРАВОЧНИК!$H$8+'ПЛАН ЧЕРН ПОДЗЕМ'!R30*СПРАВОЧНИК!$I$8+'ПЛАН ЧЕРН ПОДЗЕМ'!S30*СПРАВОЧНИК!$J$8</f>
        <v/>
      </c>
      <c r="J39" s="31">
        <f>('ФАКТ ЧЕРН ПОДЗЕМ'!B30)*СПРАВОЧНИК!$H$3+('ФАКТ ЧЕРН ПОДЗЕМ'!C30)*СПРАВОЧНИК!$I$3+('ФАКТ ЧЕРН ПОДЗЕМ'!D30)*СПРАВОЧНИК!$J$3+('ФАКТ ЧЕРН ПОДЗЕМ'!E30)*СПРАВОЧНИК!$H$4+('ФАКТ ЧЕРН ПОДЗЕМ'!F30)*СПРАВОЧНИК!$I$4+('ФАКТ ЧЕРН ПОДЗЕМ'!G30)*СПРАВОЧНИК!$J$4+('ФАКТ ЧЕРН ПОДЗЕМ'!H30)*СПРАВОЧНИК!$H$5+('ФАКТ ЧЕРН ПОДЗЕМ'!I30)*СПРАВОЧНИК!$I$5+('ФАКТ ЧЕРН ПОДЗЕМ'!J30)*СПРАВОЧНИК!$J$5+('ФАКТ ЧЕРН ПОДЗЕМ'!K30)*СПРАВОЧНИК!$H$6+('ФАКТ ЧЕРН ПОДЗЕМ'!L30)*СПРАВОЧНИК!$I$6+('ФАКТ ЧЕРН ПОДЗЕМ'!M30)*СПРАВОЧНИК!$J$6+('ФАКТ ЧЕРН ПОДЗЕМ'!N30)*СПРАВОЧНИК!$H$7+('ФАКТ ЧЕРН ПОДЗЕМ'!O30)*СПРАВОЧНИК!$I$7+('ФАКТ ЧЕРН ПОДЗЕМ'!P30)*СПРАВОЧНИК!$J$7+('ФАКТ ЧЕРН ПОДЗЕМ'!Q30)*СПРАВОЧНИК!$H$8+('ФАКТ ЧЕРН ПОДЗЕМ'!R30)*СПРАВОЧНИК!$I$8+('ФАКТ ЧЕРН ПОДЗЕМ'!S30)*СПРАВОЧНИК!$J$8</f>
        <v/>
      </c>
      <c r="K39" s="34" t="n"/>
      <c r="N39" s="152">
        <f>N38+7</f>
        <v/>
      </c>
      <c r="O39" s="17">
        <f>'ПЛАН ЧИСТ ПОДЗЕМ'!B30*СПРАВОЧНИК!$L$3+'ПЛАН ЧИСТ ПОДЗЕМ'!C30*СПРАВОЧНИК!$M$3+'ПЛАН ЧИСТ ПОДЗЕМ'!D30*СПРАВОЧНИК!$N$3+'ПЛАН ЧИСТ ПОДЗЕМ'!E30*СПРАВОЧНИК!$O$3+'ПЛАН ЧИСТ ПОДЗЕМ'!F30*СПРАВОЧНИК!$P$3+'ПЛАН ЧИСТ ПОДЗЕМ'!G30*СПРАВОЧНИК!$L$4+'ПЛАН ЧИСТ ПОДЗЕМ'!H30*СПРАВОЧНИК!$M$4+'ПЛАН ЧИСТ ПОДЗЕМ'!I30*СПРАВОЧНИК!$N$4+'ПЛАН ЧИСТ ПОДЗЕМ'!J30*СПРАВОЧНИК!$O$4+'ПЛАН ЧИСТ ПОДЗЕМ'!K30*СПРАВОЧНИК!$P$4+'ПЛАН ЧИСТ ПОДЗЕМ'!L30*СПРАВОЧНИК!$L$5+'ПЛАН ЧИСТ ПОДЗЕМ'!M30*СПРАВОЧНИК!$M$5+'ПЛАН ЧИСТ ПОДЗЕМ'!N30*СПРАВОЧНИК!$N$5+'ПЛАН ЧИСТ ПОДЗЕМ'!O30*СПРАВОЧНИК!$O$5+'ПЛАН ЧИСТ ПОДЗЕМ'!P30*СПРАВОЧНИК!$P$5+'ПЛАН ЧИСТ ПОДЗЕМ'!Q30*СПРАВОЧНИК!$L$6+'ПЛАН ЧИСТ ПОДЗЕМ'!R30*СПРАВОЧНИК!$M$6+'ПЛАН ЧИСТ ПОДЗЕМ'!S30*СПРАВОЧНИК!$N$6+'ПЛАН ЧИСТ ПОДЗЕМ'!T30*СПРАВОЧНИК!$O$6+'ПЛАН ЧИСТ ПОДЗЕМ'!U30*СПРАВОЧНИК!$P$6+'ПЛАН ЧИСТ ПОДЗЕМ'!V30*СПРАВОЧНИК!$L$7+'ПЛАН ЧИСТ ПОДЗЕМ'!W30*СПРАВОЧНИК!$M$7+'ПЛАН ЧИСТ ПОДЗЕМ'!X30*СПРАВОЧНИК!$N$7+'ПЛАН ЧИСТ ПОДЗЕМ'!Y30*СПРАВОЧНИК!$O$7+'ПЛАН ЧИСТ ПОДЗЕМ'!Z30*СПРАВОЧНИК!$P$7+'ПЛАН ЧИСТ ПОДЗЕМ'!AA30*СПРАВОЧНИК!$L$8+'ПЛАН ЧИСТ ПОДЗЕМ'!AB30*СПРАВОЧНИК!$M$8+'ПЛАН ЧИСТ ПОДЗЕМ'!AC30*СПРАВОЧНИК!$N$8+'ПЛАН ЧИСТ ПОДЗЕМ'!AD30*СПРАВОЧНИК!$O$8+'ПЛАН ЧИСТ ПОДЗЕМ'!AE30*СПРАВОЧНИК!$P$8</f>
        <v/>
      </c>
      <c r="P39" s="31">
        <f>('ФАКТ ЧИСТ ПОДЗЕМ'!B30)*СПРАВОЧНИК!$L$3+('ФАКТ ЧИСТ ПОДЗЕМ'!C30)*СПРАВОЧНИК!$M$3+('ФАКТ ЧИСТ ПОДЗЕМ'!D30)*СПРАВОЧНИК!$N$3+('ФАКТ ЧИСТ ПОДЗЕМ'!E30)*СПРАВОЧНИК!$O$3+('ФАКТ ЧИСТ ПОДЗЕМ'!F30)*СПРАВОЧНИК!$P$3+('ФАКТ ЧИСТ ПОДЗЕМ'!G30)*СПРАВОЧНИК!$L$4+('ФАКТ ЧИСТ ПОДЗЕМ'!H30)*СПРАВОЧНИК!$M$4+('ФАКТ ЧИСТ ПОДЗЕМ'!I30)*СПРАВОЧНИК!$N$4+('ФАКТ ЧИСТ ПОДЗЕМ'!J30)*СПРАВОЧНИК!$O$4+('ФАКТ ЧИСТ ПОДЗЕМ'!K30)*СПРАВОЧНИК!$P$4+('ФАКТ ЧИСТ ПОДЗЕМ'!L30)*СПРАВОЧНИК!$L$5+('ФАКТ ЧИСТ ПОДЗЕМ'!M30)*СПРАВОЧНИК!$M$5+('ФАКТ ЧИСТ ПОДЗЕМ'!N30)*СПРАВОЧНИК!$N$5+('ФАКТ ЧИСТ ПОДЗЕМ'!O30)*СПРАВОЧНИК!$O$5+('ФАКТ ЧИСТ ПОДЗЕМ'!P30)*СПРАВОЧНИК!$P$5+('ФАКТ ЧИСТ ПОДЗЕМ'!Q30)*СПРАВОЧНИК!$L$6+('ФАКТ ЧИСТ ПОДЗЕМ'!R30)*СПРАВОЧНИК!$M$6+('ФАКТ ЧИСТ ПОДЗЕМ'!S30)*СПРАВОЧНИК!$N$6+('ФАКТ ЧИСТ ПОДЗЕМ'!T30)*СПРАВОЧНИК!$O$6+('ФАКТ ЧИСТ ПОДЗЕМ'!U30)*СПРАВОЧНИК!$P$6+('ФАКТ ЧИСТ ПОДЗЕМ'!V30)*СПРАВОЧНИК!$L$7+('ФАКТ ЧИСТ ПОДЗЕМ'!W30)*СПРАВОЧНИК!$M$7+('ФАКТ ЧИСТ ПОДЗЕМ'!X30)*СПРАВОЧНИК!$N$7+('ФАКТ ЧИСТ ПОДЗЕМ'!Y30)*СПРАВОЧНИК!$O$7+('ФАКТ ЧИСТ ПОДЗЕМ'!Z30)*СПРАВОЧНИК!$P$7+('ФАКТ ЧИСТ ПОДЗЕМ'!AA30)*СПРАВОЧНИК!$L$8+('ФАКТ ЧИСТ ПОДЗЕМ'!AB30)*СПРАВОЧНИК!$M$8+('ФАКТ ЧИСТ ПОДЗЕМ'!AC30)*СПРАВОЧНИК!$N$8+('ФАКТ ЧИСТ ПОДЗЕМ'!AD30)*СПРАВОЧНИК!$O$8+('ФАКТ ЧИСТ ПОДЗЕМ'!AE30)*СПРАВОЧНИК!$P$8</f>
        <v/>
      </c>
      <c r="Q39" s="34" t="n"/>
      <c r="T39" s="152">
        <f>T38+7</f>
        <v/>
      </c>
      <c r="U39" s="17">
        <f>СПРАВОЧНИК!$E$9*('ПЛАН ЧЕРН К1'!B30*СПРАВОЧНИК!$H$9+'ПЛАН ЧЕРН К1'!C30*СПРАВОЧНИК!$I$9+'ПЛАН ЧЕРН К1'!D30*СПРАВОЧНИК!$J$9)+СПРАВОЧНИК!$F$9*('ПЛАН ЧИСТ К1'!B30*СПРАВОЧНИК!$L$9+'ПЛАН ЧИСТ К1'!C30*СПРАВОЧНИК!$M$9+'ПЛАН ЧИСТ К1'!D30*СПРАВОЧНИК!$N$9+'ПЛАН ЧИСТ К1'!E30*СПРАВОЧНИК!$O$9+'ПЛАН ЧИСТ К1'!F30*СПРАВОЧНИК!$P$9)+СПРАВОЧНИК!$E$10*('ПЛАН ЧЕРН К1'!E30*СПРАВОЧНИК!$H$10+'ПЛАН ЧЕРН К1'!F30*СПРАВОЧНИК!$I$10+'ПЛАН ЧЕРН К1'!G30*СПРАВОЧНИК!$J$10)+СПРАВОЧНИК!$F$10*('ПЛАН ЧИСТ К1'!G30*СПРАВОЧНИК!$L$10+'ПЛАН ЧИСТ К1'!H30*СПРАВОЧНИК!$M$10+'ПЛАН ЧИСТ К1'!I30*СПРАВОЧНИК!$N$10+'ПЛАН ЧИСТ К1'!J30*СПРАВОЧНИК!$O$10+'ПЛАН ЧИСТ К1'!K30*СПРАВОЧНИК!$P$10)+СПРАВОЧНИК!$E$11*('ПЛАН ЧЕРН К1'!H30*СПРАВОЧНИК!$H$11+'ПЛАН ЧЕРН К1'!I30*СПРАВОЧНИК!$I$11+'ПЛАН ЧЕРН К1'!J30*СПРАВОЧНИК!$J$11)+СПРАВОЧНИК!$F$11*('ПЛАН ЧИСТ К1'!L30*СПРАВОЧНИК!$L$11+'ПЛАН ЧИСТ К1'!M30*СПРАВОЧНИК!$M$11+'ПЛАН ЧИСТ К1'!N30*СПРАВОЧНИК!$N$11+'ПЛАН ЧИСТ К1'!O30*СПРАВОЧНИК!$O$11+'ПЛАН ЧИСТ К1'!P30*СПРАВОЧНИК!$P$11)+СПРАВОЧНИК!$E$12*('ПЛАН ЧЕРН К1'!K30*СПРАВОЧНИК!$H$12+'ПЛАН ЧЕРН К1'!L30*СПРАВОЧНИК!$I$12+'ПЛАН ЧЕРН К1'!M30*СПРАВОЧНИК!$J$12)+СПРАВОЧНИК!$F$12*('ПЛАН ЧИСТ К1'!Q30*СПРАВОЧНИК!$L$12+'ПЛАН ЧИСТ К1'!R30*СПРАВОЧНИК!$M$12+'ПЛАН ЧИСТ К1'!S30*СПРАВОЧНИК!$N$12+'ПЛАН ЧИСТ К1'!T30*СПРАВОЧНИК!$O$12+'ПЛАН ЧИСТ К1'!U30*СПРАВОЧНИК!$P$12)+СПРАВОЧНИК!$E$13*('ПЛАН ЧЕРН К1'!N30*СПРАВОЧНИК!$H$13+'ПЛАН ЧЕРН К1'!O30*СПРАВОЧНИК!$I$13+'ПЛАН ЧЕРН К1'!P30*СПРАВОЧНИК!$J$13)+СПРАВОЧНИК!$F$13*('ПЛАН ЧИСТ К1'!V30*СПРАВОЧНИК!$L$13+'ПЛАН ЧИСТ К1'!W30*СПРАВОЧНИК!$M$13+'ПЛАН ЧИСТ К1'!X30*СПРАВОЧНИК!$N$13+'ПЛАН ЧИСТ К1'!Y30*СПРАВОЧНИК!$O$13+'ПЛАН ЧИСТ К1'!Z30*СПРАВОЧНИК!$P$13)+СПРАВОЧНИК!$E$14*('ПЛАН ЧЕРН К1'!Q30*СПРАВОЧНИК!$H$14+'ПЛАН ЧЕРН К1'!R30*СПРАВОЧНИК!$I$14+'ПЛАН ЧЕРН К1'!S30*СПРАВОЧНИК!$J$14)+СПРАВОЧНИК!$F$14*('ПЛАН ЧИСТ К1'!AA30*СПРАВОЧНИК!$L$14+'ПЛАН ЧИСТ К1'!AB30*СПРАВОЧНИК!$M$14+'ПЛАН ЧИСТ К1'!AC30*СПРАВОЧНИК!$N$14+'ПЛАН ЧИСТ К1'!AD30*СПРАВОЧНИК!$O$14+'ПЛАН ЧИСТ К1'!AE30*СПРАВОЧНИК!$P$14)+СПРАВОЧНИК!$E$15*('ПЛАН ЧЕРН К1'!T30*СПРАВОЧНИК!$H$15+'ПЛАН ЧЕРН К1'!U30*СПРАВОЧНИК!$I$15+'ПЛАН ЧЕРН К1'!V30*СПРАВОЧНИК!$J$15)+СПРАВОЧНИК!$F$15*('ПЛАН ЧИСТ К1'!AF30*СПРАВОЧНИК!$L$15+'ПЛАН ЧИСТ К1'!AG30*СПРАВОЧНИК!$M$15+'ПЛАН ЧИСТ К1'!AH30*СПРАВОЧНИК!$N$15+'ПЛАН ЧИСТ К1'!AI30*СПРАВОЧНИК!$O$15+'ПЛАН ЧИСТ К1'!AJ30*СПРАВОЧНИК!$P$15)</f>
        <v/>
      </c>
      <c r="V39" s="31">
        <f>СПРАВОЧНИК!$E$9*('ФАКТ ЧЕРН К1'!B30*СПРАВОЧНИК!$H$9+'ФАКТ ЧЕРН К1'!C30*СПРАВОЧНИК!$I$9+'ФАКТ ЧЕРН К1'!D30*СПРАВОЧНИК!$J$9)+СПРАВОЧНИК!$F$9*('ФАКТ ЧИСТ К1'!B30*СПРАВОЧНИК!$L$9+'ФАКТ ЧИСТ К1'!C30*СПРАВОЧНИК!$M$9+'ФАКТ ЧИСТ К1'!D30*СПРАВОЧНИК!$N$9+'ФАКТ ЧИСТ К1'!E30*СПРАВОЧНИК!$O$9+'ФАКТ ЧИСТ К1'!F30*СПРАВОЧНИК!$P$9)+СПРАВОЧНИК!$E$10*('ФАКТ ЧЕРН К1'!E30*СПРАВОЧНИК!$H$10+'ФАКТ ЧЕРН К1'!F30*СПРАВОЧНИК!$I$10+'ФАКТ ЧЕРН К1'!G30*СПРАВОЧНИК!$J$10)+СПРАВОЧНИК!$F$10*('ФАКТ ЧИСТ К1'!G30*СПРАВОЧНИК!$L$10+'ФАКТ ЧИСТ К1'!H30*СПРАВОЧНИК!$M$10+'ФАКТ ЧИСТ К1'!I30*СПРАВОЧНИК!$N$10+'ФАКТ ЧИСТ К1'!J30*СПРАВОЧНИК!$O$10+'ФАКТ ЧИСТ К1'!K30*СПРАВОЧНИК!$P$10)+СПРАВОЧНИК!$E$11*('ФАКТ ЧЕРН К1'!H30*СПРАВОЧНИК!$H$11+'ФАКТ ЧЕРН К1'!I30*СПРАВОЧНИК!$I$11+'ФАКТ ЧЕРН К1'!J30*СПРАВОЧНИК!$J$11)+СПРАВОЧНИК!$F$11*('ФАКТ ЧИСТ К1'!L30*СПРАВОЧНИК!$L$11+'ФАКТ ЧИСТ К1'!M30*СПРАВОЧНИК!$M$11+'ФАКТ ЧИСТ К1'!N30*СПРАВОЧНИК!$N$11+'ФАКТ ЧИСТ К1'!O30*СПРАВОЧНИК!$O$11+'ФАКТ ЧИСТ К1'!P30*СПРАВОЧНИК!$P$11)+СПРАВОЧНИК!$E$12*('ФАКТ ЧЕРН К1'!K30*СПРАВОЧНИК!$H$12+'ФАКТ ЧЕРН К1'!L30*СПРАВОЧНИК!$I$12+'ФАКТ ЧЕРН К1'!M30*СПРАВОЧНИК!$J$12)+СПРАВОЧНИК!$F$12*('ФАКТ ЧИСТ К1'!Q30*СПРАВОЧНИК!$L$12+'ФАКТ ЧИСТ К1'!R30*СПРАВОЧНИК!$M$12+'ФАКТ ЧИСТ К1'!S30*СПРАВОЧНИК!$N$12+'ФАКТ ЧИСТ К1'!T30*СПРАВОЧНИК!$O$12+'ФАКТ ЧИСТ К1'!U30*СПРАВОЧНИК!$P$12)+СПРАВОЧНИК!$E$13*('ФАКТ ЧЕРН К1'!N30*СПРАВОЧНИК!$H$13+'ФАКТ ЧЕРН К1'!O30*СПРАВОЧНИК!$I$13+'ФАКТ ЧЕРН К1'!P30*СПРАВОЧНИК!$J$13)+СПРАВОЧНИК!$F$13*('ФАКТ ЧИСТ К1'!V30*СПРАВОЧНИК!$L$13+'ФАКТ ЧИСТ К1'!W30*СПРАВОЧНИК!$M$13+'ФАКТ ЧИСТ К1'!X30*СПРАВОЧНИК!$N$13+'ФАКТ ЧИСТ К1'!Y30*СПРАВОЧНИК!$O$13+'ФАКТ ЧИСТ К1'!Z30*СПРАВОЧНИК!$P$13)+СПРАВОЧНИК!$E$14*('ФАКТ ЧЕРН К1'!Q30*СПРАВОЧНИК!$H$14+'ФАКТ ЧЕРН К1'!R30*СПРАВОЧНИК!$I$14+'ФАКТ ЧЕРН К1'!S30*СПРАВОЧНИК!$J$14)+СПРАВОЧНИК!$F$14*('ФАКТ ЧИСТ К1'!AA30*СПРАВОЧНИК!$L$14+'ФАКТ ЧИСТ К1'!AB30*СПРАВОЧНИК!$M$14+'ФАКТ ЧИСТ К1'!AC30*СПРАВОЧНИК!$N$14+'ФАКТ ЧИСТ К1'!AD30*СПРАВОЧНИК!$O$14+'ФАКТ ЧИСТ К1'!AE30*СПРАВОЧНИК!$P$14)+СПРАВОЧНИК!$E$15*('ФАКТ ЧЕРН К1'!T30*СПРАВОЧНИК!$H$15+'ФАКТ ЧЕРН К1'!U30*СПРАВОЧНИК!$I$15+'ФАКТ ЧЕРН К1'!V30*СПРАВОЧНИК!$J$15)+СПРАВОЧНИК!$F$15*('ФАКТ ЧИСТ К1'!AF30*СПРАВОЧНИК!$L$15+'ФАКТ ЧИСТ К1'!AG30*СПРАВОЧНИК!$M$15+'ФАКТ ЧИСТ К1'!AH30*СПРАВОЧНИК!$N$15+'ФАКТ ЧИСТ К1'!AI30*СПРАВОЧНИК!$O$15+'ФАКТ ЧИСТ К1'!AJ30*СПРАВОЧНИК!$P$15)</f>
        <v/>
      </c>
      <c r="W39" s="34" t="n"/>
      <c r="Z39" s="152">
        <f>Z38+7</f>
        <v/>
      </c>
      <c r="AA39" s="17">
        <f>'ПЛАН ЧЕРН К1'!B30*СПРАВОЧНИК!$H$9+'ПЛАН ЧЕРН К1'!C30*СПРАВОЧНИК!$I$9+'ПЛАН ЧЕРН К1'!D30*СПРАВОЧНИК!$J$9+'ПЛАН ЧЕРН К1'!E30*СПРАВОЧНИК!$H$10+'ПЛАН ЧЕРН К1'!F30*СПРАВОЧНИК!$I$10+'ПЛАН ЧЕРН К1'!G30*СПРАВОЧНИК!$J$10+'ПЛАН ЧЕРН К1'!H30*СПРАВОЧНИК!$H$11+'ПЛАН ЧЕРН К1'!I30*СПРАВОЧНИК!$I$11+'ПЛАН ЧЕРН К1'!J30*СПРАВОЧНИК!$J$11+'ПЛАН ЧЕРН К1'!K30*СПРАВОЧНИК!$H$12+'ПЛАН ЧЕРН К1'!L30*СПРАВОЧНИК!$I$12+'ПЛАН ЧЕРН К1'!M30*СПРАВОЧНИК!$J$12+'ПЛАН ЧЕРН К1'!N30*СПРАВОЧНИК!$H$13+'ПЛАН ЧЕРН К1'!O30*СПРАВОЧНИК!$I$13+'ПЛАН ЧЕРН К1'!P30*СПРАВОЧНИК!$J$13+'ПЛАН ЧЕРН К1'!Q30*СПРАВОЧНИК!$H$14+'ПЛАН ЧЕРН К1'!R30*СПРАВОЧНИК!$I$14+'ПЛАН ЧЕРН К1'!S30*СПРАВОЧНИК!$J$14+'ПЛАН ЧЕРН К1'!T30*СПРАВОЧНИК!$H$15+'ПЛАН ЧЕРН К1'!U30*СПРАВОЧНИК!$I$15+'ПЛАН ЧЕРН К1'!V30*СПРАВОЧНИК!$J$15</f>
        <v/>
      </c>
      <c r="AB39" s="31">
        <f>('ФАКТ ЧЕРН К1'!B30)*СПРАВОЧНИК!$H$9+('ФАКТ ЧЕРН К1'!C30)*СПРАВОЧНИК!$I$9+('ФАКТ ЧЕРН К1'!D30)*СПРАВОЧНИК!$J$9+('ФАКТ ЧЕРН К1'!E30)*СПРАВОЧНИК!$H$10+('ФАКТ ЧЕРН К1'!F30)*СПРАВОЧНИК!$I$10+('ФАКТ ЧЕРН К1'!G30)*СПРАВОЧНИК!$J$10+('ФАКТ ЧЕРН К1'!H30)*СПРАВОЧНИК!$H$11+('ФАКТ ЧЕРН К1'!I30)*СПРАВОЧНИК!$I$11+('ФАКТ ЧЕРН К1'!J30)*СПРАВОЧНИК!$J$11+('ФАКТ ЧЕРН К1'!K30)*СПРАВОЧНИК!$H$12+('ФАКТ ЧЕРН К1'!L30)*СПРАВОЧНИК!$I$12+('ФАКТ ЧЕРН К1'!M30)*СПРАВОЧНИК!$J$12+('ФАКТ ЧЕРН К1'!N30)*СПРАВОЧНИК!$H$13+('ФАКТ ЧЕРН К1'!O30)*СПРАВОЧНИК!$I$13+('ФАКТ ЧЕРН К1'!P30)*СПРАВОЧНИК!$J$13+('ФАКТ ЧЕРН К1'!Q30)*СПРАВОЧНИК!$H$14+('ФАКТ ЧЕРН К1'!R30)*СПРАВОЧНИК!$I$14+('ФАКТ ЧЕРН К1'!S30)*СПРАВОЧНИК!$J$14+('ФАКТ ЧЕРН К1'!T30)*СПРАВОЧНИК!$H$15+('ФАКТ ЧЕРН К1'!U30)*СПРАВОЧНИК!$I$15+('ФАКТ ЧЕРН К1'!V30)*СПРАВОЧНИК!$J$15</f>
        <v/>
      </c>
      <c r="AC39" s="34" t="n"/>
      <c r="AF39" s="152">
        <f>AF38+7</f>
        <v/>
      </c>
      <c r="AG39" s="17">
        <f>'ПЛАН ЧИСТ К1'!B30*СПРАВОЧНИК!$L$9+'ПЛАН ЧИСТ К1'!C30*СПРАВОЧНИК!$M$9+'ПЛАН ЧИСТ К1'!D30*СПРАВОЧНИК!$N$9+'ПЛАН ЧИСТ К1'!E30*СПРАВОЧНИК!$O$9+'ПЛАН ЧИСТ К1'!F30*СПРАВОЧНИК!$P$9+'ПЛАН ЧИСТ К1'!G30*СПРАВОЧНИК!$L$10+'ПЛАН ЧИСТ К1'!H30*СПРАВОЧНИК!$M$10+'ПЛАН ЧИСТ К1'!I30*СПРАВОЧНИК!$N$10+'ПЛАН ЧИСТ К1'!J30*СПРАВОЧНИК!$O$10+'ПЛАН ЧИСТ К1'!K30*СПРАВОЧНИК!$P$10+'ПЛАН ЧИСТ К1'!L30*СПРАВОЧНИК!$L$11+'ПЛАН ЧИСТ К1'!M30*СПРАВОЧНИК!$M$11+'ПЛАН ЧИСТ К1'!N30*СПРАВОЧНИК!$N$11+'ПЛАН ЧИСТ К1'!O30*СПРАВОЧНИК!$O$11+'ПЛАН ЧИСТ К1'!P30*СПРАВОЧНИК!$P$11+'ПЛАН ЧИСТ К1'!Q30*СПРАВОЧНИК!$L$12+'ПЛАН ЧИСТ К1'!R30*СПРАВОЧНИК!$M$12+'ПЛАН ЧИСТ К1'!S30*СПРАВОЧНИК!$N$12+'ПЛАН ЧИСТ К1'!T30*СПРАВОЧНИК!$O$12+'ПЛАН ЧИСТ К1'!U30*СПРАВОЧНИК!$P$12+'ПЛАН ЧИСТ К1'!V30*СПРАВОЧНИК!$L$13+'ПЛАН ЧИСТ К1'!W30*СПРАВОЧНИК!$M$13+'ПЛАН ЧИСТ К1'!X30*СПРАВОЧНИК!$N$13+'ПЛАН ЧИСТ К1'!Y30*СПРАВОЧНИК!$O$13+'ПЛАН ЧИСТ К1'!Z30*СПРАВОЧНИК!$P$13+'ПЛАН ЧИСТ К1'!AA30*СПРАВОЧНИК!$L$14+'ПЛАН ЧИСТ К1'!AB30*СПРАВОЧНИК!$M$14+'ПЛАН ЧИСТ К1'!AC30*СПРАВОЧНИК!$N$14+'ПЛАН ЧИСТ К1'!AD30*СПРАВОЧНИК!$O$14+'ПЛАН ЧИСТ К1'!AE30*СПРАВОЧНИК!$P$14+'ПЛАН ЧИСТ К1'!AF30*СПРАВОЧНИК!$L$15+'ПЛАН ЧИСТ К1'!AG30*СПРАВОЧНИК!$M$15+'ПЛАН ЧИСТ К1'!AH30*СПРАВОЧНИК!$N$15+'ПЛАН ЧИСТ К1'!AI30*СПРАВОЧНИК!$O$15+'ПЛАН ЧИСТ К1'!AJ30*СПРАВОЧНИК!$P$15</f>
        <v/>
      </c>
      <c r="AH39" s="31">
        <f>('ФАКТ ЧИСТ К1'!B30)*СПРАВОЧНИК!$L$9+('ФАКТ ЧИСТ К1'!C30)*СПРАВОЧНИК!$M$9+('ФАКТ ЧИСТ К1'!D30)*СПРАВОЧНИК!$N$9+('ФАКТ ЧИСТ К1'!E30)*СПРАВОЧНИК!$O$9+('ФАКТ ЧИСТ К1'!F30)*СПРАВОЧНИК!$P$9+('ФАКТ ЧИСТ К1'!G30)*СПРАВОЧНИК!$L$10+('ФАКТ ЧИСТ К1'!H30)*СПРАВОЧНИК!$M$10+('ФАКТ ЧИСТ К1'!I30)*СПРАВОЧНИК!$N$10+('ФАКТ ЧИСТ К1'!J30)*СПРАВОЧНИК!$O$10+('ФАКТ ЧИСТ К1'!K30)*СПРАВОЧНИК!$P$10+('ФАКТ ЧИСТ К1'!L30)*СПРАВОЧНИК!$L$11+('ФАКТ ЧИСТ К1'!M30)*СПРАВОЧНИК!$M$11+('ФАКТ ЧИСТ К1'!N30)*СПРАВОЧНИК!$N$11+('ФАКТ ЧИСТ К1'!O30)*СПРАВОЧНИК!$O$11+('ФАКТ ЧИСТ К1'!P30)*СПРАВОЧНИК!$P$11+('ФАКТ ЧИСТ К1'!Q30)*СПРАВОЧНИК!$L$12+('ФАКТ ЧИСТ К1'!R30)*СПРАВОЧНИК!$M$12+('ФАКТ ЧИСТ К1'!S30)*СПРАВОЧНИК!$N$12+('ФАКТ ЧИСТ К1'!T30)*СПРАВОЧНИК!$O$12+('ФАКТ ЧИСТ К1'!U30)*СПРАВОЧНИК!$P$12+('ФАКТ ЧИСТ К1'!V30)*СПРАВОЧНИК!$L$13+('ФАКТ ЧИСТ К1'!W30)*СПРАВОЧНИК!$M$13+('ФАКТ ЧИСТ К1'!X30)*СПРАВОЧНИК!$N$13+('ФАКТ ЧИСТ К1'!Y30)*СПРАВОЧНИК!$O$13+('ФАКТ ЧИСТ К1'!Z30)*СПРАВОЧНИК!$P$13+('ФАКТ ЧИСТ К1'!AA30)*СПРАВОЧНИК!$L$14+('ФАКТ ЧИСТ К1'!AB30)*СПРАВОЧНИК!$M$14+('ФАКТ ЧИСТ К1'!AC30)*СПРАВОЧНИК!$N$14+('ФАКТ ЧИСТ К1'!AD30)*СПРАВОЧНИК!$O$14+('ФАКТ ЧИСТ К1'!AE30)*СПРАВОЧНИК!$P$14+('ФАКТ ЧИСТ К1'!AF30)*СПРАВОЧНИК!$L$15+('ФАКТ ЧИСТ К1'!AG30)*СПРАВОЧНИК!$M$15+('ФАКТ ЧИСТ К1'!AH30)*СПРАВОЧНИК!$N$15+('ФАКТ ЧИСТ К1'!AI30)*СПРАВОЧНИК!$O$15+('ФАКТ ЧИСТ К1'!AJ30)*СПРАВОЧНИК!$P$15</f>
        <v/>
      </c>
      <c r="AI39" s="34" t="n"/>
      <c r="AL39" s="152">
        <f>AL38+7</f>
        <v/>
      </c>
      <c r="AM39" s="17">
        <f>СПРАВОЧНИК!$E$9*('ПЛАН ЧЕРН К2'!B30*СПРАВОЧНИК!$H$9+'ПЛАН ЧЕРН К2'!C30*СПРАВОЧНИК!$I$9+'ПЛАН ЧЕРН К2'!D30*СПРАВОЧНИК!$J$9)+СПРАВОЧНИК!$F$9*('ПЛАН ЧИСТ К2'!B30*СПРАВОЧНИК!$L$9+'ПЛАН ЧИСТ К2'!C30*СПРАВОЧНИК!$M$9+'ПЛАН ЧИСТ К2'!D30*СПРАВОЧНИК!$N$9+'ПЛАН ЧИСТ К2'!E30*СПРАВОЧНИК!$O$9+'ПЛАН ЧИСТ К2'!F30*СПРАВОЧНИК!$P$9)+СПРАВОЧНИК!$E$10*('ПЛАН ЧЕРН К2'!E30*СПРАВОЧНИК!$H$10+'ПЛАН ЧЕРН К2'!F30*СПРАВОЧНИК!$I$10+'ПЛАН ЧЕРН К2'!G30*СПРАВОЧНИК!$J$10)+СПРАВОЧНИК!$F$10*('ПЛАН ЧИСТ К2'!G30*СПРАВОЧНИК!$L$10+'ПЛАН ЧИСТ К2'!H30*СПРАВОЧНИК!$M$10+'ПЛАН ЧИСТ К2'!I30*СПРАВОЧНИК!$N$10+'ПЛАН ЧИСТ К2'!J30*СПРАВОЧНИК!$O$10+'ПЛАН ЧИСТ К2'!K30*СПРАВОЧНИК!$P$10)+СПРАВОЧНИК!$E$11*('ПЛАН ЧЕРН К2'!H30*СПРАВОЧНИК!$H$11+'ПЛАН ЧЕРН К2'!I30*СПРАВОЧНИК!$I$11+'ПЛАН ЧЕРН К2'!J30*СПРАВОЧНИК!$J$11)+СПРАВОЧНИК!$F$11*('ПЛАН ЧИСТ К2'!L30*СПРАВОЧНИК!$L$11+'ПЛАН ЧИСТ К2'!M30*СПРАВОЧНИК!$M$11+'ПЛАН ЧИСТ К2'!N30*СПРАВОЧНИК!$N$11+'ПЛАН ЧИСТ К2'!O30*СПРАВОЧНИК!$O$11+'ПЛАН ЧИСТ К2'!P30*СПРАВОЧНИК!$P$11)+СПРАВОЧНИК!$E$12*('ПЛАН ЧЕРН К2'!K30*СПРАВОЧНИК!$H$12+'ПЛАН ЧЕРН К2'!L30*СПРАВОЧНИК!$I$12+'ПЛАН ЧЕРН К2'!M30*СПРАВОЧНИК!$J$12)+СПРАВОЧНИК!$F$12*('ПЛАН ЧИСТ К2'!Q30*СПРАВОЧНИК!$L$12+'ПЛАН ЧИСТ К2'!R30*СПРАВОЧНИК!$M$12+'ПЛАН ЧИСТ К2'!S30*СПРАВОЧНИК!$N$12+'ПЛАН ЧИСТ К2'!T30*СПРАВОЧНИК!$O$12+'ПЛАН ЧИСТ К2'!U30*СПРАВОЧНИК!$P$12)+СПРАВОЧНИК!$E$13*('ПЛАН ЧЕРН К2'!N30*СПРАВОЧНИК!$H$13+'ПЛАН ЧЕРН К2'!O30*СПРАВОЧНИК!$I$13+'ПЛАН ЧЕРН К2'!P30*СПРАВОЧНИК!$J$13)+СПРАВОЧНИК!$F$13*('ПЛАН ЧИСТ К2'!V30*СПРАВОЧНИК!$L$13+'ПЛАН ЧИСТ К2'!W30*СПРАВОЧНИК!$M$13+'ПЛАН ЧИСТ К2'!X30*СПРАВОЧНИК!$N$13+'ПЛАН ЧИСТ К2'!Y30*СПРАВОЧНИК!$O$13+'ПЛАН ЧИСТ К2'!Z30*СПРАВОЧНИК!$P$13)+СПРАВОЧНИК!$E$14*('ПЛАН ЧЕРН К2'!Q30*СПРАВОЧНИК!$H$14+'ПЛАН ЧЕРН К2'!R30*СПРАВОЧНИК!$I$14+'ПЛАН ЧЕРН К2'!S30*СПРАВОЧНИК!$J$14)+СПРАВОЧНИК!$F$14*('ПЛАН ЧИСТ К2'!AA30*СПРАВОЧНИК!$L$14+'ПЛАН ЧИСТ К2'!AB30*СПРАВОЧНИК!$M$14+'ПЛАН ЧИСТ К2'!AC30*СПРАВОЧНИК!$N$14+'ПЛАН ЧИСТ К2'!AD30*СПРАВОЧНИК!$O$14+'ПЛАН ЧИСТ К2'!AE30*СПРАВОЧНИК!$P$14)+СПРАВОЧНИК!$E$15*('ПЛАН ЧЕРН К2'!T30*СПРАВОЧНИК!$H$15+'ПЛАН ЧЕРН К2'!U30*СПРАВОЧНИК!$I$15+'ПЛАН ЧЕРН К2'!V30*СПРАВОЧНИК!$J$15)+СПРАВОЧНИК!$F$15*('ПЛАН ЧИСТ К2'!AF30*СПРАВОЧНИК!$L$15+'ПЛАН ЧИСТ К2'!AG30*СПРАВОЧНИК!$M$15+'ПЛАН ЧИСТ К2'!AH30*СПРАВОЧНИК!$N$15+'ПЛАН ЧИСТ К2'!AI30*СПРАВОЧНИК!$O$15+'ПЛАН ЧИСТ К2'!AJ30*СПРАВОЧНИК!$P$15)</f>
        <v/>
      </c>
      <c r="AN39" s="31">
        <f>СПРАВОЧНИК!$E$9*('ФАКТ ЧЕРН К2'!B30*СПРАВОЧНИК!$H$9+'ФАКТ ЧЕРН К2'!C30*СПРАВОЧНИК!$I$9+'ФАКТ ЧЕРН К2'!D30*СПРАВОЧНИК!$J$9)+СПРАВОЧНИК!$F$9*('ФАКТ ЧИСТ К2'!B30*СПРАВОЧНИК!$L$9+'ФАКТ ЧИСТ К2'!C30*СПРАВОЧНИК!$M$9+'ФАКТ ЧИСТ К2'!D30*СПРАВОЧНИК!$N$9+'ФАКТ ЧИСТ К2'!E30*СПРАВОЧНИК!$O$9+'ФАКТ ЧИСТ К2'!F30*СПРАВОЧНИК!$P$9)+СПРАВОЧНИК!$E$10*('ФАКТ ЧЕРН К2'!E30*СПРАВОЧНИК!$H$10+'ФАКТ ЧЕРН К2'!F30*СПРАВОЧНИК!$I$10+'ФАКТ ЧЕРН К2'!G30*СПРАВОЧНИК!$J$10)+СПРАВОЧНИК!$F$10*('ФАКТ ЧИСТ К2'!G30*СПРАВОЧНИК!$L$10+'ФАКТ ЧИСТ К2'!H30*СПРАВОЧНИК!$M$10+'ФАКТ ЧИСТ К2'!I30*СПРАВОЧНИК!$N$10+'ФАКТ ЧИСТ К2'!J30*СПРАВОЧНИК!$O$10+'ФАКТ ЧИСТ К2'!K30*СПРАВОЧНИК!$P$10)+СПРАВОЧНИК!$E$11*('ФАКТ ЧЕРН К2'!H30*СПРАВОЧНИК!$H$11+'ФАКТ ЧЕРН К2'!I30*СПРАВОЧНИК!$I$11+'ФАКТ ЧЕРН К2'!J30*СПРАВОЧНИК!$J$11)+СПРАВОЧНИК!$F$11*('ФАКТ ЧИСТ К2'!L30*СПРАВОЧНИК!$L$11+'ФАКТ ЧИСТ К2'!M30*СПРАВОЧНИК!$M$11+'ФАКТ ЧИСТ К2'!N30*СПРАВОЧНИК!$N$11+'ФАКТ ЧИСТ К2'!O30*СПРАВОЧНИК!$O$11+'ФАКТ ЧИСТ К2'!P30*СПРАВОЧНИК!$P$11)+СПРАВОЧНИК!$E$12*('ФАКТ ЧЕРН К2'!K30*СПРАВОЧНИК!$H$12+'ФАКТ ЧЕРН К2'!L30*СПРАВОЧНИК!$I$12+'ФАКТ ЧЕРН К2'!M30*СПРАВОЧНИК!$J$12)+СПРАВОЧНИК!$F$12*('ФАКТ ЧИСТ К2'!Q30*СПРАВОЧНИК!$L$12+'ФАКТ ЧИСТ К2'!R30*СПРАВОЧНИК!$M$12+'ФАКТ ЧИСТ К2'!S30*СПРАВОЧНИК!$N$12+'ФАКТ ЧИСТ К2'!T30*СПРАВОЧНИК!$O$12+'ФАКТ ЧИСТ К2'!U30*СПРАВОЧНИК!$P$12)+СПРАВОЧНИК!$E$13*('ФАКТ ЧЕРН К2'!N30*СПРАВОЧНИК!$H$13+'ФАКТ ЧЕРН К2'!O30*СПРАВОЧНИК!$I$13+'ФАКТ ЧЕРН К2'!P30*СПРАВОЧНИК!$J$13)+СПРАВОЧНИК!$F$13*('ФАКТ ЧИСТ К2'!V30*СПРАВОЧНИК!$L$13+'ФАКТ ЧИСТ К2'!W30*СПРАВОЧНИК!$M$13+'ФАКТ ЧИСТ К2'!X30*СПРАВОЧНИК!$N$13+'ФАКТ ЧИСТ К2'!Y30*СПРАВОЧНИК!$O$13+'ФАКТ ЧИСТ К2'!Z30*СПРАВОЧНИК!$P$13)+СПРАВОЧНИК!$E$14*('ФАКТ ЧЕРН К2'!Q30*СПРАВОЧНИК!$H$14+'ФАКТ ЧЕРН К2'!R30*СПРАВОЧНИК!$I$14+'ФАКТ ЧЕРН К2'!S30*СПРАВОЧНИК!$J$14)+СПРАВОЧНИК!$F$14*('ФАКТ ЧИСТ К2'!AA30*СПРАВОЧНИК!$L$14+'ФАКТ ЧИСТ К2'!AB30*СПРАВОЧНИК!$M$14+'ФАКТ ЧИСТ К2'!AC30*СПРАВОЧНИК!$N$14+'ФАКТ ЧИСТ К2'!AD30*СПРАВОЧНИК!$O$14+'ФАКТ ЧИСТ К2'!AE30*СПРАВОЧНИК!$P$14)+СПРАВОЧНИК!$E$15*('ФАКТ ЧЕРН К2'!T30*СПРАВОЧНИК!$H$15+'ФАКТ ЧЕРН К2'!U30*СПРАВОЧНИК!$I$15+'ФАКТ ЧЕРН К2'!V30*СПРАВОЧНИК!$J$15)+СПРАВОЧНИК!$F$15*('ФАКТ ЧИСТ К2'!AF30*СПРАВОЧНИК!$L$15+'ФАКТ ЧИСТ К2'!AG30*СПРАВОЧНИК!$M$15+'ФАКТ ЧИСТ К2'!AH30*СПРАВОЧНИК!$N$15+'ФАКТ ЧИСТ К2'!AI30*СПРАВОЧНИК!$O$15+'ФАКТ ЧИСТ К2'!AJ30*СПРАВОЧНИК!$P$15)</f>
        <v/>
      </c>
      <c r="AO39" s="34" t="n"/>
      <c r="AR39" s="152">
        <f>AR38+7</f>
        <v/>
      </c>
      <c r="AS39" s="17">
        <f>'ПЛАН ЧЕРН К2'!B30*СПРАВОЧНИК!$H$9+'ПЛАН ЧЕРН К2'!C30*СПРАВОЧНИК!$I$9+'ПЛАН ЧЕРН К2'!D30*СПРАВОЧНИК!$J$9+'ПЛАН ЧЕРН К2'!E30*СПРАВОЧНИК!$H$10+'ПЛАН ЧЕРН К2'!F30*СПРАВОЧНИК!$I$10+'ПЛАН ЧЕРН К2'!G30*СПРАВОЧНИК!$J$10+'ПЛАН ЧЕРН К2'!H30*СПРАВОЧНИК!$H$11+'ПЛАН ЧЕРН К2'!I30*СПРАВОЧНИК!$I$11+'ПЛАН ЧЕРН К2'!J30*СПРАВОЧНИК!$J$11+'ПЛАН ЧЕРН К2'!K30*СПРАВОЧНИК!$H$12+'ПЛАН ЧЕРН К2'!L30*СПРАВОЧНИК!$I$12+'ПЛАН ЧЕРН К2'!M30*СПРАВОЧНИК!$J$12+'ПЛАН ЧЕРН К2'!N30*СПРАВОЧНИК!$H$13+'ПЛАН ЧЕРН К2'!O30*СПРАВОЧНИК!$I$13+'ПЛАН ЧЕРН К2'!P30*СПРАВОЧНИК!$J$13+'ПЛАН ЧЕРН К2'!Q30*СПРАВОЧНИК!$H$14+'ПЛАН ЧЕРН К2'!R30*СПРАВОЧНИК!$I$14+'ПЛАН ЧЕРН К2'!S30*СПРАВОЧНИК!$J$14+'ПЛАН ЧЕРН К2'!T30*СПРАВОЧНИК!$H$15+'ПЛАН ЧЕРН К2'!U30*СПРАВОЧНИК!$I$15+'ПЛАН ЧЕРН К2'!V30*СПРАВОЧНИК!$J$15</f>
        <v/>
      </c>
      <c r="AT39" s="31">
        <f>('ФАКТ ЧЕРН К2'!B30)*СПРАВОЧНИК!$H$9+('ФАКТ ЧЕРН К2'!C30)*СПРАВОЧНИК!$I$9+('ФАКТ ЧЕРН К2'!D30)*СПРАВОЧНИК!$J$9+('ФАКТ ЧЕРН К2'!E30)*СПРАВОЧНИК!$H$10+('ФАКТ ЧЕРН К2'!F30)*СПРАВОЧНИК!$I$10+('ФАКТ ЧЕРН К2'!G30)*СПРАВОЧНИК!$J$10+('ФАКТ ЧЕРН К2'!H30)*СПРАВОЧНИК!$H$11+('ФАКТ ЧЕРН К2'!I30)*СПРАВОЧНИК!$I$11+('ФАКТ ЧЕРН К2'!J30)*СПРАВОЧНИК!$J$11+('ФАКТ ЧЕРН К2'!K30)*СПРАВОЧНИК!$H$12+('ФАКТ ЧЕРН К2'!L30)*СПРАВОЧНИК!$I$12+('ФАКТ ЧЕРН К2'!M30)*СПРАВОЧНИК!$J$12+('ФАКТ ЧЕРН К2'!N30)*СПРАВОЧНИК!$H$13+('ФАКТ ЧЕРН К2'!O30)*СПРАВОЧНИК!$I$13+('ФАКТ ЧЕРН К2'!P30)*СПРАВОЧНИК!$J$13+('ФАКТ ЧЕРН К2'!Q30)*СПРАВОЧНИК!$H$14+('ФАКТ ЧЕРН К2'!R30)*СПРАВОЧНИК!$I$14+('ФАКТ ЧЕРН К2'!S30)*СПРАВОЧНИК!$J$14+('ФАКТ ЧЕРН К2'!T30)*СПРАВОЧНИК!$H$15+('ФАКТ ЧЕРН К2'!U30)*СПРАВОЧНИК!$I$15+('ФАКТ ЧЕРН К2'!V30)*СПРАВОЧНИК!$J$15</f>
        <v/>
      </c>
      <c r="AU39" s="34" t="n"/>
      <c r="AX39" s="152">
        <f>AX38+7</f>
        <v/>
      </c>
      <c r="AY39" s="17">
        <f>'ПЛАН ЧИСТ К2'!B30*СПРАВОЧНИК!$L$9+'ПЛАН ЧИСТ К2'!C30*СПРАВОЧНИК!$M$9+'ПЛАН ЧИСТ К2'!D30*СПРАВОЧНИК!$N$9+'ПЛАН ЧИСТ К2'!E30*СПРАВОЧНИК!$O$9+'ПЛАН ЧИСТ К2'!F30*СПРАВОЧНИК!$P$9+'ПЛАН ЧИСТ К2'!G30*СПРАВОЧНИК!$L$10+'ПЛАН ЧИСТ К2'!H30*СПРАВОЧНИК!$M$10+'ПЛАН ЧИСТ К2'!I30*СПРАВОЧНИК!$N$10+'ПЛАН ЧИСТ К2'!J30*СПРАВОЧНИК!$O$10+'ПЛАН ЧИСТ К2'!K30*СПРАВОЧНИК!$P$10+'ПЛАН ЧИСТ К2'!L30*СПРАВОЧНИК!$L$11+'ПЛАН ЧИСТ К2'!M30*СПРАВОЧНИК!$M$11+'ПЛАН ЧИСТ К2'!N30*СПРАВОЧНИК!$N$11+'ПЛАН ЧИСТ К2'!O30*СПРАВОЧНИК!$O$11+'ПЛАН ЧИСТ К2'!P30*СПРАВОЧНИК!$P$11+'ПЛАН ЧИСТ К2'!Q30*СПРАВОЧНИК!$L$12+'ПЛАН ЧИСТ К2'!R30*СПРАВОЧНИК!$M$12+'ПЛАН ЧИСТ К2'!S30*СПРАВОЧНИК!$N$12+'ПЛАН ЧИСТ К2'!T30*СПРАВОЧНИК!$O$12+'ПЛАН ЧИСТ К2'!U30*СПРАВОЧНИК!$P$12+'ПЛАН ЧИСТ К2'!V30*СПРАВОЧНИК!$L$13+'ПЛАН ЧИСТ К2'!W30*СПРАВОЧНИК!$M$13+'ПЛАН ЧИСТ К2'!X30*СПРАВОЧНИК!$N$13+'ПЛАН ЧИСТ К2'!Y30*СПРАВОЧНИК!$O$13+'ПЛАН ЧИСТ К2'!Z30*СПРАВОЧНИК!$P$13+'ПЛАН ЧИСТ К2'!AA30*СПРАВОЧНИК!$L$14+'ПЛАН ЧИСТ К2'!AB30*СПРАВОЧНИК!$M$14+'ПЛАН ЧИСТ К2'!AC30*СПРАВОЧНИК!$N$14+'ПЛАН ЧИСТ К2'!AD30*СПРАВОЧНИК!$O$14+'ПЛАН ЧИСТ К2'!AE30*СПРАВОЧНИК!$P$14+'ПЛАН ЧИСТ К2'!AF30*СПРАВОЧНИК!$L$15+'ПЛАН ЧИСТ К2'!AG30*СПРАВОЧНИК!$M$15+'ПЛАН ЧИСТ К2'!AH30*СПРАВОЧНИК!$N$15+'ПЛАН ЧИСТ К2'!AI30*СПРАВОЧНИК!$O$15+'ПЛАН ЧИСТ К2'!AJ30*СПРАВОЧНИК!$P$15</f>
        <v/>
      </c>
      <c r="AZ39" s="31">
        <f>('ФАКТ ЧИСТ К2'!B30)*СПРАВОЧНИК!$L$9+('ФАКТ ЧИСТ К2'!C30)*СПРАВОЧНИК!$M$9+('ФАКТ ЧИСТ К2'!D30)*СПРАВОЧНИК!$N$9+('ФАКТ ЧИСТ К2'!E30)*СПРАВОЧНИК!$O$9+('ФАКТ ЧИСТ К2'!F30)*СПРАВОЧНИК!$P$9+('ФАКТ ЧИСТ К2'!G30)*СПРАВОЧНИК!$L$10+('ФАКТ ЧИСТ К2'!H30)*СПРАВОЧНИК!$M$10+('ФАКТ ЧИСТ К2'!I30)*СПРАВОЧНИК!$N$10+('ФАКТ ЧИСТ К2'!J30)*СПРАВОЧНИК!$O$10+('ФАКТ ЧИСТ К2'!K30)*СПРАВОЧНИК!$P$10+('ФАКТ ЧИСТ К2'!L30)*СПРАВОЧНИК!$L$11+('ФАКТ ЧИСТ К2'!M30)*СПРАВОЧНИК!$M$11+('ФАКТ ЧИСТ К2'!N30)*СПРАВОЧНИК!$N$11+('ФАКТ ЧИСТ К2'!O30)*СПРАВОЧНИК!$O$11+('ФАКТ ЧИСТ К2'!P30)*СПРАВОЧНИК!$P$11+('ФАКТ ЧИСТ К2'!Q30)*СПРАВОЧНИК!$L$12+('ФАКТ ЧИСТ К2'!R30)*СПРАВОЧНИК!$M$12+('ФАКТ ЧИСТ К2'!S30)*СПРАВОЧНИК!$N$12+('ФАКТ ЧИСТ К2'!T30)*СПРАВОЧНИК!$O$12+('ФАКТ ЧИСТ К2'!U30)*СПРАВОЧНИК!$P$12+('ФАКТ ЧИСТ К2'!V30)*СПРАВОЧНИК!$L$13+('ФАКТ ЧИСТ К2'!W30)*СПРАВОЧНИК!$M$13+('ФАКТ ЧИСТ К2'!X30)*СПРАВОЧНИК!$N$13+('ФАКТ ЧИСТ К2'!Y30)*СПРАВОЧНИК!$O$13+('ФАКТ ЧИСТ К2'!Z30)*СПРАВОЧНИК!$P$13+('ФАКТ ЧИСТ К2'!AA30)*СПРАВОЧНИК!$L$14+('ФАКТ ЧИСТ К2'!AB30)*СПРАВОЧНИК!$M$14+('ФАКТ ЧИСТ К2'!AC30)*СПРАВОЧНИК!$N$14+('ФАКТ ЧИСТ К2'!AD30)*СПРАВОЧНИК!$O$14+('ФАКТ ЧИСТ К2'!AE30)*СПРАВОЧНИК!$P$14+('ФАКТ ЧИСТ К2'!AF30)*СПРАВОЧНИК!$L$15+('ФАКТ ЧИСТ К2'!AG30)*СПРАВОЧНИК!$M$15+('ФАКТ ЧИСТ К2'!AH30)*СПРАВОЧНИК!$N$15+('ФАКТ ЧИСТ К2'!AI30)*СПРАВОЧНИК!$O$15+('ФАКТ ЧИСТ К2'!AJ30)*СПРАВОЧНИК!$P$15</f>
        <v/>
      </c>
      <c r="BA39" s="34" t="n"/>
      <c r="BD39" s="152">
        <f>BD38+7</f>
        <v/>
      </c>
      <c r="BE39" s="17">
        <f>СПРАВОЧНИК!$E$9*('ПЛАН ЧЕРН К3'!B30*СПРАВОЧНИК!$H$9+'ПЛАН ЧЕРН К3'!C30*СПРАВОЧНИК!$I$9+'ПЛАН ЧЕРН К3'!D30*СПРАВОЧНИК!$J$9)+СПРАВОЧНИК!$F$9*('ПЛАН ЧИСТ К3'!B30*СПРАВОЧНИК!$L$9+'ПЛАН ЧИСТ К3'!C30*СПРАВОЧНИК!$M$9+'ПЛАН ЧИСТ К3'!D30*СПРАВОЧНИК!$N$9+'ПЛАН ЧИСТ К3'!E30*СПРАВОЧНИК!$O$9+'ПЛАН ЧИСТ К3'!F30*СПРАВОЧНИК!$P$9)+СПРАВОЧНИК!$E$10*('ПЛАН ЧЕРН К3'!E30*СПРАВОЧНИК!$H$10+'ПЛАН ЧЕРН К3'!F30*СПРАВОЧНИК!$I$10+'ПЛАН ЧЕРН К3'!G30*СПРАВОЧНИК!$J$10)+СПРАВОЧНИК!$F$10*('ПЛАН ЧИСТ К3'!G30*СПРАВОЧНИК!$L$10+'ПЛАН ЧИСТ К3'!H30*СПРАВОЧНИК!$M$10+'ПЛАН ЧИСТ К3'!I30*СПРАВОЧНИК!$N$10+'ПЛАН ЧИСТ К3'!J30*СПРАВОЧНИК!$O$10+'ПЛАН ЧИСТ К3'!K30*СПРАВОЧНИК!$P$10)+СПРАВОЧНИК!$E$11*('ПЛАН ЧЕРН К3'!H30*СПРАВОЧНИК!$H$11+'ПЛАН ЧЕРН К3'!I30*СПРАВОЧНИК!$I$11+'ПЛАН ЧЕРН К3'!J30*СПРАВОЧНИК!$J$11)+СПРАВОЧНИК!$F$11*('ПЛАН ЧИСТ К3'!L30*СПРАВОЧНИК!$L$11+'ПЛАН ЧИСТ К3'!M30*СПРАВОЧНИК!$M$11+'ПЛАН ЧИСТ К3'!N30*СПРАВОЧНИК!$N$11+'ПЛАН ЧИСТ К3'!O30*СПРАВОЧНИК!$O$11+'ПЛАН ЧИСТ К3'!P30*СПРАВОЧНИК!$P$11)+СПРАВОЧНИК!$E$12*('ПЛАН ЧЕРН К3'!K30*СПРАВОЧНИК!$H$12+'ПЛАН ЧЕРН К3'!L30*СПРАВОЧНИК!$I$12+'ПЛАН ЧЕРН К3'!M30*СПРАВОЧНИК!$J$12)+СПРАВОЧНИК!$F$12*('ПЛАН ЧИСТ К3'!Q30*СПРАВОЧНИК!$L$12+'ПЛАН ЧИСТ К3'!R30*СПРАВОЧНИК!$M$12+'ПЛАН ЧИСТ К3'!S30*СПРАВОЧНИК!$N$12+'ПЛАН ЧИСТ К3'!T30*СПРАВОЧНИК!$O$12+'ПЛАН ЧИСТ К3'!U30*СПРАВОЧНИК!$P$12)+СПРАВОЧНИК!$E$13*('ПЛАН ЧЕРН К3'!N30*СПРАВОЧНИК!$H$13+'ПЛАН ЧЕРН К3'!O30*СПРАВОЧНИК!$I$13+'ПЛАН ЧЕРН К3'!P30*СПРАВОЧНИК!$J$13)+СПРАВОЧНИК!$F$13*('ПЛАН ЧИСТ К3'!V30*СПРАВОЧНИК!$L$13+'ПЛАН ЧИСТ К3'!W30*СПРАВОЧНИК!$M$13+'ПЛАН ЧИСТ К3'!X30*СПРАВОЧНИК!$N$13+'ПЛАН ЧИСТ К3'!Y30*СПРАВОЧНИК!$O$13+'ПЛАН ЧИСТ К3'!Z30*СПРАВОЧНИК!$P$13)+СПРАВОЧНИК!$E$14*('ПЛАН ЧЕРН К3'!Q30*СПРАВОЧНИК!$H$14+'ПЛАН ЧЕРН К3'!R30*СПРАВОЧНИК!$I$14+'ПЛАН ЧЕРН К3'!S30*СПРАВОЧНИК!$J$14)+СПРАВОЧНИК!$F$14*('ПЛАН ЧИСТ К3'!AA30*СПРАВОЧНИК!$L$14+'ПЛАН ЧИСТ К3'!AB30*СПРАВОЧНИК!$M$14+'ПЛАН ЧИСТ К3'!AC30*СПРАВОЧНИК!$N$14+'ПЛАН ЧИСТ К3'!AD30*СПРАВОЧНИК!$O$14+'ПЛАН ЧИСТ К3'!AE30*СПРАВОЧНИК!$P$14)+СПРАВОЧНИК!$E$15*('ПЛАН ЧЕРН К3'!T30*СПРАВОЧНИК!$H$15+'ПЛАН ЧЕРН К3'!U30*СПРАВОЧНИК!$I$15+'ПЛАН ЧЕРН К3'!V30*СПРАВОЧНИК!$J$15)+СПРАВОЧНИК!$F$15*('ПЛАН ЧИСТ К3'!AF30*СПРАВОЧНИК!$L$15+'ПЛАН ЧИСТ К3'!AG30*СПРАВОЧНИК!$M$15+'ПЛАН ЧИСТ К3'!AH30*СПРАВОЧНИК!$N$15+'ПЛАН ЧИСТ К3'!AI30*СПРАВОЧНИК!$O$15+'ПЛАН ЧИСТ К3'!AJ30*СПРАВОЧНИК!$P$15)</f>
        <v/>
      </c>
      <c r="BF39" s="31">
        <f>СПРАВОЧНИК!$E$9*('ФАКТ ЧЕРН К3'!B30*СПРАВОЧНИК!$H$9+'ФАКТ ЧЕРН К3'!C30*СПРАВОЧНИК!$I$9+'ФАКТ ЧЕРН К3'!D30*СПРАВОЧНИК!$J$9)+СПРАВОЧНИК!$F$9*('ФАКТ ЧИСТ К3'!B30*СПРАВОЧНИК!$L$9+'ФАКТ ЧИСТ К3'!C30*СПРАВОЧНИК!$M$9+'ФАКТ ЧИСТ К3'!D30*СПРАВОЧНИК!$N$9+'ФАКТ ЧИСТ К3'!E30*СПРАВОЧНИК!$O$9+'ФАКТ ЧИСТ К3'!F30*СПРАВОЧНИК!$P$9)+СПРАВОЧНИК!$E$10*('ФАКТ ЧЕРН К3'!E30*СПРАВОЧНИК!$H$10+'ФАКТ ЧЕРН К3'!F30*СПРАВОЧНИК!$I$10+'ФАКТ ЧЕРН К3'!G30*СПРАВОЧНИК!$J$10)+СПРАВОЧНИК!$F$10*('ФАКТ ЧИСТ К3'!G30*СПРАВОЧНИК!$L$10+'ФАКТ ЧИСТ К3'!H30*СПРАВОЧНИК!$M$10+'ФАКТ ЧИСТ К3'!I30*СПРАВОЧНИК!$N$10+'ФАКТ ЧИСТ К3'!J30*СПРАВОЧНИК!$O$10+'ФАКТ ЧИСТ К3'!K30*СПРАВОЧНИК!$P$10)+СПРАВОЧНИК!$E$11*('ФАКТ ЧЕРН К3'!H30*СПРАВОЧНИК!$H$11+'ФАКТ ЧЕРН К3'!I30*СПРАВОЧНИК!$I$11+'ФАКТ ЧЕРН К3'!J30*СПРАВОЧНИК!$J$11)+СПРАВОЧНИК!$F$11*('ФАКТ ЧИСТ К3'!L30*СПРАВОЧНИК!$L$11+'ФАКТ ЧИСТ К3'!M30*СПРАВОЧНИК!$M$11+'ФАКТ ЧИСТ К3'!N30*СПРАВОЧНИК!$N$11+'ФАКТ ЧИСТ К3'!O30*СПРАВОЧНИК!$O$11+'ФАКТ ЧИСТ К3'!P30*СПРАВОЧНИК!$P$11)+СПРАВОЧНИК!$E$12*('ФАКТ ЧЕРН К3'!K30*СПРАВОЧНИК!$H$12+'ФАКТ ЧЕРН К3'!L30*СПРАВОЧНИК!$I$12+'ФАКТ ЧЕРН К3'!M30*СПРАВОЧНИК!$J$12)+СПРАВОЧНИК!$F$12*('ФАКТ ЧИСТ К3'!Q30*СПРАВОЧНИК!$L$12+'ФАКТ ЧИСТ К3'!R30*СПРАВОЧНИК!$M$12+'ФАКТ ЧИСТ К3'!S30*СПРАВОЧНИК!$N$12+'ФАКТ ЧИСТ К3'!T30*СПРАВОЧНИК!$O$12+'ФАКТ ЧИСТ К3'!U30*СПРАВОЧНИК!$P$12)+СПРАВОЧНИК!$E$13*('ФАКТ ЧЕРН К3'!N30*СПРАВОЧНИК!$H$13+'ФАКТ ЧЕРН К3'!O30*СПРАВОЧНИК!$I$13+'ФАКТ ЧЕРН К3'!P30*СПРАВОЧНИК!$J$13)+СПРАВОЧНИК!$F$13*('ФАКТ ЧИСТ К3'!V30*СПРАВОЧНИК!$L$13+'ФАКТ ЧИСТ К3'!W30*СПРАВОЧНИК!$M$13+'ФАКТ ЧИСТ К3'!X30*СПРАВОЧНИК!$N$13+'ФАКТ ЧИСТ К3'!Y30*СПРАВОЧНИК!$O$13+'ФАКТ ЧИСТ К3'!Z30*СПРАВОЧНИК!$P$13)+СПРАВОЧНИК!$E$14*('ФАКТ ЧЕРН К3'!Q30*СПРАВОЧНИК!$H$14+'ФАКТ ЧЕРН К3'!R30*СПРАВОЧНИК!$I$14+'ФАКТ ЧЕРН К3'!S30*СПРАВОЧНИК!$J$14)+СПРАВОЧНИК!$F$14*('ФАКТ ЧИСТ К3'!AA30*СПРАВОЧНИК!$L$14+'ФАКТ ЧИСТ К3'!AB30*СПРАВОЧНИК!$M$14+'ФАКТ ЧИСТ К3'!AC30*СПРАВОЧНИК!$N$14+'ФАКТ ЧИСТ К3'!AD30*СПРАВОЧНИК!$O$14+'ФАКТ ЧИСТ К3'!AE30*СПРАВОЧНИК!$P$14)+СПРАВОЧНИК!$E$15*('ФАКТ ЧЕРН К3'!T30*СПРАВОЧНИК!$H$15+'ФАКТ ЧЕРН К3'!U30*СПРАВОЧНИК!$I$15+'ФАКТ ЧЕРН К3'!V30*СПРАВОЧНИК!$J$15)+СПРАВОЧНИК!$F$15*('ФАКТ ЧИСТ К3'!AF30*СПРАВОЧНИК!$L$15+'ФАКТ ЧИСТ К3'!AG30*СПРАВОЧНИК!$M$15+'ФАКТ ЧИСТ К3'!AH30*СПРАВОЧНИК!$N$15+'ФАКТ ЧИСТ К3'!AI30*СПРАВОЧНИК!$O$15+'ФАКТ ЧИСТ К3'!AJ30*СПРАВОЧНИК!$P$15)</f>
        <v/>
      </c>
      <c r="BG39" s="34" t="n"/>
      <c r="BJ39" s="152">
        <f>BJ38+7</f>
        <v/>
      </c>
      <c r="BK39" s="17">
        <f>'ПЛАН ЧЕРН К3'!B30*СПРАВОЧНИК!$H$9+'ПЛАН ЧЕРН К3'!C30*СПРАВОЧНИК!$I$9+'ПЛАН ЧЕРН К3'!D30*СПРАВОЧНИК!$J$9+'ПЛАН ЧЕРН К3'!E30*СПРАВОЧНИК!$H$10+'ПЛАН ЧЕРН К3'!F30*СПРАВОЧНИК!$I$10+'ПЛАН ЧЕРН К3'!G30*СПРАВОЧНИК!$J$10+'ПЛАН ЧЕРН К3'!H30*СПРАВОЧНИК!$H$11+'ПЛАН ЧЕРН К3'!I30*СПРАВОЧНИК!$I$11+'ПЛАН ЧЕРН К3'!J30*СПРАВОЧНИК!$J$11+'ПЛАН ЧЕРН К3'!K30*СПРАВОЧНИК!$H$12+'ПЛАН ЧЕРН К3'!L30*СПРАВОЧНИК!$I$12+'ПЛАН ЧЕРН К3'!M30*СПРАВОЧНИК!$J$12+'ПЛАН ЧЕРН К3'!N30*СПРАВОЧНИК!$H$13+'ПЛАН ЧЕРН К3'!O30*СПРАВОЧНИК!$I$13+'ПЛАН ЧЕРН К3'!P30*СПРАВОЧНИК!$J$13+'ПЛАН ЧЕРН К3'!Q30*СПРАВОЧНИК!$H$14+'ПЛАН ЧЕРН К3'!R30*СПРАВОЧНИК!$I$14+'ПЛАН ЧЕРН К3'!S30*СПРАВОЧНИК!$J$14+'ПЛАН ЧЕРН К3'!T30*СПРАВОЧНИК!$H$15+'ПЛАН ЧЕРН К3'!U30*СПРАВОЧНИК!$I$15+'ПЛАН ЧЕРН К3'!V30*СПРАВОЧНИК!$J$15</f>
        <v/>
      </c>
      <c r="BL39" s="31">
        <f>('ФАКТ ЧЕРН К3'!B30)*СПРАВОЧНИК!$H$9+('ФАКТ ЧЕРН К3'!C30)*СПРАВОЧНИК!$I$9+('ФАКТ ЧЕРН К3'!D30)*СПРАВОЧНИК!$J$9+('ФАКТ ЧЕРН К3'!E30)*СПРАВОЧНИК!$H$10+('ФАКТ ЧЕРН К3'!F30)*СПРАВОЧНИК!$I$10+('ФАКТ ЧЕРН К3'!G30)*СПРАВОЧНИК!$J$10+('ФАКТ ЧЕРН К3'!H30)*СПРАВОЧНИК!$H$11+('ФАКТ ЧЕРН К3'!I30)*СПРАВОЧНИК!$I$11+('ФАКТ ЧЕРН К3'!J30)*СПРАВОЧНИК!$J$11+('ФАКТ ЧЕРН К3'!K30)*СПРАВОЧНИК!$H$12+('ФАКТ ЧЕРН К3'!L30)*СПРАВОЧНИК!$I$12+('ФАКТ ЧЕРН К3'!M30)*СПРАВОЧНИК!$J$12+('ФАКТ ЧЕРН К3'!N30)*СПРАВОЧНИК!$H$13+('ФАКТ ЧЕРН К3'!O30)*СПРАВОЧНИК!$I$13+('ФАКТ ЧЕРН К3'!P30)*СПРАВОЧНИК!$J$13+('ФАКТ ЧЕРН К3'!Q30)*СПРАВОЧНИК!$H$14+('ФАКТ ЧЕРН К3'!R30)*СПРАВОЧНИК!$I$14+('ФАКТ ЧЕРН К3'!S30)*СПРАВОЧНИК!$J$14+('ФАКТ ЧЕРН К3'!T30)*СПРАВОЧНИК!$H$15+('ФАКТ ЧЕРН К3'!U30)*СПРАВОЧНИК!$I$15+('ФАКТ ЧЕРН К3'!V30)*СПРАВОЧНИК!$J$15</f>
        <v/>
      </c>
      <c r="BM39" s="34" t="n"/>
      <c r="BP39" s="152">
        <f>BP38+7</f>
        <v/>
      </c>
      <c r="BQ39" s="17">
        <f>'ПЛАН ЧИСТ К3'!B30*СПРАВОЧНИК!$L$9+'ПЛАН ЧИСТ К3'!C30*СПРАВОЧНИК!$M$9+'ПЛАН ЧИСТ К3'!D30*СПРАВОЧНИК!$N$9+'ПЛАН ЧИСТ К3'!E30*СПРАВОЧНИК!$O$9+'ПЛАН ЧИСТ К3'!F30*СПРАВОЧНИК!$P$9+'ПЛАН ЧИСТ К3'!G30*СПРАВОЧНИК!$L$10+'ПЛАН ЧИСТ К3'!H30*СПРАВОЧНИК!$M$10+'ПЛАН ЧИСТ К3'!I30*СПРАВОЧНИК!$N$10+'ПЛАН ЧИСТ К3'!J30*СПРАВОЧНИК!$O$10+'ПЛАН ЧИСТ К3'!K30*СПРАВОЧНИК!$P$10+'ПЛАН ЧИСТ К3'!L30*СПРАВОЧНИК!$L$11+'ПЛАН ЧИСТ К3'!M30*СПРАВОЧНИК!$M$11+'ПЛАН ЧИСТ К3'!N30*СПРАВОЧНИК!$N$11+'ПЛАН ЧИСТ К3'!O30*СПРАВОЧНИК!$O$11+'ПЛАН ЧИСТ К3'!P30*СПРАВОЧНИК!$P$11+'ПЛАН ЧИСТ К3'!Q30*СПРАВОЧНИК!$L$12+'ПЛАН ЧИСТ К3'!R30*СПРАВОЧНИК!$M$12+'ПЛАН ЧИСТ К3'!S30*СПРАВОЧНИК!$N$12+'ПЛАН ЧИСТ К3'!T30*СПРАВОЧНИК!$O$12+'ПЛАН ЧИСТ К3'!U30*СПРАВОЧНИК!$P$12+'ПЛАН ЧИСТ К3'!V30*СПРАВОЧНИК!$L$13+'ПЛАН ЧИСТ К3'!W30*СПРАВОЧНИК!$M$13+'ПЛАН ЧИСТ К3'!X30*СПРАВОЧНИК!$N$13+'ПЛАН ЧИСТ К3'!Y30*СПРАВОЧНИК!$O$13+'ПЛАН ЧИСТ К3'!Z30*СПРАВОЧНИК!$P$13+'ПЛАН ЧИСТ К3'!AA30*СПРАВОЧНИК!$L$14+'ПЛАН ЧИСТ К3'!AB30*СПРАВОЧНИК!$M$14+'ПЛАН ЧИСТ К3'!AC30*СПРАВОЧНИК!$N$14+'ПЛАН ЧИСТ К3'!AD30*СПРАВОЧНИК!$O$14+'ПЛАН ЧИСТ К3'!AE30*СПРАВОЧНИК!$P$14+'ПЛАН ЧИСТ К3'!AF30*СПРАВОЧНИК!$L$15+'ПЛАН ЧИСТ К3'!AG30*СПРАВОЧНИК!$M$15+'ПЛАН ЧИСТ К3'!AH30*СПРАВОЧНИК!$N$15+'ПЛАН ЧИСТ К3'!AI30*СПРАВОЧНИК!$O$15+'ПЛАН ЧИСТ К3'!AJ30*СПРАВОЧНИК!$P$15</f>
        <v/>
      </c>
      <c r="BR39" s="31">
        <f>('ФАКТ ЧИСТ К3'!B30)*СПРАВОЧНИК!$L$9+('ФАКТ ЧИСТ К3'!C30)*СПРАВОЧНИК!$M$9+('ФАКТ ЧИСТ К3'!D30)*СПРАВОЧНИК!$N$9+('ФАКТ ЧИСТ К3'!E30)*СПРАВОЧНИК!$O$9+('ФАКТ ЧИСТ К3'!F30)*СПРАВОЧНИК!$P$9+('ФАКТ ЧИСТ К3'!G30)*СПРАВОЧНИК!$L$10+('ФАКТ ЧИСТ К3'!H30)*СПРАВОЧНИК!$M$10+('ФАКТ ЧИСТ К3'!I30)*СПРАВОЧНИК!$N$10+('ФАКТ ЧИСТ К3'!J30)*СПРАВОЧНИК!$O$10+('ФАКТ ЧИСТ К3'!K30)*СПРАВОЧНИК!$P$10+('ФАКТ ЧИСТ К3'!L30)*СПРАВОЧНИК!$L$11+('ФАКТ ЧИСТ К3'!M30)*СПРАВОЧНИК!$M$11+('ФАКТ ЧИСТ К3'!N30)*СПРАВОЧНИК!$N$11+('ФАКТ ЧИСТ К3'!O30)*СПРАВОЧНИК!$O$11+('ФАКТ ЧИСТ К3'!P30)*СПРАВОЧНИК!$P$11+('ФАКТ ЧИСТ К3'!Q30)*СПРАВОЧНИК!$L$12+('ФАКТ ЧИСТ К3'!R30)*СПРАВОЧНИК!$M$12+('ФАКТ ЧИСТ К3'!S30)*СПРАВОЧНИК!$N$12+('ФАКТ ЧИСТ К3'!T30)*СПРАВОЧНИК!$O$12+('ФАКТ ЧИСТ К3'!U30)*СПРАВОЧНИК!$P$12+('ФАКТ ЧИСТ К3'!V30)*СПРАВОЧНИК!$L$13+('ФАКТ ЧИСТ К3'!W30)*СПРАВОЧНИК!$M$13+('ФАКТ ЧИСТ К3'!X30)*СПРАВОЧНИК!$N$13+('ФАКТ ЧИСТ К3'!Y30)*СПРАВОЧНИК!$O$13+('ФАКТ ЧИСТ К3'!Z30)*СПРАВОЧНИК!$P$13+('ФАКТ ЧИСТ К3'!AA30)*СПРАВОЧНИК!$L$14+('ФАКТ ЧИСТ К3'!AB30)*СПРАВОЧНИК!$M$14+('ФАКТ ЧИСТ К3'!AC30)*СПРАВОЧНИК!$N$14+('ФАКТ ЧИСТ К3'!AD30)*СПРАВОЧНИК!$O$14+('ФАКТ ЧИСТ К3'!AE30)*СПРАВОЧНИК!$P$14+('ФАКТ ЧИСТ К3'!AF30)*СПРАВОЧНИК!$L$15+('ФАКТ ЧИСТ К3'!AG30)*СПРАВОЧНИК!$M$15+('ФАКТ ЧИСТ К3'!AH30)*СПРАВОЧНИК!$N$15+('ФАКТ ЧИСТ К3'!AI30)*СПРАВОЧНИК!$O$15+('ФАКТ ЧИСТ К3'!AJ30)*СПРАВОЧНИК!$P$15</f>
        <v/>
      </c>
      <c r="BS39" s="34" t="n"/>
      <c r="BV39" s="152">
        <f>BV38+7</f>
        <v/>
      </c>
      <c r="BW39" s="17">
        <f>U39*СПРАВОЧНИК!$K$28+AM39*СПРАВОЧНИК!$K$29+BE39*СПРАВОЧНИК!$K$30</f>
        <v/>
      </c>
      <c r="BX39" s="31">
        <f>V39*СПРАВОЧНИК!$K$28+AN39*СПРАВОЧНИК!$K$29+BF39*СПРАВОЧНИК!$K$30</f>
        <v/>
      </c>
      <c r="BY39" s="34" t="n"/>
      <c r="CB39" s="152">
        <f>CB38+7</f>
        <v/>
      </c>
      <c r="CC39" s="17">
        <f>AA39*СПРАВОЧНИК!$K$28+AS39*СПРАВОЧНИК!$K$29+BK39*СПРАВОЧНИК!$K$30</f>
        <v/>
      </c>
      <c r="CD39" s="31">
        <f>AB39*СПРАВОЧНИК!$K$28+AT39*СПРАВОЧНИК!$K$29+BL39*СПРАВОЧНИК!$K$30</f>
        <v/>
      </c>
      <c r="CE39" s="34" t="n"/>
      <c r="CH39" s="152">
        <f>CH38+7</f>
        <v/>
      </c>
      <c r="CI39" s="17">
        <f>AG39*СПРАВОЧНИК!$K$28+AY39*СПРАВОЧНИК!$K$29+BQ39*СПРАВОЧНИК!$K$30</f>
        <v/>
      </c>
      <c r="CJ39" s="31">
        <f>AH39*СПРАВОЧНИК!$K$28+AZ39*СПРАВОЧНИК!$K$29+BR39*СПРАВОЧНИК!$K$30</f>
        <v/>
      </c>
      <c r="CK39" s="34" t="n"/>
      <c r="CN39" s="152">
        <f>CN38+7</f>
        <v/>
      </c>
      <c r="CO39" s="17">
        <f>C39*СПРАВОЧНИК!$W$18+BW39*СПРАВОЧНИК!$W$19</f>
        <v/>
      </c>
      <c r="CP39" s="31">
        <f>D39*СПРАВОЧНИК!$W$18+BX39*СПРАВОЧНИК!$W$19</f>
        <v/>
      </c>
      <c r="CQ39" s="34" t="n"/>
      <c r="CT39" s="152">
        <f>CT38+7</f>
        <v/>
      </c>
      <c r="CU39" s="17">
        <f>I39*СПРАВОЧНИК!$W$18+CC39*СПРАВОЧНИК!$W$19</f>
        <v/>
      </c>
      <c r="CV39" s="31">
        <f>J39*СПРАВОЧНИК!$W$18+CD39*СПРАВОЧНИК!$W$19</f>
        <v/>
      </c>
      <c r="CW39" s="34" t="n"/>
      <c r="CZ39" s="152">
        <f>CZ38+7</f>
        <v/>
      </c>
      <c r="DA39" s="17">
        <f>O39*СПРАВОЧНИК!$W$18+CI39*СПРАВОЧНИК!$W$19</f>
        <v/>
      </c>
      <c r="DB39" s="31">
        <f>P39*СПРАВОЧНИК!$W$18+CJ39*СПРАВОЧНИК!$W$19</f>
        <v/>
      </c>
      <c r="DC39" s="34" t="n"/>
    </row>
    <row r="40">
      <c r="B40" s="152">
        <f>B39+7</f>
        <v/>
      </c>
      <c r="C40" s="17">
        <f>СПРАВОЧНИК!$E$3*('ПЛАН ЧЕРН ПОДЗЕМ'!B31*СПРАВОЧНИК!$H$3+'ПЛАН ЧЕРН ПОДЗЕМ'!C31*СПРАВОЧНИК!$I$3+'ПЛАН ЧЕРН ПОДЗЕМ'!D31*СПРАВОЧНИК!$J$3)+СПРАВОЧНИК!$F$3*('ПЛАН ЧИСТ ПОДЗЕМ'!B31*СПРАВОЧНИК!$L$3+'ПЛАН ЧИСТ ПОДЗЕМ'!C31*СПРАВОЧНИК!$M$3+'ПЛАН ЧИСТ ПОДЗЕМ'!D31*СПРАВОЧНИК!$N$3+'ПЛАН ЧИСТ ПОДЗЕМ'!E31*СПРАВОЧНИК!$O$3+'ПЛАН ЧИСТ ПОДЗЕМ'!F31*СПРАВОЧНИК!$P$3)+СПРАВОЧНИК!$E$4*('ПЛАН ЧЕРН ПОДЗЕМ'!E31*СПРАВОЧНИК!$H$4+'ПЛАН ЧЕРН ПОДЗЕМ'!F31*СПРАВОЧНИК!$I$4+'ПЛАН ЧЕРН ПОДЗЕМ'!G31*СПРАВОЧНИК!$J$4)+СПРАВОЧНИК!$F$4*('ПЛАН ЧИСТ ПОДЗЕМ'!G31*СПРАВОЧНИК!$L$4+'ПЛАН ЧИСТ ПОДЗЕМ'!H31*СПРАВОЧНИК!$M$4+'ПЛАН ЧИСТ ПОДЗЕМ'!I31*СПРАВОЧНИК!$N$4+'ПЛАН ЧИСТ ПОДЗЕМ'!J31*СПРАВОЧНИК!$O$4+'ПЛАН ЧИСТ ПОДЗЕМ'!K31*СПРАВОЧНИК!$P$4)+СПРАВОЧНИК!$E$5*('ПЛАН ЧЕРН ПОДЗЕМ'!H31*СПРАВОЧНИК!$H$5+'ПЛАН ЧЕРН ПОДЗЕМ'!I31*СПРАВОЧНИК!$I$5+'ПЛАН ЧЕРН ПОДЗЕМ'!J31*СПРАВОЧНИК!$J$5)+СПРАВОЧНИК!$F$5*('ПЛАН ЧИСТ ПОДЗЕМ'!L31*СПРАВОЧНИК!$L$5+'ПЛАН ЧИСТ ПОДЗЕМ'!M31*СПРАВОЧНИК!$M$5+'ПЛАН ЧИСТ ПОДЗЕМ'!N31*СПРАВОЧНИК!$N$5+'ПЛАН ЧИСТ ПОДЗЕМ'!O31*СПРАВОЧНИК!$O$5+'ПЛАН ЧИСТ ПОДЗЕМ'!P31*СПРАВОЧНИК!$P$5)+СПРАВОЧНИК!$E$6*('ПЛАН ЧЕРН ПОДЗЕМ'!K31*СПРАВОЧНИК!$H$6+'ПЛАН ЧЕРН ПОДЗЕМ'!L31*СПРАВОЧНИК!$I$6+'ПЛАН ЧЕРН ПОДЗЕМ'!M31*СПРАВОЧНИК!$J$6)+СПРАВОЧНИК!$F$6*('ПЛАН ЧИСТ ПОДЗЕМ'!Q31*СПРАВОЧНИК!$L$6+'ПЛАН ЧИСТ ПОДЗЕМ'!R31*СПРАВОЧНИК!$M$6+'ПЛАН ЧИСТ ПОДЗЕМ'!S31*СПРАВОЧНИК!$N$6+'ПЛАН ЧИСТ ПОДЗЕМ'!T31*СПРАВОЧНИК!$O$6+'ПЛАН ЧИСТ ПОДЗЕМ'!U31*СПРАВОЧНИК!$P$6)+СПРАВОЧНИК!$E$7*('ПЛАН ЧЕРН ПОДЗЕМ'!N31*СПРАВОЧНИК!$H$7+'ПЛАН ЧЕРН ПОДЗЕМ'!O31*СПРАВОЧНИК!$I$7+'ПЛАН ЧЕРН ПОДЗЕМ'!P31*СПРАВОЧНИК!$J$7)+СПРАВОЧНИК!$F$7*('ПЛАН ЧИСТ ПОДЗЕМ'!V31*СПРАВОЧНИК!$L$7+'ПЛАН ЧИСТ ПОДЗЕМ'!W31*СПРАВОЧНИК!$M$7+'ПЛАН ЧИСТ ПОДЗЕМ'!X31*СПРАВОЧНИК!$N$7+'ПЛАН ЧИСТ ПОДЗЕМ'!Y31*СПРАВОЧНИК!$O$7+'ПЛАН ЧИСТ ПОДЗЕМ'!Z31*СПРАВОЧНИК!$P$7)+СПРАВОЧНИК!$E$8*('ПЛАН ЧЕРН ПОДЗЕМ'!Q31*СПРАВОЧНИК!$H$8+'ПЛАН ЧЕРН ПОДЗЕМ'!R31*СПРАВОЧНИК!$I$8+'ПЛАН ЧЕРН ПОДЗЕМ'!S31*СПРАВОЧНИК!$J$8)+СПРАВОЧНИК!$F$8*('ПЛАН ЧИСТ ПОДЗЕМ'!AA31*СПРАВОЧНИК!$L$8+'ПЛАН ЧИСТ ПОДЗЕМ'!AB31*СПРАВОЧНИК!$M$8+'ПЛАН ЧИСТ ПОДЗЕМ'!AC31*СПРАВОЧНИК!$N$8+'ПЛАН ЧИСТ ПОДЗЕМ'!AD31*СПРАВОЧНИК!$O$8+'ПЛАН ЧИСТ ПОДЗЕМ'!AE31*СПРАВОЧНИК!$P$8)</f>
        <v/>
      </c>
      <c r="D40" s="31">
        <f>СПРАВОЧНИК!$E$3*('ФАКТ ЧЕРН ПОДЗЕМ'!B31*СПРАВОЧНИК!$H$3+'ФАКТ ЧЕРН ПОДЗЕМ'!C31*СПРАВОЧНИК!$I$3+'ФАКТ ЧЕРН ПОДЗЕМ'!D31*СПРАВОЧНИК!$J$3)+СПРАВОЧНИК!$F$3*('ФАКТ ЧИСТ ПОДЗЕМ'!B31*СПРАВОЧНИК!$L$3+'ФАКТ ЧИСТ ПОДЗЕМ'!C31*СПРАВОЧНИК!$M$3+'ФАКТ ЧИСТ ПОДЗЕМ'!D31*СПРАВОЧНИК!$N$3+'ФАКТ ЧИСТ ПОДЗЕМ'!E31*СПРАВОЧНИК!$O$3+'ФАКТ ЧИСТ ПОДЗЕМ'!F31*СПРАВОЧНИК!$P$3)+СПРАВОЧНИК!$E$4*('ФАКТ ЧЕРН ПОДЗЕМ'!E31*СПРАВОЧНИК!$H$4+'ФАКТ ЧЕРН ПОДЗЕМ'!F31*СПРАВОЧНИК!$I$4+'ФАКТ ЧЕРН ПОДЗЕМ'!G31*СПРАВОЧНИК!$J$4)+СПРАВОЧНИК!$F$4*('ФАКТ ЧИСТ ПОДЗЕМ'!G31*СПРАВОЧНИК!$L$4+'ФАКТ ЧИСТ ПОДЗЕМ'!H31*СПРАВОЧНИК!$M$4+'ФАКТ ЧИСТ ПОДЗЕМ'!I31*СПРАВОЧНИК!$N$4+'ФАКТ ЧИСТ ПОДЗЕМ'!J31*СПРАВОЧНИК!$O$4+'ФАКТ ЧИСТ ПОДЗЕМ'!K31*СПРАВОЧНИК!$P$4)+СПРАВОЧНИК!$E$5*('ФАКТ ЧЕРН ПОДЗЕМ'!H31*СПРАВОЧНИК!$H$5+'ФАКТ ЧЕРН ПОДЗЕМ'!I31*СПРАВОЧНИК!$I$5+'ФАКТ ЧЕРН ПОДЗЕМ'!J31*СПРАВОЧНИК!$J$5)+СПРАВОЧНИК!$F$5*('ФАКТ ЧИСТ ПОДЗЕМ'!L31*СПРАВОЧНИК!$L$5+'ФАКТ ЧИСТ ПОДЗЕМ'!M31*СПРАВОЧНИК!$M$5+'ФАКТ ЧИСТ ПОДЗЕМ'!N31*СПРАВОЧНИК!$N$5+'ФАКТ ЧИСТ ПОДЗЕМ'!O31*СПРАВОЧНИК!$O$5+'ФАКТ ЧИСТ ПОДЗЕМ'!P31*СПРАВОЧНИК!$P$5)+СПРАВОЧНИК!$E$6*('ФАКТ ЧЕРН ПОДЗЕМ'!K31*СПРАВОЧНИК!$H$6+'ФАКТ ЧЕРН ПОДЗЕМ'!L31*СПРАВОЧНИК!$I$6+'ФАКТ ЧЕРН ПОДЗЕМ'!M31*СПРАВОЧНИК!$J$6)+СПРАВОЧНИК!$F$6*('ФАКТ ЧИСТ ПОДЗЕМ'!Q31*СПРАВОЧНИК!$L$6+'ФАКТ ЧИСТ ПОДЗЕМ'!R31*СПРАВОЧНИК!$M$6+'ФАКТ ЧИСТ ПОДЗЕМ'!S31*СПРАВОЧНИК!$N$6+'ФАКТ ЧИСТ ПОДЗЕМ'!T31*СПРАВОЧНИК!$O$6+'ФАКТ ЧИСТ ПОДЗЕМ'!U31*СПРАВОЧНИК!$P$6)+СПРАВОЧНИК!$E$7*('ФАКТ ЧЕРН ПОДЗЕМ'!N31*СПРАВОЧНИК!$H$7+'ФАКТ ЧЕРН ПОДЗЕМ'!O31*СПРАВОЧНИК!$I$7+'ФАКТ ЧЕРН ПОДЗЕМ'!P31*СПРАВОЧНИК!$J$7)+СПРАВОЧНИК!$F$7*('ФАКТ ЧИСТ ПОДЗЕМ'!V31*СПРАВОЧНИК!$L$7+'ФАКТ ЧИСТ ПОДЗЕМ'!W31*СПРАВОЧНИК!$M$7+'ФАКТ ЧИСТ ПОДЗЕМ'!X31*СПРАВОЧНИК!$N$7+'ФАКТ ЧИСТ ПОДЗЕМ'!Y31*СПРАВОЧНИК!$O$7+'ФАКТ ЧИСТ ПОДЗЕМ'!Z31*СПРАВОЧНИК!$P$7)+СПРАВОЧНИК!$E$8*('ФАКТ ЧЕРН ПОДЗЕМ'!Q31*СПРАВОЧНИК!$H$8+'ФАКТ ЧЕРН ПОДЗЕМ'!R31*СПРАВОЧНИК!$I$8+'ФАКТ ЧЕРН ПОДЗЕМ'!S31*СПРАВОЧНИК!$J$8)+СПРАВОЧНИК!$F$8*('ФАКТ ЧИСТ ПОДЗЕМ'!AA31*СПРАВОЧНИК!$L$8+'ФАКТ ЧИСТ ПОДЗЕМ'!AB31*СПРАВОЧНИК!$M$8+'ФАКТ ЧИСТ ПОДЗЕМ'!AC31*СПРАВОЧНИК!$N$8+'ФАКТ ЧИСТ ПОДЗЕМ'!AD31*СПРАВОЧНИК!$O$8+'ФАКТ ЧИСТ ПОДЗЕМ'!AE31*СПРАВОЧНИК!$P$8)</f>
        <v/>
      </c>
      <c r="E40" s="34" t="n"/>
      <c r="H40" s="152">
        <f>H39+7</f>
        <v/>
      </c>
      <c r="I40" s="17">
        <f>'ПЛАН ЧЕРН ПОДЗЕМ'!B31*СПРАВОЧНИК!$H$3+'ПЛАН ЧЕРН ПОДЗЕМ'!C31*СПРАВОЧНИК!$I$3+'ПЛАН ЧЕРН ПОДЗЕМ'!D31*СПРАВОЧНИК!$J$3+'ПЛАН ЧЕРН ПОДЗЕМ'!E31*СПРАВОЧНИК!$H$4+'ПЛАН ЧЕРН ПОДЗЕМ'!F31*СПРАВОЧНИК!$I$4+'ПЛАН ЧЕРН ПОДЗЕМ'!G31*СПРАВОЧНИК!$J$4+'ПЛАН ЧЕРН ПОДЗЕМ'!H31*СПРАВОЧНИК!$H$5+'ПЛАН ЧЕРН ПОДЗЕМ'!I31*СПРАВОЧНИК!$I$5+'ПЛАН ЧЕРН ПОДЗЕМ'!J31*СПРАВОЧНИК!$J$5+'ПЛАН ЧЕРН ПОДЗЕМ'!K31*СПРАВОЧНИК!$H$6+'ПЛАН ЧЕРН ПОДЗЕМ'!L31*СПРАВОЧНИК!$I$6+'ПЛАН ЧЕРН ПОДЗЕМ'!M31*СПРАВОЧНИК!$J$6+'ПЛАН ЧЕРН ПОДЗЕМ'!N31*СПРАВОЧНИК!$H$7+'ПЛАН ЧЕРН ПОДЗЕМ'!O31*СПРАВОЧНИК!$I$7+'ПЛАН ЧЕРН ПОДЗЕМ'!P31*СПРАВОЧНИК!$J$7+'ПЛАН ЧЕРН ПОДЗЕМ'!Q31*СПРАВОЧНИК!$H$8+'ПЛАН ЧЕРН ПОДЗЕМ'!R31*СПРАВОЧНИК!$I$8+'ПЛАН ЧЕРН ПОДЗЕМ'!S31*СПРАВОЧНИК!$J$8</f>
        <v/>
      </c>
      <c r="J40" s="31">
        <f>('ФАКТ ЧЕРН ПОДЗЕМ'!B31)*СПРАВОЧНИК!$H$3+('ФАКТ ЧЕРН ПОДЗЕМ'!C31)*СПРАВОЧНИК!$I$3+('ФАКТ ЧЕРН ПОДЗЕМ'!D31)*СПРАВОЧНИК!$J$3+('ФАКТ ЧЕРН ПОДЗЕМ'!E31)*СПРАВОЧНИК!$H$4+('ФАКТ ЧЕРН ПОДЗЕМ'!F31)*СПРАВОЧНИК!$I$4+('ФАКТ ЧЕРН ПОДЗЕМ'!G31)*СПРАВОЧНИК!$J$4+('ФАКТ ЧЕРН ПОДЗЕМ'!H31)*СПРАВОЧНИК!$H$5+('ФАКТ ЧЕРН ПОДЗЕМ'!I31)*СПРАВОЧНИК!$I$5+('ФАКТ ЧЕРН ПОДЗЕМ'!J31)*СПРАВОЧНИК!$J$5+('ФАКТ ЧЕРН ПОДЗЕМ'!K31)*СПРАВОЧНИК!$H$6+('ФАКТ ЧЕРН ПОДЗЕМ'!L31)*СПРАВОЧНИК!$I$6+('ФАКТ ЧЕРН ПОДЗЕМ'!M31)*СПРАВОЧНИК!$J$6+('ФАКТ ЧЕРН ПОДЗЕМ'!N31)*СПРАВОЧНИК!$H$7+('ФАКТ ЧЕРН ПОДЗЕМ'!O31)*СПРАВОЧНИК!$I$7+('ФАКТ ЧЕРН ПОДЗЕМ'!P31)*СПРАВОЧНИК!$J$7+('ФАКТ ЧЕРН ПОДЗЕМ'!Q31)*СПРАВОЧНИК!$H$8+('ФАКТ ЧЕРН ПОДЗЕМ'!R31)*СПРАВОЧНИК!$I$8+('ФАКТ ЧЕРН ПОДЗЕМ'!S31)*СПРАВОЧНИК!$J$8</f>
        <v/>
      </c>
      <c r="K40" s="34" t="n"/>
      <c r="N40" s="152">
        <f>N39+7</f>
        <v/>
      </c>
      <c r="O40" s="17">
        <f>'ПЛАН ЧИСТ ПОДЗЕМ'!B31*СПРАВОЧНИК!$L$3+'ПЛАН ЧИСТ ПОДЗЕМ'!C31*СПРАВОЧНИК!$M$3+'ПЛАН ЧИСТ ПОДЗЕМ'!D31*СПРАВОЧНИК!$N$3+'ПЛАН ЧИСТ ПОДЗЕМ'!E31*СПРАВОЧНИК!$O$3+'ПЛАН ЧИСТ ПОДЗЕМ'!F31*СПРАВОЧНИК!$P$3+'ПЛАН ЧИСТ ПОДЗЕМ'!G31*СПРАВОЧНИК!$L$4+'ПЛАН ЧИСТ ПОДЗЕМ'!H31*СПРАВОЧНИК!$M$4+'ПЛАН ЧИСТ ПОДЗЕМ'!I31*СПРАВОЧНИК!$N$4+'ПЛАН ЧИСТ ПОДЗЕМ'!J31*СПРАВОЧНИК!$O$4+'ПЛАН ЧИСТ ПОДЗЕМ'!K31*СПРАВОЧНИК!$P$4+'ПЛАН ЧИСТ ПОДЗЕМ'!L31*СПРАВОЧНИК!$L$5+'ПЛАН ЧИСТ ПОДЗЕМ'!M31*СПРАВОЧНИК!$M$5+'ПЛАН ЧИСТ ПОДЗЕМ'!N31*СПРАВОЧНИК!$N$5+'ПЛАН ЧИСТ ПОДЗЕМ'!O31*СПРАВОЧНИК!$O$5+'ПЛАН ЧИСТ ПОДЗЕМ'!P31*СПРАВОЧНИК!$P$5+'ПЛАН ЧИСТ ПОДЗЕМ'!Q31*СПРАВОЧНИК!$L$6+'ПЛАН ЧИСТ ПОДЗЕМ'!R31*СПРАВОЧНИК!$M$6+'ПЛАН ЧИСТ ПОДЗЕМ'!S31*СПРАВОЧНИК!$N$6+'ПЛАН ЧИСТ ПОДЗЕМ'!T31*СПРАВОЧНИК!$O$6+'ПЛАН ЧИСТ ПОДЗЕМ'!U31*СПРАВОЧНИК!$P$6+'ПЛАН ЧИСТ ПОДЗЕМ'!V31*СПРАВОЧНИК!$L$7+'ПЛАН ЧИСТ ПОДЗЕМ'!W31*СПРАВОЧНИК!$M$7+'ПЛАН ЧИСТ ПОДЗЕМ'!X31*СПРАВОЧНИК!$N$7+'ПЛАН ЧИСТ ПОДЗЕМ'!Y31*СПРАВОЧНИК!$O$7+'ПЛАН ЧИСТ ПОДЗЕМ'!Z31*СПРАВОЧНИК!$P$7+'ПЛАН ЧИСТ ПОДЗЕМ'!AA31*СПРАВОЧНИК!$L$8+'ПЛАН ЧИСТ ПОДЗЕМ'!AB31*СПРАВОЧНИК!$M$8+'ПЛАН ЧИСТ ПОДЗЕМ'!AC31*СПРАВОЧНИК!$N$8+'ПЛАН ЧИСТ ПОДЗЕМ'!AD31*СПРАВОЧНИК!$O$8+'ПЛАН ЧИСТ ПОДЗЕМ'!AE31*СПРАВОЧНИК!$P$8</f>
        <v/>
      </c>
      <c r="P40" s="31">
        <f>('ФАКТ ЧИСТ ПОДЗЕМ'!B31)*СПРАВОЧНИК!$L$3+('ФАКТ ЧИСТ ПОДЗЕМ'!C31)*СПРАВОЧНИК!$M$3+('ФАКТ ЧИСТ ПОДЗЕМ'!D31)*СПРАВОЧНИК!$N$3+('ФАКТ ЧИСТ ПОДЗЕМ'!E31)*СПРАВОЧНИК!$O$3+('ФАКТ ЧИСТ ПОДЗЕМ'!F31)*СПРАВОЧНИК!$P$3+('ФАКТ ЧИСТ ПОДЗЕМ'!G31)*СПРАВОЧНИК!$L$4+('ФАКТ ЧИСТ ПОДЗЕМ'!H31)*СПРАВОЧНИК!$M$4+('ФАКТ ЧИСТ ПОДЗЕМ'!I31)*СПРАВОЧНИК!$N$4+('ФАКТ ЧИСТ ПОДЗЕМ'!J31)*СПРАВОЧНИК!$O$4+('ФАКТ ЧИСТ ПОДЗЕМ'!K31)*СПРАВОЧНИК!$P$4+('ФАКТ ЧИСТ ПОДЗЕМ'!L31)*СПРАВОЧНИК!$L$5+('ФАКТ ЧИСТ ПОДЗЕМ'!M31)*СПРАВОЧНИК!$M$5+('ФАКТ ЧИСТ ПОДЗЕМ'!N31)*СПРАВОЧНИК!$N$5+('ФАКТ ЧИСТ ПОДЗЕМ'!O31)*СПРАВОЧНИК!$O$5+('ФАКТ ЧИСТ ПОДЗЕМ'!P31)*СПРАВОЧНИК!$P$5+('ФАКТ ЧИСТ ПОДЗЕМ'!Q31)*СПРАВОЧНИК!$L$6+('ФАКТ ЧИСТ ПОДЗЕМ'!R31)*СПРАВОЧНИК!$M$6+('ФАКТ ЧИСТ ПОДЗЕМ'!S31)*СПРАВОЧНИК!$N$6+('ФАКТ ЧИСТ ПОДЗЕМ'!T31)*СПРАВОЧНИК!$O$6+('ФАКТ ЧИСТ ПОДЗЕМ'!U31)*СПРАВОЧНИК!$P$6+('ФАКТ ЧИСТ ПОДЗЕМ'!V31)*СПРАВОЧНИК!$L$7+('ФАКТ ЧИСТ ПОДЗЕМ'!W31)*СПРАВОЧНИК!$M$7+('ФАКТ ЧИСТ ПОДЗЕМ'!X31)*СПРАВОЧНИК!$N$7+('ФАКТ ЧИСТ ПОДЗЕМ'!Y31)*СПРАВОЧНИК!$O$7+('ФАКТ ЧИСТ ПОДЗЕМ'!Z31)*СПРАВОЧНИК!$P$7+('ФАКТ ЧИСТ ПОДЗЕМ'!AA31)*СПРАВОЧНИК!$L$8+('ФАКТ ЧИСТ ПОДЗЕМ'!AB31)*СПРАВОЧНИК!$M$8+('ФАКТ ЧИСТ ПОДЗЕМ'!AC31)*СПРАВОЧНИК!$N$8+('ФАКТ ЧИСТ ПОДЗЕМ'!AD31)*СПРАВОЧНИК!$O$8+('ФАКТ ЧИСТ ПОДЗЕМ'!AE31)*СПРАВОЧНИК!$P$8</f>
        <v/>
      </c>
      <c r="Q40" s="34" t="n"/>
      <c r="T40" s="152">
        <f>T39+7</f>
        <v/>
      </c>
      <c r="U40" s="17">
        <f>СПРАВОЧНИК!$E$9*('ПЛАН ЧЕРН К1'!B31*СПРАВОЧНИК!$H$9+'ПЛАН ЧЕРН К1'!C31*СПРАВОЧНИК!$I$9+'ПЛАН ЧЕРН К1'!D31*СПРАВОЧНИК!$J$9)+СПРАВОЧНИК!$F$9*('ПЛАН ЧИСТ К1'!B31*СПРАВОЧНИК!$L$9+'ПЛАН ЧИСТ К1'!C31*СПРАВОЧНИК!$M$9+'ПЛАН ЧИСТ К1'!D31*СПРАВОЧНИК!$N$9+'ПЛАН ЧИСТ К1'!E31*СПРАВОЧНИК!$O$9+'ПЛАН ЧИСТ К1'!F31*СПРАВОЧНИК!$P$9)+СПРАВОЧНИК!$E$10*('ПЛАН ЧЕРН К1'!E31*СПРАВОЧНИК!$H$10+'ПЛАН ЧЕРН К1'!F31*СПРАВОЧНИК!$I$10+'ПЛАН ЧЕРН К1'!G31*СПРАВОЧНИК!$J$10)+СПРАВОЧНИК!$F$10*('ПЛАН ЧИСТ К1'!G31*СПРАВОЧНИК!$L$10+'ПЛАН ЧИСТ К1'!H31*СПРАВОЧНИК!$M$10+'ПЛАН ЧИСТ К1'!I31*СПРАВОЧНИК!$N$10+'ПЛАН ЧИСТ К1'!J31*СПРАВОЧНИК!$O$10+'ПЛАН ЧИСТ К1'!K31*СПРАВОЧНИК!$P$10)+СПРАВОЧНИК!$E$11*('ПЛАН ЧЕРН К1'!H31*СПРАВОЧНИК!$H$11+'ПЛАН ЧЕРН К1'!I31*СПРАВОЧНИК!$I$11+'ПЛАН ЧЕРН К1'!J31*СПРАВОЧНИК!$J$11)+СПРАВОЧНИК!$F$11*('ПЛАН ЧИСТ К1'!L31*СПРАВОЧНИК!$L$11+'ПЛАН ЧИСТ К1'!M31*СПРАВОЧНИК!$M$11+'ПЛАН ЧИСТ К1'!N31*СПРАВОЧНИК!$N$11+'ПЛАН ЧИСТ К1'!O31*СПРАВОЧНИК!$O$11+'ПЛАН ЧИСТ К1'!P31*СПРАВОЧНИК!$P$11)+СПРАВОЧНИК!$E$12*('ПЛАН ЧЕРН К1'!K31*СПРАВОЧНИК!$H$12+'ПЛАН ЧЕРН К1'!L31*СПРАВОЧНИК!$I$12+'ПЛАН ЧЕРН К1'!M31*СПРАВОЧНИК!$J$12)+СПРАВОЧНИК!$F$12*('ПЛАН ЧИСТ К1'!Q31*СПРАВОЧНИК!$L$12+'ПЛАН ЧИСТ К1'!R31*СПРАВОЧНИК!$M$12+'ПЛАН ЧИСТ К1'!S31*СПРАВОЧНИК!$N$12+'ПЛАН ЧИСТ К1'!T31*СПРАВОЧНИК!$O$12+'ПЛАН ЧИСТ К1'!U31*СПРАВОЧНИК!$P$12)+СПРАВОЧНИК!$E$13*('ПЛАН ЧЕРН К1'!N31*СПРАВОЧНИК!$H$13+'ПЛАН ЧЕРН К1'!O31*СПРАВОЧНИК!$I$13+'ПЛАН ЧЕРН К1'!P31*СПРАВОЧНИК!$J$13)+СПРАВОЧНИК!$F$13*('ПЛАН ЧИСТ К1'!V31*СПРАВОЧНИК!$L$13+'ПЛАН ЧИСТ К1'!W31*СПРАВОЧНИК!$M$13+'ПЛАН ЧИСТ К1'!X31*СПРАВОЧНИК!$N$13+'ПЛАН ЧИСТ К1'!Y31*СПРАВОЧНИК!$O$13+'ПЛАН ЧИСТ К1'!Z31*СПРАВОЧНИК!$P$13)+СПРАВОЧНИК!$E$14*('ПЛАН ЧЕРН К1'!Q31*СПРАВОЧНИК!$H$14+'ПЛАН ЧЕРН К1'!R31*СПРАВОЧНИК!$I$14+'ПЛАН ЧЕРН К1'!S31*СПРАВОЧНИК!$J$14)+СПРАВОЧНИК!$F$14*('ПЛАН ЧИСТ К1'!AA31*СПРАВОЧНИК!$L$14+'ПЛАН ЧИСТ К1'!AB31*СПРАВОЧНИК!$M$14+'ПЛАН ЧИСТ К1'!AC31*СПРАВОЧНИК!$N$14+'ПЛАН ЧИСТ К1'!AD31*СПРАВОЧНИК!$O$14+'ПЛАН ЧИСТ К1'!AE31*СПРАВОЧНИК!$P$14)+СПРАВОЧНИК!$E$15*('ПЛАН ЧЕРН К1'!T31*СПРАВОЧНИК!$H$15+'ПЛАН ЧЕРН К1'!U31*СПРАВОЧНИК!$I$15+'ПЛАН ЧЕРН К1'!V31*СПРАВОЧНИК!$J$15)+СПРАВОЧНИК!$F$15*('ПЛАН ЧИСТ К1'!AF31*СПРАВОЧНИК!$L$15+'ПЛАН ЧИСТ К1'!AG31*СПРАВОЧНИК!$M$15+'ПЛАН ЧИСТ К1'!AH31*СПРАВОЧНИК!$N$15+'ПЛАН ЧИСТ К1'!AI31*СПРАВОЧНИК!$O$15+'ПЛАН ЧИСТ К1'!AJ31*СПРАВОЧНИК!$P$15)</f>
        <v/>
      </c>
      <c r="V40" s="31">
        <f>СПРАВОЧНИК!$E$9*('ФАКТ ЧЕРН К1'!B31*СПРАВОЧНИК!$H$9+'ФАКТ ЧЕРН К1'!C31*СПРАВОЧНИК!$I$9+'ФАКТ ЧЕРН К1'!D31*СПРАВОЧНИК!$J$9)+СПРАВОЧНИК!$F$9*('ФАКТ ЧИСТ К1'!B31*СПРАВОЧНИК!$L$9+'ФАКТ ЧИСТ К1'!C31*СПРАВОЧНИК!$M$9+'ФАКТ ЧИСТ К1'!D31*СПРАВОЧНИК!$N$9+'ФАКТ ЧИСТ К1'!E31*СПРАВОЧНИК!$O$9+'ФАКТ ЧИСТ К1'!F31*СПРАВОЧНИК!$P$9)+СПРАВОЧНИК!$E$10*('ФАКТ ЧЕРН К1'!E31*СПРАВОЧНИК!$H$10+'ФАКТ ЧЕРН К1'!F31*СПРАВОЧНИК!$I$10+'ФАКТ ЧЕРН К1'!G31*СПРАВОЧНИК!$J$10)+СПРАВОЧНИК!$F$10*('ФАКТ ЧИСТ К1'!G31*СПРАВОЧНИК!$L$10+'ФАКТ ЧИСТ К1'!H31*СПРАВОЧНИК!$M$10+'ФАКТ ЧИСТ К1'!I31*СПРАВОЧНИК!$N$10+'ФАКТ ЧИСТ К1'!J31*СПРАВОЧНИК!$O$10+'ФАКТ ЧИСТ К1'!K31*СПРАВОЧНИК!$P$10)+СПРАВОЧНИК!$E$11*('ФАКТ ЧЕРН К1'!H31*СПРАВОЧНИК!$H$11+'ФАКТ ЧЕРН К1'!I31*СПРАВОЧНИК!$I$11+'ФАКТ ЧЕРН К1'!J31*СПРАВОЧНИК!$J$11)+СПРАВОЧНИК!$F$11*('ФАКТ ЧИСТ К1'!L31*СПРАВОЧНИК!$L$11+'ФАКТ ЧИСТ К1'!M31*СПРАВОЧНИК!$M$11+'ФАКТ ЧИСТ К1'!N31*СПРАВОЧНИК!$N$11+'ФАКТ ЧИСТ К1'!O31*СПРАВОЧНИК!$O$11+'ФАКТ ЧИСТ К1'!P31*СПРАВОЧНИК!$P$11)+СПРАВОЧНИК!$E$12*('ФАКТ ЧЕРН К1'!K31*СПРАВОЧНИК!$H$12+'ФАКТ ЧЕРН К1'!L31*СПРАВОЧНИК!$I$12+'ФАКТ ЧЕРН К1'!M31*СПРАВОЧНИК!$J$12)+СПРАВОЧНИК!$F$12*('ФАКТ ЧИСТ К1'!Q31*СПРАВОЧНИК!$L$12+'ФАКТ ЧИСТ К1'!R31*СПРАВОЧНИК!$M$12+'ФАКТ ЧИСТ К1'!S31*СПРАВОЧНИК!$N$12+'ФАКТ ЧИСТ К1'!T31*СПРАВОЧНИК!$O$12+'ФАКТ ЧИСТ К1'!U31*СПРАВОЧНИК!$P$12)+СПРАВОЧНИК!$E$13*('ФАКТ ЧЕРН К1'!N31*СПРАВОЧНИК!$H$13+'ФАКТ ЧЕРН К1'!O31*СПРАВОЧНИК!$I$13+'ФАКТ ЧЕРН К1'!P31*СПРАВОЧНИК!$J$13)+СПРАВОЧНИК!$F$13*('ФАКТ ЧИСТ К1'!V31*СПРАВОЧНИК!$L$13+'ФАКТ ЧИСТ К1'!W31*СПРАВОЧНИК!$M$13+'ФАКТ ЧИСТ К1'!X31*СПРАВОЧНИК!$N$13+'ФАКТ ЧИСТ К1'!Y31*СПРАВОЧНИК!$O$13+'ФАКТ ЧИСТ К1'!Z31*СПРАВОЧНИК!$P$13)+СПРАВОЧНИК!$E$14*('ФАКТ ЧЕРН К1'!Q31*СПРАВОЧНИК!$H$14+'ФАКТ ЧЕРН К1'!R31*СПРАВОЧНИК!$I$14+'ФАКТ ЧЕРН К1'!S31*СПРАВОЧНИК!$J$14)+СПРАВОЧНИК!$F$14*('ФАКТ ЧИСТ К1'!AA31*СПРАВОЧНИК!$L$14+'ФАКТ ЧИСТ К1'!AB31*СПРАВОЧНИК!$M$14+'ФАКТ ЧИСТ К1'!AC31*СПРАВОЧНИК!$N$14+'ФАКТ ЧИСТ К1'!AD31*СПРАВОЧНИК!$O$14+'ФАКТ ЧИСТ К1'!AE31*СПРАВОЧНИК!$P$14)+СПРАВОЧНИК!$E$15*('ФАКТ ЧЕРН К1'!T31*СПРАВОЧНИК!$H$15+'ФАКТ ЧЕРН К1'!U31*СПРАВОЧНИК!$I$15+'ФАКТ ЧЕРН К1'!V31*СПРАВОЧНИК!$J$15)+СПРАВОЧНИК!$F$15*('ФАКТ ЧИСТ К1'!AF31*СПРАВОЧНИК!$L$15+'ФАКТ ЧИСТ К1'!AG31*СПРАВОЧНИК!$M$15+'ФАКТ ЧИСТ К1'!AH31*СПРАВОЧНИК!$N$15+'ФАКТ ЧИСТ К1'!AI31*СПРАВОЧНИК!$O$15+'ФАКТ ЧИСТ К1'!AJ31*СПРАВОЧНИК!$P$15)</f>
        <v/>
      </c>
      <c r="W40" s="34" t="n"/>
      <c r="Z40" s="152">
        <f>Z39+7</f>
        <v/>
      </c>
      <c r="AA40" s="17">
        <f>'ПЛАН ЧЕРН К1'!B31*СПРАВОЧНИК!$H$9+'ПЛАН ЧЕРН К1'!C31*СПРАВОЧНИК!$I$9+'ПЛАН ЧЕРН К1'!D31*СПРАВОЧНИК!$J$9+'ПЛАН ЧЕРН К1'!E31*СПРАВОЧНИК!$H$10+'ПЛАН ЧЕРН К1'!F31*СПРАВОЧНИК!$I$10+'ПЛАН ЧЕРН К1'!G31*СПРАВОЧНИК!$J$10+'ПЛАН ЧЕРН К1'!H31*СПРАВОЧНИК!$H$11+'ПЛАН ЧЕРН К1'!I31*СПРАВОЧНИК!$I$11+'ПЛАН ЧЕРН К1'!J31*СПРАВОЧНИК!$J$11+'ПЛАН ЧЕРН К1'!K31*СПРАВОЧНИК!$H$12+'ПЛАН ЧЕРН К1'!L31*СПРАВОЧНИК!$I$12+'ПЛАН ЧЕРН К1'!M31*СПРАВОЧНИК!$J$12+'ПЛАН ЧЕРН К1'!N31*СПРАВОЧНИК!$H$13+'ПЛАН ЧЕРН К1'!O31*СПРАВОЧНИК!$I$13+'ПЛАН ЧЕРН К1'!P31*СПРАВОЧНИК!$J$13+'ПЛАН ЧЕРН К1'!Q31*СПРАВОЧНИК!$H$14+'ПЛАН ЧЕРН К1'!R31*СПРАВОЧНИК!$I$14+'ПЛАН ЧЕРН К1'!S31*СПРАВОЧНИК!$J$14+'ПЛАН ЧЕРН К1'!T31*СПРАВОЧНИК!$H$15+'ПЛАН ЧЕРН К1'!U31*СПРАВОЧНИК!$I$15+'ПЛАН ЧЕРН К1'!V31*СПРАВОЧНИК!$J$15</f>
        <v/>
      </c>
      <c r="AB40" s="31">
        <f>('ФАКТ ЧЕРН К1'!B31)*СПРАВОЧНИК!$H$9+('ФАКТ ЧЕРН К1'!C31)*СПРАВОЧНИК!$I$9+('ФАКТ ЧЕРН К1'!D31)*СПРАВОЧНИК!$J$9+('ФАКТ ЧЕРН К1'!E31)*СПРАВОЧНИК!$H$10+('ФАКТ ЧЕРН К1'!F31)*СПРАВОЧНИК!$I$10+('ФАКТ ЧЕРН К1'!G31)*СПРАВОЧНИК!$J$10+('ФАКТ ЧЕРН К1'!H31)*СПРАВОЧНИК!$H$11+('ФАКТ ЧЕРН К1'!I31)*СПРАВОЧНИК!$I$11+('ФАКТ ЧЕРН К1'!J31)*СПРАВОЧНИК!$J$11+('ФАКТ ЧЕРН К1'!K31)*СПРАВОЧНИК!$H$12+('ФАКТ ЧЕРН К1'!L31)*СПРАВОЧНИК!$I$12+('ФАКТ ЧЕРН К1'!M31)*СПРАВОЧНИК!$J$12+('ФАКТ ЧЕРН К1'!N31)*СПРАВОЧНИК!$H$13+('ФАКТ ЧЕРН К1'!O31)*СПРАВОЧНИК!$I$13+('ФАКТ ЧЕРН К1'!P31)*СПРАВОЧНИК!$J$13+('ФАКТ ЧЕРН К1'!Q31)*СПРАВОЧНИК!$H$14+('ФАКТ ЧЕРН К1'!R31)*СПРАВОЧНИК!$I$14+('ФАКТ ЧЕРН К1'!S31)*СПРАВОЧНИК!$J$14+('ФАКТ ЧЕРН К1'!T31)*СПРАВОЧНИК!$H$15+('ФАКТ ЧЕРН К1'!U31)*СПРАВОЧНИК!$I$15+('ФАКТ ЧЕРН К1'!V31)*СПРАВОЧНИК!$J$15</f>
        <v/>
      </c>
      <c r="AC40" s="34" t="n"/>
      <c r="AF40" s="152">
        <f>AF39+7</f>
        <v/>
      </c>
      <c r="AG40" s="17">
        <f>'ПЛАН ЧИСТ К1'!B31*СПРАВОЧНИК!$L$9+'ПЛАН ЧИСТ К1'!C31*СПРАВОЧНИК!$M$9+'ПЛАН ЧИСТ К1'!D31*СПРАВОЧНИК!$N$9+'ПЛАН ЧИСТ К1'!E31*СПРАВОЧНИК!$O$9+'ПЛАН ЧИСТ К1'!F31*СПРАВОЧНИК!$P$9+'ПЛАН ЧИСТ К1'!G31*СПРАВОЧНИК!$L$10+'ПЛАН ЧИСТ К1'!H31*СПРАВОЧНИК!$M$10+'ПЛАН ЧИСТ К1'!I31*СПРАВОЧНИК!$N$10+'ПЛАН ЧИСТ К1'!J31*СПРАВОЧНИК!$O$10+'ПЛАН ЧИСТ К1'!K31*СПРАВОЧНИК!$P$10+'ПЛАН ЧИСТ К1'!L31*СПРАВОЧНИК!$L$11+'ПЛАН ЧИСТ К1'!M31*СПРАВОЧНИК!$M$11+'ПЛАН ЧИСТ К1'!N31*СПРАВОЧНИК!$N$11+'ПЛАН ЧИСТ К1'!O31*СПРАВОЧНИК!$O$11+'ПЛАН ЧИСТ К1'!P31*СПРАВОЧНИК!$P$11+'ПЛАН ЧИСТ К1'!Q31*СПРАВОЧНИК!$L$12+'ПЛАН ЧИСТ К1'!R31*СПРАВОЧНИК!$M$12+'ПЛАН ЧИСТ К1'!S31*СПРАВОЧНИК!$N$12+'ПЛАН ЧИСТ К1'!T31*СПРАВОЧНИК!$O$12+'ПЛАН ЧИСТ К1'!U31*СПРАВОЧНИК!$P$12+'ПЛАН ЧИСТ К1'!V31*СПРАВОЧНИК!$L$13+'ПЛАН ЧИСТ К1'!W31*СПРАВОЧНИК!$M$13+'ПЛАН ЧИСТ К1'!X31*СПРАВОЧНИК!$N$13+'ПЛАН ЧИСТ К1'!Y31*СПРАВОЧНИК!$O$13+'ПЛАН ЧИСТ К1'!Z31*СПРАВОЧНИК!$P$13+'ПЛАН ЧИСТ К1'!AA31*СПРАВОЧНИК!$L$14+'ПЛАН ЧИСТ К1'!AB31*СПРАВОЧНИК!$M$14+'ПЛАН ЧИСТ К1'!AC31*СПРАВОЧНИК!$N$14+'ПЛАН ЧИСТ К1'!AD31*СПРАВОЧНИК!$O$14+'ПЛАН ЧИСТ К1'!AE31*СПРАВОЧНИК!$P$14+'ПЛАН ЧИСТ К1'!AF31*СПРАВОЧНИК!$L$15+'ПЛАН ЧИСТ К1'!AG31*СПРАВОЧНИК!$M$15+'ПЛАН ЧИСТ К1'!AH31*СПРАВОЧНИК!$N$15+'ПЛАН ЧИСТ К1'!AI31*СПРАВОЧНИК!$O$15+'ПЛАН ЧИСТ К1'!AJ31*СПРАВОЧНИК!$P$15</f>
        <v/>
      </c>
      <c r="AH40" s="31">
        <f>('ФАКТ ЧИСТ К1'!B31)*СПРАВОЧНИК!$L$9+('ФАКТ ЧИСТ К1'!C31)*СПРАВОЧНИК!$M$9+('ФАКТ ЧИСТ К1'!D31)*СПРАВОЧНИК!$N$9+('ФАКТ ЧИСТ К1'!E31)*СПРАВОЧНИК!$O$9+('ФАКТ ЧИСТ К1'!F31)*СПРАВОЧНИК!$P$9+('ФАКТ ЧИСТ К1'!G31)*СПРАВОЧНИК!$L$10+('ФАКТ ЧИСТ К1'!H31)*СПРАВОЧНИК!$M$10+('ФАКТ ЧИСТ К1'!I31)*СПРАВОЧНИК!$N$10+('ФАКТ ЧИСТ К1'!J31)*СПРАВОЧНИК!$O$10+('ФАКТ ЧИСТ К1'!K31)*СПРАВОЧНИК!$P$10+('ФАКТ ЧИСТ К1'!L31)*СПРАВОЧНИК!$L$11+('ФАКТ ЧИСТ К1'!M31)*СПРАВОЧНИК!$M$11+('ФАКТ ЧИСТ К1'!N31)*СПРАВОЧНИК!$N$11+('ФАКТ ЧИСТ К1'!O31)*СПРАВОЧНИК!$O$11+('ФАКТ ЧИСТ К1'!P31)*СПРАВОЧНИК!$P$11+('ФАКТ ЧИСТ К1'!Q31)*СПРАВОЧНИК!$L$12+('ФАКТ ЧИСТ К1'!R31)*СПРАВОЧНИК!$M$12+('ФАКТ ЧИСТ К1'!S31)*СПРАВОЧНИК!$N$12+('ФАКТ ЧИСТ К1'!T31)*СПРАВОЧНИК!$O$12+('ФАКТ ЧИСТ К1'!U31)*СПРАВОЧНИК!$P$12+('ФАКТ ЧИСТ К1'!V31)*СПРАВОЧНИК!$L$13+('ФАКТ ЧИСТ К1'!W31)*СПРАВОЧНИК!$M$13+('ФАКТ ЧИСТ К1'!X31)*СПРАВОЧНИК!$N$13+('ФАКТ ЧИСТ К1'!Y31)*СПРАВОЧНИК!$O$13+('ФАКТ ЧИСТ К1'!Z31)*СПРАВОЧНИК!$P$13+('ФАКТ ЧИСТ К1'!AA31)*СПРАВОЧНИК!$L$14+('ФАКТ ЧИСТ К1'!AB31)*СПРАВОЧНИК!$M$14+('ФАКТ ЧИСТ К1'!AC31)*СПРАВОЧНИК!$N$14+('ФАКТ ЧИСТ К1'!AD31)*СПРАВОЧНИК!$O$14+('ФАКТ ЧИСТ К1'!AE31)*СПРАВОЧНИК!$P$14+('ФАКТ ЧИСТ К1'!AF31)*СПРАВОЧНИК!$L$15+('ФАКТ ЧИСТ К1'!AG31)*СПРАВОЧНИК!$M$15+('ФАКТ ЧИСТ К1'!AH31)*СПРАВОЧНИК!$N$15+('ФАКТ ЧИСТ К1'!AI31)*СПРАВОЧНИК!$O$15+('ФАКТ ЧИСТ К1'!AJ31)*СПРАВОЧНИК!$P$15</f>
        <v/>
      </c>
      <c r="AI40" s="34" t="n"/>
      <c r="AL40" s="152">
        <f>AL39+7</f>
        <v/>
      </c>
      <c r="AM40" s="17">
        <f>СПРАВОЧНИК!$E$9*('ПЛАН ЧЕРН К2'!B31*СПРАВОЧНИК!$H$9+'ПЛАН ЧЕРН К2'!C31*СПРАВОЧНИК!$I$9+'ПЛАН ЧЕРН К2'!D31*СПРАВОЧНИК!$J$9)+СПРАВОЧНИК!$F$9*('ПЛАН ЧИСТ К2'!B31*СПРАВОЧНИК!$L$9+'ПЛАН ЧИСТ К2'!C31*СПРАВОЧНИК!$M$9+'ПЛАН ЧИСТ К2'!D31*СПРАВОЧНИК!$N$9+'ПЛАН ЧИСТ К2'!E31*СПРАВОЧНИК!$O$9+'ПЛАН ЧИСТ К2'!F31*СПРАВОЧНИК!$P$9)+СПРАВОЧНИК!$E$10*('ПЛАН ЧЕРН К2'!E31*СПРАВОЧНИК!$H$10+'ПЛАН ЧЕРН К2'!F31*СПРАВОЧНИК!$I$10+'ПЛАН ЧЕРН К2'!G31*СПРАВОЧНИК!$J$10)+СПРАВОЧНИК!$F$10*('ПЛАН ЧИСТ К2'!G31*СПРАВОЧНИК!$L$10+'ПЛАН ЧИСТ К2'!H31*СПРАВОЧНИК!$M$10+'ПЛАН ЧИСТ К2'!I31*СПРАВОЧНИК!$N$10+'ПЛАН ЧИСТ К2'!J31*СПРАВОЧНИК!$O$10+'ПЛАН ЧИСТ К2'!K31*СПРАВОЧНИК!$P$10)+СПРАВОЧНИК!$E$11*('ПЛАН ЧЕРН К2'!H31*СПРАВОЧНИК!$H$11+'ПЛАН ЧЕРН К2'!I31*СПРАВОЧНИК!$I$11+'ПЛАН ЧЕРН К2'!J31*СПРАВОЧНИК!$J$11)+СПРАВОЧНИК!$F$11*('ПЛАН ЧИСТ К2'!L31*СПРАВОЧНИК!$L$11+'ПЛАН ЧИСТ К2'!M31*СПРАВОЧНИК!$M$11+'ПЛАН ЧИСТ К2'!N31*СПРАВОЧНИК!$N$11+'ПЛАН ЧИСТ К2'!O31*СПРАВОЧНИК!$O$11+'ПЛАН ЧИСТ К2'!P31*СПРАВОЧНИК!$P$11)+СПРАВОЧНИК!$E$12*('ПЛАН ЧЕРН К2'!K31*СПРАВОЧНИК!$H$12+'ПЛАН ЧЕРН К2'!L31*СПРАВОЧНИК!$I$12+'ПЛАН ЧЕРН К2'!M31*СПРАВОЧНИК!$J$12)+СПРАВОЧНИК!$F$12*('ПЛАН ЧИСТ К2'!Q31*СПРАВОЧНИК!$L$12+'ПЛАН ЧИСТ К2'!R31*СПРАВОЧНИК!$M$12+'ПЛАН ЧИСТ К2'!S31*СПРАВОЧНИК!$N$12+'ПЛАН ЧИСТ К2'!T31*СПРАВОЧНИК!$O$12+'ПЛАН ЧИСТ К2'!U31*СПРАВОЧНИК!$P$12)+СПРАВОЧНИК!$E$13*('ПЛАН ЧЕРН К2'!N31*СПРАВОЧНИК!$H$13+'ПЛАН ЧЕРН К2'!O31*СПРАВОЧНИК!$I$13+'ПЛАН ЧЕРН К2'!P31*СПРАВОЧНИК!$J$13)+СПРАВОЧНИК!$F$13*('ПЛАН ЧИСТ К2'!V31*СПРАВОЧНИК!$L$13+'ПЛАН ЧИСТ К2'!W31*СПРАВОЧНИК!$M$13+'ПЛАН ЧИСТ К2'!X31*СПРАВОЧНИК!$N$13+'ПЛАН ЧИСТ К2'!Y31*СПРАВОЧНИК!$O$13+'ПЛАН ЧИСТ К2'!Z31*СПРАВОЧНИК!$P$13)+СПРАВОЧНИК!$E$14*('ПЛАН ЧЕРН К2'!Q31*СПРАВОЧНИК!$H$14+'ПЛАН ЧЕРН К2'!R31*СПРАВОЧНИК!$I$14+'ПЛАН ЧЕРН К2'!S31*СПРАВОЧНИК!$J$14)+СПРАВОЧНИК!$F$14*('ПЛАН ЧИСТ К2'!AA31*СПРАВОЧНИК!$L$14+'ПЛАН ЧИСТ К2'!AB31*СПРАВОЧНИК!$M$14+'ПЛАН ЧИСТ К2'!AC31*СПРАВОЧНИК!$N$14+'ПЛАН ЧИСТ К2'!AD31*СПРАВОЧНИК!$O$14+'ПЛАН ЧИСТ К2'!AE31*СПРАВОЧНИК!$P$14)+СПРАВОЧНИК!$E$15*('ПЛАН ЧЕРН К2'!T31*СПРАВОЧНИК!$H$15+'ПЛАН ЧЕРН К2'!U31*СПРАВОЧНИК!$I$15+'ПЛАН ЧЕРН К2'!V31*СПРАВОЧНИК!$J$15)+СПРАВОЧНИК!$F$15*('ПЛАН ЧИСТ К2'!AF31*СПРАВОЧНИК!$L$15+'ПЛАН ЧИСТ К2'!AG31*СПРАВОЧНИК!$M$15+'ПЛАН ЧИСТ К2'!AH31*СПРАВОЧНИК!$N$15+'ПЛАН ЧИСТ К2'!AI31*СПРАВОЧНИК!$O$15+'ПЛАН ЧИСТ К2'!AJ31*СПРАВОЧНИК!$P$15)</f>
        <v/>
      </c>
      <c r="AN40" s="31">
        <f>СПРАВОЧНИК!$E$9*('ФАКТ ЧЕРН К2'!B31*СПРАВОЧНИК!$H$9+'ФАКТ ЧЕРН К2'!C31*СПРАВОЧНИК!$I$9+'ФАКТ ЧЕРН К2'!D31*СПРАВОЧНИК!$J$9)+СПРАВОЧНИК!$F$9*('ФАКТ ЧИСТ К2'!B31*СПРАВОЧНИК!$L$9+'ФАКТ ЧИСТ К2'!C31*СПРАВОЧНИК!$M$9+'ФАКТ ЧИСТ К2'!D31*СПРАВОЧНИК!$N$9+'ФАКТ ЧИСТ К2'!E31*СПРАВОЧНИК!$O$9+'ФАКТ ЧИСТ К2'!F31*СПРАВОЧНИК!$P$9)+СПРАВОЧНИК!$E$10*('ФАКТ ЧЕРН К2'!E31*СПРАВОЧНИК!$H$10+'ФАКТ ЧЕРН К2'!F31*СПРАВОЧНИК!$I$10+'ФАКТ ЧЕРН К2'!G31*СПРАВОЧНИК!$J$10)+СПРАВОЧНИК!$F$10*('ФАКТ ЧИСТ К2'!G31*СПРАВОЧНИК!$L$10+'ФАКТ ЧИСТ К2'!H31*СПРАВОЧНИК!$M$10+'ФАКТ ЧИСТ К2'!I31*СПРАВОЧНИК!$N$10+'ФАКТ ЧИСТ К2'!J31*СПРАВОЧНИК!$O$10+'ФАКТ ЧИСТ К2'!K31*СПРАВОЧНИК!$P$10)+СПРАВОЧНИК!$E$11*('ФАКТ ЧЕРН К2'!H31*СПРАВОЧНИК!$H$11+'ФАКТ ЧЕРН К2'!I31*СПРАВОЧНИК!$I$11+'ФАКТ ЧЕРН К2'!J31*СПРАВОЧНИК!$J$11)+СПРАВОЧНИК!$F$11*('ФАКТ ЧИСТ К2'!L31*СПРАВОЧНИК!$L$11+'ФАКТ ЧИСТ К2'!M31*СПРАВОЧНИК!$M$11+'ФАКТ ЧИСТ К2'!N31*СПРАВОЧНИК!$N$11+'ФАКТ ЧИСТ К2'!O31*СПРАВОЧНИК!$O$11+'ФАКТ ЧИСТ К2'!P31*СПРАВОЧНИК!$P$11)+СПРАВОЧНИК!$E$12*('ФАКТ ЧЕРН К2'!K31*СПРАВОЧНИК!$H$12+'ФАКТ ЧЕРН К2'!L31*СПРАВОЧНИК!$I$12+'ФАКТ ЧЕРН К2'!M31*СПРАВОЧНИК!$J$12)+СПРАВОЧНИК!$F$12*('ФАКТ ЧИСТ К2'!Q31*СПРАВОЧНИК!$L$12+'ФАКТ ЧИСТ К2'!R31*СПРАВОЧНИК!$M$12+'ФАКТ ЧИСТ К2'!S31*СПРАВОЧНИК!$N$12+'ФАКТ ЧИСТ К2'!T31*СПРАВОЧНИК!$O$12+'ФАКТ ЧИСТ К2'!U31*СПРАВОЧНИК!$P$12)+СПРАВОЧНИК!$E$13*('ФАКТ ЧЕРН К2'!N31*СПРАВОЧНИК!$H$13+'ФАКТ ЧЕРН К2'!O31*СПРАВОЧНИК!$I$13+'ФАКТ ЧЕРН К2'!P31*СПРАВОЧНИК!$J$13)+СПРАВОЧНИК!$F$13*('ФАКТ ЧИСТ К2'!V31*СПРАВОЧНИК!$L$13+'ФАКТ ЧИСТ К2'!W31*СПРАВОЧНИК!$M$13+'ФАКТ ЧИСТ К2'!X31*СПРАВОЧНИК!$N$13+'ФАКТ ЧИСТ К2'!Y31*СПРАВОЧНИК!$O$13+'ФАКТ ЧИСТ К2'!Z31*СПРАВОЧНИК!$P$13)+СПРАВОЧНИК!$E$14*('ФАКТ ЧЕРН К2'!Q31*СПРАВОЧНИК!$H$14+'ФАКТ ЧЕРН К2'!R31*СПРАВОЧНИК!$I$14+'ФАКТ ЧЕРН К2'!S31*СПРАВОЧНИК!$J$14)+СПРАВОЧНИК!$F$14*('ФАКТ ЧИСТ К2'!AA31*СПРАВОЧНИК!$L$14+'ФАКТ ЧИСТ К2'!AB31*СПРАВОЧНИК!$M$14+'ФАКТ ЧИСТ К2'!AC31*СПРАВОЧНИК!$N$14+'ФАКТ ЧИСТ К2'!AD31*СПРАВОЧНИК!$O$14+'ФАКТ ЧИСТ К2'!AE31*СПРАВОЧНИК!$P$14)+СПРАВОЧНИК!$E$15*('ФАКТ ЧЕРН К2'!T31*СПРАВОЧНИК!$H$15+'ФАКТ ЧЕРН К2'!U31*СПРАВОЧНИК!$I$15+'ФАКТ ЧЕРН К2'!V31*СПРАВОЧНИК!$J$15)+СПРАВОЧНИК!$F$15*('ФАКТ ЧИСТ К2'!AF31*СПРАВОЧНИК!$L$15+'ФАКТ ЧИСТ К2'!AG31*СПРАВОЧНИК!$M$15+'ФАКТ ЧИСТ К2'!AH31*СПРАВОЧНИК!$N$15+'ФАКТ ЧИСТ К2'!AI31*СПРАВОЧНИК!$O$15+'ФАКТ ЧИСТ К2'!AJ31*СПРАВОЧНИК!$P$15)</f>
        <v/>
      </c>
      <c r="AO40" s="34" t="n"/>
      <c r="AR40" s="152">
        <f>AR39+7</f>
        <v/>
      </c>
      <c r="AS40" s="17">
        <f>'ПЛАН ЧЕРН К2'!B31*СПРАВОЧНИК!$H$9+'ПЛАН ЧЕРН К2'!C31*СПРАВОЧНИК!$I$9+'ПЛАН ЧЕРН К2'!D31*СПРАВОЧНИК!$J$9+'ПЛАН ЧЕРН К2'!E31*СПРАВОЧНИК!$H$10+'ПЛАН ЧЕРН К2'!F31*СПРАВОЧНИК!$I$10+'ПЛАН ЧЕРН К2'!G31*СПРАВОЧНИК!$J$10+'ПЛАН ЧЕРН К2'!H31*СПРАВОЧНИК!$H$11+'ПЛАН ЧЕРН К2'!I31*СПРАВОЧНИК!$I$11+'ПЛАН ЧЕРН К2'!J31*СПРАВОЧНИК!$J$11+'ПЛАН ЧЕРН К2'!K31*СПРАВОЧНИК!$H$12+'ПЛАН ЧЕРН К2'!L31*СПРАВОЧНИК!$I$12+'ПЛАН ЧЕРН К2'!M31*СПРАВОЧНИК!$J$12+'ПЛАН ЧЕРН К2'!N31*СПРАВОЧНИК!$H$13+'ПЛАН ЧЕРН К2'!O31*СПРАВОЧНИК!$I$13+'ПЛАН ЧЕРН К2'!P31*СПРАВОЧНИК!$J$13+'ПЛАН ЧЕРН К2'!Q31*СПРАВОЧНИК!$H$14+'ПЛАН ЧЕРН К2'!R31*СПРАВОЧНИК!$I$14+'ПЛАН ЧЕРН К2'!S31*СПРАВОЧНИК!$J$14+'ПЛАН ЧЕРН К2'!T31*СПРАВОЧНИК!$H$15+'ПЛАН ЧЕРН К2'!U31*СПРАВОЧНИК!$I$15+'ПЛАН ЧЕРН К2'!V31*СПРАВОЧНИК!$J$15</f>
        <v/>
      </c>
      <c r="AT40" s="31">
        <f>('ФАКТ ЧЕРН К2'!B31)*СПРАВОЧНИК!$H$9+('ФАКТ ЧЕРН К2'!C31)*СПРАВОЧНИК!$I$9+('ФАКТ ЧЕРН К2'!D31)*СПРАВОЧНИК!$J$9+('ФАКТ ЧЕРН К2'!E31)*СПРАВОЧНИК!$H$10+('ФАКТ ЧЕРН К2'!F31)*СПРАВОЧНИК!$I$10+('ФАКТ ЧЕРН К2'!G31)*СПРАВОЧНИК!$J$10+('ФАКТ ЧЕРН К2'!H31)*СПРАВОЧНИК!$H$11+('ФАКТ ЧЕРН К2'!I31)*СПРАВОЧНИК!$I$11+('ФАКТ ЧЕРН К2'!J31)*СПРАВОЧНИК!$J$11+('ФАКТ ЧЕРН К2'!K31)*СПРАВОЧНИК!$H$12+('ФАКТ ЧЕРН К2'!L31)*СПРАВОЧНИК!$I$12+('ФАКТ ЧЕРН К2'!M31)*СПРАВОЧНИК!$J$12+('ФАКТ ЧЕРН К2'!N31)*СПРАВОЧНИК!$H$13+('ФАКТ ЧЕРН К2'!O31)*СПРАВОЧНИК!$I$13+('ФАКТ ЧЕРН К2'!P31)*СПРАВОЧНИК!$J$13+('ФАКТ ЧЕРН К2'!Q31)*СПРАВОЧНИК!$H$14+('ФАКТ ЧЕРН К2'!R31)*СПРАВОЧНИК!$I$14+('ФАКТ ЧЕРН К2'!S31)*СПРАВОЧНИК!$J$14+('ФАКТ ЧЕРН К2'!T31)*СПРАВОЧНИК!$H$15+('ФАКТ ЧЕРН К2'!U31)*СПРАВОЧНИК!$I$15+('ФАКТ ЧЕРН К2'!V31)*СПРАВОЧНИК!$J$15</f>
        <v/>
      </c>
      <c r="AU40" s="34" t="n"/>
      <c r="AX40" s="152">
        <f>AX39+7</f>
        <v/>
      </c>
      <c r="AY40" s="17">
        <f>'ПЛАН ЧИСТ К2'!B31*СПРАВОЧНИК!$L$9+'ПЛАН ЧИСТ К2'!C31*СПРАВОЧНИК!$M$9+'ПЛАН ЧИСТ К2'!D31*СПРАВОЧНИК!$N$9+'ПЛАН ЧИСТ К2'!E31*СПРАВОЧНИК!$O$9+'ПЛАН ЧИСТ К2'!F31*СПРАВОЧНИК!$P$9+'ПЛАН ЧИСТ К2'!G31*СПРАВОЧНИК!$L$10+'ПЛАН ЧИСТ К2'!H31*СПРАВОЧНИК!$M$10+'ПЛАН ЧИСТ К2'!I31*СПРАВОЧНИК!$N$10+'ПЛАН ЧИСТ К2'!J31*СПРАВОЧНИК!$O$10+'ПЛАН ЧИСТ К2'!K31*СПРАВОЧНИК!$P$10+'ПЛАН ЧИСТ К2'!L31*СПРАВОЧНИК!$L$11+'ПЛАН ЧИСТ К2'!M31*СПРАВОЧНИК!$M$11+'ПЛАН ЧИСТ К2'!N31*СПРАВОЧНИК!$N$11+'ПЛАН ЧИСТ К2'!O31*СПРАВОЧНИК!$O$11+'ПЛАН ЧИСТ К2'!P31*СПРАВОЧНИК!$P$11+'ПЛАН ЧИСТ К2'!Q31*СПРАВОЧНИК!$L$12+'ПЛАН ЧИСТ К2'!R31*СПРАВОЧНИК!$M$12+'ПЛАН ЧИСТ К2'!S31*СПРАВОЧНИК!$N$12+'ПЛАН ЧИСТ К2'!T31*СПРАВОЧНИК!$O$12+'ПЛАН ЧИСТ К2'!U31*СПРАВОЧНИК!$P$12+'ПЛАН ЧИСТ К2'!V31*СПРАВОЧНИК!$L$13+'ПЛАН ЧИСТ К2'!W31*СПРАВОЧНИК!$M$13+'ПЛАН ЧИСТ К2'!X31*СПРАВОЧНИК!$N$13+'ПЛАН ЧИСТ К2'!Y31*СПРАВОЧНИК!$O$13+'ПЛАН ЧИСТ К2'!Z31*СПРАВОЧНИК!$P$13+'ПЛАН ЧИСТ К2'!AA31*СПРАВОЧНИК!$L$14+'ПЛАН ЧИСТ К2'!AB31*СПРАВОЧНИК!$M$14+'ПЛАН ЧИСТ К2'!AC31*СПРАВОЧНИК!$N$14+'ПЛАН ЧИСТ К2'!AD31*СПРАВОЧНИК!$O$14+'ПЛАН ЧИСТ К2'!AE31*СПРАВОЧНИК!$P$14+'ПЛАН ЧИСТ К2'!AF31*СПРАВОЧНИК!$L$15+'ПЛАН ЧИСТ К2'!AG31*СПРАВОЧНИК!$M$15+'ПЛАН ЧИСТ К2'!AH31*СПРАВОЧНИК!$N$15+'ПЛАН ЧИСТ К2'!AI31*СПРАВОЧНИК!$O$15+'ПЛАН ЧИСТ К2'!AJ31*СПРАВОЧНИК!$P$15</f>
        <v/>
      </c>
      <c r="AZ40" s="31">
        <f>('ФАКТ ЧИСТ К2'!B31)*СПРАВОЧНИК!$L$9+('ФАКТ ЧИСТ К2'!C31)*СПРАВОЧНИК!$M$9+('ФАКТ ЧИСТ К2'!D31)*СПРАВОЧНИК!$N$9+('ФАКТ ЧИСТ К2'!E31)*СПРАВОЧНИК!$O$9+('ФАКТ ЧИСТ К2'!F31)*СПРАВОЧНИК!$P$9+('ФАКТ ЧИСТ К2'!G31)*СПРАВОЧНИК!$L$10+('ФАКТ ЧИСТ К2'!H31)*СПРАВОЧНИК!$M$10+('ФАКТ ЧИСТ К2'!I31)*СПРАВОЧНИК!$N$10+('ФАКТ ЧИСТ К2'!J31)*СПРАВОЧНИК!$O$10+('ФАКТ ЧИСТ К2'!K31)*СПРАВОЧНИК!$P$10+('ФАКТ ЧИСТ К2'!L31)*СПРАВОЧНИК!$L$11+('ФАКТ ЧИСТ К2'!M31)*СПРАВОЧНИК!$M$11+('ФАКТ ЧИСТ К2'!N31)*СПРАВОЧНИК!$N$11+('ФАКТ ЧИСТ К2'!O31)*СПРАВОЧНИК!$O$11+('ФАКТ ЧИСТ К2'!P31)*СПРАВОЧНИК!$P$11+('ФАКТ ЧИСТ К2'!Q31)*СПРАВОЧНИК!$L$12+('ФАКТ ЧИСТ К2'!R31)*СПРАВОЧНИК!$M$12+('ФАКТ ЧИСТ К2'!S31)*СПРАВОЧНИК!$N$12+('ФАКТ ЧИСТ К2'!T31)*СПРАВОЧНИК!$O$12+('ФАКТ ЧИСТ К2'!U31)*СПРАВОЧНИК!$P$12+('ФАКТ ЧИСТ К2'!V31)*СПРАВОЧНИК!$L$13+('ФАКТ ЧИСТ К2'!W31)*СПРАВОЧНИК!$M$13+('ФАКТ ЧИСТ К2'!X31)*СПРАВОЧНИК!$N$13+('ФАКТ ЧИСТ К2'!Y31)*СПРАВОЧНИК!$O$13+('ФАКТ ЧИСТ К2'!Z31)*СПРАВОЧНИК!$P$13+('ФАКТ ЧИСТ К2'!AA31)*СПРАВОЧНИК!$L$14+('ФАКТ ЧИСТ К2'!AB31)*СПРАВОЧНИК!$M$14+('ФАКТ ЧИСТ К2'!AC31)*СПРАВОЧНИК!$N$14+('ФАКТ ЧИСТ К2'!AD31)*СПРАВОЧНИК!$O$14+('ФАКТ ЧИСТ К2'!AE31)*СПРАВОЧНИК!$P$14+('ФАКТ ЧИСТ К2'!AF31)*СПРАВОЧНИК!$L$15+('ФАКТ ЧИСТ К2'!AG31)*СПРАВОЧНИК!$M$15+('ФАКТ ЧИСТ К2'!AH31)*СПРАВОЧНИК!$N$15+('ФАКТ ЧИСТ К2'!AI31)*СПРАВОЧНИК!$O$15+('ФАКТ ЧИСТ К2'!AJ31)*СПРАВОЧНИК!$P$15</f>
        <v/>
      </c>
      <c r="BA40" s="34" t="n"/>
      <c r="BD40" s="152">
        <f>BD39+7</f>
        <v/>
      </c>
      <c r="BE40" s="17">
        <f>СПРАВОЧНИК!$E$9*('ПЛАН ЧЕРН К3'!B31*СПРАВОЧНИК!$H$9+'ПЛАН ЧЕРН К3'!C31*СПРАВОЧНИК!$I$9+'ПЛАН ЧЕРН К3'!D31*СПРАВОЧНИК!$J$9)+СПРАВОЧНИК!$F$9*('ПЛАН ЧИСТ К3'!B31*СПРАВОЧНИК!$L$9+'ПЛАН ЧИСТ К3'!C31*СПРАВОЧНИК!$M$9+'ПЛАН ЧИСТ К3'!D31*СПРАВОЧНИК!$N$9+'ПЛАН ЧИСТ К3'!E31*СПРАВОЧНИК!$O$9+'ПЛАН ЧИСТ К3'!F31*СПРАВОЧНИК!$P$9)+СПРАВОЧНИК!$E$10*('ПЛАН ЧЕРН К3'!E31*СПРАВОЧНИК!$H$10+'ПЛАН ЧЕРН К3'!F31*СПРАВОЧНИК!$I$10+'ПЛАН ЧЕРН К3'!G31*СПРАВОЧНИК!$J$10)+СПРАВОЧНИК!$F$10*('ПЛАН ЧИСТ К3'!G31*СПРАВОЧНИК!$L$10+'ПЛАН ЧИСТ К3'!H31*СПРАВОЧНИК!$M$10+'ПЛАН ЧИСТ К3'!I31*СПРАВОЧНИК!$N$10+'ПЛАН ЧИСТ К3'!J31*СПРАВОЧНИК!$O$10+'ПЛАН ЧИСТ К3'!K31*СПРАВОЧНИК!$P$10)+СПРАВОЧНИК!$E$11*('ПЛАН ЧЕРН К3'!H31*СПРАВОЧНИК!$H$11+'ПЛАН ЧЕРН К3'!I31*СПРАВОЧНИК!$I$11+'ПЛАН ЧЕРН К3'!J31*СПРАВОЧНИК!$J$11)+СПРАВОЧНИК!$F$11*('ПЛАН ЧИСТ К3'!L31*СПРАВОЧНИК!$L$11+'ПЛАН ЧИСТ К3'!M31*СПРАВОЧНИК!$M$11+'ПЛАН ЧИСТ К3'!N31*СПРАВОЧНИК!$N$11+'ПЛАН ЧИСТ К3'!O31*СПРАВОЧНИК!$O$11+'ПЛАН ЧИСТ К3'!P31*СПРАВОЧНИК!$P$11)+СПРАВОЧНИК!$E$12*('ПЛАН ЧЕРН К3'!K31*СПРАВОЧНИК!$H$12+'ПЛАН ЧЕРН К3'!L31*СПРАВОЧНИК!$I$12+'ПЛАН ЧЕРН К3'!M31*СПРАВОЧНИК!$J$12)+СПРАВОЧНИК!$F$12*('ПЛАН ЧИСТ К3'!Q31*СПРАВОЧНИК!$L$12+'ПЛАН ЧИСТ К3'!R31*СПРАВОЧНИК!$M$12+'ПЛАН ЧИСТ К3'!S31*СПРАВОЧНИК!$N$12+'ПЛАН ЧИСТ К3'!T31*СПРАВОЧНИК!$O$12+'ПЛАН ЧИСТ К3'!U31*СПРАВОЧНИК!$P$12)+СПРАВОЧНИК!$E$13*('ПЛАН ЧЕРН К3'!N31*СПРАВОЧНИК!$H$13+'ПЛАН ЧЕРН К3'!O31*СПРАВОЧНИК!$I$13+'ПЛАН ЧЕРН К3'!P31*СПРАВОЧНИК!$J$13)+СПРАВОЧНИК!$F$13*('ПЛАН ЧИСТ К3'!V31*СПРАВОЧНИК!$L$13+'ПЛАН ЧИСТ К3'!W31*СПРАВОЧНИК!$M$13+'ПЛАН ЧИСТ К3'!X31*СПРАВОЧНИК!$N$13+'ПЛАН ЧИСТ К3'!Y31*СПРАВОЧНИК!$O$13+'ПЛАН ЧИСТ К3'!Z31*СПРАВОЧНИК!$P$13)+СПРАВОЧНИК!$E$14*('ПЛАН ЧЕРН К3'!Q31*СПРАВОЧНИК!$H$14+'ПЛАН ЧЕРН К3'!R31*СПРАВОЧНИК!$I$14+'ПЛАН ЧЕРН К3'!S31*СПРАВОЧНИК!$J$14)+СПРАВОЧНИК!$F$14*('ПЛАН ЧИСТ К3'!AA31*СПРАВОЧНИК!$L$14+'ПЛАН ЧИСТ К3'!AB31*СПРАВОЧНИК!$M$14+'ПЛАН ЧИСТ К3'!AC31*СПРАВОЧНИК!$N$14+'ПЛАН ЧИСТ К3'!AD31*СПРАВОЧНИК!$O$14+'ПЛАН ЧИСТ К3'!AE31*СПРАВОЧНИК!$P$14)+СПРАВОЧНИК!$E$15*('ПЛАН ЧЕРН К3'!T31*СПРАВОЧНИК!$H$15+'ПЛАН ЧЕРН К3'!U31*СПРАВОЧНИК!$I$15+'ПЛАН ЧЕРН К3'!V31*СПРАВОЧНИК!$J$15)+СПРАВОЧНИК!$F$15*('ПЛАН ЧИСТ К3'!AF31*СПРАВОЧНИК!$L$15+'ПЛАН ЧИСТ К3'!AG31*СПРАВОЧНИК!$M$15+'ПЛАН ЧИСТ К3'!AH31*СПРАВОЧНИК!$N$15+'ПЛАН ЧИСТ К3'!AI31*СПРАВОЧНИК!$O$15+'ПЛАН ЧИСТ К3'!AJ31*СПРАВОЧНИК!$P$15)</f>
        <v/>
      </c>
      <c r="BF40" s="31">
        <f>СПРАВОЧНИК!$E$9*('ФАКТ ЧЕРН К3'!B31*СПРАВОЧНИК!$H$9+'ФАКТ ЧЕРН К3'!C31*СПРАВОЧНИК!$I$9+'ФАКТ ЧЕРН К3'!D31*СПРАВОЧНИК!$J$9)+СПРАВОЧНИК!$F$9*('ФАКТ ЧИСТ К3'!B31*СПРАВОЧНИК!$L$9+'ФАКТ ЧИСТ К3'!C31*СПРАВОЧНИК!$M$9+'ФАКТ ЧИСТ К3'!D31*СПРАВОЧНИК!$N$9+'ФАКТ ЧИСТ К3'!E31*СПРАВОЧНИК!$O$9+'ФАКТ ЧИСТ К3'!F31*СПРАВОЧНИК!$P$9)+СПРАВОЧНИК!$E$10*('ФАКТ ЧЕРН К3'!E31*СПРАВОЧНИК!$H$10+'ФАКТ ЧЕРН К3'!F31*СПРАВОЧНИК!$I$10+'ФАКТ ЧЕРН К3'!G31*СПРАВОЧНИК!$J$10)+СПРАВОЧНИК!$F$10*('ФАКТ ЧИСТ К3'!G31*СПРАВОЧНИК!$L$10+'ФАКТ ЧИСТ К3'!H31*СПРАВОЧНИК!$M$10+'ФАКТ ЧИСТ К3'!I31*СПРАВОЧНИК!$N$10+'ФАКТ ЧИСТ К3'!J31*СПРАВОЧНИК!$O$10+'ФАКТ ЧИСТ К3'!K31*СПРАВОЧНИК!$P$10)+СПРАВОЧНИК!$E$11*('ФАКТ ЧЕРН К3'!H31*СПРАВОЧНИК!$H$11+'ФАКТ ЧЕРН К3'!I31*СПРАВОЧНИК!$I$11+'ФАКТ ЧЕРН К3'!J31*СПРАВОЧНИК!$J$11)+СПРАВОЧНИК!$F$11*('ФАКТ ЧИСТ К3'!L31*СПРАВОЧНИК!$L$11+'ФАКТ ЧИСТ К3'!M31*СПРАВОЧНИК!$M$11+'ФАКТ ЧИСТ К3'!N31*СПРАВОЧНИК!$N$11+'ФАКТ ЧИСТ К3'!O31*СПРАВОЧНИК!$O$11+'ФАКТ ЧИСТ К3'!P31*СПРАВОЧНИК!$P$11)+СПРАВОЧНИК!$E$12*('ФАКТ ЧЕРН К3'!K31*СПРАВОЧНИК!$H$12+'ФАКТ ЧЕРН К3'!L31*СПРАВОЧНИК!$I$12+'ФАКТ ЧЕРН К3'!M31*СПРАВОЧНИК!$J$12)+СПРАВОЧНИК!$F$12*('ФАКТ ЧИСТ К3'!Q31*СПРАВОЧНИК!$L$12+'ФАКТ ЧИСТ К3'!R31*СПРАВОЧНИК!$M$12+'ФАКТ ЧИСТ К3'!S31*СПРАВОЧНИК!$N$12+'ФАКТ ЧИСТ К3'!T31*СПРАВОЧНИК!$O$12+'ФАКТ ЧИСТ К3'!U31*СПРАВОЧНИК!$P$12)+СПРАВОЧНИК!$E$13*('ФАКТ ЧЕРН К3'!N31*СПРАВОЧНИК!$H$13+'ФАКТ ЧЕРН К3'!O31*СПРАВОЧНИК!$I$13+'ФАКТ ЧЕРН К3'!P31*СПРАВОЧНИК!$J$13)+СПРАВОЧНИК!$F$13*('ФАКТ ЧИСТ К3'!V31*СПРАВОЧНИК!$L$13+'ФАКТ ЧИСТ К3'!W31*СПРАВОЧНИК!$M$13+'ФАКТ ЧИСТ К3'!X31*СПРАВОЧНИК!$N$13+'ФАКТ ЧИСТ К3'!Y31*СПРАВОЧНИК!$O$13+'ФАКТ ЧИСТ К3'!Z31*СПРАВОЧНИК!$P$13)+СПРАВОЧНИК!$E$14*('ФАКТ ЧЕРН К3'!Q31*СПРАВОЧНИК!$H$14+'ФАКТ ЧЕРН К3'!R31*СПРАВОЧНИК!$I$14+'ФАКТ ЧЕРН К3'!S31*СПРАВОЧНИК!$J$14)+СПРАВОЧНИК!$F$14*('ФАКТ ЧИСТ К3'!AA31*СПРАВОЧНИК!$L$14+'ФАКТ ЧИСТ К3'!AB31*СПРАВОЧНИК!$M$14+'ФАКТ ЧИСТ К3'!AC31*СПРАВОЧНИК!$N$14+'ФАКТ ЧИСТ К3'!AD31*СПРАВОЧНИК!$O$14+'ФАКТ ЧИСТ К3'!AE31*СПРАВОЧНИК!$P$14)+СПРАВОЧНИК!$E$15*('ФАКТ ЧЕРН К3'!T31*СПРАВОЧНИК!$H$15+'ФАКТ ЧЕРН К3'!U31*СПРАВОЧНИК!$I$15+'ФАКТ ЧЕРН К3'!V31*СПРАВОЧНИК!$J$15)+СПРАВОЧНИК!$F$15*('ФАКТ ЧИСТ К3'!AF31*СПРАВОЧНИК!$L$15+'ФАКТ ЧИСТ К3'!AG31*СПРАВОЧНИК!$M$15+'ФАКТ ЧИСТ К3'!AH31*СПРАВОЧНИК!$N$15+'ФАКТ ЧИСТ К3'!AI31*СПРАВОЧНИК!$O$15+'ФАКТ ЧИСТ К3'!AJ31*СПРАВОЧНИК!$P$15)</f>
        <v/>
      </c>
      <c r="BG40" s="34" t="n"/>
      <c r="BJ40" s="152">
        <f>BJ39+7</f>
        <v/>
      </c>
      <c r="BK40" s="17">
        <f>'ПЛАН ЧЕРН К3'!B31*СПРАВОЧНИК!$H$9+'ПЛАН ЧЕРН К3'!C31*СПРАВОЧНИК!$I$9+'ПЛАН ЧЕРН К3'!D31*СПРАВОЧНИК!$J$9+'ПЛАН ЧЕРН К3'!E31*СПРАВОЧНИК!$H$10+'ПЛАН ЧЕРН К3'!F31*СПРАВОЧНИК!$I$10+'ПЛАН ЧЕРН К3'!G31*СПРАВОЧНИК!$J$10+'ПЛАН ЧЕРН К3'!H31*СПРАВОЧНИК!$H$11+'ПЛАН ЧЕРН К3'!I31*СПРАВОЧНИК!$I$11+'ПЛАН ЧЕРН К3'!J31*СПРАВОЧНИК!$J$11+'ПЛАН ЧЕРН К3'!K31*СПРАВОЧНИК!$H$12+'ПЛАН ЧЕРН К3'!L31*СПРАВОЧНИК!$I$12+'ПЛАН ЧЕРН К3'!M31*СПРАВОЧНИК!$J$12+'ПЛАН ЧЕРН К3'!N31*СПРАВОЧНИК!$H$13+'ПЛАН ЧЕРН К3'!O31*СПРАВОЧНИК!$I$13+'ПЛАН ЧЕРН К3'!P31*СПРАВОЧНИК!$J$13+'ПЛАН ЧЕРН К3'!Q31*СПРАВОЧНИК!$H$14+'ПЛАН ЧЕРН К3'!R31*СПРАВОЧНИК!$I$14+'ПЛАН ЧЕРН К3'!S31*СПРАВОЧНИК!$J$14+'ПЛАН ЧЕРН К3'!T31*СПРАВОЧНИК!$H$15+'ПЛАН ЧЕРН К3'!U31*СПРАВОЧНИК!$I$15+'ПЛАН ЧЕРН К3'!V31*СПРАВОЧНИК!$J$15</f>
        <v/>
      </c>
      <c r="BL40" s="31">
        <f>('ФАКТ ЧЕРН К3'!B31)*СПРАВОЧНИК!$H$9+('ФАКТ ЧЕРН К3'!C31)*СПРАВОЧНИК!$I$9+('ФАКТ ЧЕРН К3'!D31)*СПРАВОЧНИК!$J$9+('ФАКТ ЧЕРН К3'!E31)*СПРАВОЧНИК!$H$10+('ФАКТ ЧЕРН К3'!F31)*СПРАВОЧНИК!$I$10+('ФАКТ ЧЕРН К3'!G31)*СПРАВОЧНИК!$J$10+('ФАКТ ЧЕРН К3'!H31)*СПРАВОЧНИК!$H$11+('ФАКТ ЧЕРН К3'!I31)*СПРАВОЧНИК!$I$11+('ФАКТ ЧЕРН К3'!J31)*СПРАВОЧНИК!$J$11+('ФАКТ ЧЕРН К3'!K31)*СПРАВОЧНИК!$H$12+('ФАКТ ЧЕРН К3'!L31)*СПРАВОЧНИК!$I$12+('ФАКТ ЧЕРН К3'!M31)*СПРАВОЧНИК!$J$12+('ФАКТ ЧЕРН К3'!N31)*СПРАВОЧНИК!$H$13+('ФАКТ ЧЕРН К3'!O31)*СПРАВОЧНИК!$I$13+('ФАКТ ЧЕРН К3'!P31)*СПРАВОЧНИК!$J$13+('ФАКТ ЧЕРН К3'!Q31)*СПРАВОЧНИК!$H$14+('ФАКТ ЧЕРН К3'!R31)*СПРАВОЧНИК!$I$14+('ФАКТ ЧЕРН К3'!S31)*СПРАВОЧНИК!$J$14+('ФАКТ ЧЕРН К3'!T31)*СПРАВОЧНИК!$H$15+('ФАКТ ЧЕРН К3'!U31)*СПРАВОЧНИК!$I$15+('ФАКТ ЧЕРН К3'!V31)*СПРАВОЧНИК!$J$15</f>
        <v/>
      </c>
      <c r="BM40" s="34" t="n"/>
      <c r="BP40" s="152">
        <f>BP39+7</f>
        <v/>
      </c>
      <c r="BQ40" s="17">
        <f>'ПЛАН ЧИСТ К3'!B31*СПРАВОЧНИК!$L$9+'ПЛАН ЧИСТ К3'!C31*СПРАВОЧНИК!$M$9+'ПЛАН ЧИСТ К3'!D31*СПРАВОЧНИК!$N$9+'ПЛАН ЧИСТ К3'!E31*СПРАВОЧНИК!$O$9+'ПЛАН ЧИСТ К3'!F31*СПРАВОЧНИК!$P$9+'ПЛАН ЧИСТ К3'!G31*СПРАВОЧНИК!$L$10+'ПЛАН ЧИСТ К3'!H31*СПРАВОЧНИК!$M$10+'ПЛАН ЧИСТ К3'!I31*СПРАВОЧНИК!$N$10+'ПЛАН ЧИСТ К3'!J31*СПРАВОЧНИК!$O$10+'ПЛАН ЧИСТ К3'!K31*СПРАВОЧНИК!$P$10+'ПЛАН ЧИСТ К3'!L31*СПРАВОЧНИК!$L$11+'ПЛАН ЧИСТ К3'!M31*СПРАВОЧНИК!$M$11+'ПЛАН ЧИСТ К3'!N31*СПРАВОЧНИК!$N$11+'ПЛАН ЧИСТ К3'!O31*СПРАВОЧНИК!$O$11+'ПЛАН ЧИСТ К3'!P31*СПРАВОЧНИК!$P$11+'ПЛАН ЧИСТ К3'!Q31*СПРАВОЧНИК!$L$12+'ПЛАН ЧИСТ К3'!R31*СПРАВОЧНИК!$M$12+'ПЛАН ЧИСТ К3'!S31*СПРАВОЧНИК!$N$12+'ПЛАН ЧИСТ К3'!T31*СПРАВОЧНИК!$O$12+'ПЛАН ЧИСТ К3'!U31*СПРАВОЧНИК!$P$12+'ПЛАН ЧИСТ К3'!V31*СПРАВОЧНИК!$L$13+'ПЛАН ЧИСТ К3'!W31*СПРАВОЧНИК!$M$13+'ПЛАН ЧИСТ К3'!X31*СПРАВОЧНИК!$N$13+'ПЛАН ЧИСТ К3'!Y31*СПРАВОЧНИК!$O$13+'ПЛАН ЧИСТ К3'!Z31*СПРАВОЧНИК!$P$13+'ПЛАН ЧИСТ К3'!AA31*СПРАВОЧНИК!$L$14+'ПЛАН ЧИСТ К3'!AB31*СПРАВОЧНИК!$M$14+'ПЛАН ЧИСТ К3'!AC31*СПРАВОЧНИК!$N$14+'ПЛАН ЧИСТ К3'!AD31*СПРАВОЧНИК!$O$14+'ПЛАН ЧИСТ К3'!AE31*СПРАВОЧНИК!$P$14+'ПЛАН ЧИСТ К3'!AF31*СПРАВОЧНИК!$L$15+'ПЛАН ЧИСТ К3'!AG31*СПРАВОЧНИК!$M$15+'ПЛАН ЧИСТ К3'!AH31*СПРАВОЧНИК!$N$15+'ПЛАН ЧИСТ К3'!AI31*СПРАВОЧНИК!$O$15+'ПЛАН ЧИСТ К3'!AJ31*СПРАВОЧНИК!$P$15</f>
        <v/>
      </c>
      <c r="BR40" s="31">
        <f>('ФАКТ ЧИСТ К3'!B31)*СПРАВОЧНИК!$L$9+('ФАКТ ЧИСТ К3'!C31)*СПРАВОЧНИК!$M$9+('ФАКТ ЧИСТ К3'!D31)*СПРАВОЧНИК!$N$9+('ФАКТ ЧИСТ К3'!E31)*СПРАВОЧНИК!$O$9+('ФАКТ ЧИСТ К3'!F31)*СПРАВОЧНИК!$P$9+('ФАКТ ЧИСТ К3'!G31)*СПРАВОЧНИК!$L$10+('ФАКТ ЧИСТ К3'!H31)*СПРАВОЧНИК!$M$10+('ФАКТ ЧИСТ К3'!I31)*СПРАВОЧНИК!$N$10+('ФАКТ ЧИСТ К3'!J31)*СПРАВОЧНИК!$O$10+('ФАКТ ЧИСТ К3'!K31)*СПРАВОЧНИК!$P$10+('ФАКТ ЧИСТ К3'!L31)*СПРАВОЧНИК!$L$11+('ФАКТ ЧИСТ К3'!M31)*СПРАВОЧНИК!$M$11+('ФАКТ ЧИСТ К3'!N31)*СПРАВОЧНИК!$N$11+('ФАКТ ЧИСТ К3'!O31)*СПРАВОЧНИК!$O$11+('ФАКТ ЧИСТ К3'!P31)*СПРАВОЧНИК!$P$11+('ФАКТ ЧИСТ К3'!Q31)*СПРАВОЧНИК!$L$12+('ФАКТ ЧИСТ К3'!R31)*СПРАВОЧНИК!$M$12+('ФАКТ ЧИСТ К3'!S31)*СПРАВОЧНИК!$N$12+('ФАКТ ЧИСТ К3'!T31)*СПРАВОЧНИК!$O$12+('ФАКТ ЧИСТ К3'!U31)*СПРАВОЧНИК!$P$12+('ФАКТ ЧИСТ К3'!V31)*СПРАВОЧНИК!$L$13+('ФАКТ ЧИСТ К3'!W31)*СПРАВОЧНИК!$M$13+('ФАКТ ЧИСТ К3'!X31)*СПРАВОЧНИК!$N$13+('ФАКТ ЧИСТ К3'!Y31)*СПРАВОЧНИК!$O$13+('ФАКТ ЧИСТ К3'!Z31)*СПРАВОЧНИК!$P$13+('ФАКТ ЧИСТ К3'!AA31)*СПРАВОЧНИК!$L$14+('ФАКТ ЧИСТ К3'!AB31)*СПРАВОЧНИК!$M$14+('ФАКТ ЧИСТ К3'!AC31)*СПРАВОЧНИК!$N$14+('ФАКТ ЧИСТ К3'!AD31)*СПРАВОЧНИК!$O$14+('ФАКТ ЧИСТ К3'!AE31)*СПРАВОЧНИК!$P$14+('ФАКТ ЧИСТ К3'!AF31)*СПРАВОЧНИК!$L$15+('ФАКТ ЧИСТ К3'!AG31)*СПРАВОЧНИК!$M$15+('ФАКТ ЧИСТ К3'!AH31)*СПРАВОЧНИК!$N$15+('ФАКТ ЧИСТ К3'!AI31)*СПРАВОЧНИК!$O$15+('ФАКТ ЧИСТ К3'!AJ31)*СПРАВОЧНИК!$P$15</f>
        <v/>
      </c>
      <c r="BS40" s="34" t="n"/>
      <c r="BV40" s="152">
        <f>BV39+7</f>
        <v/>
      </c>
      <c r="BW40" s="17">
        <f>U40*СПРАВОЧНИК!$K$28+AM40*СПРАВОЧНИК!$K$29+BE40*СПРАВОЧНИК!$K$30</f>
        <v/>
      </c>
      <c r="BX40" s="31">
        <f>V40*СПРАВОЧНИК!$K$28+AN40*СПРАВОЧНИК!$K$29+BF40*СПРАВОЧНИК!$K$30</f>
        <v/>
      </c>
      <c r="BY40" s="34" t="n"/>
      <c r="CB40" s="152">
        <f>CB39+7</f>
        <v/>
      </c>
      <c r="CC40" s="17">
        <f>AA40*СПРАВОЧНИК!$K$28+AS40*СПРАВОЧНИК!$K$29+BK40*СПРАВОЧНИК!$K$30</f>
        <v/>
      </c>
      <c r="CD40" s="31">
        <f>AB40*СПРАВОЧНИК!$K$28+AT40*СПРАВОЧНИК!$K$29+BL40*СПРАВОЧНИК!$K$30</f>
        <v/>
      </c>
      <c r="CE40" s="34" t="n"/>
      <c r="CH40" s="152">
        <f>CH39+7</f>
        <v/>
      </c>
      <c r="CI40" s="17">
        <f>AG40*СПРАВОЧНИК!$K$28+AY40*СПРАВОЧНИК!$K$29+BQ40*СПРАВОЧНИК!$K$30</f>
        <v/>
      </c>
      <c r="CJ40" s="31">
        <f>AH40*СПРАВОЧНИК!$K$28+AZ40*СПРАВОЧНИК!$K$29+BR40*СПРАВОЧНИК!$K$30</f>
        <v/>
      </c>
      <c r="CK40" s="34" t="n"/>
      <c r="CN40" s="152">
        <f>CN39+7</f>
        <v/>
      </c>
      <c r="CO40" s="17">
        <f>C40*СПРАВОЧНИК!$W$18+BW40*СПРАВОЧНИК!$W$19</f>
        <v/>
      </c>
      <c r="CP40" s="31">
        <f>D40*СПРАВОЧНИК!$W$18+BX40*СПРАВОЧНИК!$W$19</f>
        <v/>
      </c>
      <c r="CQ40" s="34" t="n"/>
      <c r="CT40" s="152">
        <f>CT39+7</f>
        <v/>
      </c>
      <c r="CU40" s="17">
        <f>I40*СПРАВОЧНИК!$W$18+CC40*СПРАВОЧНИК!$W$19</f>
        <v/>
      </c>
      <c r="CV40" s="31">
        <f>J40*СПРАВОЧНИК!$W$18+CD40*СПРАВОЧНИК!$W$19</f>
        <v/>
      </c>
      <c r="CW40" s="34" t="n"/>
      <c r="CZ40" s="152">
        <f>CZ39+7</f>
        <v/>
      </c>
      <c r="DA40" s="17">
        <f>O40*СПРАВОЧНИК!$W$18+CI40*СПРАВОЧНИК!$W$19</f>
        <v/>
      </c>
      <c r="DB40" s="31">
        <f>P40*СПРАВОЧНИК!$W$18+CJ40*СПРАВОЧНИК!$W$19</f>
        <v/>
      </c>
      <c r="DC40" s="34" t="n"/>
    </row>
    <row r="41">
      <c r="B41" s="152">
        <f>B40+7</f>
        <v/>
      </c>
      <c r="C41" s="17">
        <f>СПРАВОЧНИК!$E$3*('ПЛАН ЧЕРН ПОДЗЕМ'!B32*СПРАВОЧНИК!$H$3+'ПЛАН ЧЕРН ПОДЗЕМ'!C32*СПРАВОЧНИК!$I$3+'ПЛАН ЧЕРН ПОДЗЕМ'!D32*СПРАВОЧНИК!$J$3)+СПРАВОЧНИК!$F$3*('ПЛАН ЧИСТ ПОДЗЕМ'!B32*СПРАВОЧНИК!$L$3+'ПЛАН ЧИСТ ПОДЗЕМ'!C32*СПРАВОЧНИК!$M$3+'ПЛАН ЧИСТ ПОДЗЕМ'!D32*СПРАВОЧНИК!$N$3+'ПЛАН ЧИСТ ПОДЗЕМ'!E32*СПРАВОЧНИК!$O$3+'ПЛАН ЧИСТ ПОДЗЕМ'!F32*СПРАВОЧНИК!$P$3)+СПРАВОЧНИК!$E$4*('ПЛАН ЧЕРН ПОДЗЕМ'!E32*СПРАВОЧНИК!$H$4+'ПЛАН ЧЕРН ПОДЗЕМ'!F32*СПРАВОЧНИК!$I$4+'ПЛАН ЧЕРН ПОДЗЕМ'!G32*СПРАВОЧНИК!$J$4)+СПРАВОЧНИК!$F$4*('ПЛАН ЧИСТ ПОДЗЕМ'!G32*СПРАВОЧНИК!$L$4+'ПЛАН ЧИСТ ПОДЗЕМ'!H32*СПРАВОЧНИК!$M$4+'ПЛАН ЧИСТ ПОДЗЕМ'!I32*СПРАВОЧНИК!$N$4+'ПЛАН ЧИСТ ПОДЗЕМ'!J32*СПРАВОЧНИК!$O$4+'ПЛАН ЧИСТ ПОДЗЕМ'!K32*СПРАВОЧНИК!$P$4)+СПРАВОЧНИК!$E$5*('ПЛАН ЧЕРН ПОДЗЕМ'!H32*СПРАВОЧНИК!$H$5+'ПЛАН ЧЕРН ПОДЗЕМ'!I32*СПРАВОЧНИК!$I$5+'ПЛАН ЧЕРН ПОДЗЕМ'!J32*СПРАВОЧНИК!$J$5)+СПРАВОЧНИК!$F$5*('ПЛАН ЧИСТ ПОДЗЕМ'!L32*СПРАВОЧНИК!$L$5+'ПЛАН ЧИСТ ПОДЗЕМ'!M32*СПРАВОЧНИК!$M$5+'ПЛАН ЧИСТ ПОДЗЕМ'!N32*СПРАВОЧНИК!$N$5+'ПЛАН ЧИСТ ПОДЗЕМ'!O32*СПРАВОЧНИК!$O$5+'ПЛАН ЧИСТ ПОДЗЕМ'!P32*СПРАВОЧНИК!$P$5)+СПРАВОЧНИК!$E$6*('ПЛАН ЧЕРН ПОДЗЕМ'!K32*СПРАВОЧНИК!$H$6+'ПЛАН ЧЕРН ПОДЗЕМ'!L32*СПРАВОЧНИК!$I$6+'ПЛАН ЧЕРН ПОДЗЕМ'!M32*СПРАВОЧНИК!$J$6)+СПРАВОЧНИК!$F$6*('ПЛАН ЧИСТ ПОДЗЕМ'!Q32*СПРАВОЧНИК!$L$6+'ПЛАН ЧИСТ ПОДЗЕМ'!R32*СПРАВОЧНИК!$M$6+'ПЛАН ЧИСТ ПОДЗЕМ'!S32*СПРАВОЧНИК!$N$6+'ПЛАН ЧИСТ ПОДЗЕМ'!T32*СПРАВОЧНИК!$O$6+'ПЛАН ЧИСТ ПОДЗЕМ'!U32*СПРАВОЧНИК!$P$6)+СПРАВОЧНИК!$E$7*('ПЛАН ЧЕРН ПОДЗЕМ'!N32*СПРАВОЧНИК!$H$7+'ПЛАН ЧЕРН ПОДЗЕМ'!O32*СПРАВОЧНИК!$I$7+'ПЛАН ЧЕРН ПОДЗЕМ'!P32*СПРАВОЧНИК!$J$7)+СПРАВОЧНИК!$F$7*('ПЛАН ЧИСТ ПОДЗЕМ'!V32*СПРАВОЧНИК!$L$7+'ПЛАН ЧИСТ ПОДЗЕМ'!W32*СПРАВОЧНИК!$M$7+'ПЛАН ЧИСТ ПОДЗЕМ'!X32*СПРАВОЧНИК!$N$7+'ПЛАН ЧИСТ ПОДЗЕМ'!Y32*СПРАВОЧНИК!$O$7+'ПЛАН ЧИСТ ПОДЗЕМ'!Z32*СПРАВОЧНИК!$P$7)+СПРАВОЧНИК!$E$8*('ПЛАН ЧЕРН ПОДЗЕМ'!Q32*СПРАВОЧНИК!$H$8+'ПЛАН ЧЕРН ПОДЗЕМ'!R32*СПРАВОЧНИК!$I$8+'ПЛАН ЧЕРН ПОДЗЕМ'!S32*СПРАВОЧНИК!$J$8)+СПРАВОЧНИК!$F$8*('ПЛАН ЧИСТ ПОДЗЕМ'!AA32*СПРАВОЧНИК!$L$8+'ПЛАН ЧИСТ ПОДЗЕМ'!AB32*СПРАВОЧНИК!$M$8+'ПЛАН ЧИСТ ПОДЗЕМ'!AC32*СПРАВОЧНИК!$N$8+'ПЛАН ЧИСТ ПОДЗЕМ'!AD32*СПРАВОЧНИК!$O$8+'ПЛАН ЧИСТ ПОДЗЕМ'!AE32*СПРАВОЧНИК!$P$8)</f>
        <v/>
      </c>
      <c r="D41" s="31">
        <f>СПРАВОЧНИК!$E$3*('ФАКТ ЧЕРН ПОДЗЕМ'!B32*СПРАВОЧНИК!$H$3+'ФАКТ ЧЕРН ПОДЗЕМ'!C32*СПРАВОЧНИК!$I$3+'ФАКТ ЧЕРН ПОДЗЕМ'!D32*СПРАВОЧНИК!$J$3)+СПРАВОЧНИК!$F$3*('ФАКТ ЧИСТ ПОДЗЕМ'!B32*СПРАВОЧНИК!$L$3+'ФАКТ ЧИСТ ПОДЗЕМ'!C32*СПРАВОЧНИК!$M$3+'ФАКТ ЧИСТ ПОДЗЕМ'!D32*СПРАВОЧНИК!$N$3+'ФАКТ ЧИСТ ПОДЗЕМ'!E32*СПРАВОЧНИК!$O$3+'ФАКТ ЧИСТ ПОДЗЕМ'!F32*СПРАВОЧНИК!$P$3)+СПРАВОЧНИК!$E$4*('ФАКТ ЧЕРН ПОДЗЕМ'!E32*СПРАВОЧНИК!$H$4+'ФАКТ ЧЕРН ПОДЗЕМ'!F32*СПРАВОЧНИК!$I$4+'ФАКТ ЧЕРН ПОДЗЕМ'!G32*СПРАВОЧНИК!$J$4)+СПРАВОЧНИК!$F$4*('ФАКТ ЧИСТ ПОДЗЕМ'!G32*СПРАВОЧНИК!$L$4+'ФАКТ ЧИСТ ПОДЗЕМ'!H32*СПРАВОЧНИК!$M$4+'ФАКТ ЧИСТ ПОДЗЕМ'!I32*СПРАВОЧНИК!$N$4+'ФАКТ ЧИСТ ПОДЗЕМ'!J32*СПРАВОЧНИК!$O$4+'ФАКТ ЧИСТ ПОДЗЕМ'!K32*СПРАВОЧНИК!$P$4)+СПРАВОЧНИК!$E$5*('ФАКТ ЧЕРН ПОДЗЕМ'!H32*СПРАВОЧНИК!$H$5+'ФАКТ ЧЕРН ПОДЗЕМ'!I32*СПРАВОЧНИК!$I$5+'ФАКТ ЧЕРН ПОДЗЕМ'!J32*СПРАВОЧНИК!$J$5)+СПРАВОЧНИК!$F$5*('ФАКТ ЧИСТ ПОДЗЕМ'!L32*СПРАВОЧНИК!$L$5+'ФАКТ ЧИСТ ПОДЗЕМ'!M32*СПРАВОЧНИК!$M$5+'ФАКТ ЧИСТ ПОДЗЕМ'!N32*СПРАВОЧНИК!$N$5+'ФАКТ ЧИСТ ПОДЗЕМ'!O32*СПРАВОЧНИК!$O$5+'ФАКТ ЧИСТ ПОДЗЕМ'!P32*СПРАВОЧНИК!$P$5)+СПРАВОЧНИК!$E$6*('ФАКТ ЧЕРН ПОДЗЕМ'!K32*СПРАВОЧНИК!$H$6+'ФАКТ ЧЕРН ПОДЗЕМ'!L32*СПРАВОЧНИК!$I$6+'ФАКТ ЧЕРН ПОДЗЕМ'!M32*СПРАВОЧНИК!$J$6)+СПРАВОЧНИК!$F$6*('ФАКТ ЧИСТ ПОДЗЕМ'!Q32*СПРАВОЧНИК!$L$6+'ФАКТ ЧИСТ ПОДЗЕМ'!R32*СПРАВОЧНИК!$M$6+'ФАКТ ЧИСТ ПОДЗЕМ'!S32*СПРАВОЧНИК!$N$6+'ФАКТ ЧИСТ ПОДЗЕМ'!T32*СПРАВОЧНИК!$O$6+'ФАКТ ЧИСТ ПОДЗЕМ'!U32*СПРАВОЧНИК!$P$6)+СПРАВОЧНИК!$E$7*('ФАКТ ЧЕРН ПОДЗЕМ'!N32*СПРАВОЧНИК!$H$7+'ФАКТ ЧЕРН ПОДЗЕМ'!O32*СПРАВОЧНИК!$I$7+'ФАКТ ЧЕРН ПОДЗЕМ'!P32*СПРАВОЧНИК!$J$7)+СПРАВОЧНИК!$F$7*('ФАКТ ЧИСТ ПОДЗЕМ'!V32*СПРАВОЧНИК!$L$7+'ФАКТ ЧИСТ ПОДЗЕМ'!W32*СПРАВОЧНИК!$M$7+'ФАКТ ЧИСТ ПОДЗЕМ'!X32*СПРАВОЧНИК!$N$7+'ФАКТ ЧИСТ ПОДЗЕМ'!Y32*СПРАВОЧНИК!$O$7+'ФАКТ ЧИСТ ПОДЗЕМ'!Z32*СПРАВОЧНИК!$P$7)+СПРАВОЧНИК!$E$8*('ФАКТ ЧЕРН ПОДЗЕМ'!Q32*СПРАВОЧНИК!$H$8+'ФАКТ ЧЕРН ПОДЗЕМ'!R32*СПРАВОЧНИК!$I$8+'ФАКТ ЧЕРН ПОДЗЕМ'!S32*СПРАВОЧНИК!$J$8)+СПРАВОЧНИК!$F$8*('ФАКТ ЧИСТ ПОДЗЕМ'!AA32*СПРАВОЧНИК!$L$8+'ФАКТ ЧИСТ ПОДЗЕМ'!AB32*СПРАВОЧНИК!$M$8+'ФАКТ ЧИСТ ПОДЗЕМ'!AC32*СПРАВОЧНИК!$N$8+'ФАКТ ЧИСТ ПОДЗЕМ'!AD32*СПРАВОЧНИК!$O$8+'ФАКТ ЧИСТ ПОДЗЕМ'!AE32*СПРАВОЧНИК!$P$8)</f>
        <v/>
      </c>
      <c r="E41" s="34" t="n"/>
      <c r="H41" s="152">
        <f>H40+7</f>
        <v/>
      </c>
      <c r="I41" s="17">
        <f>'ПЛАН ЧЕРН ПОДЗЕМ'!B32*СПРАВОЧНИК!$H$3+'ПЛАН ЧЕРН ПОДЗЕМ'!C32*СПРАВОЧНИК!$I$3+'ПЛАН ЧЕРН ПОДЗЕМ'!D32*СПРАВОЧНИК!$J$3+'ПЛАН ЧЕРН ПОДЗЕМ'!E32*СПРАВОЧНИК!$H$4+'ПЛАН ЧЕРН ПОДЗЕМ'!F32*СПРАВОЧНИК!$I$4+'ПЛАН ЧЕРН ПОДЗЕМ'!G32*СПРАВОЧНИК!$J$4+'ПЛАН ЧЕРН ПОДЗЕМ'!H32*СПРАВОЧНИК!$H$5+'ПЛАН ЧЕРН ПОДЗЕМ'!I32*СПРАВОЧНИК!$I$5+'ПЛАН ЧЕРН ПОДЗЕМ'!J32*СПРАВОЧНИК!$J$5+'ПЛАН ЧЕРН ПОДЗЕМ'!K32*СПРАВОЧНИК!$H$6+'ПЛАН ЧЕРН ПОДЗЕМ'!L32*СПРАВОЧНИК!$I$6+'ПЛАН ЧЕРН ПОДЗЕМ'!M32*СПРАВОЧНИК!$J$6+'ПЛАН ЧЕРН ПОДЗЕМ'!N32*СПРАВОЧНИК!$H$7+'ПЛАН ЧЕРН ПОДЗЕМ'!O32*СПРАВОЧНИК!$I$7+'ПЛАН ЧЕРН ПОДЗЕМ'!P32*СПРАВОЧНИК!$J$7+'ПЛАН ЧЕРН ПОДЗЕМ'!Q32*СПРАВОЧНИК!$H$8+'ПЛАН ЧЕРН ПОДЗЕМ'!R32*СПРАВОЧНИК!$I$8+'ПЛАН ЧЕРН ПОДЗЕМ'!S32*СПРАВОЧНИК!$J$8</f>
        <v/>
      </c>
      <c r="J41" s="31">
        <f>('ФАКТ ЧЕРН ПОДЗЕМ'!B32)*СПРАВОЧНИК!$H$3+('ФАКТ ЧЕРН ПОДЗЕМ'!C32)*СПРАВОЧНИК!$I$3+('ФАКТ ЧЕРН ПОДЗЕМ'!D32)*СПРАВОЧНИК!$J$3+('ФАКТ ЧЕРН ПОДЗЕМ'!E32)*СПРАВОЧНИК!$H$4+('ФАКТ ЧЕРН ПОДЗЕМ'!F32)*СПРАВОЧНИК!$I$4+('ФАКТ ЧЕРН ПОДЗЕМ'!G32)*СПРАВОЧНИК!$J$4+('ФАКТ ЧЕРН ПОДЗЕМ'!H32)*СПРАВОЧНИК!$H$5+('ФАКТ ЧЕРН ПОДЗЕМ'!I32)*СПРАВОЧНИК!$I$5+('ФАКТ ЧЕРН ПОДЗЕМ'!J32)*СПРАВОЧНИК!$J$5+('ФАКТ ЧЕРН ПОДЗЕМ'!K32)*СПРАВОЧНИК!$H$6+('ФАКТ ЧЕРН ПОДЗЕМ'!L32)*СПРАВОЧНИК!$I$6+('ФАКТ ЧЕРН ПОДЗЕМ'!M32)*СПРАВОЧНИК!$J$6+('ФАКТ ЧЕРН ПОДЗЕМ'!N32)*СПРАВОЧНИК!$H$7+('ФАКТ ЧЕРН ПОДЗЕМ'!O32)*СПРАВОЧНИК!$I$7+('ФАКТ ЧЕРН ПОДЗЕМ'!P32)*СПРАВОЧНИК!$J$7+('ФАКТ ЧЕРН ПОДЗЕМ'!Q32)*СПРАВОЧНИК!$H$8+('ФАКТ ЧЕРН ПОДЗЕМ'!R32)*СПРАВОЧНИК!$I$8+('ФАКТ ЧЕРН ПОДЗЕМ'!S32)*СПРАВОЧНИК!$J$8</f>
        <v/>
      </c>
      <c r="K41" s="34" t="n"/>
      <c r="N41" s="152">
        <f>N40+7</f>
        <v/>
      </c>
      <c r="O41" s="17">
        <f>'ПЛАН ЧИСТ ПОДЗЕМ'!B32*СПРАВОЧНИК!$L$3+'ПЛАН ЧИСТ ПОДЗЕМ'!C32*СПРАВОЧНИК!$M$3+'ПЛАН ЧИСТ ПОДЗЕМ'!D32*СПРАВОЧНИК!$N$3+'ПЛАН ЧИСТ ПОДЗЕМ'!E32*СПРАВОЧНИК!$O$3+'ПЛАН ЧИСТ ПОДЗЕМ'!F32*СПРАВОЧНИК!$P$3+'ПЛАН ЧИСТ ПОДЗЕМ'!G32*СПРАВОЧНИК!$L$4+'ПЛАН ЧИСТ ПОДЗЕМ'!H32*СПРАВОЧНИК!$M$4+'ПЛАН ЧИСТ ПОДЗЕМ'!I32*СПРАВОЧНИК!$N$4+'ПЛАН ЧИСТ ПОДЗЕМ'!J32*СПРАВОЧНИК!$O$4+'ПЛАН ЧИСТ ПОДЗЕМ'!K32*СПРАВОЧНИК!$P$4+'ПЛАН ЧИСТ ПОДЗЕМ'!L32*СПРАВОЧНИК!$L$5+'ПЛАН ЧИСТ ПОДЗЕМ'!M32*СПРАВОЧНИК!$M$5+'ПЛАН ЧИСТ ПОДЗЕМ'!N32*СПРАВОЧНИК!$N$5+'ПЛАН ЧИСТ ПОДЗЕМ'!O32*СПРАВОЧНИК!$O$5+'ПЛАН ЧИСТ ПОДЗЕМ'!P32*СПРАВОЧНИК!$P$5+'ПЛАН ЧИСТ ПОДЗЕМ'!Q32*СПРАВОЧНИК!$L$6+'ПЛАН ЧИСТ ПОДЗЕМ'!R32*СПРАВОЧНИК!$M$6+'ПЛАН ЧИСТ ПОДЗЕМ'!S32*СПРАВОЧНИК!$N$6+'ПЛАН ЧИСТ ПОДЗЕМ'!T32*СПРАВОЧНИК!$O$6+'ПЛАН ЧИСТ ПОДЗЕМ'!U32*СПРАВОЧНИК!$P$6+'ПЛАН ЧИСТ ПОДЗЕМ'!V32*СПРАВОЧНИК!$L$7+'ПЛАН ЧИСТ ПОДЗЕМ'!W32*СПРАВОЧНИК!$M$7+'ПЛАН ЧИСТ ПОДЗЕМ'!X32*СПРАВОЧНИК!$N$7+'ПЛАН ЧИСТ ПОДЗЕМ'!Y32*СПРАВОЧНИК!$O$7+'ПЛАН ЧИСТ ПОДЗЕМ'!Z32*СПРАВОЧНИК!$P$7+'ПЛАН ЧИСТ ПОДЗЕМ'!AA32*СПРАВОЧНИК!$L$8+'ПЛАН ЧИСТ ПОДЗЕМ'!AB32*СПРАВОЧНИК!$M$8+'ПЛАН ЧИСТ ПОДЗЕМ'!AC32*СПРАВОЧНИК!$N$8+'ПЛАН ЧИСТ ПОДЗЕМ'!AD32*СПРАВОЧНИК!$O$8+'ПЛАН ЧИСТ ПОДЗЕМ'!AE32*СПРАВОЧНИК!$P$8</f>
        <v/>
      </c>
      <c r="P41" s="31">
        <f>('ФАКТ ЧИСТ ПОДЗЕМ'!B32)*СПРАВОЧНИК!$L$3+('ФАКТ ЧИСТ ПОДЗЕМ'!C32)*СПРАВОЧНИК!$M$3+('ФАКТ ЧИСТ ПОДЗЕМ'!D32)*СПРАВОЧНИК!$N$3+('ФАКТ ЧИСТ ПОДЗЕМ'!E32)*СПРАВОЧНИК!$O$3+('ФАКТ ЧИСТ ПОДЗЕМ'!F32)*СПРАВОЧНИК!$P$3+('ФАКТ ЧИСТ ПОДЗЕМ'!G32)*СПРАВОЧНИК!$L$4+('ФАКТ ЧИСТ ПОДЗЕМ'!H32)*СПРАВОЧНИК!$M$4+('ФАКТ ЧИСТ ПОДЗЕМ'!I32)*СПРАВОЧНИК!$N$4+('ФАКТ ЧИСТ ПОДЗЕМ'!J32)*СПРАВОЧНИК!$O$4+('ФАКТ ЧИСТ ПОДЗЕМ'!K32)*СПРАВОЧНИК!$P$4+('ФАКТ ЧИСТ ПОДЗЕМ'!L32)*СПРАВОЧНИК!$L$5+('ФАКТ ЧИСТ ПОДЗЕМ'!M32)*СПРАВОЧНИК!$M$5+('ФАКТ ЧИСТ ПОДЗЕМ'!N32)*СПРАВОЧНИК!$N$5+('ФАКТ ЧИСТ ПОДЗЕМ'!O32)*СПРАВОЧНИК!$O$5+('ФАКТ ЧИСТ ПОДЗЕМ'!P32)*СПРАВОЧНИК!$P$5+('ФАКТ ЧИСТ ПОДЗЕМ'!Q32)*СПРАВОЧНИК!$L$6+('ФАКТ ЧИСТ ПОДЗЕМ'!R32)*СПРАВОЧНИК!$M$6+('ФАКТ ЧИСТ ПОДЗЕМ'!S32)*СПРАВОЧНИК!$N$6+('ФАКТ ЧИСТ ПОДЗЕМ'!T32)*СПРАВОЧНИК!$O$6+('ФАКТ ЧИСТ ПОДЗЕМ'!U32)*СПРАВОЧНИК!$P$6+('ФАКТ ЧИСТ ПОДЗЕМ'!V32)*СПРАВОЧНИК!$L$7+('ФАКТ ЧИСТ ПОДЗЕМ'!W32)*СПРАВОЧНИК!$M$7+('ФАКТ ЧИСТ ПОДЗЕМ'!X32)*СПРАВОЧНИК!$N$7+('ФАКТ ЧИСТ ПОДЗЕМ'!Y32)*СПРАВОЧНИК!$O$7+('ФАКТ ЧИСТ ПОДЗЕМ'!Z32)*СПРАВОЧНИК!$P$7+('ФАКТ ЧИСТ ПОДЗЕМ'!AA32)*СПРАВОЧНИК!$L$8+('ФАКТ ЧИСТ ПОДЗЕМ'!AB32)*СПРАВОЧНИК!$M$8+('ФАКТ ЧИСТ ПОДЗЕМ'!AC32)*СПРАВОЧНИК!$N$8+('ФАКТ ЧИСТ ПОДЗЕМ'!AD32)*СПРАВОЧНИК!$O$8+('ФАКТ ЧИСТ ПОДЗЕМ'!AE32)*СПРАВОЧНИК!$P$8</f>
        <v/>
      </c>
      <c r="Q41" s="34" t="n"/>
      <c r="T41" s="152">
        <f>T40+7</f>
        <v/>
      </c>
      <c r="U41" s="17">
        <f>СПРАВОЧНИК!$E$9*('ПЛАН ЧЕРН К1'!B32*СПРАВОЧНИК!$H$9+'ПЛАН ЧЕРН К1'!C32*СПРАВОЧНИК!$I$9+'ПЛАН ЧЕРН К1'!D32*СПРАВОЧНИК!$J$9)+СПРАВОЧНИК!$F$9*('ПЛАН ЧИСТ К1'!B32*СПРАВОЧНИК!$L$9+'ПЛАН ЧИСТ К1'!C32*СПРАВОЧНИК!$M$9+'ПЛАН ЧИСТ К1'!D32*СПРАВОЧНИК!$N$9+'ПЛАН ЧИСТ К1'!E32*СПРАВОЧНИК!$O$9+'ПЛАН ЧИСТ К1'!F32*СПРАВОЧНИК!$P$9)+СПРАВОЧНИК!$E$10*('ПЛАН ЧЕРН К1'!E32*СПРАВОЧНИК!$H$10+'ПЛАН ЧЕРН К1'!F32*СПРАВОЧНИК!$I$10+'ПЛАН ЧЕРН К1'!G32*СПРАВОЧНИК!$J$10)+СПРАВОЧНИК!$F$10*('ПЛАН ЧИСТ К1'!G32*СПРАВОЧНИК!$L$10+'ПЛАН ЧИСТ К1'!H32*СПРАВОЧНИК!$M$10+'ПЛАН ЧИСТ К1'!I32*СПРАВОЧНИК!$N$10+'ПЛАН ЧИСТ К1'!J32*СПРАВОЧНИК!$O$10+'ПЛАН ЧИСТ К1'!K32*СПРАВОЧНИК!$P$10)+СПРАВОЧНИК!$E$11*('ПЛАН ЧЕРН К1'!H32*СПРАВОЧНИК!$H$11+'ПЛАН ЧЕРН К1'!I32*СПРАВОЧНИК!$I$11+'ПЛАН ЧЕРН К1'!J32*СПРАВОЧНИК!$J$11)+СПРАВОЧНИК!$F$11*('ПЛАН ЧИСТ К1'!L32*СПРАВОЧНИК!$L$11+'ПЛАН ЧИСТ К1'!M32*СПРАВОЧНИК!$M$11+'ПЛАН ЧИСТ К1'!N32*СПРАВОЧНИК!$N$11+'ПЛАН ЧИСТ К1'!O32*СПРАВОЧНИК!$O$11+'ПЛАН ЧИСТ К1'!P32*СПРАВОЧНИК!$P$11)+СПРАВОЧНИК!$E$12*('ПЛАН ЧЕРН К1'!K32*СПРАВОЧНИК!$H$12+'ПЛАН ЧЕРН К1'!L32*СПРАВОЧНИК!$I$12+'ПЛАН ЧЕРН К1'!M32*СПРАВОЧНИК!$J$12)+СПРАВОЧНИК!$F$12*('ПЛАН ЧИСТ К1'!Q32*СПРАВОЧНИК!$L$12+'ПЛАН ЧИСТ К1'!R32*СПРАВОЧНИК!$M$12+'ПЛАН ЧИСТ К1'!S32*СПРАВОЧНИК!$N$12+'ПЛАН ЧИСТ К1'!T32*СПРАВОЧНИК!$O$12+'ПЛАН ЧИСТ К1'!U32*СПРАВОЧНИК!$P$12)+СПРАВОЧНИК!$E$13*('ПЛАН ЧЕРН К1'!N32*СПРАВОЧНИК!$H$13+'ПЛАН ЧЕРН К1'!O32*СПРАВОЧНИК!$I$13+'ПЛАН ЧЕРН К1'!P32*СПРАВОЧНИК!$J$13)+СПРАВОЧНИК!$F$13*('ПЛАН ЧИСТ К1'!V32*СПРАВОЧНИК!$L$13+'ПЛАН ЧИСТ К1'!W32*СПРАВОЧНИК!$M$13+'ПЛАН ЧИСТ К1'!X32*СПРАВОЧНИК!$N$13+'ПЛАН ЧИСТ К1'!Y32*СПРАВОЧНИК!$O$13+'ПЛАН ЧИСТ К1'!Z32*СПРАВОЧНИК!$P$13)+СПРАВОЧНИК!$E$14*('ПЛАН ЧЕРН К1'!Q32*СПРАВОЧНИК!$H$14+'ПЛАН ЧЕРН К1'!R32*СПРАВОЧНИК!$I$14+'ПЛАН ЧЕРН К1'!S32*СПРАВОЧНИК!$J$14)+СПРАВОЧНИК!$F$14*('ПЛАН ЧИСТ К1'!AA32*СПРАВОЧНИК!$L$14+'ПЛАН ЧИСТ К1'!AB32*СПРАВОЧНИК!$M$14+'ПЛАН ЧИСТ К1'!AC32*СПРАВОЧНИК!$N$14+'ПЛАН ЧИСТ К1'!AD32*СПРАВОЧНИК!$O$14+'ПЛАН ЧИСТ К1'!AE32*СПРАВОЧНИК!$P$14)+СПРАВОЧНИК!$E$15*('ПЛАН ЧЕРН К1'!T32*СПРАВОЧНИК!$H$15+'ПЛАН ЧЕРН К1'!U32*СПРАВОЧНИК!$I$15+'ПЛАН ЧЕРН К1'!V32*СПРАВОЧНИК!$J$15)+СПРАВОЧНИК!$F$15*('ПЛАН ЧИСТ К1'!AF32*СПРАВОЧНИК!$L$15+'ПЛАН ЧИСТ К1'!AG32*СПРАВОЧНИК!$M$15+'ПЛАН ЧИСТ К1'!AH32*СПРАВОЧНИК!$N$15+'ПЛАН ЧИСТ К1'!AI32*СПРАВОЧНИК!$O$15+'ПЛАН ЧИСТ К1'!AJ32*СПРАВОЧНИК!$P$15)</f>
        <v/>
      </c>
      <c r="V41" s="31">
        <f>СПРАВОЧНИК!$E$9*('ФАКТ ЧЕРН К1'!B32*СПРАВОЧНИК!$H$9+'ФАКТ ЧЕРН К1'!C32*СПРАВОЧНИК!$I$9+'ФАКТ ЧЕРН К1'!D32*СПРАВОЧНИК!$J$9)+СПРАВОЧНИК!$F$9*('ФАКТ ЧИСТ К1'!B32*СПРАВОЧНИК!$L$9+'ФАКТ ЧИСТ К1'!C32*СПРАВОЧНИК!$M$9+'ФАКТ ЧИСТ К1'!D32*СПРАВОЧНИК!$N$9+'ФАКТ ЧИСТ К1'!E32*СПРАВОЧНИК!$O$9+'ФАКТ ЧИСТ К1'!F32*СПРАВОЧНИК!$P$9)+СПРАВОЧНИК!$E$10*('ФАКТ ЧЕРН К1'!E32*СПРАВОЧНИК!$H$10+'ФАКТ ЧЕРН К1'!F32*СПРАВОЧНИК!$I$10+'ФАКТ ЧЕРН К1'!G32*СПРАВОЧНИК!$J$10)+СПРАВОЧНИК!$F$10*('ФАКТ ЧИСТ К1'!G32*СПРАВОЧНИК!$L$10+'ФАКТ ЧИСТ К1'!H32*СПРАВОЧНИК!$M$10+'ФАКТ ЧИСТ К1'!I32*СПРАВОЧНИК!$N$10+'ФАКТ ЧИСТ К1'!J32*СПРАВОЧНИК!$O$10+'ФАКТ ЧИСТ К1'!K32*СПРАВОЧНИК!$P$10)+СПРАВОЧНИК!$E$11*('ФАКТ ЧЕРН К1'!H32*СПРАВОЧНИК!$H$11+'ФАКТ ЧЕРН К1'!I32*СПРАВОЧНИК!$I$11+'ФАКТ ЧЕРН К1'!J32*СПРАВОЧНИК!$J$11)+СПРАВОЧНИК!$F$11*('ФАКТ ЧИСТ К1'!L32*СПРАВОЧНИК!$L$11+'ФАКТ ЧИСТ К1'!M32*СПРАВОЧНИК!$M$11+'ФАКТ ЧИСТ К1'!N32*СПРАВОЧНИК!$N$11+'ФАКТ ЧИСТ К1'!O32*СПРАВОЧНИК!$O$11+'ФАКТ ЧИСТ К1'!P32*СПРАВОЧНИК!$P$11)+СПРАВОЧНИК!$E$12*('ФАКТ ЧЕРН К1'!K32*СПРАВОЧНИК!$H$12+'ФАКТ ЧЕРН К1'!L32*СПРАВОЧНИК!$I$12+'ФАКТ ЧЕРН К1'!M32*СПРАВОЧНИК!$J$12)+СПРАВОЧНИК!$F$12*('ФАКТ ЧИСТ К1'!Q32*СПРАВОЧНИК!$L$12+'ФАКТ ЧИСТ К1'!R32*СПРАВОЧНИК!$M$12+'ФАКТ ЧИСТ К1'!S32*СПРАВОЧНИК!$N$12+'ФАКТ ЧИСТ К1'!T32*СПРАВОЧНИК!$O$12+'ФАКТ ЧИСТ К1'!U32*СПРАВОЧНИК!$P$12)+СПРАВОЧНИК!$E$13*('ФАКТ ЧЕРН К1'!N32*СПРАВОЧНИК!$H$13+'ФАКТ ЧЕРН К1'!O32*СПРАВОЧНИК!$I$13+'ФАКТ ЧЕРН К1'!P32*СПРАВОЧНИК!$J$13)+СПРАВОЧНИК!$F$13*('ФАКТ ЧИСТ К1'!V32*СПРАВОЧНИК!$L$13+'ФАКТ ЧИСТ К1'!W32*СПРАВОЧНИК!$M$13+'ФАКТ ЧИСТ К1'!X32*СПРАВОЧНИК!$N$13+'ФАКТ ЧИСТ К1'!Y32*СПРАВОЧНИК!$O$13+'ФАКТ ЧИСТ К1'!Z32*СПРАВОЧНИК!$P$13)+СПРАВОЧНИК!$E$14*('ФАКТ ЧЕРН К1'!Q32*СПРАВОЧНИК!$H$14+'ФАКТ ЧЕРН К1'!R32*СПРАВОЧНИК!$I$14+'ФАКТ ЧЕРН К1'!S32*СПРАВОЧНИК!$J$14)+СПРАВОЧНИК!$F$14*('ФАКТ ЧИСТ К1'!AA32*СПРАВОЧНИК!$L$14+'ФАКТ ЧИСТ К1'!AB32*СПРАВОЧНИК!$M$14+'ФАКТ ЧИСТ К1'!AC32*СПРАВОЧНИК!$N$14+'ФАКТ ЧИСТ К1'!AD32*СПРАВОЧНИК!$O$14+'ФАКТ ЧИСТ К1'!AE32*СПРАВОЧНИК!$P$14)+СПРАВОЧНИК!$E$15*('ФАКТ ЧЕРН К1'!T32*СПРАВОЧНИК!$H$15+'ФАКТ ЧЕРН К1'!U32*СПРАВОЧНИК!$I$15+'ФАКТ ЧЕРН К1'!V32*СПРАВОЧНИК!$J$15)+СПРАВОЧНИК!$F$15*('ФАКТ ЧИСТ К1'!AF32*СПРАВОЧНИК!$L$15+'ФАКТ ЧИСТ К1'!AG32*СПРАВОЧНИК!$M$15+'ФАКТ ЧИСТ К1'!AH32*СПРАВОЧНИК!$N$15+'ФАКТ ЧИСТ К1'!AI32*СПРАВОЧНИК!$O$15+'ФАКТ ЧИСТ К1'!AJ32*СПРАВОЧНИК!$P$15)</f>
        <v/>
      </c>
      <c r="W41" s="34" t="n"/>
      <c r="Z41" s="152">
        <f>Z40+7</f>
        <v/>
      </c>
      <c r="AA41" s="17">
        <f>'ПЛАН ЧЕРН К1'!B32*СПРАВОЧНИК!$H$9+'ПЛАН ЧЕРН К1'!C32*СПРАВОЧНИК!$I$9+'ПЛАН ЧЕРН К1'!D32*СПРАВОЧНИК!$J$9+'ПЛАН ЧЕРН К1'!E32*СПРАВОЧНИК!$H$10+'ПЛАН ЧЕРН К1'!F32*СПРАВОЧНИК!$I$10+'ПЛАН ЧЕРН К1'!G32*СПРАВОЧНИК!$J$10+'ПЛАН ЧЕРН К1'!H32*СПРАВОЧНИК!$H$11+'ПЛАН ЧЕРН К1'!I32*СПРАВОЧНИК!$I$11+'ПЛАН ЧЕРН К1'!J32*СПРАВОЧНИК!$J$11+'ПЛАН ЧЕРН К1'!K32*СПРАВОЧНИК!$H$12+'ПЛАН ЧЕРН К1'!L32*СПРАВОЧНИК!$I$12+'ПЛАН ЧЕРН К1'!M32*СПРАВОЧНИК!$J$12+'ПЛАН ЧЕРН К1'!N32*СПРАВОЧНИК!$H$13+'ПЛАН ЧЕРН К1'!O32*СПРАВОЧНИК!$I$13+'ПЛАН ЧЕРН К1'!P32*СПРАВОЧНИК!$J$13+'ПЛАН ЧЕРН К1'!Q32*СПРАВОЧНИК!$H$14+'ПЛАН ЧЕРН К1'!R32*СПРАВОЧНИК!$I$14+'ПЛАН ЧЕРН К1'!S32*СПРАВОЧНИК!$J$14+'ПЛАН ЧЕРН К1'!T32*СПРАВОЧНИК!$H$15+'ПЛАН ЧЕРН К1'!U32*СПРАВОЧНИК!$I$15+'ПЛАН ЧЕРН К1'!V32*СПРАВОЧНИК!$J$15</f>
        <v/>
      </c>
      <c r="AB41" s="31">
        <f>('ФАКТ ЧЕРН К1'!B32)*СПРАВОЧНИК!$H$9+('ФАКТ ЧЕРН К1'!C32)*СПРАВОЧНИК!$I$9+('ФАКТ ЧЕРН К1'!D32)*СПРАВОЧНИК!$J$9+('ФАКТ ЧЕРН К1'!E32)*СПРАВОЧНИК!$H$10+('ФАКТ ЧЕРН К1'!F32)*СПРАВОЧНИК!$I$10+('ФАКТ ЧЕРН К1'!G32)*СПРАВОЧНИК!$J$10+('ФАКТ ЧЕРН К1'!H32)*СПРАВОЧНИК!$H$11+('ФАКТ ЧЕРН К1'!I32)*СПРАВОЧНИК!$I$11+('ФАКТ ЧЕРН К1'!J32)*СПРАВОЧНИК!$J$11+('ФАКТ ЧЕРН К1'!K32)*СПРАВОЧНИК!$H$12+('ФАКТ ЧЕРН К1'!L32)*СПРАВОЧНИК!$I$12+('ФАКТ ЧЕРН К1'!M32)*СПРАВОЧНИК!$J$12+('ФАКТ ЧЕРН К1'!N32)*СПРАВОЧНИК!$H$13+('ФАКТ ЧЕРН К1'!O32)*СПРАВОЧНИК!$I$13+('ФАКТ ЧЕРН К1'!P32)*СПРАВОЧНИК!$J$13+('ФАКТ ЧЕРН К1'!Q32)*СПРАВОЧНИК!$H$14+('ФАКТ ЧЕРН К1'!R32)*СПРАВОЧНИК!$I$14+('ФАКТ ЧЕРН К1'!S32)*СПРАВОЧНИК!$J$14+('ФАКТ ЧЕРН К1'!T32)*СПРАВОЧНИК!$H$15+('ФАКТ ЧЕРН К1'!U32)*СПРАВОЧНИК!$I$15+('ФАКТ ЧЕРН К1'!V32)*СПРАВОЧНИК!$J$15</f>
        <v/>
      </c>
      <c r="AC41" s="34" t="n"/>
      <c r="AF41" s="152">
        <f>AF40+7</f>
        <v/>
      </c>
      <c r="AG41" s="17">
        <f>'ПЛАН ЧИСТ К1'!B32*СПРАВОЧНИК!$L$9+'ПЛАН ЧИСТ К1'!C32*СПРАВОЧНИК!$M$9+'ПЛАН ЧИСТ К1'!D32*СПРАВОЧНИК!$N$9+'ПЛАН ЧИСТ К1'!E32*СПРАВОЧНИК!$O$9+'ПЛАН ЧИСТ К1'!F32*СПРАВОЧНИК!$P$9+'ПЛАН ЧИСТ К1'!G32*СПРАВОЧНИК!$L$10+'ПЛАН ЧИСТ К1'!H32*СПРАВОЧНИК!$M$10+'ПЛАН ЧИСТ К1'!I32*СПРАВОЧНИК!$N$10+'ПЛАН ЧИСТ К1'!J32*СПРАВОЧНИК!$O$10+'ПЛАН ЧИСТ К1'!K32*СПРАВОЧНИК!$P$10+'ПЛАН ЧИСТ К1'!L32*СПРАВОЧНИК!$L$11+'ПЛАН ЧИСТ К1'!M32*СПРАВОЧНИК!$M$11+'ПЛАН ЧИСТ К1'!N32*СПРАВОЧНИК!$N$11+'ПЛАН ЧИСТ К1'!O32*СПРАВОЧНИК!$O$11+'ПЛАН ЧИСТ К1'!P32*СПРАВОЧНИК!$P$11+'ПЛАН ЧИСТ К1'!Q32*СПРАВОЧНИК!$L$12+'ПЛАН ЧИСТ К1'!R32*СПРАВОЧНИК!$M$12+'ПЛАН ЧИСТ К1'!S32*СПРАВОЧНИК!$N$12+'ПЛАН ЧИСТ К1'!T32*СПРАВОЧНИК!$O$12+'ПЛАН ЧИСТ К1'!U32*СПРАВОЧНИК!$P$12+'ПЛАН ЧИСТ К1'!V32*СПРАВОЧНИК!$L$13+'ПЛАН ЧИСТ К1'!W32*СПРАВОЧНИК!$M$13+'ПЛАН ЧИСТ К1'!X32*СПРАВОЧНИК!$N$13+'ПЛАН ЧИСТ К1'!Y32*СПРАВОЧНИК!$O$13+'ПЛАН ЧИСТ К1'!Z32*СПРАВОЧНИК!$P$13+'ПЛАН ЧИСТ К1'!AA32*СПРАВОЧНИК!$L$14+'ПЛАН ЧИСТ К1'!AB32*СПРАВОЧНИК!$M$14+'ПЛАН ЧИСТ К1'!AC32*СПРАВОЧНИК!$N$14+'ПЛАН ЧИСТ К1'!AD32*СПРАВОЧНИК!$O$14+'ПЛАН ЧИСТ К1'!AE32*СПРАВОЧНИК!$P$14+'ПЛАН ЧИСТ К1'!AF32*СПРАВОЧНИК!$L$15+'ПЛАН ЧИСТ К1'!AG32*СПРАВОЧНИК!$M$15+'ПЛАН ЧИСТ К1'!AH32*СПРАВОЧНИК!$N$15+'ПЛАН ЧИСТ К1'!AI32*СПРАВОЧНИК!$O$15+'ПЛАН ЧИСТ К1'!AJ32*СПРАВОЧНИК!$P$15</f>
        <v/>
      </c>
      <c r="AH41" s="31">
        <f>('ФАКТ ЧИСТ К1'!B32)*СПРАВОЧНИК!$L$9+('ФАКТ ЧИСТ К1'!C32)*СПРАВОЧНИК!$M$9+('ФАКТ ЧИСТ К1'!D32)*СПРАВОЧНИК!$N$9+('ФАКТ ЧИСТ К1'!E32)*СПРАВОЧНИК!$O$9+('ФАКТ ЧИСТ К1'!F32)*СПРАВОЧНИК!$P$9+('ФАКТ ЧИСТ К1'!G32)*СПРАВОЧНИК!$L$10+('ФАКТ ЧИСТ К1'!H32)*СПРАВОЧНИК!$M$10+('ФАКТ ЧИСТ К1'!I32)*СПРАВОЧНИК!$N$10+('ФАКТ ЧИСТ К1'!J32)*СПРАВОЧНИК!$O$10+('ФАКТ ЧИСТ К1'!K32)*СПРАВОЧНИК!$P$10+('ФАКТ ЧИСТ К1'!L32)*СПРАВОЧНИК!$L$11+('ФАКТ ЧИСТ К1'!M32)*СПРАВОЧНИК!$M$11+('ФАКТ ЧИСТ К1'!N32)*СПРАВОЧНИК!$N$11+('ФАКТ ЧИСТ К1'!O32)*СПРАВОЧНИК!$O$11+('ФАКТ ЧИСТ К1'!P32)*СПРАВОЧНИК!$P$11+('ФАКТ ЧИСТ К1'!Q32)*СПРАВОЧНИК!$L$12+('ФАКТ ЧИСТ К1'!R32)*СПРАВОЧНИК!$M$12+('ФАКТ ЧИСТ К1'!S32)*СПРАВОЧНИК!$N$12+('ФАКТ ЧИСТ К1'!T32)*СПРАВОЧНИК!$O$12+('ФАКТ ЧИСТ К1'!U32)*СПРАВОЧНИК!$P$12+('ФАКТ ЧИСТ К1'!V32)*СПРАВОЧНИК!$L$13+('ФАКТ ЧИСТ К1'!W32)*СПРАВОЧНИК!$M$13+('ФАКТ ЧИСТ К1'!X32)*СПРАВОЧНИК!$N$13+('ФАКТ ЧИСТ К1'!Y32)*СПРАВОЧНИК!$O$13+('ФАКТ ЧИСТ К1'!Z32)*СПРАВОЧНИК!$P$13+('ФАКТ ЧИСТ К1'!AA32)*СПРАВОЧНИК!$L$14+('ФАКТ ЧИСТ К1'!AB32)*СПРАВОЧНИК!$M$14+('ФАКТ ЧИСТ К1'!AC32)*СПРАВОЧНИК!$N$14+('ФАКТ ЧИСТ К1'!AD32)*СПРАВОЧНИК!$O$14+('ФАКТ ЧИСТ К1'!AE32)*СПРАВОЧНИК!$P$14+('ФАКТ ЧИСТ К1'!AF32)*СПРАВОЧНИК!$L$15+('ФАКТ ЧИСТ К1'!AG32)*СПРАВОЧНИК!$M$15+('ФАКТ ЧИСТ К1'!AH32)*СПРАВОЧНИК!$N$15+('ФАКТ ЧИСТ К1'!AI32)*СПРАВОЧНИК!$O$15+('ФАКТ ЧИСТ К1'!AJ32)*СПРАВОЧНИК!$P$15</f>
        <v/>
      </c>
      <c r="AI41" s="34" t="n"/>
      <c r="AL41" s="152">
        <f>AL40+7</f>
        <v/>
      </c>
      <c r="AM41" s="17">
        <f>СПРАВОЧНИК!$E$9*('ПЛАН ЧЕРН К2'!B32*СПРАВОЧНИК!$H$9+'ПЛАН ЧЕРН К2'!C32*СПРАВОЧНИК!$I$9+'ПЛАН ЧЕРН К2'!D32*СПРАВОЧНИК!$J$9)+СПРАВОЧНИК!$F$9*('ПЛАН ЧИСТ К2'!B32*СПРАВОЧНИК!$L$9+'ПЛАН ЧИСТ К2'!C32*СПРАВОЧНИК!$M$9+'ПЛАН ЧИСТ К2'!D32*СПРАВОЧНИК!$N$9+'ПЛАН ЧИСТ К2'!E32*СПРАВОЧНИК!$O$9+'ПЛАН ЧИСТ К2'!F32*СПРАВОЧНИК!$P$9)+СПРАВОЧНИК!$E$10*('ПЛАН ЧЕРН К2'!E32*СПРАВОЧНИК!$H$10+'ПЛАН ЧЕРН К2'!F32*СПРАВОЧНИК!$I$10+'ПЛАН ЧЕРН К2'!G32*СПРАВОЧНИК!$J$10)+СПРАВОЧНИК!$F$10*('ПЛАН ЧИСТ К2'!G32*СПРАВОЧНИК!$L$10+'ПЛАН ЧИСТ К2'!H32*СПРАВОЧНИК!$M$10+'ПЛАН ЧИСТ К2'!I32*СПРАВОЧНИК!$N$10+'ПЛАН ЧИСТ К2'!J32*СПРАВОЧНИК!$O$10+'ПЛАН ЧИСТ К2'!K32*СПРАВОЧНИК!$P$10)+СПРАВОЧНИК!$E$11*('ПЛАН ЧЕРН К2'!H32*СПРАВОЧНИК!$H$11+'ПЛАН ЧЕРН К2'!I32*СПРАВОЧНИК!$I$11+'ПЛАН ЧЕРН К2'!J32*СПРАВОЧНИК!$J$11)+СПРАВОЧНИК!$F$11*('ПЛАН ЧИСТ К2'!L32*СПРАВОЧНИК!$L$11+'ПЛАН ЧИСТ К2'!M32*СПРАВОЧНИК!$M$11+'ПЛАН ЧИСТ К2'!N32*СПРАВОЧНИК!$N$11+'ПЛАН ЧИСТ К2'!O32*СПРАВОЧНИК!$O$11+'ПЛАН ЧИСТ К2'!P32*СПРАВОЧНИК!$P$11)+СПРАВОЧНИК!$E$12*('ПЛАН ЧЕРН К2'!K32*СПРАВОЧНИК!$H$12+'ПЛАН ЧЕРН К2'!L32*СПРАВОЧНИК!$I$12+'ПЛАН ЧЕРН К2'!M32*СПРАВОЧНИК!$J$12)+СПРАВОЧНИК!$F$12*('ПЛАН ЧИСТ К2'!Q32*СПРАВОЧНИК!$L$12+'ПЛАН ЧИСТ К2'!R32*СПРАВОЧНИК!$M$12+'ПЛАН ЧИСТ К2'!S32*СПРАВОЧНИК!$N$12+'ПЛАН ЧИСТ К2'!T32*СПРАВОЧНИК!$O$12+'ПЛАН ЧИСТ К2'!U32*СПРАВОЧНИК!$P$12)+СПРАВОЧНИК!$E$13*('ПЛАН ЧЕРН К2'!N32*СПРАВОЧНИК!$H$13+'ПЛАН ЧЕРН К2'!O32*СПРАВОЧНИК!$I$13+'ПЛАН ЧЕРН К2'!P32*СПРАВОЧНИК!$J$13)+СПРАВОЧНИК!$F$13*('ПЛАН ЧИСТ К2'!V32*СПРАВОЧНИК!$L$13+'ПЛАН ЧИСТ К2'!W32*СПРАВОЧНИК!$M$13+'ПЛАН ЧИСТ К2'!X32*СПРАВОЧНИК!$N$13+'ПЛАН ЧИСТ К2'!Y32*СПРАВОЧНИК!$O$13+'ПЛАН ЧИСТ К2'!Z32*СПРАВОЧНИК!$P$13)+СПРАВОЧНИК!$E$14*('ПЛАН ЧЕРН К2'!Q32*СПРАВОЧНИК!$H$14+'ПЛАН ЧЕРН К2'!R32*СПРАВОЧНИК!$I$14+'ПЛАН ЧЕРН К2'!S32*СПРАВОЧНИК!$J$14)+СПРАВОЧНИК!$F$14*('ПЛАН ЧИСТ К2'!AA32*СПРАВОЧНИК!$L$14+'ПЛАН ЧИСТ К2'!AB32*СПРАВОЧНИК!$M$14+'ПЛАН ЧИСТ К2'!AC32*СПРАВОЧНИК!$N$14+'ПЛАН ЧИСТ К2'!AD32*СПРАВОЧНИК!$O$14+'ПЛАН ЧИСТ К2'!AE32*СПРАВОЧНИК!$P$14)+СПРАВОЧНИК!$E$15*('ПЛАН ЧЕРН К2'!T32*СПРАВОЧНИК!$H$15+'ПЛАН ЧЕРН К2'!U32*СПРАВОЧНИК!$I$15+'ПЛАН ЧЕРН К2'!V32*СПРАВОЧНИК!$J$15)+СПРАВОЧНИК!$F$15*('ПЛАН ЧИСТ К2'!AF32*СПРАВОЧНИК!$L$15+'ПЛАН ЧИСТ К2'!AG32*СПРАВОЧНИК!$M$15+'ПЛАН ЧИСТ К2'!AH32*СПРАВОЧНИК!$N$15+'ПЛАН ЧИСТ К2'!AI32*СПРАВОЧНИК!$O$15+'ПЛАН ЧИСТ К2'!AJ32*СПРАВОЧНИК!$P$15)</f>
        <v/>
      </c>
      <c r="AN41" s="31">
        <f>СПРАВОЧНИК!$E$9*('ФАКТ ЧЕРН К2'!B32*СПРАВОЧНИК!$H$9+'ФАКТ ЧЕРН К2'!C32*СПРАВОЧНИК!$I$9+'ФАКТ ЧЕРН К2'!D32*СПРАВОЧНИК!$J$9)+СПРАВОЧНИК!$F$9*('ФАКТ ЧИСТ К2'!B32*СПРАВОЧНИК!$L$9+'ФАКТ ЧИСТ К2'!C32*СПРАВОЧНИК!$M$9+'ФАКТ ЧИСТ К2'!D32*СПРАВОЧНИК!$N$9+'ФАКТ ЧИСТ К2'!E32*СПРАВОЧНИК!$O$9+'ФАКТ ЧИСТ К2'!F32*СПРАВОЧНИК!$P$9)+СПРАВОЧНИК!$E$10*('ФАКТ ЧЕРН К2'!E32*СПРАВОЧНИК!$H$10+'ФАКТ ЧЕРН К2'!F32*СПРАВОЧНИК!$I$10+'ФАКТ ЧЕРН К2'!G32*СПРАВОЧНИК!$J$10)+СПРАВОЧНИК!$F$10*('ФАКТ ЧИСТ К2'!G32*СПРАВОЧНИК!$L$10+'ФАКТ ЧИСТ К2'!H32*СПРАВОЧНИК!$M$10+'ФАКТ ЧИСТ К2'!I32*СПРАВОЧНИК!$N$10+'ФАКТ ЧИСТ К2'!J32*СПРАВОЧНИК!$O$10+'ФАКТ ЧИСТ К2'!K32*СПРАВОЧНИК!$P$10)+СПРАВОЧНИК!$E$11*('ФАКТ ЧЕРН К2'!H32*СПРАВОЧНИК!$H$11+'ФАКТ ЧЕРН К2'!I32*СПРАВОЧНИК!$I$11+'ФАКТ ЧЕРН К2'!J32*СПРАВОЧНИК!$J$11)+СПРАВОЧНИК!$F$11*('ФАКТ ЧИСТ К2'!L32*СПРАВОЧНИК!$L$11+'ФАКТ ЧИСТ К2'!M32*СПРАВОЧНИК!$M$11+'ФАКТ ЧИСТ К2'!N32*СПРАВОЧНИК!$N$11+'ФАКТ ЧИСТ К2'!O32*СПРАВОЧНИК!$O$11+'ФАКТ ЧИСТ К2'!P32*СПРАВОЧНИК!$P$11)+СПРАВОЧНИК!$E$12*('ФАКТ ЧЕРН К2'!K32*СПРАВОЧНИК!$H$12+'ФАКТ ЧЕРН К2'!L32*СПРАВОЧНИК!$I$12+'ФАКТ ЧЕРН К2'!M32*СПРАВОЧНИК!$J$12)+СПРАВОЧНИК!$F$12*('ФАКТ ЧИСТ К2'!Q32*СПРАВОЧНИК!$L$12+'ФАКТ ЧИСТ К2'!R32*СПРАВОЧНИК!$M$12+'ФАКТ ЧИСТ К2'!S32*СПРАВОЧНИК!$N$12+'ФАКТ ЧИСТ К2'!T32*СПРАВОЧНИК!$O$12+'ФАКТ ЧИСТ К2'!U32*СПРАВОЧНИК!$P$12)+СПРАВОЧНИК!$E$13*('ФАКТ ЧЕРН К2'!N32*СПРАВОЧНИК!$H$13+'ФАКТ ЧЕРН К2'!O32*СПРАВОЧНИК!$I$13+'ФАКТ ЧЕРН К2'!P32*СПРАВОЧНИК!$J$13)+СПРАВОЧНИК!$F$13*('ФАКТ ЧИСТ К2'!V32*СПРАВОЧНИК!$L$13+'ФАКТ ЧИСТ К2'!W32*СПРАВОЧНИК!$M$13+'ФАКТ ЧИСТ К2'!X32*СПРАВОЧНИК!$N$13+'ФАКТ ЧИСТ К2'!Y32*СПРАВОЧНИК!$O$13+'ФАКТ ЧИСТ К2'!Z32*СПРАВОЧНИК!$P$13)+СПРАВОЧНИК!$E$14*('ФАКТ ЧЕРН К2'!Q32*СПРАВОЧНИК!$H$14+'ФАКТ ЧЕРН К2'!R32*СПРАВОЧНИК!$I$14+'ФАКТ ЧЕРН К2'!S32*СПРАВОЧНИК!$J$14)+СПРАВОЧНИК!$F$14*('ФАКТ ЧИСТ К2'!AA32*СПРАВОЧНИК!$L$14+'ФАКТ ЧИСТ К2'!AB32*СПРАВОЧНИК!$M$14+'ФАКТ ЧИСТ К2'!AC32*СПРАВОЧНИК!$N$14+'ФАКТ ЧИСТ К2'!AD32*СПРАВОЧНИК!$O$14+'ФАКТ ЧИСТ К2'!AE32*СПРАВОЧНИК!$P$14)+СПРАВОЧНИК!$E$15*('ФАКТ ЧЕРН К2'!T32*СПРАВОЧНИК!$H$15+'ФАКТ ЧЕРН К2'!U32*СПРАВОЧНИК!$I$15+'ФАКТ ЧЕРН К2'!V32*СПРАВОЧНИК!$J$15)+СПРАВОЧНИК!$F$15*('ФАКТ ЧИСТ К2'!AF32*СПРАВОЧНИК!$L$15+'ФАКТ ЧИСТ К2'!AG32*СПРАВОЧНИК!$M$15+'ФАКТ ЧИСТ К2'!AH32*СПРАВОЧНИК!$N$15+'ФАКТ ЧИСТ К2'!AI32*СПРАВОЧНИК!$O$15+'ФАКТ ЧИСТ К2'!AJ32*СПРАВОЧНИК!$P$15)</f>
        <v/>
      </c>
      <c r="AO41" s="34" t="n"/>
      <c r="AR41" s="152">
        <f>AR40+7</f>
        <v/>
      </c>
      <c r="AS41" s="17">
        <f>'ПЛАН ЧЕРН К2'!B32*СПРАВОЧНИК!$H$9+'ПЛАН ЧЕРН К2'!C32*СПРАВОЧНИК!$I$9+'ПЛАН ЧЕРН К2'!D32*СПРАВОЧНИК!$J$9+'ПЛАН ЧЕРН К2'!E32*СПРАВОЧНИК!$H$10+'ПЛАН ЧЕРН К2'!F32*СПРАВОЧНИК!$I$10+'ПЛАН ЧЕРН К2'!G32*СПРАВОЧНИК!$J$10+'ПЛАН ЧЕРН К2'!H32*СПРАВОЧНИК!$H$11+'ПЛАН ЧЕРН К2'!I32*СПРАВОЧНИК!$I$11+'ПЛАН ЧЕРН К2'!J32*СПРАВОЧНИК!$J$11+'ПЛАН ЧЕРН К2'!K32*СПРАВОЧНИК!$H$12+'ПЛАН ЧЕРН К2'!L32*СПРАВОЧНИК!$I$12+'ПЛАН ЧЕРН К2'!M32*СПРАВОЧНИК!$J$12+'ПЛАН ЧЕРН К2'!N32*СПРАВОЧНИК!$H$13+'ПЛАН ЧЕРН К2'!O32*СПРАВОЧНИК!$I$13+'ПЛАН ЧЕРН К2'!P32*СПРАВОЧНИК!$J$13+'ПЛАН ЧЕРН К2'!Q32*СПРАВОЧНИК!$H$14+'ПЛАН ЧЕРН К2'!R32*СПРАВОЧНИК!$I$14+'ПЛАН ЧЕРН К2'!S32*СПРАВОЧНИК!$J$14+'ПЛАН ЧЕРН К2'!T32*СПРАВОЧНИК!$H$15+'ПЛАН ЧЕРН К2'!U32*СПРАВОЧНИК!$I$15+'ПЛАН ЧЕРН К2'!V32*СПРАВОЧНИК!$J$15</f>
        <v/>
      </c>
      <c r="AT41" s="31">
        <f>('ФАКТ ЧЕРН К2'!B32)*СПРАВОЧНИК!$H$9+('ФАКТ ЧЕРН К2'!C32)*СПРАВОЧНИК!$I$9+('ФАКТ ЧЕРН К2'!D32)*СПРАВОЧНИК!$J$9+('ФАКТ ЧЕРН К2'!E32)*СПРАВОЧНИК!$H$10+('ФАКТ ЧЕРН К2'!F32)*СПРАВОЧНИК!$I$10+('ФАКТ ЧЕРН К2'!G32)*СПРАВОЧНИК!$J$10+('ФАКТ ЧЕРН К2'!H32)*СПРАВОЧНИК!$H$11+('ФАКТ ЧЕРН К2'!I32)*СПРАВОЧНИК!$I$11+('ФАКТ ЧЕРН К2'!J32)*СПРАВОЧНИК!$J$11+('ФАКТ ЧЕРН К2'!K32)*СПРАВОЧНИК!$H$12+('ФАКТ ЧЕРН К2'!L32)*СПРАВОЧНИК!$I$12+('ФАКТ ЧЕРН К2'!M32)*СПРАВОЧНИК!$J$12+('ФАКТ ЧЕРН К2'!N32)*СПРАВОЧНИК!$H$13+('ФАКТ ЧЕРН К2'!O32)*СПРАВОЧНИК!$I$13+('ФАКТ ЧЕРН К2'!P32)*СПРАВОЧНИК!$J$13+('ФАКТ ЧЕРН К2'!Q32)*СПРАВОЧНИК!$H$14+('ФАКТ ЧЕРН К2'!R32)*СПРАВОЧНИК!$I$14+('ФАКТ ЧЕРН К2'!S32)*СПРАВОЧНИК!$J$14+('ФАКТ ЧЕРН К2'!T32)*СПРАВОЧНИК!$H$15+('ФАКТ ЧЕРН К2'!U32)*СПРАВОЧНИК!$I$15+('ФАКТ ЧЕРН К2'!V32)*СПРАВОЧНИК!$J$15</f>
        <v/>
      </c>
      <c r="AU41" s="34" t="n"/>
      <c r="AX41" s="152">
        <f>AX40+7</f>
        <v/>
      </c>
      <c r="AY41" s="17">
        <f>'ПЛАН ЧИСТ К2'!B32*СПРАВОЧНИК!$L$9+'ПЛАН ЧИСТ К2'!C32*СПРАВОЧНИК!$M$9+'ПЛАН ЧИСТ К2'!D32*СПРАВОЧНИК!$N$9+'ПЛАН ЧИСТ К2'!E32*СПРАВОЧНИК!$O$9+'ПЛАН ЧИСТ К2'!F32*СПРАВОЧНИК!$P$9+'ПЛАН ЧИСТ К2'!G32*СПРАВОЧНИК!$L$10+'ПЛАН ЧИСТ К2'!H32*СПРАВОЧНИК!$M$10+'ПЛАН ЧИСТ К2'!I32*СПРАВОЧНИК!$N$10+'ПЛАН ЧИСТ К2'!J32*СПРАВОЧНИК!$O$10+'ПЛАН ЧИСТ К2'!K32*СПРАВОЧНИК!$P$10+'ПЛАН ЧИСТ К2'!L32*СПРАВОЧНИК!$L$11+'ПЛАН ЧИСТ К2'!M32*СПРАВОЧНИК!$M$11+'ПЛАН ЧИСТ К2'!N32*СПРАВОЧНИК!$N$11+'ПЛАН ЧИСТ К2'!O32*СПРАВОЧНИК!$O$11+'ПЛАН ЧИСТ К2'!P32*СПРАВОЧНИК!$P$11+'ПЛАН ЧИСТ К2'!Q32*СПРАВОЧНИК!$L$12+'ПЛАН ЧИСТ К2'!R32*СПРАВОЧНИК!$M$12+'ПЛАН ЧИСТ К2'!S32*СПРАВОЧНИК!$N$12+'ПЛАН ЧИСТ К2'!T32*СПРАВОЧНИК!$O$12+'ПЛАН ЧИСТ К2'!U32*СПРАВОЧНИК!$P$12+'ПЛАН ЧИСТ К2'!V32*СПРАВОЧНИК!$L$13+'ПЛАН ЧИСТ К2'!W32*СПРАВОЧНИК!$M$13+'ПЛАН ЧИСТ К2'!X32*СПРАВОЧНИК!$N$13+'ПЛАН ЧИСТ К2'!Y32*СПРАВОЧНИК!$O$13+'ПЛАН ЧИСТ К2'!Z32*СПРАВОЧНИК!$P$13+'ПЛАН ЧИСТ К2'!AA32*СПРАВОЧНИК!$L$14+'ПЛАН ЧИСТ К2'!AB32*СПРАВОЧНИК!$M$14+'ПЛАН ЧИСТ К2'!AC32*СПРАВОЧНИК!$N$14+'ПЛАН ЧИСТ К2'!AD32*СПРАВОЧНИК!$O$14+'ПЛАН ЧИСТ К2'!AE32*СПРАВОЧНИК!$P$14+'ПЛАН ЧИСТ К2'!AF32*СПРАВОЧНИК!$L$15+'ПЛАН ЧИСТ К2'!AG32*СПРАВОЧНИК!$M$15+'ПЛАН ЧИСТ К2'!AH32*СПРАВОЧНИК!$N$15+'ПЛАН ЧИСТ К2'!AI32*СПРАВОЧНИК!$O$15+'ПЛАН ЧИСТ К2'!AJ32*СПРАВОЧНИК!$P$15</f>
        <v/>
      </c>
      <c r="AZ41" s="31">
        <f>('ФАКТ ЧИСТ К2'!B32)*СПРАВОЧНИК!$L$9+('ФАКТ ЧИСТ К2'!C32)*СПРАВОЧНИК!$M$9+('ФАКТ ЧИСТ К2'!D32)*СПРАВОЧНИК!$N$9+('ФАКТ ЧИСТ К2'!E32)*СПРАВОЧНИК!$O$9+('ФАКТ ЧИСТ К2'!F32)*СПРАВОЧНИК!$P$9+('ФАКТ ЧИСТ К2'!G32)*СПРАВОЧНИК!$L$10+('ФАКТ ЧИСТ К2'!H32)*СПРАВОЧНИК!$M$10+('ФАКТ ЧИСТ К2'!I32)*СПРАВОЧНИК!$N$10+('ФАКТ ЧИСТ К2'!J32)*СПРАВОЧНИК!$O$10+('ФАКТ ЧИСТ К2'!K32)*СПРАВОЧНИК!$P$10+('ФАКТ ЧИСТ К2'!L32)*СПРАВОЧНИК!$L$11+('ФАКТ ЧИСТ К2'!M32)*СПРАВОЧНИК!$M$11+('ФАКТ ЧИСТ К2'!N32)*СПРАВОЧНИК!$N$11+('ФАКТ ЧИСТ К2'!O32)*СПРАВОЧНИК!$O$11+('ФАКТ ЧИСТ К2'!P32)*СПРАВОЧНИК!$P$11+('ФАКТ ЧИСТ К2'!Q32)*СПРАВОЧНИК!$L$12+('ФАКТ ЧИСТ К2'!R32)*СПРАВОЧНИК!$M$12+('ФАКТ ЧИСТ К2'!S32)*СПРАВОЧНИК!$N$12+('ФАКТ ЧИСТ К2'!T32)*СПРАВОЧНИК!$O$12+('ФАКТ ЧИСТ К2'!U32)*СПРАВОЧНИК!$P$12+('ФАКТ ЧИСТ К2'!V32)*СПРАВОЧНИК!$L$13+('ФАКТ ЧИСТ К2'!W32)*СПРАВОЧНИК!$M$13+('ФАКТ ЧИСТ К2'!X32)*СПРАВОЧНИК!$N$13+('ФАКТ ЧИСТ К2'!Y32)*СПРАВОЧНИК!$O$13+('ФАКТ ЧИСТ К2'!Z32)*СПРАВОЧНИК!$P$13+('ФАКТ ЧИСТ К2'!AA32)*СПРАВОЧНИК!$L$14+('ФАКТ ЧИСТ К2'!AB32)*СПРАВОЧНИК!$M$14+('ФАКТ ЧИСТ К2'!AC32)*СПРАВОЧНИК!$N$14+('ФАКТ ЧИСТ К2'!AD32)*СПРАВОЧНИК!$O$14+('ФАКТ ЧИСТ К2'!AE32)*СПРАВОЧНИК!$P$14+('ФАКТ ЧИСТ К2'!AF32)*СПРАВОЧНИК!$L$15+('ФАКТ ЧИСТ К2'!AG32)*СПРАВОЧНИК!$M$15+('ФАКТ ЧИСТ К2'!AH32)*СПРАВОЧНИК!$N$15+('ФАКТ ЧИСТ К2'!AI32)*СПРАВОЧНИК!$O$15+('ФАКТ ЧИСТ К2'!AJ32)*СПРАВОЧНИК!$P$15</f>
        <v/>
      </c>
      <c r="BA41" s="34" t="n"/>
      <c r="BD41" s="152">
        <f>BD40+7</f>
        <v/>
      </c>
      <c r="BE41" s="17">
        <f>СПРАВОЧНИК!$E$9*('ПЛАН ЧЕРН К3'!B32*СПРАВОЧНИК!$H$9+'ПЛАН ЧЕРН К3'!C32*СПРАВОЧНИК!$I$9+'ПЛАН ЧЕРН К3'!D32*СПРАВОЧНИК!$J$9)+СПРАВОЧНИК!$F$9*('ПЛАН ЧИСТ К3'!B32*СПРАВОЧНИК!$L$9+'ПЛАН ЧИСТ К3'!C32*СПРАВОЧНИК!$M$9+'ПЛАН ЧИСТ К3'!D32*СПРАВОЧНИК!$N$9+'ПЛАН ЧИСТ К3'!E32*СПРАВОЧНИК!$O$9+'ПЛАН ЧИСТ К3'!F32*СПРАВОЧНИК!$P$9)+СПРАВОЧНИК!$E$10*('ПЛАН ЧЕРН К3'!E32*СПРАВОЧНИК!$H$10+'ПЛАН ЧЕРН К3'!F32*СПРАВОЧНИК!$I$10+'ПЛАН ЧЕРН К3'!G32*СПРАВОЧНИК!$J$10)+СПРАВОЧНИК!$F$10*('ПЛАН ЧИСТ К3'!G32*СПРАВОЧНИК!$L$10+'ПЛАН ЧИСТ К3'!H32*СПРАВОЧНИК!$M$10+'ПЛАН ЧИСТ К3'!I32*СПРАВОЧНИК!$N$10+'ПЛАН ЧИСТ К3'!J32*СПРАВОЧНИК!$O$10+'ПЛАН ЧИСТ К3'!K32*СПРАВОЧНИК!$P$10)+СПРАВОЧНИК!$E$11*('ПЛАН ЧЕРН К3'!H32*СПРАВОЧНИК!$H$11+'ПЛАН ЧЕРН К3'!I32*СПРАВОЧНИК!$I$11+'ПЛАН ЧЕРН К3'!J32*СПРАВОЧНИК!$J$11)+СПРАВОЧНИК!$F$11*('ПЛАН ЧИСТ К3'!L32*СПРАВОЧНИК!$L$11+'ПЛАН ЧИСТ К3'!M32*СПРАВОЧНИК!$M$11+'ПЛАН ЧИСТ К3'!N32*СПРАВОЧНИК!$N$11+'ПЛАН ЧИСТ К3'!O32*СПРАВОЧНИК!$O$11+'ПЛАН ЧИСТ К3'!P32*СПРАВОЧНИК!$P$11)+СПРАВОЧНИК!$E$12*('ПЛАН ЧЕРН К3'!K32*СПРАВОЧНИК!$H$12+'ПЛАН ЧЕРН К3'!L32*СПРАВОЧНИК!$I$12+'ПЛАН ЧЕРН К3'!M32*СПРАВОЧНИК!$J$12)+СПРАВОЧНИК!$F$12*('ПЛАН ЧИСТ К3'!Q32*СПРАВОЧНИК!$L$12+'ПЛАН ЧИСТ К3'!R32*СПРАВОЧНИК!$M$12+'ПЛАН ЧИСТ К3'!S32*СПРАВОЧНИК!$N$12+'ПЛАН ЧИСТ К3'!T32*СПРАВОЧНИК!$O$12+'ПЛАН ЧИСТ К3'!U32*СПРАВОЧНИК!$P$12)+СПРАВОЧНИК!$E$13*('ПЛАН ЧЕРН К3'!N32*СПРАВОЧНИК!$H$13+'ПЛАН ЧЕРН К3'!O32*СПРАВОЧНИК!$I$13+'ПЛАН ЧЕРН К3'!P32*СПРАВОЧНИК!$J$13)+СПРАВОЧНИК!$F$13*('ПЛАН ЧИСТ К3'!V32*СПРАВОЧНИК!$L$13+'ПЛАН ЧИСТ К3'!W32*СПРАВОЧНИК!$M$13+'ПЛАН ЧИСТ К3'!X32*СПРАВОЧНИК!$N$13+'ПЛАН ЧИСТ К3'!Y32*СПРАВОЧНИК!$O$13+'ПЛАН ЧИСТ К3'!Z32*СПРАВОЧНИК!$P$13)+СПРАВОЧНИК!$E$14*('ПЛАН ЧЕРН К3'!Q32*СПРАВОЧНИК!$H$14+'ПЛАН ЧЕРН К3'!R32*СПРАВОЧНИК!$I$14+'ПЛАН ЧЕРН К3'!S32*СПРАВОЧНИК!$J$14)+СПРАВОЧНИК!$F$14*('ПЛАН ЧИСТ К3'!AA32*СПРАВОЧНИК!$L$14+'ПЛАН ЧИСТ К3'!AB32*СПРАВОЧНИК!$M$14+'ПЛАН ЧИСТ К3'!AC32*СПРАВОЧНИК!$N$14+'ПЛАН ЧИСТ К3'!AD32*СПРАВОЧНИК!$O$14+'ПЛАН ЧИСТ К3'!AE32*СПРАВОЧНИК!$P$14)+СПРАВОЧНИК!$E$15*('ПЛАН ЧЕРН К3'!T32*СПРАВОЧНИК!$H$15+'ПЛАН ЧЕРН К3'!U32*СПРАВОЧНИК!$I$15+'ПЛАН ЧЕРН К3'!V32*СПРАВОЧНИК!$J$15)+СПРАВОЧНИК!$F$15*('ПЛАН ЧИСТ К3'!AF32*СПРАВОЧНИК!$L$15+'ПЛАН ЧИСТ К3'!AG32*СПРАВОЧНИК!$M$15+'ПЛАН ЧИСТ К3'!AH32*СПРАВОЧНИК!$N$15+'ПЛАН ЧИСТ К3'!AI32*СПРАВОЧНИК!$O$15+'ПЛАН ЧИСТ К3'!AJ32*СПРАВОЧНИК!$P$15)</f>
        <v/>
      </c>
      <c r="BF41" s="31">
        <f>СПРАВОЧНИК!$E$9*('ФАКТ ЧЕРН К3'!B32*СПРАВОЧНИК!$H$9+'ФАКТ ЧЕРН К3'!C32*СПРАВОЧНИК!$I$9+'ФАКТ ЧЕРН К3'!D32*СПРАВОЧНИК!$J$9)+СПРАВОЧНИК!$F$9*('ФАКТ ЧИСТ К3'!B32*СПРАВОЧНИК!$L$9+'ФАКТ ЧИСТ К3'!C32*СПРАВОЧНИК!$M$9+'ФАКТ ЧИСТ К3'!D32*СПРАВОЧНИК!$N$9+'ФАКТ ЧИСТ К3'!E32*СПРАВОЧНИК!$O$9+'ФАКТ ЧИСТ К3'!F32*СПРАВОЧНИК!$P$9)+СПРАВОЧНИК!$E$10*('ФАКТ ЧЕРН К3'!E32*СПРАВОЧНИК!$H$10+'ФАКТ ЧЕРН К3'!F32*СПРАВОЧНИК!$I$10+'ФАКТ ЧЕРН К3'!G32*СПРАВОЧНИК!$J$10)+СПРАВОЧНИК!$F$10*('ФАКТ ЧИСТ К3'!G32*СПРАВОЧНИК!$L$10+'ФАКТ ЧИСТ К3'!H32*СПРАВОЧНИК!$M$10+'ФАКТ ЧИСТ К3'!I32*СПРАВОЧНИК!$N$10+'ФАКТ ЧИСТ К3'!J32*СПРАВОЧНИК!$O$10+'ФАКТ ЧИСТ К3'!K32*СПРАВОЧНИК!$P$10)+СПРАВОЧНИК!$E$11*('ФАКТ ЧЕРН К3'!H32*СПРАВОЧНИК!$H$11+'ФАКТ ЧЕРН К3'!I32*СПРАВОЧНИК!$I$11+'ФАКТ ЧЕРН К3'!J32*СПРАВОЧНИК!$J$11)+СПРАВОЧНИК!$F$11*('ФАКТ ЧИСТ К3'!L32*СПРАВОЧНИК!$L$11+'ФАКТ ЧИСТ К3'!M32*СПРАВОЧНИК!$M$11+'ФАКТ ЧИСТ К3'!N32*СПРАВОЧНИК!$N$11+'ФАКТ ЧИСТ К3'!O32*СПРАВОЧНИК!$O$11+'ФАКТ ЧИСТ К3'!P32*СПРАВОЧНИК!$P$11)+СПРАВОЧНИК!$E$12*('ФАКТ ЧЕРН К3'!K32*СПРАВОЧНИК!$H$12+'ФАКТ ЧЕРН К3'!L32*СПРАВОЧНИК!$I$12+'ФАКТ ЧЕРН К3'!M32*СПРАВОЧНИК!$J$12)+СПРАВОЧНИК!$F$12*('ФАКТ ЧИСТ К3'!Q32*СПРАВОЧНИК!$L$12+'ФАКТ ЧИСТ К3'!R32*СПРАВОЧНИК!$M$12+'ФАКТ ЧИСТ К3'!S32*СПРАВОЧНИК!$N$12+'ФАКТ ЧИСТ К3'!T32*СПРАВОЧНИК!$O$12+'ФАКТ ЧИСТ К3'!U32*СПРАВОЧНИК!$P$12)+СПРАВОЧНИК!$E$13*('ФАКТ ЧЕРН К3'!N32*СПРАВОЧНИК!$H$13+'ФАКТ ЧЕРН К3'!O32*СПРАВОЧНИК!$I$13+'ФАКТ ЧЕРН К3'!P32*СПРАВОЧНИК!$J$13)+СПРАВОЧНИК!$F$13*('ФАКТ ЧИСТ К3'!V32*СПРАВОЧНИК!$L$13+'ФАКТ ЧИСТ К3'!W32*СПРАВОЧНИК!$M$13+'ФАКТ ЧИСТ К3'!X32*СПРАВОЧНИК!$N$13+'ФАКТ ЧИСТ К3'!Y32*СПРАВОЧНИК!$O$13+'ФАКТ ЧИСТ К3'!Z32*СПРАВОЧНИК!$P$13)+СПРАВОЧНИК!$E$14*('ФАКТ ЧЕРН К3'!Q32*СПРАВОЧНИК!$H$14+'ФАКТ ЧЕРН К3'!R32*СПРАВОЧНИК!$I$14+'ФАКТ ЧЕРН К3'!S32*СПРАВОЧНИК!$J$14)+СПРАВОЧНИК!$F$14*('ФАКТ ЧИСТ К3'!AA32*СПРАВОЧНИК!$L$14+'ФАКТ ЧИСТ К3'!AB32*СПРАВОЧНИК!$M$14+'ФАКТ ЧИСТ К3'!AC32*СПРАВОЧНИК!$N$14+'ФАКТ ЧИСТ К3'!AD32*СПРАВОЧНИК!$O$14+'ФАКТ ЧИСТ К3'!AE32*СПРАВОЧНИК!$P$14)+СПРАВОЧНИК!$E$15*('ФАКТ ЧЕРН К3'!T32*СПРАВОЧНИК!$H$15+'ФАКТ ЧЕРН К3'!U32*СПРАВОЧНИК!$I$15+'ФАКТ ЧЕРН К3'!V32*СПРАВОЧНИК!$J$15)+СПРАВОЧНИК!$F$15*('ФАКТ ЧИСТ К3'!AF32*СПРАВОЧНИК!$L$15+'ФАКТ ЧИСТ К3'!AG32*СПРАВОЧНИК!$M$15+'ФАКТ ЧИСТ К3'!AH32*СПРАВОЧНИК!$N$15+'ФАКТ ЧИСТ К3'!AI32*СПРАВОЧНИК!$O$15+'ФАКТ ЧИСТ К3'!AJ32*СПРАВОЧНИК!$P$15)</f>
        <v/>
      </c>
      <c r="BG41" s="34" t="n"/>
      <c r="BJ41" s="152">
        <f>BJ40+7</f>
        <v/>
      </c>
      <c r="BK41" s="17">
        <f>'ПЛАН ЧЕРН К3'!B32*СПРАВОЧНИК!$H$9+'ПЛАН ЧЕРН К3'!C32*СПРАВОЧНИК!$I$9+'ПЛАН ЧЕРН К3'!D32*СПРАВОЧНИК!$J$9+'ПЛАН ЧЕРН К3'!E32*СПРАВОЧНИК!$H$10+'ПЛАН ЧЕРН К3'!F32*СПРАВОЧНИК!$I$10+'ПЛАН ЧЕРН К3'!G32*СПРАВОЧНИК!$J$10+'ПЛАН ЧЕРН К3'!H32*СПРАВОЧНИК!$H$11+'ПЛАН ЧЕРН К3'!I32*СПРАВОЧНИК!$I$11+'ПЛАН ЧЕРН К3'!J32*СПРАВОЧНИК!$J$11+'ПЛАН ЧЕРН К3'!K32*СПРАВОЧНИК!$H$12+'ПЛАН ЧЕРН К3'!L32*СПРАВОЧНИК!$I$12+'ПЛАН ЧЕРН К3'!M32*СПРАВОЧНИК!$J$12+'ПЛАН ЧЕРН К3'!N32*СПРАВОЧНИК!$H$13+'ПЛАН ЧЕРН К3'!O32*СПРАВОЧНИК!$I$13+'ПЛАН ЧЕРН К3'!P32*СПРАВОЧНИК!$J$13+'ПЛАН ЧЕРН К3'!Q32*СПРАВОЧНИК!$H$14+'ПЛАН ЧЕРН К3'!R32*СПРАВОЧНИК!$I$14+'ПЛАН ЧЕРН К3'!S32*СПРАВОЧНИК!$J$14+'ПЛАН ЧЕРН К3'!T32*СПРАВОЧНИК!$H$15+'ПЛАН ЧЕРН К3'!U32*СПРАВОЧНИК!$I$15+'ПЛАН ЧЕРН К3'!V32*СПРАВОЧНИК!$J$15</f>
        <v/>
      </c>
      <c r="BL41" s="31">
        <f>('ФАКТ ЧЕРН К3'!B32)*СПРАВОЧНИК!$H$9+('ФАКТ ЧЕРН К3'!C32)*СПРАВОЧНИК!$I$9+('ФАКТ ЧЕРН К3'!D32)*СПРАВОЧНИК!$J$9+('ФАКТ ЧЕРН К3'!E32)*СПРАВОЧНИК!$H$10+('ФАКТ ЧЕРН К3'!F32)*СПРАВОЧНИК!$I$10+('ФАКТ ЧЕРН К3'!G32)*СПРАВОЧНИК!$J$10+('ФАКТ ЧЕРН К3'!H32)*СПРАВОЧНИК!$H$11+('ФАКТ ЧЕРН К3'!I32)*СПРАВОЧНИК!$I$11+('ФАКТ ЧЕРН К3'!J32)*СПРАВОЧНИК!$J$11+('ФАКТ ЧЕРН К3'!K32)*СПРАВОЧНИК!$H$12+('ФАКТ ЧЕРН К3'!L32)*СПРАВОЧНИК!$I$12+('ФАКТ ЧЕРН К3'!M32)*СПРАВОЧНИК!$J$12+('ФАКТ ЧЕРН К3'!N32)*СПРАВОЧНИК!$H$13+('ФАКТ ЧЕРН К3'!O32)*СПРАВОЧНИК!$I$13+('ФАКТ ЧЕРН К3'!P32)*СПРАВОЧНИК!$J$13+('ФАКТ ЧЕРН К3'!Q32)*СПРАВОЧНИК!$H$14+('ФАКТ ЧЕРН К3'!R32)*СПРАВОЧНИК!$I$14+('ФАКТ ЧЕРН К3'!S32)*СПРАВОЧНИК!$J$14+('ФАКТ ЧЕРН К3'!T32)*СПРАВОЧНИК!$H$15+('ФАКТ ЧЕРН К3'!U32)*СПРАВОЧНИК!$I$15+('ФАКТ ЧЕРН К3'!V32)*СПРАВОЧНИК!$J$15</f>
        <v/>
      </c>
      <c r="BM41" s="34" t="n"/>
      <c r="BP41" s="152">
        <f>BP40+7</f>
        <v/>
      </c>
      <c r="BQ41" s="17">
        <f>'ПЛАН ЧИСТ К3'!B32*СПРАВОЧНИК!$L$9+'ПЛАН ЧИСТ К3'!C32*СПРАВОЧНИК!$M$9+'ПЛАН ЧИСТ К3'!D32*СПРАВОЧНИК!$N$9+'ПЛАН ЧИСТ К3'!E32*СПРАВОЧНИК!$O$9+'ПЛАН ЧИСТ К3'!F32*СПРАВОЧНИК!$P$9+'ПЛАН ЧИСТ К3'!G32*СПРАВОЧНИК!$L$10+'ПЛАН ЧИСТ К3'!H32*СПРАВОЧНИК!$M$10+'ПЛАН ЧИСТ К3'!I32*СПРАВОЧНИК!$N$10+'ПЛАН ЧИСТ К3'!J32*СПРАВОЧНИК!$O$10+'ПЛАН ЧИСТ К3'!K32*СПРАВОЧНИК!$P$10+'ПЛАН ЧИСТ К3'!L32*СПРАВОЧНИК!$L$11+'ПЛАН ЧИСТ К3'!M32*СПРАВОЧНИК!$M$11+'ПЛАН ЧИСТ К3'!N32*СПРАВОЧНИК!$N$11+'ПЛАН ЧИСТ К3'!O32*СПРАВОЧНИК!$O$11+'ПЛАН ЧИСТ К3'!P32*СПРАВОЧНИК!$P$11+'ПЛАН ЧИСТ К3'!Q32*СПРАВОЧНИК!$L$12+'ПЛАН ЧИСТ К3'!R32*СПРАВОЧНИК!$M$12+'ПЛАН ЧИСТ К3'!S32*СПРАВОЧНИК!$N$12+'ПЛАН ЧИСТ К3'!T32*СПРАВОЧНИК!$O$12+'ПЛАН ЧИСТ К3'!U32*СПРАВОЧНИК!$P$12+'ПЛАН ЧИСТ К3'!V32*СПРАВОЧНИК!$L$13+'ПЛАН ЧИСТ К3'!W32*СПРАВОЧНИК!$M$13+'ПЛАН ЧИСТ К3'!X32*СПРАВОЧНИК!$N$13+'ПЛАН ЧИСТ К3'!Y32*СПРАВОЧНИК!$O$13+'ПЛАН ЧИСТ К3'!Z32*СПРАВОЧНИК!$P$13+'ПЛАН ЧИСТ К3'!AA32*СПРАВОЧНИК!$L$14+'ПЛАН ЧИСТ К3'!AB32*СПРАВОЧНИК!$M$14+'ПЛАН ЧИСТ К3'!AC32*СПРАВОЧНИК!$N$14+'ПЛАН ЧИСТ К3'!AD32*СПРАВОЧНИК!$O$14+'ПЛАН ЧИСТ К3'!AE32*СПРАВОЧНИК!$P$14+'ПЛАН ЧИСТ К3'!AF32*СПРАВОЧНИК!$L$15+'ПЛАН ЧИСТ К3'!AG32*СПРАВОЧНИК!$M$15+'ПЛАН ЧИСТ К3'!AH32*СПРАВОЧНИК!$N$15+'ПЛАН ЧИСТ К3'!AI32*СПРАВОЧНИК!$O$15+'ПЛАН ЧИСТ К3'!AJ32*СПРАВОЧНИК!$P$15</f>
        <v/>
      </c>
      <c r="BR41" s="31">
        <f>('ФАКТ ЧИСТ К3'!B32)*СПРАВОЧНИК!$L$9+('ФАКТ ЧИСТ К3'!C32)*СПРАВОЧНИК!$M$9+('ФАКТ ЧИСТ К3'!D32)*СПРАВОЧНИК!$N$9+('ФАКТ ЧИСТ К3'!E32)*СПРАВОЧНИК!$O$9+('ФАКТ ЧИСТ К3'!F32)*СПРАВОЧНИК!$P$9+('ФАКТ ЧИСТ К3'!G32)*СПРАВОЧНИК!$L$10+('ФАКТ ЧИСТ К3'!H32)*СПРАВОЧНИК!$M$10+('ФАКТ ЧИСТ К3'!I32)*СПРАВОЧНИК!$N$10+('ФАКТ ЧИСТ К3'!J32)*СПРАВОЧНИК!$O$10+('ФАКТ ЧИСТ К3'!K32)*СПРАВОЧНИК!$P$10+('ФАКТ ЧИСТ К3'!L32)*СПРАВОЧНИК!$L$11+('ФАКТ ЧИСТ К3'!M32)*СПРАВОЧНИК!$M$11+('ФАКТ ЧИСТ К3'!N32)*СПРАВОЧНИК!$N$11+('ФАКТ ЧИСТ К3'!O32)*СПРАВОЧНИК!$O$11+('ФАКТ ЧИСТ К3'!P32)*СПРАВОЧНИК!$P$11+('ФАКТ ЧИСТ К3'!Q32)*СПРАВОЧНИК!$L$12+('ФАКТ ЧИСТ К3'!R32)*СПРАВОЧНИК!$M$12+('ФАКТ ЧИСТ К3'!S32)*СПРАВОЧНИК!$N$12+('ФАКТ ЧИСТ К3'!T32)*СПРАВОЧНИК!$O$12+('ФАКТ ЧИСТ К3'!U32)*СПРАВОЧНИК!$P$12+('ФАКТ ЧИСТ К3'!V32)*СПРАВОЧНИК!$L$13+('ФАКТ ЧИСТ К3'!W32)*СПРАВОЧНИК!$M$13+('ФАКТ ЧИСТ К3'!X32)*СПРАВОЧНИК!$N$13+('ФАКТ ЧИСТ К3'!Y32)*СПРАВОЧНИК!$O$13+('ФАКТ ЧИСТ К3'!Z32)*СПРАВОЧНИК!$P$13+('ФАКТ ЧИСТ К3'!AA32)*СПРАВОЧНИК!$L$14+('ФАКТ ЧИСТ К3'!AB32)*СПРАВОЧНИК!$M$14+('ФАКТ ЧИСТ К3'!AC32)*СПРАВОЧНИК!$N$14+('ФАКТ ЧИСТ К3'!AD32)*СПРАВОЧНИК!$O$14+('ФАКТ ЧИСТ К3'!AE32)*СПРАВОЧНИК!$P$14+('ФАКТ ЧИСТ К3'!AF32)*СПРАВОЧНИК!$L$15+('ФАКТ ЧИСТ К3'!AG32)*СПРАВОЧНИК!$M$15+('ФАКТ ЧИСТ К3'!AH32)*СПРАВОЧНИК!$N$15+('ФАКТ ЧИСТ К3'!AI32)*СПРАВОЧНИК!$O$15+('ФАКТ ЧИСТ К3'!AJ32)*СПРАВОЧНИК!$P$15</f>
        <v/>
      </c>
      <c r="BS41" s="34" t="n"/>
      <c r="BV41" s="152">
        <f>BV40+7</f>
        <v/>
      </c>
      <c r="BW41" s="17">
        <f>U41*СПРАВОЧНИК!$K$28+AM41*СПРАВОЧНИК!$K$29+BE41*СПРАВОЧНИК!$K$30</f>
        <v/>
      </c>
      <c r="BX41" s="31">
        <f>V41*СПРАВОЧНИК!$K$28+AN41*СПРАВОЧНИК!$K$29+BF41*СПРАВОЧНИК!$K$30</f>
        <v/>
      </c>
      <c r="BY41" s="34" t="n"/>
      <c r="CB41" s="152">
        <f>CB40+7</f>
        <v/>
      </c>
      <c r="CC41" s="17">
        <f>AA41*СПРАВОЧНИК!$K$28+AS41*СПРАВОЧНИК!$K$29+BK41*СПРАВОЧНИК!$K$30</f>
        <v/>
      </c>
      <c r="CD41" s="31">
        <f>AB41*СПРАВОЧНИК!$K$28+AT41*СПРАВОЧНИК!$K$29+BL41*СПРАВОЧНИК!$K$30</f>
        <v/>
      </c>
      <c r="CE41" s="34" t="n"/>
      <c r="CH41" s="152">
        <f>CH40+7</f>
        <v/>
      </c>
      <c r="CI41" s="17">
        <f>AG41*СПРАВОЧНИК!$K$28+AY41*СПРАВОЧНИК!$K$29+BQ41*СПРАВОЧНИК!$K$30</f>
        <v/>
      </c>
      <c r="CJ41" s="31">
        <f>AH41*СПРАВОЧНИК!$K$28+AZ41*СПРАВОЧНИК!$K$29+BR41*СПРАВОЧНИК!$K$30</f>
        <v/>
      </c>
      <c r="CK41" s="34" t="n"/>
      <c r="CN41" s="152">
        <f>CN40+7</f>
        <v/>
      </c>
      <c r="CO41" s="17">
        <f>C41*СПРАВОЧНИК!$W$18+BW41*СПРАВОЧНИК!$W$19</f>
        <v/>
      </c>
      <c r="CP41" s="31">
        <f>D41*СПРАВОЧНИК!$W$18+BX41*СПРАВОЧНИК!$W$19</f>
        <v/>
      </c>
      <c r="CQ41" s="34" t="n"/>
      <c r="CT41" s="152">
        <f>CT40+7</f>
        <v/>
      </c>
      <c r="CU41" s="17">
        <f>I41*СПРАВОЧНИК!$W$18+CC41*СПРАВОЧНИК!$W$19</f>
        <v/>
      </c>
      <c r="CV41" s="31">
        <f>J41*СПРАВОЧНИК!$W$18+CD41*СПРАВОЧНИК!$W$19</f>
        <v/>
      </c>
      <c r="CW41" s="34" t="n"/>
      <c r="CZ41" s="152">
        <f>CZ40+7</f>
        <v/>
      </c>
      <c r="DA41" s="17">
        <f>O41*СПРАВОЧНИК!$W$18+CI41*СПРАВОЧНИК!$W$19</f>
        <v/>
      </c>
      <c r="DB41" s="31">
        <f>P41*СПРАВОЧНИК!$W$18+CJ41*СПРАВОЧНИК!$W$19</f>
        <v/>
      </c>
      <c r="DC41" s="34" t="n"/>
    </row>
    <row r="42">
      <c r="B42" s="152">
        <f>B41+7</f>
        <v/>
      </c>
      <c r="C42" s="17">
        <f>СПРАВОЧНИК!$E$3*('ПЛАН ЧЕРН ПОДЗЕМ'!B33*СПРАВОЧНИК!$H$3+'ПЛАН ЧЕРН ПОДЗЕМ'!C33*СПРАВОЧНИК!$I$3+'ПЛАН ЧЕРН ПОДЗЕМ'!D33*СПРАВОЧНИК!$J$3)+СПРАВОЧНИК!$F$3*('ПЛАН ЧИСТ ПОДЗЕМ'!B33*СПРАВОЧНИК!$L$3+'ПЛАН ЧИСТ ПОДЗЕМ'!C33*СПРАВОЧНИК!$M$3+'ПЛАН ЧИСТ ПОДЗЕМ'!D33*СПРАВОЧНИК!$N$3+'ПЛАН ЧИСТ ПОДЗЕМ'!E33*СПРАВОЧНИК!$O$3+'ПЛАН ЧИСТ ПОДЗЕМ'!F33*СПРАВОЧНИК!$P$3)+СПРАВОЧНИК!$E$4*('ПЛАН ЧЕРН ПОДЗЕМ'!E33*СПРАВОЧНИК!$H$4+'ПЛАН ЧЕРН ПОДЗЕМ'!F33*СПРАВОЧНИК!$I$4+'ПЛАН ЧЕРН ПОДЗЕМ'!G33*СПРАВОЧНИК!$J$4)+СПРАВОЧНИК!$F$4*('ПЛАН ЧИСТ ПОДЗЕМ'!G33*СПРАВОЧНИК!$L$4+'ПЛАН ЧИСТ ПОДЗЕМ'!H33*СПРАВОЧНИК!$M$4+'ПЛАН ЧИСТ ПОДЗЕМ'!I33*СПРАВОЧНИК!$N$4+'ПЛАН ЧИСТ ПОДЗЕМ'!J33*СПРАВОЧНИК!$O$4+'ПЛАН ЧИСТ ПОДЗЕМ'!K33*СПРАВОЧНИК!$P$4)+СПРАВОЧНИК!$E$5*('ПЛАН ЧЕРН ПОДЗЕМ'!H33*СПРАВОЧНИК!$H$5+'ПЛАН ЧЕРН ПОДЗЕМ'!I33*СПРАВОЧНИК!$I$5+'ПЛАН ЧЕРН ПОДЗЕМ'!J33*СПРАВОЧНИК!$J$5)+СПРАВОЧНИК!$F$5*('ПЛАН ЧИСТ ПОДЗЕМ'!L33*СПРАВОЧНИК!$L$5+'ПЛАН ЧИСТ ПОДЗЕМ'!M33*СПРАВОЧНИК!$M$5+'ПЛАН ЧИСТ ПОДЗЕМ'!N33*СПРАВОЧНИК!$N$5+'ПЛАН ЧИСТ ПОДЗЕМ'!O33*СПРАВОЧНИК!$O$5+'ПЛАН ЧИСТ ПОДЗЕМ'!P33*СПРАВОЧНИК!$P$5)+СПРАВОЧНИК!$E$6*('ПЛАН ЧЕРН ПОДЗЕМ'!K33*СПРАВОЧНИК!$H$6+'ПЛАН ЧЕРН ПОДЗЕМ'!L33*СПРАВОЧНИК!$I$6+'ПЛАН ЧЕРН ПОДЗЕМ'!M33*СПРАВОЧНИК!$J$6)+СПРАВОЧНИК!$F$6*('ПЛАН ЧИСТ ПОДЗЕМ'!Q33*СПРАВОЧНИК!$L$6+'ПЛАН ЧИСТ ПОДЗЕМ'!R33*СПРАВОЧНИК!$M$6+'ПЛАН ЧИСТ ПОДЗЕМ'!S33*СПРАВОЧНИК!$N$6+'ПЛАН ЧИСТ ПОДЗЕМ'!T33*СПРАВОЧНИК!$O$6+'ПЛАН ЧИСТ ПОДЗЕМ'!U33*СПРАВОЧНИК!$P$6)+СПРАВОЧНИК!$E$7*('ПЛАН ЧЕРН ПОДЗЕМ'!N33*СПРАВОЧНИК!$H$7+'ПЛАН ЧЕРН ПОДЗЕМ'!O33*СПРАВОЧНИК!$I$7+'ПЛАН ЧЕРН ПОДЗЕМ'!P33*СПРАВОЧНИК!$J$7)+СПРАВОЧНИК!$F$7*('ПЛАН ЧИСТ ПОДЗЕМ'!V33*СПРАВОЧНИК!$L$7+'ПЛАН ЧИСТ ПОДЗЕМ'!W33*СПРАВОЧНИК!$M$7+'ПЛАН ЧИСТ ПОДЗЕМ'!X33*СПРАВОЧНИК!$N$7+'ПЛАН ЧИСТ ПОДЗЕМ'!Y33*СПРАВОЧНИК!$O$7+'ПЛАН ЧИСТ ПОДЗЕМ'!Z33*СПРАВОЧНИК!$P$7)+СПРАВОЧНИК!$E$8*('ПЛАН ЧЕРН ПОДЗЕМ'!Q33*СПРАВОЧНИК!$H$8+'ПЛАН ЧЕРН ПОДЗЕМ'!R33*СПРАВОЧНИК!$I$8+'ПЛАН ЧЕРН ПОДЗЕМ'!S33*СПРАВОЧНИК!$J$8)+СПРАВОЧНИК!$F$8*('ПЛАН ЧИСТ ПОДЗЕМ'!AA33*СПРАВОЧНИК!$L$8+'ПЛАН ЧИСТ ПОДЗЕМ'!AB33*СПРАВОЧНИК!$M$8+'ПЛАН ЧИСТ ПОДЗЕМ'!AC33*СПРАВОЧНИК!$N$8+'ПЛАН ЧИСТ ПОДЗЕМ'!AD33*СПРАВОЧНИК!$O$8+'ПЛАН ЧИСТ ПОДЗЕМ'!AE33*СПРАВОЧНИК!$P$8)</f>
        <v/>
      </c>
      <c r="D42" s="31">
        <f>СПРАВОЧНИК!$E$3*('ФАКТ ЧЕРН ПОДЗЕМ'!B33*СПРАВОЧНИК!$H$3+'ФАКТ ЧЕРН ПОДЗЕМ'!C33*СПРАВОЧНИК!$I$3+'ФАКТ ЧЕРН ПОДЗЕМ'!D33*СПРАВОЧНИК!$J$3)+СПРАВОЧНИК!$F$3*('ФАКТ ЧИСТ ПОДЗЕМ'!B33*СПРАВОЧНИК!$L$3+'ФАКТ ЧИСТ ПОДЗЕМ'!C33*СПРАВОЧНИК!$M$3+'ФАКТ ЧИСТ ПОДЗЕМ'!D33*СПРАВОЧНИК!$N$3+'ФАКТ ЧИСТ ПОДЗЕМ'!E33*СПРАВОЧНИК!$O$3+'ФАКТ ЧИСТ ПОДЗЕМ'!F33*СПРАВОЧНИК!$P$3)+СПРАВОЧНИК!$E$4*('ФАКТ ЧЕРН ПОДЗЕМ'!E33*СПРАВОЧНИК!$H$4+'ФАКТ ЧЕРН ПОДЗЕМ'!F33*СПРАВОЧНИК!$I$4+'ФАКТ ЧЕРН ПОДЗЕМ'!G33*СПРАВОЧНИК!$J$4)+СПРАВОЧНИК!$F$4*('ФАКТ ЧИСТ ПОДЗЕМ'!G33*СПРАВОЧНИК!$L$4+'ФАКТ ЧИСТ ПОДЗЕМ'!H33*СПРАВОЧНИК!$M$4+'ФАКТ ЧИСТ ПОДЗЕМ'!I33*СПРАВОЧНИК!$N$4+'ФАКТ ЧИСТ ПОДЗЕМ'!J33*СПРАВОЧНИК!$O$4+'ФАКТ ЧИСТ ПОДЗЕМ'!K33*СПРАВОЧНИК!$P$4)+СПРАВОЧНИК!$E$5*('ФАКТ ЧЕРН ПОДЗЕМ'!H33*СПРАВОЧНИК!$H$5+'ФАКТ ЧЕРН ПОДЗЕМ'!I33*СПРАВОЧНИК!$I$5+'ФАКТ ЧЕРН ПОДЗЕМ'!J33*СПРАВОЧНИК!$J$5)+СПРАВОЧНИК!$F$5*('ФАКТ ЧИСТ ПОДЗЕМ'!L33*СПРАВОЧНИК!$L$5+'ФАКТ ЧИСТ ПОДЗЕМ'!M33*СПРАВОЧНИК!$M$5+'ФАКТ ЧИСТ ПОДЗЕМ'!N33*СПРАВОЧНИК!$N$5+'ФАКТ ЧИСТ ПОДЗЕМ'!O33*СПРАВОЧНИК!$O$5+'ФАКТ ЧИСТ ПОДЗЕМ'!P33*СПРАВОЧНИК!$P$5)+СПРАВОЧНИК!$E$6*('ФАКТ ЧЕРН ПОДЗЕМ'!K33*СПРАВОЧНИК!$H$6+'ФАКТ ЧЕРН ПОДЗЕМ'!L33*СПРАВОЧНИК!$I$6+'ФАКТ ЧЕРН ПОДЗЕМ'!M33*СПРАВОЧНИК!$J$6)+СПРАВОЧНИК!$F$6*('ФАКТ ЧИСТ ПОДЗЕМ'!Q33*СПРАВОЧНИК!$L$6+'ФАКТ ЧИСТ ПОДЗЕМ'!R33*СПРАВОЧНИК!$M$6+'ФАКТ ЧИСТ ПОДЗЕМ'!S33*СПРАВОЧНИК!$N$6+'ФАКТ ЧИСТ ПОДЗЕМ'!T33*СПРАВОЧНИК!$O$6+'ФАКТ ЧИСТ ПОДЗЕМ'!U33*СПРАВОЧНИК!$P$6)+СПРАВОЧНИК!$E$7*('ФАКТ ЧЕРН ПОДЗЕМ'!N33*СПРАВОЧНИК!$H$7+'ФАКТ ЧЕРН ПОДЗЕМ'!O33*СПРАВОЧНИК!$I$7+'ФАКТ ЧЕРН ПОДЗЕМ'!P33*СПРАВОЧНИК!$J$7)+СПРАВОЧНИК!$F$7*('ФАКТ ЧИСТ ПОДЗЕМ'!V33*СПРАВОЧНИК!$L$7+'ФАКТ ЧИСТ ПОДЗЕМ'!W33*СПРАВОЧНИК!$M$7+'ФАКТ ЧИСТ ПОДЗЕМ'!X33*СПРАВОЧНИК!$N$7+'ФАКТ ЧИСТ ПОДЗЕМ'!Y33*СПРАВОЧНИК!$O$7+'ФАКТ ЧИСТ ПОДЗЕМ'!Z33*СПРАВОЧНИК!$P$7)+СПРАВОЧНИК!$E$8*('ФАКТ ЧЕРН ПОДЗЕМ'!Q33*СПРАВОЧНИК!$H$8+'ФАКТ ЧЕРН ПОДЗЕМ'!R33*СПРАВОЧНИК!$I$8+'ФАКТ ЧЕРН ПОДЗЕМ'!S33*СПРАВОЧНИК!$J$8)+СПРАВОЧНИК!$F$8*('ФАКТ ЧИСТ ПОДЗЕМ'!AA33*СПРАВОЧНИК!$L$8+'ФАКТ ЧИСТ ПОДЗЕМ'!AB33*СПРАВОЧНИК!$M$8+'ФАКТ ЧИСТ ПОДЗЕМ'!AC33*СПРАВОЧНИК!$N$8+'ФАКТ ЧИСТ ПОДЗЕМ'!AD33*СПРАВОЧНИК!$O$8+'ФАКТ ЧИСТ ПОДЗЕМ'!AE33*СПРАВОЧНИК!$P$8)</f>
        <v/>
      </c>
      <c r="E42" s="34" t="n"/>
      <c r="H42" s="152">
        <f>H41+7</f>
        <v/>
      </c>
      <c r="I42" s="17">
        <f>'ПЛАН ЧЕРН ПОДЗЕМ'!B33*СПРАВОЧНИК!$H$3+'ПЛАН ЧЕРН ПОДЗЕМ'!C33*СПРАВОЧНИК!$I$3+'ПЛАН ЧЕРН ПОДЗЕМ'!D33*СПРАВОЧНИК!$J$3+'ПЛАН ЧЕРН ПОДЗЕМ'!E33*СПРАВОЧНИК!$H$4+'ПЛАН ЧЕРН ПОДЗЕМ'!F33*СПРАВОЧНИК!$I$4+'ПЛАН ЧЕРН ПОДЗЕМ'!G33*СПРАВОЧНИК!$J$4+'ПЛАН ЧЕРН ПОДЗЕМ'!H33*СПРАВОЧНИК!$H$5+'ПЛАН ЧЕРН ПОДЗЕМ'!I33*СПРАВОЧНИК!$I$5+'ПЛАН ЧЕРН ПОДЗЕМ'!J33*СПРАВОЧНИК!$J$5+'ПЛАН ЧЕРН ПОДЗЕМ'!K33*СПРАВОЧНИК!$H$6+'ПЛАН ЧЕРН ПОДЗЕМ'!L33*СПРАВОЧНИК!$I$6+'ПЛАН ЧЕРН ПОДЗЕМ'!M33*СПРАВОЧНИК!$J$6+'ПЛАН ЧЕРН ПОДЗЕМ'!N33*СПРАВОЧНИК!$H$7+'ПЛАН ЧЕРН ПОДЗЕМ'!O33*СПРАВОЧНИК!$I$7+'ПЛАН ЧЕРН ПОДЗЕМ'!P33*СПРАВОЧНИК!$J$7+'ПЛАН ЧЕРН ПОДЗЕМ'!Q33*СПРАВОЧНИК!$H$8+'ПЛАН ЧЕРН ПОДЗЕМ'!R33*СПРАВОЧНИК!$I$8+'ПЛАН ЧЕРН ПОДЗЕМ'!S33*СПРАВОЧНИК!$J$8</f>
        <v/>
      </c>
      <c r="J42" s="31">
        <f>('ФАКТ ЧЕРН ПОДЗЕМ'!B33)*СПРАВОЧНИК!$H$3+('ФАКТ ЧЕРН ПОДЗЕМ'!C33)*СПРАВОЧНИК!$I$3+('ФАКТ ЧЕРН ПОДЗЕМ'!D33)*СПРАВОЧНИК!$J$3+('ФАКТ ЧЕРН ПОДЗЕМ'!E33)*СПРАВОЧНИК!$H$4+('ФАКТ ЧЕРН ПОДЗЕМ'!F33)*СПРАВОЧНИК!$I$4+('ФАКТ ЧЕРН ПОДЗЕМ'!G33)*СПРАВОЧНИК!$J$4+('ФАКТ ЧЕРН ПОДЗЕМ'!H33)*СПРАВОЧНИК!$H$5+('ФАКТ ЧЕРН ПОДЗЕМ'!I33)*СПРАВОЧНИК!$I$5+('ФАКТ ЧЕРН ПОДЗЕМ'!J33)*СПРАВОЧНИК!$J$5+('ФАКТ ЧЕРН ПОДЗЕМ'!K33)*СПРАВОЧНИК!$H$6+('ФАКТ ЧЕРН ПОДЗЕМ'!L33)*СПРАВОЧНИК!$I$6+('ФАКТ ЧЕРН ПОДЗЕМ'!M33)*СПРАВОЧНИК!$J$6+('ФАКТ ЧЕРН ПОДЗЕМ'!N33)*СПРАВОЧНИК!$H$7+('ФАКТ ЧЕРН ПОДЗЕМ'!O33)*СПРАВОЧНИК!$I$7+('ФАКТ ЧЕРН ПОДЗЕМ'!P33)*СПРАВОЧНИК!$J$7+('ФАКТ ЧЕРН ПОДЗЕМ'!Q33)*СПРАВОЧНИК!$H$8+('ФАКТ ЧЕРН ПОДЗЕМ'!R33)*СПРАВОЧНИК!$I$8+('ФАКТ ЧЕРН ПОДЗЕМ'!S33)*СПРАВОЧНИК!$J$8</f>
        <v/>
      </c>
      <c r="K42" s="34" t="n"/>
      <c r="N42" s="152">
        <f>N41+7</f>
        <v/>
      </c>
      <c r="O42" s="17">
        <f>'ПЛАН ЧИСТ ПОДЗЕМ'!B33*СПРАВОЧНИК!$L$3+'ПЛАН ЧИСТ ПОДЗЕМ'!C33*СПРАВОЧНИК!$M$3+'ПЛАН ЧИСТ ПОДЗЕМ'!D33*СПРАВОЧНИК!$N$3+'ПЛАН ЧИСТ ПОДЗЕМ'!E33*СПРАВОЧНИК!$O$3+'ПЛАН ЧИСТ ПОДЗЕМ'!F33*СПРАВОЧНИК!$P$3+'ПЛАН ЧИСТ ПОДЗЕМ'!G33*СПРАВОЧНИК!$L$4+'ПЛАН ЧИСТ ПОДЗЕМ'!H33*СПРАВОЧНИК!$M$4+'ПЛАН ЧИСТ ПОДЗЕМ'!I33*СПРАВОЧНИК!$N$4+'ПЛАН ЧИСТ ПОДЗЕМ'!J33*СПРАВОЧНИК!$O$4+'ПЛАН ЧИСТ ПОДЗЕМ'!K33*СПРАВОЧНИК!$P$4+'ПЛАН ЧИСТ ПОДЗЕМ'!L33*СПРАВОЧНИК!$L$5+'ПЛАН ЧИСТ ПОДЗЕМ'!M33*СПРАВОЧНИК!$M$5+'ПЛАН ЧИСТ ПОДЗЕМ'!N33*СПРАВОЧНИК!$N$5+'ПЛАН ЧИСТ ПОДЗЕМ'!O33*СПРАВОЧНИК!$O$5+'ПЛАН ЧИСТ ПОДЗЕМ'!P33*СПРАВОЧНИК!$P$5+'ПЛАН ЧИСТ ПОДЗЕМ'!Q33*СПРАВОЧНИК!$L$6+'ПЛАН ЧИСТ ПОДЗЕМ'!R33*СПРАВОЧНИК!$M$6+'ПЛАН ЧИСТ ПОДЗЕМ'!S33*СПРАВОЧНИК!$N$6+'ПЛАН ЧИСТ ПОДЗЕМ'!T33*СПРАВОЧНИК!$O$6+'ПЛАН ЧИСТ ПОДЗЕМ'!U33*СПРАВОЧНИК!$P$6+'ПЛАН ЧИСТ ПОДЗЕМ'!V33*СПРАВОЧНИК!$L$7+'ПЛАН ЧИСТ ПОДЗЕМ'!W33*СПРАВОЧНИК!$M$7+'ПЛАН ЧИСТ ПОДЗЕМ'!X33*СПРАВОЧНИК!$N$7+'ПЛАН ЧИСТ ПОДЗЕМ'!Y33*СПРАВОЧНИК!$O$7+'ПЛАН ЧИСТ ПОДЗЕМ'!Z33*СПРАВОЧНИК!$P$7+'ПЛАН ЧИСТ ПОДЗЕМ'!AA33*СПРАВОЧНИК!$L$8+'ПЛАН ЧИСТ ПОДЗЕМ'!AB33*СПРАВОЧНИК!$M$8+'ПЛАН ЧИСТ ПОДЗЕМ'!AC33*СПРАВОЧНИК!$N$8+'ПЛАН ЧИСТ ПОДЗЕМ'!AD33*СПРАВОЧНИК!$O$8+'ПЛАН ЧИСТ ПОДЗЕМ'!AE33*СПРАВОЧНИК!$P$8</f>
        <v/>
      </c>
      <c r="P42" s="31">
        <f>('ФАКТ ЧИСТ ПОДЗЕМ'!B33)*СПРАВОЧНИК!$L$3+('ФАКТ ЧИСТ ПОДЗЕМ'!C33)*СПРАВОЧНИК!$M$3+('ФАКТ ЧИСТ ПОДЗЕМ'!D33)*СПРАВОЧНИК!$N$3+('ФАКТ ЧИСТ ПОДЗЕМ'!E33)*СПРАВОЧНИК!$O$3+('ФАКТ ЧИСТ ПОДЗЕМ'!F33)*СПРАВОЧНИК!$P$3+('ФАКТ ЧИСТ ПОДЗЕМ'!G33)*СПРАВОЧНИК!$L$4+('ФАКТ ЧИСТ ПОДЗЕМ'!H33)*СПРАВОЧНИК!$M$4+('ФАКТ ЧИСТ ПОДЗЕМ'!I33)*СПРАВОЧНИК!$N$4+('ФАКТ ЧИСТ ПОДЗЕМ'!J33)*СПРАВОЧНИК!$O$4+('ФАКТ ЧИСТ ПОДЗЕМ'!K33)*СПРАВОЧНИК!$P$4+('ФАКТ ЧИСТ ПОДЗЕМ'!L33)*СПРАВОЧНИК!$L$5+('ФАКТ ЧИСТ ПОДЗЕМ'!M33)*СПРАВОЧНИК!$M$5+('ФАКТ ЧИСТ ПОДЗЕМ'!N33)*СПРАВОЧНИК!$N$5+('ФАКТ ЧИСТ ПОДЗЕМ'!O33)*СПРАВОЧНИК!$O$5+('ФАКТ ЧИСТ ПОДЗЕМ'!P33)*СПРАВОЧНИК!$P$5+('ФАКТ ЧИСТ ПОДЗЕМ'!Q33)*СПРАВОЧНИК!$L$6+('ФАКТ ЧИСТ ПОДЗЕМ'!R33)*СПРАВОЧНИК!$M$6+('ФАКТ ЧИСТ ПОДЗЕМ'!S33)*СПРАВОЧНИК!$N$6+('ФАКТ ЧИСТ ПОДЗЕМ'!T33)*СПРАВОЧНИК!$O$6+('ФАКТ ЧИСТ ПОДЗЕМ'!U33)*СПРАВОЧНИК!$P$6+('ФАКТ ЧИСТ ПОДЗЕМ'!V33)*СПРАВОЧНИК!$L$7+('ФАКТ ЧИСТ ПОДЗЕМ'!W33)*СПРАВОЧНИК!$M$7+('ФАКТ ЧИСТ ПОДЗЕМ'!X33)*СПРАВОЧНИК!$N$7+('ФАКТ ЧИСТ ПОДЗЕМ'!Y33)*СПРАВОЧНИК!$O$7+('ФАКТ ЧИСТ ПОДЗЕМ'!Z33)*СПРАВОЧНИК!$P$7+('ФАКТ ЧИСТ ПОДЗЕМ'!AA33)*СПРАВОЧНИК!$L$8+('ФАКТ ЧИСТ ПОДЗЕМ'!AB33)*СПРАВОЧНИК!$M$8+('ФАКТ ЧИСТ ПОДЗЕМ'!AC33)*СПРАВОЧНИК!$N$8+('ФАКТ ЧИСТ ПОДЗЕМ'!AD33)*СПРАВОЧНИК!$O$8+('ФАКТ ЧИСТ ПОДЗЕМ'!AE33)*СПРАВОЧНИК!$P$8</f>
        <v/>
      </c>
      <c r="Q42" s="34" t="n"/>
      <c r="T42" s="152">
        <f>T41+7</f>
        <v/>
      </c>
      <c r="U42" s="17">
        <f>СПРАВОЧНИК!$E$9*('ПЛАН ЧЕРН К1'!B33*СПРАВОЧНИК!$H$9+'ПЛАН ЧЕРН К1'!C33*СПРАВОЧНИК!$I$9+'ПЛАН ЧЕРН К1'!D33*СПРАВОЧНИК!$J$9)+СПРАВОЧНИК!$F$9*('ПЛАН ЧИСТ К1'!B33*СПРАВОЧНИК!$L$9+'ПЛАН ЧИСТ К1'!C33*СПРАВОЧНИК!$M$9+'ПЛАН ЧИСТ К1'!D33*СПРАВОЧНИК!$N$9+'ПЛАН ЧИСТ К1'!E33*СПРАВОЧНИК!$O$9+'ПЛАН ЧИСТ К1'!F33*СПРАВОЧНИК!$P$9)+СПРАВОЧНИК!$E$10*('ПЛАН ЧЕРН К1'!E33*СПРАВОЧНИК!$H$10+'ПЛАН ЧЕРН К1'!F33*СПРАВОЧНИК!$I$10+'ПЛАН ЧЕРН К1'!G33*СПРАВОЧНИК!$J$10)+СПРАВОЧНИК!$F$10*('ПЛАН ЧИСТ К1'!G33*СПРАВОЧНИК!$L$10+'ПЛАН ЧИСТ К1'!H33*СПРАВОЧНИК!$M$10+'ПЛАН ЧИСТ К1'!I33*СПРАВОЧНИК!$N$10+'ПЛАН ЧИСТ К1'!J33*СПРАВОЧНИК!$O$10+'ПЛАН ЧИСТ К1'!K33*СПРАВОЧНИК!$P$10)+СПРАВОЧНИК!$E$11*('ПЛАН ЧЕРН К1'!H33*СПРАВОЧНИК!$H$11+'ПЛАН ЧЕРН К1'!I33*СПРАВОЧНИК!$I$11+'ПЛАН ЧЕРН К1'!J33*СПРАВОЧНИК!$J$11)+СПРАВОЧНИК!$F$11*('ПЛАН ЧИСТ К1'!L33*СПРАВОЧНИК!$L$11+'ПЛАН ЧИСТ К1'!M33*СПРАВОЧНИК!$M$11+'ПЛАН ЧИСТ К1'!N33*СПРАВОЧНИК!$N$11+'ПЛАН ЧИСТ К1'!O33*СПРАВОЧНИК!$O$11+'ПЛАН ЧИСТ К1'!P33*СПРАВОЧНИК!$P$11)+СПРАВОЧНИК!$E$12*('ПЛАН ЧЕРН К1'!K33*СПРАВОЧНИК!$H$12+'ПЛАН ЧЕРН К1'!L33*СПРАВОЧНИК!$I$12+'ПЛАН ЧЕРН К1'!M33*СПРАВОЧНИК!$J$12)+СПРАВОЧНИК!$F$12*('ПЛАН ЧИСТ К1'!Q33*СПРАВОЧНИК!$L$12+'ПЛАН ЧИСТ К1'!R33*СПРАВОЧНИК!$M$12+'ПЛАН ЧИСТ К1'!S33*СПРАВОЧНИК!$N$12+'ПЛАН ЧИСТ К1'!T33*СПРАВОЧНИК!$O$12+'ПЛАН ЧИСТ К1'!U33*СПРАВОЧНИК!$P$12)+СПРАВОЧНИК!$E$13*('ПЛАН ЧЕРН К1'!N33*СПРАВОЧНИК!$H$13+'ПЛАН ЧЕРН К1'!O33*СПРАВОЧНИК!$I$13+'ПЛАН ЧЕРН К1'!P33*СПРАВОЧНИК!$J$13)+СПРАВОЧНИК!$F$13*('ПЛАН ЧИСТ К1'!V33*СПРАВОЧНИК!$L$13+'ПЛАН ЧИСТ К1'!W33*СПРАВОЧНИК!$M$13+'ПЛАН ЧИСТ К1'!X33*СПРАВОЧНИК!$N$13+'ПЛАН ЧИСТ К1'!Y33*СПРАВОЧНИК!$O$13+'ПЛАН ЧИСТ К1'!Z33*СПРАВОЧНИК!$P$13)+СПРАВОЧНИК!$E$14*('ПЛАН ЧЕРН К1'!Q33*СПРАВОЧНИК!$H$14+'ПЛАН ЧЕРН К1'!R33*СПРАВОЧНИК!$I$14+'ПЛАН ЧЕРН К1'!S33*СПРАВОЧНИК!$J$14)+СПРАВОЧНИК!$F$14*('ПЛАН ЧИСТ К1'!AA33*СПРАВОЧНИК!$L$14+'ПЛАН ЧИСТ К1'!AB33*СПРАВОЧНИК!$M$14+'ПЛАН ЧИСТ К1'!AC33*СПРАВОЧНИК!$N$14+'ПЛАН ЧИСТ К1'!AD33*СПРАВОЧНИК!$O$14+'ПЛАН ЧИСТ К1'!AE33*СПРАВОЧНИК!$P$14)+СПРАВОЧНИК!$E$15*('ПЛАН ЧЕРН К1'!T33*СПРАВОЧНИК!$H$15+'ПЛАН ЧЕРН К1'!U33*СПРАВОЧНИК!$I$15+'ПЛАН ЧЕРН К1'!V33*СПРАВОЧНИК!$J$15)+СПРАВОЧНИК!$F$15*('ПЛАН ЧИСТ К1'!AF33*СПРАВОЧНИК!$L$15+'ПЛАН ЧИСТ К1'!AG33*СПРАВОЧНИК!$M$15+'ПЛАН ЧИСТ К1'!AH33*СПРАВОЧНИК!$N$15+'ПЛАН ЧИСТ К1'!AI33*СПРАВОЧНИК!$O$15+'ПЛАН ЧИСТ К1'!AJ33*СПРАВОЧНИК!$P$15)</f>
        <v/>
      </c>
      <c r="V42" s="31">
        <f>СПРАВОЧНИК!$E$9*('ФАКТ ЧЕРН К1'!B33*СПРАВОЧНИК!$H$9+'ФАКТ ЧЕРН К1'!C33*СПРАВОЧНИК!$I$9+'ФАКТ ЧЕРН К1'!D33*СПРАВОЧНИК!$J$9)+СПРАВОЧНИК!$F$9*('ФАКТ ЧИСТ К1'!B33*СПРАВОЧНИК!$L$9+'ФАКТ ЧИСТ К1'!C33*СПРАВОЧНИК!$M$9+'ФАКТ ЧИСТ К1'!D33*СПРАВОЧНИК!$N$9+'ФАКТ ЧИСТ К1'!E33*СПРАВОЧНИК!$O$9+'ФАКТ ЧИСТ К1'!F33*СПРАВОЧНИК!$P$9)+СПРАВОЧНИК!$E$10*('ФАКТ ЧЕРН К1'!E33*СПРАВОЧНИК!$H$10+'ФАКТ ЧЕРН К1'!F33*СПРАВОЧНИК!$I$10+'ФАКТ ЧЕРН К1'!G33*СПРАВОЧНИК!$J$10)+СПРАВОЧНИК!$F$10*('ФАКТ ЧИСТ К1'!G33*СПРАВОЧНИК!$L$10+'ФАКТ ЧИСТ К1'!H33*СПРАВОЧНИК!$M$10+'ФАКТ ЧИСТ К1'!I33*СПРАВОЧНИК!$N$10+'ФАКТ ЧИСТ К1'!J33*СПРАВОЧНИК!$O$10+'ФАКТ ЧИСТ К1'!K33*СПРАВОЧНИК!$P$10)+СПРАВОЧНИК!$E$11*('ФАКТ ЧЕРН К1'!H33*СПРАВОЧНИК!$H$11+'ФАКТ ЧЕРН К1'!I33*СПРАВОЧНИК!$I$11+'ФАКТ ЧЕРН К1'!J33*СПРАВОЧНИК!$J$11)+СПРАВОЧНИК!$F$11*('ФАКТ ЧИСТ К1'!L33*СПРАВОЧНИК!$L$11+'ФАКТ ЧИСТ К1'!M33*СПРАВОЧНИК!$M$11+'ФАКТ ЧИСТ К1'!N33*СПРАВОЧНИК!$N$11+'ФАКТ ЧИСТ К1'!O33*СПРАВОЧНИК!$O$11+'ФАКТ ЧИСТ К1'!P33*СПРАВОЧНИК!$P$11)+СПРАВОЧНИК!$E$12*('ФАКТ ЧЕРН К1'!K33*СПРАВОЧНИК!$H$12+'ФАКТ ЧЕРН К1'!L33*СПРАВОЧНИК!$I$12+'ФАКТ ЧЕРН К1'!M33*СПРАВОЧНИК!$J$12)+СПРАВОЧНИК!$F$12*('ФАКТ ЧИСТ К1'!Q33*СПРАВОЧНИК!$L$12+'ФАКТ ЧИСТ К1'!R33*СПРАВОЧНИК!$M$12+'ФАКТ ЧИСТ К1'!S33*СПРАВОЧНИК!$N$12+'ФАКТ ЧИСТ К1'!T33*СПРАВОЧНИК!$O$12+'ФАКТ ЧИСТ К1'!U33*СПРАВОЧНИК!$P$12)+СПРАВОЧНИК!$E$13*('ФАКТ ЧЕРН К1'!N33*СПРАВОЧНИК!$H$13+'ФАКТ ЧЕРН К1'!O33*СПРАВОЧНИК!$I$13+'ФАКТ ЧЕРН К1'!P33*СПРАВОЧНИК!$J$13)+СПРАВОЧНИК!$F$13*('ФАКТ ЧИСТ К1'!V33*СПРАВОЧНИК!$L$13+'ФАКТ ЧИСТ К1'!W33*СПРАВОЧНИК!$M$13+'ФАКТ ЧИСТ К1'!X33*СПРАВОЧНИК!$N$13+'ФАКТ ЧИСТ К1'!Y33*СПРАВОЧНИК!$O$13+'ФАКТ ЧИСТ К1'!Z33*СПРАВОЧНИК!$P$13)+СПРАВОЧНИК!$E$14*('ФАКТ ЧЕРН К1'!Q33*СПРАВОЧНИК!$H$14+'ФАКТ ЧЕРН К1'!R33*СПРАВОЧНИК!$I$14+'ФАКТ ЧЕРН К1'!S33*СПРАВОЧНИК!$J$14)+СПРАВОЧНИК!$F$14*('ФАКТ ЧИСТ К1'!AA33*СПРАВОЧНИК!$L$14+'ФАКТ ЧИСТ К1'!AB33*СПРАВОЧНИК!$M$14+'ФАКТ ЧИСТ К1'!AC33*СПРАВОЧНИК!$N$14+'ФАКТ ЧИСТ К1'!AD33*СПРАВОЧНИК!$O$14+'ФАКТ ЧИСТ К1'!AE33*СПРАВОЧНИК!$P$14)+СПРАВОЧНИК!$E$15*('ФАКТ ЧЕРН К1'!T33*СПРАВОЧНИК!$H$15+'ФАКТ ЧЕРН К1'!U33*СПРАВОЧНИК!$I$15+'ФАКТ ЧЕРН К1'!V33*СПРАВОЧНИК!$J$15)+СПРАВОЧНИК!$F$15*('ФАКТ ЧИСТ К1'!AF33*СПРАВОЧНИК!$L$15+'ФАКТ ЧИСТ К1'!AG33*СПРАВОЧНИК!$M$15+'ФАКТ ЧИСТ К1'!AH33*СПРАВОЧНИК!$N$15+'ФАКТ ЧИСТ К1'!AI33*СПРАВОЧНИК!$O$15+'ФАКТ ЧИСТ К1'!AJ33*СПРАВОЧНИК!$P$15)</f>
        <v/>
      </c>
      <c r="W42" s="34" t="n"/>
      <c r="Z42" s="152">
        <f>Z41+7</f>
        <v/>
      </c>
      <c r="AA42" s="17">
        <f>'ПЛАН ЧЕРН К1'!B33*СПРАВОЧНИК!$H$9+'ПЛАН ЧЕРН К1'!C33*СПРАВОЧНИК!$I$9+'ПЛАН ЧЕРН К1'!D33*СПРАВОЧНИК!$J$9+'ПЛАН ЧЕРН К1'!E33*СПРАВОЧНИК!$H$10+'ПЛАН ЧЕРН К1'!F33*СПРАВОЧНИК!$I$10+'ПЛАН ЧЕРН К1'!G33*СПРАВОЧНИК!$J$10+'ПЛАН ЧЕРН К1'!H33*СПРАВОЧНИК!$H$11+'ПЛАН ЧЕРН К1'!I33*СПРАВОЧНИК!$I$11+'ПЛАН ЧЕРН К1'!J33*СПРАВОЧНИК!$J$11+'ПЛАН ЧЕРН К1'!K33*СПРАВОЧНИК!$H$12+'ПЛАН ЧЕРН К1'!L33*СПРАВОЧНИК!$I$12+'ПЛАН ЧЕРН К1'!M33*СПРАВОЧНИК!$J$12+'ПЛАН ЧЕРН К1'!N33*СПРАВОЧНИК!$H$13+'ПЛАН ЧЕРН К1'!O33*СПРАВОЧНИК!$I$13+'ПЛАН ЧЕРН К1'!P33*СПРАВОЧНИК!$J$13+'ПЛАН ЧЕРН К1'!Q33*СПРАВОЧНИК!$H$14+'ПЛАН ЧЕРН К1'!R33*СПРАВОЧНИК!$I$14+'ПЛАН ЧЕРН К1'!S33*СПРАВОЧНИК!$J$14+'ПЛАН ЧЕРН К1'!T33*СПРАВОЧНИК!$H$15+'ПЛАН ЧЕРН К1'!U33*СПРАВОЧНИК!$I$15+'ПЛАН ЧЕРН К1'!V33*СПРАВОЧНИК!$J$15</f>
        <v/>
      </c>
      <c r="AB42" s="31">
        <f>('ФАКТ ЧЕРН К1'!B33)*СПРАВОЧНИК!$H$9+('ФАКТ ЧЕРН К1'!C33)*СПРАВОЧНИК!$I$9+('ФАКТ ЧЕРН К1'!D33)*СПРАВОЧНИК!$J$9+('ФАКТ ЧЕРН К1'!E33)*СПРАВОЧНИК!$H$10+('ФАКТ ЧЕРН К1'!F33)*СПРАВОЧНИК!$I$10+('ФАКТ ЧЕРН К1'!G33)*СПРАВОЧНИК!$J$10+('ФАКТ ЧЕРН К1'!H33)*СПРАВОЧНИК!$H$11+('ФАКТ ЧЕРН К1'!I33)*СПРАВОЧНИК!$I$11+('ФАКТ ЧЕРН К1'!J33)*СПРАВОЧНИК!$J$11+('ФАКТ ЧЕРН К1'!K33)*СПРАВОЧНИК!$H$12+('ФАКТ ЧЕРН К1'!L33)*СПРАВОЧНИК!$I$12+('ФАКТ ЧЕРН К1'!M33)*СПРАВОЧНИК!$J$12+('ФАКТ ЧЕРН К1'!N33)*СПРАВОЧНИК!$H$13+('ФАКТ ЧЕРН К1'!O33)*СПРАВОЧНИК!$I$13+('ФАКТ ЧЕРН К1'!P33)*СПРАВОЧНИК!$J$13+('ФАКТ ЧЕРН К1'!Q33)*СПРАВОЧНИК!$H$14+('ФАКТ ЧЕРН К1'!R33)*СПРАВОЧНИК!$I$14+('ФАКТ ЧЕРН К1'!S33)*СПРАВОЧНИК!$J$14+('ФАКТ ЧЕРН К1'!T33)*СПРАВОЧНИК!$H$15+('ФАКТ ЧЕРН К1'!U33)*СПРАВОЧНИК!$I$15+('ФАКТ ЧЕРН К1'!V33)*СПРАВОЧНИК!$J$15</f>
        <v/>
      </c>
      <c r="AC42" s="34" t="n"/>
      <c r="AF42" s="152">
        <f>AF41+7</f>
        <v/>
      </c>
      <c r="AG42" s="17">
        <f>'ПЛАН ЧИСТ К1'!B33*СПРАВОЧНИК!$L$9+'ПЛАН ЧИСТ К1'!C33*СПРАВОЧНИК!$M$9+'ПЛАН ЧИСТ К1'!D33*СПРАВОЧНИК!$N$9+'ПЛАН ЧИСТ К1'!E33*СПРАВОЧНИК!$O$9+'ПЛАН ЧИСТ К1'!F33*СПРАВОЧНИК!$P$9+'ПЛАН ЧИСТ К1'!G33*СПРАВОЧНИК!$L$10+'ПЛАН ЧИСТ К1'!H33*СПРАВОЧНИК!$M$10+'ПЛАН ЧИСТ К1'!I33*СПРАВОЧНИК!$N$10+'ПЛАН ЧИСТ К1'!J33*СПРАВОЧНИК!$O$10+'ПЛАН ЧИСТ К1'!K33*СПРАВОЧНИК!$P$10+'ПЛАН ЧИСТ К1'!L33*СПРАВОЧНИК!$L$11+'ПЛАН ЧИСТ К1'!M33*СПРАВОЧНИК!$M$11+'ПЛАН ЧИСТ К1'!N33*СПРАВОЧНИК!$N$11+'ПЛАН ЧИСТ К1'!O33*СПРАВОЧНИК!$O$11+'ПЛАН ЧИСТ К1'!P33*СПРАВОЧНИК!$P$11+'ПЛАН ЧИСТ К1'!Q33*СПРАВОЧНИК!$L$12+'ПЛАН ЧИСТ К1'!R33*СПРАВОЧНИК!$M$12+'ПЛАН ЧИСТ К1'!S33*СПРАВОЧНИК!$N$12+'ПЛАН ЧИСТ К1'!T33*СПРАВОЧНИК!$O$12+'ПЛАН ЧИСТ К1'!U33*СПРАВОЧНИК!$P$12+'ПЛАН ЧИСТ К1'!V33*СПРАВОЧНИК!$L$13+'ПЛАН ЧИСТ К1'!W33*СПРАВОЧНИК!$M$13+'ПЛАН ЧИСТ К1'!X33*СПРАВОЧНИК!$N$13+'ПЛАН ЧИСТ К1'!Y33*СПРАВОЧНИК!$O$13+'ПЛАН ЧИСТ К1'!Z33*СПРАВОЧНИК!$P$13+'ПЛАН ЧИСТ К1'!AA33*СПРАВОЧНИК!$L$14+'ПЛАН ЧИСТ К1'!AB33*СПРАВОЧНИК!$M$14+'ПЛАН ЧИСТ К1'!AC33*СПРАВОЧНИК!$N$14+'ПЛАН ЧИСТ К1'!AD33*СПРАВОЧНИК!$O$14+'ПЛАН ЧИСТ К1'!AE33*СПРАВОЧНИК!$P$14+'ПЛАН ЧИСТ К1'!AF33*СПРАВОЧНИК!$L$15+'ПЛАН ЧИСТ К1'!AG33*СПРАВОЧНИК!$M$15+'ПЛАН ЧИСТ К1'!AH33*СПРАВОЧНИК!$N$15+'ПЛАН ЧИСТ К1'!AI33*СПРАВОЧНИК!$O$15+'ПЛАН ЧИСТ К1'!AJ33*СПРАВОЧНИК!$P$15</f>
        <v/>
      </c>
      <c r="AH42" s="31">
        <f>('ФАКТ ЧИСТ К1'!B33)*СПРАВОЧНИК!$L$9+('ФАКТ ЧИСТ К1'!C33)*СПРАВОЧНИК!$M$9+('ФАКТ ЧИСТ К1'!D33)*СПРАВОЧНИК!$N$9+('ФАКТ ЧИСТ К1'!E33)*СПРАВОЧНИК!$O$9+('ФАКТ ЧИСТ К1'!F33)*СПРАВОЧНИК!$P$9+('ФАКТ ЧИСТ К1'!G33)*СПРАВОЧНИК!$L$10+('ФАКТ ЧИСТ К1'!H33)*СПРАВОЧНИК!$M$10+('ФАКТ ЧИСТ К1'!I33)*СПРАВОЧНИК!$N$10+('ФАКТ ЧИСТ К1'!J33)*СПРАВОЧНИК!$O$10+('ФАКТ ЧИСТ К1'!K33)*СПРАВОЧНИК!$P$10+('ФАКТ ЧИСТ К1'!L33)*СПРАВОЧНИК!$L$11+('ФАКТ ЧИСТ К1'!M33)*СПРАВОЧНИК!$M$11+('ФАКТ ЧИСТ К1'!N33)*СПРАВОЧНИК!$N$11+('ФАКТ ЧИСТ К1'!O33)*СПРАВОЧНИК!$O$11+('ФАКТ ЧИСТ К1'!P33)*СПРАВОЧНИК!$P$11+('ФАКТ ЧИСТ К1'!Q33)*СПРАВОЧНИК!$L$12+('ФАКТ ЧИСТ К1'!R33)*СПРАВОЧНИК!$M$12+('ФАКТ ЧИСТ К1'!S33)*СПРАВОЧНИК!$N$12+('ФАКТ ЧИСТ К1'!T33)*СПРАВОЧНИК!$O$12+('ФАКТ ЧИСТ К1'!U33)*СПРАВОЧНИК!$P$12+('ФАКТ ЧИСТ К1'!V33)*СПРАВОЧНИК!$L$13+('ФАКТ ЧИСТ К1'!W33)*СПРАВОЧНИК!$M$13+('ФАКТ ЧИСТ К1'!X33)*СПРАВОЧНИК!$N$13+('ФАКТ ЧИСТ К1'!Y33)*СПРАВОЧНИК!$O$13+('ФАКТ ЧИСТ К1'!Z33)*СПРАВОЧНИК!$P$13+('ФАКТ ЧИСТ К1'!AA33)*СПРАВОЧНИК!$L$14+('ФАКТ ЧИСТ К1'!AB33)*СПРАВОЧНИК!$M$14+('ФАКТ ЧИСТ К1'!AC33)*СПРАВОЧНИК!$N$14+('ФАКТ ЧИСТ К1'!AD33)*СПРАВОЧНИК!$O$14+('ФАКТ ЧИСТ К1'!AE33)*СПРАВОЧНИК!$P$14+('ФАКТ ЧИСТ К1'!AF33)*СПРАВОЧНИК!$L$15+('ФАКТ ЧИСТ К1'!AG33)*СПРАВОЧНИК!$M$15+('ФАКТ ЧИСТ К1'!AH33)*СПРАВОЧНИК!$N$15+('ФАКТ ЧИСТ К1'!AI33)*СПРАВОЧНИК!$O$15+('ФАКТ ЧИСТ К1'!AJ33)*СПРАВОЧНИК!$P$15</f>
        <v/>
      </c>
      <c r="AI42" s="34" t="n"/>
      <c r="AL42" s="152">
        <f>AL41+7</f>
        <v/>
      </c>
      <c r="AM42" s="17">
        <f>СПРАВОЧНИК!$E$9*('ПЛАН ЧЕРН К2'!B33*СПРАВОЧНИК!$H$9+'ПЛАН ЧЕРН К2'!C33*СПРАВОЧНИК!$I$9+'ПЛАН ЧЕРН К2'!D33*СПРАВОЧНИК!$J$9)+СПРАВОЧНИК!$F$9*('ПЛАН ЧИСТ К2'!B33*СПРАВОЧНИК!$L$9+'ПЛАН ЧИСТ К2'!C33*СПРАВОЧНИК!$M$9+'ПЛАН ЧИСТ К2'!D33*СПРАВОЧНИК!$N$9+'ПЛАН ЧИСТ К2'!E33*СПРАВОЧНИК!$O$9+'ПЛАН ЧИСТ К2'!F33*СПРАВОЧНИК!$P$9)+СПРАВОЧНИК!$E$10*('ПЛАН ЧЕРН К2'!E33*СПРАВОЧНИК!$H$10+'ПЛАН ЧЕРН К2'!F33*СПРАВОЧНИК!$I$10+'ПЛАН ЧЕРН К2'!G33*СПРАВОЧНИК!$J$10)+СПРАВОЧНИК!$F$10*('ПЛАН ЧИСТ К2'!G33*СПРАВОЧНИК!$L$10+'ПЛАН ЧИСТ К2'!H33*СПРАВОЧНИК!$M$10+'ПЛАН ЧИСТ К2'!I33*СПРАВОЧНИК!$N$10+'ПЛАН ЧИСТ К2'!J33*СПРАВОЧНИК!$O$10+'ПЛАН ЧИСТ К2'!K33*СПРАВОЧНИК!$P$10)+СПРАВОЧНИК!$E$11*('ПЛАН ЧЕРН К2'!H33*СПРАВОЧНИК!$H$11+'ПЛАН ЧЕРН К2'!I33*СПРАВОЧНИК!$I$11+'ПЛАН ЧЕРН К2'!J33*СПРАВОЧНИК!$J$11)+СПРАВОЧНИК!$F$11*('ПЛАН ЧИСТ К2'!L33*СПРАВОЧНИК!$L$11+'ПЛАН ЧИСТ К2'!M33*СПРАВОЧНИК!$M$11+'ПЛАН ЧИСТ К2'!N33*СПРАВОЧНИК!$N$11+'ПЛАН ЧИСТ К2'!O33*СПРАВОЧНИК!$O$11+'ПЛАН ЧИСТ К2'!P33*СПРАВОЧНИК!$P$11)+СПРАВОЧНИК!$E$12*('ПЛАН ЧЕРН К2'!K33*СПРАВОЧНИК!$H$12+'ПЛАН ЧЕРН К2'!L33*СПРАВОЧНИК!$I$12+'ПЛАН ЧЕРН К2'!M33*СПРАВОЧНИК!$J$12)+СПРАВОЧНИК!$F$12*('ПЛАН ЧИСТ К2'!Q33*СПРАВОЧНИК!$L$12+'ПЛАН ЧИСТ К2'!R33*СПРАВОЧНИК!$M$12+'ПЛАН ЧИСТ К2'!S33*СПРАВОЧНИК!$N$12+'ПЛАН ЧИСТ К2'!T33*СПРАВОЧНИК!$O$12+'ПЛАН ЧИСТ К2'!U33*СПРАВОЧНИК!$P$12)+СПРАВОЧНИК!$E$13*('ПЛАН ЧЕРН К2'!N33*СПРАВОЧНИК!$H$13+'ПЛАН ЧЕРН К2'!O33*СПРАВОЧНИК!$I$13+'ПЛАН ЧЕРН К2'!P33*СПРАВОЧНИК!$J$13)+СПРАВОЧНИК!$F$13*('ПЛАН ЧИСТ К2'!V33*СПРАВОЧНИК!$L$13+'ПЛАН ЧИСТ К2'!W33*СПРАВОЧНИК!$M$13+'ПЛАН ЧИСТ К2'!X33*СПРАВОЧНИК!$N$13+'ПЛАН ЧИСТ К2'!Y33*СПРАВОЧНИК!$O$13+'ПЛАН ЧИСТ К2'!Z33*СПРАВОЧНИК!$P$13)+СПРАВОЧНИК!$E$14*('ПЛАН ЧЕРН К2'!Q33*СПРАВОЧНИК!$H$14+'ПЛАН ЧЕРН К2'!R33*СПРАВОЧНИК!$I$14+'ПЛАН ЧЕРН К2'!S33*СПРАВОЧНИК!$J$14)+СПРАВОЧНИК!$F$14*('ПЛАН ЧИСТ К2'!AA33*СПРАВОЧНИК!$L$14+'ПЛАН ЧИСТ К2'!AB33*СПРАВОЧНИК!$M$14+'ПЛАН ЧИСТ К2'!AC33*СПРАВОЧНИК!$N$14+'ПЛАН ЧИСТ К2'!AD33*СПРАВОЧНИК!$O$14+'ПЛАН ЧИСТ К2'!AE33*СПРАВОЧНИК!$P$14)+СПРАВОЧНИК!$E$15*('ПЛАН ЧЕРН К2'!T33*СПРАВОЧНИК!$H$15+'ПЛАН ЧЕРН К2'!U33*СПРАВОЧНИК!$I$15+'ПЛАН ЧЕРН К2'!V33*СПРАВОЧНИК!$J$15)+СПРАВОЧНИК!$F$15*('ПЛАН ЧИСТ К2'!AF33*СПРАВОЧНИК!$L$15+'ПЛАН ЧИСТ К2'!AG33*СПРАВОЧНИК!$M$15+'ПЛАН ЧИСТ К2'!AH33*СПРАВОЧНИК!$N$15+'ПЛАН ЧИСТ К2'!AI33*СПРАВОЧНИК!$O$15+'ПЛАН ЧИСТ К2'!AJ33*СПРАВОЧНИК!$P$15)</f>
        <v/>
      </c>
      <c r="AN42" s="31">
        <f>СПРАВОЧНИК!$E$9*('ФАКТ ЧЕРН К2'!B33*СПРАВОЧНИК!$H$9+'ФАКТ ЧЕРН К2'!C33*СПРАВОЧНИК!$I$9+'ФАКТ ЧЕРН К2'!D33*СПРАВОЧНИК!$J$9)+СПРАВОЧНИК!$F$9*('ФАКТ ЧИСТ К2'!B33*СПРАВОЧНИК!$L$9+'ФАКТ ЧИСТ К2'!C33*СПРАВОЧНИК!$M$9+'ФАКТ ЧИСТ К2'!D33*СПРАВОЧНИК!$N$9+'ФАКТ ЧИСТ К2'!E33*СПРАВОЧНИК!$O$9+'ФАКТ ЧИСТ К2'!F33*СПРАВОЧНИК!$P$9)+СПРАВОЧНИК!$E$10*('ФАКТ ЧЕРН К2'!E33*СПРАВОЧНИК!$H$10+'ФАКТ ЧЕРН К2'!F33*СПРАВОЧНИК!$I$10+'ФАКТ ЧЕРН К2'!G33*СПРАВОЧНИК!$J$10)+СПРАВОЧНИК!$F$10*('ФАКТ ЧИСТ К2'!G33*СПРАВОЧНИК!$L$10+'ФАКТ ЧИСТ К2'!H33*СПРАВОЧНИК!$M$10+'ФАКТ ЧИСТ К2'!I33*СПРАВОЧНИК!$N$10+'ФАКТ ЧИСТ К2'!J33*СПРАВОЧНИК!$O$10+'ФАКТ ЧИСТ К2'!K33*СПРАВОЧНИК!$P$10)+СПРАВОЧНИК!$E$11*('ФАКТ ЧЕРН К2'!H33*СПРАВОЧНИК!$H$11+'ФАКТ ЧЕРН К2'!I33*СПРАВОЧНИК!$I$11+'ФАКТ ЧЕРН К2'!J33*СПРАВОЧНИК!$J$11)+СПРАВОЧНИК!$F$11*('ФАКТ ЧИСТ К2'!L33*СПРАВОЧНИК!$L$11+'ФАКТ ЧИСТ К2'!M33*СПРАВОЧНИК!$M$11+'ФАКТ ЧИСТ К2'!N33*СПРАВОЧНИК!$N$11+'ФАКТ ЧИСТ К2'!O33*СПРАВОЧНИК!$O$11+'ФАКТ ЧИСТ К2'!P33*СПРАВОЧНИК!$P$11)+СПРАВОЧНИК!$E$12*('ФАКТ ЧЕРН К2'!K33*СПРАВОЧНИК!$H$12+'ФАКТ ЧЕРН К2'!L33*СПРАВОЧНИК!$I$12+'ФАКТ ЧЕРН К2'!M33*СПРАВОЧНИК!$J$12)+СПРАВОЧНИК!$F$12*('ФАКТ ЧИСТ К2'!Q33*СПРАВОЧНИК!$L$12+'ФАКТ ЧИСТ К2'!R33*СПРАВОЧНИК!$M$12+'ФАКТ ЧИСТ К2'!S33*СПРАВОЧНИК!$N$12+'ФАКТ ЧИСТ К2'!T33*СПРАВОЧНИК!$O$12+'ФАКТ ЧИСТ К2'!U33*СПРАВОЧНИК!$P$12)+СПРАВОЧНИК!$E$13*('ФАКТ ЧЕРН К2'!N33*СПРАВОЧНИК!$H$13+'ФАКТ ЧЕРН К2'!O33*СПРАВОЧНИК!$I$13+'ФАКТ ЧЕРН К2'!P33*СПРАВОЧНИК!$J$13)+СПРАВОЧНИК!$F$13*('ФАКТ ЧИСТ К2'!V33*СПРАВОЧНИК!$L$13+'ФАКТ ЧИСТ К2'!W33*СПРАВОЧНИК!$M$13+'ФАКТ ЧИСТ К2'!X33*СПРАВОЧНИК!$N$13+'ФАКТ ЧИСТ К2'!Y33*СПРАВОЧНИК!$O$13+'ФАКТ ЧИСТ К2'!Z33*СПРАВОЧНИК!$P$13)+СПРАВОЧНИК!$E$14*('ФАКТ ЧЕРН К2'!Q33*СПРАВОЧНИК!$H$14+'ФАКТ ЧЕРН К2'!R33*СПРАВОЧНИК!$I$14+'ФАКТ ЧЕРН К2'!S33*СПРАВОЧНИК!$J$14)+СПРАВОЧНИК!$F$14*('ФАКТ ЧИСТ К2'!AA33*СПРАВОЧНИК!$L$14+'ФАКТ ЧИСТ К2'!AB33*СПРАВОЧНИК!$M$14+'ФАКТ ЧИСТ К2'!AC33*СПРАВОЧНИК!$N$14+'ФАКТ ЧИСТ К2'!AD33*СПРАВОЧНИК!$O$14+'ФАКТ ЧИСТ К2'!AE33*СПРАВОЧНИК!$P$14)+СПРАВОЧНИК!$E$15*('ФАКТ ЧЕРН К2'!T33*СПРАВОЧНИК!$H$15+'ФАКТ ЧЕРН К2'!U33*СПРАВОЧНИК!$I$15+'ФАКТ ЧЕРН К2'!V33*СПРАВОЧНИК!$J$15)+СПРАВОЧНИК!$F$15*('ФАКТ ЧИСТ К2'!AF33*СПРАВОЧНИК!$L$15+'ФАКТ ЧИСТ К2'!AG33*СПРАВОЧНИК!$M$15+'ФАКТ ЧИСТ К2'!AH33*СПРАВОЧНИК!$N$15+'ФАКТ ЧИСТ К2'!AI33*СПРАВОЧНИК!$O$15+'ФАКТ ЧИСТ К2'!AJ33*СПРАВОЧНИК!$P$15)</f>
        <v/>
      </c>
      <c r="AO42" s="34" t="n"/>
      <c r="AR42" s="152">
        <f>AR41+7</f>
        <v/>
      </c>
      <c r="AS42" s="17">
        <f>'ПЛАН ЧЕРН К2'!B33*СПРАВОЧНИК!$H$9+'ПЛАН ЧЕРН К2'!C33*СПРАВОЧНИК!$I$9+'ПЛАН ЧЕРН К2'!D33*СПРАВОЧНИК!$J$9+'ПЛАН ЧЕРН К2'!E33*СПРАВОЧНИК!$H$10+'ПЛАН ЧЕРН К2'!F33*СПРАВОЧНИК!$I$10+'ПЛАН ЧЕРН К2'!G33*СПРАВОЧНИК!$J$10+'ПЛАН ЧЕРН К2'!H33*СПРАВОЧНИК!$H$11+'ПЛАН ЧЕРН К2'!I33*СПРАВОЧНИК!$I$11+'ПЛАН ЧЕРН К2'!J33*СПРАВОЧНИК!$J$11+'ПЛАН ЧЕРН К2'!K33*СПРАВОЧНИК!$H$12+'ПЛАН ЧЕРН К2'!L33*СПРАВОЧНИК!$I$12+'ПЛАН ЧЕРН К2'!M33*СПРАВОЧНИК!$J$12+'ПЛАН ЧЕРН К2'!N33*СПРАВОЧНИК!$H$13+'ПЛАН ЧЕРН К2'!O33*СПРАВОЧНИК!$I$13+'ПЛАН ЧЕРН К2'!P33*СПРАВОЧНИК!$J$13+'ПЛАН ЧЕРН К2'!Q33*СПРАВОЧНИК!$H$14+'ПЛАН ЧЕРН К2'!R33*СПРАВОЧНИК!$I$14+'ПЛАН ЧЕРН К2'!S33*СПРАВОЧНИК!$J$14+'ПЛАН ЧЕРН К2'!T33*СПРАВОЧНИК!$H$15+'ПЛАН ЧЕРН К2'!U33*СПРАВОЧНИК!$I$15+'ПЛАН ЧЕРН К2'!V33*СПРАВОЧНИК!$J$15</f>
        <v/>
      </c>
      <c r="AT42" s="31">
        <f>('ФАКТ ЧЕРН К2'!B33)*СПРАВОЧНИК!$H$9+('ФАКТ ЧЕРН К2'!C33)*СПРАВОЧНИК!$I$9+('ФАКТ ЧЕРН К2'!D33)*СПРАВОЧНИК!$J$9+('ФАКТ ЧЕРН К2'!E33)*СПРАВОЧНИК!$H$10+('ФАКТ ЧЕРН К2'!F33)*СПРАВОЧНИК!$I$10+('ФАКТ ЧЕРН К2'!G33)*СПРАВОЧНИК!$J$10+('ФАКТ ЧЕРН К2'!H33)*СПРАВОЧНИК!$H$11+('ФАКТ ЧЕРН К2'!I33)*СПРАВОЧНИК!$I$11+('ФАКТ ЧЕРН К2'!J33)*СПРАВОЧНИК!$J$11+('ФАКТ ЧЕРН К2'!K33)*СПРАВОЧНИК!$H$12+('ФАКТ ЧЕРН К2'!L33)*СПРАВОЧНИК!$I$12+('ФАКТ ЧЕРН К2'!M33)*СПРАВОЧНИК!$J$12+('ФАКТ ЧЕРН К2'!N33)*СПРАВОЧНИК!$H$13+('ФАКТ ЧЕРН К2'!O33)*СПРАВОЧНИК!$I$13+('ФАКТ ЧЕРН К2'!P33)*СПРАВОЧНИК!$J$13+('ФАКТ ЧЕРН К2'!Q33)*СПРАВОЧНИК!$H$14+('ФАКТ ЧЕРН К2'!R33)*СПРАВОЧНИК!$I$14+('ФАКТ ЧЕРН К2'!S33)*СПРАВОЧНИК!$J$14+('ФАКТ ЧЕРН К2'!T33)*СПРАВОЧНИК!$H$15+('ФАКТ ЧЕРН К2'!U33)*СПРАВОЧНИК!$I$15+('ФАКТ ЧЕРН К2'!V33)*СПРАВОЧНИК!$J$15</f>
        <v/>
      </c>
      <c r="AU42" s="34" t="n"/>
      <c r="AX42" s="152">
        <f>AX41+7</f>
        <v/>
      </c>
      <c r="AY42" s="17">
        <f>'ПЛАН ЧИСТ К2'!B33*СПРАВОЧНИК!$L$9+'ПЛАН ЧИСТ К2'!C33*СПРАВОЧНИК!$M$9+'ПЛАН ЧИСТ К2'!D33*СПРАВОЧНИК!$N$9+'ПЛАН ЧИСТ К2'!E33*СПРАВОЧНИК!$O$9+'ПЛАН ЧИСТ К2'!F33*СПРАВОЧНИК!$P$9+'ПЛАН ЧИСТ К2'!G33*СПРАВОЧНИК!$L$10+'ПЛАН ЧИСТ К2'!H33*СПРАВОЧНИК!$M$10+'ПЛАН ЧИСТ К2'!I33*СПРАВОЧНИК!$N$10+'ПЛАН ЧИСТ К2'!J33*СПРАВОЧНИК!$O$10+'ПЛАН ЧИСТ К2'!K33*СПРАВОЧНИК!$P$10+'ПЛАН ЧИСТ К2'!L33*СПРАВОЧНИК!$L$11+'ПЛАН ЧИСТ К2'!M33*СПРАВОЧНИК!$M$11+'ПЛАН ЧИСТ К2'!N33*СПРАВОЧНИК!$N$11+'ПЛАН ЧИСТ К2'!O33*СПРАВОЧНИК!$O$11+'ПЛАН ЧИСТ К2'!P33*СПРАВОЧНИК!$P$11+'ПЛАН ЧИСТ К2'!Q33*СПРАВОЧНИК!$L$12+'ПЛАН ЧИСТ К2'!R33*СПРАВОЧНИК!$M$12+'ПЛАН ЧИСТ К2'!S33*СПРАВОЧНИК!$N$12+'ПЛАН ЧИСТ К2'!T33*СПРАВОЧНИК!$O$12+'ПЛАН ЧИСТ К2'!U33*СПРАВОЧНИК!$P$12+'ПЛАН ЧИСТ К2'!V33*СПРАВОЧНИК!$L$13+'ПЛАН ЧИСТ К2'!W33*СПРАВОЧНИК!$M$13+'ПЛАН ЧИСТ К2'!X33*СПРАВОЧНИК!$N$13+'ПЛАН ЧИСТ К2'!Y33*СПРАВОЧНИК!$O$13+'ПЛАН ЧИСТ К2'!Z33*СПРАВОЧНИК!$P$13+'ПЛАН ЧИСТ К2'!AA33*СПРАВОЧНИК!$L$14+'ПЛАН ЧИСТ К2'!AB33*СПРАВОЧНИК!$M$14+'ПЛАН ЧИСТ К2'!AC33*СПРАВОЧНИК!$N$14+'ПЛАН ЧИСТ К2'!AD33*СПРАВОЧНИК!$O$14+'ПЛАН ЧИСТ К2'!AE33*СПРАВОЧНИК!$P$14+'ПЛАН ЧИСТ К2'!AF33*СПРАВОЧНИК!$L$15+'ПЛАН ЧИСТ К2'!AG33*СПРАВОЧНИК!$M$15+'ПЛАН ЧИСТ К2'!AH33*СПРАВОЧНИК!$N$15+'ПЛАН ЧИСТ К2'!AI33*СПРАВОЧНИК!$O$15+'ПЛАН ЧИСТ К2'!AJ33*СПРАВОЧНИК!$P$15</f>
        <v/>
      </c>
      <c r="AZ42" s="31">
        <f>('ФАКТ ЧИСТ К2'!B33)*СПРАВОЧНИК!$L$9+('ФАКТ ЧИСТ К2'!C33)*СПРАВОЧНИК!$M$9+('ФАКТ ЧИСТ К2'!D33)*СПРАВОЧНИК!$N$9+('ФАКТ ЧИСТ К2'!E33)*СПРАВОЧНИК!$O$9+('ФАКТ ЧИСТ К2'!F33)*СПРАВОЧНИК!$P$9+('ФАКТ ЧИСТ К2'!G33)*СПРАВОЧНИК!$L$10+('ФАКТ ЧИСТ К2'!H33)*СПРАВОЧНИК!$M$10+('ФАКТ ЧИСТ К2'!I33)*СПРАВОЧНИК!$N$10+('ФАКТ ЧИСТ К2'!J33)*СПРАВОЧНИК!$O$10+('ФАКТ ЧИСТ К2'!K33)*СПРАВОЧНИК!$P$10+('ФАКТ ЧИСТ К2'!L33)*СПРАВОЧНИК!$L$11+('ФАКТ ЧИСТ К2'!M33)*СПРАВОЧНИК!$M$11+('ФАКТ ЧИСТ К2'!N33)*СПРАВОЧНИК!$N$11+('ФАКТ ЧИСТ К2'!O33)*СПРАВОЧНИК!$O$11+('ФАКТ ЧИСТ К2'!P33)*СПРАВОЧНИК!$P$11+('ФАКТ ЧИСТ К2'!Q33)*СПРАВОЧНИК!$L$12+('ФАКТ ЧИСТ К2'!R33)*СПРАВОЧНИК!$M$12+('ФАКТ ЧИСТ К2'!S33)*СПРАВОЧНИК!$N$12+('ФАКТ ЧИСТ К2'!T33)*СПРАВОЧНИК!$O$12+('ФАКТ ЧИСТ К2'!U33)*СПРАВОЧНИК!$P$12+('ФАКТ ЧИСТ К2'!V33)*СПРАВОЧНИК!$L$13+('ФАКТ ЧИСТ К2'!W33)*СПРАВОЧНИК!$M$13+('ФАКТ ЧИСТ К2'!X33)*СПРАВОЧНИК!$N$13+('ФАКТ ЧИСТ К2'!Y33)*СПРАВОЧНИК!$O$13+('ФАКТ ЧИСТ К2'!Z33)*СПРАВОЧНИК!$P$13+('ФАКТ ЧИСТ К2'!AA33)*СПРАВОЧНИК!$L$14+('ФАКТ ЧИСТ К2'!AB33)*СПРАВОЧНИК!$M$14+('ФАКТ ЧИСТ К2'!AC33)*СПРАВОЧНИК!$N$14+('ФАКТ ЧИСТ К2'!AD33)*СПРАВОЧНИК!$O$14+('ФАКТ ЧИСТ К2'!AE33)*СПРАВОЧНИК!$P$14+('ФАКТ ЧИСТ К2'!AF33)*СПРАВОЧНИК!$L$15+('ФАКТ ЧИСТ К2'!AG33)*СПРАВОЧНИК!$M$15+('ФАКТ ЧИСТ К2'!AH33)*СПРАВОЧНИК!$N$15+('ФАКТ ЧИСТ К2'!AI33)*СПРАВОЧНИК!$O$15+('ФАКТ ЧИСТ К2'!AJ33)*СПРАВОЧНИК!$P$15</f>
        <v/>
      </c>
      <c r="BA42" s="34" t="n"/>
      <c r="BD42" s="152">
        <f>BD41+7</f>
        <v/>
      </c>
      <c r="BE42" s="17">
        <f>СПРАВОЧНИК!$E$9*('ПЛАН ЧЕРН К3'!B33*СПРАВОЧНИК!$H$9+'ПЛАН ЧЕРН К3'!C33*СПРАВОЧНИК!$I$9+'ПЛАН ЧЕРН К3'!D33*СПРАВОЧНИК!$J$9)+СПРАВОЧНИК!$F$9*('ПЛАН ЧИСТ К3'!B33*СПРАВОЧНИК!$L$9+'ПЛАН ЧИСТ К3'!C33*СПРАВОЧНИК!$M$9+'ПЛАН ЧИСТ К3'!D33*СПРАВОЧНИК!$N$9+'ПЛАН ЧИСТ К3'!E33*СПРАВОЧНИК!$O$9+'ПЛАН ЧИСТ К3'!F33*СПРАВОЧНИК!$P$9)+СПРАВОЧНИК!$E$10*('ПЛАН ЧЕРН К3'!E33*СПРАВОЧНИК!$H$10+'ПЛАН ЧЕРН К3'!F33*СПРАВОЧНИК!$I$10+'ПЛАН ЧЕРН К3'!G33*СПРАВОЧНИК!$J$10)+СПРАВОЧНИК!$F$10*('ПЛАН ЧИСТ К3'!G33*СПРАВОЧНИК!$L$10+'ПЛАН ЧИСТ К3'!H33*СПРАВОЧНИК!$M$10+'ПЛАН ЧИСТ К3'!I33*СПРАВОЧНИК!$N$10+'ПЛАН ЧИСТ К3'!J33*СПРАВОЧНИК!$O$10+'ПЛАН ЧИСТ К3'!K33*СПРАВОЧНИК!$P$10)+СПРАВОЧНИК!$E$11*('ПЛАН ЧЕРН К3'!H33*СПРАВОЧНИК!$H$11+'ПЛАН ЧЕРН К3'!I33*СПРАВОЧНИК!$I$11+'ПЛАН ЧЕРН К3'!J33*СПРАВОЧНИК!$J$11)+СПРАВОЧНИК!$F$11*('ПЛАН ЧИСТ К3'!L33*СПРАВОЧНИК!$L$11+'ПЛАН ЧИСТ К3'!M33*СПРАВОЧНИК!$M$11+'ПЛАН ЧИСТ К3'!N33*СПРАВОЧНИК!$N$11+'ПЛАН ЧИСТ К3'!O33*СПРАВОЧНИК!$O$11+'ПЛАН ЧИСТ К3'!P33*СПРАВОЧНИК!$P$11)+СПРАВОЧНИК!$E$12*('ПЛАН ЧЕРН К3'!K33*СПРАВОЧНИК!$H$12+'ПЛАН ЧЕРН К3'!L33*СПРАВОЧНИК!$I$12+'ПЛАН ЧЕРН К3'!M33*СПРАВОЧНИК!$J$12)+СПРАВОЧНИК!$F$12*('ПЛАН ЧИСТ К3'!Q33*СПРАВОЧНИК!$L$12+'ПЛАН ЧИСТ К3'!R33*СПРАВОЧНИК!$M$12+'ПЛАН ЧИСТ К3'!S33*СПРАВОЧНИК!$N$12+'ПЛАН ЧИСТ К3'!T33*СПРАВОЧНИК!$O$12+'ПЛАН ЧИСТ К3'!U33*СПРАВОЧНИК!$P$12)+СПРАВОЧНИК!$E$13*('ПЛАН ЧЕРН К3'!N33*СПРАВОЧНИК!$H$13+'ПЛАН ЧЕРН К3'!O33*СПРАВОЧНИК!$I$13+'ПЛАН ЧЕРН К3'!P33*СПРАВОЧНИК!$J$13)+СПРАВОЧНИК!$F$13*('ПЛАН ЧИСТ К3'!V33*СПРАВОЧНИК!$L$13+'ПЛАН ЧИСТ К3'!W33*СПРАВОЧНИК!$M$13+'ПЛАН ЧИСТ К3'!X33*СПРАВОЧНИК!$N$13+'ПЛАН ЧИСТ К3'!Y33*СПРАВОЧНИК!$O$13+'ПЛАН ЧИСТ К3'!Z33*СПРАВОЧНИК!$P$13)+СПРАВОЧНИК!$E$14*('ПЛАН ЧЕРН К3'!Q33*СПРАВОЧНИК!$H$14+'ПЛАН ЧЕРН К3'!R33*СПРАВОЧНИК!$I$14+'ПЛАН ЧЕРН К3'!S33*СПРАВОЧНИК!$J$14)+СПРАВОЧНИК!$F$14*('ПЛАН ЧИСТ К3'!AA33*СПРАВОЧНИК!$L$14+'ПЛАН ЧИСТ К3'!AB33*СПРАВОЧНИК!$M$14+'ПЛАН ЧИСТ К3'!AC33*СПРАВОЧНИК!$N$14+'ПЛАН ЧИСТ К3'!AD33*СПРАВОЧНИК!$O$14+'ПЛАН ЧИСТ К3'!AE33*СПРАВОЧНИК!$P$14)+СПРАВОЧНИК!$E$15*('ПЛАН ЧЕРН К3'!T33*СПРАВОЧНИК!$H$15+'ПЛАН ЧЕРН К3'!U33*СПРАВОЧНИК!$I$15+'ПЛАН ЧЕРН К3'!V33*СПРАВОЧНИК!$J$15)+СПРАВОЧНИК!$F$15*('ПЛАН ЧИСТ К3'!AF33*СПРАВОЧНИК!$L$15+'ПЛАН ЧИСТ К3'!AG33*СПРАВОЧНИК!$M$15+'ПЛАН ЧИСТ К3'!AH33*СПРАВОЧНИК!$N$15+'ПЛАН ЧИСТ К3'!AI33*СПРАВОЧНИК!$O$15+'ПЛАН ЧИСТ К3'!AJ33*СПРАВОЧНИК!$P$15)</f>
        <v/>
      </c>
      <c r="BF42" s="31">
        <f>СПРАВОЧНИК!$E$9*('ФАКТ ЧЕРН К3'!B33*СПРАВОЧНИК!$H$9+'ФАКТ ЧЕРН К3'!C33*СПРАВОЧНИК!$I$9+'ФАКТ ЧЕРН К3'!D33*СПРАВОЧНИК!$J$9)+СПРАВОЧНИК!$F$9*('ФАКТ ЧИСТ К3'!B33*СПРАВОЧНИК!$L$9+'ФАКТ ЧИСТ К3'!C33*СПРАВОЧНИК!$M$9+'ФАКТ ЧИСТ К3'!D33*СПРАВОЧНИК!$N$9+'ФАКТ ЧИСТ К3'!E33*СПРАВОЧНИК!$O$9+'ФАКТ ЧИСТ К3'!F33*СПРАВОЧНИК!$P$9)+СПРАВОЧНИК!$E$10*('ФАКТ ЧЕРН К3'!E33*СПРАВОЧНИК!$H$10+'ФАКТ ЧЕРН К3'!F33*СПРАВОЧНИК!$I$10+'ФАКТ ЧЕРН К3'!G33*СПРАВОЧНИК!$J$10)+СПРАВОЧНИК!$F$10*('ФАКТ ЧИСТ К3'!G33*СПРАВОЧНИК!$L$10+'ФАКТ ЧИСТ К3'!H33*СПРАВОЧНИК!$M$10+'ФАКТ ЧИСТ К3'!I33*СПРАВОЧНИК!$N$10+'ФАКТ ЧИСТ К3'!J33*СПРАВОЧНИК!$O$10+'ФАКТ ЧИСТ К3'!K33*СПРАВОЧНИК!$P$10)+СПРАВОЧНИК!$E$11*('ФАКТ ЧЕРН К3'!H33*СПРАВОЧНИК!$H$11+'ФАКТ ЧЕРН К3'!I33*СПРАВОЧНИК!$I$11+'ФАКТ ЧЕРН К3'!J33*СПРАВОЧНИК!$J$11)+СПРАВОЧНИК!$F$11*('ФАКТ ЧИСТ К3'!L33*СПРАВОЧНИК!$L$11+'ФАКТ ЧИСТ К3'!M33*СПРАВОЧНИК!$M$11+'ФАКТ ЧИСТ К3'!N33*СПРАВОЧНИК!$N$11+'ФАКТ ЧИСТ К3'!O33*СПРАВОЧНИК!$O$11+'ФАКТ ЧИСТ К3'!P33*СПРАВОЧНИК!$P$11)+СПРАВОЧНИК!$E$12*('ФАКТ ЧЕРН К3'!K33*СПРАВОЧНИК!$H$12+'ФАКТ ЧЕРН К3'!L33*СПРАВОЧНИК!$I$12+'ФАКТ ЧЕРН К3'!M33*СПРАВОЧНИК!$J$12)+СПРАВОЧНИК!$F$12*('ФАКТ ЧИСТ К3'!Q33*СПРАВОЧНИК!$L$12+'ФАКТ ЧИСТ К3'!R33*СПРАВОЧНИК!$M$12+'ФАКТ ЧИСТ К3'!S33*СПРАВОЧНИК!$N$12+'ФАКТ ЧИСТ К3'!T33*СПРАВОЧНИК!$O$12+'ФАКТ ЧИСТ К3'!U33*СПРАВОЧНИК!$P$12)+СПРАВОЧНИК!$E$13*('ФАКТ ЧЕРН К3'!N33*СПРАВОЧНИК!$H$13+'ФАКТ ЧЕРН К3'!O33*СПРАВОЧНИК!$I$13+'ФАКТ ЧЕРН К3'!P33*СПРАВОЧНИК!$J$13)+СПРАВОЧНИК!$F$13*('ФАКТ ЧИСТ К3'!V33*СПРАВОЧНИК!$L$13+'ФАКТ ЧИСТ К3'!W33*СПРАВОЧНИК!$M$13+'ФАКТ ЧИСТ К3'!X33*СПРАВОЧНИК!$N$13+'ФАКТ ЧИСТ К3'!Y33*СПРАВОЧНИК!$O$13+'ФАКТ ЧИСТ К3'!Z33*СПРАВОЧНИК!$P$13)+СПРАВОЧНИК!$E$14*('ФАКТ ЧЕРН К3'!Q33*СПРАВОЧНИК!$H$14+'ФАКТ ЧЕРН К3'!R33*СПРАВОЧНИК!$I$14+'ФАКТ ЧЕРН К3'!S33*СПРАВОЧНИК!$J$14)+СПРАВОЧНИК!$F$14*('ФАКТ ЧИСТ К3'!AA33*СПРАВОЧНИК!$L$14+'ФАКТ ЧИСТ К3'!AB33*СПРАВОЧНИК!$M$14+'ФАКТ ЧИСТ К3'!AC33*СПРАВОЧНИК!$N$14+'ФАКТ ЧИСТ К3'!AD33*СПРАВОЧНИК!$O$14+'ФАКТ ЧИСТ К3'!AE33*СПРАВОЧНИК!$P$14)+СПРАВОЧНИК!$E$15*('ФАКТ ЧЕРН К3'!T33*СПРАВОЧНИК!$H$15+'ФАКТ ЧЕРН К3'!U33*СПРАВОЧНИК!$I$15+'ФАКТ ЧЕРН К3'!V33*СПРАВОЧНИК!$J$15)+СПРАВОЧНИК!$F$15*('ФАКТ ЧИСТ К3'!AF33*СПРАВОЧНИК!$L$15+'ФАКТ ЧИСТ К3'!AG33*СПРАВОЧНИК!$M$15+'ФАКТ ЧИСТ К3'!AH33*СПРАВОЧНИК!$N$15+'ФАКТ ЧИСТ К3'!AI33*СПРАВОЧНИК!$O$15+'ФАКТ ЧИСТ К3'!AJ33*СПРАВОЧНИК!$P$15)</f>
        <v/>
      </c>
      <c r="BG42" s="34" t="n"/>
      <c r="BJ42" s="152">
        <f>BJ41+7</f>
        <v/>
      </c>
      <c r="BK42" s="17">
        <f>'ПЛАН ЧЕРН К3'!B33*СПРАВОЧНИК!$H$9+'ПЛАН ЧЕРН К3'!C33*СПРАВОЧНИК!$I$9+'ПЛАН ЧЕРН К3'!D33*СПРАВОЧНИК!$J$9+'ПЛАН ЧЕРН К3'!E33*СПРАВОЧНИК!$H$10+'ПЛАН ЧЕРН К3'!F33*СПРАВОЧНИК!$I$10+'ПЛАН ЧЕРН К3'!G33*СПРАВОЧНИК!$J$10+'ПЛАН ЧЕРН К3'!H33*СПРАВОЧНИК!$H$11+'ПЛАН ЧЕРН К3'!I33*СПРАВОЧНИК!$I$11+'ПЛАН ЧЕРН К3'!J33*СПРАВОЧНИК!$J$11+'ПЛАН ЧЕРН К3'!K33*СПРАВОЧНИК!$H$12+'ПЛАН ЧЕРН К3'!L33*СПРАВОЧНИК!$I$12+'ПЛАН ЧЕРН К3'!M33*СПРАВОЧНИК!$J$12+'ПЛАН ЧЕРН К3'!N33*СПРАВОЧНИК!$H$13+'ПЛАН ЧЕРН К3'!O33*СПРАВОЧНИК!$I$13+'ПЛАН ЧЕРН К3'!P33*СПРАВОЧНИК!$J$13+'ПЛАН ЧЕРН К3'!Q33*СПРАВОЧНИК!$H$14+'ПЛАН ЧЕРН К3'!R33*СПРАВОЧНИК!$I$14+'ПЛАН ЧЕРН К3'!S33*СПРАВОЧНИК!$J$14+'ПЛАН ЧЕРН К3'!T33*СПРАВОЧНИК!$H$15+'ПЛАН ЧЕРН К3'!U33*СПРАВОЧНИК!$I$15+'ПЛАН ЧЕРН К3'!V33*СПРАВОЧНИК!$J$15</f>
        <v/>
      </c>
      <c r="BL42" s="31">
        <f>('ФАКТ ЧЕРН К3'!B33)*СПРАВОЧНИК!$H$9+('ФАКТ ЧЕРН К3'!C33)*СПРАВОЧНИК!$I$9+('ФАКТ ЧЕРН К3'!D33)*СПРАВОЧНИК!$J$9+('ФАКТ ЧЕРН К3'!E33)*СПРАВОЧНИК!$H$10+('ФАКТ ЧЕРН К3'!F33)*СПРАВОЧНИК!$I$10+('ФАКТ ЧЕРН К3'!G33)*СПРАВОЧНИК!$J$10+('ФАКТ ЧЕРН К3'!H33)*СПРАВОЧНИК!$H$11+('ФАКТ ЧЕРН К3'!I33)*СПРАВОЧНИК!$I$11+('ФАКТ ЧЕРН К3'!J33)*СПРАВОЧНИК!$J$11+('ФАКТ ЧЕРН К3'!K33)*СПРАВОЧНИК!$H$12+('ФАКТ ЧЕРН К3'!L33)*СПРАВОЧНИК!$I$12+('ФАКТ ЧЕРН К3'!M33)*СПРАВОЧНИК!$J$12+('ФАКТ ЧЕРН К3'!N33)*СПРАВОЧНИК!$H$13+('ФАКТ ЧЕРН К3'!O33)*СПРАВОЧНИК!$I$13+('ФАКТ ЧЕРН К3'!P33)*СПРАВОЧНИК!$J$13+('ФАКТ ЧЕРН К3'!Q33)*СПРАВОЧНИК!$H$14+('ФАКТ ЧЕРН К3'!R33)*СПРАВОЧНИК!$I$14+('ФАКТ ЧЕРН К3'!S33)*СПРАВОЧНИК!$J$14+('ФАКТ ЧЕРН К3'!T33)*СПРАВОЧНИК!$H$15+('ФАКТ ЧЕРН К3'!U33)*СПРАВОЧНИК!$I$15+('ФАКТ ЧЕРН К3'!V33)*СПРАВОЧНИК!$J$15</f>
        <v/>
      </c>
      <c r="BM42" s="34" t="n"/>
      <c r="BP42" s="152">
        <f>BP41+7</f>
        <v/>
      </c>
      <c r="BQ42" s="17">
        <f>'ПЛАН ЧИСТ К3'!B33*СПРАВОЧНИК!$L$9+'ПЛАН ЧИСТ К3'!C33*СПРАВОЧНИК!$M$9+'ПЛАН ЧИСТ К3'!D33*СПРАВОЧНИК!$N$9+'ПЛАН ЧИСТ К3'!E33*СПРАВОЧНИК!$O$9+'ПЛАН ЧИСТ К3'!F33*СПРАВОЧНИК!$P$9+'ПЛАН ЧИСТ К3'!G33*СПРАВОЧНИК!$L$10+'ПЛАН ЧИСТ К3'!H33*СПРАВОЧНИК!$M$10+'ПЛАН ЧИСТ К3'!I33*СПРАВОЧНИК!$N$10+'ПЛАН ЧИСТ К3'!J33*СПРАВОЧНИК!$O$10+'ПЛАН ЧИСТ К3'!K33*СПРАВОЧНИК!$P$10+'ПЛАН ЧИСТ К3'!L33*СПРАВОЧНИК!$L$11+'ПЛАН ЧИСТ К3'!M33*СПРАВОЧНИК!$M$11+'ПЛАН ЧИСТ К3'!N33*СПРАВОЧНИК!$N$11+'ПЛАН ЧИСТ К3'!O33*СПРАВОЧНИК!$O$11+'ПЛАН ЧИСТ К3'!P33*СПРАВОЧНИК!$P$11+'ПЛАН ЧИСТ К3'!Q33*СПРАВОЧНИК!$L$12+'ПЛАН ЧИСТ К3'!R33*СПРАВОЧНИК!$M$12+'ПЛАН ЧИСТ К3'!S33*СПРАВОЧНИК!$N$12+'ПЛАН ЧИСТ К3'!T33*СПРАВОЧНИК!$O$12+'ПЛАН ЧИСТ К3'!U33*СПРАВОЧНИК!$P$12+'ПЛАН ЧИСТ К3'!V33*СПРАВОЧНИК!$L$13+'ПЛАН ЧИСТ К3'!W33*СПРАВОЧНИК!$M$13+'ПЛАН ЧИСТ К3'!X33*СПРАВОЧНИК!$N$13+'ПЛАН ЧИСТ К3'!Y33*СПРАВОЧНИК!$O$13+'ПЛАН ЧИСТ К3'!Z33*СПРАВОЧНИК!$P$13+'ПЛАН ЧИСТ К3'!AA33*СПРАВОЧНИК!$L$14+'ПЛАН ЧИСТ К3'!AB33*СПРАВОЧНИК!$M$14+'ПЛАН ЧИСТ К3'!AC33*СПРАВОЧНИК!$N$14+'ПЛАН ЧИСТ К3'!AD33*СПРАВОЧНИК!$O$14+'ПЛАН ЧИСТ К3'!AE33*СПРАВОЧНИК!$P$14+'ПЛАН ЧИСТ К3'!AF33*СПРАВОЧНИК!$L$15+'ПЛАН ЧИСТ К3'!AG33*СПРАВОЧНИК!$M$15+'ПЛАН ЧИСТ К3'!AH33*СПРАВОЧНИК!$N$15+'ПЛАН ЧИСТ К3'!AI33*СПРАВОЧНИК!$O$15+'ПЛАН ЧИСТ К3'!AJ33*СПРАВОЧНИК!$P$15</f>
        <v/>
      </c>
      <c r="BR42" s="31">
        <f>('ФАКТ ЧИСТ К3'!B33)*СПРАВОЧНИК!$L$9+('ФАКТ ЧИСТ К3'!C33)*СПРАВОЧНИК!$M$9+('ФАКТ ЧИСТ К3'!D33)*СПРАВОЧНИК!$N$9+('ФАКТ ЧИСТ К3'!E33)*СПРАВОЧНИК!$O$9+('ФАКТ ЧИСТ К3'!F33)*СПРАВОЧНИК!$P$9+('ФАКТ ЧИСТ К3'!G33)*СПРАВОЧНИК!$L$10+('ФАКТ ЧИСТ К3'!H33)*СПРАВОЧНИК!$M$10+('ФАКТ ЧИСТ К3'!I33)*СПРАВОЧНИК!$N$10+('ФАКТ ЧИСТ К3'!J33)*СПРАВОЧНИК!$O$10+('ФАКТ ЧИСТ К3'!K33)*СПРАВОЧНИК!$P$10+('ФАКТ ЧИСТ К3'!L33)*СПРАВОЧНИК!$L$11+('ФАКТ ЧИСТ К3'!M33)*СПРАВОЧНИК!$M$11+('ФАКТ ЧИСТ К3'!N33)*СПРАВОЧНИК!$N$11+('ФАКТ ЧИСТ К3'!O33)*СПРАВОЧНИК!$O$11+('ФАКТ ЧИСТ К3'!P33)*СПРАВОЧНИК!$P$11+('ФАКТ ЧИСТ К3'!Q33)*СПРАВОЧНИК!$L$12+('ФАКТ ЧИСТ К3'!R33)*СПРАВОЧНИК!$M$12+('ФАКТ ЧИСТ К3'!S33)*СПРАВОЧНИК!$N$12+('ФАКТ ЧИСТ К3'!T33)*СПРАВОЧНИК!$O$12+('ФАКТ ЧИСТ К3'!U33)*СПРАВОЧНИК!$P$12+('ФАКТ ЧИСТ К3'!V33)*СПРАВОЧНИК!$L$13+('ФАКТ ЧИСТ К3'!W33)*СПРАВОЧНИК!$M$13+('ФАКТ ЧИСТ К3'!X33)*СПРАВОЧНИК!$N$13+('ФАКТ ЧИСТ К3'!Y33)*СПРАВОЧНИК!$O$13+('ФАКТ ЧИСТ К3'!Z33)*СПРАВОЧНИК!$P$13+('ФАКТ ЧИСТ К3'!AA33)*СПРАВОЧНИК!$L$14+('ФАКТ ЧИСТ К3'!AB33)*СПРАВОЧНИК!$M$14+('ФАКТ ЧИСТ К3'!AC33)*СПРАВОЧНИК!$N$14+('ФАКТ ЧИСТ К3'!AD33)*СПРАВОЧНИК!$O$14+('ФАКТ ЧИСТ К3'!AE33)*СПРАВОЧНИК!$P$14+('ФАКТ ЧИСТ К3'!AF33)*СПРАВОЧНИК!$L$15+('ФАКТ ЧИСТ К3'!AG33)*СПРАВОЧНИК!$M$15+('ФАКТ ЧИСТ К3'!AH33)*СПРАВОЧНИК!$N$15+('ФАКТ ЧИСТ К3'!AI33)*СПРАВОЧНИК!$O$15+('ФАКТ ЧИСТ К3'!AJ33)*СПРАВОЧНИК!$P$15</f>
        <v/>
      </c>
      <c r="BS42" s="34" t="n"/>
      <c r="BV42" s="152">
        <f>BV41+7</f>
        <v/>
      </c>
      <c r="BW42" s="17">
        <f>U42*СПРАВОЧНИК!$K$28+AM42*СПРАВОЧНИК!$K$29+BE42*СПРАВОЧНИК!$K$30</f>
        <v/>
      </c>
      <c r="BX42" s="31">
        <f>V42*СПРАВОЧНИК!$K$28+AN42*СПРАВОЧНИК!$K$29+BF42*СПРАВОЧНИК!$K$30</f>
        <v/>
      </c>
      <c r="BY42" s="34" t="n"/>
      <c r="CB42" s="152">
        <f>CB41+7</f>
        <v/>
      </c>
      <c r="CC42" s="17">
        <f>AA42*СПРАВОЧНИК!$K$28+AS42*СПРАВОЧНИК!$K$29+BK42*СПРАВОЧНИК!$K$30</f>
        <v/>
      </c>
      <c r="CD42" s="31">
        <f>AB42*СПРАВОЧНИК!$K$28+AT42*СПРАВОЧНИК!$K$29+BL42*СПРАВОЧНИК!$K$30</f>
        <v/>
      </c>
      <c r="CE42" s="34" t="n"/>
      <c r="CH42" s="152">
        <f>CH41+7</f>
        <v/>
      </c>
      <c r="CI42" s="17">
        <f>AG42*СПРАВОЧНИК!$K$28+AY42*СПРАВОЧНИК!$K$29+BQ42*СПРАВОЧНИК!$K$30</f>
        <v/>
      </c>
      <c r="CJ42" s="31">
        <f>AH42*СПРАВОЧНИК!$K$28+AZ42*СПРАВОЧНИК!$K$29+BR42*СПРАВОЧНИК!$K$30</f>
        <v/>
      </c>
      <c r="CK42" s="34" t="n"/>
      <c r="CN42" s="152">
        <f>CN41+7</f>
        <v/>
      </c>
      <c r="CO42" s="17">
        <f>C42*СПРАВОЧНИК!$W$18+BW42*СПРАВОЧНИК!$W$19</f>
        <v/>
      </c>
      <c r="CP42" s="31">
        <f>D42*СПРАВОЧНИК!$W$18+BX42*СПРАВОЧНИК!$W$19</f>
        <v/>
      </c>
      <c r="CQ42" s="34" t="n"/>
      <c r="CT42" s="152">
        <f>CT41+7</f>
        <v/>
      </c>
      <c r="CU42" s="17">
        <f>I42*СПРАВОЧНИК!$W$18+CC42*СПРАВОЧНИК!$W$19</f>
        <v/>
      </c>
      <c r="CV42" s="31">
        <f>J42*СПРАВОЧНИК!$W$18+CD42*СПРАВОЧНИК!$W$19</f>
        <v/>
      </c>
      <c r="CW42" s="34" t="n"/>
      <c r="CZ42" s="152">
        <f>CZ41+7</f>
        <v/>
      </c>
      <c r="DA42" s="17">
        <f>O42*СПРАВОЧНИК!$W$18+CI42*СПРАВОЧНИК!$W$19</f>
        <v/>
      </c>
      <c r="DB42" s="31">
        <f>P42*СПРАВОЧНИК!$W$18+CJ42*СПРАВОЧНИК!$W$19</f>
        <v/>
      </c>
      <c r="DC42" s="34" t="n"/>
    </row>
    <row r="43">
      <c r="B43" s="152">
        <f>B42+7</f>
        <v/>
      </c>
      <c r="C43" s="17">
        <f>СПРАВОЧНИК!$E$3*('ПЛАН ЧЕРН ПОДЗЕМ'!B34*СПРАВОЧНИК!$H$3+'ПЛАН ЧЕРН ПОДЗЕМ'!C34*СПРАВОЧНИК!$I$3+'ПЛАН ЧЕРН ПОДЗЕМ'!D34*СПРАВОЧНИК!$J$3)+СПРАВОЧНИК!$F$3*('ПЛАН ЧИСТ ПОДЗЕМ'!B34*СПРАВОЧНИК!$L$3+'ПЛАН ЧИСТ ПОДЗЕМ'!C34*СПРАВОЧНИК!$M$3+'ПЛАН ЧИСТ ПОДЗЕМ'!D34*СПРАВОЧНИК!$N$3+'ПЛАН ЧИСТ ПОДЗЕМ'!E34*СПРАВОЧНИК!$O$3+'ПЛАН ЧИСТ ПОДЗЕМ'!F34*СПРАВОЧНИК!$P$3)+СПРАВОЧНИК!$E$4*('ПЛАН ЧЕРН ПОДЗЕМ'!E34*СПРАВОЧНИК!$H$4+'ПЛАН ЧЕРН ПОДЗЕМ'!F34*СПРАВОЧНИК!$I$4+'ПЛАН ЧЕРН ПОДЗЕМ'!G34*СПРАВОЧНИК!$J$4)+СПРАВОЧНИК!$F$4*('ПЛАН ЧИСТ ПОДЗЕМ'!G34*СПРАВОЧНИК!$L$4+'ПЛАН ЧИСТ ПОДЗЕМ'!H34*СПРАВОЧНИК!$M$4+'ПЛАН ЧИСТ ПОДЗЕМ'!I34*СПРАВОЧНИК!$N$4+'ПЛАН ЧИСТ ПОДЗЕМ'!J34*СПРАВОЧНИК!$O$4+'ПЛАН ЧИСТ ПОДЗЕМ'!K34*СПРАВОЧНИК!$P$4)+СПРАВОЧНИК!$E$5*('ПЛАН ЧЕРН ПОДЗЕМ'!H34*СПРАВОЧНИК!$H$5+'ПЛАН ЧЕРН ПОДЗЕМ'!I34*СПРАВОЧНИК!$I$5+'ПЛАН ЧЕРН ПОДЗЕМ'!J34*СПРАВОЧНИК!$J$5)+СПРАВОЧНИК!$F$5*('ПЛАН ЧИСТ ПОДЗЕМ'!L34*СПРАВОЧНИК!$L$5+'ПЛАН ЧИСТ ПОДЗЕМ'!M34*СПРАВОЧНИК!$M$5+'ПЛАН ЧИСТ ПОДЗЕМ'!N34*СПРАВОЧНИК!$N$5+'ПЛАН ЧИСТ ПОДЗЕМ'!O34*СПРАВОЧНИК!$O$5+'ПЛАН ЧИСТ ПОДЗЕМ'!P34*СПРАВОЧНИК!$P$5)+СПРАВОЧНИК!$E$6*('ПЛАН ЧЕРН ПОДЗЕМ'!K34*СПРАВОЧНИК!$H$6+'ПЛАН ЧЕРН ПОДЗЕМ'!L34*СПРАВОЧНИК!$I$6+'ПЛАН ЧЕРН ПОДЗЕМ'!M34*СПРАВОЧНИК!$J$6)+СПРАВОЧНИК!$F$6*('ПЛАН ЧИСТ ПОДЗЕМ'!Q34*СПРАВОЧНИК!$L$6+'ПЛАН ЧИСТ ПОДЗЕМ'!R34*СПРАВОЧНИК!$M$6+'ПЛАН ЧИСТ ПОДЗЕМ'!S34*СПРАВОЧНИК!$N$6+'ПЛАН ЧИСТ ПОДЗЕМ'!T34*СПРАВОЧНИК!$O$6+'ПЛАН ЧИСТ ПОДЗЕМ'!U34*СПРАВОЧНИК!$P$6)+СПРАВОЧНИК!$E$7*('ПЛАН ЧЕРН ПОДЗЕМ'!N34*СПРАВОЧНИК!$H$7+'ПЛАН ЧЕРН ПОДЗЕМ'!O34*СПРАВОЧНИК!$I$7+'ПЛАН ЧЕРН ПОДЗЕМ'!P34*СПРАВОЧНИК!$J$7)+СПРАВОЧНИК!$F$7*('ПЛАН ЧИСТ ПОДЗЕМ'!V34*СПРАВОЧНИК!$L$7+'ПЛАН ЧИСТ ПОДЗЕМ'!W34*СПРАВОЧНИК!$M$7+'ПЛАН ЧИСТ ПОДЗЕМ'!X34*СПРАВОЧНИК!$N$7+'ПЛАН ЧИСТ ПОДЗЕМ'!Y34*СПРАВОЧНИК!$O$7+'ПЛАН ЧИСТ ПОДЗЕМ'!Z34*СПРАВОЧНИК!$P$7)+СПРАВОЧНИК!$E$8*('ПЛАН ЧЕРН ПОДЗЕМ'!Q34*СПРАВОЧНИК!$H$8+'ПЛАН ЧЕРН ПОДЗЕМ'!R34*СПРАВОЧНИК!$I$8+'ПЛАН ЧЕРН ПОДЗЕМ'!S34*СПРАВОЧНИК!$J$8)+СПРАВОЧНИК!$F$8*('ПЛАН ЧИСТ ПОДЗЕМ'!AA34*СПРАВОЧНИК!$L$8+'ПЛАН ЧИСТ ПОДЗЕМ'!AB34*СПРАВОЧНИК!$M$8+'ПЛАН ЧИСТ ПОДЗЕМ'!AC34*СПРАВОЧНИК!$N$8+'ПЛАН ЧИСТ ПОДЗЕМ'!AD34*СПРАВОЧНИК!$O$8+'ПЛАН ЧИСТ ПОДЗЕМ'!AE34*СПРАВОЧНИК!$P$8)</f>
        <v/>
      </c>
      <c r="D43" s="31">
        <f>СПРАВОЧНИК!$E$3*('ФАКТ ЧЕРН ПОДЗЕМ'!B34*СПРАВОЧНИК!$H$3+'ФАКТ ЧЕРН ПОДЗЕМ'!C34*СПРАВОЧНИК!$I$3+'ФАКТ ЧЕРН ПОДЗЕМ'!D34*СПРАВОЧНИК!$J$3)+СПРАВОЧНИК!$F$3*('ФАКТ ЧИСТ ПОДЗЕМ'!B34*СПРАВОЧНИК!$L$3+'ФАКТ ЧИСТ ПОДЗЕМ'!C34*СПРАВОЧНИК!$M$3+'ФАКТ ЧИСТ ПОДЗЕМ'!D34*СПРАВОЧНИК!$N$3+'ФАКТ ЧИСТ ПОДЗЕМ'!E34*СПРАВОЧНИК!$O$3+'ФАКТ ЧИСТ ПОДЗЕМ'!F34*СПРАВОЧНИК!$P$3)+СПРАВОЧНИК!$E$4*('ФАКТ ЧЕРН ПОДЗЕМ'!E34*СПРАВОЧНИК!$H$4+'ФАКТ ЧЕРН ПОДЗЕМ'!F34*СПРАВОЧНИК!$I$4+'ФАКТ ЧЕРН ПОДЗЕМ'!G34*СПРАВОЧНИК!$J$4)+СПРАВОЧНИК!$F$4*('ФАКТ ЧИСТ ПОДЗЕМ'!G34*СПРАВОЧНИК!$L$4+'ФАКТ ЧИСТ ПОДЗЕМ'!H34*СПРАВОЧНИК!$M$4+'ФАКТ ЧИСТ ПОДЗЕМ'!I34*СПРАВОЧНИК!$N$4+'ФАКТ ЧИСТ ПОДЗЕМ'!J34*СПРАВОЧНИК!$O$4+'ФАКТ ЧИСТ ПОДЗЕМ'!K34*СПРАВОЧНИК!$P$4)+СПРАВОЧНИК!$E$5*('ФАКТ ЧЕРН ПОДЗЕМ'!H34*СПРАВОЧНИК!$H$5+'ФАКТ ЧЕРН ПОДЗЕМ'!I34*СПРАВОЧНИК!$I$5+'ФАКТ ЧЕРН ПОДЗЕМ'!J34*СПРАВОЧНИК!$J$5)+СПРАВОЧНИК!$F$5*('ФАКТ ЧИСТ ПОДЗЕМ'!L34*СПРАВОЧНИК!$L$5+'ФАКТ ЧИСТ ПОДЗЕМ'!M34*СПРАВОЧНИК!$M$5+'ФАКТ ЧИСТ ПОДЗЕМ'!N34*СПРАВОЧНИК!$N$5+'ФАКТ ЧИСТ ПОДЗЕМ'!O34*СПРАВОЧНИК!$O$5+'ФАКТ ЧИСТ ПОДЗЕМ'!P34*СПРАВОЧНИК!$P$5)+СПРАВОЧНИК!$E$6*('ФАКТ ЧЕРН ПОДЗЕМ'!K34*СПРАВОЧНИК!$H$6+'ФАКТ ЧЕРН ПОДЗЕМ'!L34*СПРАВОЧНИК!$I$6+'ФАКТ ЧЕРН ПОДЗЕМ'!M34*СПРАВОЧНИК!$J$6)+СПРАВОЧНИК!$F$6*('ФАКТ ЧИСТ ПОДЗЕМ'!Q34*СПРАВОЧНИК!$L$6+'ФАКТ ЧИСТ ПОДЗЕМ'!R34*СПРАВОЧНИК!$M$6+'ФАКТ ЧИСТ ПОДЗЕМ'!S34*СПРАВОЧНИК!$N$6+'ФАКТ ЧИСТ ПОДЗЕМ'!T34*СПРАВОЧНИК!$O$6+'ФАКТ ЧИСТ ПОДЗЕМ'!U34*СПРАВОЧНИК!$P$6)+СПРАВОЧНИК!$E$7*('ФАКТ ЧЕРН ПОДЗЕМ'!N34*СПРАВОЧНИК!$H$7+'ФАКТ ЧЕРН ПОДЗЕМ'!O34*СПРАВОЧНИК!$I$7+'ФАКТ ЧЕРН ПОДЗЕМ'!P34*СПРАВОЧНИК!$J$7)+СПРАВОЧНИК!$F$7*('ФАКТ ЧИСТ ПОДЗЕМ'!V34*СПРАВОЧНИК!$L$7+'ФАКТ ЧИСТ ПОДЗЕМ'!W34*СПРАВОЧНИК!$M$7+'ФАКТ ЧИСТ ПОДЗЕМ'!X34*СПРАВОЧНИК!$N$7+'ФАКТ ЧИСТ ПОДЗЕМ'!Y34*СПРАВОЧНИК!$O$7+'ФАКТ ЧИСТ ПОДЗЕМ'!Z34*СПРАВОЧНИК!$P$7)+СПРАВОЧНИК!$E$8*('ФАКТ ЧЕРН ПОДЗЕМ'!Q34*СПРАВОЧНИК!$H$8+'ФАКТ ЧЕРН ПОДЗЕМ'!R34*СПРАВОЧНИК!$I$8+'ФАКТ ЧЕРН ПОДЗЕМ'!S34*СПРАВОЧНИК!$J$8)+СПРАВОЧНИК!$F$8*('ФАКТ ЧИСТ ПОДЗЕМ'!AA34*СПРАВОЧНИК!$L$8+'ФАКТ ЧИСТ ПОДЗЕМ'!AB34*СПРАВОЧНИК!$M$8+'ФАКТ ЧИСТ ПОДЗЕМ'!AC34*СПРАВОЧНИК!$N$8+'ФАКТ ЧИСТ ПОДЗЕМ'!AD34*СПРАВОЧНИК!$O$8+'ФАКТ ЧИСТ ПОДЗЕМ'!AE34*СПРАВОЧНИК!$P$8)</f>
        <v/>
      </c>
      <c r="E43" s="34" t="n"/>
      <c r="H43" s="152">
        <f>H42+7</f>
        <v/>
      </c>
      <c r="I43" s="17">
        <f>'ПЛАН ЧЕРН ПОДЗЕМ'!B34*СПРАВОЧНИК!$H$3+'ПЛАН ЧЕРН ПОДЗЕМ'!C34*СПРАВОЧНИК!$I$3+'ПЛАН ЧЕРН ПОДЗЕМ'!D34*СПРАВОЧНИК!$J$3+'ПЛАН ЧЕРН ПОДЗЕМ'!E34*СПРАВОЧНИК!$H$4+'ПЛАН ЧЕРН ПОДЗЕМ'!F34*СПРАВОЧНИК!$I$4+'ПЛАН ЧЕРН ПОДЗЕМ'!G34*СПРАВОЧНИК!$J$4+'ПЛАН ЧЕРН ПОДЗЕМ'!H34*СПРАВОЧНИК!$H$5+'ПЛАН ЧЕРН ПОДЗЕМ'!I34*СПРАВОЧНИК!$I$5+'ПЛАН ЧЕРН ПОДЗЕМ'!J34*СПРАВОЧНИК!$J$5+'ПЛАН ЧЕРН ПОДЗЕМ'!K34*СПРАВОЧНИК!$H$6+'ПЛАН ЧЕРН ПОДЗЕМ'!L34*СПРАВОЧНИК!$I$6+'ПЛАН ЧЕРН ПОДЗЕМ'!M34*СПРАВОЧНИК!$J$6+'ПЛАН ЧЕРН ПОДЗЕМ'!N34*СПРАВОЧНИК!$H$7+'ПЛАН ЧЕРН ПОДЗЕМ'!O34*СПРАВОЧНИК!$I$7+'ПЛАН ЧЕРН ПОДЗЕМ'!P34*СПРАВОЧНИК!$J$7+'ПЛАН ЧЕРН ПОДЗЕМ'!Q34*СПРАВОЧНИК!$H$8+'ПЛАН ЧЕРН ПОДЗЕМ'!R34*СПРАВОЧНИК!$I$8+'ПЛАН ЧЕРН ПОДЗЕМ'!S34*СПРАВОЧНИК!$J$8</f>
        <v/>
      </c>
      <c r="J43" s="31">
        <f>('ФАКТ ЧЕРН ПОДЗЕМ'!B34)*СПРАВОЧНИК!$H$3+('ФАКТ ЧЕРН ПОДЗЕМ'!C34)*СПРАВОЧНИК!$I$3+('ФАКТ ЧЕРН ПОДЗЕМ'!D34)*СПРАВОЧНИК!$J$3+('ФАКТ ЧЕРН ПОДЗЕМ'!E34)*СПРАВОЧНИК!$H$4+('ФАКТ ЧЕРН ПОДЗЕМ'!F34)*СПРАВОЧНИК!$I$4+('ФАКТ ЧЕРН ПОДЗЕМ'!G34)*СПРАВОЧНИК!$J$4+('ФАКТ ЧЕРН ПОДЗЕМ'!H34)*СПРАВОЧНИК!$H$5+('ФАКТ ЧЕРН ПОДЗЕМ'!I34)*СПРАВОЧНИК!$I$5+('ФАКТ ЧЕРН ПОДЗЕМ'!J34)*СПРАВОЧНИК!$J$5+('ФАКТ ЧЕРН ПОДЗЕМ'!K34)*СПРАВОЧНИК!$H$6+('ФАКТ ЧЕРН ПОДЗЕМ'!L34)*СПРАВОЧНИК!$I$6+('ФАКТ ЧЕРН ПОДЗЕМ'!M34)*СПРАВОЧНИК!$J$6+('ФАКТ ЧЕРН ПОДЗЕМ'!N34)*СПРАВОЧНИК!$H$7+('ФАКТ ЧЕРН ПОДЗЕМ'!O34)*СПРАВОЧНИК!$I$7+('ФАКТ ЧЕРН ПОДЗЕМ'!P34)*СПРАВОЧНИК!$J$7+('ФАКТ ЧЕРН ПОДЗЕМ'!Q34)*СПРАВОЧНИК!$H$8+('ФАКТ ЧЕРН ПОДЗЕМ'!R34)*СПРАВОЧНИК!$I$8+('ФАКТ ЧЕРН ПОДЗЕМ'!S34)*СПРАВОЧНИК!$J$8</f>
        <v/>
      </c>
      <c r="K43" s="34" t="n"/>
      <c r="N43" s="152">
        <f>N42+7</f>
        <v/>
      </c>
      <c r="O43" s="17">
        <f>'ПЛАН ЧИСТ ПОДЗЕМ'!B34*СПРАВОЧНИК!$L$3+'ПЛАН ЧИСТ ПОДЗЕМ'!C34*СПРАВОЧНИК!$M$3+'ПЛАН ЧИСТ ПОДЗЕМ'!D34*СПРАВОЧНИК!$N$3+'ПЛАН ЧИСТ ПОДЗЕМ'!E34*СПРАВОЧНИК!$O$3+'ПЛАН ЧИСТ ПОДЗЕМ'!F34*СПРАВОЧНИК!$P$3+'ПЛАН ЧИСТ ПОДЗЕМ'!G34*СПРАВОЧНИК!$L$4+'ПЛАН ЧИСТ ПОДЗЕМ'!H34*СПРАВОЧНИК!$M$4+'ПЛАН ЧИСТ ПОДЗЕМ'!I34*СПРАВОЧНИК!$N$4+'ПЛАН ЧИСТ ПОДЗЕМ'!J34*СПРАВОЧНИК!$O$4+'ПЛАН ЧИСТ ПОДЗЕМ'!K34*СПРАВОЧНИК!$P$4+'ПЛАН ЧИСТ ПОДЗЕМ'!L34*СПРАВОЧНИК!$L$5+'ПЛАН ЧИСТ ПОДЗЕМ'!M34*СПРАВОЧНИК!$M$5+'ПЛАН ЧИСТ ПОДЗЕМ'!N34*СПРАВОЧНИК!$N$5+'ПЛАН ЧИСТ ПОДЗЕМ'!O34*СПРАВОЧНИК!$O$5+'ПЛАН ЧИСТ ПОДЗЕМ'!P34*СПРАВОЧНИК!$P$5+'ПЛАН ЧИСТ ПОДЗЕМ'!Q34*СПРАВОЧНИК!$L$6+'ПЛАН ЧИСТ ПОДЗЕМ'!R34*СПРАВОЧНИК!$M$6+'ПЛАН ЧИСТ ПОДЗЕМ'!S34*СПРАВОЧНИК!$N$6+'ПЛАН ЧИСТ ПОДЗЕМ'!T34*СПРАВОЧНИК!$O$6+'ПЛАН ЧИСТ ПОДЗЕМ'!U34*СПРАВОЧНИК!$P$6+'ПЛАН ЧИСТ ПОДЗЕМ'!V34*СПРАВОЧНИК!$L$7+'ПЛАН ЧИСТ ПОДЗЕМ'!W34*СПРАВОЧНИК!$M$7+'ПЛАН ЧИСТ ПОДЗЕМ'!X34*СПРАВОЧНИК!$N$7+'ПЛАН ЧИСТ ПОДЗЕМ'!Y34*СПРАВОЧНИК!$O$7+'ПЛАН ЧИСТ ПОДЗЕМ'!Z34*СПРАВОЧНИК!$P$7+'ПЛАН ЧИСТ ПОДЗЕМ'!AA34*СПРАВОЧНИК!$L$8+'ПЛАН ЧИСТ ПОДЗЕМ'!AB34*СПРАВОЧНИК!$M$8+'ПЛАН ЧИСТ ПОДЗЕМ'!AC34*СПРАВОЧНИК!$N$8+'ПЛАН ЧИСТ ПОДЗЕМ'!AD34*СПРАВОЧНИК!$O$8+'ПЛАН ЧИСТ ПОДЗЕМ'!AE34*СПРАВОЧНИК!$P$8</f>
        <v/>
      </c>
      <c r="P43" s="31">
        <f>('ФАКТ ЧИСТ ПОДЗЕМ'!B34)*СПРАВОЧНИК!$L$3+('ФАКТ ЧИСТ ПОДЗЕМ'!C34)*СПРАВОЧНИК!$M$3+('ФАКТ ЧИСТ ПОДЗЕМ'!D34)*СПРАВОЧНИК!$N$3+('ФАКТ ЧИСТ ПОДЗЕМ'!E34)*СПРАВОЧНИК!$O$3+('ФАКТ ЧИСТ ПОДЗЕМ'!F34)*СПРАВОЧНИК!$P$3+('ФАКТ ЧИСТ ПОДЗЕМ'!G34)*СПРАВОЧНИК!$L$4+('ФАКТ ЧИСТ ПОДЗЕМ'!H34)*СПРАВОЧНИК!$M$4+('ФАКТ ЧИСТ ПОДЗЕМ'!I34)*СПРАВОЧНИК!$N$4+('ФАКТ ЧИСТ ПОДЗЕМ'!J34)*СПРАВОЧНИК!$O$4+('ФАКТ ЧИСТ ПОДЗЕМ'!K34)*СПРАВОЧНИК!$P$4+('ФАКТ ЧИСТ ПОДЗЕМ'!L34)*СПРАВОЧНИК!$L$5+('ФАКТ ЧИСТ ПОДЗЕМ'!M34)*СПРАВОЧНИК!$M$5+('ФАКТ ЧИСТ ПОДЗЕМ'!N34)*СПРАВОЧНИК!$N$5+('ФАКТ ЧИСТ ПОДЗЕМ'!O34)*СПРАВОЧНИК!$O$5+('ФАКТ ЧИСТ ПОДЗЕМ'!P34)*СПРАВОЧНИК!$P$5+('ФАКТ ЧИСТ ПОДЗЕМ'!Q34)*СПРАВОЧНИК!$L$6+('ФАКТ ЧИСТ ПОДЗЕМ'!R34)*СПРАВОЧНИК!$M$6+('ФАКТ ЧИСТ ПОДЗЕМ'!S34)*СПРАВОЧНИК!$N$6+('ФАКТ ЧИСТ ПОДЗЕМ'!T34)*СПРАВОЧНИК!$O$6+('ФАКТ ЧИСТ ПОДЗЕМ'!U34)*СПРАВОЧНИК!$P$6+('ФАКТ ЧИСТ ПОДЗЕМ'!V34)*СПРАВОЧНИК!$L$7+('ФАКТ ЧИСТ ПОДЗЕМ'!W34)*СПРАВОЧНИК!$M$7+('ФАКТ ЧИСТ ПОДЗЕМ'!X34)*СПРАВОЧНИК!$N$7+('ФАКТ ЧИСТ ПОДЗЕМ'!Y34)*СПРАВОЧНИК!$O$7+('ФАКТ ЧИСТ ПОДЗЕМ'!Z34)*СПРАВОЧНИК!$P$7+('ФАКТ ЧИСТ ПОДЗЕМ'!AA34)*СПРАВОЧНИК!$L$8+('ФАКТ ЧИСТ ПОДЗЕМ'!AB34)*СПРАВОЧНИК!$M$8+('ФАКТ ЧИСТ ПОДЗЕМ'!AC34)*СПРАВОЧНИК!$N$8+('ФАКТ ЧИСТ ПОДЗЕМ'!AD34)*СПРАВОЧНИК!$O$8+('ФАКТ ЧИСТ ПОДЗЕМ'!AE34)*СПРАВОЧНИК!$P$8</f>
        <v/>
      </c>
      <c r="Q43" s="34" t="n"/>
      <c r="T43" s="152">
        <f>T42+7</f>
        <v/>
      </c>
      <c r="U43" s="17">
        <f>СПРАВОЧНИК!$E$9*('ПЛАН ЧЕРН К1'!B34*СПРАВОЧНИК!$H$9+'ПЛАН ЧЕРН К1'!C34*СПРАВОЧНИК!$I$9+'ПЛАН ЧЕРН К1'!D34*СПРАВОЧНИК!$J$9)+СПРАВОЧНИК!$F$9*('ПЛАН ЧИСТ К1'!B34*СПРАВОЧНИК!$L$9+'ПЛАН ЧИСТ К1'!C34*СПРАВОЧНИК!$M$9+'ПЛАН ЧИСТ К1'!D34*СПРАВОЧНИК!$N$9+'ПЛАН ЧИСТ К1'!E34*СПРАВОЧНИК!$O$9+'ПЛАН ЧИСТ К1'!F34*СПРАВОЧНИК!$P$9)+СПРАВОЧНИК!$E$10*('ПЛАН ЧЕРН К1'!E34*СПРАВОЧНИК!$H$10+'ПЛАН ЧЕРН К1'!F34*СПРАВОЧНИК!$I$10+'ПЛАН ЧЕРН К1'!G34*СПРАВОЧНИК!$J$10)+СПРАВОЧНИК!$F$10*('ПЛАН ЧИСТ К1'!G34*СПРАВОЧНИК!$L$10+'ПЛАН ЧИСТ К1'!H34*СПРАВОЧНИК!$M$10+'ПЛАН ЧИСТ К1'!I34*СПРАВОЧНИК!$N$10+'ПЛАН ЧИСТ К1'!J34*СПРАВОЧНИК!$O$10+'ПЛАН ЧИСТ К1'!K34*СПРАВОЧНИК!$P$10)+СПРАВОЧНИК!$E$11*('ПЛАН ЧЕРН К1'!H34*СПРАВОЧНИК!$H$11+'ПЛАН ЧЕРН К1'!I34*СПРАВОЧНИК!$I$11+'ПЛАН ЧЕРН К1'!J34*СПРАВОЧНИК!$J$11)+СПРАВОЧНИК!$F$11*('ПЛАН ЧИСТ К1'!L34*СПРАВОЧНИК!$L$11+'ПЛАН ЧИСТ К1'!M34*СПРАВОЧНИК!$M$11+'ПЛАН ЧИСТ К1'!N34*СПРАВОЧНИК!$N$11+'ПЛАН ЧИСТ К1'!O34*СПРАВОЧНИК!$O$11+'ПЛАН ЧИСТ К1'!P34*СПРАВОЧНИК!$P$11)+СПРАВОЧНИК!$E$12*('ПЛАН ЧЕРН К1'!K34*СПРАВОЧНИК!$H$12+'ПЛАН ЧЕРН К1'!L34*СПРАВОЧНИК!$I$12+'ПЛАН ЧЕРН К1'!M34*СПРАВОЧНИК!$J$12)+СПРАВОЧНИК!$F$12*('ПЛАН ЧИСТ К1'!Q34*СПРАВОЧНИК!$L$12+'ПЛАН ЧИСТ К1'!R34*СПРАВОЧНИК!$M$12+'ПЛАН ЧИСТ К1'!S34*СПРАВОЧНИК!$N$12+'ПЛАН ЧИСТ К1'!T34*СПРАВОЧНИК!$O$12+'ПЛАН ЧИСТ К1'!U34*СПРАВОЧНИК!$P$12)+СПРАВОЧНИК!$E$13*('ПЛАН ЧЕРН К1'!N34*СПРАВОЧНИК!$H$13+'ПЛАН ЧЕРН К1'!O34*СПРАВОЧНИК!$I$13+'ПЛАН ЧЕРН К1'!P34*СПРАВОЧНИК!$J$13)+СПРАВОЧНИК!$F$13*('ПЛАН ЧИСТ К1'!V34*СПРАВОЧНИК!$L$13+'ПЛАН ЧИСТ К1'!W34*СПРАВОЧНИК!$M$13+'ПЛАН ЧИСТ К1'!X34*СПРАВОЧНИК!$N$13+'ПЛАН ЧИСТ К1'!Y34*СПРАВОЧНИК!$O$13+'ПЛАН ЧИСТ К1'!Z34*СПРАВОЧНИК!$P$13)+СПРАВОЧНИК!$E$14*('ПЛАН ЧЕРН К1'!Q34*СПРАВОЧНИК!$H$14+'ПЛАН ЧЕРН К1'!R34*СПРАВОЧНИК!$I$14+'ПЛАН ЧЕРН К1'!S34*СПРАВОЧНИК!$J$14)+СПРАВОЧНИК!$F$14*('ПЛАН ЧИСТ К1'!AA34*СПРАВОЧНИК!$L$14+'ПЛАН ЧИСТ К1'!AB34*СПРАВОЧНИК!$M$14+'ПЛАН ЧИСТ К1'!AC34*СПРАВОЧНИК!$N$14+'ПЛАН ЧИСТ К1'!AD34*СПРАВОЧНИК!$O$14+'ПЛАН ЧИСТ К1'!AE34*СПРАВОЧНИК!$P$14)+СПРАВОЧНИК!$E$15*('ПЛАН ЧЕРН К1'!T34*СПРАВОЧНИК!$H$15+'ПЛАН ЧЕРН К1'!U34*СПРАВОЧНИК!$I$15+'ПЛАН ЧЕРН К1'!V34*СПРАВОЧНИК!$J$15)+СПРАВОЧНИК!$F$15*('ПЛАН ЧИСТ К1'!AF34*СПРАВОЧНИК!$L$15+'ПЛАН ЧИСТ К1'!AG34*СПРАВОЧНИК!$M$15+'ПЛАН ЧИСТ К1'!AH34*СПРАВОЧНИК!$N$15+'ПЛАН ЧИСТ К1'!AI34*СПРАВОЧНИК!$O$15+'ПЛАН ЧИСТ К1'!AJ34*СПРАВОЧНИК!$P$15)</f>
        <v/>
      </c>
      <c r="V43" s="31">
        <f>СПРАВОЧНИК!$E$9*('ФАКТ ЧЕРН К1'!B34*СПРАВОЧНИК!$H$9+'ФАКТ ЧЕРН К1'!C34*СПРАВОЧНИК!$I$9+'ФАКТ ЧЕРН К1'!D34*СПРАВОЧНИК!$J$9)+СПРАВОЧНИК!$F$9*('ФАКТ ЧИСТ К1'!B34*СПРАВОЧНИК!$L$9+'ФАКТ ЧИСТ К1'!C34*СПРАВОЧНИК!$M$9+'ФАКТ ЧИСТ К1'!D34*СПРАВОЧНИК!$N$9+'ФАКТ ЧИСТ К1'!E34*СПРАВОЧНИК!$O$9+'ФАКТ ЧИСТ К1'!F34*СПРАВОЧНИК!$P$9)+СПРАВОЧНИК!$E$10*('ФАКТ ЧЕРН К1'!E34*СПРАВОЧНИК!$H$10+'ФАКТ ЧЕРН К1'!F34*СПРАВОЧНИК!$I$10+'ФАКТ ЧЕРН К1'!G34*СПРАВОЧНИК!$J$10)+СПРАВОЧНИК!$F$10*('ФАКТ ЧИСТ К1'!G34*СПРАВОЧНИК!$L$10+'ФАКТ ЧИСТ К1'!H34*СПРАВОЧНИК!$M$10+'ФАКТ ЧИСТ К1'!I34*СПРАВОЧНИК!$N$10+'ФАКТ ЧИСТ К1'!J34*СПРАВОЧНИК!$O$10+'ФАКТ ЧИСТ К1'!K34*СПРАВОЧНИК!$P$10)+СПРАВОЧНИК!$E$11*('ФАКТ ЧЕРН К1'!H34*СПРАВОЧНИК!$H$11+'ФАКТ ЧЕРН К1'!I34*СПРАВОЧНИК!$I$11+'ФАКТ ЧЕРН К1'!J34*СПРАВОЧНИК!$J$11)+СПРАВОЧНИК!$F$11*('ФАКТ ЧИСТ К1'!L34*СПРАВОЧНИК!$L$11+'ФАКТ ЧИСТ К1'!M34*СПРАВОЧНИК!$M$11+'ФАКТ ЧИСТ К1'!N34*СПРАВОЧНИК!$N$11+'ФАКТ ЧИСТ К1'!O34*СПРАВОЧНИК!$O$11+'ФАКТ ЧИСТ К1'!P34*СПРАВОЧНИК!$P$11)+СПРАВОЧНИК!$E$12*('ФАКТ ЧЕРН К1'!K34*СПРАВОЧНИК!$H$12+'ФАКТ ЧЕРН К1'!L34*СПРАВОЧНИК!$I$12+'ФАКТ ЧЕРН К1'!M34*СПРАВОЧНИК!$J$12)+СПРАВОЧНИК!$F$12*('ФАКТ ЧИСТ К1'!Q34*СПРАВОЧНИК!$L$12+'ФАКТ ЧИСТ К1'!R34*СПРАВОЧНИК!$M$12+'ФАКТ ЧИСТ К1'!S34*СПРАВОЧНИК!$N$12+'ФАКТ ЧИСТ К1'!T34*СПРАВОЧНИК!$O$12+'ФАКТ ЧИСТ К1'!U34*СПРАВОЧНИК!$P$12)+СПРАВОЧНИК!$E$13*('ФАКТ ЧЕРН К1'!N34*СПРАВОЧНИК!$H$13+'ФАКТ ЧЕРН К1'!O34*СПРАВОЧНИК!$I$13+'ФАКТ ЧЕРН К1'!P34*СПРАВОЧНИК!$J$13)+СПРАВОЧНИК!$F$13*('ФАКТ ЧИСТ К1'!V34*СПРАВОЧНИК!$L$13+'ФАКТ ЧИСТ К1'!W34*СПРАВОЧНИК!$M$13+'ФАКТ ЧИСТ К1'!X34*СПРАВОЧНИК!$N$13+'ФАКТ ЧИСТ К1'!Y34*СПРАВОЧНИК!$O$13+'ФАКТ ЧИСТ К1'!Z34*СПРАВОЧНИК!$P$13)+СПРАВОЧНИК!$E$14*('ФАКТ ЧЕРН К1'!Q34*СПРАВОЧНИК!$H$14+'ФАКТ ЧЕРН К1'!R34*СПРАВОЧНИК!$I$14+'ФАКТ ЧЕРН К1'!S34*СПРАВОЧНИК!$J$14)+СПРАВОЧНИК!$F$14*('ФАКТ ЧИСТ К1'!AA34*СПРАВОЧНИК!$L$14+'ФАКТ ЧИСТ К1'!AB34*СПРАВОЧНИК!$M$14+'ФАКТ ЧИСТ К1'!AC34*СПРАВОЧНИК!$N$14+'ФАКТ ЧИСТ К1'!AD34*СПРАВОЧНИК!$O$14+'ФАКТ ЧИСТ К1'!AE34*СПРАВОЧНИК!$P$14)+СПРАВОЧНИК!$E$15*('ФАКТ ЧЕРН К1'!T34*СПРАВОЧНИК!$H$15+'ФАКТ ЧЕРН К1'!U34*СПРАВОЧНИК!$I$15+'ФАКТ ЧЕРН К1'!V34*СПРАВОЧНИК!$J$15)+СПРАВОЧНИК!$F$15*('ФАКТ ЧИСТ К1'!AF34*СПРАВОЧНИК!$L$15+'ФАКТ ЧИСТ К1'!AG34*СПРАВОЧНИК!$M$15+'ФАКТ ЧИСТ К1'!AH34*СПРАВОЧНИК!$N$15+'ФАКТ ЧИСТ К1'!AI34*СПРАВОЧНИК!$O$15+'ФАКТ ЧИСТ К1'!AJ34*СПРАВОЧНИК!$P$15)</f>
        <v/>
      </c>
      <c r="W43" s="34" t="n"/>
      <c r="Z43" s="152">
        <f>Z42+7</f>
        <v/>
      </c>
      <c r="AA43" s="17">
        <f>'ПЛАН ЧЕРН К1'!B34*СПРАВОЧНИК!$H$9+'ПЛАН ЧЕРН К1'!C34*СПРАВОЧНИК!$I$9+'ПЛАН ЧЕРН К1'!D34*СПРАВОЧНИК!$J$9+'ПЛАН ЧЕРН К1'!E34*СПРАВОЧНИК!$H$10+'ПЛАН ЧЕРН К1'!F34*СПРАВОЧНИК!$I$10+'ПЛАН ЧЕРН К1'!G34*СПРАВОЧНИК!$J$10+'ПЛАН ЧЕРН К1'!H34*СПРАВОЧНИК!$H$11+'ПЛАН ЧЕРН К1'!I34*СПРАВОЧНИК!$I$11+'ПЛАН ЧЕРН К1'!J34*СПРАВОЧНИК!$J$11+'ПЛАН ЧЕРН К1'!K34*СПРАВОЧНИК!$H$12+'ПЛАН ЧЕРН К1'!L34*СПРАВОЧНИК!$I$12+'ПЛАН ЧЕРН К1'!M34*СПРАВОЧНИК!$J$12+'ПЛАН ЧЕРН К1'!N34*СПРАВОЧНИК!$H$13+'ПЛАН ЧЕРН К1'!O34*СПРАВОЧНИК!$I$13+'ПЛАН ЧЕРН К1'!P34*СПРАВОЧНИК!$J$13+'ПЛАН ЧЕРН К1'!Q34*СПРАВОЧНИК!$H$14+'ПЛАН ЧЕРН К1'!R34*СПРАВОЧНИК!$I$14+'ПЛАН ЧЕРН К1'!S34*СПРАВОЧНИК!$J$14+'ПЛАН ЧЕРН К1'!T34*СПРАВОЧНИК!$H$15+'ПЛАН ЧЕРН К1'!U34*СПРАВОЧНИК!$I$15+'ПЛАН ЧЕРН К1'!V34*СПРАВОЧНИК!$J$15</f>
        <v/>
      </c>
      <c r="AB43" s="31">
        <f>('ФАКТ ЧЕРН К1'!B34)*СПРАВОЧНИК!$H$9+('ФАКТ ЧЕРН К1'!C34)*СПРАВОЧНИК!$I$9+('ФАКТ ЧЕРН К1'!D34)*СПРАВОЧНИК!$J$9+('ФАКТ ЧЕРН К1'!E34)*СПРАВОЧНИК!$H$10+('ФАКТ ЧЕРН К1'!F34)*СПРАВОЧНИК!$I$10+('ФАКТ ЧЕРН К1'!G34)*СПРАВОЧНИК!$J$10+('ФАКТ ЧЕРН К1'!H34)*СПРАВОЧНИК!$H$11+('ФАКТ ЧЕРН К1'!I34)*СПРАВОЧНИК!$I$11+('ФАКТ ЧЕРН К1'!J34)*СПРАВОЧНИК!$J$11+('ФАКТ ЧЕРН К1'!K34)*СПРАВОЧНИК!$H$12+('ФАКТ ЧЕРН К1'!L34)*СПРАВОЧНИК!$I$12+('ФАКТ ЧЕРН К1'!M34)*СПРАВОЧНИК!$J$12+('ФАКТ ЧЕРН К1'!N34)*СПРАВОЧНИК!$H$13+('ФАКТ ЧЕРН К1'!O34)*СПРАВОЧНИК!$I$13+('ФАКТ ЧЕРН К1'!P34)*СПРАВОЧНИК!$J$13+('ФАКТ ЧЕРН К1'!Q34)*СПРАВОЧНИК!$H$14+('ФАКТ ЧЕРН К1'!R34)*СПРАВОЧНИК!$I$14+('ФАКТ ЧЕРН К1'!S34)*СПРАВОЧНИК!$J$14+('ФАКТ ЧЕРН К1'!T34)*СПРАВОЧНИК!$H$15+('ФАКТ ЧЕРН К1'!U34)*СПРАВОЧНИК!$I$15+('ФАКТ ЧЕРН К1'!V34)*СПРАВОЧНИК!$J$15</f>
        <v/>
      </c>
      <c r="AC43" s="34" t="n"/>
      <c r="AF43" s="152">
        <f>AF42+7</f>
        <v/>
      </c>
      <c r="AG43" s="17">
        <f>'ПЛАН ЧИСТ К1'!B34*СПРАВОЧНИК!$L$9+'ПЛАН ЧИСТ К1'!C34*СПРАВОЧНИК!$M$9+'ПЛАН ЧИСТ К1'!D34*СПРАВОЧНИК!$N$9+'ПЛАН ЧИСТ К1'!E34*СПРАВОЧНИК!$O$9+'ПЛАН ЧИСТ К1'!F34*СПРАВОЧНИК!$P$9+'ПЛАН ЧИСТ К1'!G34*СПРАВОЧНИК!$L$10+'ПЛАН ЧИСТ К1'!H34*СПРАВОЧНИК!$M$10+'ПЛАН ЧИСТ К1'!I34*СПРАВОЧНИК!$N$10+'ПЛАН ЧИСТ К1'!J34*СПРАВОЧНИК!$O$10+'ПЛАН ЧИСТ К1'!K34*СПРАВОЧНИК!$P$10+'ПЛАН ЧИСТ К1'!L34*СПРАВОЧНИК!$L$11+'ПЛАН ЧИСТ К1'!M34*СПРАВОЧНИК!$M$11+'ПЛАН ЧИСТ К1'!N34*СПРАВОЧНИК!$N$11+'ПЛАН ЧИСТ К1'!O34*СПРАВОЧНИК!$O$11+'ПЛАН ЧИСТ К1'!P34*СПРАВОЧНИК!$P$11+'ПЛАН ЧИСТ К1'!Q34*СПРАВОЧНИК!$L$12+'ПЛАН ЧИСТ К1'!R34*СПРАВОЧНИК!$M$12+'ПЛАН ЧИСТ К1'!S34*СПРАВОЧНИК!$N$12+'ПЛАН ЧИСТ К1'!T34*СПРАВОЧНИК!$O$12+'ПЛАН ЧИСТ К1'!U34*СПРАВОЧНИК!$P$12+'ПЛАН ЧИСТ К1'!V34*СПРАВОЧНИК!$L$13+'ПЛАН ЧИСТ К1'!W34*СПРАВОЧНИК!$M$13+'ПЛАН ЧИСТ К1'!X34*СПРАВОЧНИК!$N$13+'ПЛАН ЧИСТ К1'!Y34*СПРАВОЧНИК!$O$13+'ПЛАН ЧИСТ К1'!Z34*СПРАВОЧНИК!$P$13+'ПЛАН ЧИСТ К1'!AA34*СПРАВОЧНИК!$L$14+'ПЛАН ЧИСТ К1'!AB34*СПРАВОЧНИК!$M$14+'ПЛАН ЧИСТ К1'!AC34*СПРАВОЧНИК!$N$14+'ПЛАН ЧИСТ К1'!AD34*СПРАВОЧНИК!$O$14+'ПЛАН ЧИСТ К1'!AE34*СПРАВОЧНИК!$P$14+'ПЛАН ЧИСТ К1'!AF34*СПРАВОЧНИК!$L$15+'ПЛАН ЧИСТ К1'!AG34*СПРАВОЧНИК!$M$15+'ПЛАН ЧИСТ К1'!AH34*СПРАВОЧНИК!$N$15+'ПЛАН ЧИСТ К1'!AI34*СПРАВОЧНИК!$O$15+'ПЛАН ЧИСТ К1'!AJ34*СПРАВОЧНИК!$P$15</f>
        <v/>
      </c>
      <c r="AH43" s="31">
        <f>('ФАКТ ЧИСТ К1'!B34)*СПРАВОЧНИК!$L$9+('ФАКТ ЧИСТ К1'!C34)*СПРАВОЧНИК!$M$9+('ФАКТ ЧИСТ К1'!D34)*СПРАВОЧНИК!$N$9+('ФАКТ ЧИСТ К1'!E34)*СПРАВОЧНИК!$O$9+('ФАКТ ЧИСТ К1'!F34)*СПРАВОЧНИК!$P$9+('ФАКТ ЧИСТ К1'!G34)*СПРАВОЧНИК!$L$10+('ФАКТ ЧИСТ К1'!H34)*СПРАВОЧНИК!$M$10+('ФАКТ ЧИСТ К1'!I34)*СПРАВОЧНИК!$N$10+('ФАКТ ЧИСТ К1'!J34)*СПРАВОЧНИК!$O$10+('ФАКТ ЧИСТ К1'!K34)*СПРАВОЧНИК!$P$10+('ФАКТ ЧИСТ К1'!L34)*СПРАВОЧНИК!$L$11+('ФАКТ ЧИСТ К1'!M34)*СПРАВОЧНИК!$M$11+('ФАКТ ЧИСТ К1'!N34)*СПРАВОЧНИК!$N$11+('ФАКТ ЧИСТ К1'!O34)*СПРАВОЧНИК!$O$11+('ФАКТ ЧИСТ К1'!P34)*СПРАВОЧНИК!$P$11+('ФАКТ ЧИСТ К1'!Q34)*СПРАВОЧНИК!$L$12+('ФАКТ ЧИСТ К1'!R34)*СПРАВОЧНИК!$M$12+('ФАКТ ЧИСТ К1'!S34)*СПРАВОЧНИК!$N$12+('ФАКТ ЧИСТ К1'!T34)*СПРАВОЧНИК!$O$12+('ФАКТ ЧИСТ К1'!U34)*СПРАВОЧНИК!$P$12+('ФАКТ ЧИСТ К1'!V34)*СПРАВОЧНИК!$L$13+('ФАКТ ЧИСТ К1'!W34)*СПРАВОЧНИК!$M$13+('ФАКТ ЧИСТ К1'!X34)*СПРАВОЧНИК!$N$13+('ФАКТ ЧИСТ К1'!Y34)*СПРАВОЧНИК!$O$13+('ФАКТ ЧИСТ К1'!Z34)*СПРАВОЧНИК!$P$13+('ФАКТ ЧИСТ К1'!AA34)*СПРАВОЧНИК!$L$14+('ФАКТ ЧИСТ К1'!AB34)*СПРАВОЧНИК!$M$14+('ФАКТ ЧИСТ К1'!AC34)*СПРАВОЧНИК!$N$14+('ФАКТ ЧИСТ К1'!AD34)*СПРАВОЧНИК!$O$14+('ФАКТ ЧИСТ К1'!AE34)*СПРАВОЧНИК!$P$14+('ФАКТ ЧИСТ К1'!AF34)*СПРАВОЧНИК!$L$15+('ФАКТ ЧИСТ К1'!AG34)*СПРАВОЧНИК!$M$15+('ФАКТ ЧИСТ К1'!AH34)*СПРАВОЧНИК!$N$15+('ФАКТ ЧИСТ К1'!AI34)*СПРАВОЧНИК!$O$15+('ФАКТ ЧИСТ К1'!AJ34)*СПРАВОЧНИК!$P$15</f>
        <v/>
      </c>
      <c r="AI43" s="34" t="n"/>
      <c r="AL43" s="152">
        <f>AL42+7</f>
        <v/>
      </c>
      <c r="AM43" s="17">
        <f>СПРАВОЧНИК!$E$9*('ПЛАН ЧЕРН К2'!B34*СПРАВОЧНИК!$H$9+'ПЛАН ЧЕРН К2'!C34*СПРАВОЧНИК!$I$9+'ПЛАН ЧЕРН К2'!D34*СПРАВОЧНИК!$J$9)+СПРАВОЧНИК!$F$9*('ПЛАН ЧИСТ К2'!B34*СПРАВОЧНИК!$L$9+'ПЛАН ЧИСТ К2'!C34*СПРАВОЧНИК!$M$9+'ПЛАН ЧИСТ К2'!D34*СПРАВОЧНИК!$N$9+'ПЛАН ЧИСТ К2'!E34*СПРАВОЧНИК!$O$9+'ПЛАН ЧИСТ К2'!F34*СПРАВОЧНИК!$P$9)+СПРАВОЧНИК!$E$10*('ПЛАН ЧЕРН К2'!E34*СПРАВОЧНИК!$H$10+'ПЛАН ЧЕРН К2'!F34*СПРАВОЧНИК!$I$10+'ПЛАН ЧЕРН К2'!G34*СПРАВОЧНИК!$J$10)+СПРАВОЧНИК!$F$10*('ПЛАН ЧИСТ К2'!G34*СПРАВОЧНИК!$L$10+'ПЛАН ЧИСТ К2'!H34*СПРАВОЧНИК!$M$10+'ПЛАН ЧИСТ К2'!I34*СПРАВОЧНИК!$N$10+'ПЛАН ЧИСТ К2'!J34*СПРАВОЧНИК!$O$10+'ПЛАН ЧИСТ К2'!K34*СПРАВОЧНИК!$P$10)+СПРАВОЧНИК!$E$11*('ПЛАН ЧЕРН К2'!H34*СПРАВОЧНИК!$H$11+'ПЛАН ЧЕРН К2'!I34*СПРАВОЧНИК!$I$11+'ПЛАН ЧЕРН К2'!J34*СПРАВОЧНИК!$J$11)+СПРАВОЧНИК!$F$11*('ПЛАН ЧИСТ К2'!L34*СПРАВОЧНИК!$L$11+'ПЛАН ЧИСТ К2'!M34*СПРАВОЧНИК!$M$11+'ПЛАН ЧИСТ К2'!N34*СПРАВОЧНИК!$N$11+'ПЛАН ЧИСТ К2'!O34*СПРАВОЧНИК!$O$11+'ПЛАН ЧИСТ К2'!P34*СПРАВОЧНИК!$P$11)+СПРАВОЧНИК!$E$12*('ПЛАН ЧЕРН К2'!K34*СПРАВОЧНИК!$H$12+'ПЛАН ЧЕРН К2'!L34*СПРАВОЧНИК!$I$12+'ПЛАН ЧЕРН К2'!M34*СПРАВОЧНИК!$J$12)+СПРАВОЧНИК!$F$12*('ПЛАН ЧИСТ К2'!Q34*СПРАВОЧНИК!$L$12+'ПЛАН ЧИСТ К2'!R34*СПРАВОЧНИК!$M$12+'ПЛАН ЧИСТ К2'!S34*СПРАВОЧНИК!$N$12+'ПЛАН ЧИСТ К2'!T34*СПРАВОЧНИК!$O$12+'ПЛАН ЧИСТ К2'!U34*СПРАВОЧНИК!$P$12)+СПРАВОЧНИК!$E$13*('ПЛАН ЧЕРН К2'!N34*СПРАВОЧНИК!$H$13+'ПЛАН ЧЕРН К2'!O34*СПРАВОЧНИК!$I$13+'ПЛАН ЧЕРН К2'!P34*СПРАВОЧНИК!$J$13)+СПРАВОЧНИК!$F$13*('ПЛАН ЧИСТ К2'!V34*СПРАВОЧНИК!$L$13+'ПЛАН ЧИСТ К2'!W34*СПРАВОЧНИК!$M$13+'ПЛАН ЧИСТ К2'!X34*СПРАВОЧНИК!$N$13+'ПЛАН ЧИСТ К2'!Y34*СПРАВОЧНИК!$O$13+'ПЛАН ЧИСТ К2'!Z34*СПРАВОЧНИК!$P$13)+СПРАВОЧНИК!$E$14*('ПЛАН ЧЕРН К2'!Q34*СПРАВОЧНИК!$H$14+'ПЛАН ЧЕРН К2'!R34*СПРАВОЧНИК!$I$14+'ПЛАН ЧЕРН К2'!S34*СПРАВОЧНИК!$J$14)+СПРАВОЧНИК!$F$14*('ПЛАН ЧИСТ К2'!AA34*СПРАВОЧНИК!$L$14+'ПЛАН ЧИСТ К2'!AB34*СПРАВОЧНИК!$M$14+'ПЛАН ЧИСТ К2'!AC34*СПРАВОЧНИК!$N$14+'ПЛАН ЧИСТ К2'!AD34*СПРАВОЧНИК!$O$14+'ПЛАН ЧИСТ К2'!AE34*СПРАВОЧНИК!$P$14)+СПРАВОЧНИК!$E$15*('ПЛАН ЧЕРН К2'!T34*СПРАВОЧНИК!$H$15+'ПЛАН ЧЕРН К2'!U34*СПРАВОЧНИК!$I$15+'ПЛАН ЧЕРН К2'!V34*СПРАВОЧНИК!$J$15)+СПРАВОЧНИК!$F$15*('ПЛАН ЧИСТ К2'!AF34*СПРАВОЧНИК!$L$15+'ПЛАН ЧИСТ К2'!AG34*СПРАВОЧНИК!$M$15+'ПЛАН ЧИСТ К2'!AH34*СПРАВОЧНИК!$N$15+'ПЛАН ЧИСТ К2'!AI34*СПРАВОЧНИК!$O$15+'ПЛАН ЧИСТ К2'!AJ34*СПРАВОЧНИК!$P$15)</f>
        <v/>
      </c>
      <c r="AN43" s="31">
        <f>СПРАВОЧНИК!$E$9*('ФАКТ ЧЕРН К2'!B34*СПРАВОЧНИК!$H$9+'ФАКТ ЧЕРН К2'!C34*СПРАВОЧНИК!$I$9+'ФАКТ ЧЕРН К2'!D34*СПРАВОЧНИК!$J$9)+СПРАВОЧНИК!$F$9*('ФАКТ ЧИСТ К2'!B34*СПРАВОЧНИК!$L$9+'ФАКТ ЧИСТ К2'!C34*СПРАВОЧНИК!$M$9+'ФАКТ ЧИСТ К2'!D34*СПРАВОЧНИК!$N$9+'ФАКТ ЧИСТ К2'!E34*СПРАВОЧНИК!$O$9+'ФАКТ ЧИСТ К2'!F34*СПРАВОЧНИК!$P$9)+СПРАВОЧНИК!$E$10*('ФАКТ ЧЕРН К2'!E34*СПРАВОЧНИК!$H$10+'ФАКТ ЧЕРН К2'!F34*СПРАВОЧНИК!$I$10+'ФАКТ ЧЕРН К2'!G34*СПРАВОЧНИК!$J$10)+СПРАВОЧНИК!$F$10*('ФАКТ ЧИСТ К2'!G34*СПРАВОЧНИК!$L$10+'ФАКТ ЧИСТ К2'!H34*СПРАВОЧНИК!$M$10+'ФАКТ ЧИСТ К2'!I34*СПРАВОЧНИК!$N$10+'ФАКТ ЧИСТ К2'!J34*СПРАВОЧНИК!$O$10+'ФАКТ ЧИСТ К2'!K34*СПРАВОЧНИК!$P$10)+СПРАВОЧНИК!$E$11*('ФАКТ ЧЕРН К2'!H34*СПРАВОЧНИК!$H$11+'ФАКТ ЧЕРН К2'!I34*СПРАВОЧНИК!$I$11+'ФАКТ ЧЕРН К2'!J34*СПРАВОЧНИК!$J$11)+СПРАВОЧНИК!$F$11*('ФАКТ ЧИСТ К2'!L34*СПРАВОЧНИК!$L$11+'ФАКТ ЧИСТ К2'!M34*СПРАВОЧНИК!$M$11+'ФАКТ ЧИСТ К2'!N34*СПРАВОЧНИК!$N$11+'ФАКТ ЧИСТ К2'!O34*СПРАВОЧНИК!$O$11+'ФАКТ ЧИСТ К2'!P34*СПРАВОЧНИК!$P$11)+СПРАВОЧНИК!$E$12*('ФАКТ ЧЕРН К2'!K34*СПРАВОЧНИК!$H$12+'ФАКТ ЧЕРН К2'!L34*СПРАВОЧНИК!$I$12+'ФАКТ ЧЕРН К2'!M34*СПРАВОЧНИК!$J$12)+СПРАВОЧНИК!$F$12*('ФАКТ ЧИСТ К2'!Q34*СПРАВОЧНИК!$L$12+'ФАКТ ЧИСТ К2'!R34*СПРАВОЧНИК!$M$12+'ФАКТ ЧИСТ К2'!S34*СПРАВОЧНИК!$N$12+'ФАКТ ЧИСТ К2'!T34*СПРАВОЧНИК!$O$12+'ФАКТ ЧИСТ К2'!U34*СПРАВОЧНИК!$P$12)+СПРАВОЧНИК!$E$13*('ФАКТ ЧЕРН К2'!N34*СПРАВОЧНИК!$H$13+'ФАКТ ЧЕРН К2'!O34*СПРАВОЧНИК!$I$13+'ФАКТ ЧЕРН К2'!P34*СПРАВОЧНИК!$J$13)+СПРАВОЧНИК!$F$13*('ФАКТ ЧИСТ К2'!V34*СПРАВОЧНИК!$L$13+'ФАКТ ЧИСТ К2'!W34*СПРАВОЧНИК!$M$13+'ФАКТ ЧИСТ К2'!X34*СПРАВОЧНИК!$N$13+'ФАКТ ЧИСТ К2'!Y34*СПРАВОЧНИК!$O$13+'ФАКТ ЧИСТ К2'!Z34*СПРАВОЧНИК!$P$13)+СПРАВОЧНИК!$E$14*('ФАКТ ЧЕРН К2'!Q34*СПРАВОЧНИК!$H$14+'ФАКТ ЧЕРН К2'!R34*СПРАВОЧНИК!$I$14+'ФАКТ ЧЕРН К2'!S34*СПРАВОЧНИК!$J$14)+СПРАВОЧНИК!$F$14*('ФАКТ ЧИСТ К2'!AA34*СПРАВОЧНИК!$L$14+'ФАКТ ЧИСТ К2'!AB34*СПРАВОЧНИК!$M$14+'ФАКТ ЧИСТ К2'!AC34*СПРАВОЧНИК!$N$14+'ФАКТ ЧИСТ К2'!AD34*СПРАВОЧНИК!$O$14+'ФАКТ ЧИСТ К2'!AE34*СПРАВОЧНИК!$P$14)+СПРАВОЧНИК!$E$15*('ФАКТ ЧЕРН К2'!T34*СПРАВОЧНИК!$H$15+'ФАКТ ЧЕРН К2'!U34*СПРАВОЧНИК!$I$15+'ФАКТ ЧЕРН К2'!V34*СПРАВОЧНИК!$J$15)+СПРАВОЧНИК!$F$15*('ФАКТ ЧИСТ К2'!AF34*СПРАВОЧНИК!$L$15+'ФАКТ ЧИСТ К2'!AG34*СПРАВОЧНИК!$M$15+'ФАКТ ЧИСТ К2'!AH34*СПРАВОЧНИК!$N$15+'ФАКТ ЧИСТ К2'!AI34*СПРАВОЧНИК!$O$15+'ФАКТ ЧИСТ К2'!AJ34*СПРАВОЧНИК!$P$15)</f>
        <v/>
      </c>
      <c r="AO43" s="34" t="n"/>
      <c r="AR43" s="152">
        <f>AR42+7</f>
        <v/>
      </c>
      <c r="AS43" s="17">
        <f>'ПЛАН ЧЕРН К2'!B34*СПРАВОЧНИК!$H$9+'ПЛАН ЧЕРН К2'!C34*СПРАВОЧНИК!$I$9+'ПЛАН ЧЕРН К2'!D34*СПРАВОЧНИК!$J$9+'ПЛАН ЧЕРН К2'!E34*СПРАВОЧНИК!$H$10+'ПЛАН ЧЕРН К2'!F34*СПРАВОЧНИК!$I$10+'ПЛАН ЧЕРН К2'!G34*СПРАВОЧНИК!$J$10+'ПЛАН ЧЕРН К2'!H34*СПРАВОЧНИК!$H$11+'ПЛАН ЧЕРН К2'!I34*СПРАВОЧНИК!$I$11+'ПЛАН ЧЕРН К2'!J34*СПРАВОЧНИК!$J$11+'ПЛАН ЧЕРН К2'!K34*СПРАВОЧНИК!$H$12+'ПЛАН ЧЕРН К2'!L34*СПРАВОЧНИК!$I$12+'ПЛАН ЧЕРН К2'!M34*СПРАВОЧНИК!$J$12+'ПЛАН ЧЕРН К2'!N34*СПРАВОЧНИК!$H$13+'ПЛАН ЧЕРН К2'!O34*СПРАВОЧНИК!$I$13+'ПЛАН ЧЕРН К2'!P34*СПРАВОЧНИК!$J$13+'ПЛАН ЧЕРН К2'!Q34*СПРАВОЧНИК!$H$14+'ПЛАН ЧЕРН К2'!R34*СПРАВОЧНИК!$I$14+'ПЛАН ЧЕРН К2'!S34*СПРАВОЧНИК!$J$14+'ПЛАН ЧЕРН К2'!T34*СПРАВОЧНИК!$H$15+'ПЛАН ЧЕРН К2'!U34*СПРАВОЧНИК!$I$15+'ПЛАН ЧЕРН К2'!V34*СПРАВОЧНИК!$J$15</f>
        <v/>
      </c>
      <c r="AT43" s="31">
        <f>('ФАКТ ЧЕРН К2'!B34)*СПРАВОЧНИК!$H$9+('ФАКТ ЧЕРН К2'!C34)*СПРАВОЧНИК!$I$9+('ФАКТ ЧЕРН К2'!D34)*СПРАВОЧНИК!$J$9+('ФАКТ ЧЕРН К2'!E34)*СПРАВОЧНИК!$H$10+('ФАКТ ЧЕРН К2'!F34)*СПРАВОЧНИК!$I$10+('ФАКТ ЧЕРН К2'!G34)*СПРАВОЧНИК!$J$10+('ФАКТ ЧЕРН К2'!H34)*СПРАВОЧНИК!$H$11+('ФАКТ ЧЕРН К2'!I34)*СПРАВОЧНИК!$I$11+('ФАКТ ЧЕРН К2'!J34)*СПРАВОЧНИК!$J$11+('ФАКТ ЧЕРН К2'!K34)*СПРАВОЧНИК!$H$12+('ФАКТ ЧЕРН К2'!L34)*СПРАВОЧНИК!$I$12+('ФАКТ ЧЕРН К2'!M34)*СПРАВОЧНИК!$J$12+('ФАКТ ЧЕРН К2'!N34)*СПРАВОЧНИК!$H$13+('ФАКТ ЧЕРН К2'!O34)*СПРАВОЧНИК!$I$13+('ФАКТ ЧЕРН К2'!P34)*СПРАВОЧНИК!$J$13+('ФАКТ ЧЕРН К2'!Q34)*СПРАВОЧНИК!$H$14+('ФАКТ ЧЕРН К2'!R34)*СПРАВОЧНИК!$I$14+('ФАКТ ЧЕРН К2'!S34)*СПРАВОЧНИК!$J$14+('ФАКТ ЧЕРН К2'!T34)*СПРАВОЧНИК!$H$15+('ФАКТ ЧЕРН К2'!U34)*СПРАВОЧНИК!$I$15+('ФАКТ ЧЕРН К2'!V34)*СПРАВОЧНИК!$J$15</f>
        <v/>
      </c>
      <c r="AU43" s="34" t="n"/>
      <c r="AX43" s="152">
        <f>AX42+7</f>
        <v/>
      </c>
      <c r="AY43" s="17">
        <f>'ПЛАН ЧИСТ К2'!B34*СПРАВОЧНИК!$L$9+'ПЛАН ЧИСТ К2'!C34*СПРАВОЧНИК!$M$9+'ПЛАН ЧИСТ К2'!D34*СПРАВОЧНИК!$N$9+'ПЛАН ЧИСТ К2'!E34*СПРАВОЧНИК!$O$9+'ПЛАН ЧИСТ К2'!F34*СПРАВОЧНИК!$P$9+'ПЛАН ЧИСТ К2'!G34*СПРАВОЧНИК!$L$10+'ПЛАН ЧИСТ К2'!H34*СПРАВОЧНИК!$M$10+'ПЛАН ЧИСТ К2'!I34*СПРАВОЧНИК!$N$10+'ПЛАН ЧИСТ К2'!J34*СПРАВОЧНИК!$O$10+'ПЛАН ЧИСТ К2'!K34*СПРАВОЧНИК!$P$10+'ПЛАН ЧИСТ К2'!L34*СПРАВОЧНИК!$L$11+'ПЛАН ЧИСТ К2'!M34*СПРАВОЧНИК!$M$11+'ПЛАН ЧИСТ К2'!N34*СПРАВОЧНИК!$N$11+'ПЛАН ЧИСТ К2'!O34*СПРАВОЧНИК!$O$11+'ПЛАН ЧИСТ К2'!P34*СПРАВОЧНИК!$P$11+'ПЛАН ЧИСТ К2'!Q34*СПРАВОЧНИК!$L$12+'ПЛАН ЧИСТ К2'!R34*СПРАВОЧНИК!$M$12+'ПЛАН ЧИСТ К2'!S34*СПРАВОЧНИК!$N$12+'ПЛАН ЧИСТ К2'!T34*СПРАВОЧНИК!$O$12+'ПЛАН ЧИСТ К2'!U34*СПРАВОЧНИК!$P$12+'ПЛАН ЧИСТ К2'!V34*СПРАВОЧНИК!$L$13+'ПЛАН ЧИСТ К2'!W34*СПРАВОЧНИК!$M$13+'ПЛАН ЧИСТ К2'!X34*СПРАВОЧНИК!$N$13+'ПЛАН ЧИСТ К2'!Y34*СПРАВОЧНИК!$O$13+'ПЛАН ЧИСТ К2'!Z34*СПРАВОЧНИК!$P$13+'ПЛАН ЧИСТ К2'!AA34*СПРАВОЧНИК!$L$14+'ПЛАН ЧИСТ К2'!AB34*СПРАВОЧНИК!$M$14+'ПЛАН ЧИСТ К2'!AC34*СПРАВОЧНИК!$N$14+'ПЛАН ЧИСТ К2'!AD34*СПРАВОЧНИК!$O$14+'ПЛАН ЧИСТ К2'!AE34*СПРАВОЧНИК!$P$14+'ПЛАН ЧИСТ К2'!AF34*СПРАВОЧНИК!$L$15+'ПЛАН ЧИСТ К2'!AG34*СПРАВОЧНИК!$M$15+'ПЛАН ЧИСТ К2'!AH34*СПРАВОЧНИК!$N$15+'ПЛАН ЧИСТ К2'!AI34*СПРАВОЧНИК!$O$15+'ПЛАН ЧИСТ К2'!AJ34*СПРАВОЧНИК!$P$15</f>
        <v/>
      </c>
      <c r="AZ43" s="31">
        <f>('ФАКТ ЧИСТ К2'!B34)*СПРАВОЧНИК!$L$9+('ФАКТ ЧИСТ К2'!C34)*СПРАВОЧНИК!$M$9+('ФАКТ ЧИСТ К2'!D34)*СПРАВОЧНИК!$N$9+('ФАКТ ЧИСТ К2'!E34)*СПРАВОЧНИК!$O$9+('ФАКТ ЧИСТ К2'!F34)*СПРАВОЧНИК!$P$9+('ФАКТ ЧИСТ К2'!G34)*СПРАВОЧНИК!$L$10+('ФАКТ ЧИСТ К2'!H34)*СПРАВОЧНИК!$M$10+('ФАКТ ЧИСТ К2'!I34)*СПРАВОЧНИК!$N$10+('ФАКТ ЧИСТ К2'!J34)*СПРАВОЧНИК!$O$10+('ФАКТ ЧИСТ К2'!K34)*СПРАВОЧНИК!$P$10+('ФАКТ ЧИСТ К2'!L34)*СПРАВОЧНИК!$L$11+('ФАКТ ЧИСТ К2'!M34)*СПРАВОЧНИК!$M$11+('ФАКТ ЧИСТ К2'!N34)*СПРАВОЧНИК!$N$11+('ФАКТ ЧИСТ К2'!O34)*СПРАВОЧНИК!$O$11+('ФАКТ ЧИСТ К2'!P34)*СПРАВОЧНИК!$P$11+('ФАКТ ЧИСТ К2'!Q34)*СПРАВОЧНИК!$L$12+('ФАКТ ЧИСТ К2'!R34)*СПРАВОЧНИК!$M$12+('ФАКТ ЧИСТ К2'!S34)*СПРАВОЧНИК!$N$12+('ФАКТ ЧИСТ К2'!T34)*СПРАВОЧНИК!$O$12+('ФАКТ ЧИСТ К2'!U34)*СПРАВОЧНИК!$P$12+('ФАКТ ЧИСТ К2'!V34)*СПРАВОЧНИК!$L$13+('ФАКТ ЧИСТ К2'!W34)*СПРАВОЧНИК!$M$13+('ФАКТ ЧИСТ К2'!X34)*СПРАВОЧНИК!$N$13+('ФАКТ ЧИСТ К2'!Y34)*СПРАВОЧНИК!$O$13+('ФАКТ ЧИСТ К2'!Z34)*СПРАВОЧНИК!$P$13+('ФАКТ ЧИСТ К2'!AA34)*СПРАВОЧНИК!$L$14+('ФАКТ ЧИСТ К2'!AB34)*СПРАВОЧНИК!$M$14+('ФАКТ ЧИСТ К2'!AC34)*СПРАВОЧНИК!$N$14+('ФАКТ ЧИСТ К2'!AD34)*СПРАВОЧНИК!$O$14+('ФАКТ ЧИСТ К2'!AE34)*СПРАВОЧНИК!$P$14+('ФАКТ ЧИСТ К2'!AF34)*СПРАВОЧНИК!$L$15+('ФАКТ ЧИСТ К2'!AG34)*СПРАВОЧНИК!$M$15+('ФАКТ ЧИСТ К2'!AH34)*СПРАВОЧНИК!$N$15+('ФАКТ ЧИСТ К2'!AI34)*СПРАВОЧНИК!$O$15+('ФАКТ ЧИСТ К2'!AJ34)*СПРАВОЧНИК!$P$15</f>
        <v/>
      </c>
      <c r="BA43" s="34" t="n"/>
      <c r="BD43" s="152">
        <f>BD42+7</f>
        <v/>
      </c>
      <c r="BE43" s="17">
        <f>СПРАВОЧНИК!$E$9*('ПЛАН ЧЕРН К3'!B34*СПРАВОЧНИК!$H$9+'ПЛАН ЧЕРН К3'!C34*СПРАВОЧНИК!$I$9+'ПЛАН ЧЕРН К3'!D34*СПРАВОЧНИК!$J$9)+СПРАВОЧНИК!$F$9*('ПЛАН ЧИСТ К3'!B34*СПРАВОЧНИК!$L$9+'ПЛАН ЧИСТ К3'!C34*СПРАВОЧНИК!$M$9+'ПЛАН ЧИСТ К3'!D34*СПРАВОЧНИК!$N$9+'ПЛАН ЧИСТ К3'!E34*СПРАВОЧНИК!$O$9+'ПЛАН ЧИСТ К3'!F34*СПРАВОЧНИК!$P$9)+СПРАВОЧНИК!$E$10*('ПЛАН ЧЕРН К3'!E34*СПРАВОЧНИК!$H$10+'ПЛАН ЧЕРН К3'!F34*СПРАВОЧНИК!$I$10+'ПЛАН ЧЕРН К3'!G34*СПРАВОЧНИК!$J$10)+СПРАВОЧНИК!$F$10*('ПЛАН ЧИСТ К3'!G34*СПРАВОЧНИК!$L$10+'ПЛАН ЧИСТ К3'!H34*СПРАВОЧНИК!$M$10+'ПЛАН ЧИСТ К3'!I34*СПРАВОЧНИК!$N$10+'ПЛАН ЧИСТ К3'!J34*СПРАВОЧНИК!$O$10+'ПЛАН ЧИСТ К3'!K34*СПРАВОЧНИК!$P$10)+СПРАВОЧНИК!$E$11*('ПЛАН ЧЕРН К3'!H34*СПРАВОЧНИК!$H$11+'ПЛАН ЧЕРН К3'!I34*СПРАВОЧНИК!$I$11+'ПЛАН ЧЕРН К3'!J34*СПРАВОЧНИК!$J$11)+СПРАВОЧНИК!$F$11*('ПЛАН ЧИСТ К3'!L34*СПРАВОЧНИК!$L$11+'ПЛАН ЧИСТ К3'!M34*СПРАВОЧНИК!$M$11+'ПЛАН ЧИСТ К3'!N34*СПРАВОЧНИК!$N$11+'ПЛАН ЧИСТ К3'!O34*СПРАВОЧНИК!$O$11+'ПЛАН ЧИСТ К3'!P34*СПРАВОЧНИК!$P$11)+СПРАВОЧНИК!$E$12*('ПЛАН ЧЕРН К3'!K34*СПРАВОЧНИК!$H$12+'ПЛАН ЧЕРН К3'!L34*СПРАВОЧНИК!$I$12+'ПЛАН ЧЕРН К3'!M34*СПРАВОЧНИК!$J$12)+СПРАВОЧНИК!$F$12*('ПЛАН ЧИСТ К3'!Q34*СПРАВОЧНИК!$L$12+'ПЛАН ЧИСТ К3'!R34*СПРАВОЧНИК!$M$12+'ПЛАН ЧИСТ К3'!S34*СПРАВОЧНИК!$N$12+'ПЛАН ЧИСТ К3'!T34*СПРАВОЧНИК!$O$12+'ПЛАН ЧИСТ К3'!U34*СПРАВОЧНИК!$P$12)+СПРАВОЧНИК!$E$13*('ПЛАН ЧЕРН К3'!N34*СПРАВОЧНИК!$H$13+'ПЛАН ЧЕРН К3'!O34*СПРАВОЧНИК!$I$13+'ПЛАН ЧЕРН К3'!P34*СПРАВОЧНИК!$J$13)+СПРАВОЧНИК!$F$13*('ПЛАН ЧИСТ К3'!V34*СПРАВОЧНИК!$L$13+'ПЛАН ЧИСТ К3'!W34*СПРАВОЧНИК!$M$13+'ПЛАН ЧИСТ К3'!X34*СПРАВОЧНИК!$N$13+'ПЛАН ЧИСТ К3'!Y34*СПРАВОЧНИК!$O$13+'ПЛАН ЧИСТ К3'!Z34*СПРАВОЧНИК!$P$13)+СПРАВОЧНИК!$E$14*('ПЛАН ЧЕРН К3'!Q34*СПРАВОЧНИК!$H$14+'ПЛАН ЧЕРН К3'!R34*СПРАВОЧНИК!$I$14+'ПЛАН ЧЕРН К3'!S34*СПРАВОЧНИК!$J$14)+СПРАВОЧНИК!$F$14*('ПЛАН ЧИСТ К3'!AA34*СПРАВОЧНИК!$L$14+'ПЛАН ЧИСТ К3'!AB34*СПРАВОЧНИК!$M$14+'ПЛАН ЧИСТ К3'!AC34*СПРАВОЧНИК!$N$14+'ПЛАН ЧИСТ К3'!AD34*СПРАВОЧНИК!$O$14+'ПЛАН ЧИСТ К3'!AE34*СПРАВОЧНИК!$P$14)+СПРАВОЧНИК!$E$15*('ПЛАН ЧЕРН К3'!T34*СПРАВОЧНИК!$H$15+'ПЛАН ЧЕРН К3'!U34*СПРАВОЧНИК!$I$15+'ПЛАН ЧЕРН К3'!V34*СПРАВОЧНИК!$J$15)+СПРАВОЧНИК!$F$15*('ПЛАН ЧИСТ К3'!AF34*СПРАВОЧНИК!$L$15+'ПЛАН ЧИСТ К3'!AG34*СПРАВОЧНИК!$M$15+'ПЛАН ЧИСТ К3'!AH34*СПРАВОЧНИК!$N$15+'ПЛАН ЧИСТ К3'!AI34*СПРАВОЧНИК!$O$15+'ПЛАН ЧИСТ К3'!AJ34*СПРАВОЧНИК!$P$15)</f>
        <v/>
      </c>
      <c r="BF43" s="31">
        <f>СПРАВОЧНИК!$E$9*('ФАКТ ЧЕРН К3'!B34*СПРАВОЧНИК!$H$9+'ФАКТ ЧЕРН К3'!C34*СПРАВОЧНИК!$I$9+'ФАКТ ЧЕРН К3'!D34*СПРАВОЧНИК!$J$9)+СПРАВОЧНИК!$F$9*('ФАКТ ЧИСТ К3'!B34*СПРАВОЧНИК!$L$9+'ФАКТ ЧИСТ К3'!C34*СПРАВОЧНИК!$M$9+'ФАКТ ЧИСТ К3'!D34*СПРАВОЧНИК!$N$9+'ФАКТ ЧИСТ К3'!E34*СПРАВОЧНИК!$O$9+'ФАКТ ЧИСТ К3'!F34*СПРАВОЧНИК!$P$9)+СПРАВОЧНИК!$E$10*('ФАКТ ЧЕРН К3'!E34*СПРАВОЧНИК!$H$10+'ФАКТ ЧЕРН К3'!F34*СПРАВОЧНИК!$I$10+'ФАКТ ЧЕРН К3'!G34*СПРАВОЧНИК!$J$10)+СПРАВОЧНИК!$F$10*('ФАКТ ЧИСТ К3'!G34*СПРАВОЧНИК!$L$10+'ФАКТ ЧИСТ К3'!H34*СПРАВОЧНИК!$M$10+'ФАКТ ЧИСТ К3'!I34*СПРАВОЧНИК!$N$10+'ФАКТ ЧИСТ К3'!J34*СПРАВОЧНИК!$O$10+'ФАКТ ЧИСТ К3'!K34*СПРАВОЧНИК!$P$10)+СПРАВОЧНИК!$E$11*('ФАКТ ЧЕРН К3'!H34*СПРАВОЧНИК!$H$11+'ФАКТ ЧЕРН К3'!I34*СПРАВОЧНИК!$I$11+'ФАКТ ЧЕРН К3'!J34*СПРАВОЧНИК!$J$11)+СПРАВОЧНИК!$F$11*('ФАКТ ЧИСТ К3'!L34*СПРАВОЧНИК!$L$11+'ФАКТ ЧИСТ К3'!M34*СПРАВОЧНИК!$M$11+'ФАКТ ЧИСТ К3'!N34*СПРАВОЧНИК!$N$11+'ФАКТ ЧИСТ К3'!O34*СПРАВОЧНИК!$O$11+'ФАКТ ЧИСТ К3'!P34*СПРАВОЧНИК!$P$11)+СПРАВОЧНИК!$E$12*('ФАКТ ЧЕРН К3'!K34*СПРАВОЧНИК!$H$12+'ФАКТ ЧЕРН К3'!L34*СПРАВОЧНИК!$I$12+'ФАКТ ЧЕРН К3'!M34*СПРАВОЧНИК!$J$12)+СПРАВОЧНИК!$F$12*('ФАКТ ЧИСТ К3'!Q34*СПРАВОЧНИК!$L$12+'ФАКТ ЧИСТ К3'!R34*СПРАВОЧНИК!$M$12+'ФАКТ ЧИСТ К3'!S34*СПРАВОЧНИК!$N$12+'ФАКТ ЧИСТ К3'!T34*СПРАВОЧНИК!$O$12+'ФАКТ ЧИСТ К3'!U34*СПРАВОЧНИК!$P$12)+СПРАВОЧНИК!$E$13*('ФАКТ ЧЕРН К3'!N34*СПРАВОЧНИК!$H$13+'ФАКТ ЧЕРН К3'!O34*СПРАВОЧНИК!$I$13+'ФАКТ ЧЕРН К3'!P34*СПРАВОЧНИК!$J$13)+СПРАВОЧНИК!$F$13*('ФАКТ ЧИСТ К3'!V34*СПРАВОЧНИК!$L$13+'ФАКТ ЧИСТ К3'!W34*СПРАВОЧНИК!$M$13+'ФАКТ ЧИСТ К3'!X34*СПРАВОЧНИК!$N$13+'ФАКТ ЧИСТ К3'!Y34*СПРАВОЧНИК!$O$13+'ФАКТ ЧИСТ К3'!Z34*СПРАВОЧНИК!$P$13)+СПРАВОЧНИК!$E$14*('ФАКТ ЧЕРН К3'!Q34*СПРАВОЧНИК!$H$14+'ФАКТ ЧЕРН К3'!R34*СПРАВОЧНИК!$I$14+'ФАКТ ЧЕРН К3'!S34*СПРАВОЧНИК!$J$14)+СПРАВОЧНИК!$F$14*('ФАКТ ЧИСТ К3'!AA34*СПРАВОЧНИК!$L$14+'ФАКТ ЧИСТ К3'!AB34*СПРАВОЧНИК!$M$14+'ФАКТ ЧИСТ К3'!AC34*СПРАВОЧНИК!$N$14+'ФАКТ ЧИСТ К3'!AD34*СПРАВОЧНИК!$O$14+'ФАКТ ЧИСТ К3'!AE34*СПРАВОЧНИК!$P$14)+СПРАВОЧНИК!$E$15*('ФАКТ ЧЕРН К3'!T34*СПРАВОЧНИК!$H$15+'ФАКТ ЧЕРН К3'!U34*СПРАВОЧНИК!$I$15+'ФАКТ ЧЕРН К3'!V34*СПРАВОЧНИК!$J$15)+СПРАВОЧНИК!$F$15*('ФАКТ ЧИСТ К3'!AF34*СПРАВОЧНИК!$L$15+'ФАКТ ЧИСТ К3'!AG34*СПРАВОЧНИК!$M$15+'ФАКТ ЧИСТ К3'!AH34*СПРАВОЧНИК!$N$15+'ФАКТ ЧИСТ К3'!AI34*СПРАВОЧНИК!$O$15+'ФАКТ ЧИСТ К3'!AJ34*СПРАВОЧНИК!$P$15)</f>
        <v/>
      </c>
      <c r="BG43" s="34" t="n"/>
      <c r="BJ43" s="152">
        <f>BJ42+7</f>
        <v/>
      </c>
      <c r="BK43" s="17">
        <f>'ПЛАН ЧЕРН К3'!B34*СПРАВОЧНИК!$H$9+'ПЛАН ЧЕРН К3'!C34*СПРАВОЧНИК!$I$9+'ПЛАН ЧЕРН К3'!D34*СПРАВОЧНИК!$J$9+'ПЛАН ЧЕРН К3'!E34*СПРАВОЧНИК!$H$10+'ПЛАН ЧЕРН К3'!F34*СПРАВОЧНИК!$I$10+'ПЛАН ЧЕРН К3'!G34*СПРАВОЧНИК!$J$10+'ПЛАН ЧЕРН К3'!H34*СПРАВОЧНИК!$H$11+'ПЛАН ЧЕРН К3'!I34*СПРАВОЧНИК!$I$11+'ПЛАН ЧЕРН К3'!J34*СПРАВОЧНИК!$J$11+'ПЛАН ЧЕРН К3'!K34*СПРАВОЧНИК!$H$12+'ПЛАН ЧЕРН К3'!L34*СПРАВОЧНИК!$I$12+'ПЛАН ЧЕРН К3'!M34*СПРАВОЧНИК!$J$12+'ПЛАН ЧЕРН К3'!N34*СПРАВОЧНИК!$H$13+'ПЛАН ЧЕРН К3'!O34*СПРАВОЧНИК!$I$13+'ПЛАН ЧЕРН К3'!P34*СПРАВОЧНИК!$J$13+'ПЛАН ЧЕРН К3'!Q34*СПРАВОЧНИК!$H$14+'ПЛАН ЧЕРН К3'!R34*СПРАВОЧНИК!$I$14+'ПЛАН ЧЕРН К3'!S34*СПРАВОЧНИК!$J$14+'ПЛАН ЧЕРН К3'!T34*СПРАВОЧНИК!$H$15+'ПЛАН ЧЕРН К3'!U34*СПРАВОЧНИК!$I$15+'ПЛАН ЧЕРН К3'!V34*СПРАВОЧНИК!$J$15</f>
        <v/>
      </c>
      <c r="BL43" s="31">
        <f>('ФАКТ ЧЕРН К3'!B34)*СПРАВОЧНИК!$H$9+('ФАКТ ЧЕРН К3'!C34)*СПРАВОЧНИК!$I$9+('ФАКТ ЧЕРН К3'!D34)*СПРАВОЧНИК!$J$9+('ФАКТ ЧЕРН К3'!E34)*СПРАВОЧНИК!$H$10+('ФАКТ ЧЕРН К3'!F34)*СПРАВОЧНИК!$I$10+('ФАКТ ЧЕРН К3'!G34)*СПРАВОЧНИК!$J$10+('ФАКТ ЧЕРН К3'!H34)*СПРАВОЧНИК!$H$11+('ФАКТ ЧЕРН К3'!I34)*СПРАВОЧНИК!$I$11+('ФАКТ ЧЕРН К3'!J34)*СПРАВОЧНИК!$J$11+('ФАКТ ЧЕРН К3'!K34)*СПРАВОЧНИК!$H$12+('ФАКТ ЧЕРН К3'!L34)*СПРАВОЧНИК!$I$12+('ФАКТ ЧЕРН К3'!M34)*СПРАВОЧНИК!$J$12+('ФАКТ ЧЕРН К3'!N34)*СПРАВОЧНИК!$H$13+('ФАКТ ЧЕРН К3'!O34)*СПРАВОЧНИК!$I$13+('ФАКТ ЧЕРН К3'!P34)*СПРАВОЧНИК!$J$13+('ФАКТ ЧЕРН К3'!Q34)*СПРАВОЧНИК!$H$14+('ФАКТ ЧЕРН К3'!R34)*СПРАВОЧНИК!$I$14+('ФАКТ ЧЕРН К3'!S34)*СПРАВОЧНИК!$J$14+('ФАКТ ЧЕРН К3'!T34)*СПРАВОЧНИК!$H$15+('ФАКТ ЧЕРН К3'!U34)*СПРАВОЧНИК!$I$15+('ФАКТ ЧЕРН К3'!V34)*СПРАВОЧНИК!$J$15</f>
        <v/>
      </c>
      <c r="BM43" s="34" t="n"/>
      <c r="BP43" s="152">
        <f>BP42+7</f>
        <v/>
      </c>
      <c r="BQ43" s="17">
        <f>'ПЛАН ЧИСТ К3'!B34*СПРАВОЧНИК!$L$9+'ПЛАН ЧИСТ К3'!C34*СПРАВОЧНИК!$M$9+'ПЛАН ЧИСТ К3'!D34*СПРАВОЧНИК!$N$9+'ПЛАН ЧИСТ К3'!E34*СПРАВОЧНИК!$O$9+'ПЛАН ЧИСТ К3'!F34*СПРАВОЧНИК!$P$9+'ПЛАН ЧИСТ К3'!G34*СПРАВОЧНИК!$L$10+'ПЛАН ЧИСТ К3'!H34*СПРАВОЧНИК!$M$10+'ПЛАН ЧИСТ К3'!I34*СПРАВОЧНИК!$N$10+'ПЛАН ЧИСТ К3'!J34*СПРАВОЧНИК!$O$10+'ПЛАН ЧИСТ К3'!K34*СПРАВОЧНИК!$P$10+'ПЛАН ЧИСТ К3'!L34*СПРАВОЧНИК!$L$11+'ПЛАН ЧИСТ К3'!M34*СПРАВОЧНИК!$M$11+'ПЛАН ЧИСТ К3'!N34*СПРАВОЧНИК!$N$11+'ПЛАН ЧИСТ К3'!O34*СПРАВОЧНИК!$O$11+'ПЛАН ЧИСТ К3'!P34*СПРАВОЧНИК!$P$11+'ПЛАН ЧИСТ К3'!Q34*СПРАВОЧНИК!$L$12+'ПЛАН ЧИСТ К3'!R34*СПРАВОЧНИК!$M$12+'ПЛАН ЧИСТ К3'!S34*СПРАВОЧНИК!$N$12+'ПЛАН ЧИСТ К3'!T34*СПРАВОЧНИК!$O$12+'ПЛАН ЧИСТ К3'!U34*СПРАВОЧНИК!$P$12+'ПЛАН ЧИСТ К3'!V34*СПРАВОЧНИК!$L$13+'ПЛАН ЧИСТ К3'!W34*СПРАВОЧНИК!$M$13+'ПЛАН ЧИСТ К3'!X34*СПРАВОЧНИК!$N$13+'ПЛАН ЧИСТ К3'!Y34*СПРАВОЧНИК!$O$13+'ПЛАН ЧИСТ К3'!Z34*СПРАВОЧНИК!$P$13+'ПЛАН ЧИСТ К3'!AA34*СПРАВОЧНИК!$L$14+'ПЛАН ЧИСТ К3'!AB34*СПРАВОЧНИК!$M$14+'ПЛАН ЧИСТ К3'!AC34*СПРАВОЧНИК!$N$14+'ПЛАН ЧИСТ К3'!AD34*СПРАВОЧНИК!$O$14+'ПЛАН ЧИСТ К3'!AE34*СПРАВОЧНИК!$P$14+'ПЛАН ЧИСТ К3'!AF34*СПРАВОЧНИК!$L$15+'ПЛАН ЧИСТ К3'!AG34*СПРАВОЧНИК!$M$15+'ПЛАН ЧИСТ К3'!AH34*СПРАВОЧНИК!$N$15+'ПЛАН ЧИСТ К3'!AI34*СПРАВОЧНИК!$O$15+'ПЛАН ЧИСТ К3'!AJ34*СПРАВОЧНИК!$P$15</f>
        <v/>
      </c>
      <c r="BR43" s="31">
        <f>('ФАКТ ЧИСТ К3'!B34)*СПРАВОЧНИК!$L$9+('ФАКТ ЧИСТ К3'!C34)*СПРАВОЧНИК!$M$9+('ФАКТ ЧИСТ К3'!D34)*СПРАВОЧНИК!$N$9+('ФАКТ ЧИСТ К3'!E34)*СПРАВОЧНИК!$O$9+('ФАКТ ЧИСТ К3'!F34)*СПРАВОЧНИК!$P$9+('ФАКТ ЧИСТ К3'!G34)*СПРАВОЧНИК!$L$10+('ФАКТ ЧИСТ К3'!H34)*СПРАВОЧНИК!$M$10+('ФАКТ ЧИСТ К3'!I34)*СПРАВОЧНИК!$N$10+('ФАКТ ЧИСТ К3'!J34)*СПРАВОЧНИК!$O$10+('ФАКТ ЧИСТ К3'!K34)*СПРАВОЧНИК!$P$10+('ФАКТ ЧИСТ К3'!L34)*СПРАВОЧНИК!$L$11+('ФАКТ ЧИСТ К3'!M34)*СПРАВОЧНИК!$M$11+('ФАКТ ЧИСТ К3'!N34)*СПРАВОЧНИК!$N$11+('ФАКТ ЧИСТ К3'!O34)*СПРАВОЧНИК!$O$11+('ФАКТ ЧИСТ К3'!P34)*СПРАВОЧНИК!$P$11+('ФАКТ ЧИСТ К3'!Q34)*СПРАВОЧНИК!$L$12+('ФАКТ ЧИСТ К3'!R34)*СПРАВОЧНИК!$M$12+('ФАКТ ЧИСТ К3'!S34)*СПРАВОЧНИК!$N$12+('ФАКТ ЧИСТ К3'!T34)*СПРАВОЧНИК!$O$12+('ФАКТ ЧИСТ К3'!U34)*СПРАВОЧНИК!$P$12+('ФАКТ ЧИСТ К3'!V34)*СПРАВОЧНИК!$L$13+('ФАКТ ЧИСТ К3'!W34)*СПРАВОЧНИК!$M$13+('ФАКТ ЧИСТ К3'!X34)*СПРАВОЧНИК!$N$13+('ФАКТ ЧИСТ К3'!Y34)*СПРАВОЧНИК!$O$13+('ФАКТ ЧИСТ К3'!Z34)*СПРАВОЧНИК!$P$13+('ФАКТ ЧИСТ К3'!AA34)*СПРАВОЧНИК!$L$14+('ФАКТ ЧИСТ К3'!AB34)*СПРАВОЧНИК!$M$14+('ФАКТ ЧИСТ К3'!AC34)*СПРАВОЧНИК!$N$14+('ФАКТ ЧИСТ К3'!AD34)*СПРАВОЧНИК!$O$14+('ФАКТ ЧИСТ К3'!AE34)*СПРАВОЧНИК!$P$14+('ФАКТ ЧИСТ К3'!AF34)*СПРАВОЧНИК!$L$15+('ФАКТ ЧИСТ К3'!AG34)*СПРАВОЧНИК!$M$15+('ФАКТ ЧИСТ К3'!AH34)*СПРАВОЧНИК!$N$15+('ФАКТ ЧИСТ К3'!AI34)*СПРАВОЧНИК!$O$15+('ФАКТ ЧИСТ К3'!AJ34)*СПРАВОЧНИК!$P$15</f>
        <v/>
      </c>
      <c r="BS43" s="34" t="n"/>
      <c r="BV43" s="152">
        <f>BV42+7</f>
        <v/>
      </c>
      <c r="BW43" s="17">
        <f>U43*СПРАВОЧНИК!$K$28+AM43*СПРАВОЧНИК!$K$29+BE43*СПРАВОЧНИК!$K$30</f>
        <v/>
      </c>
      <c r="BX43" s="31">
        <f>V43*СПРАВОЧНИК!$K$28+AN43*СПРАВОЧНИК!$K$29+BF43*СПРАВОЧНИК!$K$30</f>
        <v/>
      </c>
      <c r="BY43" s="34" t="n"/>
      <c r="CB43" s="152">
        <f>CB42+7</f>
        <v/>
      </c>
      <c r="CC43" s="17">
        <f>AA43*СПРАВОЧНИК!$K$28+AS43*СПРАВОЧНИК!$K$29+BK43*СПРАВОЧНИК!$K$30</f>
        <v/>
      </c>
      <c r="CD43" s="31">
        <f>AB43*СПРАВОЧНИК!$K$28+AT43*СПРАВОЧНИК!$K$29+BL43*СПРАВОЧНИК!$K$30</f>
        <v/>
      </c>
      <c r="CE43" s="34" t="n"/>
      <c r="CH43" s="152">
        <f>CH42+7</f>
        <v/>
      </c>
      <c r="CI43" s="17">
        <f>AG43*СПРАВОЧНИК!$K$28+AY43*СПРАВОЧНИК!$K$29+BQ43*СПРАВОЧНИК!$K$30</f>
        <v/>
      </c>
      <c r="CJ43" s="31">
        <f>AH43*СПРАВОЧНИК!$K$28+AZ43*СПРАВОЧНИК!$K$29+BR43*СПРАВОЧНИК!$K$30</f>
        <v/>
      </c>
      <c r="CK43" s="34" t="n"/>
      <c r="CN43" s="152">
        <f>CN42+7</f>
        <v/>
      </c>
      <c r="CO43" s="17">
        <f>C43*СПРАВОЧНИК!$W$18+BW43*СПРАВОЧНИК!$W$19</f>
        <v/>
      </c>
      <c r="CP43" s="31">
        <f>D43*СПРАВОЧНИК!$W$18+BX43*СПРАВОЧНИК!$W$19</f>
        <v/>
      </c>
      <c r="CQ43" s="34" t="n"/>
      <c r="CT43" s="152">
        <f>CT42+7</f>
        <v/>
      </c>
      <c r="CU43" s="17">
        <f>I43*СПРАВОЧНИК!$W$18+CC43*СПРАВОЧНИК!$W$19</f>
        <v/>
      </c>
      <c r="CV43" s="31">
        <f>J43*СПРАВОЧНИК!$W$18+CD43*СПРАВОЧНИК!$W$19</f>
        <v/>
      </c>
      <c r="CW43" s="34" t="n"/>
      <c r="CZ43" s="152">
        <f>CZ42+7</f>
        <v/>
      </c>
      <c r="DA43" s="17">
        <f>O43*СПРАВОЧНИК!$W$18+CI43*СПРАВОЧНИК!$W$19</f>
        <v/>
      </c>
      <c r="DB43" s="31">
        <f>P43*СПРАВОЧНИК!$W$18+CJ43*СПРАВОЧНИК!$W$19</f>
        <v/>
      </c>
      <c r="DC43" s="34" t="n"/>
    </row>
    <row r="44">
      <c r="B44" s="152">
        <f>B43+7</f>
        <v/>
      </c>
      <c r="C44" s="17">
        <f>СПРАВОЧНИК!$E$3*('ПЛАН ЧЕРН ПОДЗЕМ'!B35*СПРАВОЧНИК!$H$3+'ПЛАН ЧЕРН ПОДЗЕМ'!C35*СПРАВОЧНИК!$I$3+'ПЛАН ЧЕРН ПОДЗЕМ'!D35*СПРАВОЧНИК!$J$3)+СПРАВОЧНИК!$F$3*('ПЛАН ЧИСТ ПОДЗЕМ'!B35*СПРАВОЧНИК!$L$3+'ПЛАН ЧИСТ ПОДЗЕМ'!C35*СПРАВОЧНИК!$M$3+'ПЛАН ЧИСТ ПОДЗЕМ'!D35*СПРАВОЧНИК!$N$3+'ПЛАН ЧИСТ ПОДЗЕМ'!E35*СПРАВОЧНИК!$O$3+'ПЛАН ЧИСТ ПОДЗЕМ'!F35*СПРАВОЧНИК!$P$3)+СПРАВОЧНИК!$E$4*('ПЛАН ЧЕРН ПОДЗЕМ'!E35*СПРАВОЧНИК!$H$4+'ПЛАН ЧЕРН ПОДЗЕМ'!F35*СПРАВОЧНИК!$I$4+'ПЛАН ЧЕРН ПОДЗЕМ'!G35*СПРАВОЧНИК!$J$4)+СПРАВОЧНИК!$F$4*('ПЛАН ЧИСТ ПОДЗЕМ'!G35*СПРАВОЧНИК!$L$4+'ПЛАН ЧИСТ ПОДЗЕМ'!H35*СПРАВОЧНИК!$M$4+'ПЛАН ЧИСТ ПОДЗЕМ'!I35*СПРАВОЧНИК!$N$4+'ПЛАН ЧИСТ ПОДЗЕМ'!J35*СПРАВОЧНИК!$O$4+'ПЛАН ЧИСТ ПОДЗЕМ'!K35*СПРАВОЧНИК!$P$4)+СПРАВОЧНИК!$E$5*('ПЛАН ЧЕРН ПОДЗЕМ'!H35*СПРАВОЧНИК!$H$5+'ПЛАН ЧЕРН ПОДЗЕМ'!I35*СПРАВОЧНИК!$I$5+'ПЛАН ЧЕРН ПОДЗЕМ'!J35*СПРАВОЧНИК!$J$5)+СПРАВОЧНИК!$F$5*('ПЛАН ЧИСТ ПОДЗЕМ'!L35*СПРАВОЧНИК!$L$5+'ПЛАН ЧИСТ ПОДЗЕМ'!M35*СПРАВОЧНИК!$M$5+'ПЛАН ЧИСТ ПОДЗЕМ'!N35*СПРАВОЧНИК!$N$5+'ПЛАН ЧИСТ ПОДЗЕМ'!O35*СПРАВОЧНИК!$O$5+'ПЛАН ЧИСТ ПОДЗЕМ'!P35*СПРАВОЧНИК!$P$5)+СПРАВОЧНИК!$E$6*('ПЛАН ЧЕРН ПОДЗЕМ'!K35*СПРАВОЧНИК!$H$6+'ПЛАН ЧЕРН ПОДЗЕМ'!L35*СПРАВОЧНИК!$I$6+'ПЛАН ЧЕРН ПОДЗЕМ'!M35*СПРАВОЧНИК!$J$6)+СПРАВОЧНИК!$F$6*('ПЛАН ЧИСТ ПОДЗЕМ'!Q35*СПРАВОЧНИК!$L$6+'ПЛАН ЧИСТ ПОДЗЕМ'!R35*СПРАВОЧНИК!$M$6+'ПЛАН ЧИСТ ПОДЗЕМ'!S35*СПРАВОЧНИК!$N$6+'ПЛАН ЧИСТ ПОДЗЕМ'!T35*СПРАВОЧНИК!$O$6+'ПЛАН ЧИСТ ПОДЗЕМ'!U35*СПРАВОЧНИК!$P$6)+СПРАВОЧНИК!$E$7*('ПЛАН ЧЕРН ПОДЗЕМ'!N35*СПРАВОЧНИК!$H$7+'ПЛАН ЧЕРН ПОДЗЕМ'!O35*СПРАВОЧНИК!$I$7+'ПЛАН ЧЕРН ПОДЗЕМ'!P35*СПРАВОЧНИК!$J$7)+СПРАВОЧНИК!$F$7*('ПЛАН ЧИСТ ПОДЗЕМ'!V35*СПРАВОЧНИК!$L$7+'ПЛАН ЧИСТ ПОДЗЕМ'!W35*СПРАВОЧНИК!$M$7+'ПЛАН ЧИСТ ПОДЗЕМ'!X35*СПРАВОЧНИК!$N$7+'ПЛАН ЧИСТ ПОДЗЕМ'!Y35*СПРАВОЧНИК!$O$7+'ПЛАН ЧИСТ ПОДЗЕМ'!Z35*СПРАВОЧНИК!$P$7)+СПРАВОЧНИК!$E$8*('ПЛАН ЧЕРН ПОДЗЕМ'!Q35*СПРАВОЧНИК!$H$8+'ПЛАН ЧЕРН ПОДЗЕМ'!R35*СПРАВОЧНИК!$I$8+'ПЛАН ЧЕРН ПОДЗЕМ'!S35*СПРАВОЧНИК!$J$8)+СПРАВОЧНИК!$F$8*('ПЛАН ЧИСТ ПОДЗЕМ'!AA35*СПРАВОЧНИК!$L$8+'ПЛАН ЧИСТ ПОДЗЕМ'!AB35*СПРАВОЧНИК!$M$8+'ПЛАН ЧИСТ ПОДЗЕМ'!AC35*СПРАВОЧНИК!$N$8+'ПЛАН ЧИСТ ПОДЗЕМ'!AD35*СПРАВОЧНИК!$O$8+'ПЛАН ЧИСТ ПОДЗЕМ'!AE35*СПРАВОЧНИК!$P$8)</f>
        <v/>
      </c>
      <c r="D44" s="31">
        <f>СПРАВОЧНИК!$E$3*('ФАКТ ЧЕРН ПОДЗЕМ'!B35*СПРАВОЧНИК!$H$3+'ФАКТ ЧЕРН ПОДЗЕМ'!C35*СПРАВОЧНИК!$I$3+'ФАКТ ЧЕРН ПОДЗЕМ'!D35*СПРАВОЧНИК!$J$3)+СПРАВОЧНИК!$F$3*('ФАКТ ЧИСТ ПОДЗЕМ'!B35*СПРАВОЧНИК!$L$3+'ФАКТ ЧИСТ ПОДЗЕМ'!C35*СПРАВОЧНИК!$M$3+'ФАКТ ЧИСТ ПОДЗЕМ'!D35*СПРАВОЧНИК!$N$3+'ФАКТ ЧИСТ ПОДЗЕМ'!E35*СПРАВОЧНИК!$O$3+'ФАКТ ЧИСТ ПОДЗЕМ'!F35*СПРАВОЧНИК!$P$3)+СПРАВОЧНИК!$E$4*('ФАКТ ЧЕРН ПОДЗЕМ'!E35*СПРАВОЧНИК!$H$4+'ФАКТ ЧЕРН ПОДЗЕМ'!F35*СПРАВОЧНИК!$I$4+'ФАКТ ЧЕРН ПОДЗЕМ'!G35*СПРАВОЧНИК!$J$4)+СПРАВОЧНИК!$F$4*('ФАКТ ЧИСТ ПОДЗЕМ'!G35*СПРАВОЧНИК!$L$4+'ФАКТ ЧИСТ ПОДЗЕМ'!H35*СПРАВОЧНИК!$M$4+'ФАКТ ЧИСТ ПОДЗЕМ'!I35*СПРАВОЧНИК!$N$4+'ФАКТ ЧИСТ ПОДЗЕМ'!J35*СПРАВОЧНИК!$O$4+'ФАКТ ЧИСТ ПОДЗЕМ'!K35*СПРАВОЧНИК!$P$4)+СПРАВОЧНИК!$E$5*('ФАКТ ЧЕРН ПОДЗЕМ'!H35*СПРАВОЧНИК!$H$5+'ФАКТ ЧЕРН ПОДЗЕМ'!I35*СПРАВОЧНИК!$I$5+'ФАКТ ЧЕРН ПОДЗЕМ'!J35*СПРАВОЧНИК!$J$5)+СПРАВОЧНИК!$F$5*('ФАКТ ЧИСТ ПОДЗЕМ'!L35*СПРАВОЧНИК!$L$5+'ФАКТ ЧИСТ ПОДЗЕМ'!M35*СПРАВОЧНИК!$M$5+'ФАКТ ЧИСТ ПОДЗЕМ'!N35*СПРАВОЧНИК!$N$5+'ФАКТ ЧИСТ ПОДЗЕМ'!O35*СПРАВОЧНИК!$O$5+'ФАКТ ЧИСТ ПОДЗЕМ'!P35*СПРАВОЧНИК!$P$5)+СПРАВОЧНИК!$E$6*('ФАКТ ЧЕРН ПОДЗЕМ'!K35*СПРАВОЧНИК!$H$6+'ФАКТ ЧЕРН ПОДЗЕМ'!L35*СПРАВОЧНИК!$I$6+'ФАКТ ЧЕРН ПОДЗЕМ'!M35*СПРАВОЧНИК!$J$6)+СПРАВОЧНИК!$F$6*('ФАКТ ЧИСТ ПОДЗЕМ'!Q35*СПРАВОЧНИК!$L$6+'ФАКТ ЧИСТ ПОДЗЕМ'!R35*СПРАВОЧНИК!$M$6+'ФАКТ ЧИСТ ПОДЗЕМ'!S35*СПРАВОЧНИК!$N$6+'ФАКТ ЧИСТ ПОДЗЕМ'!T35*СПРАВОЧНИК!$O$6+'ФАКТ ЧИСТ ПОДЗЕМ'!U35*СПРАВОЧНИК!$P$6)+СПРАВОЧНИК!$E$7*('ФАКТ ЧЕРН ПОДЗЕМ'!N35*СПРАВОЧНИК!$H$7+'ФАКТ ЧЕРН ПОДЗЕМ'!O35*СПРАВОЧНИК!$I$7+'ФАКТ ЧЕРН ПОДЗЕМ'!P35*СПРАВОЧНИК!$J$7)+СПРАВОЧНИК!$F$7*('ФАКТ ЧИСТ ПОДЗЕМ'!V35*СПРАВОЧНИК!$L$7+'ФАКТ ЧИСТ ПОДЗЕМ'!W35*СПРАВОЧНИК!$M$7+'ФАКТ ЧИСТ ПОДЗЕМ'!X35*СПРАВОЧНИК!$N$7+'ФАКТ ЧИСТ ПОДЗЕМ'!Y35*СПРАВОЧНИК!$O$7+'ФАКТ ЧИСТ ПОДЗЕМ'!Z35*СПРАВОЧНИК!$P$7)+СПРАВОЧНИК!$E$8*('ФАКТ ЧЕРН ПОДЗЕМ'!Q35*СПРАВОЧНИК!$H$8+'ФАКТ ЧЕРН ПОДЗЕМ'!R35*СПРАВОЧНИК!$I$8+'ФАКТ ЧЕРН ПОДЗЕМ'!S35*СПРАВОЧНИК!$J$8)+СПРАВОЧНИК!$F$8*('ФАКТ ЧИСТ ПОДЗЕМ'!AA35*СПРАВОЧНИК!$L$8+'ФАКТ ЧИСТ ПОДЗЕМ'!AB35*СПРАВОЧНИК!$M$8+'ФАКТ ЧИСТ ПОДЗЕМ'!AC35*СПРАВОЧНИК!$N$8+'ФАКТ ЧИСТ ПОДЗЕМ'!AD35*СПРАВОЧНИК!$O$8+'ФАКТ ЧИСТ ПОДЗЕМ'!AE35*СПРАВОЧНИК!$P$8)</f>
        <v/>
      </c>
      <c r="E44" s="34" t="n"/>
      <c r="H44" s="152">
        <f>H43+7</f>
        <v/>
      </c>
      <c r="I44" s="17">
        <f>'ПЛАН ЧЕРН ПОДЗЕМ'!B35*СПРАВОЧНИК!$H$3+'ПЛАН ЧЕРН ПОДЗЕМ'!C35*СПРАВОЧНИК!$I$3+'ПЛАН ЧЕРН ПОДЗЕМ'!D35*СПРАВОЧНИК!$J$3+'ПЛАН ЧЕРН ПОДЗЕМ'!E35*СПРАВОЧНИК!$H$4+'ПЛАН ЧЕРН ПОДЗЕМ'!F35*СПРАВОЧНИК!$I$4+'ПЛАН ЧЕРН ПОДЗЕМ'!G35*СПРАВОЧНИК!$J$4+'ПЛАН ЧЕРН ПОДЗЕМ'!H35*СПРАВОЧНИК!$H$5+'ПЛАН ЧЕРН ПОДЗЕМ'!I35*СПРАВОЧНИК!$I$5+'ПЛАН ЧЕРН ПОДЗЕМ'!J35*СПРАВОЧНИК!$J$5+'ПЛАН ЧЕРН ПОДЗЕМ'!K35*СПРАВОЧНИК!$H$6+'ПЛАН ЧЕРН ПОДЗЕМ'!L35*СПРАВОЧНИК!$I$6+'ПЛАН ЧЕРН ПОДЗЕМ'!M35*СПРАВОЧНИК!$J$6+'ПЛАН ЧЕРН ПОДЗЕМ'!N35*СПРАВОЧНИК!$H$7+'ПЛАН ЧЕРН ПОДЗЕМ'!O35*СПРАВОЧНИК!$I$7+'ПЛАН ЧЕРН ПОДЗЕМ'!P35*СПРАВОЧНИК!$J$7+'ПЛАН ЧЕРН ПОДЗЕМ'!Q35*СПРАВОЧНИК!$H$8+'ПЛАН ЧЕРН ПОДЗЕМ'!R35*СПРАВОЧНИК!$I$8+'ПЛАН ЧЕРН ПОДЗЕМ'!S35*СПРАВОЧНИК!$J$8</f>
        <v/>
      </c>
      <c r="J44" s="31">
        <f>('ФАКТ ЧЕРН ПОДЗЕМ'!B35)*СПРАВОЧНИК!$H$3+('ФАКТ ЧЕРН ПОДЗЕМ'!C35)*СПРАВОЧНИК!$I$3+('ФАКТ ЧЕРН ПОДЗЕМ'!D35)*СПРАВОЧНИК!$J$3+('ФАКТ ЧЕРН ПОДЗЕМ'!E35)*СПРАВОЧНИК!$H$4+('ФАКТ ЧЕРН ПОДЗЕМ'!F35)*СПРАВОЧНИК!$I$4+('ФАКТ ЧЕРН ПОДЗЕМ'!G35)*СПРАВОЧНИК!$J$4+('ФАКТ ЧЕРН ПОДЗЕМ'!H35)*СПРАВОЧНИК!$H$5+('ФАКТ ЧЕРН ПОДЗЕМ'!I35)*СПРАВОЧНИК!$I$5+('ФАКТ ЧЕРН ПОДЗЕМ'!J35)*СПРАВОЧНИК!$J$5+('ФАКТ ЧЕРН ПОДЗЕМ'!K35)*СПРАВОЧНИК!$H$6+('ФАКТ ЧЕРН ПОДЗЕМ'!L35)*СПРАВОЧНИК!$I$6+('ФАКТ ЧЕРН ПОДЗЕМ'!M35)*СПРАВОЧНИК!$J$6+('ФАКТ ЧЕРН ПОДЗЕМ'!N35)*СПРАВОЧНИК!$H$7+('ФАКТ ЧЕРН ПОДЗЕМ'!O35)*СПРАВОЧНИК!$I$7+('ФАКТ ЧЕРН ПОДЗЕМ'!P35)*СПРАВОЧНИК!$J$7+('ФАКТ ЧЕРН ПОДЗЕМ'!Q35)*СПРАВОЧНИК!$H$8+('ФАКТ ЧЕРН ПОДЗЕМ'!R35)*СПРАВОЧНИК!$I$8+('ФАКТ ЧЕРН ПОДЗЕМ'!S35)*СПРАВОЧНИК!$J$8</f>
        <v/>
      </c>
      <c r="K44" s="34" t="n"/>
      <c r="N44" s="152">
        <f>N43+7</f>
        <v/>
      </c>
      <c r="O44" s="17">
        <f>'ПЛАН ЧИСТ ПОДЗЕМ'!B35*СПРАВОЧНИК!$L$3+'ПЛАН ЧИСТ ПОДЗЕМ'!C35*СПРАВОЧНИК!$M$3+'ПЛАН ЧИСТ ПОДЗЕМ'!D35*СПРАВОЧНИК!$N$3+'ПЛАН ЧИСТ ПОДЗЕМ'!E35*СПРАВОЧНИК!$O$3+'ПЛАН ЧИСТ ПОДЗЕМ'!F35*СПРАВОЧНИК!$P$3+'ПЛАН ЧИСТ ПОДЗЕМ'!G35*СПРАВОЧНИК!$L$4+'ПЛАН ЧИСТ ПОДЗЕМ'!H35*СПРАВОЧНИК!$M$4+'ПЛАН ЧИСТ ПОДЗЕМ'!I35*СПРАВОЧНИК!$N$4+'ПЛАН ЧИСТ ПОДЗЕМ'!J35*СПРАВОЧНИК!$O$4+'ПЛАН ЧИСТ ПОДЗЕМ'!K35*СПРАВОЧНИК!$P$4+'ПЛАН ЧИСТ ПОДЗЕМ'!L35*СПРАВОЧНИК!$L$5+'ПЛАН ЧИСТ ПОДЗЕМ'!M35*СПРАВОЧНИК!$M$5+'ПЛАН ЧИСТ ПОДЗЕМ'!N35*СПРАВОЧНИК!$N$5+'ПЛАН ЧИСТ ПОДЗЕМ'!O35*СПРАВОЧНИК!$O$5+'ПЛАН ЧИСТ ПОДЗЕМ'!P35*СПРАВОЧНИК!$P$5+'ПЛАН ЧИСТ ПОДЗЕМ'!Q35*СПРАВОЧНИК!$L$6+'ПЛАН ЧИСТ ПОДЗЕМ'!R35*СПРАВОЧНИК!$M$6+'ПЛАН ЧИСТ ПОДЗЕМ'!S35*СПРАВОЧНИК!$N$6+'ПЛАН ЧИСТ ПОДЗЕМ'!T35*СПРАВОЧНИК!$O$6+'ПЛАН ЧИСТ ПОДЗЕМ'!U35*СПРАВОЧНИК!$P$6+'ПЛАН ЧИСТ ПОДЗЕМ'!V35*СПРАВОЧНИК!$L$7+'ПЛАН ЧИСТ ПОДЗЕМ'!W35*СПРАВОЧНИК!$M$7+'ПЛАН ЧИСТ ПОДЗЕМ'!X35*СПРАВОЧНИК!$N$7+'ПЛАН ЧИСТ ПОДЗЕМ'!Y35*СПРАВОЧНИК!$O$7+'ПЛАН ЧИСТ ПОДЗЕМ'!Z35*СПРАВОЧНИК!$P$7+'ПЛАН ЧИСТ ПОДЗЕМ'!AA35*СПРАВОЧНИК!$L$8+'ПЛАН ЧИСТ ПОДЗЕМ'!AB35*СПРАВОЧНИК!$M$8+'ПЛАН ЧИСТ ПОДЗЕМ'!AC35*СПРАВОЧНИК!$N$8+'ПЛАН ЧИСТ ПОДЗЕМ'!AD35*СПРАВОЧНИК!$O$8+'ПЛАН ЧИСТ ПОДЗЕМ'!AE35*СПРАВОЧНИК!$P$8</f>
        <v/>
      </c>
      <c r="P44" s="31">
        <f>('ФАКТ ЧИСТ ПОДЗЕМ'!B35)*СПРАВОЧНИК!$L$3+('ФАКТ ЧИСТ ПОДЗЕМ'!C35)*СПРАВОЧНИК!$M$3+('ФАКТ ЧИСТ ПОДЗЕМ'!D35)*СПРАВОЧНИК!$N$3+('ФАКТ ЧИСТ ПОДЗЕМ'!E35)*СПРАВОЧНИК!$O$3+('ФАКТ ЧИСТ ПОДЗЕМ'!F35)*СПРАВОЧНИК!$P$3+('ФАКТ ЧИСТ ПОДЗЕМ'!G35)*СПРАВОЧНИК!$L$4+('ФАКТ ЧИСТ ПОДЗЕМ'!H35)*СПРАВОЧНИК!$M$4+('ФАКТ ЧИСТ ПОДЗЕМ'!I35)*СПРАВОЧНИК!$N$4+('ФАКТ ЧИСТ ПОДЗЕМ'!J35)*СПРАВОЧНИК!$O$4+('ФАКТ ЧИСТ ПОДЗЕМ'!K35)*СПРАВОЧНИК!$P$4+('ФАКТ ЧИСТ ПОДЗЕМ'!L35)*СПРАВОЧНИК!$L$5+('ФАКТ ЧИСТ ПОДЗЕМ'!M35)*СПРАВОЧНИК!$M$5+('ФАКТ ЧИСТ ПОДЗЕМ'!N35)*СПРАВОЧНИК!$N$5+('ФАКТ ЧИСТ ПОДЗЕМ'!O35)*СПРАВОЧНИК!$O$5+('ФАКТ ЧИСТ ПОДЗЕМ'!P35)*СПРАВОЧНИК!$P$5+('ФАКТ ЧИСТ ПОДЗЕМ'!Q35)*СПРАВОЧНИК!$L$6+('ФАКТ ЧИСТ ПОДЗЕМ'!R35)*СПРАВОЧНИК!$M$6+('ФАКТ ЧИСТ ПОДЗЕМ'!S35)*СПРАВОЧНИК!$N$6+('ФАКТ ЧИСТ ПОДЗЕМ'!T35)*СПРАВОЧНИК!$O$6+('ФАКТ ЧИСТ ПОДЗЕМ'!U35)*СПРАВОЧНИК!$P$6+('ФАКТ ЧИСТ ПОДЗЕМ'!V35)*СПРАВОЧНИК!$L$7+('ФАКТ ЧИСТ ПОДЗЕМ'!W35)*СПРАВОЧНИК!$M$7+('ФАКТ ЧИСТ ПОДЗЕМ'!X35)*СПРАВОЧНИК!$N$7+('ФАКТ ЧИСТ ПОДЗЕМ'!Y35)*СПРАВОЧНИК!$O$7+('ФАКТ ЧИСТ ПОДЗЕМ'!Z35)*СПРАВОЧНИК!$P$7+('ФАКТ ЧИСТ ПОДЗЕМ'!AA35)*СПРАВОЧНИК!$L$8+('ФАКТ ЧИСТ ПОДЗЕМ'!AB35)*СПРАВОЧНИК!$M$8+('ФАКТ ЧИСТ ПОДЗЕМ'!AC35)*СПРАВОЧНИК!$N$8+('ФАКТ ЧИСТ ПОДЗЕМ'!AD35)*СПРАВОЧНИК!$O$8+('ФАКТ ЧИСТ ПОДЗЕМ'!AE35)*СПРАВОЧНИК!$P$8</f>
        <v/>
      </c>
      <c r="Q44" s="34" t="n"/>
      <c r="T44" s="152">
        <f>T43+7</f>
        <v/>
      </c>
      <c r="U44" s="17">
        <f>СПРАВОЧНИК!$E$9*('ПЛАН ЧЕРН К1'!B35*СПРАВОЧНИК!$H$9+'ПЛАН ЧЕРН К1'!C35*СПРАВОЧНИК!$I$9+'ПЛАН ЧЕРН К1'!D35*СПРАВОЧНИК!$J$9)+СПРАВОЧНИК!$F$9*('ПЛАН ЧИСТ К1'!B35*СПРАВОЧНИК!$L$9+'ПЛАН ЧИСТ К1'!C35*СПРАВОЧНИК!$M$9+'ПЛАН ЧИСТ К1'!D35*СПРАВОЧНИК!$N$9+'ПЛАН ЧИСТ К1'!E35*СПРАВОЧНИК!$O$9+'ПЛАН ЧИСТ К1'!F35*СПРАВОЧНИК!$P$9)+СПРАВОЧНИК!$E$10*('ПЛАН ЧЕРН К1'!E35*СПРАВОЧНИК!$H$10+'ПЛАН ЧЕРН К1'!F35*СПРАВОЧНИК!$I$10+'ПЛАН ЧЕРН К1'!G35*СПРАВОЧНИК!$J$10)+СПРАВОЧНИК!$F$10*('ПЛАН ЧИСТ К1'!G35*СПРАВОЧНИК!$L$10+'ПЛАН ЧИСТ К1'!H35*СПРАВОЧНИК!$M$10+'ПЛАН ЧИСТ К1'!I35*СПРАВОЧНИК!$N$10+'ПЛАН ЧИСТ К1'!J35*СПРАВОЧНИК!$O$10+'ПЛАН ЧИСТ К1'!K35*СПРАВОЧНИК!$P$10)+СПРАВОЧНИК!$E$11*('ПЛАН ЧЕРН К1'!H35*СПРАВОЧНИК!$H$11+'ПЛАН ЧЕРН К1'!I35*СПРАВОЧНИК!$I$11+'ПЛАН ЧЕРН К1'!J35*СПРАВОЧНИК!$J$11)+СПРАВОЧНИК!$F$11*('ПЛАН ЧИСТ К1'!L35*СПРАВОЧНИК!$L$11+'ПЛАН ЧИСТ К1'!M35*СПРАВОЧНИК!$M$11+'ПЛАН ЧИСТ К1'!N35*СПРАВОЧНИК!$N$11+'ПЛАН ЧИСТ К1'!O35*СПРАВОЧНИК!$O$11+'ПЛАН ЧИСТ К1'!P35*СПРАВОЧНИК!$P$11)+СПРАВОЧНИК!$E$12*('ПЛАН ЧЕРН К1'!K35*СПРАВОЧНИК!$H$12+'ПЛАН ЧЕРН К1'!L35*СПРАВОЧНИК!$I$12+'ПЛАН ЧЕРН К1'!M35*СПРАВОЧНИК!$J$12)+СПРАВОЧНИК!$F$12*('ПЛАН ЧИСТ К1'!Q35*СПРАВОЧНИК!$L$12+'ПЛАН ЧИСТ К1'!R35*СПРАВОЧНИК!$M$12+'ПЛАН ЧИСТ К1'!S35*СПРАВОЧНИК!$N$12+'ПЛАН ЧИСТ К1'!T35*СПРАВОЧНИК!$O$12+'ПЛАН ЧИСТ К1'!U35*СПРАВОЧНИК!$P$12)+СПРАВОЧНИК!$E$13*('ПЛАН ЧЕРН К1'!N35*СПРАВОЧНИК!$H$13+'ПЛАН ЧЕРН К1'!O35*СПРАВОЧНИК!$I$13+'ПЛАН ЧЕРН К1'!P35*СПРАВОЧНИК!$J$13)+СПРАВОЧНИК!$F$13*('ПЛАН ЧИСТ К1'!V35*СПРАВОЧНИК!$L$13+'ПЛАН ЧИСТ К1'!W35*СПРАВОЧНИК!$M$13+'ПЛАН ЧИСТ К1'!X35*СПРАВОЧНИК!$N$13+'ПЛАН ЧИСТ К1'!Y35*СПРАВОЧНИК!$O$13+'ПЛАН ЧИСТ К1'!Z35*СПРАВОЧНИК!$P$13)+СПРАВОЧНИК!$E$14*('ПЛАН ЧЕРН К1'!Q35*СПРАВОЧНИК!$H$14+'ПЛАН ЧЕРН К1'!R35*СПРАВОЧНИК!$I$14+'ПЛАН ЧЕРН К1'!S35*СПРАВОЧНИК!$J$14)+СПРАВОЧНИК!$F$14*('ПЛАН ЧИСТ К1'!AA35*СПРАВОЧНИК!$L$14+'ПЛАН ЧИСТ К1'!AB35*СПРАВОЧНИК!$M$14+'ПЛАН ЧИСТ К1'!AC35*СПРАВОЧНИК!$N$14+'ПЛАН ЧИСТ К1'!AD35*СПРАВОЧНИК!$O$14+'ПЛАН ЧИСТ К1'!AE35*СПРАВОЧНИК!$P$14)+СПРАВОЧНИК!$E$15*('ПЛАН ЧЕРН К1'!T35*СПРАВОЧНИК!$H$15+'ПЛАН ЧЕРН К1'!U35*СПРАВОЧНИК!$I$15+'ПЛАН ЧЕРН К1'!V35*СПРАВОЧНИК!$J$15)+СПРАВОЧНИК!$F$15*('ПЛАН ЧИСТ К1'!AF35*СПРАВОЧНИК!$L$15+'ПЛАН ЧИСТ К1'!AG35*СПРАВОЧНИК!$M$15+'ПЛАН ЧИСТ К1'!AH35*СПРАВОЧНИК!$N$15+'ПЛАН ЧИСТ К1'!AI35*СПРАВОЧНИК!$O$15+'ПЛАН ЧИСТ К1'!AJ35*СПРАВОЧНИК!$P$15)</f>
        <v/>
      </c>
      <c r="V44" s="31">
        <f>СПРАВОЧНИК!$E$9*('ФАКТ ЧЕРН К1'!B35*СПРАВОЧНИК!$H$9+'ФАКТ ЧЕРН К1'!C35*СПРАВОЧНИК!$I$9+'ФАКТ ЧЕРН К1'!D35*СПРАВОЧНИК!$J$9)+СПРАВОЧНИК!$F$9*('ФАКТ ЧИСТ К1'!B35*СПРАВОЧНИК!$L$9+'ФАКТ ЧИСТ К1'!C35*СПРАВОЧНИК!$M$9+'ФАКТ ЧИСТ К1'!D35*СПРАВОЧНИК!$N$9+'ФАКТ ЧИСТ К1'!E35*СПРАВОЧНИК!$O$9+'ФАКТ ЧИСТ К1'!F35*СПРАВОЧНИК!$P$9)+СПРАВОЧНИК!$E$10*('ФАКТ ЧЕРН К1'!E35*СПРАВОЧНИК!$H$10+'ФАКТ ЧЕРН К1'!F35*СПРАВОЧНИК!$I$10+'ФАКТ ЧЕРН К1'!G35*СПРАВОЧНИК!$J$10)+СПРАВОЧНИК!$F$10*('ФАКТ ЧИСТ К1'!G35*СПРАВОЧНИК!$L$10+'ФАКТ ЧИСТ К1'!H35*СПРАВОЧНИК!$M$10+'ФАКТ ЧИСТ К1'!I35*СПРАВОЧНИК!$N$10+'ФАКТ ЧИСТ К1'!J35*СПРАВОЧНИК!$O$10+'ФАКТ ЧИСТ К1'!K35*СПРАВОЧНИК!$P$10)+СПРАВОЧНИК!$E$11*('ФАКТ ЧЕРН К1'!H35*СПРАВОЧНИК!$H$11+'ФАКТ ЧЕРН К1'!I35*СПРАВОЧНИК!$I$11+'ФАКТ ЧЕРН К1'!J35*СПРАВОЧНИК!$J$11)+СПРАВОЧНИК!$F$11*('ФАКТ ЧИСТ К1'!L35*СПРАВОЧНИК!$L$11+'ФАКТ ЧИСТ К1'!M35*СПРАВОЧНИК!$M$11+'ФАКТ ЧИСТ К1'!N35*СПРАВОЧНИК!$N$11+'ФАКТ ЧИСТ К1'!O35*СПРАВОЧНИК!$O$11+'ФАКТ ЧИСТ К1'!P35*СПРАВОЧНИК!$P$11)+СПРАВОЧНИК!$E$12*('ФАКТ ЧЕРН К1'!K35*СПРАВОЧНИК!$H$12+'ФАКТ ЧЕРН К1'!L35*СПРАВОЧНИК!$I$12+'ФАКТ ЧЕРН К1'!M35*СПРАВОЧНИК!$J$12)+СПРАВОЧНИК!$F$12*('ФАКТ ЧИСТ К1'!Q35*СПРАВОЧНИК!$L$12+'ФАКТ ЧИСТ К1'!R35*СПРАВОЧНИК!$M$12+'ФАКТ ЧИСТ К1'!S35*СПРАВОЧНИК!$N$12+'ФАКТ ЧИСТ К1'!T35*СПРАВОЧНИК!$O$12+'ФАКТ ЧИСТ К1'!U35*СПРАВОЧНИК!$P$12)+СПРАВОЧНИК!$E$13*('ФАКТ ЧЕРН К1'!N35*СПРАВОЧНИК!$H$13+'ФАКТ ЧЕРН К1'!O35*СПРАВОЧНИК!$I$13+'ФАКТ ЧЕРН К1'!P35*СПРАВОЧНИК!$J$13)+СПРАВОЧНИК!$F$13*('ФАКТ ЧИСТ К1'!V35*СПРАВОЧНИК!$L$13+'ФАКТ ЧИСТ К1'!W35*СПРАВОЧНИК!$M$13+'ФАКТ ЧИСТ К1'!X35*СПРАВОЧНИК!$N$13+'ФАКТ ЧИСТ К1'!Y35*СПРАВОЧНИК!$O$13+'ФАКТ ЧИСТ К1'!Z35*СПРАВОЧНИК!$P$13)+СПРАВОЧНИК!$E$14*('ФАКТ ЧЕРН К1'!Q35*СПРАВОЧНИК!$H$14+'ФАКТ ЧЕРН К1'!R35*СПРАВОЧНИК!$I$14+'ФАКТ ЧЕРН К1'!S35*СПРАВОЧНИК!$J$14)+СПРАВОЧНИК!$F$14*('ФАКТ ЧИСТ К1'!AA35*СПРАВОЧНИК!$L$14+'ФАКТ ЧИСТ К1'!AB35*СПРАВОЧНИК!$M$14+'ФАКТ ЧИСТ К1'!AC35*СПРАВОЧНИК!$N$14+'ФАКТ ЧИСТ К1'!AD35*СПРАВОЧНИК!$O$14+'ФАКТ ЧИСТ К1'!AE35*СПРАВОЧНИК!$P$14)+СПРАВОЧНИК!$E$15*('ФАКТ ЧЕРН К1'!T35*СПРАВОЧНИК!$H$15+'ФАКТ ЧЕРН К1'!U35*СПРАВОЧНИК!$I$15+'ФАКТ ЧЕРН К1'!V35*СПРАВОЧНИК!$J$15)+СПРАВОЧНИК!$F$15*('ФАКТ ЧИСТ К1'!AF35*СПРАВОЧНИК!$L$15+'ФАКТ ЧИСТ К1'!AG35*СПРАВОЧНИК!$M$15+'ФАКТ ЧИСТ К1'!AH35*СПРАВОЧНИК!$N$15+'ФАКТ ЧИСТ К1'!AI35*СПРАВОЧНИК!$O$15+'ФАКТ ЧИСТ К1'!AJ35*СПРАВОЧНИК!$P$15)</f>
        <v/>
      </c>
      <c r="W44" s="34" t="n"/>
      <c r="Z44" s="152">
        <f>Z43+7</f>
        <v/>
      </c>
      <c r="AA44" s="17">
        <f>'ПЛАН ЧЕРН К1'!B35*СПРАВОЧНИК!$H$9+'ПЛАН ЧЕРН К1'!C35*СПРАВОЧНИК!$I$9+'ПЛАН ЧЕРН К1'!D35*СПРАВОЧНИК!$J$9+'ПЛАН ЧЕРН К1'!E35*СПРАВОЧНИК!$H$10+'ПЛАН ЧЕРН К1'!F35*СПРАВОЧНИК!$I$10+'ПЛАН ЧЕРН К1'!G35*СПРАВОЧНИК!$J$10+'ПЛАН ЧЕРН К1'!H35*СПРАВОЧНИК!$H$11+'ПЛАН ЧЕРН К1'!I35*СПРАВОЧНИК!$I$11+'ПЛАН ЧЕРН К1'!J35*СПРАВОЧНИК!$J$11+'ПЛАН ЧЕРН К1'!K35*СПРАВОЧНИК!$H$12+'ПЛАН ЧЕРН К1'!L35*СПРАВОЧНИК!$I$12+'ПЛАН ЧЕРН К1'!M35*СПРАВОЧНИК!$J$12+'ПЛАН ЧЕРН К1'!N35*СПРАВОЧНИК!$H$13+'ПЛАН ЧЕРН К1'!O35*СПРАВОЧНИК!$I$13+'ПЛАН ЧЕРН К1'!P35*СПРАВОЧНИК!$J$13+'ПЛАН ЧЕРН К1'!Q35*СПРАВОЧНИК!$H$14+'ПЛАН ЧЕРН К1'!R35*СПРАВОЧНИК!$I$14+'ПЛАН ЧЕРН К1'!S35*СПРАВОЧНИК!$J$14+'ПЛАН ЧЕРН К1'!T35*СПРАВОЧНИК!$H$15+'ПЛАН ЧЕРН К1'!U35*СПРАВОЧНИК!$I$15+'ПЛАН ЧЕРН К1'!V35*СПРАВОЧНИК!$J$15</f>
        <v/>
      </c>
      <c r="AB44" s="31">
        <f>('ФАКТ ЧЕРН К1'!B35)*СПРАВОЧНИК!$H$9+('ФАКТ ЧЕРН К1'!C35)*СПРАВОЧНИК!$I$9+('ФАКТ ЧЕРН К1'!D35)*СПРАВОЧНИК!$J$9+('ФАКТ ЧЕРН К1'!E35)*СПРАВОЧНИК!$H$10+('ФАКТ ЧЕРН К1'!F35)*СПРАВОЧНИК!$I$10+('ФАКТ ЧЕРН К1'!G35)*СПРАВОЧНИК!$J$10+('ФАКТ ЧЕРН К1'!H35)*СПРАВОЧНИК!$H$11+('ФАКТ ЧЕРН К1'!I35)*СПРАВОЧНИК!$I$11+('ФАКТ ЧЕРН К1'!J35)*СПРАВОЧНИК!$J$11+('ФАКТ ЧЕРН К1'!K35)*СПРАВОЧНИК!$H$12+('ФАКТ ЧЕРН К1'!L35)*СПРАВОЧНИК!$I$12+('ФАКТ ЧЕРН К1'!M35)*СПРАВОЧНИК!$J$12+('ФАКТ ЧЕРН К1'!N35)*СПРАВОЧНИК!$H$13+('ФАКТ ЧЕРН К1'!O35)*СПРАВОЧНИК!$I$13+('ФАКТ ЧЕРН К1'!P35)*СПРАВОЧНИК!$J$13+('ФАКТ ЧЕРН К1'!Q35)*СПРАВОЧНИК!$H$14+('ФАКТ ЧЕРН К1'!R35)*СПРАВОЧНИК!$I$14+('ФАКТ ЧЕРН К1'!S35)*СПРАВОЧНИК!$J$14+('ФАКТ ЧЕРН К1'!T35)*СПРАВОЧНИК!$H$15+('ФАКТ ЧЕРН К1'!U35)*СПРАВОЧНИК!$I$15+('ФАКТ ЧЕРН К1'!V35)*СПРАВОЧНИК!$J$15</f>
        <v/>
      </c>
      <c r="AC44" s="34" t="n"/>
      <c r="AF44" s="152">
        <f>AF43+7</f>
        <v/>
      </c>
      <c r="AG44" s="17">
        <f>'ПЛАН ЧИСТ К1'!B35*СПРАВОЧНИК!$L$9+'ПЛАН ЧИСТ К1'!C35*СПРАВОЧНИК!$M$9+'ПЛАН ЧИСТ К1'!D35*СПРАВОЧНИК!$N$9+'ПЛАН ЧИСТ К1'!E35*СПРАВОЧНИК!$O$9+'ПЛАН ЧИСТ К1'!F35*СПРАВОЧНИК!$P$9+'ПЛАН ЧИСТ К1'!G35*СПРАВОЧНИК!$L$10+'ПЛАН ЧИСТ К1'!H35*СПРАВОЧНИК!$M$10+'ПЛАН ЧИСТ К1'!I35*СПРАВОЧНИК!$N$10+'ПЛАН ЧИСТ К1'!J35*СПРАВОЧНИК!$O$10+'ПЛАН ЧИСТ К1'!K35*СПРАВОЧНИК!$P$10+'ПЛАН ЧИСТ К1'!L35*СПРАВОЧНИК!$L$11+'ПЛАН ЧИСТ К1'!M35*СПРАВОЧНИК!$M$11+'ПЛАН ЧИСТ К1'!N35*СПРАВОЧНИК!$N$11+'ПЛАН ЧИСТ К1'!O35*СПРАВОЧНИК!$O$11+'ПЛАН ЧИСТ К1'!P35*СПРАВОЧНИК!$P$11+'ПЛАН ЧИСТ К1'!Q35*СПРАВОЧНИК!$L$12+'ПЛАН ЧИСТ К1'!R35*СПРАВОЧНИК!$M$12+'ПЛАН ЧИСТ К1'!S35*СПРАВОЧНИК!$N$12+'ПЛАН ЧИСТ К1'!T35*СПРАВОЧНИК!$O$12+'ПЛАН ЧИСТ К1'!U35*СПРАВОЧНИК!$P$12+'ПЛАН ЧИСТ К1'!V35*СПРАВОЧНИК!$L$13+'ПЛАН ЧИСТ К1'!W35*СПРАВОЧНИК!$M$13+'ПЛАН ЧИСТ К1'!X35*СПРАВОЧНИК!$N$13+'ПЛАН ЧИСТ К1'!Y35*СПРАВОЧНИК!$O$13+'ПЛАН ЧИСТ К1'!Z35*СПРАВОЧНИК!$P$13+'ПЛАН ЧИСТ К1'!AA35*СПРАВОЧНИК!$L$14+'ПЛАН ЧИСТ К1'!AB35*СПРАВОЧНИК!$M$14+'ПЛАН ЧИСТ К1'!AC35*СПРАВОЧНИК!$N$14+'ПЛАН ЧИСТ К1'!AD35*СПРАВОЧНИК!$O$14+'ПЛАН ЧИСТ К1'!AE35*СПРАВОЧНИК!$P$14+'ПЛАН ЧИСТ К1'!AF35*СПРАВОЧНИК!$L$15+'ПЛАН ЧИСТ К1'!AG35*СПРАВОЧНИК!$M$15+'ПЛАН ЧИСТ К1'!AH35*СПРАВОЧНИК!$N$15+'ПЛАН ЧИСТ К1'!AI35*СПРАВОЧНИК!$O$15+'ПЛАН ЧИСТ К1'!AJ35*СПРАВОЧНИК!$P$15</f>
        <v/>
      </c>
      <c r="AH44" s="31">
        <f>('ФАКТ ЧИСТ К1'!B35)*СПРАВОЧНИК!$L$9+('ФАКТ ЧИСТ К1'!C35)*СПРАВОЧНИК!$M$9+('ФАКТ ЧИСТ К1'!D35)*СПРАВОЧНИК!$N$9+('ФАКТ ЧИСТ К1'!E35)*СПРАВОЧНИК!$O$9+('ФАКТ ЧИСТ К1'!F35)*СПРАВОЧНИК!$P$9+('ФАКТ ЧИСТ К1'!G35)*СПРАВОЧНИК!$L$10+('ФАКТ ЧИСТ К1'!H35)*СПРАВОЧНИК!$M$10+('ФАКТ ЧИСТ К1'!I35)*СПРАВОЧНИК!$N$10+('ФАКТ ЧИСТ К1'!J35)*СПРАВОЧНИК!$O$10+('ФАКТ ЧИСТ К1'!K35)*СПРАВОЧНИК!$P$10+('ФАКТ ЧИСТ К1'!L35)*СПРАВОЧНИК!$L$11+('ФАКТ ЧИСТ К1'!M35)*СПРАВОЧНИК!$M$11+('ФАКТ ЧИСТ К1'!N35)*СПРАВОЧНИК!$N$11+('ФАКТ ЧИСТ К1'!O35)*СПРАВОЧНИК!$O$11+('ФАКТ ЧИСТ К1'!P35)*СПРАВОЧНИК!$P$11+('ФАКТ ЧИСТ К1'!Q35)*СПРАВОЧНИК!$L$12+('ФАКТ ЧИСТ К1'!R35)*СПРАВОЧНИК!$M$12+('ФАКТ ЧИСТ К1'!S35)*СПРАВОЧНИК!$N$12+('ФАКТ ЧИСТ К1'!T35)*СПРАВОЧНИК!$O$12+('ФАКТ ЧИСТ К1'!U35)*СПРАВОЧНИК!$P$12+('ФАКТ ЧИСТ К1'!V35)*СПРАВОЧНИК!$L$13+('ФАКТ ЧИСТ К1'!W35)*СПРАВОЧНИК!$M$13+('ФАКТ ЧИСТ К1'!X35)*СПРАВОЧНИК!$N$13+('ФАКТ ЧИСТ К1'!Y35)*СПРАВОЧНИК!$O$13+('ФАКТ ЧИСТ К1'!Z35)*СПРАВОЧНИК!$P$13+('ФАКТ ЧИСТ К1'!AA35)*СПРАВОЧНИК!$L$14+('ФАКТ ЧИСТ К1'!AB35)*СПРАВОЧНИК!$M$14+('ФАКТ ЧИСТ К1'!AC35)*СПРАВОЧНИК!$N$14+('ФАКТ ЧИСТ К1'!AD35)*СПРАВОЧНИК!$O$14+('ФАКТ ЧИСТ К1'!AE35)*СПРАВОЧНИК!$P$14+('ФАКТ ЧИСТ К1'!AF35)*СПРАВОЧНИК!$L$15+('ФАКТ ЧИСТ К1'!AG35)*СПРАВОЧНИК!$M$15+('ФАКТ ЧИСТ К1'!AH35)*СПРАВОЧНИК!$N$15+('ФАКТ ЧИСТ К1'!AI35)*СПРАВОЧНИК!$O$15+('ФАКТ ЧИСТ К1'!AJ35)*СПРАВОЧНИК!$P$15</f>
        <v/>
      </c>
      <c r="AI44" s="34" t="n"/>
      <c r="AL44" s="152">
        <f>AL43+7</f>
        <v/>
      </c>
      <c r="AM44" s="17">
        <f>СПРАВОЧНИК!$E$9*('ПЛАН ЧЕРН К2'!B35*СПРАВОЧНИК!$H$9+'ПЛАН ЧЕРН К2'!C35*СПРАВОЧНИК!$I$9+'ПЛАН ЧЕРН К2'!D35*СПРАВОЧНИК!$J$9)+СПРАВОЧНИК!$F$9*('ПЛАН ЧИСТ К2'!B35*СПРАВОЧНИК!$L$9+'ПЛАН ЧИСТ К2'!C35*СПРАВОЧНИК!$M$9+'ПЛАН ЧИСТ К2'!D35*СПРАВОЧНИК!$N$9+'ПЛАН ЧИСТ К2'!E35*СПРАВОЧНИК!$O$9+'ПЛАН ЧИСТ К2'!F35*СПРАВОЧНИК!$P$9)+СПРАВОЧНИК!$E$10*('ПЛАН ЧЕРН К2'!E35*СПРАВОЧНИК!$H$10+'ПЛАН ЧЕРН К2'!F35*СПРАВОЧНИК!$I$10+'ПЛАН ЧЕРН К2'!G35*СПРАВОЧНИК!$J$10)+СПРАВОЧНИК!$F$10*('ПЛАН ЧИСТ К2'!G35*СПРАВОЧНИК!$L$10+'ПЛАН ЧИСТ К2'!H35*СПРАВОЧНИК!$M$10+'ПЛАН ЧИСТ К2'!I35*СПРАВОЧНИК!$N$10+'ПЛАН ЧИСТ К2'!J35*СПРАВОЧНИК!$O$10+'ПЛАН ЧИСТ К2'!K35*СПРАВОЧНИК!$P$10)+СПРАВОЧНИК!$E$11*('ПЛАН ЧЕРН К2'!H35*СПРАВОЧНИК!$H$11+'ПЛАН ЧЕРН К2'!I35*СПРАВОЧНИК!$I$11+'ПЛАН ЧЕРН К2'!J35*СПРАВОЧНИК!$J$11)+СПРАВОЧНИК!$F$11*('ПЛАН ЧИСТ К2'!L35*СПРАВОЧНИК!$L$11+'ПЛАН ЧИСТ К2'!M35*СПРАВОЧНИК!$M$11+'ПЛАН ЧИСТ К2'!N35*СПРАВОЧНИК!$N$11+'ПЛАН ЧИСТ К2'!O35*СПРАВОЧНИК!$O$11+'ПЛАН ЧИСТ К2'!P35*СПРАВОЧНИК!$P$11)+СПРАВОЧНИК!$E$12*('ПЛАН ЧЕРН К2'!K35*СПРАВОЧНИК!$H$12+'ПЛАН ЧЕРН К2'!L35*СПРАВОЧНИК!$I$12+'ПЛАН ЧЕРН К2'!M35*СПРАВОЧНИК!$J$12)+СПРАВОЧНИК!$F$12*('ПЛАН ЧИСТ К2'!Q35*СПРАВОЧНИК!$L$12+'ПЛАН ЧИСТ К2'!R35*СПРАВОЧНИК!$M$12+'ПЛАН ЧИСТ К2'!S35*СПРАВОЧНИК!$N$12+'ПЛАН ЧИСТ К2'!T35*СПРАВОЧНИК!$O$12+'ПЛАН ЧИСТ К2'!U35*СПРАВОЧНИК!$P$12)+СПРАВОЧНИК!$E$13*('ПЛАН ЧЕРН К2'!N35*СПРАВОЧНИК!$H$13+'ПЛАН ЧЕРН К2'!O35*СПРАВОЧНИК!$I$13+'ПЛАН ЧЕРН К2'!P35*СПРАВОЧНИК!$J$13)+СПРАВОЧНИК!$F$13*('ПЛАН ЧИСТ К2'!V35*СПРАВОЧНИК!$L$13+'ПЛАН ЧИСТ К2'!W35*СПРАВОЧНИК!$M$13+'ПЛАН ЧИСТ К2'!X35*СПРАВОЧНИК!$N$13+'ПЛАН ЧИСТ К2'!Y35*СПРАВОЧНИК!$O$13+'ПЛАН ЧИСТ К2'!Z35*СПРАВОЧНИК!$P$13)+СПРАВОЧНИК!$E$14*('ПЛАН ЧЕРН К2'!Q35*СПРАВОЧНИК!$H$14+'ПЛАН ЧЕРН К2'!R35*СПРАВОЧНИК!$I$14+'ПЛАН ЧЕРН К2'!S35*СПРАВОЧНИК!$J$14)+СПРАВОЧНИК!$F$14*('ПЛАН ЧИСТ К2'!AA35*СПРАВОЧНИК!$L$14+'ПЛАН ЧИСТ К2'!AB35*СПРАВОЧНИК!$M$14+'ПЛАН ЧИСТ К2'!AC35*СПРАВОЧНИК!$N$14+'ПЛАН ЧИСТ К2'!AD35*СПРАВОЧНИК!$O$14+'ПЛАН ЧИСТ К2'!AE35*СПРАВОЧНИК!$P$14)+СПРАВОЧНИК!$E$15*('ПЛАН ЧЕРН К2'!T35*СПРАВОЧНИК!$H$15+'ПЛАН ЧЕРН К2'!U35*СПРАВОЧНИК!$I$15+'ПЛАН ЧЕРН К2'!V35*СПРАВОЧНИК!$J$15)+СПРАВОЧНИК!$F$15*('ПЛАН ЧИСТ К2'!AF35*СПРАВОЧНИК!$L$15+'ПЛАН ЧИСТ К2'!AG35*СПРАВОЧНИК!$M$15+'ПЛАН ЧИСТ К2'!AH35*СПРАВОЧНИК!$N$15+'ПЛАН ЧИСТ К2'!AI35*СПРАВОЧНИК!$O$15+'ПЛАН ЧИСТ К2'!AJ35*СПРАВОЧНИК!$P$15)</f>
        <v/>
      </c>
      <c r="AN44" s="31">
        <f>СПРАВОЧНИК!$E$9*('ФАКТ ЧЕРН К2'!B35*СПРАВОЧНИК!$H$9+'ФАКТ ЧЕРН К2'!C35*СПРАВОЧНИК!$I$9+'ФАКТ ЧЕРН К2'!D35*СПРАВОЧНИК!$J$9)+СПРАВОЧНИК!$F$9*('ФАКТ ЧИСТ К2'!B35*СПРАВОЧНИК!$L$9+'ФАКТ ЧИСТ К2'!C35*СПРАВОЧНИК!$M$9+'ФАКТ ЧИСТ К2'!D35*СПРАВОЧНИК!$N$9+'ФАКТ ЧИСТ К2'!E35*СПРАВОЧНИК!$O$9+'ФАКТ ЧИСТ К2'!F35*СПРАВОЧНИК!$P$9)+СПРАВОЧНИК!$E$10*('ФАКТ ЧЕРН К2'!E35*СПРАВОЧНИК!$H$10+'ФАКТ ЧЕРН К2'!F35*СПРАВОЧНИК!$I$10+'ФАКТ ЧЕРН К2'!G35*СПРАВОЧНИК!$J$10)+СПРАВОЧНИК!$F$10*('ФАКТ ЧИСТ К2'!G35*СПРАВОЧНИК!$L$10+'ФАКТ ЧИСТ К2'!H35*СПРАВОЧНИК!$M$10+'ФАКТ ЧИСТ К2'!I35*СПРАВОЧНИК!$N$10+'ФАКТ ЧИСТ К2'!J35*СПРАВОЧНИК!$O$10+'ФАКТ ЧИСТ К2'!K35*СПРАВОЧНИК!$P$10)+СПРАВОЧНИК!$E$11*('ФАКТ ЧЕРН К2'!H35*СПРАВОЧНИК!$H$11+'ФАКТ ЧЕРН К2'!I35*СПРАВОЧНИК!$I$11+'ФАКТ ЧЕРН К2'!J35*СПРАВОЧНИК!$J$11)+СПРАВОЧНИК!$F$11*('ФАКТ ЧИСТ К2'!L35*СПРАВОЧНИК!$L$11+'ФАКТ ЧИСТ К2'!M35*СПРАВОЧНИК!$M$11+'ФАКТ ЧИСТ К2'!N35*СПРАВОЧНИК!$N$11+'ФАКТ ЧИСТ К2'!O35*СПРАВОЧНИК!$O$11+'ФАКТ ЧИСТ К2'!P35*СПРАВОЧНИК!$P$11)+СПРАВОЧНИК!$E$12*('ФАКТ ЧЕРН К2'!K35*СПРАВОЧНИК!$H$12+'ФАКТ ЧЕРН К2'!L35*СПРАВОЧНИК!$I$12+'ФАКТ ЧЕРН К2'!M35*СПРАВОЧНИК!$J$12)+СПРАВОЧНИК!$F$12*('ФАКТ ЧИСТ К2'!Q35*СПРАВОЧНИК!$L$12+'ФАКТ ЧИСТ К2'!R35*СПРАВОЧНИК!$M$12+'ФАКТ ЧИСТ К2'!S35*СПРАВОЧНИК!$N$12+'ФАКТ ЧИСТ К2'!T35*СПРАВОЧНИК!$O$12+'ФАКТ ЧИСТ К2'!U35*СПРАВОЧНИК!$P$12)+СПРАВОЧНИК!$E$13*('ФАКТ ЧЕРН К2'!N35*СПРАВОЧНИК!$H$13+'ФАКТ ЧЕРН К2'!O35*СПРАВОЧНИК!$I$13+'ФАКТ ЧЕРН К2'!P35*СПРАВОЧНИК!$J$13)+СПРАВОЧНИК!$F$13*('ФАКТ ЧИСТ К2'!V35*СПРАВОЧНИК!$L$13+'ФАКТ ЧИСТ К2'!W35*СПРАВОЧНИК!$M$13+'ФАКТ ЧИСТ К2'!X35*СПРАВОЧНИК!$N$13+'ФАКТ ЧИСТ К2'!Y35*СПРАВОЧНИК!$O$13+'ФАКТ ЧИСТ К2'!Z35*СПРАВОЧНИК!$P$13)+СПРАВОЧНИК!$E$14*('ФАКТ ЧЕРН К2'!Q35*СПРАВОЧНИК!$H$14+'ФАКТ ЧЕРН К2'!R35*СПРАВОЧНИК!$I$14+'ФАКТ ЧЕРН К2'!S35*СПРАВОЧНИК!$J$14)+СПРАВОЧНИК!$F$14*('ФАКТ ЧИСТ К2'!AA35*СПРАВОЧНИК!$L$14+'ФАКТ ЧИСТ К2'!AB35*СПРАВОЧНИК!$M$14+'ФАКТ ЧИСТ К2'!AC35*СПРАВОЧНИК!$N$14+'ФАКТ ЧИСТ К2'!AD35*СПРАВОЧНИК!$O$14+'ФАКТ ЧИСТ К2'!AE35*СПРАВОЧНИК!$P$14)+СПРАВОЧНИК!$E$15*('ФАКТ ЧЕРН К2'!T35*СПРАВОЧНИК!$H$15+'ФАКТ ЧЕРН К2'!U35*СПРАВОЧНИК!$I$15+'ФАКТ ЧЕРН К2'!V35*СПРАВОЧНИК!$J$15)+СПРАВОЧНИК!$F$15*('ФАКТ ЧИСТ К2'!AF35*СПРАВОЧНИК!$L$15+'ФАКТ ЧИСТ К2'!AG35*СПРАВОЧНИК!$M$15+'ФАКТ ЧИСТ К2'!AH35*СПРАВОЧНИК!$N$15+'ФАКТ ЧИСТ К2'!AI35*СПРАВОЧНИК!$O$15+'ФАКТ ЧИСТ К2'!AJ35*СПРАВОЧНИК!$P$15)</f>
        <v/>
      </c>
      <c r="AO44" s="34" t="n"/>
      <c r="AR44" s="152">
        <f>AR43+7</f>
        <v/>
      </c>
      <c r="AS44" s="17">
        <f>'ПЛАН ЧЕРН К2'!B35*СПРАВОЧНИК!$H$9+'ПЛАН ЧЕРН К2'!C35*СПРАВОЧНИК!$I$9+'ПЛАН ЧЕРН К2'!D35*СПРАВОЧНИК!$J$9+'ПЛАН ЧЕРН К2'!E35*СПРАВОЧНИК!$H$10+'ПЛАН ЧЕРН К2'!F35*СПРАВОЧНИК!$I$10+'ПЛАН ЧЕРН К2'!G35*СПРАВОЧНИК!$J$10+'ПЛАН ЧЕРН К2'!H35*СПРАВОЧНИК!$H$11+'ПЛАН ЧЕРН К2'!I35*СПРАВОЧНИК!$I$11+'ПЛАН ЧЕРН К2'!J35*СПРАВОЧНИК!$J$11+'ПЛАН ЧЕРН К2'!K35*СПРАВОЧНИК!$H$12+'ПЛАН ЧЕРН К2'!L35*СПРАВОЧНИК!$I$12+'ПЛАН ЧЕРН К2'!M35*СПРАВОЧНИК!$J$12+'ПЛАН ЧЕРН К2'!N35*СПРАВОЧНИК!$H$13+'ПЛАН ЧЕРН К2'!O35*СПРАВОЧНИК!$I$13+'ПЛАН ЧЕРН К2'!P35*СПРАВОЧНИК!$J$13+'ПЛАН ЧЕРН К2'!Q35*СПРАВОЧНИК!$H$14+'ПЛАН ЧЕРН К2'!R35*СПРАВОЧНИК!$I$14+'ПЛАН ЧЕРН К2'!S35*СПРАВОЧНИК!$J$14+'ПЛАН ЧЕРН К2'!T35*СПРАВОЧНИК!$H$15+'ПЛАН ЧЕРН К2'!U35*СПРАВОЧНИК!$I$15+'ПЛАН ЧЕРН К2'!V35*СПРАВОЧНИК!$J$15</f>
        <v/>
      </c>
      <c r="AT44" s="31">
        <f>('ФАКТ ЧЕРН К2'!B35)*СПРАВОЧНИК!$H$9+('ФАКТ ЧЕРН К2'!C35)*СПРАВОЧНИК!$I$9+('ФАКТ ЧЕРН К2'!D35)*СПРАВОЧНИК!$J$9+('ФАКТ ЧЕРН К2'!E35)*СПРАВОЧНИК!$H$10+('ФАКТ ЧЕРН К2'!F35)*СПРАВОЧНИК!$I$10+('ФАКТ ЧЕРН К2'!G35)*СПРАВОЧНИК!$J$10+('ФАКТ ЧЕРН К2'!H35)*СПРАВОЧНИК!$H$11+('ФАКТ ЧЕРН К2'!I35)*СПРАВОЧНИК!$I$11+('ФАКТ ЧЕРН К2'!J35)*СПРАВОЧНИК!$J$11+('ФАКТ ЧЕРН К2'!K35)*СПРАВОЧНИК!$H$12+('ФАКТ ЧЕРН К2'!L35)*СПРАВОЧНИК!$I$12+('ФАКТ ЧЕРН К2'!M35)*СПРАВОЧНИК!$J$12+('ФАКТ ЧЕРН К2'!N35)*СПРАВОЧНИК!$H$13+('ФАКТ ЧЕРН К2'!O35)*СПРАВОЧНИК!$I$13+('ФАКТ ЧЕРН К2'!P35)*СПРАВОЧНИК!$J$13+('ФАКТ ЧЕРН К2'!Q35)*СПРАВОЧНИК!$H$14+('ФАКТ ЧЕРН К2'!R35)*СПРАВОЧНИК!$I$14+('ФАКТ ЧЕРН К2'!S35)*СПРАВОЧНИК!$J$14+('ФАКТ ЧЕРН К2'!T35)*СПРАВОЧНИК!$H$15+('ФАКТ ЧЕРН К2'!U35)*СПРАВОЧНИК!$I$15+('ФАКТ ЧЕРН К2'!V35)*СПРАВОЧНИК!$J$15</f>
        <v/>
      </c>
      <c r="AU44" s="34" t="n"/>
      <c r="AX44" s="152">
        <f>AX43+7</f>
        <v/>
      </c>
      <c r="AY44" s="17">
        <f>'ПЛАН ЧИСТ К2'!B35*СПРАВОЧНИК!$L$9+'ПЛАН ЧИСТ К2'!C35*СПРАВОЧНИК!$M$9+'ПЛАН ЧИСТ К2'!D35*СПРАВОЧНИК!$N$9+'ПЛАН ЧИСТ К2'!E35*СПРАВОЧНИК!$O$9+'ПЛАН ЧИСТ К2'!F35*СПРАВОЧНИК!$P$9+'ПЛАН ЧИСТ К2'!G35*СПРАВОЧНИК!$L$10+'ПЛАН ЧИСТ К2'!H35*СПРАВОЧНИК!$M$10+'ПЛАН ЧИСТ К2'!I35*СПРАВОЧНИК!$N$10+'ПЛАН ЧИСТ К2'!J35*СПРАВОЧНИК!$O$10+'ПЛАН ЧИСТ К2'!K35*СПРАВОЧНИК!$P$10+'ПЛАН ЧИСТ К2'!L35*СПРАВОЧНИК!$L$11+'ПЛАН ЧИСТ К2'!M35*СПРАВОЧНИК!$M$11+'ПЛАН ЧИСТ К2'!N35*СПРАВОЧНИК!$N$11+'ПЛАН ЧИСТ К2'!O35*СПРАВОЧНИК!$O$11+'ПЛАН ЧИСТ К2'!P35*СПРАВОЧНИК!$P$11+'ПЛАН ЧИСТ К2'!Q35*СПРАВОЧНИК!$L$12+'ПЛАН ЧИСТ К2'!R35*СПРАВОЧНИК!$M$12+'ПЛАН ЧИСТ К2'!S35*СПРАВОЧНИК!$N$12+'ПЛАН ЧИСТ К2'!T35*СПРАВОЧНИК!$O$12+'ПЛАН ЧИСТ К2'!U35*СПРАВОЧНИК!$P$12+'ПЛАН ЧИСТ К2'!V35*СПРАВОЧНИК!$L$13+'ПЛАН ЧИСТ К2'!W35*СПРАВОЧНИК!$M$13+'ПЛАН ЧИСТ К2'!X35*СПРАВОЧНИК!$N$13+'ПЛАН ЧИСТ К2'!Y35*СПРАВОЧНИК!$O$13+'ПЛАН ЧИСТ К2'!Z35*СПРАВОЧНИК!$P$13+'ПЛАН ЧИСТ К2'!AA35*СПРАВОЧНИК!$L$14+'ПЛАН ЧИСТ К2'!AB35*СПРАВОЧНИК!$M$14+'ПЛАН ЧИСТ К2'!AC35*СПРАВОЧНИК!$N$14+'ПЛАН ЧИСТ К2'!AD35*СПРАВОЧНИК!$O$14+'ПЛАН ЧИСТ К2'!AE35*СПРАВОЧНИК!$P$14+'ПЛАН ЧИСТ К2'!AF35*СПРАВОЧНИК!$L$15+'ПЛАН ЧИСТ К2'!AG35*СПРАВОЧНИК!$M$15+'ПЛАН ЧИСТ К2'!AH35*СПРАВОЧНИК!$N$15+'ПЛАН ЧИСТ К2'!AI35*СПРАВОЧНИК!$O$15+'ПЛАН ЧИСТ К2'!AJ35*СПРАВОЧНИК!$P$15</f>
        <v/>
      </c>
      <c r="AZ44" s="31">
        <f>('ФАКТ ЧИСТ К2'!B35)*СПРАВОЧНИК!$L$9+('ФАКТ ЧИСТ К2'!C35)*СПРАВОЧНИК!$M$9+('ФАКТ ЧИСТ К2'!D35)*СПРАВОЧНИК!$N$9+('ФАКТ ЧИСТ К2'!E35)*СПРАВОЧНИК!$O$9+('ФАКТ ЧИСТ К2'!F35)*СПРАВОЧНИК!$P$9+('ФАКТ ЧИСТ К2'!G35)*СПРАВОЧНИК!$L$10+('ФАКТ ЧИСТ К2'!H35)*СПРАВОЧНИК!$M$10+('ФАКТ ЧИСТ К2'!I35)*СПРАВОЧНИК!$N$10+('ФАКТ ЧИСТ К2'!J35)*СПРАВОЧНИК!$O$10+('ФАКТ ЧИСТ К2'!K35)*СПРАВОЧНИК!$P$10+('ФАКТ ЧИСТ К2'!L35)*СПРАВОЧНИК!$L$11+('ФАКТ ЧИСТ К2'!M35)*СПРАВОЧНИК!$M$11+('ФАКТ ЧИСТ К2'!N35)*СПРАВОЧНИК!$N$11+('ФАКТ ЧИСТ К2'!O35)*СПРАВОЧНИК!$O$11+('ФАКТ ЧИСТ К2'!P35)*СПРАВОЧНИК!$P$11+('ФАКТ ЧИСТ К2'!Q35)*СПРАВОЧНИК!$L$12+('ФАКТ ЧИСТ К2'!R35)*СПРАВОЧНИК!$M$12+('ФАКТ ЧИСТ К2'!S35)*СПРАВОЧНИК!$N$12+('ФАКТ ЧИСТ К2'!T35)*СПРАВОЧНИК!$O$12+('ФАКТ ЧИСТ К2'!U35)*СПРАВОЧНИК!$P$12+('ФАКТ ЧИСТ К2'!V35)*СПРАВОЧНИК!$L$13+('ФАКТ ЧИСТ К2'!W35)*СПРАВОЧНИК!$M$13+('ФАКТ ЧИСТ К2'!X35)*СПРАВОЧНИК!$N$13+('ФАКТ ЧИСТ К2'!Y35)*СПРАВОЧНИК!$O$13+('ФАКТ ЧИСТ К2'!Z35)*СПРАВОЧНИК!$P$13+('ФАКТ ЧИСТ К2'!AA35)*СПРАВОЧНИК!$L$14+('ФАКТ ЧИСТ К2'!AB35)*СПРАВОЧНИК!$M$14+('ФАКТ ЧИСТ К2'!AC35)*СПРАВОЧНИК!$N$14+('ФАКТ ЧИСТ К2'!AD35)*СПРАВОЧНИК!$O$14+('ФАКТ ЧИСТ К2'!AE35)*СПРАВОЧНИК!$P$14+('ФАКТ ЧИСТ К2'!AF35)*СПРАВОЧНИК!$L$15+('ФАКТ ЧИСТ К2'!AG35)*СПРАВОЧНИК!$M$15+('ФАКТ ЧИСТ К2'!AH35)*СПРАВОЧНИК!$N$15+('ФАКТ ЧИСТ К2'!AI35)*СПРАВОЧНИК!$O$15+('ФАКТ ЧИСТ К2'!AJ35)*СПРАВОЧНИК!$P$15</f>
        <v/>
      </c>
      <c r="BA44" s="34" t="n"/>
      <c r="BD44" s="152">
        <f>BD43+7</f>
        <v/>
      </c>
      <c r="BE44" s="17">
        <f>СПРАВОЧНИК!$E$9*('ПЛАН ЧЕРН К3'!B35*СПРАВОЧНИК!$H$9+'ПЛАН ЧЕРН К3'!C35*СПРАВОЧНИК!$I$9+'ПЛАН ЧЕРН К3'!D35*СПРАВОЧНИК!$J$9)+СПРАВОЧНИК!$F$9*('ПЛАН ЧИСТ К3'!B35*СПРАВОЧНИК!$L$9+'ПЛАН ЧИСТ К3'!C35*СПРАВОЧНИК!$M$9+'ПЛАН ЧИСТ К3'!D35*СПРАВОЧНИК!$N$9+'ПЛАН ЧИСТ К3'!E35*СПРАВОЧНИК!$O$9+'ПЛАН ЧИСТ К3'!F35*СПРАВОЧНИК!$P$9)+СПРАВОЧНИК!$E$10*('ПЛАН ЧЕРН К3'!E35*СПРАВОЧНИК!$H$10+'ПЛАН ЧЕРН К3'!F35*СПРАВОЧНИК!$I$10+'ПЛАН ЧЕРН К3'!G35*СПРАВОЧНИК!$J$10)+СПРАВОЧНИК!$F$10*('ПЛАН ЧИСТ К3'!G35*СПРАВОЧНИК!$L$10+'ПЛАН ЧИСТ К3'!H35*СПРАВОЧНИК!$M$10+'ПЛАН ЧИСТ К3'!I35*СПРАВОЧНИК!$N$10+'ПЛАН ЧИСТ К3'!J35*СПРАВОЧНИК!$O$10+'ПЛАН ЧИСТ К3'!K35*СПРАВОЧНИК!$P$10)+СПРАВОЧНИК!$E$11*('ПЛАН ЧЕРН К3'!H35*СПРАВОЧНИК!$H$11+'ПЛАН ЧЕРН К3'!I35*СПРАВОЧНИК!$I$11+'ПЛАН ЧЕРН К3'!J35*СПРАВОЧНИК!$J$11)+СПРАВОЧНИК!$F$11*('ПЛАН ЧИСТ К3'!L35*СПРАВОЧНИК!$L$11+'ПЛАН ЧИСТ К3'!M35*СПРАВОЧНИК!$M$11+'ПЛАН ЧИСТ К3'!N35*СПРАВОЧНИК!$N$11+'ПЛАН ЧИСТ К3'!O35*СПРАВОЧНИК!$O$11+'ПЛАН ЧИСТ К3'!P35*СПРАВОЧНИК!$P$11)+СПРАВОЧНИК!$E$12*('ПЛАН ЧЕРН К3'!K35*СПРАВОЧНИК!$H$12+'ПЛАН ЧЕРН К3'!L35*СПРАВОЧНИК!$I$12+'ПЛАН ЧЕРН К3'!M35*СПРАВОЧНИК!$J$12)+СПРАВОЧНИК!$F$12*('ПЛАН ЧИСТ К3'!Q35*СПРАВОЧНИК!$L$12+'ПЛАН ЧИСТ К3'!R35*СПРАВОЧНИК!$M$12+'ПЛАН ЧИСТ К3'!S35*СПРАВОЧНИК!$N$12+'ПЛАН ЧИСТ К3'!T35*СПРАВОЧНИК!$O$12+'ПЛАН ЧИСТ К3'!U35*СПРАВОЧНИК!$P$12)+СПРАВОЧНИК!$E$13*('ПЛАН ЧЕРН К3'!N35*СПРАВОЧНИК!$H$13+'ПЛАН ЧЕРН К3'!O35*СПРАВОЧНИК!$I$13+'ПЛАН ЧЕРН К3'!P35*СПРАВОЧНИК!$J$13)+СПРАВОЧНИК!$F$13*('ПЛАН ЧИСТ К3'!V35*СПРАВОЧНИК!$L$13+'ПЛАН ЧИСТ К3'!W35*СПРАВОЧНИК!$M$13+'ПЛАН ЧИСТ К3'!X35*СПРАВОЧНИК!$N$13+'ПЛАН ЧИСТ К3'!Y35*СПРАВОЧНИК!$O$13+'ПЛАН ЧИСТ К3'!Z35*СПРАВОЧНИК!$P$13)+СПРАВОЧНИК!$E$14*('ПЛАН ЧЕРН К3'!Q35*СПРАВОЧНИК!$H$14+'ПЛАН ЧЕРН К3'!R35*СПРАВОЧНИК!$I$14+'ПЛАН ЧЕРН К3'!S35*СПРАВОЧНИК!$J$14)+СПРАВОЧНИК!$F$14*('ПЛАН ЧИСТ К3'!AA35*СПРАВОЧНИК!$L$14+'ПЛАН ЧИСТ К3'!AB35*СПРАВОЧНИК!$M$14+'ПЛАН ЧИСТ К3'!AC35*СПРАВОЧНИК!$N$14+'ПЛАН ЧИСТ К3'!AD35*СПРАВОЧНИК!$O$14+'ПЛАН ЧИСТ К3'!AE35*СПРАВОЧНИК!$P$14)+СПРАВОЧНИК!$E$15*('ПЛАН ЧЕРН К3'!T35*СПРАВОЧНИК!$H$15+'ПЛАН ЧЕРН К3'!U35*СПРАВОЧНИК!$I$15+'ПЛАН ЧЕРН К3'!V35*СПРАВОЧНИК!$J$15)+СПРАВОЧНИК!$F$15*('ПЛАН ЧИСТ К3'!AF35*СПРАВОЧНИК!$L$15+'ПЛАН ЧИСТ К3'!AG35*СПРАВОЧНИК!$M$15+'ПЛАН ЧИСТ К3'!AH35*СПРАВОЧНИК!$N$15+'ПЛАН ЧИСТ К3'!AI35*СПРАВОЧНИК!$O$15+'ПЛАН ЧИСТ К3'!AJ35*СПРАВОЧНИК!$P$15)</f>
        <v/>
      </c>
      <c r="BF44" s="31">
        <f>СПРАВОЧНИК!$E$9*('ФАКТ ЧЕРН К3'!B35*СПРАВОЧНИК!$H$9+'ФАКТ ЧЕРН К3'!C35*СПРАВОЧНИК!$I$9+'ФАКТ ЧЕРН К3'!D35*СПРАВОЧНИК!$J$9)+СПРАВОЧНИК!$F$9*('ФАКТ ЧИСТ К3'!B35*СПРАВОЧНИК!$L$9+'ФАКТ ЧИСТ К3'!C35*СПРАВОЧНИК!$M$9+'ФАКТ ЧИСТ К3'!D35*СПРАВОЧНИК!$N$9+'ФАКТ ЧИСТ К3'!E35*СПРАВОЧНИК!$O$9+'ФАКТ ЧИСТ К3'!F35*СПРАВОЧНИК!$P$9)+СПРАВОЧНИК!$E$10*('ФАКТ ЧЕРН К3'!E35*СПРАВОЧНИК!$H$10+'ФАКТ ЧЕРН К3'!F35*СПРАВОЧНИК!$I$10+'ФАКТ ЧЕРН К3'!G35*СПРАВОЧНИК!$J$10)+СПРАВОЧНИК!$F$10*('ФАКТ ЧИСТ К3'!G35*СПРАВОЧНИК!$L$10+'ФАКТ ЧИСТ К3'!H35*СПРАВОЧНИК!$M$10+'ФАКТ ЧИСТ К3'!I35*СПРАВОЧНИК!$N$10+'ФАКТ ЧИСТ К3'!J35*СПРАВОЧНИК!$O$10+'ФАКТ ЧИСТ К3'!K35*СПРАВОЧНИК!$P$10)+СПРАВОЧНИК!$E$11*('ФАКТ ЧЕРН К3'!H35*СПРАВОЧНИК!$H$11+'ФАКТ ЧЕРН К3'!I35*СПРАВОЧНИК!$I$11+'ФАКТ ЧЕРН К3'!J35*СПРАВОЧНИК!$J$11)+СПРАВОЧНИК!$F$11*('ФАКТ ЧИСТ К3'!L35*СПРАВОЧНИК!$L$11+'ФАКТ ЧИСТ К3'!M35*СПРАВОЧНИК!$M$11+'ФАКТ ЧИСТ К3'!N35*СПРАВОЧНИК!$N$11+'ФАКТ ЧИСТ К3'!O35*СПРАВОЧНИК!$O$11+'ФАКТ ЧИСТ К3'!P35*СПРАВОЧНИК!$P$11)+СПРАВОЧНИК!$E$12*('ФАКТ ЧЕРН К3'!K35*СПРАВОЧНИК!$H$12+'ФАКТ ЧЕРН К3'!L35*СПРАВОЧНИК!$I$12+'ФАКТ ЧЕРН К3'!M35*СПРАВОЧНИК!$J$12)+СПРАВОЧНИК!$F$12*('ФАКТ ЧИСТ К3'!Q35*СПРАВОЧНИК!$L$12+'ФАКТ ЧИСТ К3'!R35*СПРАВОЧНИК!$M$12+'ФАКТ ЧИСТ К3'!S35*СПРАВОЧНИК!$N$12+'ФАКТ ЧИСТ К3'!T35*СПРАВОЧНИК!$O$12+'ФАКТ ЧИСТ К3'!U35*СПРАВОЧНИК!$P$12)+СПРАВОЧНИК!$E$13*('ФАКТ ЧЕРН К3'!N35*СПРАВОЧНИК!$H$13+'ФАКТ ЧЕРН К3'!O35*СПРАВОЧНИК!$I$13+'ФАКТ ЧЕРН К3'!P35*СПРАВОЧНИК!$J$13)+СПРАВОЧНИК!$F$13*('ФАКТ ЧИСТ К3'!V35*СПРАВОЧНИК!$L$13+'ФАКТ ЧИСТ К3'!W35*СПРАВОЧНИК!$M$13+'ФАКТ ЧИСТ К3'!X35*СПРАВОЧНИК!$N$13+'ФАКТ ЧИСТ К3'!Y35*СПРАВОЧНИК!$O$13+'ФАКТ ЧИСТ К3'!Z35*СПРАВОЧНИК!$P$13)+СПРАВОЧНИК!$E$14*('ФАКТ ЧЕРН К3'!Q35*СПРАВОЧНИК!$H$14+'ФАКТ ЧЕРН К3'!R35*СПРАВОЧНИК!$I$14+'ФАКТ ЧЕРН К3'!S35*СПРАВОЧНИК!$J$14)+СПРАВОЧНИК!$F$14*('ФАКТ ЧИСТ К3'!AA35*СПРАВОЧНИК!$L$14+'ФАКТ ЧИСТ К3'!AB35*СПРАВОЧНИК!$M$14+'ФАКТ ЧИСТ К3'!AC35*СПРАВОЧНИК!$N$14+'ФАКТ ЧИСТ К3'!AD35*СПРАВОЧНИК!$O$14+'ФАКТ ЧИСТ К3'!AE35*СПРАВОЧНИК!$P$14)+СПРАВОЧНИК!$E$15*('ФАКТ ЧЕРН К3'!T35*СПРАВОЧНИК!$H$15+'ФАКТ ЧЕРН К3'!U35*СПРАВОЧНИК!$I$15+'ФАКТ ЧЕРН К3'!V35*СПРАВОЧНИК!$J$15)+СПРАВОЧНИК!$F$15*('ФАКТ ЧИСТ К3'!AF35*СПРАВОЧНИК!$L$15+'ФАКТ ЧИСТ К3'!AG35*СПРАВОЧНИК!$M$15+'ФАКТ ЧИСТ К3'!AH35*СПРАВОЧНИК!$N$15+'ФАКТ ЧИСТ К3'!AI35*СПРАВОЧНИК!$O$15+'ФАКТ ЧИСТ К3'!AJ35*СПРАВОЧНИК!$P$15)</f>
        <v/>
      </c>
      <c r="BG44" s="34" t="n"/>
      <c r="BJ44" s="152">
        <f>BJ43+7</f>
        <v/>
      </c>
      <c r="BK44" s="17">
        <f>'ПЛАН ЧЕРН К3'!B35*СПРАВОЧНИК!$H$9+'ПЛАН ЧЕРН К3'!C35*СПРАВОЧНИК!$I$9+'ПЛАН ЧЕРН К3'!D35*СПРАВОЧНИК!$J$9+'ПЛАН ЧЕРН К3'!E35*СПРАВОЧНИК!$H$10+'ПЛАН ЧЕРН К3'!F35*СПРАВОЧНИК!$I$10+'ПЛАН ЧЕРН К3'!G35*СПРАВОЧНИК!$J$10+'ПЛАН ЧЕРН К3'!H35*СПРАВОЧНИК!$H$11+'ПЛАН ЧЕРН К3'!I35*СПРАВОЧНИК!$I$11+'ПЛАН ЧЕРН К3'!J35*СПРАВОЧНИК!$J$11+'ПЛАН ЧЕРН К3'!K35*СПРАВОЧНИК!$H$12+'ПЛАН ЧЕРН К3'!L35*СПРАВОЧНИК!$I$12+'ПЛАН ЧЕРН К3'!M35*СПРАВОЧНИК!$J$12+'ПЛАН ЧЕРН К3'!N35*СПРАВОЧНИК!$H$13+'ПЛАН ЧЕРН К3'!O35*СПРАВОЧНИК!$I$13+'ПЛАН ЧЕРН К3'!P35*СПРАВОЧНИК!$J$13+'ПЛАН ЧЕРН К3'!Q35*СПРАВОЧНИК!$H$14+'ПЛАН ЧЕРН К3'!R35*СПРАВОЧНИК!$I$14+'ПЛАН ЧЕРН К3'!S35*СПРАВОЧНИК!$J$14+'ПЛАН ЧЕРН К3'!T35*СПРАВОЧНИК!$H$15+'ПЛАН ЧЕРН К3'!U35*СПРАВОЧНИК!$I$15+'ПЛАН ЧЕРН К3'!V35*СПРАВОЧНИК!$J$15</f>
        <v/>
      </c>
      <c r="BL44" s="31">
        <f>('ФАКТ ЧЕРН К3'!B35)*СПРАВОЧНИК!$H$9+('ФАКТ ЧЕРН К3'!C35)*СПРАВОЧНИК!$I$9+('ФАКТ ЧЕРН К3'!D35)*СПРАВОЧНИК!$J$9+('ФАКТ ЧЕРН К3'!E35)*СПРАВОЧНИК!$H$10+('ФАКТ ЧЕРН К3'!F35)*СПРАВОЧНИК!$I$10+('ФАКТ ЧЕРН К3'!G35)*СПРАВОЧНИК!$J$10+('ФАКТ ЧЕРН К3'!H35)*СПРАВОЧНИК!$H$11+('ФАКТ ЧЕРН К3'!I35)*СПРАВОЧНИК!$I$11+('ФАКТ ЧЕРН К3'!J35)*СПРАВОЧНИК!$J$11+('ФАКТ ЧЕРН К3'!K35)*СПРАВОЧНИК!$H$12+('ФАКТ ЧЕРН К3'!L35)*СПРАВОЧНИК!$I$12+('ФАКТ ЧЕРН К3'!M35)*СПРАВОЧНИК!$J$12+('ФАКТ ЧЕРН К3'!N35)*СПРАВОЧНИК!$H$13+('ФАКТ ЧЕРН К3'!O35)*СПРАВОЧНИК!$I$13+('ФАКТ ЧЕРН К3'!P35)*СПРАВОЧНИК!$J$13+('ФАКТ ЧЕРН К3'!Q35)*СПРАВОЧНИК!$H$14+('ФАКТ ЧЕРН К3'!R35)*СПРАВОЧНИК!$I$14+('ФАКТ ЧЕРН К3'!S35)*СПРАВОЧНИК!$J$14+('ФАКТ ЧЕРН К3'!T35)*СПРАВОЧНИК!$H$15+('ФАКТ ЧЕРН К3'!U35)*СПРАВОЧНИК!$I$15+('ФАКТ ЧЕРН К3'!V35)*СПРАВОЧНИК!$J$15</f>
        <v/>
      </c>
      <c r="BM44" s="34" t="n"/>
      <c r="BP44" s="152">
        <f>BP43+7</f>
        <v/>
      </c>
      <c r="BQ44" s="17">
        <f>'ПЛАН ЧИСТ К3'!B35*СПРАВОЧНИК!$L$9+'ПЛАН ЧИСТ К3'!C35*СПРАВОЧНИК!$M$9+'ПЛАН ЧИСТ К3'!D35*СПРАВОЧНИК!$N$9+'ПЛАН ЧИСТ К3'!E35*СПРАВОЧНИК!$O$9+'ПЛАН ЧИСТ К3'!F35*СПРАВОЧНИК!$P$9+'ПЛАН ЧИСТ К3'!G35*СПРАВОЧНИК!$L$10+'ПЛАН ЧИСТ К3'!H35*СПРАВОЧНИК!$M$10+'ПЛАН ЧИСТ К3'!I35*СПРАВОЧНИК!$N$10+'ПЛАН ЧИСТ К3'!J35*СПРАВОЧНИК!$O$10+'ПЛАН ЧИСТ К3'!K35*СПРАВОЧНИК!$P$10+'ПЛАН ЧИСТ К3'!L35*СПРАВОЧНИК!$L$11+'ПЛАН ЧИСТ К3'!M35*СПРАВОЧНИК!$M$11+'ПЛАН ЧИСТ К3'!N35*СПРАВОЧНИК!$N$11+'ПЛАН ЧИСТ К3'!O35*СПРАВОЧНИК!$O$11+'ПЛАН ЧИСТ К3'!P35*СПРАВОЧНИК!$P$11+'ПЛАН ЧИСТ К3'!Q35*СПРАВОЧНИК!$L$12+'ПЛАН ЧИСТ К3'!R35*СПРАВОЧНИК!$M$12+'ПЛАН ЧИСТ К3'!S35*СПРАВОЧНИК!$N$12+'ПЛАН ЧИСТ К3'!T35*СПРАВОЧНИК!$O$12+'ПЛАН ЧИСТ К3'!U35*СПРАВОЧНИК!$P$12+'ПЛАН ЧИСТ К3'!V35*СПРАВОЧНИК!$L$13+'ПЛАН ЧИСТ К3'!W35*СПРАВОЧНИК!$M$13+'ПЛАН ЧИСТ К3'!X35*СПРАВОЧНИК!$N$13+'ПЛАН ЧИСТ К3'!Y35*СПРАВОЧНИК!$O$13+'ПЛАН ЧИСТ К3'!Z35*СПРАВОЧНИК!$P$13+'ПЛАН ЧИСТ К3'!AA35*СПРАВОЧНИК!$L$14+'ПЛАН ЧИСТ К3'!AB35*СПРАВОЧНИК!$M$14+'ПЛАН ЧИСТ К3'!AC35*СПРАВОЧНИК!$N$14+'ПЛАН ЧИСТ К3'!AD35*СПРАВОЧНИК!$O$14+'ПЛАН ЧИСТ К3'!AE35*СПРАВОЧНИК!$P$14+'ПЛАН ЧИСТ К3'!AF35*СПРАВОЧНИК!$L$15+'ПЛАН ЧИСТ К3'!AG35*СПРАВОЧНИК!$M$15+'ПЛАН ЧИСТ К3'!AH35*СПРАВОЧНИК!$N$15+'ПЛАН ЧИСТ К3'!AI35*СПРАВОЧНИК!$O$15+'ПЛАН ЧИСТ К3'!AJ35*СПРАВОЧНИК!$P$15</f>
        <v/>
      </c>
      <c r="BR44" s="31">
        <f>('ФАКТ ЧИСТ К3'!B35)*СПРАВОЧНИК!$L$9+('ФАКТ ЧИСТ К3'!C35)*СПРАВОЧНИК!$M$9+('ФАКТ ЧИСТ К3'!D35)*СПРАВОЧНИК!$N$9+('ФАКТ ЧИСТ К3'!E35)*СПРАВОЧНИК!$O$9+('ФАКТ ЧИСТ К3'!F35)*СПРАВОЧНИК!$P$9+('ФАКТ ЧИСТ К3'!G35)*СПРАВОЧНИК!$L$10+('ФАКТ ЧИСТ К3'!H35)*СПРАВОЧНИК!$M$10+('ФАКТ ЧИСТ К3'!I35)*СПРАВОЧНИК!$N$10+('ФАКТ ЧИСТ К3'!J35)*СПРАВОЧНИК!$O$10+('ФАКТ ЧИСТ К3'!K35)*СПРАВОЧНИК!$P$10+('ФАКТ ЧИСТ К3'!L35)*СПРАВОЧНИК!$L$11+('ФАКТ ЧИСТ К3'!M35)*СПРАВОЧНИК!$M$11+('ФАКТ ЧИСТ К3'!N35)*СПРАВОЧНИК!$N$11+('ФАКТ ЧИСТ К3'!O35)*СПРАВОЧНИК!$O$11+('ФАКТ ЧИСТ К3'!P35)*СПРАВОЧНИК!$P$11+('ФАКТ ЧИСТ К3'!Q35)*СПРАВОЧНИК!$L$12+('ФАКТ ЧИСТ К3'!R35)*СПРАВОЧНИК!$M$12+('ФАКТ ЧИСТ К3'!S35)*СПРАВОЧНИК!$N$12+('ФАКТ ЧИСТ К3'!T35)*СПРАВОЧНИК!$O$12+('ФАКТ ЧИСТ К3'!U35)*СПРАВОЧНИК!$P$12+('ФАКТ ЧИСТ К3'!V35)*СПРАВОЧНИК!$L$13+('ФАКТ ЧИСТ К3'!W35)*СПРАВОЧНИК!$M$13+('ФАКТ ЧИСТ К3'!X35)*СПРАВОЧНИК!$N$13+('ФАКТ ЧИСТ К3'!Y35)*СПРАВОЧНИК!$O$13+('ФАКТ ЧИСТ К3'!Z35)*СПРАВОЧНИК!$P$13+('ФАКТ ЧИСТ К3'!AA35)*СПРАВОЧНИК!$L$14+('ФАКТ ЧИСТ К3'!AB35)*СПРАВОЧНИК!$M$14+('ФАКТ ЧИСТ К3'!AC35)*СПРАВОЧНИК!$N$14+('ФАКТ ЧИСТ К3'!AD35)*СПРАВОЧНИК!$O$14+('ФАКТ ЧИСТ К3'!AE35)*СПРАВОЧНИК!$P$14+('ФАКТ ЧИСТ К3'!AF35)*СПРАВОЧНИК!$L$15+('ФАКТ ЧИСТ К3'!AG35)*СПРАВОЧНИК!$M$15+('ФАКТ ЧИСТ К3'!AH35)*СПРАВОЧНИК!$N$15+('ФАКТ ЧИСТ К3'!AI35)*СПРАВОЧНИК!$O$15+('ФАКТ ЧИСТ К3'!AJ35)*СПРАВОЧНИК!$P$15</f>
        <v/>
      </c>
      <c r="BS44" s="34" t="n"/>
      <c r="BV44" s="152">
        <f>BV43+7</f>
        <v/>
      </c>
      <c r="BW44" s="17">
        <f>U44*СПРАВОЧНИК!$K$28+AM44*СПРАВОЧНИК!$K$29+BE44*СПРАВОЧНИК!$K$30</f>
        <v/>
      </c>
      <c r="BX44" s="31">
        <f>V44*СПРАВОЧНИК!$K$28+AN44*СПРАВОЧНИК!$K$29+BF44*СПРАВОЧНИК!$K$30</f>
        <v/>
      </c>
      <c r="BY44" s="34" t="n"/>
      <c r="CB44" s="152">
        <f>CB43+7</f>
        <v/>
      </c>
      <c r="CC44" s="17">
        <f>AA44*СПРАВОЧНИК!$K$28+AS44*СПРАВОЧНИК!$K$29+BK44*СПРАВОЧНИК!$K$30</f>
        <v/>
      </c>
      <c r="CD44" s="31">
        <f>AB44*СПРАВОЧНИК!$K$28+AT44*СПРАВОЧНИК!$K$29+BL44*СПРАВОЧНИК!$K$30</f>
        <v/>
      </c>
      <c r="CE44" s="34" t="n"/>
      <c r="CH44" s="152">
        <f>CH43+7</f>
        <v/>
      </c>
      <c r="CI44" s="17">
        <f>AG44*СПРАВОЧНИК!$K$28+AY44*СПРАВОЧНИК!$K$29+BQ44*СПРАВОЧНИК!$K$30</f>
        <v/>
      </c>
      <c r="CJ44" s="31">
        <f>AH44*СПРАВОЧНИК!$K$28+AZ44*СПРАВОЧНИК!$K$29+BR44*СПРАВОЧНИК!$K$30</f>
        <v/>
      </c>
      <c r="CK44" s="34" t="n"/>
      <c r="CN44" s="152">
        <f>CN43+7</f>
        <v/>
      </c>
      <c r="CO44" s="17">
        <f>C44*СПРАВОЧНИК!$W$18+BW44*СПРАВОЧНИК!$W$19</f>
        <v/>
      </c>
      <c r="CP44" s="31">
        <f>D44*СПРАВОЧНИК!$W$18+BX44*СПРАВОЧНИК!$W$19</f>
        <v/>
      </c>
      <c r="CQ44" s="34" t="n"/>
      <c r="CT44" s="152">
        <f>CT43+7</f>
        <v/>
      </c>
      <c r="CU44" s="17">
        <f>I44*СПРАВОЧНИК!$W$18+CC44*СПРАВОЧНИК!$W$19</f>
        <v/>
      </c>
      <c r="CV44" s="31">
        <f>J44*СПРАВОЧНИК!$W$18+CD44*СПРАВОЧНИК!$W$19</f>
        <v/>
      </c>
      <c r="CW44" s="34" t="n"/>
      <c r="CZ44" s="152">
        <f>CZ43+7</f>
        <v/>
      </c>
      <c r="DA44" s="17">
        <f>O44*СПРАВОЧНИК!$W$18+CI44*СПРАВОЧНИК!$W$19</f>
        <v/>
      </c>
      <c r="DB44" s="31">
        <f>P44*СПРАВОЧНИК!$W$18+CJ44*СПРАВОЧНИК!$W$19</f>
        <v/>
      </c>
      <c r="DC44" s="34" t="n"/>
    </row>
    <row r="45">
      <c r="B45" s="152">
        <f>B44+7</f>
        <v/>
      </c>
      <c r="C45" s="17">
        <f>СПРАВОЧНИК!$E$3*('ПЛАН ЧЕРН ПОДЗЕМ'!B36*СПРАВОЧНИК!$H$3+'ПЛАН ЧЕРН ПОДЗЕМ'!C36*СПРАВОЧНИК!$I$3+'ПЛАН ЧЕРН ПОДЗЕМ'!D36*СПРАВОЧНИК!$J$3)+СПРАВОЧНИК!$F$3*('ПЛАН ЧИСТ ПОДЗЕМ'!B36*СПРАВОЧНИК!$L$3+'ПЛАН ЧИСТ ПОДЗЕМ'!C36*СПРАВОЧНИК!$M$3+'ПЛАН ЧИСТ ПОДЗЕМ'!D36*СПРАВОЧНИК!$N$3+'ПЛАН ЧИСТ ПОДЗЕМ'!E36*СПРАВОЧНИК!$O$3+'ПЛАН ЧИСТ ПОДЗЕМ'!F36*СПРАВОЧНИК!$P$3)+СПРАВОЧНИК!$E$4*('ПЛАН ЧЕРН ПОДЗЕМ'!E36*СПРАВОЧНИК!$H$4+'ПЛАН ЧЕРН ПОДЗЕМ'!F36*СПРАВОЧНИК!$I$4+'ПЛАН ЧЕРН ПОДЗЕМ'!G36*СПРАВОЧНИК!$J$4)+СПРАВОЧНИК!$F$4*('ПЛАН ЧИСТ ПОДЗЕМ'!G36*СПРАВОЧНИК!$L$4+'ПЛАН ЧИСТ ПОДЗЕМ'!H36*СПРАВОЧНИК!$M$4+'ПЛАН ЧИСТ ПОДЗЕМ'!I36*СПРАВОЧНИК!$N$4+'ПЛАН ЧИСТ ПОДЗЕМ'!J36*СПРАВОЧНИК!$O$4+'ПЛАН ЧИСТ ПОДЗЕМ'!K36*СПРАВОЧНИК!$P$4)+СПРАВОЧНИК!$E$5*('ПЛАН ЧЕРН ПОДЗЕМ'!H36*СПРАВОЧНИК!$H$5+'ПЛАН ЧЕРН ПОДЗЕМ'!I36*СПРАВОЧНИК!$I$5+'ПЛАН ЧЕРН ПОДЗЕМ'!J36*СПРАВОЧНИК!$J$5)+СПРАВОЧНИК!$F$5*('ПЛАН ЧИСТ ПОДЗЕМ'!L36*СПРАВОЧНИК!$L$5+'ПЛАН ЧИСТ ПОДЗЕМ'!M36*СПРАВОЧНИК!$M$5+'ПЛАН ЧИСТ ПОДЗЕМ'!N36*СПРАВОЧНИК!$N$5+'ПЛАН ЧИСТ ПОДЗЕМ'!O36*СПРАВОЧНИК!$O$5+'ПЛАН ЧИСТ ПОДЗЕМ'!P36*СПРАВОЧНИК!$P$5)+СПРАВОЧНИК!$E$6*('ПЛАН ЧЕРН ПОДЗЕМ'!K36*СПРАВОЧНИК!$H$6+'ПЛАН ЧЕРН ПОДЗЕМ'!L36*СПРАВОЧНИК!$I$6+'ПЛАН ЧЕРН ПОДЗЕМ'!M36*СПРАВОЧНИК!$J$6)+СПРАВОЧНИК!$F$6*('ПЛАН ЧИСТ ПОДЗЕМ'!Q36*СПРАВОЧНИК!$L$6+'ПЛАН ЧИСТ ПОДЗЕМ'!R36*СПРАВОЧНИК!$M$6+'ПЛАН ЧИСТ ПОДЗЕМ'!S36*СПРАВОЧНИК!$N$6+'ПЛАН ЧИСТ ПОДЗЕМ'!T36*СПРАВОЧНИК!$O$6+'ПЛАН ЧИСТ ПОДЗЕМ'!U36*СПРАВОЧНИК!$P$6)+СПРАВОЧНИК!$E$7*('ПЛАН ЧЕРН ПОДЗЕМ'!N36*СПРАВОЧНИК!$H$7+'ПЛАН ЧЕРН ПОДЗЕМ'!O36*СПРАВОЧНИК!$I$7+'ПЛАН ЧЕРН ПОДЗЕМ'!P36*СПРАВОЧНИК!$J$7)+СПРАВОЧНИК!$F$7*('ПЛАН ЧИСТ ПОДЗЕМ'!V36*СПРАВОЧНИК!$L$7+'ПЛАН ЧИСТ ПОДЗЕМ'!W36*СПРАВОЧНИК!$M$7+'ПЛАН ЧИСТ ПОДЗЕМ'!X36*СПРАВОЧНИК!$N$7+'ПЛАН ЧИСТ ПОДЗЕМ'!Y36*СПРАВОЧНИК!$O$7+'ПЛАН ЧИСТ ПОДЗЕМ'!Z36*СПРАВОЧНИК!$P$7)+СПРАВОЧНИК!$E$8*('ПЛАН ЧЕРН ПОДЗЕМ'!Q36*СПРАВОЧНИК!$H$8+'ПЛАН ЧЕРН ПОДЗЕМ'!R36*СПРАВОЧНИК!$I$8+'ПЛАН ЧЕРН ПОДЗЕМ'!S36*СПРАВОЧНИК!$J$8)+СПРАВОЧНИК!$F$8*('ПЛАН ЧИСТ ПОДЗЕМ'!AA36*СПРАВОЧНИК!$L$8+'ПЛАН ЧИСТ ПОДЗЕМ'!AB36*СПРАВОЧНИК!$M$8+'ПЛАН ЧИСТ ПОДЗЕМ'!AC36*СПРАВОЧНИК!$N$8+'ПЛАН ЧИСТ ПОДЗЕМ'!AD36*СПРАВОЧНИК!$O$8+'ПЛАН ЧИСТ ПОДЗЕМ'!AE36*СПРАВОЧНИК!$P$8)</f>
        <v/>
      </c>
      <c r="D45" s="31">
        <f>СПРАВОЧНИК!$E$3*('ФАКТ ЧЕРН ПОДЗЕМ'!B36*СПРАВОЧНИК!$H$3+'ФАКТ ЧЕРН ПОДЗЕМ'!C36*СПРАВОЧНИК!$I$3+'ФАКТ ЧЕРН ПОДЗЕМ'!D36*СПРАВОЧНИК!$J$3)+СПРАВОЧНИК!$F$3*('ФАКТ ЧИСТ ПОДЗЕМ'!B36*СПРАВОЧНИК!$L$3+'ФАКТ ЧИСТ ПОДЗЕМ'!C36*СПРАВОЧНИК!$M$3+'ФАКТ ЧИСТ ПОДЗЕМ'!D36*СПРАВОЧНИК!$N$3+'ФАКТ ЧИСТ ПОДЗЕМ'!E36*СПРАВОЧНИК!$O$3+'ФАКТ ЧИСТ ПОДЗЕМ'!F36*СПРАВОЧНИК!$P$3)+СПРАВОЧНИК!$E$4*('ФАКТ ЧЕРН ПОДЗЕМ'!E36*СПРАВОЧНИК!$H$4+'ФАКТ ЧЕРН ПОДЗЕМ'!F36*СПРАВОЧНИК!$I$4+'ФАКТ ЧЕРН ПОДЗЕМ'!G36*СПРАВОЧНИК!$J$4)+СПРАВОЧНИК!$F$4*('ФАКТ ЧИСТ ПОДЗЕМ'!G36*СПРАВОЧНИК!$L$4+'ФАКТ ЧИСТ ПОДЗЕМ'!H36*СПРАВОЧНИК!$M$4+'ФАКТ ЧИСТ ПОДЗЕМ'!I36*СПРАВОЧНИК!$N$4+'ФАКТ ЧИСТ ПОДЗЕМ'!J36*СПРАВОЧНИК!$O$4+'ФАКТ ЧИСТ ПОДЗЕМ'!K36*СПРАВОЧНИК!$P$4)+СПРАВОЧНИК!$E$5*('ФАКТ ЧЕРН ПОДЗЕМ'!H36*СПРАВОЧНИК!$H$5+'ФАКТ ЧЕРН ПОДЗЕМ'!I36*СПРАВОЧНИК!$I$5+'ФАКТ ЧЕРН ПОДЗЕМ'!J36*СПРАВОЧНИК!$J$5)+СПРАВОЧНИК!$F$5*('ФАКТ ЧИСТ ПОДЗЕМ'!L36*СПРАВОЧНИК!$L$5+'ФАКТ ЧИСТ ПОДЗЕМ'!M36*СПРАВОЧНИК!$M$5+'ФАКТ ЧИСТ ПОДЗЕМ'!N36*СПРАВОЧНИК!$N$5+'ФАКТ ЧИСТ ПОДЗЕМ'!O36*СПРАВОЧНИК!$O$5+'ФАКТ ЧИСТ ПОДЗЕМ'!P36*СПРАВОЧНИК!$P$5)+СПРАВОЧНИК!$E$6*('ФАКТ ЧЕРН ПОДЗЕМ'!K36*СПРАВОЧНИК!$H$6+'ФАКТ ЧЕРН ПОДЗЕМ'!L36*СПРАВОЧНИК!$I$6+'ФАКТ ЧЕРН ПОДЗЕМ'!M36*СПРАВОЧНИК!$J$6)+СПРАВОЧНИК!$F$6*('ФАКТ ЧИСТ ПОДЗЕМ'!Q36*СПРАВОЧНИК!$L$6+'ФАКТ ЧИСТ ПОДЗЕМ'!R36*СПРАВОЧНИК!$M$6+'ФАКТ ЧИСТ ПОДЗЕМ'!S36*СПРАВОЧНИК!$N$6+'ФАКТ ЧИСТ ПОДЗЕМ'!T36*СПРАВОЧНИК!$O$6+'ФАКТ ЧИСТ ПОДЗЕМ'!U36*СПРАВОЧНИК!$P$6)+СПРАВОЧНИК!$E$7*('ФАКТ ЧЕРН ПОДЗЕМ'!N36*СПРАВОЧНИК!$H$7+'ФАКТ ЧЕРН ПОДЗЕМ'!O36*СПРАВОЧНИК!$I$7+'ФАКТ ЧЕРН ПОДЗЕМ'!P36*СПРАВОЧНИК!$J$7)+СПРАВОЧНИК!$F$7*('ФАКТ ЧИСТ ПОДЗЕМ'!V36*СПРАВОЧНИК!$L$7+'ФАКТ ЧИСТ ПОДЗЕМ'!W36*СПРАВОЧНИК!$M$7+'ФАКТ ЧИСТ ПОДЗЕМ'!X36*СПРАВОЧНИК!$N$7+'ФАКТ ЧИСТ ПОДЗЕМ'!Y36*СПРАВОЧНИК!$O$7+'ФАКТ ЧИСТ ПОДЗЕМ'!Z36*СПРАВОЧНИК!$P$7)+СПРАВОЧНИК!$E$8*('ФАКТ ЧЕРН ПОДЗЕМ'!Q36*СПРАВОЧНИК!$H$8+'ФАКТ ЧЕРН ПОДЗЕМ'!R36*СПРАВОЧНИК!$I$8+'ФАКТ ЧЕРН ПОДЗЕМ'!S36*СПРАВОЧНИК!$J$8)+СПРАВОЧНИК!$F$8*('ФАКТ ЧИСТ ПОДЗЕМ'!AA36*СПРАВОЧНИК!$L$8+'ФАКТ ЧИСТ ПОДЗЕМ'!AB36*СПРАВОЧНИК!$M$8+'ФАКТ ЧИСТ ПОДЗЕМ'!AC36*СПРАВОЧНИК!$N$8+'ФАКТ ЧИСТ ПОДЗЕМ'!AD36*СПРАВОЧНИК!$O$8+'ФАКТ ЧИСТ ПОДЗЕМ'!AE36*СПРАВОЧНИК!$P$8)</f>
        <v/>
      </c>
      <c r="E45" s="34" t="n"/>
      <c r="H45" s="152">
        <f>H44+7</f>
        <v/>
      </c>
      <c r="I45" s="17">
        <f>'ПЛАН ЧЕРН ПОДЗЕМ'!B36*СПРАВОЧНИК!$H$3+'ПЛАН ЧЕРН ПОДЗЕМ'!C36*СПРАВОЧНИК!$I$3+'ПЛАН ЧЕРН ПОДЗЕМ'!D36*СПРАВОЧНИК!$J$3+'ПЛАН ЧЕРН ПОДЗЕМ'!E36*СПРАВОЧНИК!$H$4+'ПЛАН ЧЕРН ПОДЗЕМ'!F36*СПРАВОЧНИК!$I$4+'ПЛАН ЧЕРН ПОДЗЕМ'!G36*СПРАВОЧНИК!$J$4+'ПЛАН ЧЕРН ПОДЗЕМ'!H36*СПРАВОЧНИК!$H$5+'ПЛАН ЧЕРН ПОДЗЕМ'!I36*СПРАВОЧНИК!$I$5+'ПЛАН ЧЕРН ПОДЗЕМ'!J36*СПРАВОЧНИК!$J$5+'ПЛАН ЧЕРН ПОДЗЕМ'!K36*СПРАВОЧНИК!$H$6+'ПЛАН ЧЕРН ПОДЗЕМ'!L36*СПРАВОЧНИК!$I$6+'ПЛАН ЧЕРН ПОДЗЕМ'!M36*СПРАВОЧНИК!$J$6+'ПЛАН ЧЕРН ПОДЗЕМ'!N36*СПРАВОЧНИК!$H$7+'ПЛАН ЧЕРН ПОДЗЕМ'!O36*СПРАВОЧНИК!$I$7+'ПЛАН ЧЕРН ПОДЗЕМ'!P36*СПРАВОЧНИК!$J$7+'ПЛАН ЧЕРН ПОДЗЕМ'!Q36*СПРАВОЧНИК!$H$8+'ПЛАН ЧЕРН ПОДЗЕМ'!R36*СПРАВОЧНИК!$I$8+'ПЛАН ЧЕРН ПОДЗЕМ'!S36*СПРАВОЧНИК!$J$8</f>
        <v/>
      </c>
      <c r="J45" s="31">
        <f>('ФАКТ ЧЕРН ПОДЗЕМ'!B36)*СПРАВОЧНИК!$H$3+('ФАКТ ЧЕРН ПОДЗЕМ'!C36)*СПРАВОЧНИК!$I$3+('ФАКТ ЧЕРН ПОДЗЕМ'!D36)*СПРАВОЧНИК!$J$3+('ФАКТ ЧЕРН ПОДЗЕМ'!E36)*СПРАВОЧНИК!$H$4+('ФАКТ ЧЕРН ПОДЗЕМ'!F36)*СПРАВОЧНИК!$I$4+('ФАКТ ЧЕРН ПОДЗЕМ'!G36)*СПРАВОЧНИК!$J$4+('ФАКТ ЧЕРН ПОДЗЕМ'!H36)*СПРАВОЧНИК!$H$5+('ФАКТ ЧЕРН ПОДЗЕМ'!I36)*СПРАВОЧНИК!$I$5+('ФАКТ ЧЕРН ПОДЗЕМ'!J36)*СПРАВОЧНИК!$J$5+('ФАКТ ЧЕРН ПОДЗЕМ'!K36)*СПРАВОЧНИК!$H$6+('ФАКТ ЧЕРН ПОДЗЕМ'!L36)*СПРАВОЧНИК!$I$6+('ФАКТ ЧЕРН ПОДЗЕМ'!M36)*СПРАВОЧНИК!$J$6+('ФАКТ ЧЕРН ПОДЗЕМ'!N36)*СПРАВОЧНИК!$H$7+('ФАКТ ЧЕРН ПОДЗЕМ'!O36)*СПРАВОЧНИК!$I$7+('ФАКТ ЧЕРН ПОДЗЕМ'!P36)*СПРАВОЧНИК!$J$7+('ФАКТ ЧЕРН ПОДЗЕМ'!Q36)*СПРАВОЧНИК!$H$8+('ФАКТ ЧЕРН ПОДЗЕМ'!R36)*СПРАВОЧНИК!$I$8+('ФАКТ ЧЕРН ПОДЗЕМ'!S36)*СПРАВОЧНИК!$J$8</f>
        <v/>
      </c>
      <c r="K45" s="34" t="n"/>
      <c r="N45" s="152">
        <f>N44+7</f>
        <v/>
      </c>
      <c r="O45" s="17">
        <f>'ПЛАН ЧИСТ ПОДЗЕМ'!B36*СПРАВОЧНИК!$L$3+'ПЛАН ЧИСТ ПОДЗЕМ'!C36*СПРАВОЧНИК!$M$3+'ПЛАН ЧИСТ ПОДЗЕМ'!D36*СПРАВОЧНИК!$N$3+'ПЛАН ЧИСТ ПОДЗЕМ'!E36*СПРАВОЧНИК!$O$3+'ПЛАН ЧИСТ ПОДЗЕМ'!F36*СПРАВОЧНИК!$P$3+'ПЛАН ЧИСТ ПОДЗЕМ'!G36*СПРАВОЧНИК!$L$4+'ПЛАН ЧИСТ ПОДЗЕМ'!H36*СПРАВОЧНИК!$M$4+'ПЛАН ЧИСТ ПОДЗЕМ'!I36*СПРАВОЧНИК!$N$4+'ПЛАН ЧИСТ ПОДЗЕМ'!J36*СПРАВОЧНИК!$O$4+'ПЛАН ЧИСТ ПОДЗЕМ'!K36*СПРАВОЧНИК!$P$4+'ПЛАН ЧИСТ ПОДЗЕМ'!L36*СПРАВОЧНИК!$L$5+'ПЛАН ЧИСТ ПОДЗЕМ'!M36*СПРАВОЧНИК!$M$5+'ПЛАН ЧИСТ ПОДЗЕМ'!N36*СПРАВОЧНИК!$N$5+'ПЛАН ЧИСТ ПОДЗЕМ'!O36*СПРАВОЧНИК!$O$5+'ПЛАН ЧИСТ ПОДЗЕМ'!P36*СПРАВОЧНИК!$P$5+'ПЛАН ЧИСТ ПОДЗЕМ'!Q36*СПРАВОЧНИК!$L$6+'ПЛАН ЧИСТ ПОДЗЕМ'!R36*СПРАВОЧНИК!$M$6+'ПЛАН ЧИСТ ПОДЗЕМ'!S36*СПРАВОЧНИК!$N$6+'ПЛАН ЧИСТ ПОДЗЕМ'!T36*СПРАВОЧНИК!$O$6+'ПЛАН ЧИСТ ПОДЗЕМ'!U36*СПРАВОЧНИК!$P$6+'ПЛАН ЧИСТ ПОДЗЕМ'!V36*СПРАВОЧНИК!$L$7+'ПЛАН ЧИСТ ПОДЗЕМ'!W36*СПРАВОЧНИК!$M$7+'ПЛАН ЧИСТ ПОДЗЕМ'!X36*СПРАВОЧНИК!$N$7+'ПЛАН ЧИСТ ПОДЗЕМ'!Y36*СПРАВОЧНИК!$O$7+'ПЛАН ЧИСТ ПОДЗЕМ'!Z36*СПРАВОЧНИК!$P$7+'ПЛАН ЧИСТ ПОДЗЕМ'!AA36*СПРАВОЧНИК!$L$8+'ПЛАН ЧИСТ ПОДЗЕМ'!AB36*СПРАВОЧНИК!$M$8+'ПЛАН ЧИСТ ПОДЗЕМ'!AC36*СПРАВОЧНИК!$N$8+'ПЛАН ЧИСТ ПОДЗЕМ'!AD36*СПРАВОЧНИК!$O$8+'ПЛАН ЧИСТ ПОДЗЕМ'!AE36*СПРАВОЧНИК!$P$8</f>
        <v/>
      </c>
      <c r="P45" s="31">
        <f>('ФАКТ ЧИСТ ПОДЗЕМ'!B36)*СПРАВОЧНИК!$L$3+('ФАКТ ЧИСТ ПОДЗЕМ'!C36)*СПРАВОЧНИК!$M$3+('ФАКТ ЧИСТ ПОДЗЕМ'!D36)*СПРАВОЧНИК!$N$3+('ФАКТ ЧИСТ ПОДЗЕМ'!E36)*СПРАВОЧНИК!$O$3+('ФАКТ ЧИСТ ПОДЗЕМ'!F36)*СПРАВОЧНИК!$P$3+('ФАКТ ЧИСТ ПОДЗЕМ'!G36)*СПРАВОЧНИК!$L$4+('ФАКТ ЧИСТ ПОДЗЕМ'!H36)*СПРАВОЧНИК!$M$4+('ФАКТ ЧИСТ ПОДЗЕМ'!I36)*СПРАВОЧНИК!$N$4+('ФАКТ ЧИСТ ПОДЗЕМ'!J36)*СПРАВОЧНИК!$O$4+('ФАКТ ЧИСТ ПОДЗЕМ'!K36)*СПРАВОЧНИК!$P$4+('ФАКТ ЧИСТ ПОДЗЕМ'!L36)*СПРАВОЧНИК!$L$5+('ФАКТ ЧИСТ ПОДЗЕМ'!M36)*СПРАВОЧНИК!$M$5+('ФАКТ ЧИСТ ПОДЗЕМ'!N36)*СПРАВОЧНИК!$N$5+('ФАКТ ЧИСТ ПОДЗЕМ'!O36)*СПРАВОЧНИК!$O$5+('ФАКТ ЧИСТ ПОДЗЕМ'!P36)*СПРАВОЧНИК!$P$5+('ФАКТ ЧИСТ ПОДЗЕМ'!Q36)*СПРАВОЧНИК!$L$6+('ФАКТ ЧИСТ ПОДЗЕМ'!R36)*СПРАВОЧНИК!$M$6+('ФАКТ ЧИСТ ПОДЗЕМ'!S36)*СПРАВОЧНИК!$N$6+('ФАКТ ЧИСТ ПОДЗЕМ'!T36)*СПРАВОЧНИК!$O$6+('ФАКТ ЧИСТ ПОДЗЕМ'!U36)*СПРАВОЧНИК!$P$6+('ФАКТ ЧИСТ ПОДЗЕМ'!V36)*СПРАВОЧНИК!$L$7+('ФАКТ ЧИСТ ПОДЗЕМ'!W36)*СПРАВОЧНИК!$M$7+('ФАКТ ЧИСТ ПОДЗЕМ'!X36)*СПРАВОЧНИК!$N$7+('ФАКТ ЧИСТ ПОДЗЕМ'!Y36)*СПРАВОЧНИК!$O$7+('ФАКТ ЧИСТ ПОДЗЕМ'!Z36)*СПРАВОЧНИК!$P$7+('ФАКТ ЧИСТ ПОДЗЕМ'!AA36)*СПРАВОЧНИК!$L$8+('ФАКТ ЧИСТ ПОДЗЕМ'!AB36)*СПРАВОЧНИК!$M$8+('ФАКТ ЧИСТ ПОДЗЕМ'!AC36)*СПРАВОЧНИК!$N$8+('ФАКТ ЧИСТ ПОДЗЕМ'!AD36)*СПРАВОЧНИК!$O$8+('ФАКТ ЧИСТ ПОДЗЕМ'!AE36)*СПРАВОЧНИК!$P$8</f>
        <v/>
      </c>
      <c r="Q45" s="34" t="n"/>
      <c r="T45" s="152">
        <f>T44+7</f>
        <v/>
      </c>
      <c r="U45" s="17">
        <f>СПРАВОЧНИК!$E$9*('ПЛАН ЧЕРН К1'!B36*СПРАВОЧНИК!$H$9+'ПЛАН ЧЕРН К1'!C36*СПРАВОЧНИК!$I$9+'ПЛАН ЧЕРН К1'!D36*СПРАВОЧНИК!$J$9)+СПРАВОЧНИК!$F$9*('ПЛАН ЧИСТ К1'!B36*СПРАВОЧНИК!$L$9+'ПЛАН ЧИСТ К1'!C36*СПРАВОЧНИК!$M$9+'ПЛАН ЧИСТ К1'!D36*СПРАВОЧНИК!$N$9+'ПЛАН ЧИСТ К1'!E36*СПРАВОЧНИК!$O$9+'ПЛАН ЧИСТ К1'!F36*СПРАВОЧНИК!$P$9)+СПРАВОЧНИК!$E$10*('ПЛАН ЧЕРН К1'!E36*СПРАВОЧНИК!$H$10+'ПЛАН ЧЕРН К1'!F36*СПРАВОЧНИК!$I$10+'ПЛАН ЧЕРН К1'!G36*СПРАВОЧНИК!$J$10)+СПРАВОЧНИК!$F$10*('ПЛАН ЧИСТ К1'!G36*СПРАВОЧНИК!$L$10+'ПЛАН ЧИСТ К1'!H36*СПРАВОЧНИК!$M$10+'ПЛАН ЧИСТ К1'!I36*СПРАВОЧНИК!$N$10+'ПЛАН ЧИСТ К1'!J36*СПРАВОЧНИК!$O$10+'ПЛАН ЧИСТ К1'!K36*СПРАВОЧНИК!$P$10)+СПРАВОЧНИК!$E$11*('ПЛАН ЧЕРН К1'!H36*СПРАВОЧНИК!$H$11+'ПЛАН ЧЕРН К1'!I36*СПРАВОЧНИК!$I$11+'ПЛАН ЧЕРН К1'!J36*СПРАВОЧНИК!$J$11)+СПРАВОЧНИК!$F$11*('ПЛАН ЧИСТ К1'!L36*СПРАВОЧНИК!$L$11+'ПЛАН ЧИСТ К1'!M36*СПРАВОЧНИК!$M$11+'ПЛАН ЧИСТ К1'!N36*СПРАВОЧНИК!$N$11+'ПЛАН ЧИСТ К1'!O36*СПРАВОЧНИК!$O$11+'ПЛАН ЧИСТ К1'!P36*СПРАВОЧНИК!$P$11)+СПРАВОЧНИК!$E$12*('ПЛАН ЧЕРН К1'!K36*СПРАВОЧНИК!$H$12+'ПЛАН ЧЕРН К1'!L36*СПРАВОЧНИК!$I$12+'ПЛАН ЧЕРН К1'!M36*СПРАВОЧНИК!$J$12)+СПРАВОЧНИК!$F$12*('ПЛАН ЧИСТ К1'!Q36*СПРАВОЧНИК!$L$12+'ПЛАН ЧИСТ К1'!R36*СПРАВОЧНИК!$M$12+'ПЛАН ЧИСТ К1'!S36*СПРАВОЧНИК!$N$12+'ПЛАН ЧИСТ К1'!T36*СПРАВОЧНИК!$O$12+'ПЛАН ЧИСТ К1'!U36*СПРАВОЧНИК!$P$12)+СПРАВОЧНИК!$E$13*('ПЛАН ЧЕРН К1'!N36*СПРАВОЧНИК!$H$13+'ПЛАН ЧЕРН К1'!O36*СПРАВОЧНИК!$I$13+'ПЛАН ЧЕРН К1'!P36*СПРАВОЧНИК!$J$13)+СПРАВОЧНИК!$F$13*('ПЛАН ЧИСТ К1'!V36*СПРАВОЧНИК!$L$13+'ПЛАН ЧИСТ К1'!W36*СПРАВОЧНИК!$M$13+'ПЛАН ЧИСТ К1'!X36*СПРАВОЧНИК!$N$13+'ПЛАН ЧИСТ К1'!Y36*СПРАВОЧНИК!$O$13+'ПЛАН ЧИСТ К1'!Z36*СПРАВОЧНИК!$P$13)+СПРАВОЧНИК!$E$14*('ПЛАН ЧЕРН К1'!Q36*СПРАВОЧНИК!$H$14+'ПЛАН ЧЕРН К1'!R36*СПРАВОЧНИК!$I$14+'ПЛАН ЧЕРН К1'!S36*СПРАВОЧНИК!$J$14)+СПРАВОЧНИК!$F$14*('ПЛАН ЧИСТ К1'!AA36*СПРАВОЧНИК!$L$14+'ПЛАН ЧИСТ К1'!AB36*СПРАВОЧНИК!$M$14+'ПЛАН ЧИСТ К1'!AC36*СПРАВОЧНИК!$N$14+'ПЛАН ЧИСТ К1'!AD36*СПРАВОЧНИК!$O$14+'ПЛАН ЧИСТ К1'!AE36*СПРАВОЧНИК!$P$14)+СПРАВОЧНИК!$E$15*('ПЛАН ЧЕРН К1'!T36*СПРАВОЧНИК!$H$15+'ПЛАН ЧЕРН К1'!U36*СПРАВОЧНИК!$I$15+'ПЛАН ЧЕРН К1'!V36*СПРАВОЧНИК!$J$15)+СПРАВОЧНИК!$F$15*('ПЛАН ЧИСТ К1'!AF36*СПРАВОЧНИК!$L$15+'ПЛАН ЧИСТ К1'!AG36*СПРАВОЧНИК!$M$15+'ПЛАН ЧИСТ К1'!AH36*СПРАВОЧНИК!$N$15+'ПЛАН ЧИСТ К1'!AI36*СПРАВОЧНИК!$O$15+'ПЛАН ЧИСТ К1'!AJ36*СПРАВОЧНИК!$P$15)</f>
        <v/>
      </c>
      <c r="V45" s="31">
        <f>СПРАВОЧНИК!$E$9*('ФАКТ ЧЕРН К1'!B36*СПРАВОЧНИК!$H$9+'ФАКТ ЧЕРН К1'!C36*СПРАВОЧНИК!$I$9+'ФАКТ ЧЕРН К1'!D36*СПРАВОЧНИК!$J$9)+СПРАВОЧНИК!$F$9*('ФАКТ ЧИСТ К1'!B36*СПРАВОЧНИК!$L$9+'ФАКТ ЧИСТ К1'!C36*СПРАВОЧНИК!$M$9+'ФАКТ ЧИСТ К1'!D36*СПРАВОЧНИК!$N$9+'ФАКТ ЧИСТ К1'!E36*СПРАВОЧНИК!$O$9+'ФАКТ ЧИСТ К1'!F36*СПРАВОЧНИК!$P$9)+СПРАВОЧНИК!$E$10*('ФАКТ ЧЕРН К1'!E36*СПРАВОЧНИК!$H$10+'ФАКТ ЧЕРН К1'!F36*СПРАВОЧНИК!$I$10+'ФАКТ ЧЕРН К1'!G36*СПРАВОЧНИК!$J$10)+СПРАВОЧНИК!$F$10*('ФАКТ ЧИСТ К1'!G36*СПРАВОЧНИК!$L$10+'ФАКТ ЧИСТ К1'!H36*СПРАВОЧНИК!$M$10+'ФАКТ ЧИСТ К1'!I36*СПРАВОЧНИК!$N$10+'ФАКТ ЧИСТ К1'!J36*СПРАВОЧНИК!$O$10+'ФАКТ ЧИСТ К1'!K36*СПРАВОЧНИК!$P$10)+СПРАВОЧНИК!$E$11*('ФАКТ ЧЕРН К1'!H36*СПРАВОЧНИК!$H$11+'ФАКТ ЧЕРН К1'!I36*СПРАВОЧНИК!$I$11+'ФАКТ ЧЕРН К1'!J36*СПРАВОЧНИК!$J$11)+СПРАВОЧНИК!$F$11*('ФАКТ ЧИСТ К1'!L36*СПРАВОЧНИК!$L$11+'ФАКТ ЧИСТ К1'!M36*СПРАВОЧНИК!$M$11+'ФАКТ ЧИСТ К1'!N36*СПРАВОЧНИК!$N$11+'ФАКТ ЧИСТ К1'!O36*СПРАВОЧНИК!$O$11+'ФАКТ ЧИСТ К1'!P36*СПРАВОЧНИК!$P$11)+СПРАВОЧНИК!$E$12*('ФАКТ ЧЕРН К1'!K36*СПРАВОЧНИК!$H$12+'ФАКТ ЧЕРН К1'!L36*СПРАВОЧНИК!$I$12+'ФАКТ ЧЕРН К1'!M36*СПРАВОЧНИК!$J$12)+СПРАВОЧНИК!$F$12*('ФАКТ ЧИСТ К1'!Q36*СПРАВОЧНИК!$L$12+'ФАКТ ЧИСТ К1'!R36*СПРАВОЧНИК!$M$12+'ФАКТ ЧИСТ К1'!S36*СПРАВОЧНИК!$N$12+'ФАКТ ЧИСТ К1'!T36*СПРАВОЧНИК!$O$12+'ФАКТ ЧИСТ К1'!U36*СПРАВОЧНИК!$P$12)+СПРАВОЧНИК!$E$13*('ФАКТ ЧЕРН К1'!N36*СПРАВОЧНИК!$H$13+'ФАКТ ЧЕРН К1'!O36*СПРАВОЧНИК!$I$13+'ФАКТ ЧЕРН К1'!P36*СПРАВОЧНИК!$J$13)+СПРАВОЧНИК!$F$13*('ФАКТ ЧИСТ К1'!V36*СПРАВОЧНИК!$L$13+'ФАКТ ЧИСТ К1'!W36*СПРАВОЧНИК!$M$13+'ФАКТ ЧИСТ К1'!X36*СПРАВОЧНИК!$N$13+'ФАКТ ЧИСТ К1'!Y36*СПРАВОЧНИК!$O$13+'ФАКТ ЧИСТ К1'!Z36*СПРАВОЧНИК!$P$13)+СПРАВОЧНИК!$E$14*('ФАКТ ЧЕРН К1'!Q36*СПРАВОЧНИК!$H$14+'ФАКТ ЧЕРН К1'!R36*СПРАВОЧНИК!$I$14+'ФАКТ ЧЕРН К1'!S36*СПРАВОЧНИК!$J$14)+СПРАВОЧНИК!$F$14*('ФАКТ ЧИСТ К1'!AA36*СПРАВОЧНИК!$L$14+'ФАКТ ЧИСТ К1'!AB36*СПРАВОЧНИК!$M$14+'ФАКТ ЧИСТ К1'!AC36*СПРАВОЧНИК!$N$14+'ФАКТ ЧИСТ К1'!AD36*СПРАВОЧНИК!$O$14+'ФАКТ ЧИСТ К1'!AE36*СПРАВОЧНИК!$P$14)+СПРАВОЧНИК!$E$15*('ФАКТ ЧЕРН К1'!T36*СПРАВОЧНИК!$H$15+'ФАКТ ЧЕРН К1'!U36*СПРАВОЧНИК!$I$15+'ФАКТ ЧЕРН К1'!V36*СПРАВОЧНИК!$J$15)+СПРАВОЧНИК!$F$15*('ФАКТ ЧИСТ К1'!AF36*СПРАВОЧНИК!$L$15+'ФАКТ ЧИСТ К1'!AG36*СПРАВОЧНИК!$M$15+'ФАКТ ЧИСТ К1'!AH36*СПРАВОЧНИК!$N$15+'ФАКТ ЧИСТ К1'!AI36*СПРАВОЧНИК!$O$15+'ФАКТ ЧИСТ К1'!AJ36*СПРАВОЧНИК!$P$15)</f>
        <v/>
      </c>
      <c r="W45" s="34" t="n"/>
      <c r="Z45" s="152">
        <f>Z44+7</f>
        <v/>
      </c>
      <c r="AA45" s="17">
        <f>'ПЛАН ЧЕРН К1'!B36*СПРАВОЧНИК!$H$9+'ПЛАН ЧЕРН К1'!C36*СПРАВОЧНИК!$I$9+'ПЛАН ЧЕРН К1'!D36*СПРАВОЧНИК!$J$9+'ПЛАН ЧЕРН К1'!E36*СПРАВОЧНИК!$H$10+'ПЛАН ЧЕРН К1'!F36*СПРАВОЧНИК!$I$10+'ПЛАН ЧЕРН К1'!G36*СПРАВОЧНИК!$J$10+'ПЛАН ЧЕРН К1'!H36*СПРАВОЧНИК!$H$11+'ПЛАН ЧЕРН К1'!I36*СПРАВОЧНИК!$I$11+'ПЛАН ЧЕРН К1'!J36*СПРАВОЧНИК!$J$11+'ПЛАН ЧЕРН К1'!K36*СПРАВОЧНИК!$H$12+'ПЛАН ЧЕРН К1'!L36*СПРАВОЧНИК!$I$12+'ПЛАН ЧЕРН К1'!M36*СПРАВОЧНИК!$J$12+'ПЛАН ЧЕРН К1'!N36*СПРАВОЧНИК!$H$13+'ПЛАН ЧЕРН К1'!O36*СПРАВОЧНИК!$I$13+'ПЛАН ЧЕРН К1'!P36*СПРАВОЧНИК!$J$13+'ПЛАН ЧЕРН К1'!Q36*СПРАВОЧНИК!$H$14+'ПЛАН ЧЕРН К1'!R36*СПРАВОЧНИК!$I$14+'ПЛАН ЧЕРН К1'!S36*СПРАВОЧНИК!$J$14+'ПЛАН ЧЕРН К1'!T36*СПРАВОЧНИК!$H$15+'ПЛАН ЧЕРН К1'!U36*СПРАВОЧНИК!$I$15+'ПЛАН ЧЕРН К1'!V36*СПРАВОЧНИК!$J$15</f>
        <v/>
      </c>
      <c r="AB45" s="31">
        <f>('ФАКТ ЧЕРН К1'!B36)*СПРАВОЧНИК!$H$9+('ФАКТ ЧЕРН К1'!C36)*СПРАВОЧНИК!$I$9+('ФАКТ ЧЕРН К1'!D36)*СПРАВОЧНИК!$J$9+('ФАКТ ЧЕРН К1'!E36)*СПРАВОЧНИК!$H$10+('ФАКТ ЧЕРН К1'!F36)*СПРАВОЧНИК!$I$10+('ФАКТ ЧЕРН К1'!G36)*СПРАВОЧНИК!$J$10+('ФАКТ ЧЕРН К1'!H36)*СПРАВОЧНИК!$H$11+('ФАКТ ЧЕРН К1'!I36)*СПРАВОЧНИК!$I$11+('ФАКТ ЧЕРН К1'!J36)*СПРАВОЧНИК!$J$11+('ФАКТ ЧЕРН К1'!K36)*СПРАВОЧНИК!$H$12+('ФАКТ ЧЕРН К1'!L36)*СПРАВОЧНИК!$I$12+('ФАКТ ЧЕРН К1'!M36)*СПРАВОЧНИК!$J$12+('ФАКТ ЧЕРН К1'!N36)*СПРАВОЧНИК!$H$13+('ФАКТ ЧЕРН К1'!O36)*СПРАВОЧНИК!$I$13+('ФАКТ ЧЕРН К1'!P36)*СПРАВОЧНИК!$J$13+('ФАКТ ЧЕРН К1'!Q36)*СПРАВОЧНИК!$H$14+('ФАКТ ЧЕРН К1'!R36)*СПРАВОЧНИК!$I$14+('ФАКТ ЧЕРН К1'!S36)*СПРАВОЧНИК!$J$14+('ФАКТ ЧЕРН К1'!T36)*СПРАВОЧНИК!$H$15+('ФАКТ ЧЕРН К1'!U36)*СПРАВОЧНИК!$I$15+('ФАКТ ЧЕРН К1'!V36)*СПРАВОЧНИК!$J$15</f>
        <v/>
      </c>
      <c r="AC45" s="34" t="n"/>
      <c r="AF45" s="152">
        <f>AF44+7</f>
        <v/>
      </c>
      <c r="AG45" s="17">
        <f>'ПЛАН ЧИСТ К1'!B36*СПРАВОЧНИК!$L$9+'ПЛАН ЧИСТ К1'!C36*СПРАВОЧНИК!$M$9+'ПЛАН ЧИСТ К1'!D36*СПРАВОЧНИК!$N$9+'ПЛАН ЧИСТ К1'!E36*СПРАВОЧНИК!$O$9+'ПЛАН ЧИСТ К1'!F36*СПРАВОЧНИК!$P$9+'ПЛАН ЧИСТ К1'!G36*СПРАВОЧНИК!$L$10+'ПЛАН ЧИСТ К1'!H36*СПРАВОЧНИК!$M$10+'ПЛАН ЧИСТ К1'!I36*СПРАВОЧНИК!$N$10+'ПЛАН ЧИСТ К1'!J36*СПРАВОЧНИК!$O$10+'ПЛАН ЧИСТ К1'!K36*СПРАВОЧНИК!$P$10+'ПЛАН ЧИСТ К1'!L36*СПРАВОЧНИК!$L$11+'ПЛАН ЧИСТ К1'!M36*СПРАВОЧНИК!$M$11+'ПЛАН ЧИСТ К1'!N36*СПРАВОЧНИК!$N$11+'ПЛАН ЧИСТ К1'!O36*СПРАВОЧНИК!$O$11+'ПЛАН ЧИСТ К1'!P36*СПРАВОЧНИК!$P$11+'ПЛАН ЧИСТ К1'!Q36*СПРАВОЧНИК!$L$12+'ПЛАН ЧИСТ К1'!R36*СПРАВОЧНИК!$M$12+'ПЛАН ЧИСТ К1'!S36*СПРАВОЧНИК!$N$12+'ПЛАН ЧИСТ К1'!T36*СПРАВОЧНИК!$O$12+'ПЛАН ЧИСТ К1'!U36*СПРАВОЧНИК!$P$12+'ПЛАН ЧИСТ К1'!V36*СПРАВОЧНИК!$L$13+'ПЛАН ЧИСТ К1'!W36*СПРАВОЧНИК!$M$13+'ПЛАН ЧИСТ К1'!X36*СПРАВОЧНИК!$N$13+'ПЛАН ЧИСТ К1'!Y36*СПРАВОЧНИК!$O$13+'ПЛАН ЧИСТ К1'!Z36*СПРАВОЧНИК!$P$13+'ПЛАН ЧИСТ К1'!AA36*СПРАВОЧНИК!$L$14+'ПЛАН ЧИСТ К1'!AB36*СПРАВОЧНИК!$M$14+'ПЛАН ЧИСТ К1'!AC36*СПРАВОЧНИК!$N$14+'ПЛАН ЧИСТ К1'!AD36*СПРАВОЧНИК!$O$14+'ПЛАН ЧИСТ К1'!AE36*СПРАВОЧНИК!$P$14+'ПЛАН ЧИСТ К1'!AF36*СПРАВОЧНИК!$L$15+'ПЛАН ЧИСТ К1'!AG36*СПРАВОЧНИК!$M$15+'ПЛАН ЧИСТ К1'!AH36*СПРАВОЧНИК!$N$15+'ПЛАН ЧИСТ К1'!AI36*СПРАВОЧНИК!$O$15+'ПЛАН ЧИСТ К1'!AJ36*СПРАВОЧНИК!$P$15</f>
        <v/>
      </c>
      <c r="AH45" s="31">
        <f>('ФАКТ ЧИСТ К1'!B36)*СПРАВОЧНИК!$L$9+('ФАКТ ЧИСТ К1'!C36)*СПРАВОЧНИК!$M$9+('ФАКТ ЧИСТ К1'!D36)*СПРАВОЧНИК!$N$9+('ФАКТ ЧИСТ К1'!E36)*СПРАВОЧНИК!$O$9+('ФАКТ ЧИСТ К1'!F36)*СПРАВОЧНИК!$P$9+('ФАКТ ЧИСТ К1'!G36)*СПРАВОЧНИК!$L$10+('ФАКТ ЧИСТ К1'!H36)*СПРАВОЧНИК!$M$10+('ФАКТ ЧИСТ К1'!I36)*СПРАВОЧНИК!$N$10+('ФАКТ ЧИСТ К1'!J36)*СПРАВОЧНИК!$O$10+('ФАКТ ЧИСТ К1'!K36)*СПРАВОЧНИК!$P$10+('ФАКТ ЧИСТ К1'!L36)*СПРАВОЧНИК!$L$11+('ФАКТ ЧИСТ К1'!M36)*СПРАВОЧНИК!$M$11+('ФАКТ ЧИСТ К1'!N36)*СПРАВОЧНИК!$N$11+('ФАКТ ЧИСТ К1'!O36)*СПРАВОЧНИК!$O$11+('ФАКТ ЧИСТ К1'!P36)*СПРАВОЧНИК!$P$11+('ФАКТ ЧИСТ К1'!Q36)*СПРАВОЧНИК!$L$12+('ФАКТ ЧИСТ К1'!R36)*СПРАВОЧНИК!$M$12+('ФАКТ ЧИСТ К1'!S36)*СПРАВОЧНИК!$N$12+('ФАКТ ЧИСТ К1'!T36)*СПРАВОЧНИК!$O$12+('ФАКТ ЧИСТ К1'!U36)*СПРАВОЧНИК!$P$12+('ФАКТ ЧИСТ К1'!V36)*СПРАВОЧНИК!$L$13+('ФАКТ ЧИСТ К1'!W36)*СПРАВОЧНИК!$M$13+('ФАКТ ЧИСТ К1'!X36)*СПРАВОЧНИК!$N$13+('ФАКТ ЧИСТ К1'!Y36)*СПРАВОЧНИК!$O$13+('ФАКТ ЧИСТ К1'!Z36)*СПРАВОЧНИК!$P$13+('ФАКТ ЧИСТ К1'!AA36)*СПРАВОЧНИК!$L$14+('ФАКТ ЧИСТ К1'!AB36)*СПРАВОЧНИК!$M$14+('ФАКТ ЧИСТ К1'!AC36)*СПРАВОЧНИК!$N$14+('ФАКТ ЧИСТ К1'!AD36)*СПРАВОЧНИК!$O$14+('ФАКТ ЧИСТ К1'!AE36)*СПРАВОЧНИК!$P$14+('ФАКТ ЧИСТ К1'!AF36)*СПРАВОЧНИК!$L$15+('ФАКТ ЧИСТ К1'!AG36)*СПРАВОЧНИК!$M$15+('ФАКТ ЧИСТ К1'!AH36)*СПРАВОЧНИК!$N$15+('ФАКТ ЧИСТ К1'!AI36)*СПРАВОЧНИК!$O$15+('ФАКТ ЧИСТ К1'!AJ36)*СПРАВОЧНИК!$P$15</f>
        <v/>
      </c>
      <c r="AI45" s="34" t="n"/>
      <c r="AL45" s="152">
        <f>AL44+7</f>
        <v/>
      </c>
      <c r="AM45" s="17">
        <f>СПРАВОЧНИК!$E$9*('ПЛАН ЧЕРН К2'!B36*СПРАВОЧНИК!$H$9+'ПЛАН ЧЕРН К2'!C36*СПРАВОЧНИК!$I$9+'ПЛАН ЧЕРН К2'!D36*СПРАВОЧНИК!$J$9)+СПРАВОЧНИК!$F$9*('ПЛАН ЧИСТ К2'!B36*СПРАВОЧНИК!$L$9+'ПЛАН ЧИСТ К2'!C36*СПРАВОЧНИК!$M$9+'ПЛАН ЧИСТ К2'!D36*СПРАВОЧНИК!$N$9+'ПЛАН ЧИСТ К2'!E36*СПРАВОЧНИК!$O$9+'ПЛАН ЧИСТ К2'!F36*СПРАВОЧНИК!$P$9)+СПРАВОЧНИК!$E$10*('ПЛАН ЧЕРН К2'!E36*СПРАВОЧНИК!$H$10+'ПЛАН ЧЕРН К2'!F36*СПРАВОЧНИК!$I$10+'ПЛАН ЧЕРН К2'!G36*СПРАВОЧНИК!$J$10)+СПРАВОЧНИК!$F$10*('ПЛАН ЧИСТ К2'!G36*СПРАВОЧНИК!$L$10+'ПЛАН ЧИСТ К2'!H36*СПРАВОЧНИК!$M$10+'ПЛАН ЧИСТ К2'!I36*СПРАВОЧНИК!$N$10+'ПЛАН ЧИСТ К2'!J36*СПРАВОЧНИК!$O$10+'ПЛАН ЧИСТ К2'!K36*СПРАВОЧНИК!$P$10)+СПРАВОЧНИК!$E$11*('ПЛАН ЧЕРН К2'!H36*СПРАВОЧНИК!$H$11+'ПЛАН ЧЕРН К2'!I36*СПРАВОЧНИК!$I$11+'ПЛАН ЧЕРН К2'!J36*СПРАВОЧНИК!$J$11)+СПРАВОЧНИК!$F$11*('ПЛАН ЧИСТ К2'!L36*СПРАВОЧНИК!$L$11+'ПЛАН ЧИСТ К2'!M36*СПРАВОЧНИК!$M$11+'ПЛАН ЧИСТ К2'!N36*СПРАВОЧНИК!$N$11+'ПЛАН ЧИСТ К2'!O36*СПРАВОЧНИК!$O$11+'ПЛАН ЧИСТ К2'!P36*СПРАВОЧНИК!$P$11)+СПРАВОЧНИК!$E$12*('ПЛАН ЧЕРН К2'!K36*СПРАВОЧНИК!$H$12+'ПЛАН ЧЕРН К2'!L36*СПРАВОЧНИК!$I$12+'ПЛАН ЧЕРН К2'!M36*СПРАВОЧНИК!$J$12)+СПРАВОЧНИК!$F$12*('ПЛАН ЧИСТ К2'!Q36*СПРАВОЧНИК!$L$12+'ПЛАН ЧИСТ К2'!R36*СПРАВОЧНИК!$M$12+'ПЛАН ЧИСТ К2'!S36*СПРАВОЧНИК!$N$12+'ПЛАН ЧИСТ К2'!T36*СПРАВОЧНИК!$O$12+'ПЛАН ЧИСТ К2'!U36*СПРАВОЧНИК!$P$12)+СПРАВОЧНИК!$E$13*('ПЛАН ЧЕРН К2'!N36*СПРАВОЧНИК!$H$13+'ПЛАН ЧЕРН К2'!O36*СПРАВОЧНИК!$I$13+'ПЛАН ЧЕРН К2'!P36*СПРАВОЧНИК!$J$13)+СПРАВОЧНИК!$F$13*('ПЛАН ЧИСТ К2'!V36*СПРАВОЧНИК!$L$13+'ПЛАН ЧИСТ К2'!W36*СПРАВОЧНИК!$M$13+'ПЛАН ЧИСТ К2'!X36*СПРАВОЧНИК!$N$13+'ПЛАН ЧИСТ К2'!Y36*СПРАВОЧНИК!$O$13+'ПЛАН ЧИСТ К2'!Z36*СПРАВОЧНИК!$P$13)+СПРАВОЧНИК!$E$14*('ПЛАН ЧЕРН К2'!Q36*СПРАВОЧНИК!$H$14+'ПЛАН ЧЕРН К2'!R36*СПРАВОЧНИК!$I$14+'ПЛАН ЧЕРН К2'!S36*СПРАВОЧНИК!$J$14)+СПРАВОЧНИК!$F$14*('ПЛАН ЧИСТ К2'!AA36*СПРАВОЧНИК!$L$14+'ПЛАН ЧИСТ К2'!AB36*СПРАВОЧНИК!$M$14+'ПЛАН ЧИСТ К2'!AC36*СПРАВОЧНИК!$N$14+'ПЛАН ЧИСТ К2'!AD36*СПРАВОЧНИК!$O$14+'ПЛАН ЧИСТ К2'!AE36*СПРАВОЧНИК!$P$14)+СПРАВОЧНИК!$E$15*('ПЛАН ЧЕРН К2'!T36*СПРАВОЧНИК!$H$15+'ПЛАН ЧЕРН К2'!U36*СПРАВОЧНИК!$I$15+'ПЛАН ЧЕРН К2'!V36*СПРАВОЧНИК!$J$15)+СПРАВОЧНИК!$F$15*('ПЛАН ЧИСТ К2'!AF36*СПРАВОЧНИК!$L$15+'ПЛАН ЧИСТ К2'!AG36*СПРАВОЧНИК!$M$15+'ПЛАН ЧИСТ К2'!AH36*СПРАВОЧНИК!$N$15+'ПЛАН ЧИСТ К2'!AI36*СПРАВОЧНИК!$O$15+'ПЛАН ЧИСТ К2'!AJ36*СПРАВОЧНИК!$P$15)</f>
        <v/>
      </c>
      <c r="AN45" s="31">
        <f>СПРАВОЧНИК!$E$9*('ФАКТ ЧЕРН К2'!B36*СПРАВОЧНИК!$H$9+'ФАКТ ЧЕРН К2'!C36*СПРАВОЧНИК!$I$9+'ФАКТ ЧЕРН К2'!D36*СПРАВОЧНИК!$J$9)+СПРАВОЧНИК!$F$9*('ФАКТ ЧИСТ К2'!B36*СПРАВОЧНИК!$L$9+'ФАКТ ЧИСТ К2'!C36*СПРАВОЧНИК!$M$9+'ФАКТ ЧИСТ К2'!D36*СПРАВОЧНИК!$N$9+'ФАКТ ЧИСТ К2'!E36*СПРАВОЧНИК!$O$9+'ФАКТ ЧИСТ К2'!F36*СПРАВОЧНИК!$P$9)+СПРАВОЧНИК!$E$10*('ФАКТ ЧЕРН К2'!E36*СПРАВОЧНИК!$H$10+'ФАКТ ЧЕРН К2'!F36*СПРАВОЧНИК!$I$10+'ФАКТ ЧЕРН К2'!G36*СПРАВОЧНИК!$J$10)+СПРАВОЧНИК!$F$10*('ФАКТ ЧИСТ К2'!G36*СПРАВОЧНИК!$L$10+'ФАКТ ЧИСТ К2'!H36*СПРАВОЧНИК!$M$10+'ФАКТ ЧИСТ К2'!I36*СПРАВОЧНИК!$N$10+'ФАКТ ЧИСТ К2'!J36*СПРАВОЧНИК!$O$10+'ФАКТ ЧИСТ К2'!K36*СПРАВОЧНИК!$P$10)+СПРАВОЧНИК!$E$11*('ФАКТ ЧЕРН К2'!H36*СПРАВОЧНИК!$H$11+'ФАКТ ЧЕРН К2'!I36*СПРАВОЧНИК!$I$11+'ФАКТ ЧЕРН К2'!J36*СПРАВОЧНИК!$J$11)+СПРАВОЧНИК!$F$11*('ФАКТ ЧИСТ К2'!L36*СПРАВОЧНИК!$L$11+'ФАКТ ЧИСТ К2'!M36*СПРАВОЧНИК!$M$11+'ФАКТ ЧИСТ К2'!N36*СПРАВОЧНИК!$N$11+'ФАКТ ЧИСТ К2'!O36*СПРАВОЧНИК!$O$11+'ФАКТ ЧИСТ К2'!P36*СПРАВОЧНИК!$P$11)+СПРАВОЧНИК!$E$12*('ФАКТ ЧЕРН К2'!K36*СПРАВОЧНИК!$H$12+'ФАКТ ЧЕРН К2'!L36*СПРАВОЧНИК!$I$12+'ФАКТ ЧЕРН К2'!M36*СПРАВОЧНИК!$J$12)+СПРАВОЧНИК!$F$12*('ФАКТ ЧИСТ К2'!Q36*СПРАВОЧНИК!$L$12+'ФАКТ ЧИСТ К2'!R36*СПРАВОЧНИК!$M$12+'ФАКТ ЧИСТ К2'!S36*СПРАВОЧНИК!$N$12+'ФАКТ ЧИСТ К2'!T36*СПРАВОЧНИК!$O$12+'ФАКТ ЧИСТ К2'!U36*СПРАВОЧНИК!$P$12)+СПРАВОЧНИК!$E$13*('ФАКТ ЧЕРН К2'!N36*СПРАВОЧНИК!$H$13+'ФАКТ ЧЕРН К2'!O36*СПРАВОЧНИК!$I$13+'ФАКТ ЧЕРН К2'!P36*СПРАВОЧНИК!$J$13)+СПРАВОЧНИК!$F$13*('ФАКТ ЧИСТ К2'!V36*СПРАВОЧНИК!$L$13+'ФАКТ ЧИСТ К2'!W36*СПРАВОЧНИК!$M$13+'ФАКТ ЧИСТ К2'!X36*СПРАВОЧНИК!$N$13+'ФАКТ ЧИСТ К2'!Y36*СПРАВОЧНИК!$O$13+'ФАКТ ЧИСТ К2'!Z36*СПРАВОЧНИК!$P$13)+СПРАВОЧНИК!$E$14*('ФАКТ ЧЕРН К2'!Q36*СПРАВОЧНИК!$H$14+'ФАКТ ЧЕРН К2'!R36*СПРАВОЧНИК!$I$14+'ФАКТ ЧЕРН К2'!S36*СПРАВОЧНИК!$J$14)+СПРАВОЧНИК!$F$14*('ФАКТ ЧИСТ К2'!AA36*СПРАВОЧНИК!$L$14+'ФАКТ ЧИСТ К2'!AB36*СПРАВОЧНИК!$M$14+'ФАКТ ЧИСТ К2'!AC36*СПРАВОЧНИК!$N$14+'ФАКТ ЧИСТ К2'!AD36*СПРАВОЧНИК!$O$14+'ФАКТ ЧИСТ К2'!AE36*СПРАВОЧНИК!$P$14)+СПРАВОЧНИК!$E$15*('ФАКТ ЧЕРН К2'!T36*СПРАВОЧНИК!$H$15+'ФАКТ ЧЕРН К2'!U36*СПРАВОЧНИК!$I$15+'ФАКТ ЧЕРН К2'!V36*СПРАВОЧНИК!$J$15)+СПРАВОЧНИК!$F$15*('ФАКТ ЧИСТ К2'!AF36*СПРАВОЧНИК!$L$15+'ФАКТ ЧИСТ К2'!AG36*СПРАВОЧНИК!$M$15+'ФАКТ ЧИСТ К2'!AH36*СПРАВОЧНИК!$N$15+'ФАКТ ЧИСТ К2'!AI36*СПРАВОЧНИК!$O$15+'ФАКТ ЧИСТ К2'!AJ36*СПРАВОЧНИК!$P$15)</f>
        <v/>
      </c>
      <c r="AO45" s="34" t="n"/>
      <c r="AR45" s="152">
        <f>AR44+7</f>
        <v/>
      </c>
      <c r="AS45" s="17">
        <f>'ПЛАН ЧЕРН К2'!B36*СПРАВОЧНИК!$H$9+'ПЛАН ЧЕРН К2'!C36*СПРАВОЧНИК!$I$9+'ПЛАН ЧЕРН К2'!D36*СПРАВОЧНИК!$J$9+'ПЛАН ЧЕРН К2'!E36*СПРАВОЧНИК!$H$10+'ПЛАН ЧЕРН К2'!F36*СПРАВОЧНИК!$I$10+'ПЛАН ЧЕРН К2'!G36*СПРАВОЧНИК!$J$10+'ПЛАН ЧЕРН К2'!H36*СПРАВОЧНИК!$H$11+'ПЛАН ЧЕРН К2'!I36*СПРАВОЧНИК!$I$11+'ПЛАН ЧЕРН К2'!J36*СПРАВОЧНИК!$J$11+'ПЛАН ЧЕРН К2'!K36*СПРАВОЧНИК!$H$12+'ПЛАН ЧЕРН К2'!L36*СПРАВОЧНИК!$I$12+'ПЛАН ЧЕРН К2'!M36*СПРАВОЧНИК!$J$12+'ПЛАН ЧЕРН К2'!N36*СПРАВОЧНИК!$H$13+'ПЛАН ЧЕРН К2'!O36*СПРАВОЧНИК!$I$13+'ПЛАН ЧЕРН К2'!P36*СПРАВОЧНИК!$J$13+'ПЛАН ЧЕРН К2'!Q36*СПРАВОЧНИК!$H$14+'ПЛАН ЧЕРН К2'!R36*СПРАВОЧНИК!$I$14+'ПЛАН ЧЕРН К2'!S36*СПРАВОЧНИК!$J$14+'ПЛАН ЧЕРН К2'!T36*СПРАВОЧНИК!$H$15+'ПЛАН ЧЕРН К2'!U36*СПРАВОЧНИК!$I$15+'ПЛАН ЧЕРН К2'!V36*СПРАВОЧНИК!$J$15</f>
        <v/>
      </c>
      <c r="AT45" s="31">
        <f>('ФАКТ ЧЕРН К2'!B36)*СПРАВОЧНИК!$H$9+('ФАКТ ЧЕРН К2'!C36)*СПРАВОЧНИК!$I$9+('ФАКТ ЧЕРН К2'!D36)*СПРАВОЧНИК!$J$9+('ФАКТ ЧЕРН К2'!E36)*СПРАВОЧНИК!$H$10+('ФАКТ ЧЕРН К2'!F36)*СПРАВОЧНИК!$I$10+('ФАКТ ЧЕРН К2'!G36)*СПРАВОЧНИК!$J$10+('ФАКТ ЧЕРН К2'!H36)*СПРАВОЧНИК!$H$11+('ФАКТ ЧЕРН К2'!I36)*СПРАВОЧНИК!$I$11+('ФАКТ ЧЕРН К2'!J36)*СПРАВОЧНИК!$J$11+('ФАКТ ЧЕРН К2'!K36)*СПРАВОЧНИК!$H$12+('ФАКТ ЧЕРН К2'!L36)*СПРАВОЧНИК!$I$12+('ФАКТ ЧЕРН К2'!M36)*СПРАВОЧНИК!$J$12+('ФАКТ ЧЕРН К2'!N36)*СПРАВОЧНИК!$H$13+('ФАКТ ЧЕРН К2'!O36)*СПРАВОЧНИК!$I$13+('ФАКТ ЧЕРН К2'!P36)*СПРАВОЧНИК!$J$13+('ФАКТ ЧЕРН К2'!Q36)*СПРАВОЧНИК!$H$14+('ФАКТ ЧЕРН К2'!R36)*СПРАВОЧНИК!$I$14+('ФАКТ ЧЕРН К2'!S36)*СПРАВОЧНИК!$J$14+('ФАКТ ЧЕРН К2'!T36)*СПРАВОЧНИК!$H$15+('ФАКТ ЧЕРН К2'!U36)*СПРАВОЧНИК!$I$15+('ФАКТ ЧЕРН К2'!V36)*СПРАВОЧНИК!$J$15</f>
        <v/>
      </c>
      <c r="AU45" s="34" t="n"/>
      <c r="AX45" s="152">
        <f>AX44+7</f>
        <v/>
      </c>
      <c r="AY45" s="17">
        <f>'ПЛАН ЧИСТ К2'!B36*СПРАВОЧНИК!$L$9+'ПЛАН ЧИСТ К2'!C36*СПРАВОЧНИК!$M$9+'ПЛАН ЧИСТ К2'!D36*СПРАВОЧНИК!$N$9+'ПЛАН ЧИСТ К2'!E36*СПРАВОЧНИК!$O$9+'ПЛАН ЧИСТ К2'!F36*СПРАВОЧНИК!$P$9+'ПЛАН ЧИСТ К2'!G36*СПРАВОЧНИК!$L$10+'ПЛАН ЧИСТ К2'!H36*СПРАВОЧНИК!$M$10+'ПЛАН ЧИСТ К2'!I36*СПРАВОЧНИК!$N$10+'ПЛАН ЧИСТ К2'!J36*СПРАВОЧНИК!$O$10+'ПЛАН ЧИСТ К2'!K36*СПРАВОЧНИК!$P$10+'ПЛАН ЧИСТ К2'!L36*СПРАВОЧНИК!$L$11+'ПЛАН ЧИСТ К2'!M36*СПРАВОЧНИК!$M$11+'ПЛАН ЧИСТ К2'!N36*СПРАВОЧНИК!$N$11+'ПЛАН ЧИСТ К2'!O36*СПРАВОЧНИК!$O$11+'ПЛАН ЧИСТ К2'!P36*СПРАВОЧНИК!$P$11+'ПЛАН ЧИСТ К2'!Q36*СПРАВОЧНИК!$L$12+'ПЛАН ЧИСТ К2'!R36*СПРАВОЧНИК!$M$12+'ПЛАН ЧИСТ К2'!S36*СПРАВОЧНИК!$N$12+'ПЛАН ЧИСТ К2'!T36*СПРАВОЧНИК!$O$12+'ПЛАН ЧИСТ К2'!U36*СПРАВОЧНИК!$P$12+'ПЛАН ЧИСТ К2'!V36*СПРАВОЧНИК!$L$13+'ПЛАН ЧИСТ К2'!W36*СПРАВОЧНИК!$M$13+'ПЛАН ЧИСТ К2'!X36*СПРАВОЧНИК!$N$13+'ПЛАН ЧИСТ К2'!Y36*СПРАВОЧНИК!$O$13+'ПЛАН ЧИСТ К2'!Z36*СПРАВОЧНИК!$P$13+'ПЛАН ЧИСТ К2'!AA36*СПРАВОЧНИК!$L$14+'ПЛАН ЧИСТ К2'!AB36*СПРАВОЧНИК!$M$14+'ПЛАН ЧИСТ К2'!AC36*СПРАВОЧНИК!$N$14+'ПЛАН ЧИСТ К2'!AD36*СПРАВОЧНИК!$O$14+'ПЛАН ЧИСТ К2'!AE36*СПРАВОЧНИК!$P$14+'ПЛАН ЧИСТ К2'!AF36*СПРАВОЧНИК!$L$15+'ПЛАН ЧИСТ К2'!AG36*СПРАВОЧНИК!$M$15+'ПЛАН ЧИСТ К2'!AH36*СПРАВОЧНИК!$N$15+'ПЛАН ЧИСТ К2'!AI36*СПРАВОЧНИК!$O$15+'ПЛАН ЧИСТ К2'!AJ36*СПРАВОЧНИК!$P$15</f>
        <v/>
      </c>
      <c r="AZ45" s="31">
        <f>('ФАКТ ЧИСТ К2'!B36)*СПРАВОЧНИК!$L$9+('ФАКТ ЧИСТ К2'!C36)*СПРАВОЧНИК!$M$9+('ФАКТ ЧИСТ К2'!D36)*СПРАВОЧНИК!$N$9+('ФАКТ ЧИСТ К2'!E36)*СПРАВОЧНИК!$O$9+('ФАКТ ЧИСТ К2'!F36)*СПРАВОЧНИК!$P$9+('ФАКТ ЧИСТ К2'!G36)*СПРАВОЧНИК!$L$10+('ФАКТ ЧИСТ К2'!H36)*СПРАВОЧНИК!$M$10+('ФАКТ ЧИСТ К2'!I36)*СПРАВОЧНИК!$N$10+('ФАКТ ЧИСТ К2'!J36)*СПРАВОЧНИК!$O$10+('ФАКТ ЧИСТ К2'!K36)*СПРАВОЧНИК!$P$10+('ФАКТ ЧИСТ К2'!L36)*СПРАВОЧНИК!$L$11+('ФАКТ ЧИСТ К2'!M36)*СПРАВОЧНИК!$M$11+('ФАКТ ЧИСТ К2'!N36)*СПРАВОЧНИК!$N$11+('ФАКТ ЧИСТ К2'!O36)*СПРАВОЧНИК!$O$11+('ФАКТ ЧИСТ К2'!P36)*СПРАВОЧНИК!$P$11+('ФАКТ ЧИСТ К2'!Q36)*СПРАВОЧНИК!$L$12+('ФАКТ ЧИСТ К2'!R36)*СПРАВОЧНИК!$M$12+('ФАКТ ЧИСТ К2'!S36)*СПРАВОЧНИК!$N$12+('ФАКТ ЧИСТ К2'!T36)*СПРАВОЧНИК!$O$12+('ФАКТ ЧИСТ К2'!U36)*СПРАВОЧНИК!$P$12+('ФАКТ ЧИСТ К2'!V36)*СПРАВОЧНИК!$L$13+('ФАКТ ЧИСТ К2'!W36)*СПРАВОЧНИК!$M$13+('ФАКТ ЧИСТ К2'!X36)*СПРАВОЧНИК!$N$13+('ФАКТ ЧИСТ К2'!Y36)*СПРАВОЧНИК!$O$13+('ФАКТ ЧИСТ К2'!Z36)*СПРАВОЧНИК!$P$13+('ФАКТ ЧИСТ К2'!AA36)*СПРАВОЧНИК!$L$14+('ФАКТ ЧИСТ К2'!AB36)*СПРАВОЧНИК!$M$14+('ФАКТ ЧИСТ К2'!AC36)*СПРАВОЧНИК!$N$14+('ФАКТ ЧИСТ К2'!AD36)*СПРАВОЧНИК!$O$14+('ФАКТ ЧИСТ К2'!AE36)*СПРАВОЧНИК!$P$14+('ФАКТ ЧИСТ К2'!AF36)*СПРАВОЧНИК!$L$15+('ФАКТ ЧИСТ К2'!AG36)*СПРАВОЧНИК!$M$15+('ФАКТ ЧИСТ К2'!AH36)*СПРАВОЧНИК!$N$15+('ФАКТ ЧИСТ К2'!AI36)*СПРАВОЧНИК!$O$15+('ФАКТ ЧИСТ К2'!AJ36)*СПРАВОЧНИК!$P$15</f>
        <v/>
      </c>
      <c r="BA45" s="34" t="n"/>
      <c r="BD45" s="152">
        <f>BD44+7</f>
        <v/>
      </c>
      <c r="BE45" s="17">
        <f>СПРАВОЧНИК!$E$9*('ПЛАН ЧЕРН К3'!B36*СПРАВОЧНИК!$H$9+'ПЛАН ЧЕРН К3'!C36*СПРАВОЧНИК!$I$9+'ПЛАН ЧЕРН К3'!D36*СПРАВОЧНИК!$J$9)+СПРАВОЧНИК!$F$9*('ПЛАН ЧИСТ К3'!B36*СПРАВОЧНИК!$L$9+'ПЛАН ЧИСТ К3'!C36*СПРАВОЧНИК!$M$9+'ПЛАН ЧИСТ К3'!D36*СПРАВОЧНИК!$N$9+'ПЛАН ЧИСТ К3'!E36*СПРАВОЧНИК!$O$9+'ПЛАН ЧИСТ К3'!F36*СПРАВОЧНИК!$P$9)+СПРАВОЧНИК!$E$10*('ПЛАН ЧЕРН К3'!E36*СПРАВОЧНИК!$H$10+'ПЛАН ЧЕРН К3'!F36*СПРАВОЧНИК!$I$10+'ПЛАН ЧЕРН К3'!G36*СПРАВОЧНИК!$J$10)+СПРАВОЧНИК!$F$10*('ПЛАН ЧИСТ К3'!G36*СПРАВОЧНИК!$L$10+'ПЛАН ЧИСТ К3'!H36*СПРАВОЧНИК!$M$10+'ПЛАН ЧИСТ К3'!I36*СПРАВОЧНИК!$N$10+'ПЛАН ЧИСТ К3'!J36*СПРАВОЧНИК!$O$10+'ПЛАН ЧИСТ К3'!K36*СПРАВОЧНИК!$P$10)+СПРАВОЧНИК!$E$11*('ПЛАН ЧЕРН К3'!H36*СПРАВОЧНИК!$H$11+'ПЛАН ЧЕРН К3'!I36*СПРАВОЧНИК!$I$11+'ПЛАН ЧЕРН К3'!J36*СПРАВОЧНИК!$J$11)+СПРАВОЧНИК!$F$11*('ПЛАН ЧИСТ К3'!L36*СПРАВОЧНИК!$L$11+'ПЛАН ЧИСТ К3'!M36*СПРАВОЧНИК!$M$11+'ПЛАН ЧИСТ К3'!N36*СПРАВОЧНИК!$N$11+'ПЛАН ЧИСТ К3'!O36*СПРАВОЧНИК!$O$11+'ПЛАН ЧИСТ К3'!P36*СПРАВОЧНИК!$P$11)+СПРАВОЧНИК!$E$12*('ПЛАН ЧЕРН К3'!K36*СПРАВОЧНИК!$H$12+'ПЛАН ЧЕРН К3'!L36*СПРАВОЧНИК!$I$12+'ПЛАН ЧЕРН К3'!M36*СПРАВОЧНИК!$J$12)+СПРАВОЧНИК!$F$12*('ПЛАН ЧИСТ К3'!Q36*СПРАВОЧНИК!$L$12+'ПЛАН ЧИСТ К3'!R36*СПРАВОЧНИК!$M$12+'ПЛАН ЧИСТ К3'!S36*СПРАВОЧНИК!$N$12+'ПЛАН ЧИСТ К3'!T36*СПРАВОЧНИК!$O$12+'ПЛАН ЧИСТ К3'!U36*СПРАВОЧНИК!$P$12)+СПРАВОЧНИК!$E$13*('ПЛАН ЧЕРН К3'!N36*СПРАВОЧНИК!$H$13+'ПЛАН ЧЕРН К3'!O36*СПРАВОЧНИК!$I$13+'ПЛАН ЧЕРН К3'!P36*СПРАВОЧНИК!$J$13)+СПРАВОЧНИК!$F$13*('ПЛАН ЧИСТ К3'!V36*СПРАВОЧНИК!$L$13+'ПЛАН ЧИСТ К3'!W36*СПРАВОЧНИК!$M$13+'ПЛАН ЧИСТ К3'!X36*СПРАВОЧНИК!$N$13+'ПЛАН ЧИСТ К3'!Y36*СПРАВОЧНИК!$O$13+'ПЛАН ЧИСТ К3'!Z36*СПРАВОЧНИК!$P$13)+СПРАВОЧНИК!$E$14*('ПЛАН ЧЕРН К3'!Q36*СПРАВОЧНИК!$H$14+'ПЛАН ЧЕРН К3'!R36*СПРАВОЧНИК!$I$14+'ПЛАН ЧЕРН К3'!S36*СПРАВОЧНИК!$J$14)+СПРАВОЧНИК!$F$14*('ПЛАН ЧИСТ К3'!AA36*СПРАВОЧНИК!$L$14+'ПЛАН ЧИСТ К3'!AB36*СПРАВОЧНИК!$M$14+'ПЛАН ЧИСТ К3'!AC36*СПРАВОЧНИК!$N$14+'ПЛАН ЧИСТ К3'!AD36*СПРАВОЧНИК!$O$14+'ПЛАН ЧИСТ К3'!AE36*СПРАВОЧНИК!$P$14)+СПРАВОЧНИК!$E$15*('ПЛАН ЧЕРН К3'!T36*СПРАВОЧНИК!$H$15+'ПЛАН ЧЕРН К3'!U36*СПРАВОЧНИК!$I$15+'ПЛАН ЧЕРН К3'!V36*СПРАВОЧНИК!$J$15)+СПРАВОЧНИК!$F$15*('ПЛАН ЧИСТ К3'!AF36*СПРАВОЧНИК!$L$15+'ПЛАН ЧИСТ К3'!AG36*СПРАВОЧНИК!$M$15+'ПЛАН ЧИСТ К3'!AH36*СПРАВОЧНИК!$N$15+'ПЛАН ЧИСТ К3'!AI36*СПРАВОЧНИК!$O$15+'ПЛАН ЧИСТ К3'!AJ36*СПРАВОЧНИК!$P$15)</f>
        <v/>
      </c>
      <c r="BF45" s="31">
        <f>СПРАВОЧНИК!$E$9*('ФАКТ ЧЕРН К3'!B36*СПРАВОЧНИК!$H$9+'ФАКТ ЧЕРН К3'!C36*СПРАВОЧНИК!$I$9+'ФАКТ ЧЕРН К3'!D36*СПРАВОЧНИК!$J$9)+СПРАВОЧНИК!$F$9*('ФАКТ ЧИСТ К3'!B36*СПРАВОЧНИК!$L$9+'ФАКТ ЧИСТ К3'!C36*СПРАВОЧНИК!$M$9+'ФАКТ ЧИСТ К3'!D36*СПРАВОЧНИК!$N$9+'ФАКТ ЧИСТ К3'!E36*СПРАВОЧНИК!$O$9+'ФАКТ ЧИСТ К3'!F36*СПРАВОЧНИК!$P$9)+СПРАВОЧНИК!$E$10*('ФАКТ ЧЕРН К3'!E36*СПРАВОЧНИК!$H$10+'ФАКТ ЧЕРН К3'!F36*СПРАВОЧНИК!$I$10+'ФАКТ ЧЕРН К3'!G36*СПРАВОЧНИК!$J$10)+СПРАВОЧНИК!$F$10*('ФАКТ ЧИСТ К3'!G36*СПРАВОЧНИК!$L$10+'ФАКТ ЧИСТ К3'!H36*СПРАВОЧНИК!$M$10+'ФАКТ ЧИСТ К3'!I36*СПРАВОЧНИК!$N$10+'ФАКТ ЧИСТ К3'!J36*СПРАВОЧНИК!$O$10+'ФАКТ ЧИСТ К3'!K36*СПРАВОЧНИК!$P$10)+СПРАВОЧНИК!$E$11*('ФАКТ ЧЕРН К3'!H36*СПРАВОЧНИК!$H$11+'ФАКТ ЧЕРН К3'!I36*СПРАВОЧНИК!$I$11+'ФАКТ ЧЕРН К3'!J36*СПРАВОЧНИК!$J$11)+СПРАВОЧНИК!$F$11*('ФАКТ ЧИСТ К3'!L36*СПРАВОЧНИК!$L$11+'ФАКТ ЧИСТ К3'!M36*СПРАВОЧНИК!$M$11+'ФАКТ ЧИСТ К3'!N36*СПРАВОЧНИК!$N$11+'ФАКТ ЧИСТ К3'!O36*СПРАВОЧНИК!$O$11+'ФАКТ ЧИСТ К3'!P36*СПРАВОЧНИК!$P$11)+СПРАВОЧНИК!$E$12*('ФАКТ ЧЕРН К3'!K36*СПРАВОЧНИК!$H$12+'ФАКТ ЧЕРН К3'!L36*СПРАВОЧНИК!$I$12+'ФАКТ ЧЕРН К3'!M36*СПРАВОЧНИК!$J$12)+СПРАВОЧНИК!$F$12*('ФАКТ ЧИСТ К3'!Q36*СПРАВОЧНИК!$L$12+'ФАКТ ЧИСТ К3'!R36*СПРАВОЧНИК!$M$12+'ФАКТ ЧИСТ К3'!S36*СПРАВОЧНИК!$N$12+'ФАКТ ЧИСТ К3'!T36*СПРАВОЧНИК!$O$12+'ФАКТ ЧИСТ К3'!U36*СПРАВОЧНИК!$P$12)+СПРАВОЧНИК!$E$13*('ФАКТ ЧЕРН К3'!N36*СПРАВОЧНИК!$H$13+'ФАКТ ЧЕРН К3'!O36*СПРАВОЧНИК!$I$13+'ФАКТ ЧЕРН К3'!P36*СПРАВОЧНИК!$J$13)+СПРАВОЧНИК!$F$13*('ФАКТ ЧИСТ К3'!V36*СПРАВОЧНИК!$L$13+'ФАКТ ЧИСТ К3'!W36*СПРАВОЧНИК!$M$13+'ФАКТ ЧИСТ К3'!X36*СПРАВОЧНИК!$N$13+'ФАКТ ЧИСТ К3'!Y36*СПРАВОЧНИК!$O$13+'ФАКТ ЧИСТ К3'!Z36*СПРАВОЧНИК!$P$13)+СПРАВОЧНИК!$E$14*('ФАКТ ЧЕРН К3'!Q36*СПРАВОЧНИК!$H$14+'ФАКТ ЧЕРН К3'!R36*СПРАВОЧНИК!$I$14+'ФАКТ ЧЕРН К3'!S36*СПРАВОЧНИК!$J$14)+СПРАВОЧНИК!$F$14*('ФАКТ ЧИСТ К3'!AA36*СПРАВОЧНИК!$L$14+'ФАКТ ЧИСТ К3'!AB36*СПРАВОЧНИК!$M$14+'ФАКТ ЧИСТ К3'!AC36*СПРАВОЧНИК!$N$14+'ФАКТ ЧИСТ К3'!AD36*СПРАВОЧНИК!$O$14+'ФАКТ ЧИСТ К3'!AE36*СПРАВОЧНИК!$P$14)+СПРАВОЧНИК!$E$15*('ФАКТ ЧЕРН К3'!T36*СПРАВОЧНИК!$H$15+'ФАКТ ЧЕРН К3'!U36*СПРАВОЧНИК!$I$15+'ФАКТ ЧЕРН К3'!V36*СПРАВОЧНИК!$J$15)+СПРАВОЧНИК!$F$15*('ФАКТ ЧИСТ К3'!AF36*СПРАВОЧНИК!$L$15+'ФАКТ ЧИСТ К3'!AG36*СПРАВОЧНИК!$M$15+'ФАКТ ЧИСТ К3'!AH36*СПРАВОЧНИК!$N$15+'ФАКТ ЧИСТ К3'!AI36*СПРАВОЧНИК!$O$15+'ФАКТ ЧИСТ К3'!AJ36*СПРАВОЧНИК!$P$15)</f>
        <v/>
      </c>
      <c r="BG45" s="34" t="n"/>
      <c r="BJ45" s="152">
        <f>BJ44+7</f>
        <v/>
      </c>
      <c r="BK45" s="17">
        <f>'ПЛАН ЧЕРН К3'!B36*СПРАВОЧНИК!$H$9+'ПЛАН ЧЕРН К3'!C36*СПРАВОЧНИК!$I$9+'ПЛАН ЧЕРН К3'!D36*СПРАВОЧНИК!$J$9+'ПЛАН ЧЕРН К3'!E36*СПРАВОЧНИК!$H$10+'ПЛАН ЧЕРН К3'!F36*СПРАВОЧНИК!$I$10+'ПЛАН ЧЕРН К3'!G36*СПРАВОЧНИК!$J$10+'ПЛАН ЧЕРН К3'!H36*СПРАВОЧНИК!$H$11+'ПЛАН ЧЕРН К3'!I36*СПРАВОЧНИК!$I$11+'ПЛАН ЧЕРН К3'!J36*СПРАВОЧНИК!$J$11+'ПЛАН ЧЕРН К3'!K36*СПРАВОЧНИК!$H$12+'ПЛАН ЧЕРН К3'!L36*СПРАВОЧНИК!$I$12+'ПЛАН ЧЕРН К3'!M36*СПРАВОЧНИК!$J$12+'ПЛАН ЧЕРН К3'!N36*СПРАВОЧНИК!$H$13+'ПЛАН ЧЕРН К3'!O36*СПРАВОЧНИК!$I$13+'ПЛАН ЧЕРН К3'!P36*СПРАВОЧНИК!$J$13+'ПЛАН ЧЕРН К3'!Q36*СПРАВОЧНИК!$H$14+'ПЛАН ЧЕРН К3'!R36*СПРАВОЧНИК!$I$14+'ПЛАН ЧЕРН К3'!S36*СПРАВОЧНИК!$J$14+'ПЛАН ЧЕРН К3'!T36*СПРАВОЧНИК!$H$15+'ПЛАН ЧЕРН К3'!U36*СПРАВОЧНИК!$I$15+'ПЛАН ЧЕРН К3'!V36*СПРАВОЧНИК!$J$15</f>
        <v/>
      </c>
      <c r="BL45" s="31">
        <f>('ФАКТ ЧЕРН К3'!B36)*СПРАВОЧНИК!$H$9+('ФАКТ ЧЕРН К3'!C36)*СПРАВОЧНИК!$I$9+('ФАКТ ЧЕРН К3'!D36)*СПРАВОЧНИК!$J$9+('ФАКТ ЧЕРН К3'!E36)*СПРАВОЧНИК!$H$10+('ФАКТ ЧЕРН К3'!F36)*СПРАВОЧНИК!$I$10+('ФАКТ ЧЕРН К3'!G36)*СПРАВОЧНИК!$J$10+('ФАКТ ЧЕРН К3'!H36)*СПРАВОЧНИК!$H$11+('ФАКТ ЧЕРН К3'!I36)*СПРАВОЧНИК!$I$11+('ФАКТ ЧЕРН К3'!J36)*СПРАВОЧНИК!$J$11+('ФАКТ ЧЕРН К3'!K36)*СПРАВОЧНИК!$H$12+('ФАКТ ЧЕРН К3'!L36)*СПРАВОЧНИК!$I$12+('ФАКТ ЧЕРН К3'!M36)*СПРАВОЧНИК!$J$12+('ФАКТ ЧЕРН К3'!N36)*СПРАВОЧНИК!$H$13+('ФАКТ ЧЕРН К3'!O36)*СПРАВОЧНИК!$I$13+('ФАКТ ЧЕРН К3'!P36)*СПРАВОЧНИК!$J$13+('ФАКТ ЧЕРН К3'!Q36)*СПРАВОЧНИК!$H$14+('ФАКТ ЧЕРН К3'!R36)*СПРАВОЧНИК!$I$14+('ФАКТ ЧЕРН К3'!S36)*СПРАВОЧНИК!$J$14+('ФАКТ ЧЕРН К3'!T36)*СПРАВОЧНИК!$H$15+('ФАКТ ЧЕРН К3'!U36)*СПРАВОЧНИК!$I$15+('ФАКТ ЧЕРН К3'!V36)*СПРАВОЧНИК!$J$15</f>
        <v/>
      </c>
      <c r="BM45" s="34" t="n"/>
      <c r="BP45" s="152">
        <f>BP44+7</f>
        <v/>
      </c>
      <c r="BQ45" s="17">
        <f>'ПЛАН ЧИСТ К3'!B36*СПРАВОЧНИК!$L$9+'ПЛАН ЧИСТ К3'!C36*СПРАВОЧНИК!$M$9+'ПЛАН ЧИСТ К3'!D36*СПРАВОЧНИК!$N$9+'ПЛАН ЧИСТ К3'!E36*СПРАВОЧНИК!$O$9+'ПЛАН ЧИСТ К3'!F36*СПРАВОЧНИК!$P$9+'ПЛАН ЧИСТ К3'!G36*СПРАВОЧНИК!$L$10+'ПЛАН ЧИСТ К3'!H36*СПРАВОЧНИК!$M$10+'ПЛАН ЧИСТ К3'!I36*СПРАВОЧНИК!$N$10+'ПЛАН ЧИСТ К3'!J36*СПРАВОЧНИК!$O$10+'ПЛАН ЧИСТ К3'!K36*СПРАВОЧНИК!$P$10+'ПЛАН ЧИСТ К3'!L36*СПРАВОЧНИК!$L$11+'ПЛАН ЧИСТ К3'!M36*СПРАВОЧНИК!$M$11+'ПЛАН ЧИСТ К3'!N36*СПРАВОЧНИК!$N$11+'ПЛАН ЧИСТ К3'!O36*СПРАВОЧНИК!$O$11+'ПЛАН ЧИСТ К3'!P36*СПРАВОЧНИК!$P$11+'ПЛАН ЧИСТ К3'!Q36*СПРАВОЧНИК!$L$12+'ПЛАН ЧИСТ К3'!R36*СПРАВОЧНИК!$M$12+'ПЛАН ЧИСТ К3'!S36*СПРАВОЧНИК!$N$12+'ПЛАН ЧИСТ К3'!T36*СПРАВОЧНИК!$O$12+'ПЛАН ЧИСТ К3'!U36*СПРАВОЧНИК!$P$12+'ПЛАН ЧИСТ К3'!V36*СПРАВОЧНИК!$L$13+'ПЛАН ЧИСТ К3'!W36*СПРАВОЧНИК!$M$13+'ПЛАН ЧИСТ К3'!X36*СПРАВОЧНИК!$N$13+'ПЛАН ЧИСТ К3'!Y36*СПРАВОЧНИК!$O$13+'ПЛАН ЧИСТ К3'!Z36*СПРАВОЧНИК!$P$13+'ПЛАН ЧИСТ К3'!AA36*СПРАВОЧНИК!$L$14+'ПЛАН ЧИСТ К3'!AB36*СПРАВОЧНИК!$M$14+'ПЛАН ЧИСТ К3'!AC36*СПРАВОЧНИК!$N$14+'ПЛАН ЧИСТ К3'!AD36*СПРАВОЧНИК!$O$14+'ПЛАН ЧИСТ К3'!AE36*СПРАВОЧНИК!$P$14+'ПЛАН ЧИСТ К3'!AF36*СПРАВОЧНИК!$L$15+'ПЛАН ЧИСТ К3'!AG36*СПРАВОЧНИК!$M$15+'ПЛАН ЧИСТ К3'!AH36*СПРАВОЧНИК!$N$15+'ПЛАН ЧИСТ К3'!AI36*СПРАВОЧНИК!$O$15+'ПЛАН ЧИСТ К3'!AJ36*СПРАВОЧНИК!$P$15</f>
        <v/>
      </c>
      <c r="BR45" s="31">
        <f>('ФАКТ ЧИСТ К3'!B36)*СПРАВОЧНИК!$L$9+('ФАКТ ЧИСТ К3'!C36)*СПРАВОЧНИК!$M$9+('ФАКТ ЧИСТ К3'!D36)*СПРАВОЧНИК!$N$9+('ФАКТ ЧИСТ К3'!E36)*СПРАВОЧНИК!$O$9+('ФАКТ ЧИСТ К3'!F36)*СПРАВОЧНИК!$P$9+('ФАКТ ЧИСТ К3'!G36)*СПРАВОЧНИК!$L$10+('ФАКТ ЧИСТ К3'!H36)*СПРАВОЧНИК!$M$10+('ФАКТ ЧИСТ К3'!I36)*СПРАВОЧНИК!$N$10+('ФАКТ ЧИСТ К3'!J36)*СПРАВОЧНИК!$O$10+('ФАКТ ЧИСТ К3'!K36)*СПРАВОЧНИК!$P$10+('ФАКТ ЧИСТ К3'!L36)*СПРАВОЧНИК!$L$11+('ФАКТ ЧИСТ К3'!M36)*СПРАВОЧНИК!$M$11+('ФАКТ ЧИСТ К3'!N36)*СПРАВОЧНИК!$N$11+('ФАКТ ЧИСТ К3'!O36)*СПРАВОЧНИК!$O$11+('ФАКТ ЧИСТ К3'!P36)*СПРАВОЧНИК!$P$11+('ФАКТ ЧИСТ К3'!Q36)*СПРАВОЧНИК!$L$12+('ФАКТ ЧИСТ К3'!R36)*СПРАВОЧНИК!$M$12+('ФАКТ ЧИСТ К3'!S36)*СПРАВОЧНИК!$N$12+('ФАКТ ЧИСТ К3'!T36)*СПРАВОЧНИК!$O$12+('ФАКТ ЧИСТ К3'!U36)*СПРАВОЧНИК!$P$12+('ФАКТ ЧИСТ К3'!V36)*СПРАВОЧНИК!$L$13+('ФАКТ ЧИСТ К3'!W36)*СПРАВОЧНИК!$M$13+('ФАКТ ЧИСТ К3'!X36)*СПРАВОЧНИК!$N$13+('ФАКТ ЧИСТ К3'!Y36)*СПРАВОЧНИК!$O$13+('ФАКТ ЧИСТ К3'!Z36)*СПРАВОЧНИК!$P$13+('ФАКТ ЧИСТ К3'!AA36)*СПРАВОЧНИК!$L$14+('ФАКТ ЧИСТ К3'!AB36)*СПРАВОЧНИК!$M$14+('ФАКТ ЧИСТ К3'!AC36)*СПРАВОЧНИК!$N$14+('ФАКТ ЧИСТ К3'!AD36)*СПРАВОЧНИК!$O$14+('ФАКТ ЧИСТ К3'!AE36)*СПРАВОЧНИК!$P$14+('ФАКТ ЧИСТ К3'!AF36)*СПРАВОЧНИК!$L$15+('ФАКТ ЧИСТ К3'!AG36)*СПРАВОЧНИК!$M$15+('ФАКТ ЧИСТ К3'!AH36)*СПРАВОЧНИК!$N$15+('ФАКТ ЧИСТ К3'!AI36)*СПРАВОЧНИК!$O$15+('ФАКТ ЧИСТ К3'!AJ36)*СПРАВОЧНИК!$P$15</f>
        <v/>
      </c>
      <c r="BS45" s="34" t="n"/>
      <c r="BV45" s="152">
        <f>BV44+7</f>
        <v/>
      </c>
      <c r="BW45" s="17">
        <f>U45*СПРАВОЧНИК!$K$28+AM45*СПРАВОЧНИК!$K$29+BE45*СПРАВОЧНИК!$K$30</f>
        <v/>
      </c>
      <c r="BX45" s="31">
        <f>V45*СПРАВОЧНИК!$K$28+AN45*СПРАВОЧНИК!$K$29+BF45*СПРАВОЧНИК!$K$30</f>
        <v/>
      </c>
      <c r="BY45" s="34" t="n"/>
      <c r="CB45" s="152">
        <f>CB44+7</f>
        <v/>
      </c>
      <c r="CC45" s="17">
        <f>AA45*СПРАВОЧНИК!$K$28+AS45*СПРАВОЧНИК!$K$29+BK45*СПРАВОЧНИК!$K$30</f>
        <v/>
      </c>
      <c r="CD45" s="31">
        <f>AB45*СПРАВОЧНИК!$K$28+AT45*СПРАВОЧНИК!$K$29+BL45*СПРАВОЧНИК!$K$30</f>
        <v/>
      </c>
      <c r="CE45" s="34" t="n"/>
      <c r="CH45" s="152">
        <f>CH44+7</f>
        <v/>
      </c>
      <c r="CI45" s="17">
        <f>AG45*СПРАВОЧНИК!$K$28+AY45*СПРАВОЧНИК!$K$29+BQ45*СПРАВОЧНИК!$K$30</f>
        <v/>
      </c>
      <c r="CJ45" s="31">
        <f>AH45*СПРАВОЧНИК!$K$28+AZ45*СПРАВОЧНИК!$K$29+BR45*СПРАВОЧНИК!$K$30</f>
        <v/>
      </c>
      <c r="CK45" s="34" t="n"/>
      <c r="CN45" s="152">
        <f>CN44+7</f>
        <v/>
      </c>
      <c r="CO45" s="17">
        <f>C45*СПРАВОЧНИК!$W$18+BW45*СПРАВОЧНИК!$W$19</f>
        <v/>
      </c>
      <c r="CP45" s="31">
        <f>D45*СПРАВОЧНИК!$W$18+BX45*СПРАВОЧНИК!$W$19</f>
        <v/>
      </c>
      <c r="CQ45" s="34" t="n"/>
      <c r="CT45" s="152">
        <f>CT44+7</f>
        <v/>
      </c>
      <c r="CU45" s="17">
        <f>I45*СПРАВОЧНИК!$W$18+CC45*СПРАВОЧНИК!$W$19</f>
        <v/>
      </c>
      <c r="CV45" s="31">
        <f>J45*СПРАВОЧНИК!$W$18+CD45*СПРАВОЧНИК!$W$19</f>
        <v/>
      </c>
      <c r="CW45" s="34" t="n"/>
      <c r="CZ45" s="152">
        <f>CZ44+7</f>
        <v/>
      </c>
      <c r="DA45" s="17">
        <f>O45*СПРАВОЧНИК!$W$18+CI45*СПРАВОЧНИК!$W$19</f>
        <v/>
      </c>
      <c r="DB45" s="31">
        <f>P45*СПРАВОЧНИК!$W$18+CJ45*СПРАВОЧНИК!$W$19</f>
        <v/>
      </c>
      <c r="DC45" s="34" t="n"/>
    </row>
    <row r="46">
      <c r="B46" s="152">
        <f>B45+7</f>
        <v/>
      </c>
      <c r="C46" s="17">
        <f>СПРАВОЧНИК!$E$3*('ПЛАН ЧЕРН ПОДЗЕМ'!B37*СПРАВОЧНИК!$H$3+'ПЛАН ЧЕРН ПОДЗЕМ'!C37*СПРАВОЧНИК!$I$3+'ПЛАН ЧЕРН ПОДЗЕМ'!D37*СПРАВОЧНИК!$J$3)+СПРАВОЧНИК!$F$3*('ПЛАН ЧИСТ ПОДЗЕМ'!B37*СПРАВОЧНИК!$L$3+'ПЛАН ЧИСТ ПОДЗЕМ'!C37*СПРАВОЧНИК!$M$3+'ПЛАН ЧИСТ ПОДЗЕМ'!D37*СПРАВОЧНИК!$N$3+'ПЛАН ЧИСТ ПОДЗЕМ'!E37*СПРАВОЧНИК!$O$3+'ПЛАН ЧИСТ ПОДЗЕМ'!F37*СПРАВОЧНИК!$P$3)+СПРАВОЧНИК!$E$4*('ПЛАН ЧЕРН ПОДЗЕМ'!E37*СПРАВОЧНИК!$H$4+'ПЛАН ЧЕРН ПОДЗЕМ'!F37*СПРАВОЧНИК!$I$4+'ПЛАН ЧЕРН ПОДЗЕМ'!G37*СПРАВОЧНИК!$J$4)+СПРАВОЧНИК!$F$4*('ПЛАН ЧИСТ ПОДЗЕМ'!G37*СПРАВОЧНИК!$L$4+'ПЛАН ЧИСТ ПОДЗЕМ'!H37*СПРАВОЧНИК!$M$4+'ПЛАН ЧИСТ ПОДЗЕМ'!I37*СПРАВОЧНИК!$N$4+'ПЛАН ЧИСТ ПОДЗЕМ'!J37*СПРАВОЧНИК!$O$4+'ПЛАН ЧИСТ ПОДЗЕМ'!K37*СПРАВОЧНИК!$P$4)+СПРАВОЧНИК!$E$5*('ПЛАН ЧЕРН ПОДЗЕМ'!H37*СПРАВОЧНИК!$H$5+'ПЛАН ЧЕРН ПОДЗЕМ'!I37*СПРАВОЧНИК!$I$5+'ПЛАН ЧЕРН ПОДЗЕМ'!J37*СПРАВОЧНИК!$J$5)+СПРАВОЧНИК!$F$5*('ПЛАН ЧИСТ ПОДЗЕМ'!L37*СПРАВОЧНИК!$L$5+'ПЛАН ЧИСТ ПОДЗЕМ'!M37*СПРАВОЧНИК!$M$5+'ПЛАН ЧИСТ ПОДЗЕМ'!N37*СПРАВОЧНИК!$N$5+'ПЛАН ЧИСТ ПОДЗЕМ'!O37*СПРАВОЧНИК!$O$5+'ПЛАН ЧИСТ ПОДЗЕМ'!P37*СПРАВОЧНИК!$P$5)+СПРАВОЧНИК!$E$6*('ПЛАН ЧЕРН ПОДЗЕМ'!K37*СПРАВОЧНИК!$H$6+'ПЛАН ЧЕРН ПОДЗЕМ'!L37*СПРАВОЧНИК!$I$6+'ПЛАН ЧЕРН ПОДЗЕМ'!M37*СПРАВОЧНИК!$J$6)+СПРАВОЧНИК!$F$6*('ПЛАН ЧИСТ ПОДЗЕМ'!Q37*СПРАВОЧНИК!$L$6+'ПЛАН ЧИСТ ПОДЗЕМ'!R37*СПРАВОЧНИК!$M$6+'ПЛАН ЧИСТ ПОДЗЕМ'!S37*СПРАВОЧНИК!$N$6+'ПЛАН ЧИСТ ПОДЗЕМ'!T37*СПРАВОЧНИК!$O$6+'ПЛАН ЧИСТ ПОДЗЕМ'!U37*СПРАВОЧНИК!$P$6)+СПРАВОЧНИК!$E$7*('ПЛАН ЧЕРН ПОДЗЕМ'!N37*СПРАВОЧНИК!$H$7+'ПЛАН ЧЕРН ПОДЗЕМ'!O37*СПРАВОЧНИК!$I$7+'ПЛАН ЧЕРН ПОДЗЕМ'!P37*СПРАВОЧНИК!$J$7)+СПРАВОЧНИК!$F$7*('ПЛАН ЧИСТ ПОДЗЕМ'!V37*СПРАВОЧНИК!$L$7+'ПЛАН ЧИСТ ПОДЗЕМ'!W37*СПРАВОЧНИК!$M$7+'ПЛАН ЧИСТ ПОДЗЕМ'!X37*СПРАВОЧНИК!$N$7+'ПЛАН ЧИСТ ПОДЗЕМ'!Y37*СПРАВОЧНИК!$O$7+'ПЛАН ЧИСТ ПОДЗЕМ'!Z37*СПРАВОЧНИК!$P$7)+СПРАВОЧНИК!$E$8*('ПЛАН ЧЕРН ПОДЗЕМ'!Q37*СПРАВОЧНИК!$H$8+'ПЛАН ЧЕРН ПОДЗЕМ'!R37*СПРАВОЧНИК!$I$8+'ПЛАН ЧЕРН ПОДЗЕМ'!S37*СПРАВОЧНИК!$J$8)+СПРАВОЧНИК!$F$8*('ПЛАН ЧИСТ ПОДЗЕМ'!AA37*СПРАВОЧНИК!$L$8+'ПЛАН ЧИСТ ПОДЗЕМ'!AB37*СПРАВОЧНИК!$M$8+'ПЛАН ЧИСТ ПОДЗЕМ'!AC37*СПРАВОЧНИК!$N$8+'ПЛАН ЧИСТ ПОДЗЕМ'!AD37*СПРАВОЧНИК!$O$8+'ПЛАН ЧИСТ ПОДЗЕМ'!AE37*СПРАВОЧНИК!$P$8)</f>
        <v/>
      </c>
      <c r="D46" s="31">
        <f>СПРАВОЧНИК!$E$3*('ФАКТ ЧЕРН ПОДЗЕМ'!B37*СПРАВОЧНИК!$H$3+'ФАКТ ЧЕРН ПОДЗЕМ'!C37*СПРАВОЧНИК!$I$3+'ФАКТ ЧЕРН ПОДЗЕМ'!D37*СПРАВОЧНИК!$J$3)+СПРАВОЧНИК!$F$3*('ФАКТ ЧИСТ ПОДЗЕМ'!B37*СПРАВОЧНИК!$L$3+'ФАКТ ЧИСТ ПОДЗЕМ'!C37*СПРАВОЧНИК!$M$3+'ФАКТ ЧИСТ ПОДЗЕМ'!D37*СПРАВОЧНИК!$N$3+'ФАКТ ЧИСТ ПОДЗЕМ'!E37*СПРАВОЧНИК!$O$3+'ФАКТ ЧИСТ ПОДЗЕМ'!F37*СПРАВОЧНИК!$P$3)+СПРАВОЧНИК!$E$4*('ФАКТ ЧЕРН ПОДЗЕМ'!E37*СПРАВОЧНИК!$H$4+'ФАКТ ЧЕРН ПОДЗЕМ'!F37*СПРАВОЧНИК!$I$4+'ФАКТ ЧЕРН ПОДЗЕМ'!G37*СПРАВОЧНИК!$J$4)+СПРАВОЧНИК!$F$4*('ФАКТ ЧИСТ ПОДЗЕМ'!G37*СПРАВОЧНИК!$L$4+'ФАКТ ЧИСТ ПОДЗЕМ'!H37*СПРАВОЧНИК!$M$4+'ФАКТ ЧИСТ ПОДЗЕМ'!I37*СПРАВОЧНИК!$N$4+'ФАКТ ЧИСТ ПОДЗЕМ'!J37*СПРАВОЧНИК!$O$4+'ФАКТ ЧИСТ ПОДЗЕМ'!K37*СПРАВОЧНИК!$P$4)+СПРАВОЧНИК!$E$5*('ФАКТ ЧЕРН ПОДЗЕМ'!H37*СПРАВОЧНИК!$H$5+'ФАКТ ЧЕРН ПОДЗЕМ'!I37*СПРАВОЧНИК!$I$5+'ФАКТ ЧЕРН ПОДЗЕМ'!J37*СПРАВОЧНИК!$J$5)+СПРАВОЧНИК!$F$5*('ФАКТ ЧИСТ ПОДЗЕМ'!L37*СПРАВОЧНИК!$L$5+'ФАКТ ЧИСТ ПОДЗЕМ'!M37*СПРАВОЧНИК!$M$5+'ФАКТ ЧИСТ ПОДЗЕМ'!N37*СПРАВОЧНИК!$N$5+'ФАКТ ЧИСТ ПОДЗЕМ'!O37*СПРАВОЧНИК!$O$5+'ФАКТ ЧИСТ ПОДЗЕМ'!P37*СПРАВОЧНИК!$P$5)+СПРАВОЧНИК!$E$6*('ФАКТ ЧЕРН ПОДЗЕМ'!K37*СПРАВОЧНИК!$H$6+'ФАКТ ЧЕРН ПОДЗЕМ'!L37*СПРАВОЧНИК!$I$6+'ФАКТ ЧЕРН ПОДЗЕМ'!M37*СПРАВОЧНИК!$J$6)+СПРАВОЧНИК!$F$6*('ФАКТ ЧИСТ ПОДЗЕМ'!Q37*СПРАВОЧНИК!$L$6+'ФАКТ ЧИСТ ПОДЗЕМ'!R37*СПРАВОЧНИК!$M$6+'ФАКТ ЧИСТ ПОДЗЕМ'!S37*СПРАВОЧНИК!$N$6+'ФАКТ ЧИСТ ПОДЗЕМ'!T37*СПРАВОЧНИК!$O$6+'ФАКТ ЧИСТ ПОДЗЕМ'!U37*СПРАВОЧНИК!$P$6)+СПРАВОЧНИК!$E$7*('ФАКТ ЧЕРН ПОДЗЕМ'!N37*СПРАВОЧНИК!$H$7+'ФАКТ ЧЕРН ПОДЗЕМ'!O37*СПРАВОЧНИК!$I$7+'ФАКТ ЧЕРН ПОДЗЕМ'!P37*СПРАВОЧНИК!$J$7)+СПРАВОЧНИК!$F$7*('ФАКТ ЧИСТ ПОДЗЕМ'!V37*СПРАВОЧНИК!$L$7+'ФАКТ ЧИСТ ПОДЗЕМ'!W37*СПРАВОЧНИК!$M$7+'ФАКТ ЧИСТ ПОДЗЕМ'!X37*СПРАВОЧНИК!$N$7+'ФАКТ ЧИСТ ПОДЗЕМ'!Y37*СПРАВОЧНИК!$O$7+'ФАКТ ЧИСТ ПОДЗЕМ'!Z37*СПРАВОЧНИК!$P$7)+СПРАВОЧНИК!$E$8*('ФАКТ ЧЕРН ПОДЗЕМ'!Q37*СПРАВОЧНИК!$H$8+'ФАКТ ЧЕРН ПОДЗЕМ'!R37*СПРАВОЧНИК!$I$8+'ФАКТ ЧЕРН ПОДЗЕМ'!S37*СПРАВОЧНИК!$J$8)+СПРАВОЧНИК!$F$8*('ФАКТ ЧИСТ ПОДЗЕМ'!AA37*СПРАВОЧНИК!$L$8+'ФАКТ ЧИСТ ПОДЗЕМ'!AB37*СПРАВОЧНИК!$M$8+'ФАКТ ЧИСТ ПОДЗЕМ'!AC37*СПРАВОЧНИК!$N$8+'ФАКТ ЧИСТ ПОДЗЕМ'!AD37*СПРАВОЧНИК!$O$8+'ФАКТ ЧИСТ ПОДЗЕМ'!AE37*СПРАВОЧНИК!$P$8)</f>
        <v/>
      </c>
      <c r="E46" s="34" t="n"/>
      <c r="H46" s="152">
        <f>H45+7</f>
        <v/>
      </c>
      <c r="I46" s="17">
        <f>'ПЛАН ЧЕРН ПОДЗЕМ'!B37*СПРАВОЧНИК!$H$3+'ПЛАН ЧЕРН ПОДЗЕМ'!C37*СПРАВОЧНИК!$I$3+'ПЛАН ЧЕРН ПОДЗЕМ'!D37*СПРАВОЧНИК!$J$3+'ПЛАН ЧЕРН ПОДЗЕМ'!E37*СПРАВОЧНИК!$H$4+'ПЛАН ЧЕРН ПОДЗЕМ'!F37*СПРАВОЧНИК!$I$4+'ПЛАН ЧЕРН ПОДЗЕМ'!G37*СПРАВОЧНИК!$J$4+'ПЛАН ЧЕРН ПОДЗЕМ'!H37*СПРАВОЧНИК!$H$5+'ПЛАН ЧЕРН ПОДЗЕМ'!I37*СПРАВОЧНИК!$I$5+'ПЛАН ЧЕРН ПОДЗЕМ'!J37*СПРАВОЧНИК!$J$5+'ПЛАН ЧЕРН ПОДЗЕМ'!K37*СПРАВОЧНИК!$H$6+'ПЛАН ЧЕРН ПОДЗЕМ'!L37*СПРАВОЧНИК!$I$6+'ПЛАН ЧЕРН ПОДЗЕМ'!M37*СПРАВОЧНИК!$J$6+'ПЛАН ЧЕРН ПОДЗЕМ'!N37*СПРАВОЧНИК!$H$7+'ПЛАН ЧЕРН ПОДЗЕМ'!O37*СПРАВОЧНИК!$I$7+'ПЛАН ЧЕРН ПОДЗЕМ'!P37*СПРАВОЧНИК!$J$7+'ПЛАН ЧЕРН ПОДЗЕМ'!Q37*СПРАВОЧНИК!$H$8+'ПЛАН ЧЕРН ПОДЗЕМ'!R37*СПРАВОЧНИК!$I$8+'ПЛАН ЧЕРН ПОДЗЕМ'!S37*СПРАВОЧНИК!$J$8</f>
        <v/>
      </c>
      <c r="J46" s="31">
        <f>('ФАКТ ЧЕРН ПОДЗЕМ'!B37)*СПРАВОЧНИК!$H$3+('ФАКТ ЧЕРН ПОДЗЕМ'!C37)*СПРАВОЧНИК!$I$3+('ФАКТ ЧЕРН ПОДЗЕМ'!D37)*СПРАВОЧНИК!$J$3+('ФАКТ ЧЕРН ПОДЗЕМ'!E37)*СПРАВОЧНИК!$H$4+('ФАКТ ЧЕРН ПОДЗЕМ'!F37)*СПРАВОЧНИК!$I$4+('ФАКТ ЧЕРН ПОДЗЕМ'!G37)*СПРАВОЧНИК!$J$4+('ФАКТ ЧЕРН ПОДЗЕМ'!H37)*СПРАВОЧНИК!$H$5+('ФАКТ ЧЕРН ПОДЗЕМ'!I37)*СПРАВОЧНИК!$I$5+('ФАКТ ЧЕРН ПОДЗЕМ'!J37)*СПРАВОЧНИК!$J$5+('ФАКТ ЧЕРН ПОДЗЕМ'!K37)*СПРАВОЧНИК!$H$6+('ФАКТ ЧЕРН ПОДЗЕМ'!L37)*СПРАВОЧНИК!$I$6+('ФАКТ ЧЕРН ПОДЗЕМ'!M37)*СПРАВОЧНИК!$J$6+('ФАКТ ЧЕРН ПОДЗЕМ'!N37)*СПРАВОЧНИК!$H$7+('ФАКТ ЧЕРН ПОДЗЕМ'!O37)*СПРАВОЧНИК!$I$7+('ФАКТ ЧЕРН ПОДЗЕМ'!P37)*СПРАВОЧНИК!$J$7+('ФАКТ ЧЕРН ПОДЗЕМ'!Q37)*СПРАВОЧНИК!$H$8+('ФАКТ ЧЕРН ПОДЗЕМ'!R37)*СПРАВОЧНИК!$I$8+('ФАКТ ЧЕРН ПОДЗЕМ'!S37)*СПРАВОЧНИК!$J$8</f>
        <v/>
      </c>
      <c r="K46" s="34" t="n"/>
      <c r="N46" s="152">
        <f>N45+7</f>
        <v/>
      </c>
      <c r="O46" s="17">
        <f>'ПЛАН ЧИСТ ПОДЗЕМ'!B37*СПРАВОЧНИК!$L$3+'ПЛАН ЧИСТ ПОДЗЕМ'!C37*СПРАВОЧНИК!$M$3+'ПЛАН ЧИСТ ПОДЗЕМ'!D37*СПРАВОЧНИК!$N$3+'ПЛАН ЧИСТ ПОДЗЕМ'!E37*СПРАВОЧНИК!$O$3+'ПЛАН ЧИСТ ПОДЗЕМ'!F37*СПРАВОЧНИК!$P$3+'ПЛАН ЧИСТ ПОДЗЕМ'!G37*СПРАВОЧНИК!$L$4+'ПЛАН ЧИСТ ПОДЗЕМ'!H37*СПРАВОЧНИК!$M$4+'ПЛАН ЧИСТ ПОДЗЕМ'!I37*СПРАВОЧНИК!$N$4+'ПЛАН ЧИСТ ПОДЗЕМ'!J37*СПРАВОЧНИК!$O$4+'ПЛАН ЧИСТ ПОДЗЕМ'!K37*СПРАВОЧНИК!$P$4+'ПЛАН ЧИСТ ПОДЗЕМ'!L37*СПРАВОЧНИК!$L$5+'ПЛАН ЧИСТ ПОДЗЕМ'!M37*СПРАВОЧНИК!$M$5+'ПЛАН ЧИСТ ПОДЗЕМ'!N37*СПРАВОЧНИК!$N$5+'ПЛАН ЧИСТ ПОДЗЕМ'!O37*СПРАВОЧНИК!$O$5+'ПЛАН ЧИСТ ПОДЗЕМ'!P37*СПРАВОЧНИК!$P$5+'ПЛАН ЧИСТ ПОДЗЕМ'!Q37*СПРАВОЧНИК!$L$6+'ПЛАН ЧИСТ ПОДЗЕМ'!R37*СПРАВОЧНИК!$M$6+'ПЛАН ЧИСТ ПОДЗЕМ'!S37*СПРАВОЧНИК!$N$6+'ПЛАН ЧИСТ ПОДЗЕМ'!T37*СПРАВОЧНИК!$O$6+'ПЛАН ЧИСТ ПОДЗЕМ'!U37*СПРАВОЧНИК!$P$6+'ПЛАН ЧИСТ ПОДЗЕМ'!V37*СПРАВОЧНИК!$L$7+'ПЛАН ЧИСТ ПОДЗЕМ'!W37*СПРАВОЧНИК!$M$7+'ПЛАН ЧИСТ ПОДЗЕМ'!X37*СПРАВОЧНИК!$N$7+'ПЛАН ЧИСТ ПОДЗЕМ'!Y37*СПРАВОЧНИК!$O$7+'ПЛАН ЧИСТ ПОДЗЕМ'!Z37*СПРАВОЧНИК!$P$7+'ПЛАН ЧИСТ ПОДЗЕМ'!AA37*СПРАВОЧНИК!$L$8+'ПЛАН ЧИСТ ПОДЗЕМ'!AB37*СПРАВОЧНИК!$M$8+'ПЛАН ЧИСТ ПОДЗЕМ'!AC37*СПРАВОЧНИК!$N$8+'ПЛАН ЧИСТ ПОДЗЕМ'!AD37*СПРАВОЧНИК!$O$8+'ПЛАН ЧИСТ ПОДЗЕМ'!AE37*СПРАВОЧНИК!$P$8</f>
        <v/>
      </c>
      <c r="P46" s="31">
        <f>('ФАКТ ЧИСТ ПОДЗЕМ'!B37)*СПРАВОЧНИК!$L$3+('ФАКТ ЧИСТ ПОДЗЕМ'!C37)*СПРАВОЧНИК!$M$3+('ФАКТ ЧИСТ ПОДЗЕМ'!D37)*СПРАВОЧНИК!$N$3+('ФАКТ ЧИСТ ПОДЗЕМ'!E37)*СПРАВОЧНИК!$O$3+('ФАКТ ЧИСТ ПОДЗЕМ'!F37)*СПРАВОЧНИК!$P$3+('ФАКТ ЧИСТ ПОДЗЕМ'!G37)*СПРАВОЧНИК!$L$4+('ФАКТ ЧИСТ ПОДЗЕМ'!H37)*СПРАВОЧНИК!$M$4+('ФАКТ ЧИСТ ПОДЗЕМ'!I37)*СПРАВОЧНИК!$N$4+('ФАКТ ЧИСТ ПОДЗЕМ'!J37)*СПРАВОЧНИК!$O$4+('ФАКТ ЧИСТ ПОДЗЕМ'!K37)*СПРАВОЧНИК!$P$4+('ФАКТ ЧИСТ ПОДЗЕМ'!L37)*СПРАВОЧНИК!$L$5+('ФАКТ ЧИСТ ПОДЗЕМ'!M37)*СПРАВОЧНИК!$M$5+('ФАКТ ЧИСТ ПОДЗЕМ'!N37)*СПРАВОЧНИК!$N$5+('ФАКТ ЧИСТ ПОДЗЕМ'!O37)*СПРАВОЧНИК!$O$5+('ФАКТ ЧИСТ ПОДЗЕМ'!P37)*СПРАВОЧНИК!$P$5+('ФАКТ ЧИСТ ПОДЗЕМ'!Q37)*СПРАВОЧНИК!$L$6+('ФАКТ ЧИСТ ПОДЗЕМ'!R37)*СПРАВОЧНИК!$M$6+('ФАКТ ЧИСТ ПОДЗЕМ'!S37)*СПРАВОЧНИК!$N$6+('ФАКТ ЧИСТ ПОДЗЕМ'!T37)*СПРАВОЧНИК!$O$6+('ФАКТ ЧИСТ ПОДЗЕМ'!U37)*СПРАВОЧНИК!$P$6+('ФАКТ ЧИСТ ПОДЗЕМ'!V37)*СПРАВОЧНИК!$L$7+('ФАКТ ЧИСТ ПОДЗЕМ'!W37)*СПРАВОЧНИК!$M$7+('ФАКТ ЧИСТ ПОДЗЕМ'!X37)*СПРАВОЧНИК!$N$7+('ФАКТ ЧИСТ ПОДЗЕМ'!Y37)*СПРАВОЧНИК!$O$7+('ФАКТ ЧИСТ ПОДЗЕМ'!Z37)*СПРАВОЧНИК!$P$7+('ФАКТ ЧИСТ ПОДЗЕМ'!AA37)*СПРАВОЧНИК!$L$8+('ФАКТ ЧИСТ ПОДЗЕМ'!AB37)*СПРАВОЧНИК!$M$8+('ФАКТ ЧИСТ ПОДЗЕМ'!AC37)*СПРАВОЧНИК!$N$8+('ФАКТ ЧИСТ ПОДЗЕМ'!AD37)*СПРАВОЧНИК!$O$8+('ФАКТ ЧИСТ ПОДЗЕМ'!AE37)*СПРАВОЧНИК!$P$8</f>
        <v/>
      </c>
      <c r="Q46" s="34" t="n"/>
      <c r="T46" s="152">
        <f>T45+7</f>
        <v/>
      </c>
      <c r="U46" s="17">
        <f>СПРАВОЧНИК!$E$9*('ПЛАН ЧЕРН К1'!B37*СПРАВОЧНИК!$H$9+'ПЛАН ЧЕРН К1'!C37*СПРАВОЧНИК!$I$9+'ПЛАН ЧЕРН К1'!D37*СПРАВОЧНИК!$J$9)+СПРАВОЧНИК!$F$9*('ПЛАН ЧИСТ К1'!B37*СПРАВОЧНИК!$L$9+'ПЛАН ЧИСТ К1'!C37*СПРАВОЧНИК!$M$9+'ПЛАН ЧИСТ К1'!D37*СПРАВОЧНИК!$N$9+'ПЛАН ЧИСТ К1'!E37*СПРАВОЧНИК!$O$9+'ПЛАН ЧИСТ К1'!F37*СПРАВОЧНИК!$P$9)+СПРАВОЧНИК!$E$10*('ПЛАН ЧЕРН К1'!E37*СПРАВОЧНИК!$H$10+'ПЛАН ЧЕРН К1'!F37*СПРАВОЧНИК!$I$10+'ПЛАН ЧЕРН К1'!G37*СПРАВОЧНИК!$J$10)+СПРАВОЧНИК!$F$10*('ПЛАН ЧИСТ К1'!G37*СПРАВОЧНИК!$L$10+'ПЛАН ЧИСТ К1'!H37*СПРАВОЧНИК!$M$10+'ПЛАН ЧИСТ К1'!I37*СПРАВОЧНИК!$N$10+'ПЛАН ЧИСТ К1'!J37*СПРАВОЧНИК!$O$10+'ПЛАН ЧИСТ К1'!K37*СПРАВОЧНИК!$P$10)+СПРАВОЧНИК!$E$11*('ПЛАН ЧЕРН К1'!H37*СПРАВОЧНИК!$H$11+'ПЛАН ЧЕРН К1'!I37*СПРАВОЧНИК!$I$11+'ПЛАН ЧЕРН К1'!J37*СПРАВОЧНИК!$J$11)+СПРАВОЧНИК!$F$11*('ПЛАН ЧИСТ К1'!L37*СПРАВОЧНИК!$L$11+'ПЛАН ЧИСТ К1'!M37*СПРАВОЧНИК!$M$11+'ПЛАН ЧИСТ К1'!N37*СПРАВОЧНИК!$N$11+'ПЛАН ЧИСТ К1'!O37*СПРАВОЧНИК!$O$11+'ПЛАН ЧИСТ К1'!P37*СПРАВОЧНИК!$P$11)+СПРАВОЧНИК!$E$12*('ПЛАН ЧЕРН К1'!K37*СПРАВОЧНИК!$H$12+'ПЛАН ЧЕРН К1'!L37*СПРАВОЧНИК!$I$12+'ПЛАН ЧЕРН К1'!M37*СПРАВОЧНИК!$J$12)+СПРАВОЧНИК!$F$12*('ПЛАН ЧИСТ К1'!Q37*СПРАВОЧНИК!$L$12+'ПЛАН ЧИСТ К1'!R37*СПРАВОЧНИК!$M$12+'ПЛАН ЧИСТ К1'!S37*СПРАВОЧНИК!$N$12+'ПЛАН ЧИСТ К1'!T37*СПРАВОЧНИК!$O$12+'ПЛАН ЧИСТ К1'!U37*СПРАВОЧНИК!$P$12)+СПРАВОЧНИК!$E$13*('ПЛАН ЧЕРН К1'!N37*СПРАВОЧНИК!$H$13+'ПЛАН ЧЕРН К1'!O37*СПРАВОЧНИК!$I$13+'ПЛАН ЧЕРН К1'!P37*СПРАВОЧНИК!$J$13)+СПРАВОЧНИК!$F$13*('ПЛАН ЧИСТ К1'!V37*СПРАВОЧНИК!$L$13+'ПЛАН ЧИСТ К1'!W37*СПРАВОЧНИК!$M$13+'ПЛАН ЧИСТ К1'!X37*СПРАВОЧНИК!$N$13+'ПЛАН ЧИСТ К1'!Y37*СПРАВОЧНИК!$O$13+'ПЛАН ЧИСТ К1'!Z37*СПРАВОЧНИК!$P$13)+СПРАВОЧНИК!$E$14*('ПЛАН ЧЕРН К1'!Q37*СПРАВОЧНИК!$H$14+'ПЛАН ЧЕРН К1'!R37*СПРАВОЧНИК!$I$14+'ПЛАН ЧЕРН К1'!S37*СПРАВОЧНИК!$J$14)+СПРАВОЧНИК!$F$14*('ПЛАН ЧИСТ К1'!AA37*СПРАВОЧНИК!$L$14+'ПЛАН ЧИСТ К1'!AB37*СПРАВОЧНИК!$M$14+'ПЛАН ЧИСТ К1'!AC37*СПРАВОЧНИК!$N$14+'ПЛАН ЧИСТ К1'!AD37*СПРАВОЧНИК!$O$14+'ПЛАН ЧИСТ К1'!AE37*СПРАВОЧНИК!$P$14)+СПРАВОЧНИК!$E$15*('ПЛАН ЧЕРН К1'!T37*СПРАВОЧНИК!$H$15+'ПЛАН ЧЕРН К1'!U37*СПРАВОЧНИК!$I$15+'ПЛАН ЧЕРН К1'!V37*СПРАВОЧНИК!$J$15)+СПРАВОЧНИК!$F$15*('ПЛАН ЧИСТ К1'!AF37*СПРАВОЧНИК!$L$15+'ПЛАН ЧИСТ К1'!AG37*СПРАВОЧНИК!$M$15+'ПЛАН ЧИСТ К1'!AH37*СПРАВОЧНИК!$N$15+'ПЛАН ЧИСТ К1'!AI37*СПРАВОЧНИК!$O$15+'ПЛАН ЧИСТ К1'!AJ37*СПРАВОЧНИК!$P$15)</f>
        <v/>
      </c>
      <c r="V46" s="31">
        <f>СПРАВОЧНИК!$E$9*('ФАКТ ЧЕРН К1'!B37*СПРАВОЧНИК!$H$9+'ФАКТ ЧЕРН К1'!C37*СПРАВОЧНИК!$I$9+'ФАКТ ЧЕРН К1'!D37*СПРАВОЧНИК!$J$9)+СПРАВОЧНИК!$F$9*('ФАКТ ЧИСТ К1'!B37*СПРАВОЧНИК!$L$9+'ФАКТ ЧИСТ К1'!C37*СПРАВОЧНИК!$M$9+'ФАКТ ЧИСТ К1'!D37*СПРАВОЧНИК!$N$9+'ФАКТ ЧИСТ К1'!E37*СПРАВОЧНИК!$O$9+'ФАКТ ЧИСТ К1'!F37*СПРАВОЧНИК!$P$9)+СПРАВОЧНИК!$E$10*('ФАКТ ЧЕРН К1'!E37*СПРАВОЧНИК!$H$10+'ФАКТ ЧЕРН К1'!F37*СПРАВОЧНИК!$I$10+'ФАКТ ЧЕРН К1'!G37*СПРАВОЧНИК!$J$10)+СПРАВОЧНИК!$F$10*('ФАКТ ЧИСТ К1'!G37*СПРАВОЧНИК!$L$10+'ФАКТ ЧИСТ К1'!H37*СПРАВОЧНИК!$M$10+'ФАКТ ЧИСТ К1'!I37*СПРАВОЧНИК!$N$10+'ФАКТ ЧИСТ К1'!J37*СПРАВОЧНИК!$O$10+'ФАКТ ЧИСТ К1'!K37*СПРАВОЧНИК!$P$10)+СПРАВОЧНИК!$E$11*('ФАКТ ЧЕРН К1'!H37*СПРАВОЧНИК!$H$11+'ФАКТ ЧЕРН К1'!I37*СПРАВОЧНИК!$I$11+'ФАКТ ЧЕРН К1'!J37*СПРАВОЧНИК!$J$11)+СПРАВОЧНИК!$F$11*('ФАКТ ЧИСТ К1'!L37*СПРАВОЧНИК!$L$11+'ФАКТ ЧИСТ К1'!M37*СПРАВОЧНИК!$M$11+'ФАКТ ЧИСТ К1'!N37*СПРАВОЧНИК!$N$11+'ФАКТ ЧИСТ К1'!O37*СПРАВОЧНИК!$O$11+'ФАКТ ЧИСТ К1'!P37*СПРАВОЧНИК!$P$11)+СПРАВОЧНИК!$E$12*('ФАКТ ЧЕРН К1'!K37*СПРАВОЧНИК!$H$12+'ФАКТ ЧЕРН К1'!L37*СПРАВОЧНИК!$I$12+'ФАКТ ЧЕРН К1'!M37*СПРАВОЧНИК!$J$12)+СПРАВОЧНИК!$F$12*('ФАКТ ЧИСТ К1'!Q37*СПРАВОЧНИК!$L$12+'ФАКТ ЧИСТ К1'!R37*СПРАВОЧНИК!$M$12+'ФАКТ ЧИСТ К1'!S37*СПРАВОЧНИК!$N$12+'ФАКТ ЧИСТ К1'!T37*СПРАВОЧНИК!$O$12+'ФАКТ ЧИСТ К1'!U37*СПРАВОЧНИК!$P$12)+СПРАВОЧНИК!$E$13*('ФАКТ ЧЕРН К1'!N37*СПРАВОЧНИК!$H$13+'ФАКТ ЧЕРН К1'!O37*СПРАВОЧНИК!$I$13+'ФАКТ ЧЕРН К1'!P37*СПРАВОЧНИК!$J$13)+СПРАВОЧНИК!$F$13*('ФАКТ ЧИСТ К1'!V37*СПРАВОЧНИК!$L$13+'ФАКТ ЧИСТ К1'!W37*СПРАВОЧНИК!$M$13+'ФАКТ ЧИСТ К1'!X37*СПРАВОЧНИК!$N$13+'ФАКТ ЧИСТ К1'!Y37*СПРАВОЧНИК!$O$13+'ФАКТ ЧИСТ К1'!Z37*СПРАВОЧНИК!$P$13)+СПРАВОЧНИК!$E$14*('ФАКТ ЧЕРН К1'!Q37*СПРАВОЧНИК!$H$14+'ФАКТ ЧЕРН К1'!R37*СПРАВОЧНИК!$I$14+'ФАКТ ЧЕРН К1'!S37*СПРАВОЧНИК!$J$14)+СПРАВОЧНИК!$F$14*('ФАКТ ЧИСТ К1'!AA37*СПРАВОЧНИК!$L$14+'ФАКТ ЧИСТ К1'!AB37*СПРАВОЧНИК!$M$14+'ФАКТ ЧИСТ К1'!AC37*СПРАВОЧНИК!$N$14+'ФАКТ ЧИСТ К1'!AD37*СПРАВОЧНИК!$O$14+'ФАКТ ЧИСТ К1'!AE37*СПРАВОЧНИК!$P$14)+СПРАВОЧНИК!$E$15*('ФАКТ ЧЕРН К1'!T37*СПРАВОЧНИК!$H$15+'ФАКТ ЧЕРН К1'!U37*СПРАВОЧНИК!$I$15+'ФАКТ ЧЕРН К1'!V37*СПРАВОЧНИК!$J$15)+СПРАВОЧНИК!$F$15*('ФАКТ ЧИСТ К1'!AF37*СПРАВОЧНИК!$L$15+'ФАКТ ЧИСТ К1'!AG37*СПРАВОЧНИК!$M$15+'ФАКТ ЧИСТ К1'!AH37*СПРАВОЧНИК!$N$15+'ФАКТ ЧИСТ К1'!AI37*СПРАВОЧНИК!$O$15+'ФАКТ ЧИСТ К1'!AJ37*СПРАВОЧНИК!$P$15)</f>
        <v/>
      </c>
      <c r="W46" s="34" t="n"/>
      <c r="Z46" s="152">
        <f>Z45+7</f>
        <v/>
      </c>
      <c r="AA46" s="17">
        <f>'ПЛАН ЧЕРН К1'!B37*СПРАВОЧНИК!$H$9+'ПЛАН ЧЕРН К1'!C37*СПРАВОЧНИК!$I$9+'ПЛАН ЧЕРН К1'!D37*СПРАВОЧНИК!$J$9+'ПЛАН ЧЕРН К1'!E37*СПРАВОЧНИК!$H$10+'ПЛАН ЧЕРН К1'!F37*СПРАВОЧНИК!$I$10+'ПЛАН ЧЕРН К1'!G37*СПРАВОЧНИК!$J$10+'ПЛАН ЧЕРН К1'!H37*СПРАВОЧНИК!$H$11+'ПЛАН ЧЕРН К1'!I37*СПРАВОЧНИК!$I$11+'ПЛАН ЧЕРН К1'!J37*СПРАВОЧНИК!$J$11+'ПЛАН ЧЕРН К1'!K37*СПРАВОЧНИК!$H$12+'ПЛАН ЧЕРН К1'!L37*СПРАВОЧНИК!$I$12+'ПЛАН ЧЕРН К1'!M37*СПРАВОЧНИК!$J$12+'ПЛАН ЧЕРН К1'!N37*СПРАВОЧНИК!$H$13+'ПЛАН ЧЕРН К1'!O37*СПРАВОЧНИК!$I$13+'ПЛАН ЧЕРН К1'!P37*СПРАВОЧНИК!$J$13+'ПЛАН ЧЕРН К1'!Q37*СПРАВОЧНИК!$H$14+'ПЛАН ЧЕРН К1'!R37*СПРАВОЧНИК!$I$14+'ПЛАН ЧЕРН К1'!S37*СПРАВОЧНИК!$J$14+'ПЛАН ЧЕРН К1'!T37*СПРАВОЧНИК!$H$15+'ПЛАН ЧЕРН К1'!U37*СПРАВОЧНИК!$I$15+'ПЛАН ЧЕРН К1'!V37*СПРАВОЧНИК!$J$15</f>
        <v/>
      </c>
      <c r="AB46" s="31">
        <f>('ФАКТ ЧЕРН К1'!B37)*СПРАВОЧНИК!$H$9+('ФАКТ ЧЕРН К1'!C37)*СПРАВОЧНИК!$I$9+('ФАКТ ЧЕРН К1'!D37)*СПРАВОЧНИК!$J$9+('ФАКТ ЧЕРН К1'!E37)*СПРАВОЧНИК!$H$10+('ФАКТ ЧЕРН К1'!F37)*СПРАВОЧНИК!$I$10+('ФАКТ ЧЕРН К1'!G37)*СПРАВОЧНИК!$J$10+('ФАКТ ЧЕРН К1'!H37)*СПРАВОЧНИК!$H$11+('ФАКТ ЧЕРН К1'!I37)*СПРАВОЧНИК!$I$11+('ФАКТ ЧЕРН К1'!J37)*СПРАВОЧНИК!$J$11+('ФАКТ ЧЕРН К1'!K37)*СПРАВОЧНИК!$H$12+('ФАКТ ЧЕРН К1'!L37)*СПРАВОЧНИК!$I$12+('ФАКТ ЧЕРН К1'!M37)*СПРАВОЧНИК!$J$12+('ФАКТ ЧЕРН К1'!N37)*СПРАВОЧНИК!$H$13+('ФАКТ ЧЕРН К1'!O37)*СПРАВОЧНИК!$I$13+('ФАКТ ЧЕРН К1'!P37)*СПРАВОЧНИК!$J$13+('ФАКТ ЧЕРН К1'!Q37)*СПРАВОЧНИК!$H$14+('ФАКТ ЧЕРН К1'!R37)*СПРАВОЧНИК!$I$14+('ФАКТ ЧЕРН К1'!S37)*СПРАВОЧНИК!$J$14+('ФАКТ ЧЕРН К1'!T37)*СПРАВОЧНИК!$H$15+('ФАКТ ЧЕРН К1'!U37)*СПРАВОЧНИК!$I$15+('ФАКТ ЧЕРН К1'!V37)*СПРАВОЧНИК!$J$15</f>
        <v/>
      </c>
      <c r="AC46" s="34" t="n"/>
      <c r="AF46" s="152">
        <f>AF45+7</f>
        <v/>
      </c>
      <c r="AG46" s="17">
        <f>'ПЛАН ЧИСТ К1'!B37*СПРАВОЧНИК!$L$9+'ПЛАН ЧИСТ К1'!C37*СПРАВОЧНИК!$M$9+'ПЛАН ЧИСТ К1'!D37*СПРАВОЧНИК!$N$9+'ПЛАН ЧИСТ К1'!E37*СПРАВОЧНИК!$O$9+'ПЛАН ЧИСТ К1'!F37*СПРАВОЧНИК!$P$9+'ПЛАН ЧИСТ К1'!G37*СПРАВОЧНИК!$L$10+'ПЛАН ЧИСТ К1'!H37*СПРАВОЧНИК!$M$10+'ПЛАН ЧИСТ К1'!I37*СПРАВОЧНИК!$N$10+'ПЛАН ЧИСТ К1'!J37*СПРАВОЧНИК!$O$10+'ПЛАН ЧИСТ К1'!K37*СПРАВОЧНИК!$P$10+'ПЛАН ЧИСТ К1'!L37*СПРАВОЧНИК!$L$11+'ПЛАН ЧИСТ К1'!M37*СПРАВОЧНИК!$M$11+'ПЛАН ЧИСТ К1'!N37*СПРАВОЧНИК!$N$11+'ПЛАН ЧИСТ К1'!O37*СПРАВОЧНИК!$O$11+'ПЛАН ЧИСТ К1'!P37*СПРАВОЧНИК!$P$11+'ПЛАН ЧИСТ К1'!Q37*СПРАВОЧНИК!$L$12+'ПЛАН ЧИСТ К1'!R37*СПРАВОЧНИК!$M$12+'ПЛАН ЧИСТ К1'!S37*СПРАВОЧНИК!$N$12+'ПЛАН ЧИСТ К1'!T37*СПРАВОЧНИК!$O$12+'ПЛАН ЧИСТ К1'!U37*СПРАВОЧНИК!$P$12+'ПЛАН ЧИСТ К1'!V37*СПРАВОЧНИК!$L$13+'ПЛАН ЧИСТ К1'!W37*СПРАВОЧНИК!$M$13+'ПЛАН ЧИСТ К1'!X37*СПРАВОЧНИК!$N$13+'ПЛАН ЧИСТ К1'!Y37*СПРАВОЧНИК!$O$13+'ПЛАН ЧИСТ К1'!Z37*СПРАВОЧНИК!$P$13+'ПЛАН ЧИСТ К1'!AA37*СПРАВОЧНИК!$L$14+'ПЛАН ЧИСТ К1'!AB37*СПРАВОЧНИК!$M$14+'ПЛАН ЧИСТ К1'!AC37*СПРАВОЧНИК!$N$14+'ПЛАН ЧИСТ К1'!AD37*СПРАВОЧНИК!$O$14+'ПЛАН ЧИСТ К1'!AE37*СПРАВОЧНИК!$P$14+'ПЛАН ЧИСТ К1'!AF37*СПРАВОЧНИК!$L$15+'ПЛАН ЧИСТ К1'!AG37*СПРАВОЧНИК!$M$15+'ПЛАН ЧИСТ К1'!AH37*СПРАВОЧНИК!$N$15+'ПЛАН ЧИСТ К1'!AI37*СПРАВОЧНИК!$O$15+'ПЛАН ЧИСТ К1'!AJ37*СПРАВОЧНИК!$P$15</f>
        <v/>
      </c>
      <c r="AH46" s="31">
        <f>('ФАКТ ЧИСТ К1'!B37)*СПРАВОЧНИК!$L$9+('ФАКТ ЧИСТ К1'!C37)*СПРАВОЧНИК!$M$9+('ФАКТ ЧИСТ К1'!D37)*СПРАВОЧНИК!$N$9+('ФАКТ ЧИСТ К1'!E37)*СПРАВОЧНИК!$O$9+('ФАКТ ЧИСТ К1'!F37)*СПРАВОЧНИК!$P$9+('ФАКТ ЧИСТ К1'!G37)*СПРАВОЧНИК!$L$10+('ФАКТ ЧИСТ К1'!H37)*СПРАВОЧНИК!$M$10+('ФАКТ ЧИСТ К1'!I37)*СПРАВОЧНИК!$N$10+('ФАКТ ЧИСТ К1'!J37)*СПРАВОЧНИК!$O$10+('ФАКТ ЧИСТ К1'!K37)*СПРАВОЧНИК!$P$10+('ФАКТ ЧИСТ К1'!L37)*СПРАВОЧНИК!$L$11+('ФАКТ ЧИСТ К1'!M37)*СПРАВОЧНИК!$M$11+('ФАКТ ЧИСТ К1'!N37)*СПРАВОЧНИК!$N$11+('ФАКТ ЧИСТ К1'!O37)*СПРАВОЧНИК!$O$11+('ФАКТ ЧИСТ К1'!P37)*СПРАВОЧНИК!$P$11+('ФАКТ ЧИСТ К1'!Q37)*СПРАВОЧНИК!$L$12+('ФАКТ ЧИСТ К1'!R37)*СПРАВОЧНИК!$M$12+('ФАКТ ЧИСТ К1'!S37)*СПРАВОЧНИК!$N$12+('ФАКТ ЧИСТ К1'!T37)*СПРАВОЧНИК!$O$12+('ФАКТ ЧИСТ К1'!U37)*СПРАВОЧНИК!$P$12+('ФАКТ ЧИСТ К1'!V37)*СПРАВОЧНИК!$L$13+('ФАКТ ЧИСТ К1'!W37)*СПРАВОЧНИК!$M$13+('ФАКТ ЧИСТ К1'!X37)*СПРАВОЧНИК!$N$13+('ФАКТ ЧИСТ К1'!Y37)*СПРАВОЧНИК!$O$13+('ФАКТ ЧИСТ К1'!Z37)*СПРАВОЧНИК!$P$13+('ФАКТ ЧИСТ К1'!AA37)*СПРАВОЧНИК!$L$14+('ФАКТ ЧИСТ К1'!AB37)*СПРАВОЧНИК!$M$14+('ФАКТ ЧИСТ К1'!AC37)*СПРАВОЧНИК!$N$14+('ФАКТ ЧИСТ К1'!AD37)*СПРАВОЧНИК!$O$14+('ФАКТ ЧИСТ К1'!AE37)*СПРАВОЧНИК!$P$14+('ФАКТ ЧИСТ К1'!AF37)*СПРАВОЧНИК!$L$15+('ФАКТ ЧИСТ К1'!AG37)*СПРАВОЧНИК!$M$15+('ФАКТ ЧИСТ К1'!AH37)*СПРАВОЧНИК!$N$15+('ФАКТ ЧИСТ К1'!AI37)*СПРАВОЧНИК!$O$15+('ФАКТ ЧИСТ К1'!AJ37)*СПРАВОЧНИК!$P$15</f>
        <v/>
      </c>
      <c r="AI46" s="34" t="n"/>
      <c r="AL46" s="152">
        <f>AL45+7</f>
        <v/>
      </c>
      <c r="AM46" s="17">
        <f>СПРАВОЧНИК!$E$9*('ПЛАН ЧЕРН К2'!B37*СПРАВОЧНИК!$H$9+'ПЛАН ЧЕРН К2'!C37*СПРАВОЧНИК!$I$9+'ПЛАН ЧЕРН К2'!D37*СПРАВОЧНИК!$J$9)+СПРАВОЧНИК!$F$9*('ПЛАН ЧИСТ К2'!B37*СПРАВОЧНИК!$L$9+'ПЛАН ЧИСТ К2'!C37*СПРАВОЧНИК!$M$9+'ПЛАН ЧИСТ К2'!D37*СПРАВОЧНИК!$N$9+'ПЛАН ЧИСТ К2'!E37*СПРАВОЧНИК!$O$9+'ПЛАН ЧИСТ К2'!F37*СПРАВОЧНИК!$P$9)+СПРАВОЧНИК!$E$10*('ПЛАН ЧЕРН К2'!E37*СПРАВОЧНИК!$H$10+'ПЛАН ЧЕРН К2'!F37*СПРАВОЧНИК!$I$10+'ПЛАН ЧЕРН К2'!G37*СПРАВОЧНИК!$J$10)+СПРАВОЧНИК!$F$10*('ПЛАН ЧИСТ К2'!G37*СПРАВОЧНИК!$L$10+'ПЛАН ЧИСТ К2'!H37*СПРАВОЧНИК!$M$10+'ПЛАН ЧИСТ К2'!I37*СПРАВОЧНИК!$N$10+'ПЛАН ЧИСТ К2'!J37*СПРАВОЧНИК!$O$10+'ПЛАН ЧИСТ К2'!K37*СПРАВОЧНИК!$P$10)+СПРАВОЧНИК!$E$11*('ПЛАН ЧЕРН К2'!H37*СПРАВОЧНИК!$H$11+'ПЛАН ЧЕРН К2'!I37*СПРАВОЧНИК!$I$11+'ПЛАН ЧЕРН К2'!J37*СПРАВОЧНИК!$J$11)+СПРАВОЧНИК!$F$11*('ПЛАН ЧИСТ К2'!L37*СПРАВОЧНИК!$L$11+'ПЛАН ЧИСТ К2'!M37*СПРАВОЧНИК!$M$11+'ПЛАН ЧИСТ К2'!N37*СПРАВОЧНИК!$N$11+'ПЛАН ЧИСТ К2'!O37*СПРАВОЧНИК!$O$11+'ПЛАН ЧИСТ К2'!P37*СПРАВОЧНИК!$P$11)+СПРАВОЧНИК!$E$12*('ПЛАН ЧЕРН К2'!K37*СПРАВОЧНИК!$H$12+'ПЛАН ЧЕРН К2'!L37*СПРАВОЧНИК!$I$12+'ПЛАН ЧЕРН К2'!M37*СПРАВОЧНИК!$J$12)+СПРАВОЧНИК!$F$12*('ПЛАН ЧИСТ К2'!Q37*СПРАВОЧНИК!$L$12+'ПЛАН ЧИСТ К2'!R37*СПРАВОЧНИК!$M$12+'ПЛАН ЧИСТ К2'!S37*СПРАВОЧНИК!$N$12+'ПЛАН ЧИСТ К2'!T37*СПРАВОЧНИК!$O$12+'ПЛАН ЧИСТ К2'!U37*СПРАВОЧНИК!$P$12)+СПРАВОЧНИК!$E$13*('ПЛАН ЧЕРН К2'!N37*СПРАВОЧНИК!$H$13+'ПЛАН ЧЕРН К2'!O37*СПРАВОЧНИК!$I$13+'ПЛАН ЧЕРН К2'!P37*СПРАВОЧНИК!$J$13)+СПРАВОЧНИК!$F$13*('ПЛАН ЧИСТ К2'!V37*СПРАВОЧНИК!$L$13+'ПЛАН ЧИСТ К2'!W37*СПРАВОЧНИК!$M$13+'ПЛАН ЧИСТ К2'!X37*СПРАВОЧНИК!$N$13+'ПЛАН ЧИСТ К2'!Y37*СПРАВОЧНИК!$O$13+'ПЛАН ЧИСТ К2'!Z37*СПРАВОЧНИК!$P$13)+СПРАВОЧНИК!$E$14*('ПЛАН ЧЕРН К2'!Q37*СПРАВОЧНИК!$H$14+'ПЛАН ЧЕРН К2'!R37*СПРАВОЧНИК!$I$14+'ПЛАН ЧЕРН К2'!S37*СПРАВОЧНИК!$J$14)+СПРАВОЧНИК!$F$14*('ПЛАН ЧИСТ К2'!AA37*СПРАВОЧНИК!$L$14+'ПЛАН ЧИСТ К2'!AB37*СПРАВОЧНИК!$M$14+'ПЛАН ЧИСТ К2'!AC37*СПРАВОЧНИК!$N$14+'ПЛАН ЧИСТ К2'!AD37*СПРАВОЧНИК!$O$14+'ПЛАН ЧИСТ К2'!AE37*СПРАВОЧНИК!$P$14)+СПРАВОЧНИК!$E$15*('ПЛАН ЧЕРН К2'!T37*СПРАВОЧНИК!$H$15+'ПЛАН ЧЕРН К2'!U37*СПРАВОЧНИК!$I$15+'ПЛАН ЧЕРН К2'!V37*СПРАВОЧНИК!$J$15)+СПРАВОЧНИК!$F$15*('ПЛАН ЧИСТ К2'!AF37*СПРАВОЧНИК!$L$15+'ПЛАН ЧИСТ К2'!AG37*СПРАВОЧНИК!$M$15+'ПЛАН ЧИСТ К2'!AH37*СПРАВОЧНИК!$N$15+'ПЛАН ЧИСТ К2'!AI37*СПРАВОЧНИК!$O$15+'ПЛАН ЧИСТ К2'!AJ37*СПРАВОЧНИК!$P$15)</f>
        <v/>
      </c>
      <c r="AN46" s="31">
        <f>СПРАВОЧНИК!$E$9*('ФАКТ ЧЕРН К2'!B37*СПРАВОЧНИК!$H$9+'ФАКТ ЧЕРН К2'!C37*СПРАВОЧНИК!$I$9+'ФАКТ ЧЕРН К2'!D37*СПРАВОЧНИК!$J$9)+СПРАВОЧНИК!$F$9*('ФАКТ ЧИСТ К2'!B37*СПРАВОЧНИК!$L$9+'ФАКТ ЧИСТ К2'!C37*СПРАВОЧНИК!$M$9+'ФАКТ ЧИСТ К2'!D37*СПРАВОЧНИК!$N$9+'ФАКТ ЧИСТ К2'!E37*СПРАВОЧНИК!$O$9+'ФАКТ ЧИСТ К2'!F37*СПРАВОЧНИК!$P$9)+СПРАВОЧНИК!$E$10*('ФАКТ ЧЕРН К2'!E37*СПРАВОЧНИК!$H$10+'ФАКТ ЧЕРН К2'!F37*СПРАВОЧНИК!$I$10+'ФАКТ ЧЕРН К2'!G37*СПРАВОЧНИК!$J$10)+СПРАВОЧНИК!$F$10*('ФАКТ ЧИСТ К2'!G37*СПРАВОЧНИК!$L$10+'ФАКТ ЧИСТ К2'!H37*СПРАВОЧНИК!$M$10+'ФАКТ ЧИСТ К2'!I37*СПРАВОЧНИК!$N$10+'ФАКТ ЧИСТ К2'!J37*СПРАВОЧНИК!$O$10+'ФАКТ ЧИСТ К2'!K37*СПРАВОЧНИК!$P$10)+СПРАВОЧНИК!$E$11*('ФАКТ ЧЕРН К2'!H37*СПРАВОЧНИК!$H$11+'ФАКТ ЧЕРН К2'!I37*СПРАВОЧНИК!$I$11+'ФАКТ ЧЕРН К2'!J37*СПРАВОЧНИК!$J$11)+СПРАВОЧНИК!$F$11*('ФАКТ ЧИСТ К2'!L37*СПРАВОЧНИК!$L$11+'ФАКТ ЧИСТ К2'!M37*СПРАВОЧНИК!$M$11+'ФАКТ ЧИСТ К2'!N37*СПРАВОЧНИК!$N$11+'ФАКТ ЧИСТ К2'!O37*СПРАВОЧНИК!$O$11+'ФАКТ ЧИСТ К2'!P37*СПРАВОЧНИК!$P$11)+СПРАВОЧНИК!$E$12*('ФАКТ ЧЕРН К2'!K37*СПРАВОЧНИК!$H$12+'ФАКТ ЧЕРН К2'!L37*СПРАВОЧНИК!$I$12+'ФАКТ ЧЕРН К2'!M37*СПРАВОЧНИК!$J$12)+СПРАВОЧНИК!$F$12*('ФАКТ ЧИСТ К2'!Q37*СПРАВОЧНИК!$L$12+'ФАКТ ЧИСТ К2'!R37*СПРАВОЧНИК!$M$12+'ФАКТ ЧИСТ К2'!S37*СПРАВОЧНИК!$N$12+'ФАКТ ЧИСТ К2'!T37*СПРАВОЧНИК!$O$12+'ФАКТ ЧИСТ К2'!U37*СПРАВОЧНИК!$P$12)+СПРАВОЧНИК!$E$13*('ФАКТ ЧЕРН К2'!N37*СПРАВОЧНИК!$H$13+'ФАКТ ЧЕРН К2'!O37*СПРАВОЧНИК!$I$13+'ФАКТ ЧЕРН К2'!P37*СПРАВОЧНИК!$J$13)+СПРАВОЧНИК!$F$13*('ФАКТ ЧИСТ К2'!V37*СПРАВОЧНИК!$L$13+'ФАКТ ЧИСТ К2'!W37*СПРАВОЧНИК!$M$13+'ФАКТ ЧИСТ К2'!X37*СПРАВОЧНИК!$N$13+'ФАКТ ЧИСТ К2'!Y37*СПРАВОЧНИК!$O$13+'ФАКТ ЧИСТ К2'!Z37*СПРАВОЧНИК!$P$13)+СПРАВОЧНИК!$E$14*('ФАКТ ЧЕРН К2'!Q37*СПРАВОЧНИК!$H$14+'ФАКТ ЧЕРН К2'!R37*СПРАВОЧНИК!$I$14+'ФАКТ ЧЕРН К2'!S37*СПРАВОЧНИК!$J$14)+СПРАВОЧНИК!$F$14*('ФАКТ ЧИСТ К2'!AA37*СПРАВОЧНИК!$L$14+'ФАКТ ЧИСТ К2'!AB37*СПРАВОЧНИК!$M$14+'ФАКТ ЧИСТ К2'!AC37*СПРАВОЧНИК!$N$14+'ФАКТ ЧИСТ К2'!AD37*СПРАВОЧНИК!$O$14+'ФАКТ ЧИСТ К2'!AE37*СПРАВОЧНИК!$P$14)+СПРАВОЧНИК!$E$15*('ФАКТ ЧЕРН К2'!T37*СПРАВОЧНИК!$H$15+'ФАКТ ЧЕРН К2'!U37*СПРАВОЧНИК!$I$15+'ФАКТ ЧЕРН К2'!V37*СПРАВОЧНИК!$J$15)+СПРАВОЧНИК!$F$15*('ФАКТ ЧИСТ К2'!AF37*СПРАВОЧНИК!$L$15+'ФАКТ ЧИСТ К2'!AG37*СПРАВОЧНИК!$M$15+'ФАКТ ЧИСТ К2'!AH37*СПРАВОЧНИК!$N$15+'ФАКТ ЧИСТ К2'!AI37*СПРАВОЧНИК!$O$15+'ФАКТ ЧИСТ К2'!AJ37*СПРАВОЧНИК!$P$15)</f>
        <v/>
      </c>
      <c r="AO46" s="34" t="n"/>
      <c r="AR46" s="152">
        <f>AR45+7</f>
        <v/>
      </c>
      <c r="AS46" s="17">
        <f>'ПЛАН ЧЕРН К2'!B37*СПРАВОЧНИК!$H$9+'ПЛАН ЧЕРН К2'!C37*СПРАВОЧНИК!$I$9+'ПЛАН ЧЕРН К2'!D37*СПРАВОЧНИК!$J$9+'ПЛАН ЧЕРН К2'!E37*СПРАВОЧНИК!$H$10+'ПЛАН ЧЕРН К2'!F37*СПРАВОЧНИК!$I$10+'ПЛАН ЧЕРН К2'!G37*СПРАВОЧНИК!$J$10+'ПЛАН ЧЕРН К2'!H37*СПРАВОЧНИК!$H$11+'ПЛАН ЧЕРН К2'!I37*СПРАВОЧНИК!$I$11+'ПЛАН ЧЕРН К2'!J37*СПРАВОЧНИК!$J$11+'ПЛАН ЧЕРН К2'!K37*СПРАВОЧНИК!$H$12+'ПЛАН ЧЕРН К2'!L37*СПРАВОЧНИК!$I$12+'ПЛАН ЧЕРН К2'!M37*СПРАВОЧНИК!$J$12+'ПЛАН ЧЕРН К2'!N37*СПРАВОЧНИК!$H$13+'ПЛАН ЧЕРН К2'!O37*СПРАВОЧНИК!$I$13+'ПЛАН ЧЕРН К2'!P37*СПРАВОЧНИК!$J$13+'ПЛАН ЧЕРН К2'!Q37*СПРАВОЧНИК!$H$14+'ПЛАН ЧЕРН К2'!R37*СПРАВОЧНИК!$I$14+'ПЛАН ЧЕРН К2'!S37*СПРАВОЧНИК!$J$14+'ПЛАН ЧЕРН К2'!T37*СПРАВОЧНИК!$H$15+'ПЛАН ЧЕРН К2'!U37*СПРАВОЧНИК!$I$15+'ПЛАН ЧЕРН К2'!V37*СПРАВОЧНИК!$J$15</f>
        <v/>
      </c>
      <c r="AT46" s="31">
        <f>('ФАКТ ЧЕРН К2'!B37)*СПРАВОЧНИК!$H$9+('ФАКТ ЧЕРН К2'!C37)*СПРАВОЧНИК!$I$9+('ФАКТ ЧЕРН К2'!D37)*СПРАВОЧНИК!$J$9+('ФАКТ ЧЕРН К2'!E37)*СПРАВОЧНИК!$H$10+('ФАКТ ЧЕРН К2'!F37)*СПРАВОЧНИК!$I$10+('ФАКТ ЧЕРН К2'!G37)*СПРАВОЧНИК!$J$10+('ФАКТ ЧЕРН К2'!H37)*СПРАВОЧНИК!$H$11+('ФАКТ ЧЕРН К2'!I37)*СПРАВОЧНИК!$I$11+('ФАКТ ЧЕРН К2'!J37)*СПРАВОЧНИК!$J$11+('ФАКТ ЧЕРН К2'!K37)*СПРАВОЧНИК!$H$12+('ФАКТ ЧЕРН К2'!L37)*СПРАВОЧНИК!$I$12+('ФАКТ ЧЕРН К2'!M37)*СПРАВОЧНИК!$J$12+('ФАКТ ЧЕРН К2'!N37)*СПРАВОЧНИК!$H$13+('ФАКТ ЧЕРН К2'!O37)*СПРАВОЧНИК!$I$13+('ФАКТ ЧЕРН К2'!P37)*СПРАВОЧНИК!$J$13+('ФАКТ ЧЕРН К2'!Q37)*СПРАВОЧНИК!$H$14+('ФАКТ ЧЕРН К2'!R37)*СПРАВОЧНИК!$I$14+('ФАКТ ЧЕРН К2'!S37)*СПРАВОЧНИК!$J$14+('ФАКТ ЧЕРН К2'!T37)*СПРАВОЧНИК!$H$15+('ФАКТ ЧЕРН К2'!U37)*СПРАВОЧНИК!$I$15+('ФАКТ ЧЕРН К2'!V37)*СПРАВОЧНИК!$J$15</f>
        <v/>
      </c>
      <c r="AU46" s="34" t="n"/>
      <c r="AX46" s="152">
        <f>AX45+7</f>
        <v/>
      </c>
      <c r="AY46" s="17">
        <f>'ПЛАН ЧИСТ К2'!B37*СПРАВОЧНИК!$L$9+'ПЛАН ЧИСТ К2'!C37*СПРАВОЧНИК!$M$9+'ПЛАН ЧИСТ К2'!D37*СПРАВОЧНИК!$N$9+'ПЛАН ЧИСТ К2'!E37*СПРАВОЧНИК!$O$9+'ПЛАН ЧИСТ К2'!F37*СПРАВОЧНИК!$P$9+'ПЛАН ЧИСТ К2'!G37*СПРАВОЧНИК!$L$10+'ПЛАН ЧИСТ К2'!H37*СПРАВОЧНИК!$M$10+'ПЛАН ЧИСТ К2'!I37*СПРАВОЧНИК!$N$10+'ПЛАН ЧИСТ К2'!J37*СПРАВОЧНИК!$O$10+'ПЛАН ЧИСТ К2'!K37*СПРАВОЧНИК!$P$10+'ПЛАН ЧИСТ К2'!L37*СПРАВОЧНИК!$L$11+'ПЛАН ЧИСТ К2'!M37*СПРАВОЧНИК!$M$11+'ПЛАН ЧИСТ К2'!N37*СПРАВОЧНИК!$N$11+'ПЛАН ЧИСТ К2'!O37*СПРАВОЧНИК!$O$11+'ПЛАН ЧИСТ К2'!P37*СПРАВОЧНИК!$P$11+'ПЛАН ЧИСТ К2'!Q37*СПРАВОЧНИК!$L$12+'ПЛАН ЧИСТ К2'!R37*СПРАВОЧНИК!$M$12+'ПЛАН ЧИСТ К2'!S37*СПРАВОЧНИК!$N$12+'ПЛАН ЧИСТ К2'!T37*СПРАВОЧНИК!$O$12+'ПЛАН ЧИСТ К2'!U37*СПРАВОЧНИК!$P$12+'ПЛАН ЧИСТ К2'!V37*СПРАВОЧНИК!$L$13+'ПЛАН ЧИСТ К2'!W37*СПРАВОЧНИК!$M$13+'ПЛАН ЧИСТ К2'!X37*СПРАВОЧНИК!$N$13+'ПЛАН ЧИСТ К2'!Y37*СПРАВОЧНИК!$O$13+'ПЛАН ЧИСТ К2'!Z37*СПРАВОЧНИК!$P$13+'ПЛАН ЧИСТ К2'!AA37*СПРАВОЧНИК!$L$14+'ПЛАН ЧИСТ К2'!AB37*СПРАВОЧНИК!$M$14+'ПЛАН ЧИСТ К2'!AC37*СПРАВОЧНИК!$N$14+'ПЛАН ЧИСТ К2'!AD37*СПРАВОЧНИК!$O$14+'ПЛАН ЧИСТ К2'!AE37*СПРАВОЧНИК!$P$14+'ПЛАН ЧИСТ К2'!AF37*СПРАВОЧНИК!$L$15+'ПЛАН ЧИСТ К2'!AG37*СПРАВОЧНИК!$M$15+'ПЛАН ЧИСТ К2'!AH37*СПРАВОЧНИК!$N$15+'ПЛАН ЧИСТ К2'!AI37*СПРАВОЧНИК!$O$15+'ПЛАН ЧИСТ К2'!AJ37*СПРАВОЧНИК!$P$15</f>
        <v/>
      </c>
      <c r="AZ46" s="31">
        <f>('ФАКТ ЧИСТ К2'!B37)*СПРАВОЧНИК!$L$9+('ФАКТ ЧИСТ К2'!C37)*СПРАВОЧНИК!$M$9+('ФАКТ ЧИСТ К2'!D37)*СПРАВОЧНИК!$N$9+('ФАКТ ЧИСТ К2'!E37)*СПРАВОЧНИК!$O$9+('ФАКТ ЧИСТ К2'!F37)*СПРАВОЧНИК!$P$9+('ФАКТ ЧИСТ К2'!G37)*СПРАВОЧНИК!$L$10+('ФАКТ ЧИСТ К2'!H37)*СПРАВОЧНИК!$M$10+('ФАКТ ЧИСТ К2'!I37)*СПРАВОЧНИК!$N$10+('ФАКТ ЧИСТ К2'!J37)*СПРАВОЧНИК!$O$10+('ФАКТ ЧИСТ К2'!K37)*СПРАВОЧНИК!$P$10+('ФАКТ ЧИСТ К2'!L37)*СПРАВОЧНИК!$L$11+('ФАКТ ЧИСТ К2'!M37)*СПРАВОЧНИК!$M$11+('ФАКТ ЧИСТ К2'!N37)*СПРАВОЧНИК!$N$11+('ФАКТ ЧИСТ К2'!O37)*СПРАВОЧНИК!$O$11+('ФАКТ ЧИСТ К2'!P37)*СПРАВОЧНИК!$P$11+('ФАКТ ЧИСТ К2'!Q37)*СПРАВОЧНИК!$L$12+('ФАКТ ЧИСТ К2'!R37)*СПРАВОЧНИК!$M$12+('ФАКТ ЧИСТ К2'!S37)*СПРАВОЧНИК!$N$12+('ФАКТ ЧИСТ К2'!T37)*СПРАВОЧНИК!$O$12+('ФАКТ ЧИСТ К2'!U37)*СПРАВОЧНИК!$P$12+('ФАКТ ЧИСТ К2'!V37)*СПРАВОЧНИК!$L$13+('ФАКТ ЧИСТ К2'!W37)*СПРАВОЧНИК!$M$13+('ФАКТ ЧИСТ К2'!X37)*СПРАВОЧНИК!$N$13+('ФАКТ ЧИСТ К2'!Y37)*СПРАВОЧНИК!$O$13+('ФАКТ ЧИСТ К2'!Z37)*СПРАВОЧНИК!$P$13+('ФАКТ ЧИСТ К2'!AA37)*СПРАВОЧНИК!$L$14+('ФАКТ ЧИСТ К2'!AB37)*СПРАВОЧНИК!$M$14+('ФАКТ ЧИСТ К2'!AC37)*СПРАВОЧНИК!$N$14+('ФАКТ ЧИСТ К2'!AD37)*СПРАВОЧНИК!$O$14+('ФАКТ ЧИСТ К2'!AE37)*СПРАВОЧНИК!$P$14+('ФАКТ ЧИСТ К2'!AF37)*СПРАВОЧНИК!$L$15+('ФАКТ ЧИСТ К2'!AG37)*СПРАВОЧНИК!$M$15+('ФАКТ ЧИСТ К2'!AH37)*СПРАВОЧНИК!$N$15+('ФАКТ ЧИСТ К2'!AI37)*СПРАВОЧНИК!$O$15+('ФАКТ ЧИСТ К2'!AJ37)*СПРАВОЧНИК!$P$15</f>
        <v/>
      </c>
      <c r="BA46" s="34" t="n"/>
      <c r="BD46" s="152">
        <f>BD45+7</f>
        <v/>
      </c>
      <c r="BE46" s="17">
        <f>СПРАВОЧНИК!$E$9*('ПЛАН ЧЕРН К3'!B37*СПРАВОЧНИК!$H$9+'ПЛАН ЧЕРН К3'!C37*СПРАВОЧНИК!$I$9+'ПЛАН ЧЕРН К3'!D37*СПРАВОЧНИК!$J$9)+СПРАВОЧНИК!$F$9*('ПЛАН ЧИСТ К3'!B37*СПРАВОЧНИК!$L$9+'ПЛАН ЧИСТ К3'!C37*СПРАВОЧНИК!$M$9+'ПЛАН ЧИСТ К3'!D37*СПРАВОЧНИК!$N$9+'ПЛАН ЧИСТ К3'!E37*СПРАВОЧНИК!$O$9+'ПЛАН ЧИСТ К3'!F37*СПРАВОЧНИК!$P$9)+СПРАВОЧНИК!$E$10*('ПЛАН ЧЕРН К3'!E37*СПРАВОЧНИК!$H$10+'ПЛАН ЧЕРН К3'!F37*СПРАВОЧНИК!$I$10+'ПЛАН ЧЕРН К3'!G37*СПРАВОЧНИК!$J$10)+СПРАВОЧНИК!$F$10*('ПЛАН ЧИСТ К3'!G37*СПРАВОЧНИК!$L$10+'ПЛАН ЧИСТ К3'!H37*СПРАВОЧНИК!$M$10+'ПЛАН ЧИСТ К3'!I37*СПРАВОЧНИК!$N$10+'ПЛАН ЧИСТ К3'!J37*СПРАВОЧНИК!$O$10+'ПЛАН ЧИСТ К3'!K37*СПРАВОЧНИК!$P$10)+СПРАВОЧНИК!$E$11*('ПЛАН ЧЕРН К3'!H37*СПРАВОЧНИК!$H$11+'ПЛАН ЧЕРН К3'!I37*СПРАВОЧНИК!$I$11+'ПЛАН ЧЕРН К3'!J37*СПРАВОЧНИК!$J$11)+СПРАВОЧНИК!$F$11*('ПЛАН ЧИСТ К3'!L37*СПРАВОЧНИК!$L$11+'ПЛАН ЧИСТ К3'!M37*СПРАВОЧНИК!$M$11+'ПЛАН ЧИСТ К3'!N37*СПРАВОЧНИК!$N$11+'ПЛАН ЧИСТ К3'!O37*СПРАВОЧНИК!$O$11+'ПЛАН ЧИСТ К3'!P37*СПРАВОЧНИК!$P$11)+СПРАВОЧНИК!$E$12*('ПЛАН ЧЕРН К3'!K37*СПРАВОЧНИК!$H$12+'ПЛАН ЧЕРН К3'!L37*СПРАВОЧНИК!$I$12+'ПЛАН ЧЕРН К3'!M37*СПРАВОЧНИК!$J$12)+СПРАВОЧНИК!$F$12*('ПЛАН ЧИСТ К3'!Q37*СПРАВОЧНИК!$L$12+'ПЛАН ЧИСТ К3'!R37*СПРАВОЧНИК!$M$12+'ПЛАН ЧИСТ К3'!S37*СПРАВОЧНИК!$N$12+'ПЛАН ЧИСТ К3'!T37*СПРАВОЧНИК!$O$12+'ПЛАН ЧИСТ К3'!U37*СПРАВОЧНИК!$P$12)+СПРАВОЧНИК!$E$13*('ПЛАН ЧЕРН К3'!N37*СПРАВОЧНИК!$H$13+'ПЛАН ЧЕРН К3'!O37*СПРАВОЧНИК!$I$13+'ПЛАН ЧЕРН К3'!P37*СПРАВОЧНИК!$J$13)+СПРАВОЧНИК!$F$13*('ПЛАН ЧИСТ К3'!V37*СПРАВОЧНИК!$L$13+'ПЛАН ЧИСТ К3'!W37*СПРАВОЧНИК!$M$13+'ПЛАН ЧИСТ К3'!X37*СПРАВОЧНИК!$N$13+'ПЛАН ЧИСТ К3'!Y37*СПРАВОЧНИК!$O$13+'ПЛАН ЧИСТ К3'!Z37*СПРАВОЧНИК!$P$13)+СПРАВОЧНИК!$E$14*('ПЛАН ЧЕРН К3'!Q37*СПРАВОЧНИК!$H$14+'ПЛАН ЧЕРН К3'!R37*СПРАВОЧНИК!$I$14+'ПЛАН ЧЕРН К3'!S37*СПРАВОЧНИК!$J$14)+СПРАВОЧНИК!$F$14*('ПЛАН ЧИСТ К3'!AA37*СПРАВОЧНИК!$L$14+'ПЛАН ЧИСТ К3'!AB37*СПРАВОЧНИК!$M$14+'ПЛАН ЧИСТ К3'!AC37*СПРАВОЧНИК!$N$14+'ПЛАН ЧИСТ К3'!AD37*СПРАВОЧНИК!$O$14+'ПЛАН ЧИСТ К3'!AE37*СПРАВОЧНИК!$P$14)+СПРАВОЧНИК!$E$15*('ПЛАН ЧЕРН К3'!T37*СПРАВОЧНИК!$H$15+'ПЛАН ЧЕРН К3'!U37*СПРАВОЧНИК!$I$15+'ПЛАН ЧЕРН К3'!V37*СПРАВОЧНИК!$J$15)+СПРАВОЧНИК!$F$15*('ПЛАН ЧИСТ К3'!AF37*СПРАВОЧНИК!$L$15+'ПЛАН ЧИСТ К3'!AG37*СПРАВОЧНИК!$M$15+'ПЛАН ЧИСТ К3'!AH37*СПРАВОЧНИК!$N$15+'ПЛАН ЧИСТ К3'!AI37*СПРАВОЧНИК!$O$15+'ПЛАН ЧИСТ К3'!AJ37*СПРАВОЧНИК!$P$15)</f>
        <v/>
      </c>
      <c r="BF46" s="31">
        <f>СПРАВОЧНИК!$E$9*('ФАКТ ЧЕРН К3'!B37*СПРАВОЧНИК!$H$9+'ФАКТ ЧЕРН К3'!C37*СПРАВОЧНИК!$I$9+'ФАКТ ЧЕРН К3'!D37*СПРАВОЧНИК!$J$9)+СПРАВОЧНИК!$F$9*('ФАКТ ЧИСТ К3'!B37*СПРАВОЧНИК!$L$9+'ФАКТ ЧИСТ К3'!C37*СПРАВОЧНИК!$M$9+'ФАКТ ЧИСТ К3'!D37*СПРАВОЧНИК!$N$9+'ФАКТ ЧИСТ К3'!E37*СПРАВОЧНИК!$O$9+'ФАКТ ЧИСТ К3'!F37*СПРАВОЧНИК!$P$9)+СПРАВОЧНИК!$E$10*('ФАКТ ЧЕРН К3'!E37*СПРАВОЧНИК!$H$10+'ФАКТ ЧЕРН К3'!F37*СПРАВОЧНИК!$I$10+'ФАКТ ЧЕРН К3'!G37*СПРАВОЧНИК!$J$10)+СПРАВОЧНИК!$F$10*('ФАКТ ЧИСТ К3'!G37*СПРАВОЧНИК!$L$10+'ФАКТ ЧИСТ К3'!H37*СПРАВОЧНИК!$M$10+'ФАКТ ЧИСТ К3'!I37*СПРАВОЧНИК!$N$10+'ФАКТ ЧИСТ К3'!J37*СПРАВОЧНИК!$O$10+'ФАКТ ЧИСТ К3'!K37*СПРАВОЧНИК!$P$10)+СПРАВОЧНИК!$E$11*('ФАКТ ЧЕРН К3'!H37*СПРАВОЧНИК!$H$11+'ФАКТ ЧЕРН К3'!I37*СПРАВОЧНИК!$I$11+'ФАКТ ЧЕРН К3'!J37*СПРАВОЧНИК!$J$11)+СПРАВОЧНИК!$F$11*('ФАКТ ЧИСТ К3'!L37*СПРАВОЧНИК!$L$11+'ФАКТ ЧИСТ К3'!M37*СПРАВОЧНИК!$M$11+'ФАКТ ЧИСТ К3'!N37*СПРАВОЧНИК!$N$11+'ФАКТ ЧИСТ К3'!O37*СПРАВОЧНИК!$O$11+'ФАКТ ЧИСТ К3'!P37*СПРАВОЧНИК!$P$11)+СПРАВОЧНИК!$E$12*('ФАКТ ЧЕРН К3'!K37*СПРАВОЧНИК!$H$12+'ФАКТ ЧЕРН К3'!L37*СПРАВОЧНИК!$I$12+'ФАКТ ЧЕРН К3'!M37*СПРАВОЧНИК!$J$12)+СПРАВОЧНИК!$F$12*('ФАКТ ЧИСТ К3'!Q37*СПРАВОЧНИК!$L$12+'ФАКТ ЧИСТ К3'!R37*СПРАВОЧНИК!$M$12+'ФАКТ ЧИСТ К3'!S37*СПРАВОЧНИК!$N$12+'ФАКТ ЧИСТ К3'!T37*СПРАВОЧНИК!$O$12+'ФАКТ ЧИСТ К3'!U37*СПРАВОЧНИК!$P$12)+СПРАВОЧНИК!$E$13*('ФАКТ ЧЕРН К3'!N37*СПРАВОЧНИК!$H$13+'ФАКТ ЧЕРН К3'!O37*СПРАВОЧНИК!$I$13+'ФАКТ ЧЕРН К3'!P37*СПРАВОЧНИК!$J$13)+СПРАВОЧНИК!$F$13*('ФАКТ ЧИСТ К3'!V37*СПРАВОЧНИК!$L$13+'ФАКТ ЧИСТ К3'!W37*СПРАВОЧНИК!$M$13+'ФАКТ ЧИСТ К3'!X37*СПРАВОЧНИК!$N$13+'ФАКТ ЧИСТ К3'!Y37*СПРАВОЧНИК!$O$13+'ФАКТ ЧИСТ К3'!Z37*СПРАВОЧНИК!$P$13)+СПРАВОЧНИК!$E$14*('ФАКТ ЧЕРН К3'!Q37*СПРАВОЧНИК!$H$14+'ФАКТ ЧЕРН К3'!R37*СПРАВОЧНИК!$I$14+'ФАКТ ЧЕРН К3'!S37*СПРАВОЧНИК!$J$14)+СПРАВОЧНИК!$F$14*('ФАКТ ЧИСТ К3'!AA37*СПРАВОЧНИК!$L$14+'ФАКТ ЧИСТ К3'!AB37*СПРАВОЧНИК!$M$14+'ФАКТ ЧИСТ К3'!AC37*СПРАВОЧНИК!$N$14+'ФАКТ ЧИСТ К3'!AD37*СПРАВОЧНИК!$O$14+'ФАКТ ЧИСТ К3'!AE37*СПРАВОЧНИК!$P$14)+СПРАВОЧНИК!$E$15*('ФАКТ ЧЕРН К3'!T37*СПРАВОЧНИК!$H$15+'ФАКТ ЧЕРН К3'!U37*СПРАВОЧНИК!$I$15+'ФАКТ ЧЕРН К3'!V37*СПРАВОЧНИК!$J$15)+СПРАВОЧНИК!$F$15*('ФАКТ ЧИСТ К3'!AF37*СПРАВОЧНИК!$L$15+'ФАКТ ЧИСТ К3'!AG37*СПРАВОЧНИК!$M$15+'ФАКТ ЧИСТ К3'!AH37*СПРАВОЧНИК!$N$15+'ФАКТ ЧИСТ К3'!AI37*СПРАВОЧНИК!$O$15+'ФАКТ ЧИСТ К3'!AJ37*СПРАВОЧНИК!$P$15)</f>
        <v/>
      </c>
      <c r="BG46" s="34" t="n"/>
      <c r="BJ46" s="152">
        <f>BJ45+7</f>
        <v/>
      </c>
      <c r="BK46" s="17">
        <f>'ПЛАН ЧЕРН К3'!B37*СПРАВОЧНИК!$H$9+'ПЛАН ЧЕРН К3'!C37*СПРАВОЧНИК!$I$9+'ПЛАН ЧЕРН К3'!D37*СПРАВОЧНИК!$J$9+'ПЛАН ЧЕРН К3'!E37*СПРАВОЧНИК!$H$10+'ПЛАН ЧЕРН К3'!F37*СПРАВОЧНИК!$I$10+'ПЛАН ЧЕРН К3'!G37*СПРАВОЧНИК!$J$10+'ПЛАН ЧЕРН К3'!H37*СПРАВОЧНИК!$H$11+'ПЛАН ЧЕРН К3'!I37*СПРАВОЧНИК!$I$11+'ПЛАН ЧЕРН К3'!J37*СПРАВОЧНИК!$J$11+'ПЛАН ЧЕРН К3'!K37*СПРАВОЧНИК!$H$12+'ПЛАН ЧЕРН К3'!L37*СПРАВОЧНИК!$I$12+'ПЛАН ЧЕРН К3'!M37*СПРАВОЧНИК!$J$12+'ПЛАН ЧЕРН К3'!N37*СПРАВОЧНИК!$H$13+'ПЛАН ЧЕРН К3'!O37*СПРАВОЧНИК!$I$13+'ПЛАН ЧЕРН К3'!P37*СПРАВОЧНИК!$J$13+'ПЛАН ЧЕРН К3'!Q37*СПРАВОЧНИК!$H$14+'ПЛАН ЧЕРН К3'!R37*СПРАВОЧНИК!$I$14+'ПЛАН ЧЕРН К3'!S37*СПРАВОЧНИК!$J$14+'ПЛАН ЧЕРН К3'!T37*СПРАВОЧНИК!$H$15+'ПЛАН ЧЕРН К3'!U37*СПРАВОЧНИК!$I$15+'ПЛАН ЧЕРН К3'!V37*СПРАВОЧНИК!$J$15</f>
        <v/>
      </c>
      <c r="BL46" s="31">
        <f>('ФАКТ ЧЕРН К3'!B37)*СПРАВОЧНИК!$H$9+('ФАКТ ЧЕРН К3'!C37)*СПРАВОЧНИК!$I$9+('ФАКТ ЧЕРН К3'!D37)*СПРАВОЧНИК!$J$9+('ФАКТ ЧЕРН К3'!E37)*СПРАВОЧНИК!$H$10+('ФАКТ ЧЕРН К3'!F37)*СПРАВОЧНИК!$I$10+('ФАКТ ЧЕРН К3'!G37)*СПРАВОЧНИК!$J$10+('ФАКТ ЧЕРН К3'!H37)*СПРАВОЧНИК!$H$11+('ФАКТ ЧЕРН К3'!I37)*СПРАВОЧНИК!$I$11+('ФАКТ ЧЕРН К3'!J37)*СПРАВОЧНИК!$J$11+('ФАКТ ЧЕРН К3'!K37)*СПРАВОЧНИК!$H$12+('ФАКТ ЧЕРН К3'!L37)*СПРАВОЧНИК!$I$12+('ФАКТ ЧЕРН К3'!M37)*СПРАВОЧНИК!$J$12+('ФАКТ ЧЕРН К3'!N37)*СПРАВОЧНИК!$H$13+('ФАКТ ЧЕРН К3'!O37)*СПРАВОЧНИК!$I$13+('ФАКТ ЧЕРН К3'!P37)*СПРАВОЧНИК!$J$13+('ФАКТ ЧЕРН К3'!Q37)*СПРАВОЧНИК!$H$14+('ФАКТ ЧЕРН К3'!R37)*СПРАВОЧНИК!$I$14+('ФАКТ ЧЕРН К3'!S37)*СПРАВОЧНИК!$J$14+('ФАКТ ЧЕРН К3'!T37)*СПРАВОЧНИК!$H$15+('ФАКТ ЧЕРН К3'!U37)*СПРАВОЧНИК!$I$15+('ФАКТ ЧЕРН К3'!V37)*СПРАВОЧНИК!$J$15</f>
        <v/>
      </c>
      <c r="BM46" s="34" t="n"/>
      <c r="BP46" s="152">
        <f>BP45+7</f>
        <v/>
      </c>
      <c r="BQ46" s="17">
        <f>'ПЛАН ЧИСТ К3'!B37*СПРАВОЧНИК!$L$9+'ПЛАН ЧИСТ К3'!C37*СПРАВОЧНИК!$M$9+'ПЛАН ЧИСТ К3'!D37*СПРАВОЧНИК!$N$9+'ПЛАН ЧИСТ К3'!E37*СПРАВОЧНИК!$O$9+'ПЛАН ЧИСТ К3'!F37*СПРАВОЧНИК!$P$9+'ПЛАН ЧИСТ К3'!G37*СПРАВОЧНИК!$L$10+'ПЛАН ЧИСТ К3'!H37*СПРАВОЧНИК!$M$10+'ПЛАН ЧИСТ К3'!I37*СПРАВОЧНИК!$N$10+'ПЛАН ЧИСТ К3'!J37*СПРАВОЧНИК!$O$10+'ПЛАН ЧИСТ К3'!K37*СПРАВОЧНИК!$P$10+'ПЛАН ЧИСТ К3'!L37*СПРАВОЧНИК!$L$11+'ПЛАН ЧИСТ К3'!M37*СПРАВОЧНИК!$M$11+'ПЛАН ЧИСТ К3'!N37*СПРАВОЧНИК!$N$11+'ПЛАН ЧИСТ К3'!O37*СПРАВОЧНИК!$O$11+'ПЛАН ЧИСТ К3'!P37*СПРАВОЧНИК!$P$11+'ПЛАН ЧИСТ К3'!Q37*СПРАВОЧНИК!$L$12+'ПЛАН ЧИСТ К3'!R37*СПРАВОЧНИК!$M$12+'ПЛАН ЧИСТ К3'!S37*СПРАВОЧНИК!$N$12+'ПЛАН ЧИСТ К3'!T37*СПРАВОЧНИК!$O$12+'ПЛАН ЧИСТ К3'!U37*СПРАВОЧНИК!$P$12+'ПЛАН ЧИСТ К3'!V37*СПРАВОЧНИК!$L$13+'ПЛАН ЧИСТ К3'!W37*СПРАВОЧНИК!$M$13+'ПЛАН ЧИСТ К3'!X37*СПРАВОЧНИК!$N$13+'ПЛАН ЧИСТ К3'!Y37*СПРАВОЧНИК!$O$13+'ПЛАН ЧИСТ К3'!Z37*СПРАВОЧНИК!$P$13+'ПЛАН ЧИСТ К3'!AA37*СПРАВОЧНИК!$L$14+'ПЛАН ЧИСТ К3'!AB37*СПРАВОЧНИК!$M$14+'ПЛАН ЧИСТ К3'!AC37*СПРАВОЧНИК!$N$14+'ПЛАН ЧИСТ К3'!AD37*СПРАВОЧНИК!$O$14+'ПЛАН ЧИСТ К3'!AE37*СПРАВОЧНИК!$P$14+'ПЛАН ЧИСТ К3'!AF37*СПРАВОЧНИК!$L$15+'ПЛАН ЧИСТ К3'!AG37*СПРАВОЧНИК!$M$15+'ПЛАН ЧИСТ К3'!AH37*СПРАВОЧНИК!$N$15+'ПЛАН ЧИСТ К3'!AI37*СПРАВОЧНИК!$O$15+'ПЛАН ЧИСТ К3'!AJ37*СПРАВОЧНИК!$P$15</f>
        <v/>
      </c>
      <c r="BR46" s="31">
        <f>('ФАКТ ЧИСТ К3'!B37)*СПРАВОЧНИК!$L$9+('ФАКТ ЧИСТ К3'!C37)*СПРАВОЧНИК!$M$9+('ФАКТ ЧИСТ К3'!D37)*СПРАВОЧНИК!$N$9+('ФАКТ ЧИСТ К3'!E37)*СПРАВОЧНИК!$O$9+('ФАКТ ЧИСТ К3'!F37)*СПРАВОЧНИК!$P$9+('ФАКТ ЧИСТ К3'!G37)*СПРАВОЧНИК!$L$10+('ФАКТ ЧИСТ К3'!H37)*СПРАВОЧНИК!$M$10+('ФАКТ ЧИСТ К3'!I37)*СПРАВОЧНИК!$N$10+('ФАКТ ЧИСТ К3'!J37)*СПРАВОЧНИК!$O$10+('ФАКТ ЧИСТ К3'!K37)*СПРАВОЧНИК!$P$10+('ФАКТ ЧИСТ К3'!L37)*СПРАВОЧНИК!$L$11+('ФАКТ ЧИСТ К3'!M37)*СПРАВОЧНИК!$M$11+('ФАКТ ЧИСТ К3'!N37)*СПРАВОЧНИК!$N$11+('ФАКТ ЧИСТ К3'!O37)*СПРАВОЧНИК!$O$11+('ФАКТ ЧИСТ К3'!P37)*СПРАВОЧНИК!$P$11+('ФАКТ ЧИСТ К3'!Q37)*СПРАВОЧНИК!$L$12+('ФАКТ ЧИСТ К3'!R37)*СПРАВОЧНИК!$M$12+('ФАКТ ЧИСТ К3'!S37)*СПРАВОЧНИК!$N$12+('ФАКТ ЧИСТ К3'!T37)*СПРАВОЧНИК!$O$12+('ФАКТ ЧИСТ К3'!U37)*СПРАВОЧНИК!$P$12+('ФАКТ ЧИСТ К3'!V37)*СПРАВОЧНИК!$L$13+('ФАКТ ЧИСТ К3'!W37)*СПРАВОЧНИК!$M$13+('ФАКТ ЧИСТ К3'!X37)*СПРАВОЧНИК!$N$13+('ФАКТ ЧИСТ К3'!Y37)*СПРАВОЧНИК!$O$13+('ФАКТ ЧИСТ К3'!Z37)*СПРАВОЧНИК!$P$13+('ФАКТ ЧИСТ К3'!AA37)*СПРАВОЧНИК!$L$14+('ФАКТ ЧИСТ К3'!AB37)*СПРАВОЧНИК!$M$14+('ФАКТ ЧИСТ К3'!AC37)*СПРАВОЧНИК!$N$14+('ФАКТ ЧИСТ К3'!AD37)*СПРАВОЧНИК!$O$14+('ФАКТ ЧИСТ К3'!AE37)*СПРАВОЧНИК!$P$14+('ФАКТ ЧИСТ К3'!AF37)*СПРАВОЧНИК!$L$15+('ФАКТ ЧИСТ К3'!AG37)*СПРАВОЧНИК!$M$15+('ФАКТ ЧИСТ К3'!AH37)*СПРАВОЧНИК!$N$15+('ФАКТ ЧИСТ К3'!AI37)*СПРАВОЧНИК!$O$15+('ФАКТ ЧИСТ К3'!AJ37)*СПРАВОЧНИК!$P$15</f>
        <v/>
      </c>
      <c r="BS46" s="34" t="n"/>
      <c r="BV46" s="152">
        <f>BV45+7</f>
        <v/>
      </c>
      <c r="BW46" s="17">
        <f>U46*СПРАВОЧНИК!$K$28+AM46*СПРАВОЧНИК!$K$29+BE46*СПРАВОЧНИК!$K$30</f>
        <v/>
      </c>
      <c r="BX46" s="31">
        <f>V46*СПРАВОЧНИК!$K$28+AN46*СПРАВОЧНИК!$K$29+BF46*СПРАВОЧНИК!$K$30</f>
        <v/>
      </c>
      <c r="BY46" s="34" t="n"/>
      <c r="CB46" s="152">
        <f>CB45+7</f>
        <v/>
      </c>
      <c r="CC46" s="17">
        <f>AA46*СПРАВОЧНИК!$K$28+AS46*СПРАВОЧНИК!$K$29+BK46*СПРАВОЧНИК!$K$30</f>
        <v/>
      </c>
      <c r="CD46" s="31">
        <f>AB46*СПРАВОЧНИК!$K$28+AT46*СПРАВОЧНИК!$K$29+BL46*СПРАВОЧНИК!$K$30</f>
        <v/>
      </c>
      <c r="CE46" s="34" t="n"/>
      <c r="CH46" s="152">
        <f>CH45+7</f>
        <v/>
      </c>
      <c r="CI46" s="17">
        <f>AG46*СПРАВОЧНИК!$K$28+AY46*СПРАВОЧНИК!$K$29+BQ46*СПРАВОЧНИК!$K$30</f>
        <v/>
      </c>
      <c r="CJ46" s="31">
        <f>AH46*СПРАВОЧНИК!$K$28+AZ46*СПРАВОЧНИК!$K$29+BR46*СПРАВОЧНИК!$K$30</f>
        <v/>
      </c>
      <c r="CK46" s="34" t="n"/>
      <c r="CN46" s="152">
        <f>CN45+7</f>
        <v/>
      </c>
      <c r="CO46" s="17">
        <f>C46*СПРАВОЧНИК!$W$18+BW46*СПРАВОЧНИК!$W$19</f>
        <v/>
      </c>
      <c r="CP46" s="31">
        <f>D46*СПРАВОЧНИК!$W$18+BX46*СПРАВОЧНИК!$W$19</f>
        <v/>
      </c>
      <c r="CQ46" s="34" t="n"/>
      <c r="CT46" s="152">
        <f>CT45+7</f>
        <v/>
      </c>
      <c r="CU46" s="17">
        <f>I46*СПРАВОЧНИК!$W$18+CC46*СПРАВОЧНИК!$W$19</f>
        <v/>
      </c>
      <c r="CV46" s="31">
        <f>J46*СПРАВОЧНИК!$W$18+CD46*СПРАВОЧНИК!$W$19</f>
        <v/>
      </c>
      <c r="CW46" s="34" t="n"/>
      <c r="CZ46" s="152">
        <f>CZ45+7</f>
        <v/>
      </c>
      <c r="DA46" s="17">
        <f>O46*СПРАВОЧНИК!$W$18+CI46*СПРАВОЧНИК!$W$19</f>
        <v/>
      </c>
      <c r="DB46" s="31">
        <f>P46*СПРАВОЧНИК!$W$18+CJ46*СПРАВОЧНИК!$W$19</f>
        <v/>
      </c>
      <c r="DC46" s="34" t="n"/>
    </row>
    <row r="47">
      <c r="B47" s="152">
        <f>B46+7</f>
        <v/>
      </c>
      <c r="C47" s="17">
        <f>СПРАВОЧНИК!$E$3*('ПЛАН ЧЕРН ПОДЗЕМ'!B38*СПРАВОЧНИК!$H$3+'ПЛАН ЧЕРН ПОДЗЕМ'!C38*СПРАВОЧНИК!$I$3+'ПЛАН ЧЕРН ПОДЗЕМ'!D38*СПРАВОЧНИК!$J$3)+СПРАВОЧНИК!$F$3*('ПЛАН ЧИСТ ПОДЗЕМ'!B38*СПРАВОЧНИК!$L$3+'ПЛАН ЧИСТ ПОДЗЕМ'!C38*СПРАВОЧНИК!$M$3+'ПЛАН ЧИСТ ПОДЗЕМ'!D38*СПРАВОЧНИК!$N$3+'ПЛАН ЧИСТ ПОДЗЕМ'!E38*СПРАВОЧНИК!$O$3+'ПЛАН ЧИСТ ПОДЗЕМ'!F38*СПРАВОЧНИК!$P$3)+СПРАВОЧНИК!$E$4*('ПЛАН ЧЕРН ПОДЗЕМ'!E38*СПРАВОЧНИК!$H$4+'ПЛАН ЧЕРН ПОДЗЕМ'!F38*СПРАВОЧНИК!$I$4+'ПЛАН ЧЕРН ПОДЗЕМ'!G38*СПРАВОЧНИК!$J$4)+СПРАВОЧНИК!$F$4*('ПЛАН ЧИСТ ПОДЗЕМ'!G38*СПРАВОЧНИК!$L$4+'ПЛАН ЧИСТ ПОДЗЕМ'!H38*СПРАВОЧНИК!$M$4+'ПЛАН ЧИСТ ПОДЗЕМ'!I38*СПРАВОЧНИК!$N$4+'ПЛАН ЧИСТ ПОДЗЕМ'!J38*СПРАВОЧНИК!$O$4+'ПЛАН ЧИСТ ПОДЗЕМ'!K38*СПРАВОЧНИК!$P$4)+СПРАВОЧНИК!$E$5*('ПЛАН ЧЕРН ПОДЗЕМ'!H38*СПРАВОЧНИК!$H$5+'ПЛАН ЧЕРН ПОДЗЕМ'!I38*СПРАВОЧНИК!$I$5+'ПЛАН ЧЕРН ПОДЗЕМ'!J38*СПРАВОЧНИК!$J$5)+СПРАВОЧНИК!$F$5*('ПЛАН ЧИСТ ПОДЗЕМ'!L38*СПРАВОЧНИК!$L$5+'ПЛАН ЧИСТ ПОДЗЕМ'!M38*СПРАВОЧНИК!$M$5+'ПЛАН ЧИСТ ПОДЗЕМ'!N38*СПРАВОЧНИК!$N$5+'ПЛАН ЧИСТ ПОДЗЕМ'!O38*СПРАВОЧНИК!$O$5+'ПЛАН ЧИСТ ПОДЗЕМ'!P38*СПРАВОЧНИК!$P$5)+СПРАВОЧНИК!$E$6*('ПЛАН ЧЕРН ПОДЗЕМ'!K38*СПРАВОЧНИК!$H$6+'ПЛАН ЧЕРН ПОДЗЕМ'!L38*СПРАВОЧНИК!$I$6+'ПЛАН ЧЕРН ПОДЗЕМ'!M38*СПРАВОЧНИК!$J$6)+СПРАВОЧНИК!$F$6*('ПЛАН ЧИСТ ПОДЗЕМ'!Q38*СПРАВОЧНИК!$L$6+'ПЛАН ЧИСТ ПОДЗЕМ'!R38*СПРАВОЧНИК!$M$6+'ПЛАН ЧИСТ ПОДЗЕМ'!S38*СПРАВОЧНИК!$N$6+'ПЛАН ЧИСТ ПОДЗЕМ'!T38*СПРАВОЧНИК!$O$6+'ПЛАН ЧИСТ ПОДЗЕМ'!U38*СПРАВОЧНИК!$P$6)+СПРАВОЧНИК!$E$7*('ПЛАН ЧЕРН ПОДЗЕМ'!N38*СПРАВОЧНИК!$H$7+'ПЛАН ЧЕРН ПОДЗЕМ'!O38*СПРАВОЧНИК!$I$7+'ПЛАН ЧЕРН ПОДЗЕМ'!P38*СПРАВОЧНИК!$J$7)+СПРАВОЧНИК!$F$7*('ПЛАН ЧИСТ ПОДЗЕМ'!V38*СПРАВОЧНИК!$L$7+'ПЛАН ЧИСТ ПОДЗЕМ'!W38*СПРАВОЧНИК!$M$7+'ПЛАН ЧИСТ ПОДЗЕМ'!X38*СПРАВОЧНИК!$N$7+'ПЛАН ЧИСТ ПОДЗЕМ'!Y38*СПРАВОЧНИК!$O$7+'ПЛАН ЧИСТ ПОДЗЕМ'!Z38*СПРАВОЧНИК!$P$7)+СПРАВОЧНИК!$E$8*('ПЛАН ЧЕРН ПОДЗЕМ'!Q38*СПРАВОЧНИК!$H$8+'ПЛАН ЧЕРН ПОДЗЕМ'!R38*СПРАВОЧНИК!$I$8+'ПЛАН ЧЕРН ПОДЗЕМ'!S38*СПРАВОЧНИК!$J$8)+СПРАВОЧНИК!$F$8*('ПЛАН ЧИСТ ПОДЗЕМ'!AA38*СПРАВОЧНИК!$L$8+'ПЛАН ЧИСТ ПОДЗЕМ'!AB38*СПРАВОЧНИК!$M$8+'ПЛАН ЧИСТ ПОДЗЕМ'!AC38*СПРАВОЧНИК!$N$8+'ПЛАН ЧИСТ ПОДЗЕМ'!AD38*СПРАВОЧНИК!$O$8+'ПЛАН ЧИСТ ПОДЗЕМ'!AE38*СПРАВОЧНИК!$P$8)</f>
        <v/>
      </c>
      <c r="D47" s="31">
        <f>СПРАВОЧНИК!$E$3*('ФАКТ ЧЕРН ПОДЗЕМ'!B38*СПРАВОЧНИК!$H$3+'ФАКТ ЧЕРН ПОДЗЕМ'!C38*СПРАВОЧНИК!$I$3+'ФАКТ ЧЕРН ПОДЗЕМ'!D38*СПРАВОЧНИК!$J$3)+СПРАВОЧНИК!$F$3*('ФАКТ ЧИСТ ПОДЗЕМ'!B38*СПРАВОЧНИК!$L$3+'ФАКТ ЧИСТ ПОДЗЕМ'!C38*СПРАВОЧНИК!$M$3+'ФАКТ ЧИСТ ПОДЗЕМ'!D38*СПРАВОЧНИК!$N$3+'ФАКТ ЧИСТ ПОДЗЕМ'!E38*СПРАВОЧНИК!$O$3+'ФАКТ ЧИСТ ПОДЗЕМ'!F38*СПРАВОЧНИК!$P$3)+СПРАВОЧНИК!$E$4*('ФАКТ ЧЕРН ПОДЗЕМ'!E38*СПРАВОЧНИК!$H$4+'ФАКТ ЧЕРН ПОДЗЕМ'!F38*СПРАВОЧНИК!$I$4+'ФАКТ ЧЕРН ПОДЗЕМ'!G38*СПРАВОЧНИК!$J$4)+СПРАВОЧНИК!$F$4*('ФАКТ ЧИСТ ПОДЗЕМ'!G38*СПРАВОЧНИК!$L$4+'ФАКТ ЧИСТ ПОДЗЕМ'!H38*СПРАВОЧНИК!$M$4+'ФАКТ ЧИСТ ПОДЗЕМ'!I38*СПРАВОЧНИК!$N$4+'ФАКТ ЧИСТ ПОДЗЕМ'!J38*СПРАВОЧНИК!$O$4+'ФАКТ ЧИСТ ПОДЗЕМ'!K38*СПРАВОЧНИК!$P$4)+СПРАВОЧНИК!$E$5*('ФАКТ ЧЕРН ПОДЗЕМ'!H38*СПРАВОЧНИК!$H$5+'ФАКТ ЧЕРН ПОДЗЕМ'!I38*СПРАВОЧНИК!$I$5+'ФАКТ ЧЕРН ПОДЗЕМ'!J38*СПРАВОЧНИК!$J$5)+СПРАВОЧНИК!$F$5*('ФАКТ ЧИСТ ПОДЗЕМ'!L38*СПРАВОЧНИК!$L$5+'ФАКТ ЧИСТ ПОДЗЕМ'!M38*СПРАВОЧНИК!$M$5+'ФАКТ ЧИСТ ПОДЗЕМ'!N38*СПРАВОЧНИК!$N$5+'ФАКТ ЧИСТ ПОДЗЕМ'!O38*СПРАВОЧНИК!$O$5+'ФАКТ ЧИСТ ПОДЗЕМ'!P38*СПРАВОЧНИК!$P$5)+СПРАВОЧНИК!$E$6*('ФАКТ ЧЕРН ПОДЗЕМ'!K38*СПРАВОЧНИК!$H$6+'ФАКТ ЧЕРН ПОДЗЕМ'!L38*СПРАВОЧНИК!$I$6+'ФАКТ ЧЕРН ПОДЗЕМ'!M38*СПРАВОЧНИК!$J$6)+СПРАВОЧНИК!$F$6*('ФАКТ ЧИСТ ПОДЗЕМ'!Q38*СПРАВОЧНИК!$L$6+'ФАКТ ЧИСТ ПОДЗЕМ'!R38*СПРАВОЧНИК!$M$6+'ФАКТ ЧИСТ ПОДЗЕМ'!S38*СПРАВОЧНИК!$N$6+'ФАКТ ЧИСТ ПОДЗЕМ'!T38*СПРАВОЧНИК!$O$6+'ФАКТ ЧИСТ ПОДЗЕМ'!U38*СПРАВОЧНИК!$P$6)+СПРАВОЧНИК!$E$7*('ФАКТ ЧЕРН ПОДЗЕМ'!N38*СПРАВОЧНИК!$H$7+'ФАКТ ЧЕРН ПОДЗЕМ'!O38*СПРАВОЧНИК!$I$7+'ФАКТ ЧЕРН ПОДЗЕМ'!P38*СПРАВОЧНИК!$J$7)+СПРАВОЧНИК!$F$7*('ФАКТ ЧИСТ ПОДЗЕМ'!V38*СПРАВОЧНИК!$L$7+'ФАКТ ЧИСТ ПОДЗЕМ'!W38*СПРАВОЧНИК!$M$7+'ФАКТ ЧИСТ ПОДЗЕМ'!X38*СПРАВОЧНИК!$N$7+'ФАКТ ЧИСТ ПОДЗЕМ'!Y38*СПРАВОЧНИК!$O$7+'ФАКТ ЧИСТ ПОДЗЕМ'!Z38*СПРАВОЧНИК!$P$7)+СПРАВОЧНИК!$E$8*('ФАКТ ЧЕРН ПОДЗЕМ'!Q38*СПРАВОЧНИК!$H$8+'ФАКТ ЧЕРН ПОДЗЕМ'!R38*СПРАВОЧНИК!$I$8+'ФАКТ ЧЕРН ПОДЗЕМ'!S38*СПРАВОЧНИК!$J$8)+СПРАВОЧНИК!$F$8*('ФАКТ ЧИСТ ПОДЗЕМ'!AA38*СПРАВОЧНИК!$L$8+'ФАКТ ЧИСТ ПОДЗЕМ'!AB38*СПРАВОЧНИК!$M$8+'ФАКТ ЧИСТ ПОДЗЕМ'!AC38*СПРАВОЧНИК!$N$8+'ФАКТ ЧИСТ ПОДЗЕМ'!AD38*СПРАВОЧНИК!$O$8+'ФАКТ ЧИСТ ПОДЗЕМ'!AE38*СПРАВОЧНИК!$P$8)</f>
        <v/>
      </c>
      <c r="E47" s="34" t="n"/>
      <c r="H47" s="152">
        <f>H46+7</f>
        <v/>
      </c>
      <c r="I47" s="17">
        <f>'ПЛАН ЧЕРН ПОДЗЕМ'!B38*СПРАВОЧНИК!$H$3+'ПЛАН ЧЕРН ПОДЗЕМ'!C38*СПРАВОЧНИК!$I$3+'ПЛАН ЧЕРН ПОДЗЕМ'!D38*СПРАВОЧНИК!$J$3+'ПЛАН ЧЕРН ПОДЗЕМ'!E38*СПРАВОЧНИК!$H$4+'ПЛАН ЧЕРН ПОДЗЕМ'!F38*СПРАВОЧНИК!$I$4+'ПЛАН ЧЕРН ПОДЗЕМ'!G38*СПРАВОЧНИК!$J$4+'ПЛАН ЧЕРН ПОДЗЕМ'!H38*СПРАВОЧНИК!$H$5+'ПЛАН ЧЕРН ПОДЗЕМ'!I38*СПРАВОЧНИК!$I$5+'ПЛАН ЧЕРН ПОДЗЕМ'!J38*СПРАВОЧНИК!$J$5+'ПЛАН ЧЕРН ПОДЗЕМ'!K38*СПРАВОЧНИК!$H$6+'ПЛАН ЧЕРН ПОДЗЕМ'!L38*СПРАВОЧНИК!$I$6+'ПЛАН ЧЕРН ПОДЗЕМ'!M38*СПРАВОЧНИК!$J$6+'ПЛАН ЧЕРН ПОДЗЕМ'!N38*СПРАВОЧНИК!$H$7+'ПЛАН ЧЕРН ПОДЗЕМ'!O38*СПРАВОЧНИК!$I$7+'ПЛАН ЧЕРН ПОДЗЕМ'!P38*СПРАВОЧНИК!$J$7+'ПЛАН ЧЕРН ПОДЗЕМ'!Q38*СПРАВОЧНИК!$H$8+'ПЛАН ЧЕРН ПОДЗЕМ'!R38*СПРАВОЧНИК!$I$8+'ПЛАН ЧЕРН ПОДЗЕМ'!S38*СПРАВОЧНИК!$J$8</f>
        <v/>
      </c>
      <c r="J47" s="31">
        <f>('ФАКТ ЧЕРН ПОДЗЕМ'!B38)*СПРАВОЧНИК!$H$3+('ФАКТ ЧЕРН ПОДЗЕМ'!C38)*СПРАВОЧНИК!$I$3+('ФАКТ ЧЕРН ПОДЗЕМ'!D38)*СПРАВОЧНИК!$J$3+('ФАКТ ЧЕРН ПОДЗЕМ'!E38)*СПРАВОЧНИК!$H$4+('ФАКТ ЧЕРН ПОДЗЕМ'!F38)*СПРАВОЧНИК!$I$4+('ФАКТ ЧЕРН ПОДЗЕМ'!G38)*СПРАВОЧНИК!$J$4+('ФАКТ ЧЕРН ПОДЗЕМ'!H38)*СПРАВОЧНИК!$H$5+('ФАКТ ЧЕРН ПОДЗЕМ'!I38)*СПРАВОЧНИК!$I$5+('ФАКТ ЧЕРН ПОДЗЕМ'!J38)*СПРАВОЧНИК!$J$5+('ФАКТ ЧЕРН ПОДЗЕМ'!K38)*СПРАВОЧНИК!$H$6+('ФАКТ ЧЕРН ПОДЗЕМ'!L38)*СПРАВОЧНИК!$I$6+('ФАКТ ЧЕРН ПОДЗЕМ'!M38)*СПРАВОЧНИК!$J$6+('ФАКТ ЧЕРН ПОДЗЕМ'!N38)*СПРАВОЧНИК!$H$7+('ФАКТ ЧЕРН ПОДЗЕМ'!O38)*СПРАВОЧНИК!$I$7+('ФАКТ ЧЕРН ПОДЗЕМ'!P38)*СПРАВОЧНИК!$J$7+('ФАКТ ЧЕРН ПОДЗЕМ'!Q38)*СПРАВОЧНИК!$H$8+('ФАКТ ЧЕРН ПОДЗЕМ'!R38)*СПРАВОЧНИК!$I$8+('ФАКТ ЧЕРН ПОДЗЕМ'!S38)*СПРАВОЧНИК!$J$8</f>
        <v/>
      </c>
      <c r="K47" s="34" t="n"/>
      <c r="N47" s="152">
        <f>N46+7</f>
        <v/>
      </c>
      <c r="O47" s="17">
        <f>'ПЛАН ЧИСТ ПОДЗЕМ'!B38*СПРАВОЧНИК!$L$3+'ПЛАН ЧИСТ ПОДЗЕМ'!C38*СПРАВОЧНИК!$M$3+'ПЛАН ЧИСТ ПОДЗЕМ'!D38*СПРАВОЧНИК!$N$3+'ПЛАН ЧИСТ ПОДЗЕМ'!E38*СПРАВОЧНИК!$O$3+'ПЛАН ЧИСТ ПОДЗЕМ'!F38*СПРАВОЧНИК!$P$3+'ПЛАН ЧИСТ ПОДЗЕМ'!G38*СПРАВОЧНИК!$L$4+'ПЛАН ЧИСТ ПОДЗЕМ'!H38*СПРАВОЧНИК!$M$4+'ПЛАН ЧИСТ ПОДЗЕМ'!I38*СПРАВОЧНИК!$N$4+'ПЛАН ЧИСТ ПОДЗЕМ'!J38*СПРАВОЧНИК!$O$4+'ПЛАН ЧИСТ ПОДЗЕМ'!K38*СПРАВОЧНИК!$P$4+'ПЛАН ЧИСТ ПОДЗЕМ'!L38*СПРАВОЧНИК!$L$5+'ПЛАН ЧИСТ ПОДЗЕМ'!M38*СПРАВОЧНИК!$M$5+'ПЛАН ЧИСТ ПОДЗЕМ'!N38*СПРАВОЧНИК!$N$5+'ПЛАН ЧИСТ ПОДЗЕМ'!O38*СПРАВОЧНИК!$O$5+'ПЛАН ЧИСТ ПОДЗЕМ'!P38*СПРАВОЧНИК!$P$5+'ПЛАН ЧИСТ ПОДЗЕМ'!Q38*СПРАВОЧНИК!$L$6+'ПЛАН ЧИСТ ПОДЗЕМ'!R38*СПРАВОЧНИК!$M$6+'ПЛАН ЧИСТ ПОДЗЕМ'!S38*СПРАВОЧНИК!$N$6+'ПЛАН ЧИСТ ПОДЗЕМ'!T38*СПРАВОЧНИК!$O$6+'ПЛАН ЧИСТ ПОДЗЕМ'!U38*СПРАВОЧНИК!$P$6+'ПЛАН ЧИСТ ПОДЗЕМ'!V38*СПРАВОЧНИК!$L$7+'ПЛАН ЧИСТ ПОДЗЕМ'!W38*СПРАВОЧНИК!$M$7+'ПЛАН ЧИСТ ПОДЗЕМ'!X38*СПРАВОЧНИК!$N$7+'ПЛАН ЧИСТ ПОДЗЕМ'!Y38*СПРАВОЧНИК!$O$7+'ПЛАН ЧИСТ ПОДЗЕМ'!Z38*СПРАВОЧНИК!$P$7+'ПЛАН ЧИСТ ПОДЗЕМ'!AA38*СПРАВОЧНИК!$L$8+'ПЛАН ЧИСТ ПОДЗЕМ'!AB38*СПРАВОЧНИК!$M$8+'ПЛАН ЧИСТ ПОДЗЕМ'!AC38*СПРАВОЧНИК!$N$8+'ПЛАН ЧИСТ ПОДЗЕМ'!AD38*СПРАВОЧНИК!$O$8+'ПЛАН ЧИСТ ПОДЗЕМ'!AE38*СПРАВОЧНИК!$P$8</f>
        <v/>
      </c>
      <c r="P47" s="31">
        <f>('ФАКТ ЧИСТ ПОДЗЕМ'!B38)*СПРАВОЧНИК!$L$3+('ФАКТ ЧИСТ ПОДЗЕМ'!C38)*СПРАВОЧНИК!$M$3+('ФАКТ ЧИСТ ПОДЗЕМ'!D38)*СПРАВОЧНИК!$N$3+('ФАКТ ЧИСТ ПОДЗЕМ'!E38)*СПРАВОЧНИК!$O$3+('ФАКТ ЧИСТ ПОДЗЕМ'!F38)*СПРАВОЧНИК!$P$3+('ФАКТ ЧИСТ ПОДЗЕМ'!G38)*СПРАВОЧНИК!$L$4+('ФАКТ ЧИСТ ПОДЗЕМ'!H38)*СПРАВОЧНИК!$M$4+('ФАКТ ЧИСТ ПОДЗЕМ'!I38)*СПРАВОЧНИК!$N$4+('ФАКТ ЧИСТ ПОДЗЕМ'!J38)*СПРАВОЧНИК!$O$4+('ФАКТ ЧИСТ ПОДЗЕМ'!K38)*СПРАВОЧНИК!$P$4+('ФАКТ ЧИСТ ПОДЗЕМ'!L38)*СПРАВОЧНИК!$L$5+('ФАКТ ЧИСТ ПОДЗЕМ'!M38)*СПРАВОЧНИК!$M$5+('ФАКТ ЧИСТ ПОДЗЕМ'!N38)*СПРАВОЧНИК!$N$5+('ФАКТ ЧИСТ ПОДЗЕМ'!O38)*СПРАВОЧНИК!$O$5+('ФАКТ ЧИСТ ПОДЗЕМ'!P38)*СПРАВОЧНИК!$P$5+('ФАКТ ЧИСТ ПОДЗЕМ'!Q38)*СПРАВОЧНИК!$L$6+('ФАКТ ЧИСТ ПОДЗЕМ'!R38)*СПРАВОЧНИК!$M$6+('ФАКТ ЧИСТ ПОДЗЕМ'!S38)*СПРАВОЧНИК!$N$6+('ФАКТ ЧИСТ ПОДЗЕМ'!T38)*СПРАВОЧНИК!$O$6+('ФАКТ ЧИСТ ПОДЗЕМ'!U38)*СПРАВОЧНИК!$P$6+('ФАКТ ЧИСТ ПОДЗЕМ'!V38)*СПРАВОЧНИК!$L$7+('ФАКТ ЧИСТ ПОДЗЕМ'!W38)*СПРАВОЧНИК!$M$7+('ФАКТ ЧИСТ ПОДЗЕМ'!X38)*СПРАВОЧНИК!$N$7+('ФАКТ ЧИСТ ПОДЗЕМ'!Y38)*СПРАВОЧНИК!$O$7+('ФАКТ ЧИСТ ПОДЗЕМ'!Z38)*СПРАВОЧНИК!$P$7+('ФАКТ ЧИСТ ПОДЗЕМ'!AA38)*СПРАВОЧНИК!$L$8+('ФАКТ ЧИСТ ПОДЗЕМ'!AB38)*СПРАВОЧНИК!$M$8+('ФАКТ ЧИСТ ПОДЗЕМ'!AC38)*СПРАВОЧНИК!$N$8+('ФАКТ ЧИСТ ПОДЗЕМ'!AD38)*СПРАВОЧНИК!$O$8+('ФАКТ ЧИСТ ПОДЗЕМ'!AE38)*СПРАВОЧНИК!$P$8</f>
        <v/>
      </c>
      <c r="Q47" s="34" t="n"/>
      <c r="T47" s="152">
        <f>T46+7</f>
        <v/>
      </c>
      <c r="U47" s="17">
        <f>СПРАВОЧНИК!$E$9*('ПЛАН ЧЕРН К1'!B38*СПРАВОЧНИК!$H$9+'ПЛАН ЧЕРН К1'!C38*СПРАВОЧНИК!$I$9+'ПЛАН ЧЕРН К1'!D38*СПРАВОЧНИК!$J$9)+СПРАВОЧНИК!$F$9*('ПЛАН ЧИСТ К1'!B38*СПРАВОЧНИК!$L$9+'ПЛАН ЧИСТ К1'!C38*СПРАВОЧНИК!$M$9+'ПЛАН ЧИСТ К1'!D38*СПРАВОЧНИК!$N$9+'ПЛАН ЧИСТ К1'!E38*СПРАВОЧНИК!$O$9+'ПЛАН ЧИСТ К1'!F38*СПРАВОЧНИК!$P$9)+СПРАВОЧНИК!$E$10*('ПЛАН ЧЕРН К1'!E38*СПРАВОЧНИК!$H$10+'ПЛАН ЧЕРН К1'!F38*СПРАВОЧНИК!$I$10+'ПЛАН ЧЕРН К1'!G38*СПРАВОЧНИК!$J$10)+СПРАВОЧНИК!$F$10*('ПЛАН ЧИСТ К1'!G38*СПРАВОЧНИК!$L$10+'ПЛАН ЧИСТ К1'!H38*СПРАВОЧНИК!$M$10+'ПЛАН ЧИСТ К1'!I38*СПРАВОЧНИК!$N$10+'ПЛАН ЧИСТ К1'!J38*СПРАВОЧНИК!$O$10+'ПЛАН ЧИСТ К1'!K38*СПРАВОЧНИК!$P$10)+СПРАВОЧНИК!$E$11*('ПЛАН ЧЕРН К1'!H38*СПРАВОЧНИК!$H$11+'ПЛАН ЧЕРН К1'!I38*СПРАВОЧНИК!$I$11+'ПЛАН ЧЕРН К1'!J38*СПРАВОЧНИК!$J$11)+СПРАВОЧНИК!$F$11*('ПЛАН ЧИСТ К1'!L38*СПРАВОЧНИК!$L$11+'ПЛАН ЧИСТ К1'!M38*СПРАВОЧНИК!$M$11+'ПЛАН ЧИСТ К1'!N38*СПРАВОЧНИК!$N$11+'ПЛАН ЧИСТ К1'!O38*СПРАВОЧНИК!$O$11+'ПЛАН ЧИСТ К1'!P38*СПРАВОЧНИК!$P$11)+СПРАВОЧНИК!$E$12*('ПЛАН ЧЕРН К1'!K38*СПРАВОЧНИК!$H$12+'ПЛАН ЧЕРН К1'!L38*СПРАВОЧНИК!$I$12+'ПЛАН ЧЕРН К1'!M38*СПРАВОЧНИК!$J$12)+СПРАВОЧНИК!$F$12*('ПЛАН ЧИСТ К1'!Q38*СПРАВОЧНИК!$L$12+'ПЛАН ЧИСТ К1'!R38*СПРАВОЧНИК!$M$12+'ПЛАН ЧИСТ К1'!S38*СПРАВОЧНИК!$N$12+'ПЛАН ЧИСТ К1'!T38*СПРАВОЧНИК!$O$12+'ПЛАН ЧИСТ К1'!U38*СПРАВОЧНИК!$P$12)+СПРАВОЧНИК!$E$13*('ПЛАН ЧЕРН К1'!N38*СПРАВОЧНИК!$H$13+'ПЛАН ЧЕРН К1'!O38*СПРАВОЧНИК!$I$13+'ПЛАН ЧЕРН К1'!P38*СПРАВОЧНИК!$J$13)+СПРАВОЧНИК!$F$13*('ПЛАН ЧИСТ К1'!V38*СПРАВОЧНИК!$L$13+'ПЛАН ЧИСТ К1'!W38*СПРАВОЧНИК!$M$13+'ПЛАН ЧИСТ К1'!X38*СПРАВОЧНИК!$N$13+'ПЛАН ЧИСТ К1'!Y38*СПРАВОЧНИК!$O$13+'ПЛАН ЧИСТ К1'!Z38*СПРАВОЧНИК!$P$13)+СПРАВОЧНИК!$E$14*('ПЛАН ЧЕРН К1'!Q38*СПРАВОЧНИК!$H$14+'ПЛАН ЧЕРН К1'!R38*СПРАВОЧНИК!$I$14+'ПЛАН ЧЕРН К1'!S38*СПРАВОЧНИК!$J$14)+СПРАВОЧНИК!$F$14*('ПЛАН ЧИСТ К1'!AA38*СПРАВОЧНИК!$L$14+'ПЛАН ЧИСТ К1'!AB38*СПРАВОЧНИК!$M$14+'ПЛАН ЧИСТ К1'!AC38*СПРАВОЧНИК!$N$14+'ПЛАН ЧИСТ К1'!AD38*СПРАВОЧНИК!$O$14+'ПЛАН ЧИСТ К1'!AE38*СПРАВОЧНИК!$P$14)+СПРАВОЧНИК!$E$15*('ПЛАН ЧЕРН К1'!T38*СПРАВОЧНИК!$H$15+'ПЛАН ЧЕРН К1'!U38*СПРАВОЧНИК!$I$15+'ПЛАН ЧЕРН К1'!V38*СПРАВОЧНИК!$J$15)+СПРАВОЧНИК!$F$15*('ПЛАН ЧИСТ К1'!AF38*СПРАВОЧНИК!$L$15+'ПЛАН ЧИСТ К1'!AG38*СПРАВОЧНИК!$M$15+'ПЛАН ЧИСТ К1'!AH38*СПРАВОЧНИК!$N$15+'ПЛАН ЧИСТ К1'!AI38*СПРАВОЧНИК!$O$15+'ПЛАН ЧИСТ К1'!AJ38*СПРАВОЧНИК!$P$15)</f>
        <v/>
      </c>
      <c r="V47" s="31">
        <f>СПРАВОЧНИК!$E$9*('ФАКТ ЧЕРН К1'!B38*СПРАВОЧНИК!$H$9+'ФАКТ ЧЕРН К1'!C38*СПРАВОЧНИК!$I$9+'ФАКТ ЧЕРН К1'!D38*СПРАВОЧНИК!$J$9)+СПРАВОЧНИК!$F$9*('ФАКТ ЧИСТ К1'!B38*СПРАВОЧНИК!$L$9+'ФАКТ ЧИСТ К1'!C38*СПРАВОЧНИК!$M$9+'ФАКТ ЧИСТ К1'!D38*СПРАВОЧНИК!$N$9+'ФАКТ ЧИСТ К1'!E38*СПРАВОЧНИК!$O$9+'ФАКТ ЧИСТ К1'!F38*СПРАВОЧНИК!$P$9)+СПРАВОЧНИК!$E$10*('ФАКТ ЧЕРН К1'!E38*СПРАВОЧНИК!$H$10+'ФАКТ ЧЕРН К1'!F38*СПРАВОЧНИК!$I$10+'ФАКТ ЧЕРН К1'!G38*СПРАВОЧНИК!$J$10)+СПРАВОЧНИК!$F$10*('ФАКТ ЧИСТ К1'!G38*СПРАВОЧНИК!$L$10+'ФАКТ ЧИСТ К1'!H38*СПРАВОЧНИК!$M$10+'ФАКТ ЧИСТ К1'!I38*СПРАВОЧНИК!$N$10+'ФАКТ ЧИСТ К1'!J38*СПРАВОЧНИК!$O$10+'ФАКТ ЧИСТ К1'!K38*СПРАВОЧНИК!$P$10)+СПРАВОЧНИК!$E$11*('ФАКТ ЧЕРН К1'!H38*СПРАВОЧНИК!$H$11+'ФАКТ ЧЕРН К1'!I38*СПРАВОЧНИК!$I$11+'ФАКТ ЧЕРН К1'!J38*СПРАВОЧНИК!$J$11)+СПРАВОЧНИК!$F$11*('ФАКТ ЧИСТ К1'!L38*СПРАВОЧНИК!$L$11+'ФАКТ ЧИСТ К1'!M38*СПРАВОЧНИК!$M$11+'ФАКТ ЧИСТ К1'!N38*СПРАВОЧНИК!$N$11+'ФАКТ ЧИСТ К1'!O38*СПРАВОЧНИК!$O$11+'ФАКТ ЧИСТ К1'!P38*СПРАВОЧНИК!$P$11)+СПРАВОЧНИК!$E$12*('ФАКТ ЧЕРН К1'!K38*СПРАВОЧНИК!$H$12+'ФАКТ ЧЕРН К1'!L38*СПРАВОЧНИК!$I$12+'ФАКТ ЧЕРН К1'!M38*СПРАВОЧНИК!$J$12)+СПРАВОЧНИК!$F$12*('ФАКТ ЧИСТ К1'!Q38*СПРАВОЧНИК!$L$12+'ФАКТ ЧИСТ К1'!R38*СПРАВОЧНИК!$M$12+'ФАКТ ЧИСТ К1'!S38*СПРАВОЧНИК!$N$12+'ФАКТ ЧИСТ К1'!T38*СПРАВОЧНИК!$O$12+'ФАКТ ЧИСТ К1'!U38*СПРАВОЧНИК!$P$12)+СПРАВОЧНИК!$E$13*('ФАКТ ЧЕРН К1'!N38*СПРАВОЧНИК!$H$13+'ФАКТ ЧЕРН К1'!O38*СПРАВОЧНИК!$I$13+'ФАКТ ЧЕРН К1'!P38*СПРАВОЧНИК!$J$13)+СПРАВОЧНИК!$F$13*('ФАКТ ЧИСТ К1'!V38*СПРАВОЧНИК!$L$13+'ФАКТ ЧИСТ К1'!W38*СПРАВОЧНИК!$M$13+'ФАКТ ЧИСТ К1'!X38*СПРАВОЧНИК!$N$13+'ФАКТ ЧИСТ К1'!Y38*СПРАВОЧНИК!$O$13+'ФАКТ ЧИСТ К1'!Z38*СПРАВОЧНИК!$P$13)+СПРАВОЧНИК!$E$14*('ФАКТ ЧЕРН К1'!Q38*СПРАВОЧНИК!$H$14+'ФАКТ ЧЕРН К1'!R38*СПРАВОЧНИК!$I$14+'ФАКТ ЧЕРН К1'!S38*СПРАВОЧНИК!$J$14)+СПРАВОЧНИК!$F$14*('ФАКТ ЧИСТ К1'!AA38*СПРАВОЧНИК!$L$14+'ФАКТ ЧИСТ К1'!AB38*СПРАВОЧНИК!$M$14+'ФАКТ ЧИСТ К1'!AC38*СПРАВОЧНИК!$N$14+'ФАКТ ЧИСТ К1'!AD38*СПРАВОЧНИК!$O$14+'ФАКТ ЧИСТ К1'!AE38*СПРАВОЧНИК!$P$14)+СПРАВОЧНИК!$E$15*('ФАКТ ЧЕРН К1'!T38*СПРАВОЧНИК!$H$15+'ФАКТ ЧЕРН К1'!U38*СПРАВОЧНИК!$I$15+'ФАКТ ЧЕРН К1'!V38*СПРАВОЧНИК!$J$15)+СПРАВОЧНИК!$F$15*('ФАКТ ЧИСТ К1'!AF38*СПРАВОЧНИК!$L$15+'ФАКТ ЧИСТ К1'!AG38*СПРАВОЧНИК!$M$15+'ФАКТ ЧИСТ К1'!AH38*СПРАВОЧНИК!$N$15+'ФАКТ ЧИСТ К1'!AI38*СПРАВОЧНИК!$O$15+'ФАКТ ЧИСТ К1'!AJ38*СПРАВОЧНИК!$P$15)</f>
        <v/>
      </c>
      <c r="W47" s="34" t="n"/>
      <c r="Z47" s="152">
        <f>Z46+7</f>
        <v/>
      </c>
      <c r="AA47" s="17">
        <f>'ПЛАН ЧЕРН К1'!B38*СПРАВОЧНИК!$H$9+'ПЛАН ЧЕРН К1'!C38*СПРАВОЧНИК!$I$9+'ПЛАН ЧЕРН К1'!D38*СПРАВОЧНИК!$J$9+'ПЛАН ЧЕРН К1'!E38*СПРАВОЧНИК!$H$10+'ПЛАН ЧЕРН К1'!F38*СПРАВОЧНИК!$I$10+'ПЛАН ЧЕРН К1'!G38*СПРАВОЧНИК!$J$10+'ПЛАН ЧЕРН К1'!H38*СПРАВОЧНИК!$H$11+'ПЛАН ЧЕРН К1'!I38*СПРАВОЧНИК!$I$11+'ПЛАН ЧЕРН К1'!J38*СПРАВОЧНИК!$J$11+'ПЛАН ЧЕРН К1'!K38*СПРАВОЧНИК!$H$12+'ПЛАН ЧЕРН К1'!L38*СПРАВОЧНИК!$I$12+'ПЛАН ЧЕРН К1'!M38*СПРАВОЧНИК!$J$12+'ПЛАН ЧЕРН К1'!N38*СПРАВОЧНИК!$H$13+'ПЛАН ЧЕРН К1'!O38*СПРАВОЧНИК!$I$13+'ПЛАН ЧЕРН К1'!P38*СПРАВОЧНИК!$J$13+'ПЛАН ЧЕРН К1'!Q38*СПРАВОЧНИК!$H$14+'ПЛАН ЧЕРН К1'!R38*СПРАВОЧНИК!$I$14+'ПЛАН ЧЕРН К1'!S38*СПРАВОЧНИК!$J$14+'ПЛАН ЧЕРН К1'!T38*СПРАВОЧНИК!$H$15+'ПЛАН ЧЕРН К1'!U38*СПРАВОЧНИК!$I$15+'ПЛАН ЧЕРН К1'!V38*СПРАВОЧНИК!$J$15</f>
        <v/>
      </c>
      <c r="AB47" s="31">
        <f>('ФАКТ ЧЕРН К1'!B38)*СПРАВОЧНИК!$H$9+('ФАКТ ЧЕРН К1'!C38)*СПРАВОЧНИК!$I$9+('ФАКТ ЧЕРН К1'!D38)*СПРАВОЧНИК!$J$9+('ФАКТ ЧЕРН К1'!E38)*СПРАВОЧНИК!$H$10+('ФАКТ ЧЕРН К1'!F38)*СПРАВОЧНИК!$I$10+('ФАКТ ЧЕРН К1'!G38)*СПРАВОЧНИК!$J$10+('ФАКТ ЧЕРН К1'!H38)*СПРАВОЧНИК!$H$11+('ФАКТ ЧЕРН К1'!I38)*СПРАВОЧНИК!$I$11+('ФАКТ ЧЕРН К1'!J38)*СПРАВОЧНИК!$J$11+('ФАКТ ЧЕРН К1'!K38)*СПРАВОЧНИК!$H$12+('ФАКТ ЧЕРН К1'!L38)*СПРАВОЧНИК!$I$12+('ФАКТ ЧЕРН К1'!M38)*СПРАВОЧНИК!$J$12+('ФАКТ ЧЕРН К1'!N38)*СПРАВОЧНИК!$H$13+('ФАКТ ЧЕРН К1'!O38)*СПРАВОЧНИК!$I$13+('ФАКТ ЧЕРН К1'!P38)*СПРАВОЧНИК!$J$13+('ФАКТ ЧЕРН К1'!Q38)*СПРАВОЧНИК!$H$14+('ФАКТ ЧЕРН К1'!R38)*СПРАВОЧНИК!$I$14+('ФАКТ ЧЕРН К1'!S38)*СПРАВОЧНИК!$J$14+('ФАКТ ЧЕРН К1'!T38)*СПРАВОЧНИК!$H$15+('ФАКТ ЧЕРН К1'!U38)*СПРАВОЧНИК!$I$15+('ФАКТ ЧЕРН К1'!V38)*СПРАВОЧНИК!$J$15</f>
        <v/>
      </c>
      <c r="AC47" s="34" t="n"/>
      <c r="AF47" s="152">
        <f>AF46+7</f>
        <v/>
      </c>
      <c r="AG47" s="17">
        <f>'ПЛАН ЧИСТ К1'!B38*СПРАВОЧНИК!$L$9+'ПЛАН ЧИСТ К1'!C38*СПРАВОЧНИК!$M$9+'ПЛАН ЧИСТ К1'!D38*СПРАВОЧНИК!$N$9+'ПЛАН ЧИСТ К1'!E38*СПРАВОЧНИК!$O$9+'ПЛАН ЧИСТ К1'!F38*СПРАВОЧНИК!$P$9+'ПЛАН ЧИСТ К1'!G38*СПРАВОЧНИК!$L$10+'ПЛАН ЧИСТ К1'!H38*СПРАВОЧНИК!$M$10+'ПЛАН ЧИСТ К1'!I38*СПРАВОЧНИК!$N$10+'ПЛАН ЧИСТ К1'!J38*СПРАВОЧНИК!$O$10+'ПЛАН ЧИСТ К1'!K38*СПРАВОЧНИК!$P$10+'ПЛАН ЧИСТ К1'!L38*СПРАВОЧНИК!$L$11+'ПЛАН ЧИСТ К1'!M38*СПРАВОЧНИК!$M$11+'ПЛАН ЧИСТ К1'!N38*СПРАВОЧНИК!$N$11+'ПЛАН ЧИСТ К1'!O38*СПРАВОЧНИК!$O$11+'ПЛАН ЧИСТ К1'!P38*СПРАВОЧНИК!$P$11+'ПЛАН ЧИСТ К1'!Q38*СПРАВОЧНИК!$L$12+'ПЛАН ЧИСТ К1'!R38*СПРАВОЧНИК!$M$12+'ПЛАН ЧИСТ К1'!S38*СПРАВОЧНИК!$N$12+'ПЛАН ЧИСТ К1'!T38*СПРАВОЧНИК!$O$12+'ПЛАН ЧИСТ К1'!U38*СПРАВОЧНИК!$P$12+'ПЛАН ЧИСТ К1'!V38*СПРАВОЧНИК!$L$13+'ПЛАН ЧИСТ К1'!W38*СПРАВОЧНИК!$M$13+'ПЛАН ЧИСТ К1'!X38*СПРАВОЧНИК!$N$13+'ПЛАН ЧИСТ К1'!Y38*СПРАВОЧНИК!$O$13+'ПЛАН ЧИСТ К1'!Z38*СПРАВОЧНИК!$P$13+'ПЛАН ЧИСТ К1'!AA38*СПРАВОЧНИК!$L$14+'ПЛАН ЧИСТ К1'!AB38*СПРАВОЧНИК!$M$14+'ПЛАН ЧИСТ К1'!AC38*СПРАВОЧНИК!$N$14+'ПЛАН ЧИСТ К1'!AD38*СПРАВОЧНИК!$O$14+'ПЛАН ЧИСТ К1'!AE38*СПРАВОЧНИК!$P$14+'ПЛАН ЧИСТ К1'!AF38*СПРАВОЧНИК!$L$15+'ПЛАН ЧИСТ К1'!AG38*СПРАВОЧНИК!$M$15+'ПЛАН ЧИСТ К1'!AH38*СПРАВОЧНИК!$N$15+'ПЛАН ЧИСТ К1'!AI38*СПРАВОЧНИК!$O$15+'ПЛАН ЧИСТ К1'!AJ38*СПРАВОЧНИК!$P$15</f>
        <v/>
      </c>
      <c r="AH47" s="31">
        <f>('ФАКТ ЧИСТ К1'!B38)*СПРАВОЧНИК!$L$9+('ФАКТ ЧИСТ К1'!C38)*СПРАВОЧНИК!$M$9+('ФАКТ ЧИСТ К1'!D38)*СПРАВОЧНИК!$N$9+('ФАКТ ЧИСТ К1'!E38)*СПРАВОЧНИК!$O$9+('ФАКТ ЧИСТ К1'!F38)*СПРАВОЧНИК!$P$9+('ФАКТ ЧИСТ К1'!G38)*СПРАВОЧНИК!$L$10+('ФАКТ ЧИСТ К1'!H38)*СПРАВОЧНИК!$M$10+('ФАКТ ЧИСТ К1'!I38)*СПРАВОЧНИК!$N$10+('ФАКТ ЧИСТ К1'!J38)*СПРАВОЧНИК!$O$10+('ФАКТ ЧИСТ К1'!K38)*СПРАВОЧНИК!$P$10+('ФАКТ ЧИСТ К1'!L38)*СПРАВОЧНИК!$L$11+('ФАКТ ЧИСТ К1'!M38)*СПРАВОЧНИК!$M$11+('ФАКТ ЧИСТ К1'!N38)*СПРАВОЧНИК!$N$11+('ФАКТ ЧИСТ К1'!O38)*СПРАВОЧНИК!$O$11+('ФАКТ ЧИСТ К1'!P38)*СПРАВОЧНИК!$P$11+('ФАКТ ЧИСТ К1'!Q38)*СПРАВОЧНИК!$L$12+('ФАКТ ЧИСТ К1'!R38)*СПРАВОЧНИК!$M$12+('ФАКТ ЧИСТ К1'!S38)*СПРАВОЧНИК!$N$12+('ФАКТ ЧИСТ К1'!T38)*СПРАВОЧНИК!$O$12+('ФАКТ ЧИСТ К1'!U38)*СПРАВОЧНИК!$P$12+('ФАКТ ЧИСТ К1'!V38)*СПРАВОЧНИК!$L$13+('ФАКТ ЧИСТ К1'!W38)*СПРАВОЧНИК!$M$13+('ФАКТ ЧИСТ К1'!X38)*СПРАВОЧНИК!$N$13+('ФАКТ ЧИСТ К1'!Y38)*СПРАВОЧНИК!$O$13+('ФАКТ ЧИСТ К1'!Z38)*СПРАВОЧНИК!$P$13+('ФАКТ ЧИСТ К1'!AA38)*СПРАВОЧНИК!$L$14+('ФАКТ ЧИСТ К1'!AB38)*СПРАВОЧНИК!$M$14+('ФАКТ ЧИСТ К1'!AC38)*СПРАВОЧНИК!$N$14+('ФАКТ ЧИСТ К1'!AD38)*СПРАВОЧНИК!$O$14+('ФАКТ ЧИСТ К1'!AE38)*СПРАВОЧНИК!$P$14+('ФАКТ ЧИСТ К1'!AF38)*СПРАВОЧНИК!$L$15+('ФАКТ ЧИСТ К1'!AG38)*СПРАВОЧНИК!$M$15+('ФАКТ ЧИСТ К1'!AH38)*СПРАВОЧНИК!$N$15+('ФАКТ ЧИСТ К1'!AI38)*СПРАВОЧНИК!$O$15+('ФАКТ ЧИСТ К1'!AJ38)*СПРАВОЧНИК!$P$15</f>
        <v/>
      </c>
      <c r="AI47" s="34" t="n"/>
      <c r="AL47" s="152">
        <f>AL46+7</f>
        <v/>
      </c>
      <c r="AM47" s="17">
        <f>СПРАВОЧНИК!$E$9*('ПЛАН ЧЕРН К2'!B38*СПРАВОЧНИК!$H$9+'ПЛАН ЧЕРН К2'!C38*СПРАВОЧНИК!$I$9+'ПЛАН ЧЕРН К2'!D38*СПРАВОЧНИК!$J$9)+СПРАВОЧНИК!$F$9*('ПЛАН ЧИСТ К2'!B38*СПРАВОЧНИК!$L$9+'ПЛАН ЧИСТ К2'!C38*СПРАВОЧНИК!$M$9+'ПЛАН ЧИСТ К2'!D38*СПРАВОЧНИК!$N$9+'ПЛАН ЧИСТ К2'!E38*СПРАВОЧНИК!$O$9+'ПЛАН ЧИСТ К2'!F38*СПРАВОЧНИК!$P$9)+СПРАВОЧНИК!$E$10*('ПЛАН ЧЕРН К2'!E38*СПРАВОЧНИК!$H$10+'ПЛАН ЧЕРН К2'!F38*СПРАВОЧНИК!$I$10+'ПЛАН ЧЕРН К2'!G38*СПРАВОЧНИК!$J$10)+СПРАВОЧНИК!$F$10*('ПЛАН ЧИСТ К2'!G38*СПРАВОЧНИК!$L$10+'ПЛАН ЧИСТ К2'!H38*СПРАВОЧНИК!$M$10+'ПЛАН ЧИСТ К2'!I38*СПРАВОЧНИК!$N$10+'ПЛАН ЧИСТ К2'!J38*СПРАВОЧНИК!$O$10+'ПЛАН ЧИСТ К2'!K38*СПРАВОЧНИК!$P$10)+СПРАВОЧНИК!$E$11*('ПЛАН ЧЕРН К2'!H38*СПРАВОЧНИК!$H$11+'ПЛАН ЧЕРН К2'!I38*СПРАВОЧНИК!$I$11+'ПЛАН ЧЕРН К2'!J38*СПРАВОЧНИК!$J$11)+СПРАВОЧНИК!$F$11*('ПЛАН ЧИСТ К2'!L38*СПРАВОЧНИК!$L$11+'ПЛАН ЧИСТ К2'!M38*СПРАВОЧНИК!$M$11+'ПЛАН ЧИСТ К2'!N38*СПРАВОЧНИК!$N$11+'ПЛАН ЧИСТ К2'!O38*СПРАВОЧНИК!$O$11+'ПЛАН ЧИСТ К2'!P38*СПРАВОЧНИК!$P$11)+СПРАВОЧНИК!$E$12*('ПЛАН ЧЕРН К2'!K38*СПРАВОЧНИК!$H$12+'ПЛАН ЧЕРН К2'!L38*СПРАВОЧНИК!$I$12+'ПЛАН ЧЕРН К2'!M38*СПРАВОЧНИК!$J$12)+СПРАВОЧНИК!$F$12*('ПЛАН ЧИСТ К2'!Q38*СПРАВОЧНИК!$L$12+'ПЛАН ЧИСТ К2'!R38*СПРАВОЧНИК!$M$12+'ПЛАН ЧИСТ К2'!S38*СПРАВОЧНИК!$N$12+'ПЛАН ЧИСТ К2'!T38*СПРАВОЧНИК!$O$12+'ПЛАН ЧИСТ К2'!U38*СПРАВОЧНИК!$P$12)+СПРАВОЧНИК!$E$13*('ПЛАН ЧЕРН К2'!N38*СПРАВОЧНИК!$H$13+'ПЛАН ЧЕРН К2'!O38*СПРАВОЧНИК!$I$13+'ПЛАН ЧЕРН К2'!P38*СПРАВОЧНИК!$J$13)+СПРАВОЧНИК!$F$13*('ПЛАН ЧИСТ К2'!V38*СПРАВОЧНИК!$L$13+'ПЛАН ЧИСТ К2'!W38*СПРАВОЧНИК!$M$13+'ПЛАН ЧИСТ К2'!X38*СПРАВОЧНИК!$N$13+'ПЛАН ЧИСТ К2'!Y38*СПРАВОЧНИК!$O$13+'ПЛАН ЧИСТ К2'!Z38*СПРАВОЧНИК!$P$13)+СПРАВОЧНИК!$E$14*('ПЛАН ЧЕРН К2'!Q38*СПРАВОЧНИК!$H$14+'ПЛАН ЧЕРН К2'!R38*СПРАВОЧНИК!$I$14+'ПЛАН ЧЕРН К2'!S38*СПРАВОЧНИК!$J$14)+СПРАВОЧНИК!$F$14*('ПЛАН ЧИСТ К2'!AA38*СПРАВОЧНИК!$L$14+'ПЛАН ЧИСТ К2'!AB38*СПРАВОЧНИК!$M$14+'ПЛАН ЧИСТ К2'!AC38*СПРАВОЧНИК!$N$14+'ПЛАН ЧИСТ К2'!AD38*СПРАВОЧНИК!$O$14+'ПЛАН ЧИСТ К2'!AE38*СПРАВОЧНИК!$P$14)+СПРАВОЧНИК!$E$15*('ПЛАН ЧЕРН К2'!T38*СПРАВОЧНИК!$H$15+'ПЛАН ЧЕРН К2'!U38*СПРАВОЧНИК!$I$15+'ПЛАН ЧЕРН К2'!V38*СПРАВОЧНИК!$J$15)+СПРАВОЧНИК!$F$15*('ПЛАН ЧИСТ К2'!AF38*СПРАВОЧНИК!$L$15+'ПЛАН ЧИСТ К2'!AG38*СПРАВОЧНИК!$M$15+'ПЛАН ЧИСТ К2'!AH38*СПРАВОЧНИК!$N$15+'ПЛАН ЧИСТ К2'!AI38*СПРАВОЧНИК!$O$15+'ПЛАН ЧИСТ К2'!AJ38*СПРАВОЧНИК!$P$15)</f>
        <v/>
      </c>
      <c r="AN47" s="31">
        <f>СПРАВОЧНИК!$E$9*('ФАКТ ЧЕРН К2'!B38*СПРАВОЧНИК!$H$9+'ФАКТ ЧЕРН К2'!C38*СПРАВОЧНИК!$I$9+'ФАКТ ЧЕРН К2'!D38*СПРАВОЧНИК!$J$9)+СПРАВОЧНИК!$F$9*('ФАКТ ЧИСТ К2'!B38*СПРАВОЧНИК!$L$9+'ФАКТ ЧИСТ К2'!C38*СПРАВОЧНИК!$M$9+'ФАКТ ЧИСТ К2'!D38*СПРАВОЧНИК!$N$9+'ФАКТ ЧИСТ К2'!E38*СПРАВОЧНИК!$O$9+'ФАКТ ЧИСТ К2'!F38*СПРАВОЧНИК!$P$9)+СПРАВОЧНИК!$E$10*('ФАКТ ЧЕРН К2'!E38*СПРАВОЧНИК!$H$10+'ФАКТ ЧЕРН К2'!F38*СПРАВОЧНИК!$I$10+'ФАКТ ЧЕРН К2'!G38*СПРАВОЧНИК!$J$10)+СПРАВОЧНИК!$F$10*('ФАКТ ЧИСТ К2'!G38*СПРАВОЧНИК!$L$10+'ФАКТ ЧИСТ К2'!H38*СПРАВОЧНИК!$M$10+'ФАКТ ЧИСТ К2'!I38*СПРАВОЧНИК!$N$10+'ФАКТ ЧИСТ К2'!J38*СПРАВОЧНИК!$O$10+'ФАКТ ЧИСТ К2'!K38*СПРАВОЧНИК!$P$10)+СПРАВОЧНИК!$E$11*('ФАКТ ЧЕРН К2'!H38*СПРАВОЧНИК!$H$11+'ФАКТ ЧЕРН К2'!I38*СПРАВОЧНИК!$I$11+'ФАКТ ЧЕРН К2'!J38*СПРАВОЧНИК!$J$11)+СПРАВОЧНИК!$F$11*('ФАКТ ЧИСТ К2'!L38*СПРАВОЧНИК!$L$11+'ФАКТ ЧИСТ К2'!M38*СПРАВОЧНИК!$M$11+'ФАКТ ЧИСТ К2'!N38*СПРАВОЧНИК!$N$11+'ФАКТ ЧИСТ К2'!O38*СПРАВОЧНИК!$O$11+'ФАКТ ЧИСТ К2'!P38*СПРАВОЧНИК!$P$11)+СПРАВОЧНИК!$E$12*('ФАКТ ЧЕРН К2'!K38*СПРАВОЧНИК!$H$12+'ФАКТ ЧЕРН К2'!L38*СПРАВОЧНИК!$I$12+'ФАКТ ЧЕРН К2'!M38*СПРАВОЧНИК!$J$12)+СПРАВОЧНИК!$F$12*('ФАКТ ЧИСТ К2'!Q38*СПРАВОЧНИК!$L$12+'ФАКТ ЧИСТ К2'!R38*СПРАВОЧНИК!$M$12+'ФАКТ ЧИСТ К2'!S38*СПРАВОЧНИК!$N$12+'ФАКТ ЧИСТ К2'!T38*СПРАВОЧНИК!$O$12+'ФАКТ ЧИСТ К2'!U38*СПРАВОЧНИК!$P$12)+СПРАВОЧНИК!$E$13*('ФАКТ ЧЕРН К2'!N38*СПРАВОЧНИК!$H$13+'ФАКТ ЧЕРН К2'!O38*СПРАВОЧНИК!$I$13+'ФАКТ ЧЕРН К2'!P38*СПРАВОЧНИК!$J$13)+СПРАВОЧНИК!$F$13*('ФАКТ ЧИСТ К2'!V38*СПРАВОЧНИК!$L$13+'ФАКТ ЧИСТ К2'!W38*СПРАВОЧНИК!$M$13+'ФАКТ ЧИСТ К2'!X38*СПРАВОЧНИК!$N$13+'ФАКТ ЧИСТ К2'!Y38*СПРАВОЧНИК!$O$13+'ФАКТ ЧИСТ К2'!Z38*СПРАВОЧНИК!$P$13)+СПРАВОЧНИК!$E$14*('ФАКТ ЧЕРН К2'!Q38*СПРАВОЧНИК!$H$14+'ФАКТ ЧЕРН К2'!R38*СПРАВОЧНИК!$I$14+'ФАКТ ЧЕРН К2'!S38*СПРАВОЧНИК!$J$14)+СПРАВОЧНИК!$F$14*('ФАКТ ЧИСТ К2'!AA38*СПРАВОЧНИК!$L$14+'ФАКТ ЧИСТ К2'!AB38*СПРАВОЧНИК!$M$14+'ФАКТ ЧИСТ К2'!AC38*СПРАВОЧНИК!$N$14+'ФАКТ ЧИСТ К2'!AD38*СПРАВОЧНИК!$O$14+'ФАКТ ЧИСТ К2'!AE38*СПРАВОЧНИК!$P$14)+СПРАВОЧНИК!$E$15*('ФАКТ ЧЕРН К2'!T38*СПРАВОЧНИК!$H$15+'ФАКТ ЧЕРН К2'!U38*СПРАВОЧНИК!$I$15+'ФАКТ ЧЕРН К2'!V38*СПРАВОЧНИК!$J$15)+СПРАВОЧНИК!$F$15*('ФАКТ ЧИСТ К2'!AF38*СПРАВОЧНИК!$L$15+'ФАКТ ЧИСТ К2'!AG38*СПРАВОЧНИК!$M$15+'ФАКТ ЧИСТ К2'!AH38*СПРАВОЧНИК!$N$15+'ФАКТ ЧИСТ К2'!AI38*СПРАВОЧНИК!$O$15+'ФАКТ ЧИСТ К2'!AJ38*СПРАВОЧНИК!$P$15)</f>
        <v/>
      </c>
      <c r="AO47" s="34" t="n"/>
      <c r="AR47" s="152">
        <f>AR46+7</f>
        <v/>
      </c>
      <c r="AS47" s="17">
        <f>'ПЛАН ЧЕРН К2'!B38*СПРАВОЧНИК!$H$9+'ПЛАН ЧЕРН К2'!C38*СПРАВОЧНИК!$I$9+'ПЛАН ЧЕРН К2'!D38*СПРАВОЧНИК!$J$9+'ПЛАН ЧЕРН К2'!E38*СПРАВОЧНИК!$H$10+'ПЛАН ЧЕРН К2'!F38*СПРАВОЧНИК!$I$10+'ПЛАН ЧЕРН К2'!G38*СПРАВОЧНИК!$J$10+'ПЛАН ЧЕРН К2'!H38*СПРАВОЧНИК!$H$11+'ПЛАН ЧЕРН К2'!I38*СПРАВОЧНИК!$I$11+'ПЛАН ЧЕРН К2'!J38*СПРАВОЧНИК!$J$11+'ПЛАН ЧЕРН К2'!K38*СПРАВОЧНИК!$H$12+'ПЛАН ЧЕРН К2'!L38*СПРАВОЧНИК!$I$12+'ПЛАН ЧЕРН К2'!M38*СПРАВОЧНИК!$J$12+'ПЛАН ЧЕРН К2'!N38*СПРАВОЧНИК!$H$13+'ПЛАН ЧЕРН К2'!O38*СПРАВОЧНИК!$I$13+'ПЛАН ЧЕРН К2'!P38*СПРАВОЧНИК!$J$13+'ПЛАН ЧЕРН К2'!Q38*СПРАВОЧНИК!$H$14+'ПЛАН ЧЕРН К2'!R38*СПРАВОЧНИК!$I$14+'ПЛАН ЧЕРН К2'!S38*СПРАВОЧНИК!$J$14+'ПЛАН ЧЕРН К2'!T38*СПРАВОЧНИК!$H$15+'ПЛАН ЧЕРН К2'!U38*СПРАВОЧНИК!$I$15+'ПЛАН ЧЕРН К2'!V38*СПРАВОЧНИК!$J$15</f>
        <v/>
      </c>
      <c r="AT47" s="31">
        <f>('ФАКТ ЧЕРН К2'!B38)*СПРАВОЧНИК!$H$9+('ФАКТ ЧЕРН К2'!C38)*СПРАВОЧНИК!$I$9+('ФАКТ ЧЕРН К2'!D38)*СПРАВОЧНИК!$J$9+('ФАКТ ЧЕРН К2'!E38)*СПРАВОЧНИК!$H$10+('ФАКТ ЧЕРН К2'!F38)*СПРАВОЧНИК!$I$10+('ФАКТ ЧЕРН К2'!G38)*СПРАВОЧНИК!$J$10+('ФАКТ ЧЕРН К2'!H38)*СПРАВОЧНИК!$H$11+('ФАКТ ЧЕРН К2'!I38)*СПРАВОЧНИК!$I$11+('ФАКТ ЧЕРН К2'!J38)*СПРАВОЧНИК!$J$11+('ФАКТ ЧЕРН К2'!K38)*СПРАВОЧНИК!$H$12+('ФАКТ ЧЕРН К2'!L38)*СПРАВОЧНИК!$I$12+('ФАКТ ЧЕРН К2'!M38)*СПРАВОЧНИК!$J$12+('ФАКТ ЧЕРН К2'!N38)*СПРАВОЧНИК!$H$13+('ФАКТ ЧЕРН К2'!O38)*СПРАВОЧНИК!$I$13+('ФАКТ ЧЕРН К2'!P38)*СПРАВОЧНИК!$J$13+('ФАКТ ЧЕРН К2'!Q38)*СПРАВОЧНИК!$H$14+('ФАКТ ЧЕРН К2'!R38)*СПРАВОЧНИК!$I$14+('ФАКТ ЧЕРН К2'!S38)*СПРАВОЧНИК!$J$14+('ФАКТ ЧЕРН К2'!T38)*СПРАВОЧНИК!$H$15+('ФАКТ ЧЕРН К2'!U38)*СПРАВОЧНИК!$I$15+('ФАКТ ЧЕРН К2'!V38)*СПРАВОЧНИК!$J$15</f>
        <v/>
      </c>
      <c r="AU47" s="34" t="n"/>
      <c r="AX47" s="152">
        <f>AX46+7</f>
        <v/>
      </c>
      <c r="AY47" s="17">
        <f>'ПЛАН ЧИСТ К2'!B38*СПРАВОЧНИК!$L$9+'ПЛАН ЧИСТ К2'!C38*СПРАВОЧНИК!$M$9+'ПЛАН ЧИСТ К2'!D38*СПРАВОЧНИК!$N$9+'ПЛАН ЧИСТ К2'!E38*СПРАВОЧНИК!$O$9+'ПЛАН ЧИСТ К2'!F38*СПРАВОЧНИК!$P$9+'ПЛАН ЧИСТ К2'!G38*СПРАВОЧНИК!$L$10+'ПЛАН ЧИСТ К2'!H38*СПРАВОЧНИК!$M$10+'ПЛАН ЧИСТ К2'!I38*СПРАВОЧНИК!$N$10+'ПЛАН ЧИСТ К2'!J38*СПРАВОЧНИК!$O$10+'ПЛАН ЧИСТ К2'!K38*СПРАВОЧНИК!$P$10+'ПЛАН ЧИСТ К2'!L38*СПРАВОЧНИК!$L$11+'ПЛАН ЧИСТ К2'!M38*СПРАВОЧНИК!$M$11+'ПЛАН ЧИСТ К2'!N38*СПРАВОЧНИК!$N$11+'ПЛАН ЧИСТ К2'!O38*СПРАВОЧНИК!$O$11+'ПЛАН ЧИСТ К2'!P38*СПРАВОЧНИК!$P$11+'ПЛАН ЧИСТ К2'!Q38*СПРАВОЧНИК!$L$12+'ПЛАН ЧИСТ К2'!R38*СПРАВОЧНИК!$M$12+'ПЛАН ЧИСТ К2'!S38*СПРАВОЧНИК!$N$12+'ПЛАН ЧИСТ К2'!T38*СПРАВОЧНИК!$O$12+'ПЛАН ЧИСТ К2'!U38*СПРАВОЧНИК!$P$12+'ПЛАН ЧИСТ К2'!V38*СПРАВОЧНИК!$L$13+'ПЛАН ЧИСТ К2'!W38*СПРАВОЧНИК!$M$13+'ПЛАН ЧИСТ К2'!X38*СПРАВОЧНИК!$N$13+'ПЛАН ЧИСТ К2'!Y38*СПРАВОЧНИК!$O$13+'ПЛАН ЧИСТ К2'!Z38*СПРАВОЧНИК!$P$13+'ПЛАН ЧИСТ К2'!AA38*СПРАВОЧНИК!$L$14+'ПЛАН ЧИСТ К2'!AB38*СПРАВОЧНИК!$M$14+'ПЛАН ЧИСТ К2'!AC38*СПРАВОЧНИК!$N$14+'ПЛАН ЧИСТ К2'!AD38*СПРАВОЧНИК!$O$14+'ПЛАН ЧИСТ К2'!AE38*СПРАВОЧНИК!$P$14+'ПЛАН ЧИСТ К2'!AF38*СПРАВОЧНИК!$L$15+'ПЛАН ЧИСТ К2'!AG38*СПРАВОЧНИК!$M$15+'ПЛАН ЧИСТ К2'!AH38*СПРАВОЧНИК!$N$15+'ПЛАН ЧИСТ К2'!AI38*СПРАВОЧНИК!$O$15+'ПЛАН ЧИСТ К2'!AJ38*СПРАВОЧНИК!$P$15</f>
        <v/>
      </c>
      <c r="AZ47" s="31">
        <f>('ФАКТ ЧИСТ К2'!B38)*СПРАВОЧНИК!$L$9+('ФАКТ ЧИСТ К2'!C38)*СПРАВОЧНИК!$M$9+('ФАКТ ЧИСТ К2'!D38)*СПРАВОЧНИК!$N$9+('ФАКТ ЧИСТ К2'!E38)*СПРАВОЧНИК!$O$9+('ФАКТ ЧИСТ К2'!F38)*СПРАВОЧНИК!$P$9+('ФАКТ ЧИСТ К2'!G38)*СПРАВОЧНИК!$L$10+('ФАКТ ЧИСТ К2'!H38)*СПРАВОЧНИК!$M$10+('ФАКТ ЧИСТ К2'!I38)*СПРАВОЧНИК!$N$10+('ФАКТ ЧИСТ К2'!J38)*СПРАВОЧНИК!$O$10+('ФАКТ ЧИСТ К2'!K38)*СПРАВОЧНИК!$P$10+('ФАКТ ЧИСТ К2'!L38)*СПРАВОЧНИК!$L$11+('ФАКТ ЧИСТ К2'!M38)*СПРАВОЧНИК!$M$11+('ФАКТ ЧИСТ К2'!N38)*СПРАВОЧНИК!$N$11+('ФАКТ ЧИСТ К2'!O38)*СПРАВОЧНИК!$O$11+('ФАКТ ЧИСТ К2'!P38)*СПРАВОЧНИК!$P$11+('ФАКТ ЧИСТ К2'!Q38)*СПРАВОЧНИК!$L$12+('ФАКТ ЧИСТ К2'!R38)*СПРАВОЧНИК!$M$12+('ФАКТ ЧИСТ К2'!S38)*СПРАВОЧНИК!$N$12+('ФАКТ ЧИСТ К2'!T38)*СПРАВОЧНИК!$O$12+('ФАКТ ЧИСТ К2'!U38)*СПРАВОЧНИК!$P$12+('ФАКТ ЧИСТ К2'!V38)*СПРАВОЧНИК!$L$13+('ФАКТ ЧИСТ К2'!W38)*СПРАВОЧНИК!$M$13+('ФАКТ ЧИСТ К2'!X38)*СПРАВОЧНИК!$N$13+('ФАКТ ЧИСТ К2'!Y38)*СПРАВОЧНИК!$O$13+('ФАКТ ЧИСТ К2'!Z38)*СПРАВОЧНИК!$P$13+('ФАКТ ЧИСТ К2'!AA38)*СПРАВОЧНИК!$L$14+('ФАКТ ЧИСТ К2'!AB38)*СПРАВОЧНИК!$M$14+('ФАКТ ЧИСТ К2'!AC38)*СПРАВОЧНИК!$N$14+('ФАКТ ЧИСТ К2'!AD38)*СПРАВОЧНИК!$O$14+('ФАКТ ЧИСТ К2'!AE38)*СПРАВОЧНИК!$P$14+('ФАКТ ЧИСТ К2'!AF38)*СПРАВОЧНИК!$L$15+('ФАКТ ЧИСТ К2'!AG38)*СПРАВОЧНИК!$M$15+('ФАКТ ЧИСТ К2'!AH38)*СПРАВОЧНИК!$N$15+('ФАКТ ЧИСТ К2'!AI38)*СПРАВОЧНИК!$O$15+('ФАКТ ЧИСТ К2'!AJ38)*СПРАВОЧНИК!$P$15</f>
        <v/>
      </c>
      <c r="BA47" s="34" t="n"/>
      <c r="BD47" s="152">
        <f>BD46+7</f>
        <v/>
      </c>
      <c r="BE47" s="17">
        <f>СПРАВОЧНИК!$E$9*('ПЛАН ЧЕРН К3'!B38*СПРАВОЧНИК!$H$9+'ПЛАН ЧЕРН К3'!C38*СПРАВОЧНИК!$I$9+'ПЛАН ЧЕРН К3'!D38*СПРАВОЧНИК!$J$9)+СПРАВОЧНИК!$F$9*('ПЛАН ЧИСТ К3'!B38*СПРАВОЧНИК!$L$9+'ПЛАН ЧИСТ К3'!C38*СПРАВОЧНИК!$M$9+'ПЛАН ЧИСТ К3'!D38*СПРАВОЧНИК!$N$9+'ПЛАН ЧИСТ К3'!E38*СПРАВОЧНИК!$O$9+'ПЛАН ЧИСТ К3'!F38*СПРАВОЧНИК!$P$9)+СПРАВОЧНИК!$E$10*('ПЛАН ЧЕРН К3'!E38*СПРАВОЧНИК!$H$10+'ПЛАН ЧЕРН К3'!F38*СПРАВОЧНИК!$I$10+'ПЛАН ЧЕРН К3'!G38*СПРАВОЧНИК!$J$10)+СПРАВОЧНИК!$F$10*('ПЛАН ЧИСТ К3'!G38*СПРАВОЧНИК!$L$10+'ПЛАН ЧИСТ К3'!H38*СПРАВОЧНИК!$M$10+'ПЛАН ЧИСТ К3'!I38*СПРАВОЧНИК!$N$10+'ПЛАН ЧИСТ К3'!J38*СПРАВОЧНИК!$O$10+'ПЛАН ЧИСТ К3'!K38*СПРАВОЧНИК!$P$10)+СПРАВОЧНИК!$E$11*('ПЛАН ЧЕРН К3'!H38*СПРАВОЧНИК!$H$11+'ПЛАН ЧЕРН К3'!I38*СПРАВОЧНИК!$I$11+'ПЛАН ЧЕРН К3'!J38*СПРАВОЧНИК!$J$11)+СПРАВОЧНИК!$F$11*('ПЛАН ЧИСТ К3'!L38*СПРАВОЧНИК!$L$11+'ПЛАН ЧИСТ К3'!M38*СПРАВОЧНИК!$M$11+'ПЛАН ЧИСТ К3'!N38*СПРАВОЧНИК!$N$11+'ПЛАН ЧИСТ К3'!O38*СПРАВОЧНИК!$O$11+'ПЛАН ЧИСТ К3'!P38*СПРАВОЧНИК!$P$11)+СПРАВОЧНИК!$E$12*('ПЛАН ЧЕРН К3'!K38*СПРАВОЧНИК!$H$12+'ПЛАН ЧЕРН К3'!L38*СПРАВОЧНИК!$I$12+'ПЛАН ЧЕРН К3'!M38*СПРАВОЧНИК!$J$12)+СПРАВОЧНИК!$F$12*('ПЛАН ЧИСТ К3'!Q38*СПРАВОЧНИК!$L$12+'ПЛАН ЧИСТ К3'!R38*СПРАВОЧНИК!$M$12+'ПЛАН ЧИСТ К3'!S38*СПРАВОЧНИК!$N$12+'ПЛАН ЧИСТ К3'!T38*СПРАВОЧНИК!$O$12+'ПЛАН ЧИСТ К3'!U38*СПРАВОЧНИК!$P$12)+СПРАВОЧНИК!$E$13*('ПЛАН ЧЕРН К3'!N38*СПРАВОЧНИК!$H$13+'ПЛАН ЧЕРН К3'!O38*СПРАВОЧНИК!$I$13+'ПЛАН ЧЕРН К3'!P38*СПРАВОЧНИК!$J$13)+СПРАВОЧНИК!$F$13*('ПЛАН ЧИСТ К3'!V38*СПРАВОЧНИК!$L$13+'ПЛАН ЧИСТ К3'!W38*СПРАВОЧНИК!$M$13+'ПЛАН ЧИСТ К3'!X38*СПРАВОЧНИК!$N$13+'ПЛАН ЧИСТ К3'!Y38*СПРАВОЧНИК!$O$13+'ПЛАН ЧИСТ К3'!Z38*СПРАВОЧНИК!$P$13)+СПРАВОЧНИК!$E$14*('ПЛАН ЧЕРН К3'!Q38*СПРАВОЧНИК!$H$14+'ПЛАН ЧЕРН К3'!R38*СПРАВОЧНИК!$I$14+'ПЛАН ЧЕРН К3'!S38*СПРАВОЧНИК!$J$14)+СПРАВОЧНИК!$F$14*('ПЛАН ЧИСТ К3'!AA38*СПРАВОЧНИК!$L$14+'ПЛАН ЧИСТ К3'!AB38*СПРАВОЧНИК!$M$14+'ПЛАН ЧИСТ К3'!AC38*СПРАВОЧНИК!$N$14+'ПЛАН ЧИСТ К3'!AD38*СПРАВОЧНИК!$O$14+'ПЛАН ЧИСТ К3'!AE38*СПРАВОЧНИК!$P$14)+СПРАВОЧНИК!$E$15*('ПЛАН ЧЕРН К3'!T38*СПРАВОЧНИК!$H$15+'ПЛАН ЧЕРН К3'!U38*СПРАВОЧНИК!$I$15+'ПЛАН ЧЕРН К3'!V38*СПРАВОЧНИК!$J$15)+СПРАВОЧНИК!$F$15*('ПЛАН ЧИСТ К3'!AF38*СПРАВОЧНИК!$L$15+'ПЛАН ЧИСТ К3'!AG38*СПРАВОЧНИК!$M$15+'ПЛАН ЧИСТ К3'!AH38*СПРАВОЧНИК!$N$15+'ПЛАН ЧИСТ К3'!AI38*СПРАВОЧНИК!$O$15+'ПЛАН ЧИСТ К3'!AJ38*СПРАВОЧНИК!$P$15)</f>
        <v/>
      </c>
      <c r="BF47" s="31">
        <f>СПРАВОЧНИК!$E$9*('ФАКТ ЧЕРН К3'!B38*СПРАВОЧНИК!$H$9+'ФАКТ ЧЕРН К3'!C38*СПРАВОЧНИК!$I$9+'ФАКТ ЧЕРН К3'!D38*СПРАВОЧНИК!$J$9)+СПРАВОЧНИК!$F$9*('ФАКТ ЧИСТ К3'!B38*СПРАВОЧНИК!$L$9+'ФАКТ ЧИСТ К3'!C38*СПРАВОЧНИК!$M$9+'ФАКТ ЧИСТ К3'!D38*СПРАВОЧНИК!$N$9+'ФАКТ ЧИСТ К3'!E38*СПРАВОЧНИК!$O$9+'ФАКТ ЧИСТ К3'!F38*СПРАВОЧНИК!$P$9)+СПРАВОЧНИК!$E$10*('ФАКТ ЧЕРН К3'!E38*СПРАВОЧНИК!$H$10+'ФАКТ ЧЕРН К3'!F38*СПРАВОЧНИК!$I$10+'ФАКТ ЧЕРН К3'!G38*СПРАВОЧНИК!$J$10)+СПРАВОЧНИК!$F$10*('ФАКТ ЧИСТ К3'!G38*СПРАВОЧНИК!$L$10+'ФАКТ ЧИСТ К3'!H38*СПРАВОЧНИК!$M$10+'ФАКТ ЧИСТ К3'!I38*СПРАВОЧНИК!$N$10+'ФАКТ ЧИСТ К3'!J38*СПРАВОЧНИК!$O$10+'ФАКТ ЧИСТ К3'!K38*СПРАВОЧНИК!$P$10)+СПРАВОЧНИК!$E$11*('ФАКТ ЧЕРН К3'!H38*СПРАВОЧНИК!$H$11+'ФАКТ ЧЕРН К3'!I38*СПРАВОЧНИК!$I$11+'ФАКТ ЧЕРН К3'!J38*СПРАВОЧНИК!$J$11)+СПРАВОЧНИК!$F$11*('ФАКТ ЧИСТ К3'!L38*СПРАВОЧНИК!$L$11+'ФАКТ ЧИСТ К3'!M38*СПРАВОЧНИК!$M$11+'ФАКТ ЧИСТ К3'!N38*СПРАВОЧНИК!$N$11+'ФАКТ ЧИСТ К3'!O38*СПРАВОЧНИК!$O$11+'ФАКТ ЧИСТ К3'!P38*СПРАВОЧНИК!$P$11)+СПРАВОЧНИК!$E$12*('ФАКТ ЧЕРН К3'!K38*СПРАВОЧНИК!$H$12+'ФАКТ ЧЕРН К3'!L38*СПРАВОЧНИК!$I$12+'ФАКТ ЧЕРН К3'!M38*СПРАВОЧНИК!$J$12)+СПРАВОЧНИК!$F$12*('ФАКТ ЧИСТ К3'!Q38*СПРАВОЧНИК!$L$12+'ФАКТ ЧИСТ К3'!R38*СПРАВОЧНИК!$M$12+'ФАКТ ЧИСТ К3'!S38*СПРАВОЧНИК!$N$12+'ФАКТ ЧИСТ К3'!T38*СПРАВОЧНИК!$O$12+'ФАКТ ЧИСТ К3'!U38*СПРАВОЧНИК!$P$12)+СПРАВОЧНИК!$E$13*('ФАКТ ЧЕРН К3'!N38*СПРАВОЧНИК!$H$13+'ФАКТ ЧЕРН К3'!O38*СПРАВОЧНИК!$I$13+'ФАКТ ЧЕРН К3'!P38*СПРАВОЧНИК!$J$13)+СПРАВОЧНИК!$F$13*('ФАКТ ЧИСТ К3'!V38*СПРАВОЧНИК!$L$13+'ФАКТ ЧИСТ К3'!W38*СПРАВОЧНИК!$M$13+'ФАКТ ЧИСТ К3'!X38*СПРАВОЧНИК!$N$13+'ФАКТ ЧИСТ К3'!Y38*СПРАВОЧНИК!$O$13+'ФАКТ ЧИСТ К3'!Z38*СПРАВОЧНИК!$P$13)+СПРАВОЧНИК!$E$14*('ФАКТ ЧЕРН К3'!Q38*СПРАВОЧНИК!$H$14+'ФАКТ ЧЕРН К3'!R38*СПРАВОЧНИК!$I$14+'ФАКТ ЧЕРН К3'!S38*СПРАВОЧНИК!$J$14)+СПРАВОЧНИК!$F$14*('ФАКТ ЧИСТ К3'!AA38*СПРАВОЧНИК!$L$14+'ФАКТ ЧИСТ К3'!AB38*СПРАВОЧНИК!$M$14+'ФАКТ ЧИСТ К3'!AC38*СПРАВОЧНИК!$N$14+'ФАКТ ЧИСТ К3'!AD38*СПРАВОЧНИК!$O$14+'ФАКТ ЧИСТ К3'!AE38*СПРАВОЧНИК!$P$14)+СПРАВОЧНИК!$E$15*('ФАКТ ЧЕРН К3'!T38*СПРАВОЧНИК!$H$15+'ФАКТ ЧЕРН К3'!U38*СПРАВОЧНИК!$I$15+'ФАКТ ЧЕРН К3'!V38*СПРАВОЧНИК!$J$15)+СПРАВОЧНИК!$F$15*('ФАКТ ЧИСТ К3'!AF38*СПРАВОЧНИК!$L$15+'ФАКТ ЧИСТ К3'!AG38*СПРАВОЧНИК!$M$15+'ФАКТ ЧИСТ К3'!AH38*СПРАВОЧНИК!$N$15+'ФАКТ ЧИСТ К3'!AI38*СПРАВОЧНИК!$O$15+'ФАКТ ЧИСТ К3'!AJ38*СПРАВОЧНИК!$P$15)</f>
        <v/>
      </c>
      <c r="BG47" s="34" t="n"/>
      <c r="BJ47" s="152">
        <f>BJ46+7</f>
        <v/>
      </c>
      <c r="BK47" s="17">
        <f>'ПЛАН ЧЕРН К3'!B38*СПРАВОЧНИК!$H$9+'ПЛАН ЧЕРН К3'!C38*СПРАВОЧНИК!$I$9+'ПЛАН ЧЕРН К3'!D38*СПРАВОЧНИК!$J$9+'ПЛАН ЧЕРН К3'!E38*СПРАВОЧНИК!$H$10+'ПЛАН ЧЕРН К3'!F38*СПРАВОЧНИК!$I$10+'ПЛАН ЧЕРН К3'!G38*СПРАВОЧНИК!$J$10+'ПЛАН ЧЕРН К3'!H38*СПРАВОЧНИК!$H$11+'ПЛАН ЧЕРН К3'!I38*СПРАВОЧНИК!$I$11+'ПЛАН ЧЕРН К3'!J38*СПРАВОЧНИК!$J$11+'ПЛАН ЧЕРН К3'!K38*СПРАВОЧНИК!$H$12+'ПЛАН ЧЕРН К3'!L38*СПРАВОЧНИК!$I$12+'ПЛАН ЧЕРН К3'!M38*СПРАВОЧНИК!$J$12+'ПЛАН ЧЕРН К3'!N38*СПРАВОЧНИК!$H$13+'ПЛАН ЧЕРН К3'!O38*СПРАВОЧНИК!$I$13+'ПЛАН ЧЕРН К3'!P38*СПРАВОЧНИК!$J$13+'ПЛАН ЧЕРН К3'!Q38*СПРАВОЧНИК!$H$14+'ПЛАН ЧЕРН К3'!R38*СПРАВОЧНИК!$I$14+'ПЛАН ЧЕРН К3'!S38*СПРАВОЧНИК!$J$14+'ПЛАН ЧЕРН К3'!T38*СПРАВОЧНИК!$H$15+'ПЛАН ЧЕРН К3'!U38*СПРАВОЧНИК!$I$15+'ПЛАН ЧЕРН К3'!V38*СПРАВОЧНИК!$J$15</f>
        <v/>
      </c>
      <c r="BL47" s="31">
        <f>('ФАКТ ЧЕРН К3'!B38)*СПРАВОЧНИК!$H$9+('ФАКТ ЧЕРН К3'!C38)*СПРАВОЧНИК!$I$9+('ФАКТ ЧЕРН К3'!D38)*СПРАВОЧНИК!$J$9+('ФАКТ ЧЕРН К3'!E38)*СПРАВОЧНИК!$H$10+('ФАКТ ЧЕРН К3'!F38)*СПРАВОЧНИК!$I$10+('ФАКТ ЧЕРН К3'!G38)*СПРАВОЧНИК!$J$10+('ФАКТ ЧЕРН К3'!H38)*СПРАВОЧНИК!$H$11+('ФАКТ ЧЕРН К3'!I38)*СПРАВОЧНИК!$I$11+('ФАКТ ЧЕРН К3'!J38)*СПРАВОЧНИК!$J$11+('ФАКТ ЧЕРН К3'!K38)*СПРАВОЧНИК!$H$12+('ФАКТ ЧЕРН К3'!L38)*СПРАВОЧНИК!$I$12+('ФАКТ ЧЕРН К3'!M38)*СПРАВОЧНИК!$J$12+('ФАКТ ЧЕРН К3'!N38)*СПРАВОЧНИК!$H$13+('ФАКТ ЧЕРН К3'!O38)*СПРАВОЧНИК!$I$13+('ФАКТ ЧЕРН К3'!P38)*СПРАВОЧНИК!$J$13+('ФАКТ ЧЕРН К3'!Q38)*СПРАВОЧНИК!$H$14+('ФАКТ ЧЕРН К3'!R38)*СПРАВОЧНИК!$I$14+('ФАКТ ЧЕРН К3'!S38)*СПРАВОЧНИК!$J$14+('ФАКТ ЧЕРН К3'!T38)*СПРАВОЧНИК!$H$15+('ФАКТ ЧЕРН К3'!U38)*СПРАВОЧНИК!$I$15+('ФАКТ ЧЕРН К3'!V38)*СПРАВОЧНИК!$J$15</f>
        <v/>
      </c>
      <c r="BM47" s="34" t="n"/>
      <c r="BP47" s="152">
        <f>BP46+7</f>
        <v/>
      </c>
      <c r="BQ47" s="17">
        <f>'ПЛАН ЧИСТ К3'!B38*СПРАВОЧНИК!$L$9+'ПЛАН ЧИСТ К3'!C38*СПРАВОЧНИК!$M$9+'ПЛАН ЧИСТ К3'!D38*СПРАВОЧНИК!$N$9+'ПЛАН ЧИСТ К3'!E38*СПРАВОЧНИК!$O$9+'ПЛАН ЧИСТ К3'!F38*СПРАВОЧНИК!$P$9+'ПЛАН ЧИСТ К3'!G38*СПРАВОЧНИК!$L$10+'ПЛАН ЧИСТ К3'!H38*СПРАВОЧНИК!$M$10+'ПЛАН ЧИСТ К3'!I38*СПРАВОЧНИК!$N$10+'ПЛАН ЧИСТ К3'!J38*СПРАВОЧНИК!$O$10+'ПЛАН ЧИСТ К3'!K38*СПРАВОЧНИК!$P$10+'ПЛАН ЧИСТ К3'!L38*СПРАВОЧНИК!$L$11+'ПЛАН ЧИСТ К3'!M38*СПРАВОЧНИК!$M$11+'ПЛАН ЧИСТ К3'!N38*СПРАВОЧНИК!$N$11+'ПЛАН ЧИСТ К3'!O38*СПРАВОЧНИК!$O$11+'ПЛАН ЧИСТ К3'!P38*СПРАВОЧНИК!$P$11+'ПЛАН ЧИСТ К3'!Q38*СПРАВОЧНИК!$L$12+'ПЛАН ЧИСТ К3'!R38*СПРАВОЧНИК!$M$12+'ПЛАН ЧИСТ К3'!S38*СПРАВОЧНИК!$N$12+'ПЛАН ЧИСТ К3'!T38*СПРАВОЧНИК!$O$12+'ПЛАН ЧИСТ К3'!U38*СПРАВОЧНИК!$P$12+'ПЛАН ЧИСТ К3'!V38*СПРАВОЧНИК!$L$13+'ПЛАН ЧИСТ К3'!W38*СПРАВОЧНИК!$M$13+'ПЛАН ЧИСТ К3'!X38*СПРАВОЧНИК!$N$13+'ПЛАН ЧИСТ К3'!Y38*СПРАВОЧНИК!$O$13+'ПЛАН ЧИСТ К3'!Z38*СПРАВОЧНИК!$P$13+'ПЛАН ЧИСТ К3'!AA38*СПРАВОЧНИК!$L$14+'ПЛАН ЧИСТ К3'!AB38*СПРАВОЧНИК!$M$14+'ПЛАН ЧИСТ К3'!AC38*СПРАВОЧНИК!$N$14+'ПЛАН ЧИСТ К3'!AD38*СПРАВОЧНИК!$O$14+'ПЛАН ЧИСТ К3'!AE38*СПРАВОЧНИК!$P$14+'ПЛАН ЧИСТ К3'!AF38*СПРАВОЧНИК!$L$15+'ПЛАН ЧИСТ К3'!AG38*СПРАВОЧНИК!$M$15+'ПЛАН ЧИСТ К3'!AH38*СПРАВОЧНИК!$N$15+'ПЛАН ЧИСТ К3'!AI38*СПРАВОЧНИК!$O$15+'ПЛАН ЧИСТ К3'!AJ38*СПРАВОЧНИК!$P$15</f>
        <v/>
      </c>
      <c r="BR47" s="31">
        <f>('ФАКТ ЧИСТ К3'!B38)*СПРАВОЧНИК!$L$9+('ФАКТ ЧИСТ К3'!C38)*СПРАВОЧНИК!$M$9+('ФАКТ ЧИСТ К3'!D38)*СПРАВОЧНИК!$N$9+('ФАКТ ЧИСТ К3'!E38)*СПРАВОЧНИК!$O$9+('ФАКТ ЧИСТ К3'!F38)*СПРАВОЧНИК!$P$9+('ФАКТ ЧИСТ К3'!G38)*СПРАВОЧНИК!$L$10+('ФАКТ ЧИСТ К3'!H38)*СПРАВОЧНИК!$M$10+('ФАКТ ЧИСТ К3'!I38)*СПРАВОЧНИК!$N$10+('ФАКТ ЧИСТ К3'!J38)*СПРАВОЧНИК!$O$10+('ФАКТ ЧИСТ К3'!K38)*СПРАВОЧНИК!$P$10+('ФАКТ ЧИСТ К3'!L38)*СПРАВОЧНИК!$L$11+('ФАКТ ЧИСТ К3'!M38)*СПРАВОЧНИК!$M$11+('ФАКТ ЧИСТ К3'!N38)*СПРАВОЧНИК!$N$11+('ФАКТ ЧИСТ К3'!O38)*СПРАВОЧНИК!$O$11+('ФАКТ ЧИСТ К3'!P38)*СПРАВОЧНИК!$P$11+('ФАКТ ЧИСТ К3'!Q38)*СПРАВОЧНИК!$L$12+('ФАКТ ЧИСТ К3'!R38)*СПРАВОЧНИК!$M$12+('ФАКТ ЧИСТ К3'!S38)*СПРАВОЧНИК!$N$12+('ФАКТ ЧИСТ К3'!T38)*СПРАВОЧНИК!$O$12+('ФАКТ ЧИСТ К3'!U38)*СПРАВОЧНИК!$P$12+('ФАКТ ЧИСТ К3'!V38)*СПРАВОЧНИК!$L$13+('ФАКТ ЧИСТ К3'!W38)*СПРАВОЧНИК!$M$13+('ФАКТ ЧИСТ К3'!X38)*СПРАВОЧНИК!$N$13+('ФАКТ ЧИСТ К3'!Y38)*СПРАВОЧНИК!$O$13+('ФАКТ ЧИСТ К3'!Z38)*СПРАВОЧНИК!$P$13+('ФАКТ ЧИСТ К3'!AA38)*СПРАВОЧНИК!$L$14+('ФАКТ ЧИСТ К3'!AB38)*СПРАВОЧНИК!$M$14+('ФАКТ ЧИСТ К3'!AC38)*СПРАВОЧНИК!$N$14+('ФАКТ ЧИСТ К3'!AD38)*СПРАВОЧНИК!$O$14+('ФАКТ ЧИСТ К3'!AE38)*СПРАВОЧНИК!$P$14+('ФАКТ ЧИСТ К3'!AF38)*СПРАВОЧНИК!$L$15+('ФАКТ ЧИСТ К3'!AG38)*СПРАВОЧНИК!$M$15+('ФАКТ ЧИСТ К3'!AH38)*СПРАВОЧНИК!$N$15+('ФАКТ ЧИСТ К3'!AI38)*СПРАВОЧНИК!$O$15+('ФАКТ ЧИСТ К3'!AJ38)*СПРАВОЧНИК!$P$15</f>
        <v/>
      </c>
      <c r="BS47" s="34" t="n"/>
      <c r="BV47" s="152">
        <f>BV46+7</f>
        <v/>
      </c>
      <c r="BW47" s="17">
        <f>U47*СПРАВОЧНИК!$K$28+AM47*СПРАВОЧНИК!$K$29+BE47*СПРАВОЧНИК!$K$30</f>
        <v/>
      </c>
      <c r="BX47" s="31">
        <f>V47*СПРАВОЧНИК!$K$28+AN47*СПРАВОЧНИК!$K$29+BF47*СПРАВОЧНИК!$K$30</f>
        <v/>
      </c>
      <c r="BY47" s="34" t="n"/>
      <c r="CB47" s="152">
        <f>CB46+7</f>
        <v/>
      </c>
      <c r="CC47" s="17">
        <f>AA47*СПРАВОЧНИК!$K$28+AS47*СПРАВОЧНИК!$K$29+BK47*СПРАВОЧНИК!$K$30</f>
        <v/>
      </c>
      <c r="CD47" s="31">
        <f>AB47*СПРАВОЧНИК!$K$28+AT47*СПРАВОЧНИК!$K$29+BL47*СПРАВОЧНИК!$K$30</f>
        <v/>
      </c>
      <c r="CE47" s="34" t="n"/>
      <c r="CH47" s="152">
        <f>CH46+7</f>
        <v/>
      </c>
      <c r="CI47" s="17">
        <f>AG47*СПРАВОЧНИК!$K$28+AY47*СПРАВОЧНИК!$K$29+BQ47*СПРАВОЧНИК!$K$30</f>
        <v/>
      </c>
      <c r="CJ47" s="31">
        <f>AH47*СПРАВОЧНИК!$K$28+AZ47*СПРАВОЧНИК!$K$29+BR47*СПРАВОЧНИК!$K$30</f>
        <v/>
      </c>
      <c r="CK47" s="34" t="n"/>
      <c r="CN47" s="152">
        <f>CN46+7</f>
        <v/>
      </c>
      <c r="CO47" s="17">
        <f>C47*СПРАВОЧНИК!$W$18+BW47*СПРАВОЧНИК!$W$19</f>
        <v/>
      </c>
      <c r="CP47" s="31">
        <f>D47*СПРАВОЧНИК!$W$18+BX47*СПРАВОЧНИК!$W$19</f>
        <v/>
      </c>
      <c r="CQ47" s="34" t="n"/>
      <c r="CT47" s="152">
        <f>CT46+7</f>
        <v/>
      </c>
      <c r="CU47" s="17">
        <f>I47*СПРАВОЧНИК!$W$18+CC47*СПРАВОЧНИК!$W$19</f>
        <v/>
      </c>
      <c r="CV47" s="31">
        <f>J47*СПРАВОЧНИК!$W$18+CD47*СПРАВОЧНИК!$W$19</f>
        <v/>
      </c>
      <c r="CW47" s="34" t="n"/>
      <c r="CZ47" s="152">
        <f>CZ46+7</f>
        <v/>
      </c>
      <c r="DA47" s="17">
        <f>O47*СПРАВОЧНИК!$W$18+CI47*СПРАВОЧНИК!$W$19</f>
        <v/>
      </c>
      <c r="DB47" s="31">
        <f>P47*СПРАВОЧНИК!$W$18+CJ47*СПРАВОЧНИК!$W$19</f>
        <v/>
      </c>
      <c r="DC47" s="34" t="n"/>
    </row>
    <row r="48">
      <c r="B48" s="152">
        <f>B47+7</f>
        <v/>
      </c>
      <c r="C48" s="17">
        <f>СПРАВОЧНИК!$E$3*('ПЛАН ЧЕРН ПОДЗЕМ'!B39*СПРАВОЧНИК!$H$3+'ПЛАН ЧЕРН ПОДЗЕМ'!C39*СПРАВОЧНИК!$I$3+'ПЛАН ЧЕРН ПОДЗЕМ'!D39*СПРАВОЧНИК!$J$3)+СПРАВОЧНИК!$F$3*('ПЛАН ЧИСТ ПОДЗЕМ'!B39*СПРАВОЧНИК!$L$3+'ПЛАН ЧИСТ ПОДЗЕМ'!C39*СПРАВОЧНИК!$M$3+'ПЛАН ЧИСТ ПОДЗЕМ'!D39*СПРАВОЧНИК!$N$3+'ПЛАН ЧИСТ ПОДЗЕМ'!E39*СПРАВОЧНИК!$O$3+'ПЛАН ЧИСТ ПОДЗЕМ'!F39*СПРАВОЧНИК!$P$3)+СПРАВОЧНИК!$E$4*('ПЛАН ЧЕРН ПОДЗЕМ'!E39*СПРАВОЧНИК!$H$4+'ПЛАН ЧЕРН ПОДЗЕМ'!F39*СПРАВОЧНИК!$I$4+'ПЛАН ЧЕРН ПОДЗЕМ'!G39*СПРАВОЧНИК!$J$4)+СПРАВОЧНИК!$F$4*('ПЛАН ЧИСТ ПОДЗЕМ'!G39*СПРАВОЧНИК!$L$4+'ПЛАН ЧИСТ ПОДЗЕМ'!H39*СПРАВОЧНИК!$M$4+'ПЛАН ЧИСТ ПОДЗЕМ'!I39*СПРАВОЧНИК!$N$4+'ПЛАН ЧИСТ ПОДЗЕМ'!J39*СПРАВОЧНИК!$O$4+'ПЛАН ЧИСТ ПОДЗЕМ'!K39*СПРАВОЧНИК!$P$4)+СПРАВОЧНИК!$E$5*('ПЛАН ЧЕРН ПОДЗЕМ'!H39*СПРАВОЧНИК!$H$5+'ПЛАН ЧЕРН ПОДЗЕМ'!I39*СПРАВОЧНИК!$I$5+'ПЛАН ЧЕРН ПОДЗЕМ'!J39*СПРАВОЧНИК!$J$5)+СПРАВОЧНИК!$F$5*('ПЛАН ЧИСТ ПОДЗЕМ'!L39*СПРАВОЧНИК!$L$5+'ПЛАН ЧИСТ ПОДЗЕМ'!M39*СПРАВОЧНИК!$M$5+'ПЛАН ЧИСТ ПОДЗЕМ'!N39*СПРАВОЧНИК!$N$5+'ПЛАН ЧИСТ ПОДЗЕМ'!O39*СПРАВОЧНИК!$O$5+'ПЛАН ЧИСТ ПОДЗЕМ'!P39*СПРАВОЧНИК!$P$5)+СПРАВОЧНИК!$E$6*('ПЛАН ЧЕРН ПОДЗЕМ'!K39*СПРАВОЧНИК!$H$6+'ПЛАН ЧЕРН ПОДЗЕМ'!L39*СПРАВОЧНИК!$I$6+'ПЛАН ЧЕРН ПОДЗЕМ'!M39*СПРАВОЧНИК!$J$6)+СПРАВОЧНИК!$F$6*('ПЛАН ЧИСТ ПОДЗЕМ'!Q39*СПРАВОЧНИК!$L$6+'ПЛАН ЧИСТ ПОДЗЕМ'!R39*СПРАВОЧНИК!$M$6+'ПЛАН ЧИСТ ПОДЗЕМ'!S39*СПРАВОЧНИК!$N$6+'ПЛАН ЧИСТ ПОДЗЕМ'!T39*СПРАВОЧНИК!$O$6+'ПЛАН ЧИСТ ПОДЗЕМ'!U39*СПРАВОЧНИК!$P$6)+СПРАВОЧНИК!$E$7*('ПЛАН ЧЕРН ПОДЗЕМ'!N39*СПРАВОЧНИК!$H$7+'ПЛАН ЧЕРН ПОДЗЕМ'!O39*СПРАВОЧНИК!$I$7+'ПЛАН ЧЕРН ПОДЗЕМ'!P39*СПРАВОЧНИК!$J$7)+СПРАВОЧНИК!$F$7*('ПЛАН ЧИСТ ПОДЗЕМ'!V39*СПРАВОЧНИК!$L$7+'ПЛАН ЧИСТ ПОДЗЕМ'!W39*СПРАВОЧНИК!$M$7+'ПЛАН ЧИСТ ПОДЗЕМ'!X39*СПРАВОЧНИК!$N$7+'ПЛАН ЧИСТ ПОДЗЕМ'!Y39*СПРАВОЧНИК!$O$7+'ПЛАН ЧИСТ ПОДЗЕМ'!Z39*СПРАВОЧНИК!$P$7)+СПРАВОЧНИК!$E$8*('ПЛАН ЧЕРН ПОДЗЕМ'!Q39*СПРАВОЧНИК!$H$8+'ПЛАН ЧЕРН ПОДЗЕМ'!R39*СПРАВОЧНИК!$I$8+'ПЛАН ЧЕРН ПОДЗЕМ'!S39*СПРАВОЧНИК!$J$8)+СПРАВОЧНИК!$F$8*('ПЛАН ЧИСТ ПОДЗЕМ'!AA39*СПРАВОЧНИК!$L$8+'ПЛАН ЧИСТ ПОДЗЕМ'!AB39*СПРАВОЧНИК!$M$8+'ПЛАН ЧИСТ ПОДЗЕМ'!AC39*СПРАВОЧНИК!$N$8+'ПЛАН ЧИСТ ПОДЗЕМ'!AD39*СПРАВОЧНИК!$O$8+'ПЛАН ЧИСТ ПОДЗЕМ'!AE39*СПРАВОЧНИК!$P$8)</f>
        <v/>
      </c>
      <c r="D48" s="31">
        <f>СПРАВОЧНИК!$E$3*('ФАКТ ЧЕРН ПОДЗЕМ'!B39*СПРАВОЧНИК!$H$3+'ФАКТ ЧЕРН ПОДЗЕМ'!C39*СПРАВОЧНИК!$I$3+'ФАКТ ЧЕРН ПОДЗЕМ'!D39*СПРАВОЧНИК!$J$3)+СПРАВОЧНИК!$F$3*('ФАКТ ЧИСТ ПОДЗЕМ'!B39*СПРАВОЧНИК!$L$3+'ФАКТ ЧИСТ ПОДЗЕМ'!C39*СПРАВОЧНИК!$M$3+'ФАКТ ЧИСТ ПОДЗЕМ'!D39*СПРАВОЧНИК!$N$3+'ФАКТ ЧИСТ ПОДЗЕМ'!E39*СПРАВОЧНИК!$O$3+'ФАКТ ЧИСТ ПОДЗЕМ'!F39*СПРАВОЧНИК!$P$3)+СПРАВОЧНИК!$E$4*('ФАКТ ЧЕРН ПОДЗЕМ'!E39*СПРАВОЧНИК!$H$4+'ФАКТ ЧЕРН ПОДЗЕМ'!F39*СПРАВОЧНИК!$I$4+'ФАКТ ЧЕРН ПОДЗЕМ'!G39*СПРАВОЧНИК!$J$4)+СПРАВОЧНИК!$F$4*('ФАКТ ЧИСТ ПОДЗЕМ'!G39*СПРАВОЧНИК!$L$4+'ФАКТ ЧИСТ ПОДЗЕМ'!H39*СПРАВОЧНИК!$M$4+'ФАКТ ЧИСТ ПОДЗЕМ'!I39*СПРАВОЧНИК!$N$4+'ФАКТ ЧИСТ ПОДЗЕМ'!J39*СПРАВОЧНИК!$O$4+'ФАКТ ЧИСТ ПОДЗЕМ'!K39*СПРАВОЧНИК!$P$4)+СПРАВОЧНИК!$E$5*('ФАКТ ЧЕРН ПОДЗЕМ'!H39*СПРАВОЧНИК!$H$5+'ФАКТ ЧЕРН ПОДЗЕМ'!I39*СПРАВОЧНИК!$I$5+'ФАКТ ЧЕРН ПОДЗЕМ'!J39*СПРАВОЧНИК!$J$5)+СПРАВОЧНИК!$F$5*('ФАКТ ЧИСТ ПОДЗЕМ'!L39*СПРАВОЧНИК!$L$5+'ФАКТ ЧИСТ ПОДЗЕМ'!M39*СПРАВОЧНИК!$M$5+'ФАКТ ЧИСТ ПОДЗЕМ'!N39*СПРАВОЧНИК!$N$5+'ФАКТ ЧИСТ ПОДЗЕМ'!O39*СПРАВОЧНИК!$O$5+'ФАКТ ЧИСТ ПОДЗЕМ'!P39*СПРАВОЧНИК!$P$5)+СПРАВОЧНИК!$E$6*('ФАКТ ЧЕРН ПОДЗЕМ'!K39*СПРАВОЧНИК!$H$6+'ФАКТ ЧЕРН ПОДЗЕМ'!L39*СПРАВОЧНИК!$I$6+'ФАКТ ЧЕРН ПОДЗЕМ'!M39*СПРАВОЧНИК!$J$6)+СПРАВОЧНИК!$F$6*('ФАКТ ЧИСТ ПОДЗЕМ'!Q39*СПРАВОЧНИК!$L$6+'ФАКТ ЧИСТ ПОДЗЕМ'!R39*СПРАВОЧНИК!$M$6+'ФАКТ ЧИСТ ПОДЗЕМ'!S39*СПРАВОЧНИК!$N$6+'ФАКТ ЧИСТ ПОДЗЕМ'!T39*СПРАВОЧНИК!$O$6+'ФАКТ ЧИСТ ПОДЗЕМ'!U39*СПРАВОЧНИК!$P$6)+СПРАВОЧНИК!$E$7*('ФАКТ ЧЕРН ПОДЗЕМ'!N39*СПРАВОЧНИК!$H$7+'ФАКТ ЧЕРН ПОДЗЕМ'!O39*СПРАВОЧНИК!$I$7+'ФАКТ ЧЕРН ПОДЗЕМ'!P39*СПРАВОЧНИК!$J$7)+СПРАВОЧНИК!$F$7*('ФАКТ ЧИСТ ПОДЗЕМ'!V39*СПРАВОЧНИК!$L$7+'ФАКТ ЧИСТ ПОДЗЕМ'!W39*СПРАВОЧНИК!$M$7+'ФАКТ ЧИСТ ПОДЗЕМ'!X39*СПРАВОЧНИК!$N$7+'ФАКТ ЧИСТ ПОДЗЕМ'!Y39*СПРАВОЧНИК!$O$7+'ФАКТ ЧИСТ ПОДЗЕМ'!Z39*СПРАВОЧНИК!$P$7)+СПРАВОЧНИК!$E$8*('ФАКТ ЧЕРН ПОДЗЕМ'!Q39*СПРАВОЧНИК!$H$8+'ФАКТ ЧЕРН ПОДЗЕМ'!R39*СПРАВОЧНИК!$I$8+'ФАКТ ЧЕРН ПОДЗЕМ'!S39*СПРАВОЧНИК!$J$8)+СПРАВОЧНИК!$F$8*('ФАКТ ЧИСТ ПОДЗЕМ'!AA39*СПРАВОЧНИК!$L$8+'ФАКТ ЧИСТ ПОДЗЕМ'!AB39*СПРАВОЧНИК!$M$8+'ФАКТ ЧИСТ ПОДЗЕМ'!AC39*СПРАВОЧНИК!$N$8+'ФАКТ ЧИСТ ПОДЗЕМ'!AD39*СПРАВОЧНИК!$O$8+'ФАКТ ЧИСТ ПОДЗЕМ'!AE39*СПРАВОЧНИК!$P$8)</f>
        <v/>
      </c>
      <c r="E48" s="34" t="n"/>
      <c r="H48" s="152">
        <f>H47+7</f>
        <v/>
      </c>
      <c r="I48" s="17">
        <f>'ПЛАН ЧЕРН ПОДЗЕМ'!B39*СПРАВОЧНИК!$H$3+'ПЛАН ЧЕРН ПОДЗЕМ'!C39*СПРАВОЧНИК!$I$3+'ПЛАН ЧЕРН ПОДЗЕМ'!D39*СПРАВОЧНИК!$J$3+'ПЛАН ЧЕРН ПОДЗЕМ'!E39*СПРАВОЧНИК!$H$4+'ПЛАН ЧЕРН ПОДЗЕМ'!F39*СПРАВОЧНИК!$I$4+'ПЛАН ЧЕРН ПОДЗЕМ'!G39*СПРАВОЧНИК!$J$4+'ПЛАН ЧЕРН ПОДЗЕМ'!H39*СПРАВОЧНИК!$H$5+'ПЛАН ЧЕРН ПОДЗЕМ'!I39*СПРАВОЧНИК!$I$5+'ПЛАН ЧЕРН ПОДЗЕМ'!J39*СПРАВОЧНИК!$J$5+'ПЛАН ЧЕРН ПОДЗЕМ'!K39*СПРАВОЧНИК!$H$6+'ПЛАН ЧЕРН ПОДЗЕМ'!L39*СПРАВОЧНИК!$I$6+'ПЛАН ЧЕРН ПОДЗЕМ'!M39*СПРАВОЧНИК!$J$6+'ПЛАН ЧЕРН ПОДЗЕМ'!N39*СПРАВОЧНИК!$H$7+'ПЛАН ЧЕРН ПОДЗЕМ'!O39*СПРАВОЧНИК!$I$7+'ПЛАН ЧЕРН ПОДЗЕМ'!P39*СПРАВОЧНИК!$J$7+'ПЛАН ЧЕРН ПОДЗЕМ'!Q39*СПРАВОЧНИК!$H$8+'ПЛАН ЧЕРН ПОДЗЕМ'!R39*СПРАВОЧНИК!$I$8+'ПЛАН ЧЕРН ПОДЗЕМ'!S39*СПРАВОЧНИК!$J$8</f>
        <v/>
      </c>
      <c r="J48" s="31">
        <f>('ФАКТ ЧЕРН ПОДЗЕМ'!B39)*СПРАВОЧНИК!$H$3+('ФАКТ ЧЕРН ПОДЗЕМ'!C39)*СПРАВОЧНИК!$I$3+('ФАКТ ЧЕРН ПОДЗЕМ'!D39)*СПРАВОЧНИК!$J$3+('ФАКТ ЧЕРН ПОДЗЕМ'!E39)*СПРАВОЧНИК!$H$4+('ФАКТ ЧЕРН ПОДЗЕМ'!F39)*СПРАВОЧНИК!$I$4+('ФАКТ ЧЕРН ПОДЗЕМ'!G39)*СПРАВОЧНИК!$J$4+('ФАКТ ЧЕРН ПОДЗЕМ'!H39)*СПРАВОЧНИК!$H$5+('ФАКТ ЧЕРН ПОДЗЕМ'!I39)*СПРАВОЧНИК!$I$5+('ФАКТ ЧЕРН ПОДЗЕМ'!J39)*СПРАВОЧНИК!$J$5+('ФАКТ ЧЕРН ПОДЗЕМ'!K39)*СПРАВОЧНИК!$H$6+('ФАКТ ЧЕРН ПОДЗЕМ'!L39)*СПРАВОЧНИК!$I$6+('ФАКТ ЧЕРН ПОДЗЕМ'!M39)*СПРАВОЧНИК!$J$6+('ФАКТ ЧЕРН ПОДЗЕМ'!N39)*СПРАВОЧНИК!$H$7+('ФАКТ ЧЕРН ПОДЗЕМ'!O39)*СПРАВОЧНИК!$I$7+('ФАКТ ЧЕРН ПОДЗЕМ'!P39)*СПРАВОЧНИК!$J$7+('ФАКТ ЧЕРН ПОДЗЕМ'!Q39)*СПРАВОЧНИК!$H$8+('ФАКТ ЧЕРН ПОДЗЕМ'!R39)*СПРАВОЧНИК!$I$8+('ФАКТ ЧЕРН ПОДЗЕМ'!S39)*СПРАВОЧНИК!$J$8</f>
        <v/>
      </c>
      <c r="K48" s="34" t="n"/>
      <c r="N48" s="152">
        <f>N47+7</f>
        <v/>
      </c>
      <c r="O48" s="17">
        <f>'ПЛАН ЧИСТ ПОДЗЕМ'!B39*СПРАВОЧНИК!$L$3+'ПЛАН ЧИСТ ПОДЗЕМ'!C39*СПРАВОЧНИК!$M$3+'ПЛАН ЧИСТ ПОДЗЕМ'!D39*СПРАВОЧНИК!$N$3+'ПЛАН ЧИСТ ПОДЗЕМ'!E39*СПРАВОЧНИК!$O$3+'ПЛАН ЧИСТ ПОДЗЕМ'!F39*СПРАВОЧНИК!$P$3+'ПЛАН ЧИСТ ПОДЗЕМ'!G39*СПРАВОЧНИК!$L$4+'ПЛАН ЧИСТ ПОДЗЕМ'!H39*СПРАВОЧНИК!$M$4+'ПЛАН ЧИСТ ПОДЗЕМ'!I39*СПРАВОЧНИК!$N$4+'ПЛАН ЧИСТ ПОДЗЕМ'!J39*СПРАВОЧНИК!$O$4+'ПЛАН ЧИСТ ПОДЗЕМ'!K39*СПРАВОЧНИК!$P$4+'ПЛАН ЧИСТ ПОДЗЕМ'!L39*СПРАВОЧНИК!$L$5+'ПЛАН ЧИСТ ПОДЗЕМ'!M39*СПРАВОЧНИК!$M$5+'ПЛАН ЧИСТ ПОДЗЕМ'!N39*СПРАВОЧНИК!$N$5+'ПЛАН ЧИСТ ПОДЗЕМ'!O39*СПРАВОЧНИК!$O$5+'ПЛАН ЧИСТ ПОДЗЕМ'!P39*СПРАВОЧНИК!$P$5+'ПЛАН ЧИСТ ПОДЗЕМ'!Q39*СПРАВОЧНИК!$L$6+'ПЛАН ЧИСТ ПОДЗЕМ'!R39*СПРАВОЧНИК!$M$6+'ПЛАН ЧИСТ ПОДЗЕМ'!S39*СПРАВОЧНИК!$N$6+'ПЛАН ЧИСТ ПОДЗЕМ'!T39*СПРАВОЧНИК!$O$6+'ПЛАН ЧИСТ ПОДЗЕМ'!U39*СПРАВОЧНИК!$P$6+'ПЛАН ЧИСТ ПОДЗЕМ'!V39*СПРАВОЧНИК!$L$7+'ПЛАН ЧИСТ ПОДЗЕМ'!W39*СПРАВОЧНИК!$M$7+'ПЛАН ЧИСТ ПОДЗЕМ'!X39*СПРАВОЧНИК!$N$7+'ПЛАН ЧИСТ ПОДЗЕМ'!Y39*СПРАВОЧНИК!$O$7+'ПЛАН ЧИСТ ПОДЗЕМ'!Z39*СПРАВОЧНИК!$P$7+'ПЛАН ЧИСТ ПОДЗЕМ'!AA39*СПРАВОЧНИК!$L$8+'ПЛАН ЧИСТ ПОДЗЕМ'!AB39*СПРАВОЧНИК!$M$8+'ПЛАН ЧИСТ ПОДЗЕМ'!AC39*СПРАВОЧНИК!$N$8+'ПЛАН ЧИСТ ПОДЗЕМ'!AD39*СПРАВОЧНИК!$O$8+'ПЛАН ЧИСТ ПОДЗЕМ'!AE39*СПРАВОЧНИК!$P$8</f>
        <v/>
      </c>
      <c r="P48" s="31">
        <f>('ФАКТ ЧИСТ ПОДЗЕМ'!B39)*СПРАВОЧНИК!$L$3+('ФАКТ ЧИСТ ПОДЗЕМ'!C39)*СПРАВОЧНИК!$M$3+('ФАКТ ЧИСТ ПОДЗЕМ'!D39)*СПРАВОЧНИК!$N$3+('ФАКТ ЧИСТ ПОДЗЕМ'!E39)*СПРАВОЧНИК!$O$3+('ФАКТ ЧИСТ ПОДЗЕМ'!F39)*СПРАВОЧНИК!$P$3+('ФАКТ ЧИСТ ПОДЗЕМ'!G39)*СПРАВОЧНИК!$L$4+('ФАКТ ЧИСТ ПОДЗЕМ'!H39)*СПРАВОЧНИК!$M$4+('ФАКТ ЧИСТ ПОДЗЕМ'!I39)*СПРАВОЧНИК!$N$4+('ФАКТ ЧИСТ ПОДЗЕМ'!J39)*СПРАВОЧНИК!$O$4+('ФАКТ ЧИСТ ПОДЗЕМ'!K39)*СПРАВОЧНИК!$P$4+('ФАКТ ЧИСТ ПОДЗЕМ'!L39)*СПРАВОЧНИК!$L$5+('ФАКТ ЧИСТ ПОДЗЕМ'!M39)*СПРАВОЧНИК!$M$5+('ФАКТ ЧИСТ ПОДЗЕМ'!N39)*СПРАВОЧНИК!$N$5+('ФАКТ ЧИСТ ПОДЗЕМ'!O39)*СПРАВОЧНИК!$O$5+('ФАКТ ЧИСТ ПОДЗЕМ'!P39)*СПРАВОЧНИК!$P$5+('ФАКТ ЧИСТ ПОДЗЕМ'!Q39)*СПРАВОЧНИК!$L$6+('ФАКТ ЧИСТ ПОДЗЕМ'!R39)*СПРАВОЧНИК!$M$6+('ФАКТ ЧИСТ ПОДЗЕМ'!S39)*СПРАВОЧНИК!$N$6+('ФАКТ ЧИСТ ПОДЗЕМ'!T39)*СПРАВОЧНИК!$O$6+('ФАКТ ЧИСТ ПОДЗЕМ'!U39)*СПРАВОЧНИК!$P$6+('ФАКТ ЧИСТ ПОДЗЕМ'!V39)*СПРАВОЧНИК!$L$7+('ФАКТ ЧИСТ ПОДЗЕМ'!W39)*СПРАВОЧНИК!$M$7+('ФАКТ ЧИСТ ПОДЗЕМ'!X39)*СПРАВОЧНИК!$N$7+('ФАКТ ЧИСТ ПОДЗЕМ'!Y39)*СПРАВОЧНИК!$O$7+('ФАКТ ЧИСТ ПОДЗЕМ'!Z39)*СПРАВОЧНИК!$P$7+('ФАКТ ЧИСТ ПОДЗЕМ'!AA39)*СПРАВОЧНИК!$L$8+('ФАКТ ЧИСТ ПОДЗЕМ'!AB39)*СПРАВОЧНИК!$M$8+('ФАКТ ЧИСТ ПОДЗЕМ'!AC39)*СПРАВОЧНИК!$N$8+('ФАКТ ЧИСТ ПОДЗЕМ'!AD39)*СПРАВОЧНИК!$O$8+('ФАКТ ЧИСТ ПОДЗЕМ'!AE39)*СПРАВОЧНИК!$P$8</f>
        <v/>
      </c>
      <c r="Q48" s="34" t="n"/>
      <c r="T48" s="152">
        <f>T47+7</f>
        <v/>
      </c>
      <c r="U48" s="17">
        <f>СПРАВОЧНИК!$E$9*('ПЛАН ЧЕРН К1'!B39*СПРАВОЧНИК!$H$9+'ПЛАН ЧЕРН К1'!C39*СПРАВОЧНИК!$I$9+'ПЛАН ЧЕРН К1'!D39*СПРАВОЧНИК!$J$9)+СПРАВОЧНИК!$F$9*('ПЛАН ЧИСТ К1'!B39*СПРАВОЧНИК!$L$9+'ПЛАН ЧИСТ К1'!C39*СПРАВОЧНИК!$M$9+'ПЛАН ЧИСТ К1'!D39*СПРАВОЧНИК!$N$9+'ПЛАН ЧИСТ К1'!E39*СПРАВОЧНИК!$O$9+'ПЛАН ЧИСТ К1'!F39*СПРАВОЧНИК!$P$9)+СПРАВОЧНИК!$E$10*('ПЛАН ЧЕРН К1'!E39*СПРАВОЧНИК!$H$10+'ПЛАН ЧЕРН К1'!F39*СПРАВОЧНИК!$I$10+'ПЛАН ЧЕРН К1'!G39*СПРАВОЧНИК!$J$10)+СПРАВОЧНИК!$F$10*('ПЛАН ЧИСТ К1'!G39*СПРАВОЧНИК!$L$10+'ПЛАН ЧИСТ К1'!H39*СПРАВОЧНИК!$M$10+'ПЛАН ЧИСТ К1'!I39*СПРАВОЧНИК!$N$10+'ПЛАН ЧИСТ К1'!J39*СПРАВОЧНИК!$O$10+'ПЛАН ЧИСТ К1'!K39*СПРАВОЧНИК!$P$10)+СПРАВОЧНИК!$E$11*('ПЛАН ЧЕРН К1'!H39*СПРАВОЧНИК!$H$11+'ПЛАН ЧЕРН К1'!I39*СПРАВОЧНИК!$I$11+'ПЛАН ЧЕРН К1'!J39*СПРАВОЧНИК!$J$11)+СПРАВОЧНИК!$F$11*('ПЛАН ЧИСТ К1'!L39*СПРАВОЧНИК!$L$11+'ПЛАН ЧИСТ К1'!M39*СПРАВОЧНИК!$M$11+'ПЛАН ЧИСТ К1'!N39*СПРАВОЧНИК!$N$11+'ПЛАН ЧИСТ К1'!O39*СПРАВОЧНИК!$O$11+'ПЛАН ЧИСТ К1'!P39*СПРАВОЧНИК!$P$11)+СПРАВОЧНИК!$E$12*('ПЛАН ЧЕРН К1'!K39*СПРАВОЧНИК!$H$12+'ПЛАН ЧЕРН К1'!L39*СПРАВОЧНИК!$I$12+'ПЛАН ЧЕРН К1'!M39*СПРАВОЧНИК!$J$12)+СПРАВОЧНИК!$F$12*('ПЛАН ЧИСТ К1'!Q39*СПРАВОЧНИК!$L$12+'ПЛАН ЧИСТ К1'!R39*СПРАВОЧНИК!$M$12+'ПЛАН ЧИСТ К1'!S39*СПРАВОЧНИК!$N$12+'ПЛАН ЧИСТ К1'!T39*СПРАВОЧНИК!$O$12+'ПЛАН ЧИСТ К1'!U39*СПРАВОЧНИК!$P$12)+СПРАВОЧНИК!$E$13*('ПЛАН ЧЕРН К1'!N39*СПРАВОЧНИК!$H$13+'ПЛАН ЧЕРН К1'!O39*СПРАВОЧНИК!$I$13+'ПЛАН ЧЕРН К1'!P39*СПРАВОЧНИК!$J$13)+СПРАВОЧНИК!$F$13*('ПЛАН ЧИСТ К1'!V39*СПРАВОЧНИК!$L$13+'ПЛАН ЧИСТ К1'!W39*СПРАВОЧНИК!$M$13+'ПЛАН ЧИСТ К1'!X39*СПРАВОЧНИК!$N$13+'ПЛАН ЧИСТ К1'!Y39*СПРАВОЧНИК!$O$13+'ПЛАН ЧИСТ К1'!Z39*СПРАВОЧНИК!$P$13)+СПРАВОЧНИК!$E$14*('ПЛАН ЧЕРН К1'!Q39*СПРАВОЧНИК!$H$14+'ПЛАН ЧЕРН К1'!R39*СПРАВОЧНИК!$I$14+'ПЛАН ЧЕРН К1'!S39*СПРАВОЧНИК!$J$14)+СПРАВОЧНИК!$F$14*('ПЛАН ЧИСТ К1'!AA39*СПРАВОЧНИК!$L$14+'ПЛАН ЧИСТ К1'!AB39*СПРАВОЧНИК!$M$14+'ПЛАН ЧИСТ К1'!AC39*СПРАВОЧНИК!$N$14+'ПЛАН ЧИСТ К1'!AD39*СПРАВОЧНИК!$O$14+'ПЛАН ЧИСТ К1'!AE39*СПРАВОЧНИК!$P$14)+СПРАВОЧНИК!$E$15*('ПЛАН ЧЕРН К1'!T39*СПРАВОЧНИК!$H$15+'ПЛАН ЧЕРН К1'!U39*СПРАВОЧНИК!$I$15+'ПЛАН ЧЕРН К1'!V39*СПРАВОЧНИК!$J$15)+СПРАВОЧНИК!$F$15*('ПЛАН ЧИСТ К1'!AF39*СПРАВОЧНИК!$L$15+'ПЛАН ЧИСТ К1'!AG39*СПРАВОЧНИК!$M$15+'ПЛАН ЧИСТ К1'!AH39*СПРАВОЧНИК!$N$15+'ПЛАН ЧИСТ К1'!AI39*СПРАВОЧНИК!$O$15+'ПЛАН ЧИСТ К1'!AJ39*СПРАВОЧНИК!$P$15)</f>
        <v/>
      </c>
      <c r="V48" s="31">
        <f>СПРАВОЧНИК!$E$9*('ФАКТ ЧЕРН К1'!B39*СПРАВОЧНИК!$H$9+'ФАКТ ЧЕРН К1'!C39*СПРАВОЧНИК!$I$9+'ФАКТ ЧЕРН К1'!D39*СПРАВОЧНИК!$J$9)+СПРАВОЧНИК!$F$9*('ФАКТ ЧИСТ К1'!B39*СПРАВОЧНИК!$L$9+'ФАКТ ЧИСТ К1'!C39*СПРАВОЧНИК!$M$9+'ФАКТ ЧИСТ К1'!D39*СПРАВОЧНИК!$N$9+'ФАКТ ЧИСТ К1'!E39*СПРАВОЧНИК!$O$9+'ФАКТ ЧИСТ К1'!F39*СПРАВОЧНИК!$P$9)+СПРАВОЧНИК!$E$10*('ФАКТ ЧЕРН К1'!E39*СПРАВОЧНИК!$H$10+'ФАКТ ЧЕРН К1'!F39*СПРАВОЧНИК!$I$10+'ФАКТ ЧЕРН К1'!G39*СПРАВОЧНИК!$J$10)+СПРАВОЧНИК!$F$10*('ФАКТ ЧИСТ К1'!G39*СПРАВОЧНИК!$L$10+'ФАКТ ЧИСТ К1'!H39*СПРАВОЧНИК!$M$10+'ФАКТ ЧИСТ К1'!I39*СПРАВОЧНИК!$N$10+'ФАКТ ЧИСТ К1'!J39*СПРАВОЧНИК!$O$10+'ФАКТ ЧИСТ К1'!K39*СПРАВОЧНИК!$P$10)+СПРАВОЧНИК!$E$11*('ФАКТ ЧЕРН К1'!H39*СПРАВОЧНИК!$H$11+'ФАКТ ЧЕРН К1'!I39*СПРАВОЧНИК!$I$11+'ФАКТ ЧЕРН К1'!J39*СПРАВОЧНИК!$J$11)+СПРАВОЧНИК!$F$11*('ФАКТ ЧИСТ К1'!L39*СПРАВОЧНИК!$L$11+'ФАКТ ЧИСТ К1'!M39*СПРАВОЧНИК!$M$11+'ФАКТ ЧИСТ К1'!N39*СПРАВОЧНИК!$N$11+'ФАКТ ЧИСТ К1'!O39*СПРАВОЧНИК!$O$11+'ФАКТ ЧИСТ К1'!P39*СПРАВОЧНИК!$P$11)+СПРАВОЧНИК!$E$12*('ФАКТ ЧЕРН К1'!K39*СПРАВОЧНИК!$H$12+'ФАКТ ЧЕРН К1'!L39*СПРАВОЧНИК!$I$12+'ФАКТ ЧЕРН К1'!M39*СПРАВОЧНИК!$J$12)+СПРАВОЧНИК!$F$12*('ФАКТ ЧИСТ К1'!Q39*СПРАВОЧНИК!$L$12+'ФАКТ ЧИСТ К1'!R39*СПРАВОЧНИК!$M$12+'ФАКТ ЧИСТ К1'!S39*СПРАВОЧНИК!$N$12+'ФАКТ ЧИСТ К1'!T39*СПРАВОЧНИК!$O$12+'ФАКТ ЧИСТ К1'!U39*СПРАВОЧНИК!$P$12)+СПРАВОЧНИК!$E$13*('ФАКТ ЧЕРН К1'!N39*СПРАВОЧНИК!$H$13+'ФАКТ ЧЕРН К1'!O39*СПРАВОЧНИК!$I$13+'ФАКТ ЧЕРН К1'!P39*СПРАВОЧНИК!$J$13)+СПРАВОЧНИК!$F$13*('ФАКТ ЧИСТ К1'!V39*СПРАВОЧНИК!$L$13+'ФАКТ ЧИСТ К1'!W39*СПРАВОЧНИК!$M$13+'ФАКТ ЧИСТ К1'!X39*СПРАВОЧНИК!$N$13+'ФАКТ ЧИСТ К1'!Y39*СПРАВОЧНИК!$O$13+'ФАКТ ЧИСТ К1'!Z39*СПРАВОЧНИК!$P$13)+СПРАВОЧНИК!$E$14*('ФАКТ ЧЕРН К1'!Q39*СПРАВОЧНИК!$H$14+'ФАКТ ЧЕРН К1'!R39*СПРАВОЧНИК!$I$14+'ФАКТ ЧЕРН К1'!S39*СПРАВОЧНИК!$J$14)+СПРАВОЧНИК!$F$14*('ФАКТ ЧИСТ К1'!AA39*СПРАВОЧНИК!$L$14+'ФАКТ ЧИСТ К1'!AB39*СПРАВОЧНИК!$M$14+'ФАКТ ЧИСТ К1'!AC39*СПРАВОЧНИК!$N$14+'ФАКТ ЧИСТ К1'!AD39*СПРАВОЧНИК!$O$14+'ФАКТ ЧИСТ К1'!AE39*СПРАВОЧНИК!$P$14)+СПРАВОЧНИК!$E$15*('ФАКТ ЧЕРН К1'!T39*СПРАВОЧНИК!$H$15+'ФАКТ ЧЕРН К1'!U39*СПРАВОЧНИК!$I$15+'ФАКТ ЧЕРН К1'!V39*СПРАВОЧНИК!$J$15)+СПРАВОЧНИК!$F$15*('ФАКТ ЧИСТ К1'!AF39*СПРАВОЧНИК!$L$15+'ФАКТ ЧИСТ К1'!AG39*СПРАВОЧНИК!$M$15+'ФАКТ ЧИСТ К1'!AH39*СПРАВОЧНИК!$N$15+'ФАКТ ЧИСТ К1'!AI39*СПРАВОЧНИК!$O$15+'ФАКТ ЧИСТ К1'!AJ39*СПРАВОЧНИК!$P$15)</f>
        <v/>
      </c>
      <c r="W48" s="34" t="n"/>
      <c r="Z48" s="152">
        <f>Z47+7</f>
        <v/>
      </c>
      <c r="AA48" s="17">
        <f>'ПЛАН ЧЕРН К1'!B39*СПРАВОЧНИК!$H$9+'ПЛАН ЧЕРН К1'!C39*СПРАВОЧНИК!$I$9+'ПЛАН ЧЕРН К1'!D39*СПРАВОЧНИК!$J$9+'ПЛАН ЧЕРН К1'!E39*СПРАВОЧНИК!$H$10+'ПЛАН ЧЕРН К1'!F39*СПРАВОЧНИК!$I$10+'ПЛАН ЧЕРН К1'!G39*СПРАВОЧНИК!$J$10+'ПЛАН ЧЕРН К1'!H39*СПРАВОЧНИК!$H$11+'ПЛАН ЧЕРН К1'!I39*СПРАВОЧНИК!$I$11+'ПЛАН ЧЕРН К1'!J39*СПРАВОЧНИК!$J$11+'ПЛАН ЧЕРН К1'!K39*СПРАВОЧНИК!$H$12+'ПЛАН ЧЕРН К1'!L39*СПРАВОЧНИК!$I$12+'ПЛАН ЧЕРН К1'!M39*СПРАВОЧНИК!$J$12+'ПЛАН ЧЕРН К1'!N39*СПРАВОЧНИК!$H$13+'ПЛАН ЧЕРН К1'!O39*СПРАВОЧНИК!$I$13+'ПЛАН ЧЕРН К1'!P39*СПРАВОЧНИК!$J$13+'ПЛАН ЧЕРН К1'!Q39*СПРАВОЧНИК!$H$14+'ПЛАН ЧЕРН К1'!R39*СПРАВОЧНИК!$I$14+'ПЛАН ЧЕРН К1'!S39*СПРАВОЧНИК!$J$14+'ПЛАН ЧЕРН К1'!T39*СПРАВОЧНИК!$H$15+'ПЛАН ЧЕРН К1'!U39*СПРАВОЧНИК!$I$15+'ПЛАН ЧЕРН К1'!V39*СПРАВОЧНИК!$J$15</f>
        <v/>
      </c>
      <c r="AB48" s="31">
        <f>('ФАКТ ЧЕРН К1'!B39)*СПРАВОЧНИК!$H$9+('ФАКТ ЧЕРН К1'!C39)*СПРАВОЧНИК!$I$9+('ФАКТ ЧЕРН К1'!D39)*СПРАВОЧНИК!$J$9+('ФАКТ ЧЕРН К1'!E39)*СПРАВОЧНИК!$H$10+('ФАКТ ЧЕРН К1'!F39)*СПРАВОЧНИК!$I$10+('ФАКТ ЧЕРН К1'!G39)*СПРАВОЧНИК!$J$10+('ФАКТ ЧЕРН К1'!H39)*СПРАВОЧНИК!$H$11+('ФАКТ ЧЕРН К1'!I39)*СПРАВОЧНИК!$I$11+('ФАКТ ЧЕРН К1'!J39)*СПРАВОЧНИК!$J$11+('ФАКТ ЧЕРН К1'!K39)*СПРАВОЧНИК!$H$12+('ФАКТ ЧЕРН К1'!L39)*СПРАВОЧНИК!$I$12+('ФАКТ ЧЕРН К1'!M39)*СПРАВОЧНИК!$J$12+('ФАКТ ЧЕРН К1'!N39)*СПРАВОЧНИК!$H$13+('ФАКТ ЧЕРН К1'!O39)*СПРАВОЧНИК!$I$13+('ФАКТ ЧЕРН К1'!P39)*СПРАВОЧНИК!$J$13+('ФАКТ ЧЕРН К1'!Q39)*СПРАВОЧНИК!$H$14+('ФАКТ ЧЕРН К1'!R39)*СПРАВОЧНИК!$I$14+('ФАКТ ЧЕРН К1'!S39)*СПРАВОЧНИК!$J$14+('ФАКТ ЧЕРН К1'!T39)*СПРАВОЧНИК!$H$15+('ФАКТ ЧЕРН К1'!U39)*СПРАВОЧНИК!$I$15+('ФАКТ ЧЕРН К1'!V39)*СПРАВОЧНИК!$J$15</f>
        <v/>
      </c>
      <c r="AC48" s="34" t="n"/>
      <c r="AF48" s="152">
        <f>AF47+7</f>
        <v/>
      </c>
      <c r="AG48" s="17">
        <f>'ПЛАН ЧИСТ К1'!B39*СПРАВОЧНИК!$L$9+'ПЛАН ЧИСТ К1'!C39*СПРАВОЧНИК!$M$9+'ПЛАН ЧИСТ К1'!D39*СПРАВОЧНИК!$N$9+'ПЛАН ЧИСТ К1'!E39*СПРАВОЧНИК!$O$9+'ПЛАН ЧИСТ К1'!F39*СПРАВОЧНИК!$P$9+'ПЛАН ЧИСТ К1'!G39*СПРАВОЧНИК!$L$10+'ПЛАН ЧИСТ К1'!H39*СПРАВОЧНИК!$M$10+'ПЛАН ЧИСТ К1'!I39*СПРАВОЧНИК!$N$10+'ПЛАН ЧИСТ К1'!J39*СПРАВОЧНИК!$O$10+'ПЛАН ЧИСТ К1'!K39*СПРАВОЧНИК!$P$10+'ПЛАН ЧИСТ К1'!L39*СПРАВОЧНИК!$L$11+'ПЛАН ЧИСТ К1'!M39*СПРАВОЧНИК!$M$11+'ПЛАН ЧИСТ К1'!N39*СПРАВОЧНИК!$N$11+'ПЛАН ЧИСТ К1'!O39*СПРАВОЧНИК!$O$11+'ПЛАН ЧИСТ К1'!P39*СПРАВОЧНИК!$P$11+'ПЛАН ЧИСТ К1'!Q39*СПРАВОЧНИК!$L$12+'ПЛАН ЧИСТ К1'!R39*СПРАВОЧНИК!$M$12+'ПЛАН ЧИСТ К1'!S39*СПРАВОЧНИК!$N$12+'ПЛАН ЧИСТ К1'!T39*СПРАВОЧНИК!$O$12+'ПЛАН ЧИСТ К1'!U39*СПРАВОЧНИК!$P$12+'ПЛАН ЧИСТ К1'!V39*СПРАВОЧНИК!$L$13+'ПЛАН ЧИСТ К1'!W39*СПРАВОЧНИК!$M$13+'ПЛАН ЧИСТ К1'!X39*СПРАВОЧНИК!$N$13+'ПЛАН ЧИСТ К1'!Y39*СПРАВОЧНИК!$O$13+'ПЛАН ЧИСТ К1'!Z39*СПРАВОЧНИК!$P$13+'ПЛАН ЧИСТ К1'!AA39*СПРАВОЧНИК!$L$14+'ПЛАН ЧИСТ К1'!AB39*СПРАВОЧНИК!$M$14+'ПЛАН ЧИСТ К1'!AC39*СПРАВОЧНИК!$N$14+'ПЛАН ЧИСТ К1'!AD39*СПРАВОЧНИК!$O$14+'ПЛАН ЧИСТ К1'!AE39*СПРАВОЧНИК!$P$14+'ПЛАН ЧИСТ К1'!AF39*СПРАВОЧНИК!$L$15+'ПЛАН ЧИСТ К1'!AG39*СПРАВОЧНИК!$M$15+'ПЛАН ЧИСТ К1'!AH39*СПРАВОЧНИК!$N$15+'ПЛАН ЧИСТ К1'!AI39*СПРАВОЧНИК!$O$15+'ПЛАН ЧИСТ К1'!AJ39*СПРАВОЧНИК!$P$15</f>
        <v/>
      </c>
      <c r="AH48" s="31">
        <f>('ФАКТ ЧИСТ К1'!B39)*СПРАВОЧНИК!$L$9+('ФАКТ ЧИСТ К1'!C39)*СПРАВОЧНИК!$M$9+('ФАКТ ЧИСТ К1'!D39)*СПРАВОЧНИК!$N$9+('ФАКТ ЧИСТ К1'!E39)*СПРАВОЧНИК!$O$9+('ФАКТ ЧИСТ К1'!F39)*СПРАВОЧНИК!$P$9+('ФАКТ ЧИСТ К1'!G39)*СПРАВОЧНИК!$L$10+('ФАКТ ЧИСТ К1'!H39)*СПРАВОЧНИК!$M$10+('ФАКТ ЧИСТ К1'!I39)*СПРАВОЧНИК!$N$10+('ФАКТ ЧИСТ К1'!J39)*СПРАВОЧНИК!$O$10+('ФАКТ ЧИСТ К1'!K39)*СПРАВОЧНИК!$P$10+('ФАКТ ЧИСТ К1'!L39)*СПРАВОЧНИК!$L$11+('ФАКТ ЧИСТ К1'!M39)*СПРАВОЧНИК!$M$11+('ФАКТ ЧИСТ К1'!N39)*СПРАВОЧНИК!$N$11+('ФАКТ ЧИСТ К1'!O39)*СПРАВОЧНИК!$O$11+('ФАКТ ЧИСТ К1'!P39)*СПРАВОЧНИК!$P$11+('ФАКТ ЧИСТ К1'!Q39)*СПРАВОЧНИК!$L$12+('ФАКТ ЧИСТ К1'!R39)*СПРАВОЧНИК!$M$12+('ФАКТ ЧИСТ К1'!S39)*СПРАВОЧНИК!$N$12+('ФАКТ ЧИСТ К1'!T39)*СПРАВОЧНИК!$O$12+('ФАКТ ЧИСТ К1'!U39)*СПРАВОЧНИК!$P$12+('ФАКТ ЧИСТ К1'!V39)*СПРАВОЧНИК!$L$13+('ФАКТ ЧИСТ К1'!W39)*СПРАВОЧНИК!$M$13+('ФАКТ ЧИСТ К1'!X39)*СПРАВОЧНИК!$N$13+('ФАКТ ЧИСТ К1'!Y39)*СПРАВОЧНИК!$O$13+('ФАКТ ЧИСТ К1'!Z39)*СПРАВОЧНИК!$P$13+('ФАКТ ЧИСТ К1'!AA39)*СПРАВОЧНИК!$L$14+('ФАКТ ЧИСТ К1'!AB39)*СПРАВОЧНИК!$M$14+('ФАКТ ЧИСТ К1'!AC39)*СПРАВОЧНИК!$N$14+('ФАКТ ЧИСТ К1'!AD39)*СПРАВОЧНИК!$O$14+('ФАКТ ЧИСТ К1'!AE39)*СПРАВОЧНИК!$P$14+('ФАКТ ЧИСТ К1'!AF39)*СПРАВОЧНИК!$L$15+('ФАКТ ЧИСТ К1'!AG39)*СПРАВОЧНИК!$M$15+('ФАКТ ЧИСТ К1'!AH39)*СПРАВОЧНИК!$N$15+('ФАКТ ЧИСТ К1'!AI39)*СПРАВОЧНИК!$O$15+('ФАКТ ЧИСТ К1'!AJ39)*СПРАВОЧНИК!$P$15</f>
        <v/>
      </c>
      <c r="AI48" s="34" t="n"/>
      <c r="AL48" s="152">
        <f>AL47+7</f>
        <v/>
      </c>
      <c r="AM48" s="17">
        <f>СПРАВОЧНИК!$E$9*('ПЛАН ЧЕРН К2'!B39*СПРАВОЧНИК!$H$9+'ПЛАН ЧЕРН К2'!C39*СПРАВОЧНИК!$I$9+'ПЛАН ЧЕРН К2'!D39*СПРАВОЧНИК!$J$9)+СПРАВОЧНИК!$F$9*('ПЛАН ЧИСТ К2'!B39*СПРАВОЧНИК!$L$9+'ПЛАН ЧИСТ К2'!C39*СПРАВОЧНИК!$M$9+'ПЛАН ЧИСТ К2'!D39*СПРАВОЧНИК!$N$9+'ПЛАН ЧИСТ К2'!E39*СПРАВОЧНИК!$O$9+'ПЛАН ЧИСТ К2'!F39*СПРАВОЧНИК!$P$9)+СПРАВОЧНИК!$E$10*('ПЛАН ЧЕРН К2'!E39*СПРАВОЧНИК!$H$10+'ПЛАН ЧЕРН К2'!F39*СПРАВОЧНИК!$I$10+'ПЛАН ЧЕРН К2'!G39*СПРАВОЧНИК!$J$10)+СПРАВОЧНИК!$F$10*('ПЛАН ЧИСТ К2'!G39*СПРАВОЧНИК!$L$10+'ПЛАН ЧИСТ К2'!H39*СПРАВОЧНИК!$M$10+'ПЛАН ЧИСТ К2'!I39*СПРАВОЧНИК!$N$10+'ПЛАН ЧИСТ К2'!J39*СПРАВОЧНИК!$O$10+'ПЛАН ЧИСТ К2'!K39*СПРАВОЧНИК!$P$10)+СПРАВОЧНИК!$E$11*('ПЛАН ЧЕРН К2'!H39*СПРАВОЧНИК!$H$11+'ПЛАН ЧЕРН К2'!I39*СПРАВОЧНИК!$I$11+'ПЛАН ЧЕРН К2'!J39*СПРАВОЧНИК!$J$11)+СПРАВОЧНИК!$F$11*('ПЛАН ЧИСТ К2'!L39*СПРАВОЧНИК!$L$11+'ПЛАН ЧИСТ К2'!M39*СПРАВОЧНИК!$M$11+'ПЛАН ЧИСТ К2'!N39*СПРАВОЧНИК!$N$11+'ПЛАН ЧИСТ К2'!O39*СПРАВОЧНИК!$O$11+'ПЛАН ЧИСТ К2'!P39*СПРАВОЧНИК!$P$11)+СПРАВОЧНИК!$E$12*('ПЛАН ЧЕРН К2'!K39*СПРАВОЧНИК!$H$12+'ПЛАН ЧЕРН К2'!L39*СПРАВОЧНИК!$I$12+'ПЛАН ЧЕРН К2'!M39*СПРАВОЧНИК!$J$12)+СПРАВОЧНИК!$F$12*('ПЛАН ЧИСТ К2'!Q39*СПРАВОЧНИК!$L$12+'ПЛАН ЧИСТ К2'!R39*СПРАВОЧНИК!$M$12+'ПЛАН ЧИСТ К2'!S39*СПРАВОЧНИК!$N$12+'ПЛАН ЧИСТ К2'!T39*СПРАВОЧНИК!$O$12+'ПЛАН ЧИСТ К2'!U39*СПРАВОЧНИК!$P$12)+СПРАВОЧНИК!$E$13*('ПЛАН ЧЕРН К2'!N39*СПРАВОЧНИК!$H$13+'ПЛАН ЧЕРН К2'!O39*СПРАВОЧНИК!$I$13+'ПЛАН ЧЕРН К2'!P39*СПРАВОЧНИК!$J$13)+СПРАВОЧНИК!$F$13*('ПЛАН ЧИСТ К2'!V39*СПРАВОЧНИК!$L$13+'ПЛАН ЧИСТ К2'!W39*СПРАВОЧНИК!$M$13+'ПЛАН ЧИСТ К2'!X39*СПРАВОЧНИК!$N$13+'ПЛАН ЧИСТ К2'!Y39*СПРАВОЧНИК!$O$13+'ПЛАН ЧИСТ К2'!Z39*СПРАВОЧНИК!$P$13)+СПРАВОЧНИК!$E$14*('ПЛАН ЧЕРН К2'!Q39*СПРАВОЧНИК!$H$14+'ПЛАН ЧЕРН К2'!R39*СПРАВОЧНИК!$I$14+'ПЛАН ЧЕРН К2'!S39*СПРАВОЧНИК!$J$14)+СПРАВОЧНИК!$F$14*('ПЛАН ЧИСТ К2'!AA39*СПРАВОЧНИК!$L$14+'ПЛАН ЧИСТ К2'!AB39*СПРАВОЧНИК!$M$14+'ПЛАН ЧИСТ К2'!AC39*СПРАВОЧНИК!$N$14+'ПЛАН ЧИСТ К2'!AD39*СПРАВОЧНИК!$O$14+'ПЛАН ЧИСТ К2'!AE39*СПРАВОЧНИК!$P$14)+СПРАВОЧНИК!$E$15*('ПЛАН ЧЕРН К2'!T39*СПРАВОЧНИК!$H$15+'ПЛАН ЧЕРН К2'!U39*СПРАВОЧНИК!$I$15+'ПЛАН ЧЕРН К2'!V39*СПРАВОЧНИК!$J$15)+СПРАВОЧНИК!$F$15*('ПЛАН ЧИСТ К2'!AF39*СПРАВОЧНИК!$L$15+'ПЛАН ЧИСТ К2'!AG39*СПРАВОЧНИК!$M$15+'ПЛАН ЧИСТ К2'!AH39*СПРАВОЧНИК!$N$15+'ПЛАН ЧИСТ К2'!AI39*СПРАВОЧНИК!$O$15+'ПЛАН ЧИСТ К2'!AJ39*СПРАВОЧНИК!$P$15)</f>
        <v/>
      </c>
      <c r="AN48" s="31">
        <f>СПРАВОЧНИК!$E$9*('ФАКТ ЧЕРН К2'!B39*СПРАВОЧНИК!$H$9+'ФАКТ ЧЕРН К2'!C39*СПРАВОЧНИК!$I$9+'ФАКТ ЧЕРН К2'!D39*СПРАВОЧНИК!$J$9)+СПРАВОЧНИК!$F$9*('ФАКТ ЧИСТ К2'!B39*СПРАВОЧНИК!$L$9+'ФАКТ ЧИСТ К2'!C39*СПРАВОЧНИК!$M$9+'ФАКТ ЧИСТ К2'!D39*СПРАВОЧНИК!$N$9+'ФАКТ ЧИСТ К2'!E39*СПРАВОЧНИК!$O$9+'ФАКТ ЧИСТ К2'!F39*СПРАВОЧНИК!$P$9)+СПРАВОЧНИК!$E$10*('ФАКТ ЧЕРН К2'!E39*СПРАВОЧНИК!$H$10+'ФАКТ ЧЕРН К2'!F39*СПРАВОЧНИК!$I$10+'ФАКТ ЧЕРН К2'!G39*СПРАВОЧНИК!$J$10)+СПРАВОЧНИК!$F$10*('ФАКТ ЧИСТ К2'!G39*СПРАВОЧНИК!$L$10+'ФАКТ ЧИСТ К2'!H39*СПРАВОЧНИК!$M$10+'ФАКТ ЧИСТ К2'!I39*СПРАВОЧНИК!$N$10+'ФАКТ ЧИСТ К2'!J39*СПРАВОЧНИК!$O$10+'ФАКТ ЧИСТ К2'!K39*СПРАВОЧНИК!$P$10)+СПРАВОЧНИК!$E$11*('ФАКТ ЧЕРН К2'!H39*СПРАВОЧНИК!$H$11+'ФАКТ ЧЕРН К2'!I39*СПРАВОЧНИК!$I$11+'ФАКТ ЧЕРН К2'!J39*СПРАВОЧНИК!$J$11)+СПРАВОЧНИК!$F$11*('ФАКТ ЧИСТ К2'!L39*СПРАВОЧНИК!$L$11+'ФАКТ ЧИСТ К2'!M39*СПРАВОЧНИК!$M$11+'ФАКТ ЧИСТ К2'!N39*СПРАВОЧНИК!$N$11+'ФАКТ ЧИСТ К2'!O39*СПРАВОЧНИК!$O$11+'ФАКТ ЧИСТ К2'!P39*СПРАВОЧНИК!$P$11)+СПРАВОЧНИК!$E$12*('ФАКТ ЧЕРН К2'!K39*СПРАВОЧНИК!$H$12+'ФАКТ ЧЕРН К2'!L39*СПРАВОЧНИК!$I$12+'ФАКТ ЧЕРН К2'!M39*СПРАВОЧНИК!$J$12)+СПРАВОЧНИК!$F$12*('ФАКТ ЧИСТ К2'!Q39*СПРАВОЧНИК!$L$12+'ФАКТ ЧИСТ К2'!R39*СПРАВОЧНИК!$M$12+'ФАКТ ЧИСТ К2'!S39*СПРАВОЧНИК!$N$12+'ФАКТ ЧИСТ К2'!T39*СПРАВОЧНИК!$O$12+'ФАКТ ЧИСТ К2'!U39*СПРАВОЧНИК!$P$12)+СПРАВОЧНИК!$E$13*('ФАКТ ЧЕРН К2'!N39*СПРАВОЧНИК!$H$13+'ФАКТ ЧЕРН К2'!O39*СПРАВОЧНИК!$I$13+'ФАКТ ЧЕРН К2'!P39*СПРАВОЧНИК!$J$13)+СПРАВОЧНИК!$F$13*('ФАКТ ЧИСТ К2'!V39*СПРАВОЧНИК!$L$13+'ФАКТ ЧИСТ К2'!W39*СПРАВОЧНИК!$M$13+'ФАКТ ЧИСТ К2'!X39*СПРАВОЧНИК!$N$13+'ФАКТ ЧИСТ К2'!Y39*СПРАВОЧНИК!$O$13+'ФАКТ ЧИСТ К2'!Z39*СПРАВОЧНИК!$P$13)+СПРАВОЧНИК!$E$14*('ФАКТ ЧЕРН К2'!Q39*СПРАВОЧНИК!$H$14+'ФАКТ ЧЕРН К2'!R39*СПРАВОЧНИК!$I$14+'ФАКТ ЧЕРН К2'!S39*СПРАВОЧНИК!$J$14)+СПРАВОЧНИК!$F$14*('ФАКТ ЧИСТ К2'!AA39*СПРАВОЧНИК!$L$14+'ФАКТ ЧИСТ К2'!AB39*СПРАВОЧНИК!$M$14+'ФАКТ ЧИСТ К2'!AC39*СПРАВОЧНИК!$N$14+'ФАКТ ЧИСТ К2'!AD39*СПРАВОЧНИК!$O$14+'ФАКТ ЧИСТ К2'!AE39*СПРАВОЧНИК!$P$14)+СПРАВОЧНИК!$E$15*('ФАКТ ЧЕРН К2'!T39*СПРАВОЧНИК!$H$15+'ФАКТ ЧЕРН К2'!U39*СПРАВОЧНИК!$I$15+'ФАКТ ЧЕРН К2'!V39*СПРАВОЧНИК!$J$15)+СПРАВОЧНИК!$F$15*('ФАКТ ЧИСТ К2'!AF39*СПРАВОЧНИК!$L$15+'ФАКТ ЧИСТ К2'!AG39*СПРАВОЧНИК!$M$15+'ФАКТ ЧИСТ К2'!AH39*СПРАВОЧНИК!$N$15+'ФАКТ ЧИСТ К2'!AI39*СПРАВОЧНИК!$O$15+'ФАКТ ЧИСТ К2'!AJ39*СПРАВОЧНИК!$P$15)</f>
        <v/>
      </c>
      <c r="AO48" s="34" t="n"/>
      <c r="AR48" s="152">
        <f>AR47+7</f>
        <v/>
      </c>
      <c r="AS48" s="17">
        <f>'ПЛАН ЧЕРН К2'!B39*СПРАВОЧНИК!$H$9+'ПЛАН ЧЕРН К2'!C39*СПРАВОЧНИК!$I$9+'ПЛАН ЧЕРН К2'!D39*СПРАВОЧНИК!$J$9+'ПЛАН ЧЕРН К2'!E39*СПРАВОЧНИК!$H$10+'ПЛАН ЧЕРН К2'!F39*СПРАВОЧНИК!$I$10+'ПЛАН ЧЕРН К2'!G39*СПРАВОЧНИК!$J$10+'ПЛАН ЧЕРН К2'!H39*СПРАВОЧНИК!$H$11+'ПЛАН ЧЕРН К2'!I39*СПРАВОЧНИК!$I$11+'ПЛАН ЧЕРН К2'!J39*СПРАВОЧНИК!$J$11+'ПЛАН ЧЕРН К2'!K39*СПРАВОЧНИК!$H$12+'ПЛАН ЧЕРН К2'!L39*СПРАВОЧНИК!$I$12+'ПЛАН ЧЕРН К2'!M39*СПРАВОЧНИК!$J$12+'ПЛАН ЧЕРН К2'!N39*СПРАВОЧНИК!$H$13+'ПЛАН ЧЕРН К2'!O39*СПРАВОЧНИК!$I$13+'ПЛАН ЧЕРН К2'!P39*СПРАВОЧНИК!$J$13+'ПЛАН ЧЕРН К2'!Q39*СПРАВОЧНИК!$H$14+'ПЛАН ЧЕРН К2'!R39*СПРАВОЧНИК!$I$14+'ПЛАН ЧЕРН К2'!S39*СПРАВОЧНИК!$J$14+'ПЛАН ЧЕРН К2'!T39*СПРАВОЧНИК!$H$15+'ПЛАН ЧЕРН К2'!U39*СПРАВОЧНИК!$I$15+'ПЛАН ЧЕРН К2'!V39*СПРАВОЧНИК!$J$15</f>
        <v/>
      </c>
      <c r="AT48" s="31">
        <f>('ФАКТ ЧЕРН К2'!B39)*СПРАВОЧНИК!$H$9+('ФАКТ ЧЕРН К2'!C39)*СПРАВОЧНИК!$I$9+('ФАКТ ЧЕРН К2'!D39)*СПРАВОЧНИК!$J$9+('ФАКТ ЧЕРН К2'!E39)*СПРАВОЧНИК!$H$10+('ФАКТ ЧЕРН К2'!F39)*СПРАВОЧНИК!$I$10+('ФАКТ ЧЕРН К2'!G39)*СПРАВОЧНИК!$J$10+('ФАКТ ЧЕРН К2'!H39)*СПРАВОЧНИК!$H$11+('ФАКТ ЧЕРН К2'!I39)*СПРАВОЧНИК!$I$11+('ФАКТ ЧЕРН К2'!J39)*СПРАВОЧНИК!$J$11+('ФАКТ ЧЕРН К2'!K39)*СПРАВОЧНИК!$H$12+('ФАКТ ЧЕРН К2'!L39)*СПРАВОЧНИК!$I$12+('ФАКТ ЧЕРН К2'!M39)*СПРАВОЧНИК!$J$12+('ФАКТ ЧЕРН К2'!N39)*СПРАВОЧНИК!$H$13+('ФАКТ ЧЕРН К2'!O39)*СПРАВОЧНИК!$I$13+('ФАКТ ЧЕРН К2'!P39)*СПРАВОЧНИК!$J$13+('ФАКТ ЧЕРН К2'!Q39)*СПРАВОЧНИК!$H$14+('ФАКТ ЧЕРН К2'!R39)*СПРАВОЧНИК!$I$14+('ФАКТ ЧЕРН К2'!S39)*СПРАВОЧНИК!$J$14+('ФАКТ ЧЕРН К2'!T39)*СПРАВОЧНИК!$H$15+('ФАКТ ЧЕРН К2'!U39)*СПРАВОЧНИК!$I$15+('ФАКТ ЧЕРН К2'!V39)*СПРАВОЧНИК!$J$15</f>
        <v/>
      </c>
      <c r="AU48" s="34" t="n"/>
      <c r="AX48" s="152">
        <f>AX47+7</f>
        <v/>
      </c>
      <c r="AY48" s="17">
        <f>'ПЛАН ЧИСТ К2'!B39*СПРАВОЧНИК!$L$9+'ПЛАН ЧИСТ К2'!C39*СПРАВОЧНИК!$M$9+'ПЛАН ЧИСТ К2'!D39*СПРАВОЧНИК!$N$9+'ПЛАН ЧИСТ К2'!E39*СПРАВОЧНИК!$O$9+'ПЛАН ЧИСТ К2'!F39*СПРАВОЧНИК!$P$9+'ПЛАН ЧИСТ К2'!G39*СПРАВОЧНИК!$L$10+'ПЛАН ЧИСТ К2'!H39*СПРАВОЧНИК!$M$10+'ПЛАН ЧИСТ К2'!I39*СПРАВОЧНИК!$N$10+'ПЛАН ЧИСТ К2'!J39*СПРАВОЧНИК!$O$10+'ПЛАН ЧИСТ К2'!K39*СПРАВОЧНИК!$P$10+'ПЛАН ЧИСТ К2'!L39*СПРАВОЧНИК!$L$11+'ПЛАН ЧИСТ К2'!M39*СПРАВОЧНИК!$M$11+'ПЛАН ЧИСТ К2'!N39*СПРАВОЧНИК!$N$11+'ПЛАН ЧИСТ К2'!O39*СПРАВОЧНИК!$O$11+'ПЛАН ЧИСТ К2'!P39*СПРАВОЧНИК!$P$11+'ПЛАН ЧИСТ К2'!Q39*СПРАВОЧНИК!$L$12+'ПЛАН ЧИСТ К2'!R39*СПРАВОЧНИК!$M$12+'ПЛАН ЧИСТ К2'!S39*СПРАВОЧНИК!$N$12+'ПЛАН ЧИСТ К2'!T39*СПРАВОЧНИК!$O$12+'ПЛАН ЧИСТ К2'!U39*СПРАВОЧНИК!$P$12+'ПЛАН ЧИСТ К2'!V39*СПРАВОЧНИК!$L$13+'ПЛАН ЧИСТ К2'!W39*СПРАВОЧНИК!$M$13+'ПЛАН ЧИСТ К2'!X39*СПРАВОЧНИК!$N$13+'ПЛАН ЧИСТ К2'!Y39*СПРАВОЧНИК!$O$13+'ПЛАН ЧИСТ К2'!Z39*СПРАВОЧНИК!$P$13+'ПЛАН ЧИСТ К2'!AA39*СПРАВОЧНИК!$L$14+'ПЛАН ЧИСТ К2'!AB39*СПРАВОЧНИК!$M$14+'ПЛАН ЧИСТ К2'!AC39*СПРАВОЧНИК!$N$14+'ПЛАН ЧИСТ К2'!AD39*СПРАВОЧНИК!$O$14+'ПЛАН ЧИСТ К2'!AE39*СПРАВОЧНИК!$P$14+'ПЛАН ЧИСТ К2'!AF39*СПРАВОЧНИК!$L$15+'ПЛАН ЧИСТ К2'!AG39*СПРАВОЧНИК!$M$15+'ПЛАН ЧИСТ К2'!AH39*СПРАВОЧНИК!$N$15+'ПЛАН ЧИСТ К2'!AI39*СПРАВОЧНИК!$O$15+'ПЛАН ЧИСТ К2'!AJ39*СПРАВОЧНИК!$P$15</f>
        <v/>
      </c>
      <c r="AZ48" s="31">
        <f>('ФАКТ ЧИСТ К2'!B39)*СПРАВОЧНИК!$L$9+('ФАКТ ЧИСТ К2'!C39)*СПРАВОЧНИК!$M$9+('ФАКТ ЧИСТ К2'!D39)*СПРАВОЧНИК!$N$9+('ФАКТ ЧИСТ К2'!E39)*СПРАВОЧНИК!$O$9+('ФАКТ ЧИСТ К2'!F39)*СПРАВОЧНИК!$P$9+('ФАКТ ЧИСТ К2'!G39)*СПРАВОЧНИК!$L$10+('ФАКТ ЧИСТ К2'!H39)*СПРАВОЧНИК!$M$10+('ФАКТ ЧИСТ К2'!I39)*СПРАВОЧНИК!$N$10+('ФАКТ ЧИСТ К2'!J39)*СПРАВОЧНИК!$O$10+('ФАКТ ЧИСТ К2'!K39)*СПРАВОЧНИК!$P$10+('ФАКТ ЧИСТ К2'!L39)*СПРАВОЧНИК!$L$11+('ФАКТ ЧИСТ К2'!M39)*СПРАВОЧНИК!$M$11+('ФАКТ ЧИСТ К2'!N39)*СПРАВОЧНИК!$N$11+('ФАКТ ЧИСТ К2'!O39)*СПРАВОЧНИК!$O$11+('ФАКТ ЧИСТ К2'!P39)*СПРАВОЧНИК!$P$11+('ФАКТ ЧИСТ К2'!Q39)*СПРАВОЧНИК!$L$12+('ФАКТ ЧИСТ К2'!R39)*СПРАВОЧНИК!$M$12+('ФАКТ ЧИСТ К2'!S39)*СПРАВОЧНИК!$N$12+('ФАКТ ЧИСТ К2'!T39)*СПРАВОЧНИК!$O$12+('ФАКТ ЧИСТ К2'!U39)*СПРАВОЧНИК!$P$12+('ФАКТ ЧИСТ К2'!V39)*СПРАВОЧНИК!$L$13+('ФАКТ ЧИСТ К2'!W39)*СПРАВОЧНИК!$M$13+('ФАКТ ЧИСТ К2'!X39)*СПРАВОЧНИК!$N$13+('ФАКТ ЧИСТ К2'!Y39)*СПРАВОЧНИК!$O$13+('ФАКТ ЧИСТ К2'!Z39)*СПРАВОЧНИК!$P$13+('ФАКТ ЧИСТ К2'!AA39)*СПРАВОЧНИК!$L$14+('ФАКТ ЧИСТ К2'!AB39)*СПРАВОЧНИК!$M$14+('ФАКТ ЧИСТ К2'!AC39)*СПРАВОЧНИК!$N$14+('ФАКТ ЧИСТ К2'!AD39)*СПРАВОЧНИК!$O$14+('ФАКТ ЧИСТ К2'!AE39)*СПРАВОЧНИК!$P$14+('ФАКТ ЧИСТ К2'!AF39)*СПРАВОЧНИК!$L$15+('ФАКТ ЧИСТ К2'!AG39)*СПРАВОЧНИК!$M$15+('ФАКТ ЧИСТ К2'!AH39)*СПРАВОЧНИК!$N$15+('ФАКТ ЧИСТ К2'!AI39)*СПРАВОЧНИК!$O$15+('ФАКТ ЧИСТ К2'!AJ39)*СПРАВОЧНИК!$P$15</f>
        <v/>
      </c>
      <c r="BA48" s="34" t="n"/>
      <c r="BD48" s="152">
        <f>BD47+7</f>
        <v/>
      </c>
      <c r="BE48" s="17">
        <f>СПРАВОЧНИК!$E$9*('ПЛАН ЧЕРН К3'!B39*СПРАВОЧНИК!$H$9+'ПЛАН ЧЕРН К3'!C39*СПРАВОЧНИК!$I$9+'ПЛАН ЧЕРН К3'!D39*СПРАВОЧНИК!$J$9)+СПРАВОЧНИК!$F$9*('ПЛАН ЧИСТ К3'!B39*СПРАВОЧНИК!$L$9+'ПЛАН ЧИСТ К3'!C39*СПРАВОЧНИК!$M$9+'ПЛАН ЧИСТ К3'!D39*СПРАВОЧНИК!$N$9+'ПЛАН ЧИСТ К3'!E39*СПРАВОЧНИК!$O$9+'ПЛАН ЧИСТ К3'!F39*СПРАВОЧНИК!$P$9)+СПРАВОЧНИК!$E$10*('ПЛАН ЧЕРН К3'!E39*СПРАВОЧНИК!$H$10+'ПЛАН ЧЕРН К3'!F39*СПРАВОЧНИК!$I$10+'ПЛАН ЧЕРН К3'!G39*СПРАВОЧНИК!$J$10)+СПРАВОЧНИК!$F$10*('ПЛАН ЧИСТ К3'!G39*СПРАВОЧНИК!$L$10+'ПЛАН ЧИСТ К3'!H39*СПРАВОЧНИК!$M$10+'ПЛАН ЧИСТ К3'!I39*СПРАВОЧНИК!$N$10+'ПЛАН ЧИСТ К3'!J39*СПРАВОЧНИК!$O$10+'ПЛАН ЧИСТ К3'!K39*СПРАВОЧНИК!$P$10)+СПРАВОЧНИК!$E$11*('ПЛАН ЧЕРН К3'!H39*СПРАВОЧНИК!$H$11+'ПЛАН ЧЕРН К3'!I39*СПРАВОЧНИК!$I$11+'ПЛАН ЧЕРН К3'!J39*СПРАВОЧНИК!$J$11)+СПРАВОЧНИК!$F$11*('ПЛАН ЧИСТ К3'!L39*СПРАВОЧНИК!$L$11+'ПЛАН ЧИСТ К3'!M39*СПРАВОЧНИК!$M$11+'ПЛАН ЧИСТ К3'!N39*СПРАВОЧНИК!$N$11+'ПЛАН ЧИСТ К3'!O39*СПРАВОЧНИК!$O$11+'ПЛАН ЧИСТ К3'!P39*СПРАВОЧНИК!$P$11)+СПРАВОЧНИК!$E$12*('ПЛАН ЧЕРН К3'!K39*СПРАВОЧНИК!$H$12+'ПЛАН ЧЕРН К3'!L39*СПРАВОЧНИК!$I$12+'ПЛАН ЧЕРН К3'!M39*СПРАВОЧНИК!$J$12)+СПРАВОЧНИК!$F$12*('ПЛАН ЧИСТ К3'!Q39*СПРАВОЧНИК!$L$12+'ПЛАН ЧИСТ К3'!R39*СПРАВОЧНИК!$M$12+'ПЛАН ЧИСТ К3'!S39*СПРАВОЧНИК!$N$12+'ПЛАН ЧИСТ К3'!T39*СПРАВОЧНИК!$O$12+'ПЛАН ЧИСТ К3'!U39*СПРАВОЧНИК!$P$12)+СПРАВОЧНИК!$E$13*('ПЛАН ЧЕРН К3'!N39*СПРАВОЧНИК!$H$13+'ПЛАН ЧЕРН К3'!O39*СПРАВОЧНИК!$I$13+'ПЛАН ЧЕРН К3'!P39*СПРАВОЧНИК!$J$13)+СПРАВОЧНИК!$F$13*('ПЛАН ЧИСТ К3'!V39*СПРАВОЧНИК!$L$13+'ПЛАН ЧИСТ К3'!W39*СПРАВОЧНИК!$M$13+'ПЛАН ЧИСТ К3'!X39*СПРАВОЧНИК!$N$13+'ПЛАН ЧИСТ К3'!Y39*СПРАВОЧНИК!$O$13+'ПЛАН ЧИСТ К3'!Z39*СПРАВОЧНИК!$P$13)+СПРАВОЧНИК!$E$14*('ПЛАН ЧЕРН К3'!Q39*СПРАВОЧНИК!$H$14+'ПЛАН ЧЕРН К3'!R39*СПРАВОЧНИК!$I$14+'ПЛАН ЧЕРН К3'!S39*СПРАВОЧНИК!$J$14)+СПРАВОЧНИК!$F$14*('ПЛАН ЧИСТ К3'!AA39*СПРАВОЧНИК!$L$14+'ПЛАН ЧИСТ К3'!AB39*СПРАВОЧНИК!$M$14+'ПЛАН ЧИСТ К3'!AC39*СПРАВОЧНИК!$N$14+'ПЛАН ЧИСТ К3'!AD39*СПРАВОЧНИК!$O$14+'ПЛАН ЧИСТ К3'!AE39*СПРАВОЧНИК!$P$14)+СПРАВОЧНИК!$E$15*('ПЛАН ЧЕРН К3'!T39*СПРАВОЧНИК!$H$15+'ПЛАН ЧЕРН К3'!U39*СПРАВОЧНИК!$I$15+'ПЛАН ЧЕРН К3'!V39*СПРАВОЧНИК!$J$15)+СПРАВОЧНИК!$F$15*('ПЛАН ЧИСТ К3'!AF39*СПРАВОЧНИК!$L$15+'ПЛАН ЧИСТ К3'!AG39*СПРАВОЧНИК!$M$15+'ПЛАН ЧИСТ К3'!AH39*СПРАВОЧНИК!$N$15+'ПЛАН ЧИСТ К3'!AI39*СПРАВОЧНИК!$O$15+'ПЛАН ЧИСТ К3'!AJ39*СПРАВОЧНИК!$P$15)</f>
        <v/>
      </c>
      <c r="BF48" s="31">
        <f>СПРАВОЧНИК!$E$9*('ФАКТ ЧЕРН К3'!B39*СПРАВОЧНИК!$H$9+'ФАКТ ЧЕРН К3'!C39*СПРАВОЧНИК!$I$9+'ФАКТ ЧЕРН К3'!D39*СПРАВОЧНИК!$J$9)+СПРАВОЧНИК!$F$9*('ФАКТ ЧИСТ К3'!B39*СПРАВОЧНИК!$L$9+'ФАКТ ЧИСТ К3'!C39*СПРАВОЧНИК!$M$9+'ФАКТ ЧИСТ К3'!D39*СПРАВОЧНИК!$N$9+'ФАКТ ЧИСТ К3'!E39*СПРАВОЧНИК!$O$9+'ФАКТ ЧИСТ К3'!F39*СПРАВОЧНИК!$P$9)+СПРАВОЧНИК!$E$10*('ФАКТ ЧЕРН К3'!E39*СПРАВОЧНИК!$H$10+'ФАКТ ЧЕРН К3'!F39*СПРАВОЧНИК!$I$10+'ФАКТ ЧЕРН К3'!G39*СПРАВОЧНИК!$J$10)+СПРАВОЧНИК!$F$10*('ФАКТ ЧИСТ К3'!G39*СПРАВОЧНИК!$L$10+'ФАКТ ЧИСТ К3'!H39*СПРАВОЧНИК!$M$10+'ФАКТ ЧИСТ К3'!I39*СПРАВОЧНИК!$N$10+'ФАКТ ЧИСТ К3'!J39*СПРАВОЧНИК!$O$10+'ФАКТ ЧИСТ К3'!K39*СПРАВОЧНИК!$P$10)+СПРАВОЧНИК!$E$11*('ФАКТ ЧЕРН К3'!H39*СПРАВОЧНИК!$H$11+'ФАКТ ЧЕРН К3'!I39*СПРАВОЧНИК!$I$11+'ФАКТ ЧЕРН К3'!J39*СПРАВОЧНИК!$J$11)+СПРАВОЧНИК!$F$11*('ФАКТ ЧИСТ К3'!L39*СПРАВОЧНИК!$L$11+'ФАКТ ЧИСТ К3'!M39*СПРАВОЧНИК!$M$11+'ФАКТ ЧИСТ К3'!N39*СПРАВОЧНИК!$N$11+'ФАКТ ЧИСТ К3'!O39*СПРАВОЧНИК!$O$11+'ФАКТ ЧИСТ К3'!P39*СПРАВОЧНИК!$P$11)+СПРАВОЧНИК!$E$12*('ФАКТ ЧЕРН К3'!K39*СПРАВОЧНИК!$H$12+'ФАКТ ЧЕРН К3'!L39*СПРАВОЧНИК!$I$12+'ФАКТ ЧЕРН К3'!M39*СПРАВОЧНИК!$J$12)+СПРАВОЧНИК!$F$12*('ФАКТ ЧИСТ К3'!Q39*СПРАВОЧНИК!$L$12+'ФАКТ ЧИСТ К3'!R39*СПРАВОЧНИК!$M$12+'ФАКТ ЧИСТ К3'!S39*СПРАВОЧНИК!$N$12+'ФАКТ ЧИСТ К3'!T39*СПРАВОЧНИК!$O$12+'ФАКТ ЧИСТ К3'!U39*СПРАВОЧНИК!$P$12)+СПРАВОЧНИК!$E$13*('ФАКТ ЧЕРН К3'!N39*СПРАВОЧНИК!$H$13+'ФАКТ ЧЕРН К3'!O39*СПРАВОЧНИК!$I$13+'ФАКТ ЧЕРН К3'!P39*СПРАВОЧНИК!$J$13)+СПРАВОЧНИК!$F$13*('ФАКТ ЧИСТ К3'!V39*СПРАВОЧНИК!$L$13+'ФАКТ ЧИСТ К3'!W39*СПРАВОЧНИК!$M$13+'ФАКТ ЧИСТ К3'!X39*СПРАВОЧНИК!$N$13+'ФАКТ ЧИСТ К3'!Y39*СПРАВОЧНИК!$O$13+'ФАКТ ЧИСТ К3'!Z39*СПРАВОЧНИК!$P$13)+СПРАВОЧНИК!$E$14*('ФАКТ ЧЕРН К3'!Q39*СПРАВОЧНИК!$H$14+'ФАКТ ЧЕРН К3'!R39*СПРАВОЧНИК!$I$14+'ФАКТ ЧЕРН К3'!S39*СПРАВОЧНИК!$J$14)+СПРАВОЧНИК!$F$14*('ФАКТ ЧИСТ К3'!AA39*СПРАВОЧНИК!$L$14+'ФАКТ ЧИСТ К3'!AB39*СПРАВОЧНИК!$M$14+'ФАКТ ЧИСТ К3'!AC39*СПРАВОЧНИК!$N$14+'ФАКТ ЧИСТ К3'!AD39*СПРАВОЧНИК!$O$14+'ФАКТ ЧИСТ К3'!AE39*СПРАВОЧНИК!$P$14)+СПРАВОЧНИК!$E$15*('ФАКТ ЧЕРН К3'!T39*СПРАВОЧНИК!$H$15+'ФАКТ ЧЕРН К3'!U39*СПРАВОЧНИК!$I$15+'ФАКТ ЧЕРН К3'!V39*СПРАВОЧНИК!$J$15)+СПРАВОЧНИК!$F$15*('ФАКТ ЧИСТ К3'!AF39*СПРАВОЧНИК!$L$15+'ФАКТ ЧИСТ К3'!AG39*СПРАВОЧНИК!$M$15+'ФАКТ ЧИСТ К3'!AH39*СПРАВОЧНИК!$N$15+'ФАКТ ЧИСТ К3'!AI39*СПРАВОЧНИК!$O$15+'ФАКТ ЧИСТ К3'!AJ39*СПРАВОЧНИК!$P$15)</f>
        <v/>
      </c>
      <c r="BG48" s="34" t="n"/>
      <c r="BJ48" s="152">
        <f>BJ47+7</f>
        <v/>
      </c>
      <c r="BK48" s="17">
        <f>'ПЛАН ЧЕРН К3'!B39*СПРАВОЧНИК!$H$9+'ПЛАН ЧЕРН К3'!C39*СПРАВОЧНИК!$I$9+'ПЛАН ЧЕРН К3'!D39*СПРАВОЧНИК!$J$9+'ПЛАН ЧЕРН К3'!E39*СПРАВОЧНИК!$H$10+'ПЛАН ЧЕРН К3'!F39*СПРАВОЧНИК!$I$10+'ПЛАН ЧЕРН К3'!G39*СПРАВОЧНИК!$J$10+'ПЛАН ЧЕРН К3'!H39*СПРАВОЧНИК!$H$11+'ПЛАН ЧЕРН К3'!I39*СПРАВОЧНИК!$I$11+'ПЛАН ЧЕРН К3'!J39*СПРАВОЧНИК!$J$11+'ПЛАН ЧЕРН К3'!K39*СПРАВОЧНИК!$H$12+'ПЛАН ЧЕРН К3'!L39*СПРАВОЧНИК!$I$12+'ПЛАН ЧЕРН К3'!M39*СПРАВОЧНИК!$J$12+'ПЛАН ЧЕРН К3'!N39*СПРАВОЧНИК!$H$13+'ПЛАН ЧЕРН К3'!O39*СПРАВОЧНИК!$I$13+'ПЛАН ЧЕРН К3'!P39*СПРАВОЧНИК!$J$13+'ПЛАН ЧЕРН К3'!Q39*СПРАВОЧНИК!$H$14+'ПЛАН ЧЕРН К3'!R39*СПРАВОЧНИК!$I$14+'ПЛАН ЧЕРН К3'!S39*СПРАВОЧНИК!$J$14+'ПЛАН ЧЕРН К3'!T39*СПРАВОЧНИК!$H$15+'ПЛАН ЧЕРН К3'!U39*СПРАВОЧНИК!$I$15+'ПЛАН ЧЕРН К3'!V39*СПРАВОЧНИК!$J$15</f>
        <v/>
      </c>
      <c r="BL48" s="31">
        <f>('ФАКТ ЧЕРН К3'!B39)*СПРАВОЧНИК!$H$9+('ФАКТ ЧЕРН К3'!C39)*СПРАВОЧНИК!$I$9+('ФАКТ ЧЕРН К3'!D39)*СПРАВОЧНИК!$J$9+('ФАКТ ЧЕРН К3'!E39)*СПРАВОЧНИК!$H$10+('ФАКТ ЧЕРН К3'!F39)*СПРАВОЧНИК!$I$10+('ФАКТ ЧЕРН К3'!G39)*СПРАВОЧНИК!$J$10+('ФАКТ ЧЕРН К3'!H39)*СПРАВОЧНИК!$H$11+('ФАКТ ЧЕРН К3'!I39)*СПРАВОЧНИК!$I$11+('ФАКТ ЧЕРН К3'!J39)*СПРАВОЧНИК!$J$11+('ФАКТ ЧЕРН К3'!K39)*СПРАВОЧНИК!$H$12+('ФАКТ ЧЕРН К3'!L39)*СПРАВОЧНИК!$I$12+('ФАКТ ЧЕРН К3'!M39)*СПРАВОЧНИК!$J$12+('ФАКТ ЧЕРН К3'!N39)*СПРАВОЧНИК!$H$13+('ФАКТ ЧЕРН К3'!O39)*СПРАВОЧНИК!$I$13+('ФАКТ ЧЕРН К3'!P39)*СПРАВОЧНИК!$J$13+('ФАКТ ЧЕРН К3'!Q39)*СПРАВОЧНИК!$H$14+('ФАКТ ЧЕРН К3'!R39)*СПРАВОЧНИК!$I$14+('ФАКТ ЧЕРН К3'!S39)*СПРАВОЧНИК!$J$14+('ФАКТ ЧЕРН К3'!T39)*СПРАВОЧНИК!$H$15+('ФАКТ ЧЕРН К3'!U39)*СПРАВОЧНИК!$I$15+('ФАКТ ЧЕРН К3'!V39)*СПРАВОЧНИК!$J$15</f>
        <v/>
      </c>
      <c r="BM48" s="34" t="n"/>
      <c r="BP48" s="152">
        <f>BP47+7</f>
        <v/>
      </c>
      <c r="BQ48" s="17">
        <f>'ПЛАН ЧИСТ К3'!B39*СПРАВОЧНИК!$L$9+'ПЛАН ЧИСТ К3'!C39*СПРАВОЧНИК!$M$9+'ПЛАН ЧИСТ К3'!D39*СПРАВОЧНИК!$N$9+'ПЛАН ЧИСТ К3'!E39*СПРАВОЧНИК!$O$9+'ПЛАН ЧИСТ К3'!F39*СПРАВОЧНИК!$P$9+'ПЛАН ЧИСТ К3'!G39*СПРАВОЧНИК!$L$10+'ПЛАН ЧИСТ К3'!H39*СПРАВОЧНИК!$M$10+'ПЛАН ЧИСТ К3'!I39*СПРАВОЧНИК!$N$10+'ПЛАН ЧИСТ К3'!J39*СПРАВОЧНИК!$O$10+'ПЛАН ЧИСТ К3'!K39*СПРАВОЧНИК!$P$10+'ПЛАН ЧИСТ К3'!L39*СПРАВОЧНИК!$L$11+'ПЛАН ЧИСТ К3'!M39*СПРАВОЧНИК!$M$11+'ПЛАН ЧИСТ К3'!N39*СПРАВОЧНИК!$N$11+'ПЛАН ЧИСТ К3'!O39*СПРАВОЧНИК!$O$11+'ПЛАН ЧИСТ К3'!P39*СПРАВОЧНИК!$P$11+'ПЛАН ЧИСТ К3'!Q39*СПРАВОЧНИК!$L$12+'ПЛАН ЧИСТ К3'!R39*СПРАВОЧНИК!$M$12+'ПЛАН ЧИСТ К3'!S39*СПРАВОЧНИК!$N$12+'ПЛАН ЧИСТ К3'!T39*СПРАВОЧНИК!$O$12+'ПЛАН ЧИСТ К3'!U39*СПРАВОЧНИК!$P$12+'ПЛАН ЧИСТ К3'!V39*СПРАВОЧНИК!$L$13+'ПЛАН ЧИСТ К3'!W39*СПРАВОЧНИК!$M$13+'ПЛАН ЧИСТ К3'!X39*СПРАВОЧНИК!$N$13+'ПЛАН ЧИСТ К3'!Y39*СПРАВОЧНИК!$O$13+'ПЛАН ЧИСТ К3'!Z39*СПРАВОЧНИК!$P$13+'ПЛАН ЧИСТ К3'!AA39*СПРАВОЧНИК!$L$14+'ПЛАН ЧИСТ К3'!AB39*СПРАВОЧНИК!$M$14+'ПЛАН ЧИСТ К3'!AC39*СПРАВОЧНИК!$N$14+'ПЛАН ЧИСТ К3'!AD39*СПРАВОЧНИК!$O$14+'ПЛАН ЧИСТ К3'!AE39*СПРАВОЧНИК!$P$14+'ПЛАН ЧИСТ К3'!AF39*СПРАВОЧНИК!$L$15+'ПЛАН ЧИСТ К3'!AG39*СПРАВОЧНИК!$M$15+'ПЛАН ЧИСТ К3'!AH39*СПРАВОЧНИК!$N$15+'ПЛАН ЧИСТ К3'!AI39*СПРАВОЧНИК!$O$15+'ПЛАН ЧИСТ К3'!AJ39*СПРАВОЧНИК!$P$15</f>
        <v/>
      </c>
      <c r="BR48" s="31">
        <f>('ФАКТ ЧИСТ К3'!B39)*СПРАВОЧНИК!$L$9+('ФАКТ ЧИСТ К3'!C39)*СПРАВОЧНИК!$M$9+('ФАКТ ЧИСТ К3'!D39)*СПРАВОЧНИК!$N$9+('ФАКТ ЧИСТ К3'!E39)*СПРАВОЧНИК!$O$9+('ФАКТ ЧИСТ К3'!F39)*СПРАВОЧНИК!$P$9+('ФАКТ ЧИСТ К3'!G39)*СПРАВОЧНИК!$L$10+('ФАКТ ЧИСТ К3'!H39)*СПРАВОЧНИК!$M$10+('ФАКТ ЧИСТ К3'!I39)*СПРАВОЧНИК!$N$10+('ФАКТ ЧИСТ К3'!J39)*СПРАВОЧНИК!$O$10+('ФАКТ ЧИСТ К3'!K39)*СПРАВОЧНИК!$P$10+('ФАКТ ЧИСТ К3'!L39)*СПРАВОЧНИК!$L$11+('ФАКТ ЧИСТ К3'!M39)*СПРАВОЧНИК!$M$11+('ФАКТ ЧИСТ К3'!N39)*СПРАВОЧНИК!$N$11+('ФАКТ ЧИСТ К3'!O39)*СПРАВОЧНИК!$O$11+('ФАКТ ЧИСТ К3'!P39)*СПРАВОЧНИК!$P$11+('ФАКТ ЧИСТ К3'!Q39)*СПРАВОЧНИК!$L$12+('ФАКТ ЧИСТ К3'!R39)*СПРАВОЧНИК!$M$12+('ФАКТ ЧИСТ К3'!S39)*СПРАВОЧНИК!$N$12+('ФАКТ ЧИСТ К3'!T39)*СПРАВОЧНИК!$O$12+('ФАКТ ЧИСТ К3'!U39)*СПРАВОЧНИК!$P$12+('ФАКТ ЧИСТ К3'!V39)*СПРАВОЧНИК!$L$13+('ФАКТ ЧИСТ К3'!W39)*СПРАВОЧНИК!$M$13+('ФАКТ ЧИСТ К3'!X39)*СПРАВОЧНИК!$N$13+('ФАКТ ЧИСТ К3'!Y39)*СПРАВОЧНИК!$O$13+('ФАКТ ЧИСТ К3'!Z39)*СПРАВОЧНИК!$P$13+('ФАКТ ЧИСТ К3'!AA39)*СПРАВОЧНИК!$L$14+('ФАКТ ЧИСТ К3'!AB39)*СПРАВОЧНИК!$M$14+('ФАКТ ЧИСТ К3'!AC39)*СПРАВОЧНИК!$N$14+('ФАКТ ЧИСТ К3'!AD39)*СПРАВОЧНИК!$O$14+('ФАКТ ЧИСТ К3'!AE39)*СПРАВОЧНИК!$P$14+('ФАКТ ЧИСТ К3'!AF39)*СПРАВОЧНИК!$L$15+('ФАКТ ЧИСТ К3'!AG39)*СПРАВОЧНИК!$M$15+('ФАКТ ЧИСТ К3'!AH39)*СПРАВОЧНИК!$N$15+('ФАКТ ЧИСТ К3'!AI39)*СПРАВОЧНИК!$O$15+('ФАКТ ЧИСТ К3'!AJ39)*СПРАВОЧНИК!$P$15</f>
        <v/>
      </c>
      <c r="BS48" s="34" t="n"/>
      <c r="BV48" s="152">
        <f>BV47+7</f>
        <v/>
      </c>
      <c r="BW48" s="17">
        <f>U48*СПРАВОЧНИК!$K$28+AM48*СПРАВОЧНИК!$K$29+BE48*СПРАВОЧНИК!$K$30</f>
        <v/>
      </c>
      <c r="BX48" s="31">
        <f>V48*СПРАВОЧНИК!$K$28+AN48*СПРАВОЧНИК!$K$29+BF48*СПРАВОЧНИК!$K$30</f>
        <v/>
      </c>
      <c r="BY48" s="34" t="n"/>
      <c r="CB48" s="152">
        <f>CB47+7</f>
        <v/>
      </c>
      <c r="CC48" s="17">
        <f>AA48*СПРАВОЧНИК!$K$28+AS48*СПРАВОЧНИК!$K$29+BK48*СПРАВОЧНИК!$K$30</f>
        <v/>
      </c>
      <c r="CD48" s="31">
        <f>AB48*СПРАВОЧНИК!$K$28+AT48*СПРАВОЧНИК!$K$29+BL48*СПРАВОЧНИК!$K$30</f>
        <v/>
      </c>
      <c r="CE48" s="34" t="n"/>
      <c r="CH48" s="152">
        <f>CH47+7</f>
        <v/>
      </c>
      <c r="CI48" s="17">
        <f>AG48*СПРАВОЧНИК!$K$28+AY48*СПРАВОЧНИК!$K$29+BQ48*СПРАВОЧНИК!$K$30</f>
        <v/>
      </c>
      <c r="CJ48" s="31">
        <f>AH48*СПРАВОЧНИК!$K$28+AZ48*СПРАВОЧНИК!$K$29+BR48*СПРАВОЧНИК!$K$30</f>
        <v/>
      </c>
      <c r="CK48" s="34" t="n"/>
      <c r="CN48" s="152">
        <f>CN47+7</f>
        <v/>
      </c>
      <c r="CO48" s="17">
        <f>C48*СПРАВОЧНИК!$W$18+BW48*СПРАВОЧНИК!$W$19</f>
        <v/>
      </c>
      <c r="CP48" s="31">
        <f>D48*СПРАВОЧНИК!$W$18+BX48*СПРАВОЧНИК!$W$19</f>
        <v/>
      </c>
      <c r="CQ48" s="34" t="n"/>
      <c r="CT48" s="152">
        <f>CT47+7</f>
        <v/>
      </c>
      <c r="CU48" s="17">
        <f>I48*СПРАВОЧНИК!$W$18+CC48*СПРАВОЧНИК!$W$19</f>
        <v/>
      </c>
      <c r="CV48" s="31">
        <f>J48*СПРАВОЧНИК!$W$18+CD48*СПРАВОЧНИК!$W$19</f>
        <v/>
      </c>
      <c r="CW48" s="34" t="n"/>
      <c r="CZ48" s="152">
        <f>CZ47+7</f>
        <v/>
      </c>
      <c r="DA48" s="17">
        <f>O48*СПРАВОЧНИК!$W$18+CI48*СПРАВОЧНИК!$W$19</f>
        <v/>
      </c>
      <c r="DB48" s="31">
        <f>P48*СПРАВОЧНИК!$W$18+CJ48*СПРАВОЧНИК!$W$19</f>
        <v/>
      </c>
      <c r="DC48" s="34" t="n"/>
    </row>
    <row r="49">
      <c r="B49" s="152">
        <f>B48+7</f>
        <v/>
      </c>
      <c r="C49" s="17">
        <f>СПРАВОЧНИК!$E$3*('ПЛАН ЧЕРН ПОДЗЕМ'!B40*СПРАВОЧНИК!$H$3+'ПЛАН ЧЕРН ПОДЗЕМ'!C40*СПРАВОЧНИК!$I$3+'ПЛАН ЧЕРН ПОДЗЕМ'!D40*СПРАВОЧНИК!$J$3)+СПРАВОЧНИК!$F$3*('ПЛАН ЧИСТ ПОДЗЕМ'!B40*СПРАВОЧНИК!$L$3+'ПЛАН ЧИСТ ПОДЗЕМ'!C40*СПРАВОЧНИК!$M$3+'ПЛАН ЧИСТ ПОДЗЕМ'!D40*СПРАВОЧНИК!$N$3+'ПЛАН ЧИСТ ПОДЗЕМ'!E40*СПРАВОЧНИК!$O$3+'ПЛАН ЧИСТ ПОДЗЕМ'!F40*СПРАВОЧНИК!$P$3)+СПРАВОЧНИК!$E$4*('ПЛАН ЧЕРН ПОДЗЕМ'!E40*СПРАВОЧНИК!$H$4+'ПЛАН ЧЕРН ПОДЗЕМ'!F40*СПРАВОЧНИК!$I$4+'ПЛАН ЧЕРН ПОДЗЕМ'!G40*СПРАВОЧНИК!$J$4)+СПРАВОЧНИК!$F$4*('ПЛАН ЧИСТ ПОДЗЕМ'!G40*СПРАВОЧНИК!$L$4+'ПЛАН ЧИСТ ПОДЗЕМ'!H40*СПРАВОЧНИК!$M$4+'ПЛАН ЧИСТ ПОДЗЕМ'!I40*СПРАВОЧНИК!$N$4+'ПЛАН ЧИСТ ПОДЗЕМ'!J40*СПРАВОЧНИК!$O$4+'ПЛАН ЧИСТ ПОДЗЕМ'!K40*СПРАВОЧНИК!$P$4)+СПРАВОЧНИК!$E$5*('ПЛАН ЧЕРН ПОДЗЕМ'!H40*СПРАВОЧНИК!$H$5+'ПЛАН ЧЕРН ПОДЗЕМ'!I40*СПРАВОЧНИК!$I$5+'ПЛАН ЧЕРН ПОДЗЕМ'!J40*СПРАВОЧНИК!$J$5)+СПРАВОЧНИК!$F$5*('ПЛАН ЧИСТ ПОДЗЕМ'!L40*СПРАВОЧНИК!$L$5+'ПЛАН ЧИСТ ПОДЗЕМ'!M40*СПРАВОЧНИК!$M$5+'ПЛАН ЧИСТ ПОДЗЕМ'!N40*СПРАВОЧНИК!$N$5+'ПЛАН ЧИСТ ПОДЗЕМ'!O40*СПРАВОЧНИК!$O$5+'ПЛАН ЧИСТ ПОДЗЕМ'!P40*СПРАВОЧНИК!$P$5)+СПРАВОЧНИК!$E$6*('ПЛАН ЧЕРН ПОДЗЕМ'!K40*СПРАВОЧНИК!$H$6+'ПЛАН ЧЕРН ПОДЗЕМ'!L40*СПРАВОЧНИК!$I$6+'ПЛАН ЧЕРН ПОДЗЕМ'!M40*СПРАВОЧНИК!$J$6)+СПРАВОЧНИК!$F$6*('ПЛАН ЧИСТ ПОДЗЕМ'!Q40*СПРАВОЧНИК!$L$6+'ПЛАН ЧИСТ ПОДЗЕМ'!R40*СПРАВОЧНИК!$M$6+'ПЛАН ЧИСТ ПОДЗЕМ'!S40*СПРАВОЧНИК!$N$6+'ПЛАН ЧИСТ ПОДЗЕМ'!T40*СПРАВОЧНИК!$O$6+'ПЛАН ЧИСТ ПОДЗЕМ'!U40*СПРАВОЧНИК!$P$6)+СПРАВОЧНИК!$E$7*('ПЛАН ЧЕРН ПОДЗЕМ'!N40*СПРАВОЧНИК!$H$7+'ПЛАН ЧЕРН ПОДЗЕМ'!O40*СПРАВОЧНИК!$I$7+'ПЛАН ЧЕРН ПОДЗЕМ'!P40*СПРАВОЧНИК!$J$7)+СПРАВОЧНИК!$F$7*('ПЛАН ЧИСТ ПОДЗЕМ'!V40*СПРАВОЧНИК!$L$7+'ПЛАН ЧИСТ ПОДЗЕМ'!W40*СПРАВОЧНИК!$M$7+'ПЛАН ЧИСТ ПОДЗЕМ'!X40*СПРАВОЧНИК!$N$7+'ПЛАН ЧИСТ ПОДЗЕМ'!Y40*СПРАВОЧНИК!$O$7+'ПЛАН ЧИСТ ПОДЗЕМ'!Z40*СПРАВОЧНИК!$P$7)+СПРАВОЧНИК!$E$8*('ПЛАН ЧЕРН ПОДЗЕМ'!Q40*СПРАВОЧНИК!$H$8+'ПЛАН ЧЕРН ПОДЗЕМ'!R40*СПРАВОЧНИК!$I$8+'ПЛАН ЧЕРН ПОДЗЕМ'!S40*СПРАВОЧНИК!$J$8)+СПРАВОЧНИК!$F$8*('ПЛАН ЧИСТ ПОДЗЕМ'!AA40*СПРАВОЧНИК!$L$8+'ПЛАН ЧИСТ ПОДЗЕМ'!AB40*СПРАВОЧНИК!$M$8+'ПЛАН ЧИСТ ПОДЗЕМ'!AC40*СПРАВОЧНИК!$N$8+'ПЛАН ЧИСТ ПОДЗЕМ'!AD40*СПРАВОЧНИК!$O$8+'ПЛАН ЧИСТ ПОДЗЕМ'!AE40*СПРАВОЧНИК!$P$8)</f>
        <v/>
      </c>
      <c r="D49" s="31">
        <f>СПРАВОЧНИК!$E$3*('ФАКТ ЧЕРН ПОДЗЕМ'!B40*СПРАВОЧНИК!$H$3+'ФАКТ ЧЕРН ПОДЗЕМ'!C40*СПРАВОЧНИК!$I$3+'ФАКТ ЧЕРН ПОДЗЕМ'!D40*СПРАВОЧНИК!$J$3)+СПРАВОЧНИК!$F$3*('ФАКТ ЧИСТ ПОДЗЕМ'!B40*СПРАВОЧНИК!$L$3+'ФАКТ ЧИСТ ПОДЗЕМ'!C40*СПРАВОЧНИК!$M$3+'ФАКТ ЧИСТ ПОДЗЕМ'!D40*СПРАВОЧНИК!$N$3+'ФАКТ ЧИСТ ПОДЗЕМ'!E40*СПРАВОЧНИК!$O$3+'ФАКТ ЧИСТ ПОДЗЕМ'!F40*СПРАВОЧНИК!$P$3)+СПРАВОЧНИК!$E$4*('ФАКТ ЧЕРН ПОДЗЕМ'!E40*СПРАВОЧНИК!$H$4+'ФАКТ ЧЕРН ПОДЗЕМ'!F40*СПРАВОЧНИК!$I$4+'ФАКТ ЧЕРН ПОДЗЕМ'!G40*СПРАВОЧНИК!$J$4)+СПРАВОЧНИК!$F$4*('ФАКТ ЧИСТ ПОДЗЕМ'!G40*СПРАВОЧНИК!$L$4+'ФАКТ ЧИСТ ПОДЗЕМ'!H40*СПРАВОЧНИК!$M$4+'ФАКТ ЧИСТ ПОДЗЕМ'!I40*СПРАВОЧНИК!$N$4+'ФАКТ ЧИСТ ПОДЗЕМ'!J40*СПРАВОЧНИК!$O$4+'ФАКТ ЧИСТ ПОДЗЕМ'!K40*СПРАВОЧНИК!$P$4)+СПРАВОЧНИК!$E$5*('ФАКТ ЧЕРН ПОДЗЕМ'!H40*СПРАВОЧНИК!$H$5+'ФАКТ ЧЕРН ПОДЗЕМ'!I40*СПРАВОЧНИК!$I$5+'ФАКТ ЧЕРН ПОДЗЕМ'!J40*СПРАВОЧНИК!$J$5)+СПРАВОЧНИК!$F$5*('ФАКТ ЧИСТ ПОДЗЕМ'!L40*СПРАВОЧНИК!$L$5+'ФАКТ ЧИСТ ПОДЗЕМ'!M40*СПРАВОЧНИК!$M$5+'ФАКТ ЧИСТ ПОДЗЕМ'!N40*СПРАВОЧНИК!$N$5+'ФАКТ ЧИСТ ПОДЗЕМ'!O40*СПРАВОЧНИК!$O$5+'ФАКТ ЧИСТ ПОДЗЕМ'!P40*СПРАВОЧНИК!$P$5)+СПРАВОЧНИК!$E$6*('ФАКТ ЧЕРН ПОДЗЕМ'!K40*СПРАВОЧНИК!$H$6+'ФАКТ ЧЕРН ПОДЗЕМ'!L40*СПРАВОЧНИК!$I$6+'ФАКТ ЧЕРН ПОДЗЕМ'!M40*СПРАВОЧНИК!$J$6)+СПРАВОЧНИК!$F$6*('ФАКТ ЧИСТ ПОДЗЕМ'!Q40*СПРАВОЧНИК!$L$6+'ФАКТ ЧИСТ ПОДЗЕМ'!R40*СПРАВОЧНИК!$M$6+'ФАКТ ЧИСТ ПОДЗЕМ'!S40*СПРАВОЧНИК!$N$6+'ФАКТ ЧИСТ ПОДЗЕМ'!T40*СПРАВОЧНИК!$O$6+'ФАКТ ЧИСТ ПОДЗЕМ'!U40*СПРАВОЧНИК!$P$6)+СПРАВОЧНИК!$E$7*('ФАКТ ЧЕРН ПОДЗЕМ'!N40*СПРАВОЧНИК!$H$7+'ФАКТ ЧЕРН ПОДЗЕМ'!O40*СПРАВОЧНИК!$I$7+'ФАКТ ЧЕРН ПОДЗЕМ'!P40*СПРАВОЧНИК!$J$7)+СПРАВОЧНИК!$F$7*('ФАКТ ЧИСТ ПОДЗЕМ'!V40*СПРАВОЧНИК!$L$7+'ФАКТ ЧИСТ ПОДЗЕМ'!W40*СПРАВОЧНИК!$M$7+'ФАКТ ЧИСТ ПОДЗЕМ'!X40*СПРАВОЧНИК!$N$7+'ФАКТ ЧИСТ ПОДЗЕМ'!Y40*СПРАВОЧНИК!$O$7+'ФАКТ ЧИСТ ПОДЗЕМ'!Z40*СПРАВОЧНИК!$P$7)+СПРАВОЧНИК!$E$8*('ФАКТ ЧЕРН ПОДЗЕМ'!Q40*СПРАВОЧНИК!$H$8+'ФАКТ ЧЕРН ПОДЗЕМ'!R40*СПРАВОЧНИК!$I$8+'ФАКТ ЧЕРН ПОДЗЕМ'!S40*СПРАВОЧНИК!$J$8)+СПРАВОЧНИК!$F$8*('ФАКТ ЧИСТ ПОДЗЕМ'!AA40*СПРАВОЧНИК!$L$8+'ФАКТ ЧИСТ ПОДЗЕМ'!AB40*СПРАВОЧНИК!$M$8+'ФАКТ ЧИСТ ПОДЗЕМ'!AC40*СПРАВОЧНИК!$N$8+'ФАКТ ЧИСТ ПОДЗЕМ'!AD40*СПРАВОЧНИК!$O$8+'ФАКТ ЧИСТ ПОДЗЕМ'!AE40*СПРАВОЧНИК!$P$8)</f>
        <v/>
      </c>
      <c r="E49" s="34" t="n"/>
      <c r="H49" s="152">
        <f>H48+7</f>
        <v/>
      </c>
      <c r="I49" s="17">
        <f>'ПЛАН ЧЕРН ПОДЗЕМ'!B40*СПРАВОЧНИК!$H$3+'ПЛАН ЧЕРН ПОДЗЕМ'!C40*СПРАВОЧНИК!$I$3+'ПЛАН ЧЕРН ПОДЗЕМ'!D40*СПРАВОЧНИК!$J$3+'ПЛАН ЧЕРН ПОДЗЕМ'!E40*СПРАВОЧНИК!$H$4+'ПЛАН ЧЕРН ПОДЗЕМ'!F40*СПРАВОЧНИК!$I$4+'ПЛАН ЧЕРН ПОДЗЕМ'!G40*СПРАВОЧНИК!$J$4+'ПЛАН ЧЕРН ПОДЗЕМ'!H40*СПРАВОЧНИК!$H$5+'ПЛАН ЧЕРН ПОДЗЕМ'!I40*СПРАВОЧНИК!$I$5+'ПЛАН ЧЕРН ПОДЗЕМ'!J40*СПРАВОЧНИК!$J$5+'ПЛАН ЧЕРН ПОДЗЕМ'!K40*СПРАВОЧНИК!$H$6+'ПЛАН ЧЕРН ПОДЗЕМ'!L40*СПРАВОЧНИК!$I$6+'ПЛАН ЧЕРН ПОДЗЕМ'!M40*СПРАВОЧНИК!$J$6+'ПЛАН ЧЕРН ПОДЗЕМ'!N40*СПРАВОЧНИК!$H$7+'ПЛАН ЧЕРН ПОДЗЕМ'!O40*СПРАВОЧНИК!$I$7+'ПЛАН ЧЕРН ПОДЗЕМ'!P40*СПРАВОЧНИК!$J$7+'ПЛАН ЧЕРН ПОДЗЕМ'!Q40*СПРАВОЧНИК!$H$8+'ПЛАН ЧЕРН ПОДЗЕМ'!R40*СПРАВОЧНИК!$I$8+'ПЛАН ЧЕРН ПОДЗЕМ'!S40*СПРАВОЧНИК!$J$8</f>
        <v/>
      </c>
      <c r="J49" s="31">
        <f>('ФАКТ ЧЕРН ПОДЗЕМ'!B40)*СПРАВОЧНИК!$H$3+('ФАКТ ЧЕРН ПОДЗЕМ'!C40)*СПРАВОЧНИК!$I$3+('ФАКТ ЧЕРН ПОДЗЕМ'!D40)*СПРАВОЧНИК!$J$3+('ФАКТ ЧЕРН ПОДЗЕМ'!E40)*СПРАВОЧНИК!$H$4+('ФАКТ ЧЕРН ПОДЗЕМ'!F40)*СПРАВОЧНИК!$I$4+('ФАКТ ЧЕРН ПОДЗЕМ'!G40)*СПРАВОЧНИК!$J$4+('ФАКТ ЧЕРН ПОДЗЕМ'!H40)*СПРАВОЧНИК!$H$5+('ФАКТ ЧЕРН ПОДЗЕМ'!I40)*СПРАВОЧНИК!$I$5+('ФАКТ ЧЕРН ПОДЗЕМ'!J40)*СПРАВОЧНИК!$J$5+('ФАКТ ЧЕРН ПОДЗЕМ'!K40)*СПРАВОЧНИК!$H$6+('ФАКТ ЧЕРН ПОДЗЕМ'!L40)*СПРАВОЧНИК!$I$6+('ФАКТ ЧЕРН ПОДЗЕМ'!M40)*СПРАВОЧНИК!$J$6+('ФАКТ ЧЕРН ПОДЗЕМ'!N40)*СПРАВОЧНИК!$H$7+('ФАКТ ЧЕРН ПОДЗЕМ'!O40)*СПРАВОЧНИК!$I$7+('ФАКТ ЧЕРН ПОДЗЕМ'!P40)*СПРАВОЧНИК!$J$7+('ФАКТ ЧЕРН ПОДЗЕМ'!Q40)*СПРАВОЧНИК!$H$8+('ФАКТ ЧЕРН ПОДЗЕМ'!R40)*СПРАВОЧНИК!$I$8+('ФАКТ ЧЕРН ПОДЗЕМ'!S40)*СПРАВОЧНИК!$J$8</f>
        <v/>
      </c>
      <c r="K49" s="34" t="n"/>
      <c r="N49" s="152">
        <f>N48+7</f>
        <v/>
      </c>
      <c r="O49" s="17">
        <f>'ПЛАН ЧИСТ ПОДЗЕМ'!B40*СПРАВОЧНИК!$L$3+'ПЛАН ЧИСТ ПОДЗЕМ'!C40*СПРАВОЧНИК!$M$3+'ПЛАН ЧИСТ ПОДЗЕМ'!D40*СПРАВОЧНИК!$N$3+'ПЛАН ЧИСТ ПОДЗЕМ'!E40*СПРАВОЧНИК!$O$3+'ПЛАН ЧИСТ ПОДЗЕМ'!F40*СПРАВОЧНИК!$P$3+'ПЛАН ЧИСТ ПОДЗЕМ'!G40*СПРАВОЧНИК!$L$4+'ПЛАН ЧИСТ ПОДЗЕМ'!H40*СПРАВОЧНИК!$M$4+'ПЛАН ЧИСТ ПОДЗЕМ'!I40*СПРАВОЧНИК!$N$4+'ПЛАН ЧИСТ ПОДЗЕМ'!J40*СПРАВОЧНИК!$O$4+'ПЛАН ЧИСТ ПОДЗЕМ'!K40*СПРАВОЧНИК!$P$4+'ПЛАН ЧИСТ ПОДЗЕМ'!L40*СПРАВОЧНИК!$L$5+'ПЛАН ЧИСТ ПОДЗЕМ'!M40*СПРАВОЧНИК!$M$5+'ПЛАН ЧИСТ ПОДЗЕМ'!N40*СПРАВОЧНИК!$N$5+'ПЛАН ЧИСТ ПОДЗЕМ'!O40*СПРАВОЧНИК!$O$5+'ПЛАН ЧИСТ ПОДЗЕМ'!P40*СПРАВОЧНИК!$P$5+'ПЛАН ЧИСТ ПОДЗЕМ'!Q40*СПРАВОЧНИК!$L$6+'ПЛАН ЧИСТ ПОДЗЕМ'!R40*СПРАВОЧНИК!$M$6+'ПЛАН ЧИСТ ПОДЗЕМ'!S40*СПРАВОЧНИК!$N$6+'ПЛАН ЧИСТ ПОДЗЕМ'!T40*СПРАВОЧНИК!$O$6+'ПЛАН ЧИСТ ПОДЗЕМ'!U40*СПРАВОЧНИК!$P$6+'ПЛАН ЧИСТ ПОДЗЕМ'!V40*СПРАВОЧНИК!$L$7+'ПЛАН ЧИСТ ПОДЗЕМ'!W40*СПРАВОЧНИК!$M$7+'ПЛАН ЧИСТ ПОДЗЕМ'!X40*СПРАВОЧНИК!$N$7+'ПЛАН ЧИСТ ПОДЗЕМ'!Y40*СПРАВОЧНИК!$O$7+'ПЛАН ЧИСТ ПОДЗЕМ'!Z40*СПРАВОЧНИК!$P$7+'ПЛАН ЧИСТ ПОДЗЕМ'!AA40*СПРАВОЧНИК!$L$8+'ПЛАН ЧИСТ ПОДЗЕМ'!AB40*СПРАВОЧНИК!$M$8+'ПЛАН ЧИСТ ПОДЗЕМ'!AC40*СПРАВОЧНИК!$N$8+'ПЛАН ЧИСТ ПОДЗЕМ'!AD40*СПРАВОЧНИК!$O$8+'ПЛАН ЧИСТ ПОДЗЕМ'!AE40*СПРАВОЧНИК!$P$8</f>
        <v/>
      </c>
      <c r="P49" s="31">
        <f>('ФАКТ ЧИСТ ПОДЗЕМ'!B40)*СПРАВОЧНИК!$L$3+('ФАКТ ЧИСТ ПОДЗЕМ'!C40)*СПРАВОЧНИК!$M$3+('ФАКТ ЧИСТ ПОДЗЕМ'!D40)*СПРАВОЧНИК!$N$3+('ФАКТ ЧИСТ ПОДЗЕМ'!E40)*СПРАВОЧНИК!$O$3+('ФАКТ ЧИСТ ПОДЗЕМ'!F40)*СПРАВОЧНИК!$P$3+('ФАКТ ЧИСТ ПОДЗЕМ'!G40)*СПРАВОЧНИК!$L$4+('ФАКТ ЧИСТ ПОДЗЕМ'!H40)*СПРАВОЧНИК!$M$4+('ФАКТ ЧИСТ ПОДЗЕМ'!I40)*СПРАВОЧНИК!$N$4+('ФАКТ ЧИСТ ПОДЗЕМ'!J40)*СПРАВОЧНИК!$O$4+('ФАКТ ЧИСТ ПОДЗЕМ'!K40)*СПРАВОЧНИК!$P$4+('ФАКТ ЧИСТ ПОДЗЕМ'!L40)*СПРАВОЧНИК!$L$5+('ФАКТ ЧИСТ ПОДЗЕМ'!M40)*СПРАВОЧНИК!$M$5+('ФАКТ ЧИСТ ПОДЗЕМ'!N40)*СПРАВОЧНИК!$N$5+('ФАКТ ЧИСТ ПОДЗЕМ'!O40)*СПРАВОЧНИК!$O$5+('ФАКТ ЧИСТ ПОДЗЕМ'!P40)*СПРАВОЧНИК!$P$5+('ФАКТ ЧИСТ ПОДЗЕМ'!Q40)*СПРАВОЧНИК!$L$6+('ФАКТ ЧИСТ ПОДЗЕМ'!R40)*СПРАВОЧНИК!$M$6+('ФАКТ ЧИСТ ПОДЗЕМ'!S40)*СПРАВОЧНИК!$N$6+('ФАКТ ЧИСТ ПОДЗЕМ'!T40)*СПРАВОЧНИК!$O$6+('ФАКТ ЧИСТ ПОДЗЕМ'!U40)*СПРАВОЧНИК!$P$6+('ФАКТ ЧИСТ ПОДЗЕМ'!V40)*СПРАВОЧНИК!$L$7+('ФАКТ ЧИСТ ПОДЗЕМ'!W40)*СПРАВОЧНИК!$M$7+('ФАКТ ЧИСТ ПОДЗЕМ'!X40)*СПРАВОЧНИК!$N$7+('ФАКТ ЧИСТ ПОДЗЕМ'!Y40)*СПРАВОЧНИК!$O$7+('ФАКТ ЧИСТ ПОДЗЕМ'!Z40)*СПРАВОЧНИК!$P$7+('ФАКТ ЧИСТ ПОДЗЕМ'!AA40)*СПРАВОЧНИК!$L$8+('ФАКТ ЧИСТ ПОДЗЕМ'!AB40)*СПРАВОЧНИК!$M$8+('ФАКТ ЧИСТ ПОДЗЕМ'!AC40)*СПРАВОЧНИК!$N$8+('ФАКТ ЧИСТ ПОДЗЕМ'!AD40)*СПРАВОЧНИК!$O$8+('ФАКТ ЧИСТ ПОДЗЕМ'!AE40)*СПРАВОЧНИК!$P$8</f>
        <v/>
      </c>
      <c r="Q49" s="34" t="n"/>
      <c r="T49" s="152">
        <f>T48+7</f>
        <v/>
      </c>
      <c r="U49" s="17">
        <f>СПРАВОЧНИК!$E$9*('ПЛАН ЧЕРН К1'!B40*СПРАВОЧНИК!$H$9+'ПЛАН ЧЕРН К1'!C40*СПРАВОЧНИК!$I$9+'ПЛАН ЧЕРН К1'!D40*СПРАВОЧНИК!$J$9)+СПРАВОЧНИК!$F$9*('ПЛАН ЧИСТ К1'!B40*СПРАВОЧНИК!$L$9+'ПЛАН ЧИСТ К1'!C40*СПРАВОЧНИК!$M$9+'ПЛАН ЧИСТ К1'!D40*СПРАВОЧНИК!$N$9+'ПЛАН ЧИСТ К1'!E40*СПРАВОЧНИК!$O$9+'ПЛАН ЧИСТ К1'!F40*СПРАВОЧНИК!$P$9)+СПРАВОЧНИК!$E$10*('ПЛАН ЧЕРН К1'!E40*СПРАВОЧНИК!$H$10+'ПЛАН ЧЕРН К1'!F40*СПРАВОЧНИК!$I$10+'ПЛАН ЧЕРН К1'!G40*СПРАВОЧНИК!$J$10)+СПРАВОЧНИК!$F$10*('ПЛАН ЧИСТ К1'!G40*СПРАВОЧНИК!$L$10+'ПЛАН ЧИСТ К1'!H40*СПРАВОЧНИК!$M$10+'ПЛАН ЧИСТ К1'!I40*СПРАВОЧНИК!$N$10+'ПЛАН ЧИСТ К1'!J40*СПРАВОЧНИК!$O$10+'ПЛАН ЧИСТ К1'!K40*СПРАВОЧНИК!$P$10)+СПРАВОЧНИК!$E$11*('ПЛАН ЧЕРН К1'!H40*СПРАВОЧНИК!$H$11+'ПЛАН ЧЕРН К1'!I40*СПРАВОЧНИК!$I$11+'ПЛАН ЧЕРН К1'!J40*СПРАВОЧНИК!$J$11)+СПРАВОЧНИК!$F$11*('ПЛАН ЧИСТ К1'!L40*СПРАВОЧНИК!$L$11+'ПЛАН ЧИСТ К1'!M40*СПРАВОЧНИК!$M$11+'ПЛАН ЧИСТ К1'!N40*СПРАВОЧНИК!$N$11+'ПЛАН ЧИСТ К1'!O40*СПРАВОЧНИК!$O$11+'ПЛАН ЧИСТ К1'!P40*СПРАВОЧНИК!$P$11)+СПРАВОЧНИК!$E$12*('ПЛАН ЧЕРН К1'!K40*СПРАВОЧНИК!$H$12+'ПЛАН ЧЕРН К1'!L40*СПРАВОЧНИК!$I$12+'ПЛАН ЧЕРН К1'!M40*СПРАВОЧНИК!$J$12)+СПРАВОЧНИК!$F$12*('ПЛАН ЧИСТ К1'!Q40*СПРАВОЧНИК!$L$12+'ПЛАН ЧИСТ К1'!R40*СПРАВОЧНИК!$M$12+'ПЛАН ЧИСТ К1'!S40*СПРАВОЧНИК!$N$12+'ПЛАН ЧИСТ К1'!T40*СПРАВОЧНИК!$O$12+'ПЛАН ЧИСТ К1'!U40*СПРАВОЧНИК!$P$12)+СПРАВОЧНИК!$E$13*('ПЛАН ЧЕРН К1'!N40*СПРАВОЧНИК!$H$13+'ПЛАН ЧЕРН К1'!O40*СПРАВОЧНИК!$I$13+'ПЛАН ЧЕРН К1'!P40*СПРАВОЧНИК!$J$13)+СПРАВОЧНИК!$F$13*('ПЛАН ЧИСТ К1'!V40*СПРАВОЧНИК!$L$13+'ПЛАН ЧИСТ К1'!W40*СПРАВОЧНИК!$M$13+'ПЛАН ЧИСТ К1'!X40*СПРАВОЧНИК!$N$13+'ПЛАН ЧИСТ К1'!Y40*СПРАВОЧНИК!$O$13+'ПЛАН ЧИСТ К1'!Z40*СПРАВОЧНИК!$P$13)+СПРАВОЧНИК!$E$14*('ПЛАН ЧЕРН К1'!Q40*СПРАВОЧНИК!$H$14+'ПЛАН ЧЕРН К1'!R40*СПРАВОЧНИК!$I$14+'ПЛАН ЧЕРН К1'!S40*СПРАВОЧНИК!$J$14)+СПРАВОЧНИК!$F$14*('ПЛАН ЧИСТ К1'!AA40*СПРАВОЧНИК!$L$14+'ПЛАН ЧИСТ К1'!AB40*СПРАВОЧНИК!$M$14+'ПЛАН ЧИСТ К1'!AC40*СПРАВОЧНИК!$N$14+'ПЛАН ЧИСТ К1'!AD40*СПРАВОЧНИК!$O$14+'ПЛАН ЧИСТ К1'!AE40*СПРАВОЧНИК!$P$14)+СПРАВОЧНИК!$E$15*('ПЛАН ЧЕРН К1'!T40*СПРАВОЧНИК!$H$15+'ПЛАН ЧЕРН К1'!U40*СПРАВОЧНИК!$I$15+'ПЛАН ЧЕРН К1'!V40*СПРАВОЧНИК!$J$15)+СПРАВОЧНИК!$F$15*('ПЛАН ЧИСТ К1'!AF40*СПРАВОЧНИК!$L$15+'ПЛАН ЧИСТ К1'!AG40*СПРАВОЧНИК!$M$15+'ПЛАН ЧИСТ К1'!AH40*СПРАВОЧНИК!$N$15+'ПЛАН ЧИСТ К1'!AI40*СПРАВОЧНИК!$O$15+'ПЛАН ЧИСТ К1'!AJ40*СПРАВОЧНИК!$P$15)</f>
        <v/>
      </c>
      <c r="V49" s="31">
        <f>СПРАВОЧНИК!$E$9*('ФАКТ ЧЕРН К1'!B40*СПРАВОЧНИК!$H$9+'ФАКТ ЧЕРН К1'!C40*СПРАВОЧНИК!$I$9+'ФАКТ ЧЕРН К1'!D40*СПРАВОЧНИК!$J$9)+СПРАВОЧНИК!$F$9*('ФАКТ ЧИСТ К1'!B40*СПРАВОЧНИК!$L$9+'ФАКТ ЧИСТ К1'!C40*СПРАВОЧНИК!$M$9+'ФАКТ ЧИСТ К1'!D40*СПРАВОЧНИК!$N$9+'ФАКТ ЧИСТ К1'!E40*СПРАВОЧНИК!$O$9+'ФАКТ ЧИСТ К1'!F40*СПРАВОЧНИК!$P$9)+СПРАВОЧНИК!$E$10*('ФАКТ ЧЕРН К1'!E40*СПРАВОЧНИК!$H$10+'ФАКТ ЧЕРН К1'!F40*СПРАВОЧНИК!$I$10+'ФАКТ ЧЕРН К1'!G40*СПРАВОЧНИК!$J$10)+СПРАВОЧНИК!$F$10*('ФАКТ ЧИСТ К1'!G40*СПРАВОЧНИК!$L$10+'ФАКТ ЧИСТ К1'!H40*СПРАВОЧНИК!$M$10+'ФАКТ ЧИСТ К1'!I40*СПРАВОЧНИК!$N$10+'ФАКТ ЧИСТ К1'!J40*СПРАВОЧНИК!$O$10+'ФАКТ ЧИСТ К1'!K40*СПРАВОЧНИК!$P$10)+СПРАВОЧНИК!$E$11*('ФАКТ ЧЕРН К1'!H40*СПРАВОЧНИК!$H$11+'ФАКТ ЧЕРН К1'!I40*СПРАВОЧНИК!$I$11+'ФАКТ ЧЕРН К1'!J40*СПРАВОЧНИК!$J$11)+СПРАВОЧНИК!$F$11*('ФАКТ ЧИСТ К1'!L40*СПРАВОЧНИК!$L$11+'ФАКТ ЧИСТ К1'!M40*СПРАВОЧНИК!$M$11+'ФАКТ ЧИСТ К1'!N40*СПРАВОЧНИК!$N$11+'ФАКТ ЧИСТ К1'!O40*СПРАВОЧНИК!$O$11+'ФАКТ ЧИСТ К1'!P40*СПРАВОЧНИК!$P$11)+СПРАВОЧНИК!$E$12*('ФАКТ ЧЕРН К1'!K40*СПРАВОЧНИК!$H$12+'ФАКТ ЧЕРН К1'!L40*СПРАВОЧНИК!$I$12+'ФАКТ ЧЕРН К1'!M40*СПРАВОЧНИК!$J$12)+СПРАВОЧНИК!$F$12*('ФАКТ ЧИСТ К1'!Q40*СПРАВОЧНИК!$L$12+'ФАКТ ЧИСТ К1'!R40*СПРАВОЧНИК!$M$12+'ФАКТ ЧИСТ К1'!S40*СПРАВОЧНИК!$N$12+'ФАКТ ЧИСТ К1'!T40*СПРАВОЧНИК!$O$12+'ФАКТ ЧИСТ К1'!U40*СПРАВОЧНИК!$P$12)+СПРАВОЧНИК!$E$13*('ФАКТ ЧЕРН К1'!N40*СПРАВОЧНИК!$H$13+'ФАКТ ЧЕРН К1'!O40*СПРАВОЧНИК!$I$13+'ФАКТ ЧЕРН К1'!P40*СПРАВОЧНИК!$J$13)+СПРАВОЧНИК!$F$13*('ФАКТ ЧИСТ К1'!V40*СПРАВОЧНИК!$L$13+'ФАКТ ЧИСТ К1'!W40*СПРАВОЧНИК!$M$13+'ФАКТ ЧИСТ К1'!X40*СПРАВОЧНИК!$N$13+'ФАКТ ЧИСТ К1'!Y40*СПРАВОЧНИК!$O$13+'ФАКТ ЧИСТ К1'!Z40*СПРАВОЧНИК!$P$13)+СПРАВОЧНИК!$E$14*('ФАКТ ЧЕРН К1'!Q40*СПРАВОЧНИК!$H$14+'ФАКТ ЧЕРН К1'!R40*СПРАВОЧНИК!$I$14+'ФАКТ ЧЕРН К1'!S40*СПРАВОЧНИК!$J$14)+СПРАВОЧНИК!$F$14*('ФАКТ ЧИСТ К1'!AA40*СПРАВОЧНИК!$L$14+'ФАКТ ЧИСТ К1'!AB40*СПРАВОЧНИК!$M$14+'ФАКТ ЧИСТ К1'!AC40*СПРАВОЧНИК!$N$14+'ФАКТ ЧИСТ К1'!AD40*СПРАВОЧНИК!$O$14+'ФАКТ ЧИСТ К1'!AE40*СПРАВОЧНИК!$P$14)+СПРАВОЧНИК!$E$15*('ФАКТ ЧЕРН К1'!T40*СПРАВОЧНИК!$H$15+'ФАКТ ЧЕРН К1'!U40*СПРАВОЧНИК!$I$15+'ФАКТ ЧЕРН К1'!V40*СПРАВОЧНИК!$J$15)+СПРАВОЧНИК!$F$15*('ФАКТ ЧИСТ К1'!AF40*СПРАВОЧНИК!$L$15+'ФАКТ ЧИСТ К1'!AG40*СПРАВОЧНИК!$M$15+'ФАКТ ЧИСТ К1'!AH40*СПРАВОЧНИК!$N$15+'ФАКТ ЧИСТ К1'!AI40*СПРАВОЧНИК!$O$15+'ФАКТ ЧИСТ К1'!AJ40*СПРАВОЧНИК!$P$15)</f>
        <v/>
      </c>
      <c r="W49" s="34" t="n"/>
      <c r="Z49" s="152">
        <f>Z48+7</f>
        <v/>
      </c>
      <c r="AA49" s="17">
        <f>'ПЛАН ЧЕРН К1'!B40*СПРАВОЧНИК!$H$9+'ПЛАН ЧЕРН К1'!C40*СПРАВОЧНИК!$I$9+'ПЛАН ЧЕРН К1'!D40*СПРАВОЧНИК!$J$9+'ПЛАН ЧЕРН К1'!E40*СПРАВОЧНИК!$H$10+'ПЛАН ЧЕРН К1'!F40*СПРАВОЧНИК!$I$10+'ПЛАН ЧЕРН К1'!G40*СПРАВОЧНИК!$J$10+'ПЛАН ЧЕРН К1'!H40*СПРАВОЧНИК!$H$11+'ПЛАН ЧЕРН К1'!I40*СПРАВОЧНИК!$I$11+'ПЛАН ЧЕРН К1'!J40*СПРАВОЧНИК!$J$11+'ПЛАН ЧЕРН К1'!K40*СПРАВОЧНИК!$H$12+'ПЛАН ЧЕРН К1'!L40*СПРАВОЧНИК!$I$12+'ПЛАН ЧЕРН К1'!M40*СПРАВОЧНИК!$J$12+'ПЛАН ЧЕРН К1'!N40*СПРАВОЧНИК!$H$13+'ПЛАН ЧЕРН К1'!O40*СПРАВОЧНИК!$I$13+'ПЛАН ЧЕРН К1'!P40*СПРАВОЧНИК!$J$13+'ПЛАН ЧЕРН К1'!Q40*СПРАВОЧНИК!$H$14+'ПЛАН ЧЕРН К1'!R40*СПРАВОЧНИК!$I$14+'ПЛАН ЧЕРН К1'!S40*СПРАВОЧНИК!$J$14+'ПЛАН ЧЕРН К1'!T40*СПРАВОЧНИК!$H$15+'ПЛАН ЧЕРН К1'!U40*СПРАВОЧНИК!$I$15+'ПЛАН ЧЕРН К1'!V40*СПРАВОЧНИК!$J$15</f>
        <v/>
      </c>
      <c r="AB49" s="31">
        <f>('ФАКТ ЧЕРН К1'!B40)*СПРАВОЧНИК!$H$9+('ФАКТ ЧЕРН К1'!C40)*СПРАВОЧНИК!$I$9+('ФАКТ ЧЕРН К1'!D40)*СПРАВОЧНИК!$J$9+('ФАКТ ЧЕРН К1'!E40)*СПРАВОЧНИК!$H$10+('ФАКТ ЧЕРН К1'!F40)*СПРАВОЧНИК!$I$10+('ФАКТ ЧЕРН К1'!G40)*СПРАВОЧНИК!$J$10+('ФАКТ ЧЕРН К1'!H40)*СПРАВОЧНИК!$H$11+('ФАКТ ЧЕРН К1'!I40)*СПРАВОЧНИК!$I$11+('ФАКТ ЧЕРН К1'!J40)*СПРАВОЧНИК!$J$11+('ФАКТ ЧЕРН К1'!K40)*СПРАВОЧНИК!$H$12+('ФАКТ ЧЕРН К1'!L40)*СПРАВОЧНИК!$I$12+('ФАКТ ЧЕРН К1'!M40)*СПРАВОЧНИК!$J$12+('ФАКТ ЧЕРН К1'!N40)*СПРАВОЧНИК!$H$13+('ФАКТ ЧЕРН К1'!O40)*СПРАВОЧНИК!$I$13+('ФАКТ ЧЕРН К1'!P40)*СПРАВОЧНИК!$J$13+('ФАКТ ЧЕРН К1'!Q40)*СПРАВОЧНИК!$H$14+('ФАКТ ЧЕРН К1'!R40)*СПРАВОЧНИК!$I$14+('ФАКТ ЧЕРН К1'!S40)*СПРАВОЧНИК!$J$14+('ФАКТ ЧЕРН К1'!T40)*СПРАВОЧНИК!$H$15+('ФАКТ ЧЕРН К1'!U40)*СПРАВОЧНИК!$I$15+('ФАКТ ЧЕРН К1'!V40)*СПРАВОЧНИК!$J$15</f>
        <v/>
      </c>
      <c r="AC49" s="34" t="n"/>
      <c r="AF49" s="152">
        <f>AF48+7</f>
        <v/>
      </c>
      <c r="AG49" s="17">
        <f>'ПЛАН ЧИСТ К1'!B40*СПРАВОЧНИК!$L$9+'ПЛАН ЧИСТ К1'!C40*СПРАВОЧНИК!$M$9+'ПЛАН ЧИСТ К1'!D40*СПРАВОЧНИК!$N$9+'ПЛАН ЧИСТ К1'!E40*СПРАВОЧНИК!$O$9+'ПЛАН ЧИСТ К1'!F40*СПРАВОЧНИК!$P$9+'ПЛАН ЧИСТ К1'!G40*СПРАВОЧНИК!$L$10+'ПЛАН ЧИСТ К1'!H40*СПРАВОЧНИК!$M$10+'ПЛАН ЧИСТ К1'!I40*СПРАВОЧНИК!$N$10+'ПЛАН ЧИСТ К1'!J40*СПРАВОЧНИК!$O$10+'ПЛАН ЧИСТ К1'!K40*СПРАВОЧНИК!$P$10+'ПЛАН ЧИСТ К1'!L40*СПРАВОЧНИК!$L$11+'ПЛАН ЧИСТ К1'!M40*СПРАВОЧНИК!$M$11+'ПЛАН ЧИСТ К1'!N40*СПРАВОЧНИК!$N$11+'ПЛАН ЧИСТ К1'!O40*СПРАВОЧНИК!$O$11+'ПЛАН ЧИСТ К1'!P40*СПРАВОЧНИК!$P$11+'ПЛАН ЧИСТ К1'!Q40*СПРАВОЧНИК!$L$12+'ПЛАН ЧИСТ К1'!R40*СПРАВОЧНИК!$M$12+'ПЛАН ЧИСТ К1'!S40*СПРАВОЧНИК!$N$12+'ПЛАН ЧИСТ К1'!T40*СПРАВОЧНИК!$O$12+'ПЛАН ЧИСТ К1'!U40*СПРАВОЧНИК!$P$12+'ПЛАН ЧИСТ К1'!V40*СПРАВОЧНИК!$L$13+'ПЛАН ЧИСТ К1'!W40*СПРАВОЧНИК!$M$13+'ПЛАН ЧИСТ К1'!X40*СПРАВОЧНИК!$N$13+'ПЛАН ЧИСТ К1'!Y40*СПРАВОЧНИК!$O$13+'ПЛАН ЧИСТ К1'!Z40*СПРАВОЧНИК!$P$13+'ПЛАН ЧИСТ К1'!AA40*СПРАВОЧНИК!$L$14+'ПЛАН ЧИСТ К1'!AB40*СПРАВОЧНИК!$M$14+'ПЛАН ЧИСТ К1'!AC40*СПРАВОЧНИК!$N$14+'ПЛАН ЧИСТ К1'!AD40*СПРАВОЧНИК!$O$14+'ПЛАН ЧИСТ К1'!AE40*СПРАВОЧНИК!$P$14+'ПЛАН ЧИСТ К1'!AF40*СПРАВОЧНИК!$L$15+'ПЛАН ЧИСТ К1'!AG40*СПРАВОЧНИК!$M$15+'ПЛАН ЧИСТ К1'!AH40*СПРАВОЧНИК!$N$15+'ПЛАН ЧИСТ К1'!AI40*СПРАВОЧНИК!$O$15+'ПЛАН ЧИСТ К1'!AJ40*СПРАВОЧНИК!$P$15</f>
        <v/>
      </c>
      <c r="AH49" s="31">
        <f>('ФАКТ ЧИСТ К1'!B40)*СПРАВОЧНИК!$L$9+('ФАКТ ЧИСТ К1'!C40)*СПРАВОЧНИК!$M$9+('ФАКТ ЧИСТ К1'!D40)*СПРАВОЧНИК!$N$9+('ФАКТ ЧИСТ К1'!E40)*СПРАВОЧНИК!$O$9+('ФАКТ ЧИСТ К1'!F40)*СПРАВОЧНИК!$P$9+('ФАКТ ЧИСТ К1'!G40)*СПРАВОЧНИК!$L$10+('ФАКТ ЧИСТ К1'!H40)*СПРАВОЧНИК!$M$10+('ФАКТ ЧИСТ К1'!I40)*СПРАВОЧНИК!$N$10+('ФАКТ ЧИСТ К1'!J40)*СПРАВОЧНИК!$O$10+('ФАКТ ЧИСТ К1'!K40)*СПРАВОЧНИК!$P$10+('ФАКТ ЧИСТ К1'!L40)*СПРАВОЧНИК!$L$11+('ФАКТ ЧИСТ К1'!M40)*СПРАВОЧНИК!$M$11+('ФАКТ ЧИСТ К1'!N40)*СПРАВОЧНИК!$N$11+('ФАКТ ЧИСТ К1'!O40)*СПРАВОЧНИК!$O$11+('ФАКТ ЧИСТ К1'!P40)*СПРАВОЧНИК!$P$11+('ФАКТ ЧИСТ К1'!Q40)*СПРАВОЧНИК!$L$12+('ФАКТ ЧИСТ К1'!R40)*СПРАВОЧНИК!$M$12+('ФАКТ ЧИСТ К1'!S40)*СПРАВОЧНИК!$N$12+('ФАКТ ЧИСТ К1'!T40)*СПРАВОЧНИК!$O$12+('ФАКТ ЧИСТ К1'!U40)*СПРАВОЧНИК!$P$12+('ФАКТ ЧИСТ К1'!V40)*СПРАВОЧНИК!$L$13+('ФАКТ ЧИСТ К1'!W40)*СПРАВОЧНИК!$M$13+('ФАКТ ЧИСТ К1'!X40)*СПРАВОЧНИК!$N$13+('ФАКТ ЧИСТ К1'!Y40)*СПРАВОЧНИК!$O$13+('ФАКТ ЧИСТ К1'!Z40)*СПРАВОЧНИК!$P$13+('ФАКТ ЧИСТ К1'!AA40)*СПРАВОЧНИК!$L$14+('ФАКТ ЧИСТ К1'!AB40)*СПРАВОЧНИК!$M$14+('ФАКТ ЧИСТ К1'!AC40)*СПРАВОЧНИК!$N$14+('ФАКТ ЧИСТ К1'!AD40)*СПРАВОЧНИК!$O$14+('ФАКТ ЧИСТ К1'!AE40)*СПРАВОЧНИК!$P$14+('ФАКТ ЧИСТ К1'!AF40)*СПРАВОЧНИК!$L$15+('ФАКТ ЧИСТ К1'!AG40)*СПРАВОЧНИК!$M$15+('ФАКТ ЧИСТ К1'!AH40)*СПРАВОЧНИК!$N$15+('ФАКТ ЧИСТ К1'!AI40)*СПРАВОЧНИК!$O$15+('ФАКТ ЧИСТ К1'!AJ40)*СПРАВОЧНИК!$P$15</f>
        <v/>
      </c>
      <c r="AI49" s="34" t="n"/>
      <c r="AL49" s="152">
        <f>AL48+7</f>
        <v/>
      </c>
      <c r="AM49" s="17">
        <f>СПРАВОЧНИК!$E$9*('ПЛАН ЧЕРН К2'!B40*СПРАВОЧНИК!$H$9+'ПЛАН ЧЕРН К2'!C40*СПРАВОЧНИК!$I$9+'ПЛАН ЧЕРН К2'!D40*СПРАВОЧНИК!$J$9)+СПРАВОЧНИК!$F$9*('ПЛАН ЧИСТ К2'!B40*СПРАВОЧНИК!$L$9+'ПЛАН ЧИСТ К2'!C40*СПРАВОЧНИК!$M$9+'ПЛАН ЧИСТ К2'!D40*СПРАВОЧНИК!$N$9+'ПЛАН ЧИСТ К2'!E40*СПРАВОЧНИК!$O$9+'ПЛАН ЧИСТ К2'!F40*СПРАВОЧНИК!$P$9)+СПРАВОЧНИК!$E$10*('ПЛАН ЧЕРН К2'!E40*СПРАВОЧНИК!$H$10+'ПЛАН ЧЕРН К2'!F40*СПРАВОЧНИК!$I$10+'ПЛАН ЧЕРН К2'!G40*СПРАВОЧНИК!$J$10)+СПРАВОЧНИК!$F$10*('ПЛАН ЧИСТ К2'!G40*СПРАВОЧНИК!$L$10+'ПЛАН ЧИСТ К2'!H40*СПРАВОЧНИК!$M$10+'ПЛАН ЧИСТ К2'!I40*СПРАВОЧНИК!$N$10+'ПЛАН ЧИСТ К2'!J40*СПРАВОЧНИК!$O$10+'ПЛАН ЧИСТ К2'!K40*СПРАВОЧНИК!$P$10)+СПРАВОЧНИК!$E$11*('ПЛАН ЧЕРН К2'!H40*СПРАВОЧНИК!$H$11+'ПЛАН ЧЕРН К2'!I40*СПРАВОЧНИК!$I$11+'ПЛАН ЧЕРН К2'!J40*СПРАВОЧНИК!$J$11)+СПРАВОЧНИК!$F$11*('ПЛАН ЧИСТ К2'!L40*СПРАВОЧНИК!$L$11+'ПЛАН ЧИСТ К2'!M40*СПРАВОЧНИК!$M$11+'ПЛАН ЧИСТ К2'!N40*СПРАВОЧНИК!$N$11+'ПЛАН ЧИСТ К2'!O40*СПРАВОЧНИК!$O$11+'ПЛАН ЧИСТ К2'!P40*СПРАВОЧНИК!$P$11)+СПРАВОЧНИК!$E$12*('ПЛАН ЧЕРН К2'!K40*СПРАВОЧНИК!$H$12+'ПЛАН ЧЕРН К2'!L40*СПРАВОЧНИК!$I$12+'ПЛАН ЧЕРН К2'!M40*СПРАВОЧНИК!$J$12)+СПРАВОЧНИК!$F$12*('ПЛАН ЧИСТ К2'!Q40*СПРАВОЧНИК!$L$12+'ПЛАН ЧИСТ К2'!R40*СПРАВОЧНИК!$M$12+'ПЛАН ЧИСТ К2'!S40*СПРАВОЧНИК!$N$12+'ПЛАН ЧИСТ К2'!T40*СПРАВОЧНИК!$O$12+'ПЛАН ЧИСТ К2'!U40*СПРАВОЧНИК!$P$12)+СПРАВОЧНИК!$E$13*('ПЛАН ЧЕРН К2'!N40*СПРАВОЧНИК!$H$13+'ПЛАН ЧЕРН К2'!O40*СПРАВОЧНИК!$I$13+'ПЛАН ЧЕРН К2'!P40*СПРАВОЧНИК!$J$13)+СПРАВОЧНИК!$F$13*('ПЛАН ЧИСТ К2'!V40*СПРАВОЧНИК!$L$13+'ПЛАН ЧИСТ К2'!W40*СПРАВОЧНИК!$M$13+'ПЛАН ЧИСТ К2'!X40*СПРАВОЧНИК!$N$13+'ПЛАН ЧИСТ К2'!Y40*СПРАВОЧНИК!$O$13+'ПЛАН ЧИСТ К2'!Z40*СПРАВОЧНИК!$P$13)+СПРАВОЧНИК!$E$14*('ПЛАН ЧЕРН К2'!Q40*СПРАВОЧНИК!$H$14+'ПЛАН ЧЕРН К2'!R40*СПРАВОЧНИК!$I$14+'ПЛАН ЧЕРН К2'!S40*СПРАВОЧНИК!$J$14)+СПРАВОЧНИК!$F$14*('ПЛАН ЧИСТ К2'!AA40*СПРАВОЧНИК!$L$14+'ПЛАН ЧИСТ К2'!AB40*СПРАВОЧНИК!$M$14+'ПЛАН ЧИСТ К2'!AC40*СПРАВОЧНИК!$N$14+'ПЛАН ЧИСТ К2'!AD40*СПРАВОЧНИК!$O$14+'ПЛАН ЧИСТ К2'!AE40*СПРАВОЧНИК!$P$14)+СПРАВОЧНИК!$E$15*('ПЛАН ЧЕРН К2'!T40*СПРАВОЧНИК!$H$15+'ПЛАН ЧЕРН К2'!U40*СПРАВОЧНИК!$I$15+'ПЛАН ЧЕРН К2'!V40*СПРАВОЧНИК!$J$15)+СПРАВОЧНИК!$F$15*('ПЛАН ЧИСТ К2'!AF40*СПРАВОЧНИК!$L$15+'ПЛАН ЧИСТ К2'!AG40*СПРАВОЧНИК!$M$15+'ПЛАН ЧИСТ К2'!AH40*СПРАВОЧНИК!$N$15+'ПЛАН ЧИСТ К2'!AI40*СПРАВОЧНИК!$O$15+'ПЛАН ЧИСТ К2'!AJ40*СПРАВОЧНИК!$P$15)</f>
        <v/>
      </c>
      <c r="AN49" s="31">
        <f>СПРАВОЧНИК!$E$9*('ФАКТ ЧЕРН К2'!B40*СПРАВОЧНИК!$H$9+'ФАКТ ЧЕРН К2'!C40*СПРАВОЧНИК!$I$9+'ФАКТ ЧЕРН К2'!D40*СПРАВОЧНИК!$J$9)+СПРАВОЧНИК!$F$9*('ФАКТ ЧИСТ К2'!B40*СПРАВОЧНИК!$L$9+'ФАКТ ЧИСТ К2'!C40*СПРАВОЧНИК!$M$9+'ФАКТ ЧИСТ К2'!D40*СПРАВОЧНИК!$N$9+'ФАКТ ЧИСТ К2'!E40*СПРАВОЧНИК!$O$9+'ФАКТ ЧИСТ К2'!F40*СПРАВОЧНИК!$P$9)+СПРАВОЧНИК!$E$10*('ФАКТ ЧЕРН К2'!E40*СПРАВОЧНИК!$H$10+'ФАКТ ЧЕРН К2'!F40*СПРАВОЧНИК!$I$10+'ФАКТ ЧЕРН К2'!G40*СПРАВОЧНИК!$J$10)+СПРАВОЧНИК!$F$10*('ФАКТ ЧИСТ К2'!G40*СПРАВОЧНИК!$L$10+'ФАКТ ЧИСТ К2'!H40*СПРАВОЧНИК!$M$10+'ФАКТ ЧИСТ К2'!I40*СПРАВОЧНИК!$N$10+'ФАКТ ЧИСТ К2'!J40*СПРАВОЧНИК!$O$10+'ФАКТ ЧИСТ К2'!K40*СПРАВОЧНИК!$P$10)+СПРАВОЧНИК!$E$11*('ФАКТ ЧЕРН К2'!H40*СПРАВОЧНИК!$H$11+'ФАКТ ЧЕРН К2'!I40*СПРАВОЧНИК!$I$11+'ФАКТ ЧЕРН К2'!J40*СПРАВОЧНИК!$J$11)+СПРАВОЧНИК!$F$11*('ФАКТ ЧИСТ К2'!L40*СПРАВОЧНИК!$L$11+'ФАКТ ЧИСТ К2'!M40*СПРАВОЧНИК!$M$11+'ФАКТ ЧИСТ К2'!N40*СПРАВОЧНИК!$N$11+'ФАКТ ЧИСТ К2'!O40*СПРАВОЧНИК!$O$11+'ФАКТ ЧИСТ К2'!P40*СПРАВОЧНИК!$P$11)+СПРАВОЧНИК!$E$12*('ФАКТ ЧЕРН К2'!K40*СПРАВОЧНИК!$H$12+'ФАКТ ЧЕРН К2'!L40*СПРАВОЧНИК!$I$12+'ФАКТ ЧЕРН К2'!M40*СПРАВОЧНИК!$J$12)+СПРАВОЧНИК!$F$12*('ФАКТ ЧИСТ К2'!Q40*СПРАВОЧНИК!$L$12+'ФАКТ ЧИСТ К2'!R40*СПРАВОЧНИК!$M$12+'ФАКТ ЧИСТ К2'!S40*СПРАВОЧНИК!$N$12+'ФАКТ ЧИСТ К2'!T40*СПРАВОЧНИК!$O$12+'ФАКТ ЧИСТ К2'!U40*СПРАВОЧНИК!$P$12)+СПРАВОЧНИК!$E$13*('ФАКТ ЧЕРН К2'!N40*СПРАВОЧНИК!$H$13+'ФАКТ ЧЕРН К2'!O40*СПРАВОЧНИК!$I$13+'ФАКТ ЧЕРН К2'!P40*СПРАВОЧНИК!$J$13)+СПРАВОЧНИК!$F$13*('ФАКТ ЧИСТ К2'!V40*СПРАВОЧНИК!$L$13+'ФАКТ ЧИСТ К2'!W40*СПРАВОЧНИК!$M$13+'ФАКТ ЧИСТ К2'!X40*СПРАВОЧНИК!$N$13+'ФАКТ ЧИСТ К2'!Y40*СПРАВОЧНИК!$O$13+'ФАКТ ЧИСТ К2'!Z40*СПРАВОЧНИК!$P$13)+СПРАВОЧНИК!$E$14*('ФАКТ ЧЕРН К2'!Q40*СПРАВОЧНИК!$H$14+'ФАКТ ЧЕРН К2'!R40*СПРАВОЧНИК!$I$14+'ФАКТ ЧЕРН К2'!S40*СПРАВОЧНИК!$J$14)+СПРАВОЧНИК!$F$14*('ФАКТ ЧИСТ К2'!AA40*СПРАВОЧНИК!$L$14+'ФАКТ ЧИСТ К2'!AB40*СПРАВОЧНИК!$M$14+'ФАКТ ЧИСТ К2'!AC40*СПРАВОЧНИК!$N$14+'ФАКТ ЧИСТ К2'!AD40*СПРАВОЧНИК!$O$14+'ФАКТ ЧИСТ К2'!AE40*СПРАВОЧНИК!$P$14)+СПРАВОЧНИК!$E$15*('ФАКТ ЧЕРН К2'!T40*СПРАВОЧНИК!$H$15+'ФАКТ ЧЕРН К2'!U40*СПРАВОЧНИК!$I$15+'ФАКТ ЧЕРН К2'!V40*СПРАВОЧНИК!$J$15)+СПРАВОЧНИК!$F$15*('ФАКТ ЧИСТ К2'!AF40*СПРАВОЧНИК!$L$15+'ФАКТ ЧИСТ К2'!AG40*СПРАВОЧНИК!$M$15+'ФАКТ ЧИСТ К2'!AH40*СПРАВОЧНИК!$N$15+'ФАКТ ЧИСТ К2'!AI40*СПРАВОЧНИК!$O$15+'ФАКТ ЧИСТ К2'!AJ40*СПРАВОЧНИК!$P$15)</f>
        <v/>
      </c>
      <c r="AO49" s="34" t="n"/>
      <c r="AR49" s="152">
        <f>AR48+7</f>
        <v/>
      </c>
      <c r="AS49" s="17">
        <f>'ПЛАН ЧЕРН К2'!B40*СПРАВОЧНИК!$H$9+'ПЛАН ЧЕРН К2'!C40*СПРАВОЧНИК!$I$9+'ПЛАН ЧЕРН К2'!D40*СПРАВОЧНИК!$J$9+'ПЛАН ЧЕРН К2'!E40*СПРАВОЧНИК!$H$10+'ПЛАН ЧЕРН К2'!F40*СПРАВОЧНИК!$I$10+'ПЛАН ЧЕРН К2'!G40*СПРАВОЧНИК!$J$10+'ПЛАН ЧЕРН К2'!H40*СПРАВОЧНИК!$H$11+'ПЛАН ЧЕРН К2'!I40*СПРАВОЧНИК!$I$11+'ПЛАН ЧЕРН К2'!J40*СПРАВОЧНИК!$J$11+'ПЛАН ЧЕРН К2'!K40*СПРАВОЧНИК!$H$12+'ПЛАН ЧЕРН К2'!L40*СПРАВОЧНИК!$I$12+'ПЛАН ЧЕРН К2'!M40*СПРАВОЧНИК!$J$12+'ПЛАН ЧЕРН К2'!N40*СПРАВОЧНИК!$H$13+'ПЛАН ЧЕРН К2'!O40*СПРАВОЧНИК!$I$13+'ПЛАН ЧЕРН К2'!P40*СПРАВОЧНИК!$J$13+'ПЛАН ЧЕРН К2'!Q40*СПРАВОЧНИК!$H$14+'ПЛАН ЧЕРН К2'!R40*СПРАВОЧНИК!$I$14+'ПЛАН ЧЕРН К2'!S40*СПРАВОЧНИК!$J$14+'ПЛАН ЧЕРН К2'!T40*СПРАВОЧНИК!$H$15+'ПЛАН ЧЕРН К2'!U40*СПРАВОЧНИК!$I$15+'ПЛАН ЧЕРН К2'!V40*СПРАВОЧНИК!$J$15</f>
        <v/>
      </c>
      <c r="AT49" s="31">
        <f>('ФАКТ ЧЕРН К2'!B40)*СПРАВОЧНИК!$H$9+('ФАКТ ЧЕРН К2'!C40)*СПРАВОЧНИК!$I$9+('ФАКТ ЧЕРН К2'!D40)*СПРАВОЧНИК!$J$9+('ФАКТ ЧЕРН К2'!E40)*СПРАВОЧНИК!$H$10+('ФАКТ ЧЕРН К2'!F40)*СПРАВОЧНИК!$I$10+('ФАКТ ЧЕРН К2'!G40)*СПРАВОЧНИК!$J$10+('ФАКТ ЧЕРН К2'!H40)*СПРАВОЧНИК!$H$11+('ФАКТ ЧЕРН К2'!I40)*СПРАВОЧНИК!$I$11+('ФАКТ ЧЕРН К2'!J40)*СПРАВОЧНИК!$J$11+('ФАКТ ЧЕРН К2'!K40)*СПРАВОЧНИК!$H$12+('ФАКТ ЧЕРН К2'!L40)*СПРАВОЧНИК!$I$12+('ФАКТ ЧЕРН К2'!M40)*СПРАВОЧНИК!$J$12+('ФАКТ ЧЕРН К2'!N40)*СПРАВОЧНИК!$H$13+('ФАКТ ЧЕРН К2'!O40)*СПРАВОЧНИК!$I$13+('ФАКТ ЧЕРН К2'!P40)*СПРАВОЧНИК!$J$13+('ФАКТ ЧЕРН К2'!Q40)*СПРАВОЧНИК!$H$14+('ФАКТ ЧЕРН К2'!R40)*СПРАВОЧНИК!$I$14+('ФАКТ ЧЕРН К2'!S40)*СПРАВОЧНИК!$J$14+('ФАКТ ЧЕРН К2'!T40)*СПРАВОЧНИК!$H$15+('ФАКТ ЧЕРН К2'!U40)*СПРАВОЧНИК!$I$15+('ФАКТ ЧЕРН К2'!V40)*СПРАВОЧНИК!$J$15</f>
        <v/>
      </c>
      <c r="AU49" s="34" t="n"/>
      <c r="AX49" s="152">
        <f>AX48+7</f>
        <v/>
      </c>
      <c r="AY49" s="17">
        <f>'ПЛАН ЧИСТ К2'!B40*СПРАВОЧНИК!$L$9+'ПЛАН ЧИСТ К2'!C40*СПРАВОЧНИК!$M$9+'ПЛАН ЧИСТ К2'!D40*СПРАВОЧНИК!$N$9+'ПЛАН ЧИСТ К2'!E40*СПРАВОЧНИК!$O$9+'ПЛАН ЧИСТ К2'!F40*СПРАВОЧНИК!$P$9+'ПЛАН ЧИСТ К2'!G40*СПРАВОЧНИК!$L$10+'ПЛАН ЧИСТ К2'!H40*СПРАВОЧНИК!$M$10+'ПЛАН ЧИСТ К2'!I40*СПРАВОЧНИК!$N$10+'ПЛАН ЧИСТ К2'!J40*СПРАВОЧНИК!$O$10+'ПЛАН ЧИСТ К2'!K40*СПРАВОЧНИК!$P$10+'ПЛАН ЧИСТ К2'!L40*СПРАВОЧНИК!$L$11+'ПЛАН ЧИСТ К2'!M40*СПРАВОЧНИК!$M$11+'ПЛАН ЧИСТ К2'!N40*СПРАВОЧНИК!$N$11+'ПЛАН ЧИСТ К2'!O40*СПРАВОЧНИК!$O$11+'ПЛАН ЧИСТ К2'!P40*СПРАВОЧНИК!$P$11+'ПЛАН ЧИСТ К2'!Q40*СПРАВОЧНИК!$L$12+'ПЛАН ЧИСТ К2'!R40*СПРАВОЧНИК!$M$12+'ПЛАН ЧИСТ К2'!S40*СПРАВОЧНИК!$N$12+'ПЛАН ЧИСТ К2'!T40*СПРАВОЧНИК!$O$12+'ПЛАН ЧИСТ К2'!U40*СПРАВОЧНИК!$P$12+'ПЛАН ЧИСТ К2'!V40*СПРАВОЧНИК!$L$13+'ПЛАН ЧИСТ К2'!W40*СПРАВОЧНИК!$M$13+'ПЛАН ЧИСТ К2'!X40*СПРАВОЧНИК!$N$13+'ПЛАН ЧИСТ К2'!Y40*СПРАВОЧНИК!$O$13+'ПЛАН ЧИСТ К2'!Z40*СПРАВОЧНИК!$P$13+'ПЛАН ЧИСТ К2'!AA40*СПРАВОЧНИК!$L$14+'ПЛАН ЧИСТ К2'!AB40*СПРАВОЧНИК!$M$14+'ПЛАН ЧИСТ К2'!AC40*СПРАВОЧНИК!$N$14+'ПЛАН ЧИСТ К2'!AD40*СПРАВОЧНИК!$O$14+'ПЛАН ЧИСТ К2'!AE40*СПРАВОЧНИК!$P$14+'ПЛАН ЧИСТ К2'!AF40*СПРАВОЧНИК!$L$15+'ПЛАН ЧИСТ К2'!AG40*СПРАВОЧНИК!$M$15+'ПЛАН ЧИСТ К2'!AH40*СПРАВОЧНИК!$N$15+'ПЛАН ЧИСТ К2'!AI40*СПРАВОЧНИК!$O$15+'ПЛАН ЧИСТ К2'!AJ40*СПРАВОЧНИК!$P$15</f>
        <v/>
      </c>
      <c r="AZ49" s="31">
        <f>('ФАКТ ЧИСТ К2'!B40)*СПРАВОЧНИК!$L$9+('ФАКТ ЧИСТ К2'!C40)*СПРАВОЧНИК!$M$9+('ФАКТ ЧИСТ К2'!D40)*СПРАВОЧНИК!$N$9+('ФАКТ ЧИСТ К2'!E40)*СПРАВОЧНИК!$O$9+('ФАКТ ЧИСТ К2'!F40)*СПРАВОЧНИК!$P$9+('ФАКТ ЧИСТ К2'!G40)*СПРАВОЧНИК!$L$10+('ФАКТ ЧИСТ К2'!H40)*СПРАВОЧНИК!$M$10+('ФАКТ ЧИСТ К2'!I40)*СПРАВОЧНИК!$N$10+('ФАКТ ЧИСТ К2'!J40)*СПРАВОЧНИК!$O$10+('ФАКТ ЧИСТ К2'!K40)*СПРАВОЧНИК!$P$10+('ФАКТ ЧИСТ К2'!L40)*СПРАВОЧНИК!$L$11+('ФАКТ ЧИСТ К2'!M40)*СПРАВОЧНИК!$M$11+('ФАКТ ЧИСТ К2'!N40)*СПРАВОЧНИК!$N$11+('ФАКТ ЧИСТ К2'!O40)*СПРАВОЧНИК!$O$11+('ФАКТ ЧИСТ К2'!P40)*СПРАВОЧНИК!$P$11+('ФАКТ ЧИСТ К2'!Q40)*СПРАВОЧНИК!$L$12+('ФАКТ ЧИСТ К2'!R40)*СПРАВОЧНИК!$M$12+('ФАКТ ЧИСТ К2'!S40)*СПРАВОЧНИК!$N$12+('ФАКТ ЧИСТ К2'!T40)*СПРАВОЧНИК!$O$12+('ФАКТ ЧИСТ К2'!U40)*СПРАВОЧНИК!$P$12+('ФАКТ ЧИСТ К2'!V40)*СПРАВОЧНИК!$L$13+('ФАКТ ЧИСТ К2'!W40)*СПРАВОЧНИК!$M$13+('ФАКТ ЧИСТ К2'!X40)*СПРАВОЧНИК!$N$13+('ФАКТ ЧИСТ К2'!Y40)*СПРАВОЧНИК!$O$13+('ФАКТ ЧИСТ К2'!Z40)*СПРАВОЧНИК!$P$13+('ФАКТ ЧИСТ К2'!AA40)*СПРАВОЧНИК!$L$14+('ФАКТ ЧИСТ К2'!AB40)*СПРАВОЧНИК!$M$14+('ФАКТ ЧИСТ К2'!AC40)*СПРАВОЧНИК!$N$14+('ФАКТ ЧИСТ К2'!AD40)*СПРАВОЧНИК!$O$14+('ФАКТ ЧИСТ К2'!AE40)*СПРАВОЧНИК!$P$14+('ФАКТ ЧИСТ К2'!AF40)*СПРАВОЧНИК!$L$15+('ФАКТ ЧИСТ К2'!AG40)*СПРАВОЧНИК!$M$15+('ФАКТ ЧИСТ К2'!AH40)*СПРАВОЧНИК!$N$15+('ФАКТ ЧИСТ К2'!AI40)*СПРАВОЧНИК!$O$15+('ФАКТ ЧИСТ К2'!AJ40)*СПРАВОЧНИК!$P$15</f>
        <v/>
      </c>
      <c r="BA49" s="34" t="n"/>
      <c r="BD49" s="152">
        <f>BD48+7</f>
        <v/>
      </c>
      <c r="BE49" s="17">
        <f>СПРАВОЧНИК!$E$9*('ПЛАН ЧЕРН К3'!B40*СПРАВОЧНИК!$H$9+'ПЛАН ЧЕРН К3'!C40*СПРАВОЧНИК!$I$9+'ПЛАН ЧЕРН К3'!D40*СПРАВОЧНИК!$J$9)+СПРАВОЧНИК!$F$9*('ПЛАН ЧИСТ К3'!B40*СПРАВОЧНИК!$L$9+'ПЛАН ЧИСТ К3'!C40*СПРАВОЧНИК!$M$9+'ПЛАН ЧИСТ К3'!D40*СПРАВОЧНИК!$N$9+'ПЛАН ЧИСТ К3'!E40*СПРАВОЧНИК!$O$9+'ПЛАН ЧИСТ К3'!F40*СПРАВОЧНИК!$P$9)+СПРАВОЧНИК!$E$10*('ПЛАН ЧЕРН К3'!E40*СПРАВОЧНИК!$H$10+'ПЛАН ЧЕРН К3'!F40*СПРАВОЧНИК!$I$10+'ПЛАН ЧЕРН К3'!G40*СПРАВОЧНИК!$J$10)+СПРАВОЧНИК!$F$10*('ПЛАН ЧИСТ К3'!G40*СПРАВОЧНИК!$L$10+'ПЛАН ЧИСТ К3'!H40*СПРАВОЧНИК!$M$10+'ПЛАН ЧИСТ К3'!I40*СПРАВОЧНИК!$N$10+'ПЛАН ЧИСТ К3'!J40*СПРАВОЧНИК!$O$10+'ПЛАН ЧИСТ К3'!K40*СПРАВОЧНИК!$P$10)+СПРАВОЧНИК!$E$11*('ПЛАН ЧЕРН К3'!H40*СПРАВОЧНИК!$H$11+'ПЛАН ЧЕРН К3'!I40*СПРАВОЧНИК!$I$11+'ПЛАН ЧЕРН К3'!J40*СПРАВОЧНИК!$J$11)+СПРАВОЧНИК!$F$11*('ПЛАН ЧИСТ К3'!L40*СПРАВОЧНИК!$L$11+'ПЛАН ЧИСТ К3'!M40*СПРАВОЧНИК!$M$11+'ПЛАН ЧИСТ К3'!N40*СПРАВОЧНИК!$N$11+'ПЛАН ЧИСТ К3'!O40*СПРАВОЧНИК!$O$11+'ПЛАН ЧИСТ К3'!P40*СПРАВОЧНИК!$P$11)+СПРАВОЧНИК!$E$12*('ПЛАН ЧЕРН К3'!K40*СПРАВОЧНИК!$H$12+'ПЛАН ЧЕРН К3'!L40*СПРАВОЧНИК!$I$12+'ПЛАН ЧЕРН К3'!M40*СПРАВОЧНИК!$J$12)+СПРАВОЧНИК!$F$12*('ПЛАН ЧИСТ К3'!Q40*СПРАВОЧНИК!$L$12+'ПЛАН ЧИСТ К3'!R40*СПРАВОЧНИК!$M$12+'ПЛАН ЧИСТ К3'!S40*СПРАВОЧНИК!$N$12+'ПЛАН ЧИСТ К3'!T40*СПРАВОЧНИК!$O$12+'ПЛАН ЧИСТ К3'!U40*СПРАВОЧНИК!$P$12)+СПРАВОЧНИК!$E$13*('ПЛАН ЧЕРН К3'!N40*СПРАВОЧНИК!$H$13+'ПЛАН ЧЕРН К3'!O40*СПРАВОЧНИК!$I$13+'ПЛАН ЧЕРН К3'!P40*СПРАВОЧНИК!$J$13)+СПРАВОЧНИК!$F$13*('ПЛАН ЧИСТ К3'!V40*СПРАВОЧНИК!$L$13+'ПЛАН ЧИСТ К3'!W40*СПРАВОЧНИК!$M$13+'ПЛАН ЧИСТ К3'!X40*СПРАВОЧНИК!$N$13+'ПЛАН ЧИСТ К3'!Y40*СПРАВОЧНИК!$O$13+'ПЛАН ЧИСТ К3'!Z40*СПРАВОЧНИК!$P$13)+СПРАВОЧНИК!$E$14*('ПЛАН ЧЕРН К3'!Q40*СПРАВОЧНИК!$H$14+'ПЛАН ЧЕРН К3'!R40*СПРАВОЧНИК!$I$14+'ПЛАН ЧЕРН К3'!S40*СПРАВОЧНИК!$J$14)+СПРАВОЧНИК!$F$14*('ПЛАН ЧИСТ К3'!AA40*СПРАВОЧНИК!$L$14+'ПЛАН ЧИСТ К3'!AB40*СПРАВОЧНИК!$M$14+'ПЛАН ЧИСТ К3'!AC40*СПРАВОЧНИК!$N$14+'ПЛАН ЧИСТ К3'!AD40*СПРАВОЧНИК!$O$14+'ПЛАН ЧИСТ К3'!AE40*СПРАВОЧНИК!$P$14)+СПРАВОЧНИК!$E$15*('ПЛАН ЧЕРН К3'!T40*СПРАВОЧНИК!$H$15+'ПЛАН ЧЕРН К3'!U40*СПРАВОЧНИК!$I$15+'ПЛАН ЧЕРН К3'!V40*СПРАВОЧНИК!$J$15)+СПРАВОЧНИК!$F$15*('ПЛАН ЧИСТ К3'!AF40*СПРАВОЧНИК!$L$15+'ПЛАН ЧИСТ К3'!AG40*СПРАВОЧНИК!$M$15+'ПЛАН ЧИСТ К3'!AH40*СПРАВОЧНИК!$N$15+'ПЛАН ЧИСТ К3'!AI40*СПРАВОЧНИК!$O$15+'ПЛАН ЧИСТ К3'!AJ40*СПРАВОЧНИК!$P$15)</f>
        <v/>
      </c>
      <c r="BF49" s="31">
        <f>СПРАВОЧНИК!$E$9*('ФАКТ ЧЕРН К3'!B40*СПРАВОЧНИК!$H$9+'ФАКТ ЧЕРН К3'!C40*СПРАВОЧНИК!$I$9+'ФАКТ ЧЕРН К3'!D40*СПРАВОЧНИК!$J$9)+СПРАВОЧНИК!$F$9*('ФАКТ ЧИСТ К3'!B40*СПРАВОЧНИК!$L$9+'ФАКТ ЧИСТ К3'!C40*СПРАВОЧНИК!$M$9+'ФАКТ ЧИСТ К3'!D40*СПРАВОЧНИК!$N$9+'ФАКТ ЧИСТ К3'!E40*СПРАВОЧНИК!$O$9+'ФАКТ ЧИСТ К3'!F40*СПРАВОЧНИК!$P$9)+СПРАВОЧНИК!$E$10*('ФАКТ ЧЕРН К3'!E40*СПРАВОЧНИК!$H$10+'ФАКТ ЧЕРН К3'!F40*СПРАВОЧНИК!$I$10+'ФАКТ ЧЕРН К3'!G40*СПРАВОЧНИК!$J$10)+СПРАВОЧНИК!$F$10*('ФАКТ ЧИСТ К3'!G40*СПРАВОЧНИК!$L$10+'ФАКТ ЧИСТ К3'!H40*СПРАВОЧНИК!$M$10+'ФАКТ ЧИСТ К3'!I40*СПРАВОЧНИК!$N$10+'ФАКТ ЧИСТ К3'!J40*СПРАВОЧНИК!$O$10+'ФАКТ ЧИСТ К3'!K40*СПРАВОЧНИК!$P$10)+СПРАВОЧНИК!$E$11*('ФАКТ ЧЕРН К3'!H40*СПРАВОЧНИК!$H$11+'ФАКТ ЧЕРН К3'!I40*СПРАВОЧНИК!$I$11+'ФАКТ ЧЕРН К3'!J40*СПРАВОЧНИК!$J$11)+СПРАВОЧНИК!$F$11*('ФАКТ ЧИСТ К3'!L40*СПРАВОЧНИК!$L$11+'ФАКТ ЧИСТ К3'!M40*СПРАВОЧНИК!$M$11+'ФАКТ ЧИСТ К3'!N40*СПРАВОЧНИК!$N$11+'ФАКТ ЧИСТ К3'!O40*СПРАВОЧНИК!$O$11+'ФАКТ ЧИСТ К3'!P40*СПРАВОЧНИК!$P$11)+СПРАВОЧНИК!$E$12*('ФАКТ ЧЕРН К3'!K40*СПРАВОЧНИК!$H$12+'ФАКТ ЧЕРН К3'!L40*СПРАВОЧНИК!$I$12+'ФАКТ ЧЕРН К3'!M40*СПРАВОЧНИК!$J$12)+СПРАВОЧНИК!$F$12*('ФАКТ ЧИСТ К3'!Q40*СПРАВОЧНИК!$L$12+'ФАКТ ЧИСТ К3'!R40*СПРАВОЧНИК!$M$12+'ФАКТ ЧИСТ К3'!S40*СПРАВОЧНИК!$N$12+'ФАКТ ЧИСТ К3'!T40*СПРАВОЧНИК!$O$12+'ФАКТ ЧИСТ К3'!U40*СПРАВОЧНИК!$P$12)+СПРАВОЧНИК!$E$13*('ФАКТ ЧЕРН К3'!N40*СПРАВОЧНИК!$H$13+'ФАКТ ЧЕРН К3'!O40*СПРАВОЧНИК!$I$13+'ФАКТ ЧЕРН К3'!P40*СПРАВОЧНИК!$J$13)+СПРАВОЧНИК!$F$13*('ФАКТ ЧИСТ К3'!V40*СПРАВОЧНИК!$L$13+'ФАКТ ЧИСТ К3'!W40*СПРАВОЧНИК!$M$13+'ФАКТ ЧИСТ К3'!X40*СПРАВОЧНИК!$N$13+'ФАКТ ЧИСТ К3'!Y40*СПРАВОЧНИК!$O$13+'ФАКТ ЧИСТ К3'!Z40*СПРАВОЧНИК!$P$13)+СПРАВОЧНИК!$E$14*('ФАКТ ЧЕРН К3'!Q40*СПРАВОЧНИК!$H$14+'ФАКТ ЧЕРН К3'!R40*СПРАВОЧНИК!$I$14+'ФАКТ ЧЕРН К3'!S40*СПРАВОЧНИК!$J$14)+СПРАВОЧНИК!$F$14*('ФАКТ ЧИСТ К3'!AA40*СПРАВОЧНИК!$L$14+'ФАКТ ЧИСТ К3'!AB40*СПРАВОЧНИК!$M$14+'ФАКТ ЧИСТ К3'!AC40*СПРАВОЧНИК!$N$14+'ФАКТ ЧИСТ К3'!AD40*СПРАВОЧНИК!$O$14+'ФАКТ ЧИСТ К3'!AE40*СПРАВОЧНИК!$P$14)+СПРАВОЧНИК!$E$15*('ФАКТ ЧЕРН К3'!T40*СПРАВОЧНИК!$H$15+'ФАКТ ЧЕРН К3'!U40*СПРАВОЧНИК!$I$15+'ФАКТ ЧЕРН К3'!V40*СПРАВОЧНИК!$J$15)+СПРАВОЧНИК!$F$15*('ФАКТ ЧИСТ К3'!AF40*СПРАВОЧНИК!$L$15+'ФАКТ ЧИСТ К3'!AG40*СПРАВОЧНИК!$M$15+'ФАКТ ЧИСТ К3'!AH40*СПРАВОЧНИК!$N$15+'ФАКТ ЧИСТ К3'!AI40*СПРАВОЧНИК!$O$15+'ФАКТ ЧИСТ К3'!AJ40*СПРАВОЧНИК!$P$15)</f>
        <v/>
      </c>
      <c r="BG49" s="34" t="n"/>
      <c r="BJ49" s="152">
        <f>BJ48+7</f>
        <v/>
      </c>
      <c r="BK49" s="17">
        <f>'ПЛАН ЧЕРН К3'!B40*СПРАВОЧНИК!$H$9+'ПЛАН ЧЕРН К3'!C40*СПРАВОЧНИК!$I$9+'ПЛАН ЧЕРН К3'!D40*СПРАВОЧНИК!$J$9+'ПЛАН ЧЕРН К3'!E40*СПРАВОЧНИК!$H$10+'ПЛАН ЧЕРН К3'!F40*СПРАВОЧНИК!$I$10+'ПЛАН ЧЕРН К3'!G40*СПРАВОЧНИК!$J$10+'ПЛАН ЧЕРН К3'!H40*СПРАВОЧНИК!$H$11+'ПЛАН ЧЕРН К3'!I40*СПРАВОЧНИК!$I$11+'ПЛАН ЧЕРН К3'!J40*СПРАВОЧНИК!$J$11+'ПЛАН ЧЕРН К3'!K40*СПРАВОЧНИК!$H$12+'ПЛАН ЧЕРН К3'!L40*СПРАВОЧНИК!$I$12+'ПЛАН ЧЕРН К3'!M40*СПРАВОЧНИК!$J$12+'ПЛАН ЧЕРН К3'!N40*СПРАВОЧНИК!$H$13+'ПЛАН ЧЕРН К3'!O40*СПРАВОЧНИК!$I$13+'ПЛАН ЧЕРН К3'!P40*СПРАВОЧНИК!$J$13+'ПЛАН ЧЕРН К3'!Q40*СПРАВОЧНИК!$H$14+'ПЛАН ЧЕРН К3'!R40*СПРАВОЧНИК!$I$14+'ПЛАН ЧЕРН К3'!S40*СПРАВОЧНИК!$J$14+'ПЛАН ЧЕРН К3'!T40*СПРАВОЧНИК!$H$15+'ПЛАН ЧЕРН К3'!U40*СПРАВОЧНИК!$I$15+'ПЛАН ЧЕРН К3'!V40*СПРАВОЧНИК!$J$15</f>
        <v/>
      </c>
      <c r="BL49" s="31">
        <f>('ФАКТ ЧЕРН К3'!B40)*СПРАВОЧНИК!$H$9+('ФАКТ ЧЕРН К3'!C40)*СПРАВОЧНИК!$I$9+('ФАКТ ЧЕРН К3'!D40)*СПРАВОЧНИК!$J$9+('ФАКТ ЧЕРН К3'!E40)*СПРАВОЧНИК!$H$10+('ФАКТ ЧЕРН К3'!F40)*СПРАВОЧНИК!$I$10+('ФАКТ ЧЕРН К3'!G40)*СПРАВОЧНИК!$J$10+('ФАКТ ЧЕРН К3'!H40)*СПРАВОЧНИК!$H$11+('ФАКТ ЧЕРН К3'!I40)*СПРАВОЧНИК!$I$11+('ФАКТ ЧЕРН К3'!J40)*СПРАВОЧНИК!$J$11+('ФАКТ ЧЕРН К3'!K40)*СПРАВОЧНИК!$H$12+('ФАКТ ЧЕРН К3'!L40)*СПРАВОЧНИК!$I$12+('ФАКТ ЧЕРН К3'!M40)*СПРАВОЧНИК!$J$12+('ФАКТ ЧЕРН К3'!N40)*СПРАВОЧНИК!$H$13+('ФАКТ ЧЕРН К3'!O40)*СПРАВОЧНИК!$I$13+('ФАКТ ЧЕРН К3'!P40)*СПРАВОЧНИК!$J$13+('ФАКТ ЧЕРН К3'!Q40)*СПРАВОЧНИК!$H$14+('ФАКТ ЧЕРН К3'!R40)*СПРАВОЧНИК!$I$14+('ФАКТ ЧЕРН К3'!S40)*СПРАВОЧНИК!$J$14+('ФАКТ ЧЕРН К3'!T40)*СПРАВОЧНИК!$H$15+('ФАКТ ЧЕРН К3'!U40)*СПРАВОЧНИК!$I$15+('ФАКТ ЧЕРН К3'!V40)*СПРАВОЧНИК!$J$15</f>
        <v/>
      </c>
      <c r="BM49" s="34" t="n"/>
      <c r="BP49" s="152">
        <f>BP48+7</f>
        <v/>
      </c>
      <c r="BQ49" s="17">
        <f>'ПЛАН ЧИСТ К3'!B40*СПРАВОЧНИК!$L$9+'ПЛАН ЧИСТ К3'!C40*СПРАВОЧНИК!$M$9+'ПЛАН ЧИСТ К3'!D40*СПРАВОЧНИК!$N$9+'ПЛАН ЧИСТ К3'!E40*СПРАВОЧНИК!$O$9+'ПЛАН ЧИСТ К3'!F40*СПРАВОЧНИК!$P$9+'ПЛАН ЧИСТ К3'!G40*СПРАВОЧНИК!$L$10+'ПЛАН ЧИСТ К3'!H40*СПРАВОЧНИК!$M$10+'ПЛАН ЧИСТ К3'!I40*СПРАВОЧНИК!$N$10+'ПЛАН ЧИСТ К3'!J40*СПРАВОЧНИК!$O$10+'ПЛАН ЧИСТ К3'!K40*СПРАВОЧНИК!$P$10+'ПЛАН ЧИСТ К3'!L40*СПРАВОЧНИК!$L$11+'ПЛАН ЧИСТ К3'!M40*СПРАВОЧНИК!$M$11+'ПЛАН ЧИСТ К3'!N40*СПРАВОЧНИК!$N$11+'ПЛАН ЧИСТ К3'!O40*СПРАВОЧНИК!$O$11+'ПЛАН ЧИСТ К3'!P40*СПРАВОЧНИК!$P$11+'ПЛАН ЧИСТ К3'!Q40*СПРАВОЧНИК!$L$12+'ПЛАН ЧИСТ К3'!R40*СПРАВОЧНИК!$M$12+'ПЛАН ЧИСТ К3'!S40*СПРАВОЧНИК!$N$12+'ПЛАН ЧИСТ К3'!T40*СПРАВОЧНИК!$O$12+'ПЛАН ЧИСТ К3'!U40*СПРАВОЧНИК!$P$12+'ПЛАН ЧИСТ К3'!V40*СПРАВОЧНИК!$L$13+'ПЛАН ЧИСТ К3'!W40*СПРАВОЧНИК!$M$13+'ПЛАН ЧИСТ К3'!X40*СПРАВОЧНИК!$N$13+'ПЛАН ЧИСТ К3'!Y40*СПРАВОЧНИК!$O$13+'ПЛАН ЧИСТ К3'!Z40*СПРАВОЧНИК!$P$13+'ПЛАН ЧИСТ К3'!AA40*СПРАВОЧНИК!$L$14+'ПЛАН ЧИСТ К3'!AB40*СПРАВОЧНИК!$M$14+'ПЛАН ЧИСТ К3'!AC40*СПРАВОЧНИК!$N$14+'ПЛАН ЧИСТ К3'!AD40*СПРАВОЧНИК!$O$14+'ПЛАН ЧИСТ К3'!AE40*СПРАВОЧНИК!$P$14+'ПЛАН ЧИСТ К3'!AF40*СПРАВОЧНИК!$L$15+'ПЛАН ЧИСТ К3'!AG40*СПРАВОЧНИК!$M$15+'ПЛАН ЧИСТ К3'!AH40*СПРАВОЧНИК!$N$15+'ПЛАН ЧИСТ К3'!AI40*СПРАВОЧНИК!$O$15+'ПЛАН ЧИСТ К3'!AJ40*СПРАВОЧНИК!$P$15</f>
        <v/>
      </c>
      <c r="BR49" s="31">
        <f>('ФАКТ ЧИСТ К3'!B40)*СПРАВОЧНИК!$L$9+('ФАКТ ЧИСТ К3'!C40)*СПРАВОЧНИК!$M$9+('ФАКТ ЧИСТ К3'!D40)*СПРАВОЧНИК!$N$9+('ФАКТ ЧИСТ К3'!E40)*СПРАВОЧНИК!$O$9+('ФАКТ ЧИСТ К3'!F40)*СПРАВОЧНИК!$P$9+('ФАКТ ЧИСТ К3'!G40)*СПРАВОЧНИК!$L$10+('ФАКТ ЧИСТ К3'!H40)*СПРАВОЧНИК!$M$10+('ФАКТ ЧИСТ К3'!I40)*СПРАВОЧНИК!$N$10+('ФАКТ ЧИСТ К3'!J40)*СПРАВОЧНИК!$O$10+('ФАКТ ЧИСТ К3'!K40)*СПРАВОЧНИК!$P$10+('ФАКТ ЧИСТ К3'!L40)*СПРАВОЧНИК!$L$11+('ФАКТ ЧИСТ К3'!M40)*СПРАВОЧНИК!$M$11+('ФАКТ ЧИСТ К3'!N40)*СПРАВОЧНИК!$N$11+('ФАКТ ЧИСТ К3'!O40)*СПРАВОЧНИК!$O$11+('ФАКТ ЧИСТ К3'!P40)*СПРАВОЧНИК!$P$11+('ФАКТ ЧИСТ К3'!Q40)*СПРАВОЧНИК!$L$12+('ФАКТ ЧИСТ К3'!R40)*СПРАВОЧНИК!$M$12+('ФАКТ ЧИСТ К3'!S40)*СПРАВОЧНИК!$N$12+('ФАКТ ЧИСТ К3'!T40)*СПРАВОЧНИК!$O$12+('ФАКТ ЧИСТ К3'!U40)*СПРАВОЧНИК!$P$12+('ФАКТ ЧИСТ К3'!V40)*СПРАВОЧНИК!$L$13+('ФАКТ ЧИСТ К3'!W40)*СПРАВОЧНИК!$M$13+('ФАКТ ЧИСТ К3'!X40)*СПРАВОЧНИК!$N$13+('ФАКТ ЧИСТ К3'!Y40)*СПРАВОЧНИК!$O$13+('ФАКТ ЧИСТ К3'!Z40)*СПРАВОЧНИК!$P$13+('ФАКТ ЧИСТ К3'!AA40)*СПРАВОЧНИК!$L$14+('ФАКТ ЧИСТ К3'!AB40)*СПРАВОЧНИК!$M$14+('ФАКТ ЧИСТ К3'!AC40)*СПРАВОЧНИК!$N$14+('ФАКТ ЧИСТ К3'!AD40)*СПРАВОЧНИК!$O$14+('ФАКТ ЧИСТ К3'!AE40)*СПРАВОЧНИК!$P$14+('ФАКТ ЧИСТ К3'!AF40)*СПРАВОЧНИК!$L$15+('ФАКТ ЧИСТ К3'!AG40)*СПРАВОЧНИК!$M$15+('ФАКТ ЧИСТ К3'!AH40)*СПРАВОЧНИК!$N$15+('ФАКТ ЧИСТ К3'!AI40)*СПРАВОЧНИК!$O$15+('ФАКТ ЧИСТ К3'!AJ40)*СПРАВОЧНИК!$P$15</f>
        <v/>
      </c>
      <c r="BS49" s="34" t="n"/>
      <c r="BV49" s="152">
        <f>BV48+7</f>
        <v/>
      </c>
      <c r="BW49" s="17">
        <f>U49*СПРАВОЧНИК!$K$28+AM49*СПРАВОЧНИК!$K$29+BE49*СПРАВОЧНИК!$K$30</f>
        <v/>
      </c>
      <c r="BX49" s="31">
        <f>V49*СПРАВОЧНИК!$K$28+AN49*СПРАВОЧНИК!$K$29+BF49*СПРАВОЧНИК!$K$30</f>
        <v/>
      </c>
      <c r="BY49" s="34" t="n"/>
      <c r="CB49" s="152">
        <f>CB48+7</f>
        <v/>
      </c>
      <c r="CC49" s="17">
        <f>AA49*СПРАВОЧНИК!$K$28+AS49*СПРАВОЧНИК!$K$29+BK49*СПРАВОЧНИК!$K$30</f>
        <v/>
      </c>
      <c r="CD49" s="31">
        <f>AB49*СПРАВОЧНИК!$K$28+AT49*СПРАВОЧНИК!$K$29+BL49*СПРАВОЧНИК!$K$30</f>
        <v/>
      </c>
      <c r="CE49" s="34" t="n"/>
      <c r="CH49" s="152">
        <f>CH48+7</f>
        <v/>
      </c>
      <c r="CI49" s="17">
        <f>AG49*СПРАВОЧНИК!$K$28+AY49*СПРАВОЧНИК!$K$29+BQ49*СПРАВОЧНИК!$K$30</f>
        <v/>
      </c>
      <c r="CJ49" s="31">
        <f>AH49*СПРАВОЧНИК!$K$28+AZ49*СПРАВОЧНИК!$K$29+BR49*СПРАВОЧНИК!$K$30</f>
        <v/>
      </c>
      <c r="CK49" s="34" t="n"/>
      <c r="CN49" s="152">
        <f>CN48+7</f>
        <v/>
      </c>
      <c r="CO49" s="17">
        <f>C49*СПРАВОЧНИК!$W$18+BW49*СПРАВОЧНИК!$W$19</f>
        <v/>
      </c>
      <c r="CP49" s="31">
        <f>D49*СПРАВОЧНИК!$W$18+BX49*СПРАВОЧНИК!$W$19</f>
        <v/>
      </c>
      <c r="CQ49" s="34" t="n"/>
      <c r="CT49" s="152">
        <f>CT48+7</f>
        <v/>
      </c>
      <c r="CU49" s="17">
        <f>I49*СПРАВОЧНИК!$W$18+CC49*СПРАВОЧНИК!$W$19</f>
        <v/>
      </c>
      <c r="CV49" s="31">
        <f>J49*СПРАВОЧНИК!$W$18+CD49*СПРАВОЧНИК!$W$19</f>
        <v/>
      </c>
      <c r="CW49" s="34" t="n"/>
      <c r="CZ49" s="152">
        <f>CZ48+7</f>
        <v/>
      </c>
      <c r="DA49" s="17">
        <f>O49*СПРАВОЧНИК!$W$18+CI49*СПРАВОЧНИК!$W$19</f>
        <v/>
      </c>
      <c r="DB49" s="31">
        <f>P49*СПРАВОЧНИК!$W$18+CJ49*СПРАВОЧНИК!$W$19</f>
        <v/>
      </c>
      <c r="DC49" s="34" t="n"/>
    </row>
    <row r="50">
      <c r="B50" s="152">
        <f>B49+7</f>
        <v/>
      </c>
      <c r="C50" s="17">
        <f>СПРАВОЧНИК!$E$3*('ПЛАН ЧЕРН ПОДЗЕМ'!B41*СПРАВОЧНИК!$H$3+'ПЛАН ЧЕРН ПОДЗЕМ'!C41*СПРАВОЧНИК!$I$3+'ПЛАН ЧЕРН ПОДЗЕМ'!D41*СПРАВОЧНИК!$J$3)+СПРАВОЧНИК!$F$3*('ПЛАН ЧИСТ ПОДЗЕМ'!B41*СПРАВОЧНИК!$L$3+'ПЛАН ЧИСТ ПОДЗЕМ'!C41*СПРАВОЧНИК!$M$3+'ПЛАН ЧИСТ ПОДЗЕМ'!D41*СПРАВОЧНИК!$N$3+'ПЛАН ЧИСТ ПОДЗЕМ'!E41*СПРАВОЧНИК!$O$3+'ПЛАН ЧИСТ ПОДЗЕМ'!F41*СПРАВОЧНИК!$P$3)+СПРАВОЧНИК!$E$4*('ПЛАН ЧЕРН ПОДЗЕМ'!E41*СПРАВОЧНИК!$H$4+'ПЛАН ЧЕРН ПОДЗЕМ'!F41*СПРАВОЧНИК!$I$4+'ПЛАН ЧЕРН ПОДЗЕМ'!G41*СПРАВОЧНИК!$J$4)+СПРАВОЧНИК!$F$4*('ПЛАН ЧИСТ ПОДЗЕМ'!G41*СПРАВОЧНИК!$L$4+'ПЛАН ЧИСТ ПОДЗЕМ'!H41*СПРАВОЧНИК!$M$4+'ПЛАН ЧИСТ ПОДЗЕМ'!I41*СПРАВОЧНИК!$N$4+'ПЛАН ЧИСТ ПОДЗЕМ'!J41*СПРАВОЧНИК!$O$4+'ПЛАН ЧИСТ ПОДЗЕМ'!K41*СПРАВОЧНИК!$P$4)+СПРАВОЧНИК!$E$5*('ПЛАН ЧЕРН ПОДЗЕМ'!H41*СПРАВОЧНИК!$H$5+'ПЛАН ЧЕРН ПОДЗЕМ'!I41*СПРАВОЧНИК!$I$5+'ПЛАН ЧЕРН ПОДЗЕМ'!J41*СПРАВОЧНИК!$J$5)+СПРАВОЧНИК!$F$5*('ПЛАН ЧИСТ ПОДЗЕМ'!L41*СПРАВОЧНИК!$L$5+'ПЛАН ЧИСТ ПОДЗЕМ'!M41*СПРАВОЧНИК!$M$5+'ПЛАН ЧИСТ ПОДЗЕМ'!N41*СПРАВОЧНИК!$N$5+'ПЛАН ЧИСТ ПОДЗЕМ'!O41*СПРАВОЧНИК!$O$5+'ПЛАН ЧИСТ ПОДЗЕМ'!P41*СПРАВОЧНИК!$P$5)+СПРАВОЧНИК!$E$6*('ПЛАН ЧЕРН ПОДЗЕМ'!K41*СПРАВОЧНИК!$H$6+'ПЛАН ЧЕРН ПОДЗЕМ'!L41*СПРАВОЧНИК!$I$6+'ПЛАН ЧЕРН ПОДЗЕМ'!M41*СПРАВОЧНИК!$J$6)+СПРАВОЧНИК!$F$6*('ПЛАН ЧИСТ ПОДЗЕМ'!Q41*СПРАВОЧНИК!$L$6+'ПЛАН ЧИСТ ПОДЗЕМ'!R41*СПРАВОЧНИК!$M$6+'ПЛАН ЧИСТ ПОДЗЕМ'!S41*СПРАВОЧНИК!$N$6+'ПЛАН ЧИСТ ПОДЗЕМ'!T41*СПРАВОЧНИК!$O$6+'ПЛАН ЧИСТ ПОДЗЕМ'!U41*СПРАВОЧНИК!$P$6)+СПРАВОЧНИК!$E$7*('ПЛАН ЧЕРН ПОДЗЕМ'!N41*СПРАВОЧНИК!$H$7+'ПЛАН ЧЕРН ПОДЗЕМ'!O41*СПРАВОЧНИК!$I$7+'ПЛАН ЧЕРН ПОДЗЕМ'!P41*СПРАВОЧНИК!$J$7)+СПРАВОЧНИК!$F$7*('ПЛАН ЧИСТ ПОДЗЕМ'!V41*СПРАВОЧНИК!$L$7+'ПЛАН ЧИСТ ПОДЗЕМ'!W41*СПРАВОЧНИК!$M$7+'ПЛАН ЧИСТ ПОДЗЕМ'!X41*СПРАВОЧНИК!$N$7+'ПЛАН ЧИСТ ПОДЗЕМ'!Y41*СПРАВОЧНИК!$O$7+'ПЛАН ЧИСТ ПОДЗЕМ'!Z41*СПРАВОЧНИК!$P$7)+СПРАВОЧНИК!$E$8*('ПЛАН ЧЕРН ПОДЗЕМ'!Q41*СПРАВОЧНИК!$H$8+'ПЛАН ЧЕРН ПОДЗЕМ'!R41*СПРАВОЧНИК!$I$8+'ПЛАН ЧЕРН ПОДЗЕМ'!S41*СПРАВОЧНИК!$J$8)+СПРАВОЧНИК!$F$8*('ПЛАН ЧИСТ ПОДЗЕМ'!AA41*СПРАВОЧНИК!$L$8+'ПЛАН ЧИСТ ПОДЗЕМ'!AB41*СПРАВОЧНИК!$M$8+'ПЛАН ЧИСТ ПОДЗЕМ'!AC41*СПРАВОЧНИК!$N$8+'ПЛАН ЧИСТ ПОДЗЕМ'!AD41*СПРАВОЧНИК!$O$8+'ПЛАН ЧИСТ ПОДЗЕМ'!AE41*СПРАВОЧНИК!$P$8)</f>
        <v/>
      </c>
      <c r="D50" s="31">
        <f>СПРАВОЧНИК!$E$3*('ФАКТ ЧЕРН ПОДЗЕМ'!B41*СПРАВОЧНИК!$H$3+'ФАКТ ЧЕРН ПОДЗЕМ'!C41*СПРАВОЧНИК!$I$3+'ФАКТ ЧЕРН ПОДЗЕМ'!D41*СПРАВОЧНИК!$J$3)+СПРАВОЧНИК!$F$3*('ФАКТ ЧИСТ ПОДЗЕМ'!B41*СПРАВОЧНИК!$L$3+'ФАКТ ЧИСТ ПОДЗЕМ'!C41*СПРАВОЧНИК!$M$3+'ФАКТ ЧИСТ ПОДЗЕМ'!D41*СПРАВОЧНИК!$N$3+'ФАКТ ЧИСТ ПОДЗЕМ'!E41*СПРАВОЧНИК!$O$3+'ФАКТ ЧИСТ ПОДЗЕМ'!F41*СПРАВОЧНИК!$P$3)+СПРАВОЧНИК!$E$4*('ФАКТ ЧЕРН ПОДЗЕМ'!E41*СПРАВОЧНИК!$H$4+'ФАКТ ЧЕРН ПОДЗЕМ'!F41*СПРАВОЧНИК!$I$4+'ФАКТ ЧЕРН ПОДЗЕМ'!G41*СПРАВОЧНИК!$J$4)+СПРАВОЧНИК!$F$4*('ФАКТ ЧИСТ ПОДЗЕМ'!G41*СПРАВОЧНИК!$L$4+'ФАКТ ЧИСТ ПОДЗЕМ'!H41*СПРАВОЧНИК!$M$4+'ФАКТ ЧИСТ ПОДЗЕМ'!I41*СПРАВОЧНИК!$N$4+'ФАКТ ЧИСТ ПОДЗЕМ'!J41*СПРАВОЧНИК!$O$4+'ФАКТ ЧИСТ ПОДЗЕМ'!K41*СПРАВОЧНИК!$P$4)+СПРАВОЧНИК!$E$5*('ФАКТ ЧЕРН ПОДЗЕМ'!H41*СПРАВОЧНИК!$H$5+'ФАКТ ЧЕРН ПОДЗЕМ'!I41*СПРАВОЧНИК!$I$5+'ФАКТ ЧЕРН ПОДЗЕМ'!J41*СПРАВОЧНИК!$J$5)+СПРАВОЧНИК!$F$5*('ФАКТ ЧИСТ ПОДЗЕМ'!L41*СПРАВОЧНИК!$L$5+'ФАКТ ЧИСТ ПОДЗЕМ'!M41*СПРАВОЧНИК!$M$5+'ФАКТ ЧИСТ ПОДЗЕМ'!N41*СПРАВОЧНИК!$N$5+'ФАКТ ЧИСТ ПОДЗЕМ'!O41*СПРАВОЧНИК!$O$5+'ФАКТ ЧИСТ ПОДЗЕМ'!P41*СПРАВОЧНИК!$P$5)+СПРАВОЧНИК!$E$6*('ФАКТ ЧЕРН ПОДЗЕМ'!K41*СПРАВОЧНИК!$H$6+'ФАКТ ЧЕРН ПОДЗЕМ'!L41*СПРАВОЧНИК!$I$6+'ФАКТ ЧЕРН ПОДЗЕМ'!M41*СПРАВОЧНИК!$J$6)+СПРАВОЧНИК!$F$6*('ФАКТ ЧИСТ ПОДЗЕМ'!Q41*СПРАВОЧНИК!$L$6+'ФАКТ ЧИСТ ПОДЗЕМ'!R41*СПРАВОЧНИК!$M$6+'ФАКТ ЧИСТ ПОДЗЕМ'!S41*СПРАВОЧНИК!$N$6+'ФАКТ ЧИСТ ПОДЗЕМ'!T41*СПРАВОЧНИК!$O$6+'ФАКТ ЧИСТ ПОДЗЕМ'!U41*СПРАВОЧНИК!$P$6)+СПРАВОЧНИК!$E$7*('ФАКТ ЧЕРН ПОДЗЕМ'!N41*СПРАВОЧНИК!$H$7+'ФАКТ ЧЕРН ПОДЗЕМ'!O41*СПРАВОЧНИК!$I$7+'ФАКТ ЧЕРН ПОДЗЕМ'!P41*СПРАВОЧНИК!$J$7)+СПРАВОЧНИК!$F$7*('ФАКТ ЧИСТ ПОДЗЕМ'!V41*СПРАВОЧНИК!$L$7+'ФАКТ ЧИСТ ПОДЗЕМ'!W41*СПРАВОЧНИК!$M$7+'ФАКТ ЧИСТ ПОДЗЕМ'!X41*СПРАВОЧНИК!$N$7+'ФАКТ ЧИСТ ПОДЗЕМ'!Y41*СПРАВОЧНИК!$O$7+'ФАКТ ЧИСТ ПОДЗЕМ'!Z41*СПРАВОЧНИК!$P$7)+СПРАВОЧНИК!$E$8*('ФАКТ ЧЕРН ПОДЗЕМ'!Q41*СПРАВОЧНИК!$H$8+'ФАКТ ЧЕРН ПОДЗЕМ'!R41*СПРАВОЧНИК!$I$8+'ФАКТ ЧЕРН ПОДЗЕМ'!S41*СПРАВОЧНИК!$J$8)+СПРАВОЧНИК!$F$8*('ФАКТ ЧИСТ ПОДЗЕМ'!AA41*СПРАВОЧНИК!$L$8+'ФАКТ ЧИСТ ПОДЗЕМ'!AB41*СПРАВОЧНИК!$M$8+'ФАКТ ЧИСТ ПОДЗЕМ'!AC41*СПРАВОЧНИК!$N$8+'ФАКТ ЧИСТ ПОДЗЕМ'!AD41*СПРАВОЧНИК!$O$8+'ФАКТ ЧИСТ ПОДЗЕМ'!AE41*СПРАВОЧНИК!$P$8)</f>
        <v/>
      </c>
      <c r="E50" s="34" t="n"/>
      <c r="H50" s="152">
        <f>H49+7</f>
        <v/>
      </c>
      <c r="I50" s="17">
        <f>'ПЛАН ЧЕРН ПОДЗЕМ'!B41*СПРАВОЧНИК!$H$3+'ПЛАН ЧЕРН ПОДЗЕМ'!C41*СПРАВОЧНИК!$I$3+'ПЛАН ЧЕРН ПОДЗЕМ'!D41*СПРАВОЧНИК!$J$3+'ПЛАН ЧЕРН ПОДЗЕМ'!E41*СПРАВОЧНИК!$H$4+'ПЛАН ЧЕРН ПОДЗЕМ'!F41*СПРАВОЧНИК!$I$4+'ПЛАН ЧЕРН ПОДЗЕМ'!G41*СПРАВОЧНИК!$J$4+'ПЛАН ЧЕРН ПОДЗЕМ'!H41*СПРАВОЧНИК!$H$5+'ПЛАН ЧЕРН ПОДЗЕМ'!I41*СПРАВОЧНИК!$I$5+'ПЛАН ЧЕРН ПОДЗЕМ'!J41*СПРАВОЧНИК!$J$5+'ПЛАН ЧЕРН ПОДЗЕМ'!K41*СПРАВОЧНИК!$H$6+'ПЛАН ЧЕРН ПОДЗЕМ'!L41*СПРАВОЧНИК!$I$6+'ПЛАН ЧЕРН ПОДЗЕМ'!M41*СПРАВОЧНИК!$J$6+'ПЛАН ЧЕРН ПОДЗЕМ'!N41*СПРАВОЧНИК!$H$7+'ПЛАН ЧЕРН ПОДЗЕМ'!O41*СПРАВОЧНИК!$I$7+'ПЛАН ЧЕРН ПОДЗЕМ'!P41*СПРАВОЧНИК!$J$7+'ПЛАН ЧЕРН ПОДЗЕМ'!Q41*СПРАВОЧНИК!$H$8+'ПЛАН ЧЕРН ПОДЗЕМ'!R41*СПРАВОЧНИК!$I$8+'ПЛАН ЧЕРН ПОДЗЕМ'!S41*СПРАВОЧНИК!$J$8</f>
        <v/>
      </c>
      <c r="J50" s="31">
        <f>('ФАКТ ЧЕРН ПОДЗЕМ'!B41)*СПРАВОЧНИК!$H$3+('ФАКТ ЧЕРН ПОДЗЕМ'!C41)*СПРАВОЧНИК!$I$3+('ФАКТ ЧЕРН ПОДЗЕМ'!D41)*СПРАВОЧНИК!$J$3+('ФАКТ ЧЕРН ПОДЗЕМ'!E41)*СПРАВОЧНИК!$H$4+('ФАКТ ЧЕРН ПОДЗЕМ'!F41)*СПРАВОЧНИК!$I$4+('ФАКТ ЧЕРН ПОДЗЕМ'!G41)*СПРАВОЧНИК!$J$4+('ФАКТ ЧЕРН ПОДЗЕМ'!H41)*СПРАВОЧНИК!$H$5+('ФАКТ ЧЕРН ПОДЗЕМ'!I41)*СПРАВОЧНИК!$I$5+('ФАКТ ЧЕРН ПОДЗЕМ'!J41)*СПРАВОЧНИК!$J$5+('ФАКТ ЧЕРН ПОДЗЕМ'!K41)*СПРАВОЧНИК!$H$6+('ФАКТ ЧЕРН ПОДЗЕМ'!L41)*СПРАВОЧНИК!$I$6+('ФАКТ ЧЕРН ПОДЗЕМ'!M41)*СПРАВОЧНИК!$J$6+('ФАКТ ЧЕРН ПОДЗЕМ'!N41)*СПРАВОЧНИК!$H$7+('ФАКТ ЧЕРН ПОДЗЕМ'!O41)*СПРАВОЧНИК!$I$7+('ФАКТ ЧЕРН ПОДЗЕМ'!P41)*СПРАВОЧНИК!$J$7+('ФАКТ ЧЕРН ПОДЗЕМ'!Q41)*СПРАВОЧНИК!$H$8+('ФАКТ ЧЕРН ПОДЗЕМ'!R41)*СПРАВОЧНИК!$I$8+('ФАКТ ЧЕРН ПОДЗЕМ'!S41)*СПРАВОЧНИК!$J$8</f>
        <v/>
      </c>
      <c r="K50" s="34" t="n"/>
      <c r="N50" s="152">
        <f>N49+7</f>
        <v/>
      </c>
      <c r="O50" s="17">
        <f>'ПЛАН ЧИСТ ПОДЗЕМ'!B41*СПРАВОЧНИК!$L$3+'ПЛАН ЧИСТ ПОДЗЕМ'!C41*СПРАВОЧНИК!$M$3+'ПЛАН ЧИСТ ПОДЗЕМ'!D41*СПРАВОЧНИК!$N$3+'ПЛАН ЧИСТ ПОДЗЕМ'!E41*СПРАВОЧНИК!$O$3+'ПЛАН ЧИСТ ПОДЗЕМ'!F41*СПРАВОЧНИК!$P$3+'ПЛАН ЧИСТ ПОДЗЕМ'!G41*СПРАВОЧНИК!$L$4+'ПЛАН ЧИСТ ПОДЗЕМ'!H41*СПРАВОЧНИК!$M$4+'ПЛАН ЧИСТ ПОДЗЕМ'!I41*СПРАВОЧНИК!$N$4+'ПЛАН ЧИСТ ПОДЗЕМ'!J41*СПРАВОЧНИК!$O$4+'ПЛАН ЧИСТ ПОДЗЕМ'!K41*СПРАВОЧНИК!$P$4+'ПЛАН ЧИСТ ПОДЗЕМ'!L41*СПРАВОЧНИК!$L$5+'ПЛАН ЧИСТ ПОДЗЕМ'!M41*СПРАВОЧНИК!$M$5+'ПЛАН ЧИСТ ПОДЗЕМ'!N41*СПРАВОЧНИК!$N$5+'ПЛАН ЧИСТ ПОДЗЕМ'!O41*СПРАВОЧНИК!$O$5+'ПЛАН ЧИСТ ПОДЗЕМ'!P41*СПРАВОЧНИК!$P$5+'ПЛАН ЧИСТ ПОДЗЕМ'!Q41*СПРАВОЧНИК!$L$6+'ПЛАН ЧИСТ ПОДЗЕМ'!R41*СПРАВОЧНИК!$M$6+'ПЛАН ЧИСТ ПОДЗЕМ'!S41*СПРАВОЧНИК!$N$6+'ПЛАН ЧИСТ ПОДЗЕМ'!T41*СПРАВОЧНИК!$O$6+'ПЛАН ЧИСТ ПОДЗЕМ'!U41*СПРАВОЧНИК!$P$6+'ПЛАН ЧИСТ ПОДЗЕМ'!V41*СПРАВОЧНИК!$L$7+'ПЛАН ЧИСТ ПОДЗЕМ'!W41*СПРАВОЧНИК!$M$7+'ПЛАН ЧИСТ ПОДЗЕМ'!X41*СПРАВОЧНИК!$N$7+'ПЛАН ЧИСТ ПОДЗЕМ'!Y41*СПРАВОЧНИК!$O$7+'ПЛАН ЧИСТ ПОДЗЕМ'!Z41*СПРАВОЧНИК!$P$7+'ПЛАН ЧИСТ ПОДЗЕМ'!AA41*СПРАВОЧНИК!$L$8+'ПЛАН ЧИСТ ПОДЗЕМ'!AB41*СПРАВОЧНИК!$M$8+'ПЛАН ЧИСТ ПОДЗЕМ'!AC41*СПРАВОЧНИК!$N$8+'ПЛАН ЧИСТ ПОДЗЕМ'!AD41*СПРАВОЧНИК!$O$8+'ПЛАН ЧИСТ ПОДЗЕМ'!AE41*СПРАВОЧНИК!$P$8</f>
        <v/>
      </c>
      <c r="P50" s="31">
        <f>('ФАКТ ЧИСТ ПОДЗЕМ'!B41)*СПРАВОЧНИК!$L$3+('ФАКТ ЧИСТ ПОДЗЕМ'!C41)*СПРАВОЧНИК!$M$3+('ФАКТ ЧИСТ ПОДЗЕМ'!D41)*СПРАВОЧНИК!$N$3+('ФАКТ ЧИСТ ПОДЗЕМ'!E41)*СПРАВОЧНИК!$O$3+('ФАКТ ЧИСТ ПОДЗЕМ'!F41)*СПРАВОЧНИК!$P$3+('ФАКТ ЧИСТ ПОДЗЕМ'!G41)*СПРАВОЧНИК!$L$4+('ФАКТ ЧИСТ ПОДЗЕМ'!H41)*СПРАВОЧНИК!$M$4+('ФАКТ ЧИСТ ПОДЗЕМ'!I41)*СПРАВОЧНИК!$N$4+('ФАКТ ЧИСТ ПОДЗЕМ'!J41)*СПРАВОЧНИК!$O$4+('ФАКТ ЧИСТ ПОДЗЕМ'!K41)*СПРАВОЧНИК!$P$4+('ФАКТ ЧИСТ ПОДЗЕМ'!L41)*СПРАВОЧНИК!$L$5+('ФАКТ ЧИСТ ПОДЗЕМ'!M41)*СПРАВОЧНИК!$M$5+('ФАКТ ЧИСТ ПОДЗЕМ'!N41)*СПРАВОЧНИК!$N$5+('ФАКТ ЧИСТ ПОДЗЕМ'!O41)*СПРАВОЧНИК!$O$5+('ФАКТ ЧИСТ ПОДЗЕМ'!P41)*СПРАВОЧНИК!$P$5+('ФАКТ ЧИСТ ПОДЗЕМ'!Q41)*СПРАВОЧНИК!$L$6+('ФАКТ ЧИСТ ПОДЗЕМ'!R41)*СПРАВОЧНИК!$M$6+('ФАКТ ЧИСТ ПОДЗЕМ'!S41)*СПРАВОЧНИК!$N$6+('ФАКТ ЧИСТ ПОДЗЕМ'!T41)*СПРАВОЧНИК!$O$6+('ФАКТ ЧИСТ ПОДЗЕМ'!U41)*СПРАВОЧНИК!$P$6+('ФАКТ ЧИСТ ПОДЗЕМ'!V41)*СПРАВОЧНИК!$L$7+('ФАКТ ЧИСТ ПОДЗЕМ'!W41)*СПРАВОЧНИК!$M$7+('ФАКТ ЧИСТ ПОДЗЕМ'!X41)*СПРАВОЧНИК!$N$7+('ФАКТ ЧИСТ ПОДЗЕМ'!Y41)*СПРАВОЧНИК!$O$7+('ФАКТ ЧИСТ ПОДЗЕМ'!Z41)*СПРАВОЧНИК!$P$7+('ФАКТ ЧИСТ ПОДЗЕМ'!AA41)*СПРАВОЧНИК!$L$8+('ФАКТ ЧИСТ ПОДЗЕМ'!AB41)*СПРАВОЧНИК!$M$8+('ФАКТ ЧИСТ ПОДЗЕМ'!AC41)*СПРАВОЧНИК!$N$8+('ФАКТ ЧИСТ ПОДЗЕМ'!AD41)*СПРАВОЧНИК!$O$8+('ФАКТ ЧИСТ ПОДЗЕМ'!AE41)*СПРАВОЧНИК!$P$8</f>
        <v/>
      </c>
      <c r="Q50" s="34" t="n"/>
      <c r="T50" s="152">
        <f>T49+7</f>
        <v/>
      </c>
      <c r="U50" s="17">
        <f>СПРАВОЧНИК!$E$9*('ПЛАН ЧЕРН К1'!B41*СПРАВОЧНИК!$H$9+'ПЛАН ЧЕРН К1'!C41*СПРАВОЧНИК!$I$9+'ПЛАН ЧЕРН К1'!D41*СПРАВОЧНИК!$J$9)+СПРАВОЧНИК!$F$9*('ПЛАН ЧИСТ К1'!B41*СПРАВОЧНИК!$L$9+'ПЛАН ЧИСТ К1'!C41*СПРАВОЧНИК!$M$9+'ПЛАН ЧИСТ К1'!D41*СПРАВОЧНИК!$N$9+'ПЛАН ЧИСТ К1'!E41*СПРАВОЧНИК!$O$9+'ПЛАН ЧИСТ К1'!F41*СПРАВОЧНИК!$P$9)+СПРАВОЧНИК!$E$10*('ПЛАН ЧЕРН К1'!E41*СПРАВОЧНИК!$H$10+'ПЛАН ЧЕРН К1'!F41*СПРАВОЧНИК!$I$10+'ПЛАН ЧЕРН К1'!G41*СПРАВОЧНИК!$J$10)+СПРАВОЧНИК!$F$10*('ПЛАН ЧИСТ К1'!G41*СПРАВОЧНИК!$L$10+'ПЛАН ЧИСТ К1'!H41*СПРАВОЧНИК!$M$10+'ПЛАН ЧИСТ К1'!I41*СПРАВОЧНИК!$N$10+'ПЛАН ЧИСТ К1'!J41*СПРАВОЧНИК!$O$10+'ПЛАН ЧИСТ К1'!K41*СПРАВОЧНИК!$P$10)+СПРАВОЧНИК!$E$11*('ПЛАН ЧЕРН К1'!H41*СПРАВОЧНИК!$H$11+'ПЛАН ЧЕРН К1'!I41*СПРАВОЧНИК!$I$11+'ПЛАН ЧЕРН К1'!J41*СПРАВОЧНИК!$J$11)+СПРАВОЧНИК!$F$11*('ПЛАН ЧИСТ К1'!L41*СПРАВОЧНИК!$L$11+'ПЛАН ЧИСТ К1'!M41*СПРАВОЧНИК!$M$11+'ПЛАН ЧИСТ К1'!N41*СПРАВОЧНИК!$N$11+'ПЛАН ЧИСТ К1'!O41*СПРАВОЧНИК!$O$11+'ПЛАН ЧИСТ К1'!P41*СПРАВОЧНИК!$P$11)+СПРАВОЧНИК!$E$12*('ПЛАН ЧЕРН К1'!K41*СПРАВОЧНИК!$H$12+'ПЛАН ЧЕРН К1'!L41*СПРАВОЧНИК!$I$12+'ПЛАН ЧЕРН К1'!M41*СПРАВОЧНИК!$J$12)+СПРАВОЧНИК!$F$12*('ПЛАН ЧИСТ К1'!Q41*СПРАВОЧНИК!$L$12+'ПЛАН ЧИСТ К1'!R41*СПРАВОЧНИК!$M$12+'ПЛАН ЧИСТ К1'!S41*СПРАВОЧНИК!$N$12+'ПЛАН ЧИСТ К1'!T41*СПРАВОЧНИК!$O$12+'ПЛАН ЧИСТ К1'!U41*СПРАВОЧНИК!$P$12)+СПРАВОЧНИК!$E$13*('ПЛАН ЧЕРН К1'!N41*СПРАВОЧНИК!$H$13+'ПЛАН ЧЕРН К1'!O41*СПРАВОЧНИК!$I$13+'ПЛАН ЧЕРН К1'!P41*СПРАВОЧНИК!$J$13)+СПРАВОЧНИК!$F$13*('ПЛАН ЧИСТ К1'!V41*СПРАВОЧНИК!$L$13+'ПЛАН ЧИСТ К1'!W41*СПРАВОЧНИК!$M$13+'ПЛАН ЧИСТ К1'!X41*СПРАВОЧНИК!$N$13+'ПЛАН ЧИСТ К1'!Y41*СПРАВОЧНИК!$O$13+'ПЛАН ЧИСТ К1'!Z41*СПРАВОЧНИК!$P$13)+СПРАВОЧНИК!$E$14*('ПЛАН ЧЕРН К1'!Q41*СПРАВОЧНИК!$H$14+'ПЛАН ЧЕРН К1'!R41*СПРАВОЧНИК!$I$14+'ПЛАН ЧЕРН К1'!S41*СПРАВОЧНИК!$J$14)+СПРАВОЧНИК!$F$14*('ПЛАН ЧИСТ К1'!AA41*СПРАВОЧНИК!$L$14+'ПЛАН ЧИСТ К1'!AB41*СПРАВОЧНИК!$M$14+'ПЛАН ЧИСТ К1'!AC41*СПРАВОЧНИК!$N$14+'ПЛАН ЧИСТ К1'!AD41*СПРАВОЧНИК!$O$14+'ПЛАН ЧИСТ К1'!AE41*СПРАВОЧНИК!$P$14)+СПРАВОЧНИК!$E$15*('ПЛАН ЧЕРН К1'!T41*СПРАВОЧНИК!$H$15+'ПЛАН ЧЕРН К1'!U41*СПРАВОЧНИК!$I$15+'ПЛАН ЧЕРН К1'!V41*СПРАВОЧНИК!$J$15)+СПРАВОЧНИК!$F$15*('ПЛАН ЧИСТ К1'!AF41*СПРАВОЧНИК!$L$15+'ПЛАН ЧИСТ К1'!AG41*СПРАВОЧНИК!$M$15+'ПЛАН ЧИСТ К1'!AH41*СПРАВОЧНИК!$N$15+'ПЛАН ЧИСТ К1'!AI41*СПРАВОЧНИК!$O$15+'ПЛАН ЧИСТ К1'!AJ41*СПРАВОЧНИК!$P$15)</f>
        <v/>
      </c>
      <c r="V50" s="31">
        <f>СПРАВОЧНИК!$E$9*('ФАКТ ЧЕРН К1'!B41*СПРАВОЧНИК!$H$9+'ФАКТ ЧЕРН К1'!C41*СПРАВОЧНИК!$I$9+'ФАКТ ЧЕРН К1'!D41*СПРАВОЧНИК!$J$9)+СПРАВОЧНИК!$F$9*('ФАКТ ЧИСТ К1'!B41*СПРАВОЧНИК!$L$9+'ФАКТ ЧИСТ К1'!C41*СПРАВОЧНИК!$M$9+'ФАКТ ЧИСТ К1'!D41*СПРАВОЧНИК!$N$9+'ФАКТ ЧИСТ К1'!E41*СПРАВОЧНИК!$O$9+'ФАКТ ЧИСТ К1'!F41*СПРАВОЧНИК!$P$9)+СПРАВОЧНИК!$E$10*('ФАКТ ЧЕРН К1'!E41*СПРАВОЧНИК!$H$10+'ФАКТ ЧЕРН К1'!F41*СПРАВОЧНИК!$I$10+'ФАКТ ЧЕРН К1'!G41*СПРАВОЧНИК!$J$10)+СПРАВОЧНИК!$F$10*('ФАКТ ЧИСТ К1'!G41*СПРАВОЧНИК!$L$10+'ФАКТ ЧИСТ К1'!H41*СПРАВОЧНИК!$M$10+'ФАКТ ЧИСТ К1'!I41*СПРАВОЧНИК!$N$10+'ФАКТ ЧИСТ К1'!J41*СПРАВОЧНИК!$O$10+'ФАКТ ЧИСТ К1'!K41*СПРАВОЧНИК!$P$10)+СПРАВОЧНИК!$E$11*('ФАКТ ЧЕРН К1'!H41*СПРАВОЧНИК!$H$11+'ФАКТ ЧЕРН К1'!I41*СПРАВОЧНИК!$I$11+'ФАКТ ЧЕРН К1'!J41*СПРАВОЧНИК!$J$11)+СПРАВОЧНИК!$F$11*('ФАКТ ЧИСТ К1'!L41*СПРАВОЧНИК!$L$11+'ФАКТ ЧИСТ К1'!M41*СПРАВОЧНИК!$M$11+'ФАКТ ЧИСТ К1'!N41*СПРАВОЧНИК!$N$11+'ФАКТ ЧИСТ К1'!O41*СПРАВОЧНИК!$O$11+'ФАКТ ЧИСТ К1'!P41*СПРАВОЧНИК!$P$11)+СПРАВОЧНИК!$E$12*('ФАКТ ЧЕРН К1'!K41*СПРАВОЧНИК!$H$12+'ФАКТ ЧЕРН К1'!L41*СПРАВОЧНИК!$I$12+'ФАКТ ЧЕРН К1'!M41*СПРАВОЧНИК!$J$12)+СПРАВОЧНИК!$F$12*('ФАКТ ЧИСТ К1'!Q41*СПРАВОЧНИК!$L$12+'ФАКТ ЧИСТ К1'!R41*СПРАВОЧНИК!$M$12+'ФАКТ ЧИСТ К1'!S41*СПРАВОЧНИК!$N$12+'ФАКТ ЧИСТ К1'!T41*СПРАВОЧНИК!$O$12+'ФАКТ ЧИСТ К1'!U41*СПРАВОЧНИК!$P$12)+СПРАВОЧНИК!$E$13*('ФАКТ ЧЕРН К1'!N41*СПРАВОЧНИК!$H$13+'ФАКТ ЧЕРН К1'!O41*СПРАВОЧНИК!$I$13+'ФАКТ ЧЕРН К1'!P41*СПРАВОЧНИК!$J$13)+СПРАВОЧНИК!$F$13*('ФАКТ ЧИСТ К1'!V41*СПРАВОЧНИК!$L$13+'ФАКТ ЧИСТ К1'!W41*СПРАВОЧНИК!$M$13+'ФАКТ ЧИСТ К1'!X41*СПРАВОЧНИК!$N$13+'ФАКТ ЧИСТ К1'!Y41*СПРАВОЧНИК!$O$13+'ФАКТ ЧИСТ К1'!Z41*СПРАВОЧНИК!$P$13)+СПРАВОЧНИК!$E$14*('ФАКТ ЧЕРН К1'!Q41*СПРАВОЧНИК!$H$14+'ФАКТ ЧЕРН К1'!R41*СПРАВОЧНИК!$I$14+'ФАКТ ЧЕРН К1'!S41*СПРАВОЧНИК!$J$14)+СПРАВОЧНИК!$F$14*('ФАКТ ЧИСТ К1'!AA41*СПРАВОЧНИК!$L$14+'ФАКТ ЧИСТ К1'!AB41*СПРАВОЧНИК!$M$14+'ФАКТ ЧИСТ К1'!AC41*СПРАВОЧНИК!$N$14+'ФАКТ ЧИСТ К1'!AD41*СПРАВОЧНИК!$O$14+'ФАКТ ЧИСТ К1'!AE41*СПРАВОЧНИК!$P$14)+СПРАВОЧНИК!$E$15*('ФАКТ ЧЕРН К1'!T41*СПРАВОЧНИК!$H$15+'ФАКТ ЧЕРН К1'!U41*СПРАВОЧНИК!$I$15+'ФАКТ ЧЕРН К1'!V41*СПРАВОЧНИК!$J$15)+СПРАВОЧНИК!$F$15*('ФАКТ ЧИСТ К1'!AF41*СПРАВОЧНИК!$L$15+'ФАКТ ЧИСТ К1'!AG41*СПРАВОЧНИК!$M$15+'ФАКТ ЧИСТ К1'!AH41*СПРАВОЧНИК!$N$15+'ФАКТ ЧИСТ К1'!AI41*СПРАВОЧНИК!$O$15+'ФАКТ ЧИСТ К1'!AJ41*СПРАВОЧНИК!$P$15)</f>
        <v/>
      </c>
      <c r="W50" s="34" t="n"/>
      <c r="Z50" s="152">
        <f>Z49+7</f>
        <v/>
      </c>
      <c r="AA50" s="17">
        <f>'ПЛАН ЧЕРН К1'!B41*СПРАВОЧНИК!$H$9+'ПЛАН ЧЕРН К1'!C41*СПРАВОЧНИК!$I$9+'ПЛАН ЧЕРН К1'!D41*СПРАВОЧНИК!$J$9+'ПЛАН ЧЕРН К1'!E41*СПРАВОЧНИК!$H$10+'ПЛАН ЧЕРН К1'!F41*СПРАВОЧНИК!$I$10+'ПЛАН ЧЕРН К1'!G41*СПРАВОЧНИК!$J$10+'ПЛАН ЧЕРН К1'!H41*СПРАВОЧНИК!$H$11+'ПЛАН ЧЕРН К1'!I41*СПРАВОЧНИК!$I$11+'ПЛАН ЧЕРН К1'!J41*СПРАВОЧНИК!$J$11+'ПЛАН ЧЕРН К1'!K41*СПРАВОЧНИК!$H$12+'ПЛАН ЧЕРН К1'!L41*СПРАВОЧНИК!$I$12+'ПЛАН ЧЕРН К1'!M41*СПРАВОЧНИК!$J$12+'ПЛАН ЧЕРН К1'!N41*СПРАВОЧНИК!$H$13+'ПЛАН ЧЕРН К1'!O41*СПРАВОЧНИК!$I$13+'ПЛАН ЧЕРН К1'!P41*СПРАВОЧНИК!$J$13+'ПЛАН ЧЕРН К1'!Q41*СПРАВОЧНИК!$H$14+'ПЛАН ЧЕРН К1'!R41*СПРАВОЧНИК!$I$14+'ПЛАН ЧЕРН К1'!S41*СПРАВОЧНИК!$J$14+'ПЛАН ЧЕРН К1'!T41*СПРАВОЧНИК!$H$15+'ПЛАН ЧЕРН К1'!U41*СПРАВОЧНИК!$I$15+'ПЛАН ЧЕРН К1'!V41*СПРАВОЧНИК!$J$15</f>
        <v/>
      </c>
      <c r="AB50" s="31">
        <f>('ФАКТ ЧЕРН К1'!B41)*СПРАВОЧНИК!$H$9+('ФАКТ ЧЕРН К1'!C41)*СПРАВОЧНИК!$I$9+('ФАКТ ЧЕРН К1'!D41)*СПРАВОЧНИК!$J$9+('ФАКТ ЧЕРН К1'!E41)*СПРАВОЧНИК!$H$10+('ФАКТ ЧЕРН К1'!F41)*СПРАВОЧНИК!$I$10+('ФАКТ ЧЕРН К1'!G41)*СПРАВОЧНИК!$J$10+('ФАКТ ЧЕРН К1'!H41)*СПРАВОЧНИК!$H$11+('ФАКТ ЧЕРН К1'!I41)*СПРАВОЧНИК!$I$11+('ФАКТ ЧЕРН К1'!J41)*СПРАВОЧНИК!$J$11+('ФАКТ ЧЕРН К1'!K41)*СПРАВОЧНИК!$H$12+('ФАКТ ЧЕРН К1'!L41)*СПРАВОЧНИК!$I$12+('ФАКТ ЧЕРН К1'!M41)*СПРАВОЧНИК!$J$12+('ФАКТ ЧЕРН К1'!N41)*СПРАВОЧНИК!$H$13+('ФАКТ ЧЕРН К1'!O41)*СПРАВОЧНИК!$I$13+('ФАКТ ЧЕРН К1'!P41)*СПРАВОЧНИК!$J$13+('ФАКТ ЧЕРН К1'!Q41)*СПРАВОЧНИК!$H$14+('ФАКТ ЧЕРН К1'!R41)*СПРАВОЧНИК!$I$14+('ФАКТ ЧЕРН К1'!S41)*СПРАВОЧНИК!$J$14+('ФАКТ ЧЕРН К1'!T41)*СПРАВОЧНИК!$H$15+('ФАКТ ЧЕРН К1'!U41)*СПРАВОЧНИК!$I$15+('ФАКТ ЧЕРН К1'!V41)*СПРАВОЧНИК!$J$15</f>
        <v/>
      </c>
      <c r="AC50" s="34" t="n"/>
      <c r="AF50" s="152">
        <f>AF49+7</f>
        <v/>
      </c>
      <c r="AG50" s="17">
        <f>'ПЛАН ЧИСТ К1'!B41*СПРАВОЧНИК!$L$9+'ПЛАН ЧИСТ К1'!C41*СПРАВОЧНИК!$M$9+'ПЛАН ЧИСТ К1'!D41*СПРАВОЧНИК!$N$9+'ПЛАН ЧИСТ К1'!E41*СПРАВОЧНИК!$O$9+'ПЛАН ЧИСТ К1'!F41*СПРАВОЧНИК!$P$9+'ПЛАН ЧИСТ К1'!G41*СПРАВОЧНИК!$L$10+'ПЛАН ЧИСТ К1'!H41*СПРАВОЧНИК!$M$10+'ПЛАН ЧИСТ К1'!I41*СПРАВОЧНИК!$N$10+'ПЛАН ЧИСТ К1'!J41*СПРАВОЧНИК!$O$10+'ПЛАН ЧИСТ К1'!K41*СПРАВОЧНИК!$P$10+'ПЛАН ЧИСТ К1'!L41*СПРАВОЧНИК!$L$11+'ПЛАН ЧИСТ К1'!M41*СПРАВОЧНИК!$M$11+'ПЛАН ЧИСТ К1'!N41*СПРАВОЧНИК!$N$11+'ПЛАН ЧИСТ К1'!O41*СПРАВОЧНИК!$O$11+'ПЛАН ЧИСТ К1'!P41*СПРАВОЧНИК!$P$11+'ПЛАН ЧИСТ К1'!Q41*СПРАВОЧНИК!$L$12+'ПЛАН ЧИСТ К1'!R41*СПРАВОЧНИК!$M$12+'ПЛАН ЧИСТ К1'!S41*СПРАВОЧНИК!$N$12+'ПЛАН ЧИСТ К1'!T41*СПРАВОЧНИК!$O$12+'ПЛАН ЧИСТ К1'!U41*СПРАВОЧНИК!$P$12+'ПЛАН ЧИСТ К1'!V41*СПРАВОЧНИК!$L$13+'ПЛАН ЧИСТ К1'!W41*СПРАВОЧНИК!$M$13+'ПЛАН ЧИСТ К1'!X41*СПРАВОЧНИК!$N$13+'ПЛАН ЧИСТ К1'!Y41*СПРАВОЧНИК!$O$13+'ПЛАН ЧИСТ К1'!Z41*СПРАВОЧНИК!$P$13+'ПЛАН ЧИСТ К1'!AA41*СПРАВОЧНИК!$L$14+'ПЛАН ЧИСТ К1'!AB41*СПРАВОЧНИК!$M$14+'ПЛАН ЧИСТ К1'!AC41*СПРАВОЧНИК!$N$14+'ПЛАН ЧИСТ К1'!AD41*СПРАВОЧНИК!$O$14+'ПЛАН ЧИСТ К1'!AE41*СПРАВОЧНИК!$P$14+'ПЛАН ЧИСТ К1'!AF41*СПРАВОЧНИК!$L$15+'ПЛАН ЧИСТ К1'!AG41*СПРАВОЧНИК!$M$15+'ПЛАН ЧИСТ К1'!AH41*СПРАВОЧНИК!$N$15+'ПЛАН ЧИСТ К1'!AI41*СПРАВОЧНИК!$O$15+'ПЛАН ЧИСТ К1'!AJ41*СПРАВОЧНИК!$P$15</f>
        <v/>
      </c>
      <c r="AH50" s="31">
        <f>('ФАКТ ЧИСТ К1'!B41)*СПРАВОЧНИК!$L$9+('ФАКТ ЧИСТ К1'!C41)*СПРАВОЧНИК!$M$9+('ФАКТ ЧИСТ К1'!D41)*СПРАВОЧНИК!$N$9+('ФАКТ ЧИСТ К1'!E41)*СПРАВОЧНИК!$O$9+('ФАКТ ЧИСТ К1'!F41)*СПРАВОЧНИК!$P$9+('ФАКТ ЧИСТ К1'!G41)*СПРАВОЧНИК!$L$10+('ФАКТ ЧИСТ К1'!H41)*СПРАВОЧНИК!$M$10+('ФАКТ ЧИСТ К1'!I41)*СПРАВОЧНИК!$N$10+('ФАКТ ЧИСТ К1'!J41)*СПРАВОЧНИК!$O$10+('ФАКТ ЧИСТ К1'!K41)*СПРАВОЧНИК!$P$10+('ФАКТ ЧИСТ К1'!L41)*СПРАВОЧНИК!$L$11+('ФАКТ ЧИСТ К1'!M41)*СПРАВОЧНИК!$M$11+('ФАКТ ЧИСТ К1'!N41)*СПРАВОЧНИК!$N$11+('ФАКТ ЧИСТ К1'!O41)*СПРАВОЧНИК!$O$11+('ФАКТ ЧИСТ К1'!P41)*СПРАВОЧНИК!$P$11+('ФАКТ ЧИСТ К1'!Q41)*СПРАВОЧНИК!$L$12+('ФАКТ ЧИСТ К1'!R41)*СПРАВОЧНИК!$M$12+('ФАКТ ЧИСТ К1'!S41)*СПРАВОЧНИК!$N$12+('ФАКТ ЧИСТ К1'!T41)*СПРАВОЧНИК!$O$12+('ФАКТ ЧИСТ К1'!U41)*СПРАВОЧНИК!$P$12+('ФАКТ ЧИСТ К1'!V41)*СПРАВОЧНИК!$L$13+('ФАКТ ЧИСТ К1'!W41)*СПРАВОЧНИК!$M$13+('ФАКТ ЧИСТ К1'!X41)*СПРАВОЧНИК!$N$13+('ФАКТ ЧИСТ К1'!Y41)*СПРАВОЧНИК!$O$13+('ФАКТ ЧИСТ К1'!Z41)*СПРАВОЧНИК!$P$13+('ФАКТ ЧИСТ К1'!AA41)*СПРАВОЧНИК!$L$14+('ФАКТ ЧИСТ К1'!AB41)*СПРАВОЧНИК!$M$14+('ФАКТ ЧИСТ К1'!AC41)*СПРАВОЧНИК!$N$14+('ФАКТ ЧИСТ К1'!AD41)*СПРАВОЧНИК!$O$14+('ФАКТ ЧИСТ К1'!AE41)*СПРАВОЧНИК!$P$14+('ФАКТ ЧИСТ К1'!AF41)*СПРАВОЧНИК!$L$15+('ФАКТ ЧИСТ К1'!AG41)*СПРАВОЧНИК!$M$15+('ФАКТ ЧИСТ К1'!AH41)*СПРАВОЧНИК!$N$15+('ФАКТ ЧИСТ К1'!AI41)*СПРАВОЧНИК!$O$15+('ФАКТ ЧИСТ К1'!AJ41)*СПРАВОЧНИК!$P$15</f>
        <v/>
      </c>
      <c r="AI50" s="34" t="n"/>
      <c r="AL50" s="152">
        <f>AL49+7</f>
        <v/>
      </c>
      <c r="AM50" s="17">
        <f>СПРАВОЧНИК!$E$9*('ПЛАН ЧЕРН К2'!B41*СПРАВОЧНИК!$H$9+'ПЛАН ЧЕРН К2'!C41*СПРАВОЧНИК!$I$9+'ПЛАН ЧЕРН К2'!D41*СПРАВОЧНИК!$J$9)+СПРАВОЧНИК!$F$9*('ПЛАН ЧИСТ К2'!B41*СПРАВОЧНИК!$L$9+'ПЛАН ЧИСТ К2'!C41*СПРАВОЧНИК!$M$9+'ПЛАН ЧИСТ К2'!D41*СПРАВОЧНИК!$N$9+'ПЛАН ЧИСТ К2'!E41*СПРАВОЧНИК!$O$9+'ПЛАН ЧИСТ К2'!F41*СПРАВОЧНИК!$P$9)+СПРАВОЧНИК!$E$10*('ПЛАН ЧЕРН К2'!E41*СПРАВОЧНИК!$H$10+'ПЛАН ЧЕРН К2'!F41*СПРАВОЧНИК!$I$10+'ПЛАН ЧЕРН К2'!G41*СПРАВОЧНИК!$J$10)+СПРАВОЧНИК!$F$10*('ПЛАН ЧИСТ К2'!G41*СПРАВОЧНИК!$L$10+'ПЛАН ЧИСТ К2'!H41*СПРАВОЧНИК!$M$10+'ПЛАН ЧИСТ К2'!I41*СПРАВОЧНИК!$N$10+'ПЛАН ЧИСТ К2'!J41*СПРАВОЧНИК!$O$10+'ПЛАН ЧИСТ К2'!K41*СПРАВОЧНИК!$P$10)+СПРАВОЧНИК!$E$11*('ПЛАН ЧЕРН К2'!H41*СПРАВОЧНИК!$H$11+'ПЛАН ЧЕРН К2'!I41*СПРАВОЧНИК!$I$11+'ПЛАН ЧЕРН К2'!J41*СПРАВОЧНИК!$J$11)+СПРАВОЧНИК!$F$11*('ПЛАН ЧИСТ К2'!L41*СПРАВОЧНИК!$L$11+'ПЛАН ЧИСТ К2'!M41*СПРАВОЧНИК!$M$11+'ПЛАН ЧИСТ К2'!N41*СПРАВОЧНИК!$N$11+'ПЛАН ЧИСТ К2'!O41*СПРАВОЧНИК!$O$11+'ПЛАН ЧИСТ К2'!P41*СПРАВОЧНИК!$P$11)+СПРАВОЧНИК!$E$12*('ПЛАН ЧЕРН К2'!K41*СПРАВОЧНИК!$H$12+'ПЛАН ЧЕРН К2'!L41*СПРАВОЧНИК!$I$12+'ПЛАН ЧЕРН К2'!M41*СПРАВОЧНИК!$J$12)+СПРАВОЧНИК!$F$12*('ПЛАН ЧИСТ К2'!Q41*СПРАВОЧНИК!$L$12+'ПЛАН ЧИСТ К2'!R41*СПРАВОЧНИК!$M$12+'ПЛАН ЧИСТ К2'!S41*СПРАВОЧНИК!$N$12+'ПЛАН ЧИСТ К2'!T41*СПРАВОЧНИК!$O$12+'ПЛАН ЧИСТ К2'!U41*СПРАВОЧНИК!$P$12)+СПРАВОЧНИК!$E$13*('ПЛАН ЧЕРН К2'!N41*СПРАВОЧНИК!$H$13+'ПЛАН ЧЕРН К2'!O41*СПРАВОЧНИК!$I$13+'ПЛАН ЧЕРН К2'!P41*СПРАВОЧНИК!$J$13)+СПРАВОЧНИК!$F$13*('ПЛАН ЧИСТ К2'!V41*СПРАВОЧНИК!$L$13+'ПЛАН ЧИСТ К2'!W41*СПРАВОЧНИК!$M$13+'ПЛАН ЧИСТ К2'!X41*СПРАВОЧНИК!$N$13+'ПЛАН ЧИСТ К2'!Y41*СПРАВОЧНИК!$O$13+'ПЛАН ЧИСТ К2'!Z41*СПРАВОЧНИК!$P$13)+СПРАВОЧНИК!$E$14*('ПЛАН ЧЕРН К2'!Q41*СПРАВОЧНИК!$H$14+'ПЛАН ЧЕРН К2'!R41*СПРАВОЧНИК!$I$14+'ПЛАН ЧЕРН К2'!S41*СПРАВОЧНИК!$J$14)+СПРАВОЧНИК!$F$14*('ПЛАН ЧИСТ К2'!AA41*СПРАВОЧНИК!$L$14+'ПЛАН ЧИСТ К2'!AB41*СПРАВОЧНИК!$M$14+'ПЛАН ЧИСТ К2'!AC41*СПРАВОЧНИК!$N$14+'ПЛАН ЧИСТ К2'!AD41*СПРАВОЧНИК!$O$14+'ПЛАН ЧИСТ К2'!AE41*СПРАВОЧНИК!$P$14)+СПРАВОЧНИК!$E$15*('ПЛАН ЧЕРН К2'!T41*СПРАВОЧНИК!$H$15+'ПЛАН ЧЕРН К2'!U41*СПРАВОЧНИК!$I$15+'ПЛАН ЧЕРН К2'!V41*СПРАВОЧНИК!$J$15)+СПРАВОЧНИК!$F$15*('ПЛАН ЧИСТ К2'!AF41*СПРАВОЧНИК!$L$15+'ПЛАН ЧИСТ К2'!AG41*СПРАВОЧНИК!$M$15+'ПЛАН ЧИСТ К2'!AH41*СПРАВОЧНИК!$N$15+'ПЛАН ЧИСТ К2'!AI41*СПРАВОЧНИК!$O$15+'ПЛАН ЧИСТ К2'!AJ41*СПРАВОЧНИК!$P$15)</f>
        <v/>
      </c>
      <c r="AN50" s="31">
        <f>СПРАВОЧНИК!$E$9*('ФАКТ ЧЕРН К2'!B41*СПРАВОЧНИК!$H$9+'ФАКТ ЧЕРН К2'!C41*СПРАВОЧНИК!$I$9+'ФАКТ ЧЕРН К2'!D41*СПРАВОЧНИК!$J$9)+СПРАВОЧНИК!$F$9*('ФАКТ ЧИСТ К2'!B41*СПРАВОЧНИК!$L$9+'ФАКТ ЧИСТ К2'!C41*СПРАВОЧНИК!$M$9+'ФАКТ ЧИСТ К2'!D41*СПРАВОЧНИК!$N$9+'ФАКТ ЧИСТ К2'!E41*СПРАВОЧНИК!$O$9+'ФАКТ ЧИСТ К2'!F41*СПРАВОЧНИК!$P$9)+СПРАВОЧНИК!$E$10*('ФАКТ ЧЕРН К2'!E41*СПРАВОЧНИК!$H$10+'ФАКТ ЧЕРН К2'!F41*СПРАВОЧНИК!$I$10+'ФАКТ ЧЕРН К2'!G41*СПРАВОЧНИК!$J$10)+СПРАВОЧНИК!$F$10*('ФАКТ ЧИСТ К2'!G41*СПРАВОЧНИК!$L$10+'ФАКТ ЧИСТ К2'!H41*СПРАВОЧНИК!$M$10+'ФАКТ ЧИСТ К2'!I41*СПРАВОЧНИК!$N$10+'ФАКТ ЧИСТ К2'!J41*СПРАВОЧНИК!$O$10+'ФАКТ ЧИСТ К2'!K41*СПРАВОЧНИК!$P$10)+СПРАВОЧНИК!$E$11*('ФАКТ ЧЕРН К2'!H41*СПРАВОЧНИК!$H$11+'ФАКТ ЧЕРН К2'!I41*СПРАВОЧНИК!$I$11+'ФАКТ ЧЕРН К2'!J41*СПРАВОЧНИК!$J$11)+СПРАВОЧНИК!$F$11*('ФАКТ ЧИСТ К2'!L41*СПРАВОЧНИК!$L$11+'ФАКТ ЧИСТ К2'!M41*СПРАВОЧНИК!$M$11+'ФАКТ ЧИСТ К2'!N41*СПРАВОЧНИК!$N$11+'ФАКТ ЧИСТ К2'!O41*СПРАВОЧНИК!$O$11+'ФАКТ ЧИСТ К2'!P41*СПРАВОЧНИК!$P$11)+СПРАВОЧНИК!$E$12*('ФАКТ ЧЕРН К2'!K41*СПРАВОЧНИК!$H$12+'ФАКТ ЧЕРН К2'!L41*СПРАВОЧНИК!$I$12+'ФАКТ ЧЕРН К2'!M41*СПРАВОЧНИК!$J$12)+СПРАВОЧНИК!$F$12*('ФАКТ ЧИСТ К2'!Q41*СПРАВОЧНИК!$L$12+'ФАКТ ЧИСТ К2'!R41*СПРАВОЧНИК!$M$12+'ФАКТ ЧИСТ К2'!S41*СПРАВОЧНИК!$N$12+'ФАКТ ЧИСТ К2'!T41*СПРАВОЧНИК!$O$12+'ФАКТ ЧИСТ К2'!U41*СПРАВОЧНИК!$P$12)+СПРАВОЧНИК!$E$13*('ФАКТ ЧЕРН К2'!N41*СПРАВОЧНИК!$H$13+'ФАКТ ЧЕРН К2'!O41*СПРАВОЧНИК!$I$13+'ФАКТ ЧЕРН К2'!P41*СПРАВОЧНИК!$J$13)+СПРАВОЧНИК!$F$13*('ФАКТ ЧИСТ К2'!V41*СПРАВОЧНИК!$L$13+'ФАКТ ЧИСТ К2'!W41*СПРАВОЧНИК!$M$13+'ФАКТ ЧИСТ К2'!X41*СПРАВОЧНИК!$N$13+'ФАКТ ЧИСТ К2'!Y41*СПРАВОЧНИК!$O$13+'ФАКТ ЧИСТ К2'!Z41*СПРАВОЧНИК!$P$13)+СПРАВОЧНИК!$E$14*('ФАКТ ЧЕРН К2'!Q41*СПРАВОЧНИК!$H$14+'ФАКТ ЧЕРН К2'!R41*СПРАВОЧНИК!$I$14+'ФАКТ ЧЕРН К2'!S41*СПРАВОЧНИК!$J$14)+СПРАВОЧНИК!$F$14*('ФАКТ ЧИСТ К2'!AA41*СПРАВОЧНИК!$L$14+'ФАКТ ЧИСТ К2'!AB41*СПРАВОЧНИК!$M$14+'ФАКТ ЧИСТ К2'!AC41*СПРАВОЧНИК!$N$14+'ФАКТ ЧИСТ К2'!AD41*СПРАВОЧНИК!$O$14+'ФАКТ ЧИСТ К2'!AE41*СПРАВОЧНИК!$P$14)+СПРАВОЧНИК!$E$15*('ФАКТ ЧЕРН К2'!T41*СПРАВОЧНИК!$H$15+'ФАКТ ЧЕРН К2'!U41*СПРАВОЧНИК!$I$15+'ФАКТ ЧЕРН К2'!V41*СПРАВОЧНИК!$J$15)+СПРАВОЧНИК!$F$15*('ФАКТ ЧИСТ К2'!AF41*СПРАВОЧНИК!$L$15+'ФАКТ ЧИСТ К2'!AG41*СПРАВОЧНИК!$M$15+'ФАКТ ЧИСТ К2'!AH41*СПРАВОЧНИК!$N$15+'ФАКТ ЧИСТ К2'!AI41*СПРАВОЧНИК!$O$15+'ФАКТ ЧИСТ К2'!AJ41*СПРАВОЧНИК!$P$15)</f>
        <v/>
      </c>
      <c r="AO50" s="34" t="n"/>
      <c r="AR50" s="152">
        <f>AR49+7</f>
        <v/>
      </c>
      <c r="AS50" s="17">
        <f>'ПЛАН ЧЕРН К2'!B41*СПРАВОЧНИК!$H$9+'ПЛАН ЧЕРН К2'!C41*СПРАВОЧНИК!$I$9+'ПЛАН ЧЕРН К2'!D41*СПРАВОЧНИК!$J$9+'ПЛАН ЧЕРН К2'!E41*СПРАВОЧНИК!$H$10+'ПЛАН ЧЕРН К2'!F41*СПРАВОЧНИК!$I$10+'ПЛАН ЧЕРН К2'!G41*СПРАВОЧНИК!$J$10+'ПЛАН ЧЕРН К2'!H41*СПРАВОЧНИК!$H$11+'ПЛАН ЧЕРН К2'!I41*СПРАВОЧНИК!$I$11+'ПЛАН ЧЕРН К2'!J41*СПРАВОЧНИК!$J$11+'ПЛАН ЧЕРН К2'!K41*СПРАВОЧНИК!$H$12+'ПЛАН ЧЕРН К2'!L41*СПРАВОЧНИК!$I$12+'ПЛАН ЧЕРН К2'!M41*СПРАВОЧНИК!$J$12+'ПЛАН ЧЕРН К2'!N41*СПРАВОЧНИК!$H$13+'ПЛАН ЧЕРН К2'!O41*СПРАВОЧНИК!$I$13+'ПЛАН ЧЕРН К2'!P41*СПРАВОЧНИК!$J$13+'ПЛАН ЧЕРН К2'!Q41*СПРАВОЧНИК!$H$14+'ПЛАН ЧЕРН К2'!R41*СПРАВОЧНИК!$I$14+'ПЛАН ЧЕРН К2'!S41*СПРАВОЧНИК!$J$14+'ПЛАН ЧЕРН К2'!T41*СПРАВОЧНИК!$H$15+'ПЛАН ЧЕРН К2'!U41*СПРАВОЧНИК!$I$15+'ПЛАН ЧЕРН К2'!V41*СПРАВОЧНИК!$J$15</f>
        <v/>
      </c>
      <c r="AT50" s="31">
        <f>('ФАКТ ЧЕРН К2'!B41)*СПРАВОЧНИК!$H$9+('ФАКТ ЧЕРН К2'!C41)*СПРАВОЧНИК!$I$9+('ФАКТ ЧЕРН К2'!D41)*СПРАВОЧНИК!$J$9+('ФАКТ ЧЕРН К2'!E41)*СПРАВОЧНИК!$H$10+('ФАКТ ЧЕРН К2'!F41)*СПРАВОЧНИК!$I$10+('ФАКТ ЧЕРН К2'!G41)*СПРАВОЧНИК!$J$10+('ФАКТ ЧЕРН К2'!H41)*СПРАВОЧНИК!$H$11+('ФАКТ ЧЕРН К2'!I41)*СПРАВОЧНИК!$I$11+('ФАКТ ЧЕРН К2'!J41)*СПРАВОЧНИК!$J$11+('ФАКТ ЧЕРН К2'!K41)*СПРАВОЧНИК!$H$12+('ФАКТ ЧЕРН К2'!L41)*СПРАВОЧНИК!$I$12+('ФАКТ ЧЕРН К2'!M41)*СПРАВОЧНИК!$J$12+('ФАКТ ЧЕРН К2'!N41)*СПРАВОЧНИК!$H$13+('ФАКТ ЧЕРН К2'!O41)*СПРАВОЧНИК!$I$13+('ФАКТ ЧЕРН К2'!P41)*СПРАВОЧНИК!$J$13+('ФАКТ ЧЕРН К2'!Q41)*СПРАВОЧНИК!$H$14+('ФАКТ ЧЕРН К2'!R41)*СПРАВОЧНИК!$I$14+('ФАКТ ЧЕРН К2'!S41)*СПРАВОЧНИК!$J$14+('ФАКТ ЧЕРН К2'!T41)*СПРАВОЧНИК!$H$15+('ФАКТ ЧЕРН К2'!U41)*СПРАВОЧНИК!$I$15+('ФАКТ ЧЕРН К2'!V41)*СПРАВОЧНИК!$J$15</f>
        <v/>
      </c>
      <c r="AU50" s="34" t="n"/>
      <c r="AX50" s="152">
        <f>AX49+7</f>
        <v/>
      </c>
      <c r="AY50" s="17">
        <f>'ПЛАН ЧИСТ К2'!B41*СПРАВОЧНИК!$L$9+'ПЛАН ЧИСТ К2'!C41*СПРАВОЧНИК!$M$9+'ПЛАН ЧИСТ К2'!D41*СПРАВОЧНИК!$N$9+'ПЛАН ЧИСТ К2'!E41*СПРАВОЧНИК!$O$9+'ПЛАН ЧИСТ К2'!F41*СПРАВОЧНИК!$P$9+'ПЛАН ЧИСТ К2'!G41*СПРАВОЧНИК!$L$10+'ПЛАН ЧИСТ К2'!H41*СПРАВОЧНИК!$M$10+'ПЛАН ЧИСТ К2'!I41*СПРАВОЧНИК!$N$10+'ПЛАН ЧИСТ К2'!J41*СПРАВОЧНИК!$O$10+'ПЛАН ЧИСТ К2'!K41*СПРАВОЧНИК!$P$10+'ПЛАН ЧИСТ К2'!L41*СПРАВОЧНИК!$L$11+'ПЛАН ЧИСТ К2'!M41*СПРАВОЧНИК!$M$11+'ПЛАН ЧИСТ К2'!N41*СПРАВОЧНИК!$N$11+'ПЛАН ЧИСТ К2'!O41*СПРАВОЧНИК!$O$11+'ПЛАН ЧИСТ К2'!P41*СПРАВОЧНИК!$P$11+'ПЛАН ЧИСТ К2'!Q41*СПРАВОЧНИК!$L$12+'ПЛАН ЧИСТ К2'!R41*СПРАВОЧНИК!$M$12+'ПЛАН ЧИСТ К2'!S41*СПРАВОЧНИК!$N$12+'ПЛАН ЧИСТ К2'!T41*СПРАВОЧНИК!$O$12+'ПЛАН ЧИСТ К2'!U41*СПРАВОЧНИК!$P$12+'ПЛАН ЧИСТ К2'!V41*СПРАВОЧНИК!$L$13+'ПЛАН ЧИСТ К2'!W41*СПРАВОЧНИК!$M$13+'ПЛАН ЧИСТ К2'!X41*СПРАВОЧНИК!$N$13+'ПЛАН ЧИСТ К2'!Y41*СПРАВОЧНИК!$O$13+'ПЛАН ЧИСТ К2'!Z41*СПРАВОЧНИК!$P$13+'ПЛАН ЧИСТ К2'!AA41*СПРАВОЧНИК!$L$14+'ПЛАН ЧИСТ К2'!AB41*СПРАВОЧНИК!$M$14+'ПЛАН ЧИСТ К2'!AC41*СПРАВОЧНИК!$N$14+'ПЛАН ЧИСТ К2'!AD41*СПРАВОЧНИК!$O$14+'ПЛАН ЧИСТ К2'!AE41*СПРАВОЧНИК!$P$14+'ПЛАН ЧИСТ К2'!AF41*СПРАВОЧНИК!$L$15+'ПЛАН ЧИСТ К2'!AG41*СПРАВОЧНИК!$M$15+'ПЛАН ЧИСТ К2'!AH41*СПРАВОЧНИК!$N$15+'ПЛАН ЧИСТ К2'!AI41*СПРАВОЧНИК!$O$15+'ПЛАН ЧИСТ К2'!AJ41*СПРАВОЧНИК!$P$15</f>
        <v/>
      </c>
      <c r="AZ50" s="31">
        <f>('ФАКТ ЧИСТ К2'!B41)*СПРАВОЧНИК!$L$9+('ФАКТ ЧИСТ К2'!C41)*СПРАВОЧНИК!$M$9+('ФАКТ ЧИСТ К2'!D41)*СПРАВОЧНИК!$N$9+('ФАКТ ЧИСТ К2'!E41)*СПРАВОЧНИК!$O$9+('ФАКТ ЧИСТ К2'!F41)*СПРАВОЧНИК!$P$9+('ФАКТ ЧИСТ К2'!G41)*СПРАВОЧНИК!$L$10+('ФАКТ ЧИСТ К2'!H41)*СПРАВОЧНИК!$M$10+('ФАКТ ЧИСТ К2'!I41)*СПРАВОЧНИК!$N$10+('ФАКТ ЧИСТ К2'!J41)*СПРАВОЧНИК!$O$10+('ФАКТ ЧИСТ К2'!K41)*СПРАВОЧНИК!$P$10+('ФАКТ ЧИСТ К2'!L41)*СПРАВОЧНИК!$L$11+('ФАКТ ЧИСТ К2'!M41)*СПРАВОЧНИК!$M$11+('ФАКТ ЧИСТ К2'!N41)*СПРАВОЧНИК!$N$11+('ФАКТ ЧИСТ К2'!O41)*СПРАВОЧНИК!$O$11+('ФАКТ ЧИСТ К2'!P41)*СПРАВОЧНИК!$P$11+('ФАКТ ЧИСТ К2'!Q41)*СПРАВОЧНИК!$L$12+('ФАКТ ЧИСТ К2'!R41)*СПРАВОЧНИК!$M$12+('ФАКТ ЧИСТ К2'!S41)*СПРАВОЧНИК!$N$12+('ФАКТ ЧИСТ К2'!T41)*СПРАВОЧНИК!$O$12+('ФАКТ ЧИСТ К2'!U41)*СПРАВОЧНИК!$P$12+('ФАКТ ЧИСТ К2'!V41)*СПРАВОЧНИК!$L$13+('ФАКТ ЧИСТ К2'!W41)*СПРАВОЧНИК!$M$13+('ФАКТ ЧИСТ К2'!X41)*СПРАВОЧНИК!$N$13+('ФАКТ ЧИСТ К2'!Y41)*СПРАВОЧНИК!$O$13+('ФАКТ ЧИСТ К2'!Z41)*СПРАВОЧНИК!$P$13+('ФАКТ ЧИСТ К2'!AA41)*СПРАВОЧНИК!$L$14+('ФАКТ ЧИСТ К2'!AB41)*СПРАВОЧНИК!$M$14+('ФАКТ ЧИСТ К2'!AC41)*СПРАВОЧНИК!$N$14+('ФАКТ ЧИСТ К2'!AD41)*СПРАВОЧНИК!$O$14+('ФАКТ ЧИСТ К2'!AE41)*СПРАВОЧНИК!$P$14+('ФАКТ ЧИСТ К2'!AF41)*СПРАВОЧНИК!$L$15+('ФАКТ ЧИСТ К2'!AG41)*СПРАВОЧНИК!$M$15+('ФАКТ ЧИСТ К2'!AH41)*СПРАВОЧНИК!$N$15+('ФАКТ ЧИСТ К2'!AI41)*СПРАВОЧНИК!$O$15+('ФАКТ ЧИСТ К2'!AJ41)*СПРАВОЧНИК!$P$15</f>
        <v/>
      </c>
      <c r="BA50" s="34" t="n"/>
      <c r="BD50" s="152">
        <f>BD49+7</f>
        <v/>
      </c>
      <c r="BE50" s="17">
        <f>СПРАВОЧНИК!$E$9*('ПЛАН ЧЕРН К3'!B41*СПРАВОЧНИК!$H$9+'ПЛАН ЧЕРН К3'!C41*СПРАВОЧНИК!$I$9+'ПЛАН ЧЕРН К3'!D41*СПРАВОЧНИК!$J$9)+СПРАВОЧНИК!$F$9*('ПЛАН ЧИСТ К3'!B41*СПРАВОЧНИК!$L$9+'ПЛАН ЧИСТ К3'!C41*СПРАВОЧНИК!$M$9+'ПЛАН ЧИСТ К3'!D41*СПРАВОЧНИК!$N$9+'ПЛАН ЧИСТ К3'!E41*СПРАВОЧНИК!$O$9+'ПЛАН ЧИСТ К3'!F41*СПРАВОЧНИК!$P$9)+СПРАВОЧНИК!$E$10*('ПЛАН ЧЕРН К3'!E41*СПРАВОЧНИК!$H$10+'ПЛАН ЧЕРН К3'!F41*СПРАВОЧНИК!$I$10+'ПЛАН ЧЕРН К3'!G41*СПРАВОЧНИК!$J$10)+СПРАВОЧНИК!$F$10*('ПЛАН ЧИСТ К3'!G41*СПРАВОЧНИК!$L$10+'ПЛАН ЧИСТ К3'!H41*СПРАВОЧНИК!$M$10+'ПЛАН ЧИСТ К3'!I41*СПРАВОЧНИК!$N$10+'ПЛАН ЧИСТ К3'!J41*СПРАВОЧНИК!$O$10+'ПЛАН ЧИСТ К3'!K41*СПРАВОЧНИК!$P$10)+СПРАВОЧНИК!$E$11*('ПЛАН ЧЕРН К3'!H41*СПРАВОЧНИК!$H$11+'ПЛАН ЧЕРН К3'!I41*СПРАВОЧНИК!$I$11+'ПЛАН ЧЕРН К3'!J41*СПРАВОЧНИК!$J$11)+СПРАВОЧНИК!$F$11*('ПЛАН ЧИСТ К3'!L41*СПРАВОЧНИК!$L$11+'ПЛАН ЧИСТ К3'!M41*СПРАВОЧНИК!$M$11+'ПЛАН ЧИСТ К3'!N41*СПРАВОЧНИК!$N$11+'ПЛАН ЧИСТ К3'!O41*СПРАВОЧНИК!$O$11+'ПЛАН ЧИСТ К3'!P41*СПРАВОЧНИК!$P$11)+СПРАВОЧНИК!$E$12*('ПЛАН ЧЕРН К3'!K41*СПРАВОЧНИК!$H$12+'ПЛАН ЧЕРН К3'!L41*СПРАВОЧНИК!$I$12+'ПЛАН ЧЕРН К3'!M41*СПРАВОЧНИК!$J$12)+СПРАВОЧНИК!$F$12*('ПЛАН ЧИСТ К3'!Q41*СПРАВОЧНИК!$L$12+'ПЛАН ЧИСТ К3'!R41*СПРАВОЧНИК!$M$12+'ПЛАН ЧИСТ К3'!S41*СПРАВОЧНИК!$N$12+'ПЛАН ЧИСТ К3'!T41*СПРАВОЧНИК!$O$12+'ПЛАН ЧИСТ К3'!U41*СПРАВОЧНИК!$P$12)+СПРАВОЧНИК!$E$13*('ПЛАН ЧЕРН К3'!N41*СПРАВОЧНИК!$H$13+'ПЛАН ЧЕРН К3'!O41*СПРАВОЧНИК!$I$13+'ПЛАН ЧЕРН К3'!P41*СПРАВОЧНИК!$J$13)+СПРАВОЧНИК!$F$13*('ПЛАН ЧИСТ К3'!V41*СПРАВОЧНИК!$L$13+'ПЛАН ЧИСТ К3'!W41*СПРАВОЧНИК!$M$13+'ПЛАН ЧИСТ К3'!X41*СПРАВОЧНИК!$N$13+'ПЛАН ЧИСТ К3'!Y41*СПРАВОЧНИК!$O$13+'ПЛАН ЧИСТ К3'!Z41*СПРАВОЧНИК!$P$13)+СПРАВОЧНИК!$E$14*('ПЛАН ЧЕРН К3'!Q41*СПРАВОЧНИК!$H$14+'ПЛАН ЧЕРН К3'!R41*СПРАВОЧНИК!$I$14+'ПЛАН ЧЕРН К3'!S41*СПРАВОЧНИК!$J$14)+СПРАВОЧНИК!$F$14*('ПЛАН ЧИСТ К3'!AA41*СПРАВОЧНИК!$L$14+'ПЛАН ЧИСТ К3'!AB41*СПРАВОЧНИК!$M$14+'ПЛАН ЧИСТ К3'!AC41*СПРАВОЧНИК!$N$14+'ПЛАН ЧИСТ К3'!AD41*СПРАВОЧНИК!$O$14+'ПЛАН ЧИСТ К3'!AE41*СПРАВОЧНИК!$P$14)+СПРАВОЧНИК!$E$15*('ПЛАН ЧЕРН К3'!T41*СПРАВОЧНИК!$H$15+'ПЛАН ЧЕРН К3'!U41*СПРАВОЧНИК!$I$15+'ПЛАН ЧЕРН К3'!V41*СПРАВОЧНИК!$J$15)+СПРАВОЧНИК!$F$15*('ПЛАН ЧИСТ К3'!AF41*СПРАВОЧНИК!$L$15+'ПЛАН ЧИСТ К3'!AG41*СПРАВОЧНИК!$M$15+'ПЛАН ЧИСТ К3'!AH41*СПРАВОЧНИК!$N$15+'ПЛАН ЧИСТ К3'!AI41*СПРАВОЧНИК!$O$15+'ПЛАН ЧИСТ К3'!AJ41*СПРАВОЧНИК!$P$15)</f>
        <v/>
      </c>
      <c r="BF50" s="31">
        <f>СПРАВОЧНИК!$E$9*('ФАКТ ЧЕРН К3'!B41*СПРАВОЧНИК!$H$9+'ФАКТ ЧЕРН К3'!C41*СПРАВОЧНИК!$I$9+'ФАКТ ЧЕРН К3'!D41*СПРАВОЧНИК!$J$9)+СПРАВОЧНИК!$F$9*('ФАКТ ЧИСТ К3'!B41*СПРАВОЧНИК!$L$9+'ФАКТ ЧИСТ К3'!C41*СПРАВОЧНИК!$M$9+'ФАКТ ЧИСТ К3'!D41*СПРАВОЧНИК!$N$9+'ФАКТ ЧИСТ К3'!E41*СПРАВОЧНИК!$O$9+'ФАКТ ЧИСТ К3'!F41*СПРАВОЧНИК!$P$9)+СПРАВОЧНИК!$E$10*('ФАКТ ЧЕРН К3'!E41*СПРАВОЧНИК!$H$10+'ФАКТ ЧЕРН К3'!F41*СПРАВОЧНИК!$I$10+'ФАКТ ЧЕРН К3'!G41*СПРАВОЧНИК!$J$10)+СПРАВОЧНИК!$F$10*('ФАКТ ЧИСТ К3'!G41*СПРАВОЧНИК!$L$10+'ФАКТ ЧИСТ К3'!H41*СПРАВОЧНИК!$M$10+'ФАКТ ЧИСТ К3'!I41*СПРАВОЧНИК!$N$10+'ФАКТ ЧИСТ К3'!J41*СПРАВОЧНИК!$O$10+'ФАКТ ЧИСТ К3'!K41*СПРАВОЧНИК!$P$10)+СПРАВОЧНИК!$E$11*('ФАКТ ЧЕРН К3'!H41*СПРАВОЧНИК!$H$11+'ФАКТ ЧЕРН К3'!I41*СПРАВОЧНИК!$I$11+'ФАКТ ЧЕРН К3'!J41*СПРАВОЧНИК!$J$11)+СПРАВОЧНИК!$F$11*('ФАКТ ЧИСТ К3'!L41*СПРАВОЧНИК!$L$11+'ФАКТ ЧИСТ К3'!M41*СПРАВОЧНИК!$M$11+'ФАКТ ЧИСТ К3'!N41*СПРАВОЧНИК!$N$11+'ФАКТ ЧИСТ К3'!O41*СПРАВОЧНИК!$O$11+'ФАКТ ЧИСТ К3'!P41*СПРАВОЧНИК!$P$11)+СПРАВОЧНИК!$E$12*('ФАКТ ЧЕРН К3'!K41*СПРАВОЧНИК!$H$12+'ФАКТ ЧЕРН К3'!L41*СПРАВОЧНИК!$I$12+'ФАКТ ЧЕРН К3'!M41*СПРАВОЧНИК!$J$12)+СПРАВОЧНИК!$F$12*('ФАКТ ЧИСТ К3'!Q41*СПРАВОЧНИК!$L$12+'ФАКТ ЧИСТ К3'!R41*СПРАВОЧНИК!$M$12+'ФАКТ ЧИСТ К3'!S41*СПРАВОЧНИК!$N$12+'ФАКТ ЧИСТ К3'!T41*СПРАВОЧНИК!$O$12+'ФАКТ ЧИСТ К3'!U41*СПРАВОЧНИК!$P$12)+СПРАВОЧНИК!$E$13*('ФАКТ ЧЕРН К3'!N41*СПРАВОЧНИК!$H$13+'ФАКТ ЧЕРН К3'!O41*СПРАВОЧНИК!$I$13+'ФАКТ ЧЕРН К3'!P41*СПРАВОЧНИК!$J$13)+СПРАВОЧНИК!$F$13*('ФАКТ ЧИСТ К3'!V41*СПРАВОЧНИК!$L$13+'ФАКТ ЧИСТ К3'!W41*СПРАВОЧНИК!$M$13+'ФАКТ ЧИСТ К3'!X41*СПРАВОЧНИК!$N$13+'ФАКТ ЧИСТ К3'!Y41*СПРАВОЧНИК!$O$13+'ФАКТ ЧИСТ К3'!Z41*СПРАВОЧНИК!$P$13)+СПРАВОЧНИК!$E$14*('ФАКТ ЧЕРН К3'!Q41*СПРАВОЧНИК!$H$14+'ФАКТ ЧЕРН К3'!R41*СПРАВОЧНИК!$I$14+'ФАКТ ЧЕРН К3'!S41*СПРАВОЧНИК!$J$14)+СПРАВОЧНИК!$F$14*('ФАКТ ЧИСТ К3'!AA41*СПРАВОЧНИК!$L$14+'ФАКТ ЧИСТ К3'!AB41*СПРАВОЧНИК!$M$14+'ФАКТ ЧИСТ К3'!AC41*СПРАВОЧНИК!$N$14+'ФАКТ ЧИСТ К3'!AD41*СПРАВОЧНИК!$O$14+'ФАКТ ЧИСТ К3'!AE41*СПРАВОЧНИК!$P$14)+СПРАВОЧНИК!$E$15*('ФАКТ ЧЕРН К3'!T41*СПРАВОЧНИК!$H$15+'ФАКТ ЧЕРН К3'!U41*СПРАВОЧНИК!$I$15+'ФАКТ ЧЕРН К3'!V41*СПРАВОЧНИК!$J$15)+СПРАВОЧНИК!$F$15*('ФАКТ ЧИСТ К3'!AF41*СПРАВОЧНИК!$L$15+'ФАКТ ЧИСТ К3'!AG41*СПРАВОЧНИК!$M$15+'ФАКТ ЧИСТ К3'!AH41*СПРАВОЧНИК!$N$15+'ФАКТ ЧИСТ К3'!AI41*СПРАВОЧНИК!$O$15+'ФАКТ ЧИСТ К3'!AJ41*СПРАВОЧНИК!$P$15)</f>
        <v/>
      </c>
      <c r="BG50" s="34" t="n"/>
      <c r="BJ50" s="152">
        <f>BJ49+7</f>
        <v/>
      </c>
      <c r="BK50" s="17">
        <f>'ПЛАН ЧЕРН К3'!B41*СПРАВОЧНИК!$H$9+'ПЛАН ЧЕРН К3'!C41*СПРАВОЧНИК!$I$9+'ПЛАН ЧЕРН К3'!D41*СПРАВОЧНИК!$J$9+'ПЛАН ЧЕРН К3'!E41*СПРАВОЧНИК!$H$10+'ПЛАН ЧЕРН К3'!F41*СПРАВОЧНИК!$I$10+'ПЛАН ЧЕРН К3'!G41*СПРАВОЧНИК!$J$10+'ПЛАН ЧЕРН К3'!H41*СПРАВОЧНИК!$H$11+'ПЛАН ЧЕРН К3'!I41*СПРАВОЧНИК!$I$11+'ПЛАН ЧЕРН К3'!J41*СПРАВОЧНИК!$J$11+'ПЛАН ЧЕРН К3'!K41*СПРАВОЧНИК!$H$12+'ПЛАН ЧЕРН К3'!L41*СПРАВОЧНИК!$I$12+'ПЛАН ЧЕРН К3'!M41*СПРАВОЧНИК!$J$12+'ПЛАН ЧЕРН К3'!N41*СПРАВОЧНИК!$H$13+'ПЛАН ЧЕРН К3'!O41*СПРАВОЧНИК!$I$13+'ПЛАН ЧЕРН К3'!P41*СПРАВОЧНИК!$J$13+'ПЛАН ЧЕРН К3'!Q41*СПРАВОЧНИК!$H$14+'ПЛАН ЧЕРН К3'!R41*СПРАВОЧНИК!$I$14+'ПЛАН ЧЕРН К3'!S41*СПРАВОЧНИК!$J$14+'ПЛАН ЧЕРН К3'!T41*СПРАВОЧНИК!$H$15+'ПЛАН ЧЕРН К3'!U41*СПРАВОЧНИК!$I$15+'ПЛАН ЧЕРН К3'!V41*СПРАВОЧНИК!$J$15</f>
        <v/>
      </c>
      <c r="BL50" s="31">
        <f>('ФАКТ ЧЕРН К3'!B41)*СПРАВОЧНИК!$H$9+('ФАКТ ЧЕРН К3'!C41)*СПРАВОЧНИК!$I$9+('ФАКТ ЧЕРН К3'!D41)*СПРАВОЧНИК!$J$9+('ФАКТ ЧЕРН К3'!E41)*СПРАВОЧНИК!$H$10+('ФАКТ ЧЕРН К3'!F41)*СПРАВОЧНИК!$I$10+('ФАКТ ЧЕРН К3'!G41)*СПРАВОЧНИК!$J$10+('ФАКТ ЧЕРН К3'!H41)*СПРАВОЧНИК!$H$11+('ФАКТ ЧЕРН К3'!I41)*СПРАВОЧНИК!$I$11+('ФАКТ ЧЕРН К3'!J41)*СПРАВОЧНИК!$J$11+('ФАКТ ЧЕРН К3'!K41)*СПРАВОЧНИК!$H$12+('ФАКТ ЧЕРН К3'!L41)*СПРАВОЧНИК!$I$12+('ФАКТ ЧЕРН К3'!M41)*СПРАВОЧНИК!$J$12+('ФАКТ ЧЕРН К3'!N41)*СПРАВОЧНИК!$H$13+('ФАКТ ЧЕРН К3'!O41)*СПРАВОЧНИК!$I$13+('ФАКТ ЧЕРН К3'!P41)*СПРАВОЧНИК!$J$13+('ФАКТ ЧЕРН К3'!Q41)*СПРАВОЧНИК!$H$14+('ФАКТ ЧЕРН К3'!R41)*СПРАВОЧНИК!$I$14+('ФАКТ ЧЕРН К3'!S41)*СПРАВОЧНИК!$J$14+('ФАКТ ЧЕРН К3'!T41)*СПРАВОЧНИК!$H$15+('ФАКТ ЧЕРН К3'!U41)*СПРАВОЧНИК!$I$15+('ФАКТ ЧЕРН К3'!V41)*СПРАВОЧНИК!$J$15</f>
        <v/>
      </c>
      <c r="BM50" s="34" t="n"/>
      <c r="BP50" s="152">
        <f>BP49+7</f>
        <v/>
      </c>
      <c r="BQ50" s="17">
        <f>'ПЛАН ЧИСТ К3'!B41*СПРАВОЧНИК!$L$9+'ПЛАН ЧИСТ К3'!C41*СПРАВОЧНИК!$M$9+'ПЛАН ЧИСТ К3'!D41*СПРАВОЧНИК!$N$9+'ПЛАН ЧИСТ К3'!E41*СПРАВОЧНИК!$O$9+'ПЛАН ЧИСТ К3'!F41*СПРАВОЧНИК!$P$9+'ПЛАН ЧИСТ К3'!G41*СПРАВОЧНИК!$L$10+'ПЛАН ЧИСТ К3'!H41*СПРАВОЧНИК!$M$10+'ПЛАН ЧИСТ К3'!I41*СПРАВОЧНИК!$N$10+'ПЛАН ЧИСТ К3'!J41*СПРАВОЧНИК!$O$10+'ПЛАН ЧИСТ К3'!K41*СПРАВОЧНИК!$P$10+'ПЛАН ЧИСТ К3'!L41*СПРАВОЧНИК!$L$11+'ПЛАН ЧИСТ К3'!M41*СПРАВОЧНИК!$M$11+'ПЛАН ЧИСТ К3'!N41*СПРАВОЧНИК!$N$11+'ПЛАН ЧИСТ К3'!O41*СПРАВОЧНИК!$O$11+'ПЛАН ЧИСТ К3'!P41*СПРАВОЧНИК!$P$11+'ПЛАН ЧИСТ К3'!Q41*СПРАВОЧНИК!$L$12+'ПЛАН ЧИСТ К3'!R41*СПРАВОЧНИК!$M$12+'ПЛАН ЧИСТ К3'!S41*СПРАВОЧНИК!$N$12+'ПЛАН ЧИСТ К3'!T41*СПРАВОЧНИК!$O$12+'ПЛАН ЧИСТ К3'!U41*СПРАВОЧНИК!$P$12+'ПЛАН ЧИСТ К3'!V41*СПРАВОЧНИК!$L$13+'ПЛАН ЧИСТ К3'!W41*СПРАВОЧНИК!$M$13+'ПЛАН ЧИСТ К3'!X41*СПРАВОЧНИК!$N$13+'ПЛАН ЧИСТ К3'!Y41*СПРАВОЧНИК!$O$13+'ПЛАН ЧИСТ К3'!Z41*СПРАВОЧНИК!$P$13+'ПЛАН ЧИСТ К3'!AA41*СПРАВОЧНИК!$L$14+'ПЛАН ЧИСТ К3'!AB41*СПРАВОЧНИК!$M$14+'ПЛАН ЧИСТ К3'!AC41*СПРАВОЧНИК!$N$14+'ПЛАН ЧИСТ К3'!AD41*СПРАВОЧНИК!$O$14+'ПЛАН ЧИСТ К3'!AE41*СПРАВОЧНИК!$P$14+'ПЛАН ЧИСТ К3'!AF41*СПРАВОЧНИК!$L$15+'ПЛАН ЧИСТ К3'!AG41*СПРАВОЧНИК!$M$15+'ПЛАН ЧИСТ К3'!AH41*СПРАВОЧНИК!$N$15+'ПЛАН ЧИСТ К3'!AI41*СПРАВОЧНИК!$O$15+'ПЛАН ЧИСТ К3'!AJ41*СПРАВОЧНИК!$P$15</f>
        <v/>
      </c>
      <c r="BR50" s="31">
        <f>('ФАКТ ЧИСТ К3'!B41)*СПРАВОЧНИК!$L$9+('ФАКТ ЧИСТ К3'!C41)*СПРАВОЧНИК!$M$9+('ФАКТ ЧИСТ К3'!D41)*СПРАВОЧНИК!$N$9+('ФАКТ ЧИСТ К3'!E41)*СПРАВОЧНИК!$O$9+('ФАКТ ЧИСТ К3'!F41)*СПРАВОЧНИК!$P$9+('ФАКТ ЧИСТ К3'!G41)*СПРАВОЧНИК!$L$10+('ФАКТ ЧИСТ К3'!H41)*СПРАВОЧНИК!$M$10+('ФАКТ ЧИСТ К3'!I41)*СПРАВОЧНИК!$N$10+('ФАКТ ЧИСТ К3'!J41)*СПРАВОЧНИК!$O$10+('ФАКТ ЧИСТ К3'!K41)*СПРАВОЧНИК!$P$10+('ФАКТ ЧИСТ К3'!L41)*СПРАВОЧНИК!$L$11+('ФАКТ ЧИСТ К3'!M41)*СПРАВОЧНИК!$M$11+('ФАКТ ЧИСТ К3'!N41)*СПРАВОЧНИК!$N$11+('ФАКТ ЧИСТ К3'!O41)*СПРАВОЧНИК!$O$11+('ФАКТ ЧИСТ К3'!P41)*СПРАВОЧНИК!$P$11+('ФАКТ ЧИСТ К3'!Q41)*СПРАВОЧНИК!$L$12+('ФАКТ ЧИСТ К3'!R41)*СПРАВОЧНИК!$M$12+('ФАКТ ЧИСТ К3'!S41)*СПРАВОЧНИК!$N$12+('ФАКТ ЧИСТ К3'!T41)*СПРАВОЧНИК!$O$12+('ФАКТ ЧИСТ К3'!U41)*СПРАВОЧНИК!$P$12+('ФАКТ ЧИСТ К3'!V41)*СПРАВОЧНИК!$L$13+('ФАКТ ЧИСТ К3'!W41)*СПРАВОЧНИК!$M$13+('ФАКТ ЧИСТ К3'!X41)*СПРАВОЧНИК!$N$13+('ФАКТ ЧИСТ К3'!Y41)*СПРАВОЧНИК!$O$13+('ФАКТ ЧИСТ К3'!Z41)*СПРАВОЧНИК!$P$13+('ФАКТ ЧИСТ К3'!AA41)*СПРАВОЧНИК!$L$14+('ФАКТ ЧИСТ К3'!AB41)*СПРАВОЧНИК!$M$14+('ФАКТ ЧИСТ К3'!AC41)*СПРАВОЧНИК!$N$14+('ФАКТ ЧИСТ К3'!AD41)*СПРАВОЧНИК!$O$14+('ФАКТ ЧИСТ К3'!AE41)*СПРАВОЧНИК!$P$14+('ФАКТ ЧИСТ К3'!AF41)*СПРАВОЧНИК!$L$15+('ФАКТ ЧИСТ К3'!AG41)*СПРАВОЧНИК!$M$15+('ФАКТ ЧИСТ К3'!AH41)*СПРАВОЧНИК!$N$15+('ФАКТ ЧИСТ К3'!AI41)*СПРАВОЧНИК!$O$15+('ФАКТ ЧИСТ К3'!AJ41)*СПРАВОЧНИК!$P$15</f>
        <v/>
      </c>
      <c r="BS50" s="34" t="n"/>
      <c r="BV50" s="152">
        <f>BV49+7</f>
        <v/>
      </c>
      <c r="BW50" s="17">
        <f>U50*СПРАВОЧНИК!$K$28+AM50*СПРАВОЧНИК!$K$29+BE50*СПРАВОЧНИК!$K$30</f>
        <v/>
      </c>
      <c r="BX50" s="31">
        <f>V50*СПРАВОЧНИК!$K$28+AN50*СПРАВОЧНИК!$K$29+BF50*СПРАВОЧНИК!$K$30</f>
        <v/>
      </c>
      <c r="BY50" s="34" t="n"/>
      <c r="CB50" s="152">
        <f>CB49+7</f>
        <v/>
      </c>
      <c r="CC50" s="17">
        <f>AA50*СПРАВОЧНИК!$K$28+AS50*СПРАВОЧНИК!$K$29+BK50*СПРАВОЧНИК!$K$30</f>
        <v/>
      </c>
      <c r="CD50" s="31">
        <f>AB50*СПРАВОЧНИК!$K$28+AT50*СПРАВОЧНИК!$K$29+BL50*СПРАВОЧНИК!$K$30</f>
        <v/>
      </c>
      <c r="CE50" s="34" t="n"/>
      <c r="CH50" s="152">
        <f>CH49+7</f>
        <v/>
      </c>
      <c r="CI50" s="17">
        <f>AG50*СПРАВОЧНИК!$K$28+AY50*СПРАВОЧНИК!$K$29+BQ50*СПРАВОЧНИК!$K$30</f>
        <v/>
      </c>
      <c r="CJ50" s="31">
        <f>AH50*СПРАВОЧНИК!$K$28+AZ50*СПРАВОЧНИК!$K$29+BR50*СПРАВОЧНИК!$K$30</f>
        <v/>
      </c>
      <c r="CK50" s="34" t="n"/>
      <c r="CN50" s="152">
        <f>CN49+7</f>
        <v/>
      </c>
      <c r="CO50" s="17">
        <f>C50*СПРАВОЧНИК!$W$18+BW50*СПРАВОЧНИК!$W$19</f>
        <v/>
      </c>
      <c r="CP50" s="31">
        <f>D50*СПРАВОЧНИК!$W$18+BX50*СПРАВОЧНИК!$W$19</f>
        <v/>
      </c>
      <c r="CQ50" s="34" t="n"/>
      <c r="CT50" s="152">
        <f>CT49+7</f>
        <v/>
      </c>
      <c r="CU50" s="17">
        <f>I50*СПРАВОЧНИК!$W$18+CC50*СПРАВОЧНИК!$W$19</f>
        <v/>
      </c>
      <c r="CV50" s="31">
        <f>J50*СПРАВОЧНИК!$W$18+CD50*СПРАВОЧНИК!$W$19</f>
        <v/>
      </c>
      <c r="CW50" s="34" t="n"/>
      <c r="CZ50" s="152">
        <f>CZ49+7</f>
        <v/>
      </c>
      <c r="DA50" s="17">
        <f>O50*СПРАВОЧНИК!$W$18+CI50*СПРАВОЧНИК!$W$19</f>
        <v/>
      </c>
      <c r="DB50" s="31">
        <f>P50*СПРАВОЧНИК!$W$18+CJ50*СПРАВОЧНИК!$W$19</f>
        <v/>
      </c>
      <c r="DC50" s="34" t="n"/>
    </row>
    <row r="51">
      <c r="B51" s="152">
        <f>B50+7</f>
        <v/>
      </c>
      <c r="C51" s="17">
        <f>СПРАВОЧНИК!$E$3*('ПЛАН ЧЕРН ПОДЗЕМ'!B42*СПРАВОЧНИК!$H$3+'ПЛАН ЧЕРН ПОДЗЕМ'!C42*СПРАВОЧНИК!$I$3+'ПЛАН ЧЕРН ПОДЗЕМ'!D42*СПРАВОЧНИК!$J$3)+СПРАВОЧНИК!$F$3*('ПЛАН ЧИСТ ПОДЗЕМ'!B42*СПРАВОЧНИК!$L$3+'ПЛАН ЧИСТ ПОДЗЕМ'!C42*СПРАВОЧНИК!$M$3+'ПЛАН ЧИСТ ПОДЗЕМ'!D42*СПРАВОЧНИК!$N$3+'ПЛАН ЧИСТ ПОДЗЕМ'!E42*СПРАВОЧНИК!$O$3+'ПЛАН ЧИСТ ПОДЗЕМ'!F42*СПРАВОЧНИК!$P$3)+СПРАВОЧНИК!$E$4*('ПЛАН ЧЕРН ПОДЗЕМ'!E42*СПРАВОЧНИК!$H$4+'ПЛАН ЧЕРН ПОДЗЕМ'!F42*СПРАВОЧНИК!$I$4+'ПЛАН ЧЕРН ПОДЗЕМ'!G42*СПРАВОЧНИК!$J$4)+СПРАВОЧНИК!$F$4*('ПЛАН ЧИСТ ПОДЗЕМ'!G42*СПРАВОЧНИК!$L$4+'ПЛАН ЧИСТ ПОДЗЕМ'!H42*СПРАВОЧНИК!$M$4+'ПЛАН ЧИСТ ПОДЗЕМ'!I42*СПРАВОЧНИК!$N$4+'ПЛАН ЧИСТ ПОДЗЕМ'!J42*СПРАВОЧНИК!$O$4+'ПЛАН ЧИСТ ПОДЗЕМ'!K42*СПРАВОЧНИК!$P$4)+СПРАВОЧНИК!$E$5*('ПЛАН ЧЕРН ПОДЗЕМ'!H42*СПРАВОЧНИК!$H$5+'ПЛАН ЧЕРН ПОДЗЕМ'!I42*СПРАВОЧНИК!$I$5+'ПЛАН ЧЕРН ПОДЗЕМ'!J42*СПРАВОЧНИК!$J$5)+СПРАВОЧНИК!$F$5*('ПЛАН ЧИСТ ПОДЗЕМ'!L42*СПРАВОЧНИК!$L$5+'ПЛАН ЧИСТ ПОДЗЕМ'!M42*СПРАВОЧНИК!$M$5+'ПЛАН ЧИСТ ПОДЗЕМ'!N42*СПРАВОЧНИК!$N$5+'ПЛАН ЧИСТ ПОДЗЕМ'!O42*СПРАВОЧНИК!$O$5+'ПЛАН ЧИСТ ПОДЗЕМ'!P42*СПРАВОЧНИК!$P$5)+СПРАВОЧНИК!$E$6*('ПЛАН ЧЕРН ПОДЗЕМ'!K42*СПРАВОЧНИК!$H$6+'ПЛАН ЧЕРН ПОДЗЕМ'!L42*СПРАВОЧНИК!$I$6+'ПЛАН ЧЕРН ПОДЗЕМ'!M42*СПРАВОЧНИК!$J$6)+СПРАВОЧНИК!$F$6*('ПЛАН ЧИСТ ПОДЗЕМ'!Q42*СПРАВОЧНИК!$L$6+'ПЛАН ЧИСТ ПОДЗЕМ'!R42*СПРАВОЧНИК!$M$6+'ПЛАН ЧИСТ ПОДЗЕМ'!S42*СПРАВОЧНИК!$N$6+'ПЛАН ЧИСТ ПОДЗЕМ'!T42*СПРАВОЧНИК!$O$6+'ПЛАН ЧИСТ ПОДЗЕМ'!U42*СПРАВОЧНИК!$P$6)+СПРАВОЧНИК!$E$7*('ПЛАН ЧЕРН ПОДЗЕМ'!N42*СПРАВОЧНИК!$H$7+'ПЛАН ЧЕРН ПОДЗЕМ'!O42*СПРАВОЧНИК!$I$7+'ПЛАН ЧЕРН ПОДЗЕМ'!P42*СПРАВОЧНИК!$J$7)+СПРАВОЧНИК!$F$7*('ПЛАН ЧИСТ ПОДЗЕМ'!V42*СПРАВОЧНИК!$L$7+'ПЛАН ЧИСТ ПОДЗЕМ'!W42*СПРАВОЧНИК!$M$7+'ПЛАН ЧИСТ ПОДЗЕМ'!X42*СПРАВОЧНИК!$N$7+'ПЛАН ЧИСТ ПОДЗЕМ'!Y42*СПРАВОЧНИК!$O$7+'ПЛАН ЧИСТ ПОДЗЕМ'!Z42*СПРАВОЧНИК!$P$7)+СПРАВОЧНИК!$E$8*('ПЛАН ЧЕРН ПОДЗЕМ'!Q42*СПРАВОЧНИК!$H$8+'ПЛАН ЧЕРН ПОДЗЕМ'!R42*СПРАВОЧНИК!$I$8+'ПЛАН ЧЕРН ПОДЗЕМ'!S42*СПРАВОЧНИК!$J$8)+СПРАВОЧНИК!$F$8*('ПЛАН ЧИСТ ПОДЗЕМ'!AA42*СПРАВОЧНИК!$L$8+'ПЛАН ЧИСТ ПОДЗЕМ'!AB42*СПРАВОЧНИК!$M$8+'ПЛАН ЧИСТ ПОДЗЕМ'!AC42*СПРАВОЧНИК!$N$8+'ПЛАН ЧИСТ ПОДЗЕМ'!AD42*СПРАВОЧНИК!$O$8+'ПЛАН ЧИСТ ПОДЗЕМ'!AE42*СПРАВОЧНИК!$P$8)</f>
        <v/>
      </c>
      <c r="D51" s="31">
        <f>СПРАВОЧНИК!$E$3*('ФАКТ ЧЕРН ПОДЗЕМ'!B42*СПРАВОЧНИК!$H$3+'ФАКТ ЧЕРН ПОДЗЕМ'!C42*СПРАВОЧНИК!$I$3+'ФАКТ ЧЕРН ПОДЗЕМ'!D42*СПРАВОЧНИК!$J$3)+СПРАВОЧНИК!$F$3*('ФАКТ ЧИСТ ПОДЗЕМ'!B42*СПРАВОЧНИК!$L$3+'ФАКТ ЧИСТ ПОДЗЕМ'!C42*СПРАВОЧНИК!$M$3+'ФАКТ ЧИСТ ПОДЗЕМ'!D42*СПРАВОЧНИК!$N$3+'ФАКТ ЧИСТ ПОДЗЕМ'!E42*СПРАВОЧНИК!$O$3+'ФАКТ ЧИСТ ПОДЗЕМ'!F42*СПРАВОЧНИК!$P$3)+СПРАВОЧНИК!$E$4*('ФАКТ ЧЕРН ПОДЗЕМ'!E42*СПРАВОЧНИК!$H$4+'ФАКТ ЧЕРН ПОДЗЕМ'!F42*СПРАВОЧНИК!$I$4+'ФАКТ ЧЕРН ПОДЗЕМ'!G42*СПРАВОЧНИК!$J$4)+СПРАВОЧНИК!$F$4*('ФАКТ ЧИСТ ПОДЗЕМ'!G42*СПРАВОЧНИК!$L$4+'ФАКТ ЧИСТ ПОДЗЕМ'!H42*СПРАВОЧНИК!$M$4+'ФАКТ ЧИСТ ПОДЗЕМ'!I42*СПРАВОЧНИК!$N$4+'ФАКТ ЧИСТ ПОДЗЕМ'!J42*СПРАВОЧНИК!$O$4+'ФАКТ ЧИСТ ПОДЗЕМ'!K42*СПРАВОЧНИК!$P$4)+СПРАВОЧНИК!$E$5*('ФАКТ ЧЕРН ПОДЗЕМ'!H42*СПРАВОЧНИК!$H$5+'ФАКТ ЧЕРН ПОДЗЕМ'!I42*СПРАВОЧНИК!$I$5+'ФАКТ ЧЕРН ПОДЗЕМ'!J42*СПРАВОЧНИК!$J$5)+СПРАВОЧНИК!$F$5*('ФАКТ ЧИСТ ПОДЗЕМ'!L42*СПРАВОЧНИК!$L$5+'ФАКТ ЧИСТ ПОДЗЕМ'!M42*СПРАВОЧНИК!$M$5+'ФАКТ ЧИСТ ПОДЗЕМ'!N42*СПРАВОЧНИК!$N$5+'ФАКТ ЧИСТ ПОДЗЕМ'!O42*СПРАВОЧНИК!$O$5+'ФАКТ ЧИСТ ПОДЗЕМ'!P42*СПРАВОЧНИК!$P$5)+СПРАВОЧНИК!$E$6*('ФАКТ ЧЕРН ПОДЗЕМ'!K42*СПРАВОЧНИК!$H$6+'ФАКТ ЧЕРН ПОДЗЕМ'!L42*СПРАВОЧНИК!$I$6+'ФАКТ ЧЕРН ПОДЗЕМ'!M42*СПРАВОЧНИК!$J$6)+СПРАВОЧНИК!$F$6*('ФАКТ ЧИСТ ПОДЗЕМ'!Q42*СПРАВОЧНИК!$L$6+'ФАКТ ЧИСТ ПОДЗЕМ'!R42*СПРАВОЧНИК!$M$6+'ФАКТ ЧИСТ ПОДЗЕМ'!S42*СПРАВОЧНИК!$N$6+'ФАКТ ЧИСТ ПОДЗЕМ'!T42*СПРАВОЧНИК!$O$6+'ФАКТ ЧИСТ ПОДЗЕМ'!U42*СПРАВОЧНИК!$P$6)+СПРАВОЧНИК!$E$7*('ФАКТ ЧЕРН ПОДЗЕМ'!N42*СПРАВОЧНИК!$H$7+'ФАКТ ЧЕРН ПОДЗЕМ'!O42*СПРАВОЧНИК!$I$7+'ФАКТ ЧЕРН ПОДЗЕМ'!P42*СПРАВОЧНИК!$J$7)+СПРАВОЧНИК!$F$7*('ФАКТ ЧИСТ ПОДЗЕМ'!V42*СПРАВОЧНИК!$L$7+'ФАКТ ЧИСТ ПОДЗЕМ'!W42*СПРАВОЧНИК!$M$7+'ФАКТ ЧИСТ ПОДЗЕМ'!X42*СПРАВОЧНИК!$N$7+'ФАКТ ЧИСТ ПОДЗЕМ'!Y42*СПРАВОЧНИК!$O$7+'ФАКТ ЧИСТ ПОДЗЕМ'!Z42*СПРАВОЧНИК!$P$7)+СПРАВОЧНИК!$E$8*('ФАКТ ЧЕРН ПОДЗЕМ'!Q42*СПРАВОЧНИК!$H$8+'ФАКТ ЧЕРН ПОДЗЕМ'!R42*СПРАВОЧНИК!$I$8+'ФАКТ ЧЕРН ПОДЗЕМ'!S42*СПРАВОЧНИК!$J$8)+СПРАВОЧНИК!$F$8*('ФАКТ ЧИСТ ПОДЗЕМ'!AA42*СПРАВОЧНИК!$L$8+'ФАКТ ЧИСТ ПОДЗЕМ'!AB42*СПРАВОЧНИК!$M$8+'ФАКТ ЧИСТ ПОДЗЕМ'!AC42*СПРАВОЧНИК!$N$8+'ФАКТ ЧИСТ ПОДЗЕМ'!AD42*СПРАВОЧНИК!$O$8+'ФАКТ ЧИСТ ПОДЗЕМ'!AE42*СПРАВОЧНИК!$P$8)</f>
        <v/>
      </c>
      <c r="E51" s="34" t="n"/>
      <c r="H51" s="152">
        <f>H50+7</f>
        <v/>
      </c>
      <c r="I51" s="17">
        <f>'ПЛАН ЧЕРН ПОДЗЕМ'!B42*СПРАВОЧНИК!$H$3+'ПЛАН ЧЕРН ПОДЗЕМ'!C42*СПРАВОЧНИК!$I$3+'ПЛАН ЧЕРН ПОДЗЕМ'!D42*СПРАВОЧНИК!$J$3+'ПЛАН ЧЕРН ПОДЗЕМ'!E42*СПРАВОЧНИК!$H$4+'ПЛАН ЧЕРН ПОДЗЕМ'!F42*СПРАВОЧНИК!$I$4+'ПЛАН ЧЕРН ПОДЗЕМ'!G42*СПРАВОЧНИК!$J$4+'ПЛАН ЧЕРН ПОДЗЕМ'!H42*СПРАВОЧНИК!$H$5+'ПЛАН ЧЕРН ПОДЗЕМ'!I42*СПРАВОЧНИК!$I$5+'ПЛАН ЧЕРН ПОДЗЕМ'!J42*СПРАВОЧНИК!$J$5+'ПЛАН ЧЕРН ПОДЗЕМ'!K42*СПРАВОЧНИК!$H$6+'ПЛАН ЧЕРН ПОДЗЕМ'!L42*СПРАВОЧНИК!$I$6+'ПЛАН ЧЕРН ПОДЗЕМ'!M42*СПРАВОЧНИК!$J$6+'ПЛАН ЧЕРН ПОДЗЕМ'!N42*СПРАВОЧНИК!$H$7+'ПЛАН ЧЕРН ПОДЗЕМ'!O42*СПРАВОЧНИК!$I$7+'ПЛАН ЧЕРН ПОДЗЕМ'!P42*СПРАВОЧНИК!$J$7+'ПЛАН ЧЕРН ПОДЗЕМ'!Q42*СПРАВОЧНИК!$H$8+'ПЛАН ЧЕРН ПОДЗЕМ'!R42*СПРАВОЧНИК!$I$8+'ПЛАН ЧЕРН ПОДЗЕМ'!S42*СПРАВОЧНИК!$J$8</f>
        <v/>
      </c>
      <c r="J51" s="31">
        <f>('ФАКТ ЧЕРН ПОДЗЕМ'!B42)*СПРАВОЧНИК!$H$3+('ФАКТ ЧЕРН ПОДЗЕМ'!C42)*СПРАВОЧНИК!$I$3+('ФАКТ ЧЕРН ПОДЗЕМ'!D42)*СПРАВОЧНИК!$J$3+('ФАКТ ЧЕРН ПОДЗЕМ'!E42)*СПРАВОЧНИК!$H$4+('ФАКТ ЧЕРН ПОДЗЕМ'!F42)*СПРАВОЧНИК!$I$4+('ФАКТ ЧЕРН ПОДЗЕМ'!G42)*СПРАВОЧНИК!$J$4+('ФАКТ ЧЕРН ПОДЗЕМ'!H42)*СПРАВОЧНИК!$H$5+('ФАКТ ЧЕРН ПОДЗЕМ'!I42)*СПРАВОЧНИК!$I$5+('ФАКТ ЧЕРН ПОДЗЕМ'!J42)*СПРАВОЧНИК!$J$5+('ФАКТ ЧЕРН ПОДЗЕМ'!K42)*СПРАВОЧНИК!$H$6+('ФАКТ ЧЕРН ПОДЗЕМ'!L42)*СПРАВОЧНИК!$I$6+('ФАКТ ЧЕРН ПОДЗЕМ'!M42)*СПРАВОЧНИК!$J$6+('ФАКТ ЧЕРН ПОДЗЕМ'!N42)*СПРАВОЧНИК!$H$7+('ФАКТ ЧЕРН ПОДЗЕМ'!O42)*СПРАВОЧНИК!$I$7+('ФАКТ ЧЕРН ПОДЗЕМ'!P42)*СПРАВОЧНИК!$J$7+('ФАКТ ЧЕРН ПОДЗЕМ'!Q42)*СПРАВОЧНИК!$H$8+('ФАКТ ЧЕРН ПОДЗЕМ'!R42)*СПРАВОЧНИК!$I$8+('ФАКТ ЧЕРН ПОДЗЕМ'!S42)*СПРАВОЧНИК!$J$8</f>
        <v/>
      </c>
      <c r="K51" s="34" t="n"/>
      <c r="N51" s="152">
        <f>N50+7</f>
        <v/>
      </c>
      <c r="O51" s="17">
        <f>'ПЛАН ЧИСТ ПОДЗЕМ'!B42*СПРАВОЧНИК!$L$3+'ПЛАН ЧИСТ ПОДЗЕМ'!C42*СПРАВОЧНИК!$M$3+'ПЛАН ЧИСТ ПОДЗЕМ'!D42*СПРАВОЧНИК!$N$3+'ПЛАН ЧИСТ ПОДЗЕМ'!E42*СПРАВОЧНИК!$O$3+'ПЛАН ЧИСТ ПОДЗЕМ'!F42*СПРАВОЧНИК!$P$3+'ПЛАН ЧИСТ ПОДЗЕМ'!G42*СПРАВОЧНИК!$L$4+'ПЛАН ЧИСТ ПОДЗЕМ'!H42*СПРАВОЧНИК!$M$4+'ПЛАН ЧИСТ ПОДЗЕМ'!I42*СПРАВОЧНИК!$N$4+'ПЛАН ЧИСТ ПОДЗЕМ'!J42*СПРАВОЧНИК!$O$4+'ПЛАН ЧИСТ ПОДЗЕМ'!K42*СПРАВОЧНИК!$P$4+'ПЛАН ЧИСТ ПОДЗЕМ'!L42*СПРАВОЧНИК!$L$5+'ПЛАН ЧИСТ ПОДЗЕМ'!M42*СПРАВОЧНИК!$M$5+'ПЛАН ЧИСТ ПОДЗЕМ'!N42*СПРАВОЧНИК!$N$5+'ПЛАН ЧИСТ ПОДЗЕМ'!O42*СПРАВОЧНИК!$O$5+'ПЛАН ЧИСТ ПОДЗЕМ'!P42*СПРАВОЧНИК!$P$5+'ПЛАН ЧИСТ ПОДЗЕМ'!Q42*СПРАВОЧНИК!$L$6+'ПЛАН ЧИСТ ПОДЗЕМ'!R42*СПРАВОЧНИК!$M$6+'ПЛАН ЧИСТ ПОДЗЕМ'!S42*СПРАВОЧНИК!$N$6+'ПЛАН ЧИСТ ПОДЗЕМ'!T42*СПРАВОЧНИК!$O$6+'ПЛАН ЧИСТ ПОДЗЕМ'!U42*СПРАВОЧНИК!$P$6+'ПЛАН ЧИСТ ПОДЗЕМ'!V42*СПРАВОЧНИК!$L$7+'ПЛАН ЧИСТ ПОДЗЕМ'!W42*СПРАВОЧНИК!$M$7+'ПЛАН ЧИСТ ПОДЗЕМ'!X42*СПРАВОЧНИК!$N$7+'ПЛАН ЧИСТ ПОДЗЕМ'!Y42*СПРАВОЧНИК!$O$7+'ПЛАН ЧИСТ ПОДЗЕМ'!Z42*СПРАВОЧНИК!$P$7+'ПЛАН ЧИСТ ПОДЗЕМ'!AA42*СПРАВОЧНИК!$L$8+'ПЛАН ЧИСТ ПОДЗЕМ'!AB42*СПРАВОЧНИК!$M$8+'ПЛАН ЧИСТ ПОДЗЕМ'!AC42*СПРАВОЧНИК!$N$8+'ПЛАН ЧИСТ ПОДЗЕМ'!AD42*СПРАВОЧНИК!$O$8+'ПЛАН ЧИСТ ПОДЗЕМ'!AE42*СПРАВОЧНИК!$P$8</f>
        <v/>
      </c>
      <c r="P51" s="31">
        <f>('ФАКТ ЧИСТ ПОДЗЕМ'!B42)*СПРАВОЧНИК!$L$3+('ФАКТ ЧИСТ ПОДЗЕМ'!C42)*СПРАВОЧНИК!$M$3+('ФАКТ ЧИСТ ПОДЗЕМ'!D42)*СПРАВОЧНИК!$N$3+('ФАКТ ЧИСТ ПОДЗЕМ'!E42)*СПРАВОЧНИК!$O$3+('ФАКТ ЧИСТ ПОДЗЕМ'!F42)*СПРАВОЧНИК!$P$3+('ФАКТ ЧИСТ ПОДЗЕМ'!G42)*СПРАВОЧНИК!$L$4+('ФАКТ ЧИСТ ПОДЗЕМ'!H42)*СПРАВОЧНИК!$M$4+('ФАКТ ЧИСТ ПОДЗЕМ'!I42)*СПРАВОЧНИК!$N$4+('ФАКТ ЧИСТ ПОДЗЕМ'!J42)*СПРАВОЧНИК!$O$4+('ФАКТ ЧИСТ ПОДЗЕМ'!K42)*СПРАВОЧНИК!$P$4+('ФАКТ ЧИСТ ПОДЗЕМ'!L42)*СПРАВОЧНИК!$L$5+('ФАКТ ЧИСТ ПОДЗЕМ'!M42)*СПРАВОЧНИК!$M$5+('ФАКТ ЧИСТ ПОДЗЕМ'!N42)*СПРАВОЧНИК!$N$5+('ФАКТ ЧИСТ ПОДЗЕМ'!O42)*СПРАВОЧНИК!$O$5+('ФАКТ ЧИСТ ПОДЗЕМ'!P42)*СПРАВОЧНИК!$P$5+('ФАКТ ЧИСТ ПОДЗЕМ'!Q42)*СПРАВОЧНИК!$L$6+('ФАКТ ЧИСТ ПОДЗЕМ'!R42)*СПРАВОЧНИК!$M$6+('ФАКТ ЧИСТ ПОДЗЕМ'!S42)*СПРАВОЧНИК!$N$6+('ФАКТ ЧИСТ ПОДЗЕМ'!T42)*СПРАВОЧНИК!$O$6+('ФАКТ ЧИСТ ПОДЗЕМ'!U42)*СПРАВОЧНИК!$P$6+('ФАКТ ЧИСТ ПОДЗЕМ'!V42)*СПРАВОЧНИК!$L$7+('ФАКТ ЧИСТ ПОДЗЕМ'!W42)*СПРАВОЧНИК!$M$7+('ФАКТ ЧИСТ ПОДЗЕМ'!X42)*СПРАВОЧНИК!$N$7+('ФАКТ ЧИСТ ПОДЗЕМ'!Y42)*СПРАВОЧНИК!$O$7+('ФАКТ ЧИСТ ПОДЗЕМ'!Z42)*СПРАВОЧНИК!$P$7+('ФАКТ ЧИСТ ПОДЗЕМ'!AA42)*СПРАВОЧНИК!$L$8+('ФАКТ ЧИСТ ПОДЗЕМ'!AB42)*СПРАВОЧНИК!$M$8+('ФАКТ ЧИСТ ПОДЗЕМ'!AC42)*СПРАВОЧНИК!$N$8+('ФАКТ ЧИСТ ПОДЗЕМ'!AD42)*СПРАВОЧНИК!$O$8+('ФАКТ ЧИСТ ПОДЗЕМ'!AE42)*СПРАВОЧНИК!$P$8</f>
        <v/>
      </c>
      <c r="Q51" s="34" t="n"/>
      <c r="T51" s="152">
        <f>T50+7</f>
        <v/>
      </c>
      <c r="U51" s="17">
        <f>СПРАВОЧНИК!$E$9*('ПЛАН ЧЕРН К1'!B42*СПРАВОЧНИК!$H$9+'ПЛАН ЧЕРН К1'!C42*СПРАВОЧНИК!$I$9+'ПЛАН ЧЕРН К1'!D42*СПРАВОЧНИК!$J$9)+СПРАВОЧНИК!$F$9*('ПЛАН ЧИСТ К1'!B42*СПРАВОЧНИК!$L$9+'ПЛАН ЧИСТ К1'!C42*СПРАВОЧНИК!$M$9+'ПЛАН ЧИСТ К1'!D42*СПРАВОЧНИК!$N$9+'ПЛАН ЧИСТ К1'!E42*СПРАВОЧНИК!$O$9+'ПЛАН ЧИСТ К1'!F42*СПРАВОЧНИК!$P$9)+СПРАВОЧНИК!$E$10*('ПЛАН ЧЕРН К1'!E42*СПРАВОЧНИК!$H$10+'ПЛАН ЧЕРН К1'!F42*СПРАВОЧНИК!$I$10+'ПЛАН ЧЕРН К1'!G42*СПРАВОЧНИК!$J$10)+СПРАВОЧНИК!$F$10*('ПЛАН ЧИСТ К1'!G42*СПРАВОЧНИК!$L$10+'ПЛАН ЧИСТ К1'!H42*СПРАВОЧНИК!$M$10+'ПЛАН ЧИСТ К1'!I42*СПРАВОЧНИК!$N$10+'ПЛАН ЧИСТ К1'!J42*СПРАВОЧНИК!$O$10+'ПЛАН ЧИСТ К1'!K42*СПРАВОЧНИК!$P$10)+СПРАВОЧНИК!$E$11*('ПЛАН ЧЕРН К1'!H42*СПРАВОЧНИК!$H$11+'ПЛАН ЧЕРН К1'!I42*СПРАВОЧНИК!$I$11+'ПЛАН ЧЕРН К1'!J42*СПРАВОЧНИК!$J$11)+СПРАВОЧНИК!$F$11*('ПЛАН ЧИСТ К1'!L42*СПРАВОЧНИК!$L$11+'ПЛАН ЧИСТ К1'!M42*СПРАВОЧНИК!$M$11+'ПЛАН ЧИСТ К1'!N42*СПРАВОЧНИК!$N$11+'ПЛАН ЧИСТ К1'!O42*СПРАВОЧНИК!$O$11+'ПЛАН ЧИСТ К1'!P42*СПРАВОЧНИК!$P$11)+СПРАВОЧНИК!$E$12*('ПЛАН ЧЕРН К1'!K42*СПРАВОЧНИК!$H$12+'ПЛАН ЧЕРН К1'!L42*СПРАВОЧНИК!$I$12+'ПЛАН ЧЕРН К1'!M42*СПРАВОЧНИК!$J$12)+СПРАВОЧНИК!$F$12*('ПЛАН ЧИСТ К1'!Q42*СПРАВОЧНИК!$L$12+'ПЛАН ЧИСТ К1'!R42*СПРАВОЧНИК!$M$12+'ПЛАН ЧИСТ К1'!S42*СПРАВОЧНИК!$N$12+'ПЛАН ЧИСТ К1'!T42*СПРАВОЧНИК!$O$12+'ПЛАН ЧИСТ К1'!U42*СПРАВОЧНИК!$P$12)+СПРАВОЧНИК!$E$13*('ПЛАН ЧЕРН К1'!N42*СПРАВОЧНИК!$H$13+'ПЛАН ЧЕРН К1'!O42*СПРАВОЧНИК!$I$13+'ПЛАН ЧЕРН К1'!P42*СПРАВОЧНИК!$J$13)+СПРАВОЧНИК!$F$13*('ПЛАН ЧИСТ К1'!V42*СПРАВОЧНИК!$L$13+'ПЛАН ЧИСТ К1'!W42*СПРАВОЧНИК!$M$13+'ПЛАН ЧИСТ К1'!X42*СПРАВОЧНИК!$N$13+'ПЛАН ЧИСТ К1'!Y42*СПРАВОЧНИК!$O$13+'ПЛАН ЧИСТ К1'!Z42*СПРАВОЧНИК!$P$13)+СПРАВОЧНИК!$E$14*('ПЛАН ЧЕРН К1'!Q42*СПРАВОЧНИК!$H$14+'ПЛАН ЧЕРН К1'!R42*СПРАВОЧНИК!$I$14+'ПЛАН ЧЕРН К1'!S42*СПРАВОЧНИК!$J$14)+СПРАВОЧНИК!$F$14*('ПЛАН ЧИСТ К1'!AA42*СПРАВОЧНИК!$L$14+'ПЛАН ЧИСТ К1'!AB42*СПРАВОЧНИК!$M$14+'ПЛАН ЧИСТ К1'!AC42*СПРАВОЧНИК!$N$14+'ПЛАН ЧИСТ К1'!AD42*СПРАВОЧНИК!$O$14+'ПЛАН ЧИСТ К1'!AE42*СПРАВОЧНИК!$P$14)+СПРАВОЧНИК!$E$15*('ПЛАН ЧЕРН К1'!T42*СПРАВОЧНИК!$H$15+'ПЛАН ЧЕРН К1'!U42*СПРАВОЧНИК!$I$15+'ПЛАН ЧЕРН К1'!V42*СПРАВОЧНИК!$J$15)+СПРАВОЧНИК!$F$15*('ПЛАН ЧИСТ К1'!AF42*СПРАВОЧНИК!$L$15+'ПЛАН ЧИСТ К1'!AG42*СПРАВОЧНИК!$M$15+'ПЛАН ЧИСТ К1'!AH42*СПРАВОЧНИК!$N$15+'ПЛАН ЧИСТ К1'!AI42*СПРАВОЧНИК!$O$15+'ПЛАН ЧИСТ К1'!AJ42*СПРАВОЧНИК!$P$15)</f>
        <v/>
      </c>
      <c r="V51" s="31">
        <f>СПРАВОЧНИК!$E$9*('ФАКТ ЧЕРН К1'!B42*СПРАВОЧНИК!$H$9+'ФАКТ ЧЕРН К1'!C42*СПРАВОЧНИК!$I$9+'ФАКТ ЧЕРН К1'!D42*СПРАВОЧНИК!$J$9)+СПРАВОЧНИК!$F$9*('ФАКТ ЧИСТ К1'!B42*СПРАВОЧНИК!$L$9+'ФАКТ ЧИСТ К1'!C42*СПРАВОЧНИК!$M$9+'ФАКТ ЧИСТ К1'!D42*СПРАВОЧНИК!$N$9+'ФАКТ ЧИСТ К1'!E42*СПРАВОЧНИК!$O$9+'ФАКТ ЧИСТ К1'!F42*СПРАВОЧНИК!$P$9)+СПРАВОЧНИК!$E$10*('ФАКТ ЧЕРН К1'!E42*СПРАВОЧНИК!$H$10+'ФАКТ ЧЕРН К1'!F42*СПРАВОЧНИК!$I$10+'ФАКТ ЧЕРН К1'!G42*СПРАВОЧНИК!$J$10)+СПРАВОЧНИК!$F$10*('ФАКТ ЧИСТ К1'!G42*СПРАВОЧНИК!$L$10+'ФАКТ ЧИСТ К1'!H42*СПРАВОЧНИК!$M$10+'ФАКТ ЧИСТ К1'!I42*СПРАВОЧНИК!$N$10+'ФАКТ ЧИСТ К1'!J42*СПРАВОЧНИК!$O$10+'ФАКТ ЧИСТ К1'!K42*СПРАВОЧНИК!$P$10)+СПРАВОЧНИК!$E$11*('ФАКТ ЧЕРН К1'!H42*СПРАВОЧНИК!$H$11+'ФАКТ ЧЕРН К1'!I42*СПРАВОЧНИК!$I$11+'ФАКТ ЧЕРН К1'!J42*СПРАВОЧНИК!$J$11)+СПРАВОЧНИК!$F$11*('ФАКТ ЧИСТ К1'!L42*СПРАВОЧНИК!$L$11+'ФАКТ ЧИСТ К1'!M42*СПРАВОЧНИК!$M$11+'ФАКТ ЧИСТ К1'!N42*СПРАВОЧНИК!$N$11+'ФАКТ ЧИСТ К1'!O42*СПРАВОЧНИК!$O$11+'ФАКТ ЧИСТ К1'!P42*СПРАВОЧНИК!$P$11)+СПРАВОЧНИК!$E$12*('ФАКТ ЧЕРН К1'!K42*СПРАВОЧНИК!$H$12+'ФАКТ ЧЕРН К1'!L42*СПРАВОЧНИК!$I$12+'ФАКТ ЧЕРН К1'!M42*СПРАВОЧНИК!$J$12)+СПРАВОЧНИК!$F$12*('ФАКТ ЧИСТ К1'!Q42*СПРАВОЧНИК!$L$12+'ФАКТ ЧИСТ К1'!R42*СПРАВОЧНИК!$M$12+'ФАКТ ЧИСТ К1'!S42*СПРАВОЧНИК!$N$12+'ФАКТ ЧИСТ К1'!T42*СПРАВОЧНИК!$O$12+'ФАКТ ЧИСТ К1'!U42*СПРАВОЧНИК!$P$12)+СПРАВОЧНИК!$E$13*('ФАКТ ЧЕРН К1'!N42*СПРАВОЧНИК!$H$13+'ФАКТ ЧЕРН К1'!O42*СПРАВОЧНИК!$I$13+'ФАКТ ЧЕРН К1'!P42*СПРАВОЧНИК!$J$13)+СПРАВОЧНИК!$F$13*('ФАКТ ЧИСТ К1'!V42*СПРАВОЧНИК!$L$13+'ФАКТ ЧИСТ К1'!W42*СПРАВОЧНИК!$M$13+'ФАКТ ЧИСТ К1'!X42*СПРАВОЧНИК!$N$13+'ФАКТ ЧИСТ К1'!Y42*СПРАВОЧНИК!$O$13+'ФАКТ ЧИСТ К1'!Z42*СПРАВОЧНИК!$P$13)+СПРАВОЧНИК!$E$14*('ФАКТ ЧЕРН К1'!Q42*СПРАВОЧНИК!$H$14+'ФАКТ ЧЕРН К1'!R42*СПРАВОЧНИК!$I$14+'ФАКТ ЧЕРН К1'!S42*СПРАВОЧНИК!$J$14)+СПРАВОЧНИК!$F$14*('ФАКТ ЧИСТ К1'!AA42*СПРАВОЧНИК!$L$14+'ФАКТ ЧИСТ К1'!AB42*СПРАВОЧНИК!$M$14+'ФАКТ ЧИСТ К1'!AC42*СПРАВОЧНИК!$N$14+'ФАКТ ЧИСТ К1'!AD42*СПРАВОЧНИК!$O$14+'ФАКТ ЧИСТ К1'!AE42*СПРАВОЧНИК!$P$14)+СПРАВОЧНИК!$E$15*('ФАКТ ЧЕРН К1'!T42*СПРАВОЧНИК!$H$15+'ФАКТ ЧЕРН К1'!U42*СПРАВОЧНИК!$I$15+'ФАКТ ЧЕРН К1'!V42*СПРАВОЧНИК!$J$15)+СПРАВОЧНИК!$F$15*('ФАКТ ЧИСТ К1'!AF42*СПРАВОЧНИК!$L$15+'ФАКТ ЧИСТ К1'!AG42*СПРАВОЧНИК!$M$15+'ФАКТ ЧИСТ К1'!AH42*СПРАВОЧНИК!$N$15+'ФАКТ ЧИСТ К1'!AI42*СПРАВОЧНИК!$O$15+'ФАКТ ЧИСТ К1'!AJ42*СПРАВОЧНИК!$P$15)</f>
        <v/>
      </c>
      <c r="W51" s="34" t="n"/>
      <c r="Z51" s="152">
        <f>Z50+7</f>
        <v/>
      </c>
      <c r="AA51" s="17">
        <f>'ПЛАН ЧЕРН К1'!B42*СПРАВОЧНИК!$H$9+'ПЛАН ЧЕРН К1'!C42*СПРАВОЧНИК!$I$9+'ПЛАН ЧЕРН К1'!D42*СПРАВОЧНИК!$J$9+'ПЛАН ЧЕРН К1'!E42*СПРАВОЧНИК!$H$10+'ПЛАН ЧЕРН К1'!F42*СПРАВОЧНИК!$I$10+'ПЛАН ЧЕРН К1'!G42*СПРАВОЧНИК!$J$10+'ПЛАН ЧЕРН К1'!H42*СПРАВОЧНИК!$H$11+'ПЛАН ЧЕРН К1'!I42*СПРАВОЧНИК!$I$11+'ПЛАН ЧЕРН К1'!J42*СПРАВОЧНИК!$J$11+'ПЛАН ЧЕРН К1'!K42*СПРАВОЧНИК!$H$12+'ПЛАН ЧЕРН К1'!L42*СПРАВОЧНИК!$I$12+'ПЛАН ЧЕРН К1'!M42*СПРАВОЧНИК!$J$12+'ПЛАН ЧЕРН К1'!N42*СПРАВОЧНИК!$H$13+'ПЛАН ЧЕРН К1'!O42*СПРАВОЧНИК!$I$13+'ПЛАН ЧЕРН К1'!P42*СПРАВОЧНИК!$J$13+'ПЛАН ЧЕРН К1'!Q42*СПРАВОЧНИК!$H$14+'ПЛАН ЧЕРН К1'!R42*СПРАВОЧНИК!$I$14+'ПЛАН ЧЕРН К1'!S42*СПРАВОЧНИК!$J$14+'ПЛАН ЧЕРН К1'!T42*СПРАВОЧНИК!$H$15+'ПЛАН ЧЕРН К1'!U42*СПРАВОЧНИК!$I$15+'ПЛАН ЧЕРН К1'!V42*СПРАВОЧНИК!$J$15</f>
        <v/>
      </c>
      <c r="AB51" s="31">
        <f>('ФАКТ ЧЕРН К1'!B42)*СПРАВОЧНИК!$H$9+('ФАКТ ЧЕРН К1'!C42)*СПРАВОЧНИК!$I$9+('ФАКТ ЧЕРН К1'!D42)*СПРАВОЧНИК!$J$9+('ФАКТ ЧЕРН К1'!E42)*СПРАВОЧНИК!$H$10+('ФАКТ ЧЕРН К1'!F42)*СПРАВОЧНИК!$I$10+('ФАКТ ЧЕРН К1'!G42)*СПРАВОЧНИК!$J$10+('ФАКТ ЧЕРН К1'!H42)*СПРАВОЧНИК!$H$11+('ФАКТ ЧЕРН К1'!I42)*СПРАВОЧНИК!$I$11+('ФАКТ ЧЕРН К1'!J42)*СПРАВОЧНИК!$J$11+('ФАКТ ЧЕРН К1'!K42)*СПРАВОЧНИК!$H$12+('ФАКТ ЧЕРН К1'!L42)*СПРАВОЧНИК!$I$12+('ФАКТ ЧЕРН К1'!M42)*СПРАВОЧНИК!$J$12+('ФАКТ ЧЕРН К1'!N42)*СПРАВОЧНИК!$H$13+('ФАКТ ЧЕРН К1'!O42)*СПРАВОЧНИК!$I$13+('ФАКТ ЧЕРН К1'!P42)*СПРАВОЧНИК!$J$13+('ФАКТ ЧЕРН К1'!Q42)*СПРАВОЧНИК!$H$14+('ФАКТ ЧЕРН К1'!R42)*СПРАВОЧНИК!$I$14+('ФАКТ ЧЕРН К1'!S42)*СПРАВОЧНИК!$J$14+('ФАКТ ЧЕРН К1'!T42)*СПРАВОЧНИК!$H$15+('ФАКТ ЧЕРН К1'!U42)*СПРАВОЧНИК!$I$15+('ФАКТ ЧЕРН К1'!V42)*СПРАВОЧНИК!$J$15</f>
        <v/>
      </c>
      <c r="AC51" s="34" t="n"/>
      <c r="AF51" s="152">
        <f>AF50+7</f>
        <v/>
      </c>
      <c r="AG51" s="17">
        <f>'ПЛАН ЧИСТ К1'!B42*СПРАВОЧНИК!$L$9+'ПЛАН ЧИСТ К1'!C42*СПРАВОЧНИК!$M$9+'ПЛАН ЧИСТ К1'!D42*СПРАВОЧНИК!$N$9+'ПЛАН ЧИСТ К1'!E42*СПРАВОЧНИК!$O$9+'ПЛАН ЧИСТ К1'!F42*СПРАВОЧНИК!$P$9+'ПЛАН ЧИСТ К1'!G42*СПРАВОЧНИК!$L$10+'ПЛАН ЧИСТ К1'!H42*СПРАВОЧНИК!$M$10+'ПЛАН ЧИСТ К1'!I42*СПРАВОЧНИК!$N$10+'ПЛАН ЧИСТ К1'!J42*СПРАВОЧНИК!$O$10+'ПЛАН ЧИСТ К1'!K42*СПРАВОЧНИК!$P$10+'ПЛАН ЧИСТ К1'!L42*СПРАВОЧНИК!$L$11+'ПЛАН ЧИСТ К1'!M42*СПРАВОЧНИК!$M$11+'ПЛАН ЧИСТ К1'!N42*СПРАВОЧНИК!$N$11+'ПЛАН ЧИСТ К1'!O42*СПРАВОЧНИК!$O$11+'ПЛАН ЧИСТ К1'!P42*СПРАВОЧНИК!$P$11+'ПЛАН ЧИСТ К1'!Q42*СПРАВОЧНИК!$L$12+'ПЛАН ЧИСТ К1'!R42*СПРАВОЧНИК!$M$12+'ПЛАН ЧИСТ К1'!S42*СПРАВОЧНИК!$N$12+'ПЛАН ЧИСТ К1'!T42*СПРАВОЧНИК!$O$12+'ПЛАН ЧИСТ К1'!U42*СПРАВОЧНИК!$P$12+'ПЛАН ЧИСТ К1'!V42*СПРАВОЧНИК!$L$13+'ПЛАН ЧИСТ К1'!W42*СПРАВОЧНИК!$M$13+'ПЛАН ЧИСТ К1'!X42*СПРАВОЧНИК!$N$13+'ПЛАН ЧИСТ К1'!Y42*СПРАВОЧНИК!$O$13+'ПЛАН ЧИСТ К1'!Z42*СПРАВОЧНИК!$P$13+'ПЛАН ЧИСТ К1'!AA42*СПРАВОЧНИК!$L$14+'ПЛАН ЧИСТ К1'!AB42*СПРАВОЧНИК!$M$14+'ПЛАН ЧИСТ К1'!AC42*СПРАВОЧНИК!$N$14+'ПЛАН ЧИСТ К1'!AD42*СПРАВОЧНИК!$O$14+'ПЛАН ЧИСТ К1'!AE42*СПРАВОЧНИК!$P$14+'ПЛАН ЧИСТ К1'!AF42*СПРАВОЧНИК!$L$15+'ПЛАН ЧИСТ К1'!AG42*СПРАВОЧНИК!$M$15+'ПЛАН ЧИСТ К1'!AH42*СПРАВОЧНИК!$N$15+'ПЛАН ЧИСТ К1'!AI42*СПРАВОЧНИК!$O$15+'ПЛАН ЧИСТ К1'!AJ42*СПРАВОЧНИК!$P$15</f>
        <v/>
      </c>
      <c r="AH51" s="31">
        <f>('ФАКТ ЧИСТ К1'!B42)*СПРАВОЧНИК!$L$9+('ФАКТ ЧИСТ К1'!C42)*СПРАВОЧНИК!$M$9+('ФАКТ ЧИСТ К1'!D42)*СПРАВОЧНИК!$N$9+('ФАКТ ЧИСТ К1'!E42)*СПРАВОЧНИК!$O$9+('ФАКТ ЧИСТ К1'!F42)*СПРАВОЧНИК!$P$9+('ФАКТ ЧИСТ К1'!G42)*СПРАВОЧНИК!$L$10+('ФАКТ ЧИСТ К1'!H42)*СПРАВОЧНИК!$M$10+('ФАКТ ЧИСТ К1'!I42)*СПРАВОЧНИК!$N$10+('ФАКТ ЧИСТ К1'!J42)*СПРАВОЧНИК!$O$10+('ФАКТ ЧИСТ К1'!K42)*СПРАВОЧНИК!$P$10+('ФАКТ ЧИСТ К1'!L42)*СПРАВОЧНИК!$L$11+('ФАКТ ЧИСТ К1'!M42)*СПРАВОЧНИК!$M$11+('ФАКТ ЧИСТ К1'!N42)*СПРАВОЧНИК!$N$11+('ФАКТ ЧИСТ К1'!O42)*СПРАВОЧНИК!$O$11+('ФАКТ ЧИСТ К1'!P42)*СПРАВОЧНИК!$P$11+('ФАКТ ЧИСТ К1'!Q42)*СПРАВОЧНИК!$L$12+('ФАКТ ЧИСТ К1'!R42)*СПРАВОЧНИК!$M$12+('ФАКТ ЧИСТ К1'!S42)*СПРАВОЧНИК!$N$12+('ФАКТ ЧИСТ К1'!T42)*СПРАВОЧНИК!$O$12+('ФАКТ ЧИСТ К1'!U42)*СПРАВОЧНИК!$P$12+('ФАКТ ЧИСТ К1'!V42)*СПРАВОЧНИК!$L$13+('ФАКТ ЧИСТ К1'!W42)*СПРАВОЧНИК!$M$13+('ФАКТ ЧИСТ К1'!X42)*СПРАВОЧНИК!$N$13+('ФАКТ ЧИСТ К1'!Y42)*СПРАВОЧНИК!$O$13+('ФАКТ ЧИСТ К1'!Z42)*СПРАВОЧНИК!$P$13+('ФАКТ ЧИСТ К1'!AA42)*СПРАВОЧНИК!$L$14+('ФАКТ ЧИСТ К1'!AB42)*СПРАВОЧНИК!$M$14+('ФАКТ ЧИСТ К1'!AC42)*СПРАВОЧНИК!$N$14+('ФАКТ ЧИСТ К1'!AD42)*СПРАВОЧНИК!$O$14+('ФАКТ ЧИСТ К1'!AE42)*СПРАВОЧНИК!$P$14+('ФАКТ ЧИСТ К1'!AF42)*СПРАВОЧНИК!$L$15+('ФАКТ ЧИСТ К1'!AG42)*СПРАВОЧНИК!$M$15+('ФАКТ ЧИСТ К1'!AH42)*СПРАВОЧНИК!$N$15+('ФАКТ ЧИСТ К1'!AI42)*СПРАВОЧНИК!$O$15+('ФАКТ ЧИСТ К1'!AJ42)*СПРАВОЧНИК!$P$15</f>
        <v/>
      </c>
      <c r="AI51" s="34" t="n"/>
      <c r="AL51" s="152">
        <f>AL50+7</f>
        <v/>
      </c>
      <c r="AM51" s="17">
        <f>СПРАВОЧНИК!$E$9*('ПЛАН ЧЕРН К2'!B42*СПРАВОЧНИК!$H$9+'ПЛАН ЧЕРН К2'!C42*СПРАВОЧНИК!$I$9+'ПЛАН ЧЕРН К2'!D42*СПРАВОЧНИК!$J$9)+СПРАВОЧНИК!$F$9*('ПЛАН ЧИСТ К2'!B42*СПРАВОЧНИК!$L$9+'ПЛАН ЧИСТ К2'!C42*СПРАВОЧНИК!$M$9+'ПЛАН ЧИСТ К2'!D42*СПРАВОЧНИК!$N$9+'ПЛАН ЧИСТ К2'!E42*СПРАВОЧНИК!$O$9+'ПЛАН ЧИСТ К2'!F42*СПРАВОЧНИК!$P$9)+СПРАВОЧНИК!$E$10*('ПЛАН ЧЕРН К2'!E42*СПРАВОЧНИК!$H$10+'ПЛАН ЧЕРН К2'!F42*СПРАВОЧНИК!$I$10+'ПЛАН ЧЕРН К2'!G42*СПРАВОЧНИК!$J$10)+СПРАВОЧНИК!$F$10*('ПЛАН ЧИСТ К2'!G42*СПРАВОЧНИК!$L$10+'ПЛАН ЧИСТ К2'!H42*СПРАВОЧНИК!$M$10+'ПЛАН ЧИСТ К2'!I42*СПРАВОЧНИК!$N$10+'ПЛАН ЧИСТ К2'!J42*СПРАВОЧНИК!$O$10+'ПЛАН ЧИСТ К2'!K42*СПРАВОЧНИК!$P$10)+СПРАВОЧНИК!$E$11*('ПЛАН ЧЕРН К2'!H42*СПРАВОЧНИК!$H$11+'ПЛАН ЧЕРН К2'!I42*СПРАВОЧНИК!$I$11+'ПЛАН ЧЕРН К2'!J42*СПРАВОЧНИК!$J$11)+СПРАВОЧНИК!$F$11*('ПЛАН ЧИСТ К2'!L42*СПРАВОЧНИК!$L$11+'ПЛАН ЧИСТ К2'!M42*СПРАВОЧНИК!$M$11+'ПЛАН ЧИСТ К2'!N42*СПРАВОЧНИК!$N$11+'ПЛАН ЧИСТ К2'!O42*СПРАВОЧНИК!$O$11+'ПЛАН ЧИСТ К2'!P42*СПРАВОЧНИК!$P$11)+СПРАВОЧНИК!$E$12*('ПЛАН ЧЕРН К2'!K42*СПРАВОЧНИК!$H$12+'ПЛАН ЧЕРН К2'!L42*СПРАВОЧНИК!$I$12+'ПЛАН ЧЕРН К2'!M42*СПРАВОЧНИК!$J$12)+СПРАВОЧНИК!$F$12*('ПЛАН ЧИСТ К2'!Q42*СПРАВОЧНИК!$L$12+'ПЛАН ЧИСТ К2'!R42*СПРАВОЧНИК!$M$12+'ПЛАН ЧИСТ К2'!S42*СПРАВОЧНИК!$N$12+'ПЛАН ЧИСТ К2'!T42*СПРАВОЧНИК!$O$12+'ПЛАН ЧИСТ К2'!U42*СПРАВОЧНИК!$P$12)+СПРАВОЧНИК!$E$13*('ПЛАН ЧЕРН К2'!N42*СПРАВОЧНИК!$H$13+'ПЛАН ЧЕРН К2'!O42*СПРАВОЧНИК!$I$13+'ПЛАН ЧЕРН К2'!P42*СПРАВОЧНИК!$J$13)+СПРАВОЧНИК!$F$13*('ПЛАН ЧИСТ К2'!V42*СПРАВОЧНИК!$L$13+'ПЛАН ЧИСТ К2'!W42*СПРАВОЧНИК!$M$13+'ПЛАН ЧИСТ К2'!X42*СПРАВОЧНИК!$N$13+'ПЛАН ЧИСТ К2'!Y42*СПРАВОЧНИК!$O$13+'ПЛАН ЧИСТ К2'!Z42*СПРАВОЧНИК!$P$13)+СПРАВОЧНИК!$E$14*('ПЛАН ЧЕРН К2'!Q42*СПРАВОЧНИК!$H$14+'ПЛАН ЧЕРН К2'!R42*СПРАВОЧНИК!$I$14+'ПЛАН ЧЕРН К2'!S42*СПРАВОЧНИК!$J$14)+СПРАВОЧНИК!$F$14*('ПЛАН ЧИСТ К2'!AA42*СПРАВОЧНИК!$L$14+'ПЛАН ЧИСТ К2'!AB42*СПРАВОЧНИК!$M$14+'ПЛАН ЧИСТ К2'!AC42*СПРАВОЧНИК!$N$14+'ПЛАН ЧИСТ К2'!AD42*СПРАВОЧНИК!$O$14+'ПЛАН ЧИСТ К2'!AE42*СПРАВОЧНИК!$P$14)+СПРАВОЧНИК!$E$15*('ПЛАН ЧЕРН К2'!T42*СПРАВОЧНИК!$H$15+'ПЛАН ЧЕРН К2'!U42*СПРАВОЧНИК!$I$15+'ПЛАН ЧЕРН К2'!V42*СПРАВОЧНИК!$J$15)+СПРАВОЧНИК!$F$15*('ПЛАН ЧИСТ К2'!AF42*СПРАВОЧНИК!$L$15+'ПЛАН ЧИСТ К2'!AG42*СПРАВОЧНИК!$M$15+'ПЛАН ЧИСТ К2'!AH42*СПРАВОЧНИК!$N$15+'ПЛАН ЧИСТ К2'!AI42*СПРАВОЧНИК!$O$15+'ПЛАН ЧИСТ К2'!AJ42*СПРАВОЧНИК!$P$15)</f>
        <v/>
      </c>
      <c r="AN51" s="31">
        <f>СПРАВОЧНИК!$E$9*('ФАКТ ЧЕРН К2'!B42*СПРАВОЧНИК!$H$9+'ФАКТ ЧЕРН К2'!C42*СПРАВОЧНИК!$I$9+'ФАКТ ЧЕРН К2'!D42*СПРАВОЧНИК!$J$9)+СПРАВОЧНИК!$F$9*('ФАКТ ЧИСТ К2'!B42*СПРАВОЧНИК!$L$9+'ФАКТ ЧИСТ К2'!C42*СПРАВОЧНИК!$M$9+'ФАКТ ЧИСТ К2'!D42*СПРАВОЧНИК!$N$9+'ФАКТ ЧИСТ К2'!E42*СПРАВОЧНИК!$O$9+'ФАКТ ЧИСТ К2'!F42*СПРАВОЧНИК!$P$9)+СПРАВОЧНИК!$E$10*('ФАКТ ЧЕРН К2'!E42*СПРАВОЧНИК!$H$10+'ФАКТ ЧЕРН К2'!F42*СПРАВОЧНИК!$I$10+'ФАКТ ЧЕРН К2'!G42*СПРАВОЧНИК!$J$10)+СПРАВОЧНИК!$F$10*('ФАКТ ЧИСТ К2'!G42*СПРАВОЧНИК!$L$10+'ФАКТ ЧИСТ К2'!H42*СПРАВОЧНИК!$M$10+'ФАКТ ЧИСТ К2'!I42*СПРАВОЧНИК!$N$10+'ФАКТ ЧИСТ К2'!J42*СПРАВОЧНИК!$O$10+'ФАКТ ЧИСТ К2'!K42*СПРАВОЧНИК!$P$10)+СПРАВОЧНИК!$E$11*('ФАКТ ЧЕРН К2'!H42*СПРАВОЧНИК!$H$11+'ФАКТ ЧЕРН К2'!I42*СПРАВОЧНИК!$I$11+'ФАКТ ЧЕРН К2'!J42*СПРАВОЧНИК!$J$11)+СПРАВОЧНИК!$F$11*('ФАКТ ЧИСТ К2'!L42*СПРАВОЧНИК!$L$11+'ФАКТ ЧИСТ К2'!M42*СПРАВОЧНИК!$M$11+'ФАКТ ЧИСТ К2'!N42*СПРАВОЧНИК!$N$11+'ФАКТ ЧИСТ К2'!O42*СПРАВОЧНИК!$O$11+'ФАКТ ЧИСТ К2'!P42*СПРАВОЧНИК!$P$11)+СПРАВОЧНИК!$E$12*('ФАКТ ЧЕРН К2'!K42*СПРАВОЧНИК!$H$12+'ФАКТ ЧЕРН К2'!L42*СПРАВОЧНИК!$I$12+'ФАКТ ЧЕРН К2'!M42*СПРАВОЧНИК!$J$12)+СПРАВОЧНИК!$F$12*('ФАКТ ЧИСТ К2'!Q42*СПРАВОЧНИК!$L$12+'ФАКТ ЧИСТ К2'!R42*СПРАВОЧНИК!$M$12+'ФАКТ ЧИСТ К2'!S42*СПРАВОЧНИК!$N$12+'ФАКТ ЧИСТ К2'!T42*СПРАВОЧНИК!$O$12+'ФАКТ ЧИСТ К2'!U42*СПРАВОЧНИК!$P$12)+СПРАВОЧНИК!$E$13*('ФАКТ ЧЕРН К2'!N42*СПРАВОЧНИК!$H$13+'ФАКТ ЧЕРН К2'!O42*СПРАВОЧНИК!$I$13+'ФАКТ ЧЕРН К2'!P42*СПРАВОЧНИК!$J$13)+СПРАВОЧНИК!$F$13*('ФАКТ ЧИСТ К2'!V42*СПРАВОЧНИК!$L$13+'ФАКТ ЧИСТ К2'!W42*СПРАВОЧНИК!$M$13+'ФАКТ ЧИСТ К2'!X42*СПРАВОЧНИК!$N$13+'ФАКТ ЧИСТ К2'!Y42*СПРАВОЧНИК!$O$13+'ФАКТ ЧИСТ К2'!Z42*СПРАВОЧНИК!$P$13)+СПРАВОЧНИК!$E$14*('ФАКТ ЧЕРН К2'!Q42*СПРАВОЧНИК!$H$14+'ФАКТ ЧЕРН К2'!R42*СПРАВОЧНИК!$I$14+'ФАКТ ЧЕРН К2'!S42*СПРАВОЧНИК!$J$14)+СПРАВОЧНИК!$F$14*('ФАКТ ЧИСТ К2'!AA42*СПРАВОЧНИК!$L$14+'ФАКТ ЧИСТ К2'!AB42*СПРАВОЧНИК!$M$14+'ФАКТ ЧИСТ К2'!AC42*СПРАВОЧНИК!$N$14+'ФАКТ ЧИСТ К2'!AD42*СПРАВОЧНИК!$O$14+'ФАКТ ЧИСТ К2'!AE42*СПРАВОЧНИК!$P$14)+СПРАВОЧНИК!$E$15*('ФАКТ ЧЕРН К2'!T42*СПРАВОЧНИК!$H$15+'ФАКТ ЧЕРН К2'!U42*СПРАВОЧНИК!$I$15+'ФАКТ ЧЕРН К2'!V42*СПРАВОЧНИК!$J$15)+СПРАВОЧНИК!$F$15*('ФАКТ ЧИСТ К2'!AF42*СПРАВОЧНИК!$L$15+'ФАКТ ЧИСТ К2'!AG42*СПРАВОЧНИК!$M$15+'ФАКТ ЧИСТ К2'!AH42*СПРАВОЧНИК!$N$15+'ФАКТ ЧИСТ К2'!AI42*СПРАВОЧНИК!$O$15+'ФАКТ ЧИСТ К2'!AJ42*СПРАВОЧНИК!$P$15)</f>
        <v/>
      </c>
      <c r="AO51" s="34" t="n"/>
      <c r="AR51" s="152">
        <f>AR50+7</f>
        <v/>
      </c>
      <c r="AS51" s="17">
        <f>'ПЛАН ЧЕРН К2'!B42*СПРАВОЧНИК!$H$9+'ПЛАН ЧЕРН К2'!C42*СПРАВОЧНИК!$I$9+'ПЛАН ЧЕРН К2'!D42*СПРАВОЧНИК!$J$9+'ПЛАН ЧЕРН К2'!E42*СПРАВОЧНИК!$H$10+'ПЛАН ЧЕРН К2'!F42*СПРАВОЧНИК!$I$10+'ПЛАН ЧЕРН К2'!G42*СПРАВОЧНИК!$J$10+'ПЛАН ЧЕРН К2'!H42*СПРАВОЧНИК!$H$11+'ПЛАН ЧЕРН К2'!I42*СПРАВОЧНИК!$I$11+'ПЛАН ЧЕРН К2'!J42*СПРАВОЧНИК!$J$11+'ПЛАН ЧЕРН К2'!K42*СПРАВОЧНИК!$H$12+'ПЛАН ЧЕРН К2'!L42*СПРАВОЧНИК!$I$12+'ПЛАН ЧЕРН К2'!M42*СПРАВОЧНИК!$J$12+'ПЛАН ЧЕРН К2'!N42*СПРАВОЧНИК!$H$13+'ПЛАН ЧЕРН К2'!O42*СПРАВОЧНИК!$I$13+'ПЛАН ЧЕРН К2'!P42*СПРАВОЧНИК!$J$13+'ПЛАН ЧЕРН К2'!Q42*СПРАВОЧНИК!$H$14+'ПЛАН ЧЕРН К2'!R42*СПРАВОЧНИК!$I$14+'ПЛАН ЧЕРН К2'!S42*СПРАВОЧНИК!$J$14+'ПЛАН ЧЕРН К2'!T42*СПРАВОЧНИК!$H$15+'ПЛАН ЧЕРН К2'!U42*СПРАВОЧНИК!$I$15+'ПЛАН ЧЕРН К2'!V42*СПРАВОЧНИК!$J$15</f>
        <v/>
      </c>
      <c r="AT51" s="31">
        <f>('ФАКТ ЧЕРН К2'!B42)*СПРАВОЧНИК!$H$9+('ФАКТ ЧЕРН К2'!C42)*СПРАВОЧНИК!$I$9+('ФАКТ ЧЕРН К2'!D42)*СПРАВОЧНИК!$J$9+('ФАКТ ЧЕРН К2'!E42)*СПРАВОЧНИК!$H$10+('ФАКТ ЧЕРН К2'!F42)*СПРАВОЧНИК!$I$10+('ФАКТ ЧЕРН К2'!G42)*СПРАВОЧНИК!$J$10+('ФАКТ ЧЕРН К2'!H42)*СПРАВОЧНИК!$H$11+('ФАКТ ЧЕРН К2'!I42)*СПРАВОЧНИК!$I$11+('ФАКТ ЧЕРН К2'!J42)*СПРАВОЧНИК!$J$11+('ФАКТ ЧЕРН К2'!K42)*СПРАВОЧНИК!$H$12+('ФАКТ ЧЕРН К2'!L42)*СПРАВОЧНИК!$I$12+('ФАКТ ЧЕРН К2'!M42)*СПРАВОЧНИК!$J$12+('ФАКТ ЧЕРН К2'!N42)*СПРАВОЧНИК!$H$13+('ФАКТ ЧЕРН К2'!O42)*СПРАВОЧНИК!$I$13+('ФАКТ ЧЕРН К2'!P42)*СПРАВОЧНИК!$J$13+('ФАКТ ЧЕРН К2'!Q42)*СПРАВОЧНИК!$H$14+('ФАКТ ЧЕРН К2'!R42)*СПРАВОЧНИК!$I$14+('ФАКТ ЧЕРН К2'!S42)*СПРАВОЧНИК!$J$14+('ФАКТ ЧЕРН К2'!T42)*СПРАВОЧНИК!$H$15+('ФАКТ ЧЕРН К2'!U42)*СПРАВОЧНИК!$I$15+('ФАКТ ЧЕРН К2'!V42)*СПРАВОЧНИК!$J$15</f>
        <v/>
      </c>
      <c r="AU51" s="34" t="n"/>
      <c r="AX51" s="152">
        <f>AX50+7</f>
        <v/>
      </c>
      <c r="AY51" s="17">
        <f>'ПЛАН ЧИСТ К2'!B42*СПРАВОЧНИК!$L$9+'ПЛАН ЧИСТ К2'!C42*СПРАВОЧНИК!$M$9+'ПЛАН ЧИСТ К2'!D42*СПРАВОЧНИК!$N$9+'ПЛАН ЧИСТ К2'!E42*СПРАВОЧНИК!$O$9+'ПЛАН ЧИСТ К2'!F42*СПРАВОЧНИК!$P$9+'ПЛАН ЧИСТ К2'!G42*СПРАВОЧНИК!$L$10+'ПЛАН ЧИСТ К2'!H42*СПРАВОЧНИК!$M$10+'ПЛАН ЧИСТ К2'!I42*СПРАВОЧНИК!$N$10+'ПЛАН ЧИСТ К2'!J42*СПРАВОЧНИК!$O$10+'ПЛАН ЧИСТ К2'!K42*СПРАВОЧНИК!$P$10+'ПЛАН ЧИСТ К2'!L42*СПРАВОЧНИК!$L$11+'ПЛАН ЧИСТ К2'!M42*СПРАВОЧНИК!$M$11+'ПЛАН ЧИСТ К2'!N42*СПРАВОЧНИК!$N$11+'ПЛАН ЧИСТ К2'!O42*СПРАВОЧНИК!$O$11+'ПЛАН ЧИСТ К2'!P42*СПРАВОЧНИК!$P$11+'ПЛАН ЧИСТ К2'!Q42*СПРАВОЧНИК!$L$12+'ПЛАН ЧИСТ К2'!R42*СПРАВОЧНИК!$M$12+'ПЛАН ЧИСТ К2'!S42*СПРАВОЧНИК!$N$12+'ПЛАН ЧИСТ К2'!T42*СПРАВОЧНИК!$O$12+'ПЛАН ЧИСТ К2'!U42*СПРАВОЧНИК!$P$12+'ПЛАН ЧИСТ К2'!V42*СПРАВОЧНИК!$L$13+'ПЛАН ЧИСТ К2'!W42*СПРАВОЧНИК!$M$13+'ПЛАН ЧИСТ К2'!X42*СПРАВОЧНИК!$N$13+'ПЛАН ЧИСТ К2'!Y42*СПРАВОЧНИК!$O$13+'ПЛАН ЧИСТ К2'!Z42*СПРАВОЧНИК!$P$13+'ПЛАН ЧИСТ К2'!AA42*СПРАВОЧНИК!$L$14+'ПЛАН ЧИСТ К2'!AB42*СПРАВОЧНИК!$M$14+'ПЛАН ЧИСТ К2'!AC42*СПРАВОЧНИК!$N$14+'ПЛАН ЧИСТ К2'!AD42*СПРАВОЧНИК!$O$14+'ПЛАН ЧИСТ К2'!AE42*СПРАВОЧНИК!$P$14+'ПЛАН ЧИСТ К2'!AF42*СПРАВОЧНИК!$L$15+'ПЛАН ЧИСТ К2'!AG42*СПРАВОЧНИК!$M$15+'ПЛАН ЧИСТ К2'!AH42*СПРАВОЧНИК!$N$15+'ПЛАН ЧИСТ К2'!AI42*СПРАВОЧНИК!$O$15+'ПЛАН ЧИСТ К2'!AJ42*СПРАВОЧНИК!$P$15</f>
        <v/>
      </c>
      <c r="AZ51" s="31">
        <f>('ФАКТ ЧИСТ К2'!B42)*СПРАВОЧНИК!$L$9+('ФАКТ ЧИСТ К2'!C42)*СПРАВОЧНИК!$M$9+('ФАКТ ЧИСТ К2'!D42)*СПРАВОЧНИК!$N$9+('ФАКТ ЧИСТ К2'!E42)*СПРАВОЧНИК!$O$9+('ФАКТ ЧИСТ К2'!F42)*СПРАВОЧНИК!$P$9+('ФАКТ ЧИСТ К2'!G42)*СПРАВОЧНИК!$L$10+('ФАКТ ЧИСТ К2'!H42)*СПРАВОЧНИК!$M$10+('ФАКТ ЧИСТ К2'!I42)*СПРАВОЧНИК!$N$10+('ФАКТ ЧИСТ К2'!J42)*СПРАВОЧНИК!$O$10+('ФАКТ ЧИСТ К2'!K42)*СПРАВОЧНИК!$P$10+('ФАКТ ЧИСТ К2'!L42)*СПРАВОЧНИК!$L$11+('ФАКТ ЧИСТ К2'!M42)*СПРАВОЧНИК!$M$11+('ФАКТ ЧИСТ К2'!N42)*СПРАВОЧНИК!$N$11+('ФАКТ ЧИСТ К2'!O42)*СПРАВОЧНИК!$O$11+('ФАКТ ЧИСТ К2'!P42)*СПРАВОЧНИК!$P$11+('ФАКТ ЧИСТ К2'!Q42)*СПРАВОЧНИК!$L$12+('ФАКТ ЧИСТ К2'!R42)*СПРАВОЧНИК!$M$12+('ФАКТ ЧИСТ К2'!S42)*СПРАВОЧНИК!$N$12+('ФАКТ ЧИСТ К2'!T42)*СПРАВОЧНИК!$O$12+('ФАКТ ЧИСТ К2'!U42)*СПРАВОЧНИК!$P$12+('ФАКТ ЧИСТ К2'!V42)*СПРАВОЧНИК!$L$13+('ФАКТ ЧИСТ К2'!W42)*СПРАВОЧНИК!$M$13+('ФАКТ ЧИСТ К2'!X42)*СПРАВОЧНИК!$N$13+('ФАКТ ЧИСТ К2'!Y42)*СПРАВОЧНИК!$O$13+('ФАКТ ЧИСТ К2'!Z42)*СПРАВОЧНИК!$P$13+('ФАКТ ЧИСТ К2'!AA42)*СПРАВОЧНИК!$L$14+('ФАКТ ЧИСТ К2'!AB42)*СПРАВОЧНИК!$M$14+('ФАКТ ЧИСТ К2'!AC42)*СПРАВОЧНИК!$N$14+('ФАКТ ЧИСТ К2'!AD42)*СПРАВОЧНИК!$O$14+('ФАКТ ЧИСТ К2'!AE42)*СПРАВОЧНИК!$P$14+('ФАКТ ЧИСТ К2'!AF42)*СПРАВОЧНИК!$L$15+('ФАКТ ЧИСТ К2'!AG42)*СПРАВОЧНИК!$M$15+('ФАКТ ЧИСТ К2'!AH42)*СПРАВОЧНИК!$N$15+('ФАКТ ЧИСТ К2'!AI42)*СПРАВОЧНИК!$O$15+('ФАКТ ЧИСТ К2'!AJ42)*СПРАВОЧНИК!$P$15</f>
        <v/>
      </c>
      <c r="BA51" s="34" t="n"/>
      <c r="BD51" s="152">
        <f>BD50+7</f>
        <v/>
      </c>
      <c r="BE51" s="17">
        <f>СПРАВОЧНИК!$E$9*('ПЛАН ЧЕРН К3'!B42*СПРАВОЧНИК!$H$9+'ПЛАН ЧЕРН К3'!C42*СПРАВОЧНИК!$I$9+'ПЛАН ЧЕРН К3'!D42*СПРАВОЧНИК!$J$9)+СПРАВОЧНИК!$F$9*('ПЛАН ЧИСТ К3'!B42*СПРАВОЧНИК!$L$9+'ПЛАН ЧИСТ К3'!C42*СПРАВОЧНИК!$M$9+'ПЛАН ЧИСТ К3'!D42*СПРАВОЧНИК!$N$9+'ПЛАН ЧИСТ К3'!E42*СПРАВОЧНИК!$O$9+'ПЛАН ЧИСТ К3'!F42*СПРАВОЧНИК!$P$9)+СПРАВОЧНИК!$E$10*('ПЛАН ЧЕРН К3'!E42*СПРАВОЧНИК!$H$10+'ПЛАН ЧЕРН К3'!F42*СПРАВОЧНИК!$I$10+'ПЛАН ЧЕРН К3'!G42*СПРАВОЧНИК!$J$10)+СПРАВОЧНИК!$F$10*('ПЛАН ЧИСТ К3'!G42*СПРАВОЧНИК!$L$10+'ПЛАН ЧИСТ К3'!H42*СПРАВОЧНИК!$M$10+'ПЛАН ЧИСТ К3'!I42*СПРАВОЧНИК!$N$10+'ПЛАН ЧИСТ К3'!J42*СПРАВОЧНИК!$O$10+'ПЛАН ЧИСТ К3'!K42*СПРАВОЧНИК!$P$10)+СПРАВОЧНИК!$E$11*('ПЛАН ЧЕРН К3'!H42*СПРАВОЧНИК!$H$11+'ПЛАН ЧЕРН К3'!I42*СПРАВОЧНИК!$I$11+'ПЛАН ЧЕРН К3'!J42*СПРАВОЧНИК!$J$11)+СПРАВОЧНИК!$F$11*('ПЛАН ЧИСТ К3'!L42*СПРАВОЧНИК!$L$11+'ПЛАН ЧИСТ К3'!M42*СПРАВОЧНИК!$M$11+'ПЛАН ЧИСТ К3'!N42*СПРАВОЧНИК!$N$11+'ПЛАН ЧИСТ К3'!O42*СПРАВОЧНИК!$O$11+'ПЛАН ЧИСТ К3'!P42*СПРАВОЧНИК!$P$11)+СПРАВОЧНИК!$E$12*('ПЛАН ЧЕРН К3'!K42*СПРАВОЧНИК!$H$12+'ПЛАН ЧЕРН К3'!L42*СПРАВОЧНИК!$I$12+'ПЛАН ЧЕРН К3'!M42*СПРАВОЧНИК!$J$12)+СПРАВОЧНИК!$F$12*('ПЛАН ЧИСТ К3'!Q42*СПРАВОЧНИК!$L$12+'ПЛАН ЧИСТ К3'!R42*СПРАВОЧНИК!$M$12+'ПЛАН ЧИСТ К3'!S42*СПРАВОЧНИК!$N$12+'ПЛАН ЧИСТ К3'!T42*СПРАВОЧНИК!$O$12+'ПЛАН ЧИСТ К3'!U42*СПРАВОЧНИК!$P$12)+СПРАВОЧНИК!$E$13*('ПЛАН ЧЕРН К3'!N42*СПРАВОЧНИК!$H$13+'ПЛАН ЧЕРН К3'!O42*СПРАВОЧНИК!$I$13+'ПЛАН ЧЕРН К3'!P42*СПРАВОЧНИК!$J$13)+СПРАВОЧНИК!$F$13*('ПЛАН ЧИСТ К3'!V42*СПРАВОЧНИК!$L$13+'ПЛАН ЧИСТ К3'!W42*СПРАВОЧНИК!$M$13+'ПЛАН ЧИСТ К3'!X42*СПРАВОЧНИК!$N$13+'ПЛАН ЧИСТ К3'!Y42*СПРАВОЧНИК!$O$13+'ПЛАН ЧИСТ К3'!Z42*СПРАВОЧНИК!$P$13)+СПРАВОЧНИК!$E$14*('ПЛАН ЧЕРН К3'!Q42*СПРАВОЧНИК!$H$14+'ПЛАН ЧЕРН К3'!R42*СПРАВОЧНИК!$I$14+'ПЛАН ЧЕРН К3'!S42*СПРАВОЧНИК!$J$14)+СПРАВОЧНИК!$F$14*('ПЛАН ЧИСТ К3'!AA42*СПРАВОЧНИК!$L$14+'ПЛАН ЧИСТ К3'!AB42*СПРАВОЧНИК!$M$14+'ПЛАН ЧИСТ К3'!AC42*СПРАВОЧНИК!$N$14+'ПЛАН ЧИСТ К3'!AD42*СПРАВОЧНИК!$O$14+'ПЛАН ЧИСТ К3'!AE42*СПРАВОЧНИК!$P$14)+СПРАВОЧНИК!$E$15*('ПЛАН ЧЕРН К3'!T42*СПРАВОЧНИК!$H$15+'ПЛАН ЧЕРН К3'!U42*СПРАВОЧНИК!$I$15+'ПЛАН ЧЕРН К3'!V42*СПРАВОЧНИК!$J$15)+СПРАВОЧНИК!$F$15*('ПЛАН ЧИСТ К3'!AF42*СПРАВОЧНИК!$L$15+'ПЛАН ЧИСТ К3'!AG42*СПРАВОЧНИК!$M$15+'ПЛАН ЧИСТ К3'!AH42*СПРАВОЧНИК!$N$15+'ПЛАН ЧИСТ К3'!AI42*СПРАВОЧНИК!$O$15+'ПЛАН ЧИСТ К3'!AJ42*СПРАВОЧНИК!$P$15)</f>
        <v/>
      </c>
      <c r="BF51" s="31">
        <f>СПРАВОЧНИК!$E$9*('ФАКТ ЧЕРН К3'!B42*СПРАВОЧНИК!$H$9+'ФАКТ ЧЕРН К3'!C42*СПРАВОЧНИК!$I$9+'ФАКТ ЧЕРН К3'!D42*СПРАВОЧНИК!$J$9)+СПРАВОЧНИК!$F$9*('ФАКТ ЧИСТ К3'!B42*СПРАВОЧНИК!$L$9+'ФАКТ ЧИСТ К3'!C42*СПРАВОЧНИК!$M$9+'ФАКТ ЧИСТ К3'!D42*СПРАВОЧНИК!$N$9+'ФАКТ ЧИСТ К3'!E42*СПРАВОЧНИК!$O$9+'ФАКТ ЧИСТ К3'!F42*СПРАВОЧНИК!$P$9)+СПРАВОЧНИК!$E$10*('ФАКТ ЧЕРН К3'!E42*СПРАВОЧНИК!$H$10+'ФАКТ ЧЕРН К3'!F42*СПРАВОЧНИК!$I$10+'ФАКТ ЧЕРН К3'!G42*СПРАВОЧНИК!$J$10)+СПРАВОЧНИК!$F$10*('ФАКТ ЧИСТ К3'!G42*СПРАВОЧНИК!$L$10+'ФАКТ ЧИСТ К3'!H42*СПРАВОЧНИК!$M$10+'ФАКТ ЧИСТ К3'!I42*СПРАВОЧНИК!$N$10+'ФАКТ ЧИСТ К3'!J42*СПРАВОЧНИК!$O$10+'ФАКТ ЧИСТ К3'!K42*СПРАВОЧНИК!$P$10)+СПРАВОЧНИК!$E$11*('ФАКТ ЧЕРН К3'!H42*СПРАВОЧНИК!$H$11+'ФАКТ ЧЕРН К3'!I42*СПРАВОЧНИК!$I$11+'ФАКТ ЧЕРН К3'!J42*СПРАВОЧНИК!$J$11)+СПРАВОЧНИК!$F$11*('ФАКТ ЧИСТ К3'!L42*СПРАВОЧНИК!$L$11+'ФАКТ ЧИСТ К3'!M42*СПРАВОЧНИК!$M$11+'ФАКТ ЧИСТ К3'!N42*СПРАВОЧНИК!$N$11+'ФАКТ ЧИСТ К3'!O42*СПРАВОЧНИК!$O$11+'ФАКТ ЧИСТ К3'!P42*СПРАВОЧНИК!$P$11)+СПРАВОЧНИК!$E$12*('ФАКТ ЧЕРН К3'!K42*СПРАВОЧНИК!$H$12+'ФАКТ ЧЕРН К3'!L42*СПРАВОЧНИК!$I$12+'ФАКТ ЧЕРН К3'!M42*СПРАВОЧНИК!$J$12)+СПРАВОЧНИК!$F$12*('ФАКТ ЧИСТ К3'!Q42*СПРАВОЧНИК!$L$12+'ФАКТ ЧИСТ К3'!R42*СПРАВОЧНИК!$M$12+'ФАКТ ЧИСТ К3'!S42*СПРАВОЧНИК!$N$12+'ФАКТ ЧИСТ К3'!T42*СПРАВОЧНИК!$O$12+'ФАКТ ЧИСТ К3'!U42*СПРАВОЧНИК!$P$12)+СПРАВОЧНИК!$E$13*('ФАКТ ЧЕРН К3'!N42*СПРАВОЧНИК!$H$13+'ФАКТ ЧЕРН К3'!O42*СПРАВОЧНИК!$I$13+'ФАКТ ЧЕРН К3'!P42*СПРАВОЧНИК!$J$13)+СПРАВОЧНИК!$F$13*('ФАКТ ЧИСТ К3'!V42*СПРАВОЧНИК!$L$13+'ФАКТ ЧИСТ К3'!W42*СПРАВОЧНИК!$M$13+'ФАКТ ЧИСТ К3'!X42*СПРАВОЧНИК!$N$13+'ФАКТ ЧИСТ К3'!Y42*СПРАВОЧНИК!$O$13+'ФАКТ ЧИСТ К3'!Z42*СПРАВОЧНИК!$P$13)+СПРАВОЧНИК!$E$14*('ФАКТ ЧЕРН К3'!Q42*СПРАВОЧНИК!$H$14+'ФАКТ ЧЕРН К3'!R42*СПРАВОЧНИК!$I$14+'ФАКТ ЧЕРН К3'!S42*СПРАВОЧНИК!$J$14)+СПРАВОЧНИК!$F$14*('ФАКТ ЧИСТ К3'!AA42*СПРАВОЧНИК!$L$14+'ФАКТ ЧИСТ К3'!AB42*СПРАВОЧНИК!$M$14+'ФАКТ ЧИСТ К3'!AC42*СПРАВОЧНИК!$N$14+'ФАКТ ЧИСТ К3'!AD42*СПРАВОЧНИК!$O$14+'ФАКТ ЧИСТ К3'!AE42*СПРАВОЧНИК!$P$14)+СПРАВОЧНИК!$E$15*('ФАКТ ЧЕРН К3'!T42*СПРАВОЧНИК!$H$15+'ФАКТ ЧЕРН К3'!U42*СПРАВОЧНИК!$I$15+'ФАКТ ЧЕРН К3'!V42*СПРАВОЧНИК!$J$15)+СПРАВОЧНИК!$F$15*('ФАКТ ЧИСТ К3'!AF42*СПРАВОЧНИК!$L$15+'ФАКТ ЧИСТ К3'!AG42*СПРАВОЧНИК!$M$15+'ФАКТ ЧИСТ К3'!AH42*СПРАВОЧНИК!$N$15+'ФАКТ ЧИСТ К3'!AI42*СПРАВОЧНИК!$O$15+'ФАКТ ЧИСТ К3'!AJ42*СПРАВОЧНИК!$P$15)</f>
        <v/>
      </c>
      <c r="BG51" s="34" t="n"/>
      <c r="BJ51" s="152">
        <f>BJ50+7</f>
        <v/>
      </c>
      <c r="BK51" s="17">
        <f>'ПЛАН ЧЕРН К3'!B42*СПРАВОЧНИК!$H$9+'ПЛАН ЧЕРН К3'!C42*СПРАВОЧНИК!$I$9+'ПЛАН ЧЕРН К3'!D42*СПРАВОЧНИК!$J$9+'ПЛАН ЧЕРН К3'!E42*СПРАВОЧНИК!$H$10+'ПЛАН ЧЕРН К3'!F42*СПРАВОЧНИК!$I$10+'ПЛАН ЧЕРН К3'!G42*СПРАВОЧНИК!$J$10+'ПЛАН ЧЕРН К3'!H42*СПРАВОЧНИК!$H$11+'ПЛАН ЧЕРН К3'!I42*СПРАВОЧНИК!$I$11+'ПЛАН ЧЕРН К3'!J42*СПРАВОЧНИК!$J$11+'ПЛАН ЧЕРН К3'!K42*СПРАВОЧНИК!$H$12+'ПЛАН ЧЕРН К3'!L42*СПРАВОЧНИК!$I$12+'ПЛАН ЧЕРН К3'!M42*СПРАВОЧНИК!$J$12+'ПЛАН ЧЕРН К3'!N42*СПРАВОЧНИК!$H$13+'ПЛАН ЧЕРН К3'!O42*СПРАВОЧНИК!$I$13+'ПЛАН ЧЕРН К3'!P42*СПРАВОЧНИК!$J$13+'ПЛАН ЧЕРН К3'!Q42*СПРАВОЧНИК!$H$14+'ПЛАН ЧЕРН К3'!R42*СПРАВОЧНИК!$I$14+'ПЛАН ЧЕРН К3'!S42*СПРАВОЧНИК!$J$14+'ПЛАН ЧЕРН К3'!T42*СПРАВОЧНИК!$H$15+'ПЛАН ЧЕРН К3'!U42*СПРАВОЧНИК!$I$15+'ПЛАН ЧЕРН К3'!V42*СПРАВОЧНИК!$J$15</f>
        <v/>
      </c>
      <c r="BL51" s="31">
        <f>('ФАКТ ЧЕРН К3'!B42)*СПРАВОЧНИК!$H$9+('ФАКТ ЧЕРН К3'!C42)*СПРАВОЧНИК!$I$9+('ФАКТ ЧЕРН К3'!D42)*СПРАВОЧНИК!$J$9+('ФАКТ ЧЕРН К3'!E42)*СПРАВОЧНИК!$H$10+('ФАКТ ЧЕРН К3'!F42)*СПРАВОЧНИК!$I$10+('ФАКТ ЧЕРН К3'!G42)*СПРАВОЧНИК!$J$10+('ФАКТ ЧЕРН К3'!H42)*СПРАВОЧНИК!$H$11+('ФАКТ ЧЕРН К3'!I42)*СПРАВОЧНИК!$I$11+('ФАКТ ЧЕРН К3'!J42)*СПРАВОЧНИК!$J$11+('ФАКТ ЧЕРН К3'!K42)*СПРАВОЧНИК!$H$12+('ФАКТ ЧЕРН К3'!L42)*СПРАВОЧНИК!$I$12+('ФАКТ ЧЕРН К3'!M42)*СПРАВОЧНИК!$J$12+('ФАКТ ЧЕРН К3'!N42)*СПРАВОЧНИК!$H$13+('ФАКТ ЧЕРН К3'!O42)*СПРАВОЧНИК!$I$13+('ФАКТ ЧЕРН К3'!P42)*СПРАВОЧНИК!$J$13+('ФАКТ ЧЕРН К3'!Q42)*СПРАВОЧНИК!$H$14+('ФАКТ ЧЕРН К3'!R42)*СПРАВОЧНИК!$I$14+('ФАКТ ЧЕРН К3'!S42)*СПРАВОЧНИК!$J$14+('ФАКТ ЧЕРН К3'!T42)*СПРАВОЧНИК!$H$15+('ФАКТ ЧЕРН К3'!U42)*СПРАВОЧНИК!$I$15+('ФАКТ ЧЕРН К3'!V42)*СПРАВОЧНИК!$J$15</f>
        <v/>
      </c>
      <c r="BM51" s="34" t="n"/>
      <c r="BP51" s="152">
        <f>BP50+7</f>
        <v/>
      </c>
      <c r="BQ51" s="17">
        <f>'ПЛАН ЧИСТ К3'!B42*СПРАВОЧНИК!$L$9+'ПЛАН ЧИСТ К3'!C42*СПРАВОЧНИК!$M$9+'ПЛАН ЧИСТ К3'!D42*СПРАВОЧНИК!$N$9+'ПЛАН ЧИСТ К3'!E42*СПРАВОЧНИК!$O$9+'ПЛАН ЧИСТ К3'!F42*СПРАВОЧНИК!$P$9+'ПЛАН ЧИСТ К3'!G42*СПРАВОЧНИК!$L$10+'ПЛАН ЧИСТ К3'!H42*СПРАВОЧНИК!$M$10+'ПЛАН ЧИСТ К3'!I42*СПРАВОЧНИК!$N$10+'ПЛАН ЧИСТ К3'!J42*СПРАВОЧНИК!$O$10+'ПЛАН ЧИСТ К3'!K42*СПРАВОЧНИК!$P$10+'ПЛАН ЧИСТ К3'!L42*СПРАВОЧНИК!$L$11+'ПЛАН ЧИСТ К3'!M42*СПРАВОЧНИК!$M$11+'ПЛАН ЧИСТ К3'!N42*СПРАВОЧНИК!$N$11+'ПЛАН ЧИСТ К3'!O42*СПРАВОЧНИК!$O$11+'ПЛАН ЧИСТ К3'!P42*СПРАВОЧНИК!$P$11+'ПЛАН ЧИСТ К3'!Q42*СПРАВОЧНИК!$L$12+'ПЛАН ЧИСТ К3'!R42*СПРАВОЧНИК!$M$12+'ПЛАН ЧИСТ К3'!S42*СПРАВОЧНИК!$N$12+'ПЛАН ЧИСТ К3'!T42*СПРАВОЧНИК!$O$12+'ПЛАН ЧИСТ К3'!U42*СПРАВОЧНИК!$P$12+'ПЛАН ЧИСТ К3'!V42*СПРАВОЧНИК!$L$13+'ПЛАН ЧИСТ К3'!W42*СПРАВОЧНИК!$M$13+'ПЛАН ЧИСТ К3'!X42*СПРАВОЧНИК!$N$13+'ПЛАН ЧИСТ К3'!Y42*СПРАВОЧНИК!$O$13+'ПЛАН ЧИСТ К3'!Z42*СПРАВОЧНИК!$P$13+'ПЛАН ЧИСТ К3'!AA42*СПРАВОЧНИК!$L$14+'ПЛАН ЧИСТ К3'!AB42*СПРАВОЧНИК!$M$14+'ПЛАН ЧИСТ К3'!AC42*СПРАВОЧНИК!$N$14+'ПЛАН ЧИСТ К3'!AD42*СПРАВОЧНИК!$O$14+'ПЛАН ЧИСТ К3'!AE42*СПРАВОЧНИК!$P$14+'ПЛАН ЧИСТ К3'!AF42*СПРАВОЧНИК!$L$15+'ПЛАН ЧИСТ К3'!AG42*СПРАВОЧНИК!$M$15+'ПЛАН ЧИСТ К3'!AH42*СПРАВОЧНИК!$N$15+'ПЛАН ЧИСТ К3'!AI42*СПРАВОЧНИК!$O$15+'ПЛАН ЧИСТ К3'!AJ42*СПРАВОЧНИК!$P$15</f>
        <v/>
      </c>
      <c r="BR51" s="31">
        <f>('ФАКТ ЧИСТ К3'!B42)*СПРАВОЧНИК!$L$9+('ФАКТ ЧИСТ К3'!C42)*СПРАВОЧНИК!$M$9+('ФАКТ ЧИСТ К3'!D42)*СПРАВОЧНИК!$N$9+('ФАКТ ЧИСТ К3'!E42)*СПРАВОЧНИК!$O$9+('ФАКТ ЧИСТ К3'!F42)*СПРАВОЧНИК!$P$9+('ФАКТ ЧИСТ К3'!G42)*СПРАВОЧНИК!$L$10+('ФАКТ ЧИСТ К3'!H42)*СПРАВОЧНИК!$M$10+('ФАКТ ЧИСТ К3'!I42)*СПРАВОЧНИК!$N$10+('ФАКТ ЧИСТ К3'!J42)*СПРАВОЧНИК!$O$10+('ФАКТ ЧИСТ К3'!K42)*СПРАВОЧНИК!$P$10+('ФАКТ ЧИСТ К3'!L42)*СПРАВОЧНИК!$L$11+('ФАКТ ЧИСТ К3'!M42)*СПРАВОЧНИК!$M$11+('ФАКТ ЧИСТ К3'!N42)*СПРАВОЧНИК!$N$11+('ФАКТ ЧИСТ К3'!O42)*СПРАВОЧНИК!$O$11+('ФАКТ ЧИСТ К3'!P42)*СПРАВОЧНИК!$P$11+('ФАКТ ЧИСТ К3'!Q42)*СПРАВОЧНИК!$L$12+('ФАКТ ЧИСТ К3'!R42)*СПРАВОЧНИК!$M$12+('ФАКТ ЧИСТ К3'!S42)*СПРАВОЧНИК!$N$12+('ФАКТ ЧИСТ К3'!T42)*СПРАВОЧНИК!$O$12+('ФАКТ ЧИСТ К3'!U42)*СПРАВОЧНИК!$P$12+('ФАКТ ЧИСТ К3'!V42)*СПРАВОЧНИК!$L$13+('ФАКТ ЧИСТ К3'!W42)*СПРАВОЧНИК!$M$13+('ФАКТ ЧИСТ К3'!X42)*СПРАВОЧНИК!$N$13+('ФАКТ ЧИСТ К3'!Y42)*СПРАВОЧНИК!$O$13+('ФАКТ ЧИСТ К3'!Z42)*СПРАВОЧНИК!$P$13+('ФАКТ ЧИСТ К3'!AA42)*СПРАВОЧНИК!$L$14+('ФАКТ ЧИСТ К3'!AB42)*СПРАВОЧНИК!$M$14+('ФАКТ ЧИСТ К3'!AC42)*СПРАВОЧНИК!$N$14+('ФАКТ ЧИСТ К3'!AD42)*СПРАВОЧНИК!$O$14+('ФАКТ ЧИСТ К3'!AE42)*СПРАВОЧНИК!$P$14+('ФАКТ ЧИСТ К3'!AF42)*СПРАВОЧНИК!$L$15+('ФАКТ ЧИСТ К3'!AG42)*СПРАВОЧНИК!$M$15+('ФАКТ ЧИСТ К3'!AH42)*СПРАВОЧНИК!$N$15+('ФАКТ ЧИСТ К3'!AI42)*СПРАВОЧНИК!$O$15+('ФАКТ ЧИСТ К3'!AJ42)*СПРАВОЧНИК!$P$15</f>
        <v/>
      </c>
      <c r="BS51" s="34" t="n"/>
      <c r="BV51" s="152">
        <f>BV50+7</f>
        <v/>
      </c>
      <c r="BW51" s="17">
        <f>U51*СПРАВОЧНИК!$K$28+AM51*СПРАВОЧНИК!$K$29+BE51*СПРАВОЧНИК!$K$30</f>
        <v/>
      </c>
      <c r="BX51" s="31">
        <f>V51*СПРАВОЧНИК!$K$28+AN51*СПРАВОЧНИК!$K$29+BF51*СПРАВОЧНИК!$K$30</f>
        <v/>
      </c>
      <c r="BY51" s="34" t="n"/>
      <c r="CB51" s="152">
        <f>CB50+7</f>
        <v/>
      </c>
      <c r="CC51" s="17">
        <f>AA51*СПРАВОЧНИК!$K$28+AS51*СПРАВОЧНИК!$K$29+BK51*СПРАВОЧНИК!$K$30</f>
        <v/>
      </c>
      <c r="CD51" s="31">
        <f>AB51*СПРАВОЧНИК!$K$28+AT51*СПРАВОЧНИК!$K$29+BL51*СПРАВОЧНИК!$K$30</f>
        <v/>
      </c>
      <c r="CE51" s="34" t="n"/>
      <c r="CH51" s="152">
        <f>CH50+7</f>
        <v/>
      </c>
      <c r="CI51" s="17">
        <f>AG51*СПРАВОЧНИК!$K$28+AY51*СПРАВОЧНИК!$K$29+BQ51*СПРАВОЧНИК!$K$30</f>
        <v/>
      </c>
      <c r="CJ51" s="31">
        <f>AH51*СПРАВОЧНИК!$K$28+AZ51*СПРАВОЧНИК!$K$29+BR51*СПРАВОЧНИК!$K$30</f>
        <v/>
      </c>
      <c r="CK51" s="34" t="n"/>
      <c r="CN51" s="152">
        <f>CN50+7</f>
        <v/>
      </c>
      <c r="CO51" s="17">
        <f>C51*СПРАВОЧНИК!$W$18+BW51*СПРАВОЧНИК!$W$19</f>
        <v/>
      </c>
      <c r="CP51" s="31">
        <f>D51*СПРАВОЧНИК!$W$18+BX51*СПРАВОЧНИК!$W$19</f>
        <v/>
      </c>
      <c r="CQ51" s="34" t="n"/>
      <c r="CT51" s="152">
        <f>CT50+7</f>
        <v/>
      </c>
      <c r="CU51" s="17">
        <f>I51*СПРАВОЧНИК!$W$18+CC51*СПРАВОЧНИК!$W$19</f>
        <v/>
      </c>
      <c r="CV51" s="31">
        <f>J51*СПРАВОЧНИК!$W$18+CD51*СПРАВОЧНИК!$W$19</f>
        <v/>
      </c>
      <c r="CW51" s="34" t="n"/>
      <c r="CZ51" s="152">
        <f>CZ50+7</f>
        <v/>
      </c>
      <c r="DA51" s="17">
        <f>O51*СПРАВОЧНИК!$W$18+CI51*СПРАВОЧНИК!$W$19</f>
        <v/>
      </c>
      <c r="DB51" s="31">
        <f>P51*СПРАВОЧНИК!$W$18+CJ51*СПРАВОЧНИК!$W$19</f>
        <v/>
      </c>
      <c r="DC51" s="34" t="n"/>
    </row>
    <row r="52">
      <c r="B52" s="152">
        <f>B51+7</f>
        <v/>
      </c>
      <c r="C52" s="17">
        <f>СПРАВОЧНИК!$E$3*('ПЛАН ЧЕРН ПОДЗЕМ'!B43*СПРАВОЧНИК!$H$3+'ПЛАН ЧЕРН ПОДЗЕМ'!C43*СПРАВОЧНИК!$I$3+'ПЛАН ЧЕРН ПОДЗЕМ'!D43*СПРАВОЧНИК!$J$3)+СПРАВОЧНИК!$F$3*('ПЛАН ЧИСТ ПОДЗЕМ'!B43*СПРАВОЧНИК!$L$3+'ПЛАН ЧИСТ ПОДЗЕМ'!C43*СПРАВОЧНИК!$M$3+'ПЛАН ЧИСТ ПОДЗЕМ'!D43*СПРАВОЧНИК!$N$3+'ПЛАН ЧИСТ ПОДЗЕМ'!E43*СПРАВОЧНИК!$O$3+'ПЛАН ЧИСТ ПОДЗЕМ'!F43*СПРАВОЧНИК!$P$3)+СПРАВОЧНИК!$E$4*('ПЛАН ЧЕРН ПОДЗЕМ'!E43*СПРАВОЧНИК!$H$4+'ПЛАН ЧЕРН ПОДЗЕМ'!F43*СПРАВОЧНИК!$I$4+'ПЛАН ЧЕРН ПОДЗЕМ'!G43*СПРАВОЧНИК!$J$4)+СПРАВОЧНИК!$F$4*('ПЛАН ЧИСТ ПОДЗЕМ'!G43*СПРАВОЧНИК!$L$4+'ПЛАН ЧИСТ ПОДЗЕМ'!H43*СПРАВОЧНИК!$M$4+'ПЛАН ЧИСТ ПОДЗЕМ'!I43*СПРАВОЧНИК!$N$4+'ПЛАН ЧИСТ ПОДЗЕМ'!J43*СПРАВОЧНИК!$O$4+'ПЛАН ЧИСТ ПОДЗЕМ'!K43*СПРАВОЧНИК!$P$4)+СПРАВОЧНИК!$E$5*('ПЛАН ЧЕРН ПОДЗЕМ'!H43*СПРАВОЧНИК!$H$5+'ПЛАН ЧЕРН ПОДЗЕМ'!I43*СПРАВОЧНИК!$I$5+'ПЛАН ЧЕРН ПОДЗЕМ'!J43*СПРАВОЧНИК!$J$5)+СПРАВОЧНИК!$F$5*('ПЛАН ЧИСТ ПОДЗЕМ'!L43*СПРАВОЧНИК!$L$5+'ПЛАН ЧИСТ ПОДЗЕМ'!M43*СПРАВОЧНИК!$M$5+'ПЛАН ЧИСТ ПОДЗЕМ'!N43*СПРАВОЧНИК!$N$5+'ПЛАН ЧИСТ ПОДЗЕМ'!O43*СПРАВОЧНИК!$O$5+'ПЛАН ЧИСТ ПОДЗЕМ'!P43*СПРАВОЧНИК!$P$5)+СПРАВОЧНИК!$E$6*('ПЛАН ЧЕРН ПОДЗЕМ'!K43*СПРАВОЧНИК!$H$6+'ПЛАН ЧЕРН ПОДЗЕМ'!L43*СПРАВОЧНИК!$I$6+'ПЛАН ЧЕРН ПОДЗЕМ'!M43*СПРАВОЧНИК!$J$6)+СПРАВОЧНИК!$F$6*('ПЛАН ЧИСТ ПОДЗЕМ'!Q43*СПРАВОЧНИК!$L$6+'ПЛАН ЧИСТ ПОДЗЕМ'!R43*СПРАВОЧНИК!$M$6+'ПЛАН ЧИСТ ПОДЗЕМ'!S43*СПРАВОЧНИК!$N$6+'ПЛАН ЧИСТ ПОДЗЕМ'!T43*СПРАВОЧНИК!$O$6+'ПЛАН ЧИСТ ПОДЗЕМ'!U43*СПРАВОЧНИК!$P$6)+СПРАВОЧНИК!$E$7*('ПЛАН ЧЕРН ПОДЗЕМ'!N43*СПРАВОЧНИК!$H$7+'ПЛАН ЧЕРН ПОДЗЕМ'!O43*СПРАВОЧНИК!$I$7+'ПЛАН ЧЕРН ПОДЗЕМ'!P43*СПРАВОЧНИК!$J$7)+СПРАВОЧНИК!$F$7*('ПЛАН ЧИСТ ПОДЗЕМ'!V43*СПРАВОЧНИК!$L$7+'ПЛАН ЧИСТ ПОДЗЕМ'!W43*СПРАВОЧНИК!$M$7+'ПЛАН ЧИСТ ПОДЗЕМ'!X43*СПРАВОЧНИК!$N$7+'ПЛАН ЧИСТ ПОДЗЕМ'!Y43*СПРАВОЧНИК!$O$7+'ПЛАН ЧИСТ ПОДЗЕМ'!Z43*СПРАВОЧНИК!$P$7)+СПРАВОЧНИК!$E$8*('ПЛАН ЧЕРН ПОДЗЕМ'!Q43*СПРАВОЧНИК!$H$8+'ПЛАН ЧЕРН ПОДЗЕМ'!R43*СПРАВОЧНИК!$I$8+'ПЛАН ЧЕРН ПОДЗЕМ'!S43*СПРАВОЧНИК!$J$8)+СПРАВОЧНИК!$F$8*('ПЛАН ЧИСТ ПОДЗЕМ'!AA43*СПРАВОЧНИК!$L$8+'ПЛАН ЧИСТ ПОДЗЕМ'!AB43*СПРАВОЧНИК!$M$8+'ПЛАН ЧИСТ ПОДЗЕМ'!AC43*СПРАВОЧНИК!$N$8+'ПЛАН ЧИСТ ПОДЗЕМ'!AD43*СПРАВОЧНИК!$O$8+'ПЛАН ЧИСТ ПОДЗЕМ'!AE43*СПРАВОЧНИК!$P$8)</f>
        <v/>
      </c>
      <c r="D52" s="31">
        <f>СПРАВОЧНИК!$E$3*('ФАКТ ЧЕРН ПОДЗЕМ'!B43*СПРАВОЧНИК!$H$3+'ФАКТ ЧЕРН ПОДЗЕМ'!C43*СПРАВОЧНИК!$I$3+'ФАКТ ЧЕРН ПОДЗЕМ'!D43*СПРАВОЧНИК!$J$3)+СПРАВОЧНИК!$F$3*('ФАКТ ЧИСТ ПОДЗЕМ'!B43*СПРАВОЧНИК!$L$3+'ФАКТ ЧИСТ ПОДЗЕМ'!C43*СПРАВОЧНИК!$M$3+'ФАКТ ЧИСТ ПОДЗЕМ'!D43*СПРАВОЧНИК!$N$3+'ФАКТ ЧИСТ ПОДЗЕМ'!E43*СПРАВОЧНИК!$O$3+'ФАКТ ЧИСТ ПОДЗЕМ'!F43*СПРАВОЧНИК!$P$3)+СПРАВОЧНИК!$E$4*('ФАКТ ЧЕРН ПОДЗЕМ'!E43*СПРАВОЧНИК!$H$4+'ФАКТ ЧЕРН ПОДЗЕМ'!F43*СПРАВОЧНИК!$I$4+'ФАКТ ЧЕРН ПОДЗЕМ'!G43*СПРАВОЧНИК!$J$4)+СПРАВОЧНИК!$F$4*('ФАКТ ЧИСТ ПОДЗЕМ'!G43*СПРАВОЧНИК!$L$4+'ФАКТ ЧИСТ ПОДЗЕМ'!H43*СПРАВОЧНИК!$M$4+'ФАКТ ЧИСТ ПОДЗЕМ'!I43*СПРАВОЧНИК!$N$4+'ФАКТ ЧИСТ ПОДЗЕМ'!J43*СПРАВОЧНИК!$O$4+'ФАКТ ЧИСТ ПОДЗЕМ'!K43*СПРАВОЧНИК!$P$4)+СПРАВОЧНИК!$E$5*('ФАКТ ЧЕРН ПОДЗЕМ'!H43*СПРАВОЧНИК!$H$5+'ФАКТ ЧЕРН ПОДЗЕМ'!I43*СПРАВОЧНИК!$I$5+'ФАКТ ЧЕРН ПОДЗЕМ'!J43*СПРАВОЧНИК!$J$5)+СПРАВОЧНИК!$F$5*('ФАКТ ЧИСТ ПОДЗЕМ'!L43*СПРАВОЧНИК!$L$5+'ФАКТ ЧИСТ ПОДЗЕМ'!M43*СПРАВОЧНИК!$M$5+'ФАКТ ЧИСТ ПОДЗЕМ'!N43*СПРАВОЧНИК!$N$5+'ФАКТ ЧИСТ ПОДЗЕМ'!O43*СПРАВОЧНИК!$O$5+'ФАКТ ЧИСТ ПОДЗЕМ'!P43*СПРАВОЧНИК!$P$5)+СПРАВОЧНИК!$E$6*('ФАКТ ЧЕРН ПОДЗЕМ'!K43*СПРАВОЧНИК!$H$6+'ФАКТ ЧЕРН ПОДЗЕМ'!L43*СПРАВОЧНИК!$I$6+'ФАКТ ЧЕРН ПОДЗЕМ'!M43*СПРАВОЧНИК!$J$6)+СПРАВОЧНИК!$F$6*('ФАКТ ЧИСТ ПОДЗЕМ'!Q43*СПРАВОЧНИК!$L$6+'ФАКТ ЧИСТ ПОДЗЕМ'!R43*СПРАВОЧНИК!$M$6+'ФАКТ ЧИСТ ПОДЗЕМ'!S43*СПРАВОЧНИК!$N$6+'ФАКТ ЧИСТ ПОДЗЕМ'!T43*СПРАВОЧНИК!$O$6+'ФАКТ ЧИСТ ПОДЗЕМ'!U43*СПРАВОЧНИК!$P$6)+СПРАВОЧНИК!$E$7*('ФАКТ ЧЕРН ПОДЗЕМ'!N43*СПРАВОЧНИК!$H$7+'ФАКТ ЧЕРН ПОДЗЕМ'!O43*СПРАВОЧНИК!$I$7+'ФАКТ ЧЕРН ПОДЗЕМ'!P43*СПРАВОЧНИК!$J$7)+СПРАВОЧНИК!$F$7*('ФАКТ ЧИСТ ПОДЗЕМ'!V43*СПРАВОЧНИК!$L$7+'ФАКТ ЧИСТ ПОДЗЕМ'!W43*СПРАВОЧНИК!$M$7+'ФАКТ ЧИСТ ПОДЗЕМ'!X43*СПРАВОЧНИК!$N$7+'ФАКТ ЧИСТ ПОДЗЕМ'!Y43*СПРАВОЧНИК!$O$7+'ФАКТ ЧИСТ ПОДЗЕМ'!Z43*СПРАВОЧНИК!$P$7)+СПРАВОЧНИК!$E$8*('ФАКТ ЧЕРН ПОДЗЕМ'!Q43*СПРАВОЧНИК!$H$8+'ФАКТ ЧЕРН ПОДЗЕМ'!R43*СПРАВОЧНИК!$I$8+'ФАКТ ЧЕРН ПОДЗЕМ'!S43*СПРАВОЧНИК!$J$8)+СПРАВОЧНИК!$F$8*('ФАКТ ЧИСТ ПОДЗЕМ'!AA43*СПРАВОЧНИК!$L$8+'ФАКТ ЧИСТ ПОДЗЕМ'!AB43*СПРАВОЧНИК!$M$8+'ФАКТ ЧИСТ ПОДЗЕМ'!AC43*СПРАВОЧНИК!$N$8+'ФАКТ ЧИСТ ПОДЗЕМ'!AD43*СПРАВОЧНИК!$O$8+'ФАКТ ЧИСТ ПОДЗЕМ'!AE43*СПРАВОЧНИК!$P$8)</f>
        <v/>
      </c>
      <c r="E52" s="34" t="n"/>
      <c r="H52" s="152">
        <f>H51+7</f>
        <v/>
      </c>
      <c r="I52" s="17">
        <f>'ПЛАН ЧЕРН ПОДЗЕМ'!B43*СПРАВОЧНИК!$H$3+'ПЛАН ЧЕРН ПОДЗЕМ'!C43*СПРАВОЧНИК!$I$3+'ПЛАН ЧЕРН ПОДЗЕМ'!D43*СПРАВОЧНИК!$J$3+'ПЛАН ЧЕРН ПОДЗЕМ'!E43*СПРАВОЧНИК!$H$4+'ПЛАН ЧЕРН ПОДЗЕМ'!F43*СПРАВОЧНИК!$I$4+'ПЛАН ЧЕРН ПОДЗЕМ'!G43*СПРАВОЧНИК!$J$4+'ПЛАН ЧЕРН ПОДЗЕМ'!H43*СПРАВОЧНИК!$H$5+'ПЛАН ЧЕРН ПОДЗЕМ'!I43*СПРАВОЧНИК!$I$5+'ПЛАН ЧЕРН ПОДЗЕМ'!J43*СПРАВОЧНИК!$J$5+'ПЛАН ЧЕРН ПОДЗЕМ'!K43*СПРАВОЧНИК!$H$6+'ПЛАН ЧЕРН ПОДЗЕМ'!L43*СПРАВОЧНИК!$I$6+'ПЛАН ЧЕРН ПОДЗЕМ'!M43*СПРАВОЧНИК!$J$6+'ПЛАН ЧЕРН ПОДЗЕМ'!N43*СПРАВОЧНИК!$H$7+'ПЛАН ЧЕРН ПОДЗЕМ'!O43*СПРАВОЧНИК!$I$7+'ПЛАН ЧЕРН ПОДЗЕМ'!P43*СПРАВОЧНИК!$J$7+'ПЛАН ЧЕРН ПОДЗЕМ'!Q43*СПРАВОЧНИК!$H$8+'ПЛАН ЧЕРН ПОДЗЕМ'!R43*СПРАВОЧНИК!$I$8+'ПЛАН ЧЕРН ПОДЗЕМ'!S43*СПРАВОЧНИК!$J$8</f>
        <v/>
      </c>
      <c r="J52" s="31">
        <f>('ФАКТ ЧЕРН ПОДЗЕМ'!B43)*СПРАВОЧНИК!$H$3+('ФАКТ ЧЕРН ПОДЗЕМ'!C43)*СПРАВОЧНИК!$I$3+('ФАКТ ЧЕРН ПОДЗЕМ'!D43)*СПРАВОЧНИК!$J$3+('ФАКТ ЧЕРН ПОДЗЕМ'!E43)*СПРАВОЧНИК!$H$4+('ФАКТ ЧЕРН ПОДЗЕМ'!F43)*СПРАВОЧНИК!$I$4+('ФАКТ ЧЕРН ПОДЗЕМ'!G43)*СПРАВОЧНИК!$J$4+('ФАКТ ЧЕРН ПОДЗЕМ'!H43)*СПРАВОЧНИК!$H$5+('ФАКТ ЧЕРН ПОДЗЕМ'!I43)*СПРАВОЧНИК!$I$5+('ФАКТ ЧЕРН ПОДЗЕМ'!J43)*СПРАВОЧНИК!$J$5+('ФАКТ ЧЕРН ПОДЗЕМ'!K43)*СПРАВОЧНИК!$H$6+('ФАКТ ЧЕРН ПОДЗЕМ'!L43)*СПРАВОЧНИК!$I$6+('ФАКТ ЧЕРН ПОДЗЕМ'!M43)*СПРАВОЧНИК!$J$6+('ФАКТ ЧЕРН ПОДЗЕМ'!N43)*СПРАВОЧНИК!$H$7+('ФАКТ ЧЕРН ПОДЗЕМ'!O43)*СПРАВОЧНИК!$I$7+('ФАКТ ЧЕРН ПОДЗЕМ'!P43)*СПРАВОЧНИК!$J$7+('ФАКТ ЧЕРН ПОДЗЕМ'!Q43)*СПРАВОЧНИК!$H$8+('ФАКТ ЧЕРН ПОДЗЕМ'!R43)*СПРАВОЧНИК!$I$8+('ФАКТ ЧЕРН ПОДЗЕМ'!S43)*СПРАВОЧНИК!$J$8</f>
        <v/>
      </c>
      <c r="K52" s="34" t="n"/>
      <c r="N52" s="152">
        <f>N51+7</f>
        <v/>
      </c>
      <c r="O52" s="17">
        <f>'ПЛАН ЧИСТ ПОДЗЕМ'!B43*СПРАВОЧНИК!$L$3+'ПЛАН ЧИСТ ПОДЗЕМ'!C43*СПРАВОЧНИК!$M$3+'ПЛАН ЧИСТ ПОДЗЕМ'!D43*СПРАВОЧНИК!$N$3+'ПЛАН ЧИСТ ПОДЗЕМ'!E43*СПРАВОЧНИК!$O$3+'ПЛАН ЧИСТ ПОДЗЕМ'!F43*СПРАВОЧНИК!$P$3+'ПЛАН ЧИСТ ПОДЗЕМ'!G43*СПРАВОЧНИК!$L$4+'ПЛАН ЧИСТ ПОДЗЕМ'!H43*СПРАВОЧНИК!$M$4+'ПЛАН ЧИСТ ПОДЗЕМ'!I43*СПРАВОЧНИК!$N$4+'ПЛАН ЧИСТ ПОДЗЕМ'!J43*СПРАВОЧНИК!$O$4+'ПЛАН ЧИСТ ПОДЗЕМ'!K43*СПРАВОЧНИК!$P$4+'ПЛАН ЧИСТ ПОДЗЕМ'!L43*СПРАВОЧНИК!$L$5+'ПЛАН ЧИСТ ПОДЗЕМ'!M43*СПРАВОЧНИК!$M$5+'ПЛАН ЧИСТ ПОДЗЕМ'!N43*СПРАВОЧНИК!$N$5+'ПЛАН ЧИСТ ПОДЗЕМ'!O43*СПРАВОЧНИК!$O$5+'ПЛАН ЧИСТ ПОДЗЕМ'!P43*СПРАВОЧНИК!$P$5+'ПЛАН ЧИСТ ПОДЗЕМ'!Q43*СПРАВОЧНИК!$L$6+'ПЛАН ЧИСТ ПОДЗЕМ'!R43*СПРАВОЧНИК!$M$6+'ПЛАН ЧИСТ ПОДЗЕМ'!S43*СПРАВОЧНИК!$N$6+'ПЛАН ЧИСТ ПОДЗЕМ'!T43*СПРАВОЧНИК!$O$6+'ПЛАН ЧИСТ ПОДЗЕМ'!U43*СПРАВОЧНИК!$P$6+'ПЛАН ЧИСТ ПОДЗЕМ'!V43*СПРАВОЧНИК!$L$7+'ПЛАН ЧИСТ ПОДЗЕМ'!W43*СПРАВОЧНИК!$M$7+'ПЛАН ЧИСТ ПОДЗЕМ'!X43*СПРАВОЧНИК!$N$7+'ПЛАН ЧИСТ ПОДЗЕМ'!Y43*СПРАВОЧНИК!$O$7+'ПЛАН ЧИСТ ПОДЗЕМ'!Z43*СПРАВОЧНИК!$P$7+'ПЛАН ЧИСТ ПОДЗЕМ'!AA43*СПРАВОЧНИК!$L$8+'ПЛАН ЧИСТ ПОДЗЕМ'!AB43*СПРАВОЧНИК!$M$8+'ПЛАН ЧИСТ ПОДЗЕМ'!AC43*СПРАВОЧНИК!$N$8+'ПЛАН ЧИСТ ПОДЗЕМ'!AD43*СПРАВОЧНИК!$O$8+'ПЛАН ЧИСТ ПОДЗЕМ'!AE43*СПРАВОЧНИК!$P$8</f>
        <v/>
      </c>
      <c r="P52" s="31">
        <f>('ФАКТ ЧИСТ ПОДЗЕМ'!B43)*СПРАВОЧНИК!$L$3+('ФАКТ ЧИСТ ПОДЗЕМ'!C43)*СПРАВОЧНИК!$M$3+('ФАКТ ЧИСТ ПОДЗЕМ'!D43)*СПРАВОЧНИК!$N$3+('ФАКТ ЧИСТ ПОДЗЕМ'!E43)*СПРАВОЧНИК!$O$3+('ФАКТ ЧИСТ ПОДЗЕМ'!F43)*СПРАВОЧНИК!$P$3+('ФАКТ ЧИСТ ПОДЗЕМ'!G43)*СПРАВОЧНИК!$L$4+('ФАКТ ЧИСТ ПОДЗЕМ'!H43)*СПРАВОЧНИК!$M$4+('ФАКТ ЧИСТ ПОДЗЕМ'!I43)*СПРАВОЧНИК!$N$4+('ФАКТ ЧИСТ ПОДЗЕМ'!J43)*СПРАВОЧНИК!$O$4+('ФАКТ ЧИСТ ПОДЗЕМ'!K43)*СПРАВОЧНИК!$P$4+('ФАКТ ЧИСТ ПОДЗЕМ'!L43)*СПРАВОЧНИК!$L$5+('ФАКТ ЧИСТ ПОДЗЕМ'!M43)*СПРАВОЧНИК!$M$5+('ФАКТ ЧИСТ ПОДЗЕМ'!N43)*СПРАВОЧНИК!$N$5+('ФАКТ ЧИСТ ПОДЗЕМ'!O43)*СПРАВОЧНИК!$O$5+('ФАКТ ЧИСТ ПОДЗЕМ'!P43)*СПРАВОЧНИК!$P$5+('ФАКТ ЧИСТ ПОДЗЕМ'!Q43)*СПРАВОЧНИК!$L$6+('ФАКТ ЧИСТ ПОДЗЕМ'!R43)*СПРАВОЧНИК!$M$6+('ФАКТ ЧИСТ ПОДЗЕМ'!S43)*СПРАВОЧНИК!$N$6+('ФАКТ ЧИСТ ПОДЗЕМ'!T43)*СПРАВОЧНИК!$O$6+('ФАКТ ЧИСТ ПОДЗЕМ'!U43)*СПРАВОЧНИК!$P$6+('ФАКТ ЧИСТ ПОДЗЕМ'!V43)*СПРАВОЧНИК!$L$7+('ФАКТ ЧИСТ ПОДЗЕМ'!W43)*СПРАВОЧНИК!$M$7+('ФАКТ ЧИСТ ПОДЗЕМ'!X43)*СПРАВОЧНИК!$N$7+('ФАКТ ЧИСТ ПОДЗЕМ'!Y43)*СПРАВОЧНИК!$O$7+('ФАКТ ЧИСТ ПОДЗЕМ'!Z43)*СПРАВОЧНИК!$P$7+('ФАКТ ЧИСТ ПОДЗЕМ'!AA43)*СПРАВОЧНИК!$L$8+('ФАКТ ЧИСТ ПОДЗЕМ'!AB43)*СПРАВОЧНИК!$M$8+('ФАКТ ЧИСТ ПОДЗЕМ'!AC43)*СПРАВОЧНИК!$N$8+('ФАКТ ЧИСТ ПОДЗЕМ'!AD43)*СПРАВОЧНИК!$O$8+('ФАКТ ЧИСТ ПОДЗЕМ'!AE43)*СПРАВОЧНИК!$P$8</f>
        <v/>
      </c>
      <c r="Q52" s="34" t="n"/>
      <c r="T52" s="152">
        <f>T51+7</f>
        <v/>
      </c>
      <c r="U52" s="17">
        <f>СПРАВОЧНИК!$E$9*('ПЛАН ЧЕРН К1'!B43*СПРАВОЧНИК!$H$9+'ПЛАН ЧЕРН К1'!C43*СПРАВОЧНИК!$I$9+'ПЛАН ЧЕРН К1'!D43*СПРАВОЧНИК!$J$9)+СПРАВОЧНИК!$F$9*('ПЛАН ЧИСТ К1'!B43*СПРАВОЧНИК!$L$9+'ПЛАН ЧИСТ К1'!C43*СПРАВОЧНИК!$M$9+'ПЛАН ЧИСТ К1'!D43*СПРАВОЧНИК!$N$9+'ПЛАН ЧИСТ К1'!E43*СПРАВОЧНИК!$O$9+'ПЛАН ЧИСТ К1'!F43*СПРАВОЧНИК!$P$9)+СПРАВОЧНИК!$E$10*('ПЛАН ЧЕРН К1'!E43*СПРАВОЧНИК!$H$10+'ПЛАН ЧЕРН К1'!F43*СПРАВОЧНИК!$I$10+'ПЛАН ЧЕРН К1'!G43*СПРАВОЧНИК!$J$10)+СПРАВОЧНИК!$F$10*('ПЛАН ЧИСТ К1'!G43*СПРАВОЧНИК!$L$10+'ПЛАН ЧИСТ К1'!H43*СПРАВОЧНИК!$M$10+'ПЛАН ЧИСТ К1'!I43*СПРАВОЧНИК!$N$10+'ПЛАН ЧИСТ К1'!J43*СПРАВОЧНИК!$O$10+'ПЛАН ЧИСТ К1'!K43*СПРАВОЧНИК!$P$10)+СПРАВОЧНИК!$E$11*('ПЛАН ЧЕРН К1'!H43*СПРАВОЧНИК!$H$11+'ПЛАН ЧЕРН К1'!I43*СПРАВОЧНИК!$I$11+'ПЛАН ЧЕРН К1'!J43*СПРАВОЧНИК!$J$11)+СПРАВОЧНИК!$F$11*('ПЛАН ЧИСТ К1'!L43*СПРАВОЧНИК!$L$11+'ПЛАН ЧИСТ К1'!M43*СПРАВОЧНИК!$M$11+'ПЛАН ЧИСТ К1'!N43*СПРАВОЧНИК!$N$11+'ПЛАН ЧИСТ К1'!O43*СПРАВОЧНИК!$O$11+'ПЛАН ЧИСТ К1'!P43*СПРАВОЧНИК!$P$11)+СПРАВОЧНИК!$E$12*('ПЛАН ЧЕРН К1'!K43*СПРАВОЧНИК!$H$12+'ПЛАН ЧЕРН К1'!L43*СПРАВОЧНИК!$I$12+'ПЛАН ЧЕРН К1'!M43*СПРАВОЧНИК!$J$12)+СПРАВОЧНИК!$F$12*('ПЛАН ЧИСТ К1'!Q43*СПРАВОЧНИК!$L$12+'ПЛАН ЧИСТ К1'!R43*СПРАВОЧНИК!$M$12+'ПЛАН ЧИСТ К1'!S43*СПРАВОЧНИК!$N$12+'ПЛАН ЧИСТ К1'!T43*СПРАВОЧНИК!$O$12+'ПЛАН ЧИСТ К1'!U43*СПРАВОЧНИК!$P$12)+СПРАВОЧНИК!$E$13*('ПЛАН ЧЕРН К1'!N43*СПРАВОЧНИК!$H$13+'ПЛАН ЧЕРН К1'!O43*СПРАВОЧНИК!$I$13+'ПЛАН ЧЕРН К1'!P43*СПРАВОЧНИК!$J$13)+СПРАВОЧНИК!$F$13*('ПЛАН ЧИСТ К1'!V43*СПРАВОЧНИК!$L$13+'ПЛАН ЧИСТ К1'!W43*СПРАВОЧНИК!$M$13+'ПЛАН ЧИСТ К1'!X43*СПРАВОЧНИК!$N$13+'ПЛАН ЧИСТ К1'!Y43*СПРАВОЧНИК!$O$13+'ПЛАН ЧИСТ К1'!Z43*СПРАВОЧНИК!$P$13)+СПРАВОЧНИК!$E$14*('ПЛАН ЧЕРН К1'!Q43*СПРАВОЧНИК!$H$14+'ПЛАН ЧЕРН К1'!R43*СПРАВОЧНИК!$I$14+'ПЛАН ЧЕРН К1'!S43*СПРАВОЧНИК!$J$14)+СПРАВОЧНИК!$F$14*('ПЛАН ЧИСТ К1'!AA43*СПРАВОЧНИК!$L$14+'ПЛАН ЧИСТ К1'!AB43*СПРАВОЧНИК!$M$14+'ПЛАН ЧИСТ К1'!AC43*СПРАВОЧНИК!$N$14+'ПЛАН ЧИСТ К1'!AD43*СПРАВОЧНИК!$O$14+'ПЛАН ЧИСТ К1'!AE43*СПРАВОЧНИК!$P$14)+СПРАВОЧНИК!$E$15*('ПЛАН ЧЕРН К1'!T43*СПРАВОЧНИК!$H$15+'ПЛАН ЧЕРН К1'!U43*СПРАВОЧНИК!$I$15+'ПЛАН ЧЕРН К1'!V43*СПРАВОЧНИК!$J$15)+СПРАВОЧНИК!$F$15*('ПЛАН ЧИСТ К1'!AF43*СПРАВОЧНИК!$L$15+'ПЛАН ЧИСТ К1'!AG43*СПРАВОЧНИК!$M$15+'ПЛАН ЧИСТ К1'!AH43*СПРАВОЧНИК!$N$15+'ПЛАН ЧИСТ К1'!AI43*СПРАВОЧНИК!$O$15+'ПЛАН ЧИСТ К1'!AJ43*СПРАВОЧНИК!$P$15)</f>
        <v/>
      </c>
      <c r="V52" s="31">
        <f>СПРАВОЧНИК!$E$9*('ФАКТ ЧЕРН К1'!B43*СПРАВОЧНИК!$H$9+'ФАКТ ЧЕРН К1'!C43*СПРАВОЧНИК!$I$9+'ФАКТ ЧЕРН К1'!D43*СПРАВОЧНИК!$J$9)+СПРАВОЧНИК!$F$9*('ФАКТ ЧИСТ К1'!B43*СПРАВОЧНИК!$L$9+'ФАКТ ЧИСТ К1'!C43*СПРАВОЧНИК!$M$9+'ФАКТ ЧИСТ К1'!D43*СПРАВОЧНИК!$N$9+'ФАКТ ЧИСТ К1'!E43*СПРАВОЧНИК!$O$9+'ФАКТ ЧИСТ К1'!F43*СПРАВОЧНИК!$P$9)+СПРАВОЧНИК!$E$10*('ФАКТ ЧЕРН К1'!E43*СПРАВОЧНИК!$H$10+'ФАКТ ЧЕРН К1'!F43*СПРАВОЧНИК!$I$10+'ФАКТ ЧЕРН К1'!G43*СПРАВОЧНИК!$J$10)+СПРАВОЧНИК!$F$10*('ФАКТ ЧИСТ К1'!G43*СПРАВОЧНИК!$L$10+'ФАКТ ЧИСТ К1'!H43*СПРАВОЧНИК!$M$10+'ФАКТ ЧИСТ К1'!I43*СПРАВОЧНИК!$N$10+'ФАКТ ЧИСТ К1'!J43*СПРАВОЧНИК!$O$10+'ФАКТ ЧИСТ К1'!K43*СПРАВОЧНИК!$P$10)+СПРАВОЧНИК!$E$11*('ФАКТ ЧЕРН К1'!H43*СПРАВОЧНИК!$H$11+'ФАКТ ЧЕРН К1'!I43*СПРАВОЧНИК!$I$11+'ФАКТ ЧЕРН К1'!J43*СПРАВОЧНИК!$J$11)+СПРАВОЧНИК!$F$11*('ФАКТ ЧИСТ К1'!L43*СПРАВОЧНИК!$L$11+'ФАКТ ЧИСТ К1'!M43*СПРАВОЧНИК!$M$11+'ФАКТ ЧИСТ К1'!N43*СПРАВОЧНИК!$N$11+'ФАКТ ЧИСТ К1'!O43*СПРАВОЧНИК!$O$11+'ФАКТ ЧИСТ К1'!P43*СПРАВОЧНИК!$P$11)+СПРАВОЧНИК!$E$12*('ФАКТ ЧЕРН К1'!K43*СПРАВОЧНИК!$H$12+'ФАКТ ЧЕРН К1'!L43*СПРАВОЧНИК!$I$12+'ФАКТ ЧЕРН К1'!M43*СПРАВОЧНИК!$J$12)+СПРАВОЧНИК!$F$12*('ФАКТ ЧИСТ К1'!Q43*СПРАВОЧНИК!$L$12+'ФАКТ ЧИСТ К1'!R43*СПРАВОЧНИК!$M$12+'ФАКТ ЧИСТ К1'!S43*СПРАВОЧНИК!$N$12+'ФАКТ ЧИСТ К1'!T43*СПРАВОЧНИК!$O$12+'ФАКТ ЧИСТ К1'!U43*СПРАВОЧНИК!$P$12)+СПРАВОЧНИК!$E$13*('ФАКТ ЧЕРН К1'!N43*СПРАВОЧНИК!$H$13+'ФАКТ ЧЕРН К1'!O43*СПРАВОЧНИК!$I$13+'ФАКТ ЧЕРН К1'!P43*СПРАВОЧНИК!$J$13)+СПРАВОЧНИК!$F$13*('ФАКТ ЧИСТ К1'!V43*СПРАВОЧНИК!$L$13+'ФАКТ ЧИСТ К1'!W43*СПРАВОЧНИК!$M$13+'ФАКТ ЧИСТ К1'!X43*СПРАВОЧНИК!$N$13+'ФАКТ ЧИСТ К1'!Y43*СПРАВОЧНИК!$O$13+'ФАКТ ЧИСТ К1'!Z43*СПРАВОЧНИК!$P$13)+СПРАВОЧНИК!$E$14*('ФАКТ ЧЕРН К1'!Q43*СПРАВОЧНИК!$H$14+'ФАКТ ЧЕРН К1'!R43*СПРАВОЧНИК!$I$14+'ФАКТ ЧЕРН К1'!S43*СПРАВОЧНИК!$J$14)+СПРАВОЧНИК!$F$14*('ФАКТ ЧИСТ К1'!AA43*СПРАВОЧНИК!$L$14+'ФАКТ ЧИСТ К1'!AB43*СПРАВОЧНИК!$M$14+'ФАКТ ЧИСТ К1'!AC43*СПРАВОЧНИК!$N$14+'ФАКТ ЧИСТ К1'!AD43*СПРАВОЧНИК!$O$14+'ФАКТ ЧИСТ К1'!AE43*СПРАВОЧНИК!$P$14)+СПРАВОЧНИК!$E$15*('ФАКТ ЧЕРН К1'!T43*СПРАВОЧНИК!$H$15+'ФАКТ ЧЕРН К1'!U43*СПРАВОЧНИК!$I$15+'ФАКТ ЧЕРН К1'!V43*СПРАВОЧНИК!$J$15)+СПРАВОЧНИК!$F$15*('ФАКТ ЧИСТ К1'!AF43*СПРАВОЧНИК!$L$15+'ФАКТ ЧИСТ К1'!AG43*СПРАВОЧНИК!$M$15+'ФАКТ ЧИСТ К1'!AH43*СПРАВОЧНИК!$N$15+'ФАКТ ЧИСТ К1'!AI43*СПРАВОЧНИК!$O$15+'ФАКТ ЧИСТ К1'!AJ43*СПРАВОЧНИК!$P$15)</f>
        <v/>
      </c>
      <c r="W52" s="34" t="n"/>
      <c r="Z52" s="152">
        <f>Z51+7</f>
        <v/>
      </c>
      <c r="AA52" s="17">
        <f>'ПЛАН ЧЕРН К1'!B43*СПРАВОЧНИК!$H$9+'ПЛАН ЧЕРН К1'!C43*СПРАВОЧНИК!$I$9+'ПЛАН ЧЕРН К1'!D43*СПРАВОЧНИК!$J$9+'ПЛАН ЧЕРН К1'!E43*СПРАВОЧНИК!$H$10+'ПЛАН ЧЕРН К1'!F43*СПРАВОЧНИК!$I$10+'ПЛАН ЧЕРН К1'!G43*СПРАВОЧНИК!$J$10+'ПЛАН ЧЕРН К1'!H43*СПРАВОЧНИК!$H$11+'ПЛАН ЧЕРН К1'!I43*СПРАВОЧНИК!$I$11+'ПЛАН ЧЕРН К1'!J43*СПРАВОЧНИК!$J$11+'ПЛАН ЧЕРН К1'!K43*СПРАВОЧНИК!$H$12+'ПЛАН ЧЕРН К1'!L43*СПРАВОЧНИК!$I$12+'ПЛАН ЧЕРН К1'!M43*СПРАВОЧНИК!$J$12+'ПЛАН ЧЕРН К1'!N43*СПРАВОЧНИК!$H$13+'ПЛАН ЧЕРН К1'!O43*СПРАВОЧНИК!$I$13+'ПЛАН ЧЕРН К1'!P43*СПРАВОЧНИК!$J$13+'ПЛАН ЧЕРН К1'!Q43*СПРАВОЧНИК!$H$14+'ПЛАН ЧЕРН К1'!R43*СПРАВОЧНИК!$I$14+'ПЛАН ЧЕРН К1'!S43*СПРАВОЧНИК!$J$14+'ПЛАН ЧЕРН К1'!T43*СПРАВОЧНИК!$H$15+'ПЛАН ЧЕРН К1'!U43*СПРАВОЧНИК!$I$15+'ПЛАН ЧЕРН К1'!V43*СПРАВОЧНИК!$J$15</f>
        <v/>
      </c>
      <c r="AB52" s="31">
        <f>('ФАКТ ЧЕРН К1'!B43)*СПРАВОЧНИК!$H$9+('ФАКТ ЧЕРН К1'!C43)*СПРАВОЧНИК!$I$9+('ФАКТ ЧЕРН К1'!D43)*СПРАВОЧНИК!$J$9+('ФАКТ ЧЕРН К1'!E43)*СПРАВОЧНИК!$H$10+('ФАКТ ЧЕРН К1'!F43)*СПРАВОЧНИК!$I$10+('ФАКТ ЧЕРН К1'!G43)*СПРАВОЧНИК!$J$10+('ФАКТ ЧЕРН К1'!H43)*СПРАВОЧНИК!$H$11+('ФАКТ ЧЕРН К1'!I43)*СПРАВОЧНИК!$I$11+('ФАКТ ЧЕРН К1'!J43)*СПРАВОЧНИК!$J$11+('ФАКТ ЧЕРН К1'!K43)*СПРАВОЧНИК!$H$12+('ФАКТ ЧЕРН К1'!L43)*СПРАВОЧНИК!$I$12+('ФАКТ ЧЕРН К1'!M43)*СПРАВОЧНИК!$J$12+('ФАКТ ЧЕРН К1'!N43)*СПРАВОЧНИК!$H$13+('ФАКТ ЧЕРН К1'!O43)*СПРАВОЧНИК!$I$13+('ФАКТ ЧЕРН К1'!P43)*СПРАВОЧНИК!$J$13+('ФАКТ ЧЕРН К1'!Q43)*СПРАВОЧНИК!$H$14+('ФАКТ ЧЕРН К1'!R43)*СПРАВОЧНИК!$I$14+('ФАКТ ЧЕРН К1'!S43)*СПРАВОЧНИК!$J$14+('ФАКТ ЧЕРН К1'!T43)*СПРАВОЧНИК!$H$15+('ФАКТ ЧЕРН К1'!U43)*СПРАВОЧНИК!$I$15+('ФАКТ ЧЕРН К1'!V43)*СПРАВОЧНИК!$J$15</f>
        <v/>
      </c>
      <c r="AC52" s="34" t="n"/>
      <c r="AF52" s="152">
        <f>AF51+7</f>
        <v/>
      </c>
      <c r="AG52" s="17">
        <f>'ПЛАН ЧИСТ К1'!B43*СПРАВОЧНИК!$L$9+'ПЛАН ЧИСТ К1'!C43*СПРАВОЧНИК!$M$9+'ПЛАН ЧИСТ К1'!D43*СПРАВОЧНИК!$N$9+'ПЛАН ЧИСТ К1'!E43*СПРАВОЧНИК!$O$9+'ПЛАН ЧИСТ К1'!F43*СПРАВОЧНИК!$P$9+'ПЛАН ЧИСТ К1'!G43*СПРАВОЧНИК!$L$10+'ПЛАН ЧИСТ К1'!H43*СПРАВОЧНИК!$M$10+'ПЛАН ЧИСТ К1'!I43*СПРАВОЧНИК!$N$10+'ПЛАН ЧИСТ К1'!J43*СПРАВОЧНИК!$O$10+'ПЛАН ЧИСТ К1'!K43*СПРАВОЧНИК!$P$10+'ПЛАН ЧИСТ К1'!L43*СПРАВОЧНИК!$L$11+'ПЛАН ЧИСТ К1'!M43*СПРАВОЧНИК!$M$11+'ПЛАН ЧИСТ К1'!N43*СПРАВОЧНИК!$N$11+'ПЛАН ЧИСТ К1'!O43*СПРАВОЧНИК!$O$11+'ПЛАН ЧИСТ К1'!P43*СПРАВОЧНИК!$P$11+'ПЛАН ЧИСТ К1'!Q43*СПРАВОЧНИК!$L$12+'ПЛАН ЧИСТ К1'!R43*СПРАВОЧНИК!$M$12+'ПЛАН ЧИСТ К1'!S43*СПРАВОЧНИК!$N$12+'ПЛАН ЧИСТ К1'!T43*СПРАВОЧНИК!$O$12+'ПЛАН ЧИСТ К1'!U43*СПРАВОЧНИК!$P$12+'ПЛАН ЧИСТ К1'!V43*СПРАВОЧНИК!$L$13+'ПЛАН ЧИСТ К1'!W43*СПРАВОЧНИК!$M$13+'ПЛАН ЧИСТ К1'!X43*СПРАВОЧНИК!$N$13+'ПЛАН ЧИСТ К1'!Y43*СПРАВОЧНИК!$O$13+'ПЛАН ЧИСТ К1'!Z43*СПРАВОЧНИК!$P$13+'ПЛАН ЧИСТ К1'!AA43*СПРАВОЧНИК!$L$14+'ПЛАН ЧИСТ К1'!AB43*СПРАВОЧНИК!$M$14+'ПЛАН ЧИСТ К1'!AC43*СПРАВОЧНИК!$N$14+'ПЛАН ЧИСТ К1'!AD43*СПРАВОЧНИК!$O$14+'ПЛАН ЧИСТ К1'!AE43*СПРАВОЧНИК!$P$14+'ПЛАН ЧИСТ К1'!AF43*СПРАВОЧНИК!$L$15+'ПЛАН ЧИСТ К1'!AG43*СПРАВОЧНИК!$M$15+'ПЛАН ЧИСТ К1'!AH43*СПРАВОЧНИК!$N$15+'ПЛАН ЧИСТ К1'!AI43*СПРАВОЧНИК!$O$15+'ПЛАН ЧИСТ К1'!AJ43*СПРАВОЧНИК!$P$15</f>
        <v/>
      </c>
      <c r="AH52" s="31">
        <f>('ФАКТ ЧИСТ К1'!B43)*СПРАВОЧНИК!$L$9+('ФАКТ ЧИСТ К1'!C43)*СПРАВОЧНИК!$M$9+('ФАКТ ЧИСТ К1'!D43)*СПРАВОЧНИК!$N$9+('ФАКТ ЧИСТ К1'!E43)*СПРАВОЧНИК!$O$9+('ФАКТ ЧИСТ К1'!F43)*СПРАВОЧНИК!$P$9+('ФАКТ ЧИСТ К1'!G43)*СПРАВОЧНИК!$L$10+('ФАКТ ЧИСТ К1'!H43)*СПРАВОЧНИК!$M$10+('ФАКТ ЧИСТ К1'!I43)*СПРАВОЧНИК!$N$10+('ФАКТ ЧИСТ К1'!J43)*СПРАВОЧНИК!$O$10+('ФАКТ ЧИСТ К1'!K43)*СПРАВОЧНИК!$P$10+('ФАКТ ЧИСТ К1'!L43)*СПРАВОЧНИК!$L$11+('ФАКТ ЧИСТ К1'!M43)*СПРАВОЧНИК!$M$11+('ФАКТ ЧИСТ К1'!N43)*СПРАВОЧНИК!$N$11+('ФАКТ ЧИСТ К1'!O43)*СПРАВОЧНИК!$O$11+('ФАКТ ЧИСТ К1'!P43)*СПРАВОЧНИК!$P$11+('ФАКТ ЧИСТ К1'!Q43)*СПРАВОЧНИК!$L$12+('ФАКТ ЧИСТ К1'!R43)*СПРАВОЧНИК!$M$12+('ФАКТ ЧИСТ К1'!S43)*СПРАВОЧНИК!$N$12+('ФАКТ ЧИСТ К1'!T43)*СПРАВОЧНИК!$O$12+('ФАКТ ЧИСТ К1'!U43)*СПРАВОЧНИК!$P$12+('ФАКТ ЧИСТ К1'!V43)*СПРАВОЧНИК!$L$13+('ФАКТ ЧИСТ К1'!W43)*СПРАВОЧНИК!$M$13+('ФАКТ ЧИСТ К1'!X43)*СПРАВОЧНИК!$N$13+('ФАКТ ЧИСТ К1'!Y43)*СПРАВОЧНИК!$O$13+('ФАКТ ЧИСТ К1'!Z43)*СПРАВОЧНИК!$P$13+('ФАКТ ЧИСТ К1'!AA43)*СПРАВОЧНИК!$L$14+('ФАКТ ЧИСТ К1'!AB43)*СПРАВОЧНИК!$M$14+('ФАКТ ЧИСТ К1'!AC43)*СПРАВОЧНИК!$N$14+('ФАКТ ЧИСТ К1'!AD43)*СПРАВОЧНИК!$O$14+('ФАКТ ЧИСТ К1'!AE43)*СПРАВОЧНИК!$P$14+('ФАКТ ЧИСТ К1'!AF43)*СПРАВОЧНИК!$L$15+('ФАКТ ЧИСТ К1'!AG43)*СПРАВОЧНИК!$M$15+('ФАКТ ЧИСТ К1'!AH43)*СПРАВОЧНИК!$N$15+('ФАКТ ЧИСТ К1'!AI43)*СПРАВОЧНИК!$O$15+('ФАКТ ЧИСТ К1'!AJ43)*СПРАВОЧНИК!$P$15</f>
        <v/>
      </c>
      <c r="AI52" s="34" t="n"/>
      <c r="AL52" s="152">
        <f>AL51+7</f>
        <v/>
      </c>
      <c r="AM52" s="17">
        <f>СПРАВОЧНИК!$E$9*('ПЛАН ЧЕРН К2'!B43*СПРАВОЧНИК!$H$9+'ПЛАН ЧЕРН К2'!C43*СПРАВОЧНИК!$I$9+'ПЛАН ЧЕРН К2'!D43*СПРАВОЧНИК!$J$9)+СПРАВОЧНИК!$F$9*('ПЛАН ЧИСТ К2'!B43*СПРАВОЧНИК!$L$9+'ПЛАН ЧИСТ К2'!C43*СПРАВОЧНИК!$M$9+'ПЛАН ЧИСТ К2'!D43*СПРАВОЧНИК!$N$9+'ПЛАН ЧИСТ К2'!E43*СПРАВОЧНИК!$O$9+'ПЛАН ЧИСТ К2'!F43*СПРАВОЧНИК!$P$9)+СПРАВОЧНИК!$E$10*('ПЛАН ЧЕРН К2'!E43*СПРАВОЧНИК!$H$10+'ПЛАН ЧЕРН К2'!F43*СПРАВОЧНИК!$I$10+'ПЛАН ЧЕРН К2'!G43*СПРАВОЧНИК!$J$10)+СПРАВОЧНИК!$F$10*('ПЛАН ЧИСТ К2'!G43*СПРАВОЧНИК!$L$10+'ПЛАН ЧИСТ К2'!H43*СПРАВОЧНИК!$M$10+'ПЛАН ЧИСТ К2'!I43*СПРАВОЧНИК!$N$10+'ПЛАН ЧИСТ К2'!J43*СПРАВОЧНИК!$O$10+'ПЛАН ЧИСТ К2'!K43*СПРАВОЧНИК!$P$10)+СПРАВОЧНИК!$E$11*('ПЛАН ЧЕРН К2'!H43*СПРАВОЧНИК!$H$11+'ПЛАН ЧЕРН К2'!I43*СПРАВОЧНИК!$I$11+'ПЛАН ЧЕРН К2'!J43*СПРАВОЧНИК!$J$11)+СПРАВОЧНИК!$F$11*('ПЛАН ЧИСТ К2'!L43*СПРАВОЧНИК!$L$11+'ПЛАН ЧИСТ К2'!M43*СПРАВОЧНИК!$M$11+'ПЛАН ЧИСТ К2'!N43*СПРАВОЧНИК!$N$11+'ПЛАН ЧИСТ К2'!O43*СПРАВОЧНИК!$O$11+'ПЛАН ЧИСТ К2'!P43*СПРАВОЧНИК!$P$11)+СПРАВОЧНИК!$E$12*('ПЛАН ЧЕРН К2'!K43*СПРАВОЧНИК!$H$12+'ПЛАН ЧЕРН К2'!L43*СПРАВОЧНИК!$I$12+'ПЛАН ЧЕРН К2'!M43*СПРАВОЧНИК!$J$12)+СПРАВОЧНИК!$F$12*('ПЛАН ЧИСТ К2'!Q43*СПРАВОЧНИК!$L$12+'ПЛАН ЧИСТ К2'!R43*СПРАВОЧНИК!$M$12+'ПЛАН ЧИСТ К2'!S43*СПРАВОЧНИК!$N$12+'ПЛАН ЧИСТ К2'!T43*СПРАВОЧНИК!$O$12+'ПЛАН ЧИСТ К2'!U43*СПРАВОЧНИК!$P$12)+СПРАВОЧНИК!$E$13*('ПЛАН ЧЕРН К2'!N43*СПРАВОЧНИК!$H$13+'ПЛАН ЧЕРН К2'!O43*СПРАВОЧНИК!$I$13+'ПЛАН ЧЕРН К2'!P43*СПРАВОЧНИК!$J$13)+СПРАВОЧНИК!$F$13*('ПЛАН ЧИСТ К2'!V43*СПРАВОЧНИК!$L$13+'ПЛАН ЧИСТ К2'!W43*СПРАВОЧНИК!$M$13+'ПЛАН ЧИСТ К2'!X43*СПРАВОЧНИК!$N$13+'ПЛАН ЧИСТ К2'!Y43*СПРАВОЧНИК!$O$13+'ПЛАН ЧИСТ К2'!Z43*СПРАВОЧНИК!$P$13)+СПРАВОЧНИК!$E$14*('ПЛАН ЧЕРН К2'!Q43*СПРАВОЧНИК!$H$14+'ПЛАН ЧЕРН К2'!R43*СПРАВОЧНИК!$I$14+'ПЛАН ЧЕРН К2'!S43*СПРАВОЧНИК!$J$14)+СПРАВОЧНИК!$F$14*('ПЛАН ЧИСТ К2'!AA43*СПРАВОЧНИК!$L$14+'ПЛАН ЧИСТ К2'!AB43*СПРАВОЧНИК!$M$14+'ПЛАН ЧИСТ К2'!AC43*СПРАВОЧНИК!$N$14+'ПЛАН ЧИСТ К2'!AD43*СПРАВОЧНИК!$O$14+'ПЛАН ЧИСТ К2'!AE43*СПРАВОЧНИК!$P$14)+СПРАВОЧНИК!$E$15*('ПЛАН ЧЕРН К2'!T43*СПРАВОЧНИК!$H$15+'ПЛАН ЧЕРН К2'!U43*СПРАВОЧНИК!$I$15+'ПЛАН ЧЕРН К2'!V43*СПРАВОЧНИК!$J$15)+СПРАВОЧНИК!$F$15*('ПЛАН ЧИСТ К2'!AF43*СПРАВОЧНИК!$L$15+'ПЛАН ЧИСТ К2'!AG43*СПРАВОЧНИК!$M$15+'ПЛАН ЧИСТ К2'!AH43*СПРАВОЧНИК!$N$15+'ПЛАН ЧИСТ К2'!AI43*СПРАВОЧНИК!$O$15+'ПЛАН ЧИСТ К2'!AJ43*СПРАВОЧНИК!$P$15)</f>
        <v/>
      </c>
      <c r="AN52" s="31">
        <f>СПРАВОЧНИК!$E$9*('ФАКТ ЧЕРН К2'!B43*СПРАВОЧНИК!$H$9+'ФАКТ ЧЕРН К2'!C43*СПРАВОЧНИК!$I$9+'ФАКТ ЧЕРН К2'!D43*СПРАВОЧНИК!$J$9)+СПРАВОЧНИК!$F$9*('ФАКТ ЧИСТ К2'!B43*СПРАВОЧНИК!$L$9+'ФАКТ ЧИСТ К2'!C43*СПРАВОЧНИК!$M$9+'ФАКТ ЧИСТ К2'!D43*СПРАВОЧНИК!$N$9+'ФАКТ ЧИСТ К2'!E43*СПРАВОЧНИК!$O$9+'ФАКТ ЧИСТ К2'!F43*СПРАВОЧНИК!$P$9)+СПРАВОЧНИК!$E$10*('ФАКТ ЧЕРН К2'!E43*СПРАВОЧНИК!$H$10+'ФАКТ ЧЕРН К2'!F43*СПРАВОЧНИК!$I$10+'ФАКТ ЧЕРН К2'!G43*СПРАВОЧНИК!$J$10)+СПРАВОЧНИК!$F$10*('ФАКТ ЧИСТ К2'!G43*СПРАВОЧНИК!$L$10+'ФАКТ ЧИСТ К2'!H43*СПРАВОЧНИК!$M$10+'ФАКТ ЧИСТ К2'!I43*СПРАВОЧНИК!$N$10+'ФАКТ ЧИСТ К2'!J43*СПРАВОЧНИК!$O$10+'ФАКТ ЧИСТ К2'!K43*СПРАВОЧНИК!$P$10)+СПРАВОЧНИК!$E$11*('ФАКТ ЧЕРН К2'!H43*СПРАВОЧНИК!$H$11+'ФАКТ ЧЕРН К2'!I43*СПРАВОЧНИК!$I$11+'ФАКТ ЧЕРН К2'!J43*СПРАВОЧНИК!$J$11)+СПРАВОЧНИК!$F$11*('ФАКТ ЧИСТ К2'!L43*СПРАВОЧНИК!$L$11+'ФАКТ ЧИСТ К2'!M43*СПРАВОЧНИК!$M$11+'ФАКТ ЧИСТ К2'!N43*СПРАВОЧНИК!$N$11+'ФАКТ ЧИСТ К2'!O43*СПРАВОЧНИК!$O$11+'ФАКТ ЧИСТ К2'!P43*СПРАВОЧНИК!$P$11)+СПРАВОЧНИК!$E$12*('ФАКТ ЧЕРН К2'!K43*СПРАВОЧНИК!$H$12+'ФАКТ ЧЕРН К2'!L43*СПРАВОЧНИК!$I$12+'ФАКТ ЧЕРН К2'!M43*СПРАВОЧНИК!$J$12)+СПРАВОЧНИК!$F$12*('ФАКТ ЧИСТ К2'!Q43*СПРАВОЧНИК!$L$12+'ФАКТ ЧИСТ К2'!R43*СПРАВОЧНИК!$M$12+'ФАКТ ЧИСТ К2'!S43*СПРАВОЧНИК!$N$12+'ФАКТ ЧИСТ К2'!T43*СПРАВОЧНИК!$O$12+'ФАКТ ЧИСТ К2'!U43*СПРАВОЧНИК!$P$12)+СПРАВОЧНИК!$E$13*('ФАКТ ЧЕРН К2'!N43*СПРАВОЧНИК!$H$13+'ФАКТ ЧЕРН К2'!O43*СПРАВОЧНИК!$I$13+'ФАКТ ЧЕРН К2'!P43*СПРАВОЧНИК!$J$13)+СПРАВОЧНИК!$F$13*('ФАКТ ЧИСТ К2'!V43*СПРАВОЧНИК!$L$13+'ФАКТ ЧИСТ К2'!W43*СПРАВОЧНИК!$M$13+'ФАКТ ЧИСТ К2'!X43*СПРАВОЧНИК!$N$13+'ФАКТ ЧИСТ К2'!Y43*СПРАВОЧНИК!$O$13+'ФАКТ ЧИСТ К2'!Z43*СПРАВОЧНИК!$P$13)+СПРАВОЧНИК!$E$14*('ФАКТ ЧЕРН К2'!Q43*СПРАВОЧНИК!$H$14+'ФАКТ ЧЕРН К2'!R43*СПРАВОЧНИК!$I$14+'ФАКТ ЧЕРН К2'!S43*СПРАВОЧНИК!$J$14)+СПРАВОЧНИК!$F$14*('ФАКТ ЧИСТ К2'!AA43*СПРАВОЧНИК!$L$14+'ФАКТ ЧИСТ К2'!AB43*СПРАВОЧНИК!$M$14+'ФАКТ ЧИСТ К2'!AC43*СПРАВОЧНИК!$N$14+'ФАКТ ЧИСТ К2'!AD43*СПРАВОЧНИК!$O$14+'ФАКТ ЧИСТ К2'!AE43*СПРАВОЧНИК!$P$14)+СПРАВОЧНИК!$E$15*('ФАКТ ЧЕРН К2'!T43*СПРАВОЧНИК!$H$15+'ФАКТ ЧЕРН К2'!U43*СПРАВОЧНИК!$I$15+'ФАКТ ЧЕРН К2'!V43*СПРАВОЧНИК!$J$15)+СПРАВОЧНИК!$F$15*('ФАКТ ЧИСТ К2'!AF43*СПРАВОЧНИК!$L$15+'ФАКТ ЧИСТ К2'!AG43*СПРАВОЧНИК!$M$15+'ФАКТ ЧИСТ К2'!AH43*СПРАВОЧНИК!$N$15+'ФАКТ ЧИСТ К2'!AI43*СПРАВОЧНИК!$O$15+'ФАКТ ЧИСТ К2'!AJ43*СПРАВОЧНИК!$P$15)</f>
        <v/>
      </c>
      <c r="AO52" s="34" t="n"/>
      <c r="AR52" s="152">
        <f>AR51+7</f>
        <v/>
      </c>
      <c r="AS52" s="17">
        <f>'ПЛАН ЧЕРН К2'!B43*СПРАВОЧНИК!$H$9+'ПЛАН ЧЕРН К2'!C43*СПРАВОЧНИК!$I$9+'ПЛАН ЧЕРН К2'!D43*СПРАВОЧНИК!$J$9+'ПЛАН ЧЕРН К2'!E43*СПРАВОЧНИК!$H$10+'ПЛАН ЧЕРН К2'!F43*СПРАВОЧНИК!$I$10+'ПЛАН ЧЕРН К2'!G43*СПРАВОЧНИК!$J$10+'ПЛАН ЧЕРН К2'!H43*СПРАВОЧНИК!$H$11+'ПЛАН ЧЕРН К2'!I43*СПРАВОЧНИК!$I$11+'ПЛАН ЧЕРН К2'!J43*СПРАВОЧНИК!$J$11+'ПЛАН ЧЕРН К2'!K43*СПРАВОЧНИК!$H$12+'ПЛАН ЧЕРН К2'!L43*СПРАВОЧНИК!$I$12+'ПЛАН ЧЕРН К2'!M43*СПРАВОЧНИК!$J$12+'ПЛАН ЧЕРН К2'!N43*СПРАВОЧНИК!$H$13+'ПЛАН ЧЕРН К2'!O43*СПРАВОЧНИК!$I$13+'ПЛАН ЧЕРН К2'!P43*СПРАВОЧНИК!$J$13+'ПЛАН ЧЕРН К2'!Q43*СПРАВОЧНИК!$H$14+'ПЛАН ЧЕРН К2'!R43*СПРАВОЧНИК!$I$14+'ПЛАН ЧЕРН К2'!S43*СПРАВОЧНИК!$J$14+'ПЛАН ЧЕРН К2'!T43*СПРАВОЧНИК!$H$15+'ПЛАН ЧЕРН К2'!U43*СПРАВОЧНИК!$I$15+'ПЛАН ЧЕРН К2'!V43*СПРАВОЧНИК!$J$15</f>
        <v/>
      </c>
      <c r="AT52" s="31">
        <f>('ФАКТ ЧЕРН К2'!B43)*СПРАВОЧНИК!$H$9+('ФАКТ ЧЕРН К2'!C43)*СПРАВОЧНИК!$I$9+('ФАКТ ЧЕРН К2'!D43)*СПРАВОЧНИК!$J$9+('ФАКТ ЧЕРН К2'!E43)*СПРАВОЧНИК!$H$10+('ФАКТ ЧЕРН К2'!F43)*СПРАВОЧНИК!$I$10+('ФАКТ ЧЕРН К2'!G43)*СПРАВОЧНИК!$J$10+('ФАКТ ЧЕРН К2'!H43)*СПРАВОЧНИК!$H$11+('ФАКТ ЧЕРН К2'!I43)*СПРАВОЧНИК!$I$11+('ФАКТ ЧЕРН К2'!J43)*СПРАВОЧНИК!$J$11+('ФАКТ ЧЕРН К2'!K43)*СПРАВОЧНИК!$H$12+('ФАКТ ЧЕРН К2'!L43)*СПРАВОЧНИК!$I$12+('ФАКТ ЧЕРН К2'!M43)*СПРАВОЧНИК!$J$12+('ФАКТ ЧЕРН К2'!N43)*СПРАВОЧНИК!$H$13+('ФАКТ ЧЕРН К2'!O43)*СПРАВОЧНИК!$I$13+('ФАКТ ЧЕРН К2'!P43)*СПРАВОЧНИК!$J$13+('ФАКТ ЧЕРН К2'!Q43)*СПРАВОЧНИК!$H$14+('ФАКТ ЧЕРН К2'!R43)*СПРАВОЧНИК!$I$14+('ФАКТ ЧЕРН К2'!S43)*СПРАВОЧНИК!$J$14+('ФАКТ ЧЕРН К2'!T43)*СПРАВОЧНИК!$H$15+('ФАКТ ЧЕРН К2'!U43)*СПРАВОЧНИК!$I$15+('ФАКТ ЧЕРН К2'!V43)*СПРАВОЧНИК!$J$15</f>
        <v/>
      </c>
      <c r="AU52" s="34" t="n"/>
      <c r="AX52" s="152">
        <f>AX51+7</f>
        <v/>
      </c>
      <c r="AY52" s="17">
        <f>'ПЛАН ЧИСТ К2'!B43*СПРАВОЧНИК!$L$9+'ПЛАН ЧИСТ К2'!C43*СПРАВОЧНИК!$M$9+'ПЛАН ЧИСТ К2'!D43*СПРАВОЧНИК!$N$9+'ПЛАН ЧИСТ К2'!E43*СПРАВОЧНИК!$O$9+'ПЛАН ЧИСТ К2'!F43*СПРАВОЧНИК!$P$9+'ПЛАН ЧИСТ К2'!G43*СПРАВОЧНИК!$L$10+'ПЛАН ЧИСТ К2'!H43*СПРАВОЧНИК!$M$10+'ПЛАН ЧИСТ К2'!I43*СПРАВОЧНИК!$N$10+'ПЛАН ЧИСТ К2'!J43*СПРАВОЧНИК!$O$10+'ПЛАН ЧИСТ К2'!K43*СПРАВОЧНИК!$P$10+'ПЛАН ЧИСТ К2'!L43*СПРАВОЧНИК!$L$11+'ПЛАН ЧИСТ К2'!M43*СПРАВОЧНИК!$M$11+'ПЛАН ЧИСТ К2'!N43*СПРАВОЧНИК!$N$11+'ПЛАН ЧИСТ К2'!O43*СПРАВОЧНИК!$O$11+'ПЛАН ЧИСТ К2'!P43*СПРАВОЧНИК!$P$11+'ПЛАН ЧИСТ К2'!Q43*СПРАВОЧНИК!$L$12+'ПЛАН ЧИСТ К2'!R43*СПРАВОЧНИК!$M$12+'ПЛАН ЧИСТ К2'!S43*СПРАВОЧНИК!$N$12+'ПЛАН ЧИСТ К2'!T43*СПРАВОЧНИК!$O$12+'ПЛАН ЧИСТ К2'!U43*СПРАВОЧНИК!$P$12+'ПЛАН ЧИСТ К2'!V43*СПРАВОЧНИК!$L$13+'ПЛАН ЧИСТ К2'!W43*СПРАВОЧНИК!$M$13+'ПЛАН ЧИСТ К2'!X43*СПРАВОЧНИК!$N$13+'ПЛАН ЧИСТ К2'!Y43*СПРАВОЧНИК!$O$13+'ПЛАН ЧИСТ К2'!Z43*СПРАВОЧНИК!$P$13+'ПЛАН ЧИСТ К2'!AA43*СПРАВОЧНИК!$L$14+'ПЛАН ЧИСТ К2'!AB43*СПРАВОЧНИК!$M$14+'ПЛАН ЧИСТ К2'!AC43*СПРАВОЧНИК!$N$14+'ПЛАН ЧИСТ К2'!AD43*СПРАВОЧНИК!$O$14+'ПЛАН ЧИСТ К2'!AE43*СПРАВОЧНИК!$P$14+'ПЛАН ЧИСТ К2'!AF43*СПРАВОЧНИК!$L$15+'ПЛАН ЧИСТ К2'!AG43*СПРАВОЧНИК!$M$15+'ПЛАН ЧИСТ К2'!AH43*СПРАВОЧНИК!$N$15+'ПЛАН ЧИСТ К2'!AI43*СПРАВОЧНИК!$O$15+'ПЛАН ЧИСТ К2'!AJ43*СПРАВОЧНИК!$P$15</f>
        <v/>
      </c>
      <c r="AZ52" s="31">
        <f>('ФАКТ ЧИСТ К2'!B43)*СПРАВОЧНИК!$L$9+('ФАКТ ЧИСТ К2'!C43)*СПРАВОЧНИК!$M$9+('ФАКТ ЧИСТ К2'!D43)*СПРАВОЧНИК!$N$9+('ФАКТ ЧИСТ К2'!E43)*СПРАВОЧНИК!$O$9+('ФАКТ ЧИСТ К2'!F43)*СПРАВОЧНИК!$P$9+('ФАКТ ЧИСТ К2'!G43)*СПРАВОЧНИК!$L$10+('ФАКТ ЧИСТ К2'!H43)*СПРАВОЧНИК!$M$10+('ФАКТ ЧИСТ К2'!I43)*СПРАВОЧНИК!$N$10+('ФАКТ ЧИСТ К2'!J43)*СПРАВОЧНИК!$O$10+('ФАКТ ЧИСТ К2'!K43)*СПРАВОЧНИК!$P$10+('ФАКТ ЧИСТ К2'!L43)*СПРАВОЧНИК!$L$11+('ФАКТ ЧИСТ К2'!M43)*СПРАВОЧНИК!$M$11+('ФАКТ ЧИСТ К2'!N43)*СПРАВОЧНИК!$N$11+('ФАКТ ЧИСТ К2'!O43)*СПРАВОЧНИК!$O$11+('ФАКТ ЧИСТ К2'!P43)*СПРАВОЧНИК!$P$11+('ФАКТ ЧИСТ К2'!Q43)*СПРАВОЧНИК!$L$12+('ФАКТ ЧИСТ К2'!R43)*СПРАВОЧНИК!$M$12+('ФАКТ ЧИСТ К2'!S43)*СПРАВОЧНИК!$N$12+('ФАКТ ЧИСТ К2'!T43)*СПРАВОЧНИК!$O$12+('ФАКТ ЧИСТ К2'!U43)*СПРАВОЧНИК!$P$12+('ФАКТ ЧИСТ К2'!V43)*СПРАВОЧНИК!$L$13+('ФАКТ ЧИСТ К2'!W43)*СПРАВОЧНИК!$M$13+('ФАКТ ЧИСТ К2'!X43)*СПРАВОЧНИК!$N$13+('ФАКТ ЧИСТ К2'!Y43)*СПРАВОЧНИК!$O$13+('ФАКТ ЧИСТ К2'!Z43)*СПРАВОЧНИК!$P$13+('ФАКТ ЧИСТ К2'!AA43)*СПРАВОЧНИК!$L$14+('ФАКТ ЧИСТ К2'!AB43)*СПРАВОЧНИК!$M$14+('ФАКТ ЧИСТ К2'!AC43)*СПРАВОЧНИК!$N$14+('ФАКТ ЧИСТ К2'!AD43)*СПРАВОЧНИК!$O$14+('ФАКТ ЧИСТ К2'!AE43)*СПРАВОЧНИК!$P$14+('ФАКТ ЧИСТ К2'!AF43)*СПРАВОЧНИК!$L$15+('ФАКТ ЧИСТ К2'!AG43)*СПРАВОЧНИК!$M$15+('ФАКТ ЧИСТ К2'!AH43)*СПРАВОЧНИК!$N$15+('ФАКТ ЧИСТ К2'!AI43)*СПРАВОЧНИК!$O$15+('ФАКТ ЧИСТ К2'!AJ43)*СПРАВОЧНИК!$P$15</f>
        <v/>
      </c>
      <c r="BA52" s="34" t="n"/>
      <c r="BD52" s="152">
        <f>BD51+7</f>
        <v/>
      </c>
      <c r="BE52" s="17">
        <f>СПРАВОЧНИК!$E$9*('ПЛАН ЧЕРН К3'!B43*СПРАВОЧНИК!$H$9+'ПЛАН ЧЕРН К3'!C43*СПРАВОЧНИК!$I$9+'ПЛАН ЧЕРН К3'!D43*СПРАВОЧНИК!$J$9)+СПРАВОЧНИК!$F$9*('ПЛАН ЧИСТ К3'!B43*СПРАВОЧНИК!$L$9+'ПЛАН ЧИСТ К3'!C43*СПРАВОЧНИК!$M$9+'ПЛАН ЧИСТ К3'!D43*СПРАВОЧНИК!$N$9+'ПЛАН ЧИСТ К3'!E43*СПРАВОЧНИК!$O$9+'ПЛАН ЧИСТ К3'!F43*СПРАВОЧНИК!$P$9)+СПРАВОЧНИК!$E$10*('ПЛАН ЧЕРН К3'!E43*СПРАВОЧНИК!$H$10+'ПЛАН ЧЕРН К3'!F43*СПРАВОЧНИК!$I$10+'ПЛАН ЧЕРН К3'!G43*СПРАВОЧНИК!$J$10)+СПРАВОЧНИК!$F$10*('ПЛАН ЧИСТ К3'!G43*СПРАВОЧНИК!$L$10+'ПЛАН ЧИСТ К3'!H43*СПРАВОЧНИК!$M$10+'ПЛАН ЧИСТ К3'!I43*СПРАВОЧНИК!$N$10+'ПЛАН ЧИСТ К3'!J43*СПРАВОЧНИК!$O$10+'ПЛАН ЧИСТ К3'!K43*СПРАВОЧНИК!$P$10)+СПРАВОЧНИК!$E$11*('ПЛАН ЧЕРН К3'!H43*СПРАВОЧНИК!$H$11+'ПЛАН ЧЕРН К3'!I43*СПРАВОЧНИК!$I$11+'ПЛАН ЧЕРН К3'!J43*СПРАВОЧНИК!$J$11)+СПРАВОЧНИК!$F$11*('ПЛАН ЧИСТ К3'!L43*СПРАВОЧНИК!$L$11+'ПЛАН ЧИСТ К3'!M43*СПРАВОЧНИК!$M$11+'ПЛАН ЧИСТ К3'!N43*СПРАВОЧНИК!$N$11+'ПЛАН ЧИСТ К3'!O43*СПРАВОЧНИК!$O$11+'ПЛАН ЧИСТ К3'!P43*СПРАВОЧНИК!$P$11)+СПРАВОЧНИК!$E$12*('ПЛАН ЧЕРН К3'!K43*СПРАВОЧНИК!$H$12+'ПЛАН ЧЕРН К3'!L43*СПРАВОЧНИК!$I$12+'ПЛАН ЧЕРН К3'!M43*СПРАВОЧНИК!$J$12)+СПРАВОЧНИК!$F$12*('ПЛАН ЧИСТ К3'!Q43*СПРАВОЧНИК!$L$12+'ПЛАН ЧИСТ К3'!R43*СПРАВОЧНИК!$M$12+'ПЛАН ЧИСТ К3'!S43*СПРАВОЧНИК!$N$12+'ПЛАН ЧИСТ К3'!T43*СПРАВОЧНИК!$O$12+'ПЛАН ЧИСТ К3'!U43*СПРАВОЧНИК!$P$12)+СПРАВОЧНИК!$E$13*('ПЛАН ЧЕРН К3'!N43*СПРАВОЧНИК!$H$13+'ПЛАН ЧЕРН К3'!O43*СПРАВОЧНИК!$I$13+'ПЛАН ЧЕРН К3'!P43*СПРАВОЧНИК!$J$13)+СПРАВОЧНИК!$F$13*('ПЛАН ЧИСТ К3'!V43*СПРАВОЧНИК!$L$13+'ПЛАН ЧИСТ К3'!W43*СПРАВОЧНИК!$M$13+'ПЛАН ЧИСТ К3'!X43*СПРАВОЧНИК!$N$13+'ПЛАН ЧИСТ К3'!Y43*СПРАВОЧНИК!$O$13+'ПЛАН ЧИСТ К3'!Z43*СПРАВОЧНИК!$P$13)+СПРАВОЧНИК!$E$14*('ПЛАН ЧЕРН К3'!Q43*СПРАВОЧНИК!$H$14+'ПЛАН ЧЕРН К3'!R43*СПРАВОЧНИК!$I$14+'ПЛАН ЧЕРН К3'!S43*СПРАВОЧНИК!$J$14)+СПРАВОЧНИК!$F$14*('ПЛАН ЧИСТ К3'!AA43*СПРАВОЧНИК!$L$14+'ПЛАН ЧИСТ К3'!AB43*СПРАВОЧНИК!$M$14+'ПЛАН ЧИСТ К3'!AC43*СПРАВОЧНИК!$N$14+'ПЛАН ЧИСТ К3'!AD43*СПРАВОЧНИК!$O$14+'ПЛАН ЧИСТ К3'!AE43*СПРАВОЧНИК!$P$14)+СПРАВОЧНИК!$E$15*('ПЛАН ЧЕРН К3'!T43*СПРАВОЧНИК!$H$15+'ПЛАН ЧЕРН К3'!U43*СПРАВОЧНИК!$I$15+'ПЛАН ЧЕРН К3'!V43*СПРАВОЧНИК!$J$15)+СПРАВОЧНИК!$F$15*('ПЛАН ЧИСТ К3'!AF43*СПРАВОЧНИК!$L$15+'ПЛАН ЧИСТ К3'!AG43*СПРАВОЧНИК!$M$15+'ПЛАН ЧИСТ К3'!AH43*СПРАВОЧНИК!$N$15+'ПЛАН ЧИСТ К3'!AI43*СПРАВОЧНИК!$O$15+'ПЛАН ЧИСТ К3'!AJ43*СПРАВОЧНИК!$P$15)</f>
        <v/>
      </c>
      <c r="BF52" s="31">
        <f>СПРАВОЧНИК!$E$9*('ФАКТ ЧЕРН К3'!B43*СПРАВОЧНИК!$H$9+'ФАКТ ЧЕРН К3'!C43*СПРАВОЧНИК!$I$9+'ФАКТ ЧЕРН К3'!D43*СПРАВОЧНИК!$J$9)+СПРАВОЧНИК!$F$9*('ФАКТ ЧИСТ К3'!B43*СПРАВОЧНИК!$L$9+'ФАКТ ЧИСТ К3'!C43*СПРАВОЧНИК!$M$9+'ФАКТ ЧИСТ К3'!D43*СПРАВОЧНИК!$N$9+'ФАКТ ЧИСТ К3'!E43*СПРАВОЧНИК!$O$9+'ФАКТ ЧИСТ К3'!F43*СПРАВОЧНИК!$P$9)+СПРАВОЧНИК!$E$10*('ФАКТ ЧЕРН К3'!E43*СПРАВОЧНИК!$H$10+'ФАКТ ЧЕРН К3'!F43*СПРАВОЧНИК!$I$10+'ФАКТ ЧЕРН К3'!G43*СПРАВОЧНИК!$J$10)+СПРАВОЧНИК!$F$10*('ФАКТ ЧИСТ К3'!G43*СПРАВОЧНИК!$L$10+'ФАКТ ЧИСТ К3'!H43*СПРАВОЧНИК!$M$10+'ФАКТ ЧИСТ К3'!I43*СПРАВОЧНИК!$N$10+'ФАКТ ЧИСТ К3'!J43*СПРАВОЧНИК!$O$10+'ФАКТ ЧИСТ К3'!K43*СПРАВОЧНИК!$P$10)+СПРАВОЧНИК!$E$11*('ФАКТ ЧЕРН К3'!H43*СПРАВОЧНИК!$H$11+'ФАКТ ЧЕРН К3'!I43*СПРАВОЧНИК!$I$11+'ФАКТ ЧЕРН К3'!J43*СПРАВОЧНИК!$J$11)+СПРАВОЧНИК!$F$11*('ФАКТ ЧИСТ К3'!L43*СПРАВОЧНИК!$L$11+'ФАКТ ЧИСТ К3'!M43*СПРАВОЧНИК!$M$11+'ФАКТ ЧИСТ К3'!N43*СПРАВОЧНИК!$N$11+'ФАКТ ЧИСТ К3'!O43*СПРАВОЧНИК!$O$11+'ФАКТ ЧИСТ К3'!P43*СПРАВОЧНИК!$P$11)+СПРАВОЧНИК!$E$12*('ФАКТ ЧЕРН К3'!K43*СПРАВОЧНИК!$H$12+'ФАКТ ЧЕРН К3'!L43*СПРАВОЧНИК!$I$12+'ФАКТ ЧЕРН К3'!M43*СПРАВОЧНИК!$J$12)+СПРАВОЧНИК!$F$12*('ФАКТ ЧИСТ К3'!Q43*СПРАВОЧНИК!$L$12+'ФАКТ ЧИСТ К3'!R43*СПРАВОЧНИК!$M$12+'ФАКТ ЧИСТ К3'!S43*СПРАВОЧНИК!$N$12+'ФАКТ ЧИСТ К3'!T43*СПРАВОЧНИК!$O$12+'ФАКТ ЧИСТ К3'!U43*СПРАВОЧНИК!$P$12)+СПРАВОЧНИК!$E$13*('ФАКТ ЧЕРН К3'!N43*СПРАВОЧНИК!$H$13+'ФАКТ ЧЕРН К3'!O43*СПРАВОЧНИК!$I$13+'ФАКТ ЧЕРН К3'!P43*СПРАВОЧНИК!$J$13)+СПРАВОЧНИК!$F$13*('ФАКТ ЧИСТ К3'!V43*СПРАВОЧНИК!$L$13+'ФАКТ ЧИСТ К3'!W43*СПРАВОЧНИК!$M$13+'ФАКТ ЧИСТ К3'!X43*СПРАВОЧНИК!$N$13+'ФАКТ ЧИСТ К3'!Y43*СПРАВОЧНИК!$O$13+'ФАКТ ЧИСТ К3'!Z43*СПРАВОЧНИК!$P$13)+СПРАВОЧНИК!$E$14*('ФАКТ ЧЕРН К3'!Q43*СПРАВОЧНИК!$H$14+'ФАКТ ЧЕРН К3'!R43*СПРАВОЧНИК!$I$14+'ФАКТ ЧЕРН К3'!S43*СПРАВОЧНИК!$J$14)+СПРАВОЧНИК!$F$14*('ФАКТ ЧИСТ К3'!AA43*СПРАВОЧНИК!$L$14+'ФАКТ ЧИСТ К3'!AB43*СПРАВОЧНИК!$M$14+'ФАКТ ЧИСТ К3'!AC43*СПРАВОЧНИК!$N$14+'ФАКТ ЧИСТ К3'!AD43*СПРАВОЧНИК!$O$14+'ФАКТ ЧИСТ К3'!AE43*СПРАВОЧНИК!$P$14)+СПРАВОЧНИК!$E$15*('ФАКТ ЧЕРН К3'!T43*СПРАВОЧНИК!$H$15+'ФАКТ ЧЕРН К3'!U43*СПРАВОЧНИК!$I$15+'ФАКТ ЧЕРН К3'!V43*СПРАВОЧНИК!$J$15)+СПРАВОЧНИК!$F$15*('ФАКТ ЧИСТ К3'!AF43*СПРАВОЧНИК!$L$15+'ФАКТ ЧИСТ К3'!AG43*СПРАВОЧНИК!$M$15+'ФАКТ ЧИСТ К3'!AH43*СПРАВОЧНИК!$N$15+'ФАКТ ЧИСТ К3'!AI43*СПРАВОЧНИК!$O$15+'ФАКТ ЧИСТ К3'!AJ43*СПРАВОЧНИК!$P$15)</f>
        <v/>
      </c>
      <c r="BG52" s="34" t="n"/>
      <c r="BJ52" s="152">
        <f>BJ51+7</f>
        <v/>
      </c>
      <c r="BK52" s="17">
        <f>'ПЛАН ЧЕРН К3'!B43*СПРАВОЧНИК!$H$9+'ПЛАН ЧЕРН К3'!C43*СПРАВОЧНИК!$I$9+'ПЛАН ЧЕРН К3'!D43*СПРАВОЧНИК!$J$9+'ПЛАН ЧЕРН К3'!E43*СПРАВОЧНИК!$H$10+'ПЛАН ЧЕРН К3'!F43*СПРАВОЧНИК!$I$10+'ПЛАН ЧЕРН К3'!G43*СПРАВОЧНИК!$J$10+'ПЛАН ЧЕРН К3'!H43*СПРАВОЧНИК!$H$11+'ПЛАН ЧЕРН К3'!I43*СПРАВОЧНИК!$I$11+'ПЛАН ЧЕРН К3'!J43*СПРАВОЧНИК!$J$11+'ПЛАН ЧЕРН К3'!K43*СПРАВОЧНИК!$H$12+'ПЛАН ЧЕРН К3'!L43*СПРАВОЧНИК!$I$12+'ПЛАН ЧЕРН К3'!M43*СПРАВОЧНИК!$J$12+'ПЛАН ЧЕРН К3'!N43*СПРАВОЧНИК!$H$13+'ПЛАН ЧЕРН К3'!O43*СПРАВОЧНИК!$I$13+'ПЛАН ЧЕРН К3'!P43*СПРАВОЧНИК!$J$13+'ПЛАН ЧЕРН К3'!Q43*СПРАВОЧНИК!$H$14+'ПЛАН ЧЕРН К3'!R43*СПРАВОЧНИК!$I$14+'ПЛАН ЧЕРН К3'!S43*СПРАВОЧНИК!$J$14+'ПЛАН ЧЕРН К3'!T43*СПРАВОЧНИК!$H$15+'ПЛАН ЧЕРН К3'!U43*СПРАВОЧНИК!$I$15+'ПЛАН ЧЕРН К3'!V43*СПРАВОЧНИК!$J$15</f>
        <v/>
      </c>
      <c r="BL52" s="31">
        <f>('ФАКТ ЧЕРН К3'!B43)*СПРАВОЧНИК!$H$9+('ФАКТ ЧЕРН К3'!C43)*СПРАВОЧНИК!$I$9+('ФАКТ ЧЕРН К3'!D43)*СПРАВОЧНИК!$J$9+('ФАКТ ЧЕРН К3'!E43)*СПРАВОЧНИК!$H$10+('ФАКТ ЧЕРН К3'!F43)*СПРАВОЧНИК!$I$10+('ФАКТ ЧЕРН К3'!G43)*СПРАВОЧНИК!$J$10+('ФАКТ ЧЕРН К3'!H43)*СПРАВОЧНИК!$H$11+('ФАКТ ЧЕРН К3'!I43)*СПРАВОЧНИК!$I$11+('ФАКТ ЧЕРН К3'!J43)*СПРАВОЧНИК!$J$11+('ФАКТ ЧЕРН К3'!K43)*СПРАВОЧНИК!$H$12+('ФАКТ ЧЕРН К3'!L43)*СПРАВОЧНИК!$I$12+('ФАКТ ЧЕРН К3'!M43)*СПРАВОЧНИК!$J$12+('ФАКТ ЧЕРН К3'!N43)*СПРАВОЧНИК!$H$13+('ФАКТ ЧЕРН К3'!O43)*СПРАВОЧНИК!$I$13+('ФАКТ ЧЕРН К3'!P43)*СПРАВОЧНИК!$J$13+('ФАКТ ЧЕРН К3'!Q43)*СПРАВОЧНИК!$H$14+('ФАКТ ЧЕРН К3'!R43)*СПРАВОЧНИК!$I$14+('ФАКТ ЧЕРН К3'!S43)*СПРАВОЧНИК!$J$14+('ФАКТ ЧЕРН К3'!T43)*СПРАВОЧНИК!$H$15+('ФАКТ ЧЕРН К3'!U43)*СПРАВОЧНИК!$I$15+('ФАКТ ЧЕРН К3'!V43)*СПРАВОЧНИК!$J$15</f>
        <v/>
      </c>
      <c r="BM52" s="34" t="n"/>
      <c r="BP52" s="152">
        <f>BP51+7</f>
        <v/>
      </c>
      <c r="BQ52" s="17">
        <f>'ПЛАН ЧИСТ К3'!B43*СПРАВОЧНИК!$L$9+'ПЛАН ЧИСТ К3'!C43*СПРАВОЧНИК!$M$9+'ПЛАН ЧИСТ К3'!D43*СПРАВОЧНИК!$N$9+'ПЛАН ЧИСТ К3'!E43*СПРАВОЧНИК!$O$9+'ПЛАН ЧИСТ К3'!F43*СПРАВОЧНИК!$P$9+'ПЛАН ЧИСТ К3'!G43*СПРАВОЧНИК!$L$10+'ПЛАН ЧИСТ К3'!H43*СПРАВОЧНИК!$M$10+'ПЛАН ЧИСТ К3'!I43*СПРАВОЧНИК!$N$10+'ПЛАН ЧИСТ К3'!J43*СПРАВОЧНИК!$O$10+'ПЛАН ЧИСТ К3'!K43*СПРАВОЧНИК!$P$10+'ПЛАН ЧИСТ К3'!L43*СПРАВОЧНИК!$L$11+'ПЛАН ЧИСТ К3'!M43*СПРАВОЧНИК!$M$11+'ПЛАН ЧИСТ К3'!N43*СПРАВОЧНИК!$N$11+'ПЛАН ЧИСТ К3'!O43*СПРАВОЧНИК!$O$11+'ПЛАН ЧИСТ К3'!P43*СПРАВОЧНИК!$P$11+'ПЛАН ЧИСТ К3'!Q43*СПРАВОЧНИК!$L$12+'ПЛАН ЧИСТ К3'!R43*СПРАВОЧНИК!$M$12+'ПЛАН ЧИСТ К3'!S43*СПРАВОЧНИК!$N$12+'ПЛАН ЧИСТ К3'!T43*СПРАВОЧНИК!$O$12+'ПЛАН ЧИСТ К3'!U43*СПРАВОЧНИК!$P$12+'ПЛАН ЧИСТ К3'!V43*СПРАВОЧНИК!$L$13+'ПЛАН ЧИСТ К3'!W43*СПРАВОЧНИК!$M$13+'ПЛАН ЧИСТ К3'!X43*СПРАВОЧНИК!$N$13+'ПЛАН ЧИСТ К3'!Y43*СПРАВОЧНИК!$O$13+'ПЛАН ЧИСТ К3'!Z43*СПРАВОЧНИК!$P$13+'ПЛАН ЧИСТ К3'!AA43*СПРАВОЧНИК!$L$14+'ПЛАН ЧИСТ К3'!AB43*СПРАВОЧНИК!$M$14+'ПЛАН ЧИСТ К3'!AC43*СПРАВОЧНИК!$N$14+'ПЛАН ЧИСТ К3'!AD43*СПРАВОЧНИК!$O$14+'ПЛАН ЧИСТ К3'!AE43*СПРАВОЧНИК!$P$14+'ПЛАН ЧИСТ К3'!AF43*СПРАВОЧНИК!$L$15+'ПЛАН ЧИСТ К3'!AG43*СПРАВОЧНИК!$M$15+'ПЛАН ЧИСТ К3'!AH43*СПРАВОЧНИК!$N$15+'ПЛАН ЧИСТ К3'!AI43*СПРАВОЧНИК!$O$15+'ПЛАН ЧИСТ К3'!AJ43*СПРАВОЧНИК!$P$15</f>
        <v/>
      </c>
      <c r="BR52" s="31">
        <f>('ФАКТ ЧИСТ К3'!B43)*СПРАВОЧНИК!$L$9+('ФАКТ ЧИСТ К3'!C43)*СПРАВОЧНИК!$M$9+('ФАКТ ЧИСТ К3'!D43)*СПРАВОЧНИК!$N$9+('ФАКТ ЧИСТ К3'!E43)*СПРАВОЧНИК!$O$9+('ФАКТ ЧИСТ К3'!F43)*СПРАВОЧНИК!$P$9+('ФАКТ ЧИСТ К3'!G43)*СПРАВОЧНИК!$L$10+('ФАКТ ЧИСТ К3'!H43)*СПРАВОЧНИК!$M$10+('ФАКТ ЧИСТ К3'!I43)*СПРАВОЧНИК!$N$10+('ФАКТ ЧИСТ К3'!J43)*СПРАВОЧНИК!$O$10+('ФАКТ ЧИСТ К3'!K43)*СПРАВОЧНИК!$P$10+('ФАКТ ЧИСТ К3'!L43)*СПРАВОЧНИК!$L$11+('ФАКТ ЧИСТ К3'!M43)*СПРАВОЧНИК!$M$11+('ФАКТ ЧИСТ К3'!N43)*СПРАВОЧНИК!$N$11+('ФАКТ ЧИСТ К3'!O43)*СПРАВОЧНИК!$O$11+('ФАКТ ЧИСТ К3'!P43)*СПРАВОЧНИК!$P$11+('ФАКТ ЧИСТ К3'!Q43)*СПРАВОЧНИК!$L$12+('ФАКТ ЧИСТ К3'!R43)*СПРАВОЧНИК!$M$12+('ФАКТ ЧИСТ К3'!S43)*СПРАВОЧНИК!$N$12+('ФАКТ ЧИСТ К3'!T43)*СПРАВОЧНИК!$O$12+('ФАКТ ЧИСТ К3'!U43)*СПРАВОЧНИК!$P$12+('ФАКТ ЧИСТ К3'!V43)*СПРАВОЧНИК!$L$13+('ФАКТ ЧИСТ К3'!W43)*СПРАВОЧНИК!$M$13+('ФАКТ ЧИСТ К3'!X43)*СПРАВОЧНИК!$N$13+('ФАКТ ЧИСТ К3'!Y43)*СПРАВОЧНИК!$O$13+('ФАКТ ЧИСТ К3'!Z43)*СПРАВОЧНИК!$P$13+('ФАКТ ЧИСТ К3'!AA43)*СПРАВОЧНИК!$L$14+('ФАКТ ЧИСТ К3'!AB43)*СПРАВОЧНИК!$M$14+('ФАКТ ЧИСТ К3'!AC43)*СПРАВОЧНИК!$N$14+('ФАКТ ЧИСТ К3'!AD43)*СПРАВОЧНИК!$O$14+('ФАКТ ЧИСТ К3'!AE43)*СПРАВОЧНИК!$P$14+('ФАКТ ЧИСТ К3'!AF43)*СПРАВОЧНИК!$L$15+('ФАКТ ЧИСТ К3'!AG43)*СПРАВОЧНИК!$M$15+('ФАКТ ЧИСТ К3'!AH43)*СПРАВОЧНИК!$N$15+('ФАКТ ЧИСТ К3'!AI43)*СПРАВОЧНИК!$O$15+('ФАКТ ЧИСТ К3'!AJ43)*СПРАВОЧНИК!$P$15</f>
        <v/>
      </c>
      <c r="BS52" s="34" t="n"/>
      <c r="BV52" s="152">
        <f>BV51+7</f>
        <v/>
      </c>
      <c r="BW52" s="17">
        <f>U52*СПРАВОЧНИК!$K$28+AM52*СПРАВОЧНИК!$K$29+BE52*СПРАВОЧНИК!$K$30</f>
        <v/>
      </c>
      <c r="BX52" s="31">
        <f>V52*СПРАВОЧНИК!$K$28+AN52*СПРАВОЧНИК!$K$29+BF52*СПРАВОЧНИК!$K$30</f>
        <v/>
      </c>
      <c r="BY52" s="34" t="n"/>
      <c r="CB52" s="152">
        <f>CB51+7</f>
        <v/>
      </c>
      <c r="CC52" s="17">
        <f>AA52*СПРАВОЧНИК!$K$28+AS52*СПРАВОЧНИК!$K$29+BK52*СПРАВОЧНИК!$K$30</f>
        <v/>
      </c>
      <c r="CD52" s="31">
        <f>AB52*СПРАВОЧНИК!$K$28+AT52*СПРАВОЧНИК!$K$29+BL52*СПРАВОЧНИК!$K$30</f>
        <v/>
      </c>
      <c r="CE52" s="34" t="n"/>
      <c r="CH52" s="152">
        <f>CH51+7</f>
        <v/>
      </c>
      <c r="CI52" s="17">
        <f>AG52*СПРАВОЧНИК!$K$28+AY52*СПРАВОЧНИК!$K$29+BQ52*СПРАВОЧНИК!$K$30</f>
        <v/>
      </c>
      <c r="CJ52" s="31">
        <f>AH52*СПРАВОЧНИК!$K$28+AZ52*СПРАВОЧНИК!$K$29+BR52*СПРАВОЧНИК!$K$30</f>
        <v/>
      </c>
      <c r="CK52" s="34" t="n"/>
      <c r="CN52" s="152">
        <f>CN51+7</f>
        <v/>
      </c>
      <c r="CO52" s="17">
        <f>C52*СПРАВОЧНИК!$W$18+BW52*СПРАВОЧНИК!$W$19</f>
        <v/>
      </c>
      <c r="CP52" s="31">
        <f>D52*СПРАВОЧНИК!$W$18+BX52*СПРАВОЧНИК!$W$19</f>
        <v/>
      </c>
      <c r="CQ52" s="34" t="n"/>
      <c r="CT52" s="152">
        <f>CT51+7</f>
        <v/>
      </c>
      <c r="CU52" s="17">
        <f>I52*СПРАВОЧНИК!$W$18+CC52*СПРАВОЧНИК!$W$19</f>
        <v/>
      </c>
      <c r="CV52" s="31">
        <f>J52*СПРАВОЧНИК!$W$18+CD52*СПРАВОЧНИК!$W$19</f>
        <v/>
      </c>
      <c r="CW52" s="34" t="n"/>
      <c r="CZ52" s="152">
        <f>CZ51+7</f>
        <v/>
      </c>
      <c r="DA52" s="17">
        <f>O52*СПРАВОЧНИК!$W$18+CI52*СПРАВОЧНИК!$W$19</f>
        <v/>
      </c>
      <c r="DB52" s="31">
        <f>P52*СПРАВОЧНИК!$W$18+CJ52*СПРАВОЧНИК!$W$19</f>
        <v/>
      </c>
      <c r="DC52" s="34" t="n"/>
    </row>
    <row r="53">
      <c r="B53" s="152">
        <f>B52+7</f>
        <v/>
      </c>
      <c r="C53" s="17">
        <f>СПРАВОЧНИК!$E$3*('ПЛАН ЧЕРН ПОДЗЕМ'!B44*СПРАВОЧНИК!$H$3+'ПЛАН ЧЕРН ПОДЗЕМ'!C44*СПРАВОЧНИК!$I$3+'ПЛАН ЧЕРН ПОДЗЕМ'!D44*СПРАВОЧНИК!$J$3)+СПРАВОЧНИК!$F$3*('ПЛАН ЧИСТ ПОДЗЕМ'!B44*СПРАВОЧНИК!$L$3+'ПЛАН ЧИСТ ПОДЗЕМ'!C44*СПРАВОЧНИК!$M$3+'ПЛАН ЧИСТ ПОДЗЕМ'!D44*СПРАВОЧНИК!$N$3+'ПЛАН ЧИСТ ПОДЗЕМ'!E44*СПРАВОЧНИК!$O$3+'ПЛАН ЧИСТ ПОДЗЕМ'!F44*СПРАВОЧНИК!$P$3)+СПРАВОЧНИК!$E$4*('ПЛАН ЧЕРН ПОДЗЕМ'!E44*СПРАВОЧНИК!$H$4+'ПЛАН ЧЕРН ПОДЗЕМ'!F44*СПРАВОЧНИК!$I$4+'ПЛАН ЧЕРН ПОДЗЕМ'!G44*СПРАВОЧНИК!$J$4)+СПРАВОЧНИК!$F$4*('ПЛАН ЧИСТ ПОДЗЕМ'!G44*СПРАВОЧНИК!$L$4+'ПЛАН ЧИСТ ПОДЗЕМ'!H44*СПРАВОЧНИК!$M$4+'ПЛАН ЧИСТ ПОДЗЕМ'!I44*СПРАВОЧНИК!$N$4+'ПЛАН ЧИСТ ПОДЗЕМ'!J44*СПРАВОЧНИК!$O$4+'ПЛАН ЧИСТ ПОДЗЕМ'!K44*СПРАВОЧНИК!$P$4)+СПРАВОЧНИК!$E$5*('ПЛАН ЧЕРН ПОДЗЕМ'!H44*СПРАВОЧНИК!$H$5+'ПЛАН ЧЕРН ПОДЗЕМ'!I44*СПРАВОЧНИК!$I$5+'ПЛАН ЧЕРН ПОДЗЕМ'!J44*СПРАВОЧНИК!$J$5)+СПРАВОЧНИК!$F$5*('ПЛАН ЧИСТ ПОДЗЕМ'!L44*СПРАВОЧНИК!$L$5+'ПЛАН ЧИСТ ПОДЗЕМ'!M44*СПРАВОЧНИК!$M$5+'ПЛАН ЧИСТ ПОДЗЕМ'!N44*СПРАВОЧНИК!$N$5+'ПЛАН ЧИСТ ПОДЗЕМ'!O44*СПРАВОЧНИК!$O$5+'ПЛАН ЧИСТ ПОДЗЕМ'!P44*СПРАВОЧНИК!$P$5)+СПРАВОЧНИК!$E$6*('ПЛАН ЧЕРН ПОДЗЕМ'!K44*СПРАВОЧНИК!$H$6+'ПЛАН ЧЕРН ПОДЗЕМ'!L44*СПРАВОЧНИК!$I$6+'ПЛАН ЧЕРН ПОДЗЕМ'!M44*СПРАВОЧНИК!$J$6)+СПРАВОЧНИК!$F$6*('ПЛАН ЧИСТ ПОДЗЕМ'!Q44*СПРАВОЧНИК!$L$6+'ПЛАН ЧИСТ ПОДЗЕМ'!R44*СПРАВОЧНИК!$M$6+'ПЛАН ЧИСТ ПОДЗЕМ'!S44*СПРАВОЧНИК!$N$6+'ПЛАН ЧИСТ ПОДЗЕМ'!T44*СПРАВОЧНИК!$O$6+'ПЛАН ЧИСТ ПОДЗЕМ'!U44*СПРАВОЧНИК!$P$6)+СПРАВОЧНИК!$E$7*('ПЛАН ЧЕРН ПОДЗЕМ'!N44*СПРАВОЧНИК!$H$7+'ПЛАН ЧЕРН ПОДЗЕМ'!O44*СПРАВОЧНИК!$I$7+'ПЛАН ЧЕРН ПОДЗЕМ'!P44*СПРАВОЧНИК!$J$7)+СПРАВОЧНИК!$F$7*('ПЛАН ЧИСТ ПОДЗЕМ'!V44*СПРАВОЧНИК!$L$7+'ПЛАН ЧИСТ ПОДЗЕМ'!W44*СПРАВОЧНИК!$M$7+'ПЛАН ЧИСТ ПОДЗЕМ'!X44*СПРАВОЧНИК!$N$7+'ПЛАН ЧИСТ ПОДЗЕМ'!Y44*СПРАВОЧНИК!$O$7+'ПЛАН ЧИСТ ПОДЗЕМ'!Z44*СПРАВОЧНИК!$P$7)+СПРАВОЧНИК!$E$8*('ПЛАН ЧЕРН ПОДЗЕМ'!Q44*СПРАВОЧНИК!$H$8+'ПЛАН ЧЕРН ПОДЗЕМ'!R44*СПРАВОЧНИК!$I$8+'ПЛАН ЧЕРН ПОДЗЕМ'!S44*СПРАВОЧНИК!$J$8)+СПРАВОЧНИК!$F$8*('ПЛАН ЧИСТ ПОДЗЕМ'!AA44*СПРАВОЧНИК!$L$8+'ПЛАН ЧИСТ ПОДЗЕМ'!AB44*СПРАВОЧНИК!$M$8+'ПЛАН ЧИСТ ПОДЗЕМ'!AC44*СПРАВОЧНИК!$N$8+'ПЛАН ЧИСТ ПОДЗЕМ'!AD44*СПРАВОЧНИК!$O$8+'ПЛАН ЧИСТ ПОДЗЕМ'!AE44*СПРАВОЧНИК!$P$8)</f>
        <v/>
      </c>
      <c r="D53" s="31">
        <f>СПРАВОЧНИК!$E$3*('ФАКТ ЧЕРН ПОДЗЕМ'!B44*СПРАВОЧНИК!$H$3+'ФАКТ ЧЕРН ПОДЗЕМ'!C44*СПРАВОЧНИК!$I$3+'ФАКТ ЧЕРН ПОДЗЕМ'!D44*СПРАВОЧНИК!$J$3)+СПРАВОЧНИК!$F$3*('ФАКТ ЧИСТ ПОДЗЕМ'!B44*СПРАВОЧНИК!$L$3+'ФАКТ ЧИСТ ПОДЗЕМ'!C44*СПРАВОЧНИК!$M$3+'ФАКТ ЧИСТ ПОДЗЕМ'!D44*СПРАВОЧНИК!$N$3+'ФАКТ ЧИСТ ПОДЗЕМ'!E44*СПРАВОЧНИК!$O$3+'ФАКТ ЧИСТ ПОДЗЕМ'!F44*СПРАВОЧНИК!$P$3)+СПРАВОЧНИК!$E$4*('ФАКТ ЧЕРН ПОДЗЕМ'!E44*СПРАВОЧНИК!$H$4+'ФАКТ ЧЕРН ПОДЗЕМ'!F44*СПРАВОЧНИК!$I$4+'ФАКТ ЧЕРН ПОДЗЕМ'!G44*СПРАВОЧНИК!$J$4)+СПРАВОЧНИК!$F$4*('ФАКТ ЧИСТ ПОДЗЕМ'!G44*СПРАВОЧНИК!$L$4+'ФАКТ ЧИСТ ПОДЗЕМ'!H44*СПРАВОЧНИК!$M$4+'ФАКТ ЧИСТ ПОДЗЕМ'!I44*СПРАВОЧНИК!$N$4+'ФАКТ ЧИСТ ПОДЗЕМ'!J44*СПРАВОЧНИК!$O$4+'ФАКТ ЧИСТ ПОДЗЕМ'!K44*СПРАВОЧНИК!$P$4)+СПРАВОЧНИК!$E$5*('ФАКТ ЧЕРН ПОДЗЕМ'!H44*СПРАВОЧНИК!$H$5+'ФАКТ ЧЕРН ПОДЗЕМ'!I44*СПРАВОЧНИК!$I$5+'ФАКТ ЧЕРН ПОДЗЕМ'!J44*СПРАВОЧНИК!$J$5)+СПРАВОЧНИК!$F$5*('ФАКТ ЧИСТ ПОДЗЕМ'!L44*СПРАВОЧНИК!$L$5+'ФАКТ ЧИСТ ПОДЗЕМ'!M44*СПРАВОЧНИК!$M$5+'ФАКТ ЧИСТ ПОДЗЕМ'!N44*СПРАВОЧНИК!$N$5+'ФАКТ ЧИСТ ПОДЗЕМ'!O44*СПРАВОЧНИК!$O$5+'ФАКТ ЧИСТ ПОДЗЕМ'!P44*СПРАВОЧНИК!$P$5)+СПРАВОЧНИК!$E$6*('ФАКТ ЧЕРН ПОДЗЕМ'!K44*СПРАВОЧНИК!$H$6+'ФАКТ ЧЕРН ПОДЗЕМ'!L44*СПРАВОЧНИК!$I$6+'ФАКТ ЧЕРН ПОДЗЕМ'!M44*СПРАВОЧНИК!$J$6)+СПРАВОЧНИК!$F$6*('ФАКТ ЧИСТ ПОДЗЕМ'!Q44*СПРАВОЧНИК!$L$6+'ФАКТ ЧИСТ ПОДЗЕМ'!R44*СПРАВОЧНИК!$M$6+'ФАКТ ЧИСТ ПОДЗЕМ'!S44*СПРАВОЧНИК!$N$6+'ФАКТ ЧИСТ ПОДЗЕМ'!T44*СПРАВОЧНИК!$O$6+'ФАКТ ЧИСТ ПОДЗЕМ'!U44*СПРАВОЧНИК!$P$6)+СПРАВОЧНИК!$E$7*('ФАКТ ЧЕРН ПОДЗЕМ'!N44*СПРАВОЧНИК!$H$7+'ФАКТ ЧЕРН ПОДЗЕМ'!O44*СПРАВОЧНИК!$I$7+'ФАКТ ЧЕРН ПОДЗЕМ'!P44*СПРАВОЧНИК!$J$7)+СПРАВОЧНИК!$F$7*('ФАКТ ЧИСТ ПОДЗЕМ'!V44*СПРАВОЧНИК!$L$7+'ФАКТ ЧИСТ ПОДЗЕМ'!W44*СПРАВОЧНИК!$M$7+'ФАКТ ЧИСТ ПОДЗЕМ'!X44*СПРАВОЧНИК!$N$7+'ФАКТ ЧИСТ ПОДЗЕМ'!Y44*СПРАВОЧНИК!$O$7+'ФАКТ ЧИСТ ПОДЗЕМ'!Z44*СПРАВОЧНИК!$P$7)+СПРАВОЧНИК!$E$8*('ФАКТ ЧЕРН ПОДЗЕМ'!Q44*СПРАВОЧНИК!$H$8+'ФАКТ ЧЕРН ПОДЗЕМ'!R44*СПРАВОЧНИК!$I$8+'ФАКТ ЧЕРН ПОДЗЕМ'!S44*СПРАВОЧНИК!$J$8)+СПРАВОЧНИК!$F$8*('ФАКТ ЧИСТ ПОДЗЕМ'!AA44*СПРАВОЧНИК!$L$8+'ФАКТ ЧИСТ ПОДЗЕМ'!AB44*СПРАВОЧНИК!$M$8+'ФАКТ ЧИСТ ПОДЗЕМ'!AC44*СПРАВОЧНИК!$N$8+'ФАКТ ЧИСТ ПОДЗЕМ'!AD44*СПРАВОЧНИК!$O$8+'ФАКТ ЧИСТ ПОДЗЕМ'!AE44*СПРАВОЧНИК!$P$8)</f>
        <v/>
      </c>
      <c r="E53" s="34" t="n"/>
      <c r="H53" s="152">
        <f>H52+7</f>
        <v/>
      </c>
      <c r="I53" s="17">
        <f>'ПЛАН ЧЕРН ПОДЗЕМ'!B44*СПРАВОЧНИК!$H$3+'ПЛАН ЧЕРН ПОДЗЕМ'!C44*СПРАВОЧНИК!$I$3+'ПЛАН ЧЕРН ПОДЗЕМ'!D44*СПРАВОЧНИК!$J$3+'ПЛАН ЧЕРН ПОДЗЕМ'!E44*СПРАВОЧНИК!$H$4+'ПЛАН ЧЕРН ПОДЗЕМ'!F44*СПРАВОЧНИК!$I$4+'ПЛАН ЧЕРН ПОДЗЕМ'!G44*СПРАВОЧНИК!$J$4+'ПЛАН ЧЕРН ПОДЗЕМ'!H44*СПРАВОЧНИК!$H$5+'ПЛАН ЧЕРН ПОДЗЕМ'!I44*СПРАВОЧНИК!$I$5+'ПЛАН ЧЕРН ПОДЗЕМ'!J44*СПРАВОЧНИК!$J$5+'ПЛАН ЧЕРН ПОДЗЕМ'!K44*СПРАВОЧНИК!$H$6+'ПЛАН ЧЕРН ПОДЗЕМ'!L44*СПРАВОЧНИК!$I$6+'ПЛАН ЧЕРН ПОДЗЕМ'!M44*СПРАВОЧНИК!$J$6+'ПЛАН ЧЕРН ПОДЗЕМ'!N44*СПРАВОЧНИК!$H$7+'ПЛАН ЧЕРН ПОДЗЕМ'!O44*СПРАВОЧНИК!$I$7+'ПЛАН ЧЕРН ПОДЗЕМ'!P44*СПРАВОЧНИК!$J$7+'ПЛАН ЧЕРН ПОДЗЕМ'!Q44*СПРАВОЧНИК!$H$8+'ПЛАН ЧЕРН ПОДЗЕМ'!R44*СПРАВОЧНИК!$I$8+'ПЛАН ЧЕРН ПОДЗЕМ'!S44*СПРАВОЧНИК!$J$8</f>
        <v/>
      </c>
      <c r="J53" s="31">
        <f>('ФАКТ ЧЕРН ПОДЗЕМ'!B44)*СПРАВОЧНИК!$H$3+('ФАКТ ЧЕРН ПОДЗЕМ'!C44)*СПРАВОЧНИК!$I$3+('ФАКТ ЧЕРН ПОДЗЕМ'!D44)*СПРАВОЧНИК!$J$3+('ФАКТ ЧЕРН ПОДЗЕМ'!E44)*СПРАВОЧНИК!$H$4+('ФАКТ ЧЕРН ПОДЗЕМ'!F44)*СПРАВОЧНИК!$I$4+('ФАКТ ЧЕРН ПОДЗЕМ'!G44)*СПРАВОЧНИК!$J$4+('ФАКТ ЧЕРН ПОДЗЕМ'!H44)*СПРАВОЧНИК!$H$5+('ФАКТ ЧЕРН ПОДЗЕМ'!I44)*СПРАВОЧНИК!$I$5+('ФАКТ ЧЕРН ПОДЗЕМ'!J44)*СПРАВОЧНИК!$J$5+('ФАКТ ЧЕРН ПОДЗЕМ'!K44)*СПРАВОЧНИК!$H$6+('ФАКТ ЧЕРН ПОДЗЕМ'!L44)*СПРАВОЧНИК!$I$6+('ФАКТ ЧЕРН ПОДЗЕМ'!M44)*СПРАВОЧНИК!$J$6+('ФАКТ ЧЕРН ПОДЗЕМ'!N44)*СПРАВОЧНИК!$H$7+('ФАКТ ЧЕРН ПОДЗЕМ'!O44)*СПРАВОЧНИК!$I$7+('ФАКТ ЧЕРН ПОДЗЕМ'!P44)*СПРАВОЧНИК!$J$7+('ФАКТ ЧЕРН ПОДЗЕМ'!Q44)*СПРАВОЧНИК!$H$8+('ФАКТ ЧЕРН ПОДЗЕМ'!R44)*СПРАВОЧНИК!$I$8+('ФАКТ ЧЕРН ПОДЗЕМ'!S44)*СПРАВОЧНИК!$J$8</f>
        <v/>
      </c>
      <c r="K53" s="34" t="n"/>
      <c r="N53" s="152">
        <f>N52+7</f>
        <v/>
      </c>
      <c r="O53" s="17">
        <f>'ПЛАН ЧИСТ ПОДЗЕМ'!B44*СПРАВОЧНИК!$L$3+'ПЛАН ЧИСТ ПОДЗЕМ'!C44*СПРАВОЧНИК!$M$3+'ПЛАН ЧИСТ ПОДЗЕМ'!D44*СПРАВОЧНИК!$N$3+'ПЛАН ЧИСТ ПОДЗЕМ'!E44*СПРАВОЧНИК!$O$3+'ПЛАН ЧИСТ ПОДЗЕМ'!F44*СПРАВОЧНИК!$P$3+'ПЛАН ЧИСТ ПОДЗЕМ'!G44*СПРАВОЧНИК!$L$4+'ПЛАН ЧИСТ ПОДЗЕМ'!H44*СПРАВОЧНИК!$M$4+'ПЛАН ЧИСТ ПОДЗЕМ'!I44*СПРАВОЧНИК!$N$4+'ПЛАН ЧИСТ ПОДЗЕМ'!J44*СПРАВОЧНИК!$O$4+'ПЛАН ЧИСТ ПОДЗЕМ'!K44*СПРАВОЧНИК!$P$4+'ПЛАН ЧИСТ ПОДЗЕМ'!L44*СПРАВОЧНИК!$L$5+'ПЛАН ЧИСТ ПОДЗЕМ'!M44*СПРАВОЧНИК!$M$5+'ПЛАН ЧИСТ ПОДЗЕМ'!N44*СПРАВОЧНИК!$N$5+'ПЛАН ЧИСТ ПОДЗЕМ'!O44*СПРАВОЧНИК!$O$5+'ПЛАН ЧИСТ ПОДЗЕМ'!P44*СПРАВОЧНИК!$P$5+'ПЛАН ЧИСТ ПОДЗЕМ'!Q44*СПРАВОЧНИК!$L$6+'ПЛАН ЧИСТ ПОДЗЕМ'!R44*СПРАВОЧНИК!$M$6+'ПЛАН ЧИСТ ПОДЗЕМ'!S44*СПРАВОЧНИК!$N$6+'ПЛАН ЧИСТ ПОДЗЕМ'!T44*СПРАВОЧНИК!$O$6+'ПЛАН ЧИСТ ПОДЗЕМ'!U44*СПРАВОЧНИК!$P$6+'ПЛАН ЧИСТ ПОДЗЕМ'!V44*СПРАВОЧНИК!$L$7+'ПЛАН ЧИСТ ПОДЗЕМ'!W44*СПРАВОЧНИК!$M$7+'ПЛАН ЧИСТ ПОДЗЕМ'!X44*СПРАВОЧНИК!$N$7+'ПЛАН ЧИСТ ПОДЗЕМ'!Y44*СПРАВОЧНИК!$O$7+'ПЛАН ЧИСТ ПОДЗЕМ'!Z44*СПРАВОЧНИК!$P$7+'ПЛАН ЧИСТ ПОДЗЕМ'!AA44*СПРАВОЧНИК!$L$8+'ПЛАН ЧИСТ ПОДЗЕМ'!AB44*СПРАВОЧНИК!$M$8+'ПЛАН ЧИСТ ПОДЗЕМ'!AC44*СПРАВОЧНИК!$N$8+'ПЛАН ЧИСТ ПОДЗЕМ'!AD44*СПРАВОЧНИК!$O$8+'ПЛАН ЧИСТ ПОДЗЕМ'!AE44*СПРАВОЧНИК!$P$8</f>
        <v/>
      </c>
      <c r="P53" s="31">
        <f>('ФАКТ ЧИСТ ПОДЗЕМ'!B44)*СПРАВОЧНИК!$L$3+('ФАКТ ЧИСТ ПОДЗЕМ'!C44)*СПРАВОЧНИК!$M$3+('ФАКТ ЧИСТ ПОДЗЕМ'!D44)*СПРАВОЧНИК!$N$3+('ФАКТ ЧИСТ ПОДЗЕМ'!E44)*СПРАВОЧНИК!$O$3+('ФАКТ ЧИСТ ПОДЗЕМ'!F44)*СПРАВОЧНИК!$P$3+('ФАКТ ЧИСТ ПОДЗЕМ'!G44)*СПРАВОЧНИК!$L$4+('ФАКТ ЧИСТ ПОДЗЕМ'!H44)*СПРАВОЧНИК!$M$4+('ФАКТ ЧИСТ ПОДЗЕМ'!I44)*СПРАВОЧНИК!$N$4+('ФАКТ ЧИСТ ПОДЗЕМ'!J44)*СПРАВОЧНИК!$O$4+('ФАКТ ЧИСТ ПОДЗЕМ'!K44)*СПРАВОЧНИК!$P$4+('ФАКТ ЧИСТ ПОДЗЕМ'!L44)*СПРАВОЧНИК!$L$5+('ФАКТ ЧИСТ ПОДЗЕМ'!M44)*СПРАВОЧНИК!$M$5+('ФАКТ ЧИСТ ПОДЗЕМ'!N44)*СПРАВОЧНИК!$N$5+('ФАКТ ЧИСТ ПОДЗЕМ'!O44)*СПРАВОЧНИК!$O$5+('ФАКТ ЧИСТ ПОДЗЕМ'!P44)*СПРАВОЧНИК!$P$5+('ФАКТ ЧИСТ ПОДЗЕМ'!Q44)*СПРАВОЧНИК!$L$6+('ФАКТ ЧИСТ ПОДЗЕМ'!R44)*СПРАВОЧНИК!$M$6+('ФАКТ ЧИСТ ПОДЗЕМ'!S44)*СПРАВОЧНИК!$N$6+('ФАКТ ЧИСТ ПОДЗЕМ'!T44)*СПРАВОЧНИК!$O$6+('ФАКТ ЧИСТ ПОДЗЕМ'!U44)*СПРАВОЧНИК!$P$6+('ФАКТ ЧИСТ ПОДЗЕМ'!V44)*СПРАВОЧНИК!$L$7+('ФАКТ ЧИСТ ПОДЗЕМ'!W44)*СПРАВОЧНИК!$M$7+('ФАКТ ЧИСТ ПОДЗЕМ'!X44)*СПРАВОЧНИК!$N$7+('ФАКТ ЧИСТ ПОДЗЕМ'!Y44)*СПРАВОЧНИК!$O$7+('ФАКТ ЧИСТ ПОДЗЕМ'!Z44)*СПРАВОЧНИК!$P$7+('ФАКТ ЧИСТ ПОДЗЕМ'!AA44)*СПРАВОЧНИК!$L$8+('ФАКТ ЧИСТ ПОДЗЕМ'!AB44)*СПРАВОЧНИК!$M$8+('ФАКТ ЧИСТ ПОДЗЕМ'!AC44)*СПРАВОЧНИК!$N$8+('ФАКТ ЧИСТ ПОДЗЕМ'!AD44)*СПРАВОЧНИК!$O$8+('ФАКТ ЧИСТ ПОДЗЕМ'!AE44)*СПРАВОЧНИК!$P$8</f>
        <v/>
      </c>
      <c r="Q53" s="34" t="n"/>
      <c r="T53" s="152">
        <f>T52+7</f>
        <v/>
      </c>
      <c r="U53" s="17">
        <f>СПРАВОЧНИК!$E$9*('ПЛАН ЧЕРН К1'!B44*СПРАВОЧНИК!$H$9+'ПЛАН ЧЕРН К1'!C44*СПРАВОЧНИК!$I$9+'ПЛАН ЧЕРН К1'!D44*СПРАВОЧНИК!$J$9)+СПРАВОЧНИК!$F$9*('ПЛАН ЧИСТ К1'!B44*СПРАВОЧНИК!$L$9+'ПЛАН ЧИСТ К1'!C44*СПРАВОЧНИК!$M$9+'ПЛАН ЧИСТ К1'!D44*СПРАВОЧНИК!$N$9+'ПЛАН ЧИСТ К1'!E44*СПРАВОЧНИК!$O$9+'ПЛАН ЧИСТ К1'!F44*СПРАВОЧНИК!$P$9)+СПРАВОЧНИК!$E$10*('ПЛАН ЧЕРН К1'!E44*СПРАВОЧНИК!$H$10+'ПЛАН ЧЕРН К1'!F44*СПРАВОЧНИК!$I$10+'ПЛАН ЧЕРН К1'!G44*СПРАВОЧНИК!$J$10)+СПРАВОЧНИК!$F$10*('ПЛАН ЧИСТ К1'!G44*СПРАВОЧНИК!$L$10+'ПЛАН ЧИСТ К1'!H44*СПРАВОЧНИК!$M$10+'ПЛАН ЧИСТ К1'!I44*СПРАВОЧНИК!$N$10+'ПЛАН ЧИСТ К1'!J44*СПРАВОЧНИК!$O$10+'ПЛАН ЧИСТ К1'!K44*СПРАВОЧНИК!$P$10)+СПРАВОЧНИК!$E$11*('ПЛАН ЧЕРН К1'!H44*СПРАВОЧНИК!$H$11+'ПЛАН ЧЕРН К1'!I44*СПРАВОЧНИК!$I$11+'ПЛАН ЧЕРН К1'!J44*СПРАВОЧНИК!$J$11)+СПРАВОЧНИК!$F$11*('ПЛАН ЧИСТ К1'!L44*СПРАВОЧНИК!$L$11+'ПЛАН ЧИСТ К1'!M44*СПРАВОЧНИК!$M$11+'ПЛАН ЧИСТ К1'!N44*СПРАВОЧНИК!$N$11+'ПЛАН ЧИСТ К1'!O44*СПРАВОЧНИК!$O$11+'ПЛАН ЧИСТ К1'!P44*СПРАВОЧНИК!$P$11)+СПРАВОЧНИК!$E$12*('ПЛАН ЧЕРН К1'!K44*СПРАВОЧНИК!$H$12+'ПЛАН ЧЕРН К1'!L44*СПРАВОЧНИК!$I$12+'ПЛАН ЧЕРН К1'!M44*СПРАВОЧНИК!$J$12)+СПРАВОЧНИК!$F$12*('ПЛАН ЧИСТ К1'!Q44*СПРАВОЧНИК!$L$12+'ПЛАН ЧИСТ К1'!R44*СПРАВОЧНИК!$M$12+'ПЛАН ЧИСТ К1'!S44*СПРАВОЧНИК!$N$12+'ПЛАН ЧИСТ К1'!T44*СПРАВОЧНИК!$O$12+'ПЛАН ЧИСТ К1'!U44*СПРАВОЧНИК!$P$12)+СПРАВОЧНИК!$E$13*('ПЛАН ЧЕРН К1'!N44*СПРАВОЧНИК!$H$13+'ПЛАН ЧЕРН К1'!O44*СПРАВОЧНИК!$I$13+'ПЛАН ЧЕРН К1'!P44*СПРАВОЧНИК!$J$13)+СПРАВОЧНИК!$F$13*('ПЛАН ЧИСТ К1'!V44*СПРАВОЧНИК!$L$13+'ПЛАН ЧИСТ К1'!W44*СПРАВОЧНИК!$M$13+'ПЛАН ЧИСТ К1'!X44*СПРАВОЧНИК!$N$13+'ПЛАН ЧИСТ К1'!Y44*СПРАВОЧНИК!$O$13+'ПЛАН ЧИСТ К1'!Z44*СПРАВОЧНИК!$P$13)+СПРАВОЧНИК!$E$14*('ПЛАН ЧЕРН К1'!Q44*СПРАВОЧНИК!$H$14+'ПЛАН ЧЕРН К1'!R44*СПРАВОЧНИК!$I$14+'ПЛАН ЧЕРН К1'!S44*СПРАВОЧНИК!$J$14)+СПРАВОЧНИК!$F$14*('ПЛАН ЧИСТ К1'!AA44*СПРАВОЧНИК!$L$14+'ПЛАН ЧИСТ К1'!AB44*СПРАВОЧНИК!$M$14+'ПЛАН ЧИСТ К1'!AC44*СПРАВОЧНИК!$N$14+'ПЛАН ЧИСТ К1'!AD44*СПРАВОЧНИК!$O$14+'ПЛАН ЧИСТ К1'!AE44*СПРАВОЧНИК!$P$14)+СПРАВОЧНИК!$E$15*('ПЛАН ЧЕРН К1'!T44*СПРАВОЧНИК!$H$15+'ПЛАН ЧЕРН К1'!U44*СПРАВОЧНИК!$I$15+'ПЛАН ЧЕРН К1'!V44*СПРАВОЧНИК!$J$15)+СПРАВОЧНИК!$F$15*('ПЛАН ЧИСТ К1'!AF44*СПРАВОЧНИК!$L$15+'ПЛАН ЧИСТ К1'!AG44*СПРАВОЧНИК!$M$15+'ПЛАН ЧИСТ К1'!AH44*СПРАВОЧНИК!$N$15+'ПЛАН ЧИСТ К1'!AI44*СПРАВОЧНИК!$O$15+'ПЛАН ЧИСТ К1'!AJ44*СПРАВОЧНИК!$P$15)</f>
        <v/>
      </c>
      <c r="V53" s="31">
        <f>СПРАВОЧНИК!$E$9*('ФАКТ ЧЕРН К1'!B44*СПРАВОЧНИК!$H$9+'ФАКТ ЧЕРН К1'!C44*СПРАВОЧНИК!$I$9+'ФАКТ ЧЕРН К1'!D44*СПРАВОЧНИК!$J$9)+СПРАВОЧНИК!$F$9*('ФАКТ ЧИСТ К1'!B44*СПРАВОЧНИК!$L$9+'ФАКТ ЧИСТ К1'!C44*СПРАВОЧНИК!$M$9+'ФАКТ ЧИСТ К1'!D44*СПРАВОЧНИК!$N$9+'ФАКТ ЧИСТ К1'!E44*СПРАВОЧНИК!$O$9+'ФАКТ ЧИСТ К1'!F44*СПРАВОЧНИК!$P$9)+СПРАВОЧНИК!$E$10*('ФАКТ ЧЕРН К1'!E44*СПРАВОЧНИК!$H$10+'ФАКТ ЧЕРН К1'!F44*СПРАВОЧНИК!$I$10+'ФАКТ ЧЕРН К1'!G44*СПРАВОЧНИК!$J$10)+СПРАВОЧНИК!$F$10*('ФАКТ ЧИСТ К1'!G44*СПРАВОЧНИК!$L$10+'ФАКТ ЧИСТ К1'!H44*СПРАВОЧНИК!$M$10+'ФАКТ ЧИСТ К1'!I44*СПРАВОЧНИК!$N$10+'ФАКТ ЧИСТ К1'!J44*СПРАВОЧНИК!$O$10+'ФАКТ ЧИСТ К1'!K44*СПРАВОЧНИК!$P$10)+СПРАВОЧНИК!$E$11*('ФАКТ ЧЕРН К1'!H44*СПРАВОЧНИК!$H$11+'ФАКТ ЧЕРН К1'!I44*СПРАВОЧНИК!$I$11+'ФАКТ ЧЕРН К1'!J44*СПРАВОЧНИК!$J$11)+СПРАВОЧНИК!$F$11*('ФАКТ ЧИСТ К1'!L44*СПРАВОЧНИК!$L$11+'ФАКТ ЧИСТ К1'!M44*СПРАВОЧНИК!$M$11+'ФАКТ ЧИСТ К1'!N44*СПРАВОЧНИК!$N$11+'ФАКТ ЧИСТ К1'!O44*СПРАВОЧНИК!$O$11+'ФАКТ ЧИСТ К1'!P44*СПРАВОЧНИК!$P$11)+СПРАВОЧНИК!$E$12*('ФАКТ ЧЕРН К1'!K44*СПРАВОЧНИК!$H$12+'ФАКТ ЧЕРН К1'!L44*СПРАВОЧНИК!$I$12+'ФАКТ ЧЕРН К1'!M44*СПРАВОЧНИК!$J$12)+СПРАВОЧНИК!$F$12*('ФАКТ ЧИСТ К1'!Q44*СПРАВОЧНИК!$L$12+'ФАКТ ЧИСТ К1'!R44*СПРАВОЧНИК!$M$12+'ФАКТ ЧИСТ К1'!S44*СПРАВОЧНИК!$N$12+'ФАКТ ЧИСТ К1'!T44*СПРАВОЧНИК!$O$12+'ФАКТ ЧИСТ К1'!U44*СПРАВОЧНИК!$P$12)+СПРАВОЧНИК!$E$13*('ФАКТ ЧЕРН К1'!N44*СПРАВОЧНИК!$H$13+'ФАКТ ЧЕРН К1'!O44*СПРАВОЧНИК!$I$13+'ФАКТ ЧЕРН К1'!P44*СПРАВОЧНИК!$J$13)+СПРАВОЧНИК!$F$13*('ФАКТ ЧИСТ К1'!V44*СПРАВОЧНИК!$L$13+'ФАКТ ЧИСТ К1'!W44*СПРАВОЧНИК!$M$13+'ФАКТ ЧИСТ К1'!X44*СПРАВОЧНИК!$N$13+'ФАКТ ЧИСТ К1'!Y44*СПРАВОЧНИК!$O$13+'ФАКТ ЧИСТ К1'!Z44*СПРАВОЧНИК!$P$13)+СПРАВОЧНИК!$E$14*('ФАКТ ЧЕРН К1'!Q44*СПРАВОЧНИК!$H$14+'ФАКТ ЧЕРН К1'!R44*СПРАВОЧНИК!$I$14+'ФАКТ ЧЕРН К1'!S44*СПРАВОЧНИК!$J$14)+СПРАВОЧНИК!$F$14*('ФАКТ ЧИСТ К1'!AA44*СПРАВОЧНИК!$L$14+'ФАКТ ЧИСТ К1'!AB44*СПРАВОЧНИК!$M$14+'ФАКТ ЧИСТ К1'!AC44*СПРАВОЧНИК!$N$14+'ФАКТ ЧИСТ К1'!AD44*СПРАВОЧНИК!$O$14+'ФАКТ ЧИСТ К1'!AE44*СПРАВОЧНИК!$P$14)+СПРАВОЧНИК!$E$15*('ФАКТ ЧЕРН К1'!T44*СПРАВОЧНИК!$H$15+'ФАКТ ЧЕРН К1'!U44*СПРАВОЧНИК!$I$15+'ФАКТ ЧЕРН К1'!V44*СПРАВОЧНИК!$J$15)+СПРАВОЧНИК!$F$15*('ФАКТ ЧИСТ К1'!AF44*СПРАВОЧНИК!$L$15+'ФАКТ ЧИСТ К1'!AG44*СПРАВОЧНИК!$M$15+'ФАКТ ЧИСТ К1'!AH44*СПРАВОЧНИК!$N$15+'ФАКТ ЧИСТ К1'!AI44*СПРАВОЧНИК!$O$15+'ФАКТ ЧИСТ К1'!AJ44*СПРАВОЧНИК!$P$15)</f>
        <v/>
      </c>
      <c r="W53" s="34" t="n"/>
      <c r="Z53" s="152">
        <f>Z52+7</f>
        <v/>
      </c>
      <c r="AA53" s="17">
        <f>'ПЛАН ЧЕРН К1'!B44*СПРАВОЧНИК!$H$9+'ПЛАН ЧЕРН К1'!C44*СПРАВОЧНИК!$I$9+'ПЛАН ЧЕРН К1'!D44*СПРАВОЧНИК!$J$9+'ПЛАН ЧЕРН К1'!E44*СПРАВОЧНИК!$H$10+'ПЛАН ЧЕРН К1'!F44*СПРАВОЧНИК!$I$10+'ПЛАН ЧЕРН К1'!G44*СПРАВОЧНИК!$J$10+'ПЛАН ЧЕРН К1'!H44*СПРАВОЧНИК!$H$11+'ПЛАН ЧЕРН К1'!I44*СПРАВОЧНИК!$I$11+'ПЛАН ЧЕРН К1'!J44*СПРАВОЧНИК!$J$11+'ПЛАН ЧЕРН К1'!K44*СПРАВОЧНИК!$H$12+'ПЛАН ЧЕРН К1'!L44*СПРАВОЧНИК!$I$12+'ПЛАН ЧЕРН К1'!M44*СПРАВОЧНИК!$J$12+'ПЛАН ЧЕРН К1'!N44*СПРАВОЧНИК!$H$13+'ПЛАН ЧЕРН К1'!O44*СПРАВОЧНИК!$I$13+'ПЛАН ЧЕРН К1'!P44*СПРАВОЧНИК!$J$13+'ПЛАН ЧЕРН К1'!Q44*СПРАВОЧНИК!$H$14+'ПЛАН ЧЕРН К1'!R44*СПРАВОЧНИК!$I$14+'ПЛАН ЧЕРН К1'!S44*СПРАВОЧНИК!$J$14+'ПЛАН ЧЕРН К1'!T44*СПРАВОЧНИК!$H$15+'ПЛАН ЧЕРН К1'!U44*СПРАВОЧНИК!$I$15+'ПЛАН ЧЕРН К1'!V44*СПРАВОЧНИК!$J$15</f>
        <v/>
      </c>
      <c r="AB53" s="31">
        <f>('ФАКТ ЧЕРН К1'!B44)*СПРАВОЧНИК!$H$9+('ФАКТ ЧЕРН К1'!C44)*СПРАВОЧНИК!$I$9+('ФАКТ ЧЕРН К1'!D44)*СПРАВОЧНИК!$J$9+('ФАКТ ЧЕРН К1'!E44)*СПРАВОЧНИК!$H$10+('ФАКТ ЧЕРН К1'!F44)*СПРАВОЧНИК!$I$10+('ФАКТ ЧЕРН К1'!G44)*СПРАВОЧНИК!$J$10+('ФАКТ ЧЕРН К1'!H44)*СПРАВОЧНИК!$H$11+('ФАКТ ЧЕРН К1'!I44)*СПРАВОЧНИК!$I$11+('ФАКТ ЧЕРН К1'!J44)*СПРАВОЧНИК!$J$11+('ФАКТ ЧЕРН К1'!K44)*СПРАВОЧНИК!$H$12+('ФАКТ ЧЕРН К1'!L44)*СПРАВОЧНИК!$I$12+('ФАКТ ЧЕРН К1'!M44)*СПРАВОЧНИК!$J$12+('ФАКТ ЧЕРН К1'!N44)*СПРАВОЧНИК!$H$13+('ФАКТ ЧЕРН К1'!O44)*СПРАВОЧНИК!$I$13+('ФАКТ ЧЕРН К1'!P44)*СПРАВОЧНИК!$J$13+('ФАКТ ЧЕРН К1'!Q44)*СПРАВОЧНИК!$H$14+('ФАКТ ЧЕРН К1'!R44)*СПРАВОЧНИК!$I$14+('ФАКТ ЧЕРН К1'!S44)*СПРАВОЧНИК!$J$14+('ФАКТ ЧЕРН К1'!T44)*СПРАВОЧНИК!$H$15+('ФАКТ ЧЕРН К1'!U44)*СПРАВОЧНИК!$I$15+('ФАКТ ЧЕРН К1'!V44)*СПРАВОЧНИК!$J$15</f>
        <v/>
      </c>
      <c r="AC53" s="34" t="n"/>
      <c r="AF53" s="152">
        <f>AF52+7</f>
        <v/>
      </c>
      <c r="AG53" s="17">
        <f>'ПЛАН ЧИСТ К1'!B44*СПРАВОЧНИК!$L$9+'ПЛАН ЧИСТ К1'!C44*СПРАВОЧНИК!$M$9+'ПЛАН ЧИСТ К1'!D44*СПРАВОЧНИК!$N$9+'ПЛАН ЧИСТ К1'!E44*СПРАВОЧНИК!$O$9+'ПЛАН ЧИСТ К1'!F44*СПРАВОЧНИК!$P$9+'ПЛАН ЧИСТ К1'!G44*СПРАВОЧНИК!$L$10+'ПЛАН ЧИСТ К1'!H44*СПРАВОЧНИК!$M$10+'ПЛАН ЧИСТ К1'!I44*СПРАВОЧНИК!$N$10+'ПЛАН ЧИСТ К1'!J44*СПРАВОЧНИК!$O$10+'ПЛАН ЧИСТ К1'!K44*СПРАВОЧНИК!$P$10+'ПЛАН ЧИСТ К1'!L44*СПРАВОЧНИК!$L$11+'ПЛАН ЧИСТ К1'!M44*СПРАВОЧНИК!$M$11+'ПЛАН ЧИСТ К1'!N44*СПРАВОЧНИК!$N$11+'ПЛАН ЧИСТ К1'!O44*СПРАВОЧНИК!$O$11+'ПЛАН ЧИСТ К1'!P44*СПРАВОЧНИК!$P$11+'ПЛАН ЧИСТ К1'!Q44*СПРАВОЧНИК!$L$12+'ПЛАН ЧИСТ К1'!R44*СПРАВОЧНИК!$M$12+'ПЛАН ЧИСТ К1'!S44*СПРАВОЧНИК!$N$12+'ПЛАН ЧИСТ К1'!T44*СПРАВОЧНИК!$O$12+'ПЛАН ЧИСТ К1'!U44*СПРАВОЧНИК!$P$12+'ПЛАН ЧИСТ К1'!V44*СПРАВОЧНИК!$L$13+'ПЛАН ЧИСТ К1'!W44*СПРАВОЧНИК!$M$13+'ПЛАН ЧИСТ К1'!X44*СПРАВОЧНИК!$N$13+'ПЛАН ЧИСТ К1'!Y44*СПРАВОЧНИК!$O$13+'ПЛАН ЧИСТ К1'!Z44*СПРАВОЧНИК!$P$13+'ПЛАН ЧИСТ К1'!AA44*СПРАВОЧНИК!$L$14+'ПЛАН ЧИСТ К1'!AB44*СПРАВОЧНИК!$M$14+'ПЛАН ЧИСТ К1'!AC44*СПРАВОЧНИК!$N$14+'ПЛАН ЧИСТ К1'!AD44*СПРАВОЧНИК!$O$14+'ПЛАН ЧИСТ К1'!AE44*СПРАВОЧНИК!$P$14+'ПЛАН ЧИСТ К1'!AF44*СПРАВОЧНИК!$L$15+'ПЛАН ЧИСТ К1'!AG44*СПРАВОЧНИК!$M$15+'ПЛАН ЧИСТ К1'!AH44*СПРАВОЧНИК!$N$15+'ПЛАН ЧИСТ К1'!AI44*СПРАВОЧНИК!$O$15+'ПЛАН ЧИСТ К1'!AJ44*СПРАВОЧНИК!$P$15</f>
        <v/>
      </c>
      <c r="AH53" s="31">
        <f>('ФАКТ ЧИСТ К1'!B44)*СПРАВОЧНИК!$L$9+('ФАКТ ЧИСТ К1'!C44)*СПРАВОЧНИК!$M$9+('ФАКТ ЧИСТ К1'!D44)*СПРАВОЧНИК!$N$9+('ФАКТ ЧИСТ К1'!E44)*СПРАВОЧНИК!$O$9+('ФАКТ ЧИСТ К1'!F44)*СПРАВОЧНИК!$P$9+('ФАКТ ЧИСТ К1'!G44)*СПРАВОЧНИК!$L$10+('ФАКТ ЧИСТ К1'!H44)*СПРАВОЧНИК!$M$10+('ФАКТ ЧИСТ К1'!I44)*СПРАВОЧНИК!$N$10+('ФАКТ ЧИСТ К1'!J44)*СПРАВОЧНИК!$O$10+('ФАКТ ЧИСТ К1'!K44)*СПРАВОЧНИК!$P$10+('ФАКТ ЧИСТ К1'!L44)*СПРАВОЧНИК!$L$11+('ФАКТ ЧИСТ К1'!M44)*СПРАВОЧНИК!$M$11+('ФАКТ ЧИСТ К1'!N44)*СПРАВОЧНИК!$N$11+('ФАКТ ЧИСТ К1'!O44)*СПРАВОЧНИК!$O$11+('ФАКТ ЧИСТ К1'!P44)*СПРАВОЧНИК!$P$11+('ФАКТ ЧИСТ К1'!Q44)*СПРАВОЧНИК!$L$12+('ФАКТ ЧИСТ К1'!R44)*СПРАВОЧНИК!$M$12+('ФАКТ ЧИСТ К1'!S44)*СПРАВОЧНИК!$N$12+('ФАКТ ЧИСТ К1'!T44)*СПРАВОЧНИК!$O$12+('ФАКТ ЧИСТ К1'!U44)*СПРАВОЧНИК!$P$12+('ФАКТ ЧИСТ К1'!V44)*СПРАВОЧНИК!$L$13+('ФАКТ ЧИСТ К1'!W44)*СПРАВОЧНИК!$M$13+('ФАКТ ЧИСТ К1'!X44)*СПРАВОЧНИК!$N$13+('ФАКТ ЧИСТ К1'!Y44)*СПРАВОЧНИК!$O$13+('ФАКТ ЧИСТ К1'!Z44)*СПРАВОЧНИК!$P$13+('ФАКТ ЧИСТ К1'!AA44)*СПРАВОЧНИК!$L$14+('ФАКТ ЧИСТ К1'!AB44)*СПРАВОЧНИК!$M$14+('ФАКТ ЧИСТ К1'!AC44)*СПРАВОЧНИК!$N$14+('ФАКТ ЧИСТ К1'!AD44)*СПРАВОЧНИК!$O$14+('ФАКТ ЧИСТ К1'!AE44)*СПРАВОЧНИК!$P$14+('ФАКТ ЧИСТ К1'!AF44)*СПРАВОЧНИК!$L$15+('ФАКТ ЧИСТ К1'!AG44)*СПРАВОЧНИК!$M$15+('ФАКТ ЧИСТ К1'!AH44)*СПРАВОЧНИК!$N$15+('ФАКТ ЧИСТ К1'!AI44)*СПРАВОЧНИК!$O$15+('ФАКТ ЧИСТ К1'!AJ44)*СПРАВОЧНИК!$P$15</f>
        <v/>
      </c>
      <c r="AI53" s="34" t="n"/>
      <c r="AL53" s="152">
        <f>AL52+7</f>
        <v/>
      </c>
      <c r="AM53" s="17">
        <f>СПРАВОЧНИК!$E$9*('ПЛАН ЧЕРН К2'!B44*СПРАВОЧНИК!$H$9+'ПЛАН ЧЕРН К2'!C44*СПРАВОЧНИК!$I$9+'ПЛАН ЧЕРН К2'!D44*СПРАВОЧНИК!$J$9)+СПРАВОЧНИК!$F$9*('ПЛАН ЧИСТ К2'!B44*СПРАВОЧНИК!$L$9+'ПЛАН ЧИСТ К2'!C44*СПРАВОЧНИК!$M$9+'ПЛАН ЧИСТ К2'!D44*СПРАВОЧНИК!$N$9+'ПЛАН ЧИСТ К2'!E44*СПРАВОЧНИК!$O$9+'ПЛАН ЧИСТ К2'!F44*СПРАВОЧНИК!$P$9)+СПРАВОЧНИК!$E$10*('ПЛАН ЧЕРН К2'!E44*СПРАВОЧНИК!$H$10+'ПЛАН ЧЕРН К2'!F44*СПРАВОЧНИК!$I$10+'ПЛАН ЧЕРН К2'!G44*СПРАВОЧНИК!$J$10)+СПРАВОЧНИК!$F$10*('ПЛАН ЧИСТ К2'!G44*СПРАВОЧНИК!$L$10+'ПЛАН ЧИСТ К2'!H44*СПРАВОЧНИК!$M$10+'ПЛАН ЧИСТ К2'!I44*СПРАВОЧНИК!$N$10+'ПЛАН ЧИСТ К2'!J44*СПРАВОЧНИК!$O$10+'ПЛАН ЧИСТ К2'!K44*СПРАВОЧНИК!$P$10)+СПРАВОЧНИК!$E$11*('ПЛАН ЧЕРН К2'!H44*СПРАВОЧНИК!$H$11+'ПЛАН ЧЕРН К2'!I44*СПРАВОЧНИК!$I$11+'ПЛАН ЧЕРН К2'!J44*СПРАВОЧНИК!$J$11)+СПРАВОЧНИК!$F$11*('ПЛАН ЧИСТ К2'!L44*СПРАВОЧНИК!$L$11+'ПЛАН ЧИСТ К2'!M44*СПРАВОЧНИК!$M$11+'ПЛАН ЧИСТ К2'!N44*СПРАВОЧНИК!$N$11+'ПЛАН ЧИСТ К2'!O44*СПРАВОЧНИК!$O$11+'ПЛАН ЧИСТ К2'!P44*СПРАВОЧНИК!$P$11)+СПРАВОЧНИК!$E$12*('ПЛАН ЧЕРН К2'!K44*СПРАВОЧНИК!$H$12+'ПЛАН ЧЕРН К2'!L44*СПРАВОЧНИК!$I$12+'ПЛАН ЧЕРН К2'!M44*СПРАВОЧНИК!$J$12)+СПРАВОЧНИК!$F$12*('ПЛАН ЧИСТ К2'!Q44*СПРАВОЧНИК!$L$12+'ПЛАН ЧИСТ К2'!R44*СПРАВОЧНИК!$M$12+'ПЛАН ЧИСТ К2'!S44*СПРАВОЧНИК!$N$12+'ПЛАН ЧИСТ К2'!T44*СПРАВОЧНИК!$O$12+'ПЛАН ЧИСТ К2'!U44*СПРАВОЧНИК!$P$12)+СПРАВОЧНИК!$E$13*('ПЛАН ЧЕРН К2'!N44*СПРАВОЧНИК!$H$13+'ПЛАН ЧЕРН К2'!O44*СПРАВОЧНИК!$I$13+'ПЛАН ЧЕРН К2'!P44*СПРАВОЧНИК!$J$13)+СПРАВОЧНИК!$F$13*('ПЛАН ЧИСТ К2'!V44*СПРАВОЧНИК!$L$13+'ПЛАН ЧИСТ К2'!W44*СПРАВОЧНИК!$M$13+'ПЛАН ЧИСТ К2'!X44*СПРАВОЧНИК!$N$13+'ПЛАН ЧИСТ К2'!Y44*СПРАВОЧНИК!$O$13+'ПЛАН ЧИСТ К2'!Z44*СПРАВОЧНИК!$P$13)+СПРАВОЧНИК!$E$14*('ПЛАН ЧЕРН К2'!Q44*СПРАВОЧНИК!$H$14+'ПЛАН ЧЕРН К2'!R44*СПРАВОЧНИК!$I$14+'ПЛАН ЧЕРН К2'!S44*СПРАВОЧНИК!$J$14)+СПРАВОЧНИК!$F$14*('ПЛАН ЧИСТ К2'!AA44*СПРАВОЧНИК!$L$14+'ПЛАН ЧИСТ К2'!AB44*СПРАВОЧНИК!$M$14+'ПЛАН ЧИСТ К2'!AC44*СПРАВОЧНИК!$N$14+'ПЛАН ЧИСТ К2'!AD44*СПРАВОЧНИК!$O$14+'ПЛАН ЧИСТ К2'!AE44*СПРАВОЧНИК!$P$14)+СПРАВОЧНИК!$E$15*('ПЛАН ЧЕРН К2'!T44*СПРАВОЧНИК!$H$15+'ПЛАН ЧЕРН К2'!U44*СПРАВОЧНИК!$I$15+'ПЛАН ЧЕРН К2'!V44*СПРАВОЧНИК!$J$15)+СПРАВОЧНИК!$F$15*('ПЛАН ЧИСТ К2'!AF44*СПРАВОЧНИК!$L$15+'ПЛАН ЧИСТ К2'!AG44*СПРАВОЧНИК!$M$15+'ПЛАН ЧИСТ К2'!AH44*СПРАВОЧНИК!$N$15+'ПЛАН ЧИСТ К2'!AI44*СПРАВОЧНИК!$O$15+'ПЛАН ЧИСТ К2'!AJ44*СПРАВОЧНИК!$P$15)</f>
        <v/>
      </c>
      <c r="AN53" s="31">
        <f>СПРАВОЧНИК!$E$9*('ФАКТ ЧЕРН К2'!B44*СПРАВОЧНИК!$H$9+'ФАКТ ЧЕРН К2'!C44*СПРАВОЧНИК!$I$9+'ФАКТ ЧЕРН К2'!D44*СПРАВОЧНИК!$J$9)+СПРАВОЧНИК!$F$9*('ФАКТ ЧИСТ К2'!B44*СПРАВОЧНИК!$L$9+'ФАКТ ЧИСТ К2'!C44*СПРАВОЧНИК!$M$9+'ФАКТ ЧИСТ К2'!D44*СПРАВОЧНИК!$N$9+'ФАКТ ЧИСТ К2'!E44*СПРАВОЧНИК!$O$9+'ФАКТ ЧИСТ К2'!F44*СПРАВОЧНИК!$P$9)+СПРАВОЧНИК!$E$10*('ФАКТ ЧЕРН К2'!E44*СПРАВОЧНИК!$H$10+'ФАКТ ЧЕРН К2'!F44*СПРАВОЧНИК!$I$10+'ФАКТ ЧЕРН К2'!G44*СПРАВОЧНИК!$J$10)+СПРАВОЧНИК!$F$10*('ФАКТ ЧИСТ К2'!G44*СПРАВОЧНИК!$L$10+'ФАКТ ЧИСТ К2'!H44*СПРАВОЧНИК!$M$10+'ФАКТ ЧИСТ К2'!I44*СПРАВОЧНИК!$N$10+'ФАКТ ЧИСТ К2'!J44*СПРАВОЧНИК!$O$10+'ФАКТ ЧИСТ К2'!K44*СПРАВОЧНИК!$P$10)+СПРАВОЧНИК!$E$11*('ФАКТ ЧЕРН К2'!H44*СПРАВОЧНИК!$H$11+'ФАКТ ЧЕРН К2'!I44*СПРАВОЧНИК!$I$11+'ФАКТ ЧЕРН К2'!J44*СПРАВОЧНИК!$J$11)+СПРАВОЧНИК!$F$11*('ФАКТ ЧИСТ К2'!L44*СПРАВОЧНИК!$L$11+'ФАКТ ЧИСТ К2'!M44*СПРАВОЧНИК!$M$11+'ФАКТ ЧИСТ К2'!N44*СПРАВОЧНИК!$N$11+'ФАКТ ЧИСТ К2'!O44*СПРАВОЧНИК!$O$11+'ФАКТ ЧИСТ К2'!P44*СПРАВОЧНИК!$P$11)+СПРАВОЧНИК!$E$12*('ФАКТ ЧЕРН К2'!K44*СПРАВОЧНИК!$H$12+'ФАКТ ЧЕРН К2'!L44*СПРАВОЧНИК!$I$12+'ФАКТ ЧЕРН К2'!M44*СПРАВОЧНИК!$J$12)+СПРАВОЧНИК!$F$12*('ФАКТ ЧИСТ К2'!Q44*СПРАВОЧНИК!$L$12+'ФАКТ ЧИСТ К2'!R44*СПРАВОЧНИК!$M$12+'ФАКТ ЧИСТ К2'!S44*СПРАВОЧНИК!$N$12+'ФАКТ ЧИСТ К2'!T44*СПРАВОЧНИК!$O$12+'ФАКТ ЧИСТ К2'!U44*СПРАВОЧНИК!$P$12)+СПРАВОЧНИК!$E$13*('ФАКТ ЧЕРН К2'!N44*СПРАВОЧНИК!$H$13+'ФАКТ ЧЕРН К2'!O44*СПРАВОЧНИК!$I$13+'ФАКТ ЧЕРН К2'!P44*СПРАВОЧНИК!$J$13)+СПРАВОЧНИК!$F$13*('ФАКТ ЧИСТ К2'!V44*СПРАВОЧНИК!$L$13+'ФАКТ ЧИСТ К2'!W44*СПРАВОЧНИК!$M$13+'ФАКТ ЧИСТ К2'!X44*СПРАВОЧНИК!$N$13+'ФАКТ ЧИСТ К2'!Y44*СПРАВОЧНИК!$O$13+'ФАКТ ЧИСТ К2'!Z44*СПРАВОЧНИК!$P$13)+СПРАВОЧНИК!$E$14*('ФАКТ ЧЕРН К2'!Q44*СПРАВОЧНИК!$H$14+'ФАКТ ЧЕРН К2'!R44*СПРАВОЧНИК!$I$14+'ФАКТ ЧЕРН К2'!S44*СПРАВОЧНИК!$J$14)+СПРАВОЧНИК!$F$14*('ФАКТ ЧИСТ К2'!AA44*СПРАВОЧНИК!$L$14+'ФАКТ ЧИСТ К2'!AB44*СПРАВОЧНИК!$M$14+'ФАКТ ЧИСТ К2'!AC44*СПРАВОЧНИК!$N$14+'ФАКТ ЧИСТ К2'!AD44*СПРАВОЧНИК!$O$14+'ФАКТ ЧИСТ К2'!AE44*СПРАВОЧНИК!$P$14)+СПРАВОЧНИК!$E$15*('ФАКТ ЧЕРН К2'!T44*СПРАВОЧНИК!$H$15+'ФАКТ ЧЕРН К2'!U44*СПРАВОЧНИК!$I$15+'ФАКТ ЧЕРН К2'!V44*СПРАВОЧНИК!$J$15)+СПРАВОЧНИК!$F$15*('ФАКТ ЧИСТ К2'!AF44*СПРАВОЧНИК!$L$15+'ФАКТ ЧИСТ К2'!AG44*СПРАВОЧНИК!$M$15+'ФАКТ ЧИСТ К2'!AH44*СПРАВОЧНИК!$N$15+'ФАКТ ЧИСТ К2'!AI44*СПРАВОЧНИК!$O$15+'ФАКТ ЧИСТ К2'!AJ44*СПРАВОЧНИК!$P$15)</f>
        <v/>
      </c>
      <c r="AO53" s="34" t="n"/>
      <c r="AR53" s="152">
        <f>AR52+7</f>
        <v/>
      </c>
      <c r="AS53" s="17">
        <f>'ПЛАН ЧЕРН К2'!B44*СПРАВОЧНИК!$H$9+'ПЛАН ЧЕРН К2'!C44*СПРАВОЧНИК!$I$9+'ПЛАН ЧЕРН К2'!D44*СПРАВОЧНИК!$J$9+'ПЛАН ЧЕРН К2'!E44*СПРАВОЧНИК!$H$10+'ПЛАН ЧЕРН К2'!F44*СПРАВОЧНИК!$I$10+'ПЛАН ЧЕРН К2'!G44*СПРАВОЧНИК!$J$10+'ПЛАН ЧЕРН К2'!H44*СПРАВОЧНИК!$H$11+'ПЛАН ЧЕРН К2'!I44*СПРАВОЧНИК!$I$11+'ПЛАН ЧЕРН К2'!J44*СПРАВОЧНИК!$J$11+'ПЛАН ЧЕРН К2'!K44*СПРАВОЧНИК!$H$12+'ПЛАН ЧЕРН К2'!L44*СПРАВОЧНИК!$I$12+'ПЛАН ЧЕРН К2'!M44*СПРАВОЧНИК!$J$12+'ПЛАН ЧЕРН К2'!N44*СПРАВОЧНИК!$H$13+'ПЛАН ЧЕРН К2'!O44*СПРАВОЧНИК!$I$13+'ПЛАН ЧЕРН К2'!P44*СПРАВОЧНИК!$J$13+'ПЛАН ЧЕРН К2'!Q44*СПРАВОЧНИК!$H$14+'ПЛАН ЧЕРН К2'!R44*СПРАВОЧНИК!$I$14+'ПЛАН ЧЕРН К2'!S44*СПРАВОЧНИК!$J$14+'ПЛАН ЧЕРН К2'!T44*СПРАВОЧНИК!$H$15+'ПЛАН ЧЕРН К2'!U44*СПРАВОЧНИК!$I$15+'ПЛАН ЧЕРН К2'!V44*СПРАВОЧНИК!$J$15</f>
        <v/>
      </c>
      <c r="AT53" s="31">
        <f>('ФАКТ ЧЕРН К2'!B44)*СПРАВОЧНИК!$H$9+('ФАКТ ЧЕРН К2'!C44)*СПРАВОЧНИК!$I$9+('ФАКТ ЧЕРН К2'!D44)*СПРАВОЧНИК!$J$9+('ФАКТ ЧЕРН К2'!E44)*СПРАВОЧНИК!$H$10+('ФАКТ ЧЕРН К2'!F44)*СПРАВОЧНИК!$I$10+('ФАКТ ЧЕРН К2'!G44)*СПРАВОЧНИК!$J$10+('ФАКТ ЧЕРН К2'!H44)*СПРАВОЧНИК!$H$11+('ФАКТ ЧЕРН К2'!I44)*СПРАВОЧНИК!$I$11+('ФАКТ ЧЕРН К2'!J44)*СПРАВОЧНИК!$J$11+('ФАКТ ЧЕРН К2'!K44)*СПРАВОЧНИК!$H$12+('ФАКТ ЧЕРН К2'!L44)*СПРАВОЧНИК!$I$12+('ФАКТ ЧЕРН К2'!M44)*СПРАВОЧНИК!$J$12+('ФАКТ ЧЕРН К2'!N44)*СПРАВОЧНИК!$H$13+('ФАКТ ЧЕРН К2'!O44)*СПРАВОЧНИК!$I$13+('ФАКТ ЧЕРН К2'!P44)*СПРАВОЧНИК!$J$13+('ФАКТ ЧЕРН К2'!Q44)*СПРАВОЧНИК!$H$14+('ФАКТ ЧЕРН К2'!R44)*СПРАВОЧНИК!$I$14+('ФАКТ ЧЕРН К2'!S44)*СПРАВОЧНИК!$J$14+('ФАКТ ЧЕРН К2'!T44)*СПРАВОЧНИК!$H$15+('ФАКТ ЧЕРН К2'!U44)*СПРАВОЧНИК!$I$15+('ФАКТ ЧЕРН К2'!V44)*СПРАВОЧНИК!$J$15</f>
        <v/>
      </c>
      <c r="AU53" s="34" t="n"/>
      <c r="AX53" s="152">
        <f>AX52+7</f>
        <v/>
      </c>
      <c r="AY53" s="17">
        <f>'ПЛАН ЧИСТ К2'!B44*СПРАВОЧНИК!$L$9+'ПЛАН ЧИСТ К2'!C44*СПРАВОЧНИК!$M$9+'ПЛАН ЧИСТ К2'!D44*СПРАВОЧНИК!$N$9+'ПЛАН ЧИСТ К2'!E44*СПРАВОЧНИК!$O$9+'ПЛАН ЧИСТ К2'!F44*СПРАВОЧНИК!$P$9+'ПЛАН ЧИСТ К2'!G44*СПРАВОЧНИК!$L$10+'ПЛАН ЧИСТ К2'!H44*СПРАВОЧНИК!$M$10+'ПЛАН ЧИСТ К2'!I44*СПРАВОЧНИК!$N$10+'ПЛАН ЧИСТ К2'!J44*СПРАВОЧНИК!$O$10+'ПЛАН ЧИСТ К2'!K44*СПРАВОЧНИК!$P$10+'ПЛАН ЧИСТ К2'!L44*СПРАВОЧНИК!$L$11+'ПЛАН ЧИСТ К2'!M44*СПРАВОЧНИК!$M$11+'ПЛАН ЧИСТ К2'!N44*СПРАВОЧНИК!$N$11+'ПЛАН ЧИСТ К2'!O44*СПРАВОЧНИК!$O$11+'ПЛАН ЧИСТ К2'!P44*СПРАВОЧНИК!$P$11+'ПЛАН ЧИСТ К2'!Q44*СПРАВОЧНИК!$L$12+'ПЛАН ЧИСТ К2'!R44*СПРАВОЧНИК!$M$12+'ПЛАН ЧИСТ К2'!S44*СПРАВОЧНИК!$N$12+'ПЛАН ЧИСТ К2'!T44*СПРАВОЧНИК!$O$12+'ПЛАН ЧИСТ К2'!U44*СПРАВОЧНИК!$P$12+'ПЛАН ЧИСТ К2'!V44*СПРАВОЧНИК!$L$13+'ПЛАН ЧИСТ К2'!W44*СПРАВОЧНИК!$M$13+'ПЛАН ЧИСТ К2'!X44*СПРАВОЧНИК!$N$13+'ПЛАН ЧИСТ К2'!Y44*СПРАВОЧНИК!$O$13+'ПЛАН ЧИСТ К2'!Z44*СПРАВОЧНИК!$P$13+'ПЛАН ЧИСТ К2'!AA44*СПРАВОЧНИК!$L$14+'ПЛАН ЧИСТ К2'!AB44*СПРАВОЧНИК!$M$14+'ПЛАН ЧИСТ К2'!AC44*СПРАВОЧНИК!$N$14+'ПЛАН ЧИСТ К2'!AD44*СПРАВОЧНИК!$O$14+'ПЛАН ЧИСТ К2'!AE44*СПРАВОЧНИК!$P$14+'ПЛАН ЧИСТ К2'!AF44*СПРАВОЧНИК!$L$15+'ПЛАН ЧИСТ К2'!AG44*СПРАВОЧНИК!$M$15+'ПЛАН ЧИСТ К2'!AH44*СПРАВОЧНИК!$N$15+'ПЛАН ЧИСТ К2'!AI44*СПРАВОЧНИК!$O$15+'ПЛАН ЧИСТ К2'!AJ44*СПРАВОЧНИК!$P$15</f>
        <v/>
      </c>
      <c r="AZ53" s="31">
        <f>('ФАКТ ЧИСТ К2'!B44)*СПРАВОЧНИК!$L$9+('ФАКТ ЧИСТ К2'!C44)*СПРАВОЧНИК!$M$9+('ФАКТ ЧИСТ К2'!D44)*СПРАВОЧНИК!$N$9+('ФАКТ ЧИСТ К2'!E44)*СПРАВОЧНИК!$O$9+('ФАКТ ЧИСТ К2'!F44)*СПРАВОЧНИК!$P$9+('ФАКТ ЧИСТ К2'!G44)*СПРАВОЧНИК!$L$10+('ФАКТ ЧИСТ К2'!H44)*СПРАВОЧНИК!$M$10+('ФАКТ ЧИСТ К2'!I44)*СПРАВОЧНИК!$N$10+('ФАКТ ЧИСТ К2'!J44)*СПРАВОЧНИК!$O$10+('ФАКТ ЧИСТ К2'!K44)*СПРАВОЧНИК!$P$10+('ФАКТ ЧИСТ К2'!L44)*СПРАВОЧНИК!$L$11+('ФАКТ ЧИСТ К2'!M44)*СПРАВОЧНИК!$M$11+('ФАКТ ЧИСТ К2'!N44)*СПРАВОЧНИК!$N$11+('ФАКТ ЧИСТ К2'!O44)*СПРАВОЧНИК!$O$11+('ФАКТ ЧИСТ К2'!P44)*СПРАВОЧНИК!$P$11+('ФАКТ ЧИСТ К2'!Q44)*СПРАВОЧНИК!$L$12+('ФАКТ ЧИСТ К2'!R44)*СПРАВОЧНИК!$M$12+('ФАКТ ЧИСТ К2'!S44)*СПРАВОЧНИК!$N$12+('ФАКТ ЧИСТ К2'!T44)*СПРАВОЧНИК!$O$12+('ФАКТ ЧИСТ К2'!U44)*СПРАВОЧНИК!$P$12+('ФАКТ ЧИСТ К2'!V44)*СПРАВОЧНИК!$L$13+('ФАКТ ЧИСТ К2'!W44)*СПРАВОЧНИК!$M$13+('ФАКТ ЧИСТ К2'!X44)*СПРАВОЧНИК!$N$13+('ФАКТ ЧИСТ К2'!Y44)*СПРАВОЧНИК!$O$13+('ФАКТ ЧИСТ К2'!Z44)*СПРАВОЧНИК!$P$13+('ФАКТ ЧИСТ К2'!AA44)*СПРАВОЧНИК!$L$14+('ФАКТ ЧИСТ К2'!AB44)*СПРАВОЧНИК!$M$14+('ФАКТ ЧИСТ К2'!AC44)*СПРАВОЧНИК!$N$14+('ФАКТ ЧИСТ К2'!AD44)*СПРАВОЧНИК!$O$14+('ФАКТ ЧИСТ К2'!AE44)*СПРАВОЧНИК!$P$14+('ФАКТ ЧИСТ К2'!AF44)*СПРАВОЧНИК!$L$15+('ФАКТ ЧИСТ К2'!AG44)*СПРАВОЧНИК!$M$15+('ФАКТ ЧИСТ К2'!AH44)*СПРАВОЧНИК!$N$15+('ФАКТ ЧИСТ К2'!AI44)*СПРАВОЧНИК!$O$15+('ФАКТ ЧИСТ К2'!AJ44)*СПРАВОЧНИК!$P$15</f>
        <v/>
      </c>
      <c r="BA53" s="34" t="n"/>
      <c r="BD53" s="152">
        <f>BD52+7</f>
        <v/>
      </c>
      <c r="BE53" s="17">
        <f>СПРАВОЧНИК!$E$9*('ПЛАН ЧЕРН К3'!B44*СПРАВОЧНИК!$H$9+'ПЛАН ЧЕРН К3'!C44*СПРАВОЧНИК!$I$9+'ПЛАН ЧЕРН К3'!D44*СПРАВОЧНИК!$J$9)+СПРАВОЧНИК!$F$9*('ПЛАН ЧИСТ К3'!B44*СПРАВОЧНИК!$L$9+'ПЛАН ЧИСТ К3'!C44*СПРАВОЧНИК!$M$9+'ПЛАН ЧИСТ К3'!D44*СПРАВОЧНИК!$N$9+'ПЛАН ЧИСТ К3'!E44*СПРАВОЧНИК!$O$9+'ПЛАН ЧИСТ К3'!F44*СПРАВОЧНИК!$P$9)+СПРАВОЧНИК!$E$10*('ПЛАН ЧЕРН К3'!E44*СПРАВОЧНИК!$H$10+'ПЛАН ЧЕРН К3'!F44*СПРАВОЧНИК!$I$10+'ПЛАН ЧЕРН К3'!G44*СПРАВОЧНИК!$J$10)+СПРАВОЧНИК!$F$10*('ПЛАН ЧИСТ К3'!G44*СПРАВОЧНИК!$L$10+'ПЛАН ЧИСТ К3'!H44*СПРАВОЧНИК!$M$10+'ПЛАН ЧИСТ К3'!I44*СПРАВОЧНИК!$N$10+'ПЛАН ЧИСТ К3'!J44*СПРАВОЧНИК!$O$10+'ПЛАН ЧИСТ К3'!K44*СПРАВОЧНИК!$P$10)+СПРАВОЧНИК!$E$11*('ПЛАН ЧЕРН К3'!H44*СПРАВОЧНИК!$H$11+'ПЛАН ЧЕРН К3'!I44*СПРАВОЧНИК!$I$11+'ПЛАН ЧЕРН К3'!J44*СПРАВОЧНИК!$J$11)+СПРАВОЧНИК!$F$11*('ПЛАН ЧИСТ К3'!L44*СПРАВОЧНИК!$L$11+'ПЛАН ЧИСТ К3'!M44*СПРАВОЧНИК!$M$11+'ПЛАН ЧИСТ К3'!N44*СПРАВОЧНИК!$N$11+'ПЛАН ЧИСТ К3'!O44*СПРАВОЧНИК!$O$11+'ПЛАН ЧИСТ К3'!P44*СПРАВОЧНИК!$P$11)+СПРАВОЧНИК!$E$12*('ПЛАН ЧЕРН К3'!K44*СПРАВОЧНИК!$H$12+'ПЛАН ЧЕРН К3'!L44*СПРАВОЧНИК!$I$12+'ПЛАН ЧЕРН К3'!M44*СПРАВОЧНИК!$J$12)+СПРАВОЧНИК!$F$12*('ПЛАН ЧИСТ К3'!Q44*СПРАВОЧНИК!$L$12+'ПЛАН ЧИСТ К3'!R44*СПРАВОЧНИК!$M$12+'ПЛАН ЧИСТ К3'!S44*СПРАВОЧНИК!$N$12+'ПЛАН ЧИСТ К3'!T44*СПРАВОЧНИК!$O$12+'ПЛАН ЧИСТ К3'!U44*СПРАВОЧНИК!$P$12)+СПРАВОЧНИК!$E$13*('ПЛАН ЧЕРН К3'!N44*СПРАВОЧНИК!$H$13+'ПЛАН ЧЕРН К3'!O44*СПРАВОЧНИК!$I$13+'ПЛАН ЧЕРН К3'!P44*СПРАВОЧНИК!$J$13)+СПРАВОЧНИК!$F$13*('ПЛАН ЧИСТ К3'!V44*СПРАВОЧНИК!$L$13+'ПЛАН ЧИСТ К3'!W44*СПРАВОЧНИК!$M$13+'ПЛАН ЧИСТ К3'!X44*СПРАВОЧНИК!$N$13+'ПЛАН ЧИСТ К3'!Y44*СПРАВОЧНИК!$O$13+'ПЛАН ЧИСТ К3'!Z44*СПРАВОЧНИК!$P$13)+СПРАВОЧНИК!$E$14*('ПЛАН ЧЕРН К3'!Q44*СПРАВОЧНИК!$H$14+'ПЛАН ЧЕРН К3'!R44*СПРАВОЧНИК!$I$14+'ПЛАН ЧЕРН К3'!S44*СПРАВОЧНИК!$J$14)+СПРАВОЧНИК!$F$14*('ПЛАН ЧИСТ К3'!AA44*СПРАВОЧНИК!$L$14+'ПЛАН ЧИСТ К3'!AB44*СПРАВОЧНИК!$M$14+'ПЛАН ЧИСТ К3'!AC44*СПРАВОЧНИК!$N$14+'ПЛАН ЧИСТ К3'!AD44*СПРАВОЧНИК!$O$14+'ПЛАН ЧИСТ К3'!AE44*СПРАВОЧНИК!$P$14)+СПРАВОЧНИК!$E$15*('ПЛАН ЧЕРН К3'!T44*СПРАВОЧНИК!$H$15+'ПЛАН ЧЕРН К3'!U44*СПРАВОЧНИК!$I$15+'ПЛАН ЧЕРН К3'!V44*СПРАВОЧНИК!$J$15)+СПРАВОЧНИК!$F$15*('ПЛАН ЧИСТ К3'!AF44*СПРАВОЧНИК!$L$15+'ПЛАН ЧИСТ К3'!AG44*СПРАВОЧНИК!$M$15+'ПЛАН ЧИСТ К3'!AH44*СПРАВОЧНИК!$N$15+'ПЛАН ЧИСТ К3'!AI44*СПРАВОЧНИК!$O$15+'ПЛАН ЧИСТ К3'!AJ44*СПРАВОЧНИК!$P$15)</f>
        <v/>
      </c>
      <c r="BF53" s="31">
        <f>СПРАВОЧНИК!$E$9*('ФАКТ ЧЕРН К3'!B44*СПРАВОЧНИК!$H$9+'ФАКТ ЧЕРН К3'!C44*СПРАВОЧНИК!$I$9+'ФАКТ ЧЕРН К3'!D44*СПРАВОЧНИК!$J$9)+СПРАВОЧНИК!$F$9*('ФАКТ ЧИСТ К3'!B44*СПРАВОЧНИК!$L$9+'ФАКТ ЧИСТ К3'!C44*СПРАВОЧНИК!$M$9+'ФАКТ ЧИСТ К3'!D44*СПРАВОЧНИК!$N$9+'ФАКТ ЧИСТ К3'!E44*СПРАВОЧНИК!$O$9+'ФАКТ ЧИСТ К3'!F44*СПРАВОЧНИК!$P$9)+СПРАВОЧНИК!$E$10*('ФАКТ ЧЕРН К3'!E44*СПРАВОЧНИК!$H$10+'ФАКТ ЧЕРН К3'!F44*СПРАВОЧНИК!$I$10+'ФАКТ ЧЕРН К3'!G44*СПРАВОЧНИК!$J$10)+СПРАВОЧНИК!$F$10*('ФАКТ ЧИСТ К3'!G44*СПРАВОЧНИК!$L$10+'ФАКТ ЧИСТ К3'!H44*СПРАВОЧНИК!$M$10+'ФАКТ ЧИСТ К3'!I44*СПРАВОЧНИК!$N$10+'ФАКТ ЧИСТ К3'!J44*СПРАВОЧНИК!$O$10+'ФАКТ ЧИСТ К3'!K44*СПРАВОЧНИК!$P$10)+СПРАВОЧНИК!$E$11*('ФАКТ ЧЕРН К3'!H44*СПРАВОЧНИК!$H$11+'ФАКТ ЧЕРН К3'!I44*СПРАВОЧНИК!$I$11+'ФАКТ ЧЕРН К3'!J44*СПРАВОЧНИК!$J$11)+СПРАВОЧНИК!$F$11*('ФАКТ ЧИСТ К3'!L44*СПРАВОЧНИК!$L$11+'ФАКТ ЧИСТ К3'!M44*СПРАВОЧНИК!$M$11+'ФАКТ ЧИСТ К3'!N44*СПРАВОЧНИК!$N$11+'ФАКТ ЧИСТ К3'!O44*СПРАВОЧНИК!$O$11+'ФАКТ ЧИСТ К3'!P44*СПРАВОЧНИК!$P$11)+СПРАВОЧНИК!$E$12*('ФАКТ ЧЕРН К3'!K44*СПРАВОЧНИК!$H$12+'ФАКТ ЧЕРН К3'!L44*СПРАВОЧНИК!$I$12+'ФАКТ ЧЕРН К3'!M44*СПРАВОЧНИК!$J$12)+СПРАВОЧНИК!$F$12*('ФАКТ ЧИСТ К3'!Q44*СПРАВОЧНИК!$L$12+'ФАКТ ЧИСТ К3'!R44*СПРАВОЧНИК!$M$12+'ФАКТ ЧИСТ К3'!S44*СПРАВОЧНИК!$N$12+'ФАКТ ЧИСТ К3'!T44*СПРАВОЧНИК!$O$12+'ФАКТ ЧИСТ К3'!U44*СПРАВОЧНИК!$P$12)+СПРАВОЧНИК!$E$13*('ФАКТ ЧЕРН К3'!N44*СПРАВОЧНИК!$H$13+'ФАКТ ЧЕРН К3'!O44*СПРАВОЧНИК!$I$13+'ФАКТ ЧЕРН К3'!P44*СПРАВОЧНИК!$J$13)+СПРАВОЧНИК!$F$13*('ФАКТ ЧИСТ К3'!V44*СПРАВОЧНИК!$L$13+'ФАКТ ЧИСТ К3'!W44*СПРАВОЧНИК!$M$13+'ФАКТ ЧИСТ К3'!X44*СПРАВОЧНИК!$N$13+'ФАКТ ЧИСТ К3'!Y44*СПРАВОЧНИК!$O$13+'ФАКТ ЧИСТ К3'!Z44*СПРАВОЧНИК!$P$13)+СПРАВОЧНИК!$E$14*('ФАКТ ЧЕРН К3'!Q44*СПРАВОЧНИК!$H$14+'ФАКТ ЧЕРН К3'!R44*СПРАВОЧНИК!$I$14+'ФАКТ ЧЕРН К3'!S44*СПРАВОЧНИК!$J$14)+СПРАВОЧНИК!$F$14*('ФАКТ ЧИСТ К3'!AA44*СПРАВОЧНИК!$L$14+'ФАКТ ЧИСТ К3'!AB44*СПРАВОЧНИК!$M$14+'ФАКТ ЧИСТ К3'!AC44*СПРАВОЧНИК!$N$14+'ФАКТ ЧИСТ К3'!AD44*СПРАВОЧНИК!$O$14+'ФАКТ ЧИСТ К3'!AE44*СПРАВОЧНИК!$P$14)+СПРАВОЧНИК!$E$15*('ФАКТ ЧЕРН К3'!T44*СПРАВОЧНИК!$H$15+'ФАКТ ЧЕРН К3'!U44*СПРАВОЧНИК!$I$15+'ФАКТ ЧЕРН К3'!V44*СПРАВОЧНИК!$J$15)+СПРАВОЧНИК!$F$15*('ФАКТ ЧИСТ К3'!AF44*СПРАВОЧНИК!$L$15+'ФАКТ ЧИСТ К3'!AG44*СПРАВОЧНИК!$M$15+'ФАКТ ЧИСТ К3'!AH44*СПРАВОЧНИК!$N$15+'ФАКТ ЧИСТ К3'!AI44*СПРАВОЧНИК!$O$15+'ФАКТ ЧИСТ К3'!AJ44*СПРАВОЧНИК!$P$15)</f>
        <v/>
      </c>
      <c r="BG53" s="34" t="n"/>
      <c r="BJ53" s="152">
        <f>BJ52+7</f>
        <v/>
      </c>
      <c r="BK53" s="17">
        <f>'ПЛАН ЧЕРН К3'!B44*СПРАВОЧНИК!$H$9+'ПЛАН ЧЕРН К3'!C44*СПРАВОЧНИК!$I$9+'ПЛАН ЧЕРН К3'!D44*СПРАВОЧНИК!$J$9+'ПЛАН ЧЕРН К3'!E44*СПРАВОЧНИК!$H$10+'ПЛАН ЧЕРН К3'!F44*СПРАВОЧНИК!$I$10+'ПЛАН ЧЕРН К3'!G44*СПРАВОЧНИК!$J$10+'ПЛАН ЧЕРН К3'!H44*СПРАВОЧНИК!$H$11+'ПЛАН ЧЕРН К3'!I44*СПРАВОЧНИК!$I$11+'ПЛАН ЧЕРН К3'!J44*СПРАВОЧНИК!$J$11+'ПЛАН ЧЕРН К3'!K44*СПРАВОЧНИК!$H$12+'ПЛАН ЧЕРН К3'!L44*СПРАВОЧНИК!$I$12+'ПЛАН ЧЕРН К3'!M44*СПРАВОЧНИК!$J$12+'ПЛАН ЧЕРН К3'!N44*СПРАВОЧНИК!$H$13+'ПЛАН ЧЕРН К3'!O44*СПРАВОЧНИК!$I$13+'ПЛАН ЧЕРН К3'!P44*СПРАВОЧНИК!$J$13+'ПЛАН ЧЕРН К3'!Q44*СПРАВОЧНИК!$H$14+'ПЛАН ЧЕРН К3'!R44*СПРАВОЧНИК!$I$14+'ПЛАН ЧЕРН К3'!S44*СПРАВОЧНИК!$J$14+'ПЛАН ЧЕРН К3'!T44*СПРАВОЧНИК!$H$15+'ПЛАН ЧЕРН К3'!U44*СПРАВОЧНИК!$I$15+'ПЛАН ЧЕРН К3'!V44*СПРАВОЧНИК!$J$15</f>
        <v/>
      </c>
      <c r="BL53" s="31">
        <f>('ФАКТ ЧЕРН К3'!B44)*СПРАВОЧНИК!$H$9+('ФАКТ ЧЕРН К3'!C44)*СПРАВОЧНИК!$I$9+('ФАКТ ЧЕРН К3'!D44)*СПРАВОЧНИК!$J$9+('ФАКТ ЧЕРН К3'!E44)*СПРАВОЧНИК!$H$10+('ФАКТ ЧЕРН К3'!F44)*СПРАВОЧНИК!$I$10+('ФАКТ ЧЕРН К3'!G44)*СПРАВОЧНИК!$J$10+('ФАКТ ЧЕРН К3'!H44)*СПРАВОЧНИК!$H$11+('ФАКТ ЧЕРН К3'!I44)*СПРАВОЧНИК!$I$11+('ФАКТ ЧЕРН К3'!J44)*СПРАВОЧНИК!$J$11+('ФАКТ ЧЕРН К3'!K44)*СПРАВОЧНИК!$H$12+('ФАКТ ЧЕРН К3'!L44)*СПРАВОЧНИК!$I$12+('ФАКТ ЧЕРН К3'!M44)*СПРАВОЧНИК!$J$12+('ФАКТ ЧЕРН К3'!N44)*СПРАВОЧНИК!$H$13+('ФАКТ ЧЕРН К3'!O44)*СПРАВОЧНИК!$I$13+('ФАКТ ЧЕРН К3'!P44)*СПРАВОЧНИК!$J$13+('ФАКТ ЧЕРН К3'!Q44)*СПРАВОЧНИК!$H$14+('ФАКТ ЧЕРН К3'!R44)*СПРАВОЧНИК!$I$14+('ФАКТ ЧЕРН К3'!S44)*СПРАВОЧНИК!$J$14+('ФАКТ ЧЕРН К3'!T44)*СПРАВОЧНИК!$H$15+('ФАКТ ЧЕРН К3'!U44)*СПРАВОЧНИК!$I$15+('ФАКТ ЧЕРН К3'!V44)*СПРАВОЧНИК!$J$15</f>
        <v/>
      </c>
      <c r="BM53" s="34" t="n"/>
      <c r="BP53" s="152">
        <f>BP52+7</f>
        <v/>
      </c>
      <c r="BQ53" s="17">
        <f>'ПЛАН ЧИСТ К3'!B44*СПРАВОЧНИК!$L$9+'ПЛАН ЧИСТ К3'!C44*СПРАВОЧНИК!$M$9+'ПЛАН ЧИСТ К3'!D44*СПРАВОЧНИК!$N$9+'ПЛАН ЧИСТ К3'!E44*СПРАВОЧНИК!$O$9+'ПЛАН ЧИСТ К3'!F44*СПРАВОЧНИК!$P$9+'ПЛАН ЧИСТ К3'!G44*СПРАВОЧНИК!$L$10+'ПЛАН ЧИСТ К3'!H44*СПРАВОЧНИК!$M$10+'ПЛАН ЧИСТ К3'!I44*СПРАВОЧНИК!$N$10+'ПЛАН ЧИСТ К3'!J44*СПРАВОЧНИК!$O$10+'ПЛАН ЧИСТ К3'!K44*СПРАВОЧНИК!$P$10+'ПЛАН ЧИСТ К3'!L44*СПРАВОЧНИК!$L$11+'ПЛАН ЧИСТ К3'!M44*СПРАВОЧНИК!$M$11+'ПЛАН ЧИСТ К3'!N44*СПРАВОЧНИК!$N$11+'ПЛАН ЧИСТ К3'!O44*СПРАВОЧНИК!$O$11+'ПЛАН ЧИСТ К3'!P44*СПРАВОЧНИК!$P$11+'ПЛАН ЧИСТ К3'!Q44*СПРАВОЧНИК!$L$12+'ПЛАН ЧИСТ К3'!R44*СПРАВОЧНИК!$M$12+'ПЛАН ЧИСТ К3'!S44*СПРАВОЧНИК!$N$12+'ПЛАН ЧИСТ К3'!T44*СПРАВОЧНИК!$O$12+'ПЛАН ЧИСТ К3'!U44*СПРАВОЧНИК!$P$12+'ПЛАН ЧИСТ К3'!V44*СПРАВОЧНИК!$L$13+'ПЛАН ЧИСТ К3'!W44*СПРАВОЧНИК!$M$13+'ПЛАН ЧИСТ К3'!X44*СПРАВОЧНИК!$N$13+'ПЛАН ЧИСТ К3'!Y44*СПРАВОЧНИК!$O$13+'ПЛАН ЧИСТ К3'!Z44*СПРАВОЧНИК!$P$13+'ПЛАН ЧИСТ К3'!AA44*СПРАВОЧНИК!$L$14+'ПЛАН ЧИСТ К3'!AB44*СПРАВОЧНИК!$M$14+'ПЛАН ЧИСТ К3'!AC44*СПРАВОЧНИК!$N$14+'ПЛАН ЧИСТ К3'!AD44*СПРАВОЧНИК!$O$14+'ПЛАН ЧИСТ К3'!AE44*СПРАВОЧНИК!$P$14+'ПЛАН ЧИСТ К3'!AF44*СПРАВОЧНИК!$L$15+'ПЛАН ЧИСТ К3'!AG44*СПРАВОЧНИК!$M$15+'ПЛАН ЧИСТ К3'!AH44*СПРАВОЧНИК!$N$15+'ПЛАН ЧИСТ К3'!AI44*СПРАВОЧНИК!$O$15+'ПЛАН ЧИСТ К3'!AJ44*СПРАВОЧНИК!$P$15</f>
        <v/>
      </c>
      <c r="BR53" s="31">
        <f>('ФАКТ ЧИСТ К3'!B44)*СПРАВОЧНИК!$L$9+('ФАКТ ЧИСТ К3'!C44)*СПРАВОЧНИК!$M$9+('ФАКТ ЧИСТ К3'!D44)*СПРАВОЧНИК!$N$9+('ФАКТ ЧИСТ К3'!E44)*СПРАВОЧНИК!$O$9+('ФАКТ ЧИСТ К3'!F44)*СПРАВОЧНИК!$P$9+('ФАКТ ЧИСТ К3'!G44)*СПРАВОЧНИК!$L$10+('ФАКТ ЧИСТ К3'!H44)*СПРАВОЧНИК!$M$10+('ФАКТ ЧИСТ К3'!I44)*СПРАВОЧНИК!$N$10+('ФАКТ ЧИСТ К3'!J44)*СПРАВОЧНИК!$O$10+('ФАКТ ЧИСТ К3'!K44)*СПРАВОЧНИК!$P$10+('ФАКТ ЧИСТ К3'!L44)*СПРАВОЧНИК!$L$11+('ФАКТ ЧИСТ К3'!M44)*СПРАВОЧНИК!$M$11+('ФАКТ ЧИСТ К3'!N44)*СПРАВОЧНИК!$N$11+('ФАКТ ЧИСТ К3'!O44)*СПРАВОЧНИК!$O$11+('ФАКТ ЧИСТ К3'!P44)*СПРАВОЧНИК!$P$11+('ФАКТ ЧИСТ К3'!Q44)*СПРАВОЧНИК!$L$12+('ФАКТ ЧИСТ К3'!R44)*СПРАВОЧНИК!$M$12+('ФАКТ ЧИСТ К3'!S44)*СПРАВОЧНИК!$N$12+('ФАКТ ЧИСТ К3'!T44)*СПРАВОЧНИК!$O$12+('ФАКТ ЧИСТ К3'!U44)*СПРАВОЧНИК!$P$12+('ФАКТ ЧИСТ К3'!V44)*СПРАВОЧНИК!$L$13+('ФАКТ ЧИСТ К3'!W44)*СПРАВОЧНИК!$M$13+('ФАКТ ЧИСТ К3'!X44)*СПРАВОЧНИК!$N$13+('ФАКТ ЧИСТ К3'!Y44)*СПРАВОЧНИК!$O$13+('ФАКТ ЧИСТ К3'!Z44)*СПРАВОЧНИК!$P$13+('ФАКТ ЧИСТ К3'!AA44)*СПРАВОЧНИК!$L$14+('ФАКТ ЧИСТ К3'!AB44)*СПРАВОЧНИК!$M$14+('ФАКТ ЧИСТ К3'!AC44)*СПРАВОЧНИК!$N$14+('ФАКТ ЧИСТ К3'!AD44)*СПРАВОЧНИК!$O$14+('ФАКТ ЧИСТ К3'!AE44)*СПРАВОЧНИК!$P$14+('ФАКТ ЧИСТ К3'!AF44)*СПРАВОЧНИК!$L$15+('ФАКТ ЧИСТ К3'!AG44)*СПРАВОЧНИК!$M$15+('ФАКТ ЧИСТ К3'!AH44)*СПРАВОЧНИК!$N$15+('ФАКТ ЧИСТ К3'!AI44)*СПРАВОЧНИК!$O$15+('ФАКТ ЧИСТ К3'!AJ44)*СПРАВОЧНИК!$P$15</f>
        <v/>
      </c>
      <c r="BS53" s="34" t="n"/>
      <c r="BV53" s="152">
        <f>BV52+7</f>
        <v/>
      </c>
      <c r="BW53" s="17">
        <f>U53*СПРАВОЧНИК!$K$28+AM53*СПРАВОЧНИК!$K$29+BE53*СПРАВОЧНИК!$K$30</f>
        <v/>
      </c>
      <c r="BX53" s="31">
        <f>V53*СПРАВОЧНИК!$K$28+AN53*СПРАВОЧНИК!$K$29+BF53*СПРАВОЧНИК!$K$30</f>
        <v/>
      </c>
      <c r="BY53" s="34" t="n"/>
      <c r="CB53" s="152">
        <f>CB52+7</f>
        <v/>
      </c>
      <c r="CC53" s="17">
        <f>AA53*СПРАВОЧНИК!$K$28+AS53*СПРАВОЧНИК!$K$29+BK53*СПРАВОЧНИК!$K$30</f>
        <v/>
      </c>
      <c r="CD53" s="31">
        <f>AB53*СПРАВОЧНИК!$K$28+AT53*СПРАВОЧНИК!$K$29+BL53*СПРАВОЧНИК!$K$30</f>
        <v/>
      </c>
      <c r="CE53" s="34" t="n"/>
      <c r="CH53" s="152">
        <f>CH52+7</f>
        <v/>
      </c>
      <c r="CI53" s="17">
        <f>AG53*СПРАВОЧНИК!$K$28+AY53*СПРАВОЧНИК!$K$29+BQ53*СПРАВОЧНИК!$K$30</f>
        <v/>
      </c>
      <c r="CJ53" s="31">
        <f>AH53*СПРАВОЧНИК!$K$28+AZ53*СПРАВОЧНИК!$K$29+BR53*СПРАВОЧНИК!$K$30</f>
        <v/>
      </c>
      <c r="CK53" s="34" t="n"/>
      <c r="CN53" s="152">
        <f>CN52+7</f>
        <v/>
      </c>
      <c r="CO53" s="17">
        <f>C53*СПРАВОЧНИК!$W$18+BW53*СПРАВОЧНИК!$W$19</f>
        <v/>
      </c>
      <c r="CP53" s="31">
        <f>D53*СПРАВОЧНИК!$W$18+BX53*СПРАВОЧНИК!$W$19</f>
        <v/>
      </c>
      <c r="CQ53" s="34" t="n"/>
      <c r="CT53" s="152">
        <f>CT52+7</f>
        <v/>
      </c>
      <c r="CU53" s="17">
        <f>I53*СПРАВОЧНИК!$W$18+CC53*СПРАВОЧНИК!$W$19</f>
        <v/>
      </c>
      <c r="CV53" s="31">
        <f>J53*СПРАВОЧНИК!$W$18+CD53*СПРАВОЧНИК!$W$19</f>
        <v/>
      </c>
      <c r="CW53" s="34" t="n"/>
      <c r="CZ53" s="152">
        <f>CZ52+7</f>
        <v/>
      </c>
      <c r="DA53" s="17">
        <f>O53*СПРАВОЧНИК!$W$18+CI53*СПРАВОЧНИК!$W$19</f>
        <v/>
      </c>
      <c r="DB53" s="31">
        <f>P53*СПРАВОЧНИК!$W$18+CJ53*СПРАВОЧНИК!$W$19</f>
        <v/>
      </c>
      <c r="DC53" s="34" t="n"/>
    </row>
    <row r="54">
      <c r="B54" s="152">
        <f>B53+7</f>
        <v/>
      </c>
      <c r="C54" s="17">
        <f>СПРАВОЧНИК!$E$3*('ПЛАН ЧЕРН ПОДЗЕМ'!B45*СПРАВОЧНИК!$H$3+'ПЛАН ЧЕРН ПОДЗЕМ'!C45*СПРАВОЧНИК!$I$3+'ПЛАН ЧЕРН ПОДЗЕМ'!D45*СПРАВОЧНИК!$J$3)+СПРАВОЧНИК!$F$3*('ПЛАН ЧИСТ ПОДЗЕМ'!B45*СПРАВОЧНИК!$L$3+'ПЛАН ЧИСТ ПОДЗЕМ'!C45*СПРАВОЧНИК!$M$3+'ПЛАН ЧИСТ ПОДЗЕМ'!D45*СПРАВОЧНИК!$N$3+'ПЛАН ЧИСТ ПОДЗЕМ'!E45*СПРАВОЧНИК!$O$3+'ПЛАН ЧИСТ ПОДЗЕМ'!F45*СПРАВОЧНИК!$P$3)+СПРАВОЧНИК!$E$4*('ПЛАН ЧЕРН ПОДЗЕМ'!E45*СПРАВОЧНИК!$H$4+'ПЛАН ЧЕРН ПОДЗЕМ'!F45*СПРАВОЧНИК!$I$4+'ПЛАН ЧЕРН ПОДЗЕМ'!G45*СПРАВОЧНИК!$J$4)+СПРАВОЧНИК!$F$4*('ПЛАН ЧИСТ ПОДЗЕМ'!G45*СПРАВОЧНИК!$L$4+'ПЛАН ЧИСТ ПОДЗЕМ'!H45*СПРАВОЧНИК!$M$4+'ПЛАН ЧИСТ ПОДЗЕМ'!I45*СПРАВОЧНИК!$N$4+'ПЛАН ЧИСТ ПОДЗЕМ'!J45*СПРАВОЧНИК!$O$4+'ПЛАН ЧИСТ ПОДЗЕМ'!K45*СПРАВОЧНИК!$P$4)+СПРАВОЧНИК!$E$5*('ПЛАН ЧЕРН ПОДЗЕМ'!H45*СПРАВОЧНИК!$H$5+'ПЛАН ЧЕРН ПОДЗЕМ'!I45*СПРАВОЧНИК!$I$5+'ПЛАН ЧЕРН ПОДЗЕМ'!J45*СПРАВОЧНИК!$J$5)+СПРАВОЧНИК!$F$5*('ПЛАН ЧИСТ ПОДЗЕМ'!L45*СПРАВОЧНИК!$L$5+'ПЛАН ЧИСТ ПОДЗЕМ'!M45*СПРАВОЧНИК!$M$5+'ПЛАН ЧИСТ ПОДЗЕМ'!N45*СПРАВОЧНИК!$N$5+'ПЛАН ЧИСТ ПОДЗЕМ'!O45*СПРАВОЧНИК!$O$5+'ПЛАН ЧИСТ ПОДЗЕМ'!P45*СПРАВОЧНИК!$P$5)+СПРАВОЧНИК!$E$6*('ПЛАН ЧЕРН ПОДЗЕМ'!K45*СПРАВОЧНИК!$H$6+'ПЛАН ЧЕРН ПОДЗЕМ'!L45*СПРАВОЧНИК!$I$6+'ПЛАН ЧЕРН ПОДЗЕМ'!M45*СПРАВОЧНИК!$J$6)+СПРАВОЧНИК!$F$6*('ПЛАН ЧИСТ ПОДЗЕМ'!Q45*СПРАВОЧНИК!$L$6+'ПЛАН ЧИСТ ПОДЗЕМ'!R45*СПРАВОЧНИК!$M$6+'ПЛАН ЧИСТ ПОДЗЕМ'!S45*СПРАВОЧНИК!$N$6+'ПЛАН ЧИСТ ПОДЗЕМ'!T45*СПРАВОЧНИК!$O$6+'ПЛАН ЧИСТ ПОДЗЕМ'!U45*СПРАВОЧНИК!$P$6)+СПРАВОЧНИК!$E$7*('ПЛАН ЧЕРН ПОДЗЕМ'!N45*СПРАВОЧНИК!$H$7+'ПЛАН ЧЕРН ПОДЗЕМ'!O45*СПРАВОЧНИК!$I$7+'ПЛАН ЧЕРН ПОДЗЕМ'!P45*СПРАВОЧНИК!$J$7)+СПРАВОЧНИК!$F$7*('ПЛАН ЧИСТ ПОДЗЕМ'!V45*СПРАВОЧНИК!$L$7+'ПЛАН ЧИСТ ПОДЗЕМ'!W45*СПРАВОЧНИК!$M$7+'ПЛАН ЧИСТ ПОДЗЕМ'!X45*СПРАВОЧНИК!$N$7+'ПЛАН ЧИСТ ПОДЗЕМ'!Y45*СПРАВОЧНИК!$O$7+'ПЛАН ЧИСТ ПОДЗЕМ'!Z45*СПРАВОЧНИК!$P$7)+СПРАВОЧНИК!$E$8*('ПЛАН ЧЕРН ПОДЗЕМ'!Q45*СПРАВОЧНИК!$H$8+'ПЛАН ЧЕРН ПОДЗЕМ'!R45*СПРАВОЧНИК!$I$8+'ПЛАН ЧЕРН ПОДЗЕМ'!S45*СПРАВОЧНИК!$J$8)+СПРАВОЧНИК!$F$8*('ПЛАН ЧИСТ ПОДЗЕМ'!AA45*СПРАВОЧНИК!$L$8+'ПЛАН ЧИСТ ПОДЗЕМ'!AB45*СПРАВОЧНИК!$M$8+'ПЛАН ЧИСТ ПОДЗЕМ'!AC45*СПРАВОЧНИК!$N$8+'ПЛАН ЧИСТ ПОДЗЕМ'!AD45*СПРАВОЧНИК!$O$8+'ПЛАН ЧИСТ ПОДЗЕМ'!AE45*СПРАВОЧНИК!$P$8)</f>
        <v/>
      </c>
      <c r="D54" s="31">
        <f>СПРАВОЧНИК!$E$3*('ФАКТ ЧЕРН ПОДЗЕМ'!B45*СПРАВОЧНИК!$H$3+'ФАКТ ЧЕРН ПОДЗЕМ'!C45*СПРАВОЧНИК!$I$3+'ФАКТ ЧЕРН ПОДЗЕМ'!D45*СПРАВОЧНИК!$J$3)+СПРАВОЧНИК!$F$3*('ФАКТ ЧИСТ ПОДЗЕМ'!B45*СПРАВОЧНИК!$L$3+'ФАКТ ЧИСТ ПОДЗЕМ'!C45*СПРАВОЧНИК!$M$3+'ФАКТ ЧИСТ ПОДЗЕМ'!D45*СПРАВОЧНИК!$N$3+'ФАКТ ЧИСТ ПОДЗЕМ'!E45*СПРАВОЧНИК!$O$3+'ФАКТ ЧИСТ ПОДЗЕМ'!F45*СПРАВОЧНИК!$P$3)+СПРАВОЧНИК!$E$4*('ФАКТ ЧЕРН ПОДЗЕМ'!E45*СПРАВОЧНИК!$H$4+'ФАКТ ЧЕРН ПОДЗЕМ'!F45*СПРАВОЧНИК!$I$4+'ФАКТ ЧЕРН ПОДЗЕМ'!G45*СПРАВОЧНИК!$J$4)+СПРАВОЧНИК!$F$4*('ФАКТ ЧИСТ ПОДЗЕМ'!G45*СПРАВОЧНИК!$L$4+'ФАКТ ЧИСТ ПОДЗЕМ'!H45*СПРАВОЧНИК!$M$4+'ФАКТ ЧИСТ ПОДЗЕМ'!I45*СПРАВОЧНИК!$N$4+'ФАКТ ЧИСТ ПОДЗЕМ'!J45*СПРАВОЧНИК!$O$4+'ФАКТ ЧИСТ ПОДЗЕМ'!K45*СПРАВОЧНИК!$P$4)+СПРАВОЧНИК!$E$5*('ФАКТ ЧЕРН ПОДЗЕМ'!H45*СПРАВОЧНИК!$H$5+'ФАКТ ЧЕРН ПОДЗЕМ'!I45*СПРАВОЧНИК!$I$5+'ФАКТ ЧЕРН ПОДЗЕМ'!J45*СПРАВОЧНИК!$J$5)+СПРАВОЧНИК!$F$5*('ФАКТ ЧИСТ ПОДЗЕМ'!L45*СПРАВОЧНИК!$L$5+'ФАКТ ЧИСТ ПОДЗЕМ'!M45*СПРАВОЧНИК!$M$5+'ФАКТ ЧИСТ ПОДЗЕМ'!N45*СПРАВОЧНИК!$N$5+'ФАКТ ЧИСТ ПОДЗЕМ'!O45*СПРАВОЧНИК!$O$5+'ФАКТ ЧИСТ ПОДЗЕМ'!P45*СПРАВОЧНИК!$P$5)+СПРАВОЧНИК!$E$6*('ФАКТ ЧЕРН ПОДЗЕМ'!K45*СПРАВОЧНИК!$H$6+'ФАКТ ЧЕРН ПОДЗЕМ'!L45*СПРАВОЧНИК!$I$6+'ФАКТ ЧЕРН ПОДЗЕМ'!M45*СПРАВОЧНИК!$J$6)+СПРАВОЧНИК!$F$6*('ФАКТ ЧИСТ ПОДЗЕМ'!Q45*СПРАВОЧНИК!$L$6+'ФАКТ ЧИСТ ПОДЗЕМ'!R45*СПРАВОЧНИК!$M$6+'ФАКТ ЧИСТ ПОДЗЕМ'!S45*СПРАВОЧНИК!$N$6+'ФАКТ ЧИСТ ПОДЗЕМ'!T45*СПРАВОЧНИК!$O$6+'ФАКТ ЧИСТ ПОДЗЕМ'!U45*СПРАВОЧНИК!$P$6)+СПРАВОЧНИК!$E$7*('ФАКТ ЧЕРН ПОДЗЕМ'!N45*СПРАВОЧНИК!$H$7+'ФАКТ ЧЕРН ПОДЗЕМ'!O45*СПРАВОЧНИК!$I$7+'ФАКТ ЧЕРН ПОДЗЕМ'!P45*СПРАВОЧНИК!$J$7)+СПРАВОЧНИК!$F$7*('ФАКТ ЧИСТ ПОДЗЕМ'!V45*СПРАВОЧНИК!$L$7+'ФАКТ ЧИСТ ПОДЗЕМ'!W45*СПРАВОЧНИК!$M$7+'ФАКТ ЧИСТ ПОДЗЕМ'!X45*СПРАВОЧНИК!$N$7+'ФАКТ ЧИСТ ПОДЗЕМ'!Y45*СПРАВОЧНИК!$O$7+'ФАКТ ЧИСТ ПОДЗЕМ'!Z45*СПРАВОЧНИК!$P$7)+СПРАВОЧНИК!$E$8*('ФАКТ ЧЕРН ПОДЗЕМ'!Q45*СПРАВОЧНИК!$H$8+'ФАКТ ЧЕРН ПОДЗЕМ'!R45*СПРАВОЧНИК!$I$8+'ФАКТ ЧЕРН ПОДЗЕМ'!S45*СПРАВОЧНИК!$J$8)+СПРАВОЧНИК!$F$8*('ФАКТ ЧИСТ ПОДЗЕМ'!AA45*СПРАВОЧНИК!$L$8+'ФАКТ ЧИСТ ПОДЗЕМ'!AB45*СПРАВОЧНИК!$M$8+'ФАКТ ЧИСТ ПОДЗЕМ'!AC45*СПРАВОЧНИК!$N$8+'ФАКТ ЧИСТ ПОДЗЕМ'!AD45*СПРАВОЧНИК!$O$8+'ФАКТ ЧИСТ ПОДЗЕМ'!AE45*СПРАВОЧНИК!$P$8)</f>
        <v/>
      </c>
      <c r="E54" s="34" t="n"/>
      <c r="H54" s="152">
        <f>H53+7</f>
        <v/>
      </c>
      <c r="I54" s="17">
        <f>'ПЛАН ЧЕРН ПОДЗЕМ'!B45*СПРАВОЧНИК!$H$3+'ПЛАН ЧЕРН ПОДЗЕМ'!C45*СПРАВОЧНИК!$I$3+'ПЛАН ЧЕРН ПОДЗЕМ'!D45*СПРАВОЧНИК!$J$3+'ПЛАН ЧЕРН ПОДЗЕМ'!E45*СПРАВОЧНИК!$H$4+'ПЛАН ЧЕРН ПОДЗЕМ'!F45*СПРАВОЧНИК!$I$4+'ПЛАН ЧЕРН ПОДЗЕМ'!G45*СПРАВОЧНИК!$J$4+'ПЛАН ЧЕРН ПОДЗЕМ'!H45*СПРАВОЧНИК!$H$5+'ПЛАН ЧЕРН ПОДЗЕМ'!I45*СПРАВОЧНИК!$I$5+'ПЛАН ЧЕРН ПОДЗЕМ'!J45*СПРАВОЧНИК!$J$5+'ПЛАН ЧЕРН ПОДЗЕМ'!K45*СПРАВОЧНИК!$H$6+'ПЛАН ЧЕРН ПОДЗЕМ'!L45*СПРАВОЧНИК!$I$6+'ПЛАН ЧЕРН ПОДЗЕМ'!M45*СПРАВОЧНИК!$J$6+'ПЛАН ЧЕРН ПОДЗЕМ'!N45*СПРАВОЧНИК!$H$7+'ПЛАН ЧЕРН ПОДЗЕМ'!O45*СПРАВОЧНИК!$I$7+'ПЛАН ЧЕРН ПОДЗЕМ'!P45*СПРАВОЧНИК!$J$7+'ПЛАН ЧЕРН ПОДЗЕМ'!Q45*СПРАВОЧНИК!$H$8+'ПЛАН ЧЕРН ПОДЗЕМ'!R45*СПРАВОЧНИК!$I$8+'ПЛАН ЧЕРН ПОДЗЕМ'!S45*СПРАВОЧНИК!$J$8</f>
        <v/>
      </c>
      <c r="J54" s="31">
        <f>('ФАКТ ЧЕРН ПОДЗЕМ'!B45)*СПРАВОЧНИК!$H$3+('ФАКТ ЧЕРН ПОДЗЕМ'!C45)*СПРАВОЧНИК!$I$3+('ФАКТ ЧЕРН ПОДЗЕМ'!D45)*СПРАВОЧНИК!$J$3+('ФАКТ ЧЕРН ПОДЗЕМ'!E45)*СПРАВОЧНИК!$H$4+('ФАКТ ЧЕРН ПОДЗЕМ'!F45)*СПРАВОЧНИК!$I$4+('ФАКТ ЧЕРН ПОДЗЕМ'!G45)*СПРАВОЧНИК!$J$4+('ФАКТ ЧЕРН ПОДЗЕМ'!H45)*СПРАВОЧНИК!$H$5+('ФАКТ ЧЕРН ПОДЗЕМ'!I45)*СПРАВОЧНИК!$I$5+('ФАКТ ЧЕРН ПОДЗЕМ'!J45)*СПРАВОЧНИК!$J$5+('ФАКТ ЧЕРН ПОДЗЕМ'!K45)*СПРАВОЧНИК!$H$6+('ФАКТ ЧЕРН ПОДЗЕМ'!L45)*СПРАВОЧНИК!$I$6+('ФАКТ ЧЕРН ПОДЗЕМ'!M45)*СПРАВОЧНИК!$J$6+('ФАКТ ЧЕРН ПОДЗЕМ'!N45)*СПРАВОЧНИК!$H$7+('ФАКТ ЧЕРН ПОДЗЕМ'!O45)*СПРАВОЧНИК!$I$7+('ФАКТ ЧЕРН ПОДЗЕМ'!P45)*СПРАВОЧНИК!$J$7+('ФАКТ ЧЕРН ПОДЗЕМ'!Q45)*СПРАВОЧНИК!$H$8+('ФАКТ ЧЕРН ПОДЗЕМ'!R45)*СПРАВОЧНИК!$I$8+('ФАКТ ЧЕРН ПОДЗЕМ'!S45)*СПРАВОЧНИК!$J$8</f>
        <v/>
      </c>
      <c r="K54" s="34" t="n"/>
      <c r="N54" s="152">
        <f>N53+7</f>
        <v/>
      </c>
      <c r="O54" s="17">
        <f>'ПЛАН ЧИСТ ПОДЗЕМ'!B45*СПРАВОЧНИК!$L$3+'ПЛАН ЧИСТ ПОДЗЕМ'!C45*СПРАВОЧНИК!$M$3+'ПЛАН ЧИСТ ПОДЗЕМ'!D45*СПРАВОЧНИК!$N$3+'ПЛАН ЧИСТ ПОДЗЕМ'!E45*СПРАВОЧНИК!$O$3+'ПЛАН ЧИСТ ПОДЗЕМ'!F45*СПРАВОЧНИК!$P$3+'ПЛАН ЧИСТ ПОДЗЕМ'!G45*СПРАВОЧНИК!$L$4+'ПЛАН ЧИСТ ПОДЗЕМ'!H45*СПРАВОЧНИК!$M$4+'ПЛАН ЧИСТ ПОДЗЕМ'!I45*СПРАВОЧНИК!$N$4+'ПЛАН ЧИСТ ПОДЗЕМ'!J45*СПРАВОЧНИК!$O$4+'ПЛАН ЧИСТ ПОДЗЕМ'!K45*СПРАВОЧНИК!$P$4+'ПЛАН ЧИСТ ПОДЗЕМ'!L45*СПРАВОЧНИК!$L$5+'ПЛАН ЧИСТ ПОДЗЕМ'!M45*СПРАВОЧНИК!$M$5+'ПЛАН ЧИСТ ПОДЗЕМ'!N45*СПРАВОЧНИК!$N$5+'ПЛАН ЧИСТ ПОДЗЕМ'!O45*СПРАВОЧНИК!$O$5+'ПЛАН ЧИСТ ПОДЗЕМ'!P45*СПРАВОЧНИК!$P$5+'ПЛАН ЧИСТ ПОДЗЕМ'!Q45*СПРАВОЧНИК!$L$6+'ПЛАН ЧИСТ ПОДЗЕМ'!R45*СПРАВОЧНИК!$M$6+'ПЛАН ЧИСТ ПОДЗЕМ'!S45*СПРАВОЧНИК!$N$6+'ПЛАН ЧИСТ ПОДЗЕМ'!T45*СПРАВОЧНИК!$O$6+'ПЛАН ЧИСТ ПОДЗЕМ'!U45*СПРАВОЧНИК!$P$6+'ПЛАН ЧИСТ ПОДЗЕМ'!V45*СПРАВОЧНИК!$L$7+'ПЛАН ЧИСТ ПОДЗЕМ'!W45*СПРАВОЧНИК!$M$7+'ПЛАН ЧИСТ ПОДЗЕМ'!X45*СПРАВОЧНИК!$N$7+'ПЛАН ЧИСТ ПОДЗЕМ'!Y45*СПРАВОЧНИК!$O$7+'ПЛАН ЧИСТ ПОДЗЕМ'!Z45*СПРАВОЧНИК!$P$7+'ПЛАН ЧИСТ ПОДЗЕМ'!AA45*СПРАВОЧНИК!$L$8+'ПЛАН ЧИСТ ПОДЗЕМ'!AB45*СПРАВОЧНИК!$M$8+'ПЛАН ЧИСТ ПОДЗЕМ'!AC45*СПРАВОЧНИК!$N$8+'ПЛАН ЧИСТ ПОДЗЕМ'!AD45*СПРАВОЧНИК!$O$8+'ПЛАН ЧИСТ ПОДЗЕМ'!AE45*СПРАВОЧНИК!$P$8</f>
        <v/>
      </c>
      <c r="P54" s="31">
        <f>('ФАКТ ЧИСТ ПОДЗЕМ'!B45)*СПРАВОЧНИК!$L$3+('ФАКТ ЧИСТ ПОДЗЕМ'!C45)*СПРАВОЧНИК!$M$3+('ФАКТ ЧИСТ ПОДЗЕМ'!D45)*СПРАВОЧНИК!$N$3+('ФАКТ ЧИСТ ПОДЗЕМ'!E45)*СПРАВОЧНИК!$O$3+('ФАКТ ЧИСТ ПОДЗЕМ'!F45)*СПРАВОЧНИК!$P$3+('ФАКТ ЧИСТ ПОДЗЕМ'!G45)*СПРАВОЧНИК!$L$4+('ФАКТ ЧИСТ ПОДЗЕМ'!H45)*СПРАВОЧНИК!$M$4+('ФАКТ ЧИСТ ПОДЗЕМ'!I45)*СПРАВОЧНИК!$N$4+('ФАКТ ЧИСТ ПОДЗЕМ'!J45)*СПРАВОЧНИК!$O$4+('ФАКТ ЧИСТ ПОДЗЕМ'!K45)*СПРАВОЧНИК!$P$4+('ФАКТ ЧИСТ ПОДЗЕМ'!L45)*СПРАВОЧНИК!$L$5+('ФАКТ ЧИСТ ПОДЗЕМ'!M45)*СПРАВОЧНИК!$M$5+('ФАКТ ЧИСТ ПОДЗЕМ'!N45)*СПРАВОЧНИК!$N$5+('ФАКТ ЧИСТ ПОДЗЕМ'!O45)*СПРАВОЧНИК!$O$5+('ФАКТ ЧИСТ ПОДЗЕМ'!P45)*СПРАВОЧНИК!$P$5+('ФАКТ ЧИСТ ПОДЗЕМ'!Q45)*СПРАВОЧНИК!$L$6+('ФАКТ ЧИСТ ПОДЗЕМ'!R45)*СПРАВОЧНИК!$M$6+('ФАКТ ЧИСТ ПОДЗЕМ'!S45)*СПРАВОЧНИК!$N$6+('ФАКТ ЧИСТ ПОДЗЕМ'!T45)*СПРАВОЧНИК!$O$6+('ФАКТ ЧИСТ ПОДЗЕМ'!U45)*СПРАВОЧНИК!$P$6+('ФАКТ ЧИСТ ПОДЗЕМ'!V45)*СПРАВОЧНИК!$L$7+('ФАКТ ЧИСТ ПОДЗЕМ'!W45)*СПРАВОЧНИК!$M$7+('ФАКТ ЧИСТ ПОДЗЕМ'!X45)*СПРАВОЧНИК!$N$7+('ФАКТ ЧИСТ ПОДЗЕМ'!Y45)*СПРАВОЧНИК!$O$7+('ФАКТ ЧИСТ ПОДЗЕМ'!Z45)*СПРАВОЧНИК!$P$7+('ФАКТ ЧИСТ ПОДЗЕМ'!AA45)*СПРАВОЧНИК!$L$8+('ФАКТ ЧИСТ ПОДЗЕМ'!AB45)*СПРАВОЧНИК!$M$8+('ФАКТ ЧИСТ ПОДЗЕМ'!AC45)*СПРАВОЧНИК!$N$8+('ФАКТ ЧИСТ ПОДЗЕМ'!AD45)*СПРАВОЧНИК!$O$8+('ФАКТ ЧИСТ ПОДЗЕМ'!AE45)*СПРАВОЧНИК!$P$8</f>
        <v/>
      </c>
      <c r="Q54" s="34" t="n"/>
      <c r="T54" s="152">
        <f>T53+7</f>
        <v/>
      </c>
      <c r="U54" s="17">
        <f>СПРАВОЧНИК!$E$9*('ПЛАН ЧЕРН К1'!B45*СПРАВОЧНИК!$H$9+'ПЛАН ЧЕРН К1'!C45*СПРАВОЧНИК!$I$9+'ПЛАН ЧЕРН К1'!D45*СПРАВОЧНИК!$J$9)+СПРАВОЧНИК!$F$9*('ПЛАН ЧИСТ К1'!B45*СПРАВОЧНИК!$L$9+'ПЛАН ЧИСТ К1'!C45*СПРАВОЧНИК!$M$9+'ПЛАН ЧИСТ К1'!D45*СПРАВОЧНИК!$N$9+'ПЛАН ЧИСТ К1'!E45*СПРАВОЧНИК!$O$9+'ПЛАН ЧИСТ К1'!F45*СПРАВОЧНИК!$P$9)+СПРАВОЧНИК!$E$10*('ПЛАН ЧЕРН К1'!E45*СПРАВОЧНИК!$H$10+'ПЛАН ЧЕРН К1'!F45*СПРАВОЧНИК!$I$10+'ПЛАН ЧЕРН К1'!G45*СПРАВОЧНИК!$J$10)+СПРАВОЧНИК!$F$10*('ПЛАН ЧИСТ К1'!G45*СПРАВОЧНИК!$L$10+'ПЛАН ЧИСТ К1'!H45*СПРАВОЧНИК!$M$10+'ПЛАН ЧИСТ К1'!I45*СПРАВОЧНИК!$N$10+'ПЛАН ЧИСТ К1'!J45*СПРАВОЧНИК!$O$10+'ПЛАН ЧИСТ К1'!K45*СПРАВОЧНИК!$P$10)+СПРАВОЧНИК!$E$11*('ПЛАН ЧЕРН К1'!H45*СПРАВОЧНИК!$H$11+'ПЛАН ЧЕРН К1'!I45*СПРАВОЧНИК!$I$11+'ПЛАН ЧЕРН К1'!J45*СПРАВОЧНИК!$J$11)+СПРАВОЧНИК!$F$11*('ПЛАН ЧИСТ К1'!L45*СПРАВОЧНИК!$L$11+'ПЛАН ЧИСТ К1'!M45*СПРАВОЧНИК!$M$11+'ПЛАН ЧИСТ К1'!N45*СПРАВОЧНИК!$N$11+'ПЛАН ЧИСТ К1'!O45*СПРАВОЧНИК!$O$11+'ПЛАН ЧИСТ К1'!P45*СПРАВОЧНИК!$P$11)+СПРАВОЧНИК!$E$12*('ПЛАН ЧЕРН К1'!K45*СПРАВОЧНИК!$H$12+'ПЛАН ЧЕРН К1'!L45*СПРАВОЧНИК!$I$12+'ПЛАН ЧЕРН К1'!M45*СПРАВОЧНИК!$J$12)+СПРАВОЧНИК!$F$12*('ПЛАН ЧИСТ К1'!Q45*СПРАВОЧНИК!$L$12+'ПЛАН ЧИСТ К1'!R45*СПРАВОЧНИК!$M$12+'ПЛАН ЧИСТ К1'!S45*СПРАВОЧНИК!$N$12+'ПЛАН ЧИСТ К1'!T45*СПРАВОЧНИК!$O$12+'ПЛАН ЧИСТ К1'!U45*СПРАВОЧНИК!$P$12)+СПРАВОЧНИК!$E$13*('ПЛАН ЧЕРН К1'!N45*СПРАВОЧНИК!$H$13+'ПЛАН ЧЕРН К1'!O45*СПРАВОЧНИК!$I$13+'ПЛАН ЧЕРН К1'!P45*СПРАВОЧНИК!$J$13)+СПРАВОЧНИК!$F$13*('ПЛАН ЧИСТ К1'!V45*СПРАВОЧНИК!$L$13+'ПЛАН ЧИСТ К1'!W45*СПРАВОЧНИК!$M$13+'ПЛАН ЧИСТ К1'!X45*СПРАВОЧНИК!$N$13+'ПЛАН ЧИСТ К1'!Y45*СПРАВОЧНИК!$O$13+'ПЛАН ЧИСТ К1'!Z45*СПРАВОЧНИК!$P$13)+СПРАВОЧНИК!$E$14*('ПЛАН ЧЕРН К1'!Q45*СПРАВОЧНИК!$H$14+'ПЛАН ЧЕРН К1'!R45*СПРАВОЧНИК!$I$14+'ПЛАН ЧЕРН К1'!S45*СПРАВОЧНИК!$J$14)+СПРАВОЧНИК!$F$14*('ПЛАН ЧИСТ К1'!AA45*СПРАВОЧНИК!$L$14+'ПЛАН ЧИСТ К1'!AB45*СПРАВОЧНИК!$M$14+'ПЛАН ЧИСТ К1'!AC45*СПРАВОЧНИК!$N$14+'ПЛАН ЧИСТ К1'!AD45*СПРАВОЧНИК!$O$14+'ПЛАН ЧИСТ К1'!AE45*СПРАВОЧНИК!$P$14)+СПРАВОЧНИК!$E$15*('ПЛАН ЧЕРН К1'!T45*СПРАВОЧНИК!$H$15+'ПЛАН ЧЕРН К1'!U45*СПРАВОЧНИК!$I$15+'ПЛАН ЧЕРН К1'!V45*СПРАВОЧНИК!$J$15)+СПРАВОЧНИК!$F$15*('ПЛАН ЧИСТ К1'!AF45*СПРАВОЧНИК!$L$15+'ПЛАН ЧИСТ К1'!AG45*СПРАВОЧНИК!$M$15+'ПЛАН ЧИСТ К1'!AH45*СПРАВОЧНИК!$N$15+'ПЛАН ЧИСТ К1'!AI45*СПРАВОЧНИК!$O$15+'ПЛАН ЧИСТ К1'!AJ45*СПРАВОЧНИК!$P$15)</f>
        <v/>
      </c>
      <c r="V54" s="31">
        <f>СПРАВОЧНИК!$E$9*('ФАКТ ЧЕРН К1'!B45*СПРАВОЧНИК!$H$9+'ФАКТ ЧЕРН К1'!C45*СПРАВОЧНИК!$I$9+'ФАКТ ЧЕРН К1'!D45*СПРАВОЧНИК!$J$9)+СПРАВОЧНИК!$F$9*('ФАКТ ЧИСТ К1'!B45*СПРАВОЧНИК!$L$9+'ФАКТ ЧИСТ К1'!C45*СПРАВОЧНИК!$M$9+'ФАКТ ЧИСТ К1'!D45*СПРАВОЧНИК!$N$9+'ФАКТ ЧИСТ К1'!E45*СПРАВОЧНИК!$O$9+'ФАКТ ЧИСТ К1'!F45*СПРАВОЧНИК!$P$9)+СПРАВОЧНИК!$E$10*('ФАКТ ЧЕРН К1'!E45*СПРАВОЧНИК!$H$10+'ФАКТ ЧЕРН К1'!F45*СПРАВОЧНИК!$I$10+'ФАКТ ЧЕРН К1'!G45*СПРАВОЧНИК!$J$10)+СПРАВОЧНИК!$F$10*('ФАКТ ЧИСТ К1'!G45*СПРАВОЧНИК!$L$10+'ФАКТ ЧИСТ К1'!H45*СПРАВОЧНИК!$M$10+'ФАКТ ЧИСТ К1'!I45*СПРАВОЧНИК!$N$10+'ФАКТ ЧИСТ К1'!J45*СПРАВОЧНИК!$O$10+'ФАКТ ЧИСТ К1'!K45*СПРАВОЧНИК!$P$10)+СПРАВОЧНИК!$E$11*('ФАКТ ЧЕРН К1'!H45*СПРАВОЧНИК!$H$11+'ФАКТ ЧЕРН К1'!I45*СПРАВОЧНИК!$I$11+'ФАКТ ЧЕРН К1'!J45*СПРАВОЧНИК!$J$11)+СПРАВОЧНИК!$F$11*('ФАКТ ЧИСТ К1'!L45*СПРАВОЧНИК!$L$11+'ФАКТ ЧИСТ К1'!M45*СПРАВОЧНИК!$M$11+'ФАКТ ЧИСТ К1'!N45*СПРАВОЧНИК!$N$11+'ФАКТ ЧИСТ К1'!O45*СПРАВОЧНИК!$O$11+'ФАКТ ЧИСТ К1'!P45*СПРАВОЧНИК!$P$11)+СПРАВОЧНИК!$E$12*('ФАКТ ЧЕРН К1'!K45*СПРАВОЧНИК!$H$12+'ФАКТ ЧЕРН К1'!L45*СПРАВОЧНИК!$I$12+'ФАКТ ЧЕРН К1'!M45*СПРАВОЧНИК!$J$12)+СПРАВОЧНИК!$F$12*('ФАКТ ЧИСТ К1'!Q45*СПРАВОЧНИК!$L$12+'ФАКТ ЧИСТ К1'!R45*СПРАВОЧНИК!$M$12+'ФАКТ ЧИСТ К1'!S45*СПРАВОЧНИК!$N$12+'ФАКТ ЧИСТ К1'!T45*СПРАВОЧНИК!$O$12+'ФАКТ ЧИСТ К1'!U45*СПРАВОЧНИК!$P$12)+СПРАВОЧНИК!$E$13*('ФАКТ ЧЕРН К1'!N45*СПРАВОЧНИК!$H$13+'ФАКТ ЧЕРН К1'!O45*СПРАВОЧНИК!$I$13+'ФАКТ ЧЕРН К1'!P45*СПРАВОЧНИК!$J$13)+СПРАВОЧНИК!$F$13*('ФАКТ ЧИСТ К1'!V45*СПРАВОЧНИК!$L$13+'ФАКТ ЧИСТ К1'!W45*СПРАВОЧНИК!$M$13+'ФАКТ ЧИСТ К1'!X45*СПРАВОЧНИК!$N$13+'ФАКТ ЧИСТ К1'!Y45*СПРАВОЧНИК!$O$13+'ФАКТ ЧИСТ К1'!Z45*СПРАВОЧНИК!$P$13)+СПРАВОЧНИК!$E$14*('ФАКТ ЧЕРН К1'!Q45*СПРАВОЧНИК!$H$14+'ФАКТ ЧЕРН К1'!R45*СПРАВОЧНИК!$I$14+'ФАКТ ЧЕРН К1'!S45*СПРАВОЧНИК!$J$14)+СПРАВОЧНИК!$F$14*('ФАКТ ЧИСТ К1'!AA45*СПРАВОЧНИК!$L$14+'ФАКТ ЧИСТ К1'!AB45*СПРАВОЧНИК!$M$14+'ФАКТ ЧИСТ К1'!AC45*СПРАВОЧНИК!$N$14+'ФАКТ ЧИСТ К1'!AD45*СПРАВОЧНИК!$O$14+'ФАКТ ЧИСТ К1'!AE45*СПРАВОЧНИК!$P$14)+СПРАВОЧНИК!$E$15*('ФАКТ ЧЕРН К1'!T45*СПРАВОЧНИК!$H$15+'ФАКТ ЧЕРН К1'!U45*СПРАВОЧНИК!$I$15+'ФАКТ ЧЕРН К1'!V45*СПРАВОЧНИК!$J$15)+СПРАВОЧНИК!$F$15*('ФАКТ ЧИСТ К1'!AF45*СПРАВОЧНИК!$L$15+'ФАКТ ЧИСТ К1'!AG45*СПРАВОЧНИК!$M$15+'ФАКТ ЧИСТ К1'!AH45*СПРАВОЧНИК!$N$15+'ФАКТ ЧИСТ К1'!AI45*СПРАВОЧНИК!$O$15+'ФАКТ ЧИСТ К1'!AJ45*СПРАВОЧНИК!$P$15)</f>
        <v/>
      </c>
      <c r="W54" s="34" t="n"/>
      <c r="Z54" s="152">
        <f>Z53+7</f>
        <v/>
      </c>
      <c r="AA54" s="17">
        <f>'ПЛАН ЧЕРН К1'!B45*СПРАВОЧНИК!$H$9+'ПЛАН ЧЕРН К1'!C45*СПРАВОЧНИК!$I$9+'ПЛАН ЧЕРН К1'!D45*СПРАВОЧНИК!$J$9+'ПЛАН ЧЕРН К1'!E45*СПРАВОЧНИК!$H$10+'ПЛАН ЧЕРН К1'!F45*СПРАВОЧНИК!$I$10+'ПЛАН ЧЕРН К1'!G45*СПРАВОЧНИК!$J$10+'ПЛАН ЧЕРН К1'!H45*СПРАВОЧНИК!$H$11+'ПЛАН ЧЕРН К1'!I45*СПРАВОЧНИК!$I$11+'ПЛАН ЧЕРН К1'!J45*СПРАВОЧНИК!$J$11+'ПЛАН ЧЕРН К1'!K45*СПРАВОЧНИК!$H$12+'ПЛАН ЧЕРН К1'!L45*СПРАВОЧНИК!$I$12+'ПЛАН ЧЕРН К1'!M45*СПРАВОЧНИК!$J$12+'ПЛАН ЧЕРН К1'!N45*СПРАВОЧНИК!$H$13+'ПЛАН ЧЕРН К1'!O45*СПРАВОЧНИК!$I$13+'ПЛАН ЧЕРН К1'!P45*СПРАВОЧНИК!$J$13+'ПЛАН ЧЕРН К1'!Q45*СПРАВОЧНИК!$H$14+'ПЛАН ЧЕРН К1'!R45*СПРАВОЧНИК!$I$14+'ПЛАН ЧЕРН К1'!S45*СПРАВОЧНИК!$J$14+'ПЛАН ЧЕРН К1'!T45*СПРАВОЧНИК!$H$15+'ПЛАН ЧЕРН К1'!U45*СПРАВОЧНИК!$I$15+'ПЛАН ЧЕРН К1'!V45*СПРАВОЧНИК!$J$15</f>
        <v/>
      </c>
      <c r="AB54" s="31">
        <f>('ФАКТ ЧЕРН К1'!B45)*СПРАВОЧНИК!$H$9+('ФАКТ ЧЕРН К1'!C45)*СПРАВОЧНИК!$I$9+('ФАКТ ЧЕРН К1'!D45)*СПРАВОЧНИК!$J$9+('ФАКТ ЧЕРН К1'!E45)*СПРАВОЧНИК!$H$10+('ФАКТ ЧЕРН К1'!F45)*СПРАВОЧНИК!$I$10+('ФАКТ ЧЕРН К1'!G45)*СПРАВОЧНИК!$J$10+('ФАКТ ЧЕРН К1'!H45)*СПРАВОЧНИК!$H$11+('ФАКТ ЧЕРН К1'!I45)*СПРАВОЧНИК!$I$11+('ФАКТ ЧЕРН К1'!J45)*СПРАВОЧНИК!$J$11+('ФАКТ ЧЕРН К1'!K45)*СПРАВОЧНИК!$H$12+('ФАКТ ЧЕРН К1'!L45)*СПРАВОЧНИК!$I$12+('ФАКТ ЧЕРН К1'!M45)*СПРАВОЧНИК!$J$12+('ФАКТ ЧЕРН К1'!N45)*СПРАВОЧНИК!$H$13+('ФАКТ ЧЕРН К1'!O45)*СПРАВОЧНИК!$I$13+('ФАКТ ЧЕРН К1'!P45)*СПРАВОЧНИК!$J$13+('ФАКТ ЧЕРН К1'!Q45)*СПРАВОЧНИК!$H$14+('ФАКТ ЧЕРН К1'!R45)*СПРАВОЧНИК!$I$14+('ФАКТ ЧЕРН К1'!S45)*СПРАВОЧНИК!$J$14+('ФАКТ ЧЕРН К1'!T45)*СПРАВОЧНИК!$H$15+('ФАКТ ЧЕРН К1'!U45)*СПРАВОЧНИК!$I$15+('ФАКТ ЧЕРН К1'!V45)*СПРАВОЧНИК!$J$15</f>
        <v/>
      </c>
      <c r="AC54" s="34" t="n"/>
      <c r="AF54" s="152">
        <f>AF53+7</f>
        <v/>
      </c>
      <c r="AG54" s="17">
        <f>'ПЛАН ЧИСТ К1'!B45*СПРАВОЧНИК!$L$9+'ПЛАН ЧИСТ К1'!C45*СПРАВОЧНИК!$M$9+'ПЛАН ЧИСТ К1'!D45*СПРАВОЧНИК!$N$9+'ПЛАН ЧИСТ К1'!E45*СПРАВОЧНИК!$O$9+'ПЛАН ЧИСТ К1'!F45*СПРАВОЧНИК!$P$9+'ПЛАН ЧИСТ К1'!G45*СПРАВОЧНИК!$L$10+'ПЛАН ЧИСТ К1'!H45*СПРАВОЧНИК!$M$10+'ПЛАН ЧИСТ К1'!I45*СПРАВОЧНИК!$N$10+'ПЛАН ЧИСТ К1'!J45*СПРАВОЧНИК!$O$10+'ПЛАН ЧИСТ К1'!K45*СПРАВОЧНИК!$P$10+'ПЛАН ЧИСТ К1'!L45*СПРАВОЧНИК!$L$11+'ПЛАН ЧИСТ К1'!M45*СПРАВОЧНИК!$M$11+'ПЛАН ЧИСТ К1'!N45*СПРАВОЧНИК!$N$11+'ПЛАН ЧИСТ К1'!O45*СПРАВОЧНИК!$O$11+'ПЛАН ЧИСТ К1'!P45*СПРАВОЧНИК!$P$11+'ПЛАН ЧИСТ К1'!Q45*СПРАВОЧНИК!$L$12+'ПЛАН ЧИСТ К1'!R45*СПРАВОЧНИК!$M$12+'ПЛАН ЧИСТ К1'!S45*СПРАВОЧНИК!$N$12+'ПЛАН ЧИСТ К1'!T45*СПРАВОЧНИК!$O$12+'ПЛАН ЧИСТ К1'!U45*СПРАВОЧНИК!$P$12+'ПЛАН ЧИСТ К1'!V45*СПРАВОЧНИК!$L$13+'ПЛАН ЧИСТ К1'!W45*СПРАВОЧНИК!$M$13+'ПЛАН ЧИСТ К1'!X45*СПРАВОЧНИК!$N$13+'ПЛАН ЧИСТ К1'!Y45*СПРАВОЧНИК!$O$13+'ПЛАН ЧИСТ К1'!Z45*СПРАВОЧНИК!$P$13+'ПЛАН ЧИСТ К1'!AA45*СПРАВОЧНИК!$L$14+'ПЛАН ЧИСТ К1'!AB45*СПРАВОЧНИК!$M$14+'ПЛАН ЧИСТ К1'!AC45*СПРАВОЧНИК!$N$14+'ПЛАН ЧИСТ К1'!AD45*СПРАВОЧНИК!$O$14+'ПЛАН ЧИСТ К1'!AE45*СПРАВОЧНИК!$P$14+'ПЛАН ЧИСТ К1'!AF45*СПРАВОЧНИК!$L$15+'ПЛАН ЧИСТ К1'!AG45*СПРАВОЧНИК!$M$15+'ПЛАН ЧИСТ К1'!AH45*СПРАВОЧНИК!$N$15+'ПЛАН ЧИСТ К1'!AI45*СПРАВОЧНИК!$O$15+'ПЛАН ЧИСТ К1'!AJ45*СПРАВОЧНИК!$P$15</f>
        <v/>
      </c>
      <c r="AH54" s="31">
        <f>('ФАКТ ЧИСТ К1'!B45)*СПРАВОЧНИК!$L$9+('ФАКТ ЧИСТ К1'!C45)*СПРАВОЧНИК!$M$9+('ФАКТ ЧИСТ К1'!D45)*СПРАВОЧНИК!$N$9+('ФАКТ ЧИСТ К1'!E45)*СПРАВОЧНИК!$O$9+('ФАКТ ЧИСТ К1'!F45)*СПРАВОЧНИК!$P$9+('ФАКТ ЧИСТ К1'!G45)*СПРАВОЧНИК!$L$10+('ФАКТ ЧИСТ К1'!H45)*СПРАВОЧНИК!$M$10+('ФАКТ ЧИСТ К1'!I45)*СПРАВОЧНИК!$N$10+('ФАКТ ЧИСТ К1'!J45)*СПРАВОЧНИК!$O$10+('ФАКТ ЧИСТ К1'!K45)*СПРАВОЧНИК!$P$10+('ФАКТ ЧИСТ К1'!L45)*СПРАВОЧНИК!$L$11+('ФАКТ ЧИСТ К1'!M45)*СПРАВОЧНИК!$M$11+('ФАКТ ЧИСТ К1'!N45)*СПРАВОЧНИК!$N$11+('ФАКТ ЧИСТ К1'!O45)*СПРАВОЧНИК!$O$11+('ФАКТ ЧИСТ К1'!P45)*СПРАВОЧНИК!$P$11+('ФАКТ ЧИСТ К1'!Q45)*СПРАВОЧНИК!$L$12+('ФАКТ ЧИСТ К1'!R45)*СПРАВОЧНИК!$M$12+('ФАКТ ЧИСТ К1'!S45)*СПРАВОЧНИК!$N$12+('ФАКТ ЧИСТ К1'!T45)*СПРАВОЧНИК!$O$12+('ФАКТ ЧИСТ К1'!U45)*СПРАВОЧНИК!$P$12+('ФАКТ ЧИСТ К1'!V45)*СПРАВОЧНИК!$L$13+('ФАКТ ЧИСТ К1'!W45)*СПРАВОЧНИК!$M$13+('ФАКТ ЧИСТ К1'!X45)*СПРАВОЧНИК!$N$13+('ФАКТ ЧИСТ К1'!Y45)*СПРАВОЧНИК!$O$13+('ФАКТ ЧИСТ К1'!Z45)*СПРАВОЧНИК!$P$13+('ФАКТ ЧИСТ К1'!AA45)*СПРАВОЧНИК!$L$14+('ФАКТ ЧИСТ К1'!AB45)*СПРАВОЧНИК!$M$14+('ФАКТ ЧИСТ К1'!AC45)*СПРАВОЧНИК!$N$14+('ФАКТ ЧИСТ К1'!AD45)*СПРАВОЧНИК!$O$14+('ФАКТ ЧИСТ К1'!AE45)*СПРАВОЧНИК!$P$14+('ФАКТ ЧИСТ К1'!AF45)*СПРАВОЧНИК!$L$15+('ФАКТ ЧИСТ К1'!AG45)*СПРАВОЧНИК!$M$15+('ФАКТ ЧИСТ К1'!AH45)*СПРАВОЧНИК!$N$15+('ФАКТ ЧИСТ К1'!AI45)*СПРАВОЧНИК!$O$15+('ФАКТ ЧИСТ К1'!AJ45)*СПРАВОЧНИК!$P$15</f>
        <v/>
      </c>
      <c r="AI54" s="34" t="n"/>
      <c r="AL54" s="152">
        <f>AL53+7</f>
        <v/>
      </c>
      <c r="AM54" s="17">
        <f>СПРАВОЧНИК!$E$9*('ПЛАН ЧЕРН К2'!B45*СПРАВОЧНИК!$H$9+'ПЛАН ЧЕРН К2'!C45*СПРАВОЧНИК!$I$9+'ПЛАН ЧЕРН К2'!D45*СПРАВОЧНИК!$J$9)+СПРАВОЧНИК!$F$9*('ПЛАН ЧИСТ К2'!B45*СПРАВОЧНИК!$L$9+'ПЛАН ЧИСТ К2'!C45*СПРАВОЧНИК!$M$9+'ПЛАН ЧИСТ К2'!D45*СПРАВОЧНИК!$N$9+'ПЛАН ЧИСТ К2'!E45*СПРАВОЧНИК!$O$9+'ПЛАН ЧИСТ К2'!F45*СПРАВОЧНИК!$P$9)+СПРАВОЧНИК!$E$10*('ПЛАН ЧЕРН К2'!E45*СПРАВОЧНИК!$H$10+'ПЛАН ЧЕРН К2'!F45*СПРАВОЧНИК!$I$10+'ПЛАН ЧЕРН К2'!G45*СПРАВОЧНИК!$J$10)+СПРАВОЧНИК!$F$10*('ПЛАН ЧИСТ К2'!G45*СПРАВОЧНИК!$L$10+'ПЛАН ЧИСТ К2'!H45*СПРАВОЧНИК!$M$10+'ПЛАН ЧИСТ К2'!I45*СПРАВОЧНИК!$N$10+'ПЛАН ЧИСТ К2'!J45*СПРАВОЧНИК!$O$10+'ПЛАН ЧИСТ К2'!K45*СПРАВОЧНИК!$P$10)+СПРАВОЧНИК!$E$11*('ПЛАН ЧЕРН К2'!H45*СПРАВОЧНИК!$H$11+'ПЛАН ЧЕРН К2'!I45*СПРАВОЧНИК!$I$11+'ПЛАН ЧЕРН К2'!J45*СПРАВОЧНИК!$J$11)+СПРАВОЧНИК!$F$11*('ПЛАН ЧИСТ К2'!L45*СПРАВОЧНИК!$L$11+'ПЛАН ЧИСТ К2'!M45*СПРАВОЧНИК!$M$11+'ПЛАН ЧИСТ К2'!N45*СПРАВОЧНИК!$N$11+'ПЛАН ЧИСТ К2'!O45*СПРАВОЧНИК!$O$11+'ПЛАН ЧИСТ К2'!P45*СПРАВОЧНИК!$P$11)+СПРАВОЧНИК!$E$12*('ПЛАН ЧЕРН К2'!K45*СПРАВОЧНИК!$H$12+'ПЛАН ЧЕРН К2'!L45*СПРАВОЧНИК!$I$12+'ПЛАН ЧЕРН К2'!M45*СПРАВОЧНИК!$J$12)+СПРАВОЧНИК!$F$12*('ПЛАН ЧИСТ К2'!Q45*СПРАВОЧНИК!$L$12+'ПЛАН ЧИСТ К2'!R45*СПРАВОЧНИК!$M$12+'ПЛАН ЧИСТ К2'!S45*СПРАВОЧНИК!$N$12+'ПЛАН ЧИСТ К2'!T45*СПРАВОЧНИК!$O$12+'ПЛАН ЧИСТ К2'!U45*СПРАВОЧНИК!$P$12)+СПРАВОЧНИК!$E$13*('ПЛАН ЧЕРН К2'!N45*СПРАВОЧНИК!$H$13+'ПЛАН ЧЕРН К2'!O45*СПРАВОЧНИК!$I$13+'ПЛАН ЧЕРН К2'!P45*СПРАВОЧНИК!$J$13)+СПРАВОЧНИК!$F$13*('ПЛАН ЧИСТ К2'!V45*СПРАВОЧНИК!$L$13+'ПЛАН ЧИСТ К2'!W45*СПРАВОЧНИК!$M$13+'ПЛАН ЧИСТ К2'!X45*СПРАВОЧНИК!$N$13+'ПЛАН ЧИСТ К2'!Y45*СПРАВОЧНИК!$O$13+'ПЛАН ЧИСТ К2'!Z45*СПРАВОЧНИК!$P$13)+СПРАВОЧНИК!$E$14*('ПЛАН ЧЕРН К2'!Q45*СПРАВОЧНИК!$H$14+'ПЛАН ЧЕРН К2'!R45*СПРАВОЧНИК!$I$14+'ПЛАН ЧЕРН К2'!S45*СПРАВОЧНИК!$J$14)+СПРАВОЧНИК!$F$14*('ПЛАН ЧИСТ К2'!AA45*СПРАВОЧНИК!$L$14+'ПЛАН ЧИСТ К2'!AB45*СПРАВОЧНИК!$M$14+'ПЛАН ЧИСТ К2'!AC45*СПРАВОЧНИК!$N$14+'ПЛАН ЧИСТ К2'!AD45*СПРАВОЧНИК!$O$14+'ПЛАН ЧИСТ К2'!AE45*СПРАВОЧНИК!$P$14)+СПРАВОЧНИК!$E$15*('ПЛАН ЧЕРН К2'!T45*СПРАВОЧНИК!$H$15+'ПЛАН ЧЕРН К2'!U45*СПРАВОЧНИК!$I$15+'ПЛАН ЧЕРН К2'!V45*СПРАВОЧНИК!$J$15)+СПРАВОЧНИК!$F$15*('ПЛАН ЧИСТ К2'!AF45*СПРАВОЧНИК!$L$15+'ПЛАН ЧИСТ К2'!AG45*СПРАВОЧНИК!$M$15+'ПЛАН ЧИСТ К2'!AH45*СПРАВОЧНИК!$N$15+'ПЛАН ЧИСТ К2'!AI45*СПРАВОЧНИК!$O$15+'ПЛАН ЧИСТ К2'!AJ45*СПРАВОЧНИК!$P$15)</f>
        <v/>
      </c>
      <c r="AN54" s="31">
        <f>СПРАВОЧНИК!$E$9*('ФАКТ ЧЕРН К2'!B45*СПРАВОЧНИК!$H$9+'ФАКТ ЧЕРН К2'!C45*СПРАВОЧНИК!$I$9+'ФАКТ ЧЕРН К2'!D45*СПРАВОЧНИК!$J$9)+СПРАВОЧНИК!$F$9*('ФАКТ ЧИСТ К2'!B45*СПРАВОЧНИК!$L$9+'ФАКТ ЧИСТ К2'!C45*СПРАВОЧНИК!$M$9+'ФАКТ ЧИСТ К2'!D45*СПРАВОЧНИК!$N$9+'ФАКТ ЧИСТ К2'!E45*СПРАВОЧНИК!$O$9+'ФАКТ ЧИСТ К2'!F45*СПРАВОЧНИК!$P$9)+СПРАВОЧНИК!$E$10*('ФАКТ ЧЕРН К2'!E45*СПРАВОЧНИК!$H$10+'ФАКТ ЧЕРН К2'!F45*СПРАВОЧНИК!$I$10+'ФАКТ ЧЕРН К2'!G45*СПРАВОЧНИК!$J$10)+СПРАВОЧНИК!$F$10*('ФАКТ ЧИСТ К2'!G45*СПРАВОЧНИК!$L$10+'ФАКТ ЧИСТ К2'!H45*СПРАВОЧНИК!$M$10+'ФАКТ ЧИСТ К2'!I45*СПРАВОЧНИК!$N$10+'ФАКТ ЧИСТ К2'!J45*СПРАВОЧНИК!$O$10+'ФАКТ ЧИСТ К2'!K45*СПРАВОЧНИК!$P$10)+СПРАВОЧНИК!$E$11*('ФАКТ ЧЕРН К2'!H45*СПРАВОЧНИК!$H$11+'ФАКТ ЧЕРН К2'!I45*СПРАВОЧНИК!$I$11+'ФАКТ ЧЕРН К2'!J45*СПРАВОЧНИК!$J$11)+СПРАВОЧНИК!$F$11*('ФАКТ ЧИСТ К2'!L45*СПРАВОЧНИК!$L$11+'ФАКТ ЧИСТ К2'!M45*СПРАВОЧНИК!$M$11+'ФАКТ ЧИСТ К2'!N45*СПРАВОЧНИК!$N$11+'ФАКТ ЧИСТ К2'!O45*СПРАВОЧНИК!$O$11+'ФАКТ ЧИСТ К2'!P45*СПРАВОЧНИК!$P$11)+СПРАВОЧНИК!$E$12*('ФАКТ ЧЕРН К2'!K45*СПРАВОЧНИК!$H$12+'ФАКТ ЧЕРН К2'!L45*СПРАВОЧНИК!$I$12+'ФАКТ ЧЕРН К2'!M45*СПРАВОЧНИК!$J$12)+СПРАВОЧНИК!$F$12*('ФАКТ ЧИСТ К2'!Q45*СПРАВОЧНИК!$L$12+'ФАКТ ЧИСТ К2'!R45*СПРАВОЧНИК!$M$12+'ФАКТ ЧИСТ К2'!S45*СПРАВОЧНИК!$N$12+'ФАКТ ЧИСТ К2'!T45*СПРАВОЧНИК!$O$12+'ФАКТ ЧИСТ К2'!U45*СПРАВОЧНИК!$P$12)+СПРАВОЧНИК!$E$13*('ФАКТ ЧЕРН К2'!N45*СПРАВОЧНИК!$H$13+'ФАКТ ЧЕРН К2'!O45*СПРАВОЧНИК!$I$13+'ФАКТ ЧЕРН К2'!P45*СПРАВОЧНИК!$J$13)+СПРАВОЧНИК!$F$13*('ФАКТ ЧИСТ К2'!V45*СПРАВОЧНИК!$L$13+'ФАКТ ЧИСТ К2'!W45*СПРАВОЧНИК!$M$13+'ФАКТ ЧИСТ К2'!X45*СПРАВОЧНИК!$N$13+'ФАКТ ЧИСТ К2'!Y45*СПРАВОЧНИК!$O$13+'ФАКТ ЧИСТ К2'!Z45*СПРАВОЧНИК!$P$13)+СПРАВОЧНИК!$E$14*('ФАКТ ЧЕРН К2'!Q45*СПРАВОЧНИК!$H$14+'ФАКТ ЧЕРН К2'!R45*СПРАВОЧНИК!$I$14+'ФАКТ ЧЕРН К2'!S45*СПРАВОЧНИК!$J$14)+СПРАВОЧНИК!$F$14*('ФАКТ ЧИСТ К2'!AA45*СПРАВОЧНИК!$L$14+'ФАКТ ЧИСТ К2'!AB45*СПРАВОЧНИК!$M$14+'ФАКТ ЧИСТ К2'!AC45*СПРАВОЧНИК!$N$14+'ФАКТ ЧИСТ К2'!AD45*СПРАВОЧНИК!$O$14+'ФАКТ ЧИСТ К2'!AE45*СПРАВОЧНИК!$P$14)+СПРАВОЧНИК!$E$15*('ФАКТ ЧЕРН К2'!T45*СПРАВОЧНИК!$H$15+'ФАКТ ЧЕРН К2'!U45*СПРАВОЧНИК!$I$15+'ФАКТ ЧЕРН К2'!V45*СПРАВОЧНИК!$J$15)+СПРАВОЧНИК!$F$15*('ФАКТ ЧИСТ К2'!AF45*СПРАВОЧНИК!$L$15+'ФАКТ ЧИСТ К2'!AG45*СПРАВОЧНИК!$M$15+'ФАКТ ЧИСТ К2'!AH45*СПРАВОЧНИК!$N$15+'ФАКТ ЧИСТ К2'!AI45*СПРАВОЧНИК!$O$15+'ФАКТ ЧИСТ К2'!AJ45*СПРАВОЧНИК!$P$15)</f>
        <v/>
      </c>
      <c r="AO54" s="34" t="n"/>
      <c r="AR54" s="152">
        <f>AR53+7</f>
        <v/>
      </c>
      <c r="AS54" s="17">
        <f>'ПЛАН ЧЕРН К2'!B45*СПРАВОЧНИК!$H$9+'ПЛАН ЧЕРН К2'!C45*СПРАВОЧНИК!$I$9+'ПЛАН ЧЕРН К2'!D45*СПРАВОЧНИК!$J$9+'ПЛАН ЧЕРН К2'!E45*СПРАВОЧНИК!$H$10+'ПЛАН ЧЕРН К2'!F45*СПРАВОЧНИК!$I$10+'ПЛАН ЧЕРН К2'!G45*СПРАВОЧНИК!$J$10+'ПЛАН ЧЕРН К2'!H45*СПРАВОЧНИК!$H$11+'ПЛАН ЧЕРН К2'!I45*СПРАВОЧНИК!$I$11+'ПЛАН ЧЕРН К2'!J45*СПРАВОЧНИК!$J$11+'ПЛАН ЧЕРН К2'!K45*СПРАВОЧНИК!$H$12+'ПЛАН ЧЕРН К2'!L45*СПРАВОЧНИК!$I$12+'ПЛАН ЧЕРН К2'!M45*СПРАВОЧНИК!$J$12+'ПЛАН ЧЕРН К2'!N45*СПРАВОЧНИК!$H$13+'ПЛАН ЧЕРН К2'!O45*СПРАВОЧНИК!$I$13+'ПЛАН ЧЕРН К2'!P45*СПРАВОЧНИК!$J$13+'ПЛАН ЧЕРН К2'!Q45*СПРАВОЧНИК!$H$14+'ПЛАН ЧЕРН К2'!R45*СПРАВОЧНИК!$I$14+'ПЛАН ЧЕРН К2'!S45*СПРАВОЧНИК!$J$14+'ПЛАН ЧЕРН К2'!T45*СПРАВОЧНИК!$H$15+'ПЛАН ЧЕРН К2'!U45*СПРАВОЧНИК!$I$15+'ПЛАН ЧЕРН К2'!V45*СПРАВОЧНИК!$J$15</f>
        <v/>
      </c>
      <c r="AT54" s="31">
        <f>('ФАКТ ЧЕРН К2'!B45)*СПРАВОЧНИК!$H$9+('ФАКТ ЧЕРН К2'!C45)*СПРАВОЧНИК!$I$9+('ФАКТ ЧЕРН К2'!D45)*СПРАВОЧНИК!$J$9+('ФАКТ ЧЕРН К2'!E45)*СПРАВОЧНИК!$H$10+('ФАКТ ЧЕРН К2'!F45)*СПРАВОЧНИК!$I$10+('ФАКТ ЧЕРН К2'!G45)*СПРАВОЧНИК!$J$10+('ФАКТ ЧЕРН К2'!H45)*СПРАВОЧНИК!$H$11+('ФАКТ ЧЕРН К2'!I45)*СПРАВОЧНИК!$I$11+('ФАКТ ЧЕРН К2'!J45)*СПРАВОЧНИК!$J$11+('ФАКТ ЧЕРН К2'!K45)*СПРАВОЧНИК!$H$12+('ФАКТ ЧЕРН К2'!L45)*СПРАВОЧНИК!$I$12+('ФАКТ ЧЕРН К2'!M45)*СПРАВОЧНИК!$J$12+('ФАКТ ЧЕРН К2'!N45)*СПРАВОЧНИК!$H$13+('ФАКТ ЧЕРН К2'!O45)*СПРАВОЧНИК!$I$13+('ФАКТ ЧЕРН К2'!P45)*СПРАВОЧНИК!$J$13+('ФАКТ ЧЕРН К2'!Q45)*СПРАВОЧНИК!$H$14+('ФАКТ ЧЕРН К2'!R45)*СПРАВОЧНИК!$I$14+('ФАКТ ЧЕРН К2'!S45)*СПРАВОЧНИК!$J$14+('ФАКТ ЧЕРН К2'!T45)*СПРАВОЧНИК!$H$15+('ФАКТ ЧЕРН К2'!U45)*СПРАВОЧНИК!$I$15+('ФАКТ ЧЕРН К2'!V45)*СПРАВОЧНИК!$J$15</f>
        <v/>
      </c>
      <c r="AU54" s="34" t="n"/>
      <c r="AX54" s="152">
        <f>AX53+7</f>
        <v/>
      </c>
      <c r="AY54" s="17">
        <f>'ПЛАН ЧИСТ К2'!B45*СПРАВОЧНИК!$L$9+'ПЛАН ЧИСТ К2'!C45*СПРАВОЧНИК!$M$9+'ПЛАН ЧИСТ К2'!D45*СПРАВОЧНИК!$N$9+'ПЛАН ЧИСТ К2'!E45*СПРАВОЧНИК!$O$9+'ПЛАН ЧИСТ К2'!F45*СПРАВОЧНИК!$P$9+'ПЛАН ЧИСТ К2'!G45*СПРАВОЧНИК!$L$10+'ПЛАН ЧИСТ К2'!H45*СПРАВОЧНИК!$M$10+'ПЛАН ЧИСТ К2'!I45*СПРАВОЧНИК!$N$10+'ПЛАН ЧИСТ К2'!J45*СПРАВОЧНИК!$O$10+'ПЛАН ЧИСТ К2'!K45*СПРАВОЧНИК!$P$10+'ПЛАН ЧИСТ К2'!L45*СПРАВОЧНИК!$L$11+'ПЛАН ЧИСТ К2'!M45*СПРАВОЧНИК!$M$11+'ПЛАН ЧИСТ К2'!N45*СПРАВОЧНИК!$N$11+'ПЛАН ЧИСТ К2'!O45*СПРАВОЧНИК!$O$11+'ПЛАН ЧИСТ К2'!P45*СПРАВОЧНИК!$P$11+'ПЛАН ЧИСТ К2'!Q45*СПРАВОЧНИК!$L$12+'ПЛАН ЧИСТ К2'!R45*СПРАВОЧНИК!$M$12+'ПЛАН ЧИСТ К2'!S45*СПРАВОЧНИК!$N$12+'ПЛАН ЧИСТ К2'!T45*СПРАВОЧНИК!$O$12+'ПЛАН ЧИСТ К2'!U45*СПРАВОЧНИК!$P$12+'ПЛАН ЧИСТ К2'!V45*СПРАВОЧНИК!$L$13+'ПЛАН ЧИСТ К2'!W45*СПРАВОЧНИК!$M$13+'ПЛАН ЧИСТ К2'!X45*СПРАВОЧНИК!$N$13+'ПЛАН ЧИСТ К2'!Y45*СПРАВОЧНИК!$O$13+'ПЛАН ЧИСТ К2'!Z45*СПРАВОЧНИК!$P$13+'ПЛАН ЧИСТ К2'!AA45*СПРАВОЧНИК!$L$14+'ПЛАН ЧИСТ К2'!AB45*СПРАВОЧНИК!$M$14+'ПЛАН ЧИСТ К2'!AC45*СПРАВОЧНИК!$N$14+'ПЛАН ЧИСТ К2'!AD45*СПРАВОЧНИК!$O$14+'ПЛАН ЧИСТ К2'!AE45*СПРАВОЧНИК!$P$14+'ПЛАН ЧИСТ К2'!AF45*СПРАВОЧНИК!$L$15+'ПЛАН ЧИСТ К2'!AG45*СПРАВОЧНИК!$M$15+'ПЛАН ЧИСТ К2'!AH45*СПРАВОЧНИК!$N$15+'ПЛАН ЧИСТ К2'!AI45*СПРАВОЧНИК!$O$15+'ПЛАН ЧИСТ К2'!AJ45*СПРАВОЧНИК!$P$15</f>
        <v/>
      </c>
      <c r="AZ54" s="31">
        <f>('ФАКТ ЧИСТ К2'!B45)*СПРАВОЧНИК!$L$9+('ФАКТ ЧИСТ К2'!C45)*СПРАВОЧНИК!$M$9+('ФАКТ ЧИСТ К2'!D45)*СПРАВОЧНИК!$N$9+('ФАКТ ЧИСТ К2'!E45)*СПРАВОЧНИК!$O$9+('ФАКТ ЧИСТ К2'!F45)*СПРАВОЧНИК!$P$9+('ФАКТ ЧИСТ К2'!G45)*СПРАВОЧНИК!$L$10+('ФАКТ ЧИСТ К2'!H45)*СПРАВОЧНИК!$M$10+('ФАКТ ЧИСТ К2'!I45)*СПРАВОЧНИК!$N$10+('ФАКТ ЧИСТ К2'!J45)*СПРАВОЧНИК!$O$10+('ФАКТ ЧИСТ К2'!K45)*СПРАВОЧНИК!$P$10+('ФАКТ ЧИСТ К2'!L45)*СПРАВОЧНИК!$L$11+('ФАКТ ЧИСТ К2'!M45)*СПРАВОЧНИК!$M$11+('ФАКТ ЧИСТ К2'!N45)*СПРАВОЧНИК!$N$11+('ФАКТ ЧИСТ К2'!O45)*СПРАВОЧНИК!$O$11+('ФАКТ ЧИСТ К2'!P45)*СПРАВОЧНИК!$P$11+('ФАКТ ЧИСТ К2'!Q45)*СПРАВОЧНИК!$L$12+('ФАКТ ЧИСТ К2'!R45)*СПРАВОЧНИК!$M$12+('ФАКТ ЧИСТ К2'!S45)*СПРАВОЧНИК!$N$12+('ФАКТ ЧИСТ К2'!T45)*СПРАВОЧНИК!$O$12+('ФАКТ ЧИСТ К2'!U45)*СПРАВОЧНИК!$P$12+('ФАКТ ЧИСТ К2'!V45)*СПРАВОЧНИК!$L$13+('ФАКТ ЧИСТ К2'!W45)*СПРАВОЧНИК!$M$13+('ФАКТ ЧИСТ К2'!X45)*СПРАВОЧНИК!$N$13+('ФАКТ ЧИСТ К2'!Y45)*СПРАВОЧНИК!$O$13+('ФАКТ ЧИСТ К2'!Z45)*СПРАВОЧНИК!$P$13+('ФАКТ ЧИСТ К2'!AA45)*СПРАВОЧНИК!$L$14+('ФАКТ ЧИСТ К2'!AB45)*СПРАВОЧНИК!$M$14+('ФАКТ ЧИСТ К2'!AC45)*СПРАВОЧНИК!$N$14+('ФАКТ ЧИСТ К2'!AD45)*СПРАВОЧНИК!$O$14+('ФАКТ ЧИСТ К2'!AE45)*СПРАВОЧНИК!$P$14+('ФАКТ ЧИСТ К2'!AF45)*СПРАВОЧНИК!$L$15+('ФАКТ ЧИСТ К2'!AG45)*СПРАВОЧНИК!$M$15+('ФАКТ ЧИСТ К2'!AH45)*СПРАВОЧНИК!$N$15+('ФАКТ ЧИСТ К2'!AI45)*СПРАВОЧНИК!$O$15+('ФАКТ ЧИСТ К2'!AJ45)*СПРАВОЧНИК!$P$15</f>
        <v/>
      </c>
      <c r="BA54" s="34" t="n"/>
      <c r="BD54" s="152">
        <f>BD53+7</f>
        <v/>
      </c>
      <c r="BE54" s="17">
        <f>СПРАВОЧНИК!$E$9*('ПЛАН ЧЕРН К3'!B45*СПРАВОЧНИК!$H$9+'ПЛАН ЧЕРН К3'!C45*СПРАВОЧНИК!$I$9+'ПЛАН ЧЕРН К3'!D45*СПРАВОЧНИК!$J$9)+СПРАВОЧНИК!$F$9*('ПЛАН ЧИСТ К3'!B45*СПРАВОЧНИК!$L$9+'ПЛАН ЧИСТ К3'!C45*СПРАВОЧНИК!$M$9+'ПЛАН ЧИСТ К3'!D45*СПРАВОЧНИК!$N$9+'ПЛАН ЧИСТ К3'!E45*СПРАВОЧНИК!$O$9+'ПЛАН ЧИСТ К3'!F45*СПРАВОЧНИК!$P$9)+СПРАВОЧНИК!$E$10*('ПЛАН ЧЕРН К3'!E45*СПРАВОЧНИК!$H$10+'ПЛАН ЧЕРН К3'!F45*СПРАВОЧНИК!$I$10+'ПЛАН ЧЕРН К3'!G45*СПРАВОЧНИК!$J$10)+СПРАВОЧНИК!$F$10*('ПЛАН ЧИСТ К3'!G45*СПРАВОЧНИК!$L$10+'ПЛАН ЧИСТ К3'!H45*СПРАВОЧНИК!$M$10+'ПЛАН ЧИСТ К3'!I45*СПРАВОЧНИК!$N$10+'ПЛАН ЧИСТ К3'!J45*СПРАВОЧНИК!$O$10+'ПЛАН ЧИСТ К3'!K45*СПРАВОЧНИК!$P$10)+СПРАВОЧНИК!$E$11*('ПЛАН ЧЕРН К3'!H45*СПРАВОЧНИК!$H$11+'ПЛАН ЧЕРН К3'!I45*СПРАВОЧНИК!$I$11+'ПЛАН ЧЕРН К3'!J45*СПРАВОЧНИК!$J$11)+СПРАВОЧНИК!$F$11*('ПЛАН ЧИСТ К3'!L45*СПРАВОЧНИК!$L$11+'ПЛАН ЧИСТ К3'!M45*СПРАВОЧНИК!$M$11+'ПЛАН ЧИСТ К3'!N45*СПРАВОЧНИК!$N$11+'ПЛАН ЧИСТ К3'!O45*СПРАВОЧНИК!$O$11+'ПЛАН ЧИСТ К3'!P45*СПРАВОЧНИК!$P$11)+СПРАВОЧНИК!$E$12*('ПЛАН ЧЕРН К3'!K45*СПРАВОЧНИК!$H$12+'ПЛАН ЧЕРН К3'!L45*СПРАВОЧНИК!$I$12+'ПЛАН ЧЕРН К3'!M45*СПРАВОЧНИК!$J$12)+СПРАВОЧНИК!$F$12*('ПЛАН ЧИСТ К3'!Q45*СПРАВОЧНИК!$L$12+'ПЛАН ЧИСТ К3'!R45*СПРАВОЧНИК!$M$12+'ПЛАН ЧИСТ К3'!S45*СПРАВОЧНИК!$N$12+'ПЛАН ЧИСТ К3'!T45*СПРАВОЧНИК!$O$12+'ПЛАН ЧИСТ К3'!U45*СПРАВОЧНИК!$P$12)+СПРАВОЧНИК!$E$13*('ПЛАН ЧЕРН К3'!N45*СПРАВОЧНИК!$H$13+'ПЛАН ЧЕРН К3'!O45*СПРАВОЧНИК!$I$13+'ПЛАН ЧЕРН К3'!P45*СПРАВОЧНИК!$J$13)+СПРАВОЧНИК!$F$13*('ПЛАН ЧИСТ К3'!V45*СПРАВОЧНИК!$L$13+'ПЛАН ЧИСТ К3'!W45*СПРАВОЧНИК!$M$13+'ПЛАН ЧИСТ К3'!X45*СПРАВОЧНИК!$N$13+'ПЛАН ЧИСТ К3'!Y45*СПРАВОЧНИК!$O$13+'ПЛАН ЧИСТ К3'!Z45*СПРАВОЧНИК!$P$13)+СПРАВОЧНИК!$E$14*('ПЛАН ЧЕРН К3'!Q45*СПРАВОЧНИК!$H$14+'ПЛАН ЧЕРН К3'!R45*СПРАВОЧНИК!$I$14+'ПЛАН ЧЕРН К3'!S45*СПРАВОЧНИК!$J$14)+СПРАВОЧНИК!$F$14*('ПЛАН ЧИСТ К3'!AA45*СПРАВОЧНИК!$L$14+'ПЛАН ЧИСТ К3'!AB45*СПРАВОЧНИК!$M$14+'ПЛАН ЧИСТ К3'!AC45*СПРАВОЧНИК!$N$14+'ПЛАН ЧИСТ К3'!AD45*СПРАВОЧНИК!$O$14+'ПЛАН ЧИСТ К3'!AE45*СПРАВОЧНИК!$P$14)+СПРАВОЧНИК!$E$15*('ПЛАН ЧЕРН К3'!T45*СПРАВОЧНИК!$H$15+'ПЛАН ЧЕРН К3'!U45*СПРАВОЧНИК!$I$15+'ПЛАН ЧЕРН К3'!V45*СПРАВОЧНИК!$J$15)+СПРАВОЧНИК!$F$15*('ПЛАН ЧИСТ К3'!AF45*СПРАВОЧНИК!$L$15+'ПЛАН ЧИСТ К3'!AG45*СПРАВОЧНИК!$M$15+'ПЛАН ЧИСТ К3'!AH45*СПРАВОЧНИК!$N$15+'ПЛАН ЧИСТ К3'!AI45*СПРАВОЧНИК!$O$15+'ПЛАН ЧИСТ К3'!AJ45*СПРАВОЧНИК!$P$15)</f>
        <v/>
      </c>
      <c r="BF54" s="31">
        <f>СПРАВОЧНИК!$E$9*('ФАКТ ЧЕРН К3'!B45*СПРАВОЧНИК!$H$9+'ФАКТ ЧЕРН К3'!C45*СПРАВОЧНИК!$I$9+'ФАКТ ЧЕРН К3'!D45*СПРАВОЧНИК!$J$9)+СПРАВОЧНИК!$F$9*('ФАКТ ЧИСТ К3'!B45*СПРАВОЧНИК!$L$9+'ФАКТ ЧИСТ К3'!C45*СПРАВОЧНИК!$M$9+'ФАКТ ЧИСТ К3'!D45*СПРАВОЧНИК!$N$9+'ФАКТ ЧИСТ К3'!E45*СПРАВОЧНИК!$O$9+'ФАКТ ЧИСТ К3'!F45*СПРАВОЧНИК!$P$9)+СПРАВОЧНИК!$E$10*('ФАКТ ЧЕРН К3'!E45*СПРАВОЧНИК!$H$10+'ФАКТ ЧЕРН К3'!F45*СПРАВОЧНИК!$I$10+'ФАКТ ЧЕРН К3'!G45*СПРАВОЧНИК!$J$10)+СПРАВОЧНИК!$F$10*('ФАКТ ЧИСТ К3'!G45*СПРАВОЧНИК!$L$10+'ФАКТ ЧИСТ К3'!H45*СПРАВОЧНИК!$M$10+'ФАКТ ЧИСТ К3'!I45*СПРАВОЧНИК!$N$10+'ФАКТ ЧИСТ К3'!J45*СПРАВОЧНИК!$O$10+'ФАКТ ЧИСТ К3'!K45*СПРАВОЧНИК!$P$10)+СПРАВОЧНИК!$E$11*('ФАКТ ЧЕРН К3'!H45*СПРАВОЧНИК!$H$11+'ФАКТ ЧЕРН К3'!I45*СПРАВОЧНИК!$I$11+'ФАКТ ЧЕРН К3'!J45*СПРАВОЧНИК!$J$11)+СПРАВОЧНИК!$F$11*('ФАКТ ЧИСТ К3'!L45*СПРАВОЧНИК!$L$11+'ФАКТ ЧИСТ К3'!M45*СПРАВОЧНИК!$M$11+'ФАКТ ЧИСТ К3'!N45*СПРАВОЧНИК!$N$11+'ФАКТ ЧИСТ К3'!O45*СПРАВОЧНИК!$O$11+'ФАКТ ЧИСТ К3'!P45*СПРАВОЧНИК!$P$11)+СПРАВОЧНИК!$E$12*('ФАКТ ЧЕРН К3'!K45*СПРАВОЧНИК!$H$12+'ФАКТ ЧЕРН К3'!L45*СПРАВОЧНИК!$I$12+'ФАКТ ЧЕРН К3'!M45*СПРАВОЧНИК!$J$12)+СПРАВОЧНИК!$F$12*('ФАКТ ЧИСТ К3'!Q45*СПРАВОЧНИК!$L$12+'ФАКТ ЧИСТ К3'!R45*СПРАВОЧНИК!$M$12+'ФАКТ ЧИСТ К3'!S45*СПРАВОЧНИК!$N$12+'ФАКТ ЧИСТ К3'!T45*СПРАВОЧНИК!$O$12+'ФАКТ ЧИСТ К3'!U45*СПРАВОЧНИК!$P$12)+СПРАВОЧНИК!$E$13*('ФАКТ ЧЕРН К3'!N45*СПРАВОЧНИК!$H$13+'ФАКТ ЧЕРН К3'!O45*СПРАВОЧНИК!$I$13+'ФАКТ ЧЕРН К3'!P45*СПРАВОЧНИК!$J$13)+СПРАВОЧНИК!$F$13*('ФАКТ ЧИСТ К3'!V45*СПРАВОЧНИК!$L$13+'ФАКТ ЧИСТ К3'!W45*СПРАВОЧНИК!$M$13+'ФАКТ ЧИСТ К3'!X45*СПРАВОЧНИК!$N$13+'ФАКТ ЧИСТ К3'!Y45*СПРАВОЧНИК!$O$13+'ФАКТ ЧИСТ К3'!Z45*СПРАВОЧНИК!$P$13)+СПРАВОЧНИК!$E$14*('ФАКТ ЧЕРН К3'!Q45*СПРАВОЧНИК!$H$14+'ФАКТ ЧЕРН К3'!R45*СПРАВОЧНИК!$I$14+'ФАКТ ЧЕРН К3'!S45*СПРАВОЧНИК!$J$14)+СПРАВОЧНИК!$F$14*('ФАКТ ЧИСТ К3'!AA45*СПРАВОЧНИК!$L$14+'ФАКТ ЧИСТ К3'!AB45*СПРАВОЧНИК!$M$14+'ФАКТ ЧИСТ К3'!AC45*СПРАВОЧНИК!$N$14+'ФАКТ ЧИСТ К3'!AD45*СПРАВОЧНИК!$O$14+'ФАКТ ЧИСТ К3'!AE45*СПРАВОЧНИК!$P$14)+СПРАВОЧНИК!$E$15*('ФАКТ ЧЕРН К3'!T45*СПРАВОЧНИК!$H$15+'ФАКТ ЧЕРН К3'!U45*СПРАВОЧНИК!$I$15+'ФАКТ ЧЕРН К3'!V45*СПРАВОЧНИК!$J$15)+СПРАВОЧНИК!$F$15*('ФАКТ ЧИСТ К3'!AF45*СПРАВОЧНИК!$L$15+'ФАКТ ЧИСТ К3'!AG45*СПРАВОЧНИК!$M$15+'ФАКТ ЧИСТ К3'!AH45*СПРАВОЧНИК!$N$15+'ФАКТ ЧИСТ К3'!AI45*СПРАВОЧНИК!$O$15+'ФАКТ ЧИСТ К3'!AJ45*СПРАВОЧНИК!$P$15)</f>
        <v/>
      </c>
      <c r="BG54" s="34" t="n"/>
      <c r="BJ54" s="152">
        <f>BJ53+7</f>
        <v/>
      </c>
      <c r="BK54" s="17">
        <f>'ПЛАН ЧЕРН К3'!B45*СПРАВОЧНИК!$H$9+'ПЛАН ЧЕРН К3'!C45*СПРАВОЧНИК!$I$9+'ПЛАН ЧЕРН К3'!D45*СПРАВОЧНИК!$J$9+'ПЛАН ЧЕРН К3'!E45*СПРАВОЧНИК!$H$10+'ПЛАН ЧЕРН К3'!F45*СПРАВОЧНИК!$I$10+'ПЛАН ЧЕРН К3'!G45*СПРАВОЧНИК!$J$10+'ПЛАН ЧЕРН К3'!H45*СПРАВОЧНИК!$H$11+'ПЛАН ЧЕРН К3'!I45*СПРАВОЧНИК!$I$11+'ПЛАН ЧЕРН К3'!J45*СПРАВОЧНИК!$J$11+'ПЛАН ЧЕРН К3'!K45*СПРАВОЧНИК!$H$12+'ПЛАН ЧЕРН К3'!L45*СПРАВОЧНИК!$I$12+'ПЛАН ЧЕРН К3'!M45*СПРАВОЧНИК!$J$12+'ПЛАН ЧЕРН К3'!N45*СПРАВОЧНИК!$H$13+'ПЛАН ЧЕРН К3'!O45*СПРАВОЧНИК!$I$13+'ПЛАН ЧЕРН К3'!P45*СПРАВОЧНИК!$J$13+'ПЛАН ЧЕРН К3'!Q45*СПРАВОЧНИК!$H$14+'ПЛАН ЧЕРН К3'!R45*СПРАВОЧНИК!$I$14+'ПЛАН ЧЕРН К3'!S45*СПРАВОЧНИК!$J$14+'ПЛАН ЧЕРН К3'!T45*СПРАВОЧНИК!$H$15+'ПЛАН ЧЕРН К3'!U45*СПРАВОЧНИК!$I$15+'ПЛАН ЧЕРН К3'!V45*СПРАВОЧНИК!$J$15</f>
        <v/>
      </c>
      <c r="BL54" s="31">
        <f>('ФАКТ ЧЕРН К3'!B45)*СПРАВОЧНИК!$H$9+('ФАКТ ЧЕРН К3'!C45)*СПРАВОЧНИК!$I$9+('ФАКТ ЧЕРН К3'!D45)*СПРАВОЧНИК!$J$9+('ФАКТ ЧЕРН К3'!E45)*СПРАВОЧНИК!$H$10+('ФАКТ ЧЕРН К3'!F45)*СПРАВОЧНИК!$I$10+('ФАКТ ЧЕРН К3'!G45)*СПРАВОЧНИК!$J$10+('ФАКТ ЧЕРН К3'!H45)*СПРАВОЧНИК!$H$11+('ФАКТ ЧЕРН К3'!I45)*СПРАВОЧНИК!$I$11+('ФАКТ ЧЕРН К3'!J45)*СПРАВОЧНИК!$J$11+('ФАКТ ЧЕРН К3'!K45)*СПРАВОЧНИК!$H$12+('ФАКТ ЧЕРН К3'!L45)*СПРАВОЧНИК!$I$12+('ФАКТ ЧЕРН К3'!M45)*СПРАВОЧНИК!$J$12+('ФАКТ ЧЕРН К3'!N45)*СПРАВОЧНИК!$H$13+('ФАКТ ЧЕРН К3'!O45)*СПРАВОЧНИК!$I$13+('ФАКТ ЧЕРН К3'!P45)*СПРАВОЧНИК!$J$13+('ФАКТ ЧЕРН К3'!Q45)*СПРАВОЧНИК!$H$14+('ФАКТ ЧЕРН К3'!R45)*СПРАВОЧНИК!$I$14+('ФАКТ ЧЕРН К3'!S45)*СПРАВОЧНИК!$J$14+('ФАКТ ЧЕРН К3'!T45)*СПРАВОЧНИК!$H$15+('ФАКТ ЧЕРН К3'!U45)*СПРАВОЧНИК!$I$15+('ФАКТ ЧЕРН К3'!V45)*СПРАВОЧНИК!$J$15</f>
        <v/>
      </c>
      <c r="BM54" s="34" t="n"/>
      <c r="BP54" s="152">
        <f>BP53+7</f>
        <v/>
      </c>
      <c r="BQ54" s="17">
        <f>'ПЛАН ЧИСТ К3'!B45*СПРАВОЧНИК!$L$9+'ПЛАН ЧИСТ К3'!C45*СПРАВОЧНИК!$M$9+'ПЛАН ЧИСТ К3'!D45*СПРАВОЧНИК!$N$9+'ПЛАН ЧИСТ К3'!E45*СПРАВОЧНИК!$O$9+'ПЛАН ЧИСТ К3'!F45*СПРАВОЧНИК!$P$9+'ПЛАН ЧИСТ К3'!G45*СПРАВОЧНИК!$L$10+'ПЛАН ЧИСТ К3'!H45*СПРАВОЧНИК!$M$10+'ПЛАН ЧИСТ К3'!I45*СПРАВОЧНИК!$N$10+'ПЛАН ЧИСТ К3'!J45*СПРАВОЧНИК!$O$10+'ПЛАН ЧИСТ К3'!K45*СПРАВОЧНИК!$P$10+'ПЛАН ЧИСТ К3'!L45*СПРАВОЧНИК!$L$11+'ПЛАН ЧИСТ К3'!M45*СПРАВОЧНИК!$M$11+'ПЛАН ЧИСТ К3'!N45*СПРАВОЧНИК!$N$11+'ПЛАН ЧИСТ К3'!O45*СПРАВОЧНИК!$O$11+'ПЛАН ЧИСТ К3'!P45*СПРАВОЧНИК!$P$11+'ПЛАН ЧИСТ К3'!Q45*СПРАВОЧНИК!$L$12+'ПЛАН ЧИСТ К3'!R45*СПРАВОЧНИК!$M$12+'ПЛАН ЧИСТ К3'!S45*СПРАВОЧНИК!$N$12+'ПЛАН ЧИСТ К3'!T45*СПРАВОЧНИК!$O$12+'ПЛАН ЧИСТ К3'!U45*СПРАВОЧНИК!$P$12+'ПЛАН ЧИСТ К3'!V45*СПРАВОЧНИК!$L$13+'ПЛАН ЧИСТ К3'!W45*СПРАВОЧНИК!$M$13+'ПЛАН ЧИСТ К3'!X45*СПРАВОЧНИК!$N$13+'ПЛАН ЧИСТ К3'!Y45*СПРАВОЧНИК!$O$13+'ПЛАН ЧИСТ К3'!Z45*СПРАВОЧНИК!$P$13+'ПЛАН ЧИСТ К3'!AA45*СПРАВОЧНИК!$L$14+'ПЛАН ЧИСТ К3'!AB45*СПРАВОЧНИК!$M$14+'ПЛАН ЧИСТ К3'!AC45*СПРАВОЧНИК!$N$14+'ПЛАН ЧИСТ К3'!AD45*СПРАВОЧНИК!$O$14+'ПЛАН ЧИСТ К3'!AE45*СПРАВОЧНИК!$P$14+'ПЛАН ЧИСТ К3'!AF45*СПРАВОЧНИК!$L$15+'ПЛАН ЧИСТ К3'!AG45*СПРАВОЧНИК!$M$15+'ПЛАН ЧИСТ К3'!AH45*СПРАВОЧНИК!$N$15+'ПЛАН ЧИСТ К3'!AI45*СПРАВОЧНИК!$O$15+'ПЛАН ЧИСТ К3'!AJ45*СПРАВОЧНИК!$P$15</f>
        <v/>
      </c>
      <c r="BR54" s="31">
        <f>('ФАКТ ЧИСТ К3'!B45)*СПРАВОЧНИК!$L$9+('ФАКТ ЧИСТ К3'!C45)*СПРАВОЧНИК!$M$9+('ФАКТ ЧИСТ К3'!D45)*СПРАВОЧНИК!$N$9+('ФАКТ ЧИСТ К3'!E45)*СПРАВОЧНИК!$O$9+('ФАКТ ЧИСТ К3'!F45)*СПРАВОЧНИК!$P$9+('ФАКТ ЧИСТ К3'!G45)*СПРАВОЧНИК!$L$10+('ФАКТ ЧИСТ К3'!H45)*СПРАВОЧНИК!$M$10+('ФАКТ ЧИСТ К3'!I45)*СПРАВОЧНИК!$N$10+('ФАКТ ЧИСТ К3'!J45)*СПРАВОЧНИК!$O$10+('ФАКТ ЧИСТ К3'!K45)*СПРАВОЧНИК!$P$10+('ФАКТ ЧИСТ К3'!L45)*СПРАВОЧНИК!$L$11+('ФАКТ ЧИСТ К3'!M45)*СПРАВОЧНИК!$M$11+('ФАКТ ЧИСТ К3'!N45)*СПРАВОЧНИК!$N$11+('ФАКТ ЧИСТ К3'!O45)*СПРАВОЧНИК!$O$11+('ФАКТ ЧИСТ К3'!P45)*СПРАВОЧНИК!$P$11+('ФАКТ ЧИСТ К3'!Q45)*СПРАВОЧНИК!$L$12+('ФАКТ ЧИСТ К3'!R45)*СПРАВОЧНИК!$M$12+('ФАКТ ЧИСТ К3'!S45)*СПРАВОЧНИК!$N$12+('ФАКТ ЧИСТ К3'!T45)*СПРАВОЧНИК!$O$12+('ФАКТ ЧИСТ К3'!U45)*СПРАВОЧНИК!$P$12+('ФАКТ ЧИСТ К3'!V45)*СПРАВОЧНИК!$L$13+('ФАКТ ЧИСТ К3'!W45)*СПРАВОЧНИК!$M$13+('ФАКТ ЧИСТ К3'!X45)*СПРАВОЧНИК!$N$13+('ФАКТ ЧИСТ К3'!Y45)*СПРАВОЧНИК!$O$13+('ФАКТ ЧИСТ К3'!Z45)*СПРАВОЧНИК!$P$13+('ФАКТ ЧИСТ К3'!AA45)*СПРАВОЧНИК!$L$14+('ФАКТ ЧИСТ К3'!AB45)*СПРАВОЧНИК!$M$14+('ФАКТ ЧИСТ К3'!AC45)*СПРАВОЧНИК!$N$14+('ФАКТ ЧИСТ К3'!AD45)*СПРАВОЧНИК!$O$14+('ФАКТ ЧИСТ К3'!AE45)*СПРАВОЧНИК!$P$14+('ФАКТ ЧИСТ К3'!AF45)*СПРАВОЧНИК!$L$15+('ФАКТ ЧИСТ К3'!AG45)*СПРАВОЧНИК!$M$15+('ФАКТ ЧИСТ К3'!AH45)*СПРАВОЧНИК!$N$15+('ФАКТ ЧИСТ К3'!AI45)*СПРАВОЧНИК!$O$15+('ФАКТ ЧИСТ К3'!AJ45)*СПРАВОЧНИК!$P$15</f>
        <v/>
      </c>
      <c r="BS54" s="34" t="n"/>
      <c r="BV54" s="152">
        <f>BV53+7</f>
        <v/>
      </c>
      <c r="BW54" s="17">
        <f>U54*СПРАВОЧНИК!$K$28+AM54*СПРАВОЧНИК!$K$29+BE54*СПРАВОЧНИК!$K$30</f>
        <v/>
      </c>
      <c r="BX54" s="31">
        <f>V54*СПРАВОЧНИК!$K$28+AN54*СПРАВОЧНИК!$K$29+BF54*СПРАВОЧНИК!$K$30</f>
        <v/>
      </c>
      <c r="BY54" s="34" t="n"/>
      <c r="CB54" s="152">
        <f>CB53+7</f>
        <v/>
      </c>
      <c r="CC54" s="17">
        <f>AA54*СПРАВОЧНИК!$K$28+AS54*СПРАВОЧНИК!$K$29+BK54*СПРАВОЧНИК!$K$30</f>
        <v/>
      </c>
      <c r="CD54" s="31">
        <f>AB54*СПРАВОЧНИК!$K$28+AT54*СПРАВОЧНИК!$K$29+BL54*СПРАВОЧНИК!$K$30</f>
        <v/>
      </c>
      <c r="CE54" s="34" t="n"/>
      <c r="CH54" s="152">
        <f>CH53+7</f>
        <v/>
      </c>
      <c r="CI54" s="17">
        <f>AG54*СПРАВОЧНИК!$K$28+AY54*СПРАВОЧНИК!$K$29+BQ54*СПРАВОЧНИК!$K$30</f>
        <v/>
      </c>
      <c r="CJ54" s="31">
        <f>AH54*СПРАВОЧНИК!$K$28+AZ54*СПРАВОЧНИК!$K$29+BR54*СПРАВОЧНИК!$K$30</f>
        <v/>
      </c>
      <c r="CK54" s="34" t="n"/>
      <c r="CN54" s="152">
        <f>CN53+7</f>
        <v/>
      </c>
      <c r="CO54" s="17">
        <f>C54*СПРАВОЧНИК!$W$18+BW54*СПРАВОЧНИК!$W$19</f>
        <v/>
      </c>
      <c r="CP54" s="31">
        <f>D54*СПРАВОЧНИК!$W$18+BX54*СПРАВОЧНИК!$W$19</f>
        <v/>
      </c>
      <c r="CQ54" s="34" t="n"/>
      <c r="CT54" s="152">
        <f>CT53+7</f>
        <v/>
      </c>
      <c r="CU54" s="17">
        <f>I54*СПРАВОЧНИК!$W$18+CC54*СПРАВОЧНИК!$W$19</f>
        <v/>
      </c>
      <c r="CV54" s="31">
        <f>J54*СПРАВОЧНИК!$W$18+CD54*СПРАВОЧНИК!$W$19</f>
        <v/>
      </c>
      <c r="CW54" s="34" t="n"/>
      <c r="CZ54" s="152">
        <f>CZ53+7</f>
        <v/>
      </c>
      <c r="DA54" s="17">
        <f>O54*СПРАВОЧНИК!$W$18+CI54*СПРАВОЧНИК!$W$19</f>
        <v/>
      </c>
      <c r="DB54" s="31">
        <f>P54*СПРАВОЧНИК!$W$18+CJ54*СПРАВОЧНИК!$W$19</f>
        <v/>
      </c>
      <c r="DC54" s="34" t="n"/>
    </row>
    <row r="55">
      <c r="B55" s="152">
        <f>B54+7</f>
        <v/>
      </c>
      <c r="C55" s="17">
        <f>СПРАВОЧНИК!$E$3*('ПЛАН ЧЕРН ПОДЗЕМ'!B46*СПРАВОЧНИК!$H$3+'ПЛАН ЧЕРН ПОДЗЕМ'!C46*СПРАВОЧНИК!$I$3+'ПЛАН ЧЕРН ПОДЗЕМ'!D46*СПРАВОЧНИК!$J$3)+СПРАВОЧНИК!$F$3*('ПЛАН ЧИСТ ПОДЗЕМ'!B46*СПРАВОЧНИК!$L$3+'ПЛАН ЧИСТ ПОДЗЕМ'!C46*СПРАВОЧНИК!$M$3+'ПЛАН ЧИСТ ПОДЗЕМ'!D46*СПРАВОЧНИК!$N$3+'ПЛАН ЧИСТ ПОДЗЕМ'!E46*СПРАВОЧНИК!$O$3+'ПЛАН ЧИСТ ПОДЗЕМ'!F46*СПРАВОЧНИК!$P$3)+СПРАВОЧНИК!$E$4*('ПЛАН ЧЕРН ПОДЗЕМ'!E46*СПРАВОЧНИК!$H$4+'ПЛАН ЧЕРН ПОДЗЕМ'!F46*СПРАВОЧНИК!$I$4+'ПЛАН ЧЕРН ПОДЗЕМ'!G46*СПРАВОЧНИК!$J$4)+СПРАВОЧНИК!$F$4*('ПЛАН ЧИСТ ПОДЗЕМ'!G46*СПРАВОЧНИК!$L$4+'ПЛАН ЧИСТ ПОДЗЕМ'!H46*СПРАВОЧНИК!$M$4+'ПЛАН ЧИСТ ПОДЗЕМ'!I46*СПРАВОЧНИК!$N$4+'ПЛАН ЧИСТ ПОДЗЕМ'!J46*СПРАВОЧНИК!$O$4+'ПЛАН ЧИСТ ПОДЗЕМ'!K46*СПРАВОЧНИК!$P$4)+СПРАВОЧНИК!$E$5*('ПЛАН ЧЕРН ПОДЗЕМ'!H46*СПРАВОЧНИК!$H$5+'ПЛАН ЧЕРН ПОДЗЕМ'!I46*СПРАВОЧНИК!$I$5+'ПЛАН ЧЕРН ПОДЗЕМ'!J46*СПРАВОЧНИК!$J$5)+СПРАВОЧНИК!$F$5*('ПЛАН ЧИСТ ПОДЗЕМ'!L46*СПРАВОЧНИК!$L$5+'ПЛАН ЧИСТ ПОДЗЕМ'!M46*СПРАВОЧНИК!$M$5+'ПЛАН ЧИСТ ПОДЗЕМ'!N46*СПРАВОЧНИК!$N$5+'ПЛАН ЧИСТ ПОДЗЕМ'!O46*СПРАВОЧНИК!$O$5+'ПЛАН ЧИСТ ПОДЗЕМ'!P46*СПРАВОЧНИК!$P$5)+СПРАВОЧНИК!$E$6*('ПЛАН ЧЕРН ПОДЗЕМ'!K46*СПРАВОЧНИК!$H$6+'ПЛАН ЧЕРН ПОДЗЕМ'!L46*СПРАВОЧНИК!$I$6+'ПЛАН ЧЕРН ПОДЗЕМ'!M46*СПРАВОЧНИК!$J$6)+СПРАВОЧНИК!$F$6*('ПЛАН ЧИСТ ПОДЗЕМ'!Q46*СПРАВОЧНИК!$L$6+'ПЛАН ЧИСТ ПОДЗЕМ'!R46*СПРАВОЧНИК!$M$6+'ПЛАН ЧИСТ ПОДЗЕМ'!S46*СПРАВОЧНИК!$N$6+'ПЛАН ЧИСТ ПОДЗЕМ'!T46*СПРАВОЧНИК!$O$6+'ПЛАН ЧИСТ ПОДЗЕМ'!U46*СПРАВОЧНИК!$P$6)+СПРАВОЧНИК!$E$7*('ПЛАН ЧЕРН ПОДЗЕМ'!N46*СПРАВОЧНИК!$H$7+'ПЛАН ЧЕРН ПОДЗЕМ'!O46*СПРАВОЧНИК!$I$7+'ПЛАН ЧЕРН ПОДЗЕМ'!P46*СПРАВОЧНИК!$J$7)+СПРАВОЧНИК!$F$7*('ПЛАН ЧИСТ ПОДЗЕМ'!V46*СПРАВОЧНИК!$L$7+'ПЛАН ЧИСТ ПОДЗЕМ'!W46*СПРАВОЧНИК!$M$7+'ПЛАН ЧИСТ ПОДЗЕМ'!X46*СПРАВОЧНИК!$N$7+'ПЛАН ЧИСТ ПОДЗЕМ'!Y46*СПРАВОЧНИК!$O$7+'ПЛАН ЧИСТ ПОДЗЕМ'!Z46*СПРАВОЧНИК!$P$7)+СПРАВОЧНИК!$E$8*('ПЛАН ЧЕРН ПОДЗЕМ'!Q46*СПРАВОЧНИК!$H$8+'ПЛАН ЧЕРН ПОДЗЕМ'!R46*СПРАВОЧНИК!$I$8+'ПЛАН ЧЕРН ПОДЗЕМ'!S46*СПРАВОЧНИК!$J$8)+СПРАВОЧНИК!$F$8*('ПЛАН ЧИСТ ПОДЗЕМ'!AA46*СПРАВОЧНИК!$L$8+'ПЛАН ЧИСТ ПОДЗЕМ'!AB46*СПРАВОЧНИК!$M$8+'ПЛАН ЧИСТ ПОДЗЕМ'!AC46*СПРАВОЧНИК!$N$8+'ПЛАН ЧИСТ ПОДЗЕМ'!AD46*СПРАВОЧНИК!$O$8+'ПЛАН ЧИСТ ПОДЗЕМ'!AE46*СПРАВОЧНИК!$P$8)</f>
        <v/>
      </c>
      <c r="D55" s="31">
        <f>СПРАВОЧНИК!$E$3*('ФАКТ ЧЕРН ПОДЗЕМ'!B46*СПРАВОЧНИК!$H$3+'ФАКТ ЧЕРН ПОДЗЕМ'!C46*СПРАВОЧНИК!$I$3+'ФАКТ ЧЕРН ПОДЗЕМ'!D46*СПРАВОЧНИК!$J$3)+СПРАВОЧНИК!$F$3*('ФАКТ ЧИСТ ПОДЗЕМ'!B46*СПРАВОЧНИК!$L$3+'ФАКТ ЧИСТ ПОДЗЕМ'!C46*СПРАВОЧНИК!$M$3+'ФАКТ ЧИСТ ПОДЗЕМ'!D46*СПРАВОЧНИК!$N$3+'ФАКТ ЧИСТ ПОДЗЕМ'!E46*СПРАВОЧНИК!$O$3+'ФАКТ ЧИСТ ПОДЗЕМ'!F46*СПРАВОЧНИК!$P$3)+СПРАВОЧНИК!$E$4*('ФАКТ ЧЕРН ПОДЗЕМ'!E46*СПРАВОЧНИК!$H$4+'ФАКТ ЧЕРН ПОДЗЕМ'!F46*СПРАВОЧНИК!$I$4+'ФАКТ ЧЕРН ПОДЗЕМ'!G46*СПРАВОЧНИК!$J$4)+СПРАВОЧНИК!$F$4*('ФАКТ ЧИСТ ПОДЗЕМ'!G46*СПРАВОЧНИК!$L$4+'ФАКТ ЧИСТ ПОДЗЕМ'!H46*СПРАВОЧНИК!$M$4+'ФАКТ ЧИСТ ПОДЗЕМ'!I46*СПРАВОЧНИК!$N$4+'ФАКТ ЧИСТ ПОДЗЕМ'!J46*СПРАВОЧНИК!$O$4+'ФАКТ ЧИСТ ПОДЗЕМ'!K46*СПРАВОЧНИК!$P$4)+СПРАВОЧНИК!$E$5*('ФАКТ ЧЕРН ПОДЗЕМ'!H46*СПРАВОЧНИК!$H$5+'ФАКТ ЧЕРН ПОДЗЕМ'!I46*СПРАВОЧНИК!$I$5+'ФАКТ ЧЕРН ПОДЗЕМ'!J46*СПРАВОЧНИК!$J$5)+СПРАВОЧНИК!$F$5*('ФАКТ ЧИСТ ПОДЗЕМ'!L46*СПРАВОЧНИК!$L$5+'ФАКТ ЧИСТ ПОДЗЕМ'!M46*СПРАВОЧНИК!$M$5+'ФАКТ ЧИСТ ПОДЗЕМ'!N46*СПРАВОЧНИК!$N$5+'ФАКТ ЧИСТ ПОДЗЕМ'!O46*СПРАВОЧНИК!$O$5+'ФАКТ ЧИСТ ПОДЗЕМ'!P46*СПРАВОЧНИК!$P$5)+СПРАВОЧНИК!$E$6*('ФАКТ ЧЕРН ПОДЗЕМ'!K46*СПРАВОЧНИК!$H$6+'ФАКТ ЧЕРН ПОДЗЕМ'!L46*СПРАВОЧНИК!$I$6+'ФАКТ ЧЕРН ПОДЗЕМ'!M46*СПРАВОЧНИК!$J$6)+СПРАВОЧНИК!$F$6*('ФАКТ ЧИСТ ПОДЗЕМ'!Q46*СПРАВОЧНИК!$L$6+'ФАКТ ЧИСТ ПОДЗЕМ'!R46*СПРАВОЧНИК!$M$6+'ФАКТ ЧИСТ ПОДЗЕМ'!S46*СПРАВОЧНИК!$N$6+'ФАКТ ЧИСТ ПОДЗЕМ'!T46*СПРАВОЧНИК!$O$6+'ФАКТ ЧИСТ ПОДЗЕМ'!U46*СПРАВОЧНИК!$P$6)+СПРАВОЧНИК!$E$7*('ФАКТ ЧЕРН ПОДЗЕМ'!N46*СПРАВОЧНИК!$H$7+'ФАКТ ЧЕРН ПОДЗЕМ'!O46*СПРАВОЧНИК!$I$7+'ФАКТ ЧЕРН ПОДЗЕМ'!P46*СПРАВОЧНИК!$J$7)+СПРАВОЧНИК!$F$7*('ФАКТ ЧИСТ ПОДЗЕМ'!V46*СПРАВОЧНИК!$L$7+'ФАКТ ЧИСТ ПОДЗЕМ'!W46*СПРАВОЧНИК!$M$7+'ФАКТ ЧИСТ ПОДЗЕМ'!X46*СПРАВОЧНИК!$N$7+'ФАКТ ЧИСТ ПОДЗЕМ'!Y46*СПРАВОЧНИК!$O$7+'ФАКТ ЧИСТ ПОДЗЕМ'!Z46*СПРАВОЧНИК!$P$7)+СПРАВОЧНИК!$E$8*('ФАКТ ЧЕРН ПОДЗЕМ'!Q46*СПРАВОЧНИК!$H$8+'ФАКТ ЧЕРН ПОДЗЕМ'!R46*СПРАВОЧНИК!$I$8+'ФАКТ ЧЕРН ПОДЗЕМ'!S46*СПРАВОЧНИК!$J$8)+СПРАВОЧНИК!$F$8*('ФАКТ ЧИСТ ПОДЗЕМ'!AA46*СПРАВОЧНИК!$L$8+'ФАКТ ЧИСТ ПОДЗЕМ'!AB46*СПРАВОЧНИК!$M$8+'ФАКТ ЧИСТ ПОДЗЕМ'!AC46*СПРАВОЧНИК!$N$8+'ФАКТ ЧИСТ ПОДЗЕМ'!AD46*СПРАВОЧНИК!$O$8+'ФАКТ ЧИСТ ПОДЗЕМ'!AE46*СПРАВОЧНИК!$P$8)</f>
        <v/>
      </c>
      <c r="E55" s="34" t="n"/>
      <c r="H55" s="152">
        <f>H54+7</f>
        <v/>
      </c>
      <c r="I55" s="17">
        <f>'ПЛАН ЧЕРН ПОДЗЕМ'!B46*СПРАВОЧНИК!$H$3+'ПЛАН ЧЕРН ПОДЗЕМ'!C46*СПРАВОЧНИК!$I$3+'ПЛАН ЧЕРН ПОДЗЕМ'!D46*СПРАВОЧНИК!$J$3+'ПЛАН ЧЕРН ПОДЗЕМ'!E46*СПРАВОЧНИК!$H$4+'ПЛАН ЧЕРН ПОДЗЕМ'!F46*СПРАВОЧНИК!$I$4+'ПЛАН ЧЕРН ПОДЗЕМ'!G46*СПРАВОЧНИК!$J$4+'ПЛАН ЧЕРН ПОДЗЕМ'!H46*СПРАВОЧНИК!$H$5+'ПЛАН ЧЕРН ПОДЗЕМ'!I46*СПРАВОЧНИК!$I$5+'ПЛАН ЧЕРН ПОДЗЕМ'!J46*СПРАВОЧНИК!$J$5+'ПЛАН ЧЕРН ПОДЗЕМ'!K46*СПРАВОЧНИК!$H$6+'ПЛАН ЧЕРН ПОДЗЕМ'!L46*СПРАВОЧНИК!$I$6+'ПЛАН ЧЕРН ПОДЗЕМ'!M46*СПРАВОЧНИК!$J$6+'ПЛАН ЧЕРН ПОДЗЕМ'!N46*СПРАВОЧНИК!$H$7+'ПЛАН ЧЕРН ПОДЗЕМ'!O46*СПРАВОЧНИК!$I$7+'ПЛАН ЧЕРН ПОДЗЕМ'!P46*СПРАВОЧНИК!$J$7+'ПЛАН ЧЕРН ПОДЗЕМ'!Q46*СПРАВОЧНИК!$H$8+'ПЛАН ЧЕРН ПОДЗЕМ'!R46*СПРАВОЧНИК!$I$8+'ПЛАН ЧЕРН ПОДЗЕМ'!S46*СПРАВОЧНИК!$J$8</f>
        <v/>
      </c>
      <c r="J55" s="31">
        <f>('ФАКТ ЧЕРН ПОДЗЕМ'!B46)*СПРАВОЧНИК!$H$3+('ФАКТ ЧЕРН ПОДЗЕМ'!C46)*СПРАВОЧНИК!$I$3+('ФАКТ ЧЕРН ПОДЗЕМ'!D46)*СПРАВОЧНИК!$J$3+('ФАКТ ЧЕРН ПОДЗЕМ'!E46)*СПРАВОЧНИК!$H$4+('ФАКТ ЧЕРН ПОДЗЕМ'!F46)*СПРАВОЧНИК!$I$4+('ФАКТ ЧЕРН ПОДЗЕМ'!G46)*СПРАВОЧНИК!$J$4+('ФАКТ ЧЕРН ПОДЗЕМ'!H46)*СПРАВОЧНИК!$H$5+('ФАКТ ЧЕРН ПОДЗЕМ'!I46)*СПРАВОЧНИК!$I$5+('ФАКТ ЧЕРН ПОДЗЕМ'!J46)*СПРАВОЧНИК!$J$5+('ФАКТ ЧЕРН ПОДЗЕМ'!K46)*СПРАВОЧНИК!$H$6+('ФАКТ ЧЕРН ПОДЗЕМ'!L46)*СПРАВОЧНИК!$I$6+('ФАКТ ЧЕРН ПОДЗЕМ'!M46)*СПРАВОЧНИК!$J$6+('ФАКТ ЧЕРН ПОДЗЕМ'!N46)*СПРАВОЧНИК!$H$7+('ФАКТ ЧЕРН ПОДЗЕМ'!O46)*СПРАВОЧНИК!$I$7+('ФАКТ ЧЕРН ПОДЗЕМ'!P46)*СПРАВОЧНИК!$J$7+('ФАКТ ЧЕРН ПОДЗЕМ'!Q46)*СПРАВОЧНИК!$H$8+('ФАКТ ЧЕРН ПОДЗЕМ'!R46)*СПРАВОЧНИК!$I$8+('ФАКТ ЧЕРН ПОДЗЕМ'!S46)*СПРАВОЧНИК!$J$8</f>
        <v/>
      </c>
      <c r="K55" s="34" t="n"/>
      <c r="N55" s="152">
        <f>N54+7</f>
        <v/>
      </c>
      <c r="O55" s="17">
        <f>'ПЛАН ЧИСТ ПОДЗЕМ'!B46*СПРАВОЧНИК!$L$3+'ПЛАН ЧИСТ ПОДЗЕМ'!C46*СПРАВОЧНИК!$M$3+'ПЛАН ЧИСТ ПОДЗЕМ'!D46*СПРАВОЧНИК!$N$3+'ПЛАН ЧИСТ ПОДЗЕМ'!E46*СПРАВОЧНИК!$O$3+'ПЛАН ЧИСТ ПОДЗЕМ'!F46*СПРАВОЧНИК!$P$3+'ПЛАН ЧИСТ ПОДЗЕМ'!G46*СПРАВОЧНИК!$L$4+'ПЛАН ЧИСТ ПОДЗЕМ'!H46*СПРАВОЧНИК!$M$4+'ПЛАН ЧИСТ ПОДЗЕМ'!I46*СПРАВОЧНИК!$N$4+'ПЛАН ЧИСТ ПОДЗЕМ'!J46*СПРАВОЧНИК!$O$4+'ПЛАН ЧИСТ ПОДЗЕМ'!K46*СПРАВОЧНИК!$P$4+'ПЛАН ЧИСТ ПОДЗЕМ'!L46*СПРАВОЧНИК!$L$5+'ПЛАН ЧИСТ ПОДЗЕМ'!M46*СПРАВОЧНИК!$M$5+'ПЛАН ЧИСТ ПОДЗЕМ'!N46*СПРАВОЧНИК!$N$5+'ПЛАН ЧИСТ ПОДЗЕМ'!O46*СПРАВОЧНИК!$O$5+'ПЛАН ЧИСТ ПОДЗЕМ'!P46*СПРАВОЧНИК!$P$5+'ПЛАН ЧИСТ ПОДЗЕМ'!Q46*СПРАВОЧНИК!$L$6+'ПЛАН ЧИСТ ПОДЗЕМ'!R46*СПРАВОЧНИК!$M$6+'ПЛАН ЧИСТ ПОДЗЕМ'!S46*СПРАВОЧНИК!$N$6+'ПЛАН ЧИСТ ПОДЗЕМ'!T46*СПРАВОЧНИК!$O$6+'ПЛАН ЧИСТ ПОДЗЕМ'!U46*СПРАВОЧНИК!$P$6+'ПЛАН ЧИСТ ПОДЗЕМ'!V46*СПРАВОЧНИК!$L$7+'ПЛАН ЧИСТ ПОДЗЕМ'!W46*СПРАВОЧНИК!$M$7+'ПЛАН ЧИСТ ПОДЗЕМ'!X46*СПРАВОЧНИК!$N$7+'ПЛАН ЧИСТ ПОДЗЕМ'!Y46*СПРАВОЧНИК!$O$7+'ПЛАН ЧИСТ ПОДЗЕМ'!Z46*СПРАВОЧНИК!$P$7+'ПЛАН ЧИСТ ПОДЗЕМ'!AA46*СПРАВОЧНИК!$L$8+'ПЛАН ЧИСТ ПОДЗЕМ'!AB46*СПРАВОЧНИК!$M$8+'ПЛАН ЧИСТ ПОДЗЕМ'!AC46*СПРАВОЧНИК!$N$8+'ПЛАН ЧИСТ ПОДЗЕМ'!AD46*СПРАВОЧНИК!$O$8+'ПЛАН ЧИСТ ПОДЗЕМ'!AE46*СПРАВОЧНИК!$P$8</f>
        <v/>
      </c>
      <c r="P55" s="31">
        <f>('ФАКТ ЧИСТ ПОДЗЕМ'!B46)*СПРАВОЧНИК!$L$3+('ФАКТ ЧИСТ ПОДЗЕМ'!C46)*СПРАВОЧНИК!$M$3+('ФАКТ ЧИСТ ПОДЗЕМ'!D46)*СПРАВОЧНИК!$N$3+('ФАКТ ЧИСТ ПОДЗЕМ'!E46)*СПРАВОЧНИК!$O$3+('ФАКТ ЧИСТ ПОДЗЕМ'!F46)*СПРАВОЧНИК!$P$3+('ФАКТ ЧИСТ ПОДЗЕМ'!G46)*СПРАВОЧНИК!$L$4+('ФАКТ ЧИСТ ПОДЗЕМ'!H46)*СПРАВОЧНИК!$M$4+('ФАКТ ЧИСТ ПОДЗЕМ'!I46)*СПРАВОЧНИК!$N$4+('ФАКТ ЧИСТ ПОДЗЕМ'!J46)*СПРАВОЧНИК!$O$4+('ФАКТ ЧИСТ ПОДЗЕМ'!K46)*СПРАВОЧНИК!$P$4+('ФАКТ ЧИСТ ПОДЗЕМ'!L46)*СПРАВОЧНИК!$L$5+('ФАКТ ЧИСТ ПОДЗЕМ'!M46)*СПРАВОЧНИК!$M$5+('ФАКТ ЧИСТ ПОДЗЕМ'!N46)*СПРАВОЧНИК!$N$5+('ФАКТ ЧИСТ ПОДЗЕМ'!O46)*СПРАВОЧНИК!$O$5+('ФАКТ ЧИСТ ПОДЗЕМ'!P46)*СПРАВОЧНИК!$P$5+('ФАКТ ЧИСТ ПОДЗЕМ'!Q46)*СПРАВОЧНИК!$L$6+('ФАКТ ЧИСТ ПОДЗЕМ'!R46)*СПРАВОЧНИК!$M$6+('ФАКТ ЧИСТ ПОДЗЕМ'!S46)*СПРАВОЧНИК!$N$6+('ФАКТ ЧИСТ ПОДЗЕМ'!T46)*СПРАВОЧНИК!$O$6+('ФАКТ ЧИСТ ПОДЗЕМ'!U46)*СПРАВОЧНИК!$P$6+('ФАКТ ЧИСТ ПОДЗЕМ'!V46)*СПРАВОЧНИК!$L$7+('ФАКТ ЧИСТ ПОДЗЕМ'!W46)*СПРАВОЧНИК!$M$7+('ФАКТ ЧИСТ ПОДЗЕМ'!X46)*СПРАВОЧНИК!$N$7+('ФАКТ ЧИСТ ПОДЗЕМ'!Y46)*СПРАВОЧНИК!$O$7+('ФАКТ ЧИСТ ПОДЗЕМ'!Z46)*СПРАВОЧНИК!$P$7+('ФАКТ ЧИСТ ПОДЗЕМ'!AA46)*СПРАВОЧНИК!$L$8+('ФАКТ ЧИСТ ПОДЗЕМ'!AB46)*СПРАВОЧНИК!$M$8+('ФАКТ ЧИСТ ПОДЗЕМ'!AC46)*СПРАВОЧНИК!$N$8+('ФАКТ ЧИСТ ПОДЗЕМ'!AD46)*СПРАВОЧНИК!$O$8+('ФАКТ ЧИСТ ПОДЗЕМ'!AE46)*СПРАВОЧНИК!$P$8</f>
        <v/>
      </c>
      <c r="Q55" s="34" t="n"/>
      <c r="T55" s="152">
        <f>T54+7</f>
        <v/>
      </c>
      <c r="U55" s="17">
        <f>СПРАВОЧНИК!$E$9*('ПЛАН ЧЕРН К1'!B46*СПРАВОЧНИК!$H$9+'ПЛАН ЧЕРН К1'!C46*СПРАВОЧНИК!$I$9+'ПЛАН ЧЕРН К1'!D46*СПРАВОЧНИК!$J$9)+СПРАВОЧНИК!$F$9*('ПЛАН ЧИСТ К1'!B46*СПРАВОЧНИК!$L$9+'ПЛАН ЧИСТ К1'!C46*СПРАВОЧНИК!$M$9+'ПЛАН ЧИСТ К1'!D46*СПРАВОЧНИК!$N$9+'ПЛАН ЧИСТ К1'!E46*СПРАВОЧНИК!$O$9+'ПЛАН ЧИСТ К1'!F46*СПРАВОЧНИК!$P$9)+СПРАВОЧНИК!$E$10*('ПЛАН ЧЕРН К1'!E46*СПРАВОЧНИК!$H$10+'ПЛАН ЧЕРН К1'!F46*СПРАВОЧНИК!$I$10+'ПЛАН ЧЕРН К1'!G46*СПРАВОЧНИК!$J$10)+СПРАВОЧНИК!$F$10*('ПЛАН ЧИСТ К1'!G46*СПРАВОЧНИК!$L$10+'ПЛАН ЧИСТ К1'!H46*СПРАВОЧНИК!$M$10+'ПЛАН ЧИСТ К1'!I46*СПРАВОЧНИК!$N$10+'ПЛАН ЧИСТ К1'!J46*СПРАВОЧНИК!$O$10+'ПЛАН ЧИСТ К1'!K46*СПРАВОЧНИК!$P$10)+СПРАВОЧНИК!$E$11*('ПЛАН ЧЕРН К1'!H46*СПРАВОЧНИК!$H$11+'ПЛАН ЧЕРН К1'!I46*СПРАВОЧНИК!$I$11+'ПЛАН ЧЕРН К1'!J46*СПРАВОЧНИК!$J$11)+СПРАВОЧНИК!$F$11*('ПЛАН ЧИСТ К1'!L46*СПРАВОЧНИК!$L$11+'ПЛАН ЧИСТ К1'!M46*СПРАВОЧНИК!$M$11+'ПЛАН ЧИСТ К1'!N46*СПРАВОЧНИК!$N$11+'ПЛАН ЧИСТ К1'!O46*СПРАВОЧНИК!$O$11+'ПЛАН ЧИСТ К1'!P46*СПРАВОЧНИК!$P$11)+СПРАВОЧНИК!$E$12*('ПЛАН ЧЕРН К1'!K46*СПРАВОЧНИК!$H$12+'ПЛАН ЧЕРН К1'!L46*СПРАВОЧНИК!$I$12+'ПЛАН ЧЕРН К1'!M46*СПРАВОЧНИК!$J$12)+СПРАВОЧНИК!$F$12*('ПЛАН ЧИСТ К1'!Q46*СПРАВОЧНИК!$L$12+'ПЛАН ЧИСТ К1'!R46*СПРАВОЧНИК!$M$12+'ПЛАН ЧИСТ К1'!S46*СПРАВОЧНИК!$N$12+'ПЛАН ЧИСТ К1'!T46*СПРАВОЧНИК!$O$12+'ПЛАН ЧИСТ К1'!U46*СПРАВОЧНИК!$P$12)+СПРАВОЧНИК!$E$13*('ПЛАН ЧЕРН К1'!N46*СПРАВОЧНИК!$H$13+'ПЛАН ЧЕРН К1'!O46*СПРАВОЧНИК!$I$13+'ПЛАН ЧЕРН К1'!P46*СПРАВОЧНИК!$J$13)+СПРАВОЧНИК!$F$13*('ПЛАН ЧИСТ К1'!V46*СПРАВОЧНИК!$L$13+'ПЛАН ЧИСТ К1'!W46*СПРАВОЧНИК!$M$13+'ПЛАН ЧИСТ К1'!X46*СПРАВОЧНИК!$N$13+'ПЛАН ЧИСТ К1'!Y46*СПРАВОЧНИК!$O$13+'ПЛАН ЧИСТ К1'!Z46*СПРАВОЧНИК!$P$13)+СПРАВОЧНИК!$E$14*('ПЛАН ЧЕРН К1'!Q46*СПРАВОЧНИК!$H$14+'ПЛАН ЧЕРН К1'!R46*СПРАВОЧНИК!$I$14+'ПЛАН ЧЕРН К1'!S46*СПРАВОЧНИК!$J$14)+СПРАВОЧНИК!$F$14*('ПЛАН ЧИСТ К1'!AA46*СПРАВОЧНИК!$L$14+'ПЛАН ЧИСТ К1'!AB46*СПРАВОЧНИК!$M$14+'ПЛАН ЧИСТ К1'!AC46*СПРАВОЧНИК!$N$14+'ПЛАН ЧИСТ К1'!AD46*СПРАВОЧНИК!$O$14+'ПЛАН ЧИСТ К1'!AE46*СПРАВОЧНИК!$P$14)+СПРАВОЧНИК!$E$15*('ПЛАН ЧЕРН К1'!T46*СПРАВОЧНИК!$H$15+'ПЛАН ЧЕРН К1'!U46*СПРАВОЧНИК!$I$15+'ПЛАН ЧЕРН К1'!V46*СПРАВОЧНИК!$J$15)+СПРАВОЧНИК!$F$15*('ПЛАН ЧИСТ К1'!AF46*СПРАВОЧНИК!$L$15+'ПЛАН ЧИСТ К1'!AG46*СПРАВОЧНИК!$M$15+'ПЛАН ЧИСТ К1'!AH46*СПРАВОЧНИК!$N$15+'ПЛАН ЧИСТ К1'!AI46*СПРАВОЧНИК!$O$15+'ПЛАН ЧИСТ К1'!AJ46*СПРАВОЧНИК!$P$15)</f>
        <v/>
      </c>
      <c r="V55" s="31">
        <f>СПРАВОЧНИК!$E$9*('ФАКТ ЧЕРН К1'!B46*СПРАВОЧНИК!$H$9+'ФАКТ ЧЕРН К1'!C46*СПРАВОЧНИК!$I$9+'ФАКТ ЧЕРН К1'!D46*СПРАВОЧНИК!$J$9)+СПРАВОЧНИК!$F$9*('ФАКТ ЧИСТ К1'!B46*СПРАВОЧНИК!$L$9+'ФАКТ ЧИСТ К1'!C46*СПРАВОЧНИК!$M$9+'ФАКТ ЧИСТ К1'!D46*СПРАВОЧНИК!$N$9+'ФАКТ ЧИСТ К1'!E46*СПРАВОЧНИК!$O$9+'ФАКТ ЧИСТ К1'!F46*СПРАВОЧНИК!$P$9)+СПРАВОЧНИК!$E$10*('ФАКТ ЧЕРН К1'!E46*СПРАВОЧНИК!$H$10+'ФАКТ ЧЕРН К1'!F46*СПРАВОЧНИК!$I$10+'ФАКТ ЧЕРН К1'!G46*СПРАВОЧНИК!$J$10)+СПРАВОЧНИК!$F$10*('ФАКТ ЧИСТ К1'!G46*СПРАВОЧНИК!$L$10+'ФАКТ ЧИСТ К1'!H46*СПРАВОЧНИК!$M$10+'ФАКТ ЧИСТ К1'!I46*СПРАВОЧНИК!$N$10+'ФАКТ ЧИСТ К1'!J46*СПРАВОЧНИК!$O$10+'ФАКТ ЧИСТ К1'!K46*СПРАВОЧНИК!$P$10)+СПРАВОЧНИК!$E$11*('ФАКТ ЧЕРН К1'!H46*СПРАВОЧНИК!$H$11+'ФАКТ ЧЕРН К1'!I46*СПРАВОЧНИК!$I$11+'ФАКТ ЧЕРН К1'!J46*СПРАВОЧНИК!$J$11)+СПРАВОЧНИК!$F$11*('ФАКТ ЧИСТ К1'!L46*СПРАВОЧНИК!$L$11+'ФАКТ ЧИСТ К1'!M46*СПРАВОЧНИК!$M$11+'ФАКТ ЧИСТ К1'!N46*СПРАВОЧНИК!$N$11+'ФАКТ ЧИСТ К1'!O46*СПРАВОЧНИК!$O$11+'ФАКТ ЧИСТ К1'!P46*СПРАВОЧНИК!$P$11)+СПРАВОЧНИК!$E$12*('ФАКТ ЧЕРН К1'!K46*СПРАВОЧНИК!$H$12+'ФАКТ ЧЕРН К1'!L46*СПРАВОЧНИК!$I$12+'ФАКТ ЧЕРН К1'!M46*СПРАВОЧНИК!$J$12)+СПРАВОЧНИК!$F$12*('ФАКТ ЧИСТ К1'!Q46*СПРАВОЧНИК!$L$12+'ФАКТ ЧИСТ К1'!R46*СПРАВОЧНИК!$M$12+'ФАКТ ЧИСТ К1'!S46*СПРАВОЧНИК!$N$12+'ФАКТ ЧИСТ К1'!T46*СПРАВОЧНИК!$O$12+'ФАКТ ЧИСТ К1'!U46*СПРАВОЧНИК!$P$12)+СПРАВОЧНИК!$E$13*('ФАКТ ЧЕРН К1'!N46*СПРАВОЧНИК!$H$13+'ФАКТ ЧЕРН К1'!O46*СПРАВОЧНИК!$I$13+'ФАКТ ЧЕРН К1'!P46*СПРАВОЧНИК!$J$13)+СПРАВОЧНИК!$F$13*('ФАКТ ЧИСТ К1'!V46*СПРАВОЧНИК!$L$13+'ФАКТ ЧИСТ К1'!W46*СПРАВОЧНИК!$M$13+'ФАКТ ЧИСТ К1'!X46*СПРАВОЧНИК!$N$13+'ФАКТ ЧИСТ К1'!Y46*СПРАВОЧНИК!$O$13+'ФАКТ ЧИСТ К1'!Z46*СПРАВОЧНИК!$P$13)+СПРАВОЧНИК!$E$14*('ФАКТ ЧЕРН К1'!Q46*СПРАВОЧНИК!$H$14+'ФАКТ ЧЕРН К1'!R46*СПРАВОЧНИК!$I$14+'ФАКТ ЧЕРН К1'!S46*СПРАВОЧНИК!$J$14)+СПРАВОЧНИК!$F$14*('ФАКТ ЧИСТ К1'!AA46*СПРАВОЧНИК!$L$14+'ФАКТ ЧИСТ К1'!AB46*СПРАВОЧНИК!$M$14+'ФАКТ ЧИСТ К1'!AC46*СПРАВОЧНИК!$N$14+'ФАКТ ЧИСТ К1'!AD46*СПРАВОЧНИК!$O$14+'ФАКТ ЧИСТ К1'!AE46*СПРАВОЧНИК!$P$14)+СПРАВОЧНИК!$E$15*('ФАКТ ЧЕРН К1'!T46*СПРАВОЧНИК!$H$15+'ФАКТ ЧЕРН К1'!U46*СПРАВОЧНИК!$I$15+'ФАКТ ЧЕРН К1'!V46*СПРАВОЧНИК!$J$15)+СПРАВОЧНИК!$F$15*('ФАКТ ЧИСТ К1'!AF46*СПРАВОЧНИК!$L$15+'ФАКТ ЧИСТ К1'!AG46*СПРАВОЧНИК!$M$15+'ФАКТ ЧИСТ К1'!AH46*СПРАВОЧНИК!$N$15+'ФАКТ ЧИСТ К1'!AI46*СПРАВОЧНИК!$O$15+'ФАКТ ЧИСТ К1'!AJ46*СПРАВОЧНИК!$P$15)</f>
        <v/>
      </c>
      <c r="W55" s="34" t="n"/>
      <c r="Z55" s="152">
        <f>Z54+7</f>
        <v/>
      </c>
      <c r="AA55" s="17">
        <f>'ПЛАН ЧЕРН К1'!B46*СПРАВОЧНИК!$H$9+'ПЛАН ЧЕРН К1'!C46*СПРАВОЧНИК!$I$9+'ПЛАН ЧЕРН К1'!D46*СПРАВОЧНИК!$J$9+'ПЛАН ЧЕРН К1'!E46*СПРАВОЧНИК!$H$10+'ПЛАН ЧЕРН К1'!F46*СПРАВОЧНИК!$I$10+'ПЛАН ЧЕРН К1'!G46*СПРАВОЧНИК!$J$10+'ПЛАН ЧЕРН К1'!H46*СПРАВОЧНИК!$H$11+'ПЛАН ЧЕРН К1'!I46*СПРАВОЧНИК!$I$11+'ПЛАН ЧЕРН К1'!J46*СПРАВОЧНИК!$J$11+'ПЛАН ЧЕРН К1'!K46*СПРАВОЧНИК!$H$12+'ПЛАН ЧЕРН К1'!L46*СПРАВОЧНИК!$I$12+'ПЛАН ЧЕРН К1'!M46*СПРАВОЧНИК!$J$12+'ПЛАН ЧЕРН К1'!N46*СПРАВОЧНИК!$H$13+'ПЛАН ЧЕРН К1'!O46*СПРАВОЧНИК!$I$13+'ПЛАН ЧЕРН К1'!P46*СПРАВОЧНИК!$J$13+'ПЛАН ЧЕРН К1'!Q46*СПРАВОЧНИК!$H$14+'ПЛАН ЧЕРН К1'!R46*СПРАВОЧНИК!$I$14+'ПЛАН ЧЕРН К1'!S46*СПРАВОЧНИК!$J$14+'ПЛАН ЧЕРН К1'!T46*СПРАВОЧНИК!$H$15+'ПЛАН ЧЕРН К1'!U46*СПРАВОЧНИК!$I$15+'ПЛАН ЧЕРН К1'!V46*СПРАВОЧНИК!$J$15</f>
        <v/>
      </c>
      <c r="AB55" s="31">
        <f>('ФАКТ ЧЕРН К1'!B46)*СПРАВОЧНИК!$H$9+('ФАКТ ЧЕРН К1'!C46)*СПРАВОЧНИК!$I$9+('ФАКТ ЧЕРН К1'!D46)*СПРАВОЧНИК!$J$9+('ФАКТ ЧЕРН К1'!E46)*СПРАВОЧНИК!$H$10+('ФАКТ ЧЕРН К1'!F46)*СПРАВОЧНИК!$I$10+('ФАКТ ЧЕРН К1'!G46)*СПРАВОЧНИК!$J$10+('ФАКТ ЧЕРН К1'!H46)*СПРАВОЧНИК!$H$11+('ФАКТ ЧЕРН К1'!I46)*СПРАВОЧНИК!$I$11+('ФАКТ ЧЕРН К1'!J46)*СПРАВОЧНИК!$J$11+('ФАКТ ЧЕРН К1'!K46)*СПРАВОЧНИК!$H$12+('ФАКТ ЧЕРН К1'!L46)*СПРАВОЧНИК!$I$12+('ФАКТ ЧЕРН К1'!M46)*СПРАВОЧНИК!$J$12+('ФАКТ ЧЕРН К1'!N46)*СПРАВОЧНИК!$H$13+('ФАКТ ЧЕРН К1'!O46)*СПРАВОЧНИК!$I$13+('ФАКТ ЧЕРН К1'!P46)*СПРАВОЧНИК!$J$13+('ФАКТ ЧЕРН К1'!Q46)*СПРАВОЧНИК!$H$14+('ФАКТ ЧЕРН К1'!R46)*СПРАВОЧНИК!$I$14+('ФАКТ ЧЕРН К1'!S46)*СПРАВОЧНИК!$J$14+('ФАКТ ЧЕРН К1'!T46)*СПРАВОЧНИК!$H$15+('ФАКТ ЧЕРН К1'!U46)*СПРАВОЧНИК!$I$15+('ФАКТ ЧЕРН К1'!V46)*СПРАВОЧНИК!$J$15</f>
        <v/>
      </c>
      <c r="AC55" s="34" t="n"/>
      <c r="AF55" s="152">
        <f>AF54+7</f>
        <v/>
      </c>
      <c r="AG55" s="17">
        <f>'ПЛАН ЧИСТ К1'!B46*СПРАВОЧНИК!$L$9+'ПЛАН ЧИСТ К1'!C46*СПРАВОЧНИК!$M$9+'ПЛАН ЧИСТ К1'!D46*СПРАВОЧНИК!$N$9+'ПЛАН ЧИСТ К1'!E46*СПРАВОЧНИК!$O$9+'ПЛАН ЧИСТ К1'!F46*СПРАВОЧНИК!$P$9+'ПЛАН ЧИСТ К1'!G46*СПРАВОЧНИК!$L$10+'ПЛАН ЧИСТ К1'!H46*СПРАВОЧНИК!$M$10+'ПЛАН ЧИСТ К1'!I46*СПРАВОЧНИК!$N$10+'ПЛАН ЧИСТ К1'!J46*СПРАВОЧНИК!$O$10+'ПЛАН ЧИСТ К1'!K46*СПРАВОЧНИК!$P$10+'ПЛАН ЧИСТ К1'!L46*СПРАВОЧНИК!$L$11+'ПЛАН ЧИСТ К1'!M46*СПРАВОЧНИК!$M$11+'ПЛАН ЧИСТ К1'!N46*СПРАВОЧНИК!$N$11+'ПЛАН ЧИСТ К1'!O46*СПРАВОЧНИК!$O$11+'ПЛАН ЧИСТ К1'!P46*СПРАВОЧНИК!$P$11+'ПЛАН ЧИСТ К1'!Q46*СПРАВОЧНИК!$L$12+'ПЛАН ЧИСТ К1'!R46*СПРАВОЧНИК!$M$12+'ПЛАН ЧИСТ К1'!S46*СПРАВОЧНИК!$N$12+'ПЛАН ЧИСТ К1'!T46*СПРАВОЧНИК!$O$12+'ПЛАН ЧИСТ К1'!U46*СПРАВОЧНИК!$P$12+'ПЛАН ЧИСТ К1'!V46*СПРАВОЧНИК!$L$13+'ПЛАН ЧИСТ К1'!W46*СПРАВОЧНИК!$M$13+'ПЛАН ЧИСТ К1'!X46*СПРАВОЧНИК!$N$13+'ПЛАН ЧИСТ К1'!Y46*СПРАВОЧНИК!$O$13+'ПЛАН ЧИСТ К1'!Z46*СПРАВОЧНИК!$P$13+'ПЛАН ЧИСТ К1'!AA46*СПРАВОЧНИК!$L$14+'ПЛАН ЧИСТ К1'!AB46*СПРАВОЧНИК!$M$14+'ПЛАН ЧИСТ К1'!AC46*СПРАВОЧНИК!$N$14+'ПЛАН ЧИСТ К1'!AD46*СПРАВОЧНИК!$O$14+'ПЛАН ЧИСТ К1'!AE46*СПРАВОЧНИК!$P$14+'ПЛАН ЧИСТ К1'!AF46*СПРАВОЧНИК!$L$15+'ПЛАН ЧИСТ К1'!AG46*СПРАВОЧНИК!$M$15+'ПЛАН ЧИСТ К1'!AH46*СПРАВОЧНИК!$N$15+'ПЛАН ЧИСТ К1'!AI46*СПРАВОЧНИК!$O$15+'ПЛАН ЧИСТ К1'!AJ46*СПРАВОЧНИК!$P$15</f>
        <v/>
      </c>
      <c r="AH55" s="31">
        <f>('ФАКТ ЧИСТ К1'!B46)*СПРАВОЧНИК!$L$9+('ФАКТ ЧИСТ К1'!C46)*СПРАВОЧНИК!$M$9+('ФАКТ ЧИСТ К1'!D46)*СПРАВОЧНИК!$N$9+('ФАКТ ЧИСТ К1'!E46)*СПРАВОЧНИК!$O$9+('ФАКТ ЧИСТ К1'!F46)*СПРАВОЧНИК!$P$9+('ФАКТ ЧИСТ К1'!G46)*СПРАВОЧНИК!$L$10+('ФАКТ ЧИСТ К1'!H46)*СПРАВОЧНИК!$M$10+('ФАКТ ЧИСТ К1'!I46)*СПРАВОЧНИК!$N$10+('ФАКТ ЧИСТ К1'!J46)*СПРАВОЧНИК!$O$10+('ФАКТ ЧИСТ К1'!K46)*СПРАВОЧНИК!$P$10+('ФАКТ ЧИСТ К1'!L46)*СПРАВОЧНИК!$L$11+('ФАКТ ЧИСТ К1'!M46)*СПРАВОЧНИК!$M$11+('ФАКТ ЧИСТ К1'!N46)*СПРАВОЧНИК!$N$11+('ФАКТ ЧИСТ К1'!O46)*СПРАВОЧНИК!$O$11+('ФАКТ ЧИСТ К1'!P46)*СПРАВОЧНИК!$P$11+('ФАКТ ЧИСТ К1'!Q46)*СПРАВОЧНИК!$L$12+('ФАКТ ЧИСТ К1'!R46)*СПРАВОЧНИК!$M$12+('ФАКТ ЧИСТ К1'!S46)*СПРАВОЧНИК!$N$12+('ФАКТ ЧИСТ К1'!T46)*СПРАВОЧНИК!$O$12+('ФАКТ ЧИСТ К1'!U46)*СПРАВОЧНИК!$P$12+('ФАКТ ЧИСТ К1'!V46)*СПРАВОЧНИК!$L$13+('ФАКТ ЧИСТ К1'!W46)*СПРАВОЧНИК!$M$13+('ФАКТ ЧИСТ К1'!X46)*СПРАВОЧНИК!$N$13+('ФАКТ ЧИСТ К1'!Y46)*СПРАВОЧНИК!$O$13+('ФАКТ ЧИСТ К1'!Z46)*СПРАВОЧНИК!$P$13+('ФАКТ ЧИСТ К1'!AA46)*СПРАВОЧНИК!$L$14+('ФАКТ ЧИСТ К1'!AB46)*СПРАВОЧНИК!$M$14+('ФАКТ ЧИСТ К1'!AC46)*СПРАВОЧНИК!$N$14+('ФАКТ ЧИСТ К1'!AD46)*СПРАВОЧНИК!$O$14+('ФАКТ ЧИСТ К1'!AE46)*СПРАВОЧНИК!$P$14+('ФАКТ ЧИСТ К1'!AF46)*СПРАВОЧНИК!$L$15+('ФАКТ ЧИСТ К1'!AG46)*СПРАВОЧНИК!$M$15+('ФАКТ ЧИСТ К1'!AH46)*СПРАВОЧНИК!$N$15+('ФАКТ ЧИСТ К1'!AI46)*СПРАВОЧНИК!$O$15+('ФАКТ ЧИСТ К1'!AJ46)*СПРАВОЧНИК!$P$15</f>
        <v/>
      </c>
      <c r="AI55" s="34" t="n"/>
      <c r="AL55" s="152">
        <f>AL54+7</f>
        <v/>
      </c>
      <c r="AM55" s="17">
        <f>СПРАВОЧНИК!$E$9*('ПЛАН ЧЕРН К2'!B46*СПРАВОЧНИК!$H$9+'ПЛАН ЧЕРН К2'!C46*СПРАВОЧНИК!$I$9+'ПЛАН ЧЕРН К2'!D46*СПРАВОЧНИК!$J$9)+СПРАВОЧНИК!$F$9*('ПЛАН ЧИСТ К2'!B46*СПРАВОЧНИК!$L$9+'ПЛАН ЧИСТ К2'!C46*СПРАВОЧНИК!$M$9+'ПЛАН ЧИСТ К2'!D46*СПРАВОЧНИК!$N$9+'ПЛАН ЧИСТ К2'!E46*СПРАВОЧНИК!$O$9+'ПЛАН ЧИСТ К2'!F46*СПРАВОЧНИК!$P$9)+СПРАВОЧНИК!$E$10*('ПЛАН ЧЕРН К2'!E46*СПРАВОЧНИК!$H$10+'ПЛАН ЧЕРН К2'!F46*СПРАВОЧНИК!$I$10+'ПЛАН ЧЕРН К2'!G46*СПРАВОЧНИК!$J$10)+СПРАВОЧНИК!$F$10*('ПЛАН ЧИСТ К2'!G46*СПРАВОЧНИК!$L$10+'ПЛАН ЧИСТ К2'!H46*СПРАВОЧНИК!$M$10+'ПЛАН ЧИСТ К2'!I46*СПРАВОЧНИК!$N$10+'ПЛАН ЧИСТ К2'!J46*СПРАВОЧНИК!$O$10+'ПЛАН ЧИСТ К2'!K46*СПРАВОЧНИК!$P$10)+СПРАВОЧНИК!$E$11*('ПЛАН ЧЕРН К2'!H46*СПРАВОЧНИК!$H$11+'ПЛАН ЧЕРН К2'!I46*СПРАВОЧНИК!$I$11+'ПЛАН ЧЕРН К2'!J46*СПРАВОЧНИК!$J$11)+СПРАВОЧНИК!$F$11*('ПЛАН ЧИСТ К2'!L46*СПРАВОЧНИК!$L$11+'ПЛАН ЧИСТ К2'!M46*СПРАВОЧНИК!$M$11+'ПЛАН ЧИСТ К2'!N46*СПРАВОЧНИК!$N$11+'ПЛАН ЧИСТ К2'!O46*СПРАВОЧНИК!$O$11+'ПЛАН ЧИСТ К2'!P46*СПРАВОЧНИК!$P$11)+СПРАВОЧНИК!$E$12*('ПЛАН ЧЕРН К2'!K46*СПРАВОЧНИК!$H$12+'ПЛАН ЧЕРН К2'!L46*СПРАВОЧНИК!$I$12+'ПЛАН ЧЕРН К2'!M46*СПРАВОЧНИК!$J$12)+СПРАВОЧНИК!$F$12*('ПЛАН ЧИСТ К2'!Q46*СПРАВОЧНИК!$L$12+'ПЛАН ЧИСТ К2'!R46*СПРАВОЧНИК!$M$12+'ПЛАН ЧИСТ К2'!S46*СПРАВОЧНИК!$N$12+'ПЛАН ЧИСТ К2'!T46*СПРАВОЧНИК!$O$12+'ПЛАН ЧИСТ К2'!U46*СПРАВОЧНИК!$P$12)+СПРАВОЧНИК!$E$13*('ПЛАН ЧЕРН К2'!N46*СПРАВОЧНИК!$H$13+'ПЛАН ЧЕРН К2'!O46*СПРАВОЧНИК!$I$13+'ПЛАН ЧЕРН К2'!P46*СПРАВОЧНИК!$J$13)+СПРАВОЧНИК!$F$13*('ПЛАН ЧИСТ К2'!V46*СПРАВОЧНИК!$L$13+'ПЛАН ЧИСТ К2'!W46*СПРАВОЧНИК!$M$13+'ПЛАН ЧИСТ К2'!X46*СПРАВОЧНИК!$N$13+'ПЛАН ЧИСТ К2'!Y46*СПРАВОЧНИК!$O$13+'ПЛАН ЧИСТ К2'!Z46*СПРАВОЧНИК!$P$13)+СПРАВОЧНИК!$E$14*('ПЛАН ЧЕРН К2'!Q46*СПРАВОЧНИК!$H$14+'ПЛАН ЧЕРН К2'!R46*СПРАВОЧНИК!$I$14+'ПЛАН ЧЕРН К2'!S46*СПРАВОЧНИК!$J$14)+СПРАВОЧНИК!$F$14*('ПЛАН ЧИСТ К2'!AA46*СПРАВОЧНИК!$L$14+'ПЛАН ЧИСТ К2'!AB46*СПРАВОЧНИК!$M$14+'ПЛАН ЧИСТ К2'!AC46*СПРАВОЧНИК!$N$14+'ПЛАН ЧИСТ К2'!AD46*СПРАВОЧНИК!$O$14+'ПЛАН ЧИСТ К2'!AE46*СПРАВОЧНИК!$P$14)+СПРАВОЧНИК!$E$15*('ПЛАН ЧЕРН К2'!T46*СПРАВОЧНИК!$H$15+'ПЛАН ЧЕРН К2'!U46*СПРАВОЧНИК!$I$15+'ПЛАН ЧЕРН К2'!V46*СПРАВОЧНИК!$J$15)+СПРАВОЧНИК!$F$15*('ПЛАН ЧИСТ К2'!AF46*СПРАВОЧНИК!$L$15+'ПЛАН ЧИСТ К2'!AG46*СПРАВОЧНИК!$M$15+'ПЛАН ЧИСТ К2'!AH46*СПРАВОЧНИК!$N$15+'ПЛАН ЧИСТ К2'!AI46*СПРАВОЧНИК!$O$15+'ПЛАН ЧИСТ К2'!AJ46*СПРАВОЧНИК!$P$15)</f>
        <v/>
      </c>
      <c r="AN55" s="31">
        <f>СПРАВОЧНИК!$E$9*('ФАКТ ЧЕРН К2'!B46*СПРАВОЧНИК!$H$9+'ФАКТ ЧЕРН К2'!C46*СПРАВОЧНИК!$I$9+'ФАКТ ЧЕРН К2'!D46*СПРАВОЧНИК!$J$9)+СПРАВОЧНИК!$F$9*('ФАКТ ЧИСТ К2'!B46*СПРАВОЧНИК!$L$9+'ФАКТ ЧИСТ К2'!C46*СПРАВОЧНИК!$M$9+'ФАКТ ЧИСТ К2'!D46*СПРАВОЧНИК!$N$9+'ФАКТ ЧИСТ К2'!E46*СПРАВОЧНИК!$O$9+'ФАКТ ЧИСТ К2'!F46*СПРАВОЧНИК!$P$9)+СПРАВОЧНИК!$E$10*('ФАКТ ЧЕРН К2'!E46*СПРАВОЧНИК!$H$10+'ФАКТ ЧЕРН К2'!F46*СПРАВОЧНИК!$I$10+'ФАКТ ЧЕРН К2'!G46*СПРАВОЧНИК!$J$10)+СПРАВОЧНИК!$F$10*('ФАКТ ЧИСТ К2'!G46*СПРАВОЧНИК!$L$10+'ФАКТ ЧИСТ К2'!H46*СПРАВОЧНИК!$M$10+'ФАКТ ЧИСТ К2'!I46*СПРАВОЧНИК!$N$10+'ФАКТ ЧИСТ К2'!J46*СПРАВОЧНИК!$O$10+'ФАКТ ЧИСТ К2'!K46*СПРАВОЧНИК!$P$10)+СПРАВОЧНИК!$E$11*('ФАКТ ЧЕРН К2'!H46*СПРАВОЧНИК!$H$11+'ФАКТ ЧЕРН К2'!I46*СПРАВОЧНИК!$I$11+'ФАКТ ЧЕРН К2'!J46*СПРАВОЧНИК!$J$11)+СПРАВОЧНИК!$F$11*('ФАКТ ЧИСТ К2'!L46*СПРАВОЧНИК!$L$11+'ФАКТ ЧИСТ К2'!M46*СПРАВОЧНИК!$M$11+'ФАКТ ЧИСТ К2'!N46*СПРАВОЧНИК!$N$11+'ФАКТ ЧИСТ К2'!O46*СПРАВОЧНИК!$O$11+'ФАКТ ЧИСТ К2'!P46*СПРАВОЧНИК!$P$11)+СПРАВОЧНИК!$E$12*('ФАКТ ЧЕРН К2'!K46*СПРАВОЧНИК!$H$12+'ФАКТ ЧЕРН К2'!L46*СПРАВОЧНИК!$I$12+'ФАКТ ЧЕРН К2'!M46*СПРАВОЧНИК!$J$12)+СПРАВОЧНИК!$F$12*('ФАКТ ЧИСТ К2'!Q46*СПРАВОЧНИК!$L$12+'ФАКТ ЧИСТ К2'!R46*СПРАВОЧНИК!$M$12+'ФАКТ ЧИСТ К2'!S46*СПРАВОЧНИК!$N$12+'ФАКТ ЧИСТ К2'!T46*СПРАВОЧНИК!$O$12+'ФАКТ ЧИСТ К2'!U46*СПРАВОЧНИК!$P$12)+СПРАВОЧНИК!$E$13*('ФАКТ ЧЕРН К2'!N46*СПРАВОЧНИК!$H$13+'ФАКТ ЧЕРН К2'!O46*СПРАВОЧНИК!$I$13+'ФАКТ ЧЕРН К2'!P46*СПРАВОЧНИК!$J$13)+СПРАВОЧНИК!$F$13*('ФАКТ ЧИСТ К2'!V46*СПРАВОЧНИК!$L$13+'ФАКТ ЧИСТ К2'!W46*СПРАВОЧНИК!$M$13+'ФАКТ ЧИСТ К2'!X46*СПРАВОЧНИК!$N$13+'ФАКТ ЧИСТ К2'!Y46*СПРАВОЧНИК!$O$13+'ФАКТ ЧИСТ К2'!Z46*СПРАВОЧНИК!$P$13)+СПРАВОЧНИК!$E$14*('ФАКТ ЧЕРН К2'!Q46*СПРАВОЧНИК!$H$14+'ФАКТ ЧЕРН К2'!R46*СПРАВОЧНИК!$I$14+'ФАКТ ЧЕРН К2'!S46*СПРАВОЧНИК!$J$14)+СПРАВОЧНИК!$F$14*('ФАКТ ЧИСТ К2'!AA46*СПРАВОЧНИК!$L$14+'ФАКТ ЧИСТ К2'!AB46*СПРАВОЧНИК!$M$14+'ФАКТ ЧИСТ К2'!AC46*СПРАВОЧНИК!$N$14+'ФАКТ ЧИСТ К2'!AD46*СПРАВОЧНИК!$O$14+'ФАКТ ЧИСТ К2'!AE46*СПРАВОЧНИК!$P$14)+СПРАВОЧНИК!$E$15*('ФАКТ ЧЕРН К2'!T46*СПРАВОЧНИК!$H$15+'ФАКТ ЧЕРН К2'!U46*СПРАВОЧНИК!$I$15+'ФАКТ ЧЕРН К2'!V46*СПРАВОЧНИК!$J$15)+СПРАВОЧНИК!$F$15*('ФАКТ ЧИСТ К2'!AF46*СПРАВОЧНИК!$L$15+'ФАКТ ЧИСТ К2'!AG46*СПРАВОЧНИК!$M$15+'ФАКТ ЧИСТ К2'!AH46*СПРАВОЧНИК!$N$15+'ФАКТ ЧИСТ К2'!AI46*СПРАВОЧНИК!$O$15+'ФАКТ ЧИСТ К2'!AJ46*СПРАВОЧНИК!$P$15)</f>
        <v/>
      </c>
      <c r="AO55" s="34" t="n"/>
      <c r="AR55" s="152">
        <f>AR54+7</f>
        <v/>
      </c>
      <c r="AS55" s="17">
        <f>'ПЛАН ЧЕРН К2'!B46*СПРАВОЧНИК!$H$9+'ПЛАН ЧЕРН К2'!C46*СПРАВОЧНИК!$I$9+'ПЛАН ЧЕРН К2'!D46*СПРАВОЧНИК!$J$9+'ПЛАН ЧЕРН К2'!E46*СПРАВОЧНИК!$H$10+'ПЛАН ЧЕРН К2'!F46*СПРАВОЧНИК!$I$10+'ПЛАН ЧЕРН К2'!G46*СПРАВОЧНИК!$J$10+'ПЛАН ЧЕРН К2'!H46*СПРАВОЧНИК!$H$11+'ПЛАН ЧЕРН К2'!I46*СПРАВОЧНИК!$I$11+'ПЛАН ЧЕРН К2'!J46*СПРАВОЧНИК!$J$11+'ПЛАН ЧЕРН К2'!K46*СПРАВОЧНИК!$H$12+'ПЛАН ЧЕРН К2'!L46*СПРАВОЧНИК!$I$12+'ПЛАН ЧЕРН К2'!M46*СПРАВОЧНИК!$J$12+'ПЛАН ЧЕРН К2'!N46*СПРАВОЧНИК!$H$13+'ПЛАН ЧЕРН К2'!O46*СПРАВОЧНИК!$I$13+'ПЛАН ЧЕРН К2'!P46*СПРАВОЧНИК!$J$13+'ПЛАН ЧЕРН К2'!Q46*СПРАВОЧНИК!$H$14+'ПЛАН ЧЕРН К2'!R46*СПРАВОЧНИК!$I$14+'ПЛАН ЧЕРН К2'!S46*СПРАВОЧНИК!$J$14+'ПЛАН ЧЕРН К2'!T46*СПРАВОЧНИК!$H$15+'ПЛАН ЧЕРН К2'!U46*СПРАВОЧНИК!$I$15+'ПЛАН ЧЕРН К2'!V46*СПРАВОЧНИК!$J$15</f>
        <v/>
      </c>
      <c r="AT55" s="31">
        <f>('ФАКТ ЧЕРН К2'!B46)*СПРАВОЧНИК!$H$9+('ФАКТ ЧЕРН К2'!C46)*СПРАВОЧНИК!$I$9+('ФАКТ ЧЕРН К2'!D46)*СПРАВОЧНИК!$J$9+('ФАКТ ЧЕРН К2'!E46)*СПРАВОЧНИК!$H$10+('ФАКТ ЧЕРН К2'!F46)*СПРАВОЧНИК!$I$10+('ФАКТ ЧЕРН К2'!G46)*СПРАВОЧНИК!$J$10+('ФАКТ ЧЕРН К2'!H46)*СПРАВОЧНИК!$H$11+('ФАКТ ЧЕРН К2'!I46)*СПРАВОЧНИК!$I$11+('ФАКТ ЧЕРН К2'!J46)*СПРАВОЧНИК!$J$11+('ФАКТ ЧЕРН К2'!K46)*СПРАВОЧНИК!$H$12+('ФАКТ ЧЕРН К2'!L46)*СПРАВОЧНИК!$I$12+('ФАКТ ЧЕРН К2'!M46)*СПРАВОЧНИК!$J$12+('ФАКТ ЧЕРН К2'!N46)*СПРАВОЧНИК!$H$13+('ФАКТ ЧЕРН К2'!O46)*СПРАВОЧНИК!$I$13+('ФАКТ ЧЕРН К2'!P46)*СПРАВОЧНИК!$J$13+('ФАКТ ЧЕРН К2'!Q46)*СПРАВОЧНИК!$H$14+('ФАКТ ЧЕРН К2'!R46)*СПРАВОЧНИК!$I$14+('ФАКТ ЧЕРН К2'!S46)*СПРАВОЧНИК!$J$14+('ФАКТ ЧЕРН К2'!T46)*СПРАВОЧНИК!$H$15+('ФАКТ ЧЕРН К2'!U46)*СПРАВОЧНИК!$I$15+('ФАКТ ЧЕРН К2'!V46)*СПРАВОЧНИК!$J$15</f>
        <v/>
      </c>
      <c r="AU55" s="34" t="n"/>
      <c r="AX55" s="152">
        <f>AX54+7</f>
        <v/>
      </c>
      <c r="AY55" s="17">
        <f>'ПЛАН ЧИСТ К2'!B46*СПРАВОЧНИК!$L$9+'ПЛАН ЧИСТ К2'!C46*СПРАВОЧНИК!$M$9+'ПЛАН ЧИСТ К2'!D46*СПРАВОЧНИК!$N$9+'ПЛАН ЧИСТ К2'!E46*СПРАВОЧНИК!$O$9+'ПЛАН ЧИСТ К2'!F46*СПРАВОЧНИК!$P$9+'ПЛАН ЧИСТ К2'!G46*СПРАВОЧНИК!$L$10+'ПЛАН ЧИСТ К2'!H46*СПРАВОЧНИК!$M$10+'ПЛАН ЧИСТ К2'!I46*СПРАВОЧНИК!$N$10+'ПЛАН ЧИСТ К2'!J46*СПРАВОЧНИК!$O$10+'ПЛАН ЧИСТ К2'!K46*СПРАВОЧНИК!$P$10+'ПЛАН ЧИСТ К2'!L46*СПРАВОЧНИК!$L$11+'ПЛАН ЧИСТ К2'!M46*СПРАВОЧНИК!$M$11+'ПЛАН ЧИСТ К2'!N46*СПРАВОЧНИК!$N$11+'ПЛАН ЧИСТ К2'!O46*СПРАВОЧНИК!$O$11+'ПЛАН ЧИСТ К2'!P46*СПРАВОЧНИК!$P$11+'ПЛАН ЧИСТ К2'!Q46*СПРАВОЧНИК!$L$12+'ПЛАН ЧИСТ К2'!R46*СПРАВОЧНИК!$M$12+'ПЛАН ЧИСТ К2'!S46*СПРАВОЧНИК!$N$12+'ПЛАН ЧИСТ К2'!T46*СПРАВОЧНИК!$O$12+'ПЛАН ЧИСТ К2'!U46*СПРАВОЧНИК!$P$12+'ПЛАН ЧИСТ К2'!V46*СПРАВОЧНИК!$L$13+'ПЛАН ЧИСТ К2'!W46*СПРАВОЧНИК!$M$13+'ПЛАН ЧИСТ К2'!X46*СПРАВОЧНИК!$N$13+'ПЛАН ЧИСТ К2'!Y46*СПРАВОЧНИК!$O$13+'ПЛАН ЧИСТ К2'!Z46*СПРАВОЧНИК!$P$13+'ПЛАН ЧИСТ К2'!AA46*СПРАВОЧНИК!$L$14+'ПЛАН ЧИСТ К2'!AB46*СПРАВОЧНИК!$M$14+'ПЛАН ЧИСТ К2'!AC46*СПРАВОЧНИК!$N$14+'ПЛАН ЧИСТ К2'!AD46*СПРАВОЧНИК!$O$14+'ПЛАН ЧИСТ К2'!AE46*СПРАВОЧНИК!$P$14+'ПЛАН ЧИСТ К2'!AF46*СПРАВОЧНИК!$L$15+'ПЛАН ЧИСТ К2'!AG46*СПРАВОЧНИК!$M$15+'ПЛАН ЧИСТ К2'!AH46*СПРАВОЧНИК!$N$15+'ПЛАН ЧИСТ К2'!AI46*СПРАВОЧНИК!$O$15+'ПЛАН ЧИСТ К2'!AJ46*СПРАВОЧНИК!$P$15</f>
        <v/>
      </c>
      <c r="AZ55" s="31">
        <f>('ФАКТ ЧИСТ К2'!B46)*СПРАВОЧНИК!$L$9+('ФАКТ ЧИСТ К2'!C46)*СПРАВОЧНИК!$M$9+('ФАКТ ЧИСТ К2'!D46)*СПРАВОЧНИК!$N$9+('ФАКТ ЧИСТ К2'!E46)*СПРАВОЧНИК!$O$9+('ФАКТ ЧИСТ К2'!F46)*СПРАВОЧНИК!$P$9+('ФАКТ ЧИСТ К2'!G46)*СПРАВОЧНИК!$L$10+('ФАКТ ЧИСТ К2'!H46)*СПРАВОЧНИК!$M$10+('ФАКТ ЧИСТ К2'!I46)*СПРАВОЧНИК!$N$10+('ФАКТ ЧИСТ К2'!J46)*СПРАВОЧНИК!$O$10+('ФАКТ ЧИСТ К2'!K46)*СПРАВОЧНИК!$P$10+('ФАКТ ЧИСТ К2'!L46)*СПРАВОЧНИК!$L$11+('ФАКТ ЧИСТ К2'!M46)*СПРАВОЧНИК!$M$11+('ФАКТ ЧИСТ К2'!N46)*СПРАВОЧНИК!$N$11+('ФАКТ ЧИСТ К2'!O46)*СПРАВОЧНИК!$O$11+('ФАКТ ЧИСТ К2'!P46)*СПРАВОЧНИК!$P$11+('ФАКТ ЧИСТ К2'!Q46)*СПРАВОЧНИК!$L$12+('ФАКТ ЧИСТ К2'!R46)*СПРАВОЧНИК!$M$12+('ФАКТ ЧИСТ К2'!S46)*СПРАВОЧНИК!$N$12+('ФАКТ ЧИСТ К2'!T46)*СПРАВОЧНИК!$O$12+('ФАКТ ЧИСТ К2'!U46)*СПРАВОЧНИК!$P$12+('ФАКТ ЧИСТ К2'!V46)*СПРАВОЧНИК!$L$13+('ФАКТ ЧИСТ К2'!W46)*СПРАВОЧНИК!$M$13+('ФАКТ ЧИСТ К2'!X46)*СПРАВОЧНИК!$N$13+('ФАКТ ЧИСТ К2'!Y46)*СПРАВОЧНИК!$O$13+('ФАКТ ЧИСТ К2'!Z46)*СПРАВОЧНИК!$P$13+('ФАКТ ЧИСТ К2'!AA46)*СПРАВОЧНИК!$L$14+('ФАКТ ЧИСТ К2'!AB46)*СПРАВОЧНИК!$M$14+('ФАКТ ЧИСТ К2'!AC46)*СПРАВОЧНИК!$N$14+('ФАКТ ЧИСТ К2'!AD46)*СПРАВОЧНИК!$O$14+('ФАКТ ЧИСТ К2'!AE46)*СПРАВОЧНИК!$P$14+('ФАКТ ЧИСТ К2'!AF46)*СПРАВОЧНИК!$L$15+('ФАКТ ЧИСТ К2'!AG46)*СПРАВОЧНИК!$M$15+('ФАКТ ЧИСТ К2'!AH46)*СПРАВОЧНИК!$N$15+('ФАКТ ЧИСТ К2'!AI46)*СПРАВОЧНИК!$O$15+('ФАКТ ЧИСТ К2'!AJ46)*СПРАВОЧНИК!$P$15</f>
        <v/>
      </c>
      <c r="BA55" s="34" t="n"/>
      <c r="BD55" s="152">
        <f>BD54+7</f>
        <v/>
      </c>
      <c r="BE55" s="17">
        <f>СПРАВОЧНИК!$E$9*('ПЛАН ЧЕРН К3'!B46*СПРАВОЧНИК!$H$9+'ПЛАН ЧЕРН К3'!C46*СПРАВОЧНИК!$I$9+'ПЛАН ЧЕРН К3'!D46*СПРАВОЧНИК!$J$9)+СПРАВОЧНИК!$F$9*('ПЛАН ЧИСТ К3'!B46*СПРАВОЧНИК!$L$9+'ПЛАН ЧИСТ К3'!C46*СПРАВОЧНИК!$M$9+'ПЛАН ЧИСТ К3'!D46*СПРАВОЧНИК!$N$9+'ПЛАН ЧИСТ К3'!E46*СПРАВОЧНИК!$O$9+'ПЛАН ЧИСТ К3'!F46*СПРАВОЧНИК!$P$9)+СПРАВОЧНИК!$E$10*('ПЛАН ЧЕРН К3'!E46*СПРАВОЧНИК!$H$10+'ПЛАН ЧЕРН К3'!F46*СПРАВОЧНИК!$I$10+'ПЛАН ЧЕРН К3'!G46*СПРАВОЧНИК!$J$10)+СПРАВОЧНИК!$F$10*('ПЛАН ЧИСТ К3'!G46*СПРАВОЧНИК!$L$10+'ПЛАН ЧИСТ К3'!H46*СПРАВОЧНИК!$M$10+'ПЛАН ЧИСТ К3'!I46*СПРАВОЧНИК!$N$10+'ПЛАН ЧИСТ К3'!J46*СПРАВОЧНИК!$O$10+'ПЛАН ЧИСТ К3'!K46*СПРАВОЧНИК!$P$10)+СПРАВОЧНИК!$E$11*('ПЛАН ЧЕРН К3'!H46*СПРАВОЧНИК!$H$11+'ПЛАН ЧЕРН К3'!I46*СПРАВОЧНИК!$I$11+'ПЛАН ЧЕРН К3'!J46*СПРАВОЧНИК!$J$11)+СПРАВОЧНИК!$F$11*('ПЛАН ЧИСТ К3'!L46*СПРАВОЧНИК!$L$11+'ПЛАН ЧИСТ К3'!M46*СПРАВОЧНИК!$M$11+'ПЛАН ЧИСТ К3'!N46*СПРАВОЧНИК!$N$11+'ПЛАН ЧИСТ К3'!O46*СПРАВОЧНИК!$O$11+'ПЛАН ЧИСТ К3'!P46*СПРАВОЧНИК!$P$11)+СПРАВОЧНИК!$E$12*('ПЛАН ЧЕРН К3'!K46*СПРАВОЧНИК!$H$12+'ПЛАН ЧЕРН К3'!L46*СПРАВОЧНИК!$I$12+'ПЛАН ЧЕРН К3'!M46*СПРАВОЧНИК!$J$12)+СПРАВОЧНИК!$F$12*('ПЛАН ЧИСТ К3'!Q46*СПРАВОЧНИК!$L$12+'ПЛАН ЧИСТ К3'!R46*СПРАВОЧНИК!$M$12+'ПЛАН ЧИСТ К3'!S46*СПРАВОЧНИК!$N$12+'ПЛАН ЧИСТ К3'!T46*СПРАВОЧНИК!$O$12+'ПЛАН ЧИСТ К3'!U46*СПРАВОЧНИК!$P$12)+СПРАВОЧНИК!$E$13*('ПЛАН ЧЕРН К3'!N46*СПРАВОЧНИК!$H$13+'ПЛАН ЧЕРН К3'!O46*СПРАВОЧНИК!$I$13+'ПЛАН ЧЕРН К3'!P46*СПРАВОЧНИК!$J$13)+СПРАВОЧНИК!$F$13*('ПЛАН ЧИСТ К3'!V46*СПРАВОЧНИК!$L$13+'ПЛАН ЧИСТ К3'!W46*СПРАВОЧНИК!$M$13+'ПЛАН ЧИСТ К3'!X46*СПРАВОЧНИК!$N$13+'ПЛАН ЧИСТ К3'!Y46*СПРАВОЧНИК!$O$13+'ПЛАН ЧИСТ К3'!Z46*СПРАВОЧНИК!$P$13)+СПРАВОЧНИК!$E$14*('ПЛАН ЧЕРН К3'!Q46*СПРАВОЧНИК!$H$14+'ПЛАН ЧЕРН К3'!R46*СПРАВОЧНИК!$I$14+'ПЛАН ЧЕРН К3'!S46*СПРАВОЧНИК!$J$14)+СПРАВОЧНИК!$F$14*('ПЛАН ЧИСТ К3'!AA46*СПРАВОЧНИК!$L$14+'ПЛАН ЧИСТ К3'!AB46*СПРАВОЧНИК!$M$14+'ПЛАН ЧИСТ К3'!AC46*СПРАВОЧНИК!$N$14+'ПЛАН ЧИСТ К3'!AD46*СПРАВОЧНИК!$O$14+'ПЛАН ЧИСТ К3'!AE46*СПРАВОЧНИК!$P$14)+СПРАВОЧНИК!$E$15*('ПЛАН ЧЕРН К3'!T46*СПРАВОЧНИК!$H$15+'ПЛАН ЧЕРН К3'!U46*СПРАВОЧНИК!$I$15+'ПЛАН ЧЕРН К3'!V46*СПРАВОЧНИК!$J$15)+СПРАВОЧНИК!$F$15*('ПЛАН ЧИСТ К3'!AF46*СПРАВОЧНИК!$L$15+'ПЛАН ЧИСТ К3'!AG46*СПРАВОЧНИК!$M$15+'ПЛАН ЧИСТ К3'!AH46*СПРАВОЧНИК!$N$15+'ПЛАН ЧИСТ К3'!AI46*СПРАВОЧНИК!$O$15+'ПЛАН ЧИСТ К3'!AJ46*СПРАВОЧНИК!$P$15)</f>
        <v/>
      </c>
      <c r="BF55" s="31">
        <f>СПРАВОЧНИК!$E$9*('ФАКТ ЧЕРН К3'!B46*СПРАВОЧНИК!$H$9+'ФАКТ ЧЕРН К3'!C46*СПРАВОЧНИК!$I$9+'ФАКТ ЧЕРН К3'!D46*СПРАВОЧНИК!$J$9)+СПРАВОЧНИК!$F$9*('ФАКТ ЧИСТ К3'!B46*СПРАВОЧНИК!$L$9+'ФАКТ ЧИСТ К3'!C46*СПРАВОЧНИК!$M$9+'ФАКТ ЧИСТ К3'!D46*СПРАВОЧНИК!$N$9+'ФАКТ ЧИСТ К3'!E46*СПРАВОЧНИК!$O$9+'ФАКТ ЧИСТ К3'!F46*СПРАВОЧНИК!$P$9)+СПРАВОЧНИК!$E$10*('ФАКТ ЧЕРН К3'!E46*СПРАВОЧНИК!$H$10+'ФАКТ ЧЕРН К3'!F46*СПРАВОЧНИК!$I$10+'ФАКТ ЧЕРН К3'!G46*СПРАВОЧНИК!$J$10)+СПРАВОЧНИК!$F$10*('ФАКТ ЧИСТ К3'!G46*СПРАВОЧНИК!$L$10+'ФАКТ ЧИСТ К3'!H46*СПРАВОЧНИК!$M$10+'ФАКТ ЧИСТ К3'!I46*СПРАВОЧНИК!$N$10+'ФАКТ ЧИСТ К3'!J46*СПРАВОЧНИК!$O$10+'ФАКТ ЧИСТ К3'!K46*СПРАВОЧНИК!$P$10)+СПРАВОЧНИК!$E$11*('ФАКТ ЧЕРН К3'!H46*СПРАВОЧНИК!$H$11+'ФАКТ ЧЕРН К3'!I46*СПРАВОЧНИК!$I$11+'ФАКТ ЧЕРН К3'!J46*СПРАВОЧНИК!$J$11)+СПРАВОЧНИК!$F$11*('ФАКТ ЧИСТ К3'!L46*СПРАВОЧНИК!$L$11+'ФАКТ ЧИСТ К3'!M46*СПРАВОЧНИК!$M$11+'ФАКТ ЧИСТ К3'!N46*СПРАВОЧНИК!$N$11+'ФАКТ ЧИСТ К3'!O46*СПРАВОЧНИК!$O$11+'ФАКТ ЧИСТ К3'!P46*СПРАВОЧНИК!$P$11)+СПРАВОЧНИК!$E$12*('ФАКТ ЧЕРН К3'!K46*СПРАВОЧНИК!$H$12+'ФАКТ ЧЕРН К3'!L46*СПРАВОЧНИК!$I$12+'ФАКТ ЧЕРН К3'!M46*СПРАВОЧНИК!$J$12)+СПРАВОЧНИК!$F$12*('ФАКТ ЧИСТ К3'!Q46*СПРАВОЧНИК!$L$12+'ФАКТ ЧИСТ К3'!R46*СПРАВОЧНИК!$M$12+'ФАКТ ЧИСТ К3'!S46*СПРАВОЧНИК!$N$12+'ФАКТ ЧИСТ К3'!T46*СПРАВОЧНИК!$O$12+'ФАКТ ЧИСТ К3'!U46*СПРАВОЧНИК!$P$12)+СПРАВОЧНИК!$E$13*('ФАКТ ЧЕРН К3'!N46*СПРАВОЧНИК!$H$13+'ФАКТ ЧЕРН К3'!O46*СПРАВОЧНИК!$I$13+'ФАКТ ЧЕРН К3'!P46*СПРАВОЧНИК!$J$13)+СПРАВОЧНИК!$F$13*('ФАКТ ЧИСТ К3'!V46*СПРАВОЧНИК!$L$13+'ФАКТ ЧИСТ К3'!W46*СПРАВОЧНИК!$M$13+'ФАКТ ЧИСТ К3'!X46*СПРАВОЧНИК!$N$13+'ФАКТ ЧИСТ К3'!Y46*СПРАВОЧНИК!$O$13+'ФАКТ ЧИСТ К3'!Z46*СПРАВОЧНИК!$P$13)+СПРАВОЧНИК!$E$14*('ФАКТ ЧЕРН К3'!Q46*СПРАВОЧНИК!$H$14+'ФАКТ ЧЕРН К3'!R46*СПРАВОЧНИК!$I$14+'ФАКТ ЧЕРН К3'!S46*СПРАВОЧНИК!$J$14)+СПРАВОЧНИК!$F$14*('ФАКТ ЧИСТ К3'!AA46*СПРАВОЧНИК!$L$14+'ФАКТ ЧИСТ К3'!AB46*СПРАВОЧНИК!$M$14+'ФАКТ ЧИСТ К3'!AC46*СПРАВОЧНИК!$N$14+'ФАКТ ЧИСТ К3'!AD46*СПРАВОЧНИК!$O$14+'ФАКТ ЧИСТ К3'!AE46*СПРАВОЧНИК!$P$14)+СПРАВОЧНИК!$E$15*('ФАКТ ЧЕРН К3'!T46*СПРАВОЧНИК!$H$15+'ФАКТ ЧЕРН К3'!U46*СПРАВОЧНИК!$I$15+'ФАКТ ЧЕРН К3'!V46*СПРАВОЧНИК!$J$15)+СПРАВОЧНИК!$F$15*('ФАКТ ЧИСТ К3'!AF46*СПРАВОЧНИК!$L$15+'ФАКТ ЧИСТ К3'!AG46*СПРАВОЧНИК!$M$15+'ФАКТ ЧИСТ К3'!AH46*СПРАВОЧНИК!$N$15+'ФАКТ ЧИСТ К3'!AI46*СПРАВОЧНИК!$O$15+'ФАКТ ЧИСТ К3'!AJ46*СПРАВОЧНИК!$P$15)</f>
        <v/>
      </c>
      <c r="BG55" s="34" t="n"/>
      <c r="BJ55" s="152">
        <f>BJ54+7</f>
        <v/>
      </c>
      <c r="BK55" s="17">
        <f>'ПЛАН ЧЕРН К3'!B46*СПРАВОЧНИК!$H$9+'ПЛАН ЧЕРН К3'!C46*СПРАВОЧНИК!$I$9+'ПЛАН ЧЕРН К3'!D46*СПРАВОЧНИК!$J$9+'ПЛАН ЧЕРН К3'!E46*СПРАВОЧНИК!$H$10+'ПЛАН ЧЕРН К3'!F46*СПРАВОЧНИК!$I$10+'ПЛАН ЧЕРН К3'!G46*СПРАВОЧНИК!$J$10+'ПЛАН ЧЕРН К3'!H46*СПРАВОЧНИК!$H$11+'ПЛАН ЧЕРН К3'!I46*СПРАВОЧНИК!$I$11+'ПЛАН ЧЕРН К3'!J46*СПРАВОЧНИК!$J$11+'ПЛАН ЧЕРН К3'!K46*СПРАВОЧНИК!$H$12+'ПЛАН ЧЕРН К3'!L46*СПРАВОЧНИК!$I$12+'ПЛАН ЧЕРН К3'!M46*СПРАВОЧНИК!$J$12+'ПЛАН ЧЕРН К3'!N46*СПРАВОЧНИК!$H$13+'ПЛАН ЧЕРН К3'!O46*СПРАВОЧНИК!$I$13+'ПЛАН ЧЕРН К3'!P46*СПРАВОЧНИК!$J$13+'ПЛАН ЧЕРН К3'!Q46*СПРАВОЧНИК!$H$14+'ПЛАН ЧЕРН К3'!R46*СПРАВОЧНИК!$I$14+'ПЛАН ЧЕРН К3'!S46*СПРАВОЧНИК!$J$14+'ПЛАН ЧЕРН К3'!T46*СПРАВОЧНИК!$H$15+'ПЛАН ЧЕРН К3'!U46*СПРАВОЧНИК!$I$15+'ПЛАН ЧЕРН К3'!V46*СПРАВОЧНИК!$J$15</f>
        <v/>
      </c>
      <c r="BL55" s="31">
        <f>('ФАКТ ЧЕРН К3'!B46)*СПРАВОЧНИК!$H$9+('ФАКТ ЧЕРН К3'!C46)*СПРАВОЧНИК!$I$9+('ФАКТ ЧЕРН К3'!D46)*СПРАВОЧНИК!$J$9+('ФАКТ ЧЕРН К3'!E46)*СПРАВОЧНИК!$H$10+('ФАКТ ЧЕРН К3'!F46)*СПРАВОЧНИК!$I$10+('ФАКТ ЧЕРН К3'!G46)*СПРАВОЧНИК!$J$10+('ФАКТ ЧЕРН К3'!H46)*СПРАВОЧНИК!$H$11+('ФАКТ ЧЕРН К3'!I46)*СПРАВОЧНИК!$I$11+('ФАКТ ЧЕРН К3'!J46)*СПРАВОЧНИК!$J$11+('ФАКТ ЧЕРН К3'!K46)*СПРАВОЧНИК!$H$12+('ФАКТ ЧЕРН К3'!L46)*СПРАВОЧНИК!$I$12+('ФАКТ ЧЕРН К3'!M46)*СПРАВОЧНИК!$J$12+('ФАКТ ЧЕРН К3'!N46)*СПРАВОЧНИК!$H$13+('ФАКТ ЧЕРН К3'!O46)*СПРАВОЧНИК!$I$13+('ФАКТ ЧЕРН К3'!P46)*СПРАВОЧНИК!$J$13+('ФАКТ ЧЕРН К3'!Q46)*СПРАВОЧНИК!$H$14+('ФАКТ ЧЕРН К3'!R46)*СПРАВОЧНИК!$I$14+('ФАКТ ЧЕРН К3'!S46)*СПРАВОЧНИК!$J$14+('ФАКТ ЧЕРН К3'!T46)*СПРАВОЧНИК!$H$15+('ФАКТ ЧЕРН К3'!U46)*СПРАВОЧНИК!$I$15+('ФАКТ ЧЕРН К3'!V46)*СПРАВОЧНИК!$J$15</f>
        <v/>
      </c>
      <c r="BM55" s="34" t="n"/>
      <c r="BP55" s="152">
        <f>BP54+7</f>
        <v/>
      </c>
      <c r="BQ55" s="17">
        <f>'ПЛАН ЧИСТ К3'!B46*СПРАВОЧНИК!$L$9+'ПЛАН ЧИСТ К3'!C46*СПРАВОЧНИК!$M$9+'ПЛАН ЧИСТ К3'!D46*СПРАВОЧНИК!$N$9+'ПЛАН ЧИСТ К3'!E46*СПРАВОЧНИК!$O$9+'ПЛАН ЧИСТ К3'!F46*СПРАВОЧНИК!$P$9+'ПЛАН ЧИСТ К3'!G46*СПРАВОЧНИК!$L$10+'ПЛАН ЧИСТ К3'!H46*СПРАВОЧНИК!$M$10+'ПЛАН ЧИСТ К3'!I46*СПРАВОЧНИК!$N$10+'ПЛАН ЧИСТ К3'!J46*СПРАВОЧНИК!$O$10+'ПЛАН ЧИСТ К3'!K46*СПРАВОЧНИК!$P$10+'ПЛАН ЧИСТ К3'!L46*СПРАВОЧНИК!$L$11+'ПЛАН ЧИСТ К3'!M46*СПРАВОЧНИК!$M$11+'ПЛАН ЧИСТ К3'!N46*СПРАВОЧНИК!$N$11+'ПЛАН ЧИСТ К3'!O46*СПРАВОЧНИК!$O$11+'ПЛАН ЧИСТ К3'!P46*СПРАВОЧНИК!$P$11+'ПЛАН ЧИСТ К3'!Q46*СПРАВОЧНИК!$L$12+'ПЛАН ЧИСТ К3'!R46*СПРАВОЧНИК!$M$12+'ПЛАН ЧИСТ К3'!S46*СПРАВОЧНИК!$N$12+'ПЛАН ЧИСТ К3'!T46*СПРАВОЧНИК!$O$12+'ПЛАН ЧИСТ К3'!U46*СПРАВОЧНИК!$P$12+'ПЛАН ЧИСТ К3'!V46*СПРАВОЧНИК!$L$13+'ПЛАН ЧИСТ К3'!W46*СПРАВОЧНИК!$M$13+'ПЛАН ЧИСТ К3'!X46*СПРАВОЧНИК!$N$13+'ПЛАН ЧИСТ К3'!Y46*СПРАВОЧНИК!$O$13+'ПЛАН ЧИСТ К3'!Z46*СПРАВОЧНИК!$P$13+'ПЛАН ЧИСТ К3'!AA46*СПРАВОЧНИК!$L$14+'ПЛАН ЧИСТ К3'!AB46*СПРАВОЧНИК!$M$14+'ПЛАН ЧИСТ К3'!AC46*СПРАВОЧНИК!$N$14+'ПЛАН ЧИСТ К3'!AD46*СПРАВОЧНИК!$O$14+'ПЛАН ЧИСТ К3'!AE46*СПРАВОЧНИК!$P$14+'ПЛАН ЧИСТ К3'!AF46*СПРАВОЧНИК!$L$15+'ПЛАН ЧИСТ К3'!AG46*СПРАВОЧНИК!$M$15+'ПЛАН ЧИСТ К3'!AH46*СПРАВОЧНИК!$N$15+'ПЛАН ЧИСТ К3'!AI46*СПРАВОЧНИК!$O$15+'ПЛАН ЧИСТ К3'!AJ46*СПРАВОЧНИК!$P$15</f>
        <v/>
      </c>
      <c r="BR55" s="31">
        <f>('ФАКТ ЧИСТ К3'!B46)*СПРАВОЧНИК!$L$9+('ФАКТ ЧИСТ К3'!C46)*СПРАВОЧНИК!$M$9+('ФАКТ ЧИСТ К3'!D46)*СПРАВОЧНИК!$N$9+('ФАКТ ЧИСТ К3'!E46)*СПРАВОЧНИК!$O$9+('ФАКТ ЧИСТ К3'!F46)*СПРАВОЧНИК!$P$9+('ФАКТ ЧИСТ К3'!G46)*СПРАВОЧНИК!$L$10+('ФАКТ ЧИСТ К3'!H46)*СПРАВОЧНИК!$M$10+('ФАКТ ЧИСТ К3'!I46)*СПРАВОЧНИК!$N$10+('ФАКТ ЧИСТ К3'!J46)*СПРАВОЧНИК!$O$10+('ФАКТ ЧИСТ К3'!K46)*СПРАВОЧНИК!$P$10+('ФАКТ ЧИСТ К3'!L46)*СПРАВОЧНИК!$L$11+('ФАКТ ЧИСТ К3'!M46)*СПРАВОЧНИК!$M$11+('ФАКТ ЧИСТ К3'!N46)*СПРАВОЧНИК!$N$11+('ФАКТ ЧИСТ К3'!O46)*СПРАВОЧНИК!$O$11+('ФАКТ ЧИСТ К3'!P46)*СПРАВОЧНИК!$P$11+('ФАКТ ЧИСТ К3'!Q46)*СПРАВОЧНИК!$L$12+('ФАКТ ЧИСТ К3'!R46)*СПРАВОЧНИК!$M$12+('ФАКТ ЧИСТ К3'!S46)*СПРАВОЧНИК!$N$12+('ФАКТ ЧИСТ К3'!T46)*СПРАВОЧНИК!$O$12+('ФАКТ ЧИСТ К3'!U46)*СПРАВОЧНИК!$P$12+('ФАКТ ЧИСТ К3'!V46)*СПРАВОЧНИК!$L$13+('ФАКТ ЧИСТ К3'!W46)*СПРАВОЧНИК!$M$13+('ФАКТ ЧИСТ К3'!X46)*СПРАВОЧНИК!$N$13+('ФАКТ ЧИСТ К3'!Y46)*СПРАВОЧНИК!$O$13+('ФАКТ ЧИСТ К3'!Z46)*СПРАВОЧНИК!$P$13+('ФАКТ ЧИСТ К3'!AA46)*СПРАВОЧНИК!$L$14+('ФАКТ ЧИСТ К3'!AB46)*СПРАВОЧНИК!$M$14+('ФАКТ ЧИСТ К3'!AC46)*СПРАВОЧНИК!$N$14+('ФАКТ ЧИСТ К3'!AD46)*СПРАВОЧНИК!$O$14+('ФАКТ ЧИСТ К3'!AE46)*СПРАВОЧНИК!$P$14+('ФАКТ ЧИСТ К3'!AF46)*СПРАВОЧНИК!$L$15+('ФАКТ ЧИСТ К3'!AG46)*СПРАВОЧНИК!$M$15+('ФАКТ ЧИСТ К3'!AH46)*СПРАВОЧНИК!$N$15+('ФАКТ ЧИСТ К3'!AI46)*СПРАВОЧНИК!$O$15+('ФАКТ ЧИСТ К3'!AJ46)*СПРАВОЧНИК!$P$15</f>
        <v/>
      </c>
      <c r="BS55" s="34" t="n"/>
      <c r="BV55" s="152">
        <f>BV54+7</f>
        <v/>
      </c>
      <c r="BW55" s="17">
        <f>U55*СПРАВОЧНИК!$K$28+AM55*СПРАВОЧНИК!$K$29+BE55*СПРАВОЧНИК!$K$30</f>
        <v/>
      </c>
      <c r="BX55" s="31">
        <f>V55*СПРАВОЧНИК!$K$28+AN55*СПРАВОЧНИК!$K$29+BF55*СПРАВОЧНИК!$K$30</f>
        <v/>
      </c>
      <c r="BY55" s="34" t="n"/>
      <c r="CB55" s="152">
        <f>CB54+7</f>
        <v/>
      </c>
      <c r="CC55" s="17">
        <f>AA55*СПРАВОЧНИК!$K$28+AS55*СПРАВОЧНИК!$K$29+BK55*СПРАВОЧНИК!$K$30</f>
        <v/>
      </c>
      <c r="CD55" s="31">
        <f>AB55*СПРАВОЧНИК!$K$28+AT55*СПРАВОЧНИК!$K$29+BL55*СПРАВОЧНИК!$K$30</f>
        <v/>
      </c>
      <c r="CE55" s="34" t="n"/>
      <c r="CH55" s="152">
        <f>CH54+7</f>
        <v/>
      </c>
      <c r="CI55" s="17">
        <f>AG55*СПРАВОЧНИК!$K$28+AY55*СПРАВОЧНИК!$K$29+BQ55*СПРАВОЧНИК!$K$30</f>
        <v/>
      </c>
      <c r="CJ55" s="31">
        <f>AH55*СПРАВОЧНИК!$K$28+AZ55*СПРАВОЧНИК!$K$29+BR55*СПРАВОЧНИК!$K$30</f>
        <v/>
      </c>
      <c r="CK55" s="34" t="n"/>
      <c r="CN55" s="152">
        <f>CN54+7</f>
        <v/>
      </c>
      <c r="CO55" s="17">
        <f>C55*СПРАВОЧНИК!$W$18+BW55*СПРАВОЧНИК!$W$19</f>
        <v/>
      </c>
      <c r="CP55" s="31">
        <f>D55*СПРАВОЧНИК!$W$18+BX55*СПРАВОЧНИК!$W$19</f>
        <v/>
      </c>
      <c r="CQ55" s="34" t="n"/>
      <c r="CT55" s="152">
        <f>CT54+7</f>
        <v/>
      </c>
      <c r="CU55" s="17">
        <f>I55*СПРАВОЧНИК!$W$18+CC55*СПРАВОЧНИК!$W$19</f>
        <v/>
      </c>
      <c r="CV55" s="31">
        <f>J55*СПРАВОЧНИК!$W$18+CD55*СПРАВОЧНИК!$W$19</f>
        <v/>
      </c>
      <c r="CW55" s="34" t="n"/>
      <c r="CZ55" s="152">
        <f>CZ54+7</f>
        <v/>
      </c>
      <c r="DA55" s="17">
        <f>O55*СПРАВОЧНИК!$W$18+CI55*СПРАВОЧНИК!$W$19</f>
        <v/>
      </c>
      <c r="DB55" s="31">
        <f>P55*СПРАВОЧНИК!$W$18+CJ55*СПРАВОЧНИК!$W$19</f>
        <v/>
      </c>
      <c r="DC55" s="34" t="n"/>
    </row>
    <row r="56">
      <c r="B56" s="152">
        <f>B55+7</f>
        <v/>
      </c>
      <c r="C56" s="17">
        <f>СПРАВОЧНИК!$E$3*('ПЛАН ЧЕРН ПОДЗЕМ'!B47*СПРАВОЧНИК!$H$3+'ПЛАН ЧЕРН ПОДЗЕМ'!C47*СПРАВОЧНИК!$I$3+'ПЛАН ЧЕРН ПОДЗЕМ'!D47*СПРАВОЧНИК!$J$3)+СПРАВОЧНИК!$F$3*('ПЛАН ЧИСТ ПОДЗЕМ'!B47*СПРАВОЧНИК!$L$3+'ПЛАН ЧИСТ ПОДЗЕМ'!C47*СПРАВОЧНИК!$M$3+'ПЛАН ЧИСТ ПОДЗЕМ'!D47*СПРАВОЧНИК!$N$3+'ПЛАН ЧИСТ ПОДЗЕМ'!E47*СПРАВОЧНИК!$O$3+'ПЛАН ЧИСТ ПОДЗЕМ'!F47*СПРАВОЧНИК!$P$3)+СПРАВОЧНИК!$E$4*('ПЛАН ЧЕРН ПОДЗЕМ'!E47*СПРАВОЧНИК!$H$4+'ПЛАН ЧЕРН ПОДЗЕМ'!F47*СПРАВОЧНИК!$I$4+'ПЛАН ЧЕРН ПОДЗЕМ'!G47*СПРАВОЧНИК!$J$4)+СПРАВОЧНИК!$F$4*('ПЛАН ЧИСТ ПОДЗЕМ'!G47*СПРАВОЧНИК!$L$4+'ПЛАН ЧИСТ ПОДЗЕМ'!H47*СПРАВОЧНИК!$M$4+'ПЛАН ЧИСТ ПОДЗЕМ'!I47*СПРАВОЧНИК!$N$4+'ПЛАН ЧИСТ ПОДЗЕМ'!J47*СПРАВОЧНИК!$O$4+'ПЛАН ЧИСТ ПОДЗЕМ'!K47*СПРАВОЧНИК!$P$4)+СПРАВОЧНИК!$E$5*('ПЛАН ЧЕРН ПОДЗЕМ'!H47*СПРАВОЧНИК!$H$5+'ПЛАН ЧЕРН ПОДЗЕМ'!I47*СПРАВОЧНИК!$I$5+'ПЛАН ЧЕРН ПОДЗЕМ'!J47*СПРАВОЧНИК!$J$5)+СПРАВОЧНИК!$F$5*('ПЛАН ЧИСТ ПОДЗЕМ'!L47*СПРАВОЧНИК!$L$5+'ПЛАН ЧИСТ ПОДЗЕМ'!M47*СПРАВОЧНИК!$M$5+'ПЛАН ЧИСТ ПОДЗЕМ'!N47*СПРАВОЧНИК!$N$5+'ПЛАН ЧИСТ ПОДЗЕМ'!O47*СПРАВОЧНИК!$O$5+'ПЛАН ЧИСТ ПОДЗЕМ'!P47*СПРАВОЧНИК!$P$5)+СПРАВОЧНИК!$E$6*('ПЛАН ЧЕРН ПОДЗЕМ'!K47*СПРАВОЧНИК!$H$6+'ПЛАН ЧЕРН ПОДЗЕМ'!L47*СПРАВОЧНИК!$I$6+'ПЛАН ЧЕРН ПОДЗЕМ'!M47*СПРАВОЧНИК!$J$6)+СПРАВОЧНИК!$F$6*('ПЛАН ЧИСТ ПОДЗЕМ'!Q47*СПРАВОЧНИК!$L$6+'ПЛАН ЧИСТ ПОДЗЕМ'!R47*СПРАВОЧНИК!$M$6+'ПЛАН ЧИСТ ПОДЗЕМ'!S47*СПРАВОЧНИК!$N$6+'ПЛАН ЧИСТ ПОДЗЕМ'!T47*СПРАВОЧНИК!$O$6+'ПЛАН ЧИСТ ПОДЗЕМ'!U47*СПРАВОЧНИК!$P$6)+СПРАВОЧНИК!$E$7*('ПЛАН ЧЕРН ПОДЗЕМ'!N47*СПРАВОЧНИК!$H$7+'ПЛАН ЧЕРН ПОДЗЕМ'!O47*СПРАВОЧНИК!$I$7+'ПЛАН ЧЕРН ПОДЗЕМ'!P47*СПРАВОЧНИК!$J$7)+СПРАВОЧНИК!$F$7*('ПЛАН ЧИСТ ПОДЗЕМ'!V47*СПРАВОЧНИК!$L$7+'ПЛАН ЧИСТ ПОДЗЕМ'!W47*СПРАВОЧНИК!$M$7+'ПЛАН ЧИСТ ПОДЗЕМ'!X47*СПРАВОЧНИК!$N$7+'ПЛАН ЧИСТ ПОДЗЕМ'!Y47*СПРАВОЧНИК!$O$7+'ПЛАН ЧИСТ ПОДЗЕМ'!Z47*СПРАВОЧНИК!$P$7)+СПРАВОЧНИК!$E$8*('ПЛАН ЧЕРН ПОДЗЕМ'!Q47*СПРАВОЧНИК!$H$8+'ПЛАН ЧЕРН ПОДЗЕМ'!R47*СПРАВОЧНИК!$I$8+'ПЛАН ЧЕРН ПОДЗЕМ'!S47*СПРАВОЧНИК!$J$8)+СПРАВОЧНИК!$F$8*('ПЛАН ЧИСТ ПОДЗЕМ'!AA47*СПРАВОЧНИК!$L$8+'ПЛАН ЧИСТ ПОДЗЕМ'!AB47*СПРАВОЧНИК!$M$8+'ПЛАН ЧИСТ ПОДЗЕМ'!AC47*СПРАВОЧНИК!$N$8+'ПЛАН ЧИСТ ПОДЗЕМ'!AD47*СПРАВОЧНИК!$O$8+'ПЛАН ЧИСТ ПОДЗЕМ'!AE47*СПРАВОЧНИК!$P$8)</f>
        <v/>
      </c>
      <c r="D56" s="31">
        <f>СПРАВОЧНИК!$E$3*('ФАКТ ЧЕРН ПОДЗЕМ'!B47*СПРАВОЧНИК!$H$3+'ФАКТ ЧЕРН ПОДЗЕМ'!C47*СПРАВОЧНИК!$I$3+'ФАКТ ЧЕРН ПОДЗЕМ'!D47*СПРАВОЧНИК!$J$3)+СПРАВОЧНИК!$F$3*('ФАКТ ЧИСТ ПОДЗЕМ'!B47*СПРАВОЧНИК!$L$3+'ФАКТ ЧИСТ ПОДЗЕМ'!C47*СПРАВОЧНИК!$M$3+'ФАКТ ЧИСТ ПОДЗЕМ'!D47*СПРАВОЧНИК!$N$3+'ФАКТ ЧИСТ ПОДЗЕМ'!E47*СПРАВОЧНИК!$O$3+'ФАКТ ЧИСТ ПОДЗЕМ'!F47*СПРАВОЧНИК!$P$3)+СПРАВОЧНИК!$E$4*('ФАКТ ЧЕРН ПОДЗЕМ'!E47*СПРАВОЧНИК!$H$4+'ФАКТ ЧЕРН ПОДЗЕМ'!F47*СПРАВОЧНИК!$I$4+'ФАКТ ЧЕРН ПОДЗЕМ'!G47*СПРАВОЧНИК!$J$4)+СПРАВОЧНИК!$F$4*('ФАКТ ЧИСТ ПОДЗЕМ'!G47*СПРАВОЧНИК!$L$4+'ФАКТ ЧИСТ ПОДЗЕМ'!H47*СПРАВОЧНИК!$M$4+'ФАКТ ЧИСТ ПОДЗЕМ'!I47*СПРАВОЧНИК!$N$4+'ФАКТ ЧИСТ ПОДЗЕМ'!J47*СПРАВОЧНИК!$O$4+'ФАКТ ЧИСТ ПОДЗЕМ'!K47*СПРАВОЧНИК!$P$4)+СПРАВОЧНИК!$E$5*('ФАКТ ЧЕРН ПОДЗЕМ'!H47*СПРАВОЧНИК!$H$5+'ФАКТ ЧЕРН ПОДЗЕМ'!I47*СПРАВОЧНИК!$I$5+'ФАКТ ЧЕРН ПОДЗЕМ'!J47*СПРАВОЧНИК!$J$5)+СПРАВОЧНИК!$F$5*('ФАКТ ЧИСТ ПОДЗЕМ'!L47*СПРАВОЧНИК!$L$5+'ФАКТ ЧИСТ ПОДЗЕМ'!M47*СПРАВОЧНИК!$M$5+'ФАКТ ЧИСТ ПОДЗЕМ'!N47*СПРАВОЧНИК!$N$5+'ФАКТ ЧИСТ ПОДЗЕМ'!O47*СПРАВОЧНИК!$O$5+'ФАКТ ЧИСТ ПОДЗЕМ'!P47*СПРАВОЧНИК!$P$5)+СПРАВОЧНИК!$E$6*('ФАКТ ЧЕРН ПОДЗЕМ'!K47*СПРАВОЧНИК!$H$6+'ФАКТ ЧЕРН ПОДЗЕМ'!L47*СПРАВОЧНИК!$I$6+'ФАКТ ЧЕРН ПОДЗЕМ'!M47*СПРАВОЧНИК!$J$6)+СПРАВОЧНИК!$F$6*('ФАКТ ЧИСТ ПОДЗЕМ'!Q47*СПРАВОЧНИК!$L$6+'ФАКТ ЧИСТ ПОДЗЕМ'!R47*СПРАВОЧНИК!$M$6+'ФАКТ ЧИСТ ПОДЗЕМ'!S47*СПРАВОЧНИК!$N$6+'ФАКТ ЧИСТ ПОДЗЕМ'!T47*СПРАВОЧНИК!$O$6+'ФАКТ ЧИСТ ПОДЗЕМ'!U47*СПРАВОЧНИК!$P$6)+СПРАВОЧНИК!$E$7*('ФАКТ ЧЕРН ПОДЗЕМ'!N47*СПРАВОЧНИК!$H$7+'ФАКТ ЧЕРН ПОДЗЕМ'!O47*СПРАВОЧНИК!$I$7+'ФАКТ ЧЕРН ПОДЗЕМ'!P47*СПРАВОЧНИК!$J$7)+СПРАВОЧНИК!$F$7*('ФАКТ ЧИСТ ПОДЗЕМ'!V47*СПРАВОЧНИК!$L$7+'ФАКТ ЧИСТ ПОДЗЕМ'!W47*СПРАВОЧНИК!$M$7+'ФАКТ ЧИСТ ПОДЗЕМ'!X47*СПРАВОЧНИК!$N$7+'ФАКТ ЧИСТ ПОДЗЕМ'!Y47*СПРАВОЧНИК!$O$7+'ФАКТ ЧИСТ ПОДЗЕМ'!Z47*СПРАВОЧНИК!$P$7)+СПРАВОЧНИК!$E$8*('ФАКТ ЧЕРН ПОДЗЕМ'!Q47*СПРАВОЧНИК!$H$8+'ФАКТ ЧЕРН ПОДЗЕМ'!R47*СПРАВОЧНИК!$I$8+'ФАКТ ЧЕРН ПОДЗЕМ'!S47*СПРАВОЧНИК!$J$8)+СПРАВОЧНИК!$F$8*('ФАКТ ЧИСТ ПОДЗЕМ'!AA47*СПРАВОЧНИК!$L$8+'ФАКТ ЧИСТ ПОДЗЕМ'!AB47*СПРАВОЧНИК!$M$8+'ФАКТ ЧИСТ ПОДЗЕМ'!AC47*СПРАВОЧНИК!$N$8+'ФАКТ ЧИСТ ПОДЗЕМ'!AD47*СПРАВОЧНИК!$O$8+'ФАКТ ЧИСТ ПОДЗЕМ'!AE47*СПРАВОЧНИК!$P$8)</f>
        <v/>
      </c>
      <c r="E56" s="34" t="n"/>
      <c r="H56" s="152">
        <f>H55+7</f>
        <v/>
      </c>
      <c r="I56" s="17">
        <f>'ПЛАН ЧЕРН ПОДЗЕМ'!B47*СПРАВОЧНИК!$H$3+'ПЛАН ЧЕРН ПОДЗЕМ'!C47*СПРАВОЧНИК!$I$3+'ПЛАН ЧЕРН ПОДЗЕМ'!D47*СПРАВОЧНИК!$J$3+'ПЛАН ЧЕРН ПОДЗЕМ'!E47*СПРАВОЧНИК!$H$4+'ПЛАН ЧЕРН ПОДЗЕМ'!F47*СПРАВОЧНИК!$I$4+'ПЛАН ЧЕРН ПОДЗЕМ'!G47*СПРАВОЧНИК!$J$4+'ПЛАН ЧЕРН ПОДЗЕМ'!H47*СПРАВОЧНИК!$H$5+'ПЛАН ЧЕРН ПОДЗЕМ'!I47*СПРАВОЧНИК!$I$5+'ПЛАН ЧЕРН ПОДЗЕМ'!J47*СПРАВОЧНИК!$J$5+'ПЛАН ЧЕРН ПОДЗЕМ'!K47*СПРАВОЧНИК!$H$6+'ПЛАН ЧЕРН ПОДЗЕМ'!L47*СПРАВОЧНИК!$I$6+'ПЛАН ЧЕРН ПОДЗЕМ'!M47*СПРАВОЧНИК!$J$6+'ПЛАН ЧЕРН ПОДЗЕМ'!N47*СПРАВОЧНИК!$H$7+'ПЛАН ЧЕРН ПОДЗЕМ'!O47*СПРАВОЧНИК!$I$7+'ПЛАН ЧЕРН ПОДЗЕМ'!P47*СПРАВОЧНИК!$J$7+'ПЛАН ЧЕРН ПОДЗЕМ'!Q47*СПРАВОЧНИК!$H$8+'ПЛАН ЧЕРН ПОДЗЕМ'!R47*СПРАВОЧНИК!$I$8+'ПЛАН ЧЕРН ПОДЗЕМ'!S47*СПРАВОЧНИК!$J$8</f>
        <v/>
      </c>
      <c r="J56" s="31">
        <f>('ФАКТ ЧЕРН ПОДЗЕМ'!B47)*СПРАВОЧНИК!$H$3+('ФАКТ ЧЕРН ПОДЗЕМ'!C47)*СПРАВОЧНИК!$I$3+('ФАКТ ЧЕРН ПОДЗЕМ'!D47)*СПРАВОЧНИК!$J$3+('ФАКТ ЧЕРН ПОДЗЕМ'!E47)*СПРАВОЧНИК!$H$4+('ФАКТ ЧЕРН ПОДЗЕМ'!F47)*СПРАВОЧНИК!$I$4+('ФАКТ ЧЕРН ПОДЗЕМ'!G47)*СПРАВОЧНИК!$J$4+('ФАКТ ЧЕРН ПОДЗЕМ'!H47)*СПРАВОЧНИК!$H$5+('ФАКТ ЧЕРН ПОДЗЕМ'!I47)*СПРАВОЧНИК!$I$5+('ФАКТ ЧЕРН ПОДЗЕМ'!J47)*СПРАВОЧНИК!$J$5+('ФАКТ ЧЕРН ПОДЗЕМ'!K47)*СПРАВОЧНИК!$H$6+('ФАКТ ЧЕРН ПОДЗЕМ'!L47)*СПРАВОЧНИК!$I$6+('ФАКТ ЧЕРН ПОДЗЕМ'!M47)*СПРАВОЧНИК!$J$6+('ФАКТ ЧЕРН ПОДЗЕМ'!N47)*СПРАВОЧНИК!$H$7+('ФАКТ ЧЕРН ПОДЗЕМ'!O47)*СПРАВОЧНИК!$I$7+('ФАКТ ЧЕРН ПОДЗЕМ'!P47)*СПРАВОЧНИК!$J$7+('ФАКТ ЧЕРН ПОДЗЕМ'!Q47)*СПРАВОЧНИК!$H$8+('ФАКТ ЧЕРН ПОДЗЕМ'!R47)*СПРАВОЧНИК!$I$8+('ФАКТ ЧЕРН ПОДЗЕМ'!S47)*СПРАВОЧНИК!$J$8</f>
        <v/>
      </c>
      <c r="K56" s="34" t="n"/>
      <c r="N56" s="152">
        <f>N55+7</f>
        <v/>
      </c>
      <c r="O56" s="17">
        <f>'ПЛАН ЧИСТ ПОДЗЕМ'!B47*СПРАВОЧНИК!$L$3+'ПЛАН ЧИСТ ПОДЗЕМ'!C47*СПРАВОЧНИК!$M$3+'ПЛАН ЧИСТ ПОДЗЕМ'!D47*СПРАВОЧНИК!$N$3+'ПЛАН ЧИСТ ПОДЗЕМ'!E47*СПРАВОЧНИК!$O$3+'ПЛАН ЧИСТ ПОДЗЕМ'!F47*СПРАВОЧНИК!$P$3+'ПЛАН ЧИСТ ПОДЗЕМ'!G47*СПРАВОЧНИК!$L$4+'ПЛАН ЧИСТ ПОДЗЕМ'!H47*СПРАВОЧНИК!$M$4+'ПЛАН ЧИСТ ПОДЗЕМ'!I47*СПРАВОЧНИК!$N$4+'ПЛАН ЧИСТ ПОДЗЕМ'!J47*СПРАВОЧНИК!$O$4+'ПЛАН ЧИСТ ПОДЗЕМ'!K47*СПРАВОЧНИК!$P$4+'ПЛАН ЧИСТ ПОДЗЕМ'!L47*СПРАВОЧНИК!$L$5+'ПЛАН ЧИСТ ПОДЗЕМ'!M47*СПРАВОЧНИК!$M$5+'ПЛАН ЧИСТ ПОДЗЕМ'!N47*СПРАВОЧНИК!$N$5+'ПЛАН ЧИСТ ПОДЗЕМ'!O47*СПРАВОЧНИК!$O$5+'ПЛАН ЧИСТ ПОДЗЕМ'!P47*СПРАВОЧНИК!$P$5+'ПЛАН ЧИСТ ПОДЗЕМ'!Q47*СПРАВОЧНИК!$L$6+'ПЛАН ЧИСТ ПОДЗЕМ'!R47*СПРАВОЧНИК!$M$6+'ПЛАН ЧИСТ ПОДЗЕМ'!S47*СПРАВОЧНИК!$N$6+'ПЛАН ЧИСТ ПОДЗЕМ'!T47*СПРАВОЧНИК!$O$6+'ПЛАН ЧИСТ ПОДЗЕМ'!U47*СПРАВОЧНИК!$P$6+'ПЛАН ЧИСТ ПОДЗЕМ'!V47*СПРАВОЧНИК!$L$7+'ПЛАН ЧИСТ ПОДЗЕМ'!W47*СПРАВОЧНИК!$M$7+'ПЛАН ЧИСТ ПОДЗЕМ'!X47*СПРАВОЧНИК!$N$7+'ПЛАН ЧИСТ ПОДЗЕМ'!Y47*СПРАВОЧНИК!$O$7+'ПЛАН ЧИСТ ПОДЗЕМ'!Z47*СПРАВОЧНИК!$P$7+'ПЛАН ЧИСТ ПОДЗЕМ'!AA47*СПРАВОЧНИК!$L$8+'ПЛАН ЧИСТ ПОДЗЕМ'!AB47*СПРАВОЧНИК!$M$8+'ПЛАН ЧИСТ ПОДЗЕМ'!AC47*СПРАВОЧНИК!$N$8+'ПЛАН ЧИСТ ПОДЗЕМ'!AD47*СПРАВОЧНИК!$O$8+'ПЛАН ЧИСТ ПОДЗЕМ'!AE47*СПРАВОЧНИК!$P$8</f>
        <v/>
      </c>
      <c r="P56" s="31">
        <f>('ФАКТ ЧИСТ ПОДЗЕМ'!B47)*СПРАВОЧНИК!$L$3+('ФАКТ ЧИСТ ПОДЗЕМ'!C47)*СПРАВОЧНИК!$M$3+('ФАКТ ЧИСТ ПОДЗЕМ'!D47)*СПРАВОЧНИК!$N$3+('ФАКТ ЧИСТ ПОДЗЕМ'!E47)*СПРАВОЧНИК!$O$3+('ФАКТ ЧИСТ ПОДЗЕМ'!F47)*СПРАВОЧНИК!$P$3+('ФАКТ ЧИСТ ПОДЗЕМ'!G47)*СПРАВОЧНИК!$L$4+('ФАКТ ЧИСТ ПОДЗЕМ'!H47)*СПРАВОЧНИК!$M$4+('ФАКТ ЧИСТ ПОДЗЕМ'!I47)*СПРАВОЧНИК!$N$4+('ФАКТ ЧИСТ ПОДЗЕМ'!J47)*СПРАВОЧНИК!$O$4+('ФАКТ ЧИСТ ПОДЗЕМ'!K47)*СПРАВОЧНИК!$P$4+('ФАКТ ЧИСТ ПОДЗЕМ'!L47)*СПРАВОЧНИК!$L$5+('ФАКТ ЧИСТ ПОДЗЕМ'!M47)*СПРАВОЧНИК!$M$5+('ФАКТ ЧИСТ ПОДЗЕМ'!N47)*СПРАВОЧНИК!$N$5+('ФАКТ ЧИСТ ПОДЗЕМ'!O47)*СПРАВОЧНИК!$O$5+('ФАКТ ЧИСТ ПОДЗЕМ'!P47)*СПРАВОЧНИК!$P$5+('ФАКТ ЧИСТ ПОДЗЕМ'!Q47)*СПРАВОЧНИК!$L$6+('ФАКТ ЧИСТ ПОДЗЕМ'!R47)*СПРАВОЧНИК!$M$6+('ФАКТ ЧИСТ ПОДЗЕМ'!S47)*СПРАВОЧНИК!$N$6+('ФАКТ ЧИСТ ПОДЗЕМ'!T47)*СПРАВОЧНИК!$O$6+('ФАКТ ЧИСТ ПОДЗЕМ'!U47)*СПРАВОЧНИК!$P$6+('ФАКТ ЧИСТ ПОДЗЕМ'!V47)*СПРАВОЧНИК!$L$7+('ФАКТ ЧИСТ ПОДЗЕМ'!W47)*СПРАВОЧНИК!$M$7+('ФАКТ ЧИСТ ПОДЗЕМ'!X47)*СПРАВОЧНИК!$N$7+('ФАКТ ЧИСТ ПОДЗЕМ'!Y47)*СПРАВОЧНИК!$O$7+('ФАКТ ЧИСТ ПОДЗЕМ'!Z47)*СПРАВОЧНИК!$P$7+('ФАКТ ЧИСТ ПОДЗЕМ'!AA47)*СПРАВОЧНИК!$L$8+('ФАКТ ЧИСТ ПОДЗЕМ'!AB47)*СПРАВОЧНИК!$M$8+('ФАКТ ЧИСТ ПОДЗЕМ'!AC47)*СПРАВОЧНИК!$N$8+('ФАКТ ЧИСТ ПОДЗЕМ'!AD47)*СПРАВОЧНИК!$O$8+('ФАКТ ЧИСТ ПОДЗЕМ'!AE47)*СПРАВОЧНИК!$P$8</f>
        <v/>
      </c>
      <c r="Q56" s="34" t="n"/>
      <c r="T56" s="152">
        <f>T55+7</f>
        <v/>
      </c>
      <c r="U56" s="17">
        <f>СПРАВОЧНИК!$E$9*('ПЛАН ЧЕРН К1'!B47*СПРАВОЧНИК!$H$9+'ПЛАН ЧЕРН К1'!C47*СПРАВОЧНИК!$I$9+'ПЛАН ЧЕРН К1'!D47*СПРАВОЧНИК!$J$9)+СПРАВОЧНИК!$F$9*('ПЛАН ЧИСТ К1'!B47*СПРАВОЧНИК!$L$9+'ПЛАН ЧИСТ К1'!C47*СПРАВОЧНИК!$M$9+'ПЛАН ЧИСТ К1'!D47*СПРАВОЧНИК!$N$9+'ПЛАН ЧИСТ К1'!E47*СПРАВОЧНИК!$O$9+'ПЛАН ЧИСТ К1'!F47*СПРАВОЧНИК!$P$9)+СПРАВОЧНИК!$E$10*('ПЛАН ЧЕРН К1'!E47*СПРАВОЧНИК!$H$10+'ПЛАН ЧЕРН К1'!F47*СПРАВОЧНИК!$I$10+'ПЛАН ЧЕРН К1'!G47*СПРАВОЧНИК!$J$10)+СПРАВОЧНИК!$F$10*('ПЛАН ЧИСТ К1'!G47*СПРАВОЧНИК!$L$10+'ПЛАН ЧИСТ К1'!H47*СПРАВОЧНИК!$M$10+'ПЛАН ЧИСТ К1'!I47*СПРАВОЧНИК!$N$10+'ПЛАН ЧИСТ К1'!J47*СПРАВОЧНИК!$O$10+'ПЛАН ЧИСТ К1'!K47*СПРАВОЧНИК!$P$10)+СПРАВОЧНИК!$E$11*('ПЛАН ЧЕРН К1'!H47*СПРАВОЧНИК!$H$11+'ПЛАН ЧЕРН К1'!I47*СПРАВОЧНИК!$I$11+'ПЛАН ЧЕРН К1'!J47*СПРАВОЧНИК!$J$11)+СПРАВОЧНИК!$F$11*('ПЛАН ЧИСТ К1'!L47*СПРАВОЧНИК!$L$11+'ПЛАН ЧИСТ К1'!M47*СПРАВОЧНИК!$M$11+'ПЛАН ЧИСТ К1'!N47*СПРАВОЧНИК!$N$11+'ПЛАН ЧИСТ К1'!O47*СПРАВОЧНИК!$O$11+'ПЛАН ЧИСТ К1'!P47*СПРАВОЧНИК!$P$11)+СПРАВОЧНИК!$E$12*('ПЛАН ЧЕРН К1'!K47*СПРАВОЧНИК!$H$12+'ПЛАН ЧЕРН К1'!L47*СПРАВОЧНИК!$I$12+'ПЛАН ЧЕРН К1'!M47*СПРАВОЧНИК!$J$12)+СПРАВОЧНИК!$F$12*('ПЛАН ЧИСТ К1'!Q47*СПРАВОЧНИК!$L$12+'ПЛАН ЧИСТ К1'!R47*СПРАВОЧНИК!$M$12+'ПЛАН ЧИСТ К1'!S47*СПРАВОЧНИК!$N$12+'ПЛАН ЧИСТ К1'!T47*СПРАВОЧНИК!$O$12+'ПЛАН ЧИСТ К1'!U47*СПРАВОЧНИК!$P$12)+СПРАВОЧНИК!$E$13*('ПЛАН ЧЕРН К1'!N47*СПРАВОЧНИК!$H$13+'ПЛАН ЧЕРН К1'!O47*СПРАВОЧНИК!$I$13+'ПЛАН ЧЕРН К1'!P47*СПРАВОЧНИК!$J$13)+СПРАВОЧНИК!$F$13*('ПЛАН ЧИСТ К1'!V47*СПРАВОЧНИК!$L$13+'ПЛАН ЧИСТ К1'!W47*СПРАВОЧНИК!$M$13+'ПЛАН ЧИСТ К1'!X47*СПРАВОЧНИК!$N$13+'ПЛАН ЧИСТ К1'!Y47*СПРАВОЧНИК!$O$13+'ПЛАН ЧИСТ К1'!Z47*СПРАВОЧНИК!$P$13)+СПРАВОЧНИК!$E$14*('ПЛАН ЧЕРН К1'!Q47*СПРАВОЧНИК!$H$14+'ПЛАН ЧЕРН К1'!R47*СПРАВОЧНИК!$I$14+'ПЛАН ЧЕРН К1'!S47*СПРАВОЧНИК!$J$14)+СПРАВОЧНИК!$F$14*('ПЛАН ЧИСТ К1'!AA47*СПРАВОЧНИК!$L$14+'ПЛАН ЧИСТ К1'!AB47*СПРАВОЧНИК!$M$14+'ПЛАН ЧИСТ К1'!AC47*СПРАВОЧНИК!$N$14+'ПЛАН ЧИСТ К1'!AD47*СПРАВОЧНИК!$O$14+'ПЛАН ЧИСТ К1'!AE47*СПРАВОЧНИК!$P$14)+СПРАВОЧНИК!$E$15*('ПЛАН ЧЕРН К1'!T47*СПРАВОЧНИК!$H$15+'ПЛАН ЧЕРН К1'!U47*СПРАВОЧНИК!$I$15+'ПЛАН ЧЕРН К1'!V47*СПРАВОЧНИК!$J$15)+СПРАВОЧНИК!$F$15*('ПЛАН ЧИСТ К1'!AF47*СПРАВОЧНИК!$L$15+'ПЛАН ЧИСТ К1'!AG47*СПРАВОЧНИК!$M$15+'ПЛАН ЧИСТ К1'!AH47*СПРАВОЧНИК!$N$15+'ПЛАН ЧИСТ К1'!AI47*СПРАВОЧНИК!$O$15+'ПЛАН ЧИСТ К1'!AJ47*СПРАВОЧНИК!$P$15)</f>
        <v/>
      </c>
      <c r="V56" s="31">
        <f>СПРАВОЧНИК!$E$9*('ФАКТ ЧЕРН К1'!B47*СПРАВОЧНИК!$H$9+'ФАКТ ЧЕРН К1'!C47*СПРАВОЧНИК!$I$9+'ФАКТ ЧЕРН К1'!D47*СПРАВОЧНИК!$J$9)+СПРАВОЧНИК!$F$9*('ФАКТ ЧИСТ К1'!B47*СПРАВОЧНИК!$L$9+'ФАКТ ЧИСТ К1'!C47*СПРАВОЧНИК!$M$9+'ФАКТ ЧИСТ К1'!D47*СПРАВОЧНИК!$N$9+'ФАКТ ЧИСТ К1'!E47*СПРАВОЧНИК!$O$9+'ФАКТ ЧИСТ К1'!F47*СПРАВОЧНИК!$P$9)+СПРАВОЧНИК!$E$10*('ФАКТ ЧЕРН К1'!E47*СПРАВОЧНИК!$H$10+'ФАКТ ЧЕРН К1'!F47*СПРАВОЧНИК!$I$10+'ФАКТ ЧЕРН К1'!G47*СПРАВОЧНИК!$J$10)+СПРАВОЧНИК!$F$10*('ФАКТ ЧИСТ К1'!G47*СПРАВОЧНИК!$L$10+'ФАКТ ЧИСТ К1'!H47*СПРАВОЧНИК!$M$10+'ФАКТ ЧИСТ К1'!I47*СПРАВОЧНИК!$N$10+'ФАКТ ЧИСТ К1'!J47*СПРАВОЧНИК!$O$10+'ФАКТ ЧИСТ К1'!K47*СПРАВОЧНИК!$P$10)+СПРАВОЧНИК!$E$11*('ФАКТ ЧЕРН К1'!H47*СПРАВОЧНИК!$H$11+'ФАКТ ЧЕРН К1'!I47*СПРАВОЧНИК!$I$11+'ФАКТ ЧЕРН К1'!J47*СПРАВОЧНИК!$J$11)+СПРАВОЧНИК!$F$11*('ФАКТ ЧИСТ К1'!L47*СПРАВОЧНИК!$L$11+'ФАКТ ЧИСТ К1'!M47*СПРАВОЧНИК!$M$11+'ФАКТ ЧИСТ К1'!N47*СПРАВОЧНИК!$N$11+'ФАКТ ЧИСТ К1'!O47*СПРАВОЧНИК!$O$11+'ФАКТ ЧИСТ К1'!P47*СПРАВОЧНИК!$P$11)+СПРАВОЧНИК!$E$12*('ФАКТ ЧЕРН К1'!K47*СПРАВОЧНИК!$H$12+'ФАКТ ЧЕРН К1'!L47*СПРАВОЧНИК!$I$12+'ФАКТ ЧЕРН К1'!M47*СПРАВОЧНИК!$J$12)+СПРАВОЧНИК!$F$12*('ФАКТ ЧИСТ К1'!Q47*СПРАВОЧНИК!$L$12+'ФАКТ ЧИСТ К1'!R47*СПРАВОЧНИК!$M$12+'ФАКТ ЧИСТ К1'!S47*СПРАВОЧНИК!$N$12+'ФАКТ ЧИСТ К1'!T47*СПРАВОЧНИК!$O$12+'ФАКТ ЧИСТ К1'!U47*СПРАВОЧНИК!$P$12)+СПРАВОЧНИК!$E$13*('ФАКТ ЧЕРН К1'!N47*СПРАВОЧНИК!$H$13+'ФАКТ ЧЕРН К1'!O47*СПРАВОЧНИК!$I$13+'ФАКТ ЧЕРН К1'!P47*СПРАВОЧНИК!$J$13)+СПРАВОЧНИК!$F$13*('ФАКТ ЧИСТ К1'!V47*СПРАВОЧНИК!$L$13+'ФАКТ ЧИСТ К1'!W47*СПРАВОЧНИК!$M$13+'ФАКТ ЧИСТ К1'!X47*СПРАВОЧНИК!$N$13+'ФАКТ ЧИСТ К1'!Y47*СПРАВОЧНИК!$O$13+'ФАКТ ЧИСТ К1'!Z47*СПРАВОЧНИК!$P$13)+СПРАВОЧНИК!$E$14*('ФАКТ ЧЕРН К1'!Q47*СПРАВОЧНИК!$H$14+'ФАКТ ЧЕРН К1'!R47*СПРАВОЧНИК!$I$14+'ФАКТ ЧЕРН К1'!S47*СПРАВОЧНИК!$J$14)+СПРАВОЧНИК!$F$14*('ФАКТ ЧИСТ К1'!AA47*СПРАВОЧНИК!$L$14+'ФАКТ ЧИСТ К1'!AB47*СПРАВОЧНИК!$M$14+'ФАКТ ЧИСТ К1'!AC47*СПРАВОЧНИК!$N$14+'ФАКТ ЧИСТ К1'!AD47*СПРАВОЧНИК!$O$14+'ФАКТ ЧИСТ К1'!AE47*СПРАВОЧНИК!$P$14)+СПРАВОЧНИК!$E$15*('ФАКТ ЧЕРН К1'!T47*СПРАВОЧНИК!$H$15+'ФАКТ ЧЕРН К1'!U47*СПРАВОЧНИК!$I$15+'ФАКТ ЧЕРН К1'!V47*СПРАВОЧНИК!$J$15)+СПРАВОЧНИК!$F$15*('ФАКТ ЧИСТ К1'!AF47*СПРАВОЧНИК!$L$15+'ФАКТ ЧИСТ К1'!AG47*СПРАВОЧНИК!$M$15+'ФАКТ ЧИСТ К1'!AH47*СПРАВОЧНИК!$N$15+'ФАКТ ЧИСТ К1'!AI47*СПРАВОЧНИК!$O$15+'ФАКТ ЧИСТ К1'!AJ47*СПРАВОЧНИК!$P$15)</f>
        <v/>
      </c>
      <c r="W56" s="34" t="n"/>
      <c r="Z56" s="152">
        <f>Z55+7</f>
        <v/>
      </c>
      <c r="AA56" s="17">
        <f>'ПЛАН ЧЕРН К1'!B47*СПРАВОЧНИК!$H$9+'ПЛАН ЧЕРН К1'!C47*СПРАВОЧНИК!$I$9+'ПЛАН ЧЕРН К1'!D47*СПРАВОЧНИК!$J$9+'ПЛАН ЧЕРН К1'!E47*СПРАВОЧНИК!$H$10+'ПЛАН ЧЕРН К1'!F47*СПРАВОЧНИК!$I$10+'ПЛАН ЧЕРН К1'!G47*СПРАВОЧНИК!$J$10+'ПЛАН ЧЕРН К1'!H47*СПРАВОЧНИК!$H$11+'ПЛАН ЧЕРН К1'!I47*СПРАВОЧНИК!$I$11+'ПЛАН ЧЕРН К1'!J47*СПРАВОЧНИК!$J$11+'ПЛАН ЧЕРН К1'!K47*СПРАВОЧНИК!$H$12+'ПЛАН ЧЕРН К1'!L47*СПРАВОЧНИК!$I$12+'ПЛАН ЧЕРН К1'!M47*СПРАВОЧНИК!$J$12+'ПЛАН ЧЕРН К1'!N47*СПРАВОЧНИК!$H$13+'ПЛАН ЧЕРН К1'!O47*СПРАВОЧНИК!$I$13+'ПЛАН ЧЕРН К1'!P47*СПРАВОЧНИК!$J$13+'ПЛАН ЧЕРН К1'!Q47*СПРАВОЧНИК!$H$14+'ПЛАН ЧЕРН К1'!R47*СПРАВОЧНИК!$I$14+'ПЛАН ЧЕРН К1'!S47*СПРАВОЧНИК!$J$14+'ПЛАН ЧЕРН К1'!T47*СПРАВОЧНИК!$H$15+'ПЛАН ЧЕРН К1'!U47*СПРАВОЧНИК!$I$15+'ПЛАН ЧЕРН К1'!V47*СПРАВОЧНИК!$J$15</f>
        <v/>
      </c>
      <c r="AB56" s="31">
        <f>('ФАКТ ЧЕРН К1'!B47)*СПРАВОЧНИК!$H$9+('ФАКТ ЧЕРН К1'!C47)*СПРАВОЧНИК!$I$9+('ФАКТ ЧЕРН К1'!D47)*СПРАВОЧНИК!$J$9+('ФАКТ ЧЕРН К1'!E47)*СПРАВОЧНИК!$H$10+('ФАКТ ЧЕРН К1'!F47)*СПРАВОЧНИК!$I$10+('ФАКТ ЧЕРН К1'!G47)*СПРАВОЧНИК!$J$10+('ФАКТ ЧЕРН К1'!H47)*СПРАВОЧНИК!$H$11+('ФАКТ ЧЕРН К1'!I47)*СПРАВОЧНИК!$I$11+('ФАКТ ЧЕРН К1'!J47)*СПРАВОЧНИК!$J$11+('ФАКТ ЧЕРН К1'!K47)*СПРАВОЧНИК!$H$12+('ФАКТ ЧЕРН К1'!L47)*СПРАВОЧНИК!$I$12+('ФАКТ ЧЕРН К1'!M47)*СПРАВОЧНИК!$J$12+('ФАКТ ЧЕРН К1'!N47)*СПРАВОЧНИК!$H$13+('ФАКТ ЧЕРН К1'!O47)*СПРАВОЧНИК!$I$13+('ФАКТ ЧЕРН К1'!P47)*СПРАВОЧНИК!$J$13+('ФАКТ ЧЕРН К1'!Q47)*СПРАВОЧНИК!$H$14+('ФАКТ ЧЕРН К1'!R47)*СПРАВОЧНИК!$I$14+('ФАКТ ЧЕРН К1'!S47)*СПРАВОЧНИК!$J$14+('ФАКТ ЧЕРН К1'!T47)*СПРАВОЧНИК!$H$15+('ФАКТ ЧЕРН К1'!U47)*СПРАВОЧНИК!$I$15+('ФАКТ ЧЕРН К1'!V47)*СПРАВОЧНИК!$J$15</f>
        <v/>
      </c>
      <c r="AC56" s="34" t="n"/>
      <c r="AF56" s="152">
        <f>AF55+7</f>
        <v/>
      </c>
      <c r="AG56" s="17">
        <f>'ПЛАН ЧИСТ К1'!B47*СПРАВОЧНИК!$L$9+'ПЛАН ЧИСТ К1'!C47*СПРАВОЧНИК!$M$9+'ПЛАН ЧИСТ К1'!D47*СПРАВОЧНИК!$N$9+'ПЛАН ЧИСТ К1'!E47*СПРАВОЧНИК!$O$9+'ПЛАН ЧИСТ К1'!F47*СПРАВОЧНИК!$P$9+'ПЛАН ЧИСТ К1'!G47*СПРАВОЧНИК!$L$10+'ПЛАН ЧИСТ К1'!H47*СПРАВОЧНИК!$M$10+'ПЛАН ЧИСТ К1'!I47*СПРАВОЧНИК!$N$10+'ПЛАН ЧИСТ К1'!J47*СПРАВОЧНИК!$O$10+'ПЛАН ЧИСТ К1'!K47*СПРАВОЧНИК!$P$10+'ПЛАН ЧИСТ К1'!L47*СПРАВОЧНИК!$L$11+'ПЛАН ЧИСТ К1'!M47*СПРАВОЧНИК!$M$11+'ПЛАН ЧИСТ К1'!N47*СПРАВОЧНИК!$N$11+'ПЛАН ЧИСТ К1'!O47*СПРАВОЧНИК!$O$11+'ПЛАН ЧИСТ К1'!P47*СПРАВОЧНИК!$P$11+'ПЛАН ЧИСТ К1'!Q47*СПРАВОЧНИК!$L$12+'ПЛАН ЧИСТ К1'!R47*СПРАВОЧНИК!$M$12+'ПЛАН ЧИСТ К1'!S47*СПРАВОЧНИК!$N$12+'ПЛАН ЧИСТ К1'!T47*СПРАВОЧНИК!$O$12+'ПЛАН ЧИСТ К1'!U47*СПРАВОЧНИК!$P$12+'ПЛАН ЧИСТ К1'!V47*СПРАВОЧНИК!$L$13+'ПЛАН ЧИСТ К1'!W47*СПРАВОЧНИК!$M$13+'ПЛАН ЧИСТ К1'!X47*СПРАВОЧНИК!$N$13+'ПЛАН ЧИСТ К1'!Y47*СПРАВОЧНИК!$O$13+'ПЛАН ЧИСТ К1'!Z47*СПРАВОЧНИК!$P$13+'ПЛАН ЧИСТ К1'!AA47*СПРАВОЧНИК!$L$14+'ПЛАН ЧИСТ К1'!AB47*СПРАВОЧНИК!$M$14+'ПЛАН ЧИСТ К1'!AC47*СПРАВОЧНИК!$N$14+'ПЛАН ЧИСТ К1'!AD47*СПРАВОЧНИК!$O$14+'ПЛАН ЧИСТ К1'!AE47*СПРАВОЧНИК!$P$14+'ПЛАН ЧИСТ К1'!AF47*СПРАВОЧНИК!$L$15+'ПЛАН ЧИСТ К1'!AG47*СПРАВОЧНИК!$M$15+'ПЛАН ЧИСТ К1'!AH47*СПРАВОЧНИК!$N$15+'ПЛАН ЧИСТ К1'!AI47*СПРАВОЧНИК!$O$15+'ПЛАН ЧИСТ К1'!AJ47*СПРАВОЧНИК!$P$15</f>
        <v/>
      </c>
      <c r="AH56" s="31">
        <f>('ФАКТ ЧИСТ К1'!B47)*СПРАВОЧНИК!$L$9+('ФАКТ ЧИСТ К1'!C47)*СПРАВОЧНИК!$M$9+('ФАКТ ЧИСТ К1'!D47)*СПРАВОЧНИК!$N$9+('ФАКТ ЧИСТ К1'!E47)*СПРАВОЧНИК!$O$9+('ФАКТ ЧИСТ К1'!F47)*СПРАВОЧНИК!$P$9+('ФАКТ ЧИСТ К1'!G47)*СПРАВОЧНИК!$L$10+('ФАКТ ЧИСТ К1'!H47)*СПРАВОЧНИК!$M$10+('ФАКТ ЧИСТ К1'!I47)*СПРАВОЧНИК!$N$10+('ФАКТ ЧИСТ К1'!J47)*СПРАВОЧНИК!$O$10+('ФАКТ ЧИСТ К1'!K47)*СПРАВОЧНИК!$P$10+('ФАКТ ЧИСТ К1'!L47)*СПРАВОЧНИК!$L$11+('ФАКТ ЧИСТ К1'!M47)*СПРАВОЧНИК!$M$11+('ФАКТ ЧИСТ К1'!N47)*СПРАВОЧНИК!$N$11+('ФАКТ ЧИСТ К1'!O47)*СПРАВОЧНИК!$O$11+('ФАКТ ЧИСТ К1'!P47)*СПРАВОЧНИК!$P$11+('ФАКТ ЧИСТ К1'!Q47)*СПРАВОЧНИК!$L$12+('ФАКТ ЧИСТ К1'!R47)*СПРАВОЧНИК!$M$12+('ФАКТ ЧИСТ К1'!S47)*СПРАВОЧНИК!$N$12+('ФАКТ ЧИСТ К1'!T47)*СПРАВОЧНИК!$O$12+('ФАКТ ЧИСТ К1'!U47)*СПРАВОЧНИК!$P$12+('ФАКТ ЧИСТ К1'!V47)*СПРАВОЧНИК!$L$13+('ФАКТ ЧИСТ К1'!W47)*СПРАВОЧНИК!$M$13+('ФАКТ ЧИСТ К1'!X47)*СПРАВОЧНИК!$N$13+('ФАКТ ЧИСТ К1'!Y47)*СПРАВОЧНИК!$O$13+('ФАКТ ЧИСТ К1'!Z47)*СПРАВОЧНИК!$P$13+('ФАКТ ЧИСТ К1'!AA47)*СПРАВОЧНИК!$L$14+('ФАКТ ЧИСТ К1'!AB47)*СПРАВОЧНИК!$M$14+('ФАКТ ЧИСТ К1'!AC47)*СПРАВОЧНИК!$N$14+('ФАКТ ЧИСТ К1'!AD47)*СПРАВОЧНИК!$O$14+('ФАКТ ЧИСТ К1'!AE47)*СПРАВОЧНИК!$P$14+('ФАКТ ЧИСТ К1'!AF47)*СПРАВОЧНИК!$L$15+('ФАКТ ЧИСТ К1'!AG47)*СПРАВОЧНИК!$M$15+('ФАКТ ЧИСТ К1'!AH47)*СПРАВОЧНИК!$N$15+('ФАКТ ЧИСТ К1'!AI47)*СПРАВОЧНИК!$O$15+('ФАКТ ЧИСТ К1'!AJ47)*СПРАВОЧНИК!$P$15</f>
        <v/>
      </c>
      <c r="AI56" s="34" t="n"/>
      <c r="AL56" s="152">
        <f>AL55+7</f>
        <v/>
      </c>
      <c r="AM56" s="17">
        <f>СПРАВОЧНИК!$E$9*('ПЛАН ЧЕРН К2'!B47*СПРАВОЧНИК!$H$9+'ПЛАН ЧЕРН К2'!C47*СПРАВОЧНИК!$I$9+'ПЛАН ЧЕРН К2'!D47*СПРАВОЧНИК!$J$9)+СПРАВОЧНИК!$F$9*('ПЛАН ЧИСТ К2'!B47*СПРАВОЧНИК!$L$9+'ПЛАН ЧИСТ К2'!C47*СПРАВОЧНИК!$M$9+'ПЛАН ЧИСТ К2'!D47*СПРАВОЧНИК!$N$9+'ПЛАН ЧИСТ К2'!E47*СПРАВОЧНИК!$O$9+'ПЛАН ЧИСТ К2'!F47*СПРАВОЧНИК!$P$9)+СПРАВОЧНИК!$E$10*('ПЛАН ЧЕРН К2'!E47*СПРАВОЧНИК!$H$10+'ПЛАН ЧЕРН К2'!F47*СПРАВОЧНИК!$I$10+'ПЛАН ЧЕРН К2'!G47*СПРАВОЧНИК!$J$10)+СПРАВОЧНИК!$F$10*('ПЛАН ЧИСТ К2'!G47*СПРАВОЧНИК!$L$10+'ПЛАН ЧИСТ К2'!H47*СПРАВОЧНИК!$M$10+'ПЛАН ЧИСТ К2'!I47*СПРАВОЧНИК!$N$10+'ПЛАН ЧИСТ К2'!J47*СПРАВОЧНИК!$O$10+'ПЛАН ЧИСТ К2'!K47*СПРАВОЧНИК!$P$10)+СПРАВОЧНИК!$E$11*('ПЛАН ЧЕРН К2'!H47*СПРАВОЧНИК!$H$11+'ПЛАН ЧЕРН К2'!I47*СПРАВОЧНИК!$I$11+'ПЛАН ЧЕРН К2'!J47*СПРАВОЧНИК!$J$11)+СПРАВОЧНИК!$F$11*('ПЛАН ЧИСТ К2'!L47*СПРАВОЧНИК!$L$11+'ПЛАН ЧИСТ К2'!M47*СПРАВОЧНИК!$M$11+'ПЛАН ЧИСТ К2'!N47*СПРАВОЧНИК!$N$11+'ПЛАН ЧИСТ К2'!O47*СПРАВОЧНИК!$O$11+'ПЛАН ЧИСТ К2'!P47*СПРАВОЧНИК!$P$11)+СПРАВОЧНИК!$E$12*('ПЛАН ЧЕРН К2'!K47*СПРАВОЧНИК!$H$12+'ПЛАН ЧЕРН К2'!L47*СПРАВОЧНИК!$I$12+'ПЛАН ЧЕРН К2'!M47*СПРАВОЧНИК!$J$12)+СПРАВОЧНИК!$F$12*('ПЛАН ЧИСТ К2'!Q47*СПРАВОЧНИК!$L$12+'ПЛАН ЧИСТ К2'!R47*СПРАВОЧНИК!$M$12+'ПЛАН ЧИСТ К2'!S47*СПРАВОЧНИК!$N$12+'ПЛАН ЧИСТ К2'!T47*СПРАВОЧНИК!$O$12+'ПЛАН ЧИСТ К2'!U47*СПРАВОЧНИК!$P$12)+СПРАВОЧНИК!$E$13*('ПЛАН ЧЕРН К2'!N47*СПРАВОЧНИК!$H$13+'ПЛАН ЧЕРН К2'!O47*СПРАВОЧНИК!$I$13+'ПЛАН ЧЕРН К2'!P47*СПРАВОЧНИК!$J$13)+СПРАВОЧНИК!$F$13*('ПЛАН ЧИСТ К2'!V47*СПРАВОЧНИК!$L$13+'ПЛАН ЧИСТ К2'!W47*СПРАВОЧНИК!$M$13+'ПЛАН ЧИСТ К2'!X47*СПРАВОЧНИК!$N$13+'ПЛАН ЧИСТ К2'!Y47*СПРАВОЧНИК!$O$13+'ПЛАН ЧИСТ К2'!Z47*СПРАВОЧНИК!$P$13)+СПРАВОЧНИК!$E$14*('ПЛАН ЧЕРН К2'!Q47*СПРАВОЧНИК!$H$14+'ПЛАН ЧЕРН К2'!R47*СПРАВОЧНИК!$I$14+'ПЛАН ЧЕРН К2'!S47*СПРАВОЧНИК!$J$14)+СПРАВОЧНИК!$F$14*('ПЛАН ЧИСТ К2'!AA47*СПРАВОЧНИК!$L$14+'ПЛАН ЧИСТ К2'!AB47*СПРАВОЧНИК!$M$14+'ПЛАН ЧИСТ К2'!AC47*СПРАВОЧНИК!$N$14+'ПЛАН ЧИСТ К2'!AD47*СПРАВОЧНИК!$O$14+'ПЛАН ЧИСТ К2'!AE47*СПРАВОЧНИК!$P$14)+СПРАВОЧНИК!$E$15*('ПЛАН ЧЕРН К2'!T47*СПРАВОЧНИК!$H$15+'ПЛАН ЧЕРН К2'!U47*СПРАВОЧНИК!$I$15+'ПЛАН ЧЕРН К2'!V47*СПРАВОЧНИК!$J$15)+СПРАВОЧНИК!$F$15*('ПЛАН ЧИСТ К2'!AF47*СПРАВОЧНИК!$L$15+'ПЛАН ЧИСТ К2'!AG47*СПРАВОЧНИК!$M$15+'ПЛАН ЧИСТ К2'!AH47*СПРАВОЧНИК!$N$15+'ПЛАН ЧИСТ К2'!AI47*СПРАВОЧНИК!$O$15+'ПЛАН ЧИСТ К2'!AJ47*СПРАВОЧНИК!$P$15)</f>
        <v/>
      </c>
      <c r="AN56" s="31">
        <f>СПРАВОЧНИК!$E$9*('ФАКТ ЧЕРН К2'!B47*СПРАВОЧНИК!$H$9+'ФАКТ ЧЕРН К2'!C47*СПРАВОЧНИК!$I$9+'ФАКТ ЧЕРН К2'!D47*СПРАВОЧНИК!$J$9)+СПРАВОЧНИК!$F$9*('ФАКТ ЧИСТ К2'!B47*СПРАВОЧНИК!$L$9+'ФАКТ ЧИСТ К2'!C47*СПРАВОЧНИК!$M$9+'ФАКТ ЧИСТ К2'!D47*СПРАВОЧНИК!$N$9+'ФАКТ ЧИСТ К2'!E47*СПРАВОЧНИК!$O$9+'ФАКТ ЧИСТ К2'!F47*СПРАВОЧНИК!$P$9)+СПРАВОЧНИК!$E$10*('ФАКТ ЧЕРН К2'!E47*СПРАВОЧНИК!$H$10+'ФАКТ ЧЕРН К2'!F47*СПРАВОЧНИК!$I$10+'ФАКТ ЧЕРН К2'!G47*СПРАВОЧНИК!$J$10)+СПРАВОЧНИК!$F$10*('ФАКТ ЧИСТ К2'!G47*СПРАВОЧНИК!$L$10+'ФАКТ ЧИСТ К2'!H47*СПРАВОЧНИК!$M$10+'ФАКТ ЧИСТ К2'!I47*СПРАВОЧНИК!$N$10+'ФАКТ ЧИСТ К2'!J47*СПРАВОЧНИК!$O$10+'ФАКТ ЧИСТ К2'!K47*СПРАВОЧНИК!$P$10)+СПРАВОЧНИК!$E$11*('ФАКТ ЧЕРН К2'!H47*СПРАВОЧНИК!$H$11+'ФАКТ ЧЕРН К2'!I47*СПРАВОЧНИК!$I$11+'ФАКТ ЧЕРН К2'!J47*СПРАВОЧНИК!$J$11)+СПРАВОЧНИК!$F$11*('ФАКТ ЧИСТ К2'!L47*СПРАВОЧНИК!$L$11+'ФАКТ ЧИСТ К2'!M47*СПРАВОЧНИК!$M$11+'ФАКТ ЧИСТ К2'!N47*СПРАВОЧНИК!$N$11+'ФАКТ ЧИСТ К2'!O47*СПРАВОЧНИК!$O$11+'ФАКТ ЧИСТ К2'!P47*СПРАВОЧНИК!$P$11)+СПРАВОЧНИК!$E$12*('ФАКТ ЧЕРН К2'!K47*СПРАВОЧНИК!$H$12+'ФАКТ ЧЕРН К2'!L47*СПРАВОЧНИК!$I$12+'ФАКТ ЧЕРН К2'!M47*СПРАВОЧНИК!$J$12)+СПРАВОЧНИК!$F$12*('ФАКТ ЧИСТ К2'!Q47*СПРАВОЧНИК!$L$12+'ФАКТ ЧИСТ К2'!R47*СПРАВОЧНИК!$M$12+'ФАКТ ЧИСТ К2'!S47*СПРАВОЧНИК!$N$12+'ФАКТ ЧИСТ К2'!T47*СПРАВОЧНИК!$O$12+'ФАКТ ЧИСТ К2'!U47*СПРАВОЧНИК!$P$12)+СПРАВОЧНИК!$E$13*('ФАКТ ЧЕРН К2'!N47*СПРАВОЧНИК!$H$13+'ФАКТ ЧЕРН К2'!O47*СПРАВОЧНИК!$I$13+'ФАКТ ЧЕРН К2'!P47*СПРАВОЧНИК!$J$13)+СПРАВОЧНИК!$F$13*('ФАКТ ЧИСТ К2'!V47*СПРАВОЧНИК!$L$13+'ФАКТ ЧИСТ К2'!W47*СПРАВОЧНИК!$M$13+'ФАКТ ЧИСТ К2'!X47*СПРАВОЧНИК!$N$13+'ФАКТ ЧИСТ К2'!Y47*СПРАВОЧНИК!$O$13+'ФАКТ ЧИСТ К2'!Z47*СПРАВОЧНИК!$P$13)+СПРАВОЧНИК!$E$14*('ФАКТ ЧЕРН К2'!Q47*СПРАВОЧНИК!$H$14+'ФАКТ ЧЕРН К2'!R47*СПРАВОЧНИК!$I$14+'ФАКТ ЧЕРН К2'!S47*СПРАВОЧНИК!$J$14)+СПРАВОЧНИК!$F$14*('ФАКТ ЧИСТ К2'!AA47*СПРАВОЧНИК!$L$14+'ФАКТ ЧИСТ К2'!AB47*СПРАВОЧНИК!$M$14+'ФАКТ ЧИСТ К2'!AC47*СПРАВОЧНИК!$N$14+'ФАКТ ЧИСТ К2'!AD47*СПРАВОЧНИК!$O$14+'ФАКТ ЧИСТ К2'!AE47*СПРАВОЧНИК!$P$14)+СПРАВОЧНИК!$E$15*('ФАКТ ЧЕРН К2'!T47*СПРАВОЧНИК!$H$15+'ФАКТ ЧЕРН К2'!U47*СПРАВОЧНИК!$I$15+'ФАКТ ЧЕРН К2'!V47*СПРАВОЧНИК!$J$15)+СПРАВОЧНИК!$F$15*('ФАКТ ЧИСТ К2'!AF47*СПРАВОЧНИК!$L$15+'ФАКТ ЧИСТ К2'!AG47*СПРАВОЧНИК!$M$15+'ФАКТ ЧИСТ К2'!AH47*СПРАВОЧНИК!$N$15+'ФАКТ ЧИСТ К2'!AI47*СПРАВОЧНИК!$O$15+'ФАКТ ЧИСТ К2'!AJ47*СПРАВОЧНИК!$P$15)</f>
        <v/>
      </c>
      <c r="AO56" s="34" t="n"/>
      <c r="AR56" s="152">
        <f>AR55+7</f>
        <v/>
      </c>
      <c r="AS56" s="17">
        <f>'ПЛАН ЧЕРН К2'!B47*СПРАВОЧНИК!$H$9+'ПЛАН ЧЕРН К2'!C47*СПРАВОЧНИК!$I$9+'ПЛАН ЧЕРН К2'!D47*СПРАВОЧНИК!$J$9+'ПЛАН ЧЕРН К2'!E47*СПРАВОЧНИК!$H$10+'ПЛАН ЧЕРН К2'!F47*СПРАВОЧНИК!$I$10+'ПЛАН ЧЕРН К2'!G47*СПРАВОЧНИК!$J$10+'ПЛАН ЧЕРН К2'!H47*СПРАВОЧНИК!$H$11+'ПЛАН ЧЕРН К2'!I47*СПРАВОЧНИК!$I$11+'ПЛАН ЧЕРН К2'!J47*СПРАВОЧНИК!$J$11+'ПЛАН ЧЕРН К2'!K47*СПРАВОЧНИК!$H$12+'ПЛАН ЧЕРН К2'!L47*СПРАВОЧНИК!$I$12+'ПЛАН ЧЕРН К2'!M47*СПРАВОЧНИК!$J$12+'ПЛАН ЧЕРН К2'!N47*СПРАВОЧНИК!$H$13+'ПЛАН ЧЕРН К2'!O47*СПРАВОЧНИК!$I$13+'ПЛАН ЧЕРН К2'!P47*СПРАВОЧНИК!$J$13+'ПЛАН ЧЕРН К2'!Q47*СПРАВОЧНИК!$H$14+'ПЛАН ЧЕРН К2'!R47*СПРАВОЧНИК!$I$14+'ПЛАН ЧЕРН К2'!S47*СПРАВОЧНИК!$J$14+'ПЛАН ЧЕРН К2'!T47*СПРАВОЧНИК!$H$15+'ПЛАН ЧЕРН К2'!U47*СПРАВОЧНИК!$I$15+'ПЛАН ЧЕРН К2'!V47*СПРАВОЧНИК!$J$15</f>
        <v/>
      </c>
      <c r="AT56" s="31">
        <f>('ФАКТ ЧЕРН К2'!B47)*СПРАВОЧНИК!$H$9+('ФАКТ ЧЕРН К2'!C47)*СПРАВОЧНИК!$I$9+('ФАКТ ЧЕРН К2'!D47)*СПРАВОЧНИК!$J$9+('ФАКТ ЧЕРН К2'!E47)*СПРАВОЧНИК!$H$10+('ФАКТ ЧЕРН К2'!F47)*СПРАВОЧНИК!$I$10+('ФАКТ ЧЕРН К2'!G47)*СПРАВОЧНИК!$J$10+('ФАКТ ЧЕРН К2'!H47)*СПРАВОЧНИК!$H$11+('ФАКТ ЧЕРН К2'!I47)*СПРАВОЧНИК!$I$11+('ФАКТ ЧЕРН К2'!J47)*СПРАВОЧНИК!$J$11+('ФАКТ ЧЕРН К2'!K47)*СПРАВОЧНИК!$H$12+('ФАКТ ЧЕРН К2'!L47)*СПРАВОЧНИК!$I$12+('ФАКТ ЧЕРН К2'!M47)*СПРАВОЧНИК!$J$12+('ФАКТ ЧЕРН К2'!N47)*СПРАВОЧНИК!$H$13+('ФАКТ ЧЕРН К2'!O47)*СПРАВОЧНИК!$I$13+('ФАКТ ЧЕРН К2'!P47)*СПРАВОЧНИК!$J$13+('ФАКТ ЧЕРН К2'!Q47)*СПРАВОЧНИК!$H$14+('ФАКТ ЧЕРН К2'!R47)*СПРАВОЧНИК!$I$14+('ФАКТ ЧЕРН К2'!S47)*СПРАВОЧНИК!$J$14+('ФАКТ ЧЕРН К2'!T47)*СПРАВОЧНИК!$H$15+('ФАКТ ЧЕРН К2'!U47)*СПРАВОЧНИК!$I$15+('ФАКТ ЧЕРН К2'!V47)*СПРАВОЧНИК!$J$15</f>
        <v/>
      </c>
      <c r="AU56" s="34" t="n"/>
      <c r="AX56" s="152">
        <f>AX55+7</f>
        <v/>
      </c>
      <c r="AY56" s="17">
        <f>'ПЛАН ЧИСТ К2'!B47*СПРАВОЧНИК!$L$9+'ПЛАН ЧИСТ К2'!C47*СПРАВОЧНИК!$M$9+'ПЛАН ЧИСТ К2'!D47*СПРАВОЧНИК!$N$9+'ПЛАН ЧИСТ К2'!E47*СПРАВОЧНИК!$O$9+'ПЛАН ЧИСТ К2'!F47*СПРАВОЧНИК!$P$9+'ПЛАН ЧИСТ К2'!G47*СПРАВОЧНИК!$L$10+'ПЛАН ЧИСТ К2'!H47*СПРАВОЧНИК!$M$10+'ПЛАН ЧИСТ К2'!I47*СПРАВОЧНИК!$N$10+'ПЛАН ЧИСТ К2'!J47*СПРАВОЧНИК!$O$10+'ПЛАН ЧИСТ К2'!K47*СПРАВОЧНИК!$P$10+'ПЛАН ЧИСТ К2'!L47*СПРАВОЧНИК!$L$11+'ПЛАН ЧИСТ К2'!M47*СПРАВОЧНИК!$M$11+'ПЛАН ЧИСТ К2'!N47*СПРАВОЧНИК!$N$11+'ПЛАН ЧИСТ К2'!O47*СПРАВОЧНИК!$O$11+'ПЛАН ЧИСТ К2'!P47*СПРАВОЧНИК!$P$11+'ПЛАН ЧИСТ К2'!Q47*СПРАВОЧНИК!$L$12+'ПЛАН ЧИСТ К2'!R47*СПРАВОЧНИК!$M$12+'ПЛАН ЧИСТ К2'!S47*СПРАВОЧНИК!$N$12+'ПЛАН ЧИСТ К2'!T47*СПРАВОЧНИК!$O$12+'ПЛАН ЧИСТ К2'!U47*СПРАВОЧНИК!$P$12+'ПЛАН ЧИСТ К2'!V47*СПРАВОЧНИК!$L$13+'ПЛАН ЧИСТ К2'!W47*СПРАВОЧНИК!$M$13+'ПЛАН ЧИСТ К2'!X47*СПРАВОЧНИК!$N$13+'ПЛАН ЧИСТ К2'!Y47*СПРАВОЧНИК!$O$13+'ПЛАН ЧИСТ К2'!Z47*СПРАВОЧНИК!$P$13+'ПЛАН ЧИСТ К2'!AA47*СПРАВОЧНИК!$L$14+'ПЛАН ЧИСТ К2'!AB47*СПРАВОЧНИК!$M$14+'ПЛАН ЧИСТ К2'!AC47*СПРАВОЧНИК!$N$14+'ПЛАН ЧИСТ К2'!AD47*СПРАВОЧНИК!$O$14+'ПЛАН ЧИСТ К2'!AE47*СПРАВОЧНИК!$P$14+'ПЛАН ЧИСТ К2'!AF47*СПРАВОЧНИК!$L$15+'ПЛАН ЧИСТ К2'!AG47*СПРАВОЧНИК!$M$15+'ПЛАН ЧИСТ К2'!AH47*СПРАВОЧНИК!$N$15+'ПЛАН ЧИСТ К2'!AI47*СПРАВОЧНИК!$O$15+'ПЛАН ЧИСТ К2'!AJ47*СПРАВОЧНИК!$P$15</f>
        <v/>
      </c>
      <c r="AZ56" s="31">
        <f>('ФАКТ ЧИСТ К2'!B47)*СПРАВОЧНИК!$L$9+('ФАКТ ЧИСТ К2'!C47)*СПРАВОЧНИК!$M$9+('ФАКТ ЧИСТ К2'!D47)*СПРАВОЧНИК!$N$9+('ФАКТ ЧИСТ К2'!E47)*СПРАВОЧНИК!$O$9+('ФАКТ ЧИСТ К2'!F47)*СПРАВОЧНИК!$P$9+('ФАКТ ЧИСТ К2'!G47)*СПРАВОЧНИК!$L$10+('ФАКТ ЧИСТ К2'!H47)*СПРАВОЧНИК!$M$10+('ФАКТ ЧИСТ К2'!I47)*СПРАВОЧНИК!$N$10+('ФАКТ ЧИСТ К2'!J47)*СПРАВОЧНИК!$O$10+('ФАКТ ЧИСТ К2'!K47)*СПРАВОЧНИК!$P$10+('ФАКТ ЧИСТ К2'!L47)*СПРАВОЧНИК!$L$11+('ФАКТ ЧИСТ К2'!M47)*СПРАВОЧНИК!$M$11+('ФАКТ ЧИСТ К2'!N47)*СПРАВОЧНИК!$N$11+('ФАКТ ЧИСТ К2'!O47)*СПРАВОЧНИК!$O$11+('ФАКТ ЧИСТ К2'!P47)*СПРАВОЧНИК!$P$11+('ФАКТ ЧИСТ К2'!Q47)*СПРАВОЧНИК!$L$12+('ФАКТ ЧИСТ К2'!R47)*СПРАВОЧНИК!$M$12+('ФАКТ ЧИСТ К2'!S47)*СПРАВОЧНИК!$N$12+('ФАКТ ЧИСТ К2'!T47)*СПРАВОЧНИК!$O$12+('ФАКТ ЧИСТ К2'!U47)*СПРАВОЧНИК!$P$12+('ФАКТ ЧИСТ К2'!V47)*СПРАВОЧНИК!$L$13+('ФАКТ ЧИСТ К2'!W47)*СПРАВОЧНИК!$M$13+('ФАКТ ЧИСТ К2'!X47)*СПРАВОЧНИК!$N$13+('ФАКТ ЧИСТ К2'!Y47)*СПРАВОЧНИК!$O$13+('ФАКТ ЧИСТ К2'!Z47)*СПРАВОЧНИК!$P$13+('ФАКТ ЧИСТ К2'!AA47)*СПРАВОЧНИК!$L$14+('ФАКТ ЧИСТ К2'!AB47)*СПРАВОЧНИК!$M$14+('ФАКТ ЧИСТ К2'!AC47)*СПРАВОЧНИК!$N$14+('ФАКТ ЧИСТ К2'!AD47)*СПРАВОЧНИК!$O$14+('ФАКТ ЧИСТ К2'!AE47)*СПРАВОЧНИК!$P$14+('ФАКТ ЧИСТ К2'!AF47)*СПРАВОЧНИК!$L$15+('ФАКТ ЧИСТ К2'!AG47)*СПРАВОЧНИК!$M$15+('ФАКТ ЧИСТ К2'!AH47)*СПРАВОЧНИК!$N$15+('ФАКТ ЧИСТ К2'!AI47)*СПРАВОЧНИК!$O$15+('ФАКТ ЧИСТ К2'!AJ47)*СПРАВОЧНИК!$P$15</f>
        <v/>
      </c>
      <c r="BA56" s="34" t="n"/>
      <c r="BD56" s="152">
        <f>BD55+7</f>
        <v/>
      </c>
      <c r="BE56" s="17">
        <f>СПРАВОЧНИК!$E$9*('ПЛАН ЧЕРН К3'!B47*СПРАВОЧНИК!$H$9+'ПЛАН ЧЕРН К3'!C47*СПРАВОЧНИК!$I$9+'ПЛАН ЧЕРН К3'!D47*СПРАВОЧНИК!$J$9)+СПРАВОЧНИК!$F$9*('ПЛАН ЧИСТ К3'!B47*СПРАВОЧНИК!$L$9+'ПЛАН ЧИСТ К3'!C47*СПРАВОЧНИК!$M$9+'ПЛАН ЧИСТ К3'!D47*СПРАВОЧНИК!$N$9+'ПЛАН ЧИСТ К3'!E47*СПРАВОЧНИК!$O$9+'ПЛАН ЧИСТ К3'!F47*СПРАВОЧНИК!$P$9)+СПРАВОЧНИК!$E$10*('ПЛАН ЧЕРН К3'!E47*СПРАВОЧНИК!$H$10+'ПЛАН ЧЕРН К3'!F47*СПРАВОЧНИК!$I$10+'ПЛАН ЧЕРН К3'!G47*СПРАВОЧНИК!$J$10)+СПРАВОЧНИК!$F$10*('ПЛАН ЧИСТ К3'!G47*СПРАВОЧНИК!$L$10+'ПЛАН ЧИСТ К3'!H47*СПРАВОЧНИК!$M$10+'ПЛАН ЧИСТ К3'!I47*СПРАВОЧНИК!$N$10+'ПЛАН ЧИСТ К3'!J47*СПРАВОЧНИК!$O$10+'ПЛАН ЧИСТ К3'!K47*СПРАВОЧНИК!$P$10)+СПРАВОЧНИК!$E$11*('ПЛАН ЧЕРН К3'!H47*СПРАВОЧНИК!$H$11+'ПЛАН ЧЕРН К3'!I47*СПРАВОЧНИК!$I$11+'ПЛАН ЧЕРН К3'!J47*СПРАВОЧНИК!$J$11)+СПРАВОЧНИК!$F$11*('ПЛАН ЧИСТ К3'!L47*СПРАВОЧНИК!$L$11+'ПЛАН ЧИСТ К3'!M47*СПРАВОЧНИК!$M$11+'ПЛАН ЧИСТ К3'!N47*СПРАВОЧНИК!$N$11+'ПЛАН ЧИСТ К3'!O47*СПРАВОЧНИК!$O$11+'ПЛАН ЧИСТ К3'!P47*СПРАВОЧНИК!$P$11)+СПРАВОЧНИК!$E$12*('ПЛАН ЧЕРН К3'!K47*СПРАВОЧНИК!$H$12+'ПЛАН ЧЕРН К3'!L47*СПРАВОЧНИК!$I$12+'ПЛАН ЧЕРН К3'!M47*СПРАВОЧНИК!$J$12)+СПРАВОЧНИК!$F$12*('ПЛАН ЧИСТ К3'!Q47*СПРАВОЧНИК!$L$12+'ПЛАН ЧИСТ К3'!R47*СПРАВОЧНИК!$M$12+'ПЛАН ЧИСТ К3'!S47*СПРАВОЧНИК!$N$12+'ПЛАН ЧИСТ К3'!T47*СПРАВОЧНИК!$O$12+'ПЛАН ЧИСТ К3'!U47*СПРАВОЧНИК!$P$12)+СПРАВОЧНИК!$E$13*('ПЛАН ЧЕРН К3'!N47*СПРАВОЧНИК!$H$13+'ПЛАН ЧЕРН К3'!O47*СПРАВОЧНИК!$I$13+'ПЛАН ЧЕРН К3'!P47*СПРАВОЧНИК!$J$13)+СПРАВОЧНИК!$F$13*('ПЛАН ЧИСТ К3'!V47*СПРАВОЧНИК!$L$13+'ПЛАН ЧИСТ К3'!W47*СПРАВОЧНИК!$M$13+'ПЛАН ЧИСТ К3'!X47*СПРАВОЧНИК!$N$13+'ПЛАН ЧИСТ К3'!Y47*СПРАВОЧНИК!$O$13+'ПЛАН ЧИСТ К3'!Z47*СПРАВОЧНИК!$P$13)+СПРАВОЧНИК!$E$14*('ПЛАН ЧЕРН К3'!Q47*СПРАВОЧНИК!$H$14+'ПЛАН ЧЕРН К3'!R47*СПРАВОЧНИК!$I$14+'ПЛАН ЧЕРН К3'!S47*СПРАВОЧНИК!$J$14)+СПРАВОЧНИК!$F$14*('ПЛАН ЧИСТ К3'!AA47*СПРАВОЧНИК!$L$14+'ПЛАН ЧИСТ К3'!AB47*СПРАВОЧНИК!$M$14+'ПЛАН ЧИСТ К3'!AC47*СПРАВОЧНИК!$N$14+'ПЛАН ЧИСТ К3'!AD47*СПРАВОЧНИК!$O$14+'ПЛАН ЧИСТ К3'!AE47*СПРАВОЧНИК!$P$14)+СПРАВОЧНИК!$E$15*('ПЛАН ЧЕРН К3'!T47*СПРАВОЧНИК!$H$15+'ПЛАН ЧЕРН К3'!U47*СПРАВОЧНИК!$I$15+'ПЛАН ЧЕРН К3'!V47*СПРАВОЧНИК!$J$15)+СПРАВОЧНИК!$F$15*('ПЛАН ЧИСТ К3'!AF47*СПРАВОЧНИК!$L$15+'ПЛАН ЧИСТ К3'!AG47*СПРАВОЧНИК!$M$15+'ПЛАН ЧИСТ К3'!AH47*СПРАВОЧНИК!$N$15+'ПЛАН ЧИСТ К3'!AI47*СПРАВОЧНИК!$O$15+'ПЛАН ЧИСТ К3'!AJ47*СПРАВОЧНИК!$P$15)</f>
        <v/>
      </c>
      <c r="BF56" s="31">
        <f>СПРАВОЧНИК!$E$9*('ФАКТ ЧЕРН К3'!B47*СПРАВОЧНИК!$H$9+'ФАКТ ЧЕРН К3'!C47*СПРАВОЧНИК!$I$9+'ФАКТ ЧЕРН К3'!D47*СПРАВОЧНИК!$J$9)+СПРАВОЧНИК!$F$9*('ФАКТ ЧИСТ К3'!B47*СПРАВОЧНИК!$L$9+'ФАКТ ЧИСТ К3'!C47*СПРАВОЧНИК!$M$9+'ФАКТ ЧИСТ К3'!D47*СПРАВОЧНИК!$N$9+'ФАКТ ЧИСТ К3'!E47*СПРАВОЧНИК!$O$9+'ФАКТ ЧИСТ К3'!F47*СПРАВОЧНИК!$P$9)+СПРАВОЧНИК!$E$10*('ФАКТ ЧЕРН К3'!E47*СПРАВОЧНИК!$H$10+'ФАКТ ЧЕРН К3'!F47*СПРАВОЧНИК!$I$10+'ФАКТ ЧЕРН К3'!G47*СПРАВОЧНИК!$J$10)+СПРАВОЧНИК!$F$10*('ФАКТ ЧИСТ К3'!G47*СПРАВОЧНИК!$L$10+'ФАКТ ЧИСТ К3'!H47*СПРАВОЧНИК!$M$10+'ФАКТ ЧИСТ К3'!I47*СПРАВОЧНИК!$N$10+'ФАКТ ЧИСТ К3'!J47*СПРАВОЧНИК!$O$10+'ФАКТ ЧИСТ К3'!K47*СПРАВОЧНИК!$P$10)+СПРАВОЧНИК!$E$11*('ФАКТ ЧЕРН К3'!H47*СПРАВОЧНИК!$H$11+'ФАКТ ЧЕРН К3'!I47*СПРАВОЧНИК!$I$11+'ФАКТ ЧЕРН К3'!J47*СПРАВОЧНИК!$J$11)+СПРАВОЧНИК!$F$11*('ФАКТ ЧИСТ К3'!L47*СПРАВОЧНИК!$L$11+'ФАКТ ЧИСТ К3'!M47*СПРАВОЧНИК!$M$11+'ФАКТ ЧИСТ К3'!N47*СПРАВОЧНИК!$N$11+'ФАКТ ЧИСТ К3'!O47*СПРАВОЧНИК!$O$11+'ФАКТ ЧИСТ К3'!P47*СПРАВОЧНИК!$P$11)+СПРАВОЧНИК!$E$12*('ФАКТ ЧЕРН К3'!K47*СПРАВОЧНИК!$H$12+'ФАКТ ЧЕРН К3'!L47*СПРАВОЧНИК!$I$12+'ФАКТ ЧЕРН К3'!M47*СПРАВОЧНИК!$J$12)+СПРАВОЧНИК!$F$12*('ФАКТ ЧИСТ К3'!Q47*СПРАВОЧНИК!$L$12+'ФАКТ ЧИСТ К3'!R47*СПРАВОЧНИК!$M$12+'ФАКТ ЧИСТ К3'!S47*СПРАВОЧНИК!$N$12+'ФАКТ ЧИСТ К3'!T47*СПРАВОЧНИК!$O$12+'ФАКТ ЧИСТ К3'!U47*СПРАВОЧНИК!$P$12)+СПРАВОЧНИК!$E$13*('ФАКТ ЧЕРН К3'!N47*СПРАВОЧНИК!$H$13+'ФАКТ ЧЕРН К3'!O47*СПРАВОЧНИК!$I$13+'ФАКТ ЧЕРН К3'!P47*СПРАВОЧНИК!$J$13)+СПРАВОЧНИК!$F$13*('ФАКТ ЧИСТ К3'!V47*СПРАВОЧНИК!$L$13+'ФАКТ ЧИСТ К3'!W47*СПРАВОЧНИК!$M$13+'ФАКТ ЧИСТ К3'!X47*СПРАВОЧНИК!$N$13+'ФАКТ ЧИСТ К3'!Y47*СПРАВОЧНИК!$O$13+'ФАКТ ЧИСТ К3'!Z47*СПРАВОЧНИК!$P$13)+СПРАВОЧНИК!$E$14*('ФАКТ ЧЕРН К3'!Q47*СПРАВОЧНИК!$H$14+'ФАКТ ЧЕРН К3'!R47*СПРАВОЧНИК!$I$14+'ФАКТ ЧЕРН К3'!S47*СПРАВОЧНИК!$J$14)+СПРАВОЧНИК!$F$14*('ФАКТ ЧИСТ К3'!AA47*СПРАВОЧНИК!$L$14+'ФАКТ ЧИСТ К3'!AB47*СПРАВОЧНИК!$M$14+'ФАКТ ЧИСТ К3'!AC47*СПРАВОЧНИК!$N$14+'ФАКТ ЧИСТ К3'!AD47*СПРАВОЧНИК!$O$14+'ФАКТ ЧИСТ К3'!AE47*СПРАВОЧНИК!$P$14)+СПРАВОЧНИК!$E$15*('ФАКТ ЧЕРН К3'!T47*СПРАВОЧНИК!$H$15+'ФАКТ ЧЕРН К3'!U47*СПРАВОЧНИК!$I$15+'ФАКТ ЧЕРН К3'!V47*СПРАВОЧНИК!$J$15)+СПРАВОЧНИК!$F$15*('ФАКТ ЧИСТ К3'!AF47*СПРАВОЧНИК!$L$15+'ФАКТ ЧИСТ К3'!AG47*СПРАВОЧНИК!$M$15+'ФАКТ ЧИСТ К3'!AH47*СПРАВОЧНИК!$N$15+'ФАКТ ЧИСТ К3'!AI47*СПРАВОЧНИК!$O$15+'ФАКТ ЧИСТ К3'!AJ47*СПРАВОЧНИК!$P$15)</f>
        <v/>
      </c>
      <c r="BG56" s="34" t="n"/>
      <c r="BJ56" s="152">
        <f>BJ55+7</f>
        <v/>
      </c>
      <c r="BK56" s="17">
        <f>'ПЛАН ЧЕРН К3'!B47*СПРАВОЧНИК!$H$9+'ПЛАН ЧЕРН К3'!C47*СПРАВОЧНИК!$I$9+'ПЛАН ЧЕРН К3'!D47*СПРАВОЧНИК!$J$9+'ПЛАН ЧЕРН К3'!E47*СПРАВОЧНИК!$H$10+'ПЛАН ЧЕРН К3'!F47*СПРАВОЧНИК!$I$10+'ПЛАН ЧЕРН К3'!G47*СПРАВОЧНИК!$J$10+'ПЛАН ЧЕРН К3'!H47*СПРАВОЧНИК!$H$11+'ПЛАН ЧЕРН К3'!I47*СПРАВОЧНИК!$I$11+'ПЛАН ЧЕРН К3'!J47*СПРАВОЧНИК!$J$11+'ПЛАН ЧЕРН К3'!K47*СПРАВОЧНИК!$H$12+'ПЛАН ЧЕРН К3'!L47*СПРАВОЧНИК!$I$12+'ПЛАН ЧЕРН К3'!M47*СПРАВОЧНИК!$J$12+'ПЛАН ЧЕРН К3'!N47*СПРАВОЧНИК!$H$13+'ПЛАН ЧЕРН К3'!O47*СПРАВОЧНИК!$I$13+'ПЛАН ЧЕРН К3'!P47*СПРАВОЧНИК!$J$13+'ПЛАН ЧЕРН К3'!Q47*СПРАВОЧНИК!$H$14+'ПЛАН ЧЕРН К3'!R47*СПРАВОЧНИК!$I$14+'ПЛАН ЧЕРН К3'!S47*СПРАВОЧНИК!$J$14+'ПЛАН ЧЕРН К3'!T47*СПРАВОЧНИК!$H$15+'ПЛАН ЧЕРН К3'!U47*СПРАВОЧНИК!$I$15+'ПЛАН ЧЕРН К3'!V47*СПРАВОЧНИК!$J$15</f>
        <v/>
      </c>
      <c r="BL56" s="31">
        <f>('ФАКТ ЧЕРН К3'!B47)*СПРАВОЧНИК!$H$9+('ФАКТ ЧЕРН К3'!C47)*СПРАВОЧНИК!$I$9+('ФАКТ ЧЕРН К3'!D47)*СПРАВОЧНИК!$J$9+('ФАКТ ЧЕРН К3'!E47)*СПРАВОЧНИК!$H$10+('ФАКТ ЧЕРН К3'!F47)*СПРАВОЧНИК!$I$10+('ФАКТ ЧЕРН К3'!G47)*СПРАВОЧНИК!$J$10+('ФАКТ ЧЕРН К3'!H47)*СПРАВОЧНИК!$H$11+('ФАКТ ЧЕРН К3'!I47)*СПРАВОЧНИК!$I$11+('ФАКТ ЧЕРН К3'!J47)*СПРАВОЧНИК!$J$11+('ФАКТ ЧЕРН К3'!K47)*СПРАВОЧНИК!$H$12+('ФАКТ ЧЕРН К3'!L47)*СПРАВОЧНИК!$I$12+('ФАКТ ЧЕРН К3'!M47)*СПРАВОЧНИК!$J$12+('ФАКТ ЧЕРН К3'!N47)*СПРАВОЧНИК!$H$13+('ФАКТ ЧЕРН К3'!O47)*СПРАВОЧНИК!$I$13+('ФАКТ ЧЕРН К3'!P47)*СПРАВОЧНИК!$J$13+('ФАКТ ЧЕРН К3'!Q47)*СПРАВОЧНИК!$H$14+('ФАКТ ЧЕРН К3'!R47)*СПРАВОЧНИК!$I$14+('ФАКТ ЧЕРН К3'!S47)*СПРАВОЧНИК!$J$14+('ФАКТ ЧЕРН К3'!T47)*СПРАВОЧНИК!$H$15+('ФАКТ ЧЕРН К3'!U47)*СПРАВОЧНИК!$I$15+('ФАКТ ЧЕРН К3'!V47)*СПРАВОЧНИК!$J$15</f>
        <v/>
      </c>
      <c r="BM56" s="34" t="n"/>
      <c r="BP56" s="152">
        <f>BP55+7</f>
        <v/>
      </c>
      <c r="BQ56" s="17">
        <f>'ПЛАН ЧИСТ К3'!B47*СПРАВОЧНИК!$L$9+'ПЛАН ЧИСТ К3'!C47*СПРАВОЧНИК!$M$9+'ПЛАН ЧИСТ К3'!D47*СПРАВОЧНИК!$N$9+'ПЛАН ЧИСТ К3'!E47*СПРАВОЧНИК!$O$9+'ПЛАН ЧИСТ К3'!F47*СПРАВОЧНИК!$P$9+'ПЛАН ЧИСТ К3'!G47*СПРАВОЧНИК!$L$10+'ПЛАН ЧИСТ К3'!H47*СПРАВОЧНИК!$M$10+'ПЛАН ЧИСТ К3'!I47*СПРАВОЧНИК!$N$10+'ПЛАН ЧИСТ К3'!J47*СПРАВОЧНИК!$O$10+'ПЛАН ЧИСТ К3'!K47*СПРАВОЧНИК!$P$10+'ПЛАН ЧИСТ К3'!L47*СПРАВОЧНИК!$L$11+'ПЛАН ЧИСТ К3'!M47*СПРАВОЧНИК!$M$11+'ПЛАН ЧИСТ К3'!N47*СПРАВОЧНИК!$N$11+'ПЛАН ЧИСТ К3'!O47*СПРАВОЧНИК!$O$11+'ПЛАН ЧИСТ К3'!P47*СПРАВОЧНИК!$P$11+'ПЛАН ЧИСТ К3'!Q47*СПРАВОЧНИК!$L$12+'ПЛАН ЧИСТ К3'!R47*СПРАВОЧНИК!$M$12+'ПЛАН ЧИСТ К3'!S47*СПРАВОЧНИК!$N$12+'ПЛАН ЧИСТ К3'!T47*СПРАВОЧНИК!$O$12+'ПЛАН ЧИСТ К3'!U47*СПРАВОЧНИК!$P$12+'ПЛАН ЧИСТ К3'!V47*СПРАВОЧНИК!$L$13+'ПЛАН ЧИСТ К3'!W47*СПРАВОЧНИК!$M$13+'ПЛАН ЧИСТ К3'!X47*СПРАВОЧНИК!$N$13+'ПЛАН ЧИСТ К3'!Y47*СПРАВОЧНИК!$O$13+'ПЛАН ЧИСТ К3'!Z47*СПРАВОЧНИК!$P$13+'ПЛАН ЧИСТ К3'!AA47*СПРАВОЧНИК!$L$14+'ПЛАН ЧИСТ К3'!AB47*СПРАВОЧНИК!$M$14+'ПЛАН ЧИСТ К3'!AC47*СПРАВОЧНИК!$N$14+'ПЛАН ЧИСТ К3'!AD47*СПРАВОЧНИК!$O$14+'ПЛАН ЧИСТ К3'!AE47*СПРАВОЧНИК!$P$14+'ПЛАН ЧИСТ К3'!AF47*СПРАВОЧНИК!$L$15+'ПЛАН ЧИСТ К3'!AG47*СПРАВОЧНИК!$M$15+'ПЛАН ЧИСТ К3'!AH47*СПРАВОЧНИК!$N$15+'ПЛАН ЧИСТ К3'!AI47*СПРАВОЧНИК!$O$15+'ПЛАН ЧИСТ К3'!AJ47*СПРАВОЧНИК!$P$15</f>
        <v/>
      </c>
      <c r="BR56" s="31">
        <f>('ФАКТ ЧИСТ К3'!B47)*СПРАВОЧНИК!$L$9+('ФАКТ ЧИСТ К3'!C47)*СПРАВОЧНИК!$M$9+('ФАКТ ЧИСТ К3'!D47)*СПРАВОЧНИК!$N$9+('ФАКТ ЧИСТ К3'!E47)*СПРАВОЧНИК!$O$9+('ФАКТ ЧИСТ К3'!F47)*СПРАВОЧНИК!$P$9+('ФАКТ ЧИСТ К3'!G47)*СПРАВОЧНИК!$L$10+('ФАКТ ЧИСТ К3'!H47)*СПРАВОЧНИК!$M$10+('ФАКТ ЧИСТ К3'!I47)*СПРАВОЧНИК!$N$10+('ФАКТ ЧИСТ К3'!J47)*СПРАВОЧНИК!$O$10+('ФАКТ ЧИСТ К3'!K47)*СПРАВОЧНИК!$P$10+('ФАКТ ЧИСТ К3'!L47)*СПРАВОЧНИК!$L$11+('ФАКТ ЧИСТ К3'!M47)*СПРАВОЧНИК!$M$11+('ФАКТ ЧИСТ К3'!N47)*СПРАВОЧНИК!$N$11+('ФАКТ ЧИСТ К3'!O47)*СПРАВОЧНИК!$O$11+('ФАКТ ЧИСТ К3'!P47)*СПРАВОЧНИК!$P$11+('ФАКТ ЧИСТ К3'!Q47)*СПРАВОЧНИК!$L$12+('ФАКТ ЧИСТ К3'!R47)*СПРАВОЧНИК!$M$12+('ФАКТ ЧИСТ К3'!S47)*СПРАВОЧНИК!$N$12+('ФАКТ ЧИСТ К3'!T47)*СПРАВОЧНИК!$O$12+('ФАКТ ЧИСТ К3'!U47)*СПРАВОЧНИК!$P$12+('ФАКТ ЧИСТ К3'!V47)*СПРАВОЧНИК!$L$13+('ФАКТ ЧИСТ К3'!W47)*СПРАВОЧНИК!$M$13+('ФАКТ ЧИСТ К3'!X47)*СПРАВОЧНИК!$N$13+('ФАКТ ЧИСТ К3'!Y47)*СПРАВОЧНИК!$O$13+('ФАКТ ЧИСТ К3'!Z47)*СПРАВОЧНИК!$P$13+('ФАКТ ЧИСТ К3'!AA47)*СПРАВОЧНИК!$L$14+('ФАКТ ЧИСТ К3'!AB47)*СПРАВОЧНИК!$M$14+('ФАКТ ЧИСТ К3'!AC47)*СПРАВОЧНИК!$N$14+('ФАКТ ЧИСТ К3'!AD47)*СПРАВОЧНИК!$O$14+('ФАКТ ЧИСТ К3'!AE47)*СПРАВОЧНИК!$P$14+('ФАКТ ЧИСТ К3'!AF47)*СПРАВОЧНИК!$L$15+('ФАКТ ЧИСТ К3'!AG47)*СПРАВОЧНИК!$M$15+('ФАКТ ЧИСТ К3'!AH47)*СПРАВОЧНИК!$N$15+('ФАКТ ЧИСТ К3'!AI47)*СПРАВОЧНИК!$O$15+('ФАКТ ЧИСТ К3'!AJ47)*СПРАВОЧНИК!$P$15</f>
        <v/>
      </c>
      <c r="BS56" s="34" t="n"/>
      <c r="BV56" s="152">
        <f>BV55+7</f>
        <v/>
      </c>
      <c r="BW56" s="17">
        <f>U56*СПРАВОЧНИК!$K$28+AM56*СПРАВОЧНИК!$K$29+BE56*СПРАВОЧНИК!$K$30</f>
        <v/>
      </c>
      <c r="BX56" s="31">
        <f>V56*СПРАВОЧНИК!$K$28+AN56*СПРАВОЧНИК!$K$29+BF56*СПРАВОЧНИК!$K$30</f>
        <v/>
      </c>
      <c r="BY56" s="34" t="n"/>
      <c r="CB56" s="152">
        <f>CB55+7</f>
        <v/>
      </c>
      <c r="CC56" s="17">
        <f>AA56*СПРАВОЧНИК!$K$28+AS56*СПРАВОЧНИК!$K$29+BK56*СПРАВОЧНИК!$K$30</f>
        <v/>
      </c>
      <c r="CD56" s="31">
        <f>AB56*СПРАВОЧНИК!$K$28+AT56*СПРАВОЧНИК!$K$29+BL56*СПРАВОЧНИК!$K$30</f>
        <v/>
      </c>
      <c r="CE56" s="34" t="n"/>
      <c r="CH56" s="152">
        <f>CH55+7</f>
        <v/>
      </c>
      <c r="CI56" s="17">
        <f>AG56*СПРАВОЧНИК!$K$28+AY56*СПРАВОЧНИК!$K$29+BQ56*СПРАВОЧНИК!$K$30</f>
        <v/>
      </c>
      <c r="CJ56" s="31">
        <f>AH56*СПРАВОЧНИК!$K$28+AZ56*СПРАВОЧНИК!$K$29+BR56*СПРАВОЧНИК!$K$30</f>
        <v/>
      </c>
      <c r="CK56" s="34" t="n"/>
      <c r="CN56" s="152">
        <f>CN55+7</f>
        <v/>
      </c>
      <c r="CO56" s="17">
        <f>C56*СПРАВОЧНИК!$W$18+BW56*СПРАВОЧНИК!$W$19</f>
        <v/>
      </c>
      <c r="CP56" s="31">
        <f>D56*СПРАВОЧНИК!$W$18+BX56*СПРАВОЧНИК!$W$19</f>
        <v/>
      </c>
      <c r="CQ56" s="34" t="n"/>
      <c r="CT56" s="152">
        <f>CT55+7</f>
        <v/>
      </c>
      <c r="CU56" s="17">
        <f>I56*СПРАВОЧНИК!$W$18+CC56*СПРАВОЧНИК!$W$19</f>
        <v/>
      </c>
      <c r="CV56" s="31">
        <f>J56*СПРАВОЧНИК!$W$18+CD56*СПРАВОЧНИК!$W$19</f>
        <v/>
      </c>
      <c r="CW56" s="34" t="n"/>
      <c r="CZ56" s="152">
        <f>CZ55+7</f>
        <v/>
      </c>
      <c r="DA56" s="17">
        <f>O56*СПРАВОЧНИК!$W$18+CI56*СПРАВОЧНИК!$W$19</f>
        <v/>
      </c>
      <c r="DB56" s="31">
        <f>P56*СПРАВОЧНИК!$W$18+CJ56*СПРАВОЧНИК!$W$19</f>
        <v/>
      </c>
      <c r="DC56" s="34" t="n"/>
    </row>
    <row r="57">
      <c r="B57" s="152">
        <f>B56+7</f>
        <v/>
      </c>
      <c r="C57" s="17">
        <f>СПРАВОЧНИК!$E$3*('ПЛАН ЧЕРН ПОДЗЕМ'!B48*СПРАВОЧНИК!$H$3+'ПЛАН ЧЕРН ПОДЗЕМ'!C48*СПРАВОЧНИК!$I$3+'ПЛАН ЧЕРН ПОДЗЕМ'!D48*СПРАВОЧНИК!$J$3)+СПРАВОЧНИК!$F$3*('ПЛАН ЧИСТ ПОДЗЕМ'!B48*СПРАВОЧНИК!$L$3+'ПЛАН ЧИСТ ПОДЗЕМ'!C48*СПРАВОЧНИК!$M$3+'ПЛАН ЧИСТ ПОДЗЕМ'!D48*СПРАВОЧНИК!$N$3+'ПЛАН ЧИСТ ПОДЗЕМ'!E48*СПРАВОЧНИК!$O$3+'ПЛАН ЧИСТ ПОДЗЕМ'!F48*СПРАВОЧНИК!$P$3)+СПРАВОЧНИК!$E$4*('ПЛАН ЧЕРН ПОДЗЕМ'!E48*СПРАВОЧНИК!$H$4+'ПЛАН ЧЕРН ПОДЗЕМ'!F48*СПРАВОЧНИК!$I$4+'ПЛАН ЧЕРН ПОДЗЕМ'!G48*СПРАВОЧНИК!$J$4)+СПРАВОЧНИК!$F$4*('ПЛАН ЧИСТ ПОДЗЕМ'!G48*СПРАВОЧНИК!$L$4+'ПЛАН ЧИСТ ПОДЗЕМ'!H48*СПРАВОЧНИК!$M$4+'ПЛАН ЧИСТ ПОДЗЕМ'!I48*СПРАВОЧНИК!$N$4+'ПЛАН ЧИСТ ПОДЗЕМ'!J48*СПРАВОЧНИК!$O$4+'ПЛАН ЧИСТ ПОДЗЕМ'!K48*СПРАВОЧНИК!$P$4)+СПРАВОЧНИК!$E$5*('ПЛАН ЧЕРН ПОДЗЕМ'!H48*СПРАВОЧНИК!$H$5+'ПЛАН ЧЕРН ПОДЗЕМ'!I48*СПРАВОЧНИК!$I$5+'ПЛАН ЧЕРН ПОДЗЕМ'!J48*СПРАВОЧНИК!$J$5)+СПРАВОЧНИК!$F$5*('ПЛАН ЧИСТ ПОДЗЕМ'!L48*СПРАВОЧНИК!$L$5+'ПЛАН ЧИСТ ПОДЗЕМ'!M48*СПРАВОЧНИК!$M$5+'ПЛАН ЧИСТ ПОДЗЕМ'!N48*СПРАВОЧНИК!$N$5+'ПЛАН ЧИСТ ПОДЗЕМ'!O48*СПРАВОЧНИК!$O$5+'ПЛАН ЧИСТ ПОДЗЕМ'!P48*СПРАВОЧНИК!$P$5)+СПРАВОЧНИК!$E$6*('ПЛАН ЧЕРН ПОДЗЕМ'!K48*СПРАВОЧНИК!$H$6+'ПЛАН ЧЕРН ПОДЗЕМ'!L48*СПРАВОЧНИК!$I$6+'ПЛАН ЧЕРН ПОДЗЕМ'!M48*СПРАВОЧНИК!$J$6)+СПРАВОЧНИК!$F$6*('ПЛАН ЧИСТ ПОДЗЕМ'!Q48*СПРАВОЧНИК!$L$6+'ПЛАН ЧИСТ ПОДЗЕМ'!R48*СПРАВОЧНИК!$M$6+'ПЛАН ЧИСТ ПОДЗЕМ'!S48*СПРАВОЧНИК!$N$6+'ПЛАН ЧИСТ ПОДЗЕМ'!T48*СПРАВОЧНИК!$O$6+'ПЛАН ЧИСТ ПОДЗЕМ'!U48*СПРАВОЧНИК!$P$6)+СПРАВОЧНИК!$E$7*('ПЛАН ЧЕРН ПОДЗЕМ'!N48*СПРАВОЧНИК!$H$7+'ПЛАН ЧЕРН ПОДЗЕМ'!O48*СПРАВОЧНИК!$I$7+'ПЛАН ЧЕРН ПОДЗЕМ'!P48*СПРАВОЧНИК!$J$7)+СПРАВОЧНИК!$F$7*('ПЛАН ЧИСТ ПОДЗЕМ'!V48*СПРАВОЧНИК!$L$7+'ПЛАН ЧИСТ ПОДЗЕМ'!W48*СПРАВОЧНИК!$M$7+'ПЛАН ЧИСТ ПОДЗЕМ'!X48*СПРАВОЧНИК!$N$7+'ПЛАН ЧИСТ ПОДЗЕМ'!Y48*СПРАВОЧНИК!$O$7+'ПЛАН ЧИСТ ПОДЗЕМ'!Z48*СПРАВОЧНИК!$P$7)+СПРАВОЧНИК!$E$8*('ПЛАН ЧЕРН ПОДЗЕМ'!Q48*СПРАВОЧНИК!$H$8+'ПЛАН ЧЕРН ПОДЗЕМ'!R48*СПРАВОЧНИК!$I$8+'ПЛАН ЧЕРН ПОДЗЕМ'!S48*СПРАВОЧНИК!$J$8)+СПРАВОЧНИК!$F$8*('ПЛАН ЧИСТ ПОДЗЕМ'!AA48*СПРАВОЧНИК!$L$8+'ПЛАН ЧИСТ ПОДЗЕМ'!AB48*СПРАВОЧНИК!$M$8+'ПЛАН ЧИСТ ПОДЗЕМ'!AC48*СПРАВОЧНИК!$N$8+'ПЛАН ЧИСТ ПОДЗЕМ'!AD48*СПРАВОЧНИК!$O$8+'ПЛАН ЧИСТ ПОДЗЕМ'!AE48*СПРАВОЧНИК!$P$8)</f>
        <v/>
      </c>
      <c r="D57" s="31">
        <f>СПРАВОЧНИК!$E$3*('ФАКТ ЧЕРН ПОДЗЕМ'!B48*СПРАВОЧНИК!$H$3+'ФАКТ ЧЕРН ПОДЗЕМ'!C48*СПРАВОЧНИК!$I$3+'ФАКТ ЧЕРН ПОДЗЕМ'!D48*СПРАВОЧНИК!$J$3)+СПРАВОЧНИК!$F$3*('ФАКТ ЧИСТ ПОДЗЕМ'!B48*СПРАВОЧНИК!$L$3+'ФАКТ ЧИСТ ПОДЗЕМ'!C48*СПРАВОЧНИК!$M$3+'ФАКТ ЧИСТ ПОДЗЕМ'!D48*СПРАВОЧНИК!$N$3+'ФАКТ ЧИСТ ПОДЗЕМ'!E48*СПРАВОЧНИК!$O$3+'ФАКТ ЧИСТ ПОДЗЕМ'!F48*СПРАВОЧНИК!$P$3)+СПРАВОЧНИК!$E$4*('ФАКТ ЧЕРН ПОДЗЕМ'!E48*СПРАВОЧНИК!$H$4+'ФАКТ ЧЕРН ПОДЗЕМ'!F48*СПРАВОЧНИК!$I$4+'ФАКТ ЧЕРН ПОДЗЕМ'!G48*СПРАВОЧНИК!$J$4)+СПРАВОЧНИК!$F$4*('ФАКТ ЧИСТ ПОДЗЕМ'!G48*СПРАВОЧНИК!$L$4+'ФАКТ ЧИСТ ПОДЗЕМ'!H48*СПРАВОЧНИК!$M$4+'ФАКТ ЧИСТ ПОДЗЕМ'!I48*СПРАВОЧНИК!$N$4+'ФАКТ ЧИСТ ПОДЗЕМ'!J48*СПРАВОЧНИК!$O$4+'ФАКТ ЧИСТ ПОДЗЕМ'!K48*СПРАВОЧНИК!$P$4)+СПРАВОЧНИК!$E$5*('ФАКТ ЧЕРН ПОДЗЕМ'!H48*СПРАВОЧНИК!$H$5+'ФАКТ ЧЕРН ПОДЗЕМ'!I48*СПРАВОЧНИК!$I$5+'ФАКТ ЧЕРН ПОДЗЕМ'!J48*СПРАВОЧНИК!$J$5)+СПРАВОЧНИК!$F$5*('ФАКТ ЧИСТ ПОДЗЕМ'!L48*СПРАВОЧНИК!$L$5+'ФАКТ ЧИСТ ПОДЗЕМ'!M48*СПРАВОЧНИК!$M$5+'ФАКТ ЧИСТ ПОДЗЕМ'!N48*СПРАВОЧНИК!$N$5+'ФАКТ ЧИСТ ПОДЗЕМ'!O48*СПРАВОЧНИК!$O$5+'ФАКТ ЧИСТ ПОДЗЕМ'!P48*СПРАВОЧНИК!$P$5)+СПРАВОЧНИК!$E$6*('ФАКТ ЧЕРН ПОДЗЕМ'!K48*СПРАВОЧНИК!$H$6+'ФАКТ ЧЕРН ПОДЗЕМ'!L48*СПРАВОЧНИК!$I$6+'ФАКТ ЧЕРН ПОДЗЕМ'!M48*СПРАВОЧНИК!$J$6)+СПРАВОЧНИК!$F$6*('ФАКТ ЧИСТ ПОДЗЕМ'!Q48*СПРАВОЧНИК!$L$6+'ФАКТ ЧИСТ ПОДЗЕМ'!R48*СПРАВОЧНИК!$M$6+'ФАКТ ЧИСТ ПОДЗЕМ'!S48*СПРАВОЧНИК!$N$6+'ФАКТ ЧИСТ ПОДЗЕМ'!T48*СПРАВОЧНИК!$O$6+'ФАКТ ЧИСТ ПОДЗЕМ'!U48*СПРАВОЧНИК!$P$6)+СПРАВОЧНИК!$E$7*('ФАКТ ЧЕРН ПОДЗЕМ'!N48*СПРАВОЧНИК!$H$7+'ФАКТ ЧЕРН ПОДЗЕМ'!O48*СПРАВОЧНИК!$I$7+'ФАКТ ЧЕРН ПОДЗЕМ'!P48*СПРАВОЧНИК!$J$7)+СПРАВОЧНИК!$F$7*('ФАКТ ЧИСТ ПОДЗЕМ'!V48*СПРАВОЧНИК!$L$7+'ФАКТ ЧИСТ ПОДЗЕМ'!W48*СПРАВОЧНИК!$M$7+'ФАКТ ЧИСТ ПОДЗЕМ'!X48*СПРАВОЧНИК!$N$7+'ФАКТ ЧИСТ ПОДЗЕМ'!Y48*СПРАВОЧНИК!$O$7+'ФАКТ ЧИСТ ПОДЗЕМ'!Z48*СПРАВОЧНИК!$P$7)+СПРАВОЧНИК!$E$8*('ФАКТ ЧЕРН ПОДЗЕМ'!Q48*СПРАВОЧНИК!$H$8+'ФАКТ ЧЕРН ПОДЗЕМ'!R48*СПРАВОЧНИК!$I$8+'ФАКТ ЧЕРН ПОДЗЕМ'!S48*СПРАВОЧНИК!$J$8)+СПРАВОЧНИК!$F$8*('ФАКТ ЧИСТ ПОДЗЕМ'!AA48*СПРАВОЧНИК!$L$8+'ФАКТ ЧИСТ ПОДЗЕМ'!AB48*СПРАВОЧНИК!$M$8+'ФАКТ ЧИСТ ПОДЗЕМ'!AC48*СПРАВОЧНИК!$N$8+'ФАКТ ЧИСТ ПОДЗЕМ'!AD48*СПРАВОЧНИК!$O$8+'ФАКТ ЧИСТ ПОДЗЕМ'!AE48*СПРАВОЧНИК!$P$8)</f>
        <v/>
      </c>
      <c r="E57" s="34" t="n"/>
      <c r="H57" s="152">
        <f>H56+7</f>
        <v/>
      </c>
      <c r="I57" s="17">
        <f>'ПЛАН ЧЕРН ПОДЗЕМ'!B48*СПРАВОЧНИК!$H$3+'ПЛАН ЧЕРН ПОДЗЕМ'!C48*СПРАВОЧНИК!$I$3+'ПЛАН ЧЕРН ПОДЗЕМ'!D48*СПРАВОЧНИК!$J$3+'ПЛАН ЧЕРН ПОДЗЕМ'!E48*СПРАВОЧНИК!$H$4+'ПЛАН ЧЕРН ПОДЗЕМ'!F48*СПРАВОЧНИК!$I$4+'ПЛАН ЧЕРН ПОДЗЕМ'!G48*СПРАВОЧНИК!$J$4+'ПЛАН ЧЕРН ПОДЗЕМ'!H48*СПРАВОЧНИК!$H$5+'ПЛАН ЧЕРН ПОДЗЕМ'!I48*СПРАВОЧНИК!$I$5+'ПЛАН ЧЕРН ПОДЗЕМ'!J48*СПРАВОЧНИК!$J$5+'ПЛАН ЧЕРН ПОДЗЕМ'!K48*СПРАВОЧНИК!$H$6+'ПЛАН ЧЕРН ПОДЗЕМ'!L48*СПРАВОЧНИК!$I$6+'ПЛАН ЧЕРН ПОДЗЕМ'!M48*СПРАВОЧНИК!$J$6+'ПЛАН ЧЕРН ПОДЗЕМ'!N48*СПРАВОЧНИК!$H$7+'ПЛАН ЧЕРН ПОДЗЕМ'!O48*СПРАВОЧНИК!$I$7+'ПЛАН ЧЕРН ПОДЗЕМ'!P48*СПРАВОЧНИК!$J$7+'ПЛАН ЧЕРН ПОДЗЕМ'!Q48*СПРАВОЧНИК!$H$8+'ПЛАН ЧЕРН ПОДЗЕМ'!R48*СПРАВОЧНИК!$I$8+'ПЛАН ЧЕРН ПОДЗЕМ'!S48*СПРАВОЧНИК!$J$8</f>
        <v/>
      </c>
      <c r="J57" s="31">
        <f>('ФАКТ ЧЕРН ПОДЗЕМ'!B48)*СПРАВОЧНИК!$H$3+('ФАКТ ЧЕРН ПОДЗЕМ'!C48)*СПРАВОЧНИК!$I$3+('ФАКТ ЧЕРН ПОДЗЕМ'!D48)*СПРАВОЧНИК!$J$3+('ФАКТ ЧЕРН ПОДЗЕМ'!E48)*СПРАВОЧНИК!$H$4+('ФАКТ ЧЕРН ПОДЗЕМ'!F48)*СПРАВОЧНИК!$I$4+('ФАКТ ЧЕРН ПОДЗЕМ'!G48)*СПРАВОЧНИК!$J$4+('ФАКТ ЧЕРН ПОДЗЕМ'!H48)*СПРАВОЧНИК!$H$5+('ФАКТ ЧЕРН ПОДЗЕМ'!I48)*СПРАВОЧНИК!$I$5+('ФАКТ ЧЕРН ПОДЗЕМ'!J48)*СПРАВОЧНИК!$J$5+('ФАКТ ЧЕРН ПОДЗЕМ'!K48)*СПРАВОЧНИК!$H$6+('ФАКТ ЧЕРН ПОДЗЕМ'!L48)*СПРАВОЧНИК!$I$6+('ФАКТ ЧЕРН ПОДЗЕМ'!M48)*СПРАВОЧНИК!$J$6+('ФАКТ ЧЕРН ПОДЗЕМ'!N48)*СПРАВОЧНИК!$H$7+('ФАКТ ЧЕРН ПОДЗЕМ'!O48)*СПРАВОЧНИК!$I$7+('ФАКТ ЧЕРН ПОДЗЕМ'!P48)*СПРАВОЧНИК!$J$7+('ФАКТ ЧЕРН ПОДЗЕМ'!Q48)*СПРАВОЧНИК!$H$8+('ФАКТ ЧЕРН ПОДЗЕМ'!R48)*СПРАВОЧНИК!$I$8+('ФАКТ ЧЕРН ПОДЗЕМ'!S48)*СПРАВОЧНИК!$J$8</f>
        <v/>
      </c>
      <c r="K57" s="34" t="n"/>
      <c r="N57" s="152">
        <f>N56+7</f>
        <v/>
      </c>
      <c r="O57" s="17">
        <f>'ПЛАН ЧИСТ ПОДЗЕМ'!B48*СПРАВОЧНИК!$L$3+'ПЛАН ЧИСТ ПОДЗЕМ'!C48*СПРАВОЧНИК!$M$3+'ПЛАН ЧИСТ ПОДЗЕМ'!D48*СПРАВОЧНИК!$N$3+'ПЛАН ЧИСТ ПОДЗЕМ'!E48*СПРАВОЧНИК!$O$3+'ПЛАН ЧИСТ ПОДЗЕМ'!F48*СПРАВОЧНИК!$P$3+'ПЛАН ЧИСТ ПОДЗЕМ'!G48*СПРАВОЧНИК!$L$4+'ПЛАН ЧИСТ ПОДЗЕМ'!H48*СПРАВОЧНИК!$M$4+'ПЛАН ЧИСТ ПОДЗЕМ'!I48*СПРАВОЧНИК!$N$4+'ПЛАН ЧИСТ ПОДЗЕМ'!J48*СПРАВОЧНИК!$O$4+'ПЛАН ЧИСТ ПОДЗЕМ'!K48*СПРАВОЧНИК!$P$4+'ПЛАН ЧИСТ ПОДЗЕМ'!L48*СПРАВОЧНИК!$L$5+'ПЛАН ЧИСТ ПОДЗЕМ'!M48*СПРАВОЧНИК!$M$5+'ПЛАН ЧИСТ ПОДЗЕМ'!N48*СПРАВОЧНИК!$N$5+'ПЛАН ЧИСТ ПОДЗЕМ'!O48*СПРАВОЧНИК!$O$5+'ПЛАН ЧИСТ ПОДЗЕМ'!P48*СПРАВОЧНИК!$P$5+'ПЛАН ЧИСТ ПОДЗЕМ'!Q48*СПРАВОЧНИК!$L$6+'ПЛАН ЧИСТ ПОДЗЕМ'!R48*СПРАВОЧНИК!$M$6+'ПЛАН ЧИСТ ПОДЗЕМ'!S48*СПРАВОЧНИК!$N$6+'ПЛАН ЧИСТ ПОДЗЕМ'!T48*СПРАВОЧНИК!$O$6+'ПЛАН ЧИСТ ПОДЗЕМ'!U48*СПРАВОЧНИК!$P$6+'ПЛАН ЧИСТ ПОДЗЕМ'!V48*СПРАВОЧНИК!$L$7+'ПЛАН ЧИСТ ПОДЗЕМ'!W48*СПРАВОЧНИК!$M$7+'ПЛАН ЧИСТ ПОДЗЕМ'!X48*СПРАВОЧНИК!$N$7+'ПЛАН ЧИСТ ПОДЗЕМ'!Y48*СПРАВОЧНИК!$O$7+'ПЛАН ЧИСТ ПОДЗЕМ'!Z48*СПРАВОЧНИК!$P$7+'ПЛАН ЧИСТ ПОДЗЕМ'!AA48*СПРАВОЧНИК!$L$8+'ПЛАН ЧИСТ ПОДЗЕМ'!AB48*СПРАВОЧНИК!$M$8+'ПЛАН ЧИСТ ПОДЗЕМ'!AC48*СПРАВОЧНИК!$N$8+'ПЛАН ЧИСТ ПОДЗЕМ'!AD48*СПРАВОЧНИК!$O$8+'ПЛАН ЧИСТ ПОДЗЕМ'!AE48*СПРАВОЧНИК!$P$8</f>
        <v/>
      </c>
      <c r="P57" s="31">
        <f>('ФАКТ ЧИСТ ПОДЗЕМ'!B48)*СПРАВОЧНИК!$L$3+('ФАКТ ЧИСТ ПОДЗЕМ'!C48)*СПРАВОЧНИК!$M$3+('ФАКТ ЧИСТ ПОДЗЕМ'!D48)*СПРАВОЧНИК!$N$3+('ФАКТ ЧИСТ ПОДЗЕМ'!E48)*СПРАВОЧНИК!$O$3+('ФАКТ ЧИСТ ПОДЗЕМ'!F48)*СПРАВОЧНИК!$P$3+('ФАКТ ЧИСТ ПОДЗЕМ'!G48)*СПРАВОЧНИК!$L$4+('ФАКТ ЧИСТ ПОДЗЕМ'!H48)*СПРАВОЧНИК!$M$4+('ФАКТ ЧИСТ ПОДЗЕМ'!I48)*СПРАВОЧНИК!$N$4+('ФАКТ ЧИСТ ПОДЗЕМ'!J48)*СПРАВОЧНИК!$O$4+('ФАКТ ЧИСТ ПОДЗЕМ'!K48)*СПРАВОЧНИК!$P$4+('ФАКТ ЧИСТ ПОДЗЕМ'!L48)*СПРАВОЧНИК!$L$5+('ФАКТ ЧИСТ ПОДЗЕМ'!M48)*СПРАВОЧНИК!$M$5+('ФАКТ ЧИСТ ПОДЗЕМ'!N48)*СПРАВОЧНИК!$N$5+('ФАКТ ЧИСТ ПОДЗЕМ'!O48)*СПРАВОЧНИК!$O$5+('ФАКТ ЧИСТ ПОДЗЕМ'!P48)*СПРАВОЧНИК!$P$5+('ФАКТ ЧИСТ ПОДЗЕМ'!Q48)*СПРАВОЧНИК!$L$6+('ФАКТ ЧИСТ ПОДЗЕМ'!R48)*СПРАВОЧНИК!$M$6+('ФАКТ ЧИСТ ПОДЗЕМ'!S48)*СПРАВОЧНИК!$N$6+('ФАКТ ЧИСТ ПОДЗЕМ'!T48)*СПРАВОЧНИК!$O$6+('ФАКТ ЧИСТ ПОДЗЕМ'!U48)*СПРАВОЧНИК!$P$6+('ФАКТ ЧИСТ ПОДЗЕМ'!V48)*СПРАВОЧНИК!$L$7+('ФАКТ ЧИСТ ПОДЗЕМ'!W48)*СПРАВОЧНИК!$M$7+('ФАКТ ЧИСТ ПОДЗЕМ'!X48)*СПРАВОЧНИК!$N$7+('ФАКТ ЧИСТ ПОДЗЕМ'!Y48)*СПРАВОЧНИК!$O$7+('ФАКТ ЧИСТ ПОДЗЕМ'!Z48)*СПРАВОЧНИК!$P$7+('ФАКТ ЧИСТ ПОДЗЕМ'!AA48)*СПРАВОЧНИК!$L$8+('ФАКТ ЧИСТ ПОДЗЕМ'!AB48)*СПРАВОЧНИК!$M$8+('ФАКТ ЧИСТ ПОДЗЕМ'!AC48)*СПРАВОЧНИК!$N$8+('ФАКТ ЧИСТ ПОДЗЕМ'!AD48)*СПРАВОЧНИК!$O$8+('ФАКТ ЧИСТ ПОДЗЕМ'!AE48)*СПРАВОЧНИК!$P$8</f>
        <v/>
      </c>
      <c r="Q57" s="34" t="n"/>
      <c r="T57" s="152">
        <f>T56+7</f>
        <v/>
      </c>
      <c r="U57" s="17">
        <f>СПРАВОЧНИК!$E$9*('ПЛАН ЧЕРН К1'!B48*СПРАВОЧНИК!$H$9+'ПЛАН ЧЕРН К1'!C48*СПРАВОЧНИК!$I$9+'ПЛАН ЧЕРН К1'!D48*СПРАВОЧНИК!$J$9)+СПРАВОЧНИК!$F$9*('ПЛАН ЧИСТ К1'!B48*СПРАВОЧНИК!$L$9+'ПЛАН ЧИСТ К1'!C48*СПРАВОЧНИК!$M$9+'ПЛАН ЧИСТ К1'!D48*СПРАВОЧНИК!$N$9+'ПЛАН ЧИСТ К1'!E48*СПРАВОЧНИК!$O$9+'ПЛАН ЧИСТ К1'!F48*СПРАВОЧНИК!$P$9)+СПРАВОЧНИК!$E$10*('ПЛАН ЧЕРН К1'!E48*СПРАВОЧНИК!$H$10+'ПЛАН ЧЕРН К1'!F48*СПРАВОЧНИК!$I$10+'ПЛАН ЧЕРН К1'!G48*СПРАВОЧНИК!$J$10)+СПРАВОЧНИК!$F$10*('ПЛАН ЧИСТ К1'!G48*СПРАВОЧНИК!$L$10+'ПЛАН ЧИСТ К1'!H48*СПРАВОЧНИК!$M$10+'ПЛАН ЧИСТ К1'!I48*СПРАВОЧНИК!$N$10+'ПЛАН ЧИСТ К1'!J48*СПРАВОЧНИК!$O$10+'ПЛАН ЧИСТ К1'!K48*СПРАВОЧНИК!$P$10)+СПРАВОЧНИК!$E$11*('ПЛАН ЧЕРН К1'!H48*СПРАВОЧНИК!$H$11+'ПЛАН ЧЕРН К1'!I48*СПРАВОЧНИК!$I$11+'ПЛАН ЧЕРН К1'!J48*СПРАВОЧНИК!$J$11)+СПРАВОЧНИК!$F$11*('ПЛАН ЧИСТ К1'!L48*СПРАВОЧНИК!$L$11+'ПЛАН ЧИСТ К1'!M48*СПРАВОЧНИК!$M$11+'ПЛАН ЧИСТ К1'!N48*СПРАВОЧНИК!$N$11+'ПЛАН ЧИСТ К1'!O48*СПРАВОЧНИК!$O$11+'ПЛАН ЧИСТ К1'!P48*СПРАВОЧНИК!$P$11)+СПРАВОЧНИК!$E$12*('ПЛАН ЧЕРН К1'!K48*СПРАВОЧНИК!$H$12+'ПЛАН ЧЕРН К1'!L48*СПРАВОЧНИК!$I$12+'ПЛАН ЧЕРН К1'!M48*СПРАВОЧНИК!$J$12)+СПРАВОЧНИК!$F$12*('ПЛАН ЧИСТ К1'!Q48*СПРАВОЧНИК!$L$12+'ПЛАН ЧИСТ К1'!R48*СПРАВОЧНИК!$M$12+'ПЛАН ЧИСТ К1'!S48*СПРАВОЧНИК!$N$12+'ПЛАН ЧИСТ К1'!T48*СПРАВОЧНИК!$O$12+'ПЛАН ЧИСТ К1'!U48*СПРАВОЧНИК!$P$12)+СПРАВОЧНИК!$E$13*('ПЛАН ЧЕРН К1'!N48*СПРАВОЧНИК!$H$13+'ПЛАН ЧЕРН К1'!O48*СПРАВОЧНИК!$I$13+'ПЛАН ЧЕРН К1'!P48*СПРАВОЧНИК!$J$13)+СПРАВОЧНИК!$F$13*('ПЛАН ЧИСТ К1'!V48*СПРАВОЧНИК!$L$13+'ПЛАН ЧИСТ К1'!W48*СПРАВОЧНИК!$M$13+'ПЛАН ЧИСТ К1'!X48*СПРАВОЧНИК!$N$13+'ПЛАН ЧИСТ К1'!Y48*СПРАВОЧНИК!$O$13+'ПЛАН ЧИСТ К1'!Z48*СПРАВОЧНИК!$P$13)+СПРАВОЧНИК!$E$14*('ПЛАН ЧЕРН К1'!Q48*СПРАВОЧНИК!$H$14+'ПЛАН ЧЕРН К1'!R48*СПРАВОЧНИК!$I$14+'ПЛАН ЧЕРН К1'!S48*СПРАВОЧНИК!$J$14)+СПРАВОЧНИК!$F$14*('ПЛАН ЧИСТ К1'!AA48*СПРАВОЧНИК!$L$14+'ПЛАН ЧИСТ К1'!AB48*СПРАВОЧНИК!$M$14+'ПЛАН ЧИСТ К1'!AC48*СПРАВОЧНИК!$N$14+'ПЛАН ЧИСТ К1'!AD48*СПРАВОЧНИК!$O$14+'ПЛАН ЧИСТ К1'!AE48*СПРАВОЧНИК!$P$14)+СПРАВОЧНИК!$E$15*('ПЛАН ЧЕРН К1'!T48*СПРАВОЧНИК!$H$15+'ПЛАН ЧЕРН К1'!U48*СПРАВОЧНИК!$I$15+'ПЛАН ЧЕРН К1'!V48*СПРАВОЧНИК!$J$15)+СПРАВОЧНИК!$F$15*('ПЛАН ЧИСТ К1'!AF48*СПРАВОЧНИК!$L$15+'ПЛАН ЧИСТ К1'!AG48*СПРАВОЧНИК!$M$15+'ПЛАН ЧИСТ К1'!AH48*СПРАВОЧНИК!$N$15+'ПЛАН ЧИСТ К1'!AI48*СПРАВОЧНИК!$O$15+'ПЛАН ЧИСТ К1'!AJ48*СПРАВОЧНИК!$P$15)</f>
        <v/>
      </c>
      <c r="V57" s="31">
        <f>СПРАВОЧНИК!$E$9*('ФАКТ ЧЕРН К1'!B48*СПРАВОЧНИК!$H$9+'ФАКТ ЧЕРН К1'!C48*СПРАВОЧНИК!$I$9+'ФАКТ ЧЕРН К1'!D48*СПРАВОЧНИК!$J$9)+СПРАВОЧНИК!$F$9*('ФАКТ ЧИСТ К1'!B48*СПРАВОЧНИК!$L$9+'ФАКТ ЧИСТ К1'!C48*СПРАВОЧНИК!$M$9+'ФАКТ ЧИСТ К1'!D48*СПРАВОЧНИК!$N$9+'ФАКТ ЧИСТ К1'!E48*СПРАВОЧНИК!$O$9+'ФАКТ ЧИСТ К1'!F48*СПРАВОЧНИК!$P$9)+СПРАВОЧНИК!$E$10*('ФАКТ ЧЕРН К1'!E48*СПРАВОЧНИК!$H$10+'ФАКТ ЧЕРН К1'!F48*СПРАВОЧНИК!$I$10+'ФАКТ ЧЕРН К1'!G48*СПРАВОЧНИК!$J$10)+СПРАВОЧНИК!$F$10*('ФАКТ ЧИСТ К1'!G48*СПРАВОЧНИК!$L$10+'ФАКТ ЧИСТ К1'!H48*СПРАВОЧНИК!$M$10+'ФАКТ ЧИСТ К1'!I48*СПРАВОЧНИК!$N$10+'ФАКТ ЧИСТ К1'!J48*СПРАВОЧНИК!$O$10+'ФАКТ ЧИСТ К1'!K48*СПРАВОЧНИК!$P$10)+СПРАВОЧНИК!$E$11*('ФАКТ ЧЕРН К1'!H48*СПРАВОЧНИК!$H$11+'ФАКТ ЧЕРН К1'!I48*СПРАВОЧНИК!$I$11+'ФАКТ ЧЕРН К1'!J48*СПРАВОЧНИК!$J$11)+СПРАВОЧНИК!$F$11*('ФАКТ ЧИСТ К1'!L48*СПРАВОЧНИК!$L$11+'ФАКТ ЧИСТ К1'!M48*СПРАВОЧНИК!$M$11+'ФАКТ ЧИСТ К1'!N48*СПРАВОЧНИК!$N$11+'ФАКТ ЧИСТ К1'!O48*СПРАВОЧНИК!$O$11+'ФАКТ ЧИСТ К1'!P48*СПРАВОЧНИК!$P$11)+СПРАВОЧНИК!$E$12*('ФАКТ ЧЕРН К1'!K48*СПРАВОЧНИК!$H$12+'ФАКТ ЧЕРН К1'!L48*СПРАВОЧНИК!$I$12+'ФАКТ ЧЕРН К1'!M48*СПРАВОЧНИК!$J$12)+СПРАВОЧНИК!$F$12*('ФАКТ ЧИСТ К1'!Q48*СПРАВОЧНИК!$L$12+'ФАКТ ЧИСТ К1'!R48*СПРАВОЧНИК!$M$12+'ФАКТ ЧИСТ К1'!S48*СПРАВОЧНИК!$N$12+'ФАКТ ЧИСТ К1'!T48*СПРАВОЧНИК!$O$12+'ФАКТ ЧИСТ К1'!U48*СПРАВОЧНИК!$P$12)+СПРАВОЧНИК!$E$13*('ФАКТ ЧЕРН К1'!N48*СПРАВОЧНИК!$H$13+'ФАКТ ЧЕРН К1'!O48*СПРАВОЧНИК!$I$13+'ФАКТ ЧЕРН К1'!P48*СПРАВОЧНИК!$J$13)+СПРАВОЧНИК!$F$13*('ФАКТ ЧИСТ К1'!V48*СПРАВОЧНИК!$L$13+'ФАКТ ЧИСТ К1'!W48*СПРАВОЧНИК!$M$13+'ФАКТ ЧИСТ К1'!X48*СПРАВОЧНИК!$N$13+'ФАКТ ЧИСТ К1'!Y48*СПРАВОЧНИК!$O$13+'ФАКТ ЧИСТ К1'!Z48*СПРАВОЧНИК!$P$13)+СПРАВОЧНИК!$E$14*('ФАКТ ЧЕРН К1'!Q48*СПРАВОЧНИК!$H$14+'ФАКТ ЧЕРН К1'!R48*СПРАВОЧНИК!$I$14+'ФАКТ ЧЕРН К1'!S48*СПРАВОЧНИК!$J$14)+СПРАВОЧНИК!$F$14*('ФАКТ ЧИСТ К1'!AA48*СПРАВОЧНИК!$L$14+'ФАКТ ЧИСТ К1'!AB48*СПРАВОЧНИК!$M$14+'ФАКТ ЧИСТ К1'!AC48*СПРАВОЧНИК!$N$14+'ФАКТ ЧИСТ К1'!AD48*СПРАВОЧНИК!$O$14+'ФАКТ ЧИСТ К1'!AE48*СПРАВОЧНИК!$P$14)+СПРАВОЧНИК!$E$15*('ФАКТ ЧЕРН К1'!T48*СПРАВОЧНИК!$H$15+'ФАКТ ЧЕРН К1'!U48*СПРАВОЧНИК!$I$15+'ФАКТ ЧЕРН К1'!V48*СПРАВОЧНИК!$J$15)+СПРАВОЧНИК!$F$15*('ФАКТ ЧИСТ К1'!AF48*СПРАВОЧНИК!$L$15+'ФАКТ ЧИСТ К1'!AG48*СПРАВОЧНИК!$M$15+'ФАКТ ЧИСТ К1'!AH48*СПРАВОЧНИК!$N$15+'ФАКТ ЧИСТ К1'!AI48*СПРАВОЧНИК!$O$15+'ФАКТ ЧИСТ К1'!AJ48*СПРАВОЧНИК!$P$15)</f>
        <v/>
      </c>
      <c r="W57" s="34" t="n"/>
      <c r="Z57" s="152">
        <f>Z56+7</f>
        <v/>
      </c>
      <c r="AA57" s="17">
        <f>'ПЛАН ЧЕРН К1'!B48*СПРАВОЧНИК!$H$9+'ПЛАН ЧЕРН К1'!C48*СПРАВОЧНИК!$I$9+'ПЛАН ЧЕРН К1'!D48*СПРАВОЧНИК!$J$9+'ПЛАН ЧЕРН К1'!E48*СПРАВОЧНИК!$H$10+'ПЛАН ЧЕРН К1'!F48*СПРАВОЧНИК!$I$10+'ПЛАН ЧЕРН К1'!G48*СПРАВОЧНИК!$J$10+'ПЛАН ЧЕРН К1'!H48*СПРАВОЧНИК!$H$11+'ПЛАН ЧЕРН К1'!I48*СПРАВОЧНИК!$I$11+'ПЛАН ЧЕРН К1'!J48*СПРАВОЧНИК!$J$11+'ПЛАН ЧЕРН К1'!K48*СПРАВОЧНИК!$H$12+'ПЛАН ЧЕРН К1'!L48*СПРАВОЧНИК!$I$12+'ПЛАН ЧЕРН К1'!M48*СПРАВОЧНИК!$J$12+'ПЛАН ЧЕРН К1'!N48*СПРАВОЧНИК!$H$13+'ПЛАН ЧЕРН К1'!O48*СПРАВОЧНИК!$I$13+'ПЛАН ЧЕРН К1'!P48*СПРАВОЧНИК!$J$13+'ПЛАН ЧЕРН К1'!Q48*СПРАВОЧНИК!$H$14+'ПЛАН ЧЕРН К1'!R48*СПРАВОЧНИК!$I$14+'ПЛАН ЧЕРН К1'!S48*СПРАВОЧНИК!$J$14+'ПЛАН ЧЕРН К1'!T48*СПРАВОЧНИК!$H$15+'ПЛАН ЧЕРН К1'!U48*СПРАВОЧНИК!$I$15+'ПЛАН ЧЕРН К1'!V48*СПРАВОЧНИК!$J$15</f>
        <v/>
      </c>
      <c r="AB57" s="31">
        <f>('ФАКТ ЧЕРН К1'!B48)*СПРАВОЧНИК!$H$9+('ФАКТ ЧЕРН К1'!C48)*СПРАВОЧНИК!$I$9+('ФАКТ ЧЕРН К1'!D48)*СПРАВОЧНИК!$J$9+('ФАКТ ЧЕРН К1'!E48)*СПРАВОЧНИК!$H$10+('ФАКТ ЧЕРН К1'!F48)*СПРАВОЧНИК!$I$10+('ФАКТ ЧЕРН К1'!G48)*СПРАВОЧНИК!$J$10+('ФАКТ ЧЕРН К1'!H48)*СПРАВОЧНИК!$H$11+('ФАКТ ЧЕРН К1'!I48)*СПРАВОЧНИК!$I$11+('ФАКТ ЧЕРН К1'!J48)*СПРАВОЧНИК!$J$11+('ФАКТ ЧЕРН К1'!K48)*СПРАВОЧНИК!$H$12+('ФАКТ ЧЕРН К1'!L48)*СПРАВОЧНИК!$I$12+('ФАКТ ЧЕРН К1'!M48)*СПРАВОЧНИК!$J$12+('ФАКТ ЧЕРН К1'!N48)*СПРАВОЧНИК!$H$13+('ФАКТ ЧЕРН К1'!O48)*СПРАВОЧНИК!$I$13+('ФАКТ ЧЕРН К1'!P48)*СПРАВОЧНИК!$J$13+('ФАКТ ЧЕРН К1'!Q48)*СПРАВОЧНИК!$H$14+('ФАКТ ЧЕРН К1'!R48)*СПРАВОЧНИК!$I$14+('ФАКТ ЧЕРН К1'!S48)*СПРАВОЧНИК!$J$14+('ФАКТ ЧЕРН К1'!T48)*СПРАВОЧНИК!$H$15+('ФАКТ ЧЕРН К1'!U48)*СПРАВОЧНИК!$I$15+('ФАКТ ЧЕРН К1'!V48)*СПРАВОЧНИК!$J$15</f>
        <v/>
      </c>
      <c r="AC57" s="34" t="n"/>
      <c r="AF57" s="152">
        <f>AF56+7</f>
        <v/>
      </c>
      <c r="AG57" s="17">
        <f>'ПЛАН ЧИСТ К1'!B48*СПРАВОЧНИК!$L$9+'ПЛАН ЧИСТ К1'!C48*СПРАВОЧНИК!$M$9+'ПЛАН ЧИСТ К1'!D48*СПРАВОЧНИК!$N$9+'ПЛАН ЧИСТ К1'!E48*СПРАВОЧНИК!$O$9+'ПЛАН ЧИСТ К1'!F48*СПРАВОЧНИК!$P$9+'ПЛАН ЧИСТ К1'!G48*СПРАВОЧНИК!$L$10+'ПЛАН ЧИСТ К1'!H48*СПРАВОЧНИК!$M$10+'ПЛАН ЧИСТ К1'!I48*СПРАВОЧНИК!$N$10+'ПЛАН ЧИСТ К1'!J48*СПРАВОЧНИК!$O$10+'ПЛАН ЧИСТ К1'!K48*СПРАВОЧНИК!$P$10+'ПЛАН ЧИСТ К1'!L48*СПРАВОЧНИК!$L$11+'ПЛАН ЧИСТ К1'!M48*СПРАВОЧНИК!$M$11+'ПЛАН ЧИСТ К1'!N48*СПРАВОЧНИК!$N$11+'ПЛАН ЧИСТ К1'!O48*СПРАВОЧНИК!$O$11+'ПЛАН ЧИСТ К1'!P48*СПРАВОЧНИК!$P$11+'ПЛАН ЧИСТ К1'!Q48*СПРАВОЧНИК!$L$12+'ПЛАН ЧИСТ К1'!R48*СПРАВОЧНИК!$M$12+'ПЛАН ЧИСТ К1'!S48*СПРАВОЧНИК!$N$12+'ПЛАН ЧИСТ К1'!T48*СПРАВОЧНИК!$O$12+'ПЛАН ЧИСТ К1'!U48*СПРАВОЧНИК!$P$12+'ПЛАН ЧИСТ К1'!V48*СПРАВОЧНИК!$L$13+'ПЛАН ЧИСТ К1'!W48*СПРАВОЧНИК!$M$13+'ПЛАН ЧИСТ К1'!X48*СПРАВОЧНИК!$N$13+'ПЛАН ЧИСТ К1'!Y48*СПРАВОЧНИК!$O$13+'ПЛАН ЧИСТ К1'!Z48*СПРАВОЧНИК!$P$13+'ПЛАН ЧИСТ К1'!AA48*СПРАВОЧНИК!$L$14+'ПЛАН ЧИСТ К1'!AB48*СПРАВОЧНИК!$M$14+'ПЛАН ЧИСТ К1'!AC48*СПРАВОЧНИК!$N$14+'ПЛАН ЧИСТ К1'!AD48*СПРАВОЧНИК!$O$14+'ПЛАН ЧИСТ К1'!AE48*СПРАВОЧНИК!$P$14+'ПЛАН ЧИСТ К1'!AF48*СПРАВОЧНИК!$L$15+'ПЛАН ЧИСТ К1'!AG48*СПРАВОЧНИК!$M$15+'ПЛАН ЧИСТ К1'!AH48*СПРАВОЧНИК!$N$15+'ПЛАН ЧИСТ К1'!AI48*СПРАВОЧНИК!$O$15+'ПЛАН ЧИСТ К1'!AJ48*СПРАВОЧНИК!$P$15</f>
        <v/>
      </c>
      <c r="AH57" s="31">
        <f>('ФАКТ ЧИСТ К1'!B48)*СПРАВОЧНИК!$L$9+('ФАКТ ЧИСТ К1'!C48)*СПРАВОЧНИК!$M$9+('ФАКТ ЧИСТ К1'!D48)*СПРАВОЧНИК!$N$9+('ФАКТ ЧИСТ К1'!E48)*СПРАВОЧНИК!$O$9+('ФАКТ ЧИСТ К1'!F48)*СПРАВОЧНИК!$P$9+('ФАКТ ЧИСТ К1'!G48)*СПРАВОЧНИК!$L$10+('ФАКТ ЧИСТ К1'!H48)*СПРАВОЧНИК!$M$10+('ФАКТ ЧИСТ К1'!I48)*СПРАВОЧНИК!$N$10+('ФАКТ ЧИСТ К1'!J48)*СПРАВОЧНИК!$O$10+('ФАКТ ЧИСТ К1'!K48)*СПРАВОЧНИК!$P$10+('ФАКТ ЧИСТ К1'!L48)*СПРАВОЧНИК!$L$11+('ФАКТ ЧИСТ К1'!M48)*СПРАВОЧНИК!$M$11+('ФАКТ ЧИСТ К1'!N48)*СПРАВОЧНИК!$N$11+('ФАКТ ЧИСТ К1'!O48)*СПРАВОЧНИК!$O$11+('ФАКТ ЧИСТ К1'!P48)*СПРАВОЧНИК!$P$11+('ФАКТ ЧИСТ К1'!Q48)*СПРАВОЧНИК!$L$12+('ФАКТ ЧИСТ К1'!R48)*СПРАВОЧНИК!$M$12+('ФАКТ ЧИСТ К1'!S48)*СПРАВОЧНИК!$N$12+('ФАКТ ЧИСТ К1'!T48)*СПРАВОЧНИК!$O$12+('ФАКТ ЧИСТ К1'!U48)*СПРАВОЧНИК!$P$12+('ФАКТ ЧИСТ К1'!V48)*СПРАВОЧНИК!$L$13+('ФАКТ ЧИСТ К1'!W48)*СПРАВОЧНИК!$M$13+('ФАКТ ЧИСТ К1'!X48)*СПРАВОЧНИК!$N$13+('ФАКТ ЧИСТ К1'!Y48)*СПРАВОЧНИК!$O$13+('ФАКТ ЧИСТ К1'!Z48)*СПРАВОЧНИК!$P$13+('ФАКТ ЧИСТ К1'!AA48)*СПРАВОЧНИК!$L$14+('ФАКТ ЧИСТ К1'!AB48)*СПРАВОЧНИК!$M$14+('ФАКТ ЧИСТ К1'!AC48)*СПРАВОЧНИК!$N$14+('ФАКТ ЧИСТ К1'!AD48)*СПРАВОЧНИК!$O$14+('ФАКТ ЧИСТ К1'!AE48)*СПРАВОЧНИК!$P$14+('ФАКТ ЧИСТ К1'!AF48)*СПРАВОЧНИК!$L$15+('ФАКТ ЧИСТ К1'!AG48)*СПРАВОЧНИК!$M$15+('ФАКТ ЧИСТ К1'!AH48)*СПРАВОЧНИК!$N$15+('ФАКТ ЧИСТ К1'!AI48)*СПРАВОЧНИК!$O$15+('ФАКТ ЧИСТ К1'!AJ48)*СПРАВОЧНИК!$P$15</f>
        <v/>
      </c>
      <c r="AI57" s="34" t="n"/>
      <c r="AL57" s="152">
        <f>AL56+7</f>
        <v/>
      </c>
      <c r="AM57" s="17">
        <f>СПРАВОЧНИК!$E$9*('ПЛАН ЧЕРН К2'!B48*СПРАВОЧНИК!$H$9+'ПЛАН ЧЕРН К2'!C48*СПРАВОЧНИК!$I$9+'ПЛАН ЧЕРН К2'!D48*СПРАВОЧНИК!$J$9)+СПРАВОЧНИК!$F$9*('ПЛАН ЧИСТ К2'!B48*СПРАВОЧНИК!$L$9+'ПЛАН ЧИСТ К2'!C48*СПРАВОЧНИК!$M$9+'ПЛАН ЧИСТ К2'!D48*СПРАВОЧНИК!$N$9+'ПЛАН ЧИСТ К2'!E48*СПРАВОЧНИК!$O$9+'ПЛАН ЧИСТ К2'!F48*СПРАВОЧНИК!$P$9)+СПРАВОЧНИК!$E$10*('ПЛАН ЧЕРН К2'!E48*СПРАВОЧНИК!$H$10+'ПЛАН ЧЕРН К2'!F48*СПРАВОЧНИК!$I$10+'ПЛАН ЧЕРН К2'!G48*СПРАВОЧНИК!$J$10)+СПРАВОЧНИК!$F$10*('ПЛАН ЧИСТ К2'!G48*СПРАВОЧНИК!$L$10+'ПЛАН ЧИСТ К2'!H48*СПРАВОЧНИК!$M$10+'ПЛАН ЧИСТ К2'!I48*СПРАВОЧНИК!$N$10+'ПЛАН ЧИСТ К2'!J48*СПРАВОЧНИК!$O$10+'ПЛАН ЧИСТ К2'!K48*СПРАВОЧНИК!$P$10)+СПРАВОЧНИК!$E$11*('ПЛАН ЧЕРН К2'!H48*СПРАВОЧНИК!$H$11+'ПЛАН ЧЕРН К2'!I48*СПРАВОЧНИК!$I$11+'ПЛАН ЧЕРН К2'!J48*СПРАВОЧНИК!$J$11)+СПРАВОЧНИК!$F$11*('ПЛАН ЧИСТ К2'!L48*СПРАВОЧНИК!$L$11+'ПЛАН ЧИСТ К2'!M48*СПРАВОЧНИК!$M$11+'ПЛАН ЧИСТ К2'!N48*СПРАВОЧНИК!$N$11+'ПЛАН ЧИСТ К2'!O48*СПРАВОЧНИК!$O$11+'ПЛАН ЧИСТ К2'!P48*СПРАВОЧНИК!$P$11)+СПРАВОЧНИК!$E$12*('ПЛАН ЧЕРН К2'!K48*СПРАВОЧНИК!$H$12+'ПЛАН ЧЕРН К2'!L48*СПРАВОЧНИК!$I$12+'ПЛАН ЧЕРН К2'!M48*СПРАВОЧНИК!$J$12)+СПРАВОЧНИК!$F$12*('ПЛАН ЧИСТ К2'!Q48*СПРАВОЧНИК!$L$12+'ПЛАН ЧИСТ К2'!R48*СПРАВОЧНИК!$M$12+'ПЛАН ЧИСТ К2'!S48*СПРАВОЧНИК!$N$12+'ПЛАН ЧИСТ К2'!T48*СПРАВОЧНИК!$O$12+'ПЛАН ЧИСТ К2'!U48*СПРАВОЧНИК!$P$12)+СПРАВОЧНИК!$E$13*('ПЛАН ЧЕРН К2'!N48*СПРАВОЧНИК!$H$13+'ПЛАН ЧЕРН К2'!O48*СПРАВОЧНИК!$I$13+'ПЛАН ЧЕРН К2'!P48*СПРАВОЧНИК!$J$13)+СПРАВОЧНИК!$F$13*('ПЛАН ЧИСТ К2'!V48*СПРАВОЧНИК!$L$13+'ПЛАН ЧИСТ К2'!W48*СПРАВОЧНИК!$M$13+'ПЛАН ЧИСТ К2'!X48*СПРАВОЧНИК!$N$13+'ПЛАН ЧИСТ К2'!Y48*СПРАВОЧНИК!$O$13+'ПЛАН ЧИСТ К2'!Z48*СПРАВОЧНИК!$P$13)+СПРАВОЧНИК!$E$14*('ПЛАН ЧЕРН К2'!Q48*СПРАВОЧНИК!$H$14+'ПЛАН ЧЕРН К2'!R48*СПРАВОЧНИК!$I$14+'ПЛАН ЧЕРН К2'!S48*СПРАВОЧНИК!$J$14)+СПРАВОЧНИК!$F$14*('ПЛАН ЧИСТ К2'!AA48*СПРАВОЧНИК!$L$14+'ПЛАН ЧИСТ К2'!AB48*СПРАВОЧНИК!$M$14+'ПЛАН ЧИСТ К2'!AC48*СПРАВОЧНИК!$N$14+'ПЛАН ЧИСТ К2'!AD48*СПРАВОЧНИК!$O$14+'ПЛАН ЧИСТ К2'!AE48*СПРАВОЧНИК!$P$14)+СПРАВОЧНИК!$E$15*('ПЛАН ЧЕРН К2'!T48*СПРАВОЧНИК!$H$15+'ПЛАН ЧЕРН К2'!U48*СПРАВОЧНИК!$I$15+'ПЛАН ЧЕРН К2'!V48*СПРАВОЧНИК!$J$15)+СПРАВОЧНИК!$F$15*('ПЛАН ЧИСТ К2'!AF48*СПРАВОЧНИК!$L$15+'ПЛАН ЧИСТ К2'!AG48*СПРАВОЧНИК!$M$15+'ПЛАН ЧИСТ К2'!AH48*СПРАВОЧНИК!$N$15+'ПЛАН ЧИСТ К2'!AI48*СПРАВОЧНИК!$O$15+'ПЛАН ЧИСТ К2'!AJ48*СПРАВОЧНИК!$P$15)</f>
        <v/>
      </c>
      <c r="AN57" s="31">
        <f>СПРАВОЧНИК!$E$9*('ФАКТ ЧЕРН К2'!B48*СПРАВОЧНИК!$H$9+'ФАКТ ЧЕРН К2'!C48*СПРАВОЧНИК!$I$9+'ФАКТ ЧЕРН К2'!D48*СПРАВОЧНИК!$J$9)+СПРАВОЧНИК!$F$9*('ФАКТ ЧИСТ К2'!B48*СПРАВОЧНИК!$L$9+'ФАКТ ЧИСТ К2'!C48*СПРАВОЧНИК!$M$9+'ФАКТ ЧИСТ К2'!D48*СПРАВОЧНИК!$N$9+'ФАКТ ЧИСТ К2'!E48*СПРАВОЧНИК!$O$9+'ФАКТ ЧИСТ К2'!F48*СПРАВОЧНИК!$P$9)+СПРАВОЧНИК!$E$10*('ФАКТ ЧЕРН К2'!E48*СПРАВОЧНИК!$H$10+'ФАКТ ЧЕРН К2'!F48*СПРАВОЧНИК!$I$10+'ФАКТ ЧЕРН К2'!G48*СПРАВОЧНИК!$J$10)+СПРАВОЧНИК!$F$10*('ФАКТ ЧИСТ К2'!G48*СПРАВОЧНИК!$L$10+'ФАКТ ЧИСТ К2'!H48*СПРАВОЧНИК!$M$10+'ФАКТ ЧИСТ К2'!I48*СПРАВОЧНИК!$N$10+'ФАКТ ЧИСТ К2'!J48*СПРАВОЧНИК!$O$10+'ФАКТ ЧИСТ К2'!K48*СПРАВОЧНИК!$P$10)+СПРАВОЧНИК!$E$11*('ФАКТ ЧЕРН К2'!H48*СПРАВОЧНИК!$H$11+'ФАКТ ЧЕРН К2'!I48*СПРАВОЧНИК!$I$11+'ФАКТ ЧЕРН К2'!J48*СПРАВОЧНИК!$J$11)+СПРАВОЧНИК!$F$11*('ФАКТ ЧИСТ К2'!L48*СПРАВОЧНИК!$L$11+'ФАКТ ЧИСТ К2'!M48*СПРАВОЧНИК!$M$11+'ФАКТ ЧИСТ К2'!N48*СПРАВОЧНИК!$N$11+'ФАКТ ЧИСТ К2'!O48*СПРАВОЧНИК!$O$11+'ФАКТ ЧИСТ К2'!P48*СПРАВОЧНИК!$P$11)+СПРАВОЧНИК!$E$12*('ФАКТ ЧЕРН К2'!K48*СПРАВОЧНИК!$H$12+'ФАКТ ЧЕРН К2'!L48*СПРАВОЧНИК!$I$12+'ФАКТ ЧЕРН К2'!M48*СПРАВОЧНИК!$J$12)+СПРАВОЧНИК!$F$12*('ФАКТ ЧИСТ К2'!Q48*СПРАВОЧНИК!$L$12+'ФАКТ ЧИСТ К2'!R48*СПРАВОЧНИК!$M$12+'ФАКТ ЧИСТ К2'!S48*СПРАВОЧНИК!$N$12+'ФАКТ ЧИСТ К2'!T48*СПРАВОЧНИК!$O$12+'ФАКТ ЧИСТ К2'!U48*СПРАВОЧНИК!$P$12)+СПРАВОЧНИК!$E$13*('ФАКТ ЧЕРН К2'!N48*СПРАВОЧНИК!$H$13+'ФАКТ ЧЕРН К2'!O48*СПРАВОЧНИК!$I$13+'ФАКТ ЧЕРН К2'!P48*СПРАВОЧНИК!$J$13)+СПРАВОЧНИК!$F$13*('ФАКТ ЧИСТ К2'!V48*СПРАВОЧНИК!$L$13+'ФАКТ ЧИСТ К2'!W48*СПРАВОЧНИК!$M$13+'ФАКТ ЧИСТ К2'!X48*СПРАВОЧНИК!$N$13+'ФАКТ ЧИСТ К2'!Y48*СПРАВОЧНИК!$O$13+'ФАКТ ЧИСТ К2'!Z48*СПРАВОЧНИК!$P$13)+СПРАВОЧНИК!$E$14*('ФАКТ ЧЕРН К2'!Q48*СПРАВОЧНИК!$H$14+'ФАКТ ЧЕРН К2'!R48*СПРАВОЧНИК!$I$14+'ФАКТ ЧЕРН К2'!S48*СПРАВОЧНИК!$J$14)+СПРАВОЧНИК!$F$14*('ФАКТ ЧИСТ К2'!AA48*СПРАВОЧНИК!$L$14+'ФАКТ ЧИСТ К2'!AB48*СПРАВОЧНИК!$M$14+'ФАКТ ЧИСТ К2'!AC48*СПРАВОЧНИК!$N$14+'ФАКТ ЧИСТ К2'!AD48*СПРАВОЧНИК!$O$14+'ФАКТ ЧИСТ К2'!AE48*СПРАВОЧНИК!$P$14)+СПРАВОЧНИК!$E$15*('ФАКТ ЧЕРН К2'!T48*СПРАВОЧНИК!$H$15+'ФАКТ ЧЕРН К2'!U48*СПРАВОЧНИК!$I$15+'ФАКТ ЧЕРН К2'!V48*СПРАВОЧНИК!$J$15)+СПРАВОЧНИК!$F$15*('ФАКТ ЧИСТ К2'!AF48*СПРАВОЧНИК!$L$15+'ФАКТ ЧИСТ К2'!AG48*СПРАВОЧНИК!$M$15+'ФАКТ ЧИСТ К2'!AH48*СПРАВОЧНИК!$N$15+'ФАКТ ЧИСТ К2'!AI48*СПРАВОЧНИК!$O$15+'ФАКТ ЧИСТ К2'!AJ48*СПРАВОЧНИК!$P$15)</f>
        <v/>
      </c>
      <c r="AO57" s="34" t="n"/>
      <c r="AR57" s="152">
        <f>AR56+7</f>
        <v/>
      </c>
      <c r="AS57" s="17">
        <f>'ПЛАН ЧЕРН К2'!B48*СПРАВОЧНИК!$H$9+'ПЛАН ЧЕРН К2'!C48*СПРАВОЧНИК!$I$9+'ПЛАН ЧЕРН К2'!D48*СПРАВОЧНИК!$J$9+'ПЛАН ЧЕРН К2'!E48*СПРАВОЧНИК!$H$10+'ПЛАН ЧЕРН К2'!F48*СПРАВОЧНИК!$I$10+'ПЛАН ЧЕРН К2'!G48*СПРАВОЧНИК!$J$10+'ПЛАН ЧЕРН К2'!H48*СПРАВОЧНИК!$H$11+'ПЛАН ЧЕРН К2'!I48*СПРАВОЧНИК!$I$11+'ПЛАН ЧЕРН К2'!J48*СПРАВОЧНИК!$J$11+'ПЛАН ЧЕРН К2'!K48*СПРАВОЧНИК!$H$12+'ПЛАН ЧЕРН К2'!L48*СПРАВОЧНИК!$I$12+'ПЛАН ЧЕРН К2'!M48*СПРАВОЧНИК!$J$12+'ПЛАН ЧЕРН К2'!N48*СПРАВОЧНИК!$H$13+'ПЛАН ЧЕРН К2'!O48*СПРАВОЧНИК!$I$13+'ПЛАН ЧЕРН К2'!P48*СПРАВОЧНИК!$J$13+'ПЛАН ЧЕРН К2'!Q48*СПРАВОЧНИК!$H$14+'ПЛАН ЧЕРН К2'!R48*СПРАВОЧНИК!$I$14+'ПЛАН ЧЕРН К2'!S48*СПРАВОЧНИК!$J$14+'ПЛАН ЧЕРН К2'!T48*СПРАВОЧНИК!$H$15+'ПЛАН ЧЕРН К2'!U48*СПРАВОЧНИК!$I$15+'ПЛАН ЧЕРН К2'!V48*СПРАВОЧНИК!$J$15</f>
        <v/>
      </c>
      <c r="AT57" s="31">
        <f>('ФАКТ ЧЕРН К2'!B48)*СПРАВОЧНИК!$H$9+('ФАКТ ЧЕРН К2'!C48)*СПРАВОЧНИК!$I$9+('ФАКТ ЧЕРН К2'!D48)*СПРАВОЧНИК!$J$9+('ФАКТ ЧЕРН К2'!E48)*СПРАВОЧНИК!$H$10+('ФАКТ ЧЕРН К2'!F48)*СПРАВОЧНИК!$I$10+('ФАКТ ЧЕРН К2'!G48)*СПРАВОЧНИК!$J$10+('ФАКТ ЧЕРН К2'!H48)*СПРАВОЧНИК!$H$11+('ФАКТ ЧЕРН К2'!I48)*СПРАВОЧНИК!$I$11+('ФАКТ ЧЕРН К2'!J48)*СПРАВОЧНИК!$J$11+('ФАКТ ЧЕРН К2'!K48)*СПРАВОЧНИК!$H$12+('ФАКТ ЧЕРН К2'!L48)*СПРАВОЧНИК!$I$12+('ФАКТ ЧЕРН К2'!M48)*СПРАВОЧНИК!$J$12+('ФАКТ ЧЕРН К2'!N48)*СПРАВОЧНИК!$H$13+('ФАКТ ЧЕРН К2'!O48)*СПРАВОЧНИК!$I$13+('ФАКТ ЧЕРН К2'!P48)*СПРАВОЧНИК!$J$13+('ФАКТ ЧЕРН К2'!Q48)*СПРАВОЧНИК!$H$14+('ФАКТ ЧЕРН К2'!R48)*СПРАВОЧНИК!$I$14+('ФАКТ ЧЕРН К2'!S48)*СПРАВОЧНИК!$J$14+('ФАКТ ЧЕРН К2'!T48)*СПРАВОЧНИК!$H$15+('ФАКТ ЧЕРН К2'!U48)*СПРАВОЧНИК!$I$15+('ФАКТ ЧЕРН К2'!V48)*СПРАВОЧНИК!$J$15</f>
        <v/>
      </c>
      <c r="AU57" s="34" t="n"/>
      <c r="AX57" s="152">
        <f>AX56+7</f>
        <v/>
      </c>
      <c r="AY57" s="17">
        <f>'ПЛАН ЧИСТ К2'!B48*СПРАВОЧНИК!$L$9+'ПЛАН ЧИСТ К2'!C48*СПРАВОЧНИК!$M$9+'ПЛАН ЧИСТ К2'!D48*СПРАВОЧНИК!$N$9+'ПЛАН ЧИСТ К2'!E48*СПРАВОЧНИК!$O$9+'ПЛАН ЧИСТ К2'!F48*СПРАВОЧНИК!$P$9+'ПЛАН ЧИСТ К2'!G48*СПРАВОЧНИК!$L$10+'ПЛАН ЧИСТ К2'!H48*СПРАВОЧНИК!$M$10+'ПЛАН ЧИСТ К2'!I48*СПРАВОЧНИК!$N$10+'ПЛАН ЧИСТ К2'!J48*СПРАВОЧНИК!$O$10+'ПЛАН ЧИСТ К2'!K48*СПРАВОЧНИК!$P$10+'ПЛАН ЧИСТ К2'!L48*СПРАВОЧНИК!$L$11+'ПЛАН ЧИСТ К2'!M48*СПРАВОЧНИК!$M$11+'ПЛАН ЧИСТ К2'!N48*СПРАВОЧНИК!$N$11+'ПЛАН ЧИСТ К2'!O48*СПРАВОЧНИК!$O$11+'ПЛАН ЧИСТ К2'!P48*СПРАВОЧНИК!$P$11+'ПЛАН ЧИСТ К2'!Q48*СПРАВОЧНИК!$L$12+'ПЛАН ЧИСТ К2'!R48*СПРАВОЧНИК!$M$12+'ПЛАН ЧИСТ К2'!S48*СПРАВОЧНИК!$N$12+'ПЛАН ЧИСТ К2'!T48*СПРАВОЧНИК!$O$12+'ПЛАН ЧИСТ К2'!U48*СПРАВОЧНИК!$P$12+'ПЛАН ЧИСТ К2'!V48*СПРАВОЧНИК!$L$13+'ПЛАН ЧИСТ К2'!W48*СПРАВОЧНИК!$M$13+'ПЛАН ЧИСТ К2'!X48*СПРАВОЧНИК!$N$13+'ПЛАН ЧИСТ К2'!Y48*СПРАВОЧНИК!$O$13+'ПЛАН ЧИСТ К2'!Z48*СПРАВОЧНИК!$P$13+'ПЛАН ЧИСТ К2'!AA48*СПРАВОЧНИК!$L$14+'ПЛАН ЧИСТ К2'!AB48*СПРАВОЧНИК!$M$14+'ПЛАН ЧИСТ К2'!AC48*СПРАВОЧНИК!$N$14+'ПЛАН ЧИСТ К2'!AD48*СПРАВОЧНИК!$O$14+'ПЛАН ЧИСТ К2'!AE48*СПРАВОЧНИК!$P$14+'ПЛАН ЧИСТ К2'!AF48*СПРАВОЧНИК!$L$15+'ПЛАН ЧИСТ К2'!AG48*СПРАВОЧНИК!$M$15+'ПЛАН ЧИСТ К2'!AH48*СПРАВОЧНИК!$N$15+'ПЛАН ЧИСТ К2'!AI48*СПРАВОЧНИК!$O$15+'ПЛАН ЧИСТ К2'!AJ48*СПРАВОЧНИК!$P$15</f>
        <v/>
      </c>
      <c r="AZ57" s="31">
        <f>('ФАКТ ЧИСТ К2'!B48)*СПРАВОЧНИК!$L$9+('ФАКТ ЧИСТ К2'!C48)*СПРАВОЧНИК!$M$9+('ФАКТ ЧИСТ К2'!D48)*СПРАВОЧНИК!$N$9+('ФАКТ ЧИСТ К2'!E48)*СПРАВОЧНИК!$O$9+('ФАКТ ЧИСТ К2'!F48)*СПРАВОЧНИК!$P$9+('ФАКТ ЧИСТ К2'!G48)*СПРАВОЧНИК!$L$10+('ФАКТ ЧИСТ К2'!H48)*СПРАВОЧНИК!$M$10+('ФАКТ ЧИСТ К2'!I48)*СПРАВОЧНИК!$N$10+('ФАКТ ЧИСТ К2'!J48)*СПРАВОЧНИК!$O$10+('ФАКТ ЧИСТ К2'!K48)*СПРАВОЧНИК!$P$10+('ФАКТ ЧИСТ К2'!L48)*СПРАВОЧНИК!$L$11+('ФАКТ ЧИСТ К2'!M48)*СПРАВОЧНИК!$M$11+('ФАКТ ЧИСТ К2'!N48)*СПРАВОЧНИК!$N$11+('ФАКТ ЧИСТ К2'!O48)*СПРАВОЧНИК!$O$11+('ФАКТ ЧИСТ К2'!P48)*СПРАВОЧНИК!$P$11+('ФАКТ ЧИСТ К2'!Q48)*СПРАВОЧНИК!$L$12+('ФАКТ ЧИСТ К2'!R48)*СПРАВОЧНИК!$M$12+('ФАКТ ЧИСТ К2'!S48)*СПРАВОЧНИК!$N$12+('ФАКТ ЧИСТ К2'!T48)*СПРАВОЧНИК!$O$12+('ФАКТ ЧИСТ К2'!U48)*СПРАВОЧНИК!$P$12+('ФАКТ ЧИСТ К2'!V48)*СПРАВОЧНИК!$L$13+('ФАКТ ЧИСТ К2'!W48)*СПРАВОЧНИК!$M$13+('ФАКТ ЧИСТ К2'!X48)*СПРАВОЧНИК!$N$13+('ФАКТ ЧИСТ К2'!Y48)*СПРАВОЧНИК!$O$13+('ФАКТ ЧИСТ К2'!Z48)*СПРАВОЧНИК!$P$13+('ФАКТ ЧИСТ К2'!AA48)*СПРАВОЧНИК!$L$14+('ФАКТ ЧИСТ К2'!AB48)*СПРАВОЧНИК!$M$14+('ФАКТ ЧИСТ К2'!AC48)*СПРАВОЧНИК!$N$14+('ФАКТ ЧИСТ К2'!AD48)*СПРАВОЧНИК!$O$14+('ФАКТ ЧИСТ К2'!AE48)*СПРАВОЧНИК!$P$14+('ФАКТ ЧИСТ К2'!AF48)*СПРАВОЧНИК!$L$15+('ФАКТ ЧИСТ К2'!AG48)*СПРАВОЧНИК!$M$15+('ФАКТ ЧИСТ К2'!AH48)*СПРАВОЧНИК!$N$15+('ФАКТ ЧИСТ К2'!AI48)*СПРАВОЧНИК!$O$15+('ФАКТ ЧИСТ К2'!AJ48)*СПРАВОЧНИК!$P$15</f>
        <v/>
      </c>
      <c r="BA57" s="34" t="n"/>
      <c r="BD57" s="152">
        <f>BD56+7</f>
        <v/>
      </c>
      <c r="BE57" s="17">
        <f>СПРАВОЧНИК!$E$9*('ПЛАН ЧЕРН К3'!B48*СПРАВОЧНИК!$H$9+'ПЛАН ЧЕРН К3'!C48*СПРАВОЧНИК!$I$9+'ПЛАН ЧЕРН К3'!D48*СПРАВОЧНИК!$J$9)+СПРАВОЧНИК!$F$9*('ПЛАН ЧИСТ К3'!B48*СПРАВОЧНИК!$L$9+'ПЛАН ЧИСТ К3'!C48*СПРАВОЧНИК!$M$9+'ПЛАН ЧИСТ К3'!D48*СПРАВОЧНИК!$N$9+'ПЛАН ЧИСТ К3'!E48*СПРАВОЧНИК!$O$9+'ПЛАН ЧИСТ К3'!F48*СПРАВОЧНИК!$P$9)+СПРАВОЧНИК!$E$10*('ПЛАН ЧЕРН К3'!E48*СПРАВОЧНИК!$H$10+'ПЛАН ЧЕРН К3'!F48*СПРАВОЧНИК!$I$10+'ПЛАН ЧЕРН К3'!G48*СПРАВОЧНИК!$J$10)+СПРАВОЧНИК!$F$10*('ПЛАН ЧИСТ К3'!G48*СПРАВОЧНИК!$L$10+'ПЛАН ЧИСТ К3'!H48*СПРАВОЧНИК!$M$10+'ПЛАН ЧИСТ К3'!I48*СПРАВОЧНИК!$N$10+'ПЛАН ЧИСТ К3'!J48*СПРАВОЧНИК!$O$10+'ПЛАН ЧИСТ К3'!K48*СПРАВОЧНИК!$P$10)+СПРАВОЧНИК!$E$11*('ПЛАН ЧЕРН К3'!H48*СПРАВОЧНИК!$H$11+'ПЛАН ЧЕРН К3'!I48*СПРАВОЧНИК!$I$11+'ПЛАН ЧЕРН К3'!J48*СПРАВОЧНИК!$J$11)+СПРАВОЧНИК!$F$11*('ПЛАН ЧИСТ К3'!L48*СПРАВОЧНИК!$L$11+'ПЛАН ЧИСТ К3'!M48*СПРАВОЧНИК!$M$11+'ПЛАН ЧИСТ К3'!N48*СПРАВОЧНИК!$N$11+'ПЛАН ЧИСТ К3'!O48*СПРАВОЧНИК!$O$11+'ПЛАН ЧИСТ К3'!P48*СПРАВОЧНИК!$P$11)+СПРАВОЧНИК!$E$12*('ПЛАН ЧЕРН К3'!K48*СПРАВОЧНИК!$H$12+'ПЛАН ЧЕРН К3'!L48*СПРАВОЧНИК!$I$12+'ПЛАН ЧЕРН К3'!M48*СПРАВОЧНИК!$J$12)+СПРАВОЧНИК!$F$12*('ПЛАН ЧИСТ К3'!Q48*СПРАВОЧНИК!$L$12+'ПЛАН ЧИСТ К3'!R48*СПРАВОЧНИК!$M$12+'ПЛАН ЧИСТ К3'!S48*СПРАВОЧНИК!$N$12+'ПЛАН ЧИСТ К3'!T48*СПРАВОЧНИК!$O$12+'ПЛАН ЧИСТ К3'!U48*СПРАВОЧНИК!$P$12)+СПРАВОЧНИК!$E$13*('ПЛАН ЧЕРН К3'!N48*СПРАВОЧНИК!$H$13+'ПЛАН ЧЕРН К3'!O48*СПРАВОЧНИК!$I$13+'ПЛАН ЧЕРН К3'!P48*СПРАВОЧНИК!$J$13)+СПРАВОЧНИК!$F$13*('ПЛАН ЧИСТ К3'!V48*СПРАВОЧНИК!$L$13+'ПЛАН ЧИСТ К3'!W48*СПРАВОЧНИК!$M$13+'ПЛАН ЧИСТ К3'!X48*СПРАВОЧНИК!$N$13+'ПЛАН ЧИСТ К3'!Y48*СПРАВОЧНИК!$O$13+'ПЛАН ЧИСТ К3'!Z48*СПРАВОЧНИК!$P$13)+СПРАВОЧНИК!$E$14*('ПЛАН ЧЕРН К3'!Q48*СПРАВОЧНИК!$H$14+'ПЛАН ЧЕРН К3'!R48*СПРАВОЧНИК!$I$14+'ПЛАН ЧЕРН К3'!S48*СПРАВОЧНИК!$J$14)+СПРАВОЧНИК!$F$14*('ПЛАН ЧИСТ К3'!AA48*СПРАВОЧНИК!$L$14+'ПЛАН ЧИСТ К3'!AB48*СПРАВОЧНИК!$M$14+'ПЛАН ЧИСТ К3'!AC48*СПРАВОЧНИК!$N$14+'ПЛАН ЧИСТ К3'!AD48*СПРАВОЧНИК!$O$14+'ПЛАН ЧИСТ К3'!AE48*СПРАВОЧНИК!$P$14)+СПРАВОЧНИК!$E$15*('ПЛАН ЧЕРН К3'!T48*СПРАВОЧНИК!$H$15+'ПЛАН ЧЕРН К3'!U48*СПРАВОЧНИК!$I$15+'ПЛАН ЧЕРН К3'!V48*СПРАВОЧНИК!$J$15)+СПРАВОЧНИК!$F$15*('ПЛАН ЧИСТ К3'!AF48*СПРАВОЧНИК!$L$15+'ПЛАН ЧИСТ К3'!AG48*СПРАВОЧНИК!$M$15+'ПЛАН ЧИСТ К3'!AH48*СПРАВОЧНИК!$N$15+'ПЛАН ЧИСТ К3'!AI48*СПРАВОЧНИК!$O$15+'ПЛАН ЧИСТ К3'!AJ48*СПРАВОЧНИК!$P$15)</f>
        <v/>
      </c>
      <c r="BF57" s="31">
        <f>СПРАВОЧНИК!$E$9*('ФАКТ ЧЕРН К3'!B48*СПРАВОЧНИК!$H$9+'ФАКТ ЧЕРН К3'!C48*СПРАВОЧНИК!$I$9+'ФАКТ ЧЕРН К3'!D48*СПРАВОЧНИК!$J$9)+СПРАВОЧНИК!$F$9*('ФАКТ ЧИСТ К3'!B48*СПРАВОЧНИК!$L$9+'ФАКТ ЧИСТ К3'!C48*СПРАВОЧНИК!$M$9+'ФАКТ ЧИСТ К3'!D48*СПРАВОЧНИК!$N$9+'ФАКТ ЧИСТ К3'!E48*СПРАВОЧНИК!$O$9+'ФАКТ ЧИСТ К3'!F48*СПРАВОЧНИК!$P$9)+СПРАВОЧНИК!$E$10*('ФАКТ ЧЕРН К3'!E48*СПРАВОЧНИК!$H$10+'ФАКТ ЧЕРН К3'!F48*СПРАВОЧНИК!$I$10+'ФАКТ ЧЕРН К3'!G48*СПРАВОЧНИК!$J$10)+СПРАВОЧНИК!$F$10*('ФАКТ ЧИСТ К3'!G48*СПРАВОЧНИК!$L$10+'ФАКТ ЧИСТ К3'!H48*СПРАВОЧНИК!$M$10+'ФАКТ ЧИСТ К3'!I48*СПРАВОЧНИК!$N$10+'ФАКТ ЧИСТ К3'!J48*СПРАВОЧНИК!$O$10+'ФАКТ ЧИСТ К3'!K48*СПРАВОЧНИК!$P$10)+СПРАВОЧНИК!$E$11*('ФАКТ ЧЕРН К3'!H48*СПРАВОЧНИК!$H$11+'ФАКТ ЧЕРН К3'!I48*СПРАВОЧНИК!$I$11+'ФАКТ ЧЕРН К3'!J48*СПРАВОЧНИК!$J$11)+СПРАВОЧНИК!$F$11*('ФАКТ ЧИСТ К3'!L48*СПРАВОЧНИК!$L$11+'ФАКТ ЧИСТ К3'!M48*СПРАВОЧНИК!$M$11+'ФАКТ ЧИСТ К3'!N48*СПРАВОЧНИК!$N$11+'ФАКТ ЧИСТ К3'!O48*СПРАВОЧНИК!$O$11+'ФАКТ ЧИСТ К3'!P48*СПРАВОЧНИК!$P$11)+СПРАВОЧНИК!$E$12*('ФАКТ ЧЕРН К3'!K48*СПРАВОЧНИК!$H$12+'ФАКТ ЧЕРН К3'!L48*СПРАВОЧНИК!$I$12+'ФАКТ ЧЕРН К3'!M48*СПРАВОЧНИК!$J$12)+СПРАВОЧНИК!$F$12*('ФАКТ ЧИСТ К3'!Q48*СПРАВОЧНИК!$L$12+'ФАКТ ЧИСТ К3'!R48*СПРАВОЧНИК!$M$12+'ФАКТ ЧИСТ К3'!S48*СПРАВОЧНИК!$N$12+'ФАКТ ЧИСТ К3'!T48*СПРАВОЧНИК!$O$12+'ФАКТ ЧИСТ К3'!U48*СПРАВОЧНИК!$P$12)+СПРАВОЧНИК!$E$13*('ФАКТ ЧЕРН К3'!N48*СПРАВОЧНИК!$H$13+'ФАКТ ЧЕРН К3'!O48*СПРАВОЧНИК!$I$13+'ФАКТ ЧЕРН К3'!P48*СПРАВОЧНИК!$J$13)+СПРАВОЧНИК!$F$13*('ФАКТ ЧИСТ К3'!V48*СПРАВОЧНИК!$L$13+'ФАКТ ЧИСТ К3'!W48*СПРАВОЧНИК!$M$13+'ФАКТ ЧИСТ К3'!X48*СПРАВОЧНИК!$N$13+'ФАКТ ЧИСТ К3'!Y48*СПРАВОЧНИК!$O$13+'ФАКТ ЧИСТ К3'!Z48*СПРАВОЧНИК!$P$13)+СПРАВОЧНИК!$E$14*('ФАКТ ЧЕРН К3'!Q48*СПРАВОЧНИК!$H$14+'ФАКТ ЧЕРН К3'!R48*СПРАВОЧНИК!$I$14+'ФАКТ ЧЕРН К3'!S48*СПРАВОЧНИК!$J$14)+СПРАВОЧНИК!$F$14*('ФАКТ ЧИСТ К3'!AA48*СПРАВОЧНИК!$L$14+'ФАКТ ЧИСТ К3'!AB48*СПРАВОЧНИК!$M$14+'ФАКТ ЧИСТ К3'!AC48*СПРАВОЧНИК!$N$14+'ФАКТ ЧИСТ К3'!AD48*СПРАВОЧНИК!$O$14+'ФАКТ ЧИСТ К3'!AE48*СПРАВОЧНИК!$P$14)+СПРАВОЧНИК!$E$15*('ФАКТ ЧЕРН К3'!T48*СПРАВОЧНИК!$H$15+'ФАКТ ЧЕРН К3'!U48*СПРАВОЧНИК!$I$15+'ФАКТ ЧЕРН К3'!V48*СПРАВОЧНИК!$J$15)+СПРАВОЧНИК!$F$15*('ФАКТ ЧИСТ К3'!AF48*СПРАВОЧНИК!$L$15+'ФАКТ ЧИСТ К3'!AG48*СПРАВОЧНИК!$M$15+'ФАКТ ЧИСТ К3'!AH48*СПРАВОЧНИК!$N$15+'ФАКТ ЧИСТ К3'!AI48*СПРАВОЧНИК!$O$15+'ФАКТ ЧИСТ К3'!AJ48*СПРАВОЧНИК!$P$15)</f>
        <v/>
      </c>
      <c r="BG57" s="34" t="n"/>
      <c r="BJ57" s="152">
        <f>BJ56+7</f>
        <v/>
      </c>
      <c r="BK57" s="17">
        <f>'ПЛАН ЧЕРН К3'!B48*СПРАВОЧНИК!$H$9+'ПЛАН ЧЕРН К3'!C48*СПРАВОЧНИК!$I$9+'ПЛАН ЧЕРН К3'!D48*СПРАВОЧНИК!$J$9+'ПЛАН ЧЕРН К3'!E48*СПРАВОЧНИК!$H$10+'ПЛАН ЧЕРН К3'!F48*СПРАВОЧНИК!$I$10+'ПЛАН ЧЕРН К3'!G48*СПРАВОЧНИК!$J$10+'ПЛАН ЧЕРН К3'!H48*СПРАВОЧНИК!$H$11+'ПЛАН ЧЕРН К3'!I48*СПРАВОЧНИК!$I$11+'ПЛАН ЧЕРН К3'!J48*СПРАВОЧНИК!$J$11+'ПЛАН ЧЕРН К3'!K48*СПРАВОЧНИК!$H$12+'ПЛАН ЧЕРН К3'!L48*СПРАВОЧНИК!$I$12+'ПЛАН ЧЕРН К3'!M48*СПРАВОЧНИК!$J$12+'ПЛАН ЧЕРН К3'!N48*СПРАВОЧНИК!$H$13+'ПЛАН ЧЕРН К3'!O48*СПРАВОЧНИК!$I$13+'ПЛАН ЧЕРН К3'!P48*СПРАВОЧНИК!$J$13+'ПЛАН ЧЕРН К3'!Q48*СПРАВОЧНИК!$H$14+'ПЛАН ЧЕРН К3'!R48*СПРАВОЧНИК!$I$14+'ПЛАН ЧЕРН К3'!S48*СПРАВОЧНИК!$J$14+'ПЛАН ЧЕРН К3'!T48*СПРАВОЧНИК!$H$15+'ПЛАН ЧЕРН К3'!U48*СПРАВОЧНИК!$I$15+'ПЛАН ЧЕРН К3'!V48*СПРАВОЧНИК!$J$15</f>
        <v/>
      </c>
      <c r="BL57" s="31">
        <f>('ФАКТ ЧЕРН К3'!B48)*СПРАВОЧНИК!$H$9+('ФАКТ ЧЕРН К3'!C48)*СПРАВОЧНИК!$I$9+('ФАКТ ЧЕРН К3'!D48)*СПРАВОЧНИК!$J$9+('ФАКТ ЧЕРН К3'!E48)*СПРАВОЧНИК!$H$10+('ФАКТ ЧЕРН К3'!F48)*СПРАВОЧНИК!$I$10+('ФАКТ ЧЕРН К3'!G48)*СПРАВОЧНИК!$J$10+('ФАКТ ЧЕРН К3'!H48)*СПРАВОЧНИК!$H$11+('ФАКТ ЧЕРН К3'!I48)*СПРАВОЧНИК!$I$11+('ФАКТ ЧЕРН К3'!J48)*СПРАВОЧНИК!$J$11+('ФАКТ ЧЕРН К3'!K48)*СПРАВОЧНИК!$H$12+('ФАКТ ЧЕРН К3'!L48)*СПРАВОЧНИК!$I$12+('ФАКТ ЧЕРН К3'!M48)*СПРАВОЧНИК!$J$12+('ФАКТ ЧЕРН К3'!N48)*СПРАВОЧНИК!$H$13+('ФАКТ ЧЕРН К3'!O48)*СПРАВОЧНИК!$I$13+('ФАКТ ЧЕРН К3'!P48)*СПРАВОЧНИК!$J$13+('ФАКТ ЧЕРН К3'!Q48)*СПРАВОЧНИК!$H$14+('ФАКТ ЧЕРН К3'!R48)*СПРАВОЧНИК!$I$14+('ФАКТ ЧЕРН К3'!S48)*СПРАВОЧНИК!$J$14+('ФАКТ ЧЕРН К3'!T48)*СПРАВОЧНИК!$H$15+('ФАКТ ЧЕРН К3'!U48)*СПРАВОЧНИК!$I$15+('ФАКТ ЧЕРН К3'!V48)*СПРАВОЧНИК!$J$15</f>
        <v/>
      </c>
      <c r="BM57" s="34" t="n"/>
      <c r="BP57" s="152">
        <f>BP56+7</f>
        <v/>
      </c>
      <c r="BQ57" s="17">
        <f>'ПЛАН ЧИСТ К3'!B48*СПРАВОЧНИК!$L$9+'ПЛАН ЧИСТ К3'!C48*СПРАВОЧНИК!$M$9+'ПЛАН ЧИСТ К3'!D48*СПРАВОЧНИК!$N$9+'ПЛАН ЧИСТ К3'!E48*СПРАВОЧНИК!$O$9+'ПЛАН ЧИСТ К3'!F48*СПРАВОЧНИК!$P$9+'ПЛАН ЧИСТ К3'!G48*СПРАВОЧНИК!$L$10+'ПЛАН ЧИСТ К3'!H48*СПРАВОЧНИК!$M$10+'ПЛАН ЧИСТ К3'!I48*СПРАВОЧНИК!$N$10+'ПЛАН ЧИСТ К3'!J48*СПРАВОЧНИК!$O$10+'ПЛАН ЧИСТ К3'!K48*СПРАВОЧНИК!$P$10+'ПЛАН ЧИСТ К3'!L48*СПРАВОЧНИК!$L$11+'ПЛАН ЧИСТ К3'!M48*СПРАВОЧНИК!$M$11+'ПЛАН ЧИСТ К3'!N48*СПРАВОЧНИК!$N$11+'ПЛАН ЧИСТ К3'!O48*СПРАВОЧНИК!$O$11+'ПЛАН ЧИСТ К3'!P48*СПРАВОЧНИК!$P$11+'ПЛАН ЧИСТ К3'!Q48*СПРАВОЧНИК!$L$12+'ПЛАН ЧИСТ К3'!R48*СПРАВОЧНИК!$M$12+'ПЛАН ЧИСТ К3'!S48*СПРАВОЧНИК!$N$12+'ПЛАН ЧИСТ К3'!T48*СПРАВОЧНИК!$O$12+'ПЛАН ЧИСТ К3'!U48*СПРАВОЧНИК!$P$12+'ПЛАН ЧИСТ К3'!V48*СПРАВОЧНИК!$L$13+'ПЛАН ЧИСТ К3'!W48*СПРАВОЧНИК!$M$13+'ПЛАН ЧИСТ К3'!X48*СПРАВОЧНИК!$N$13+'ПЛАН ЧИСТ К3'!Y48*СПРАВОЧНИК!$O$13+'ПЛАН ЧИСТ К3'!Z48*СПРАВОЧНИК!$P$13+'ПЛАН ЧИСТ К3'!AA48*СПРАВОЧНИК!$L$14+'ПЛАН ЧИСТ К3'!AB48*СПРАВОЧНИК!$M$14+'ПЛАН ЧИСТ К3'!AC48*СПРАВОЧНИК!$N$14+'ПЛАН ЧИСТ К3'!AD48*СПРАВОЧНИК!$O$14+'ПЛАН ЧИСТ К3'!AE48*СПРАВОЧНИК!$P$14+'ПЛАН ЧИСТ К3'!AF48*СПРАВОЧНИК!$L$15+'ПЛАН ЧИСТ К3'!AG48*СПРАВОЧНИК!$M$15+'ПЛАН ЧИСТ К3'!AH48*СПРАВОЧНИК!$N$15+'ПЛАН ЧИСТ К3'!AI48*СПРАВОЧНИК!$O$15+'ПЛАН ЧИСТ К3'!AJ48*СПРАВОЧНИК!$P$15</f>
        <v/>
      </c>
      <c r="BR57" s="31">
        <f>('ФАКТ ЧИСТ К3'!B48)*СПРАВОЧНИК!$L$9+('ФАКТ ЧИСТ К3'!C48)*СПРАВОЧНИК!$M$9+('ФАКТ ЧИСТ К3'!D48)*СПРАВОЧНИК!$N$9+('ФАКТ ЧИСТ К3'!E48)*СПРАВОЧНИК!$O$9+('ФАКТ ЧИСТ К3'!F48)*СПРАВОЧНИК!$P$9+('ФАКТ ЧИСТ К3'!G48)*СПРАВОЧНИК!$L$10+('ФАКТ ЧИСТ К3'!H48)*СПРАВОЧНИК!$M$10+('ФАКТ ЧИСТ К3'!I48)*СПРАВОЧНИК!$N$10+('ФАКТ ЧИСТ К3'!J48)*СПРАВОЧНИК!$O$10+('ФАКТ ЧИСТ К3'!K48)*СПРАВОЧНИК!$P$10+('ФАКТ ЧИСТ К3'!L48)*СПРАВОЧНИК!$L$11+('ФАКТ ЧИСТ К3'!M48)*СПРАВОЧНИК!$M$11+('ФАКТ ЧИСТ К3'!N48)*СПРАВОЧНИК!$N$11+('ФАКТ ЧИСТ К3'!O48)*СПРАВОЧНИК!$O$11+('ФАКТ ЧИСТ К3'!P48)*СПРАВОЧНИК!$P$11+('ФАКТ ЧИСТ К3'!Q48)*СПРАВОЧНИК!$L$12+('ФАКТ ЧИСТ К3'!R48)*СПРАВОЧНИК!$M$12+('ФАКТ ЧИСТ К3'!S48)*СПРАВОЧНИК!$N$12+('ФАКТ ЧИСТ К3'!T48)*СПРАВОЧНИК!$O$12+('ФАКТ ЧИСТ К3'!U48)*СПРАВОЧНИК!$P$12+('ФАКТ ЧИСТ К3'!V48)*СПРАВОЧНИК!$L$13+('ФАКТ ЧИСТ К3'!W48)*СПРАВОЧНИК!$M$13+('ФАКТ ЧИСТ К3'!X48)*СПРАВОЧНИК!$N$13+('ФАКТ ЧИСТ К3'!Y48)*СПРАВОЧНИК!$O$13+('ФАКТ ЧИСТ К3'!Z48)*СПРАВОЧНИК!$P$13+('ФАКТ ЧИСТ К3'!AA48)*СПРАВОЧНИК!$L$14+('ФАКТ ЧИСТ К3'!AB48)*СПРАВОЧНИК!$M$14+('ФАКТ ЧИСТ К3'!AC48)*СПРАВОЧНИК!$N$14+('ФАКТ ЧИСТ К3'!AD48)*СПРАВОЧНИК!$O$14+('ФАКТ ЧИСТ К3'!AE48)*СПРАВОЧНИК!$P$14+('ФАКТ ЧИСТ К3'!AF48)*СПРАВОЧНИК!$L$15+('ФАКТ ЧИСТ К3'!AG48)*СПРАВОЧНИК!$M$15+('ФАКТ ЧИСТ К3'!AH48)*СПРАВОЧНИК!$N$15+('ФАКТ ЧИСТ К3'!AI48)*СПРАВОЧНИК!$O$15+('ФАКТ ЧИСТ К3'!AJ48)*СПРАВОЧНИК!$P$15</f>
        <v/>
      </c>
      <c r="BS57" s="34" t="n"/>
      <c r="BV57" s="152">
        <f>BV56+7</f>
        <v/>
      </c>
      <c r="BW57" s="17">
        <f>U57*СПРАВОЧНИК!$K$28+AM57*СПРАВОЧНИК!$K$29+BE57*СПРАВОЧНИК!$K$30</f>
        <v/>
      </c>
      <c r="BX57" s="31">
        <f>V57*СПРАВОЧНИК!$K$28+AN57*СПРАВОЧНИК!$K$29+BF57*СПРАВОЧНИК!$K$30</f>
        <v/>
      </c>
      <c r="BY57" s="34" t="n"/>
      <c r="CB57" s="152">
        <f>CB56+7</f>
        <v/>
      </c>
      <c r="CC57" s="17">
        <f>AA57*СПРАВОЧНИК!$K$28+AS57*СПРАВОЧНИК!$K$29+BK57*СПРАВОЧНИК!$K$30</f>
        <v/>
      </c>
      <c r="CD57" s="31">
        <f>AB57*СПРАВОЧНИК!$K$28+AT57*СПРАВОЧНИК!$K$29+BL57*СПРАВОЧНИК!$K$30</f>
        <v/>
      </c>
      <c r="CE57" s="34" t="n"/>
      <c r="CH57" s="152">
        <f>CH56+7</f>
        <v/>
      </c>
      <c r="CI57" s="17">
        <f>AG57*СПРАВОЧНИК!$K$28+AY57*СПРАВОЧНИК!$K$29+BQ57*СПРАВОЧНИК!$K$30</f>
        <v/>
      </c>
      <c r="CJ57" s="31">
        <f>AH57*СПРАВОЧНИК!$K$28+AZ57*СПРАВОЧНИК!$K$29+BR57*СПРАВОЧНИК!$K$30</f>
        <v/>
      </c>
      <c r="CK57" s="34" t="n"/>
      <c r="CN57" s="152">
        <f>CN56+7</f>
        <v/>
      </c>
      <c r="CO57" s="17">
        <f>C57*СПРАВОЧНИК!$W$18+BW57*СПРАВОЧНИК!$W$19</f>
        <v/>
      </c>
      <c r="CP57" s="31">
        <f>D57*СПРАВОЧНИК!$W$18+BX57*СПРАВОЧНИК!$W$19</f>
        <v/>
      </c>
      <c r="CQ57" s="34" t="n"/>
      <c r="CT57" s="152">
        <f>CT56+7</f>
        <v/>
      </c>
      <c r="CU57" s="17">
        <f>I57*СПРАВОЧНИК!$W$18+CC57*СПРАВОЧНИК!$W$19</f>
        <v/>
      </c>
      <c r="CV57" s="31">
        <f>J57*СПРАВОЧНИК!$W$18+CD57*СПРАВОЧНИК!$W$19</f>
        <v/>
      </c>
      <c r="CW57" s="34" t="n"/>
      <c r="CZ57" s="152">
        <f>CZ56+7</f>
        <v/>
      </c>
      <c r="DA57" s="17">
        <f>O57*СПРАВОЧНИК!$W$18+CI57*СПРАВОЧНИК!$W$19</f>
        <v/>
      </c>
      <c r="DB57" s="31">
        <f>P57*СПРАВОЧНИК!$W$18+CJ57*СПРАВОЧНИК!$W$19</f>
        <v/>
      </c>
      <c r="DC57" s="34" t="n"/>
    </row>
    <row r="58">
      <c r="B58" s="152">
        <f>B57+7</f>
        <v/>
      </c>
      <c r="C58" s="17">
        <f>СПРАВОЧНИК!$E$3*('ПЛАН ЧЕРН ПОДЗЕМ'!B49*СПРАВОЧНИК!$H$3+'ПЛАН ЧЕРН ПОДЗЕМ'!C49*СПРАВОЧНИК!$I$3+'ПЛАН ЧЕРН ПОДЗЕМ'!D49*СПРАВОЧНИК!$J$3)+СПРАВОЧНИК!$F$3*('ПЛАН ЧИСТ ПОДЗЕМ'!B49*СПРАВОЧНИК!$L$3+'ПЛАН ЧИСТ ПОДЗЕМ'!C49*СПРАВОЧНИК!$M$3+'ПЛАН ЧИСТ ПОДЗЕМ'!D49*СПРАВОЧНИК!$N$3+'ПЛАН ЧИСТ ПОДЗЕМ'!E49*СПРАВОЧНИК!$O$3+'ПЛАН ЧИСТ ПОДЗЕМ'!F49*СПРАВОЧНИК!$P$3)+СПРАВОЧНИК!$E$4*('ПЛАН ЧЕРН ПОДЗЕМ'!E49*СПРАВОЧНИК!$H$4+'ПЛАН ЧЕРН ПОДЗЕМ'!F49*СПРАВОЧНИК!$I$4+'ПЛАН ЧЕРН ПОДЗЕМ'!G49*СПРАВОЧНИК!$J$4)+СПРАВОЧНИК!$F$4*('ПЛАН ЧИСТ ПОДЗЕМ'!G49*СПРАВОЧНИК!$L$4+'ПЛАН ЧИСТ ПОДЗЕМ'!H49*СПРАВОЧНИК!$M$4+'ПЛАН ЧИСТ ПОДЗЕМ'!I49*СПРАВОЧНИК!$N$4+'ПЛАН ЧИСТ ПОДЗЕМ'!J49*СПРАВОЧНИК!$O$4+'ПЛАН ЧИСТ ПОДЗЕМ'!K49*СПРАВОЧНИК!$P$4)+СПРАВОЧНИК!$E$5*('ПЛАН ЧЕРН ПОДЗЕМ'!H49*СПРАВОЧНИК!$H$5+'ПЛАН ЧЕРН ПОДЗЕМ'!I49*СПРАВОЧНИК!$I$5+'ПЛАН ЧЕРН ПОДЗЕМ'!J49*СПРАВОЧНИК!$J$5)+СПРАВОЧНИК!$F$5*('ПЛАН ЧИСТ ПОДЗЕМ'!L49*СПРАВОЧНИК!$L$5+'ПЛАН ЧИСТ ПОДЗЕМ'!M49*СПРАВОЧНИК!$M$5+'ПЛАН ЧИСТ ПОДЗЕМ'!N49*СПРАВОЧНИК!$N$5+'ПЛАН ЧИСТ ПОДЗЕМ'!O49*СПРАВОЧНИК!$O$5+'ПЛАН ЧИСТ ПОДЗЕМ'!P49*СПРАВОЧНИК!$P$5)+СПРАВОЧНИК!$E$6*('ПЛАН ЧЕРН ПОДЗЕМ'!K49*СПРАВОЧНИК!$H$6+'ПЛАН ЧЕРН ПОДЗЕМ'!L49*СПРАВОЧНИК!$I$6+'ПЛАН ЧЕРН ПОДЗЕМ'!M49*СПРАВОЧНИК!$J$6)+СПРАВОЧНИК!$F$6*('ПЛАН ЧИСТ ПОДЗЕМ'!Q49*СПРАВОЧНИК!$L$6+'ПЛАН ЧИСТ ПОДЗЕМ'!R49*СПРАВОЧНИК!$M$6+'ПЛАН ЧИСТ ПОДЗЕМ'!S49*СПРАВОЧНИК!$N$6+'ПЛАН ЧИСТ ПОДЗЕМ'!T49*СПРАВОЧНИК!$O$6+'ПЛАН ЧИСТ ПОДЗЕМ'!U49*СПРАВОЧНИК!$P$6)+СПРАВОЧНИК!$E$7*('ПЛАН ЧЕРН ПОДЗЕМ'!N49*СПРАВОЧНИК!$H$7+'ПЛАН ЧЕРН ПОДЗЕМ'!O49*СПРАВОЧНИК!$I$7+'ПЛАН ЧЕРН ПОДЗЕМ'!P49*СПРАВОЧНИК!$J$7)+СПРАВОЧНИК!$F$7*('ПЛАН ЧИСТ ПОДЗЕМ'!V49*СПРАВОЧНИК!$L$7+'ПЛАН ЧИСТ ПОДЗЕМ'!W49*СПРАВОЧНИК!$M$7+'ПЛАН ЧИСТ ПОДЗЕМ'!X49*СПРАВОЧНИК!$N$7+'ПЛАН ЧИСТ ПОДЗЕМ'!Y49*СПРАВОЧНИК!$O$7+'ПЛАН ЧИСТ ПОДЗЕМ'!Z49*СПРАВОЧНИК!$P$7)+СПРАВОЧНИК!$E$8*('ПЛАН ЧЕРН ПОДЗЕМ'!Q49*СПРАВОЧНИК!$H$8+'ПЛАН ЧЕРН ПОДЗЕМ'!R49*СПРАВОЧНИК!$I$8+'ПЛАН ЧЕРН ПОДЗЕМ'!S49*СПРАВОЧНИК!$J$8)+СПРАВОЧНИК!$F$8*('ПЛАН ЧИСТ ПОДЗЕМ'!AA49*СПРАВОЧНИК!$L$8+'ПЛАН ЧИСТ ПОДЗЕМ'!AB49*СПРАВОЧНИК!$M$8+'ПЛАН ЧИСТ ПОДЗЕМ'!AC49*СПРАВОЧНИК!$N$8+'ПЛАН ЧИСТ ПОДЗЕМ'!AD49*СПРАВОЧНИК!$O$8+'ПЛАН ЧИСТ ПОДЗЕМ'!AE49*СПРАВОЧНИК!$P$8)</f>
        <v/>
      </c>
      <c r="D58" s="31">
        <f>СПРАВОЧНИК!$E$3*('ФАКТ ЧЕРН ПОДЗЕМ'!B49*СПРАВОЧНИК!$H$3+'ФАКТ ЧЕРН ПОДЗЕМ'!C49*СПРАВОЧНИК!$I$3+'ФАКТ ЧЕРН ПОДЗЕМ'!D49*СПРАВОЧНИК!$J$3)+СПРАВОЧНИК!$F$3*('ФАКТ ЧИСТ ПОДЗЕМ'!B49*СПРАВОЧНИК!$L$3+'ФАКТ ЧИСТ ПОДЗЕМ'!C49*СПРАВОЧНИК!$M$3+'ФАКТ ЧИСТ ПОДЗЕМ'!D49*СПРАВОЧНИК!$N$3+'ФАКТ ЧИСТ ПОДЗЕМ'!E49*СПРАВОЧНИК!$O$3+'ФАКТ ЧИСТ ПОДЗЕМ'!F49*СПРАВОЧНИК!$P$3)+СПРАВОЧНИК!$E$4*('ФАКТ ЧЕРН ПОДЗЕМ'!E49*СПРАВОЧНИК!$H$4+'ФАКТ ЧЕРН ПОДЗЕМ'!F49*СПРАВОЧНИК!$I$4+'ФАКТ ЧЕРН ПОДЗЕМ'!G49*СПРАВОЧНИК!$J$4)+СПРАВОЧНИК!$F$4*('ФАКТ ЧИСТ ПОДЗЕМ'!G49*СПРАВОЧНИК!$L$4+'ФАКТ ЧИСТ ПОДЗЕМ'!H49*СПРАВОЧНИК!$M$4+'ФАКТ ЧИСТ ПОДЗЕМ'!I49*СПРАВОЧНИК!$N$4+'ФАКТ ЧИСТ ПОДЗЕМ'!J49*СПРАВОЧНИК!$O$4+'ФАКТ ЧИСТ ПОДЗЕМ'!K49*СПРАВОЧНИК!$P$4)+СПРАВОЧНИК!$E$5*('ФАКТ ЧЕРН ПОДЗЕМ'!H49*СПРАВОЧНИК!$H$5+'ФАКТ ЧЕРН ПОДЗЕМ'!I49*СПРАВОЧНИК!$I$5+'ФАКТ ЧЕРН ПОДЗЕМ'!J49*СПРАВОЧНИК!$J$5)+СПРАВОЧНИК!$F$5*('ФАКТ ЧИСТ ПОДЗЕМ'!L49*СПРАВОЧНИК!$L$5+'ФАКТ ЧИСТ ПОДЗЕМ'!M49*СПРАВОЧНИК!$M$5+'ФАКТ ЧИСТ ПОДЗЕМ'!N49*СПРАВОЧНИК!$N$5+'ФАКТ ЧИСТ ПОДЗЕМ'!O49*СПРАВОЧНИК!$O$5+'ФАКТ ЧИСТ ПОДЗЕМ'!P49*СПРАВОЧНИК!$P$5)+СПРАВОЧНИК!$E$6*('ФАКТ ЧЕРН ПОДЗЕМ'!K49*СПРАВОЧНИК!$H$6+'ФАКТ ЧЕРН ПОДЗЕМ'!L49*СПРАВОЧНИК!$I$6+'ФАКТ ЧЕРН ПОДЗЕМ'!M49*СПРАВОЧНИК!$J$6)+СПРАВОЧНИК!$F$6*('ФАКТ ЧИСТ ПОДЗЕМ'!Q49*СПРАВОЧНИК!$L$6+'ФАКТ ЧИСТ ПОДЗЕМ'!R49*СПРАВОЧНИК!$M$6+'ФАКТ ЧИСТ ПОДЗЕМ'!S49*СПРАВОЧНИК!$N$6+'ФАКТ ЧИСТ ПОДЗЕМ'!T49*СПРАВОЧНИК!$O$6+'ФАКТ ЧИСТ ПОДЗЕМ'!U49*СПРАВОЧНИК!$P$6)+СПРАВОЧНИК!$E$7*('ФАКТ ЧЕРН ПОДЗЕМ'!N49*СПРАВОЧНИК!$H$7+'ФАКТ ЧЕРН ПОДЗЕМ'!O49*СПРАВОЧНИК!$I$7+'ФАКТ ЧЕРН ПОДЗЕМ'!P49*СПРАВОЧНИК!$J$7)+СПРАВОЧНИК!$F$7*('ФАКТ ЧИСТ ПОДЗЕМ'!V49*СПРАВОЧНИК!$L$7+'ФАКТ ЧИСТ ПОДЗЕМ'!W49*СПРАВОЧНИК!$M$7+'ФАКТ ЧИСТ ПОДЗЕМ'!X49*СПРАВОЧНИК!$N$7+'ФАКТ ЧИСТ ПОДЗЕМ'!Y49*СПРАВОЧНИК!$O$7+'ФАКТ ЧИСТ ПОДЗЕМ'!Z49*СПРАВОЧНИК!$P$7)+СПРАВОЧНИК!$E$8*('ФАКТ ЧЕРН ПОДЗЕМ'!Q49*СПРАВОЧНИК!$H$8+'ФАКТ ЧЕРН ПОДЗЕМ'!R49*СПРАВОЧНИК!$I$8+'ФАКТ ЧЕРН ПОДЗЕМ'!S49*СПРАВОЧНИК!$J$8)+СПРАВОЧНИК!$F$8*('ФАКТ ЧИСТ ПОДЗЕМ'!AA49*СПРАВОЧНИК!$L$8+'ФАКТ ЧИСТ ПОДЗЕМ'!AB49*СПРАВОЧНИК!$M$8+'ФАКТ ЧИСТ ПОДЗЕМ'!AC49*СПРАВОЧНИК!$N$8+'ФАКТ ЧИСТ ПОДЗЕМ'!AD49*СПРАВОЧНИК!$O$8+'ФАКТ ЧИСТ ПОДЗЕМ'!AE49*СПРАВОЧНИК!$P$8)</f>
        <v/>
      </c>
      <c r="E58" s="34" t="n"/>
      <c r="H58" s="152">
        <f>H57+7</f>
        <v/>
      </c>
      <c r="I58" s="17">
        <f>'ПЛАН ЧЕРН ПОДЗЕМ'!B49*СПРАВОЧНИК!$H$3+'ПЛАН ЧЕРН ПОДЗЕМ'!C49*СПРАВОЧНИК!$I$3+'ПЛАН ЧЕРН ПОДЗЕМ'!D49*СПРАВОЧНИК!$J$3+'ПЛАН ЧЕРН ПОДЗЕМ'!E49*СПРАВОЧНИК!$H$4+'ПЛАН ЧЕРН ПОДЗЕМ'!F49*СПРАВОЧНИК!$I$4+'ПЛАН ЧЕРН ПОДЗЕМ'!G49*СПРАВОЧНИК!$J$4+'ПЛАН ЧЕРН ПОДЗЕМ'!H49*СПРАВОЧНИК!$H$5+'ПЛАН ЧЕРН ПОДЗЕМ'!I49*СПРАВОЧНИК!$I$5+'ПЛАН ЧЕРН ПОДЗЕМ'!J49*СПРАВОЧНИК!$J$5+'ПЛАН ЧЕРН ПОДЗЕМ'!K49*СПРАВОЧНИК!$H$6+'ПЛАН ЧЕРН ПОДЗЕМ'!L49*СПРАВОЧНИК!$I$6+'ПЛАН ЧЕРН ПОДЗЕМ'!M49*СПРАВОЧНИК!$J$6+'ПЛАН ЧЕРН ПОДЗЕМ'!N49*СПРАВОЧНИК!$H$7+'ПЛАН ЧЕРН ПОДЗЕМ'!O49*СПРАВОЧНИК!$I$7+'ПЛАН ЧЕРН ПОДЗЕМ'!P49*СПРАВОЧНИК!$J$7+'ПЛАН ЧЕРН ПОДЗЕМ'!Q49*СПРАВОЧНИК!$H$8+'ПЛАН ЧЕРН ПОДЗЕМ'!R49*СПРАВОЧНИК!$I$8+'ПЛАН ЧЕРН ПОДЗЕМ'!S49*СПРАВОЧНИК!$J$8</f>
        <v/>
      </c>
      <c r="J58" s="31">
        <f>('ФАКТ ЧЕРН ПОДЗЕМ'!B49)*СПРАВОЧНИК!$H$3+('ФАКТ ЧЕРН ПОДЗЕМ'!C49)*СПРАВОЧНИК!$I$3+('ФАКТ ЧЕРН ПОДЗЕМ'!D49)*СПРАВОЧНИК!$J$3+('ФАКТ ЧЕРН ПОДЗЕМ'!E49)*СПРАВОЧНИК!$H$4+('ФАКТ ЧЕРН ПОДЗЕМ'!F49)*СПРАВОЧНИК!$I$4+('ФАКТ ЧЕРН ПОДЗЕМ'!G49)*СПРАВОЧНИК!$J$4+('ФАКТ ЧЕРН ПОДЗЕМ'!H49)*СПРАВОЧНИК!$H$5+('ФАКТ ЧЕРН ПОДЗЕМ'!I49)*СПРАВОЧНИК!$I$5+('ФАКТ ЧЕРН ПОДЗЕМ'!J49)*СПРАВОЧНИК!$J$5+('ФАКТ ЧЕРН ПОДЗЕМ'!K49)*СПРАВОЧНИК!$H$6+('ФАКТ ЧЕРН ПОДЗЕМ'!L49)*СПРАВОЧНИК!$I$6+('ФАКТ ЧЕРН ПОДЗЕМ'!M49)*СПРАВОЧНИК!$J$6+('ФАКТ ЧЕРН ПОДЗЕМ'!N49)*СПРАВОЧНИК!$H$7+('ФАКТ ЧЕРН ПОДЗЕМ'!O49)*СПРАВОЧНИК!$I$7+('ФАКТ ЧЕРН ПОДЗЕМ'!P49)*СПРАВОЧНИК!$J$7+('ФАКТ ЧЕРН ПОДЗЕМ'!Q49)*СПРАВОЧНИК!$H$8+('ФАКТ ЧЕРН ПОДЗЕМ'!R49)*СПРАВОЧНИК!$I$8+('ФАКТ ЧЕРН ПОДЗЕМ'!S49)*СПРАВОЧНИК!$J$8</f>
        <v/>
      </c>
      <c r="K58" s="34" t="n"/>
      <c r="N58" s="152">
        <f>N57+7</f>
        <v/>
      </c>
      <c r="O58" s="17">
        <f>'ПЛАН ЧИСТ ПОДЗЕМ'!B49*СПРАВОЧНИК!$L$3+'ПЛАН ЧИСТ ПОДЗЕМ'!C49*СПРАВОЧНИК!$M$3+'ПЛАН ЧИСТ ПОДЗЕМ'!D49*СПРАВОЧНИК!$N$3+'ПЛАН ЧИСТ ПОДЗЕМ'!E49*СПРАВОЧНИК!$O$3+'ПЛАН ЧИСТ ПОДЗЕМ'!F49*СПРАВОЧНИК!$P$3+'ПЛАН ЧИСТ ПОДЗЕМ'!G49*СПРАВОЧНИК!$L$4+'ПЛАН ЧИСТ ПОДЗЕМ'!H49*СПРАВОЧНИК!$M$4+'ПЛАН ЧИСТ ПОДЗЕМ'!I49*СПРАВОЧНИК!$N$4+'ПЛАН ЧИСТ ПОДЗЕМ'!J49*СПРАВОЧНИК!$O$4+'ПЛАН ЧИСТ ПОДЗЕМ'!K49*СПРАВОЧНИК!$P$4+'ПЛАН ЧИСТ ПОДЗЕМ'!L49*СПРАВОЧНИК!$L$5+'ПЛАН ЧИСТ ПОДЗЕМ'!M49*СПРАВОЧНИК!$M$5+'ПЛАН ЧИСТ ПОДЗЕМ'!N49*СПРАВОЧНИК!$N$5+'ПЛАН ЧИСТ ПОДЗЕМ'!O49*СПРАВОЧНИК!$O$5+'ПЛАН ЧИСТ ПОДЗЕМ'!P49*СПРАВОЧНИК!$P$5+'ПЛАН ЧИСТ ПОДЗЕМ'!Q49*СПРАВОЧНИК!$L$6+'ПЛАН ЧИСТ ПОДЗЕМ'!R49*СПРАВОЧНИК!$M$6+'ПЛАН ЧИСТ ПОДЗЕМ'!S49*СПРАВОЧНИК!$N$6+'ПЛАН ЧИСТ ПОДЗЕМ'!T49*СПРАВОЧНИК!$O$6+'ПЛАН ЧИСТ ПОДЗЕМ'!U49*СПРАВОЧНИК!$P$6+'ПЛАН ЧИСТ ПОДЗЕМ'!V49*СПРАВОЧНИК!$L$7+'ПЛАН ЧИСТ ПОДЗЕМ'!W49*СПРАВОЧНИК!$M$7+'ПЛАН ЧИСТ ПОДЗЕМ'!X49*СПРАВОЧНИК!$N$7+'ПЛАН ЧИСТ ПОДЗЕМ'!Y49*СПРАВОЧНИК!$O$7+'ПЛАН ЧИСТ ПОДЗЕМ'!Z49*СПРАВОЧНИК!$P$7+'ПЛАН ЧИСТ ПОДЗЕМ'!AA49*СПРАВОЧНИК!$L$8+'ПЛАН ЧИСТ ПОДЗЕМ'!AB49*СПРАВОЧНИК!$M$8+'ПЛАН ЧИСТ ПОДЗЕМ'!AC49*СПРАВОЧНИК!$N$8+'ПЛАН ЧИСТ ПОДЗЕМ'!AD49*СПРАВОЧНИК!$O$8+'ПЛАН ЧИСТ ПОДЗЕМ'!AE49*СПРАВОЧНИК!$P$8</f>
        <v/>
      </c>
      <c r="P58" s="31">
        <f>('ФАКТ ЧИСТ ПОДЗЕМ'!B49)*СПРАВОЧНИК!$L$3+('ФАКТ ЧИСТ ПОДЗЕМ'!C49)*СПРАВОЧНИК!$M$3+('ФАКТ ЧИСТ ПОДЗЕМ'!D49)*СПРАВОЧНИК!$N$3+('ФАКТ ЧИСТ ПОДЗЕМ'!E49)*СПРАВОЧНИК!$O$3+('ФАКТ ЧИСТ ПОДЗЕМ'!F49)*СПРАВОЧНИК!$P$3+('ФАКТ ЧИСТ ПОДЗЕМ'!G49)*СПРАВОЧНИК!$L$4+('ФАКТ ЧИСТ ПОДЗЕМ'!H49)*СПРАВОЧНИК!$M$4+('ФАКТ ЧИСТ ПОДЗЕМ'!I49)*СПРАВОЧНИК!$N$4+('ФАКТ ЧИСТ ПОДЗЕМ'!J49)*СПРАВОЧНИК!$O$4+('ФАКТ ЧИСТ ПОДЗЕМ'!K49)*СПРАВОЧНИК!$P$4+('ФАКТ ЧИСТ ПОДЗЕМ'!L49)*СПРАВОЧНИК!$L$5+('ФАКТ ЧИСТ ПОДЗЕМ'!M49)*СПРАВОЧНИК!$M$5+('ФАКТ ЧИСТ ПОДЗЕМ'!N49)*СПРАВОЧНИК!$N$5+('ФАКТ ЧИСТ ПОДЗЕМ'!O49)*СПРАВОЧНИК!$O$5+('ФАКТ ЧИСТ ПОДЗЕМ'!P49)*СПРАВОЧНИК!$P$5+('ФАКТ ЧИСТ ПОДЗЕМ'!Q49)*СПРАВОЧНИК!$L$6+('ФАКТ ЧИСТ ПОДЗЕМ'!R49)*СПРАВОЧНИК!$M$6+('ФАКТ ЧИСТ ПОДЗЕМ'!S49)*СПРАВОЧНИК!$N$6+('ФАКТ ЧИСТ ПОДЗЕМ'!T49)*СПРАВОЧНИК!$O$6+('ФАКТ ЧИСТ ПОДЗЕМ'!U49)*СПРАВОЧНИК!$P$6+('ФАКТ ЧИСТ ПОДЗЕМ'!V49)*СПРАВОЧНИК!$L$7+('ФАКТ ЧИСТ ПОДЗЕМ'!W49)*СПРАВОЧНИК!$M$7+('ФАКТ ЧИСТ ПОДЗЕМ'!X49)*СПРАВОЧНИК!$N$7+('ФАКТ ЧИСТ ПОДЗЕМ'!Y49)*СПРАВОЧНИК!$O$7+('ФАКТ ЧИСТ ПОДЗЕМ'!Z49)*СПРАВОЧНИК!$P$7+('ФАКТ ЧИСТ ПОДЗЕМ'!AA49)*СПРАВОЧНИК!$L$8+('ФАКТ ЧИСТ ПОДЗЕМ'!AB49)*СПРАВОЧНИК!$M$8+('ФАКТ ЧИСТ ПОДЗЕМ'!AC49)*СПРАВОЧНИК!$N$8+('ФАКТ ЧИСТ ПОДЗЕМ'!AD49)*СПРАВОЧНИК!$O$8+('ФАКТ ЧИСТ ПОДЗЕМ'!AE49)*СПРАВОЧНИК!$P$8</f>
        <v/>
      </c>
      <c r="Q58" s="34" t="n"/>
      <c r="T58" s="152">
        <f>T57+7</f>
        <v/>
      </c>
      <c r="U58" s="17">
        <f>СПРАВОЧНИК!$E$9*('ПЛАН ЧЕРН К1'!B49*СПРАВОЧНИК!$H$9+'ПЛАН ЧЕРН К1'!C49*СПРАВОЧНИК!$I$9+'ПЛАН ЧЕРН К1'!D49*СПРАВОЧНИК!$J$9)+СПРАВОЧНИК!$F$9*('ПЛАН ЧИСТ К1'!B49*СПРАВОЧНИК!$L$9+'ПЛАН ЧИСТ К1'!C49*СПРАВОЧНИК!$M$9+'ПЛАН ЧИСТ К1'!D49*СПРАВОЧНИК!$N$9+'ПЛАН ЧИСТ К1'!E49*СПРАВОЧНИК!$O$9+'ПЛАН ЧИСТ К1'!F49*СПРАВОЧНИК!$P$9)+СПРАВОЧНИК!$E$10*('ПЛАН ЧЕРН К1'!E49*СПРАВОЧНИК!$H$10+'ПЛАН ЧЕРН К1'!F49*СПРАВОЧНИК!$I$10+'ПЛАН ЧЕРН К1'!G49*СПРАВОЧНИК!$J$10)+СПРАВОЧНИК!$F$10*('ПЛАН ЧИСТ К1'!G49*СПРАВОЧНИК!$L$10+'ПЛАН ЧИСТ К1'!H49*СПРАВОЧНИК!$M$10+'ПЛАН ЧИСТ К1'!I49*СПРАВОЧНИК!$N$10+'ПЛАН ЧИСТ К1'!J49*СПРАВОЧНИК!$O$10+'ПЛАН ЧИСТ К1'!K49*СПРАВОЧНИК!$P$10)+СПРАВОЧНИК!$E$11*('ПЛАН ЧЕРН К1'!H49*СПРАВОЧНИК!$H$11+'ПЛАН ЧЕРН К1'!I49*СПРАВОЧНИК!$I$11+'ПЛАН ЧЕРН К1'!J49*СПРАВОЧНИК!$J$11)+СПРАВОЧНИК!$F$11*('ПЛАН ЧИСТ К1'!L49*СПРАВОЧНИК!$L$11+'ПЛАН ЧИСТ К1'!M49*СПРАВОЧНИК!$M$11+'ПЛАН ЧИСТ К1'!N49*СПРАВОЧНИК!$N$11+'ПЛАН ЧИСТ К1'!O49*СПРАВОЧНИК!$O$11+'ПЛАН ЧИСТ К1'!P49*СПРАВОЧНИК!$P$11)+СПРАВОЧНИК!$E$12*('ПЛАН ЧЕРН К1'!K49*СПРАВОЧНИК!$H$12+'ПЛАН ЧЕРН К1'!L49*СПРАВОЧНИК!$I$12+'ПЛАН ЧЕРН К1'!M49*СПРАВОЧНИК!$J$12)+СПРАВОЧНИК!$F$12*('ПЛАН ЧИСТ К1'!Q49*СПРАВОЧНИК!$L$12+'ПЛАН ЧИСТ К1'!R49*СПРАВОЧНИК!$M$12+'ПЛАН ЧИСТ К1'!S49*СПРАВОЧНИК!$N$12+'ПЛАН ЧИСТ К1'!T49*СПРАВОЧНИК!$O$12+'ПЛАН ЧИСТ К1'!U49*СПРАВОЧНИК!$P$12)+СПРАВОЧНИК!$E$13*('ПЛАН ЧЕРН К1'!N49*СПРАВОЧНИК!$H$13+'ПЛАН ЧЕРН К1'!O49*СПРАВОЧНИК!$I$13+'ПЛАН ЧЕРН К1'!P49*СПРАВОЧНИК!$J$13)+СПРАВОЧНИК!$F$13*('ПЛАН ЧИСТ К1'!V49*СПРАВОЧНИК!$L$13+'ПЛАН ЧИСТ К1'!W49*СПРАВОЧНИК!$M$13+'ПЛАН ЧИСТ К1'!X49*СПРАВОЧНИК!$N$13+'ПЛАН ЧИСТ К1'!Y49*СПРАВОЧНИК!$O$13+'ПЛАН ЧИСТ К1'!Z49*СПРАВОЧНИК!$P$13)+СПРАВОЧНИК!$E$14*('ПЛАН ЧЕРН К1'!Q49*СПРАВОЧНИК!$H$14+'ПЛАН ЧЕРН К1'!R49*СПРАВОЧНИК!$I$14+'ПЛАН ЧЕРН К1'!S49*СПРАВОЧНИК!$J$14)+СПРАВОЧНИК!$F$14*('ПЛАН ЧИСТ К1'!AA49*СПРАВОЧНИК!$L$14+'ПЛАН ЧИСТ К1'!AB49*СПРАВОЧНИК!$M$14+'ПЛАН ЧИСТ К1'!AC49*СПРАВОЧНИК!$N$14+'ПЛАН ЧИСТ К1'!AD49*СПРАВОЧНИК!$O$14+'ПЛАН ЧИСТ К1'!AE49*СПРАВОЧНИК!$P$14)+СПРАВОЧНИК!$E$15*('ПЛАН ЧЕРН К1'!T49*СПРАВОЧНИК!$H$15+'ПЛАН ЧЕРН К1'!U49*СПРАВОЧНИК!$I$15+'ПЛАН ЧЕРН К1'!V49*СПРАВОЧНИК!$J$15)+СПРАВОЧНИК!$F$15*('ПЛАН ЧИСТ К1'!AF49*СПРАВОЧНИК!$L$15+'ПЛАН ЧИСТ К1'!AG49*СПРАВОЧНИК!$M$15+'ПЛАН ЧИСТ К1'!AH49*СПРАВОЧНИК!$N$15+'ПЛАН ЧИСТ К1'!AI49*СПРАВОЧНИК!$O$15+'ПЛАН ЧИСТ К1'!AJ49*СПРАВОЧНИК!$P$15)</f>
        <v/>
      </c>
      <c r="V58" s="31">
        <f>СПРАВОЧНИК!$E$9*('ФАКТ ЧЕРН К1'!B49*СПРАВОЧНИК!$H$9+'ФАКТ ЧЕРН К1'!C49*СПРАВОЧНИК!$I$9+'ФАКТ ЧЕРН К1'!D49*СПРАВОЧНИК!$J$9)+СПРАВОЧНИК!$F$9*('ФАКТ ЧИСТ К1'!B49*СПРАВОЧНИК!$L$9+'ФАКТ ЧИСТ К1'!C49*СПРАВОЧНИК!$M$9+'ФАКТ ЧИСТ К1'!D49*СПРАВОЧНИК!$N$9+'ФАКТ ЧИСТ К1'!E49*СПРАВОЧНИК!$O$9+'ФАКТ ЧИСТ К1'!F49*СПРАВОЧНИК!$P$9)+СПРАВОЧНИК!$E$10*('ФАКТ ЧЕРН К1'!E49*СПРАВОЧНИК!$H$10+'ФАКТ ЧЕРН К1'!F49*СПРАВОЧНИК!$I$10+'ФАКТ ЧЕРН К1'!G49*СПРАВОЧНИК!$J$10)+СПРАВОЧНИК!$F$10*('ФАКТ ЧИСТ К1'!G49*СПРАВОЧНИК!$L$10+'ФАКТ ЧИСТ К1'!H49*СПРАВОЧНИК!$M$10+'ФАКТ ЧИСТ К1'!I49*СПРАВОЧНИК!$N$10+'ФАКТ ЧИСТ К1'!J49*СПРАВОЧНИК!$O$10+'ФАКТ ЧИСТ К1'!K49*СПРАВОЧНИК!$P$10)+СПРАВОЧНИК!$E$11*('ФАКТ ЧЕРН К1'!H49*СПРАВОЧНИК!$H$11+'ФАКТ ЧЕРН К1'!I49*СПРАВОЧНИК!$I$11+'ФАКТ ЧЕРН К1'!J49*СПРАВОЧНИК!$J$11)+СПРАВОЧНИК!$F$11*('ФАКТ ЧИСТ К1'!L49*СПРАВОЧНИК!$L$11+'ФАКТ ЧИСТ К1'!M49*СПРАВОЧНИК!$M$11+'ФАКТ ЧИСТ К1'!N49*СПРАВОЧНИК!$N$11+'ФАКТ ЧИСТ К1'!O49*СПРАВОЧНИК!$O$11+'ФАКТ ЧИСТ К1'!P49*СПРАВОЧНИК!$P$11)+СПРАВОЧНИК!$E$12*('ФАКТ ЧЕРН К1'!K49*СПРАВОЧНИК!$H$12+'ФАКТ ЧЕРН К1'!L49*СПРАВОЧНИК!$I$12+'ФАКТ ЧЕРН К1'!M49*СПРАВОЧНИК!$J$12)+СПРАВОЧНИК!$F$12*('ФАКТ ЧИСТ К1'!Q49*СПРАВОЧНИК!$L$12+'ФАКТ ЧИСТ К1'!R49*СПРАВОЧНИК!$M$12+'ФАКТ ЧИСТ К1'!S49*СПРАВОЧНИК!$N$12+'ФАКТ ЧИСТ К1'!T49*СПРАВОЧНИК!$O$12+'ФАКТ ЧИСТ К1'!U49*СПРАВОЧНИК!$P$12)+СПРАВОЧНИК!$E$13*('ФАКТ ЧЕРН К1'!N49*СПРАВОЧНИК!$H$13+'ФАКТ ЧЕРН К1'!O49*СПРАВОЧНИК!$I$13+'ФАКТ ЧЕРН К1'!P49*СПРАВОЧНИК!$J$13)+СПРАВОЧНИК!$F$13*('ФАКТ ЧИСТ К1'!V49*СПРАВОЧНИК!$L$13+'ФАКТ ЧИСТ К1'!W49*СПРАВОЧНИК!$M$13+'ФАКТ ЧИСТ К1'!X49*СПРАВОЧНИК!$N$13+'ФАКТ ЧИСТ К1'!Y49*СПРАВОЧНИК!$O$13+'ФАКТ ЧИСТ К1'!Z49*СПРАВОЧНИК!$P$13)+СПРАВОЧНИК!$E$14*('ФАКТ ЧЕРН К1'!Q49*СПРАВОЧНИК!$H$14+'ФАКТ ЧЕРН К1'!R49*СПРАВОЧНИК!$I$14+'ФАКТ ЧЕРН К1'!S49*СПРАВОЧНИК!$J$14)+СПРАВОЧНИК!$F$14*('ФАКТ ЧИСТ К1'!AA49*СПРАВОЧНИК!$L$14+'ФАКТ ЧИСТ К1'!AB49*СПРАВОЧНИК!$M$14+'ФАКТ ЧИСТ К1'!AC49*СПРАВОЧНИК!$N$14+'ФАКТ ЧИСТ К1'!AD49*СПРАВОЧНИК!$O$14+'ФАКТ ЧИСТ К1'!AE49*СПРАВОЧНИК!$P$14)+СПРАВОЧНИК!$E$15*('ФАКТ ЧЕРН К1'!T49*СПРАВОЧНИК!$H$15+'ФАКТ ЧЕРН К1'!U49*СПРАВОЧНИК!$I$15+'ФАКТ ЧЕРН К1'!V49*СПРАВОЧНИК!$J$15)+СПРАВОЧНИК!$F$15*('ФАКТ ЧИСТ К1'!AF49*СПРАВОЧНИК!$L$15+'ФАКТ ЧИСТ К1'!AG49*СПРАВОЧНИК!$M$15+'ФАКТ ЧИСТ К1'!AH49*СПРАВОЧНИК!$N$15+'ФАКТ ЧИСТ К1'!AI49*СПРАВОЧНИК!$O$15+'ФАКТ ЧИСТ К1'!AJ49*СПРАВОЧНИК!$P$15)</f>
        <v/>
      </c>
      <c r="W58" s="34" t="n"/>
      <c r="Z58" s="152">
        <f>Z57+7</f>
        <v/>
      </c>
      <c r="AA58" s="17">
        <f>'ПЛАН ЧЕРН К1'!B49*СПРАВОЧНИК!$H$9+'ПЛАН ЧЕРН К1'!C49*СПРАВОЧНИК!$I$9+'ПЛАН ЧЕРН К1'!D49*СПРАВОЧНИК!$J$9+'ПЛАН ЧЕРН К1'!E49*СПРАВОЧНИК!$H$10+'ПЛАН ЧЕРН К1'!F49*СПРАВОЧНИК!$I$10+'ПЛАН ЧЕРН К1'!G49*СПРАВОЧНИК!$J$10+'ПЛАН ЧЕРН К1'!H49*СПРАВОЧНИК!$H$11+'ПЛАН ЧЕРН К1'!I49*СПРАВОЧНИК!$I$11+'ПЛАН ЧЕРН К1'!J49*СПРАВОЧНИК!$J$11+'ПЛАН ЧЕРН К1'!K49*СПРАВОЧНИК!$H$12+'ПЛАН ЧЕРН К1'!L49*СПРАВОЧНИК!$I$12+'ПЛАН ЧЕРН К1'!M49*СПРАВОЧНИК!$J$12+'ПЛАН ЧЕРН К1'!N49*СПРАВОЧНИК!$H$13+'ПЛАН ЧЕРН К1'!O49*СПРАВОЧНИК!$I$13+'ПЛАН ЧЕРН К1'!P49*СПРАВОЧНИК!$J$13+'ПЛАН ЧЕРН К1'!Q49*СПРАВОЧНИК!$H$14+'ПЛАН ЧЕРН К1'!R49*СПРАВОЧНИК!$I$14+'ПЛАН ЧЕРН К1'!S49*СПРАВОЧНИК!$J$14+'ПЛАН ЧЕРН К1'!T49*СПРАВОЧНИК!$H$15+'ПЛАН ЧЕРН К1'!U49*СПРАВОЧНИК!$I$15+'ПЛАН ЧЕРН К1'!V49*СПРАВОЧНИК!$J$15</f>
        <v/>
      </c>
      <c r="AB58" s="31">
        <f>('ФАКТ ЧЕРН К1'!B49)*СПРАВОЧНИК!$H$9+('ФАКТ ЧЕРН К1'!C49)*СПРАВОЧНИК!$I$9+('ФАКТ ЧЕРН К1'!D49)*СПРАВОЧНИК!$J$9+('ФАКТ ЧЕРН К1'!E49)*СПРАВОЧНИК!$H$10+('ФАКТ ЧЕРН К1'!F49)*СПРАВОЧНИК!$I$10+('ФАКТ ЧЕРН К1'!G49)*СПРАВОЧНИК!$J$10+('ФАКТ ЧЕРН К1'!H49)*СПРАВОЧНИК!$H$11+('ФАКТ ЧЕРН К1'!I49)*СПРАВОЧНИК!$I$11+('ФАКТ ЧЕРН К1'!J49)*СПРАВОЧНИК!$J$11+('ФАКТ ЧЕРН К1'!K49)*СПРАВОЧНИК!$H$12+('ФАКТ ЧЕРН К1'!L49)*СПРАВОЧНИК!$I$12+('ФАКТ ЧЕРН К1'!M49)*СПРАВОЧНИК!$J$12+('ФАКТ ЧЕРН К1'!N49)*СПРАВОЧНИК!$H$13+('ФАКТ ЧЕРН К1'!O49)*СПРАВОЧНИК!$I$13+('ФАКТ ЧЕРН К1'!P49)*СПРАВОЧНИК!$J$13+('ФАКТ ЧЕРН К1'!Q49)*СПРАВОЧНИК!$H$14+('ФАКТ ЧЕРН К1'!R49)*СПРАВОЧНИК!$I$14+('ФАКТ ЧЕРН К1'!S49)*СПРАВОЧНИК!$J$14+('ФАКТ ЧЕРН К1'!T49)*СПРАВОЧНИК!$H$15+('ФАКТ ЧЕРН К1'!U49)*СПРАВОЧНИК!$I$15+('ФАКТ ЧЕРН К1'!V49)*СПРАВОЧНИК!$J$15</f>
        <v/>
      </c>
      <c r="AC58" s="34" t="n"/>
      <c r="AF58" s="152">
        <f>AF57+7</f>
        <v/>
      </c>
      <c r="AG58" s="17">
        <f>'ПЛАН ЧИСТ К1'!B49*СПРАВОЧНИК!$L$9+'ПЛАН ЧИСТ К1'!C49*СПРАВОЧНИК!$M$9+'ПЛАН ЧИСТ К1'!D49*СПРАВОЧНИК!$N$9+'ПЛАН ЧИСТ К1'!E49*СПРАВОЧНИК!$O$9+'ПЛАН ЧИСТ К1'!F49*СПРАВОЧНИК!$P$9+'ПЛАН ЧИСТ К1'!G49*СПРАВОЧНИК!$L$10+'ПЛАН ЧИСТ К1'!H49*СПРАВОЧНИК!$M$10+'ПЛАН ЧИСТ К1'!I49*СПРАВОЧНИК!$N$10+'ПЛАН ЧИСТ К1'!J49*СПРАВОЧНИК!$O$10+'ПЛАН ЧИСТ К1'!K49*СПРАВОЧНИК!$P$10+'ПЛАН ЧИСТ К1'!L49*СПРАВОЧНИК!$L$11+'ПЛАН ЧИСТ К1'!M49*СПРАВОЧНИК!$M$11+'ПЛАН ЧИСТ К1'!N49*СПРАВОЧНИК!$N$11+'ПЛАН ЧИСТ К1'!O49*СПРАВОЧНИК!$O$11+'ПЛАН ЧИСТ К1'!P49*СПРАВОЧНИК!$P$11+'ПЛАН ЧИСТ К1'!Q49*СПРАВОЧНИК!$L$12+'ПЛАН ЧИСТ К1'!R49*СПРАВОЧНИК!$M$12+'ПЛАН ЧИСТ К1'!S49*СПРАВОЧНИК!$N$12+'ПЛАН ЧИСТ К1'!T49*СПРАВОЧНИК!$O$12+'ПЛАН ЧИСТ К1'!U49*СПРАВОЧНИК!$P$12+'ПЛАН ЧИСТ К1'!V49*СПРАВОЧНИК!$L$13+'ПЛАН ЧИСТ К1'!W49*СПРАВОЧНИК!$M$13+'ПЛАН ЧИСТ К1'!X49*СПРАВОЧНИК!$N$13+'ПЛАН ЧИСТ К1'!Y49*СПРАВОЧНИК!$O$13+'ПЛАН ЧИСТ К1'!Z49*СПРАВОЧНИК!$P$13+'ПЛАН ЧИСТ К1'!AA49*СПРАВОЧНИК!$L$14+'ПЛАН ЧИСТ К1'!AB49*СПРАВОЧНИК!$M$14+'ПЛАН ЧИСТ К1'!AC49*СПРАВОЧНИК!$N$14+'ПЛАН ЧИСТ К1'!AD49*СПРАВОЧНИК!$O$14+'ПЛАН ЧИСТ К1'!AE49*СПРАВОЧНИК!$P$14+'ПЛАН ЧИСТ К1'!AF49*СПРАВОЧНИК!$L$15+'ПЛАН ЧИСТ К1'!AG49*СПРАВОЧНИК!$M$15+'ПЛАН ЧИСТ К1'!AH49*СПРАВОЧНИК!$N$15+'ПЛАН ЧИСТ К1'!AI49*СПРАВОЧНИК!$O$15+'ПЛАН ЧИСТ К1'!AJ49*СПРАВОЧНИК!$P$15</f>
        <v/>
      </c>
      <c r="AH58" s="31">
        <f>('ФАКТ ЧИСТ К1'!B49)*СПРАВОЧНИК!$L$9+('ФАКТ ЧИСТ К1'!C49)*СПРАВОЧНИК!$M$9+('ФАКТ ЧИСТ К1'!D49)*СПРАВОЧНИК!$N$9+('ФАКТ ЧИСТ К1'!E49)*СПРАВОЧНИК!$O$9+('ФАКТ ЧИСТ К1'!F49)*СПРАВОЧНИК!$P$9+('ФАКТ ЧИСТ К1'!G49)*СПРАВОЧНИК!$L$10+('ФАКТ ЧИСТ К1'!H49)*СПРАВОЧНИК!$M$10+('ФАКТ ЧИСТ К1'!I49)*СПРАВОЧНИК!$N$10+('ФАКТ ЧИСТ К1'!J49)*СПРАВОЧНИК!$O$10+('ФАКТ ЧИСТ К1'!K49)*СПРАВОЧНИК!$P$10+('ФАКТ ЧИСТ К1'!L49)*СПРАВОЧНИК!$L$11+('ФАКТ ЧИСТ К1'!M49)*СПРАВОЧНИК!$M$11+('ФАКТ ЧИСТ К1'!N49)*СПРАВОЧНИК!$N$11+('ФАКТ ЧИСТ К1'!O49)*СПРАВОЧНИК!$O$11+('ФАКТ ЧИСТ К1'!P49)*СПРАВОЧНИК!$P$11+('ФАКТ ЧИСТ К1'!Q49)*СПРАВОЧНИК!$L$12+('ФАКТ ЧИСТ К1'!R49)*СПРАВОЧНИК!$M$12+('ФАКТ ЧИСТ К1'!S49)*СПРАВОЧНИК!$N$12+('ФАКТ ЧИСТ К1'!T49)*СПРАВОЧНИК!$O$12+('ФАКТ ЧИСТ К1'!U49)*СПРАВОЧНИК!$P$12+('ФАКТ ЧИСТ К1'!V49)*СПРАВОЧНИК!$L$13+('ФАКТ ЧИСТ К1'!W49)*СПРАВОЧНИК!$M$13+('ФАКТ ЧИСТ К1'!X49)*СПРАВОЧНИК!$N$13+('ФАКТ ЧИСТ К1'!Y49)*СПРАВОЧНИК!$O$13+('ФАКТ ЧИСТ К1'!Z49)*СПРАВОЧНИК!$P$13+('ФАКТ ЧИСТ К1'!AA49)*СПРАВОЧНИК!$L$14+('ФАКТ ЧИСТ К1'!AB49)*СПРАВОЧНИК!$M$14+('ФАКТ ЧИСТ К1'!AC49)*СПРАВОЧНИК!$N$14+('ФАКТ ЧИСТ К1'!AD49)*СПРАВОЧНИК!$O$14+('ФАКТ ЧИСТ К1'!AE49)*СПРАВОЧНИК!$P$14+('ФАКТ ЧИСТ К1'!AF49)*СПРАВОЧНИК!$L$15+('ФАКТ ЧИСТ К1'!AG49)*СПРАВОЧНИК!$M$15+('ФАКТ ЧИСТ К1'!AH49)*СПРАВОЧНИК!$N$15+('ФАКТ ЧИСТ К1'!AI49)*СПРАВОЧНИК!$O$15+('ФАКТ ЧИСТ К1'!AJ49)*СПРАВОЧНИК!$P$15</f>
        <v/>
      </c>
      <c r="AI58" s="34" t="n"/>
      <c r="AL58" s="152">
        <f>AL57+7</f>
        <v/>
      </c>
      <c r="AM58" s="17">
        <f>СПРАВОЧНИК!$E$9*('ПЛАН ЧЕРН К2'!B49*СПРАВОЧНИК!$H$9+'ПЛАН ЧЕРН К2'!C49*СПРАВОЧНИК!$I$9+'ПЛАН ЧЕРН К2'!D49*СПРАВОЧНИК!$J$9)+СПРАВОЧНИК!$F$9*('ПЛАН ЧИСТ К2'!B49*СПРАВОЧНИК!$L$9+'ПЛАН ЧИСТ К2'!C49*СПРАВОЧНИК!$M$9+'ПЛАН ЧИСТ К2'!D49*СПРАВОЧНИК!$N$9+'ПЛАН ЧИСТ К2'!E49*СПРАВОЧНИК!$O$9+'ПЛАН ЧИСТ К2'!F49*СПРАВОЧНИК!$P$9)+СПРАВОЧНИК!$E$10*('ПЛАН ЧЕРН К2'!E49*СПРАВОЧНИК!$H$10+'ПЛАН ЧЕРН К2'!F49*СПРАВОЧНИК!$I$10+'ПЛАН ЧЕРН К2'!G49*СПРАВОЧНИК!$J$10)+СПРАВОЧНИК!$F$10*('ПЛАН ЧИСТ К2'!G49*СПРАВОЧНИК!$L$10+'ПЛАН ЧИСТ К2'!H49*СПРАВОЧНИК!$M$10+'ПЛАН ЧИСТ К2'!I49*СПРАВОЧНИК!$N$10+'ПЛАН ЧИСТ К2'!J49*СПРАВОЧНИК!$O$10+'ПЛАН ЧИСТ К2'!K49*СПРАВОЧНИК!$P$10)+СПРАВОЧНИК!$E$11*('ПЛАН ЧЕРН К2'!H49*СПРАВОЧНИК!$H$11+'ПЛАН ЧЕРН К2'!I49*СПРАВОЧНИК!$I$11+'ПЛАН ЧЕРН К2'!J49*СПРАВОЧНИК!$J$11)+СПРАВОЧНИК!$F$11*('ПЛАН ЧИСТ К2'!L49*СПРАВОЧНИК!$L$11+'ПЛАН ЧИСТ К2'!M49*СПРАВОЧНИК!$M$11+'ПЛАН ЧИСТ К2'!N49*СПРАВОЧНИК!$N$11+'ПЛАН ЧИСТ К2'!O49*СПРАВОЧНИК!$O$11+'ПЛАН ЧИСТ К2'!P49*СПРАВОЧНИК!$P$11)+СПРАВОЧНИК!$E$12*('ПЛАН ЧЕРН К2'!K49*СПРАВОЧНИК!$H$12+'ПЛАН ЧЕРН К2'!L49*СПРАВОЧНИК!$I$12+'ПЛАН ЧЕРН К2'!M49*СПРАВОЧНИК!$J$12)+СПРАВОЧНИК!$F$12*('ПЛАН ЧИСТ К2'!Q49*СПРАВОЧНИК!$L$12+'ПЛАН ЧИСТ К2'!R49*СПРАВОЧНИК!$M$12+'ПЛАН ЧИСТ К2'!S49*СПРАВОЧНИК!$N$12+'ПЛАН ЧИСТ К2'!T49*СПРАВОЧНИК!$O$12+'ПЛАН ЧИСТ К2'!U49*СПРАВОЧНИК!$P$12)+СПРАВОЧНИК!$E$13*('ПЛАН ЧЕРН К2'!N49*СПРАВОЧНИК!$H$13+'ПЛАН ЧЕРН К2'!O49*СПРАВОЧНИК!$I$13+'ПЛАН ЧЕРН К2'!P49*СПРАВОЧНИК!$J$13)+СПРАВОЧНИК!$F$13*('ПЛАН ЧИСТ К2'!V49*СПРАВОЧНИК!$L$13+'ПЛАН ЧИСТ К2'!W49*СПРАВОЧНИК!$M$13+'ПЛАН ЧИСТ К2'!X49*СПРАВОЧНИК!$N$13+'ПЛАН ЧИСТ К2'!Y49*СПРАВОЧНИК!$O$13+'ПЛАН ЧИСТ К2'!Z49*СПРАВОЧНИК!$P$13)+СПРАВОЧНИК!$E$14*('ПЛАН ЧЕРН К2'!Q49*СПРАВОЧНИК!$H$14+'ПЛАН ЧЕРН К2'!R49*СПРАВОЧНИК!$I$14+'ПЛАН ЧЕРН К2'!S49*СПРАВОЧНИК!$J$14)+СПРАВОЧНИК!$F$14*('ПЛАН ЧИСТ К2'!AA49*СПРАВОЧНИК!$L$14+'ПЛАН ЧИСТ К2'!AB49*СПРАВОЧНИК!$M$14+'ПЛАН ЧИСТ К2'!AC49*СПРАВОЧНИК!$N$14+'ПЛАН ЧИСТ К2'!AD49*СПРАВОЧНИК!$O$14+'ПЛАН ЧИСТ К2'!AE49*СПРАВОЧНИК!$P$14)+СПРАВОЧНИК!$E$15*('ПЛАН ЧЕРН К2'!T49*СПРАВОЧНИК!$H$15+'ПЛАН ЧЕРН К2'!U49*СПРАВОЧНИК!$I$15+'ПЛАН ЧЕРН К2'!V49*СПРАВОЧНИК!$J$15)+СПРАВОЧНИК!$F$15*('ПЛАН ЧИСТ К2'!AF49*СПРАВОЧНИК!$L$15+'ПЛАН ЧИСТ К2'!AG49*СПРАВОЧНИК!$M$15+'ПЛАН ЧИСТ К2'!AH49*СПРАВОЧНИК!$N$15+'ПЛАН ЧИСТ К2'!AI49*СПРАВОЧНИК!$O$15+'ПЛАН ЧИСТ К2'!AJ49*СПРАВОЧНИК!$P$15)</f>
        <v/>
      </c>
      <c r="AN58" s="31">
        <f>СПРАВОЧНИК!$E$9*('ФАКТ ЧЕРН К2'!B49*СПРАВОЧНИК!$H$9+'ФАКТ ЧЕРН К2'!C49*СПРАВОЧНИК!$I$9+'ФАКТ ЧЕРН К2'!D49*СПРАВОЧНИК!$J$9)+СПРАВОЧНИК!$F$9*('ФАКТ ЧИСТ К2'!B49*СПРАВОЧНИК!$L$9+'ФАКТ ЧИСТ К2'!C49*СПРАВОЧНИК!$M$9+'ФАКТ ЧИСТ К2'!D49*СПРАВОЧНИК!$N$9+'ФАКТ ЧИСТ К2'!E49*СПРАВОЧНИК!$O$9+'ФАКТ ЧИСТ К2'!F49*СПРАВОЧНИК!$P$9)+СПРАВОЧНИК!$E$10*('ФАКТ ЧЕРН К2'!E49*СПРАВОЧНИК!$H$10+'ФАКТ ЧЕРН К2'!F49*СПРАВОЧНИК!$I$10+'ФАКТ ЧЕРН К2'!G49*СПРАВОЧНИК!$J$10)+СПРАВОЧНИК!$F$10*('ФАКТ ЧИСТ К2'!G49*СПРАВОЧНИК!$L$10+'ФАКТ ЧИСТ К2'!H49*СПРАВОЧНИК!$M$10+'ФАКТ ЧИСТ К2'!I49*СПРАВОЧНИК!$N$10+'ФАКТ ЧИСТ К2'!J49*СПРАВОЧНИК!$O$10+'ФАКТ ЧИСТ К2'!K49*СПРАВОЧНИК!$P$10)+СПРАВОЧНИК!$E$11*('ФАКТ ЧЕРН К2'!H49*СПРАВОЧНИК!$H$11+'ФАКТ ЧЕРН К2'!I49*СПРАВОЧНИК!$I$11+'ФАКТ ЧЕРН К2'!J49*СПРАВОЧНИК!$J$11)+СПРАВОЧНИК!$F$11*('ФАКТ ЧИСТ К2'!L49*СПРАВОЧНИК!$L$11+'ФАКТ ЧИСТ К2'!M49*СПРАВОЧНИК!$M$11+'ФАКТ ЧИСТ К2'!N49*СПРАВОЧНИК!$N$11+'ФАКТ ЧИСТ К2'!O49*СПРАВОЧНИК!$O$11+'ФАКТ ЧИСТ К2'!P49*СПРАВОЧНИК!$P$11)+СПРАВОЧНИК!$E$12*('ФАКТ ЧЕРН К2'!K49*СПРАВОЧНИК!$H$12+'ФАКТ ЧЕРН К2'!L49*СПРАВОЧНИК!$I$12+'ФАКТ ЧЕРН К2'!M49*СПРАВОЧНИК!$J$12)+СПРАВОЧНИК!$F$12*('ФАКТ ЧИСТ К2'!Q49*СПРАВОЧНИК!$L$12+'ФАКТ ЧИСТ К2'!R49*СПРАВОЧНИК!$M$12+'ФАКТ ЧИСТ К2'!S49*СПРАВОЧНИК!$N$12+'ФАКТ ЧИСТ К2'!T49*СПРАВОЧНИК!$O$12+'ФАКТ ЧИСТ К2'!U49*СПРАВОЧНИК!$P$12)+СПРАВОЧНИК!$E$13*('ФАКТ ЧЕРН К2'!N49*СПРАВОЧНИК!$H$13+'ФАКТ ЧЕРН К2'!O49*СПРАВОЧНИК!$I$13+'ФАКТ ЧЕРН К2'!P49*СПРАВОЧНИК!$J$13)+СПРАВОЧНИК!$F$13*('ФАКТ ЧИСТ К2'!V49*СПРАВОЧНИК!$L$13+'ФАКТ ЧИСТ К2'!W49*СПРАВОЧНИК!$M$13+'ФАКТ ЧИСТ К2'!X49*СПРАВОЧНИК!$N$13+'ФАКТ ЧИСТ К2'!Y49*СПРАВОЧНИК!$O$13+'ФАКТ ЧИСТ К2'!Z49*СПРАВОЧНИК!$P$13)+СПРАВОЧНИК!$E$14*('ФАКТ ЧЕРН К2'!Q49*СПРАВОЧНИК!$H$14+'ФАКТ ЧЕРН К2'!R49*СПРАВОЧНИК!$I$14+'ФАКТ ЧЕРН К2'!S49*СПРАВОЧНИК!$J$14)+СПРАВОЧНИК!$F$14*('ФАКТ ЧИСТ К2'!AA49*СПРАВОЧНИК!$L$14+'ФАКТ ЧИСТ К2'!AB49*СПРАВОЧНИК!$M$14+'ФАКТ ЧИСТ К2'!AC49*СПРАВОЧНИК!$N$14+'ФАКТ ЧИСТ К2'!AD49*СПРАВОЧНИК!$O$14+'ФАКТ ЧИСТ К2'!AE49*СПРАВОЧНИК!$P$14)+СПРАВОЧНИК!$E$15*('ФАКТ ЧЕРН К2'!T49*СПРАВОЧНИК!$H$15+'ФАКТ ЧЕРН К2'!U49*СПРАВОЧНИК!$I$15+'ФАКТ ЧЕРН К2'!V49*СПРАВОЧНИК!$J$15)+СПРАВОЧНИК!$F$15*('ФАКТ ЧИСТ К2'!AF49*СПРАВОЧНИК!$L$15+'ФАКТ ЧИСТ К2'!AG49*СПРАВОЧНИК!$M$15+'ФАКТ ЧИСТ К2'!AH49*СПРАВОЧНИК!$N$15+'ФАКТ ЧИСТ К2'!AI49*СПРАВОЧНИК!$O$15+'ФАКТ ЧИСТ К2'!AJ49*СПРАВОЧНИК!$P$15)</f>
        <v/>
      </c>
      <c r="AO58" s="34" t="n"/>
      <c r="AR58" s="152">
        <f>AR57+7</f>
        <v/>
      </c>
      <c r="AS58" s="17">
        <f>'ПЛАН ЧЕРН К2'!B49*СПРАВОЧНИК!$H$9+'ПЛАН ЧЕРН К2'!C49*СПРАВОЧНИК!$I$9+'ПЛАН ЧЕРН К2'!D49*СПРАВОЧНИК!$J$9+'ПЛАН ЧЕРН К2'!E49*СПРАВОЧНИК!$H$10+'ПЛАН ЧЕРН К2'!F49*СПРАВОЧНИК!$I$10+'ПЛАН ЧЕРН К2'!G49*СПРАВОЧНИК!$J$10+'ПЛАН ЧЕРН К2'!H49*СПРАВОЧНИК!$H$11+'ПЛАН ЧЕРН К2'!I49*СПРАВОЧНИК!$I$11+'ПЛАН ЧЕРН К2'!J49*СПРАВОЧНИК!$J$11+'ПЛАН ЧЕРН К2'!K49*СПРАВОЧНИК!$H$12+'ПЛАН ЧЕРН К2'!L49*СПРАВОЧНИК!$I$12+'ПЛАН ЧЕРН К2'!M49*СПРАВОЧНИК!$J$12+'ПЛАН ЧЕРН К2'!N49*СПРАВОЧНИК!$H$13+'ПЛАН ЧЕРН К2'!O49*СПРАВОЧНИК!$I$13+'ПЛАН ЧЕРН К2'!P49*СПРАВОЧНИК!$J$13+'ПЛАН ЧЕРН К2'!Q49*СПРАВОЧНИК!$H$14+'ПЛАН ЧЕРН К2'!R49*СПРАВОЧНИК!$I$14+'ПЛАН ЧЕРН К2'!S49*СПРАВОЧНИК!$J$14+'ПЛАН ЧЕРН К2'!T49*СПРАВОЧНИК!$H$15+'ПЛАН ЧЕРН К2'!U49*СПРАВОЧНИК!$I$15+'ПЛАН ЧЕРН К2'!V49*СПРАВОЧНИК!$J$15</f>
        <v/>
      </c>
      <c r="AT58" s="31">
        <f>('ФАКТ ЧЕРН К2'!B49)*СПРАВОЧНИК!$H$9+('ФАКТ ЧЕРН К2'!C49)*СПРАВОЧНИК!$I$9+('ФАКТ ЧЕРН К2'!D49)*СПРАВОЧНИК!$J$9+('ФАКТ ЧЕРН К2'!E49)*СПРАВОЧНИК!$H$10+('ФАКТ ЧЕРН К2'!F49)*СПРАВОЧНИК!$I$10+('ФАКТ ЧЕРН К2'!G49)*СПРАВОЧНИК!$J$10+('ФАКТ ЧЕРН К2'!H49)*СПРАВОЧНИК!$H$11+('ФАКТ ЧЕРН К2'!I49)*СПРАВОЧНИК!$I$11+('ФАКТ ЧЕРН К2'!J49)*СПРАВОЧНИК!$J$11+('ФАКТ ЧЕРН К2'!K49)*СПРАВОЧНИК!$H$12+('ФАКТ ЧЕРН К2'!L49)*СПРАВОЧНИК!$I$12+('ФАКТ ЧЕРН К2'!M49)*СПРАВОЧНИК!$J$12+('ФАКТ ЧЕРН К2'!N49)*СПРАВОЧНИК!$H$13+('ФАКТ ЧЕРН К2'!O49)*СПРАВОЧНИК!$I$13+('ФАКТ ЧЕРН К2'!P49)*СПРАВОЧНИК!$J$13+('ФАКТ ЧЕРН К2'!Q49)*СПРАВОЧНИК!$H$14+('ФАКТ ЧЕРН К2'!R49)*СПРАВОЧНИК!$I$14+('ФАКТ ЧЕРН К2'!S49)*СПРАВОЧНИК!$J$14+('ФАКТ ЧЕРН К2'!T49)*СПРАВОЧНИК!$H$15+('ФАКТ ЧЕРН К2'!U49)*СПРАВОЧНИК!$I$15+('ФАКТ ЧЕРН К2'!V49)*СПРАВОЧНИК!$J$15</f>
        <v/>
      </c>
      <c r="AU58" s="34" t="n"/>
      <c r="AX58" s="152">
        <f>AX57+7</f>
        <v/>
      </c>
      <c r="AY58" s="17">
        <f>'ПЛАН ЧИСТ К2'!B49*СПРАВОЧНИК!$L$9+'ПЛАН ЧИСТ К2'!C49*СПРАВОЧНИК!$M$9+'ПЛАН ЧИСТ К2'!D49*СПРАВОЧНИК!$N$9+'ПЛАН ЧИСТ К2'!E49*СПРАВОЧНИК!$O$9+'ПЛАН ЧИСТ К2'!F49*СПРАВОЧНИК!$P$9+'ПЛАН ЧИСТ К2'!G49*СПРАВОЧНИК!$L$10+'ПЛАН ЧИСТ К2'!H49*СПРАВОЧНИК!$M$10+'ПЛАН ЧИСТ К2'!I49*СПРАВОЧНИК!$N$10+'ПЛАН ЧИСТ К2'!J49*СПРАВОЧНИК!$O$10+'ПЛАН ЧИСТ К2'!K49*СПРАВОЧНИК!$P$10+'ПЛАН ЧИСТ К2'!L49*СПРАВОЧНИК!$L$11+'ПЛАН ЧИСТ К2'!M49*СПРАВОЧНИК!$M$11+'ПЛАН ЧИСТ К2'!N49*СПРАВОЧНИК!$N$11+'ПЛАН ЧИСТ К2'!O49*СПРАВОЧНИК!$O$11+'ПЛАН ЧИСТ К2'!P49*СПРАВОЧНИК!$P$11+'ПЛАН ЧИСТ К2'!Q49*СПРАВОЧНИК!$L$12+'ПЛАН ЧИСТ К2'!R49*СПРАВОЧНИК!$M$12+'ПЛАН ЧИСТ К2'!S49*СПРАВОЧНИК!$N$12+'ПЛАН ЧИСТ К2'!T49*СПРАВОЧНИК!$O$12+'ПЛАН ЧИСТ К2'!U49*СПРАВОЧНИК!$P$12+'ПЛАН ЧИСТ К2'!V49*СПРАВОЧНИК!$L$13+'ПЛАН ЧИСТ К2'!W49*СПРАВОЧНИК!$M$13+'ПЛАН ЧИСТ К2'!X49*СПРАВОЧНИК!$N$13+'ПЛАН ЧИСТ К2'!Y49*СПРАВОЧНИК!$O$13+'ПЛАН ЧИСТ К2'!Z49*СПРАВОЧНИК!$P$13+'ПЛАН ЧИСТ К2'!AA49*СПРАВОЧНИК!$L$14+'ПЛАН ЧИСТ К2'!AB49*СПРАВОЧНИК!$M$14+'ПЛАН ЧИСТ К2'!AC49*СПРАВОЧНИК!$N$14+'ПЛАН ЧИСТ К2'!AD49*СПРАВОЧНИК!$O$14+'ПЛАН ЧИСТ К2'!AE49*СПРАВОЧНИК!$P$14+'ПЛАН ЧИСТ К2'!AF49*СПРАВОЧНИК!$L$15+'ПЛАН ЧИСТ К2'!AG49*СПРАВОЧНИК!$M$15+'ПЛАН ЧИСТ К2'!AH49*СПРАВОЧНИК!$N$15+'ПЛАН ЧИСТ К2'!AI49*СПРАВОЧНИК!$O$15+'ПЛАН ЧИСТ К2'!AJ49*СПРАВОЧНИК!$P$15</f>
        <v/>
      </c>
      <c r="AZ58" s="31">
        <f>('ФАКТ ЧИСТ К2'!B49)*СПРАВОЧНИК!$L$9+('ФАКТ ЧИСТ К2'!C49)*СПРАВОЧНИК!$M$9+('ФАКТ ЧИСТ К2'!D49)*СПРАВОЧНИК!$N$9+('ФАКТ ЧИСТ К2'!E49)*СПРАВОЧНИК!$O$9+('ФАКТ ЧИСТ К2'!F49)*СПРАВОЧНИК!$P$9+('ФАКТ ЧИСТ К2'!G49)*СПРАВОЧНИК!$L$10+('ФАКТ ЧИСТ К2'!H49)*СПРАВОЧНИК!$M$10+('ФАКТ ЧИСТ К2'!I49)*СПРАВОЧНИК!$N$10+('ФАКТ ЧИСТ К2'!J49)*СПРАВОЧНИК!$O$10+('ФАКТ ЧИСТ К2'!K49)*СПРАВОЧНИК!$P$10+('ФАКТ ЧИСТ К2'!L49)*СПРАВОЧНИК!$L$11+('ФАКТ ЧИСТ К2'!M49)*СПРАВОЧНИК!$M$11+('ФАКТ ЧИСТ К2'!N49)*СПРАВОЧНИК!$N$11+('ФАКТ ЧИСТ К2'!O49)*СПРАВОЧНИК!$O$11+('ФАКТ ЧИСТ К2'!P49)*СПРАВОЧНИК!$P$11+('ФАКТ ЧИСТ К2'!Q49)*СПРАВОЧНИК!$L$12+('ФАКТ ЧИСТ К2'!R49)*СПРАВОЧНИК!$M$12+('ФАКТ ЧИСТ К2'!S49)*СПРАВОЧНИК!$N$12+('ФАКТ ЧИСТ К2'!T49)*СПРАВОЧНИК!$O$12+('ФАКТ ЧИСТ К2'!U49)*СПРАВОЧНИК!$P$12+('ФАКТ ЧИСТ К2'!V49)*СПРАВОЧНИК!$L$13+('ФАКТ ЧИСТ К2'!W49)*СПРАВОЧНИК!$M$13+('ФАКТ ЧИСТ К2'!X49)*СПРАВОЧНИК!$N$13+('ФАКТ ЧИСТ К2'!Y49)*СПРАВОЧНИК!$O$13+('ФАКТ ЧИСТ К2'!Z49)*СПРАВОЧНИК!$P$13+('ФАКТ ЧИСТ К2'!AA49)*СПРАВОЧНИК!$L$14+('ФАКТ ЧИСТ К2'!AB49)*СПРАВОЧНИК!$M$14+('ФАКТ ЧИСТ К2'!AC49)*СПРАВОЧНИК!$N$14+('ФАКТ ЧИСТ К2'!AD49)*СПРАВОЧНИК!$O$14+('ФАКТ ЧИСТ К2'!AE49)*СПРАВОЧНИК!$P$14+('ФАКТ ЧИСТ К2'!AF49)*СПРАВОЧНИК!$L$15+('ФАКТ ЧИСТ К2'!AG49)*СПРАВОЧНИК!$M$15+('ФАКТ ЧИСТ К2'!AH49)*СПРАВОЧНИК!$N$15+('ФАКТ ЧИСТ К2'!AI49)*СПРАВОЧНИК!$O$15+('ФАКТ ЧИСТ К2'!AJ49)*СПРАВОЧНИК!$P$15</f>
        <v/>
      </c>
      <c r="BA58" s="34" t="n"/>
      <c r="BD58" s="152">
        <f>BD57+7</f>
        <v/>
      </c>
      <c r="BE58" s="17">
        <f>СПРАВОЧНИК!$E$9*('ПЛАН ЧЕРН К3'!B49*СПРАВОЧНИК!$H$9+'ПЛАН ЧЕРН К3'!C49*СПРАВОЧНИК!$I$9+'ПЛАН ЧЕРН К3'!D49*СПРАВОЧНИК!$J$9)+СПРАВОЧНИК!$F$9*('ПЛАН ЧИСТ К3'!B49*СПРАВОЧНИК!$L$9+'ПЛАН ЧИСТ К3'!C49*СПРАВОЧНИК!$M$9+'ПЛАН ЧИСТ К3'!D49*СПРАВОЧНИК!$N$9+'ПЛАН ЧИСТ К3'!E49*СПРАВОЧНИК!$O$9+'ПЛАН ЧИСТ К3'!F49*СПРАВОЧНИК!$P$9)+СПРАВОЧНИК!$E$10*('ПЛАН ЧЕРН К3'!E49*СПРАВОЧНИК!$H$10+'ПЛАН ЧЕРН К3'!F49*СПРАВОЧНИК!$I$10+'ПЛАН ЧЕРН К3'!G49*СПРАВОЧНИК!$J$10)+СПРАВОЧНИК!$F$10*('ПЛАН ЧИСТ К3'!G49*СПРАВОЧНИК!$L$10+'ПЛАН ЧИСТ К3'!H49*СПРАВОЧНИК!$M$10+'ПЛАН ЧИСТ К3'!I49*СПРАВОЧНИК!$N$10+'ПЛАН ЧИСТ К3'!J49*СПРАВОЧНИК!$O$10+'ПЛАН ЧИСТ К3'!K49*СПРАВОЧНИК!$P$10)+СПРАВОЧНИК!$E$11*('ПЛАН ЧЕРН К3'!H49*СПРАВОЧНИК!$H$11+'ПЛАН ЧЕРН К3'!I49*СПРАВОЧНИК!$I$11+'ПЛАН ЧЕРН К3'!J49*СПРАВОЧНИК!$J$11)+СПРАВОЧНИК!$F$11*('ПЛАН ЧИСТ К3'!L49*СПРАВОЧНИК!$L$11+'ПЛАН ЧИСТ К3'!M49*СПРАВОЧНИК!$M$11+'ПЛАН ЧИСТ К3'!N49*СПРАВОЧНИК!$N$11+'ПЛАН ЧИСТ К3'!O49*СПРАВОЧНИК!$O$11+'ПЛАН ЧИСТ К3'!P49*СПРАВОЧНИК!$P$11)+СПРАВОЧНИК!$E$12*('ПЛАН ЧЕРН К3'!K49*СПРАВОЧНИК!$H$12+'ПЛАН ЧЕРН К3'!L49*СПРАВОЧНИК!$I$12+'ПЛАН ЧЕРН К3'!M49*СПРАВОЧНИК!$J$12)+СПРАВОЧНИК!$F$12*('ПЛАН ЧИСТ К3'!Q49*СПРАВОЧНИК!$L$12+'ПЛАН ЧИСТ К3'!R49*СПРАВОЧНИК!$M$12+'ПЛАН ЧИСТ К3'!S49*СПРАВОЧНИК!$N$12+'ПЛАН ЧИСТ К3'!T49*СПРАВОЧНИК!$O$12+'ПЛАН ЧИСТ К3'!U49*СПРАВОЧНИК!$P$12)+СПРАВОЧНИК!$E$13*('ПЛАН ЧЕРН К3'!N49*СПРАВОЧНИК!$H$13+'ПЛАН ЧЕРН К3'!O49*СПРАВОЧНИК!$I$13+'ПЛАН ЧЕРН К3'!P49*СПРАВОЧНИК!$J$13)+СПРАВОЧНИК!$F$13*('ПЛАН ЧИСТ К3'!V49*СПРАВОЧНИК!$L$13+'ПЛАН ЧИСТ К3'!W49*СПРАВОЧНИК!$M$13+'ПЛАН ЧИСТ К3'!X49*СПРАВОЧНИК!$N$13+'ПЛАН ЧИСТ К3'!Y49*СПРАВОЧНИК!$O$13+'ПЛАН ЧИСТ К3'!Z49*СПРАВОЧНИК!$P$13)+СПРАВОЧНИК!$E$14*('ПЛАН ЧЕРН К3'!Q49*СПРАВОЧНИК!$H$14+'ПЛАН ЧЕРН К3'!R49*СПРАВОЧНИК!$I$14+'ПЛАН ЧЕРН К3'!S49*СПРАВОЧНИК!$J$14)+СПРАВОЧНИК!$F$14*('ПЛАН ЧИСТ К3'!AA49*СПРАВОЧНИК!$L$14+'ПЛАН ЧИСТ К3'!AB49*СПРАВОЧНИК!$M$14+'ПЛАН ЧИСТ К3'!AC49*СПРАВОЧНИК!$N$14+'ПЛАН ЧИСТ К3'!AD49*СПРАВОЧНИК!$O$14+'ПЛАН ЧИСТ К3'!AE49*СПРАВОЧНИК!$P$14)+СПРАВОЧНИК!$E$15*('ПЛАН ЧЕРН К3'!T49*СПРАВОЧНИК!$H$15+'ПЛАН ЧЕРН К3'!U49*СПРАВОЧНИК!$I$15+'ПЛАН ЧЕРН К3'!V49*СПРАВОЧНИК!$J$15)+СПРАВОЧНИК!$F$15*('ПЛАН ЧИСТ К3'!AF49*СПРАВОЧНИК!$L$15+'ПЛАН ЧИСТ К3'!AG49*СПРАВОЧНИК!$M$15+'ПЛАН ЧИСТ К3'!AH49*СПРАВОЧНИК!$N$15+'ПЛАН ЧИСТ К3'!AI49*СПРАВОЧНИК!$O$15+'ПЛАН ЧИСТ К3'!AJ49*СПРАВОЧНИК!$P$15)</f>
        <v/>
      </c>
      <c r="BF58" s="31">
        <f>СПРАВОЧНИК!$E$9*('ФАКТ ЧЕРН К3'!B49*СПРАВОЧНИК!$H$9+'ФАКТ ЧЕРН К3'!C49*СПРАВОЧНИК!$I$9+'ФАКТ ЧЕРН К3'!D49*СПРАВОЧНИК!$J$9)+СПРАВОЧНИК!$F$9*('ФАКТ ЧИСТ К3'!B49*СПРАВОЧНИК!$L$9+'ФАКТ ЧИСТ К3'!C49*СПРАВОЧНИК!$M$9+'ФАКТ ЧИСТ К3'!D49*СПРАВОЧНИК!$N$9+'ФАКТ ЧИСТ К3'!E49*СПРАВОЧНИК!$O$9+'ФАКТ ЧИСТ К3'!F49*СПРАВОЧНИК!$P$9)+СПРАВОЧНИК!$E$10*('ФАКТ ЧЕРН К3'!E49*СПРАВОЧНИК!$H$10+'ФАКТ ЧЕРН К3'!F49*СПРАВОЧНИК!$I$10+'ФАКТ ЧЕРН К3'!G49*СПРАВОЧНИК!$J$10)+СПРАВОЧНИК!$F$10*('ФАКТ ЧИСТ К3'!G49*СПРАВОЧНИК!$L$10+'ФАКТ ЧИСТ К3'!H49*СПРАВОЧНИК!$M$10+'ФАКТ ЧИСТ К3'!I49*СПРАВОЧНИК!$N$10+'ФАКТ ЧИСТ К3'!J49*СПРАВОЧНИК!$O$10+'ФАКТ ЧИСТ К3'!K49*СПРАВОЧНИК!$P$10)+СПРАВОЧНИК!$E$11*('ФАКТ ЧЕРН К3'!H49*СПРАВОЧНИК!$H$11+'ФАКТ ЧЕРН К3'!I49*СПРАВОЧНИК!$I$11+'ФАКТ ЧЕРН К3'!J49*СПРАВОЧНИК!$J$11)+СПРАВОЧНИК!$F$11*('ФАКТ ЧИСТ К3'!L49*СПРАВОЧНИК!$L$11+'ФАКТ ЧИСТ К3'!M49*СПРАВОЧНИК!$M$11+'ФАКТ ЧИСТ К3'!N49*СПРАВОЧНИК!$N$11+'ФАКТ ЧИСТ К3'!O49*СПРАВОЧНИК!$O$11+'ФАКТ ЧИСТ К3'!P49*СПРАВОЧНИК!$P$11)+СПРАВОЧНИК!$E$12*('ФАКТ ЧЕРН К3'!K49*СПРАВОЧНИК!$H$12+'ФАКТ ЧЕРН К3'!L49*СПРАВОЧНИК!$I$12+'ФАКТ ЧЕРН К3'!M49*СПРАВОЧНИК!$J$12)+СПРАВОЧНИК!$F$12*('ФАКТ ЧИСТ К3'!Q49*СПРАВОЧНИК!$L$12+'ФАКТ ЧИСТ К3'!R49*СПРАВОЧНИК!$M$12+'ФАКТ ЧИСТ К3'!S49*СПРАВОЧНИК!$N$12+'ФАКТ ЧИСТ К3'!T49*СПРАВОЧНИК!$O$12+'ФАКТ ЧИСТ К3'!U49*СПРАВОЧНИК!$P$12)+СПРАВОЧНИК!$E$13*('ФАКТ ЧЕРН К3'!N49*СПРАВОЧНИК!$H$13+'ФАКТ ЧЕРН К3'!O49*СПРАВОЧНИК!$I$13+'ФАКТ ЧЕРН К3'!P49*СПРАВОЧНИК!$J$13)+СПРАВОЧНИК!$F$13*('ФАКТ ЧИСТ К3'!V49*СПРАВОЧНИК!$L$13+'ФАКТ ЧИСТ К3'!W49*СПРАВОЧНИК!$M$13+'ФАКТ ЧИСТ К3'!X49*СПРАВОЧНИК!$N$13+'ФАКТ ЧИСТ К3'!Y49*СПРАВОЧНИК!$O$13+'ФАКТ ЧИСТ К3'!Z49*СПРАВОЧНИК!$P$13)+СПРАВОЧНИК!$E$14*('ФАКТ ЧЕРН К3'!Q49*СПРАВОЧНИК!$H$14+'ФАКТ ЧЕРН К3'!R49*СПРАВОЧНИК!$I$14+'ФАКТ ЧЕРН К3'!S49*СПРАВОЧНИК!$J$14)+СПРАВОЧНИК!$F$14*('ФАКТ ЧИСТ К3'!AA49*СПРАВОЧНИК!$L$14+'ФАКТ ЧИСТ К3'!AB49*СПРАВОЧНИК!$M$14+'ФАКТ ЧИСТ К3'!AC49*СПРАВОЧНИК!$N$14+'ФАКТ ЧИСТ К3'!AD49*СПРАВОЧНИК!$O$14+'ФАКТ ЧИСТ К3'!AE49*СПРАВОЧНИК!$P$14)+СПРАВОЧНИК!$E$15*('ФАКТ ЧЕРН К3'!T49*СПРАВОЧНИК!$H$15+'ФАКТ ЧЕРН К3'!U49*СПРАВОЧНИК!$I$15+'ФАКТ ЧЕРН К3'!V49*СПРАВОЧНИК!$J$15)+СПРАВОЧНИК!$F$15*('ФАКТ ЧИСТ К3'!AF49*СПРАВОЧНИК!$L$15+'ФАКТ ЧИСТ К3'!AG49*СПРАВОЧНИК!$M$15+'ФАКТ ЧИСТ К3'!AH49*СПРАВОЧНИК!$N$15+'ФАКТ ЧИСТ К3'!AI49*СПРАВОЧНИК!$O$15+'ФАКТ ЧИСТ К3'!AJ49*СПРАВОЧНИК!$P$15)</f>
        <v/>
      </c>
      <c r="BG58" s="34" t="n"/>
      <c r="BJ58" s="152">
        <f>BJ57+7</f>
        <v/>
      </c>
      <c r="BK58" s="17">
        <f>'ПЛАН ЧЕРН К3'!B49*СПРАВОЧНИК!$H$9+'ПЛАН ЧЕРН К3'!C49*СПРАВОЧНИК!$I$9+'ПЛАН ЧЕРН К3'!D49*СПРАВОЧНИК!$J$9+'ПЛАН ЧЕРН К3'!E49*СПРАВОЧНИК!$H$10+'ПЛАН ЧЕРН К3'!F49*СПРАВОЧНИК!$I$10+'ПЛАН ЧЕРН К3'!G49*СПРАВОЧНИК!$J$10+'ПЛАН ЧЕРН К3'!H49*СПРАВОЧНИК!$H$11+'ПЛАН ЧЕРН К3'!I49*СПРАВОЧНИК!$I$11+'ПЛАН ЧЕРН К3'!J49*СПРАВОЧНИК!$J$11+'ПЛАН ЧЕРН К3'!K49*СПРАВОЧНИК!$H$12+'ПЛАН ЧЕРН К3'!L49*СПРАВОЧНИК!$I$12+'ПЛАН ЧЕРН К3'!M49*СПРАВОЧНИК!$J$12+'ПЛАН ЧЕРН К3'!N49*СПРАВОЧНИК!$H$13+'ПЛАН ЧЕРН К3'!O49*СПРАВОЧНИК!$I$13+'ПЛАН ЧЕРН К3'!P49*СПРАВОЧНИК!$J$13+'ПЛАН ЧЕРН К3'!Q49*СПРАВОЧНИК!$H$14+'ПЛАН ЧЕРН К3'!R49*СПРАВОЧНИК!$I$14+'ПЛАН ЧЕРН К3'!S49*СПРАВОЧНИК!$J$14+'ПЛАН ЧЕРН К3'!T49*СПРАВОЧНИК!$H$15+'ПЛАН ЧЕРН К3'!U49*СПРАВОЧНИК!$I$15+'ПЛАН ЧЕРН К3'!V49*СПРАВОЧНИК!$J$15</f>
        <v/>
      </c>
      <c r="BL58" s="31">
        <f>('ФАКТ ЧЕРН К3'!B49)*СПРАВОЧНИК!$H$9+('ФАКТ ЧЕРН К3'!C49)*СПРАВОЧНИК!$I$9+('ФАКТ ЧЕРН К3'!D49)*СПРАВОЧНИК!$J$9+('ФАКТ ЧЕРН К3'!E49)*СПРАВОЧНИК!$H$10+('ФАКТ ЧЕРН К3'!F49)*СПРАВОЧНИК!$I$10+('ФАКТ ЧЕРН К3'!G49)*СПРАВОЧНИК!$J$10+('ФАКТ ЧЕРН К3'!H49)*СПРАВОЧНИК!$H$11+('ФАКТ ЧЕРН К3'!I49)*СПРАВОЧНИК!$I$11+('ФАКТ ЧЕРН К3'!J49)*СПРАВОЧНИК!$J$11+('ФАКТ ЧЕРН К3'!K49)*СПРАВОЧНИК!$H$12+('ФАКТ ЧЕРН К3'!L49)*СПРАВОЧНИК!$I$12+('ФАКТ ЧЕРН К3'!M49)*СПРАВОЧНИК!$J$12+('ФАКТ ЧЕРН К3'!N49)*СПРАВОЧНИК!$H$13+('ФАКТ ЧЕРН К3'!O49)*СПРАВОЧНИК!$I$13+('ФАКТ ЧЕРН К3'!P49)*СПРАВОЧНИК!$J$13+('ФАКТ ЧЕРН К3'!Q49)*СПРАВОЧНИК!$H$14+('ФАКТ ЧЕРН К3'!R49)*СПРАВОЧНИК!$I$14+('ФАКТ ЧЕРН К3'!S49)*СПРАВОЧНИК!$J$14+('ФАКТ ЧЕРН К3'!T49)*СПРАВОЧНИК!$H$15+('ФАКТ ЧЕРН К3'!U49)*СПРАВОЧНИК!$I$15+('ФАКТ ЧЕРН К3'!V49)*СПРАВОЧНИК!$J$15</f>
        <v/>
      </c>
      <c r="BM58" s="34" t="n"/>
      <c r="BP58" s="152">
        <f>BP57+7</f>
        <v/>
      </c>
      <c r="BQ58" s="17">
        <f>'ПЛАН ЧИСТ К3'!B49*СПРАВОЧНИК!$L$9+'ПЛАН ЧИСТ К3'!C49*СПРАВОЧНИК!$M$9+'ПЛАН ЧИСТ К3'!D49*СПРАВОЧНИК!$N$9+'ПЛАН ЧИСТ К3'!E49*СПРАВОЧНИК!$O$9+'ПЛАН ЧИСТ К3'!F49*СПРАВОЧНИК!$P$9+'ПЛАН ЧИСТ К3'!G49*СПРАВОЧНИК!$L$10+'ПЛАН ЧИСТ К3'!H49*СПРАВОЧНИК!$M$10+'ПЛАН ЧИСТ К3'!I49*СПРАВОЧНИК!$N$10+'ПЛАН ЧИСТ К3'!J49*СПРАВОЧНИК!$O$10+'ПЛАН ЧИСТ К3'!K49*СПРАВОЧНИК!$P$10+'ПЛАН ЧИСТ К3'!L49*СПРАВОЧНИК!$L$11+'ПЛАН ЧИСТ К3'!M49*СПРАВОЧНИК!$M$11+'ПЛАН ЧИСТ К3'!N49*СПРАВОЧНИК!$N$11+'ПЛАН ЧИСТ К3'!O49*СПРАВОЧНИК!$O$11+'ПЛАН ЧИСТ К3'!P49*СПРАВОЧНИК!$P$11+'ПЛАН ЧИСТ К3'!Q49*СПРАВОЧНИК!$L$12+'ПЛАН ЧИСТ К3'!R49*СПРАВОЧНИК!$M$12+'ПЛАН ЧИСТ К3'!S49*СПРАВОЧНИК!$N$12+'ПЛАН ЧИСТ К3'!T49*СПРАВОЧНИК!$O$12+'ПЛАН ЧИСТ К3'!U49*СПРАВОЧНИК!$P$12+'ПЛАН ЧИСТ К3'!V49*СПРАВОЧНИК!$L$13+'ПЛАН ЧИСТ К3'!W49*СПРАВОЧНИК!$M$13+'ПЛАН ЧИСТ К3'!X49*СПРАВОЧНИК!$N$13+'ПЛАН ЧИСТ К3'!Y49*СПРАВОЧНИК!$O$13+'ПЛАН ЧИСТ К3'!Z49*СПРАВОЧНИК!$P$13+'ПЛАН ЧИСТ К3'!AA49*СПРАВОЧНИК!$L$14+'ПЛАН ЧИСТ К3'!AB49*СПРАВОЧНИК!$M$14+'ПЛАН ЧИСТ К3'!AC49*СПРАВОЧНИК!$N$14+'ПЛАН ЧИСТ К3'!AD49*СПРАВОЧНИК!$O$14+'ПЛАН ЧИСТ К3'!AE49*СПРАВОЧНИК!$P$14+'ПЛАН ЧИСТ К3'!AF49*СПРАВОЧНИК!$L$15+'ПЛАН ЧИСТ К3'!AG49*СПРАВОЧНИК!$M$15+'ПЛАН ЧИСТ К3'!AH49*СПРАВОЧНИК!$N$15+'ПЛАН ЧИСТ К3'!AI49*СПРАВОЧНИК!$O$15+'ПЛАН ЧИСТ К3'!AJ49*СПРАВОЧНИК!$P$15</f>
        <v/>
      </c>
      <c r="BR58" s="31">
        <f>('ФАКТ ЧИСТ К3'!B49)*СПРАВОЧНИК!$L$9+('ФАКТ ЧИСТ К3'!C49)*СПРАВОЧНИК!$M$9+('ФАКТ ЧИСТ К3'!D49)*СПРАВОЧНИК!$N$9+('ФАКТ ЧИСТ К3'!E49)*СПРАВОЧНИК!$O$9+('ФАКТ ЧИСТ К3'!F49)*СПРАВОЧНИК!$P$9+('ФАКТ ЧИСТ К3'!G49)*СПРАВОЧНИК!$L$10+('ФАКТ ЧИСТ К3'!H49)*СПРАВОЧНИК!$M$10+('ФАКТ ЧИСТ К3'!I49)*СПРАВОЧНИК!$N$10+('ФАКТ ЧИСТ К3'!J49)*СПРАВОЧНИК!$O$10+('ФАКТ ЧИСТ К3'!K49)*СПРАВОЧНИК!$P$10+('ФАКТ ЧИСТ К3'!L49)*СПРАВОЧНИК!$L$11+('ФАКТ ЧИСТ К3'!M49)*СПРАВОЧНИК!$M$11+('ФАКТ ЧИСТ К3'!N49)*СПРАВОЧНИК!$N$11+('ФАКТ ЧИСТ К3'!O49)*СПРАВОЧНИК!$O$11+('ФАКТ ЧИСТ К3'!P49)*СПРАВОЧНИК!$P$11+('ФАКТ ЧИСТ К3'!Q49)*СПРАВОЧНИК!$L$12+('ФАКТ ЧИСТ К3'!R49)*СПРАВОЧНИК!$M$12+('ФАКТ ЧИСТ К3'!S49)*СПРАВОЧНИК!$N$12+('ФАКТ ЧИСТ К3'!T49)*СПРАВОЧНИК!$O$12+('ФАКТ ЧИСТ К3'!U49)*СПРАВОЧНИК!$P$12+('ФАКТ ЧИСТ К3'!V49)*СПРАВОЧНИК!$L$13+('ФАКТ ЧИСТ К3'!W49)*СПРАВОЧНИК!$M$13+('ФАКТ ЧИСТ К3'!X49)*СПРАВОЧНИК!$N$13+('ФАКТ ЧИСТ К3'!Y49)*СПРАВОЧНИК!$O$13+('ФАКТ ЧИСТ К3'!Z49)*СПРАВОЧНИК!$P$13+('ФАКТ ЧИСТ К3'!AA49)*СПРАВОЧНИК!$L$14+('ФАКТ ЧИСТ К3'!AB49)*СПРАВОЧНИК!$M$14+('ФАКТ ЧИСТ К3'!AC49)*СПРАВОЧНИК!$N$14+('ФАКТ ЧИСТ К3'!AD49)*СПРАВОЧНИК!$O$14+('ФАКТ ЧИСТ К3'!AE49)*СПРАВОЧНИК!$P$14+('ФАКТ ЧИСТ К3'!AF49)*СПРАВОЧНИК!$L$15+('ФАКТ ЧИСТ К3'!AG49)*СПРАВОЧНИК!$M$15+('ФАКТ ЧИСТ К3'!AH49)*СПРАВОЧНИК!$N$15+('ФАКТ ЧИСТ К3'!AI49)*СПРАВОЧНИК!$O$15+('ФАКТ ЧИСТ К3'!AJ49)*СПРАВОЧНИК!$P$15</f>
        <v/>
      </c>
      <c r="BS58" s="34" t="n"/>
      <c r="BV58" s="152">
        <f>BV57+7</f>
        <v/>
      </c>
      <c r="BW58" s="17">
        <f>U58*СПРАВОЧНИК!$K$28+AM58*СПРАВОЧНИК!$K$29+BE58*СПРАВОЧНИК!$K$30</f>
        <v/>
      </c>
      <c r="BX58" s="31">
        <f>V58*СПРАВОЧНИК!$K$28+AN58*СПРАВОЧНИК!$K$29+BF58*СПРАВОЧНИК!$K$30</f>
        <v/>
      </c>
      <c r="BY58" s="34" t="n"/>
      <c r="CB58" s="152">
        <f>CB57+7</f>
        <v/>
      </c>
      <c r="CC58" s="17">
        <f>AA58*СПРАВОЧНИК!$K$28+AS58*СПРАВОЧНИК!$K$29+BK58*СПРАВОЧНИК!$K$30</f>
        <v/>
      </c>
      <c r="CD58" s="31">
        <f>AB58*СПРАВОЧНИК!$K$28+AT58*СПРАВОЧНИК!$K$29+BL58*СПРАВОЧНИК!$K$30</f>
        <v/>
      </c>
      <c r="CE58" s="34" t="n"/>
      <c r="CH58" s="152">
        <f>CH57+7</f>
        <v/>
      </c>
      <c r="CI58" s="17">
        <f>AG58*СПРАВОЧНИК!$K$28+AY58*СПРАВОЧНИК!$K$29+BQ58*СПРАВОЧНИК!$K$30</f>
        <v/>
      </c>
      <c r="CJ58" s="31">
        <f>AH58*СПРАВОЧНИК!$K$28+AZ58*СПРАВОЧНИК!$K$29+BR58*СПРАВОЧНИК!$K$30</f>
        <v/>
      </c>
      <c r="CK58" s="34" t="n"/>
      <c r="CN58" s="152">
        <f>CN57+7</f>
        <v/>
      </c>
      <c r="CO58" s="17">
        <f>C58*СПРАВОЧНИК!$W$18+BW58*СПРАВОЧНИК!$W$19</f>
        <v/>
      </c>
      <c r="CP58" s="31">
        <f>D58*СПРАВОЧНИК!$W$18+BX58*СПРАВОЧНИК!$W$19</f>
        <v/>
      </c>
      <c r="CQ58" s="34" t="n"/>
      <c r="CT58" s="152">
        <f>CT57+7</f>
        <v/>
      </c>
      <c r="CU58" s="17">
        <f>I58*СПРАВОЧНИК!$W$18+CC58*СПРАВОЧНИК!$W$19</f>
        <v/>
      </c>
      <c r="CV58" s="31">
        <f>J58*СПРАВОЧНИК!$W$18+CD58*СПРАВОЧНИК!$W$19</f>
        <v/>
      </c>
      <c r="CW58" s="34" t="n"/>
      <c r="CZ58" s="152">
        <f>CZ57+7</f>
        <v/>
      </c>
      <c r="DA58" s="17">
        <f>O58*СПРАВОЧНИК!$W$18+CI58*СПРАВОЧНИК!$W$19</f>
        <v/>
      </c>
      <c r="DB58" s="31">
        <f>P58*СПРАВОЧНИК!$W$18+CJ58*СПРАВОЧНИК!$W$19</f>
        <v/>
      </c>
      <c r="DC58" s="34" t="n"/>
    </row>
    <row r="59">
      <c r="B59" s="152">
        <f>B58+7</f>
        <v/>
      </c>
      <c r="C59" s="17">
        <f>СПРАВОЧНИК!$E$3*('ПЛАН ЧЕРН ПОДЗЕМ'!B50*СПРАВОЧНИК!$H$3+'ПЛАН ЧЕРН ПОДЗЕМ'!C50*СПРАВОЧНИК!$I$3+'ПЛАН ЧЕРН ПОДЗЕМ'!D50*СПРАВОЧНИК!$J$3)+СПРАВОЧНИК!$F$3*('ПЛАН ЧИСТ ПОДЗЕМ'!B50*СПРАВОЧНИК!$L$3+'ПЛАН ЧИСТ ПОДЗЕМ'!C50*СПРАВОЧНИК!$M$3+'ПЛАН ЧИСТ ПОДЗЕМ'!D50*СПРАВОЧНИК!$N$3+'ПЛАН ЧИСТ ПОДЗЕМ'!E50*СПРАВОЧНИК!$O$3+'ПЛАН ЧИСТ ПОДЗЕМ'!F50*СПРАВОЧНИК!$P$3)+СПРАВОЧНИК!$E$4*('ПЛАН ЧЕРН ПОДЗЕМ'!E50*СПРАВОЧНИК!$H$4+'ПЛАН ЧЕРН ПОДЗЕМ'!F50*СПРАВОЧНИК!$I$4+'ПЛАН ЧЕРН ПОДЗЕМ'!G50*СПРАВОЧНИК!$J$4)+СПРАВОЧНИК!$F$4*('ПЛАН ЧИСТ ПОДЗЕМ'!G50*СПРАВОЧНИК!$L$4+'ПЛАН ЧИСТ ПОДЗЕМ'!H50*СПРАВОЧНИК!$M$4+'ПЛАН ЧИСТ ПОДЗЕМ'!I50*СПРАВОЧНИК!$N$4+'ПЛАН ЧИСТ ПОДЗЕМ'!J50*СПРАВОЧНИК!$O$4+'ПЛАН ЧИСТ ПОДЗЕМ'!K50*СПРАВОЧНИК!$P$4)+СПРАВОЧНИК!$E$5*('ПЛАН ЧЕРН ПОДЗЕМ'!H50*СПРАВОЧНИК!$H$5+'ПЛАН ЧЕРН ПОДЗЕМ'!I50*СПРАВОЧНИК!$I$5+'ПЛАН ЧЕРН ПОДЗЕМ'!J50*СПРАВОЧНИК!$J$5)+СПРАВОЧНИК!$F$5*('ПЛАН ЧИСТ ПОДЗЕМ'!L50*СПРАВОЧНИК!$L$5+'ПЛАН ЧИСТ ПОДЗЕМ'!M50*СПРАВОЧНИК!$M$5+'ПЛАН ЧИСТ ПОДЗЕМ'!N50*СПРАВОЧНИК!$N$5+'ПЛАН ЧИСТ ПОДЗЕМ'!O50*СПРАВОЧНИК!$O$5+'ПЛАН ЧИСТ ПОДЗЕМ'!P50*СПРАВОЧНИК!$P$5)+СПРАВОЧНИК!$E$6*('ПЛАН ЧЕРН ПОДЗЕМ'!K50*СПРАВОЧНИК!$H$6+'ПЛАН ЧЕРН ПОДЗЕМ'!L50*СПРАВОЧНИК!$I$6+'ПЛАН ЧЕРН ПОДЗЕМ'!M50*СПРАВОЧНИК!$J$6)+СПРАВОЧНИК!$F$6*('ПЛАН ЧИСТ ПОДЗЕМ'!Q50*СПРАВОЧНИК!$L$6+'ПЛАН ЧИСТ ПОДЗЕМ'!R50*СПРАВОЧНИК!$M$6+'ПЛАН ЧИСТ ПОДЗЕМ'!S50*СПРАВОЧНИК!$N$6+'ПЛАН ЧИСТ ПОДЗЕМ'!T50*СПРАВОЧНИК!$O$6+'ПЛАН ЧИСТ ПОДЗЕМ'!U50*СПРАВОЧНИК!$P$6)+СПРАВОЧНИК!$E$7*('ПЛАН ЧЕРН ПОДЗЕМ'!N50*СПРАВОЧНИК!$H$7+'ПЛАН ЧЕРН ПОДЗЕМ'!O50*СПРАВОЧНИК!$I$7+'ПЛАН ЧЕРН ПОДЗЕМ'!P50*СПРАВОЧНИК!$J$7)+СПРАВОЧНИК!$F$7*('ПЛАН ЧИСТ ПОДЗЕМ'!V50*СПРАВОЧНИК!$L$7+'ПЛАН ЧИСТ ПОДЗЕМ'!W50*СПРАВОЧНИК!$M$7+'ПЛАН ЧИСТ ПОДЗЕМ'!X50*СПРАВОЧНИК!$N$7+'ПЛАН ЧИСТ ПОДЗЕМ'!Y50*СПРАВОЧНИК!$O$7+'ПЛАН ЧИСТ ПОДЗЕМ'!Z50*СПРАВОЧНИК!$P$7)+СПРАВОЧНИК!$E$8*('ПЛАН ЧЕРН ПОДЗЕМ'!Q50*СПРАВОЧНИК!$H$8+'ПЛАН ЧЕРН ПОДЗЕМ'!R50*СПРАВОЧНИК!$I$8+'ПЛАН ЧЕРН ПОДЗЕМ'!S50*СПРАВОЧНИК!$J$8)+СПРАВОЧНИК!$F$8*('ПЛАН ЧИСТ ПОДЗЕМ'!AA50*СПРАВОЧНИК!$L$8+'ПЛАН ЧИСТ ПОДЗЕМ'!AB50*СПРАВОЧНИК!$M$8+'ПЛАН ЧИСТ ПОДЗЕМ'!AC50*СПРАВОЧНИК!$N$8+'ПЛАН ЧИСТ ПОДЗЕМ'!AD50*СПРАВОЧНИК!$O$8+'ПЛАН ЧИСТ ПОДЗЕМ'!AE50*СПРАВОЧНИК!$P$8)</f>
        <v/>
      </c>
      <c r="D59" s="31">
        <f>СПРАВОЧНИК!$E$3*('ФАКТ ЧЕРН ПОДЗЕМ'!B50*СПРАВОЧНИК!$H$3+'ФАКТ ЧЕРН ПОДЗЕМ'!C50*СПРАВОЧНИК!$I$3+'ФАКТ ЧЕРН ПОДЗЕМ'!D50*СПРАВОЧНИК!$J$3)+СПРАВОЧНИК!$F$3*('ФАКТ ЧИСТ ПОДЗЕМ'!B50*СПРАВОЧНИК!$L$3+'ФАКТ ЧИСТ ПОДЗЕМ'!C50*СПРАВОЧНИК!$M$3+'ФАКТ ЧИСТ ПОДЗЕМ'!D50*СПРАВОЧНИК!$N$3+'ФАКТ ЧИСТ ПОДЗЕМ'!E50*СПРАВОЧНИК!$O$3+'ФАКТ ЧИСТ ПОДЗЕМ'!F50*СПРАВОЧНИК!$P$3)+СПРАВОЧНИК!$E$4*('ФАКТ ЧЕРН ПОДЗЕМ'!E50*СПРАВОЧНИК!$H$4+'ФАКТ ЧЕРН ПОДЗЕМ'!F50*СПРАВОЧНИК!$I$4+'ФАКТ ЧЕРН ПОДЗЕМ'!G50*СПРАВОЧНИК!$J$4)+СПРАВОЧНИК!$F$4*('ФАКТ ЧИСТ ПОДЗЕМ'!G50*СПРАВОЧНИК!$L$4+'ФАКТ ЧИСТ ПОДЗЕМ'!H50*СПРАВОЧНИК!$M$4+'ФАКТ ЧИСТ ПОДЗЕМ'!I50*СПРАВОЧНИК!$N$4+'ФАКТ ЧИСТ ПОДЗЕМ'!J50*СПРАВОЧНИК!$O$4+'ФАКТ ЧИСТ ПОДЗЕМ'!K50*СПРАВОЧНИК!$P$4)+СПРАВОЧНИК!$E$5*('ФАКТ ЧЕРН ПОДЗЕМ'!H50*СПРАВОЧНИК!$H$5+'ФАКТ ЧЕРН ПОДЗЕМ'!I50*СПРАВОЧНИК!$I$5+'ФАКТ ЧЕРН ПОДЗЕМ'!J50*СПРАВОЧНИК!$J$5)+СПРАВОЧНИК!$F$5*('ФАКТ ЧИСТ ПОДЗЕМ'!L50*СПРАВОЧНИК!$L$5+'ФАКТ ЧИСТ ПОДЗЕМ'!M50*СПРАВОЧНИК!$M$5+'ФАКТ ЧИСТ ПОДЗЕМ'!N50*СПРАВОЧНИК!$N$5+'ФАКТ ЧИСТ ПОДЗЕМ'!O50*СПРАВОЧНИК!$O$5+'ФАКТ ЧИСТ ПОДЗЕМ'!P50*СПРАВОЧНИК!$P$5)+СПРАВОЧНИК!$E$6*('ФАКТ ЧЕРН ПОДЗЕМ'!K50*СПРАВОЧНИК!$H$6+'ФАКТ ЧЕРН ПОДЗЕМ'!L50*СПРАВОЧНИК!$I$6+'ФАКТ ЧЕРН ПОДЗЕМ'!M50*СПРАВОЧНИК!$J$6)+СПРАВОЧНИК!$F$6*('ФАКТ ЧИСТ ПОДЗЕМ'!Q50*СПРАВОЧНИК!$L$6+'ФАКТ ЧИСТ ПОДЗЕМ'!R50*СПРАВОЧНИК!$M$6+'ФАКТ ЧИСТ ПОДЗЕМ'!S50*СПРАВОЧНИК!$N$6+'ФАКТ ЧИСТ ПОДЗЕМ'!T50*СПРАВОЧНИК!$O$6+'ФАКТ ЧИСТ ПОДЗЕМ'!U50*СПРАВОЧНИК!$P$6)+СПРАВОЧНИК!$E$7*('ФАКТ ЧЕРН ПОДЗЕМ'!N50*СПРАВОЧНИК!$H$7+'ФАКТ ЧЕРН ПОДЗЕМ'!O50*СПРАВОЧНИК!$I$7+'ФАКТ ЧЕРН ПОДЗЕМ'!P50*СПРАВОЧНИК!$J$7)+СПРАВОЧНИК!$F$7*('ФАКТ ЧИСТ ПОДЗЕМ'!V50*СПРАВОЧНИК!$L$7+'ФАКТ ЧИСТ ПОДЗЕМ'!W50*СПРАВОЧНИК!$M$7+'ФАКТ ЧИСТ ПОДЗЕМ'!X50*СПРАВОЧНИК!$N$7+'ФАКТ ЧИСТ ПОДЗЕМ'!Y50*СПРАВОЧНИК!$O$7+'ФАКТ ЧИСТ ПОДЗЕМ'!Z50*СПРАВОЧНИК!$P$7)+СПРАВОЧНИК!$E$8*('ФАКТ ЧЕРН ПОДЗЕМ'!Q50*СПРАВОЧНИК!$H$8+'ФАКТ ЧЕРН ПОДЗЕМ'!R50*СПРАВОЧНИК!$I$8+'ФАКТ ЧЕРН ПОДЗЕМ'!S50*СПРАВОЧНИК!$J$8)+СПРАВОЧНИК!$F$8*('ФАКТ ЧИСТ ПОДЗЕМ'!AA50*СПРАВОЧНИК!$L$8+'ФАКТ ЧИСТ ПОДЗЕМ'!AB50*СПРАВОЧНИК!$M$8+'ФАКТ ЧИСТ ПОДЗЕМ'!AC50*СПРАВОЧНИК!$N$8+'ФАКТ ЧИСТ ПОДЗЕМ'!AD50*СПРАВОЧНИК!$O$8+'ФАКТ ЧИСТ ПОДЗЕМ'!AE50*СПРАВОЧНИК!$P$8)</f>
        <v/>
      </c>
      <c r="E59" s="34" t="n"/>
      <c r="H59" s="152">
        <f>H58+7</f>
        <v/>
      </c>
      <c r="I59" s="17">
        <f>'ПЛАН ЧЕРН ПОДЗЕМ'!B50*СПРАВОЧНИК!$H$3+'ПЛАН ЧЕРН ПОДЗЕМ'!C50*СПРАВОЧНИК!$I$3+'ПЛАН ЧЕРН ПОДЗЕМ'!D50*СПРАВОЧНИК!$J$3+'ПЛАН ЧЕРН ПОДЗЕМ'!E50*СПРАВОЧНИК!$H$4+'ПЛАН ЧЕРН ПОДЗЕМ'!F50*СПРАВОЧНИК!$I$4+'ПЛАН ЧЕРН ПОДЗЕМ'!G50*СПРАВОЧНИК!$J$4+'ПЛАН ЧЕРН ПОДЗЕМ'!H50*СПРАВОЧНИК!$H$5+'ПЛАН ЧЕРН ПОДЗЕМ'!I50*СПРАВОЧНИК!$I$5+'ПЛАН ЧЕРН ПОДЗЕМ'!J50*СПРАВОЧНИК!$J$5+'ПЛАН ЧЕРН ПОДЗЕМ'!K50*СПРАВОЧНИК!$H$6+'ПЛАН ЧЕРН ПОДЗЕМ'!L50*СПРАВОЧНИК!$I$6+'ПЛАН ЧЕРН ПОДЗЕМ'!M50*СПРАВОЧНИК!$J$6+'ПЛАН ЧЕРН ПОДЗЕМ'!N50*СПРАВОЧНИК!$H$7+'ПЛАН ЧЕРН ПОДЗЕМ'!O50*СПРАВОЧНИК!$I$7+'ПЛАН ЧЕРН ПОДЗЕМ'!P50*СПРАВОЧНИК!$J$7+'ПЛАН ЧЕРН ПОДЗЕМ'!Q50*СПРАВОЧНИК!$H$8+'ПЛАН ЧЕРН ПОДЗЕМ'!R50*СПРАВОЧНИК!$I$8+'ПЛАН ЧЕРН ПОДЗЕМ'!S50*СПРАВОЧНИК!$J$8</f>
        <v/>
      </c>
      <c r="J59" s="31">
        <f>('ФАКТ ЧЕРН ПОДЗЕМ'!B50)*СПРАВОЧНИК!$H$3+('ФАКТ ЧЕРН ПОДЗЕМ'!C50)*СПРАВОЧНИК!$I$3+('ФАКТ ЧЕРН ПОДЗЕМ'!D50)*СПРАВОЧНИК!$J$3+('ФАКТ ЧЕРН ПОДЗЕМ'!E50)*СПРАВОЧНИК!$H$4+('ФАКТ ЧЕРН ПОДЗЕМ'!F50)*СПРАВОЧНИК!$I$4+('ФАКТ ЧЕРН ПОДЗЕМ'!G50)*СПРАВОЧНИК!$J$4+('ФАКТ ЧЕРН ПОДЗЕМ'!H50)*СПРАВОЧНИК!$H$5+('ФАКТ ЧЕРН ПОДЗЕМ'!I50)*СПРАВОЧНИК!$I$5+('ФАКТ ЧЕРН ПОДЗЕМ'!J50)*СПРАВОЧНИК!$J$5+('ФАКТ ЧЕРН ПОДЗЕМ'!K50)*СПРАВОЧНИК!$H$6+('ФАКТ ЧЕРН ПОДЗЕМ'!L50)*СПРАВОЧНИК!$I$6+('ФАКТ ЧЕРН ПОДЗЕМ'!M50)*СПРАВОЧНИК!$J$6+('ФАКТ ЧЕРН ПОДЗЕМ'!N50)*СПРАВОЧНИК!$H$7+('ФАКТ ЧЕРН ПОДЗЕМ'!O50)*СПРАВОЧНИК!$I$7+('ФАКТ ЧЕРН ПОДЗЕМ'!P50)*СПРАВОЧНИК!$J$7+('ФАКТ ЧЕРН ПОДЗЕМ'!Q50)*СПРАВОЧНИК!$H$8+('ФАКТ ЧЕРН ПОДЗЕМ'!R50)*СПРАВОЧНИК!$I$8+('ФАКТ ЧЕРН ПОДЗЕМ'!S50)*СПРАВОЧНИК!$J$8</f>
        <v/>
      </c>
      <c r="K59" s="34" t="n"/>
      <c r="N59" s="152">
        <f>N58+7</f>
        <v/>
      </c>
      <c r="O59" s="17">
        <f>'ПЛАН ЧИСТ ПОДЗЕМ'!B50*СПРАВОЧНИК!$L$3+'ПЛАН ЧИСТ ПОДЗЕМ'!C50*СПРАВОЧНИК!$M$3+'ПЛАН ЧИСТ ПОДЗЕМ'!D50*СПРАВОЧНИК!$N$3+'ПЛАН ЧИСТ ПОДЗЕМ'!E50*СПРАВОЧНИК!$O$3+'ПЛАН ЧИСТ ПОДЗЕМ'!F50*СПРАВОЧНИК!$P$3+'ПЛАН ЧИСТ ПОДЗЕМ'!G50*СПРАВОЧНИК!$L$4+'ПЛАН ЧИСТ ПОДЗЕМ'!H50*СПРАВОЧНИК!$M$4+'ПЛАН ЧИСТ ПОДЗЕМ'!I50*СПРАВОЧНИК!$N$4+'ПЛАН ЧИСТ ПОДЗЕМ'!J50*СПРАВОЧНИК!$O$4+'ПЛАН ЧИСТ ПОДЗЕМ'!K50*СПРАВОЧНИК!$P$4+'ПЛАН ЧИСТ ПОДЗЕМ'!L50*СПРАВОЧНИК!$L$5+'ПЛАН ЧИСТ ПОДЗЕМ'!M50*СПРАВОЧНИК!$M$5+'ПЛАН ЧИСТ ПОДЗЕМ'!N50*СПРАВОЧНИК!$N$5+'ПЛАН ЧИСТ ПОДЗЕМ'!O50*СПРАВОЧНИК!$O$5+'ПЛАН ЧИСТ ПОДЗЕМ'!P50*СПРАВОЧНИК!$P$5+'ПЛАН ЧИСТ ПОДЗЕМ'!Q50*СПРАВОЧНИК!$L$6+'ПЛАН ЧИСТ ПОДЗЕМ'!R50*СПРАВОЧНИК!$M$6+'ПЛАН ЧИСТ ПОДЗЕМ'!S50*СПРАВОЧНИК!$N$6+'ПЛАН ЧИСТ ПОДЗЕМ'!T50*СПРАВОЧНИК!$O$6+'ПЛАН ЧИСТ ПОДЗЕМ'!U50*СПРАВОЧНИК!$P$6+'ПЛАН ЧИСТ ПОДЗЕМ'!V50*СПРАВОЧНИК!$L$7+'ПЛАН ЧИСТ ПОДЗЕМ'!W50*СПРАВОЧНИК!$M$7+'ПЛАН ЧИСТ ПОДЗЕМ'!X50*СПРАВОЧНИК!$N$7+'ПЛАН ЧИСТ ПОДЗЕМ'!Y50*СПРАВОЧНИК!$O$7+'ПЛАН ЧИСТ ПОДЗЕМ'!Z50*СПРАВОЧНИК!$P$7+'ПЛАН ЧИСТ ПОДЗЕМ'!AA50*СПРАВОЧНИК!$L$8+'ПЛАН ЧИСТ ПОДЗЕМ'!AB50*СПРАВОЧНИК!$M$8+'ПЛАН ЧИСТ ПОДЗЕМ'!AC50*СПРАВОЧНИК!$N$8+'ПЛАН ЧИСТ ПОДЗЕМ'!AD50*СПРАВОЧНИК!$O$8+'ПЛАН ЧИСТ ПОДЗЕМ'!AE50*СПРАВОЧНИК!$P$8</f>
        <v/>
      </c>
      <c r="P59" s="31">
        <f>('ФАКТ ЧИСТ ПОДЗЕМ'!B50)*СПРАВОЧНИК!$L$3+('ФАКТ ЧИСТ ПОДЗЕМ'!C50)*СПРАВОЧНИК!$M$3+('ФАКТ ЧИСТ ПОДЗЕМ'!D50)*СПРАВОЧНИК!$N$3+('ФАКТ ЧИСТ ПОДЗЕМ'!E50)*СПРАВОЧНИК!$O$3+('ФАКТ ЧИСТ ПОДЗЕМ'!F50)*СПРАВОЧНИК!$P$3+('ФАКТ ЧИСТ ПОДЗЕМ'!G50)*СПРАВОЧНИК!$L$4+('ФАКТ ЧИСТ ПОДЗЕМ'!H50)*СПРАВОЧНИК!$M$4+('ФАКТ ЧИСТ ПОДЗЕМ'!I50)*СПРАВОЧНИК!$N$4+('ФАКТ ЧИСТ ПОДЗЕМ'!J50)*СПРАВОЧНИК!$O$4+('ФАКТ ЧИСТ ПОДЗЕМ'!K50)*СПРАВОЧНИК!$P$4+('ФАКТ ЧИСТ ПОДЗЕМ'!L50)*СПРАВОЧНИК!$L$5+('ФАКТ ЧИСТ ПОДЗЕМ'!M50)*СПРАВОЧНИК!$M$5+('ФАКТ ЧИСТ ПОДЗЕМ'!N50)*СПРАВОЧНИК!$N$5+('ФАКТ ЧИСТ ПОДЗЕМ'!O50)*СПРАВОЧНИК!$O$5+('ФАКТ ЧИСТ ПОДЗЕМ'!P50)*СПРАВОЧНИК!$P$5+('ФАКТ ЧИСТ ПОДЗЕМ'!Q50)*СПРАВОЧНИК!$L$6+('ФАКТ ЧИСТ ПОДЗЕМ'!R50)*СПРАВОЧНИК!$M$6+('ФАКТ ЧИСТ ПОДЗЕМ'!S50)*СПРАВОЧНИК!$N$6+('ФАКТ ЧИСТ ПОДЗЕМ'!T50)*СПРАВОЧНИК!$O$6+('ФАКТ ЧИСТ ПОДЗЕМ'!U50)*СПРАВОЧНИК!$P$6+('ФАКТ ЧИСТ ПОДЗЕМ'!V50)*СПРАВОЧНИК!$L$7+('ФАКТ ЧИСТ ПОДЗЕМ'!W50)*СПРАВОЧНИК!$M$7+('ФАКТ ЧИСТ ПОДЗЕМ'!X50)*СПРАВОЧНИК!$N$7+('ФАКТ ЧИСТ ПОДЗЕМ'!Y50)*СПРАВОЧНИК!$O$7+('ФАКТ ЧИСТ ПОДЗЕМ'!Z50)*СПРАВОЧНИК!$P$7+('ФАКТ ЧИСТ ПОДЗЕМ'!AA50)*СПРАВОЧНИК!$L$8+('ФАКТ ЧИСТ ПОДЗЕМ'!AB50)*СПРАВОЧНИК!$M$8+('ФАКТ ЧИСТ ПОДЗЕМ'!AC50)*СПРАВОЧНИК!$N$8+('ФАКТ ЧИСТ ПОДЗЕМ'!AD50)*СПРАВОЧНИК!$O$8+('ФАКТ ЧИСТ ПОДЗЕМ'!AE50)*СПРАВОЧНИК!$P$8</f>
        <v/>
      </c>
      <c r="Q59" s="34" t="n"/>
      <c r="T59" s="152">
        <f>T58+7</f>
        <v/>
      </c>
      <c r="U59" s="17">
        <f>СПРАВОЧНИК!$E$9*('ПЛАН ЧЕРН К1'!B50*СПРАВОЧНИК!$H$9+'ПЛАН ЧЕРН К1'!C50*СПРАВОЧНИК!$I$9+'ПЛАН ЧЕРН К1'!D50*СПРАВОЧНИК!$J$9)+СПРАВОЧНИК!$F$9*('ПЛАН ЧИСТ К1'!B50*СПРАВОЧНИК!$L$9+'ПЛАН ЧИСТ К1'!C50*СПРАВОЧНИК!$M$9+'ПЛАН ЧИСТ К1'!D50*СПРАВОЧНИК!$N$9+'ПЛАН ЧИСТ К1'!E50*СПРАВОЧНИК!$O$9+'ПЛАН ЧИСТ К1'!F50*СПРАВОЧНИК!$P$9)+СПРАВОЧНИК!$E$10*('ПЛАН ЧЕРН К1'!E50*СПРАВОЧНИК!$H$10+'ПЛАН ЧЕРН К1'!F50*СПРАВОЧНИК!$I$10+'ПЛАН ЧЕРН К1'!G50*СПРАВОЧНИК!$J$10)+СПРАВОЧНИК!$F$10*('ПЛАН ЧИСТ К1'!G50*СПРАВОЧНИК!$L$10+'ПЛАН ЧИСТ К1'!H50*СПРАВОЧНИК!$M$10+'ПЛАН ЧИСТ К1'!I50*СПРАВОЧНИК!$N$10+'ПЛАН ЧИСТ К1'!J50*СПРАВОЧНИК!$O$10+'ПЛАН ЧИСТ К1'!K50*СПРАВОЧНИК!$P$10)+СПРАВОЧНИК!$E$11*('ПЛАН ЧЕРН К1'!H50*СПРАВОЧНИК!$H$11+'ПЛАН ЧЕРН К1'!I50*СПРАВОЧНИК!$I$11+'ПЛАН ЧЕРН К1'!J50*СПРАВОЧНИК!$J$11)+СПРАВОЧНИК!$F$11*('ПЛАН ЧИСТ К1'!L50*СПРАВОЧНИК!$L$11+'ПЛАН ЧИСТ К1'!M50*СПРАВОЧНИК!$M$11+'ПЛАН ЧИСТ К1'!N50*СПРАВОЧНИК!$N$11+'ПЛАН ЧИСТ К1'!O50*СПРАВОЧНИК!$O$11+'ПЛАН ЧИСТ К1'!P50*СПРАВОЧНИК!$P$11)+СПРАВОЧНИК!$E$12*('ПЛАН ЧЕРН К1'!K50*СПРАВОЧНИК!$H$12+'ПЛАН ЧЕРН К1'!L50*СПРАВОЧНИК!$I$12+'ПЛАН ЧЕРН К1'!M50*СПРАВОЧНИК!$J$12)+СПРАВОЧНИК!$F$12*('ПЛАН ЧИСТ К1'!Q50*СПРАВОЧНИК!$L$12+'ПЛАН ЧИСТ К1'!R50*СПРАВОЧНИК!$M$12+'ПЛАН ЧИСТ К1'!S50*СПРАВОЧНИК!$N$12+'ПЛАН ЧИСТ К1'!T50*СПРАВОЧНИК!$O$12+'ПЛАН ЧИСТ К1'!U50*СПРАВОЧНИК!$P$12)+СПРАВОЧНИК!$E$13*('ПЛАН ЧЕРН К1'!N50*СПРАВОЧНИК!$H$13+'ПЛАН ЧЕРН К1'!O50*СПРАВОЧНИК!$I$13+'ПЛАН ЧЕРН К1'!P50*СПРАВОЧНИК!$J$13)+СПРАВОЧНИК!$F$13*('ПЛАН ЧИСТ К1'!V50*СПРАВОЧНИК!$L$13+'ПЛАН ЧИСТ К1'!W50*СПРАВОЧНИК!$M$13+'ПЛАН ЧИСТ К1'!X50*СПРАВОЧНИК!$N$13+'ПЛАН ЧИСТ К1'!Y50*СПРАВОЧНИК!$O$13+'ПЛАН ЧИСТ К1'!Z50*СПРАВОЧНИК!$P$13)+СПРАВОЧНИК!$E$14*('ПЛАН ЧЕРН К1'!Q50*СПРАВОЧНИК!$H$14+'ПЛАН ЧЕРН К1'!R50*СПРАВОЧНИК!$I$14+'ПЛАН ЧЕРН К1'!S50*СПРАВОЧНИК!$J$14)+СПРАВОЧНИК!$F$14*('ПЛАН ЧИСТ К1'!AA50*СПРАВОЧНИК!$L$14+'ПЛАН ЧИСТ К1'!AB50*СПРАВОЧНИК!$M$14+'ПЛАН ЧИСТ К1'!AC50*СПРАВОЧНИК!$N$14+'ПЛАН ЧИСТ К1'!AD50*СПРАВОЧНИК!$O$14+'ПЛАН ЧИСТ К1'!AE50*СПРАВОЧНИК!$P$14)+СПРАВОЧНИК!$E$15*('ПЛАН ЧЕРН К1'!T50*СПРАВОЧНИК!$H$15+'ПЛАН ЧЕРН К1'!U50*СПРАВОЧНИК!$I$15+'ПЛАН ЧЕРН К1'!V50*СПРАВОЧНИК!$J$15)+СПРАВОЧНИК!$F$15*('ПЛАН ЧИСТ К1'!AF50*СПРАВОЧНИК!$L$15+'ПЛАН ЧИСТ К1'!AG50*СПРАВОЧНИК!$M$15+'ПЛАН ЧИСТ К1'!AH50*СПРАВОЧНИК!$N$15+'ПЛАН ЧИСТ К1'!AI50*СПРАВОЧНИК!$O$15+'ПЛАН ЧИСТ К1'!AJ50*СПРАВОЧНИК!$P$15)</f>
        <v/>
      </c>
      <c r="V59" s="31">
        <f>СПРАВОЧНИК!$E$9*('ФАКТ ЧЕРН К1'!B50*СПРАВОЧНИК!$H$9+'ФАКТ ЧЕРН К1'!C50*СПРАВОЧНИК!$I$9+'ФАКТ ЧЕРН К1'!D50*СПРАВОЧНИК!$J$9)+СПРАВОЧНИК!$F$9*('ФАКТ ЧИСТ К1'!B50*СПРАВОЧНИК!$L$9+'ФАКТ ЧИСТ К1'!C50*СПРАВОЧНИК!$M$9+'ФАКТ ЧИСТ К1'!D50*СПРАВОЧНИК!$N$9+'ФАКТ ЧИСТ К1'!E50*СПРАВОЧНИК!$O$9+'ФАКТ ЧИСТ К1'!F50*СПРАВОЧНИК!$P$9)+СПРАВОЧНИК!$E$10*('ФАКТ ЧЕРН К1'!E50*СПРАВОЧНИК!$H$10+'ФАКТ ЧЕРН К1'!F50*СПРАВОЧНИК!$I$10+'ФАКТ ЧЕРН К1'!G50*СПРАВОЧНИК!$J$10)+СПРАВОЧНИК!$F$10*('ФАКТ ЧИСТ К1'!G50*СПРАВОЧНИК!$L$10+'ФАКТ ЧИСТ К1'!H50*СПРАВОЧНИК!$M$10+'ФАКТ ЧИСТ К1'!I50*СПРАВОЧНИК!$N$10+'ФАКТ ЧИСТ К1'!J50*СПРАВОЧНИК!$O$10+'ФАКТ ЧИСТ К1'!K50*СПРАВОЧНИК!$P$10)+СПРАВОЧНИК!$E$11*('ФАКТ ЧЕРН К1'!H50*СПРАВОЧНИК!$H$11+'ФАКТ ЧЕРН К1'!I50*СПРАВОЧНИК!$I$11+'ФАКТ ЧЕРН К1'!J50*СПРАВОЧНИК!$J$11)+СПРАВОЧНИК!$F$11*('ФАКТ ЧИСТ К1'!L50*СПРАВОЧНИК!$L$11+'ФАКТ ЧИСТ К1'!M50*СПРАВОЧНИК!$M$11+'ФАКТ ЧИСТ К1'!N50*СПРАВОЧНИК!$N$11+'ФАКТ ЧИСТ К1'!O50*СПРАВОЧНИК!$O$11+'ФАКТ ЧИСТ К1'!P50*СПРАВОЧНИК!$P$11)+СПРАВОЧНИК!$E$12*('ФАКТ ЧЕРН К1'!K50*СПРАВОЧНИК!$H$12+'ФАКТ ЧЕРН К1'!L50*СПРАВОЧНИК!$I$12+'ФАКТ ЧЕРН К1'!M50*СПРАВОЧНИК!$J$12)+СПРАВОЧНИК!$F$12*('ФАКТ ЧИСТ К1'!Q50*СПРАВОЧНИК!$L$12+'ФАКТ ЧИСТ К1'!R50*СПРАВОЧНИК!$M$12+'ФАКТ ЧИСТ К1'!S50*СПРАВОЧНИК!$N$12+'ФАКТ ЧИСТ К1'!T50*СПРАВОЧНИК!$O$12+'ФАКТ ЧИСТ К1'!U50*СПРАВОЧНИК!$P$12)+СПРАВОЧНИК!$E$13*('ФАКТ ЧЕРН К1'!N50*СПРАВОЧНИК!$H$13+'ФАКТ ЧЕРН К1'!O50*СПРАВОЧНИК!$I$13+'ФАКТ ЧЕРН К1'!P50*СПРАВОЧНИК!$J$13)+СПРАВОЧНИК!$F$13*('ФАКТ ЧИСТ К1'!V50*СПРАВОЧНИК!$L$13+'ФАКТ ЧИСТ К1'!W50*СПРАВОЧНИК!$M$13+'ФАКТ ЧИСТ К1'!X50*СПРАВОЧНИК!$N$13+'ФАКТ ЧИСТ К1'!Y50*СПРАВОЧНИК!$O$13+'ФАКТ ЧИСТ К1'!Z50*СПРАВОЧНИК!$P$13)+СПРАВОЧНИК!$E$14*('ФАКТ ЧЕРН К1'!Q50*СПРАВОЧНИК!$H$14+'ФАКТ ЧЕРН К1'!R50*СПРАВОЧНИК!$I$14+'ФАКТ ЧЕРН К1'!S50*СПРАВОЧНИК!$J$14)+СПРАВОЧНИК!$F$14*('ФАКТ ЧИСТ К1'!AA50*СПРАВОЧНИК!$L$14+'ФАКТ ЧИСТ К1'!AB50*СПРАВОЧНИК!$M$14+'ФАКТ ЧИСТ К1'!AC50*СПРАВОЧНИК!$N$14+'ФАКТ ЧИСТ К1'!AD50*СПРАВОЧНИК!$O$14+'ФАКТ ЧИСТ К1'!AE50*СПРАВОЧНИК!$P$14)+СПРАВОЧНИК!$E$15*('ФАКТ ЧЕРН К1'!T50*СПРАВОЧНИК!$H$15+'ФАКТ ЧЕРН К1'!U50*СПРАВОЧНИК!$I$15+'ФАКТ ЧЕРН К1'!V50*СПРАВОЧНИК!$J$15)+СПРАВОЧНИК!$F$15*('ФАКТ ЧИСТ К1'!AF50*СПРАВОЧНИК!$L$15+'ФАКТ ЧИСТ К1'!AG50*СПРАВОЧНИК!$M$15+'ФАКТ ЧИСТ К1'!AH50*СПРАВОЧНИК!$N$15+'ФАКТ ЧИСТ К1'!AI50*СПРАВОЧНИК!$O$15+'ФАКТ ЧИСТ К1'!AJ50*СПРАВОЧНИК!$P$15)</f>
        <v/>
      </c>
      <c r="W59" s="34" t="n"/>
      <c r="Z59" s="152">
        <f>Z58+7</f>
        <v/>
      </c>
      <c r="AA59" s="17">
        <f>'ПЛАН ЧЕРН К1'!B50*СПРАВОЧНИК!$H$9+'ПЛАН ЧЕРН К1'!C50*СПРАВОЧНИК!$I$9+'ПЛАН ЧЕРН К1'!D50*СПРАВОЧНИК!$J$9+'ПЛАН ЧЕРН К1'!E50*СПРАВОЧНИК!$H$10+'ПЛАН ЧЕРН К1'!F50*СПРАВОЧНИК!$I$10+'ПЛАН ЧЕРН К1'!G50*СПРАВОЧНИК!$J$10+'ПЛАН ЧЕРН К1'!H50*СПРАВОЧНИК!$H$11+'ПЛАН ЧЕРН К1'!I50*СПРАВОЧНИК!$I$11+'ПЛАН ЧЕРН К1'!J50*СПРАВОЧНИК!$J$11+'ПЛАН ЧЕРН К1'!K50*СПРАВОЧНИК!$H$12+'ПЛАН ЧЕРН К1'!L50*СПРАВОЧНИК!$I$12+'ПЛАН ЧЕРН К1'!M50*СПРАВОЧНИК!$J$12+'ПЛАН ЧЕРН К1'!N50*СПРАВОЧНИК!$H$13+'ПЛАН ЧЕРН К1'!O50*СПРАВОЧНИК!$I$13+'ПЛАН ЧЕРН К1'!P50*СПРАВОЧНИК!$J$13+'ПЛАН ЧЕРН К1'!Q50*СПРАВОЧНИК!$H$14+'ПЛАН ЧЕРН К1'!R50*СПРАВОЧНИК!$I$14+'ПЛАН ЧЕРН К1'!S50*СПРАВОЧНИК!$J$14+'ПЛАН ЧЕРН К1'!T50*СПРАВОЧНИК!$H$15+'ПЛАН ЧЕРН К1'!U50*СПРАВОЧНИК!$I$15+'ПЛАН ЧЕРН К1'!V50*СПРАВОЧНИК!$J$15</f>
        <v/>
      </c>
      <c r="AB59" s="31">
        <f>('ФАКТ ЧЕРН К1'!B50)*СПРАВОЧНИК!$H$9+('ФАКТ ЧЕРН К1'!C50)*СПРАВОЧНИК!$I$9+('ФАКТ ЧЕРН К1'!D50)*СПРАВОЧНИК!$J$9+('ФАКТ ЧЕРН К1'!E50)*СПРАВОЧНИК!$H$10+('ФАКТ ЧЕРН К1'!F50)*СПРАВОЧНИК!$I$10+('ФАКТ ЧЕРН К1'!G50)*СПРАВОЧНИК!$J$10+('ФАКТ ЧЕРН К1'!H50)*СПРАВОЧНИК!$H$11+('ФАКТ ЧЕРН К1'!I50)*СПРАВОЧНИК!$I$11+('ФАКТ ЧЕРН К1'!J50)*СПРАВОЧНИК!$J$11+('ФАКТ ЧЕРН К1'!K50)*СПРАВОЧНИК!$H$12+('ФАКТ ЧЕРН К1'!L50)*СПРАВОЧНИК!$I$12+('ФАКТ ЧЕРН К1'!M50)*СПРАВОЧНИК!$J$12+('ФАКТ ЧЕРН К1'!N50)*СПРАВОЧНИК!$H$13+('ФАКТ ЧЕРН К1'!O50)*СПРАВОЧНИК!$I$13+('ФАКТ ЧЕРН К1'!P50)*СПРАВОЧНИК!$J$13+('ФАКТ ЧЕРН К1'!Q50)*СПРАВОЧНИК!$H$14+('ФАКТ ЧЕРН К1'!R50)*СПРАВОЧНИК!$I$14+('ФАКТ ЧЕРН К1'!S50)*СПРАВОЧНИК!$J$14+('ФАКТ ЧЕРН К1'!T50)*СПРАВОЧНИК!$H$15+('ФАКТ ЧЕРН К1'!U50)*СПРАВОЧНИК!$I$15+('ФАКТ ЧЕРН К1'!V50)*СПРАВОЧНИК!$J$15</f>
        <v/>
      </c>
      <c r="AC59" s="34" t="n"/>
      <c r="AF59" s="152">
        <f>AF58+7</f>
        <v/>
      </c>
      <c r="AG59" s="17">
        <f>'ПЛАН ЧИСТ К1'!B50*СПРАВОЧНИК!$L$9+'ПЛАН ЧИСТ К1'!C50*СПРАВОЧНИК!$M$9+'ПЛАН ЧИСТ К1'!D50*СПРАВОЧНИК!$N$9+'ПЛАН ЧИСТ К1'!E50*СПРАВОЧНИК!$O$9+'ПЛАН ЧИСТ К1'!F50*СПРАВОЧНИК!$P$9+'ПЛАН ЧИСТ К1'!G50*СПРАВОЧНИК!$L$10+'ПЛАН ЧИСТ К1'!H50*СПРАВОЧНИК!$M$10+'ПЛАН ЧИСТ К1'!I50*СПРАВОЧНИК!$N$10+'ПЛАН ЧИСТ К1'!J50*СПРАВОЧНИК!$O$10+'ПЛАН ЧИСТ К1'!K50*СПРАВОЧНИК!$P$10+'ПЛАН ЧИСТ К1'!L50*СПРАВОЧНИК!$L$11+'ПЛАН ЧИСТ К1'!M50*СПРАВОЧНИК!$M$11+'ПЛАН ЧИСТ К1'!N50*СПРАВОЧНИК!$N$11+'ПЛАН ЧИСТ К1'!O50*СПРАВОЧНИК!$O$11+'ПЛАН ЧИСТ К1'!P50*СПРАВОЧНИК!$P$11+'ПЛАН ЧИСТ К1'!Q50*СПРАВОЧНИК!$L$12+'ПЛАН ЧИСТ К1'!R50*СПРАВОЧНИК!$M$12+'ПЛАН ЧИСТ К1'!S50*СПРАВОЧНИК!$N$12+'ПЛАН ЧИСТ К1'!T50*СПРАВОЧНИК!$O$12+'ПЛАН ЧИСТ К1'!U50*СПРАВОЧНИК!$P$12+'ПЛАН ЧИСТ К1'!V50*СПРАВОЧНИК!$L$13+'ПЛАН ЧИСТ К1'!W50*СПРАВОЧНИК!$M$13+'ПЛАН ЧИСТ К1'!X50*СПРАВОЧНИК!$N$13+'ПЛАН ЧИСТ К1'!Y50*СПРАВОЧНИК!$O$13+'ПЛАН ЧИСТ К1'!Z50*СПРАВОЧНИК!$P$13+'ПЛАН ЧИСТ К1'!AA50*СПРАВОЧНИК!$L$14+'ПЛАН ЧИСТ К1'!AB50*СПРАВОЧНИК!$M$14+'ПЛАН ЧИСТ К1'!AC50*СПРАВОЧНИК!$N$14+'ПЛАН ЧИСТ К1'!AD50*СПРАВОЧНИК!$O$14+'ПЛАН ЧИСТ К1'!AE50*СПРАВОЧНИК!$P$14+'ПЛАН ЧИСТ К1'!AF50*СПРАВОЧНИК!$L$15+'ПЛАН ЧИСТ К1'!AG50*СПРАВОЧНИК!$M$15+'ПЛАН ЧИСТ К1'!AH50*СПРАВОЧНИК!$N$15+'ПЛАН ЧИСТ К1'!AI50*СПРАВОЧНИК!$O$15+'ПЛАН ЧИСТ К1'!AJ50*СПРАВОЧНИК!$P$15</f>
        <v/>
      </c>
      <c r="AH59" s="31">
        <f>('ФАКТ ЧИСТ К1'!B50)*СПРАВОЧНИК!$L$9+('ФАКТ ЧИСТ К1'!C50)*СПРАВОЧНИК!$M$9+('ФАКТ ЧИСТ К1'!D50)*СПРАВОЧНИК!$N$9+('ФАКТ ЧИСТ К1'!E50)*СПРАВОЧНИК!$O$9+('ФАКТ ЧИСТ К1'!F50)*СПРАВОЧНИК!$P$9+('ФАКТ ЧИСТ К1'!G50)*СПРАВОЧНИК!$L$10+('ФАКТ ЧИСТ К1'!H50)*СПРАВОЧНИК!$M$10+('ФАКТ ЧИСТ К1'!I50)*СПРАВОЧНИК!$N$10+('ФАКТ ЧИСТ К1'!J50)*СПРАВОЧНИК!$O$10+('ФАКТ ЧИСТ К1'!K50)*СПРАВОЧНИК!$P$10+('ФАКТ ЧИСТ К1'!L50)*СПРАВОЧНИК!$L$11+('ФАКТ ЧИСТ К1'!M50)*СПРАВОЧНИК!$M$11+('ФАКТ ЧИСТ К1'!N50)*СПРАВОЧНИК!$N$11+('ФАКТ ЧИСТ К1'!O50)*СПРАВОЧНИК!$O$11+('ФАКТ ЧИСТ К1'!P50)*СПРАВОЧНИК!$P$11+('ФАКТ ЧИСТ К1'!Q50)*СПРАВОЧНИК!$L$12+('ФАКТ ЧИСТ К1'!R50)*СПРАВОЧНИК!$M$12+('ФАКТ ЧИСТ К1'!S50)*СПРАВОЧНИК!$N$12+('ФАКТ ЧИСТ К1'!T50)*СПРАВОЧНИК!$O$12+('ФАКТ ЧИСТ К1'!U50)*СПРАВОЧНИК!$P$12+('ФАКТ ЧИСТ К1'!V50)*СПРАВОЧНИК!$L$13+('ФАКТ ЧИСТ К1'!W50)*СПРАВОЧНИК!$M$13+('ФАКТ ЧИСТ К1'!X50)*СПРАВОЧНИК!$N$13+('ФАКТ ЧИСТ К1'!Y50)*СПРАВОЧНИК!$O$13+('ФАКТ ЧИСТ К1'!Z50)*СПРАВОЧНИК!$P$13+('ФАКТ ЧИСТ К1'!AA50)*СПРАВОЧНИК!$L$14+('ФАКТ ЧИСТ К1'!AB50)*СПРАВОЧНИК!$M$14+('ФАКТ ЧИСТ К1'!AC50)*СПРАВОЧНИК!$N$14+('ФАКТ ЧИСТ К1'!AD50)*СПРАВОЧНИК!$O$14+('ФАКТ ЧИСТ К1'!AE50)*СПРАВОЧНИК!$P$14+('ФАКТ ЧИСТ К1'!AF50)*СПРАВОЧНИК!$L$15+('ФАКТ ЧИСТ К1'!AG50)*СПРАВОЧНИК!$M$15+('ФАКТ ЧИСТ К1'!AH50)*СПРАВОЧНИК!$N$15+('ФАКТ ЧИСТ К1'!AI50)*СПРАВОЧНИК!$O$15+('ФАКТ ЧИСТ К1'!AJ50)*СПРАВОЧНИК!$P$15</f>
        <v/>
      </c>
      <c r="AI59" s="34" t="n"/>
      <c r="AL59" s="152">
        <f>AL58+7</f>
        <v/>
      </c>
      <c r="AM59" s="17">
        <f>СПРАВОЧНИК!$E$9*('ПЛАН ЧЕРН К2'!B50*СПРАВОЧНИК!$H$9+'ПЛАН ЧЕРН К2'!C50*СПРАВОЧНИК!$I$9+'ПЛАН ЧЕРН К2'!D50*СПРАВОЧНИК!$J$9)+СПРАВОЧНИК!$F$9*('ПЛАН ЧИСТ К2'!B50*СПРАВОЧНИК!$L$9+'ПЛАН ЧИСТ К2'!C50*СПРАВОЧНИК!$M$9+'ПЛАН ЧИСТ К2'!D50*СПРАВОЧНИК!$N$9+'ПЛАН ЧИСТ К2'!E50*СПРАВОЧНИК!$O$9+'ПЛАН ЧИСТ К2'!F50*СПРАВОЧНИК!$P$9)+СПРАВОЧНИК!$E$10*('ПЛАН ЧЕРН К2'!E50*СПРАВОЧНИК!$H$10+'ПЛАН ЧЕРН К2'!F50*СПРАВОЧНИК!$I$10+'ПЛАН ЧЕРН К2'!G50*СПРАВОЧНИК!$J$10)+СПРАВОЧНИК!$F$10*('ПЛАН ЧИСТ К2'!G50*СПРАВОЧНИК!$L$10+'ПЛАН ЧИСТ К2'!H50*СПРАВОЧНИК!$M$10+'ПЛАН ЧИСТ К2'!I50*СПРАВОЧНИК!$N$10+'ПЛАН ЧИСТ К2'!J50*СПРАВОЧНИК!$O$10+'ПЛАН ЧИСТ К2'!K50*СПРАВОЧНИК!$P$10)+СПРАВОЧНИК!$E$11*('ПЛАН ЧЕРН К2'!H50*СПРАВОЧНИК!$H$11+'ПЛАН ЧЕРН К2'!I50*СПРАВОЧНИК!$I$11+'ПЛАН ЧЕРН К2'!J50*СПРАВОЧНИК!$J$11)+СПРАВОЧНИК!$F$11*('ПЛАН ЧИСТ К2'!L50*СПРАВОЧНИК!$L$11+'ПЛАН ЧИСТ К2'!M50*СПРАВОЧНИК!$M$11+'ПЛАН ЧИСТ К2'!N50*СПРАВОЧНИК!$N$11+'ПЛАН ЧИСТ К2'!O50*СПРАВОЧНИК!$O$11+'ПЛАН ЧИСТ К2'!P50*СПРАВОЧНИК!$P$11)+СПРАВОЧНИК!$E$12*('ПЛАН ЧЕРН К2'!K50*СПРАВОЧНИК!$H$12+'ПЛАН ЧЕРН К2'!L50*СПРАВОЧНИК!$I$12+'ПЛАН ЧЕРН К2'!M50*СПРАВОЧНИК!$J$12)+СПРАВОЧНИК!$F$12*('ПЛАН ЧИСТ К2'!Q50*СПРАВОЧНИК!$L$12+'ПЛАН ЧИСТ К2'!R50*СПРАВОЧНИК!$M$12+'ПЛАН ЧИСТ К2'!S50*СПРАВОЧНИК!$N$12+'ПЛАН ЧИСТ К2'!T50*СПРАВОЧНИК!$O$12+'ПЛАН ЧИСТ К2'!U50*СПРАВОЧНИК!$P$12)+СПРАВОЧНИК!$E$13*('ПЛАН ЧЕРН К2'!N50*СПРАВОЧНИК!$H$13+'ПЛАН ЧЕРН К2'!O50*СПРАВОЧНИК!$I$13+'ПЛАН ЧЕРН К2'!P50*СПРАВОЧНИК!$J$13)+СПРАВОЧНИК!$F$13*('ПЛАН ЧИСТ К2'!V50*СПРАВОЧНИК!$L$13+'ПЛАН ЧИСТ К2'!W50*СПРАВОЧНИК!$M$13+'ПЛАН ЧИСТ К2'!X50*СПРАВОЧНИК!$N$13+'ПЛАН ЧИСТ К2'!Y50*СПРАВОЧНИК!$O$13+'ПЛАН ЧИСТ К2'!Z50*СПРАВОЧНИК!$P$13)+СПРАВОЧНИК!$E$14*('ПЛАН ЧЕРН К2'!Q50*СПРАВОЧНИК!$H$14+'ПЛАН ЧЕРН К2'!R50*СПРАВОЧНИК!$I$14+'ПЛАН ЧЕРН К2'!S50*СПРАВОЧНИК!$J$14)+СПРАВОЧНИК!$F$14*('ПЛАН ЧИСТ К2'!AA50*СПРАВОЧНИК!$L$14+'ПЛАН ЧИСТ К2'!AB50*СПРАВОЧНИК!$M$14+'ПЛАН ЧИСТ К2'!AC50*СПРАВОЧНИК!$N$14+'ПЛАН ЧИСТ К2'!AD50*СПРАВОЧНИК!$O$14+'ПЛАН ЧИСТ К2'!AE50*СПРАВОЧНИК!$P$14)+СПРАВОЧНИК!$E$15*('ПЛАН ЧЕРН К2'!T50*СПРАВОЧНИК!$H$15+'ПЛАН ЧЕРН К2'!U50*СПРАВОЧНИК!$I$15+'ПЛАН ЧЕРН К2'!V50*СПРАВОЧНИК!$J$15)+СПРАВОЧНИК!$F$15*('ПЛАН ЧИСТ К2'!AF50*СПРАВОЧНИК!$L$15+'ПЛАН ЧИСТ К2'!AG50*СПРАВОЧНИК!$M$15+'ПЛАН ЧИСТ К2'!AH50*СПРАВОЧНИК!$N$15+'ПЛАН ЧИСТ К2'!AI50*СПРАВОЧНИК!$O$15+'ПЛАН ЧИСТ К2'!AJ50*СПРАВОЧНИК!$P$15)</f>
        <v/>
      </c>
      <c r="AN59" s="31">
        <f>СПРАВОЧНИК!$E$9*('ФАКТ ЧЕРН К2'!B50*СПРАВОЧНИК!$H$9+'ФАКТ ЧЕРН К2'!C50*СПРАВОЧНИК!$I$9+'ФАКТ ЧЕРН К2'!D50*СПРАВОЧНИК!$J$9)+СПРАВОЧНИК!$F$9*('ФАКТ ЧИСТ К2'!B50*СПРАВОЧНИК!$L$9+'ФАКТ ЧИСТ К2'!C50*СПРАВОЧНИК!$M$9+'ФАКТ ЧИСТ К2'!D50*СПРАВОЧНИК!$N$9+'ФАКТ ЧИСТ К2'!E50*СПРАВОЧНИК!$O$9+'ФАКТ ЧИСТ К2'!F50*СПРАВОЧНИК!$P$9)+СПРАВОЧНИК!$E$10*('ФАКТ ЧЕРН К2'!E50*СПРАВОЧНИК!$H$10+'ФАКТ ЧЕРН К2'!F50*СПРАВОЧНИК!$I$10+'ФАКТ ЧЕРН К2'!G50*СПРАВОЧНИК!$J$10)+СПРАВОЧНИК!$F$10*('ФАКТ ЧИСТ К2'!G50*СПРАВОЧНИК!$L$10+'ФАКТ ЧИСТ К2'!H50*СПРАВОЧНИК!$M$10+'ФАКТ ЧИСТ К2'!I50*СПРАВОЧНИК!$N$10+'ФАКТ ЧИСТ К2'!J50*СПРАВОЧНИК!$O$10+'ФАКТ ЧИСТ К2'!K50*СПРАВОЧНИК!$P$10)+СПРАВОЧНИК!$E$11*('ФАКТ ЧЕРН К2'!H50*СПРАВОЧНИК!$H$11+'ФАКТ ЧЕРН К2'!I50*СПРАВОЧНИК!$I$11+'ФАКТ ЧЕРН К2'!J50*СПРАВОЧНИК!$J$11)+СПРАВОЧНИК!$F$11*('ФАКТ ЧИСТ К2'!L50*СПРАВОЧНИК!$L$11+'ФАКТ ЧИСТ К2'!M50*СПРАВОЧНИК!$M$11+'ФАКТ ЧИСТ К2'!N50*СПРАВОЧНИК!$N$11+'ФАКТ ЧИСТ К2'!O50*СПРАВОЧНИК!$O$11+'ФАКТ ЧИСТ К2'!P50*СПРАВОЧНИК!$P$11)+СПРАВОЧНИК!$E$12*('ФАКТ ЧЕРН К2'!K50*СПРАВОЧНИК!$H$12+'ФАКТ ЧЕРН К2'!L50*СПРАВОЧНИК!$I$12+'ФАКТ ЧЕРН К2'!M50*СПРАВОЧНИК!$J$12)+СПРАВОЧНИК!$F$12*('ФАКТ ЧИСТ К2'!Q50*СПРАВОЧНИК!$L$12+'ФАКТ ЧИСТ К2'!R50*СПРАВОЧНИК!$M$12+'ФАКТ ЧИСТ К2'!S50*СПРАВОЧНИК!$N$12+'ФАКТ ЧИСТ К2'!T50*СПРАВОЧНИК!$O$12+'ФАКТ ЧИСТ К2'!U50*СПРАВОЧНИК!$P$12)+СПРАВОЧНИК!$E$13*('ФАКТ ЧЕРН К2'!N50*СПРАВОЧНИК!$H$13+'ФАКТ ЧЕРН К2'!O50*СПРАВОЧНИК!$I$13+'ФАКТ ЧЕРН К2'!P50*СПРАВОЧНИК!$J$13)+СПРАВОЧНИК!$F$13*('ФАКТ ЧИСТ К2'!V50*СПРАВОЧНИК!$L$13+'ФАКТ ЧИСТ К2'!W50*СПРАВОЧНИК!$M$13+'ФАКТ ЧИСТ К2'!X50*СПРАВОЧНИК!$N$13+'ФАКТ ЧИСТ К2'!Y50*СПРАВОЧНИК!$O$13+'ФАКТ ЧИСТ К2'!Z50*СПРАВОЧНИК!$P$13)+СПРАВОЧНИК!$E$14*('ФАКТ ЧЕРН К2'!Q50*СПРАВОЧНИК!$H$14+'ФАКТ ЧЕРН К2'!R50*СПРАВОЧНИК!$I$14+'ФАКТ ЧЕРН К2'!S50*СПРАВОЧНИК!$J$14)+СПРАВОЧНИК!$F$14*('ФАКТ ЧИСТ К2'!AA50*СПРАВОЧНИК!$L$14+'ФАКТ ЧИСТ К2'!AB50*СПРАВОЧНИК!$M$14+'ФАКТ ЧИСТ К2'!AC50*СПРАВОЧНИК!$N$14+'ФАКТ ЧИСТ К2'!AD50*СПРАВОЧНИК!$O$14+'ФАКТ ЧИСТ К2'!AE50*СПРАВОЧНИК!$P$14)+СПРАВОЧНИК!$E$15*('ФАКТ ЧЕРН К2'!T50*СПРАВОЧНИК!$H$15+'ФАКТ ЧЕРН К2'!U50*СПРАВОЧНИК!$I$15+'ФАКТ ЧЕРН К2'!V50*СПРАВОЧНИК!$J$15)+СПРАВОЧНИК!$F$15*('ФАКТ ЧИСТ К2'!AF50*СПРАВОЧНИК!$L$15+'ФАКТ ЧИСТ К2'!AG50*СПРАВОЧНИК!$M$15+'ФАКТ ЧИСТ К2'!AH50*СПРАВОЧНИК!$N$15+'ФАКТ ЧИСТ К2'!AI50*СПРАВОЧНИК!$O$15+'ФАКТ ЧИСТ К2'!AJ50*СПРАВОЧНИК!$P$15)</f>
        <v/>
      </c>
      <c r="AO59" s="34" t="n"/>
      <c r="AR59" s="152">
        <f>AR58+7</f>
        <v/>
      </c>
      <c r="AS59" s="17">
        <f>'ПЛАН ЧЕРН К2'!B50*СПРАВОЧНИК!$H$9+'ПЛАН ЧЕРН К2'!C50*СПРАВОЧНИК!$I$9+'ПЛАН ЧЕРН К2'!D50*СПРАВОЧНИК!$J$9+'ПЛАН ЧЕРН К2'!E50*СПРАВОЧНИК!$H$10+'ПЛАН ЧЕРН К2'!F50*СПРАВОЧНИК!$I$10+'ПЛАН ЧЕРН К2'!G50*СПРАВОЧНИК!$J$10+'ПЛАН ЧЕРН К2'!H50*СПРАВОЧНИК!$H$11+'ПЛАН ЧЕРН К2'!I50*СПРАВОЧНИК!$I$11+'ПЛАН ЧЕРН К2'!J50*СПРАВОЧНИК!$J$11+'ПЛАН ЧЕРН К2'!K50*СПРАВОЧНИК!$H$12+'ПЛАН ЧЕРН К2'!L50*СПРАВОЧНИК!$I$12+'ПЛАН ЧЕРН К2'!M50*СПРАВОЧНИК!$J$12+'ПЛАН ЧЕРН К2'!N50*СПРАВОЧНИК!$H$13+'ПЛАН ЧЕРН К2'!O50*СПРАВОЧНИК!$I$13+'ПЛАН ЧЕРН К2'!P50*СПРАВОЧНИК!$J$13+'ПЛАН ЧЕРН К2'!Q50*СПРАВОЧНИК!$H$14+'ПЛАН ЧЕРН К2'!R50*СПРАВОЧНИК!$I$14+'ПЛАН ЧЕРН К2'!S50*СПРАВОЧНИК!$J$14+'ПЛАН ЧЕРН К2'!T50*СПРАВОЧНИК!$H$15+'ПЛАН ЧЕРН К2'!U50*СПРАВОЧНИК!$I$15+'ПЛАН ЧЕРН К2'!V50*СПРАВОЧНИК!$J$15</f>
        <v/>
      </c>
      <c r="AT59" s="31">
        <f>('ФАКТ ЧЕРН К2'!B50)*СПРАВОЧНИК!$H$9+('ФАКТ ЧЕРН К2'!C50)*СПРАВОЧНИК!$I$9+('ФАКТ ЧЕРН К2'!D50)*СПРАВОЧНИК!$J$9+('ФАКТ ЧЕРН К2'!E50)*СПРАВОЧНИК!$H$10+('ФАКТ ЧЕРН К2'!F50)*СПРАВОЧНИК!$I$10+('ФАКТ ЧЕРН К2'!G50)*СПРАВОЧНИК!$J$10+('ФАКТ ЧЕРН К2'!H50)*СПРАВОЧНИК!$H$11+('ФАКТ ЧЕРН К2'!I50)*СПРАВОЧНИК!$I$11+('ФАКТ ЧЕРН К2'!J50)*СПРАВОЧНИК!$J$11+('ФАКТ ЧЕРН К2'!K50)*СПРАВОЧНИК!$H$12+('ФАКТ ЧЕРН К2'!L50)*СПРАВОЧНИК!$I$12+('ФАКТ ЧЕРН К2'!M50)*СПРАВОЧНИК!$J$12+('ФАКТ ЧЕРН К2'!N50)*СПРАВОЧНИК!$H$13+('ФАКТ ЧЕРН К2'!O50)*СПРАВОЧНИК!$I$13+('ФАКТ ЧЕРН К2'!P50)*СПРАВОЧНИК!$J$13+('ФАКТ ЧЕРН К2'!Q50)*СПРАВОЧНИК!$H$14+('ФАКТ ЧЕРН К2'!R50)*СПРАВОЧНИК!$I$14+('ФАКТ ЧЕРН К2'!S50)*СПРАВОЧНИК!$J$14+('ФАКТ ЧЕРН К2'!T50)*СПРАВОЧНИК!$H$15+('ФАКТ ЧЕРН К2'!U50)*СПРАВОЧНИК!$I$15+('ФАКТ ЧЕРН К2'!V50)*СПРАВОЧНИК!$J$15</f>
        <v/>
      </c>
      <c r="AU59" s="34" t="n"/>
      <c r="AX59" s="152">
        <f>AX58+7</f>
        <v/>
      </c>
      <c r="AY59" s="17">
        <f>'ПЛАН ЧИСТ К2'!B50*СПРАВОЧНИК!$L$9+'ПЛАН ЧИСТ К2'!C50*СПРАВОЧНИК!$M$9+'ПЛАН ЧИСТ К2'!D50*СПРАВОЧНИК!$N$9+'ПЛАН ЧИСТ К2'!E50*СПРАВОЧНИК!$O$9+'ПЛАН ЧИСТ К2'!F50*СПРАВОЧНИК!$P$9+'ПЛАН ЧИСТ К2'!G50*СПРАВОЧНИК!$L$10+'ПЛАН ЧИСТ К2'!H50*СПРАВОЧНИК!$M$10+'ПЛАН ЧИСТ К2'!I50*СПРАВОЧНИК!$N$10+'ПЛАН ЧИСТ К2'!J50*СПРАВОЧНИК!$O$10+'ПЛАН ЧИСТ К2'!K50*СПРАВОЧНИК!$P$10+'ПЛАН ЧИСТ К2'!L50*СПРАВОЧНИК!$L$11+'ПЛАН ЧИСТ К2'!M50*СПРАВОЧНИК!$M$11+'ПЛАН ЧИСТ К2'!N50*СПРАВОЧНИК!$N$11+'ПЛАН ЧИСТ К2'!O50*СПРАВОЧНИК!$O$11+'ПЛАН ЧИСТ К2'!P50*СПРАВОЧНИК!$P$11+'ПЛАН ЧИСТ К2'!Q50*СПРАВОЧНИК!$L$12+'ПЛАН ЧИСТ К2'!R50*СПРАВОЧНИК!$M$12+'ПЛАН ЧИСТ К2'!S50*СПРАВОЧНИК!$N$12+'ПЛАН ЧИСТ К2'!T50*СПРАВОЧНИК!$O$12+'ПЛАН ЧИСТ К2'!U50*СПРАВОЧНИК!$P$12+'ПЛАН ЧИСТ К2'!V50*СПРАВОЧНИК!$L$13+'ПЛАН ЧИСТ К2'!W50*СПРАВОЧНИК!$M$13+'ПЛАН ЧИСТ К2'!X50*СПРАВОЧНИК!$N$13+'ПЛАН ЧИСТ К2'!Y50*СПРАВОЧНИК!$O$13+'ПЛАН ЧИСТ К2'!Z50*СПРАВОЧНИК!$P$13+'ПЛАН ЧИСТ К2'!AA50*СПРАВОЧНИК!$L$14+'ПЛАН ЧИСТ К2'!AB50*СПРАВОЧНИК!$M$14+'ПЛАН ЧИСТ К2'!AC50*СПРАВОЧНИК!$N$14+'ПЛАН ЧИСТ К2'!AD50*СПРАВОЧНИК!$O$14+'ПЛАН ЧИСТ К2'!AE50*СПРАВОЧНИК!$P$14+'ПЛАН ЧИСТ К2'!AF50*СПРАВОЧНИК!$L$15+'ПЛАН ЧИСТ К2'!AG50*СПРАВОЧНИК!$M$15+'ПЛАН ЧИСТ К2'!AH50*СПРАВОЧНИК!$N$15+'ПЛАН ЧИСТ К2'!AI50*СПРАВОЧНИК!$O$15+'ПЛАН ЧИСТ К2'!AJ50*СПРАВОЧНИК!$P$15</f>
        <v/>
      </c>
      <c r="AZ59" s="31">
        <f>('ФАКТ ЧИСТ К2'!B50)*СПРАВОЧНИК!$L$9+('ФАКТ ЧИСТ К2'!C50)*СПРАВОЧНИК!$M$9+('ФАКТ ЧИСТ К2'!D50)*СПРАВОЧНИК!$N$9+('ФАКТ ЧИСТ К2'!E50)*СПРАВОЧНИК!$O$9+('ФАКТ ЧИСТ К2'!F50)*СПРАВОЧНИК!$P$9+('ФАКТ ЧИСТ К2'!G50)*СПРАВОЧНИК!$L$10+('ФАКТ ЧИСТ К2'!H50)*СПРАВОЧНИК!$M$10+('ФАКТ ЧИСТ К2'!I50)*СПРАВОЧНИК!$N$10+('ФАКТ ЧИСТ К2'!J50)*СПРАВОЧНИК!$O$10+('ФАКТ ЧИСТ К2'!K50)*СПРАВОЧНИК!$P$10+('ФАКТ ЧИСТ К2'!L50)*СПРАВОЧНИК!$L$11+('ФАКТ ЧИСТ К2'!M50)*СПРАВОЧНИК!$M$11+('ФАКТ ЧИСТ К2'!N50)*СПРАВОЧНИК!$N$11+('ФАКТ ЧИСТ К2'!O50)*СПРАВОЧНИК!$O$11+('ФАКТ ЧИСТ К2'!P50)*СПРАВОЧНИК!$P$11+('ФАКТ ЧИСТ К2'!Q50)*СПРАВОЧНИК!$L$12+('ФАКТ ЧИСТ К2'!R50)*СПРАВОЧНИК!$M$12+('ФАКТ ЧИСТ К2'!S50)*СПРАВОЧНИК!$N$12+('ФАКТ ЧИСТ К2'!T50)*СПРАВОЧНИК!$O$12+('ФАКТ ЧИСТ К2'!U50)*СПРАВОЧНИК!$P$12+('ФАКТ ЧИСТ К2'!V50)*СПРАВОЧНИК!$L$13+('ФАКТ ЧИСТ К2'!W50)*СПРАВОЧНИК!$M$13+('ФАКТ ЧИСТ К2'!X50)*СПРАВОЧНИК!$N$13+('ФАКТ ЧИСТ К2'!Y50)*СПРАВОЧНИК!$O$13+('ФАКТ ЧИСТ К2'!Z50)*СПРАВОЧНИК!$P$13+('ФАКТ ЧИСТ К2'!AA50)*СПРАВОЧНИК!$L$14+('ФАКТ ЧИСТ К2'!AB50)*СПРАВОЧНИК!$M$14+('ФАКТ ЧИСТ К2'!AC50)*СПРАВОЧНИК!$N$14+('ФАКТ ЧИСТ К2'!AD50)*СПРАВОЧНИК!$O$14+('ФАКТ ЧИСТ К2'!AE50)*СПРАВОЧНИК!$P$14+('ФАКТ ЧИСТ К2'!AF50)*СПРАВОЧНИК!$L$15+('ФАКТ ЧИСТ К2'!AG50)*СПРАВОЧНИК!$M$15+('ФАКТ ЧИСТ К2'!AH50)*СПРАВОЧНИК!$N$15+('ФАКТ ЧИСТ К2'!AI50)*СПРАВОЧНИК!$O$15+('ФАКТ ЧИСТ К2'!AJ50)*СПРАВОЧНИК!$P$15</f>
        <v/>
      </c>
      <c r="BA59" s="34" t="n"/>
      <c r="BD59" s="152">
        <f>BD58+7</f>
        <v/>
      </c>
      <c r="BE59" s="17">
        <f>СПРАВОЧНИК!$E$9*('ПЛАН ЧЕРН К3'!B50*СПРАВОЧНИК!$H$9+'ПЛАН ЧЕРН К3'!C50*СПРАВОЧНИК!$I$9+'ПЛАН ЧЕРН К3'!D50*СПРАВОЧНИК!$J$9)+СПРАВОЧНИК!$F$9*('ПЛАН ЧИСТ К3'!B50*СПРАВОЧНИК!$L$9+'ПЛАН ЧИСТ К3'!C50*СПРАВОЧНИК!$M$9+'ПЛАН ЧИСТ К3'!D50*СПРАВОЧНИК!$N$9+'ПЛАН ЧИСТ К3'!E50*СПРАВОЧНИК!$O$9+'ПЛАН ЧИСТ К3'!F50*СПРАВОЧНИК!$P$9)+СПРАВОЧНИК!$E$10*('ПЛАН ЧЕРН К3'!E50*СПРАВОЧНИК!$H$10+'ПЛАН ЧЕРН К3'!F50*СПРАВОЧНИК!$I$10+'ПЛАН ЧЕРН К3'!G50*СПРАВОЧНИК!$J$10)+СПРАВОЧНИК!$F$10*('ПЛАН ЧИСТ К3'!G50*СПРАВОЧНИК!$L$10+'ПЛАН ЧИСТ К3'!H50*СПРАВОЧНИК!$M$10+'ПЛАН ЧИСТ К3'!I50*СПРАВОЧНИК!$N$10+'ПЛАН ЧИСТ К3'!J50*СПРАВОЧНИК!$O$10+'ПЛАН ЧИСТ К3'!K50*СПРАВОЧНИК!$P$10)+СПРАВОЧНИК!$E$11*('ПЛАН ЧЕРН К3'!H50*СПРАВОЧНИК!$H$11+'ПЛАН ЧЕРН К3'!I50*СПРАВОЧНИК!$I$11+'ПЛАН ЧЕРН К3'!J50*СПРАВОЧНИК!$J$11)+СПРАВОЧНИК!$F$11*('ПЛАН ЧИСТ К3'!L50*СПРАВОЧНИК!$L$11+'ПЛАН ЧИСТ К3'!M50*СПРАВОЧНИК!$M$11+'ПЛАН ЧИСТ К3'!N50*СПРАВОЧНИК!$N$11+'ПЛАН ЧИСТ К3'!O50*СПРАВОЧНИК!$O$11+'ПЛАН ЧИСТ К3'!P50*СПРАВОЧНИК!$P$11)+СПРАВОЧНИК!$E$12*('ПЛАН ЧЕРН К3'!K50*СПРАВОЧНИК!$H$12+'ПЛАН ЧЕРН К3'!L50*СПРАВОЧНИК!$I$12+'ПЛАН ЧЕРН К3'!M50*СПРАВОЧНИК!$J$12)+СПРАВОЧНИК!$F$12*('ПЛАН ЧИСТ К3'!Q50*СПРАВОЧНИК!$L$12+'ПЛАН ЧИСТ К3'!R50*СПРАВОЧНИК!$M$12+'ПЛАН ЧИСТ К3'!S50*СПРАВОЧНИК!$N$12+'ПЛАН ЧИСТ К3'!T50*СПРАВОЧНИК!$O$12+'ПЛАН ЧИСТ К3'!U50*СПРАВОЧНИК!$P$12)+СПРАВОЧНИК!$E$13*('ПЛАН ЧЕРН К3'!N50*СПРАВОЧНИК!$H$13+'ПЛАН ЧЕРН К3'!O50*СПРАВОЧНИК!$I$13+'ПЛАН ЧЕРН К3'!P50*СПРАВОЧНИК!$J$13)+СПРАВОЧНИК!$F$13*('ПЛАН ЧИСТ К3'!V50*СПРАВОЧНИК!$L$13+'ПЛАН ЧИСТ К3'!W50*СПРАВОЧНИК!$M$13+'ПЛАН ЧИСТ К3'!X50*СПРАВОЧНИК!$N$13+'ПЛАН ЧИСТ К3'!Y50*СПРАВОЧНИК!$O$13+'ПЛАН ЧИСТ К3'!Z50*СПРАВОЧНИК!$P$13)+СПРАВОЧНИК!$E$14*('ПЛАН ЧЕРН К3'!Q50*СПРАВОЧНИК!$H$14+'ПЛАН ЧЕРН К3'!R50*СПРАВОЧНИК!$I$14+'ПЛАН ЧЕРН К3'!S50*СПРАВОЧНИК!$J$14)+СПРАВОЧНИК!$F$14*('ПЛАН ЧИСТ К3'!AA50*СПРАВОЧНИК!$L$14+'ПЛАН ЧИСТ К3'!AB50*СПРАВОЧНИК!$M$14+'ПЛАН ЧИСТ К3'!AC50*СПРАВОЧНИК!$N$14+'ПЛАН ЧИСТ К3'!AD50*СПРАВОЧНИК!$O$14+'ПЛАН ЧИСТ К3'!AE50*СПРАВОЧНИК!$P$14)+СПРАВОЧНИК!$E$15*('ПЛАН ЧЕРН К3'!T50*СПРАВОЧНИК!$H$15+'ПЛАН ЧЕРН К3'!U50*СПРАВОЧНИК!$I$15+'ПЛАН ЧЕРН К3'!V50*СПРАВОЧНИК!$J$15)+СПРАВОЧНИК!$F$15*('ПЛАН ЧИСТ К3'!AF50*СПРАВОЧНИК!$L$15+'ПЛАН ЧИСТ К3'!AG50*СПРАВОЧНИК!$M$15+'ПЛАН ЧИСТ К3'!AH50*СПРАВОЧНИК!$N$15+'ПЛАН ЧИСТ К3'!AI50*СПРАВОЧНИК!$O$15+'ПЛАН ЧИСТ К3'!AJ50*СПРАВОЧНИК!$P$15)</f>
        <v/>
      </c>
      <c r="BF59" s="31">
        <f>СПРАВОЧНИК!$E$9*('ФАКТ ЧЕРН К3'!B50*СПРАВОЧНИК!$H$9+'ФАКТ ЧЕРН К3'!C50*СПРАВОЧНИК!$I$9+'ФАКТ ЧЕРН К3'!D50*СПРАВОЧНИК!$J$9)+СПРАВОЧНИК!$F$9*('ФАКТ ЧИСТ К3'!B50*СПРАВОЧНИК!$L$9+'ФАКТ ЧИСТ К3'!C50*СПРАВОЧНИК!$M$9+'ФАКТ ЧИСТ К3'!D50*СПРАВОЧНИК!$N$9+'ФАКТ ЧИСТ К3'!E50*СПРАВОЧНИК!$O$9+'ФАКТ ЧИСТ К3'!F50*СПРАВОЧНИК!$P$9)+СПРАВОЧНИК!$E$10*('ФАКТ ЧЕРН К3'!E50*СПРАВОЧНИК!$H$10+'ФАКТ ЧЕРН К3'!F50*СПРАВОЧНИК!$I$10+'ФАКТ ЧЕРН К3'!G50*СПРАВОЧНИК!$J$10)+СПРАВОЧНИК!$F$10*('ФАКТ ЧИСТ К3'!G50*СПРАВОЧНИК!$L$10+'ФАКТ ЧИСТ К3'!H50*СПРАВОЧНИК!$M$10+'ФАКТ ЧИСТ К3'!I50*СПРАВОЧНИК!$N$10+'ФАКТ ЧИСТ К3'!J50*СПРАВОЧНИК!$O$10+'ФАКТ ЧИСТ К3'!K50*СПРАВОЧНИК!$P$10)+СПРАВОЧНИК!$E$11*('ФАКТ ЧЕРН К3'!H50*СПРАВОЧНИК!$H$11+'ФАКТ ЧЕРН К3'!I50*СПРАВОЧНИК!$I$11+'ФАКТ ЧЕРН К3'!J50*СПРАВОЧНИК!$J$11)+СПРАВОЧНИК!$F$11*('ФАКТ ЧИСТ К3'!L50*СПРАВОЧНИК!$L$11+'ФАКТ ЧИСТ К3'!M50*СПРАВОЧНИК!$M$11+'ФАКТ ЧИСТ К3'!N50*СПРАВОЧНИК!$N$11+'ФАКТ ЧИСТ К3'!O50*СПРАВОЧНИК!$O$11+'ФАКТ ЧИСТ К3'!P50*СПРАВОЧНИК!$P$11)+СПРАВОЧНИК!$E$12*('ФАКТ ЧЕРН К3'!K50*СПРАВОЧНИК!$H$12+'ФАКТ ЧЕРН К3'!L50*СПРАВОЧНИК!$I$12+'ФАКТ ЧЕРН К3'!M50*СПРАВОЧНИК!$J$12)+СПРАВОЧНИК!$F$12*('ФАКТ ЧИСТ К3'!Q50*СПРАВОЧНИК!$L$12+'ФАКТ ЧИСТ К3'!R50*СПРАВОЧНИК!$M$12+'ФАКТ ЧИСТ К3'!S50*СПРАВОЧНИК!$N$12+'ФАКТ ЧИСТ К3'!T50*СПРАВОЧНИК!$O$12+'ФАКТ ЧИСТ К3'!U50*СПРАВОЧНИК!$P$12)+СПРАВОЧНИК!$E$13*('ФАКТ ЧЕРН К3'!N50*СПРАВОЧНИК!$H$13+'ФАКТ ЧЕРН К3'!O50*СПРАВОЧНИК!$I$13+'ФАКТ ЧЕРН К3'!P50*СПРАВОЧНИК!$J$13)+СПРАВОЧНИК!$F$13*('ФАКТ ЧИСТ К3'!V50*СПРАВОЧНИК!$L$13+'ФАКТ ЧИСТ К3'!W50*СПРАВОЧНИК!$M$13+'ФАКТ ЧИСТ К3'!X50*СПРАВОЧНИК!$N$13+'ФАКТ ЧИСТ К3'!Y50*СПРАВОЧНИК!$O$13+'ФАКТ ЧИСТ К3'!Z50*СПРАВОЧНИК!$P$13)+СПРАВОЧНИК!$E$14*('ФАКТ ЧЕРН К3'!Q50*СПРАВОЧНИК!$H$14+'ФАКТ ЧЕРН К3'!R50*СПРАВОЧНИК!$I$14+'ФАКТ ЧЕРН К3'!S50*СПРАВОЧНИК!$J$14)+СПРАВОЧНИК!$F$14*('ФАКТ ЧИСТ К3'!AA50*СПРАВОЧНИК!$L$14+'ФАКТ ЧИСТ К3'!AB50*СПРАВОЧНИК!$M$14+'ФАКТ ЧИСТ К3'!AC50*СПРАВОЧНИК!$N$14+'ФАКТ ЧИСТ К3'!AD50*СПРАВОЧНИК!$O$14+'ФАКТ ЧИСТ К3'!AE50*СПРАВОЧНИК!$P$14)+СПРАВОЧНИК!$E$15*('ФАКТ ЧЕРН К3'!T50*СПРАВОЧНИК!$H$15+'ФАКТ ЧЕРН К3'!U50*СПРАВОЧНИК!$I$15+'ФАКТ ЧЕРН К3'!V50*СПРАВОЧНИК!$J$15)+СПРАВОЧНИК!$F$15*('ФАКТ ЧИСТ К3'!AF50*СПРАВОЧНИК!$L$15+'ФАКТ ЧИСТ К3'!AG50*СПРАВОЧНИК!$M$15+'ФАКТ ЧИСТ К3'!AH50*СПРАВОЧНИК!$N$15+'ФАКТ ЧИСТ К3'!AI50*СПРАВОЧНИК!$O$15+'ФАКТ ЧИСТ К3'!AJ50*СПРАВОЧНИК!$P$15)</f>
        <v/>
      </c>
      <c r="BG59" s="34" t="n"/>
      <c r="BJ59" s="152">
        <f>BJ58+7</f>
        <v/>
      </c>
      <c r="BK59" s="17">
        <f>'ПЛАН ЧЕРН К3'!B50*СПРАВОЧНИК!$H$9+'ПЛАН ЧЕРН К3'!C50*СПРАВОЧНИК!$I$9+'ПЛАН ЧЕРН К3'!D50*СПРАВОЧНИК!$J$9+'ПЛАН ЧЕРН К3'!E50*СПРАВОЧНИК!$H$10+'ПЛАН ЧЕРН К3'!F50*СПРАВОЧНИК!$I$10+'ПЛАН ЧЕРН К3'!G50*СПРАВОЧНИК!$J$10+'ПЛАН ЧЕРН К3'!H50*СПРАВОЧНИК!$H$11+'ПЛАН ЧЕРН К3'!I50*СПРАВОЧНИК!$I$11+'ПЛАН ЧЕРН К3'!J50*СПРАВОЧНИК!$J$11+'ПЛАН ЧЕРН К3'!K50*СПРАВОЧНИК!$H$12+'ПЛАН ЧЕРН К3'!L50*СПРАВОЧНИК!$I$12+'ПЛАН ЧЕРН К3'!M50*СПРАВОЧНИК!$J$12+'ПЛАН ЧЕРН К3'!N50*СПРАВОЧНИК!$H$13+'ПЛАН ЧЕРН К3'!O50*СПРАВОЧНИК!$I$13+'ПЛАН ЧЕРН К3'!P50*СПРАВОЧНИК!$J$13+'ПЛАН ЧЕРН К3'!Q50*СПРАВОЧНИК!$H$14+'ПЛАН ЧЕРН К3'!R50*СПРАВОЧНИК!$I$14+'ПЛАН ЧЕРН К3'!S50*СПРАВОЧНИК!$J$14+'ПЛАН ЧЕРН К3'!T50*СПРАВОЧНИК!$H$15+'ПЛАН ЧЕРН К3'!U50*СПРАВОЧНИК!$I$15+'ПЛАН ЧЕРН К3'!V50*СПРАВОЧНИК!$J$15</f>
        <v/>
      </c>
      <c r="BL59" s="31">
        <f>('ФАКТ ЧЕРН К3'!B50)*СПРАВОЧНИК!$H$9+('ФАКТ ЧЕРН К3'!C50)*СПРАВОЧНИК!$I$9+('ФАКТ ЧЕРН К3'!D50)*СПРАВОЧНИК!$J$9+('ФАКТ ЧЕРН К3'!E50)*СПРАВОЧНИК!$H$10+('ФАКТ ЧЕРН К3'!F50)*СПРАВОЧНИК!$I$10+('ФАКТ ЧЕРН К3'!G50)*СПРАВОЧНИК!$J$10+('ФАКТ ЧЕРН К3'!H50)*СПРАВОЧНИК!$H$11+('ФАКТ ЧЕРН К3'!I50)*СПРАВОЧНИК!$I$11+('ФАКТ ЧЕРН К3'!J50)*СПРАВОЧНИК!$J$11+('ФАКТ ЧЕРН К3'!K50)*СПРАВОЧНИК!$H$12+('ФАКТ ЧЕРН К3'!L50)*СПРАВОЧНИК!$I$12+('ФАКТ ЧЕРН К3'!M50)*СПРАВОЧНИК!$J$12+('ФАКТ ЧЕРН К3'!N50)*СПРАВОЧНИК!$H$13+('ФАКТ ЧЕРН К3'!O50)*СПРАВОЧНИК!$I$13+('ФАКТ ЧЕРН К3'!P50)*СПРАВОЧНИК!$J$13+('ФАКТ ЧЕРН К3'!Q50)*СПРАВОЧНИК!$H$14+('ФАКТ ЧЕРН К3'!R50)*СПРАВОЧНИК!$I$14+('ФАКТ ЧЕРН К3'!S50)*СПРАВОЧНИК!$J$14+('ФАКТ ЧЕРН К3'!T50)*СПРАВОЧНИК!$H$15+('ФАКТ ЧЕРН К3'!U50)*СПРАВОЧНИК!$I$15+('ФАКТ ЧЕРН К3'!V50)*СПРАВОЧНИК!$J$15</f>
        <v/>
      </c>
      <c r="BM59" s="34" t="n"/>
      <c r="BP59" s="152">
        <f>BP58+7</f>
        <v/>
      </c>
      <c r="BQ59" s="17">
        <f>'ПЛАН ЧИСТ К3'!B50*СПРАВОЧНИК!$L$9+'ПЛАН ЧИСТ К3'!C50*СПРАВОЧНИК!$M$9+'ПЛАН ЧИСТ К3'!D50*СПРАВОЧНИК!$N$9+'ПЛАН ЧИСТ К3'!E50*СПРАВОЧНИК!$O$9+'ПЛАН ЧИСТ К3'!F50*СПРАВОЧНИК!$P$9+'ПЛАН ЧИСТ К3'!G50*СПРАВОЧНИК!$L$10+'ПЛАН ЧИСТ К3'!H50*СПРАВОЧНИК!$M$10+'ПЛАН ЧИСТ К3'!I50*СПРАВОЧНИК!$N$10+'ПЛАН ЧИСТ К3'!J50*СПРАВОЧНИК!$O$10+'ПЛАН ЧИСТ К3'!K50*СПРАВОЧНИК!$P$10+'ПЛАН ЧИСТ К3'!L50*СПРАВОЧНИК!$L$11+'ПЛАН ЧИСТ К3'!M50*СПРАВОЧНИК!$M$11+'ПЛАН ЧИСТ К3'!N50*СПРАВОЧНИК!$N$11+'ПЛАН ЧИСТ К3'!O50*СПРАВОЧНИК!$O$11+'ПЛАН ЧИСТ К3'!P50*СПРАВОЧНИК!$P$11+'ПЛАН ЧИСТ К3'!Q50*СПРАВОЧНИК!$L$12+'ПЛАН ЧИСТ К3'!R50*СПРАВОЧНИК!$M$12+'ПЛАН ЧИСТ К3'!S50*СПРАВОЧНИК!$N$12+'ПЛАН ЧИСТ К3'!T50*СПРАВОЧНИК!$O$12+'ПЛАН ЧИСТ К3'!U50*СПРАВОЧНИК!$P$12+'ПЛАН ЧИСТ К3'!V50*СПРАВОЧНИК!$L$13+'ПЛАН ЧИСТ К3'!W50*СПРАВОЧНИК!$M$13+'ПЛАН ЧИСТ К3'!X50*СПРАВОЧНИК!$N$13+'ПЛАН ЧИСТ К3'!Y50*СПРАВОЧНИК!$O$13+'ПЛАН ЧИСТ К3'!Z50*СПРАВОЧНИК!$P$13+'ПЛАН ЧИСТ К3'!AA50*СПРАВОЧНИК!$L$14+'ПЛАН ЧИСТ К3'!AB50*СПРАВОЧНИК!$M$14+'ПЛАН ЧИСТ К3'!AC50*СПРАВОЧНИК!$N$14+'ПЛАН ЧИСТ К3'!AD50*СПРАВОЧНИК!$O$14+'ПЛАН ЧИСТ К3'!AE50*СПРАВОЧНИК!$P$14+'ПЛАН ЧИСТ К3'!AF50*СПРАВОЧНИК!$L$15+'ПЛАН ЧИСТ К3'!AG50*СПРАВОЧНИК!$M$15+'ПЛАН ЧИСТ К3'!AH50*СПРАВОЧНИК!$N$15+'ПЛАН ЧИСТ К3'!AI50*СПРАВОЧНИК!$O$15+'ПЛАН ЧИСТ К3'!AJ50*СПРАВОЧНИК!$P$15</f>
        <v/>
      </c>
      <c r="BR59" s="31">
        <f>('ФАКТ ЧИСТ К3'!B50)*СПРАВОЧНИК!$L$9+('ФАКТ ЧИСТ К3'!C50)*СПРАВОЧНИК!$M$9+('ФАКТ ЧИСТ К3'!D50)*СПРАВОЧНИК!$N$9+('ФАКТ ЧИСТ К3'!E50)*СПРАВОЧНИК!$O$9+('ФАКТ ЧИСТ К3'!F50)*СПРАВОЧНИК!$P$9+('ФАКТ ЧИСТ К3'!G50)*СПРАВОЧНИК!$L$10+('ФАКТ ЧИСТ К3'!H50)*СПРАВОЧНИК!$M$10+('ФАКТ ЧИСТ К3'!I50)*СПРАВОЧНИК!$N$10+('ФАКТ ЧИСТ К3'!J50)*СПРАВОЧНИК!$O$10+('ФАКТ ЧИСТ К3'!K50)*СПРАВОЧНИК!$P$10+('ФАКТ ЧИСТ К3'!L50)*СПРАВОЧНИК!$L$11+('ФАКТ ЧИСТ К3'!M50)*СПРАВОЧНИК!$M$11+('ФАКТ ЧИСТ К3'!N50)*СПРАВОЧНИК!$N$11+('ФАКТ ЧИСТ К3'!O50)*СПРАВОЧНИК!$O$11+('ФАКТ ЧИСТ К3'!P50)*СПРАВОЧНИК!$P$11+('ФАКТ ЧИСТ К3'!Q50)*СПРАВОЧНИК!$L$12+('ФАКТ ЧИСТ К3'!R50)*СПРАВОЧНИК!$M$12+('ФАКТ ЧИСТ К3'!S50)*СПРАВОЧНИК!$N$12+('ФАКТ ЧИСТ К3'!T50)*СПРАВОЧНИК!$O$12+('ФАКТ ЧИСТ К3'!U50)*СПРАВОЧНИК!$P$12+('ФАКТ ЧИСТ К3'!V50)*СПРАВОЧНИК!$L$13+('ФАКТ ЧИСТ К3'!W50)*СПРАВОЧНИК!$M$13+('ФАКТ ЧИСТ К3'!X50)*СПРАВОЧНИК!$N$13+('ФАКТ ЧИСТ К3'!Y50)*СПРАВОЧНИК!$O$13+('ФАКТ ЧИСТ К3'!Z50)*СПРАВОЧНИК!$P$13+('ФАКТ ЧИСТ К3'!AA50)*СПРАВОЧНИК!$L$14+('ФАКТ ЧИСТ К3'!AB50)*СПРАВОЧНИК!$M$14+('ФАКТ ЧИСТ К3'!AC50)*СПРАВОЧНИК!$N$14+('ФАКТ ЧИСТ К3'!AD50)*СПРАВОЧНИК!$O$14+('ФАКТ ЧИСТ К3'!AE50)*СПРАВОЧНИК!$P$14+('ФАКТ ЧИСТ К3'!AF50)*СПРАВОЧНИК!$L$15+('ФАКТ ЧИСТ К3'!AG50)*СПРАВОЧНИК!$M$15+('ФАКТ ЧИСТ К3'!AH50)*СПРАВОЧНИК!$N$15+('ФАКТ ЧИСТ К3'!AI50)*СПРАВОЧНИК!$O$15+('ФАКТ ЧИСТ К3'!AJ50)*СПРАВОЧНИК!$P$15</f>
        <v/>
      </c>
      <c r="BS59" s="34" t="n"/>
      <c r="BV59" s="152">
        <f>BV58+7</f>
        <v/>
      </c>
      <c r="BW59" s="17">
        <f>U59*СПРАВОЧНИК!$K$28+AM59*СПРАВОЧНИК!$K$29+BE59*СПРАВОЧНИК!$K$30</f>
        <v/>
      </c>
      <c r="BX59" s="31">
        <f>V59*СПРАВОЧНИК!$K$28+AN59*СПРАВОЧНИК!$K$29+BF59*СПРАВОЧНИК!$K$30</f>
        <v/>
      </c>
      <c r="BY59" s="34" t="n"/>
      <c r="CB59" s="152">
        <f>CB58+7</f>
        <v/>
      </c>
      <c r="CC59" s="17">
        <f>AA59*СПРАВОЧНИК!$K$28+AS59*СПРАВОЧНИК!$K$29+BK59*СПРАВОЧНИК!$K$30</f>
        <v/>
      </c>
      <c r="CD59" s="31">
        <f>AB59*СПРАВОЧНИК!$K$28+AT59*СПРАВОЧНИК!$K$29+BL59*СПРАВОЧНИК!$K$30</f>
        <v/>
      </c>
      <c r="CE59" s="34" t="n"/>
      <c r="CH59" s="152">
        <f>CH58+7</f>
        <v/>
      </c>
      <c r="CI59" s="17">
        <f>AG59*СПРАВОЧНИК!$K$28+AY59*СПРАВОЧНИК!$K$29+BQ59*СПРАВОЧНИК!$K$30</f>
        <v/>
      </c>
      <c r="CJ59" s="31">
        <f>AH59*СПРАВОЧНИК!$K$28+AZ59*СПРАВОЧНИК!$K$29+BR59*СПРАВОЧНИК!$K$30</f>
        <v/>
      </c>
      <c r="CK59" s="34" t="n"/>
      <c r="CN59" s="152">
        <f>CN58+7</f>
        <v/>
      </c>
      <c r="CO59" s="17">
        <f>C59*СПРАВОЧНИК!$W$18+BW59*СПРАВОЧНИК!$W$19</f>
        <v/>
      </c>
      <c r="CP59" s="31">
        <f>D59*СПРАВОЧНИК!$W$18+BX59*СПРАВОЧНИК!$W$19</f>
        <v/>
      </c>
      <c r="CQ59" s="34" t="n"/>
      <c r="CT59" s="152">
        <f>CT58+7</f>
        <v/>
      </c>
      <c r="CU59" s="17">
        <f>I59*СПРАВОЧНИК!$W$18+CC59*СПРАВОЧНИК!$W$19</f>
        <v/>
      </c>
      <c r="CV59" s="31">
        <f>J59*СПРАВОЧНИК!$W$18+CD59*СПРАВОЧНИК!$W$19</f>
        <v/>
      </c>
      <c r="CW59" s="34" t="n"/>
      <c r="CZ59" s="152">
        <f>CZ58+7</f>
        <v/>
      </c>
      <c r="DA59" s="17">
        <f>O59*СПРАВОЧНИК!$W$18+CI59*СПРАВОЧНИК!$W$19</f>
        <v/>
      </c>
      <c r="DB59" s="31">
        <f>P59*СПРАВОЧНИК!$W$18+CJ59*СПРАВОЧНИК!$W$19</f>
        <v/>
      </c>
      <c r="DC59" s="34" t="n"/>
    </row>
    <row r="60">
      <c r="B60" s="152">
        <f>B59+7</f>
        <v/>
      </c>
      <c r="C60" s="17">
        <f>СПРАВОЧНИК!$E$3*('ПЛАН ЧЕРН ПОДЗЕМ'!B51*СПРАВОЧНИК!$H$3+'ПЛАН ЧЕРН ПОДЗЕМ'!C51*СПРАВОЧНИК!$I$3+'ПЛАН ЧЕРН ПОДЗЕМ'!D51*СПРАВОЧНИК!$J$3)+СПРАВОЧНИК!$F$3*('ПЛАН ЧИСТ ПОДЗЕМ'!B51*СПРАВОЧНИК!$L$3+'ПЛАН ЧИСТ ПОДЗЕМ'!C51*СПРАВОЧНИК!$M$3+'ПЛАН ЧИСТ ПОДЗЕМ'!D51*СПРАВОЧНИК!$N$3+'ПЛАН ЧИСТ ПОДЗЕМ'!E51*СПРАВОЧНИК!$O$3+'ПЛАН ЧИСТ ПОДЗЕМ'!F51*СПРАВОЧНИК!$P$3)+СПРАВОЧНИК!$E$4*('ПЛАН ЧЕРН ПОДЗЕМ'!E51*СПРАВОЧНИК!$H$4+'ПЛАН ЧЕРН ПОДЗЕМ'!F51*СПРАВОЧНИК!$I$4+'ПЛАН ЧЕРН ПОДЗЕМ'!G51*СПРАВОЧНИК!$J$4)+СПРАВОЧНИК!$F$4*('ПЛАН ЧИСТ ПОДЗЕМ'!G51*СПРАВОЧНИК!$L$4+'ПЛАН ЧИСТ ПОДЗЕМ'!H51*СПРАВОЧНИК!$M$4+'ПЛАН ЧИСТ ПОДЗЕМ'!I51*СПРАВОЧНИК!$N$4+'ПЛАН ЧИСТ ПОДЗЕМ'!J51*СПРАВОЧНИК!$O$4+'ПЛАН ЧИСТ ПОДЗЕМ'!K51*СПРАВОЧНИК!$P$4)+СПРАВОЧНИК!$E$5*('ПЛАН ЧЕРН ПОДЗЕМ'!H51*СПРАВОЧНИК!$H$5+'ПЛАН ЧЕРН ПОДЗЕМ'!I51*СПРАВОЧНИК!$I$5+'ПЛАН ЧЕРН ПОДЗЕМ'!J51*СПРАВОЧНИК!$J$5)+СПРАВОЧНИК!$F$5*('ПЛАН ЧИСТ ПОДЗЕМ'!L51*СПРАВОЧНИК!$L$5+'ПЛАН ЧИСТ ПОДЗЕМ'!M51*СПРАВОЧНИК!$M$5+'ПЛАН ЧИСТ ПОДЗЕМ'!N51*СПРАВОЧНИК!$N$5+'ПЛАН ЧИСТ ПОДЗЕМ'!O51*СПРАВОЧНИК!$O$5+'ПЛАН ЧИСТ ПОДЗЕМ'!P51*СПРАВОЧНИК!$P$5)+СПРАВОЧНИК!$E$6*('ПЛАН ЧЕРН ПОДЗЕМ'!K51*СПРАВОЧНИК!$H$6+'ПЛАН ЧЕРН ПОДЗЕМ'!L51*СПРАВОЧНИК!$I$6+'ПЛАН ЧЕРН ПОДЗЕМ'!M51*СПРАВОЧНИК!$J$6)+СПРАВОЧНИК!$F$6*('ПЛАН ЧИСТ ПОДЗЕМ'!Q51*СПРАВОЧНИК!$L$6+'ПЛАН ЧИСТ ПОДЗЕМ'!R51*СПРАВОЧНИК!$M$6+'ПЛАН ЧИСТ ПОДЗЕМ'!S51*СПРАВОЧНИК!$N$6+'ПЛАН ЧИСТ ПОДЗЕМ'!T51*СПРАВОЧНИК!$O$6+'ПЛАН ЧИСТ ПОДЗЕМ'!U51*СПРАВОЧНИК!$P$6)+СПРАВОЧНИК!$E$7*('ПЛАН ЧЕРН ПОДЗЕМ'!N51*СПРАВОЧНИК!$H$7+'ПЛАН ЧЕРН ПОДЗЕМ'!O51*СПРАВОЧНИК!$I$7+'ПЛАН ЧЕРН ПОДЗЕМ'!P51*СПРАВОЧНИК!$J$7)+СПРАВОЧНИК!$F$7*('ПЛАН ЧИСТ ПОДЗЕМ'!V51*СПРАВОЧНИК!$L$7+'ПЛАН ЧИСТ ПОДЗЕМ'!W51*СПРАВОЧНИК!$M$7+'ПЛАН ЧИСТ ПОДЗЕМ'!X51*СПРАВОЧНИК!$N$7+'ПЛАН ЧИСТ ПОДЗЕМ'!Y51*СПРАВОЧНИК!$O$7+'ПЛАН ЧИСТ ПОДЗЕМ'!Z51*СПРАВОЧНИК!$P$7)+СПРАВОЧНИК!$E$8*('ПЛАН ЧЕРН ПОДЗЕМ'!Q51*СПРАВОЧНИК!$H$8+'ПЛАН ЧЕРН ПОДЗЕМ'!R51*СПРАВОЧНИК!$I$8+'ПЛАН ЧЕРН ПОДЗЕМ'!S51*СПРАВОЧНИК!$J$8)+СПРАВОЧНИК!$F$8*('ПЛАН ЧИСТ ПОДЗЕМ'!AA51*СПРАВОЧНИК!$L$8+'ПЛАН ЧИСТ ПОДЗЕМ'!AB51*СПРАВОЧНИК!$M$8+'ПЛАН ЧИСТ ПОДЗЕМ'!AC51*СПРАВОЧНИК!$N$8+'ПЛАН ЧИСТ ПОДЗЕМ'!AD51*СПРАВОЧНИК!$O$8+'ПЛАН ЧИСТ ПОДЗЕМ'!AE51*СПРАВОЧНИК!$P$8)</f>
        <v/>
      </c>
      <c r="D60" s="31">
        <f>СПРАВОЧНИК!$E$3*('ФАКТ ЧЕРН ПОДЗЕМ'!B51*СПРАВОЧНИК!$H$3+'ФАКТ ЧЕРН ПОДЗЕМ'!C51*СПРАВОЧНИК!$I$3+'ФАКТ ЧЕРН ПОДЗЕМ'!D51*СПРАВОЧНИК!$J$3)+СПРАВОЧНИК!$F$3*('ФАКТ ЧИСТ ПОДЗЕМ'!B51*СПРАВОЧНИК!$L$3+'ФАКТ ЧИСТ ПОДЗЕМ'!C51*СПРАВОЧНИК!$M$3+'ФАКТ ЧИСТ ПОДЗЕМ'!D51*СПРАВОЧНИК!$N$3+'ФАКТ ЧИСТ ПОДЗЕМ'!E51*СПРАВОЧНИК!$O$3+'ФАКТ ЧИСТ ПОДЗЕМ'!F51*СПРАВОЧНИК!$P$3)+СПРАВОЧНИК!$E$4*('ФАКТ ЧЕРН ПОДЗЕМ'!E51*СПРАВОЧНИК!$H$4+'ФАКТ ЧЕРН ПОДЗЕМ'!F51*СПРАВОЧНИК!$I$4+'ФАКТ ЧЕРН ПОДЗЕМ'!G51*СПРАВОЧНИК!$J$4)+СПРАВОЧНИК!$F$4*('ФАКТ ЧИСТ ПОДЗЕМ'!G51*СПРАВОЧНИК!$L$4+'ФАКТ ЧИСТ ПОДЗЕМ'!H51*СПРАВОЧНИК!$M$4+'ФАКТ ЧИСТ ПОДЗЕМ'!I51*СПРАВОЧНИК!$N$4+'ФАКТ ЧИСТ ПОДЗЕМ'!J51*СПРАВОЧНИК!$O$4+'ФАКТ ЧИСТ ПОДЗЕМ'!K51*СПРАВОЧНИК!$P$4)+СПРАВОЧНИК!$E$5*('ФАКТ ЧЕРН ПОДЗЕМ'!H51*СПРАВОЧНИК!$H$5+'ФАКТ ЧЕРН ПОДЗЕМ'!I51*СПРАВОЧНИК!$I$5+'ФАКТ ЧЕРН ПОДЗЕМ'!J51*СПРАВОЧНИК!$J$5)+СПРАВОЧНИК!$F$5*('ФАКТ ЧИСТ ПОДЗЕМ'!L51*СПРАВОЧНИК!$L$5+'ФАКТ ЧИСТ ПОДЗЕМ'!M51*СПРАВОЧНИК!$M$5+'ФАКТ ЧИСТ ПОДЗЕМ'!N51*СПРАВОЧНИК!$N$5+'ФАКТ ЧИСТ ПОДЗЕМ'!O51*СПРАВОЧНИК!$O$5+'ФАКТ ЧИСТ ПОДЗЕМ'!P51*СПРАВОЧНИК!$P$5)+СПРАВОЧНИК!$E$6*('ФАКТ ЧЕРН ПОДЗЕМ'!K51*СПРАВОЧНИК!$H$6+'ФАКТ ЧЕРН ПОДЗЕМ'!L51*СПРАВОЧНИК!$I$6+'ФАКТ ЧЕРН ПОДЗЕМ'!M51*СПРАВОЧНИК!$J$6)+СПРАВОЧНИК!$F$6*('ФАКТ ЧИСТ ПОДЗЕМ'!Q51*СПРАВОЧНИК!$L$6+'ФАКТ ЧИСТ ПОДЗЕМ'!R51*СПРАВОЧНИК!$M$6+'ФАКТ ЧИСТ ПОДЗЕМ'!S51*СПРАВОЧНИК!$N$6+'ФАКТ ЧИСТ ПОДЗЕМ'!T51*СПРАВОЧНИК!$O$6+'ФАКТ ЧИСТ ПОДЗЕМ'!U51*СПРАВОЧНИК!$P$6)+СПРАВОЧНИК!$E$7*('ФАКТ ЧЕРН ПОДЗЕМ'!N51*СПРАВОЧНИК!$H$7+'ФАКТ ЧЕРН ПОДЗЕМ'!O51*СПРАВОЧНИК!$I$7+'ФАКТ ЧЕРН ПОДЗЕМ'!P51*СПРАВОЧНИК!$J$7)+СПРАВОЧНИК!$F$7*('ФАКТ ЧИСТ ПОДЗЕМ'!V51*СПРАВОЧНИК!$L$7+'ФАКТ ЧИСТ ПОДЗЕМ'!W51*СПРАВОЧНИК!$M$7+'ФАКТ ЧИСТ ПОДЗЕМ'!X51*СПРАВОЧНИК!$N$7+'ФАКТ ЧИСТ ПОДЗЕМ'!Y51*СПРАВОЧНИК!$O$7+'ФАКТ ЧИСТ ПОДЗЕМ'!Z51*СПРАВОЧНИК!$P$7)+СПРАВОЧНИК!$E$8*('ФАКТ ЧЕРН ПОДЗЕМ'!Q51*СПРАВОЧНИК!$H$8+'ФАКТ ЧЕРН ПОДЗЕМ'!R51*СПРАВОЧНИК!$I$8+'ФАКТ ЧЕРН ПОДЗЕМ'!S51*СПРАВОЧНИК!$J$8)+СПРАВОЧНИК!$F$8*('ФАКТ ЧИСТ ПОДЗЕМ'!AA51*СПРАВОЧНИК!$L$8+'ФАКТ ЧИСТ ПОДЗЕМ'!AB51*СПРАВОЧНИК!$M$8+'ФАКТ ЧИСТ ПОДЗЕМ'!AC51*СПРАВОЧНИК!$N$8+'ФАКТ ЧИСТ ПОДЗЕМ'!AD51*СПРАВОЧНИК!$O$8+'ФАКТ ЧИСТ ПОДЗЕМ'!AE51*СПРАВОЧНИК!$P$8)</f>
        <v/>
      </c>
      <c r="E60" s="34" t="n"/>
      <c r="H60" s="152">
        <f>H59+7</f>
        <v/>
      </c>
      <c r="I60" s="17">
        <f>'ПЛАН ЧЕРН ПОДЗЕМ'!B51*СПРАВОЧНИК!$H$3+'ПЛАН ЧЕРН ПОДЗЕМ'!C51*СПРАВОЧНИК!$I$3+'ПЛАН ЧЕРН ПОДЗЕМ'!D51*СПРАВОЧНИК!$J$3+'ПЛАН ЧЕРН ПОДЗЕМ'!E51*СПРАВОЧНИК!$H$4+'ПЛАН ЧЕРН ПОДЗЕМ'!F51*СПРАВОЧНИК!$I$4+'ПЛАН ЧЕРН ПОДЗЕМ'!G51*СПРАВОЧНИК!$J$4+'ПЛАН ЧЕРН ПОДЗЕМ'!H51*СПРАВОЧНИК!$H$5+'ПЛАН ЧЕРН ПОДЗЕМ'!I51*СПРАВОЧНИК!$I$5+'ПЛАН ЧЕРН ПОДЗЕМ'!J51*СПРАВОЧНИК!$J$5+'ПЛАН ЧЕРН ПОДЗЕМ'!K51*СПРАВОЧНИК!$H$6+'ПЛАН ЧЕРН ПОДЗЕМ'!L51*СПРАВОЧНИК!$I$6+'ПЛАН ЧЕРН ПОДЗЕМ'!M51*СПРАВОЧНИК!$J$6+'ПЛАН ЧЕРН ПОДЗЕМ'!N51*СПРАВОЧНИК!$H$7+'ПЛАН ЧЕРН ПОДЗЕМ'!O51*СПРАВОЧНИК!$I$7+'ПЛАН ЧЕРН ПОДЗЕМ'!P51*СПРАВОЧНИК!$J$7+'ПЛАН ЧЕРН ПОДЗЕМ'!Q51*СПРАВОЧНИК!$H$8+'ПЛАН ЧЕРН ПОДЗЕМ'!R51*СПРАВОЧНИК!$I$8+'ПЛАН ЧЕРН ПОДЗЕМ'!S51*СПРАВОЧНИК!$J$8</f>
        <v/>
      </c>
      <c r="J60" s="31">
        <f>('ФАКТ ЧЕРН ПОДЗЕМ'!B51)*СПРАВОЧНИК!$H$3+('ФАКТ ЧЕРН ПОДЗЕМ'!C51)*СПРАВОЧНИК!$I$3+('ФАКТ ЧЕРН ПОДЗЕМ'!D51)*СПРАВОЧНИК!$J$3+('ФАКТ ЧЕРН ПОДЗЕМ'!E51)*СПРАВОЧНИК!$H$4+('ФАКТ ЧЕРН ПОДЗЕМ'!F51)*СПРАВОЧНИК!$I$4+('ФАКТ ЧЕРН ПОДЗЕМ'!G51)*СПРАВОЧНИК!$J$4+('ФАКТ ЧЕРН ПОДЗЕМ'!H51)*СПРАВОЧНИК!$H$5+('ФАКТ ЧЕРН ПОДЗЕМ'!I51)*СПРАВОЧНИК!$I$5+('ФАКТ ЧЕРН ПОДЗЕМ'!J51)*СПРАВОЧНИК!$J$5+('ФАКТ ЧЕРН ПОДЗЕМ'!K51)*СПРАВОЧНИК!$H$6+('ФАКТ ЧЕРН ПОДЗЕМ'!L51)*СПРАВОЧНИК!$I$6+('ФАКТ ЧЕРН ПОДЗЕМ'!M51)*СПРАВОЧНИК!$J$6+('ФАКТ ЧЕРН ПОДЗЕМ'!N51)*СПРАВОЧНИК!$H$7+('ФАКТ ЧЕРН ПОДЗЕМ'!O51)*СПРАВОЧНИК!$I$7+('ФАКТ ЧЕРН ПОДЗЕМ'!P51)*СПРАВОЧНИК!$J$7+('ФАКТ ЧЕРН ПОДЗЕМ'!Q51)*СПРАВОЧНИК!$H$8+('ФАКТ ЧЕРН ПОДЗЕМ'!R51)*СПРАВОЧНИК!$I$8+('ФАКТ ЧЕРН ПОДЗЕМ'!S51)*СПРАВОЧНИК!$J$8</f>
        <v/>
      </c>
      <c r="K60" s="34" t="n"/>
      <c r="N60" s="152">
        <f>N59+7</f>
        <v/>
      </c>
      <c r="O60" s="17">
        <f>'ПЛАН ЧИСТ ПОДЗЕМ'!B51*СПРАВОЧНИК!$L$3+'ПЛАН ЧИСТ ПОДЗЕМ'!C51*СПРАВОЧНИК!$M$3+'ПЛАН ЧИСТ ПОДЗЕМ'!D51*СПРАВОЧНИК!$N$3+'ПЛАН ЧИСТ ПОДЗЕМ'!E51*СПРАВОЧНИК!$O$3+'ПЛАН ЧИСТ ПОДЗЕМ'!F51*СПРАВОЧНИК!$P$3+'ПЛАН ЧИСТ ПОДЗЕМ'!G51*СПРАВОЧНИК!$L$4+'ПЛАН ЧИСТ ПОДЗЕМ'!H51*СПРАВОЧНИК!$M$4+'ПЛАН ЧИСТ ПОДЗЕМ'!I51*СПРАВОЧНИК!$N$4+'ПЛАН ЧИСТ ПОДЗЕМ'!J51*СПРАВОЧНИК!$O$4+'ПЛАН ЧИСТ ПОДЗЕМ'!K51*СПРАВОЧНИК!$P$4+'ПЛАН ЧИСТ ПОДЗЕМ'!L51*СПРАВОЧНИК!$L$5+'ПЛАН ЧИСТ ПОДЗЕМ'!M51*СПРАВОЧНИК!$M$5+'ПЛАН ЧИСТ ПОДЗЕМ'!N51*СПРАВОЧНИК!$N$5+'ПЛАН ЧИСТ ПОДЗЕМ'!O51*СПРАВОЧНИК!$O$5+'ПЛАН ЧИСТ ПОДЗЕМ'!P51*СПРАВОЧНИК!$P$5+'ПЛАН ЧИСТ ПОДЗЕМ'!Q51*СПРАВОЧНИК!$L$6+'ПЛАН ЧИСТ ПОДЗЕМ'!R51*СПРАВОЧНИК!$M$6+'ПЛАН ЧИСТ ПОДЗЕМ'!S51*СПРАВОЧНИК!$N$6+'ПЛАН ЧИСТ ПОДЗЕМ'!T51*СПРАВОЧНИК!$O$6+'ПЛАН ЧИСТ ПОДЗЕМ'!U51*СПРАВОЧНИК!$P$6+'ПЛАН ЧИСТ ПОДЗЕМ'!V51*СПРАВОЧНИК!$L$7+'ПЛАН ЧИСТ ПОДЗЕМ'!W51*СПРАВОЧНИК!$M$7+'ПЛАН ЧИСТ ПОДЗЕМ'!X51*СПРАВОЧНИК!$N$7+'ПЛАН ЧИСТ ПОДЗЕМ'!Y51*СПРАВОЧНИК!$O$7+'ПЛАН ЧИСТ ПОДЗЕМ'!Z51*СПРАВОЧНИК!$P$7+'ПЛАН ЧИСТ ПОДЗЕМ'!AA51*СПРАВОЧНИК!$L$8+'ПЛАН ЧИСТ ПОДЗЕМ'!AB51*СПРАВОЧНИК!$M$8+'ПЛАН ЧИСТ ПОДЗЕМ'!AC51*СПРАВОЧНИК!$N$8+'ПЛАН ЧИСТ ПОДЗЕМ'!AD51*СПРАВОЧНИК!$O$8+'ПЛАН ЧИСТ ПОДЗЕМ'!AE51*СПРАВОЧНИК!$P$8</f>
        <v/>
      </c>
      <c r="P60" s="31">
        <f>('ФАКТ ЧИСТ ПОДЗЕМ'!B51)*СПРАВОЧНИК!$L$3+('ФАКТ ЧИСТ ПОДЗЕМ'!C51)*СПРАВОЧНИК!$M$3+('ФАКТ ЧИСТ ПОДЗЕМ'!D51)*СПРАВОЧНИК!$N$3+('ФАКТ ЧИСТ ПОДЗЕМ'!E51)*СПРАВОЧНИК!$O$3+('ФАКТ ЧИСТ ПОДЗЕМ'!F51)*СПРАВОЧНИК!$P$3+('ФАКТ ЧИСТ ПОДЗЕМ'!G51)*СПРАВОЧНИК!$L$4+('ФАКТ ЧИСТ ПОДЗЕМ'!H51)*СПРАВОЧНИК!$M$4+('ФАКТ ЧИСТ ПОДЗЕМ'!I51)*СПРАВОЧНИК!$N$4+('ФАКТ ЧИСТ ПОДЗЕМ'!J51)*СПРАВОЧНИК!$O$4+('ФАКТ ЧИСТ ПОДЗЕМ'!K51)*СПРАВОЧНИК!$P$4+('ФАКТ ЧИСТ ПОДЗЕМ'!L51)*СПРАВОЧНИК!$L$5+('ФАКТ ЧИСТ ПОДЗЕМ'!M51)*СПРАВОЧНИК!$M$5+('ФАКТ ЧИСТ ПОДЗЕМ'!N51)*СПРАВОЧНИК!$N$5+('ФАКТ ЧИСТ ПОДЗЕМ'!O51)*СПРАВОЧНИК!$O$5+('ФАКТ ЧИСТ ПОДЗЕМ'!P51)*СПРАВОЧНИК!$P$5+('ФАКТ ЧИСТ ПОДЗЕМ'!Q51)*СПРАВОЧНИК!$L$6+('ФАКТ ЧИСТ ПОДЗЕМ'!R51)*СПРАВОЧНИК!$M$6+('ФАКТ ЧИСТ ПОДЗЕМ'!S51)*СПРАВОЧНИК!$N$6+('ФАКТ ЧИСТ ПОДЗЕМ'!T51)*СПРАВОЧНИК!$O$6+('ФАКТ ЧИСТ ПОДЗЕМ'!U51)*СПРАВОЧНИК!$P$6+('ФАКТ ЧИСТ ПОДЗЕМ'!V51)*СПРАВОЧНИК!$L$7+('ФАКТ ЧИСТ ПОДЗЕМ'!W51)*СПРАВОЧНИК!$M$7+('ФАКТ ЧИСТ ПОДЗЕМ'!X51)*СПРАВОЧНИК!$N$7+('ФАКТ ЧИСТ ПОДЗЕМ'!Y51)*СПРАВОЧНИК!$O$7+('ФАКТ ЧИСТ ПОДЗЕМ'!Z51)*СПРАВОЧНИК!$P$7+('ФАКТ ЧИСТ ПОДЗЕМ'!AA51)*СПРАВОЧНИК!$L$8+('ФАКТ ЧИСТ ПОДЗЕМ'!AB51)*СПРАВОЧНИК!$M$8+('ФАКТ ЧИСТ ПОДЗЕМ'!AC51)*СПРАВОЧНИК!$N$8+('ФАКТ ЧИСТ ПОДЗЕМ'!AD51)*СПРАВОЧНИК!$O$8+('ФАКТ ЧИСТ ПОДЗЕМ'!AE51)*СПРАВОЧНИК!$P$8</f>
        <v/>
      </c>
      <c r="Q60" s="34" t="n"/>
      <c r="T60" s="152">
        <f>T59+7</f>
        <v/>
      </c>
      <c r="U60" s="17">
        <f>СПРАВОЧНИК!$E$9*('ПЛАН ЧЕРН К1'!B51*СПРАВОЧНИК!$H$9+'ПЛАН ЧЕРН К1'!C51*СПРАВОЧНИК!$I$9+'ПЛАН ЧЕРН К1'!D51*СПРАВОЧНИК!$J$9)+СПРАВОЧНИК!$F$9*('ПЛАН ЧИСТ К1'!B51*СПРАВОЧНИК!$L$9+'ПЛАН ЧИСТ К1'!C51*СПРАВОЧНИК!$M$9+'ПЛАН ЧИСТ К1'!D51*СПРАВОЧНИК!$N$9+'ПЛАН ЧИСТ К1'!E51*СПРАВОЧНИК!$O$9+'ПЛАН ЧИСТ К1'!F51*СПРАВОЧНИК!$P$9)+СПРАВОЧНИК!$E$10*('ПЛАН ЧЕРН К1'!E51*СПРАВОЧНИК!$H$10+'ПЛАН ЧЕРН К1'!F51*СПРАВОЧНИК!$I$10+'ПЛАН ЧЕРН К1'!G51*СПРАВОЧНИК!$J$10)+СПРАВОЧНИК!$F$10*('ПЛАН ЧИСТ К1'!G51*СПРАВОЧНИК!$L$10+'ПЛАН ЧИСТ К1'!H51*СПРАВОЧНИК!$M$10+'ПЛАН ЧИСТ К1'!I51*СПРАВОЧНИК!$N$10+'ПЛАН ЧИСТ К1'!J51*СПРАВОЧНИК!$O$10+'ПЛАН ЧИСТ К1'!K51*СПРАВОЧНИК!$P$10)+СПРАВОЧНИК!$E$11*('ПЛАН ЧЕРН К1'!H51*СПРАВОЧНИК!$H$11+'ПЛАН ЧЕРН К1'!I51*СПРАВОЧНИК!$I$11+'ПЛАН ЧЕРН К1'!J51*СПРАВОЧНИК!$J$11)+СПРАВОЧНИК!$F$11*('ПЛАН ЧИСТ К1'!L51*СПРАВОЧНИК!$L$11+'ПЛАН ЧИСТ К1'!M51*СПРАВОЧНИК!$M$11+'ПЛАН ЧИСТ К1'!N51*СПРАВОЧНИК!$N$11+'ПЛАН ЧИСТ К1'!O51*СПРАВОЧНИК!$O$11+'ПЛАН ЧИСТ К1'!P51*СПРАВОЧНИК!$P$11)+СПРАВОЧНИК!$E$12*('ПЛАН ЧЕРН К1'!K51*СПРАВОЧНИК!$H$12+'ПЛАН ЧЕРН К1'!L51*СПРАВОЧНИК!$I$12+'ПЛАН ЧЕРН К1'!M51*СПРАВОЧНИК!$J$12)+СПРАВОЧНИК!$F$12*('ПЛАН ЧИСТ К1'!Q51*СПРАВОЧНИК!$L$12+'ПЛАН ЧИСТ К1'!R51*СПРАВОЧНИК!$M$12+'ПЛАН ЧИСТ К1'!S51*СПРАВОЧНИК!$N$12+'ПЛАН ЧИСТ К1'!T51*СПРАВОЧНИК!$O$12+'ПЛАН ЧИСТ К1'!U51*СПРАВОЧНИК!$P$12)+СПРАВОЧНИК!$E$13*('ПЛАН ЧЕРН К1'!N51*СПРАВОЧНИК!$H$13+'ПЛАН ЧЕРН К1'!O51*СПРАВОЧНИК!$I$13+'ПЛАН ЧЕРН К1'!P51*СПРАВОЧНИК!$J$13)+СПРАВОЧНИК!$F$13*('ПЛАН ЧИСТ К1'!V51*СПРАВОЧНИК!$L$13+'ПЛАН ЧИСТ К1'!W51*СПРАВОЧНИК!$M$13+'ПЛАН ЧИСТ К1'!X51*СПРАВОЧНИК!$N$13+'ПЛАН ЧИСТ К1'!Y51*СПРАВОЧНИК!$O$13+'ПЛАН ЧИСТ К1'!Z51*СПРАВОЧНИК!$P$13)+СПРАВОЧНИК!$E$14*('ПЛАН ЧЕРН К1'!Q51*СПРАВОЧНИК!$H$14+'ПЛАН ЧЕРН К1'!R51*СПРАВОЧНИК!$I$14+'ПЛАН ЧЕРН К1'!S51*СПРАВОЧНИК!$J$14)+СПРАВОЧНИК!$F$14*('ПЛАН ЧИСТ К1'!AA51*СПРАВОЧНИК!$L$14+'ПЛАН ЧИСТ К1'!AB51*СПРАВОЧНИК!$M$14+'ПЛАН ЧИСТ К1'!AC51*СПРАВОЧНИК!$N$14+'ПЛАН ЧИСТ К1'!AD51*СПРАВОЧНИК!$O$14+'ПЛАН ЧИСТ К1'!AE51*СПРАВОЧНИК!$P$14)+СПРАВОЧНИК!$E$15*('ПЛАН ЧЕРН К1'!T51*СПРАВОЧНИК!$H$15+'ПЛАН ЧЕРН К1'!U51*СПРАВОЧНИК!$I$15+'ПЛАН ЧЕРН К1'!V51*СПРАВОЧНИК!$J$15)+СПРАВОЧНИК!$F$15*('ПЛАН ЧИСТ К1'!AF51*СПРАВОЧНИК!$L$15+'ПЛАН ЧИСТ К1'!AG51*СПРАВОЧНИК!$M$15+'ПЛАН ЧИСТ К1'!AH51*СПРАВОЧНИК!$N$15+'ПЛАН ЧИСТ К1'!AI51*СПРАВОЧНИК!$O$15+'ПЛАН ЧИСТ К1'!AJ51*СПРАВОЧНИК!$P$15)</f>
        <v/>
      </c>
      <c r="V60" s="31">
        <f>СПРАВОЧНИК!$E$9*('ФАКТ ЧЕРН К1'!B51*СПРАВОЧНИК!$H$9+'ФАКТ ЧЕРН К1'!C51*СПРАВОЧНИК!$I$9+'ФАКТ ЧЕРН К1'!D51*СПРАВОЧНИК!$J$9)+СПРАВОЧНИК!$F$9*('ФАКТ ЧИСТ К1'!B51*СПРАВОЧНИК!$L$9+'ФАКТ ЧИСТ К1'!C51*СПРАВОЧНИК!$M$9+'ФАКТ ЧИСТ К1'!D51*СПРАВОЧНИК!$N$9+'ФАКТ ЧИСТ К1'!E51*СПРАВОЧНИК!$O$9+'ФАКТ ЧИСТ К1'!F51*СПРАВОЧНИК!$P$9)+СПРАВОЧНИК!$E$10*('ФАКТ ЧЕРН К1'!E51*СПРАВОЧНИК!$H$10+'ФАКТ ЧЕРН К1'!F51*СПРАВОЧНИК!$I$10+'ФАКТ ЧЕРН К1'!G51*СПРАВОЧНИК!$J$10)+СПРАВОЧНИК!$F$10*('ФАКТ ЧИСТ К1'!G51*СПРАВОЧНИК!$L$10+'ФАКТ ЧИСТ К1'!H51*СПРАВОЧНИК!$M$10+'ФАКТ ЧИСТ К1'!I51*СПРАВОЧНИК!$N$10+'ФАКТ ЧИСТ К1'!J51*СПРАВОЧНИК!$O$10+'ФАКТ ЧИСТ К1'!K51*СПРАВОЧНИК!$P$10)+СПРАВОЧНИК!$E$11*('ФАКТ ЧЕРН К1'!H51*СПРАВОЧНИК!$H$11+'ФАКТ ЧЕРН К1'!I51*СПРАВОЧНИК!$I$11+'ФАКТ ЧЕРН К1'!J51*СПРАВОЧНИК!$J$11)+СПРАВОЧНИК!$F$11*('ФАКТ ЧИСТ К1'!L51*СПРАВОЧНИК!$L$11+'ФАКТ ЧИСТ К1'!M51*СПРАВОЧНИК!$M$11+'ФАКТ ЧИСТ К1'!N51*СПРАВОЧНИК!$N$11+'ФАКТ ЧИСТ К1'!O51*СПРАВОЧНИК!$O$11+'ФАКТ ЧИСТ К1'!P51*СПРАВОЧНИК!$P$11)+СПРАВОЧНИК!$E$12*('ФАКТ ЧЕРН К1'!K51*СПРАВОЧНИК!$H$12+'ФАКТ ЧЕРН К1'!L51*СПРАВОЧНИК!$I$12+'ФАКТ ЧЕРН К1'!M51*СПРАВОЧНИК!$J$12)+СПРАВОЧНИК!$F$12*('ФАКТ ЧИСТ К1'!Q51*СПРАВОЧНИК!$L$12+'ФАКТ ЧИСТ К1'!R51*СПРАВОЧНИК!$M$12+'ФАКТ ЧИСТ К1'!S51*СПРАВОЧНИК!$N$12+'ФАКТ ЧИСТ К1'!T51*СПРАВОЧНИК!$O$12+'ФАКТ ЧИСТ К1'!U51*СПРАВОЧНИК!$P$12)+СПРАВОЧНИК!$E$13*('ФАКТ ЧЕРН К1'!N51*СПРАВОЧНИК!$H$13+'ФАКТ ЧЕРН К1'!O51*СПРАВОЧНИК!$I$13+'ФАКТ ЧЕРН К1'!P51*СПРАВОЧНИК!$J$13)+СПРАВОЧНИК!$F$13*('ФАКТ ЧИСТ К1'!V51*СПРАВОЧНИК!$L$13+'ФАКТ ЧИСТ К1'!W51*СПРАВОЧНИК!$M$13+'ФАКТ ЧИСТ К1'!X51*СПРАВОЧНИК!$N$13+'ФАКТ ЧИСТ К1'!Y51*СПРАВОЧНИК!$O$13+'ФАКТ ЧИСТ К1'!Z51*СПРАВОЧНИК!$P$13)+СПРАВОЧНИК!$E$14*('ФАКТ ЧЕРН К1'!Q51*СПРАВОЧНИК!$H$14+'ФАКТ ЧЕРН К1'!R51*СПРАВОЧНИК!$I$14+'ФАКТ ЧЕРН К1'!S51*СПРАВОЧНИК!$J$14)+СПРАВОЧНИК!$F$14*('ФАКТ ЧИСТ К1'!AA51*СПРАВОЧНИК!$L$14+'ФАКТ ЧИСТ К1'!AB51*СПРАВОЧНИК!$M$14+'ФАКТ ЧИСТ К1'!AC51*СПРАВОЧНИК!$N$14+'ФАКТ ЧИСТ К1'!AD51*СПРАВОЧНИК!$O$14+'ФАКТ ЧИСТ К1'!AE51*СПРАВОЧНИК!$P$14)+СПРАВОЧНИК!$E$15*('ФАКТ ЧЕРН К1'!T51*СПРАВОЧНИК!$H$15+'ФАКТ ЧЕРН К1'!U51*СПРАВОЧНИК!$I$15+'ФАКТ ЧЕРН К1'!V51*СПРАВОЧНИК!$J$15)+СПРАВОЧНИК!$F$15*('ФАКТ ЧИСТ К1'!AF51*СПРАВОЧНИК!$L$15+'ФАКТ ЧИСТ К1'!AG51*СПРАВОЧНИК!$M$15+'ФАКТ ЧИСТ К1'!AH51*СПРАВОЧНИК!$N$15+'ФАКТ ЧИСТ К1'!AI51*СПРАВОЧНИК!$O$15+'ФАКТ ЧИСТ К1'!AJ51*СПРАВОЧНИК!$P$15)</f>
        <v/>
      </c>
      <c r="W60" s="34" t="n"/>
      <c r="Z60" s="152">
        <f>Z59+7</f>
        <v/>
      </c>
      <c r="AA60" s="17">
        <f>'ПЛАН ЧЕРН К1'!B51*СПРАВОЧНИК!$H$9+'ПЛАН ЧЕРН К1'!C51*СПРАВОЧНИК!$I$9+'ПЛАН ЧЕРН К1'!D51*СПРАВОЧНИК!$J$9+'ПЛАН ЧЕРН К1'!E51*СПРАВОЧНИК!$H$10+'ПЛАН ЧЕРН К1'!F51*СПРАВОЧНИК!$I$10+'ПЛАН ЧЕРН К1'!G51*СПРАВОЧНИК!$J$10+'ПЛАН ЧЕРН К1'!H51*СПРАВОЧНИК!$H$11+'ПЛАН ЧЕРН К1'!I51*СПРАВОЧНИК!$I$11+'ПЛАН ЧЕРН К1'!J51*СПРАВОЧНИК!$J$11+'ПЛАН ЧЕРН К1'!K51*СПРАВОЧНИК!$H$12+'ПЛАН ЧЕРН К1'!L51*СПРАВОЧНИК!$I$12+'ПЛАН ЧЕРН К1'!M51*СПРАВОЧНИК!$J$12+'ПЛАН ЧЕРН К1'!N51*СПРАВОЧНИК!$H$13+'ПЛАН ЧЕРН К1'!O51*СПРАВОЧНИК!$I$13+'ПЛАН ЧЕРН К1'!P51*СПРАВОЧНИК!$J$13+'ПЛАН ЧЕРН К1'!Q51*СПРАВОЧНИК!$H$14+'ПЛАН ЧЕРН К1'!R51*СПРАВОЧНИК!$I$14+'ПЛАН ЧЕРН К1'!S51*СПРАВОЧНИК!$J$14+'ПЛАН ЧЕРН К1'!T51*СПРАВОЧНИК!$H$15+'ПЛАН ЧЕРН К1'!U51*СПРАВОЧНИК!$I$15+'ПЛАН ЧЕРН К1'!V51*СПРАВОЧНИК!$J$15</f>
        <v/>
      </c>
      <c r="AB60" s="31">
        <f>('ФАКТ ЧЕРН К1'!B51)*СПРАВОЧНИК!$H$9+('ФАКТ ЧЕРН К1'!C51)*СПРАВОЧНИК!$I$9+('ФАКТ ЧЕРН К1'!D51)*СПРАВОЧНИК!$J$9+('ФАКТ ЧЕРН К1'!E51)*СПРАВОЧНИК!$H$10+('ФАКТ ЧЕРН К1'!F51)*СПРАВОЧНИК!$I$10+('ФАКТ ЧЕРН К1'!G51)*СПРАВОЧНИК!$J$10+('ФАКТ ЧЕРН К1'!H51)*СПРАВОЧНИК!$H$11+('ФАКТ ЧЕРН К1'!I51)*СПРАВОЧНИК!$I$11+('ФАКТ ЧЕРН К1'!J51)*СПРАВОЧНИК!$J$11+('ФАКТ ЧЕРН К1'!K51)*СПРАВОЧНИК!$H$12+('ФАКТ ЧЕРН К1'!L51)*СПРАВОЧНИК!$I$12+('ФАКТ ЧЕРН К1'!M51)*СПРАВОЧНИК!$J$12+('ФАКТ ЧЕРН К1'!N51)*СПРАВОЧНИК!$H$13+('ФАКТ ЧЕРН К1'!O51)*СПРАВОЧНИК!$I$13+('ФАКТ ЧЕРН К1'!P51)*СПРАВОЧНИК!$J$13+('ФАКТ ЧЕРН К1'!Q51)*СПРАВОЧНИК!$H$14+('ФАКТ ЧЕРН К1'!R51)*СПРАВОЧНИК!$I$14+('ФАКТ ЧЕРН К1'!S51)*СПРАВОЧНИК!$J$14+('ФАКТ ЧЕРН К1'!T51)*СПРАВОЧНИК!$H$15+('ФАКТ ЧЕРН К1'!U51)*СПРАВОЧНИК!$I$15+('ФАКТ ЧЕРН К1'!V51)*СПРАВОЧНИК!$J$15</f>
        <v/>
      </c>
      <c r="AC60" s="34" t="n"/>
      <c r="AF60" s="152">
        <f>AF59+7</f>
        <v/>
      </c>
      <c r="AG60" s="17">
        <f>'ПЛАН ЧИСТ К1'!B51*СПРАВОЧНИК!$L$9+'ПЛАН ЧИСТ К1'!C51*СПРАВОЧНИК!$M$9+'ПЛАН ЧИСТ К1'!D51*СПРАВОЧНИК!$N$9+'ПЛАН ЧИСТ К1'!E51*СПРАВОЧНИК!$O$9+'ПЛАН ЧИСТ К1'!F51*СПРАВОЧНИК!$P$9+'ПЛАН ЧИСТ К1'!G51*СПРАВОЧНИК!$L$10+'ПЛАН ЧИСТ К1'!H51*СПРАВОЧНИК!$M$10+'ПЛАН ЧИСТ К1'!I51*СПРАВОЧНИК!$N$10+'ПЛАН ЧИСТ К1'!J51*СПРАВОЧНИК!$O$10+'ПЛАН ЧИСТ К1'!K51*СПРАВОЧНИК!$P$10+'ПЛАН ЧИСТ К1'!L51*СПРАВОЧНИК!$L$11+'ПЛАН ЧИСТ К1'!M51*СПРАВОЧНИК!$M$11+'ПЛАН ЧИСТ К1'!N51*СПРАВОЧНИК!$N$11+'ПЛАН ЧИСТ К1'!O51*СПРАВОЧНИК!$O$11+'ПЛАН ЧИСТ К1'!P51*СПРАВОЧНИК!$P$11+'ПЛАН ЧИСТ К1'!Q51*СПРАВОЧНИК!$L$12+'ПЛАН ЧИСТ К1'!R51*СПРАВОЧНИК!$M$12+'ПЛАН ЧИСТ К1'!S51*СПРАВОЧНИК!$N$12+'ПЛАН ЧИСТ К1'!T51*СПРАВОЧНИК!$O$12+'ПЛАН ЧИСТ К1'!U51*СПРАВОЧНИК!$P$12+'ПЛАН ЧИСТ К1'!V51*СПРАВОЧНИК!$L$13+'ПЛАН ЧИСТ К1'!W51*СПРАВОЧНИК!$M$13+'ПЛАН ЧИСТ К1'!X51*СПРАВОЧНИК!$N$13+'ПЛАН ЧИСТ К1'!Y51*СПРАВОЧНИК!$O$13+'ПЛАН ЧИСТ К1'!Z51*СПРАВОЧНИК!$P$13+'ПЛАН ЧИСТ К1'!AA51*СПРАВОЧНИК!$L$14+'ПЛАН ЧИСТ К1'!AB51*СПРАВОЧНИК!$M$14+'ПЛАН ЧИСТ К1'!AC51*СПРАВОЧНИК!$N$14+'ПЛАН ЧИСТ К1'!AD51*СПРАВОЧНИК!$O$14+'ПЛАН ЧИСТ К1'!AE51*СПРАВОЧНИК!$P$14+'ПЛАН ЧИСТ К1'!AF51*СПРАВОЧНИК!$L$15+'ПЛАН ЧИСТ К1'!AG51*СПРАВОЧНИК!$M$15+'ПЛАН ЧИСТ К1'!AH51*СПРАВОЧНИК!$N$15+'ПЛАН ЧИСТ К1'!AI51*СПРАВОЧНИК!$O$15+'ПЛАН ЧИСТ К1'!AJ51*СПРАВОЧНИК!$P$15</f>
        <v/>
      </c>
      <c r="AH60" s="31">
        <f>('ФАКТ ЧИСТ К1'!B51)*СПРАВОЧНИК!$L$9+('ФАКТ ЧИСТ К1'!C51)*СПРАВОЧНИК!$M$9+('ФАКТ ЧИСТ К1'!D51)*СПРАВОЧНИК!$N$9+('ФАКТ ЧИСТ К1'!E51)*СПРАВОЧНИК!$O$9+('ФАКТ ЧИСТ К1'!F51)*СПРАВОЧНИК!$P$9+('ФАКТ ЧИСТ К1'!G51)*СПРАВОЧНИК!$L$10+('ФАКТ ЧИСТ К1'!H51)*СПРАВОЧНИК!$M$10+('ФАКТ ЧИСТ К1'!I51)*СПРАВОЧНИК!$N$10+('ФАКТ ЧИСТ К1'!J51)*СПРАВОЧНИК!$O$10+('ФАКТ ЧИСТ К1'!K51)*СПРАВОЧНИК!$P$10+('ФАКТ ЧИСТ К1'!L51)*СПРАВОЧНИК!$L$11+('ФАКТ ЧИСТ К1'!M51)*СПРАВОЧНИК!$M$11+('ФАКТ ЧИСТ К1'!N51)*СПРАВОЧНИК!$N$11+('ФАКТ ЧИСТ К1'!O51)*СПРАВОЧНИК!$O$11+('ФАКТ ЧИСТ К1'!P51)*СПРАВОЧНИК!$P$11+('ФАКТ ЧИСТ К1'!Q51)*СПРАВОЧНИК!$L$12+('ФАКТ ЧИСТ К1'!R51)*СПРАВОЧНИК!$M$12+('ФАКТ ЧИСТ К1'!S51)*СПРАВОЧНИК!$N$12+('ФАКТ ЧИСТ К1'!T51)*СПРАВОЧНИК!$O$12+('ФАКТ ЧИСТ К1'!U51)*СПРАВОЧНИК!$P$12+('ФАКТ ЧИСТ К1'!V51)*СПРАВОЧНИК!$L$13+('ФАКТ ЧИСТ К1'!W51)*СПРАВОЧНИК!$M$13+('ФАКТ ЧИСТ К1'!X51)*СПРАВОЧНИК!$N$13+('ФАКТ ЧИСТ К1'!Y51)*СПРАВОЧНИК!$O$13+('ФАКТ ЧИСТ К1'!Z51)*СПРАВОЧНИК!$P$13+('ФАКТ ЧИСТ К1'!AA51)*СПРАВОЧНИК!$L$14+('ФАКТ ЧИСТ К1'!AB51)*СПРАВОЧНИК!$M$14+('ФАКТ ЧИСТ К1'!AC51)*СПРАВОЧНИК!$N$14+('ФАКТ ЧИСТ К1'!AD51)*СПРАВОЧНИК!$O$14+('ФАКТ ЧИСТ К1'!AE51)*СПРАВОЧНИК!$P$14+('ФАКТ ЧИСТ К1'!AF51)*СПРАВОЧНИК!$L$15+('ФАКТ ЧИСТ К1'!AG51)*СПРАВОЧНИК!$M$15+('ФАКТ ЧИСТ К1'!AH51)*СПРАВОЧНИК!$N$15+('ФАКТ ЧИСТ К1'!AI51)*СПРАВОЧНИК!$O$15+('ФАКТ ЧИСТ К1'!AJ51)*СПРАВОЧНИК!$P$15</f>
        <v/>
      </c>
      <c r="AI60" s="34" t="n"/>
      <c r="AL60" s="152">
        <f>AL59+7</f>
        <v/>
      </c>
      <c r="AM60" s="17">
        <f>СПРАВОЧНИК!$E$9*('ПЛАН ЧЕРН К2'!B51*СПРАВОЧНИК!$H$9+'ПЛАН ЧЕРН К2'!C51*СПРАВОЧНИК!$I$9+'ПЛАН ЧЕРН К2'!D51*СПРАВОЧНИК!$J$9)+СПРАВОЧНИК!$F$9*('ПЛАН ЧИСТ К2'!B51*СПРАВОЧНИК!$L$9+'ПЛАН ЧИСТ К2'!C51*СПРАВОЧНИК!$M$9+'ПЛАН ЧИСТ К2'!D51*СПРАВОЧНИК!$N$9+'ПЛАН ЧИСТ К2'!E51*СПРАВОЧНИК!$O$9+'ПЛАН ЧИСТ К2'!F51*СПРАВОЧНИК!$P$9)+СПРАВОЧНИК!$E$10*('ПЛАН ЧЕРН К2'!E51*СПРАВОЧНИК!$H$10+'ПЛАН ЧЕРН К2'!F51*СПРАВОЧНИК!$I$10+'ПЛАН ЧЕРН К2'!G51*СПРАВОЧНИК!$J$10)+СПРАВОЧНИК!$F$10*('ПЛАН ЧИСТ К2'!G51*СПРАВОЧНИК!$L$10+'ПЛАН ЧИСТ К2'!H51*СПРАВОЧНИК!$M$10+'ПЛАН ЧИСТ К2'!I51*СПРАВОЧНИК!$N$10+'ПЛАН ЧИСТ К2'!J51*СПРАВОЧНИК!$O$10+'ПЛАН ЧИСТ К2'!K51*СПРАВОЧНИК!$P$10)+СПРАВОЧНИК!$E$11*('ПЛАН ЧЕРН К2'!H51*СПРАВОЧНИК!$H$11+'ПЛАН ЧЕРН К2'!I51*СПРАВОЧНИК!$I$11+'ПЛАН ЧЕРН К2'!J51*СПРАВОЧНИК!$J$11)+СПРАВОЧНИК!$F$11*('ПЛАН ЧИСТ К2'!L51*СПРАВОЧНИК!$L$11+'ПЛАН ЧИСТ К2'!M51*СПРАВОЧНИК!$M$11+'ПЛАН ЧИСТ К2'!N51*СПРАВОЧНИК!$N$11+'ПЛАН ЧИСТ К2'!O51*СПРАВОЧНИК!$O$11+'ПЛАН ЧИСТ К2'!P51*СПРАВОЧНИК!$P$11)+СПРАВОЧНИК!$E$12*('ПЛАН ЧЕРН К2'!K51*СПРАВОЧНИК!$H$12+'ПЛАН ЧЕРН К2'!L51*СПРАВОЧНИК!$I$12+'ПЛАН ЧЕРН К2'!M51*СПРАВОЧНИК!$J$12)+СПРАВОЧНИК!$F$12*('ПЛАН ЧИСТ К2'!Q51*СПРАВОЧНИК!$L$12+'ПЛАН ЧИСТ К2'!R51*СПРАВОЧНИК!$M$12+'ПЛАН ЧИСТ К2'!S51*СПРАВОЧНИК!$N$12+'ПЛАН ЧИСТ К2'!T51*СПРАВОЧНИК!$O$12+'ПЛАН ЧИСТ К2'!U51*СПРАВОЧНИК!$P$12)+СПРАВОЧНИК!$E$13*('ПЛАН ЧЕРН К2'!N51*СПРАВОЧНИК!$H$13+'ПЛАН ЧЕРН К2'!O51*СПРАВОЧНИК!$I$13+'ПЛАН ЧЕРН К2'!P51*СПРАВОЧНИК!$J$13)+СПРАВОЧНИК!$F$13*('ПЛАН ЧИСТ К2'!V51*СПРАВОЧНИК!$L$13+'ПЛАН ЧИСТ К2'!W51*СПРАВОЧНИК!$M$13+'ПЛАН ЧИСТ К2'!X51*СПРАВОЧНИК!$N$13+'ПЛАН ЧИСТ К2'!Y51*СПРАВОЧНИК!$O$13+'ПЛАН ЧИСТ К2'!Z51*СПРАВОЧНИК!$P$13)+СПРАВОЧНИК!$E$14*('ПЛАН ЧЕРН К2'!Q51*СПРАВОЧНИК!$H$14+'ПЛАН ЧЕРН К2'!R51*СПРАВОЧНИК!$I$14+'ПЛАН ЧЕРН К2'!S51*СПРАВОЧНИК!$J$14)+СПРАВОЧНИК!$F$14*('ПЛАН ЧИСТ К2'!AA51*СПРАВОЧНИК!$L$14+'ПЛАН ЧИСТ К2'!AB51*СПРАВОЧНИК!$M$14+'ПЛАН ЧИСТ К2'!AC51*СПРАВОЧНИК!$N$14+'ПЛАН ЧИСТ К2'!AD51*СПРАВОЧНИК!$O$14+'ПЛАН ЧИСТ К2'!AE51*СПРАВОЧНИК!$P$14)+СПРАВОЧНИК!$E$15*('ПЛАН ЧЕРН К2'!T51*СПРАВОЧНИК!$H$15+'ПЛАН ЧЕРН К2'!U51*СПРАВОЧНИК!$I$15+'ПЛАН ЧЕРН К2'!V51*СПРАВОЧНИК!$J$15)+СПРАВОЧНИК!$F$15*('ПЛАН ЧИСТ К2'!AF51*СПРАВОЧНИК!$L$15+'ПЛАН ЧИСТ К2'!AG51*СПРАВОЧНИК!$M$15+'ПЛАН ЧИСТ К2'!AH51*СПРАВОЧНИК!$N$15+'ПЛАН ЧИСТ К2'!AI51*СПРАВОЧНИК!$O$15+'ПЛАН ЧИСТ К2'!AJ51*СПРАВОЧНИК!$P$15)</f>
        <v/>
      </c>
      <c r="AN60" s="31">
        <f>СПРАВОЧНИК!$E$9*('ФАКТ ЧЕРН К2'!B51*СПРАВОЧНИК!$H$9+'ФАКТ ЧЕРН К2'!C51*СПРАВОЧНИК!$I$9+'ФАКТ ЧЕРН К2'!D51*СПРАВОЧНИК!$J$9)+СПРАВОЧНИК!$F$9*('ФАКТ ЧИСТ К2'!B51*СПРАВОЧНИК!$L$9+'ФАКТ ЧИСТ К2'!C51*СПРАВОЧНИК!$M$9+'ФАКТ ЧИСТ К2'!D51*СПРАВОЧНИК!$N$9+'ФАКТ ЧИСТ К2'!E51*СПРАВОЧНИК!$O$9+'ФАКТ ЧИСТ К2'!F51*СПРАВОЧНИК!$P$9)+СПРАВОЧНИК!$E$10*('ФАКТ ЧЕРН К2'!E51*СПРАВОЧНИК!$H$10+'ФАКТ ЧЕРН К2'!F51*СПРАВОЧНИК!$I$10+'ФАКТ ЧЕРН К2'!G51*СПРАВОЧНИК!$J$10)+СПРАВОЧНИК!$F$10*('ФАКТ ЧИСТ К2'!G51*СПРАВОЧНИК!$L$10+'ФАКТ ЧИСТ К2'!H51*СПРАВОЧНИК!$M$10+'ФАКТ ЧИСТ К2'!I51*СПРАВОЧНИК!$N$10+'ФАКТ ЧИСТ К2'!J51*СПРАВОЧНИК!$O$10+'ФАКТ ЧИСТ К2'!K51*СПРАВОЧНИК!$P$10)+СПРАВОЧНИК!$E$11*('ФАКТ ЧЕРН К2'!H51*СПРАВОЧНИК!$H$11+'ФАКТ ЧЕРН К2'!I51*СПРАВОЧНИК!$I$11+'ФАКТ ЧЕРН К2'!J51*СПРАВОЧНИК!$J$11)+СПРАВОЧНИК!$F$11*('ФАКТ ЧИСТ К2'!L51*СПРАВОЧНИК!$L$11+'ФАКТ ЧИСТ К2'!M51*СПРАВОЧНИК!$M$11+'ФАКТ ЧИСТ К2'!N51*СПРАВОЧНИК!$N$11+'ФАКТ ЧИСТ К2'!O51*СПРАВОЧНИК!$O$11+'ФАКТ ЧИСТ К2'!P51*СПРАВОЧНИК!$P$11)+СПРАВОЧНИК!$E$12*('ФАКТ ЧЕРН К2'!K51*СПРАВОЧНИК!$H$12+'ФАКТ ЧЕРН К2'!L51*СПРАВОЧНИК!$I$12+'ФАКТ ЧЕРН К2'!M51*СПРАВОЧНИК!$J$12)+СПРАВОЧНИК!$F$12*('ФАКТ ЧИСТ К2'!Q51*СПРАВОЧНИК!$L$12+'ФАКТ ЧИСТ К2'!R51*СПРАВОЧНИК!$M$12+'ФАКТ ЧИСТ К2'!S51*СПРАВОЧНИК!$N$12+'ФАКТ ЧИСТ К2'!T51*СПРАВОЧНИК!$O$12+'ФАКТ ЧИСТ К2'!U51*СПРАВОЧНИК!$P$12)+СПРАВОЧНИК!$E$13*('ФАКТ ЧЕРН К2'!N51*СПРАВОЧНИК!$H$13+'ФАКТ ЧЕРН К2'!O51*СПРАВОЧНИК!$I$13+'ФАКТ ЧЕРН К2'!P51*СПРАВОЧНИК!$J$13)+СПРАВОЧНИК!$F$13*('ФАКТ ЧИСТ К2'!V51*СПРАВОЧНИК!$L$13+'ФАКТ ЧИСТ К2'!W51*СПРАВОЧНИК!$M$13+'ФАКТ ЧИСТ К2'!X51*СПРАВОЧНИК!$N$13+'ФАКТ ЧИСТ К2'!Y51*СПРАВОЧНИК!$O$13+'ФАКТ ЧИСТ К2'!Z51*СПРАВОЧНИК!$P$13)+СПРАВОЧНИК!$E$14*('ФАКТ ЧЕРН К2'!Q51*СПРАВОЧНИК!$H$14+'ФАКТ ЧЕРН К2'!R51*СПРАВОЧНИК!$I$14+'ФАКТ ЧЕРН К2'!S51*СПРАВОЧНИК!$J$14)+СПРАВОЧНИК!$F$14*('ФАКТ ЧИСТ К2'!AA51*СПРАВОЧНИК!$L$14+'ФАКТ ЧИСТ К2'!AB51*СПРАВОЧНИК!$M$14+'ФАКТ ЧИСТ К2'!AC51*СПРАВОЧНИК!$N$14+'ФАКТ ЧИСТ К2'!AD51*СПРАВОЧНИК!$O$14+'ФАКТ ЧИСТ К2'!AE51*СПРАВОЧНИК!$P$14)+СПРАВОЧНИК!$E$15*('ФАКТ ЧЕРН К2'!T51*СПРАВОЧНИК!$H$15+'ФАКТ ЧЕРН К2'!U51*СПРАВОЧНИК!$I$15+'ФАКТ ЧЕРН К2'!V51*СПРАВОЧНИК!$J$15)+СПРАВОЧНИК!$F$15*('ФАКТ ЧИСТ К2'!AF51*СПРАВОЧНИК!$L$15+'ФАКТ ЧИСТ К2'!AG51*СПРАВОЧНИК!$M$15+'ФАКТ ЧИСТ К2'!AH51*СПРАВОЧНИК!$N$15+'ФАКТ ЧИСТ К2'!AI51*СПРАВОЧНИК!$O$15+'ФАКТ ЧИСТ К2'!AJ51*СПРАВОЧНИК!$P$15)</f>
        <v/>
      </c>
      <c r="AO60" s="34" t="n"/>
      <c r="AR60" s="152">
        <f>AR59+7</f>
        <v/>
      </c>
      <c r="AS60" s="17">
        <f>'ПЛАН ЧЕРН К2'!B51*СПРАВОЧНИК!$H$9+'ПЛАН ЧЕРН К2'!C51*СПРАВОЧНИК!$I$9+'ПЛАН ЧЕРН К2'!D51*СПРАВОЧНИК!$J$9+'ПЛАН ЧЕРН К2'!E51*СПРАВОЧНИК!$H$10+'ПЛАН ЧЕРН К2'!F51*СПРАВОЧНИК!$I$10+'ПЛАН ЧЕРН К2'!G51*СПРАВОЧНИК!$J$10+'ПЛАН ЧЕРН К2'!H51*СПРАВОЧНИК!$H$11+'ПЛАН ЧЕРН К2'!I51*СПРАВОЧНИК!$I$11+'ПЛАН ЧЕРН К2'!J51*СПРАВОЧНИК!$J$11+'ПЛАН ЧЕРН К2'!K51*СПРАВОЧНИК!$H$12+'ПЛАН ЧЕРН К2'!L51*СПРАВОЧНИК!$I$12+'ПЛАН ЧЕРН К2'!M51*СПРАВОЧНИК!$J$12+'ПЛАН ЧЕРН К2'!N51*СПРАВОЧНИК!$H$13+'ПЛАН ЧЕРН К2'!O51*СПРАВОЧНИК!$I$13+'ПЛАН ЧЕРН К2'!P51*СПРАВОЧНИК!$J$13+'ПЛАН ЧЕРН К2'!Q51*СПРАВОЧНИК!$H$14+'ПЛАН ЧЕРН К2'!R51*СПРАВОЧНИК!$I$14+'ПЛАН ЧЕРН К2'!S51*СПРАВОЧНИК!$J$14+'ПЛАН ЧЕРН К2'!T51*СПРАВОЧНИК!$H$15+'ПЛАН ЧЕРН К2'!U51*СПРАВОЧНИК!$I$15+'ПЛАН ЧЕРН К2'!V51*СПРАВОЧНИК!$J$15</f>
        <v/>
      </c>
      <c r="AT60" s="31">
        <f>('ФАКТ ЧЕРН К2'!B51)*СПРАВОЧНИК!$H$9+('ФАКТ ЧЕРН К2'!C51)*СПРАВОЧНИК!$I$9+('ФАКТ ЧЕРН К2'!D51)*СПРАВОЧНИК!$J$9+('ФАКТ ЧЕРН К2'!E51)*СПРАВОЧНИК!$H$10+('ФАКТ ЧЕРН К2'!F51)*СПРАВОЧНИК!$I$10+('ФАКТ ЧЕРН К2'!G51)*СПРАВОЧНИК!$J$10+('ФАКТ ЧЕРН К2'!H51)*СПРАВОЧНИК!$H$11+('ФАКТ ЧЕРН К2'!I51)*СПРАВОЧНИК!$I$11+('ФАКТ ЧЕРН К2'!J51)*СПРАВОЧНИК!$J$11+('ФАКТ ЧЕРН К2'!K51)*СПРАВОЧНИК!$H$12+('ФАКТ ЧЕРН К2'!L51)*СПРАВОЧНИК!$I$12+('ФАКТ ЧЕРН К2'!M51)*СПРАВОЧНИК!$J$12+('ФАКТ ЧЕРН К2'!N51)*СПРАВОЧНИК!$H$13+('ФАКТ ЧЕРН К2'!O51)*СПРАВОЧНИК!$I$13+('ФАКТ ЧЕРН К2'!P51)*СПРАВОЧНИК!$J$13+('ФАКТ ЧЕРН К2'!Q51)*СПРАВОЧНИК!$H$14+('ФАКТ ЧЕРН К2'!R51)*СПРАВОЧНИК!$I$14+('ФАКТ ЧЕРН К2'!S51)*СПРАВОЧНИК!$J$14+('ФАКТ ЧЕРН К2'!T51)*СПРАВОЧНИК!$H$15+('ФАКТ ЧЕРН К2'!U51)*СПРАВОЧНИК!$I$15+('ФАКТ ЧЕРН К2'!V51)*СПРАВОЧНИК!$J$15</f>
        <v/>
      </c>
      <c r="AU60" s="34" t="n"/>
      <c r="AX60" s="152">
        <f>AX59+7</f>
        <v/>
      </c>
      <c r="AY60" s="17">
        <f>'ПЛАН ЧИСТ К2'!B51*СПРАВОЧНИК!$L$9+'ПЛАН ЧИСТ К2'!C51*СПРАВОЧНИК!$M$9+'ПЛАН ЧИСТ К2'!D51*СПРАВОЧНИК!$N$9+'ПЛАН ЧИСТ К2'!E51*СПРАВОЧНИК!$O$9+'ПЛАН ЧИСТ К2'!F51*СПРАВОЧНИК!$P$9+'ПЛАН ЧИСТ К2'!G51*СПРАВОЧНИК!$L$10+'ПЛАН ЧИСТ К2'!H51*СПРАВОЧНИК!$M$10+'ПЛАН ЧИСТ К2'!I51*СПРАВОЧНИК!$N$10+'ПЛАН ЧИСТ К2'!J51*СПРАВОЧНИК!$O$10+'ПЛАН ЧИСТ К2'!K51*СПРАВОЧНИК!$P$10+'ПЛАН ЧИСТ К2'!L51*СПРАВОЧНИК!$L$11+'ПЛАН ЧИСТ К2'!M51*СПРАВОЧНИК!$M$11+'ПЛАН ЧИСТ К2'!N51*СПРАВОЧНИК!$N$11+'ПЛАН ЧИСТ К2'!O51*СПРАВОЧНИК!$O$11+'ПЛАН ЧИСТ К2'!P51*СПРАВОЧНИК!$P$11+'ПЛАН ЧИСТ К2'!Q51*СПРАВОЧНИК!$L$12+'ПЛАН ЧИСТ К2'!R51*СПРАВОЧНИК!$M$12+'ПЛАН ЧИСТ К2'!S51*СПРАВОЧНИК!$N$12+'ПЛАН ЧИСТ К2'!T51*СПРАВОЧНИК!$O$12+'ПЛАН ЧИСТ К2'!U51*СПРАВОЧНИК!$P$12+'ПЛАН ЧИСТ К2'!V51*СПРАВОЧНИК!$L$13+'ПЛАН ЧИСТ К2'!W51*СПРАВОЧНИК!$M$13+'ПЛАН ЧИСТ К2'!X51*СПРАВОЧНИК!$N$13+'ПЛАН ЧИСТ К2'!Y51*СПРАВОЧНИК!$O$13+'ПЛАН ЧИСТ К2'!Z51*СПРАВОЧНИК!$P$13+'ПЛАН ЧИСТ К2'!AA51*СПРАВОЧНИК!$L$14+'ПЛАН ЧИСТ К2'!AB51*СПРАВОЧНИК!$M$14+'ПЛАН ЧИСТ К2'!AC51*СПРАВОЧНИК!$N$14+'ПЛАН ЧИСТ К2'!AD51*СПРАВОЧНИК!$O$14+'ПЛАН ЧИСТ К2'!AE51*СПРАВОЧНИК!$P$14+'ПЛАН ЧИСТ К2'!AF51*СПРАВОЧНИК!$L$15+'ПЛАН ЧИСТ К2'!AG51*СПРАВОЧНИК!$M$15+'ПЛАН ЧИСТ К2'!AH51*СПРАВОЧНИК!$N$15+'ПЛАН ЧИСТ К2'!AI51*СПРАВОЧНИК!$O$15+'ПЛАН ЧИСТ К2'!AJ51*СПРАВОЧНИК!$P$15</f>
        <v/>
      </c>
      <c r="AZ60" s="31">
        <f>('ФАКТ ЧИСТ К2'!B51)*СПРАВОЧНИК!$L$9+('ФАКТ ЧИСТ К2'!C51)*СПРАВОЧНИК!$M$9+('ФАКТ ЧИСТ К2'!D51)*СПРАВОЧНИК!$N$9+('ФАКТ ЧИСТ К2'!E51)*СПРАВОЧНИК!$O$9+('ФАКТ ЧИСТ К2'!F51)*СПРАВОЧНИК!$P$9+('ФАКТ ЧИСТ К2'!G51)*СПРАВОЧНИК!$L$10+('ФАКТ ЧИСТ К2'!H51)*СПРАВОЧНИК!$M$10+('ФАКТ ЧИСТ К2'!I51)*СПРАВОЧНИК!$N$10+('ФАКТ ЧИСТ К2'!J51)*СПРАВОЧНИК!$O$10+('ФАКТ ЧИСТ К2'!K51)*СПРАВОЧНИК!$P$10+('ФАКТ ЧИСТ К2'!L51)*СПРАВОЧНИК!$L$11+('ФАКТ ЧИСТ К2'!M51)*СПРАВОЧНИК!$M$11+('ФАКТ ЧИСТ К2'!N51)*СПРАВОЧНИК!$N$11+('ФАКТ ЧИСТ К2'!O51)*СПРАВОЧНИК!$O$11+('ФАКТ ЧИСТ К2'!P51)*СПРАВОЧНИК!$P$11+('ФАКТ ЧИСТ К2'!Q51)*СПРАВОЧНИК!$L$12+('ФАКТ ЧИСТ К2'!R51)*СПРАВОЧНИК!$M$12+('ФАКТ ЧИСТ К2'!S51)*СПРАВОЧНИК!$N$12+('ФАКТ ЧИСТ К2'!T51)*СПРАВОЧНИК!$O$12+('ФАКТ ЧИСТ К2'!U51)*СПРАВОЧНИК!$P$12+('ФАКТ ЧИСТ К2'!V51)*СПРАВОЧНИК!$L$13+('ФАКТ ЧИСТ К2'!W51)*СПРАВОЧНИК!$M$13+('ФАКТ ЧИСТ К2'!X51)*СПРАВОЧНИК!$N$13+('ФАКТ ЧИСТ К2'!Y51)*СПРАВОЧНИК!$O$13+('ФАКТ ЧИСТ К2'!Z51)*СПРАВОЧНИК!$P$13+('ФАКТ ЧИСТ К2'!AA51)*СПРАВОЧНИК!$L$14+('ФАКТ ЧИСТ К2'!AB51)*СПРАВОЧНИК!$M$14+('ФАКТ ЧИСТ К2'!AC51)*СПРАВОЧНИК!$N$14+('ФАКТ ЧИСТ К2'!AD51)*СПРАВОЧНИК!$O$14+('ФАКТ ЧИСТ К2'!AE51)*СПРАВОЧНИК!$P$14+('ФАКТ ЧИСТ К2'!AF51)*СПРАВОЧНИК!$L$15+('ФАКТ ЧИСТ К2'!AG51)*СПРАВОЧНИК!$M$15+('ФАКТ ЧИСТ К2'!AH51)*СПРАВОЧНИК!$N$15+('ФАКТ ЧИСТ К2'!AI51)*СПРАВОЧНИК!$O$15+('ФАКТ ЧИСТ К2'!AJ51)*СПРАВОЧНИК!$P$15</f>
        <v/>
      </c>
      <c r="BA60" s="34" t="n"/>
      <c r="BD60" s="152">
        <f>BD59+7</f>
        <v/>
      </c>
      <c r="BE60" s="17">
        <f>СПРАВОЧНИК!$E$9*('ПЛАН ЧЕРН К3'!B51*СПРАВОЧНИК!$H$9+'ПЛАН ЧЕРН К3'!C51*СПРАВОЧНИК!$I$9+'ПЛАН ЧЕРН К3'!D51*СПРАВОЧНИК!$J$9)+СПРАВОЧНИК!$F$9*('ПЛАН ЧИСТ К3'!B51*СПРАВОЧНИК!$L$9+'ПЛАН ЧИСТ К3'!C51*СПРАВОЧНИК!$M$9+'ПЛАН ЧИСТ К3'!D51*СПРАВОЧНИК!$N$9+'ПЛАН ЧИСТ К3'!E51*СПРАВОЧНИК!$O$9+'ПЛАН ЧИСТ К3'!F51*СПРАВОЧНИК!$P$9)+СПРАВОЧНИК!$E$10*('ПЛАН ЧЕРН К3'!E51*СПРАВОЧНИК!$H$10+'ПЛАН ЧЕРН К3'!F51*СПРАВОЧНИК!$I$10+'ПЛАН ЧЕРН К3'!G51*СПРАВОЧНИК!$J$10)+СПРАВОЧНИК!$F$10*('ПЛАН ЧИСТ К3'!G51*СПРАВОЧНИК!$L$10+'ПЛАН ЧИСТ К3'!H51*СПРАВОЧНИК!$M$10+'ПЛАН ЧИСТ К3'!I51*СПРАВОЧНИК!$N$10+'ПЛАН ЧИСТ К3'!J51*СПРАВОЧНИК!$O$10+'ПЛАН ЧИСТ К3'!K51*СПРАВОЧНИК!$P$10)+СПРАВОЧНИК!$E$11*('ПЛАН ЧЕРН К3'!H51*СПРАВОЧНИК!$H$11+'ПЛАН ЧЕРН К3'!I51*СПРАВОЧНИК!$I$11+'ПЛАН ЧЕРН К3'!J51*СПРАВОЧНИК!$J$11)+СПРАВОЧНИК!$F$11*('ПЛАН ЧИСТ К3'!L51*СПРАВОЧНИК!$L$11+'ПЛАН ЧИСТ К3'!M51*СПРАВОЧНИК!$M$11+'ПЛАН ЧИСТ К3'!N51*СПРАВОЧНИК!$N$11+'ПЛАН ЧИСТ К3'!O51*СПРАВОЧНИК!$O$11+'ПЛАН ЧИСТ К3'!P51*СПРАВОЧНИК!$P$11)+СПРАВОЧНИК!$E$12*('ПЛАН ЧЕРН К3'!K51*СПРАВОЧНИК!$H$12+'ПЛАН ЧЕРН К3'!L51*СПРАВОЧНИК!$I$12+'ПЛАН ЧЕРН К3'!M51*СПРАВОЧНИК!$J$12)+СПРАВОЧНИК!$F$12*('ПЛАН ЧИСТ К3'!Q51*СПРАВОЧНИК!$L$12+'ПЛАН ЧИСТ К3'!R51*СПРАВОЧНИК!$M$12+'ПЛАН ЧИСТ К3'!S51*СПРАВОЧНИК!$N$12+'ПЛАН ЧИСТ К3'!T51*СПРАВОЧНИК!$O$12+'ПЛАН ЧИСТ К3'!U51*СПРАВОЧНИК!$P$12)+СПРАВОЧНИК!$E$13*('ПЛАН ЧЕРН К3'!N51*СПРАВОЧНИК!$H$13+'ПЛАН ЧЕРН К3'!O51*СПРАВОЧНИК!$I$13+'ПЛАН ЧЕРН К3'!P51*СПРАВОЧНИК!$J$13)+СПРАВОЧНИК!$F$13*('ПЛАН ЧИСТ К3'!V51*СПРАВОЧНИК!$L$13+'ПЛАН ЧИСТ К3'!W51*СПРАВОЧНИК!$M$13+'ПЛАН ЧИСТ К3'!X51*СПРАВОЧНИК!$N$13+'ПЛАН ЧИСТ К3'!Y51*СПРАВОЧНИК!$O$13+'ПЛАН ЧИСТ К3'!Z51*СПРАВОЧНИК!$P$13)+СПРАВОЧНИК!$E$14*('ПЛАН ЧЕРН К3'!Q51*СПРАВОЧНИК!$H$14+'ПЛАН ЧЕРН К3'!R51*СПРАВОЧНИК!$I$14+'ПЛАН ЧЕРН К3'!S51*СПРАВОЧНИК!$J$14)+СПРАВОЧНИК!$F$14*('ПЛАН ЧИСТ К3'!AA51*СПРАВОЧНИК!$L$14+'ПЛАН ЧИСТ К3'!AB51*СПРАВОЧНИК!$M$14+'ПЛАН ЧИСТ К3'!AC51*СПРАВОЧНИК!$N$14+'ПЛАН ЧИСТ К3'!AD51*СПРАВОЧНИК!$O$14+'ПЛАН ЧИСТ К3'!AE51*СПРАВОЧНИК!$P$14)+СПРАВОЧНИК!$E$15*('ПЛАН ЧЕРН К3'!T51*СПРАВОЧНИК!$H$15+'ПЛАН ЧЕРН К3'!U51*СПРАВОЧНИК!$I$15+'ПЛАН ЧЕРН К3'!V51*СПРАВОЧНИК!$J$15)+СПРАВОЧНИК!$F$15*('ПЛАН ЧИСТ К3'!AF51*СПРАВОЧНИК!$L$15+'ПЛАН ЧИСТ К3'!AG51*СПРАВОЧНИК!$M$15+'ПЛАН ЧИСТ К3'!AH51*СПРАВОЧНИК!$N$15+'ПЛАН ЧИСТ К3'!AI51*СПРАВОЧНИК!$O$15+'ПЛАН ЧИСТ К3'!AJ51*СПРАВОЧНИК!$P$15)</f>
        <v/>
      </c>
      <c r="BF60" s="31">
        <f>СПРАВОЧНИК!$E$9*('ФАКТ ЧЕРН К3'!B51*СПРАВОЧНИК!$H$9+'ФАКТ ЧЕРН К3'!C51*СПРАВОЧНИК!$I$9+'ФАКТ ЧЕРН К3'!D51*СПРАВОЧНИК!$J$9)+СПРАВОЧНИК!$F$9*('ФАКТ ЧИСТ К3'!B51*СПРАВОЧНИК!$L$9+'ФАКТ ЧИСТ К3'!C51*СПРАВОЧНИК!$M$9+'ФАКТ ЧИСТ К3'!D51*СПРАВОЧНИК!$N$9+'ФАКТ ЧИСТ К3'!E51*СПРАВОЧНИК!$O$9+'ФАКТ ЧИСТ К3'!F51*СПРАВОЧНИК!$P$9)+СПРАВОЧНИК!$E$10*('ФАКТ ЧЕРН К3'!E51*СПРАВОЧНИК!$H$10+'ФАКТ ЧЕРН К3'!F51*СПРАВОЧНИК!$I$10+'ФАКТ ЧЕРН К3'!G51*СПРАВОЧНИК!$J$10)+СПРАВОЧНИК!$F$10*('ФАКТ ЧИСТ К3'!G51*СПРАВОЧНИК!$L$10+'ФАКТ ЧИСТ К3'!H51*СПРАВОЧНИК!$M$10+'ФАКТ ЧИСТ К3'!I51*СПРАВОЧНИК!$N$10+'ФАКТ ЧИСТ К3'!J51*СПРАВОЧНИК!$O$10+'ФАКТ ЧИСТ К3'!K51*СПРАВОЧНИК!$P$10)+СПРАВОЧНИК!$E$11*('ФАКТ ЧЕРН К3'!H51*СПРАВОЧНИК!$H$11+'ФАКТ ЧЕРН К3'!I51*СПРАВОЧНИК!$I$11+'ФАКТ ЧЕРН К3'!J51*СПРАВОЧНИК!$J$11)+СПРАВОЧНИК!$F$11*('ФАКТ ЧИСТ К3'!L51*СПРАВОЧНИК!$L$11+'ФАКТ ЧИСТ К3'!M51*СПРАВОЧНИК!$M$11+'ФАКТ ЧИСТ К3'!N51*СПРАВОЧНИК!$N$11+'ФАКТ ЧИСТ К3'!O51*СПРАВОЧНИК!$O$11+'ФАКТ ЧИСТ К3'!P51*СПРАВОЧНИК!$P$11)+СПРАВОЧНИК!$E$12*('ФАКТ ЧЕРН К3'!K51*СПРАВОЧНИК!$H$12+'ФАКТ ЧЕРН К3'!L51*СПРАВОЧНИК!$I$12+'ФАКТ ЧЕРН К3'!M51*СПРАВОЧНИК!$J$12)+СПРАВОЧНИК!$F$12*('ФАКТ ЧИСТ К3'!Q51*СПРАВОЧНИК!$L$12+'ФАКТ ЧИСТ К3'!R51*СПРАВОЧНИК!$M$12+'ФАКТ ЧИСТ К3'!S51*СПРАВОЧНИК!$N$12+'ФАКТ ЧИСТ К3'!T51*СПРАВОЧНИК!$O$12+'ФАКТ ЧИСТ К3'!U51*СПРАВОЧНИК!$P$12)+СПРАВОЧНИК!$E$13*('ФАКТ ЧЕРН К3'!N51*СПРАВОЧНИК!$H$13+'ФАКТ ЧЕРН К3'!O51*СПРАВОЧНИК!$I$13+'ФАКТ ЧЕРН К3'!P51*СПРАВОЧНИК!$J$13)+СПРАВОЧНИК!$F$13*('ФАКТ ЧИСТ К3'!V51*СПРАВОЧНИК!$L$13+'ФАКТ ЧИСТ К3'!W51*СПРАВОЧНИК!$M$13+'ФАКТ ЧИСТ К3'!X51*СПРАВОЧНИК!$N$13+'ФАКТ ЧИСТ К3'!Y51*СПРАВОЧНИК!$O$13+'ФАКТ ЧИСТ К3'!Z51*СПРАВОЧНИК!$P$13)+СПРАВОЧНИК!$E$14*('ФАКТ ЧЕРН К3'!Q51*СПРАВОЧНИК!$H$14+'ФАКТ ЧЕРН К3'!R51*СПРАВОЧНИК!$I$14+'ФАКТ ЧЕРН К3'!S51*СПРАВОЧНИК!$J$14)+СПРАВОЧНИК!$F$14*('ФАКТ ЧИСТ К3'!AA51*СПРАВОЧНИК!$L$14+'ФАКТ ЧИСТ К3'!AB51*СПРАВОЧНИК!$M$14+'ФАКТ ЧИСТ К3'!AC51*СПРАВОЧНИК!$N$14+'ФАКТ ЧИСТ К3'!AD51*СПРАВОЧНИК!$O$14+'ФАКТ ЧИСТ К3'!AE51*СПРАВОЧНИК!$P$14)+СПРАВОЧНИК!$E$15*('ФАКТ ЧЕРН К3'!T51*СПРАВОЧНИК!$H$15+'ФАКТ ЧЕРН К3'!U51*СПРАВОЧНИК!$I$15+'ФАКТ ЧЕРН К3'!V51*СПРАВОЧНИК!$J$15)+СПРАВОЧНИК!$F$15*('ФАКТ ЧИСТ К3'!AF51*СПРАВОЧНИК!$L$15+'ФАКТ ЧИСТ К3'!AG51*СПРАВОЧНИК!$M$15+'ФАКТ ЧИСТ К3'!AH51*СПРАВОЧНИК!$N$15+'ФАКТ ЧИСТ К3'!AI51*СПРАВОЧНИК!$O$15+'ФАКТ ЧИСТ К3'!AJ51*СПРАВОЧНИК!$P$15)</f>
        <v/>
      </c>
      <c r="BG60" s="34" t="n"/>
      <c r="BJ60" s="152">
        <f>BJ59+7</f>
        <v/>
      </c>
      <c r="BK60" s="17">
        <f>'ПЛАН ЧЕРН К3'!B51*СПРАВОЧНИК!$H$9+'ПЛАН ЧЕРН К3'!C51*СПРАВОЧНИК!$I$9+'ПЛАН ЧЕРН К3'!D51*СПРАВОЧНИК!$J$9+'ПЛАН ЧЕРН К3'!E51*СПРАВОЧНИК!$H$10+'ПЛАН ЧЕРН К3'!F51*СПРАВОЧНИК!$I$10+'ПЛАН ЧЕРН К3'!G51*СПРАВОЧНИК!$J$10+'ПЛАН ЧЕРН К3'!H51*СПРАВОЧНИК!$H$11+'ПЛАН ЧЕРН К3'!I51*СПРАВОЧНИК!$I$11+'ПЛАН ЧЕРН К3'!J51*СПРАВОЧНИК!$J$11+'ПЛАН ЧЕРН К3'!K51*СПРАВОЧНИК!$H$12+'ПЛАН ЧЕРН К3'!L51*СПРАВОЧНИК!$I$12+'ПЛАН ЧЕРН К3'!M51*СПРАВОЧНИК!$J$12+'ПЛАН ЧЕРН К3'!N51*СПРАВОЧНИК!$H$13+'ПЛАН ЧЕРН К3'!O51*СПРАВОЧНИК!$I$13+'ПЛАН ЧЕРН К3'!P51*СПРАВОЧНИК!$J$13+'ПЛАН ЧЕРН К3'!Q51*СПРАВОЧНИК!$H$14+'ПЛАН ЧЕРН К3'!R51*СПРАВОЧНИК!$I$14+'ПЛАН ЧЕРН К3'!S51*СПРАВОЧНИК!$J$14+'ПЛАН ЧЕРН К3'!T51*СПРАВОЧНИК!$H$15+'ПЛАН ЧЕРН К3'!U51*СПРАВОЧНИК!$I$15+'ПЛАН ЧЕРН К3'!V51*СПРАВОЧНИК!$J$15</f>
        <v/>
      </c>
      <c r="BL60" s="31">
        <f>('ФАКТ ЧЕРН К3'!B51)*СПРАВОЧНИК!$H$9+('ФАКТ ЧЕРН К3'!C51)*СПРАВОЧНИК!$I$9+('ФАКТ ЧЕРН К3'!D51)*СПРАВОЧНИК!$J$9+('ФАКТ ЧЕРН К3'!E51)*СПРАВОЧНИК!$H$10+('ФАКТ ЧЕРН К3'!F51)*СПРАВОЧНИК!$I$10+('ФАКТ ЧЕРН К3'!G51)*СПРАВОЧНИК!$J$10+('ФАКТ ЧЕРН К3'!H51)*СПРАВОЧНИК!$H$11+('ФАКТ ЧЕРН К3'!I51)*СПРАВОЧНИК!$I$11+('ФАКТ ЧЕРН К3'!J51)*СПРАВОЧНИК!$J$11+('ФАКТ ЧЕРН К3'!K51)*СПРАВОЧНИК!$H$12+('ФАКТ ЧЕРН К3'!L51)*СПРАВОЧНИК!$I$12+('ФАКТ ЧЕРН К3'!M51)*СПРАВОЧНИК!$J$12+('ФАКТ ЧЕРН К3'!N51)*СПРАВОЧНИК!$H$13+('ФАКТ ЧЕРН К3'!O51)*СПРАВОЧНИК!$I$13+('ФАКТ ЧЕРН К3'!P51)*СПРАВОЧНИК!$J$13+('ФАКТ ЧЕРН К3'!Q51)*СПРАВОЧНИК!$H$14+('ФАКТ ЧЕРН К3'!R51)*СПРАВОЧНИК!$I$14+('ФАКТ ЧЕРН К3'!S51)*СПРАВОЧНИК!$J$14+('ФАКТ ЧЕРН К3'!T51)*СПРАВОЧНИК!$H$15+('ФАКТ ЧЕРН К3'!U51)*СПРАВОЧНИК!$I$15+('ФАКТ ЧЕРН К3'!V51)*СПРАВОЧНИК!$J$15</f>
        <v/>
      </c>
      <c r="BM60" s="34" t="n"/>
      <c r="BP60" s="152">
        <f>BP59+7</f>
        <v/>
      </c>
      <c r="BQ60" s="17">
        <f>'ПЛАН ЧИСТ К3'!B51*СПРАВОЧНИК!$L$9+'ПЛАН ЧИСТ К3'!C51*СПРАВОЧНИК!$M$9+'ПЛАН ЧИСТ К3'!D51*СПРАВОЧНИК!$N$9+'ПЛАН ЧИСТ К3'!E51*СПРАВОЧНИК!$O$9+'ПЛАН ЧИСТ К3'!F51*СПРАВОЧНИК!$P$9+'ПЛАН ЧИСТ К3'!G51*СПРАВОЧНИК!$L$10+'ПЛАН ЧИСТ К3'!H51*СПРАВОЧНИК!$M$10+'ПЛАН ЧИСТ К3'!I51*СПРАВОЧНИК!$N$10+'ПЛАН ЧИСТ К3'!J51*СПРАВОЧНИК!$O$10+'ПЛАН ЧИСТ К3'!K51*СПРАВОЧНИК!$P$10+'ПЛАН ЧИСТ К3'!L51*СПРАВОЧНИК!$L$11+'ПЛАН ЧИСТ К3'!M51*СПРАВОЧНИК!$M$11+'ПЛАН ЧИСТ К3'!N51*СПРАВОЧНИК!$N$11+'ПЛАН ЧИСТ К3'!O51*СПРАВОЧНИК!$O$11+'ПЛАН ЧИСТ К3'!P51*СПРАВОЧНИК!$P$11+'ПЛАН ЧИСТ К3'!Q51*СПРАВОЧНИК!$L$12+'ПЛАН ЧИСТ К3'!R51*СПРАВОЧНИК!$M$12+'ПЛАН ЧИСТ К3'!S51*СПРАВОЧНИК!$N$12+'ПЛАН ЧИСТ К3'!T51*СПРАВОЧНИК!$O$12+'ПЛАН ЧИСТ К3'!U51*СПРАВОЧНИК!$P$12+'ПЛАН ЧИСТ К3'!V51*СПРАВОЧНИК!$L$13+'ПЛАН ЧИСТ К3'!W51*СПРАВОЧНИК!$M$13+'ПЛАН ЧИСТ К3'!X51*СПРАВОЧНИК!$N$13+'ПЛАН ЧИСТ К3'!Y51*СПРАВОЧНИК!$O$13+'ПЛАН ЧИСТ К3'!Z51*СПРАВОЧНИК!$P$13+'ПЛАН ЧИСТ К3'!AA51*СПРАВОЧНИК!$L$14+'ПЛАН ЧИСТ К3'!AB51*СПРАВОЧНИК!$M$14+'ПЛАН ЧИСТ К3'!AC51*СПРАВОЧНИК!$N$14+'ПЛАН ЧИСТ К3'!AD51*СПРАВОЧНИК!$O$14+'ПЛАН ЧИСТ К3'!AE51*СПРАВОЧНИК!$P$14+'ПЛАН ЧИСТ К3'!AF51*СПРАВОЧНИК!$L$15+'ПЛАН ЧИСТ К3'!AG51*СПРАВОЧНИК!$M$15+'ПЛАН ЧИСТ К3'!AH51*СПРАВОЧНИК!$N$15+'ПЛАН ЧИСТ К3'!AI51*СПРАВОЧНИК!$O$15+'ПЛАН ЧИСТ К3'!AJ51*СПРАВОЧНИК!$P$15</f>
        <v/>
      </c>
      <c r="BR60" s="31">
        <f>('ФАКТ ЧИСТ К3'!B51)*СПРАВОЧНИК!$L$9+('ФАКТ ЧИСТ К3'!C51)*СПРАВОЧНИК!$M$9+('ФАКТ ЧИСТ К3'!D51)*СПРАВОЧНИК!$N$9+('ФАКТ ЧИСТ К3'!E51)*СПРАВОЧНИК!$O$9+('ФАКТ ЧИСТ К3'!F51)*СПРАВОЧНИК!$P$9+('ФАКТ ЧИСТ К3'!G51)*СПРАВОЧНИК!$L$10+('ФАКТ ЧИСТ К3'!H51)*СПРАВОЧНИК!$M$10+('ФАКТ ЧИСТ К3'!I51)*СПРАВОЧНИК!$N$10+('ФАКТ ЧИСТ К3'!J51)*СПРАВОЧНИК!$O$10+('ФАКТ ЧИСТ К3'!K51)*СПРАВОЧНИК!$P$10+('ФАКТ ЧИСТ К3'!L51)*СПРАВОЧНИК!$L$11+('ФАКТ ЧИСТ К3'!M51)*СПРАВОЧНИК!$M$11+('ФАКТ ЧИСТ К3'!N51)*СПРАВОЧНИК!$N$11+('ФАКТ ЧИСТ К3'!O51)*СПРАВОЧНИК!$O$11+('ФАКТ ЧИСТ К3'!P51)*СПРАВОЧНИК!$P$11+('ФАКТ ЧИСТ К3'!Q51)*СПРАВОЧНИК!$L$12+('ФАКТ ЧИСТ К3'!R51)*СПРАВОЧНИК!$M$12+('ФАКТ ЧИСТ К3'!S51)*СПРАВОЧНИК!$N$12+('ФАКТ ЧИСТ К3'!T51)*СПРАВОЧНИК!$O$12+('ФАКТ ЧИСТ К3'!U51)*СПРАВОЧНИК!$P$12+('ФАКТ ЧИСТ К3'!V51)*СПРАВОЧНИК!$L$13+('ФАКТ ЧИСТ К3'!W51)*СПРАВОЧНИК!$M$13+('ФАКТ ЧИСТ К3'!X51)*СПРАВОЧНИК!$N$13+('ФАКТ ЧИСТ К3'!Y51)*СПРАВОЧНИК!$O$13+('ФАКТ ЧИСТ К3'!Z51)*СПРАВОЧНИК!$P$13+('ФАКТ ЧИСТ К3'!AA51)*СПРАВОЧНИК!$L$14+('ФАКТ ЧИСТ К3'!AB51)*СПРАВОЧНИК!$M$14+('ФАКТ ЧИСТ К3'!AC51)*СПРАВОЧНИК!$N$14+('ФАКТ ЧИСТ К3'!AD51)*СПРАВОЧНИК!$O$14+('ФАКТ ЧИСТ К3'!AE51)*СПРАВОЧНИК!$P$14+('ФАКТ ЧИСТ К3'!AF51)*СПРАВОЧНИК!$L$15+('ФАКТ ЧИСТ К3'!AG51)*СПРАВОЧНИК!$M$15+('ФАКТ ЧИСТ К3'!AH51)*СПРАВОЧНИК!$N$15+('ФАКТ ЧИСТ К3'!AI51)*СПРАВОЧНИК!$O$15+('ФАКТ ЧИСТ К3'!AJ51)*СПРАВОЧНИК!$P$15</f>
        <v/>
      </c>
      <c r="BS60" s="34" t="n"/>
      <c r="BV60" s="152">
        <f>BV59+7</f>
        <v/>
      </c>
      <c r="BW60" s="17">
        <f>U60*СПРАВОЧНИК!$K$28+AM60*СПРАВОЧНИК!$K$29+BE60*СПРАВОЧНИК!$K$30</f>
        <v/>
      </c>
      <c r="BX60" s="31">
        <f>V60*СПРАВОЧНИК!$K$28+AN60*СПРАВОЧНИК!$K$29+BF60*СПРАВОЧНИК!$K$30</f>
        <v/>
      </c>
      <c r="BY60" s="34" t="n"/>
      <c r="CB60" s="152">
        <f>CB59+7</f>
        <v/>
      </c>
      <c r="CC60" s="17">
        <f>AA60*СПРАВОЧНИК!$K$28+AS60*СПРАВОЧНИК!$K$29+BK60*СПРАВОЧНИК!$K$30</f>
        <v/>
      </c>
      <c r="CD60" s="31">
        <f>AB60*СПРАВОЧНИК!$K$28+AT60*СПРАВОЧНИК!$K$29+BL60*СПРАВОЧНИК!$K$30</f>
        <v/>
      </c>
      <c r="CE60" s="34" t="n"/>
      <c r="CH60" s="152">
        <f>CH59+7</f>
        <v/>
      </c>
      <c r="CI60" s="17">
        <f>AG60*СПРАВОЧНИК!$K$28+AY60*СПРАВОЧНИК!$K$29+BQ60*СПРАВОЧНИК!$K$30</f>
        <v/>
      </c>
      <c r="CJ60" s="31">
        <f>AH60*СПРАВОЧНИК!$K$28+AZ60*СПРАВОЧНИК!$K$29+BR60*СПРАВОЧНИК!$K$30</f>
        <v/>
      </c>
      <c r="CK60" s="34" t="n"/>
      <c r="CN60" s="152">
        <f>CN59+7</f>
        <v/>
      </c>
      <c r="CO60" s="17">
        <f>C60*СПРАВОЧНИК!$W$18+BW60*СПРАВОЧНИК!$W$19</f>
        <v/>
      </c>
      <c r="CP60" s="31">
        <f>D60*СПРАВОЧНИК!$W$18+BX60*СПРАВОЧНИК!$W$19</f>
        <v/>
      </c>
      <c r="CQ60" s="34" t="n"/>
      <c r="CT60" s="152">
        <f>CT59+7</f>
        <v/>
      </c>
      <c r="CU60" s="17">
        <f>I60*СПРАВОЧНИК!$W$18+CC60*СПРАВОЧНИК!$W$19</f>
        <v/>
      </c>
      <c r="CV60" s="31">
        <f>J60*СПРАВОЧНИК!$W$18+CD60*СПРАВОЧНИК!$W$19</f>
        <v/>
      </c>
      <c r="CW60" s="34" t="n"/>
      <c r="CZ60" s="152">
        <f>CZ59+7</f>
        <v/>
      </c>
      <c r="DA60" s="17">
        <f>O60*СПРАВОЧНИК!$W$18+CI60*СПРАВОЧНИК!$W$19</f>
        <v/>
      </c>
      <c r="DB60" s="31">
        <f>P60*СПРАВОЧНИК!$W$18+CJ60*СПРАВОЧНИК!$W$19</f>
        <v/>
      </c>
      <c r="DC60" s="34" t="n"/>
    </row>
    <row r="61">
      <c r="B61" s="152">
        <f>B60+7</f>
        <v/>
      </c>
      <c r="C61" s="17">
        <f>СПРАВОЧНИК!$E$3*('ПЛАН ЧЕРН ПОДЗЕМ'!B52*СПРАВОЧНИК!$H$3+'ПЛАН ЧЕРН ПОДЗЕМ'!C52*СПРАВОЧНИК!$I$3+'ПЛАН ЧЕРН ПОДЗЕМ'!D52*СПРАВОЧНИК!$J$3)+СПРАВОЧНИК!$F$3*('ПЛАН ЧИСТ ПОДЗЕМ'!B52*СПРАВОЧНИК!$L$3+'ПЛАН ЧИСТ ПОДЗЕМ'!C52*СПРАВОЧНИК!$M$3+'ПЛАН ЧИСТ ПОДЗЕМ'!D52*СПРАВОЧНИК!$N$3+'ПЛАН ЧИСТ ПОДЗЕМ'!E52*СПРАВОЧНИК!$O$3+'ПЛАН ЧИСТ ПОДЗЕМ'!F52*СПРАВОЧНИК!$P$3)+СПРАВОЧНИК!$E$4*('ПЛАН ЧЕРН ПОДЗЕМ'!E52*СПРАВОЧНИК!$H$4+'ПЛАН ЧЕРН ПОДЗЕМ'!F52*СПРАВОЧНИК!$I$4+'ПЛАН ЧЕРН ПОДЗЕМ'!G52*СПРАВОЧНИК!$J$4)+СПРАВОЧНИК!$F$4*('ПЛАН ЧИСТ ПОДЗЕМ'!G52*СПРАВОЧНИК!$L$4+'ПЛАН ЧИСТ ПОДЗЕМ'!H52*СПРАВОЧНИК!$M$4+'ПЛАН ЧИСТ ПОДЗЕМ'!I52*СПРАВОЧНИК!$N$4+'ПЛАН ЧИСТ ПОДЗЕМ'!J52*СПРАВОЧНИК!$O$4+'ПЛАН ЧИСТ ПОДЗЕМ'!K52*СПРАВОЧНИК!$P$4)+СПРАВОЧНИК!$E$5*('ПЛАН ЧЕРН ПОДЗЕМ'!H52*СПРАВОЧНИК!$H$5+'ПЛАН ЧЕРН ПОДЗЕМ'!I52*СПРАВОЧНИК!$I$5+'ПЛАН ЧЕРН ПОДЗЕМ'!J52*СПРАВОЧНИК!$J$5)+СПРАВОЧНИК!$F$5*('ПЛАН ЧИСТ ПОДЗЕМ'!L52*СПРАВОЧНИК!$L$5+'ПЛАН ЧИСТ ПОДЗЕМ'!M52*СПРАВОЧНИК!$M$5+'ПЛАН ЧИСТ ПОДЗЕМ'!N52*СПРАВОЧНИК!$N$5+'ПЛАН ЧИСТ ПОДЗЕМ'!O52*СПРАВОЧНИК!$O$5+'ПЛАН ЧИСТ ПОДЗЕМ'!P52*СПРАВОЧНИК!$P$5)+СПРАВОЧНИК!$E$6*('ПЛАН ЧЕРН ПОДЗЕМ'!K52*СПРАВОЧНИК!$H$6+'ПЛАН ЧЕРН ПОДЗЕМ'!L52*СПРАВОЧНИК!$I$6+'ПЛАН ЧЕРН ПОДЗЕМ'!M52*СПРАВОЧНИК!$J$6)+СПРАВОЧНИК!$F$6*('ПЛАН ЧИСТ ПОДЗЕМ'!Q52*СПРАВОЧНИК!$L$6+'ПЛАН ЧИСТ ПОДЗЕМ'!R52*СПРАВОЧНИК!$M$6+'ПЛАН ЧИСТ ПОДЗЕМ'!S52*СПРАВОЧНИК!$N$6+'ПЛАН ЧИСТ ПОДЗЕМ'!T52*СПРАВОЧНИК!$O$6+'ПЛАН ЧИСТ ПОДЗЕМ'!U52*СПРАВОЧНИК!$P$6)+СПРАВОЧНИК!$E$7*('ПЛАН ЧЕРН ПОДЗЕМ'!N52*СПРАВОЧНИК!$H$7+'ПЛАН ЧЕРН ПОДЗЕМ'!O52*СПРАВОЧНИК!$I$7+'ПЛАН ЧЕРН ПОДЗЕМ'!P52*СПРАВОЧНИК!$J$7)+СПРАВОЧНИК!$F$7*('ПЛАН ЧИСТ ПОДЗЕМ'!V52*СПРАВОЧНИК!$L$7+'ПЛАН ЧИСТ ПОДЗЕМ'!W52*СПРАВОЧНИК!$M$7+'ПЛАН ЧИСТ ПОДЗЕМ'!X52*СПРАВОЧНИК!$N$7+'ПЛАН ЧИСТ ПОДЗЕМ'!Y52*СПРАВОЧНИК!$O$7+'ПЛАН ЧИСТ ПОДЗЕМ'!Z52*СПРАВОЧНИК!$P$7)+СПРАВОЧНИК!$E$8*('ПЛАН ЧЕРН ПОДЗЕМ'!Q52*СПРАВОЧНИК!$H$8+'ПЛАН ЧЕРН ПОДЗЕМ'!R52*СПРАВОЧНИК!$I$8+'ПЛАН ЧЕРН ПОДЗЕМ'!S52*СПРАВОЧНИК!$J$8)+СПРАВОЧНИК!$F$8*('ПЛАН ЧИСТ ПОДЗЕМ'!AA52*СПРАВОЧНИК!$L$8+'ПЛАН ЧИСТ ПОДЗЕМ'!AB52*СПРАВОЧНИК!$M$8+'ПЛАН ЧИСТ ПОДЗЕМ'!AC52*СПРАВОЧНИК!$N$8+'ПЛАН ЧИСТ ПОДЗЕМ'!AD52*СПРАВОЧНИК!$O$8+'ПЛАН ЧИСТ ПОДЗЕМ'!AE52*СПРАВОЧНИК!$P$8)</f>
        <v/>
      </c>
      <c r="D61" s="31">
        <f>СПРАВОЧНИК!$E$3*('ФАКТ ЧЕРН ПОДЗЕМ'!B52*СПРАВОЧНИК!$H$3+'ФАКТ ЧЕРН ПОДЗЕМ'!C52*СПРАВОЧНИК!$I$3+'ФАКТ ЧЕРН ПОДЗЕМ'!D52*СПРАВОЧНИК!$J$3)+СПРАВОЧНИК!$F$3*('ФАКТ ЧИСТ ПОДЗЕМ'!B52*СПРАВОЧНИК!$L$3+'ФАКТ ЧИСТ ПОДЗЕМ'!C52*СПРАВОЧНИК!$M$3+'ФАКТ ЧИСТ ПОДЗЕМ'!D52*СПРАВОЧНИК!$N$3+'ФАКТ ЧИСТ ПОДЗЕМ'!E52*СПРАВОЧНИК!$O$3+'ФАКТ ЧИСТ ПОДЗЕМ'!F52*СПРАВОЧНИК!$P$3)+СПРАВОЧНИК!$E$4*('ФАКТ ЧЕРН ПОДЗЕМ'!E52*СПРАВОЧНИК!$H$4+'ФАКТ ЧЕРН ПОДЗЕМ'!F52*СПРАВОЧНИК!$I$4+'ФАКТ ЧЕРН ПОДЗЕМ'!G52*СПРАВОЧНИК!$J$4)+СПРАВОЧНИК!$F$4*('ФАКТ ЧИСТ ПОДЗЕМ'!G52*СПРАВОЧНИК!$L$4+'ФАКТ ЧИСТ ПОДЗЕМ'!H52*СПРАВОЧНИК!$M$4+'ФАКТ ЧИСТ ПОДЗЕМ'!I52*СПРАВОЧНИК!$N$4+'ФАКТ ЧИСТ ПОДЗЕМ'!J52*СПРАВОЧНИК!$O$4+'ФАКТ ЧИСТ ПОДЗЕМ'!K52*СПРАВОЧНИК!$P$4)+СПРАВОЧНИК!$E$5*('ФАКТ ЧЕРН ПОДЗЕМ'!H52*СПРАВОЧНИК!$H$5+'ФАКТ ЧЕРН ПОДЗЕМ'!I52*СПРАВОЧНИК!$I$5+'ФАКТ ЧЕРН ПОДЗЕМ'!J52*СПРАВОЧНИК!$J$5)+СПРАВОЧНИК!$F$5*('ФАКТ ЧИСТ ПОДЗЕМ'!L52*СПРАВОЧНИК!$L$5+'ФАКТ ЧИСТ ПОДЗЕМ'!M52*СПРАВОЧНИК!$M$5+'ФАКТ ЧИСТ ПОДЗЕМ'!N52*СПРАВОЧНИК!$N$5+'ФАКТ ЧИСТ ПОДЗЕМ'!O52*СПРАВОЧНИК!$O$5+'ФАКТ ЧИСТ ПОДЗЕМ'!P52*СПРАВОЧНИК!$P$5)+СПРАВОЧНИК!$E$6*('ФАКТ ЧЕРН ПОДЗЕМ'!K52*СПРАВОЧНИК!$H$6+'ФАКТ ЧЕРН ПОДЗЕМ'!L52*СПРАВОЧНИК!$I$6+'ФАКТ ЧЕРН ПОДЗЕМ'!M52*СПРАВОЧНИК!$J$6)+СПРАВОЧНИК!$F$6*('ФАКТ ЧИСТ ПОДЗЕМ'!Q52*СПРАВОЧНИК!$L$6+'ФАКТ ЧИСТ ПОДЗЕМ'!R52*СПРАВОЧНИК!$M$6+'ФАКТ ЧИСТ ПОДЗЕМ'!S52*СПРАВОЧНИК!$N$6+'ФАКТ ЧИСТ ПОДЗЕМ'!T52*СПРАВОЧНИК!$O$6+'ФАКТ ЧИСТ ПОДЗЕМ'!U52*СПРАВОЧНИК!$P$6)+СПРАВОЧНИК!$E$7*('ФАКТ ЧЕРН ПОДЗЕМ'!N52*СПРАВОЧНИК!$H$7+'ФАКТ ЧЕРН ПОДЗЕМ'!O52*СПРАВОЧНИК!$I$7+'ФАКТ ЧЕРН ПОДЗЕМ'!P52*СПРАВОЧНИК!$J$7)+СПРАВОЧНИК!$F$7*('ФАКТ ЧИСТ ПОДЗЕМ'!V52*СПРАВОЧНИК!$L$7+'ФАКТ ЧИСТ ПОДЗЕМ'!W52*СПРАВОЧНИК!$M$7+'ФАКТ ЧИСТ ПОДЗЕМ'!X52*СПРАВОЧНИК!$N$7+'ФАКТ ЧИСТ ПОДЗЕМ'!Y52*СПРАВОЧНИК!$O$7+'ФАКТ ЧИСТ ПОДЗЕМ'!Z52*СПРАВОЧНИК!$P$7)+СПРАВОЧНИК!$E$8*('ФАКТ ЧЕРН ПОДЗЕМ'!Q52*СПРАВОЧНИК!$H$8+'ФАКТ ЧЕРН ПОДЗЕМ'!R52*СПРАВОЧНИК!$I$8+'ФАКТ ЧЕРН ПОДЗЕМ'!S52*СПРАВОЧНИК!$J$8)+СПРАВОЧНИК!$F$8*('ФАКТ ЧИСТ ПОДЗЕМ'!AA52*СПРАВОЧНИК!$L$8+'ФАКТ ЧИСТ ПОДЗЕМ'!AB52*СПРАВОЧНИК!$M$8+'ФАКТ ЧИСТ ПОДЗЕМ'!AC52*СПРАВОЧНИК!$N$8+'ФАКТ ЧИСТ ПОДЗЕМ'!AD52*СПРАВОЧНИК!$O$8+'ФАКТ ЧИСТ ПОДЗЕМ'!AE52*СПРАВОЧНИК!$P$8)</f>
        <v/>
      </c>
      <c r="E61" s="34" t="n"/>
      <c r="H61" s="152">
        <f>H60+7</f>
        <v/>
      </c>
      <c r="I61" s="17">
        <f>'ПЛАН ЧЕРН ПОДЗЕМ'!B52*СПРАВОЧНИК!$H$3+'ПЛАН ЧЕРН ПОДЗЕМ'!C52*СПРАВОЧНИК!$I$3+'ПЛАН ЧЕРН ПОДЗЕМ'!D52*СПРАВОЧНИК!$J$3+'ПЛАН ЧЕРН ПОДЗЕМ'!E52*СПРАВОЧНИК!$H$4+'ПЛАН ЧЕРН ПОДЗЕМ'!F52*СПРАВОЧНИК!$I$4+'ПЛАН ЧЕРН ПОДЗЕМ'!G52*СПРАВОЧНИК!$J$4+'ПЛАН ЧЕРН ПОДЗЕМ'!H52*СПРАВОЧНИК!$H$5+'ПЛАН ЧЕРН ПОДЗЕМ'!I52*СПРАВОЧНИК!$I$5+'ПЛАН ЧЕРН ПОДЗЕМ'!J52*СПРАВОЧНИК!$J$5+'ПЛАН ЧЕРН ПОДЗЕМ'!K52*СПРАВОЧНИК!$H$6+'ПЛАН ЧЕРН ПОДЗЕМ'!L52*СПРАВОЧНИК!$I$6+'ПЛАН ЧЕРН ПОДЗЕМ'!M52*СПРАВОЧНИК!$J$6+'ПЛАН ЧЕРН ПОДЗЕМ'!N52*СПРАВОЧНИК!$H$7+'ПЛАН ЧЕРН ПОДЗЕМ'!O52*СПРАВОЧНИК!$I$7+'ПЛАН ЧЕРН ПОДЗЕМ'!P52*СПРАВОЧНИК!$J$7+'ПЛАН ЧЕРН ПОДЗЕМ'!Q52*СПРАВОЧНИК!$H$8+'ПЛАН ЧЕРН ПОДЗЕМ'!R52*СПРАВОЧНИК!$I$8+'ПЛАН ЧЕРН ПОДЗЕМ'!S52*СПРАВОЧНИК!$J$8</f>
        <v/>
      </c>
      <c r="J61" s="31">
        <f>('ФАКТ ЧЕРН ПОДЗЕМ'!B52)*СПРАВОЧНИК!$H$3+('ФАКТ ЧЕРН ПОДЗЕМ'!C52)*СПРАВОЧНИК!$I$3+('ФАКТ ЧЕРН ПОДЗЕМ'!D52)*СПРАВОЧНИК!$J$3+('ФАКТ ЧЕРН ПОДЗЕМ'!E52)*СПРАВОЧНИК!$H$4+('ФАКТ ЧЕРН ПОДЗЕМ'!F52)*СПРАВОЧНИК!$I$4+('ФАКТ ЧЕРН ПОДЗЕМ'!G52)*СПРАВОЧНИК!$J$4+('ФАКТ ЧЕРН ПОДЗЕМ'!H52)*СПРАВОЧНИК!$H$5+('ФАКТ ЧЕРН ПОДЗЕМ'!I52)*СПРАВОЧНИК!$I$5+('ФАКТ ЧЕРН ПОДЗЕМ'!J52)*СПРАВОЧНИК!$J$5+('ФАКТ ЧЕРН ПОДЗЕМ'!K52)*СПРАВОЧНИК!$H$6+('ФАКТ ЧЕРН ПОДЗЕМ'!L52)*СПРАВОЧНИК!$I$6+('ФАКТ ЧЕРН ПОДЗЕМ'!M52)*СПРАВОЧНИК!$J$6+('ФАКТ ЧЕРН ПОДЗЕМ'!N52)*СПРАВОЧНИК!$H$7+('ФАКТ ЧЕРН ПОДЗЕМ'!O52)*СПРАВОЧНИК!$I$7+('ФАКТ ЧЕРН ПОДЗЕМ'!P52)*СПРАВОЧНИК!$J$7+('ФАКТ ЧЕРН ПОДЗЕМ'!Q52)*СПРАВОЧНИК!$H$8+('ФАКТ ЧЕРН ПОДЗЕМ'!R52)*СПРАВОЧНИК!$I$8+('ФАКТ ЧЕРН ПОДЗЕМ'!S52)*СПРАВОЧНИК!$J$8</f>
        <v/>
      </c>
      <c r="K61" s="34" t="n"/>
      <c r="N61" s="152">
        <f>N60+7</f>
        <v/>
      </c>
      <c r="O61" s="17">
        <f>'ПЛАН ЧИСТ ПОДЗЕМ'!B52*СПРАВОЧНИК!$L$3+'ПЛАН ЧИСТ ПОДЗЕМ'!C52*СПРАВОЧНИК!$M$3+'ПЛАН ЧИСТ ПОДЗЕМ'!D52*СПРАВОЧНИК!$N$3+'ПЛАН ЧИСТ ПОДЗЕМ'!E52*СПРАВОЧНИК!$O$3+'ПЛАН ЧИСТ ПОДЗЕМ'!F52*СПРАВОЧНИК!$P$3+'ПЛАН ЧИСТ ПОДЗЕМ'!G52*СПРАВОЧНИК!$L$4+'ПЛАН ЧИСТ ПОДЗЕМ'!H52*СПРАВОЧНИК!$M$4+'ПЛАН ЧИСТ ПОДЗЕМ'!I52*СПРАВОЧНИК!$N$4+'ПЛАН ЧИСТ ПОДЗЕМ'!J52*СПРАВОЧНИК!$O$4+'ПЛАН ЧИСТ ПОДЗЕМ'!K52*СПРАВОЧНИК!$P$4+'ПЛАН ЧИСТ ПОДЗЕМ'!L52*СПРАВОЧНИК!$L$5+'ПЛАН ЧИСТ ПОДЗЕМ'!M52*СПРАВОЧНИК!$M$5+'ПЛАН ЧИСТ ПОДЗЕМ'!N52*СПРАВОЧНИК!$N$5+'ПЛАН ЧИСТ ПОДЗЕМ'!O52*СПРАВОЧНИК!$O$5+'ПЛАН ЧИСТ ПОДЗЕМ'!P52*СПРАВОЧНИК!$P$5+'ПЛАН ЧИСТ ПОДЗЕМ'!Q52*СПРАВОЧНИК!$L$6+'ПЛАН ЧИСТ ПОДЗЕМ'!R52*СПРАВОЧНИК!$M$6+'ПЛАН ЧИСТ ПОДЗЕМ'!S52*СПРАВОЧНИК!$N$6+'ПЛАН ЧИСТ ПОДЗЕМ'!T52*СПРАВОЧНИК!$O$6+'ПЛАН ЧИСТ ПОДЗЕМ'!U52*СПРАВОЧНИК!$P$6+'ПЛАН ЧИСТ ПОДЗЕМ'!V52*СПРАВОЧНИК!$L$7+'ПЛАН ЧИСТ ПОДЗЕМ'!W52*СПРАВОЧНИК!$M$7+'ПЛАН ЧИСТ ПОДЗЕМ'!X52*СПРАВОЧНИК!$N$7+'ПЛАН ЧИСТ ПОДЗЕМ'!Y52*СПРАВОЧНИК!$O$7+'ПЛАН ЧИСТ ПОДЗЕМ'!Z52*СПРАВОЧНИК!$P$7+'ПЛАН ЧИСТ ПОДЗЕМ'!AA52*СПРАВОЧНИК!$L$8+'ПЛАН ЧИСТ ПОДЗЕМ'!AB52*СПРАВОЧНИК!$M$8+'ПЛАН ЧИСТ ПОДЗЕМ'!AC52*СПРАВОЧНИК!$N$8+'ПЛАН ЧИСТ ПОДЗЕМ'!AD52*СПРАВОЧНИК!$O$8+'ПЛАН ЧИСТ ПОДЗЕМ'!AE52*СПРАВОЧНИК!$P$8</f>
        <v/>
      </c>
      <c r="P61" s="31">
        <f>('ФАКТ ЧИСТ ПОДЗЕМ'!B52)*СПРАВОЧНИК!$L$3+('ФАКТ ЧИСТ ПОДЗЕМ'!C52)*СПРАВОЧНИК!$M$3+('ФАКТ ЧИСТ ПОДЗЕМ'!D52)*СПРАВОЧНИК!$N$3+('ФАКТ ЧИСТ ПОДЗЕМ'!E52)*СПРАВОЧНИК!$O$3+('ФАКТ ЧИСТ ПОДЗЕМ'!F52)*СПРАВОЧНИК!$P$3+('ФАКТ ЧИСТ ПОДЗЕМ'!G52)*СПРАВОЧНИК!$L$4+('ФАКТ ЧИСТ ПОДЗЕМ'!H52)*СПРАВОЧНИК!$M$4+('ФАКТ ЧИСТ ПОДЗЕМ'!I52)*СПРАВОЧНИК!$N$4+('ФАКТ ЧИСТ ПОДЗЕМ'!J52)*СПРАВОЧНИК!$O$4+('ФАКТ ЧИСТ ПОДЗЕМ'!K52)*СПРАВОЧНИК!$P$4+('ФАКТ ЧИСТ ПОДЗЕМ'!L52)*СПРАВОЧНИК!$L$5+('ФАКТ ЧИСТ ПОДЗЕМ'!M52)*СПРАВОЧНИК!$M$5+('ФАКТ ЧИСТ ПОДЗЕМ'!N52)*СПРАВОЧНИК!$N$5+('ФАКТ ЧИСТ ПОДЗЕМ'!O52)*СПРАВОЧНИК!$O$5+('ФАКТ ЧИСТ ПОДЗЕМ'!P52)*СПРАВОЧНИК!$P$5+('ФАКТ ЧИСТ ПОДЗЕМ'!Q52)*СПРАВОЧНИК!$L$6+('ФАКТ ЧИСТ ПОДЗЕМ'!R52)*СПРАВОЧНИК!$M$6+('ФАКТ ЧИСТ ПОДЗЕМ'!S52)*СПРАВОЧНИК!$N$6+('ФАКТ ЧИСТ ПОДЗЕМ'!T52)*СПРАВОЧНИК!$O$6+('ФАКТ ЧИСТ ПОДЗЕМ'!U52)*СПРАВОЧНИК!$P$6+('ФАКТ ЧИСТ ПОДЗЕМ'!V52)*СПРАВОЧНИК!$L$7+('ФАКТ ЧИСТ ПОДЗЕМ'!W52)*СПРАВОЧНИК!$M$7+('ФАКТ ЧИСТ ПОДЗЕМ'!X52)*СПРАВОЧНИК!$N$7+('ФАКТ ЧИСТ ПОДЗЕМ'!Y52)*СПРАВОЧНИК!$O$7+('ФАКТ ЧИСТ ПОДЗЕМ'!Z52)*СПРАВОЧНИК!$P$7+('ФАКТ ЧИСТ ПОДЗЕМ'!AA52)*СПРАВОЧНИК!$L$8+('ФАКТ ЧИСТ ПОДЗЕМ'!AB52)*СПРАВОЧНИК!$M$8+('ФАКТ ЧИСТ ПОДЗЕМ'!AC52)*СПРАВОЧНИК!$N$8+('ФАКТ ЧИСТ ПОДЗЕМ'!AD52)*СПРАВОЧНИК!$O$8+('ФАКТ ЧИСТ ПОДЗЕМ'!AE52)*СПРАВОЧНИК!$P$8</f>
        <v/>
      </c>
      <c r="Q61" s="34" t="n"/>
      <c r="T61" s="152">
        <f>T60+7</f>
        <v/>
      </c>
      <c r="U61" s="17">
        <f>СПРАВОЧНИК!$E$9*('ПЛАН ЧЕРН К1'!B52*СПРАВОЧНИК!$H$9+'ПЛАН ЧЕРН К1'!C52*СПРАВОЧНИК!$I$9+'ПЛАН ЧЕРН К1'!D52*СПРАВОЧНИК!$J$9)+СПРАВОЧНИК!$F$9*('ПЛАН ЧИСТ К1'!B52*СПРАВОЧНИК!$L$9+'ПЛАН ЧИСТ К1'!C52*СПРАВОЧНИК!$M$9+'ПЛАН ЧИСТ К1'!D52*СПРАВОЧНИК!$N$9+'ПЛАН ЧИСТ К1'!E52*СПРАВОЧНИК!$O$9+'ПЛАН ЧИСТ К1'!F52*СПРАВОЧНИК!$P$9)+СПРАВОЧНИК!$E$10*('ПЛАН ЧЕРН К1'!E52*СПРАВОЧНИК!$H$10+'ПЛАН ЧЕРН К1'!F52*СПРАВОЧНИК!$I$10+'ПЛАН ЧЕРН К1'!G52*СПРАВОЧНИК!$J$10)+СПРАВОЧНИК!$F$10*('ПЛАН ЧИСТ К1'!G52*СПРАВОЧНИК!$L$10+'ПЛАН ЧИСТ К1'!H52*СПРАВОЧНИК!$M$10+'ПЛАН ЧИСТ К1'!I52*СПРАВОЧНИК!$N$10+'ПЛАН ЧИСТ К1'!J52*СПРАВОЧНИК!$O$10+'ПЛАН ЧИСТ К1'!K52*СПРАВОЧНИК!$P$10)+СПРАВОЧНИК!$E$11*('ПЛАН ЧЕРН К1'!H52*СПРАВОЧНИК!$H$11+'ПЛАН ЧЕРН К1'!I52*СПРАВОЧНИК!$I$11+'ПЛАН ЧЕРН К1'!J52*СПРАВОЧНИК!$J$11)+СПРАВОЧНИК!$F$11*('ПЛАН ЧИСТ К1'!L52*СПРАВОЧНИК!$L$11+'ПЛАН ЧИСТ К1'!M52*СПРАВОЧНИК!$M$11+'ПЛАН ЧИСТ К1'!N52*СПРАВОЧНИК!$N$11+'ПЛАН ЧИСТ К1'!O52*СПРАВОЧНИК!$O$11+'ПЛАН ЧИСТ К1'!P52*СПРАВОЧНИК!$P$11)+СПРАВОЧНИК!$E$12*('ПЛАН ЧЕРН К1'!K52*СПРАВОЧНИК!$H$12+'ПЛАН ЧЕРН К1'!L52*СПРАВОЧНИК!$I$12+'ПЛАН ЧЕРН К1'!M52*СПРАВОЧНИК!$J$12)+СПРАВОЧНИК!$F$12*('ПЛАН ЧИСТ К1'!Q52*СПРАВОЧНИК!$L$12+'ПЛАН ЧИСТ К1'!R52*СПРАВОЧНИК!$M$12+'ПЛАН ЧИСТ К1'!S52*СПРАВОЧНИК!$N$12+'ПЛАН ЧИСТ К1'!T52*СПРАВОЧНИК!$O$12+'ПЛАН ЧИСТ К1'!U52*СПРАВОЧНИК!$P$12)+СПРАВОЧНИК!$E$13*('ПЛАН ЧЕРН К1'!N52*СПРАВОЧНИК!$H$13+'ПЛАН ЧЕРН К1'!O52*СПРАВОЧНИК!$I$13+'ПЛАН ЧЕРН К1'!P52*СПРАВОЧНИК!$J$13)+СПРАВОЧНИК!$F$13*('ПЛАН ЧИСТ К1'!V52*СПРАВОЧНИК!$L$13+'ПЛАН ЧИСТ К1'!W52*СПРАВОЧНИК!$M$13+'ПЛАН ЧИСТ К1'!X52*СПРАВОЧНИК!$N$13+'ПЛАН ЧИСТ К1'!Y52*СПРАВОЧНИК!$O$13+'ПЛАН ЧИСТ К1'!Z52*СПРАВОЧНИК!$P$13)+СПРАВОЧНИК!$E$14*('ПЛАН ЧЕРН К1'!Q52*СПРАВОЧНИК!$H$14+'ПЛАН ЧЕРН К1'!R52*СПРАВОЧНИК!$I$14+'ПЛАН ЧЕРН К1'!S52*СПРАВОЧНИК!$J$14)+СПРАВОЧНИК!$F$14*('ПЛАН ЧИСТ К1'!AA52*СПРАВОЧНИК!$L$14+'ПЛАН ЧИСТ К1'!AB52*СПРАВОЧНИК!$M$14+'ПЛАН ЧИСТ К1'!AC52*СПРАВОЧНИК!$N$14+'ПЛАН ЧИСТ К1'!AD52*СПРАВОЧНИК!$O$14+'ПЛАН ЧИСТ К1'!AE52*СПРАВОЧНИК!$P$14)+СПРАВОЧНИК!$E$15*('ПЛАН ЧЕРН К1'!T52*СПРАВОЧНИК!$H$15+'ПЛАН ЧЕРН К1'!U52*СПРАВОЧНИК!$I$15+'ПЛАН ЧЕРН К1'!V52*СПРАВОЧНИК!$J$15)+СПРАВОЧНИК!$F$15*('ПЛАН ЧИСТ К1'!AF52*СПРАВОЧНИК!$L$15+'ПЛАН ЧИСТ К1'!AG52*СПРАВОЧНИК!$M$15+'ПЛАН ЧИСТ К1'!AH52*СПРАВОЧНИК!$N$15+'ПЛАН ЧИСТ К1'!AI52*СПРАВОЧНИК!$O$15+'ПЛАН ЧИСТ К1'!AJ52*СПРАВОЧНИК!$P$15)</f>
        <v/>
      </c>
      <c r="V61" s="31">
        <f>СПРАВОЧНИК!$E$9*('ФАКТ ЧЕРН К1'!B52*СПРАВОЧНИК!$H$9+'ФАКТ ЧЕРН К1'!C52*СПРАВОЧНИК!$I$9+'ФАКТ ЧЕРН К1'!D52*СПРАВОЧНИК!$J$9)+СПРАВОЧНИК!$F$9*('ФАКТ ЧИСТ К1'!B52*СПРАВОЧНИК!$L$9+'ФАКТ ЧИСТ К1'!C52*СПРАВОЧНИК!$M$9+'ФАКТ ЧИСТ К1'!D52*СПРАВОЧНИК!$N$9+'ФАКТ ЧИСТ К1'!E52*СПРАВОЧНИК!$O$9+'ФАКТ ЧИСТ К1'!F52*СПРАВОЧНИК!$P$9)+СПРАВОЧНИК!$E$10*('ФАКТ ЧЕРН К1'!E52*СПРАВОЧНИК!$H$10+'ФАКТ ЧЕРН К1'!F52*СПРАВОЧНИК!$I$10+'ФАКТ ЧЕРН К1'!G52*СПРАВОЧНИК!$J$10)+СПРАВОЧНИК!$F$10*('ФАКТ ЧИСТ К1'!G52*СПРАВОЧНИК!$L$10+'ФАКТ ЧИСТ К1'!H52*СПРАВОЧНИК!$M$10+'ФАКТ ЧИСТ К1'!I52*СПРАВОЧНИК!$N$10+'ФАКТ ЧИСТ К1'!J52*СПРАВОЧНИК!$O$10+'ФАКТ ЧИСТ К1'!K52*СПРАВОЧНИК!$P$10)+СПРАВОЧНИК!$E$11*('ФАКТ ЧЕРН К1'!H52*СПРАВОЧНИК!$H$11+'ФАКТ ЧЕРН К1'!I52*СПРАВОЧНИК!$I$11+'ФАКТ ЧЕРН К1'!J52*СПРАВОЧНИК!$J$11)+СПРАВОЧНИК!$F$11*('ФАКТ ЧИСТ К1'!L52*СПРАВОЧНИК!$L$11+'ФАКТ ЧИСТ К1'!M52*СПРАВОЧНИК!$M$11+'ФАКТ ЧИСТ К1'!N52*СПРАВОЧНИК!$N$11+'ФАКТ ЧИСТ К1'!O52*СПРАВОЧНИК!$O$11+'ФАКТ ЧИСТ К1'!P52*СПРАВОЧНИК!$P$11)+СПРАВОЧНИК!$E$12*('ФАКТ ЧЕРН К1'!K52*СПРАВОЧНИК!$H$12+'ФАКТ ЧЕРН К1'!L52*СПРАВОЧНИК!$I$12+'ФАКТ ЧЕРН К1'!M52*СПРАВОЧНИК!$J$12)+СПРАВОЧНИК!$F$12*('ФАКТ ЧИСТ К1'!Q52*СПРАВОЧНИК!$L$12+'ФАКТ ЧИСТ К1'!R52*СПРАВОЧНИК!$M$12+'ФАКТ ЧИСТ К1'!S52*СПРАВОЧНИК!$N$12+'ФАКТ ЧИСТ К1'!T52*СПРАВОЧНИК!$O$12+'ФАКТ ЧИСТ К1'!U52*СПРАВОЧНИК!$P$12)+СПРАВОЧНИК!$E$13*('ФАКТ ЧЕРН К1'!N52*СПРАВОЧНИК!$H$13+'ФАКТ ЧЕРН К1'!O52*СПРАВОЧНИК!$I$13+'ФАКТ ЧЕРН К1'!P52*СПРАВОЧНИК!$J$13)+СПРАВОЧНИК!$F$13*('ФАКТ ЧИСТ К1'!V52*СПРАВОЧНИК!$L$13+'ФАКТ ЧИСТ К1'!W52*СПРАВОЧНИК!$M$13+'ФАКТ ЧИСТ К1'!X52*СПРАВОЧНИК!$N$13+'ФАКТ ЧИСТ К1'!Y52*СПРАВОЧНИК!$O$13+'ФАКТ ЧИСТ К1'!Z52*СПРАВОЧНИК!$P$13)+СПРАВОЧНИК!$E$14*('ФАКТ ЧЕРН К1'!Q52*СПРАВОЧНИК!$H$14+'ФАКТ ЧЕРН К1'!R52*СПРАВОЧНИК!$I$14+'ФАКТ ЧЕРН К1'!S52*СПРАВОЧНИК!$J$14)+СПРАВОЧНИК!$F$14*('ФАКТ ЧИСТ К1'!AA52*СПРАВОЧНИК!$L$14+'ФАКТ ЧИСТ К1'!AB52*СПРАВОЧНИК!$M$14+'ФАКТ ЧИСТ К1'!AC52*СПРАВОЧНИК!$N$14+'ФАКТ ЧИСТ К1'!AD52*СПРАВОЧНИК!$O$14+'ФАКТ ЧИСТ К1'!AE52*СПРАВОЧНИК!$P$14)+СПРАВОЧНИК!$E$15*('ФАКТ ЧЕРН К1'!T52*СПРАВОЧНИК!$H$15+'ФАКТ ЧЕРН К1'!U52*СПРАВОЧНИК!$I$15+'ФАКТ ЧЕРН К1'!V52*СПРАВОЧНИК!$J$15)+СПРАВОЧНИК!$F$15*('ФАКТ ЧИСТ К1'!AF52*СПРАВОЧНИК!$L$15+'ФАКТ ЧИСТ К1'!AG52*СПРАВОЧНИК!$M$15+'ФАКТ ЧИСТ К1'!AH52*СПРАВОЧНИК!$N$15+'ФАКТ ЧИСТ К1'!AI52*СПРАВОЧНИК!$O$15+'ФАКТ ЧИСТ К1'!AJ52*СПРАВОЧНИК!$P$15)</f>
        <v/>
      </c>
      <c r="W61" s="34" t="n"/>
      <c r="Z61" s="152">
        <f>Z60+7</f>
        <v/>
      </c>
      <c r="AA61" s="17">
        <f>'ПЛАН ЧЕРН К1'!B52*СПРАВОЧНИК!$H$9+'ПЛАН ЧЕРН К1'!C52*СПРАВОЧНИК!$I$9+'ПЛАН ЧЕРН К1'!D52*СПРАВОЧНИК!$J$9+'ПЛАН ЧЕРН К1'!E52*СПРАВОЧНИК!$H$10+'ПЛАН ЧЕРН К1'!F52*СПРАВОЧНИК!$I$10+'ПЛАН ЧЕРН К1'!G52*СПРАВОЧНИК!$J$10+'ПЛАН ЧЕРН К1'!H52*СПРАВОЧНИК!$H$11+'ПЛАН ЧЕРН К1'!I52*СПРАВОЧНИК!$I$11+'ПЛАН ЧЕРН К1'!J52*СПРАВОЧНИК!$J$11+'ПЛАН ЧЕРН К1'!K52*СПРАВОЧНИК!$H$12+'ПЛАН ЧЕРН К1'!L52*СПРАВОЧНИК!$I$12+'ПЛАН ЧЕРН К1'!M52*СПРАВОЧНИК!$J$12+'ПЛАН ЧЕРН К1'!N52*СПРАВОЧНИК!$H$13+'ПЛАН ЧЕРН К1'!O52*СПРАВОЧНИК!$I$13+'ПЛАН ЧЕРН К1'!P52*СПРАВОЧНИК!$J$13+'ПЛАН ЧЕРН К1'!Q52*СПРАВОЧНИК!$H$14+'ПЛАН ЧЕРН К1'!R52*СПРАВОЧНИК!$I$14+'ПЛАН ЧЕРН К1'!S52*СПРАВОЧНИК!$J$14+'ПЛАН ЧЕРН К1'!T52*СПРАВОЧНИК!$H$15+'ПЛАН ЧЕРН К1'!U52*СПРАВОЧНИК!$I$15+'ПЛАН ЧЕРН К1'!V52*СПРАВОЧНИК!$J$15</f>
        <v/>
      </c>
      <c r="AB61" s="31">
        <f>('ФАКТ ЧЕРН К1'!B52)*СПРАВОЧНИК!$H$9+('ФАКТ ЧЕРН К1'!C52)*СПРАВОЧНИК!$I$9+('ФАКТ ЧЕРН К1'!D52)*СПРАВОЧНИК!$J$9+('ФАКТ ЧЕРН К1'!E52)*СПРАВОЧНИК!$H$10+('ФАКТ ЧЕРН К1'!F52)*СПРАВОЧНИК!$I$10+('ФАКТ ЧЕРН К1'!G52)*СПРАВОЧНИК!$J$10+('ФАКТ ЧЕРН К1'!H52)*СПРАВОЧНИК!$H$11+('ФАКТ ЧЕРН К1'!I52)*СПРАВОЧНИК!$I$11+('ФАКТ ЧЕРН К1'!J52)*СПРАВОЧНИК!$J$11+('ФАКТ ЧЕРН К1'!K52)*СПРАВОЧНИК!$H$12+('ФАКТ ЧЕРН К1'!L52)*СПРАВОЧНИК!$I$12+('ФАКТ ЧЕРН К1'!M52)*СПРАВОЧНИК!$J$12+('ФАКТ ЧЕРН К1'!N52)*СПРАВОЧНИК!$H$13+('ФАКТ ЧЕРН К1'!O52)*СПРАВОЧНИК!$I$13+('ФАКТ ЧЕРН К1'!P52)*СПРАВОЧНИК!$J$13+('ФАКТ ЧЕРН К1'!Q52)*СПРАВОЧНИК!$H$14+('ФАКТ ЧЕРН К1'!R52)*СПРАВОЧНИК!$I$14+('ФАКТ ЧЕРН К1'!S52)*СПРАВОЧНИК!$J$14+('ФАКТ ЧЕРН К1'!T52)*СПРАВОЧНИК!$H$15+('ФАКТ ЧЕРН К1'!U52)*СПРАВОЧНИК!$I$15+('ФАКТ ЧЕРН К1'!V52)*СПРАВОЧНИК!$J$15</f>
        <v/>
      </c>
      <c r="AC61" s="34" t="n"/>
      <c r="AF61" s="152">
        <f>AF60+7</f>
        <v/>
      </c>
      <c r="AG61" s="17">
        <f>'ПЛАН ЧИСТ К1'!B52*СПРАВОЧНИК!$L$9+'ПЛАН ЧИСТ К1'!C52*СПРАВОЧНИК!$M$9+'ПЛАН ЧИСТ К1'!D52*СПРАВОЧНИК!$N$9+'ПЛАН ЧИСТ К1'!E52*СПРАВОЧНИК!$O$9+'ПЛАН ЧИСТ К1'!F52*СПРАВОЧНИК!$P$9+'ПЛАН ЧИСТ К1'!G52*СПРАВОЧНИК!$L$10+'ПЛАН ЧИСТ К1'!H52*СПРАВОЧНИК!$M$10+'ПЛАН ЧИСТ К1'!I52*СПРАВОЧНИК!$N$10+'ПЛАН ЧИСТ К1'!J52*СПРАВОЧНИК!$O$10+'ПЛАН ЧИСТ К1'!K52*СПРАВОЧНИК!$P$10+'ПЛАН ЧИСТ К1'!L52*СПРАВОЧНИК!$L$11+'ПЛАН ЧИСТ К1'!M52*СПРАВОЧНИК!$M$11+'ПЛАН ЧИСТ К1'!N52*СПРАВОЧНИК!$N$11+'ПЛАН ЧИСТ К1'!O52*СПРАВОЧНИК!$O$11+'ПЛАН ЧИСТ К1'!P52*СПРАВОЧНИК!$P$11+'ПЛАН ЧИСТ К1'!Q52*СПРАВОЧНИК!$L$12+'ПЛАН ЧИСТ К1'!R52*СПРАВОЧНИК!$M$12+'ПЛАН ЧИСТ К1'!S52*СПРАВОЧНИК!$N$12+'ПЛАН ЧИСТ К1'!T52*СПРАВОЧНИК!$O$12+'ПЛАН ЧИСТ К1'!U52*СПРАВОЧНИК!$P$12+'ПЛАН ЧИСТ К1'!V52*СПРАВОЧНИК!$L$13+'ПЛАН ЧИСТ К1'!W52*СПРАВОЧНИК!$M$13+'ПЛАН ЧИСТ К1'!X52*СПРАВОЧНИК!$N$13+'ПЛАН ЧИСТ К1'!Y52*СПРАВОЧНИК!$O$13+'ПЛАН ЧИСТ К1'!Z52*СПРАВОЧНИК!$P$13+'ПЛАН ЧИСТ К1'!AA52*СПРАВОЧНИК!$L$14+'ПЛАН ЧИСТ К1'!AB52*СПРАВОЧНИК!$M$14+'ПЛАН ЧИСТ К1'!AC52*СПРАВОЧНИК!$N$14+'ПЛАН ЧИСТ К1'!AD52*СПРАВОЧНИК!$O$14+'ПЛАН ЧИСТ К1'!AE52*СПРАВОЧНИК!$P$14+'ПЛАН ЧИСТ К1'!AF52*СПРАВОЧНИК!$L$15+'ПЛАН ЧИСТ К1'!AG52*СПРАВОЧНИК!$M$15+'ПЛАН ЧИСТ К1'!AH52*СПРАВОЧНИК!$N$15+'ПЛАН ЧИСТ К1'!AI52*СПРАВОЧНИК!$O$15+'ПЛАН ЧИСТ К1'!AJ52*СПРАВОЧНИК!$P$15</f>
        <v/>
      </c>
      <c r="AH61" s="31">
        <f>('ФАКТ ЧИСТ К1'!B52)*СПРАВОЧНИК!$L$9+('ФАКТ ЧИСТ К1'!C52)*СПРАВОЧНИК!$M$9+('ФАКТ ЧИСТ К1'!D52)*СПРАВОЧНИК!$N$9+('ФАКТ ЧИСТ К1'!E52)*СПРАВОЧНИК!$O$9+('ФАКТ ЧИСТ К1'!F52)*СПРАВОЧНИК!$P$9+('ФАКТ ЧИСТ К1'!G52)*СПРАВОЧНИК!$L$10+('ФАКТ ЧИСТ К1'!H52)*СПРАВОЧНИК!$M$10+('ФАКТ ЧИСТ К1'!I52)*СПРАВОЧНИК!$N$10+('ФАКТ ЧИСТ К1'!J52)*СПРАВОЧНИК!$O$10+('ФАКТ ЧИСТ К1'!K52)*СПРАВОЧНИК!$P$10+('ФАКТ ЧИСТ К1'!L52)*СПРАВОЧНИК!$L$11+('ФАКТ ЧИСТ К1'!M52)*СПРАВОЧНИК!$M$11+('ФАКТ ЧИСТ К1'!N52)*СПРАВОЧНИК!$N$11+('ФАКТ ЧИСТ К1'!O52)*СПРАВОЧНИК!$O$11+('ФАКТ ЧИСТ К1'!P52)*СПРАВОЧНИК!$P$11+('ФАКТ ЧИСТ К1'!Q52)*СПРАВОЧНИК!$L$12+('ФАКТ ЧИСТ К1'!R52)*СПРАВОЧНИК!$M$12+('ФАКТ ЧИСТ К1'!S52)*СПРАВОЧНИК!$N$12+('ФАКТ ЧИСТ К1'!T52)*СПРАВОЧНИК!$O$12+('ФАКТ ЧИСТ К1'!U52)*СПРАВОЧНИК!$P$12+('ФАКТ ЧИСТ К1'!V52)*СПРАВОЧНИК!$L$13+('ФАКТ ЧИСТ К1'!W52)*СПРАВОЧНИК!$M$13+('ФАКТ ЧИСТ К1'!X52)*СПРАВОЧНИК!$N$13+('ФАКТ ЧИСТ К1'!Y52)*СПРАВОЧНИК!$O$13+('ФАКТ ЧИСТ К1'!Z52)*СПРАВОЧНИК!$P$13+('ФАКТ ЧИСТ К1'!AA52)*СПРАВОЧНИК!$L$14+('ФАКТ ЧИСТ К1'!AB52)*СПРАВОЧНИК!$M$14+('ФАКТ ЧИСТ К1'!AC52)*СПРАВОЧНИК!$N$14+('ФАКТ ЧИСТ К1'!AD52)*СПРАВОЧНИК!$O$14+('ФАКТ ЧИСТ К1'!AE52)*СПРАВОЧНИК!$P$14+('ФАКТ ЧИСТ К1'!AF52)*СПРАВОЧНИК!$L$15+('ФАКТ ЧИСТ К1'!AG52)*СПРАВОЧНИК!$M$15+('ФАКТ ЧИСТ К1'!AH52)*СПРАВОЧНИК!$N$15+('ФАКТ ЧИСТ К1'!AI52)*СПРАВОЧНИК!$O$15+('ФАКТ ЧИСТ К1'!AJ52)*СПРАВОЧНИК!$P$15</f>
        <v/>
      </c>
      <c r="AI61" s="34" t="n"/>
      <c r="AL61" s="152">
        <f>AL60+7</f>
        <v/>
      </c>
      <c r="AM61" s="17">
        <f>СПРАВОЧНИК!$E$9*('ПЛАН ЧЕРН К2'!B52*СПРАВОЧНИК!$H$9+'ПЛАН ЧЕРН К2'!C52*СПРАВОЧНИК!$I$9+'ПЛАН ЧЕРН К2'!D52*СПРАВОЧНИК!$J$9)+СПРАВОЧНИК!$F$9*('ПЛАН ЧИСТ К2'!B52*СПРАВОЧНИК!$L$9+'ПЛАН ЧИСТ К2'!C52*СПРАВОЧНИК!$M$9+'ПЛАН ЧИСТ К2'!D52*СПРАВОЧНИК!$N$9+'ПЛАН ЧИСТ К2'!E52*СПРАВОЧНИК!$O$9+'ПЛАН ЧИСТ К2'!F52*СПРАВОЧНИК!$P$9)+СПРАВОЧНИК!$E$10*('ПЛАН ЧЕРН К2'!E52*СПРАВОЧНИК!$H$10+'ПЛАН ЧЕРН К2'!F52*СПРАВОЧНИК!$I$10+'ПЛАН ЧЕРН К2'!G52*СПРАВОЧНИК!$J$10)+СПРАВОЧНИК!$F$10*('ПЛАН ЧИСТ К2'!G52*СПРАВОЧНИК!$L$10+'ПЛАН ЧИСТ К2'!H52*СПРАВОЧНИК!$M$10+'ПЛАН ЧИСТ К2'!I52*СПРАВОЧНИК!$N$10+'ПЛАН ЧИСТ К2'!J52*СПРАВОЧНИК!$O$10+'ПЛАН ЧИСТ К2'!K52*СПРАВОЧНИК!$P$10)+СПРАВОЧНИК!$E$11*('ПЛАН ЧЕРН К2'!H52*СПРАВОЧНИК!$H$11+'ПЛАН ЧЕРН К2'!I52*СПРАВОЧНИК!$I$11+'ПЛАН ЧЕРН К2'!J52*СПРАВОЧНИК!$J$11)+СПРАВОЧНИК!$F$11*('ПЛАН ЧИСТ К2'!L52*СПРАВОЧНИК!$L$11+'ПЛАН ЧИСТ К2'!M52*СПРАВОЧНИК!$M$11+'ПЛАН ЧИСТ К2'!N52*СПРАВОЧНИК!$N$11+'ПЛАН ЧИСТ К2'!O52*СПРАВОЧНИК!$O$11+'ПЛАН ЧИСТ К2'!P52*СПРАВОЧНИК!$P$11)+СПРАВОЧНИК!$E$12*('ПЛАН ЧЕРН К2'!K52*СПРАВОЧНИК!$H$12+'ПЛАН ЧЕРН К2'!L52*СПРАВОЧНИК!$I$12+'ПЛАН ЧЕРН К2'!M52*СПРАВОЧНИК!$J$12)+СПРАВОЧНИК!$F$12*('ПЛАН ЧИСТ К2'!Q52*СПРАВОЧНИК!$L$12+'ПЛАН ЧИСТ К2'!R52*СПРАВОЧНИК!$M$12+'ПЛАН ЧИСТ К2'!S52*СПРАВОЧНИК!$N$12+'ПЛАН ЧИСТ К2'!T52*СПРАВОЧНИК!$O$12+'ПЛАН ЧИСТ К2'!U52*СПРАВОЧНИК!$P$12)+СПРАВОЧНИК!$E$13*('ПЛАН ЧЕРН К2'!N52*СПРАВОЧНИК!$H$13+'ПЛАН ЧЕРН К2'!O52*СПРАВОЧНИК!$I$13+'ПЛАН ЧЕРН К2'!P52*СПРАВОЧНИК!$J$13)+СПРАВОЧНИК!$F$13*('ПЛАН ЧИСТ К2'!V52*СПРАВОЧНИК!$L$13+'ПЛАН ЧИСТ К2'!W52*СПРАВОЧНИК!$M$13+'ПЛАН ЧИСТ К2'!X52*СПРАВОЧНИК!$N$13+'ПЛАН ЧИСТ К2'!Y52*СПРАВОЧНИК!$O$13+'ПЛАН ЧИСТ К2'!Z52*СПРАВОЧНИК!$P$13)+СПРАВОЧНИК!$E$14*('ПЛАН ЧЕРН К2'!Q52*СПРАВОЧНИК!$H$14+'ПЛАН ЧЕРН К2'!R52*СПРАВОЧНИК!$I$14+'ПЛАН ЧЕРН К2'!S52*СПРАВОЧНИК!$J$14)+СПРАВОЧНИК!$F$14*('ПЛАН ЧИСТ К2'!AA52*СПРАВОЧНИК!$L$14+'ПЛАН ЧИСТ К2'!AB52*СПРАВОЧНИК!$M$14+'ПЛАН ЧИСТ К2'!AC52*СПРАВОЧНИК!$N$14+'ПЛАН ЧИСТ К2'!AD52*СПРАВОЧНИК!$O$14+'ПЛАН ЧИСТ К2'!AE52*СПРАВОЧНИК!$P$14)+СПРАВОЧНИК!$E$15*('ПЛАН ЧЕРН К2'!T52*СПРАВОЧНИК!$H$15+'ПЛАН ЧЕРН К2'!U52*СПРАВОЧНИК!$I$15+'ПЛАН ЧЕРН К2'!V52*СПРАВОЧНИК!$J$15)+СПРАВОЧНИК!$F$15*('ПЛАН ЧИСТ К2'!AF52*СПРАВОЧНИК!$L$15+'ПЛАН ЧИСТ К2'!AG52*СПРАВОЧНИК!$M$15+'ПЛАН ЧИСТ К2'!AH52*СПРАВОЧНИК!$N$15+'ПЛАН ЧИСТ К2'!AI52*СПРАВОЧНИК!$O$15+'ПЛАН ЧИСТ К2'!AJ52*СПРАВОЧНИК!$P$15)</f>
        <v/>
      </c>
      <c r="AN61" s="31">
        <f>СПРАВОЧНИК!$E$9*('ФАКТ ЧЕРН К2'!B52*СПРАВОЧНИК!$H$9+'ФАКТ ЧЕРН К2'!C52*СПРАВОЧНИК!$I$9+'ФАКТ ЧЕРН К2'!D52*СПРАВОЧНИК!$J$9)+СПРАВОЧНИК!$F$9*('ФАКТ ЧИСТ К2'!B52*СПРАВОЧНИК!$L$9+'ФАКТ ЧИСТ К2'!C52*СПРАВОЧНИК!$M$9+'ФАКТ ЧИСТ К2'!D52*СПРАВОЧНИК!$N$9+'ФАКТ ЧИСТ К2'!E52*СПРАВОЧНИК!$O$9+'ФАКТ ЧИСТ К2'!F52*СПРАВОЧНИК!$P$9)+СПРАВОЧНИК!$E$10*('ФАКТ ЧЕРН К2'!E52*СПРАВОЧНИК!$H$10+'ФАКТ ЧЕРН К2'!F52*СПРАВОЧНИК!$I$10+'ФАКТ ЧЕРН К2'!G52*СПРАВОЧНИК!$J$10)+СПРАВОЧНИК!$F$10*('ФАКТ ЧИСТ К2'!G52*СПРАВОЧНИК!$L$10+'ФАКТ ЧИСТ К2'!H52*СПРАВОЧНИК!$M$10+'ФАКТ ЧИСТ К2'!I52*СПРАВОЧНИК!$N$10+'ФАКТ ЧИСТ К2'!J52*СПРАВОЧНИК!$O$10+'ФАКТ ЧИСТ К2'!K52*СПРАВОЧНИК!$P$10)+СПРАВОЧНИК!$E$11*('ФАКТ ЧЕРН К2'!H52*СПРАВОЧНИК!$H$11+'ФАКТ ЧЕРН К2'!I52*СПРАВОЧНИК!$I$11+'ФАКТ ЧЕРН К2'!J52*СПРАВОЧНИК!$J$11)+СПРАВОЧНИК!$F$11*('ФАКТ ЧИСТ К2'!L52*СПРАВОЧНИК!$L$11+'ФАКТ ЧИСТ К2'!M52*СПРАВОЧНИК!$M$11+'ФАКТ ЧИСТ К2'!N52*СПРАВОЧНИК!$N$11+'ФАКТ ЧИСТ К2'!O52*СПРАВОЧНИК!$O$11+'ФАКТ ЧИСТ К2'!P52*СПРАВОЧНИК!$P$11)+СПРАВОЧНИК!$E$12*('ФАКТ ЧЕРН К2'!K52*СПРАВОЧНИК!$H$12+'ФАКТ ЧЕРН К2'!L52*СПРАВОЧНИК!$I$12+'ФАКТ ЧЕРН К2'!M52*СПРАВОЧНИК!$J$12)+СПРАВОЧНИК!$F$12*('ФАКТ ЧИСТ К2'!Q52*СПРАВОЧНИК!$L$12+'ФАКТ ЧИСТ К2'!R52*СПРАВОЧНИК!$M$12+'ФАКТ ЧИСТ К2'!S52*СПРАВОЧНИК!$N$12+'ФАКТ ЧИСТ К2'!T52*СПРАВОЧНИК!$O$12+'ФАКТ ЧИСТ К2'!U52*СПРАВОЧНИК!$P$12)+СПРАВОЧНИК!$E$13*('ФАКТ ЧЕРН К2'!N52*СПРАВОЧНИК!$H$13+'ФАКТ ЧЕРН К2'!O52*СПРАВОЧНИК!$I$13+'ФАКТ ЧЕРН К2'!P52*СПРАВОЧНИК!$J$13)+СПРАВОЧНИК!$F$13*('ФАКТ ЧИСТ К2'!V52*СПРАВОЧНИК!$L$13+'ФАКТ ЧИСТ К2'!W52*СПРАВОЧНИК!$M$13+'ФАКТ ЧИСТ К2'!X52*СПРАВОЧНИК!$N$13+'ФАКТ ЧИСТ К2'!Y52*СПРАВОЧНИК!$O$13+'ФАКТ ЧИСТ К2'!Z52*СПРАВОЧНИК!$P$13)+СПРАВОЧНИК!$E$14*('ФАКТ ЧЕРН К2'!Q52*СПРАВОЧНИК!$H$14+'ФАКТ ЧЕРН К2'!R52*СПРАВОЧНИК!$I$14+'ФАКТ ЧЕРН К2'!S52*СПРАВОЧНИК!$J$14)+СПРАВОЧНИК!$F$14*('ФАКТ ЧИСТ К2'!AA52*СПРАВОЧНИК!$L$14+'ФАКТ ЧИСТ К2'!AB52*СПРАВОЧНИК!$M$14+'ФАКТ ЧИСТ К2'!AC52*СПРАВОЧНИК!$N$14+'ФАКТ ЧИСТ К2'!AD52*СПРАВОЧНИК!$O$14+'ФАКТ ЧИСТ К2'!AE52*СПРАВОЧНИК!$P$14)+СПРАВОЧНИК!$E$15*('ФАКТ ЧЕРН К2'!T52*СПРАВОЧНИК!$H$15+'ФАКТ ЧЕРН К2'!U52*СПРАВОЧНИК!$I$15+'ФАКТ ЧЕРН К2'!V52*СПРАВОЧНИК!$J$15)+СПРАВОЧНИК!$F$15*('ФАКТ ЧИСТ К2'!AF52*СПРАВОЧНИК!$L$15+'ФАКТ ЧИСТ К2'!AG52*СПРАВОЧНИК!$M$15+'ФАКТ ЧИСТ К2'!AH52*СПРАВОЧНИК!$N$15+'ФАКТ ЧИСТ К2'!AI52*СПРАВОЧНИК!$O$15+'ФАКТ ЧИСТ К2'!AJ52*СПРАВОЧНИК!$P$15)</f>
        <v/>
      </c>
      <c r="AO61" s="34" t="n"/>
      <c r="AR61" s="152">
        <f>AR60+7</f>
        <v/>
      </c>
      <c r="AS61" s="17">
        <f>'ПЛАН ЧЕРН К2'!B52*СПРАВОЧНИК!$H$9+'ПЛАН ЧЕРН К2'!C52*СПРАВОЧНИК!$I$9+'ПЛАН ЧЕРН К2'!D52*СПРАВОЧНИК!$J$9+'ПЛАН ЧЕРН К2'!E52*СПРАВОЧНИК!$H$10+'ПЛАН ЧЕРН К2'!F52*СПРАВОЧНИК!$I$10+'ПЛАН ЧЕРН К2'!G52*СПРАВОЧНИК!$J$10+'ПЛАН ЧЕРН К2'!H52*СПРАВОЧНИК!$H$11+'ПЛАН ЧЕРН К2'!I52*СПРАВОЧНИК!$I$11+'ПЛАН ЧЕРН К2'!J52*СПРАВОЧНИК!$J$11+'ПЛАН ЧЕРН К2'!K52*СПРАВОЧНИК!$H$12+'ПЛАН ЧЕРН К2'!L52*СПРАВОЧНИК!$I$12+'ПЛАН ЧЕРН К2'!M52*СПРАВОЧНИК!$J$12+'ПЛАН ЧЕРН К2'!N52*СПРАВОЧНИК!$H$13+'ПЛАН ЧЕРН К2'!O52*СПРАВОЧНИК!$I$13+'ПЛАН ЧЕРН К2'!P52*СПРАВОЧНИК!$J$13+'ПЛАН ЧЕРН К2'!Q52*СПРАВОЧНИК!$H$14+'ПЛАН ЧЕРН К2'!R52*СПРАВОЧНИК!$I$14+'ПЛАН ЧЕРН К2'!S52*СПРАВОЧНИК!$J$14+'ПЛАН ЧЕРН К2'!T52*СПРАВОЧНИК!$H$15+'ПЛАН ЧЕРН К2'!U52*СПРАВОЧНИК!$I$15+'ПЛАН ЧЕРН К2'!V52*СПРАВОЧНИК!$J$15</f>
        <v/>
      </c>
      <c r="AT61" s="31">
        <f>('ФАКТ ЧЕРН К2'!B52)*СПРАВОЧНИК!$H$9+('ФАКТ ЧЕРН К2'!C52)*СПРАВОЧНИК!$I$9+('ФАКТ ЧЕРН К2'!D52)*СПРАВОЧНИК!$J$9+('ФАКТ ЧЕРН К2'!E52)*СПРАВОЧНИК!$H$10+('ФАКТ ЧЕРН К2'!F52)*СПРАВОЧНИК!$I$10+('ФАКТ ЧЕРН К2'!G52)*СПРАВОЧНИК!$J$10+('ФАКТ ЧЕРН К2'!H52)*СПРАВОЧНИК!$H$11+('ФАКТ ЧЕРН К2'!I52)*СПРАВОЧНИК!$I$11+('ФАКТ ЧЕРН К2'!J52)*СПРАВОЧНИК!$J$11+('ФАКТ ЧЕРН К2'!K52)*СПРАВОЧНИК!$H$12+('ФАКТ ЧЕРН К2'!L52)*СПРАВОЧНИК!$I$12+('ФАКТ ЧЕРН К2'!M52)*СПРАВОЧНИК!$J$12+('ФАКТ ЧЕРН К2'!N52)*СПРАВОЧНИК!$H$13+('ФАКТ ЧЕРН К2'!O52)*СПРАВОЧНИК!$I$13+('ФАКТ ЧЕРН К2'!P52)*СПРАВОЧНИК!$J$13+('ФАКТ ЧЕРН К2'!Q52)*СПРАВОЧНИК!$H$14+('ФАКТ ЧЕРН К2'!R52)*СПРАВОЧНИК!$I$14+('ФАКТ ЧЕРН К2'!S52)*СПРАВОЧНИК!$J$14+('ФАКТ ЧЕРН К2'!T52)*СПРАВОЧНИК!$H$15+('ФАКТ ЧЕРН К2'!U52)*СПРАВОЧНИК!$I$15+('ФАКТ ЧЕРН К2'!V52)*СПРАВОЧНИК!$J$15</f>
        <v/>
      </c>
      <c r="AU61" s="34" t="n"/>
      <c r="AX61" s="152">
        <f>AX60+7</f>
        <v/>
      </c>
      <c r="AY61" s="17">
        <f>'ПЛАН ЧИСТ К2'!B52*СПРАВОЧНИК!$L$9+'ПЛАН ЧИСТ К2'!C52*СПРАВОЧНИК!$M$9+'ПЛАН ЧИСТ К2'!D52*СПРАВОЧНИК!$N$9+'ПЛАН ЧИСТ К2'!E52*СПРАВОЧНИК!$O$9+'ПЛАН ЧИСТ К2'!F52*СПРАВОЧНИК!$P$9+'ПЛАН ЧИСТ К2'!G52*СПРАВОЧНИК!$L$10+'ПЛАН ЧИСТ К2'!H52*СПРАВОЧНИК!$M$10+'ПЛАН ЧИСТ К2'!I52*СПРАВОЧНИК!$N$10+'ПЛАН ЧИСТ К2'!J52*СПРАВОЧНИК!$O$10+'ПЛАН ЧИСТ К2'!K52*СПРАВОЧНИК!$P$10+'ПЛАН ЧИСТ К2'!L52*СПРАВОЧНИК!$L$11+'ПЛАН ЧИСТ К2'!M52*СПРАВОЧНИК!$M$11+'ПЛАН ЧИСТ К2'!N52*СПРАВОЧНИК!$N$11+'ПЛАН ЧИСТ К2'!O52*СПРАВОЧНИК!$O$11+'ПЛАН ЧИСТ К2'!P52*СПРАВОЧНИК!$P$11+'ПЛАН ЧИСТ К2'!Q52*СПРАВОЧНИК!$L$12+'ПЛАН ЧИСТ К2'!R52*СПРАВОЧНИК!$M$12+'ПЛАН ЧИСТ К2'!S52*СПРАВОЧНИК!$N$12+'ПЛАН ЧИСТ К2'!T52*СПРАВОЧНИК!$O$12+'ПЛАН ЧИСТ К2'!U52*СПРАВОЧНИК!$P$12+'ПЛАН ЧИСТ К2'!V52*СПРАВОЧНИК!$L$13+'ПЛАН ЧИСТ К2'!W52*СПРАВОЧНИК!$M$13+'ПЛАН ЧИСТ К2'!X52*СПРАВОЧНИК!$N$13+'ПЛАН ЧИСТ К2'!Y52*СПРАВОЧНИК!$O$13+'ПЛАН ЧИСТ К2'!Z52*СПРАВОЧНИК!$P$13+'ПЛАН ЧИСТ К2'!AA52*СПРАВОЧНИК!$L$14+'ПЛАН ЧИСТ К2'!AB52*СПРАВОЧНИК!$M$14+'ПЛАН ЧИСТ К2'!AC52*СПРАВОЧНИК!$N$14+'ПЛАН ЧИСТ К2'!AD52*СПРАВОЧНИК!$O$14+'ПЛАН ЧИСТ К2'!AE52*СПРАВОЧНИК!$P$14+'ПЛАН ЧИСТ К2'!AF52*СПРАВОЧНИК!$L$15+'ПЛАН ЧИСТ К2'!AG52*СПРАВОЧНИК!$M$15+'ПЛАН ЧИСТ К2'!AH52*СПРАВОЧНИК!$N$15+'ПЛАН ЧИСТ К2'!AI52*СПРАВОЧНИК!$O$15+'ПЛАН ЧИСТ К2'!AJ52*СПРАВОЧНИК!$P$15</f>
        <v/>
      </c>
      <c r="AZ61" s="31">
        <f>('ФАКТ ЧИСТ К2'!B52)*СПРАВОЧНИК!$L$9+('ФАКТ ЧИСТ К2'!C52)*СПРАВОЧНИК!$M$9+('ФАКТ ЧИСТ К2'!D52)*СПРАВОЧНИК!$N$9+('ФАКТ ЧИСТ К2'!E52)*СПРАВОЧНИК!$O$9+('ФАКТ ЧИСТ К2'!F52)*СПРАВОЧНИК!$P$9+('ФАКТ ЧИСТ К2'!G52)*СПРАВОЧНИК!$L$10+('ФАКТ ЧИСТ К2'!H52)*СПРАВОЧНИК!$M$10+('ФАКТ ЧИСТ К2'!I52)*СПРАВОЧНИК!$N$10+('ФАКТ ЧИСТ К2'!J52)*СПРАВОЧНИК!$O$10+('ФАКТ ЧИСТ К2'!K52)*СПРАВОЧНИК!$P$10+('ФАКТ ЧИСТ К2'!L52)*СПРАВОЧНИК!$L$11+('ФАКТ ЧИСТ К2'!M52)*СПРАВОЧНИК!$M$11+('ФАКТ ЧИСТ К2'!N52)*СПРАВОЧНИК!$N$11+('ФАКТ ЧИСТ К2'!O52)*СПРАВОЧНИК!$O$11+('ФАКТ ЧИСТ К2'!P52)*СПРАВОЧНИК!$P$11+('ФАКТ ЧИСТ К2'!Q52)*СПРАВОЧНИК!$L$12+('ФАКТ ЧИСТ К2'!R52)*СПРАВОЧНИК!$M$12+('ФАКТ ЧИСТ К2'!S52)*СПРАВОЧНИК!$N$12+('ФАКТ ЧИСТ К2'!T52)*СПРАВОЧНИК!$O$12+('ФАКТ ЧИСТ К2'!U52)*СПРАВОЧНИК!$P$12+('ФАКТ ЧИСТ К2'!V52)*СПРАВОЧНИК!$L$13+('ФАКТ ЧИСТ К2'!W52)*СПРАВОЧНИК!$M$13+('ФАКТ ЧИСТ К2'!X52)*СПРАВОЧНИК!$N$13+('ФАКТ ЧИСТ К2'!Y52)*СПРАВОЧНИК!$O$13+('ФАКТ ЧИСТ К2'!Z52)*СПРАВОЧНИК!$P$13+('ФАКТ ЧИСТ К2'!AA52)*СПРАВОЧНИК!$L$14+('ФАКТ ЧИСТ К2'!AB52)*СПРАВОЧНИК!$M$14+('ФАКТ ЧИСТ К2'!AC52)*СПРАВОЧНИК!$N$14+('ФАКТ ЧИСТ К2'!AD52)*СПРАВОЧНИК!$O$14+('ФАКТ ЧИСТ К2'!AE52)*СПРАВОЧНИК!$P$14+('ФАКТ ЧИСТ К2'!AF52)*СПРАВОЧНИК!$L$15+('ФАКТ ЧИСТ К2'!AG52)*СПРАВОЧНИК!$M$15+('ФАКТ ЧИСТ К2'!AH52)*СПРАВОЧНИК!$N$15+('ФАКТ ЧИСТ К2'!AI52)*СПРАВОЧНИК!$O$15+('ФАКТ ЧИСТ К2'!AJ52)*СПРАВОЧНИК!$P$15</f>
        <v/>
      </c>
      <c r="BA61" s="34" t="n"/>
      <c r="BD61" s="152">
        <f>BD60+7</f>
        <v/>
      </c>
      <c r="BE61" s="17">
        <f>СПРАВОЧНИК!$E$9*('ПЛАН ЧЕРН К3'!B52*СПРАВОЧНИК!$H$9+'ПЛАН ЧЕРН К3'!C52*СПРАВОЧНИК!$I$9+'ПЛАН ЧЕРН К3'!D52*СПРАВОЧНИК!$J$9)+СПРАВОЧНИК!$F$9*('ПЛАН ЧИСТ К3'!B52*СПРАВОЧНИК!$L$9+'ПЛАН ЧИСТ К3'!C52*СПРАВОЧНИК!$M$9+'ПЛАН ЧИСТ К3'!D52*СПРАВОЧНИК!$N$9+'ПЛАН ЧИСТ К3'!E52*СПРАВОЧНИК!$O$9+'ПЛАН ЧИСТ К3'!F52*СПРАВОЧНИК!$P$9)+СПРАВОЧНИК!$E$10*('ПЛАН ЧЕРН К3'!E52*СПРАВОЧНИК!$H$10+'ПЛАН ЧЕРН К3'!F52*СПРАВОЧНИК!$I$10+'ПЛАН ЧЕРН К3'!G52*СПРАВОЧНИК!$J$10)+СПРАВОЧНИК!$F$10*('ПЛАН ЧИСТ К3'!G52*СПРАВОЧНИК!$L$10+'ПЛАН ЧИСТ К3'!H52*СПРАВОЧНИК!$M$10+'ПЛАН ЧИСТ К3'!I52*СПРАВОЧНИК!$N$10+'ПЛАН ЧИСТ К3'!J52*СПРАВОЧНИК!$O$10+'ПЛАН ЧИСТ К3'!K52*СПРАВОЧНИК!$P$10)+СПРАВОЧНИК!$E$11*('ПЛАН ЧЕРН К3'!H52*СПРАВОЧНИК!$H$11+'ПЛАН ЧЕРН К3'!I52*СПРАВОЧНИК!$I$11+'ПЛАН ЧЕРН К3'!J52*СПРАВОЧНИК!$J$11)+СПРАВОЧНИК!$F$11*('ПЛАН ЧИСТ К3'!L52*СПРАВОЧНИК!$L$11+'ПЛАН ЧИСТ К3'!M52*СПРАВОЧНИК!$M$11+'ПЛАН ЧИСТ К3'!N52*СПРАВОЧНИК!$N$11+'ПЛАН ЧИСТ К3'!O52*СПРАВОЧНИК!$O$11+'ПЛАН ЧИСТ К3'!P52*СПРАВОЧНИК!$P$11)+СПРАВОЧНИК!$E$12*('ПЛАН ЧЕРН К3'!K52*СПРАВОЧНИК!$H$12+'ПЛАН ЧЕРН К3'!L52*СПРАВОЧНИК!$I$12+'ПЛАН ЧЕРН К3'!M52*СПРАВОЧНИК!$J$12)+СПРАВОЧНИК!$F$12*('ПЛАН ЧИСТ К3'!Q52*СПРАВОЧНИК!$L$12+'ПЛАН ЧИСТ К3'!R52*СПРАВОЧНИК!$M$12+'ПЛАН ЧИСТ К3'!S52*СПРАВОЧНИК!$N$12+'ПЛАН ЧИСТ К3'!T52*СПРАВОЧНИК!$O$12+'ПЛАН ЧИСТ К3'!U52*СПРАВОЧНИК!$P$12)+СПРАВОЧНИК!$E$13*('ПЛАН ЧЕРН К3'!N52*СПРАВОЧНИК!$H$13+'ПЛАН ЧЕРН К3'!O52*СПРАВОЧНИК!$I$13+'ПЛАН ЧЕРН К3'!P52*СПРАВОЧНИК!$J$13)+СПРАВОЧНИК!$F$13*('ПЛАН ЧИСТ К3'!V52*СПРАВОЧНИК!$L$13+'ПЛАН ЧИСТ К3'!W52*СПРАВОЧНИК!$M$13+'ПЛАН ЧИСТ К3'!X52*СПРАВОЧНИК!$N$13+'ПЛАН ЧИСТ К3'!Y52*СПРАВОЧНИК!$O$13+'ПЛАН ЧИСТ К3'!Z52*СПРАВОЧНИК!$P$13)+СПРАВОЧНИК!$E$14*('ПЛАН ЧЕРН К3'!Q52*СПРАВОЧНИК!$H$14+'ПЛАН ЧЕРН К3'!R52*СПРАВОЧНИК!$I$14+'ПЛАН ЧЕРН К3'!S52*СПРАВОЧНИК!$J$14)+СПРАВОЧНИК!$F$14*('ПЛАН ЧИСТ К3'!AA52*СПРАВОЧНИК!$L$14+'ПЛАН ЧИСТ К3'!AB52*СПРАВОЧНИК!$M$14+'ПЛАН ЧИСТ К3'!AC52*СПРАВОЧНИК!$N$14+'ПЛАН ЧИСТ К3'!AD52*СПРАВОЧНИК!$O$14+'ПЛАН ЧИСТ К3'!AE52*СПРАВОЧНИК!$P$14)+СПРАВОЧНИК!$E$15*('ПЛАН ЧЕРН К3'!T52*СПРАВОЧНИК!$H$15+'ПЛАН ЧЕРН К3'!U52*СПРАВОЧНИК!$I$15+'ПЛАН ЧЕРН К3'!V52*СПРАВОЧНИК!$J$15)+СПРАВОЧНИК!$F$15*('ПЛАН ЧИСТ К3'!AF52*СПРАВОЧНИК!$L$15+'ПЛАН ЧИСТ К3'!AG52*СПРАВОЧНИК!$M$15+'ПЛАН ЧИСТ К3'!AH52*СПРАВОЧНИК!$N$15+'ПЛАН ЧИСТ К3'!AI52*СПРАВОЧНИК!$O$15+'ПЛАН ЧИСТ К3'!AJ52*СПРАВОЧНИК!$P$15)</f>
        <v/>
      </c>
      <c r="BF61" s="31">
        <f>СПРАВОЧНИК!$E$9*('ФАКТ ЧЕРН К3'!B52*СПРАВОЧНИК!$H$9+'ФАКТ ЧЕРН К3'!C52*СПРАВОЧНИК!$I$9+'ФАКТ ЧЕРН К3'!D52*СПРАВОЧНИК!$J$9)+СПРАВОЧНИК!$F$9*('ФАКТ ЧИСТ К3'!B52*СПРАВОЧНИК!$L$9+'ФАКТ ЧИСТ К3'!C52*СПРАВОЧНИК!$M$9+'ФАКТ ЧИСТ К3'!D52*СПРАВОЧНИК!$N$9+'ФАКТ ЧИСТ К3'!E52*СПРАВОЧНИК!$O$9+'ФАКТ ЧИСТ К3'!F52*СПРАВОЧНИК!$P$9)+СПРАВОЧНИК!$E$10*('ФАКТ ЧЕРН К3'!E52*СПРАВОЧНИК!$H$10+'ФАКТ ЧЕРН К3'!F52*СПРАВОЧНИК!$I$10+'ФАКТ ЧЕРН К3'!G52*СПРАВОЧНИК!$J$10)+СПРАВОЧНИК!$F$10*('ФАКТ ЧИСТ К3'!G52*СПРАВОЧНИК!$L$10+'ФАКТ ЧИСТ К3'!H52*СПРАВОЧНИК!$M$10+'ФАКТ ЧИСТ К3'!I52*СПРАВОЧНИК!$N$10+'ФАКТ ЧИСТ К3'!J52*СПРАВОЧНИК!$O$10+'ФАКТ ЧИСТ К3'!K52*СПРАВОЧНИК!$P$10)+СПРАВОЧНИК!$E$11*('ФАКТ ЧЕРН К3'!H52*СПРАВОЧНИК!$H$11+'ФАКТ ЧЕРН К3'!I52*СПРАВОЧНИК!$I$11+'ФАКТ ЧЕРН К3'!J52*СПРАВОЧНИК!$J$11)+СПРАВОЧНИК!$F$11*('ФАКТ ЧИСТ К3'!L52*СПРАВОЧНИК!$L$11+'ФАКТ ЧИСТ К3'!M52*СПРАВОЧНИК!$M$11+'ФАКТ ЧИСТ К3'!N52*СПРАВОЧНИК!$N$11+'ФАКТ ЧИСТ К3'!O52*СПРАВОЧНИК!$O$11+'ФАКТ ЧИСТ К3'!P52*СПРАВОЧНИК!$P$11)+СПРАВОЧНИК!$E$12*('ФАКТ ЧЕРН К3'!K52*СПРАВОЧНИК!$H$12+'ФАКТ ЧЕРН К3'!L52*СПРАВОЧНИК!$I$12+'ФАКТ ЧЕРН К3'!M52*СПРАВОЧНИК!$J$12)+СПРАВОЧНИК!$F$12*('ФАКТ ЧИСТ К3'!Q52*СПРАВОЧНИК!$L$12+'ФАКТ ЧИСТ К3'!R52*СПРАВОЧНИК!$M$12+'ФАКТ ЧИСТ К3'!S52*СПРАВОЧНИК!$N$12+'ФАКТ ЧИСТ К3'!T52*СПРАВОЧНИК!$O$12+'ФАКТ ЧИСТ К3'!U52*СПРАВОЧНИК!$P$12)+СПРАВОЧНИК!$E$13*('ФАКТ ЧЕРН К3'!N52*СПРАВОЧНИК!$H$13+'ФАКТ ЧЕРН К3'!O52*СПРАВОЧНИК!$I$13+'ФАКТ ЧЕРН К3'!P52*СПРАВОЧНИК!$J$13)+СПРАВОЧНИК!$F$13*('ФАКТ ЧИСТ К3'!V52*СПРАВОЧНИК!$L$13+'ФАКТ ЧИСТ К3'!W52*СПРАВОЧНИК!$M$13+'ФАКТ ЧИСТ К3'!X52*СПРАВОЧНИК!$N$13+'ФАКТ ЧИСТ К3'!Y52*СПРАВОЧНИК!$O$13+'ФАКТ ЧИСТ К3'!Z52*СПРАВОЧНИК!$P$13)+СПРАВОЧНИК!$E$14*('ФАКТ ЧЕРН К3'!Q52*СПРАВОЧНИК!$H$14+'ФАКТ ЧЕРН К3'!R52*СПРАВОЧНИК!$I$14+'ФАКТ ЧЕРН К3'!S52*СПРАВОЧНИК!$J$14)+СПРАВОЧНИК!$F$14*('ФАКТ ЧИСТ К3'!AA52*СПРАВОЧНИК!$L$14+'ФАКТ ЧИСТ К3'!AB52*СПРАВОЧНИК!$M$14+'ФАКТ ЧИСТ К3'!AC52*СПРАВОЧНИК!$N$14+'ФАКТ ЧИСТ К3'!AD52*СПРАВОЧНИК!$O$14+'ФАКТ ЧИСТ К3'!AE52*СПРАВОЧНИК!$P$14)+СПРАВОЧНИК!$E$15*('ФАКТ ЧЕРН К3'!T52*СПРАВОЧНИК!$H$15+'ФАКТ ЧЕРН К3'!U52*СПРАВОЧНИК!$I$15+'ФАКТ ЧЕРН К3'!V52*СПРАВОЧНИК!$J$15)+СПРАВОЧНИК!$F$15*('ФАКТ ЧИСТ К3'!AF52*СПРАВОЧНИК!$L$15+'ФАКТ ЧИСТ К3'!AG52*СПРАВОЧНИК!$M$15+'ФАКТ ЧИСТ К3'!AH52*СПРАВОЧНИК!$N$15+'ФАКТ ЧИСТ К3'!AI52*СПРАВОЧНИК!$O$15+'ФАКТ ЧИСТ К3'!AJ52*СПРАВОЧНИК!$P$15)</f>
        <v/>
      </c>
      <c r="BG61" s="34" t="n"/>
      <c r="BJ61" s="152">
        <f>BJ60+7</f>
        <v/>
      </c>
      <c r="BK61" s="17">
        <f>'ПЛАН ЧЕРН К3'!B52*СПРАВОЧНИК!$H$9+'ПЛАН ЧЕРН К3'!C52*СПРАВОЧНИК!$I$9+'ПЛАН ЧЕРН К3'!D52*СПРАВОЧНИК!$J$9+'ПЛАН ЧЕРН К3'!E52*СПРАВОЧНИК!$H$10+'ПЛАН ЧЕРН К3'!F52*СПРАВОЧНИК!$I$10+'ПЛАН ЧЕРН К3'!G52*СПРАВОЧНИК!$J$10+'ПЛАН ЧЕРН К3'!H52*СПРАВОЧНИК!$H$11+'ПЛАН ЧЕРН К3'!I52*СПРАВОЧНИК!$I$11+'ПЛАН ЧЕРН К3'!J52*СПРАВОЧНИК!$J$11+'ПЛАН ЧЕРН К3'!K52*СПРАВОЧНИК!$H$12+'ПЛАН ЧЕРН К3'!L52*СПРАВОЧНИК!$I$12+'ПЛАН ЧЕРН К3'!M52*СПРАВОЧНИК!$J$12+'ПЛАН ЧЕРН К3'!N52*СПРАВОЧНИК!$H$13+'ПЛАН ЧЕРН К3'!O52*СПРАВОЧНИК!$I$13+'ПЛАН ЧЕРН К3'!P52*СПРАВОЧНИК!$J$13+'ПЛАН ЧЕРН К3'!Q52*СПРАВОЧНИК!$H$14+'ПЛАН ЧЕРН К3'!R52*СПРАВОЧНИК!$I$14+'ПЛАН ЧЕРН К3'!S52*СПРАВОЧНИК!$J$14+'ПЛАН ЧЕРН К3'!T52*СПРАВОЧНИК!$H$15+'ПЛАН ЧЕРН К3'!U52*СПРАВОЧНИК!$I$15+'ПЛАН ЧЕРН К3'!V52*СПРАВОЧНИК!$J$15</f>
        <v/>
      </c>
      <c r="BL61" s="31">
        <f>('ФАКТ ЧЕРН К3'!B52)*СПРАВОЧНИК!$H$9+('ФАКТ ЧЕРН К3'!C52)*СПРАВОЧНИК!$I$9+('ФАКТ ЧЕРН К3'!D52)*СПРАВОЧНИК!$J$9+('ФАКТ ЧЕРН К3'!E52)*СПРАВОЧНИК!$H$10+('ФАКТ ЧЕРН К3'!F52)*СПРАВОЧНИК!$I$10+('ФАКТ ЧЕРН К3'!G52)*СПРАВОЧНИК!$J$10+('ФАКТ ЧЕРН К3'!H52)*СПРАВОЧНИК!$H$11+('ФАКТ ЧЕРН К3'!I52)*СПРАВОЧНИК!$I$11+('ФАКТ ЧЕРН К3'!J52)*СПРАВОЧНИК!$J$11+('ФАКТ ЧЕРН К3'!K52)*СПРАВОЧНИК!$H$12+('ФАКТ ЧЕРН К3'!L52)*СПРАВОЧНИК!$I$12+('ФАКТ ЧЕРН К3'!M52)*СПРАВОЧНИК!$J$12+('ФАКТ ЧЕРН К3'!N52)*СПРАВОЧНИК!$H$13+('ФАКТ ЧЕРН К3'!O52)*СПРАВОЧНИК!$I$13+('ФАКТ ЧЕРН К3'!P52)*СПРАВОЧНИК!$J$13+('ФАКТ ЧЕРН К3'!Q52)*СПРАВОЧНИК!$H$14+('ФАКТ ЧЕРН К3'!R52)*СПРАВОЧНИК!$I$14+('ФАКТ ЧЕРН К3'!S52)*СПРАВОЧНИК!$J$14+('ФАКТ ЧЕРН К3'!T52)*СПРАВОЧНИК!$H$15+('ФАКТ ЧЕРН К3'!U52)*СПРАВОЧНИК!$I$15+('ФАКТ ЧЕРН К3'!V52)*СПРАВОЧНИК!$J$15</f>
        <v/>
      </c>
      <c r="BM61" s="34" t="n"/>
      <c r="BP61" s="152">
        <f>BP60+7</f>
        <v/>
      </c>
      <c r="BQ61" s="17">
        <f>'ПЛАН ЧИСТ К3'!B52*СПРАВОЧНИК!$L$9+'ПЛАН ЧИСТ К3'!C52*СПРАВОЧНИК!$M$9+'ПЛАН ЧИСТ К3'!D52*СПРАВОЧНИК!$N$9+'ПЛАН ЧИСТ К3'!E52*СПРАВОЧНИК!$O$9+'ПЛАН ЧИСТ К3'!F52*СПРАВОЧНИК!$P$9+'ПЛАН ЧИСТ К3'!G52*СПРАВОЧНИК!$L$10+'ПЛАН ЧИСТ К3'!H52*СПРАВОЧНИК!$M$10+'ПЛАН ЧИСТ К3'!I52*СПРАВОЧНИК!$N$10+'ПЛАН ЧИСТ К3'!J52*СПРАВОЧНИК!$O$10+'ПЛАН ЧИСТ К3'!K52*СПРАВОЧНИК!$P$10+'ПЛАН ЧИСТ К3'!L52*СПРАВОЧНИК!$L$11+'ПЛАН ЧИСТ К3'!M52*СПРАВОЧНИК!$M$11+'ПЛАН ЧИСТ К3'!N52*СПРАВОЧНИК!$N$11+'ПЛАН ЧИСТ К3'!O52*СПРАВОЧНИК!$O$11+'ПЛАН ЧИСТ К3'!P52*СПРАВОЧНИК!$P$11+'ПЛАН ЧИСТ К3'!Q52*СПРАВОЧНИК!$L$12+'ПЛАН ЧИСТ К3'!R52*СПРАВОЧНИК!$M$12+'ПЛАН ЧИСТ К3'!S52*СПРАВОЧНИК!$N$12+'ПЛАН ЧИСТ К3'!T52*СПРАВОЧНИК!$O$12+'ПЛАН ЧИСТ К3'!U52*СПРАВОЧНИК!$P$12+'ПЛАН ЧИСТ К3'!V52*СПРАВОЧНИК!$L$13+'ПЛАН ЧИСТ К3'!W52*СПРАВОЧНИК!$M$13+'ПЛАН ЧИСТ К3'!X52*СПРАВОЧНИК!$N$13+'ПЛАН ЧИСТ К3'!Y52*СПРАВОЧНИК!$O$13+'ПЛАН ЧИСТ К3'!Z52*СПРАВОЧНИК!$P$13+'ПЛАН ЧИСТ К3'!AA52*СПРАВОЧНИК!$L$14+'ПЛАН ЧИСТ К3'!AB52*СПРАВОЧНИК!$M$14+'ПЛАН ЧИСТ К3'!AC52*СПРАВОЧНИК!$N$14+'ПЛАН ЧИСТ К3'!AD52*СПРАВОЧНИК!$O$14+'ПЛАН ЧИСТ К3'!AE52*СПРАВОЧНИК!$P$14+'ПЛАН ЧИСТ К3'!AF52*СПРАВОЧНИК!$L$15+'ПЛАН ЧИСТ К3'!AG52*СПРАВОЧНИК!$M$15+'ПЛАН ЧИСТ К3'!AH52*СПРАВОЧНИК!$N$15+'ПЛАН ЧИСТ К3'!AI52*СПРАВОЧНИК!$O$15+'ПЛАН ЧИСТ К3'!AJ52*СПРАВОЧНИК!$P$15</f>
        <v/>
      </c>
      <c r="BR61" s="31">
        <f>('ФАКТ ЧИСТ К3'!B52)*СПРАВОЧНИК!$L$9+('ФАКТ ЧИСТ К3'!C52)*СПРАВОЧНИК!$M$9+('ФАКТ ЧИСТ К3'!D52)*СПРАВОЧНИК!$N$9+('ФАКТ ЧИСТ К3'!E52)*СПРАВОЧНИК!$O$9+('ФАКТ ЧИСТ К3'!F52)*СПРАВОЧНИК!$P$9+('ФАКТ ЧИСТ К3'!G52)*СПРАВОЧНИК!$L$10+('ФАКТ ЧИСТ К3'!H52)*СПРАВОЧНИК!$M$10+('ФАКТ ЧИСТ К3'!I52)*СПРАВОЧНИК!$N$10+('ФАКТ ЧИСТ К3'!J52)*СПРАВОЧНИК!$O$10+('ФАКТ ЧИСТ К3'!K52)*СПРАВОЧНИК!$P$10+('ФАКТ ЧИСТ К3'!L52)*СПРАВОЧНИК!$L$11+('ФАКТ ЧИСТ К3'!M52)*СПРАВОЧНИК!$M$11+('ФАКТ ЧИСТ К3'!N52)*СПРАВОЧНИК!$N$11+('ФАКТ ЧИСТ К3'!O52)*СПРАВОЧНИК!$O$11+('ФАКТ ЧИСТ К3'!P52)*СПРАВОЧНИК!$P$11+('ФАКТ ЧИСТ К3'!Q52)*СПРАВОЧНИК!$L$12+('ФАКТ ЧИСТ К3'!R52)*СПРАВОЧНИК!$M$12+('ФАКТ ЧИСТ К3'!S52)*СПРАВОЧНИК!$N$12+('ФАКТ ЧИСТ К3'!T52)*СПРАВОЧНИК!$O$12+('ФАКТ ЧИСТ К3'!U52)*СПРАВОЧНИК!$P$12+('ФАКТ ЧИСТ К3'!V52)*СПРАВОЧНИК!$L$13+('ФАКТ ЧИСТ К3'!W52)*СПРАВОЧНИК!$M$13+('ФАКТ ЧИСТ К3'!X52)*СПРАВОЧНИК!$N$13+('ФАКТ ЧИСТ К3'!Y52)*СПРАВОЧНИК!$O$13+('ФАКТ ЧИСТ К3'!Z52)*СПРАВОЧНИК!$P$13+('ФАКТ ЧИСТ К3'!AA52)*СПРАВОЧНИК!$L$14+('ФАКТ ЧИСТ К3'!AB52)*СПРАВОЧНИК!$M$14+('ФАКТ ЧИСТ К3'!AC52)*СПРАВОЧНИК!$N$14+('ФАКТ ЧИСТ К3'!AD52)*СПРАВОЧНИК!$O$14+('ФАКТ ЧИСТ К3'!AE52)*СПРАВОЧНИК!$P$14+('ФАКТ ЧИСТ К3'!AF52)*СПРАВОЧНИК!$L$15+('ФАКТ ЧИСТ К3'!AG52)*СПРАВОЧНИК!$M$15+('ФАКТ ЧИСТ К3'!AH52)*СПРАВОЧНИК!$N$15+('ФАКТ ЧИСТ К3'!AI52)*СПРАВОЧНИК!$O$15+('ФАКТ ЧИСТ К3'!AJ52)*СПРАВОЧНИК!$P$15</f>
        <v/>
      </c>
      <c r="BS61" s="34" t="n"/>
      <c r="BV61" s="152">
        <f>BV60+7</f>
        <v/>
      </c>
      <c r="BW61" s="17">
        <f>U61*СПРАВОЧНИК!$K$28+AM61*СПРАВОЧНИК!$K$29+BE61*СПРАВОЧНИК!$K$30</f>
        <v/>
      </c>
      <c r="BX61" s="31">
        <f>V61*СПРАВОЧНИК!$K$28+AN61*СПРАВОЧНИК!$K$29+BF61*СПРАВОЧНИК!$K$30</f>
        <v/>
      </c>
      <c r="BY61" s="34" t="n"/>
      <c r="CB61" s="152">
        <f>CB60+7</f>
        <v/>
      </c>
      <c r="CC61" s="17">
        <f>AA61*СПРАВОЧНИК!$K$28+AS61*СПРАВОЧНИК!$K$29+BK61*СПРАВОЧНИК!$K$30</f>
        <v/>
      </c>
      <c r="CD61" s="31">
        <f>AB61*СПРАВОЧНИК!$K$28+AT61*СПРАВОЧНИК!$K$29+BL61*СПРАВОЧНИК!$K$30</f>
        <v/>
      </c>
      <c r="CE61" s="34" t="n"/>
      <c r="CH61" s="152">
        <f>CH60+7</f>
        <v/>
      </c>
      <c r="CI61" s="17">
        <f>AG61*СПРАВОЧНИК!$K$28+AY61*СПРАВОЧНИК!$K$29+BQ61*СПРАВОЧНИК!$K$30</f>
        <v/>
      </c>
      <c r="CJ61" s="31">
        <f>AH61*СПРАВОЧНИК!$K$28+AZ61*СПРАВОЧНИК!$K$29+BR61*СПРАВОЧНИК!$K$30</f>
        <v/>
      </c>
      <c r="CK61" s="34" t="n"/>
      <c r="CN61" s="152">
        <f>CN60+7</f>
        <v/>
      </c>
      <c r="CO61" s="17">
        <f>C61*СПРАВОЧНИК!$W$18+BW61*СПРАВОЧНИК!$W$19</f>
        <v/>
      </c>
      <c r="CP61" s="31">
        <f>D61*СПРАВОЧНИК!$W$18+BX61*СПРАВОЧНИК!$W$19</f>
        <v/>
      </c>
      <c r="CQ61" s="34" t="n"/>
      <c r="CT61" s="152">
        <f>CT60+7</f>
        <v/>
      </c>
      <c r="CU61" s="17">
        <f>I61*СПРАВОЧНИК!$W$18+CC61*СПРАВОЧНИК!$W$19</f>
        <v/>
      </c>
      <c r="CV61" s="31">
        <f>J61*СПРАВОЧНИК!$W$18+CD61*СПРАВОЧНИК!$W$19</f>
        <v/>
      </c>
      <c r="CW61" s="34" t="n"/>
      <c r="CZ61" s="152">
        <f>CZ60+7</f>
        <v/>
      </c>
      <c r="DA61" s="17">
        <f>O61*СПРАВОЧНИК!$W$18+CI61*СПРАВОЧНИК!$W$19</f>
        <v/>
      </c>
      <c r="DB61" s="31">
        <f>P61*СПРАВОЧНИК!$W$18+CJ61*СПРАВОЧНИК!$W$19</f>
        <v/>
      </c>
      <c r="DC61" s="34" t="n"/>
    </row>
  </sheetData>
  <conditionalFormatting sqref="C14:C61">
    <cfRule type="expression" priority="1" dxfId="0">
      <formula>AND(C14&lt;=TODAY(),C14+6&gt;=TODAY())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2026-08-10T15:39:40Z</dcterms:created>
  <dcterms:modified xmlns:dcterms="http://purl.org/dc/terms/" xmlns:xsi="http://www.w3.org/2001/XMLSchema-instance" xsi:type="dcterms:W3CDTF">2026-08-18T16:03:43Z</dcterms:modified>
  <cp:lastModifiedBy>Игнатов Игорь Сергеевич</cp:lastModifiedBy>
</cp:coreProperties>
</file>